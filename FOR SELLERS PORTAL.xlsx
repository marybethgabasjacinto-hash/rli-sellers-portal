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mgjacinto\Documents\PD-RAEMULAN\01. INVENTORY\"/>
    </mc:Choice>
  </mc:AlternateContent>
  <xr:revisionPtr revIDLastSave="0" documentId="8_{13DB0FD0-FDA7-4213-8977-ED26EADB5DB8}" xr6:coauthVersionLast="36" xr6:coauthVersionMax="36" xr10:uidLastSave="{00000000-0000-0000-0000-000000000000}"/>
  <bookViews>
    <workbookView xWindow="0" yWindow="0" windowWidth="23040" windowHeight="6468" activeTab="1" xr2:uid="{6B42E29F-4BE1-42AD-A579-06801C60E5C4}"/>
  </bookViews>
  <sheets>
    <sheet name="MIDDLE HOUSING INVENTORY" sheetId="1" r:id="rId1"/>
    <sheet name="MIDDLE CONDO INVENTORY" sheetId="3" r:id="rId2"/>
  </sheets>
  <externalReferences>
    <externalReference r:id="rId3"/>
    <externalReference r:id="rId4"/>
    <externalReference r:id="rId5"/>
    <externalReference r:id="rId6"/>
    <externalReference r:id="rId7"/>
    <externalReference r:id="rId8"/>
  </externalReferences>
  <definedNames>
    <definedName name="_xlnm._FilterDatabase" localSheetId="1" hidden="1">'MIDDLE CONDO INVENTORY'!$B$6:$O$1113</definedName>
    <definedName name="_xlnm._FilterDatabase" localSheetId="0" hidden="1">'MIDDLE HOUSING INVENTORY'!$A$6:$Q$2357</definedName>
    <definedName name="Column1" localSheetId="1">'MIDDLE CONDO INVENTORY'!$B$6:$O$532</definedName>
    <definedName name="Column1" localSheetId="0">'MIDDLE HOUSING INVENTORY'!$B$6:$Q$598</definedName>
    <definedName name="FinancingSchemeList" localSheetId="1">[6]TEMP_DROPDOWN!$B$1:$B$2</definedName>
    <definedName name="FinancingSchemeList">[5]TEMP_DROPDOWN!$B$1:$B$2</definedName>
    <definedName name="LotAlias" localSheetId="1">'MIDDLE CONDO INVENTORY'!$B$7:$B$532</definedName>
    <definedName name="LotAlias" localSheetId="0">'MIDDLE HOUSING INVENTORY'!$B$7:$B$598</definedName>
    <definedName name="LotAliasList" localSheetId="1">[6]TEMP_DROPDOWN!$A$1:$A$54</definedName>
    <definedName name="LotAliasList">[5]TEMP_DROPDOWN!$A$1:$A$54</definedName>
    <definedName name="_xlnm.Print_Area" localSheetId="1">'MIDDLE CONDO INVENTORY'!$B$4:$O$441</definedName>
    <definedName name="_xlnm.Print_Area" localSheetId="0">'MIDDLE HOUSING INVENTORY'!$A$4:$Q$441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1113" i="3" l="1"/>
  <c r="N1113" i="3" s="1"/>
  <c r="L1112" i="3"/>
  <c r="N1112" i="3" s="1"/>
  <c r="L1111" i="3"/>
  <c r="N1111" i="3" s="1"/>
  <c r="L1110" i="3"/>
  <c r="N1110" i="3" s="1"/>
  <c r="L1109" i="3"/>
  <c r="N1109" i="3" s="1"/>
  <c r="N1108" i="3"/>
  <c r="L1108" i="3"/>
  <c r="N1107" i="3"/>
  <c r="L1107" i="3"/>
  <c r="L1106" i="3"/>
  <c r="N1106" i="3" s="1"/>
  <c r="L1105" i="3"/>
  <c r="N1105" i="3" s="1"/>
  <c r="N1104" i="3"/>
  <c r="L1104" i="3"/>
  <c r="L1103" i="3"/>
  <c r="N1103" i="3" s="1"/>
  <c r="N1102" i="3"/>
  <c r="L1102" i="3"/>
  <c r="L1101" i="3"/>
  <c r="N1101" i="3" s="1"/>
  <c r="L1100" i="3"/>
  <c r="N1100" i="3" s="1"/>
  <c r="N1099" i="3"/>
  <c r="L1099" i="3"/>
  <c r="L1098" i="3"/>
  <c r="N1098" i="3" s="1"/>
  <c r="L1097" i="3"/>
  <c r="N1097" i="3" s="1"/>
  <c r="L1096" i="3"/>
  <c r="N1096" i="3" s="1"/>
  <c r="L1095" i="3"/>
  <c r="N1095" i="3" s="1"/>
  <c r="N1094" i="3"/>
  <c r="L1094" i="3"/>
  <c r="L1093" i="3"/>
  <c r="N1093" i="3" s="1"/>
  <c r="N1092" i="3"/>
  <c r="L1092" i="3"/>
  <c r="L1091" i="3"/>
  <c r="N1091" i="3" s="1"/>
  <c r="N1090" i="3"/>
  <c r="L1090" i="3"/>
  <c r="L1089" i="3"/>
  <c r="N1089" i="3" s="1"/>
  <c r="L1088" i="3"/>
  <c r="N1088" i="3" s="1"/>
  <c r="L1087" i="3"/>
  <c r="N1087" i="3" s="1"/>
  <c r="L1086" i="3"/>
  <c r="N1086" i="3" s="1"/>
  <c r="L1085" i="3"/>
  <c r="N1085" i="3" s="1"/>
  <c r="N1084" i="3"/>
  <c r="L1084" i="3"/>
  <c r="L1083" i="3"/>
  <c r="N1083" i="3" s="1"/>
  <c r="N1082" i="3"/>
  <c r="L1082" i="3"/>
  <c r="L1081" i="3"/>
  <c r="N1081" i="3" s="1"/>
  <c r="L1080" i="3"/>
  <c r="N1080" i="3" s="1"/>
  <c r="L1079" i="3"/>
  <c r="N1079" i="3" s="1"/>
  <c r="L1078" i="3"/>
  <c r="N1078" i="3" s="1"/>
  <c r="L1077" i="3"/>
  <c r="N1077" i="3" s="1"/>
  <c r="L1076" i="3"/>
  <c r="N1076" i="3" s="1"/>
  <c r="L1075" i="3"/>
  <c r="N1075" i="3" s="1"/>
  <c r="L1074" i="3"/>
  <c r="N1074" i="3" s="1"/>
  <c r="L1073" i="3"/>
  <c r="N1073" i="3" s="1"/>
  <c r="N1072" i="3"/>
  <c r="L1072" i="3"/>
  <c r="L1071" i="3"/>
  <c r="N1071" i="3" s="1"/>
  <c r="L1070" i="3"/>
  <c r="N1070" i="3" s="1"/>
  <c r="L1069" i="3"/>
  <c r="N1069" i="3" s="1"/>
  <c r="L1068" i="3"/>
  <c r="N1068" i="3" s="1"/>
  <c r="N1067" i="3"/>
  <c r="L1067" i="3"/>
  <c r="N1066" i="3"/>
  <c r="L1066" i="3"/>
  <c r="L1065" i="3"/>
  <c r="N1065" i="3" s="1"/>
  <c r="N1064" i="3"/>
  <c r="L1064" i="3"/>
  <c r="L1063" i="3"/>
  <c r="N1063" i="3" s="1"/>
  <c r="L1062" i="3"/>
  <c r="N1062" i="3" s="1"/>
  <c r="L1061" i="3"/>
  <c r="N1061" i="3" s="1"/>
  <c r="L1060" i="3"/>
  <c r="N1060" i="3" s="1"/>
  <c r="L1059" i="3"/>
  <c r="N1059" i="3" s="1"/>
  <c r="L1058" i="3"/>
  <c r="N1058" i="3" s="1"/>
  <c r="L1057" i="3"/>
  <c r="N1057" i="3" s="1"/>
  <c r="N1056" i="3"/>
  <c r="L1056" i="3"/>
  <c r="L1055" i="3"/>
  <c r="N1055" i="3" s="1"/>
  <c r="N1054" i="3"/>
  <c r="L1054" i="3"/>
  <c r="L1053" i="3"/>
  <c r="N1053" i="3" s="1"/>
  <c r="N1052" i="3"/>
  <c r="L1052" i="3"/>
  <c r="N1051" i="3"/>
  <c r="L1051" i="3"/>
  <c r="L1050" i="3"/>
  <c r="N1050" i="3" s="1"/>
  <c r="L1049" i="3"/>
  <c r="N1049" i="3" s="1"/>
  <c r="L1048" i="3"/>
  <c r="N1048" i="3" s="1"/>
  <c r="L1047" i="3"/>
  <c r="N1047" i="3" s="1"/>
  <c r="N1046" i="3"/>
  <c r="L1046" i="3"/>
  <c r="L1045" i="3"/>
  <c r="N1045" i="3" s="1"/>
  <c r="N1044" i="3"/>
  <c r="L1044" i="3"/>
  <c r="L1043" i="3"/>
  <c r="N1043" i="3" s="1"/>
  <c r="L1042" i="3"/>
  <c r="N1042" i="3" s="1"/>
  <c r="L1041" i="3"/>
  <c r="N1041" i="3" s="1"/>
  <c r="L1040" i="3"/>
  <c r="N1040" i="3" s="1"/>
  <c r="L1039" i="3"/>
  <c r="N1039" i="3" s="1"/>
  <c r="L1038" i="3"/>
  <c r="N1038" i="3" s="1"/>
  <c r="L1037" i="3"/>
  <c r="N1037" i="3" s="1"/>
  <c r="N1036" i="3"/>
  <c r="L1036" i="3"/>
  <c r="L1035" i="3"/>
  <c r="N1035" i="3" s="1"/>
  <c r="L1034" i="3"/>
  <c r="N1034" i="3" s="1"/>
  <c r="L1033" i="3"/>
  <c r="N1033" i="3" s="1"/>
  <c r="L1032" i="3"/>
  <c r="N1032" i="3" s="1"/>
  <c r="L1031" i="3"/>
  <c r="N1031" i="3" s="1"/>
  <c r="N1030" i="3"/>
  <c r="L1030" i="3"/>
  <c r="L1029" i="3"/>
  <c r="N1029" i="3" s="1"/>
  <c r="N1028" i="3"/>
  <c r="L1028" i="3"/>
  <c r="L1027" i="3"/>
  <c r="N1027" i="3" s="1"/>
  <c r="L1026" i="3"/>
  <c r="N1026" i="3" s="1"/>
  <c r="L1025" i="3"/>
  <c r="N1025" i="3" s="1"/>
  <c r="L1024" i="3"/>
  <c r="N1024" i="3" s="1"/>
  <c r="L1023" i="3"/>
  <c r="N1023" i="3" s="1"/>
  <c r="L1022" i="3"/>
  <c r="N1022" i="3" s="1"/>
  <c r="L1021" i="3"/>
  <c r="N1021" i="3" s="1"/>
  <c r="L1020" i="3"/>
  <c r="N1020" i="3" s="1"/>
  <c r="L1019" i="3"/>
  <c r="N1019" i="3" s="1"/>
  <c r="N1018" i="3"/>
  <c r="L1018" i="3"/>
  <c r="L1017" i="3"/>
  <c r="N1017" i="3" s="1"/>
  <c r="L1016" i="3"/>
  <c r="N1016" i="3" s="1"/>
  <c r="L1015" i="3"/>
  <c r="N1015" i="3" s="1"/>
  <c r="L1014" i="3"/>
  <c r="N1014" i="3" s="1"/>
  <c r="L1013" i="3"/>
  <c r="N1013" i="3" s="1"/>
  <c r="L1012" i="3"/>
  <c r="N1012" i="3" s="1"/>
  <c r="L1011" i="3"/>
  <c r="N1011" i="3" s="1"/>
  <c r="N1010" i="3"/>
  <c r="L1010" i="3"/>
  <c r="L1009" i="3"/>
  <c r="N1009" i="3" s="1"/>
  <c r="N1008" i="3"/>
  <c r="L1008" i="3"/>
  <c r="L1007" i="3"/>
  <c r="N1007" i="3" s="1"/>
  <c r="L1006" i="3"/>
  <c r="N1006" i="3" s="1"/>
  <c r="N1005" i="3"/>
  <c r="L1005" i="3"/>
  <c r="N1004" i="3"/>
  <c r="L1004" i="3"/>
  <c r="L1003" i="3"/>
  <c r="N1003" i="3" s="1"/>
  <c r="N1002" i="3"/>
  <c r="L1002" i="3"/>
  <c r="L1001" i="3"/>
  <c r="N1001" i="3" s="1"/>
  <c r="L1000" i="3"/>
  <c r="N1000" i="3" s="1"/>
  <c r="L999" i="3"/>
  <c r="N999" i="3" s="1"/>
  <c r="L998" i="3"/>
  <c r="N998" i="3" s="1"/>
  <c r="L997" i="3"/>
  <c r="N997" i="3" s="1"/>
  <c r="N996" i="3"/>
  <c r="L996" i="3"/>
  <c r="L995" i="3"/>
  <c r="N995" i="3" s="1"/>
  <c r="N994" i="3"/>
  <c r="L994" i="3"/>
  <c r="N993" i="3"/>
  <c r="L993" i="3"/>
  <c r="L992" i="3"/>
  <c r="N992" i="3" s="1"/>
  <c r="L991" i="3"/>
  <c r="N991" i="3" s="1"/>
  <c r="L990" i="3"/>
  <c r="N990" i="3" s="1"/>
  <c r="N989" i="3"/>
  <c r="L989" i="3"/>
  <c r="N988" i="3"/>
  <c r="L988" i="3"/>
  <c r="L987" i="3"/>
  <c r="N987" i="3" s="1"/>
  <c r="N986" i="3"/>
  <c r="L986" i="3"/>
  <c r="N985" i="3"/>
  <c r="L985" i="3"/>
  <c r="L984" i="3"/>
  <c r="N984" i="3" s="1"/>
  <c r="L983" i="3"/>
  <c r="N983" i="3" s="1"/>
  <c r="L982" i="3"/>
  <c r="N982" i="3" s="1"/>
  <c r="N981" i="3"/>
  <c r="L981" i="3"/>
  <c r="L980" i="3"/>
  <c r="N980" i="3" s="1"/>
  <c r="L979" i="3"/>
  <c r="N979" i="3" s="1"/>
  <c r="L978" i="3"/>
  <c r="N978" i="3" s="1"/>
  <c r="L977" i="3"/>
  <c r="N977" i="3" s="1"/>
  <c r="L976" i="3"/>
  <c r="N976" i="3" s="1"/>
  <c r="L975" i="3"/>
  <c r="N975" i="3" s="1"/>
  <c r="N974" i="3"/>
  <c r="L974" i="3"/>
  <c r="L973" i="3"/>
  <c r="N973" i="3" s="1"/>
  <c r="L972" i="3"/>
  <c r="N972" i="3" s="1"/>
  <c r="L971" i="3"/>
  <c r="N971" i="3" s="1"/>
  <c r="N970" i="3"/>
  <c r="L970" i="3"/>
  <c r="N969" i="3"/>
  <c r="L969" i="3"/>
  <c r="L968" i="3"/>
  <c r="N968" i="3" s="1"/>
  <c r="L967" i="3"/>
  <c r="N967" i="3" s="1"/>
  <c r="L966" i="3"/>
  <c r="N966" i="3" s="1"/>
  <c r="L965" i="3"/>
  <c r="N965" i="3" s="1"/>
  <c r="N964" i="3"/>
  <c r="L964" i="3"/>
  <c r="L963" i="3"/>
  <c r="N963" i="3" s="1"/>
  <c r="L962" i="3"/>
  <c r="N962" i="3" s="1"/>
  <c r="N961" i="3"/>
  <c r="L961" i="3"/>
  <c r="L960" i="3"/>
  <c r="N960" i="3" s="1"/>
  <c r="L959" i="3"/>
  <c r="N959" i="3" s="1"/>
  <c r="L958" i="3"/>
  <c r="N958" i="3" s="1"/>
  <c r="L957" i="3"/>
  <c r="N957" i="3" s="1"/>
  <c r="N956" i="3"/>
  <c r="L956" i="3"/>
  <c r="L955" i="3"/>
  <c r="N955" i="3" s="1"/>
  <c r="N954" i="3"/>
  <c r="L954" i="3"/>
  <c r="N953" i="3"/>
  <c r="L953" i="3"/>
  <c r="L952" i="3"/>
  <c r="N952" i="3" s="1"/>
  <c r="L951" i="3"/>
  <c r="N951" i="3" s="1"/>
  <c r="L950" i="3"/>
  <c r="N950" i="3" s="1"/>
  <c r="N949" i="3"/>
  <c r="L949" i="3"/>
  <c r="L948" i="3"/>
  <c r="N948" i="3" s="1"/>
  <c r="L947" i="3"/>
  <c r="N947" i="3" s="1"/>
  <c r="L946" i="3"/>
  <c r="N946" i="3" s="1"/>
  <c r="L945" i="3"/>
  <c r="N945" i="3" s="1"/>
  <c r="L944" i="3"/>
  <c r="N944" i="3" s="1"/>
  <c r="L943" i="3"/>
  <c r="N943" i="3" s="1"/>
  <c r="N942" i="3"/>
  <c r="L942" i="3"/>
  <c r="L941" i="3"/>
  <c r="N941" i="3" s="1"/>
  <c r="L940" i="3"/>
  <c r="N940" i="3" s="1"/>
  <c r="L939" i="3"/>
  <c r="N939" i="3" s="1"/>
  <c r="N938" i="3"/>
  <c r="L938" i="3"/>
  <c r="N937" i="3"/>
  <c r="L937" i="3"/>
  <c r="L936" i="3"/>
  <c r="N936" i="3" s="1"/>
  <c r="L935" i="3"/>
  <c r="N935" i="3" s="1"/>
  <c r="N934" i="3"/>
  <c r="L934" i="3"/>
  <c r="L933" i="3"/>
  <c r="N933" i="3" s="1"/>
  <c r="L932" i="3"/>
  <c r="N932" i="3" s="1"/>
  <c r="L931" i="3"/>
  <c r="N931" i="3" s="1"/>
  <c r="L930" i="3"/>
  <c r="N930" i="3" s="1"/>
  <c r="N929" i="3"/>
  <c r="L929" i="3"/>
  <c r="L928" i="3"/>
  <c r="N928" i="3" s="1"/>
  <c r="L927" i="3"/>
  <c r="N927" i="3" s="1"/>
  <c r="L926" i="3"/>
  <c r="N926" i="3" s="1"/>
  <c r="L925" i="3"/>
  <c r="N925" i="3" s="1"/>
  <c r="L924" i="3"/>
  <c r="N924" i="3" s="1"/>
  <c r="N923" i="3"/>
  <c r="L923" i="3"/>
  <c r="N922" i="3"/>
  <c r="L922" i="3"/>
  <c r="L921" i="3"/>
  <c r="N921" i="3" s="1"/>
  <c r="L920" i="3"/>
  <c r="N920" i="3" s="1"/>
  <c r="L919" i="3"/>
  <c r="N919" i="3" s="1"/>
  <c r="N918" i="3"/>
  <c r="L918" i="3"/>
  <c r="L917" i="3"/>
  <c r="N917" i="3" s="1"/>
  <c r="N916" i="3"/>
  <c r="L916" i="3"/>
  <c r="L915" i="3"/>
  <c r="N915" i="3" s="1"/>
  <c r="L914" i="3"/>
  <c r="N914" i="3" s="1"/>
  <c r="L913" i="3"/>
  <c r="N913" i="3" s="1"/>
  <c r="L912" i="3"/>
  <c r="N912" i="3" s="1"/>
  <c r="L911" i="3"/>
  <c r="N911" i="3" s="1"/>
  <c r="L910" i="3"/>
  <c r="N910" i="3" s="1"/>
  <c r="L909" i="3"/>
  <c r="N909" i="3" s="1"/>
  <c r="L908" i="3"/>
  <c r="N908" i="3" s="1"/>
  <c r="N907" i="3"/>
  <c r="L907" i="3"/>
  <c r="N906" i="3"/>
  <c r="L906" i="3"/>
  <c r="L905" i="3"/>
  <c r="N905" i="3" s="1"/>
  <c r="L904" i="3"/>
  <c r="N904" i="3" s="1"/>
  <c r="L903" i="3"/>
  <c r="N903" i="3" s="1"/>
  <c r="N902" i="3"/>
  <c r="L902" i="3"/>
  <c r="L901" i="3"/>
  <c r="N901" i="3" s="1"/>
  <c r="N900" i="3"/>
  <c r="L900" i="3"/>
  <c r="L899" i="3"/>
  <c r="N899" i="3" s="1"/>
  <c r="L898" i="3"/>
  <c r="N898" i="3" s="1"/>
  <c r="L897" i="3"/>
  <c r="N897" i="3" s="1"/>
  <c r="L896" i="3"/>
  <c r="N896" i="3" s="1"/>
  <c r="L895" i="3"/>
  <c r="N895" i="3" s="1"/>
  <c r="L894" i="3"/>
  <c r="N894" i="3" s="1"/>
  <c r="L893" i="3"/>
  <c r="N893" i="3" s="1"/>
  <c r="L892" i="3"/>
  <c r="N892" i="3" s="1"/>
  <c r="N891" i="3"/>
  <c r="L891" i="3"/>
  <c r="N890" i="3"/>
  <c r="L890" i="3"/>
  <c r="L889" i="3"/>
  <c r="N889" i="3" s="1"/>
  <c r="L888" i="3"/>
  <c r="N888" i="3" s="1"/>
  <c r="L887" i="3"/>
  <c r="N887" i="3" s="1"/>
  <c r="N886" i="3"/>
  <c r="L886" i="3"/>
  <c r="L885" i="3"/>
  <c r="N885" i="3" s="1"/>
  <c r="N884" i="3"/>
  <c r="L884" i="3"/>
  <c r="L883" i="3"/>
  <c r="N883" i="3" s="1"/>
  <c r="L882" i="3"/>
  <c r="N882" i="3" s="1"/>
  <c r="L881" i="3"/>
  <c r="N881" i="3" s="1"/>
  <c r="L880" i="3"/>
  <c r="N880" i="3" s="1"/>
  <c r="L879" i="3"/>
  <c r="N879" i="3" s="1"/>
  <c r="L878" i="3"/>
  <c r="N878" i="3" s="1"/>
  <c r="L877" i="3"/>
  <c r="N877" i="3" s="1"/>
  <c r="L876" i="3"/>
  <c r="N876" i="3" s="1"/>
  <c r="N875" i="3"/>
  <c r="L875" i="3"/>
  <c r="N874" i="3"/>
  <c r="L874" i="3"/>
  <c r="L873" i="3"/>
  <c r="N873" i="3" s="1"/>
  <c r="L872" i="3"/>
  <c r="N872" i="3" s="1"/>
  <c r="L871" i="3"/>
  <c r="N871" i="3" s="1"/>
  <c r="N870" i="3"/>
  <c r="L870" i="3"/>
  <c r="L869" i="3"/>
  <c r="N869" i="3" s="1"/>
  <c r="N868" i="3"/>
  <c r="L868" i="3"/>
  <c r="L867" i="3"/>
  <c r="N867" i="3" s="1"/>
  <c r="L866" i="3"/>
  <c r="N866" i="3" s="1"/>
  <c r="L865" i="3"/>
  <c r="N865" i="3" s="1"/>
  <c r="L864" i="3"/>
  <c r="N864" i="3" s="1"/>
  <c r="L863" i="3"/>
  <c r="N863" i="3" s="1"/>
  <c r="L862" i="3"/>
  <c r="N862" i="3" s="1"/>
  <c r="L861" i="3"/>
  <c r="N861" i="3" s="1"/>
  <c r="L860" i="3"/>
  <c r="N860" i="3" s="1"/>
  <c r="N859" i="3"/>
  <c r="L859" i="3"/>
  <c r="N858" i="3"/>
  <c r="L858" i="3"/>
  <c r="L857" i="3"/>
  <c r="N857" i="3" s="1"/>
  <c r="L856" i="3"/>
  <c r="N856" i="3" s="1"/>
  <c r="L855" i="3"/>
  <c r="N855" i="3" s="1"/>
  <c r="N854" i="3"/>
  <c r="L854" i="3"/>
  <c r="L853" i="3"/>
  <c r="N853" i="3" s="1"/>
  <c r="L852" i="3"/>
  <c r="N852" i="3" s="1"/>
  <c r="N851" i="3"/>
  <c r="L851" i="3"/>
  <c r="N850" i="3"/>
  <c r="L850" i="3"/>
  <c r="L849" i="3"/>
  <c r="N849" i="3" s="1"/>
  <c r="L848" i="3"/>
  <c r="N848" i="3" s="1"/>
  <c r="L847" i="3"/>
  <c r="N847" i="3" s="1"/>
  <c r="L846" i="3"/>
  <c r="N846" i="3" s="1"/>
  <c r="L845" i="3"/>
  <c r="N845" i="3" s="1"/>
  <c r="N844" i="3"/>
  <c r="L844" i="3"/>
  <c r="L843" i="3"/>
  <c r="N843" i="3" s="1"/>
  <c r="L842" i="3"/>
  <c r="N842" i="3" s="1"/>
  <c r="L841" i="3"/>
  <c r="N841" i="3" s="1"/>
  <c r="L840" i="3"/>
  <c r="N840" i="3" s="1"/>
  <c r="L839" i="3"/>
  <c r="N839" i="3" s="1"/>
  <c r="N838" i="3"/>
  <c r="L838" i="3"/>
  <c r="L837" i="3"/>
  <c r="N837" i="3" s="1"/>
  <c r="L836" i="3"/>
  <c r="N836" i="3" s="1"/>
  <c r="N835" i="3"/>
  <c r="L835" i="3"/>
  <c r="N834" i="3"/>
  <c r="L834" i="3"/>
  <c r="L833" i="3"/>
  <c r="N833" i="3" s="1"/>
  <c r="L832" i="3"/>
  <c r="N832" i="3" s="1"/>
  <c r="L831" i="3"/>
  <c r="N831" i="3" s="1"/>
  <c r="L830" i="3"/>
  <c r="N830" i="3" s="1"/>
  <c r="L829" i="3"/>
  <c r="N829" i="3" s="1"/>
  <c r="L828" i="3"/>
  <c r="N828" i="3" s="1"/>
  <c r="N827" i="3"/>
  <c r="L827" i="3"/>
  <c r="N826" i="3"/>
  <c r="L826" i="3"/>
  <c r="L825" i="3"/>
  <c r="N825" i="3" s="1"/>
  <c r="L824" i="3"/>
  <c r="N824" i="3" s="1"/>
  <c r="L823" i="3"/>
  <c r="N823" i="3" s="1"/>
  <c r="N822" i="3"/>
  <c r="L822" i="3"/>
  <c r="L821" i="3"/>
  <c r="N821" i="3" s="1"/>
  <c r="N820" i="3"/>
  <c r="L820" i="3"/>
  <c r="L819" i="3"/>
  <c r="N819" i="3" s="1"/>
  <c r="N818" i="3"/>
  <c r="L818" i="3"/>
  <c r="L817" i="3"/>
  <c r="N817" i="3" s="1"/>
  <c r="L816" i="3"/>
  <c r="N816" i="3" s="1"/>
  <c r="L815" i="3"/>
  <c r="N815" i="3" s="1"/>
  <c r="N814" i="3"/>
  <c r="L814" i="3"/>
  <c r="L813" i="3"/>
  <c r="N813" i="3" s="1"/>
  <c r="N812" i="3"/>
  <c r="L812" i="3"/>
  <c r="N811" i="3"/>
  <c r="L811" i="3"/>
  <c r="L810" i="3"/>
  <c r="N810" i="3" s="1"/>
  <c r="L809" i="3"/>
  <c r="N809" i="3" s="1"/>
  <c r="L808" i="3"/>
  <c r="N808" i="3" s="1"/>
  <c r="L807" i="3"/>
  <c r="N807" i="3" s="1"/>
  <c r="L806" i="3"/>
  <c r="N806" i="3" s="1"/>
  <c r="L805" i="3"/>
  <c r="N805" i="3" s="1"/>
  <c r="L804" i="3"/>
  <c r="N804" i="3" s="1"/>
  <c r="L803" i="3"/>
  <c r="N803" i="3" s="1"/>
  <c r="N802" i="3"/>
  <c r="L802" i="3"/>
  <c r="L801" i="3"/>
  <c r="N801" i="3" s="1"/>
  <c r="L800" i="3"/>
  <c r="N800" i="3" s="1"/>
  <c r="L799" i="3"/>
  <c r="N799" i="3" s="1"/>
  <c r="N798" i="3"/>
  <c r="L798" i="3"/>
  <c r="L797" i="3"/>
  <c r="N797" i="3" s="1"/>
  <c r="L796" i="3"/>
  <c r="N796" i="3" s="1"/>
  <c r="L795" i="3"/>
  <c r="N795" i="3" s="1"/>
  <c r="N794" i="3"/>
  <c r="L794" i="3"/>
  <c r="L793" i="3"/>
  <c r="N793" i="3" s="1"/>
  <c r="L792" i="3"/>
  <c r="N792" i="3" s="1"/>
  <c r="L791" i="3"/>
  <c r="N791" i="3" s="1"/>
  <c r="N790" i="3"/>
  <c r="L790" i="3"/>
  <c r="L789" i="3"/>
  <c r="N789" i="3" s="1"/>
  <c r="N788" i="3"/>
  <c r="L788" i="3"/>
  <c r="L787" i="3"/>
  <c r="N787" i="3" s="1"/>
  <c r="L786" i="3"/>
  <c r="N786" i="3" s="1"/>
  <c r="L785" i="3"/>
  <c r="N785" i="3" s="1"/>
  <c r="L784" i="3"/>
  <c r="N784" i="3" s="1"/>
  <c r="L783" i="3"/>
  <c r="N783" i="3" s="1"/>
  <c r="N782" i="3"/>
  <c r="L782" i="3"/>
  <c r="L781" i="3"/>
  <c r="N781" i="3" s="1"/>
  <c r="L780" i="3"/>
  <c r="N780" i="3" s="1"/>
  <c r="N779" i="3"/>
  <c r="L779" i="3"/>
  <c r="N778" i="3"/>
  <c r="L778" i="3"/>
  <c r="L777" i="3"/>
  <c r="N777" i="3" s="1"/>
  <c r="L776" i="3"/>
  <c r="N776" i="3" s="1"/>
  <c r="L775" i="3"/>
  <c r="N775" i="3" s="1"/>
  <c r="L774" i="3"/>
  <c r="N774" i="3" s="1"/>
  <c r="L773" i="3"/>
  <c r="N773" i="3" s="1"/>
  <c r="L772" i="3"/>
  <c r="N772" i="3" s="1"/>
  <c r="N771" i="3"/>
  <c r="L771" i="3"/>
  <c r="N770" i="3"/>
  <c r="L770" i="3"/>
  <c r="L769" i="3"/>
  <c r="N769" i="3" s="1"/>
  <c r="N768" i="3"/>
  <c r="L768" i="3"/>
  <c r="L767" i="3"/>
  <c r="N767" i="3" s="1"/>
  <c r="N766" i="3"/>
  <c r="L766" i="3"/>
  <c r="L765" i="3"/>
  <c r="N765" i="3" s="1"/>
  <c r="L764" i="3"/>
  <c r="N764" i="3" s="1"/>
  <c r="L763" i="3"/>
  <c r="N763" i="3" s="1"/>
  <c r="L762" i="3"/>
  <c r="N762" i="3" s="1"/>
  <c r="L761" i="3"/>
  <c r="N761" i="3" s="1"/>
  <c r="L760" i="3"/>
  <c r="N760" i="3" s="1"/>
  <c r="N759" i="3"/>
  <c r="L759" i="3"/>
  <c r="L758" i="3"/>
  <c r="N758" i="3" s="1"/>
  <c r="L757" i="3"/>
  <c r="N757" i="3" s="1"/>
  <c r="N756" i="3"/>
  <c r="L756" i="3"/>
  <c r="L755" i="3"/>
  <c r="N755" i="3" s="1"/>
  <c r="N754" i="3"/>
  <c r="L754" i="3"/>
  <c r="L753" i="3"/>
  <c r="N753" i="3" s="1"/>
  <c r="L752" i="3"/>
  <c r="N752" i="3" s="1"/>
  <c r="L751" i="3"/>
  <c r="N751" i="3" s="1"/>
  <c r="N750" i="3"/>
  <c r="L750" i="3"/>
  <c r="L749" i="3"/>
  <c r="N749" i="3" s="1"/>
  <c r="N748" i="3"/>
  <c r="L748" i="3"/>
  <c r="L747" i="3"/>
  <c r="N747" i="3" s="1"/>
  <c r="L746" i="3"/>
  <c r="N746" i="3" s="1"/>
  <c r="L745" i="3"/>
  <c r="N745" i="3" s="1"/>
  <c r="L744" i="3"/>
  <c r="N744" i="3" s="1"/>
  <c r="L743" i="3"/>
  <c r="N743" i="3" s="1"/>
  <c r="L742" i="3"/>
  <c r="N742" i="3" s="1"/>
  <c r="L741" i="3"/>
  <c r="N741" i="3" s="1"/>
  <c r="N740" i="3"/>
  <c r="L740" i="3"/>
  <c r="L739" i="3"/>
  <c r="N739" i="3" s="1"/>
  <c r="L738" i="3"/>
  <c r="N738" i="3" s="1"/>
  <c r="L737" i="3"/>
  <c r="N737" i="3" s="1"/>
  <c r="L736" i="3"/>
  <c r="N736" i="3" s="1"/>
  <c r="L735" i="3"/>
  <c r="N735" i="3" s="1"/>
  <c r="N734" i="3"/>
  <c r="L734" i="3"/>
  <c r="L733" i="3"/>
  <c r="N733" i="3" s="1"/>
  <c r="L732" i="3"/>
  <c r="N732" i="3" s="1"/>
  <c r="N731" i="3"/>
  <c r="L731" i="3"/>
  <c r="N730" i="3"/>
  <c r="L730" i="3"/>
  <c r="L729" i="3"/>
  <c r="N729" i="3" s="1"/>
  <c r="L728" i="3"/>
  <c r="N728" i="3" s="1"/>
  <c r="L727" i="3"/>
  <c r="N727" i="3" s="1"/>
  <c r="N726" i="3"/>
  <c r="L726" i="3"/>
  <c r="L725" i="3"/>
  <c r="N725" i="3" s="1"/>
  <c r="L724" i="3"/>
  <c r="N724" i="3" s="1"/>
  <c r="L723" i="3"/>
  <c r="N723" i="3" s="1"/>
  <c r="L722" i="3"/>
  <c r="N722" i="3" s="1"/>
  <c r="L721" i="3"/>
  <c r="N721" i="3" s="1"/>
  <c r="L720" i="3"/>
  <c r="N720" i="3" s="1"/>
  <c r="L719" i="3"/>
  <c r="N719" i="3" s="1"/>
  <c r="L718" i="3"/>
  <c r="N718" i="3" s="1"/>
  <c r="L717" i="3"/>
  <c r="N717" i="3" s="1"/>
  <c r="L716" i="3"/>
  <c r="N716" i="3" s="1"/>
  <c r="N715" i="3"/>
  <c r="L715" i="3"/>
  <c r="N714" i="3"/>
  <c r="L714" i="3"/>
  <c r="L713" i="3"/>
  <c r="N713" i="3" s="1"/>
  <c r="L712" i="3"/>
  <c r="N712" i="3" s="1"/>
  <c r="L711" i="3"/>
  <c r="N711" i="3" s="1"/>
  <c r="L710" i="3"/>
  <c r="N710" i="3" s="1"/>
  <c r="L709" i="3"/>
  <c r="N709" i="3" s="1"/>
  <c r="L708" i="3"/>
  <c r="N708" i="3" s="1"/>
  <c r="L707" i="3"/>
  <c r="N707" i="3" s="1"/>
  <c r="N706" i="3"/>
  <c r="L706" i="3"/>
  <c r="L705" i="3"/>
  <c r="N705" i="3" s="1"/>
  <c r="N704" i="3"/>
  <c r="L704" i="3"/>
  <c r="L703" i="3"/>
  <c r="N703" i="3" s="1"/>
  <c r="L702" i="3"/>
  <c r="N702" i="3" s="1"/>
  <c r="L701" i="3"/>
  <c r="N701" i="3" s="1"/>
  <c r="L700" i="3"/>
  <c r="N700" i="3" s="1"/>
  <c r="L699" i="3"/>
  <c r="N699" i="3" s="1"/>
  <c r="L698" i="3"/>
  <c r="N698" i="3" s="1"/>
  <c r="L697" i="3"/>
  <c r="N697" i="3" s="1"/>
  <c r="L696" i="3"/>
  <c r="N696" i="3" s="1"/>
  <c r="N695" i="3"/>
  <c r="L695" i="3"/>
  <c r="L694" i="3"/>
  <c r="N694" i="3" s="1"/>
  <c r="L693" i="3"/>
  <c r="N693" i="3" s="1"/>
  <c r="L692" i="3"/>
  <c r="N692" i="3" s="1"/>
  <c r="L691" i="3"/>
  <c r="N691" i="3" s="1"/>
  <c r="N690" i="3"/>
  <c r="L690" i="3"/>
  <c r="L689" i="3"/>
  <c r="N689" i="3" s="1"/>
  <c r="L688" i="3"/>
  <c r="N688" i="3" s="1"/>
  <c r="L687" i="3"/>
  <c r="N687" i="3" s="1"/>
  <c r="L686" i="3"/>
  <c r="N686" i="3" s="1"/>
  <c r="L685" i="3"/>
  <c r="N685" i="3" s="1"/>
  <c r="L684" i="3"/>
  <c r="N684" i="3" s="1"/>
  <c r="L683" i="3"/>
  <c r="N683" i="3" s="1"/>
  <c r="N682" i="3"/>
  <c r="L682" i="3"/>
  <c r="L681" i="3"/>
  <c r="N681" i="3" s="1"/>
  <c r="L680" i="3"/>
  <c r="N680" i="3" s="1"/>
  <c r="L679" i="3"/>
  <c r="N679" i="3" s="1"/>
  <c r="L678" i="3"/>
  <c r="N678" i="3" s="1"/>
  <c r="L677" i="3"/>
  <c r="N677" i="3" s="1"/>
  <c r="L676" i="3"/>
  <c r="N676" i="3" s="1"/>
  <c r="N675" i="3"/>
  <c r="L675" i="3"/>
  <c r="L674" i="3"/>
  <c r="N674" i="3" s="1"/>
  <c r="L673" i="3"/>
  <c r="N673" i="3" s="1"/>
  <c r="L672" i="3"/>
  <c r="N672" i="3" s="1"/>
  <c r="L671" i="3"/>
  <c r="N671" i="3" s="1"/>
  <c r="L670" i="3"/>
  <c r="N670" i="3" s="1"/>
  <c r="L669" i="3"/>
  <c r="N669" i="3" s="1"/>
  <c r="L668" i="3"/>
  <c r="N668" i="3" s="1"/>
  <c r="L667" i="3"/>
  <c r="N667" i="3" s="1"/>
  <c r="L666" i="3"/>
  <c r="N666" i="3" s="1"/>
  <c r="L665" i="3"/>
  <c r="N665" i="3" s="1"/>
  <c r="L664" i="3"/>
  <c r="N664" i="3" s="1"/>
  <c r="N663" i="3"/>
  <c r="L663" i="3"/>
  <c r="L662" i="3"/>
  <c r="N662" i="3" s="1"/>
  <c r="L661" i="3"/>
  <c r="N661" i="3" s="1"/>
  <c r="L660" i="3"/>
  <c r="N660" i="3" s="1"/>
  <c r="N659" i="3"/>
  <c r="L659" i="3"/>
  <c r="N658" i="3"/>
  <c r="L658" i="3"/>
  <c r="L657" i="3"/>
  <c r="N657" i="3" s="1"/>
  <c r="L656" i="3"/>
  <c r="N656" i="3" s="1"/>
  <c r="L655" i="3"/>
  <c r="N655" i="3" s="1"/>
  <c r="L654" i="3"/>
  <c r="N654" i="3" s="1"/>
  <c r="L653" i="3"/>
  <c r="N653" i="3" s="1"/>
  <c r="L652" i="3"/>
  <c r="N652" i="3" s="1"/>
  <c r="L651" i="3"/>
  <c r="N651" i="3" s="1"/>
  <c r="L650" i="3"/>
  <c r="N650" i="3" s="1"/>
  <c r="L649" i="3"/>
  <c r="N649" i="3" s="1"/>
  <c r="L648" i="3"/>
  <c r="N648" i="3" s="1"/>
  <c r="N647" i="3"/>
  <c r="L647" i="3"/>
  <c r="N646" i="3"/>
  <c r="L646" i="3"/>
  <c r="L645" i="3"/>
  <c r="N645" i="3" s="1"/>
  <c r="L644" i="3"/>
  <c r="N644" i="3" s="1"/>
  <c r="L643" i="3"/>
  <c r="N643" i="3" s="1"/>
  <c r="N642" i="3"/>
  <c r="L642" i="3"/>
  <c r="L641" i="3"/>
  <c r="N641" i="3" s="1"/>
  <c r="L640" i="3"/>
  <c r="N640" i="3" s="1"/>
  <c r="L639" i="3"/>
  <c r="N639" i="3" s="1"/>
  <c r="L638" i="3"/>
  <c r="N638" i="3" s="1"/>
  <c r="L637" i="3"/>
  <c r="N637" i="3" s="1"/>
  <c r="L636" i="3"/>
  <c r="N636" i="3" s="1"/>
  <c r="L635" i="3"/>
  <c r="N635" i="3" s="1"/>
  <c r="N634" i="3"/>
  <c r="L634" i="3"/>
  <c r="L633" i="3"/>
  <c r="N633" i="3" s="1"/>
  <c r="L632" i="3"/>
  <c r="N632" i="3" s="1"/>
  <c r="L631" i="3"/>
  <c r="N631" i="3" s="1"/>
  <c r="L630" i="3"/>
  <c r="N630" i="3" s="1"/>
  <c r="L629" i="3"/>
  <c r="N629" i="3" s="1"/>
  <c r="L628" i="3"/>
  <c r="N628" i="3" s="1"/>
  <c r="N627" i="3"/>
  <c r="L627" i="3"/>
  <c r="L626" i="3"/>
  <c r="N626" i="3" s="1"/>
  <c r="L625" i="3"/>
  <c r="N625" i="3" s="1"/>
  <c r="L624" i="3"/>
  <c r="N624" i="3" s="1"/>
  <c r="N623" i="3"/>
  <c r="L623" i="3"/>
  <c r="N622" i="3"/>
  <c r="L622" i="3"/>
  <c r="L621" i="3"/>
  <c r="N621" i="3" s="1"/>
  <c r="L620" i="3"/>
  <c r="N620" i="3" s="1"/>
  <c r="L619" i="3"/>
  <c r="N619" i="3" s="1"/>
  <c r="N618" i="3"/>
  <c r="L618" i="3"/>
  <c r="L617" i="3"/>
  <c r="N617" i="3" s="1"/>
  <c r="L616" i="3"/>
  <c r="N616" i="3" s="1"/>
  <c r="L615" i="3"/>
  <c r="N615" i="3" s="1"/>
  <c r="N614" i="3"/>
  <c r="L614" i="3"/>
  <c r="L613" i="3"/>
  <c r="N613" i="3" s="1"/>
  <c r="L612" i="3"/>
  <c r="N612" i="3" s="1"/>
  <c r="L611" i="3"/>
  <c r="N611" i="3" s="1"/>
  <c r="L610" i="3"/>
  <c r="N610" i="3" s="1"/>
  <c r="L609" i="3"/>
  <c r="N609" i="3" s="1"/>
  <c r="L608" i="3"/>
  <c r="N608" i="3" s="1"/>
  <c r="L607" i="3"/>
  <c r="N607" i="3" s="1"/>
  <c r="N606" i="3"/>
  <c r="L606" i="3"/>
  <c r="L605" i="3"/>
  <c r="N605" i="3" s="1"/>
  <c r="L604" i="3"/>
  <c r="N604" i="3" s="1"/>
  <c r="L603" i="3"/>
  <c r="N603" i="3" s="1"/>
  <c r="N602" i="3"/>
  <c r="L602" i="3"/>
  <c r="L601" i="3"/>
  <c r="N601" i="3" s="1"/>
  <c r="L600" i="3"/>
  <c r="N600" i="3" s="1"/>
  <c r="L599" i="3"/>
  <c r="N599" i="3" s="1"/>
  <c r="L598" i="3"/>
  <c r="N598" i="3" s="1"/>
  <c r="L597" i="3"/>
  <c r="N597" i="3" s="1"/>
  <c r="L596" i="3"/>
  <c r="N596" i="3" s="1"/>
  <c r="N595" i="3"/>
  <c r="L595" i="3"/>
  <c r="L594" i="3"/>
  <c r="N594" i="3" s="1"/>
  <c r="L593" i="3"/>
  <c r="N593" i="3" s="1"/>
  <c r="L592" i="3"/>
  <c r="N592" i="3" s="1"/>
  <c r="L591" i="3"/>
  <c r="N591" i="3" s="1"/>
  <c r="L590" i="3"/>
  <c r="N590" i="3" s="1"/>
  <c r="L589" i="3"/>
  <c r="N589" i="3" s="1"/>
  <c r="L588" i="3"/>
  <c r="N588" i="3" s="1"/>
  <c r="L587" i="3"/>
  <c r="N587" i="3" s="1"/>
  <c r="L586" i="3"/>
  <c r="N586" i="3" s="1"/>
  <c r="L585" i="3"/>
  <c r="N585" i="3" s="1"/>
  <c r="L584" i="3"/>
  <c r="N584" i="3" s="1"/>
  <c r="N583" i="3"/>
  <c r="L583" i="3"/>
  <c r="L582" i="3"/>
  <c r="N582" i="3" s="1"/>
  <c r="L581" i="3"/>
  <c r="N581" i="3" s="1"/>
  <c r="L580" i="3"/>
  <c r="N580" i="3" s="1"/>
  <c r="N579" i="3"/>
  <c r="L579" i="3"/>
  <c r="N578" i="3"/>
  <c r="L578" i="3"/>
  <c r="L577" i="3"/>
  <c r="N577" i="3" s="1"/>
  <c r="L576" i="3"/>
  <c r="N576" i="3" s="1"/>
  <c r="L575" i="3"/>
  <c r="N575" i="3" s="1"/>
  <c r="L574" i="3"/>
  <c r="N574" i="3" s="1"/>
  <c r="L573" i="3"/>
  <c r="N573" i="3" s="1"/>
  <c r="L572" i="3"/>
  <c r="N572" i="3" s="1"/>
  <c r="L571" i="3"/>
  <c r="N571" i="3" s="1"/>
  <c r="L570" i="3"/>
  <c r="N570" i="3" s="1"/>
  <c r="L569" i="3"/>
  <c r="N569" i="3" s="1"/>
  <c r="L568" i="3"/>
  <c r="N568" i="3" s="1"/>
  <c r="N567" i="3"/>
  <c r="L567" i="3"/>
  <c r="N566" i="3"/>
  <c r="L566" i="3"/>
  <c r="L565" i="3"/>
  <c r="N565" i="3" s="1"/>
  <c r="L564" i="3"/>
  <c r="N564" i="3" s="1"/>
  <c r="L563" i="3"/>
  <c r="N563" i="3" s="1"/>
  <c r="N562" i="3"/>
  <c r="L562" i="3"/>
  <c r="L561" i="3"/>
  <c r="N561" i="3" s="1"/>
  <c r="L560" i="3"/>
  <c r="N560" i="3" s="1"/>
  <c r="L559" i="3"/>
  <c r="N559" i="3" s="1"/>
  <c r="L558" i="3"/>
  <c r="N558" i="3" s="1"/>
  <c r="L557" i="3"/>
  <c r="N557" i="3" s="1"/>
  <c r="L556" i="3"/>
  <c r="N556" i="3" s="1"/>
  <c r="L555" i="3"/>
  <c r="N555" i="3" s="1"/>
  <c r="N554" i="3"/>
  <c r="L554" i="3"/>
  <c r="L553" i="3"/>
  <c r="N553" i="3" s="1"/>
  <c r="L552" i="3"/>
  <c r="N552" i="3" s="1"/>
  <c r="L551" i="3"/>
  <c r="N551" i="3" s="1"/>
  <c r="L550" i="3"/>
  <c r="N550" i="3" s="1"/>
  <c r="L549" i="3"/>
  <c r="N549" i="3" s="1"/>
  <c r="L548" i="3"/>
  <c r="N548" i="3" s="1"/>
  <c r="N547" i="3"/>
  <c r="L547" i="3"/>
  <c r="L546" i="3"/>
  <c r="N546" i="3" s="1"/>
  <c r="L545" i="3"/>
  <c r="N545" i="3" s="1"/>
  <c r="L544" i="3"/>
  <c r="N544" i="3" s="1"/>
  <c r="L543" i="3"/>
  <c r="N543" i="3" s="1"/>
  <c r="L542" i="3"/>
  <c r="N542" i="3" s="1"/>
  <c r="L541" i="3"/>
  <c r="N541" i="3" s="1"/>
  <c r="L540" i="3"/>
  <c r="N540" i="3" s="1"/>
  <c r="L539" i="3"/>
  <c r="N539" i="3" s="1"/>
  <c r="L538" i="3"/>
  <c r="N538" i="3" s="1"/>
  <c r="L537" i="3"/>
  <c r="N537" i="3" s="1"/>
  <c r="L536" i="3"/>
  <c r="N536" i="3" s="1"/>
  <c r="N535" i="3"/>
  <c r="L535" i="3"/>
  <c r="L534" i="3"/>
  <c r="N534" i="3" s="1"/>
  <c r="L533" i="3"/>
  <c r="N533" i="3" s="1"/>
  <c r="L532" i="3"/>
  <c r="N532" i="3" s="1"/>
  <c r="N531" i="3"/>
  <c r="L531" i="3"/>
  <c r="N530" i="3"/>
  <c r="L530" i="3"/>
  <c r="L529" i="3"/>
  <c r="N529" i="3" s="1"/>
  <c r="L528" i="3"/>
  <c r="N528" i="3" s="1"/>
  <c r="L527" i="3"/>
  <c r="N527" i="3" s="1"/>
  <c r="N526" i="3"/>
  <c r="L526" i="3"/>
  <c r="L525" i="3"/>
  <c r="N525" i="3" s="1"/>
  <c r="L524" i="3"/>
  <c r="N524" i="3" s="1"/>
  <c r="L523" i="3"/>
  <c r="N523" i="3" s="1"/>
  <c r="L522" i="3"/>
  <c r="N522" i="3" s="1"/>
  <c r="L521" i="3"/>
  <c r="N521" i="3" s="1"/>
  <c r="L520" i="3"/>
  <c r="N520" i="3" s="1"/>
  <c r="N519" i="3"/>
  <c r="L519" i="3"/>
  <c r="N518" i="3"/>
  <c r="L518" i="3"/>
  <c r="L517" i="3"/>
  <c r="N517" i="3" s="1"/>
  <c r="L516" i="3"/>
  <c r="N516" i="3" s="1"/>
  <c r="L515" i="3"/>
  <c r="N515" i="3" s="1"/>
  <c r="N514" i="3"/>
  <c r="L514" i="3"/>
  <c r="L513" i="3"/>
  <c r="N513" i="3" s="1"/>
  <c r="L512" i="3"/>
  <c r="N512" i="3" s="1"/>
  <c r="L511" i="3"/>
  <c r="N511" i="3" s="1"/>
  <c r="L510" i="3"/>
  <c r="N510" i="3" s="1"/>
  <c r="L509" i="3"/>
  <c r="N509" i="3" s="1"/>
  <c r="L508" i="3"/>
  <c r="N508" i="3" s="1"/>
  <c r="L507" i="3"/>
  <c r="N507" i="3" s="1"/>
  <c r="L506" i="3"/>
  <c r="N506" i="3" s="1"/>
  <c r="M505" i="3"/>
  <c r="L505" i="3"/>
  <c r="N504" i="3"/>
  <c r="L504" i="3"/>
  <c r="L503" i="3"/>
  <c r="N503" i="3" s="1"/>
  <c r="L502" i="3"/>
  <c r="N502" i="3" s="1"/>
  <c r="L501" i="3"/>
  <c r="N501" i="3" s="1"/>
  <c r="L500" i="3"/>
  <c r="N500" i="3" s="1"/>
  <c r="L499" i="3"/>
  <c r="N499" i="3" s="1"/>
  <c r="N498" i="3"/>
  <c r="L498" i="3"/>
  <c r="L497" i="3"/>
  <c r="N497" i="3" s="1"/>
  <c r="L496" i="3"/>
  <c r="N496" i="3" s="1"/>
  <c r="L495" i="3"/>
  <c r="N495" i="3" s="1"/>
  <c r="L494" i="3"/>
  <c r="N494" i="3" s="1"/>
  <c r="L493" i="3"/>
  <c r="N493" i="3" s="1"/>
  <c r="L492" i="3"/>
  <c r="N492" i="3" s="1"/>
  <c r="L491" i="3"/>
  <c r="N491" i="3" s="1"/>
  <c r="L490" i="3"/>
  <c r="N490" i="3" s="1"/>
  <c r="L489" i="3"/>
  <c r="N489" i="3" s="1"/>
  <c r="L488" i="3"/>
  <c r="N488" i="3" s="1"/>
  <c r="N487" i="3"/>
  <c r="L487" i="3"/>
  <c r="L486" i="3"/>
  <c r="N486" i="3" s="1"/>
  <c r="L485" i="3"/>
  <c r="N485" i="3" s="1"/>
  <c r="L484" i="3"/>
  <c r="N484" i="3" s="1"/>
  <c r="L483" i="3"/>
  <c r="N483" i="3" s="1"/>
  <c r="L482" i="3"/>
  <c r="N482" i="3" s="1"/>
  <c r="L481" i="3"/>
  <c r="N481" i="3" s="1"/>
  <c r="L480" i="3"/>
  <c r="N480" i="3" s="1"/>
  <c r="N479" i="3"/>
  <c r="L479" i="3"/>
  <c r="L478" i="3"/>
  <c r="N478" i="3" s="1"/>
  <c r="L477" i="3"/>
  <c r="N477" i="3" s="1"/>
  <c r="L476" i="3"/>
  <c r="N476" i="3" s="1"/>
  <c r="N475" i="3"/>
  <c r="L475" i="3"/>
  <c r="L474" i="3"/>
  <c r="N474" i="3" s="1"/>
  <c r="L473" i="3"/>
  <c r="N473" i="3" s="1"/>
  <c r="L472" i="3"/>
  <c r="N472" i="3" s="1"/>
  <c r="L471" i="3"/>
  <c r="N471" i="3" s="1"/>
  <c r="L470" i="3"/>
  <c r="N470" i="3" s="1"/>
  <c r="L469" i="3"/>
  <c r="N469" i="3" s="1"/>
  <c r="L468" i="3"/>
  <c r="N468" i="3" s="1"/>
  <c r="L467" i="3"/>
  <c r="N467" i="3" s="1"/>
  <c r="L466" i="3"/>
  <c r="N466" i="3" s="1"/>
  <c r="L465" i="3"/>
  <c r="N465" i="3" s="1"/>
  <c r="L464" i="3"/>
  <c r="N464" i="3" s="1"/>
  <c r="N463" i="3"/>
  <c r="L463" i="3"/>
  <c r="L462" i="3"/>
  <c r="N462" i="3" s="1"/>
  <c r="L461" i="3"/>
  <c r="N461" i="3" s="1"/>
  <c r="L460" i="3"/>
  <c r="N460" i="3" s="1"/>
  <c r="L459" i="3"/>
  <c r="N459" i="3" s="1"/>
  <c r="L458" i="3"/>
  <c r="N458" i="3" s="1"/>
  <c r="L457" i="3"/>
  <c r="N457" i="3" s="1"/>
  <c r="L456" i="3"/>
  <c r="N456" i="3" s="1"/>
  <c r="N455" i="3"/>
  <c r="L455" i="3"/>
  <c r="L454" i="3"/>
  <c r="N454" i="3" s="1"/>
  <c r="L453" i="3"/>
  <c r="N453" i="3" s="1"/>
  <c r="L452" i="3"/>
  <c r="N452" i="3" s="1"/>
  <c r="N451" i="3"/>
  <c r="L451" i="3"/>
  <c r="L450" i="3"/>
  <c r="N450" i="3" s="1"/>
  <c r="L449" i="3"/>
  <c r="N449" i="3" s="1"/>
  <c r="L448" i="3"/>
  <c r="N448" i="3" s="1"/>
  <c r="N447" i="3"/>
  <c r="L447" i="3"/>
  <c r="L446" i="3"/>
  <c r="N446" i="3" s="1"/>
  <c r="L445" i="3"/>
  <c r="N445" i="3" s="1"/>
  <c r="L444" i="3"/>
  <c r="N444" i="3" s="1"/>
  <c r="N443" i="3"/>
  <c r="L443" i="3"/>
  <c r="L442" i="3"/>
  <c r="N442" i="3" s="1"/>
  <c r="L441" i="3"/>
  <c r="N441" i="3" s="1"/>
  <c r="L440" i="3"/>
  <c r="N440" i="3" s="1"/>
  <c r="N439" i="3"/>
  <c r="L439" i="3"/>
  <c r="L438" i="3"/>
  <c r="N438" i="3" s="1"/>
  <c r="L437" i="3"/>
  <c r="N437" i="3" s="1"/>
  <c r="L436" i="3"/>
  <c r="N436" i="3" s="1"/>
  <c r="L435" i="3"/>
  <c r="N435" i="3" s="1"/>
  <c r="L434" i="3"/>
  <c r="N434" i="3" s="1"/>
  <c r="L433" i="3"/>
  <c r="N433" i="3" s="1"/>
  <c r="L432" i="3"/>
  <c r="N432" i="3" s="1"/>
  <c r="N431" i="3"/>
  <c r="L431" i="3"/>
  <c r="L430" i="3"/>
  <c r="N430" i="3" s="1"/>
  <c r="L429" i="3"/>
  <c r="N429" i="3" s="1"/>
  <c r="L428" i="3"/>
  <c r="N428" i="3" s="1"/>
  <c r="L427" i="3"/>
  <c r="N427" i="3" s="1"/>
  <c r="L426" i="3"/>
  <c r="N426" i="3" s="1"/>
  <c r="L425" i="3"/>
  <c r="N425" i="3" s="1"/>
  <c r="L424" i="3"/>
  <c r="N424" i="3" s="1"/>
  <c r="L423" i="3"/>
  <c r="N423" i="3" s="1"/>
  <c r="L422" i="3"/>
  <c r="N422" i="3" s="1"/>
  <c r="L421" i="3"/>
  <c r="N421" i="3" s="1"/>
  <c r="N420" i="3"/>
  <c r="L420" i="3"/>
  <c r="L419" i="3"/>
  <c r="N419" i="3" s="1"/>
  <c r="L418" i="3"/>
  <c r="N418" i="3" s="1"/>
  <c r="L417" i="3"/>
  <c r="N417" i="3" s="1"/>
  <c r="L416" i="3"/>
  <c r="N416" i="3" s="1"/>
  <c r="N415" i="3"/>
  <c r="L415" i="3"/>
  <c r="L414" i="3"/>
  <c r="N414" i="3" s="1"/>
  <c r="L413" i="3"/>
  <c r="N413" i="3" s="1"/>
  <c r="N412" i="3"/>
  <c r="L412" i="3"/>
  <c r="N411" i="3"/>
  <c r="L411" i="3"/>
  <c r="L410" i="3"/>
  <c r="N410" i="3" s="1"/>
  <c r="L409" i="3"/>
  <c r="N409" i="3" s="1"/>
  <c r="L408" i="3"/>
  <c r="N408" i="3" s="1"/>
  <c r="N407" i="3"/>
  <c r="L407" i="3"/>
  <c r="L406" i="3"/>
  <c r="N406" i="3" s="1"/>
  <c r="N405" i="3"/>
  <c r="L405" i="3"/>
  <c r="N404" i="3"/>
  <c r="L404" i="3"/>
  <c r="L403" i="3"/>
  <c r="N403" i="3" s="1"/>
  <c r="L402" i="3"/>
  <c r="N402" i="3" s="1"/>
  <c r="N401" i="3"/>
  <c r="L401" i="3"/>
  <c r="L400" i="3"/>
  <c r="N400" i="3" s="1"/>
  <c r="L399" i="3"/>
  <c r="N399" i="3" s="1"/>
  <c r="L398" i="3"/>
  <c r="N398" i="3" s="1"/>
  <c r="L397" i="3"/>
  <c r="N397" i="3" s="1"/>
  <c r="N396" i="3"/>
  <c r="L396" i="3"/>
  <c r="L395" i="3"/>
  <c r="N395" i="3" s="1"/>
  <c r="L394" i="3"/>
  <c r="N394" i="3" s="1"/>
  <c r="L393" i="3"/>
  <c r="N393" i="3" s="1"/>
  <c r="N392" i="3"/>
  <c r="L392" i="3"/>
  <c r="N391" i="3"/>
  <c r="L391" i="3"/>
  <c r="L390" i="3"/>
  <c r="N390" i="3" s="1"/>
  <c r="L389" i="3"/>
  <c r="N389" i="3" s="1"/>
  <c r="L388" i="3"/>
  <c r="N388" i="3" s="1"/>
  <c r="N387" i="3"/>
  <c r="L387" i="3"/>
  <c r="L386" i="3"/>
  <c r="N386" i="3" s="1"/>
  <c r="N385" i="3"/>
  <c r="L385" i="3"/>
  <c r="N384" i="3"/>
  <c r="L384" i="3"/>
  <c r="L383" i="3"/>
  <c r="N383" i="3" s="1"/>
  <c r="L382" i="3"/>
  <c r="N382" i="3" s="1"/>
  <c r="L381" i="3"/>
  <c r="N381" i="3" s="1"/>
  <c r="N380" i="3"/>
  <c r="L380" i="3"/>
  <c r="N379" i="3"/>
  <c r="L379" i="3"/>
  <c r="L378" i="3"/>
  <c r="N378" i="3" s="1"/>
  <c r="L377" i="3"/>
  <c r="N377" i="3" s="1"/>
  <c r="L376" i="3"/>
  <c r="N376" i="3" s="1"/>
  <c r="N375" i="3"/>
  <c r="L375" i="3"/>
  <c r="L374" i="3"/>
  <c r="N374" i="3" s="1"/>
  <c r="L373" i="3"/>
  <c r="N373" i="3" s="1"/>
  <c r="N372" i="3"/>
  <c r="L372" i="3"/>
  <c r="N371" i="3"/>
  <c r="L371" i="3"/>
  <c r="L370" i="3"/>
  <c r="N370" i="3" s="1"/>
  <c r="N369" i="3"/>
  <c r="L369" i="3"/>
  <c r="L368" i="3"/>
  <c r="N368" i="3" s="1"/>
  <c r="L367" i="3"/>
  <c r="N367" i="3" s="1"/>
  <c r="L366" i="3"/>
  <c r="L365" i="3"/>
  <c r="N365" i="3" s="1"/>
  <c r="L364" i="3"/>
  <c r="N364" i="3" s="1"/>
  <c r="L363" i="3"/>
  <c r="N363" i="3" s="1"/>
  <c r="L362" i="3"/>
  <c r="N362" i="3" s="1"/>
  <c r="L361" i="3"/>
  <c r="N361" i="3" s="1"/>
  <c r="L360" i="3"/>
  <c r="N360" i="3" s="1"/>
  <c r="N359" i="3"/>
  <c r="L359" i="3"/>
  <c r="L358" i="3"/>
  <c r="N358" i="3" s="1"/>
  <c r="L357" i="3"/>
  <c r="N357" i="3" s="1"/>
  <c r="L356" i="3"/>
  <c r="N356" i="3" s="1"/>
  <c r="N355" i="3"/>
  <c r="L355" i="3"/>
  <c r="L354" i="3"/>
  <c r="N354" i="3" s="1"/>
  <c r="N353" i="3"/>
  <c r="L353" i="3"/>
  <c r="L352" i="3"/>
  <c r="N352" i="3" s="1"/>
  <c r="L351" i="3"/>
  <c r="N351" i="3" s="1"/>
  <c r="L350" i="3"/>
  <c r="N350" i="3" s="1"/>
  <c r="L349" i="3"/>
  <c r="N349" i="3" s="1"/>
  <c r="L348" i="3"/>
  <c r="N348" i="3" s="1"/>
  <c r="N347" i="3"/>
  <c r="L347" i="3"/>
  <c r="L346" i="3"/>
  <c r="N346" i="3" s="1"/>
  <c r="L345" i="3"/>
  <c r="N345" i="3" s="1"/>
  <c r="L344" i="3"/>
  <c r="N344" i="3" s="1"/>
  <c r="N343" i="3"/>
  <c r="L343" i="3"/>
  <c r="L342" i="3"/>
  <c r="N342" i="3" s="1"/>
  <c r="L341" i="3"/>
  <c r="N341" i="3" s="1"/>
  <c r="L340" i="3"/>
  <c r="N340" i="3" s="1"/>
  <c r="N339" i="3"/>
  <c r="L339" i="3"/>
  <c r="L338" i="3"/>
  <c r="N338" i="3" s="1"/>
  <c r="N337" i="3"/>
  <c r="L337" i="3"/>
  <c r="L336" i="3"/>
  <c r="N336" i="3" s="1"/>
  <c r="N335" i="3"/>
  <c r="L335" i="3"/>
  <c r="L334" i="3"/>
  <c r="N334" i="3" s="1"/>
  <c r="L333" i="3"/>
  <c r="N333" i="3" s="1"/>
  <c r="L332" i="3"/>
  <c r="N332" i="3" s="1"/>
  <c r="N331" i="3"/>
  <c r="L331" i="3"/>
  <c r="L330" i="3"/>
  <c r="N330" i="3" s="1"/>
  <c r="L329" i="3"/>
  <c r="N329" i="3" s="1"/>
  <c r="L328" i="3"/>
  <c r="N328" i="3" s="1"/>
  <c r="N327" i="3"/>
  <c r="L327" i="3"/>
  <c r="L326" i="3"/>
  <c r="N326" i="3" s="1"/>
  <c r="L325" i="3"/>
  <c r="N325" i="3" s="1"/>
  <c r="L324" i="3"/>
  <c r="N324" i="3" s="1"/>
  <c r="N323" i="3"/>
  <c r="L323" i="3"/>
  <c r="L322" i="3"/>
  <c r="N322" i="3" s="1"/>
  <c r="N321" i="3"/>
  <c r="L321" i="3"/>
  <c r="L320" i="3"/>
  <c r="N320" i="3" s="1"/>
  <c r="N319" i="3"/>
  <c r="L319" i="3"/>
  <c r="L318" i="3"/>
  <c r="N318" i="3" s="1"/>
  <c r="L317" i="3"/>
  <c r="N317" i="3" s="1"/>
  <c r="L316" i="3"/>
  <c r="N316" i="3" s="1"/>
  <c r="N315" i="3"/>
  <c r="L315" i="3"/>
  <c r="L314" i="3"/>
  <c r="N314" i="3" s="1"/>
  <c r="L313" i="3"/>
  <c r="N313" i="3" s="1"/>
  <c r="L312" i="3"/>
  <c r="N312" i="3" s="1"/>
  <c r="N311" i="3"/>
  <c r="L311" i="3"/>
  <c r="L310" i="3"/>
  <c r="N310" i="3" s="1"/>
  <c r="L309" i="3"/>
  <c r="N309" i="3" s="1"/>
  <c r="L308" i="3"/>
  <c r="N308" i="3" s="1"/>
  <c r="L307" i="3"/>
  <c r="L306" i="3"/>
  <c r="N306" i="3" s="1"/>
  <c r="L305" i="3"/>
  <c r="N305" i="3" s="1"/>
  <c r="L304" i="3"/>
  <c r="N304" i="3" s="1"/>
  <c r="L303" i="3"/>
  <c r="N303" i="3" s="1"/>
  <c r="L302" i="3"/>
  <c r="N302" i="3" s="1"/>
  <c r="N301" i="3"/>
  <c r="L301" i="3"/>
  <c r="L300" i="3"/>
  <c r="N300" i="3" s="1"/>
  <c r="L299" i="3"/>
  <c r="N299" i="3" s="1"/>
  <c r="L298" i="3"/>
  <c r="N298" i="3" s="1"/>
  <c r="N297" i="3"/>
  <c r="L297" i="3"/>
  <c r="N296" i="3"/>
  <c r="L296" i="3"/>
  <c r="L295" i="3"/>
  <c r="L294" i="3"/>
  <c r="M294" i="3" s="1"/>
  <c r="N294" i="3" s="1"/>
  <c r="L293" i="3"/>
  <c r="M293" i="3" s="1"/>
  <c r="N293" i="3" s="1"/>
  <c r="L292" i="3"/>
  <c r="M292" i="3" s="1"/>
  <c r="L291" i="3"/>
  <c r="M291" i="3" s="1"/>
  <c r="L290" i="3"/>
  <c r="N290" i="3" s="1"/>
  <c r="L289" i="3"/>
  <c r="N289" i="3" s="1"/>
  <c r="L288" i="3"/>
  <c r="N288" i="3" s="1"/>
  <c r="L287" i="3"/>
  <c r="N287" i="3" s="1"/>
  <c r="L286" i="3"/>
  <c r="N286" i="3" s="1"/>
  <c r="L285" i="3"/>
  <c r="N285" i="3" s="1"/>
  <c r="L284" i="3"/>
  <c r="N284" i="3" s="1"/>
  <c r="L283" i="3"/>
  <c r="N283" i="3" s="1"/>
  <c r="L282" i="3"/>
  <c r="N282" i="3" s="1"/>
  <c r="L281" i="3"/>
  <c r="N281" i="3" s="1"/>
  <c r="L280" i="3"/>
  <c r="N280" i="3" s="1"/>
  <c r="L279" i="3"/>
  <c r="N279" i="3" s="1"/>
  <c r="L278" i="3"/>
  <c r="N278" i="3" s="1"/>
  <c r="L277" i="3"/>
  <c r="N277" i="3" s="1"/>
  <c r="L276" i="3"/>
  <c r="N276" i="3" s="1"/>
  <c r="L275" i="3"/>
  <c r="N275" i="3" s="1"/>
  <c r="N274" i="3"/>
  <c r="L274" i="3"/>
  <c r="L273" i="3"/>
  <c r="N273" i="3" s="1"/>
  <c r="L272" i="3"/>
  <c r="N272" i="3" s="1"/>
  <c r="L271" i="3"/>
  <c r="N271" i="3" s="1"/>
  <c r="L270" i="3"/>
  <c r="N270" i="3" s="1"/>
  <c r="L269" i="3"/>
  <c r="N269" i="3" s="1"/>
  <c r="L268" i="3"/>
  <c r="N268" i="3" s="1"/>
  <c r="L267" i="3"/>
  <c r="N267" i="3" s="1"/>
  <c r="L266" i="3"/>
  <c r="N266" i="3" s="1"/>
  <c r="L265" i="3"/>
  <c r="N265" i="3" s="1"/>
  <c r="L264" i="3"/>
  <c r="N264" i="3" s="1"/>
  <c r="L263" i="3"/>
  <c r="N263" i="3" s="1"/>
  <c r="N262" i="3"/>
  <c r="L262" i="3"/>
  <c r="L261" i="3"/>
  <c r="N261" i="3" s="1"/>
  <c r="L260" i="3"/>
  <c r="N260" i="3" s="1"/>
  <c r="L259" i="3"/>
  <c r="N259" i="3" s="1"/>
  <c r="N258" i="3"/>
  <c r="L258" i="3"/>
  <c r="N257" i="3"/>
  <c r="L257" i="3"/>
  <c r="L256" i="3"/>
  <c r="N256" i="3" s="1"/>
  <c r="L255" i="3"/>
  <c r="N255" i="3" s="1"/>
  <c r="L254" i="3"/>
  <c r="N254" i="3" s="1"/>
  <c r="L253" i="3"/>
  <c r="N253" i="3" s="1"/>
  <c r="L252" i="3"/>
  <c r="N252" i="3" s="1"/>
  <c r="L251" i="3"/>
  <c r="N251" i="3" s="1"/>
  <c r="L250" i="3"/>
  <c r="N250" i="3" s="1"/>
  <c r="L249" i="3"/>
  <c r="N249" i="3" s="1"/>
  <c r="L248" i="3"/>
  <c r="N248" i="3" s="1"/>
  <c r="L247" i="3"/>
  <c r="N247" i="3" s="1"/>
  <c r="N246" i="3"/>
  <c r="L246" i="3"/>
  <c r="L245" i="3"/>
  <c r="N245" i="3" s="1"/>
  <c r="L244" i="3"/>
  <c r="N244" i="3" s="1"/>
  <c r="L243" i="3"/>
  <c r="N243" i="3" s="1"/>
  <c r="L242" i="3"/>
  <c r="N242" i="3" s="1"/>
  <c r="L241" i="3"/>
  <c r="N241" i="3" s="1"/>
  <c r="L240" i="3"/>
  <c r="N240" i="3" s="1"/>
  <c r="L239" i="3"/>
  <c r="N239" i="3" s="1"/>
  <c r="N238" i="3"/>
  <c r="L238" i="3"/>
  <c r="L237" i="3"/>
  <c r="N237" i="3" s="1"/>
  <c r="L236" i="3"/>
  <c r="N236" i="3" s="1"/>
  <c r="L235" i="3"/>
  <c r="N235" i="3" s="1"/>
  <c r="N234" i="3"/>
  <c r="L234" i="3"/>
  <c r="L233" i="3"/>
  <c r="N233" i="3" s="1"/>
  <c r="N232" i="3"/>
  <c r="L232" i="3"/>
  <c r="L231" i="3"/>
  <c r="N231" i="3" s="1"/>
  <c r="N230" i="3"/>
  <c r="L230" i="3"/>
  <c r="N229" i="3"/>
  <c r="L229" i="3"/>
  <c r="L228" i="3"/>
  <c r="N228" i="3" s="1"/>
  <c r="L227" i="3"/>
  <c r="N227" i="3" s="1"/>
  <c r="L226" i="3"/>
  <c r="N226" i="3" s="1"/>
  <c r="N225" i="3"/>
  <c r="L225" i="3"/>
  <c r="L224" i="3"/>
  <c r="N224" i="3" s="1"/>
  <c r="L223" i="3"/>
  <c r="N223" i="3" s="1"/>
  <c r="L222" i="3"/>
  <c r="N222" i="3" s="1"/>
  <c r="L221" i="3"/>
  <c r="N221" i="3" s="1"/>
  <c r="L220" i="3"/>
  <c r="N220" i="3" s="1"/>
  <c r="L219" i="3"/>
  <c r="N219" i="3" s="1"/>
  <c r="N218" i="3"/>
  <c r="L218" i="3"/>
  <c r="L217" i="3"/>
  <c r="N217" i="3" s="1"/>
  <c r="N216" i="3"/>
  <c r="L216" i="3"/>
  <c r="L215" i="3"/>
  <c r="N215" i="3" s="1"/>
  <c r="N214" i="3"/>
  <c r="L214" i="3"/>
  <c r="L213" i="3"/>
  <c r="N213" i="3" s="1"/>
  <c r="L212" i="3"/>
  <c r="N212" i="3" s="1"/>
  <c r="L211" i="3"/>
  <c r="N211" i="3" s="1"/>
  <c r="N210" i="3"/>
  <c r="L210" i="3"/>
  <c r="L209" i="3"/>
  <c r="N209" i="3" s="1"/>
  <c r="L208" i="3"/>
  <c r="M208" i="3" s="1"/>
  <c r="N208" i="3" s="1"/>
  <c r="L207" i="3"/>
  <c r="L206" i="3"/>
  <c r="N206" i="3" s="1"/>
  <c r="L205" i="3"/>
  <c r="N205" i="3" s="1"/>
  <c r="L204" i="3"/>
  <c r="N204" i="3" s="1"/>
  <c r="N203" i="3"/>
  <c r="L203" i="3"/>
  <c r="L202" i="3"/>
  <c r="N202" i="3" s="1"/>
  <c r="L201" i="3"/>
  <c r="N201" i="3" s="1"/>
  <c r="L200" i="3"/>
  <c r="N200" i="3" s="1"/>
  <c r="L199" i="3"/>
  <c r="N199" i="3" s="1"/>
  <c r="L198" i="3"/>
  <c r="N198" i="3" s="1"/>
  <c r="N197" i="3"/>
  <c r="L197" i="3"/>
  <c r="L196" i="3"/>
  <c r="N196" i="3" s="1"/>
  <c r="N195" i="3"/>
  <c r="L195" i="3"/>
  <c r="L194" i="3"/>
  <c r="N194" i="3" s="1"/>
  <c r="L193" i="3"/>
  <c r="N193" i="3" s="1"/>
  <c r="L192" i="3"/>
  <c r="N192" i="3" s="1"/>
  <c r="N191" i="3"/>
  <c r="L191" i="3"/>
  <c r="N190" i="3"/>
  <c r="L190" i="3"/>
  <c r="L189" i="3"/>
  <c r="N189" i="3" s="1"/>
  <c r="L188" i="3"/>
  <c r="N188" i="3" s="1"/>
  <c r="L187" i="3"/>
  <c r="N187" i="3" s="1"/>
  <c r="L186" i="3"/>
  <c r="N186" i="3" s="1"/>
  <c r="L185" i="3"/>
  <c r="N185" i="3" s="1"/>
  <c r="L184" i="3"/>
  <c r="N184" i="3" s="1"/>
  <c r="L183" i="3"/>
  <c r="N183" i="3" s="1"/>
  <c r="L182" i="3"/>
  <c r="N182" i="3" s="1"/>
  <c r="N181" i="3"/>
  <c r="L181" i="3"/>
  <c r="L180" i="3"/>
  <c r="N180" i="3" s="1"/>
  <c r="N179" i="3"/>
  <c r="L179" i="3"/>
  <c r="L178" i="3"/>
  <c r="N178" i="3" s="1"/>
  <c r="L177" i="3"/>
  <c r="N177" i="3" s="1"/>
  <c r="L176" i="3"/>
  <c r="N176" i="3" s="1"/>
  <c r="N175" i="3"/>
  <c r="L175" i="3"/>
  <c r="L174" i="3"/>
  <c r="N174" i="3" s="1"/>
  <c r="L173" i="3"/>
  <c r="N173" i="3" s="1"/>
  <c r="L172" i="3"/>
  <c r="N172" i="3" s="1"/>
  <c r="N171" i="3"/>
  <c r="L171" i="3"/>
  <c r="L170" i="3"/>
  <c r="N170" i="3" s="1"/>
  <c r="L169" i="3"/>
  <c r="N169" i="3" s="1"/>
  <c r="L168" i="3"/>
  <c r="N168" i="3" s="1"/>
  <c r="N167" i="3"/>
  <c r="L167" i="3"/>
  <c r="L166" i="3"/>
  <c r="N166" i="3" s="1"/>
  <c r="N165" i="3"/>
  <c r="L165" i="3"/>
  <c r="L164" i="3"/>
  <c r="N164" i="3" s="1"/>
  <c r="N163" i="3"/>
  <c r="L163" i="3"/>
  <c r="N162" i="3"/>
  <c r="L162" i="3"/>
  <c r="L161" i="3"/>
  <c r="N161" i="3" s="1"/>
  <c r="L160" i="3"/>
  <c r="N160" i="3" s="1"/>
  <c r="L159" i="3"/>
  <c r="N159" i="3" s="1"/>
  <c r="N158" i="3"/>
  <c r="L158" i="3"/>
  <c r="L157" i="3"/>
  <c r="N157" i="3" s="1"/>
  <c r="L156" i="3"/>
  <c r="N156" i="3" s="1"/>
  <c r="L155" i="3"/>
  <c r="N155" i="3" s="1"/>
  <c r="L154" i="3"/>
  <c r="N154" i="3" s="1"/>
  <c r="N153" i="3"/>
  <c r="L153" i="3"/>
  <c r="L152" i="3"/>
  <c r="N152" i="3" s="1"/>
  <c r="N151" i="3"/>
  <c r="L151" i="3"/>
  <c r="L150" i="3"/>
  <c r="N150" i="3" s="1"/>
  <c r="N149" i="3"/>
  <c r="L149" i="3"/>
  <c r="L148" i="3"/>
  <c r="N148" i="3" s="1"/>
  <c r="N147" i="3"/>
  <c r="L147" i="3"/>
  <c r="L146" i="3"/>
  <c r="N146" i="3" s="1"/>
  <c r="L145" i="3"/>
  <c r="N145" i="3" s="1"/>
  <c r="L144" i="3"/>
  <c r="M144" i="3" s="1"/>
  <c r="L143" i="3"/>
  <c r="N143" i="3" s="1"/>
  <c r="N142" i="3"/>
  <c r="L142" i="3"/>
  <c r="L141" i="3"/>
  <c r="N141" i="3" s="1"/>
  <c r="L140" i="3"/>
  <c r="N140" i="3" s="1"/>
  <c r="L139" i="3"/>
  <c r="N139" i="3" s="1"/>
  <c r="L138" i="3"/>
  <c r="N138" i="3" s="1"/>
  <c r="N137" i="3"/>
  <c r="L137" i="3"/>
  <c r="L136" i="3"/>
  <c r="N136" i="3" s="1"/>
  <c r="L135" i="3"/>
  <c r="N135" i="3" s="1"/>
  <c r="L134" i="3"/>
  <c r="N134" i="3" s="1"/>
  <c r="L133" i="3"/>
  <c r="N133" i="3" s="1"/>
  <c r="L132" i="3"/>
  <c r="N132" i="3" s="1"/>
  <c r="L131" i="3"/>
  <c r="N131" i="3" s="1"/>
  <c r="N130" i="3"/>
  <c r="L130" i="3"/>
  <c r="N129" i="3"/>
  <c r="L129" i="3"/>
  <c r="L128" i="3"/>
  <c r="N128" i="3" s="1"/>
  <c r="L127" i="3"/>
  <c r="N127" i="3" s="1"/>
  <c r="L126" i="3"/>
  <c r="N126" i="3" s="1"/>
  <c r="N125" i="3"/>
  <c r="L125" i="3"/>
  <c r="N124" i="3"/>
  <c r="L124" i="3"/>
  <c r="L123" i="3"/>
  <c r="N123" i="3" s="1"/>
  <c r="L122" i="3"/>
  <c r="N122" i="3" s="1"/>
  <c r="L121" i="3"/>
  <c r="N121" i="3" s="1"/>
  <c r="L120" i="3"/>
  <c r="N120" i="3" s="1"/>
  <c r="L119" i="3"/>
  <c r="N119" i="3" s="1"/>
  <c r="L118" i="3"/>
  <c r="N118" i="3" s="1"/>
  <c r="L117" i="3"/>
  <c r="N117" i="3" s="1"/>
  <c r="L116" i="3"/>
  <c r="N116" i="3" s="1"/>
  <c r="L115" i="3"/>
  <c r="N115" i="3" s="1"/>
  <c r="L114" i="3"/>
  <c r="N114" i="3" s="1"/>
  <c r="N113" i="3"/>
  <c r="L113" i="3"/>
  <c r="N112" i="3"/>
  <c r="L112" i="3"/>
  <c r="L111" i="3"/>
  <c r="N111" i="3" s="1"/>
  <c r="N110" i="3"/>
  <c r="L110" i="3"/>
  <c r="N109" i="3"/>
  <c r="L109" i="3"/>
  <c r="L108" i="3"/>
  <c r="N108" i="3" s="1"/>
  <c r="L107" i="3"/>
  <c r="N107" i="3" s="1"/>
  <c r="L106" i="3"/>
  <c r="N106" i="3" s="1"/>
  <c r="N105" i="3"/>
  <c r="L105" i="3"/>
  <c r="L104" i="3"/>
  <c r="N104" i="3" s="1"/>
  <c r="L103" i="3"/>
  <c r="N103" i="3" s="1"/>
  <c r="L102" i="3"/>
  <c r="N102" i="3" s="1"/>
  <c r="N101" i="3"/>
  <c r="L101" i="3"/>
  <c r="L100" i="3"/>
  <c r="N100" i="3" s="1"/>
  <c r="L99" i="3"/>
  <c r="N99" i="3" s="1"/>
  <c r="L98" i="3"/>
  <c r="N98" i="3" s="1"/>
  <c r="N97" i="3"/>
  <c r="L97" i="3"/>
  <c r="L96" i="3"/>
  <c r="N96" i="3" s="1"/>
  <c r="L95" i="3"/>
  <c r="N95" i="3" s="1"/>
  <c r="L94" i="3"/>
  <c r="N94" i="3" s="1"/>
  <c r="L93" i="3"/>
  <c r="N93" i="3" s="1"/>
  <c r="N92" i="3"/>
  <c r="L92" i="3"/>
  <c r="L91" i="3"/>
  <c r="N91" i="3" s="1"/>
  <c r="L90" i="3"/>
  <c r="N90" i="3" s="1"/>
  <c r="L89" i="3"/>
  <c r="N89" i="3" s="1"/>
  <c r="L88" i="3"/>
  <c r="N88" i="3" s="1"/>
  <c r="L87" i="3"/>
  <c r="N87" i="3" s="1"/>
  <c r="L86" i="3"/>
  <c r="N86" i="3" s="1"/>
  <c r="L85" i="3"/>
  <c r="N85" i="3" s="1"/>
  <c r="L84" i="3"/>
  <c r="N84" i="3" s="1"/>
  <c r="L83" i="3"/>
  <c r="N83" i="3" s="1"/>
  <c r="L82" i="3"/>
  <c r="N82" i="3" s="1"/>
  <c r="L81" i="3"/>
  <c r="N81" i="3" s="1"/>
  <c r="N80" i="3"/>
  <c r="L80" i="3"/>
  <c r="L79" i="3"/>
  <c r="N79" i="3" s="1"/>
  <c r="L78" i="3"/>
  <c r="N78" i="3" s="1"/>
  <c r="N77" i="3"/>
  <c r="L77" i="3"/>
  <c r="N76" i="3"/>
  <c r="L76" i="3"/>
  <c r="L75" i="3"/>
  <c r="N75" i="3" s="1"/>
  <c r="L74" i="3"/>
  <c r="N74" i="3" s="1"/>
  <c r="L73" i="3"/>
  <c r="N73" i="3" s="1"/>
  <c r="L72" i="3"/>
  <c r="N72" i="3" s="1"/>
  <c r="L71" i="3"/>
  <c r="N71" i="3" s="1"/>
  <c r="L70" i="3"/>
  <c r="N70" i="3" s="1"/>
  <c r="N69" i="3"/>
  <c r="L69" i="3"/>
  <c r="L68" i="3"/>
  <c r="N68" i="3" s="1"/>
  <c r="L67" i="3"/>
  <c r="N67" i="3" s="1"/>
  <c r="L66" i="3"/>
  <c r="N66" i="3" s="1"/>
  <c r="L65" i="3"/>
  <c r="N65" i="3" s="1"/>
  <c r="L64" i="3"/>
  <c r="N64" i="3" s="1"/>
  <c r="L63" i="3"/>
  <c r="N63" i="3" s="1"/>
  <c r="N62" i="3"/>
  <c r="L62" i="3"/>
  <c r="L61" i="3"/>
  <c r="N61" i="3" s="1"/>
  <c r="L60" i="3"/>
  <c r="N60" i="3" s="1"/>
  <c r="L59" i="3"/>
  <c r="N59" i="3" s="1"/>
  <c r="L58" i="3"/>
  <c r="N58" i="3" s="1"/>
  <c r="N57" i="3"/>
  <c r="L57" i="3"/>
  <c r="L56" i="3"/>
  <c r="N56" i="3" s="1"/>
  <c r="L55" i="3"/>
  <c r="M55" i="3" s="1"/>
  <c r="L54" i="3"/>
  <c r="N54" i="3" s="1"/>
  <c r="L53" i="3"/>
  <c r="N53" i="3" s="1"/>
  <c r="N52" i="3"/>
  <c r="L52" i="3"/>
  <c r="L51" i="3"/>
  <c r="L50" i="3"/>
  <c r="N50" i="3" s="1"/>
  <c r="N49" i="3"/>
  <c r="L49" i="3"/>
  <c r="L48" i="3"/>
  <c r="N48" i="3" s="1"/>
  <c r="N47" i="3"/>
  <c r="L47" i="3"/>
  <c r="L46" i="3"/>
  <c r="M46" i="3" s="1"/>
  <c r="L45" i="3"/>
  <c r="M45" i="3" s="1"/>
  <c r="L44" i="3"/>
  <c r="M44" i="3" s="1"/>
  <c r="L43" i="3"/>
  <c r="L42" i="3"/>
  <c r="L41" i="3"/>
  <c r="L40" i="3"/>
  <c r="M40" i="3" s="1"/>
  <c r="L39" i="3"/>
  <c r="L38" i="3"/>
  <c r="M38" i="3" s="1"/>
  <c r="L37" i="3"/>
  <c r="M37" i="3" s="1"/>
  <c r="L36" i="3"/>
  <c r="L35" i="3"/>
  <c r="M35" i="3" s="1"/>
  <c r="L34" i="3"/>
  <c r="L33" i="3"/>
  <c r="M33" i="3" s="1"/>
  <c r="N33" i="3" s="1"/>
  <c r="M32" i="3"/>
  <c r="L32" i="3"/>
  <c r="N32" i="3" s="1"/>
  <c r="L31" i="3"/>
  <c r="M31" i="3" s="1"/>
  <c r="N31" i="3" s="1"/>
  <c r="L30" i="3"/>
  <c r="M30" i="3" s="1"/>
  <c r="L29" i="3"/>
  <c r="M29" i="3" s="1"/>
  <c r="L28" i="3"/>
  <c r="M28" i="3" s="1"/>
  <c r="L27" i="3"/>
  <c r="L26" i="3"/>
  <c r="M25" i="3"/>
  <c r="N25" i="3" s="1"/>
  <c r="L25" i="3"/>
  <c r="M24" i="3"/>
  <c r="N24" i="3" s="1"/>
  <c r="L24" i="3"/>
  <c r="M23" i="3"/>
  <c r="L23" i="3"/>
  <c r="L22" i="3"/>
  <c r="M22" i="3" s="1"/>
  <c r="N21" i="3"/>
  <c r="L21" i="3"/>
  <c r="M21" i="3" s="1"/>
  <c r="L20" i="3"/>
  <c r="M19" i="3"/>
  <c r="L19" i="3"/>
  <c r="L18" i="3"/>
  <c r="L17" i="3"/>
  <c r="M17" i="3" s="1"/>
  <c r="N17" i="3" s="1"/>
  <c r="N16" i="3"/>
  <c r="M16" i="3"/>
  <c r="L16" i="3"/>
  <c r="M15" i="3"/>
  <c r="N15" i="3" s="1"/>
  <c r="L15" i="3"/>
  <c r="L14" i="3"/>
  <c r="M14" i="3" s="1"/>
  <c r="L13" i="3"/>
  <c r="M13" i="3" s="1"/>
  <c r="L12" i="3"/>
  <c r="M12" i="3" s="1"/>
  <c r="L11" i="3"/>
  <c r="M11" i="3" s="1"/>
  <c r="L10" i="3"/>
  <c r="L9" i="3"/>
  <c r="L8" i="3"/>
  <c r="M7" i="3"/>
  <c r="L7" i="3"/>
  <c r="B5" i="3"/>
  <c r="N207" i="3" l="1"/>
  <c r="M8" i="3"/>
  <c r="N8" i="3" s="1"/>
  <c r="N13" i="3"/>
  <c r="N23" i="3"/>
  <c r="N40" i="3"/>
  <c r="N45" i="3"/>
  <c r="M9" i="3"/>
  <c r="N9" i="3" s="1"/>
  <c r="N37" i="3"/>
  <c r="M41" i="3"/>
  <c r="N41" i="3" s="1"/>
  <c r="M207" i="3"/>
  <c r="N291" i="3"/>
  <c r="N7" i="3"/>
  <c r="N29" i="3"/>
  <c r="M39" i="3"/>
  <c r="N39" i="3" s="1"/>
  <c r="N12" i="3"/>
  <c r="N19" i="3"/>
  <c r="N22" i="3"/>
  <c r="N28" i="3"/>
  <c r="N35" i="3"/>
  <c r="N38" i="3"/>
  <c r="N44" i="3"/>
  <c r="N144" i="3"/>
  <c r="N10" i="3"/>
  <c r="M10" i="3"/>
  <c r="M26" i="3"/>
  <c r="N26" i="3" s="1"/>
  <c r="M42" i="3"/>
  <c r="N42" i="3" s="1"/>
  <c r="M20" i="3"/>
  <c r="N20" i="3" s="1"/>
  <c r="M36" i="3"/>
  <c r="N36" i="3" s="1"/>
  <c r="N46" i="3"/>
  <c r="N366" i="3"/>
  <c r="M366" i="3"/>
  <c r="M27" i="3"/>
  <c r="N27" i="3" s="1"/>
  <c r="M43" i="3"/>
  <c r="N43" i="3" s="1"/>
  <c r="M51" i="3"/>
  <c r="N51" i="3" s="1"/>
  <c r="N14" i="3"/>
  <c r="N30" i="3"/>
  <c r="N11" i="3"/>
  <c r="N55" i="3"/>
  <c r="M18" i="3"/>
  <c r="N18" i="3" s="1"/>
  <c r="M34" i="3"/>
  <c r="N34" i="3" s="1"/>
  <c r="N292" i="3"/>
  <c r="M295" i="3"/>
  <c r="N295" i="3" s="1"/>
  <c r="N505" i="3"/>
  <c r="M307" i="3"/>
  <c r="N307" i="3" s="1"/>
  <c r="B5" i="1" l="1"/>
  <c r="M2357" i="1"/>
  <c r="L2357" i="1"/>
  <c r="N2357" i="1" s="1"/>
  <c r="G2357" i="1"/>
  <c r="F2357" i="1"/>
  <c r="M2356" i="1"/>
  <c r="L2356" i="1"/>
  <c r="N2356" i="1" s="1"/>
  <c r="G2356" i="1"/>
  <c r="F2356" i="1"/>
  <c r="M2355" i="1"/>
  <c r="L2355" i="1"/>
  <c r="G2355" i="1"/>
  <c r="F2355" i="1"/>
  <c r="M2354" i="1"/>
  <c r="L2354" i="1"/>
  <c r="N2354" i="1" s="1"/>
  <c r="O2354" i="1" s="1"/>
  <c r="G2354" i="1"/>
  <c r="F2354" i="1"/>
  <c r="M2353" i="1"/>
  <c r="L2353" i="1"/>
  <c r="G2353" i="1"/>
  <c r="F2353" i="1"/>
  <c r="M2352" i="1"/>
  <c r="L2352" i="1"/>
  <c r="N2352" i="1" s="1"/>
  <c r="G2352" i="1"/>
  <c r="F2352" i="1"/>
  <c r="M2351" i="1"/>
  <c r="N2351" i="1" s="1"/>
  <c r="L2351" i="1"/>
  <c r="G2351" i="1"/>
  <c r="F2351" i="1"/>
  <c r="M2350" i="1"/>
  <c r="L2350" i="1"/>
  <c r="G2350" i="1"/>
  <c r="F2350" i="1"/>
  <c r="M2349" i="1"/>
  <c r="N2349" i="1" s="1"/>
  <c r="L2349" i="1"/>
  <c r="G2349" i="1"/>
  <c r="F2349" i="1"/>
  <c r="M2348" i="1"/>
  <c r="L2348" i="1"/>
  <c r="G2348" i="1"/>
  <c r="F2348" i="1"/>
  <c r="M2347" i="1"/>
  <c r="N2347" i="1" s="1"/>
  <c r="L2347" i="1"/>
  <c r="G2347" i="1"/>
  <c r="F2347" i="1"/>
  <c r="M2346" i="1"/>
  <c r="L2346" i="1"/>
  <c r="G2346" i="1"/>
  <c r="F2346" i="1"/>
  <c r="M2345" i="1"/>
  <c r="L2345" i="1"/>
  <c r="G2345" i="1"/>
  <c r="F2345" i="1"/>
  <c r="M2344" i="1"/>
  <c r="L2344" i="1"/>
  <c r="G2344" i="1"/>
  <c r="F2344" i="1"/>
  <c r="M2343" i="1"/>
  <c r="L2343" i="1"/>
  <c r="G2343" i="1"/>
  <c r="F2343" i="1"/>
  <c r="M2342" i="1"/>
  <c r="N2342" i="1" s="1"/>
  <c r="L2342" i="1"/>
  <c r="G2342" i="1"/>
  <c r="F2342" i="1"/>
  <c r="M2341" i="1"/>
  <c r="L2341" i="1"/>
  <c r="G2341" i="1"/>
  <c r="F2341" i="1"/>
  <c r="M2340" i="1"/>
  <c r="L2340" i="1"/>
  <c r="G2340" i="1"/>
  <c r="F2340" i="1"/>
  <c r="M2339" i="1"/>
  <c r="L2339" i="1"/>
  <c r="G2339" i="1"/>
  <c r="F2339" i="1"/>
  <c r="M2338" i="1"/>
  <c r="L2338" i="1"/>
  <c r="G2338" i="1"/>
  <c r="F2338" i="1"/>
  <c r="M2337" i="1"/>
  <c r="N2337" i="1" s="1"/>
  <c r="O2337" i="1" s="1"/>
  <c r="L2337" i="1"/>
  <c r="G2337" i="1"/>
  <c r="F2337" i="1"/>
  <c r="M2336" i="1"/>
  <c r="L2336" i="1"/>
  <c r="G2336" i="1"/>
  <c r="F2336" i="1"/>
  <c r="M2335" i="1"/>
  <c r="L2335" i="1"/>
  <c r="G2335" i="1"/>
  <c r="F2335" i="1"/>
  <c r="M2334" i="1"/>
  <c r="L2334" i="1"/>
  <c r="G2334" i="1"/>
  <c r="F2334" i="1"/>
  <c r="M2333" i="1"/>
  <c r="L2333" i="1"/>
  <c r="G2333" i="1"/>
  <c r="F2333" i="1"/>
  <c r="M2332" i="1"/>
  <c r="L2332" i="1"/>
  <c r="G2332" i="1"/>
  <c r="F2332" i="1"/>
  <c r="M2331" i="1"/>
  <c r="L2331" i="1"/>
  <c r="G2331" i="1"/>
  <c r="F2331" i="1"/>
  <c r="M2330" i="1"/>
  <c r="L2330" i="1"/>
  <c r="G2330" i="1"/>
  <c r="F2330" i="1"/>
  <c r="M2329" i="1"/>
  <c r="L2329" i="1"/>
  <c r="G2329" i="1"/>
  <c r="F2329" i="1"/>
  <c r="M2328" i="1"/>
  <c r="L2328" i="1"/>
  <c r="G2328" i="1"/>
  <c r="F2328" i="1"/>
  <c r="M2327" i="1"/>
  <c r="L2327" i="1"/>
  <c r="G2327" i="1"/>
  <c r="F2327" i="1"/>
  <c r="M2326" i="1"/>
  <c r="L2326" i="1"/>
  <c r="G2326" i="1"/>
  <c r="F2326" i="1"/>
  <c r="M2325" i="1"/>
  <c r="L2325" i="1"/>
  <c r="G2325" i="1"/>
  <c r="F2325" i="1"/>
  <c r="M2324" i="1"/>
  <c r="L2324" i="1"/>
  <c r="G2324" i="1"/>
  <c r="F2324" i="1"/>
  <c r="M2323" i="1"/>
  <c r="L2323" i="1"/>
  <c r="G2323" i="1"/>
  <c r="F2323" i="1"/>
  <c r="M2322" i="1"/>
  <c r="L2322" i="1"/>
  <c r="G2322" i="1"/>
  <c r="F2322" i="1"/>
  <c r="M2321" i="1"/>
  <c r="N2321" i="1" s="1"/>
  <c r="L2321" i="1"/>
  <c r="G2321" i="1"/>
  <c r="F2321" i="1"/>
  <c r="M2320" i="1"/>
  <c r="L2320" i="1"/>
  <c r="G2320" i="1"/>
  <c r="F2320" i="1"/>
  <c r="M2319" i="1"/>
  <c r="L2319" i="1"/>
  <c r="G2319" i="1"/>
  <c r="F2319" i="1"/>
  <c r="M2318" i="1"/>
  <c r="L2318" i="1"/>
  <c r="G2318" i="1"/>
  <c r="F2318" i="1"/>
  <c r="M2317" i="1"/>
  <c r="L2317" i="1"/>
  <c r="G2317" i="1"/>
  <c r="F2317" i="1"/>
  <c r="M2316" i="1"/>
  <c r="L2316" i="1"/>
  <c r="G2316" i="1"/>
  <c r="F2316" i="1"/>
  <c r="M2315" i="1"/>
  <c r="L2315" i="1"/>
  <c r="G2315" i="1"/>
  <c r="F2315" i="1"/>
  <c r="M2314" i="1"/>
  <c r="L2314" i="1"/>
  <c r="G2314" i="1"/>
  <c r="F2314" i="1"/>
  <c r="M2313" i="1"/>
  <c r="L2313" i="1"/>
  <c r="G2313" i="1"/>
  <c r="F2313" i="1"/>
  <c r="M2312" i="1"/>
  <c r="L2312" i="1"/>
  <c r="G2312" i="1"/>
  <c r="F2312" i="1"/>
  <c r="M2311" i="1"/>
  <c r="L2311" i="1"/>
  <c r="G2311" i="1"/>
  <c r="F2311" i="1"/>
  <c r="M2310" i="1"/>
  <c r="L2310" i="1"/>
  <c r="G2310" i="1"/>
  <c r="F2310" i="1"/>
  <c r="M2309" i="1"/>
  <c r="L2309" i="1"/>
  <c r="G2309" i="1"/>
  <c r="F2309" i="1"/>
  <c r="M2308" i="1"/>
  <c r="L2308" i="1"/>
  <c r="G2308" i="1"/>
  <c r="F2308" i="1"/>
  <c r="M2307" i="1"/>
  <c r="N2307" i="1" s="1"/>
  <c r="L2307" i="1"/>
  <c r="G2307" i="1"/>
  <c r="F2307" i="1"/>
  <c r="M2306" i="1"/>
  <c r="L2306" i="1"/>
  <c r="G2306" i="1"/>
  <c r="F2306" i="1"/>
  <c r="M2305" i="1"/>
  <c r="L2305" i="1"/>
  <c r="G2305" i="1"/>
  <c r="F2305" i="1"/>
  <c r="M2304" i="1"/>
  <c r="L2304" i="1"/>
  <c r="G2304" i="1"/>
  <c r="F2304" i="1"/>
  <c r="M2303" i="1"/>
  <c r="L2303" i="1"/>
  <c r="G2303" i="1"/>
  <c r="F2303" i="1"/>
  <c r="M2302" i="1"/>
  <c r="L2302" i="1"/>
  <c r="G2302" i="1"/>
  <c r="F2302" i="1"/>
  <c r="M2301" i="1"/>
  <c r="L2301" i="1"/>
  <c r="G2301" i="1"/>
  <c r="F2301" i="1"/>
  <c r="M2300" i="1"/>
  <c r="L2300" i="1"/>
  <c r="G2300" i="1"/>
  <c r="F2300" i="1"/>
  <c r="M2299" i="1"/>
  <c r="L2299" i="1"/>
  <c r="G2299" i="1"/>
  <c r="F2299" i="1"/>
  <c r="M2298" i="1"/>
  <c r="L2298" i="1"/>
  <c r="G2298" i="1"/>
  <c r="F2298" i="1"/>
  <c r="M2297" i="1"/>
  <c r="L2297" i="1"/>
  <c r="G2297" i="1"/>
  <c r="F2297" i="1"/>
  <c r="M2296" i="1"/>
  <c r="L2296" i="1"/>
  <c r="G2296" i="1"/>
  <c r="F2296" i="1"/>
  <c r="M2295" i="1"/>
  <c r="L2295" i="1"/>
  <c r="G2295" i="1"/>
  <c r="F2295" i="1"/>
  <c r="M2294" i="1"/>
  <c r="L2294" i="1"/>
  <c r="G2294" i="1"/>
  <c r="F2294" i="1"/>
  <c r="M2293" i="1"/>
  <c r="L2293" i="1"/>
  <c r="G2293" i="1"/>
  <c r="F2293" i="1"/>
  <c r="M2292" i="1"/>
  <c r="L2292" i="1"/>
  <c r="G2292" i="1"/>
  <c r="F2292" i="1"/>
  <c r="M2291" i="1"/>
  <c r="L2291" i="1"/>
  <c r="G2291" i="1"/>
  <c r="F2291" i="1"/>
  <c r="M2290" i="1"/>
  <c r="L2290" i="1"/>
  <c r="G2290" i="1"/>
  <c r="F2290" i="1"/>
  <c r="M2289" i="1"/>
  <c r="L2289" i="1"/>
  <c r="G2289" i="1"/>
  <c r="F2289" i="1"/>
  <c r="M2288" i="1"/>
  <c r="L2288" i="1"/>
  <c r="G2288" i="1"/>
  <c r="F2288" i="1"/>
  <c r="M2287" i="1"/>
  <c r="L2287" i="1"/>
  <c r="G2287" i="1"/>
  <c r="F2287" i="1"/>
  <c r="M2286" i="1"/>
  <c r="L2286" i="1"/>
  <c r="G2286" i="1"/>
  <c r="F2286" i="1"/>
  <c r="M2285" i="1"/>
  <c r="L2285" i="1"/>
  <c r="G2285" i="1"/>
  <c r="F2285" i="1"/>
  <c r="M2284" i="1"/>
  <c r="N2284" i="1" s="1"/>
  <c r="L2284" i="1"/>
  <c r="G2284" i="1"/>
  <c r="F2284" i="1"/>
  <c r="M2283" i="1"/>
  <c r="L2283" i="1"/>
  <c r="G2283" i="1"/>
  <c r="F2283" i="1"/>
  <c r="M2282" i="1"/>
  <c r="L2282" i="1"/>
  <c r="G2282" i="1"/>
  <c r="F2282" i="1"/>
  <c r="M2281" i="1"/>
  <c r="L2281" i="1"/>
  <c r="G2281" i="1"/>
  <c r="F2281" i="1"/>
  <c r="M2280" i="1"/>
  <c r="L2280" i="1"/>
  <c r="G2280" i="1"/>
  <c r="F2280" i="1"/>
  <c r="M2279" i="1"/>
  <c r="N2279" i="1" s="1"/>
  <c r="L2279" i="1"/>
  <c r="G2279" i="1"/>
  <c r="F2279" i="1"/>
  <c r="M2278" i="1"/>
  <c r="L2278" i="1"/>
  <c r="G2278" i="1"/>
  <c r="F2278" i="1"/>
  <c r="M2277" i="1"/>
  <c r="N2277" i="1" s="1"/>
  <c r="L2277" i="1"/>
  <c r="G2277" i="1"/>
  <c r="F2277" i="1"/>
  <c r="M2276" i="1"/>
  <c r="L2276" i="1"/>
  <c r="G2276" i="1"/>
  <c r="F2276" i="1"/>
  <c r="M2275" i="1"/>
  <c r="L2275" i="1"/>
  <c r="G2275" i="1"/>
  <c r="F2275" i="1"/>
  <c r="M2274" i="1"/>
  <c r="L2274" i="1"/>
  <c r="G2274" i="1"/>
  <c r="F2274" i="1"/>
  <c r="M2273" i="1"/>
  <c r="N2273" i="1" s="1"/>
  <c r="L2273" i="1"/>
  <c r="G2273" i="1"/>
  <c r="F2273" i="1"/>
  <c r="M2272" i="1"/>
  <c r="L2272" i="1"/>
  <c r="G2272" i="1"/>
  <c r="F2272" i="1"/>
  <c r="M2271" i="1"/>
  <c r="N2271" i="1" s="1"/>
  <c r="O2271" i="1" s="1"/>
  <c r="L2271" i="1"/>
  <c r="G2271" i="1"/>
  <c r="F2271" i="1"/>
  <c r="M2270" i="1"/>
  <c r="L2270" i="1"/>
  <c r="G2270" i="1"/>
  <c r="F2270" i="1"/>
  <c r="M2269" i="1"/>
  <c r="L2269" i="1"/>
  <c r="G2269" i="1"/>
  <c r="F2269" i="1"/>
  <c r="M2268" i="1"/>
  <c r="L2268" i="1"/>
  <c r="G2268" i="1"/>
  <c r="F2268" i="1"/>
  <c r="M2267" i="1"/>
  <c r="L2267" i="1"/>
  <c r="G2267" i="1"/>
  <c r="F2267" i="1"/>
  <c r="M2266" i="1"/>
  <c r="L2266" i="1"/>
  <c r="G2266" i="1"/>
  <c r="F2266" i="1"/>
  <c r="M2265" i="1"/>
  <c r="L2265" i="1"/>
  <c r="G2265" i="1"/>
  <c r="F2265" i="1"/>
  <c r="M2264" i="1"/>
  <c r="L2264" i="1"/>
  <c r="G2264" i="1"/>
  <c r="F2264" i="1"/>
  <c r="M2263" i="1"/>
  <c r="L2263" i="1"/>
  <c r="G2263" i="1"/>
  <c r="F2263" i="1"/>
  <c r="M2262" i="1"/>
  <c r="N2262" i="1" s="1"/>
  <c r="L2262" i="1"/>
  <c r="G2262" i="1"/>
  <c r="F2262" i="1"/>
  <c r="M2261" i="1"/>
  <c r="L2261" i="1"/>
  <c r="G2261" i="1"/>
  <c r="F2261" i="1"/>
  <c r="M2260" i="1"/>
  <c r="L2260" i="1"/>
  <c r="G2260" i="1"/>
  <c r="F2260" i="1"/>
  <c r="M2259" i="1"/>
  <c r="L2259" i="1"/>
  <c r="G2259" i="1"/>
  <c r="F2259" i="1"/>
  <c r="M2258" i="1"/>
  <c r="N2258" i="1" s="1"/>
  <c r="L2258" i="1"/>
  <c r="G2258" i="1"/>
  <c r="F2258" i="1"/>
  <c r="M2257" i="1"/>
  <c r="L2257" i="1"/>
  <c r="G2257" i="1"/>
  <c r="F2257" i="1"/>
  <c r="M2256" i="1"/>
  <c r="L2256" i="1"/>
  <c r="G2256" i="1"/>
  <c r="F2256" i="1"/>
  <c r="M2255" i="1"/>
  <c r="L2255" i="1"/>
  <c r="G2255" i="1"/>
  <c r="F2255" i="1"/>
  <c r="M2254" i="1"/>
  <c r="N2254" i="1" s="1"/>
  <c r="L2254" i="1"/>
  <c r="G2254" i="1"/>
  <c r="F2254" i="1"/>
  <c r="M2253" i="1"/>
  <c r="L2253" i="1"/>
  <c r="G2253" i="1"/>
  <c r="F2253" i="1"/>
  <c r="M2252" i="1"/>
  <c r="L2252" i="1"/>
  <c r="G2252" i="1"/>
  <c r="F2252" i="1"/>
  <c r="M2251" i="1"/>
  <c r="L2251" i="1"/>
  <c r="G2251" i="1"/>
  <c r="F2251" i="1"/>
  <c r="M2250" i="1"/>
  <c r="L2250" i="1"/>
  <c r="G2250" i="1"/>
  <c r="F2250" i="1"/>
  <c r="M2249" i="1"/>
  <c r="N2249" i="1" s="1"/>
  <c r="O2249" i="1" s="1"/>
  <c r="L2249" i="1"/>
  <c r="G2249" i="1"/>
  <c r="F2249" i="1"/>
  <c r="M2248" i="1"/>
  <c r="L2248" i="1"/>
  <c r="G2248" i="1"/>
  <c r="F2248" i="1"/>
  <c r="M2247" i="1"/>
  <c r="L2247" i="1"/>
  <c r="G2247" i="1"/>
  <c r="F2247" i="1"/>
  <c r="M2246" i="1"/>
  <c r="L2246" i="1"/>
  <c r="G2246" i="1"/>
  <c r="F2246" i="1"/>
  <c r="M2245" i="1"/>
  <c r="N2245" i="1" s="1"/>
  <c r="O2245" i="1" s="1"/>
  <c r="L2245" i="1"/>
  <c r="G2245" i="1"/>
  <c r="F2245" i="1"/>
  <c r="M2244" i="1"/>
  <c r="L2244" i="1"/>
  <c r="G2244" i="1"/>
  <c r="F2244" i="1"/>
  <c r="M2243" i="1"/>
  <c r="L2243" i="1"/>
  <c r="G2243" i="1"/>
  <c r="F2243" i="1"/>
  <c r="M2242" i="1"/>
  <c r="L2242" i="1"/>
  <c r="G2242" i="1"/>
  <c r="F2242" i="1"/>
  <c r="M2241" i="1"/>
  <c r="L2241" i="1"/>
  <c r="G2241" i="1"/>
  <c r="F2241" i="1"/>
  <c r="M2240" i="1"/>
  <c r="L2240" i="1"/>
  <c r="G2240" i="1"/>
  <c r="F2240" i="1"/>
  <c r="M2239" i="1"/>
  <c r="L2239" i="1"/>
  <c r="G2239" i="1"/>
  <c r="F2239" i="1"/>
  <c r="M2238" i="1"/>
  <c r="L2238" i="1"/>
  <c r="G2238" i="1"/>
  <c r="F2238" i="1"/>
  <c r="M2237" i="1"/>
  <c r="N2237" i="1" s="1"/>
  <c r="L2237" i="1"/>
  <c r="G2237" i="1"/>
  <c r="F2237" i="1"/>
  <c r="M2236" i="1"/>
  <c r="L2236" i="1"/>
  <c r="G2236" i="1"/>
  <c r="F2236" i="1"/>
  <c r="M2235" i="1"/>
  <c r="N2235" i="1" s="1"/>
  <c r="L2235" i="1"/>
  <c r="G2235" i="1"/>
  <c r="F2235" i="1"/>
  <c r="M2234" i="1"/>
  <c r="L2234" i="1"/>
  <c r="G2234" i="1"/>
  <c r="F2234" i="1"/>
  <c r="M2233" i="1"/>
  <c r="L2233" i="1"/>
  <c r="G2233" i="1"/>
  <c r="F2233" i="1"/>
  <c r="M2232" i="1"/>
  <c r="L2232" i="1"/>
  <c r="G2232" i="1"/>
  <c r="F2232" i="1"/>
  <c r="M2231" i="1"/>
  <c r="L2231" i="1"/>
  <c r="G2231" i="1"/>
  <c r="F2231" i="1"/>
  <c r="M2230" i="1"/>
  <c r="L2230" i="1"/>
  <c r="G2230" i="1"/>
  <c r="F2230" i="1"/>
  <c r="M2229" i="1"/>
  <c r="L2229" i="1"/>
  <c r="G2229" i="1"/>
  <c r="F2229" i="1"/>
  <c r="M2228" i="1"/>
  <c r="L2228" i="1"/>
  <c r="G2228" i="1"/>
  <c r="F2228" i="1"/>
  <c r="M2227" i="1"/>
  <c r="L2227" i="1"/>
  <c r="G2227" i="1"/>
  <c r="F2227" i="1"/>
  <c r="M2226" i="1"/>
  <c r="L2226" i="1"/>
  <c r="G2226" i="1"/>
  <c r="F2226" i="1"/>
  <c r="M2225" i="1"/>
  <c r="L2225" i="1"/>
  <c r="G2225" i="1"/>
  <c r="F2225" i="1"/>
  <c r="M2224" i="1"/>
  <c r="N2224" i="1" s="1"/>
  <c r="L2224" i="1"/>
  <c r="G2224" i="1"/>
  <c r="F2224" i="1"/>
  <c r="M2223" i="1"/>
  <c r="L2223" i="1"/>
  <c r="G2223" i="1"/>
  <c r="F2223" i="1"/>
  <c r="N2222" i="1"/>
  <c r="M2222" i="1"/>
  <c r="L2222" i="1"/>
  <c r="G2222" i="1"/>
  <c r="F2222" i="1"/>
  <c r="M2221" i="1"/>
  <c r="L2221" i="1"/>
  <c r="G2221" i="1"/>
  <c r="F2221" i="1"/>
  <c r="M2220" i="1"/>
  <c r="L2220" i="1"/>
  <c r="G2220" i="1"/>
  <c r="F2220" i="1"/>
  <c r="M2219" i="1"/>
  <c r="N2219" i="1" s="1"/>
  <c r="L2219" i="1"/>
  <c r="G2219" i="1"/>
  <c r="F2219" i="1"/>
  <c r="M2218" i="1"/>
  <c r="L2218" i="1"/>
  <c r="G2218" i="1"/>
  <c r="F2218" i="1"/>
  <c r="M2217" i="1"/>
  <c r="N2217" i="1" s="1"/>
  <c r="L2217" i="1"/>
  <c r="G2217" i="1"/>
  <c r="F2217" i="1"/>
  <c r="M2216" i="1"/>
  <c r="L2216" i="1"/>
  <c r="G2216" i="1"/>
  <c r="F2216" i="1"/>
  <c r="M2215" i="1"/>
  <c r="L2215" i="1"/>
  <c r="G2215" i="1"/>
  <c r="F2215" i="1"/>
  <c r="M2214" i="1"/>
  <c r="L2214" i="1"/>
  <c r="G2214" i="1"/>
  <c r="F2214" i="1"/>
  <c r="M2213" i="1"/>
  <c r="N2213" i="1" s="1"/>
  <c r="L2213" i="1"/>
  <c r="G2213" i="1"/>
  <c r="F2213" i="1"/>
  <c r="M2212" i="1"/>
  <c r="L2212" i="1"/>
  <c r="G2212" i="1"/>
  <c r="F2212" i="1"/>
  <c r="M2211" i="1"/>
  <c r="L2211" i="1"/>
  <c r="G2211" i="1"/>
  <c r="F2211" i="1"/>
  <c r="M2210" i="1"/>
  <c r="L2210" i="1"/>
  <c r="G2210" i="1"/>
  <c r="F2210" i="1"/>
  <c r="M2209" i="1"/>
  <c r="L2209" i="1"/>
  <c r="G2209" i="1"/>
  <c r="F2209" i="1"/>
  <c r="M2208" i="1"/>
  <c r="L2208" i="1"/>
  <c r="G2208" i="1"/>
  <c r="F2208" i="1"/>
  <c r="M2207" i="1"/>
  <c r="N2207" i="1" s="1"/>
  <c r="O2207" i="1" s="1"/>
  <c r="L2207" i="1"/>
  <c r="G2207" i="1"/>
  <c r="F2207" i="1"/>
  <c r="M2206" i="1"/>
  <c r="L2206" i="1"/>
  <c r="G2206" i="1"/>
  <c r="F2206" i="1"/>
  <c r="M2205" i="1"/>
  <c r="N2205" i="1" s="1"/>
  <c r="L2205" i="1"/>
  <c r="G2205" i="1"/>
  <c r="F2205" i="1"/>
  <c r="M2204" i="1"/>
  <c r="L2204" i="1"/>
  <c r="G2204" i="1"/>
  <c r="F2204" i="1"/>
  <c r="M2203" i="1"/>
  <c r="L2203" i="1"/>
  <c r="G2203" i="1"/>
  <c r="F2203" i="1"/>
  <c r="M2202" i="1"/>
  <c r="L2202" i="1"/>
  <c r="G2202" i="1"/>
  <c r="F2202" i="1"/>
  <c r="M2201" i="1"/>
  <c r="L2201" i="1"/>
  <c r="G2201" i="1"/>
  <c r="F2201" i="1"/>
  <c r="M2200" i="1"/>
  <c r="L2200" i="1"/>
  <c r="G2200" i="1"/>
  <c r="F2200" i="1"/>
  <c r="M2199" i="1"/>
  <c r="N2199" i="1" s="1"/>
  <c r="O2199" i="1" s="1"/>
  <c r="L2199" i="1"/>
  <c r="G2199" i="1"/>
  <c r="F2199" i="1"/>
  <c r="M2198" i="1"/>
  <c r="L2198" i="1"/>
  <c r="G2198" i="1"/>
  <c r="F2198" i="1"/>
  <c r="M2197" i="1"/>
  <c r="N2197" i="1" s="1"/>
  <c r="O2197" i="1" s="1"/>
  <c r="P2197" i="1" s="1"/>
  <c r="L2197" i="1"/>
  <c r="G2197" i="1"/>
  <c r="F2197" i="1"/>
  <c r="M2196" i="1"/>
  <c r="L2196" i="1"/>
  <c r="G2196" i="1"/>
  <c r="F2196" i="1"/>
  <c r="L2195" i="1"/>
  <c r="N2195" i="1" s="1"/>
  <c r="G2195" i="1"/>
  <c r="F2195" i="1"/>
  <c r="N2194" i="1"/>
  <c r="O2194" i="1" s="1"/>
  <c r="L2194" i="1"/>
  <c r="G2194" i="1"/>
  <c r="F2194" i="1"/>
  <c r="L2193" i="1"/>
  <c r="N2193" i="1" s="1"/>
  <c r="O2193" i="1" s="1"/>
  <c r="G2193" i="1"/>
  <c r="F2193" i="1"/>
  <c r="L2192" i="1"/>
  <c r="N2192" i="1" s="1"/>
  <c r="G2192" i="1"/>
  <c r="F2192" i="1"/>
  <c r="L2191" i="1"/>
  <c r="O2191" i="1" s="1"/>
  <c r="G2191" i="1"/>
  <c r="F2191" i="1"/>
  <c r="L2190" i="1"/>
  <c r="N2190" i="1" s="1"/>
  <c r="O2190" i="1" s="1"/>
  <c r="G2190" i="1"/>
  <c r="F2190" i="1"/>
  <c r="L2189" i="1"/>
  <c r="N2189" i="1" s="1"/>
  <c r="G2189" i="1"/>
  <c r="F2189" i="1"/>
  <c r="L2188" i="1"/>
  <c r="N2188" i="1" s="1"/>
  <c r="G2188" i="1"/>
  <c r="F2188" i="1"/>
  <c r="L2187" i="1"/>
  <c r="N2187" i="1" s="1"/>
  <c r="G2187" i="1"/>
  <c r="F2187" i="1"/>
  <c r="L2186" i="1"/>
  <c r="N2186" i="1" s="1"/>
  <c r="G2186" i="1"/>
  <c r="F2186" i="1"/>
  <c r="L2185" i="1"/>
  <c r="N2185" i="1" s="1"/>
  <c r="G2185" i="1"/>
  <c r="F2185" i="1"/>
  <c r="L2184" i="1"/>
  <c r="N2184" i="1" s="1"/>
  <c r="G2184" i="1"/>
  <c r="F2184" i="1"/>
  <c r="L2183" i="1"/>
  <c r="N2183" i="1" s="1"/>
  <c r="G2183" i="1"/>
  <c r="F2183" i="1"/>
  <c r="L2182" i="1"/>
  <c r="N2182" i="1" s="1"/>
  <c r="G2182" i="1"/>
  <c r="F2182" i="1"/>
  <c r="O2181" i="1"/>
  <c r="P2181" i="1" s="1"/>
  <c r="L2181" i="1"/>
  <c r="N2181" i="1" s="1"/>
  <c r="G2181" i="1"/>
  <c r="F2181" i="1"/>
  <c r="L2180" i="1"/>
  <c r="N2180" i="1" s="1"/>
  <c r="O2180" i="1" s="1"/>
  <c r="G2180" i="1"/>
  <c r="F2180" i="1"/>
  <c r="L2179" i="1"/>
  <c r="N2179" i="1" s="1"/>
  <c r="O2179" i="1" s="1"/>
  <c r="P2179" i="1" s="1"/>
  <c r="G2179" i="1"/>
  <c r="F2179" i="1"/>
  <c r="L2178" i="1"/>
  <c r="N2178" i="1" s="1"/>
  <c r="G2178" i="1"/>
  <c r="F2178" i="1"/>
  <c r="L2177" i="1"/>
  <c r="N2177" i="1" s="1"/>
  <c r="G2177" i="1"/>
  <c r="F2177" i="1"/>
  <c r="L2176" i="1"/>
  <c r="N2176" i="1" s="1"/>
  <c r="O2176" i="1" s="1"/>
  <c r="P2176" i="1" s="1"/>
  <c r="G2176" i="1"/>
  <c r="F2176" i="1"/>
  <c r="L2175" i="1"/>
  <c r="N2175" i="1" s="1"/>
  <c r="G2175" i="1"/>
  <c r="F2175" i="1"/>
  <c r="L2174" i="1"/>
  <c r="N2174" i="1" s="1"/>
  <c r="O2174" i="1" s="1"/>
  <c r="P2174" i="1" s="1"/>
  <c r="G2174" i="1"/>
  <c r="F2174" i="1"/>
  <c r="L2173" i="1"/>
  <c r="N2173" i="1" s="1"/>
  <c r="G2173" i="1"/>
  <c r="F2173" i="1"/>
  <c r="L2172" i="1"/>
  <c r="N2172" i="1" s="1"/>
  <c r="O2172" i="1" s="1"/>
  <c r="G2172" i="1"/>
  <c r="F2172" i="1"/>
  <c r="L2171" i="1"/>
  <c r="N2171" i="1" s="1"/>
  <c r="G2171" i="1"/>
  <c r="F2171" i="1"/>
  <c r="L2170" i="1"/>
  <c r="N2170" i="1" s="1"/>
  <c r="O2170" i="1" s="1"/>
  <c r="P2170" i="1" s="1"/>
  <c r="G2170" i="1"/>
  <c r="F2170" i="1"/>
  <c r="L2169" i="1"/>
  <c r="N2169" i="1" s="1"/>
  <c r="G2169" i="1"/>
  <c r="F2169" i="1"/>
  <c r="L2168" i="1"/>
  <c r="N2168" i="1" s="1"/>
  <c r="G2168" i="1"/>
  <c r="F2168" i="1"/>
  <c r="L2167" i="1"/>
  <c r="N2167" i="1" s="1"/>
  <c r="G2167" i="1"/>
  <c r="F2167" i="1"/>
  <c r="L2166" i="1"/>
  <c r="N2166" i="1" s="1"/>
  <c r="G2166" i="1"/>
  <c r="F2166" i="1"/>
  <c r="L2165" i="1"/>
  <c r="N2165" i="1" s="1"/>
  <c r="O2165" i="1" s="1"/>
  <c r="G2165" i="1"/>
  <c r="F2165" i="1"/>
  <c r="L2164" i="1"/>
  <c r="N2164" i="1" s="1"/>
  <c r="O2164" i="1" s="1"/>
  <c r="P2164" i="1" s="1"/>
  <c r="G2164" i="1"/>
  <c r="F2164" i="1"/>
  <c r="L2163" i="1"/>
  <c r="N2163" i="1" s="1"/>
  <c r="G2163" i="1"/>
  <c r="F2163" i="1"/>
  <c r="L2162" i="1"/>
  <c r="N2162" i="1" s="1"/>
  <c r="G2162" i="1"/>
  <c r="F2162" i="1"/>
  <c r="L2161" i="1"/>
  <c r="N2161" i="1" s="1"/>
  <c r="G2161" i="1"/>
  <c r="F2161" i="1"/>
  <c r="L2160" i="1"/>
  <c r="N2160" i="1" s="1"/>
  <c r="G2160" i="1"/>
  <c r="F2160" i="1"/>
  <c r="L2159" i="1"/>
  <c r="N2159" i="1" s="1"/>
  <c r="G2159" i="1"/>
  <c r="F2159" i="1"/>
  <c r="L2158" i="1"/>
  <c r="N2158" i="1" s="1"/>
  <c r="G2158" i="1"/>
  <c r="F2158" i="1"/>
  <c r="L2157" i="1"/>
  <c r="N2157" i="1" s="1"/>
  <c r="G2157" i="1"/>
  <c r="F2157" i="1"/>
  <c r="L2156" i="1"/>
  <c r="N2156" i="1" s="1"/>
  <c r="G2156" i="1"/>
  <c r="F2156" i="1"/>
  <c r="L2155" i="1"/>
  <c r="N2155" i="1" s="1"/>
  <c r="G2155" i="1"/>
  <c r="F2155" i="1"/>
  <c r="L2154" i="1"/>
  <c r="N2154" i="1" s="1"/>
  <c r="O2154" i="1" s="1"/>
  <c r="G2154" i="1"/>
  <c r="F2154" i="1"/>
  <c r="L2153" i="1"/>
  <c r="N2153" i="1" s="1"/>
  <c r="G2153" i="1"/>
  <c r="F2153" i="1"/>
  <c r="L2152" i="1"/>
  <c r="N2152" i="1" s="1"/>
  <c r="G2152" i="1"/>
  <c r="F2152" i="1"/>
  <c r="L2151" i="1"/>
  <c r="N2151" i="1" s="1"/>
  <c r="G2151" i="1"/>
  <c r="F2151" i="1"/>
  <c r="L2150" i="1"/>
  <c r="N2150" i="1" s="1"/>
  <c r="G2150" i="1"/>
  <c r="F2150" i="1"/>
  <c r="L2149" i="1"/>
  <c r="N2149" i="1" s="1"/>
  <c r="G2149" i="1"/>
  <c r="F2149" i="1"/>
  <c r="L2148" i="1"/>
  <c r="N2148" i="1" s="1"/>
  <c r="G2148" i="1"/>
  <c r="F2148" i="1"/>
  <c r="N2147" i="1"/>
  <c r="O2147" i="1" s="1"/>
  <c r="L2147" i="1"/>
  <c r="G2147" i="1"/>
  <c r="F2147" i="1"/>
  <c r="L2146" i="1"/>
  <c r="N2146" i="1" s="1"/>
  <c r="G2146" i="1"/>
  <c r="F2146" i="1"/>
  <c r="L2145" i="1"/>
  <c r="N2145" i="1" s="1"/>
  <c r="G2145" i="1"/>
  <c r="F2145" i="1"/>
  <c r="L2144" i="1"/>
  <c r="N2144" i="1" s="1"/>
  <c r="O2144" i="1" s="1"/>
  <c r="P2144" i="1" s="1"/>
  <c r="G2144" i="1"/>
  <c r="F2144" i="1"/>
  <c r="L2143" i="1"/>
  <c r="N2143" i="1" s="1"/>
  <c r="G2143" i="1"/>
  <c r="F2143" i="1"/>
  <c r="L2142" i="1"/>
  <c r="N2142" i="1" s="1"/>
  <c r="O2142" i="1" s="1"/>
  <c r="P2142" i="1" s="1"/>
  <c r="G2142" i="1"/>
  <c r="F2142" i="1"/>
  <c r="L2141" i="1"/>
  <c r="N2141" i="1" s="1"/>
  <c r="G2141" i="1"/>
  <c r="F2141" i="1"/>
  <c r="L2140" i="1"/>
  <c r="N2140" i="1" s="1"/>
  <c r="O2140" i="1" s="1"/>
  <c r="G2140" i="1"/>
  <c r="F2140" i="1"/>
  <c r="L2139" i="1"/>
  <c r="N2139" i="1" s="1"/>
  <c r="G2139" i="1"/>
  <c r="F2139" i="1"/>
  <c r="L2138" i="1"/>
  <c r="N2138" i="1" s="1"/>
  <c r="O2138" i="1" s="1"/>
  <c r="P2138" i="1" s="1"/>
  <c r="G2138" i="1"/>
  <c r="F2138" i="1"/>
  <c r="L2137" i="1"/>
  <c r="N2137" i="1" s="1"/>
  <c r="G2137" i="1"/>
  <c r="F2137" i="1"/>
  <c r="L2136" i="1"/>
  <c r="N2136" i="1" s="1"/>
  <c r="O2136" i="1" s="1"/>
  <c r="G2136" i="1"/>
  <c r="F2136" i="1"/>
  <c r="L2135" i="1"/>
  <c r="N2135" i="1" s="1"/>
  <c r="G2135" i="1"/>
  <c r="F2135" i="1"/>
  <c r="L2134" i="1"/>
  <c r="N2134" i="1" s="1"/>
  <c r="G2134" i="1"/>
  <c r="F2134" i="1"/>
  <c r="L2133" i="1"/>
  <c r="N2133" i="1" s="1"/>
  <c r="G2133" i="1"/>
  <c r="F2133" i="1"/>
  <c r="L2132" i="1"/>
  <c r="N2132" i="1" s="1"/>
  <c r="O2132" i="1" s="1"/>
  <c r="P2132" i="1" s="1"/>
  <c r="G2132" i="1"/>
  <c r="F2132" i="1"/>
  <c r="L2131" i="1"/>
  <c r="N2131" i="1" s="1"/>
  <c r="G2131" i="1"/>
  <c r="F2131" i="1"/>
  <c r="L2130" i="1"/>
  <c r="N2130" i="1" s="1"/>
  <c r="G2130" i="1"/>
  <c r="F2130" i="1"/>
  <c r="L2129" i="1"/>
  <c r="N2129" i="1" s="1"/>
  <c r="G2129" i="1"/>
  <c r="F2129" i="1"/>
  <c r="L2128" i="1"/>
  <c r="N2128" i="1" s="1"/>
  <c r="G2128" i="1"/>
  <c r="F2128" i="1"/>
  <c r="L2127" i="1"/>
  <c r="N2127" i="1" s="1"/>
  <c r="G2127" i="1"/>
  <c r="F2127" i="1"/>
  <c r="L2126" i="1"/>
  <c r="N2126" i="1" s="1"/>
  <c r="G2126" i="1"/>
  <c r="F2126" i="1"/>
  <c r="L2125" i="1"/>
  <c r="N2125" i="1" s="1"/>
  <c r="G2125" i="1"/>
  <c r="F2125" i="1"/>
  <c r="L2124" i="1"/>
  <c r="N2124" i="1" s="1"/>
  <c r="G2124" i="1"/>
  <c r="F2124" i="1"/>
  <c r="L2123" i="1"/>
  <c r="N2123" i="1" s="1"/>
  <c r="G2123" i="1"/>
  <c r="F2123" i="1"/>
  <c r="L2122" i="1"/>
  <c r="N2122" i="1" s="1"/>
  <c r="G2122" i="1"/>
  <c r="F2122" i="1"/>
  <c r="L2121" i="1"/>
  <c r="N2121" i="1" s="1"/>
  <c r="G2121" i="1"/>
  <c r="F2121" i="1"/>
  <c r="L2120" i="1"/>
  <c r="N2120" i="1" s="1"/>
  <c r="O2120" i="1" s="1"/>
  <c r="P2120" i="1" s="1"/>
  <c r="G2120" i="1"/>
  <c r="F2120" i="1"/>
  <c r="L2119" i="1"/>
  <c r="N2119" i="1" s="1"/>
  <c r="G2119" i="1"/>
  <c r="F2119" i="1"/>
  <c r="L2118" i="1"/>
  <c r="N2118" i="1" s="1"/>
  <c r="G2118" i="1"/>
  <c r="F2118" i="1"/>
  <c r="L2117" i="1"/>
  <c r="N2117" i="1" s="1"/>
  <c r="G2117" i="1"/>
  <c r="F2117" i="1"/>
  <c r="L2116" i="1"/>
  <c r="N2116" i="1" s="1"/>
  <c r="O2116" i="1" s="1"/>
  <c r="P2116" i="1" s="1"/>
  <c r="G2116" i="1"/>
  <c r="F2116" i="1"/>
  <c r="L2115" i="1"/>
  <c r="N2115" i="1" s="1"/>
  <c r="G2115" i="1"/>
  <c r="F2115" i="1"/>
  <c r="L2114" i="1"/>
  <c r="N2114" i="1" s="1"/>
  <c r="G2114" i="1"/>
  <c r="F2114" i="1"/>
  <c r="L2113" i="1"/>
  <c r="N2113" i="1" s="1"/>
  <c r="G2113" i="1"/>
  <c r="F2113" i="1"/>
  <c r="L2112" i="1"/>
  <c r="N2112" i="1" s="1"/>
  <c r="O2112" i="1" s="1"/>
  <c r="P2112" i="1" s="1"/>
  <c r="G2112" i="1"/>
  <c r="F2112" i="1"/>
  <c r="L2111" i="1"/>
  <c r="N2111" i="1" s="1"/>
  <c r="G2111" i="1"/>
  <c r="F2111" i="1"/>
  <c r="L2110" i="1"/>
  <c r="N2110" i="1" s="1"/>
  <c r="O2110" i="1" s="1"/>
  <c r="G2110" i="1"/>
  <c r="F2110" i="1"/>
  <c r="L2109" i="1"/>
  <c r="N2109" i="1" s="1"/>
  <c r="G2109" i="1"/>
  <c r="F2109" i="1"/>
  <c r="L2108" i="1"/>
  <c r="N2108" i="1" s="1"/>
  <c r="G2108" i="1"/>
  <c r="F2108" i="1"/>
  <c r="N2107" i="1"/>
  <c r="L2107" i="1"/>
  <c r="G2107" i="1"/>
  <c r="F2107" i="1"/>
  <c r="L2106" i="1"/>
  <c r="N2106" i="1" s="1"/>
  <c r="G2106" i="1"/>
  <c r="F2106" i="1"/>
  <c r="L2105" i="1"/>
  <c r="N2105" i="1" s="1"/>
  <c r="G2105" i="1"/>
  <c r="F2105" i="1"/>
  <c r="L2104" i="1"/>
  <c r="N2104" i="1" s="1"/>
  <c r="G2104" i="1"/>
  <c r="F2104" i="1"/>
  <c r="L2103" i="1"/>
  <c r="N2103" i="1" s="1"/>
  <c r="G2103" i="1"/>
  <c r="F2103" i="1"/>
  <c r="L2102" i="1"/>
  <c r="N2102" i="1" s="1"/>
  <c r="G2102" i="1"/>
  <c r="F2102" i="1"/>
  <c r="L2101" i="1"/>
  <c r="N2101" i="1" s="1"/>
  <c r="O2101" i="1" s="1"/>
  <c r="G2101" i="1"/>
  <c r="F2101" i="1"/>
  <c r="L2100" i="1"/>
  <c r="N2100" i="1" s="1"/>
  <c r="O2100" i="1" s="1"/>
  <c r="P2100" i="1" s="1"/>
  <c r="G2100" i="1"/>
  <c r="F2100" i="1"/>
  <c r="L2099" i="1"/>
  <c r="N2099" i="1" s="1"/>
  <c r="G2099" i="1"/>
  <c r="F2099" i="1"/>
  <c r="L2098" i="1"/>
  <c r="N2098" i="1" s="1"/>
  <c r="G2098" i="1"/>
  <c r="F2098" i="1"/>
  <c r="L2097" i="1"/>
  <c r="N2097" i="1" s="1"/>
  <c r="G2097" i="1"/>
  <c r="F2097" i="1"/>
  <c r="L2096" i="1"/>
  <c r="N2096" i="1" s="1"/>
  <c r="G2096" i="1"/>
  <c r="F2096" i="1"/>
  <c r="L2095" i="1"/>
  <c r="N2095" i="1" s="1"/>
  <c r="G2095" i="1"/>
  <c r="F2095" i="1"/>
  <c r="L2094" i="1"/>
  <c r="N2094" i="1" s="1"/>
  <c r="G2094" i="1"/>
  <c r="F2094" i="1"/>
  <c r="L2093" i="1"/>
  <c r="N2093" i="1" s="1"/>
  <c r="G2093" i="1"/>
  <c r="F2093" i="1"/>
  <c r="L2092" i="1"/>
  <c r="N2092" i="1" s="1"/>
  <c r="G2092" i="1"/>
  <c r="F2092" i="1"/>
  <c r="L2091" i="1"/>
  <c r="N2091" i="1" s="1"/>
  <c r="G2091" i="1"/>
  <c r="F2091" i="1"/>
  <c r="L2090" i="1"/>
  <c r="N2090" i="1" s="1"/>
  <c r="O2090" i="1" s="1"/>
  <c r="G2090" i="1"/>
  <c r="F2090" i="1"/>
  <c r="L2089" i="1"/>
  <c r="N2089" i="1" s="1"/>
  <c r="G2089" i="1"/>
  <c r="F2089" i="1"/>
  <c r="L2088" i="1"/>
  <c r="N2088" i="1" s="1"/>
  <c r="G2088" i="1"/>
  <c r="F2088" i="1"/>
  <c r="L2087" i="1"/>
  <c r="N2087" i="1" s="1"/>
  <c r="G2087" i="1"/>
  <c r="F2087" i="1"/>
  <c r="L2086" i="1"/>
  <c r="N2086" i="1" s="1"/>
  <c r="G2086" i="1"/>
  <c r="F2086" i="1"/>
  <c r="L2085" i="1"/>
  <c r="N2085" i="1" s="1"/>
  <c r="G2085" i="1"/>
  <c r="F2085" i="1"/>
  <c r="L2084" i="1"/>
  <c r="N2084" i="1" s="1"/>
  <c r="G2084" i="1"/>
  <c r="F2084" i="1"/>
  <c r="L2083" i="1"/>
  <c r="N2083" i="1" s="1"/>
  <c r="G2083" i="1"/>
  <c r="F2083" i="1"/>
  <c r="L2082" i="1"/>
  <c r="N2082" i="1" s="1"/>
  <c r="O2082" i="1" s="1"/>
  <c r="G2082" i="1"/>
  <c r="F2082" i="1"/>
  <c r="L2081" i="1"/>
  <c r="N2081" i="1" s="1"/>
  <c r="O2081" i="1" s="1"/>
  <c r="G2081" i="1"/>
  <c r="F2081" i="1"/>
  <c r="L2080" i="1"/>
  <c r="N2080" i="1" s="1"/>
  <c r="O2080" i="1" s="1"/>
  <c r="G2080" i="1"/>
  <c r="F2080" i="1"/>
  <c r="L2079" i="1"/>
  <c r="N2079" i="1" s="1"/>
  <c r="G2079" i="1"/>
  <c r="F2079" i="1"/>
  <c r="L2078" i="1"/>
  <c r="N2078" i="1" s="1"/>
  <c r="G2078" i="1"/>
  <c r="F2078" i="1"/>
  <c r="L2077" i="1"/>
  <c r="N2077" i="1" s="1"/>
  <c r="G2077" i="1"/>
  <c r="F2077" i="1"/>
  <c r="L2076" i="1"/>
  <c r="N2076" i="1" s="1"/>
  <c r="G2076" i="1"/>
  <c r="F2076" i="1"/>
  <c r="L2075" i="1"/>
  <c r="N2075" i="1" s="1"/>
  <c r="G2075" i="1"/>
  <c r="F2075" i="1"/>
  <c r="L2074" i="1"/>
  <c r="N2074" i="1" s="1"/>
  <c r="G2074" i="1"/>
  <c r="F2074" i="1"/>
  <c r="L2073" i="1"/>
  <c r="N2073" i="1" s="1"/>
  <c r="O2073" i="1" s="1"/>
  <c r="G2073" i="1"/>
  <c r="F2073" i="1"/>
  <c r="L2072" i="1"/>
  <c r="N2072" i="1" s="1"/>
  <c r="O2072" i="1" s="1"/>
  <c r="G2072" i="1"/>
  <c r="F2072" i="1"/>
  <c r="L2071" i="1"/>
  <c r="N2071" i="1" s="1"/>
  <c r="G2071" i="1"/>
  <c r="F2071" i="1"/>
  <c r="L2070" i="1"/>
  <c r="N2070" i="1" s="1"/>
  <c r="G2070" i="1"/>
  <c r="F2070" i="1"/>
  <c r="L2069" i="1"/>
  <c r="N2069" i="1" s="1"/>
  <c r="G2069" i="1"/>
  <c r="F2069" i="1"/>
  <c r="L2068" i="1"/>
  <c r="N2068" i="1" s="1"/>
  <c r="G2068" i="1"/>
  <c r="F2068" i="1"/>
  <c r="L2067" i="1"/>
  <c r="N2067" i="1" s="1"/>
  <c r="G2067" i="1"/>
  <c r="F2067" i="1"/>
  <c r="L2066" i="1"/>
  <c r="N2066" i="1" s="1"/>
  <c r="O2066" i="1" s="1"/>
  <c r="P2066" i="1" s="1"/>
  <c r="G2066" i="1"/>
  <c r="F2066" i="1"/>
  <c r="L2065" i="1"/>
  <c r="N2065" i="1" s="1"/>
  <c r="G2065" i="1"/>
  <c r="F2065" i="1"/>
  <c r="L2064" i="1"/>
  <c r="N2064" i="1" s="1"/>
  <c r="G2064" i="1"/>
  <c r="F2064" i="1"/>
  <c r="L2063" i="1"/>
  <c r="N2063" i="1" s="1"/>
  <c r="G2063" i="1"/>
  <c r="F2063" i="1"/>
  <c r="L2062" i="1"/>
  <c r="N2062" i="1" s="1"/>
  <c r="G2062" i="1"/>
  <c r="F2062" i="1"/>
  <c r="L2061" i="1"/>
  <c r="N2061" i="1" s="1"/>
  <c r="G2061" i="1"/>
  <c r="F2061" i="1"/>
  <c r="L2060" i="1"/>
  <c r="N2060" i="1" s="1"/>
  <c r="O2060" i="1" s="1"/>
  <c r="G2060" i="1"/>
  <c r="F2060" i="1"/>
  <c r="L2059" i="1"/>
  <c r="N2059" i="1" s="1"/>
  <c r="O2059" i="1" s="1"/>
  <c r="P2059" i="1" s="1"/>
  <c r="G2059" i="1"/>
  <c r="F2059" i="1"/>
  <c r="L2058" i="1"/>
  <c r="N2058" i="1" s="1"/>
  <c r="G2058" i="1"/>
  <c r="F2058" i="1"/>
  <c r="L2057" i="1"/>
  <c r="N2057" i="1" s="1"/>
  <c r="O2057" i="1" s="1"/>
  <c r="G2057" i="1"/>
  <c r="F2057" i="1"/>
  <c r="L2056" i="1"/>
  <c r="N2056" i="1" s="1"/>
  <c r="G2056" i="1"/>
  <c r="F2056" i="1"/>
  <c r="N2055" i="1"/>
  <c r="L2055" i="1"/>
  <c r="G2055" i="1"/>
  <c r="F2055" i="1"/>
  <c r="L2054" i="1"/>
  <c r="N2054" i="1" s="1"/>
  <c r="G2054" i="1"/>
  <c r="F2054" i="1"/>
  <c r="L2053" i="1"/>
  <c r="N2053" i="1" s="1"/>
  <c r="G2053" i="1"/>
  <c r="F2053" i="1"/>
  <c r="L2052" i="1"/>
  <c r="N2052" i="1" s="1"/>
  <c r="O2052" i="1" s="1"/>
  <c r="P2052" i="1" s="1"/>
  <c r="G2052" i="1"/>
  <c r="F2052" i="1"/>
  <c r="L2051" i="1"/>
  <c r="N2051" i="1" s="1"/>
  <c r="O2051" i="1" s="1"/>
  <c r="G2051" i="1"/>
  <c r="F2051" i="1"/>
  <c r="L2050" i="1"/>
  <c r="N2050" i="1" s="1"/>
  <c r="G2050" i="1"/>
  <c r="F2050" i="1"/>
  <c r="L2049" i="1"/>
  <c r="N2049" i="1" s="1"/>
  <c r="G2049" i="1"/>
  <c r="F2049" i="1"/>
  <c r="L2048" i="1"/>
  <c r="N2048" i="1" s="1"/>
  <c r="O2048" i="1" s="1"/>
  <c r="G2048" i="1"/>
  <c r="F2048" i="1"/>
  <c r="L2047" i="1"/>
  <c r="N2047" i="1" s="1"/>
  <c r="O2047" i="1" s="1"/>
  <c r="G2047" i="1"/>
  <c r="F2047" i="1"/>
  <c r="L2046" i="1"/>
  <c r="N2046" i="1" s="1"/>
  <c r="G2046" i="1"/>
  <c r="F2046" i="1"/>
  <c r="L2045" i="1"/>
  <c r="N2045" i="1" s="1"/>
  <c r="G2045" i="1"/>
  <c r="F2045" i="1"/>
  <c r="L2044" i="1"/>
  <c r="N2044" i="1" s="1"/>
  <c r="G2044" i="1"/>
  <c r="F2044" i="1"/>
  <c r="N2043" i="1"/>
  <c r="L2043" i="1"/>
  <c r="G2043" i="1"/>
  <c r="F2043" i="1"/>
  <c r="L2042" i="1"/>
  <c r="N2042" i="1" s="1"/>
  <c r="G2042" i="1"/>
  <c r="F2042" i="1"/>
  <c r="L2041" i="1"/>
  <c r="N2041" i="1" s="1"/>
  <c r="O2041" i="1" s="1"/>
  <c r="G2041" i="1"/>
  <c r="F2041" i="1"/>
  <c r="L2040" i="1"/>
  <c r="N2040" i="1" s="1"/>
  <c r="O2040" i="1" s="1"/>
  <c r="P2040" i="1" s="1"/>
  <c r="G2040" i="1"/>
  <c r="F2040" i="1"/>
  <c r="L2039" i="1"/>
  <c r="N2039" i="1" s="1"/>
  <c r="G2039" i="1"/>
  <c r="F2039" i="1"/>
  <c r="L2038" i="1"/>
  <c r="N2038" i="1" s="1"/>
  <c r="G2038" i="1"/>
  <c r="F2038" i="1"/>
  <c r="L2037" i="1"/>
  <c r="N2037" i="1" s="1"/>
  <c r="G2037" i="1"/>
  <c r="F2037" i="1"/>
  <c r="N2036" i="1"/>
  <c r="L2036" i="1"/>
  <c r="G2036" i="1"/>
  <c r="F2036" i="1"/>
  <c r="L2035" i="1"/>
  <c r="N2035" i="1" s="1"/>
  <c r="O2035" i="1" s="1"/>
  <c r="P2035" i="1" s="1"/>
  <c r="G2035" i="1"/>
  <c r="F2035" i="1"/>
  <c r="L2034" i="1"/>
  <c r="N2034" i="1" s="1"/>
  <c r="G2034" i="1"/>
  <c r="F2034" i="1"/>
  <c r="L2033" i="1"/>
  <c r="N2033" i="1" s="1"/>
  <c r="G2033" i="1"/>
  <c r="F2033" i="1"/>
  <c r="L2032" i="1"/>
  <c r="N2032" i="1" s="1"/>
  <c r="G2032" i="1"/>
  <c r="F2032" i="1"/>
  <c r="N2031" i="1"/>
  <c r="L2031" i="1"/>
  <c r="G2031" i="1"/>
  <c r="F2031" i="1"/>
  <c r="L2030" i="1"/>
  <c r="N2030" i="1" s="1"/>
  <c r="G2030" i="1"/>
  <c r="F2030" i="1"/>
  <c r="L2029" i="1"/>
  <c r="N2029" i="1" s="1"/>
  <c r="G2029" i="1"/>
  <c r="F2029" i="1"/>
  <c r="L2028" i="1"/>
  <c r="N2028" i="1" s="1"/>
  <c r="G2028" i="1"/>
  <c r="F2028" i="1"/>
  <c r="L2027" i="1"/>
  <c r="N2027" i="1" s="1"/>
  <c r="O2027" i="1" s="1"/>
  <c r="P2027" i="1" s="1"/>
  <c r="G2027" i="1"/>
  <c r="F2027" i="1"/>
  <c r="L2026" i="1"/>
  <c r="N2026" i="1" s="1"/>
  <c r="G2026" i="1"/>
  <c r="F2026" i="1"/>
  <c r="L2025" i="1"/>
  <c r="N2025" i="1" s="1"/>
  <c r="G2025" i="1"/>
  <c r="F2025" i="1"/>
  <c r="L2024" i="1"/>
  <c r="N2024" i="1" s="1"/>
  <c r="G2024" i="1"/>
  <c r="F2024" i="1"/>
  <c r="L2023" i="1"/>
  <c r="N2023" i="1" s="1"/>
  <c r="G2023" i="1"/>
  <c r="F2023" i="1"/>
  <c r="N2022" i="1"/>
  <c r="L2022" i="1"/>
  <c r="G2022" i="1"/>
  <c r="F2022" i="1"/>
  <c r="L2021" i="1"/>
  <c r="N2021" i="1" s="1"/>
  <c r="G2021" i="1"/>
  <c r="F2021" i="1"/>
  <c r="L2020" i="1"/>
  <c r="G2020" i="1"/>
  <c r="F2020" i="1"/>
  <c r="L2019" i="1"/>
  <c r="N2019" i="1" s="1"/>
  <c r="G2019" i="1"/>
  <c r="F2019" i="1"/>
  <c r="L2018" i="1"/>
  <c r="N2018" i="1" s="1"/>
  <c r="O2018" i="1" s="1"/>
  <c r="G2018" i="1"/>
  <c r="F2018" i="1"/>
  <c r="L2017" i="1"/>
  <c r="N2017" i="1" s="1"/>
  <c r="G2017" i="1"/>
  <c r="F2017" i="1"/>
  <c r="L2016" i="1"/>
  <c r="N2016" i="1" s="1"/>
  <c r="G2016" i="1"/>
  <c r="F2016" i="1"/>
  <c r="L2015" i="1"/>
  <c r="O2015" i="1" s="1"/>
  <c r="G2015" i="1"/>
  <c r="F2015" i="1"/>
  <c r="L2014" i="1"/>
  <c r="N2014" i="1" s="1"/>
  <c r="G2014" i="1"/>
  <c r="F2014" i="1"/>
  <c r="L2013" i="1"/>
  <c r="N2013" i="1" s="1"/>
  <c r="G2013" i="1"/>
  <c r="F2013" i="1"/>
  <c r="L2012" i="1"/>
  <c r="N2012" i="1" s="1"/>
  <c r="G2012" i="1"/>
  <c r="F2012" i="1"/>
  <c r="L2011" i="1"/>
  <c r="N2011" i="1" s="1"/>
  <c r="G2011" i="1"/>
  <c r="F2011" i="1"/>
  <c r="L2010" i="1"/>
  <c r="G2010" i="1"/>
  <c r="F2010" i="1"/>
  <c r="L2009" i="1"/>
  <c r="N2009" i="1" s="1"/>
  <c r="O2009" i="1" s="1"/>
  <c r="P2009" i="1" s="1"/>
  <c r="G2009" i="1"/>
  <c r="F2009" i="1"/>
  <c r="L2008" i="1"/>
  <c r="N2008" i="1" s="1"/>
  <c r="G2008" i="1"/>
  <c r="F2008" i="1"/>
  <c r="L2007" i="1"/>
  <c r="N2007" i="1" s="1"/>
  <c r="G2007" i="1"/>
  <c r="F2007" i="1"/>
  <c r="L2006" i="1"/>
  <c r="N2006" i="1" s="1"/>
  <c r="O2006" i="1" s="1"/>
  <c r="G2006" i="1"/>
  <c r="F2006" i="1"/>
  <c r="L2005" i="1"/>
  <c r="N2005" i="1" s="1"/>
  <c r="G2005" i="1"/>
  <c r="F2005" i="1"/>
  <c r="L2004" i="1"/>
  <c r="N2004" i="1" s="1"/>
  <c r="G2004" i="1"/>
  <c r="F2004" i="1"/>
  <c r="L2003" i="1"/>
  <c r="N2003" i="1" s="1"/>
  <c r="G2003" i="1"/>
  <c r="F2003" i="1"/>
  <c r="L2002" i="1"/>
  <c r="N2002" i="1" s="1"/>
  <c r="G2002" i="1"/>
  <c r="F2002" i="1"/>
  <c r="L2001" i="1"/>
  <c r="N2001" i="1" s="1"/>
  <c r="G2001" i="1"/>
  <c r="F2001" i="1"/>
  <c r="L2000" i="1"/>
  <c r="N2000" i="1" s="1"/>
  <c r="G2000" i="1"/>
  <c r="F2000" i="1"/>
  <c r="L1999" i="1"/>
  <c r="N1999" i="1" s="1"/>
  <c r="G1999" i="1"/>
  <c r="F1999" i="1"/>
  <c r="L1998" i="1"/>
  <c r="N1998" i="1" s="1"/>
  <c r="G1998" i="1"/>
  <c r="F1998" i="1"/>
  <c r="L1997" i="1"/>
  <c r="N1997" i="1" s="1"/>
  <c r="G1997" i="1"/>
  <c r="F1997" i="1"/>
  <c r="L1996" i="1"/>
  <c r="O1996" i="1" s="1"/>
  <c r="G1996" i="1"/>
  <c r="F1996" i="1"/>
  <c r="L1995" i="1"/>
  <c r="N1995" i="1" s="1"/>
  <c r="G1995" i="1"/>
  <c r="F1995" i="1"/>
  <c r="L1994" i="1"/>
  <c r="N1994" i="1" s="1"/>
  <c r="G1994" i="1"/>
  <c r="F1994" i="1"/>
  <c r="L1993" i="1"/>
  <c r="N1993" i="1" s="1"/>
  <c r="O1993" i="1" s="1"/>
  <c r="G1993" i="1"/>
  <c r="F1993" i="1"/>
  <c r="L1992" i="1"/>
  <c r="N1992" i="1" s="1"/>
  <c r="O1992" i="1" s="1"/>
  <c r="G1992" i="1"/>
  <c r="F1992" i="1"/>
  <c r="L1991" i="1"/>
  <c r="N1991" i="1" s="1"/>
  <c r="G1991" i="1"/>
  <c r="F1991" i="1"/>
  <c r="L1990" i="1"/>
  <c r="N1990" i="1" s="1"/>
  <c r="G1990" i="1"/>
  <c r="F1990" i="1"/>
  <c r="L1989" i="1"/>
  <c r="N1989" i="1" s="1"/>
  <c r="G1989" i="1"/>
  <c r="F1989" i="1"/>
  <c r="L1988" i="1"/>
  <c r="N1988" i="1" s="1"/>
  <c r="G1988" i="1"/>
  <c r="F1988" i="1"/>
  <c r="L1987" i="1"/>
  <c r="O1987" i="1" s="1"/>
  <c r="G1987" i="1"/>
  <c r="F1987" i="1"/>
  <c r="L1986" i="1"/>
  <c r="N1986" i="1" s="1"/>
  <c r="G1986" i="1"/>
  <c r="F1986" i="1"/>
  <c r="L1985" i="1"/>
  <c r="N1985" i="1" s="1"/>
  <c r="G1985" i="1"/>
  <c r="F1985" i="1"/>
  <c r="L1984" i="1"/>
  <c r="N1984" i="1" s="1"/>
  <c r="G1984" i="1"/>
  <c r="F1984" i="1"/>
  <c r="L1983" i="1"/>
  <c r="N1983" i="1" s="1"/>
  <c r="O1983" i="1" s="1"/>
  <c r="G1983" i="1"/>
  <c r="F1983" i="1"/>
  <c r="L1982" i="1"/>
  <c r="G1982" i="1"/>
  <c r="F1982" i="1"/>
  <c r="L1981" i="1"/>
  <c r="N1981" i="1" s="1"/>
  <c r="G1981" i="1"/>
  <c r="F1981" i="1"/>
  <c r="L1980" i="1"/>
  <c r="N1980" i="1" s="1"/>
  <c r="G1980" i="1"/>
  <c r="F1980" i="1"/>
  <c r="L1979" i="1"/>
  <c r="N1979" i="1" s="1"/>
  <c r="G1979" i="1"/>
  <c r="F1979" i="1"/>
  <c r="L1978" i="1"/>
  <c r="N1978" i="1" s="1"/>
  <c r="G1978" i="1"/>
  <c r="F1978" i="1"/>
  <c r="L1977" i="1"/>
  <c r="N1977" i="1" s="1"/>
  <c r="G1977" i="1"/>
  <c r="F1977" i="1"/>
  <c r="L1976" i="1"/>
  <c r="N1976" i="1" s="1"/>
  <c r="O1976" i="1" s="1"/>
  <c r="G1976" i="1"/>
  <c r="F1976" i="1"/>
  <c r="L1975" i="1"/>
  <c r="N1975" i="1" s="1"/>
  <c r="G1975" i="1"/>
  <c r="F1975" i="1"/>
  <c r="L1974" i="1"/>
  <c r="N1974" i="1" s="1"/>
  <c r="G1974" i="1"/>
  <c r="F1974" i="1"/>
  <c r="L1973" i="1"/>
  <c r="G1973" i="1"/>
  <c r="F1973" i="1"/>
  <c r="L1972" i="1"/>
  <c r="N1972" i="1" s="1"/>
  <c r="O1972" i="1" s="1"/>
  <c r="P1972" i="1" s="1"/>
  <c r="G1972" i="1"/>
  <c r="F1972" i="1"/>
  <c r="L1971" i="1"/>
  <c r="N1971" i="1" s="1"/>
  <c r="G1971" i="1"/>
  <c r="F1971" i="1"/>
  <c r="L1970" i="1"/>
  <c r="N1970" i="1" s="1"/>
  <c r="G1970" i="1"/>
  <c r="F1970" i="1"/>
  <c r="L1969" i="1"/>
  <c r="N1969" i="1" s="1"/>
  <c r="G1969" i="1"/>
  <c r="F1969" i="1"/>
  <c r="L1968" i="1"/>
  <c r="O1968" i="1" s="1"/>
  <c r="G1968" i="1"/>
  <c r="F1968" i="1"/>
  <c r="L1967" i="1"/>
  <c r="N1967" i="1" s="1"/>
  <c r="G1967" i="1"/>
  <c r="F1967" i="1"/>
  <c r="L1966" i="1"/>
  <c r="N1966" i="1" s="1"/>
  <c r="G1966" i="1"/>
  <c r="F1966" i="1"/>
  <c r="L1965" i="1"/>
  <c r="N1965" i="1" s="1"/>
  <c r="G1965" i="1"/>
  <c r="F1965" i="1"/>
  <c r="L1964" i="1"/>
  <c r="N1964" i="1" s="1"/>
  <c r="G1964" i="1"/>
  <c r="F1964" i="1"/>
  <c r="L1963" i="1"/>
  <c r="N1963" i="1" s="1"/>
  <c r="O1963" i="1" s="1"/>
  <c r="G1963" i="1"/>
  <c r="F1963" i="1"/>
  <c r="L1962" i="1"/>
  <c r="N1962" i="1" s="1"/>
  <c r="O1962" i="1" s="1"/>
  <c r="G1962" i="1"/>
  <c r="F1962" i="1"/>
  <c r="L1961" i="1"/>
  <c r="N1961" i="1" s="1"/>
  <c r="G1961" i="1"/>
  <c r="F1961" i="1"/>
  <c r="L1960" i="1"/>
  <c r="N1960" i="1" s="1"/>
  <c r="G1960" i="1"/>
  <c r="F1960" i="1"/>
  <c r="L1959" i="1"/>
  <c r="O1959" i="1" s="1"/>
  <c r="G1959" i="1"/>
  <c r="F1959" i="1"/>
  <c r="N1958" i="1"/>
  <c r="L1958" i="1"/>
  <c r="G1958" i="1"/>
  <c r="F1958" i="1"/>
  <c r="L1957" i="1"/>
  <c r="N1957" i="1" s="1"/>
  <c r="G1957" i="1"/>
  <c r="F1957" i="1"/>
  <c r="L1956" i="1"/>
  <c r="N1956" i="1" s="1"/>
  <c r="G1956" i="1"/>
  <c r="F1956" i="1"/>
  <c r="L1955" i="1"/>
  <c r="N1955" i="1" s="1"/>
  <c r="G1955" i="1"/>
  <c r="F1955" i="1"/>
  <c r="N1954" i="1"/>
  <c r="L1954" i="1"/>
  <c r="O1954" i="1" s="1"/>
  <c r="G1954" i="1"/>
  <c r="F1954" i="1"/>
  <c r="O1953" i="1"/>
  <c r="L1953" i="1"/>
  <c r="N1953" i="1" s="1"/>
  <c r="G1953" i="1"/>
  <c r="F1953" i="1"/>
  <c r="O1952" i="1"/>
  <c r="L1952" i="1"/>
  <c r="N1952" i="1" s="1"/>
  <c r="G1952" i="1"/>
  <c r="F1952" i="1"/>
  <c r="N1951" i="1"/>
  <c r="L1951" i="1"/>
  <c r="G1951" i="1"/>
  <c r="F1951" i="1"/>
  <c r="O1950" i="1"/>
  <c r="L1950" i="1"/>
  <c r="N1950" i="1" s="1"/>
  <c r="G1950" i="1"/>
  <c r="F1950" i="1"/>
  <c r="N1949" i="1"/>
  <c r="L1949" i="1"/>
  <c r="G1949" i="1"/>
  <c r="F1949" i="1"/>
  <c r="L1948" i="1"/>
  <c r="N1948" i="1" s="1"/>
  <c r="G1948" i="1"/>
  <c r="F1948" i="1"/>
  <c r="L1947" i="1"/>
  <c r="N1947" i="1" s="1"/>
  <c r="G1947" i="1"/>
  <c r="F1947" i="1"/>
  <c r="L1946" i="1"/>
  <c r="N1946" i="1" s="1"/>
  <c r="G1946" i="1"/>
  <c r="F1946" i="1"/>
  <c r="L1945" i="1"/>
  <c r="N1945" i="1" s="1"/>
  <c r="G1945" i="1"/>
  <c r="F1945" i="1"/>
  <c r="L1944" i="1"/>
  <c r="N1944" i="1" s="1"/>
  <c r="G1944" i="1"/>
  <c r="F1944" i="1"/>
  <c r="L1943" i="1"/>
  <c r="N1943" i="1" s="1"/>
  <c r="G1943" i="1"/>
  <c r="F1943" i="1"/>
  <c r="L1942" i="1"/>
  <c r="N1942" i="1" s="1"/>
  <c r="G1942" i="1"/>
  <c r="F1942" i="1"/>
  <c r="L1941" i="1"/>
  <c r="N1941" i="1" s="1"/>
  <c r="G1941" i="1"/>
  <c r="F1941" i="1"/>
  <c r="L1940" i="1"/>
  <c r="N1940" i="1" s="1"/>
  <c r="O1940" i="1" s="1"/>
  <c r="G1940" i="1"/>
  <c r="F1940" i="1"/>
  <c r="L1939" i="1"/>
  <c r="N1939" i="1" s="1"/>
  <c r="O1939" i="1" s="1"/>
  <c r="P1939" i="1" s="1"/>
  <c r="G1939" i="1"/>
  <c r="F1939" i="1"/>
  <c r="L1938" i="1"/>
  <c r="N1938" i="1" s="1"/>
  <c r="G1938" i="1"/>
  <c r="F1938" i="1"/>
  <c r="L1937" i="1"/>
  <c r="N1937" i="1" s="1"/>
  <c r="O1937" i="1" s="1"/>
  <c r="G1937" i="1"/>
  <c r="F1937" i="1"/>
  <c r="L1936" i="1"/>
  <c r="O1936" i="1" s="1"/>
  <c r="G1936" i="1"/>
  <c r="F1936" i="1"/>
  <c r="L1935" i="1"/>
  <c r="N1935" i="1" s="1"/>
  <c r="G1935" i="1"/>
  <c r="F1935" i="1"/>
  <c r="L1934" i="1"/>
  <c r="N1934" i="1" s="1"/>
  <c r="G1934" i="1"/>
  <c r="F1934" i="1"/>
  <c r="N1933" i="1"/>
  <c r="L1933" i="1"/>
  <c r="G1933" i="1"/>
  <c r="F1933" i="1"/>
  <c r="L1932" i="1"/>
  <c r="N1932" i="1" s="1"/>
  <c r="G1932" i="1"/>
  <c r="F1932" i="1"/>
  <c r="L1931" i="1"/>
  <c r="N1931" i="1" s="1"/>
  <c r="O1931" i="1" s="1"/>
  <c r="P1931" i="1" s="1"/>
  <c r="G1931" i="1"/>
  <c r="F1931" i="1"/>
  <c r="L1930" i="1"/>
  <c r="N1930" i="1" s="1"/>
  <c r="G1930" i="1"/>
  <c r="F1930" i="1"/>
  <c r="L1929" i="1"/>
  <c r="N1929" i="1" s="1"/>
  <c r="G1929" i="1"/>
  <c r="F1929" i="1"/>
  <c r="L1928" i="1"/>
  <c r="N1928" i="1" s="1"/>
  <c r="G1928" i="1"/>
  <c r="F1928" i="1"/>
  <c r="O1927" i="1"/>
  <c r="P1927" i="1" s="1"/>
  <c r="L1927" i="1"/>
  <c r="N1927" i="1" s="1"/>
  <c r="G1927" i="1"/>
  <c r="F1927" i="1"/>
  <c r="N1926" i="1"/>
  <c r="L1926" i="1"/>
  <c r="O1926" i="1" s="1"/>
  <c r="G1926" i="1"/>
  <c r="F1926" i="1"/>
  <c r="L1925" i="1"/>
  <c r="O1925" i="1" s="1"/>
  <c r="G1925" i="1"/>
  <c r="F1925" i="1"/>
  <c r="L1924" i="1"/>
  <c r="N1924" i="1" s="1"/>
  <c r="G1924" i="1"/>
  <c r="F1924" i="1"/>
  <c r="L1923" i="1"/>
  <c r="N1923" i="1" s="1"/>
  <c r="G1923" i="1"/>
  <c r="F1923" i="1"/>
  <c r="L1922" i="1"/>
  <c r="N1922" i="1" s="1"/>
  <c r="O1922" i="1" s="1"/>
  <c r="G1922" i="1"/>
  <c r="F1922" i="1"/>
  <c r="N1921" i="1"/>
  <c r="L1921" i="1"/>
  <c r="G1921" i="1"/>
  <c r="F1921" i="1"/>
  <c r="L1920" i="1"/>
  <c r="N1920" i="1" s="1"/>
  <c r="G1920" i="1"/>
  <c r="F1920" i="1"/>
  <c r="L1919" i="1"/>
  <c r="N1919" i="1" s="1"/>
  <c r="G1919" i="1"/>
  <c r="F1919" i="1"/>
  <c r="L1918" i="1"/>
  <c r="O1918" i="1" s="1"/>
  <c r="G1918" i="1"/>
  <c r="F1918" i="1"/>
  <c r="L1917" i="1"/>
  <c r="N1917" i="1" s="1"/>
  <c r="G1917" i="1"/>
  <c r="F1917" i="1"/>
  <c r="L1916" i="1"/>
  <c r="N1916" i="1" s="1"/>
  <c r="G1916" i="1"/>
  <c r="F1916" i="1"/>
  <c r="L1915" i="1"/>
  <c r="N1915" i="1" s="1"/>
  <c r="G1915" i="1"/>
  <c r="F1915" i="1"/>
  <c r="L1914" i="1"/>
  <c r="O1914" i="1" s="1"/>
  <c r="G1914" i="1"/>
  <c r="F1914" i="1"/>
  <c r="L1913" i="1"/>
  <c r="N1913" i="1" s="1"/>
  <c r="G1913" i="1"/>
  <c r="F1913" i="1"/>
  <c r="L1912" i="1"/>
  <c r="N1912" i="1" s="1"/>
  <c r="G1912" i="1"/>
  <c r="F1912" i="1"/>
  <c r="L1911" i="1"/>
  <c r="N1911" i="1" s="1"/>
  <c r="G1911" i="1"/>
  <c r="F1911" i="1"/>
  <c r="L1910" i="1"/>
  <c r="N1910" i="1" s="1"/>
  <c r="G1910" i="1"/>
  <c r="F1910" i="1"/>
  <c r="L1909" i="1"/>
  <c r="N1909" i="1" s="1"/>
  <c r="G1909" i="1"/>
  <c r="F1909" i="1"/>
  <c r="N1908" i="1"/>
  <c r="L1908" i="1"/>
  <c r="G1908" i="1"/>
  <c r="F1908" i="1"/>
  <c r="L1907" i="1"/>
  <c r="N1907" i="1" s="1"/>
  <c r="G1907" i="1"/>
  <c r="F1907" i="1"/>
  <c r="N1906" i="1"/>
  <c r="L1906" i="1"/>
  <c r="G1906" i="1"/>
  <c r="F1906" i="1"/>
  <c r="L1905" i="1"/>
  <c r="N1905" i="1" s="1"/>
  <c r="G1905" i="1"/>
  <c r="F1905" i="1"/>
  <c r="L1904" i="1"/>
  <c r="N1904" i="1" s="1"/>
  <c r="G1904" i="1"/>
  <c r="F1904" i="1"/>
  <c r="L1903" i="1"/>
  <c r="N1903" i="1" s="1"/>
  <c r="G1903" i="1"/>
  <c r="F1903" i="1"/>
  <c r="L1902" i="1"/>
  <c r="N1902" i="1" s="1"/>
  <c r="G1902" i="1"/>
  <c r="F1902" i="1"/>
  <c r="L1901" i="1"/>
  <c r="N1901" i="1" s="1"/>
  <c r="G1901" i="1"/>
  <c r="F1901" i="1"/>
  <c r="L1900" i="1"/>
  <c r="N1900" i="1" s="1"/>
  <c r="G1900" i="1"/>
  <c r="F1900" i="1"/>
  <c r="L1899" i="1"/>
  <c r="N1899" i="1" s="1"/>
  <c r="G1899" i="1"/>
  <c r="F1899" i="1"/>
  <c r="L1898" i="1"/>
  <c r="N1898" i="1" s="1"/>
  <c r="G1898" i="1"/>
  <c r="F1898" i="1"/>
  <c r="L1897" i="1"/>
  <c r="O1897" i="1" s="1"/>
  <c r="G1897" i="1"/>
  <c r="F1897" i="1"/>
  <c r="L1896" i="1"/>
  <c r="N1896" i="1" s="1"/>
  <c r="G1896" i="1"/>
  <c r="F1896" i="1"/>
  <c r="L1895" i="1"/>
  <c r="N1895" i="1" s="1"/>
  <c r="O1895" i="1" s="1"/>
  <c r="G1895" i="1"/>
  <c r="F1895" i="1"/>
  <c r="L1894" i="1"/>
  <c r="N1894" i="1" s="1"/>
  <c r="G1894" i="1"/>
  <c r="F1894" i="1"/>
  <c r="L1893" i="1"/>
  <c r="N1893" i="1" s="1"/>
  <c r="G1893" i="1"/>
  <c r="F1893" i="1"/>
  <c r="L1892" i="1"/>
  <c r="N1892" i="1" s="1"/>
  <c r="G1892" i="1"/>
  <c r="F1892" i="1"/>
  <c r="L1891" i="1"/>
  <c r="N1891" i="1" s="1"/>
  <c r="G1891" i="1"/>
  <c r="F1891" i="1"/>
  <c r="L1890" i="1"/>
  <c r="N1890" i="1" s="1"/>
  <c r="G1890" i="1"/>
  <c r="F1890" i="1"/>
  <c r="L1889" i="1"/>
  <c r="N1889" i="1" s="1"/>
  <c r="G1889" i="1"/>
  <c r="F1889" i="1"/>
  <c r="L1888" i="1"/>
  <c r="N1888" i="1" s="1"/>
  <c r="O1888" i="1" s="1"/>
  <c r="G1888" i="1"/>
  <c r="F1888" i="1"/>
  <c r="L1887" i="1"/>
  <c r="N1887" i="1" s="1"/>
  <c r="G1887" i="1"/>
  <c r="F1887" i="1"/>
  <c r="L1886" i="1"/>
  <c r="N1886" i="1" s="1"/>
  <c r="G1886" i="1"/>
  <c r="F1886" i="1"/>
  <c r="L1885" i="1"/>
  <c r="N1885" i="1" s="1"/>
  <c r="G1885" i="1"/>
  <c r="F1885" i="1"/>
  <c r="L1884" i="1"/>
  <c r="N1884" i="1" s="1"/>
  <c r="G1884" i="1"/>
  <c r="F1884" i="1"/>
  <c r="L1883" i="1"/>
  <c r="N1883" i="1" s="1"/>
  <c r="G1883" i="1"/>
  <c r="F1883" i="1"/>
  <c r="L1882" i="1"/>
  <c r="N1882" i="1" s="1"/>
  <c r="O1882" i="1" s="1"/>
  <c r="G1882" i="1"/>
  <c r="F1882" i="1"/>
  <c r="L1881" i="1"/>
  <c r="N1881" i="1" s="1"/>
  <c r="O1881" i="1" s="1"/>
  <c r="G1881" i="1"/>
  <c r="F1881" i="1"/>
  <c r="L1880" i="1"/>
  <c r="O1880" i="1" s="1"/>
  <c r="G1880" i="1"/>
  <c r="F1880" i="1"/>
  <c r="L1879" i="1"/>
  <c r="N1879" i="1" s="1"/>
  <c r="G1879" i="1"/>
  <c r="F1879" i="1"/>
  <c r="L1878" i="1"/>
  <c r="N1878" i="1" s="1"/>
  <c r="G1878" i="1"/>
  <c r="F1878" i="1"/>
  <c r="L1877" i="1"/>
  <c r="N1877" i="1" s="1"/>
  <c r="O1877" i="1" s="1"/>
  <c r="G1877" i="1"/>
  <c r="F1877" i="1"/>
  <c r="L1876" i="1"/>
  <c r="N1876" i="1" s="1"/>
  <c r="G1876" i="1"/>
  <c r="F1876" i="1"/>
  <c r="L1875" i="1"/>
  <c r="N1875" i="1" s="1"/>
  <c r="G1875" i="1"/>
  <c r="F1875" i="1"/>
  <c r="L1874" i="1"/>
  <c r="N1874" i="1" s="1"/>
  <c r="G1874" i="1"/>
  <c r="F1874" i="1"/>
  <c r="L1873" i="1"/>
  <c r="N1873" i="1" s="1"/>
  <c r="G1873" i="1"/>
  <c r="F1873" i="1"/>
  <c r="L1872" i="1"/>
  <c r="N1872" i="1" s="1"/>
  <c r="O1872" i="1" s="1"/>
  <c r="P1872" i="1" s="1"/>
  <c r="G1872" i="1"/>
  <c r="F1872" i="1"/>
  <c r="L1871" i="1"/>
  <c r="N1871" i="1" s="1"/>
  <c r="G1871" i="1"/>
  <c r="F1871" i="1"/>
  <c r="L1870" i="1"/>
  <c r="N1870" i="1" s="1"/>
  <c r="G1870" i="1"/>
  <c r="F1870" i="1"/>
  <c r="N1869" i="1"/>
  <c r="L1869" i="1"/>
  <c r="G1869" i="1"/>
  <c r="F1869" i="1"/>
  <c r="N1868" i="1"/>
  <c r="L1868" i="1"/>
  <c r="G1868" i="1"/>
  <c r="F1868" i="1"/>
  <c r="N1867" i="1"/>
  <c r="L1867" i="1"/>
  <c r="G1867" i="1"/>
  <c r="F1867" i="1"/>
  <c r="L1866" i="1"/>
  <c r="N1866" i="1" s="1"/>
  <c r="G1866" i="1"/>
  <c r="F1866" i="1"/>
  <c r="L1865" i="1"/>
  <c r="N1865" i="1" s="1"/>
  <c r="G1865" i="1"/>
  <c r="F1865" i="1"/>
  <c r="L1864" i="1"/>
  <c r="N1864" i="1" s="1"/>
  <c r="O1864" i="1" s="1"/>
  <c r="P1864" i="1" s="1"/>
  <c r="G1864" i="1"/>
  <c r="F1864" i="1"/>
  <c r="N1863" i="1"/>
  <c r="L1863" i="1"/>
  <c r="G1863" i="1"/>
  <c r="F1863" i="1"/>
  <c r="L1862" i="1"/>
  <c r="N1862" i="1" s="1"/>
  <c r="G1862" i="1"/>
  <c r="F1862" i="1"/>
  <c r="L1861" i="1"/>
  <c r="O1861" i="1" s="1"/>
  <c r="G1861" i="1"/>
  <c r="F1861" i="1"/>
  <c r="L1860" i="1"/>
  <c r="N1860" i="1" s="1"/>
  <c r="G1860" i="1"/>
  <c r="F1860" i="1"/>
  <c r="L1859" i="1"/>
  <c r="N1859" i="1" s="1"/>
  <c r="O1859" i="1" s="1"/>
  <c r="G1859" i="1"/>
  <c r="F1859" i="1"/>
  <c r="L1858" i="1"/>
  <c r="N1858" i="1" s="1"/>
  <c r="G1858" i="1"/>
  <c r="F1858" i="1"/>
  <c r="O1857" i="1"/>
  <c r="P1857" i="1" s="1"/>
  <c r="L1857" i="1"/>
  <c r="N1857" i="1" s="1"/>
  <c r="G1857" i="1"/>
  <c r="F1857" i="1"/>
  <c r="L1856" i="1"/>
  <c r="N1856" i="1" s="1"/>
  <c r="O1856" i="1" s="1"/>
  <c r="G1856" i="1"/>
  <c r="F1856" i="1"/>
  <c r="L1855" i="1"/>
  <c r="N1855" i="1" s="1"/>
  <c r="G1855" i="1"/>
  <c r="F1855" i="1"/>
  <c r="L1854" i="1"/>
  <c r="N1854" i="1" s="1"/>
  <c r="G1854" i="1"/>
  <c r="F1854" i="1"/>
  <c r="L1853" i="1"/>
  <c r="N1853" i="1" s="1"/>
  <c r="G1853" i="1"/>
  <c r="F1853" i="1"/>
  <c r="L1852" i="1"/>
  <c r="N1852" i="1" s="1"/>
  <c r="O1852" i="1" s="1"/>
  <c r="G1852" i="1"/>
  <c r="F1852" i="1"/>
  <c r="L1851" i="1"/>
  <c r="N1851" i="1" s="1"/>
  <c r="G1851" i="1"/>
  <c r="F1851" i="1"/>
  <c r="L1850" i="1"/>
  <c r="N1850" i="1" s="1"/>
  <c r="G1850" i="1"/>
  <c r="F1850" i="1"/>
  <c r="L1849" i="1"/>
  <c r="N1849" i="1" s="1"/>
  <c r="O1849" i="1" s="1"/>
  <c r="G1849" i="1"/>
  <c r="F1849" i="1"/>
  <c r="L1848" i="1"/>
  <c r="N1848" i="1" s="1"/>
  <c r="O1848" i="1" s="1"/>
  <c r="G1848" i="1"/>
  <c r="F1848" i="1"/>
  <c r="L1847" i="1"/>
  <c r="N1847" i="1" s="1"/>
  <c r="G1847" i="1"/>
  <c r="F1847" i="1"/>
  <c r="L1846" i="1"/>
  <c r="N1846" i="1" s="1"/>
  <c r="G1846" i="1"/>
  <c r="F1846" i="1"/>
  <c r="L1845" i="1"/>
  <c r="N1845" i="1" s="1"/>
  <c r="G1845" i="1"/>
  <c r="F1845" i="1"/>
  <c r="L1844" i="1"/>
  <c r="N1844" i="1" s="1"/>
  <c r="O1844" i="1" s="1"/>
  <c r="G1844" i="1"/>
  <c r="F1844" i="1"/>
  <c r="L1843" i="1"/>
  <c r="N1843" i="1" s="1"/>
  <c r="G1843" i="1"/>
  <c r="F1843" i="1"/>
  <c r="L1842" i="1"/>
  <c r="N1842" i="1" s="1"/>
  <c r="G1842" i="1"/>
  <c r="F1842" i="1"/>
  <c r="L1841" i="1"/>
  <c r="N1841" i="1" s="1"/>
  <c r="O1841" i="1" s="1"/>
  <c r="G1841" i="1"/>
  <c r="F1841" i="1"/>
  <c r="L1840" i="1"/>
  <c r="N1840" i="1" s="1"/>
  <c r="G1840" i="1"/>
  <c r="F1840" i="1"/>
  <c r="L1839" i="1"/>
  <c r="N1839" i="1" s="1"/>
  <c r="G1839" i="1"/>
  <c r="F1839" i="1"/>
  <c r="L1838" i="1"/>
  <c r="N1838" i="1" s="1"/>
  <c r="G1838" i="1"/>
  <c r="F1838" i="1"/>
  <c r="L1837" i="1"/>
  <c r="N1837" i="1" s="1"/>
  <c r="G1837" i="1"/>
  <c r="F1837" i="1"/>
  <c r="L1836" i="1"/>
  <c r="N1836" i="1" s="1"/>
  <c r="O1836" i="1" s="1"/>
  <c r="G1836" i="1"/>
  <c r="F1836" i="1"/>
  <c r="L1835" i="1"/>
  <c r="N1835" i="1" s="1"/>
  <c r="O1835" i="1" s="1"/>
  <c r="G1835" i="1"/>
  <c r="F1835" i="1"/>
  <c r="L1834" i="1"/>
  <c r="N1834" i="1" s="1"/>
  <c r="G1834" i="1"/>
  <c r="F1834" i="1"/>
  <c r="L1833" i="1"/>
  <c r="N1833" i="1" s="1"/>
  <c r="O1833" i="1" s="1"/>
  <c r="G1833" i="1"/>
  <c r="F1833" i="1"/>
  <c r="L1832" i="1"/>
  <c r="N1832" i="1" s="1"/>
  <c r="G1832" i="1"/>
  <c r="F1832" i="1"/>
  <c r="L1831" i="1"/>
  <c r="N1831" i="1" s="1"/>
  <c r="G1831" i="1"/>
  <c r="F1831" i="1"/>
  <c r="L1830" i="1"/>
  <c r="N1830" i="1" s="1"/>
  <c r="G1830" i="1"/>
  <c r="F1830" i="1"/>
  <c r="L1829" i="1"/>
  <c r="O1829" i="1" s="1"/>
  <c r="G1829" i="1"/>
  <c r="F1829" i="1"/>
  <c r="L1828" i="1"/>
  <c r="N1828" i="1" s="1"/>
  <c r="G1828" i="1"/>
  <c r="F1828" i="1"/>
  <c r="L1827" i="1"/>
  <c r="N1827" i="1" s="1"/>
  <c r="G1827" i="1"/>
  <c r="F1827" i="1"/>
  <c r="L1826" i="1"/>
  <c r="N1826" i="1" s="1"/>
  <c r="O1826" i="1" s="1"/>
  <c r="G1826" i="1"/>
  <c r="F1826" i="1"/>
  <c r="L1825" i="1"/>
  <c r="N1825" i="1" s="1"/>
  <c r="O1825" i="1" s="1"/>
  <c r="P1825" i="1" s="1"/>
  <c r="G1825" i="1"/>
  <c r="F1825" i="1"/>
  <c r="L1824" i="1"/>
  <c r="N1824" i="1" s="1"/>
  <c r="O1824" i="1" s="1"/>
  <c r="G1824" i="1"/>
  <c r="F1824" i="1"/>
  <c r="L1823" i="1"/>
  <c r="N1823" i="1" s="1"/>
  <c r="G1823" i="1"/>
  <c r="F1823" i="1"/>
  <c r="L1822" i="1"/>
  <c r="N1822" i="1" s="1"/>
  <c r="G1822" i="1"/>
  <c r="F1822" i="1"/>
  <c r="L1821" i="1"/>
  <c r="N1821" i="1" s="1"/>
  <c r="G1821" i="1"/>
  <c r="F1821" i="1"/>
  <c r="L1820" i="1"/>
  <c r="N1820" i="1" s="1"/>
  <c r="G1820" i="1"/>
  <c r="F1820" i="1"/>
  <c r="L1819" i="1"/>
  <c r="N1819" i="1" s="1"/>
  <c r="G1819" i="1"/>
  <c r="F1819" i="1"/>
  <c r="L1818" i="1"/>
  <c r="N1818" i="1" s="1"/>
  <c r="G1818" i="1"/>
  <c r="F1818" i="1"/>
  <c r="L1817" i="1"/>
  <c r="N1817" i="1" s="1"/>
  <c r="O1817" i="1" s="1"/>
  <c r="P1817" i="1" s="1"/>
  <c r="G1817" i="1"/>
  <c r="F1817" i="1"/>
  <c r="L1816" i="1"/>
  <c r="N1816" i="1" s="1"/>
  <c r="G1816" i="1"/>
  <c r="F1816" i="1"/>
  <c r="L1815" i="1"/>
  <c r="N1815" i="1" s="1"/>
  <c r="G1815" i="1"/>
  <c r="F1815" i="1"/>
  <c r="L1814" i="1"/>
  <c r="N1814" i="1" s="1"/>
  <c r="G1814" i="1"/>
  <c r="F1814" i="1"/>
  <c r="L1813" i="1"/>
  <c r="N1813" i="1" s="1"/>
  <c r="G1813" i="1"/>
  <c r="F1813" i="1"/>
  <c r="L1812" i="1"/>
  <c r="N1812" i="1" s="1"/>
  <c r="G1812" i="1"/>
  <c r="F1812" i="1"/>
  <c r="L1811" i="1"/>
  <c r="N1811" i="1" s="1"/>
  <c r="G1811" i="1"/>
  <c r="F1811" i="1"/>
  <c r="L1810" i="1"/>
  <c r="O1810" i="1" s="1"/>
  <c r="G1810" i="1"/>
  <c r="F1810" i="1"/>
  <c r="L1809" i="1"/>
  <c r="N1809" i="1" s="1"/>
  <c r="G1809" i="1"/>
  <c r="F1809" i="1"/>
  <c r="L1808" i="1"/>
  <c r="N1808" i="1" s="1"/>
  <c r="G1808" i="1"/>
  <c r="F1808" i="1"/>
  <c r="L1807" i="1"/>
  <c r="N1807" i="1" s="1"/>
  <c r="O1807" i="1" s="1"/>
  <c r="G1807" i="1"/>
  <c r="F1807" i="1"/>
  <c r="N1806" i="1"/>
  <c r="L1806" i="1"/>
  <c r="G1806" i="1"/>
  <c r="F1806" i="1"/>
  <c r="L1805" i="1"/>
  <c r="N1805" i="1" s="1"/>
  <c r="G1805" i="1"/>
  <c r="F1805" i="1"/>
  <c r="L1804" i="1"/>
  <c r="N1804" i="1" s="1"/>
  <c r="G1804" i="1"/>
  <c r="F1804" i="1"/>
  <c r="L1803" i="1"/>
  <c r="N1803" i="1" s="1"/>
  <c r="G1803" i="1"/>
  <c r="F1803" i="1"/>
  <c r="L1802" i="1"/>
  <c r="N1802" i="1" s="1"/>
  <c r="G1802" i="1"/>
  <c r="F1802" i="1"/>
  <c r="L1801" i="1"/>
  <c r="N1801" i="1" s="1"/>
  <c r="G1801" i="1"/>
  <c r="F1801" i="1"/>
  <c r="L1800" i="1"/>
  <c r="N1800" i="1" s="1"/>
  <c r="G1800" i="1"/>
  <c r="F1800" i="1"/>
  <c r="L1799" i="1"/>
  <c r="N1799" i="1" s="1"/>
  <c r="O1799" i="1" s="1"/>
  <c r="G1799" i="1"/>
  <c r="F1799" i="1"/>
  <c r="L1798" i="1"/>
  <c r="N1798" i="1" s="1"/>
  <c r="G1798" i="1"/>
  <c r="F1798" i="1"/>
  <c r="L1797" i="1"/>
  <c r="N1797" i="1" s="1"/>
  <c r="G1797" i="1"/>
  <c r="F1797" i="1"/>
  <c r="L1796" i="1"/>
  <c r="N1796" i="1" s="1"/>
  <c r="G1796" i="1"/>
  <c r="F1796" i="1"/>
  <c r="L1795" i="1"/>
  <c r="N1795" i="1" s="1"/>
  <c r="O1795" i="1" s="1"/>
  <c r="G1795" i="1"/>
  <c r="F1795" i="1"/>
  <c r="L1794" i="1"/>
  <c r="N1794" i="1" s="1"/>
  <c r="G1794" i="1"/>
  <c r="F1794" i="1"/>
  <c r="L1793" i="1"/>
  <c r="N1793" i="1" s="1"/>
  <c r="G1793" i="1"/>
  <c r="F1793" i="1"/>
  <c r="L1792" i="1"/>
  <c r="N1792" i="1" s="1"/>
  <c r="G1792" i="1"/>
  <c r="F1792" i="1"/>
  <c r="O1791" i="1"/>
  <c r="N1791" i="1"/>
  <c r="L1791" i="1"/>
  <c r="G1791" i="1"/>
  <c r="F1791" i="1"/>
  <c r="L1790" i="1"/>
  <c r="O1790" i="1" s="1"/>
  <c r="G1790" i="1"/>
  <c r="F1790" i="1"/>
  <c r="L1789" i="1"/>
  <c r="N1789" i="1" s="1"/>
  <c r="G1789" i="1"/>
  <c r="F1789" i="1"/>
  <c r="L1788" i="1"/>
  <c r="N1788" i="1" s="1"/>
  <c r="G1788" i="1"/>
  <c r="F1788" i="1"/>
  <c r="L1787" i="1"/>
  <c r="N1787" i="1" s="1"/>
  <c r="G1787" i="1"/>
  <c r="F1787" i="1"/>
  <c r="L1786" i="1"/>
  <c r="N1786" i="1" s="1"/>
  <c r="G1786" i="1"/>
  <c r="F1786" i="1"/>
  <c r="N1785" i="1"/>
  <c r="L1785" i="1"/>
  <c r="G1785" i="1"/>
  <c r="F1785" i="1"/>
  <c r="L1784" i="1"/>
  <c r="N1784" i="1" s="1"/>
  <c r="O1784" i="1" s="1"/>
  <c r="G1784" i="1"/>
  <c r="F1784" i="1"/>
  <c r="L1783" i="1"/>
  <c r="N1783" i="1" s="1"/>
  <c r="G1783" i="1"/>
  <c r="F1783" i="1"/>
  <c r="L1782" i="1"/>
  <c r="N1782" i="1" s="1"/>
  <c r="G1782" i="1"/>
  <c r="F1782" i="1"/>
  <c r="L1781" i="1"/>
  <c r="N1781" i="1" s="1"/>
  <c r="G1781" i="1"/>
  <c r="F1781" i="1"/>
  <c r="L1780" i="1"/>
  <c r="N1780" i="1" s="1"/>
  <c r="G1780" i="1"/>
  <c r="F1780" i="1"/>
  <c r="L1779" i="1"/>
  <c r="N1779" i="1" s="1"/>
  <c r="G1779" i="1"/>
  <c r="F1779" i="1"/>
  <c r="L1778" i="1"/>
  <c r="N1778" i="1" s="1"/>
  <c r="O1778" i="1" s="1"/>
  <c r="G1778" i="1"/>
  <c r="F1778" i="1"/>
  <c r="L1777" i="1"/>
  <c r="N1777" i="1" s="1"/>
  <c r="G1777" i="1"/>
  <c r="F1777" i="1"/>
  <c r="L1776" i="1"/>
  <c r="N1776" i="1" s="1"/>
  <c r="O1776" i="1" s="1"/>
  <c r="G1776" i="1"/>
  <c r="F1776" i="1"/>
  <c r="L1775" i="1"/>
  <c r="N1775" i="1" s="1"/>
  <c r="G1775" i="1"/>
  <c r="F1775" i="1"/>
  <c r="L1774" i="1"/>
  <c r="N1774" i="1" s="1"/>
  <c r="O1774" i="1" s="1"/>
  <c r="P1774" i="1" s="1"/>
  <c r="G1774" i="1"/>
  <c r="F1774" i="1"/>
  <c r="L1773" i="1"/>
  <c r="N1773" i="1" s="1"/>
  <c r="G1773" i="1"/>
  <c r="F1773" i="1"/>
  <c r="L1772" i="1"/>
  <c r="N1772" i="1" s="1"/>
  <c r="G1772" i="1"/>
  <c r="F1772" i="1"/>
  <c r="L1771" i="1"/>
  <c r="N1771" i="1" s="1"/>
  <c r="G1771" i="1"/>
  <c r="F1771" i="1"/>
  <c r="L1770" i="1"/>
  <c r="N1770" i="1" s="1"/>
  <c r="O1770" i="1" s="1"/>
  <c r="G1770" i="1"/>
  <c r="F1770" i="1"/>
  <c r="L1769" i="1"/>
  <c r="N1769" i="1" s="1"/>
  <c r="G1769" i="1"/>
  <c r="F1769" i="1"/>
  <c r="L1768" i="1"/>
  <c r="N1768" i="1" s="1"/>
  <c r="O1768" i="1" s="1"/>
  <c r="G1768" i="1"/>
  <c r="F1768" i="1"/>
  <c r="L1767" i="1"/>
  <c r="N1767" i="1" s="1"/>
  <c r="G1767" i="1"/>
  <c r="F1767" i="1"/>
  <c r="L1766" i="1"/>
  <c r="N1766" i="1" s="1"/>
  <c r="G1766" i="1"/>
  <c r="F1766" i="1"/>
  <c r="L1765" i="1"/>
  <c r="N1765" i="1" s="1"/>
  <c r="G1765" i="1"/>
  <c r="F1765" i="1"/>
  <c r="L1764" i="1"/>
  <c r="N1764" i="1" s="1"/>
  <c r="G1764" i="1"/>
  <c r="F1764" i="1"/>
  <c r="M1763" i="1"/>
  <c r="L1763" i="1"/>
  <c r="K1763" i="1"/>
  <c r="I1763" i="1"/>
  <c r="H1763" i="1"/>
  <c r="G1763" i="1"/>
  <c r="F1763" i="1"/>
  <c r="E1763" i="1"/>
  <c r="D1763" i="1"/>
  <c r="M1762" i="1"/>
  <c r="L1762" i="1"/>
  <c r="K1762" i="1"/>
  <c r="I1762" i="1"/>
  <c r="H1762" i="1"/>
  <c r="G1762" i="1"/>
  <c r="F1762" i="1"/>
  <c r="E1762" i="1"/>
  <c r="D1762" i="1"/>
  <c r="M1761" i="1"/>
  <c r="L1761" i="1"/>
  <c r="K1761" i="1"/>
  <c r="I1761" i="1"/>
  <c r="H1761" i="1"/>
  <c r="G1761" i="1"/>
  <c r="F1761" i="1"/>
  <c r="E1761" i="1"/>
  <c r="D1761" i="1"/>
  <c r="M1760" i="1"/>
  <c r="L1760" i="1"/>
  <c r="K1760" i="1"/>
  <c r="I1760" i="1"/>
  <c r="H1760" i="1"/>
  <c r="G1760" i="1"/>
  <c r="F1760" i="1"/>
  <c r="E1760" i="1"/>
  <c r="D1760" i="1"/>
  <c r="M1759" i="1"/>
  <c r="L1759" i="1"/>
  <c r="K1759" i="1"/>
  <c r="I1759" i="1"/>
  <c r="H1759" i="1"/>
  <c r="G1759" i="1"/>
  <c r="F1759" i="1"/>
  <c r="E1759" i="1"/>
  <c r="D1759" i="1"/>
  <c r="M1758" i="1"/>
  <c r="L1758" i="1"/>
  <c r="K1758" i="1"/>
  <c r="I1758" i="1"/>
  <c r="H1758" i="1"/>
  <c r="G1758" i="1"/>
  <c r="F1758" i="1"/>
  <c r="E1758" i="1"/>
  <c r="D1758" i="1"/>
  <c r="M1757" i="1"/>
  <c r="L1757" i="1"/>
  <c r="K1757" i="1"/>
  <c r="I1757" i="1"/>
  <c r="H1757" i="1"/>
  <c r="G1757" i="1"/>
  <c r="F1757" i="1"/>
  <c r="E1757" i="1"/>
  <c r="D1757" i="1"/>
  <c r="M1756" i="1"/>
  <c r="L1756" i="1"/>
  <c r="K1756" i="1"/>
  <c r="I1756" i="1"/>
  <c r="H1756" i="1"/>
  <c r="G1756" i="1"/>
  <c r="F1756" i="1"/>
  <c r="E1756" i="1"/>
  <c r="D1756" i="1"/>
  <c r="M1755" i="1"/>
  <c r="N1755" i="1" s="1"/>
  <c r="L1755" i="1"/>
  <c r="K1755" i="1"/>
  <c r="I1755" i="1"/>
  <c r="H1755" i="1"/>
  <c r="G1755" i="1"/>
  <c r="F1755" i="1"/>
  <c r="E1755" i="1"/>
  <c r="D1755" i="1"/>
  <c r="M1754" i="1"/>
  <c r="L1754" i="1"/>
  <c r="K1754" i="1"/>
  <c r="I1754" i="1"/>
  <c r="H1754" i="1"/>
  <c r="G1754" i="1"/>
  <c r="F1754" i="1"/>
  <c r="E1754" i="1"/>
  <c r="D1754" i="1"/>
  <c r="M1753" i="1"/>
  <c r="L1753" i="1"/>
  <c r="K1753" i="1"/>
  <c r="I1753" i="1"/>
  <c r="H1753" i="1"/>
  <c r="G1753" i="1"/>
  <c r="F1753" i="1"/>
  <c r="E1753" i="1"/>
  <c r="D1753" i="1"/>
  <c r="M1752" i="1"/>
  <c r="L1752" i="1"/>
  <c r="K1752" i="1"/>
  <c r="I1752" i="1"/>
  <c r="H1752" i="1"/>
  <c r="G1752" i="1"/>
  <c r="F1752" i="1"/>
  <c r="E1752" i="1"/>
  <c r="D1752" i="1"/>
  <c r="M1751" i="1"/>
  <c r="L1751" i="1"/>
  <c r="K1751" i="1"/>
  <c r="I1751" i="1"/>
  <c r="H1751" i="1"/>
  <c r="G1751" i="1"/>
  <c r="F1751" i="1"/>
  <c r="E1751" i="1"/>
  <c r="D1751" i="1"/>
  <c r="M1750" i="1"/>
  <c r="L1750" i="1"/>
  <c r="K1750" i="1"/>
  <c r="I1750" i="1"/>
  <c r="H1750" i="1"/>
  <c r="G1750" i="1"/>
  <c r="F1750" i="1"/>
  <c r="E1750" i="1"/>
  <c r="D1750" i="1"/>
  <c r="M1749" i="1"/>
  <c r="L1749" i="1"/>
  <c r="K1749" i="1"/>
  <c r="I1749" i="1"/>
  <c r="H1749" i="1"/>
  <c r="G1749" i="1"/>
  <c r="F1749" i="1"/>
  <c r="E1749" i="1"/>
  <c r="D1749" i="1"/>
  <c r="M1748" i="1"/>
  <c r="L1748" i="1"/>
  <c r="K1748" i="1"/>
  <c r="I1748" i="1"/>
  <c r="H1748" i="1"/>
  <c r="G1748" i="1"/>
  <c r="F1748" i="1"/>
  <c r="E1748" i="1"/>
  <c r="D1748" i="1"/>
  <c r="M1747" i="1"/>
  <c r="L1747" i="1"/>
  <c r="K1747" i="1"/>
  <c r="I1747" i="1"/>
  <c r="H1747" i="1"/>
  <c r="G1747" i="1"/>
  <c r="F1747" i="1"/>
  <c r="E1747" i="1"/>
  <c r="D1747" i="1"/>
  <c r="M1746" i="1"/>
  <c r="L1746" i="1"/>
  <c r="K1746" i="1"/>
  <c r="I1746" i="1"/>
  <c r="H1746" i="1"/>
  <c r="G1746" i="1"/>
  <c r="F1746" i="1"/>
  <c r="E1746" i="1"/>
  <c r="D1746" i="1"/>
  <c r="M1745" i="1"/>
  <c r="L1745" i="1"/>
  <c r="K1745" i="1"/>
  <c r="I1745" i="1"/>
  <c r="H1745" i="1"/>
  <c r="G1745" i="1"/>
  <c r="F1745" i="1"/>
  <c r="E1745" i="1"/>
  <c r="D1745" i="1"/>
  <c r="M1744" i="1"/>
  <c r="L1744" i="1"/>
  <c r="K1744" i="1"/>
  <c r="I1744" i="1"/>
  <c r="H1744" i="1"/>
  <c r="G1744" i="1"/>
  <c r="F1744" i="1"/>
  <c r="E1744" i="1"/>
  <c r="D1744" i="1"/>
  <c r="M1743" i="1"/>
  <c r="L1743" i="1"/>
  <c r="K1743" i="1"/>
  <c r="I1743" i="1"/>
  <c r="H1743" i="1"/>
  <c r="G1743" i="1"/>
  <c r="F1743" i="1"/>
  <c r="E1743" i="1"/>
  <c r="D1743" i="1"/>
  <c r="M1742" i="1"/>
  <c r="L1742" i="1"/>
  <c r="K1742" i="1"/>
  <c r="I1742" i="1"/>
  <c r="H1742" i="1"/>
  <c r="G1742" i="1"/>
  <c r="F1742" i="1"/>
  <c r="E1742" i="1"/>
  <c r="D1742" i="1"/>
  <c r="M1741" i="1"/>
  <c r="L1741" i="1"/>
  <c r="K1741" i="1"/>
  <c r="I1741" i="1"/>
  <c r="H1741" i="1"/>
  <c r="G1741" i="1"/>
  <c r="F1741" i="1"/>
  <c r="E1741" i="1"/>
  <c r="D1741" i="1"/>
  <c r="M1740" i="1"/>
  <c r="L1740" i="1"/>
  <c r="K1740" i="1"/>
  <c r="I1740" i="1"/>
  <c r="H1740" i="1"/>
  <c r="G1740" i="1"/>
  <c r="F1740" i="1"/>
  <c r="E1740" i="1"/>
  <c r="D1740" i="1"/>
  <c r="M1739" i="1"/>
  <c r="L1739" i="1"/>
  <c r="K1739" i="1"/>
  <c r="I1739" i="1"/>
  <c r="H1739" i="1"/>
  <c r="G1739" i="1"/>
  <c r="F1739" i="1"/>
  <c r="E1739" i="1"/>
  <c r="D1739" i="1"/>
  <c r="M1738" i="1"/>
  <c r="L1738" i="1"/>
  <c r="K1738" i="1"/>
  <c r="I1738" i="1"/>
  <c r="H1738" i="1"/>
  <c r="G1738" i="1"/>
  <c r="F1738" i="1"/>
  <c r="E1738" i="1"/>
  <c r="D1738" i="1"/>
  <c r="M1737" i="1"/>
  <c r="L1737" i="1"/>
  <c r="K1737" i="1"/>
  <c r="I1737" i="1"/>
  <c r="H1737" i="1"/>
  <c r="G1737" i="1"/>
  <c r="F1737" i="1"/>
  <c r="E1737" i="1"/>
  <c r="D1737" i="1"/>
  <c r="M1736" i="1"/>
  <c r="L1736" i="1"/>
  <c r="K1736" i="1"/>
  <c r="I1736" i="1"/>
  <c r="H1736" i="1"/>
  <c r="G1736" i="1"/>
  <c r="F1736" i="1"/>
  <c r="E1736" i="1"/>
  <c r="D1736" i="1"/>
  <c r="M1735" i="1"/>
  <c r="L1735" i="1"/>
  <c r="K1735" i="1"/>
  <c r="I1735" i="1"/>
  <c r="H1735" i="1"/>
  <c r="G1735" i="1"/>
  <c r="F1735" i="1"/>
  <c r="E1735" i="1"/>
  <c r="D1735" i="1"/>
  <c r="M1734" i="1"/>
  <c r="L1734" i="1"/>
  <c r="K1734" i="1"/>
  <c r="I1734" i="1"/>
  <c r="H1734" i="1"/>
  <c r="G1734" i="1"/>
  <c r="F1734" i="1"/>
  <c r="E1734" i="1"/>
  <c r="D1734" i="1"/>
  <c r="M1733" i="1"/>
  <c r="L1733" i="1"/>
  <c r="K1733" i="1"/>
  <c r="I1733" i="1"/>
  <c r="H1733" i="1"/>
  <c r="G1733" i="1"/>
  <c r="F1733" i="1"/>
  <c r="E1733" i="1"/>
  <c r="D1733" i="1"/>
  <c r="M1732" i="1"/>
  <c r="L1732" i="1"/>
  <c r="K1732" i="1"/>
  <c r="I1732" i="1"/>
  <c r="H1732" i="1"/>
  <c r="G1732" i="1"/>
  <c r="F1732" i="1"/>
  <c r="E1732" i="1"/>
  <c r="D1732" i="1"/>
  <c r="M1731" i="1"/>
  <c r="L1731" i="1"/>
  <c r="K1731" i="1"/>
  <c r="I1731" i="1"/>
  <c r="H1731" i="1"/>
  <c r="G1731" i="1"/>
  <c r="F1731" i="1"/>
  <c r="E1731" i="1"/>
  <c r="D1731" i="1"/>
  <c r="M1730" i="1"/>
  <c r="L1730" i="1"/>
  <c r="K1730" i="1"/>
  <c r="I1730" i="1"/>
  <c r="H1730" i="1"/>
  <c r="G1730" i="1"/>
  <c r="F1730" i="1"/>
  <c r="E1730" i="1"/>
  <c r="D1730" i="1"/>
  <c r="M1729" i="1"/>
  <c r="L1729" i="1"/>
  <c r="K1729" i="1"/>
  <c r="I1729" i="1"/>
  <c r="H1729" i="1"/>
  <c r="G1729" i="1"/>
  <c r="F1729" i="1"/>
  <c r="E1729" i="1"/>
  <c r="D1729" i="1"/>
  <c r="M1728" i="1"/>
  <c r="L1728" i="1"/>
  <c r="K1728" i="1"/>
  <c r="I1728" i="1"/>
  <c r="H1728" i="1"/>
  <c r="G1728" i="1"/>
  <c r="F1728" i="1"/>
  <c r="E1728" i="1"/>
  <c r="D1728" i="1"/>
  <c r="M1727" i="1"/>
  <c r="N1727" i="1" s="1"/>
  <c r="L1727" i="1"/>
  <c r="K1727" i="1"/>
  <c r="I1727" i="1"/>
  <c r="H1727" i="1"/>
  <c r="G1727" i="1"/>
  <c r="F1727" i="1"/>
  <c r="E1727" i="1"/>
  <c r="D1727" i="1"/>
  <c r="M1726" i="1"/>
  <c r="L1726" i="1"/>
  <c r="K1726" i="1"/>
  <c r="I1726" i="1"/>
  <c r="H1726" i="1"/>
  <c r="G1726" i="1"/>
  <c r="F1726" i="1"/>
  <c r="E1726" i="1"/>
  <c r="D1726" i="1"/>
  <c r="M1725" i="1"/>
  <c r="L1725" i="1"/>
  <c r="K1725" i="1"/>
  <c r="I1725" i="1"/>
  <c r="H1725" i="1"/>
  <c r="G1725" i="1"/>
  <c r="F1725" i="1"/>
  <c r="E1725" i="1"/>
  <c r="D1725" i="1"/>
  <c r="M1724" i="1"/>
  <c r="L1724" i="1"/>
  <c r="K1724" i="1"/>
  <c r="I1724" i="1"/>
  <c r="H1724" i="1"/>
  <c r="G1724" i="1"/>
  <c r="F1724" i="1"/>
  <c r="E1724" i="1"/>
  <c r="D1724" i="1"/>
  <c r="M1723" i="1"/>
  <c r="L1723" i="1"/>
  <c r="K1723" i="1"/>
  <c r="I1723" i="1"/>
  <c r="H1723" i="1"/>
  <c r="G1723" i="1"/>
  <c r="F1723" i="1"/>
  <c r="E1723" i="1"/>
  <c r="D1723" i="1"/>
  <c r="M1722" i="1"/>
  <c r="L1722" i="1"/>
  <c r="K1722" i="1"/>
  <c r="I1722" i="1"/>
  <c r="H1722" i="1"/>
  <c r="G1722" i="1"/>
  <c r="F1722" i="1"/>
  <c r="E1722" i="1"/>
  <c r="D1722" i="1"/>
  <c r="M1721" i="1"/>
  <c r="L1721" i="1"/>
  <c r="K1721" i="1"/>
  <c r="I1721" i="1"/>
  <c r="H1721" i="1"/>
  <c r="G1721" i="1"/>
  <c r="F1721" i="1"/>
  <c r="E1721" i="1"/>
  <c r="D1721" i="1"/>
  <c r="M1720" i="1"/>
  <c r="L1720" i="1"/>
  <c r="K1720" i="1"/>
  <c r="I1720" i="1"/>
  <c r="H1720" i="1"/>
  <c r="G1720" i="1"/>
  <c r="F1720" i="1"/>
  <c r="E1720" i="1"/>
  <c r="D1720" i="1"/>
  <c r="M1719" i="1"/>
  <c r="L1719" i="1"/>
  <c r="K1719" i="1"/>
  <c r="I1719" i="1"/>
  <c r="H1719" i="1"/>
  <c r="G1719" i="1"/>
  <c r="F1719" i="1"/>
  <c r="E1719" i="1"/>
  <c r="D1719" i="1"/>
  <c r="M1718" i="1"/>
  <c r="L1718" i="1"/>
  <c r="K1718" i="1"/>
  <c r="I1718" i="1"/>
  <c r="H1718" i="1"/>
  <c r="G1718" i="1"/>
  <c r="F1718" i="1"/>
  <c r="E1718" i="1"/>
  <c r="D1718" i="1"/>
  <c r="M1717" i="1"/>
  <c r="L1717" i="1"/>
  <c r="K1717" i="1"/>
  <c r="I1717" i="1"/>
  <c r="H1717" i="1"/>
  <c r="G1717" i="1"/>
  <c r="F1717" i="1"/>
  <c r="E1717" i="1"/>
  <c r="D1717" i="1"/>
  <c r="M1716" i="1"/>
  <c r="L1716" i="1"/>
  <c r="K1716" i="1"/>
  <c r="I1716" i="1"/>
  <c r="H1716" i="1"/>
  <c r="G1716" i="1"/>
  <c r="F1716" i="1"/>
  <c r="E1716" i="1"/>
  <c r="D1716" i="1"/>
  <c r="M1715" i="1"/>
  <c r="L1715" i="1"/>
  <c r="K1715" i="1"/>
  <c r="I1715" i="1"/>
  <c r="H1715" i="1"/>
  <c r="G1715" i="1"/>
  <c r="F1715" i="1"/>
  <c r="E1715" i="1"/>
  <c r="D1715" i="1"/>
  <c r="M1714" i="1"/>
  <c r="L1714" i="1"/>
  <c r="K1714" i="1"/>
  <c r="I1714" i="1"/>
  <c r="H1714" i="1"/>
  <c r="G1714" i="1"/>
  <c r="F1714" i="1"/>
  <c r="E1714" i="1"/>
  <c r="D1714" i="1"/>
  <c r="M1713" i="1"/>
  <c r="L1713" i="1"/>
  <c r="K1713" i="1"/>
  <c r="I1713" i="1"/>
  <c r="H1713" i="1"/>
  <c r="G1713" i="1"/>
  <c r="F1713" i="1"/>
  <c r="E1713" i="1"/>
  <c r="D1713" i="1"/>
  <c r="M1712" i="1"/>
  <c r="L1712" i="1"/>
  <c r="K1712" i="1"/>
  <c r="I1712" i="1"/>
  <c r="H1712" i="1"/>
  <c r="G1712" i="1"/>
  <c r="F1712" i="1"/>
  <c r="E1712" i="1"/>
  <c r="D1712" i="1"/>
  <c r="M1711" i="1"/>
  <c r="L1711" i="1"/>
  <c r="K1711" i="1"/>
  <c r="I1711" i="1"/>
  <c r="H1711" i="1"/>
  <c r="G1711" i="1"/>
  <c r="F1711" i="1"/>
  <c r="E1711" i="1"/>
  <c r="D1711" i="1"/>
  <c r="M1710" i="1"/>
  <c r="L1710" i="1"/>
  <c r="K1710" i="1"/>
  <c r="I1710" i="1"/>
  <c r="H1710" i="1"/>
  <c r="G1710" i="1"/>
  <c r="F1710" i="1"/>
  <c r="E1710" i="1"/>
  <c r="D1710" i="1"/>
  <c r="M1709" i="1"/>
  <c r="L1709" i="1"/>
  <c r="K1709" i="1"/>
  <c r="I1709" i="1"/>
  <c r="H1709" i="1"/>
  <c r="G1709" i="1"/>
  <c r="F1709" i="1"/>
  <c r="E1709" i="1"/>
  <c r="D1709" i="1"/>
  <c r="M1708" i="1"/>
  <c r="L1708" i="1"/>
  <c r="K1708" i="1"/>
  <c r="I1708" i="1"/>
  <c r="H1708" i="1"/>
  <c r="G1708" i="1"/>
  <c r="F1708" i="1"/>
  <c r="E1708" i="1"/>
  <c r="D1708" i="1"/>
  <c r="M1707" i="1"/>
  <c r="L1707" i="1"/>
  <c r="K1707" i="1"/>
  <c r="I1707" i="1"/>
  <c r="H1707" i="1"/>
  <c r="G1707" i="1"/>
  <c r="F1707" i="1"/>
  <c r="E1707" i="1"/>
  <c r="D1707" i="1"/>
  <c r="M1706" i="1"/>
  <c r="L1706" i="1"/>
  <c r="K1706" i="1"/>
  <c r="I1706" i="1"/>
  <c r="H1706" i="1"/>
  <c r="G1706" i="1"/>
  <c r="F1706" i="1"/>
  <c r="E1706" i="1"/>
  <c r="D1706" i="1"/>
  <c r="M1705" i="1"/>
  <c r="L1705" i="1"/>
  <c r="K1705" i="1"/>
  <c r="I1705" i="1"/>
  <c r="H1705" i="1"/>
  <c r="G1705" i="1"/>
  <c r="F1705" i="1"/>
  <c r="E1705" i="1"/>
  <c r="D1705" i="1"/>
  <c r="M1704" i="1"/>
  <c r="L1704" i="1"/>
  <c r="K1704" i="1"/>
  <c r="I1704" i="1"/>
  <c r="H1704" i="1"/>
  <c r="G1704" i="1"/>
  <c r="F1704" i="1"/>
  <c r="E1704" i="1"/>
  <c r="D1704" i="1"/>
  <c r="M1703" i="1"/>
  <c r="L1703" i="1"/>
  <c r="K1703" i="1"/>
  <c r="I1703" i="1"/>
  <c r="H1703" i="1"/>
  <c r="G1703" i="1"/>
  <c r="F1703" i="1"/>
  <c r="E1703" i="1"/>
  <c r="D1703" i="1"/>
  <c r="M1702" i="1"/>
  <c r="L1702" i="1"/>
  <c r="K1702" i="1"/>
  <c r="I1702" i="1"/>
  <c r="H1702" i="1"/>
  <c r="G1702" i="1"/>
  <c r="F1702" i="1"/>
  <c r="E1702" i="1"/>
  <c r="D1702" i="1"/>
  <c r="M1701" i="1"/>
  <c r="L1701" i="1"/>
  <c r="K1701" i="1"/>
  <c r="I1701" i="1"/>
  <c r="H1701" i="1"/>
  <c r="G1701" i="1"/>
  <c r="F1701" i="1"/>
  <c r="E1701" i="1"/>
  <c r="D1701" i="1"/>
  <c r="M1700" i="1"/>
  <c r="L1700" i="1"/>
  <c r="K1700" i="1"/>
  <c r="I1700" i="1"/>
  <c r="H1700" i="1"/>
  <c r="G1700" i="1"/>
  <c r="F1700" i="1"/>
  <c r="E1700" i="1"/>
  <c r="D1700" i="1"/>
  <c r="M1699" i="1"/>
  <c r="L1699" i="1"/>
  <c r="K1699" i="1"/>
  <c r="I1699" i="1"/>
  <c r="H1699" i="1"/>
  <c r="G1699" i="1"/>
  <c r="F1699" i="1"/>
  <c r="E1699" i="1"/>
  <c r="D1699" i="1"/>
  <c r="M1698" i="1"/>
  <c r="L1698" i="1"/>
  <c r="K1698" i="1"/>
  <c r="I1698" i="1"/>
  <c r="H1698" i="1"/>
  <c r="G1698" i="1"/>
  <c r="F1698" i="1"/>
  <c r="E1698" i="1"/>
  <c r="D1698" i="1"/>
  <c r="M1697" i="1"/>
  <c r="L1697" i="1"/>
  <c r="K1697" i="1"/>
  <c r="I1697" i="1"/>
  <c r="H1697" i="1"/>
  <c r="G1697" i="1"/>
  <c r="F1697" i="1"/>
  <c r="E1697" i="1"/>
  <c r="D1697" i="1"/>
  <c r="M1696" i="1"/>
  <c r="L1696" i="1"/>
  <c r="K1696" i="1"/>
  <c r="I1696" i="1"/>
  <c r="H1696" i="1"/>
  <c r="G1696" i="1"/>
  <c r="F1696" i="1"/>
  <c r="E1696" i="1"/>
  <c r="D1696" i="1"/>
  <c r="M1695" i="1"/>
  <c r="L1695" i="1"/>
  <c r="K1695" i="1"/>
  <c r="I1695" i="1"/>
  <c r="H1695" i="1"/>
  <c r="G1695" i="1"/>
  <c r="F1695" i="1"/>
  <c r="E1695" i="1"/>
  <c r="D1695" i="1"/>
  <c r="M1694" i="1"/>
  <c r="L1694" i="1"/>
  <c r="K1694" i="1"/>
  <c r="I1694" i="1"/>
  <c r="H1694" i="1"/>
  <c r="G1694" i="1"/>
  <c r="F1694" i="1"/>
  <c r="E1694" i="1"/>
  <c r="D1694" i="1"/>
  <c r="M1693" i="1"/>
  <c r="L1693" i="1"/>
  <c r="K1693" i="1"/>
  <c r="I1693" i="1"/>
  <c r="H1693" i="1"/>
  <c r="G1693" i="1"/>
  <c r="F1693" i="1"/>
  <c r="E1693" i="1"/>
  <c r="D1693" i="1"/>
  <c r="M1692" i="1"/>
  <c r="L1692" i="1"/>
  <c r="K1692" i="1"/>
  <c r="I1692" i="1"/>
  <c r="H1692" i="1"/>
  <c r="G1692" i="1"/>
  <c r="F1692" i="1"/>
  <c r="E1692" i="1"/>
  <c r="D1692" i="1"/>
  <c r="M1691" i="1"/>
  <c r="L1691" i="1"/>
  <c r="K1691" i="1"/>
  <c r="I1691" i="1"/>
  <c r="H1691" i="1"/>
  <c r="G1691" i="1"/>
  <c r="F1691" i="1"/>
  <c r="E1691" i="1"/>
  <c r="D1691" i="1"/>
  <c r="M1690" i="1"/>
  <c r="L1690" i="1"/>
  <c r="K1690" i="1"/>
  <c r="I1690" i="1"/>
  <c r="H1690" i="1"/>
  <c r="G1690" i="1"/>
  <c r="F1690" i="1"/>
  <c r="E1690" i="1"/>
  <c r="D1690" i="1"/>
  <c r="M1689" i="1"/>
  <c r="L1689" i="1"/>
  <c r="K1689" i="1"/>
  <c r="I1689" i="1"/>
  <c r="H1689" i="1"/>
  <c r="G1689" i="1"/>
  <c r="F1689" i="1"/>
  <c r="E1689" i="1"/>
  <c r="D1689" i="1"/>
  <c r="M1688" i="1"/>
  <c r="L1688" i="1"/>
  <c r="K1688" i="1"/>
  <c r="I1688" i="1"/>
  <c r="H1688" i="1"/>
  <c r="G1688" i="1"/>
  <c r="F1688" i="1"/>
  <c r="E1688" i="1"/>
  <c r="D1688" i="1"/>
  <c r="M1687" i="1"/>
  <c r="L1687" i="1"/>
  <c r="K1687" i="1"/>
  <c r="I1687" i="1"/>
  <c r="H1687" i="1"/>
  <c r="G1687" i="1"/>
  <c r="F1687" i="1"/>
  <c r="E1687" i="1"/>
  <c r="D1687" i="1"/>
  <c r="M1686" i="1"/>
  <c r="L1686" i="1"/>
  <c r="K1686" i="1"/>
  <c r="I1686" i="1"/>
  <c r="H1686" i="1"/>
  <c r="G1686" i="1"/>
  <c r="F1686" i="1"/>
  <c r="E1686" i="1"/>
  <c r="D1686" i="1"/>
  <c r="M1685" i="1"/>
  <c r="L1685" i="1"/>
  <c r="K1685" i="1"/>
  <c r="I1685" i="1"/>
  <c r="H1685" i="1"/>
  <c r="G1685" i="1"/>
  <c r="F1685" i="1"/>
  <c r="E1685" i="1"/>
  <c r="D1685" i="1"/>
  <c r="M1684" i="1"/>
  <c r="L1684" i="1"/>
  <c r="K1684" i="1"/>
  <c r="I1684" i="1"/>
  <c r="H1684" i="1"/>
  <c r="G1684" i="1"/>
  <c r="F1684" i="1"/>
  <c r="E1684" i="1"/>
  <c r="D1684" i="1"/>
  <c r="M1683" i="1"/>
  <c r="L1683" i="1"/>
  <c r="K1683" i="1"/>
  <c r="I1683" i="1"/>
  <c r="H1683" i="1"/>
  <c r="G1683" i="1"/>
  <c r="F1683" i="1"/>
  <c r="E1683" i="1"/>
  <c r="D1683" i="1"/>
  <c r="M1682" i="1"/>
  <c r="L1682" i="1"/>
  <c r="K1682" i="1"/>
  <c r="I1682" i="1"/>
  <c r="H1682" i="1"/>
  <c r="G1682" i="1"/>
  <c r="F1682" i="1"/>
  <c r="E1682" i="1"/>
  <c r="D1682" i="1"/>
  <c r="M1681" i="1"/>
  <c r="L1681" i="1"/>
  <c r="K1681" i="1"/>
  <c r="I1681" i="1"/>
  <c r="H1681" i="1"/>
  <c r="G1681" i="1"/>
  <c r="F1681" i="1"/>
  <c r="E1681" i="1"/>
  <c r="D1681" i="1"/>
  <c r="M1680" i="1"/>
  <c r="L1680" i="1"/>
  <c r="K1680" i="1"/>
  <c r="I1680" i="1"/>
  <c r="H1680" i="1"/>
  <c r="G1680" i="1"/>
  <c r="F1680" i="1"/>
  <c r="E1680" i="1"/>
  <c r="D1680" i="1"/>
  <c r="M1679" i="1"/>
  <c r="L1679" i="1"/>
  <c r="K1679" i="1"/>
  <c r="I1679" i="1"/>
  <c r="H1679" i="1"/>
  <c r="G1679" i="1"/>
  <c r="F1679" i="1"/>
  <c r="E1679" i="1"/>
  <c r="D1679" i="1"/>
  <c r="M1678" i="1"/>
  <c r="L1678" i="1"/>
  <c r="K1678" i="1"/>
  <c r="I1678" i="1"/>
  <c r="H1678" i="1"/>
  <c r="G1678" i="1"/>
  <c r="F1678" i="1"/>
  <c r="E1678" i="1"/>
  <c r="D1678" i="1"/>
  <c r="M1677" i="1"/>
  <c r="L1677" i="1"/>
  <c r="N1677" i="1" s="1"/>
  <c r="K1677" i="1"/>
  <c r="I1677" i="1"/>
  <c r="H1677" i="1"/>
  <c r="G1677" i="1"/>
  <c r="F1677" i="1"/>
  <c r="E1677" i="1"/>
  <c r="D1677" i="1"/>
  <c r="M1676" i="1"/>
  <c r="L1676" i="1"/>
  <c r="K1676" i="1"/>
  <c r="I1676" i="1"/>
  <c r="H1676" i="1"/>
  <c r="G1676" i="1"/>
  <c r="F1676" i="1"/>
  <c r="E1676" i="1"/>
  <c r="D1676" i="1"/>
  <c r="M1675" i="1"/>
  <c r="L1675" i="1"/>
  <c r="K1675" i="1"/>
  <c r="I1675" i="1"/>
  <c r="H1675" i="1"/>
  <c r="G1675" i="1"/>
  <c r="F1675" i="1"/>
  <c r="E1675" i="1"/>
  <c r="D1675" i="1"/>
  <c r="M1674" i="1"/>
  <c r="L1674" i="1"/>
  <c r="K1674" i="1"/>
  <c r="I1674" i="1"/>
  <c r="H1674" i="1"/>
  <c r="G1674" i="1"/>
  <c r="F1674" i="1"/>
  <c r="E1674" i="1"/>
  <c r="D1674" i="1"/>
  <c r="M1673" i="1"/>
  <c r="L1673" i="1"/>
  <c r="K1673" i="1"/>
  <c r="I1673" i="1"/>
  <c r="H1673" i="1"/>
  <c r="G1673" i="1"/>
  <c r="F1673" i="1"/>
  <c r="E1673" i="1"/>
  <c r="D1673" i="1"/>
  <c r="M1672" i="1"/>
  <c r="L1672" i="1"/>
  <c r="K1672" i="1"/>
  <c r="I1672" i="1"/>
  <c r="H1672" i="1"/>
  <c r="G1672" i="1"/>
  <c r="F1672" i="1"/>
  <c r="E1672" i="1"/>
  <c r="D1672" i="1"/>
  <c r="M1671" i="1"/>
  <c r="L1671" i="1"/>
  <c r="K1671" i="1"/>
  <c r="I1671" i="1"/>
  <c r="H1671" i="1"/>
  <c r="G1671" i="1"/>
  <c r="F1671" i="1"/>
  <c r="E1671" i="1"/>
  <c r="D1671" i="1"/>
  <c r="M1670" i="1"/>
  <c r="L1670" i="1"/>
  <c r="K1670" i="1"/>
  <c r="I1670" i="1"/>
  <c r="H1670" i="1"/>
  <c r="G1670" i="1"/>
  <c r="F1670" i="1"/>
  <c r="E1670" i="1"/>
  <c r="D1670" i="1"/>
  <c r="M1669" i="1"/>
  <c r="L1669" i="1"/>
  <c r="N1669" i="1" s="1"/>
  <c r="K1669" i="1"/>
  <c r="I1669" i="1"/>
  <c r="H1669" i="1"/>
  <c r="G1669" i="1"/>
  <c r="F1669" i="1"/>
  <c r="E1669" i="1"/>
  <c r="D1669" i="1"/>
  <c r="M1668" i="1"/>
  <c r="L1668" i="1"/>
  <c r="K1668" i="1"/>
  <c r="I1668" i="1"/>
  <c r="H1668" i="1"/>
  <c r="G1668" i="1"/>
  <c r="F1668" i="1"/>
  <c r="E1668" i="1"/>
  <c r="D1668" i="1"/>
  <c r="M1667" i="1"/>
  <c r="L1667" i="1"/>
  <c r="K1667" i="1"/>
  <c r="I1667" i="1"/>
  <c r="H1667" i="1"/>
  <c r="G1667" i="1"/>
  <c r="F1667" i="1"/>
  <c r="E1667" i="1"/>
  <c r="D1667" i="1"/>
  <c r="M1666" i="1"/>
  <c r="L1666" i="1"/>
  <c r="K1666" i="1"/>
  <c r="I1666" i="1"/>
  <c r="H1666" i="1"/>
  <c r="G1666" i="1"/>
  <c r="F1666" i="1"/>
  <c r="E1666" i="1"/>
  <c r="D1666" i="1"/>
  <c r="M1665" i="1"/>
  <c r="L1665" i="1"/>
  <c r="K1665" i="1"/>
  <c r="I1665" i="1"/>
  <c r="H1665" i="1"/>
  <c r="G1665" i="1"/>
  <c r="F1665" i="1"/>
  <c r="E1665" i="1"/>
  <c r="D1665" i="1"/>
  <c r="M1664" i="1"/>
  <c r="L1664" i="1"/>
  <c r="K1664" i="1"/>
  <c r="I1664" i="1"/>
  <c r="H1664" i="1"/>
  <c r="G1664" i="1"/>
  <c r="F1664" i="1"/>
  <c r="E1664" i="1"/>
  <c r="D1664" i="1"/>
  <c r="M1663" i="1"/>
  <c r="L1663" i="1"/>
  <c r="K1663" i="1"/>
  <c r="I1663" i="1"/>
  <c r="H1663" i="1"/>
  <c r="G1663" i="1"/>
  <c r="F1663" i="1"/>
  <c r="E1663" i="1"/>
  <c r="D1663" i="1"/>
  <c r="M1662" i="1"/>
  <c r="L1662" i="1"/>
  <c r="K1662" i="1"/>
  <c r="I1662" i="1"/>
  <c r="H1662" i="1"/>
  <c r="G1662" i="1"/>
  <c r="F1662" i="1"/>
  <c r="E1662" i="1"/>
  <c r="D1662" i="1"/>
  <c r="M1661" i="1"/>
  <c r="L1661" i="1"/>
  <c r="N1661" i="1" s="1"/>
  <c r="K1661" i="1"/>
  <c r="I1661" i="1"/>
  <c r="H1661" i="1"/>
  <c r="G1661" i="1"/>
  <c r="F1661" i="1"/>
  <c r="E1661" i="1"/>
  <c r="D1661" i="1"/>
  <c r="M1660" i="1"/>
  <c r="L1660" i="1"/>
  <c r="K1660" i="1"/>
  <c r="I1660" i="1"/>
  <c r="H1660" i="1"/>
  <c r="G1660" i="1"/>
  <c r="F1660" i="1"/>
  <c r="E1660" i="1"/>
  <c r="D1660" i="1"/>
  <c r="M1659" i="1"/>
  <c r="L1659" i="1"/>
  <c r="K1659" i="1"/>
  <c r="I1659" i="1"/>
  <c r="H1659" i="1"/>
  <c r="G1659" i="1"/>
  <c r="F1659" i="1"/>
  <c r="E1659" i="1"/>
  <c r="D1659" i="1"/>
  <c r="M1658" i="1"/>
  <c r="L1658" i="1"/>
  <c r="K1658" i="1"/>
  <c r="I1658" i="1"/>
  <c r="H1658" i="1"/>
  <c r="G1658" i="1"/>
  <c r="F1658" i="1"/>
  <c r="E1658" i="1"/>
  <c r="D1658" i="1"/>
  <c r="M1657" i="1"/>
  <c r="L1657" i="1"/>
  <c r="N1657" i="1" s="1"/>
  <c r="K1657" i="1"/>
  <c r="I1657" i="1"/>
  <c r="H1657" i="1"/>
  <c r="G1657" i="1"/>
  <c r="F1657" i="1"/>
  <c r="E1657" i="1"/>
  <c r="D1657" i="1"/>
  <c r="M1656" i="1"/>
  <c r="L1656" i="1"/>
  <c r="K1656" i="1"/>
  <c r="I1656" i="1"/>
  <c r="H1656" i="1"/>
  <c r="G1656" i="1"/>
  <c r="F1656" i="1"/>
  <c r="E1656" i="1"/>
  <c r="D1656" i="1"/>
  <c r="M1655" i="1"/>
  <c r="L1655" i="1"/>
  <c r="K1655" i="1"/>
  <c r="I1655" i="1"/>
  <c r="H1655" i="1"/>
  <c r="G1655" i="1"/>
  <c r="F1655" i="1"/>
  <c r="E1655" i="1"/>
  <c r="D1655" i="1"/>
  <c r="M1654" i="1"/>
  <c r="L1654" i="1"/>
  <c r="K1654" i="1"/>
  <c r="I1654" i="1"/>
  <c r="H1654" i="1"/>
  <c r="G1654" i="1"/>
  <c r="F1654" i="1"/>
  <c r="E1654" i="1"/>
  <c r="D1654" i="1"/>
  <c r="M1653" i="1"/>
  <c r="L1653" i="1"/>
  <c r="K1653" i="1"/>
  <c r="I1653" i="1"/>
  <c r="H1653" i="1"/>
  <c r="G1653" i="1"/>
  <c r="F1653" i="1"/>
  <c r="E1653" i="1"/>
  <c r="D1653" i="1"/>
  <c r="M1652" i="1"/>
  <c r="L1652" i="1"/>
  <c r="K1652" i="1"/>
  <c r="I1652" i="1"/>
  <c r="H1652" i="1"/>
  <c r="G1652" i="1"/>
  <c r="F1652" i="1"/>
  <c r="E1652" i="1"/>
  <c r="D1652" i="1"/>
  <c r="M1651" i="1"/>
  <c r="L1651" i="1"/>
  <c r="K1651" i="1"/>
  <c r="I1651" i="1"/>
  <c r="H1651" i="1"/>
  <c r="G1651" i="1"/>
  <c r="F1651" i="1"/>
  <c r="E1651" i="1"/>
  <c r="D1651" i="1"/>
  <c r="M1650" i="1"/>
  <c r="L1650" i="1"/>
  <c r="K1650" i="1"/>
  <c r="I1650" i="1"/>
  <c r="H1650" i="1"/>
  <c r="G1650" i="1"/>
  <c r="F1650" i="1"/>
  <c r="E1650" i="1"/>
  <c r="D1650" i="1"/>
  <c r="M1649" i="1"/>
  <c r="L1649" i="1"/>
  <c r="K1649" i="1"/>
  <c r="I1649" i="1"/>
  <c r="H1649" i="1"/>
  <c r="G1649" i="1"/>
  <c r="F1649" i="1"/>
  <c r="E1649" i="1"/>
  <c r="D1649" i="1"/>
  <c r="M1648" i="1"/>
  <c r="L1648" i="1"/>
  <c r="K1648" i="1"/>
  <c r="I1648" i="1"/>
  <c r="H1648" i="1"/>
  <c r="G1648" i="1"/>
  <c r="F1648" i="1"/>
  <c r="E1648" i="1"/>
  <c r="D1648" i="1"/>
  <c r="M1647" i="1"/>
  <c r="L1647" i="1"/>
  <c r="N1647" i="1" s="1"/>
  <c r="K1647" i="1"/>
  <c r="I1647" i="1"/>
  <c r="H1647" i="1"/>
  <c r="G1647" i="1"/>
  <c r="F1647" i="1"/>
  <c r="E1647" i="1"/>
  <c r="D1647" i="1"/>
  <c r="M1646" i="1"/>
  <c r="L1646" i="1"/>
  <c r="K1646" i="1"/>
  <c r="I1646" i="1"/>
  <c r="H1646" i="1"/>
  <c r="G1646" i="1"/>
  <c r="F1646" i="1"/>
  <c r="E1646" i="1"/>
  <c r="D1646" i="1"/>
  <c r="M1645" i="1"/>
  <c r="L1645" i="1"/>
  <c r="K1645" i="1"/>
  <c r="I1645" i="1"/>
  <c r="H1645" i="1"/>
  <c r="G1645" i="1"/>
  <c r="F1645" i="1"/>
  <c r="E1645" i="1"/>
  <c r="D1645" i="1"/>
  <c r="M1644" i="1"/>
  <c r="L1644" i="1"/>
  <c r="K1644" i="1"/>
  <c r="I1644" i="1"/>
  <c r="H1644" i="1"/>
  <c r="G1644" i="1"/>
  <c r="F1644" i="1"/>
  <c r="E1644" i="1"/>
  <c r="D1644" i="1"/>
  <c r="M1643" i="1"/>
  <c r="L1643" i="1"/>
  <c r="K1643" i="1"/>
  <c r="I1643" i="1"/>
  <c r="H1643" i="1"/>
  <c r="G1643" i="1"/>
  <c r="F1643" i="1"/>
  <c r="E1643" i="1"/>
  <c r="D1643" i="1"/>
  <c r="M1642" i="1"/>
  <c r="L1642" i="1"/>
  <c r="K1642" i="1"/>
  <c r="I1642" i="1"/>
  <c r="H1642" i="1"/>
  <c r="G1642" i="1"/>
  <c r="F1642" i="1"/>
  <c r="E1642" i="1"/>
  <c r="D1642" i="1"/>
  <c r="M1641" i="1"/>
  <c r="L1641" i="1"/>
  <c r="K1641" i="1"/>
  <c r="I1641" i="1"/>
  <c r="H1641" i="1"/>
  <c r="G1641" i="1"/>
  <c r="F1641" i="1"/>
  <c r="E1641" i="1"/>
  <c r="D1641" i="1"/>
  <c r="M1640" i="1"/>
  <c r="L1640" i="1"/>
  <c r="K1640" i="1"/>
  <c r="I1640" i="1"/>
  <c r="H1640" i="1"/>
  <c r="G1640" i="1"/>
  <c r="F1640" i="1"/>
  <c r="E1640" i="1"/>
  <c r="D1640" i="1"/>
  <c r="M1639" i="1"/>
  <c r="L1639" i="1"/>
  <c r="N1639" i="1" s="1"/>
  <c r="K1639" i="1"/>
  <c r="I1639" i="1"/>
  <c r="H1639" i="1"/>
  <c r="G1639" i="1"/>
  <c r="F1639" i="1"/>
  <c r="E1639" i="1"/>
  <c r="D1639" i="1"/>
  <c r="M1638" i="1"/>
  <c r="L1638" i="1"/>
  <c r="K1638" i="1"/>
  <c r="I1638" i="1"/>
  <c r="H1638" i="1"/>
  <c r="G1638" i="1"/>
  <c r="F1638" i="1"/>
  <c r="E1638" i="1"/>
  <c r="D1638" i="1"/>
  <c r="M1637" i="1"/>
  <c r="L1637" i="1"/>
  <c r="K1637" i="1"/>
  <c r="I1637" i="1"/>
  <c r="H1637" i="1"/>
  <c r="G1637" i="1"/>
  <c r="F1637" i="1"/>
  <c r="E1637" i="1"/>
  <c r="D1637" i="1"/>
  <c r="M1636" i="1"/>
  <c r="L1636" i="1"/>
  <c r="K1636" i="1"/>
  <c r="I1636" i="1"/>
  <c r="H1636" i="1"/>
  <c r="G1636" i="1"/>
  <c r="F1636" i="1"/>
  <c r="E1636" i="1"/>
  <c r="D1636" i="1"/>
  <c r="M1635" i="1"/>
  <c r="L1635" i="1"/>
  <c r="K1635" i="1"/>
  <c r="I1635" i="1"/>
  <c r="H1635" i="1"/>
  <c r="G1635" i="1"/>
  <c r="F1635" i="1"/>
  <c r="E1635" i="1"/>
  <c r="D1635" i="1"/>
  <c r="M1634" i="1"/>
  <c r="L1634" i="1"/>
  <c r="K1634" i="1"/>
  <c r="I1634" i="1"/>
  <c r="H1634" i="1"/>
  <c r="G1634" i="1"/>
  <c r="F1634" i="1"/>
  <c r="E1634" i="1"/>
  <c r="D1634" i="1"/>
  <c r="M1633" i="1"/>
  <c r="L1633" i="1"/>
  <c r="K1633" i="1"/>
  <c r="I1633" i="1"/>
  <c r="H1633" i="1"/>
  <c r="G1633" i="1"/>
  <c r="F1633" i="1"/>
  <c r="E1633" i="1"/>
  <c r="D1633" i="1"/>
  <c r="M1632" i="1"/>
  <c r="L1632" i="1"/>
  <c r="K1632" i="1"/>
  <c r="I1632" i="1"/>
  <c r="H1632" i="1"/>
  <c r="G1632" i="1"/>
  <c r="F1632" i="1"/>
  <c r="E1632" i="1"/>
  <c r="D1632" i="1"/>
  <c r="M1631" i="1"/>
  <c r="L1631" i="1"/>
  <c r="N1631" i="1" s="1"/>
  <c r="K1631" i="1"/>
  <c r="I1631" i="1"/>
  <c r="H1631" i="1"/>
  <c r="G1631" i="1"/>
  <c r="F1631" i="1"/>
  <c r="E1631" i="1"/>
  <c r="D1631" i="1"/>
  <c r="M1630" i="1"/>
  <c r="L1630" i="1"/>
  <c r="K1630" i="1"/>
  <c r="I1630" i="1"/>
  <c r="H1630" i="1"/>
  <c r="G1630" i="1"/>
  <c r="F1630" i="1"/>
  <c r="E1630" i="1"/>
  <c r="D1630" i="1"/>
  <c r="M1629" i="1"/>
  <c r="L1629" i="1"/>
  <c r="K1629" i="1"/>
  <c r="I1629" i="1"/>
  <c r="H1629" i="1"/>
  <c r="G1629" i="1"/>
  <c r="F1629" i="1"/>
  <c r="E1629" i="1"/>
  <c r="D1629" i="1"/>
  <c r="M1628" i="1"/>
  <c r="L1628" i="1"/>
  <c r="K1628" i="1"/>
  <c r="I1628" i="1"/>
  <c r="H1628" i="1"/>
  <c r="G1628" i="1"/>
  <c r="F1628" i="1"/>
  <c r="E1628" i="1"/>
  <c r="D1628" i="1"/>
  <c r="M1627" i="1"/>
  <c r="L1627" i="1"/>
  <c r="K1627" i="1"/>
  <c r="I1627" i="1"/>
  <c r="H1627" i="1"/>
  <c r="G1627" i="1"/>
  <c r="F1627" i="1"/>
  <c r="E1627" i="1"/>
  <c r="D1627" i="1"/>
  <c r="M1626" i="1"/>
  <c r="L1626" i="1"/>
  <c r="K1626" i="1"/>
  <c r="I1626" i="1"/>
  <c r="H1626" i="1"/>
  <c r="G1626" i="1"/>
  <c r="F1626" i="1"/>
  <c r="E1626" i="1"/>
  <c r="D1626" i="1"/>
  <c r="M1625" i="1"/>
  <c r="L1625" i="1"/>
  <c r="K1625" i="1"/>
  <c r="I1625" i="1"/>
  <c r="H1625" i="1"/>
  <c r="G1625" i="1"/>
  <c r="F1625" i="1"/>
  <c r="E1625" i="1"/>
  <c r="D1625" i="1"/>
  <c r="M1624" i="1"/>
  <c r="L1624" i="1"/>
  <c r="K1624" i="1"/>
  <c r="I1624" i="1"/>
  <c r="H1624" i="1"/>
  <c r="G1624" i="1"/>
  <c r="F1624" i="1"/>
  <c r="E1624" i="1"/>
  <c r="D1624" i="1"/>
  <c r="M1623" i="1"/>
  <c r="L1623" i="1"/>
  <c r="N1623" i="1" s="1"/>
  <c r="K1623" i="1"/>
  <c r="I1623" i="1"/>
  <c r="H1623" i="1"/>
  <c r="G1623" i="1"/>
  <c r="F1623" i="1"/>
  <c r="E1623" i="1"/>
  <c r="D1623" i="1"/>
  <c r="M1622" i="1"/>
  <c r="L1622" i="1"/>
  <c r="K1622" i="1"/>
  <c r="I1622" i="1"/>
  <c r="H1622" i="1"/>
  <c r="G1622" i="1"/>
  <c r="F1622" i="1"/>
  <c r="E1622" i="1"/>
  <c r="D1622" i="1"/>
  <c r="M1621" i="1"/>
  <c r="L1621" i="1"/>
  <c r="K1621" i="1"/>
  <c r="I1621" i="1"/>
  <c r="H1621" i="1"/>
  <c r="G1621" i="1"/>
  <c r="F1621" i="1"/>
  <c r="E1621" i="1"/>
  <c r="D1621" i="1"/>
  <c r="M1620" i="1"/>
  <c r="L1620" i="1"/>
  <c r="K1620" i="1"/>
  <c r="I1620" i="1"/>
  <c r="H1620" i="1"/>
  <c r="G1620" i="1"/>
  <c r="F1620" i="1"/>
  <c r="E1620" i="1"/>
  <c r="D1620" i="1"/>
  <c r="M1619" i="1"/>
  <c r="L1619" i="1"/>
  <c r="K1619" i="1"/>
  <c r="I1619" i="1"/>
  <c r="H1619" i="1"/>
  <c r="G1619" i="1"/>
  <c r="F1619" i="1"/>
  <c r="E1619" i="1"/>
  <c r="D1619" i="1"/>
  <c r="M1618" i="1"/>
  <c r="L1618" i="1"/>
  <c r="K1618" i="1"/>
  <c r="I1618" i="1"/>
  <c r="H1618" i="1"/>
  <c r="G1618" i="1"/>
  <c r="F1618" i="1"/>
  <c r="E1618" i="1"/>
  <c r="D1618" i="1"/>
  <c r="M1617" i="1"/>
  <c r="L1617" i="1"/>
  <c r="K1617" i="1"/>
  <c r="I1617" i="1"/>
  <c r="H1617" i="1"/>
  <c r="G1617" i="1"/>
  <c r="F1617" i="1"/>
  <c r="E1617" i="1"/>
  <c r="D1617" i="1"/>
  <c r="M1616" i="1"/>
  <c r="L1616" i="1"/>
  <c r="K1616" i="1"/>
  <c r="I1616" i="1"/>
  <c r="H1616" i="1"/>
  <c r="G1616" i="1"/>
  <c r="F1616" i="1"/>
  <c r="E1616" i="1"/>
  <c r="D1616" i="1"/>
  <c r="M1615" i="1"/>
  <c r="L1615" i="1"/>
  <c r="N1615" i="1" s="1"/>
  <c r="K1615" i="1"/>
  <c r="I1615" i="1"/>
  <c r="H1615" i="1"/>
  <c r="G1615" i="1"/>
  <c r="F1615" i="1"/>
  <c r="E1615" i="1"/>
  <c r="D1615" i="1"/>
  <c r="M1614" i="1"/>
  <c r="L1614" i="1"/>
  <c r="K1614" i="1"/>
  <c r="I1614" i="1"/>
  <c r="H1614" i="1"/>
  <c r="G1614" i="1"/>
  <c r="F1614" i="1"/>
  <c r="E1614" i="1"/>
  <c r="D1614" i="1"/>
  <c r="M1613" i="1"/>
  <c r="L1613" i="1"/>
  <c r="K1613" i="1"/>
  <c r="I1613" i="1"/>
  <c r="H1613" i="1"/>
  <c r="G1613" i="1"/>
  <c r="F1613" i="1"/>
  <c r="E1613" i="1"/>
  <c r="D1613" i="1"/>
  <c r="M1612" i="1"/>
  <c r="L1612" i="1"/>
  <c r="K1612" i="1"/>
  <c r="I1612" i="1"/>
  <c r="H1612" i="1"/>
  <c r="G1612" i="1"/>
  <c r="F1612" i="1"/>
  <c r="E1612" i="1"/>
  <c r="D1612" i="1"/>
  <c r="M1611" i="1"/>
  <c r="L1611" i="1"/>
  <c r="K1611" i="1"/>
  <c r="I1611" i="1"/>
  <c r="H1611" i="1"/>
  <c r="G1611" i="1"/>
  <c r="F1611" i="1"/>
  <c r="E1611" i="1"/>
  <c r="D1611" i="1"/>
  <c r="M1610" i="1"/>
  <c r="L1610" i="1"/>
  <c r="K1610" i="1"/>
  <c r="I1610" i="1"/>
  <c r="H1610" i="1"/>
  <c r="G1610" i="1"/>
  <c r="F1610" i="1"/>
  <c r="E1610" i="1"/>
  <c r="D1610" i="1"/>
  <c r="M1609" i="1"/>
  <c r="L1609" i="1"/>
  <c r="K1609" i="1"/>
  <c r="I1609" i="1"/>
  <c r="H1609" i="1"/>
  <c r="G1609" i="1"/>
  <c r="F1609" i="1"/>
  <c r="E1609" i="1"/>
  <c r="D1609" i="1"/>
  <c r="M1608" i="1"/>
  <c r="L1608" i="1"/>
  <c r="K1608" i="1"/>
  <c r="I1608" i="1"/>
  <c r="H1608" i="1"/>
  <c r="G1608" i="1"/>
  <c r="F1608" i="1"/>
  <c r="E1608" i="1"/>
  <c r="D1608" i="1"/>
  <c r="M1607" i="1"/>
  <c r="L1607" i="1"/>
  <c r="N1607" i="1" s="1"/>
  <c r="K1607" i="1"/>
  <c r="I1607" i="1"/>
  <c r="H1607" i="1"/>
  <c r="G1607" i="1"/>
  <c r="F1607" i="1"/>
  <c r="E1607" i="1"/>
  <c r="D1607" i="1"/>
  <c r="M1606" i="1"/>
  <c r="L1606" i="1"/>
  <c r="K1606" i="1"/>
  <c r="I1606" i="1"/>
  <c r="H1606" i="1"/>
  <c r="G1606" i="1"/>
  <c r="F1606" i="1"/>
  <c r="E1606" i="1"/>
  <c r="D1606" i="1"/>
  <c r="M1605" i="1"/>
  <c r="L1605" i="1"/>
  <c r="K1605" i="1"/>
  <c r="I1605" i="1"/>
  <c r="H1605" i="1"/>
  <c r="G1605" i="1"/>
  <c r="F1605" i="1"/>
  <c r="E1605" i="1"/>
  <c r="D1605" i="1"/>
  <c r="M1604" i="1"/>
  <c r="L1604" i="1"/>
  <c r="K1604" i="1"/>
  <c r="I1604" i="1"/>
  <c r="H1604" i="1"/>
  <c r="G1604" i="1"/>
  <c r="F1604" i="1"/>
  <c r="E1604" i="1"/>
  <c r="D1604" i="1"/>
  <c r="M1603" i="1"/>
  <c r="L1603" i="1"/>
  <c r="K1603" i="1"/>
  <c r="I1603" i="1"/>
  <c r="H1603" i="1"/>
  <c r="G1603" i="1"/>
  <c r="F1603" i="1"/>
  <c r="E1603" i="1"/>
  <c r="D1603" i="1"/>
  <c r="M1602" i="1"/>
  <c r="L1602" i="1"/>
  <c r="K1602" i="1"/>
  <c r="I1602" i="1"/>
  <c r="H1602" i="1"/>
  <c r="G1602" i="1"/>
  <c r="F1602" i="1"/>
  <c r="E1602" i="1"/>
  <c r="D1602" i="1"/>
  <c r="M1601" i="1"/>
  <c r="L1601" i="1"/>
  <c r="K1601" i="1"/>
  <c r="I1601" i="1"/>
  <c r="H1601" i="1"/>
  <c r="G1601" i="1"/>
  <c r="F1601" i="1"/>
  <c r="E1601" i="1"/>
  <c r="D1601" i="1"/>
  <c r="M1600" i="1"/>
  <c r="L1600" i="1"/>
  <c r="K1600" i="1"/>
  <c r="I1600" i="1"/>
  <c r="H1600" i="1"/>
  <c r="G1600" i="1"/>
  <c r="F1600" i="1"/>
  <c r="E1600" i="1"/>
  <c r="D1600" i="1"/>
  <c r="M1599" i="1"/>
  <c r="L1599" i="1"/>
  <c r="K1599" i="1"/>
  <c r="I1599" i="1"/>
  <c r="H1599" i="1"/>
  <c r="G1599" i="1"/>
  <c r="F1599" i="1"/>
  <c r="E1599" i="1"/>
  <c r="D1599" i="1"/>
  <c r="M1598" i="1"/>
  <c r="L1598" i="1"/>
  <c r="K1598" i="1"/>
  <c r="I1598" i="1"/>
  <c r="H1598" i="1"/>
  <c r="G1598" i="1"/>
  <c r="F1598" i="1"/>
  <c r="E1598" i="1"/>
  <c r="D1598" i="1"/>
  <c r="M1597" i="1"/>
  <c r="L1597" i="1"/>
  <c r="K1597" i="1"/>
  <c r="I1597" i="1"/>
  <c r="H1597" i="1"/>
  <c r="G1597" i="1"/>
  <c r="F1597" i="1"/>
  <c r="E1597" i="1"/>
  <c r="D1597" i="1"/>
  <c r="M1596" i="1"/>
  <c r="L1596" i="1"/>
  <c r="K1596" i="1"/>
  <c r="I1596" i="1"/>
  <c r="H1596" i="1"/>
  <c r="G1596" i="1"/>
  <c r="F1596" i="1"/>
  <c r="E1596" i="1"/>
  <c r="D1596" i="1"/>
  <c r="M1595" i="1"/>
  <c r="L1595" i="1"/>
  <c r="K1595" i="1"/>
  <c r="I1595" i="1"/>
  <c r="H1595" i="1"/>
  <c r="G1595" i="1"/>
  <c r="F1595" i="1"/>
  <c r="E1595" i="1"/>
  <c r="D1595" i="1"/>
  <c r="M1594" i="1"/>
  <c r="L1594" i="1"/>
  <c r="K1594" i="1"/>
  <c r="I1594" i="1"/>
  <c r="H1594" i="1"/>
  <c r="G1594" i="1"/>
  <c r="F1594" i="1"/>
  <c r="E1594" i="1"/>
  <c r="D1594" i="1"/>
  <c r="M1593" i="1"/>
  <c r="L1593" i="1"/>
  <c r="K1593" i="1"/>
  <c r="I1593" i="1"/>
  <c r="H1593" i="1"/>
  <c r="G1593" i="1"/>
  <c r="F1593" i="1"/>
  <c r="E1593" i="1"/>
  <c r="D1593" i="1"/>
  <c r="M1592" i="1"/>
  <c r="L1592" i="1"/>
  <c r="K1592" i="1"/>
  <c r="I1592" i="1"/>
  <c r="H1592" i="1"/>
  <c r="G1592" i="1"/>
  <c r="F1592" i="1"/>
  <c r="E1592" i="1"/>
  <c r="D1592" i="1"/>
  <c r="M1591" i="1"/>
  <c r="L1591" i="1"/>
  <c r="K1591" i="1"/>
  <c r="I1591" i="1"/>
  <c r="H1591" i="1"/>
  <c r="G1591" i="1"/>
  <c r="F1591" i="1"/>
  <c r="E1591" i="1"/>
  <c r="D1591" i="1"/>
  <c r="M1590" i="1"/>
  <c r="L1590" i="1"/>
  <c r="K1590" i="1"/>
  <c r="I1590" i="1"/>
  <c r="H1590" i="1"/>
  <c r="G1590" i="1"/>
  <c r="F1590" i="1"/>
  <c r="E1590" i="1"/>
  <c r="D1590" i="1"/>
  <c r="M1589" i="1"/>
  <c r="L1589" i="1"/>
  <c r="K1589" i="1"/>
  <c r="I1589" i="1"/>
  <c r="H1589" i="1"/>
  <c r="G1589" i="1"/>
  <c r="F1589" i="1"/>
  <c r="E1589" i="1"/>
  <c r="D1589" i="1"/>
  <c r="M1588" i="1"/>
  <c r="L1588" i="1"/>
  <c r="K1588" i="1"/>
  <c r="I1588" i="1"/>
  <c r="H1588" i="1"/>
  <c r="G1588" i="1"/>
  <c r="F1588" i="1"/>
  <c r="E1588" i="1"/>
  <c r="D1588" i="1"/>
  <c r="M1587" i="1"/>
  <c r="L1587" i="1"/>
  <c r="K1587" i="1"/>
  <c r="I1587" i="1"/>
  <c r="H1587" i="1"/>
  <c r="G1587" i="1"/>
  <c r="F1587" i="1"/>
  <c r="E1587" i="1"/>
  <c r="D1587" i="1"/>
  <c r="M1586" i="1"/>
  <c r="L1586" i="1"/>
  <c r="K1586" i="1"/>
  <c r="I1586" i="1"/>
  <c r="H1586" i="1"/>
  <c r="G1586" i="1"/>
  <c r="F1586" i="1"/>
  <c r="E1586" i="1"/>
  <c r="D1586" i="1"/>
  <c r="M1585" i="1"/>
  <c r="L1585" i="1"/>
  <c r="I1585" i="1"/>
  <c r="H1585" i="1"/>
  <c r="G1585" i="1"/>
  <c r="F1585" i="1"/>
  <c r="E1585" i="1"/>
  <c r="D1585" i="1"/>
  <c r="M1584" i="1"/>
  <c r="L1584" i="1"/>
  <c r="I1584" i="1"/>
  <c r="H1584" i="1"/>
  <c r="G1584" i="1"/>
  <c r="F1584" i="1"/>
  <c r="E1584" i="1"/>
  <c r="D1584" i="1"/>
  <c r="M1583" i="1"/>
  <c r="L1583" i="1"/>
  <c r="K1583" i="1"/>
  <c r="I1583" i="1"/>
  <c r="H1583" i="1"/>
  <c r="G1583" i="1"/>
  <c r="F1583" i="1"/>
  <c r="E1583" i="1"/>
  <c r="D1583" i="1"/>
  <c r="M1582" i="1"/>
  <c r="L1582" i="1"/>
  <c r="K1582" i="1"/>
  <c r="I1582" i="1"/>
  <c r="H1582" i="1"/>
  <c r="G1582" i="1"/>
  <c r="F1582" i="1"/>
  <c r="E1582" i="1"/>
  <c r="D1582" i="1"/>
  <c r="M1581" i="1"/>
  <c r="L1581" i="1"/>
  <c r="K1581" i="1"/>
  <c r="I1581" i="1"/>
  <c r="H1581" i="1"/>
  <c r="G1581" i="1"/>
  <c r="F1581" i="1"/>
  <c r="E1581" i="1"/>
  <c r="D1581" i="1"/>
  <c r="M1580" i="1"/>
  <c r="L1580" i="1"/>
  <c r="K1580" i="1"/>
  <c r="I1580" i="1"/>
  <c r="H1580" i="1"/>
  <c r="G1580" i="1"/>
  <c r="F1580" i="1"/>
  <c r="E1580" i="1"/>
  <c r="D1580" i="1"/>
  <c r="M1579" i="1"/>
  <c r="L1579" i="1"/>
  <c r="K1579" i="1"/>
  <c r="I1579" i="1"/>
  <c r="H1579" i="1"/>
  <c r="G1579" i="1"/>
  <c r="F1579" i="1"/>
  <c r="E1579" i="1"/>
  <c r="D1579" i="1"/>
  <c r="M1578" i="1"/>
  <c r="N1578" i="1" s="1"/>
  <c r="L1578" i="1"/>
  <c r="K1578" i="1"/>
  <c r="I1578" i="1"/>
  <c r="H1578" i="1"/>
  <c r="G1578" i="1"/>
  <c r="F1578" i="1"/>
  <c r="E1578" i="1"/>
  <c r="D1578" i="1"/>
  <c r="M1577" i="1"/>
  <c r="L1577" i="1"/>
  <c r="K1577" i="1"/>
  <c r="I1577" i="1"/>
  <c r="H1577" i="1"/>
  <c r="G1577" i="1"/>
  <c r="F1577" i="1"/>
  <c r="E1577" i="1"/>
  <c r="D1577" i="1"/>
  <c r="M1576" i="1"/>
  <c r="L1576" i="1"/>
  <c r="K1576" i="1"/>
  <c r="I1576" i="1"/>
  <c r="H1576" i="1"/>
  <c r="G1576" i="1"/>
  <c r="F1576" i="1"/>
  <c r="E1576" i="1"/>
  <c r="D1576" i="1"/>
  <c r="M1575" i="1"/>
  <c r="L1575" i="1"/>
  <c r="K1575" i="1"/>
  <c r="I1575" i="1"/>
  <c r="H1575" i="1"/>
  <c r="G1575" i="1"/>
  <c r="F1575" i="1"/>
  <c r="E1575" i="1"/>
  <c r="D1575" i="1"/>
  <c r="M1574" i="1"/>
  <c r="L1574" i="1"/>
  <c r="K1574" i="1"/>
  <c r="I1574" i="1"/>
  <c r="H1574" i="1"/>
  <c r="G1574" i="1"/>
  <c r="F1574" i="1"/>
  <c r="E1574" i="1"/>
  <c r="D1574" i="1"/>
  <c r="M1573" i="1"/>
  <c r="L1573" i="1"/>
  <c r="K1573" i="1"/>
  <c r="I1573" i="1"/>
  <c r="H1573" i="1"/>
  <c r="G1573" i="1"/>
  <c r="F1573" i="1"/>
  <c r="E1573" i="1"/>
  <c r="D1573" i="1"/>
  <c r="M1572" i="1"/>
  <c r="L1572" i="1"/>
  <c r="K1572" i="1"/>
  <c r="I1572" i="1"/>
  <c r="H1572" i="1"/>
  <c r="G1572" i="1"/>
  <c r="F1572" i="1"/>
  <c r="E1572" i="1"/>
  <c r="D1572" i="1"/>
  <c r="M1571" i="1"/>
  <c r="L1571" i="1"/>
  <c r="K1571" i="1"/>
  <c r="I1571" i="1"/>
  <c r="H1571" i="1"/>
  <c r="G1571" i="1"/>
  <c r="F1571" i="1"/>
  <c r="E1571" i="1"/>
  <c r="D1571" i="1"/>
  <c r="M1570" i="1"/>
  <c r="L1570" i="1"/>
  <c r="K1570" i="1"/>
  <c r="I1570" i="1"/>
  <c r="H1570" i="1"/>
  <c r="G1570" i="1"/>
  <c r="F1570" i="1"/>
  <c r="E1570" i="1"/>
  <c r="D1570" i="1"/>
  <c r="M1569" i="1"/>
  <c r="L1569" i="1"/>
  <c r="K1569" i="1"/>
  <c r="I1569" i="1"/>
  <c r="H1569" i="1"/>
  <c r="G1569" i="1"/>
  <c r="F1569" i="1"/>
  <c r="E1569" i="1"/>
  <c r="D1569" i="1"/>
  <c r="M1568" i="1"/>
  <c r="L1568" i="1"/>
  <c r="K1568" i="1"/>
  <c r="I1568" i="1"/>
  <c r="H1568" i="1"/>
  <c r="G1568" i="1"/>
  <c r="F1568" i="1"/>
  <c r="E1568" i="1"/>
  <c r="D1568" i="1"/>
  <c r="M1567" i="1"/>
  <c r="L1567" i="1"/>
  <c r="K1567" i="1"/>
  <c r="I1567" i="1"/>
  <c r="H1567" i="1"/>
  <c r="G1567" i="1"/>
  <c r="F1567" i="1"/>
  <c r="E1567" i="1"/>
  <c r="D1567" i="1"/>
  <c r="M1566" i="1"/>
  <c r="L1566" i="1"/>
  <c r="K1566" i="1"/>
  <c r="I1566" i="1"/>
  <c r="H1566" i="1"/>
  <c r="G1566" i="1"/>
  <c r="F1566" i="1"/>
  <c r="E1566" i="1"/>
  <c r="D1566" i="1"/>
  <c r="M1565" i="1"/>
  <c r="L1565" i="1"/>
  <c r="N1565" i="1" s="1"/>
  <c r="K1565" i="1"/>
  <c r="I1565" i="1"/>
  <c r="H1565" i="1"/>
  <c r="G1565" i="1"/>
  <c r="F1565" i="1"/>
  <c r="E1565" i="1"/>
  <c r="D1565" i="1"/>
  <c r="M1564" i="1"/>
  <c r="L1564" i="1"/>
  <c r="K1564" i="1"/>
  <c r="I1564" i="1"/>
  <c r="H1564" i="1"/>
  <c r="G1564" i="1"/>
  <c r="F1564" i="1"/>
  <c r="E1564" i="1"/>
  <c r="D1564" i="1"/>
  <c r="M1563" i="1"/>
  <c r="L1563" i="1"/>
  <c r="K1563" i="1"/>
  <c r="I1563" i="1"/>
  <c r="H1563" i="1"/>
  <c r="G1563" i="1"/>
  <c r="F1563" i="1"/>
  <c r="E1563" i="1"/>
  <c r="D1563" i="1"/>
  <c r="M1562" i="1"/>
  <c r="L1562" i="1"/>
  <c r="K1562" i="1"/>
  <c r="I1562" i="1"/>
  <c r="H1562" i="1"/>
  <c r="G1562" i="1"/>
  <c r="F1562" i="1"/>
  <c r="E1562" i="1"/>
  <c r="D1562" i="1"/>
  <c r="M1561" i="1"/>
  <c r="L1561" i="1"/>
  <c r="K1561" i="1"/>
  <c r="I1561" i="1"/>
  <c r="H1561" i="1"/>
  <c r="G1561" i="1"/>
  <c r="F1561" i="1"/>
  <c r="E1561" i="1"/>
  <c r="D1561" i="1"/>
  <c r="M1560" i="1"/>
  <c r="L1560" i="1"/>
  <c r="K1560" i="1"/>
  <c r="I1560" i="1"/>
  <c r="H1560" i="1"/>
  <c r="G1560" i="1"/>
  <c r="F1560" i="1"/>
  <c r="E1560" i="1"/>
  <c r="D1560" i="1"/>
  <c r="M1559" i="1"/>
  <c r="L1559" i="1"/>
  <c r="K1559" i="1"/>
  <c r="I1559" i="1"/>
  <c r="H1559" i="1"/>
  <c r="G1559" i="1"/>
  <c r="F1559" i="1"/>
  <c r="E1559" i="1"/>
  <c r="D1559" i="1"/>
  <c r="M1558" i="1"/>
  <c r="L1558" i="1"/>
  <c r="K1558" i="1"/>
  <c r="I1558" i="1"/>
  <c r="H1558" i="1"/>
  <c r="G1558" i="1"/>
  <c r="F1558" i="1"/>
  <c r="E1558" i="1"/>
  <c r="D1558" i="1"/>
  <c r="M1557" i="1"/>
  <c r="L1557" i="1"/>
  <c r="K1557" i="1"/>
  <c r="I1557" i="1"/>
  <c r="H1557" i="1"/>
  <c r="G1557" i="1"/>
  <c r="F1557" i="1"/>
  <c r="E1557" i="1"/>
  <c r="D1557" i="1"/>
  <c r="M1556" i="1"/>
  <c r="L1556" i="1"/>
  <c r="K1556" i="1"/>
  <c r="I1556" i="1"/>
  <c r="H1556" i="1"/>
  <c r="G1556" i="1"/>
  <c r="F1556" i="1"/>
  <c r="E1556" i="1"/>
  <c r="D1556" i="1"/>
  <c r="M1555" i="1"/>
  <c r="L1555" i="1"/>
  <c r="K1555" i="1"/>
  <c r="I1555" i="1"/>
  <c r="H1555" i="1"/>
  <c r="G1555" i="1"/>
  <c r="F1555" i="1"/>
  <c r="E1555" i="1"/>
  <c r="D1555" i="1"/>
  <c r="M1554" i="1"/>
  <c r="L1554" i="1"/>
  <c r="K1554" i="1"/>
  <c r="I1554" i="1"/>
  <c r="H1554" i="1"/>
  <c r="G1554" i="1"/>
  <c r="F1554" i="1"/>
  <c r="E1554" i="1"/>
  <c r="D1554" i="1"/>
  <c r="M1553" i="1"/>
  <c r="L1553" i="1"/>
  <c r="K1553" i="1"/>
  <c r="I1553" i="1"/>
  <c r="H1553" i="1"/>
  <c r="G1553" i="1"/>
  <c r="F1553" i="1"/>
  <c r="E1553" i="1"/>
  <c r="D1553" i="1"/>
  <c r="M1552" i="1"/>
  <c r="L1552" i="1"/>
  <c r="K1552" i="1"/>
  <c r="I1552" i="1"/>
  <c r="H1552" i="1"/>
  <c r="G1552" i="1"/>
  <c r="F1552" i="1"/>
  <c r="E1552" i="1"/>
  <c r="D1552" i="1"/>
  <c r="M1551" i="1"/>
  <c r="L1551" i="1"/>
  <c r="N1551" i="1" s="1"/>
  <c r="K1551" i="1"/>
  <c r="I1551" i="1"/>
  <c r="H1551" i="1"/>
  <c r="G1551" i="1"/>
  <c r="F1551" i="1"/>
  <c r="E1551" i="1"/>
  <c r="D1551" i="1"/>
  <c r="M1550" i="1"/>
  <c r="N1550" i="1" s="1"/>
  <c r="L1550" i="1"/>
  <c r="K1550" i="1"/>
  <c r="I1550" i="1"/>
  <c r="H1550" i="1"/>
  <c r="G1550" i="1"/>
  <c r="F1550" i="1"/>
  <c r="E1550" i="1"/>
  <c r="D1550" i="1"/>
  <c r="M1549" i="1"/>
  <c r="L1549" i="1"/>
  <c r="K1549" i="1"/>
  <c r="I1549" i="1"/>
  <c r="H1549" i="1"/>
  <c r="G1549" i="1"/>
  <c r="F1549" i="1"/>
  <c r="E1549" i="1"/>
  <c r="D1549" i="1"/>
  <c r="M1548" i="1"/>
  <c r="L1548" i="1"/>
  <c r="K1548" i="1"/>
  <c r="I1548" i="1"/>
  <c r="H1548" i="1"/>
  <c r="G1548" i="1"/>
  <c r="F1548" i="1"/>
  <c r="E1548" i="1"/>
  <c r="D1548" i="1"/>
  <c r="M1547" i="1"/>
  <c r="L1547" i="1"/>
  <c r="K1547" i="1"/>
  <c r="I1547" i="1"/>
  <c r="H1547" i="1"/>
  <c r="G1547" i="1"/>
  <c r="F1547" i="1"/>
  <c r="E1547" i="1"/>
  <c r="D1547" i="1"/>
  <c r="M1546" i="1"/>
  <c r="L1546" i="1"/>
  <c r="K1546" i="1"/>
  <c r="I1546" i="1"/>
  <c r="H1546" i="1"/>
  <c r="G1546" i="1"/>
  <c r="F1546" i="1"/>
  <c r="E1546" i="1"/>
  <c r="D1546" i="1"/>
  <c r="M1545" i="1"/>
  <c r="L1545" i="1"/>
  <c r="K1545" i="1"/>
  <c r="I1545" i="1"/>
  <c r="H1545" i="1"/>
  <c r="G1545" i="1"/>
  <c r="F1545" i="1"/>
  <c r="E1545" i="1"/>
  <c r="D1545" i="1"/>
  <c r="M1544" i="1"/>
  <c r="L1544" i="1"/>
  <c r="K1544" i="1"/>
  <c r="I1544" i="1"/>
  <c r="H1544" i="1"/>
  <c r="G1544" i="1"/>
  <c r="F1544" i="1"/>
  <c r="E1544" i="1"/>
  <c r="D1544" i="1"/>
  <c r="M1543" i="1"/>
  <c r="L1543" i="1"/>
  <c r="K1543" i="1"/>
  <c r="I1543" i="1"/>
  <c r="H1543" i="1"/>
  <c r="G1543" i="1"/>
  <c r="F1543" i="1"/>
  <c r="E1543" i="1"/>
  <c r="D1543" i="1"/>
  <c r="M1542" i="1"/>
  <c r="L1542" i="1"/>
  <c r="K1542" i="1"/>
  <c r="I1542" i="1"/>
  <c r="H1542" i="1"/>
  <c r="G1542" i="1"/>
  <c r="F1542" i="1"/>
  <c r="E1542" i="1"/>
  <c r="D1542" i="1"/>
  <c r="M1541" i="1"/>
  <c r="L1541" i="1"/>
  <c r="K1541" i="1"/>
  <c r="I1541" i="1"/>
  <c r="H1541" i="1"/>
  <c r="G1541" i="1"/>
  <c r="F1541" i="1"/>
  <c r="E1541" i="1"/>
  <c r="D1541" i="1"/>
  <c r="M1540" i="1"/>
  <c r="L1540" i="1"/>
  <c r="K1540" i="1"/>
  <c r="I1540" i="1"/>
  <c r="H1540" i="1"/>
  <c r="G1540" i="1"/>
  <c r="F1540" i="1"/>
  <c r="E1540" i="1"/>
  <c r="D1540" i="1"/>
  <c r="M1539" i="1"/>
  <c r="L1539" i="1"/>
  <c r="K1539" i="1"/>
  <c r="I1539" i="1"/>
  <c r="H1539" i="1"/>
  <c r="G1539" i="1"/>
  <c r="F1539" i="1"/>
  <c r="E1539" i="1"/>
  <c r="D1539" i="1"/>
  <c r="M1538" i="1"/>
  <c r="L1538" i="1"/>
  <c r="K1538" i="1"/>
  <c r="I1538" i="1"/>
  <c r="H1538" i="1"/>
  <c r="G1538" i="1"/>
  <c r="F1538" i="1"/>
  <c r="E1538" i="1"/>
  <c r="D1538" i="1"/>
  <c r="M1537" i="1"/>
  <c r="L1537" i="1"/>
  <c r="N1537" i="1" s="1"/>
  <c r="K1537" i="1"/>
  <c r="I1537" i="1"/>
  <c r="H1537" i="1"/>
  <c r="G1537" i="1"/>
  <c r="F1537" i="1"/>
  <c r="E1537" i="1"/>
  <c r="D1537" i="1"/>
  <c r="M1536" i="1"/>
  <c r="L1536" i="1"/>
  <c r="K1536" i="1"/>
  <c r="I1536" i="1"/>
  <c r="H1536" i="1"/>
  <c r="G1536" i="1"/>
  <c r="F1536" i="1"/>
  <c r="E1536" i="1"/>
  <c r="D1536" i="1"/>
  <c r="M1535" i="1"/>
  <c r="L1535" i="1"/>
  <c r="K1535" i="1"/>
  <c r="I1535" i="1"/>
  <c r="H1535" i="1"/>
  <c r="G1535" i="1"/>
  <c r="F1535" i="1"/>
  <c r="E1535" i="1"/>
  <c r="D1535" i="1"/>
  <c r="M1534" i="1"/>
  <c r="L1534" i="1"/>
  <c r="K1534" i="1"/>
  <c r="I1534" i="1"/>
  <c r="H1534" i="1"/>
  <c r="G1534" i="1"/>
  <c r="F1534" i="1"/>
  <c r="E1534" i="1"/>
  <c r="D1534" i="1"/>
  <c r="M1533" i="1"/>
  <c r="L1533" i="1"/>
  <c r="K1533" i="1"/>
  <c r="I1533" i="1"/>
  <c r="H1533" i="1"/>
  <c r="G1533" i="1"/>
  <c r="F1533" i="1"/>
  <c r="E1533" i="1"/>
  <c r="D1533" i="1"/>
  <c r="M1532" i="1"/>
  <c r="L1532" i="1"/>
  <c r="K1532" i="1"/>
  <c r="I1532" i="1"/>
  <c r="H1532" i="1"/>
  <c r="G1532" i="1"/>
  <c r="F1532" i="1"/>
  <c r="E1532" i="1"/>
  <c r="D1532" i="1"/>
  <c r="M1531" i="1"/>
  <c r="L1531" i="1"/>
  <c r="K1531" i="1"/>
  <c r="I1531" i="1"/>
  <c r="H1531" i="1"/>
  <c r="G1531" i="1"/>
  <c r="F1531" i="1"/>
  <c r="E1531" i="1"/>
  <c r="D1531" i="1"/>
  <c r="M1530" i="1"/>
  <c r="L1530" i="1"/>
  <c r="K1530" i="1"/>
  <c r="I1530" i="1"/>
  <c r="H1530" i="1"/>
  <c r="G1530" i="1"/>
  <c r="F1530" i="1"/>
  <c r="E1530" i="1"/>
  <c r="D1530" i="1"/>
  <c r="M1529" i="1"/>
  <c r="L1529" i="1"/>
  <c r="K1529" i="1"/>
  <c r="I1529" i="1"/>
  <c r="H1529" i="1"/>
  <c r="G1529" i="1"/>
  <c r="F1529" i="1"/>
  <c r="E1529" i="1"/>
  <c r="D1529" i="1"/>
  <c r="M1528" i="1"/>
  <c r="L1528" i="1"/>
  <c r="K1528" i="1"/>
  <c r="I1528" i="1"/>
  <c r="H1528" i="1"/>
  <c r="G1528" i="1"/>
  <c r="F1528" i="1"/>
  <c r="E1528" i="1"/>
  <c r="D1528" i="1"/>
  <c r="M1527" i="1"/>
  <c r="L1527" i="1"/>
  <c r="K1527" i="1"/>
  <c r="I1527" i="1"/>
  <c r="H1527" i="1"/>
  <c r="G1527" i="1"/>
  <c r="F1527" i="1"/>
  <c r="E1527" i="1"/>
  <c r="D1527" i="1"/>
  <c r="M1526" i="1"/>
  <c r="L1526" i="1"/>
  <c r="K1526" i="1"/>
  <c r="I1526" i="1"/>
  <c r="H1526" i="1"/>
  <c r="G1526" i="1"/>
  <c r="F1526" i="1"/>
  <c r="E1526" i="1"/>
  <c r="D1526" i="1"/>
  <c r="M1525" i="1"/>
  <c r="L1525" i="1"/>
  <c r="K1525" i="1"/>
  <c r="I1525" i="1"/>
  <c r="H1525" i="1"/>
  <c r="G1525" i="1"/>
  <c r="F1525" i="1"/>
  <c r="E1525" i="1"/>
  <c r="D1525" i="1"/>
  <c r="M1524" i="1"/>
  <c r="L1524" i="1"/>
  <c r="K1524" i="1"/>
  <c r="I1524" i="1"/>
  <c r="H1524" i="1"/>
  <c r="G1524" i="1"/>
  <c r="F1524" i="1"/>
  <c r="E1524" i="1"/>
  <c r="D1524" i="1"/>
  <c r="M1523" i="1"/>
  <c r="L1523" i="1"/>
  <c r="K1523" i="1"/>
  <c r="I1523" i="1"/>
  <c r="H1523" i="1"/>
  <c r="G1523" i="1"/>
  <c r="F1523" i="1"/>
  <c r="E1523" i="1"/>
  <c r="D1523" i="1"/>
  <c r="M1522" i="1"/>
  <c r="L1522" i="1"/>
  <c r="K1522" i="1"/>
  <c r="I1522" i="1"/>
  <c r="H1522" i="1"/>
  <c r="G1522" i="1"/>
  <c r="F1522" i="1"/>
  <c r="E1522" i="1"/>
  <c r="D1522" i="1"/>
  <c r="M1521" i="1"/>
  <c r="L1521" i="1"/>
  <c r="N1521" i="1" s="1"/>
  <c r="K1521" i="1"/>
  <c r="I1521" i="1"/>
  <c r="H1521" i="1"/>
  <c r="G1521" i="1"/>
  <c r="F1521" i="1"/>
  <c r="E1521" i="1"/>
  <c r="D1521" i="1"/>
  <c r="M1520" i="1"/>
  <c r="L1520" i="1"/>
  <c r="K1520" i="1"/>
  <c r="I1520" i="1"/>
  <c r="H1520" i="1"/>
  <c r="G1520" i="1"/>
  <c r="F1520" i="1"/>
  <c r="E1520" i="1"/>
  <c r="D1520" i="1"/>
  <c r="M1519" i="1"/>
  <c r="L1519" i="1"/>
  <c r="K1519" i="1"/>
  <c r="I1519" i="1"/>
  <c r="H1519" i="1"/>
  <c r="G1519" i="1"/>
  <c r="F1519" i="1"/>
  <c r="E1519" i="1"/>
  <c r="D1519" i="1"/>
  <c r="M1518" i="1"/>
  <c r="L1518" i="1"/>
  <c r="K1518" i="1"/>
  <c r="I1518" i="1"/>
  <c r="H1518" i="1"/>
  <c r="G1518" i="1"/>
  <c r="F1518" i="1"/>
  <c r="E1518" i="1"/>
  <c r="D1518" i="1"/>
  <c r="M1517" i="1"/>
  <c r="L1517" i="1"/>
  <c r="K1517" i="1"/>
  <c r="I1517" i="1"/>
  <c r="H1517" i="1"/>
  <c r="G1517" i="1"/>
  <c r="F1517" i="1"/>
  <c r="E1517" i="1"/>
  <c r="D1517" i="1"/>
  <c r="M1516" i="1"/>
  <c r="L1516" i="1"/>
  <c r="K1516" i="1"/>
  <c r="I1516" i="1"/>
  <c r="H1516" i="1"/>
  <c r="G1516" i="1"/>
  <c r="F1516" i="1"/>
  <c r="E1516" i="1"/>
  <c r="D1516" i="1"/>
  <c r="M1515" i="1"/>
  <c r="L1515" i="1"/>
  <c r="K1515" i="1"/>
  <c r="I1515" i="1"/>
  <c r="H1515" i="1"/>
  <c r="G1515" i="1"/>
  <c r="F1515" i="1"/>
  <c r="E1515" i="1"/>
  <c r="D1515" i="1"/>
  <c r="M1514" i="1"/>
  <c r="L1514" i="1"/>
  <c r="K1514" i="1"/>
  <c r="I1514" i="1"/>
  <c r="H1514" i="1"/>
  <c r="G1514" i="1"/>
  <c r="F1514" i="1"/>
  <c r="E1514" i="1"/>
  <c r="D1514" i="1"/>
  <c r="M1513" i="1"/>
  <c r="L1513" i="1"/>
  <c r="K1513" i="1"/>
  <c r="I1513" i="1"/>
  <c r="H1513" i="1"/>
  <c r="G1513" i="1"/>
  <c r="F1513" i="1"/>
  <c r="E1513" i="1"/>
  <c r="D1513" i="1"/>
  <c r="M1512" i="1"/>
  <c r="L1512" i="1"/>
  <c r="K1512" i="1"/>
  <c r="I1512" i="1"/>
  <c r="H1512" i="1"/>
  <c r="G1512" i="1"/>
  <c r="F1512" i="1"/>
  <c r="E1512" i="1"/>
  <c r="D1512" i="1"/>
  <c r="M1511" i="1"/>
  <c r="L1511" i="1"/>
  <c r="K1511" i="1"/>
  <c r="I1511" i="1"/>
  <c r="H1511" i="1"/>
  <c r="G1511" i="1"/>
  <c r="F1511" i="1"/>
  <c r="E1511" i="1"/>
  <c r="D1511" i="1"/>
  <c r="M1510" i="1"/>
  <c r="L1510" i="1"/>
  <c r="K1510" i="1"/>
  <c r="I1510" i="1"/>
  <c r="H1510" i="1"/>
  <c r="G1510" i="1"/>
  <c r="F1510" i="1"/>
  <c r="E1510" i="1"/>
  <c r="D1510" i="1"/>
  <c r="M1509" i="1"/>
  <c r="L1509" i="1"/>
  <c r="K1509" i="1"/>
  <c r="I1509" i="1"/>
  <c r="H1509" i="1"/>
  <c r="G1509" i="1"/>
  <c r="F1509" i="1"/>
  <c r="E1509" i="1"/>
  <c r="D1509" i="1"/>
  <c r="M1508" i="1"/>
  <c r="L1508" i="1"/>
  <c r="K1508" i="1"/>
  <c r="I1508" i="1"/>
  <c r="H1508" i="1"/>
  <c r="G1508" i="1"/>
  <c r="F1508" i="1"/>
  <c r="E1508" i="1"/>
  <c r="D1508" i="1"/>
  <c r="M1507" i="1"/>
  <c r="L1507" i="1"/>
  <c r="K1507" i="1"/>
  <c r="I1507" i="1"/>
  <c r="H1507" i="1"/>
  <c r="G1507" i="1"/>
  <c r="F1507" i="1"/>
  <c r="E1507" i="1"/>
  <c r="D1507" i="1"/>
  <c r="M1506" i="1"/>
  <c r="L1506" i="1"/>
  <c r="K1506" i="1"/>
  <c r="I1506" i="1"/>
  <c r="H1506" i="1"/>
  <c r="G1506" i="1"/>
  <c r="F1506" i="1"/>
  <c r="E1506" i="1"/>
  <c r="D1506" i="1"/>
  <c r="M1505" i="1"/>
  <c r="L1505" i="1"/>
  <c r="N1505" i="1" s="1"/>
  <c r="K1505" i="1"/>
  <c r="I1505" i="1"/>
  <c r="H1505" i="1"/>
  <c r="G1505" i="1"/>
  <c r="F1505" i="1"/>
  <c r="E1505" i="1"/>
  <c r="D1505" i="1"/>
  <c r="M1504" i="1"/>
  <c r="L1504" i="1"/>
  <c r="K1504" i="1"/>
  <c r="I1504" i="1"/>
  <c r="H1504" i="1"/>
  <c r="G1504" i="1"/>
  <c r="F1504" i="1"/>
  <c r="E1504" i="1"/>
  <c r="D1504" i="1"/>
  <c r="M1503" i="1"/>
  <c r="N1503" i="1" s="1"/>
  <c r="L1503" i="1"/>
  <c r="K1503" i="1"/>
  <c r="I1503" i="1"/>
  <c r="H1503" i="1"/>
  <c r="G1503" i="1"/>
  <c r="F1503" i="1"/>
  <c r="E1503" i="1"/>
  <c r="D1503" i="1"/>
  <c r="M1502" i="1"/>
  <c r="L1502" i="1"/>
  <c r="N1502" i="1" s="1"/>
  <c r="K1502" i="1"/>
  <c r="I1502" i="1"/>
  <c r="H1502" i="1"/>
  <c r="G1502" i="1"/>
  <c r="F1502" i="1"/>
  <c r="E1502" i="1"/>
  <c r="D1502" i="1"/>
  <c r="M1501" i="1"/>
  <c r="L1501" i="1"/>
  <c r="K1501" i="1"/>
  <c r="I1501" i="1"/>
  <c r="H1501" i="1"/>
  <c r="G1501" i="1"/>
  <c r="F1501" i="1"/>
  <c r="E1501" i="1"/>
  <c r="D1501" i="1"/>
  <c r="M1500" i="1"/>
  <c r="L1500" i="1"/>
  <c r="K1500" i="1"/>
  <c r="I1500" i="1"/>
  <c r="H1500" i="1"/>
  <c r="G1500" i="1"/>
  <c r="F1500" i="1"/>
  <c r="E1500" i="1"/>
  <c r="D1500" i="1"/>
  <c r="M1499" i="1"/>
  <c r="L1499" i="1"/>
  <c r="K1499" i="1"/>
  <c r="I1499" i="1"/>
  <c r="H1499" i="1"/>
  <c r="G1499" i="1"/>
  <c r="F1499" i="1"/>
  <c r="E1499" i="1"/>
  <c r="D1499" i="1"/>
  <c r="M1498" i="1"/>
  <c r="L1498" i="1"/>
  <c r="K1498" i="1"/>
  <c r="I1498" i="1"/>
  <c r="H1498" i="1"/>
  <c r="G1498" i="1"/>
  <c r="F1498" i="1"/>
  <c r="E1498" i="1"/>
  <c r="D1498" i="1"/>
  <c r="M1497" i="1"/>
  <c r="L1497" i="1"/>
  <c r="K1497" i="1"/>
  <c r="I1497" i="1"/>
  <c r="H1497" i="1"/>
  <c r="G1497" i="1"/>
  <c r="F1497" i="1"/>
  <c r="E1497" i="1"/>
  <c r="D1497" i="1"/>
  <c r="M1496" i="1"/>
  <c r="L1496" i="1"/>
  <c r="K1496" i="1"/>
  <c r="I1496" i="1"/>
  <c r="H1496" i="1"/>
  <c r="G1496" i="1"/>
  <c r="F1496" i="1"/>
  <c r="E1496" i="1"/>
  <c r="D1496" i="1"/>
  <c r="M1495" i="1"/>
  <c r="L1495" i="1"/>
  <c r="K1495" i="1"/>
  <c r="I1495" i="1"/>
  <c r="H1495" i="1"/>
  <c r="G1495" i="1"/>
  <c r="F1495" i="1"/>
  <c r="E1495" i="1"/>
  <c r="D1495" i="1"/>
  <c r="M1494" i="1"/>
  <c r="L1494" i="1"/>
  <c r="N1494" i="1" s="1"/>
  <c r="K1494" i="1"/>
  <c r="I1494" i="1"/>
  <c r="H1494" i="1"/>
  <c r="G1494" i="1"/>
  <c r="F1494" i="1"/>
  <c r="E1494" i="1"/>
  <c r="D1494" i="1"/>
  <c r="M1493" i="1"/>
  <c r="N1493" i="1" s="1"/>
  <c r="L1493" i="1"/>
  <c r="K1493" i="1"/>
  <c r="I1493" i="1"/>
  <c r="H1493" i="1"/>
  <c r="G1493" i="1"/>
  <c r="F1493" i="1"/>
  <c r="E1493" i="1"/>
  <c r="D1493" i="1"/>
  <c r="M1492" i="1"/>
  <c r="L1492" i="1"/>
  <c r="K1492" i="1"/>
  <c r="I1492" i="1"/>
  <c r="H1492" i="1"/>
  <c r="G1492" i="1"/>
  <c r="F1492" i="1"/>
  <c r="E1492" i="1"/>
  <c r="D1492" i="1"/>
  <c r="M1491" i="1"/>
  <c r="L1491" i="1"/>
  <c r="K1491" i="1"/>
  <c r="I1491" i="1"/>
  <c r="H1491" i="1"/>
  <c r="G1491" i="1"/>
  <c r="F1491" i="1"/>
  <c r="E1491" i="1"/>
  <c r="D1491" i="1"/>
  <c r="M1490" i="1"/>
  <c r="L1490" i="1"/>
  <c r="K1490" i="1"/>
  <c r="I1490" i="1"/>
  <c r="H1490" i="1"/>
  <c r="G1490" i="1"/>
  <c r="F1490" i="1"/>
  <c r="E1490" i="1"/>
  <c r="D1490" i="1"/>
  <c r="M1489" i="1"/>
  <c r="N1489" i="1" s="1"/>
  <c r="L1489" i="1"/>
  <c r="K1489" i="1"/>
  <c r="I1489" i="1"/>
  <c r="H1489" i="1"/>
  <c r="G1489" i="1"/>
  <c r="F1489" i="1"/>
  <c r="E1489" i="1"/>
  <c r="D1489" i="1"/>
  <c r="M1488" i="1"/>
  <c r="L1488" i="1"/>
  <c r="N1488" i="1" s="1"/>
  <c r="K1488" i="1"/>
  <c r="I1488" i="1"/>
  <c r="H1488" i="1"/>
  <c r="G1488" i="1"/>
  <c r="F1488" i="1"/>
  <c r="E1488" i="1"/>
  <c r="D1488" i="1"/>
  <c r="M1487" i="1"/>
  <c r="L1487" i="1"/>
  <c r="K1487" i="1"/>
  <c r="I1487" i="1"/>
  <c r="H1487" i="1"/>
  <c r="G1487" i="1"/>
  <c r="F1487" i="1"/>
  <c r="E1487" i="1"/>
  <c r="D1487" i="1"/>
  <c r="M1486" i="1"/>
  <c r="L1486" i="1"/>
  <c r="K1486" i="1"/>
  <c r="I1486" i="1"/>
  <c r="H1486" i="1"/>
  <c r="G1486" i="1"/>
  <c r="F1486" i="1"/>
  <c r="E1486" i="1"/>
  <c r="D1486" i="1"/>
  <c r="M1485" i="1"/>
  <c r="L1485" i="1"/>
  <c r="K1485" i="1"/>
  <c r="I1485" i="1"/>
  <c r="H1485" i="1"/>
  <c r="G1485" i="1"/>
  <c r="F1485" i="1"/>
  <c r="E1485" i="1"/>
  <c r="D1485" i="1"/>
  <c r="M1484" i="1"/>
  <c r="L1484" i="1"/>
  <c r="K1484" i="1"/>
  <c r="I1484" i="1"/>
  <c r="H1484" i="1"/>
  <c r="G1484" i="1"/>
  <c r="F1484" i="1"/>
  <c r="E1484" i="1"/>
  <c r="D1484" i="1"/>
  <c r="M1483" i="1"/>
  <c r="L1483" i="1"/>
  <c r="K1483" i="1"/>
  <c r="I1483" i="1"/>
  <c r="H1483" i="1"/>
  <c r="G1483" i="1"/>
  <c r="F1483" i="1"/>
  <c r="E1483" i="1"/>
  <c r="D1483" i="1"/>
  <c r="M1482" i="1"/>
  <c r="L1482" i="1"/>
  <c r="K1482" i="1"/>
  <c r="I1482" i="1"/>
  <c r="H1482" i="1"/>
  <c r="G1482" i="1"/>
  <c r="F1482" i="1"/>
  <c r="E1482" i="1"/>
  <c r="D1482" i="1"/>
  <c r="M1481" i="1"/>
  <c r="L1481" i="1"/>
  <c r="K1481" i="1"/>
  <c r="I1481" i="1"/>
  <c r="H1481" i="1"/>
  <c r="G1481" i="1"/>
  <c r="F1481" i="1"/>
  <c r="E1481" i="1"/>
  <c r="D1481" i="1"/>
  <c r="M1480" i="1"/>
  <c r="L1480" i="1"/>
  <c r="K1480" i="1"/>
  <c r="I1480" i="1"/>
  <c r="H1480" i="1"/>
  <c r="G1480" i="1"/>
  <c r="F1480" i="1"/>
  <c r="E1480" i="1"/>
  <c r="D1480" i="1"/>
  <c r="M1479" i="1"/>
  <c r="L1479" i="1"/>
  <c r="K1479" i="1"/>
  <c r="I1479" i="1"/>
  <c r="H1479" i="1"/>
  <c r="G1479" i="1"/>
  <c r="F1479" i="1"/>
  <c r="E1479" i="1"/>
  <c r="D1479" i="1"/>
  <c r="M1478" i="1"/>
  <c r="L1478" i="1"/>
  <c r="K1478" i="1"/>
  <c r="I1478" i="1"/>
  <c r="H1478" i="1"/>
  <c r="G1478" i="1"/>
  <c r="F1478" i="1"/>
  <c r="E1478" i="1"/>
  <c r="D1478" i="1"/>
  <c r="M1477" i="1"/>
  <c r="L1477" i="1"/>
  <c r="K1477" i="1"/>
  <c r="I1477" i="1"/>
  <c r="H1477" i="1"/>
  <c r="G1477" i="1"/>
  <c r="F1477" i="1"/>
  <c r="E1477" i="1"/>
  <c r="D1477" i="1"/>
  <c r="M1476" i="1"/>
  <c r="L1476" i="1"/>
  <c r="K1476" i="1"/>
  <c r="I1476" i="1"/>
  <c r="H1476" i="1"/>
  <c r="G1476" i="1"/>
  <c r="F1476" i="1"/>
  <c r="E1476" i="1"/>
  <c r="D1476" i="1"/>
  <c r="M1475" i="1"/>
  <c r="L1475" i="1"/>
  <c r="K1475" i="1"/>
  <c r="I1475" i="1"/>
  <c r="H1475" i="1"/>
  <c r="G1475" i="1"/>
  <c r="F1475" i="1"/>
  <c r="E1475" i="1"/>
  <c r="D1475" i="1"/>
  <c r="M1474" i="1"/>
  <c r="L1474" i="1"/>
  <c r="K1474" i="1"/>
  <c r="I1474" i="1"/>
  <c r="H1474" i="1"/>
  <c r="G1474" i="1"/>
  <c r="F1474" i="1"/>
  <c r="E1474" i="1"/>
  <c r="D1474" i="1"/>
  <c r="M1473" i="1"/>
  <c r="L1473" i="1"/>
  <c r="I1473" i="1"/>
  <c r="H1473" i="1"/>
  <c r="G1473" i="1"/>
  <c r="F1473" i="1"/>
  <c r="E1473" i="1"/>
  <c r="D1473" i="1"/>
  <c r="M1472" i="1"/>
  <c r="L1472" i="1"/>
  <c r="K1472" i="1"/>
  <c r="I1472" i="1"/>
  <c r="H1472" i="1"/>
  <c r="G1472" i="1"/>
  <c r="F1472" i="1"/>
  <c r="E1472" i="1"/>
  <c r="D1472" i="1"/>
  <c r="M1471" i="1"/>
  <c r="L1471" i="1"/>
  <c r="K1471" i="1"/>
  <c r="I1471" i="1"/>
  <c r="H1471" i="1"/>
  <c r="G1471" i="1"/>
  <c r="F1471" i="1"/>
  <c r="E1471" i="1"/>
  <c r="D1471" i="1"/>
  <c r="M1470" i="1"/>
  <c r="L1470" i="1"/>
  <c r="K1470" i="1"/>
  <c r="I1470" i="1"/>
  <c r="H1470" i="1"/>
  <c r="G1470" i="1"/>
  <c r="F1470" i="1"/>
  <c r="E1470" i="1"/>
  <c r="D1470" i="1"/>
  <c r="M1469" i="1"/>
  <c r="L1469" i="1"/>
  <c r="K1469" i="1"/>
  <c r="I1469" i="1"/>
  <c r="H1469" i="1"/>
  <c r="G1469" i="1"/>
  <c r="F1469" i="1"/>
  <c r="E1469" i="1"/>
  <c r="D1469" i="1"/>
  <c r="M1468" i="1"/>
  <c r="L1468" i="1"/>
  <c r="K1468" i="1"/>
  <c r="I1468" i="1"/>
  <c r="H1468" i="1"/>
  <c r="G1468" i="1"/>
  <c r="F1468" i="1"/>
  <c r="E1468" i="1"/>
  <c r="D1468" i="1"/>
  <c r="M1467" i="1"/>
  <c r="L1467" i="1"/>
  <c r="K1467" i="1"/>
  <c r="I1467" i="1"/>
  <c r="H1467" i="1"/>
  <c r="G1467" i="1"/>
  <c r="F1467" i="1"/>
  <c r="E1467" i="1"/>
  <c r="D1467" i="1"/>
  <c r="M1466" i="1"/>
  <c r="L1466" i="1"/>
  <c r="K1466" i="1"/>
  <c r="I1466" i="1"/>
  <c r="H1466" i="1"/>
  <c r="G1466" i="1"/>
  <c r="F1466" i="1"/>
  <c r="E1466" i="1"/>
  <c r="D1466" i="1"/>
  <c r="M1465" i="1"/>
  <c r="L1465" i="1"/>
  <c r="K1465" i="1"/>
  <c r="I1465" i="1"/>
  <c r="H1465" i="1"/>
  <c r="G1465" i="1"/>
  <c r="F1465" i="1"/>
  <c r="E1465" i="1"/>
  <c r="D1465" i="1"/>
  <c r="M1464" i="1"/>
  <c r="L1464" i="1"/>
  <c r="K1464" i="1"/>
  <c r="I1464" i="1"/>
  <c r="H1464" i="1"/>
  <c r="G1464" i="1"/>
  <c r="F1464" i="1"/>
  <c r="E1464" i="1"/>
  <c r="D1464" i="1"/>
  <c r="M1463" i="1"/>
  <c r="L1463" i="1"/>
  <c r="K1463" i="1"/>
  <c r="I1463" i="1"/>
  <c r="H1463" i="1"/>
  <c r="G1463" i="1"/>
  <c r="F1463" i="1"/>
  <c r="E1463" i="1"/>
  <c r="D1463" i="1"/>
  <c r="M1462" i="1"/>
  <c r="L1462" i="1"/>
  <c r="K1462" i="1"/>
  <c r="I1462" i="1"/>
  <c r="H1462" i="1"/>
  <c r="G1462" i="1"/>
  <c r="F1462" i="1"/>
  <c r="E1462" i="1"/>
  <c r="D1462" i="1"/>
  <c r="M1461" i="1"/>
  <c r="L1461" i="1"/>
  <c r="K1461" i="1"/>
  <c r="I1461" i="1"/>
  <c r="H1461" i="1"/>
  <c r="G1461" i="1"/>
  <c r="F1461" i="1"/>
  <c r="E1461" i="1"/>
  <c r="D1461" i="1"/>
  <c r="M1460" i="1"/>
  <c r="L1460" i="1"/>
  <c r="K1460" i="1"/>
  <c r="I1460" i="1"/>
  <c r="H1460" i="1"/>
  <c r="G1460" i="1"/>
  <c r="F1460" i="1"/>
  <c r="E1460" i="1"/>
  <c r="D1460" i="1"/>
  <c r="M1459" i="1"/>
  <c r="L1459" i="1"/>
  <c r="K1459" i="1"/>
  <c r="I1459" i="1"/>
  <c r="H1459" i="1"/>
  <c r="G1459" i="1"/>
  <c r="F1459" i="1"/>
  <c r="E1459" i="1"/>
  <c r="D1459" i="1"/>
  <c r="M1458" i="1"/>
  <c r="L1458" i="1"/>
  <c r="K1458" i="1"/>
  <c r="I1458" i="1"/>
  <c r="H1458" i="1"/>
  <c r="G1458" i="1"/>
  <c r="F1458" i="1"/>
  <c r="E1458" i="1"/>
  <c r="D1458" i="1"/>
  <c r="M1457" i="1"/>
  <c r="L1457" i="1"/>
  <c r="K1457" i="1"/>
  <c r="I1457" i="1"/>
  <c r="H1457" i="1"/>
  <c r="G1457" i="1"/>
  <c r="F1457" i="1"/>
  <c r="E1457" i="1"/>
  <c r="D1457" i="1"/>
  <c r="M1456" i="1"/>
  <c r="L1456" i="1"/>
  <c r="K1456" i="1"/>
  <c r="I1456" i="1"/>
  <c r="H1456" i="1"/>
  <c r="G1456" i="1"/>
  <c r="F1456" i="1"/>
  <c r="E1456" i="1"/>
  <c r="D1456" i="1"/>
  <c r="M1455" i="1"/>
  <c r="L1455" i="1"/>
  <c r="K1455" i="1"/>
  <c r="I1455" i="1"/>
  <c r="H1455" i="1"/>
  <c r="G1455" i="1"/>
  <c r="F1455" i="1"/>
  <c r="E1455" i="1"/>
  <c r="D1455" i="1"/>
  <c r="M1454" i="1"/>
  <c r="L1454" i="1"/>
  <c r="K1454" i="1"/>
  <c r="I1454" i="1"/>
  <c r="H1454" i="1"/>
  <c r="G1454" i="1"/>
  <c r="F1454" i="1"/>
  <c r="E1454" i="1"/>
  <c r="D1454" i="1"/>
  <c r="M1453" i="1"/>
  <c r="L1453" i="1"/>
  <c r="K1453" i="1"/>
  <c r="I1453" i="1"/>
  <c r="H1453" i="1"/>
  <c r="G1453" i="1"/>
  <c r="F1453" i="1"/>
  <c r="E1453" i="1"/>
  <c r="D1453" i="1"/>
  <c r="M1452" i="1"/>
  <c r="L1452" i="1"/>
  <c r="K1452" i="1"/>
  <c r="I1452" i="1"/>
  <c r="H1452" i="1"/>
  <c r="G1452" i="1"/>
  <c r="F1452" i="1"/>
  <c r="E1452" i="1"/>
  <c r="D1452" i="1"/>
  <c r="M1451" i="1"/>
  <c r="L1451" i="1"/>
  <c r="K1451" i="1"/>
  <c r="I1451" i="1"/>
  <c r="H1451" i="1"/>
  <c r="G1451" i="1"/>
  <c r="F1451" i="1"/>
  <c r="E1451" i="1"/>
  <c r="D1451" i="1"/>
  <c r="M1450" i="1"/>
  <c r="L1450" i="1"/>
  <c r="K1450" i="1"/>
  <c r="I1450" i="1"/>
  <c r="H1450" i="1"/>
  <c r="G1450" i="1"/>
  <c r="F1450" i="1"/>
  <c r="E1450" i="1"/>
  <c r="D1450" i="1"/>
  <c r="M1449" i="1"/>
  <c r="L1449" i="1"/>
  <c r="K1449" i="1"/>
  <c r="I1449" i="1"/>
  <c r="H1449" i="1"/>
  <c r="G1449" i="1"/>
  <c r="F1449" i="1"/>
  <c r="E1449" i="1"/>
  <c r="D1449" i="1"/>
  <c r="M1448" i="1"/>
  <c r="L1448" i="1"/>
  <c r="K1448" i="1"/>
  <c r="I1448" i="1"/>
  <c r="H1448" i="1"/>
  <c r="G1448" i="1"/>
  <c r="F1448" i="1"/>
  <c r="E1448" i="1"/>
  <c r="D1448" i="1"/>
  <c r="M1447" i="1"/>
  <c r="L1447" i="1"/>
  <c r="N1447" i="1" s="1"/>
  <c r="K1447" i="1"/>
  <c r="I1447" i="1"/>
  <c r="H1447" i="1"/>
  <c r="G1447" i="1"/>
  <c r="F1447" i="1"/>
  <c r="E1447" i="1"/>
  <c r="D1447" i="1"/>
  <c r="M1446" i="1"/>
  <c r="L1446" i="1"/>
  <c r="K1446" i="1"/>
  <c r="I1446" i="1"/>
  <c r="H1446" i="1"/>
  <c r="G1446" i="1"/>
  <c r="F1446" i="1"/>
  <c r="E1446" i="1"/>
  <c r="D1446" i="1"/>
  <c r="M1445" i="1"/>
  <c r="L1445" i="1"/>
  <c r="K1445" i="1"/>
  <c r="I1445" i="1"/>
  <c r="H1445" i="1"/>
  <c r="G1445" i="1"/>
  <c r="F1445" i="1"/>
  <c r="E1445" i="1"/>
  <c r="D1445" i="1"/>
  <c r="M1444" i="1"/>
  <c r="L1444" i="1"/>
  <c r="K1444" i="1"/>
  <c r="I1444" i="1"/>
  <c r="H1444" i="1"/>
  <c r="G1444" i="1"/>
  <c r="F1444" i="1"/>
  <c r="E1444" i="1"/>
  <c r="D1444" i="1"/>
  <c r="M1443" i="1"/>
  <c r="L1443" i="1"/>
  <c r="K1443" i="1"/>
  <c r="I1443" i="1"/>
  <c r="H1443" i="1"/>
  <c r="G1443" i="1"/>
  <c r="F1443" i="1"/>
  <c r="E1443" i="1"/>
  <c r="D1443" i="1"/>
  <c r="M1442" i="1"/>
  <c r="L1442" i="1"/>
  <c r="K1442" i="1"/>
  <c r="I1442" i="1"/>
  <c r="H1442" i="1"/>
  <c r="G1442" i="1"/>
  <c r="F1442" i="1"/>
  <c r="E1442" i="1"/>
  <c r="D1442" i="1"/>
  <c r="M1441" i="1"/>
  <c r="L1441" i="1"/>
  <c r="K1441" i="1"/>
  <c r="I1441" i="1"/>
  <c r="H1441" i="1"/>
  <c r="G1441" i="1"/>
  <c r="F1441" i="1"/>
  <c r="E1441" i="1"/>
  <c r="D1441" i="1"/>
  <c r="M1440" i="1"/>
  <c r="L1440" i="1"/>
  <c r="K1440" i="1"/>
  <c r="I1440" i="1"/>
  <c r="H1440" i="1"/>
  <c r="G1440" i="1"/>
  <c r="F1440" i="1"/>
  <c r="E1440" i="1"/>
  <c r="D1440" i="1"/>
  <c r="M1439" i="1"/>
  <c r="L1439" i="1"/>
  <c r="K1439" i="1"/>
  <c r="I1439" i="1"/>
  <c r="H1439" i="1"/>
  <c r="G1439" i="1"/>
  <c r="F1439" i="1"/>
  <c r="E1439" i="1"/>
  <c r="D1439" i="1"/>
  <c r="M1438" i="1"/>
  <c r="L1438" i="1"/>
  <c r="K1438" i="1"/>
  <c r="I1438" i="1"/>
  <c r="H1438" i="1"/>
  <c r="G1438" i="1"/>
  <c r="F1438" i="1"/>
  <c r="E1438" i="1"/>
  <c r="D1438" i="1"/>
  <c r="M1437" i="1"/>
  <c r="L1437" i="1"/>
  <c r="K1437" i="1"/>
  <c r="I1437" i="1"/>
  <c r="H1437" i="1"/>
  <c r="G1437" i="1"/>
  <c r="F1437" i="1"/>
  <c r="E1437" i="1"/>
  <c r="D1437" i="1"/>
  <c r="M1436" i="1"/>
  <c r="L1436" i="1"/>
  <c r="K1436" i="1"/>
  <c r="I1436" i="1"/>
  <c r="H1436" i="1"/>
  <c r="G1436" i="1"/>
  <c r="F1436" i="1"/>
  <c r="E1436" i="1"/>
  <c r="D1436" i="1"/>
  <c r="M1435" i="1"/>
  <c r="L1435" i="1"/>
  <c r="K1435" i="1"/>
  <c r="I1435" i="1"/>
  <c r="H1435" i="1"/>
  <c r="G1435" i="1"/>
  <c r="F1435" i="1"/>
  <c r="E1435" i="1"/>
  <c r="D1435" i="1"/>
  <c r="M1434" i="1"/>
  <c r="L1434" i="1"/>
  <c r="K1434" i="1"/>
  <c r="I1434" i="1"/>
  <c r="H1434" i="1"/>
  <c r="G1434" i="1"/>
  <c r="F1434" i="1"/>
  <c r="E1434" i="1"/>
  <c r="D1434" i="1"/>
  <c r="M1433" i="1"/>
  <c r="L1433" i="1"/>
  <c r="K1433" i="1"/>
  <c r="I1433" i="1"/>
  <c r="H1433" i="1"/>
  <c r="G1433" i="1"/>
  <c r="F1433" i="1"/>
  <c r="E1433" i="1"/>
  <c r="D1433" i="1"/>
  <c r="M1432" i="1"/>
  <c r="L1432" i="1"/>
  <c r="K1432" i="1"/>
  <c r="I1432" i="1"/>
  <c r="H1432" i="1"/>
  <c r="G1432" i="1"/>
  <c r="F1432" i="1"/>
  <c r="E1432" i="1"/>
  <c r="D1432" i="1"/>
  <c r="M1431" i="1"/>
  <c r="L1431" i="1"/>
  <c r="K1431" i="1"/>
  <c r="I1431" i="1"/>
  <c r="H1431" i="1"/>
  <c r="G1431" i="1"/>
  <c r="F1431" i="1"/>
  <c r="E1431" i="1"/>
  <c r="D1431" i="1"/>
  <c r="M1430" i="1"/>
  <c r="L1430" i="1"/>
  <c r="I1430" i="1"/>
  <c r="H1430" i="1"/>
  <c r="G1430" i="1"/>
  <c r="F1430" i="1"/>
  <c r="E1430" i="1"/>
  <c r="D1430" i="1"/>
  <c r="M1429" i="1"/>
  <c r="L1429" i="1"/>
  <c r="K1429" i="1"/>
  <c r="I1429" i="1"/>
  <c r="H1429" i="1"/>
  <c r="G1429" i="1"/>
  <c r="F1429" i="1"/>
  <c r="E1429" i="1"/>
  <c r="D1429" i="1"/>
  <c r="M1428" i="1"/>
  <c r="L1428" i="1"/>
  <c r="N1428" i="1" s="1"/>
  <c r="K1428" i="1"/>
  <c r="I1428" i="1"/>
  <c r="H1428" i="1"/>
  <c r="G1428" i="1"/>
  <c r="F1428" i="1"/>
  <c r="E1428" i="1"/>
  <c r="D1428" i="1"/>
  <c r="M1427" i="1"/>
  <c r="L1427" i="1"/>
  <c r="K1427" i="1"/>
  <c r="I1427" i="1"/>
  <c r="H1427" i="1"/>
  <c r="G1427" i="1"/>
  <c r="F1427" i="1"/>
  <c r="E1427" i="1"/>
  <c r="D1427" i="1"/>
  <c r="M1426" i="1"/>
  <c r="L1426" i="1"/>
  <c r="K1426" i="1"/>
  <c r="I1426" i="1"/>
  <c r="H1426" i="1"/>
  <c r="G1426" i="1"/>
  <c r="F1426" i="1"/>
  <c r="E1426" i="1"/>
  <c r="D1426" i="1"/>
  <c r="M1425" i="1"/>
  <c r="L1425" i="1"/>
  <c r="K1425" i="1"/>
  <c r="I1425" i="1"/>
  <c r="H1425" i="1"/>
  <c r="G1425" i="1"/>
  <c r="F1425" i="1"/>
  <c r="E1425" i="1"/>
  <c r="D1425" i="1"/>
  <c r="M1424" i="1"/>
  <c r="L1424" i="1"/>
  <c r="K1424" i="1"/>
  <c r="I1424" i="1"/>
  <c r="H1424" i="1"/>
  <c r="G1424" i="1"/>
  <c r="F1424" i="1"/>
  <c r="E1424" i="1"/>
  <c r="D1424" i="1"/>
  <c r="M1423" i="1"/>
  <c r="L1423" i="1"/>
  <c r="K1423" i="1"/>
  <c r="I1423" i="1"/>
  <c r="H1423" i="1"/>
  <c r="G1423" i="1"/>
  <c r="F1423" i="1"/>
  <c r="E1423" i="1"/>
  <c r="D1423" i="1"/>
  <c r="M1422" i="1"/>
  <c r="L1422" i="1"/>
  <c r="K1422" i="1"/>
  <c r="I1422" i="1"/>
  <c r="H1422" i="1"/>
  <c r="G1422" i="1"/>
  <c r="F1422" i="1"/>
  <c r="E1422" i="1"/>
  <c r="D1422" i="1"/>
  <c r="M1421" i="1"/>
  <c r="L1421" i="1"/>
  <c r="K1421" i="1"/>
  <c r="I1421" i="1"/>
  <c r="H1421" i="1"/>
  <c r="G1421" i="1"/>
  <c r="F1421" i="1"/>
  <c r="E1421" i="1"/>
  <c r="D1421" i="1"/>
  <c r="M1420" i="1"/>
  <c r="L1420" i="1"/>
  <c r="K1420" i="1"/>
  <c r="I1420" i="1"/>
  <c r="H1420" i="1"/>
  <c r="G1420" i="1"/>
  <c r="F1420" i="1"/>
  <c r="E1420" i="1"/>
  <c r="D1420" i="1"/>
  <c r="M1419" i="1"/>
  <c r="L1419" i="1"/>
  <c r="K1419" i="1"/>
  <c r="I1419" i="1"/>
  <c r="H1419" i="1"/>
  <c r="G1419" i="1"/>
  <c r="F1419" i="1"/>
  <c r="E1419" i="1"/>
  <c r="D1419" i="1"/>
  <c r="M1418" i="1"/>
  <c r="N1418" i="1" s="1"/>
  <c r="L1418" i="1"/>
  <c r="K1418" i="1"/>
  <c r="I1418" i="1"/>
  <c r="H1418" i="1"/>
  <c r="G1418" i="1"/>
  <c r="F1418" i="1"/>
  <c r="E1418" i="1"/>
  <c r="D1418" i="1"/>
  <c r="M1417" i="1"/>
  <c r="L1417" i="1"/>
  <c r="K1417" i="1"/>
  <c r="I1417" i="1"/>
  <c r="H1417" i="1"/>
  <c r="G1417" i="1"/>
  <c r="F1417" i="1"/>
  <c r="E1417" i="1"/>
  <c r="D1417" i="1"/>
  <c r="M1416" i="1"/>
  <c r="L1416" i="1"/>
  <c r="K1416" i="1"/>
  <c r="I1416" i="1"/>
  <c r="H1416" i="1"/>
  <c r="G1416" i="1"/>
  <c r="F1416" i="1"/>
  <c r="E1416" i="1"/>
  <c r="D1416" i="1"/>
  <c r="M1415" i="1"/>
  <c r="L1415" i="1"/>
  <c r="K1415" i="1"/>
  <c r="I1415" i="1"/>
  <c r="H1415" i="1"/>
  <c r="G1415" i="1"/>
  <c r="F1415" i="1"/>
  <c r="E1415" i="1"/>
  <c r="D1415" i="1"/>
  <c r="M1414" i="1"/>
  <c r="L1414" i="1"/>
  <c r="N1414" i="1" s="1"/>
  <c r="K1414" i="1"/>
  <c r="I1414" i="1"/>
  <c r="H1414" i="1"/>
  <c r="G1414" i="1"/>
  <c r="F1414" i="1"/>
  <c r="E1414" i="1"/>
  <c r="D1414" i="1"/>
  <c r="M1413" i="1"/>
  <c r="L1413" i="1"/>
  <c r="K1413" i="1"/>
  <c r="I1413" i="1"/>
  <c r="H1413" i="1"/>
  <c r="G1413" i="1"/>
  <c r="F1413" i="1"/>
  <c r="E1413" i="1"/>
  <c r="D1413" i="1"/>
  <c r="M1412" i="1"/>
  <c r="L1412" i="1"/>
  <c r="K1412" i="1"/>
  <c r="I1412" i="1"/>
  <c r="H1412" i="1"/>
  <c r="G1412" i="1"/>
  <c r="F1412" i="1"/>
  <c r="E1412" i="1"/>
  <c r="D1412" i="1"/>
  <c r="M1411" i="1"/>
  <c r="L1411" i="1"/>
  <c r="K1411" i="1"/>
  <c r="I1411" i="1"/>
  <c r="H1411" i="1"/>
  <c r="G1411" i="1"/>
  <c r="F1411" i="1"/>
  <c r="E1411" i="1"/>
  <c r="D1411" i="1"/>
  <c r="M1410" i="1"/>
  <c r="L1410" i="1"/>
  <c r="N1410" i="1" s="1"/>
  <c r="K1410" i="1"/>
  <c r="I1410" i="1"/>
  <c r="H1410" i="1"/>
  <c r="G1410" i="1"/>
  <c r="F1410" i="1"/>
  <c r="E1410" i="1"/>
  <c r="D1410" i="1"/>
  <c r="M1409" i="1"/>
  <c r="L1409" i="1"/>
  <c r="K1409" i="1"/>
  <c r="I1409" i="1"/>
  <c r="H1409" i="1"/>
  <c r="G1409" i="1"/>
  <c r="F1409" i="1"/>
  <c r="E1409" i="1"/>
  <c r="D1409" i="1"/>
  <c r="M1408" i="1"/>
  <c r="N1408" i="1" s="1"/>
  <c r="L1408" i="1"/>
  <c r="K1408" i="1"/>
  <c r="I1408" i="1"/>
  <c r="H1408" i="1"/>
  <c r="G1408" i="1"/>
  <c r="F1408" i="1"/>
  <c r="E1408" i="1"/>
  <c r="D1408" i="1"/>
  <c r="M1407" i="1"/>
  <c r="L1407" i="1"/>
  <c r="K1407" i="1"/>
  <c r="I1407" i="1"/>
  <c r="H1407" i="1"/>
  <c r="G1407" i="1"/>
  <c r="F1407" i="1"/>
  <c r="E1407" i="1"/>
  <c r="D1407" i="1"/>
  <c r="M1406" i="1"/>
  <c r="L1406" i="1"/>
  <c r="K1406" i="1"/>
  <c r="I1406" i="1"/>
  <c r="H1406" i="1"/>
  <c r="G1406" i="1"/>
  <c r="F1406" i="1"/>
  <c r="E1406" i="1"/>
  <c r="D1406" i="1"/>
  <c r="M1405" i="1"/>
  <c r="L1405" i="1"/>
  <c r="K1405" i="1"/>
  <c r="I1405" i="1"/>
  <c r="H1405" i="1"/>
  <c r="G1405" i="1"/>
  <c r="F1405" i="1"/>
  <c r="E1405" i="1"/>
  <c r="D1405" i="1"/>
  <c r="M1404" i="1"/>
  <c r="L1404" i="1"/>
  <c r="K1404" i="1"/>
  <c r="I1404" i="1"/>
  <c r="H1404" i="1"/>
  <c r="G1404" i="1"/>
  <c r="F1404" i="1"/>
  <c r="E1404" i="1"/>
  <c r="D1404" i="1"/>
  <c r="M1403" i="1"/>
  <c r="L1403" i="1"/>
  <c r="K1403" i="1"/>
  <c r="I1403" i="1"/>
  <c r="H1403" i="1"/>
  <c r="G1403" i="1"/>
  <c r="F1403" i="1"/>
  <c r="E1403" i="1"/>
  <c r="D1403" i="1"/>
  <c r="M1402" i="1"/>
  <c r="N1402" i="1" s="1"/>
  <c r="L1402" i="1"/>
  <c r="K1402" i="1"/>
  <c r="I1402" i="1"/>
  <c r="H1402" i="1"/>
  <c r="G1402" i="1"/>
  <c r="F1402" i="1"/>
  <c r="E1402" i="1"/>
  <c r="D1402" i="1"/>
  <c r="M1401" i="1"/>
  <c r="L1401" i="1"/>
  <c r="K1401" i="1"/>
  <c r="I1401" i="1"/>
  <c r="H1401" i="1"/>
  <c r="G1401" i="1"/>
  <c r="F1401" i="1"/>
  <c r="E1401" i="1"/>
  <c r="D1401" i="1"/>
  <c r="M1400" i="1"/>
  <c r="L1400" i="1"/>
  <c r="K1400" i="1"/>
  <c r="I1400" i="1"/>
  <c r="H1400" i="1"/>
  <c r="G1400" i="1"/>
  <c r="F1400" i="1"/>
  <c r="E1400" i="1"/>
  <c r="D1400" i="1"/>
  <c r="M1399" i="1"/>
  <c r="L1399" i="1"/>
  <c r="K1399" i="1"/>
  <c r="I1399" i="1"/>
  <c r="H1399" i="1"/>
  <c r="G1399" i="1"/>
  <c r="F1399" i="1"/>
  <c r="E1399" i="1"/>
  <c r="D1399" i="1"/>
  <c r="M1398" i="1"/>
  <c r="N1398" i="1" s="1"/>
  <c r="L1398" i="1"/>
  <c r="K1398" i="1"/>
  <c r="I1398" i="1"/>
  <c r="H1398" i="1"/>
  <c r="G1398" i="1"/>
  <c r="F1398" i="1"/>
  <c r="E1398" i="1"/>
  <c r="D1398" i="1"/>
  <c r="M1397" i="1"/>
  <c r="L1397" i="1"/>
  <c r="K1397" i="1"/>
  <c r="I1397" i="1"/>
  <c r="H1397" i="1"/>
  <c r="G1397" i="1"/>
  <c r="F1397" i="1"/>
  <c r="E1397" i="1"/>
  <c r="D1397" i="1"/>
  <c r="M1396" i="1"/>
  <c r="L1396" i="1"/>
  <c r="K1396" i="1"/>
  <c r="I1396" i="1"/>
  <c r="H1396" i="1"/>
  <c r="G1396" i="1"/>
  <c r="F1396" i="1"/>
  <c r="E1396" i="1"/>
  <c r="D1396" i="1"/>
  <c r="M1395" i="1"/>
  <c r="L1395" i="1"/>
  <c r="K1395" i="1"/>
  <c r="I1395" i="1"/>
  <c r="H1395" i="1"/>
  <c r="G1395" i="1"/>
  <c r="F1395" i="1"/>
  <c r="E1395" i="1"/>
  <c r="D1395" i="1"/>
  <c r="M1394" i="1"/>
  <c r="N1394" i="1" s="1"/>
  <c r="L1394" i="1"/>
  <c r="K1394" i="1"/>
  <c r="I1394" i="1"/>
  <c r="H1394" i="1"/>
  <c r="G1394" i="1"/>
  <c r="F1394" i="1"/>
  <c r="E1394" i="1"/>
  <c r="D1394" i="1"/>
  <c r="M1393" i="1"/>
  <c r="L1393" i="1"/>
  <c r="K1393" i="1"/>
  <c r="I1393" i="1"/>
  <c r="H1393" i="1"/>
  <c r="G1393" i="1"/>
  <c r="F1393" i="1"/>
  <c r="E1393" i="1"/>
  <c r="D1393" i="1"/>
  <c r="M1392" i="1"/>
  <c r="N1392" i="1" s="1"/>
  <c r="L1392" i="1"/>
  <c r="K1392" i="1"/>
  <c r="I1392" i="1"/>
  <c r="H1392" i="1"/>
  <c r="G1392" i="1"/>
  <c r="F1392" i="1"/>
  <c r="E1392" i="1"/>
  <c r="D1392" i="1"/>
  <c r="M1391" i="1"/>
  <c r="L1391" i="1"/>
  <c r="K1391" i="1"/>
  <c r="I1391" i="1"/>
  <c r="H1391" i="1"/>
  <c r="G1391" i="1"/>
  <c r="F1391" i="1"/>
  <c r="E1391" i="1"/>
  <c r="D1391" i="1"/>
  <c r="M1390" i="1"/>
  <c r="L1390" i="1"/>
  <c r="K1390" i="1"/>
  <c r="I1390" i="1"/>
  <c r="H1390" i="1"/>
  <c r="G1390" i="1"/>
  <c r="F1390" i="1"/>
  <c r="E1390" i="1"/>
  <c r="D1390" i="1"/>
  <c r="M1389" i="1"/>
  <c r="L1389" i="1"/>
  <c r="N1389" i="1" s="1"/>
  <c r="K1389" i="1"/>
  <c r="I1389" i="1"/>
  <c r="H1389" i="1"/>
  <c r="G1389" i="1"/>
  <c r="F1389" i="1"/>
  <c r="E1389" i="1"/>
  <c r="D1389" i="1"/>
  <c r="M1388" i="1"/>
  <c r="L1388" i="1"/>
  <c r="K1388" i="1"/>
  <c r="I1388" i="1"/>
  <c r="H1388" i="1"/>
  <c r="G1388" i="1"/>
  <c r="F1388" i="1"/>
  <c r="E1388" i="1"/>
  <c r="D1388" i="1"/>
  <c r="M1387" i="1"/>
  <c r="L1387" i="1"/>
  <c r="K1387" i="1"/>
  <c r="I1387" i="1"/>
  <c r="H1387" i="1"/>
  <c r="G1387" i="1"/>
  <c r="F1387" i="1"/>
  <c r="E1387" i="1"/>
  <c r="D1387" i="1"/>
  <c r="M1386" i="1"/>
  <c r="L1386" i="1"/>
  <c r="K1386" i="1"/>
  <c r="I1386" i="1"/>
  <c r="H1386" i="1"/>
  <c r="G1386" i="1"/>
  <c r="F1386" i="1"/>
  <c r="E1386" i="1"/>
  <c r="D1386" i="1"/>
  <c r="M1385" i="1"/>
  <c r="L1385" i="1"/>
  <c r="K1385" i="1"/>
  <c r="I1385" i="1"/>
  <c r="H1385" i="1"/>
  <c r="G1385" i="1"/>
  <c r="F1385" i="1"/>
  <c r="E1385" i="1"/>
  <c r="D1385" i="1"/>
  <c r="M1384" i="1"/>
  <c r="L1384" i="1"/>
  <c r="K1384" i="1"/>
  <c r="I1384" i="1"/>
  <c r="H1384" i="1"/>
  <c r="G1384" i="1"/>
  <c r="F1384" i="1"/>
  <c r="E1384" i="1"/>
  <c r="D1384" i="1"/>
  <c r="M1383" i="1"/>
  <c r="L1383" i="1"/>
  <c r="I1383" i="1"/>
  <c r="H1383" i="1"/>
  <c r="G1383" i="1"/>
  <c r="F1383" i="1"/>
  <c r="E1383" i="1"/>
  <c r="D1383" i="1"/>
  <c r="M1382" i="1"/>
  <c r="L1382" i="1"/>
  <c r="K1382" i="1"/>
  <c r="I1382" i="1"/>
  <c r="H1382" i="1"/>
  <c r="G1382" i="1"/>
  <c r="F1382" i="1"/>
  <c r="E1382" i="1"/>
  <c r="D1382" i="1"/>
  <c r="M1381" i="1"/>
  <c r="L1381" i="1"/>
  <c r="K1381" i="1"/>
  <c r="I1381" i="1"/>
  <c r="H1381" i="1"/>
  <c r="G1381" i="1"/>
  <c r="F1381" i="1"/>
  <c r="E1381" i="1"/>
  <c r="D1381" i="1"/>
  <c r="M1380" i="1"/>
  <c r="L1380" i="1"/>
  <c r="K1380" i="1"/>
  <c r="I1380" i="1"/>
  <c r="H1380" i="1"/>
  <c r="G1380" i="1"/>
  <c r="F1380" i="1"/>
  <c r="E1380" i="1"/>
  <c r="D1380" i="1"/>
  <c r="M1379" i="1"/>
  <c r="L1379" i="1"/>
  <c r="K1379" i="1"/>
  <c r="I1379" i="1"/>
  <c r="H1379" i="1"/>
  <c r="G1379" i="1"/>
  <c r="F1379" i="1"/>
  <c r="E1379" i="1"/>
  <c r="D1379" i="1"/>
  <c r="M1378" i="1"/>
  <c r="L1378" i="1"/>
  <c r="K1378" i="1"/>
  <c r="I1378" i="1"/>
  <c r="H1378" i="1"/>
  <c r="G1378" i="1"/>
  <c r="F1378" i="1"/>
  <c r="E1378" i="1"/>
  <c r="D1378" i="1"/>
  <c r="M1377" i="1"/>
  <c r="L1377" i="1"/>
  <c r="K1377" i="1"/>
  <c r="I1377" i="1"/>
  <c r="H1377" i="1"/>
  <c r="G1377" i="1"/>
  <c r="F1377" i="1"/>
  <c r="E1377" i="1"/>
  <c r="D1377" i="1"/>
  <c r="M1376" i="1"/>
  <c r="L1376" i="1"/>
  <c r="K1376" i="1"/>
  <c r="I1376" i="1"/>
  <c r="H1376" i="1"/>
  <c r="G1376" i="1"/>
  <c r="F1376" i="1"/>
  <c r="E1376" i="1"/>
  <c r="D1376" i="1"/>
  <c r="M1375" i="1"/>
  <c r="N1375" i="1" s="1"/>
  <c r="L1375" i="1"/>
  <c r="K1375" i="1"/>
  <c r="I1375" i="1"/>
  <c r="H1375" i="1"/>
  <c r="G1375" i="1"/>
  <c r="F1375" i="1"/>
  <c r="E1375" i="1"/>
  <c r="D1375" i="1"/>
  <c r="M1374" i="1"/>
  <c r="L1374" i="1"/>
  <c r="K1374" i="1"/>
  <c r="I1374" i="1"/>
  <c r="H1374" i="1"/>
  <c r="G1374" i="1"/>
  <c r="F1374" i="1"/>
  <c r="E1374" i="1"/>
  <c r="D1374" i="1"/>
  <c r="M1373" i="1"/>
  <c r="L1373" i="1"/>
  <c r="K1373" i="1"/>
  <c r="I1373" i="1"/>
  <c r="H1373" i="1"/>
  <c r="G1373" i="1"/>
  <c r="F1373" i="1"/>
  <c r="E1373" i="1"/>
  <c r="D1373" i="1"/>
  <c r="M1372" i="1"/>
  <c r="L1372" i="1"/>
  <c r="K1372" i="1"/>
  <c r="I1372" i="1"/>
  <c r="H1372" i="1"/>
  <c r="G1372" i="1"/>
  <c r="F1372" i="1"/>
  <c r="E1372" i="1"/>
  <c r="D1372" i="1"/>
  <c r="M1371" i="1"/>
  <c r="L1371" i="1"/>
  <c r="K1371" i="1"/>
  <c r="I1371" i="1"/>
  <c r="H1371" i="1"/>
  <c r="G1371" i="1"/>
  <c r="F1371" i="1"/>
  <c r="E1371" i="1"/>
  <c r="D1371" i="1"/>
  <c r="M1370" i="1"/>
  <c r="L1370" i="1"/>
  <c r="K1370" i="1"/>
  <c r="I1370" i="1"/>
  <c r="H1370" i="1"/>
  <c r="G1370" i="1"/>
  <c r="F1370" i="1"/>
  <c r="E1370" i="1"/>
  <c r="D1370" i="1"/>
  <c r="M1369" i="1"/>
  <c r="N1369" i="1" s="1"/>
  <c r="L1369" i="1"/>
  <c r="K1369" i="1"/>
  <c r="I1369" i="1"/>
  <c r="H1369" i="1"/>
  <c r="G1369" i="1"/>
  <c r="F1369" i="1"/>
  <c r="E1369" i="1"/>
  <c r="D1369" i="1"/>
  <c r="M1368" i="1"/>
  <c r="L1368" i="1"/>
  <c r="K1368" i="1"/>
  <c r="I1368" i="1"/>
  <c r="H1368" i="1"/>
  <c r="G1368" i="1"/>
  <c r="F1368" i="1"/>
  <c r="E1368" i="1"/>
  <c r="D1368" i="1"/>
  <c r="M1367" i="1"/>
  <c r="L1367" i="1"/>
  <c r="K1367" i="1"/>
  <c r="I1367" i="1"/>
  <c r="H1367" i="1"/>
  <c r="G1367" i="1"/>
  <c r="F1367" i="1"/>
  <c r="E1367" i="1"/>
  <c r="D1367" i="1"/>
  <c r="M1366" i="1"/>
  <c r="L1366" i="1"/>
  <c r="N1366" i="1" s="1"/>
  <c r="K1366" i="1"/>
  <c r="I1366" i="1"/>
  <c r="H1366" i="1"/>
  <c r="G1366" i="1"/>
  <c r="F1366" i="1"/>
  <c r="E1366" i="1"/>
  <c r="D1366" i="1"/>
  <c r="M1365" i="1"/>
  <c r="L1365" i="1"/>
  <c r="K1365" i="1"/>
  <c r="I1365" i="1"/>
  <c r="H1365" i="1"/>
  <c r="G1365" i="1"/>
  <c r="F1365" i="1"/>
  <c r="E1365" i="1"/>
  <c r="D1365" i="1"/>
  <c r="M1364" i="1"/>
  <c r="L1364" i="1"/>
  <c r="K1364" i="1"/>
  <c r="I1364" i="1"/>
  <c r="H1364" i="1"/>
  <c r="G1364" i="1"/>
  <c r="F1364" i="1"/>
  <c r="E1364" i="1"/>
  <c r="D1364" i="1"/>
  <c r="M1363" i="1"/>
  <c r="L1363" i="1"/>
  <c r="K1363" i="1"/>
  <c r="I1363" i="1"/>
  <c r="H1363" i="1"/>
  <c r="G1363" i="1"/>
  <c r="F1363" i="1"/>
  <c r="E1363" i="1"/>
  <c r="D1363" i="1"/>
  <c r="M1362" i="1"/>
  <c r="L1362" i="1"/>
  <c r="K1362" i="1"/>
  <c r="I1362" i="1"/>
  <c r="H1362" i="1"/>
  <c r="G1362" i="1"/>
  <c r="F1362" i="1"/>
  <c r="E1362" i="1"/>
  <c r="D1362" i="1"/>
  <c r="M1361" i="1"/>
  <c r="N1361" i="1" s="1"/>
  <c r="L1361" i="1"/>
  <c r="K1361" i="1"/>
  <c r="I1361" i="1"/>
  <c r="H1361" i="1"/>
  <c r="G1361" i="1"/>
  <c r="F1361" i="1"/>
  <c r="E1361" i="1"/>
  <c r="D1361" i="1"/>
  <c r="M1360" i="1"/>
  <c r="L1360" i="1"/>
  <c r="K1360" i="1"/>
  <c r="I1360" i="1"/>
  <c r="H1360" i="1"/>
  <c r="G1360" i="1"/>
  <c r="F1360" i="1"/>
  <c r="E1360" i="1"/>
  <c r="D1360" i="1"/>
  <c r="M1359" i="1"/>
  <c r="L1359" i="1"/>
  <c r="K1359" i="1"/>
  <c r="I1359" i="1"/>
  <c r="H1359" i="1"/>
  <c r="G1359" i="1"/>
  <c r="F1359" i="1"/>
  <c r="E1359" i="1"/>
  <c r="D1359" i="1"/>
  <c r="M1358" i="1"/>
  <c r="L1358" i="1"/>
  <c r="N1358" i="1" s="1"/>
  <c r="K1358" i="1"/>
  <c r="I1358" i="1"/>
  <c r="H1358" i="1"/>
  <c r="G1358" i="1"/>
  <c r="F1358" i="1"/>
  <c r="E1358" i="1"/>
  <c r="D1358" i="1"/>
  <c r="M1357" i="1"/>
  <c r="L1357" i="1"/>
  <c r="K1357" i="1"/>
  <c r="I1357" i="1"/>
  <c r="H1357" i="1"/>
  <c r="G1357" i="1"/>
  <c r="F1357" i="1"/>
  <c r="E1357" i="1"/>
  <c r="D1357" i="1"/>
  <c r="M1356" i="1"/>
  <c r="L1356" i="1"/>
  <c r="K1356" i="1"/>
  <c r="I1356" i="1"/>
  <c r="H1356" i="1"/>
  <c r="G1356" i="1"/>
  <c r="F1356" i="1"/>
  <c r="E1356" i="1"/>
  <c r="D1356" i="1"/>
  <c r="M1355" i="1"/>
  <c r="L1355" i="1"/>
  <c r="K1355" i="1"/>
  <c r="I1355" i="1"/>
  <c r="H1355" i="1"/>
  <c r="G1355" i="1"/>
  <c r="F1355" i="1"/>
  <c r="E1355" i="1"/>
  <c r="D1355" i="1"/>
  <c r="M1354" i="1"/>
  <c r="L1354" i="1"/>
  <c r="K1354" i="1"/>
  <c r="I1354" i="1"/>
  <c r="H1354" i="1"/>
  <c r="G1354" i="1"/>
  <c r="F1354" i="1"/>
  <c r="E1354" i="1"/>
  <c r="D1354" i="1"/>
  <c r="M1353" i="1"/>
  <c r="N1353" i="1" s="1"/>
  <c r="L1353" i="1"/>
  <c r="K1353" i="1"/>
  <c r="I1353" i="1"/>
  <c r="H1353" i="1"/>
  <c r="G1353" i="1"/>
  <c r="F1353" i="1"/>
  <c r="E1353" i="1"/>
  <c r="D1353" i="1"/>
  <c r="M1352" i="1"/>
  <c r="L1352" i="1"/>
  <c r="K1352" i="1"/>
  <c r="I1352" i="1"/>
  <c r="H1352" i="1"/>
  <c r="G1352" i="1"/>
  <c r="F1352" i="1"/>
  <c r="E1352" i="1"/>
  <c r="D1352" i="1"/>
  <c r="M1351" i="1"/>
  <c r="L1351" i="1"/>
  <c r="K1351" i="1"/>
  <c r="I1351" i="1"/>
  <c r="H1351" i="1"/>
  <c r="G1351" i="1"/>
  <c r="F1351" i="1"/>
  <c r="E1351" i="1"/>
  <c r="D1351" i="1"/>
  <c r="M1350" i="1"/>
  <c r="L1350" i="1"/>
  <c r="N1350" i="1" s="1"/>
  <c r="K1350" i="1"/>
  <c r="I1350" i="1"/>
  <c r="H1350" i="1"/>
  <c r="G1350" i="1"/>
  <c r="F1350" i="1"/>
  <c r="E1350" i="1"/>
  <c r="D1350" i="1"/>
  <c r="M1349" i="1"/>
  <c r="L1349" i="1"/>
  <c r="K1349" i="1"/>
  <c r="I1349" i="1"/>
  <c r="H1349" i="1"/>
  <c r="G1349" i="1"/>
  <c r="F1349" i="1"/>
  <c r="E1349" i="1"/>
  <c r="D1349" i="1"/>
  <c r="M1348" i="1"/>
  <c r="L1348" i="1"/>
  <c r="K1348" i="1"/>
  <c r="I1348" i="1"/>
  <c r="H1348" i="1"/>
  <c r="G1348" i="1"/>
  <c r="F1348" i="1"/>
  <c r="E1348" i="1"/>
  <c r="D1348" i="1"/>
  <c r="M1347" i="1"/>
  <c r="L1347" i="1"/>
  <c r="K1347" i="1"/>
  <c r="I1347" i="1"/>
  <c r="H1347" i="1"/>
  <c r="G1347" i="1"/>
  <c r="F1347" i="1"/>
  <c r="E1347" i="1"/>
  <c r="D1347" i="1"/>
  <c r="M1346" i="1"/>
  <c r="L1346" i="1"/>
  <c r="K1346" i="1"/>
  <c r="I1346" i="1"/>
  <c r="H1346" i="1"/>
  <c r="G1346" i="1"/>
  <c r="F1346" i="1"/>
  <c r="E1346" i="1"/>
  <c r="D1346" i="1"/>
  <c r="M1345" i="1"/>
  <c r="N1345" i="1" s="1"/>
  <c r="L1345" i="1"/>
  <c r="K1345" i="1"/>
  <c r="I1345" i="1"/>
  <c r="H1345" i="1"/>
  <c r="G1345" i="1"/>
  <c r="F1345" i="1"/>
  <c r="E1345" i="1"/>
  <c r="D1345" i="1"/>
  <c r="M1344" i="1"/>
  <c r="L1344" i="1"/>
  <c r="K1344" i="1"/>
  <c r="I1344" i="1"/>
  <c r="H1344" i="1"/>
  <c r="G1344" i="1"/>
  <c r="F1344" i="1"/>
  <c r="E1344" i="1"/>
  <c r="D1344" i="1"/>
  <c r="M1343" i="1"/>
  <c r="L1343" i="1"/>
  <c r="K1343" i="1"/>
  <c r="I1343" i="1"/>
  <c r="H1343" i="1"/>
  <c r="G1343" i="1"/>
  <c r="F1343" i="1"/>
  <c r="E1343" i="1"/>
  <c r="D1343" i="1"/>
  <c r="M1342" i="1"/>
  <c r="L1342" i="1"/>
  <c r="N1342" i="1" s="1"/>
  <c r="K1342" i="1"/>
  <c r="I1342" i="1"/>
  <c r="H1342" i="1"/>
  <c r="G1342" i="1"/>
  <c r="F1342" i="1"/>
  <c r="E1342" i="1"/>
  <c r="D1342" i="1"/>
  <c r="M1341" i="1"/>
  <c r="L1341" i="1"/>
  <c r="K1341" i="1"/>
  <c r="I1341" i="1"/>
  <c r="H1341" i="1"/>
  <c r="G1341" i="1"/>
  <c r="F1341" i="1"/>
  <c r="E1341" i="1"/>
  <c r="D1341" i="1"/>
  <c r="M1340" i="1"/>
  <c r="L1340" i="1"/>
  <c r="K1340" i="1"/>
  <c r="I1340" i="1"/>
  <c r="H1340" i="1"/>
  <c r="G1340" i="1"/>
  <c r="F1340" i="1"/>
  <c r="E1340" i="1"/>
  <c r="D1340" i="1"/>
  <c r="M1339" i="1"/>
  <c r="L1339" i="1"/>
  <c r="K1339" i="1"/>
  <c r="I1339" i="1"/>
  <c r="H1339" i="1"/>
  <c r="G1339" i="1"/>
  <c r="F1339" i="1"/>
  <c r="E1339" i="1"/>
  <c r="D1339" i="1"/>
  <c r="M1338" i="1"/>
  <c r="L1338" i="1"/>
  <c r="K1338" i="1"/>
  <c r="I1338" i="1"/>
  <c r="H1338" i="1"/>
  <c r="G1338" i="1"/>
  <c r="F1338" i="1"/>
  <c r="E1338" i="1"/>
  <c r="D1338" i="1"/>
  <c r="M1337" i="1"/>
  <c r="N1337" i="1" s="1"/>
  <c r="L1337" i="1"/>
  <c r="K1337" i="1"/>
  <c r="I1337" i="1"/>
  <c r="H1337" i="1"/>
  <c r="G1337" i="1"/>
  <c r="F1337" i="1"/>
  <c r="E1337" i="1"/>
  <c r="D1337" i="1"/>
  <c r="M1336" i="1"/>
  <c r="L1336" i="1"/>
  <c r="K1336" i="1"/>
  <c r="I1336" i="1"/>
  <c r="H1336" i="1"/>
  <c r="G1336" i="1"/>
  <c r="F1336" i="1"/>
  <c r="E1336" i="1"/>
  <c r="D1336" i="1"/>
  <c r="M1335" i="1"/>
  <c r="L1335" i="1"/>
  <c r="K1335" i="1"/>
  <c r="I1335" i="1"/>
  <c r="H1335" i="1"/>
  <c r="G1335" i="1"/>
  <c r="F1335" i="1"/>
  <c r="E1335" i="1"/>
  <c r="D1335" i="1"/>
  <c r="M1334" i="1"/>
  <c r="L1334" i="1"/>
  <c r="N1334" i="1" s="1"/>
  <c r="K1334" i="1"/>
  <c r="I1334" i="1"/>
  <c r="H1334" i="1"/>
  <c r="G1334" i="1"/>
  <c r="F1334" i="1"/>
  <c r="E1334" i="1"/>
  <c r="D1334" i="1"/>
  <c r="M1333" i="1"/>
  <c r="L1333" i="1"/>
  <c r="K1333" i="1"/>
  <c r="I1333" i="1"/>
  <c r="H1333" i="1"/>
  <c r="G1333" i="1"/>
  <c r="F1333" i="1"/>
  <c r="E1333" i="1"/>
  <c r="D1333" i="1"/>
  <c r="M1332" i="1"/>
  <c r="L1332" i="1"/>
  <c r="I1332" i="1"/>
  <c r="H1332" i="1"/>
  <c r="G1332" i="1"/>
  <c r="F1332" i="1"/>
  <c r="E1332" i="1"/>
  <c r="D1332" i="1"/>
  <c r="M1331" i="1"/>
  <c r="L1331" i="1"/>
  <c r="K1331" i="1"/>
  <c r="I1331" i="1"/>
  <c r="H1331" i="1"/>
  <c r="G1331" i="1"/>
  <c r="F1331" i="1"/>
  <c r="E1331" i="1"/>
  <c r="D1331" i="1"/>
  <c r="M1330" i="1"/>
  <c r="L1330" i="1"/>
  <c r="K1330" i="1"/>
  <c r="I1330" i="1"/>
  <c r="H1330" i="1"/>
  <c r="G1330" i="1"/>
  <c r="F1330" i="1"/>
  <c r="E1330" i="1"/>
  <c r="D1330" i="1"/>
  <c r="M1329" i="1"/>
  <c r="L1329" i="1"/>
  <c r="N1329" i="1" s="1"/>
  <c r="K1329" i="1"/>
  <c r="I1329" i="1"/>
  <c r="H1329" i="1"/>
  <c r="G1329" i="1"/>
  <c r="F1329" i="1"/>
  <c r="E1329" i="1"/>
  <c r="D1329" i="1"/>
  <c r="M1328" i="1"/>
  <c r="L1328" i="1"/>
  <c r="K1328" i="1"/>
  <c r="I1328" i="1"/>
  <c r="H1328" i="1"/>
  <c r="G1328" i="1"/>
  <c r="F1328" i="1"/>
  <c r="E1328" i="1"/>
  <c r="D1328" i="1"/>
  <c r="M1327" i="1"/>
  <c r="L1327" i="1"/>
  <c r="K1327" i="1"/>
  <c r="I1327" i="1"/>
  <c r="H1327" i="1"/>
  <c r="G1327" i="1"/>
  <c r="F1327" i="1"/>
  <c r="E1327" i="1"/>
  <c r="D1327" i="1"/>
  <c r="M1326" i="1"/>
  <c r="L1326" i="1"/>
  <c r="K1326" i="1"/>
  <c r="I1326" i="1"/>
  <c r="H1326" i="1"/>
  <c r="G1326" i="1"/>
  <c r="F1326" i="1"/>
  <c r="E1326" i="1"/>
  <c r="D1326" i="1"/>
  <c r="M1325" i="1"/>
  <c r="L1325" i="1"/>
  <c r="K1325" i="1"/>
  <c r="I1325" i="1"/>
  <c r="H1325" i="1"/>
  <c r="G1325" i="1"/>
  <c r="F1325" i="1"/>
  <c r="E1325" i="1"/>
  <c r="D1325" i="1"/>
  <c r="M1324" i="1"/>
  <c r="L1324" i="1"/>
  <c r="K1324" i="1"/>
  <c r="I1324" i="1"/>
  <c r="H1324" i="1"/>
  <c r="G1324" i="1"/>
  <c r="F1324" i="1"/>
  <c r="E1324" i="1"/>
  <c r="D1324" i="1"/>
  <c r="M1323" i="1"/>
  <c r="L1323" i="1"/>
  <c r="K1323" i="1"/>
  <c r="I1323" i="1"/>
  <c r="H1323" i="1"/>
  <c r="G1323" i="1"/>
  <c r="F1323" i="1"/>
  <c r="E1323" i="1"/>
  <c r="D1323" i="1"/>
  <c r="M1322" i="1"/>
  <c r="L1322" i="1"/>
  <c r="K1322" i="1"/>
  <c r="I1322" i="1"/>
  <c r="H1322" i="1"/>
  <c r="G1322" i="1"/>
  <c r="F1322" i="1"/>
  <c r="E1322" i="1"/>
  <c r="D1322" i="1"/>
  <c r="M1321" i="1"/>
  <c r="N1321" i="1" s="1"/>
  <c r="L1321" i="1"/>
  <c r="K1321" i="1"/>
  <c r="I1321" i="1"/>
  <c r="H1321" i="1"/>
  <c r="G1321" i="1"/>
  <c r="F1321" i="1"/>
  <c r="E1321" i="1"/>
  <c r="D1321" i="1"/>
  <c r="M1320" i="1"/>
  <c r="L1320" i="1"/>
  <c r="K1320" i="1"/>
  <c r="I1320" i="1"/>
  <c r="H1320" i="1"/>
  <c r="G1320" i="1"/>
  <c r="F1320" i="1"/>
  <c r="E1320" i="1"/>
  <c r="D1320" i="1"/>
  <c r="M1319" i="1"/>
  <c r="L1319" i="1"/>
  <c r="K1319" i="1"/>
  <c r="I1319" i="1"/>
  <c r="H1319" i="1"/>
  <c r="G1319" i="1"/>
  <c r="F1319" i="1"/>
  <c r="E1319" i="1"/>
  <c r="D1319" i="1"/>
  <c r="M1318" i="1"/>
  <c r="L1318" i="1"/>
  <c r="K1318" i="1"/>
  <c r="I1318" i="1"/>
  <c r="H1318" i="1"/>
  <c r="G1318" i="1"/>
  <c r="F1318" i="1"/>
  <c r="E1318" i="1"/>
  <c r="D1318" i="1"/>
  <c r="M1317" i="1"/>
  <c r="L1317" i="1"/>
  <c r="K1317" i="1"/>
  <c r="I1317" i="1"/>
  <c r="H1317" i="1"/>
  <c r="G1317" i="1"/>
  <c r="F1317" i="1"/>
  <c r="E1317" i="1"/>
  <c r="D1317" i="1"/>
  <c r="M1316" i="1"/>
  <c r="L1316" i="1"/>
  <c r="N1316" i="1" s="1"/>
  <c r="K1316" i="1"/>
  <c r="I1316" i="1"/>
  <c r="H1316" i="1"/>
  <c r="G1316" i="1"/>
  <c r="F1316" i="1"/>
  <c r="E1316" i="1"/>
  <c r="D1316" i="1"/>
  <c r="M1315" i="1"/>
  <c r="L1315" i="1"/>
  <c r="K1315" i="1"/>
  <c r="I1315" i="1"/>
  <c r="H1315" i="1"/>
  <c r="G1315" i="1"/>
  <c r="F1315" i="1"/>
  <c r="E1315" i="1"/>
  <c r="D1315" i="1"/>
  <c r="M1314" i="1"/>
  <c r="L1314" i="1"/>
  <c r="K1314" i="1"/>
  <c r="I1314" i="1"/>
  <c r="H1314" i="1"/>
  <c r="G1314" i="1"/>
  <c r="F1314" i="1"/>
  <c r="E1314" i="1"/>
  <c r="D1314" i="1"/>
  <c r="M1313" i="1"/>
  <c r="L1313" i="1"/>
  <c r="K1313" i="1"/>
  <c r="I1313" i="1"/>
  <c r="H1313" i="1"/>
  <c r="G1313" i="1"/>
  <c r="F1313" i="1"/>
  <c r="E1313" i="1"/>
  <c r="D1313" i="1"/>
  <c r="M1312" i="1"/>
  <c r="L1312" i="1"/>
  <c r="N1312" i="1" s="1"/>
  <c r="P1312" i="1" s="1"/>
  <c r="K1312" i="1"/>
  <c r="I1312" i="1"/>
  <c r="H1312" i="1"/>
  <c r="G1312" i="1"/>
  <c r="F1312" i="1"/>
  <c r="E1312" i="1"/>
  <c r="D1312" i="1"/>
  <c r="M1311" i="1"/>
  <c r="L1311" i="1"/>
  <c r="K1311" i="1"/>
  <c r="I1311" i="1"/>
  <c r="H1311" i="1"/>
  <c r="G1311" i="1"/>
  <c r="F1311" i="1"/>
  <c r="E1311" i="1"/>
  <c r="D1311" i="1"/>
  <c r="M1310" i="1"/>
  <c r="L1310" i="1"/>
  <c r="N1310" i="1" s="1"/>
  <c r="P1310" i="1" s="1"/>
  <c r="K1310" i="1"/>
  <c r="I1310" i="1"/>
  <c r="H1310" i="1"/>
  <c r="G1310" i="1"/>
  <c r="F1310" i="1"/>
  <c r="E1310" i="1"/>
  <c r="D1310" i="1"/>
  <c r="M1309" i="1"/>
  <c r="L1309" i="1"/>
  <c r="K1309" i="1"/>
  <c r="I1309" i="1"/>
  <c r="H1309" i="1"/>
  <c r="G1309" i="1"/>
  <c r="F1309" i="1"/>
  <c r="E1309" i="1"/>
  <c r="D1309" i="1"/>
  <c r="M1308" i="1"/>
  <c r="L1308" i="1"/>
  <c r="K1308" i="1"/>
  <c r="I1308" i="1"/>
  <c r="H1308" i="1"/>
  <c r="G1308" i="1"/>
  <c r="F1308" i="1"/>
  <c r="E1308" i="1"/>
  <c r="D1308" i="1"/>
  <c r="M1307" i="1"/>
  <c r="L1307" i="1"/>
  <c r="K1307" i="1"/>
  <c r="I1307" i="1"/>
  <c r="H1307" i="1"/>
  <c r="G1307" i="1"/>
  <c r="F1307" i="1"/>
  <c r="E1307" i="1"/>
  <c r="D1307" i="1"/>
  <c r="M1306" i="1"/>
  <c r="L1306" i="1"/>
  <c r="K1306" i="1"/>
  <c r="I1306" i="1"/>
  <c r="H1306" i="1"/>
  <c r="G1306" i="1"/>
  <c r="F1306" i="1"/>
  <c r="E1306" i="1"/>
  <c r="D1306" i="1"/>
  <c r="M1305" i="1"/>
  <c r="L1305" i="1"/>
  <c r="K1305" i="1"/>
  <c r="I1305" i="1"/>
  <c r="H1305" i="1"/>
  <c r="G1305" i="1"/>
  <c r="F1305" i="1"/>
  <c r="E1305" i="1"/>
  <c r="D1305" i="1"/>
  <c r="M1304" i="1"/>
  <c r="L1304" i="1"/>
  <c r="K1304" i="1"/>
  <c r="I1304" i="1"/>
  <c r="H1304" i="1"/>
  <c r="G1304" i="1"/>
  <c r="F1304" i="1"/>
  <c r="E1304" i="1"/>
  <c r="D1304" i="1"/>
  <c r="M1303" i="1"/>
  <c r="L1303" i="1"/>
  <c r="K1303" i="1"/>
  <c r="I1303" i="1"/>
  <c r="H1303" i="1"/>
  <c r="G1303" i="1"/>
  <c r="F1303" i="1"/>
  <c r="E1303" i="1"/>
  <c r="D1303" i="1"/>
  <c r="M1302" i="1"/>
  <c r="L1302" i="1"/>
  <c r="N1302" i="1" s="1"/>
  <c r="P1302" i="1" s="1"/>
  <c r="K1302" i="1"/>
  <c r="I1302" i="1"/>
  <c r="H1302" i="1"/>
  <c r="G1302" i="1"/>
  <c r="F1302" i="1"/>
  <c r="E1302" i="1"/>
  <c r="D1302" i="1"/>
  <c r="M1301" i="1"/>
  <c r="L1301" i="1"/>
  <c r="K1301" i="1"/>
  <c r="I1301" i="1"/>
  <c r="H1301" i="1"/>
  <c r="G1301" i="1"/>
  <c r="F1301" i="1"/>
  <c r="E1301" i="1"/>
  <c r="D1301" i="1"/>
  <c r="M1300" i="1"/>
  <c r="L1300" i="1"/>
  <c r="K1300" i="1"/>
  <c r="I1300" i="1"/>
  <c r="H1300" i="1"/>
  <c r="G1300" i="1"/>
  <c r="F1300" i="1"/>
  <c r="E1300" i="1"/>
  <c r="D1300" i="1"/>
  <c r="M1299" i="1"/>
  <c r="L1299" i="1"/>
  <c r="K1299" i="1"/>
  <c r="I1299" i="1"/>
  <c r="H1299" i="1"/>
  <c r="G1299" i="1"/>
  <c r="F1299" i="1"/>
  <c r="E1299" i="1"/>
  <c r="D1299" i="1"/>
  <c r="M1298" i="1"/>
  <c r="L1298" i="1"/>
  <c r="N1298" i="1" s="1"/>
  <c r="P1298" i="1" s="1"/>
  <c r="K1298" i="1"/>
  <c r="I1298" i="1"/>
  <c r="H1298" i="1"/>
  <c r="G1298" i="1"/>
  <c r="F1298" i="1"/>
  <c r="E1298" i="1"/>
  <c r="D1298" i="1"/>
  <c r="M1297" i="1"/>
  <c r="L1297" i="1"/>
  <c r="K1297" i="1"/>
  <c r="I1297" i="1"/>
  <c r="H1297" i="1"/>
  <c r="G1297" i="1"/>
  <c r="F1297" i="1"/>
  <c r="E1297" i="1"/>
  <c r="D1297" i="1"/>
  <c r="M1296" i="1"/>
  <c r="L1296" i="1"/>
  <c r="N1296" i="1" s="1"/>
  <c r="P1296" i="1" s="1"/>
  <c r="K1296" i="1"/>
  <c r="I1296" i="1"/>
  <c r="H1296" i="1"/>
  <c r="G1296" i="1"/>
  <c r="F1296" i="1"/>
  <c r="E1296" i="1"/>
  <c r="D1296" i="1"/>
  <c r="M1295" i="1"/>
  <c r="L1295" i="1"/>
  <c r="K1295" i="1"/>
  <c r="I1295" i="1"/>
  <c r="H1295" i="1"/>
  <c r="G1295" i="1"/>
  <c r="F1295" i="1"/>
  <c r="E1295" i="1"/>
  <c r="D1295" i="1"/>
  <c r="M1294" i="1"/>
  <c r="L1294" i="1"/>
  <c r="K1294" i="1"/>
  <c r="I1294" i="1"/>
  <c r="H1294" i="1"/>
  <c r="G1294" i="1"/>
  <c r="F1294" i="1"/>
  <c r="E1294" i="1"/>
  <c r="D1294" i="1"/>
  <c r="M1293" i="1"/>
  <c r="L1293" i="1"/>
  <c r="K1293" i="1"/>
  <c r="I1293" i="1"/>
  <c r="H1293" i="1"/>
  <c r="G1293" i="1"/>
  <c r="F1293" i="1"/>
  <c r="E1293" i="1"/>
  <c r="D1293" i="1"/>
  <c r="M1292" i="1"/>
  <c r="L1292" i="1"/>
  <c r="N1292" i="1" s="1"/>
  <c r="P1292" i="1" s="1"/>
  <c r="K1292" i="1"/>
  <c r="I1292" i="1"/>
  <c r="H1292" i="1"/>
  <c r="G1292" i="1"/>
  <c r="F1292" i="1"/>
  <c r="E1292" i="1"/>
  <c r="D1292" i="1"/>
  <c r="M1291" i="1"/>
  <c r="L1291" i="1"/>
  <c r="K1291" i="1"/>
  <c r="I1291" i="1"/>
  <c r="H1291" i="1"/>
  <c r="G1291" i="1"/>
  <c r="F1291" i="1"/>
  <c r="E1291" i="1"/>
  <c r="D1291" i="1"/>
  <c r="M1290" i="1"/>
  <c r="L1290" i="1"/>
  <c r="K1290" i="1"/>
  <c r="I1290" i="1"/>
  <c r="H1290" i="1"/>
  <c r="G1290" i="1"/>
  <c r="F1290" i="1"/>
  <c r="E1290" i="1"/>
  <c r="D1290" i="1"/>
  <c r="M1289" i="1"/>
  <c r="L1289" i="1"/>
  <c r="K1289" i="1"/>
  <c r="I1289" i="1"/>
  <c r="H1289" i="1"/>
  <c r="G1289" i="1"/>
  <c r="F1289" i="1"/>
  <c r="E1289" i="1"/>
  <c r="D1289" i="1"/>
  <c r="M1288" i="1"/>
  <c r="L1288" i="1"/>
  <c r="N1288" i="1" s="1"/>
  <c r="P1288" i="1" s="1"/>
  <c r="K1288" i="1"/>
  <c r="I1288" i="1"/>
  <c r="H1288" i="1"/>
  <c r="G1288" i="1"/>
  <c r="F1288" i="1"/>
  <c r="E1288" i="1"/>
  <c r="D1288" i="1"/>
  <c r="M1287" i="1"/>
  <c r="L1287" i="1"/>
  <c r="K1287" i="1"/>
  <c r="I1287" i="1"/>
  <c r="H1287" i="1"/>
  <c r="G1287" i="1"/>
  <c r="F1287" i="1"/>
  <c r="E1287" i="1"/>
  <c r="D1287" i="1"/>
  <c r="M1286" i="1"/>
  <c r="L1286" i="1"/>
  <c r="K1286" i="1"/>
  <c r="I1286" i="1"/>
  <c r="H1286" i="1"/>
  <c r="G1286" i="1"/>
  <c r="F1286" i="1"/>
  <c r="E1286" i="1"/>
  <c r="D1286" i="1"/>
  <c r="M1285" i="1"/>
  <c r="L1285" i="1"/>
  <c r="K1285" i="1"/>
  <c r="I1285" i="1"/>
  <c r="H1285" i="1"/>
  <c r="G1285" i="1"/>
  <c r="F1285" i="1"/>
  <c r="E1285" i="1"/>
  <c r="D1285" i="1"/>
  <c r="M1284" i="1"/>
  <c r="L1284" i="1"/>
  <c r="N1284" i="1" s="1"/>
  <c r="P1284" i="1" s="1"/>
  <c r="K1284" i="1"/>
  <c r="I1284" i="1"/>
  <c r="H1284" i="1"/>
  <c r="G1284" i="1"/>
  <c r="F1284" i="1"/>
  <c r="E1284" i="1"/>
  <c r="D1284" i="1"/>
  <c r="M1283" i="1"/>
  <c r="L1283" i="1"/>
  <c r="K1283" i="1"/>
  <c r="I1283" i="1"/>
  <c r="H1283" i="1"/>
  <c r="G1283" i="1"/>
  <c r="F1283" i="1"/>
  <c r="E1283" i="1"/>
  <c r="D1283" i="1"/>
  <c r="M1282" i="1"/>
  <c r="L1282" i="1"/>
  <c r="K1282" i="1"/>
  <c r="I1282" i="1"/>
  <c r="H1282" i="1"/>
  <c r="G1282" i="1"/>
  <c r="F1282" i="1"/>
  <c r="E1282" i="1"/>
  <c r="D1282" i="1"/>
  <c r="M1281" i="1"/>
  <c r="L1281" i="1"/>
  <c r="K1281" i="1"/>
  <c r="I1281" i="1"/>
  <c r="H1281" i="1"/>
  <c r="G1281" i="1"/>
  <c r="F1281" i="1"/>
  <c r="E1281" i="1"/>
  <c r="D1281" i="1"/>
  <c r="M1280" i="1"/>
  <c r="L1280" i="1"/>
  <c r="N1280" i="1" s="1"/>
  <c r="P1280" i="1" s="1"/>
  <c r="K1280" i="1"/>
  <c r="I1280" i="1"/>
  <c r="H1280" i="1"/>
  <c r="G1280" i="1"/>
  <c r="F1280" i="1"/>
  <c r="E1280" i="1"/>
  <c r="D1280" i="1"/>
  <c r="M1279" i="1"/>
  <c r="L1279" i="1"/>
  <c r="K1279" i="1"/>
  <c r="I1279" i="1"/>
  <c r="H1279" i="1"/>
  <c r="G1279" i="1"/>
  <c r="F1279" i="1"/>
  <c r="E1279" i="1"/>
  <c r="D1279" i="1"/>
  <c r="M1278" i="1"/>
  <c r="L1278" i="1"/>
  <c r="K1278" i="1"/>
  <c r="I1278" i="1"/>
  <c r="H1278" i="1"/>
  <c r="G1278" i="1"/>
  <c r="F1278" i="1"/>
  <c r="E1278" i="1"/>
  <c r="D1278" i="1"/>
  <c r="M1277" i="1"/>
  <c r="L1277" i="1"/>
  <c r="I1277" i="1"/>
  <c r="H1277" i="1"/>
  <c r="G1277" i="1"/>
  <c r="F1277" i="1"/>
  <c r="E1277" i="1"/>
  <c r="D1277" i="1"/>
  <c r="M1276" i="1"/>
  <c r="L1276" i="1"/>
  <c r="K1276" i="1"/>
  <c r="I1276" i="1"/>
  <c r="H1276" i="1"/>
  <c r="G1276" i="1"/>
  <c r="F1276" i="1"/>
  <c r="E1276" i="1"/>
  <c r="D1276" i="1"/>
  <c r="M1275" i="1"/>
  <c r="L1275" i="1"/>
  <c r="N1275" i="1" s="1"/>
  <c r="K1275" i="1"/>
  <c r="I1275" i="1"/>
  <c r="H1275" i="1"/>
  <c r="G1275" i="1"/>
  <c r="F1275" i="1"/>
  <c r="E1275" i="1"/>
  <c r="D1275" i="1"/>
  <c r="M1274" i="1"/>
  <c r="L1274" i="1"/>
  <c r="K1274" i="1"/>
  <c r="I1274" i="1"/>
  <c r="H1274" i="1"/>
  <c r="G1274" i="1"/>
  <c r="F1274" i="1"/>
  <c r="E1274" i="1"/>
  <c r="D1274" i="1"/>
  <c r="M1273" i="1"/>
  <c r="L1273" i="1"/>
  <c r="K1273" i="1"/>
  <c r="I1273" i="1"/>
  <c r="H1273" i="1"/>
  <c r="G1273" i="1"/>
  <c r="F1273" i="1"/>
  <c r="E1273" i="1"/>
  <c r="D1273" i="1"/>
  <c r="M1272" i="1"/>
  <c r="N1272" i="1" s="1"/>
  <c r="L1272" i="1"/>
  <c r="K1272" i="1"/>
  <c r="I1272" i="1"/>
  <c r="H1272" i="1"/>
  <c r="G1272" i="1"/>
  <c r="F1272" i="1"/>
  <c r="E1272" i="1"/>
  <c r="D1272" i="1"/>
  <c r="M1271" i="1"/>
  <c r="L1271" i="1"/>
  <c r="N1271" i="1" s="1"/>
  <c r="K1271" i="1"/>
  <c r="I1271" i="1"/>
  <c r="H1271" i="1"/>
  <c r="G1271" i="1"/>
  <c r="F1271" i="1"/>
  <c r="E1271" i="1"/>
  <c r="D1271" i="1"/>
  <c r="M1270" i="1"/>
  <c r="L1270" i="1"/>
  <c r="K1270" i="1"/>
  <c r="I1270" i="1"/>
  <c r="H1270" i="1"/>
  <c r="G1270" i="1"/>
  <c r="F1270" i="1"/>
  <c r="E1270" i="1"/>
  <c r="D1270" i="1"/>
  <c r="M1269" i="1"/>
  <c r="L1269" i="1"/>
  <c r="K1269" i="1"/>
  <c r="I1269" i="1"/>
  <c r="H1269" i="1"/>
  <c r="G1269" i="1"/>
  <c r="F1269" i="1"/>
  <c r="E1269" i="1"/>
  <c r="D1269" i="1"/>
  <c r="M1268" i="1"/>
  <c r="L1268" i="1"/>
  <c r="K1268" i="1"/>
  <c r="I1268" i="1"/>
  <c r="H1268" i="1"/>
  <c r="G1268" i="1"/>
  <c r="F1268" i="1"/>
  <c r="E1268" i="1"/>
  <c r="D1268" i="1"/>
  <c r="M1267" i="1"/>
  <c r="L1267" i="1"/>
  <c r="K1267" i="1"/>
  <c r="I1267" i="1"/>
  <c r="H1267" i="1"/>
  <c r="G1267" i="1"/>
  <c r="F1267" i="1"/>
  <c r="E1267" i="1"/>
  <c r="D1267" i="1"/>
  <c r="M1266" i="1"/>
  <c r="N1266" i="1" s="1"/>
  <c r="L1266" i="1"/>
  <c r="K1266" i="1"/>
  <c r="I1266" i="1"/>
  <c r="H1266" i="1"/>
  <c r="G1266" i="1"/>
  <c r="F1266" i="1"/>
  <c r="E1266" i="1"/>
  <c r="D1266" i="1"/>
  <c r="M1265" i="1"/>
  <c r="L1265" i="1"/>
  <c r="N1265" i="1" s="1"/>
  <c r="K1265" i="1"/>
  <c r="I1265" i="1"/>
  <c r="H1265" i="1"/>
  <c r="G1265" i="1"/>
  <c r="F1265" i="1"/>
  <c r="E1265" i="1"/>
  <c r="D1265" i="1"/>
  <c r="M1264" i="1"/>
  <c r="N1264" i="1" s="1"/>
  <c r="L1264" i="1"/>
  <c r="K1264" i="1"/>
  <c r="I1264" i="1"/>
  <c r="H1264" i="1"/>
  <c r="G1264" i="1"/>
  <c r="F1264" i="1"/>
  <c r="E1264" i="1"/>
  <c r="D1264" i="1"/>
  <c r="M1263" i="1"/>
  <c r="L1263" i="1"/>
  <c r="K1263" i="1"/>
  <c r="I1263" i="1"/>
  <c r="H1263" i="1"/>
  <c r="G1263" i="1"/>
  <c r="F1263" i="1"/>
  <c r="E1263" i="1"/>
  <c r="D1263" i="1"/>
  <c r="M1262" i="1"/>
  <c r="L1262" i="1"/>
  <c r="K1262" i="1"/>
  <c r="I1262" i="1"/>
  <c r="H1262" i="1"/>
  <c r="G1262" i="1"/>
  <c r="F1262" i="1"/>
  <c r="E1262" i="1"/>
  <c r="D1262" i="1"/>
  <c r="M1261" i="1"/>
  <c r="L1261" i="1"/>
  <c r="K1261" i="1"/>
  <c r="I1261" i="1"/>
  <c r="H1261" i="1"/>
  <c r="G1261" i="1"/>
  <c r="F1261" i="1"/>
  <c r="E1261" i="1"/>
  <c r="D1261" i="1"/>
  <c r="M1260" i="1"/>
  <c r="L1260" i="1"/>
  <c r="K1260" i="1"/>
  <c r="I1260" i="1"/>
  <c r="H1260" i="1"/>
  <c r="G1260" i="1"/>
  <c r="F1260" i="1"/>
  <c r="E1260" i="1"/>
  <c r="D1260" i="1"/>
  <c r="M1259" i="1"/>
  <c r="L1259" i="1"/>
  <c r="N1259" i="1" s="1"/>
  <c r="P1259" i="1" s="1"/>
  <c r="K1259" i="1"/>
  <c r="I1259" i="1"/>
  <c r="H1259" i="1"/>
  <c r="G1259" i="1"/>
  <c r="F1259" i="1"/>
  <c r="E1259" i="1"/>
  <c r="D1259" i="1"/>
  <c r="M1258" i="1"/>
  <c r="L1258" i="1"/>
  <c r="K1258" i="1"/>
  <c r="I1258" i="1"/>
  <c r="H1258" i="1"/>
  <c r="G1258" i="1"/>
  <c r="F1258" i="1"/>
  <c r="E1258" i="1"/>
  <c r="D1258" i="1"/>
  <c r="M1257" i="1"/>
  <c r="L1257" i="1"/>
  <c r="N1257" i="1" s="1"/>
  <c r="K1257" i="1"/>
  <c r="I1257" i="1"/>
  <c r="H1257" i="1"/>
  <c r="G1257" i="1"/>
  <c r="F1257" i="1"/>
  <c r="E1257" i="1"/>
  <c r="D1257" i="1"/>
  <c r="M1256" i="1"/>
  <c r="L1256" i="1"/>
  <c r="K1256" i="1"/>
  <c r="I1256" i="1"/>
  <c r="H1256" i="1"/>
  <c r="G1256" i="1"/>
  <c r="F1256" i="1"/>
  <c r="E1256" i="1"/>
  <c r="D1256" i="1"/>
  <c r="M1255" i="1"/>
  <c r="L1255" i="1"/>
  <c r="K1255" i="1"/>
  <c r="I1255" i="1"/>
  <c r="H1255" i="1"/>
  <c r="G1255" i="1"/>
  <c r="F1255" i="1"/>
  <c r="E1255" i="1"/>
  <c r="D1255" i="1"/>
  <c r="M1254" i="1"/>
  <c r="L1254" i="1"/>
  <c r="K1254" i="1"/>
  <c r="I1254" i="1"/>
  <c r="H1254" i="1"/>
  <c r="G1254" i="1"/>
  <c r="F1254" i="1"/>
  <c r="E1254" i="1"/>
  <c r="D1254" i="1"/>
  <c r="M1253" i="1"/>
  <c r="L1253" i="1"/>
  <c r="K1253" i="1"/>
  <c r="I1253" i="1"/>
  <c r="H1253" i="1"/>
  <c r="G1253" i="1"/>
  <c r="F1253" i="1"/>
  <c r="E1253" i="1"/>
  <c r="D1253" i="1"/>
  <c r="M1252" i="1"/>
  <c r="L1252" i="1"/>
  <c r="K1252" i="1"/>
  <c r="I1252" i="1"/>
  <c r="H1252" i="1"/>
  <c r="G1252" i="1"/>
  <c r="F1252" i="1"/>
  <c r="E1252" i="1"/>
  <c r="D1252" i="1"/>
  <c r="M1251" i="1"/>
  <c r="L1251" i="1"/>
  <c r="K1251" i="1"/>
  <c r="I1251" i="1"/>
  <c r="H1251" i="1"/>
  <c r="G1251" i="1"/>
  <c r="F1251" i="1"/>
  <c r="E1251" i="1"/>
  <c r="D1251" i="1"/>
  <c r="M1250" i="1"/>
  <c r="L1250" i="1"/>
  <c r="K1250" i="1"/>
  <c r="I1250" i="1"/>
  <c r="H1250" i="1"/>
  <c r="G1250" i="1"/>
  <c r="F1250" i="1"/>
  <c r="E1250" i="1"/>
  <c r="D1250" i="1"/>
  <c r="M1249" i="1"/>
  <c r="L1249" i="1"/>
  <c r="N1249" i="1" s="1"/>
  <c r="K1249" i="1"/>
  <c r="I1249" i="1"/>
  <c r="H1249" i="1"/>
  <c r="G1249" i="1"/>
  <c r="F1249" i="1"/>
  <c r="E1249" i="1"/>
  <c r="D1249" i="1"/>
  <c r="M1248" i="1"/>
  <c r="L1248" i="1"/>
  <c r="K1248" i="1"/>
  <c r="I1248" i="1"/>
  <c r="H1248" i="1"/>
  <c r="G1248" i="1"/>
  <c r="F1248" i="1"/>
  <c r="E1248" i="1"/>
  <c r="D1248" i="1"/>
  <c r="M1247" i="1"/>
  <c r="L1247" i="1"/>
  <c r="K1247" i="1"/>
  <c r="I1247" i="1"/>
  <c r="H1247" i="1"/>
  <c r="G1247" i="1"/>
  <c r="F1247" i="1"/>
  <c r="E1247" i="1"/>
  <c r="D1247" i="1"/>
  <c r="M1246" i="1"/>
  <c r="L1246" i="1"/>
  <c r="K1246" i="1"/>
  <c r="I1246" i="1"/>
  <c r="H1246" i="1"/>
  <c r="G1246" i="1"/>
  <c r="F1246" i="1"/>
  <c r="E1246" i="1"/>
  <c r="D1246" i="1"/>
  <c r="M1245" i="1"/>
  <c r="L1245" i="1"/>
  <c r="K1245" i="1"/>
  <c r="I1245" i="1"/>
  <c r="H1245" i="1"/>
  <c r="G1245" i="1"/>
  <c r="F1245" i="1"/>
  <c r="E1245" i="1"/>
  <c r="D1245" i="1"/>
  <c r="M1244" i="1"/>
  <c r="L1244" i="1"/>
  <c r="K1244" i="1"/>
  <c r="I1244" i="1"/>
  <c r="H1244" i="1"/>
  <c r="G1244" i="1"/>
  <c r="F1244" i="1"/>
  <c r="E1244" i="1"/>
  <c r="D1244" i="1"/>
  <c r="M1243" i="1"/>
  <c r="L1243" i="1"/>
  <c r="K1243" i="1"/>
  <c r="I1243" i="1"/>
  <c r="H1243" i="1"/>
  <c r="G1243" i="1"/>
  <c r="F1243" i="1"/>
  <c r="E1243" i="1"/>
  <c r="D1243" i="1"/>
  <c r="M1242" i="1"/>
  <c r="L1242" i="1"/>
  <c r="K1242" i="1"/>
  <c r="I1242" i="1"/>
  <c r="H1242" i="1"/>
  <c r="G1242" i="1"/>
  <c r="F1242" i="1"/>
  <c r="E1242" i="1"/>
  <c r="D1242" i="1"/>
  <c r="M1241" i="1"/>
  <c r="L1241" i="1"/>
  <c r="K1241" i="1"/>
  <c r="I1241" i="1"/>
  <c r="H1241" i="1"/>
  <c r="G1241" i="1"/>
  <c r="F1241" i="1"/>
  <c r="E1241" i="1"/>
  <c r="D1241" i="1"/>
  <c r="M1240" i="1"/>
  <c r="N1240" i="1" s="1"/>
  <c r="P1240" i="1" s="1"/>
  <c r="L1240" i="1"/>
  <c r="K1240" i="1"/>
  <c r="I1240" i="1"/>
  <c r="H1240" i="1"/>
  <c r="G1240" i="1"/>
  <c r="F1240" i="1"/>
  <c r="E1240" i="1"/>
  <c r="D1240" i="1"/>
  <c r="M1239" i="1"/>
  <c r="L1239" i="1"/>
  <c r="K1239" i="1"/>
  <c r="I1239" i="1"/>
  <c r="H1239" i="1"/>
  <c r="G1239" i="1"/>
  <c r="F1239" i="1"/>
  <c r="E1239" i="1"/>
  <c r="D1239" i="1"/>
  <c r="M1238" i="1"/>
  <c r="L1238" i="1"/>
  <c r="K1238" i="1"/>
  <c r="I1238" i="1"/>
  <c r="H1238" i="1"/>
  <c r="G1238" i="1"/>
  <c r="F1238" i="1"/>
  <c r="E1238" i="1"/>
  <c r="D1238" i="1"/>
  <c r="M1237" i="1"/>
  <c r="L1237" i="1"/>
  <c r="K1237" i="1"/>
  <c r="I1237" i="1"/>
  <c r="H1237" i="1"/>
  <c r="G1237" i="1"/>
  <c r="F1237" i="1"/>
  <c r="E1237" i="1"/>
  <c r="D1237" i="1"/>
  <c r="M1236" i="1"/>
  <c r="L1236" i="1"/>
  <c r="K1236" i="1"/>
  <c r="I1236" i="1"/>
  <c r="H1236" i="1"/>
  <c r="G1236" i="1"/>
  <c r="F1236" i="1"/>
  <c r="E1236" i="1"/>
  <c r="D1236" i="1"/>
  <c r="M1235" i="1"/>
  <c r="L1235" i="1"/>
  <c r="K1235" i="1"/>
  <c r="I1235" i="1"/>
  <c r="H1235" i="1"/>
  <c r="G1235" i="1"/>
  <c r="F1235" i="1"/>
  <c r="E1235" i="1"/>
  <c r="D1235" i="1"/>
  <c r="M1234" i="1"/>
  <c r="L1234" i="1"/>
  <c r="K1234" i="1"/>
  <c r="I1234" i="1"/>
  <c r="H1234" i="1"/>
  <c r="G1234" i="1"/>
  <c r="F1234" i="1"/>
  <c r="E1234" i="1"/>
  <c r="D1234" i="1"/>
  <c r="M1233" i="1"/>
  <c r="L1233" i="1"/>
  <c r="N1233" i="1" s="1"/>
  <c r="K1233" i="1"/>
  <c r="I1233" i="1"/>
  <c r="H1233" i="1"/>
  <c r="G1233" i="1"/>
  <c r="F1233" i="1"/>
  <c r="E1233" i="1"/>
  <c r="D1233" i="1"/>
  <c r="M1232" i="1"/>
  <c r="N1232" i="1" s="1"/>
  <c r="L1232" i="1"/>
  <c r="K1232" i="1"/>
  <c r="I1232" i="1"/>
  <c r="H1232" i="1"/>
  <c r="G1232" i="1"/>
  <c r="F1232" i="1"/>
  <c r="E1232" i="1"/>
  <c r="D1232" i="1"/>
  <c r="M1231" i="1"/>
  <c r="L1231" i="1"/>
  <c r="K1231" i="1"/>
  <c r="I1231" i="1"/>
  <c r="H1231" i="1"/>
  <c r="G1231" i="1"/>
  <c r="F1231" i="1"/>
  <c r="E1231" i="1"/>
  <c r="D1231" i="1"/>
  <c r="M1230" i="1"/>
  <c r="L1230" i="1"/>
  <c r="K1230" i="1"/>
  <c r="I1230" i="1"/>
  <c r="H1230" i="1"/>
  <c r="G1230" i="1"/>
  <c r="F1230" i="1"/>
  <c r="E1230" i="1"/>
  <c r="D1230" i="1"/>
  <c r="M1229" i="1"/>
  <c r="L1229" i="1"/>
  <c r="K1229" i="1"/>
  <c r="I1229" i="1"/>
  <c r="H1229" i="1"/>
  <c r="G1229" i="1"/>
  <c r="F1229" i="1"/>
  <c r="E1229" i="1"/>
  <c r="D1229" i="1"/>
  <c r="M1228" i="1"/>
  <c r="L1228" i="1"/>
  <c r="K1228" i="1"/>
  <c r="I1228" i="1"/>
  <c r="H1228" i="1"/>
  <c r="G1228" i="1"/>
  <c r="F1228" i="1"/>
  <c r="E1228" i="1"/>
  <c r="D1228" i="1"/>
  <c r="M1227" i="1"/>
  <c r="L1227" i="1"/>
  <c r="K1227" i="1"/>
  <c r="I1227" i="1"/>
  <c r="H1227" i="1"/>
  <c r="G1227" i="1"/>
  <c r="F1227" i="1"/>
  <c r="E1227" i="1"/>
  <c r="D1227" i="1"/>
  <c r="M1226" i="1"/>
  <c r="L1226" i="1"/>
  <c r="K1226" i="1"/>
  <c r="I1226" i="1"/>
  <c r="H1226" i="1"/>
  <c r="G1226" i="1"/>
  <c r="F1226" i="1"/>
  <c r="E1226" i="1"/>
  <c r="D1226" i="1"/>
  <c r="M1225" i="1"/>
  <c r="L1225" i="1"/>
  <c r="N1225" i="1" s="1"/>
  <c r="K1225" i="1"/>
  <c r="I1225" i="1"/>
  <c r="H1225" i="1"/>
  <c r="G1225" i="1"/>
  <c r="F1225" i="1"/>
  <c r="E1225" i="1"/>
  <c r="D1225" i="1"/>
  <c r="M1224" i="1"/>
  <c r="N1224" i="1" s="1"/>
  <c r="L1224" i="1"/>
  <c r="K1224" i="1"/>
  <c r="I1224" i="1"/>
  <c r="H1224" i="1"/>
  <c r="G1224" i="1"/>
  <c r="F1224" i="1"/>
  <c r="E1224" i="1"/>
  <c r="D1224" i="1"/>
  <c r="M1223" i="1"/>
  <c r="L1223" i="1"/>
  <c r="K1223" i="1"/>
  <c r="I1223" i="1"/>
  <c r="H1223" i="1"/>
  <c r="G1223" i="1"/>
  <c r="F1223" i="1"/>
  <c r="E1223" i="1"/>
  <c r="D1223" i="1"/>
  <c r="M1222" i="1"/>
  <c r="L1222" i="1"/>
  <c r="K1222" i="1"/>
  <c r="I1222" i="1"/>
  <c r="H1222" i="1"/>
  <c r="G1222" i="1"/>
  <c r="F1222" i="1"/>
  <c r="E1222" i="1"/>
  <c r="D1222" i="1"/>
  <c r="M1221" i="1"/>
  <c r="L1221" i="1"/>
  <c r="K1221" i="1"/>
  <c r="I1221" i="1"/>
  <c r="H1221" i="1"/>
  <c r="G1221" i="1"/>
  <c r="F1221" i="1"/>
  <c r="E1221" i="1"/>
  <c r="D1221" i="1"/>
  <c r="M1220" i="1"/>
  <c r="L1220" i="1"/>
  <c r="K1220" i="1"/>
  <c r="I1220" i="1"/>
  <c r="H1220" i="1"/>
  <c r="G1220" i="1"/>
  <c r="F1220" i="1"/>
  <c r="E1220" i="1"/>
  <c r="D1220" i="1"/>
  <c r="M1219" i="1"/>
  <c r="L1219" i="1"/>
  <c r="K1219" i="1"/>
  <c r="I1219" i="1"/>
  <c r="H1219" i="1"/>
  <c r="G1219" i="1"/>
  <c r="F1219" i="1"/>
  <c r="E1219" i="1"/>
  <c r="D1219" i="1"/>
  <c r="M1218" i="1"/>
  <c r="L1218" i="1"/>
  <c r="K1218" i="1"/>
  <c r="I1218" i="1"/>
  <c r="H1218" i="1"/>
  <c r="G1218" i="1"/>
  <c r="F1218" i="1"/>
  <c r="E1218" i="1"/>
  <c r="D1218" i="1"/>
  <c r="M1217" i="1"/>
  <c r="L1217" i="1"/>
  <c r="N1217" i="1" s="1"/>
  <c r="K1217" i="1"/>
  <c r="I1217" i="1"/>
  <c r="H1217" i="1"/>
  <c r="G1217" i="1"/>
  <c r="F1217" i="1"/>
  <c r="E1217" i="1"/>
  <c r="D1217" i="1"/>
  <c r="M1216" i="1"/>
  <c r="N1216" i="1" s="1"/>
  <c r="L1216" i="1"/>
  <c r="K1216" i="1"/>
  <c r="I1216" i="1"/>
  <c r="H1216" i="1"/>
  <c r="G1216" i="1"/>
  <c r="F1216" i="1"/>
  <c r="E1216" i="1"/>
  <c r="D1216" i="1"/>
  <c r="M1215" i="1"/>
  <c r="L1215" i="1"/>
  <c r="K1215" i="1"/>
  <c r="I1215" i="1"/>
  <c r="H1215" i="1"/>
  <c r="G1215" i="1"/>
  <c r="F1215" i="1"/>
  <c r="E1215" i="1"/>
  <c r="D1215" i="1"/>
  <c r="M1214" i="1"/>
  <c r="L1214" i="1"/>
  <c r="K1214" i="1"/>
  <c r="I1214" i="1"/>
  <c r="H1214" i="1"/>
  <c r="G1214" i="1"/>
  <c r="F1214" i="1"/>
  <c r="E1214" i="1"/>
  <c r="D1214" i="1"/>
  <c r="M1213" i="1"/>
  <c r="L1213" i="1"/>
  <c r="K1213" i="1"/>
  <c r="I1213" i="1"/>
  <c r="H1213" i="1"/>
  <c r="G1213" i="1"/>
  <c r="F1213" i="1"/>
  <c r="E1213" i="1"/>
  <c r="D1213" i="1"/>
  <c r="M1212" i="1"/>
  <c r="L1212" i="1"/>
  <c r="K1212" i="1"/>
  <c r="I1212" i="1"/>
  <c r="H1212" i="1"/>
  <c r="G1212" i="1"/>
  <c r="F1212" i="1"/>
  <c r="E1212" i="1"/>
  <c r="D1212" i="1"/>
  <c r="M1211" i="1"/>
  <c r="L1211" i="1"/>
  <c r="K1211" i="1"/>
  <c r="I1211" i="1"/>
  <c r="H1211" i="1"/>
  <c r="G1211" i="1"/>
  <c r="F1211" i="1"/>
  <c r="E1211" i="1"/>
  <c r="D1211" i="1"/>
  <c r="M1210" i="1"/>
  <c r="L1210" i="1"/>
  <c r="I1210" i="1"/>
  <c r="H1210" i="1"/>
  <c r="G1210" i="1"/>
  <c r="F1210" i="1"/>
  <c r="E1210" i="1"/>
  <c r="D1210" i="1"/>
  <c r="M1209" i="1"/>
  <c r="L1209" i="1"/>
  <c r="K1209" i="1"/>
  <c r="I1209" i="1"/>
  <c r="H1209" i="1"/>
  <c r="G1209" i="1"/>
  <c r="F1209" i="1"/>
  <c r="E1209" i="1"/>
  <c r="D1209" i="1"/>
  <c r="M1208" i="1"/>
  <c r="L1208" i="1"/>
  <c r="K1208" i="1"/>
  <c r="I1208" i="1"/>
  <c r="H1208" i="1"/>
  <c r="G1208" i="1"/>
  <c r="F1208" i="1"/>
  <c r="E1208" i="1"/>
  <c r="D1208" i="1"/>
  <c r="M1207" i="1"/>
  <c r="L1207" i="1"/>
  <c r="K1207" i="1"/>
  <c r="I1207" i="1"/>
  <c r="H1207" i="1"/>
  <c r="G1207" i="1"/>
  <c r="F1207" i="1"/>
  <c r="E1207" i="1"/>
  <c r="D1207" i="1"/>
  <c r="M1206" i="1"/>
  <c r="L1206" i="1"/>
  <c r="K1206" i="1"/>
  <c r="I1206" i="1"/>
  <c r="H1206" i="1"/>
  <c r="G1206" i="1"/>
  <c r="F1206" i="1"/>
  <c r="E1206" i="1"/>
  <c r="D1206" i="1"/>
  <c r="M1205" i="1"/>
  <c r="L1205" i="1"/>
  <c r="K1205" i="1"/>
  <c r="I1205" i="1"/>
  <c r="H1205" i="1"/>
  <c r="G1205" i="1"/>
  <c r="F1205" i="1"/>
  <c r="E1205" i="1"/>
  <c r="D1205" i="1"/>
  <c r="M1204" i="1"/>
  <c r="L1204" i="1"/>
  <c r="K1204" i="1"/>
  <c r="I1204" i="1"/>
  <c r="H1204" i="1"/>
  <c r="G1204" i="1"/>
  <c r="F1204" i="1"/>
  <c r="E1204" i="1"/>
  <c r="D1204" i="1"/>
  <c r="M1203" i="1"/>
  <c r="L1203" i="1"/>
  <c r="K1203" i="1"/>
  <c r="I1203" i="1"/>
  <c r="H1203" i="1"/>
  <c r="G1203" i="1"/>
  <c r="F1203" i="1"/>
  <c r="E1203" i="1"/>
  <c r="D1203" i="1"/>
  <c r="M1202" i="1"/>
  <c r="L1202" i="1"/>
  <c r="K1202" i="1"/>
  <c r="I1202" i="1"/>
  <c r="H1202" i="1"/>
  <c r="G1202" i="1"/>
  <c r="F1202" i="1"/>
  <c r="E1202" i="1"/>
  <c r="D1202" i="1"/>
  <c r="M1201" i="1"/>
  <c r="L1201" i="1"/>
  <c r="K1201" i="1"/>
  <c r="I1201" i="1"/>
  <c r="H1201" i="1"/>
  <c r="G1201" i="1"/>
  <c r="F1201" i="1"/>
  <c r="E1201" i="1"/>
  <c r="D1201" i="1"/>
  <c r="M1200" i="1"/>
  <c r="L1200" i="1"/>
  <c r="N1200" i="1" s="1"/>
  <c r="K1200" i="1"/>
  <c r="I1200" i="1"/>
  <c r="H1200" i="1"/>
  <c r="G1200" i="1"/>
  <c r="F1200" i="1"/>
  <c r="E1200" i="1"/>
  <c r="D1200" i="1"/>
  <c r="M1199" i="1"/>
  <c r="L1199" i="1"/>
  <c r="K1199" i="1"/>
  <c r="I1199" i="1"/>
  <c r="H1199" i="1"/>
  <c r="G1199" i="1"/>
  <c r="F1199" i="1"/>
  <c r="E1199" i="1"/>
  <c r="D1199" i="1"/>
  <c r="M1198" i="1"/>
  <c r="L1198" i="1"/>
  <c r="N1198" i="1" s="1"/>
  <c r="K1198" i="1"/>
  <c r="I1198" i="1"/>
  <c r="H1198" i="1"/>
  <c r="G1198" i="1"/>
  <c r="F1198" i="1"/>
  <c r="E1198" i="1"/>
  <c r="D1198" i="1"/>
  <c r="M1197" i="1"/>
  <c r="L1197" i="1"/>
  <c r="K1197" i="1"/>
  <c r="I1197" i="1"/>
  <c r="H1197" i="1"/>
  <c r="G1197" i="1"/>
  <c r="F1197" i="1"/>
  <c r="E1197" i="1"/>
  <c r="D1197" i="1"/>
  <c r="M1196" i="1"/>
  <c r="L1196" i="1"/>
  <c r="K1196" i="1"/>
  <c r="I1196" i="1"/>
  <c r="H1196" i="1"/>
  <c r="G1196" i="1"/>
  <c r="F1196" i="1"/>
  <c r="E1196" i="1"/>
  <c r="D1196" i="1"/>
  <c r="M1195" i="1"/>
  <c r="L1195" i="1"/>
  <c r="K1195" i="1"/>
  <c r="I1195" i="1"/>
  <c r="H1195" i="1"/>
  <c r="G1195" i="1"/>
  <c r="F1195" i="1"/>
  <c r="E1195" i="1"/>
  <c r="D1195" i="1"/>
  <c r="M1194" i="1"/>
  <c r="L1194" i="1"/>
  <c r="K1194" i="1"/>
  <c r="I1194" i="1"/>
  <c r="H1194" i="1"/>
  <c r="G1194" i="1"/>
  <c r="F1194" i="1"/>
  <c r="E1194" i="1"/>
  <c r="D1194" i="1"/>
  <c r="M1193" i="1"/>
  <c r="L1193" i="1"/>
  <c r="K1193" i="1"/>
  <c r="I1193" i="1"/>
  <c r="H1193" i="1"/>
  <c r="G1193" i="1"/>
  <c r="F1193" i="1"/>
  <c r="E1193" i="1"/>
  <c r="D1193" i="1"/>
  <c r="M1192" i="1"/>
  <c r="L1192" i="1"/>
  <c r="K1192" i="1"/>
  <c r="I1192" i="1"/>
  <c r="H1192" i="1"/>
  <c r="G1192" i="1"/>
  <c r="F1192" i="1"/>
  <c r="E1192" i="1"/>
  <c r="D1192" i="1"/>
  <c r="M1191" i="1"/>
  <c r="L1191" i="1"/>
  <c r="K1191" i="1"/>
  <c r="I1191" i="1"/>
  <c r="H1191" i="1"/>
  <c r="G1191" i="1"/>
  <c r="F1191" i="1"/>
  <c r="E1191" i="1"/>
  <c r="D1191" i="1"/>
  <c r="M1190" i="1"/>
  <c r="L1190" i="1"/>
  <c r="N1190" i="1" s="1"/>
  <c r="K1190" i="1"/>
  <c r="I1190" i="1"/>
  <c r="H1190" i="1"/>
  <c r="G1190" i="1"/>
  <c r="F1190" i="1"/>
  <c r="E1190" i="1"/>
  <c r="D1190" i="1"/>
  <c r="M1189" i="1"/>
  <c r="L1189" i="1"/>
  <c r="N1189" i="1" s="1"/>
  <c r="K1189" i="1"/>
  <c r="I1189" i="1"/>
  <c r="H1189" i="1"/>
  <c r="G1189" i="1"/>
  <c r="F1189" i="1"/>
  <c r="E1189" i="1"/>
  <c r="D1189" i="1"/>
  <c r="M1188" i="1"/>
  <c r="N1188" i="1" s="1"/>
  <c r="L1188" i="1"/>
  <c r="K1188" i="1"/>
  <c r="I1188" i="1"/>
  <c r="H1188" i="1"/>
  <c r="G1188" i="1"/>
  <c r="F1188" i="1"/>
  <c r="E1188" i="1"/>
  <c r="D1188" i="1"/>
  <c r="M1187" i="1"/>
  <c r="L1187" i="1"/>
  <c r="N1187" i="1" s="1"/>
  <c r="K1187" i="1"/>
  <c r="I1187" i="1"/>
  <c r="H1187" i="1"/>
  <c r="G1187" i="1"/>
  <c r="F1187" i="1"/>
  <c r="E1187" i="1"/>
  <c r="D1187" i="1"/>
  <c r="M1186" i="1"/>
  <c r="L1186" i="1"/>
  <c r="K1186" i="1"/>
  <c r="I1186" i="1"/>
  <c r="H1186" i="1"/>
  <c r="G1186" i="1"/>
  <c r="F1186" i="1"/>
  <c r="E1186" i="1"/>
  <c r="D1186" i="1"/>
  <c r="M1185" i="1"/>
  <c r="L1185" i="1"/>
  <c r="K1185" i="1"/>
  <c r="I1185" i="1"/>
  <c r="H1185" i="1"/>
  <c r="G1185" i="1"/>
  <c r="F1185" i="1"/>
  <c r="E1185" i="1"/>
  <c r="D1185" i="1"/>
  <c r="M1184" i="1"/>
  <c r="L1184" i="1"/>
  <c r="K1184" i="1"/>
  <c r="I1184" i="1"/>
  <c r="H1184" i="1"/>
  <c r="G1184" i="1"/>
  <c r="F1184" i="1"/>
  <c r="E1184" i="1"/>
  <c r="D1184" i="1"/>
  <c r="M1183" i="1"/>
  <c r="L1183" i="1"/>
  <c r="K1183" i="1"/>
  <c r="I1183" i="1"/>
  <c r="H1183" i="1"/>
  <c r="G1183" i="1"/>
  <c r="F1183" i="1"/>
  <c r="E1183" i="1"/>
  <c r="D1183" i="1"/>
  <c r="M1182" i="1"/>
  <c r="L1182" i="1"/>
  <c r="K1182" i="1"/>
  <c r="I1182" i="1"/>
  <c r="H1182" i="1"/>
  <c r="G1182" i="1"/>
  <c r="F1182" i="1"/>
  <c r="E1182" i="1"/>
  <c r="D1182" i="1"/>
  <c r="M1181" i="1"/>
  <c r="L1181" i="1"/>
  <c r="I1181" i="1"/>
  <c r="H1181" i="1"/>
  <c r="G1181" i="1"/>
  <c r="F1181" i="1"/>
  <c r="E1181" i="1"/>
  <c r="D1181" i="1"/>
  <c r="M1180" i="1"/>
  <c r="L1180" i="1"/>
  <c r="K1180" i="1"/>
  <c r="I1180" i="1"/>
  <c r="H1180" i="1"/>
  <c r="G1180" i="1"/>
  <c r="F1180" i="1"/>
  <c r="E1180" i="1"/>
  <c r="D1180" i="1"/>
  <c r="M1179" i="1"/>
  <c r="L1179" i="1"/>
  <c r="K1179" i="1"/>
  <c r="I1179" i="1"/>
  <c r="H1179" i="1"/>
  <c r="G1179" i="1"/>
  <c r="F1179" i="1"/>
  <c r="E1179" i="1"/>
  <c r="D1179" i="1"/>
  <c r="M1178" i="1"/>
  <c r="L1178" i="1"/>
  <c r="K1178" i="1"/>
  <c r="I1178" i="1"/>
  <c r="H1178" i="1"/>
  <c r="G1178" i="1"/>
  <c r="F1178" i="1"/>
  <c r="E1178" i="1"/>
  <c r="D1178" i="1"/>
  <c r="M1177" i="1"/>
  <c r="L1177" i="1"/>
  <c r="K1177" i="1"/>
  <c r="I1177" i="1"/>
  <c r="H1177" i="1"/>
  <c r="G1177" i="1"/>
  <c r="F1177" i="1"/>
  <c r="E1177" i="1"/>
  <c r="D1177" i="1"/>
  <c r="M1176" i="1"/>
  <c r="L1176" i="1"/>
  <c r="K1176" i="1"/>
  <c r="I1176" i="1"/>
  <c r="H1176" i="1"/>
  <c r="G1176" i="1"/>
  <c r="F1176" i="1"/>
  <c r="E1176" i="1"/>
  <c r="D1176" i="1"/>
  <c r="M1175" i="1"/>
  <c r="L1175" i="1"/>
  <c r="K1175" i="1"/>
  <c r="I1175" i="1"/>
  <c r="H1175" i="1"/>
  <c r="G1175" i="1"/>
  <c r="F1175" i="1"/>
  <c r="E1175" i="1"/>
  <c r="D1175" i="1"/>
  <c r="M1174" i="1"/>
  <c r="L1174" i="1"/>
  <c r="K1174" i="1"/>
  <c r="I1174" i="1"/>
  <c r="H1174" i="1"/>
  <c r="G1174" i="1"/>
  <c r="F1174" i="1"/>
  <c r="E1174" i="1"/>
  <c r="D1174" i="1"/>
  <c r="M1173" i="1"/>
  <c r="L1173" i="1"/>
  <c r="K1173" i="1"/>
  <c r="I1173" i="1"/>
  <c r="H1173" i="1"/>
  <c r="G1173" i="1"/>
  <c r="F1173" i="1"/>
  <c r="E1173" i="1"/>
  <c r="D1173" i="1"/>
  <c r="M1172" i="1"/>
  <c r="L1172" i="1"/>
  <c r="K1172" i="1"/>
  <c r="I1172" i="1"/>
  <c r="H1172" i="1"/>
  <c r="G1172" i="1"/>
  <c r="F1172" i="1"/>
  <c r="E1172" i="1"/>
  <c r="D1172" i="1"/>
  <c r="M1171" i="1"/>
  <c r="L1171" i="1"/>
  <c r="K1171" i="1"/>
  <c r="I1171" i="1"/>
  <c r="H1171" i="1"/>
  <c r="G1171" i="1"/>
  <c r="F1171" i="1"/>
  <c r="E1171" i="1"/>
  <c r="D1171" i="1"/>
  <c r="M1170" i="1"/>
  <c r="L1170" i="1"/>
  <c r="K1170" i="1"/>
  <c r="I1170" i="1"/>
  <c r="H1170" i="1"/>
  <c r="G1170" i="1"/>
  <c r="F1170" i="1"/>
  <c r="E1170" i="1"/>
  <c r="D1170" i="1"/>
  <c r="M1169" i="1"/>
  <c r="L1169" i="1"/>
  <c r="K1169" i="1"/>
  <c r="I1169" i="1"/>
  <c r="H1169" i="1"/>
  <c r="G1169" i="1"/>
  <c r="F1169" i="1"/>
  <c r="E1169" i="1"/>
  <c r="D1169" i="1"/>
  <c r="M1168" i="1"/>
  <c r="L1168" i="1"/>
  <c r="I1168" i="1"/>
  <c r="H1168" i="1"/>
  <c r="G1168" i="1"/>
  <c r="F1168" i="1"/>
  <c r="E1168" i="1"/>
  <c r="D1168" i="1"/>
  <c r="M1167" i="1"/>
  <c r="L1167" i="1"/>
  <c r="K1167" i="1"/>
  <c r="I1167" i="1"/>
  <c r="H1167" i="1"/>
  <c r="G1167" i="1"/>
  <c r="F1167" i="1"/>
  <c r="E1167" i="1"/>
  <c r="D1167" i="1"/>
  <c r="M1166" i="1"/>
  <c r="L1166" i="1"/>
  <c r="K1166" i="1"/>
  <c r="I1166" i="1"/>
  <c r="H1166" i="1"/>
  <c r="G1166" i="1"/>
  <c r="F1166" i="1"/>
  <c r="E1166" i="1"/>
  <c r="D1166" i="1"/>
  <c r="M1165" i="1"/>
  <c r="L1165" i="1"/>
  <c r="N1165" i="1" s="1"/>
  <c r="K1165" i="1"/>
  <c r="I1165" i="1"/>
  <c r="H1165" i="1"/>
  <c r="G1165" i="1"/>
  <c r="F1165" i="1"/>
  <c r="E1165" i="1"/>
  <c r="D1165" i="1"/>
  <c r="M1164" i="1"/>
  <c r="L1164" i="1"/>
  <c r="K1164" i="1"/>
  <c r="I1164" i="1"/>
  <c r="H1164" i="1"/>
  <c r="G1164" i="1"/>
  <c r="F1164" i="1"/>
  <c r="E1164" i="1"/>
  <c r="D1164" i="1"/>
  <c r="M1163" i="1"/>
  <c r="L1163" i="1"/>
  <c r="K1163" i="1"/>
  <c r="I1163" i="1"/>
  <c r="H1163" i="1"/>
  <c r="G1163" i="1"/>
  <c r="F1163" i="1"/>
  <c r="E1163" i="1"/>
  <c r="D1163" i="1"/>
  <c r="M1162" i="1"/>
  <c r="L1162" i="1"/>
  <c r="K1162" i="1"/>
  <c r="I1162" i="1"/>
  <c r="H1162" i="1"/>
  <c r="G1162" i="1"/>
  <c r="F1162" i="1"/>
  <c r="E1162" i="1"/>
  <c r="D1162" i="1"/>
  <c r="M1161" i="1"/>
  <c r="L1161" i="1"/>
  <c r="N1161" i="1" s="1"/>
  <c r="K1161" i="1"/>
  <c r="I1161" i="1"/>
  <c r="H1161" i="1"/>
  <c r="G1161" i="1"/>
  <c r="F1161" i="1"/>
  <c r="E1161" i="1"/>
  <c r="D1161" i="1"/>
  <c r="M1160" i="1"/>
  <c r="L1160" i="1"/>
  <c r="K1160" i="1"/>
  <c r="I1160" i="1"/>
  <c r="H1160" i="1"/>
  <c r="G1160" i="1"/>
  <c r="F1160" i="1"/>
  <c r="E1160" i="1"/>
  <c r="D1160" i="1"/>
  <c r="M1159" i="1"/>
  <c r="L1159" i="1"/>
  <c r="K1159" i="1"/>
  <c r="I1159" i="1"/>
  <c r="H1159" i="1"/>
  <c r="G1159" i="1"/>
  <c r="F1159" i="1"/>
  <c r="E1159" i="1"/>
  <c r="D1159" i="1"/>
  <c r="M1158" i="1"/>
  <c r="L1158" i="1"/>
  <c r="K1158" i="1"/>
  <c r="I1158" i="1"/>
  <c r="H1158" i="1"/>
  <c r="G1158" i="1"/>
  <c r="F1158" i="1"/>
  <c r="E1158" i="1"/>
  <c r="D1158" i="1"/>
  <c r="M1157" i="1"/>
  <c r="L1157" i="1"/>
  <c r="N1157" i="1" s="1"/>
  <c r="K1157" i="1"/>
  <c r="I1157" i="1"/>
  <c r="H1157" i="1"/>
  <c r="G1157" i="1"/>
  <c r="F1157" i="1"/>
  <c r="E1157" i="1"/>
  <c r="D1157" i="1"/>
  <c r="M1156" i="1"/>
  <c r="L1156" i="1"/>
  <c r="K1156" i="1"/>
  <c r="I1156" i="1"/>
  <c r="H1156" i="1"/>
  <c r="G1156" i="1"/>
  <c r="F1156" i="1"/>
  <c r="E1156" i="1"/>
  <c r="D1156" i="1"/>
  <c r="M1155" i="1"/>
  <c r="L1155" i="1"/>
  <c r="K1155" i="1"/>
  <c r="I1155" i="1"/>
  <c r="H1155" i="1"/>
  <c r="G1155" i="1"/>
  <c r="F1155" i="1"/>
  <c r="E1155" i="1"/>
  <c r="D1155" i="1"/>
  <c r="M1154" i="1"/>
  <c r="L1154" i="1"/>
  <c r="K1154" i="1"/>
  <c r="I1154" i="1"/>
  <c r="H1154" i="1"/>
  <c r="G1154" i="1"/>
  <c r="F1154" i="1"/>
  <c r="E1154" i="1"/>
  <c r="D1154" i="1"/>
  <c r="M1153" i="1"/>
  <c r="L1153" i="1"/>
  <c r="K1153" i="1"/>
  <c r="I1153" i="1"/>
  <c r="H1153" i="1"/>
  <c r="G1153" i="1"/>
  <c r="F1153" i="1"/>
  <c r="E1153" i="1"/>
  <c r="D1153" i="1"/>
  <c r="M1152" i="1"/>
  <c r="L1152" i="1"/>
  <c r="K1152" i="1"/>
  <c r="I1152" i="1"/>
  <c r="H1152" i="1"/>
  <c r="G1152" i="1"/>
  <c r="F1152" i="1"/>
  <c r="E1152" i="1"/>
  <c r="D1152" i="1"/>
  <c r="M1151" i="1"/>
  <c r="L1151" i="1"/>
  <c r="K1151" i="1"/>
  <c r="I1151" i="1"/>
  <c r="H1151" i="1"/>
  <c r="G1151" i="1"/>
  <c r="F1151" i="1"/>
  <c r="E1151" i="1"/>
  <c r="D1151" i="1"/>
  <c r="M1150" i="1"/>
  <c r="L1150" i="1"/>
  <c r="K1150" i="1"/>
  <c r="I1150" i="1"/>
  <c r="H1150" i="1"/>
  <c r="G1150" i="1"/>
  <c r="F1150" i="1"/>
  <c r="E1150" i="1"/>
  <c r="D1150" i="1"/>
  <c r="M1149" i="1"/>
  <c r="L1149" i="1"/>
  <c r="N1149" i="1" s="1"/>
  <c r="K1149" i="1"/>
  <c r="I1149" i="1"/>
  <c r="H1149" i="1"/>
  <c r="G1149" i="1"/>
  <c r="F1149" i="1"/>
  <c r="E1149" i="1"/>
  <c r="D1149" i="1"/>
  <c r="M1148" i="1"/>
  <c r="L1148" i="1"/>
  <c r="K1148" i="1"/>
  <c r="I1148" i="1"/>
  <c r="H1148" i="1"/>
  <c r="G1148" i="1"/>
  <c r="F1148" i="1"/>
  <c r="E1148" i="1"/>
  <c r="D1148" i="1"/>
  <c r="M1147" i="1"/>
  <c r="N1147" i="1" s="1"/>
  <c r="L1147" i="1"/>
  <c r="K1147" i="1"/>
  <c r="I1147" i="1"/>
  <c r="H1147" i="1"/>
  <c r="G1147" i="1"/>
  <c r="F1147" i="1"/>
  <c r="E1147" i="1"/>
  <c r="D1147" i="1"/>
  <c r="M1146" i="1"/>
  <c r="L1146" i="1"/>
  <c r="K1146" i="1"/>
  <c r="I1146" i="1"/>
  <c r="H1146" i="1"/>
  <c r="G1146" i="1"/>
  <c r="F1146" i="1"/>
  <c r="E1146" i="1"/>
  <c r="D1146" i="1"/>
  <c r="M1145" i="1"/>
  <c r="L1145" i="1"/>
  <c r="K1145" i="1"/>
  <c r="I1145" i="1"/>
  <c r="H1145" i="1"/>
  <c r="G1145" i="1"/>
  <c r="F1145" i="1"/>
  <c r="E1145" i="1"/>
  <c r="D1145" i="1"/>
  <c r="M1144" i="1"/>
  <c r="L1144" i="1"/>
  <c r="K1144" i="1"/>
  <c r="I1144" i="1"/>
  <c r="H1144" i="1"/>
  <c r="G1144" i="1"/>
  <c r="F1144" i="1"/>
  <c r="E1144" i="1"/>
  <c r="D1144" i="1"/>
  <c r="M1143" i="1"/>
  <c r="L1143" i="1"/>
  <c r="K1143" i="1"/>
  <c r="I1143" i="1"/>
  <c r="H1143" i="1"/>
  <c r="G1143" i="1"/>
  <c r="F1143" i="1"/>
  <c r="E1143" i="1"/>
  <c r="D1143" i="1"/>
  <c r="M1142" i="1"/>
  <c r="L1142" i="1"/>
  <c r="K1142" i="1"/>
  <c r="I1142" i="1"/>
  <c r="H1142" i="1"/>
  <c r="G1142" i="1"/>
  <c r="F1142" i="1"/>
  <c r="E1142" i="1"/>
  <c r="D1142" i="1"/>
  <c r="M1141" i="1"/>
  <c r="L1141" i="1"/>
  <c r="K1141" i="1"/>
  <c r="I1141" i="1"/>
  <c r="H1141" i="1"/>
  <c r="G1141" i="1"/>
  <c r="F1141" i="1"/>
  <c r="E1141" i="1"/>
  <c r="D1141" i="1"/>
  <c r="M1140" i="1"/>
  <c r="L1140" i="1"/>
  <c r="K1140" i="1"/>
  <c r="I1140" i="1"/>
  <c r="H1140" i="1"/>
  <c r="G1140" i="1"/>
  <c r="F1140" i="1"/>
  <c r="E1140" i="1"/>
  <c r="D1140" i="1"/>
  <c r="M1139" i="1"/>
  <c r="L1139" i="1"/>
  <c r="K1139" i="1"/>
  <c r="I1139" i="1"/>
  <c r="H1139" i="1"/>
  <c r="G1139" i="1"/>
  <c r="F1139" i="1"/>
  <c r="E1139" i="1"/>
  <c r="D1139" i="1"/>
  <c r="M1138" i="1"/>
  <c r="L1138" i="1"/>
  <c r="K1138" i="1"/>
  <c r="I1138" i="1"/>
  <c r="H1138" i="1"/>
  <c r="G1138" i="1"/>
  <c r="F1138" i="1"/>
  <c r="E1138" i="1"/>
  <c r="D1138" i="1"/>
  <c r="M1137" i="1"/>
  <c r="L1137" i="1"/>
  <c r="K1137" i="1"/>
  <c r="I1137" i="1"/>
  <c r="H1137" i="1"/>
  <c r="G1137" i="1"/>
  <c r="F1137" i="1"/>
  <c r="E1137" i="1"/>
  <c r="D1137" i="1"/>
  <c r="M1136" i="1"/>
  <c r="L1136" i="1"/>
  <c r="K1136" i="1"/>
  <c r="I1136" i="1"/>
  <c r="H1136" i="1"/>
  <c r="G1136" i="1"/>
  <c r="F1136" i="1"/>
  <c r="E1136" i="1"/>
  <c r="D1136" i="1"/>
  <c r="M1135" i="1"/>
  <c r="L1135" i="1"/>
  <c r="K1135" i="1"/>
  <c r="I1135" i="1"/>
  <c r="H1135" i="1"/>
  <c r="G1135" i="1"/>
  <c r="F1135" i="1"/>
  <c r="E1135" i="1"/>
  <c r="D1135" i="1"/>
  <c r="M1134" i="1"/>
  <c r="L1134" i="1"/>
  <c r="K1134" i="1"/>
  <c r="I1134" i="1"/>
  <c r="H1134" i="1"/>
  <c r="G1134" i="1"/>
  <c r="F1134" i="1"/>
  <c r="E1134" i="1"/>
  <c r="D1134" i="1"/>
  <c r="M1133" i="1"/>
  <c r="L1133" i="1"/>
  <c r="K1133" i="1"/>
  <c r="I1133" i="1"/>
  <c r="H1133" i="1"/>
  <c r="G1133" i="1"/>
  <c r="F1133" i="1"/>
  <c r="E1133" i="1"/>
  <c r="D1133" i="1"/>
  <c r="M1132" i="1"/>
  <c r="L1132" i="1"/>
  <c r="N1132" i="1" s="1"/>
  <c r="K1132" i="1"/>
  <c r="I1132" i="1"/>
  <c r="H1132" i="1"/>
  <c r="G1132" i="1"/>
  <c r="F1132" i="1"/>
  <c r="E1132" i="1"/>
  <c r="D1132" i="1"/>
  <c r="M1131" i="1"/>
  <c r="N1131" i="1" s="1"/>
  <c r="L1131" i="1"/>
  <c r="K1131" i="1"/>
  <c r="I1131" i="1"/>
  <c r="H1131" i="1"/>
  <c r="G1131" i="1"/>
  <c r="F1131" i="1"/>
  <c r="E1131" i="1"/>
  <c r="D1131" i="1"/>
  <c r="M1130" i="1"/>
  <c r="L1130" i="1"/>
  <c r="K1130" i="1"/>
  <c r="I1130" i="1"/>
  <c r="H1130" i="1"/>
  <c r="G1130" i="1"/>
  <c r="F1130" i="1"/>
  <c r="E1130" i="1"/>
  <c r="D1130" i="1"/>
  <c r="M1129" i="1"/>
  <c r="L1129" i="1"/>
  <c r="K1129" i="1"/>
  <c r="I1129" i="1"/>
  <c r="H1129" i="1"/>
  <c r="G1129" i="1"/>
  <c r="F1129" i="1"/>
  <c r="E1129" i="1"/>
  <c r="D1129" i="1"/>
  <c r="M1128" i="1"/>
  <c r="L1128" i="1"/>
  <c r="K1128" i="1"/>
  <c r="I1128" i="1"/>
  <c r="H1128" i="1"/>
  <c r="G1128" i="1"/>
  <c r="F1128" i="1"/>
  <c r="E1128" i="1"/>
  <c r="D1128" i="1"/>
  <c r="M1127" i="1"/>
  <c r="L1127" i="1"/>
  <c r="K1127" i="1"/>
  <c r="I1127" i="1"/>
  <c r="H1127" i="1"/>
  <c r="G1127" i="1"/>
  <c r="F1127" i="1"/>
  <c r="E1127" i="1"/>
  <c r="D1127" i="1"/>
  <c r="M1126" i="1"/>
  <c r="L1126" i="1"/>
  <c r="N1126" i="1" s="1"/>
  <c r="K1126" i="1"/>
  <c r="I1126" i="1"/>
  <c r="H1126" i="1"/>
  <c r="G1126" i="1"/>
  <c r="F1126" i="1"/>
  <c r="E1126" i="1"/>
  <c r="D1126" i="1"/>
  <c r="M1125" i="1"/>
  <c r="L1125" i="1"/>
  <c r="N1125" i="1" s="1"/>
  <c r="K1125" i="1"/>
  <c r="I1125" i="1"/>
  <c r="H1125" i="1"/>
  <c r="G1125" i="1"/>
  <c r="F1125" i="1"/>
  <c r="E1125" i="1"/>
  <c r="D1125" i="1"/>
  <c r="M1124" i="1"/>
  <c r="L1124" i="1"/>
  <c r="K1124" i="1"/>
  <c r="I1124" i="1"/>
  <c r="H1124" i="1"/>
  <c r="G1124" i="1"/>
  <c r="F1124" i="1"/>
  <c r="E1124" i="1"/>
  <c r="D1124" i="1"/>
  <c r="M1123" i="1"/>
  <c r="L1123" i="1"/>
  <c r="N1123" i="1" s="1"/>
  <c r="K1123" i="1"/>
  <c r="I1123" i="1"/>
  <c r="H1123" i="1"/>
  <c r="G1123" i="1"/>
  <c r="F1123" i="1"/>
  <c r="E1123" i="1"/>
  <c r="D1123" i="1"/>
  <c r="M1122" i="1"/>
  <c r="L1122" i="1"/>
  <c r="K1122" i="1"/>
  <c r="I1122" i="1"/>
  <c r="H1122" i="1"/>
  <c r="G1122" i="1"/>
  <c r="F1122" i="1"/>
  <c r="E1122" i="1"/>
  <c r="D1122" i="1"/>
  <c r="M1121" i="1"/>
  <c r="L1121" i="1"/>
  <c r="N1121" i="1" s="1"/>
  <c r="K1121" i="1"/>
  <c r="I1121" i="1"/>
  <c r="H1121" i="1"/>
  <c r="G1121" i="1"/>
  <c r="F1121" i="1"/>
  <c r="E1121" i="1"/>
  <c r="D1121" i="1"/>
  <c r="M1120" i="1"/>
  <c r="L1120" i="1"/>
  <c r="K1120" i="1"/>
  <c r="I1120" i="1"/>
  <c r="H1120" i="1"/>
  <c r="G1120" i="1"/>
  <c r="F1120" i="1"/>
  <c r="E1120" i="1"/>
  <c r="D1120" i="1"/>
  <c r="M1119" i="1"/>
  <c r="L1119" i="1"/>
  <c r="K1119" i="1"/>
  <c r="I1119" i="1"/>
  <c r="H1119" i="1"/>
  <c r="G1119" i="1"/>
  <c r="F1119" i="1"/>
  <c r="E1119" i="1"/>
  <c r="D1119" i="1"/>
  <c r="M1118" i="1"/>
  <c r="L1118" i="1"/>
  <c r="K1118" i="1"/>
  <c r="I1118" i="1"/>
  <c r="H1118" i="1"/>
  <c r="G1118" i="1"/>
  <c r="F1118" i="1"/>
  <c r="E1118" i="1"/>
  <c r="D1118" i="1"/>
  <c r="M1117" i="1"/>
  <c r="L1117" i="1"/>
  <c r="K1117" i="1"/>
  <c r="I1117" i="1"/>
  <c r="H1117" i="1"/>
  <c r="G1117" i="1"/>
  <c r="F1117" i="1"/>
  <c r="E1117" i="1"/>
  <c r="D1117" i="1"/>
  <c r="M1116" i="1"/>
  <c r="L1116" i="1"/>
  <c r="K1116" i="1"/>
  <c r="I1116" i="1"/>
  <c r="H1116" i="1"/>
  <c r="G1116" i="1"/>
  <c r="F1116" i="1"/>
  <c r="E1116" i="1"/>
  <c r="D1116" i="1"/>
  <c r="M1115" i="1"/>
  <c r="L1115" i="1"/>
  <c r="I1115" i="1"/>
  <c r="H1115" i="1"/>
  <c r="G1115" i="1"/>
  <c r="F1115" i="1"/>
  <c r="E1115" i="1"/>
  <c r="D1115" i="1"/>
  <c r="M1114" i="1"/>
  <c r="L1114" i="1"/>
  <c r="K1114" i="1"/>
  <c r="I1114" i="1"/>
  <c r="H1114" i="1"/>
  <c r="G1114" i="1"/>
  <c r="F1114" i="1"/>
  <c r="E1114" i="1"/>
  <c r="D1114" i="1"/>
  <c r="M1113" i="1"/>
  <c r="L1113" i="1"/>
  <c r="K1113" i="1"/>
  <c r="I1113" i="1"/>
  <c r="H1113" i="1"/>
  <c r="G1113" i="1"/>
  <c r="F1113" i="1"/>
  <c r="E1113" i="1"/>
  <c r="D1113" i="1"/>
  <c r="M1112" i="1"/>
  <c r="L1112" i="1"/>
  <c r="K1112" i="1"/>
  <c r="I1112" i="1"/>
  <c r="H1112" i="1"/>
  <c r="G1112" i="1"/>
  <c r="F1112" i="1"/>
  <c r="E1112" i="1"/>
  <c r="D1112" i="1"/>
  <c r="M1111" i="1"/>
  <c r="L1111" i="1"/>
  <c r="K1111" i="1"/>
  <c r="I1111" i="1"/>
  <c r="H1111" i="1"/>
  <c r="G1111" i="1"/>
  <c r="F1111" i="1"/>
  <c r="E1111" i="1"/>
  <c r="D1111" i="1"/>
  <c r="M1110" i="1"/>
  <c r="L1110" i="1"/>
  <c r="N1110" i="1" s="1"/>
  <c r="K1110" i="1"/>
  <c r="I1110" i="1"/>
  <c r="H1110" i="1"/>
  <c r="G1110" i="1"/>
  <c r="F1110" i="1"/>
  <c r="E1110" i="1"/>
  <c r="D1110" i="1"/>
  <c r="M1109" i="1"/>
  <c r="L1109" i="1"/>
  <c r="K1109" i="1"/>
  <c r="I1109" i="1"/>
  <c r="H1109" i="1"/>
  <c r="G1109" i="1"/>
  <c r="F1109" i="1"/>
  <c r="E1109" i="1"/>
  <c r="D1109" i="1"/>
  <c r="M1108" i="1"/>
  <c r="L1108" i="1"/>
  <c r="K1108" i="1"/>
  <c r="I1108" i="1"/>
  <c r="H1108" i="1"/>
  <c r="G1108" i="1"/>
  <c r="F1108" i="1"/>
  <c r="E1108" i="1"/>
  <c r="D1108" i="1"/>
  <c r="M1107" i="1"/>
  <c r="L1107" i="1"/>
  <c r="K1107" i="1"/>
  <c r="I1107" i="1"/>
  <c r="H1107" i="1"/>
  <c r="G1107" i="1"/>
  <c r="F1107" i="1"/>
  <c r="E1107" i="1"/>
  <c r="D1107" i="1"/>
  <c r="M1106" i="1"/>
  <c r="L1106" i="1"/>
  <c r="K1106" i="1"/>
  <c r="I1106" i="1"/>
  <c r="H1106" i="1"/>
  <c r="G1106" i="1"/>
  <c r="F1106" i="1"/>
  <c r="E1106" i="1"/>
  <c r="D1106" i="1"/>
  <c r="M1105" i="1"/>
  <c r="L1105" i="1"/>
  <c r="K1105" i="1"/>
  <c r="I1105" i="1"/>
  <c r="H1105" i="1"/>
  <c r="G1105" i="1"/>
  <c r="F1105" i="1"/>
  <c r="E1105" i="1"/>
  <c r="D1105" i="1"/>
  <c r="M1104" i="1"/>
  <c r="L1104" i="1"/>
  <c r="K1104" i="1"/>
  <c r="I1104" i="1"/>
  <c r="H1104" i="1"/>
  <c r="G1104" i="1"/>
  <c r="F1104" i="1"/>
  <c r="E1104" i="1"/>
  <c r="D1104" i="1"/>
  <c r="M1103" i="1"/>
  <c r="L1103" i="1"/>
  <c r="K1103" i="1"/>
  <c r="I1103" i="1"/>
  <c r="H1103" i="1"/>
  <c r="G1103" i="1"/>
  <c r="F1103" i="1"/>
  <c r="E1103" i="1"/>
  <c r="D1103" i="1"/>
  <c r="M1102" i="1"/>
  <c r="L1102" i="1"/>
  <c r="K1102" i="1"/>
  <c r="I1102" i="1"/>
  <c r="H1102" i="1"/>
  <c r="G1102" i="1"/>
  <c r="F1102" i="1"/>
  <c r="E1102" i="1"/>
  <c r="D1102" i="1"/>
  <c r="M1101" i="1"/>
  <c r="L1101" i="1"/>
  <c r="K1101" i="1"/>
  <c r="I1101" i="1"/>
  <c r="H1101" i="1"/>
  <c r="G1101" i="1"/>
  <c r="F1101" i="1"/>
  <c r="E1101" i="1"/>
  <c r="D1101" i="1"/>
  <c r="M1100" i="1"/>
  <c r="L1100" i="1"/>
  <c r="N1100" i="1" s="1"/>
  <c r="P1100" i="1" s="1"/>
  <c r="K1100" i="1"/>
  <c r="I1100" i="1"/>
  <c r="H1100" i="1"/>
  <c r="G1100" i="1"/>
  <c r="F1100" i="1"/>
  <c r="E1100" i="1"/>
  <c r="D1100" i="1"/>
  <c r="M1099" i="1"/>
  <c r="L1099" i="1"/>
  <c r="K1099" i="1"/>
  <c r="I1099" i="1"/>
  <c r="H1099" i="1"/>
  <c r="G1099" i="1"/>
  <c r="F1099" i="1"/>
  <c r="E1099" i="1"/>
  <c r="D1099" i="1"/>
  <c r="M1098" i="1"/>
  <c r="L1098" i="1"/>
  <c r="K1098" i="1"/>
  <c r="I1098" i="1"/>
  <c r="H1098" i="1"/>
  <c r="G1098" i="1"/>
  <c r="F1098" i="1"/>
  <c r="E1098" i="1"/>
  <c r="D1098" i="1"/>
  <c r="M1097" i="1"/>
  <c r="L1097" i="1"/>
  <c r="K1097" i="1"/>
  <c r="I1097" i="1"/>
  <c r="H1097" i="1"/>
  <c r="G1097" i="1"/>
  <c r="F1097" i="1"/>
  <c r="E1097" i="1"/>
  <c r="D1097" i="1"/>
  <c r="M1096" i="1"/>
  <c r="L1096" i="1"/>
  <c r="K1096" i="1"/>
  <c r="I1096" i="1"/>
  <c r="H1096" i="1"/>
  <c r="G1096" i="1"/>
  <c r="F1096" i="1"/>
  <c r="E1096" i="1"/>
  <c r="D1096" i="1"/>
  <c r="M1095" i="1"/>
  <c r="L1095" i="1"/>
  <c r="K1095" i="1"/>
  <c r="I1095" i="1"/>
  <c r="H1095" i="1"/>
  <c r="G1095" i="1"/>
  <c r="F1095" i="1"/>
  <c r="E1095" i="1"/>
  <c r="D1095" i="1"/>
  <c r="M1094" i="1"/>
  <c r="L1094" i="1"/>
  <c r="K1094" i="1"/>
  <c r="I1094" i="1"/>
  <c r="H1094" i="1"/>
  <c r="G1094" i="1"/>
  <c r="F1094" i="1"/>
  <c r="E1094" i="1"/>
  <c r="D1094" i="1"/>
  <c r="M1093" i="1"/>
  <c r="L1093" i="1"/>
  <c r="K1093" i="1"/>
  <c r="I1093" i="1"/>
  <c r="H1093" i="1"/>
  <c r="G1093" i="1"/>
  <c r="F1093" i="1"/>
  <c r="E1093" i="1"/>
  <c r="D1093" i="1"/>
  <c r="M1092" i="1"/>
  <c r="L1092" i="1"/>
  <c r="K1092" i="1"/>
  <c r="I1092" i="1"/>
  <c r="H1092" i="1"/>
  <c r="G1092" i="1"/>
  <c r="F1092" i="1"/>
  <c r="E1092" i="1"/>
  <c r="D1092" i="1"/>
  <c r="M1091" i="1"/>
  <c r="L1091" i="1"/>
  <c r="K1091" i="1"/>
  <c r="I1091" i="1"/>
  <c r="H1091" i="1"/>
  <c r="G1091" i="1"/>
  <c r="F1091" i="1"/>
  <c r="E1091" i="1"/>
  <c r="D1091" i="1"/>
  <c r="M1090" i="1"/>
  <c r="L1090" i="1"/>
  <c r="N1090" i="1" s="1"/>
  <c r="K1090" i="1"/>
  <c r="I1090" i="1"/>
  <c r="H1090" i="1"/>
  <c r="G1090" i="1"/>
  <c r="F1090" i="1"/>
  <c r="E1090" i="1"/>
  <c r="D1090" i="1"/>
  <c r="M1089" i="1"/>
  <c r="L1089" i="1"/>
  <c r="K1089" i="1"/>
  <c r="I1089" i="1"/>
  <c r="H1089" i="1"/>
  <c r="G1089" i="1"/>
  <c r="F1089" i="1"/>
  <c r="E1089" i="1"/>
  <c r="D1089" i="1"/>
  <c r="M1088" i="1"/>
  <c r="L1088" i="1"/>
  <c r="N1088" i="1" s="1"/>
  <c r="P1088" i="1" s="1"/>
  <c r="K1088" i="1"/>
  <c r="I1088" i="1"/>
  <c r="H1088" i="1"/>
  <c r="G1088" i="1"/>
  <c r="F1088" i="1"/>
  <c r="E1088" i="1"/>
  <c r="D1088" i="1"/>
  <c r="M1087" i="1"/>
  <c r="L1087" i="1"/>
  <c r="K1087" i="1"/>
  <c r="I1087" i="1"/>
  <c r="H1087" i="1"/>
  <c r="G1087" i="1"/>
  <c r="F1087" i="1"/>
  <c r="E1087" i="1"/>
  <c r="D1087" i="1"/>
  <c r="M1086" i="1"/>
  <c r="L1086" i="1"/>
  <c r="K1086" i="1"/>
  <c r="I1086" i="1"/>
  <c r="H1086" i="1"/>
  <c r="G1086" i="1"/>
  <c r="F1086" i="1"/>
  <c r="E1086" i="1"/>
  <c r="D1086" i="1"/>
  <c r="M1085" i="1"/>
  <c r="L1085" i="1"/>
  <c r="N1085" i="1" s="1"/>
  <c r="K1085" i="1"/>
  <c r="I1085" i="1"/>
  <c r="H1085" i="1"/>
  <c r="G1085" i="1"/>
  <c r="F1085" i="1"/>
  <c r="E1085" i="1"/>
  <c r="D1085" i="1"/>
  <c r="M1084" i="1"/>
  <c r="L1084" i="1"/>
  <c r="K1084" i="1"/>
  <c r="I1084" i="1"/>
  <c r="H1084" i="1"/>
  <c r="G1084" i="1"/>
  <c r="F1084" i="1"/>
  <c r="E1084" i="1"/>
  <c r="D1084" i="1"/>
  <c r="M1083" i="1"/>
  <c r="L1083" i="1"/>
  <c r="K1083" i="1"/>
  <c r="I1083" i="1"/>
  <c r="H1083" i="1"/>
  <c r="G1083" i="1"/>
  <c r="F1083" i="1"/>
  <c r="E1083" i="1"/>
  <c r="D1083" i="1"/>
  <c r="M1082" i="1"/>
  <c r="L1082" i="1"/>
  <c r="K1082" i="1"/>
  <c r="I1082" i="1"/>
  <c r="H1082" i="1"/>
  <c r="G1082" i="1"/>
  <c r="F1082" i="1"/>
  <c r="E1082" i="1"/>
  <c r="D1082" i="1"/>
  <c r="M1081" i="1"/>
  <c r="L1081" i="1"/>
  <c r="K1081" i="1"/>
  <c r="I1081" i="1"/>
  <c r="H1081" i="1"/>
  <c r="G1081" i="1"/>
  <c r="F1081" i="1"/>
  <c r="E1081" i="1"/>
  <c r="D1081" i="1"/>
  <c r="M1080" i="1"/>
  <c r="L1080" i="1"/>
  <c r="N1080" i="1" s="1"/>
  <c r="P1080" i="1" s="1"/>
  <c r="K1080" i="1"/>
  <c r="I1080" i="1"/>
  <c r="H1080" i="1"/>
  <c r="G1080" i="1"/>
  <c r="F1080" i="1"/>
  <c r="E1080" i="1"/>
  <c r="D1080" i="1"/>
  <c r="M1079" i="1"/>
  <c r="L1079" i="1"/>
  <c r="K1079" i="1"/>
  <c r="I1079" i="1"/>
  <c r="H1079" i="1"/>
  <c r="G1079" i="1"/>
  <c r="F1079" i="1"/>
  <c r="E1079" i="1"/>
  <c r="D1079" i="1"/>
  <c r="M1078" i="1"/>
  <c r="L1078" i="1"/>
  <c r="K1078" i="1"/>
  <c r="I1078" i="1"/>
  <c r="H1078" i="1"/>
  <c r="G1078" i="1"/>
  <c r="F1078" i="1"/>
  <c r="E1078" i="1"/>
  <c r="D1078" i="1"/>
  <c r="M1077" i="1"/>
  <c r="L1077" i="1"/>
  <c r="K1077" i="1"/>
  <c r="I1077" i="1"/>
  <c r="H1077" i="1"/>
  <c r="G1077" i="1"/>
  <c r="F1077" i="1"/>
  <c r="E1077" i="1"/>
  <c r="D1077" i="1"/>
  <c r="M1076" i="1"/>
  <c r="L1076" i="1"/>
  <c r="K1076" i="1"/>
  <c r="I1076" i="1"/>
  <c r="H1076" i="1"/>
  <c r="G1076" i="1"/>
  <c r="F1076" i="1"/>
  <c r="E1076" i="1"/>
  <c r="D1076" i="1"/>
  <c r="M1075" i="1"/>
  <c r="L1075" i="1"/>
  <c r="K1075" i="1"/>
  <c r="I1075" i="1"/>
  <c r="H1075" i="1"/>
  <c r="G1075" i="1"/>
  <c r="F1075" i="1"/>
  <c r="E1075" i="1"/>
  <c r="D1075" i="1"/>
  <c r="M1074" i="1"/>
  <c r="L1074" i="1"/>
  <c r="K1074" i="1"/>
  <c r="I1074" i="1"/>
  <c r="H1074" i="1"/>
  <c r="G1074" i="1"/>
  <c r="F1074" i="1"/>
  <c r="E1074" i="1"/>
  <c r="D1074" i="1"/>
  <c r="M1073" i="1"/>
  <c r="L1073" i="1"/>
  <c r="K1073" i="1"/>
  <c r="I1073" i="1"/>
  <c r="H1073" i="1"/>
  <c r="G1073" i="1"/>
  <c r="F1073" i="1"/>
  <c r="E1073" i="1"/>
  <c r="D1073" i="1"/>
  <c r="M1072" i="1"/>
  <c r="L1072" i="1"/>
  <c r="N1072" i="1" s="1"/>
  <c r="P1072" i="1" s="1"/>
  <c r="K1072" i="1"/>
  <c r="I1072" i="1"/>
  <c r="H1072" i="1"/>
  <c r="G1072" i="1"/>
  <c r="F1072" i="1"/>
  <c r="E1072" i="1"/>
  <c r="D1072" i="1"/>
  <c r="M1071" i="1"/>
  <c r="L1071" i="1"/>
  <c r="K1071" i="1"/>
  <c r="I1071" i="1"/>
  <c r="H1071" i="1"/>
  <c r="G1071" i="1"/>
  <c r="F1071" i="1"/>
  <c r="E1071" i="1"/>
  <c r="D1071" i="1"/>
  <c r="M1070" i="1"/>
  <c r="L1070" i="1"/>
  <c r="K1070" i="1"/>
  <c r="I1070" i="1"/>
  <c r="H1070" i="1"/>
  <c r="G1070" i="1"/>
  <c r="F1070" i="1"/>
  <c r="E1070" i="1"/>
  <c r="D1070" i="1"/>
  <c r="M1069" i="1"/>
  <c r="L1069" i="1"/>
  <c r="K1069" i="1"/>
  <c r="I1069" i="1"/>
  <c r="H1069" i="1"/>
  <c r="G1069" i="1"/>
  <c r="F1069" i="1"/>
  <c r="E1069" i="1"/>
  <c r="D1069" i="1"/>
  <c r="M1068" i="1"/>
  <c r="L1068" i="1"/>
  <c r="N1068" i="1" s="1"/>
  <c r="P1068" i="1" s="1"/>
  <c r="K1068" i="1"/>
  <c r="I1068" i="1"/>
  <c r="H1068" i="1"/>
  <c r="G1068" i="1"/>
  <c r="F1068" i="1"/>
  <c r="E1068" i="1"/>
  <c r="D1068" i="1"/>
  <c r="M1067" i="1"/>
  <c r="L1067" i="1"/>
  <c r="K1067" i="1"/>
  <c r="I1067" i="1"/>
  <c r="H1067" i="1"/>
  <c r="G1067" i="1"/>
  <c r="F1067" i="1"/>
  <c r="E1067" i="1"/>
  <c r="D1067" i="1"/>
  <c r="M1066" i="1"/>
  <c r="L1066" i="1"/>
  <c r="K1066" i="1"/>
  <c r="I1066" i="1"/>
  <c r="H1066" i="1"/>
  <c r="G1066" i="1"/>
  <c r="F1066" i="1"/>
  <c r="E1066" i="1"/>
  <c r="D1066" i="1"/>
  <c r="M1065" i="1"/>
  <c r="L1065" i="1"/>
  <c r="K1065" i="1"/>
  <c r="I1065" i="1"/>
  <c r="H1065" i="1"/>
  <c r="G1065" i="1"/>
  <c r="F1065" i="1"/>
  <c r="E1065" i="1"/>
  <c r="D1065" i="1"/>
  <c r="M1064" i="1"/>
  <c r="L1064" i="1"/>
  <c r="K1064" i="1"/>
  <c r="I1064" i="1"/>
  <c r="H1064" i="1"/>
  <c r="G1064" i="1"/>
  <c r="F1064" i="1"/>
  <c r="E1064" i="1"/>
  <c r="D1064" i="1"/>
  <c r="M1063" i="1"/>
  <c r="L1063" i="1"/>
  <c r="K1063" i="1"/>
  <c r="I1063" i="1"/>
  <c r="H1063" i="1"/>
  <c r="G1063" i="1"/>
  <c r="F1063" i="1"/>
  <c r="E1063" i="1"/>
  <c r="D1063" i="1"/>
  <c r="M1062" i="1"/>
  <c r="L1062" i="1"/>
  <c r="K1062" i="1"/>
  <c r="I1062" i="1"/>
  <c r="H1062" i="1"/>
  <c r="G1062" i="1"/>
  <c r="F1062" i="1"/>
  <c r="E1062" i="1"/>
  <c r="D1062" i="1"/>
  <c r="M1061" i="1"/>
  <c r="L1061" i="1"/>
  <c r="K1061" i="1"/>
  <c r="I1061" i="1"/>
  <c r="H1061" i="1"/>
  <c r="G1061" i="1"/>
  <c r="F1061" i="1"/>
  <c r="E1061" i="1"/>
  <c r="D1061" i="1"/>
  <c r="M1060" i="1"/>
  <c r="L1060" i="1"/>
  <c r="K1060" i="1"/>
  <c r="I1060" i="1"/>
  <c r="H1060" i="1"/>
  <c r="G1060" i="1"/>
  <c r="F1060" i="1"/>
  <c r="E1060" i="1"/>
  <c r="D1060" i="1"/>
  <c r="M1059" i="1"/>
  <c r="L1059" i="1"/>
  <c r="K1059" i="1"/>
  <c r="I1059" i="1"/>
  <c r="H1059" i="1"/>
  <c r="G1059" i="1"/>
  <c r="F1059" i="1"/>
  <c r="E1059" i="1"/>
  <c r="D1059" i="1"/>
  <c r="M1058" i="1"/>
  <c r="L1058" i="1"/>
  <c r="N1058" i="1" s="1"/>
  <c r="K1058" i="1"/>
  <c r="I1058" i="1"/>
  <c r="H1058" i="1"/>
  <c r="G1058" i="1"/>
  <c r="F1058" i="1"/>
  <c r="E1058" i="1"/>
  <c r="D1058" i="1"/>
  <c r="M1057" i="1"/>
  <c r="L1057" i="1"/>
  <c r="K1057" i="1"/>
  <c r="I1057" i="1"/>
  <c r="H1057" i="1"/>
  <c r="G1057" i="1"/>
  <c r="F1057" i="1"/>
  <c r="E1057" i="1"/>
  <c r="D1057" i="1"/>
  <c r="M1056" i="1"/>
  <c r="L1056" i="1"/>
  <c r="N1056" i="1" s="1"/>
  <c r="P1056" i="1" s="1"/>
  <c r="I1056" i="1"/>
  <c r="H1056" i="1"/>
  <c r="G1056" i="1"/>
  <c r="F1056" i="1"/>
  <c r="E1056" i="1"/>
  <c r="D1056" i="1"/>
  <c r="M1055" i="1"/>
  <c r="L1055" i="1"/>
  <c r="K1055" i="1"/>
  <c r="I1055" i="1"/>
  <c r="H1055" i="1"/>
  <c r="G1055" i="1"/>
  <c r="F1055" i="1"/>
  <c r="E1055" i="1"/>
  <c r="D1055" i="1"/>
  <c r="M1054" i="1"/>
  <c r="L1054" i="1"/>
  <c r="K1054" i="1"/>
  <c r="I1054" i="1"/>
  <c r="H1054" i="1"/>
  <c r="G1054" i="1"/>
  <c r="F1054" i="1"/>
  <c r="E1054" i="1"/>
  <c r="D1054" i="1"/>
  <c r="M1053" i="1"/>
  <c r="L1053" i="1"/>
  <c r="K1053" i="1"/>
  <c r="I1053" i="1"/>
  <c r="H1053" i="1"/>
  <c r="G1053" i="1"/>
  <c r="F1053" i="1"/>
  <c r="E1053" i="1"/>
  <c r="D1053" i="1"/>
  <c r="M1052" i="1"/>
  <c r="L1052" i="1"/>
  <c r="K1052" i="1"/>
  <c r="I1052" i="1"/>
  <c r="H1052" i="1"/>
  <c r="G1052" i="1"/>
  <c r="F1052" i="1"/>
  <c r="E1052" i="1"/>
  <c r="D1052" i="1"/>
  <c r="M1051" i="1"/>
  <c r="L1051" i="1"/>
  <c r="K1051" i="1"/>
  <c r="I1051" i="1"/>
  <c r="H1051" i="1"/>
  <c r="G1051" i="1"/>
  <c r="F1051" i="1"/>
  <c r="E1051" i="1"/>
  <c r="D1051" i="1"/>
  <c r="M1050" i="1"/>
  <c r="L1050" i="1"/>
  <c r="K1050" i="1"/>
  <c r="I1050" i="1"/>
  <c r="H1050" i="1"/>
  <c r="G1050" i="1"/>
  <c r="F1050" i="1"/>
  <c r="E1050" i="1"/>
  <c r="D1050" i="1"/>
  <c r="M1049" i="1"/>
  <c r="L1049" i="1"/>
  <c r="K1049" i="1"/>
  <c r="I1049" i="1"/>
  <c r="H1049" i="1"/>
  <c r="G1049" i="1"/>
  <c r="F1049" i="1"/>
  <c r="E1049" i="1"/>
  <c r="D1049" i="1"/>
  <c r="M1048" i="1"/>
  <c r="L1048" i="1"/>
  <c r="K1048" i="1"/>
  <c r="I1048" i="1"/>
  <c r="H1048" i="1"/>
  <c r="G1048" i="1"/>
  <c r="F1048" i="1"/>
  <c r="E1048" i="1"/>
  <c r="D1048" i="1"/>
  <c r="M1047" i="1"/>
  <c r="L1047" i="1"/>
  <c r="K1047" i="1"/>
  <c r="I1047" i="1"/>
  <c r="H1047" i="1"/>
  <c r="G1047" i="1"/>
  <c r="F1047" i="1"/>
  <c r="E1047" i="1"/>
  <c r="D1047" i="1"/>
  <c r="M1046" i="1"/>
  <c r="L1046" i="1"/>
  <c r="K1046" i="1"/>
  <c r="I1046" i="1"/>
  <c r="H1046" i="1"/>
  <c r="G1046" i="1"/>
  <c r="F1046" i="1"/>
  <c r="E1046" i="1"/>
  <c r="D1046" i="1"/>
  <c r="M1045" i="1"/>
  <c r="L1045" i="1"/>
  <c r="K1045" i="1"/>
  <c r="I1045" i="1"/>
  <c r="H1045" i="1"/>
  <c r="G1045" i="1"/>
  <c r="F1045" i="1"/>
  <c r="E1045" i="1"/>
  <c r="D1045" i="1"/>
  <c r="M1044" i="1"/>
  <c r="L1044" i="1"/>
  <c r="K1044" i="1"/>
  <c r="I1044" i="1"/>
  <c r="H1044" i="1"/>
  <c r="G1044" i="1"/>
  <c r="F1044" i="1"/>
  <c r="E1044" i="1"/>
  <c r="D1044" i="1"/>
  <c r="M1043" i="1"/>
  <c r="L1043" i="1"/>
  <c r="K1043" i="1"/>
  <c r="I1043" i="1"/>
  <c r="H1043" i="1"/>
  <c r="G1043" i="1"/>
  <c r="F1043" i="1"/>
  <c r="E1043" i="1"/>
  <c r="D1043" i="1"/>
  <c r="M1042" i="1"/>
  <c r="L1042" i="1"/>
  <c r="K1042" i="1"/>
  <c r="I1042" i="1"/>
  <c r="H1042" i="1"/>
  <c r="G1042" i="1"/>
  <c r="F1042" i="1"/>
  <c r="E1042" i="1"/>
  <c r="D1042" i="1"/>
  <c r="M1041" i="1"/>
  <c r="L1041" i="1"/>
  <c r="K1041" i="1"/>
  <c r="I1041" i="1"/>
  <c r="H1041" i="1"/>
  <c r="G1041" i="1"/>
  <c r="F1041" i="1"/>
  <c r="E1041" i="1"/>
  <c r="D1041" i="1"/>
  <c r="M1040" i="1"/>
  <c r="L1040" i="1"/>
  <c r="N1040" i="1" s="1"/>
  <c r="K1040" i="1"/>
  <c r="I1040" i="1"/>
  <c r="H1040" i="1"/>
  <c r="G1040" i="1"/>
  <c r="F1040" i="1"/>
  <c r="E1040" i="1"/>
  <c r="D1040" i="1"/>
  <c r="M1039" i="1"/>
  <c r="L1039" i="1"/>
  <c r="K1039" i="1"/>
  <c r="I1039" i="1"/>
  <c r="H1039" i="1"/>
  <c r="G1039" i="1"/>
  <c r="F1039" i="1"/>
  <c r="E1039" i="1"/>
  <c r="D1039" i="1"/>
  <c r="M1038" i="1"/>
  <c r="L1038" i="1"/>
  <c r="K1038" i="1"/>
  <c r="I1038" i="1"/>
  <c r="H1038" i="1"/>
  <c r="G1038" i="1"/>
  <c r="F1038" i="1"/>
  <c r="E1038" i="1"/>
  <c r="D1038" i="1"/>
  <c r="M1037" i="1"/>
  <c r="L1037" i="1"/>
  <c r="K1037" i="1"/>
  <c r="I1037" i="1"/>
  <c r="H1037" i="1"/>
  <c r="G1037" i="1"/>
  <c r="F1037" i="1"/>
  <c r="E1037" i="1"/>
  <c r="D1037" i="1"/>
  <c r="M1036" i="1"/>
  <c r="L1036" i="1"/>
  <c r="K1036" i="1"/>
  <c r="I1036" i="1"/>
  <c r="H1036" i="1"/>
  <c r="G1036" i="1"/>
  <c r="F1036" i="1"/>
  <c r="E1036" i="1"/>
  <c r="D1036" i="1"/>
  <c r="M1035" i="1"/>
  <c r="L1035" i="1"/>
  <c r="N1035" i="1" s="1"/>
  <c r="K1035" i="1"/>
  <c r="I1035" i="1"/>
  <c r="H1035" i="1"/>
  <c r="G1035" i="1"/>
  <c r="F1035" i="1"/>
  <c r="E1035" i="1"/>
  <c r="D1035" i="1"/>
  <c r="M1034" i="1"/>
  <c r="L1034" i="1"/>
  <c r="K1034" i="1"/>
  <c r="I1034" i="1"/>
  <c r="H1034" i="1"/>
  <c r="G1034" i="1"/>
  <c r="F1034" i="1"/>
  <c r="E1034" i="1"/>
  <c r="D1034" i="1"/>
  <c r="M1033" i="1"/>
  <c r="L1033" i="1"/>
  <c r="K1033" i="1"/>
  <c r="I1033" i="1"/>
  <c r="H1033" i="1"/>
  <c r="G1033" i="1"/>
  <c r="F1033" i="1"/>
  <c r="E1033" i="1"/>
  <c r="D1033" i="1"/>
  <c r="M1032" i="1"/>
  <c r="L1032" i="1"/>
  <c r="K1032" i="1"/>
  <c r="I1032" i="1"/>
  <c r="H1032" i="1"/>
  <c r="G1032" i="1"/>
  <c r="F1032" i="1"/>
  <c r="E1032" i="1"/>
  <c r="D1032" i="1"/>
  <c r="M1031" i="1"/>
  <c r="L1031" i="1"/>
  <c r="K1031" i="1"/>
  <c r="I1031" i="1"/>
  <c r="H1031" i="1"/>
  <c r="G1031" i="1"/>
  <c r="F1031" i="1"/>
  <c r="E1031" i="1"/>
  <c r="D1031" i="1"/>
  <c r="M1030" i="1"/>
  <c r="L1030" i="1"/>
  <c r="K1030" i="1"/>
  <c r="I1030" i="1"/>
  <c r="H1030" i="1"/>
  <c r="G1030" i="1"/>
  <c r="F1030" i="1"/>
  <c r="E1030" i="1"/>
  <c r="D1030" i="1"/>
  <c r="M1029" i="1"/>
  <c r="L1029" i="1"/>
  <c r="K1029" i="1"/>
  <c r="I1029" i="1"/>
  <c r="H1029" i="1"/>
  <c r="G1029" i="1"/>
  <c r="F1029" i="1"/>
  <c r="E1029" i="1"/>
  <c r="D1029" i="1"/>
  <c r="M1028" i="1"/>
  <c r="L1028" i="1"/>
  <c r="K1028" i="1"/>
  <c r="I1028" i="1"/>
  <c r="H1028" i="1"/>
  <c r="G1028" i="1"/>
  <c r="F1028" i="1"/>
  <c r="E1028" i="1"/>
  <c r="D1028" i="1"/>
  <c r="M1027" i="1"/>
  <c r="L1027" i="1"/>
  <c r="K1027" i="1"/>
  <c r="I1027" i="1"/>
  <c r="H1027" i="1"/>
  <c r="G1027" i="1"/>
  <c r="F1027" i="1"/>
  <c r="E1027" i="1"/>
  <c r="D1027" i="1"/>
  <c r="M1026" i="1"/>
  <c r="L1026" i="1"/>
  <c r="K1026" i="1"/>
  <c r="I1026" i="1"/>
  <c r="H1026" i="1"/>
  <c r="G1026" i="1"/>
  <c r="F1026" i="1"/>
  <c r="E1026" i="1"/>
  <c r="D1026" i="1"/>
  <c r="M1025" i="1"/>
  <c r="L1025" i="1"/>
  <c r="K1025" i="1"/>
  <c r="I1025" i="1"/>
  <c r="H1025" i="1"/>
  <c r="G1025" i="1"/>
  <c r="F1025" i="1"/>
  <c r="E1025" i="1"/>
  <c r="D1025" i="1"/>
  <c r="M1024" i="1"/>
  <c r="L1024" i="1"/>
  <c r="K1024" i="1"/>
  <c r="I1024" i="1"/>
  <c r="H1024" i="1"/>
  <c r="G1024" i="1"/>
  <c r="F1024" i="1"/>
  <c r="E1024" i="1"/>
  <c r="D1024" i="1"/>
  <c r="M1023" i="1"/>
  <c r="L1023" i="1"/>
  <c r="K1023" i="1"/>
  <c r="I1023" i="1"/>
  <c r="H1023" i="1"/>
  <c r="G1023" i="1"/>
  <c r="F1023" i="1"/>
  <c r="E1023" i="1"/>
  <c r="D1023" i="1"/>
  <c r="M1022" i="1"/>
  <c r="L1022" i="1"/>
  <c r="K1022" i="1"/>
  <c r="I1022" i="1"/>
  <c r="H1022" i="1"/>
  <c r="G1022" i="1"/>
  <c r="F1022" i="1"/>
  <c r="E1022" i="1"/>
  <c r="D1022" i="1"/>
  <c r="M1021" i="1"/>
  <c r="L1021" i="1"/>
  <c r="N1021" i="1" s="1"/>
  <c r="P1021" i="1" s="1"/>
  <c r="K1021" i="1"/>
  <c r="I1021" i="1"/>
  <c r="H1021" i="1"/>
  <c r="G1021" i="1"/>
  <c r="F1021" i="1"/>
  <c r="E1021" i="1"/>
  <c r="D1021" i="1"/>
  <c r="M1020" i="1"/>
  <c r="L1020" i="1"/>
  <c r="K1020" i="1"/>
  <c r="I1020" i="1"/>
  <c r="H1020" i="1"/>
  <c r="G1020" i="1"/>
  <c r="F1020" i="1"/>
  <c r="E1020" i="1"/>
  <c r="D1020" i="1"/>
  <c r="M1019" i="1"/>
  <c r="L1019" i="1"/>
  <c r="K1019" i="1"/>
  <c r="I1019" i="1"/>
  <c r="H1019" i="1"/>
  <c r="G1019" i="1"/>
  <c r="F1019" i="1"/>
  <c r="E1019" i="1"/>
  <c r="D1019" i="1"/>
  <c r="M1018" i="1"/>
  <c r="L1018" i="1"/>
  <c r="K1018" i="1"/>
  <c r="I1018" i="1"/>
  <c r="H1018" i="1"/>
  <c r="G1018" i="1"/>
  <c r="F1018" i="1"/>
  <c r="E1018" i="1"/>
  <c r="D1018" i="1"/>
  <c r="M1017" i="1"/>
  <c r="L1017" i="1"/>
  <c r="K1017" i="1"/>
  <c r="I1017" i="1"/>
  <c r="H1017" i="1"/>
  <c r="G1017" i="1"/>
  <c r="F1017" i="1"/>
  <c r="E1017" i="1"/>
  <c r="D1017" i="1"/>
  <c r="M1016" i="1"/>
  <c r="L1016" i="1"/>
  <c r="K1016" i="1"/>
  <c r="I1016" i="1"/>
  <c r="H1016" i="1"/>
  <c r="G1016" i="1"/>
  <c r="F1016" i="1"/>
  <c r="E1016" i="1"/>
  <c r="D1016" i="1"/>
  <c r="M1015" i="1"/>
  <c r="L1015" i="1"/>
  <c r="K1015" i="1"/>
  <c r="I1015" i="1"/>
  <c r="H1015" i="1"/>
  <c r="G1015" i="1"/>
  <c r="F1015" i="1"/>
  <c r="E1015" i="1"/>
  <c r="D1015" i="1"/>
  <c r="M1014" i="1"/>
  <c r="L1014" i="1"/>
  <c r="K1014" i="1"/>
  <c r="I1014" i="1"/>
  <c r="H1014" i="1"/>
  <c r="G1014" i="1"/>
  <c r="F1014" i="1"/>
  <c r="E1014" i="1"/>
  <c r="D1014" i="1"/>
  <c r="M1013" i="1"/>
  <c r="L1013" i="1"/>
  <c r="K1013" i="1"/>
  <c r="I1013" i="1"/>
  <c r="H1013" i="1"/>
  <c r="G1013" i="1"/>
  <c r="F1013" i="1"/>
  <c r="E1013" i="1"/>
  <c r="D1013" i="1"/>
  <c r="M1012" i="1"/>
  <c r="L1012" i="1"/>
  <c r="K1012" i="1"/>
  <c r="I1012" i="1"/>
  <c r="H1012" i="1"/>
  <c r="G1012" i="1"/>
  <c r="F1012" i="1"/>
  <c r="E1012" i="1"/>
  <c r="D1012" i="1"/>
  <c r="M1011" i="1"/>
  <c r="L1011" i="1"/>
  <c r="K1011" i="1"/>
  <c r="I1011" i="1"/>
  <c r="H1011" i="1"/>
  <c r="G1011" i="1"/>
  <c r="F1011" i="1"/>
  <c r="E1011" i="1"/>
  <c r="D1011" i="1"/>
  <c r="M1010" i="1"/>
  <c r="L1010" i="1"/>
  <c r="K1010" i="1"/>
  <c r="I1010" i="1"/>
  <c r="H1010" i="1"/>
  <c r="G1010" i="1"/>
  <c r="F1010" i="1"/>
  <c r="E1010" i="1"/>
  <c r="D1010" i="1"/>
  <c r="M1009" i="1"/>
  <c r="L1009" i="1"/>
  <c r="K1009" i="1"/>
  <c r="I1009" i="1"/>
  <c r="H1009" i="1"/>
  <c r="G1009" i="1"/>
  <c r="F1009" i="1"/>
  <c r="E1009" i="1"/>
  <c r="D1009" i="1"/>
  <c r="M1008" i="1"/>
  <c r="L1008" i="1"/>
  <c r="K1008" i="1"/>
  <c r="I1008" i="1"/>
  <c r="H1008" i="1"/>
  <c r="G1008" i="1"/>
  <c r="F1008" i="1"/>
  <c r="E1008" i="1"/>
  <c r="D1008" i="1"/>
  <c r="M1007" i="1"/>
  <c r="L1007" i="1"/>
  <c r="K1007" i="1"/>
  <c r="I1007" i="1"/>
  <c r="H1007" i="1"/>
  <c r="G1007" i="1"/>
  <c r="F1007" i="1"/>
  <c r="E1007" i="1"/>
  <c r="D1007" i="1"/>
  <c r="M1006" i="1"/>
  <c r="L1006" i="1"/>
  <c r="K1006" i="1"/>
  <c r="I1006" i="1"/>
  <c r="H1006" i="1"/>
  <c r="G1006" i="1"/>
  <c r="F1006" i="1"/>
  <c r="E1006" i="1"/>
  <c r="D1006" i="1"/>
  <c r="M1005" i="1"/>
  <c r="L1005" i="1"/>
  <c r="K1005" i="1"/>
  <c r="I1005" i="1"/>
  <c r="H1005" i="1"/>
  <c r="G1005" i="1"/>
  <c r="F1005" i="1"/>
  <c r="E1005" i="1"/>
  <c r="D1005" i="1"/>
  <c r="M1004" i="1"/>
  <c r="L1004" i="1"/>
  <c r="K1004" i="1"/>
  <c r="I1004" i="1"/>
  <c r="H1004" i="1"/>
  <c r="G1004" i="1"/>
  <c r="F1004" i="1"/>
  <c r="E1004" i="1"/>
  <c r="D1004" i="1"/>
  <c r="M1003" i="1"/>
  <c r="L1003" i="1"/>
  <c r="K1003" i="1"/>
  <c r="I1003" i="1"/>
  <c r="H1003" i="1"/>
  <c r="G1003" i="1"/>
  <c r="F1003" i="1"/>
  <c r="E1003" i="1"/>
  <c r="D1003" i="1"/>
  <c r="M1002" i="1"/>
  <c r="L1002" i="1"/>
  <c r="K1002" i="1"/>
  <c r="I1002" i="1"/>
  <c r="H1002" i="1"/>
  <c r="G1002" i="1"/>
  <c r="F1002" i="1"/>
  <c r="E1002" i="1"/>
  <c r="D1002" i="1"/>
  <c r="M1001" i="1"/>
  <c r="L1001" i="1"/>
  <c r="K1001" i="1"/>
  <c r="I1001" i="1"/>
  <c r="H1001" i="1"/>
  <c r="G1001" i="1"/>
  <c r="F1001" i="1"/>
  <c r="E1001" i="1"/>
  <c r="D1001" i="1"/>
  <c r="M1000" i="1"/>
  <c r="L1000" i="1"/>
  <c r="K1000" i="1"/>
  <c r="I1000" i="1"/>
  <c r="H1000" i="1"/>
  <c r="G1000" i="1"/>
  <c r="F1000" i="1"/>
  <c r="E1000" i="1"/>
  <c r="D1000" i="1"/>
  <c r="M999" i="1"/>
  <c r="L999" i="1"/>
  <c r="K999" i="1"/>
  <c r="I999" i="1"/>
  <c r="H999" i="1"/>
  <c r="G999" i="1"/>
  <c r="F999" i="1"/>
  <c r="E999" i="1"/>
  <c r="D999" i="1"/>
  <c r="M998" i="1"/>
  <c r="L998" i="1"/>
  <c r="K998" i="1"/>
  <c r="I998" i="1"/>
  <c r="H998" i="1"/>
  <c r="G998" i="1"/>
  <c r="F998" i="1"/>
  <c r="E998" i="1"/>
  <c r="D998" i="1"/>
  <c r="M997" i="1"/>
  <c r="L997" i="1"/>
  <c r="K997" i="1"/>
  <c r="I997" i="1"/>
  <c r="H997" i="1"/>
  <c r="G997" i="1"/>
  <c r="F997" i="1"/>
  <c r="E997" i="1"/>
  <c r="D997" i="1"/>
  <c r="M996" i="1"/>
  <c r="L996" i="1"/>
  <c r="K996" i="1"/>
  <c r="I996" i="1"/>
  <c r="H996" i="1"/>
  <c r="G996" i="1"/>
  <c r="F996" i="1"/>
  <c r="E996" i="1"/>
  <c r="D996" i="1"/>
  <c r="M995" i="1"/>
  <c r="L995" i="1"/>
  <c r="K995" i="1"/>
  <c r="I995" i="1"/>
  <c r="H995" i="1"/>
  <c r="G995" i="1"/>
  <c r="F995" i="1"/>
  <c r="E995" i="1"/>
  <c r="D995" i="1"/>
  <c r="M994" i="1"/>
  <c r="L994" i="1"/>
  <c r="K994" i="1"/>
  <c r="I994" i="1"/>
  <c r="H994" i="1"/>
  <c r="G994" i="1"/>
  <c r="F994" i="1"/>
  <c r="E994" i="1"/>
  <c r="D994" i="1"/>
  <c r="M993" i="1"/>
  <c r="L993" i="1"/>
  <c r="K993" i="1"/>
  <c r="I993" i="1"/>
  <c r="H993" i="1"/>
  <c r="G993" i="1"/>
  <c r="F993" i="1"/>
  <c r="E993" i="1"/>
  <c r="D993" i="1"/>
  <c r="M992" i="1"/>
  <c r="L992" i="1"/>
  <c r="K992" i="1"/>
  <c r="I992" i="1"/>
  <c r="H992" i="1"/>
  <c r="G992" i="1"/>
  <c r="F992" i="1"/>
  <c r="E992" i="1"/>
  <c r="D992" i="1"/>
  <c r="M991" i="1"/>
  <c r="L991" i="1"/>
  <c r="K991" i="1"/>
  <c r="I991" i="1"/>
  <c r="H991" i="1"/>
  <c r="G991" i="1"/>
  <c r="F991" i="1"/>
  <c r="E991" i="1"/>
  <c r="D991" i="1"/>
  <c r="M990" i="1"/>
  <c r="L990" i="1"/>
  <c r="K990" i="1"/>
  <c r="I990" i="1"/>
  <c r="H990" i="1"/>
  <c r="G990" i="1"/>
  <c r="F990" i="1"/>
  <c r="E990" i="1"/>
  <c r="D990" i="1"/>
  <c r="M989" i="1"/>
  <c r="L989" i="1"/>
  <c r="K989" i="1"/>
  <c r="I989" i="1"/>
  <c r="H989" i="1"/>
  <c r="G989" i="1"/>
  <c r="F989" i="1"/>
  <c r="E989" i="1"/>
  <c r="D989" i="1"/>
  <c r="M988" i="1"/>
  <c r="L988" i="1"/>
  <c r="K988" i="1"/>
  <c r="I988" i="1"/>
  <c r="H988" i="1"/>
  <c r="G988" i="1"/>
  <c r="F988" i="1"/>
  <c r="E988" i="1"/>
  <c r="D988" i="1"/>
  <c r="M987" i="1"/>
  <c r="L987" i="1"/>
  <c r="K987" i="1"/>
  <c r="I987" i="1"/>
  <c r="H987" i="1"/>
  <c r="G987" i="1"/>
  <c r="F987" i="1"/>
  <c r="E987" i="1"/>
  <c r="D987" i="1"/>
  <c r="M986" i="1"/>
  <c r="L986" i="1"/>
  <c r="K986" i="1"/>
  <c r="I986" i="1"/>
  <c r="H986" i="1"/>
  <c r="G986" i="1"/>
  <c r="F986" i="1"/>
  <c r="E986" i="1"/>
  <c r="D986" i="1"/>
  <c r="M985" i="1"/>
  <c r="L985" i="1"/>
  <c r="K985" i="1"/>
  <c r="I985" i="1"/>
  <c r="H985" i="1"/>
  <c r="G985" i="1"/>
  <c r="F985" i="1"/>
  <c r="E985" i="1"/>
  <c r="D985" i="1"/>
  <c r="M984" i="1"/>
  <c r="L984" i="1"/>
  <c r="K984" i="1"/>
  <c r="I984" i="1"/>
  <c r="H984" i="1"/>
  <c r="G984" i="1"/>
  <c r="F984" i="1"/>
  <c r="E984" i="1"/>
  <c r="D984" i="1"/>
  <c r="M983" i="1"/>
  <c r="L983" i="1"/>
  <c r="K983" i="1"/>
  <c r="I983" i="1"/>
  <c r="H983" i="1"/>
  <c r="G983" i="1"/>
  <c r="F983" i="1"/>
  <c r="E983" i="1"/>
  <c r="D983" i="1"/>
  <c r="M982" i="1"/>
  <c r="L982" i="1"/>
  <c r="N982" i="1" s="1"/>
  <c r="K982" i="1"/>
  <c r="I982" i="1"/>
  <c r="H982" i="1"/>
  <c r="G982" i="1"/>
  <c r="F982" i="1"/>
  <c r="E982" i="1"/>
  <c r="D982" i="1"/>
  <c r="M981" i="1"/>
  <c r="L981" i="1"/>
  <c r="K981" i="1"/>
  <c r="I981" i="1"/>
  <c r="H981" i="1"/>
  <c r="G981" i="1"/>
  <c r="F981" i="1"/>
  <c r="E981" i="1"/>
  <c r="D981" i="1"/>
  <c r="M980" i="1"/>
  <c r="L980" i="1"/>
  <c r="K980" i="1"/>
  <c r="I980" i="1"/>
  <c r="H980" i="1"/>
  <c r="G980" i="1"/>
  <c r="F980" i="1"/>
  <c r="E980" i="1"/>
  <c r="D980" i="1"/>
  <c r="M979" i="1"/>
  <c r="L979" i="1"/>
  <c r="K979" i="1"/>
  <c r="I979" i="1"/>
  <c r="H979" i="1"/>
  <c r="G979" i="1"/>
  <c r="F979" i="1"/>
  <c r="E979" i="1"/>
  <c r="D979" i="1"/>
  <c r="M978" i="1"/>
  <c r="L978" i="1"/>
  <c r="K978" i="1"/>
  <c r="I978" i="1"/>
  <c r="H978" i="1"/>
  <c r="G978" i="1"/>
  <c r="F978" i="1"/>
  <c r="E978" i="1"/>
  <c r="D978" i="1"/>
  <c r="M977" i="1"/>
  <c r="L977" i="1"/>
  <c r="K977" i="1"/>
  <c r="I977" i="1"/>
  <c r="H977" i="1"/>
  <c r="G977" i="1"/>
  <c r="F977" i="1"/>
  <c r="E977" i="1"/>
  <c r="D977" i="1"/>
  <c r="M976" i="1"/>
  <c r="L976" i="1"/>
  <c r="K976" i="1"/>
  <c r="I976" i="1"/>
  <c r="H976" i="1"/>
  <c r="G976" i="1"/>
  <c r="F976" i="1"/>
  <c r="E976" i="1"/>
  <c r="D976" i="1"/>
  <c r="M975" i="1"/>
  <c r="L975" i="1"/>
  <c r="K975" i="1"/>
  <c r="I975" i="1"/>
  <c r="H975" i="1"/>
  <c r="G975" i="1"/>
  <c r="F975" i="1"/>
  <c r="E975" i="1"/>
  <c r="D975" i="1"/>
  <c r="M974" i="1"/>
  <c r="L974" i="1"/>
  <c r="K974" i="1"/>
  <c r="I974" i="1"/>
  <c r="H974" i="1"/>
  <c r="G974" i="1"/>
  <c r="F974" i="1"/>
  <c r="E974" i="1"/>
  <c r="D974" i="1"/>
  <c r="M973" i="1"/>
  <c r="L973" i="1"/>
  <c r="K973" i="1"/>
  <c r="I973" i="1"/>
  <c r="H973" i="1"/>
  <c r="G973" i="1"/>
  <c r="F973" i="1"/>
  <c r="E973" i="1"/>
  <c r="D973" i="1"/>
  <c r="M972" i="1"/>
  <c r="L972" i="1"/>
  <c r="K972" i="1"/>
  <c r="I972" i="1"/>
  <c r="H972" i="1"/>
  <c r="G972" i="1"/>
  <c r="F972" i="1"/>
  <c r="E972" i="1"/>
  <c r="D972" i="1"/>
  <c r="M971" i="1"/>
  <c r="L971" i="1"/>
  <c r="K971" i="1"/>
  <c r="I971" i="1"/>
  <c r="H971" i="1"/>
  <c r="G971" i="1"/>
  <c r="F971" i="1"/>
  <c r="E971" i="1"/>
  <c r="D971" i="1"/>
  <c r="M970" i="1"/>
  <c r="L970" i="1"/>
  <c r="K970" i="1"/>
  <c r="I970" i="1"/>
  <c r="H970" i="1"/>
  <c r="G970" i="1"/>
  <c r="F970" i="1"/>
  <c r="E970" i="1"/>
  <c r="D970" i="1"/>
  <c r="M969" i="1"/>
  <c r="L969" i="1"/>
  <c r="K969" i="1"/>
  <c r="I969" i="1"/>
  <c r="H969" i="1"/>
  <c r="G969" i="1"/>
  <c r="F969" i="1"/>
  <c r="E969" i="1"/>
  <c r="D969" i="1"/>
  <c r="M968" i="1"/>
  <c r="L968" i="1"/>
  <c r="K968" i="1"/>
  <c r="I968" i="1"/>
  <c r="H968" i="1"/>
  <c r="G968" i="1"/>
  <c r="F968" i="1"/>
  <c r="E968" i="1"/>
  <c r="D968" i="1"/>
  <c r="M967" i="1"/>
  <c r="L967" i="1"/>
  <c r="K967" i="1"/>
  <c r="I967" i="1"/>
  <c r="H967" i="1"/>
  <c r="G967" i="1"/>
  <c r="F967" i="1"/>
  <c r="E967" i="1"/>
  <c r="D967" i="1"/>
  <c r="M966" i="1"/>
  <c r="L966" i="1"/>
  <c r="K966" i="1"/>
  <c r="I966" i="1"/>
  <c r="H966" i="1"/>
  <c r="G966" i="1"/>
  <c r="F966" i="1"/>
  <c r="E966" i="1"/>
  <c r="D966" i="1"/>
  <c r="M965" i="1"/>
  <c r="L965" i="1"/>
  <c r="K965" i="1"/>
  <c r="I965" i="1"/>
  <c r="H965" i="1"/>
  <c r="G965" i="1"/>
  <c r="F965" i="1"/>
  <c r="E965" i="1"/>
  <c r="D965" i="1"/>
  <c r="M964" i="1"/>
  <c r="L964" i="1"/>
  <c r="K964" i="1"/>
  <c r="I964" i="1"/>
  <c r="H964" i="1"/>
  <c r="G964" i="1"/>
  <c r="F964" i="1"/>
  <c r="E964" i="1"/>
  <c r="D964" i="1"/>
  <c r="M963" i="1"/>
  <c r="L963" i="1"/>
  <c r="K963" i="1"/>
  <c r="I963" i="1"/>
  <c r="H963" i="1"/>
  <c r="G963" i="1"/>
  <c r="F963" i="1"/>
  <c r="E963" i="1"/>
  <c r="D963" i="1"/>
  <c r="M962" i="1"/>
  <c r="L962" i="1"/>
  <c r="K962" i="1"/>
  <c r="I962" i="1"/>
  <c r="H962" i="1"/>
  <c r="G962" i="1"/>
  <c r="F962" i="1"/>
  <c r="E962" i="1"/>
  <c r="D962" i="1"/>
  <c r="M961" i="1"/>
  <c r="L961" i="1"/>
  <c r="K961" i="1"/>
  <c r="I961" i="1"/>
  <c r="H961" i="1"/>
  <c r="G961" i="1"/>
  <c r="F961" i="1"/>
  <c r="E961" i="1"/>
  <c r="D961" i="1"/>
  <c r="M960" i="1"/>
  <c r="L960" i="1"/>
  <c r="K960" i="1"/>
  <c r="I960" i="1"/>
  <c r="H960" i="1"/>
  <c r="G960" i="1"/>
  <c r="F960" i="1"/>
  <c r="E960" i="1"/>
  <c r="D960" i="1"/>
  <c r="M959" i="1"/>
  <c r="L959" i="1"/>
  <c r="K959" i="1"/>
  <c r="I959" i="1"/>
  <c r="H959" i="1"/>
  <c r="G959" i="1"/>
  <c r="F959" i="1"/>
  <c r="E959" i="1"/>
  <c r="D959" i="1"/>
  <c r="M958" i="1"/>
  <c r="L958" i="1"/>
  <c r="K958" i="1"/>
  <c r="I958" i="1"/>
  <c r="H958" i="1"/>
  <c r="G958" i="1"/>
  <c r="F958" i="1"/>
  <c r="E958" i="1"/>
  <c r="D958" i="1"/>
  <c r="M957" i="1"/>
  <c r="L957" i="1"/>
  <c r="K957" i="1"/>
  <c r="I957" i="1"/>
  <c r="H957" i="1"/>
  <c r="G957" i="1"/>
  <c r="F957" i="1"/>
  <c r="E957" i="1"/>
  <c r="D957" i="1"/>
  <c r="M956" i="1"/>
  <c r="L956" i="1"/>
  <c r="K956" i="1"/>
  <c r="I956" i="1"/>
  <c r="H956" i="1"/>
  <c r="G956" i="1"/>
  <c r="F956" i="1"/>
  <c r="E956" i="1"/>
  <c r="D956" i="1"/>
  <c r="M955" i="1"/>
  <c r="L955" i="1"/>
  <c r="K955" i="1"/>
  <c r="I955" i="1"/>
  <c r="H955" i="1"/>
  <c r="G955" i="1"/>
  <c r="F955" i="1"/>
  <c r="E955" i="1"/>
  <c r="D955" i="1"/>
  <c r="M954" i="1"/>
  <c r="L954" i="1"/>
  <c r="K954" i="1"/>
  <c r="I954" i="1"/>
  <c r="H954" i="1"/>
  <c r="G954" i="1"/>
  <c r="F954" i="1"/>
  <c r="E954" i="1"/>
  <c r="D954" i="1"/>
  <c r="M953" i="1"/>
  <c r="L953" i="1"/>
  <c r="K953" i="1"/>
  <c r="I953" i="1"/>
  <c r="H953" i="1"/>
  <c r="G953" i="1"/>
  <c r="F953" i="1"/>
  <c r="E953" i="1"/>
  <c r="D953" i="1"/>
  <c r="M952" i="1"/>
  <c r="L952" i="1"/>
  <c r="K952" i="1"/>
  <c r="I952" i="1"/>
  <c r="H952" i="1"/>
  <c r="G952" i="1"/>
  <c r="F952" i="1"/>
  <c r="E952" i="1"/>
  <c r="D952" i="1"/>
  <c r="M951" i="1"/>
  <c r="L951" i="1"/>
  <c r="K951" i="1"/>
  <c r="I951" i="1"/>
  <c r="H951" i="1"/>
  <c r="G951" i="1"/>
  <c r="F951" i="1"/>
  <c r="E951" i="1"/>
  <c r="D951" i="1"/>
  <c r="M950" i="1"/>
  <c r="L950" i="1"/>
  <c r="K950" i="1"/>
  <c r="I950" i="1"/>
  <c r="H950" i="1"/>
  <c r="G950" i="1"/>
  <c r="F950" i="1"/>
  <c r="E950" i="1"/>
  <c r="D950" i="1"/>
  <c r="M949" i="1"/>
  <c r="L949" i="1"/>
  <c r="K949" i="1"/>
  <c r="I949" i="1"/>
  <c r="H949" i="1"/>
  <c r="G949" i="1"/>
  <c r="F949" i="1"/>
  <c r="E949" i="1"/>
  <c r="D949" i="1"/>
  <c r="M948" i="1"/>
  <c r="L948" i="1"/>
  <c r="K948" i="1"/>
  <c r="I948" i="1"/>
  <c r="H948" i="1"/>
  <c r="G948" i="1"/>
  <c r="F948" i="1"/>
  <c r="E948" i="1"/>
  <c r="D948" i="1"/>
  <c r="M947" i="1"/>
  <c r="L947" i="1"/>
  <c r="K947" i="1"/>
  <c r="I947" i="1"/>
  <c r="H947" i="1"/>
  <c r="G947" i="1"/>
  <c r="F947" i="1"/>
  <c r="E947" i="1"/>
  <c r="D947" i="1"/>
  <c r="M946" i="1"/>
  <c r="L946" i="1"/>
  <c r="K946" i="1"/>
  <c r="I946" i="1"/>
  <c r="H946" i="1"/>
  <c r="G946" i="1"/>
  <c r="F946" i="1"/>
  <c r="E946" i="1"/>
  <c r="D946" i="1"/>
  <c r="M945" i="1"/>
  <c r="L945" i="1"/>
  <c r="K945" i="1"/>
  <c r="I945" i="1"/>
  <c r="H945" i="1"/>
  <c r="G945" i="1"/>
  <c r="F945" i="1"/>
  <c r="E945" i="1"/>
  <c r="D945" i="1"/>
  <c r="M944" i="1"/>
  <c r="L944" i="1"/>
  <c r="K944" i="1"/>
  <c r="I944" i="1"/>
  <c r="H944" i="1"/>
  <c r="G944" i="1"/>
  <c r="F944" i="1"/>
  <c r="E944" i="1"/>
  <c r="D944" i="1"/>
  <c r="M943" i="1"/>
  <c r="L943" i="1"/>
  <c r="K943" i="1"/>
  <c r="I943" i="1"/>
  <c r="H943" i="1"/>
  <c r="G943" i="1"/>
  <c r="F943" i="1"/>
  <c r="E943" i="1"/>
  <c r="D943" i="1"/>
  <c r="M942" i="1"/>
  <c r="L942" i="1"/>
  <c r="N942" i="1" s="1"/>
  <c r="K942" i="1"/>
  <c r="I942" i="1"/>
  <c r="H942" i="1"/>
  <c r="G942" i="1"/>
  <c r="F942" i="1"/>
  <c r="E942" i="1"/>
  <c r="D942" i="1"/>
  <c r="M941" i="1"/>
  <c r="L941" i="1"/>
  <c r="N941" i="1" s="1"/>
  <c r="P941" i="1" s="1"/>
  <c r="K941" i="1"/>
  <c r="I941" i="1"/>
  <c r="H941" i="1"/>
  <c r="G941" i="1"/>
  <c r="F941" i="1"/>
  <c r="E941" i="1"/>
  <c r="D941" i="1"/>
  <c r="M940" i="1"/>
  <c r="L940" i="1"/>
  <c r="K940" i="1"/>
  <c r="I940" i="1"/>
  <c r="H940" i="1"/>
  <c r="G940" i="1"/>
  <c r="F940" i="1"/>
  <c r="E940" i="1"/>
  <c r="D940" i="1"/>
  <c r="M939" i="1"/>
  <c r="L939" i="1"/>
  <c r="K939" i="1"/>
  <c r="I939" i="1"/>
  <c r="H939" i="1"/>
  <c r="G939" i="1"/>
  <c r="F939" i="1"/>
  <c r="E939" i="1"/>
  <c r="D939" i="1"/>
  <c r="M938" i="1"/>
  <c r="L938" i="1"/>
  <c r="K938" i="1"/>
  <c r="I938" i="1"/>
  <c r="H938" i="1"/>
  <c r="G938" i="1"/>
  <c r="F938" i="1"/>
  <c r="E938" i="1"/>
  <c r="D938" i="1"/>
  <c r="M937" i="1"/>
  <c r="L937" i="1"/>
  <c r="K937" i="1"/>
  <c r="I937" i="1"/>
  <c r="H937" i="1"/>
  <c r="G937" i="1"/>
  <c r="F937" i="1"/>
  <c r="E937" i="1"/>
  <c r="D937" i="1"/>
  <c r="M936" i="1"/>
  <c r="L936" i="1"/>
  <c r="K936" i="1"/>
  <c r="I936" i="1"/>
  <c r="H936" i="1"/>
  <c r="G936" i="1"/>
  <c r="F936" i="1"/>
  <c r="E936" i="1"/>
  <c r="D936" i="1"/>
  <c r="M935" i="1"/>
  <c r="L935" i="1"/>
  <c r="K935" i="1"/>
  <c r="I935" i="1"/>
  <c r="H935" i="1"/>
  <c r="G935" i="1"/>
  <c r="F935" i="1"/>
  <c r="E935" i="1"/>
  <c r="D935" i="1"/>
  <c r="M934" i="1"/>
  <c r="L934" i="1"/>
  <c r="K934" i="1"/>
  <c r="I934" i="1"/>
  <c r="H934" i="1"/>
  <c r="G934" i="1"/>
  <c r="F934" i="1"/>
  <c r="E934" i="1"/>
  <c r="D934" i="1"/>
  <c r="M933" i="1"/>
  <c r="L933" i="1"/>
  <c r="K933" i="1"/>
  <c r="I933" i="1"/>
  <c r="H933" i="1"/>
  <c r="G933" i="1"/>
  <c r="F933" i="1"/>
  <c r="E933" i="1"/>
  <c r="D933" i="1"/>
  <c r="M932" i="1"/>
  <c r="L932" i="1"/>
  <c r="K932" i="1"/>
  <c r="I932" i="1"/>
  <c r="H932" i="1"/>
  <c r="G932" i="1"/>
  <c r="F932" i="1"/>
  <c r="E932" i="1"/>
  <c r="D932" i="1"/>
  <c r="M931" i="1"/>
  <c r="L931" i="1"/>
  <c r="K931" i="1"/>
  <c r="I931" i="1"/>
  <c r="H931" i="1"/>
  <c r="G931" i="1"/>
  <c r="F931" i="1"/>
  <c r="E931" i="1"/>
  <c r="D931" i="1"/>
  <c r="M930" i="1"/>
  <c r="N930" i="1" s="1"/>
  <c r="L930" i="1"/>
  <c r="K930" i="1"/>
  <c r="I930" i="1"/>
  <c r="H930" i="1"/>
  <c r="G930" i="1"/>
  <c r="F930" i="1"/>
  <c r="E930" i="1"/>
  <c r="D930" i="1"/>
  <c r="M929" i="1"/>
  <c r="L929" i="1"/>
  <c r="N929" i="1" s="1"/>
  <c r="P929" i="1" s="1"/>
  <c r="K929" i="1"/>
  <c r="I929" i="1"/>
  <c r="H929" i="1"/>
  <c r="G929" i="1"/>
  <c r="F929" i="1"/>
  <c r="E929" i="1"/>
  <c r="D929" i="1"/>
  <c r="M928" i="1"/>
  <c r="L928" i="1"/>
  <c r="K928" i="1"/>
  <c r="I928" i="1"/>
  <c r="H928" i="1"/>
  <c r="G928" i="1"/>
  <c r="F928" i="1"/>
  <c r="E928" i="1"/>
  <c r="D928" i="1"/>
  <c r="M927" i="1"/>
  <c r="L927" i="1"/>
  <c r="K927" i="1"/>
  <c r="I927" i="1"/>
  <c r="H927" i="1"/>
  <c r="G927" i="1"/>
  <c r="F927" i="1"/>
  <c r="E927" i="1"/>
  <c r="D927" i="1"/>
  <c r="M926" i="1"/>
  <c r="L926" i="1"/>
  <c r="N926" i="1" s="1"/>
  <c r="K926" i="1"/>
  <c r="I926" i="1"/>
  <c r="H926" i="1"/>
  <c r="G926" i="1"/>
  <c r="F926" i="1"/>
  <c r="E926" i="1"/>
  <c r="D926" i="1"/>
  <c r="M925" i="1"/>
  <c r="L925" i="1"/>
  <c r="K925" i="1"/>
  <c r="I925" i="1"/>
  <c r="H925" i="1"/>
  <c r="G925" i="1"/>
  <c r="F925" i="1"/>
  <c r="E925" i="1"/>
  <c r="D925" i="1"/>
  <c r="M924" i="1"/>
  <c r="L924" i="1"/>
  <c r="K924" i="1"/>
  <c r="I924" i="1"/>
  <c r="H924" i="1"/>
  <c r="G924" i="1"/>
  <c r="F924" i="1"/>
  <c r="E924" i="1"/>
  <c r="D924" i="1"/>
  <c r="M923" i="1"/>
  <c r="L923" i="1"/>
  <c r="K923" i="1"/>
  <c r="I923" i="1"/>
  <c r="H923" i="1"/>
  <c r="G923" i="1"/>
  <c r="F923" i="1"/>
  <c r="E923" i="1"/>
  <c r="D923" i="1"/>
  <c r="M922" i="1"/>
  <c r="L922" i="1"/>
  <c r="K922" i="1"/>
  <c r="I922" i="1"/>
  <c r="H922" i="1"/>
  <c r="G922" i="1"/>
  <c r="F922" i="1"/>
  <c r="E922" i="1"/>
  <c r="D922" i="1"/>
  <c r="M921" i="1"/>
  <c r="L921" i="1"/>
  <c r="K921" i="1"/>
  <c r="I921" i="1"/>
  <c r="H921" i="1"/>
  <c r="G921" i="1"/>
  <c r="F921" i="1"/>
  <c r="E921" i="1"/>
  <c r="D921" i="1"/>
  <c r="M920" i="1"/>
  <c r="L920" i="1"/>
  <c r="K920" i="1"/>
  <c r="I920" i="1"/>
  <c r="H920" i="1"/>
  <c r="G920" i="1"/>
  <c r="F920" i="1"/>
  <c r="E920" i="1"/>
  <c r="D920" i="1"/>
  <c r="M919" i="1"/>
  <c r="L919" i="1"/>
  <c r="N919" i="1" s="1"/>
  <c r="P919" i="1" s="1"/>
  <c r="K919" i="1"/>
  <c r="I919" i="1"/>
  <c r="H919" i="1"/>
  <c r="G919" i="1"/>
  <c r="F919" i="1"/>
  <c r="E919" i="1"/>
  <c r="D919" i="1"/>
  <c r="M918" i="1"/>
  <c r="L918" i="1"/>
  <c r="K918" i="1"/>
  <c r="I918" i="1"/>
  <c r="H918" i="1"/>
  <c r="G918" i="1"/>
  <c r="F918" i="1"/>
  <c r="E918" i="1"/>
  <c r="D918" i="1"/>
  <c r="M917" i="1"/>
  <c r="L917" i="1"/>
  <c r="K917" i="1"/>
  <c r="I917" i="1"/>
  <c r="H917" i="1"/>
  <c r="G917" i="1"/>
  <c r="F917" i="1"/>
  <c r="E917" i="1"/>
  <c r="D917" i="1"/>
  <c r="M916" i="1"/>
  <c r="L916" i="1"/>
  <c r="K916" i="1"/>
  <c r="I916" i="1"/>
  <c r="H916" i="1"/>
  <c r="G916" i="1"/>
  <c r="F916" i="1"/>
  <c r="E916" i="1"/>
  <c r="D916" i="1"/>
  <c r="M915" i="1"/>
  <c r="L915" i="1"/>
  <c r="K915" i="1"/>
  <c r="I915" i="1"/>
  <c r="H915" i="1"/>
  <c r="G915" i="1"/>
  <c r="F915" i="1"/>
  <c r="E915" i="1"/>
  <c r="D915" i="1"/>
  <c r="M914" i="1"/>
  <c r="L914" i="1"/>
  <c r="K914" i="1"/>
  <c r="I914" i="1"/>
  <c r="H914" i="1"/>
  <c r="G914" i="1"/>
  <c r="F914" i="1"/>
  <c r="E914" i="1"/>
  <c r="D914" i="1"/>
  <c r="M913" i="1"/>
  <c r="L913" i="1"/>
  <c r="K913" i="1"/>
  <c r="I913" i="1"/>
  <c r="H913" i="1"/>
  <c r="G913" i="1"/>
  <c r="F913" i="1"/>
  <c r="E913" i="1"/>
  <c r="D913" i="1"/>
  <c r="M912" i="1"/>
  <c r="L912" i="1"/>
  <c r="K912" i="1"/>
  <c r="I912" i="1"/>
  <c r="H912" i="1"/>
  <c r="G912" i="1"/>
  <c r="F912" i="1"/>
  <c r="E912" i="1"/>
  <c r="D912" i="1"/>
  <c r="M911" i="1"/>
  <c r="L911" i="1"/>
  <c r="K911" i="1"/>
  <c r="I911" i="1"/>
  <c r="H911" i="1"/>
  <c r="G911" i="1"/>
  <c r="F911" i="1"/>
  <c r="E911" i="1"/>
  <c r="D911" i="1"/>
  <c r="M910" i="1"/>
  <c r="L910" i="1"/>
  <c r="N910" i="1" s="1"/>
  <c r="K910" i="1"/>
  <c r="I910" i="1"/>
  <c r="H910" i="1"/>
  <c r="G910" i="1"/>
  <c r="F910" i="1"/>
  <c r="E910" i="1"/>
  <c r="D910" i="1"/>
  <c r="M909" i="1"/>
  <c r="L909" i="1"/>
  <c r="K909" i="1"/>
  <c r="I909" i="1"/>
  <c r="H909" i="1"/>
  <c r="G909" i="1"/>
  <c r="F909" i="1"/>
  <c r="E909" i="1"/>
  <c r="D909" i="1"/>
  <c r="M908" i="1"/>
  <c r="L908" i="1"/>
  <c r="K908" i="1"/>
  <c r="I908" i="1"/>
  <c r="H908" i="1"/>
  <c r="G908" i="1"/>
  <c r="F908" i="1"/>
  <c r="E908" i="1"/>
  <c r="D908" i="1"/>
  <c r="M907" i="1"/>
  <c r="L907" i="1"/>
  <c r="K907" i="1"/>
  <c r="I907" i="1"/>
  <c r="H907" i="1"/>
  <c r="G907" i="1"/>
  <c r="F907" i="1"/>
  <c r="E907" i="1"/>
  <c r="D907" i="1"/>
  <c r="M906" i="1"/>
  <c r="L906" i="1"/>
  <c r="K906" i="1"/>
  <c r="I906" i="1"/>
  <c r="H906" i="1"/>
  <c r="G906" i="1"/>
  <c r="F906" i="1"/>
  <c r="E906" i="1"/>
  <c r="D906" i="1"/>
  <c r="M905" i="1"/>
  <c r="L905" i="1"/>
  <c r="K905" i="1"/>
  <c r="I905" i="1"/>
  <c r="H905" i="1"/>
  <c r="G905" i="1"/>
  <c r="F905" i="1"/>
  <c r="E905" i="1"/>
  <c r="D905" i="1"/>
  <c r="M904" i="1"/>
  <c r="L904" i="1"/>
  <c r="K904" i="1"/>
  <c r="I904" i="1"/>
  <c r="H904" i="1"/>
  <c r="G904" i="1"/>
  <c r="F904" i="1"/>
  <c r="E904" i="1"/>
  <c r="D904" i="1"/>
  <c r="M903" i="1"/>
  <c r="L903" i="1"/>
  <c r="K903" i="1"/>
  <c r="I903" i="1"/>
  <c r="H903" i="1"/>
  <c r="G903" i="1"/>
  <c r="F903" i="1"/>
  <c r="E903" i="1"/>
  <c r="D903" i="1"/>
  <c r="M902" i="1"/>
  <c r="L902" i="1"/>
  <c r="K902" i="1"/>
  <c r="I902" i="1"/>
  <c r="H902" i="1"/>
  <c r="G902" i="1"/>
  <c r="F902" i="1"/>
  <c r="E902" i="1"/>
  <c r="D902" i="1"/>
  <c r="M901" i="1"/>
  <c r="L901" i="1"/>
  <c r="K901" i="1"/>
  <c r="I901" i="1"/>
  <c r="H901" i="1"/>
  <c r="G901" i="1"/>
  <c r="F901" i="1"/>
  <c r="E901" i="1"/>
  <c r="D901" i="1"/>
  <c r="M900" i="1"/>
  <c r="L900" i="1"/>
  <c r="K900" i="1"/>
  <c r="I900" i="1"/>
  <c r="H900" i="1"/>
  <c r="G900" i="1"/>
  <c r="F900" i="1"/>
  <c r="E900" i="1"/>
  <c r="D900" i="1"/>
  <c r="M899" i="1"/>
  <c r="L899" i="1"/>
  <c r="K899" i="1"/>
  <c r="I899" i="1"/>
  <c r="H899" i="1"/>
  <c r="G899" i="1"/>
  <c r="F899" i="1"/>
  <c r="E899" i="1"/>
  <c r="D899" i="1"/>
  <c r="M898" i="1"/>
  <c r="L898" i="1"/>
  <c r="K898" i="1"/>
  <c r="I898" i="1"/>
  <c r="H898" i="1"/>
  <c r="G898" i="1"/>
  <c r="F898" i="1"/>
  <c r="E898" i="1"/>
  <c r="D898" i="1"/>
  <c r="M897" i="1"/>
  <c r="L897" i="1"/>
  <c r="K897" i="1"/>
  <c r="I897" i="1"/>
  <c r="H897" i="1"/>
  <c r="G897" i="1"/>
  <c r="F897" i="1"/>
  <c r="E897" i="1"/>
  <c r="D897" i="1"/>
  <c r="M896" i="1"/>
  <c r="L896" i="1"/>
  <c r="K896" i="1"/>
  <c r="I896" i="1"/>
  <c r="H896" i="1"/>
  <c r="G896" i="1"/>
  <c r="F896" i="1"/>
  <c r="E896" i="1"/>
  <c r="D896" i="1"/>
  <c r="M895" i="1"/>
  <c r="L895" i="1"/>
  <c r="K895" i="1"/>
  <c r="I895" i="1"/>
  <c r="H895" i="1"/>
  <c r="G895" i="1"/>
  <c r="F895" i="1"/>
  <c r="E895" i="1"/>
  <c r="D895" i="1"/>
  <c r="M894" i="1"/>
  <c r="L894" i="1"/>
  <c r="K894" i="1"/>
  <c r="I894" i="1"/>
  <c r="H894" i="1"/>
  <c r="G894" i="1"/>
  <c r="F894" i="1"/>
  <c r="E894" i="1"/>
  <c r="D894" i="1"/>
  <c r="M893" i="1"/>
  <c r="L893" i="1"/>
  <c r="I893" i="1"/>
  <c r="H893" i="1"/>
  <c r="G893" i="1"/>
  <c r="F893" i="1"/>
  <c r="E893" i="1"/>
  <c r="D893" i="1"/>
  <c r="M892" i="1"/>
  <c r="L892" i="1"/>
  <c r="K892" i="1"/>
  <c r="I892" i="1"/>
  <c r="H892" i="1"/>
  <c r="G892" i="1"/>
  <c r="F892" i="1"/>
  <c r="E892" i="1"/>
  <c r="D892" i="1"/>
  <c r="M891" i="1"/>
  <c r="L891" i="1"/>
  <c r="K891" i="1"/>
  <c r="I891" i="1"/>
  <c r="H891" i="1"/>
  <c r="G891" i="1"/>
  <c r="F891" i="1"/>
  <c r="E891" i="1"/>
  <c r="D891" i="1"/>
  <c r="M890" i="1"/>
  <c r="L890" i="1"/>
  <c r="N890" i="1" s="1"/>
  <c r="K890" i="1"/>
  <c r="I890" i="1"/>
  <c r="H890" i="1"/>
  <c r="G890" i="1"/>
  <c r="F890" i="1"/>
  <c r="E890" i="1"/>
  <c r="D890" i="1"/>
  <c r="M889" i="1"/>
  <c r="L889" i="1"/>
  <c r="K889" i="1"/>
  <c r="I889" i="1"/>
  <c r="H889" i="1"/>
  <c r="G889" i="1"/>
  <c r="F889" i="1"/>
  <c r="E889" i="1"/>
  <c r="D889" i="1"/>
  <c r="M888" i="1"/>
  <c r="L888" i="1"/>
  <c r="K888" i="1"/>
  <c r="I888" i="1"/>
  <c r="H888" i="1"/>
  <c r="G888" i="1"/>
  <c r="F888" i="1"/>
  <c r="E888" i="1"/>
  <c r="D888" i="1"/>
  <c r="M887" i="1"/>
  <c r="L887" i="1"/>
  <c r="K887" i="1"/>
  <c r="I887" i="1"/>
  <c r="H887" i="1"/>
  <c r="G887" i="1"/>
  <c r="F887" i="1"/>
  <c r="E887" i="1"/>
  <c r="D887" i="1"/>
  <c r="M886" i="1"/>
  <c r="L886" i="1"/>
  <c r="K886" i="1"/>
  <c r="I886" i="1"/>
  <c r="H886" i="1"/>
  <c r="G886" i="1"/>
  <c r="F886" i="1"/>
  <c r="E886" i="1"/>
  <c r="D886" i="1"/>
  <c r="M885" i="1"/>
  <c r="L885" i="1"/>
  <c r="K885" i="1"/>
  <c r="I885" i="1"/>
  <c r="H885" i="1"/>
  <c r="G885" i="1"/>
  <c r="F885" i="1"/>
  <c r="E885" i="1"/>
  <c r="D885" i="1"/>
  <c r="M884" i="1"/>
  <c r="L884" i="1"/>
  <c r="K884" i="1"/>
  <c r="I884" i="1"/>
  <c r="H884" i="1"/>
  <c r="G884" i="1"/>
  <c r="F884" i="1"/>
  <c r="E884" i="1"/>
  <c r="D884" i="1"/>
  <c r="M883" i="1"/>
  <c r="L883" i="1"/>
  <c r="K883" i="1"/>
  <c r="I883" i="1"/>
  <c r="H883" i="1"/>
  <c r="G883" i="1"/>
  <c r="F883" i="1"/>
  <c r="E883" i="1"/>
  <c r="D883" i="1"/>
  <c r="M882" i="1"/>
  <c r="L882" i="1"/>
  <c r="K882" i="1"/>
  <c r="I882" i="1"/>
  <c r="H882" i="1"/>
  <c r="G882" i="1"/>
  <c r="F882" i="1"/>
  <c r="E882" i="1"/>
  <c r="D882" i="1"/>
  <c r="M881" i="1"/>
  <c r="L881" i="1"/>
  <c r="K881" i="1"/>
  <c r="I881" i="1"/>
  <c r="H881" i="1"/>
  <c r="G881" i="1"/>
  <c r="F881" i="1"/>
  <c r="E881" i="1"/>
  <c r="D881" i="1"/>
  <c r="M880" i="1"/>
  <c r="L880" i="1"/>
  <c r="K880" i="1"/>
  <c r="I880" i="1"/>
  <c r="H880" i="1"/>
  <c r="G880" i="1"/>
  <c r="F880" i="1"/>
  <c r="E880" i="1"/>
  <c r="D880" i="1"/>
  <c r="M879" i="1"/>
  <c r="L879" i="1"/>
  <c r="K879" i="1"/>
  <c r="I879" i="1"/>
  <c r="H879" i="1"/>
  <c r="G879" i="1"/>
  <c r="F879" i="1"/>
  <c r="E879" i="1"/>
  <c r="D879" i="1"/>
  <c r="M878" i="1"/>
  <c r="L878" i="1"/>
  <c r="K878" i="1"/>
  <c r="I878" i="1"/>
  <c r="H878" i="1"/>
  <c r="G878" i="1"/>
  <c r="F878" i="1"/>
  <c r="E878" i="1"/>
  <c r="D878" i="1"/>
  <c r="M877" i="1"/>
  <c r="L877" i="1"/>
  <c r="K877" i="1"/>
  <c r="I877" i="1"/>
  <c r="H877" i="1"/>
  <c r="G877" i="1"/>
  <c r="F877" i="1"/>
  <c r="E877" i="1"/>
  <c r="D877" i="1"/>
  <c r="M876" i="1"/>
  <c r="L876" i="1"/>
  <c r="K876" i="1"/>
  <c r="I876" i="1"/>
  <c r="H876" i="1"/>
  <c r="G876" i="1"/>
  <c r="F876" i="1"/>
  <c r="E876" i="1"/>
  <c r="D876" i="1"/>
  <c r="M875" i="1"/>
  <c r="L875" i="1"/>
  <c r="K875" i="1"/>
  <c r="I875" i="1"/>
  <c r="H875" i="1"/>
  <c r="G875" i="1"/>
  <c r="F875" i="1"/>
  <c r="E875" i="1"/>
  <c r="D875" i="1"/>
  <c r="M874" i="1"/>
  <c r="L874" i="1"/>
  <c r="I874" i="1"/>
  <c r="H874" i="1"/>
  <c r="G874" i="1"/>
  <c r="F874" i="1"/>
  <c r="E874" i="1"/>
  <c r="D874" i="1"/>
  <c r="M873" i="1"/>
  <c r="L873" i="1"/>
  <c r="K873" i="1"/>
  <c r="I873" i="1"/>
  <c r="H873" i="1"/>
  <c r="G873" i="1"/>
  <c r="F873" i="1"/>
  <c r="E873" i="1"/>
  <c r="D873" i="1"/>
  <c r="M872" i="1"/>
  <c r="L872" i="1"/>
  <c r="K872" i="1"/>
  <c r="I872" i="1"/>
  <c r="H872" i="1"/>
  <c r="G872" i="1"/>
  <c r="F872" i="1"/>
  <c r="E872" i="1"/>
  <c r="D872" i="1"/>
  <c r="M871" i="1"/>
  <c r="L871" i="1"/>
  <c r="K871" i="1"/>
  <c r="I871" i="1"/>
  <c r="H871" i="1"/>
  <c r="G871" i="1"/>
  <c r="F871" i="1"/>
  <c r="E871" i="1"/>
  <c r="D871" i="1"/>
  <c r="M870" i="1"/>
  <c r="L870" i="1"/>
  <c r="K870" i="1"/>
  <c r="I870" i="1"/>
  <c r="H870" i="1"/>
  <c r="G870" i="1"/>
  <c r="F870" i="1"/>
  <c r="E870" i="1"/>
  <c r="D870" i="1"/>
  <c r="M869" i="1"/>
  <c r="L869" i="1"/>
  <c r="K869" i="1"/>
  <c r="I869" i="1"/>
  <c r="H869" i="1"/>
  <c r="G869" i="1"/>
  <c r="F869" i="1"/>
  <c r="E869" i="1"/>
  <c r="D869" i="1"/>
  <c r="M868" i="1"/>
  <c r="L868" i="1"/>
  <c r="K868" i="1"/>
  <c r="I868" i="1"/>
  <c r="H868" i="1"/>
  <c r="G868" i="1"/>
  <c r="F868" i="1"/>
  <c r="E868" i="1"/>
  <c r="D868" i="1"/>
  <c r="M867" i="1"/>
  <c r="L867" i="1"/>
  <c r="K867" i="1"/>
  <c r="I867" i="1"/>
  <c r="H867" i="1"/>
  <c r="G867" i="1"/>
  <c r="F867" i="1"/>
  <c r="E867" i="1"/>
  <c r="D867" i="1"/>
  <c r="M866" i="1"/>
  <c r="L866" i="1"/>
  <c r="K866" i="1"/>
  <c r="I866" i="1"/>
  <c r="H866" i="1"/>
  <c r="G866" i="1"/>
  <c r="F866" i="1"/>
  <c r="E866" i="1"/>
  <c r="D866" i="1"/>
  <c r="M865" i="1"/>
  <c r="L865" i="1"/>
  <c r="K865" i="1"/>
  <c r="I865" i="1"/>
  <c r="H865" i="1"/>
  <c r="G865" i="1"/>
  <c r="F865" i="1"/>
  <c r="E865" i="1"/>
  <c r="D865" i="1"/>
  <c r="M864" i="1"/>
  <c r="L864" i="1"/>
  <c r="K864" i="1"/>
  <c r="I864" i="1"/>
  <c r="H864" i="1"/>
  <c r="G864" i="1"/>
  <c r="F864" i="1"/>
  <c r="E864" i="1"/>
  <c r="D864" i="1"/>
  <c r="M863" i="1"/>
  <c r="L863" i="1"/>
  <c r="N863" i="1" s="1"/>
  <c r="P863" i="1" s="1"/>
  <c r="K863" i="1"/>
  <c r="I863" i="1"/>
  <c r="H863" i="1"/>
  <c r="G863" i="1"/>
  <c r="F863" i="1"/>
  <c r="E863" i="1"/>
  <c r="D863" i="1"/>
  <c r="M862" i="1"/>
  <c r="L862" i="1"/>
  <c r="K862" i="1"/>
  <c r="I862" i="1"/>
  <c r="H862" i="1"/>
  <c r="G862" i="1"/>
  <c r="F862" i="1"/>
  <c r="E862" i="1"/>
  <c r="D862" i="1"/>
  <c r="M861" i="1"/>
  <c r="L861" i="1"/>
  <c r="K861" i="1"/>
  <c r="I861" i="1"/>
  <c r="H861" i="1"/>
  <c r="G861" i="1"/>
  <c r="F861" i="1"/>
  <c r="E861" i="1"/>
  <c r="D861" i="1"/>
  <c r="M860" i="1"/>
  <c r="L860" i="1"/>
  <c r="K860" i="1"/>
  <c r="I860" i="1"/>
  <c r="H860" i="1"/>
  <c r="G860" i="1"/>
  <c r="F860" i="1"/>
  <c r="E860" i="1"/>
  <c r="D860" i="1"/>
  <c r="M859" i="1"/>
  <c r="L859" i="1"/>
  <c r="K859" i="1"/>
  <c r="I859" i="1"/>
  <c r="H859" i="1"/>
  <c r="G859" i="1"/>
  <c r="F859" i="1"/>
  <c r="E859" i="1"/>
  <c r="D859" i="1"/>
  <c r="M858" i="1"/>
  <c r="L858" i="1"/>
  <c r="K858" i="1"/>
  <c r="I858" i="1"/>
  <c r="H858" i="1"/>
  <c r="G858" i="1"/>
  <c r="F858" i="1"/>
  <c r="E858" i="1"/>
  <c r="D858" i="1"/>
  <c r="M857" i="1"/>
  <c r="L857" i="1"/>
  <c r="N857" i="1" s="1"/>
  <c r="K857" i="1"/>
  <c r="I857" i="1"/>
  <c r="H857" i="1"/>
  <c r="G857" i="1"/>
  <c r="F857" i="1"/>
  <c r="E857" i="1"/>
  <c r="D857" i="1"/>
  <c r="M856" i="1"/>
  <c r="L856" i="1"/>
  <c r="K856" i="1"/>
  <c r="I856" i="1"/>
  <c r="H856" i="1"/>
  <c r="G856" i="1"/>
  <c r="F856" i="1"/>
  <c r="E856" i="1"/>
  <c r="D856" i="1"/>
  <c r="P855" i="1"/>
  <c r="O855" i="1"/>
  <c r="L855" i="1"/>
  <c r="N855" i="1" s="1"/>
  <c r="G855" i="1"/>
  <c r="F855" i="1"/>
  <c r="P854" i="1"/>
  <c r="O854" i="1"/>
  <c r="L854" i="1"/>
  <c r="N854" i="1" s="1"/>
  <c r="G854" i="1"/>
  <c r="F854" i="1"/>
  <c r="P853" i="1"/>
  <c r="O853" i="1"/>
  <c r="L853" i="1"/>
  <c r="N853" i="1" s="1"/>
  <c r="G853" i="1"/>
  <c r="F853" i="1"/>
  <c r="P852" i="1"/>
  <c r="O852" i="1"/>
  <c r="L852" i="1"/>
  <c r="N852" i="1" s="1"/>
  <c r="G852" i="1"/>
  <c r="F852" i="1"/>
  <c r="P851" i="1"/>
  <c r="O851" i="1"/>
  <c r="L851" i="1"/>
  <c r="N851" i="1" s="1"/>
  <c r="G851" i="1"/>
  <c r="F851" i="1"/>
  <c r="P850" i="1"/>
  <c r="O850" i="1"/>
  <c r="L850" i="1"/>
  <c r="N850" i="1" s="1"/>
  <c r="G850" i="1"/>
  <c r="F850" i="1"/>
  <c r="P849" i="1"/>
  <c r="O849" i="1"/>
  <c r="L849" i="1"/>
  <c r="N849" i="1" s="1"/>
  <c r="G849" i="1"/>
  <c r="F849" i="1"/>
  <c r="P848" i="1"/>
  <c r="O848" i="1"/>
  <c r="L848" i="1"/>
  <c r="N848" i="1" s="1"/>
  <c r="G848" i="1"/>
  <c r="F848" i="1"/>
  <c r="P847" i="1"/>
  <c r="O847" i="1"/>
  <c r="L847" i="1"/>
  <c r="N847" i="1" s="1"/>
  <c r="G847" i="1"/>
  <c r="F847" i="1"/>
  <c r="P846" i="1"/>
  <c r="O846" i="1"/>
  <c r="L846" i="1"/>
  <c r="N846" i="1" s="1"/>
  <c r="G846" i="1"/>
  <c r="F846" i="1"/>
  <c r="P845" i="1"/>
  <c r="O845" i="1"/>
  <c r="L845" i="1"/>
  <c r="N845" i="1" s="1"/>
  <c r="G845" i="1"/>
  <c r="F845" i="1"/>
  <c r="P844" i="1"/>
  <c r="O844" i="1"/>
  <c r="L844" i="1"/>
  <c r="N844" i="1" s="1"/>
  <c r="G844" i="1"/>
  <c r="F844" i="1"/>
  <c r="P843" i="1"/>
  <c r="O843" i="1"/>
  <c r="L843" i="1"/>
  <c r="N843" i="1" s="1"/>
  <c r="G843" i="1"/>
  <c r="F843" i="1"/>
  <c r="P842" i="1"/>
  <c r="O842" i="1"/>
  <c r="L842" i="1"/>
  <c r="N842" i="1" s="1"/>
  <c r="G842" i="1"/>
  <c r="F842" i="1"/>
  <c r="P841" i="1"/>
  <c r="O841" i="1"/>
  <c r="L841" i="1"/>
  <c r="N841" i="1" s="1"/>
  <c r="G841" i="1"/>
  <c r="F841" i="1"/>
  <c r="P840" i="1"/>
  <c r="O840" i="1"/>
  <c r="L840" i="1"/>
  <c r="N840" i="1" s="1"/>
  <c r="G840" i="1"/>
  <c r="F840" i="1"/>
  <c r="P839" i="1"/>
  <c r="O839" i="1"/>
  <c r="L839" i="1"/>
  <c r="N839" i="1" s="1"/>
  <c r="G839" i="1"/>
  <c r="F839" i="1"/>
  <c r="P838" i="1"/>
  <c r="O838" i="1"/>
  <c r="L838" i="1"/>
  <c r="N838" i="1" s="1"/>
  <c r="G838" i="1"/>
  <c r="F838" i="1"/>
  <c r="P837" i="1"/>
  <c r="O837" i="1"/>
  <c r="L837" i="1"/>
  <c r="N837" i="1" s="1"/>
  <c r="G837" i="1"/>
  <c r="F837" i="1"/>
  <c r="P836" i="1"/>
  <c r="O836" i="1"/>
  <c r="L836" i="1"/>
  <c r="N836" i="1" s="1"/>
  <c r="G836" i="1"/>
  <c r="F836" i="1"/>
  <c r="P835" i="1"/>
  <c r="O835" i="1"/>
  <c r="L835" i="1"/>
  <c r="N835" i="1" s="1"/>
  <c r="G835" i="1"/>
  <c r="F835" i="1"/>
  <c r="P834" i="1"/>
  <c r="O834" i="1"/>
  <c r="L834" i="1"/>
  <c r="N834" i="1" s="1"/>
  <c r="G834" i="1"/>
  <c r="F834" i="1"/>
  <c r="P833" i="1"/>
  <c r="O833" i="1"/>
  <c r="L833" i="1"/>
  <c r="N833" i="1" s="1"/>
  <c r="G833" i="1"/>
  <c r="F833" i="1"/>
  <c r="P832" i="1"/>
  <c r="O832" i="1"/>
  <c r="L832" i="1"/>
  <c r="N832" i="1" s="1"/>
  <c r="G832" i="1"/>
  <c r="F832" i="1"/>
  <c r="P831" i="1"/>
  <c r="O831" i="1"/>
  <c r="L831" i="1"/>
  <c r="N831" i="1" s="1"/>
  <c r="G831" i="1"/>
  <c r="F831" i="1"/>
  <c r="P830" i="1"/>
  <c r="O830" i="1"/>
  <c r="L830" i="1"/>
  <c r="N830" i="1" s="1"/>
  <c r="G830" i="1"/>
  <c r="F830" i="1"/>
  <c r="P829" i="1"/>
  <c r="O829" i="1"/>
  <c r="L829" i="1"/>
  <c r="N829" i="1" s="1"/>
  <c r="G829" i="1"/>
  <c r="F829" i="1"/>
  <c r="P828" i="1"/>
  <c r="O828" i="1"/>
  <c r="L828" i="1"/>
  <c r="N828" i="1" s="1"/>
  <c r="G828" i="1"/>
  <c r="F828" i="1"/>
  <c r="P827" i="1"/>
  <c r="O827" i="1"/>
  <c r="L827" i="1"/>
  <c r="N827" i="1" s="1"/>
  <c r="G827" i="1"/>
  <c r="F827" i="1"/>
  <c r="P826" i="1"/>
  <c r="O826" i="1"/>
  <c r="L826" i="1"/>
  <c r="N826" i="1" s="1"/>
  <c r="G826" i="1"/>
  <c r="F826" i="1"/>
  <c r="P825" i="1"/>
  <c r="O825" i="1"/>
  <c r="L825" i="1"/>
  <c r="N825" i="1" s="1"/>
  <c r="G825" i="1"/>
  <c r="F825" i="1"/>
  <c r="P824" i="1"/>
  <c r="O824" i="1"/>
  <c r="L824" i="1"/>
  <c r="N824" i="1" s="1"/>
  <c r="G824" i="1"/>
  <c r="F824" i="1"/>
  <c r="P823" i="1"/>
  <c r="O823" i="1"/>
  <c r="L823" i="1"/>
  <c r="N823" i="1" s="1"/>
  <c r="G823" i="1"/>
  <c r="F823" i="1"/>
  <c r="P822" i="1"/>
  <c r="O822" i="1"/>
  <c r="L822" i="1"/>
  <c r="N822" i="1" s="1"/>
  <c r="G822" i="1"/>
  <c r="F822" i="1"/>
  <c r="P821" i="1"/>
  <c r="O821" i="1"/>
  <c r="L821" i="1"/>
  <c r="N821" i="1" s="1"/>
  <c r="G821" i="1"/>
  <c r="F821" i="1"/>
  <c r="P820" i="1"/>
  <c r="O820" i="1"/>
  <c r="L820" i="1"/>
  <c r="N820" i="1" s="1"/>
  <c r="G820" i="1"/>
  <c r="F820" i="1"/>
  <c r="P819" i="1"/>
  <c r="O819" i="1"/>
  <c r="L819" i="1"/>
  <c r="N819" i="1" s="1"/>
  <c r="G819" i="1"/>
  <c r="F819" i="1"/>
  <c r="P818" i="1"/>
  <c r="O818" i="1"/>
  <c r="L818" i="1"/>
  <c r="N818" i="1" s="1"/>
  <c r="G818" i="1"/>
  <c r="F818" i="1"/>
  <c r="P817" i="1"/>
  <c r="O817" i="1"/>
  <c r="L817" i="1"/>
  <c r="N817" i="1" s="1"/>
  <c r="G817" i="1"/>
  <c r="F817" i="1"/>
  <c r="P816" i="1"/>
  <c r="O816" i="1"/>
  <c r="L816" i="1"/>
  <c r="N816" i="1" s="1"/>
  <c r="G816" i="1"/>
  <c r="F816" i="1"/>
  <c r="P815" i="1"/>
  <c r="O815" i="1"/>
  <c r="L815" i="1"/>
  <c r="N815" i="1" s="1"/>
  <c r="G815" i="1"/>
  <c r="F815" i="1"/>
  <c r="P814" i="1"/>
  <c r="O814" i="1"/>
  <c r="L814" i="1"/>
  <c r="N814" i="1" s="1"/>
  <c r="G814" i="1"/>
  <c r="F814" i="1"/>
  <c r="P813" i="1"/>
  <c r="O813" i="1"/>
  <c r="L813" i="1"/>
  <c r="N813" i="1" s="1"/>
  <c r="G813" i="1"/>
  <c r="F813" i="1"/>
  <c r="P812" i="1"/>
  <c r="O812" i="1"/>
  <c r="L812" i="1"/>
  <c r="N812" i="1" s="1"/>
  <c r="G812" i="1"/>
  <c r="F812" i="1"/>
  <c r="P811" i="1"/>
  <c r="O811" i="1"/>
  <c r="L811" i="1"/>
  <c r="N811" i="1" s="1"/>
  <c r="G811" i="1"/>
  <c r="F811" i="1"/>
  <c r="P810" i="1"/>
  <c r="O810" i="1"/>
  <c r="L810" i="1"/>
  <c r="N810" i="1" s="1"/>
  <c r="G810" i="1"/>
  <c r="F810" i="1"/>
  <c r="P809" i="1"/>
  <c r="O809" i="1"/>
  <c r="L809" i="1"/>
  <c r="N809" i="1" s="1"/>
  <c r="G809" i="1"/>
  <c r="F809" i="1"/>
  <c r="P808" i="1"/>
  <c r="O808" i="1"/>
  <c r="L808" i="1"/>
  <c r="N808" i="1" s="1"/>
  <c r="G808" i="1"/>
  <c r="F808" i="1"/>
  <c r="P807" i="1"/>
  <c r="O807" i="1"/>
  <c r="L807" i="1"/>
  <c r="N807" i="1" s="1"/>
  <c r="G807" i="1"/>
  <c r="F807" i="1"/>
  <c r="P806" i="1"/>
  <c r="O806" i="1"/>
  <c r="L806" i="1"/>
  <c r="N806" i="1" s="1"/>
  <c r="G806" i="1"/>
  <c r="F806" i="1"/>
  <c r="P805" i="1"/>
  <c r="O805" i="1"/>
  <c r="L805" i="1"/>
  <c r="N805" i="1" s="1"/>
  <c r="G805" i="1"/>
  <c r="F805" i="1"/>
  <c r="P804" i="1"/>
  <c r="O804" i="1"/>
  <c r="L804" i="1"/>
  <c r="N804" i="1" s="1"/>
  <c r="G804" i="1"/>
  <c r="F804" i="1"/>
  <c r="P803" i="1"/>
  <c r="O803" i="1"/>
  <c r="L803" i="1"/>
  <c r="N803" i="1" s="1"/>
  <c r="G803" i="1"/>
  <c r="F803" i="1"/>
  <c r="P802" i="1"/>
  <c r="O802" i="1"/>
  <c r="L802" i="1"/>
  <c r="N802" i="1" s="1"/>
  <c r="G802" i="1"/>
  <c r="F802" i="1"/>
  <c r="P801" i="1"/>
  <c r="O801" i="1"/>
  <c r="L801" i="1"/>
  <c r="N801" i="1" s="1"/>
  <c r="G801" i="1"/>
  <c r="F801" i="1"/>
  <c r="P800" i="1"/>
  <c r="O800" i="1"/>
  <c r="L800" i="1"/>
  <c r="N800" i="1" s="1"/>
  <c r="G800" i="1"/>
  <c r="F800" i="1"/>
  <c r="P799" i="1"/>
  <c r="O799" i="1"/>
  <c r="L799" i="1"/>
  <c r="N799" i="1" s="1"/>
  <c r="G799" i="1"/>
  <c r="F799" i="1"/>
  <c r="P798" i="1"/>
  <c r="O798" i="1"/>
  <c r="L798" i="1"/>
  <c r="N798" i="1" s="1"/>
  <c r="G798" i="1"/>
  <c r="F798" i="1"/>
  <c r="P797" i="1"/>
  <c r="O797" i="1"/>
  <c r="L797" i="1"/>
  <c r="N797" i="1" s="1"/>
  <c r="G797" i="1"/>
  <c r="F797" i="1"/>
  <c r="P796" i="1"/>
  <c r="O796" i="1"/>
  <c r="L796" i="1"/>
  <c r="N796" i="1" s="1"/>
  <c r="G796" i="1"/>
  <c r="F796" i="1"/>
  <c r="P795" i="1"/>
  <c r="O795" i="1"/>
  <c r="L795" i="1"/>
  <c r="N795" i="1" s="1"/>
  <c r="G795" i="1"/>
  <c r="F795" i="1"/>
  <c r="P794" i="1"/>
  <c r="O794" i="1"/>
  <c r="L794" i="1"/>
  <c r="N794" i="1" s="1"/>
  <c r="G794" i="1"/>
  <c r="F794" i="1"/>
  <c r="P793" i="1"/>
  <c r="O793" i="1"/>
  <c r="L793" i="1"/>
  <c r="N793" i="1" s="1"/>
  <c r="G793" i="1"/>
  <c r="F793" i="1"/>
  <c r="P792" i="1"/>
  <c r="O792" i="1"/>
  <c r="L792" i="1"/>
  <c r="N792" i="1" s="1"/>
  <c r="G792" i="1"/>
  <c r="F792" i="1"/>
  <c r="P791" i="1"/>
  <c r="O791" i="1"/>
  <c r="L791" i="1"/>
  <c r="N791" i="1" s="1"/>
  <c r="G791" i="1"/>
  <c r="F791" i="1"/>
  <c r="P790" i="1"/>
  <c r="O790" i="1"/>
  <c r="L790" i="1"/>
  <c r="N790" i="1" s="1"/>
  <c r="G790" i="1"/>
  <c r="F790" i="1"/>
  <c r="P789" i="1"/>
  <c r="O789" i="1"/>
  <c r="L789" i="1"/>
  <c r="N789" i="1" s="1"/>
  <c r="G789" i="1"/>
  <c r="F789" i="1"/>
  <c r="P788" i="1"/>
  <c r="O788" i="1"/>
  <c r="L788" i="1"/>
  <c r="N788" i="1" s="1"/>
  <c r="G788" i="1"/>
  <c r="F788" i="1"/>
  <c r="P787" i="1"/>
  <c r="O787" i="1"/>
  <c r="L787" i="1"/>
  <c r="N787" i="1" s="1"/>
  <c r="G787" i="1"/>
  <c r="F787" i="1"/>
  <c r="P786" i="1"/>
  <c r="O786" i="1"/>
  <c r="L786" i="1"/>
  <c r="N786" i="1" s="1"/>
  <c r="G786" i="1"/>
  <c r="F786" i="1"/>
  <c r="P785" i="1"/>
  <c r="O785" i="1"/>
  <c r="L785" i="1"/>
  <c r="N785" i="1" s="1"/>
  <c r="G785" i="1"/>
  <c r="F785" i="1"/>
  <c r="P784" i="1"/>
  <c r="O784" i="1"/>
  <c r="L784" i="1"/>
  <c r="N784" i="1" s="1"/>
  <c r="G784" i="1"/>
  <c r="F784" i="1"/>
  <c r="P783" i="1"/>
  <c r="O783" i="1"/>
  <c r="L783" i="1"/>
  <c r="N783" i="1" s="1"/>
  <c r="G783" i="1"/>
  <c r="F783" i="1"/>
  <c r="P782" i="1"/>
  <c r="O782" i="1"/>
  <c r="L782" i="1"/>
  <c r="N782" i="1" s="1"/>
  <c r="G782" i="1"/>
  <c r="F782" i="1"/>
  <c r="P781" i="1"/>
  <c r="O781" i="1"/>
  <c r="L781" i="1"/>
  <c r="N781" i="1" s="1"/>
  <c r="G781" i="1"/>
  <c r="F781" i="1"/>
  <c r="P780" i="1"/>
  <c r="O780" i="1"/>
  <c r="L780" i="1"/>
  <c r="N780" i="1" s="1"/>
  <c r="G780" i="1"/>
  <c r="F780" i="1"/>
  <c r="P779" i="1"/>
  <c r="O779" i="1"/>
  <c r="L779" i="1"/>
  <c r="N779" i="1" s="1"/>
  <c r="G779" i="1"/>
  <c r="F779" i="1"/>
  <c r="P778" i="1"/>
  <c r="O778" i="1"/>
  <c r="L778" i="1"/>
  <c r="N778" i="1" s="1"/>
  <c r="G778" i="1"/>
  <c r="F778" i="1"/>
  <c r="P777" i="1"/>
  <c r="O777" i="1"/>
  <c r="L777" i="1"/>
  <c r="N777" i="1" s="1"/>
  <c r="G777" i="1"/>
  <c r="F777" i="1"/>
  <c r="P776" i="1"/>
  <c r="O776" i="1"/>
  <c r="L776" i="1"/>
  <c r="N776" i="1" s="1"/>
  <c r="G776" i="1"/>
  <c r="F776" i="1"/>
  <c r="P775" i="1"/>
  <c r="O775" i="1"/>
  <c r="L775" i="1"/>
  <c r="N775" i="1" s="1"/>
  <c r="G775" i="1"/>
  <c r="F775" i="1"/>
  <c r="P774" i="1"/>
  <c r="O774" i="1"/>
  <c r="L774" i="1"/>
  <c r="N774" i="1" s="1"/>
  <c r="G774" i="1"/>
  <c r="F774" i="1"/>
  <c r="P773" i="1"/>
  <c r="O773" i="1"/>
  <c r="L773" i="1"/>
  <c r="N773" i="1" s="1"/>
  <c r="G773" i="1"/>
  <c r="F773" i="1"/>
  <c r="P772" i="1"/>
  <c r="O772" i="1"/>
  <c r="L772" i="1"/>
  <c r="N772" i="1" s="1"/>
  <c r="G772" i="1"/>
  <c r="F772" i="1"/>
  <c r="P771" i="1"/>
  <c r="O771" i="1"/>
  <c r="L771" i="1"/>
  <c r="N771" i="1" s="1"/>
  <c r="G771" i="1"/>
  <c r="F771" i="1"/>
  <c r="P770" i="1"/>
  <c r="O770" i="1"/>
  <c r="L770" i="1"/>
  <c r="N770" i="1" s="1"/>
  <c r="G770" i="1"/>
  <c r="F770" i="1"/>
  <c r="P769" i="1"/>
  <c r="O769" i="1"/>
  <c r="L769" i="1"/>
  <c r="N769" i="1" s="1"/>
  <c r="G769" i="1"/>
  <c r="F769" i="1"/>
  <c r="P768" i="1"/>
  <c r="O768" i="1"/>
  <c r="L768" i="1"/>
  <c r="N768" i="1" s="1"/>
  <c r="G768" i="1"/>
  <c r="F768" i="1"/>
  <c r="P767" i="1"/>
  <c r="O767" i="1"/>
  <c r="L767" i="1"/>
  <c r="N767" i="1" s="1"/>
  <c r="G767" i="1"/>
  <c r="F767" i="1"/>
  <c r="P766" i="1"/>
  <c r="O766" i="1"/>
  <c r="L766" i="1"/>
  <c r="N766" i="1" s="1"/>
  <c r="G766" i="1"/>
  <c r="F766" i="1"/>
  <c r="P765" i="1"/>
  <c r="O765" i="1"/>
  <c r="L765" i="1"/>
  <c r="N765" i="1" s="1"/>
  <c r="G765" i="1"/>
  <c r="F765" i="1"/>
  <c r="P764" i="1"/>
  <c r="O764" i="1"/>
  <c r="L764" i="1"/>
  <c r="N764" i="1" s="1"/>
  <c r="G764" i="1"/>
  <c r="F764" i="1"/>
  <c r="P763" i="1"/>
  <c r="O763" i="1"/>
  <c r="L763" i="1"/>
  <c r="N763" i="1" s="1"/>
  <c r="G763" i="1"/>
  <c r="F763" i="1"/>
  <c r="P762" i="1"/>
  <c r="O762" i="1"/>
  <c r="L762" i="1"/>
  <c r="N762" i="1" s="1"/>
  <c r="G762" i="1"/>
  <c r="F762" i="1"/>
  <c r="P761" i="1"/>
  <c r="O761" i="1"/>
  <c r="L761" i="1"/>
  <c r="N761" i="1" s="1"/>
  <c r="G761" i="1"/>
  <c r="F761" i="1"/>
  <c r="P760" i="1"/>
  <c r="O760" i="1"/>
  <c r="L760" i="1"/>
  <c r="N760" i="1" s="1"/>
  <c r="G760" i="1"/>
  <c r="F760" i="1"/>
  <c r="P759" i="1"/>
  <c r="O759" i="1"/>
  <c r="L759" i="1"/>
  <c r="N759" i="1" s="1"/>
  <c r="G759" i="1"/>
  <c r="F759" i="1"/>
  <c r="P758" i="1"/>
  <c r="O758" i="1"/>
  <c r="L758" i="1"/>
  <c r="N758" i="1" s="1"/>
  <c r="G758" i="1"/>
  <c r="F758" i="1"/>
  <c r="P757" i="1"/>
  <c r="O757" i="1"/>
  <c r="L757" i="1"/>
  <c r="N757" i="1" s="1"/>
  <c r="G757" i="1"/>
  <c r="F757" i="1"/>
  <c r="P756" i="1"/>
  <c r="O756" i="1"/>
  <c r="L756" i="1"/>
  <c r="N756" i="1" s="1"/>
  <c r="G756" i="1"/>
  <c r="F756" i="1"/>
  <c r="P755" i="1"/>
  <c r="O755" i="1"/>
  <c r="L755" i="1"/>
  <c r="N755" i="1" s="1"/>
  <c r="G755" i="1"/>
  <c r="F755" i="1"/>
  <c r="P754" i="1"/>
  <c r="O754" i="1"/>
  <c r="L754" i="1"/>
  <c r="N754" i="1" s="1"/>
  <c r="G754" i="1"/>
  <c r="F754" i="1"/>
  <c r="P753" i="1"/>
  <c r="O753" i="1"/>
  <c r="L753" i="1"/>
  <c r="N753" i="1" s="1"/>
  <c r="G753" i="1"/>
  <c r="F753" i="1"/>
  <c r="P752" i="1"/>
  <c r="O752" i="1"/>
  <c r="L752" i="1"/>
  <c r="N752" i="1" s="1"/>
  <c r="G752" i="1"/>
  <c r="F752" i="1"/>
  <c r="P751" i="1"/>
  <c r="O751" i="1"/>
  <c r="L751" i="1"/>
  <c r="N751" i="1" s="1"/>
  <c r="G751" i="1"/>
  <c r="F751" i="1"/>
  <c r="P750" i="1"/>
  <c r="O750" i="1"/>
  <c r="L750" i="1"/>
  <c r="N750" i="1" s="1"/>
  <c r="G750" i="1"/>
  <c r="F750" i="1"/>
  <c r="P749" i="1"/>
  <c r="O749" i="1"/>
  <c r="L749" i="1"/>
  <c r="N749" i="1" s="1"/>
  <c r="G749" i="1"/>
  <c r="F749" i="1"/>
  <c r="P748" i="1"/>
  <c r="O748" i="1"/>
  <c r="L748" i="1"/>
  <c r="N748" i="1" s="1"/>
  <c r="G748" i="1"/>
  <c r="F748" i="1"/>
  <c r="P747" i="1"/>
  <c r="O747" i="1"/>
  <c r="L747" i="1"/>
  <c r="N747" i="1" s="1"/>
  <c r="G747" i="1"/>
  <c r="F747" i="1"/>
  <c r="P746" i="1"/>
  <c r="O746" i="1"/>
  <c r="L746" i="1"/>
  <c r="N746" i="1" s="1"/>
  <c r="G746" i="1"/>
  <c r="F746" i="1"/>
  <c r="P745" i="1"/>
  <c r="O745" i="1"/>
  <c r="L745" i="1"/>
  <c r="N745" i="1" s="1"/>
  <c r="G745" i="1"/>
  <c r="F745" i="1"/>
  <c r="P744" i="1"/>
  <c r="O744" i="1"/>
  <c r="L744" i="1"/>
  <c r="N744" i="1" s="1"/>
  <c r="G744" i="1"/>
  <c r="F744" i="1"/>
  <c r="P743" i="1"/>
  <c r="O743" i="1"/>
  <c r="L743" i="1"/>
  <c r="N743" i="1" s="1"/>
  <c r="G743" i="1"/>
  <c r="F743" i="1"/>
  <c r="P742" i="1"/>
  <c r="O742" i="1"/>
  <c r="L742" i="1"/>
  <c r="N742" i="1" s="1"/>
  <c r="G742" i="1"/>
  <c r="F742" i="1"/>
  <c r="P741" i="1"/>
  <c r="O741" i="1"/>
  <c r="L741" i="1"/>
  <c r="N741" i="1" s="1"/>
  <c r="G741" i="1"/>
  <c r="F741" i="1"/>
  <c r="P740" i="1"/>
  <c r="O740" i="1"/>
  <c r="L740" i="1"/>
  <c r="N740" i="1" s="1"/>
  <c r="G740" i="1"/>
  <c r="F740" i="1"/>
  <c r="P739" i="1"/>
  <c r="O739" i="1"/>
  <c r="L739" i="1"/>
  <c r="N739" i="1" s="1"/>
  <c r="G739" i="1"/>
  <c r="F739" i="1"/>
  <c r="P738" i="1"/>
  <c r="O738" i="1"/>
  <c r="L738" i="1"/>
  <c r="N738" i="1" s="1"/>
  <c r="G738" i="1"/>
  <c r="F738" i="1"/>
  <c r="P737" i="1"/>
  <c r="O737" i="1"/>
  <c r="L737" i="1"/>
  <c r="N737" i="1" s="1"/>
  <c r="G737" i="1"/>
  <c r="F737" i="1"/>
  <c r="P736" i="1"/>
  <c r="O736" i="1"/>
  <c r="L736" i="1"/>
  <c r="N736" i="1" s="1"/>
  <c r="G736" i="1"/>
  <c r="F736" i="1"/>
  <c r="P735" i="1"/>
  <c r="O735" i="1"/>
  <c r="L735" i="1"/>
  <c r="N735" i="1" s="1"/>
  <c r="G735" i="1"/>
  <c r="F735" i="1"/>
  <c r="P734" i="1"/>
  <c r="O734" i="1"/>
  <c r="L734" i="1"/>
  <c r="N734" i="1" s="1"/>
  <c r="G734" i="1"/>
  <c r="F734" i="1"/>
  <c r="P733" i="1"/>
  <c r="O733" i="1"/>
  <c r="L733" i="1"/>
  <c r="N733" i="1" s="1"/>
  <c r="G733" i="1"/>
  <c r="F733" i="1"/>
  <c r="P732" i="1"/>
  <c r="O732" i="1"/>
  <c r="L732" i="1"/>
  <c r="N732" i="1" s="1"/>
  <c r="G732" i="1"/>
  <c r="F732" i="1"/>
  <c r="P731" i="1"/>
  <c r="O731" i="1"/>
  <c r="L731" i="1"/>
  <c r="N731" i="1" s="1"/>
  <c r="G731" i="1"/>
  <c r="F731" i="1"/>
  <c r="P730" i="1"/>
  <c r="O730" i="1"/>
  <c r="L730" i="1"/>
  <c r="N730" i="1" s="1"/>
  <c r="G730" i="1"/>
  <c r="F730" i="1"/>
  <c r="P729" i="1"/>
  <c r="O729" i="1"/>
  <c r="L729" i="1"/>
  <c r="N729" i="1" s="1"/>
  <c r="G729" i="1"/>
  <c r="F729" i="1"/>
  <c r="P728" i="1"/>
  <c r="O728" i="1"/>
  <c r="L728" i="1"/>
  <c r="N728" i="1" s="1"/>
  <c r="G728" i="1"/>
  <c r="F728" i="1"/>
  <c r="P727" i="1"/>
  <c r="O727" i="1"/>
  <c r="L727" i="1"/>
  <c r="N727" i="1" s="1"/>
  <c r="G727" i="1"/>
  <c r="F727" i="1"/>
  <c r="P726" i="1"/>
  <c r="O726" i="1"/>
  <c r="L726" i="1"/>
  <c r="N726" i="1" s="1"/>
  <c r="G726" i="1"/>
  <c r="F726" i="1"/>
  <c r="P725" i="1"/>
  <c r="O725" i="1"/>
  <c r="L725" i="1"/>
  <c r="N725" i="1" s="1"/>
  <c r="G725" i="1"/>
  <c r="F725" i="1"/>
  <c r="P724" i="1"/>
  <c r="O724" i="1"/>
  <c r="L724" i="1"/>
  <c r="N724" i="1" s="1"/>
  <c r="G724" i="1"/>
  <c r="F724" i="1"/>
  <c r="P723" i="1"/>
  <c r="O723" i="1"/>
  <c r="L723" i="1"/>
  <c r="N723" i="1" s="1"/>
  <c r="G723" i="1"/>
  <c r="F723" i="1"/>
  <c r="P722" i="1"/>
  <c r="O722" i="1"/>
  <c r="L722" i="1"/>
  <c r="N722" i="1" s="1"/>
  <c r="G722" i="1"/>
  <c r="F722" i="1"/>
  <c r="P721" i="1"/>
  <c r="O721" i="1"/>
  <c r="L721" i="1"/>
  <c r="N721" i="1" s="1"/>
  <c r="G721" i="1"/>
  <c r="F721" i="1"/>
  <c r="P720" i="1"/>
  <c r="O720" i="1"/>
  <c r="L720" i="1"/>
  <c r="N720" i="1" s="1"/>
  <c r="G720" i="1"/>
  <c r="F720" i="1"/>
  <c r="P719" i="1"/>
  <c r="O719" i="1"/>
  <c r="L719" i="1"/>
  <c r="N719" i="1" s="1"/>
  <c r="G719" i="1"/>
  <c r="F719" i="1"/>
  <c r="P718" i="1"/>
  <c r="O718" i="1"/>
  <c r="N718" i="1"/>
  <c r="L718" i="1"/>
  <c r="G718" i="1"/>
  <c r="F718" i="1"/>
  <c r="P717" i="1"/>
  <c r="O717" i="1"/>
  <c r="L717" i="1"/>
  <c r="N717" i="1" s="1"/>
  <c r="G717" i="1"/>
  <c r="F717" i="1"/>
  <c r="P716" i="1"/>
  <c r="O716" i="1"/>
  <c r="L716" i="1"/>
  <c r="N716" i="1" s="1"/>
  <c r="G716" i="1"/>
  <c r="F716" i="1"/>
  <c r="P715" i="1"/>
  <c r="O715" i="1"/>
  <c r="L715" i="1"/>
  <c r="N715" i="1" s="1"/>
  <c r="G715" i="1"/>
  <c r="F715" i="1"/>
  <c r="P714" i="1"/>
  <c r="O714" i="1"/>
  <c r="L714" i="1"/>
  <c r="N714" i="1" s="1"/>
  <c r="G714" i="1"/>
  <c r="F714" i="1"/>
  <c r="P713" i="1"/>
  <c r="O713" i="1"/>
  <c r="L713" i="1"/>
  <c r="N713" i="1" s="1"/>
  <c r="G713" i="1"/>
  <c r="F713" i="1"/>
  <c r="P712" i="1"/>
  <c r="O712" i="1"/>
  <c r="L712" i="1"/>
  <c r="N712" i="1" s="1"/>
  <c r="G712" i="1"/>
  <c r="F712" i="1"/>
  <c r="P711" i="1"/>
  <c r="O711" i="1"/>
  <c r="L711" i="1"/>
  <c r="N711" i="1" s="1"/>
  <c r="G711" i="1"/>
  <c r="F711" i="1"/>
  <c r="P710" i="1"/>
  <c r="O710" i="1"/>
  <c r="L710" i="1"/>
  <c r="N710" i="1" s="1"/>
  <c r="G710" i="1"/>
  <c r="F710" i="1"/>
  <c r="P709" i="1"/>
  <c r="O709" i="1"/>
  <c r="L709" i="1"/>
  <c r="N709" i="1" s="1"/>
  <c r="G709" i="1"/>
  <c r="F709" i="1"/>
  <c r="P708" i="1"/>
  <c r="O708" i="1"/>
  <c r="L708" i="1"/>
  <c r="N708" i="1" s="1"/>
  <c r="G708" i="1"/>
  <c r="F708" i="1"/>
  <c r="P707" i="1"/>
  <c r="O707" i="1"/>
  <c r="L707" i="1"/>
  <c r="N707" i="1" s="1"/>
  <c r="G707" i="1"/>
  <c r="F707" i="1"/>
  <c r="P706" i="1"/>
  <c r="O706" i="1"/>
  <c r="L706" i="1"/>
  <c r="N706" i="1" s="1"/>
  <c r="G706" i="1"/>
  <c r="F706" i="1"/>
  <c r="P705" i="1"/>
  <c r="O705" i="1"/>
  <c r="L705" i="1"/>
  <c r="N705" i="1" s="1"/>
  <c r="G705" i="1"/>
  <c r="F705" i="1"/>
  <c r="P704" i="1"/>
  <c r="O704" i="1"/>
  <c r="L704" i="1"/>
  <c r="N704" i="1" s="1"/>
  <c r="G704" i="1"/>
  <c r="F704" i="1"/>
  <c r="P703" i="1"/>
  <c r="O703" i="1"/>
  <c r="L703" i="1"/>
  <c r="N703" i="1" s="1"/>
  <c r="G703" i="1"/>
  <c r="F703" i="1"/>
  <c r="P702" i="1"/>
  <c r="O702" i="1"/>
  <c r="L702" i="1"/>
  <c r="N702" i="1" s="1"/>
  <c r="G702" i="1"/>
  <c r="F702" i="1"/>
  <c r="P701" i="1"/>
  <c r="O701" i="1"/>
  <c r="L701" i="1"/>
  <c r="N701" i="1" s="1"/>
  <c r="G701" i="1"/>
  <c r="F701" i="1"/>
  <c r="P700" i="1"/>
  <c r="O700" i="1"/>
  <c r="L700" i="1"/>
  <c r="N700" i="1" s="1"/>
  <c r="G700" i="1"/>
  <c r="F700" i="1"/>
  <c r="P699" i="1"/>
  <c r="O699" i="1"/>
  <c r="L699" i="1"/>
  <c r="N699" i="1" s="1"/>
  <c r="G699" i="1"/>
  <c r="F699" i="1"/>
  <c r="P698" i="1"/>
  <c r="O698" i="1"/>
  <c r="L698" i="1"/>
  <c r="N698" i="1" s="1"/>
  <c r="G698" i="1"/>
  <c r="F698" i="1"/>
  <c r="P697" i="1"/>
  <c r="O697" i="1"/>
  <c r="L697" i="1"/>
  <c r="N697" i="1" s="1"/>
  <c r="G697" i="1"/>
  <c r="F697" i="1"/>
  <c r="P696" i="1"/>
  <c r="O696" i="1"/>
  <c r="L696" i="1"/>
  <c r="N696" i="1" s="1"/>
  <c r="G696" i="1"/>
  <c r="F696" i="1"/>
  <c r="P695" i="1"/>
  <c r="O695" i="1"/>
  <c r="L695" i="1"/>
  <c r="N695" i="1" s="1"/>
  <c r="G695" i="1"/>
  <c r="F695" i="1"/>
  <c r="P694" i="1"/>
  <c r="O694" i="1"/>
  <c r="L694" i="1"/>
  <c r="N694" i="1" s="1"/>
  <c r="G694" i="1"/>
  <c r="F694" i="1"/>
  <c r="P693" i="1"/>
  <c r="O693" i="1"/>
  <c r="L693" i="1"/>
  <c r="N693" i="1" s="1"/>
  <c r="G693" i="1"/>
  <c r="F693" i="1"/>
  <c r="P692" i="1"/>
  <c r="O692" i="1"/>
  <c r="L692" i="1"/>
  <c r="N692" i="1" s="1"/>
  <c r="G692" i="1"/>
  <c r="F692" i="1"/>
  <c r="P691" i="1"/>
  <c r="O691" i="1"/>
  <c r="L691" i="1"/>
  <c r="N691" i="1" s="1"/>
  <c r="G691" i="1"/>
  <c r="F691" i="1"/>
  <c r="P690" i="1"/>
  <c r="O690" i="1"/>
  <c r="L690" i="1"/>
  <c r="N690" i="1" s="1"/>
  <c r="G690" i="1"/>
  <c r="F690" i="1"/>
  <c r="P689" i="1"/>
  <c r="O689" i="1"/>
  <c r="L689" i="1"/>
  <c r="N689" i="1" s="1"/>
  <c r="G689" i="1"/>
  <c r="F689" i="1"/>
  <c r="P688" i="1"/>
  <c r="O688" i="1"/>
  <c r="L688" i="1"/>
  <c r="N688" i="1" s="1"/>
  <c r="G688" i="1"/>
  <c r="F688" i="1"/>
  <c r="P687" i="1"/>
  <c r="O687" i="1"/>
  <c r="L687" i="1"/>
  <c r="N687" i="1" s="1"/>
  <c r="G687" i="1"/>
  <c r="F687" i="1"/>
  <c r="P686" i="1"/>
  <c r="O686" i="1"/>
  <c r="L686" i="1"/>
  <c r="N686" i="1" s="1"/>
  <c r="G686" i="1"/>
  <c r="F686" i="1"/>
  <c r="P685" i="1"/>
  <c r="O685" i="1"/>
  <c r="L685" i="1"/>
  <c r="N685" i="1" s="1"/>
  <c r="G685" i="1"/>
  <c r="F685" i="1"/>
  <c r="P684" i="1"/>
  <c r="O684" i="1"/>
  <c r="L684" i="1"/>
  <c r="N684" i="1" s="1"/>
  <c r="G684" i="1"/>
  <c r="F684" i="1"/>
  <c r="P683" i="1"/>
  <c r="O683" i="1"/>
  <c r="L683" i="1"/>
  <c r="N683" i="1" s="1"/>
  <c r="G683" i="1"/>
  <c r="F683" i="1"/>
  <c r="P682" i="1"/>
  <c r="O682" i="1"/>
  <c r="L682" i="1"/>
  <c r="N682" i="1" s="1"/>
  <c r="G682" i="1"/>
  <c r="F682" i="1"/>
  <c r="P681" i="1"/>
  <c r="O681" i="1"/>
  <c r="L681" i="1"/>
  <c r="N681" i="1" s="1"/>
  <c r="G681" i="1"/>
  <c r="F681" i="1"/>
  <c r="P680" i="1"/>
  <c r="O680" i="1"/>
  <c r="L680" i="1"/>
  <c r="N680" i="1" s="1"/>
  <c r="G680" i="1"/>
  <c r="F680" i="1"/>
  <c r="P679" i="1"/>
  <c r="O679" i="1"/>
  <c r="L679" i="1"/>
  <c r="N679" i="1" s="1"/>
  <c r="G679" i="1"/>
  <c r="F679" i="1"/>
  <c r="P678" i="1"/>
  <c r="O678" i="1"/>
  <c r="L678" i="1"/>
  <c r="N678" i="1" s="1"/>
  <c r="G678" i="1"/>
  <c r="F678" i="1"/>
  <c r="P677" i="1"/>
  <c r="O677" i="1"/>
  <c r="L677" i="1"/>
  <c r="N677" i="1" s="1"/>
  <c r="G677" i="1"/>
  <c r="F677" i="1"/>
  <c r="P676" i="1"/>
  <c r="O676" i="1"/>
  <c r="L676" i="1"/>
  <c r="N676" i="1" s="1"/>
  <c r="G676" i="1"/>
  <c r="F676" i="1"/>
  <c r="P675" i="1"/>
  <c r="O675" i="1"/>
  <c r="L675" i="1"/>
  <c r="N675" i="1" s="1"/>
  <c r="G675" i="1"/>
  <c r="F675" i="1"/>
  <c r="P674" i="1"/>
  <c r="O674" i="1"/>
  <c r="L674" i="1"/>
  <c r="N674" i="1" s="1"/>
  <c r="G674" i="1"/>
  <c r="F674" i="1"/>
  <c r="P673" i="1"/>
  <c r="O673" i="1"/>
  <c r="L673" i="1"/>
  <c r="N673" i="1" s="1"/>
  <c r="G673" i="1"/>
  <c r="F673" i="1"/>
  <c r="P672" i="1"/>
  <c r="O672" i="1"/>
  <c r="L672" i="1"/>
  <c r="N672" i="1" s="1"/>
  <c r="G672" i="1"/>
  <c r="F672" i="1"/>
  <c r="P671" i="1"/>
  <c r="O671" i="1"/>
  <c r="L671" i="1"/>
  <c r="N671" i="1" s="1"/>
  <c r="G671" i="1"/>
  <c r="F671" i="1"/>
  <c r="P670" i="1"/>
  <c r="O670" i="1"/>
  <c r="L670" i="1"/>
  <c r="N670" i="1" s="1"/>
  <c r="G670" i="1"/>
  <c r="F670" i="1"/>
  <c r="P669" i="1"/>
  <c r="O669" i="1"/>
  <c r="L669" i="1"/>
  <c r="N669" i="1" s="1"/>
  <c r="G669" i="1"/>
  <c r="F669" i="1"/>
  <c r="P668" i="1"/>
  <c r="O668" i="1"/>
  <c r="L668" i="1"/>
  <c r="N668" i="1" s="1"/>
  <c r="G668" i="1"/>
  <c r="F668" i="1"/>
  <c r="P667" i="1"/>
  <c r="O667" i="1"/>
  <c r="L667" i="1"/>
  <c r="N667" i="1" s="1"/>
  <c r="G667" i="1"/>
  <c r="F667" i="1"/>
  <c r="P666" i="1"/>
  <c r="O666" i="1"/>
  <c r="N666" i="1"/>
  <c r="L666" i="1"/>
  <c r="G666" i="1"/>
  <c r="F666" i="1"/>
  <c r="P665" i="1"/>
  <c r="O665" i="1"/>
  <c r="L665" i="1"/>
  <c r="N665" i="1" s="1"/>
  <c r="G665" i="1"/>
  <c r="F665" i="1"/>
  <c r="P664" i="1"/>
  <c r="O664" i="1"/>
  <c r="L664" i="1"/>
  <c r="N664" i="1" s="1"/>
  <c r="G664" i="1"/>
  <c r="F664" i="1"/>
  <c r="P663" i="1"/>
  <c r="O663" i="1"/>
  <c r="L663" i="1"/>
  <c r="N663" i="1" s="1"/>
  <c r="G663" i="1"/>
  <c r="F663" i="1"/>
  <c r="P662" i="1"/>
  <c r="O662" i="1"/>
  <c r="L662" i="1"/>
  <c r="N662" i="1" s="1"/>
  <c r="G662" i="1"/>
  <c r="F662" i="1"/>
  <c r="P661" i="1"/>
  <c r="O661" i="1"/>
  <c r="L661" i="1"/>
  <c r="N661" i="1" s="1"/>
  <c r="G661" i="1"/>
  <c r="F661" i="1"/>
  <c r="P660" i="1"/>
  <c r="O660" i="1"/>
  <c r="L660" i="1"/>
  <c r="N660" i="1" s="1"/>
  <c r="G660" i="1"/>
  <c r="F660" i="1"/>
  <c r="P659" i="1"/>
  <c r="O659" i="1"/>
  <c r="L659" i="1"/>
  <c r="N659" i="1" s="1"/>
  <c r="G659" i="1"/>
  <c r="F659" i="1"/>
  <c r="P658" i="1"/>
  <c r="O658" i="1"/>
  <c r="L658" i="1"/>
  <c r="N658" i="1" s="1"/>
  <c r="G658" i="1"/>
  <c r="F658" i="1"/>
  <c r="P657" i="1"/>
  <c r="O657" i="1"/>
  <c r="L657" i="1"/>
  <c r="N657" i="1" s="1"/>
  <c r="G657" i="1"/>
  <c r="F657" i="1"/>
  <c r="P656" i="1"/>
  <c r="O656" i="1"/>
  <c r="L656" i="1"/>
  <c r="N656" i="1" s="1"/>
  <c r="G656" i="1"/>
  <c r="F656" i="1"/>
  <c r="P655" i="1"/>
  <c r="O655" i="1"/>
  <c r="L655" i="1"/>
  <c r="N655" i="1" s="1"/>
  <c r="G655" i="1"/>
  <c r="F655" i="1"/>
  <c r="P654" i="1"/>
  <c r="O654" i="1"/>
  <c r="L654" i="1"/>
  <c r="N654" i="1" s="1"/>
  <c r="G654" i="1"/>
  <c r="F654" i="1"/>
  <c r="P653" i="1"/>
  <c r="O653" i="1"/>
  <c r="L653" i="1"/>
  <c r="N653" i="1" s="1"/>
  <c r="G653" i="1"/>
  <c r="F653" i="1"/>
  <c r="P652" i="1"/>
  <c r="O652" i="1"/>
  <c r="L652" i="1"/>
  <c r="N652" i="1" s="1"/>
  <c r="G652" i="1"/>
  <c r="F652" i="1"/>
  <c r="P651" i="1"/>
  <c r="O651" i="1"/>
  <c r="L651" i="1"/>
  <c r="N651" i="1" s="1"/>
  <c r="G651" i="1"/>
  <c r="F651" i="1"/>
  <c r="P650" i="1"/>
  <c r="O650" i="1"/>
  <c r="L650" i="1"/>
  <c r="N650" i="1" s="1"/>
  <c r="G650" i="1"/>
  <c r="F650" i="1"/>
  <c r="P649" i="1"/>
  <c r="O649" i="1"/>
  <c r="L649" i="1"/>
  <c r="N649" i="1" s="1"/>
  <c r="G649" i="1"/>
  <c r="F649" i="1"/>
  <c r="P648" i="1"/>
  <c r="O648" i="1"/>
  <c r="L648" i="1"/>
  <c r="N648" i="1" s="1"/>
  <c r="G648" i="1"/>
  <c r="F648" i="1"/>
  <c r="P647" i="1"/>
  <c r="O647" i="1"/>
  <c r="L647" i="1"/>
  <c r="N647" i="1" s="1"/>
  <c r="G647" i="1"/>
  <c r="F647" i="1"/>
  <c r="P646" i="1"/>
  <c r="O646" i="1"/>
  <c r="L646" i="1"/>
  <c r="N646" i="1" s="1"/>
  <c r="G646" i="1"/>
  <c r="F646" i="1"/>
  <c r="P645" i="1"/>
  <c r="O645" i="1"/>
  <c r="L645" i="1"/>
  <c r="N645" i="1" s="1"/>
  <c r="G645" i="1"/>
  <c r="F645" i="1"/>
  <c r="P644" i="1"/>
  <c r="O644" i="1"/>
  <c r="L644" i="1"/>
  <c r="N644" i="1" s="1"/>
  <c r="G644" i="1"/>
  <c r="F644" i="1"/>
  <c r="P643" i="1"/>
  <c r="O643" i="1"/>
  <c r="L643" i="1"/>
  <c r="N643" i="1" s="1"/>
  <c r="G643" i="1"/>
  <c r="F643" i="1"/>
  <c r="P642" i="1"/>
  <c r="O642" i="1"/>
  <c r="L642" i="1"/>
  <c r="N642" i="1" s="1"/>
  <c r="G642" i="1"/>
  <c r="F642" i="1"/>
  <c r="P641" i="1"/>
  <c r="O641" i="1"/>
  <c r="L641" i="1"/>
  <c r="N641" i="1" s="1"/>
  <c r="G641" i="1"/>
  <c r="F641" i="1"/>
  <c r="P640" i="1"/>
  <c r="O640" i="1"/>
  <c r="L640" i="1"/>
  <c r="N640" i="1" s="1"/>
  <c r="G640" i="1"/>
  <c r="F640" i="1"/>
  <c r="P639" i="1"/>
  <c r="O639" i="1"/>
  <c r="L639" i="1"/>
  <c r="N639" i="1" s="1"/>
  <c r="G639" i="1"/>
  <c r="F639" i="1"/>
  <c r="P638" i="1"/>
  <c r="O638" i="1"/>
  <c r="L638" i="1"/>
  <c r="N638" i="1" s="1"/>
  <c r="G638" i="1"/>
  <c r="F638" i="1"/>
  <c r="P637" i="1"/>
  <c r="O637" i="1"/>
  <c r="L637" i="1"/>
  <c r="N637" i="1" s="1"/>
  <c r="G637" i="1"/>
  <c r="F637" i="1"/>
  <c r="P636" i="1"/>
  <c r="O636" i="1"/>
  <c r="L636" i="1"/>
  <c r="N636" i="1" s="1"/>
  <c r="G636" i="1"/>
  <c r="F636" i="1"/>
  <c r="P635" i="1"/>
  <c r="O635" i="1"/>
  <c r="L635" i="1"/>
  <c r="N635" i="1" s="1"/>
  <c r="G635" i="1"/>
  <c r="F635" i="1"/>
  <c r="P634" i="1"/>
  <c r="O634" i="1"/>
  <c r="L634" i="1"/>
  <c r="N634" i="1" s="1"/>
  <c r="G634" i="1"/>
  <c r="F634" i="1"/>
  <c r="P633" i="1"/>
  <c r="O633" i="1"/>
  <c r="L633" i="1"/>
  <c r="N633" i="1" s="1"/>
  <c r="G633" i="1"/>
  <c r="F633" i="1"/>
  <c r="P632" i="1"/>
  <c r="O632" i="1"/>
  <c r="L632" i="1"/>
  <c r="N632" i="1" s="1"/>
  <c r="G632" i="1"/>
  <c r="F632" i="1"/>
  <c r="P631" i="1"/>
  <c r="O631" i="1"/>
  <c r="L631" i="1"/>
  <c r="N631" i="1" s="1"/>
  <c r="G631" i="1"/>
  <c r="F631" i="1"/>
  <c r="P630" i="1"/>
  <c r="O630" i="1"/>
  <c r="L630" i="1"/>
  <c r="N630" i="1" s="1"/>
  <c r="G630" i="1"/>
  <c r="F630" i="1"/>
  <c r="P629" i="1"/>
  <c r="O629" i="1"/>
  <c r="L629" i="1"/>
  <c r="N629" i="1" s="1"/>
  <c r="G629" i="1"/>
  <c r="F629" i="1"/>
  <c r="P628" i="1"/>
  <c r="O628" i="1"/>
  <c r="L628" i="1"/>
  <c r="N628" i="1" s="1"/>
  <c r="G628" i="1"/>
  <c r="F628" i="1"/>
  <c r="P627" i="1"/>
  <c r="O627" i="1"/>
  <c r="L627" i="1"/>
  <c r="N627" i="1" s="1"/>
  <c r="G627" i="1"/>
  <c r="F627" i="1"/>
  <c r="P626" i="1"/>
  <c r="O626" i="1"/>
  <c r="L626" i="1"/>
  <c r="N626" i="1" s="1"/>
  <c r="G626" i="1"/>
  <c r="F626" i="1"/>
  <c r="P625" i="1"/>
  <c r="O625" i="1"/>
  <c r="L625" i="1"/>
  <c r="N625" i="1" s="1"/>
  <c r="G625" i="1"/>
  <c r="F625" i="1"/>
  <c r="P624" i="1"/>
  <c r="O624" i="1"/>
  <c r="L624" i="1"/>
  <c r="N624" i="1" s="1"/>
  <c r="G624" i="1"/>
  <c r="F624" i="1"/>
  <c r="P623" i="1"/>
  <c r="O623" i="1"/>
  <c r="L623" i="1"/>
  <c r="N623" i="1" s="1"/>
  <c r="G623" i="1"/>
  <c r="F623" i="1"/>
  <c r="P622" i="1"/>
  <c r="O622" i="1"/>
  <c r="L622" i="1"/>
  <c r="N622" i="1" s="1"/>
  <c r="G622" i="1"/>
  <c r="F622" i="1"/>
  <c r="P621" i="1"/>
  <c r="O621" i="1"/>
  <c r="L621" i="1"/>
  <c r="N621" i="1" s="1"/>
  <c r="G621" i="1"/>
  <c r="F621" i="1"/>
  <c r="P620" i="1"/>
  <c r="O620" i="1"/>
  <c r="L620" i="1"/>
  <c r="N620" i="1" s="1"/>
  <c r="G620" i="1"/>
  <c r="F620" i="1"/>
  <c r="P619" i="1"/>
  <c r="O619" i="1"/>
  <c r="L619" i="1"/>
  <c r="N619" i="1" s="1"/>
  <c r="G619" i="1"/>
  <c r="F619" i="1"/>
  <c r="P618" i="1"/>
  <c r="O618" i="1"/>
  <c r="L618" i="1"/>
  <c r="N618" i="1" s="1"/>
  <c r="G618" i="1"/>
  <c r="F618" i="1"/>
  <c r="P617" i="1"/>
  <c r="O617" i="1"/>
  <c r="L617" i="1"/>
  <c r="N617" i="1" s="1"/>
  <c r="G617" i="1"/>
  <c r="F617" i="1"/>
  <c r="P616" i="1"/>
  <c r="O616" i="1"/>
  <c r="L616" i="1"/>
  <c r="N616" i="1" s="1"/>
  <c r="G616" i="1"/>
  <c r="F616" i="1"/>
  <c r="P615" i="1"/>
  <c r="O615" i="1"/>
  <c r="L615" i="1"/>
  <c r="N615" i="1" s="1"/>
  <c r="G615" i="1"/>
  <c r="F615" i="1"/>
  <c r="P614" i="1"/>
  <c r="O614" i="1"/>
  <c r="L614" i="1"/>
  <c r="N614" i="1" s="1"/>
  <c r="G614" i="1"/>
  <c r="F614" i="1"/>
  <c r="P613" i="1"/>
  <c r="O613" i="1"/>
  <c r="L613" i="1"/>
  <c r="N613" i="1" s="1"/>
  <c r="G613" i="1"/>
  <c r="F613" i="1"/>
  <c r="P612" i="1"/>
  <c r="O612" i="1"/>
  <c r="L612" i="1"/>
  <c r="N612" i="1" s="1"/>
  <c r="G612" i="1"/>
  <c r="F612" i="1"/>
  <c r="P611" i="1"/>
  <c r="O611" i="1"/>
  <c r="L611" i="1"/>
  <c r="N611" i="1" s="1"/>
  <c r="G611" i="1"/>
  <c r="F611" i="1"/>
  <c r="P610" i="1"/>
  <c r="O610" i="1"/>
  <c r="L610" i="1"/>
  <c r="N610" i="1" s="1"/>
  <c r="G610" i="1"/>
  <c r="F610" i="1"/>
  <c r="P609" i="1"/>
  <c r="O609" i="1"/>
  <c r="L609" i="1"/>
  <c r="N609" i="1" s="1"/>
  <c r="G609" i="1"/>
  <c r="F609" i="1"/>
  <c r="P608" i="1"/>
  <c r="O608" i="1"/>
  <c r="L608" i="1"/>
  <c r="N608" i="1" s="1"/>
  <c r="G608" i="1"/>
  <c r="F608" i="1"/>
  <c r="P607" i="1"/>
  <c r="O607" i="1"/>
  <c r="L607" i="1"/>
  <c r="N607" i="1" s="1"/>
  <c r="G607" i="1"/>
  <c r="F607" i="1"/>
  <c r="P606" i="1"/>
  <c r="O606" i="1"/>
  <c r="L606" i="1"/>
  <c r="N606" i="1" s="1"/>
  <c r="G606" i="1"/>
  <c r="F606" i="1"/>
  <c r="P605" i="1"/>
  <c r="O605" i="1"/>
  <c r="L605" i="1"/>
  <c r="N605" i="1" s="1"/>
  <c r="G605" i="1"/>
  <c r="F605" i="1"/>
  <c r="P604" i="1"/>
  <c r="O604" i="1"/>
  <c r="L604" i="1"/>
  <c r="N604" i="1" s="1"/>
  <c r="G604" i="1"/>
  <c r="F604" i="1"/>
  <c r="P603" i="1"/>
  <c r="O603" i="1"/>
  <c r="L603" i="1"/>
  <c r="N603" i="1" s="1"/>
  <c r="G603" i="1"/>
  <c r="F603" i="1"/>
  <c r="P602" i="1"/>
  <c r="O602" i="1"/>
  <c r="L602" i="1"/>
  <c r="N602" i="1" s="1"/>
  <c r="G602" i="1"/>
  <c r="F602" i="1"/>
  <c r="P601" i="1"/>
  <c r="O601" i="1"/>
  <c r="L601" i="1"/>
  <c r="N601" i="1" s="1"/>
  <c r="G601" i="1"/>
  <c r="F601" i="1"/>
  <c r="P600" i="1"/>
  <c r="O600" i="1"/>
  <c r="L600" i="1"/>
  <c r="N600" i="1" s="1"/>
  <c r="G600" i="1"/>
  <c r="F600" i="1"/>
  <c r="P599" i="1"/>
  <c r="O599" i="1"/>
  <c r="L599" i="1"/>
  <c r="N599" i="1" s="1"/>
  <c r="G599" i="1"/>
  <c r="F599" i="1"/>
  <c r="P598" i="1"/>
  <c r="N598" i="1"/>
  <c r="N597" i="1"/>
  <c r="P597" i="1" s="1"/>
  <c r="N596" i="1"/>
  <c r="P596" i="1" s="1"/>
  <c r="P595" i="1"/>
  <c r="N595" i="1"/>
  <c r="N594" i="1"/>
  <c r="P594" i="1" s="1"/>
  <c r="N593" i="1"/>
  <c r="P593" i="1" s="1"/>
  <c r="N592" i="1"/>
  <c r="P592" i="1" s="1"/>
  <c r="N591" i="1"/>
  <c r="P591" i="1" s="1"/>
  <c r="N590" i="1"/>
  <c r="P590" i="1" s="1"/>
  <c r="P589" i="1"/>
  <c r="N589" i="1"/>
  <c r="N588" i="1"/>
  <c r="P588" i="1" s="1"/>
  <c r="N587" i="1"/>
  <c r="P587" i="1" s="1"/>
  <c r="N586" i="1"/>
  <c r="P586" i="1" s="1"/>
  <c r="N585" i="1"/>
  <c r="P585" i="1" s="1"/>
  <c r="N584" i="1"/>
  <c r="P584" i="1" s="1"/>
  <c r="N583" i="1"/>
  <c r="P583" i="1" s="1"/>
  <c r="N582" i="1"/>
  <c r="P582" i="1" s="1"/>
  <c r="N581" i="1"/>
  <c r="P581" i="1" s="1"/>
  <c r="N580" i="1"/>
  <c r="P580" i="1" s="1"/>
  <c r="N579" i="1"/>
  <c r="P579" i="1" s="1"/>
  <c r="N578" i="1"/>
  <c r="P578" i="1" s="1"/>
  <c r="P577" i="1"/>
  <c r="N577" i="1"/>
  <c r="N576" i="1"/>
  <c r="P576" i="1" s="1"/>
  <c r="P575" i="1"/>
  <c r="N575" i="1"/>
  <c r="N574" i="1"/>
  <c r="P574" i="1" s="1"/>
  <c r="N573" i="1"/>
  <c r="P573" i="1" s="1"/>
  <c r="N572" i="1"/>
  <c r="P572" i="1" s="1"/>
  <c r="N571" i="1"/>
  <c r="P571" i="1" s="1"/>
  <c r="N570" i="1"/>
  <c r="P570" i="1" s="1"/>
  <c r="N569" i="1"/>
  <c r="P569" i="1" s="1"/>
  <c r="N568" i="1"/>
  <c r="P568" i="1" s="1"/>
  <c r="N567" i="1"/>
  <c r="P567" i="1" s="1"/>
  <c r="P566" i="1"/>
  <c r="N566" i="1"/>
  <c r="N565" i="1"/>
  <c r="P565" i="1" s="1"/>
  <c r="N564" i="1"/>
  <c r="P564" i="1" s="1"/>
  <c r="P563" i="1"/>
  <c r="N563" i="1"/>
  <c r="N562" i="1"/>
  <c r="P562" i="1" s="1"/>
  <c r="N561" i="1"/>
  <c r="P561" i="1" s="1"/>
  <c r="N560" i="1"/>
  <c r="P560" i="1" s="1"/>
  <c r="N559" i="1"/>
  <c r="P559" i="1" s="1"/>
  <c r="N558" i="1"/>
  <c r="P558" i="1" s="1"/>
  <c r="P557" i="1"/>
  <c r="N557" i="1"/>
  <c r="N556" i="1"/>
  <c r="P556" i="1" s="1"/>
  <c r="N555" i="1"/>
  <c r="P555" i="1" s="1"/>
  <c r="P554" i="1"/>
  <c r="N554" i="1"/>
  <c r="P553" i="1"/>
  <c r="N553" i="1"/>
  <c r="N552" i="1"/>
  <c r="P552" i="1" s="1"/>
  <c r="P551" i="1"/>
  <c r="N551" i="1"/>
  <c r="N550" i="1"/>
  <c r="P550" i="1" s="1"/>
  <c r="N549" i="1"/>
  <c r="P549" i="1" s="1"/>
  <c r="N548" i="1"/>
  <c r="P548" i="1" s="1"/>
  <c r="N547" i="1"/>
  <c r="P547" i="1" s="1"/>
  <c r="N546" i="1"/>
  <c r="P546" i="1" s="1"/>
  <c r="P545" i="1"/>
  <c r="N545" i="1"/>
  <c r="N544" i="1"/>
  <c r="P544" i="1" s="1"/>
  <c r="N543" i="1"/>
  <c r="P543" i="1" s="1"/>
  <c r="N542" i="1"/>
  <c r="P542" i="1" s="1"/>
  <c r="N541" i="1"/>
  <c r="P541" i="1" s="1"/>
  <c r="N540" i="1"/>
  <c r="P540" i="1" s="1"/>
  <c r="N539" i="1"/>
  <c r="P539" i="1" s="1"/>
  <c r="N538" i="1"/>
  <c r="P538" i="1" s="1"/>
  <c r="N537" i="1"/>
  <c r="P537" i="1" s="1"/>
  <c r="P536" i="1"/>
  <c r="N536" i="1"/>
  <c r="N535" i="1"/>
  <c r="P535" i="1" s="1"/>
  <c r="P534" i="1"/>
  <c r="N534" i="1"/>
  <c r="N533" i="1"/>
  <c r="P533" i="1" s="1"/>
  <c r="N532" i="1"/>
  <c r="P532" i="1" s="1"/>
  <c r="N531" i="1"/>
  <c r="P531" i="1" s="1"/>
  <c r="N530" i="1"/>
  <c r="P530" i="1" s="1"/>
  <c r="N529" i="1"/>
  <c r="P529" i="1" s="1"/>
  <c r="N528" i="1"/>
  <c r="P528" i="1" s="1"/>
  <c r="N527" i="1"/>
  <c r="P527" i="1" s="1"/>
  <c r="N526" i="1"/>
  <c r="P526" i="1" s="1"/>
  <c r="N525" i="1"/>
  <c r="P525" i="1" s="1"/>
  <c r="N524" i="1"/>
  <c r="P524" i="1" s="1"/>
  <c r="N523" i="1"/>
  <c r="P523" i="1" s="1"/>
  <c r="N522" i="1"/>
  <c r="P522" i="1" s="1"/>
  <c r="P521" i="1"/>
  <c r="N521" i="1"/>
  <c r="N520" i="1"/>
  <c r="P520" i="1" s="1"/>
  <c r="N519" i="1"/>
  <c r="P519" i="1" s="1"/>
  <c r="N518" i="1"/>
  <c r="P518" i="1" s="1"/>
  <c r="N517" i="1"/>
  <c r="P517" i="1" s="1"/>
  <c r="N516" i="1"/>
  <c r="N515" i="1"/>
  <c r="P515" i="1" s="1"/>
  <c r="N514" i="1"/>
  <c r="P513" i="1"/>
  <c r="N513" i="1"/>
  <c r="N512" i="1"/>
  <c r="N511" i="1"/>
  <c r="P511" i="1" s="1"/>
  <c r="N510" i="1"/>
  <c r="P510" i="1" s="1"/>
  <c r="N509" i="1"/>
  <c r="N508" i="1"/>
  <c r="P508" i="1" s="1"/>
  <c r="N507" i="1"/>
  <c r="P507" i="1" s="1"/>
  <c r="N506" i="1"/>
  <c r="N505" i="1"/>
  <c r="N504" i="1"/>
  <c r="P504" i="1" s="1"/>
  <c r="N503" i="1"/>
  <c r="N502" i="1"/>
  <c r="P502" i="1" s="1"/>
  <c r="N501" i="1"/>
  <c r="P501" i="1" s="1"/>
  <c r="N500" i="1"/>
  <c r="N499" i="1"/>
  <c r="P499" i="1" s="1"/>
  <c r="N498" i="1"/>
  <c r="P498" i="1" s="1"/>
  <c r="N497" i="1"/>
  <c r="P496" i="1"/>
  <c r="N496" i="1"/>
  <c r="N495" i="1"/>
  <c r="N494" i="1"/>
  <c r="P494" i="1" s="1"/>
  <c r="N493" i="1"/>
  <c r="P493" i="1" s="1"/>
  <c r="N492" i="1"/>
  <c r="N491" i="1"/>
  <c r="P491" i="1" s="1"/>
  <c r="P490" i="1"/>
  <c r="N490" i="1"/>
  <c r="N489" i="1"/>
  <c r="N488" i="1"/>
  <c r="P488" i="1" s="1"/>
  <c r="N487" i="1"/>
  <c r="N486" i="1"/>
  <c r="P486" i="1" s="1"/>
  <c r="N485" i="1"/>
  <c r="N484" i="1"/>
  <c r="N483" i="1"/>
  <c r="P483" i="1" s="1"/>
  <c r="P482" i="1"/>
  <c r="N482" i="1"/>
  <c r="N481" i="1"/>
  <c r="N480" i="1"/>
  <c r="P480" i="1" s="1"/>
  <c r="N479" i="1"/>
  <c r="P479" i="1" s="1"/>
  <c r="N478" i="1"/>
  <c r="P478" i="1" s="1"/>
  <c r="N477" i="1"/>
  <c r="N476" i="1"/>
  <c r="N475" i="1"/>
  <c r="P475" i="1" s="1"/>
  <c r="N474" i="1"/>
  <c r="P474" i="1" s="1"/>
  <c r="N473" i="1"/>
  <c r="N472" i="1"/>
  <c r="P472" i="1" s="1"/>
  <c r="N471" i="1"/>
  <c r="P470" i="1"/>
  <c r="N470" i="1"/>
  <c r="N469" i="1"/>
  <c r="P469" i="1" s="1"/>
  <c r="N468" i="1"/>
  <c r="P468" i="1" s="1"/>
  <c r="N467" i="1"/>
  <c r="N466" i="1"/>
  <c r="P466" i="1" s="1"/>
  <c r="N465" i="1"/>
  <c r="P465" i="1" s="1"/>
  <c r="N464" i="1"/>
  <c r="P463" i="1"/>
  <c r="N463" i="1"/>
  <c r="N462" i="1"/>
  <c r="P462" i="1" s="1"/>
  <c r="N461" i="1"/>
  <c r="N460" i="1"/>
  <c r="P460" i="1" s="1"/>
  <c r="N459" i="1"/>
  <c r="N458" i="1"/>
  <c r="P458" i="1" s="1"/>
  <c r="P457" i="1"/>
  <c r="N457" i="1"/>
  <c r="N456" i="1"/>
  <c r="N455" i="1"/>
  <c r="P455" i="1" s="1"/>
  <c r="P454" i="1"/>
  <c r="N454" i="1"/>
  <c r="N453" i="1"/>
  <c r="N452" i="1"/>
  <c r="P452" i="1" s="1"/>
  <c r="N451" i="1"/>
  <c r="N450" i="1"/>
  <c r="P450" i="1" s="1"/>
  <c r="N449" i="1"/>
  <c r="P449" i="1" s="1"/>
  <c r="N448" i="1"/>
  <c r="P447" i="1"/>
  <c r="N447" i="1"/>
  <c r="N446" i="1"/>
  <c r="P446" i="1" s="1"/>
  <c r="N445" i="1"/>
  <c r="N444" i="1"/>
  <c r="P444" i="1" s="1"/>
  <c r="N443" i="1"/>
  <c r="N442" i="1"/>
  <c r="P441" i="1"/>
  <c r="N441" i="1"/>
  <c r="N440" i="1"/>
  <c r="N439" i="1"/>
  <c r="P439" i="1" s="1"/>
  <c r="N438" i="1"/>
  <c r="P438" i="1" s="1"/>
  <c r="N437" i="1"/>
  <c r="N436" i="1"/>
  <c r="P436" i="1" s="1"/>
  <c r="N435" i="1"/>
  <c r="N434" i="1"/>
  <c r="N433" i="1"/>
  <c r="P433" i="1" s="1"/>
  <c r="N432" i="1"/>
  <c r="P431" i="1"/>
  <c r="N431" i="1"/>
  <c r="N430" i="1"/>
  <c r="P430" i="1" s="1"/>
  <c r="N429" i="1"/>
  <c r="N428" i="1"/>
  <c r="P428" i="1" s="1"/>
  <c r="N427" i="1"/>
  <c r="N426" i="1"/>
  <c r="N425" i="1"/>
  <c r="P425" i="1" s="1"/>
  <c r="N424" i="1"/>
  <c r="N423" i="1"/>
  <c r="P423" i="1" s="1"/>
  <c r="N422" i="1"/>
  <c r="P422" i="1" s="1"/>
  <c r="N421" i="1"/>
  <c r="N420" i="1"/>
  <c r="P420" i="1" s="1"/>
  <c r="N419" i="1"/>
  <c r="N418" i="1"/>
  <c r="N417" i="1"/>
  <c r="P417" i="1" s="1"/>
  <c r="N416" i="1"/>
  <c r="P415" i="1"/>
  <c r="N415" i="1"/>
  <c r="N414" i="1"/>
  <c r="P414" i="1" s="1"/>
  <c r="N413" i="1"/>
  <c r="N412" i="1"/>
  <c r="P412" i="1" s="1"/>
  <c r="N411" i="1"/>
  <c r="N410" i="1"/>
  <c r="N409" i="1"/>
  <c r="P409" i="1" s="1"/>
  <c r="N408" i="1"/>
  <c r="N407" i="1"/>
  <c r="P407" i="1" s="1"/>
  <c r="N406" i="1"/>
  <c r="P406" i="1" s="1"/>
  <c r="N405" i="1"/>
  <c r="P404" i="1"/>
  <c r="N404" i="1"/>
  <c r="N403" i="1"/>
  <c r="N402" i="1"/>
  <c r="N401" i="1"/>
  <c r="P401" i="1" s="1"/>
  <c r="N400" i="1"/>
  <c r="N399" i="1"/>
  <c r="P399" i="1" s="1"/>
  <c r="N398" i="1"/>
  <c r="P398" i="1" s="1"/>
  <c r="N397" i="1"/>
  <c r="N396" i="1"/>
  <c r="P396" i="1" s="1"/>
  <c r="N395" i="1"/>
  <c r="N394" i="1"/>
  <c r="N393" i="1"/>
  <c r="P393" i="1" s="1"/>
  <c r="N392" i="1"/>
  <c r="N391" i="1"/>
  <c r="P391" i="1" s="1"/>
  <c r="N390" i="1"/>
  <c r="P390" i="1" s="1"/>
  <c r="N389" i="1"/>
  <c r="N388" i="1"/>
  <c r="P388" i="1" s="1"/>
  <c r="N387" i="1"/>
  <c r="N386" i="1"/>
  <c r="N385" i="1"/>
  <c r="P385" i="1" s="1"/>
  <c r="N384" i="1"/>
  <c r="N383" i="1"/>
  <c r="P383" i="1" s="1"/>
  <c r="N382" i="1"/>
  <c r="P382" i="1" s="1"/>
  <c r="N381" i="1"/>
  <c r="N380" i="1"/>
  <c r="P380" i="1" s="1"/>
  <c r="N379" i="1"/>
  <c r="P379" i="1" s="1"/>
  <c r="N378" i="1"/>
  <c r="N377" i="1"/>
  <c r="N376" i="1"/>
  <c r="P375" i="1"/>
  <c r="N375" i="1"/>
  <c r="N374" i="1"/>
  <c r="N373" i="1"/>
  <c r="P373" i="1" s="1"/>
  <c r="P372" i="1"/>
  <c r="N372" i="1"/>
  <c r="N371" i="1"/>
  <c r="P371" i="1" s="1"/>
  <c r="N370" i="1"/>
  <c r="P370" i="1" s="1"/>
  <c r="N369" i="1"/>
  <c r="N368" i="1"/>
  <c r="N367" i="1"/>
  <c r="P367" i="1" s="1"/>
  <c r="O366" i="1"/>
  <c r="N366" i="1"/>
  <c r="N365" i="1"/>
  <c r="P365" i="1" s="1"/>
  <c r="N364" i="1"/>
  <c r="N363" i="1"/>
  <c r="N362" i="1"/>
  <c r="P362" i="1" s="1"/>
  <c r="N361" i="1"/>
  <c r="P361" i="1" s="1"/>
  <c r="P360" i="1"/>
  <c r="N360" i="1"/>
  <c r="N359" i="1"/>
  <c r="N358" i="1"/>
  <c r="P358" i="1" s="1"/>
  <c r="P357" i="1"/>
  <c r="N357" i="1"/>
  <c r="N356" i="1"/>
  <c r="N355" i="1"/>
  <c r="P355" i="1" s="1"/>
  <c r="N354" i="1"/>
  <c r="P354" i="1" s="1"/>
  <c r="N353" i="1"/>
  <c r="P353" i="1" s="1"/>
  <c r="P352" i="1"/>
  <c r="N352" i="1"/>
  <c r="N351" i="1"/>
  <c r="N350" i="1"/>
  <c r="P350" i="1" s="1"/>
  <c r="P349" i="1"/>
  <c r="N349" i="1"/>
  <c r="N348" i="1"/>
  <c r="P347" i="1"/>
  <c r="N347" i="1"/>
  <c r="N346" i="1"/>
  <c r="P346" i="1" s="1"/>
  <c r="N345" i="1"/>
  <c r="P345" i="1" s="1"/>
  <c r="P344" i="1"/>
  <c r="N344" i="1"/>
  <c r="N343" i="1"/>
  <c r="N342" i="1"/>
  <c r="P342" i="1" s="1"/>
  <c r="N341" i="1"/>
  <c r="N340" i="1"/>
  <c r="P339" i="1"/>
  <c r="N339" i="1"/>
  <c r="N338" i="1"/>
  <c r="P338" i="1" s="1"/>
  <c r="P337" i="1"/>
  <c r="N337" i="1"/>
  <c r="N336" i="1"/>
  <c r="P336" i="1" s="1"/>
  <c r="N335" i="1"/>
  <c r="N334" i="1"/>
  <c r="P334" i="1" s="1"/>
  <c r="N333" i="1"/>
  <c r="N332" i="1"/>
  <c r="N331" i="1"/>
  <c r="P331" i="1" s="1"/>
  <c r="N330" i="1"/>
  <c r="P330" i="1" s="1"/>
  <c r="N329" i="1"/>
  <c r="P329" i="1" s="1"/>
  <c r="N328" i="1"/>
  <c r="P328" i="1" s="1"/>
  <c r="N327" i="1"/>
  <c r="N326" i="1"/>
  <c r="P326" i="1" s="1"/>
  <c r="N325" i="1"/>
  <c r="N324" i="1"/>
  <c r="P323" i="1"/>
  <c r="N323" i="1"/>
  <c r="N322" i="1"/>
  <c r="P322" i="1" s="1"/>
  <c r="N321" i="1"/>
  <c r="P321" i="1" s="1"/>
  <c r="N320" i="1"/>
  <c r="P320" i="1" s="1"/>
  <c r="N319" i="1"/>
  <c r="N318" i="1"/>
  <c r="P318" i="1" s="1"/>
  <c r="N317" i="1"/>
  <c r="N316" i="1"/>
  <c r="P315" i="1"/>
  <c r="N315" i="1"/>
  <c r="N314" i="1"/>
  <c r="P313" i="1"/>
  <c r="N313" i="1"/>
  <c r="N312" i="1"/>
  <c r="P312" i="1" s="1"/>
  <c r="N311" i="1"/>
  <c r="N310" i="1"/>
  <c r="P310" i="1" s="1"/>
  <c r="N309" i="1"/>
  <c r="N308" i="1"/>
  <c r="P308" i="1" s="1"/>
  <c r="N307" i="1"/>
  <c r="N306" i="1"/>
  <c r="P306" i="1" s="1"/>
  <c r="N305" i="1"/>
  <c r="N304" i="1"/>
  <c r="P304" i="1" s="1"/>
  <c r="P303" i="1"/>
  <c r="N303" i="1"/>
  <c r="N302" i="1"/>
  <c r="N301" i="1"/>
  <c r="P301" i="1" s="1"/>
  <c r="N300" i="1"/>
  <c r="N299" i="1"/>
  <c r="P299" i="1" s="1"/>
  <c r="N298" i="1"/>
  <c r="P298" i="1" s="1"/>
  <c r="N297" i="1"/>
  <c r="P297" i="1" s="1"/>
  <c r="P296" i="1"/>
  <c r="N296" i="1"/>
  <c r="P295" i="1"/>
  <c r="N295" i="1"/>
  <c r="N294" i="1"/>
  <c r="N293" i="1"/>
  <c r="P293" i="1" s="1"/>
  <c r="N292" i="1"/>
  <c r="N291" i="1"/>
  <c r="P291" i="1" s="1"/>
  <c r="N290" i="1"/>
  <c r="P290" i="1" s="1"/>
  <c r="N289" i="1"/>
  <c r="P289" i="1" s="1"/>
  <c r="N288" i="1"/>
  <c r="P288" i="1" s="1"/>
  <c r="N287" i="1"/>
  <c r="P287" i="1" s="1"/>
  <c r="N286" i="1"/>
  <c r="N285" i="1"/>
  <c r="P285" i="1" s="1"/>
  <c r="N284" i="1"/>
  <c r="N283" i="1"/>
  <c r="P283" i="1" s="1"/>
  <c r="N282" i="1"/>
  <c r="P282" i="1" s="1"/>
  <c r="N281" i="1"/>
  <c r="P281" i="1" s="1"/>
  <c r="P280" i="1"/>
  <c r="N280" i="1"/>
  <c r="N279" i="1"/>
  <c r="P279" i="1" s="1"/>
  <c r="N278" i="1"/>
  <c r="N277" i="1"/>
  <c r="P277" i="1" s="1"/>
  <c r="N276" i="1"/>
  <c r="N275" i="1"/>
  <c r="P275" i="1" s="1"/>
  <c r="N274" i="1"/>
  <c r="P274" i="1" s="1"/>
  <c r="N273" i="1"/>
  <c r="P273" i="1" s="1"/>
  <c r="N272" i="1"/>
  <c r="P272" i="1" s="1"/>
  <c r="N271" i="1"/>
  <c r="P271" i="1" s="1"/>
  <c r="N270" i="1"/>
  <c r="N269" i="1"/>
  <c r="P269" i="1" s="1"/>
  <c r="N268" i="1"/>
  <c r="N267" i="1"/>
  <c r="P267" i="1" s="1"/>
  <c r="P266" i="1"/>
  <c r="N266" i="1"/>
  <c r="N265" i="1"/>
  <c r="P265" i="1" s="1"/>
  <c r="N264" i="1"/>
  <c r="P264" i="1" s="1"/>
  <c r="N263" i="1"/>
  <c r="P263" i="1" s="1"/>
  <c r="N262" i="1"/>
  <c r="P261" i="1"/>
  <c r="N261" i="1"/>
  <c r="N260" i="1"/>
  <c r="N259" i="1"/>
  <c r="P259" i="1" s="1"/>
  <c r="N258" i="1"/>
  <c r="P258" i="1" s="1"/>
  <c r="N257" i="1"/>
  <c r="P257" i="1" s="1"/>
  <c r="N256" i="1"/>
  <c r="P256" i="1" s="1"/>
  <c r="P255" i="1"/>
  <c r="N255" i="1"/>
  <c r="N254" i="1"/>
  <c r="N253" i="1"/>
  <c r="P253" i="1" s="1"/>
  <c r="N252" i="1"/>
  <c r="N251" i="1"/>
  <c r="P251" i="1" s="1"/>
  <c r="N250" i="1"/>
  <c r="P250" i="1" s="1"/>
  <c r="N249" i="1"/>
  <c r="N248" i="1"/>
  <c r="P248" i="1" s="1"/>
  <c r="N247" i="1"/>
  <c r="P247" i="1" s="1"/>
  <c r="N246" i="1"/>
  <c r="N245" i="1"/>
  <c r="P245" i="1" s="1"/>
  <c r="N244" i="1"/>
  <c r="N243" i="1"/>
  <c r="N242" i="1"/>
  <c r="N241" i="1"/>
  <c r="N240" i="1"/>
  <c r="N239" i="1"/>
  <c r="P239" i="1" s="1"/>
  <c r="N238" i="1"/>
  <c r="N237" i="1"/>
  <c r="P237" i="1" s="1"/>
  <c r="N236" i="1"/>
  <c r="P236" i="1" s="1"/>
  <c r="N235" i="1"/>
  <c r="N234" i="1"/>
  <c r="N233" i="1"/>
  <c r="N232" i="1"/>
  <c r="P232" i="1" s="1"/>
  <c r="N231" i="1"/>
  <c r="P231" i="1" s="1"/>
  <c r="N230" i="1"/>
  <c r="P230" i="1" s="1"/>
  <c r="N229" i="1"/>
  <c r="P229" i="1" s="1"/>
  <c r="P228" i="1"/>
  <c r="N228" i="1"/>
  <c r="N227" i="1"/>
  <c r="N226" i="1"/>
  <c r="N225" i="1"/>
  <c r="N224" i="1"/>
  <c r="P224" i="1" s="1"/>
  <c r="N223" i="1"/>
  <c r="P223" i="1" s="1"/>
  <c r="N222" i="1"/>
  <c r="N221" i="1"/>
  <c r="P221" i="1" s="1"/>
  <c r="N220" i="1"/>
  <c r="N219" i="1"/>
  <c r="N218" i="1"/>
  <c r="N217" i="1"/>
  <c r="N216" i="1"/>
  <c r="P216" i="1" s="1"/>
  <c r="N215" i="1"/>
  <c r="P215" i="1" s="1"/>
  <c r="N214" i="1"/>
  <c r="N213" i="1"/>
  <c r="P213" i="1" s="1"/>
  <c r="N212" i="1"/>
  <c r="N211" i="1"/>
  <c r="P211" i="1" s="1"/>
  <c r="N210" i="1"/>
  <c r="N209" i="1"/>
  <c r="N208" i="1"/>
  <c r="N207" i="1"/>
  <c r="N206" i="1"/>
  <c r="P205" i="1"/>
  <c r="N205" i="1"/>
  <c r="N204" i="1"/>
  <c r="N203" i="1"/>
  <c r="P203" i="1" s="1"/>
  <c r="N202" i="1"/>
  <c r="P202" i="1" s="1"/>
  <c r="N201" i="1"/>
  <c r="P200" i="1"/>
  <c r="N200" i="1"/>
  <c r="N199" i="1"/>
  <c r="N198" i="1"/>
  <c r="N197" i="1"/>
  <c r="P197" i="1" s="1"/>
  <c r="N196" i="1"/>
  <c r="N195" i="1"/>
  <c r="P195" i="1" s="1"/>
  <c r="N194" i="1"/>
  <c r="P194" i="1" s="1"/>
  <c r="N193" i="1"/>
  <c r="N192" i="1"/>
  <c r="P192" i="1" s="1"/>
  <c r="N191" i="1"/>
  <c r="N190" i="1"/>
  <c r="N189" i="1"/>
  <c r="P189" i="1" s="1"/>
  <c r="N188" i="1"/>
  <c r="N187" i="1"/>
  <c r="P187" i="1" s="1"/>
  <c r="P186" i="1"/>
  <c r="N186" i="1"/>
  <c r="N185" i="1"/>
  <c r="N184" i="1"/>
  <c r="N183" i="1"/>
  <c r="N182" i="1"/>
  <c r="P181" i="1"/>
  <c r="N181" i="1"/>
  <c r="N180" i="1"/>
  <c r="N179" i="1"/>
  <c r="P179" i="1" s="1"/>
  <c r="N178" i="1"/>
  <c r="P178" i="1" s="1"/>
  <c r="N177" i="1"/>
  <c r="N176" i="1"/>
  <c r="N175" i="1"/>
  <c r="N174" i="1"/>
  <c r="P173" i="1"/>
  <c r="N173" i="1"/>
  <c r="N172" i="1"/>
  <c r="N171" i="1"/>
  <c r="P171" i="1" s="1"/>
  <c r="P170" i="1"/>
  <c r="N170" i="1"/>
  <c r="N169" i="1"/>
  <c r="N168" i="1"/>
  <c r="N167" i="1"/>
  <c r="P167" i="1" s="1"/>
  <c r="N166" i="1"/>
  <c r="N165" i="1"/>
  <c r="P165" i="1" s="1"/>
  <c r="N164" i="1"/>
  <c r="N163" i="1"/>
  <c r="P163" i="1" s="1"/>
  <c r="N162" i="1"/>
  <c r="P162" i="1" s="1"/>
  <c r="N161" i="1"/>
  <c r="N160" i="1"/>
  <c r="P160" i="1" s="1"/>
  <c r="N159" i="1"/>
  <c r="N158" i="1"/>
  <c r="N157" i="1"/>
  <c r="N156" i="1"/>
  <c r="N155" i="1"/>
  <c r="P155" i="1" s="1"/>
  <c r="N154" i="1"/>
  <c r="N153" i="1"/>
  <c r="N152" i="1"/>
  <c r="N151" i="1"/>
  <c r="N150" i="1"/>
  <c r="N149" i="1"/>
  <c r="P149" i="1" s="1"/>
  <c r="N148" i="1"/>
  <c r="N147" i="1"/>
  <c r="P147" i="1" s="1"/>
  <c r="N146" i="1"/>
  <c r="N145" i="1"/>
  <c r="N144" i="1"/>
  <c r="N143" i="1"/>
  <c r="N142" i="1"/>
  <c r="N141" i="1"/>
  <c r="N140" i="1"/>
  <c r="P140" i="1" s="1"/>
  <c r="N139" i="1"/>
  <c r="N138" i="1"/>
  <c r="P138" i="1" s="1"/>
  <c r="N137" i="1"/>
  <c r="N136" i="1"/>
  <c r="N135" i="1"/>
  <c r="N134" i="1"/>
  <c r="P134" i="1" s="1"/>
  <c r="N133" i="1"/>
  <c r="N132" i="1"/>
  <c r="N131" i="1"/>
  <c r="N130" i="1"/>
  <c r="P130" i="1" s="1"/>
  <c r="N129" i="1"/>
  <c r="N128" i="1"/>
  <c r="N127" i="1"/>
  <c r="P127" i="1" s="1"/>
  <c r="N126" i="1"/>
  <c r="N125" i="1"/>
  <c r="N124" i="1"/>
  <c r="N123" i="1"/>
  <c r="P123" i="1" s="1"/>
  <c r="N122" i="1"/>
  <c r="N121" i="1"/>
  <c r="N120" i="1"/>
  <c r="N119" i="1"/>
  <c r="N118" i="1"/>
  <c r="N117" i="1"/>
  <c r="N116" i="1"/>
  <c r="P116" i="1" s="1"/>
  <c r="N115" i="1"/>
  <c r="N114" i="1"/>
  <c r="N113" i="1"/>
  <c r="N112" i="1"/>
  <c r="N111" i="1"/>
  <c r="P111" i="1" s="1"/>
  <c r="N110" i="1"/>
  <c r="N109" i="1"/>
  <c r="N108" i="1"/>
  <c r="P108" i="1" s="1"/>
  <c r="N107" i="1"/>
  <c r="N106" i="1"/>
  <c r="N105" i="1"/>
  <c r="N104" i="1"/>
  <c r="P104" i="1" s="1"/>
  <c r="N103" i="1"/>
  <c r="N102" i="1"/>
  <c r="P102" i="1" s="1"/>
  <c r="N101" i="1"/>
  <c r="N100" i="1"/>
  <c r="P100" i="1" s="1"/>
  <c r="N99" i="1"/>
  <c r="N98" i="1"/>
  <c r="N97" i="1"/>
  <c r="P97" i="1" s="1"/>
  <c r="N96" i="1"/>
  <c r="N95" i="1"/>
  <c r="N94" i="1"/>
  <c r="P94" i="1" s="1"/>
  <c r="N93" i="1"/>
  <c r="N92" i="1"/>
  <c r="P92" i="1" s="1"/>
  <c r="N91" i="1"/>
  <c r="P91" i="1" s="1"/>
  <c r="N90" i="1"/>
  <c r="N89" i="1"/>
  <c r="N88" i="1"/>
  <c r="N87" i="1"/>
  <c r="N86" i="1"/>
  <c r="N85" i="1"/>
  <c r="P85" i="1" s="1"/>
  <c r="N84" i="1"/>
  <c r="P84" i="1" s="1"/>
  <c r="N83" i="1"/>
  <c r="P83" i="1" s="1"/>
  <c r="N82" i="1"/>
  <c r="N81" i="1"/>
  <c r="N80" i="1"/>
  <c r="N79" i="1"/>
  <c r="N78" i="1"/>
  <c r="P78" i="1" s="1"/>
  <c r="N77" i="1"/>
  <c r="N76" i="1"/>
  <c r="P76" i="1" s="1"/>
  <c r="N75" i="1"/>
  <c r="N74" i="1"/>
  <c r="N73" i="1"/>
  <c r="P73" i="1" s="1"/>
  <c r="N72" i="1"/>
  <c r="N71" i="1"/>
  <c r="N70" i="1"/>
  <c r="P70" i="1" s="1"/>
  <c r="N69" i="1"/>
  <c r="N68" i="1"/>
  <c r="P68" i="1" s="1"/>
  <c r="N67" i="1"/>
  <c r="N66" i="1"/>
  <c r="N65" i="1"/>
  <c r="N64" i="1"/>
  <c r="N63" i="1"/>
  <c r="P63" i="1" s="1"/>
  <c r="N62" i="1"/>
  <c r="N61" i="1"/>
  <c r="P61" i="1" s="1"/>
  <c r="N60" i="1"/>
  <c r="P60" i="1" s="1"/>
  <c r="N59" i="1"/>
  <c r="N58" i="1"/>
  <c r="N57" i="1"/>
  <c r="P56" i="1"/>
  <c r="N56" i="1"/>
  <c r="N55" i="1"/>
  <c r="O55" i="1" s="1"/>
  <c r="P55" i="1" s="1"/>
  <c r="N54" i="1"/>
  <c r="N53" i="1"/>
  <c r="N52" i="1"/>
  <c r="N51" i="1"/>
  <c r="N50" i="1"/>
  <c r="P50" i="1" s="1"/>
  <c r="N49" i="1"/>
  <c r="N48" i="1"/>
  <c r="N47" i="1"/>
  <c r="P47" i="1" s="1"/>
  <c r="N46" i="1"/>
  <c r="N45" i="1"/>
  <c r="N44" i="1"/>
  <c r="N43" i="1"/>
  <c r="N42" i="1"/>
  <c r="P42" i="1" s="1"/>
  <c r="N41" i="1"/>
  <c r="N40" i="1"/>
  <c r="P40" i="1" s="1"/>
  <c r="N39" i="1"/>
  <c r="N38" i="1"/>
  <c r="N37" i="1"/>
  <c r="N36" i="1"/>
  <c r="P36" i="1" s="1"/>
  <c r="N35" i="1"/>
  <c r="N34" i="1"/>
  <c r="P34" i="1" s="1"/>
  <c r="N33" i="1"/>
  <c r="N32" i="1"/>
  <c r="N31" i="1"/>
  <c r="N30" i="1"/>
  <c r="N29" i="1"/>
  <c r="P28" i="1"/>
  <c r="N28" i="1"/>
  <c r="N27" i="1"/>
  <c r="N26" i="1"/>
  <c r="P26" i="1" s="1"/>
  <c r="N25" i="1"/>
  <c r="N24" i="1"/>
  <c r="N23" i="1"/>
  <c r="N22" i="1"/>
  <c r="N21" i="1"/>
  <c r="N20" i="1"/>
  <c r="N19" i="1"/>
  <c r="P19" i="1" s="1"/>
  <c r="N18" i="1"/>
  <c r="P18" i="1" s="1"/>
  <c r="N17" i="1"/>
  <c r="N16" i="1"/>
  <c r="P16" i="1" s="1"/>
  <c r="N15" i="1"/>
  <c r="N14" i="1"/>
  <c r="N13" i="1"/>
  <c r="N12" i="1"/>
  <c r="N11" i="1"/>
  <c r="P11" i="1" s="1"/>
  <c r="N10" i="1"/>
  <c r="P10" i="1" s="1"/>
  <c r="N9" i="1"/>
  <c r="P9" i="1" s="1"/>
  <c r="N8" i="1"/>
  <c r="N7" i="1"/>
  <c r="N881" i="1" l="1"/>
  <c r="N889" i="1"/>
  <c r="P889" i="1" s="1"/>
  <c r="N922" i="1"/>
  <c r="N1065" i="1"/>
  <c r="N1151" i="1"/>
  <c r="N1160" i="1"/>
  <c r="P1160" i="1" s="1"/>
  <c r="N1306" i="1"/>
  <c r="P1306" i="1" s="1"/>
  <c r="N1330" i="1"/>
  <c r="P1330" i="1" s="1"/>
  <c r="N1396" i="1"/>
  <c r="N1434" i="1"/>
  <c r="P1434" i="1" s="1"/>
  <c r="N1450" i="1"/>
  <c r="P1450" i="1" s="1"/>
  <c r="N1466" i="1"/>
  <c r="P1466" i="1" s="1"/>
  <c r="N1491" i="1"/>
  <c r="N1499" i="1"/>
  <c r="P1499" i="1" s="1"/>
  <c r="N2341" i="1"/>
  <c r="N891" i="1"/>
  <c r="N908" i="1"/>
  <c r="N956" i="1"/>
  <c r="N980" i="1"/>
  <c r="N988" i="1"/>
  <c r="N996" i="1"/>
  <c r="N1004" i="1"/>
  <c r="N1012" i="1"/>
  <c r="N1028" i="1"/>
  <c r="N1082" i="1"/>
  <c r="N1317" i="1"/>
  <c r="N1412" i="1"/>
  <c r="N1444" i="1"/>
  <c r="N1548" i="1"/>
  <c r="P1548" i="1" s="1"/>
  <c r="N1589" i="1"/>
  <c r="P1589" i="1" s="1"/>
  <c r="N1645" i="1"/>
  <c r="N1678" i="1"/>
  <c r="N2015" i="1"/>
  <c r="N1278" i="1"/>
  <c r="P1278" i="1" s="1"/>
  <c r="N1286" i="1"/>
  <c r="P1286" i="1" s="1"/>
  <c r="N1294" i="1"/>
  <c r="P1294" i="1" s="1"/>
  <c r="N1318" i="1"/>
  <c r="P1318" i="1" s="1"/>
  <c r="N1400" i="1"/>
  <c r="P1400" i="1" s="1"/>
  <c r="N1445" i="1"/>
  <c r="N1461" i="1"/>
  <c r="N1695" i="1"/>
  <c r="N1696" i="1"/>
  <c r="N1752" i="1"/>
  <c r="N2288" i="1"/>
  <c r="N2290" i="1"/>
  <c r="O2290" i="1" s="1"/>
  <c r="N2306" i="1"/>
  <c r="O2306" i="1" s="1"/>
  <c r="P2306" i="1" s="1"/>
  <c r="N2308" i="1"/>
  <c r="N2310" i="1"/>
  <c r="N2312" i="1"/>
  <c r="O2312" i="1" s="1"/>
  <c r="N2314" i="1"/>
  <c r="N2316" i="1"/>
  <c r="N2338" i="1"/>
  <c r="N2340" i="1"/>
  <c r="N1141" i="1"/>
  <c r="P1141" i="1" s="1"/>
  <c r="N1335" i="1"/>
  <c r="N1343" i="1"/>
  <c r="N1351" i="1"/>
  <c r="N1359" i="1"/>
  <c r="N1367" i="1"/>
  <c r="N912" i="1"/>
  <c r="N984" i="1"/>
  <c r="N992" i="1"/>
  <c r="P992" i="1" s="1"/>
  <c r="N1000" i="1"/>
  <c r="N1016" i="1"/>
  <c r="N1070" i="1"/>
  <c r="N1086" i="1"/>
  <c r="N1087" i="1"/>
  <c r="N1103" i="1"/>
  <c r="N1143" i="1"/>
  <c r="N1313" i="1"/>
  <c r="P1313" i="1" s="1"/>
  <c r="N1416" i="1"/>
  <c r="N1544" i="1"/>
  <c r="N1666" i="1"/>
  <c r="N1714" i="1"/>
  <c r="P1714" i="1" s="1"/>
  <c r="N1753" i="1"/>
  <c r="N865" i="1"/>
  <c r="N875" i="1"/>
  <c r="P875" i="1" s="1"/>
  <c r="N883" i="1"/>
  <c r="P883" i="1" s="1"/>
  <c r="N960" i="1"/>
  <c r="N985" i="1"/>
  <c r="N1001" i="1"/>
  <c r="N1009" i="1"/>
  <c r="N1039" i="1"/>
  <c r="N1060" i="1"/>
  <c r="P1060" i="1" s="1"/>
  <c r="N1084" i="1"/>
  <c r="P1084" i="1" s="1"/>
  <c r="N1099" i="1"/>
  <c r="P1099" i="1" s="1"/>
  <c r="N1139" i="1"/>
  <c r="N1145" i="1"/>
  <c r="N1146" i="1"/>
  <c r="N1167" i="1"/>
  <c r="N1176" i="1"/>
  <c r="N1192" i="1"/>
  <c r="N1201" i="1"/>
  <c r="N1282" i="1"/>
  <c r="P1282" i="1" s="1"/>
  <c r="N1290" i="1"/>
  <c r="P1290" i="1" s="1"/>
  <c r="N1326" i="1"/>
  <c r="P1326" i="1" s="1"/>
  <c r="N1419" i="1"/>
  <c r="N1427" i="1"/>
  <c r="N1435" i="1"/>
  <c r="N1442" i="1"/>
  <c r="P1442" i="1" s="1"/>
  <c r="N1443" i="1"/>
  <c r="N1520" i="1"/>
  <c r="P1520" i="1" s="1"/>
  <c r="N1536" i="1"/>
  <c r="N1560" i="1"/>
  <c r="P1560" i="1" s="1"/>
  <c r="N1585" i="1"/>
  <c r="N1594" i="1"/>
  <c r="P1594" i="1" s="1"/>
  <c r="N1633" i="1"/>
  <c r="P1633" i="1" s="1"/>
  <c r="N1649" i="1"/>
  <c r="P1649" i="1" s="1"/>
  <c r="N2196" i="1"/>
  <c r="N2200" i="1"/>
  <c r="O2200" i="1" s="1"/>
  <c r="P2200" i="1" s="1"/>
  <c r="N2206" i="1"/>
  <c r="N2214" i="1"/>
  <c r="N2216" i="1"/>
  <c r="O2216" i="1" s="1"/>
  <c r="N1754" i="1"/>
  <c r="P1754" i="1" s="1"/>
  <c r="N2232" i="1"/>
  <c r="N2238" i="1"/>
  <c r="O2238" i="1" s="1"/>
  <c r="N2240" i="1"/>
  <c r="O2240" i="1" s="1"/>
  <c r="N2244" i="1"/>
  <c r="O2244" i="1" s="1"/>
  <c r="N2270" i="1"/>
  <c r="N2278" i="1"/>
  <c r="N885" i="1"/>
  <c r="N900" i="1"/>
  <c r="P900" i="1" s="1"/>
  <c r="N916" i="1"/>
  <c r="N924" i="1"/>
  <c r="N940" i="1"/>
  <c r="N947" i="1"/>
  <c r="N954" i="1"/>
  <c r="N971" i="1"/>
  <c r="N995" i="1"/>
  <c r="N1002" i="1"/>
  <c r="N1003" i="1"/>
  <c r="N1010" i="1"/>
  <c r="N1033" i="1"/>
  <c r="N1078" i="1"/>
  <c r="P1078" i="1" s="1"/>
  <c r="N1092" i="1"/>
  <c r="P1092" i="1" s="1"/>
  <c r="N1162" i="1"/>
  <c r="N1211" i="1"/>
  <c r="N1219" i="1"/>
  <c r="N1227" i="1"/>
  <c r="N1235" i="1"/>
  <c r="N1244" i="1"/>
  <c r="P1244" i="1" s="1"/>
  <c r="N1314" i="1"/>
  <c r="P1314" i="1" s="1"/>
  <c r="N1386" i="1"/>
  <c r="N1420" i="1"/>
  <c r="N1485" i="1"/>
  <c r="N1538" i="1"/>
  <c r="N1546" i="1"/>
  <c r="N1547" i="1"/>
  <c r="N1587" i="1"/>
  <c r="P1587" i="1" s="1"/>
  <c r="N1652" i="1"/>
  <c r="P1652" i="1" s="1"/>
  <c r="N2355" i="1"/>
  <c r="N1163" i="1"/>
  <c r="N1204" i="1"/>
  <c r="N1213" i="1"/>
  <c r="N1221" i="1"/>
  <c r="N1229" i="1"/>
  <c r="N1237" i="1"/>
  <c r="N1245" i="1"/>
  <c r="P1245" i="1" s="1"/>
  <c r="N1253" i="1"/>
  <c r="N1322" i="1"/>
  <c r="P1322" i="1" s="1"/>
  <c r="N1378" i="1"/>
  <c r="N1415" i="1"/>
  <c r="N1422" i="1"/>
  <c r="N1430" i="1"/>
  <c r="P1430" i="1" s="1"/>
  <c r="N1454" i="1"/>
  <c r="P1454" i="1" s="1"/>
  <c r="N1462" i="1"/>
  <c r="P1462" i="1" s="1"/>
  <c r="N1508" i="1"/>
  <c r="N1524" i="1"/>
  <c r="N1540" i="1"/>
  <c r="N1597" i="1"/>
  <c r="N1605" i="1"/>
  <c r="N1716" i="1"/>
  <c r="N2286" i="1"/>
  <c r="O2286" i="1" s="1"/>
  <c r="P2286" i="1" s="1"/>
  <c r="N2302" i="1"/>
  <c r="O2302" i="1" s="1"/>
  <c r="P2302" i="1" s="1"/>
  <c r="N2326" i="1"/>
  <c r="N2332" i="1"/>
  <c r="N1064" i="1"/>
  <c r="P1064" i="1" s="1"/>
  <c r="N1034" i="1"/>
  <c r="N1051" i="1"/>
  <c r="N1112" i="1"/>
  <c r="P1112" i="1" s="1"/>
  <c r="N1182" i="1"/>
  <c r="N1270" i="1"/>
  <c r="P1270" i="1" s="1"/>
  <c r="N1379" i="1"/>
  <c r="N1479" i="1"/>
  <c r="N1487" i="1"/>
  <c r="N1509" i="1"/>
  <c r="N1556" i="1"/>
  <c r="P1556" i="1" s="1"/>
  <c r="N1685" i="1"/>
  <c r="P1685" i="1" s="1"/>
  <c r="N1717" i="1"/>
  <c r="N1725" i="1"/>
  <c r="P1725" i="1" s="1"/>
  <c r="N1726" i="1"/>
  <c r="P1726" i="1" s="1"/>
  <c r="N1749" i="1"/>
  <c r="N1750" i="1"/>
  <c r="P1750" i="1" s="1"/>
  <c r="N2227" i="1"/>
  <c r="O2227" i="1" s="1"/>
  <c r="P2227" i="1" s="1"/>
  <c r="N2257" i="1"/>
  <c r="N2259" i="1"/>
  <c r="N2281" i="1"/>
  <c r="N2283" i="1"/>
  <c r="O2283" i="1" s="1"/>
  <c r="P2283" i="1" s="1"/>
  <c r="N896" i="1"/>
  <c r="N897" i="1"/>
  <c r="N920" i="1"/>
  <c r="N950" i="1"/>
  <c r="N951" i="1"/>
  <c r="P951" i="1" s="1"/>
  <c r="N959" i="1"/>
  <c r="N1007" i="1"/>
  <c r="N1015" i="1"/>
  <c r="P1015" i="1" s="1"/>
  <c r="N1044" i="1"/>
  <c r="N1052" i="1"/>
  <c r="N1067" i="1"/>
  <c r="N1074" i="1"/>
  <c r="N1089" i="1"/>
  <c r="N1096" i="1"/>
  <c r="P1096" i="1" s="1"/>
  <c r="N1097" i="1"/>
  <c r="N1105" i="1"/>
  <c r="P1105" i="1" s="1"/>
  <c r="N1113" i="1"/>
  <c r="P1113" i="1" s="1"/>
  <c r="N1129" i="1"/>
  <c r="N1159" i="1"/>
  <c r="N1166" i="1"/>
  <c r="N1207" i="1"/>
  <c r="N1247" i="1"/>
  <c r="N1304" i="1"/>
  <c r="P1304" i="1" s="1"/>
  <c r="N1311" i="1"/>
  <c r="P1311" i="1" s="1"/>
  <c r="N1325" i="1"/>
  <c r="N1373" i="1"/>
  <c r="P1373" i="1" s="1"/>
  <c r="N1381" i="1"/>
  <c r="P1381" i="1" s="1"/>
  <c r="N1404" i="1"/>
  <c r="N1472" i="1"/>
  <c r="N1473" i="1"/>
  <c r="P1473" i="1" s="1"/>
  <c r="N1481" i="1"/>
  <c r="N1518" i="1"/>
  <c r="P1518" i="1" s="1"/>
  <c r="N1542" i="1"/>
  <c r="N1558" i="1"/>
  <c r="N1671" i="1"/>
  <c r="N2285" i="1"/>
  <c r="N2291" i="1"/>
  <c r="N2297" i="1"/>
  <c r="N2299" i="1"/>
  <c r="O2299" i="1" s="1"/>
  <c r="N2329" i="1"/>
  <c r="O2329" i="1" s="1"/>
  <c r="P2329" i="1" s="1"/>
  <c r="N2331" i="1"/>
  <c r="N2348" i="1"/>
  <c r="N978" i="1"/>
  <c r="N932" i="1"/>
  <c r="N1109" i="1"/>
  <c r="N1186" i="1"/>
  <c r="N1041" i="1"/>
  <c r="N1102" i="1"/>
  <c r="P1102" i="1" s="1"/>
  <c r="N887" i="1"/>
  <c r="N928" i="1"/>
  <c r="P928" i="1" s="1"/>
  <c r="N966" i="1"/>
  <c r="N990" i="1"/>
  <c r="N1006" i="1"/>
  <c r="N1036" i="1"/>
  <c r="N1042" i="1"/>
  <c r="N1050" i="1"/>
  <c r="P1050" i="1" s="1"/>
  <c r="N1148" i="1"/>
  <c r="N1268" i="1"/>
  <c r="P1268" i="1" s="1"/>
  <c r="N859" i="1"/>
  <c r="P859" i="1" s="1"/>
  <c r="N903" i="1"/>
  <c r="P903" i="1" s="1"/>
  <c r="N931" i="1"/>
  <c r="N1135" i="1"/>
  <c r="N1174" i="1"/>
  <c r="P1174" i="1" s="1"/>
  <c r="N1252" i="1"/>
  <c r="P1252" i="1" s="1"/>
  <c r="N1333" i="1"/>
  <c r="P1333" i="1" s="1"/>
  <c r="N1341" i="1"/>
  <c r="N1517" i="1"/>
  <c r="N1532" i="1"/>
  <c r="N1541" i="1"/>
  <c r="N1555" i="1"/>
  <c r="N1568" i="1"/>
  <c r="P1568" i="1" s="1"/>
  <c r="N1576" i="1"/>
  <c r="P1576" i="1" s="1"/>
  <c r="N1577" i="1"/>
  <c r="P1577" i="1" s="1"/>
  <c r="N1601" i="1"/>
  <c r="P1601" i="1" s="1"/>
  <c r="N1648" i="1"/>
  <c r="N1656" i="1"/>
  <c r="N1662" i="1"/>
  <c r="N1699" i="1"/>
  <c r="N1721" i="1"/>
  <c r="N1722" i="1"/>
  <c r="P1722" i="1" s="1"/>
  <c r="N1729" i="1"/>
  <c r="P1729" i="1" s="1"/>
  <c r="N1746" i="1"/>
  <c r="P1746" i="1" s="1"/>
  <c r="N1760" i="1"/>
  <c r="N1761" i="1"/>
  <c r="N2210" i="1"/>
  <c r="N2212" i="1"/>
  <c r="N2220" i="1"/>
  <c r="N2226" i="1"/>
  <c r="O2226" i="1" s="1"/>
  <c r="P2226" i="1" s="1"/>
  <c r="N2251" i="1"/>
  <c r="O2251" i="1" s="1"/>
  <c r="N2253" i="1"/>
  <c r="N2263" i="1"/>
  <c r="N2265" i="1"/>
  <c r="N2267" i="1"/>
  <c r="O2267" i="1" s="1"/>
  <c r="N2275" i="1"/>
  <c r="N2292" i="1"/>
  <c r="O2292" i="1" s="1"/>
  <c r="P2292" i="1" s="1"/>
  <c r="N2294" i="1"/>
  <c r="N2298" i="1"/>
  <c r="O2298" i="1" s="1"/>
  <c r="P2298" i="1" s="1"/>
  <c r="N2323" i="1"/>
  <c r="N2325" i="1"/>
  <c r="N867" i="1"/>
  <c r="N888" i="1"/>
  <c r="N894" i="1"/>
  <c r="N895" i="1"/>
  <c r="P895" i="1" s="1"/>
  <c r="N938" i="1"/>
  <c r="P938" i="1" s="1"/>
  <c r="N952" i="1"/>
  <c r="N953" i="1"/>
  <c r="N968" i="1"/>
  <c r="N976" i="1"/>
  <c r="N997" i="1"/>
  <c r="N1020" i="1"/>
  <c r="N1027" i="1"/>
  <c r="P1027" i="1" s="1"/>
  <c r="N1048" i="1"/>
  <c r="P1048" i="1" s="1"/>
  <c r="N1075" i="1"/>
  <c r="P1075" i="1" s="1"/>
  <c r="N1081" i="1"/>
  <c r="N1094" i="1"/>
  <c r="N1107" i="1"/>
  <c r="N1114" i="1"/>
  <c r="P1114" i="1" s="1"/>
  <c r="N1127" i="1"/>
  <c r="P1127" i="1" s="1"/>
  <c r="N1133" i="1"/>
  <c r="N1154" i="1"/>
  <c r="P1154" i="1" s="1"/>
  <c r="N1184" i="1"/>
  <c r="N1191" i="1"/>
  <c r="N1205" i="1"/>
  <c r="N1254" i="1"/>
  <c r="N1260" i="1"/>
  <c r="N1281" i="1"/>
  <c r="N1328" i="1"/>
  <c r="P1328" i="1" s="1"/>
  <c r="N1382" i="1"/>
  <c r="P1382" i="1" s="1"/>
  <c r="N1383" i="1"/>
  <c r="P1383" i="1" s="1"/>
  <c r="N1411" i="1"/>
  <c r="N1417" i="1"/>
  <c r="N1424" i="1"/>
  <c r="N1451" i="1"/>
  <c r="N1458" i="1"/>
  <c r="P1458" i="1" s="1"/>
  <c r="N1459" i="1"/>
  <c r="P1459" i="1" s="1"/>
  <c r="N1474" i="1"/>
  <c r="P1474" i="1" s="1"/>
  <c r="N1495" i="1"/>
  <c r="P1495" i="1" s="1"/>
  <c r="N1510" i="1"/>
  <c r="N1562" i="1"/>
  <c r="N1570" i="1"/>
  <c r="N1588" i="1"/>
  <c r="N1602" i="1"/>
  <c r="N1609" i="1"/>
  <c r="N1617" i="1"/>
  <c r="P1617" i="1" s="1"/>
  <c r="N1625" i="1"/>
  <c r="N1641" i="1"/>
  <c r="P1926" i="1"/>
  <c r="N1063" i="1"/>
  <c r="N1095" i="1"/>
  <c r="N1128" i="1"/>
  <c r="N1134" i="1"/>
  <c r="N1155" i="1"/>
  <c r="N1177" i="1"/>
  <c r="N1185" i="1"/>
  <c r="N1206" i="1"/>
  <c r="N1261" i="1"/>
  <c r="P1261" i="1" s="1"/>
  <c r="N1267" i="1"/>
  <c r="N1308" i="1"/>
  <c r="P1308" i="1" s="1"/>
  <c r="N1384" i="1"/>
  <c r="P1384" i="1" s="1"/>
  <c r="N1405" i="1"/>
  <c r="P1405" i="1" s="1"/>
  <c r="N1432" i="1"/>
  <c r="P1432" i="1" s="1"/>
  <c r="N1438" i="1"/>
  <c r="P1438" i="1" s="1"/>
  <c r="N1446" i="1"/>
  <c r="P1446" i="1" s="1"/>
  <c r="N1460" i="1"/>
  <c r="N1475" i="1"/>
  <c r="N1483" i="1"/>
  <c r="N1497" i="1"/>
  <c r="N1504" i="1"/>
  <c r="P1504" i="1" s="1"/>
  <c r="N1519" i="1"/>
  <c r="P1519" i="1" s="1"/>
  <c r="N1535" i="1"/>
  <c r="N1543" i="1"/>
  <c r="N1549" i="1"/>
  <c r="N1557" i="1"/>
  <c r="N1579" i="1"/>
  <c r="N1596" i="1"/>
  <c r="P1596" i="1" s="1"/>
  <c r="N1618" i="1"/>
  <c r="P1618" i="1" s="1"/>
  <c r="N1634" i="1"/>
  <c r="N1710" i="1"/>
  <c r="P1710" i="1" s="1"/>
  <c r="N1723" i="1"/>
  <c r="N1724" i="1"/>
  <c r="N1731" i="1"/>
  <c r="N1732" i="1"/>
  <c r="N1748" i="1"/>
  <c r="P1748" i="1" s="1"/>
  <c r="N1762" i="1"/>
  <c r="P1762" i="1" s="1"/>
  <c r="N1763" i="1"/>
  <c r="P1763" i="1" s="1"/>
  <c r="O1860" i="1"/>
  <c r="P1860" i="1" s="1"/>
  <c r="N2228" i="1"/>
  <c r="N2236" i="1"/>
  <c r="N2350" i="1"/>
  <c r="O2350" i="1" s="1"/>
  <c r="P2350" i="1" s="1"/>
  <c r="N1248" i="1"/>
  <c r="P1248" i="1" s="1"/>
  <c r="N1256" i="1"/>
  <c r="P1256" i="1" s="1"/>
  <c r="N1274" i="1"/>
  <c r="P1274" i="1" s="1"/>
  <c r="N1309" i="1"/>
  <c r="N1324" i="1"/>
  <c r="N1377" i="1"/>
  <c r="P1377" i="1" s="1"/>
  <c r="N1399" i="1"/>
  <c r="N1406" i="1"/>
  <c r="N1426" i="1"/>
  <c r="N1467" i="1"/>
  <c r="N1476" i="1"/>
  <c r="P1476" i="1" s="1"/>
  <c r="N1490" i="1"/>
  <c r="N1512" i="1"/>
  <c r="N1528" i="1"/>
  <c r="N1564" i="1"/>
  <c r="P1564" i="1" s="1"/>
  <c r="N1572" i="1"/>
  <c r="N1604" i="1"/>
  <c r="N1611" i="1"/>
  <c r="P1611" i="1" s="1"/>
  <c r="N1619" i="1"/>
  <c r="P1619" i="1" s="1"/>
  <c r="N1627" i="1"/>
  <c r="P1627" i="1" s="1"/>
  <c r="N1635" i="1"/>
  <c r="N1643" i="1"/>
  <c r="N1658" i="1"/>
  <c r="N1665" i="1"/>
  <c r="N1673" i="1"/>
  <c r="N1688" i="1"/>
  <c r="P1688" i="1" s="1"/>
  <c r="N1718" i="1"/>
  <c r="P1718" i="1" s="1"/>
  <c r="N2203" i="1"/>
  <c r="O2203" i="1" s="1"/>
  <c r="N2209" i="1"/>
  <c r="N2211" i="1"/>
  <c r="N2246" i="1"/>
  <c r="O2246" i="1" s="1"/>
  <c r="N2256" i="1"/>
  <c r="O2256" i="1" s="1"/>
  <c r="N2260" i="1"/>
  <c r="N2266" i="1"/>
  <c r="O2266" i="1" s="1"/>
  <c r="P2266" i="1" s="1"/>
  <c r="N2289" i="1"/>
  <c r="O2289" i="1" s="1"/>
  <c r="P2289" i="1" s="1"/>
  <c r="N2318" i="1"/>
  <c r="O2318" i="1" s="1"/>
  <c r="N2322" i="1"/>
  <c r="O2322" i="1" s="1"/>
  <c r="N2328" i="1"/>
  <c r="N2330" i="1"/>
  <c r="N2334" i="1"/>
  <c r="N2336" i="1"/>
  <c r="N2343" i="1"/>
  <c r="O2343" i="1" s="1"/>
  <c r="P2343" i="1" s="1"/>
  <c r="N2345" i="1"/>
  <c r="N904" i="1"/>
  <c r="P904" i="1" s="1"/>
  <c r="N918" i="1"/>
  <c r="N948" i="1"/>
  <c r="N1022" i="1"/>
  <c r="N1130" i="1"/>
  <c r="N1137" i="1"/>
  <c r="N1144" i="1"/>
  <c r="P1144" i="1" s="1"/>
  <c r="N1150" i="1"/>
  <c r="P1150" i="1" s="1"/>
  <c r="N1195" i="1"/>
  <c r="P1195" i="1" s="1"/>
  <c r="N1202" i="1"/>
  <c r="N1208" i="1"/>
  <c r="N1242" i="1"/>
  <c r="N1250" i="1"/>
  <c r="N1262" i="1"/>
  <c r="N1263" i="1"/>
  <c r="P1263" i="1" s="1"/>
  <c r="N1269" i="1"/>
  <c r="P1269" i="1" s="1"/>
  <c r="N1276" i="1"/>
  <c r="P1276" i="1" s="1"/>
  <c r="N1277" i="1"/>
  <c r="N1285" i="1"/>
  <c r="N1320" i="1"/>
  <c r="N1401" i="1"/>
  <c r="N1477" i="1"/>
  <c r="N1478" i="1"/>
  <c r="P1478" i="1" s="1"/>
  <c r="N1486" i="1"/>
  <c r="N1492" i="1"/>
  <c r="P1492" i="1" s="1"/>
  <c r="N1506" i="1"/>
  <c r="N1514" i="1"/>
  <c r="N1545" i="1"/>
  <c r="N1552" i="1"/>
  <c r="P1552" i="1" s="1"/>
  <c r="N1559" i="1"/>
  <c r="N1566" i="1"/>
  <c r="P1566" i="1" s="1"/>
  <c r="N1591" i="1"/>
  <c r="P1591" i="1" s="1"/>
  <c r="N1598" i="1"/>
  <c r="P1598" i="1" s="1"/>
  <c r="N1613" i="1"/>
  <c r="N1621" i="1"/>
  <c r="N1629" i="1"/>
  <c r="N1637" i="1"/>
  <c r="N1653" i="1"/>
  <c r="N1660" i="1"/>
  <c r="P1660" i="1" s="1"/>
  <c r="N1667" i="1"/>
  <c r="P1667" i="1" s="1"/>
  <c r="N1675" i="1"/>
  <c r="N1681" i="1"/>
  <c r="N1682" i="1"/>
  <c r="N1689" i="1"/>
  <c r="P1689" i="1" s="1"/>
  <c r="N1690" i="1"/>
  <c r="P1690" i="1" s="1"/>
  <c r="N1758" i="1"/>
  <c r="O1787" i="1"/>
  <c r="P1787" i="1" s="1"/>
  <c r="N1925" i="1"/>
  <c r="P1925" i="1" s="1"/>
  <c r="N1959" i="1"/>
  <c r="P1959" i="1" s="1"/>
  <c r="N2225" i="1"/>
  <c r="O2225" i="1" s="1"/>
  <c r="N2231" i="1"/>
  <c r="N2282" i="1"/>
  <c r="N2303" i="1"/>
  <c r="N2305" i="1"/>
  <c r="N2353" i="1"/>
  <c r="O2353" i="1" s="1"/>
  <c r="P2353" i="1" s="1"/>
  <c r="N871" i="1"/>
  <c r="P871" i="1" s="1"/>
  <c r="N879" i="1"/>
  <c r="P879" i="1" s="1"/>
  <c r="N886" i="1"/>
  <c r="N906" i="1"/>
  <c r="N913" i="1"/>
  <c r="P913" i="1" s="1"/>
  <c r="N965" i="1"/>
  <c r="N972" i="1"/>
  <c r="N981" i="1"/>
  <c r="P981" i="1" s="1"/>
  <c r="N986" i="1"/>
  <c r="N987" i="1"/>
  <c r="P987" i="1" s="1"/>
  <c r="N994" i="1"/>
  <c r="N1024" i="1"/>
  <c r="N1030" i="1"/>
  <c r="N1031" i="1"/>
  <c r="N1045" i="1"/>
  <c r="N1066" i="1"/>
  <c r="P1066" i="1" s="1"/>
  <c r="N1073" i="1"/>
  <c r="P1073" i="1" s="1"/>
  <c r="N1104" i="1"/>
  <c r="P1104" i="1" s="1"/>
  <c r="N1111" i="1"/>
  <c r="P1111" i="1" s="1"/>
  <c r="N1119" i="1"/>
  <c r="N1138" i="1"/>
  <c r="N1164" i="1"/>
  <c r="N1173" i="1"/>
  <c r="N1196" i="1"/>
  <c r="N1203" i="1"/>
  <c r="P1203" i="1" s="1"/>
  <c r="N1258" i="1"/>
  <c r="P1258" i="1" s="1"/>
  <c r="N1300" i="1"/>
  <c r="P1300" i="1" s="1"/>
  <c r="N1387" i="1"/>
  <c r="N1395" i="1"/>
  <c r="P1395" i="1" s="1"/>
  <c r="N1421" i="1"/>
  <c r="N1456" i="1"/>
  <c r="N1463" i="1"/>
  <c r="N1470" i="1"/>
  <c r="P1470" i="1" s="1"/>
  <c r="N1501" i="1"/>
  <c r="P1501" i="1" s="1"/>
  <c r="N1507" i="1"/>
  <c r="N1531" i="1"/>
  <c r="N1539" i="1"/>
  <c r="N1567" i="1"/>
  <c r="N1575" i="1"/>
  <c r="N1606" i="1"/>
  <c r="N1622" i="1"/>
  <c r="P1622" i="1" s="1"/>
  <c r="N1654" i="1"/>
  <c r="P1654" i="1" s="1"/>
  <c r="N1676" i="1"/>
  <c r="N1683" i="1"/>
  <c r="P1683" i="1" s="1"/>
  <c r="N1720" i="1"/>
  <c r="N1728" i="1"/>
  <c r="O2001" i="1"/>
  <c r="N2233" i="1"/>
  <c r="O2233" i="1" s="1"/>
  <c r="P2233" i="1" s="1"/>
  <c r="N2243" i="1"/>
  <c r="O2243" i="1" s="1"/>
  <c r="P2243" i="1" s="1"/>
  <c r="N2309" i="1"/>
  <c r="O2309" i="1" s="1"/>
  <c r="P2309" i="1" s="1"/>
  <c r="N2311" i="1"/>
  <c r="N2313" i="1"/>
  <c r="N2315" i="1"/>
  <c r="N2317" i="1"/>
  <c r="N2344" i="1"/>
  <c r="O2344" i="1" s="1"/>
  <c r="P366" i="1"/>
  <c r="N861" i="1"/>
  <c r="P861" i="1" s="1"/>
  <c r="N892" i="1"/>
  <c r="P892" i="1" s="1"/>
  <c r="N905" i="1"/>
  <c r="N917" i="1"/>
  <c r="N923" i="1"/>
  <c r="N949" i="1"/>
  <c r="P949" i="1" s="1"/>
  <c r="N955" i="1"/>
  <c r="N961" i="1"/>
  <c r="P961" i="1" s="1"/>
  <c r="N967" i="1"/>
  <c r="P967" i="1" s="1"/>
  <c r="N973" i="1"/>
  <c r="P973" i="1" s="1"/>
  <c r="N979" i="1"/>
  <c r="N1008" i="1"/>
  <c r="P1008" i="1" s="1"/>
  <c r="N1014" i="1"/>
  <c r="N1071" i="1"/>
  <c r="N1093" i="1"/>
  <c r="N1153" i="1"/>
  <c r="P1153" i="1" s="1"/>
  <c r="N882" i="1"/>
  <c r="P882" i="1" s="1"/>
  <c r="N911" i="1"/>
  <c r="P911" i="1" s="1"/>
  <c r="N943" i="1"/>
  <c r="N991" i="1"/>
  <c r="N1061" i="1"/>
  <c r="P1061" i="1" s="1"/>
  <c r="N1079" i="1"/>
  <c r="N1122" i="1"/>
  <c r="N869" i="1"/>
  <c r="P869" i="1" s="1"/>
  <c r="N870" i="1"/>
  <c r="P870" i="1" s="1"/>
  <c r="N876" i="1"/>
  <c r="P876" i="1" s="1"/>
  <c r="N877" i="1"/>
  <c r="N901" i="1"/>
  <c r="N907" i="1"/>
  <c r="P907" i="1" s="1"/>
  <c r="N939" i="1"/>
  <c r="P939" i="1" s="1"/>
  <c r="N944" i="1"/>
  <c r="N945" i="1"/>
  <c r="P945" i="1" s="1"/>
  <c r="N957" i="1"/>
  <c r="P957" i="1" s="1"/>
  <c r="N962" i="1"/>
  <c r="P962" i="1" s="1"/>
  <c r="N963" i="1"/>
  <c r="N969" i="1"/>
  <c r="N974" i="1"/>
  <c r="N975" i="1"/>
  <c r="N1011" i="1"/>
  <c r="N1017" i="1"/>
  <c r="P1017" i="1" s="1"/>
  <c r="N1023" i="1"/>
  <c r="N1029" i="1"/>
  <c r="P1029" i="1" s="1"/>
  <c r="N1043" i="1"/>
  <c r="N1049" i="1"/>
  <c r="P1049" i="1" s="1"/>
  <c r="N1062" i="1"/>
  <c r="N864" i="1"/>
  <c r="P864" i="1" s="1"/>
  <c r="N878" i="1"/>
  <c r="N884" i="1"/>
  <c r="P884" i="1" s="1"/>
  <c r="N921" i="1"/>
  <c r="P921" i="1" s="1"/>
  <c r="N933" i="1"/>
  <c r="P933" i="1" s="1"/>
  <c r="N964" i="1"/>
  <c r="N1037" i="1"/>
  <c r="N1057" i="1"/>
  <c r="N1194" i="1"/>
  <c r="N860" i="1"/>
  <c r="N873" i="1"/>
  <c r="P873" i="1" s="1"/>
  <c r="N914" i="1"/>
  <c r="P914" i="1" s="1"/>
  <c r="N915" i="1"/>
  <c r="P915" i="1" s="1"/>
  <c r="N927" i="1"/>
  <c r="N934" i="1"/>
  <c r="N935" i="1"/>
  <c r="P935" i="1" s="1"/>
  <c r="N983" i="1"/>
  <c r="N989" i="1"/>
  <c r="P989" i="1" s="1"/>
  <c r="N1013" i="1"/>
  <c r="N1018" i="1"/>
  <c r="P1018" i="1" s="1"/>
  <c r="N1019" i="1"/>
  <c r="P1019" i="1" s="1"/>
  <c r="N1025" i="1"/>
  <c r="N1032" i="1"/>
  <c r="N1038" i="1"/>
  <c r="N1076" i="1"/>
  <c r="P1076" i="1" s="1"/>
  <c r="N1098" i="1"/>
  <c r="N1116" i="1"/>
  <c r="P1116" i="1" s="1"/>
  <c r="N1142" i="1"/>
  <c r="N1158" i="1"/>
  <c r="P1158" i="1" s="1"/>
  <c r="N1170" i="1"/>
  <c r="N1183" i="1"/>
  <c r="N1199" i="1"/>
  <c r="P1199" i="1" s="1"/>
  <c r="N1241" i="1"/>
  <c r="P1241" i="1" s="1"/>
  <c r="N1279" i="1"/>
  <c r="N1283" i="1"/>
  <c r="P1283" i="1" s="1"/>
  <c r="N1299" i="1"/>
  <c r="P1299" i="1" s="1"/>
  <c r="N1303" i="1"/>
  <c r="P1303" i="1" s="1"/>
  <c r="N1307" i="1"/>
  <c r="N1338" i="1"/>
  <c r="N1346" i="1"/>
  <c r="N1354" i="1"/>
  <c r="N1362" i="1"/>
  <c r="N1370" i="1"/>
  <c r="N1376" i="1"/>
  <c r="P1376" i="1" s="1"/>
  <c r="N1409" i="1"/>
  <c r="P1409" i="1" s="1"/>
  <c r="N1425" i="1"/>
  <c r="N1436" i="1"/>
  <c r="N1441" i="1"/>
  <c r="N1452" i="1"/>
  <c r="N1457" i="1"/>
  <c r="N1468" i="1"/>
  <c r="P1468" i="1" s="1"/>
  <c r="N1484" i="1"/>
  <c r="P1484" i="1" s="1"/>
  <c r="N1500" i="1"/>
  <c r="P1500" i="1" s="1"/>
  <c r="N1525" i="1"/>
  <c r="N1569" i="1"/>
  <c r="N1584" i="1"/>
  <c r="N1608" i="1"/>
  <c r="N1614" i="1"/>
  <c r="N1620" i="1"/>
  <c r="P1620" i="1" s="1"/>
  <c r="N1638" i="1"/>
  <c r="P1638" i="1" s="1"/>
  <c r="N1651" i="1"/>
  <c r="P1651" i="1" s="1"/>
  <c r="N1664" i="1"/>
  <c r="N1670" i="1"/>
  <c r="O1975" i="1"/>
  <c r="P1975" i="1" s="1"/>
  <c r="O2106" i="1"/>
  <c r="P2106" i="1" s="1"/>
  <c r="O2115" i="1"/>
  <c r="P2115" i="1" s="1"/>
  <c r="O2186" i="1"/>
  <c r="P2186" i="1" s="1"/>
  <c r="O2146" i="1"/>
  <c r="P2146" i="1" s="1"/>
  <c r="N1117" i="1"/>
  <c r="P1117" i="1" s="1"/>
  <c r="N1171" i="1"/>
  <c r="P1171" i="1" s="1"/>
  <c r="N1212" i="1"/>
  <c r="P1212" i="1" s="1"/>
  <c r="N1220" i="1"/>
  <c r="N1228" i="1"/>
  <c r="P1228" i="1" s="1"/>
  <c r="N1236" i="1"/>
  <c r="N1315" i="1"/>
  <c r="N1319" i="1"/>
  <c r="N1323" i="1"/>
  <c r="P1323" i="1" s="1"/>
  <c r="N1327" i="1"/>
  <c r="N1331" i="1"/>
  <c r="P1331" i="1" s="1"/>
  <c r="N1332" i="1"/>
  <c r="N1339" i="1"/>
  <c r="P1339" i="1" s="1"/>
  <c r="N1340" i="1"/>
  <c r="P1340" i="1" s="1"/>
  <c r="N1347" i="1"/>
  <c r="N1348" i="1"/>
  <c r="P1348" i="1" s="1"/>
  <c r="N1355" i="1"/>
  <c r="N1356" i="1"/>
  <c r="P1356" i="1" s="1"/>
  <c r="N1363" i="1"/>
  <c r="P1363" i="1" s="1"/>
  <c r="N1364" i="1"/>
  <c r="N1371" i="1"/>
  <c r="P1371" i="1" s="1"/>
  <c r="N1372" i="1"/>
  <c r="P1372" i="1" s="1"/>
  <c r="N1437" i="1"/>
  <c r="N1448" i="1"/>
  <c r="P1448" i="1" s="1"/>
  <c r="N1453" i="1"/>
  <c r="N1464" i="1"/>
  <c r="P1464" i="1" s="1"/>
  <c r="N1469" i="1"/>
  <c r="N1480" i="1"/>
  <c r="N1496" i="1"/>
  <c r="P1496" i="1" s="1"/>
  <c r="N1526" i="1"/>
  <c r="N1527" i="1"/>
  <c r="N1533" i="1"/>
  <c r="P1533" i="1" s="1"/>
  <c r="N1561" i="1"/>
  <c r="N1616" i="1"/>
  <c r="N1628" i="1"/>
  <c r="P1628" i="1" s="1"/>
  <c r="N1640" i="1"/>
  <c r="N1646" i="1"/>
  <c r="P1646" i="1" s="1"/>
  <c r="N1659" i="1"/>
  <c r="N1672" i="1"/>
  <c r="N1679" i="1"/>
  <c r="P1679" i="1" s="1"/>
  <c r="O1871" i="1"/>
  <c r="P1871" i="1" s="1"/>
  <c r="O1886" i="1"/>
  <c r="P1886" i="1" s="1"/>
  <c r="O1956" i="1"/>
  <c r="P1956" i="1" s="1"/>
  <c r="N1108" i="1"/>
  <c r="P1108" i="1" s="1"/>
  <c r="N1118" i="1"/>
  <c r="N1178" i="1"/>
  <c r="N1214" i="1"/>
  <c r="N1222" i="1"/>
  <c r="P1222" i="1" s="1"/>
  <c r="N1230" i="1"/>
  <c r="N1238" i="1"/>
  <c r="P1238" i="1" s="1"/>
  <c r="N1243" i="1"/>
  <c r="N1255" i="1"/>
  <c r="N1388" i="1"/>
  <c r="N1603" i="1"/>
  <c r="N1693" i="1"/>
  <c r="O1858" i="1"/>
  <c r="P1858" i="1" s="1"/>
  <c r="O2034" i="1"/>
  <c r="P2034" i="1" s="1"/>
  <c r="O2118" i="1"/>
  <c r="P2118" i="1" s="1"/>
  <c r="O2310" i="1"/>
  <c r="P2310" i="1" s="1"/>
  <c r="N902" i="1"/>
  <c r="P902" i="1" s="1"/>
  <c r="N970" i="1"/>
  <c r="P970" i="1" s="1"/>
  <c r="N1349" i="1"/>
  <c r="N1357" i="1"/>
  <c r="N1365" i="1"/>
  <c r="P1365" i="1" s="1"/>
  <c r="N1433" i="1"/>
  <c r="N1449" i="1"/>
  <c r="N1465" i="1"/>
  <c r="P1465" i="1" s="1"/>
  <c r="N1513" i="1"/>
  <c r="N1534" i="1"/>
  <c r="N1593" i="1"/>
  <c r="N1687" i="1"/>
  <c r="O1782" i="1"/>
  <c r="P1782" i="1" s="1"/>
  <c r="O2182" i="1"/>
  <c r="P2182" i="1" s="1"/>
  <c r="N946" i="1"/>
  <c r="P946" i="1" s="1"/>
  <c r="N958" i="1"/>
  <c r="N1026" i="1"/>
  <c r="N1172" i="1"/>
  <c r="N1179" i="1"/>
  <c r="P1179" i="1" s="1"/>
  <c r="N858" i="1"/>
  <c r="P858" i="1" s="1"/>
  <c r="N868" i="1"/>
  <c r="P868" i="1" s="1"/>
  <c r="N898" i="1"/>
  <c r="N899" i="1"/>
  <c r="P899" i="1" s="1"/>
  <c r="N909" i="1"/>
  <c r="P909" i="1" s="1"/>
  <c r="N925" i="1"/>
  <c r="P925" i="1" s="1"/>
  <c r="N936" i="1"/>
  <c r="N937" i="1"/>
  <c r="P937" i="1" s="1"/>
  <c r="N977" i="1"/>
  <c r="N993" i="1"/>
  <c r="P993" i="1" s="1"/>
  <c r="N998" i="1"/>
  <c r="P998" i="1" s="1"/>
  <c r="N999" i="1"/>
  <c r="P999" i="1" s="1"/>
  <c r="N1005" i="1"/>
  <c r="P1005" i="1" s="1"/>
  <c r="N1046" i="1"/>
  <c r="N1047" i="1"/>
  <c r="N1053" i="1"/>
  <c r="N1059" i="1"/>
  <c r="N1077" i="1"/>
  <c r="P1077" i="1" s="1"/>
  <c r="N1091" i="1"/>
  <c r="N1140" i="1"/>
  <c r="P1140" i="1" s="1"/>
  <c r="N1156" i="1"/>
  <c r="N1181" i="1"/>
  <c r="P1181" i="1" s="1"/>
  <c r="N1197" i="1"/>
  <c r="N1215" i="1"/>
  <c r="N1223" i="1"/>
  <c r="P1223" i="1" s="1"/>
  <c r="N1231" i="1"/>
  <c r="P1231" i="1" s="1"/>
  <c r="N1239" i="1"/>
  <c r="N1289" i="1"/>
  <c r="P1289" i="1" s="1"/>
  <c r="N1293" i="1"/>
  <c r="P1293" i="1" s="1"/>
  <c r="N1297" i="1"/>
  <c r="N1301" i="1"/>
  <c r="N1305" i="1"/>
  <c r="N1390" i="1"/>
  <c r="N1391" i="1"/>
  <c r="P1391" i="1" s="1"/>
  <c r="N1397" i="1"/>
  <c r="P1397" i="1" s="1"/>
  <c r="N1407" i="1"/>
  <c r="P1407" i="1" s="1"/>
  <c r="N1423" i="1"/>
  <c r="N1439" i="1"/>
  <c r="N1455" i="1"/>
  <c r="N1471" i="1"/>
  <c r="N1482" i="1"/>
  <c r="N1498" i="1"/>
  <c r="P1498" i="1" s="1"/>
  <c r="N1515" i="1"/>
  <c r="N1522" i="1"/>
  <c r="N1523" i="1"/>
  <c r="N1553" i="1"/>
  <c r="N1563" i="1"/>
  <c r="N1573" i="1"/>
  <c r="N1580" i="1"/>
  <c r="P1580" i="1" s="1"/>
  <c r="N1581" i="1"/>
  <c r="P1581" i="1" s="1"/>
  <c r="N1599" i="1"/>
  <c r="P1599" i="1" s="1"/>
  <c r="N1600" i="1"/>
  <c r="P1600" i="1" s="1"/>
  <c r="N1612" i="1"/>
  <c r="N1624" i="1"/>
  <c r="N1630" i="1"/>
  <c r="P1630" i="1" s="1"/>
  <c r="N1636" i="1"/>
  <c r="N1642" i="1"/>
  <c r="N1655" i="1"/>
  <c r="P1655" i="1" s="1"/>
  <c r="P2178" i="1"/>
  <c r="O2178" i="1"/>
  <c r="N1336" i="1"/>
  <c r="N1344" i="1"/>
  <c r="N1352" i="1"/>
  <c r="N1360" i="1"/>
  <c r="N1368" i="1"/>
  <c r="N1374" i="1"/>
  <c r="P1374" i="1" s="1"/>
  <c r="N1380" i="1"/>
  <c r="P1380" i="1" s="1"/>
  <c r="N1413" i="1"/>
  <c r="N1429" i="1"/>
  <c r="P1429" i="1" s="1"/>
  <c r="N1440" i="1"/>
  <c r="O2119" i="1"/>
  <c r="P2119" i="1" s="1"/>
  <c r="N1054" i="1"/>
  <c r="P1054" i="1" s="1"/>
  <c r="N1055" i="1"/>
  <c r="N1069" i="1"/>
  <c r="P1069" i="1" s="1"/>
  <c r="N1083" i="1"/>
  <c r="N1101" i="1"/>
  <c r="N1115" i="1"/>
  <c r="P1115" i="1" s="1"/>
  <c r="N1136" i="1"/>
  <c r="N1152" i="1"/>
  <c r="N1168" i="1"/>
  <c r="N1169" i="1"/>
  <c r="N1175" i="1"/>
  <c r="P1175" i="1" s="1"/>
  <c r="N1193" i="1"/>
  <c r="N1209" i="1"/>
  <c r="N1210" i="1"/>
  <c r="N1218" i="1"/>
  <c r="P1218" i="1" s="1"/>
  <c r="N1226" i="1"/>
  <c r="N1234" i="1"/>
  <c r="P1234" i="1" s="1"/>
  <c r="N1246" i="1"/>
  <c r="N1251" i="1"/>
  <c r="P1251" i="1" s="1"/>
  <c r="N1273" i="1"/>
  <c r="N1393" i="1"/>
  <c r="P1393" i="1" s="1"/>
  <c r="N1403" i="1"/>
  <c r="N1516" i="1"/>
  <c r="N1530" i="1"/>
  <c r="N1554" i="1"/>
  <c r="P1554" i="1" s="1"/>
  <c r="N1574" i="1"/>
  <c r="N1582" i="1"/>
  <c r="P1582" i="1" s="1"/>
  <c r="N1583" i="1"/>
  <c r="P1583" i="1" s="1"/>
  <c r="N1590" i="1"/>
  <c r="N1595" i="1"/>
  <c r="N1632" i="1"/>
  <c r="N1644" i="1"/>
  <c r="N1650" i="1"/>
  <c r="P1650" i="1" s="1"/>
  <c r="N1663" i="1"/>
  <c r="P1663" i="1" s="1"/>
  <c r="P1766" i="1"/>
  <c r="O1766" i="1"/>
  <c r="N1668" i="1"/>
  <c r="P1668" i="1" s="1"/>
  <c r="N1674" i="1"/>
  <c r="N1691" i="1"/>
  <c r="N1692" i="1"/>
  <c r="N1705" i="1"/>
  <c r="P1705" i="1" s="1"/>
  <c r="N1706" i="1"/>
  <c r="P1706" i="1" s="1"/>
  <c r="N1711" i="1"/>
  <c r="P1711" i="1" s="1"/>
  <c r="N1712" i="1"/>
  <c r="N1737" i="1"/>
  <c r="N1738" i="1"/>
  <c r="P1738" i="1" s="1"/>
  <c r="N1743" i="1"/>
  <c r="N1744" i="1"/>
  <c r="N1756" i="1"/>
  <c r="P1756" i="1" s="1"/>
  <c r="N1757" i="1"/>
  <c r="P2001" i="1"/>
  <c r="P2147" i="1"/>
  <c r="N2272" i="1"/>
  <c r="O2272" i="1" s="1"/>
  <c r="N2293" i="1"/>
  <c r="N2304" i="1"/>
  <c r="N2295" i="1"/>
  <c r="N1713" i="1"/>
  <c r="P1713" i="1" s="1"/>
  <c r="N1719" i="1"/>
  <c r="N1745" i="1"/>
  <c r="P1745" i="1" s="1"/>
  <c r="N1751" i="1"/>
  <c r="P1751" i="1" s="1"/>
  <c r="O1813" i="1"/>
  <c r="P1813" i="1" s="1"/>
  <c r="N1829" i="1"/>
  <c r="O2151" i="1"/>
  <c r="P2151" i="1" s="1"/>
  <c r="O2183" i="1"/>
  <c r="P2183" i="1" s="1"/>
  <c r="N2191" i="1"/>
  <c r="P2191" i="1" s="1"/>
  <c r="P2193" i="1"/>
  <c r="N2198" i="1"/>
  <c r="O2198" i="1" s="1"/>
  <c r="P2198" i="1" s="1"/>
  <c r="N2229" i="1"/>
  <c r="O2229" i="1" s="1"/>
  <c r="P2229" i="1" s="1"/>
  <c r="N2241" i="1"/>
  <c r="N1701" i="1"/>
  <c r="N1702" i="1"/>
  <c r="P1702" i="1" s="1"/>
  <c r="N1707" i="1"/>
  <c r="N1708" i="1"/>
  <c r="P1708" i="1" s="1"/>
  <c r="N1733" i="1"/>
  <c r="N1734" i="1"/>
  <c r="P1734" i="1" s="1"/>
  <c r="N1739" i="1"/>
  <c r="N1740" i="1"/>
  <c r="N1790" i="1"/>
  <c r="P1790" i="1" s="1"/>
  <c r="O1915" i="1"/>
  <c r="N1936" i="1"/>
  <c r="N1987" i="1"/>
  <c r="P1987" i="1" s="1"/>
  <c r="N2202" i="1"/>
  <c r="N2221" i="1"/>
  <c r="O2221" i="1" s="1"/>
  <c r="P2221" i="1" s="1"/>
  <c r="N2248" i="1"/>
  <c r="N2255" i="1"/>
  <c r="N2264" i="1"/>
  <c r="N2269" i="1"/>
  <c r="N2274" i="1"/>
  <c r="N2276" i="1"/>
  <c r="O2276" i="1" s="1"/>
  <c r="N2301" i="1"/>
  <c r="N2320" i="1"/>
  <c r="O2320" i="1" s="1"/>
  <c r="P2320" i="1" s="1"/>
  <c r="N2339" i="1"/>
  <c r="N2346" i="1"/>
  <c r="N1684" i="1"/>
  <c r="N1709" i="1"/>
  <c r="N1715" i="1"/>
  <c r="N1741" i="1"/>
  <c r="P1741" i="1" s="1"/>
  <c r="N1742" i="1"/>
  <c r="P1742" i="1" s="1"/>
  <c r="N1747" i="1"/>
  <c r="P1747" i="1" s="1"/>
  <c r="O1798" i="1"/>
  <c r="P1798" i="1" s="1"/>
  <c r="O1806" i="1"/>
  <c r="P1806" i="1" s="1"/>
  <c r="N1914" i="1"/>
  <c r="P1914" i="1" s="1"/>
  <c r="N1968" i="1"/>
  <c r="N1996" i="1"/>
  <c r="O2114" i="1"/>
  <c r="P2114" i="1" s="1"/>
  <c r="N2208" i="1"/>
  <c r="O2208" i="1" s="1"/>
  <c r="N2218" i="1"/>
  <c r="N2223" i="1"/>
  <c r="N2242" i="1"/>
  <c r="N2250" i="1"/>
  <c r="N2252" i="1"/>
  <c r="N2268" i="1"/>
  <c r="O2268" i="1" s="1"/>
  <c r="N2280" i="1"/>
  <c r="O2280" i="1" s="1"/>
  <c r="P2280" i="1" s="1"/>
  <c r="N2296" i="1"/>
  <c r="O2296" i="1" s="1"/>
  <c r="P2296" i="1" s="1"/>
  <c r="N2324" i="1"/>
  <c r="O2324" i="1" s="1"/>
  <c r="P2324" i="1" s="1"/>
  <c r="N2333" i="1"/>
  <c r="N1697" i="1"/>
  <c r="N1698" i="1"/>
  <c r="P1698" i="1" s="1"/>
  <c r="N1703" i="1"/>
  <c r="P1703" i="1" s="1"/>
  <c r="N1704" i="1"/>
  <c r="N1730" i="1"/>
  <c r="P1730" i="1" s="1"/>
  <c r="N1735" i="1"/>
  <c r="P1735" i="1" s="1"/>
  <c r="N1736" i="1"/>
  <c r="P1736" i="1" s="1"/>
  <c r="N1810" i="1"/>
  <c r="O1832" i="1"/>
  <c r="P1832" i="1" s="1"/>
  <c r="O1840" i="1"/>
  <c r="P1840" i="1" s="1"/>
  <c r="N1880" i="1"/>
  <c r="N1918" i="1"/>
  <c r="P1918" i="1" s="1"/>
  <c r="O2084" i="1"/>
  <c r="P2084" i="1" s="1"/>
  <c r="N2201" i="1"/>
  <c r="N2215" i="1"/>
  <c r="O2215" i="1" s="1"/>
  <c r="P2215" i="1" s="1"/>
  <c r="N2230" i="1"/>
  <c r="N2239" i="1"/>
  <c r="O2239" i="1" s="1"/>
  <c r="N2247" i="1"/>
  <c r="O2247" i="1" s="1"/>
  <c r="N2261" i="1"/>
  <c r="O2261" i="1" s="1"/>
  <c r="P2261" i="1" s="1"/>
  <c r="N2287" i="1"/>
  <c r="N2300" i="1"/>
  <c r="O2300" i="1" s="1"/>
  <c r="P2300" i="1" s="1"/>
  <c r="N2319" i="1"/>
  <c r="O2319" i="1" s="1"/>
  <c r="P17" i="1"/>
  <c r="P25" i="1"/>
  <c r="P33" i="1"/>
  <c r="P41" i="1"/>
  <c r="P49" i="1"/>
  <c r="P59" i="1"/>
  <c r="P67" i="1"/>
  <c r="P75" i="1"/>
  <c r="P99" i="1"/>
  <c r="P107" i="1"/>
  <c r="P115" i="1"/>
  <c r="P8" i="1"/>
  <c r="P24" i="1"/>
  <c r="P32" i="1"/>
  <c r="P48" i="1"/>
  <c r="P58" i="1"/>
  <c r="P66" i="1"/>
  <c r="P74" i="1"/>
  <c r="P82" i="1"/>
  <c r="P90" i="1"/>
  <c r="P98" i="1"/>
  <c r="P106" i="1"/>
  <c r="P114" i="1"/>
  <c r="P122" i="1"/>
  <c r="P7" i="1"/>
  <c r="P15" i="1"/>
  <c r="P23" i="1"/>
  <c r="P31" i="1"/>
  <c r="P39" i="1"/>
  <c r="P57" i="1"/>
  <c r="P65" i="1"/>
  <c r="P81" i="1"/>
  <c r="P89" i="1"/>
  <c r="P105" i="1"/>
  <c r="P113" i="1"/>
  <c r="P121" i="1"/>
  <c r="P14" i="1"/>
  <c r="P22" i="1"/>
  <c r="P30" i="1"/>
  <c r="P38" i="1"/>
  <c r="P46" i="1"/>
  <c r="P64" i="1"/>
  <c r="P72" i="1"/>
  <c r="P80" i="1"/>
  <c r="P88" i="1"/>
  <c r="P96" i="1"/>
  <c r="P112" i="1"/>
  <c r="P120" i="1"/>
  <c r="P13" i="1"/>
  <c r="P21" i="1"/>
  <c r="P29" i="1"/>
  <c r="P37" i="1"/>
  <c r="P45" i="1"/>
  <c r="P54" i="1"/>
  <c r="P71" i="1"/>
  <c r="P79" i="1"/>
  <c r="P87" i="1"/>
  <c r="P95" i="1"/>
  <c r="P103" i="1"/>
  <c r="P119" i="1"/>
  <c r="P12" i="1"/>
  <c r="P20" i="1"/>
  <c r="P44" i="1"/>
  <c r="P53" i="1"/>
  <c r="P62" i="1"/>
  <c r="P86" i="1"/>
  <c r="P110" i="1"/>
  <c r="P118" i="1"/>
  <c r="P27" i="1"/>
  <c r="P35" i="1"/>
  <c r="P43" i="1"/>
  <c r="O51" i="1"/>
  <c r="P51" i="1" s="1"/>
  <c r="P52" i="1"/>
  <c r="P69" i="1"/>
  <c r="P77" i="1"/>
  <c r="P93" i="1"/>
  <c r="P101" i="1"/>
  <c r="P109" i="1"/>
  <c r="P117" i="1"/>
  <c r="P124" i="1"/>
  <c r="P129" i="1"/>
  <c r="P137" i="1"/>
  <c r="P146" i="1"/>
  <c r="P154" i="1"/>
  <c r="P212" i="1"/>
  <c r="P220" i="1"/>
  <c r="P244" i="1"/>
  <c r="P249" i="1"/>
  <c r="P359" i="1"/>
  <c r="P128" i="1"/>
  <c r="P136" i="1"/>
  <c r="O144" i="1"/>
  <c r="P144" i="1" s="1"/>
  <c r="P145" i="1"/>
  <c r="P153" i="1"/>
  <c r="P161" i="1"/>
  <c r="P169" i="1"/>
  <c r="P177" i="1"/>
  <c r="P185" i="1"/>
  <c r="P193" i="1"/>
  <c r="P201" i="1"/>
  <c r="P219" i="1"/>
  <c r="P227" i="1"/>
  <c r="P235" i="1"/>
  <c r="P243" i="1"/>
  <c r="P327" i="1"/>
  <c r="P351" i="1"/>
  <c r="P135" i="1"/>
  <c r="P143" i="1"/>
  <c r="P152" i="1"/>
  <c r="P168" i="1"/>
  <c r="P176" i="1"/>
  <c r="P184" i="1"/>
  <c r="P210" i="1"/>
  <c r="P218" i="1"/>
  <c r="P226" i="1"/>
  <c r="P234" i="1"/>
  <c r="P242" i="1"/>
  <c r="P262" i="1"/>
  <c r="P286" i="1"/>
  <c r="P319" i="1"/>
  <c r="P126" i="1"/>
  <c r="P142" i="1"/>
  <c r="P151" i="1"/>
  <c r="P159" i="1"/>
  <c r="P175" i="1"/>
  <c r="P183" i="1"/>
  <c r="P191" i="1"/>
  <c r="P199" i="1"/>
  <c r="O207" i="1"/>
  <c r="P207" i="1" s="1"/>
  <c r="O208" i="1"/>
  <c r="P209" i="1"/>
  <c r="P217" i="1"/>
  <c r="P225" i="1"/>
  <c r="P233" i="1"/>
  <c r="P241" i="1"/>
  <c r="P254" i="1"/>
  <c r="P302" i="1"/>
  <c r="P343" i="1"/>
  <c r="P377" i="1"/>
  <c r="P125" i="1"/>
  <c r="P133" i="1"/>
  <c r="P141" i="1"/>
  <c r="P150" i="1"/>
  <c r="P158" i="1"/>
  <c r="P166" i="1"/>
  <c r="P174" i="1"/>
  <c r="P182" i="1"/>
  <c r="P190" i="1"/>
  <c r="P198" i="1"/>
  <c r="P206" i="1"/>
  <c r="P208" i="1"/>
  <c r="P240" i="1"/>
  <c r="P246" i="1"/>
  <c r="P311" i="1"/>
  <c r="P132" i="1"/>
  <c r="P157" i="1"/>
  <c r="P278" i="1"/>
  <c r="P131" i="1"/>
  <c r="P139" i="1"/>
  <c r="P148" i="1"/>
  <c r="P156" i="1"/>
  <c r="P164" i="1"/>
  <c r="P172" i="1"/>
  <c r="P180" i="1"/>
  <c r="P188" i="1"/>
  <c r="P196" i="1"/>
  <c r="P204" i="1"/>
  <c r="P214" i="1"/>
  <c r="P222" i="1"/>
  <c r="P238" i="1"/>
  <c r="P270" i="1"/>
  <c r="P294" i="1"/>
  <c r="P335" i="1"/>
  <c r="P252" i="1"/>
  <c r="P260" i="1"/>
  <c r="P268" i="1"/>
  <c r="P276" i="1"/>
  <c r="P284" i="1"/>
  <c r="P292" i="1"/>
  <c r="P300" i="1"/>
  <c r="P309" i="1"/>
  <c r="P317" i="1"/>
  <c r="P325" i="1"/>
  <c r="P333" i="1"/>
  <c r="P341" i="1"/>
  <c r="P368" i="1"/>
  <c r="O307" i="1"/>
  <c r="P307" i="1" s="1"/>
  <c r="P316" i="1"/>
  <c r="P324" i="1"/>
  <c r="P332" i="1"/>
  <c r="P340" i="1"/>
  <c r="P348" i="1"/>
  <c r="P356" i="1"/>
  <c r="P364" i="1"/>
  <c r="P374" i="1"/>
  <c r="P378" i="1"/>
  <c r="P389" i="1"/>
  <c r="P363" i="1"/>
  <c r="P369" i="1"/>
  <c r="P305" i="1"/>
  <c r="P314" i="1"/>
  <c r="P387" i="1"/>
  <c r="P376" i="1"/>
  <c r="P381" i="1"/>
  <c r="P384" i="1"/>
  <c r="P392" i="1"/>
  <c r="P400" i="1"/>
  <c r="P408" i="1"/>
  <c r="P416" i="1"/>
  <c r="P424" i="1"/>
  <c r="P432" i="1"/>
  <c r="P440" i="1"/>
  <c r="P448" i="1"/>
  <c r="P456" i="1"/>
  <c r="P464" i="1"/>
  <c r="P477" i="1"/>
  <c r="P497" i="1"/>
  <c r="P397" i="1"/>
  <c r="P405" i="1"/>
  <c r="P413" i="1"/>
  <c r="P421" i="1"/>
  <c r="P429" i="1"/>
  <c r="P437" i="1"/>
  <c r="P445" i="1"/>
  <c r="P453" i="1"/>
  <c r="P461" i="1"/>
  <c r="P471" i="1"/>
  <c r="P485" i="1"/>
  <c r="P489" i="1"/>
  <c r="O505" i="1"/>
  <c r="P505" i="1" s="1"/>
  <c r="P495" i="1"/>
  <c r="P514" i="1"/>
  <c r="P395" i="1"/>
  <c r="P403" i="1"/>
  <c r="P411" i="1"/>
  <c r="P419" i="1"/>
  <c r="P427" i="1"/>
  <c r="P435" i="1"/>
  <c r="P443" i="1"/>
  <c r="P451" i="1"/>
  <c r="P459" i="1"/>
  <c r="P467" i="1"/>
  <c r="P473" i="1"/>
  <c r="P487" i="1"/>
  <c r="P386" i="1"/>
  <c r="P394" i="1"/>
  <c r="P402" i="1"/>
  <c r="P410" i="1"/>
  <c r="P418" i="1"/>
  <c r="P426" i="1"/>
  <c r="P434" i="1"/>
  <c r="P442" i="1"/>
  <c r="P481" i="1"/>
  <c r="P506" i="1"/>
  <c r="P476" i="1"/>
  <c r="P484" i="1"/>
  <c r="P492" i="1"/>
  <c r="P500" i="1"/>
  <c r="P509" i="1"/>
  <c r="P516" i="1"/>
  <c r="P503" i="1"/>
  <c r="P512" i="1"/>
  <c r="P1033" i="1"/>
  <c r="P1038" i="1"/>
  <c r="P1039" i="1"/>
  <c r="P1055" i="1"/>
  <c r="P912" i="1"/>
  <c r="P982" i="1"/>
  <c r="P990" i="1"/>
  <c r="P994" i="1"/>
  <c r="P934" i="1"/>
  <c r="P940" i="1"/>
  <c r="P953" i="1"/>
  <c r="P960" i="1"/>
  <c r="P966" i="1"/>
  <c r="P974" i="1"/>
  <c r="P977" i="1"/>
  <c r="P888" i="1"/>
  <c r="P1010" i="1"/>
  <c r="P898" i="1"/>
  <c r="P865" i="1"/>
  <c r="P920" i="1"/>
  <c r="P954" i="1"/>
  <c r="P944" i="1"/>
  <c r="N874" i="1"/>
  <c r="P881" i="1"/>
  <c r="P894" i="1"/>
  <c r="P896" i="1"/>
  <c r="P950" i="1"/>
  <c r="P972" i="1"/>
  <c r="P1001" i="1"/>
  <c r="P1011" i="1"/>
  <c r="P1023" i="1"/>
  <c r="P1059" i="1"/>
  <c r="P1063" i="1"/>
  <c r="P1067" i="1"/>
  <c r="P1071" i="1"/>
  <c r="P1079" i="1"/>
  <c r="P1083" i="1"/>
  <c r="P1087" i="1"/>
  <c r="P1091" i="1"/>
  <c r="P1095" i="1"/>
  <c r="P1103" i="1"/>
  <c r="P857" i="1"/>
  <c r="P860" i="1"/>
  <c r="P877" i="1"/>
  <c r="P886" i="1"/>
  <c r="P905" i="1"/>
  <c r="P918" i="1"/>
  <c r="P948" i="1"/>
  <c r="P958" i="1"/>
  <c r="P984" i="1"/>
  <c r="P995" i="1"/>
  <c r="P908" i="1"/>
  <c r="P930" i="1"/>
  <c r="P979" i="1"/>
  <c r="P1002" i="1"/>
  <c r="P1034" i="1"/>
  <c r="P1035" i="1"/>
  <c r="P1045" i="1"/>
  <c r="P1051" i="1"/>
  <c r="N880" i="1"/>
  <c r="P897" i="1"/>
  <c r="P901" i="1"/>
  <c r="P906" i="1"/>
  <c r="P916" i="1"/>
  <c r="P931" i="1"/>
  <c r="P936" i="1"/>
  <c r="P956" i="1"/>
  <c r="P988" i="1"/>
  <c r="P1025" i="1"/>
  <c r="P878" i="1"/>
  <c r="P887" i="1"/>
  <c r="P924" i="1"/>
  <c r="P968" i="1"/>
  <c r="P986" i="1"/>
  <c r="P1006" i="1"/>
  <c r="P1014" i="1"/>
  <c r="P1026" i="1"/>
  <c r="P885" i="1"/>
  <c r="P917" i="1"/>
  <c r="P922" i="1"/>
  <c r="P932" i="1"/>
  <c r="P947" i="1"/>
  <c r="P952" i="1"/>
  <c r="P963" i="1"/>
  <c r="P983" i="1"/>
  <c r="N856" i="1"/>
  <c r="N872" i="1"/>
  <c r="P1022" i="1"/>
  <c r="P1109" i="1"/>
  <c r="P890" i="1"/>
  <c r="P927" i="1"/>
  <c r="P943" i="1"/>
  <c r="P959" i="1"/>
  <c r="P965" i="1"/>
  <c r="P997" i="1"/>
  <c r="P1013" i="1"/>
  <c r="P1030" i="1"/>
  <c r="N866" i="1"/>
  <c r="P891" i="1"/>
  <c r="P971" i="1"/>
  <c r="P976" i="1"/>
  <c r="P991" i="1"/>
  <c r="P1007" i="1"/>
  <c r="P1031" i="1"/>
  <c r="P1041" i="1"/>
  <c r="P1046" i="1"/>
  <c r="P1047" i="1"/>
  <c r="P1057" i="1"/>
  <c r="P1065" i="1"/>
  <c r="P1081" i="1"/>
  <c r="P1085" i="1"/>
  <c r="P1089" i="1"/>
  <c r="P1093" i="1"/>
  <c r="P1097" i="1"/>
  <c r="P1101" i="1"/>
  <c r="P910" i="1"/>
  <c r="P923" i="1"/>
  <c r="P926" i="1"/>
  <c r="P942" i="1"/>
  <c r="P955" i="1"/>
  <c r="P969" i="1"/>
  <c r="P978" i="1"/>
  <c r="P985" i="1"/>
  <c r="P1009" i="1"/>
  <c r="P1118" i="1"/>
  <c r="P1123" i="1"/>
  <c r="N862" i="1"/>
  <c r="P867" i="1"/>
  <c r="N893" i="1"/>
  <c r="P964" i="1"/>
  <c r="P975" i="1"/>
  <c r="P980" i="1"/>
  <c r="P1003" i="1"/>
  <c r="P1037" i="1"/>
  <c r="P1042" i="1"/>
  <c r="P1043" i="1"/>
  <c r="P1053" i="1"/>
  <c r="P1122" i="1"/>
  <c r="P1126" i="1"/>
  <c r="P1130" i="1"/>
  <c r="P1178" i="1"/>
  <c r="P1189" i="1"/>
  <c r="P1205" i="1"/>
  <c r="P1211" i="1"/>
  <c r="P1219" i="1"/>
  <c r="P1227" i="1"/>
  <c r="P1235" i="1"/>
  <c r="P1058" i="1"/>
  <c r="P1062" i="1"/>
  <c r="P1070" i="1"/>
  <c r="P1074" i="1"/>
  <c r="P1082" i="1"/>
  <c r="P1086" i="1"/>
  <c r="P1090" i="1"/>
  <c r="P1094" i="1"/>
  <c r="P1098" i="1"/>
  <c r="P1107" i="1"/>
  <c r="P1121" i="1"/>
  <c r="P1128" i="1"/>
  <c r="P1139" i="1"/>
  <c r="P1147" i="1"/>
  <c r="P1163" i="1"/>
  <c r="P1213" i="1"/>
  <c r="P1220" i="1"/>
  <c r="P1221" i="1"/>
  <c r="P1229" i="1"/>
  <c r="P1236" i="1"/>
  <c r="P1237" i="1"/>
  <c r="P1242" i="1"/>
  <c r="P1247" i="1"/>
  <c r="P1253" i="1"/>
  <c r="P1119" i="1"/>
  <c r="P1125" i="1"/>
  <c r="P1137" i="1"/>
  <c r="P1142" i="1"/>
  <c r="P1148" i="1"/>
  <c r="P1164" i="1"/>
  <c r="P1185" i="1"/>
  <c r="P1201" i="1"/>
  <c r="P1214" i="1"/>
  <c r="P1230" i="1"/>
  <c r="P1254" i="1"/>
  <c r="P1266" i="1"/>
  <c r="P1110" i="1"/>
  <c r="N1124" i="1"/>
  <c r="P1135" i="1"/>
  <c r="P1151" i="1"/>
  <c r="P1167" i="1"/>
  <c r="N1180" i="1"/>
  <c r="P1191" i="1"/>
  <c r="P1207" i="1"/>
  <c r="P1243" i="1"/>
  <c r="P1133" i="1"/>
  <c r="P1138" i="1"/>
  <c r="P1152" i="1"/>
  <c r="P1168" i="1"/>
  <c r="P1172" i="1"/>
  <c r="P1176" i="1"/>
  <c r="P1197" i="1"/>
  <c r="P1215" i="1"/>
  <c r="P1239" i="1"/>
  <c r="P1262" i="1"/>
  <c r="P1131" i="1"/>
  <c r="P1136" i="1"/>
  <c r="P1146" i="1"/>
  <c r="P1155" i="1"/>
  <c r="P1162" i="1"/>
  <c r="P1169" i="1"/>
  <c r="P1173" i="1"/>
  <c r="P1177" i="1"/>
  <c r="P1187" i="1"/>
  <c r="P1216" i="1"/>
  <c r="P1217" i="1"/>
  <c r="P1224" i="1"/>
  <c r="P1225" i="1"/>
  <c r="P1232" i="1"/>
  <c r="P1233" i="1"/>
  <c r="P996" i="1"/>
  <c r="P1000" i="1"/>
  <c r="P1004" i="1"/>
  <c r="P1012" i="1"/>
  <c r="P1016" i="1"/>
  <c r="P1020" i="1"/>
  <c r="P1024" i="1"/>
  <c r="P1028" i="1"/>
  <c r="P1032" i="1"/>
  <c r="P1036" i="1"/>
  <c r="P1040" i="1"/>
  <c r="P1044" i="1"/>
  <c r="P1052" i="1"/>
  <c r="N1106" i="1"/>
  <c r="P1129" i="1"/>
  <c r="P1134" i="1"/>
  <c r="P1156" i="1"/>
  <c r="P1193" i="1"/>
  <c r="P1209" i="1"/>
  <c r="P1210" i="1"/>
  <c r="P1226" i="1"/>
  <c r="P1250" i="1"/>
  <c r="N1120" i="1"/>
  <c r="P1132" i="1"/>
  <c r="P1143" i="1"/>
  <c r="P1159" i="1"/>
  <c r="P1166" i="1"/>
  <c r="P1170" i="1"/>
  <c r="P1183" i="1"/>
  <c r="P1246" i="1"/>
  <c r="P1260" i="1"/>
  <c r="P1319" i="1"/>
  <c r="P1327" i="1"/>
  <c r="P1335" i="1"/>
  <c r="P1336" i="1"/>
  <c r="P1343" i="1"/>
  <c r="P1344" i="1"/>
  <c r="P1351" i="1"/>
  <c r="P1352" i="1"/>
  <c r="P1359" i="1"/>
  <c r="P1360" i="1"/>
  <c r="P1367" i="1"/>
  <c r="P1368" i="1"/>
  <c r="P1378" i="1"/>
  <c r="P1394" i="1"/>
  <c r="P1145" i="1"/>
  <c r="P1149" i="1"/>
  <c r="P1157" i="1"/>
  <c r="P1161" i="1"/>
  <c r="P1165" i="1"/>
  <c r="P1182" i="1"/>
  <c r="P1186" i="1"/>
  <c r="P1190" i="1"/>
  <c r="P1194" i="1"/>
  <c r="P1198" i="1"/>
  <c r="P1202" i="1"/>
  <c r="P1206" i="1"/>
  <c r="P1388" i="1"/>
  <c r="P1264" i="1"/>
  <c r="P1307" i="1"/>
  <c r="P1337" i="1"/>
  <c r="P1338" i="1"/>
  <c r="P1345" i="1"/>
  <c r="P1346" i="1"/>
  <c r="P1353" i="1"/>
  <c r="P1354" i="1"/>
  <c r="P1361" i="1"/>
  <c r="P1362" i="1"/>
  <c r="P1369" i="1"/>
  <c r="P1370" i="1"/>
  <c r="P1379" i="1"/>
  <c r="P1275" i="1"/>
  <c r="N1287" i="1"/>
  <c r="N1295" i="1"/>
  <c r="P1297" i="1"/>
  <c r="P1375" i="1"/>
  <c r="P1390" i="1"/>
  <c r="P1272" i="1"/>
  <c r="P1315" i="1"/>
  <c r="P1332" i="1"/>
  <c r="P1347" i="1"/>
  <c r="P1355" i="1"/>
  <c r="P1364" i="1"/>
  <c r="P1184" i="1"/>
  <c r="P1188" i="1"/>
  <c r="P1192" i="1"/>
  <c r="P1196" i="1"/>
  <c r="P1200" i="1"/>
  <c r="P1204" i="1"/>
  <c r="P1208" i="1"/>
  <c r="P1249" i="1"/>
  <c r="P1255" i="1"/>
  <c r="P1257" i="1"/>
  <c r="P1279" i="1"/>
  <c r="P1285" i="1"/>
  <c r="P1301" i="1"/>
  <c r="P1392" i="1"/>
  <c r="P1267" i="1"/>
  <c r="P1273" i="1"/>
  <c r="P1281" i="1"/>
  <c r="P1334" i="1"/>
  <c r="P1341" i="1"/>
  <c r="P1342" i="1"/>
  <c r="P1349" i="1"/>
  <c r="P1350" i="1"/>
  <c r="P1357" i="1"/>
  <c r="P1358" i="1"/>
  <c r="P1366" i="1"/>
  <c r="P1265" i="1"/>
  <c r="P1271" i="1"/>
  <c r="P1277" i="1"/>
  <c r="N1291" i="1"/>
  <c r="P1305" i="1"/>
  <c r="P1387" i="1"/>
  <c r="P1316" i="1"/>
  <c r="P1320" i="1"/>
  <c r="P1324" i="1"/>
  <c r="P1401" i="1"/>
  <c r="P1412" i="1"/>
  <c r="P1427" i="1"/>
  <c r="P1451" i="1"/>
  <c r="P1456" i="1"/>
  <c r="P1494" i="1"/>
  <c r="P1510" i="1"/>
  <c r="P1399" i="1"/>
  <c r="P1410" i="1"/>
  <c r="P1415" i="1"/>
  <c r="P1421" i="1"/>
  <c r="P1447" i="1"/>
  <c r="P1452" i="1"/>
  <c r="P1461" i="1"/>
  <c r="P1471" i="1"/>
  <c r="P1309" i="1"/>
  <c r="P1317" i="1"/>
  <c r="P1321" i="1"/>
  <c r="P1325" i="1"/>
  <c r="P1329" i="1"/>
  <c r="N1385" i="1"/>
  <c r="P1408" i="1"/>
  <c r="P1413" i="1"/>
  <c r="N1431" i="1"/>
  <c r="P1443" i="1"/>
  <c r="P1457" i="1"/>
  <c r="P1472" i="1"/>
  <c r="P1480" i="1"/>
  <c r="P1490" i="1"/>
  <c r="P1506" i="1"/>
  <c r="P1516" i="1"/>
  <c r="P1406" i="1"/>
  <c r="P1411" i="1"/>
  <c r="P1418" i="1"/>
  <c r="P1425" i="1"/>
  <c r="P1439" i="1"/>
  <c r="P1444" i="1"/>
  <c r="P1453" i="1"/>
  <c r="P1467" i="1"/>
  <c r="P1404" i="1"/>
  <c r="P1419" i="1"/>
  <c r="P1435" i="1"/>
  <c r="P1440" i="1"/>
  <c r="P1449" i="1"/>
  <c r="P1486" i="1"/>
  <c r="P1502" i="1"/>
  <c r="P1386" i="1"/>
  <c r="P1402" i="1"/>
  <c r="P1422" i="1"/>
  <c r="P1436" i="1"/>
  <c r="P1445" i="1"/>
  <c r="P1463" i="1"/>
  <c r="P1508" i="1"/>
  <c r="P1513" i="1"/>
  <c r="P1514" i="1"/>
  <c r="P1389" i="1"/>
  <c r="P1396" i="1"/>
  <c r="P1423" i="1"/>
  <c r="P1441" i="1"/>
  <c r="P1469" i="1"/>
  <c r="P1482" i="1"/>
  <c r="P1398" i="1"/>
  <c r="P1403" i="1"/>
  <c r="P1414" i="1"/>
  <c r="P1417" i="1"/>
  <c r="P1426" i="1"/>
  <c r="P1433" i="1"/>
  <c r="P1437" i="1"/>
  <c r="P1455" i="1"/>
  <c r="P1460" i="1"/>
  <c r="P1488" i="1"/>
  <c r="P1522" i="1"/>
  <c r="P1527" i="1"/>
  <c r="P1553" i="1"/>
  <c r="P1585" i="1"/>
  <c r="P1593" i="1"/>
  <c r="P1416" i="1"/>
  <c r="P1420" i="1"/>
  <c r="P1424" i="1"/>
  <c r="P1428" i="1"/>
  <c r="P1477" i="1"/>
  <c r="P1481" i="1"/>
  <c r="P1485" i="1"/>
  <c r="P1489" i="1"/>
  <c r="P1493" i="1"/>
  <c r="P1497" i="1"/>
  <c r="P1505" i="1"/>
  <c r="P1509" i="1"/>
  <c r="P1524" i="1"/>
  <c r="P1542" i="1"/>
  <c r="P1543" i="1"/>
  <c r="N1511" i="1"/>
  <c r="P1525" i="1"/>
  <c r="P1537" i="1"/>
  <c r="P1549" i="1"/>
  <c r="P1555" i="1"/>
  <c r="P1559" i="1"/>
  <c r="P1563" i="1"/>
  <c r="P1567" i="1"/>
  <c r="P1523" i="1"/>
  <c r="P1530" i="1"/>
  <c r="P1532" i="1"/>
  <c r="P1521" i="1"/>
  <c r="P1538" i="1"/>
  <c r="P1539" i="1"/>
  <c r="P1545" i="1"/>
  <c r="P1550" i="1"/>
  <c r="P1551" i="1"/>
  <c r="P1573" i="1"/>
  <c r="P1475" i="1"/>
  <c r="P1479" i="1"/>
  <c r="P1483" i="1"/>
  <c r="P1487" i="1"/>
  <c r="P1491" i="1"/>
  <c r="P1503" i="1"/>
  <c r="P1507" i="1"/>
  <c r="P1512" i="1"/>
  <c r="P1531" i="1"/>
  <c r="P1517" i="1"/>
  <c r="P1526" i="1"/>
  <c r="P1528" i="1"/>
  <c r="P1546" i="1"/>
  <c r="P1547" i="1"/>
  <c r="P1557" i="1"/>
  <c r="P1561" i="1"/>
  <c r="P1565" i="1"/>
  <c r="P1569" i="1"/>
  <c r="P1574" i="1"/>
  <c r="P1578" i="1"/>
  <c r="P1515" i="1"/>
  <c r="N1529" i="1"/>
  <c r="P1534" i="1"/>
  <c r="P1535" i="1"/>
  <c r="P1541" i="1"/>
  <c r="P1570" i="1"/>
  <c r="P1584" i="1"/>
  <c r="P1579" i="1"/>
  <c r="P1608" i="1"/>
  <c r="P1635" i="1"/>
  <c r="P1640" i="1"/>
  <c r="P1656" i="1"/>
  <c r="P1670" i="1"/>
  <c r="P1673" i="1"/>
  <c r="P1558" i="1"/>
  <c r="P1562" i="1"/>
  <c r="P1572" i="1"/>
  <c r="N1592" i="1"/>
  <c r="P1603" i="1"/>
  <c r="P1605" i="1"/>
  <c r="P1623" i="1"/>
  <c r="P1637" i="1"/>
  <c r="P1674" i="1"/>
  <c r="P1677" i="1"/>
  <c r="P1681" i="1"/>
  <c r="P1575" i="1"/>
  <c r="P1588" i="1"/>
  <c r="P1606" i="1"/>
  <c r="P1616" i="1"/>
  <c r="P1625" i="1"/>
  <c r="P1643" i="1"/>
  <c r="P1648" i="1"/>
  <c r="P1664" i="1"/>
  <c r="P1671" i="1"/>
  <c r="P1678" i="1"/>
  <c r="P1682" i="1"/>
  <c r="P1597" i="1"/>
  <c r="P1604" i="1"/>
  <c r="P1613" i="1"/>
  <c r="N1626" i="1"/>
  <c r="P1631" i="1"/>
  <c r="P1636" i="1"/>
  <c r="P1645" i="1"/>
  <c r="P1653" i="1"/>
  <c r="P1675" i="1"/>
  <c r="P1687" i="1"/>
  <c r="N1586" i="1"/>
  <c r="P1614" i="1"/>
  <c r="P1624" i="1"/>
  <c r="P1657" i="1"/>
  <c r="P1672" i="1"/>
  <c r="P1536" i="1"/>
  <c r="P1540" i="1"/>
  <c r="P1544" i="1"/>
  <c r="P1602" i="1"/>
  <c r="P1607" i="1"/>
  <c r="P1612" i="1"/>
  <c r="P1621" i="1"/>
  <c r="P1634" i="1"/>
  <c r="P1639" i="1"/>
  <c r="P1644" i="1"/>
  <c r="P1658" i="1"/>
  <c r="P1661" i="1"/>
  <c r="P1676" i="1"/>
  <c r="N1571" i="1"/>
  <c r="P1595" i="1"/>
  <c r="P1609" i="1"/>
  <c r="P1632" i="1"/>
  <c r="P1641" i="1"/>
  <c r="P1662" i="1"/>
  <c r="P1665" i="1"/>
  <c r="P1590" i="1"/>
  <c r="N1610" i="1"/>
  <c r="P1615" i="1"/>
  <c r="P1629" i="1"/>
  <c r="P1642" i="1"/>
  <c r="P1647" i="1"/>
  <c r="P1659" i="1"/>
  <c r="P1666" i="1"/>
  <c r="P1669" i="1"/>
  <c r="P1695" i="1"/>
  <c r="P1707" i="1"/>
  <c r="P1715" i="1"/>
  <c r="P1719" i="1"/>
  <c r="P1723" i="1"/>
  <c r="P1727" i="1"/>
  <c r="P1731" i="1"/>
  <c r="P1739" i="1"/>
  <c r="P1743" i="1"/>
  <c r="P1755" i="1"/>
  <c r="N1680" i="1"/>
  <c r="P1692" i="1"/>
  <c r="N1694" i="1"/>
  <c r="P1704" i="1"/>
  <c r="P1712" i="1"/>
  <c r="P1716" i="1"/>
  <c r="P1720" i="1"/>
  <c r="P1724" i="1"/>
  <c r="P1728" i="1"/>
  <c r="P1732" i="1"/>
  <c r="P1740" i="1"/>
  <c r="P1744" i="1"/>
  <c r="P1752" i="1"/>
  <c r="P1880" i="1"/>
  <c r="O1883" i="1"/>
  <c r="P1883" i="1" s="1"/>
  <c r="P1697" i="1"/>
  <c r="O1792" i="1"/>
  <c r="P1792" i="1" s="1"/>
  <c r="O1971" i="1"/>
  <c r="P1971" i="1" s="1"/>
  <c r="P1701" i="1"/>
  <c r="P1757" i="1"/>
  <c r="P1684" i="1"/>
  <c r="P1691" i="1"/>
  <c r="P1699" i="1"/>
  <c r="P1709" i="1"/>
  <c r="P1717" i="1"/>
  <c r="P1721" i="1"/>
  <c r="P1733" i="1"/>
  <c r="P1737" i="1"/>
  <c r="P1749" i="1"/>
  <c r="P1753" i="1"/>
  <c r="P1758" i="1"/>
  <c r="P1696" i="1"/>
  <c r="N1686" i="1"/>
  <c r="P1693" i="1"/>
  <c r="N1700" i="1"/>
  <c r="O1812" i="1"/>
  <c r="P1812" i="1" s="1"/>
  <c r="O2012" i="1"/>
  <c r="P2012" i="1" s="1"/>
  <c r="O1769" i="1"/>
  <c r="P1769" i="1" s="1"/>
  <c r="O1775" i="1"/>
  <c r="P1775" i="1" s="1"/>
  <c r="O1781" i="1"/>
  <c r="P1781" i="1" s="1"/>
  <c r="O1786" i="1"/>
  <c r="P1786" i="1" s="1"/>
  <c r="O1797" i="1"/>
  <c r="P1797" i="1" s="1"/>
  <c r="O1818" i="1"/>
  <c r="P1818" i="1" s="1"/>
  <c r="O1837" i="1"/>
  <c r="P1837" i="1" s="1"/>
  <c r="O1851" i="1"/>
  <c r="P1851" i="1" s="1"/>
  <c r="O1865" i="1"/>
  <c r="P1865" i="1" s="1"/>
  <c r="O1878" i="1"/>
  <c r="P1878" i="1" s="1"/>
  <c r="O1903" i="1"/>
  <c r="P1903" i="1" s="1"/>
  <c r="O1907" i="1"/>
  <c r="P1907" i="1" s="1"/>
  <c r="O1911" i="1"/>
  <c r="P1911" i="1" s="1"/>
  <c r="O2021" i="1"/>
  <c r="P2021" i="1" s="1"/>
  <c r="O1801" i="1"/>
  <c r="P1801" i="1" s="1"/>
  <c r="O1803" i="1"/>
  <c r="P1803" i="1" s="1"/>
  <c r="O1809" i="1"/>
  <c r="P1809" i="1" s="1"/>
  <c r="O1815" i="1"/>
  <c r="P1815" i="1" s="1"/>
  <c r="O1821" i="1"/>
  <c r="P1821" i="1" s="1"/>
  <c r="O1823" i="1"/>
  <c r="P1823" i="1" s="1"/>
  <c r="O1839" i="1"/>
  <c r="P1839" i="1" s="1"/>
  <c r="O1846" i="1"/>
  <c r="P1846" i="1" s="1"/>
  <c r="O1853" i="1"/>
  <c r="P1853" i="1" s="1"/>
  <c r="O1870" i="1"/>
  <c r="P1870" i="1" s="1"/>
  <c r="O1767" i="1"/>
  <c r="P1767" i="1" s="1"/>
  <c r="O1773" i="1"/>
  <c r="P1773" i="1" s="1"/>
  <c r="O1780" i="1"/>
  <c r="P1780" i="1" s="1"/>
  <c r="O1789" i="1"/>
  <c r="P1789" i="1" s="1"/>
  <c r="O1794" i="1"/>
  <c r="P1794" i="1" s="1"/>
  <c r="O1827" i="1"/>
  <c r="P1827" i="1" s="1"/>
  <c r="O1834" i="1"/>
  <c r="P1834" i="1" s="1"/>
  <c r="O1875" i="1"/>
  <c r="P1875" i="1" s="1"/>
  <c r="O1887" i="1"/>
  <c r="P1887" i="1" s="1"/>
  <c r="O1989" i="1"/>
  <c r="P1989" i="1" s="1"/>
  <c r="O2089" i="1"/>
  <c r="P2089" i="1" s="1"/>
  <c r="O2295" i="1"/>
  <c r="P2295" i="1" s="1"/>
  <c r="P1760" i="1"/>
  <c r="O1820" i="1"/>
  <c r="P1820" i="1" s="1"/>
  <c r="P1829" i="1"/>
  <c r="O1843" i="1"/>
  <c r="P1843" i="1" s="1"/>
  <c r="O1873" i="1"/>
  <c r="P1873" i="1" s="1"/>
  <c r="O1879" i="1"/>
  <c r="P1879" i="1" s="1"/>
  <c r="O1884" i="1"/>
  <c r="P1884" i="1" s="1"/>
  <c r="O1765" i="1"/>
  <c r="P1765" i="1" s="1"/>
  <c r="O1772" i="1"/>
  <c r="P1772" i="1" s="1"/>
  <c r="O1779" i="1"/>
  <c r="P1779" i="1" s="1"/>
  <c r="O1785" i="1"/>
  <c r="P1785" i="1" s="1"/>
  <c r="O1793" i="1"/>
  <c r="O1796" i="1"/>
  <c r="P1796" i="1" s="1"/>
  <c r="P1800" i="1"/>
  <c r="O1800" i="1"/>
  <c r="O1814" i="1"/>
  <c r="P1814" i="1" s="1"/>
  <c r="O1850" i="1"/>
  <c r="P1850" i="1" s="1"/>
  <c r="O1866" i="1"/>
  <c r="P1866" i="1" s="1"/>
  <c r="O1946" i="1"/>
  <c r="P1946" i="1" s="1"/>
  <c r="O1788" i="1"/>
  <c r="P1788" i="1" s="1"/>
  <c r="P1793" i="1"/>
  <c r="O1808" i="1"/>
  <c r="P1808" i="1" s="1"/>
  <c r="O1816" i="1"/>
  <c r="P1816" i="1" s="1"/>
  <c r="O1831" i="1"/>
  <c r="P1831" i="1" s="1"/>
  <c r="O1845" i="1"/>
  <c r="P1845" i="1" s="1"/>
  <c r="O1847" i="1"/>
  <c r="P1847" i="1" s="1"/>
  <c r="O1854" i="1"/>
  <c r="P1854" i="1" s="1"/>
  <c r="P1888" i="1"/>
  <c r="O1896" i="1"/>
  <c r="P1896" i="1" s="1"/>
  <c r="O1932" i="1"/>
  <c r="P1932" i="1" s="1"/>
  <c r="O2192" i="1"/>
  <c r="P2192" i="1" s="1"/>
  <c r="P1761" i="1"/>
  <c r="O1764" i="1"/>
  <c r="P1764" i="1" s="1"/>
  <c r="O1771" i="1"/>
  <c r="P1771" i="1" s="1"/>
  <c r="O1777" i="1"/>
  <c r="P1777" i="1" s="1"/>
  <c r="O1783" i="1"/>
  <c r="P1783" i="1" s="1"/>
  <c r="P1795" i="1"/>
  <c r="O1802" i="1"/>
  <c r="P1802" i="1" s="1"/>
  <c r="P1810" i="1"/>
  <c r="O1822" i="1"/>
  <c r="P1822" i="1" s="1"/>
  <c r="O1828" i="1"/>
  <c r="P1828" i="1" s="1"/>
  <c r="P1835" i="1"/>
  <c r="O1842" i="1"/>
  <c r="P1842" i="1" s="1"/>
  <c r="O1876" i="1"/>
  <c r="P1876" i="1" s="1"/>
  <c r="O1921" i="1"/>
  <c r="P1921" i="1" s="1"/>
  <c r="O1967" i="1"/>
  <c r="P1967" i="1" s="1"/>
  <c r="O1986" i="1"/>
  <c r="P1986" i="1" s="1"/>
  <c r="O2005" i="1"/>
  <c r="P2005" i="1" s="1"/>
  <c r="O2029" i="1"/>
  <c r="P2029" i="1" s="1"/>
  <c r="O2031" i="1"/>
  <c r="P2031" i="1" s="1"/>
  <c r="O2033" i="1"/>
  <c r="P2033" i="1" s="1"/>
  <c r="P1791" i="1"/>
  <c r="P1799" i="1"/>
  <c r="P1807" i="1"/>
  <c r="P1826" i="1"/>
  <c r="P1833" i="1"/>
  <c r="P1841" i="1"/>
  <c r="P1848" i="1"/>
  <c r="O1893" i="1"/>
  <c r="P1893" i="1" s="1"/>
  <c r="O1894" i="1"/>
  <c r="P1894" i="1" s="1"/>
  <c r="P1915" i="1"/>
  <c r="O1920" i="1"/>
  <c r="P1920" i="1" s="1"/>
  <c r="O1924" i="1"/>
  <c r="P1924" i="1" s="1"/>
  <c r="P1953" i="1"/>
  <c r="O1957" i="1"/>
  <c r="P1957" i="1" s="1"/>
  <c r="O2014" i="1"/>
  <c r="P2014" i="1" s="1"/>
  <c r="O2054" i="1"/>
  <c r="P2054" i="1" s="1"/>
  <c r="O2069" i="1"/>
  <c r="P2069" i="1" s="1"/>
  <c r="O2091" i="1"/>
  <c r="P2091" i="1" s="1"/>
  <c r="O2139" i="1"/>
  <c r="P2139" i="1" s="1"/>
  <c r="O2241" i="1"/>
  <c r="P2241" i="1" s="1"/>
  <c r="O2252" i="1"/>
  <c r="P2252" i="1" s="1"/>
  <c r="O2270" i="1"/>
  <c r="P2270" i="1" s="1"/>
  <c r="O2326" i="1"/>
  <c r="P2326" i="1" s="1"/>
  <c r="O2349" i="1"/>
  <c r="P2349" i="1" s="1"/>
  <c r="O1874" i="1"/>
  <c r="O1901" i="1"/>
  <c r="P1901" i="1" s="1"/>
  <c r="O1941" i="1"/>
  <c r="P1941" i="1" s="1"/>
  <c r="O1960" i="1"/>
  <c r="P1960" i="1" s="1"/>
  <c r="O1964" i="1"/>
  <c r="P1964" i="1" s="1"/>
  <c r="O1970" i="1"/>
  <c r="P1970" i="1" s="1"/>
  <c r="N1973" i="1"/>
  <c r="O1973" i="1"/>
  <c r="O1977" i="1"/>
  <c r="P1977" i="1" s="1"/>
  <c r="O1979" i="1"/>
  <c r="O1981" i="1"/>
  <c r="P1981" i="1" s="1"/>
  <c r="O1985" i="1"/>
  <c r="P1985" i="1" s="1"/>
  <c r="O2016" i="1"/>
  <c r="P2016" i="1" s="1"/>
  <c r="O2025" i="1"/>
  <c r="P2025" i="1" s="1"/>
  <c r="O2104" i="1"/>
  <c r="P2104" i="1" s="1"/>
  <c r="O2122" i="1"/>
  <c r="P2122" i="1" s="1"/>
  <c r="O2126" i="1"/>
  <c r="P2126" i="1" s="1"/>
  <c r="N1759" i="1"/>
  <c r="P1768" i="1"/>
  <c r="P1776" i="1"/>
  <c r="P1784" i="1"/>
  <c r="P1836" i="1"/>
  <c r="P1844" i="1"/>
  <c r="P1849" i="1"/>
  <c r="P1852" i="1"/>
  <c r="O1868" i="1"/>
  <c r="P1868" i="1" s="1"/>
  <c r="O1869" i="1"/>
  <c r="P1869" i="1" s="1"/>
  <c r="P1874" i="1"/>
  <c r="P1877" i="1"/>
  <c r="O1892" i="1"/>
  <c r="P1892" i="1" s="1"/>
  <c r="P1895" i="1"/>
  <c r="O1902" i="1"/>
  <c r="P1902" i="1" s="1"/>
  <c r="O1906" i="1"/>
  <c r="P1906" i="1" s="1"/>
  <c r="O1910" i="1"/>
  <c r="P1910" i="1" s="1"/>
  <c r="O1930" i="1"/>
  <c r="P1930" i="1" s="1"/>
  <c r="O1935" i="1"/>
  <c r="P1935" i="1" s="1"/>
  <c r="P1936" i="1"/>
  <c r="P1940" i="1"/>
  <c r="O1945" i="1"/>
  <c r="P1945" i="1" s="1"/>
  <c r="O1949" i="1"/>
  <c r="P1949" i="1" s="1"/>
  <c r="P1979" i="1"/>
  <c r="O1991" i="1"/>
  <c r="P1991" i="1" s="1"/>
  <c r="O1998" i="1"/>
  <c r="P1998" i="1" s="1"/>
  <c r="O2000" i="1"/>
  <c r="P2000" i="1" s="1"/>
  <c r="O2007" i="1"/>
  <c r="P2007" i="1" s="1"/>
  <c r="O2130" i="1"/>
  <c r="P2130" i="1" s="1"/>
  <c r="O2206" i="1"/>
  <c r="P2206" i="1" s="1"/>
  <c r="O2210" i="1"/>
  <c r="P2210" i="1" s="1"/>
  <c r="O2230" i="1"/>
  <c r="P2230" i="1" s="1"/>
  <c r="O2264" i="1"/>
  <c r="P2264" i="1" s="1"/>
  <c r="O2278" i="1"/>
  <c r="P2278" i="1" s="1"/>
  <c r="O2284" i="1"/>
  <c r="P2284" i="1" s="1"/>
  <c r="O2330" i="1"/>
  <c r="P2330" i="1" s="1"/>
  <c r="O1863" i="1"/>
  <c r="P1863" i="1" s="1"/>
  <c r="O1867" i="1"/>
  <c r="P1867" i="1" s="1"/>
  <c r="O1900" i="1"/>
  <c r="P1900" i="1" s="1"/>
  <c r="O1905" i="1"/>
  <c r="P1905" i="1" s="1"/>
  <c r="O1909" i="1"/>
  <c r="P1909" i="1" s="1"/>
  <c r="O1913" i="1"/>
  <c r="P1913" i="1" s="1"/>
  <c r="O1919" i="1"/>
  <c r="P1919" i="1" s="1"/>
  <c r="O1923" i="1"/>
  <c r="P1923" i="1" s="1"/>
  <c r="O1934" i="1"/>
  <c r="P1934" i="1" s="1"/>
  <c r="O1966" i="1"/>
  <c r="P1966" i="1" s="1"/>
  <c r="O1969" i="1"/>
  <c r="P1969" i="1" s="1"/>
  <c r="O1984" i="1"/>
  <c r="P1984" i="1" s="1"/>
  <c r="O1988" i="1"/>
  <c r="P1988" i="1" s="1"/>
  <c r="O2058" i="1"/>
  <c r="P2058" i="1" s="1"/>
  <c r="O2083" i="1"/>
  <c r="P2083" i="1" s="1"/>
  <c r="O2258" i="1"/>
  <c r="P2258" i="1" s="1"/>
  <c r="O2262" i="1"/>
  <c r="P2262" i="1" s="1"/>
  <c r="O2273" i="1"/>
  <c r="P2273" i="1" s="1"/>
  <c r="O1804" i="1"/>
  <c r="P1804" i="1" s="1"/>
  <c r="O1805" i="1"/>
  <c r="P1805" i="1" s="1"/>
  <c r="O1811" i="1"/>
  <c r="P1811" i="1" s="1"/>
  <c r="P1824" i="1"/>
  <c r="O1830" i="1"/>
  <c r="P1830" i="1" s="1"/>
  <c r="O1838" i="1"/>
  <c r="P1838" i="1" s="1"/>
  <c r="P1856" i="1"/>
  <c r="N1861" i="1"/>
  <c r="O1862" i="1"/>
  <c r="P1862" i="1" s="1"/>
  <c r="O1891" i="1"/>
  <c r="P1891" i="1" s="1"/>
  <c r="O1899" i="1"/>
  <c r="P1899" i="1" s="1"/>
  <c r="P1922" i="1"/>
  <c r="O1929" i="1"/>
  <c r="P1929" i="1" s="1"/>
  <c r="O1944" i="1"/>
  <c r="P1944" i="1" s="1"/>
  <c r="O1948" i="1"/>
  <c r="P1948" i="1" s="1"/>
  <c r="N2010" i="1"/>
  <c r="O2010" i="1"/>
  <c r="O2022" i="1"/>
  <c r="P2022" i="1" s="1"/>
  <c r="O2036" i="1"/>
  <c r="P2036" i="1" s="1"/>
  <c r="O2043" i="1"/>
  <c r="P2043" i="1" s="1"/>
  <c r="O2076" i="1"/>
  <c r="P2076" i="1" s="1"/>
  <c r="O2092" i="1"/>
  <c r="P2092" i="1" s="1"/>
  <c r="O2094" i="1"/>
  <c r="P2094" i="1" s="1"/>
  <c r="O2188" i="1"/>
  <c r="P2188" i="1" s="1"/>
  <c r="O2254" i="1"/>
  <c r="P2254" i="1" s="1"/>
  <c r="O2348" i="1"/>
  <c r="P2348" i="1" s="1"/>
  <c r="P1770" i="1"/>
  <c r="P1778" i="1"/>
  <c r="P1859" i="1"/>
  <c r="O1898" i="1"/>
  <c r="P1898" i="1" s="1"/>
  <c r="O1917" i="1"/>
  <c r="P1917" i="1" s="1"/>
  <c r="O1938" i="1"/>
  <c r="P1938" i="1" s="1"/>
  <c r="O1943" i="1"/>
  <c r="P1943" i="1" s="1"/>
  <c r="P1968" i="1"/>
  <c r="O1978" i="1"/>
  <c r="P1978" i="1" s="1"/>
  <c r="O1980" i="1"/>
  <c r="P1980" i="1" s="1"/>
  <c r="O1990" i="1"/>
  <c r="P1990" i="1" s="1"/>
  <c r="P1996" i="1"/>
  <c r="O2003" i="1"/>
  <c r="P2003" i="1" s="1"/>
  <c r="P2015" i="1"/>
  <c r="O2019" i="1"/>
  <c r="P2019" i="1" s="1"/>
  <c r="O2026" i="1"/>
  <c r="P2026" i="1" s="1"/>
  <c r="O2038" i="1"/>
  <c r="P2038" i="1" s="1"/>
  <c r="O2068" i="1"/>
  <c r="P2068" i="1" s="1"/>
  <c r="O2074" i="1"/>
  <c r="P2074" i="1" s="1"/>
  <c r="O2108" i="1"/>
  <c r="P2108" i="1" s="1"/>
  <c r="O2135" i="1"/>
  <c r="P2135" i="1" s="1"/>
  <c r="O2137" i="1"/>
  <c r="P2137" i="1" s="1"/>
  <c r="P2152" i="1"/>
  <c r="O2152" i="1"/>
  <c r="O1819" i="1"/>
  <c r="P1819" i="1" s="1"/>
  <c r="O1855" i="1"/>
  <c r="P1855" i="1" s="1"/>
  <c r="P1881" i="1"/>
  <c r="P1882" i="1"/>
  <c r="O1885" i="1"/>
  <c r="P1885" i="1" s="1"/>
  <c r="O1889" i="1"/>
  <c r="P1889" i="1" s="1"/>
  <c r="O1890" i="1"/>
  <c r="P1890" i="1" s="1"/>
  <c r="N1897" i="1"/>
  <c r="O1904" i="1"/>
  <c r="P1904" i="1" s="1"/>
  <c r="O1908" i="1"/>
  <c r="P1908" i="1" s="1"/>
  <c r="O1912" i="1"/>
  <c r="P1912" i="1" s="1"/>
  <c r="O1916" i="1"/>
  <c r="P1916" i="1" s="1"/>
  <c r="O1928" i="1"/>
  <c r="P1928" i="1" s="1"/>
  <c r="O1933" i="1"/>
  <c r="P1933" i="1" s="1"/>
  <c r="P1937" i="1"/>
  <c r="O1942" i="1"/>
  <c r="P1942" i="1" s="1"/>
  <c r="O1947" i="1"/>
  <c r="P1947" i="1" s="1"/>
  <c r="O1951" i="1"/>
  <c r="P1951" i="1" s="1"/>
  <c r="P1954" i="1"/>
  <c r="O1958" i="1"/>
  <c r="P1958" i="1" s="1"/>
  <c r="O1961" i="1"/>
  <c r="P1961" i="1" s="1"/>
  <c r="O1965" i="1"/>
  <c r="P1965" i="1" s="1"/>
  <c r="P1992" i="1"/>
  <c r="O1999" i="1"/>
  <c r="P1999" i="1" s="1"/>
  <c r="O2156" i="1"/>
  <c r="P2156" i="1" s="1"/>
  <c r="O2168" i="1"/>
  <c r="P2168" i="1" s="1"/>
  <c r="O2209" i="1"/>
  <c r="P2209" i="1" s="1"/>
  <c r="O1955" i="1"/>
  <c r="P1955" i="1" s="1"/>
  <c r="O2008" i="1"/>
  <c r="P2008" i="1" s="1"/>
  <c r="O2020" i="1"/>
  <c r="N2020" i="1"/>
  <c r="O2037" i="1"/>
  <c r="P2037" i="1" s="1"/>
  <c r="O2042" i="1"/>
  <c r="P2042" i="1" s="1"/>
  <c r="O2064" i="1"/>
  <c r="P2064" i="1" s="1"/>
  <c r="O2088" i="1"/>
  <c r="P2088" i="1" s="1"/>
  <c r="O2095" i="1"/>
  <c r="P2095" i="1" s="1"/>
  <c r="O2127" i="1"/>
  <c r="P2127" i="1" s="1"/>
  <c r="O2129" i="1"/>
  <c r="P2129" i="1" s="1"/>
  <c r="O2153" i="1"/>
  <c r="P2153" i="1" s="1"/>
  <c r="O2211" i="1"/>
  <c r="P2211" i="1" s="1"/>
  <c r="O2248" i="1"/>
  <c r="P2248" i="1" s="1"/>
  <c r="O2274" i="1"/>
  <c r="P2274" i="1" s="1"/>
  <c r="O2277" i="1"/>
  <c r="P2277" i="1" s="1"/>
  <c r="O2346" i="1"/>
  <c r="P2346" i="1" s="1"/>
  <c r="P1962" i="1"/>
  <c r="N1982" i="1"/>
  <c r="O1982" i="1"/>
  <c r="O1995" i="1"/>
  <c r="P1995" i="1" s="1"/>
  <c r="P2006" i="1"/>
  <c r="O2017" i="1"/>
  <c r="P2017" i="1" s="1"/>
  <c r="O2039" i="1"/>
  <c r="P2039" i="1" s="1"/>
  <c r="O2044" i="1"/>
  <c r="P2044" i="1" s="1"/>
  <c r="O2056" i="1"/>
  <c r="P2056" i="1" s="1"/>
  <c r="O2071" i="1"/>
  <c r="P2071" i="1" s="1"/>
  <c r="O2085" i="1"/>
  <c r="P2085" i="1" s="1"/>
  <c r="O2107" i="1"/>
  <c r="P2107" i="1"/>
  <c r="O2124" i="1"/>
  <c r="P2124" i="1" s="1"/>
  <c r="O2157" i="1"/>
  <c r="P2157" i="1"/>
  <c r="O2171" i="1"/>
  <c r="P2171" i="1" s="1"/>
  <c r="O2173" i="1"/>
  <c r="P2173" i="1" s="1"/>
  <c r="O2217" i="1"/>
  <c r="P2217" i="1" s="1"/>
  <c r="O2220" i="1"/>
  <c r="P2220" i="1" s="1"/>
  <c r="O2228" i="1"/>
  <c r="P2228" i="1" s="1"/>
  <c r="O2303" i="1"/>
  <c r="P2303" i="1" s="1"/>
  <c r="O2315" i="1"/>
  <c r="P2315" i="1" s="1"/>
  <c r="P1950" i="1"/>
  <c r="P1952" i="1"/>
  <c r="P1963" i="1"/>
  <c r="P1976" i="1"/>
  <c r="P1983" i="1"/>
  <c r="O1994" i="1"/>
  <c r="P1994" i="1" s="1"/>
  <c r="O2004" i="1"/>
  <c r="P2004" i="1" s="1"/>
  <c r="O2013" i="1"/>
  <c r="P2013" i="1" s="1"/>
  <c r="P2041" i="1"/>
  <c r="O2055" i="1"/>
  <c r="P2055" i="1" s="1"/>
  <c r="O2067" i="1"/>
  <c r="P2067" i="1" s="1"/>
  <c r="O2087" i="1"/>
  <c r="P2087" i="1" s="1"/>
  <c r="O2103" i="1"/>
  <c r="P2103" i="1" s="1"/>
  <c r="O2105" i="1"/>
  <c r="P2105" i="1" s="1"/>
  <c r="P2136" i="1"/>
  <c r="O2143" i="1"/>
  <c r="P2143" i="1"/>
  <c r="O2163" i="1"/>
  <c r="P2163" i="1" s="1"/>
  <c r="P2190" i="1"/>
  <c r="O2235" i="1"/>
  <c r="P2235" i="1" s="1"/>
  <c r="P1993" i="1"/>
  <c r="O2002" i="1"/>
  <c r="P2002" i="1" s="1"/>
  <c r="O2011" i="1"/>
  <c r="P2011" i="1" s="1"/>
  <c r="P2018" i="1"/>
  <c r="O2024" i="1"/>
  <c r="P2024" i="1" s="1"/>
  <c r="O2028" i="1"/>
  <c r="P2028" i="1" s="1"/>
  <c r="O2030" i="1"/>
  <c r="P2030" i="1"/>
  <c r="O2045" i="1"/>
  <c r="P2045" i="1" s="1"/>
  <c r="P2057" i="1"/>
  <c r="P2072" i="1"/>
  <c r="O2075" i="1"/>
  <c r="P2075" i="1" s="1"/>
  <c r="O2077" i="1"/>
  <c r="P2077" i="1" s="1"/>
  <c r="O2111" i="1"/>
  <c r="P2111" i="1" s="1"/>
  <c r="O2123" i="1"/>
  <c r="P2123" i="1" s="1"/>
  <c r="O2169" i="1"/>
  <c r="P2169" i="1" s="1"/>
  <c r="O2222" i="1"/>
  <c r="P2222" i="1" s="1"/>
  <c r="O2259" i="1"/>
  <c r="P2259" i="1" s="1"/>
  <c r="O2263" i="1"/>
  <c r="P2263" i="1" s="1"/>
  <c r="O2265" i="1"/>
  <c r="P2265" i="1" s="1"/>
  <c r="O2294" i="1"/>
  <c r="P2294" i="1" s="1"/>
  <c r="P2319" i="1"/>
  <c r="O2323" i="1"/>
  <c r="P2323" i="1" s="1"/>
  <c r="O1974" i="1"/>
  <c r="P1974" i="1" s="1"/>
  <c r="O1997" i="1"/>
  <c r="P1997" i="1" s="1"/>
  <c r="O2032" i="1"/>
  <c r="P2032" i="1" s="1"/>
  <c r="P2048" i="1"/>
  <c r="P2081" i="1"/>
  <c r="O2150" i="1"/>
  <c r="P2150" i="1" s="1"/>
  <c r="P2154" i="1"/>
  <c r="O2189" i="1"/>
  <c r="P2189" i="1" s="1"/>
  <c r="P2207" i="1"/>
  <c r="O2214" i="1"/>
  <c r="P2214" i="1" s="1"/>
  <c r="P2216" i="1"/>
  <c r="P2247" i="1"/>
  <c r="O2250" i="1"/>
  <c r="P2250" i="1" s="1"/>
  <c r="P2318" i="1"/>
  <c r="O2340" i="1"/>
  <c r="P2340" i="1" s="1"/>
  <c r="P2080" i="1"/>
  <c r="O2096" i="1"/>
  <c r="P2096" i="1" s="1"/>
  <c r="O2149" i="1"/>
  <c r="P2149" i="1" s="1"/>
  <c r="P2172" i="1"/>
  <c r="O2184" i="1"/>
  <c r="P2184" i="1" s="1"/>
  <c r="P2199" i="1"/>
  <c r="O2212" i="1"/>
  <c r="P2212" i="1" s="1"/>
  <c r="P2225" i="1"/>
  <c r="P2246" i="1"/>
  <c r="P2249" i="1"/>
  <c r="O2260" i="1"/>
  <c r="P2260" i="1" s="1"/>
  <c r="P2276" i="1"/>
  <c r="O2285" i="1"/>
  <c r="P2285" i="1" s="1"/>
  <c r="O2304" i="1"/>
  <c r="P2304" i="1" s="1"/>
  <c r="O2314" i="1"/>
  <c r="P2314" i="1" s="1"/>
  <c r="O2317" i="1"/>
  <c r="P2317" i="1" s="1"/>
  <c r="O2332" i="1"/>
  <c r="P2332" i="1" s="1"/>
  <c r="O2347" i="1"/>
  <c r="P2347" i="1" s="1"/>
  <c r="O2050" i="1"/>
  <c r="P2050" i="1" s="1"/>
  <c r="O2093" i="1"/>
  <c r="P2093" i="1" s="1"/>
  <c r="O2109" i="1"/>
  <c r="O2128" i="1"/>
  <c r="P2128" i="1" s="1"/>
  <c r="O2167" i="1"/>
  <c r="P2167" i="1" s="1"/>
  <c r="O2187" i="1"/>
  <c r="P2187" i="1" s="1"/>
  <c r="O2196" i="1"/>
  <c r="P2196" i="1" s="1"/>
  <c r="O2224" i="1"/>
  <c r="P2224" i="1" s="1"/>
  <c r="O2236" i="1"/>
  <c r="P2236" i="1" s="1"/>
  <c r="O2279" i="1"/>
  <c r="P2279" i="1" s="1"/>
  <c r="O2291" i="1"/>
  <c r="P2291" i="1" s="1"/>
  <c r="O2297" i="1"/>
  <c r="P2297" i="1" s="1"/>
  <c r="O2316" i="1"/>
  <c r="P2316" i="1" s="1"/>
  <c r="O2325" i="1"/>
  <c r="P2325" i="1" s="1"/>
  <c r="O2331" i="1"/>
  <c r="P2331" i="1" s="1"/>
  <c r="O2023" i="1"/>
  <c r="P2023" i="1" s="1"/>
  <c r="O2062" i="1"/>
  <c r="P2062" i="1" s="1"/>
  <c r="O2070" i="1"/>
  <c r="P2070" i="1" s="1"/>
  <c r="P2073" i="1"/>
  <c r="O2079" i="1"/>
  <c r="P2079" i="1" s="1"/>
  <c r="P2082" i="1"/>
  <c r="O2086" i="1"/>
  <c r="P2086" i="1" s="1"/>
  <c r="P2090" i="1"/>
  <c r="P2109" i="1"/>
  <c r="O2131" i="1"/>
  <c r="P2131" i="1" s="1"/>
  <c r="O2133" i="1"/>
  <c r="P2133" i="1" s="1"/>
  <c r="O2134" i="1"/>
  <c r="P2134" i="1" s="1"/>
  <c r="O2148" i="1"/>
  <c r="P2148" i="1" s="1"/>
  <c r="O2160" i="1"/>
  <c r="P2272" i="1"/>
  <c r="O2275" i="1"/>
  <c r="P2275" i="1" s="1"/>
  <c r="P2299" i="1"/>
  <c r="O2351" i="1"/>
  <c r="P2351" i="1" s="1"/>
  <c r="O2355" i="1"/>
  <c r="P2355" i="1" s="1"/>
  <c r="O2046" i="1"/>
  <c r="P2046" i="1" s="1"/>
  <c r="P2047" i="1"/>
  <c r="O2049" i="1"/>
  <c r="P2049" i="1" s="1"/>
  <c r="O2053" i="1"/>
  <c r="P2053" i="1" s="1"/>
  <c r="P2060" i="1"/>
  <c r="O2061" i="1"/>
  <c r="P2061" i="1" s="1"/>
  <c r="O2099" i="1"/>
  <c r="P2099" i="1" s="1"/>
  <c r="O2121" i="1"/>
  <c r="P2121" i="1" s="1"/>
  <c r="O2141" i="1"/>
  <c r="P2141" i="1" s="1"/>
  <c r="O2145" i="1"/>
  <c r="P2145" i="1" s="1"/>
  <c r="O2155" i="1"/>
  <c r="P2155" i="1" s="1"/>
  <c r="O2158" i="1"/>
  <c r="P2158" i="1" s="1"/>
  <c r="O2159" i="1"/>
  <c r="P2159" i="1" s="1"/>
  <c r="P2160" i="1"/>
  <c r="O2175" i="1"/>
  <c r="P2175" i="1" s="1"/>
  <c r="O2223" i="1"/>
  <c r="P2223" i="1" s="1"/>
  <c r="P2239" i="1"/>
  <c r="P2240" i="1"/>
  <c r="O2255" i="1"/>
  <c r="P2255" i="1" s="1"/>
  <c r="O2257" i="1"/>
  <c r="P2257" i="1" s="1"/>
  <c r="O2269" i="1"/>
  <c r="P2269" i="1" s="1"/>
  <c r="O2313" i="1"/>
  <c r="P2313" i="1" s="1"/>
  <c r="N2327" i="1"/>
  <c r="P2337" i="1"/>
  <c r="O2342" i="1"/>
  <c r="P2342" i="1" s="1"/>
  <c r="O2098" i="1"/>
  <c r="P2098" i="1" s="1"/>
  <c r="O2113" i="1"/>
  <c r="P2113" i="1" s="1"/>
  <c r="O2125" i="1"/>
  <c r="P2125" i="1" s="1"/>
  <c r="O2162" i="1"/>
  <c r="P2162" i="1" s="1"/>
  <c r="O2177" i="1"/>
  <c r="P2177" i="1" s="1"/>
  <c r="O2195" i="1"/>
  <c r="P2195" i="1" s="1"/>
  <c r="O2202" i="1"/>
  <c r="P2202" i="1" s="1"/>
  <c r="O2293" i="1"/>
  <c r="P2293" i="1" s="1"/>
  <c r="O2301" i="1"/>
  <c r="P2301" i="1" s="1"/>
  <c r="O2308" i="1"/>
  <c r="P2308" i="1" s="1"/>
  <c r="O2321" i="1"/>
  <c r="P2321" i="1" s="1"/>
  <c r="O2334" i="1"/>
  <c r="P2334" i="1" s="1"/>
  <c r="O2338" i="1"/>
  <c r="P2338" i="1" s="1"/>
  <c r="P2051" i="1"/>
  <c r="O2063" i="1"/>
  <c r="P2063" i="1" s="1"/>
  <c r="O2065" i="1"/>
  <c r="P2065" i="1" s="1"/>
  <c r="O2078" i="1"/>
  <c r="P2078" i="1" s="1"/>
  <c r="O2097" i="1"/>
  <c r="P2097" i="1" s="1"/>
  <c r="P2101" i="1"/>
  <c r="O2102" i="1"/>
  <c r="P2102" i="1" s="1"/>
  <c r="O2117" i="1"/>
  <c r="P2117" i="1" s="1"/>
  <c r="P2140" i="1"/>
  <c r="O2161" i="1"/>
  <c r="P2161" i="1" s="1"/>
  <c r="P2165" i="1"/>
  <c r="O2166" i="1"/>
  <c r="P2166" i="1" s="1"/>
  <c r="P2180" i="1"/>
  <c r="O2201" i="1"/>
  <c r="P2201" i="1" s="1"/>
  <c r="O2205" i="1"/>
  <c r="P2205" i="1" s="1"/>
  <c r="O2232" i="1"/>
  <c r="P2232" i="1" s="1"/>
  <c r="O2242" i="1"/>
  <c r="P2242" i="1" s="1"/>
  <c r="O2281" i="1"/>
  <c r="P2281" i="1" s="1"/>
  <c r="O2307" i="1"/>
  <c r="P2307" i="1" s="1"/>
  <c r="O2328" i="1"/>
  <c r="P2328" i="1" s="1"/>
  <c r="P2110" i="1"/>
  <c r="P2194" i="1"/>
  <c r="N2204" i="1"/>
  <c r="N2234" i="1"/>
  <c r="P2245" i="1"/>
  <c r="P2271" i="1"/>
  <c r="O2333" i="1"/>
  <c r="P2333" i="1" s="1"/>
  <c r="O2356" i="1"/>
  <c r="P2356" i="1" s="1"/>
  <c r="P2208" i="1"/>
  <c r="P2238" i="1"/>
  <c r="O2253" i="1"/>
  <c r="P2253" i="1" s="1"/>
  <c r="P2268" i="1"/>
  <c r="O2282" i="1"/>
  <c r="P2282" i="1" s="1"/>
  <c r="O2305" i="1"/>
  <c r="P2305" i="1" s="1"/>
  <c r="O2311" i="1"/>
  <c r="P2311" i="1" s="1"/>
  <c r="O2341" i="1"/>
  <c r="P2341" i="1" s="1"/>
  <c r="P2344" i="1"/>
  <c r="O2185" i="1"/>
  <c r="P2185" i="1" s="1"/>
  <c r="O2213" i="1"/>
  <c r="P2213" i="1" s="1"/>
  <c r="O2219" i="1"/>
  <c r="P2219" i="1" s="1"/>
  <c r="O2231" i="1"/>
  <c r="P2231" i="1" s="1"/>
  <c r="O2237" i="1"/>
  <c r="P2237" i="1" s="1"/>
  <c r="P2256" i="1"/>
  <c r="P2267" i="1"/>
  <c r="O2287" i="1"/>
  <c r="P2287" i="1" s="1"/>
  <c r="P2322" i="1"/>
  <c r="O2339" i="1"/>
  <c r="P2339" i="1" s="1"/>
  <c r="O2357" i="1"/>
  <c r="P2357" i="1" s="1"/>
  <c r="O2288" i="1"/>
  <c r="P2288" i="1" s="1"/>
  <c r="P2290" i="1"/>
  <c r="O2352" i="1"/>
  <c r="P2352" i="1" s="1"/>
  <c r="P2354" i="1"/>
  <c r="P2312" i="1"/>
  <c r="N2335" i="1"/>
  <c r="O2345" i="1" l="1"/>
  <c r="P2345" i="1" s="1"/>
  <c r="P2244" i="1"/>
  <c r="P2203" i="1"/>
  <c r="O2336" i="1"/>
  <c r="P2336" i="1" s="1"/>
  <c r="O2218" i="1"/>
  <c r="P2218" i="1" s="1"/>
  <c r="P2251" i="1"/>
  <c r="P1982" i="1"/>
  <c r="P1897" i="1"/>
  <c r="P1571" i="1"/>
  <c r="P856" i="1"/>
  <c r="P880" i="1"/>
  <c r="O2234" i="1"/>
  <c r="P2234" i="1" s="1"/>
  <c r="P2020" i="1"/>
  <c r="P1592" i="1"/>
  <c r="P1431" i="1"/>
  <c r="P1180" i="1"/>
  <c r="O2335" i="1"/>
  <c r="P2335" i="1" s="1"/>
  <c r="P1861" i="1"/>
  <c r="P1759" i="1"/>
  <c r="P1626" i="1"/>
  <c r="P1973" i="1"/>
  <c r="P1686" i="1"/>
  <c r="P1291" i="1"/>
  <c r="P1529" i="1"/>
  <c r="P1511" i="1"/>
  <c r="P2010" i="1"/>
  <c r="P1700" i="1"/>
  <c r="P1694" i="1"/>
  <c r="P1680" i="1"/>
  <c r="P1610" i="1"/>
  <c r="P1586" i="1"/>
  <c r="P1385" i="1"/>
  <c r="P1287" i="1"/>
  <c r="P1120" i="1"/>
  <c r="P1124" i="1"/>
  <c r="O2204" i="1"/>
  <c r="P2204" i="1" s="1"/>
  <c r="O2327" i="1"/>
  <c r="P2327" i="1" s="1"/>
  <c r="P1295" i="1"/>
  <c r="P1106" i="1"/>
  <c r="P893" i="1"/>
  <c r="P862" i="1"/>
  <c r="P866" i="1"/>
  <c r="P872" i="1"/>
  <c r="P874" i="1"/>
</calcChain>
</file>

<file path=xl/sharedStrings.xml><?xml version="1.0" encoding="utf-8"?>
<sst xmlns="http://schemas.openxmlformats.org/spreadsheetml/2006/main" count="19890" uniqueCount="3747">
  <si>
    <t>AGAPEYA EAST</t>
  </si>
  <si>
    <t>VALENZIA ENCLAVE EAST</t>
  </si>
  <si>
    <t>AGAPEYA WEST</t>
  </si>
  <si>
    <t>ESTANZIA ENCLAVE EAST</t>
  </si>
  <si>
    <t>THE PENTHOUSE AT JEN</t>
  </si>
  <si>
    <t>UNIT CODE</t>
  </si>
  <si>
    <t>PROJECT</t>
  </si>
  <si>
    <t>HOUSE BATCHING</t>
  </si>
  <si>
    <t>INVENTORY STATAUS</t>
  </si>
  <si>
    <t>BLOCK</t>
  </si>
  <si>
    <t>LOT</t>
  </si>
  <si>
    <t>FLOOR AREA</t>
  </si>
  <si>
    <t>LOT AREA</t>
  </si>
  <si>
    <t>HOUSE TYPE</t>
  </si>
  <si>
    <t>HOUSE ORIENTATION/COLOR</t>
  </si>
  <si>
    <t>TCP</t>
  </si>
  <si>
    <t>DISCOUNT</t>
  </si>
  <si>
    <t>NET OF DISCOUNT</t>
  </si>
  <si>
    <t>VAT</t>
  </si>
  <si>
    <t>NTCP</t>
  </si>
  <si>
    <t>AGM-02-052-001</t>
  </si>
  <si>
    <t>Batch 4 - HOLD</t>
  </si>
  <si>
    <t>CLOSED</t>
  </si>
  <si>
    <t>Block 52</t>
  </si>
  <si>
    <t>Lot 01</t>
  </si>
  <si>
    <t>Duplex - PREMIUM</t>
  </si>
  <si>
    <t>FLAT/GREEN</t>
  </si>
  <si>
    <t>AGM-02-052-002</t>
  </si>
  <si>
    <t>Lot 02</t>
  </si>
  <si>
    <t>SLANT/GREEN</t>
  </si>
  <si>
    <t>AGM-02-052-003</t>
  </si>
  <si>
    <t>Lot 03</t>
  </si>
  <si>
    <t>SLANT/PINK</t>
  </si>
  <si>
    <t>AGM-02-052-004</t>
  </si>
  <si>
    <t>Lot 04</t>
  </si>
  <si>
    <t>FLAT/PINK</t>
  </si>
  <si>
    <t>AGM-02-052-005</t>
  </si>
  <si>
    <t>Lot 05</t>
  </si>
  <si>
    <t>AGM-02-052-006</t>
  </si>
  <si>
    <t>Lot 06</t>
  </si>
  <si>
    <t>AGM-02-053-001</t>
  </si>
  <si>
    <t>Block 53</t>
  </si>
  <si>
    <t>SLANT/YELLOW</t>
  </si>
  <si>
    <t>AGM-02-053-002</t>
  </si>
  <si>
    <t>FLAT/YELLOW</t>
  </si>
  <si>
    <t>AGM-02-053-003</t>
  </si>
  <si>
    <t>AGM-02-053-004</t>
  </si>
  <si>
    <t>AGM-02-053-005</t>
  </si>
  <si>
    <t>FLAT/PURPLE</t>
  </si>
  <si>
    <t>AGM-02-053-006</t>
  </si>
  <si>
    <t>SLANT/PURPLE</t>
  </si>
  <si>
    <t>AGM-02-053-007</t>
  </si>
  <si>
    <t>Lot 07</t>
  </si>
  <si>
    <t>AGM-02-053-008</t>
  </si>
  <si>
    <t>Lot 08</t>
  </si>
  <si>
    <t>AGM-02-055-001</t>
  </si>
  <si>
    <t>Block 55</t>
  </si>
  <si>
    <t>AGM-02-055-002</t>
  </si>
  <si>
    <t>AGM-02-055-003</t>
  </si>
  <si>
    <t>AGM-02-055-004</t>
  </si>
  <si>
    <t>AGM-02-056-001</t>
  </si>
  <si>
    <t>Block 56</t>
  </si>
  <si>
    <t>AGM-02-056-002</t>
  </si>
  <si>
    <t>AGM-02-056-003</t>
  </si>
  <si>
    <t>AGM-02-056-004</t>
  </si>
  <si>
    <t>AGM-02-057-001</t>
  </si>
  <si>
    <t>Block 57</t>
  </si>
  <si>
    <t>AGM-02-057-002</t>
  </si>
  <si>
    <t>AGM-02-057-003</t>
  </si>
  <si>
    <t>AGM-02-057-004</t>
  </si>
  <si>
    <t>AGM-02-057-005</t>
  </si>
  <si>
    <t>AGM-02-057-006</t>
  </si>
  <si>
    <t>AGM-02-058-001</t>
  </si>
  <si>
    <t>Block 58</t>
  </si>
  <si>
    <t>AGM-02-058-002</t>
  </si>
  <si>
    <t>AGM-02-058-003</t>
  </si>
  <si>
    <t>AGM-02-058-004</t>
  </si>
  <si>
    <t>AGM-02-058-005</t>
  </si>
  <si>
    <t>AGM-02-058-006</t>
  </si>
  <si>
    <t>AGM-02-058-007</t>
  </si>
  <si>
    <t>AGM-02-058-008</t>
  </si>
  <si>
    <t>AGM-02-058-009</t>
  </si>
  <si>
    <t>Lot 09</t>
  </si>
  <si>
    <t>AGM-02-058-010</t>
  </si>
  <si>
    <t>Lot 10</t>
  </si>
  <si>
    <t>AGM-02-058-011</t>
  </si>
  <si>
    <t>Lot 11</t>
  </si>
  <si>
    <t>AGM-02-058-012</t>
  </si>
  <si>
    <t>Lot 12</t>
  </si>
  <si>
    <t>AGM-02-058-013</t>
  </si>
  <si>
    <t>Lot 13</t>
  </si>
  <si>
    <t>AGM-02-058-014</t>
  </si>
  <si>
    <t>Lot 14</t>
  </si>
  <si>
    <t>AGM-02-059-001</t>
  </si>
  <si>
    <t>Batch 5 - HOLD</t>
  </si>
  <si>
    <t>Block 59</t>
  </si>
  <si>
    <t>AGM-02-059-002</t>
  </si>
  <si>
    <t>AGM-02-059-003</t>
  </si>
  <si>
    <t>Lot Only - N/A</t>
  </si>
  <si>
    <t>N/A</t>
  </si>
  <si>
    <t>Lot Only</t>
  </si>
  <si>
    <t>-/-</t>
  </si>
  <si>
    <t>AGM-02-060-001</t>
  </si>
  <si>
    <t>Block 60</t>
  </si>
  <si>
    <t>AGM-02-060-002</t>
  </si>
  <si>
    <t>AGM-02-060-003</t>
  </si>
  <si>
    <t>AGM-02-060-004</t>
  </si>
  <si>
    <t>AGM-02-062-001</t>
  </si>
  <si>
    <t>Block 62</t>
  </si>
  <si>
    <t>AGM-02-062-002</t>
  </si>
  <si>
    <t>AGM-02-062-003</t>
  </si>
  <si>
    <t>AGM-02-062-004</t>
  </si>
  <si>
    <t>AGM-02-062-005</t>
  </si>
  <si>
    <t>AGM-02-062-006</t>
  </si>
  <si>
    <t>AGM-02-062-007</t>
  </si>
  <si>
    <t>AGM-02-062-008</t>
  </si>
  <si>
    <t>AGM-02-062-009</t>
  </si>
  <si>
    <t>AGM-02-062-010</t>
  </si>
  <si>
    <t>AGM-02-062-011</t>
  </si>
  <si>
    <t>AGM-02-062-012</t>
  </si>
  <si>
    <t>AGM-02-062-013</t>
  </si>
  <si>
    <t>AGM-02-062-014</t>
  </si>
  <si>
    <t>AGM-02-062-015</t>
  </si>
  <si>
    <t>Lot 15</t>
  </si>
  <si>
    <t>AGM-02-062-016</t>
  </si>
  <si>
    <t>Lot 16</t>
  </si>
  <si>
    <t>AGM-02-062-017</t>
  </si>
  <si>
    <t>Lot 17</t>
  </si>
  <si>
    <t>AGM-02-062-018</t>
  </si>
  <si>
    <t>Lot 18</t>
  </si>
  <si>
    <t>AGM-02-062-019</t>
  </si>
  <si>
    <t>Lot 19</t>
  </si>
  <si>
    <t>AGM-02-062-020</t>
  </si>
  <si>
    <t>Lot 20</t>
  </si>
  <si>
    <t>AGM-02-062-021</t>
  </si>
  <si>
    <t>Lot 21</t>
  </si>
  <si>
    <t>AGM-02-062-022</t>
  </si>
  <si>
    <t>Lot 22</t>
  </si>
  <si>
    <t>AGM-02-062-023</t>
  </si>
  <si>
    <t>Lot 23</t>
  </si>
  <si>
    <t>AGM-02-062-024</t>
  </si>
  <si>
    <t>Lot 24</t>
  </si>
  <si>
    <t>AGM-02-062-025</t>
  </si>
  <si>
    <t>Lot 25</t>
  </si>
  <si>
    <t>AGM-02-062-026</t>
  </si>
  <si>
    <t>Lot 26</t>
  </si>
  <si>
    <t>AGM-02-062-027</t>
  </si>
  <si>
    <t>Lot 27</t>
  </si>
  <si>
    <t>AGM-02-062-028</t>
  </si>
  <si>
    <t>Lot 28</t>
  </si>
  <si>
    <t>AGM-02-062-029</t>
  </si>
  <si>
    <t>Lot 29</t>
  </si>
  <si>
    <t>AGM-02-062-030</t>
  </si>
  <si>
    <t>Lot 30</t>
  </si>
  <si>
    <t>AGM-02-062-031</t>
  </si>
  <si>
    <t>Lot 31</t>
  </si>
  <si>
    <t>AGM-02-062-032</t>
  </si>
  <si>
    <t>Lot 32</t>
  </si>
  <si>
    <t>AGM-02-062-033</t>
  </si>
  <si>
    <t>Lot 33</t>
  </si>
  <si>
    <t>AGM-02-062-034</t>
  </si>
  <si>
    <t>Lot 34</t>
  </si>
  <si>
    <t>AGM-02-062-035</t>
  </si>
  <si>
    <t>Lot 35</t>
  </si>
  <si>
    <t>AGM-02-062-036</t>
  </si>
  <si>
    <t>Lot 36</t>
  </si>
  <si>
    <t>AGM-02-063-001</t>
  </si>
  <si>
    <t>Block 63</t>
  </si>
  <si>
    <t>AGM-02-063-002</t>
  </si>
  <si>
    <t>AGM-02-063-003</t>
  </si>
  <si>
    <t>AGM-02-063-004</t>
  </si>
  <si>
    <t>AGM-02-063-005</t>
  </si>
  <si>
    <t>AGM-02-063-006</t>
  </si>
  <si>
    <t>AGM-02-063-007</t>
  </si>
  <si>
    <t>AGM-02-063-008</t>
  </si>
  <si>
    <t>AGM-02-063-009</t>
  </si>
  <si>
    <t>AGM-02-063-010</t>
  </si>
  <si>
    <t>AGM-02-063-011</t>
  </si>
  <si>
    <t>AGM-02-063-012</t>
  </si>
  <si>
    <t>AGM-02-063-013</t>
  </si>
  <si>
    <t>AGM-02-063-014</t>
  </si>
  <si>
    <t>AGM-02-063-015</t>
  </si>
  <si>
    <t>AGM-02-063-016</t>
  </si>
  <si>
    <t>AGM-02-063-017</t>
  </si>
  <si>
    <t>AGM-02-063-018</t>
  </si>
  <si>
    <t>AGM-02-063-019</t>
  </si>
  <si>
    <t>AGM-02-063-020</t>
  </si>
  <si>
    <t>AGM-02-063-021</t>
  </si>
  <si>
    <t>AGM-02-063-022</t>
  </si>
  <si>
    <t>AGM-02-063-023</t>
  </si>
  <si>
    <t>AGM-02-063-024</t>
  </si>
  <si>
    <t>AGM-02-063-025</t>
  </si>
  <si>
    <t>AGM-02-063-026</t>
  </si>
  <si>
    <t>AGM-02-063-027</t>
  </si>
  <si>
    <t>AGM-02-063-028</t>
  </si>
  <si>
    <t>AGM-02-063-029</t>
  </si>
  <si>
    <t>AGM-02-063-030</t>
  </si>
  <si>
    <t>AGM-02-063-031</t>
  </si>
  <si>
    <t>AGM-02-063-032</t>
  </si>
  <si>
    <t>AGM-02-063-033</t>
  </si>
  <si>
    <t>AGM-02-063-034</t>
  </si>
  <si>
    <t>AGM-02-063-035</t>
  </si>
  <si>
    <t>AGM-02-063-036</t>
  </si>
  <si>
    <t>AGM-02-064-001</t>
  </si>
  <si>
    <t>Batch 2 - 2026</t>
  </si>
  <si>
    <t>OS</t>
  </si>
  <si>
    <t>Block 64</t>
  </si>
  <si>
    <t>Duplex - PRIME</t>
  </si>
  <si>
    <t>AGM-02-064-002</t>
  </si>
  <si>
    <t>AGM-02-064-003</t>
  </si>
  <si>
    <t>AGM-02-064-004</t>
  </si>
  <si>
    <t>AGM-02-064-005</t>
  </si>
  <si>
    <t>AGM-02-064-006</t>
  </si>
  <si>
    <t>AGM-02-064-007</t>
  </si>
  <si>
    <t>AGM-02-064-008</t>
  </si>
  <si>
    <t>AGM-02-064-009</t>
  </si>
  <si>
    <t>AGM-02-064-010</t>
  </si>
  <si>
    <t>AGM-02-064-011</t>
  </si>
  <si>
    <t>AGM-02-064-012</t>
  </si>
  <si>
    <t>AGM-02-064-013</t>
  </si>
  <si>
    <t>AGM-02-064-014</t>
  </si>
  <si>
    <t>AGM-02-064-015</t>
  </si>
  <si>
    <t>AGM-02-064-016</t>
  </si>
  <si>
    <t>AGM-02-064-017</t>
  </si>
  <si>
    <t>AGM-02-064-018</t>
  </si>
  <si>
    <t>AGM-02-064-019</t>
  </si>
  <si>
    <t>AGM-02-064-020</t>
  </si>
  <si>
    <t>AGM-02-064-021</t>
  </si>
  <si>
    <t>AGM-02-064-022</t>
  </si>
  <si>
    <t>AGM-02-064-023</t>
  </si>
  <si>
    <t>AGM-02-064-024</t>
  </si>
  <si>
    <t>AGM-02-064-025</t>
  </si>
  <si>
    <t>AGM-02-064-026</t>
  </si>
  <si>
    <t>OPEN</t>
  </si>
  <si>
    <t>AGM-02-064-027</t>
  </si>
  <si>
    <t>AGM-02-064-028</t>
  </si>
  <si>
    <t>AGM-02-064-029</t>
  </si>
  <si>
    <t>AGM-02-064-030</t>
  </si>
  <si>
    <t>AGM-02-064-031</t>
  </si>
  <si>
    <t>AGM-02-064-032</t>
  </si>
  <si>
    <t>AGM-02-064-033</t>
  </si>
  <si>
    <t>AGM-02-064-034</t>
  </si>
  <si>
    <t>AGM-02-064-035</t>
  </si>
  <si>
    <t>TS</t>
  </si>
  <si>
    <t>AGM-02-065-001</t>
  </si>
  <si>
    <t>Block 65</t>
  </si>
  <si>
    <t>AGM-02-065-002</t>
  </si>
  <si>
    <t>AGM-02-065-003</t>
  </si>
  <si>
    <t>AGM-02-065-004</t>
  </si>
  <si>
    <t>AGM-02-066-001</t>
  </si>
  <si>
    <t>Block 66</t>
  </si>
  <si>
    <t>AGM-02-066-002</t>
  </si>
  <si>
    <t>AGM-02-066-003</t>
  </si>
  <si>
    <t>AGM-02-066-004</t>
  </si>
  <si>
    <t>AGM-02-066-005</t>
  </si>
  <si>
    <t>AGM-02-066-006</t>
  </si>
  <si>
    <t>AGM-02-066-007</t>
  </si>
  <si>
    <t>AGM-02-066-008</t>
  </si>
  <si>
    <t>AGM-02-067-001</t>
  </si>
  <si>
    <t>Block 67</t>
  </si>
  <si>
    <t>AGM-02-067-002</t>
  </si>
  <si>
    <t>AGM-02-067-003</t>
  </si>
  <si>
    <t>AGM-02-067-004</t>
  </si>
  <si>
    <t>AGM-02-067-005</t>
  </si>
  <si>
    <t>AGM-02-067-006</t>
  </si>
  <si>
    <t>AGM-02-067-007</t>
  </si>
  <si>
    <t>AGM-02-067-008</t>
  </si>
  <si>
    <t>AGM-02-067-009</t>
  </si>
  <si>
    <t>AGM-02-067-010</t>
  </si>
  <si>
    <t>AGM-02-067-011</t>
  </si>
  <si>
    <t>AGM-02-067-012</t>
  </si>
  <si>
    <t>AGM-02-067-013</t>
  </si>
  <si>
    <t>AGM-02-067-014</t>
  </si>
  <si>
    <t>AGM-02-067-015</t>
  </si>
  <si>
    <t>AGM-02-067-016</t>
  </si>
  <si>
    <t>AGM-02-068-001</t>
  </si>
  <si>
    <t>Block 68</t>
  </si>
  <si>
    <t>AGM-02-068-002</t>
  </si>
  <si>
    <t>AGM-02-068-003</t>
  </si>
  <si>
    <t>AGM-02-068-004</t>
  </si>
  <si>
    <t>AGM-02-068-005</t>
  </si>
  <si>
    <t>AGM-02-068-006</t>
  </si>
  <si>
    <t>AGM-02-068-007</t>
  </si>
  <si>
    <t>AGM-02-068-008</t>
  </si>
  <si>
    <t>AGM-02-069-001</t>
  </si>
  <si>
    <t>Block 69</t>
  </si>
  <si>
    <t>AGM-02-069-002</t>
  </si>
  <si>
    <t>AGM-02-069-003</t>
  </si>
  <si>
    <t>AGM-02-069-004</t>
  </si>
  <si>
    <t>AGM-02-070-001</t>
  </si>
  <si>
    <t>Block 70</t>
  </si>
  <si>
    <t>AGM-02-070-002</t>
  </si>
  <si>
    <t>AGM-02-070-003</t>
  </si>
  <si>
    <t>AGM-02-070-004</t>
  </si>
  <si>
    <t>AGM-02-070-005</t>
  </si>
  <si>
    <t>AGM-02-071-001</t>
  </si>
  <si>
    <t>Block 71</t>
  </si>
  <si>
    <t>AGM-02-071-002</t>
  </si>
  <si>
    <t>AGM-02-071-003</t>
  </si>
  <si>
    <t>AGM-02-071-004</t>
  </si>
  <si>
    <t>AGM-02-071-005</t>
  </si>
  <si>
    <t>AGM-02-071-006</t>
  </si>
  <si>
    <t>AGM-02-071-007</t>
  </si>
  <si>
    <t>AGM-02-071-008</t>
  </si>
  <si>
    <t>AGM-02-071-009</t>
  </si>
  <si>
    <t>AGM-02-072-001</t>
  </si>
  <si>
    <t>Block 72</t>
  </si>
  <si>
    <t>AGM-02-072-002</t>
  </si>
  <si>
    <t>AGM-02-072-003</t>
  </si>
  <si>
    <t>AGM-02-072-004</t>
  </si>
  <si>
    <t>AGM-02-072-005</t>
  </si>
  <si>
    <t>AGM-02-072-006</t>
  </si>
  <si>
    <t>AGM-02-072-007</t>
  </si>
  <si>
    <t>Batch 1 - 2026</t>
  </si>
  <si>
    <t>AGM-02-072-008</t>
  </si>
  <si>
    <t>Batch 1 - HOLD</t>
  </si>
  <si>
    <t>AGM-02-072-009</t>
  </si>
  <si>
    <t>AGM-02-072-010</t>
  </si>
  <si>
    <t>AGM-02-072-011</t>
  </si>
  <si>
    <t>AGM-02-072-012</t>
  </si>
  <si>
    <t>AGM-02-072-013</t>
  </si>
  <si>
    <t>AGM-02-072-014</t>
  </si>
  <si>
    <t>AGM-02-072-015</t>
  </si>
  <si>
    <t>AGM-02-072-016</t>
  </si>
  <si>
    <t>AGM-02-073-001</t>
  </si>
  <si>
    <t>Block 73</t>
  </si>
  <si>
    <t>AGM-02-073-002</t>
  </si>
  <si>
    <t>AGM-02-073-003</t>
  </si>
  <si>
    <t>AGM-02-073-004</t>
  </si>
  <si>
    <t>AGM-02-073-005</t>
  </si>
  <si>
    <t>AGM-02-073-006</t>
  </si>
  <si>
    <t>AGM-02-073-007</t>
  </si>
  <si>
    <t>AGM-02-073-008</t>
  </si>
  <si>
    <t>AGM-02-073-009</t>
  </si>
  <si>
    <t>AGM-02-073-010</t>
  </si>
  <si>
    <t>AGM-02-073-011</t>
  </si>
  <si>
    <t>AGM-02-073-012</t>
  </si>
  <si>
    <t>AGM-02-073-013</t>
  </si>
  <si>
    <t>AGM-02-073-014</t>
  </si>
  <si>
    <t>AGM-02-073-015</t>
  </si>
  <si>
    <t>AGM-02-073-016</t>
  </si>
  <si>
    <t>AGM-02-074-001</t>
  </si>
  <si>
    <t>Block 74</t>
  </si>
  <si>
    <t>AGM-02-074-002</t>
  </si>
  <si>
    <t>AGM-02-074-003</t>
  </si>
  <si>
    <t>AGM-02-074-004</t>
  </si>
  <si>
    <t>AGM-02-074-005</t>
  </si>
  <si>
    <t>AGM-02-074-006</t>
  </si>
  <si>
    <t>AGM-02-074-007</t>
  </si>
  <si>
    <t>AGM-02-074-008</t>
  </si>
  <si>
    <t>AGM-02-074-009</t>
  </si>
  <si>
    <t>AGM-02-074-010</t>
  </si>
  <si>
    <t>AGM-02-074-011</t>
  </si>
  <si>
    <t>AGM-02-074-012</t>
  </si>
  <si>
    <t>AGM-02-074-013</t>
  </si>
  <si>
    <t>AGM-02-074-014</t>
  </si>
  <si>
    <t>AGM-02-074-015</t>
  </si>
  <si>
    <t>AGM-02-074-016</t>
  </si>
  <si>
    <t>AGM-02-075-001</t>
  </si>
  <si>
    <t>Block 75</t>
  </si>
  <si>
    <t>AGM-02-075-002</t>
  </si>
  <si>
    <t>AGM-02-075-003</t>
  </si>
  <si>
    <t>AGM-02-075-004</t>
  </si>
  <si>
    <t>AGM-02-075-005</t>
  </si>
  <si>
    <t>AGM-02-075-006</t>
  </si>
  <si>
    <t>AGM-02-075-007</t>
  </si>
  <si>
    <t>AGM-02-075-008</t>
  </si>
  <si>
    <t>AGM-02-075-009</t>
  </si>
  <si>
    <t>AGM-02-075-010</t>
  </si>
  <si>
    <t>AGM-02-075-011</t>
  </si>
  <si>
    <t>AGM-02-075-012</t>
  </si>
  <si>
    <t>AGM-02-075-013</t>
  </si>
  <si>
    <t>AGM-02-075-014</t>
  </si>
  <si>
    <t>AGM-02-075-015</t>
  </si>
  <si>
    <t>AGM-02-075-016</t>
  </si>
  <si>
    <t>AGM-02-076-001</t>
  </si>
  <si>
    <t>Block 76</t>
  </si>
  <si>
    <t>AGM-02-076-002</t>
  </si>
  <si>
    <t>AGM-02-076-003</t>
  </si>
  <si>
    <t>AGM-02-076-004</t>
  </si>
  <si>
    <t>AGM-02-076-005</t>
  </si>
  <si>
    <t>AGM-02-076-006</t>
  </si>
  <si>
    <t>AGM-02-076-007</t>
  </si>
  <si>
    <t>AGM-02-076-008</t>
  </si>
  <si>
    <t>AGM-02-076-009</t>
  </si>
  <si>
    <t>AGM-02-076-010</t>
  </si>
  <si>
    <t>AGM-02-076-011</t>
  </si>
  <si>
    <t>AGM-02-076-012</t>
  </si>
  <si>
    <t>AGM-02-076-013</t>
  </si>
  <si>
    <t>AGM-02-076-014</t>
  </si>
  <si>
    <t>AGM-02-076-015</t>
  </si>
  <si>
    <t>AGM-02-076-016</t>
  </si>
  <si>
    <t>AGM-02-076-017</t>
  </si>
  <si>
    <t>AGM-02-076-018</t>
  </si>
  <si>
    <t>AGM-02-077-001</t>
  </si>
  <si>
    <t>Batch 3 - 2026</t>
  </si>
  <si>
    <t>Block 77</t>
  </si>
  <si>
    <t>AGM-02-077-002</t>
  </si>
  <si>
    <t>AGM-02-077-003</t>
  </si>
  <si>
    <t>AGM-02-077-004</t>
  </si>
  <si>
    <t>AGM-02-077-005</t>
  </si>
  <si>
    <t>AGM-02-077-006</t>
  </si>
  <si>
    <t>AGM-02-077-007</t>
  </si>
  <si>
    <t>AGM-02-077-008</t>
  </si>
  <si>
    <t>AGM-02-077-009</t>
  </si>
  <si>
    <t>AGM-02-078-001</t>
  </si>
  <si>
    <t>Block 78</t>
  </si>
  <si>
    <t>AGM-02-078-002</t>
  </si>
  <si>
    <t>AGM-02-079-001</t>
  </si>
  <si>
    <t>Block 79</t>
  </si>
  <si>
    <t>AGM-02-079-002</t>
  </si>
  <si>
    <t>AGM-02-079-003</t>
  </si>
  <si>
    <t>AGM-02-079-004</t>
  </si>
  <si>
    <t>AGM-02-079-005</t>
  </si>
  <si>
    <t>AGM-02-079-006</t>
  </si>
  <si>
    <t>AGM-02-079-007</t>
  </si>
  <si>
    <t>AGM-02-079-008</t>
  </si>
  <si>
    <t>Batch 3 - HOLD</t>
  </si>
  <si>
    <t>AGM-02-080-001</t>
  </si>
  <si>
    <t>Block 80</t>
  </si>
  <si>
    <t>AGM-02-080-002</t>
  </si>
  <si>
    <t>AGM-02-080-003</t>
  </si>
  <si>
    <t>AGM-02-080-004</t>
  </si>
  <si>
    <t>AGM-02-080-005</t>
  </si>
  <si>
    <t>AGM-02-080-006</t>
  </si>
  <si>
    <t>AGM-02-080-007</t>
  </si>
  <si>
    <t>AGM-02-080-008</t>
  </si>
  <si>
    <t>AGM-02-081-001</t>
  </si>
  <si>
    <t>Block 81</t>
  </si>
  <si>
    <t>AGM-02-081-002</t>
  </si>
  <si>
    <t>AGM-02-081-003</t>
  </si>
  <si>
    <t>AGM-02-081-004</t>
  </si>
  <si>
    <t>AGM-02-081-005</t>
  </si>
  <si>
    <t>AGM-02-081-006</t>
  </si>
  <si>
    <t>AGM-02-081-007</t>
  </si>
  <si>
    <t>AGM-02-081-008</t>
  </si>
  <si>
    <t>AGM-02-082-001</t>
  </si>
  <si>
    <t>Block 82</t>
  </si>
  <si>
    <t>AGM-02-082-002</t>
  </si>
  <si>
    <t>AGM-02-082-003</t>
  </si>
  <si>
    <t>AGM-02-082-004</t>
  </si>
  <si>
    <t>AGM-02-082-005</t>
  </si>
  <si>
    <t>AGM-02-082-006</t>
  </si>
  <si>
    <t>AGM-02-082-007</t>
  </si>
  <si>
    <t>AGM-02-082-008</t>
  </si>
  <si>
    <t>AGM-02-082-009</t>
  </si>
  <si>
    <t>AGM-02-082-010</t>
  </si>
  <si>
    <t>AGM-02-082-011</t>
  </si>
  <si>
    <t>AGM-02-082-012</t>
  </si>
  <si>
    <t>AGM-02-082-013</t>
  </si>
  <si>
    <t>AGM-02-082-014</t>
  </si>
  <si>
    <t>AGM-02-082-015</t>
  </si>
  <si>
    <t>AGM-02-082-016</t>
  </si>
  <si>
    <t>AGM-02-082-017</t>
  </si>
  <si>
    <t>AGM-02-082-018</t>
  </si>
  <si>
    <t>AGM-02-082-019</t>
  </si>
  <si>
    <t>AGM-02-082-020</t>
  </si>
  <si>
    <t>AGM-02-082-021</t>
  </si>
  <si>
    <t>AGM-02-082-022</t>
  </si>
  <si>
    <t>AGM-02-082-023</t>
  </si>
  <si>
    <t>AGM-02-082-024</t>
  </si>
  <si>
    <t>AGM-02-082-025</t>
  </si>
  <si>
    <t>AGM-02-082-026</t>
  </si>
  <si>
    <t>AGM-02-082-027</t>
  </si>
  <si>
    <t>AGM-02-082-028</t>
  </si>
  <si>
    <t>AGM-02-082-029</t>
  </si>
  <si>
    <t>AGM-02-082-030</t>
  </si>
  <si>
    <t>AGM-02-082-031</t>
  </si>
  <si>
    <t>AGM-02-082-032</t>
  </si>
  <si>
    <t>AGM-02-083-001</t>
  </si>
  <si>
    <t>Block 83</t>
  </si>
  <si>
    <t>AGM-02-083-002</t>
  </si>
  <si>
    <t>AGM-02-083-003</t>
  </si>
  <si>
    <t>AGM-02-083-004</t>
  </si>
  <si>
    <t>AGM-02-083-005</t>
  </si>
  <si>
    <t>AGM-02-083-006</t>
  </si>
  <si>
    <t>AGM-02-083-007</t>
  </si>
  <si>
    <t>AGM-02-083-008</t>
  </si>
  <si>
    <t>AGM-02-083-009</t>
  </si>
  <si>
    <t>AGM-02-084-001</t>
  </si>
  <si>
    <t>Block 84</t>
  </si>
  <si>
    <t>AGM-02-084-002</t>
  </si>
  <si>
    <t>AGM-02-084-003</t>
  </si>
  <si>
    <t>AGM-02-084-004</t>
  </si>
  <si>
    <t>AGM-02-084-005</t>
  </si>
  <si>
    <t>AGM-02-084-006</t>
  </si>
  <si>
    <t>AGM-02-084-007</t>
  </si>
  <si>
    <t>AGM-02-084-008</t>
  </si>
  <si>
    <t>AGM-02-084-009</t>
  </si>
  <si>
    <t>AGM-02-084-010</t>
  </si>
  <si>
    <t>AGM-02-084-011</t>
  </si>
  <si>
    <t>AGM-02-084-012</t>
  </si>
  <si>
    <t>AGM-02-084-013</t>
  </si>
  <si>
    <t>AGM-02-084-014</t>
  </si>
  <si>
    <t>AGM-02-084-015</t>
  </si>
  <si>
    <t>AGM-02-084-016</t>
  </si>
  <si>
    <t>AGM-02-084-017</t>
  </si>
  <si>
    <t>AGM-02-084-018</t>
  </si>
  <si>
    <t>AGM-02-084-019</t>
  </si>
  <si>
    <t>AGM-02-084-020</t>
  </si>
  <si>
    <t>AGM-02-084-021</t>
  </si>
  <si>
    <t>AGM-02-084-022</t>
  </si>
  <si>
    <t>AGM-02-084-023</t>
  </si>
  <si>
    <t>AGM-02-084-024</t>
  </si>
  <si>
    <t>AGM-02-084-025</t>
  </si>
  <si>
    <t>AGM-02-084-026</t>
  </si>
  <si>
    <t>AGM-02-084-027</t>
  </si>
  <si>
    <t>AGM-02-084-028</t>
  </si>
  <si>
    <t>AGM-02-084-029</t>
  </si>
  <si>
    <t>AGM-02-084-030</t>
  </si>
  <si>
    <t>AGM-02-084-031</t>
  </si>
  <si>
    <t>AGM-02-084-032</t>
  </si>
  <si>
    <t>AGM-02-084-033</t>
  </si>
  <si>
    <t>AGM-02-084-034</t>
  </si>
  <si>
    <t>AGM-02-084-035</t>
  </si>
  <si>
    <t>AGM-02-084-036</t>
  </si>
  <si>
    <t>AGM-02-084-037</t>
  </si>
  <si>
    <t>Lot 37</t>
  </si>
  <si>
    <t>AGM-02-084-038</t>
  </si>
  <si>
    <t>Lot 38</t>
  </si>
  <si>
    <t>AGM-02-084-039</t>
  </si>
  <si>
    <t>Lot 39</t>
  </si>
  <si>
    <t>AGM-02-084-040</t>
  </si>
  <si>
    <t>Lot 40</t>
  </si>
  <si>
    <t>AGM-02-084-041</t>
  </si>
  <si>
    <t>Lot 41</t>
  </si>
  <si>
    <t>AGM-02-084-042</t>
  </si>
  <si>
    <t>Lot 42</t>
  </si>
  <si>
    <t>AGM-02-084-043</t>
  </si>
  <si>
    <t>Lot 43</t>
  </si>
  <si>
    <t>AGM-02-084-044</t>
  </si>
  <si>
    <t>Lot 44</t>
  </si>
  <si>
    <t>AGM-02-084-045</t>
  </si>
  <si>
    <t>Lot 45</t>
  </si>
  <si>
    <t>AGM-02-084-046</t>
  </si>
  <si>
    <t>Lot 46</t>
  </si>
  <si>
    <t>AGM-02-084-047</t>
  </si>
  <si>
    <t>Lot 47</t>
  </si>
  <si>
    <t>AGM-02-084-048</t>
  </si>
  <si>
    <t>Lot 48</t>
  </si>
  <si>
    <t>AGM-02-084-049</t>
  </si>
  <si>
    <t>Lot 49</t>
  </si>
  <si>
    <t>AGM-02-084-050</t>
  </si>
  <si>
    <t>Lot 50</t>
  </si>
  <si>
    <t>AGM-02-084-051</t>
  </si>
  <si>
    <t>Lot 51</t>
  </si>
  <si>
    <t>AGM-02-084-052</t>
  </si>
  <si>
    <t>Lot 52</t>
  </si>
  <si>
    <t>AGM-02-085-001</t>
  </si>
  <si>
    <t>Block 85</t>
  </si>
  <si>
    <t>AGM-02-085-002</t>
  </si>
  <si>
    <t>AGM-02-085-003</t>
  </si>
  <si>
    <t>AGM-02-085-004</t>
  </si>
  <si>
    <t>AGM-02-085-005</t>
  </si>
  <si>
    <t>AGM-02-085-006</t>
  </si>
  <si>
    <t>AGM-02-085-007</t>
  </si>
  <si>
    <t>AGM-02-085-008</t>
  </si>
  <si>
    <t>AGM-02-085-009</t>
  </si>
  <si>
    <t>AGM-02-085-010</t>
  </si>
  <si>
    <t>AGM-02-085-011</t>
  </si>
  <si>
    <t>AGM-02-085-012</t>
  </si>
  <si>
    <t>AGM-02-085-013</t>
  </si>
  <si>
    <t>AGM-02-085-014</t>
  </si>
  <si>
    <t>AGM-02-085-015</t>
  </si>
  <si>
    <t>AGM-02-085-016</t>
  </si>
  <si>
    <t>AGM-02-085-017</t>
  </si>
  <si>
    <t>AGM-02-085-018</t>
  </si>
  <si>
    <t>AGM-02-085-019</t>
  </si>
  <si>
    <t>AGM-02-085-020</t>
  </si>
  <si>
    <t>AGM-02-085-021</t>
  </si>
  <si>
    <t>AGM-02-085-022</t>
  </si>
  <si>
    <t>AGM-02-085-023</t>
  </si>
  <si>
    <t>AGM-02-085-024</t>
  </si>
  <si>
    <t>AGM-02-085-025</t>
  </si>
  <si>
    <t>AGM-02-085-026</t>
  </si>
  <si>
    <t>AGM-02-085-027</t>
  </si>
  <si>
    <t>AGM-02-085-028</t>
  </si>
  <si>
    <t>AGM-02-085-029</t>
  </si>
  <si>
    <t>AGM-02-085-030</t>
  </si>
  <si>
    <t>AGM-02-085-031</t>
  </si>
  <si>
    <t>AGM-02-085-032</t>
  </si>
  <si>
    <t>AGM-02-085-033</t>
  </si>
  <si>
    <t>AGM-02-085-034</t>
  </si>
  <si>
    <t>AGM-02-085-035</t>
  </si>
  <si>
    <t>AGM-02-085-036</t>
  </si>
  <si>
    <t>AGM-02-085-037</t>
  </si>
  <si>
    <t>AGM-02-085-038</t>
  </si>
  <si>
    <t>AGM-02-085-039</t>
  </si>
  <si>
    <t>AGM-02-085-040</t>
  </si>
  <si>
    <t>AGM-02-085-041</t>
  </si>
  <si>
    <t>AGM-02-085-042</t>
  </si>
  <si>
    <t>AGM-02-085-043</t>
  </si>
  <si>
    <t>AGM-02-085-044</t>
  </si>
  <si>
    <t>AGM-02-085-045</t>
  </si>
  <si>
    <t>AGM-02-085-046</t>
  </si>
  <si>
    <t>AGM-02-085-047</t>
  </si>
  <si>
    <t>AGM-02-085-048</t>
  </si>
  <si>
    <t>AGM-02-085-049</t>
  </si>
  <si>
    <t>AGM-02-085-050</t>
  </si>
  <si>
    <t>AGM-02-085-051</t>
  </si>
  <si>
    <t>AGM-02-085-052</t>
  </si>
  <si>
    <t>AGM-02-086-001</t>
  </si>
  <si>
    <t>Block 86</t>
  </si>
  <si>
    <t>AGM-02-086-002</t>
  </si>
  <si>
    <t>AGM-02-086-003</t>
  </si>
  <si>
    <t>AGM-02-086-004</t>
  </si>
  <si>
    <t>AGM-02-086-005</t>
  </si>
  <si>
    <t>AGM-02-086-006</t>
  </si>
  <si>
    <t>AGM-02-086-007</t>
  </si>
  <si>
    <t>AGM-02-086-008</t>
  </si>
  <si>
    <t>AGM-02-086-009</t>
  </si>
  <si>
    <t>AGM-02-086-010</t>
  </si>
  <si>
    <t>AGM-02-086-011</t>
  </si>
  <si>
    <t>AGM-02-086-012</t>
  </si>
  <si>
    <t>AGM-02-086-013</t>
  </si>
  <si>
    <t>AGM-02-086-014</t>
  </si>
  <si>
    <t>AGM-02-086-015</t>
  </si>
  <si>
    <t>AGM-02-086-016</t>
  </si>
  <si>
    <t>AGM-02-086-017</t>
  </si>
  <si>
    <t>AGM-02-086-018</t>
  </si>
  <si>
    <t>AGM-02-086-019</t>
  </si>
  <si>
    <t>AGM-02-086-020</t>
  </si>
  <si>
    <t>AGM-02-086-021</t>
  </si>
  <si>
    <t>AGM-02-086-022</t>
  </si>
  <si>
    <t>AGM-02-086-023</t>
  </si>
  <si>
    <t>AGM-02-086-024</t>
  </si>
  <si>
    <t>AGM-02-086-025</t>
  </si>
  <si>
    <t>AGM-02-086-026</t>
  </si>
  <si>
    <t>AGM-02-086-027</t>
  </si>
  <si>
    <t>AGM-02-086-028</t>
  </si>
  <si>
    <t>AGM-02-086-029</t>
  </si>
  <si>
    <t>AGM-02-086-030</t>
  </si>
  <si>
    <t>AGM-02-086-031</t>
  </si>
  <si>
    <t>AGM-02-086-032</t>
  </si>
  <si>
    <t>AGM-02-086-033</t>
  </si>
  <si>
    <t>AGM-02-086-034</t>
  </si>
  <si>
    <t>AGM-02-086-035</t>
  </si>
  <si>
    <t>AGM-02-086-036</t>
  </si>
  <si>
    <t>AGM-02-086-037</t>
  </si>
  <si>
    <t>AGM-02-086-038</t>
  </si>
  <si>
    <t>AGM-02-086-039</t>
  </si>
  <si>
    <t>AGM-02-086-040</t>
  </si>
  <si>
    <t>AGM-02-086-041</t>
  </si>
  <si>
    <t>AGM-02-087-001</t>
  </si>
  <si>
    <t>Block 87</t>
  </si>
  <si>
    <t>AGM-02-087-002</t>
  </si>
  <si>
    <t>AGM-02-087-003</t>
  </si>
  <si>
    <t>AGM-02-087-004</t>
  </si>
  <si>
    <t>AGM-02-087-005</t>
  </si>
  <si>
    <t>AGM-02-087-006</t>
  </si>
  <si>
    <t>AGM-02-087-007</t>
  </si>
  <si>
    <t>AGM-02-087-008</t>
  </si>
  <si>
    <t>AGM-02-087-009</t>
  </si>
  <si>
    <t>AGM-02-087-010</t>
  </si>
  <si>
    <t>AGM-02-087-011</t>
  </si>
  <si>
    <t>AGM-02-087-012</t>
  </si>
  <si>
    <t>AGM-02-087-013</t>
  </si>
  <si>
    <t>AGM-02-087-014</t>
  </si>
  <si>
    <t>AGM-02-087-015</t>
  </si>
  <si>
    <t>AGM-02-087-016</t>
  </si>
  <si>
    <t>AGM-02-088-001</t>
  </si>
  <si>
    <t>Block 88</t>
  </si>
  <si>
    <t>AGM-02-088-002</t>
  </si>
  <si>
    <t>AGM-02-088-003</t>
  </si>
  <si>
    <t>AGM-02-088-004</t>
  </si>
  <si>
    <t>AGM-02-088-005</t>
  </si>
  <si>
    <t>AGM-02-088-006</t>
  </si>
  <si>
    <t>AGM-02-088-007</t>
  </si>
  <si>
    <t>AGM-02-088-008</t>
  </si>
  <si>
    <t>AGM-02-088-009</t>
  </si>
  <si>
    <t>AGM-02-088-010</t>
  </si>
  <si>
    <t>AGM-02-088-011</t>
  </si>
  <si>
    <t>AGM-02-088-012</t>
  </si>
  <si>
    <t>AGM-02-088-013</t>
  </si>
  <si>
    <t>AGM-02-088-014</t>
  </si>
  <si>
    <t>AGM-02-088-015</t>
  </si>
  <si>
    <t>AGM-02-088-016</t>
  </si>
  <si>
    <t>AGM-02-088-017</t>
  </si>
  <si>
    <t>AGM-02-088-018</t>
  </si>
  <si>
    <t>AGM-02-088-019</t>
  </si>
  <si>
    <t>AGM-02-088-020</t>
  </si>
  <si>
    <t>AGM-02-089-001</t>
  </si>
  <si>
    <t>CLOSED - SH</t>
  </si>
  <si>
    <t>Block 89</t>
  </si>
  <si>
    <t>Shop Homes</t>
  </si>
  <si>
    <t>AGM-02-089-002</t>
  </si>
  <si>
    <t>AGM-02-089-003</t>
  </si>
  <si>
    <t>AGM-02-089-004</t>
  </si>
  <si>
    <t>AGM-02-089-005</t>
  </si>
  <si>
    <t>AGM-02-089-006</t>
  </si>
  <si>
    <t>AGM-02-089-007</t>
  </si>
  <si>
    <t>AGM-02-089-008</t>
  </si>
  <si>
    <t>AGM-02-089-009</t>
  </si>
  <si>
    <t>AGM-02-089-010</t>
  </si>
  <si>
    <t>AGM-02-089-011</t>
  </si>
  <si>
    <t>AGM-02-089-012</t>
  </si>
  <si>
    <t>AGM-02-089-013</t>
  </si>
  <si>
    <t>AGM-02-089-014</t>
  </si>
  <si>
    <t>AGM-02-089-015</t>
  </si>
  <si>
    <t>AGM-02-089-016</t>
  </si>
  <si>
    <t>AGM-02-089-017</t>
  </si>
  <si>
    <t>AGM-02-089-018</t>
  </si>
  <si>
    <t>AGM-02-089-019</t>
  </si>
  <si>
    <t>AGM-02-089-020</t>
  </si>
  <si>
    <t>AGM-02-089-021</t>
  </si>
  <si>
    <t>AGM-02-090-001</t>
  </si>
  <si>
    <t>Block 90</t>
  </si>
  <si>
    <t>AGM-02-090-002</t>
  </si>
  <si>
    <t>AGM-02-090-003</t>
  </si>
  <si>
    <t>AGM-02-090-004</t>
  </si>
  <si>
    <t>AGM-02-090-005</t>
  </si>
  <si>
    <t>AGM-02-090-006</t>
  </si>
  <si>
    <t>AGM-02-090-007</t>
  </si>
  <si>
    <t>AGM-02-090-008</t>
  </si>
  <si>
    <t>AGM-02-090-009</t>
  </si>
  <si>
    <t>AGM-02-090-010</t>
  </si>
  <si>
    <t>AGM-02-090-011</t>
  </si>
  <si>
    <t>AGM-02-090-012</t>
  </si>
  <si>
    <t>AGM-02-090-013</t>
  </si>
  <si>
    <t>AGM-02-090-014</t>
  </si>
  <si>
    <t>AGM-02-090-015</t>
  </si>
  <si>
    <t>AGM-02-090-016</t>
  </si>
  <si>
    <t>AGM-02-090-017</t>
  </si>
  <si>
    <t>AGM-02-090-018</t>
  </si>
  <si>
    <t>AGM-02-090-019</t>
  </si>
  <si>
    <t>AGM-02-090-020</t>
  </si>
  <si>
    <t>AGM-02-090-021</t>
  </si>
  <si>
    <t>AGM-02-090-022</t>
  </si>
  <si>
    <t>VAP-03-007-001</t>
  </si>
  <si>
    <t>Batch 1</t>
  </si>
  <si>
    <t>DU-EXE-IRR</t>
  </si>
  <si>
    <t>SLANT / BLUE</t>
  </si>
  <si>
    <t>VAP-03-007-002</t>
  </si>
  <si>
    <t>FLAT / BLUE</t>
  </si>
  <si>
    <t>VAP-03-007-003</t>
  </si>
  <si>
    <t>FLAT / YELLOW</t>
  </si>
  <si>
    <t>VAP-03-007-004</t>
  </si>
  <si>
    <t>SLANT / YELLOW</t>
  </si>
  <si>
    <t>VAP-03-007-005</t>
  </si>
  <si>
    <t>VAP-03-007-006</t>
  </si>
  <si>
    <t>VAP-03-007-007</t>
  </si>
  <si>
    <t>VAP-03-007-008</t>
  </si>
  <si>
    <t>VAP-03-007-033</t>
  </si>
  <si>
    <t>DU-EXE</t>
  </si>
  <si>
    <t>VAP-03-007-034</t>
  </si>
  <si>
    <t>VAP-03-007-035</t>
  </si>
  <si>
    <t>VAP-03-007-036</t>
  </si>
  <si>
    <t>VAP-03-007-045</t>
  </si>
  <si>
    <t>VAP-03-007-046</t>
  </si>
  <si>
    <t>VAP-03-006-015</t>
  </si>
  <si>
    <t>FLAT / RED</t>
  </si>
  <si>
    <t>VAP-03-006-016</t>
  </si>
  <si>
    <t>SLANT / RED</t>
  </si>
  <si>
    <t>VAP-03-006-017</t>
  </si>
  <si>
    <t>VAP-03-006-018</t>
  </si>
  <si>
    <t>VAP-03-006-019</t>
  </si>
  <si>
    <t>VAP-03-006-020</t>
  </si>
  <si>
    <t>VAP-03-006-021</t>
  </si>
  <si>
    <t>VAP-03-006-022</t>
  </si>
  <si>
    <t>VAP-03-007-031</t>
  </si>
  <si>
    <t>VAP-03-007-032</t>
  </si>
  <si>
    <t>VAP-03-007-037</t>
  </si>
  <si>
    <t>VAP-03-007-038</t>
  </si>
  <si>
    <t>VAP-03-007-039</t>
  </si>
  <si>
    <t>VAP-03-007-044</t>
  </si>
  <si>
    <t>VAP-03-009-001</t>
  </si>
  <si>
    <t>VAP-03-009-002</t>
  </si>
  <si>
    <t>VAP-03-009-003</t>
  </si>
  <si>
    <t>VAP-03-009-004</t>
  </si>
  <si>
    <t>VAP-03-006-009</t>
  </si>
  <si>
    <t>VAP-03-006-010</t>
  </si>
  <si>
    <t>VAP-03-006-011</t>
  </si>
  <si>
    <t>VAP-03-006-012</t>
  </si>
  <si>
    <t>VAP-03-006-013</t>
  </si>
  <si>
    <t>VAP-03-006-014</t>
  </si>
  <si>
    <t>VAP-03-007-040</t>
  </si>
  <si>
    <t>VAP-03-007-041</t>
  </si>
  <si>
    <t>VAP-03-007-042</t>
  </si>
  <si>
    <t>VAP-03-007-043</t>
  </si>
  <si>
    <t>VAP-03-009-007</t>
  </si>
  <si>
    <t>VAP-03-009-008</t>
  </si>
  <si>
    <t>VAP-03-009-005</t>
  </si>
  <si>
    <t>VAP-03-009-006</t>
  </si>
  <si>
    <t>VAP-03-200-004</t>
  </si>
  <si>
    <t>Batch 1 - MU</t>
  </si>
  <si>
    <t>VAP-03-200-005</t>
  </si>
  <si>
    <t>VAP-03-007-025</t>
  </si>
  <si>
    <t>Batch 2</t>
  </si>
  <si>
    <t>VAP-03-007-026</t>
  </si>
  <si>
    <t>VAP-03-009-013</t>
  </si>
  <si>
    <t>VAP-03-009-014</t>
  </si>
  <si>
    <t>VAP-03-007-027</t>
  </si>
  <si>
    <t>VAP-03-007-028</t>
  </si>
  <si>
    <t>VAP-03-006-005</t>
  </si>
  <si>
    <t>VAP-03-006-006</t>
  </si>
  <si>
    <t>VAP-03-006-007</t>
  </si>
  <si>
    <t>VAP-03-006-008</t>
  </si>
  <si>
    <t>VAP-03-007-010</t>
  </si>
  <si>
    <t>VAP-03-007-011</t>
  </si>
  <si>
    <t>VAP-03-007-012</t>
  </si>
  <si>
    <t>VAP-03-007-013</t>
  </si>
  <si>
    <t>VAP-03-007-014</t>
  </si>
  <si>
    <t>VAP-03-007-029</t>
  </si>
  <si>
    <t>VAP-03-007-030</t>
  </si>
  <si>
    <t>VAP-03-009-011</t>
  </si>
  <si>
    <t>VAP-03-009-012</t>
  </si>
  <si>
    <t>VAP-03-006-003</t>
  </si>
  <si>
    <t>VAP-03-006-004</t>
  </si>
  <si>
    <t>VAP-03-006-023</t>
  </si>
  <si>
    <t>VAP-03-006-024</t>
  </si>
  <si>
    <t>VAP-03-007-009</t>
  </si>
  <si>
    <t>VAP-03-007-015</t>
  </si>
  <si>
    <t>VAP-03-007-016</t>
  </si>
  <si>
    <t>VAP-03-007-017</t>
  </si>
  <si>
    <t>VAP-03-007-018</t>
  </si>
  <si>
    <t>VAP-03-007-019</t>
  </si>
  <si>
    <t>VAP-03-007-020</t>
  </si>
  <si>
    <t>VAP-03-007-021</t>
  </si>
  <si>
    <t>VAP-03-007-022</t>
  </si>
  <si>
    <t>VAP-03-007-023</t>
  </si>
  <si>
    <t>VAP-03-007-024</t>
  </si>
  <si>
    <t>VAP-03-009-009</t>
  </si>
  <si>
    <t>VAP-03-009-010</t>
  </si>
  <si>
    <t>VAP-03-009-021</t>
  </si>
  <si>
    <t>VAP-03-009-022</t>
  </si>
  <si>
    <t>VAP-03-009-023</t>
  </si>
  <si>
    <t>VAP-03-009-024</t>
  </si>
  <si>
    <t>VAP-03-009-025</t>
  </si>
  <si>
    <t>VAP-03-009-026</t>
  </si>
  <si>
    <t>VAP-03-005-003</t>
  </si>
  <si>
    <t>Batch 3</t>
  </si>
  <si>
    <t>VAP-03-005-004</t>
  </si>
  <si>
    <t>VAP-03-006-037</t>
  </si>
  <si>
    <t>VAP-03-006-038</t>
  </si>
  <si>
    <t>VAP-03-006-039</t>
  </si>
  <si>
    <t>VAP-03-006-040</t>
  </si>
  <si>
    <t>VAP-03-006-041</t>
  </si>
  <si>
    <t>VAP-03-006-042</t>
  </si>
  <si>
    <t>VAP-03-009-017</t>
  </si>
  <si>
    <t>VAP-03-009-018</t>
  </si>
  <si>
    <t>VAP-03-005-005</t>
  </si>
  <si>
    <t>VAP-03-005-006</t>
  </si>
  <si>
    <t>VAP-03-005-043</t>
  </si>
  <si>
    <t>VAP-03-005-044</t>
  </si>
  <si>
    <t>VAP-03-006-031</t>
  </si>
  <si>
    <t>VAP-03-006-032</t>
  </si>
  <si>
    <t>VAP-03-006-033</t>
  </si>
  <si>
    <t>VAP-03-006-034</t>
  </si>
  <si>
    <t>VAP-03-006-035</t>
  </si>
  <si>
    <t>VAP-03-006-036</t>
  </si>
  <si>
    <t>VAP-03-006-043</t>
  </si>
  <si>
    <t>VAP-03-006-044</t>
  </si>
  <si>
    <t>VAP-03-006-045</t>
  </si>
  <si>
    <t>VAP-03-006-046</t>
  </si>
  <si>
    <t>VAP-03-008-012</t>
  </si>
  <si>
    <t>VAP-03-008-013</t>
  </si>
  <si>
    <t>VAP-03-008-014</t>
  </si>
  <si>
    <t>VAP-03-008-015</t>
  </si>
  <si>
    <t>VAP-03-008-020</t>
  </si>
  <si>
    <t>VAP-03-008-021</t>
  </si>
  <si>
    <t>VAP-03-008-022</t>
  </si>
  <si>
    <t>VAP-03-008-023</t>
  </si>
  <si>
    <t>VAP-03-008-024</t>
  </si>
  <si>
    <t>VAP-03-008-025</t>
  </si>
  <si>
    <t>VAP-03-008-026</t>
  </si>
  <si>
    <t>VAP-03-008-027</t>
  </si>
  <si>
    <t>VAP-03-008-028</t>
  </si>
  <si>
    <t>VAP-03-008-029</t>
  </si>
  <si>
    <t>VAP-03-008-030</t>
  </si>
  <si>
    <t>VAP-03-008-031</t>
  </si>
  <si>
    <t>VAP-03-009-019</t>
  </si>
  <si>
    <t>VAP-03-009-020</t>
  </si>
  <si>
    <t>VAP-03-005-007</t>
  </si>
  <si>
    <t>Batch 4</t>
  </si>
  <si>
    <t>VAP-03-005-008</t>
  </si>
  <si>
    <t>VAP-03-005-009</t>
  </si>
  <si>
    <t>VAP-03-005-010</t>
  </si>
  <si>
    <t>VAP-03-005-011</t>
  </si>
  <si>
    <t>VAP-03-005-013</t>
  </si>
  <si>
    <t>VAP-03-005-014</t>
  </si>
  <si>
    <t>VAP-03-005-015</t>
  </si>
  <si>
    <t>VAP-03-005-016</t>
  </si>
  <si>
    <t>VAP-03-005-033</t>
  </si>
  <si>
    <t>VAP-03-005-034</t>
  </si>
  <si>
    <t>VAP-03-005-039</t>
  </si>
  <si>
    <t>VAP-03-005-040</t>
  </si>
  <si>
    <t>VAP-03-005-041</t>
  </si>
  <si>
    <t>VAP-03-005-042</t>
  </si>
  <si>
    <t>VAP-03-005-012</t>
  </si>
  <si>
    <t>VAP-03-005-017</t>
  </si>
  <si>
    <t>VAP-03-005-018</t>
  </si>
  <si>
    <t>VAP-03-005-019</t>
  </si>
  <si>
    <t>VAP-03-005-020</t>
  </si>
  <si>
    <t>VAP-03-005-021</t>
  </si>
  <si>
    <t>VAP-03-005-022</t>
  </si>
  <si>
    <t>VAP-03-005-025</t>
  </si>
  <si>
    <t>VAP-03-005-026</t>
  </si>
  <si>
    <t>VAP-03-005-027</t>
  </si>
  <si>
    <t>VAP-03-005-028</t>
  </si>
  <si>
    <t>VAP-03-005-029</t>
  </si>
  <si>
    <t>VAP-03-005-030</t>
  </si>
  <si>
    <t>VAP-03-005-031</t>
  </si>
  <si>
    <t>VAP-03-005-032</t>
  </si>
  <si>
    <t>VAP-03-005-035</t>
  </si>
  <si>
    <t>VAP-03-005-036</t>
  </si>
  <si>
    <t>VAP-03-005-037</t>
  </si>
  <si>
    <t>VAP-03-005-038</t>
  </si>
  <si>
    <t>VAP-03-006-027</t>
  </si>
  <si>
    <t>VAP-03-006-028</t>
  </si>
  <si>
    <t>VAP-03-006-029</t>
  </si>
  <si>
    <t>VAP-03-006-030</t>
  </si>
  <si>
    <t>VAP-03-008-008</t>
  </si>
  <si>
    <t>VAP-03-008-009</t>
  </si>
  <si>
    <t>VAP-03-008-010</t>
  </si>
  <si>
    <t>VAP-03-008-011</t>
  </si>
  <si>
    <t>VAP-03-008-016</t>
  </si>
  <si>
    <t>VAP-03-008-017</t>
  </si>
  <si>
    <t>VAP-03-008-018</t>
  </si>
  <si>
    <t>VAP-03-008-019</t>
  </si>
  <si>
    <t>VAP-03-008-032</t>
  </si>
  <si>
    <t>VAP-03-008-033</t>
  </si>
  <si>
    <t>VAP-03-002-003</t>
  </si>
  <si>
    <t>Batch 5</t>
  </si>
  <si>
    <t>VAP-03-002-004</t>
  </si>
  <si>
    <t>VAP-03-002-005</t>
  </si>
  <si>
    <t>VAP-03-002-006</t>
  </si>
  <si>
    <t>VAP-03-002-007</t>
  </si>
  <si>
    <t>VAP-03-002-008</t>
  </si>
  <si>
    <t>VAP-03-002-009</t>
  </si>
  <si>
    <t>VAP-03-002-010</t>
  </si>
  <si>
    <t>VAP-03-002-011</t>
  </si>
  <si>
    <t>VAP-03-002-012</t>
  </si>
  <si>
    <t>VAP-03-002-013</t>
  </si>
  <si>
    <t>VAP-03-002-014</t>
  </si>
  <si>
    <t>VAP-03-100-001</t>
  </si>
  <si>
    <t>VAP-03-100-002</t>
  </si>
  <si>
    <t>VAP-03-100-003</t>
  </si>
  <si>
    <t>VAP-03-100-004</t>
  </si>
  <si>
    <t>VAP-03-100-005</t>
  </si>
  <si>
    <t>VAP-03-100-006</t>
  </si>
  <si>
    <t>VAP-03-001-002</t>
  </si>
  <si>
    <t>VAP-03-001-003</t>
  </si>
  <si>
    <t>VAP-03-001-004</t>
  </si>
  <si>
    <t>VAP-03-001-005</t>
  </si>
  <si>
    <t>VAP-03-002-001</t>
  </si>
  <si>
    <t>VAP-03-002-002</t>
  </si>
  <si>
    <t>VAP-03-002-015</t>
  </si>
  <si>
    <t>VAP-03-002-016</t>
  </si>
  <si>
    <t>VAP-03-002-017</t>
  </si>
  <si>
    <t>VAP-03-002-018</t>
  </si>
  <si>
    <t>VAP-03-002-019</t>
  </si>
  <si>
    <t>VAP-03-008-002</t>
  </si>
  <si>
    <t>VAP-03-008-003</t>
  </si>
  <si>
    <t>VAP-03-008-004</t>
  </si>
  <si>
    <t>VAP-03-008-005</t>
  </si>
  <si>
    <t>VAP-03-002-020</t>
  </si>
  <si>
    <t>VAP-03-002-021</t>
  </si>
  <si>
    <t>VAP-03-002-022</t>
  </si>
  <si>
    <t>VAP-03-002-023</t>
  </si>
  <si>
    <t>VAP-03-002-024</t>
  </si>
  <si>
    <t>VAP-03-002-025</t>
  </si>
  <si>
    <t>VAP-03-002-026</t>
  </si>
  <si>
    <t>VAP-03-010-003</t>
  </si>
  <si>
    <t>VAP-03-010-004</t>
  </si>
  <si>
    <t>VAP-03-010-005</t>
  </si>
  <si>
    <t>VAP-03-010-006</t>
  </si>
  <si>
    <t>VAP-03-001-001</t>
  </si>
  <si>
    <t>Batch 6</t>
  </si>
  <si>
    <t>Single Attached</t>
  </si>
  <si>
    <t>VAP-03-008-001</t>
  </si>
  <si>
    <t>VAP-03-200-001</t>
  </si>
  <si>
    <t>VAP-03-005-023</t>
  </si>
  <si>
    <t>HOLD</t>
  </si>
  <si>
    <t>VAP-03-005-045</t>
  </si>
  <si>
    <t>VAP-03-006-026</t>
  </si>
  <si>
    <t>VAP-03-011-003</t>
  </si>
  <si>
    <t>VAP-03-011-006</t>
  </si>
  <si>
    <t>VAP-03-012-003</t>
  </si>
  <si>
    <t>VAP-03-012-006</t>
  </si>
  <si>
    <t>VAP-03-005-001</t>
  </si>
  <si>
    <t>LOT ONLY</t>
  </si>
  <si>
    <t>NA</t>
  </si>
  <si>
    <t>NA / NA</t>
  </si>
  <si>
    <t>VAP-03-005-002</t>
  </si>
  <si>
    <t>VAP-03-005-024</t>
  </si>
  <si>
    <t>VAP-03-006-001</t>
  </si>
  <si>
    <t>VAP-03-006-002</t>
  </si>
  <si>
    <t>VAP-03-006-025</t>
  </si>
  <si>
    <t>VAP-03-008-006</t>
  </si>
  <si>
    <t>VAP-03-008-007</t>
  </si>
  <si>
    <t>VAP-03-009-015</t>
  </si>
  <si>
    <t>VAP-03-009-016</t>
  </si>
  <si>
    <t>VAP-03-009-027</t>
  </si>
  <si>
    <t>VAP-03-010-001</t>
  </si>
  <si>
    <t>VAP-03-010-002</t>
  </si>
  <si>
    <t>VAP-03-011-001</t>
  </si>
  <si>
    <t>VAP-03-011-002</t>
  </si>
  <si>
    <t>VAP-03-011-004</t>
  </si>
  <si>
    <t>VAP-03-011-005</t>
  </si>
  <si>
    <t>VAP-03-012-001</t>
  </si>
  <si>
    <t>VAP-03-012-002</t>
  </si>
  <si>
    <t>VAP-03-012-004</t>
  </si>
  <si>
    <t>VAP-03-012-005</t>
  </si>
  <si>
    <t>VAP-03-200-002</t>
  </si>
  <si>
    <t>VAP-03-200-003</t>
  </si>
  <si>
    <t>AGM-01-001-001</t>
  </si>
  <si>
    <t>AGM-01-001-002</t>
  </si>
  <si>
    <t>AGM-01-001-003</t>
  </si>
  <si>
    <t>Model Home Park</t>
  </si>
  <si>
    <t>AGM-01-001-004</t>
  </si>
  <si>
    <t>AGM-01-001-005</t>
  </si>
  <si>
    <t>AGM-01-001-006</t>
  </si>
  <si>
    <t>AGM-01-001-007</t>
  </si>
  <si>
    <t>AGM-01-001-008</t>
  </si>
  <si>
    <t>AGM-01-001-009</t>
  </si>
  <si>
    <t>AGM-01-001-010</t>
  </si>
  <si>
    <t>AGM-01-002-001</t>
  </si>
  <si>
    <t>AGM-01-002-002</t>
  </si>
  <si>
    <t>AGM-01-002-003</t>
  </si>
  <si>
    <t>AGM-01-002-004</t>
  </si>
  <si>
    <t>AGM-01-002-005</t>
  </si>
  <si>
    <t>AGM-01-002-006</t>
  </si>
  <si>
    <t>AGM-01-002-007</t>
  </si>
  <si>
    <t>AGM-01-002-008</t>
  </si>
  <si>
    <t>AGM-01-002-009</t>
  </si>
  <si>
    <t>- / -</t>
  </si>
  <si>
    <t>AGM-01-002-010</t>
  </si>
  <si>
    <t>AGM-01-002-011</t>
  </si>
  <si>
    <t>AGM-01-002-012</t>
  </si>
  <si>
    <t>AGM-01-002-013</t>
  </si>
  <si>
    <t>AGM-01-002-014</t>
  </si>
  <si>
    <t>AGM-01-002-015</t>
  </si>
  <si>
    <t>AGM-01-002-016</t>
  </si>
  <si>
    <t>AGM-01-002-017</t>
  </si>
  <si>
    <t>AGM-01-002-018</t>
  </si>
  <si>
    <t>AGM-01-002-019</t>
  </si>
  <si>
    <t>AGM-01-002-020</t>
  </si>
  <si>
    <t>AGM-01-002-021</t>
  </si>
  <si>
    <t>AGM-01-003-001</t>
  </si>
  <si>
    <t>AGM-01-003-002</t>
  </si>
  <si>
    <t>AGM-01-003-003</t>
  </si>
  <si>
    <t>AGM-01-003-004</t>
  </si>
  <si>
    <t>AGM-01-003-005</t>
  </si>
  <si>
    <t>AGM-01-003-006</t>
  </si>
  <si>
    <t>AGM-01-003-007</t>
  </si>
  <si>
    <t>AGM-01-005-001</t>
  </si>
  <si>
    <t>AGM-01-005-002</t>
  </si>
  <si>
    <t>AGM-01-005-003</t>
  </si>
  <si>
    <t>AGM-01-005-004</t>
  </si>
  <si>
    <t>AGM-01-005-005</t>
  </si>
  <si>
    <t>AGM-01-005-006</t>
  </si>
  <si>
    <t>AGM-01-005-007</t>
  </si>
  <si>
    <t>AGM-01-005-008</t>
  </si>
  <si>
    <t>AGM-01-005-009</t>
  </si>
  <si>
    <t>AGM-01-005-010</t>
  </si>
  <si>
    <t>AGM-01-005-011</t>
  </si>
  <si>
    <t>AGM-01-005-012</t>
  </si>
  <si>
    <t>AGM-01-005-013</t>
  </si>
  <si>
    <t>AGM-01-005-014</t>
  </si>
  <si>
    <t>AGM-01-005-015</t>
  </si>
  <si>
    <t>AGM-01-005-016</t>
  </si>
  <si>
    <t>AGM-01-005-017</t>
  </si>
  <si>
    <t>AGM-01-005-018</t>
  </si>
  <si>
    <t>AGM-01-005-019</t>
  </si>
  <si>
    <t>AGM-01-005-020</t>
  </si>
  <si>
    <t>AGM-01-005-021</t>
  </si>
  <si>
    <t>AGM-01-005-022</t>
  </si>
  <si>
    <t>AGM-01-006-001</t>
  </si>
  <si>
    <t>AGM-01-006-002</t>
  </si>
  <si>
    <t>AGM-01-006-003</t>
  </si>
  <si>
    <t>AGM-01-006-004</t>
  </si>
  <si>
    <t>AGM-01-006-005</t>
  </si>
  <si>
    <t>AGM-01-006-006</t>
  </si>
  <si>
    <t>AGM-01-006-007</t>
  </si>
  <si>
    <t>AGM-01-006-008</t>
  </si>
  <si>
    <t>AGM-01-006-009</t>
  </si>
  <si>
    <t>AGM-01-006-010</t>
  </si>
  <si>
    <t>AGM-01-006-011</t>
  </si>
  <si>
    <t>AGM-01-006-012</t>
  </si>
  <si>
    <t>AGM-01-006-013</t>
  </si>
  <si>
    <t>AGM-01-006-014</t>
  </si>
  <si>
    <t>AGM-01-006-015</t>
  </si>
  <si>
    <t>AGM-01-006-016</t>
  </si>
  <si>
    <t>AGM-01-006-017</t>
  </si>
  <si>
    <t>AGM-01-006-018</t>
  </si>
  <si>
    <t>AGM-01-006-019</t>
  </si>
  <si>
    <t>AGM-01-006-020</t>
  </si>
  <si>
    <t>AGM-01-006-021</t>
  </si>
  <si>
    <t>AGM-01-006-022</t>
  </si>
  <si>
    <t>AGM-01-006-023</t>
  </si>
  <si>
    <t>AGM-01-006-024</t>
  </si>
  <si>
    <t>AGM-01-006-025</t>
  </si>
  <si>
    <t>AGM-01-006-026</t>
  </si>
  <si>
    <t>AGM-01-006-027</t>
  </si>
  <si>
    <t>AGM-01-006-028</t>
  </si>
  <si>
    <t>AGM-01-006-029</t>
  </si>
  <si>
    <t>AGM-01-006-030</t>
  </si>
  <si>
    <t>AGM-01-006-031</t>
  </si>
  <si>
    <t>AGM-01-006-032</t>
  </si>
  <si>
    <t>AGM-01-006-033</t>
  </si>
  <si>
    <t>AGM-01-006-034</t>
  </si>
  <si>
    <t>AGM-01-006-035</t>
  </si>
  <si>
    <t>AGM-01-006-036</t>
  </si>
  <si>
    <t>AGM-01-006-037</t>
  </si>
  <si>
    <t>AGM-01-006-038</t>
  </si>
  <si>
    <t>AGM-01-006-039</t>
  </si>
  <si>
    <t>AGM-01-006-040</t>
  </si>
  <si>
    <t>AGM-01-006-041</t>
  </si>
  <si>
    <t>AGM-01-006-042</t>
  </si>
  <si>
    <t>AGM-01-007-001</t>
  </si>
  <si>
    <t>AGM-01-007-002</t>
  </si>
  <si>
    <t>AGM-01-007-003</t>
  </si>
  <si>
    <t>AGM-01-007-004</t>
  </si>
  <si>
    <t>AGM-01-007-005</t>
  </si>
  <si>
    <t>AGM-01-007-006</t>
  </si>
  <si>
    <t>AGM-01-007-007</t>
  </si>
  <si>
    <t>AGM-01-007-008</t>
  </si>
  <si>
    <t>AGM-01-007-009</t>
  </si>
  <si>
    <t>AGM-01-007-010</t>
  </si>
  <si>
    <t>AGM-01-007-011</t>
  </si>
  <si>
    <t>AGM-01-007-012</t>
  </si>
  <si>
    <t>AGM-01-007-013</t>
  </si>
  <si>
    <t>AGM-01-007-014</t>
  </si>
  <si>
    <t>AGM-01-007-015</t>
  </si>
  <si>
    <t>AGM-01-007-016</t>
  </si>
  <si>
    <t>AGM-01-007-017</t>
  </si>
  <si>
    <t>AGM-01-007-018</t>
  </si>
  <si>
    <t>AGM-01-007-019</t>
  </si>
  <si>
    <t>AGM-01-007-020</t>
  </si>
  <si>
    <t>AGM-01-007-021</t>
  </si>
  <si>
    <t>AGM-01-007-022</t>
  </si>
  <si>
    <t>AGM-01-007-023</t>
  </si>
  <si>
    <t>AGM-01-007-024</t>
  </si>
  <si>
    <t>AGM-01-007-025</t>
  </si>
  <si>
    <t>AGM-01-007-026</t>
  </si>
  <si>
    <t>AGM-01-007-027</t>
  </si>
  <si>
    <t>AGM-01-007-028</t>
  </si>
  <si>
    <t>AGM-01-007-029</t>
  </si>
  <si>
    <t>AGM-01-007-030</t>
  </si>
  <si>
    <t>AGM-01-007-031</t>
  </si>
  <si>
    <t>AGM-01-007-032</t>
  </si>
  <si>
    <t>AGM-01-007-033</t>
  </si>
  <si>
    <t>AGM-01-007-034</t>
  </si>
  <si>
    <t>AGM-01-007-035</t>
  </si>
  <si>
    <t>AGM-01-007-036</t>
  </si>
  <si>
    <t>AGM-01-007-037</t>
  </si>
  <si>
    <t>AGM-01-007-038</t>
  </si>
  <si>
    <t>AGM-01-007-039</t>
  </si>
  <si>
    <t>AGM-01-007-040</t>
  </si>
  <si>
    <t>AGM-01-007-041</t>
  </si>
  <si>
    <t>AGM-01-007-042</t>
  </si>
  <si>
    <t>AGM-01-008-001</t>
  </si>
  <si>
    <t>AGM-01-008-002</t>
  </si>
  <si>
    <t>AGM-01-008-003</t>
  </si>
  <si>
    <t>AGM-01-008-004</t>
  </si>
  <si>
    <t>AGM-01-008-005</t>
  </si>
  <si>
    <t>AGM-01-008-006</t>
  </si>
  <si>
    <t>AGM-01-008-007</t>
  </si>
  <si>
    <t>AGM-01-008-008</t>
  </si>
  <si>
    <t>AGM-01-008-009</t>
  </si>
  <si>
    <t>AGM-01-008-010</t>
  </si>
  <si>
    <t>AGM-01-008-011</t>
  </si>
  <si>
    <t>AGM-01-008-012</t>
  </si>
  <si>
    <t>AGM-01-008-013</t>
  </si>
  <si>
    <t>AGM-01-008-014</t>
  </si>
  <si>
    <t>AGM-01-008-015</t>
  </si>
  <si>
    <t>AGM-01-008-016</t>
  </si>
  <si>
    <t>AGM-01-008-017</t>
  </si>
  <si>
    <t>AGM-01-008-018</t>
  </si>
  <si>
    <t>AGM-01-008-019</t>
  </si>
  <si>
    <t>AGM-01-008-020</t>
  </si>
  <si>
    <t>AGM-01-008-021</t>
  </si>
  <si>
    <t>AGM-01-008-022</t>
  </si>
  <si>
    <t>AGM-01-008-023</t>
  </si>
  <si>
    <t>AGM-01-008-024</t>
  </si>
  <si>
    <t>AGM-01-008-025</t>
  </si>
  <si>
    <t>AGM-01-008-026</t>
  </si>
  <si>
    <t>AGM-01-008-027</t>
  </si>
  <si>
    <t>AGM-01-008-028</t>
  </si>
  <si>
    <t>AGM-01-009-001</t>
  </si>
  <si>
    <t>AGM-01-009-002</t>
  </si>
  <si>
    <t>AGM-01-009-003</t>
  </si>
  <si>
    <t>AGM-01-009-004</t>
  </si>
  <si>
    <t>AGM-01-009-005</t>
  </si>
  <si>
    <t>AGM-01-009-006</t>
  </si>
  <si>
    <t>AGM-01-009-007</t>
  </si>
  <si>
    <t>AGM-01-009-008</t>
  </si>
  <si>
    <t>AGM-01-009-009</t>
  </si>
  <si>
    <t>AGM-01-009-010</t>
  </si>
  <si>
    <t>AGM-01-009-011</t>
  </si>
  <si>
    <t>AGM-01-009-012</t>
  </si>
  <si>
    <t>AGM-01-009-013</t>
  </si>
  <si>
    <t>AGM-01-009-014</t>
  </si>
  <si>
    <t>AGM-01-009-015</t>
  </si>
  <si>
    <t>AGM-01-009-016</t>
  </si>
  <si>
    <t>AGM-01-009-017</t>
  </si>
  <si>
    <t>AGM-01-009-018</t>
  </si>
  <si>
    <t>AGM-01-009-019</t>
  </si>
  <si>
    <t>AGM-01-009-020</t>
  </si>
  <si>
    <t>AGM-01-009-021</t>
  </si>
  <si>
    <t>AGM-01-009-022</t>
  </si>
  <si>
    <t>AGM-01-009-023</t>
  </si>
  <si>
    <t>AGM-01-009-024</t>
  </si>
  <si>
    <t>AGM-01-009-025</t>
  </si>
  <si>
    <t>AGM-01-009-026</t>
  </si>
  <si>
    <t>AGM-01-009-027</t>
  </si>
  <si>
    <t>AGM-01-009-028</t>
  </si>
  <si>
    <t>AGM-01-009-029</t>
  </si>
  <si>
    <t>AGM-01-009-030</t>
  </si>
  <si>
    <t>AGM-01-009-031</t>
  </si>
  <si>
    <t>AGM-01-009-032</t>
  </si>
  <si>
    <t>AGM-01-009-033</t>
  </si>
  <si>
    <t>AGM-01-009-034</t>
  </si>
  <si>
    <t>AGM-01-009-035</t>
  </si>
  <si>
    <t>AGM-01-009-036</t>
  </si>
  <si>
    <t>AGM-01-009-037</t>
  </si>
  <si>
    <t>AGM-01-009-038</t>
  </si>
  <si>
    <t>AGM-01-009-039</t>
  </si>
  <si>
    <t>AGM-01-009-040</t>
  </si>
  <si>
    <t>AGM-01-009-041</t>
  </si>
  <si>
    <t>AGM-01-009-042</t>
  </si>
  <si>
    <t>AGM-01-009-043</t>
  </si>
  <si>
    <t>AGM-01-009-044</t>
  </si>
  <si>
    <t>AGM-01-009-045</t>
  </si>
  <si>
    <t>AGM-01-009-046</t>
  </si>
  <si>
    <t>AGM-01-009-047</t>
  </si>
  <si>
    <t>AGM-01-009-048</t>
  </si>
  <si>
    <t>AGM-01-009-049</t>
  </si>
  <si>
    <t>AGM-01-009-050</t>
  </si>
  <si>
    <t>AGM-01-009-051</t>
  </si>
  <si>
    <t>AGM-01-009-052</t>
  </si>
  <si>
    <t>AGM-01-009-053</t>
  </si>
  <si>
    <t>AGM-01-009-054</t>
  </si>
  <si>
    <t>AGM-01-009-055</t>
  </si>
  <si>
    <t>AGM-01-010-001</t>
  </si>
  <si>
    <t>AGM-01-010-002</t>
  </si>
  <si>
    <t>AGM-01-010-003</t>
  </si>
  <si>
    <t>AGM-01-010-004</t>
  </si>
  <si>
    <t>AGM-01-010-005</t>
  </si>
  <si>
    <t>AGM-01-010-006</t>
  </si>
  <si>
    <t>AGM-01-010-007</t>
  </si>
  <si>
    <t>AGM-01-010-008</t>
  </si>
  <si>
    <t>AGM-01-010-009</t>
  </si>
  <si>
    <t>AGM-01-010-010</t>
  </si>
  <si>
    <t>AGM-01-010-011</t>
  </si>
  <si>
    <t>AGM-01-010-012</t>
  </si>
  <si>
    <t>AGM-01-010-013</t>
  </si>
  <si>
    <t>AGM-01-010-014</t>
  </si>
  <si>
    <t>AGM-01-010-015</t>
  </si>
  <si>
    <t>AGM-01-010-016</t>
  </si>
  <si>
    <t>AGM-01-011-001</t>
  </si>
  <si>
    <t>AGM-01-011-002</t>
  </si>
  <si>
    <t>AGM-01-011-003</t>
  </si>
  <si>
    <t>AGM-01-011-004</t>
  </si>
  <si>
    <t>AGM-01-011-005</t>
  </si>
  <si>
    <t>AGM-01-011-006</t>
  </si>
  <si>
    <t>AGM-01-011-007</t>
  </si>
  <si>
    <t>AGM-01-011-008</t>
  </si>
  <si>
    <t>AGM-01-011-009</t>
  </si>
  <si>
    <t>AGM-01-011-010</t>
  </si>
  <si>
    <t>AGM-01-011-011</t>
  </si>
  <si>
    <t>AGM-01-011-012</t>
  </si>
  <si>
    <t>AGM-01-011-013</t>
  </si>
  <si>
    <t>AGM-01-011-014</t>
  </si>
  <si>
    <t>AGM-01-011-015</t>
  </si>
  <si>
    <t>AGM-01-011-016</t>
  </si>
  <si>
    <t>AGM-01-012-001</t>
  </si>
  <si>
    <t>AGM-01-012-002</t>
  </si>
  <si>
    <t>AGM-01-012-003</t>
  </si>
  <si>
    <t>AGM-01-012-004</t>
  </si>
  <si>
    <t>AGM-01-012-005</t>
  </si>
  <si>
    <t>AGM-01-012-006</t>
  </si>
  <si>
    <t>AGM-01-012-007</t>
  </si>
  <si>
    <t>AGM-01-012-008</t>
  </si>
  <si>
    <t>AGM-01-012-009</t>
  </si>
  <si>
    <t>AGM-01-012-010</t>
  </si>
  <si>
    <t>AGM-01-012-011</t>
  </si>
  <si>
    <t>AGM-01-012-012</t>
  </si>
  <si>
    <t>AGM-01-012-013</t>
  </si>
  <si>
    <t>AGM-01-015-001</t>
  </si>
  <si>
    <t>AGM-01-015-002</t>
  </si>
  <si>
    <t>AGM-01-015-003</t>
  </si>
  <si>
    <t>AGM-01-015-004</t>
  </si>
  <si>
    <t>AGM-01-015-005</t>
  </si>
  <si>
    <t>AGM-01-015-006</t>
  </si>
  <si>
    <t>AGM-01-015-007</t>
  </si>
  <si>
    <t>AGM-01-015-008</t>
  </si>
  <si>
    <t>AGM-01-015-009</t>
  </si>
  <si>
    <t>AGM-01-015-010</t>
  </si>
  <si>
    <t>AGM-01-015-011</t>
  </si>
  <si>
    <t>AGM-01-015-012</t>
  </si>
  <si>
    <t>AGM-01-015-013</t>
  </si>
  <si>
    <t>AGM-01-015-014</t>
  </si>
  <si>
    <t>AGM-01-015-015</t>
  </si>
  <si>
    <t>AGM-01-015-016</t>
  </si>
  <si>
    <t>AGM-01-016-001</t>
  </si>
  <si>
    <t>AGM-01-016-002</t>
  </si>
  <si>
    <t>AGM-01-016-003</t>
  </si>
  <si>
    <t>AGM-01-016-004</t>
  </si>
  <si>
    <t>AGM-01-016-005</t>
  </si>
  <si>
    <t>AGM-01-016-006</t>
  </si>
  <si>
    <t>AGM-01-016-007</t>
  </si>
  <si>
    <t>AGM-01-016-008</t>
  </si>
  <si>
    <t>AGM-01-016-009</t>
  </si>
  <si>
    <t>AGM-01-016-010</t>
  </si>
  <si>
    <t>AGM-01-016-011</t>
  </si>
  <si>
    <t>AGM-01-016-012</t>
  </si>
  <si>
    <t>AGM-01-016-013</t>
  </si>
  <si>
    <t>AGM-01-016-014</t>
  </si>
  <si>
    <t>AGM-01-016-015</t>
  </si>
  <si>
    <t>AGM-01-016-016</t>
  </si>
  <si>
    <t>AGM-01-017-001</t>
  </si>
  <si>
    <t>AGM-01-017-002</t>
  </si>
  <si>
    <t>AGM-01-017-003</t>
  </si>
  <si>
    <t>AGM-01-017-004</t>
  </si>
  <si>
    <t>AGM-01-017-005</t>
  </si>
  <si>
    <t>AGM-01-017-006</t>
  </si>
  <si>
    <t>AGM-01-017-007</t>
  </si>
  <si>
    <t>AGM-01-017-008</t>
  </si>
  <si>
    <t>AGM-01-017-009</t>
  </si>
  <si>
    <t>AGM-01-018-001</t>
  </si>
  <si>
    <t>AGM-01-018-002</t>
  </si>
  <si>
    <t>AGM-01-018-003</t>
  </si>
  <si>
    <t>AGM-01-018-004</t>
  </si>
  <si>
    <t>AGM-01-018-005</t>
  </si>
  <si>
    <t>AGM-01-018-006</t>
  </si>
  <si>
    <t>AGM-01-018-007</t>
  </si>
  <si>
    <t>AGM-01-018-008</t>
  </si>
  <si>
    <t>AGM-01-018-009</t>
  </si>
  <si>
    <t>AGM-01-018-010</t>
  </si>
  <si>
    <t>AGM-01-018-011</t>
  </si>
  <si>
    <t>AGM-01-018-012</t>
  </si>
  <si>
    <t>AGM-01-018-013</t>
  </si>
  <si>
    <t>AGM-01-019-001</t>
  </si>
  <si>
    <t>AGM-01-019-002</t>
  </si>
  <si>
    <t>AGM-01-019-003</t>
  </si>
  <si>
    <t>AGM-01-019-004</t>
  </si>
  <si>
    <t>AGM-01-019-005</t>
  </si>
  <si>
    <t>AGM-01-019-006</t>
  </si>
  <si>
    <t>AGM-01-019-007</t>
  </si>
  <si>
    <t>AGM-01-019-008</t>
  </si>
  <si>
    <t>AGM-01-020-001</t>
  </si>
  <si>
    <t>AGM-01-020-002</t>
  </si>
  <si>
    <t>AGM-01-020-003</t>
  </si>
  <si>
    <t>AGM-01-020-004</t>
  </si>
  <si>
    <t>AGM-01-020-005</t>
  </si>
  <si>
    <t>AGM-01-020-006</t>
  </si>
  <si>
    <t>AGM-01-020-007</t>
  </si>
  <si>
    <t>AGM-01-020-008</t>
  </si>
  <si>
    <t>AGM-01-021-001</t>
  </si>
  <si>
    <t>AGM-01-021-002</t>
  </si>
  <si>
    <t>AGM-01-021-003</t>
  </si>
  <si>
    <t>AGM-01-021-004</t>
  </si>
  <si>
    <t>AGM-01-021-005</t>
  </si>
  <si>
    <t>AGM-01-021-006</t>
  </si>
  <si>
    <t>AGM-01-021-007</t>
  </si>
  <si>
    <t>AGM-01-021-008</t>
  </si>
  <si>
    <t>AGM-01-022-001</t>
  </si>
  <si>
    <t>AGM-01-022-002</t>
  </si>
  <si>
    <t>AGM-01-022-003</t>
  </si>
  <si>
    <t>AGM-01-022-004</t>
  </si>
  <si>
    <t>AGM-01-022-005</t>
  </si>
  <si>
    <t>AGM-01-022-006</t>
  </si>
  <si>
    <t>AGM-01-022-007</t>
  </si>
  <si>
    <t>AGM-01-022-008</t>
  </si>
  <si>
    <t>AGM-01-022-009</t>
  </si>
  <si>
    <t>AGM-01-022-010</t>
  </si>
  <si>
    <t>AGM-01-022-011</t>
  </si>
  <si>
    <t>AGM-01-022-012</t>
  </si>
  <si>
    <t>AGM-01-022-013</t>
  </si>
  <si>
    <t>AGM-01-023-001</t>
  </si>
  <si>
    <t>AGM-01-023-002</t>
  </si>
  <si>
    <t>AGM-01-023-003</t>
  </si>
  <si>
    <t>AGM-01-023-004</t>
  </si>
  <si>
    <t>AGM-01-023-005</t>
  </si>
  <si>
    <t>AGM-01-023-006</t>
  </si>
  <si>
    <t>AGM-01-023-007</t>
  </si>
  <si>
    <t>AGM-01-023-008</t>
  </si>
  <si>
    <t>AGM-01-023-009</t>
  </si>
  <si>
    <t>AGM-01-023-010</t>
  </si>
  <si>
    <t>AGM-01-023-011</t>
  </si>
  <si>
    <t>AGM-01-023-012</t>
  </si>
  <si>
    <t>AGM-01-023-013</t>
  </si>
  <si>
    <t>AGM-01-023-014</t>
  </si>
  <si>
    <t>AGM-01-023-015</t>
  </si>
  <si>
    <t>AGM-01-023-016</t>
  </si>
  <si>
    <t>AGM-01-023-017</t>
  </si>
  <si>
    <t>AGM-01-023-018</t>
  </si>
  <si>
    <t>AGM-01-023-019</t>
  </si>
  <si>
    <t>AGM-01-023-020</t>
  </si>
  <si>
    <t>AGM-01-023-021</t>
  </si>
  <si>
    <t>AGM-01-023-022</t>
  </si>
  <si>
    <t>AGM-01-023-023</t>
  </si>
  <si>
    <t>AGM-01-023-024</t>
  </si>
  <si>
    <t>AGM-01-023-025</t>
  </si>
  <si>
    <t>AGM-01-023-026</t>
  </si>
  <si>
    <t>AGM-01-023-027</t>
  </si>
  <si>
    <t>AGM-01-023-028</t>
  </si>
  <si>
    <t>AGM-01-023-029</t>
  </si>
  <si>
    <t>AGM-01-023-030</t>
  </si>
  <si>
    <t>AGM-01-023-031</t>
  </si>
  <si>
    <t>AGM-01-023-032</t>
  </si>
  <si>
    <t>AGM-01-023-033</t>
  </si>
  <si>
    <t>AGM-01-023-034</t>
  </si>
  <si>
    <t>AGM-01-023-035</t>
  </si>
  <si>
    <t>AGM-01-023-036</t>
  </si>
  <si>
    <t>AGM-01-023-037</t>
  </si>
  <si>
    <t>AGM-01-023-038</t>
  </si>
  <si>
    <t>AGM-01-023-039</t>
  </si>
  <si>
    <t>AGM-01-023-040</t>
  </si>
  <si>
    <t>AGM-01-023-041</t>
  </si>
  <si>
    <t>AGM-01-023-042</t>
  </si>
  <si>
    <t>AGM-01-023-043</t>
  </si>
  <si>
    <t>AGM-01-023-044</t>
  </si>
  <si>
    <t>AGM-01-023-045</t>
  </si>
  <si>
    <t>AGM-01-023-046</t>
  </si>
  <si>
    <t>AGM-01-023-047</t>
  </si>
  <si>
    <t>AGM-01-023-048</t>
  </si>
  <si>
    <t>AGM-01-023-049</t>
  </si>
  <si>
    <t>AGM-01-023-050</t>
  </si>
  <si>
    <t>AGM-01-023-051</t>
  </si>
  <si>
    <t>AGM-01-023-052</t>
  </si>
  <si>
    <t>AGM-01-023-053</t>
  </si>
  <si>
    <t>AGM-01-023-054</t>
  </si>
  <si>
    <t>AGM-01-023-055</t>
  </si>
  <si>
    <t>AGM-01-023-056</t>
  </si>
  <si>
    <t>AGM-01-023-057</t>
  </si>
  <si>
    <t>AGM-01-023-058</t>
  </si>
  <si>
    <t>AGM-01-023-059</t>
  </si>
  <si>
    <t>AGM-01-024-001</t>
  </si>
  <si>
    <t>AGM-01-024-002</t>
  </si>
  <si>
    <t>AGM-01-024-003</t>
  </si>
  <si>
    <t>AGM-01-024-004</t>
  </si>
  <si>
    <t>AGM-01-024-005</t>
  </si>
  <si>
    <t>AGM-01-024-006</t>
  </si>
  <si>
    <t>AGM-01-024-007</t>
  </si>
  <si>
    <t>AGM-01-024-008</t>
  </si>
  <si>
    <t>AGM-01-024-009</t>
  </si>
  <si>
    <t>AGM-01-024-010</t>
  </si>
  <si>
    <t>AGM-01-024-011</t>
  </si>
  <si>
    <t>AGM-01-024-012</t>
  </si>
  <si>
    <t>AGM-01-024-013</t>
  </si>
  <si>
    <t>AGM-01-024-014</t>
  </si>
  <si>
    <t>AGM-01-024-015</t>
  </si>
  <si>
    <t>AGM-01-024-016</t>
  </si>
  <si>
    <t>AGM-01-024-017</t>
  </si>
  <si>
    <t>AGM-01-024-018</t>
  </si>
  <si>
    <t>AGM-01-024-019</t>
  </si>
  <si>
    <t>AGM-01-024-020</t>
  </si>
  <si>
    <t>AGM-01-024-021</t>
  </si>
  <si>
    <t>AGM-01-024-022</t>
  </si>
  <si>
    <t>AGM-01-024-023</t>
  </si>
  <si>
    <t>AGM-01-024-024</t>
  </si>
  <si>
    <t>AGM-01-024-025</t>
  </si>
  <si>
    <t>AGM-01-024-026</t>
  </si>
  <si>
    <t>AGM-01-024-027</t>
  </si>
  <si>
    <t>AGM-01-024-028</t>
  </si>
  <si>
    <t>AGM-01-024-029</t>
  </si>
  <si>
    <t>AGM-01-024-030</t>
  </si>
  <si>
    <t>AGM-01-024-031</t>
  </si>
  <si>
    <t>AGM-01-024-032</t>
  </si>
  <si>
    <t>AGM-01-024-033</t>
  </si>
  <si>
    <t>AGM-01-024-034</t>
  </si>
  <si>
    <t>AGM-01-024-035</t>
  </si>
  <si>
    <t>AGM-01-024-036</t>
  </si>
  <si>
    <t>AGM-01-024-037</t>
  </si>
  <si>
    <t>AGM-01-024-038</t>
  </si>
  <si>
    <t>AGM-01-024-039</t>
  </si>
  <si>
    <t>AGM-01-024-040</t>
  </si>
  <si>
    <t>AGM-01-024-041</t>
  </si>
  <si>
    <t>AGM-01-024-042</t>
  </si>
  <si>
    <t>AGM-01-024-043</t>
  </si>
  <si>
    <t>AGM-01-024-044</t>
  </si>
  <si>
    <t>AGM-01-024-045</t>
  </si>
  <si>
    <t>AGM-01-024-046</t>
  </si>
  <si>
    <t>AGM-01-024-047</t>
  </si>
  <si>
    <t>AGM-01-024-048</t>
  </si>
  <si>
    <t>AGM-01-024-049</t>
  </si>
  <si>
    <t>AGM-01-024-050</t>
  </si>
  <si>
    <t>AGM-01-024-051</t>
  </si>
  <si>
    <t>AGM-01-024-052</t>
  </si>
  <si>
    <t>AGM-01-024-053</t>
  </si>
  <si>
    <t>AGM-01-024-054</t>
  </si>
  <si>
    <t>AGM-01-024-055</t>
  </si>
  <si>
    <t>AGM-01-025-001</t>
  </si>
  <si>
    <t>AGM-01-025-002</t>
  </si>
  <si>
    <t>AGM-01-025-003</t>
  </si>
  <si>
    <t>AGM-01-025-004</t>
  </si>
  <si>
    <t>AGM-01-025-005</t>
  </si>
  <si>
    <t>AGM-01-025-006</t>
  </si>
  <si>
    <t>AGM-01-025-007</t>
  </si>
  <si>
    <t>AGM-01-025-008</t>
  </si>
  <si>
    <t>AGM-01-025-009</t>
  </si>
  <si>
    <t>AGM-01-025-010</t>
  </si>
  <si>
    <t>AGM-01-025-011</t>
  </si>
  <si>
    <t>AGM-01-025-012</t>
  </si>
  <si>
    <t>AGM-01-025-013</t>
  </si>
  <si>
    <t>AGM-01-025-014</t>
  </si>
  <si>
    <t>AGM-01-025-015</t>
  </si>
  <si>
    <t>AGM-01-025-016</t>
  </si>
  <si>
    <t>AGM-01-025-017</t>
  </si>
  <si>
    <t>AGM-01-025-018</t>
  </si>
  <si>
    <t>AGM-01-025-019</t>
  </si>
  <si>
    <t>AGM-01-025-020</t>
  </si>
  <si>
    <t>AGM-01-025-021</t>
  </si>
  <si>
    <t>AGM-01-025-022</t>
  </si>
  <si>
    <t>AGM-01-025-023</t>
  </si>
  <si>
    <t>AGM-01-025-024</t>
  </si>
  <si>
    <t>AGM-01-025-025</t>
  </si>
  <si>
    <t>AGM-01-025-026</t>
  </si>
  <si>
    <t>AGM-01-025-027</t>
  </si>
  <si>
    <t>AGM-01-025-028</t>
  </si>
  <si>
    <t>AGM-01-025-029</t>
  </si>
  <si>
    <t>AGM-01-025-030</t>
  </si>
  <si>
    <t>AGM-01-025-031</t>
  </si>
  <si>
    <t>AGM-01-025-032</t>
  </si>
  <si>
    <t>AGM-01-025-033</t>
  </si>
  <si>
    <t>AGM-01-025-034</t>
  </si>
  <si>
    <t>AGM-01-025-035</t>
  </si>
  <si>
    <t>AGM-01-025-036</t>
  </si>
  <si>
    <t>AGM-01-025-037</t>
  </si>
  <si>
    <t>AGM-01-025-038</t>
  </si>
  <si>
    <t>AGM-01-025-039</t>
  </si>
  <si>
    <t>AGM-01-025-040</t>
  </si>
  <si>
    <t>AGM-01-025-041</t>
  </si>
  <si>
    <t>AGM-01-025-042</t>
  </si>
  <si>
    <t>AGM-01-025-043</t>
  </si>
  <si>
    <t>AGM-01-025-044</t>
  </si>
  <si>
    <t>AGM-01-025-045</t>
  </si>
  <si>
    <t>AGM-01-025-046</t>
  </si>
  <si>
    <t>AGM-01-025-047</t>
  </si>
  <si>
    <t>AGM-01-025-048</t>
  </si>
  <si>
    <t>AGM-01-025-049</t>
  </si>
  <si>
    <t>AGM-01-025-050</t>
  </si>
  <si>
    <t>AGM-01-025-051</t>
  </si>
  <si>
    <t>AGM-01-026-001</t>
  </si>
  <si>
    <t>AGM-01-026-002</t>
  </si>
  <si>
    <t>AGM-01-026-003</t>
  </si>
  <si>
    <t>AGM-01-026-004</t>
  </si>
  <si>
    <t>AGM-01-026-005</t>
  </si>
  <si>
    <t>AGM-01-026-006</t>
  </si>
  <si>
    <t>AGM-01-026-007</t>
  </si>
  <si>
    <t>AGM-01-026-008</t>
  </si>
  <si>
    <t>AGM-01-026-009</t>
  </si>
  <si>
    <t>AGM-01-026-010</t>
  </si>
  <si>
    <t>AGM-01-026-011</t>
  </si>
  <si>
    <t>AGM-01-026-012</t>
  </si>
  <si>
    <t>AGM-01-026-013</t>
  </si>
  <si>
    <t>AGM-01-026-014</t>
  </si>
  <si>
    <t>AGM-01-026-015</t>
  </si>
  <si>
    <t>AGM-01-026-016</t>
  </si>
  <si>
    <t>AGM-01-026-017</t>
  </si>
  <si>
    <t>AGM-01-026-018</t>
  </si>
  <si>
    <t>AGM-01-026-019</t>
  </si>
  <si>
    <t>AGM-01-026-020</t>
  </si>
  <si>
    <t>AGM-01-026-021</t>
  </si>
  <si>
    <t>AGM-01-026-022</t>
  </si>
  <si>
    <t>AGM-01-026-023</t>
  </si>
  <si>
    <t>AGM-01-026-024</t>
  </si>
  <si>
    <t>AGM-01-026-025</t>
  </si>
  <si>
    <t>AGM-01-026-026</t>
  </si>
  <si>
    <t>AGM-01-026-027</t>
  </si>
  <si>
    <t>AGM-01-026-028</t>
  </si>
  <si>
    <t>AGM-01-026-029</t>
  </si>
  <si>
    <t>AGM-01-026-030</t>
  </si>
  <si>
    <t>AGM-01-026-031</t>
  </si>
  <si>
    <t>AGM-01-026-032</t>
  </si>
  <si>
    <t>AGM-01-026-033</t>
  </si>
  <si>
    <t>AGM-01-026-034</t>
  </si>
  <si>
    <t>AGM-01-026-035</t>
  </si>
  <si>
    <t>AGM-01-026-036</t>
  </si>
  <si>
    <t>AGM-01-026-037</t>
  </si>
  <si>
    <t>AGM-01-026-038</t>
  </si>
  <si>
    <t>AGM-01-026-039</t>
  </si>
  <si>
    <t>AGM-01-026-040</t>
  </si>
  <si>
    <t>AGM-01-026-041</t>
  </si>
  <si>
    <t>AGM-01-026-042</t>
  </si>
  <si>
    <t>AGM-01-026-043</t>
  </si>
  <si>
    <t>AGM-01-026-044</t>
  </si>
  <si>
    <t>AGM-01-026-045</t>
  </si>
  <si>
    <t>AGM-01-026-046</t>
  </si>
  <si>
    <t>AGM-01-026-047</t>
  </si>
  <si>
    <t>AGM-01-027-001</t>
  </si>
  <si>
    <t>AGM-01-027-002</t>
  </si>
  <si>
    <t>AGM-01-027-003</t>
  </si>
  <si>
    <t>AGM-01-027-004</t>
  </si>
  <si>
    <t>AGM-01-027-005</t>
  </si>
  <si>
    <t>AGM-01-027-006</t>
  </si>
  <si>
    <t>AGM-01-027-007</t>
  </si>
  <si>
    <t>AGM-01-027-008</t>
  </si>
  <si>
    <t>AGM-01-027-009</t>
  </si>
  <si>
    <t>AGM-01-027-010</t>
  </si>
  <si>
    <t>AGM-01-027-011</t>
  </si>
  <si>
    <t>AGM-01-027-012</t>
  </si>
  <si>
    <t>AGM-01-027-013</t>
  </si>
  <si>
    <t>AGM-01-027-014</t>
  </si>
  <si>
    <t>AGM-01-027-015</t>
  </si>
  <si>
    <t>AGM-01-027-016</t>
  </si>
  <si>
    <t>AGM-01-027-017</t>
  </si>
  <si>
    <t>AGM-01-027-018</t>
  </si>
  <si>
    <t>AGM-01-027-019</t>
  </si>
  <si>
    <t>AGM-01-027-020</t>
  </si>
  <si>
    <t>AGM-01-027-021</t>
  </si>
  <si>
    <t>AGM-01-027-022</t>
  </si>
  <si>
    <t>AGM-01-027-023</t>
  </si>
  <si>
    <t>AGM-01-027-024</t>
  </si>
  <si>
    <t>AGM-01-027-025</t>
  </si>
  <si>
    <t>AGM-01-027-026</t>
  </si>
  <si>
    <t>AGM-01-027-027</t>
  </si>
  <si>
    <t>AGM-01-027-028</t>
  </si>
  <si>
    <t>AGM-01-027-029</t>
  </si>
  <si>
    <t>AGM-01-027-030</t>
  </si>
  <si>
    <t>AGM-01-027-031</t>
  </si>
  <si>
    <t>AGM-01-027-032</t>
  </si>
  <si>
    <t>AGM-01-027-033</t>
  </si>
  <si>
    <t>AGM-01-027-034</t>
  </si>
  <si>
    <t>AGM-01-027-035</t>
  </si>
  <si>
    <t>AGM-01-027-036</t>
  </si>
  <si>
    <t>AGM-01-027-037</t>
  </si>
  <si>
    <t>AGM-01-027-038</t>
  </si>
  <si>
    <t>AGM-01-027-039</t>
  </si>
  <si>
    <t>AGM-01-027-040</t>
  </si>
  <si>
    <t>AGM-01-027-041</t>
  </si>
  <si>
    <t>AGM-01-027-042</t>
  </si>
  <si>
    <t>AGM-01-027-043</t>
  </si>
  <si>
    <t>AGM-01-028-001</t>
  </si>
  <si>
    <t>AGM-01-028-002</t>
  </si>
  <si>
    <t>AGM-01-028-003</t>
  </si>
  <si>
    <t>AGM-01-028-004</t>
  </si>
  <si>
    <t>AGM-01-028-005</t>
  </si>
  <si>
    <t>AGM-01-028-006</t>
  </si>
  <si>
    <t>AGM-01-028-007</t>
  </si>
  <si>
    <t>AGM-01-028-008</t>
  </si>
  <si>
    <t>AGM-01-028-009</t>
  </si>
  <si>
    <t>AGM-01-028-010</t>
  </si>
  <si>
    <t>AGM-01-028-011</t>
  </si>
  <si>
    <t>AGM-01-028-012</t>
  </si>
  <si>
    <t>AGM-01-028-013</t>
  </si>
  <si>
    <t>AGM-01-028-014</t>
  </si>
  <si>
    <t>AGM-01-028-015</t>
  </si>
  <si>
    <t>AGM-01-028-016</t>
  </si>
  <si>
    <t>AGM-01-028-017</t>
  </si>
  <si>
    <t>AGM-01-028-018</t>
  </si>
  <si>
    <t>AGM-01-028-019</t>
  </si>
  <si>
    <t>AGM-01-028-020</t>
  </si>
  <si>
    <t>AGM-01-028-021</t>
  </si>
  <si>
    <t>AGM-01-028-022</t>
  </si>
  <si>
    <t>AGM-01-028-023</t>
  </si>
  <si>
    <t>AGM-01-028-024</t>
  </si>
  <si>
    <t>AGM-01-028-025</t>
  </si>
  <si>
    <t>AGM-01-028-026</t>
  </si>
  <si>
    <t>AGM-01-028-027</t>
  </si>
  <si>
    <t>AGM-01-028-028</t>
  </si>
  <si>
    <t>AGM-01-028-029</t>
  </si>
  <si>
    <t>AGM-01-028-030</t>
  </si>
  <si>
    <t>AGM-01-028-031</t>
  </si>
  <si>
    <t>AGM-01-028-032</t>
  </si>
  <si>
    <t>AGM-01-028-033</t>
  </si>
  <si>
    <t>AGM-01-028-034</t>
  </si>
  <si>
    <t>AGM-01-028-035</t>
  </si>
  <si>
    <t>AGM-01-028-036</t>
  </si>
  <si>
    <t>AGM-01-028-037</t>
  </si>
  <si>
    <t>AGM-01-028-038</t>
  </si>
  <si>
    <t>AGM-01-028-039</t>
  </si>
  <si>
    <t>AGM-01-028-040</t>
  </si>
  <si>
    <t>AGM-01-029-001</t>
  </si>
  <si>
    <t>AGM-01-029-002</t>
  </si>
  <si>
    <t>AGM-01-029-003</t>
  </si>
  <si>
    <t>AGM-01-029-004</t>
  </si>
  <si>
    <t>AGM-01-029-005</t>
  </si>
  <si>
    <t>AGM-01-029-006</t>
  </si>
  <si>
    <t>AGM-01-029-007</t>
  </si>
  <si>
    <t>AGM-01-029-008</t>
  </si>
  <si>
    <t>AGM-01-029-009</t>
  </si>
  <si>
    <t>AGM-01-029-010</t>
  </si>
  <si>
    <t>AGM-01-029-011</t>
  </si>
  <si>
    <t>AGM-01-029-012</t>
  </si>
  <si>
    <t>AGM-01-029-013</t>
  </si>
  <si>
    <t>AGM-01-029-014</t>
  </si>
  <si>
    <t>AGM-01-029-015</t>
  </si>
  <si>
    <t>AGM-01-029-016</t>
  </si>
  <si>
    <t>AGM-01-029-017</t>
  </si>
  <si>
    <t>AGM-01-029-018</t>
  </si>
  <si>
    <t>AGM-01-029-019</t>
  </si>
  <si>
    <t>AGM-01-029-020</t>
  </si>
  <si>
    <t>AGM-01-029-021</t>
  </si>
  <si>
    <t>AGM-01-029-022</t>
  </si>
  <si>
    <t>AGM-01-029-023</t>
  </si>
  <si>
    <t>AGM-01-029-024</t>
  </si>
  <si>
    <t>AGM-01-029-025</t>
  </si>
  <si>
    <t>AGM-01-029-026</t>
  </si>
  <si>
    <t>AGM-01-029-027</t>
  </si>
  <si>
    <t>AGM-01-029-028</t>
  </si>
  <si>
    <t>AGM-01-029-029</t>
  </si>
  <si>
    <t>AGM-01-029-030</t>
  </si>
  <si>
    <t>AGM-01-029-031</t>
  </si>
  <si>
    <t>AGM-01-029-032</t>
  </si>
  <si>
    <t>AGM-01-029-033</t>
  </si>
  <si>
    <t>AGM-01-029-034</t>
  </si>
  <si>
    <t>AGM-01-029-035</t>
  </si>
  <si>
    <t>AGM-01-029-036</t>
  </si>
  <si>
    <t>AGM-01-030-001</t>
  </si>
  <si>
    <t>AGM-01-030-002</t>
  </si>
  <si>
    <t>AGM-01-030-003</t>
  </si>
  <si>
    <t>AGM-01-030-004</t>
  </si>
  <si>
    <t>AGM-01-030-005</t>
  </si>
  <si>
    <t>AGM-01-030-006</t>
  </si>
  <si>
    <t>AGM-01-030-007</t>
  </si>
  <si>
    <t>AGM-01-030-008</t>
  </si>
  <si>
    <t>AGM-01-031-001</t>
  </si>
  <si>
    <t>AGM-01-031-002</t>
  </si>
  <si>
    <t>AGM-01-031-003</t>
  </si>
  <si>
    <t>AGM-01-031-004</t>
  </si>
  <si>
    <t>AGM-01-031-005</t>
  </si>
  <si>
    <t>AGM-01-031-006</t>
  </si>
  <si>
    <t>AGM-01-031-007</t>
  </si>
  <si>
    <t>AGM-01-031-008</t>
  </si>
  <si>
    <t>AGM-01-032-001</t>
  </si>
  <si>
    <t>AGM-01-032-002</t>
  </si>
  <si>
    <t>AGM-01-032-003</t>
  </si>
  <si>
    <t>AGM-01-032-004</t>
  </si>
  <si>
    <t>AGM-01-032-005</t>
  </si>
  <si>
    <t>AGM-01-032-006</t>
  </si>
  <si>
    <t>AGM-01-032-007</t>
  </si>
  <si>
    <t>AGM-01-032-008</t>
  </si>
  <si>
    <t>AGM-01-033-001</t>
  </si>
  <si>
    <t>AGM-01-033-002</t>
  </si>
  <si>
    <t>AGM-01-033-003</t>
  </si>
  <si>
    <t>AGM-01-033-004</t>
  </si>
  <si>
    <t>AGM-01-033-005</t>
  </si>
  <si>
    <t>AGM-01-033-006</t>
  </si>
  <si>
    <t>AGM-01-033-007</t>
  </si>
  <si>
    <t>AGM-01-033-008</t>
  </si>
  <si>
    <t>AGM-01-033-009</t>
  </si>
  <si>
    <t>AGM-01-033-010</t>
  </si>
  <si>
    <t>AGM-01-033-011</t>
  </si>
  <si>
    <t>AGM-01-034-001</t>
  </si>
  <si>
    <t>AGM-01-034-002</t>
  </si>
  <si>
    <t>AGM-01-034-003</t>
  </si>
  <si>
    <t>AGM-01-034-004</t>
  </si>
  <si>
    <t>AGM-01-034-005</t>
  </si>
  <si>
    <t>AGM-01-034-006</t>
  </si>
  <si>
    <t>AGM-01-034-007</t>
  </si>
  <si>
    <t>AGM-01-035-001</t>
  </si>
  <si>
    <t>AGM-01-035-002</t>
  </si>
  <si>
    <t>AGM-01-035-003</t>
  </si>
  <si>
    <t>AGM-01-035-004</t>
  </si>
  <si>
    <t>AGM-01-036-001</t>
  </si>
  <si>
    <t>AGM-01-036-002</t>
  </si>
  <si>
    <t>AGM-01-036-003</t>
  </si>
  <si>
    <t>AGM-01-036-004</t>
  </si>
  <si>
    <t>AGM-01-036-005</t>
  </si>
  <si>
    <t>AGM-01-036-006</t>
  </si>
  <si>
    <t>AGM-01-037-001</t>
  </si>
  <si>
    <t>AGM-01-037-002</t>
  </si>
  <si>
    <t>AGM-01-037-003</t>
  </si>
  <si>
    <t>AGM-01-037-004</t>
  </si>
  <si>
    <t>AGM-01-038-001</t>
  </si>
  <si>
    <t>AGM-01-038-002</t>
  </si>
  <si>
    <t>AGM-01-038-003</t>
  </si>
  <si>
    <t>AGM-01-038-004</t>
  </si>
  <si>
    <t>AGM-01-038-005</t>
  </si>
  <si>
    <t>AGM-01-038-006</t>
  </si>
  <si>
    <t>AGM-01-038-007</t>
  </si>
  <si>
    <t>AGM-01-038-008</t>
  </si>
  <si>
    <t>AGM-01-038-009</t>
  </si>
  <si>
    <t>AGM-01-038-010</t>
  </si>
  <si>
    <t>AGM-01-038-011</t>
  </si>
  <si>
    <t>AGM-01-038-012</t>
  </si>
  <si>
    <t>AGM-01-039-001</t>
  </si>
  <si>
    <t>AGM-01-039-002</t>
  </si>
  <si>
    <t>AGM-01-039-003</t>
  </si>
  <si>
    <t>AGM-01-039-004</t>
  </si>
  <si>
    <t>AGM-01-039-005</t>
  </si>
  <si>
    <t>AGM-01-039-006</t>
  </si>
  <si>
    <t>AGM-01-039-007</t>
  </si>
  <si>
    <t>AGM-01-039-008</t>
  </si>
  <si>
    <t>AGM-01-039-009</t>
  </si>
  <si>
    <t>AGM-01-039-010</t>
  </si>
  <si>
    <t>AGM-01-039-011</t>
  </si>
  <si>
    <t>AGM-01-039-012</t>
  </si>
  <si>
    <t>AGM-01-040-001</t>
  </si>
  <si>
    <t>AGM-01-040-002</t>
  </si>
  <si>
    <t>AGM-01-040-003</t>
  </si>
  <si>
    <t>AGM-01-040-004</t>
  </si>
  <si>
    <t>AGM-01-040-005</t>
  </si>
  <si>
    <t>AGM-01-040-006</t>
  </si>
  <si>
    <t>AGM-01-040-007</t>
  </si>
  <si>
    <t>AGM-01-040-008</t>
  </si>
  <si>
    <t>AGM-01-040-009</t>
  </si>
  <si>
    <t>AGM-01-040-010</t>
  </si>
  <si>
    <t>AGM-01-040-011</t>
  </si>
  <si>
    <t>AGM-01-040-012</t>
  </si>
  <si>
    <t>AGM-01-041-001</t>
  </si>
  <si>
    <t>AGM-01-041-002</t>
  </si>
  <si>
    <t>AGM-01-041-003</t>
  </si>
  <si>
    <t>AGM-01-041-004</t>
  </si>
  <si>
    <t>AGM-01-041-005</t>
  </si>
  <si>
    <t>AGM-01-041-006</t>
  </si>
  <si>
    <t>AGM-01-041-007</t>
  </si>
  <si>
    <t>AGM-01-041-008</t>
  </si>
  <si>
    <t>AGM-01-041-009</t>
  </si>
  <si>
    <t>AGM-01-041-010</t>
  </si>
  <si>
    <t>AGM-01-041-011</t>
  </si>
  <si>
    <t>AGM-01-041-012</t>
  </si>
  <si>
    <t>AGM-01-042-001</t>
  </si>
  <si>
    <t>AGM-01-042-002</t>
  </si>
  <si>
    <t>AGM-01-042-003</t>
  </si>
  <si>
    <t>AGM-01-042-004</t>
  </si>
  <si>
    <t>AGM-01-042-005</t>
  </si>
  <si>
    <t>AGM-01-042-006</t>
  </si>
  <si>
    <t>AGM-01-042-007</t>
  </si>
  <si>
    <t>AGM-01-042-008</t>
  </si>
  <si>
    <t>AGM-01-042-009</t>
  </si>
  <si>
    <t>AGM-01-042-010</t>
  </si>
  <si>
    <t>AGM-01-042-011</t>
  </si>
  <si>
    <t>AGM-01-042-012</t>
  </si>
  <si>
    <t>AGM-01-043-001</t>
  </si>
  <si>
    <t>AGM-01-043-002</t>
  </si>
  <si>
    <t>AGM-01-043-003</t>
  </si>
  <si>
    <t>AGM-01-043-004</t>
  </si>
  <si>
    <t>AGM-01-043-005</t>
  </si>
  <si>
    <t>AGM-01-043-006</t>
  </si>
  <si>
    <t>AGM-01-043-007</t>
  </si>
  <si>
    <t>AGM-01-043-008</t>
  </si>
  <si>
    <t>AGM-01-043-009</t>
  </si>
  <si>
    <t>AGM-01-043-010</t>
  </si>
  <si>
    <t>AGM-01-043-011</t>
  </si>
  <si>
    <t>AGM-01-043-012</t>
  </si>
  <si>
    <t>AGM-01-045-001</t>
  </si>
  <si>
    <t>AGM-01-045-002</t>
  </si>
  <si>
    <t>AGM-01-045-003</t>
  </si>
  <si>
    <t>AGM-01-045-004</t>
  </si>
  <si>
    <t>AGM-01-045-005</t>
  </si>
  <si>
    <t>AGM-01-045-006</t>
  </si>
  <si>
    <t>AGM-01-045-007</t>
  </si>
  <si>
    <t>AGM-01-045-008</t>
  </si>
  <si>
    <t>AGM-01-045-009</t>
  </si>
  <si>
    <t>AGM-01-045-010</t>
  </si>
  <si>
    <t>AGM-01-045-011</t>
  </si>
  <si>
    <t>AGM-01-045-012</t>
  </si>
  <si>
    <t>AGM-01-046-001</t>
  </si>
  <si>
    <t>AGM-01-046-002</t>
  </si>
  <si>
    <t>AGM-01-046-003</t>
  </si>
  <si>
    <t>AGM-01-046-004</t>
  </si>
  <si>
    <t>AGM-01-046-005</t>
  </si>
  <si>
    <t>AGM-01-046-006</t>
  </si>
  <si>
    <t>AGM-01-046-007</t>
  </si>
  <si>
    <t>AGM-01-046-008</t>
  </si>
  <si>
    <t>AGM-01-046-009</t>
  </si>
  <si>
    <t>AGM-01-046-010</t>
  </si>
  <si>
    <t>AGM-01-047-001</t>
  </si>
  <si>
    <t>AGM-01-047-002</t>
  </si>
  <si>
    <t>AGM-01-047-003</t>
  </si>
  <si>
    <t>AGM-01-047-004</t>
  </si>
  <si>
    <t>AGM-01-047-005</t>
  </si>
  <si>
    <t>AGM-01-047-006</t>
  </si>
  <si>
    <t>AGM-01-047-007</t>
  </si>
  <si>
    <t>AGM-01-047-008</t>
  </si>
  <si>
    <t>AGM-01-047-009</t>
  </si>
  <si>
    <t>AGM-01-047-010</t>
  </si>
  <si>
    <t>AGM-01-048-001</t>
  </si>
  <si>
    <t>AGM-01-048-002</t>
  </si>
  <si>
    <t>AGM-01-048-003</t>
  </si>
  <si>
    <t>AGM-01-048-004</t>
  </si>
  <si>
    <t>AGM-01-048-005</t>
  </si>
  <si>
    <t>AGM-01-048-006</t>
  </si>
  <si>
    <t>AGM-01-048-007</t>
  </si>
  <si>
    <t>AGM-01-048-008</t>
  </si>
  <si>
    <t>AGM-01-048-009</t>
  </si>
  <si>
    <t>AGM-01-048-010</t>
  </si>
  <si>
    <t>AGM-01-048-011</t>
  </si>
  <si>
    <t>AGM-01-048-012</t>
  </si>
  <si>
    <t>AGM-01-048-013</t>
  </si>
  <si>
    <t>AGM-01-048-014</t>
  </si>
  <si>
    <t>AGM-01-048-015</t>
  </si>
  <si>
    <t>AGM-01-048-016</t>
  </si>
  <si>
    <t>AGM-01-049-001</t>
  </si>
  <si>
    <t>AGM-01-049-002</t>
  </si>
  <si>
    <t>AGM-01-049-003</t>
  </si>
  <si>
    <t>AGM-01-049-004</t>
  </si>
  <si>
    <t>AGM-01-049-005</t>
  </si>
  <si>
    <t>AGM-01-049-006</t>
  </si>
  <si>
    <t>AGM-01-049-007</t>
  </si>
  <si>
    <t>AGM-01-049-008</t>
  </si>
  <si>
    <t>AGM-01-049-009</t>
  </si>
  <si>
    <t>AGM-01-049-010</t>
  </si>
  <si>
    <t>AGM-01-049-011</t>
  </si>
  <si>
    <t>AGM-01-049-012</t>
  </si>
  <si>
    <t>AGM-01-049-013</t>
  </si>
  <si>
    <t>AGM-01-049-014</t>
  </si>
  <si>
    <t>AGM-01-049-015</t>
  </si>
  <si>
    <t>AGM-01-049-016</t>
  </si>
  <si>
    <t>AGM-01-049-017</t>
  </si>
  <si>
    <t>AGM-01-049-018</t>
  </si>
  <si>
    <t>AGM-01-050-001</t>
  </si>
  <si>
    <t>AGM-01-050-002</t>
  </si>
  <si>
    <t>AGM-01-050-003</t>
  </si>
  <si>
    <t>AGM-01-050-004</t>
  </si>
  <si>
    <t>AGM-01-050-005</t>
  </si>
  <si>
    <t>AGM-01-050-006</t>
  </si>
  <si>
    <t>AGM-01-050-007</t>
  </si>
  <si>
    <t>AGM-01-050-008</t>
  </si>
  <si>
    <t>AGM-01-050-009</t>
  </si>
  <si>
    <t>AGM-01-050-010</t>
  </si>
  <si>
    <t>AGM-01-050-011</t>
  </si>
  <si>
    <t>AGM-01-050-012</t>
  </si>
  <si>
    <t>AGM-01-050-013</t>
  </si>
  <si>
    <t>AGM-01-050-014</t>
  </si>
  <si>
    <t>AGM-01-050-015</t>
  </si>
  <si>
    <t>AGM-01-050-016</t>
  </si>
  <si>
    <t>AGM-01-051-001</t>
  </si>
  <si>
    <t>AGM-01-051-002</t>
  </si>
  <si>
    <t>AGM-01-051-003</t>
  </si>
  <si>
    <t>AGM-01-051-004</t>
  </si>
  <si>
    <t>ESE-01-021-001</t>
  </si>
  <si>
    <t>Batch 4 2025</t>
  </si>
  <si>
    <t>Duplex</t>
  </si>
  <si>
    <t>SLANT / BEACHSIDE SUN</t>
  </si>
  <si>
    <t>ESE-01-021-002</t>
  </si>
  <si>
    <t>FLAT / BEACHSIDE SUN</t>
  </si>
  <si>
    <t>ESE-01-021-003</t>
  </si>
  <si>
    <t>ESE-01-021-004</t>
  </si>
  <si>
    <t>ESE-01-021-005</t>
  </si>
  <si>
    <t>SLANT / HORIZON SUN</t>
  </si>
  <si>
    <t>ESE-01-021-006</t>
  </si>
  <si>
    <t>FLAT / HORIZON SUN</t>
  </si>
  <si>
    <t>ESE-01-021-007</t>
  </si>
  <si>
    <t>Batch 5 2025</t>
  </si>
  <si>
    <t>ESE-01-021-008</t>
  </si>
  <si>
    <t>ESE-01-021-009</t>
  </si>
  <si>
    <t>ESE-01-021-010</t>
  </si>
  <si>
    <t>ESE-01-021-011</t>
  </si>
  <si>
    <t>ESE-01-021-012</t>
  </si>
  <si>
    <t>ESE-01-021-013</t>
  </si>
  <si>
    <t>ESE-01-021-014</t>
  </si>
  <si>
    <t>ESE-01-021-015</t>
  </si>
  <si>
    <t>ESE-01-021-016</t>
  </si>
  <si>
    <t>ESE-01-021-017</t>
  </si>
  <si>
    <t>ESE-01-021-018</t>
  </si>
  <si>
    <t>ESE-01-021-019</t>
  </si>
  <si>
    <t>ESE-01-021-020</t>
  </si>
  <si>
    <t>ESE-01-021-021</t>
  </si>
  <si>
    <t>ESE-01-021-022</t>
  </si>
  <si>
    <t>ESE-01-021-023</t>
  </si>
  <si>
    <t>Duplex - MODEL UNIT</t>
  </si>
  <si>
    <t>ESE-01-021-024</t>
  </si>
  <si>
    <t>ESE-01-021-025</t>
  </si>
  <si>
    <t>ESE-01-021-026</t>
  </si>
  <si>
    <t>ESE-01-021-027</t>
  </si>
  <si>
    <t>ESE-01-022-001</t>
  </si>
  <si>
    <t>ESE-01-022-002</t>
  </si>
  <si>
    <t>Batch 1 2025</t>
  </si>
  <si>
    <t>ESE-01-022-003</t>
  </si>
  <si>
    <t>ESE-01-022-004</t>
  </si>
  <si>
    <t>ESE-01-022-005</t>
  </si>
  <si>
    <t>ESE-01-022-006</t>
  </si>
  <si>
    <t>Batch 2 2025</t>
  </si>
  <si>
    <t>ESE-01-022-007</t>
  </si>
  <si>
    <t>ESE-01-022-008</t>
  </si>
  <si>
    <t>ESE-01-022-009</t>
  </si>
  <si>
    <t>ESE-01-022-010</t>
  </si>
  <si>
    <t>ESE-01-022-011</t>
  </si>
  <si>
    <t>ESE-01-022-012</t>
  </si>
  <si>
    <t>ESE-01-022-013</t>
  </si>
  <si>
    <t>ESE-01-022-014</t>
  </si>
  <si>
    <t>Batch 3 2025</t>
  </si>
  <si>
    <t>ESE-01-022-015</t>
  </si>
  <si>
    <t>ESE-01-022-016</t>
  </si>
  <si>
    <t>ESE-01-022-017</t>
  </si>
  <si>
    <t>ESE-01-022-018</t>
  </si>
  <si>
    <t>ESE-01-022-019</t>
  </si>
  <si>
    <t>ESE-01-022-020</t>
  </si>
  <si>
    <t>ESE-01-022-021</t>
  </si>
  <si>
    <t>ESE-01-022-022</t>
  </si>
  <si>
    <t>ESE-01-022-023</t>
  </si>
  <si>
    <t>ESE-01-022-024</t>
  </si>
  <si>
    <t>ESE-01-022-025</t>
  </si>
  <si>
    <t>ESE-01-022-026</t>
  </si>
  <si>
    <t>ESE-01-022-027</t>
  </si>
  <si>
    <t>ESE-01-022-028</t>
  </si>
  <si>
    <t>ESE-01-022-029</t>
  </si>
  <si>
    <t>SLANT / NA</t>
  </si>
  <si>
    <t>ESE-01-022-030</t>
  </si>
  <si>
    <t>ESE-01-022-031</t>
  </si>
  <si>
    <t>ESE-01-022-032</t>
  </si>
  <si>
    <t>ESE-01-022-033</t>
  </si>
  <si>
    <t>ESE-01-022-034</t>
  </si>
  <si>
    <t>ESE-01-022-035</t>
  </si>
  <si>
    <t>ESE-01-022-036</t>
  </si>
  <si>
    <t>ESE-01-022-043</t>
  </si>
  <si>
    <t>ESE-01-022-044</t>
  </si>
  <si>
    <t>ESE-01-023-001</t>
  </si>
  <si>
    <t>ESE-01-023-002</t>
  </si>
  <si>
    <t>ESE-01-023-003</t>
  </si>
  <si>
    <t>ESE-01-023-004</t>
  </si>
  <si>
    <t>ESE-01-023-005</t>
  </si>
  <si>
    <t>ESE-01-023-006</t>
  </si>
  <si>
    <t>ESE-01-023-007</t>
  </si>
  <si>
    <t>ESE-01-023-008</t>
  </si>
  <si>
    <t>ESE-01-023-009</t>
  </si>
  <si>
    <t>ESE-01-023-010</t>
  </si>
  <si>
    <t>ESE-01-023-011</t>
  </si>
  <si>
    <t>ESE-01-023-012</t>
  </si>
  <si>
    <t>ESE-01-023-013</t>
  </si>
  <si>
    <t>ESE-01-023-014</t>
  </si>
  <si>
    <t>ESE-01-023-015</t>
  </si>
  <si>
    <t>ESE-01-023-016</t>
  </si>
  <si>
    <t>ESE-01-023-017</t>
  </si>
  <si>
    <t>ESE-01-023-018</t>
  </si>
  <si>
    <t>ESE-01-023-019</t>
  </si>
  <si>
    <t>ESE-01-023-020</t>
  </si>
  <si>
    <t>ESE-01-023-021</t>
  </si>
  <si>
    <t>ESE-01-023-022</t>
  </si>
  <si>
    <t>ESE-01-023-023</t>
  </si>
  <si>
    <t>ESE-01-023-024</t>
  </si>
  <si>
    <t>ESE-01-023-025</t>
  </si>
  <si>
    <t>ESE-01-023-026</t>
  </si>
  <si>
    <t>ESE-01-023-027</t>
  </si>
  <si>
    <t>ESE-01-023-028</t>
  </si>
  <si>
    <t>ESE-01-023-029</t>
  </si>
  <si>
    <t>ESE-01-023-030</t>
  </si>
  <si>
    <t>ESE-01-023-031</t>
  </si>
  <si>
    <t>ESE-01-023-032</t>
  </si>
  <si>
    <t>ESE-01-024-001</t>
  </si>
  <si>
    <t>ESE-01-024-002</t>
  </si>
  <si>
    <t>ESE-01-024-003</t>
  </si>
  <si>
    <t>ESE-01-024-004</t>
  </si>
  <si>
    <t>ESE-01-024-005</t>
  </si>
  <si>
    <t>ESE-01-024-006</t>
  </si>
  <si>
    <t>ESE-01-024-007</t>
  </si>
  <si>
    <t>ESE-01-024-008</t>
  </si>
  <si>
    <t>ESE-01-024-009</t>
  </si>
  <si>
    <t>ESE-01-024-010</t>
  </si>
  <si>
    <t>ESE-01-024-011</t>
  </si>
  <si>
    <t>ESE-01-024-015</t>
  </si>
  <si>
    <t>ESE-01-024-016</t>
  </si>
  <si>
    <t>ESE-01-024-017</t>
  </si>
  <si>
    <t>ESE-01-024-018</t>
  </si>
  <si>
    <t>ESE-01-024-019</t>
  </si>
  <si>
    <t>ESE-01-024-020</t>
  </si>
  <si>
    <t>ESE-01-024-021</t>
  </si>
  <si>
    <t>ESE-01-024-022</t>
  </si>
  <si>
    <t>ESE-01-024-023</t>
  </si>
  <si>
    <t>ESE-01-026-001</t>
  </si>
  <si>
    <t>TH-END - MU</t>
  </si>
  <si>
    <t>0 / 0</t>
  </si>
  <si>
    <t>ESE-01-026-002</t>
  </si>
  <si>
    <t>TH-INNER - MU</t>
  </si>
  <si>
    <t>ESE-01-026-003</t>
  </si>
  <si>
    <t>ESE-01-026-004</t>
  </si>
  <si>
    <t>ESE-01-026-005</t>
  </si>
  <si>
    <t>ESE-01-026-006</t>
  </si>
  <si>
    <t>ESE-01-026-007</t>
  </si>
  <si>
    <t>ESE-01-026-008</t>
  </si>
  <si>
    <t>ESE-01-026-009</t>
  </si>
  <si>
    <t>ESE-01-026-010</t>
  </si>
  <si>
    <t>ESE-01-026-011</t>
  </si>
  <si>
    <t>ESE-01-026-012</t>
  </si>
  <si>
    <t>ESE-01-026-013</t>
  </si>
  <si>
    <t>ESE-01-026-014</t>
  </si>
  <si>
    <t>ESE-01-026-015</t>
  </si>
  <si>
    <t>ESE-01-026-020</t>
  </si>
  <si>
    <t>ESE-01-027-001</t>
  </si>
  <si>
    <t>ESE-01-027-002</t>
  </si>
  <si>
    <t>ESE-01-027-003</t>
  </si>
  <si>
    <t>ESE-01-027-004</t>
  </si>
  <si>
    <t>ESE-01-027-005</t>
  </si>
  <si>
    <t>ESE-01-027-006</t>
  </si>
  <si>
    <t>ESE-01-027-007</t>
  </si>
  <si>
    <t>ESE-01-027-008</t>
  </si>
  <si>
    <t>ESE-01-027-009</t>
  </si>
  <si>
    <t>ESE-01-027-010</t>
  </si>
  <si>
    <t>ESE-01-027-011</t>
  </si>
  <si>
    <t>ESE-01-027-015</t>
  </si>
  <si>
    <t>ESE-01-027-016</t>
  </si>
  <si>
    <t>ESE-01-027-017</t>
  </si>
  <si>
    <t>ESE-01-027-018</t>
  </si>
  <si>
    <t>ESE-01-027-019</t>
  </si>
  <si>
    <t>ESE-01-027-020</t>
  </si>
  <si>
    <t>ESE-01-027-021</t>
  </si>
  <si>
    <t>ESE-01-028-001</t>
  </si>
  <si>
    <t>ESE-01-028-002</t>
  </si>
  <si>
    <t>ESE-01-028-003</t>
  </si>
  <si>
    <t>ESE-01-029-001</t>
  </si>
  <si>
    <t>ESE-01-029-002</t>
  </si>
  <si>
    <t>ESE-01-029-004</t>
  </si>
  <si>
    <t>ESE-01-029-005</t>
  </si>
  <si>
    <t>ESE-01-029-006</t>
  </si>
  <si>
    <t>ESE-01-029-007</t>
  </si>
  <si>
    <t>ESE-01-029-008</t>
  </si>
  <si>
    <t>ESE-01-030-001</t>
  </si>
  <si>
    <t>ESE-01-030-002</t>
  </si>
  <si>
    <t>ESE-01-030-003</t>
  </si>
  <si>
    <t>ESE-01-030-004</t>
  </si>
  <si>
    <t>ESE-01-030-005</t>
  </si>
  <si>
    <t>ESE-01-030-007</t>
  </si>
  <si>
    <t>ESE-01-030-008</t>
  </si>
  <si>
    <t>ESE-01-030-009</t>
  </si>
  <si>
    <t>ESE-01-030-010</t>
  </si>
  <si>
    <t>ESE-01-030-011</t>
  </si>
  <si>
    <t>ESE-01-030-013</t>
  </si>
  <si>
    <t>ESE-01-031-001</t>
  </si>
  <si>
    <t>ESE-01-031-002</t>
  </si>
  <si>
    <t>2024 Batch</t>
  </si>
  <si>
    <t>ESE-01-031-003</t>
  </si>
  <si>
    <t>ESE-01-031-004</t>
  </si>
  <si>
    <t>ESE-01-031-005</t>
  </si>
  <si>
    <t>ESE-01-031-006</t>
  </si>
  <si>
    <t>ESE-01-031-009</t>
  </si>
  <si>
    <t>ESE-01-031-010</t>
  </si>
  <si>
    <t>ESE-01-031-011</t>
  </si>
  <si>
    <t>ESE-01-031-013</t>
  </si>
  <si>
    <t>ESE-01-031-015</t>
  </si>
  <si>
    <t>ESE-01-031-016</t>
  </si>
  <si>
    <t>ESE-01-031-017</t>
  </si>
  <si>
    <t>ESE-01-031-019</t>
  </si>
  <si>
    <t>ESE-01-032-001</t>
  </si>
  <si>
    <t>ESE-01-032-002</t>
  </si>
  <si>
    <t>ESE-01-032-004</t>
  </si>
  <si>
    <t>ESE-01-032-005</t>
  </si>
  <si>
    <t>ESE-01-032-006</t>
  </si>
  <si>
    <t>ESE-01-032-007</t>
  </si>
  <si>
    <t>ESE-01-032-010</t>
  </si>
  <si>
    <t>ESE-01-032-011</t>
  </si>
  <si>
    <t>ESE-01-032-012</t>
  </si>
  <si>
    <t>ESE-01-032-013</t>
  </si>
  <si>
    <t>ESE-01-032-016</t>
  </si>
  <si>
    <t>ESE-01-032-017</t>
  </si>
  <si>
    <t>ESE-01-032-018</t>
  </si>
  <si>
    <t>ESE-01-032-020</t>
  </si>
  <si>
    <t>ESE-01-033-001</t>
  </si>
  <si>
    <t>ESE-01-033-002</t>
  </si>
  <si>
    <t>ESE-01-033-004</t>
  </si>
  <si>
    <t>ESE-01-033-005</t>
  </si>
  <si>
    <t>ESE-01-033-006</t>
  </si>
  <si>
    <t>ESE-01-033-007</t>
  </si>
  <si>
    <t>ESE-01-033-010</t>
  </si>
  <si>
    <t>ESE-01-033-011</t>
  </si>
  <si>
    <t>ESE-01-033-012</t>
  </si>
  <si>
    <t>ESE-01-033-013</t>
  </si>
  <si>
    <t>ESE-01-033-016</t>
  </si>
  <si>
    <t>ESE-01-033-017</t>
  </si>
  <si>
    <t>ESE-01-033-018</t>
  </si>
  <si>
    <t>ESE-01-033-020</t>
  </si>
  <si>
    <t>ESE-01-034-001</t>
  </si>
  <si>
    <t>ESE-01-034-002</t>
  </si>
  <si>
    <t>ESE-01-034-004</t>
  </si>
  <si>
    <t>ESE-01-034-005</t>
  </si>
  <si>
    <t>ESE-01-034-006</t>
  </si>
  <si>
    <t>ESE-01-034-007</t>
  </si>
  <si>
    <t>ESE-01-034-010</t>
  </si>
  <si>
    <t>ESE-01-034-011</t>
  </si>
  <si>
    <t>ESE-01-034-012</t>
  </si>
  <si>
    <t>ESE-01-034-013</t>
  </si>
  <si>
    <t>ESE-01-034-016</t>
  </si>
  <si>
    <t>ESE-01-034-017</t>
  </si>
  <si>
    <t>ESE-01-034-018</t>
  </si>
  <si>
    <t>ESE-01-034-020</t>
  </si>
  <si>
    <t>ESE-01-035-001</t>
  </si>
  <si>
    <t>ESE-01-035-002</t>
  </si>
  <si>
    <t>ESE-01-035-004</t>
  </si>
  <si>
    <t>ESE-01-035-005</t>
  </si>
  <si>
    <t>ESE-01-035-006</t>
  </si>
  <si>
    <t>ESE-01-035-007</t>
  </si>
  <si>
    <t>ESE-01-035-010</t>
  </si>
  <si>
    <t>ESE-01-035-011</t>
  </si>
  <si>
    <t>ESE-01-035-012</t>
  </si>
  <si>
    <t>ESE-01-035-013</t>
  </si>
  <si>
    <t>ESE-01-035-016</t>
  </si>
  <si>
    <t>ESE-01-035-017</t>
  </si>
  <si>
    <t>ESE-01-035-018</t>
  </si>
  <si>
    <t>ESE-01-035-020</t>
  </si>
  <si>
    <t>ESE-01-036-001</t>
  </si>
  <si>
    <t>ESE-01-036-002</t>
  </si>
  <si>
    <t>ESE-01-036-004</t>
  </si>
  <si>
    <t>ESE-01-036-005</t>
  </si>
  <si>
    <t>ESE-01-036-006</t>
  </si>
  <si>
    <t>ESE-01-036-007</t>
  </si>
  <si>
    <t>ESE-01-036-010</t>
  </si>
  <si>
    <t>ESE-01-036-011</t>
  </si>
  <si>
    <t>ESE-01-036-012</t>
  </si>
  <si>
    <t>ESE-01-036-013</t>
  </si>
  <si>
    <t>ESE-01-036-016</t>
  </si>
  <si>
    <t>ESE-01-036-017</t>
  </si>
  <si>
    <t>ESE-01-036-018</t>
  </si>
  <si>
    <t>ESE-01-036-020</t>
  </si>
  <si>
    <t>ESE-01-037-001</t>
  </si>
  <si>
    <t>ESE-01-037-002</t>
  </si>
  <si>
    <t>ESE-01-037-004</t>
  </si>
  <si>
    <t>ESE-01-037-005</t>
  </si>
  <si>
    <t>ESE-01-037-006</t>
  </si>
  <si>
    <t>ESE-01-037-008</t>
  </si>
  <si>
    <t>ESE-01-037-009</t>
  </si>
  <si>
    <t>ESE-01-037-010</t>
  </si>
  <si>
    <t>ESE-01-037-012</t>
  </si>
  <si>
    <t>ESE-01-037-013</t>
  </si>
  <si>
    <t>ESE-01-037-014</t>
  </si>
  <si>
    <t>ESE-01-037-016</t>
  </si>
  <si>
    <t>ESE-01-037-017</t>
  </si>
  <si>
    <t>ESE-01-037-018</t>
  </si>
  <si>
    <t>ESE-01-037-020</t>
  </si>
  <si>
    <t>ESE-01-038-001</t>
  </si>
  <si>
    <t>ESE-01-038-002</t>
  </si>
  <si>
    <t>ESE-01-038-003</t>
  </si>
  <si>
    <t>ESE-01-038-004</t>
  </si>
  <si>
    <t>ESE-01-038-006</t>
  </si>
  <si>
    <t>ESE-01-038-007</t>
  </si>
  <si>
    <t>ESE-01-038-008</t>
  </si>
  <si>
    <t>ESE-01-038-010</t>
  </si>
  <si>
    <t>ESE-01-038-011</t>
  </si>
  <si>
    <t>ESE-01-038-012</t>
  </si>
  <si>
    <t>ESE-01-039-001</t>
  </si>
  <si>
    <t>ESE-01-039-002</t>
  </si>
  <si>
    <t>ESE-01-039-003</t>
  </si>
  <si>
    <t>ESE-01-039-004</t>
  </si>
  <si>
    <t>ESE-01-039-005</t>
  </si>
  <si>
    <t>ESE-01-039-006</t>
  </si>
  <si>
    <t>ESE-01-039-007</t>
  </si>
  <si>
    <t>ESE-01-039-008</t>
  </si>
  <si>
    <t>ESE-01-039-009</t>
  </si>
  <si>
    <t>ESE-01-039-010</t>
  </si>
  <si>
    <t>ESE-01-039-011</t>
  </si>
  <si>
    <t>ESE-01-039-012</t>
  </si>
  <si>
    <t>ESE-01-039-013</t>
  </si>
  <si>
    <t>ESE-01-039-014</t>
  </si>
  <si>
    <t>ESE-01-039-015</t>
  </si>
  <si>
    <t>ESE-01-039-016</t>
  </si>
  <si>
    <t>ESE-01-039-017</t>
  </si>
  <si>
    <t>ESE-01-039-018</t>
  </si>
  <si>
    <t>ESE-01-039-019</t>
  </si>
  <si>
    <t>ESE-01-039-020</t>
  </si>
  <si>
    <t>ESE-01-039-021</t>
  </si>
  <si>
    <t>ESE-01-039-022</t>
  </si>
  <si>
    <t>ESE-01-039-023</t>
  </si>
  <si>
    <t>ESE-01-039-024</t>
  </si>
  <si>
    <t>ESE-01-039-025</t>
  </si>
  <si>
    <t>ESE-01-039-026</t>
  </si>
  <si>
    <t>ESE-01-039-027</t>
  </si>
  <si>
    <t>ESE-01-039-028</t>
  </si>
  <si>
    <t>ESE-01-039-029</t>
  </si>
  <si>
    <t>ESE-01-039-030</t>
  </si>
  <si>
    <t>ESE-01-039-031</t>
  </si>
  <si>
    <t>ESE-01-039-032</t>
  </si>
  <si>
    <t>ESE-01-039-033</t>
  </si>
  <si>
    <t>ESE-01-039-034</t>
  </si>
  <si>
    <t>ESE-01-039-035</t>
  </si>
  <si>
    <t>ESE-01-039-036</t>
  </si>
  <si>
    <t>ESE-01-039-037</t>
  </si>
  <si>
    <t>ESE-01-039-038</t>
  </si>
  <si>
    <t>ESE-01-039-039</t>
  </si>
  <si>
    <t>ESE-01-039-040</t>
  </si>
  <si>
    <t>ESE-01-039-041</t>
  </si>
  <si>
    <t>ESE-01-039-049</t>
  </si>
  <si>
    <t>ESE-01-040-001</t>
  </si>
  <si>
    <t>ESE-01-040-002</t>
  </si>
  <si>
    <t>ESE-01-040-003</t>
  </si>
  <si>
    <t>ESE-01-040-004</t>
  </si>
  <si>
    <t>ESE-01-040-005</t>
  </si>
  <si>
    <t>ESE-01-040-006</t>
  </si>
  <si>
    <t>ESE-01-040-007</t>
  </si>
  <si>
    <t>ESE-01-040-008</t>
  </si>
  <si>
    <t>ESE-01-040-009</t>
  </si>
  <si>
    <t>ESE-01-040-010</t>
  </si>
  <si>
    <t>ESE-01-040-011</t>
  </si>
  <si>
    <t>ESE-01-040-012</t>
  </si>
  <si>
    <t>ESE-01-040-013</t>
  </si>
  <si>
    <t>ESE-01-040-014</t>
  </si>
  <si>
    <t>ESE-01-040-015</t>
  </si>
  <si>
    <t>ESE-01-040-016</t>
  </si>
  <si>
    <t>ESE-01-040-017</t>
  </si>
  <si>
    <t>ESE-01-040-018</t>
  </si>
  <si>
    <t>ESE-01-040-019</t>
  </si>
  <si>
    <t>ESE-01-040-020</t>
  </si>
  <si>
    <t>ESE-01-040-021</t>
  </si>
  <si>
    <t>ESE-01-040-022</t>
  </si>
  <si>
    <t>ESE-01-040-023</t>
  </si>
  <si>
    <t>ESE-01-040-024</t>
  </si>
  <si>
    <t>ESE-01-040-025</t>
  </si>
  <si>
    <t>ESE-01-040-026</t>
  </si>
  <si>
    <t>ESE-01-040-027</t>
  </si>
  <si>
    <t>ESE-01-040-028</t>
  </si>
  <si>
    <t>ESE-01-040-029</t>
  </si>
  <si>
    <t>ESE-01-040-030</t>
  </si>
  <si>
    <t>ESE-01-040-031</t>
  </si>
  <si>
    <t>ESE-01-040-032</t>
  </si>
  <si>
    <t>ESE-01-040-033</t>
  </si>
  <si>
    <t>ESE-01-040-034</t>
  </si>
  <si>
    <t>ESE-01-040-035</t>
  </si>
  <si>
    <t>ESE-01-040-036</t>
  </si>
  <si>
    <t>ESE-01-040-037</t>
  </si>
  <si>
    <t>ESE-01-040-038</t>
  </si>
  <si>
    <t>ESE-01-040-039</t>
  </si>
  <si>
    <t>ESE-01-040-046</t>
  </si>
  <si>
    <t>ESE-01-041-001</t>
  </si>
  <si>
    <t>ESE-01-041-002</t>
  </si>
  <si>
    <t>ESE-01-041-003</t>
  </si>
  <si>
    <t>ESE-01-041-004</t>
  </si>
  <si>
    <t>ESE-01-041-005</t>
  </si>
  <si>
    <t>ESE-01-041-006</t>
  </si>
  <si>
    <t>ESE-01-041-007</t>
  </si>
  <si>
    <t>ESE-01-041-008</t>
  </si>
  <si>
    <t>ESE-01-041-009</t>
  </si>
  <si>
    <t>ESE-01-041-010</t>
  </si>
  <si>
    <t>ESE-01-041-011</t>
  </si>
  <si>
    <t>ESE-01-041-012</t>
  </si>
  <si>
    <t>ESE-01-041-013</t>
  </si>
  <si>
    <t>ESE-01-041-014</t>
  </si>
  <si>
    <t>ESE-01-041-015</t>
  </si>
  <si>
    <t>ESE-01-041-016</t>
  </si>
  <si>
    <t>ESE-01-041-017</t>
  </si>
  <si>
    <t>ESE-01-041-024</t>
  </si>
  <si>
    <t>ESE-01-041-025</t>
  </si>
  <si>
    <t>ESE-01-041-026</t>
  </si>
  <si>
    <t>ESE-01-041-027</t>
  </si>
  <si>
    <t>ESE-01-041-028</t>
  </si>
  <si>
    <t>ESE-01-041-029</t>
  </si>
  <si>
    <t>ESE-01-041-030</t>
  </si>
  <si>
    <t>ESE-01-041-031</t>
  </si>
  <si>
    <t>ESE-01-041-032</t>
  </si>
  <si>
    <t>ESE-01-041-033</t>
  </si>
  <si>
    <t>ESE-01-041-034</t>
  </si>
  <si>
    <t>ESE-01-041-035</t>
  </si>
  <si>
    <t>ESE-01-041-036</t>
  </si>
  <si>
    <t>ESE-01-041-037</t>
  </si>
  <si>
    <t>ESE-01-041-038</t>
  </si>
  <si>
    <t>ESE-01-041-039</t>
  </si>
  <si>
    <t>ESE-01-041-040</t>
  </si>
  <si>
    <t>ESE-01-041-041</t>
  </si>
  <si>
    <t>ESE-01-041-043</t>
  </si>
  <si>
    <t>ESE-01-042-001</t>
  </si>
  <si>
    <t>ESE-01-042-002</t>
  </si>
  <si>
    <t>ESE-01-042-003</t>
  </si>
  <si>
    <t>ESE-01-042-004</t>
  </si>
  <si>
    <t>ESE-01-042-005</t>
  </si>
  <si>
    <t>ESE-01-042-008</t>
  </si>
  <si>
    <t>ESE-01-042-009</t>
  </si>
  <si>
    <t>ESE-01-042-010</t>
  </si>
  <si>
    <t>ESE-01-042-011</t>
  </si>
  <si>
    <t>ESE-01-042-012</t>
  </si>
  <si>
    <t>ESE-01-042-013</t>
  </si>
  <si>
    <t>ESE-01-042-014</t>
  </si>
  <si>
    <t>ESE-01-042-015</t>
  </si>
  <si>
    <t>ESE-01-042-016</t>
  </si>
  <si>
    <t>ESE-01-042-017</t>
  </si>
  <si>
    <t>ESE-01-042-018</t>
  </si>
  <si>
    <t>ESE-01-043-001</t>
  </si>
  <si>
    <t>ESE-01-043-002</t>
  </si>
  <si>
    <t>ESE-01-043-003</t>
  </si>
  <si>
    <t>ESE-01-043-004</t>
  </si>
  <si>
    <t>ESE-01-043-005</t>
  </si>
  <si>
    <t>ESE-01-043-006</t>
  </si>
  <si>
    <t>ESE-01-043-007</t>
  </si>
  <si>
    <t>ESE-01-043-008</t>
  </si>
  <si>
    <t>ESE-01-045-001</t>
  </si>
  <si>
    <t>ESE-01-045-002</t>
  </si>
  <si>
    <t>ESE-01-045-004</t>
  </si>
  <si>
    <t>ESE-01-045-005</t>
  </si>
  <si>
    <t>ESE-01-045-006</t>
  </si>
  <si>
    <t>ESE-01-045-008</t>
  </si>
  <si>
    <t>ESE-01-045-009</t>
  </si>
  <si>
    <t>ESE-01-045-010</t>
  </si>
  <si>
    <t>ESE-01-045-012</t>
  </si>
  <si>
    <t>JPH-00-001-001</t>
  </si>
  <si>
    <t>End Unit - PRIME</t>
  </si>
  <si>
    <t>A</t>
  </si>
  <si>
    <t>JPH-00-001-002</t>
  </si>
  <si>
    <t>Inner Unit - PRIME</t>
  </si>
  <si>
    <t>B</t>
  </si>
  <si>
    <t>JPH-00-001-003</t>
  </si>
  <si>
    <t>E</t>
  </si>
  <si>
    <t>JPH-00-001-004</t>
  </si>
  <si>
    <t>F</t>
  </si>
  <si>
    <t>JPH-00-001-005</t>
  </si>
  <si>
    <t>End Unit - PREMIUM</t>
  </si>
  <si>
    <t>JPH-00-001-006</t>
  </si>
  <si>
    <t>JPH-00-001-007</t>
  </si>
  <si>
    <t>C</t>
  </si>
  <si>
    <t>JPH-00-001-008</t>
  </si>
  <si>
    <t>D</t>
  </si>
  <si>
    <t>JPH-00-001-009</t>
  </si>
  <si>
    <t>JPH-00-001-010</t>
  </si>
  <si>
    <t>JPH-00-001-011</t>
  </si>
  <si>
    <t>JPH-00-001-012</t>
  </si>
  <si>
    <t>JPH-00-001-013</t>
  </si>
  <si>
    <t>JPH-00-001-014</t>
  </si>
  <si>
    <t>JPH-00-001-015</t>
  </si>
  <si>
    <t>JPH-00-001-016</t>
  </si>
  <si>
    <t>JPH-00-001-017</t>
  </si>
  <si>
    <t>JPH-00-001-018</t>
  </si>
  <si>
    <t>JPH-00-001-019</t>
  </si>
  <si>
    <t>JPH-00-001-020</t>
  </si>
  <si>
    <t>JPH-00-001-021</t>
  </si>
  <si>
    <t>JPH-00-001-022</t>
  </si>
  <si>
    <t>JPH-00-001-023</t>
  </si>
  <si>
    <t>Inner Unit - PREMIUM</t>
  </si>
  <si>
    <t>JPH-00-001-024</t>
  </si>
  <si>
    <t>JPH-00-001-025</t>
  </si>
  <si>
    <t>JPH-00-001-026</t>
  </si>
  <si>
    <t>JPH-00-001-027</t>
  </si>
  <si>
    <t>JPH-00-002-001</t>
  </si>
  <si>
    <t>JPH-00-002-002</t>
  </si>
  <si>
    <t>JPH-00-002-003</t>
  </si>
  <si>
    <t>JPH-00-002-004</t>
  </si>
  <si>
    <t>JPH-00-002-005</t>
  </si>
  <si>
    <t>JPH-00-002-006</t>
  </si>
  <si>
    <t>JPH-00-002-007</t>
  </si>
  <si>
    <t>JPH-00-002-008</t>
  </si>
  <si>
    <t>JPH-00-002-009</t>
  </si>
  <si>
    <t>JPH-00-002-010</t>
  </si>
  <si>
    <t>JPH-00-002-011</t>
  </si>
  <si>
    <t>JPH-00-002-012</t>
  </si>
  <si>
    <t>JPH-00-002-013</t>
  </si>
  <si>
    <t>FOR CANCELLATION</t>
  </si>
  <si>
    <t>JPH-00-002-014</t>
  </si>
  <si>
    <t>JPH-00-002-015</t>
  </si>
  <si>
    <t>JPH-00-002-016</t>
  </si>
  <si>
    <t>JPH-00-002-017</t>
  </si>
  <si>
    <t>JPH-00-002-018</t>
  </si>
  <si>
    <t>JPH-00-002-019</t>
  </si>
  <si>
    <t>JPH-00-002-020</t>
  </si>
  <si>
    <t>JPH-00-002-021</t>
  </si>
  <si>
    <t>JPH-00-002-022</t>
  </si>
  <si>
    <t>JPH-00-002-023</t>
  </si>
  <si>
    <t>JPH-00-002-024</t>
  </si>
  <si>
    <t>JPH-00-002-025</t>
  </si>
  <si>
    <t>JPH-00-002-026</t>
  </si>
  <si>
    <t>JPH-00-002-027</t>
  </si>
  <si>
    <t>JPH-00-002-028</t>
  </si>
  <si>
    <t>JPH-00-002-029</t>
  </si>
  <si>
    <t>JPH-00-002-030</t>
  </si>
  <si>
    <t>JPH-00-002-031</t>
  </si>
  <si>
    <t>JPH-00-002-032</t>
  </si>
  <si>
    <t>JPH-00-003-001</t>
  </si>
  <si>
    <t>JPH-00-003-002</t>
  </si>
  <si>
    <t>JPH-00-003-003</t>
  </si>
  <si>
    <t>JPH-00-003-004</t>
  </si>
  <si>
    <t>JPH-00-003-005</t>
  </si>
  <si>
    <t>JPH-00-003-006</t>
  </si>
  <si>
    <t>JPH-00-003-007</t>
  </si>
  <si>
    <t>JPH-00-003-008</t>
  </si>
  <si>
    <t>JPH-00-003-009</t>
  </si>
  <si>
    <t>JPH-00-003-010</t>
  </si>
  <si>
    <t>JPH-00-003-011</t>
  </si>
  <si>
    <t>JPH-00-003-012</t>
  </si>
  <si>
    <t>JPH-00-003-013</t>
  </si>
  <si>
    <t>JPH-00-003-014</t>
  </si>
  <si>
    <t>JPH-00-003-015</t>
  </si>
  <si>
    <t>JPH-00-003-016</t>
  </si>
  <si>
    <t>JPH-00-003-017</t>
  </si>
  <si>
    <t>JPH-00-003-018</t>
  </si>
  <si>
    <t>JPH-00-003-019</t>
  </si>
  <si>
    <t>JPH-00-003-020</t>
  </si>
  <si>
    <t>JPH-00-003-021</t>
  </si>
  <si>
    <t>JPH-00-003-022</t>
  </si>
  <si>
    <t>JPH-00-003-023</t>
  </si>
  <si>
    <t>JPH-00-003-024</t>
  </si>
  <si>
    <t>JPH-00-003-025</t>
  </si>
  <si>
    <t>JPH-00-003-026</t>
  </si>
  <si>
    <t>JPH-00-003-027</t>
  </si>
  <si>
    <t>JPH-00-003-028</t>
  </si>
  <si>
    <t>JPH-00-003-029</t>
  </si>
  <si>
    <t>JPH-00-003-030</t>
  </si>
  <si>
    <t>JPH-00-004-001</t>
  </si>
  <si>
    <t>End Unit - PRESTIGE</t>
  </si>
  <si>
    <t>JPH-00-004-002</t>
  </si>
  <si>
    <t>Inner Unit - PRESTIGE</t>
  </si>
  <si>
    <t>JPH-00-004-003</t>
  </si>
  <si>
    <t>JPH-00-005-001</t>
  </si>
  <si>
    <t>JPH-00-005-002</t>
  </si>
  <si>
    <t>JPH-00-005-003</t>
  </si>
  <si>
    <t>JPH-00-005-004</t>
  </si>
  <si>
    <t>JPH-00-005-005</t>
  </si>
  <si>
    <t>JPH-00-005-006</t>
  </si>
  <si>
    <t>JPH-00-005-007</t>
  </si>
  <si>
    <t>JPH-00-005-008</t>
  </si>
  <si>
    <t>JPH-00-006-001</t>
  </si>
  <si>
    <t>JPH-00-006-002</t>
  </si>
  <si>
    <t>JPH-00-006-003</t>
  </si>
  <si>
    <t>JPH-00-006-004</t>
  </si>
  <si>
    <t>JPH-00-006-005</t>
  </si>
  <si>
    <t>JPH-00-006-006</t>
  </si>
  <si>
    <t>JPH-00-006-007</t>
  </si>
  <si>
    <t>JPH-00-006-008</t>
  </si>
  <si>
    <t>JPH-00-007-001</t>
  </si>
  <si>
    <t>JPH-00-007-002</t>
  </si>
  <si>
    <t>JPH-00-007-003</t>
  </si>
  <si>
    <t>JPH-00-007-004</t>
  </si>
  <si>
    <t>JPH-00-007-005</t>
  </si>
  <si>
    <t>JPH-00-007-006</t>
  </si>
  <si>
    <t>JPH-00-007-007</t>
  </si>
  <si>
    <t>JPH-00-007-008</t>
  </si>
  <si>
    <t>JPH-00-007-009</t>
  </si>
  <si>
    <t>JPH-00-007-010</t>
  </si>
  <si>
    <t>JPH-00-007-011</t>
  </si>
  <si>
    <t>JPH-00-007-012</t>
  </si>
  <si>
    <t>JPH-00-007-013</t>
  </si>
  <si>
    <t>JPH-00-007-014</t>
  </si>
  <si>
    <t>JPH-00-007-015</t>
  </si>
  <si>
    <t>JPH-00-007-016</t>
  </si>
  <si>
    <t>JPH-00-007-017</t>
  </si>
  <si>
    <t>JPH-00-007-018</t>
  </si>
  <si>
    <t>JPH-00-007-019</t>
  </si>
  <si>
    <t>JPH-00-007-020</t>
  </si>
  <si>
    <t>JPH-00-007-021</t>
  </si>
  <si>
    <t>JPH-00-008-001</t>
  </si>
  <si>
    <t>JPH-00-008-002</t>
  </si>
  <si>
    <t>JPH-00-008-003</t>
  </si>
  <si>
    <t>JPH-00-008-004</t>
  </si>
  <si>
    <t>JPH-00-008-005</t>
  </si>
  <si>
    <t>JPH-00-008-006</t>
  </si>
  <si>
    <t>JPH-00-008-007</t>
  </si>
  <si>
    <t>JPH-00-008-008</t>
  </si>
  <si>
    <t>JPH-00-008-009</t>
  </si>
  <si>
    <t>JPH-00-008-010</t>
  </si>
  <si>
    <t>JPH-00-008-011</t>
  </si>
  <si>
    <t>JPH-00-008-012</t>
  </si>
  <si>
    <t>JPH-00-008-013</t>
  </si>
  <si>
    <t>JPH-00-008-014</t>
  </si>
  <si>
    <t>JPH-00-008-015</t>
  </si>
  <si>
    <t>JPH-00-008-016</t>
  </si>
  <si>
    <t>JPH-00-008-017</t>
  </si>
  <si>
    <t>JPH-00-008-018</t>
  </si>
  <si>
    <t>JPH-00-008-019</t>
  </si>
  <si>
    <t>JPH-00-008-020</t>
  </si>
  <si>
    <t>JPH-00-008-021</t>
  </si>
  <si>
    <t>JPH-00-008-022</t>
  </si>
  <si>
    <t>JPH-00-009-001</t>
  </si>
  <si>
    <t>JPH-00-009-002</t>
  </si>
  <si>
    <t>JPH-00-009-003</t>
  </si>
  <si>
    <t>JPH-00-009-004</t>
  </si>
  <si>
    <t>JPH-00-009-005</t>
  </si>
  <si>
    <t>JPH-00-009-006</t>
  </si>
  <si>
    <t>JPH-00-009-007</t>
  </si>
  <si>
    <t>JPH-00-009-008</t>
  </si>
  <si>
    <t>JPH-00-009-009</t>
  </si>
  <si>
    <t>JPH-00-009-010</t>
  </si>
  <si>
    <t>JPH-00-009-011</t>
  </si>
  <si>
    <t>PHASE/BLDG NAME</t>
  </si>
  <si>
    <t>BLDG NAME/FLOOR</t>
  </si>
  <si>
    <t>FA</t>
  </si>
  <si>
    <t>UNIT MODEL</t>
  </si>
  <si>
    <t>TER-TE-A01-001</t>
  </si>
  <si>
    <t>Terraces at Tradizo Enclave</t>
  </si>
  <si>
    <t>A-01</t>
  </si>
  <si>
    <t>A-01 /  GF</t>
  </si>
  <si>
    <t>Parking</t>
  </si>
  <si>
    <t>TER-TE-A01-002</t>
  </si>
  <si>
    <t>TER-TE-A01-003</t>
  </si>
  <si>
    <t>TER-TE-A01-004</t>
  </si>
  <si>
    <t>TER-TE-A01-005</t>
  </si>
  <si>
    <t>TER-TE-A01-006</t>
  </si>
  <si>
    <t>TER-TE-A01-007</t>
  </si>
  <si>
    <t>TER-TE-A01-008</t>
  </si>
  <si>
    <t>TER-TE-A01-009</t>
  </si>
  <si>
    <t>TER-TE-A01-010</t>
  </si>
  <si>
    <t>TER-TE-A01-011</t>
  </si>
  <si>
    <t>TER-TE-A01-012</t>
  </si>
  <si>
    <t>TER-TE-A01-013</t>
  </si>
  <si>
    <t>TER-TE-A01-014</t>
  </si>
  <si>
    <t>TER-TE-A01-015</t>
  </si>
  <si>
    <t>TER-TE-A01-016</t>
  </si>
  <si>
    <t>TER-TE-A01-017</t>
  </si>
  <si>
    <t>TER-TE-A01-018</t>
  </si>
  <si>
    <t>TER-TE-A01-019</t>
  </si>
  <si>
    <t>TER-TE-A01-020</t>
  </si>
  <si>
    <t>TER-TE-A01-021</t>
  </si>
  <si>
    <t>TER-TE-A01-022</t>
  </si>
  <si>
    <t>TER-TE-A01-023</t>
  </si>
  <si>
    <t>TER-TE-A01-024</t>
  </si>
  <si>
    <t>TER-TE-A01-025</t>
  </si>
  <si>
    <t>TER-TE-A01-026</t>
  </si>
  <si>
    <t>TER-TE-A01-027</t>
  </si>
  <si>
    <t>TER-TE-A01-028</t>
  </si>
  <si>
    <t>TER-TE-A01-029</t>
  </si>
  <si>
    <t>TER-TE-A01-030</t>
  </si>
  <si>
    <t>TER-TE-A01-031</t>
  </si>
  <si>
    <t>TER-TE-A01-032</t>
  </si>
  <si>
    <t>TER-TE-A01-033</t>
  </si>
  <si>
    <t>TER-TE-A01-034</t>
  </si>
  <si>
    <t>TER-TE-A01-035</t>
  </si>
  <si>
    <t>TER-TE-A01-036</t>
  </si>
  <si>
    <t>TER-TE-A01-037</t>
  </si>
  <si>
    <t>TER-TE-A01-038</t>
  </si>
  <si>
    <t>TER-TE-A01-039</t>
  </si>
  <si>
    <t>TER-TE-A01-040</t>
  </si>
  <si>
    <t>TER-TE-A01-1FA</t>
  </si>
  <si>
    <t>A-01 /  1ST</t>
  </si>
  <si>
    <t>Studio / End</t>
  </si>
  <si>
    <t>TER-TE-A01-1FB</t>
  </si>
  <si>
    <t>Studio / Inner</t>
  </si>
  <si>
    <t>TER-TE-A01-1FC</t>
  </si>
  <si>
    <t>1BR / Inner</t>
  </si>
  <si>
    <t>TER-TE-A01-1FD</t>
  </si>
  <si>
    <t>TER-TE-A01-1FE</t>
  </si>
  <si>
    <t>TER-TE-A01-1FF</t>
  </si>
  <si>
    <t>TER-TE-A01-1FG</t>
  </si>
  <si>
    <t>G</t>
  </si>
  <si>
    <t>TER-TE-A01-1FH</t>
  </si>
  <si>
    <t>H</t>
  </si>
  <si>
    <t>TER-TE-A01-1FI</t>
  </si>
  <si>
    <t>I</t>
  </si>
  <si>
    <t>TER-TE-A01-1FJ</t>
  </si>
  <si>
    <t>J</t>
  </si>
  <si>
    <t>TER-TE-A01-1FK</t>
  </si>
  <si>
    <t>K</t>
  </si>
  <si>
    <t>TER-TE-A01-1FL</t>
  </si>
  <si>
    <t>L</t>
  </si>
  <si>
    <t>TER-TE-A01-1FM</t>
  </si>
  <si>
    <t>M</t>
  </si>
  <si>
    <t>TER-TE-A01-1FN</t>
  </si>
  <si>
    <t>N</t>
  </si>
  <si>
    <t>TER-TE-A01-1FO</t>
  </si>
  <si>
    <t>O</t>
  </si>
  <si>
    <t>TER-TE-A01-1FP</t>
  </si>
  <si>
    <t>P</t>
  </si>
  <si>
    <t>TER-TE-A01-1FQ</t>
  </si>
  <si>
    <t>Q</t>
  </si>
  <si>
    <t>TER-TE-A01-1FR</t>
  </si>
  <si>
    <t>R</t>
  </si>
  <si>
    <t>TER-TE-A01-1FS</t>
  </si>
  <si>
    <t>S</t>
  </si>
  <si>
    <t>TER-TE-A01-1FT</t>
  </si>
  <si>
    <t>T</t>
  </si>
  <si>
    <t>TER-TE-A01-1FU</t>
  </si>
  <si>
    <t>U</t>
  </si>
  <si>
    <t>TER-TE-A01-1FV</t>
  </si>
  <si>
    <t>V</t>
  </si>
  <si>
    <t>TER-TE-A01-1FW</t>
  </si>
  <si>
    <t>W</t>
  </si>
  <si>
    <t>TER-TE-A01-1FX</t>
  </si>
  <si>
    <t>X</t>
  </si>
  <si>
    <t>TER-TE-A01-2FA</t>
  </si>
  <si>
    <t>A-01 /  2ND</t>
  </si>
  <si>
    <t>TER-TE-A01-2FB</t>
  </si>
  <si>
    <t>TER-TE-A01-2FC</t>
  </si>
  <si>
    <t>TER-TE-A01-2FD</t>
  </si>
  <si>
    <t>TER-TE-A01-2FE</t>
  </si>
  <si>
    <t>TER-TE-A01-2FF</t>
  </si>
  <si>
    <t>TER-TE-A01-2FG</t>
  </si>
  <si>
    <t>TER-TE-A01-2FH</t>
  </si>
  <si>
    <t>TER-TE-A01-2FI</t>
  </si>
  <si>
    <t>TER-TE-A01-2FJ</t>
  </si>
  <si>
    <t>TER-TE-A01-2FK</t>
  </si>
  <si>
    <t>TER-TE-A01-2FL</t>
  </si>
  <si>
    <t>TER-TE-A01-2FM</t>
  </si>
  <si>
    <t>TER-TE-A01-2FN</t>
  </si>
  <si>
    <t>TER-TE-A01-2FO</t>
  </si>
  <si>
    <t>TER-TE-A01-2FP</t>
  </si>
  <si>
    <t>TER-TE-A01-2FQ</t>
  </si>
  <si>
    <t>TER-TE-A01-2FR</t>
  </si>
  <si>
    <t>TER-TE-A01-2FS</t>
  </si>
  <si>
    <t>TER-TE-A01-2FT</t>
  </si>
  <si>
    <t>TER-TE-A01-2FU</t>
  </si>
  <si>
    <t>TER-TE-A01-2FV</t>
  </si>
  <si>
    <t>TER-TE-A01-2FW</t>
  </si>
  <si>
    <t>TER-TE-A01-2FX</t>
  </si>
  <si>
    <t>TER-TE-A01-3FA</t>
  </si>
  <si>
    <t>A-01 /  3RD</t>
  </si>
  <si>
    <t>TER-TE-A01-3FB</t>
  </si>
  <si>
    <t>TER-TE-A01-3FC</t>
  </si>
  <si>
    <t>TER-TE-A01-3FD</t>
  </si>
  <si>
    <t>TER-TE-A01-3FE</t>
  </si>
  <si>
    <t>TER-TE-A01-3FF</t>
  </si>
  <si>
    <t>TER-TE-A01-3FG</t>
  </si>
  <si>
    <t>TER-TE-A01-3FH</t>
  </si>
  <si>
    <t>TER-TE-A01-3FI</t>
  </si>
  <si>
    <t>TER-TE-A01-3FJ</t>
  </si>
  <si>
    <t>TER-TE-A01-3FK</t>
  </si>
  <si>
    <t>TER-TE-A01-3FL</t>
  </si>
  <si>
    <t>TER-TE-A01-3FM</t>
  </si>
  <si>
    <t>TER-TE-A01-3FN</t>
  </si>
  <si>
    <t>TER-TE-A01-3FO</t>
  </si>
  <si>
    <t>TER-TE-A01-3FP</t>
  </si>
  <si>
    <t>TER-TE-A01-3FQ</t>
  </si>
  <si>
    <t>TER-TE-A01-3FR</t>
  </si>
  <si>
    <t>TER-TE-A01-3FS</t>
  </si>
  <si>
    <t>TER-TE-A01-3FT</t>
  </si>
  <si>
    <t>TER-TE-A01-3FU</t>
  </si>
  <si>
    <t>TER-TE-A01-3FV</t>
  </si>
  <si>
    <t>TER-TE-A01-3FW</t>
  </si>
  <si>
    <t>TER-TE-A01-3FX</t>
  </si>
  <si>
    <t>TER-TE-A01-5FA</t>
  </si>
  <si>
    <t>A-01 /  5TH</t>
  </si>
  <si>
    <t>2BR / End</t>
  </si>
  <si>
    <t>TER-TE-A01-5FB</t>
  </si>
  <si>
    <t>TER-TE-A01-5FC</t>
  </si>
  <si>
    <t>TER-TE-A01-5FD</t>
  </si>
  <si>
    <t>TER-TE-A01-5FE</t>
  </si>
  <si>
    <t>TER-TE-A01-5FF</t>
  </si>
  <si>
    <t>TER-TE-A01-5FG</t>
  </si>
  <si>
    <t>TER-TE-A01-5FH</t>
  </si>
  <si>
    <t>TER-TE-A01-5FI</t>
  </si>
  <si>
    <t>TER-TE-A01-5FJ</t>
  </si>
  <si>
    <t>TER-TE-A01-5FK</t>
  </si>
  <si>
    <t>TER-TE-A01-5FL</t>
  </si>
  <si>
    <t>TER-TE-A01-5FM</t>
  </si>
  <si>
    <t>TER-TE-A01-5FN</t>
  </si>
  <si>
    <t>TER-TE-A01-5FO</t>
  </si>
  <si>
    <t>TER-TE-A01-5FP</t>
  </si>
  <si>
    <t>TER-TE-A01-5FQ</t>
  </si>
  <si>
    <t>TER-TE-A01-5FR</t>
  </si>
  <si>
    <t>TER-TE-A01-5FS</t>
  </si>
  <si>
    <t>TER-TE-A01-5FT</t>
  </si>
  <si>
    <t>TER-TE-A01-PHA</t>
  </si>
  <si>
    <t>A-01 /  PENTHOUSE</t>
  </si>
  <si>
    <t>TER-TE-A01-PHB</t>
  </si>
  <si>
    <t>TER-TE-A01-PHC</t>
  </si>
  <si>
    <t>TER-TE-A01-PHD</t>
  </si>
  <si>
    <t>TER-TE-A01-PHE</t>
  </si>
  <si>
    <t>TER-TE-A01-PHF</t>
  </si>
  <si>
    <t>TER-TE-A01-PHG</t>
  </si>
  <si>
    <t>TER-TE-A01-PHH</t>
  </si>
  <si>
    <t>TER-TE-A01-PHI</t>
  </si>
  <si>
    <t>TER-TE-A01-PHJ</t>
  </si>
  <si>
    <t>TER-TE-A01-PHK</t>
  </si>
  <si>
    <t>TER-TE-A01-PHL</t>
  </si>
  <si>
    <t>TER-TE-A01-PHM</t>
  </si>
  <si>
    <t>TER-TE-A01-PHN</t>
  </si>
  <si>
    <t>TER-TE-A01-PHO</t>
  </si>
  <si>
    <t>TER-TE-A01-PHP</t>
  </si>
  <si>
    <t>TER-TE-A01-PHQ</t>
  </si>
  <si>
    <t>TER-TE-A01-PHR</t>
  </si>
  <si>
    <t>TER-TE-A01-PHS</t>
  </si>
  <si>
    <t>TER-TE-A01-PHT</t>
  </si>
  <si>
    <t>TER-TE-B01-001</t>
  </si>
  <si>
    <t>B-01</t>
  </si>
  <si>
    <t>B-01 /  GF</t>
  </si>
  <si>
    <t>TER-TE-B01-002</t>
  </si>
  <si>
    <t>TER-TE-B01-003</t>
  </si>
  <si>
    <t>TER-TE-B01-004</t>
  </si>
  <si>
    <t>TER-TE-B01-005</t>
  </si>
  <si>
    <t>TER-TE-B01-006</t>
  </si>
  <si>
    <t>TER-TE-B01-007</t>
  </si>
  <si>
    <t>TER-TE-B01-008</t>
  </si>
  <si>
    <t>TER-TE-B01-009</t>
  </si>
  <si>
    <t>TER-TE-B01-010</t>
  </si>
  <si>
    <t>TER-TE-B01-011</t>
  </si>
  <si>
    <t>TER-TE-B01-012</t>
  </si>
  <si>
    <t>TER-TE-B01-013</t>
  </si>
  <si>
    <t>TER-TE-B01-014</t>
  </si>
  <si>
    <t>TER-TE-B01-015</t>
  </si>
  <si>
    <t>TER-TE-B01-016</t>
  </si>
  <si>
    <t>TER-TE-B01-017</t>
  </si>
  <si>
    <t>TER-TE-B01-018</t>
  </si>
  <si>
    <t>TER-TE-B01-019</t>
  </si>
  <si>
    <t>TER-TE-B01-020</t>
  </si>
  <si>
    <t>TER-TE-B01-021</t>
  </si>
  <si>
    <t>TER-TE-B01-022</t>
  </si>
  <si>
    <t>TER-TE-B01-023</t>
  </si>
  <si>
    <t>TER-TE-B01-024</t>
  </si>
  <si>
    <t>TER-TE-B01-025</t>
  </si>
  <si>
    <t>TER-TE-B01-026</t>
  </si>
  <si>
    <t>TER-TE-B01-027</t>
  </si>
  <si>
    <t>TER-TE-B01-028</t>
  </si>
  <si>
    <t>TER-TE-B01-029</t>
  </si>
  <si>
    <t>TER-TE-B01-030</t>
  </si>
  <si>
    <t>TER-TE-B01-031</t>
  </si>
  <si>
    <t>TER-TE-B01-032</t>
  </si>
  <si>
    <t>TER-TE-B01-033</t>
  </si>
  <si>
    <t>TER-TE-B01-034</t>
  </si>
  <si>
    <t>TER-TE-B01-035</t>
  </si>
  <si>
    <t>TER-TE-B01-036</t>
  </si>
  <si>
    <t>TER-TE-B01-037</t>
  </si>
  <si>
    <t>TER-TE-B01-1FA</t>
  </si>
  <si>
    <t>B-01 /  1ST</t>
  </si>
  <si>
    <t>TER-TE-B01-1FB</t>
  </si>
  <si>
    <t>2BR / Inner</t>
  </si>
  <si>
    <t>TER-TE-B01-1FC</t>
  </si>
  <si>
    <t>TER-TE-B01-1FD</t>
  </si>
  <si>
    <t>TER-TE-B01-1FE</t>
  </si>
  <si>
    <t>TER-TE-B01-1FF</t>
  </si>
  <si>
    <t>TER-TE-B01-1FG</t>
  </si>
  <si>
    <t>TER-TE-B01-1FH</t>
  </si>
  <si>
    <t>TER-TE-B01-1FI</t>
  </si>
  <si>
    <t>TER-TE-B01-1FJ</t>
  </si>
  <si>
    <t>TER-TE-B01-1FK</t>
  </si>
  <si>
    <t>TER-TE-B01-1FL</t>
  </si>
  <si>
    <t>TER-TE-B01-1FM</t>
  </si>
  <si>
    <t>TER-TE-B01-1FN</t>
  </si>
  <si>
    <t>TER-TE-B01-1FO</t>
  </si>
  <si>
    <t>TER-TE-B01-1FP</t>
  </si>
  <si>
    <t>TER-TE-B01-1FQ</t>
  </si>
  <si>
    <t>TER-TE-B01-1FR</t>
  </si>
  <si>
    <t>TER-TE-B01-1FS</t>
  </si>
  <si>
    <t>TER-TE-B01-2FA</t>
  </si>
  <si>
    <t>B-01 /  2ND</t>
  </si>
  <si>
    <t>TER-TE-B01-2FB</t>
  </si>
  <si>
    <t>TER-TE-B01-2FC</t>
  </si>
  <si>
    <t>TER-TE-B01-2FD</t>
  </si>
  <si>
    <t>TER-TE-B01-2FE</t>
  </si>
  <si>
    <t>TER-TE-B01-2FF</t>
  </si>
  <si>
    <t>TER-TE-B01-2FG</t>
  </si>
  <si>
    <t>TER-TE-B01-2FH</t>
  </si>
  <si>
    <t>TER-TE-B01-2FI</t>
  </si>
  <si>
    <t>TER-TE-B01-2FJ</t>
  </si>
  <si>
    <t>TER-TE-B01-2FK</t>
  </si>
  <si>
    <t>TER-TE-B01-2FL</t>
  </si>
  <si>
    <t>TER-TE-B01-2FM</t>
  </si>
  <si>
    <t>TER-TE-B01-2FN</t>
  </si>
  <si>
    <t>TER-TE-B01-2FO</t>
  </si>
  <si>
    <t>TER-TE-B01-2FP</t>
  </si>
  <si>
    <t>TER-TE-B01-2FQ</t>
  </si>
  <si>
    <t>TER-TE-B01-2FR</t>
  </si>
  <si>
    <t>TER-TE-B01-2FS</t>
  </si>
  <si>
    <t>TER-TE-B01-3FA</t>
  </si>
  <si>
    <t>B-01 /  3RD</t>
  </si>
  <si>
    <t>TER-TE-B01-3FB</t>
  </si>
  <si>
    <t>TER-TE-B01-3FC</t>
  </si>
  <si>
    <t>TER-TE-B01-3FD</t>
  </si>
  <si>
    <t>TER-TE-B01-3FE</t>
  </si>
  <si>
    <t>TER-TE-B01-3FF</t>
  </si>
  <si>
    <t>TER-TE-B01-3FG</t>
  </si>
  <si>
    <t>TER-TE-B01-3FH</t>
  </si>
  <si>
    <t>TER-TE-B01-3FI</t>
  </si>
  <si>
    <t>TER-TE-B01-3FJ</t>
  </si>
  <si>
    <t>TER-TE-B01-3FK</t>
  </si>
  <si>
    <t>TER-TE-B01-3FL</t>
  </si>
  <si>
    <t>TER-TE-B01-3FM</t>
  </si>
  <si>
    <t>TER-TE-B01-3FN</t>
  </si>
  <si>
    <t>TER-TE-B01-3FO</t>
  </si>
  <si>
    <t>TER-TE-B01-3FP</t>
  </si>
  <si>
    <t>TER-TE-B01-3FQ</t>
  </si>
  <si>
    <t>TER-TE-B01-3FR</t>
  </si>
  <si>
    <t>TER-TE-B01-3FS</t>
  </si>
  <si>
    <t>TER-TE-B01-5FA</t>
  </si>
  <si>
    <t>B-01 /  5TH</t>
  </si>
  <si>
    <t>TER-TE-B01-5FB</t>
  </si>
  <si>
    <t>TER-TE-B01-5FC</t>
  </si>
  <si>
    <t>TER-TE-B01-5FD</t>
  </si>
  <si>
    <t>TER-TE-B01-5FE</t>
  </si>
  <si>
    <t>TER-TE-B01-5FF</t>
  </si>
  <si>
    <t>TER-TE-B01-5FG</t>
  </si>
  <si>
    <t>TER-TE-B01-5FH</t>
  </si>
  <si>
    <t>TER-TE-B01-5FI</t>
  </si>
  <si>
    <t>TER-TE-B01-5FJ</t>
  </si>
  <si>
    <t>TER-TE-B01-5FK</t>
  </si>
  <si>
    <t>TER-TE-B01-5FL</t>
  </si>
  <si>
    <t>TER-TE-B01-5FM</t>
  </si>
  <si>
    <t>TER-TE-B01-5FN</t>
  </si>
  <si>
    <t>TER-TE-B01-5FO</t>
  </si>
  <si>
    <t>TER-TE-B01-5FP</t>
  </si>
  <si>
    <t>TER-TE-B01-5FQ</t>
  </si>
  <si>
    <t>TER-TE-B01-5FR</t>
  </si>
  <si>
    <t>TER-TE-B01-5FS</t>
  </si>
  <si>
    <t>TER-TE-B01-PHA</t>
  </si>
  <si>
    <t>B-01 /  PENTHOUSE</t>
  </si>
  <si>
    <t>TER-TE-B01-PHB</t>
  </si>
  <si>
    <t>TER-TE-B01-PHC</t>
  </si>
  <si>
    <t>TER-TE-B01-PHD</t>
  </si>
  <si>
    <t>TER-TE-B01-PHE</t>
  </si>
  <si>
    <t>TER-TE-B01-PHF</t>
  </si>
  <si>
    <t>TER-TE-B01-PHG</t>
  </si>
  <si>
    <t>TER-TE-B01-PHH</t>
  </si>
  <si>
    <t>TER-TE-B01-PHI</t>
  </si>
  <si>
    <t>TER-TE-B01-PHJ</t>
  </si>
  <si>
    <t>TER-TE-B01-PHK</t>
  </si>
  <si>
    <t>TER-TE-B01-PHL</t>
  </si>
  <si>
    <t>TER-TE-B01-PHM</t>
  </si>
  <si>
    <t>TER-TE-B01-PHN</t>
  </si>
  <si>
    <t>TER-TE-B01-PHO</t>
  </si>
  <si>
    <t>TER-TE-B01-PHP</t>
  </si>
  <si>
    <t>TER-TE-B01-PHQ</t>
  </si>
  <si>
    <t>TER-TE-B01-PHR</t>
  </si>
  <si>
    <t>TER-TE-B01-PHS</t>
  </si>
  <si>
    <t>TER-TE-B01-C01</t>
  </si>
  <si>
    <t>Commercial</t>
  </si>
  <si>
    <t>TER-TE-B01-C02</t>
  </si>
  <si>
    <t>TER-TE-B01-C03</t>
  </si>
  <si>
    <t>TER-TE-B01-C04</t>
  </si>
  <si>
    <t>TER-TE-B01-C05</t>
  </si>
  <si>
    <t>TER-TE-C01-001</t>
  </si>
  <si>
    <t>C-01</t>
  </si>
  <si>
    <t>C-01 /  GF</t>
  </si>
  <si>
    <t>TER-TE-C01-002</t>
  </si>
  <si>
    <t>TER-TE-C01-003</t>
  </si>
  <si>
    <t>TER-TE-C01-004</t>
  </si>
  <si>
    <t>TER-TE-C01-005</t>
  </si>
  <si>
    <t>TER-TE-C01-006</t>
  </si>
  <si>
    <t>TER-TE-C01-007</t>
  </si>
  <si>
    <t>TER-TE-C01-008</t>
  </si>
  <si>
    <t>TER-TE-C01-009</t>
  </si>
  <si>
    <t>TER-TE-C01-010</t>
  </si>
  <si>
    <t>TER-TE-C01-011</t>
  </si>
  <si>
    <t>TER-TE-C01-012</t>
  </si>
  <si>
    <t>TER-TE-C01-013</t>
  </si>
  <si>
    <t>TER-TE-C01-014</t>
  </si>
  <si>
    <t>TER-TE-C01-015</t>
  </si>
  <si>
    <t>TER-TE-C01-016</t>
  </si>
  <si>
    <t>TER-TE-C01-017</t>
  </si>
  <si>
    <t>TER-TE-C01-018</t>
  </si>
  <si>
    <t>TER-TE-C01-019</t>
  </si>
  <si>
    <t>TER-TE-C01-020</t>
  </si>
  <si>
    <t>TER-TE-C01-021</t>
  </si>
  <si>
    <t>TER-TE-C01-022</t>
  </si>
  <si>
    <t>TER-TE-C01-023</t>
  </si>
  <si>
    <t>TER-TE-C01-024</t>
  </si>
  <si>
    <t>TER-TE-C01-025</t>
  </si>
  <si>
    <t>TER-TE-C01-026</t>
  </si>
  <si>
    <t>TER-TE-C01-027</t>
  </si>
  <si>
    <t>TER-TE-C01-028</t>
  </si>
  <si>
    <t>TER-TE-C01-1FA</t>
  </si>
  <si>
    <t>C-01 /  1ST</t>
  </si>
  <si>
    <t>TER-TE-C01-1FB</t>
  </si>
  <si>
    <t>TER-TE-C01-1FC</t>
  </si>
  <si>
    <t>TER-TE-C01-1FD</t>
  </si>
  <si>
    <t>TER-TE-C01-1FE</t>
  </si>
  <si>
    <t>TER-TE-C01-1FF</t>
  </si>
  <si>
    <t>TER-TE-C01-1FG</t>
  </si>
  <si>
    <t>TER-TE-C01-1FH</t>
  </si>
  <si>
    <t>TER-TE-C01-1FI</t>
  </si>
  <si>
    <t>TER-TE-C01-1FJ</t>
  </si>
  <si>
    <t>TER-TE-C01-1FK</t>
  </si>
  <si>
    <t>TER-TE-C01-1FL</t>
  </si>
  <si>
    <t>TER-TE-C01-1FM</t>
  </si>
  <si>
    <t>TER-TE-C01-1FN</t>
  </si>
  <si>
    <t>TER-TE-C01-1FO</t>
  </si>
  <si>
    <t>TER-TE-C01-1FP</t>
  </si>
  <si>
    <t>TER-TE-C01-1FQ</t>
  </si>
  <si>
    <t>TER-TE-C01-1FR</t>
  </si>
  <si>
    <t>TER-TE-C01-1FS</t>
  </si>
  <si>
    <t>TER-TE-C01-1FT</t>
  </si>
  <si>
    <t>TER-TE-C01-1FU</t>
  </si>
  <si>
    <t>TER-TE-C01-1FV</t>
  </si>
  <si>
    <t>TER-TE-C01-1FW</t>
  </si>
  <si>
    <t>TER-TE-C01-1FX</t>
  </si>
  <si>
    <t>TER-TE-C01-2FA</t>
  </si>
  <si>
    <t>C-01 /  2ND</t>
  </si>
  <si>
    <t>TER-TE-C01-2FB</t>
  </si>
  <si>
    <t>TER-TE-C01-2FC</t>
  </si>
  <si>
    <t>TER-TE-C01-2FD</t>
  </si>
  <si>
    <t>TER-TE-C01-2FE</t>
  </si>
  <si>
    <t>TER-TE-C01-2FF</t>
  </si>
  <si>
    <t>TER-TE-C01-2FG</t>
  </si>
  <si>
    <t>TER-TE-C01-2FH</t>
  </si>
  <si>
    <t>TER-TE-C01-2FI</t>
  </si>
  <si>
    <t>TER-TE-C01-2FJ</t>
  </si>
  <si>
    <t>TER-TE-C01-2FK</t>
  </si>
  <si>
    <t>TER-TE-C01-2FL</t>
  </si>
  <si>
    <t>TER-TE-C01-2FM</t>
  </si>
  <si>
    <t>TER-TE-C01-2FN</t>
  </si>
  <si>
    <t>TER-TE-C01-3FA</t>
  </si>
  <si>
    <t>C-01 /  3RD</t>
  </si>
  <si>
    <t>TER-TE-C01-3FB</t>
  </si>
  <si>
    <t>TER-TE-C01-3FC</t>
  </si>
  <si>
    <t>TER-TE-C01-3FD</t>
  </si>
  <si>
    <t>TER-TE-C01-3FE</t>
  </si>
  <si>
    <t>TER-TE-C01-3FF</t>
  </si>
  <si>
    <t>TER-TE-C01-3FG</t>
  </si>
  <si>
    <t>TER-TE-C01-3FH</t>
  </si>
  <si>
    <t>TER-TE-C01-3FI</t>
  </si>
  <si>
    <t>TER-TE-C01-3FJ</t>
  </si>
  <si>
    <t>TER-TE-C01-3FK</t>
  </si>
  <si>
    <t>TER-TE-C01-3FL</t>
  </si>
  <si>
    <t>TER-TE-C01-3FM</t>
  </si>
  <si>
    <t>TER-TE-C01-3FN</t>
  </si>
  <si>
    <t>TER-TE-C01-5FA</t>
  </si>
  <si>
    <t>C-01 /  5TH</t>
  </si>
  <si>
    <t>TER-TE-C01-5FB</t>
  </si>
  <si>
    <t>TER-TE-C01-5FC</t>
  </si>
  <si>
    <t>TER-TE-C01-5FD</t>
  </si>
  <si>
    <t>TER-TE-C01-5FE</t>
  </si>
  <si>
    <t>TER-TE-C01-5FF</t>
  </si>
  <si>
    <t>TER-TE-C01-5FG</t>
  </si>
  <si>
    <t>TER-TE-C01-5FH</t>
  </si>
  <si>
    <t>TER-TE-C01-5FI</t>
  </si>
  <si>
    <t>TER-TE-C01-5FJ</t>
  </si>
  <si>
    <t>TER-TE-C01-5FK</t>
  </si>
  <si>
    <t>TER-TE-C01-5FL</t>
  </si>
  <si>
    <t>TER-TE-C01-5FM</t>
  </si>
  <si>
    <t>TER-TE-C01-5FN</t>
  </si>
  <si>
    <t>TER-TE-C01-PHA</t>
  </si>
  <si>
    <t>C-01 /  PENTHOUSE</t>
  </si>
  <si>
    <t>TER-TE-C01-PHB</t>
  </si>
  <si>
    <t>TER-TE-C01-PHC</t>
  </si>
  <si>
    <t>TER-TE-C01-PHD</t>
  </si>
  <si>
    <t>TER-TE-C01-PHE</t>
  </si>
  <si>
    <t>TER-TE-C01-PHF</t>
  </si>
  <si>
    <t>TER-TE-C01-PHG</t>
  </si>
  <si>
    <t>TER-TE-C01-PHH</t>
  </si>
  <si>
    <t>TER-TE-C01-PHI</t>
  </si>
  <si>
    <t>TER-TE-C01-PHJ</t>
  </si>
  <si>
    <t>TER-TE-C01-PHK</t>
  </si>
  <si>
    <t>TER-TE-C01-PHL</t>
  </si>
  <si>
    <t>TER-TE-C01-PHM</t>
  </si>
  <si>
    <t>TER-TE-C01-PHN</t>
  </si>
  <si>
    <t>TER-TE-C02-PHA</t>
  </si>
  <si>
    <t>C-02</t>
  </si>
  <si>
    <t>C-02 /  PENTHOUSE</t>
  </si>
  <si>
    <t>1BR / End</t>
  </si>
  <si>
    <t>TER-TE-C02-PHB</t>
  </si>
  <si>
    <t>TER-TE-C02-PHC</t>
  </si>
  <si>
    <t>TER-TE-C02-PHD</t>
  </si>
  <si>
    <t>TER-TE-C02-PHE</t>
  </si>
  <si>
    <t>TER-TE-C02-PHF</t>
  </si>
  <si>
    <t>TER-TE-C02-PHG</t>
  </si>
  <si>
    <t>TER-TE-C02-PHH</t>
  </si>
  <si>
    <t>TER-TE-C02-PHI</t>
  </si>
  <si>
    <t>TER-TE-C02-PHJ</t>
  </si>
  <si>
    <t>TER-TE-C02-PHK</t>
  </si>
  <si>
    <t>TER-TE-C02-PHL</t>
  </si>
  <si>
    <t>TER-TE-C02-PHM</t>
  </si>
  <si>
    <t>TER-TE-C02-PHN</t>
  </si>
  <si>
    <t>TER-TE-C02-PHO</t>
  </si>
  <si>
    <t>TER-TE-C02-PHP</t>
  </si>
  <si>
    <t>TER-TE-C02-PHQ</t>
  </si>
  <si>
    <t>TER-TE-C02-PHR</t>
  </si>
  <si>
    <t>TER-TE-C02-PHS</t>
  </si>
  <si>
    <t>TER-TE-C02-PHT</t>
  </si>
  <si>
    <t>TER-TE-C02-PHU</t>
  </si>
  <si>
    <t>TER-TE-C02-PHV</t>
  </si>
  <si>
    <t>TER-TE-C02-5FA</t>
  </si>
  <si>
    <t>C-02 /  5TH</t>
  </si>
  <si>
    <t>TER-TE-C02-5FB</t>
  </si>
  <si>
    <t>TER-TE-C02-5FC</t>
  </si>
  <si>
    <t>TER-TE-C02-5FD</t>
  </si>
  <si>
    <t>TER-TE-C02-5FE</t>
  </si>
  <si>
    <t>TER-TE-C02-5FF</t>
  </si>
  <si>
    <t>TER-TE-C02-5FG</t>
  </si>
  <si>
    <t>TER-TE-C02-5FH</t>
  </si>
  <si>
    <t>TER-TE-C02-5FI</t>
  </si>
  <si>
    <t>TER-TE-C02-5FJ</t>
  </si>
  <si>
    <t>TER-TE-C02-5FK</t>
  </si>
  <si>
    <t>TER-TE-C02-5FL</t>
  </si>
  <si>
    <t>TER-TE-C02-5FM</t>
  </si>
  <si>
    <t>TER-TE-C02-5FN</t>
  </si>
  <si>
    <t>TER-TE-C02-5FO</t>
  </si>
  <si>
    <t>TER-TE-C02-5FP</t>
  </si>
  <si>
    <t>TER-TE-C02-5FQ</t>
  </si>
  <si>
    <t>TER-TE-C02-5FR</t>
  </si>
  <si>
    <t>TER-TE-C02-5FS</t>
  </si>
  <si>
    <t>TER-TE-C02-5FT</t>
  </si>
  <si>
    <t>TER-TE-C02-5FU</t>
  </si>
  <si>
    <t>TER-TE-C02-5FV</t>
  </si>
  <si>
    <t>TER-TE-C02-3FA</t>
  </si>
  <si>
    <t>C-02 /  3RD</t>
  </si>
  <si>
    <t>TER-TE-C02-3FO</t>
  </si>
  <si>
    <t>TER-TE-C02-3FP</t>
  </si>
  <si>
    <t>TER-TE-C02-3FD</t>
  </si>
  <si>
    <t>TER-TE-C02-3FE</t>
  </si>
  <si>
    <t>TER-TE-C02-3FF</t>
  </si>
  <si>
    <t>TER-TE-C02-3FG</t>
  </si>
  <si>
    <t>TER-TE-C02-3FH</t>
  </si>
  <si>
    <t>TER-TE-C02-3FS</t>
  </si>
  <si>
    <t>TER-TE-C02-3FT</t>
  </si>
  <si>
    <t>TER-TE-C02-3FK</t>
  </si>
  <si>
    <t>TER-TE-C02-3FL</t>
  </si>
  <si>
    <t>TER-TE-C02-3FV</t>
  </si>
  <si>
    <t>TER-TE-C02-3FB</t>
  </si>
  <si>
    <t>TER-TE-C02-3FC</t>
  </si>
  <si>
    <t>TER-TE-C02-3FI</t>
  </si>
  <si>
    <t>TER-TE-C02-3FQ</t>
  </si>
  <si>
    <t>TER-TE-C02-3FR</t>
  </si>
  <si>
    <t>TER-TE-C02-3FJ</t>
  </si>
  <si>
    <t>TER-TE-C02-3FM</t>
  </si>
  <si>
    <t>TER-TE-C02-3FU</t>
  </si>
  <si>
    <t>TER-TE-C02-3FN</t>
  </si>
  <si>
    <t>TER-TE-C02-2FA</t>
  </si>
  <si>
    <t>C-02 /  2ND</t>
  </si>
  <si>
    <t>TER-TE-C02-2FB</t>
  </si>
  <si>
    <t>TER-TE-C02-2FC</t>
  </si>
  <si>
    <t>TER-TE-C02-2FD</t>
  </si>
  <si>
    <t>TER-TE-C02-2FE</t>
  </si>
  <si>
    <t>TER-TE-C02-2FF</t>
  </si>
  <si>
    <t>TER-TE-C02-2FG</t>
  </si>
  <si>
    <t>TER-TE-C02-2FH</t>
  </si>
  <si>
    <t>TER-TE-C02-2FI</t>
  </si>
  <si>
    <t>TER-TE-C02-2FJ</t>
  </si>
  <si>
    <t>TER-TE-C02-2FK</t>
  </si>
  <si>
    <t>TER-TE-C02-2FL</t>
  </si>
  <si>
    <t>TER-TE-C02-2FM</t>
  </si>
  <si>
    <t>TER-TE-C02-2FN</t>
  </si>
  <si>
    <t>TER-TE-C02-2FO</t>
  </si>
  <si>
    <t>TER-TE-C02-2FP</t>
  </si>
  <si>
    <t>TER-TE-C02-2FQ</t>
  </si>
  <si>
    <t>TER-TE-C02-2FR</t>
  </si>
  <si>
    <t>TER-TE-C02-2FS</t>
  </si>
  <si>
    <t>TER-TE-C02-2FT</t>
  </si>
  <si>
    <t>TER-TE-C02-2FU</t>
  </si>
  <si>
    <t>TER-TE-C02-2FV</t>
  </si>
  <si>
    <t>TER-TE-C02-1FA</t>
  </si>
  <si>
    <t>C-02 /  1ST</t>
  </si>
  <si>
    <t>TER-TE-C02-1FB</t>
  </si>
  <si>
    <t>TER-TE-C02-1FC</t>
  </si>
  <si>
    <t>TER-TE-C02-1FD</t>
  </si>
  <si>
    <t>TER-TE-C02-1FE</t>
  </si>
  <si>
    <t>TER-TE-C02-1FF</t>
  </si>
  <si>
    <t>TER-TE-C02-1FG</t>
  </si>
  <si>
    <t>TER-TE-C02-1FH</t>
  </si>
  <si>
    <t>TER-TE-C02-1FI</t>
  </si>
  <si>
    <t>TER-TE-C02-1FJ</t>
  </si>
  <si>
    <t>TER-TE-C02-1FK</t>
  </si>
  <si>
    <t>TER-TE-C02-1FL</t>
  </si>
  <si>
    <t>TER-TE-C02-1FM</t>
  </si>
  <si>
    <t>TER-TE-C02-1FN</t>
  </si>
  <si>
    <t>TER-TE-C02-1FO</t>
  </si>
  <si>
    <t>TER-TE-C02-1FP</t>
  </si>
  <si>
    <t>TER-TE-C02-1FQ</t>
  </si>
  <si>
    <t>TER-TE-C02-1FR</t>
  </si>
  <si>
    <t>TER-TE-C02-1FS</t>
  </si>
  <si>
    <t>TER-TE-C02-1FT</t>
  </si>
  <si>
    <t>TER-TE-C02-1FU</t>
  </si>
  <si>
    <t>TER-TE-C02-1FV</t>
  </si>
  <si>
    <t>TER-TE-C02-001</t>
  </si>
  <si>
    <t>C-02 /  GF</t>
  </si>
  <si>
    <t>TER-TE-C02-002</t>
  </si>
  <si>
    <t>TER-TE-C02-003</t>
  </si>
  <si>
    <t>TER-TE-C02-004</t>
  </si>
  <si>
    <t>TER-TE-C02-005</t>
  </si>
  <si>
    <t>TER-TE-C02-006</t>
  </si>
  <si>
    <t>TER-TE-C02-007</t>
  </si>
  <si>
    <t>TER-TE-C02-008</t>
  </si>
  <si>
    <t>TER-TE-C02-009</t>
  </si>
  <si>
    <t>TER-TE-C02-010</t>
  </si>
  <si>
    <t>TER-TE-C02-0011</t>
  </si>
  <si>
    <t>TER-TE-C02-012</t>
  </si>
  <si>
    <t>TER-TE-C02-013</t>
  </si>
  <si>
    <t>TER-TE-C02-014</t>
  </si>
  <si>
    <t>TER-TE-C02-015</t>
  </si>
  <si>
    <t>TER-TE-C02-016</t>
  </si>
  <si>
    <t>TER-TE-C02-017</t>
  </si>
  <si>
    <t>TER-TE-C02-018</t>
  </si>
  <si>
    <t>TER-TE-C02-019</t>
  </si>
  <si>
    <t>TER-JE-A01-1FA</t>
  </si>
  <si>
    <t>Terraces at Jubilation Enclave</t>
  </si>
  <si>
    <t>A-01 / 1ST</t>
  </si>
  <si>
    <t>TER-JE-A01-1FB</t>
  </si>
  <si>
    <t>TER-JE-A01-1FC</t>
  </si>
  <si>
    <t>TER-JE-A01-1FD</t>
  </si>
  <si>
    <t>TER-JE-A01-1FE</t>
  </si>
  <si>
    <t>TER-JE-A01-1FF</t>
  </si>
  <si>
    <t>TER-JE-A01-1FG</t>
  </si>
  <si>
    <t>TER-JE-A01-1FH</t>
  </si>
  <si>
    <t>TER-JE-A01-1FI</t>
  </si>
  <si>
    <t>TER-JE-A01-1FJ</t>
  </si>
  <si>
    <t>TER-JE-A01-1FK</t>
  </si>
  <si>
    <t>TER-JE-A01-1FL</t>
  </si>
  <si>
    <t>TER-JE-A01-1FM</t>
  </si>
  <si>
    <t>TER-JE-A01-1FN</t>
  </si>
  <si>
    <t>TER-JE-A01-1FO</t>
  </si>
  <si>
    <t>TER-JE-A01-1FP</t>
  </si>
  <si>
    <t>TER-JE-A01-1FQ</t>
  </si>
  <si>
    <t>TER-JE-A01-1FR</t>
  </si>
  <si>
    <t>TER-JE-A01-1FS</t>
  </si>
  <si>
    <t>TER-JE-A01-1FT</t>
  </si>
  <si>
    <t>TER-JE-A01-1FU</t>
  </si>
  <si>
    <t>TER-JE-A01-1FV</t>
  </si>
  <si>
    <t>TER-JE-A01-1FW</t>
  </si>
  <si>
    <t>TER-JE-A01-1FX</t>
  </si>
  <si>
    <t>TER-JE-A01-1FY</t>
  </si>
  <si>
    <t>Y</t>
  </si>
  <si>
    <t>TER-JE-A01-1FZ</t>
  </si>
  <si>
    <t>Z</t>
  </si>
  <si>
    <t>TER-JE-A01-2FA</t>
  </si>
  <si>
    <t>A-01 / 2ND</t>
  </si>
  <si>
    <t>TER-JE-A01-2FB</t>
  </si>
  <si>
    <t>TER-JE-A01-2FC</t>
  </si>
  <si>
    <t>TER-JE-A01-2FD</t>
  </si>
  <si>
    <t>TER-JE-A01-2FE</t>
  </si>
  <si>
    <t>TER-JE-A01-2FF</t>
  </si>
  <si>
    <t>TER-JE-A01-2FG</t>
  </si>
  <si>
    <t>TER-JE-A01-2FH</t>
  </si>
  <si>
    <t>TER-JE-A01-2FI</t>
  </si>
  <si>
    <t>TER-JE-A01-2FJ</t>
  </si>
  <si>
    <t>TER-JE-A01-2FK</t>
  </si>
  <si>
    <t>TER-JE-A01-2FL</t>
  </si>
  <si>
    <t>TER-JE-A01-2FM</t>
  </si>
  <si>
    <t>TER-JE-A01-2FN</t>
  </si>
  <si>
    <t>TER-JE-A01-2FO</t>
  </si>
  <si>
    <t>TER-JE-A01-2FP</t>
  </si>
  <si>
    <t>TER-JE-A01-2FQ</t>
  </si>
  <si>
    <t>TER-JE-A01-2FR</t>
  </si>
  <si>
    <t>TER-JE-A01-2FS</t>
  </si>
  <si>
    <t>TER-JE-A01-2FT</t>
  </si>
  <si>
    <t>TER-JE-A01-2FU</t>
  </si>
  <si>
    <t>TER-JE-A01-2FV</t>
  </si>
  <si>
    <t>TER-JE-A01-2FW</t>
  </si>
  <si>
    <t>TER-JE-A01-2FX</t>
  </si>
  <si>
    <t>TER-JE-A01-2FY</t>
  </si>
  <si>
    <t>TER-JE-A01-2FZ</t>
  </si>
  <si>
    <t>TER-JE-A01-3FA</t>
  </si>
  <si>
    <t>A-01 / 3RD</t>
  </si>
  <si>
    <t>TER-JE-A01-3FB</t>
  </si>
  <si>
    <t>TER-JE-A01-3FC</t>
  </si>
  <si>
    <t>TER-JE-A01-3FD</t>
  </si>
  <si>
    <t>TER-JE-A01-3FE</t>
  </si>
  <si>
    <t>TER-JE-A01-3FF</t>
  </si>
  <si>
    <t>TER-JE-A01-3FG</t>
  </si>
  <si>
    <t>TER-JE-A01-3FH</t>
  </si>
  <si>
    <t>TER-JE-A01-3FI</t>
  </si>
  <si>
    <t>TER-JE-A01-3FJ</t>
  </si>
  <si>
    <t>TER-JE-A01-3FK</t>
  </si>
  <si>
    <t>TER-JE-A01-3FL</t>
  </si>
  <si>
    <t>TER-JE-A01-3FM</t>
  </si>
  <si>
    <t>TER-JE-A01-3FN</t>
  </si>
  <si>
    <t>TER-JE-A01-3FO</t>
  </si>
  <si>
    <t>TER-JE-A01-3FP</t>
  </si>
  <si>
    <t>TER-JE-A01-3FQ</t>
  </si>
  <si>
    <t>TER-JE-A01-3FR</t>
  </si>
  <si>
    <t>TER-JE-A01-3FS</t>
  </si>
  <si>
    <t>TER-JE-A01-3FT</t>
  </si>
  <si>
    <t>TER-JE-A01-3FU</t>
  </si>
  <si>
    <t>TER-JE-A01-3FV</t>
  </si>
  <si>
    <t>TER-JE-A01-3FW</t>
  </si>
  <si>
    <t>TER-JE-A01-3FX</t>
  </si>
  <si>
    <t>TER-JE-A01-3FY</t>
  </si>
  <si>
    <t>TER-JE-A01-3FZ</t>
  </si>
  <si>
    <t>TER-JE-A01-5FA</t>
  </si>
  <si>
    <t>A-01 / 5TH</t>
  </si>
  <si>
    <t>TER-JE-A01-5FB</t>
  </si>
  <si>
    <t>TER-JE-A01-5FC</t>
  </si>
  <si>
    <t>TER-JE-A01-5FD</t>
  </si>
  <si>
    <t>TER-JE-A01-5FE</t>
  </si>
  <si>
    <t>TER-JE-A01-5FF</t>
  </si>
  <si>
    <t>TER-JE-A01-5FG</t>
  </si>
  <si>
    <t>TER-JE-A01-5FH</t>
  </si>
  <si>
    <t>TER-JE-A01-5FI</t>
  </si>
  <si>
    <t>TER-JE-A01-5FJ</t>
  </si>
  <si>
    <t>TER-JE-A01-5FK</t>
  </si>
  <si>
    <t>TER-JE-A01-5FL</t>
  </si>
  <si>
    <t>TER-JE-A01-5FM</t>
  </si>
  <si>
    <t>TER-JE-A01-5FN</t>
  </si>
  <si>
    <t>TER-JE-A01-5FO</t>
  </si>
  <si>
    <t>TER-JE-A01-5FP</t>
  </si>
  <si>
    <t>TER-JE-A01-5FQ</t>
  </si>
  <si>
    <t>TER-JE-A01-5FR</t>
  </si>
  <si>
    <t>TER-JE-A01-5FS</t>
  </si>
  <si>
    <t>TER-JE-A01-5FT</t>
  </si>
  <si>
    <t>TER-JE-A01-5FU</t>
  </si>
  <si>
    <t>TER-JE-A01-5FV</t>
  </si>
  <si>
    <t>TER-JE-A01-5FW</t>
  </si>
  <si>
    <t>TER-JE-A01-5FX</t>
  </si>
  <si>
    <t>TER-JE-A01-5FY</t>
  </si>
  <si>
    <t>TER-JE-A01-5FZ</t>
  </si>
  <si>
    <t>TER-JE-A01-GFA</t>
  </si>
  <si>
    <t>A-01 / GF</t>
  </si>
  <si>
    <t>TER-JE-A01-GFB</t>
  </si>
  <si>
    <t>TER-JE-A01-GFC</t>
  </si>
  <si>
    <t>TER-JE-A01-GFD</t>
  </si>
  <si>
    <t>TER-JE-A01-GFE</t>
  </si>
  <si>
    <t>TER-JE-A01-GFF</t>
  </si>
  <si>
    <t>TER-JE-A01-GFG</t>
  </si>
  <si>
    <t>TER-JE-A01-GFH</t>
  </si>
  <si>
    <t>TER-JE-A01-GFI</t>
  </si>
  <si>
    <t>TER-JE-A01-GFJ</t>
  </si>
  <si>
    <t>TER-JE-A01-GFK</t>
  </si>
  <si>
    <t>TER-JE-A01-GFL</t>
  </si>
  <si>
    <t>TER-JE-A01-GFM</t>
  </si>
  <si>
    <t>TER-JE-A01-GFN</t>
  </si>
  <si>
    <t>TER-JE-A01-GFO</t>
  </si>
  <si>
    <t>TER-JE-A01-GFP</t>
  </si>
  <si>
    <t>TER-JE-A01-GFQ</t>
  </si>
  <si>
    <t>TER-JE-A01-GFR</t>
  </si>
  <si>
    <t>TER-JE-A01-GFS</t>
  </si>
  <si>
    <t>TER-JE-A01-GFT</t>
  </si>
  <si>
    <t>TER-JE-A01-GFU</t>
  </si>
  <si>
    <t>TER-JE-A01-GFV</t>
  </si>
  <si>
    <t>TER-JE-A01-GFW</t>
  </si>
  <si>
    <t>TER-JE-A01-GFX</t>
  </si>
  <si>
    <t>TER-JE-A01-GFY</t>
  </si>
  <si>
    <t>TER-JE-A01-PHA</t>
  </si>
  <si>
    <t>A-01 / PENTHOUSE</t>
  </si>
  <si>
    <t>TER-JE-A01-PHB</t>
  </si>
  <si>
    <t>TER-JE-A01-PHC</t>
  </si>
  <si>
    <t>TER-JE-A01-PHD</t>
  </si>
  <si>
    <t>TER-JE-A01-PHE</t>
  </si>
  <si>
    <t>TER-JE-A01-PHF</t>
  </si>
  <si>
    <t>TER-JE-A01-PHG</t>
  </si>
  <si>
    <t>TER-JE-A01-PHH</t>
  </si>
  <si>
    <t>TER-JE-A01-PHI</t>
  </si>
  <si>
    <t>TER-JE-A01-PHJ</t>
  </si>
  <si>
    <t>TER-JE-A01-PHK</t>
  </si>
  <si>
    <t>TER-JE-A01-PHL</t>
  </si>
  <si>
    <t>TER-JE-A01-PHM</t>
  </si>
  <si>
    <t>TER-JE-A01-PHN</t>
  </si>
  <si>
    <t>TER-JE-A01-PHO</t>
  </si>
  <si>
    <t>TER-JE-A01-PHP</t>
  </si>
  <si>
    <t>TER-JE-A01-PHQ</t>
  </si>
  <si>
    <t>TER-JE-A01-PHR</t>
  </si>
  <si>
    <t>TER-JE-A01-PHS</t>
  </si>
  <si>
    <t>TER-JE-A01-PHT</t>
  </si>
  <si>
    <t>TER-JE-A01-PHU</t>
  </si>
  <si>
    <t>TER-JE-A01-PHV</t>
  </si>
  <si>
    <t>TER-JE-A01-PHW</t>
  </si>
  <si>
    <t>TER-JE-A01-PHX</t>
  </si>
  <si>
    <t>TER-JE-A01-PHY</t>
  </si>
  <si>
    <t>TER-JE-A01-PHZ</t>
  </si>
  <si>
    <t>TER-JE-A02-1FA</t>
  </si>
  <si>
    <t>A-02</t>
  </si>
  <si>
    <t>A-02 / 1ST</t>
  </si>
  <si>
    <t>TER-JE-A02-1FB</t>
  </si>
  <si>
    <t>TER-JE-A02-1FC</t>
  </si>
  <si>
    <t>TER-JE-A02-1FD</t>
  </si>
  <si>
    <t>TER-JE-A02-1FE</t>
  </si>
  <si>
    <t>TER-JE-A02-1FF</t>
  </si>
  <si>
    <t>TER-JE-A02-1FG</t>
  </si>
  <si>
    <t>TER-JE-A02-1FH</t>
  </si>
  <si>
    <t>TER-JE-A02-1FI</t>
  </si>
  <si>
    <t>TER-JE-A02-1FJ</t>
  </si>
  <si>
    <t>TER-JE-A02-1FK</t>
  </si>
  <si>
    <t>TER-JE-A02-1FL</t>
  </si>
  <si>
    <t>TER-JE-A02-1FM</t>
  </si>
  <si>
    <t>TER-JE-A02-1FN</t>
  </si>
  <si>
    <t>TER-JE-A02-1FO</t>
  </si>
  <si>
    <t>TER-JE-A02-1FP</t>
  </si>
  <si>
    <t>TER-JE-A02-1FQ</t>
  </si>
  <si>
    <t>TER-JE-A02-1FR</t>
  </si>
  <si>
    <t>TER-JE-A02-2FA</t>
  </si>
  <si>
    <t>A-02 / 2ND</t>
  </si>
  <si>
    <t>TER-JE-A02-2FB</t>
  </si>
  <si>
    <t>TER-JE-A02-2FC</t>
  </si>
  <si>
    <t>TER-JE-A02-2FD</t>
  </si>
  <si>
    <t>TER-JE-A02-2FE</t>
  </si>
  <si>
    <t>TER-JE-A02-2FF</t>
  </si>
  <si>
    <t>TER-JE-A02-2FG</t>
  </si>
  <si>
    <t>TER-JE-A02-2FH</t>
  </si>
  <si>
    <t>TER-JE-A02-2FI</t>
  </si>
  <si>
    <t>TER-JE-A02-2FJ</t>
  </si>
  <si>
    <t>TER-JE-A02-2FK</t>
  </si>
  <si>
    <t>TER-JE-A02-2FL</t>
  </si>
  <si>
    <t>TER-JE-A02-2FM</t>
  </si>
  <si>
    <t>TER-JE-A02-2FN</t>
  </si>
  <si>
    <t>TER-JE-A02-2FO</t>
  </si>
  <si>
    <t>TER-JE-A02-2FP</t>
  </si>
  <si>
    <t>TER-JE-A02-2FQ</t>
  </si>
  <si>
    <t>TER-JE-A02-2FR</t>
  </si>
  <si>
    <t>TER-JE-A02-3FA</t>
  </si>
  <si>
    <t>A-02 / 3RD</t>
  </si>
  <si>
    <t>TER-JE-A02-3FB</t>
  </si>
  <si>
    <t>TER-JE-A02-3FC</t>
  </si>
  <si>
    <t>TER-JE-A02-3FD</t>
  </si>
  <si>
    <t>TER-JE-A02-3FE</t>
  </si>
  <si>
    <t>TER-JE-A02-3FF</t>
  </si>
  <si>
    <t>TER-JE-A02-3FG</t>
  </si>
  <si>
    <t>TER-JE-A02-3FH</t>
  </si>
  <si>
    <t>TER-JE-A02-3FI</t>
  </si>
  <si>
    <t>TER-JE-A02-3FJ</t>
  </si>
  <si>
    <t>TER-JE-A02-3FK</t>
  </si>
  <si>
    <t>TER-JE-A02-3FL</t>
  </si>
  <si>
    <t>TER-JE-A02-3FM</t>
  </si>
  <si>
    <t>TER-JE-A02-3FN</t>
  </si>
  <si>
    <t>TER-JE-A02-3FO</t>
  </si>
  <si>
    <t>TER-JE-A02-3FP</t>
  </si>
  <si>
    <t>TER-JE-A02-3FQ</t>
  </si>
  <si>
    <t>TER-JE-A02-3FR</t>
  </si>
  <si>
    <t>TER-JE-A02-5FA</t>
  </si>
  <si>
    <t>A-02 / 5TH</t>
  </si>
  <si>
    <t>TER-JE-A02-5FB</t>
  </si>
  <si>
    <t>TER-JE-A02-5FC</t>
  </si>
  <si>
    <t>TER-JE-A02-5FD</t>
  </si>
  <si>
    <t>TER-JE-A02-5FE</t>
  </si>
  <si>
    <t>TER-JE-A02-5FF</t>
  </si>
  <si>
    <t>TER-JE-A02-5FG</t>
  </si>
  <si>
    <t>TER-JE-A02-5FH</t>
  </si>
  <si>
    <t>TER-JE-A02-5FI</t>
  </si>
  <si>
    <t>TER-JE-A02-5FJ</t>
  </si>
  <si>
    <t>TER-JE-A02-5FK</t>
  </si>
  <si>
    <t>TER-JE-A02-5FL</t>
  </si>
  <si>
    <t>TER-JE-A02-5FM</t>
  </si>
  <si>
    <t>TER-JE-A02-5FN</t>
  </si>
  <si>
    <t>TER-JE-A02-5FO</t>
  </si>
  <si>
    <t>TER-JE-A02-5FP</t>
  </si>
  <si>
    <t>TER-JE-A02-5FQ</t>
  </si>
  <si>
    <t>TER-JE-A02-5FR</t>
  </si>
  <si>
    <t>TER-JE-A02-GFA</t>
  </si>
  <si>
    <t>A-02 / GF</t>
  </si>
  <si>
    <t>TER-JE-A02-GFB</t>
  </si>
  <si>
    <t>TER-JE-A02-GFC</t>
  </si>
  <si>
    <t>TER-JE-A02-GFD</t>
  </si>
  <si>
    <t>TER-JE-A02-GFE</t>
  </si>
  <si>
    <t>TER-JE-A02-GFF</t>
  </si>
  <si>
    <t>TER-JE-A02-GFG</t>
  </si>
  <si>
    <t>TER-JE-A02-GFH</t>
  </si>
  <si>
    <t>TER-JE-A02-GFI</t>
  </si>
  <si>
    <t>TER-JE-A02-GFJ</t>
  </si>
  <si>
    <t>TER-JE-A02-GFK</t>
  </si>
  <si>
    <t>TER-JE-A02-GFL</t>
  </si>
  <si>
    <t>TER-JE-A02-GFM</t>
  </si>
  <si>
    <t>TER-JE-A02-GFN</t>
  </si>
  <si>
    <t>TER-JE-A02-GFO</t>
  </si>
  <si>
    <t>TER-JE-A02-GFP</t>
  </si>
  <si>
    <t>TER-JE-A02-GFQ</t>
  </si>
  <si>
    <t>TER-JE-A02-PHA</t>
  </si>
  <si>
    <t>A-02 / PENTHOUSE</t>
  </si>
  <si>
    <t>TER-JE-A02-PHB</t>
  </si>
  <si>
    <t>TER-JE-A02-PHC</t>
  </si>
  <si>
    <t>TER-JE-A02-PHD</t>
  </si>
  <si>
    <t>TER-JE-A02-PHE</t>
  </si>
  <si>
    <t>TER-JE-A02-PHF</t>
  </si>
  <si>
    <t>TER-JE-A02-PHG</t>
  </si>
  <si>
    <t>TER-JE-A02-PHH</t>
  </si>
  <si>
    <t>TER-JE-A02-PHI</t>
  </si>
  <si>
    <t>TER-JE-A02-PHJ</t>
  </si>
  <si>
    <t>TER-JE-A02-PHK</t>
  </si>
  <si>
    <t>TER-JE-A02-PHL</t>
  </si>
  <si>
    <t>TER-JE-A02-PHM</t>
  </si>
  <si>
    <t>TER-JE-A02-PHN</t>
  </si>
  <si>
    <t>TER-JE-A02-PHO</t>
  </si>
  <si>
    <t>TER-JE-A02-PHP</t>
  </si>
  <si>
    <t>TER-JE-A02-PHQ</t>
  </si>
  <si>
    <t>TER-JE-A02-PHR</t>
  </si>
  <si>
    <t>TER-JE-B01-1FA</t>
  </si>
  <si>
    <t>B-01 / 1ST</t>
  </si>
  <si>
    <t>TER-JE-B01-1FB</t>
  </si>
  <si>
    <t>TER-JE-B01-1FC</t>
  </si>
  <si>
    <t>TER-JE-B01-1FD</t>
  </si>
  <si>
    <t>TER-JE-B01-1FE</t>
  </si>
  <si>
    <t>TER-JE-B01-1FF</t>
  </si>
  <si>
    <t>TER-JE-B01-1FG</t>
  </si>
  <si>
    <t>TER-JE-B01-1FH</t>
  </si>
  <si>
    <t>TER-JE-B01-1FI</t>
  </si>
  <si>
    <t>TER-JE-B01-1FJ</t>
  </si>
  <si>
    <t>TER-JE-B01-1FK</t>
  </si>
  <si>
    <t>TER-JE-B01-1FL</t>
  </si>
  <si>
    <t>TER-JE-B01-1FM</t>
  </si>
  <si>
    <t>TER-JE-B01-1FN</t>
  </si>
  <si>
    <t>TER-JE-B01-2FA</t>
  </si>
  <si>
    <t>B-01 / 2ND</t>
  </si>
  <si>
    <t>TER-JE-B01-2FB</t>
  </si>
  <si>
    <t>TER-JE-B01-2FC</t>
  </si>
  <si>
    <t>TER-JE-B01-2FD</t>
  </si>
  <si>
    <t>TER-JE-B01-2FE</t>
  </si>
  <si>
    <t>TER-JE-B01-2FF</t>
  </si>
  <si>
    <t>TER-JE-B01-2FG</t>
  </si>
  <si>
    <t>TER-JE-B01-2FH</t>
  </si>
  <si>
    <t>TER-JE-B01-2FI</t>
  </si>
  <si>
    <t>TER-JE-B01-2FJ</t>
  </si>
  <si>
    <t>TER-JE-B01-2FK</t>
  </si>
  <si>
    <t>TER-JE-B01-2FL</t>
  </si>
  <si>
    <t>TER-JE-B01-2FM</t>
  </si>
  <si>
    <t>TER-JE-B01-2FN</t>
  </si>
  <si>
    <t>TER-JE-B01-3FA</t>
  </si>
  <si>
    <t>B-01 / 3RD</t>
  </si>
  <si>
    <t>TER-JE-B01-3FB</t>
  </si>
  <si>
    <t>TER-JE-B01-3FC</t>
  </si>
  <si>
    <t>TER-JE-B01-3FD</t>
  </si>
  <si>
    <t>TER-JE-B01-3FE</t>
  </si>
  <si>
    <t>TER-JE-B01-3FF</t>
  </si>
  <si>
    <t>TER-JE-B01-3FG</t>
  </si>
  <si>
    <t>TER-JE-B01-3FH</t>
  </si>
  <si>
    <t>TER-JE-B01-3FI</t>
  </si>
  <si>
    <t>TER-JE-B01-3FJ</t>
  </si>
  <si>
    <t>TER-JE-B01-3FK</t>
  </si>
  <si>
    <t>TER-JE-B01-3FL</t>
  </si>
  <si>
    <t>TER-JE-B01-3FM</t>
  </si>
  <si>
    <t>TER-JE-B01-3FN</t>
  </si>
  <si>
    <t>TER-JE-B01-5FA</t>
  </si>
  <si>
    <t>B-01 / 5TH</t>
  </si>
  <si>
    <t>TER-JE-B01-5FB</t>
  </si>
  <si>
    <t>TER-JE-B01-5FC</t>
  </si>
  <si>
    <t>TER-JE-B01-5FD</t>
  </si>
  <si>
    <t>TER-JE-B01-5FE</t>
  </si>
  <si>
    <t>TER-JE-B01-5FF</t>
  </si>
  <si>
    <t>TER-JE-B01-5FG</t>
  </si>
  <si>
    <t>TER-JE-B01-5FH</t>
  </si>
  <si>
    <t>TER-JE-B01-5FI</t>
  </si>
  <si>
    <t>TER-JE-B01-5FJ</t>
  </si>
  <si>
    <t>TER-JE-B01-5FK</t>
  </si>
  <si>
    <t>TER-JE-B01-5FL</t>
  </si>
  <si>
    <t>TER-JE-B01-5FM</t>
  </si>
  <si>
    <t>TER-JE-B01-5FN</t>
  </si>
  <si>
    <t>TER-JE-B01-GFA</t>
  </si>
  <si>
    <t>B-01 / GF</t>
  </si>
  <si>
    <t>TER-JE-B01-GFB</t>
  </si>
  <si>
    <t>TER-JE-B01-GFC</t>
  </si>
  <si>
    <t>TER-JE-B01-GFD</t>
  </si>
  <si>
    <t>TER-JE-B01-GFE</t>
  </si>
  <si>
    <t>TER-JE-B01-GFF</t>
  </si>
  <si>
    <t>TER-JE-B01-GFG</t>
  </si>
  <si>
    <t>TER-JE-B01-GFH</t>
  </si>
  <si>
    <t>TER-JE-B01-GFI</t>
  </si>
  <si>
    <t>TER-JE-B01-GFJ</t>
  </si>
  <si>
    <t>TER-JE-B01-GFK</t>
  </si>
  <si>
    <t>TER-JE-B01-GFL</t>
  </si>
  <si>
    <t>TER-JE-B01-GFM</t>
  </si>
  <si>
    <t>TER-JE-B01-PHA</t>
  </si>
  <si>
    <t>B-01 / PENTHOUSE</t>
  </si>
  <si>
    <t>TER-JE-B01-PHB</t>
  </si>
  <si>
    <t>TER-JE-B01-PHC</t>
  </si>
  <si>
    <t>TER-JE-B01-PHD</t>
  </si>
  <si>
    <t>TER-JE-B01-PHE</t>
  </si>
  <si>
    <t>TER-JE-B01-PHF</t>
  </si>
  <si>
    <t>TER-JE-B01-PHG</t>
  </si>
  <si>
    <t>TER-JE-B01-PHH</t>
  </si>
  <si>
    <t>TER-JE-B01-PHI</t>
  </si>
  <si>
    <t>TER-JE-B01-PHJ</t>
  </si>
  <si>
    <t>TER-JE-B01-PHK</t>
  </si>
  <si>
    <t>TER-JE-B01-PHL</t>
  </si>
  <si>
    <t>TER-JE-B01-PHM</t>
  </si>
  <si>
    <t>TER-JE-B01-PHN</t>
  </si>
  <si>
    <t>TER-JE-PB01-1F01</t>
  </si>
  <si>
    <t>PB-01</t>
  </si>
  <si>
    <t>PB-01 / 1ST</t>
  </si>
  <si>
    <t>TER-JE-PB01-1F02</t>
  </si>
  <si>
    <t>TER-JE-PB01-1F03</t>
  </si>
  <si>
    <t>TER-JE-PB01-1F04</t>
  </si>
  <si>
    <t>TER-JE-PB01-1F05</t>
  </si>
  <si>
    <t>TER-JE-PB01-1F06</t>
  </si>
  <si>
    <t>TER-JE-PB01-1F07</t>
  </si>
  <si>
    <t>TER-JE-PB01-1F08</t>
  </si>
  <si>
    <t>TER-JE-PB01-1F09</t>
  </si>
  <si>
    <t>TER-JE-PB01-1F10</t>
  </si>
  <si>
    <t>TER-JE-PB01-1F11</t>
  </si>
  <si>
    <t>TER-JE-PB01-1F12</t>
  </si>
  <si>
    <t>TER-JE-PB01-1F13</t>
  </si>
  <si>
    <t>TER-JE-PB01-1F14</t>
  </si>
  <si>
    <t>TER-JE-PB01-1F15</t>
  </si>
  <si>
    <t>TER-JE-PB01-1F16</t>
  </si>
  <si>
    <t>TER-JE-PB01-1F17</t>
  </si>
  <si>
    <t>TER-JE-PB01-1F18</t>
  </si>
  <si>
    <t>TER-JE-PB01-1F19</t>
  </si>
  <si>
    <t>TER-JE-PB01-1F20</t>
  </si>
  <si>
    <t>TER-JE-PB01-1F21</t>
  </si>
  <si>
    <t>TER-JE-PB01-1F22</t>
  </si>
  <si>
    <t>TER-JE-PB01-1F23</t>
  </si>
  <si>
    <t>TER-JE-PB01-1F24</t>
  </si>
  <si>
    <t>TER-JE-PB01-1F25</t>
  </si>
  <si>
    <t>TER-JE-PB01-1F26</t>
  </si>
  <si>
    <t>TER-JE-PB01-2F01</t>
  </si>
  <si>
    <t>PB-01 / 2ND</t>
  </si>
  <si>
    <t>TER-JE-PB01-2F02</t>
  </si>
  <si>
    <t>TER-JE-PB01-2F03</t>
  </si>
  <si>
    <t>TER-JE-PB01-2F04</t>
  </si>
  <si>
    <t>TER-JE-PB01-2F05</t>
  </si>
  <si>
    <t>TER-JE-PB01-2F06</t>
  </si>
  <si>
    <t>TER-JE-PB01-2F07</t>
  </si>
  <si>
    <t>TER-JE-PB01-2F08</t>
  </si>
  <si>
    <t>TER-JE-PB01-2F09</t>
  </si>
  <si>
    <t>TER-JE-PB01-2F10</t>
  </si>
  <si>
    <t>TER-JE-PB01-2F11</t>
  </si>
  <si>
    <t>TER-JE-PB01-2F12</t>
  </si>
  <si>
    <t>TER-JE-PB01-2F13</t>
  </si>
  <si>
    <t>TER-JE-PB01-2F14</t>
  </si>
  <si>
    <t>TER-JE-PB01-2F15</t>
  </si>
  <si>
    <t>TER-JE-PB01-2F16</t>
  </si>
  <si>
    <t>TER-JE-PB01-2F17</t>
  </si>
  <si>
    <t>TER-JE-PB01-2F18</t>
  </si>
  <si>
    <t>TER-JE-PB01-2F19</t>
  </si>
  <si>
    <t>TER-JE-PB01-2F20</t>
  </si>
  <si>
    <t>TER-JE-PB01-2F21</t>
  </si>
  <si>
    <t>TER-JE-PB01-2F22</t>
  </si>
  <si>
    <t>TER-JE-PB01-2F23</t>
  </si>
  <si>
    <t>TER-JE-PB01-2F24</t>
  </si>
  <si>
    <t>TER-JE-PB01-2F25</t>
  </si>
  <si>
    <t>TER-JE-PB01-2F26</t>
  </si>
  <si>
    <t>TER-JE-PB01-3F01</t>
  </si>
  <si>
    <t>PB-01 / 3RD</t>
  </si>
  <si>
    <t>TER-JE-PB01-3F02</t>
  </si>
  <si>
    <t>TER-JE-PB01-3F03</t>
  </si>
  <si>
    <t>TER-JE-PB01-3F04</t>
  </si>
  <si>
    <t>TER-JE-PB01-3F05</t>
  </si>
  <si>
    <t>TER-JE-PB01-3F06</t>
  </si>
  <si>
    <t>TER-JE-PB01-3F07</t>
  </si>
  <si>
    <t>TER-JE-PB01-3F08</t>
  </si>
  <si>
    <t>TER-JE-PB01-3F09</t>
  </si>
  <si>
    <t>TER-JE-PB01-3F10</t>
  </si>
  <si>
    <t>TER-JE-PB01-3F11</t>
  </si>
  <si>
    <t>TER-JE-PB01-3F12</t>
  </si>
  <si>
    <t>TER-JE-PB01-3F13</t>
  </si>
  <si>
    <t>TER-JE-PB01-3F14</t>
  </si>
  <si>
    <t>TER-JE-PB01-3F15</t>
  </si>
  <si>
    <t>TER-JE-PB01-3F16</t>
  </si>
  <si>
    <t>TER-JE-PB01-3F17</t>
  </si>
  <si>
    <t>TER-JE-PB01-3F18</t>
  </si>
  <si>
    <t>TER-JE-PB01-3F19</t>
  </si>
  <si>
    <t>TER-JE-PB01-3F20</t>
  </si>
  <si>
    <t>TER-JE-PB01-3F21</t>
  </si>
  <si>
    <t>TER-JE-PB01-3F22</t>
  </si>
  <si>
    <t>TER-JE-PB01-3F23</t>
  </si>
  <si>
    <t>TER-JE-PB01-3F24</t>
  </si>
  <si>
    <t>TER-JE-PB01-3F25</t>
  </si>
  <si>
    <t>TER-JE-PB01-3F26</t>
  </si>
  <si>
    <t>TER-JE-PB01-3F27</t>
  </si>
  <si>
    <t>TER-JE-PB01-3F28</t>
  </si>
  <si>
    <t>TER-JE-PB01-3F29</t>
  </si>
  <si>
    <t>TER-JE-PB01-3F30</t>
  </si>
  <si>
    <t>TER-JE-PB01-3F31</t>
  </si>
  <si>
    <t>TER-JE-PB01-3F32</t>
  </si>
  <si>
    <t>TER-JE-PB01-C01</t>
  </si>
  <si>
    <t>PB-01 / GF</t>
  </si>
  <si>
    <t>TER-JE-PB01-C02</t>
  </si>
  <si>
    <t>TER-JE-PB01-C03</t>
  </si>
  <si>
    <t>TER-JE-PB01-C04</t>
  </si>
  <si>
    <t>TER-JE-PB01-C05</t>
  </si>
  <si>
    <t>TER-JE-PB01-C06</t>
  </si>
  <si>
    <t>TER-JE-PB01-C07</t>
  </si>
  <si>
    <t>TER-JE-PB01-C08</t>
  </si>
  <si>
    <t>TER-JE-PB01-C09</t>
  </si>
  <si>
    <t>ZYA-1A-B01-GFA</t>
  </si>
  <si>
    <t>Zaya</t>
  </si>
  <si>
    <t>B01</t>
  </si>
  <si>
    <t>GF Studio End Unit</t>
  </si>
  <si>
    <t>ZYA-1A-B01-GFB</t>
  </si>
  <si>
    <t>GF Studio Unit</t>
  </si>
  <si>
    <t>ZYA-1A-B01-GFC</t>
  </si>
  <si>
    <t>ZYA-1A-B01-GFD</t>
  </si>
  <si>
    <t>ZYA-1A-B01-GFE</t>
  </si>
  <si>
    <t>ZYA-1A-B01-GFF</t>
  </si>
  <si>
    <t>ZYA-1A-B01-GFG</t>
  </si>
  <si>
    <t>ZYA-1A-B01-GFH</t>
  </si>
  <si>
    <t>ZYA-1A-B01-GFI</t>
  </si>
  <si>
    <t>ZYA-1A-B01-GFJ</t>
  </si>
  <si>
    <t>ZYA-1A-B01-GFK</t>
  </si>
  <si>
    <t>ZYA-1A-B01-GFL</t>
  </si>
  <si>
    <t>ZYA-1A-B01-GFM</t>
  </si>
  <si>
    <t>ZYA-1A-B01-1FA</t>
  </si>
  <si>
    <t>Studio End Unit</t>
  </si>
  <si>
    <t>ZYA-1A-B01-1FB</t>
  </si>
  <si>
    <t>Studio Unit</t>
  </si>
  <si>
    <t>ZYA-1A-B01-1FC</t>
  </si>
  <si>
    <t>ZYA-1A-B01-1FD</t>
  </si>
  <si>
    <t>ZYA-1A-B01-1FE</t>
  </si>
  <si>
    <t>ZYA-1A-B01-1FF</t>
  </si>
  <si>
    <t>ZYA-1A-B01-1FG</t>
  </si>
  <si>
    <t>ZYA-1A-B01-1FH</t>
  </si>
  <si>
    <t>ZYA-1A-B01-1FI</t>
  </si>
  <si>
    <t>Studio Unit w/ Balcony</t>
  </si>
  <si>
    <t>ZYA-1A-B01-1FJ</t>
  </si>
  <si>
    <t>ZYA-1A-B01-1FK</t>
  </si>
  <si>
    <t>ZYA-1A-B01-1FL</t>
  </si>
  <si>
    <t>ZYA-1A-B01-1FM</t>
  </si>
  <si>
    <t>Studio End Unit w/ Balcony</t>
  </si>
  <si>
    <t>ZYA-1A-B01-2FA</t>
  </si>
  <si>
    <t>ZYA-1A-B01-2FB</t>
  </si>
  <si>
    <t>ZYA-1A-B01-2FC</t>
  </si>
  <si>
    <t>ZYA-1A-B01-2FD</t>
  </si>
  <si>
    <t>ZYA-1A-B01-2FE</t>
  </si>
  <si>
    <t>ZYA-1A-B01-2FF</t>
  </si>
  <si>
    <t>ZYA-1A-B01-2FG</t>
  </si>
  <si>
    <t>ZYA-1A-B01-2FH</t>
  </si>
  <si>
    <t>ZYA-1A-B01-2FI</t>
  </si>
  <si>
    <t>ZYA-1A-B01-2FJ</t>
  </si>
  <si>
    <t>ZYA-1A-B01-2FK</t>
  </si>
  <si>
    <t>ZYA-1A-B01-2FL</t>
  </si>
  <si>
    <t>ZYA-1A-B01-2FM</t>
  </si>
  <si>
    <t>ZYA-1A-B01-3FA</t>
  </si>
  <si>
    <t>ZYA-1A-B01-3FB</t>
  </si>
  <si>
    <t>ZYA-1A-B01-3FC</t>
  </si>
  <si>
    <t>ZYA-1A-B01-3FD</t>
  </si>
  <si>
    <t>ZYA-1A-B01-3FE</t>
  </si>
  <si>
    <t>ZYA-1A-B01-3FF</t>
  </si>
  <si>
    <t>ZYA-1A-B01-3FG</t>
  </si>
  <si>
    <t>ZYA-1A-B01-3FH</t>
  </si>
  <si>
    <t>ZYA-1A-B01-3FI</t>
  </si>
  <si>
    <t>ZYA-1A-B01-3FJ</t>
  </si>
  <si>
    <t>ZYA-1A-B01-3FK</t>
  </si>
  <si>
    <t>ZYA-1A-B01-3FL</t>
  </si>
  <si>
    <t>ZYA-1A-B01-3FM</t>
  </si>
  <si>
    <t>ZYA-1A-B01-P1</t>
  </si>
  <si>
    <t>B01-PARKING</t>
  </si>
  <si>
    <t>PARKING</t>
  </si>
  <si>
    <t>ZYA-1A-B01-P2</t>
  </si>
  <si>
    <t>ZYA-1A-B01-P3</t>
  </si>
  <si>
    <t>ZYA-1A-B01-P4</t>
  </si>
  <si>
    <t>ZYA-1A-B01-P5</t>
  </si>
  <si>
    <t>ZYA-1A-B01-P6</t>
  </si>
  <si>
    <t>ZYA-1A-B01-P7</t>
  </si>
  <si>
    <t>ZYA-1A-B01-P8</t>
  </si>
  <si>
    <t>ZYA-1A-B01-P9</t>
  </si>
  <si>
    <t>ZYA-1A-B01-P10</t>
  </si>
  <si>
    <t>ZYA-1A-C01-GFA</t>
  </si>
  <si>
    <t>C01</t>
  </si>
  <si>
    <t>C-01 / GF</t>
  </si>
  <si>
    <t>ZYA-1A-C01-GFB</t>
  </si>
  <si>
    <t>ZYA-1A-C01-1FC</t>
  </si>
  <si>
    <t>C-01 / 1ST</t>
  </si>
  <si>
    <t>ZYA-1A-C01-1FK</t>
  </si>
  <si>
    <t>ZYA-1A-C01-1FL</t>
  </si>
  <si>
    <t>ZYA-1A-C01-2FM</t>
  </si>
  <si>
    <t>C-01 / 2ND</t>
  </si>
  <si>
    <t>ZYA-1A-C01-2FP</t>
  </si>
  <si>
    <t>ZYA-1A-C01-3FH</t>
  </si>
  <si>
    <t>C-01 / 3RD</t>
  </si>
  <si>
    <t>ZYA-1A-C01-3FI</t>
  </si>
  <si>
    <t>ZYA-1A-C01-GFJ</t>
  </si>
  <si>
    <t>ZYA-1A-C01-3FJ</t>
  </si>
  <si>
    <t>ZYA-1A-C01-GFL</t>
  </si>
  <si>
    <t>ZYA-1A-C01-GFC</t>
  </si>
  <si>
    <t>ZYA-1A-C01-GFD</t>
  </si>
  <si>
    <t>ZYA-1A-C01-GFE</t>
  </si>
  <si>
    <t>ZYA-1A-C01-1FA</t>
  </si>
  <si>
    <t>ZYA-1A-C01-1FB</t>
  </si>
  <si>
    <t>ZYA-1A-C01-GFF</t>
  </si>
  <si>
    <t>ZYA-1A-C01-1FD</t>
  </si>
  <si>
    <t>ZYA-1A-C01-1FE</t>
  </si>
  <si>
    <t>ZYA-1A-C01-1FF</t>
  </si>
  <si>
    <t>ZYA-1A-C01-1FG</t>
  </si>
  <si>
    <t>ZYA-1A-C01-1FH</t>
  </si>
  <si>
    <t>ZYA-1A-C01-1FI</t>
  </si>
  <si>
    <t>ZYA-1A-C01-1FJ</t>
  </si>
  <si>
    <t>ZYA-1A-C01-GFG</t>
  </si>
  <si>
    <t>ZYA-1A-C01-GFH</t>
  </si>
  <si>
    <t>ZYA-1A-C01-1FM</t>
  </si>
  <si>
    <t>ZYA-1A-C01-1FN</t>
  </si>
  <si>
    <t>ZYA-1A-C01-1FO</t>
  </si>
  <si>
    <t>ZYA-1A-C01-1FP</t>
  </si>
  <si>
    <t>ZYA-1A-C01-1FQ</t>
  </si>
  <si>
    <t>ZYA-1A-C01-2FA</t>
  </si>
  <si>
    <t>ZYA-1A-C01-2FB</t>
  </si>
  <si>
    <t>ZYA-1A-C01-2FC</t>
  </si>
  <si>
    <t>ZYA-1A-C01-2FD</t>
  </si>
  <si>
    <t>ZYA-1A-C01-2FE</t>
  </si>
  <si>
    <t>ZYA-1A-C01-2FF</t>
  </si>
  <si>
    <t>ZYA-1A-C01-2FG</t>
  </si>
  <si>
    <t>ZYA-1A-C01-2FH</t>
  </si>
  <si>
    <t>ZYA-1A-C01-2FI</t>
  </si>
  <si>
    <t>ZYA-1A-C01-2FJ</t>
  </si>
  <si>
    <t>ZYA-1A-C01-2FK</t>
  </si>
  <si>
    <t>ZYA-1A-C01-2FL</t>
  </si>
  <si>
    <t>ZYA-1A-C01-GFI</t>
  </si>
  <si>
    <t>ZYA-1A-C01-2FN</t>
  </si>
  <si>
    <t>ZYA-1A-C01-2FO</t>
  </si>
  <si>
    <t>ZYA-1A-C01-GFK</t>
  </si>
  <si>
    <t>ZYA-1A-C01-2FQ</t>
  </si>
  <si>
    <t>ZYA-1A-C01-3FA</t>
  </si>
  <si>
    <t>ZYA-1A-C01-3FB</t>
  </si>
  <si>
    <t>ZYA-1A-C01-3FC</t>
  </si>
  <si>
    <t>ZYA-1A-C01-3FD</t>
  </si>
  <si>
    <t>ZYA-1A-C01-3FE</t>
  </si>
  <si>
    <t>ZYA-1A-C01-3FF</t>
  </si>
  <si>
    <t>ZYA-1A-C01-3FG</t>
  </si>
  <si>
    <t>ZYA-1A-C01-GFM</t>
  </si>
  <si>
    <t>ZYA-1A-C01-GFN</t>
  </si>
  <si>
    <t>ZYA-1A-C01-GFO</t>
  </si>
  <si>
    <t>ZYA-1A-C01-3FK</t>
  </si>
  <si>
    <t>ZYA-1A-C01-3FL</t>
  </si>
  <si>
    <t>ZYA-1A-C01-3FM</t>
  </si>
  <si>
    <t>ZYA-1A-C01-3FN</t>
  </si>
  <si>
    <t>ZYA-1A-C01-3FO</t>
  </si>
  <si>
    <t>ZYA-1A-C01-3FP</t>
  </si>
  <si>
    <t>ZYA-1A-C01-3FQ</t>
  </si>
  <si>
    <t>ZYA-1A-C01-P1</t>
  </si>
  <si>
    <t>C01-PARKING</t>
  </si>
  <si>
    <t>ZYA-1A-C01-P2</t>
  </si>
  <si>
    <t>ZYA-1A-C01-P3</t>
  </si>
  <si>
    <t>ZYA-1A-C01-P4</t>
  </si>
  <si>
    <t>ZYA-1A-C01-P5</t>
  </si>
  <si>
    <t>ZYA-1A-C01-P6</t>
  </si>
  <si>
    <t>ZYA-1A-C01-P7</t>
  </si>
  <si>
    <t>ZYA-1A-C01-P8</t>
  </si>
  <si>
    <t>ZYA-1A-C01-P9</t>
  </si>
  <si>
    <t>ZYA-1A-C01-P10</t>
  </si>
  <si>
    <t>ZYA-1A-C01-P11</t>
  </si>
  <si>
    <t>ZYA-1A-C01-P12</t>
  </si>
  <si>
    <t>ZYA-1A-C01-P13</t>
  </si>
  <si>
    <t>ZYA-1A-C01-P14</t>
  </si>
  <si>
    <t>ZYA-1A-C01-P15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</si>
</sst>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6" formatCode="_-* #,##0_-;\-* #,##0_-;_-* &quot;-&quot;??_-;_-@_-"/>
    <numFmt numFmtId="167" formatCode="#,##0.00_ ;\-#,##0.00\ 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i/>
      <sz val="10"/>
      <color rgb="FFC00000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 "/>
    </font>
    <font>
      <sz val="10"/>
      <name val="Calibri "/>
    </font>
    <font>
      <sz val="10"/>
      <color rgb="FFFF0000"/>
      <name val="Calibri 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/>
        <bgColor theme="4"/>
      </patternFill>
    </fill>
    <fill>
      <patternFill patternType="solid">
        <fgColor theme="0"/>
        <bgColor theme="0" tint="-0.14999847407452621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7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/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8" fillId="0" borderId="0"/>
    <xf numFmtId="0" fontId="1" fillId="0" borderId="0"/>
  </cellStyleXfs>
  <cellXfs count="97">
    <xf numFmtId="0" fontId="0" fillId="0" borderId="0" xfId="0"/>
    <xf numFmtId="0" fontId="2" fillId="2" borderId="0" xfId="0" applyFont="1" applyFill="1" applyAlignment="1">
      <alignment horizontal="center"/>
    </xf>
    <xf numFmtId="0" fontId="0" fillId="2" borderId="0" xfId="0" applyFill="1"/>
    <xf numFmtId="43" fontId="0" fillId="2" borderId="0" xfId="1" applyFont="1" applyFill="1"/>
    <xf numFmtId="43" fontId="3" fillId="2" borderId="0" xfId="1" applyFont="1" applyFill="1"/>
    <xf numFmtId="43" fontId="0" fillId="2" borderId="0" xfId="1" applyFont="1" applyFill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7" fillId="2" borderId="0" xfId="0" applyFont="1" applyFill="1" applyAlignment="1">
      <alignment horizontal="center"/>
    </xf>
    <xf numFmtId="0" fontId="3" fillId="2" borderId="0" xfId="0" applyFont="1" applyFill="1"/>
    <xf numFmtId="43" fontId="3" fillId="2" borderId="0" xfId="1" applyFont="1" applyFill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43" fontId="5" fillId="3" borderId="1" xfId="1" applyFont="1" applyFill="1" applyBorder="1" applyAlignment="1">
      <alignment horizontal="center" vertical="center"/>
    </xf>
    <xf numFmtId="43" fontId="5" fillId="4" borderId="1" xfId="1" applyFont="1" applyFill="1" applyBorder="1" applyAlignment="1">
      <alignment horizontal="center" vertical="center"/>
    </xf>
    <xf numFmtId="0" fontId="3" fillId="5" borderId="2" xfId="0" applyFont="1" applyFill="1" applyBorder="1"/>
    <xf numFmtId="0" fontId="4" fillId="2" borderId="0" xfId="0" applyFont="1" applyFill="1"/>
    <xf numFmtId="3" fontId="4" fillId="2" borderId="0" xfId="0" applyNumberFormat="1" applyFont="1" applyFill="1" applyAlignment="1">
      <alignment horizontal="center"/>
    </xf>
    <xf numFmtId="0" fontId="3" fillId="0" borderId="3" xfId="0" applyFont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9" fillId="2" borderId="3" xfId="0" applyFont="1" applyFill="1" applyBorder="1" applyAlignment="1">
      <alignment horizontal="center"/>
    </xf>
    <xf numFmtId="0" fontId="10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4" fillId="2" borderId="0" xfId="0" applyFont="1" applyFill="1" applyBorder="1"/>
    <xf numFmtId="0" fontId="4" fillId="5" borderId="0" xfId="0" applyFont="1" applyFill="1" applyBorder="1"/>
    <xf numFmtId="0" fontId="4" fillId="5" borderId="6" xfId="0" applyFont="1" applyFill="1" applyBorder="1"/>
    <xf numFmtId="0" fontId="3" fillId="0" borderId="3" xfId="0" quotePrefix="1" applyFont="1" applyBorder="1" applyAlignment="1">
      <alignment horizontal="center"/>
    </xf>
    <xf numFmtId="0" fontId="3" fillId="2" borderId="3" xfId="0" applyFont="1" applyFill="1" applyBorder="1" applyAlignment="1">
      <alignment horizontal="center" vertical="center"/>
    </xf>
    <xf numFmtId="1" fontId="3" fillId="0" borderId="3" xfId="0" applyNumberFormat="1" applyFont="1" applyBorder="1" applyAlignment="1">
      <alignment horizontal="center" vertical="center"/>
    </xf>
    <xf numFmtId="1" fontId="3" fillId="0" borderId="3" xfId="1" applyNumberFormat="1" applyFont="1" applyBorder="1" applyAlignment="1">
      <alignment horizontal="center" vertical="center"/>
    </xf>
    <xf numFmtId="43" fontId="3" fillId="0" borderId="3" xfId="1" applyFont="1" applyBorder="1" applyAlignment="1">
      <alignment horizontal="center"/>
    </xf>
    <xf numFmtId="43" fontId="3" fillId="2" borderId="3" xfId="1" applyFont="1" applyFill="1" applyBorder="1"/>
    <xf numFmtId="0" fontId="3" fillId="2" borderId="3" xfId="0" quotePrefix="1" applyFont="1" applyFill="1" applyBorder="1" applyAlignment="1">
      <alignment horizontal="center"/>
    </xf>
    <xf numFmtId="1" fontId="9" fillId="2" borderId="3" xfId="0" applyNumberFormat="1" applyFont="1" applyFill="1" applyBorder="1" applyAlignment="1">
      <alignment horizontal="center" vertical="center"/>
    </xf>
    <xf numFmtId="1" fontId="9" fillId="2" borderId="3" xfId="1" applyNumberFormat="1" applyFont="1" applyFill="1" applyBorder="1" applyAlignment="1">
      <alignment horizontal="center" vertical="center"/>
    </xf>
    <xf numFmtId="1" fontId="3" fillId="2" borderId="3" xfId="0" applyNumberFormat="1" applyFont="1" applyFill="1" applyBorder="1" applyAlignment="1">
      <alignment horizontal="center" vertical="center"/>
    </xf>
    <xf numFmtId="1" fontId="3" fillId="2" borderId="3" xfId="1" applyNumberFormat="1" applyFont="1" applyFill="1" applyBorder="1" applyAlignment="1">
      <alignment horizontal="center" vertical="center"/>
    </xf>
    <xf numFmtId="43" fontId="3" fillId="0" borderId="3" xfId="1" applyFont="1" applyFill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43" fontId="3" fillId="0" borderId="4" xfId="1" applyFont="1" applyFill="1" applyBorder="1" applyAlignment="1">
      <alignment horizontal="center"/>
    </xf>
    <xf numFmtId="43" fontId="3" fillId="2" borderId="4" xfId="1" applyFont="1" applyFill="1" applyBorder="1"/>
    <xf numFmtId="0" fontId="3" fillId="2" borderId="5" xfId="0" applyFont="1" applyFill="1" applyBorder="1" applyAlignment="1">
      <alignment horizontal="center"/>
    </xf>
    <xf numFmtId="43" fontId="3" fillId="2" borderId="5" xfId="1" applyNumberFormat="1" applyFont="1" applyFill="1" applyBorder="1" applyAlignment="1">
      <alignment horizontal="center"/>
    </xf>
    <xf numFmtId="166" fontId="3" fillId="2" borderId="5" xfId="1" applyNumberFormat="1" applyFont="1" applyFill="1" applyBorder="1"/>
    <xf numFmtId="43" fontId="3" fillId="2" borderId="5" xfId="0" applyNumberFormat="1" applyFont="1" applyFill="1" applyBorder="1"/>
    <xf numFmtId="0" fontId="3" fillId="5" borderId="3" xfId="0" applyFont="1" applyFill="1" applyBorder="1" applyAlignment="1">
      <alignment horizontal="center"/>
    </xf>
    <xf numFmtId="43" fontId="3" fillId="2" borderId="3" xfId="1" applyNumberFormat="1" applyFont="1" applyFill="1" applyBorder="1" applyAlignment="1">
      <alignment horizontal="center"/>
    </xf>
    <xf numFmtId="166" fontId="3" fillId="2" borderId="3" xfId="1" applyNumberFormat="1" applyFont="1" applyFill="1" applyBorder="1"/>
    <xf numFmtId="43" fontId="3" fillId="2" borderId="3" xfId="0" applyNumberFormat="1" applyFont="1" applyFill="1" applyBorder="1"/>
    <xf numFmtId="0" fontId="11" fillId="0" borderId="3" xfId="0" applyFont="1" applyBorder="1" applyAlignment="1">
      <alignment horizontal="center"/>
    </xf>
    <xf numFmtId="0" fontId="12" fillId="2" borderId="3" xfId="0" applyFont="1" applyFill="1" applyBorder="1" applyAlignment="1">
      <alignment horizontal="center"/>
    </xf>
    <xf numFmtId="0" fontId="11" fillId="2" borderId="3" xfId="0" applyFont="1" applyFill="1" applyBorder="1" applyAlignment="1">
      <alignment horizontal="center"/>
    </xf>
    <xf numFmtId="3" fontId="3" fillId="2" borderId="3" xfId="1" applyNumberFormat="1" applyFont="1" applyFill="1" applyBorder="1" applyAlignment="1">
      <alignment horizontal="center"/>
    </xf>
    <xf numFmtId="0" fontId="13" fillId="2" borderId="3" xfId="0" applyFont="1" applyFill="1" applyBorder="1" applyAlignment="1">
      <alignment horizontal="center"/>
    </xf>
    <xf numFmtId="43" fontId="3" fillId="2" borderId="3" xfId="1" applyFont="1" applyFill="1" applyBorder="1" applyAlignment="1">
      <alignment horizontal="center"/>
    </xf>
    <xf numFmtId="0" fontId="3" fillId="2" borderId="3" xfId="0" applyFont="1" applyFill="1" applyBorder="1"/>
    <xf numFmtId="167" fontId="3" fillId="2" borderId="3" xfId="1" applyNumberFormat="1" applyFont="1" applyFill="1" applyBorder="1"/>
    <xf numFmtId="0" fontId="3" fillId="2" borderId="4" xfId="0" applyFont="1" applyFill="1" applyBorder="1"/>
    <xf numFmtId="43" fontId="3" fillId="2" borderId="4" xfId="1" applyFont="1" applyFill="1" applyBorder="1" applyAlignment="1">
      <alignment horizontal="center"/>
    </xf>
    <xf numFmtId="0" fontId="5" fillId="6" borderId="1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/>
    </xf>
    <xf numFmtId="3" fontId="3" fillId="2" borderId="7" xfId="1" applyNumberFormat="1" applyFont="1" applyFill="1" applyBorder="1" applyAlignment="1">
      <alignment horizontal="center"/>
    </xf>
    <xf numFmtId="43" fontId="3" fillId="2" borderId="7" xfId="1" applyNumberFormat="1" applyFont="1" applyFill="1" applyBorder="1" applyAlignment="1">
      <alignment horizontal="center"/>
    </xf>
    <xf numFmtId="166" fontId="3" fillId="2" borderId="7" xfId="1" applyNumberFormat="1" applyFont="1" applyFill="1" applyBorder="1"/>
    <xf numFmtId="43" fontId="3" fillId="2" borderId="7" xfId="0" applyNumberFormat="1" applyFont="1" applyFill="1" applyBorder="1"/>
    <xf numFmtId="0" fontId="3" fillId="2" borderId="8" xfId="0" applyFont="1" applyFill="1" applyBorder="1" applyAlignment="1">
      <alignment horizontal="center"/>
    </xf>
    <xf numFmtId="3" fontId="3" fillId="2" borderId="8" xfId="1" applyNumberFormat="1" applyFont="1" applyFill="1" applyBorder="1" applyAlignment="1">
      <alignment horizontal="center"/>
    </xf>
    <xf numFmtId="43" fontId="3" fillId="2" borderId="8" xfId="1" applyNumberFormat="1" applyFont="1" applyFill="1" applyBorder="1" applyAlignment="1">
      <alignment horizontal="center"/>
    </xf>
    <xf numFmtId="166" fontId="3" fillId="2" borderId="8" xfId="1" applyNumberFormat="1" applyFont="1" applyFill="1" applyBorder="1"/>
    <xf numFmtId="43" fontId="3" fillId="2" borderId="8" xfId="0" applyNumberFormat="1" applyFont="1" applyFill="1" applyBorder="1"/>
    <xf numFmtId="0" fontId="3" fillId="0" borderId="8" xfId="0" applyFont="1" applyBorder="1" applyAlignment="1">
      <alignment horizontal="center"/>
    </xf>
    <xf numFmtId="0" fontId="10" fillId="2" borderId="8" xfId="0" applyFont="1" applyFill="1" applyBorder="1" applyAlignment="1">
      <alignment horizontal="center"/>
    </xf>
    <xf numFmtId="0" fontId="3" fillId="2" borderId="8" xfId="3" applyFont="1" applyFill="1" applyBorder="1" applyAlignment="1">
      <alignment horizontal="center"/>
    </xf>
    <xf numFmtId="0" fontId="10" fillId="2" borderId="8" xfId="3" applyFont="1" applyFill="1" applyBorder="1" applyAlignment="1">
      <alignment horizontal="center"/>
    </xf>
    <xf numFmtId="3" fontId="3" fillId="0" borderId="8" xfId="1" applyNumberFormat="1" applyFont="1" applyBorder="1" applyAlignment="1">
      <alignment horizontal="center"/>
    </xf>
    <xf numFmtId="43" fontId="3" fillId="2" borderId="8" xfId="1" applyFont="1" applyFill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7" borderId="8" xfId="0" applyFont="1" applyFill="1" applyBorder="1" applyAlignment="1">
      <alignment horizontal="center"/>
    </xf>
    <xf numFmtId="0" fontId="3" fillId="7" borderId="8" xfId="0" applyFont="1" applyFill="1" applyBorder="1" applyAlignment="1">
      <alignment horizontal="center"/>
    </xf>
    <xf numFmtId="3" fontId="3" fillId="7" borderId="8" xfId="1" applyNumberFormat="1" applyFont="1" applyFill="1" applyBorder="1" applyAlignment="1">
      <alignment horizontal="center"/>
    </xf>
    <xf numFmtId="43" fontId="3" fillId="2" borderId="8" xfId="1" applyFont="1" applyFill="1" applyBorder="1"/>
    <xf numFmtId="0" fontId="3" fillId="0" borderId="8" xfId="0" applyFont="1" applyBorder="1" applyAlignment="1">
      <alignment horizontal="center" vertical="center"/>
    </xf>
    <xf numFmtId="3" fontId="3" fillId="0" borderId="8" xfId="1" applyNumberFormat="1" applyFont="1" applyBorder="1" applyAlignment="1">
      <alignment horizontal="center" vertical="center"/>
    </xf>
    <xf numFmtId="3" fontId="3" fillId="2" borderId="8" xfId="1" applyNumberFormat="1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/>
    </xf>
    <xf numFmtId="0" fontId="3" fillId="0" borderId="9" xfId="0" applyFont="1" applyBorder="1" applyAlignment="1">
      <alignment horizontal="center"/>
    </xf>
    <xf numFmtId="3" fontId="3" fillId="0" borderId="9" xfId="1" applyNumberFormat="1" applyFont="1" applyBorder="1" applyAlignment="1">
      <alignment horizontal="center"/>
    </xf>
    <xf numFmtId="43" fontId="3" fillId="2" borderId="9" xfId="1" applyFont="1" applyFill="1" applyBorder="1"/>
    <xf numFmtId="43" fontId="3" fillId="2" borderId="9" xfId="1" applyFont="1" applyFill="1" applyBorder="1" applyAlignment="1">
      <alignment horizontal="center"/>
    </xf>
    <xf numFmtId="38" fontId="3" fillId="0" borderId="1" xfId="1" applyNumberFormat="1" applyFont="1" applyBorder="1"/>
    <xf numFmtId="38" fontId="3" fillId="2" borderId="1" xfId="1" applyNumberFormat="1" applyFont="1" applyFill="1" applyBorder="1"/>
  </cellXfs>
  <cellStyles count="4">
    <cellStyle name="Comma" xfId="1" builtinId="3"/>
    <cellStyle name="Normal" xfId="0" builtinId="0"/>
    <cellStyle name="Normal 2" xfId="2" xr:uid="{1F0D619C-ED82-4593-BC28-9DCE65BE0406}"/>
    <cellStyle name="Normal 3" xfId="3" xr:uid="{167D47FD-047F-4740-B845-10CAEDFF007B}"/>
  </cellStyles>
  <dxfs count="8">
    <dxf>
      <font>
        <color rgb="FF9C0006"/>
      </font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3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2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gjacinto/Documents/PD-RAEMULAN/00.%20SDP%20WITH%20COLOR%20CODE/7.%20July%202026/(6)%20Valenzia%20Enclave%20East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THER%20INVENTORY/MOTHER%20INVENTORY_Agapeya%20West_ao%20Jul%2015,%202026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(1)%20RDG%20Housing%20Inventory%20-%20ao%207.31.2026-%20for%20Edit.xlsm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MOTHER%20INVENTORY/MOTHER%20INVENTORY_The%20Penthouse_ao%207.15.2026%20edited%20jett.xlsm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gjacinto/Documents/PD-RAEMULAN/14.%20PAYMENT%20%20SCHEME/PAYMENT%20CALCULATOR-HOUSING.xlsm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gjacinto/Documents/PD-RAEMULAN/14.%20PAYMENT%20%20SCHEME/PAYMENT%20CALCULATOR-CONDO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ENTORY"/>
      <sheetName val="VAENE MAP AND SUMMARY"/>
      <sheetName val="INVENTORY v2"/>
      <sheetName val="PIVOT"/>
    </sheetNames>
    <sheetDataSet>
      <sheetData sheetId="0">
        <row r="6">
          <cell r="I6" t="str">
            <v>VAP-03-007-001</v>
          </cell>
          <cell r="J6" t="str">
            <v>TS</v>
          </cell>
          <cell r="K6" t="str">
            <v>Blk 7 &amp; Lot 1</v>
          </cell>
          <cell r="L6">
            <v>55</v>
          </cell>
          <cell r="M6">
            <v>118</v>
          </cell>
          <cell r="N6" t="str">
            <v>DU-EXE-IRR</v>
          </cell>
          <cell r="O6" t="str">
            <v>DUPLEX IRREG +100</v>
          </cell>
          <cell r="P6">
            <v>4600000</v>
          </cell>
          <cell r="Q6">
            <v>492857.14285714284</v>
          </cell>
          <cell r="R6">
            <v>4107142.8571428573</v>
          </cell>
          <cell r="T6">
            <v>598000</v>
          </cell>
          <cell r="U6"/>
          <cell r="V6">
            <v>20000</v>
          </cell>
          <cell r="W6">
            <v>210000</v>
          </cell>
          <cell r="X6">
            <v>210000</v>
          </cell>
          <cell r="Y6">
            <v>6</v>
          </cell>
          <cell r="Z6">
            <v>35000</v>
          </cell>
          <cell r="AA6"/>
          <cell r="AB6">
            <v>368000</v>
          </cell>
          <cell r="AD6">
            <v>4968000</v>
          </cell>
          <cell r="AE6">
            <v>38516.851121545689</v>
          </cell>
          <cell r="AF6">
            <v>35112.790520626557</v>
          </cell>
          <cell r="AG6"/>
          <cell r="AH6">
            <v>128389.50373848564</v>
          </cell>
          <cell r="AI6">
            <v>117042.63506875519</v>
          </cell>
        </row>
        <row r="7">
          <cell r="I7" t="str">
            <v>VAP-03-007-002</v>
          </cell>
          <cell r="J7" t="str">
            <v>TS</v>
          </cell>
          <cell r="K7" t="str">
            <v>Blk 7 &amp; Lot 2</v>
          </cell>
          <cell r="L7">
            <v>55</v>
          </cell>
          <cell r="M7">
            <v>142</v>
          </cell>
          <cell r="N7" t="str">
            <v>DU-EXE-IRR</v>
          </cell>
          <cell r="O7" t="str">
            <v>DUPLEX IRREG +100</v>
          </cell>
          <cell r="P7">
            <v>4600000</v>
          </cell>
          <cell r="Q7">
            <v>492857.14285714284</v>
          </cell>
          <cell r="R7">
            <v>4107142.8571428573</v>
          </cell>
          <cell r="T7">
            <v>598000</v>
          </cell>
          <cell r="U7"/>
          <cell r="V7">
            <v>20000</v>
          </cell>
          <cell r="W7">
            <v>210000</v>
          </cell>
          <cell r="X7">
            <v>210000</v>
          </cell>
          <cell r="Y7">
            <v>6</v>
          </cell>
          <cell r="Z7">
            <v>35000</v>
          </cell>
          <cell r="AA7"/>
          <cell r="AB7">
            <v>368000</v>
          </cell>
          <cell r="AD7">
            <v>4968000</v>
          </cell>
          <cell r="AE7">
            <v>38516.851121545689</v>
          </cell>
          <cell r="AF7">
            <v>35112.790520626557</v>
          </cell>
          <cell r="AG7"/>
          <cell r="AH7">
            <v>128389.50373848564</v>
          </cell>
          <cell r="AI7">
            <v>117042.63506875519</v>
          </cell>
        </row>
        <row r="8">
          <cell r="I8" t="str">
            <v>VAP-03-007-003</v>
          </cell>
          <cell r="J8" t="str">
            <v>TS</v>
          </cell>
          <cell r="K8" t="str">
            <v>Blk 7 &amp; Lot 3</v>
          </cell>
          <cell r="L8">
            <v>55</v>
          </cell>
          <cell r="M8">
            <v>96</v>
          </cell>
          <cell r="N8" t="str">
            <v>DU-EXE-IRR</v>
          </cell>
          <cell r="O8" t="str">
            <v>DUPLEX 90+</v>
          </cell>
          <cell r="P8">
            <v>3600000</v>
          </cell>
          <cell r="Q8"/>
          <cell r="R8">
            <v>3600000</v>
          </cell>
          <cell r="T8">
            <v>468000</v>
          </cell>
          <cell r="U8"/>
          <cell r="V8">
            <v>20000</v>
          </cell>
          <cell r="W8">
            <v>100000</v>
          </cell>
          <cell r="X8">
            <v>150000</v>
          </cell>
          <cell r="Y8">
            <v>4</v>
          </cell>
          <cell r="Z8">
            <v>37500</v>
          </cell>
          <cell r="AA8"/>
          <cell r="AB8">
            <v>298000</v>
          </cell>
          <cell r="AD8">
            <v>3898000</v>
          </cell>
          <cell r="AE8">
            <v>30221.152510423733</v>
          </cell>
          <cell r="AF8">
            <v>27550.253109783076</v>
          </cell>
          <cell r="AG8"/>
          <cell r="AH8">
            <v>100737.17503474579</v>
          </cell>
          <cell r="AI8">
            <v>91834.177032610256</v>
          </cell>
        </row>
        <row r="9">
          <cell r="I9" t="str">
            <v>VAP-03-007-004</v>
          </cell>
          <cell r="J9" t="str">
            <v>OPEN</v>
          </cell>
          <cell r="K9" t="str">
            <v>Blk 7 &amp; Lot 4</v>
          </cell>
          <cell r="L9">
            <v>55</v>
          </cell>
          <cell r="M9">
            <v>96</v>
          </cell>
          <cell r="N9" t="str">
            <v>DU-EXE-IRR</v>
          </cell>
          <cell r="O9" t="str">
            <v>DUPLEX 90+</v>
          </cell>
          <cell r="P9">
            <v>3600000</v>
          </cell>
          <cell r="Q9"/>
          <cell r="R9">
            <v>3600000</v>
          </cell>
          <cell r="T9">
            <v>468000</v>
          </cell>
          <cell r="U9"/>
          <cell r="V9">
            <v>20000</v>
          </cell>
          <cell r="W9">
            <v>164350</v>
          </cell>
          <cell r="X9">
            <v>150000</v>
          </cell>
          <cell r="Y9">
            <v>4</v>
          </cell>
          <cell r="Z9">
            <v>37500</v>
          </cell>
          <cell r="AA9"/>
          <cell r="AB9">
            <v>298000</v>
          </cell>
          <cell r="AD9">
            <v>3898000</v>
          </cell>
          <cell r="AE9">
            <v>30221.152510423733</v>
          </cell>
          <cell r="AF9">
            <v>27550.253109783076</v>
          </cell>
          <cell r="AG9"/>
          <cell r="AH9">
            <v>100737.17503474579</v>
          </cell>
          <cell r="AI9">
            <v>91834.177032610256</v>
          </cell>
        </row>
        <row r="10">
          <cell r="I10" t="str">
            <v>VAP-03-007-005</v>
          </cell>
          <cell r="J10" t="str">
            <v>OPEN</v>
          </cell>
          <cell r="K10" t="str">
            <v>Blk 7 &amp; Lot 5</v>
          </cell>
          <cell r="L10">
            <v>55</v>
          </cell>
          <cell r="M10">
            <v>96</v>
          </cell>
          <cell r="N10" t="str">
            <v>DU-EXE-IRR</v>
          </cell>
          <cell r="O10" t="str">
            <v>DUPLEX 90+</v>
          </cell>
          <cell r="P10">
            <v>3600000</v>
          </cell>
          <cell r="Q10"/>
          <cell r="R10">
            <v>3600000</v>
          </cell>
          <cell r="T10">
            <v>468000</v>
          </cell>
          <cell r="U10"/>
          <cell r="V10">
            <v>20000</v>
          </cell>
          <cell r="W10">
            <v>164350</v>
          </cell>
          <cell r="X10">
            <v>150000</v>
          </cell>
          <cell r="Y10">
            <v>4</v>
          </cell>
          <cell r="Z10">
            <v>37500</v>
          </cell>
          <cell r="AA10"/>
          <cell r="AB10">
            <v>298000</v>
          </cell>
          <cell r="AD10">
            <v>3898000</v>
          </cell>
          <cell r="AE10">
            <v>30221.152510423733</v>
          </cell>
          <cell r="AF10">
            <v>27550.253109783076</v>
          </cell>
          <cell r="AG10"/>
          <cell r="AH10">
            <v>100737.17503474579</v>
          </cell>
          <cell r="AI10">
            <v>91834.177032610256</v>
          </cell>
        </row>
        <row r="11">
          <cell r="I11" t="str">
            <v>VAP-03-007-006</v>
          </cell>
          <cell r="J11" t="str">
            <v>OPEN</v>
          </cell>
          <cell r="K11" t="str">
            <v>Blk 7 &amp; Lot 6</v>
          </cell>
          <cell r="L11">
            <v>55</v>
          </cell>
          <cell r="M11">
            <v>96</v>
          </cell>
          <cell r="N11" t="str">
            <v>DU-EXE-IRR</v>
          </cell>
          <cell r="O11" t="str">
            <v>DUPLEX 90+</v>
          </cell>
          <cell r="P11">
            <v>3600000</v>
          </cell>
          <cell r="Q11"/>
          <cell r="R11">
            <v>3600000</v>
          </cell>
          <cell r="T11">
            <v>468000</v>
          </cell>
          <cell r="U11"/>
          <cell r="V11">
            <v>20000</v>
          </cell>
          <cell r="W11">
            <v>164350</v>
          </cell>
          <cell r="X11">
            <v>150000</v>
          </cell>
          <cell r="Y11">
            <v>4</v>
          </cell>
          <cell r="Z11">
            <v>37500</v>
          </cell>
          <cell r="AA11"/>
          <cell r="AB11">
            <v>298000</v>
          </cell>
          <cell r="AD11">
            <v>3898000</v>
          </cell>
          <cell r="AE11">
            <v>30221.152510423733</v>
          </cell>
          <cell r="AF11">
            <v>27550.253109783076</v>
          </cell>
          <cell r="AG11"/>
          <cell r="AH11">
            <v>100737.17503474579</v>
          </cell>
          <cell r="AI11">
            <v>91834.177032610256</v>
          </cell>
        </row>
        <row r="12">
          <cell r="I12" t="str">
            <v>VAP-03-007-007</v>
          </cell>
          <cell r="J12" t="str">
            <v>OPEN</v>
          </cell>
          <cell r="K12" t="str">
            <v>Blk 7 &amp; Lot 7</v>
          </cell>
          <cell r="L12">
            <v>55</v>
          </cell>
          <cell r="M12">
            <v>96</v>
          </cell>
          <cell r="N12" t="str">
            <v>DU-EXE-IRR</v>
          </cell>
          <cell r="O12" t="str">
            <v>DUPLEX 90+</v>
          </cell>
          <cell r="P12">
            <v>3600000</v>
          </cell>
          <cell r="Q12"/>
          <cell r="R12">
            <v>3600000</v>
          </cell>
          <cell r="T12">
            <v>468000</v>
          </cell>
          <cell r="U12"/>
          <cell r="V12">
            <v>20000</v>
          </cell>
          <cell r="W12">
            <v>164350</v>
          </cell>
          <cell r="X12">
            <v>150000</v>
          </cell>
          <cell r="Y12">
            <v>4</v>
          </cell>
          <cell r="Z12">
            <v>37500</v>
          </cell>
          <cell r="AA12"/>
          <cell r="AB12">
            <v>298000</v>
          </cell>
          <cell r="AD12">
            <v>3898000</v>
          </cell>
          <cell r="AE12">
            <v>30221.152510423733</v>
          </cell>
          <cell r="AF12">
            <v>27550.253109783076</v>
          </cell>
          <cell r="AG12"/>
          <cell r="AH12">
            <v>100737.17503474579</v>
          </cell>
          <cell r="AI12">
            <v>91834.177032610256</v>
          </cell>
        </row>
        <row r="13">
          <cell r="I13" t="str">
            <v>VAP-03-007-008</v>
          </cell>
          <cell r="J13" t="str">
            <v>TS</v>
          </cell>
          <cell r="K13" t="str">
            <v>Blk 7 &amp; Lot 8</v>
          </cell>
          <cell r="L13">
            <v>55</v>
          </cell>
          <cell r="M13">
            <v>96</v>
          </cell>
          <cell r="N13" t="str">
            <v>DU-EXE-IRR</v>
          </cell>
          <cell r="O13" t="str">
            <v>DUPLEX 90+</v>
          </cell>
          <cell r="P13">
            <v>3600000</v>
          </cell>
          <cell r="Q13"/>
          <cell r="R13">
            <v>3600000</v>
          </cell>
          <cell r="T13">
            <v>468000</v>
          </cell>
          <cell r="U13"/>
          <cell r="V13">
            <v>20000</v>
          </cell>
          <cell r="W13">
            <v>164350</v>
          </cell>
          <cell r="X13">
            <v>150000</v>
          </cell>
          <cell r="Y13">
            <v>4</v>
          </cell>
          <cell r="Z13">
            <v>37500</v>
          </cell>
          <cell r="AA13"/>
          <cell r="AB13">
            <v>298000</v>
          </cell>
          <cell r="AD13">
            <v>3898000</v>
          </cell>
          <cell r="AE13">
            <v>30221.152510423733</v>
          </cell>
          <cell r="AF13">
            <v>27550.253109783076</v>
          </cell>
          <cell r="AG13"/>
          <cell r="AH13">
            <v>100737.17503474579</v>
          </cell>
          <cell r="AI13">
            <v>91834.177032610256</v>
          </cell>
        </row>
        <row r="14">
          <cell r="I14" t="str">
            <v>VAP-03-007-033</v>
          </cell>
          <cell r="J14" t="str">
            <v>TS</v>
          </cell>
          <cell r="K14" t="str">
            <v>Blk 7 &amp; Lot 33</v>
          </cell>
          <cell r="L14">
            <v>55</v>
          </cell>
          <cell r="M14">
            <v>80</v>
          </cell>
          <cell r="N14" t="str">
            <v>DU-EXE</v>
          </cell>
          <cell r="O14" t="str">
            <v>DUPLEX REG</v>
          </cell>
          <cell r="P14">
            <v>3600000</v>
          </cell>
          <cell r="Q14"/>
          <cell r="R14">
            <v>3600000</v>
          </cell>
          <cell r="T14">
            <v>360000</v>
          </cell>
          <cell r="U14"/>
          <cell r="V14">
            <v>20000</v>
          </cell>
          <cell r="W14">
            <v>126430</v>
          </cell>
          <cell r="X14">
            <v>100000</v>
          </cell>
          <cell r="Y14">
            <v>3</v>
          </cell>
          <cell r="Z14">
            <v>33333.333333333336</v>
          </cell>
          <cell r="AA14"/>
          <cell r="AB14">
            <v>240000</v>
          </cell>
          <cell r="AD14">
            <v>3840000</v>
          </cell>
          <cell r="AE14">
            <v>29771.479127764786</v>
          </cell>
          <cell r="AF14">
            <v>27140.321175363522</v>
          </cell>
          <cell r="AG14"/>
          <cell r="AH14">
            <v>99238.263759215959</v>
          </cell>
          <cell r="AI14">
            <v>90467.737251211744</v>
          </cell>
        </row>
        <row r="15">
          <cell r="I15" t="str">
            <v>VAP-03-007-034</v>
          </cell>
          <cell r="J15" t="str">
            <v>TS</v>
          </cell>
          <cell r="K15" t="str">
            <v>Blk 7 &amp; Lot 34</v>
          </cell>
          <cell r="L15">
            <v>55</v>
          </cell>
          <cell r="M15">
            <v>80</v>
          </cell>
          <cell r="N15" t="str">
            <v>DU-EXE</v>
          </cell>
          <cell r="O15" t="str">
            <v>DUPLEX REG</v>
          </cell>
          <cell r="P15">
            <v>3600000</v>
          </cell>
          <cell r="Q15"/>
          <cell r="R15">
            <v>3600000</v>
          </cell>
          <cell r="T15">
            <v>360000</v>
          </cell>
          <cell r="U15"/>
          <cell r="V15">
            <v>20000</v>
          </cell>
          <cell r="W15">
            <v>126430</v>
          </cell>
          <cell r="X15">
            <v>100000</v>
          </cell>
          <cell r="Y15">
            <v>3</v>
          </cell>
          <cell r="Z15">
            <v>33333.333333333336</v>
          </cell>
          <cell r="AA15"/>
          <cell r="AB15">
            <v>240000</v>
          </cell>
          <cell r="AD15">
            <v>3840000</v>
          </cell>
          <cell r="AE15">
            <v>29771.479127764786</v>
          </cell>
          <cell r="AF15">
            <v>27140.321175363522</v>
          </cell>
          <cell r="AG15"/>
          <cell r="AH15">
            <v>99238.263759215959</v>
          </cell>
          <cell r="AI15">
            <v>90467.737251211744</v>
          </cell>
        </row>
        <row r="16">
          <cell r="I16" t="str">
            <v>VAP-03-007-035</v>
          </cell>
          <cell r="J16" t="str">
            <v>TS</v>
          </cell>
          <cell r="K16" t="str">
            <v>Blk 7 &amp; Lot 35</v>
          </cell>
          <cell r="L16">
            <v>55</v>
          </cell>
          <cell r="M16">
            <v>80</v>
          </cell>
          <cell r="N16" t="str">
            <v>DU-EXE</v>
          </cell>
          <cell r="O16" t="str">
            <v>DUPLEX REG</v>
          </cell>
          <cell r="P16">
            <v>3600000</v>
          </cell>
          <cell r="Q16"/>
          <cell r="R16">
            <v>3600000</v>
          </cell>
          <cell r="T16">
            <v>360000</v>
          </cell>
          <cell r="U16"/>
          <cell r="V16">
            <v>20000</v>
          </cell>
          <cell r="W16">
            <v>126430</v>
          </cell>
          <cell r="X16">
            <v>100000</v>
          </cell>
          <cell r="Y16">
            <v>3</v>
          </cell>
          <cell r="Z16">
            <v>33333.333333333336</v>
          </cell>
          <cell r="AA16"/>
          <cell r="AB16">
            <v>240000</v>
          </cell>
          <cell r="AD16">
            <v>3840000</v>
          </cell>
          <cell r="AE16">
            <v>29771.479127764786</v>
          </cell>
          <cell r="AF16">
            <v>27140.321175363522</v>
          </cell>
          <cell r="AG16"/>
          <cell r="AH16">
            <v>99238.263759215959</v>
          </cell>
          <cell r="AI16">
            <v>90467.737251211744</v>
          </cell>
        </row>
        <row r="17">
          <cell r="I17" t="str">
            <v>VAP-03-007-036</v>
          </cell>
          <cell r="J17" t="str">
            <v>TS</v>
          </cell>
          <cell r="K17" t="str">
            <v>Blk 7 &amp; Lot 36</v>
          </cell>
          <cell r="L17">
            <v>55</v>
          </cell>
          <cell r="M17">
            <v>80</v>
          </cell>
          <cell r="N17" t="str">
            <v>DU-EXE</v>
          </cell>
          <cell r="O17" t="str">
            <v>DUPLEX REG</v>
          </cell>
          <cell r="P17">
            <v>3600000</v>
          </cell>
          <cell r="Q17"/>
          <cell r="R17">
            <v>3600000</v>
          </cell>
          <cell r="T17">
            <v>360000</v>
          </cell>
          <cell r="U17"/>
          <cell r="V17">
            <v>20000</v>
          </cell>
          <cell r="W17">
            <v>126430</v>
          </cell>
          <cell r="X17">
            <v>100000</v>
          </cell>
          <cell r="Y17">
            <v>3</v>
          </cell>
          <cell r="Z17">
            <v>33333.333333333336</v>
          </cell>
          <cell r="AA17"/>
          <cell r="AB17">
            <v>240000</v>
          </cell>
          <cell r="AD17">
            <v>3840000</v>
          </cell>
          <cell r="AE17">
            <v>29771.479127764786</v>
          </cell>
          <cell r="AF17">
            <v>27140.321175363522</v>
          </cell>
          <cell r="AG17"/>
          <cell r="AH17">
            <v>99238.263759215959</v>
          </cell>
          <cell r="AI17">
            <v>90467.737251211744</v>
          </cell>
        </row>
        <row r="18">
          <cell r="I18" t="str">
            <v>VAP-03-007-045</v>
          </cell>
          <cell r="J18" t="str">
            <v>TS</v>
          </cell>
          <cell r="K18" t="str">
            <v>Blk 7 &amp; Lot 45</v>
          </cell>
          <cell r="L18">
            <v>55</v>
          </cell>
          <cell r="M18">
            <v>80</v>
          </cell>
          <cell r="N18" t="str">
            <v>DU-EXE</v>
          </cell>
          <cell r="O18" t="str">
            <v>DUPLEX REG</v>
          </cell>
          <cell r="P18">
            <v>3600000</v>
          </cell>
          <cell r="Q18"/>
          <cell r="R18">
            <v>3600000</v>
          </cell>
          <cell r="T18">
            <v>360000</v>
          </cell>
          <cell r="U18"/>
          <cell r="V18">
            <v>20000</v>
          </cell>
          <cell r="W18">
            <v>126430</v>
          </cell>
          <cell r="X18">
            <v>100000</v>
          </cell>
          <cell r="Y18">
            <v>3</v>
          </cell>
          <cell r="Z18">
            <v>33333.333333333336</v>
          </cell>
          <cell r="AA18"/>
          <cell r="AB18">
            <v>240000</v>
          </cell>
          <cell r="AD18">
            <v>3840000</v>
          </cell>
          <cell r="AE18">
            <v>29771.479127764786</v>
          </cell>
          <cell r="AF18">
            <v>27140.321175363522</v>
          </cell>
          <cell r="AG18"/>
          <cell r="AH18">
            <v>99238.263759215959</v>
          </cell>
          <cell r="AI18">
            <v>90467.737251211744</v>
          </cell>
        </row>
        <row r="19">
          <cell r="I19" t="str">
            <v>VAP-03-007-046</v>
          </cell>
          <cell r="J19" t="str">
            <v>TS</v>
          </cell>
          <cell r="K19" t="str">
            <v>Blk 7 &amp; Lot 46</v>
          </cell>
          <cell r="L19">
            <v>55</v>
          </cell>
          <cell r="M19">
            <v>80</v>
          </cell>
          <cell r="N19" t="str">
            <v>DU-EXE</v>
          </cell>
          <cell r="O19" t="str">
            <v>DUPLEX REG</v>
          </cell>
          <cell r="P19">
            <v>3600000</v>
          </cell>
          <cell r="Q19"/>
          <cell r="R19">
            <v>3600000</v>
          </cell>
          <cell r="T19">
            <v>360000</v>
          </cell>
          <cell r="U19"/>
          <cell r="V19">
            <v>20000</v>
          </cell>
          <cell r="W19">
            <v>126430</v>
          </cell>
          <cell r="X19">
            <v>100000</v>
          </cell>
          <cell r="Y19">
            <v>3</v>
          </cell>
          <cell r="Z19">
            <v>33333.333333333336</v>
          </cell>
          <cell r="AA19"/>
          <cell r="AB19">
            <v>240000</v>
          </cell>
          <cell r="AD19">
            <v>3840000</v>
          </cell>
          <cell r="AE19">
            <v>29771.479127764786</v>
          </cell>
          <cell r="AF19">
            <v>27140.321175363522</v>
          </cell>
          <cell r="AG19"/>
          <cell r="AH19">
            <v>99238.263759215959</v>
          </cell>
          <cell r="AI19">
            <v>90467.737251211744</v>
          </cell>
        </row>
        <row r="20">
          <cell r="I20" t="str">
            <v>VAP-03-006-015</v>
          </cell>
          <cell r="J20" t="str">
            <v>OPEN</v>
          </cell>
          <cell r="K20" t="str">
            <v>Blk 6 &amp; Lot 15</v>
          </cell>
          <cell r="L20">
            <v>55</v>
          </cell>
          <cell r="M20">
            <v>96</v>
          </cell>
          <cell r="N20" t="str">
            <v>DU-EXE-IRR</v>
          </cell>
          <cell r="O20" t="str">
            <v>DUPLEX 90+</v>
          </cell>
          <cell r="P20">
            <v>3600000</v>
          </cell>
          <cell r="Q20"/>
          <cell r="R20">
            <v>3600000</v>
          </cell>
          <cell r="T20">
            <v>468000</v>
          </cell>
          <cell r="U20"/>
          <cell r="V20">
            <v>20000</v>
          </cell>
          <cell r="W20">
            <v>164350</v>
          </cell>
          <cell r="X20">
            <v>150000</v>
          </cell>
          <cell r="Y20">
            <v>4</v>
          </cell>
          <cell r="Z20">
            <v>37500</v>
          </cell>
          <cell r="AA20"/>
          <cell r="AB20">
            <v>298000</v>
          </cell>
          <cell r="AD20">
            <v>3898000</v>
          </cell>
          <cell r="AE20">
            <v>30221.152510423733</v>
          </cell>
          <cell r="AF20">
            <v>27550.253109783076</v>
          </cell>
          <cell r="AG20"/>
          <cell r="AH20">
            <v>100737.17503474579</v>
          </cell>
          <cell r="AI20">
            <v>91834.177032610256</v>
          </cell>
        </row>
        <row r="21">
          <cell r="I21" t="str">
            <v>VAP-03-006-016</v>
          </cell>
          <cell r="J21" t="str">
            <v>OPEN</v>
          </cell>
          <cell r="K21" t="str">
            <v>Blk 6 &amp; Lot 16</v>
          </cell>
          <cell r="L21">
            <v>55</v>
          </cell>
          <cell r="M21">
            <v>96</v>
          </cell>
          <cell r="N21" t="str">
            <v>DU-EXE-IRR</v>
          </cell>
          <cell r="O21" t="str">
            <v>DUPLEX 90+</v>
          </cell>
          <cell r="P21">
            <v>3600000</v>
          </cell>
          <cell r="Q21"/>
          <cell r="R21">
            <v>3600000</v>
          </cell>
          <cell r="T21">
            <v>468000</v>
          </cell>
          <cell r="U21"/>
          <cell r="V21">
            <v>20000</v>
          </cell>
          <cell r="W21">
            <v>164350</v>
          </cell>
          <cell r="X21">
            <v>150000</v>
          </cell>
          <cell r="Y21">
            <v>4</v>
          </cell>
          <cell r="Z21">
            <v>37500</v>
          </cell>
          <cell r="AA21"/>
          <cell r="AB21">
            <v>298000</v>
          </cell>
          <cell r="AD21">
            <v>3898000</v>
          </cell>
          <cell r="AE21">
            <v>30221.152510423733</v>
          </cell>
          <cell r="AF21">
            <v>27550.253109783076</v>
          </cell>
          <cell r="AG21"/>
          <cell r="AH21">
            <v>100737.17503474579</v>
          </cell>
          <cell r="AI21">
            <v>91834.177032610256</v>
          </cell>
        </row>
        <row r="22">
          <cell r="I22" t="str">
            <v>VAP-03-006-017</v>
          </cell>
          <cell r="J22" t="str">
            <v>OPEN</v>
          </cell>
          <cell r="K22" t="str">
            <v>Blk 6 &amp; Lot 17</v>
          </cell>
          <cell r="L22">
            <v>55</v>
          </cell>
          <cell r="M22">
            <v>96</v>
          </cell>
          <cell r="N22" t="str">
            <v>DU-EXE-IRR</v>
          </cell>
          <cell r="O22" t="str">
            <v>DUPLEX 90+</v>
          </cell>
          <cell r="P22">
            <v>3600000</v>
          </cell>
          <cell r="Q22"/>
          <cell r="R22">
            <v>3600000</v>
          </cell>
          <cell r="T22">
            <v>468000</v>
          </cell>
          <cell r="U22"/>
          <cell r="V22">
            <v>20000</v>
          </cell>
          <cell r="W22">
            <v>164350</v>
          </cell>
          <cell r="X22">
            <v>150000</v>
          </cell>
          <cell r="Y22">
            <v>4</v>
          </cell>
          <cell r="Z22">
            <v>37500</v>
          </cell>
          <cell r="AA22"/>
          <cell r="AB22">
            <v>298000</v>
          </cell>
          <cell r="AD22">
            <v>3898000</v>
          </cell>
          <cell r="AE22">
            <v>30221.152510423733</v>
          </cell>
          <cell r="AF22">
            <v>27550.253109783076</v>
          </cell>
          <cell r="AG22"/>
          <cell r="AH22">
            <v>100737.17503474579</v>
          </cell>
          <cell r="AI22">
            <v>91834.177032610256</v>
          </cell>
        </row>
        <row r="23">
          <cell r="I23" t="str">
            <v>VAP-03-006-018</v>
          </cell>
          <cell r="J23" t="str">
            <v>OPEN</v>
          </cell>
          <cell r="K23" t="str">
            <v>Blk 6 &amp; Lot 18</v>
          </cell>
          <cell r="L23">
            <v>55</v>
          </cell>
          <cell r="M23">
            <v>96</v>
          </cell>
          <cell r="N23" t="str">
            <v>DU-EXE-IRR</v>
          </cell>
          <cell r="O23" t="str">
            <v>DUPLEX 90+</v>
          </cell>
          <cell r="P23">
            <v>3600000</v>
          </cell>
          <cell r="Q23"/>
          <cell r="R23">
            <v>3600000</v>
          </cell>
          <cell r="T23">
            <v>468000</v>
          </cell>
          <cell r="U23"/>
          <cell r="V23">
            <v>20000</v>
          </cell>
          <cell r="W23">
            <v>164350</v>
          </cell>
          <cell r="X23">
            <v>150000</v>
          </cell>
          <cell r="Y23">
            <v>4</v>
          </cell>
          <cell r="Z23">
            <v>37500</v>
          </cell>
          <cell r="AA23"/>
          <cell r="AB23">
            <v>298000</v>
          </cell>
          <cell r="AD23">
            <v>3898000</v>
          </cell>
          <cell r="AE23">
            <v>30221.152510423733</v>
          </cell>
          <cell r="AF23">
            <v>27550.253109783076</v>
          </cell>
          <cell r="AG23"/>
          <cell r="AH23">
            <v>100737.17503474579</v>
          </cell>
          <cell r="AI23">
            <v>91834.177032610256</v>
          </cell>
        </row>
        <row r="24">
          <cell r="I24" t="str">
            <v>VAP-03-006-019</v>
          </cell>
          <cell r="J24" t="str">
            <v>OPEN</v>
          </cell>
          <cell r="K24" t="str">
            <v>Blk 6 &amp; Lot 19</v>
          </cell>
          <cell r="L24">
            <v>55</v>
          </cell>
          <cell r="M24">
            <v>96</v>
          </cell>
          <cell r="N24" t="str">
            <v>DU-EXE-IRR</v>
          </cell>
          <cell r="O24" t="str">
            <v>DUPLEX 90+</v>
          </cell>
          <cell r="P24">
            <v>3600000</v>
          </cell>
          <cell r="Q24"/>
          <cell r="R24">
            <v>3600000</v>
          </cell>
          <cell r="T24">
            <v>468000</v>
          </cell>
          <cell r="U24"/>
          <cell r="V24">
            <v>20000</v>
          </cell>
          <cell r="W24">
            <v>164350</v>
          </cell>
          <cell r="X24">
            <v>150000</v>
          </cell>
          <cell r="Y24">
            <v>4</v>
          </cell>
          <cell r="Z24">
            <v>37500</v>
          </cell>
          <cell r="AA24"/>
          <cell r="AB24">
            <v>298000</v>
          </cell>
          <cell r="AD24">
            <v>3898000</v>
          </cell>
          <cell r="AE24">
            <v>30221.152510423733</v>
          </cell>
          <cell r="AF24">
            <v>27550.253109783076</v>
          </cell>
          <cell r="AG24"/>
          <cell r="AH24">
            <v>100737.17503474579</v>
          </cell>
          <cell r="AI24">
            <v>91834.177032610256</v>
          </cell>
        </row>
        <row r="25">
          <cell r="I25" t="str">
            <v>VAP-03-006-020</v>
          </cell>
          <cell r="J25" t="str">
            <v>OPEN</v>
          </cell>
          <cell r="K25" t="str">
            <v>Blk 6 &amp; Lot 20</v>
          </cell>
          <cell r="L25">
            <v>55</v>
          </cell>
          <cell r="M25">
            <v>96</v>
          </cell>
          <cell r="N25" t="str">
            <v>DU-EXE-IRR</v>
          </cell>
          <cell r="O25" t="str">
            <v>DUPLEX 90+</v>
          </cell>
          <cell r="P25">
            <v>3600000</v>
          </cell>
          <cell r="Q25"/>
          <cell r="R25">
            <v>3600000</v>
          </cell>
          <cell r="T25">
            <v>468000</v>
          </cell>
          <cell r="U25"/>
          <cell r="V25">
            <v>20000</v>
          </cell>
          <cell r="W25">
            <v>164350</v>
          </cell>
          <cell r="X25">
            <v>150000</v>
          </cell>
          <cell r="Y25">
            <v>4</v>
          </cell>
          <cell r="Z25">
            <v>37500</v>
          </cell>
          <cell r="AA25"/>
          <cell r="AB25">
            <v>298000</v>
          </cell>
          <cell r="AD25">
            <v>3898000</v>
          </cell>
          <cell r="AE25">
            <v>30221.152510423733</v>
          </cell>
          <cell r="AF25">
            <v>27550.253109783076</v>
          </cell>
          <cell r="AG25"/>
          <cell r="AH25">
            <v>100737.17503474579</v>
          </cell>
          <cell r="AI25">
            <v>91834.177032610256</v>
          </cell>
        </row>
        <row r="26">
          <cell r="I26" t="str">
            <v>VAP-03-006-021</v>
          </cell>
          <cell r="J26" t="str">
            <v>OPEN</v>
          </cell>
          <cell r="K26" t="str">
            <v>Blk 6 &amp; Lot 21</v>
          </cell>
          <cell r="L26">
            <v>55</v>
          </cell>
          <cell r="M26">
            <v>96</v>
          </cell>
          <cell r="N26" t="str">
            <v>DU-EXE-IRR</v>
          </cell>
          <cell r="O26" t="str">
            <v>DUPLEX 90+</v>
          </cell>
          <cell r="P26">
            <v>3600000</v>
          </cell>
          <cell r="Q26"/>
          <cell r="R26">
            <v>3600000</v>
          </cell>
          <cell r="T26">
            <v>468000</v>
          </cell>
          <cell r="U26"/>
          <cell r="V26">
            <v>20000</v>
          </cell>
          <cell r="W26">
            <v>164350</v>
          </cell>
          <cell r="X26">
            <v>150000</v>
          </cell>
          <cell r="Y26">
            <v>4</v>
          </cell>
          <cell r="Z26">
            <v>37500</v>
          </cell>
          <cell r="AA26"/>
          <cell r="AB26">
            <v>298000</v>
          </cell>
          <cell r="AD26">
            <v>3898000</v>
          </cell>
          <cell r="AE26">
            <v>30221.152510423733</v>
          </cell>
          <cell r="AF26">
            <v>27550.253109783076</v>
          </cell>
          <cell r="AG26"/>
          <cell r="AH26">
            <v>100737.17503474579</v>
          </cell>
          <cell r="AI26">
            <v>91834.177032610256</v>
          </cell>
        </row>
        <row r="27">
          <cell r="I27" t="str">
            <v>VAP-03-006-022</v>
          </cell>
          <cell r="J27" t="str">
            <v>TS</v>
          </cell>
          <cell r="K27" t="str">
            <v>Blk 6 &amp; Lot 22</v>
          </cell>
          <cell r="L27">
            <v>55</v>
          </cell>
          <cell r="M27">
            <v>96</v>
          </cell>
          <cell r="N27" t="str">
            <v>DU-EXE-IRR</v>
          </cell>
          <cell r="O27" t="str">
            <v>DUPLEX 90+</v>
          </cell>
          <cell r="P27">
            <v>3600000</v>
          </cell>
          <cell r="Q27"/>
          <cell r="R27">
            <v>3600000</v>
          </cell>
          <cell r="T27">
            <v>468000</v>
          </cell>
          <cell r="U27"/>
          <cell r="V27">
            <v>20000</v>
          </cell>
          <cell r="W27">
            <v>164350</v>
          </cell>
          <cell r="X27">
            <v>150000</v>
          </cell>
          <cell r="Y27">
            <v>4</v>
          </cell>
          <cell r="Z27">
            <v>37500</v>
          </cell>
          <cell r="AA27"/>
          <cell r="AB27">
            <v>298000</v>
          </cell>
          <cell r="AD27">
            <v>3898000</v>
          </cell>
          <cell r="AE27">
            <v>30221.152510423733</v>
          </cell>
          <cell r="AF27">
            <v>27550.253109783076</v>
          </cell>
          <cell r="AG27"/>
          <cell r="AH27">
            <v>100737.17503474579</v>
          </cell>
          <cell r="AI27">
            <v>91834.177032610256</v>
          </cell>
        </row>
        <row r="28">
          <cell r="I28" t="str">
            <v>VAP-03-007-031</v>
          </cell>
          <cell r="J28" t="str">
            <v>TS</v>
          </cell>
          <cell r="K28" t="str">
            <v>Blk 7 &amp; Lot 31</v>
          </cell>
          <cell r="L28">
            <v>55</v>
          </cell>
          <cell r="M28">
            <v>80</v>
          </cell>
          <cell r="N28" t="str">
            <v>DU-EXE</v>
          </cell>
          <cell r="O28" t="str">
            <v>DUPLEX REG</v>
          </cell>
          <cell r="P28">
            <v>3600000</v>
          </cell>
          <cell r="Q28"/>
          <cell r="R28">
            <v>3600000</v>
          </cell>
          <cell r="T28">
            <v>360000</v>
          </cell>
          <cell r="U28"/>
          <cell r="V28">
            <v>20000</v>
          </cell>
          <cell r="W28">
            <v>126430</v>
          </cell>
          <cell r="X28">
            <v>100000</v>
          </cell>
          <cell r="Y28">
            <v>3</v>
          </cell>
          <cell r="Z28">
            <v>33333.333333333336</v>
          </cell>
          <cell r="AA28"/>
          <cell r="AB28">
            <v>240000</v>
          </cell>
          <cell r="AD28">
            <v>3840000</v>
          </cell>
          <cell r="AE28">
            <v>29771.479127764786</v>
          </cell>
          <cell r="AF28">
            <v>27140.321175363522</v>
          </cell>
          <cell r="AG28"/>
          <cell r="AH28">
            <v>99238.263759215959</v>
          </cell>
          <cell r="AI28">
            <v>90467.737251211744</v>
          </cell>
        </row>
        <row r="29">
          <cell r="I29" t="str">
            <v>VAP-03-007-032</v>
          </cell>
          <cell r="J29" t="str">
            <v>TS</v>
          </cell>
          <cell r="K29" t="str">
            <v>Blk 7 &amp; Lot 32</v>
          </cell>
          <cell r="L29">
            <v>55</v>
          </cell>
          <cell r="M29">
            <v>80</v>
          </cell>
          <cell r="N29" t="str">
            <v>DU-EXE</v>
          </cell>
          <cell r="O29" t="str">
            <v>DUPLEX REG</v>
          </cell>
          <cell r="P29">
            <v>3600000</v>
          </cell>
          <cell r="Q29"/>
          <cell r="R29">
            <v>3600000</v>
          </cell>
          <cell r="T29">
            <v>360000</v>
          </cell>
          <cell r="U29"/>
          <cell r="V29">
            <v>20000</v>
          </cell>
          <cell r="W29">
            <v>126430</v>
          </cell>
          <cell r="X29">
            <v>100000</v>
          </cell>
          <cell r="Y29">
            <v>3</v>
          </cell>
          <cell r="Z29">
            <v>33333.333333333336</v>
          </cell>
          <cell r="AA29"/>
          <cell r="AB29">
            <v>240000</v>
          </cell>
          <cell r="AD29">
            <v>3840000</v>
          </cell>
          <cell r="AE29">
            <v>29771.479127764786</v>
          </cell>
          <cell r="AF29">
            <v>27140.321175363522</v>
          </cell>
          <cell r="AG29"/>
          <cell r="AH29">
            <v>99238.263759215959</v>
          </cell>
          <cell r="AI29">
            <v>90467.737251211744</v>
          </cell>
        </row>
        <row r="30">
          <cell r="I30" t="str">
            <v>VAP-03-007-037</v>
          </cell>
          <cell r="J30" t="str">
            <v>TS</v>
          </cell>
          <cell r="K30" t="str">
            <v>Blk 7 &amp; Lot 37</v>
          </cell>
          <cell r="L30">
            <v>55</v>
          </cell>
          <cell r="M30">
            <v>80</v>
          </cell>
          <cell r="N30" t="str">
            <v>DU-EXE</v>
          </cell>
          <cell r="O30" t="str">
            <v>DUPLEX REG</v>
          </cell>
          <cell r="P30">
            <v>3600000</v>
          </cell>
          <cell r="Q30"/>
          <cell r="R30">
            <v>3600000</v>
          </cell>
          <cell r="T30">
            <v>360000</v>
          </cell>
          <cell r="U30"/>
          <cell r="V30">
            <v>20000</v>
          </cell>
          <cell r="W30">
            <v>126430</v>
          </cell>
          <cell r="X30">
            <v>100000</v>
          </cell>
          <cell r="Y30">
            <v>3</v>
          </cell>
          <cell r="Z30">
            <v>33333.333333333336</v>
          </cell>
          <cell r="AA30"/>
          <cell r="AB30">
            <v>240000</v>
          </cell>
          <cell r="AD30">
            <v>3840000</v>
          </cell>
          <cell r="AE30">
            <v>29771.479127764786</v>
          </cell>
          <cell r="AF30">
            <v>27140.321175363522</v>
          </cell>
          <cell r="AG30"/>
          <cell r="AH30">
            <v>99238.263759215959</v>
          </cell>
          <cell r="AI30">
            <v>90467.737251211744</v>
          </cell>
        </row>
        <row r="31">
          <cell r="I31" t="str">
            <v>VAP-03-007-038</v>
          </cell>
          <cell r="J31" t="str">
            <v>TS</v>
          </cell>
          <cell r="K31" t="str">
            <v>Blk 7 &amp; Lot 38</v>
          </cell>
          <cell r="L31">
            <v>55</v>
          </cell>
          <cell r="M31">
            <v>80</v>
          </cell>
          <cell r="N31" t="str">
            <v>DU-EXE</v>
          </cell>
          <cell r="O31" t="str">
            <v>DUPLEX REG</v>
          </cell>
          <cell r="P31">
            <v>3600000</v>
          </cell>
          <cell r="Q31"/>
          <cell r="R31">
            <v>3600000</v>
          </cell>
          <cell r="T31">
            <v>360000</v>
          </cell>
          <cell r="U31"/>
          <cell r="V31">
            <v>20000</v>
          </cell>
          <cell r="W31">
            <v>126430</v>
          </cell>
          <cell r="X31">
            <v>100000</v>
          </cell>
          <cell r="Y31">
            <v>3</v>
          </cell>
          <cell r="Z31">
            <v>33333.333333333336</v>
          </cell>
          <cell r="AA31"/>
          <cell r="AB31">
            <v>240000</v>
          </cell>
          <cell r="AD31">
            <v>3840000</v>
          </cell>
          <cell r="AE31">
            <v>29771.479127764786</v>
          </cell>
          <cell r="AF31">
            <v>27140.321175363522</v>
          </cell>
          <cell r="AG31"/>
          <cell r="AH31">
            <v>99238.263759215959</v>
          </cell>
          <cell r="AI31">
            <v>90467.737251211744</v>
          </cell>
        </row>
        <row r="32">
          <cell r="I32" t="str">
            <v>VAP-03-007-039</v>
          </cell>
          <cell r="J32" t="str">
            <v>TS</v>
          </cell>
          <cell r="K32" t="str">
            <v>Blk 7 &amp; Lot 39</v>
          </cell>
          <cell r="L32">
            <v>55</v>
          </cell>
          <cell r="M32">
            <v>80</v>
          </cell>
          <cell r="N32" t="str">
            <v>DU-EXE</v>
          </cell>
          <cell r="O32" t="str">
            <v>DUPLEX REG</v>
          </cell>
          <cell r="P32">
            <v>3600000</v>
          </cell>
          <cell r="Q32"/>
          <cell r="R32">
            <v>3600000</v>
          </cell>
          <cell r="T32">
            <v>360000</v>
          </cell>
          <cell r="U32"/>
          <cell r="V32">
            <v>20000</v>
          </cell>
          <cell r="W32">
            <v>126430</v>
          </cell>
          <cell r="X32">
            <v>100000</v>
          </cell>
          <cell r="Y32">
            <v>3</v>
          </cell>
          <cell r="Z32">
            <v>33333.333333333336</v>
          </cell>
          <cell r="AA32"/>
          <cell r="AB32">
            <v>240000</v>
          </cell>
          <cell r="AD32">
            <v>3840000</v>
          </cell>
          <cell r="AE32">
            <v>29771.479127764786</v>
          </cell>
          <cell r="AF32">
            <v>27140.321175363522</v>
          </cell>
          <cell r="AG32"/>
          <cell r="AH32">
            <v>99238.263759215959</v>
          </cell>
          <cell r="AI32">
            <v>90467.737251211744</v>
          </cell>
        </row>
        <row r="33">
          <cell r="I33" t="str">
            <v>VAP-03-007-044</v>
          </cell>
          <cell r="J33" t="str">
            <v>TS</v>
          </cell>
          <cell r="K33" t="str">
            <v>Blk 7 &amp; Lot 44</v>
          </cell>
          <cell r="L33">
            <v>55</v>
          </cell>
          <cell r="M33">
            <v>80</v>
          </cell>
          <cell r="N33" t="str">
            <v>DU-EXE</v>
          </cell>
          <cell r="O33" t="str">
            <v>DUPLEX REG</v>
          </cell>
          <cell r="P33">
            <v>3600000</v>
          </cell>
          <cell r="Q33"/>
          <cell r="R33">
            <v>3600000</v>
          </cell>
          <cell r="T33">
            <v>360000</v>
          </cell>
          <cell r="U33"/>
          <cell r="V33">
            <v>20000</v>
          </cell>
          <cell r="W33">
            <v>126430</v>
          </cell>
          <cell r="X33">
            <v>100000</v>
          </cell>
          <cell r="Y33">
            <v>3</v>
          </cell>
          <cell r="Z33">
            <v>33333.333333333336</v>
          </cell>
          <cell r="AA33"/>
          <cell r="AB33">
            <v>240000</v>
          </cell>
          <cell r="AD33">
            <v>3840000</v>
          </cell>
          <cell r="AE33">
            <v>29771.479127764786</v>
          </cell>
          <cell r="AF33">
            <v>27140.321175363522</v>
          </cell>
          <cell r="AG33"/>
          <cell r="AH33">
            <v>99238.263759215959</v>
          </cell>
          <cell r="AI33">
            <v>90467.737251211744</v>
          </cell>
        </row>
        <row r="34">
          <cell r="I34" t="str">
            <v>VAP-03-009-001</v>
          </cell>
          <cell r="J34" t="str">
            <v>TS</v>
          </cell>
          <cell r="K34" t="str">
            <v>Blk 9 &amp; Lot 1</v>
          </cell>
          <cell r="L34">
            <v>55</v>
          </cell>
          <cell r="M34">
            <v>91</v>
          </cell>
          <cell r="N34" t="str">
            <v>DU-EXE-IRR</v>
          </cell>
          <cell r="O34" t="str">
            <v>DUPLEX 90+</v>
          </cell>
          <cell r="P34">
            <v>3600000</v>
          </cell>
          <cell r="Q34"/>
          <cell r="R34">
            <v>3600000</v>
          </cell>
          <cell r="T34">
            <v>468000</v>
          </cell>
          <cell r="U34"/>
          <cell r="V34">
            <v>20000</v>
          </cell>
          <cell r="W34">
            <v>164350</v>
          </cell>
          <cell r="X34">
            <v>150000</v>
          </cell>
          <cell r="Y34">
            <v>4</v>
          </cell>
          <cell r="Z34">
            <v>37500</v>
          </cell>
          <cell r="AA34"/>
          <cell r="AB34">
            <v>298000</v>
          </cell>
          <cell r="AD34">
            <v>3898000</v>
          </cell>
          <cell r="AE34">
            <v>30221.152510423733</v>
          </cell>
          <cell r="AF34">
            <v>27550.253109783076</v>
          </cell>
          <cell r="AG34"/>
          <cell r="AH34">
            <v>100737.17503474579</v>
          </cell>
          <cell r="AI34">
            <v>91834.177032610256</v>
          </cell>
        </row>
        <row r="35">
          <cell r="I35" t="str">
            <v>VAP-03-009-002</v>
          </cell>
          <cell r="J35" t="str">
            <v>OPEN</v>
          </cell>
          <cell r="K35" t="str">
            <v>Blk 9 &amp; Lot 2</v>
          </cell>
          <cell r="L35">
            <v>55</v>
          </cell>
          <cell r="M35">
            <v>87</v>
          </cell>
          <cell r="N35" t="str">
            <v>DU-EXE</v>
          </cell>
          <cell r="O35" t="str">
            <v>DUPLEX REG</v>
          </cell>
          <cell r="P35">
            <v>3600000</v>
          </cell>
          <cell r="Q35"/>
          <cell r="R35">
            <v>3600000</v>
          </cell>
          <cell r="T35">
            <v>360000</v>
          </cell>
          <cell r="U35"/>
          <cell r="V35">
            <v>20000</v>
          </cell>
          <cell r="W35">
            <v>126430</v>
          </cell>
          <cell r="X35">
            <v>100000</v>
          </cell>
          <cell r="Y35">
            <v>3</v>
          </cell>
          <cell r="Z35">
            <v>33333.333333333336</v>
          </cell>
          <cell r="AA35"/>
          <cell r="AB35">
            <v>240000</v>
          </cell>
          <cell r="AD35">
            <v>3840000</v>
          </cell>
          <cell r="AE35">
            <v>29771.479127764786</v>
          </cell>
          <cell r="AF35">
            <v>27140.321175363522</v>
          </cell>
          <cell r="AG35"/>
          <cell r="AH35">
            <v>99238.263759215959</v>
          </cell>
          <cell r="AI35">
            <v>90467.737251211744</v>
          </cell>
        </row>
        <row r="36">
          <cell r="I36" t="str">
            <v>VAP-03-009-003</v>
          </cell>
          <cell r="J36" t="str">
            <v>TS</v>
          </cell>
          <cell r="K36" t="str">
            <v>Blk 9 &amp; Lot 3</v>
          </cell>
          <cell r="L36">
            <v>55</v>
          </cell>
          <cell r="M36">
            <v>87</v>
          </cell>
          <cell r="N36" t="str">
            <v>DU-EXE</v>
          </cell>
          <cell r="O36" t="str">
            <v>DUPLEX REG</v>
          </cell>
          <cell r="P36">
            <v>3600000</v>
          </cell>
          <cell r="Q36"/>
          <cell r="R36">
            <v>3600000</v>
          </cell>
          <cell r="T36">
            <v>360000</v>
          </cell>
          <cell r="U36"/>
          <cell r="V36">
            <v>20000</v>
          </cell>
          <cell r="W36">
            <v>126430</v>
          </cell>
          <cell r="X36">
            <v>100000</v>
          </cell>
          <cell r="Y36">
            <v>3</v>
          </cell>
          <cell r="Z36">
            <v>33333.333333333336</v>
          </cell>
          <cell r="AA36"/>
          <cell r="AB36">
            <v>240000</v>
          </cell>
          <cell r="AD36">
            <v>3840000</v>
          </cell>
          <cell r="AE36">
            <v>29771.479127764786</v>
          </cell>
          <cell r="AF36">
            <v>27140.321175363522</v>
          </cell>
          <cell r="AG36"/>
          <cell r="AH36">
            <v>99238.263759215959</v>
          </cell>
          <cell r="AI36">
            <v>90467.737251211744</v>
          </cell>
        </row>
        <row r="37">
          <cell r="I37" t="str">
            <v>VAP-03-009-004</v>
          </cell>
          <cell r="J37" t="str">
            <v>TS</v>
          </cell>
          <cell r="K37" t="str">
            <v>Blk 9 &amp; Lot 4</v>
          </cell>
          <cell r="L37">
            <v>55</v>
          </cell>
          <cell r="M37">
            <v>87</v>
          </cell>
          <cell r="N37" t="str">
            <v>DU-EXE</v>
          </cell>
          <cell r="O37" t="str">
            <v>DUPLEX REG</v>
          </cell>
          <cell r="P37">
            <v>3600000</v>
          </cell>
          <cell r="Q37"/>
          <cell r="R37">
            <v>3600000</v>
          </cell>
          <cell r="T37">
            <v>360000</v>
          </cell>
          <cell r="U37"/>
          <cell r="V37">
            <v>20000</v>
          </cell>
          <cell r="W37">
            <v>126430</v>
          </cell>
          <cell r="X37">
            <v>100000</v>
          </cell>
          <cell r="Y37">
            <v>3</v>
          </cell>
          <cell r="Z37">
            <v>33333.333333333336</v>
          </cell>
          <cell r="AA37"/>
          <cell r="AB37">
            <v>240000</v>
          </cell>
          <cell r="AD37">
            <v>3840000</v>
          </cell>
          <cell r="AE37">
            <v>29771.479127764786</v>
          </cell>
          <cell r="AF37">
            <v>27140.321175363522</v>
          </cell>
          <cell r="AG37"/>
          <cell r="AH37">
            <v>99238.263759215959</v>
          </cell>
          <cell r="AI37">
            <v>90467.737251211744</v>
          </cell>
        </row>
        <row r="38">
          <cell r="I38" t="str">
            <v>VAP-03-006-009</v>
          </cell>
          <cell r="J38" t="str">
            <v>TS</v>
          </cell>
          <cell r="K38" t="str">
            <v>Blk 6 &amp; Lot 9</v>
          </cell>
          <cell r="L38">
            <v>55</v>
          </cell>
          <cell r="M38">
            <v>96</v>
          </cell>
          <cell r="N38" t="str">
            <v>DU-EXE-IRR</v>
          </cell>
          <cell r="O38" t="str">
            <v>DUPLEX 90+</v>
          </cell>
          <cell r="P38">
            <v>3600000</v>
          </cell>
          <cell r="Q38"/>
          <cell r="R38">
            <v>3600000</v>
          </cell>
          <cell r="T38">
            <v>468000</v>
          </cell>
          <cell r="U38"/>
          <cell r="V38">
            <v>20000</v>
          </cell>
          <cell r="W38">
            <v>164350</v>
          </cell>
          <cell r="X38">
            <v>150000</v>
          </cell>
          <cell r="Y38">
            <v>4</v>
          </cell>
          <cell r="Z38">
            <v>37500</v>
          </cell>
          <cell r="AA38"/>
          <cell r="AB38">
            <v>298000</v>
          </cell>
          <cell r="AD38">
            <v>3898000</v>
          </cell>
          <cell r="AE38">
            <v>30221.152510423733</v>
          </cell>
          <cell r="AF38">
            <v>27550.253109783076</v>
          </cell>
          <cell r="AG38"/>
          <cell r="AH38">
            <v>100737.17503474579</v>
          </cell>
          <cell r="AI38">
            <v>91834.177032610256</v>
          </cell>
        </row>
        <row r="39">
          <cell r="I39" t="str">
            <v>VAP-03-006-010</v>
          </cell>
          <cell r="J39" t="str">
            <v>OPEN</v>
          </cell>
          <cell r="K39" t="str">
            <v>Blk 6 &amp; Lot 10</v>
          </cell>
          <cell r="L39">
            <v>55</v>
          </cell>
          <cell r="M39">
            <v>96</v>
          </cell>
          <cell r="N39" t="str">
            <v>DU-EXE-IRR</v>
          </cell>
          <cell r="O39" t="str">
            <v>DUPLEX 90+</v>
          </cell>
          <cell r="P39">
            <v>3600000</v>
          </cell>
          <cell r="Q39"/>
          <cell r="R39">
            <v>3600000</v>
          </cell>
          <cell r="T39">
            <v>468000</v>
          </cell>
          <cell r="U39"/>
          <cell r="V39">
            <v>20000</v>
          </cell>
          <cell r="W39">
            <v>164350</v>
          </cell>
          <cell r="X39">
            <v>150000</v>
          </cell>
          <cell r="Y39">
            <v>4</v>
          </cell>
          <cell r="Z39">
            <v>37500</v>
          </cell>
          <cell r="AA39"/>
          <cell r="AB39">
            <v>298000</v>
          </cell>
          <cell r="AD39">
            <v>3898000</v>
          </cell>
          <cell r="AE39">
            <v>30221.152510423733</v>
          </cell>
          <cell r="AF39">
            <v>27550.253109783076</v>
          </cell>
          <cell r="AG39"/>
          <cell r="AH39">
            <v>100737.17503474579</v>
          </cell>
          <cell r="AI39">
            <v>91834.177032610256</v>
          </cell>
        </row>
        <row r="40">
          <cell r="I40" t="str">
            <v>VAP-03-006-011</v>
          </cell>
          <cell r="J40" t="str">
            <v>OPEN</v>
          </cell>
          <cell r="K40" t="str">
            <v>Blk 6 &amp; Lot 11</v>
          </cell>
          <cell r="L40">
            <v>55</v>
          </cell>
          <cell r="M40">
            <v>96</v>
          </cell>
          <cell r="N40" t="str">
            <v>DU-EXE-IRR</v>
          </cell>
          <cell r="O40" t="str">
            <v>DUPLEX 90+</v>
          </cell>
          <cell r="P40">
            <v>3600000</v>
          </cell>
          <cell r="Q40"/>
          <cell r="R40">
            <v>3600000</v>
          </cell>
          <cell r="T40">
            <v>468000</v>
          </cell>
          <cell r="U40"/>
          <cell r="V40">
            <v>20000</v>
          </cell>
          <cell r="W40">
            <v>164350</v>
          </cell>
          <cell r="X40">
            <v>150000</v>
          </cell>
          <cell r="Y40">
            <v>4</v>
          </cell>
          <cell r="Z40">
            <v>37500</v>
          </cell>
          <cell r="AA40"/>
          <cell r="AB40">
            <v>298000</v>
          </cell>
          <cell r="AD40">
            <v>3898000</v>
          </cell>
          <cell r="AE40">
            <v>30221.152510423733</v>
          </cell>
          <cell r="AF40">
            <v>27550.253109783076</v>
          </cell>
          <cell r="AG40"/>
          <cell r="AH40">
            <v>100737.17503474579</v>
          </cell>
          <cell r="AI40">
            <v>91834.177032610256</v>
          </cell>
        </row>
        <row r="41">
          <cell r="I41" t="str">
            <v>VAP-03-006-012</v>
          </cell>
          <cell r="J41" t="str">
            <v>OPEN</v>
          </cell>
          <cell r="K41" t="str">
            <v>Blk 6 &amp; Lot 12</v>
          </cell>
          <cell r="L41">
            <v>55</v>
          </cell>
          <cell r="M41">
            <v>96</v>
          </cell>
          <cell r="N41" t="str">
            <v>DU-EXE-IRR</v>
          </cell>
          <cell r="O41" t="str">
            <v>DUPLEX 90+</v>
          </cell>
          <cell r="P41">
            <v>3600000</v>
          </cell>
          <cell r="Q41"/>
          <cell r="R41">
            <v>3600000</v>
          </cell>
          <cell r="T41">
            <v>468000</v>
          </cell>
          <cell r="U41"/>
          <cell r="V41">
            <v>20000</v>
          </cell>
          <cell r="W41">
            <v>164350</v>
          </cell>
          <cell r="X41">
            <v>150000</v>
          </cell>
          <cell r="Y41">
            <v>4</v>
          </cell>
          <cell r="Z41">
            <v>37500</v>
          </cell>
          <cell r="AA41"/>
          <cell r="AB41">
            <v>298000</v>
          </cell>
          <cell r="AD41">
            <v>3898000</v>
          </cell>
          <cell r="AE41">
            <v>30221.152510423733</v>
          </cell>
          <cell r="AF41">
            <v>27550.253109783076</v>
          </cell>
          <cell r="AG41"/>
          <cell r="AH41">
            <v>100737.17503474579</v>
          </cell>
          <cell r="AI41">
            <v>91834.177032610256</v>
          </cell>
        </row>
        <row r="42">
          <cell r="I42" t="str">
            <v>VAP-03-006-013</v>
          </cell>
          <cell r="J42" t="str">
            <v>OPEN</v>
          </cell>
          <cell r="K42" t="str">
            <v>Blk 6 &amp; Lot 13</v>
          </cell>
          <cell r="L42">
            <v>55</v>
          </cell>
          <cell r="M42">
            <v>96</v>
          </cell>
          <cell r="N42" t="str">
            <v>DU-EXE-IRR</v>
          </cell>
          <cell r="O42" t="str">
            <v>DUPLEX 90+</v>
          </cell>
          <cell r="P42">
            <v>3600000</v>
          </cell>
          <cell r="Q42"/>
          <cell r="R42">
            <v>3600000</v>
          </cell>
          <cell r="T42">
            <v>468000</v>
          </cell>
          <cell r="U42"/>
          <cell r="V42">
            <v>20000</v>
          </cell>
          <cell r="W42">
            <v>164350</v>
          </cell>
          <cell r="X42">
            <v>150000</v>
          </cell>
          <cell r="Y42">
            <v>4</v>
          </cell>
          <cell r="Z42">
            <v>37500</v>
          </cell>
          <cell r="AA42"/>
          <cell r="AB42">
            <v>298000</v>
          </cell>
          <cell r="AD42">
            <v>3898000</v>
          </cell>
          <cell r="AE42">
            <v>30221.152510423733</v>
          </cell>
          <cell r="AF42">
            <v>27550.253109783076</v>
          </cell>
          <cell r="AG42"/>
          <cell r="AH42">
            <v>100737.17503474579</v>
          </cell>
          <cell r="AI42">
            <v>91834.177032610256</v>
          </cell>
        </row>
        <row r="43">
          <cell r="I43" t="str">
            <v>VAP-03-006-014</v>
          </cell>
          <cell r="J43" t="str">
            <v>OPEN</v>
          </cell>
          <cell r="K43" t="str">
            <v>Blk 6 &amp; Lot 14</v>
          </cell>
          <cell r="L43">
            <v>55</v>
          </cell>
          <cell r="M43">
            <v>96</v>
          </cell>
          <cell r="N43" t="str">
            <v>DU-EXE-IRR</v>
          </cell>
          <cell r="O43" t="str">
            <v>DUPLEX 90+</v>
          </cell>
          <cell r="P43">
            <v>3600000</v>
          </cell>
          <cell r="Q43"/>
          <cell r="R43">
            <v>3600000</v>
          </cell>
          <cell r="T43">
            <v>468000</v>
          </cell>
          <cell r="U43"/>
          <cell r="V43">
            <v>20000</v>
          </cell>
          <cell r="W43">
            <v>164350</v>
          </cell>
          <cell r="X43">
            <v>150000</v>
          </cell>
          <cell r="Y43">
            <v>4</v>
          </cell>
          <cell r="Z43">
            <v>37500</v>
          </cell>
          <cell r="AA43"/>
          <cell r="AB43">
            <v>298000</v>
          </cell>
          <cell r="AD43">
            <v>3898000</v>
          </cell>
          <cell r="AE43">
            <v>30221.152510423733</v>
          </cell>
          <cell r="AF43">
            <v>27550.253109783076</v>
          </cell>
          <cell r="AG43"/>
          <cell r="AH43">
            <v>100737.17503474579</v>
          </cell>
          <cell r="AI43">
            <v>91834.177032610256</v>
          </cell>
        </row>
        <row r="44">
          <cell r="I44" t="str">
            <v>VAP-03-007-040</v>
          </cell>
          <cell r="J44" t="str">
            <v>TS</v>
          </cell>
          <cell r="K44" t="str">
            <v>Blk 7 &amp; Lot 40</v>
          </cell>
          <cell r="L44">
            <v>55</v>
          </cell>
          <cell r="M44">
            <v>80</v>
          </cell>
          <cell r="N44" t="str">
            <v>DU-EXE</v>
          </cell>
          <cell r="O44" t="str">
            <v>DUPLEX REG</v>
          </cell>
          <cell r="P44">
            <v>3600000</v>
          </cell>
          <cell r="Q44"/>
          <cell r="R44">
            <v>3600000</v>
          </cell>
          <cell r="T44">
            <v>360000</v>
          </cell>
          <cell r="U44"/>
          <cell r="V44">
            <v>20000</v>
          </cell>
          <cell r="W44">
            <v>126430</v>
          </cell>
          <cell r="X44">
            <v>100000</v>
          </cell>
          <cell r="Y44">
            <v>3</v>
          </cell>
          <cell r="Z44">
            <v>33333.333333333336</v>
          </cell>
          <cell r="AA44"/>
          <cell r="AB44">
            <v>240000</v>
          </cell>
          <cell r="AD44">
            <v>3840000</v>
          </cell>
          <cell r="AE44">
            <v>29771.479127764786</v>
          </cell>
          <cell r="AF44">
            <v>27140.321175363522</v>
          </cell>
          <cell r="AG44"/>
          <cell r="AH44">
            <v>99238.263759215959</v>
          </cell>
          <cell r="AI44">
            <v>90467.737251211744</v>
          </cell>
        </row>
        <row r="45">
          <cell r="I45" t="str">
            <v>VAP-03-007-041</v>
          </cell>
          <cell r="J45" t="str">
            <v>OPEN</v>
          </cell>
          <cell r="K45" t="str">
            <v>Blk 7 &amp; Lot 41</v>
          </cell>
          <cell r="L45">
            <v>55</v>
          </cell>
          <cell r="M45">
            <v>80</v>
          </cell>
          <cell r="N45" t="str">
            <v>DU-EXE</v>
          </cell>
          <cell r="O45" t="str">
            <v>DUPLEX REG</v>
          </cell>
          <cell r="P45">
            <v>3600000</v>
          </cell>
          <cell r="Q45"/>
          <cell r="R45">
            <v>3600000</v>
          </cell>
          <cell r="T45">
            <v>360000</v>
          </cell>
          <cell r="U45"/>
          <cell r="V45">
            <v>20000</v>
          </cell>
          <cell r="W45">
            <v>126430</v>
          </cell>
          <cell r="X45">
            <v>100000</v>
          </cell>
          <cell r="Y45">
            <v>3</v>
          </cell>
          <cell r="Z45">
            <v>33333.333333333336</v>
          </cell>
          <cell r="AA45"/>
          <cell r="AB45">
            <v>240000</v>
          </cell>
          <cell r="AD45">
            <v>3840000</v>
          </cell>
          <cell r="AE45">
            <v>29771.479127764786</v>
          </cell>
          <cell r="AF45">
            <v>27140.321175363522</v>
          </cell>
          <cell r="AG45"/>
          <cell r="AH45">
            <v>99238.263759215959</v>
          </cell>
          <cell r="AI45">
            <v>90467.737251211744</v>
          </cell>
        </row>
        <row r="46">
          <cell r="I46" t="str">
            <v>VAP-03-007-042</v>
          </cell>
          <cell r="J46" t="str">
            <v>TS</v>
          </cell>
          <cell r="K46" t="str">
            <v>Blk 7 &amp; Lot 42</v>
          </cell>
          <cell r="L46">
            <v>55</v>
          </cell>
          <cell r="M46">
            <v>80</v>
          </cell>
          <cell r="N46" t="str">
            <v>DU-EXE</v>
          </cell>
          <cell r="O46" t="str">
            <v>DUPLEX REG</v>
          </cell>
          <cell r="P46">
            <v>3600000</v>
          </cell>
          <cell r="Q46"/>
          <cell r="R46">
            <v>3600000</v>
          </cell>
          <cell r="T46">
            <v>360000</v>
          </cell>
          <cell r="U46"/>
          <cell r="V46">
            <v>20000</v>
          </cell>
          <cell r="W46">
            <v>126430</v>
          </cell>
          <cell r="X46">
            <v>100000</v>
          </cell>
          <cell r="Y46">
            <v>3</v>
          </cell>
          <cell r="Z46">
            <v>33333.333333333336</v>
          </cell>
          <cell r="AA46"/>
          <cell r="AB46">
            <v>240000</v>
          </cell>
          <cell r="AD46">
            <v>3840000</v>
          </cell>
          <cell r="AE46">
            <v>29771.479127764786</v>
          </cell>
          <cell r="AF46">
            <v>27140.321175363522</v>
          </cell>
          <cell r="AG46"/>
          <cell r="AH46">
            <v>99238.263759215959</v>
          </cell>
          <cell r="AI46">
            <v>90467.737251211744</v>
          </cell>
        </row>
        <row r="47">
          <cell r="I47" t="str">
            <v>VAP-03-007-043</v>
          </cell>
          <cell r="J47" t="str">
            <v>TS</v>
          </cell>
          <cell r="K47" t="str">
            <v>Blk 7 &amp; Lot 43</v>
          </cell>
          <cell r="L47">
            <v>55</v>
          </cell>
          <cell r="M47">
            <v>80</v>
          </cell>
          <cell r="N47" t="str">
            <v>DU-EXE</v>
          </cell>
          <cell r="O47" t="str">
            <v>DUPLEX REG</v>
          </cell>
          <cell r="P47">
            <v>3600000</v>
          </cell>
          <cell r="Q47"/>
          <cell r="R47">
            <v>3600000</v>
          </cell>
          <cell r="T47">
            <v>360000</v>
          </cell>
          <cell r="U47"/>
          <cell r="V47">
            <v>20000</v>
          </cell>
          <cell r="W47">
            <v>126430</v>
          </cell>
          <cell r="X47">
            <v>100000</v>
          </cell>
          <cell r="Y47">
            <v>3</v>
          </cell>
          <cell r="Z47">
            <v>33333.333333333336</v>
          </cell>
          <cell r="AA47"/>
          <cell r="AB47">
            <v>240000</v>
          </cell>
          <cell r="AD47">
            <v>3840000</v>
          </cell>
          <cell r="AE47">
            <v>29771.479127764786</v>
          </cell>
          <cell r="AF47">
            <v>27140.321175363522</v>
          </cell>
          <cell r="AG47"/>
          <cell r="AH47">
            <v>99238.263759215959</v>
          </cell>
          <cell r="AI47">
            <v>90467.737251211744</v>
          </cell>
        </row>
        <row r="48">
          <cell r="I48" t="str">
            <v>VAP-03-009-007</v>
          </cell>
          <cell r="J48" t="str">
            <v>OPEN</v>
          </cell>
          <cell r="K48" t="str">
            <v>Blk 9 &amp; Lot 7</v>
          </cell>
          <cell r="L48">
            <v>55</v>
          </cell>
          <cell r="M48">
            <v>92</v>
          </cell>
          <cell r="N48" t="str">
            <v>DU-EXE-IRR</v>
          </cell>
          <cell r="O48" t="str">
            <v>DUPLEX 90+</v>
          </cell>
          <cell r="P48">
            <v>3600000</v>
          </cell>
          <cell r="Q48"/>
          <cell r="R48">
            <v>3600000</v>
          </cell>
          <cell r="T48">
            <v>468000</v>
          </cell>
          <cell r="U48"/>
          <cell r="V48">
            <v>20000</v>
          </cell>
          <cell r="W48">
            <v>164350</v>
          </cell>
          <cell r="X48">
            <v>150000</v>
          </cell>
          <cell r="Y48">
            <v>4</v>
          </cell>
          <cell r="Z48">
            <v>37500</v>
          </cell>
          <cell r="AA48"/>
          <cell r="AB48">
            <v>298000</v>
          </cell>
          <cell r="AD48">
            <v>3898000</v>
          </cell>
          <cell r="AE48">
            <v>30221.152510423733</v>
          </cell>
          <cell r="AF48">
            <v>27550.253109783076</v>
          </cell>
          <cell r="AG48"/>
          <cell r="AH48">
            <v>100737.17503474579</v>
          </cell>
          <cell r="AI48">
            <v>91834.177032610256</v>
          </cell>
        </row>
        <row r="49">
          <cell r="I49" t="str">
            <v>VAP-03-009-008</v>
          </cell>
          <cell r="J49" t="str">
            <v>TS</v>
          </cell>
          <cell r="K49" t="str">
            <v>Blk 9 &amp; Lot 8</v>
          </cell>
          <cell r="L49">
            <v>55</v>
          </cell>
          <cell r="M49">
            <v>93</v>
          </cell>
          <cell r="N49" t="str">
            <v>DU-EXE-IRR</v>
          </cell>
          <cell r="O49" t="str">
            <v>DUPLEX 90+</v>
          </cell>
          <cell r="P49">
            <v>3600000</v>
          </cell>
          <cell r="Q49"/>
          <cell r="R49">
            <v>3600000</v>
          </cell>
          <cell r="T49">
            <v>468000</v>
          </cell>
          <cell r="U49"/>
          <cell r="V49">
            <v>20000</v>
          </cell>
          <cell r="W49">
            <v>164350</v>
          </cell>
          <cell r="X49">
            <v>150000</v>
          </cell>
          <cell r="Y49">
            <v>4</v>
          </cell>
          <cell r="Z49">
            <v>37500</v>
          </cell>
          <cell r="AA49"/>
          <cell r="AB49">
            <v>298000</v>
          </cell>
          <cell r="AD49">
            <v>3898000</v>
          </cell>
          <cell r="AE49">
            <v>30221.152510423733</v>
          </cell>
          <cell r="AF49">
            <v>27550.253109783076</v>
          </cell>
          <cell r="AG49"/>
          <cell r="AH49">
            <v>100737.17503474579</v>
          </cell>
          <cell r="AI49">
            <v>91834.177032610256</v>
          </cell>
        </row>
        <row r="50">
          <cell r="I50" t="str">
            <v>VAP-03-009-005</v>
          </cell>
          <cell r="J50" t="str">
            <v>TS</v>
          </cell>
          <cell r="K50" t="str">
            <v>Blk 9 &amp; Lot 5</v>
          </cell>
          <cell r="L50">
            <v>55</v>
          </cell>
          <cell r="M50">
            <v>88</v>
          </cell>
          <cell r="N50" t="str">
            <v>DU-EXE</v>
          </cell>
          <cell r="O50" t="str">
            <v>DUPLEX REG</v>
          </cell>
          <cell r="P50">
            <v>3600000</v>
          </cell>
          <cell r="Q50"/>
          <cell r="R50">
            <v>3600000</v>
          </cell>
          <cell r="T50">
            <v>360000</v>
          </cell>
          <cell r="U50"/>
          <cell r="V50">
            <v>20000</v>
          </cell>
          <cell r="W50">
            <v>126430</v>
          </cell>
          <cell r="X50">
            <v>100000</v>
          </cell>
          <cell r="Y50">
            <v>3</v>
          </cell>
          <cell r="Z50">
            <v>33333.333333333336</v>
          </cell>
          <cell r="AA50"/>
          <cell r="AB50">
            <v>240000</v>
          </cell>
          <cell r="AD50">
            <v>3840000</v>
          </cell>
          <cell r="AE50">
            <v>29771.479127764786</v>
          </cell>
          <cell r="AF50">
            <v>27140.321175363522</v>
          </cell>
          <cell r="AG50"/>
          <cell r="AH50">
            <v>99238.263759215959</v>
          </cell>
          <cell r="AI50">
            <v>90467.737251211744</v>
          </cell>
        </row>
        <row r="51">
          <cell r="I51" t="str">
            <v>VAP-03-009-006</v>
          </cell>
          <cell r="J51" t="str">
            <v>OPEN</v>
          </cell>
          <cell r="K51" t="str">
            <v>Blk 9 &amp; Lot 6</v>
          </cell>
          <cell r="L51">
            <v>55</v>
          </cell>
          <cell r="M51">
            <v>90</v>
          </cell>
          <cell r="N51" t="str">
            <v>DU-EXE-IRR</v>
          </cell>
          <cell r="O51" t="str">
            <v>DUPLEX 90+</v>
          </cell>
          <cell r="P51">
            <v>3600000</v>
          </cell>
          <cell r="Q51"/>
          <cell r="R51">
            <v>3600000</v>
          </cell>
          <cell r="T51">
            <v>468000</v>
          </cell>
          <cell r="U51"/>
          <cell r="V51">
            <v>20000</v>
          </cell>
          <cell r="W51">
            <v>164350</v>
          </cell>
          <cell r="X51">
            <v>150000</v>
          </cell>
          <cell r="Y51">
            <v>4</v>
          </cell>
          <cell r="Z51">
            <v>37500</v>
          </cell>
          <cell r="AA51"/>
          <cell r="AB51">
            <v>298000</v>
          </cell>
          <cell r="AD51">
            <v>3898000</v>
          </cell>
          <cell r="AE51">
            <v>30221.152510423733</v>
          </cell>
          <cell r="AF51">
            <v>27550.253109783076</v>
          </cell>
          <cell r="AG51"/>
          <cell r="AH51">
            <v>100737.17503474579</v>
          </cell>
          <cell r="AI51">
            <v>91834.177032610256</v>
          </cell>
        </row>
        <row r="52">
          <cell r="I52" t="str">
            <v>VAP-03-200-004</v>
          </cell>
          <cell r="J52" t="str">
            <v>CLOSED</v>
          </cell>
          <cell r="K52" t="str">
            <v>Blk 200 &amp; Lot 4</v>
          </cell>
          <cell r="L52">
            <v>55</v>
          </cell>
          <cell r="M52">
            <v>104</v>
          </cell>
          <cell r="N52" t="str">
            <v>DU-EXE</v>
          </cell>
          <cell r="O52" t="str">
            <v>NA</v>
          </cell>
          <cell r="P52">
            <v>4600000</v>
          </cell>
          <cell r="Q52">
            <v>492857.14285714284</v>
          </cell>
          <cell r="R52">
            <v>4107142.8571428573</v>
          </cell>
          <cell r="T52">
            <v>598000</v>
          </cell>
          <cell r="U52"/>
          <cell r="V52">
            <v>20000</v>
          </cell>
          <cell r="W52">
            <v>210000</v>
          </cell>
          <cell r="X52">
            <v>210000</v>
          </cell>
          <cell r="Y52">
            <v>6</v>
          </cell>
          <cell r="Z52">
            <v>35000</v>
          </cell>
          <cell r="AA52"/>
          <cell r="AB52">
            <v>368000</v>
          </cell>
          <cell r="AD52">
            <v>4968000</v>
          </cell>
          <cell r="AE52">
            <v>38516.851121545689</v>
          </cell>
          <cell r="AF52">
            <v>35112.790520626557</v>
          </cell>
          <cell r="AG52"/>
          <cell r="AH52">
            <v>128389.50373848564</v>
          </cell>
          <cell r="AI52">
            <v>117042.63506875519</v>
          </cell>
        </row>
        <row r="53">
          <cell r="I53" t="str">
            <v>VAP-03-200-005</v>
          </cell>
          <cell r="J53" t="str">
            <v>CLOSED</v>
          </cell>
          <cell r="K53" t="str">
            <v>Blk 200 &amp; Lot 5</v>
          </cell>
          <cell r="L53">
            <v>55</v>
          </cell>
          <cell r="M53">
            <v>112</v>
          </cell>
          <cell r="N53" t="str">
            <v>DU-EXE</v>
          </cell>
          <cell r="O53" t="str">
            <v>NA</v>
          </cell>
          <cell r="P53">
            <v>4600000</v>
          </cell>
          <cell r="Q53">
            <v>492857.14285714284</v>
          </cell>
          <cell r="R53">
            <v>4107142.8571428573</v>
          </cell>
          <cell r="T53">
            <v>598000</v>
          </cell>
          <cell r="U53"/>
          <cell r="V53">
            <v>20000</v>
          </cell>
          <cell r="W53">
            <v>210000</v>
          </cell>
          <cell r="X53">
            <v>210000</v>
          </cell>
          <cell r="Y53">
            <v>6</v>
          </cell>
          <cell r="Z53">
            <v>35000</v>
          </cell>
          <cell r="AA53"/>
          <cell r="AB53">
            <v>368000</v>
          </cell>
          <cell r="AD53">
            <v>4968000</v>
          </cell>
          <cell r="AE53">
            <v>38516.851121545689</v>
          </cell>
          <cell r="AF53">
            <v>35112.790520626557</v>
          </cell>
          <cell r="AG53"/>
          <cell r="AH53">
            <v>128389.50373848564</v>
          </cell>
          <cell r="AI53">
            <v>117042.63506875519</v>
          </cell>
        </row>
        <row r="54">
          <cell r="I54" t="str">
            <v>VAP-03-007-025</v>
          </cell>
          <cell r="J54" t="str">
            <v>TS</v>
          </cell>
          <cell r="K54" t="str">
            <v>Blk 7 &amp; Lot 25</v>
          </cell>
          <cell r="L54">
            <v>55</v>
          </cell>
          <cell r="M54">
            <v>105</v>
          </cell>
          <cell r="N54" t="str">
            <v>DU-EXE-IRR</v>
          </cell>
          <cell r="O54" t="str">
            <v>DUPLEX IRREG +100</v>
          </cell>
          <cell r="P54">
            <v>4600000</v>
          </cell>
          <cell r="Q54">
            <v>492857.14285714284</v>
          </cell>
          <cell r="R54">
            <v>4107142.8571428573</v>
          </cell>
          <cell r="T54">
            <v>598000</v>
          </cell>
          <cell r="U54"/>
          <cell r="V54">
            <v>20000</v>
          </cell>
          <cell r="W54">
            <v>210000</v>
          </cell>
          <cell r="X54">
            <v>210000</v>
          </cell>
          <cell r="Y54">
            <v>6</v>
          </cell>
          <cell r="Z54">
            <v>35000</v>
          </cell>
          <cell r="AA54"/>
          <cell r="AB54">
            <v>368000</v>
          </cell>
          <cell r="AD54">
            <v>4968000</v>
          </cell>
          <cell r="AE54">
            <v>38516.851121545689</v>
          </cell>
          <cell r="AF54">
            <v>35112.790520626557</v>
          </cell>
          <cell r="AG54"/>
          <cell r="AH54">
            <v>128389.50373848564</v>
          </cell>
          <cell r="AI54">
            <v>117042.63506875519</v>
          </cell>
        </row>
        <row r="55">
          <cell r="I55" t="str">
            <v>VAP-03-007-026</v>
          </cell>
          <cell r="J55" t="str">
            <v>TS</v>
          </cell>
          <cell r="K55" t="str">
            <v>Blk 7 &amp; Lot 26</v>
          </cell>
          <cell r="L55">
            <v>55</v>
          </cell>
          <cell r="M55">
            <v>80</v>
          </cell>
          <cell r="N55" t="str">
            <v>DU-EXE</v>
          </cell>
          <cell r="O55" t="str">
            <v>DUPLEX REG</v>
          </cell>
          <cell r="P55">
            <v>3600000</v>
          </cell>
          <cell r="Q55"/>
          <cell r="R55">
            <v>3600000</v>
          </cell>
          <cell r="T55">
            <v>360000</v>
          </cell>
          <cell r="U55"/>
          <cell r="V55">
            <v>20000</v>
          </cell>
          <cell r="W55">
            <v>126430</v>
          </cell>
          <cell r="X55">
            <v>100000</v>
          </cell>
          <cell r="Y55">
            <v>3</v>
          </cell>
          <cell r="Z55">
            <v>33333.333333333336</v>
          </cell>
          <cell r="AA55"/>
          <cell r="AB55">
            <v>240000</v>
          </cell>
          <cell r="AD55">
            <v>3840000</v>
          </cell>
          <cell r="AE55">
            <v>29771.479127764786</v>
          </cell>
          <cell r="AF55">
            <v>27140.321175363522</v>
          </cell>
          <cell r="AG55"/>
          <cell r="AH55">
            <v>99238.263759215959</v>
          </cell>
          <cell r="AI55">
            <v>90467.737251211744</v>
          </cell>
        </row>
        <row r="56">
          <cell r="I56" t="str">
            <v>VAP-03-009-013</v>
          </cell>
          <cell r="J56" t="str">
            <v>OPEN</v>
          </cell>
          <cell r="K56" t="str">
            <v>Blk 9 &amp; Lot 13</v>
          </cell>
          <cell r="L56">
            <v>55</v>
          </cell>
          <cell r="M56">
            <v>102</v>
          </cell>
          <cell r="N56" t="str">
            <v>DU-EXE-IRR</v>
          </cell>
          <cell r="O56" t="str">
            <v>DUPLEX IRREG +100</v>
          </cell>
          <cell r="P56">
            <v>4600000</v>
          </cell>
          <cell r="Q56">
            <v>492857.14285714284</v>
          </cell>
          <cell r="R56">
            <v>4107142.8571428573</v>
          </cell>
          <cell r="T56">
            <v>598000</v>
          </cell>
          <cell r="U56"/>
          <cell r="V56">
            <v>20000</v>
          </cell>
          <cell r="W56">
            <v>210000</v>
          </cell>
          <cell r="X56">
            <v>210000</v>
          </cell>
          <cell r="Y56">
            <v>6</v>
          </cell>
          <cell r="Z56">
            <v>35000</v>
          </cell>
          <cell r="AA56"/>
          <cell r="AB56">
            <v>368000</v>
          </cell>
          <cell r="AD56">
            <v>4968000</v>
          </cell>
          <cell r="AE56">
            <v>38516.851121545689</v>
          </cell>
          <cell r="AF56">
            <v>35112.790520626557</v>
          </cell>
          <cell r="AG56"/>
          <cell r="AH56">
            <v>128389.50373848564</v>
          </cell>
          <cell r="AI56">
            <v>117042.63506875519</v>
          </cell>
        </row>
        <row r="57">
          <cell r="I57" t="str">
            <v>VAP-03-009-014</v>
          </cell>
          <cell r="J57" t="str">
            <v>TS</v>
          </cell>
          <cell r="K57" t="str">
            <v>Blk 9 &amp; Lot 14</v>
          </cell>
          <cell r="L57">
            <v>55</v>
          </cell>
          <cell r="M57">
            <v>104</v>
          </cell>
          <cell r="N57" t="str">
            <v>DU-EXE-IRR</v>
          </cell>
          <cell r="O57" t="str">
            <v>DUPLEX IRREG +100</v>
          </cell>
          <cell r="P57">
            <v>4600000</v>
          </cell>
          <cell r="Q57">
            <v>492857.14285714284</v>
          </cell>
          <cell r="R57">
            <v>4107142.8571428573</v>
          </cell>
          <cell r="T57">
            <v>598000</v>
          </cell>
          <cell r="U57"/>
          <cell r="V57">
            <v>20000</v>
          </cell>
          <cell r="W57">
            <v>210000</v>
          </cell>
          <cell r="X57">
            <v>210000</v>
          </cell>
          <cell r="Y57">
            <v>6</v>
          </cell>
          <cell r="Z57">
            <v>35000</v>
          </cell>
          <cell r="AA57"/>
          <cell r="AB57">
            <v>368000</v>
          </cell>
          <cell r="AD57">
            <v>4968000</v>
          </cell>
          <cell r="AE57">
            <v>38516.851121545689</v>
          </cell>
          <cell r="AF57">
            <v>35112.790520626557</v>
          </cell>
          <cell r="AG57"/>
          <cell r="AH57">
            <v>128389.50373848564</v>
          </cell>
          <cell r="AI57">
            <v>117042.63506875519</v>
          </cell>
        </row>
        <row r="58">
          <cell r="I58" t="str">
            <v>VAP-03-007-027</v>
          </cell>
          <cell r="J58" t="str">
            <v>TS</v>
          </cell>
          <cell r="K58" t="str">
            <v>Blk 7 &amp; Lot 27</v>
          </cell>
          <cell r="L58">
            <v>55</v>
          </cell>
          <cell r="M58">
            <v>80</v>
          </cell>
          <cell r="N58" t="str">
            <v>DU-EXE</v>
          </cell>
          <cell r="O58" t="str">
            <v>DUPLEX REG</v>
          </cell>
          <cell r="P58">
            <v>3600000</v>
          </cell>
          <cell r="Q58"/>
          <cell r="R58">
            <v>3600000</v>
          </cell>
          <cell r="T58">
            <v>360000</v>
          </cell>
          <cell r="U58"/>
          <cell r="V58">
            <v>20000</v>
          </cell>
          <cell r="W58">
            <v>126430</v>
          </cell>
          <cell r="X58">
            <v>100000</v>
          </cell>
          <cell r="Y58">
            <v>3</v>
          </cell>
          <cell r="Z58">
            <v>33333.333333333336</v>
          </cell>
          <cell r="AA58"/>
          <cell r="AB58">
            <v>240000</v>
          </cell>
          <cell r="AD58">
            <v>3840000</v>
          </cell>
          <cell r="AE58">
            <v>29771.479127764786</v>
          </cell>
          <cell r="AF58">
            <v>27140.321175363522</v>
          </cell>
          <cell r="AG58"/>
          <cell r="AH58">
            <v>99238.263759215959</v>
          </cell>
          <cell r="AI58">
            <v>90467.737251211744</v>
          </cell>
        </row>
        <row r="59">
          <cell r="I59" t="str">
            <v>VAP-03-007-028</v>
          </cell>
          <cell r="J59" t="str">
            <v>TS</v>
          </cell>
          <cell r="K59" t="str">
            <v>Blk 7 &amp; Lot 28</v>
          </cell>
          <cell r="L59">
            <v>55</v>
          </cell>
          <cell r="M59">
            <v>80</v>
          </cell>
          <cell r="N59" t="str">
            <v>DU-EXE</v>
          </cell>
          <cell r="O59" t="str">
            <v>DUPLEX REG</v>
          </cell>
          <cell r="P59">
            <v>3600000</v>
          </cell>
          <cell r="Q59"/>
          <cell r="R59">
            <v>3600000</v>
          </cell>
          <cell r="T59">
            <v>360000</v>
          </cell>
          <cell r="U59"/>
          <cell r="V59">
            <v>20000</v>
          </cell>
          <cell r="W59">
            <v>126430</v>
          </cell>
          <cell r="X59">
            <v>100000</v>
          </cell>
          <cell r="Y59">
            <v>3</v>
          </cell>
          <cell r="Z59">
            <v>33333.333333333336</v>
          </cell>
          <cell r="AA59"/>
          <cell r="AB59">
            <v>240000</v>
          </cell>
          <cell r="AD59">
            <v>3840000</v>
          </cell>
          <cell r="AE59">
            <v>29771.479127764786</v>
          </cell>
          <cell r="AF59">
            <v>27140.321175363522</v>
          </cell>
          <cell r="AG59"/>
          <cell r="AH59">
            <v>99238.263759215959</v>
          </cell>
          <cell r="AI59">
            <v>90467.737251211744</v>
          </cell>
        </row>
        <row r="60">
          <cell r="I60" t="str">
            <v>VAP-03-006-005</v>
          </cell>
          <cell r="J60" t="str">
            <v>OPEN</v>
          </cell>
          <cell r="K60" t="str">
            <v>Blk 6 &amp; Lot 5</v>
          </cell>
          <cell r="L60">
            <v>55</v>
          </cell>
          <cell r="M60">
            <v>96</v>
          </cell>
          <cell r="N60" t="str">
            <v>DU-EXE-IRR</v>
          </cell>
          <cell r="O60" t="str">
            <v>DUPLEX 90+</v>
          </cell>
          <cell r="P60">
            <v>3600000</v>
          </cell>
          <cell r="Q60"/>
          <cell r="R60">
            <v>3600000</v>
          </cell>
          <cell r="T60">
            <v>468000</v>
          </cell>
          <cell r="U60"/>
          <cell r="V60">
            <v>20000</v>
          </cell>
          <cell r="W60">
            <v>164350</v>
          </cell>
          <cell r="X60">
            <v>150000</v>
          </cell>
          <cell r="Y60">
            <v>4</v>
          </cell>
          <cell r="Z60">
            <v>37500</v>
          </cell>
          <cell r="AA60"/>
          <cell r="AB60">
            <v>298000</v>
          </cell>
          <cell r="AD60">
            <v>3898000</v>
          </cell>
          <cell r="AE60">
            <v>30221.152510423733</v>
          </cell>
          <cell r="AF60">
            <v>27550.253109783076</v>
          </cell>
          <cell r="AG60"/>
          <cell r="AH60">
            <v>100737.17503474579</v>
          </cell>
          <cell r="AI60">
            <v>91834.177032610256</v>
          </cell>
        </row>
        <row r="61">
          <cell r="I61" t="str">
            <v>VAP-03-006-006</v>
          </cell>
          <cell r="J61" t="str">
            <v>OPEN</v>
          </cell>
          <cell r="K61" t="str">
            <v>Blk 6 &amp; Lot 6</v>
          </cell>
          <cell r="L61">
            <v>55</v>
          </cell>
          <cell r="M61">
            <v>96</v>
          </cell>
          <cell r="N61" t="str">
            <v>DU-EXE-IRR</v>
          </cell>
          <cell r="O61" t="str">
            <v>DUPLEX 90+</v>
          </cell>
          <cell r="P61">
            <v>3600000</v>
          </cell>
          <cell r="Q61"/>
          <cell r="R61">
            <v>3600000</v>
          </cell>
          <cell r="T61">
            <v>468000</v>
          </cell>
          <cell r="U61"/>
          <cell r="V61">
            <v>20000</v>
          </cell>
          <cell r="W61">
            <v>164350</v>
          </cell>
          <cell r="X61">
            <v>150000</v>
          </cell>
          <cell r="Y61">
            <v>4</v>
          </cell>
          <cell r="Z61">
            <v>37500</v>
          </cell>
          <cell r="AA61"/>
          <cell r="AB61">
            <v>298000</v>
          </cell>
          <cell r="AD61">
            <v>3898000</v>
          </cell>
          <cell r="AE61">
            <v>30221.152510423733</v>
          </cell>
          <cell r="AF61">
            <v>27550.253109783076</v>
          </cell>
          <cell r="AG61"/>
          <cell r="AH61">
            <v>100737.17503474579</v>
          </cell>
          <cell r="AI61">
            <v>91834.177032610256</v>
          </cell>
        </row>
        <row r="62">
          <cell r="I62" t="str">
            <v>VAP-03-006-007</v>
          </cell>
          <cell r="J62" t="str">
            <v>TS</v>
          </cell>
          <cell r="K62" t="str">
            <v>Blk 6 &amp; Lot 7</v>
          </cell>
          <cell r="L62">
            <v>55</v>
          </cell>
          <cell r="M62">
            <v>96</v>
          </cell>
          <cell r="N62" t="str">
            <v>DU-EXE-IRR</v>
          </cell>
          <cell r="O62" t="str">
            <v>DUPLEX 90+</v>
          </cell>
          <cell r="P62">
            <v>3600000</v>
          </cell>
          <cell r="Q62"/>
          <cell r="R62">
            <v>3600000</v>
          </cell>
          <cell r="T62">
            <v>468000</v>
          </cell>
          <cell r="U62"/>
          <cell r="V62">
            <v>20000</v>
          </cell>
          <cell r="W62">
            <v>164350</v>
          </cell>
          <cell r="X62">
            <v>150000</v>
          </cell>
          <cell r="Y62">
            <v>4</v>
          </cell>
          <cell r="Z62">
            <v>37500</v>
          </cell>
          <cell r="AA62"/>
          <cell r="AB62">
            <v>298000</v>
          </cell>
          <cell r="AD62">
            <v>3898000</v>
          </cell>
          <cell r="AE62">
            <v>30221.152510423733</v>
          </cell>
          <cell r="AF62">
            <v>27550.253109783076</v>
          </cell>
          <cell r="AG62"/>
          <cell r="AH62">
            <v>100737.17503474579</v>
          </cell>
          <cell r="AI62">
            <v>91834.177032610256</v>
          </cell>
        </row>
        <row r="63">
          <cell r="I63" t="str">
            <v>VAP-03-006-008</v>
          </cell>
          <cell r="J63" t="str">
            <v>OPEN</v>
          </cell>
          <cell r="K63" t="str">
            <v>Blk 6 &amp; Lot 8</v>
          </cell>
          <cell r="L63">
            <v>55</v>
          </cell>
          <cell r="M63">
            <v>96</v>
          </cell>
          <cell r="N63" t="str">
            <v>DU-EXE-IRR</v>
          </cell>
          <cell r="O63" t="str">
            <v>DUPLEX 90+</v>
          </cell>
          <cell r="P63">
            <v>3600000</v>
          </cell>
          <cell r="Q63"/>
          <cell r="R63">
            <v>3600000</v>
          </cell>
          <cell r="T63">
            <v>468000</v>
          </cell>
          <cell r="U63"/>
          <cell r="V63">
            <v>20000</v>
          </cell>
          <cell r="W63">
            <v>164350</v>
          </cell>
          <cell r="X63">
            <v>150000</v>
          </cell>
          <cell r="Y63">
            <v>4</v>
          </cell>
          <cell r="Z63">
            <v>37500</v>
          </cell>
          <cell r="AA63"/>
          <cell r="AB63">
            <v>298000</v>
          </cell>
          <cell r="AD63">
            <v>3898000</v>
          </cell>
          <cell r="AE63">
            <v>30221.152510423733</v>
          </cell>
          <cell r="AF63">
            <v>27550.253109783076</v>
          </cell>
          <cell r="AG63"/>
          <cell r="AH63">
            <v>100737.17503474579</v>
          </cell>
          <cell r="AI63">
            <v>91834.177032610256</v>
          </cell>
        </row>
        <row r="64">
          <cell r="I64" t="str">
            <v>VAP-03-007-010</v>
          </cell>
          <cell r="J64" t="str">
            <v>OPEN</v>
          </cell>
          <cell r="K64" t="str">
            <v>Blk 7 &amp; Lot 10</v>
          </cell>
          <cell r="L64">
            <v>55</v>
          </cell>
          <cell r="M64">
            <v>96</v>
          </cell>
          <cell r="N64" t="str">
            <v>DU-EXE-IRR</v>
          </cell>
          <cell r="O64" t="str">
            <v>DUPLEX 90+</v>
          </cell>
          <cell r="P64">
            <v>3600000</v>
          </cell>
          <cell r="Q64"/>
          <cell r="R64">
            <v>3600000</v>
          </cell>
          <cell r="T64">
            <v>468000</v>
          </cell>
          <cell r="U64"/>
          <cell r="V64">
            <v>20000</v>
          </cell>
          <cell r="W64">
            <v>164350</v>
          </cell>
          <cell r="X64">
            <v>150000</v>
          </cell>
          <cell r="Y64">
            <v>4</v>
          </cell>
          <cell r="Z64">
            <v>37500</v>
          </cell>
          <cell r="AA64"/>
          <cell r="AB64">
            <v>298000</v>
          </cell>
          <cell r="AD64">
            <v>3898000</v>
          </cell>
          <cell r="AE64">
            <v>30221.152510423733</v>
          </cell>
          <cell r="AF64">
            <v>27550.253109783076</v>
          </cell>
          <cell r="AG64"/>
          <cell r="AH64">
            <v>100737.17503474579</v>
          </cell>
          <cell r="AI64">
            <v>91834.177032610256</v>
          </cell>
        </row>
        <row r="65">
          <cell r="I65" t="str">
            <v>VAP-03-007-011</v>
          </cell>
          <cell r="J65" t="str">
            <v>TS</v>
          </cell>
          <cell r="K65" t="str">
            <v>Blk 7 &amp; Lot 11</v>
          </cell>
          <cell r="L65">
            <v>55</v>
          </cell>
          <cell r="M65">
            <v>96</v>
          </cell>
          <cell r="N65" t="str">
            <v>DU-EXE-IRR</v>
          </cell>
          <cell r="O65" t="str">
            <v>DUPLEX 90+</v>
          </cell>
          <cell r="P65">
            <v>3600000</v>
          </cell>
          <cell r="Q65"/>
          <cell r="R65">
            <v>3600000</v>
          </cell>
          <cell r="T65">
            <v>468000</v>
          </cell>
          <cell r="U65"/>
          <cell r="V65">
            <v>20000</v>
          </cell>
          <cell r="W65">
            <v>164350</v>
          </cell>
          <cell r="X65">
            <v>150000</v>
          </cell>
          <cell r="Y65">
            <v>4</v>
          </cell>
          <cell r="Z65">
            <v>37500</v>
          </cell>
          <cell r="AA65"/>
          <cell r="AB65">
            <v>298000</v>
          </cell>
          <cell r="AD65">
            <v>3898000</v>
          </cell>
          <cell r="AE65">
            <v>30221.152510423733</v>
          </cell>
          <cell r="AF65">
            <v>27550.253109783076</v>
          </cell>
          <cell r="AG65"/>
          <cell r="AH65">
            <v>100737.17503474579</v>
          </cell>
          <cell r="AI65">
            <v>91834.177032610256</v>
          </cell>
        </row>
        <row r="66">
          <cell r="I66" t="str">
            <v>VAP-03-007-012</v>
          </cell>
          <cell r="J66" t="str">
            <v>OPEN</v>
          </cell>
          <cell r="K66" t="str">
            <v>Blk 7 &amp; Lot 12</v>
          </cell>
          <cell r="L66">
            <v>55</v>
          </cell>
          <cell r="M66">
            <v>96</v>
          </cell>
          <cell r="N66" t="str">
            <v>DU-EXE-IRR</v>
          </cell>
          <cell r="O66" t="str">
            <v>DUPLEX 90+</v>
          </cell>
          <cell r="P66">
            <v>3600000</v>
          </cell>
          <cell r="Q66"/>
          <cell r="R66">
            <v>3600000</v>
          </cell>
          <cell r="T66">
            <v>468000</v>
          </cell>
          <cell r="U66"/>
          <cell r="V66">
            <v>20000</v>
          </cell>
          <cell r="W66">
            <v>164350</v>
          </cell>
          <cell r="X66">
            <v>150000</v>
          </cell>
          <cell r="Y66">
            <v>4</v>
          </cell>
          <cell r="Z66">
            <v>37500</v>
          </cell>
          <cell r="AA66"/>
          <cell r="AB66">
            <v>298000</v>
          </cell>
          <cell r="AD66">
            <v>3898000</v>
          </cell>
          <cell r="AE66">
            <v>30221.152510423733</v>
          </cell>
          <cell r="AF66">
            <v>27550.253109783076</v>
          </cell>
          <cell r="AG66"/>
          <cell r="AH66">
            <v>100737.17503474579</v>
          </cell>
          <cell r="AI66">
            <v>91834.177032610256</v>
          </cell>
        </row>
        <row r="67">
          <cell r="I67" t="str">
            <v>VAP-03-007-013</v>
          </cell>
          <cell r="J67" t="str">
            <v>OPEN</v>
          </cell>
          <cell r="K67" t="str">
            <v>Blk 7 &amp; Lot 13</v>
          </cell>
          <cell r="L67">
            <v>55</v>
          </cell>
          <cell r="M67">
            <v>96</v>
          </cell>
          <cell r="N67" t="str">
            <v>DU-EXE-IRR</v>
          </cell>
          <cell r="O67" t="str">
            <v>DUPLEX 90+</v>
          </cell>
          <cell r="P67">
            <v>3600000</v>
          </cell>
          <cell r="Q67"/>
          <cell r="R67">
            <v>3600000</v>
          </cell>
          <cell r="T67">
            <v>468000</v>
          </cell>
          <cell r="U67"/>
          <cell r="V67">
            <v>20000</v>
          </cell>
          <cell r="W67">
            <v>164350</v>
          </cell>
          <cell r="X67">
            <v>150000</v>
          </cell>
          <cell r="Y67">
            <v>4</v>
          </cell>
          <cell r="Z67">
            <v>37500</v>
          </cell>
          <cell r="AA67"/>
          <cell r="AB67">
            <v>298000</v>
          </cell>
          <cell r="AD67">
            <v>3898000</v>
          </cell>
          <cell r="AE67">
            <v>30221.152510423733</v>
          </cell>
          <cell r="AF67">
            <v>27550.253109783076</v>
          </cell>
          <cell r="AG67"/>
          <cell r="AH67">
            <v>100737.17503474579</v>
          </cell>
          <cell r="AI67">
            <v>91834.177032610256</v>
          </cell>
        </row>
        <row r="68">
          <cell r="I68" t="str">
            <v>VAP-03-007-014</v>
          </cell>
          <cell r="J68" t="str">
            <v>OPEN</v>
          </cell>
          <cell r="K68" t="str">
            <v>Blk 7 &amp; Lot 14</v>
          </cell>
          <cell r="L68">
            <v>55</v>
          </cell>
          <cell r="M68">
            <v>96</v>
          </cell>
          <cell r="N68" t="str">
            <v>DU-EXE-IRR</v>
          </cell>
          <cell r="O68" t="str">
            <v>DUPLEX 90+</v>
          </cell>
          <cell r="P68">
            <v>3600000</v>
          </cell>
          <cell r="Q68"/>
          <cell r="R68">
            <v>3600000</v>
          </cell>
          <cell r="T68">
            <v>468000</v>
          </cell>
          <cell r="U68"/>
          <cell r="V68">
            <v>20000</v>
          </cell>
          <cell r="W68">
            <v>164350</v>
          </cell>
          <cell r="X68">
            <v>150000</v>
          </cell>
          <cell r="Y68">
            <v>4</v>
          </cell>
          <cell r="Z68">
            <v>37500</v>
          </cell>
          <cell r="AA68"/>
          <cell r="AB68">
            <v>298000</v>
          </cell>
          <cell r="AD68">
            <v>3898000</v>
          </cell>
          <cell r="AE68">
            <v>30221.152510423733</v>
          </cell>
          <cell r="AF68">
            <v>27550.253109783076</v>
          </cell>
          <cell r="AG68"/>
          <cell r="AH68">
            <v>100737.17503474579</v>
          </cell>
          <cell r="AI68">
            <v>91834.177032610256</v>
          </cell>
        </row>
        <row r="69">
          <cell r="I69" t="str">
            <v>VAP-03-007-029</v>
          </cell>
          <cell r="J69" t="str">
            <v>FOR BRN</v>
          </cell>
          <cell r="K69" t="str">
            <v>Blk 7 &amp; Lot 29</v>
          </cell>
          <cell r="L69">
            <v>55</v>
          </cell>
          <cell r="M69">
            <v>80</v>
          </cell>
          <cell r="N69" t="str">
            <v>DU-EXE</v>
          </cell>
          <cell r="O69" t="str">
            <v>DUPLEX REG</v>
          </cell>
          <cell r="P69">
            <v>3600000</v>
          </cell>
          <cell r="Q69"/>
          <cell r="R69">
            <v>3600000</v>
          </cell>
          <cell r="T69">
            <v>360000</v>
          </cell>
          <cell r="U69"/>
          <cell r="V69">
            <v>20000</v>
          </cell>
          <cell r="W69">
            <v>126430</v>
          </cell>
          <cell r="X69">
            <v>100000</v>
          </cell>
          <cell r="Y69">
            <v>3</v>
          </cell>
          <cell r="Z69">
            <v>33333.333333333336</v>
          </cell>
          <cell r="AA69"/>
          <cell r="AB69">
            <v>240000</v>
          </cell>
          <cell r="AD69">
            <v>3840000</v>
          </cell>
          <cell r="AE69">
            <v>29771.479127764786</v>
          </cell>
          <cell r="AF69">
            <v>27140.321175363522</v>
          </cell>
          <cell r="AG69"/>
          <cell r="AH69">
            <v>99238.263759215959</v>
          </cell>
          <cell r="AI69">
            <v>90467.737251211744</v>
          </cell>
        </row>
        <row r="70">
          <cell r="I70" t="str">
            <v>VAP-03-007-030</v>
          </cell>
          <cell r="J70" t="str">
            <v>TS</v>
          </cell>
          <cell r="K70" t="str">
            <v>Blk 7 &amp; Lot 30</v>
          </cell>
          <cell r="L70">
            <v>55</v>
          </cell>
          <cell r="M70">
            <v>80</v>
          </cell>
          <cell r="N70" t="str">
            <v>DU-EXE</v>
          </cell>
          <cell r="O70" t="str">
            <v>DUPLEX REG</v>
          </cell>
          <cell r="P70">
            <v>3600000</v>
          </cell>
          <cell r="Q70"/>
          <cell r="R70">
            <v>3600000</v>
          </cell>
          <cell r="T70">
            <v>360000</v>
          </cell>
          <cell r="U70"/>
          <cell r="V70">
            <v>20000</v>
          </cell>
          <cell r="W70">
            <v>126430</v>
          </cell>
          <cell r="X70">
            <v>100000</v>
          </cell>
          <cell r="Y70">
            <v>3</v>
          </cell>
          <cell r="Z70">
            <v>33333.333333333336</v>
          </cell>
          <cell r="AA70"/>
          <cell r="AB70">
            <v>240000</v>
          </cell>
          <cell r="AD70">
            <v>3840000</v>
          </cell>
          <cell r="AE70">
            <v>29771.479127764786</v>
          </cell>
          <cell r="AF70">
            <v>27140.321175363522</v>
          </cell>
          <cell r="AG70"/>
          <cell r="AH70">
            <v>99238.263759215959</v>
          </cell>
          <cell r="AI70">
            <v>90467.737251211744</v>
          </cell>
        </row>
        <row r="71">
          <cell r="I71" t="str">
            <v>VAP-03-009-011</v>
          </cell>
          <cell r="J71" t="str">
            <v>OPEN</v>
          </cell>
          <cell r="K71" t="str">
            <v>Blk 9 &amp; Lot 11</v>
          </cell>
          <cell r="L71">
            <v>55</v>
          </cell>
          <cell r="M71">
            <v>98</v>
          </cell>
          <cell r="N71" t="str">
            <v>DU-EXE-IRR</v>
          </cell>
          <cell r="O71" t="str">
            <v>DUPLEX IRREG +100</v>
          </cell>
          <cell r="P71">
            <v>4634000</v>
          </cell>
          <cell r="Q71">
            <v>496500</v>
          </cell>
          <cell r="R71">
            <v>4137500</v>
          </cell>
          <cell r="T71">
            <v>602420</v>
          </cell>
          <cell r="U71"/>
          <cell r="V71">
            <v>20000</v>
          </cell>
          <cell r="W71">
            <v>211560</v>
          </cell>
          <cell r="X71">
            <v>210000</v>
          </cell>
          <cell r="Y71">
            <v>6</v>
          </cell>
          <cell r="Z71">
            <v>35000</v>
          </cell>
          <cell r="AA71"/>
          <cell r="AB71">
            <v>372420</v>
          </cell>
          <cell r="AD71">
            <v>5006420</v>
          </cell>
          <cell r="AE71">
            <v>38814.720972610463</v>
          </cell>
          <cell r="AF71">
            <v>35384.335088219646</v>
          </cell>
          <cell r="AG71"/>
          <cell r="AH71">
            <v>129382.40324203488</v>
          </cell>
          <cell r="AI71">
            <v>117947.78362739882</v>
          </cell>
        </row>
        <row r="72">
          <cell r="I72" t="str">
            <v>VAP-03-009-012</v>
          </cell>
          <cell r="J72" t="str">
            <v>OPEN</v>
          </cell>
          <cell r="K72" t="str">
            <v>Blk 9 &amp; Lot 12</v>
          </cell>
          <cell r="L72">
            <v>55</v>
          </cell>
          <cell r="M72">
            <v>100</v>
          </cell>
          <cell r="N72" t="str">
            <v>DU-EXE-IRR</v>
          </cell>
          <cell r="O72" t="str">
            <v>DUPLEX IRREG +100</v>
          </cell>
          <cell r="P72">
            <v>4600000</v>
          </cell>
          <cell r="Q72">
            <v>492857.14285714284</v>
          </cell>
          <cell r="R72">
            <v>4107142.8571428573</v>
          </cell>
          <cell r="T72">
            <v>598000</v>
          </cell>
          <cell r="U72"/>
          <cell r="V72">
            <v>20000</v>
          </cell>
          <cell r="W72">
            <v>210000</v>
          </cell>
          <cell r="X72">
            <v>210000</v>
          </cell>
          <cell r="Y72">
            <v>6</v>
          </cell>
          <cell r="Z72">
            <v>35000</v>
          </cell>
          <cell r="AA72"/>
          <cell r="AB72">
            <v>368000</v>
          </cell>
          <cell r="AD72">
            <v>4968000</v>
          </cell>
          <cell r="AE72">
            <v>38516.851121545689</v>
          </cell>
          <cell r="AF72">
            <v>35112.790520626557</v>
          </cell>
          <cell r="AG72"/>
          <cell r="AH72">
            <v>128389.50373848564</v>
          </cell>
          <cell r="AI72">
            <v>117042.63506875519</v>
          </cell>
        </row>
        <row r="73">
          <cell r="I73" t="str">
            <v>VAP-03-006-003</v>
          </cell>
          <cell r="J73" t="str">
            <v>OPEN</v>
          </cell>
          <cell r="K73" t="str">
            <v>Blk 6 &amp; Lot 3</v>
          </cell>
          <cell r="L73">
            <v>55</v>
          </cell>
          <cell r="M73">
            <v>96</v>
          </cell>
          <cell r="N73" t="str">
            <v>DU-EXE-IRR</v>
          </cell>
          <cell r="O73" t="str">
            <v>DUPLEX 90+</v>
          </cell>
          <cell r="P73">
            <v>3600000</v>
          </cell>
          <cell r="Q73"/>
          <cell r="R73">
            <v>3600000</v>
          </cell>
          <cell r="T73">
            <v>468000</v>
          </cell>
          <cell r="U73"/>
          <cell r="V73">
            <v>20000</v>
          </cell>
          <cell r="W73">
            <v>164350</v>
          </cell>
          <cell r="X73">
            <v>150000</v>
          </cell>
          <cell r="Y73">
            <v>4</v>
          </cell>
          <cell r="Z73">
            <v>37500</v>
          </cell>
          <cell r="AA73"/>
          <cell r="AB73">
            <v>298000</v>
          </cell>
          <cell r="AD73">
            <v>3898000</v>
          </cell>
          <cell r="AE73">
            <v>30221.152510423733</v>
          </cell>
          <cell r="AF73">
            <v>27550.253109783076</v>
          </cell>
          <cell r="AG73"/>
          <cell r="AH73">
            <v>100737.17503474579</v>
          </cell>
          <cell r="AI73">
            <v>91834.177032610256</v>
          </cell>
        </row>
        <row r="74">
          <cell r="I74" t="str">
            <v>VAP-03-006-004</v>
          </cell>
          <cell r="J74" t="str">
            <v>OPEN</v>
          </cell>
          <cell r="K74" t="str">
            <v>Blk 6 &amp; Lot 4</v>
          </cell>
          <cell r="L74">
            <v>55</v>
          </cell>
          <cell r="M74">
            <v>96</v>
          </cell>
          <cell r="N74" t="str">
            <v>DU-EXE-IRR</v>
          </cell>
          <cell r="O74" t="str">
            <v>DUPLEX 90+</v>
          </cell>
          <cell r="P74">
            <v>3600000</v>
          </cell>
          <cell r="Q74"/>
          <cell r="R74">
            <v>3600000</v>
          </cell>
          <cell r="T74">
            <v>468000</v>
          </cell>
          <cell r="U74"/>
          <cell r="V74">
            <v>20000</v>
          </cell>
          <cell r="W74">
            <v>164350</v>
          </cell>
          <cell r="X74">
            <v>150000</v>
          </cell>
          <cell r="Y74">
            <v>4</v>
          </cell>
          <cell r="Z74">
            <v>37500</v>
          </cell>
          <cell r="AA74"/>
          <cell r="AB74">
            <v>298000</v>
          </cell>
          <cell r="AD74">
            <v>3898000</v>
          </cell>
          <cell r="AE74">
            <v>30221.152510423733</v>
          </cell>
          <cell r="AF74">
            <v>27550.253109783076</v>
          </cell>
          <cell r="AG74"/>
          <cell r="AH74">
            <v>100737.17503474579</v>
          </cell>
          <cell r="AI74">
            <v>91834.177032610256</v>
          </cell>
        </row>
        <row r="75">
          <cell r="I75" t="str">
            <v>VAP-03-006-023</v>
          </cell>
          <cell r="J75" t="str">
            <v>OPEN</v>
          </cell>
          <cell r="K75" t="str">
            <v>Blk 6 &amp; Lot 23</v>
          </cell>
          <cell r="L75">
            <v>55</v>
          </cell>
          <cell r="M75">
            <v>96</v>
          </cell>
          <cell r="N75" t="str">
            <v>DU-EXE-IRR</v>
          </cell>
          <cell r="O75" t="str">
            <v>DUPLEX 90+</v>
          </cell>
          <cell r="P75">
            <v>3600000</v>
          </cell>
          <cell r="Q75"/>
          <cell r="R75">
            <v>3600000</v>
          </cell>
          <cell r="T75">
            <v>468000</v>
          </cell>
          <cell r="U75"/>
          <cell r="V75">
            <v>20000</v>
          </cell>
          <cell r="W75">
            <v>164350</v>
          </cell>
          <cell r="X75">
            <v>150000</v>
          </cell>
          <cell r="Y75">
            <v>4</v>
          </cell>
          <cell r="Z75">
            <v>37500</v>
          </cell>
          <cell r="AA75"/>
          <cell r="AB75">
            <v>298000</v>
          </cell>
          <cell r="AD75">
            <v>3898000</v>
          </cell>
          <cell r="AE75">
            <v>30221.152510423733</v>
          </cell>
          <cell r="AF75">
            <v>27550.253109783076</v>
          </cell>
          <cell r="AG75"/>
          <cell r="AH75">
            <v>100737.17503474579</v>
          </cell>
          <cell r="AI75">
            <v>91834.177032610256</v>
          </cell>
        </row>
        <row r="76">
          <cell r="I76" t="str">
            <v>VAP-03-006-024</v>
          </cell>
          <cell r="J76" t="str">
            <v>TS</v>
          </cell>
          <cell r="K76" t="str">
            <v>Blk 6 &amp; Lot 24</v>
          </cell>
          <cell r="L76">
            <v>55</v>
          </cell>
          <cell r="M76">
            <v>124</v>
          </cell>
          <cell r="N76" t="str">
            <v>DU-EXE-IRR</v>
          </cell>
          <cell r="O76" t="str">
            <v>DUPLEX IRREG +100</v>
          </cell>
          <cell r="P76">
            <v>4600000</v>
          </cell>
          <cell r="Q76">
            <v>492857.14285714284</v>
          </cell>
          <cell r="R76">
            <v>4107142.8571428573</v>
          </cell>
          <cell r="T76">
            <v>598000</v>
          </cell>
          <cell r="U76"/>
          <cell r="V76">
            <v>20000</v>
          </cell>
          <cell r="W76">
            <v>210000</v>
          </cell>
          <cell r="X76">
            <v>210000</v>
          </cell>
          <cell r="Y76">
            <v>6</v>
          </cell>
          <cell r="Z76">
            <v>35000</v>
          </cell>
          <cell r="AA76"/>
          <cell r="AB76">
            <v>368000</v>
          </cell>
          <cell r="AD76">
            <v>4968000</v>
          </cell>
          <cell r="AE76">
            <v>38516.851121545689</v>
          </cell>
          <cell r="AF76">
            <v>35112.790520626557</v>
          </cell>
          <cell r="AG76"/>
          <cell r="AH76">
            <v>128389.50373848564</v>
          </cell>
          <cell r="AI76">
            <v>117042.63506875519</v>
          </cell>
        </row>
        <row r="77">
          <cell r="I77" t="str">
            <v>VAP-03-007-009</v>
          </cell>
          <cell r="J77" t="str">
            <v>OPEN</v>
          </cell>
          <cell r="K77" t="str">
            <v>Blk 7 &amp; Lot 9</v>
          </cell>
          <cell r="L77">
            <v>55</v>
          </cell>
          <cell r="M77">
            <v>96</v>
          </cell>
          <cell r="N77" t="str">
            <v>DU-EXE-IRR</v>
          </cell>
          <cell r="O77" t="str">
            <v>DUPLEX 90+</v>
          </cell>
          <cell r="P77">
            <v>3600000</v>
          </cell>
          <cell r="Q77"/>
          <cell r="R77">
            <v>3600000</v>
          </cell>
          <cell r="T77">
            <v>468000</v>
          </cell>
          <cell r="U77"/>
          <cell r="V77">
            <v>20000</v>
          </cell>
          <cell r="W77">
            <v>164350</v>
          </cell>
          <cell r="X77">
            <v>150000</v>
          </cell>
          <cell r="Y77">
            <v>4</v>
          </cell>
          <cell r="Z77">
            <v>37500</v>
          </cell>
          <cell r="AA77"/>
          <cell r="AB77">
            <v>298000</v>
          </cell>
          <cell r="AD77">
            <v>3898000</v>
          </cell>
          <cell r="AE77">
            <v>30221.152510423733</v>
          </cell>
          <cell r="AF77">
            <v>27550.253109783076</v>
          </cell>
          <cell r="AG77"/>
          <cell r="AH77">
            <v>100737.17503474579</v>
          </cell>
          <cell r="AI77">
            <v>91834.177032610256</v>
          </cell>
        </row>
        <row r="78">
          <cell r="I78" t="str">
            <v>VAP-03-007-015</v>
          </cell>
          <cell r="J78" t="str">
            <v>OPEN</v>
          </cell>
          <cell r="K78" t="str">
            <v>Blk 7 &amp; Lot 15</v>
          </cell>
          <cell r="L78">
            <v>55</v>
          </cell>
          <cell r="M78">
            <v>96</v>
          </cell>
          <cell r="N78" t="str">
            <v>DU-EXE-IRR</v>
          </cell>
          <cell r="O78" t="str">
            <v>DUPLEX 90+</v>
          </cell>
          <cell r="P78">
            <v>3600000</v>
          </cell>
          <cell r="Q78"/>
          <cell r="R78">
            <v>3600000</v>
          </cell>
          <cell r="T78">
            <v>468000</v>
          </cell>
          <cell r="U78"/>
          <cell r="V78">
            <v>20000</v>
          </cell>
          <cell r="W78">
            <v>164350</v>
          </cell>
          <cell r="X78">
            <v>150000</v>
          </cell>
          <cell r="Y78">
            <v>4</v>
          </cell>
          <cell r="Z78">
            <v>37500</v>
          </cell>
          <cell r="AA78"/>
          <cell r="AB78">
            <v>298000</v>
          </cell>
          <cell r="AD78">
            <v>3898000</v>
          </cell>
          <cell r="AE78">
            <v>30221.152510423733</v>
          </cell>
          <cell r="AF78">
            <v>27550.253109783076</v>
          </cell>
          <cell r="AG78"/>
          <cell r="AH78">
            <v>100737.17503474579</v>
          </cell>
          <cell r="AI78">
            <v>91834.177032610256</v>
          </cell>
        </row>
        <row r="79">
          <cell r="I79" t="str">
            <v>VAP-03-007-016</v>
          </cell>
          <cell r="J79" t="str">
            <v>OPEN</v>
          </cell>
          <cell r="K79" t="str">
            <v>Blk 7 &amp; Lot 16</v>
          </cell>
          <cell r="L79">
            <v>55</v>
          </cell>
          <cell r="M79">
            <v>96</v>
          </cell>
          <cell r="N79" t="str">
            <v>DU-EXE-IRR</v>
          </cell>
          <cell r="O79" t="str">
            <v>DUPLEX 90+</v>
          </cell>
          <cell r="P79">
            <v>3600000</v>
          </cell>
          <cell r="Q79"/>
          <cell r="R79">
            <v>3600000</v>
          </cell>
          <cell r="T79">
            <v>468000</v>
          </cell>
          <cell r="U79"/>
          <cell r="V79">
            <v>20000</v>
          </cell>
          <cell r="W79">
            <v>164350</v>
          </cell>
          <cell r="X79">
            <v>150000</v>
          </cell>
          <cell r="Y79">
            <v>4</v>
          </cell>
          <cell r="Z79">
            <v>37500</v>
          </cell>
          <cell r="AA79"/>
          <cell r="AB79">
            <v>298000</v>
          </cell>
          <cell r="AD79">
            <v>3898000</v>
          </cell>
          <cell r="AE79">
            <v>30221.152510423733</v>
          </cell>
          <cell r="AF79">
            <v>27550.253109783076</v>
          </cell>
          <cell r="AG79"/>
          <cell r="AH79">
            <v>100737.17503474579</v>
          </cell>
          <cell r="AI79">
            <v>91834.177032610256</v>
          </cell>
        </row>
        <row r="80">
          <cell r="I80" t="str">
            <v>VAP-03-007-017</v>
          </cell>
          <cell r="J80" t="str">
            <v>OPEN</v>
          </cell>
          <cell r="K80" t="str">
            <v>Blk 7 &amp; Lot 17</v>
          </cell>
          <cell r="L80">
            <v>55</v>
          </cell>
          <cell r="M80">
            <v>96</v>
          </cell>
          <cell r="N80" t="str">
            <v>DU-EXE-IRR</v>
          </cell>
          <cell r="O80" t="str">
            <v>DUPLEX 90+</v>
          </cell>
          <cell r="P80">
            <v>3600000</v>
          </cell>
          <cell r="Q80"/>
          <cell r="R80">
            <v>3600000</v>
          </cell>
          <cell r="T80">
            <v>468000</v>
          </cell>
          <cell r="U80"/>
          <cell r="V80">
            <v>20000</v>
          </cell>
          <cell r="W80">
            <v>164350</v>
          </cell>
          <cell r="X80">
            <v>150000</v>
          </cell>
          <cell r="Y80">
            <v>4</v>
          </cell>
          <cell r="Z80">
            <v>37500</v>
          </cell>
          <cell r="AA80"/>
          <cell r="AB80">
            <v>298000</v>
          </cell>
          <cell r="AD80">
            <v>3898000</v>
          </cell>
          <cell r="AE80">
            <v>30221.152510423733</v>
          </cell>
          <cell r="AF80">
            <v>27550.253109783076</v>
          </cell>
          <cell r="AG80"/>
          <cell r="AH80">
            <v>100737.17503474579</v>
          </cell>
          <cell r="AI80">
            <v>91834.177032610256</v>
          </cell>
        </row>
        <row r="81">
          <cell r="I81" t="str">
            <v>VAP-03-007-018</v>
          </cell>
          <cell r="J81" t="str">
            <v>OPEN</v>
          </cell>
          <cell r="K81" t="str">
            <v>Blk 7 &amp; Lot 18</v>
          </cell>
          <cell r="L81">
            <v>55</v>
          </cell>
          <cell r="M81">
            <v>96</v>
          </cell>
          <cell r="N81" t="str">
            <v>DU-EXE-IRR</v>
          </cell>
          <cell r="O81" t="str">
            <v>DUPLEX 90+</v>
          </cell>
          <cell r="P81">
            <v>3600000</v>
          </cell>
          <cell r="Q81"/>
          <cell r="R81">
            <v>3600000</v>
          </cell>
          <cell r="T81">
            <v>468000</v>
          </cell>
          <cell r="U81"/>
          <cell r="V81">
            <v>20000</v>
          </cell>
          <cell r="W81">
            <v>164350</v>
          </cell>
          <cell r="X81">
            <v>150000</v>
          </cell>
          <cell r="Y81">
            <v>4</v>
          </cell>
          <cell r="Z81">
            <v>37500</v>
          </cell>
          <cell r="AA81"/>
          <cell r="AB81">
            <v>298000</v>
          </cell>
          <cell r="AD81">
            <v>3898000</v>
          </cell>
          <cell r="AE81">
            <v>30221.152510423733</v>
          </cell>
          <cell r="AF81">
            <v>27550.253109783076</v>
          </cell>
          <cell r="AG81"/>
          <cell r="AH81">
            <v>100737.17503474579</v>
          </cell>
          <cell r="AI81">
            <v>91834.177032610256</v>
          </cell>
        </row>
        <row r="82">
          <cell r="I82" t="str">
            <v>VAP-03-007-019</v>
          </cell>
          <cell r="J82" t="str">
            <v>OPEN</v>
          </cell>
          <cell r="K82" t="str">
            <v>Blk 7 &amp; Lot 19</v>
          </cell>
          <cell r="L82">
            <v>55</v>
          </cell>
          <cell r="M82">
            <v>96</v>
          </cell>
          <cell r="N82" t="str">
            <v>DU-EXE-IRR</v>
          </cell>
          <cell r="O82" t="str">
            <v>DUPLEX 90+</v>
          </cell>
          <cell r="P82">
            <v>3600000</v>
          </cell>
          <cell r="Q82"/>
          <cell r="R82">
            <v>3600000</v>
          </cell>
          <cell r="T82">
            <v>468000</v>
          </cell>
          <cell r="U82"/>
          <cell r="V82">
            <v>20000</v>
          </cell>
          <cell r="W82">
            <v>164350</v>
          </cell>
          <cell r="X82">
            <v>150000</v>
          </cell>
          <cell r="Y82">
            <v>4</v>
          </cell>
          <cell r="Z82">
            <v>37500</v>
          </cell>
          <cell r="AA82"/>
          <cell r="AB82">
            <v>298000</v>
          </cell>
          <cell r="AD82">
            <v>3898000</v>
          </cell>
          <cell r="AE82">
            <v>30221.152510423733</v>
          </cell>
          <cell r="AF82">
            <v>27550.253109783076</v>
          </cell>
          <cell r="AG82"/>
          <cell r="AH82">
            <v>100737.17503474579</v>
          </cell>
          <cell r="AI82">
            <v>91834.177032610256</v>
          </cell>
        </row>
        <row r="83">
          <cell r="I83" t="str">
            <v>VAP-03-007-020</v>
          </cell>
          <cell r="J83" t="str">
            <v>OPEN</v>
          </cell>
          <cell r="K83" t="str">
            <v>Blk 7 &amp; Lot 20</v>
          </cell>
          <cell r="L83">
            <v>55</v>
          </cell>
          <cell r="M83">
            <v>96</v>
          </cell>
          <cell r="N83" t="str">
            <v>DU-EXE-IRR</v>
          </cell>
          <cell r="O83" t="str">
            <v>DUPLEX 90+</v>
          </cell>
          <cell r="P83">
            <v>3600000</v>
          </cell>
          <cell r="Q83"/>
          <cell r="R83">
            <v>3600000</v>
          </cell>
          <cell r="T83">
            <v>468000</v>
          </cell>
          <cell r="U83"/>
          <cell r="V83">
            <v>20000</v>
          </cell>
          <cell r="W83">
            <v>164350</v>
          </cell>
          <cell r="X83">
            <v>150000</v>
          </cell>
          <cell r="Y83">
            <v>4</v>
          </cell>
          <cell r="Z83">
            <v>37500</v>
          </cell>
          <cell r="AA83"/>
          <cell r="AB83">
            <v>298000</v>
          </cell>
          <cell r="AD83">
            <v>3898000</v>
          </cell>
          <cell r="AE83">
            <v>30221.152510423733</v>
          </cell>
          <cell r="AF83">
            <v>27550.253109783076</v>
          </cell>
          <cell r="AG83"/>
          <cell r="AH83">
            <v>100737.17503474579</v>
          </cell>
          <cell r="AI83">
            <v>91834.177032610256</v>
          </cell>
        </row>
        <row r="84">
          <cell r="I84" t="str">
            <v>VAP-03-007-021</v>
          </cell>
          <cell r="J84" t="str">
            <v>OPEN</v>
          </cell>
          <cell r="K84" t="str">
            <v>Blk 7 &amp; Lot 21</v>
          </cell>
          <cell r="L84">
            <v>55</v>
          </cell>
          <cell r="M84">
            <v>96</v>
          </cell>
          <cell r="N84" t="str">
            <v>DU-EXE-IRR</v>
          </cell>
          <cell r="O84" t="str">
            <v>DUPLEX 90+</v>
          </cell>
          <cell r="P84">
            <v>3600000</v>
          </cell>
          <cell r="Q84"/>
          <cell r="R84">
            <v>3600000</v>
          </cell>
          <cell r="T84">
            <v>468000</v>
          </cell>
          <cell r="U84"/>
          <cell r="V84">
            <v>20000</v>
          </cell>
          <cell r="W84">
            <v>164350</v>
          </cell>
          <cell r="X84">
            <v>150000</v>
          </cell>
          <cell r="Y84">
            <v>4</v>
          </cell>
          <cell r="Z84">
            <v>37500</v>
          </cell>
          <cell r="AA84"/>
          <cell r="AB84">
            <v>298000</v>
          </cell>
          <cell r="AD84">
            <v>3898000</v>
          </cell>
          <cell r="AE84">
            <v>30221.152510423733</v>
          </cell>
          <cell r="AF84">
            <v>27550.253109783076</v>
          </cell>
          <cell r="AG84"/>
          <cell r="AH84">
            <v>100737.17503474579</v>
          </cell>
          <cell r="AI84">
            <v>91834.177032610256</v>
          </cell>
        </row>
        <row r="85">
          <cell r="I85" t="str">
            <v>VAP-03-007-022</v>
          </cell>
          <cell r="J85" t="str">
            <v>TS</v>
          </cell>
          <cell r="K85" t="str">
            <v>Blk 7 &amp; Lot 22</v>
          </cell>
          <cell r="L85">
            <v>55</v>
          </cell>
          <cell r="M85">
            <v>96</v>
          </cell>
          <cell r="N85" t="str">
            <v>DU-EXE-IRR</v>
          </cell>
          <cell r="O85" t="str">
            <v>DUPLEX 90+</v>
          </cell>
          <cell r="P85">
            <v>3600000</v>
          </cell>
          <cell r="Q85"/>
          <cell r="R85">
            <v>3600000</v>
          </cell>
          <cell r="T85">
            <v>468000</v>
          </cell>
          <cell r="U85"/>
          <cell r="V85">
            <v>20000</v>
          </cell>
          <cell r="W85">
            <v>164350</v>
          </cell>
          <cell r="X85">
            <v>150000</v>
          </cell>
          <cell r="Y85">
            <v>4</v>
          </cell>
          <cell r="Z85">
            <v>37500</v>
          </cell>
          <cell r="AA85"/>
          <cell r="AB85">
            <v>298000</v>
          </cell>
          <cell r="AD85">
            <v>3898000</v>
          </cell>
          <cell r="AE85">
            <v>30221.152510423733</v>
          </cell>
          <cell r="AF85">
            <v>27550.253109783076</v>
          </cell>
          <cell r="AG85"/>
          <cell r="AH85">
            <v>100737.17503474579</v>
          </cell>
          <cell r="AI85">
            <v>91834.177032610256</v>
          </cell>
        </row>
        <row r="86">
          <cell r="I86" t="str">
            <v>VAP-03-007-023</v>
          </cell>
          <cell r="J86" t="str">
            <v>OPEN</v>
          </cell>
          <cell r="K86" t="str">
            <v>Blk 7 &amp; Lot 23</v>
          </cell>
          <cell r="L86">
            <v>55</v>
          </cell>
          <cell r="M86">
            <v>96</v>
          </cell>
          <cell r="N86" t="str">
            <v>DU-EXE-IRR</v>
          </cell>
          <cell r="O86" t="str">
            <v>DUPLEX 90+</v>
          </cell>
          <cell r="P86">
            <v>3600000</v>
          </cell>
          <cell r="Q86"/>
          <cell r="R86">
            <v>3600000</v>
          </cell>
          <cell r="T86">
            <v>468000</v>
          </cell>
          <cell r="U86"/>
          <cell r="V86">
            <v>20000</v>
          </cell>
          <cell r="W86">
            <v>164350</v>
          </cell>
          <cell r="X86">
            <v>150000</v>
          </cell>
          <cell r="Y86">
            <v>4</v>
          </cell>
          <cell r="Z86">
            <v>37500</v>
          </cell>
          <cell r="AA86"/>
          <cell r="AB86">
            <v>298000</v>
          </cell>
          <cell r="AD86">
            <v>3898000</v>
          </cell>
          <cell r="AE86">
            <v>30221.152510423733</v>
          </cell>
          <cell r="AF86">
            <v>27550.253109783076</v>
          </cell>
          <cell r="AG86"/>
          <cell r="AH86">
            <v>100737.17503474579</v>
          </cell>
          <cell r="AI86">
            <v>91834.177032610256</v>
          </cell>
        </row>
        <row r="87">
          <cell r="I87" t="str">
            <v>VAP-03-007-024</v>
          </cell>
          <cell r="J87" t="str">
            <v>TS</v>
          </cell>
          <cell r="K87" t="str">
            <v>Blk 7 &amp; Lot 24</v>
          </cell>
          <cell r="L87">
            <v>55</v>
          </cell>
          <cell r="M87">
            <v>126</v>
          </cell>
          <cell r="N87" t="str">
            <v>DU-EXE-IRR</v>
          </cell>
          <cell r="O87" t="str">
            <v>DUPLEX IRREG +100</v>
          </cell>
          <cell r="P87">
            <v>4600000</v>
          </cell>
          <cell r="Q87">
            <v>492857.14285714284</v>
          </cell>
          <cell r="R87">
            <v>4107142.8571428573</v>
          </cell>
          <cell r="T87">
            <v>598000</v>
          </cell>
          <cell r="U87"/>
          <cell r="V87">
            <v>20000</v>
          </cell>
          <cell r="W87">
            <v>210000</v>
          </cell>
          <cell r="X87">
            <v>210000</v>
          </cell>
          <cell r="Y87">
            <v>6</v>
          </cell>
          <cell r="Z87">
            <v>35000</v>
          </cell>
          <cell r="AA87"/>
          <cell r="AB87">
            <v>368000</v>
          </cell>
          <cell r="AD87">
            <v>4968000</v>
          </cell>
          <cell r="AE87">
            <v>38516.851121545689</v>
          </cell>
          <cell r="AF87">
            <v>35112.790520626557</v>
          </cell>
          <cell r="AG87"/>
          <cell r="AH87">
            <v>128389.50373848564</v>
          </cell>
          <cell r="AI87">
            <v>117042.63506875519</v>
          </cell>
        </row>
        <row r="88">
          <cell r="I88" t="str">
            <v>VAP-03-009-009</v>
          </cell>
          <cell r="J88" t="str">
            <v>OPEN</v>
          </cell>
          <cell r="K88" t="str">
            <v>Blk 9 &amp; Lot 9</v>
          </cell>
          <cell r="L88">
            <v>55</v>
          </cell>
          <cell r="M88">
            <v>95</v>
          </cell>
          <cell r="N88" t="str">
            <v>DU-EXE-IRR</v>
          </cell>
          <cell r="O88" t="str">
            <v>DUPLEX 90+</v>
          </cell>
          <cell r="P88">
            <v>3600000</v>
          </cell>
          <cell r="Q88"/>
          <cell r="R88">
            <v>3600000</v>
          </cell>
          <cell r="T88">
            <v>468000</v>
          </cell>
          <cell r="U88"/>
          <cell r="V88">
            <v>20000</v>
          </cell>
          <cell r="W88">
            <v>164350</v>
          </cell>
          <cell r="X88">
            <v>150000</v>
          </cell>
          <cell r="Y88">
            <v>4</v>
          </cell>
          <cell r="Z88">
            <v>37500</v>
          </cell>
          <cell r="AA88"/>
          <cell r="AB88">
            <v>298000</v>
          </cell>
          <cell r="AD88">
            <v>3898000</v>
          </cell>
          <cell r="AE88">
            <v>30221.152510423733</v>
          </cell>
          <cell r="AF88">
            <v>27550.253109783076</v>
          </cell>
          <cell r="AG88"/>
          <cell r="AH88">
            <v>100737.17503474579</v>
          </cell>
          <cell r="AI88">
            <v>91834.177032610256</v>
          </cell>
        </row>
        <row r="89">
          <cell r="I89" t="str">
            <v>VAP-03-009-010</v>
          </cell>
          <cell r="J89" t="str">
            <v>OPEN</v>
          </cell>
          <cell r="K89" t="str">
            <v>Blk 9 &amp; Lot 10</v>
          </cell>
          <cell r="L89">
            <v>55</v>
          </cell>
          <cell r="M89">
            <v>97</v>
          </cell>
          <cell r="N89" t="str">
            <v>DU-EXE-IRR</v>
          </cell>
          <cell r="O89" t="str">
            <v>DUPLEX IRREG +100</v>
          </cell>
          <cell r="P89">
            <v>4623500</v>
          </cell>
          <cell r="Q89">
            <v>495375</v>
          </cell>
          <cell r="R89">
            <v>4128125</v>
          </cell>
          <cell r="T89">
            <v>601055</v>
          </cell>
          <cell r="U89"/>
          <cell r="V89">
            <v>20000</v>
          </cell>
          <cell r="W89">
            <v>211080</v>
          </cell>
          <cell r="X89">
            <v>210000</v>
          </cell>
          <cell r="Y89">
            <v>6</v>
          </cell>
          <cell r="Z89">
            <v>35000</v>
          </cell>
          <cell r="AA89"/>
          <cell r="AB89">
            <v>371055</v>
          </cell>
          <cell r="AD89">
            <v>4994555</v>
          </cell>
          <cell r="AE89">
            <v>38722.731753899279</v>
          </cell>
          <cell r="AF89">
            <v>35300.475736462962</v>
          </cell>
          <cell r="AG89"/>
          <cell r="AH89">
            <v>129075.7725129976</v>
          </cell>
          <cell r="AI89">
            <v>117668.25245487655</v>
          </cell>
        </row>
        <row r="90">
          <cell r="I90" t="str">
            <v>VAP-03-009-021</v>
          </cell>
          <cell r="J90" t="str">
            <v>OPEN</v>
          </cell>
          <cell r="K90" t="str">
            <v>Blk 9 &amp; Lot 21</v>
          </cell>
          <cell r="L90">
            <v>55</v>
          </cell>
          <cell r="M90">
            <v>93</v>
          </cell>
          <cell r="N90" t="str">
            <v>DU-EXE-IRR</v>
          </cell>
          <cell r="O90" t="str">
            <v>DUPLEX 90+</v>
          </cell>
          <cell r="P90">
            <v>3600000</v>
          </cell>
          <cell r="Q90"/>
          <cell r="R90">
            <v>3600000</v>
          </cell>
          <cell r="T90">
            <v>468000</v>
          </cell>
          <cell r="U90"/>
          <cell r="V90">
            <v>20000</v>
          </cell>
          <cell r="W90">
            <v>164350</v>
          </cell>
          <cell r="X90">
            <v>150000</v>
          </cell>
          <cell r="Y90">
            <v>4</v>
          </cell>
          <cell r="Z90">
            <v>37500</v>
          </cell>
          <cell r="AA90"/>
          <cell r="AB90">
            <v>298000</v>
          </cell>
          <cell r="AD90">
            <v>3898000</v>
          </cell>
          <cell r="AE90">
            <v>30221.152510423733</v>
          </cell>
          <cell r="AF90">
            <v>27550.253109783076</v>
          </cell>
          <cell r="AG90"/>
          <cell r="AH90">
            <v>100737.17503474579</v>
          </cell>
          <cell r="AI90">
            <v>91834.177032610256</v>
          </cell>
        </row>
        <row r="91">
          <cell r="I91" t="str">
            <v>VAP-03-009-022</v>
          </cell>
          <cell r="J91" t="str">
            <v>OPEN</v>
          </cell>
          <cell r="K91" t="str">
            <v>Blk 9 &amp; Lot 22</v>
          </cell>
          <cell r="L91">
            <v>55</v>
          </cell>
          <cell r="M91">
            <v>91</v>
          </cell>
          <cell r="N91" t="str">
            <v>DU-EXE-IRR</v>
          </cell>
          <cell r="O91" t="str">
            <v>DUPLEX 90+</v>
          </cell>
          <cell r="P91">
            <v>3600000</v>
          </cell>
          <cell r="Q91"/>
          <cell r="R91">
            <v>3600000</v>
          </cell>
          <cell r="T91">
            <v>468000</v>
          </cell>
          <cell r="U91"/>
          <cell r="V91">
            <v>20000</v>
          </cell>
          <cell r="W91">
            <v>164350</v>
          </cell>
          <cell r="X91">
            <v>150000</v>
          </cell>
          <cell r="Y91">
            <v>4</v>
          </cell>
          <cell r="Z91">
            <v>37500</v>
          </cell>
          <cell r="AA91"/>
          <cell r="AB91">
            <v>298000</v>
          </cell>
          <cell r="AD91">
            <v>3898000</v>
          </cell>
          <cell r="AE91">
            <v>30221.152510423733</v>
          </cell>
          <cell r="AF91">
            <v>27550.253109783076</v>
          </cell>
          <cell r="AG91"/>
          <cell r="AH91">
            <v>100737.17503474579</v>
          </cell>
          <cell r="AI91">
            <v>91834.177032610256</v>
          </cell>
        </row>
        <row r="92">
          <cell r="I92" t="str">
            <v>VAP-03-009-023</v>
          </cell>
          <cell r="J92" t="str">
            <v>OPEN</v>
          </cell>
          <cell r="K92" t="str">
            <v>Blk 9 &amp; Lot 23</v>
          </cell>
          <cell r="L92">
            <v>55</v>
          </cell>
          <cell r="M92">
            <v>90</v>
          </cell>
          <cell r="N92" t="str">
            <v>DU-EXE-IRR</v>
          </cell>
          <cell r="O92" t="str">
            <v>DUPLEX 90+</v>
          </cell>
          <cell r="P92">
            <v>3600000</v>
          </cell>
          <cell r="Q92"/>
          <cell r="R92">
            <v>3600000</v>
          </cell>
          <cell r="T92">
            <v>468000</v>
          </cell>
          <cell r="U92"/>
          <cell r="V92">
            <v>20000</v>
          </cell>
          <cell r="W92">
            <v>164350</v>
          </cell>
          <cell r="X92">
            <v>150000</v>
          </cell>
          <cell r="Y92">
            <v>4</v>
          </cell>
          <cell r="Z92">
            <v>37500</v>
          </cell>
          <cell r="AA92"/>
          <cell r="AB92">
            <v>298000</v>
          </cell>
          <cell r="AD92">
            <v>3898000</v>
          </cell>
          <cell r="AE92">
            <v>30221.152510423733</v>
          </cell>
          <cell r="AF92">
            <v>27550.253109783076</v>
          </cell>
          <cell r="AG92"/>
          <cell r="AH92">
            <v>100737.17503474579</v>
          </cell>
          <cell r="AI92">
            <v>91834.177032610256</v>
          </cell>
        </row>
        <row r="93">
          <cell r="I93" t="str">
            <v>VAP-03-009-024</v>
          </cell>
          <cell r="J93" t="str">
            <v>OPEN</v>
          </cell>
          <cell r="K93" t="str">
            <v>Blk 9 &amp; Lot 24</v>
          </cell>
          <cell r="L93">
            <v>55</v>
          </cell>
          <cell r="M93">
            <v>89</v>
          </cell>
          <cell r="N93" t="str">
            <v>DU-EXE</v>
          </cell>
          <cell r="O93" t="str">
            <v>DUPLEX REG</v>
          </cell>
          <cell r="P93">
            <v>3600000</v>
          </cell>
          <cell r="Q93"/>
          <cell r="R93">
            <v>3600000</v>
          </cell>
          <cell r="T93">
            <v>360000</v>
          </cell>
          <cell r="U93"/>
          <cell r="V93">
            <v>20000</v>
          </cell>
          <cell r="W93">
            <v>126430</v>
          </cell>
          <cell r="X93">
            <v>100000</v>
          </cell>
          <cell r="Y93">
            <v>3</v>
          </cell>
          <cell r="Z93">
            <v>33333.333333333336</v>
          </cell>
          <cell r="AA93"/>
          <cell r="AB93">
            <v>240000</v>
          </cell>
          <cell r="AD93">
            <v>3840000</v>
          </cell>
          <cell r="AE93">
            <v>29771.479127764786</v>
          </cell>
          <cell r="AF93">
            <v>27140.321175363522</v>
          </cell>
          <cell r="AG93"/>
          <cell r="AH93">
            <v>99238.263759215959</v>
          </cell>
          <cell r="AI93">
            <v>90467.737251211744</v>
          </cell>
        </row>
        <row r="94">
          <cell r="I94" t="str">
            <v>VAP-03-009-025</v>
          </cell>
          <cell r="J94" t="str">
            <v>OPEN</v>
          </cell>
          <cell r="K94" t="str">
            <v>Blk 9 &amp; Lot 25</v>
          </cell>
          <cell r="L94">
            <v>55</v>
          </cell>
          <cell r="M94">
            <v>91</v>
          </cell>
          <cell r="N94" t="str">
            <v>DU-EXE-IRR</v>
          </cell>
          <cell r="O94" t="str">
            <v>DUPLEX 90+</v>
          </cell>
          <cell r="P94">
            <v>3600000</v>
          </cell>
          <cell r="Q94"/>
          <cell r="R94">
            <v>3600000</v>
          </cell>
          <cell r="T94">
            <v>468000</v>
          </cell>
          <cell r="U94"/>
          <cell r="V94">
            <v>20000</v>
          </cell>
          <cell r="W94">
            <v>164350</v>
          </cell>
          <cell r="X94">
            <v>150000</v>
          </cell>
          <cell r="Y94">
            <v>4</v>
          </cell>
          <cell r="Z94">
            <v>37500</v>
          </cell>
          <cell r="AA94"/>
          <cell r="AB94">
            <v>298000</v>
          </cell>
          <cell r="AD94">
            <v>3898000</v>
          </cell>
          <cell r="AE94">
            <v>30221.152510423733</v>
          </cell>
          <cell r="AF94">
            <v>27550.253109783076</v>
          </cell>
          <cell r="AG94"/>
          <cell r="AH94">
            <v>100737.17503474579</v>
          </cell>
          <cell r="AI94">
            <v>91834.177032610256</v>
          </cell>
        </row>
        <row r="95">
          <cell r="I95" t="str">
            <v>VAP-03-009-026</v>
          </cell>
          <cell r="J95" t="str">
            <v>TS</v>
          </cell>
          <cell r="K95" t="str">
            <v>Blk 9 &amp; Lot 26</v>
          </cell>
          <cell r="L95">
            <v>55</v>
          </cell>
          <cell r="M95">
            <v>110</v>
          </cell>
          <cell r="N95" t="str">
            <v>DU-EXE-IRR</v>
          </cell>
          <cell r="O95" t="str">
            <v>DUPLEX IRREG +100</v>
          </cell>
          <cell r="P95">
            <v>4600000</v>
          </cell>
          <cell r="Q95">
            <v>492857.14285714284</v>
          </cell>
          <cell r="R95">
            <v>4107142.8571428573</v>
          </cell>
          <cell r="T95">
            <v>598000</v>
          </cell>
          <cell r="U95"/>
          <cell r="V95">
            <v>20000</v>
          </cell>
          <cell r="W95">
            <v>210000</v>
          </cell>
          <cell r="X95">
            <v>210000</v>
          </cell>
          <cell r="Y95">
            <v>6</v>
          </cell>
          <cell r="Z95">
            <v>35000</v>
          </cell>
          <cell r="AA95"/>
          <cell r="AB95">
            <v>368000</v>
          </cell>
          <cell r="AD95">
            <v>4968000</v>
          </cell>
          <cell r="AE95">
            <v>38516.851121545689</v>
          </cell>
          <cell r="AF95">
            <v>35112.790520626557</v>
          </cell>
          <cell r="AG95"/>
          <cell r="AH95">
            <v>128389.50373848564</v>
          </cell>
          <cell r="AI95">
            <v>117042.63506875519</v>
          </cell>
        </row>
        <row r="96">
          <cell r="I96" t="str">
            <v>VAP-03-005-003</v>
          </cell>
          <cell r="J96" t="str">
            <v>TS</v>
          </cell>
          <cell r="K96" t="str">
            <v>Blk 5 &amp; Lot 3</v>
          </cell>
          <cell r="L96">
            <v>55</v>
          </cell>
          <cell r="M96">
            <v>80</v>
          </cell>
          <cell r="N96" t="str">
            <v>DU-EXE</v>
          </cell>
          <cell r="O96" t="str">
            <v>DUPLEX REG</v>
          </cell>
          <cell r="P96">
            <v>3600000</v>
          </cell>
          <cell r="Q96"/>
          <cell r="R96">
            <v>3600000</v>
          </cell>
          <cell r="T96">
            <v>360000</v>
          </cell>
          <cell r="U96"/>
          <cell r="V96">
            <v>20000</v>
          </cell>
          <cell r="W96">
            <v>126430</v>
          </cell>
          <cell r="X96">
            <v>100000</v>
          </cell>
          <cell r="Y96">
            <v>3</v>
          </cell>
          <cell r="Z96">
            <v>33333.333333333336</v>
          </cell>
          <cell r="AA96"/>
          <cell r="AB96">
            <v>240000</v>
          </cell>
          <cell r="AD96">
            <v>3840000</v>
          </cell>
          <cell r="AE96">
            <v>29771.479127764786</v>
          </cell>
          <cell r="AF96">
            <v>27140.321175363522</v>
          </cell>
          <cell r="AG96"/>
          <cell r="AH96">
            <v>99238.263759215959</v>
          </cell>
          <cell r="AI96">
            <v>90467.737251211744</v>
          </cell>
        </row>
        <row r="97">
          <cell r="I97" t="str">
            <v>VAP-03-005-004</v>
          </cell>
          <cell r="J97" t="str">
            <v>TS</v>
          </cell>
          <cell r="K97" t="str">
            <v>Blk 5 &amp; Lot 4</v>
          </cell>
          <cell r="L97">
            <v>55</v>
          </cell>
          <cell r="M97">
            <v>80</v>
          </cell>
          <cell r="N97" t="str">
            <v>DU-EXE</v>
          </cell>
          <cell r="O97" t="str">
            <v>DUPLEX REG</v>
          </cell>
          <cell r="P97">
            <v>3600000</v>
          </cell>
          <cell r="Q97"/>
          <cell r="R97">
            <v>3600000</v>
          </cell>
          <cell r="T97">
            <v>360000</v>
          </cell>
          <cell r="U97"/>
          <cell r="V97">
            <v>20000</v>
          </cell>
          <cell r="W97">
            <v>126430</v>
          </cell>
          <cell r="X97">
            <v>100000</v>
          </cell>
          <cell r="Y97">
            <v>3</v>
          </cell>
          <cell r="Z97">
            <v>33333.333333333336</v>
          </cell>
          <cell r="AA97"/>
          <cell r="AB97">
            <v>240000</v>
          </cell>
          <cell r="AD97">
            <v>3840000</v>
          </cell>
          <cell r="AE97">
            <v>29771.479127764786</v>
          </cell>
          <cell r="AF97">
            <v>27140.321175363522</v>
          </cell>
          <cell r="AG97"/>
          <cell r="AH97">
            <v>99238.263759215959</v>
          </cell>
          <cell r="AI97">
            <v>90467.737251211744</v>
          </cell>
        </row>
        <row r="98">
          <cell r="I98" t="str">
            <v>VAP-03-006-037</v>
          </cell>
          <cell r="J98" t="str">
            <v>TS</v>
          </cell>
          <cell r="K98" t="str">
            <v>Blk 6 &amp; Lot 37</v>
          </cell>
          <cell r="L98">
            <v>55</v>
          </cell>
          <cell r="M98">
            <v>80</v>
          </cell>
          <cell r="N98" t="str">
            <v>DU-EXE</v>
          </cell>
          <cell r="O98" t="str">
            <v>DUPLEX REG</v>
          </cell>
          <cell r="P98">
            <v>3600000</v>
          </cell>
          <cell r="Q98"/>
          <cell r="R98">
            <v>3600000</v>
          </cell>
          <cell r="T98">
            <v>360000</v>
          </cell>
          <cell r="U98"/>
          <cell r="V98">
            <v>20000</v>
          </cell>
          <cell r="W98">
            <v>126430</v>
          </cell>
          <cell r="X98">
            <v>100000</v>
          </cell>
          <cell r="Y98">
            <v>3</v>
          </cell>
          <cell r="Z98">
            <v>33333.333333333336</v>
          </cell>
          <cell r="AA98"/>
          <cell r="AB98">
            <v>240000</v>
          </cell>
          <cell r="AD98">
            <v>3840000</v>
          </cell>
          <cell r="AE98">
            <v>29771.479127764786</v>
          </cell>
          <cell r="AF98">
            <v>27140.321175363522</v>
          </cell>
          <cell r="AG98"/>
          <cell r="AH98">
            <v>99238.263759215959</v>
          </cell>
          <cell r="AI98">
            <v>90467.737251211744</v>
          </cell>
        </row>
        <row r="99">
          <cell r="I99" t="str">
            <v>VAP-03-006-038</v>
          </cell>
          <cell r="J99" t="str">
            <v>TS</v>
          </cell>
          <cell r="K99" t="str">
            <v>Blk 6 &amp; Lot 38</v>
          </cell>
          <cell r="L99">
            <v>55</v>
          </cell>
          <cell r="M99">
            <v>80</v>
          </cell>
          <cell r="N99" t="str">
            <v>DU-EXE</v>
          </cell>
          <cell r="O99" t="str">
            <v>DUPLEX REG</v>
          </cell>
          <cell r="P99">
            <v>3600000</v>
          </cell>
          <cell r="Q99"/>
          <cell r="R99">
            <v>3600000</v>
          </cell>
          <cell r="T99">
            <v>360000</v>
          </cell>
          <cell r="U99"/>
          <cell r="V99">
            <v>20000</v>
          </cell>
          <cell r="W99">
            <v>126430</v>
          </cell>
          <cell r="X99">
            <v>100000</v>
          </cell>
          <cell r="Y99">
            <v>3</v>
          </cell>
          <cell r="Z99">
            <v>33333.333333333336</v>
          </cell>
          <cell r="AA99"/>
          <cell r="AB99">
            <v>240000</v>
          </cell>
          <cell r="AD99">
            <v>3840000</v>
          </cell>
          <cell r="AE99">
            <v>29771.479127764786</v>
          </cell>
          <cell r="AF99">
            <v>27140.321175363522</v>
          </cell>
          <cell r="AG99"/>
          <cell r="AH99">
            <v>99238.263759215959</v>
          </cell>
          <cell r="AI99">
            <v>90467.737251211744</v>
          </cell>
        </row>
        <row r="100">
          <cell r="I100" t="str">
            <v>VAP-03-006-039</v>
          </cell>
          <cell r="J100" t="str">
            <v>TS</v>
          </cell>
          <cell r="K100" t="str">
            <v>Blk 6 &amp; Lot 39</v>
          </cell>
          <cell r="L100">
            <v>55</v>
          </cell>
          <cell r="M100">
            <v>80</v>
          </cell>
          <cell r="N100" t="str">
            <v>DU-EXE</v>
          </cell>
          <cell r="O100" t="str">
            <v>DUPLEX REG</v>
          </cell>
          <cell r="P100">
            <v>3600000</v>
          </cell>
          <cell r="Q100"/>
          <cell r="R100">
            <v>3600000</v>
          </cell>
          <cell r="T100">
            <v>360000</v>
          </cell>
          <cell r="U100"/>
          <cell r="V100">
            <v>20000</v>
          </cell>
          <cell r="W100">
            <v>126430</v>
          </cell>
          <cell r="X100">
            <v>100000</v>
          </cell>
          <cell r="Y100">
            <v>3</v>
          </cell>
          <cell r="Z100">
            <v>33333.333333333336</v>
          </cell>
          <cell r="AA100"/>
          <cell r="AB100">
            <v>240000</v>
          </cell>
          <cell r="AD100">
            <v>3840000</v>
          </cell>
          <cell r="AE100">
            <v>29771.479127764786</v>
          </cell>
          <cell r="AF100">
            <v>27140.321175363522</v>
          </cell>
          <cell r="AG100"/>
          <cell r="AH100">
            <v>99238.263759215959</v>
          </cell>
          <cell r="AI100">
            <v>90467.737251211744</v>
          </cell>
        </row>
        <row r="101">
          <cell r="I101" t="str">
            <v>VAP-03-006-040</v>
          </cell>
          <cell r="J101" t="str">
            <v>TS</v>
          </cell>
          <cell r="K101" t="str">
            <v>Blk 6 &amp; Lot 40</v>
          </cell>
          <cell r="L101">
            <v>55</v>
          </cell>
          <cell r="M101">
            <v>80</v>
          </cell>
          <cell r="N101" t="str">
            <v>DU-EXE</v>
          </cell>
          <cell r="O101" t="str">
            <v>DUPLEX REG</v>
          </cell>
          <cell r="P101">
            <v>3600000</v>
          </cell>
          <cell r="Q101"/>
          <cell r="R101">
            <v>3600000</v>
          </cell>
          <cell r="T101">
            <v>360000</v>
          </cell>
          <cell r="U101"/>
          <cell r="V101">
            <v>20000</v>
          </cell>
          <cell r="W101">
            <v>126430</v>
          </cell>
          <cell r="X101">
            <v>100000</v>
          </cell>
          <cell r="Y101">
            <v>3</v>
          </cell>
          <cell r="Z101">
            <v>33333.333333333336</v>
          </cell>
          <cell r="AA101"/>
          <cell r="AB101">
            <v>240000</v>
          </cell>
          <cell r="AD101">
            <v>3840000</v>
          </cell>
          <cell r="AE101">
            <v>29771.479127764786</v>
          </cell>
          <cell r="AF101">
            <v>27140.321175363522</v>
          </cell>
          <cell r="AG101"/>
          <cell r="AH101">
            <v>99238.263759215959</v>
          </cell>
          <cell r="AI101">
            <v>90467.737251211744</v>
          </cell>
        </row>
        <row r="102">
          <cell r="I102" t="str">
            <v>VAP-03-006-041</v>
          </cell>
          <cell r="J102" t="str">
            <v>TS</v>
          </cell>
          <cell r="K102" t="str">
            <v>Blk 6 &amp; Lot 41</v>
          </cell>
          <cell r="L102">
            <v>55</v>
          </cell>
          <cell r="M102">
            <v>80</v>
          </cell>
          <cell r="N102" t="str">
            <v>DU-EXE</v>
          </cell>
          <cell r="O102" t="str">
            <v>DUPLEX REG</v>
          </cell>
          <cell r="P102">
            <v>3600000</v>
          </cell>
          <cell r="Q102"/>
          <cell r="R102">
            <v>3600000</v>
          </cell>
          <cell r="T102">
            <v>360000</v>
          </cell>
          <cell r="U102"/>
          <cell r="V102">
            <v>20000</v>
          </cell>
          <cell r="W102">
            <v>126430</v>
          </cell>
          <cell r="X102">
            <v>100000</v>
          </cell>
          <cell r="Y102">
            <v>3</v>
          </cell>
          <cell r="Z102">
            <v>33333.333333333336</v>
          </cell>
          <cell r="AA102"/>
          <cell r="AB102">
            <v>240000</v>
          </cell>
          <cell r="AD102">
            <v>3840000</v>
          </cell>
          <cell r="AE102">
            <v>29771.479127764786</v>
          </cell>
          <cell r="AF102">
            <v>27140.321175363522</v>
          </cell>
          <cell r="AG102"/>
          <cell r="AH102">
            <v>99238.263759215959</v>
          </cell>
          <cell r="AI102">
            <v>90467.737251211744</v>
          </cell>
        </row>
        <row r="103">
          <cell r="I103" t="str">
            <v>VAP-03-006-042</v>
          </cell>
          <cell r="J103" t="str">
            <v>OPEN</v>
          </cell>
          <cell r="K103" t="str">
            <v>Blk 6 &amp; Lot 42</v>
          </cell>
          <cell r="L103">
            <v>55</v>
          </cell>
          <cell r="M103">
            <v>80</v>
          </cell>
          <cell r="N103" t="str">
            <v>DU-EXE</v>
          </cell>
          <cell r="O103" t="str">
            <v>DUPLEX REG</v>
          </cell>
          <cell r="P103">
            <v>3600000</v>
          </cell>
          <cell r="Q103"/>
          <cell r="R103">
            <v>3600000</v>
          </cell>
          <cell r="T103">
            <v>360000</v>
          </cell>
          <cell r="U103"/>
          <cell r="V103">
            <v>20000</v>
          </cell>
          <cell r="W103">
            <v>126430</v>
          </cell>
          <cell r="X103">
            <v>100000</v>
          </cell>
          <cell r="Y103">
            <v>3</v>
          </cell>
          <cell r="Z103">
            <v>33333.333333333336</v>
          </cell>
          <cell r="AA103"/>
          <cell r="AB103">
            <v>240000</v>
          </cell>
          <cell r="AD103">
            <v>3840000</v>
          </cell>
          <cell r="AE103">
            <v>29771.479127764786</v>
          </cell>
          <cell r="AF103">
            <v>27140.321175363522</v>
          </cell>
          <cell r="AG103"/>
          <cell r="AH103">
            <v>99238.263759215959</v>
          </cell>
          <cell r="AI103">
            <v>90467.737251211744</v>
          </cell>
        </row>
        <row r="104">
          <cell r="I104" t="str">
            <v>VAP-03-009-017</v>
          </cell>
          <cell r="J104" t="str">
            <v>OPEN</v>
          </cell>
          <cell r="K104" t="str">
            <v>Blk 9 &amp; Lot 17</v>
          </cell>
          <cell r="L104">
            <v>55</v>
          </cell>
          <cell r="M104">
            <v>99</v>
          </cell>
          <cell r="N104" t="str">
            <v>DU-EXE-IRR</v>
          </cell>
          <cell r="O104" t="str">
            <v>DUPLEX IRREG +100</v>
          </cell>
          <cell r="P104">
            <v>4644500</v>
          </cell>
          <cell r="Q104">
            <v>497625</v>
          </cell>
          <cell r="R104">
            <v>4146875</v>
          </cell>
          <cell r="T104">
            <v>603785</v>
          </cell>
          <cell r="U104"/>
          <cell r="V104">
            <v>20000</v>
          </cell>
          <cell r="W104">
            <v>212040</v>
          </cell>
          <cell r="X104">
            <v>210000</v>
          </cell>
          <cell r="Y104">
            <v>6</v>
          </cell>
          <cell r="Z104">
            <v>35000</v>
          </cell>
          <cell r="AA104"/>
          <cell r="AB104">
            <v>373785</v>
          </cell>
          <cell r="AD104">
            <v>5018285</v>
          </cell>
          <cell r="AE104">
            <v>38906.710191321639</v>
          </cell>
          <cell r="AF104">
            <v>35468.194439976338</v>
          </cell>
          <cell r="AG104"/>
          <cell r="AH104">
            <v>129689.03397107213</v>
          </cell>
          <cell r="AI104">
            <v>118227.31479992114</v>
          </cell>
        </row>
        <row r="105">
          <cell r="I105" t="str">
            <v>VAP-03-009-018</v>
          </cell>
          <cell r="J105" t="str">
            <v>OPEN</v>
          </cell>
          <cell r="K105" t="str">
            <v>Blk 9 &amp; Lot 18</v>
          </cell>
          <cell r="L105">
            <v>55</v>
          </cell>
          <cell r="M105">
            <v>96</v>
          </cell>
          <cell r="N105" t="str">
            <v>DU-EXE-IRR</v>
          </cell>
          <cell r="O105" t="str">
            <v>DUPLEX 90+</v>
          </cell>
          <cell r="P105">
            <v>3600000</v>
          </cell>
          <cell r="Q105"/>
          <cell r="R105">
            <v>3600000</v>
          </cell>
          <cell r="T105">
            <v>468000</v>
          </cell>
          <cell r="U105"/>
          <cell r="V105">
            <v>20000</v>
          </cell>
          <cell r="W105">
            <v>164350</v>
          </cell>
          <cell r="X105">
            <v>150000</v>
          </cell>
          <cell r="Y105">
            <v>4</v>
          </cell>
          <cell r="Z105">
            <v>37500</v>
          </cell>
          <cell r="AA105"/>
          <cell r="AB105">
            <v>298000</v>
          </cell>
          <cell r="AD105">
            <v>3898000</v>
          </cell>
          <cell r="AE105">
            <v>30221.152510423733</v>
          </cell>
          <cell r="AF105">
            <v>27550.253109783076</v>
          </cell>
          <cell r="AG105"/>
          <cell r="AH105">
            <v>100737.17503474579</v>
          </cell>
          <cell r="AI105">
            <v>91834.177032610256</v>
          </cell>
        </row>
        <row r="106">
          <cell r="I106" t="str">
            <v>VAP-03-005-005</v>
          </cell>
          <cell r="J106" t="str">
            <v>TS</v>
          </cell>
          <cell r="K106" t="str">
            <v>Blk 5 &amp; Lot 5</v>
          </cell>
          <cell r="L106">
            <v>55</v>
          </cell>
          <cell r="M106">
            <v>80</v>
          </cell>
          <cell r="N106" t="str">
            <v>DU-EXE</v>
          </cell>
          <cell r="O106" t="str">
            <v>DUPLEX REG</v>
          </cell>
          <cell r="P106">
            <v>3600000</v>
          </cell>
          <cell r="Q106"/>
          <cell r="R106">
            <v>3600000</v>
          </cell>
          <cell r="T106">
            <v>360000</v>
          </cell>
          <cell r="U106"/>
          <cell r="V106">
            <v>20000</v>
          </cell>
          <cell r="W106">
            <v>126430</v>
          </cell>
          <cell r="X106">
            <v>340000</v>
          </cell>
          <cell r="Y106">
            <v>10</v>
          </cell>
          <cell r="Z106">
            <v>34000</v>
          </cell>
          <cell r="AA106"/>
          <cell r="AB106">
            <v>0</v>
          </cell>
          <cell r="AD106">
            <v>3600000</v>
          </cell>
          <cell r="AE106">
            <v>27910.761682279484</v>
          </cell>
          <cell r="AF106">
            <v>25444.051101903304</v>
          </cell>
          <cell r="AG106"/>
          <cell r="AH106">
            <v>93035.872274264955</v>
          </cell>
          <cell r="AI106">
            <v>84813.503673011015</v>
          </cell>
        </row>
        <row r="107">
          <cell r="I107" t="str">
            <v>VAP-03-005-006</v>
          </cell>
          <cell r="J107" t="str">
            <v>TS</v>
          </cell>
          <cell r="K107" t="str">
            <v>Blk 5 &amp; Lot 6</v>
          </cell>
          <cell r="L107">
            <v>55</v>
          </cell>
          <cell r="M107">
            <v>80</v>
          </cell>
          <cell r="N107" t="str">
            <v>DU-EXE</v>
          </cell>
          <cell r="O107" t="str">
            <v>DUPLEX REG</v>
          </cell>
          <cell r="P107">
            <v>3600000</v>
          </cell>
          <cell r="Q107"/>
          <cell r="R107">
            <v>3600000</v>
          </cell>
          <cell r="T107">
            <v>360000</v>
          </cell>
          <cell r="U107"/>
          <cell r="V107">
            <v>20000</v>
          </cell>
          <cell r="W107">
            <v>126430</v>
          </cell>
          <cell r="X107">
            <v>340000</v>
          </cell>
          <cell r="Y107">
            <v>10</v>
          </cell>
          <cell r="Z107">
            <v>34000</v>
          </cell>
          <cell r="AA107"/>
          <cell r="AB107">
            <v>0</v>
          </cell>
          <cell r="AD107">
            <v>3600000</v>
          </cell>
          <cell r="AE107">
            <v>27910.761682279484</v>
          </cell>
          <cell r="AF107">
            <v>25444.051101903304</v>
          </cell>
          <cell r="AG107"/>
          <cell r="AH107">
            <v>93035.872274264955</v>
          </cell>
          <cell r="AI107">
            <v>84813.503673011015</v>
          </cell>
        </row>
        <row r="108">
          <cell r="I108" t="str">
            <v>VAP-03-005-043</v>
          </cell>
          <cell r="J108" t="str">
            <v>OPEN</v>
          </cell>
          <cell r="K108" t="str">
            <v>Blk 5 &amp; Lot 43</v>
          </cell>
          <cell r="L108">
            <v>55</v>
          </cell>
          <cell r="M108">
            <v>90</v>
          </cell>
          <cell r="N108" t="str">
            <v>DU-EXE-IRR</v>
          </cell>
          <cell r="O108" t="str">
            <v>DUPLEX 90+</v>
          </cell>
          <cell r="P108">
            <v>3600000</v>
          </cell>
          <cell r="Q108"/>
          <cell r="R108">
            <v>3600000</v>
          </cell>
          <cell r="T108">
            <v>468000</v>
          </cell>
          <cell r="U108"/>
          <cell r="V108">
            <v>20000</v>
          </cell>
          <cell r="W108">
            <v>164350</v>
          </cell>
          <cell r="X108">
            <v>448000</v>
          </cell>
          <cell r="Y108">
            <v>10</v>
          </cell>
          <cell r="Z108">
            <v>44800</v>
          </cell>
          <cell r="AA108"/>
          <cell r="AB108">
            <v>0</v>
          </cell>
          <cell r="AD108">
            <v>3600000</v>
          </cell>
          <cell r="AE108">
            <v>27910.761682279484</v>
          </cell>
          <cell r="AF108">
            <v>25444.051101903304</v>
          </cell>
          <cell r="AG108"/>
          <cell r="AH108">
            <v>93035.872274264955</v>
          </cell>
          <cell r="AI108">
            <v>84813.503673011015</v>
          </cell>
        </row>
        <row r="109">
          <cell r="I109" t="str">
            <v>VAP-03-005-044</v>
          </cell>
          <cell r="J109" t="str">
            <v>TS</v>
          </cell>
          <cell r="K109" t="str">
            <v>Blk 5 &amp; Lot 44</v>
          </cell>
          <cell r="L109">
            <v>55</v>
          </cell>
          <cell r="M109">
            <v>90</v>
          </cell>
          <cell r="N109" t="str">
            <v>DU-EXE-IRR</v>
          </cell>
          <cell r="O109" t="str">
            <v>DUPLEX 90+</v>
          </cell>
          <cell r="P109">
            <v>3600000</v>
          </cell>
          <cell r="Q109"/>
          <cell r="R109">
            <v>3600000</v>
          </cell>
          <cell r="T109">
            <v>468000</v>
          </cell>
          <cell r="U109"/>
          <cell r="V109">
            <v>20000</v>
          </cell>
          <cell r="W109">
            <v>164350</v>
          </cell>
          <cell r="X109">
            <v>448000</v>
          </cell>
          <cell r="Y109">
            <v>10</v>
          </cell>
          <cell r="Z109">
            <v>44800</v>
          </cell>
          <cell r="AA109"/>
          <cell r="AB109">
            <v>0</v>
          </cell>
          <cell r="AD109">
            <v>3600000</v>
          </cell>
          <cell r="AE109">
            <v>27910.761682279484</v>
          </cell>
          <cell r="AF109">
            <v>25444.051101903304</v>
          </cell>
          <cell r="AG109"/>
          <cell r="AH109">
            <v>93035.872274264955</v>
          </cell>
          <cell r="AI109">
            <v>84813.503673011015</v>
          </cell>
        </row>
        <row r="110">
          <cell r="I110" t="str">
            <v>VAP-03-006-031</v>
          </cell>
          <cell r="J110" t="str">
            <v>TS</v>
          </cell>
          <cell r="K110" t="str">
            <v>Blk 6 &amp; Lot 31</v>
          </cell>
          <cell r="L110">
            <v>55</v>
          </cell>
          <cell r="M110">
            <v>80</v>
          </cell>
          <cell r="N110" t="str">
            <v>DU-EXE</v>
          </cell>
          <cell r="O110" t="str">
            <v>DUPLEX REG</v>
          </cell>
          <cell r="P110">
            <v>3600000</v>
          </cell>
          <cell r="Q110"/>
          <cell r="R110">
            <v>3600000</v>
          </cell>
          <cell r="T110">
            <v>360000</v>
          </cell>
          <cell r="U110"/>
          <cell r="V110">
            <v>20000</v>
          </cell>
          <cell r="W110">
            <v>126430</v>
          </cell>
          <cell r="X110">
            <v>340000</v>
          </cell>
          <cell r="Y110">
            <v>10</v>
          </cell>
          <cell r="Z110">
            <v>34000</v>
          </cell>
          <cell r="AA110"/>
          <cell r="AB110">
            <v>0</v>
          </cell>
          <cell r="AD110">
            <v>3600000</v>
          </cell>
          <cell r="AE110">
            <v>27910.761682279484</v>
          </cell>
          <cell r="AF110">
            <v>25444.051101903304</v>
          </cell>
          <cell r="AG110"/>
          <cell r="AH110">
            <v>93035.872274264955</v>
          </cell>
          <cell r="AI110">
            <v>84813.503673011015</v>
          </cell>
        </row>
        <row r="111">
          <cell r="I111" t="str">
            <v>VAP-03-006-032</v>
          </cell>
          <cell r="J111" t="str">
            <v>TS</v>
          </cell>
          <cell r="K111" t="str">
            <v>Blk 6 &amp; Lot 32</v>
          </cell>
          <cell r="L111">
            <v>55</v>
          </cell>
          <cell r="M111">
            <v>80</v>
          </cell>
          <cell r="N111" t="str">
            <v>DU-EXE</v>
          </cell>
          <cell r="O111" t="str">
            <v>DUPLEX REG</v>
          </cell>
          <cell r="P111">
            <v>3600000</v>
          </cell>
          <cell r="Q111"/>
          <cell r="R111">
            <v>3600000</v>
          </cell>
          <cell r="T111">
            <v>360000</v>
          </cell>
          <cell r="U111"/>
          <cell r="V111">
            <v>20000</v>
          </cell>
          <cell r="W111">
            <v>126430</v>
          </cell>
          <cell r="X111">
            <v>340000</v>
          </cell>
          <cell r="Y111">
            <v>10</v>
          </cell>
          <cell r="Z111">
            <v>34000</v>
          </cell>
          <cell r="AA111"/>
          <cell r="AB111">
            <v>0</v>
          </cell>
          <cell r="AD111">
            <v>3600000</v>
          </cell>
          <cell r="AE111">
            <v>27910.761682279484</v>
          </cell>
          <cell r="AF111">
            <v>25444.051101903304</v>
          </cell>
          <cell r="AG111"/>
          <cell r="AH111">
            <v>93035.872274264955</v>
          </cell>
          <cell r="AI111">
            <v>84813.503673011015</v>
          </cell>
        </row>
        <row r="112">
          <cell r="I112" t="str">
            <v>VAP-03-006-033</v>
          </cell>
          <cell r="J112" t="str">
            <v>TS</v>
          </cell>
          <cell r="K112" t="str">
            <v>Blk 6 &amp; Lot 33</v>
          </cell>
          <cell r="L112">
            <v>55</v>
          </cell>
          <cell r="M112">
            <v>80</v>
          </cell>
          <cell r="N112" t="str">
            <v>DU-EXE</v>
          </cell>
          <cell r="O112" t="str">
            <v>DUPLEX REG</v>
          </cell>
          <cell r="P112">
            <v>3600000</v>
          </cell>
          <cell r="Q112"/>
          <cell r="R112">
            <v>3600000</v>
          </cell>
          <cell r="T112">
            <v>360000</v>
          </cell>
          <cell r="U112"/>
          <cell r="V112">
            <v>20000</v>
          </cell>
          <cell r="W112">
            <v>126430</v>
          </cell>
          <cell r="X112">
            <v>340000</v>
          </cell>
          <cell r="Y112">
            <v>10</v>
          </cell>
          <cell r="Z112">
            <v>34000</v>
          </cell>
          <cell r="AA112"/>
          <cell r="AB112">
            <v>0</v>
          </cell>
          <cell r="AD112">
            <v>3600000</v>
          </cell>
          <cell r="AE112">
            <v>27910.761682279484</v>
          </cell>
          <cell r="AF112">
            <v>25444.051101903304</v>
          </cell>
          <cell r="AG112"/>
          <cell r="AH112">
            <v>93035.872274264955</v>
          </cell>
          <cell r="AI112">
            <v>84813.503673011015</v>
          </cell>
        </row>
        <row r="113">
          <cell r="I113" t="str">
            <v>VAP-03-006-034</v>
          </cell>
          <cell r="J113" t="str">
            <v>TS</v>
          </cell>
          <cell r="K113" t="str">
            <v>Blk 6 &amp; Lot 34</v>
          </cell>
          <cell r="L113">
            <v>55</v>
          </cell>
          <cell r="M113">
            <v>80</v>
          </cell>
          <cell r="N113" t="str">
            <v>DU-EXE</v>
          </cell>
          <cell r="O113" t="str">
            <v>DUPLEX REG</v>
          </cell>
          <cell r="P113">
            <v>3600000</v>
          </cell>
          <cell r="Q113"/>
          <cell r="R113">
            <v>3600000</v>
          </cell>
          <cell r="T113">
            <v>360000</v>
          </cell>
          <cell r="U113"/>
          <cell r="V113">
            <v>20000</v>
          </cell>
          <cell r="W113">
            <v>126430</v>
          </cell>
          <cell r="X113">
            <v>340000</v>
          </cell>
          <cell r="Y113">
            <v>10</v>
          </cell>
          <cell r="Z113">
            <v>34000</v>
          </cell>
          <cell r="AA113"/>
          <cell r="AB113">
            <v>0</v>
          </cell>
          <cell r="AD113">
            <v>3600000</v>
          </cell>
          <cell r="AE113">
            <v>27910.761682279484</v>
          </cell>
          <cell r="AF113">
            <v>25444.051101903304</v>
          </cell>
          <cell r="AG113"/>
          <cell r="AH113">
            <v>93035.872274264955</v>
          </cell>
          <cell r="AI113">
            <v>84813.503673011015</v>
          </cell>
        </row>
        <row r="114">
          <cell r="I114" t="str">
            <v>VAP-03-006-035</v>
          </cell>
          <cell r="J114" t="str">
            <v>TS</v>
          </cell>
          <cell r="K114" t="str">
            <v>Blk 6 &amp; Lot 35</v>
          </cell>
          <cell r="L114">
            <v>55</v>
          </cell>
          <cell r="M114">
            <v>80</v>
          </cell>
          <cell r="N114" t="str">
            <v>DU-EXE</v>
          </cell>
          <cell r="O114" t="str">
            <v>DUPLEX REG</v>
          </cell>
          <cell r="P114">
            <v>3600000</v>
          </cell>
          <cell r="Q114"/>
          <cell r="R114">
            <v>3600000</v>
          </cell>
          <cell r="T114">
            <v>360000</v>
          </cell>
          <cell r="U114"/>
          <cell r="V114">
            <v>20000</v>
          </cell>
          <cell r="W114">
            <v>126430</v>
          </cell>
          <cell r="X114">
            <v>340000</v>
          </cell>
          <cell r="Y114">
            <v>10</v>
          </cell>
          <cell r="Z114">
            <v>34000</v>
          </cell>
          <cell r="AA114"/>
          <cell r="AB114">
            <v>0</v>
          </cell>
          <cell r="AD114">
            <v>3600000</v>
          </cell>
          <cell r="AE114">
            <v>27910.761682279484</v>
          </cell>
          <cell r="AF114">
            <v>25444.051101903304</v>
          </cell>
          <cell r="AG114"/>
          <cell r="AH114">
            <v>93035.872274264955</v>
          </cell>
          <cell r="AI114">
            <v>84813.503673011015</v>
          </cell>
        </row>
        <row r="115">
          <cell r="I115" t="str">
            <v>VAP-03-006-036</v>
          </cell>
          <cell r="J115" t="str">
            <v>TS</v>
          </cell>
          <cell r="K115" t="str">
            <v>Blk 6 &amp; Lot 36</v>
          </cell>
          <cell r="L115">
            <v>55</v>
          </cell>
          <cell r="M115">
            <v>80</v>
          </cell>
          <cell r="N115" t="str">
            <v>DU-EXE</v>
          </cell>
          <cell r="O115" t="str">
            <v>DUPLEX REG</v>
          </cell>
          <cell r="P115">
            <v>3600000</v>
          </cell>
          <cell r="Q115"/>
          <cell r="R115">
            <v>3600000</v>
          </cell>
          <cell r="T115">
            <v>360000</v>
          </cell>
          <cell r="U115"/>
          <cell r="V115">
            <v>20000</v>
          </cell>
          <cell r="W115">
            <v>126430</v>
          </cell>
          <cell r="X115">
            <v>340000</v>
          </cell>
          <cell r="Y115">
            <v>10</v>
          </cell>
          <cell r="Z115">
            <v>34000</v>
          </cell>
          <cell r="AA115"/>
          <cell r="AB115">
            <v>0</v>
          </cell>
          <cell r="AD115">
            <v>3600000</v>
          </cell>
          <cell r="AE115">
            <v>27910.761682279484</v>
          </cell>
          <cell r="AF115">
            <v>25444.051101903304</v>
          </cell>
          <cell r="AG115"/>
          <cell r="AH115">
            <v>93035.872274264955</v>
          </cell>
          <cell r="AI115">
            <v>84813.503673011015</v>
          </cell>
        </row>
        <row r="116">
          <cell r="I116" t="str">
            <v>VAP-03-006-043</v>
          </cell>
          <cell r="J116" t="str">
            <v>TS</v>
          </cell>
          <cell r="K116" t="str">
            <v>Blk 6 &amp; Lot 43</v>
          </cell>
          <cell r="L116">
            <v>55</v>
          </cell>
          <cell r="M116">
            <v>80</v>
          </cell>
          <cell r="N116" t="str">
            <v>DU-EXE</v>
          </cell>
          <cell r="O116" t="str">
            <v>DUPLEX REG</v>
          </cell>
          <cell r="P116">
            <v>3600000</v>
          </cell>
          <cell r="Q116"/>
          <cell r="R116">
            <v>3600000</v>
          </cell>
          <cell r="T116">
            <v>360000</v>
          </cell>
          <cell r="U116"/>
          <cell r="V116">
            <v>20000</v>
          </cell>
          <cell r="W116">
            <v>126430</v>
          </cell>
          <cell r="X116">
            <v>340000</v>
          </cell>
          <cell r="Y116">
            <v>10</v>
          </cell>
          <cell r="Z116">
            <v>34000</v>
          </cell>
          <cell r="AA116"/>
          <cell r="AB116">
            <v>0</v>
          </cell>
          <cell r="AD116">
            <v>3600000</v>
          </cell>
          <cell r="AE116">
            <v>27910.761682279484</v>
          </cell>
          <cell r="AF116">
            <v>25444.051101903304</v>
          </cell>
          <cell r="AG116"/>
          <cell r="AH116">
            <v>93035.872274264955</v>
          </cell>
          <cell r="AI116">
            <v>84813.503673011015</v>
          </cell>
        </row>
        <row r="117">
          <cell r="I117" t="str">
            <v>VAP-03-006-044</v>
          </cell>
          <cell r="J117" t="str">
            <v>TS</v>
          </cell>
          <cell r="K117" t="str">
            <v>Blk 6 &amp; Lot 44</v>
          </cell>
          <cell r="L117">
            <v>55</v>
          </cell>
          <cell r="M117">
            <v>80</v>
          </cell>
          <cell r="N117" t="str">
            <v>DU-EXE</v>
          </cell>
          <cell r="O117" t="str">
            <v>DUPLEX REG</v>
          </cell>
          <cell r="P117">
            <v>3600000</v>
          </cell>
          <cell r="Q117"/>
          <cell r="R117">
            <v>3600000</v>
          </cell>
          <cell r="T117">
            <v>360000</v>
          </cell>
          <cell r="U117"/>
          <cell r="V117">
            <v>20000</v>
          </cell>
          <cell r="W117">
            <v>126430</v>
          </cell>
          <cell r="X117">
            <v>340000</v>
          </cell>
          <cell r="Y117">
            <v>10</v>
          </cell>
          <cell r="Z117">
            <v>34000</v>
          </cell>
          <cell r="AA117"/>
          <cell r="AB117">
            <v>0</v>
          </cell>
          <cell r="AD117">
            <v>3600000</v>
          </cell>
          <cell r="AE117">
            <v>27910.761682279484</v>
          </cell>
          <cell r="AF117">
            <v>25444.051101903304</v>
          </cell>
          <cell r="AG117"/>
          <cell r="AH117">
            <v>93035.872274264955</v>
          </cell>
          <cell r="AI117">
            <v>84813.503673011015</v>
          </cell>
        </row>
        <row r="118">
          <cell r="I118" t="str">
            <v>VAP-03-006-045</v>
          </cell>
          <cell r="J118" t="str">
            <v>TS</v>
          </cell>
          <cell r="K118" t="str">
            <v>Blk 6 &amp; Lot 45</v>
          </cell>
          <cell r="L118">
            <v>55</v>
          </cell>
          <cell r="M118">
            <v>80</v>
          </cell>
          <cell r="N118" t="str">
            <v>DU-EXE</v>
          </cell>
          <cell r="O118" t="str">
            <v>DUPLEX REG</v>
          </cell>
          <cell r="P118">
            <v>3600000</v>
          </cell>
          <cell r="Q118"/>
          <cell r="R118">
            <v>3600000</v>
          </cell>
          <cell r="T118">
            <v>360000</v>
          </cell>
          <cell r="U118"/>
          <cell r="V118">
            <v>20000</v>
          </cell>
          <cell r="W118">
            <v>126430</v>
          </cell>
          <cell r="X118">
            <v>340000</v>
          </cell>
          <cell r="Y118">
            <v>10</v>
          </cell>
          <cell r="Z118">
            <v>34000</v>
          </cell>
          <cell r="AA118"/>
          <cell r="AB118">
            <v>0</v>
          </cell>
          <cell r="AD118">
            <v>3600000</v>
          </cell>
          <cell r="AE118">
            <v>27910.761682279484</v>
          </cell>
          <cell r="AF118">
            <v>25444.051101903304</v>
          </cell>
          <cell r="AG118"/>
          <cell r="AH118">
            <v>93035.872274264955</v>
          </cell>
          <cell r="AI118">
            <v>84813.503673011015</v>
          </cell>
        </row>
        <row r="119">
          <cell r="I119" t="str">
            <v>VAP-03-006-046</v>
          </cell>
          <cell r="J119" t="str">
            <v>TS</v>
          </cell>
          <cell r="K119" t="str">
            <v>Blk 6 &amp; Lot 46</v>
          </cell>
          <cell r="L119">
            <v>55</v>
          </cell>
          <cell r="M119">
            <v>80</v>
          </cell>
          <cell r="N119" t="str">
            <v>DU-EXE</v>
          </cell>
          <cell r="O119" t="str">
            <v>DUPLEX REG</v>
          </cell>
          <cell r="P119">
            <v>3600000</v>
          </cell>
          <cell r="Q119"/>
          <cell r="R119">
            <v>3600000</v>
          </cell>
          <cell r="T119">
            <v>360000</v>
          </cell>
          <cell r="U119"/>
          <cell r="V119">
            <v>20000</v>
          </cell>
          <cell r="W119">
            <v>126430</v>
          </cell>
          <cell r="X119">
            <v>340000</v>
          </cell>
          <cell r="Y119">
            <v>10</v>
          </cell>
          <cell r="Z119">
            <v>34000</v>
          </cell>
          <cell r="AA119"/>
          <cell r="AB119">
            <v>0</v>
          </cell>
          <cell r="AD119">
            <v>3600000</v>
          </cell>
          <cell r="AE119">
            <v>27910.761682279484</v>
          </cell>
          <cell r="AF119">
            <v>25444.051101903304</v>
          </cell>
          <cell r="AG119"/>
          <cell r="AH119">
            <v>93035.872274264955</v>
          </cell>
          <cell r="AI119">
            <v>84813.503673011015</v>
          </cell>
        </row>
        <row r="120">
          <cell r="I120" t="str">
            <v>VAP-03-008-012</v>
          </cell>
          <cell r="J120" t="str">
            <v>TS</v>
          </cell>
          <cell r="K120" t="str">
            <v>Blk 8 &amp; Lot 12</v>
          </cell>
          <cell r="L120">
            <v>55</v>
          </cell>
          <cell r="M120">
            <v>82</v>
          </cell>
          <cell r="N120" t="str">
            <v>DU-EXE</v>
          </cell>
          <cell r="O120" t="str">
            <v>DUPLEX REG</v>
          </cell>
          <cell r="P120">
            <v>3600000</v>
          </cell>
          <cell r="Q120"/>
          <cell r="R120">
            <v>3600000</v>
          </cell>
          <cell r="T120">
            <v>360000</v>
          </cell>
          <cell r="U120"/>
          <cell r="V120">
            <v>20000</v>
          </cell>
          <cell r="W120">
            <v>126430</v>
          </cell>
          <cell r="X120">
            <v>340000</v>
          </cell>
          <cell r="Y120">
            <v>10</v>
          </cell>
          <cell r="Z120">
            <v>34000</v>
          </cell>
          <cell r="AA120"/>
          <cell r="AB120">
            <v>0</v>
          </cell>
          <cell r="AD120">
            <v>3600000</v>
          </cell>
          <cell r="AE120">
            <v>27910.761682279484</v>
          </cell>
          <cell r="AF120">
            <v>25444.051101903304</v>
          </cell>
          <cell r="AG120"/>
          <cell r="AH120">
            <v>93035.872274264955</v>
          </cell>
          <cell r="AI120">
            <v>84813.503673011015</v>
          </cell>
        </row>
        <row r="121">
          <cell r="I121" t="str">
            <v>VAP-03-008-013</v>
          </cell>
          <cell r="J121" t="str">
            <v>TS</v>
          </cell>
          <cell r="K121" t="str">
            <v>Blk 8 &amp; Lot 13</v>
          </cell>
          <cell r="L121">
            <v>55</v>
          </cell>
          <cell r="M121">
            <v>82</v>
          </cell>
          <cell r="N121" t="str">
            <v>DU-EXE</v>
          </cell>
          <cell r="O121" t="str">
            <v>DUPLEX REG</v>
          </cell>
          <cell r="P121">
            <v>3600000</v>
          </cell>
          <cell r="Q121"/>
          <cell r="R121">
            <v>3600000</v>
          </cell>
          <cell r="T121">
            <v>360000</v>
          </cell>
          <cell r="U121"/>
          <cell r="V121">
            <v>20000</v>
          </cell>
          <cell r="W121">
            <v>126430</v>
          </cell>
          <cell r="X121">
            <v>340000</v>
          </cell>
          <cell r="Y121">
            <v>10</v>
          </cell>
          <cell r="Z121">
            <v>34000</v>
          </cell>
          <cell r="AA121"/>
          <cell r="AB121">
            <v>0</v>
          </cell>
          <cell r="AD121">
            <v>3600000</v>
          </cell>
          <cell r="AE121">
            <v>27910.761682279484</v>
          </cell>
          <cell r="AF121">
            <v>25444.051101903304</v>
          </cell>
          <cell r="AG121"/>
          <cell r="AH121">
            <v>93035.872274264955</v>
          </cell>
          <cell r="AI121">
            <v>84813.503673011015</v>
          </cell>
        </row>
        <row r="122">
          <cell r="I122" t="str">
            <v>VAP-03-008-014</v>
          </cell>
          <cell r="J122" t="str">
            <v>TS</v>
          </cell>
          <cell r="K122" t="str">
            <v>Blk 8 &amp; Lot 14</v>
          </cell>
          <cell r="L122">
            <v>55</v>
          </cell>
          <cell r="M122">
            <v>87</v>
          </cell>
          <cell r="N122" t="str">
            <v>DU-EXE</v>
          </cell>
          <cell r="O122" t="str">
            <v>DUPLEX REG</v>
          </cell>
          <cell r="P122">
            <v>3600000</v>
          </cell>
          <cell r="Q122"/>
          <cell r="R122">
            <v>3600000</v>
          </cell>
          <cell r="T122">
            <v>360000</v>
          </cell>
          <cell r="U122"/>
          <cell r="V122">
            <v>20000</v>
          </cell>
          <cell r="W122">
            <v>126430</v>
          </cell>
          <cell r="X122">
            <v>340000</v>
          </cell>
          <cell r="Y122">
            <v>10</v>
          </cell>
          <cell r="Z122">
            <v>34000</v>
          </cell>
          <cell r="AA122"/>
          <cell r="AB122">
            <v>0</v>
          </cell>
          <cell r="AD122">
            <v>3600000</v>
          </cell>
          <cell r="AE122">
            <v>27910.761682279484</v>
          </cell>
          <cell r="AF122">
            <v>25444.051101903304</v>
          </cell>
          <cell r="AG122"/>
          <cell r="AH122">
            <v>93035.872274264955</v>
          </cell>
          <cell r="AI122">
            <v>84813.503673011015</v>
          </cell>
        </row>
        <row r="123">
          <cell r="I123" t="str">
            <v>VAP-03-008-015</v>
          </cell>
          <cell r="J123" t="str">
            <v>TS</v>
          </cell>
          <cell r="K123" t="str">
            <v>Blk 8 &amp; Lot 15</v>
          </cell>
          <cell r="L123">
            <v>55</v>
          </cell>
          <cell r="M123">
            <v>87</v>
          </cell>
          <cell r="N123" t="str">
            <v>DU-EXE</v>
          </cell>
          <cell r="O123" t="str">
            <v>DUPLEX REG</v>
          </cell>
          <cell r="P123">
            <v>3600000</v>
          </cell>
          <cell r="Q123"/>
          <cell r="R123">
            <v>3600000</v>
          </cell>
          <cell r="T123">
            <v>360000</v>
          </cell>
          <cell r="U123"/>
          <cell r="V123">
            <v>20000</v>
          </cell>
          <cell r="W123">
            <v>126430</v>
          </cell>
          <cell r="X123">
            <v>340000</v>
          </cell>
          <cell r="Y123">
            <v>10</v>
          </cell>
          <cell r="Z123">
            <v>34000</v>
          </cell>
          <cell r="AA123"/>
          <cell r="AB123">
            <v>0</v>
          </cell>
          <cell r="AD123">
            <v>3600000</v>
          </cell>
          <cell r="AE123">
            <v>27910.761682279484</v>
          </cell>
          <cell r="AF123">
            <v>25444.051101903304</v>
          </cell>
          <cell r="AG123"/>
          <cell r="AH123">
            <v>93035.872274264955</v>
          </cell>
          <cell r="AI123">
            <v>84813.503673011015</v>
          </cell>
        </row>
        <row r="124">
          <cell r="I124" t="str">
            <v>VAP-03-008-020</v>
          </cell>
          <cell r="J124" t="str">
            <v>TS</v>
          </cell>
          <cell r="K124" t="str">
            <v>Blk 8 &amp; Lot 20</v>
          </cell>
          <cell r="L124">
            <v>55</v>
          </cell>
          <cell r="M124">
            <v>83</v>
          </cell>
          <cell r="N124" t="str">
            <v>DU-EXE</v>
          </cell>
          <cell r="O124" t="str">
            <v>DUPLEX REG</v>
          </cell>
          <cell r="P124">
            <v>3600000</v>
          </cell>
          <cell r="Q124"/>
          <cell r="R124">
            <v>3600000</v>
          </cell>
          <cell r="T124">
            <v>360000</v>
          </cell>
          <cell r="U124"/>
          <cell r="V124">
            <v>20000</v>
          </cell>
          <cell r="W124">
            <v>126430</v>
          </cell>
          <cell r="X124">
            <v>340000</v>
          </cell>
          <cell r="Y124">
            <v>10</v>
          </cell>
          <cell r="Z124">
            <v>34000</v>
          </cell>
          <cell r="AA124"/>
          <cell r="AB124">
            <v>0</v>
          </cell>
          <cell r="AD124">
            <v>3600000</v>
          </cell>
          <cell r="AE124">
            <v>27910.761682279484</v>
          </cell>
          <cell r="AF124">
            <v>25444.051101903304</v>
          </cell>
          <cell r="AG124"/>
          <cell r="AH124">
            <v>93035.872274264955</v>
          </cell>
          <cell r="AI124">
            <v>84813.503673011015</v>
          </cell>
        </row>
        <row r="125">
          <cell r="I125" t="str">
            <v>VAP-03-008-021</v>
          </cell>
          <cell r="J125" t="str">
            <v>TS</v>
          </cell>
          <cell r="K125" t="str">
            <v>Blk 8 &amp; Lot 21</v>
          </cell>
          <cell r="L125">
            <v>55</v>
          </cell>
          <cell r="M125">
            <v>82</v>
          </cell>
          <cell r="N125" t="str">
            <v>DU-EXE</v>
          </cell>
          <cell r="O125" t="str">
            <v>DUPLEX REG</v>
          </cell>
          <cell r="P125">
            <v>3600000</v>
          </cell>
          <cell r="Q125"/>
          <cell r="R125">
            <v>3600000</v>
          </cell>
          <cell r="T125">
            <v>360000</v>
          </cell>
          <cell r="U125"/>
          <cell r="V125">
            <v>20000</v>
          </cell>
          <cell r="W125">
            <v>126430</v>
          </cell>
          <cell r="X125">
            <v>340000</v>
          </cell>
          <cell r="Y125">
            <v>10</v>
          </cell>
          <cell r="Z125">
            <v>34000</v>
          </cell>
          <cell r="AA125"/>
          <cell r="AB125">
            <v>0</v>
          </cell>
          <cell r="AD125">
            <v>3600000</v>
          </cell>
          <cell r="AE125">
            <v>27910.761682279484</v>
          </cell>
          <cell r="AF125">
            <v>25444.051101903304</v>
          </cell>
          <cell r="AG125"/>
          <cell r="AH125">
            <v>93035.872274264955</v>
          </cell>
          <cell r="AI125">
            <v>84813.503673011015</v>
          </cell>
        </row>
        <row r="126">
          <cell r="I126" t="str">
            <v>VAP-03-008-022</v>
          </cell>
          <cell r="J126" t="str">
            <v>TS</v>
          </cell>
          <cell r="K126" t="str">
            <v>Blk 8 &amp; Lot 22</v>
          </cell>
          <cell r="L126">
            <v>55</v>
          </cell>
          <cell r="M126">
            <v>82</v>
          </cell>
          <cell r="N126" t="str">
            <v>DU-EXE</v>
          </cell>
          <cell r="O126" t="str">
            <v>DUPLEX REG</v>
          </cell>
          <cell r="P126">
            <v>3600000</v>
          </cell>
          <cell r="Q126"/>
          <cell r="R126">
            <v>3600000</v>
          </cell>
          <cell r="T126">
            <v>360000</v>
          </cell>
          <cell r="U126"/>
          <cell r="V126">
            <v>20000</v>
          </cell>
          <cell r="W126">
            <v>126430</v>
          </cell>
          <cell r="X126">
            <v>340000</v>
          </cell>
          <cell r="Y126">
            <v>10</v>
          </cell>
          <cell r="Z126">
            <v>34000</v>
          </cell>
          <cell r="AA126"/>
          <cell r="AB126">
            <v>0</v>
          </cell>
          <cell r="AD126">
            <v>3600000</v>
          </cell>
          <cell r="AE126">
            <v>27910.761682279484</v>
          </cell>
          <cell r="AF126">
            <v>25444.051101903304</v>
          </cell>
          <cell r="AG126"/>
          <cell r="AH126">
            <v>93035.872274264955</v>
          </cell>
          <cell r="AI126">
            <v>84813.503673011015</v>
          </cell>
        </row>
        <row r="127">
          <cell r="I127" t="str">
            <v>VAP-03-008-023</v>
          </cell>
          <cell r="J127" t="str">
            <v>TS</v>
          </cell>
          <cell r="K127" t="str">
            <v>Blk 8 &amp; Lot 23</v>
          </cell>
          <cell r="L127">
            <v>55</v>
          </cell>
          <cell r="M127">
            <v>82</v>
          </cell>
          <cell r="N127" t="str">
            <v>DU-EXE</v>
          </cell>
          <cell r="O127" t="str">
            <v>DUPLEX REG</v>
          </cell>
          <cell r="P127">
            <v>3600000</v>
          </cell>
          <cell r="Q127"/>
          <cell r="R127">
            <v>3600000</v>
          </cell>
          <cell r="T127">
            <v>360000</v>
          </cell>
          <cell r="U127"/>
          <cell r="V127">
            <v>20000</v>
          </cell>
          <cell r="W127">
            <v>126430</v>
          </cell>
          <cell r="X127">
            <v>340000</v>
          </cell>
          <cell r="Y127">
            <v>10</v>
          </cell>
          <cell r="Z127">
            <v>34000</v>
          </cell>
          <cell r="AA127"/>
          <cell r="AB127">
            <v>0</v>
          </cell>
          <cell r="AD127">
            <v>3600000</v>
          </cell>
          <cell r="AE127">
            <v>27910.761682279484</v>
          </cell>
          <cell r="AF127">
            <v>25444.051101903304</v>
          </cell>
          <cell r="AG127"/>
          <cell r="AH127">
            <v>93035.872274264955</v>
          </cell>
          <cell r="AI127">
            <v>84813.503673011015</v>
          </cell>
        </row>
        <row r="128">
          <cell r="I128" t="str">
            <v>VAP-03-008-024</v>
          </cell>
          <cell r="J128" t="str">
            <v>TS</v>
          </cell>
          <cell r="K128" t="str">
            <v>Blk 8 &amp; Lot 24</v>
          </cell>
          <cell r="L128">
            <v>55</v>
          </cell>
          <cell r="M128">
            <v>82</v>
          </cell>
          <cell r="N128" t="str">
            <v>DU-EXE</v>
          </cell>
          <cell r="O128" t="str">
            <v>DUPLEX REG</v>
          </cell>
          <cell r="P128">
            <v>3600000</v>
          </cell>
          <cell r="Q128"/>
          <cell r="R128">
            <v>3600000</v>
          </cell>
          <cell r="T128">
            <v>360000</v>
          </cell>
          <cell r="U128"/>
          <cell r="V128">
            <v>20000</v>
          </cell>
          <cell r="W128">
            <v>126430</v>
          </cell>
          <cell r="X128">
            <v>340000</v>
          </cell>
          <cell r="Y128">
            <v>10</v>
          </cell>
          <cell r="Z128">
            <v>34000</v>
          </cell>
          <cell r="AA128"/>
          <cell r="AB128">
            <v>0</v>
          </cell>
          <cell r="AD128">
            <v>3600000</v>
          </cell>
          <cell r="AE128">
            <v>27910.761682279484</v>
          </cell>
          <cell r="AF128">
            <v>25444.051101903304</v>
          </cell>
          <cell r="AG128"/>
          <cell r="AH128">
            <v>93035.872274264955</v>
          </cell>
          <cell r="AI128">
            <v>84813.503673011015</v>
          </cell>
        </row>
        <row r="129">
          <cell r="I129" t="str">
            <v>VAP-03-008-025</v>
          </cell>
          <cell r="J129" t="str">
            <v>TS</v>
          </cell>
          <cell r="K129" t="str">
            <v>Blk 8 &amp; Lot 25</v>
          </cell>
          <cell r="L129">
            <v>55</v>
          </cell>
          <cell r="M129">
            <v>87</v>
          </cell>
          <cell r="N129" t="str">
            <v>DU-EXE</v>
          </cell>
          <cell r="O129" t="str">
            <v>DUPLEX REG</v>
          </cell>
          <cell r="P129">
            <v>3600000</v>
          </cell>
          <cell r="Q129"/>
          <cell r="R129">
            <v>3600000</v>
          </cell>
          <cell r="T129">
            <v>360000</v>
          </cell>
          <cell r="U129"/>
          <cell r="V129">
            <v>20000</v>
          </cell>
          <cell r="W129">
            <v>126430</v>
          </cell>
          <cell r="X129">
            <v>340000</v>
          </cell>
          <cell r="Y129">
            <v>10</v>
          </cell>
          <cell r="Z129">
            <v>34000</v>
          </cell>
          <cell r="AA129"/>
          <cell r="AB129">
            <v>0</v>
          </cell>
          <cell r="AD129">
            <v>3600000</v>
          </cell>
          <cell r="AE129">
            <v>27910.761682279484</v>
          </cell>
          <cell r="AF129">
            <v>25444.051101903304</v>
          </cell>
          <cell r="AG129"/>
          <cell r="AH129">
            <v>93035.872274264955</v>
          </cell>
          <cell r="AI129">
            <v>84813.503673011015</v>
          </cell>
        </row>
        <row r="130">
          <cell r="I130" t="str">
            <v>VAP-03-008-026</v>
          </cell>
          <cell r="J130" t="str">
            <v>TS</v>
          </cell>
          <cell r="K130" t="str">
            <v>Blk 8 &amp; Lot 26</v>
          </cell>
          <cell r="L130">
            <v>55</v>
          </cell>
          <cell r="M130">
            <v>93</v>
          </cell>
          <cell r="N130" t="str">
            <v>DU-EXE-IRR</v>
          </cell>
          <cell r="O130" t="str">
            <v>DUPLEX 90+</v>
          </cell>
          <cell r="P130">
            <v>3600000</v>
          </cell>
          <cell r="Q130"/>
          <cell r="R130">
            <v>3600000</v>
          </cell>
          <cell r="T130">
            <v>468000</v>
          </cell>
          <cell r="U130"/>
          <cell r="V130">
            <v>20000</v>
          </cell>
          <cell r="W130">
            <v>164350</v>
          </cell>
          <cell r="X130">
            <v>448000</v>
          </cell>
          <cell r="Y130">
            <v>10</v>
          </cell>
          <cell r="Z130">
            <v>44800</v>
          </cell>
          <cell r="AA130"/>
          <cell r="AB130">
            <v>0</v>
          </cell>
          <cell r="AD130">
            <v>3600000</v>
          </cell>
          <cell r="AE130">
            <v>27910.761682279484</v>
          </cell>
          <cell r="AF130">
            <v>25444.051101903304</v>
          </cell>
          <cell r="AG130"/>
          <cell r="AH130">
            <v>93035.872274264955</v>
          </cell>
          <cell r="AI130">
            <v>84813.503673011015</v>
          </cell>
        </row>
        <row r="131">
          <cell r="I131" t="str">
            <v>VAP-03-008-027</v>
          </cell>
          <cell r="J131" t="str">
            <v>OPEN</v>
          </cell>
          <cell r="K131" t="str">
            <v>Blk 8 &amp; Lot 27</v>
          </cell>
          <cell r="L131">
            <v>55</v>
          </cell>
          <cell r="M131">
            <v>92</v>
          </cell>
          <cell r="N131" t="str">
            <v>DU-EXE-IRR</v>
          </cell>
          <cell r="O131" t="str">
            <v>DUPLEX 90+</v>
          </cell>
          <cell r="P131">
            <v>3600000</v>
          </cell>
          <cell r="Q131"/>
          <cell r="R131">
            <v>3600000</v>
          </cell>
          <cell r="T131">
            <v>468000</v>
          </cell>
          <cell r="U131"/>
          <cell r="V131">
            <v>20000</v>
          </cell>
          <cell r="W131">
            <v>164350</v>
          </cell>
          <cell r="X131">
            <v>448000</v>
          </cell>
          <cell r="Y131">
            <v>10</v>
          </cell>
          <cell r="Z131">
            <v>44800</v>
          </cell>
          <cell r="AA131"/>
          <cell r="AB131">
            <v>0</v>
          </cell>
          <cell r="AD131">
            <v>3600000</v>
          </cell>
          <cell r="AE131">
            <v>27910.761682279484</v>
          </cell>
          <cell r="AF131">
            <v>25444.051101903304</v>
          </cell>
          <cell r="AG131"/>
          <cell r="AH131">
            <v>93035.872274264955</v>
          </cell>
          <cell r="AI131">
            <v>84813.503673011015</v>
          </cell>
        </row>
        <row r="132">
          <cell r="I132" t="str">
            <v>VAP-03-008-028</v>
          </cell>
          <cell r="J132" t="str">
            <v>TS</v>
          </cell>
          <cell r="K132" t="str">
            <v>Blk 8 &amp; Lot 28</v>
          </cell>
          <cell r="L132">
            <v>55</v>
          </cell>
          <cell r="M132">
            <v>90</v>
          </cell>
          <cell r="N132" t="str">
            <v>DU-EXE-IRR</v>
          </cell>
          <cell r="O132" t="str">
            <v>DUPLEX 90+</v>
          </cell>
          <cell r="P132">
            <v>3600000</v>
          </cell>
          <cell r="Q132"/>
          <cell r="R132">
            <v>3600000</v>
          </cell>
          <cell r="T132">
            <v>468000</v>
          </cell>
          <cell r="U132"/>
          <cell r="V132">
            <v>20000</v>
          </cell>
          <cell r="W132">
            <v>164350</v>
          </cell>
          <cell r="X132">
            <v>448000</v>
          </cell>
          <cell r="Y132">
            <v>10</v>
          </cell>
          <cell r="Z132">
            <v>44800</v>
          </cell>
          <cell r="AA132"/>
          <cell r="AB132">
            <v>0</v>
          </cell>
          <cell r="AD132">
            <v>3600000</v>
          </cell>
          <cell r="AE132">
            <v>27910.761682279484</v>
          </cell>
          <cell r="AF132">
            <v>25444.051101903304</v>
          </cell>
          <cell r="AG132"/>
          <cell r="AH132">
            <v>93035.872274264955</v>
          </cell>
          <cell r="AI132">
            <v>84813.503673011015</v>
          </cell>
        </row>
        <row r="133">
          <cell r="I133" t="str">
            <v>VAP-03-008-029</v>
          </cell>
          <cell r="J133" t="str">
            <v>TS</v>
          </cell>
          <cell r="K133" t="str">
            <v>Blk 8 &amp; Lot 29</v>
          </cell>
          <cell r="L133">
            <v>55</v>
          </cell>
          <cell r="M133">
            <v>88</v>
          </cell>
          <cell r="N133" t="str">
            <v>DU-EXE</v>
          </cell>
          <cell r="O133" t="str">
            <v>DUPLEX REG</v>
          </cell>
          <cell r="P133">
            <v>3600000</v>
          </cell>
          <cell r="Q133"/>
          <cell r="R133">
            <v>3600000</v>
          </cell>
          <cell r="T133">
            <v>360000</v>
          </cell>
          <cell r="U133"/>
          <cell r="V133">
            <v>20000</v>
          </cell>
          <cell r="W133">
            <v>126430</v>
          </cell>
          <cell r="X133">
            <v>340000</v>
          </cell>
          <cell r="Y133">
            <v>10</v>
          </cell>
          <cell r="Z133">
            <v>34000</v>
          </cell>
          <cell r="AA133"/>
          <cell r="AB133">
            <v>0</v>
          </cell>
          <cell r="AD133">
            <v>3600000</v>
          </cell>
          <cell r="AE133">
            <v>27910.761682279484</v>
          </cell>
          <cell r="AF133">
            <v>25444.051101903304</v>
          </cell>
          <cell r="AG133"/>
          <cell r="AH133">
            <v>93035.872274264955</v>
          </cell>
          <cell r="AI133">
            <v>84813.503673011015</v>
          </cell>
        </row>
        <row r="134">
          <cell r="I134" t="str">
            <v>VAP-03-008-030</v>
          </cell>
          <cell r="J134" t="str">
            <v>TS</v>
          </cell>
          <cell r="K134" t="str">
            <v>Blk 8 &amp; Lot 30</v>
          </cell>
          <cell r="L134">
            <v>55</v>
          </cell>
          <cell r="M134">
            <v>86</v>
          </cell>
          <cell r="N134" t="str">
            <v>DU-EXE</v>
          </cell>
          <cell r="O134" t="str">
            <v>DUPLEX REG</v>
          </cell>
          <cell r="P134">
            <v>3600000</v>
          </cell>
          <cell r="Q134"/>
          <cell r="R134">
            <v>3600000</v>
          </cell>
          <cell r="T134">
            <v>360000</v>
          </cell>
          <cell r="U134"/>
          <cell r="V134">
            <v>20000</v>
          </cell>
          <cell r="W134">
            <v>126430</v>
          </cell>
          <cell r="X134">
            <v>340000</v>
          </cell>
          <cell r="Y134">
            <v>10</v>
          </cell>
          <cell r="Z134">
            <v>34000</v>
          </cell>
          <cell r="AA134"/>
          <cell r="AB134">
            <v>0</v>
          </cell>
          <cell r="AD134">
            <v>3600000</v>
          </cell>
          <cell r="AE134">
            <v>27910.761682279484</v>
          </cell>
          <cell r="AF134">
            <v>25444.051101903304</v>
          </cell>
          <cell r="AG134"/>
          <cell r="AH134">
            <v>93035.872274264955</v>
          </cell>
          <cell r="AI134">
            <v>84813.503673011015</v>
          </cell>
        </row>
        <row r="135">
          <cell r="I135" t="str">
            <v>VAP-03-008-031</v>
          </cell>
          <cell r="J135" t="str">
            <v>TS</v>
          </cell>
          <cell r="K135" t="str">
            <v>Blk 8 &amp; Lot 31</v>
          </cell>
          <cell r="L135">
            <v>55</v>
          </cell>
          <cell r="M135">
            <v>84</v>
          </cell>
          <cell r="N135" t="str">
            <v>DU-EXE</v>
          </cell>
          <cell r="O135" t="str">
            <v>DUPLEX REG</v>
          </cell>
          <cell r="P135">
            <v>3600000</v>
          </cell>
          <cell r="Q135"/>
          <cell r="R135">
            <v>3600000</v>
          </cell>
          <cell r="T135">
            <v>360000</v>
          </cell>
          <cell r="U135"/>
          <cell r="V135">
            <v>20000</v>
          </cell>
          <cell r="W135">
            <v>126430</v>
          </cell>
          <cell r="X135">
            <v>340000</v>
          </cell>
          <cell r="Y135">
            <v>10</v>
          </cell>
          <cell r="Z135">
            <v>34000</v>
          </cell>
          <cell r="AA135"/>
          <cell r="AB135">
            <v>0</v>
          </cell>
          <cell r="AD135">
            <v>3600000</v>
          </cell>
          <cell r="AE135">
            <v>27910.761682279484</v>
          </cell>
          <cell r="AF135">
            <v>25444.051101903304</v>
          </cell>
          <cell r="AG135"/>
          <cell r="AH135">
            <v>93035.872274264955</v>
          </cell>
          <cell r="AI135">
            <v>84813.503673011015</v>
          </cell>
        </row>
        <row r="136">
          <cell r="I136" t="str">
            <v>VAP-03-009-019</v>
          </cell>
          <cell r="J136" t="str">
            <v>OPEN</v>
          </cell>
          <cell r="K136" t="str">
            <v>Blk 9 &amp; Lot 19</v>
          </cell>
          <cell r="L136">
            <v>55</v>
          </cell>
          <cell r="M136">
            <v>95</v>
          </cell>
          <cell r="N136" t="str">
            <v>DU-EXE-IRR</v>
          </cell>
          <cell r="O136" t="str">
            <v>DUPLEX 90+</v>
          </cell>
          <cell r="P136">
            <v>3600000</v>
          </cell>
          <cell r="Q136"/>
          <cell r="R136">
            <v>3600000</v>
          </cell>
          <cell r="T136">
            <v>468000</v>
          </cell>
          <cell r="U136"/>
          <cell r="V136">
            <v>20000</v>
          </cell>
          <cell r="W136">
            <v>164350</v>
          </cell>
          <cell r="X136">
            <v>448000</v>
          </cell>
          <cell r="Y136">
            <v>10</v>
          </cell>
          <cell r="Z136">
            <v>44800</v>
          </cell>
          <cell r="AA136"/>
          <cell r="AB136">
            <v>0</v>
          </cell>
          <cell r="AD136">
            <v>3600000</v>
          </cell>
          <cell r="AE136">
            <v>27910.761682279484</v>
          </cell>
          <cell r="AF136">
            <v>25444.051101903304</v>
          </cell>
          <cell r="AG136"/>
          <cell r="AH136">
            <v>93035.872274264955</v>
          </cell>
          <cell r="AI136">
            <v>84813.503673011015</v>
          </cell>
        </row>
        <row r="137">
          <cell r="I137" t="str">
            <v>VAP-03-009-020</v>
          </cell>
          <cell r="J137" t="str">
            <v>OPEN</v>
          </cell>
          <cell r="K137" t="str">
            <v>Blk 9 &amp; Lot 20</v>
          </cell>
          <cell r="L137">
            <v>55</v>
          </cell>
          <cell r="M137">
            <v>94</v>
          </cell>
          <cell r="N137" t="str">
            <v>DU-EXE-IRR</v>
          </cell>
          <cell r="O137" t="str">
            <v>DUPLEX 90+</v>
          </cell>
          <cell r="P137">
            <v>3600000</v>
          </cell>
          <cell r="Q137"/>
          <cell r="R137">
            <v>3600000</v>
          </cell>
          <cell r="T137">
            <v>468000</v>
          </cell>
          <cell r="U137"/>
          <cell r="V137">
            <v>20000</v>
          </cell>
          <cell r="W137">
            <v>164350</v>
          </cell>
          <cell r="X137">
            <v>448000</v>
          </cell>
          <cell r="Y137">
            <v>10</v>
          </cell>
          <cell r="Z137">
            <v>44800</v>
          </cell>
          <cell r="AA137"/>
          <cell r="AB137">
            <v>0</v>
          </cell>
          <cell r="AD137">
            <v>3600000</v>
          </cell>
          <cell r="AE137">
            <v>27910.761682279484</v>
          </cell>
          <cell r="AF137">
            <v>25444.051101903304</v>
          </cell>
          <cell r="AG137"/>
          <cell r="AH137">
            <v>93035.872274264955</v>
          </cell>
          <cell r="AI137">
            <v>84813.503673011015</v>
          </cell>
        </row>
        <row r="138">
          <cell r="I138" t="str">
            <v>VAP-03-005-007</v>
          </cell>
          <cell r="J138" t="str">
            <v>CLOSED</v>
          </cell>
          <cell r="K138" t="str">
            <v>Blk 5 &amp; Lot 7</v>
          </cell>
          <cell r="L138">
            <v>55</v>
          </cell>
          <cell r="M138">
            <v>80</v>
          </cell>
          <cell r="N138" t="str">
            <v>DU-EXE</v>
          </cell>
          <cell r="O138" t="str">
            <v>DUPLEX REG</v>
          </cell>
          <cell r="P138">
            <v>3600000</v>
          </cell>
          <cell r="Q138"/>
          <cell r="R138">
            <v>3600000</v>
          </cell>
          <cell r="T138">
            <v>360000</v>
          </cell>
          <cell r="U138"/>
          <cell r="V138">
            <v>20000</v>
          </cell>
          <cell r="W138">
            <v>126430</v>
          </cell>
          <cell r="X138">
            <v>340000</v>
          </cell>
          <cell r="Y138">
            <v>10</v>
          </cell>
          <cell r="Z138">
            <v>34000</v>
          </cell>
          <cell r="AA138"/>
          <cell r="AB138">
            <v>0</v>
          </cell>
          <cell r="AD138">
            <v>3600000</v>
          </cell>
          <cell r="AE138">
            <v>27910.761682279484</v>
          </cell>
          <cell r="AF138">
            <v>25444.051101903304</v>
          </cell>
          <cell r="AG138"/>
          <cell r="AH138">
            <v>93035.872274264955</v>
          </cell>
          <cell r="AI138">
            <v>84813.503673011015</v>
          </cell>
        </row>
        <row r="139">
          <cell r="I139" t="str">
            <v>VAP-03-005-008</v>
          </cell>
          <cell r="J139" t="str">
            <v>CLOSED</v>
          </cell>
          <cell r="K139" t="str">
            <v>Blk 5 &amp; Lot 8</v>
          </cell>
          <cell r="L139">
            <v>55</v>
          </cell>
          <cell r="M139">
            <v>80</v>
          </cell>
          <cell r="N139" t="str">
            <v>DU-EXE</v>
          </cell>
          <cell r="O139" t="str">
            <v>DUPLEX REG</v>
          </cell>
          <cell r="P139">
            <v>3600000</v>
          </cell>
          <cell r="Q139"/>
          <cell r="R139">
            <v>3600000</v>
          </cell>
          <cell r="T139">
            <v>360000</v>
          </cell>
          <cell r="U139"/>
          <cell r="V139">
            <v>20000</v>
          </cell>
          <cell r="W139">
            <v>126430</v>
          </cell>
          <cell r="X139">
            <v>340000</v>
          </cell>
          <cell r="Y139">
            <v>10</v>
          </cell>
          <cell r="Z139">
            <v>34000</v>
          </cell>
          <cell r="AA139"/>
          <cell r="AB139">
            <v>0</v>
          </cell>
          <cell r="AD139">
            <v>3600000</v>
          </cell>
          <cell r="AE139">
            <v>27910.761682279484</v>
          </cell>
          <cell r="AF139">
            <v>25444.051101903304</v>
          </cell>
          <cell r="AG139"/>
          <cell r="AH139">
            <v>93035.872274264955</v>
          </cell>
          <cell r="AI139">
            <v>84813.503673011015</v>
          </cell>
        </row>
        <row r="140">
          <cell r="I140" t="str">
            <v>VAP-03-005-009</v>
          </cell>
          <cell r="J140" t="str">
            <v>CLOSED</v>
          </cell>
          <cell r="K140" t="str">
            <v>Blk 5 &amp; Lot 9</v>
          </cell>
          <cell r="L140">
            <v>55</v>
          </cell>
          <cell r="M140">
            <v>80</v>
          </cell>
          <cell r="N140" t="str">
            <v>DU-EXE</v>
          </cell>
          <cell r="O140" t="str">
            <v>DUPLEX REG</v>
          </cell>
          <cell r="P140">
            <v>3600000</v>
          </cell>
          <cell r="Q140"/>
          <cell r="R140">
            <v>3600000</v>
          </cell>
          <cell r="T140">
            <v>360000</v>
          </cell>
          <cell r="U140"/>
          <cell r="V140">
            <v>20000</v>
          </cell>
          <cell r="W140">
            <v>126430</v>
          </cell>
          <cell r="X140">
            <v>340000</v>
          </cell>
          <cell r="Y140">
            <v>10</v>
          </cell>
          <cell r="Z140">
            <v>34000</v>
          </cell>
          <cell r="AA140"/>
          <cell r="AB140">
            <v>0</v>
          </cell>
          <cell r="AD140">
            <v>3600000</v>
          </cell>
          <cell r="AE140">
            <v>27910.761682279484</v>
          </cell>
          <cell r="AF140">
            <v>25444.051101903304</v>
          </cell>
          <cell r="AG140"/>
          <cell r="AH140">
            <v>93035.872274264955</v>
          </cell>
          <cell r="AI140">
            <v>84813.503673011015</v>
          </cell>
        </row>
        <row r="141">
          <cell r="I141" t="str">
            <v>VAP-03-005-010</v>
          </cell>
          <cell r="J141" t="str">
            <v>CLOSED</v>
          </cell>
          <cell r="K141" t="str">
            <v>Blk 5 &amp; Lot 10</v>
          </cell>
          <cell r="L141">
            <v>55</v>
          </cell>
          <cell r="M141">
            <v>80</v>
          </cell>
          <cell r="N141" t="str">
            <v>DU-EXE</v>
          </cell>
          <cell r="O141" t="str">
            <v>DUPLEX REG</v>
          </cell>
          <cell r="P141">
            <v>3600000</v>
          </cell>
          <cell r="Q141"/>
          <cell r="R141">
            <v>3600000</v>
          </cell>
          <cell r="T141">
            <v>360000</v>
          </cell>
          <cell r="U141"/>
          <cell r="V141">
            <v>20000</v>
          </cell>
          <cell r="W141">
            <v>126430</v>
          </cell>
          <cell r="X141">
            <v>340000</v>
          </cell>
          <cell r="Y141">
            <v>10</v>
          </cell>
          <cell r="Z141">
            <v>34000</v>
          </cell>
          <cell r="AA141"/>
          <cell r="AB141">
            <v>0</v>
          </cell>
          <cell r="AD141">
            <v>3600000</v>
          </cell>
          <cell r="AE141">
            <v>27910.761682279484</v>
          </cell>
          <cell r="AF141">
            <v>25444.051101903304</v>
          </cell>
          <cell r="AG141"/>
          <cell r="AH141">
            <v>93035.872274264955</v>
          </cell>
          <cell r="AI141">
            <v>84813.503673011015</v>
          </cell>
        </row>
        <row r="142">
          <cell r="I142" t="str">
            <v>VAP-03-005-011</v>
          </cell>
          <cell r="J142" t="str">
            <v>OPEN</v>
          </cell>
          <cell r="K142" t="str">
            <v>Blk 5 &amp; Lot 11</v>
          </cell>
          <cell r="L142">
            <v>55</v>
          </cell>
          <cell r="M142">
            <v>80</v>
          </cell>
          <cell r="N142" t="str">
            <v>DU-EXE</v>
          </cell>
          <cell r="O142" t="str">
            <v>DUPLEX REG</v>
          </cell>
          <cell r="P142">
            <v>3600000</v>
          </cell>
          <cell r="Q142"/>
          <cell r="R142">
            <v>3600000</v>
          </cell>
          <cell r="T142">
            <v>360000</v>
          </cell>
          <cell r="U142"/>
          <cell r="V142">
            <v>20000</v>
          </cell>
          <cell r="W142">
            <v>126430</v>
          </cell>
          <cell r="X142">
            <v>340000</v>
          </cell>
          <cell r="Y142">
            <v>10</v>
          </cell>
          <cell r="Z142">
            <v>34000</v>
          </cell>
          <cell r="AA142"/>
          <cell r="AB142">
            <v>0</v>
          </cell>
          <cell r="AD142">
            <v>3600000</v>
          </cell>
          <cell r="AE142">
            <v>27910.761682279484</v>
          </cell>
          <cell r="AF142">
            <v>25444.051101903304</v>
          </cell>
          <cell r="AG142"/>
          <cell r="AH142">
            <v>93035.872274264955</v>
          </cell>
          <cell r="AI142">
            <v>84813.503673011015</v>
          </cell>
        </row>
        <row r="143">
          <cell r="I143" t="str">
            <v>VAP-03-005-013</v>
          </cell>
          <cell r="J143" t="str">
            <v>CLOSED</v>
          </cell>
          <cell r="K143" t="str">
            <v>Blk 5 &amp; Lot 13</v>
          </cell>
          <cell r="L143">
            <v>55</v>
          </cell>
          <cell r="M143">
            <v>80</v>
          </cell>
          <cell r="N143" t="str">
            <v>DU-EXE</v>
          </cell>
          <cell r="O143" t="str">
            <v>DUPLEX REG</v>
          </cell>
          <cell r="P143">
            <v>3600000</v>
          </cell>
          <cell r="Q143"/>
          <cell r="R143">
            <v>3600000</v>
          </cell>
          <cell r="T143">
            <v>360000</v>
          </cell>
          <cell r="U143"/>
          <cell r="V143">
            <v>20000</v>
          </cell>
          <cell r="W143">
            <v>126430</v>
          </cell>
          <cell r="X143">
            <v>340000</v>
          </cell>
          <cell r="Y143">
            <v>10</v>
          </cell>
          <cell r="Z143">
            <v>34000</v>
          </cell>
          <cell r="AA143"/>
          <cell r="AB143">
            <v>0</v>
          </cell>
          <cell r="AD143">
            <v>3600000</v>
          </cell>
          <cell r="AE143">
            <v>27910.761682279484</v>
          </cell>
          <cell r="AF143">
            <v>25444.051101903304</v>
          </cell>
          <cell r="AG143"/>
          <cell r="AH143">
            <v>93035.872274264955</v>
          </cell>
          <cell r="AI143">
            <v>84813.503673011015</v>
          </cell>
        </row>
        <row r="144">
          <cell r="I144" t="str">
            <v>VAP-03-005-014</v>
          </cell>
          <cell r="J144" t="str">
            <v>CLOSED</v>
          </cell>
          <cell r="K144" t="str">
            <v>Blk 5 &amp; Lot 14</v>
          </cell>
          <cell r="L144">
            <v>55</v>
          </cell>
          <cell r="M144">
            <v>80</v>
          </cell>
          <cell r="N144" t="str">
            <v>DU-EXE</v>
          </cell>
          <cell r="O144" t="str">
            <v>DUPLEX REG</v>
          </cell>
          <cell r="P144">
            <v>3600000</v>
          </cell>
          <cell r="Q144"/>
          <cell r="R144">
            <v>3600000</v>
          </cell>
          <cell r="T144">
            <v>360000</v>
          </cell>
          <cell r="U144"/>
          <cell r="V144">
            <v>20000</v>
          </cell>
          <cell r="W144">
            <v>126430</v>
          </cell>
          <cell r="X144">
            <v>340000</v>
          </cell>
          <cell r="Y144">
            <v>10</v>
          </cell>
          <cell r="Z144">
            <v>34000</v>
          </cell>
          <cell r="AA144"/>
          <cell r="AB144">
            <v>0</v>
          </cell>
          <cell r="AD144">
            <v>3600000</v>
          </cell>
          <cell r="AE144">
            <v>27910.761682279484</v>
          </cell>
          <cell r="AF144">
            <v>25444.051101903304</v>
          </cell>
          <cell r="AG144"/>
          <cell r="AH144">
            <v>93035.872274264955</v>
          </cell>
          <cell r="AI144">
            <v>84813.503673011015</v>
          </cell>
        </row>
        <row r="145">
          <cell r="I145" t="str">
            <v>VAP-03-005-015</v>
          </cell>
          <cell r="J145" t="str">
            <v>CLOSED</v>
          </cell>
          <cell r="K145" t="str">
            <v>Blk 5 &amp; Lot 15</v>
          </cell>
          <cell r="L145">
            <v>55</v>
          </cell>
          <cell r="M145">
            <v>80</v>
          </cell>
          <cell r="N145" t="str">
            <v>DU-EXE</v>
          </cell>
          <cell r="O145" t="str">
            <v>DUPLEX REG</v>
          </cell>
          <cell r="P145">
            <v>3600000</v>
          </cell>
          <cell r="Q145"/>
          <cell r="R145">
            <v>3600000</v>
          </cell>
          <cell r="T145">
            <v>360000</v>
          </cell>
          <cell r="U145"/>
          <cell r="V145">
            <v>20000</v>
          </cell>
          <cell r="W145">
            <v>126430</v>
          </cell>
          <cell r="X145">
            <v>340000</v>
          </cell>
          <cell r="Y145">
            <v>10</v>
          </cell>
          <cell r="Z145">
            <v>34000</v>
          </cell>
          <cell r="AA145"/>
          <cell r="AB145">
            <v>0</v>
          </cell>
          <cell r="AD145">
            <v>3600000</v>
          </cell>
          <cell r="AE145">
            <v>27910.761682279484</v>
          </cell>
          <cell r="AF145">
            <v>25444.051101903304</v>
          </cell>
          <cell r="AG145"/>
          <cell r="AH145">
            <v>93035.872274264955</v>
          </cell>
          <cell r="AI145">
            <v>84813.503673011015</v>
          </cell>
        </row>
        <row r="146">
          <cell r="I146" t="str">
            <v>VAP-03-005-016</v>
          </cell>
          <cell r="J146" t="str">
            <v>CLOSED</v>
          </cell>
          <cell r="K146" t="str">
            <v>Blk 5 &amp; Lot 16</v>
          </cell>
          <cell r="L146">
            <v>55</v>
          </cell>
          <cell r="M146">
            <v>80</v>
          </cell>
          <cell r="N146" t="str">
            <v>DU-EXE</v>
          </cell>
          <cell r="O146" t="str">
            <v>DUPLEX REG</v>
          </cell>
          <cell r="P146">
            <v>3600000</v>
          </cell>
          <cell r="Q146"/>
          <cell r="R146">
            <v>3600000</v>
          </cell>
          <cell r="T146">
            <v>360000</v>
          </cell>
          <cell r="U146"/>
          <cell r="V146">
            <v>20000</v>
          </cell>
          <cell r="W146">
            <v>126430</v>
          </cell>
          <cell r="X146">
            <v>340000</v>
          </cell>
          <cell r="Y146">
            <v>10</v>
          </cell>
          <cell r="Z146">
            <v>34000</v>
          </cell>
          <cell r="AA146"/>
          <cell r="AB146">
            <v>0</v>
          </cell>
          <cell r="AD146">
            <v>3600000</v>
          </cell>
          <cell r="AE146">
            <v>27910.761682279484</v>
          </cell>
          <cell r="AF146">
            <v>25444.051101903304</v>
          </cell>
          <cell r="AG146"/>
          <cell r="AH146">
            <v>93035.872274264955</v>
          </cell>
          <cell r="AI146">
            <v>84813.503673011015</v>
          </cell>
        </row>
        <row r="147">
          <cell r="I147" t="str">
            <v>VAP-03-005-033</v>
          </cell>
          <cell r="J147" t="str">
            <v>CLOSED</v>
          </cell>
          <cell r="K147" t="str">
            <v>Blk 5 &amp; Lot 33</v>
          </cell>
          <cell r="L147">
            <v>55</v>
          </cell>
          <cell r="M147">
            <v>80</v>
          </cell>
          <cell r="N147" t="str">
            <v>DU-EXE</v>
          </cell>
          <cell r="O147" t="str">
            <v>DUPLEX REG</v>
          </cell>
          <cell r="P147">
            <v>3600000</v>
          </cell>
          <cell r="Q147"/>
          <cell r="R147">
            <v>3600000</v>
          </cell>
          <cell r="T147">
            <v>360000</v>
          </cell>
          <cell r="U147"/>
          <cell r="V147">
            <v>20000</v>
          </cell>
          <cell r="W147">
            <v>126430</v>
          </cell>
          <cell r="X147">
            <v>340000</v>
          </cell>
          <cell r="Y147">
            <v>10</v>
          </cell>
          <cell r="Z147">
            <v>34000</v>
          </cell>
          <cell r="AA147"/>
          <cell r="AB147">
            <v>0</v>
          </cell>
          <cell r="AD147">
            <v>3600000</v>
          </cell>
          <cell r="AE147">
            <v>27910.761682279484</v>
          </cell>
          <cell r="AF147">
            <v>25444.051101903304</v>
          </cell>
          <cell r="AG147"/>
          <cell r="AH147">
            <v>93035.872274264955</v>
          </cell>
          <cell r="AI147">
            <v>84813.503673011015</v>
          </cell>
        </row>
        <row r="148">
          <cell r="I148" t="str">
            <v>VAP-03-005-034</v>
          </cell>
          <cell r="J148" t="str">
            <v>CLOSED</v>
          </cell>
          <cell r="K148" t="str">
            <v>Blk 5 &amp; Lot 34</v>
          </cell>
          <cell r="L148">
            <v>55</v>
          </cell>
          <cell r="M148">
            <v>80</v>
          </cell>
          <cell r="N148" t="str">
            <v>DU-EXE</v>
          </cell>
          <cell r="O148" t="str">
            <v>DUPLEX REG</v>
          </cell>
          <cell r="P148">
            <v>3600000</v>
          </cell>
          <cell r="Q148"/>
          <cell r="R148">
            <v>3600000</v>
          </cell>
          <cell r="T148">
            <v>360000</v>
          </cell>
          <cell r="U148"/>
          <cell r="V148">
            <v>20000</v>
          </cell>
          <cell r="W148">
            <v>126430</v>
          </cell>
          <cell r="X148">
            <v>340000</v>
          </cell>
          <cell r="Y148">
            <v>10</v>
          </cell>
          <cell r="Z148">
            <v>34000</v>
          </cell>
          <cell r="AA148"/>
          <cell r="AB148">
            <v>0</v>
          </cell>
          <cell r="AD148">
            <v>3600000</v>
          </cell>
          <cell r="AE148">
            <v>27910.761682279484</v>
          </cell>
          <cell r="AF148">
            <v>25444.051101903304</v>
          </cell>
          <cell r="AG148"/>
          <cell r="AH148">
            <v>93035.872274264955</v>
          </cell>
          <cell r="AI148">
            <v>84813.503673011015</v>
          </cell>
        </row>
        <row r="149">
          <cell r="I149" t="str">
            <v>VAP-03-005-039</v>
          </cell>
          <cell r="J149" t="str">
            <v>CLOSED</v>
          </cell>
          <cell r="K149" t="str">
            <v>Blk 5 &amp; Lot 39</v>
          </cell>
          <cell r="L149">
            <v>55</v>
          </cell>
          <cell r="M149">
            <v>80</v>
          </cell>
          <cell r="N149" t="str">
            <v>DU-EXE</v>
          </cell>
          <cell r="O149" t="str">
            <v>DUPLEX REG</v>
          </cell>
          <cell r="P149">
            <v>3600000</v>
          </cell>
          <cell r="Q149"/>
          <cell r="R149">
            <v>3600000</v>
          </cell>
          <cell r="T149">
            <v>360000</v>
          </cell>
          <cell r="U149"/>
          <cell r="V149">
            <v>20000</v>
          </cell>
          <cell r="W149">
            <v>126430</v>
          </cell>
          <cell r="X149">
            <v>340000</v>
          </cell>
          <cell r="Y149">
            <v>10</v>
          </cell>
          <cell r="Z149">
            <v>34000</v>
          </cell>
          <cell r="AA149"/>
          <cell r="AB149">
            <v>0</v>
          </cell>
          <cell r="AD149">
            <v>3600000</v>
          </cell>
          <cell r="AE149">
            <v>27910.761682279484</v>
          </cell>
          <cell r="AF149">
            <v>25444.051101903304</v>
          </cell>
          <cell r="AG149"/>
          <cell r="AH149">
            <v>93035.872274264955</v>
          </cell>
          <cell r="AI149">
            <v>84813.503673011015</v>
          </cell>
        </row>
        <row r="150">
          <cell r="I150" t="str">
            <v>VAP-03-005-040</v>
          </cell>
          <cell r="J150" t="str">
            <v>CLOSED</v>
          </cell>
          <cell r="K150" t="str">
            <v>Blk 5 &amp; Lot 40</v>
          </cell>
          <cell r="L150">
            <v>55</v>
          </cell>
          <cell r="M150">
            <v>80</v>
          </cell>
          <cell r="N150" t="str">
            <v>DU-EXE</v>
          </cell>
          <cell r="O150" t="str">
            <v>DUPLEX REG</v>
          </cell>
          <cell r="P150">
            <v>3600000</v>
          </cell>
          <cell r="Q150"/>
          <cell r="R150">
            <v>3600000</v>
          </cell>
          <cell r="T150">
            <v>360000</v>
          </cell>
          <cell r="U150"/>
          <cell r="V150">
            <v>20000</v>
          </cell>
          <cell r="W150">
            <v>126430</v>
          </cell>
          <cell r="X150">
            <v>340000</v>
          </cell>
          <cell r="Y150">
            <v>10</v>
          </cell>
          <cell r="Z150">
            <v>34000</v>
          </cell>
          <cell r="AA150"/>
          <cell r="AB150">
            <v>0</v>
          </cell>
          <cell r="AD150">
            <v>3600000</v>
          </cell>
          <cell r="AE150">
            <v>27910.761682279484</v>
          </cell>
          <cell r="AF150">
            <v>25444.051101903304</v>
          </cell>
          <cell r="AG150"/>
          <cell r="AH150">
            <v>93035.872274264955</v>
          </cell>
          <cell r="AI150">
            <v>84813.503673011015</v>
          </cell>
        </row>
        <row r="151">
          <cell r="I151" t="str">
            <v>VAP-03-005-041</v>
          </cell>
          <cell r="J151" t="str">
            <v>CLOSED</v>
          </cell>
          <cell r="K151" t="str">
            <v>Blk 5 &amp; Lot 41</v>
          </cell>
          <cell r="L151">
            <v>55</v>
          </cell>
          <cell r="M151">
            <v>80</v>
          </cell>
          <cell r="N151" t="str">
            <v>DU-EXE</v>
          </cell>
          <cell r="O151" t="str">
            <v>DUPLEX REG</v>
          </cell>
          <cell r="P151">
            <v>3600000</v>
          </cell>
          <cell r="Q151"/>
          <cell r="R151">
            <v>3600000</v>
          </cell>
          <cell r="T151">
            <v>360000</v>
          </cell>
          <cell r="U151"/>
          <cell r="V151">
            <v>20000</v>
          </cell>
          <cell r="W151">
            <v>126430</v>
          </cell>
          <cell r="X151">
            <v>340000</v>
          </cell>
          <cell r="Y151">
            <v>10</v>
          </cell>
          <cell r="Z151">
            <v>34000</v>
          </cell>
          <cell r="AA151"/>
          <cell r="AB151">
            <v>0</v>
          </cell>
          <cell r="AD151">
            <v>3600000</v>
          </cell>
          <cell r="AE151">
            <v>27910.761682279484</v>
          </cell>
          <cell r="AF151">
            <v>25444.051101903304</v>
          </cell>
          <cell r="AG151"/>
          <cell r="AH151">
            <v>93035.872274264955</v>
          </cell>
          <cell r="AI151">
            <v>84813.503673011015</v>
          </cell>
        </row>
        <row r="152">
          <cell r="I152" t="str">
            <v>VAP-03-005-042</v>
          </cell>
          <cell r="J152" t="str">
            <v>CLOSED</v>
          </cell>
          <cell r="K152" t="str">
            <v>Blk 5 &amp; Lot 42</v>
          </cell>
          <cell r="L152">
            <v>55</v>
          </cell>
          <cell r="M152">
            <v>90</v>
          </cell>
          <cell r="N152" t="str">
            <v>DU-EXE-IRR</v>
          </cell>
          <cell r="O152" t="str">
            <v>DUPLEX 90+</v>
          </cell>
          <cell r="P152">
            <v>3600000</v>
          </cell>
          <cell r="Q152"/>
          <cell r="R152">
            <v>3600000</v>
          </cell>
          <cell r="T152">
            <v>468000</v>
          </cell>
          <cell r="U152"/>
          <cell r="V152">
            <v>20000</v>
          </cell>
          <cell r="W152">
            <v>164350</v>
          </cell>
          <cell r="X152">
            <v>448000</v>
          </cell>
          <cell r="Y152">
            <v>10</v>
          </cell>
          <cell r="Z152">
            <v>44800</v>
          </cell>
          <cell r="AA152"/>
          <cell r="AB152">
            <v>0</v>
          </cell>
          <cell r="AD152">
            <v>3600000</v>
          </cell>
          <cell r="AE152">
            <v>27910.761682279484</v>
          </cell>
          <cell r="AF152">
            <v>25444.051101903304</v>
          </cell>
          <cell r="AG152"/>
          <cell r="AH152">
            <v>93035.872274264955</v>
          </cell>
          <cell r="AI152">
            <v>84813.503673011015</v>
          </cell>
        </row>
        <row r="153">
          <cell r="I153" t="str">
            <v>VAP-03-005-012</v>
          </cell>
          <cell r="J153" t="str">
            <v>TS</v>
          </cell>
          <cell r="K153" t="str">
            <v>Blk 5 &amp; Lot 12</v>
          </cell>
          <cell r="L153">
            <v>55</v>
          </cell>
          <cell r="M153">
            <v>80</v>
          </cell>
          <cell r="N153" t="str">
            <v>DU-EXE</v>
          </cell>
          <cell r="O153" t="str">
            <v>DUPLEX REG</v>
          </cell>
          <cell r="P153">
            <v>3600000</v>
          </cell>
          <cell r="Q153"/>
          <cell r="R153">
            <v>3600000</v>
          </cell>
          <cell r="T153">
            <v>360000</v>
          </cell>
          <cell r="U153"/>
          <cell r="V153">
            <v>20000</v>
          </cell>
          <cell r="W153">
            <v>126430</v>
          </cell>
          <cell r="X153">
            <v>340000</v>
          </cell>
          <cell r="Y153">
            <v>10</v>
          </cell>
          <cell r="Z153">
            <v>34000</v>
          </cell>
          <cell r="AA153"/>
          <cell r="AB153">
            <v>0</v>
          </cell>
          <cell r="AD153">
            <v>3600000</v>
          </cell>
          <cell r="AE153">
            <v>27910.761682279484</v>
          </cell>
          <cell r="AF153">
            <v>25444.051101903304</v>
          </cell>
          <cell r="AG153"/>
          <cell r="AH153">
            <v>93035.872274264955</v>
          </cell>
          <cell r="AI153">
            <v>84813.503673011015</v>
          </cell>
        </row>
        <row r="154">
          <cell r="I154" t="str">
            <v>VAP-03-005-017</v>
          </cell>
          <cell r="J154" t="str">
            <v>CLOSED</v>
          </cell>
          <cell r="K154" t="str">
            <v>Blk 5 &amp; Lot 17</v>
          </cell>
          <cell r="L154">
            <v>55</v>
          </cell>
          <cell r="M154">
            <v>80</v>
          </cell>
          <cell r="N154" t="str">
            <v>DU-EXE</v>
          </cell>
          <cell r="O154" t="str">
            <v>DUPLEX REG</v>
          </cell>
          <cell r="P154">
            <v>3600000</v>
          </cell>
          <cell r="Q154"/>
          <cell r="R154">
            <v>3600000</v>
          </cell>
          <cell r="T154">
            <v>360000</v>
          </cell>
          <cell r="U154"/>
          <cell r="V154">
            <v>20000</v>
          </cell>
          <cell r="W154">
            <v>126430</v>
          </cell>
          <cell r="X154">
            <v>340000</v>
          </cell>
          <cell r="Y154">
            <v>10</v>
          </cell>
          <cell r="Z154">
            <v>34000</v>
          </cell>
          <cell r="AA154"/>
          <cell r="AB154">
            <v>0</v>
          </cell>
          <cell r="AD154">
            <v>3600000</v>
          </cell>
          <cell r="AE154">
            <v>27910.761682279484</v>
          </cell>
          <cell r="AF154">
            <v>25444.051101903304</v>
          </cell>
          <cell r="AG154"/>
          <cell r="AH154">
            <v>93035.872274264955</v>
          </cell>
          <cell r="AI154">
            <v>84813.503673011015</v>
          </cell>
        </row>
        <row r="155">
          <cell r="I155" t="str">
            <v>VAP-03-005-018</v>
          </cell>
          <cell r="J155" t="str">
            <v>CLOSED</v>
          </cell>
          <cell r="K155" t="str">
            <v>Blk 5 &amp; Lot 18</v>
          </cell>
          <cell r="L155">
            <v>55</v>
          </cell>
          <cell r="M155">
            <v>80</v>
          </cell>
          <cell r="N155" t="str">
            <v>DU-EXE</v>
          </cell>
          <cell r="O155" t="str">
            <v>DUPLEX REG</v>
          </cell>
          <cell r="P155">
            <v>3600000</v>
          </cell>
          <cell r="Q155"/>
          <cell r="R155">
            <v>3600000</v>
          </cell>
          <cell r="T155">
            <v>360000</v>
          </cell>
          <cell r="U155"/>
          <cell r="V155">
            <v>20000</v>
          </cell>
          <cell r="W155">
            <v>126430</v>
          </cell>
          <cell r="X155">
            <v>340000</v>
          </cell>
          <cell r="Y155">
            <v>10</v>
          </cell>
          <cell r="Z155">
            <v>34000</v>
          </cell>
          <cell r="AA155"/>
          <cell r="AB155">
            <v>0</v>
          </cell>
          <cell r="AD155">
            <v>3600000</v>
          </cell>
          <cell r="AE155">
            <v>27910.761682279484</v>
          </cell>
          <cell r="AF155">
            <v>25444.051101903304</v>
          </cell>
          <cell r="AG155"/>
          <cell r="AH155">
            <v>93035.872274264955</v>
          </cell>
          <cell r="AI155">
            <v>84813.503673011015</v>
          </cell>
        </row>
        <row r="156">
          <cell r="I156" t="str">
            <v>VAP-03-005-019</v>
          </cell>
          <cell r="J156" t="str">
            <v>CLOSED</v>
          </cell>
          <cell r="K156" t="str">
            <v>Blk 5 &amp; Lot 19</v>
          </cell>
          <cell r="L156">
            <v>55</v>
          </cell>
          <cell r="M156">
            <v>80</v>
          </cell>
          <cell r="N156" t="str">
            <v>DU-EXE</v>
          </cell>
          <cell r="O156" t="str">
            <v>DUPLEX REG</v>
          </cell>
          <cell r="P156">
            <v>3600000</v>
          </cell>
          <cell r="Q156"/>
          <cell r="R156">
            <v>3600000</v>
          </cell>
          <cell r="T156">
            <v>360000</v>
          </cell>
          <cell r="U156"/>
          <cell r="V156">
            <v>20000</v>
          </cell>
          <cell r="W156">
            <v>126430</v>
          </cell>
          <cell r="X156">
            <v>340000</v>
          </cell>
          <cell r="Y156">
            <v>10</v>
          </cell>
          <cell r="Z156">
            <v>34000</v>
          </cell>
          <cell r="AA156"/>
          <cell r="AB156">
            <v>0</v>
          </cell>
          <cell r="AD156">
            <v>3600000</v>
          </cell>
          <cell r="AE156">
            <v>27910.761682279484</v>
          </cell>
          <cell r="AF156">
            <v>25444.051101903304</v>
          </cell>
          <cell r="AG156"/>
          <cell r="AH156">
            <v>93035.872274264955</v>
          </cell>
          <cell r="AI156">
            <v>84813.503673011015</v>
          </cell>
        </row>
        <row r="157">
          <cell r="I157" t="str">
            <v>VAP-03-005-020</v>
          </cell>
          <cell r="J157" t="str">
            <v>CLOSED</v>
          </cell>
          <cell r="K157" t="str">
            <v>Blk 5 &amp; Lot 20</v>
          </cell>
          <cell r="L157">
            <v>55</v>
          </cell>
          <cell r="M157">
            <v>80</v>
          </cell>
          <cell r="N157" t="str">
            <v>DU-EXE</v>
          </cell>
          <cell r="O157" t="str">
            <v>DUPLEX REG</v>
          </cell>
          <cell r="P157">
            <v>3600000</v>
          </cell>
          <cell r="Q157"/>
          <cell r="R157">
            <v>3600000</v>
          </cell>
          <cell r="T157">
            <v>360000</v>
          </cell>
          <cell r="U157"/>
          <cell r="V157">
            <v>20000</v>
          </cell>
          <cell r="W157">
            <v>126430</v>
          </cell>
          <cell r="X157">
            <v>340000</v>
          </cell>
          <cell r="Y157">
            <v>10</v>
          </cell>
          <cell r="Z157">
            <v>34000</v>
          </cell>
          <cell r="AA157"/>
          <cell r="AB157">
            <v>0</v>
          </cell>
          <cell r="AD157">
            <v>3600000</v>
          </cell>
          <cell r="AE157">
            <v>27910.761682279484</v>
          </cell>
          <cell r="AF157">
            <v>25444.051101903304</v>
          </cell>
          <cell r="AG157"/>
          <cell r="AH157">
            <v>93035.872274264955</v>
          </cell>
          <cell r="AI157">
            <v>84813.503673011015</v>
          </cell>
        </row>
        <row r="158">
          <cell r="I158" t="str">
            <v>VAP-03-005-021</v>
          </cell>
          <cell r="J158" t="str">
            <v>CLOSED</v>
          </cell>
          <cell r="K158" t="str">
            <v>Blk 5 &amp; Lot 21</v>
          </cell>
          <cell r="L158">
            <v>55</v>
          </cell>
          <cell r="M158">
            <v>80</v>
          </cell>
          <cell r="N158" t="str">
            <v>DU-EXE</v>
          </cell>
          <cell r="O158" t="str">
            <v>DUPLEX REG</v>
          </cell>
          <cell r="P158">
            <v>3600000</v>
          </cell>
          <cell r="Q158"/>
          <cell r="R158">
            <v>3600000</v>
          </cell>
          <cell r="T158">
            <v>360000</v>
          </cell>
          <cell r="U158"/>
          <cell r="V158">
            <v>20000</v>
          </cell>
          <cell r="W158">
            <v>126430</v>
          </cell>
          <cell r="X158">
            <v>340000</v>
          </cell>
          <cell r="Y158">
            <v>10</v>
          </cell>
          <cell r="Z158">
            <v>34000</v>
          </cell>
          <cell r="AA158"/>
          <cell r="AB158">
            <v>0</v>
          </cell>
          <cell r="AD158">
            <v>3600000</v>
          </cell>
          <cell r="AE158">
            <v>27910.761682279484</v>
          </cell>
          <cell r="AF158">
            <v>25444.051101903304</v>
          </cell>
          <cell r="AG158"/>
          <cell r="AH158">
            <v>93035.872274264955</v>
          </cell>
          <cell r="AI158">
            <v>84813.503673011015</v>
          </cell>
        </row>
        <row r="159">
          <cell r="I159" t="str">
            <v>VAP-03-005-022</v>
          </cell>
          <cell r="J159" t="str">
            <v>CLOSED</v>
          </cell>
          <cell r="K159" t="str">
            <v>Blk 5 &amp; Lot 22</v>
          </cell>
          <cell r="L159">
            <v>55</v>
          </cell>
          <cell r="M159">
            <v>80</v>
          </cell>
          <cell r="N159" t="str">
            <v>DU-EXE</v>
          </cell>
          <cell r="O159" t="str">
            <v>DUPLEX REG</v>
          </cell>
          <cell r="P159">
            <v>3600000</v>
          </cell>
          <cell r="Q159"/>
          <cell r="R159">
            <v>3600000</v>
          </cell>
          <cell r="T159">
            <v>360000</v>
          </cell>
          <cell r="U159"/>
          <cell r="V159">
            <v>20000</v>
          </cell>
          <cell r="W159">
            <v>126430</v>
          </cell>
          <cell r="X159">
            <v>340000</v>
          </cell>
          <cell r="Y159">
            <v>10</v>
          </cell>
          <cell r="Z159">
            <v>34000</v>
          </cell>
          <cell r="AA159"/>
          <cell r="AB159">
            <v>0</v>
          </cell>
          <cell r="AD159">
            <v>3600000</v>
          </cell>
          <cell r="AE159">
            <v>27910.761682279484</v>
          </cell>
          <cell r="AF159">
            <v>25444.051101903304</v>
          </cell>
          <cell r="AG159"/>
          <cell r="AH159">
            <v>93035.872274264955</v>
          </cell>
          <cell r="AI159">
            <v>84813.503673011015</v>
          </cell>
        </row>
        <row r="160">
          <cell r="I160" t="str">
            <v>VAP-03-005-025</v>
          </cell>
          <cell r="J160" t="str">
            <v>CLOSED</v>
          </cell>
          <cell r="K160" t="str">
            <v>Blk 5 &amp; Lot 25</v>
          </cell>
          <cell r="L160">
            <v>55</v>
          </cell>
          <cell r="M160">
            <v>98</v>
          </cell>
          <cell r="N160" t="str">
            <v>DU-EXE-IRR</v>
          </cell>
          <cell r="O160" t="str">
            <v>DUPLEX IRREG +100</v>
          </cell>
          <cell r="P160">
            <v>4634000</v>
          </cell>
          <cell r="Q160">
            <v>496500</v>
          </cell>
          <cell r="R160">
            <v>4137500</v>
          </cell>
          <cell r="T160">
            <v>602420</v>
          </cell>
          <cell r="U160"/>
          <cell r="V160">
            <v>20000</v>
          </cell>
          <cell r="W160">
            <v>211560</v>
          </cell>
          <cell r="X160">
            <v>582420</v>
          </cell>
          <cell r="Y160">
            <v>10</v>
          </cell>
          <cell r="Z160">
            <v>58242</v>
          </cell>
          <cell r="AA160"/>
          <cell r="AB160">
            <v>0</v>
          </cell>
          <cell r="AD160">
            <v>4634000</v>
          </cell>
          <cell r="AE160">
            <v>35927.352676578652</v>
          </cell>
          <cell r="AF160">
            <v>32752.14800172775</v>
          </cell>
          <cell r="AG160"/>
          <cell r="AH160">
            <v>119757.84225526218</v>
          </cell>
          <cell r="AI160">
            <v>109173.82667242584</v>
          </cell>
        </row>
        <row r="161">
          <cell r="I161" t="str">
            <v>VAP-03-005-026</v>
          </cell>
          <cell r="J161" t="str">
            <v>CLOSED</v>
          </cell>
          <cell r="K161" t="str">
            <v>Blk 5 &amp; Lot 26</v>
          </cell>
          <cell r="L161">
            <v>55</v>
          </cell>
          <cell r="M161">
            <v>80</v>
          </cell>
          <cell r="N161" t="str">
            <v>DU-EXE</v>
          </cell>
          <cell r="O161" t="str">
            <v>DUPLEX REG</v>
          </cell>
          <cell r="P161">
            <v>3600000</v>
          </cell>
          <cell r="Q161"/>
          <cell r="R161">
            <v>3600000</v>
          </cell>
          <cell r="T161">
            <v>360000</v>
          </cell>
          <cell r="U161"/>
          <cell r="V161">
            <v>20000</v>
          </cell>
          <cell r="W161">
            <v>126430</v>
          </cell>
          <cell r="X161">
            <v>340000</v>
          </cell>
          <cell r="Y161">
            <v>10</v>
          </cell>
          <cell r="Z161">
            <v>34000</v>
          </cell>
          <cell r="AA161"/>
          <cell r="AB161">
            <v>0</v>
          </cell>
          <cell r="AD161">
            <v>3600000</v>
          </cell>
          <cell r="AE161">
            <v>27910.761682279484</v>
          </cell>
          <cell r="AF161">
            <v>25444.051101903304</v>
          </cell>
          <cell r="AG161"/>
          <cell r="AH161">
            <v>93035.872274264955</v>
          </cell>
          <cell r="AI161">
            <v>84813.503673011015</v>
          </cell>
        </row>
        <row r="162">
          <cell r="I162" t="str">
            <v>VAP-03-005-027</v>
          </cell>
          <cell r="J162" t="str">
            <v>CLOSED</v>
          </cell>
          <cell r="K162" t="str">
            <v>Blk 5 &amp; Lot 27</v>
          </cell>
          <cell r="L162">
            <v>55</v>
          </cell>
          <cell r="M162">
            <v>80</v>
          </cell>
          <cell r="N162" t="str">
            <v>DU-EXE</v>
          </cell>
          <cell r="O162" t="str">
            <v>DUPLEX REG</v>
          </cell>
          <cell r="P162">
            <v>3600000</v>
          </cell>
          <cell r="Q162"/>
          <cell r="R162">
            <v>3600000</v>
          </cell>
          <cell r="T162">
            <v>360000</v>
          </cell>
          <cell r="U162"/>
          <cell r="V162">
            <v>20000</v>
          </cell>
          <cell r="W162">
            <v>126430</v>
          </cell>
          <cell r="X162">
            <v>340000</v>
          </cell>
          <cell r="Y162">
            <v>10</v>
          </cell>
          <cell r="Z162">
            <v>34000</v>
          </cell>
          <cell r="AA162"/>
          <cell r="AB162">
            <v>0</v>
          </cell>
          <cell r="AD162">
            <v>3600000</v>
          </cell>
          <cell r="AE162">
            <v>27910.761682279484</v>
          </cell>
          <cell r="AF162">
            <v>25444.051101903304</v>
          </cell>
          <cell r="AG162"/>
          <cell r="AH162">
            <v>93035.872274264955</v>
          </cell>
          <cell r="AI162">
            <v>84813.503673011015</v>
          </cell>
        </row>
        <row r="163">
          <cell r="I163" t="str">
            <v>VAP-03-005-028</v>
          </cell>
          <cell r="J163" t="str">
            <v>CLOSED</v>
          </cell>
          <cell r="K163" t="str">
            <v>Blk 5 &amp; Lot 28</v>
          </cell>
          <cell r="L163">
            <v>55</v>
          </cell>
          <cell r="M163">
            <v>80</v>
          </cell>
          <cell r="N163" t="str">
            <v>DU-EXE</v>
          </cell>
          <cell r="O163" t="str">
            <v>DUPLEX REG</v>
          </cell>
          <cell r="P163">
            <v>3600000</v>
          </cell>
          <cell r="Q163"/>
          <cell r="R163">
            <v>3600000</v>
          </cell>
          <cell r="T163">
            <v>360000</v>
          </cell>
          <cell r="U163"/>
          <cell r="V163">
            <v>20000</v>
          </cell>
          <cell r="W163">
            <v>126430</v>
          </cell>
          <cell r="X163">
            <v>340000</v>
          </cell>
          <cell r="Y163">
            <v>10</v>
          </cell>
          <cell r="Z163">
            <v>34000</v>
          </cell>
          <cell r="AA163"/>
          <cell r="AB163">
            <v>0</v>
          </cell>
          <cell r="AD163">
            <v>3600000</v>
          </cell>
          <cell r="AE163">
            <v>27910.761682279484</v>
          </cell>
          <cell r="AF163">
            <v>25444.051101903304</v>
          </cell>
          <cell r="AG163"/>
          <cell r="AH163">
            <v>93035.872274264955</v>
          </cell>
          <cell r="AI163">
            <v>84813.503673011015</v>
          </cell>
        </row>
        <row r="164">
          <cell r="I164" t="str">
            <v>VAP-03-005-029</v>
          </cell>
          <cell r="J164" t="str">
            <v>CLOSED</v>
          </cell>
          <cell r="K164" t="str">
            <v>Blk 5 &amp; Lot 29</v>
          </cell>
          <cell r="L164">
            <v>55</v>
          </cell>
          <cell r="M164">
            <v>80</v>
          </cell>
          <cell r="N164" t="str">
            <v>DU-EXE</v>
          </cell>
          <cell r="O164" t="str">
            <v>DUPLEX REG</v>
          </cell>
          <cell r="P164">
            <v>3600000</v>
          </cell>
          <cell r="Q164"/>
          <cell r="R164">
            <v>3600000</v>
          </cell>
          <cell r="T164">
            <v>360000</v>
          </cell>
          <cell r="U164"/>
          <cell r="V164">
            <v>20000</v>
          </cell>
          <cell r="W164">
            <v>126430</v>
          </cell>
          <cell r="X164">
            <v>340000</v>
          </cell>
          <cell r="Y164">
            <v>10</v>
          </cell>
          <cell r="Z164">
            <v>34000</v>
          </cell>
          <cell r="AA164"/>
          <cell r="AB164">
            <v>0</v>
          </cell>
          <cell r="AD164">
            <v>3600000</v>
          </cell>
          <cell r="AE164">
            <v>27910.761682279484</v>
          </cell>
          <cell r="AF164">
            <v>25444.051101903304</v>
          </cell>
          <cell r="AG164"/>
          <cell r="AH164">
            <v>93035.872274264955</v>
          </cell>
          <cell r="AI164">
            <v>84813.503673011015</v>
          </cell>
        </row>
        <row r="165">
          <cell r="I165" t="str">
            <v>VAP-03-005-030</v>
          </cell>
          <cell r="J165" t="str">
            <v>CLOSED</v>
          </cell>
          <cell r="K165" t="str">
            <v>Blk 5 &amp; Lot 30</v>
          </cell>
          <cell r="L165">
            <v>55</v>
          </cell>
          <cell r="M165">
            <v>80</v>
          </cell>
          <cell r="N165" t="str">
            <v>DU-EXE</v>
          </cell>
          <cell r="O165" t="str">
            <v>DUPLEX REG</v>
          </cell>
          <cell r="P165">
            <v>3600000</v>
          </cell>
          <cell r="Q165"/>
          <cell r="R165">
            <v>3600000</v>
          </cell>
          <cell r="T165">
            <v>360000</v>
          </cell>
          <cell r="U165"/>
          <cell r="V165">
            <v>20000</v>
          </cell>
          <cell r="W165">
            <v>126430</v>
          </cell>
          <cell r="X165">
            <v>340000</v>
          </cell>
          <cell r="Y165">
            <v>10</v>
          </cell>
          <cell r="Z165">
            <v>34000</v>
          </cell>
          <cell r="AA165"/>
          <cell r="AB165">
            <v>0</v>
          </cell>
          <cell r="AD165">
            <v>3600000</v>
          </cell>
          <cell r="AE165">
            <v>27910.761682279484</v>
          </cell>
          <cell r="AF165">
            <v>25444.051101903304</v>
          </cell>
          <cell r="AG165"/>
          <cell r="AH165">
            <v>93035.872274264955</v>
          </cell>
          <cell r="AI165">
            <v>84813.503673011015</v>
          </cell>
        </row>
        <row r="166">
          <cell r="I166" t="str">
            <v>VAP-03-005-031</v>
          </cell>
          <cell r="J166" t="str">
            <v>CLOSED</v>
          </cell>
          <cell r="K166" t="str">
            <v>Blk 5 &amp; Lot 31</v>
          </cell>
          <cell r="L166">
            <v>55</v>
          </cell>
          <cell r="M166">
            <v>80</v>
          </cell>
          <cell r="N166" t="str">
            <v>DU-EXE</v>
          </cell>
          <cell r="O166" t="str">
            <v>DUPLEX REG</v>
          </cell>
          <cell r="P166">
            <v>3600000</v>
          </cell>
          <cell r="Q166"/>
          <cell r="R166">
            <v>3600000</v>
          </cell>
          <cell r="T166">
            <v>360000</v>
          </cell>
          <cell r="U166"/>
          <cell r="V166">
            <v>20000</v>
          </cell>
          <cell r="W166">
            <v>126430</v>
          </cell>
          <cell r="X166">
            <v>340000</v>
          </cell>
          <cell r="Y166">
            <v>10</v>
          </cell>
          <cell r="Z166">
            <v>34000</v>
          </cell>
          <cell r="AA166"/>
          <cell r="AB166">
            <v>0</v>
          </cell>
          <cell r="AD166">
            <v>3600000</v>
          </cell>
          <cell r="AE166">
            <v>27910.761682279484</v>
          </cell>
          <cell r="AF166">
            <v>25444.051101903304</v>
          </cell>
          <cell r="AG166"/>
          <cell r="AH166">
            <v>93035.872274264955</v>
          </cell>
          <cell r="AI166">
            <v>84813.503673011015</v>
          </cell>
        </row>
        <row r="167">
          <cell r="I167" t="str">
            <v>VAP-03-005-032</v>
          </cell>
          <cell r="J167" t="str">
            <v>CLOSED</v>
          </cell>
          <cell r="K167" t="str">
            <v>Blk 5 &amp; Lot 32</v>
          </cell>
          <cell r="L167">
            <v>55</v>
          </cell>
          <cell r="M167">
            <v>80</v>
          </cell>
          <cell r="N167" t="str">
            <v>DU-EXE</v>
          </cell>
          <cell r="O167" t="str">
            <v>DUPLEX REG</v>
          </cell>
          <cell r="P167">
            <v>3600000</v>
          </cell>
          <cell r="Q167"/>
          <cell r="R167">
            <v>3600000</v>
          </cell>
          <cell r="T167">
            <v>360000</v>
          </cell>
          <cell r="U167"/>
          <cell r="V167">
            <v>20000</v>
          </cell>
          <cell r="W167">
            <v>126430</v>
          </cell>
          <cell r="X167">
            <v>340000</v>
          </cell>
          <cell r="Y167">
            <v>10</v>
          </cell>
          <cell r="Z167">
            <v>34000</v>
          </cell>
          <cell r="AA167"/>
          <cell r="AB167">
            <v>0</v>
          </cell>
          <cell r="AD167">
            <v>3600000</v>
          </cell>
          <cell r="AE167">
            <v>27910.761682279484</v>
          </cell>
          <cell r="AF167">
            <v>25444.051101903304</v>
          </cell>
          <cell r="AG167"/>
          <cell r="AH167">
            <v>93035.872274264955</v>
          </cell>
          <cell r="AI167">
            <v>84813.503673011015</v>
          </cell>
        </row>
        <row r="168">
          <cell r="I168" t="str">
            <v>VAP-03-005-035</v>
          </cell>
          <cell r="J168" t="str">
            <v>TS</v>
          </cell>
          <cell r="K168" t="str">
            <v>Blk 5 &amp; Lot 35</v>
          </cell>
          <cell r="L168">
            <v>55</v>
          </cell>
          <cell r="M168">
            <v>80</v>
          </cell>
          <cell r="N168" t="str">
            <v>DU-EXE</v>
          </cell>
          <cell r="O168" t="str">
            <v>DUPLEX REG</v>
          </cell>
          <cell r="P168">
            <v>3600000</v>
          </cell>
          <cell r="Q168"/>
          <cell r="R168">
            <v>3600000</v>
          </cell>
          <cell r="T168">
            <v>360000</v>
          </cell>
          <cell r="U168"/>
          <cell r="V168">
            <v>20000</v>
          </cell>
          <cell r="W168">
            <v>126430</v>
          </cell>
          <cell r="X168">
            <v>340000</v>
          </cell>
          <cell r="Y168">
            <v>10</v>
          </cell>
          <cell r="Z168">
            <v>34000</v>
          </cell>
          <cell r="AA168"/>
          <cell r="AB168">
            <v>0</v>
          </cell>
          <cell r="AD168">
            <v>3600000</v>
          </cell>
          <cell r="AE168">
            <v>27910.761682279484</v>
          </cell>
          <cell r="AF168">
            <v>25444.051101903304</v>
          </cell>
          <cell r="AG168"/>
          <cell r="AH168">
            <v>93035.872274264955</v>
          </cell>
          <cell r="AI168">
            <v>84813.503673011015</v>
          </cell>
        </row>
        <row r="169">
          <cell r="I169" t="str">
            <v>VAP-03-005-036</v>
          </cell>
          <cell r="J169" t="str">
            <v>TS</v>
          </cell>
          <cell r="K169" t="str">
            <v>Blk 5 &amp; Lot 36</v>
          </cell>
          <cell r="L169">
            <v>55</v>
          </cell>
          <cell r="M169">
            <v>80</v>
          </cell>
          <cell r="N169" t="str">
            <v>DU-EXE</v>
          </cell>
          <cell r="O169" t="str">
            <v>DUPLEX REG</v>
          </cell>
          <cell r="P169">
            <v>3600000</v>
          </cell>
          <cell r="Q169"/>
          <cell r="R169">
            <v>3600000</v>
          </cell>
          <cell r="T169">
            <v>360000</v>
          </cell>
          <cell r="U169"/>
          <cell r="V169">
            <v>20000</v>
          </cell>
          <cell r="W169">
            <v>126430</v>
          </cell>
          <cell r="X169">
            <v>340000</v>
          </cell>
          <cell r="Y169">
            <v>10</v>
          </cell>
          <cell r="Z169">
            <v>34000</v>
          </cell>
          <cell r="AA169"/>
          <cell r="AB169">
            <v>0</v>
          </cell>
          <cell r="AD169">
            <v>3600000</v>
          </cell>
          <cell r="AE169">
            <v>27910.761682279484</v>
          </cell>
          <cell r="AF169">
            <v>25444.051101903304</v>
          </cell>
          <cell r="AG169"/>
          <cell r="AH169">
            <v>93035.872274264955</v>
          </cell>
          <cell r="AI169">
            <v>84813.503673011015</v>
          </cell>
        </row>
        <row r="170">
          <cell r="I170" t="str">
            <v>VAP-03-005-037</v>
          </cell>
          <cell r="J170" t="str">
            <v>TS</v>
          </cell>
          <cell r="K170" t="str">
            <v>Blk 5 &amp; Lot 37</v>
          </cell>
          <cell r="L170">
            <v>55</v>
          </cell>
          <cell r="M170">
            <v>80</v>
          </cell>
          <cell r="N170" t="str">
            <v>DU-EXE</v>
          </cell>
          <cell r="O170" t="str">
            <v>DUPLEX REG</v>
          </cell>
          <cell r="P170">
            <v>3600000</v>
          </cell>
          <cell r="Q170"/>
          <cell r="R170">
            <v>3600000</v>
          </cell>
          <cell r="T170">
            <v>360000</v>
          </cell>
          <cell r="U170"/>
          <cell r="V170">
            <v>20000</v>
          </cell>
          <cell r="W170">
            <v>126430</v>
          </cell>
          <cell r="X170">
            <v>340000</v>
          </cell>
          <cell r="Y170">
            <v>10</v>
          </cell>
          <cell r="Z170">
            <v>34000</v>
          </cell>
          <cell r="AA170"/>
          <cell r="AB170">
            <v>0</v>
          </cell>
          <cell r="AD170">
            <v>3600000</v>
          </cell>
          <cell r="AE170">
            <v>27910.761682279484</v>
          </cell>
          <cell r="AF170">
            <v>25444.051101903304</v>
          </cell>
          <cell r="AG170"/>
          <cell r="AH170">
            <v>93035.872274264955</v>
          </cell>
          <cell r="AI170">
            <v>84813.503673011015</v>
          </cell>
        </row>
        <row r="171">
          <cell r="I171" t="str">
            <v>VAP-03-005-038</v>
          </cell>
          <cell r="J171" t="str">
            <v>TS</v>
          </cell>
          <cell r="K171" t="str">
            <v>Blk 5 &amp; Lot 38</v>
          </cell>
          <cell r="L171">
            <v>55</v>
          </cell>
          <cell r="M171">
            <v>80</v>
          </cell>
          <cell r="N171" t="str">
            <v>DU-EXE</v>
          </cell>
          <cell r="O171" t="str">
            <v>DUPLEX REG</v>
          </cell>
          <cell r="P171">
            <v>3600000</v>
          </cell>
          <cell r="Q171"/>
          <cell r="R171">
            <v>3600000</v>
          </cell>
          <cell r="T171">
            <v>360000</v>
          </cell>
          <cell r="U171"/>
          <cell r="V171">
            <v>20000</v>
          </cell>
          <cell r="W171">
            <v>126430</v>
          </cell>
          <cell r="X171">
            <v>340000</v>
          </cell>
          <cell r="Y171">
            <v>10</v>
          </cell>
          <cell r="Z171">
            <v>34000</v>
          </cell>
          <cell r="AA171"/>
          <cell r="AB171">
            <v>0</v>
          </cell>
          <cell r="AD171">
            <v>3600000</v>
          </cell>
          <cell r="AE171">
            <v>27910.761682279484</v>
          </cell>
          <cell r="AF171">
            <v>25444.051101903304</v>
          </cell>
          <cell r="AG171"/>
          <cell r="AH171">
            <v>93035.872274264955</v>
          </cell>
          <cell r="AI171">
            <v>84813.503673011015</v>
          </cell>
        </row>
        <row r="172">
          <cell r="I172" t="str">
            <v>VAP-03-006-027</v>
          </cell>
          <cell r="J172" t="str">
            <v>CLOSED</v>
          </cell>
          <cell r="K172" t="str">
            <v>Blk 6 &amp; Lot 27</v>
          </cell>
          <cell r="L172">
            <v>55</v>
          </cell>
          <cell r="M172">
            <v>80</v>
          </cell>
          <cell r="N172" t="str">
            <v>DU-EXE</v>
          </cell>
          <cell r="O172" t="str">
            <v>DUPLEX REG</v>
          </cell>
          <cell r="P172">
            <v>3600000</v>
          </cell>
          <cell r="Q172"/>
          <cell r="R172">
            <v>3600000</v>
          </cell>
          <cell r="T172">
            <v>360000</v>
          </cell>
          <cell r="U172"/>
          <cell r="V172">
            <v>20000</v>
          </cell>
          <cell r="W172">
            <v>126430</v>
          </cell>
          <cell r="X172">
            <v>340000</v>
          </cell>
          <cell r="Y172">
            <v>10</v>
          </cell>
          <cell r="Z172">
            <v>34000</v>
          </cell>
          <cell r="AA172"/>
          <cell r="AB172">
            <v>0</v>
          </cell>
          <cell r="AD172">
            <v>3600000</v>
          </cell>
          <cell r="AE172">
            <v>27910.761682279484</v>
          </cell>
          <cell r="AF172">
            <v>25444.051101903304</v>
          </cell>
          <cell r="AG172"/>
          <cell r="AH172">
            <v>93035.872274264955</v>
          </cell>
          <cell r="AI172">
            <v>84813.503673011015</v>
          </cell>
        </row>
        <row r="173">
          <cell r="I173" t="str">
            <v>VAP-03-006-028</v>
          </cell>
          <cell r="J173" t="str">
            <v>CLOSED</v>
          </cell>
          <cell r="K173" t="str">
            <v>Blk 6 &amp; Lot 28</v>
          </cell>
          <cell r="L173">
            <v>55</v>
          </cell>
          <cell r="M173">
            <v>80</v>
          </cell>
          <cell r="N173" t="str">
            <v>DU-EXE</v>
          </cell>
          <cell r="O173" t="str">
            <v>DUPLEX REG</v>
          </cell>
          <cell r="P173">
            <v>3600000</v>
          </cell>
          <cell r="Q173"/>
          <cell r="R173">
            <v>3600000</v>
          </cell>
          <cell r="T173">
            <v>360000</v>
          </cell>
          <cell r="U173"/>
          <cell r="V173">
            <v>20000</v>
          </cell>
          <cell r="W173">
            <v>126430</v>
          </cell>
          <cell r="X173">
            <v>340000</v>
          </cell>
          <cell r="Y173">
            <v>10</v>
          </cell>
          <cell r="Z173">
            <v>34000</v>
          </cell>
          <cell r="AA173"/>
          <cell r="AB173">
            <v>0</v>
          </cell>
          <cell r="AD173">
            <v>3600000</v>
          </cell>
          <cell r="AE173">
            <v>27910.761682279484</v>
          </cell>
          <cell r="AF173">
            <v>25444.051101903304</v>
          </cell>
          <cell r="AG173"/>
          <cell r="AH173">
            <v>93035.872274264955</v>
          </cell>
          <cell r="AI173">
            <v>84813.503673011015</v>
          </cell>
        </row>
        <row r="174">
          <cell r="I174" t="str">
            <v>VAP-03-006-029</v>
          </cell>
          <cell r="J174" t="str">
            <v>CLOSED</v>
          </cell>
          <cell r="K174" t="str">
            <v>Blk 6 &amp; Lot 29</v>
          </cell>
          <cell r="L174">
            <v>55</v>
          </cell>
          <cell r="M174">
            <v>80</v>
          </cell>
          <cell r="N174" t="str">
            <v>DU-EXE</v>
          </cell>
          <cell r="O174" t="str">
            <v>DUPLEX REG</v>
          </cell>
          <cell r="P174">
            <v>3600000</v>
          </cell>
          <cell r="Q174"/>
          <cell r="R174">
            <v>3600000</v>
          </cell>
          <cell r="T174">
            <v>360000</v>
          </cell>
          <cell r="U174"/>
          <cell r="V174">
            <v>20000</v>
          </cell>
          <cell r="W174">
            <v>126430</v>
          </cell>
          <cell r="X174">
            <v>340000</v>
          </cell>
          <cell r="Y174">
            <v>10</v>
          </cell>
          <cell r="Z174">
            <v>34000</v>
          </cell>
          <cell r="AA174"/>
          <cell r="AB174">
            <v>0</v>
          </cell>
          <cell r="AD174">
            <v>3600000</v>
          </cell>
          <cell r="AE174">
            <v>27910.761682279484</v>
          </cell>
          <cell r="AF174">
            <v>25444.051101903304</v>
          </cell>
          <cell r="AG174"/>
          <cell r="AH174">
            <v>93035.872274264955</v>
          </cell>
          <cell r="AI174">
            <v>84813.503673011015</v>
          </cell>
        </row>
        <row r="175">
          <cell r="I175" t="str">
            <v>VAP-03-006-030</v>
          </cell>
          <cell r="J175" t="str">
            <v>CLOSED</v>
          </cell>
          <cell r="K175" t="str">
            <v>Blk 6 &amp; Lot 30</v>
          </cell>
          <cell r="L175">
            <v>55</v>
          </cell>
          <cell r="M175">
            <v>80</v>
          </cell>
          <cell r="N175" t="str">
            <v>DU-EXE</v>
          </cell>
          <cell r="O175" t="str">
            <v>DUPLEX REG</v>
          </cell>
          <cell r="P175">
            <v>3600000</v>
          </cell>
          <cell r="Q175"/>
          <cell r="R175">
            <v>3600000</v>
          </cell>
          <cell r="T175">
            <v>360000</v>
          </cell>
          <cell r="U175"/>
          <cell r="V175">
            <v>20000</v>
          </cell>
          <cell r="W175">
            <v>126430</v>
          </cell>
          <cell r="X175">
            <v>340000</v>
          </cell>
          <cell r="Y175">
            <v>10</v>
          </cell>
          <cell r="Z175">
            <v>34000</v>
          </cell>
          <cell r="AA175"/>
          <cell r="AB175">
            <v>0</v>
          </cell>
          <cell r="AD175">
            <v>3600000</v>
          </cell>
          <cell r="AE175">
            <v>27910.761682279484</v>
          </cell>
          <cell r="AF175">
            <v>25444.051101903304</v>
          </cell>
          <cell r="AG175"/>
          <cell r="AH175">
            <v>93035.872274264955</v>
          </cell>
          <cell r="AI175">
            <v>84813.503673011015</v>
          </cell>
        </row>
        <row r="176">
          <cell r="I176" t="str">
            <v>VAP-03-008-008</v>
          </cell>
          <cell r="J176" t="str">
            <v>CLOSED</v>
          </cell>
          <cell r="K176" t="str">
            <v>Blk 8 &amp; Lot 8</v>
          </cell>
          <cell r="L176">
            <v>55</v>
          </cell>
          <cell r="M176">
            <v>83</v>
          </cell>
          <cell r="N176" t="str">
            <v>DU-EXE</v>
          </cell>
          <cell r="O176" t="str">
            <v>DUPLEX REG</v>
          </cell>
          <cell r="P176">
            <v>3600000</v>
          </cell>
          <cell r="Q176"/>
          <cell r="R176">
            <v>3600000</v>
          </cell>
          <cell r="T176">
            <v>360000</v>
          </cell>
          <cell r="U176"/>
          <cell r="V176">
            <v>20000</v>
          </cell>
          <cell r="W176">
            <v>126430</v>
          </cell>
          <cell r="X176">
            <v>340000</v>
          </cell>
          <cell r="Y176">
            <v>10</v>
          </cell>
          <cell r="Z176">
            <v>34000</v>
          </cell>
          <cell r="AA176"/>
          <cell r="AB176">
            <v>0</v>
          </cell>
          <cell r="AD176">
            <v>3600000</v>
          </cell>
          <cell r="AE176">
            <v>27910.761682279484</v>
          </cell>
          <cell r="AF176">
            <v>25444.051101903304</v>
          </cell>
          <cell r="AG176"/>
          <cell r="AH176">
            <v>93035.872274264955</v>
          </cell>
          <cell r="AI176">
            <v>84813.503673011015</v>
          </cell>
        </row>
        <row r="177">
          <cell r="I177" t="str">
            <v>VAP-03-008-009</v>
          </cell>
          <cell r="J177" t="str">
            <v>CLOSED</v>
          </cell>
          <cell r="K177" t="str">
            <v>Blk 8 &amp; Lot 9</v>
          </cell>
          <cell r="L177">
            <v>55</v>
          </cell>
          <cell r="M177">
            <v>81</v>
          </cell>
          <cell r="N177" t="str">
            <v>DU-EXE</v>
          </cell>
          <cell r="O177" t="str">
            <v>DUPLEX REG</v>
          </cell>
          <cell r="P177">
            <v>3600000</v>
          </cell>
          <cell r="Q177"/>
          <cell r="R177">
            <v>3600000</v>
          </cell>
          <cell r="T177">
            <v>360000</v>
          </cell>
          <cell r="U177"/>
          <cell r="V177">
            <v>20000</v>
          </cell>
          <cell r="W177">
            <v>126430</v>
          </cell>
          <cell r="X177">
            <v>340000</v>
          </cell>
          <cell r="Y177">
            <v>10</v>
          </cell>
          <cell r="Z177">
            <v>34000</v>
          </cell>
          <cell r="AA177"/>
          <cell r="AB177">
            <v>0</v>
          </cell>
          <cell r="AD177">
            <v>3600000</v>
          </cell>
          <cell r="AE177">
            <v>27910.761682279484</v>
          </cell>
          <cell r="AF177">
            <v>25444.051101903304</v>
          </cell>
          <cell r="AG177"/>
          <cell r="AH177">
            <v>93035.872274264955</v>
          </cell>
          <cell r="AI177">
            <v>84813.503673011015</v>
          </cell>
        </row>
        <row r="178">
          <cell r="I178" t="str">
            <v>VAP-03-008-010</v>
          </cell>
          <cell r="J178" t="str">
            <v>CLOSED</v>
          </cell>
          <cell r="K178" t="str">
            <v>Blk 8 &amp; Lot 10</v>
          </cell>
          <cell r="L178">
            <v>55</v>
          </cell>
          <cell r="M178">
            <v>80</v>
          </cell>
          <cell r="N178" t="str">
            <v>DU-EXE</v>
          </cell>
          <cell r="O178" t="str">
            <v>DUPLEX REG</v>
          </cell>
          <cell r="P178">
            <v>3600000</v>
          </cell>
          <cell r="Q178"/>
          <cell r="R178">
            <v>3600000</v>
          </cell>
          <cell r="T178">
            <v>360000</v>
          </cell>
          <cell r="U178"/>
          <cell r="V178">
            <v>20000</v>
          </cell>
          <cell r="W178">
            <v>126430</v>
          </cell>
          <cell r="X178">
            <v>340000</v>
          </cell>
          <cell r="Y178">
            <v>10</v>
          </cell>
          <cell r="Z178">
            <v>34000</v>
          </cell>
          <cell r="AA178"/>
          <cell r="AB178">
            <v>0</v>
          </cell>
          <cell r="AD178">
            <v>3600000</v>
          </cell>
          <cell r="AE178">
            <v>27910.761682279484</v>
          </cell>
          <cell r="AF178">
            <v>25444.051101903304</v>
          </cell>
          <cell r="AG178"/>
          <cell r="AH178">
            <v>93035.872274264955</v>
          </cell>
          <cell r="AI178">
            <v>84813.503673011015</v>
          </cell>
        </row>
        <row r="179">
          <cell r="I179" t="str">
            <v>VAP-03-008-011</v>
          </cell>
          <cell r="J179" t="str">
            <v>CLOSED</v>
          </cell>
          <cell r="K179" t="str">
            <v>Blk 8 &amp; Lot 11</v>
          </cell>
          <cell r="L179">
            <v>55</v>
          </cell>
          <cell r="M179">
            <v>83</v>
          </cell>
          <cell r="N179" t="str">
            <v>DU-EXE</v>
          </cell>
          <cell r="O179" t="str">
            <v>DUPLEX REG</v>
          </cell>
          <cell r="P179">
            <v>3600000</v>
          </cell>
          <cell r="Q179"/>
          <cell r="R179">
            <v>3600000</v>
          </cell>
          <cell r="T179">
            <v>360000</v>
          </cell>
          <cell r="U179"/>
          <cell r="V179">
            <v>20000</v>
          </cell>
          <cell r="W179">
            <v>126430</v>
          </cell>
          <cell r="X179">
            <v>340000</v>
          </cell>
          <cell r="Y179">
            <v>10</v>
          </cell>
          <cell r="Z179">
            <v>34000</v>
          </cell>
          <cell r="AA179"/>
          <cell r="AB179">
            <v>0</v>
          </cell>
          <cell r="AD179">
            <v>3600000</v>
          </cell>
          <cell r="AE179">
            <v>27910.761682279484</v>
          </cell>
          <cell r="AF179">
            <v>25444.051101903304</v>
          </cell>
          <cell r="AG179"/>
          <cell r="AH179">
            <v>93035.872274264955</v>
          </cell>
          <cell r="AI179">
            <v>84813.503673011015</v>
          </cell>
        </row>
        <row r="180">
          <cell r="I180" t="str">
            <v>VAP-03-008-016</v>
          </cell>
          <cell r="J180" t="str">
            <v>CLOSED</v>
          </cell>
          <cell r="K180" t="str">
            <v>Blk 8 &amp; Lot 16</v>
          </cell>
          <cell r="L180">
            <v>55</v>
          </cell>
          <cell r="M180">
            <v>89</v>
          </cell>
          <cell r="N180" t="str">
            <v>DU-EXE</v>
          </cell>
          <cell r="O180" t="str">
            <v>DUPLEX REG</v>
          </cell>
          <cell r="P180">
            <v>3600000</v>
          </cell>
          <cell r="Q180"/>
          <cell r="R180">
            <v>3600000</v>
          </cell>
          <cell r="T180">
            <v>360000</v>
          </cell>
          <cell r="U180"/>
          <cell r="V180">
            <v>20000</v>
          </cell>
          <cell r="W180">
            <v>126430</v>
          </cell>
          <cell r="X180">
            <v>340000</v>
          </cell>
          <cell r="Y180">
            <v>10</v>
          </cell>
          <cell r="Z180">
            <v>34000</v>
          </cell>
          <cell r="AA180"/>
          <cell r="AB180">
            <v>0</v>
          </cell>
          <cell r="AD180">
            <v>3600000</v>
          </cell>
          <cell r="AE180">
            <v>27910.761682279484</v>
          </cell>
          <cell r="AF180">
            <v>25444.051101903304</v>
          </cell>
          <cell r="AG180"/>
          <cell r="AH180">
            <v>93035.872274264955</v>
          </cell>
          <cell r="AI180">
            <v>84813.503673011015</v>
          </cell>
        </row>
        <row r="181">
          <cell r="I181" t="str">
            <v>VAP-03-008-017</v>
          </cell>
          <cell r="J181" t="str">
            <v>CLOSED</v>
          </cell>
          <cell r="K181" t="str">
            <v>Blk 8 &amp; Lot 17</v>
          </cell>
          <cell r="L181">
            <v>55</v>
          </cell>
          <cell r="M181">
            <v>85</v>
          </cell>
          <cell r="N181" t="str">
            <v>DU-EXE</v>
          </cell>
          <cell r="O181" t="str">
            <v>DUPLEX REG</v>
          </cell>
          <cell r="P181">
            <v>3600000</v>
          </cell>
          <cell r="Q181"/>
          <cell r="R181">
            <v>3600000</v>
          </cell>
          <cell r="T181">
            <v>360000</v>
          </cell>
          <cell r="U181"/>
          <cell r="V181">
            <v>20000</v>
          </cell>
          <cell r="W181">
            <v>126430</v>
          </cell>
          <cell r="X181">
            <v>340000</v>
          </cell>
          <cell r="Y181">
            <v>10</v>
          </cell>
          <cell r="Z181">
            <v>34000</v>
          </cell>
          <cell r="AA181"/>
          <cell r="AB181">
            <v>0</v>
          </cell>
          <cell r="AD181">
            <v>3600000</v>
          </cell>
          <cell r="AE181">
            <v>27910.761682279484</v>
          </cell>
          <cell r="AF181">
            <v>25444.051101903304</v>
          </cell>
          <cell r="AG181"/>
          <cell r="AH181">
            <v>93035.872274264955</v>
          </cell>
          <cell r="AI181">
            <v>84813.503673011015</v>
          </cell>
        </row>
        <row r="182">
          <cell r="I182" t="str">
            <v>VAP-03-008-018</v>
          </cell>
          <cell r="J182" t="str">
            <v>CLOSED</v>
          </cell>
          <cell r="K182" t="str">
            <v>Blk 8 &amp; Lot 18</v>
          </cell>
          <cell r="L182">
            <v>55</v>
          </cell>
          <cell r="M182">
            <v>82</v>
          </cell>
          <cell r="N182" t="str">
            <v>DU-EXE</v>
          </cell>
          <cell r="O182" t="str">
            <v>DUPLEX REG</v>
          </cell>
          <cell r="P182">
            <v>3600000</v>
          </cell>
          <cell r="Q182"/>
          <cell r="R182">
            <v>3600000</v>
          </cell>
          <cell r="T182">
            <v>360000</v>
          </cell>
          <cell r="U182"/>
          <cell r="V182">
            <v>20000</v>
          </cell>
          <cell r="W182">
            <v>126430</v>
          </cell>
          <cell r="X182">
            <v>340000</v>
          </cell>
          <cell r="Y182">
            <v>10</v>
          </cell>
          <cell r="Z182">
            <v>34000</v>
          </cell>
          <cell r="AA182"/>
          <cell r="AB182">
            <v>0</v>
          </cell>
          <cell r="AD182">
            <v>3600000</v>
          </cell>
          <cell r="AE182">
            <v>27910.761682279484</v>
          </cell>
          <cell r="AF182">
            <v>25444.051101903304</v>
          </cell>
          <cell r="AG182"/>
          <cell r="AH182">
            <v>93035.872274264955</v>
          </cell>
          <cell r="AI182">
            <v>84813.503673011015</v>
          </cell>
        </row>
        <row r="183">
          <cell r="I183" t="str">
            <v>VAP-03-008-019</v>
          </cell>
          <cell r="J183" t="str">
            <v>CLOSED</v>
          </cell>
          <cell r="K183" t="str">
            <v>Blk 8 &amp; Lot 19</v>
          </cell>
          <cell r="L183">
            <v>55</v>
          </cell>
          <cell r="M183">
            <v>81</v>
          </cell>
          <cell r="N183" t="str">
            <v>DU-EXE</v>
          </cell>
          <cell r="O183" t="str">
            <v>DUPLEX REG</v>
          </cell>
          <cell r="P183">
            <v>3600000</v>
          </cell>
          <cell r="Q183"/>
          <cell r="R183">
            <v>3600000</v>
          </cell>
          <cell r="T183">
            <v>360000</v>
          </cell>
          <cell r="U183"/>
          <cell r="V183">
            <v>20000</v>
          </cell>
          <cell r="W183">
            <v>126430</v>
          </cell>
          <cell r="X183">
            <v>340000</v>
          </cell>
          <cell r="Y183">
            <v>10</v>
          </cell>
          <cell r="Z183">
            <v>34000</v>
          </cell>
          <cell r="AA183"/>
          <cell r="AB183">
            <v>0</v>
          </cell>
          <cell r="AD183">
            <v>3600000</v>
          </cell>
          <cell r="AE183">
            <v>27910.761682279484</v>
          </cell>
          <cell r="AF183">
            <v>25444.051101903304</v>
          </cell>
          <cell r="AG183"/>
          <cell r="AH183">
            <v>93035.872274264955</v>
          </cell>
          <cell r="AI183">
            <v>84813.503673011015</v>
          </cell>
        </row>
        <row r="184">
          <cell r="I184" t="str">
            <v>VAP-03-008-032</v>
          </cell>
          <cell r="J184" t="str">
            <v>CLOSED</v>
          </cell>
          <cell r="K184" t="str">
            <v>Blk 8 &amp; Lot 32</v>
          </cell>
          <cell r="L184">
            <v>55</v>
          </cell>
          <cell r="M184">
            <v>85</v>
          </cell>
          <cell r="N184" t="str">
            <v>DU-EXE</v>
          </cell>
          <cell r="O184" t="str">
            <v>DUPLEX REG</v>
          </cell>
          <cell r="P184">
            <v>3600000</v>
          </cell>
          <cell r="Q184"/>
          <cell r="R184">
            <v>3600000</v>
          </cell>
          <cell r="T184">
            <v>360000</v>
          </cell>
          <cell r="U184"/>
          <cell r="V184">
            <v>20000</v>
          </cell>
          <cell r="W184">
            <v>126430</v>
          </cell>
          <cell r="X184">
            <v>340000</v>
          </cell>
          <cell r="Y184">
            <v>10</v>
          </cell>
          <cell r="Z184">
            <v>34000</v>
          </cell>
          <cell r="AA184"/>
          <cell r="AB184">
            <v>0</v>
          </cell>
          <cell r="AD184">
            <v>3600000</v>
          </cell>
          <cell r="AE184">
            <v>27910.761682279484</v>
          </cell>
          <cell r="AF184">
            <v>25444.051101903304</v>
          </cell>
          <cell r="AG184"/>
          <cell r="AH184">
            <v>93035.872274264955</v>
          </cell>
          <cell r="AI184">
            <v>84813.503673011015</v>
          </cell>
        </row>
        <row r="185">
          <cell r="I185" t="str">
            <v>VAP-03-008-033</v>
          </cell>
          <cell r="J185" t="str">
            <v>CLOSED</v>
          </cell>
          <cell r="K185" t="str">
            <v>Blk 8 &amp; Lot 33</v>
          </cell>
          <cell r="L185">
            <v>55</v>
          </cell>
          <cell r="M185">
            <v>83</v>
          </cell>
          <cell r="N185" t="str">
            <v>DU-EXE</v>
          </cell>
          <cell r="O185" t="str">
            <v>DUPLEX REG</v>
          </cell>
          <cell r="P185">
            <v>3600000</v>
          </cell>
          <cell r="Q185"/>
          <cell r="R185">
            <v>3600000</v>
          </cell>
          <cell r="T185">
            <v>360000</v>
          </cell>
          <cell r="U185"/>
          <cell r="V185">
            <v>20000</v>
          </cell>
          <cell r="W185">
            <v>126430</v>
          </cell>
          <cell r="X185">
            <v>340000</v>
          </cell>
          <cell r="Y185">
            <v>10</v>
          </cell>
          <cell r="Z185">
            <v>34000</v>
          </cell>
          <cell r="AA185"/>
          <cell r="AB185">
            <v>0</v>
          </cell>
          <cell r="AD185">
            <v>3600000</v>
          </cell>
          <cell r="AE185">
            <v>27910.761682279484</v>
          </cell>
          <cell r="AF185">
            <v>25444.051101903304</v>
          </cell>
          <cell r="AG185"/>
          <cell r="AH185">
            <v>93035.872274264955</v>
          </cell>
          <cell r="AI185">
            <v>84813.503673011015</v>
          </cell>
        </row>
        <row r="186">
          <cell r="I186" t="str">
            <v>VAP-03-002-003</v>
          </cell>
          <cell r="J186" t="str">
            <v>CLOSED</v>
          </cell>
          <cell r="K186" t="str">
            <v>Blk 2 &amp; Lot 3</v>
          </cell>
          <cell r="L186">
            <v>55</v>
          </cell>
          <cell r="M186">
            <v>80</v>
          </cell>
          <cell r="N186" t="str">
            <v>DU-EXE</v>
          </cell>
          <cell r="O186" t="str">
            <v>DUPLEX REG</v>
          </cell>
          <cell r="P186">
            <v>3600000</v>
          </cell>
          <cell r="Q186"/>
          <cell r="R186">
            <v>3600000</v>
          </cell>
          <cell r="T186">
            <v>360000</v>
          </cell>
          <cell r="U186"/>
          <cell r="V186">
            <v>20000</v>
          </cell>
          <cell r="W186">
            <v>126430</v>
          </cell>
          <cell r="X186">
            <v>340000</v>
          </cell>
          <cell r="Y186">
            <v>10</v>
          </cell>
          <cell r="Z186">
            <v>34000</v>
          </cell>
          <cell r="AA186"/>
          <cell r="AB186">
            <v>0</v>
          </cell>
          <cell r="AD186">
            <v>3600000</v>
          </cell>
          <cell r="AE186">
            <v>27910.761682279484</v>
          </cell>
          <cell r="AF186">
            <v>25444.051101903304</v>
          </cell>
          <cell r="AG186"/>
          <cell r="AH186">
            <v>93035.872274264955</v>
          </cell>
          <cell r="AI186">
            <v>84813.503673011015</v>
          </cell>
        </row>
        <row r="187">
          <cell r="I187" t="str">
            <v>VAP-03-002-004</v>
          </cell>
          <cell r="J187" t="str">
            <v>CLOSED</v>
          </cell>
          <cell r="K187" t="str">
            <v>Blk 2 &amp; Lot 4</v>
          </cell>
          <cell r="L187">
            <v>55</v>
          </cell>
          <cell r="M187">
            <v>80</v>
          </cell>
          <cell r="N187" t="str">
            <v>DU-EXE</v>
          </cell>
          <cell r="O187" t="str">
            <v>DUPLEX REG</v>
          </cell>
          <cell r="P187">
            <v>3600000</v>
          </cell>
          <cell r="Q187"/>
          <cell r="R187">
            <v>3600000</v>
          </cell>
          <cell r="T187">
            <v>360000</v>
          </cell>
          <cell r="U187"/>
          <cell r="V187">
            <v>20000</v>
          </cell>
          <cell r="W187">
            <v>126430</v>
          </cell>
          <cell r="X187">
            <v>340000</v>
          </cell>
          <cell r="Y187">
            <v>10</v>
          </cell>
          <cell r="Z187">
            <v>34000</v>
          </cell>
          <cell r="AA187"/>
          <cell r="AB187">
            <v>0</v>
          </cell>
          <cell r="AD187">
            <v>3600000</v>
          </cell>
          <cell r="AE187">
            <v>27910.761682279484</v>
          </cell>
          <cell r="AF187">
            <v>25444.051101903304</v>
          </cell>
          <cell r="AG187"/>
          <cell r="AH187">
            <v>93035.872274264955</v>
          </cell>
          <cell r="AI187">
            <v>84813.503673011015</v>
          </cell>
        </row>
        <row r="188">
          <cell r="I188" t="str">
            <v>VAP-03-002-005</v>
          </cell>
          <cell r="J188" t="str">
            <v>CLOSED</v>
          </cell>
          <cell r="K188" t="str">
            <v>Blk 2 &amp; Lot 5</v>
          </cell>
          <cell r="L188">
            <v>55</v>
          </cell>
          <cell r="M188">
            <v>80</v>
          </cell>
          <cell r="N188" t="str">
            <v>DU-EXE</v>
          </cell>
          <cell r="O188" t="str">
            <v>DUPLEX REG</v>
          </cell>
          <cell r="P188">
            <v>3600000</v>
          </cell>
          <cell r="Q188"/>
          <cell r="R188">
            <v>3600000</v>
          </cell>
          <cell r="T188">
            <v>360000</v>
          </cell>
          <cell r="U188"/>
          <cell r="V188">
            <v>20000</v>
          </cell>
          <cell r="W188">
            <v>126430</v>
          </cell>
          <cell r="X188">
            <v>340000</v>
          </cell>
          <cell r="Y188">
            <v>10</v>
          </cell>
          <cell r="Z188">
            <v>34000</v>
          </cell>
          <cell r="AA188"/>
          <cell r="AB188">
            <v>0</v>
          </cell>
          <cell r="AD188">
            <v>3600000</v>
          </cell>
          <cell r="AE188">
            <v>27910.761682279484</v>
          </cell>
          <cell r="AF188">
            <v>25444.051101903304</v>
          </cell>
          <cell r="AG188"/>
          <cell r="AH188">
            <v>93035.872274264955</v>
          </cell>
          <cell r="AI188">
            <v>84813.503673011015</v>
          </cell>
        </row>
        <row r="189">
          <cell r="I189" t="str">
            <v>VAP-03-002-006</v>
          </cell>
          <cell r="J189" t="str">
            <v>CLOSED</v>
          </cell>
          <cell r="K189" t="str">
            <v>Blk 2 &amp; Lot 6</v>
          </cell>
          <cell r="L189">
            <v>55</v>
          </cell>
          <cell r="M189">
            <v>80</v>
          </cell>
          <cell r="N189" t="str">
            <v>DU-EXE</v>
          </cell>
          <cell r="O189" t="str">
            <v>DUPLEX REG</v>
          </cell>
          <cell r="P189">
            <v>3600000</v>
          </cell>
          <cell r="Q189"/>
          <cell r="R189">
            <v>3600000</v>
          </cell>
          <cell r="T189">
            <v>360000</v>
          </cell>
          <cell r="U189"/>
          <cell r="V189">
            <v>20000</v>
          </cell>
          <cell r="W189">
            <v>126430</v>
          </cell>
          <cell r="X189">
            <v>340000</v>
          </cell>
          <cell r="Y189">
            <v>10</v>
          </cell>
          <cell r="Z189">
            <v>34000</v>
          </cell>
          <cell r="AA189"/>
          <cell r="AB189">
            <v>0</v>
          </cell>
          <cell r="AD189">
            <v>3600000</v>
          </cell>
          <cell r="AE189">
            <v>27910.761682279484</v>
          </cell>
          <cell r="AF189">
            <v>25444.051101903304</v>
          </cell>
          <cell r="AG189"/>
          <cell r="AH189">
            <v>93035.872274264955</v>
          </cell>
          <cell r="AI189">
            <v>84813.503673011015</v>
          </cell>
        </row>
        <row r="190">
          <cell r="I190" t="str">
            <v>VAP-03-002-007</v>
          </cell>
          <cell r="J190" t="str">
            <v>CLOSED</v>
          </cell>
          <cell r="K190" t="str">
            <v>Blk 2 &amp; Lot 7</v>
          </cell>
          <cell r="L190">
            <v>55</v>
          </cell>
          <cell r="M190">
            <v>80</v>
          </cell>
          <cell r="N190" t="str">
            <v>DU-EXE</v>
          </cell>
          <cell r="O190" t="str">
            <v>DUPLEX REG</v>
          </cell>
          <cell r="P190">
            <v>3600000</v>
          </cell>
          <cell r="Q190"/>
          <cell r="R190">
            <v>3600000</v>
          </cell>
          <cell r="T190">
            <v>360000</v>
          </cell>
          <cell r="U190"/>
          <cell r="V190">
            <v>20000</v>
          </cell>
          <cell r="W190">
            <v>126430</v>
          </cell>
          <cell r="X190">
            <v>340000</v>
          </cell>
          <cell r="Y190">
            <v>10</v>
          </cell>
          <cell r="Z190">
            <v>34000</v>
          </cell>
          <cell r="AA190"/>
          <cell r="AB190">
            <v>0</v>
          </cell>
          <cell r="AD190">
            <v>3600000</v>
          </cell>
          <cell r="AE190">
            <v>27910.761682279484</v>
          </cell>
          <cell r="AF190">
            <v>25444.051101903304</v>
          </cell>
          <cell r="AG190"/>
          <cell r="AH190">
            <v>93035.872274264955</v>
          </cell>
          <cell r="AI190">
            <v>84813.503673011015</v>
          </cell>
        </row>
        <row r="191">
          <cell r="I191" t="str">
            <v>VAP-03-002-008</v>
          </cell>
          <cell r="J191" t="str">
            <v>CLOSED</v>
          </cell>
          <cell r="K191" t="str">
            <v>Blk 2 &amp; Lot 8</v>
          </cell>
          <cell r="L191">
            <v>55</v>
          </cell>
          <cell r="M191">
            <v>80</v>
          </cell>
          <cell r="N191" t="str">
            <v>DU-EXE</v>
          </cell>
          <cell r="O191" t="str">
            <v>DUPLEX REG</v>
          </cell>
          <cell r="P191">
            <v>3600000</v>
          </cell>
          <cell r="Q191"/>
          <cell r="R191">
            <v>3600000</v>
          </cell>
          <cell r="T191">
            <v>360000</v>
          </cell>
          <cell r="U191"/>
          <cell r="V191">
            <v>20000</v>
          </cell>
          <cell r="W191">
            <v>126430</v>
          </cell>
          <cell r="X191">
            <v>340000</v>
          </cell>
          <cell r="Y191">
            <v>10</v>
          </cell>
          <cell r="Z191">
            <v>34000</v>
          </cell>
          <cell r="AA191"/>
          <cell r="AB191">
            <v>0</v>
          </cell>
          <cell r="AD191">
            <v>3600000</v>
          </cell>
          <cell r="AE191">
            <v>27910.761682279484</v>
          </cell>
          <cell r="AF191">
            <v>25444.051101903304</v>
          </cell>
          <cell r="AG191"/>
          <cell r="AH191">
            <v>93035.872274264955</v>
          </cell>
          <cell r="AI191">
            <v>84813.503673011015</v>
          </cell>
        </row>
        <row r="192">
          <cell r="I192" t="str">
            <v>VAP-03-002-009</v>
          </cell>
          <cell r="J192" t="str">
            <v>CLOSED</v>
          </cell>
          <cell r="K192" t="str">
            <v>Blk 2 &amp; Lot 9</v>
          </cell>
          <cell r="L192">
            <v>55</v>
          </cell>
          <cell r="M192">
            <v>80</v>
          </cell>
          <cell r="N192" t="str">
            <v>DU-EXE</v>
          </cell>
          <cell r="O192" t="str">
            <v>DUPLEX REG</v>
          </cell>
          <cell r="P192">
            <v>3600000</v>
          </cell>
          <cell r="Q192"/>
          <cell r="R192">
            <v>3600000</v>
          </cell>
          <cell r="T192">
            <v>360000</v>
          </cell>
          <cell r="U192"/>
          <cell r="V192">
            <v>20000</v>
          </cell>
          <cell r="W192">
            <v>126430</v>
          </cell>
          <cell r="X192">
            <v>340000</v>
          </cell>
          <cell r="Y192">
            <v>10</v>
          </cell>
          <cell r="Z192">
            <v>34000</v>
          </cell>
          <cell r="AA192"/>
          <cell r="AB192">
            <v>0</v>
          </cell>
          <cell r="AD192">
            <v>3600000</v>
          </cell>
          <cell r="AE192">
            <v>27910.761682279484</v>
          </cell>
          <cell r="AF192">
            <v>25444.051101903304</v>
          </cell>
          <cell r="AG192"/>
          <cell r="AH192">
            <v>93035.872274264955</v>
          </cell>
          <cell r="AI192">
            <v>84813.503673011015</v>
          </cell>
        </row>
        <row r="193">
          <cell r="I193" t="str">
            <v>VAP-03-002-010</v>
          </cell>
          <cell r="J193" t="str">
            <v>CLOSED</v>
          </cell>
          <cell r="K193" t="str">
            <v>Blk 2 &amp; Lot 10</v>
          </cell>
          <cell r="L193">
            <v>55</v>
          </cell>
          <cell r="M193">
            <v>80</v>
          </cell>
          <cell r="N193" t="str">
            <v>DU-EXE</v>
          </cell>
          <cell r="O193" t="str">
            <v>DUPLEX REG</v>
          </cell>
          <cell r="P193">
            <v>3600000</v>
          </cell>
          <cell r="Q193"/>
          <cell r="R193">
            <v>3600000</v>
          </cell>
          <cell r="T193">
            <v>360000</v>
          </cell>
          <cell r="U193"/>
          <cell r="V193">
            <v>20000</v>
          </cell>
          <cell r="W193">
            <v>126430</v>
          </cell>
          <cell r="X193">
            <v>340000</v>
          </cell>
          <cell r="Y193">
            <v>10</v>
          </cell>
          <cell r="Z193">
            <v>34000</v>
          </cell>
          <cell r="AA193"/>
          <cell r="AB193">
            <v>0</v>
          </cell>
          <cell r="AD193">
            <v>3600000</v>
          </cell>
          <cell r="AE193">
            <v>27910.761682279484</v>
          </cell>
          <cell r="AF193">
            <v>25444.051101903304</v>
          </cell>
          <cell r="AG193"/>
          <cell r="AH193">
            <v>93035.872274264955</v>
          </cell>
          <cell r="AI193">
            <v>84813.503673011015</v>
          </cell>
        </row>
        <row r="194">
          <cell r="I194" t="str">
            <v>VAP-03-002-011</v>
          </cell>
          <cell r="J194" t="str">
            <v>CLOSED</v>
          </cell>
          <cell r="K194" t="str">
            <v>Blk 2 &amp; Lot 11</v>
          </cell>
          <cell r="L194">
            <v>55</v>
          </cell>
          <cell r="M194">
            <v>80</v>
          </cell>
          <cell r="N194" t="str">
            <v>DU-EXE</v>
          </cell>
          <cell r="O194" t="str">
            <v>DUPLEX REG</v>
          </cell>
          <cell r="P194">
            <v>3600000</v>
          </cell>
          <cell r="Q194"/>
          <cell r="R194">
            <v>3600000</v>
          </cell>
          <cell r="T194">
            <v>360000</v>
          </cell>
          <cell r="U194"/>
          <cell r="V194">
            <v>20000</v>
          </cell>
          <cell r="W194">
            <v>126430</v>
          </cell>
          <cell r="X194">
            <v>340000</v>
          </cell>
          <cell r="Y194">
            <v>10</v>
          </cell>
          <cell r="Z194">
            <v>34000</v>
          </cell>
          <cell r="AA194"/>
          <cell r="AB194">
            <v>0</v>
          </cell>
          <cell r="AD194">
            <v>3600000</v>
          </cell>
          <cell r="AE194">
            <v>27910.761682279484</v>
          </cell>
          <cell r="AF194">
            <v>25444.051101903304</v>
          </cell>
          <cell r="AG194"/>
          <cell r="AH194">
            <v>93035.872274264955</v>
          </cell>
          <cell r="AI194">
            <v>84813.503673011015</v>
          </cell>
        </row>
        <row r="195">
          <cell r="I195" t="str">
            <v>VAP-03-002-012</v>
          </cell>
          <cell r="J195" t="str">
            <v>CLOSED</v>
          </cell>
          <cell r="K195" t="str">
            <v>Blk 2 &amp; Lot 12</v>
          </cell>
          <cell r="L195">
            <v>55</v>
          </cell>
          <cell r="M195">
            <v>80</v>
          </cell>
          <cell r="N195" t="str">
            <v>DU-EXE</v>
          </cell>
          <cell r="O195" t="str">
            <v>DUPLEX REG</v>
          </cell>
          <cell r="P195">
            <v>3600000</v>
          </cell>
          <cell r="Q195"/>
          <cell r="R195">
            <v>3600000</v>
          </cell>
          <cell r="T195">
            <v>360000</v>
          </cell>
          <cell r="U195"/>
          <cell r="V195">
            <v>20000</v>
          </cell>
          <cell r="W195">
            <v>126430</v>
          </cell>
          <cell r="X195">
            <v>340000</v>
          </cell>
          <cell r="Y195">
            <v>10</v>
          </cell>
          <cell r="Z195">
            <v>34000</v>
          </cell>
          <cell r="AA195"/>
          <cell r="AB195">
            <v>0</v>
          </cell>
          <cell r="AD195">
            <v>3600000</v>
          </cell>
          <cell r="AE195">
            <v>27910.761682279484</v>
          </cell>
          <cell r="AF195">
            <v>25444.051101903304</v>
          </cell>
          <cell r="AG195"/>
          <cell r="AH195">
            <v>93035.872274264955</v>
          </cell>
          <cell r="AI195">
            <v>84813.503673011015</v>
          </cell>
        </row>
        <row r="196">
          <cell r="I196" t="str">
            <v>VAP-03-002-013</v>
          </cell>
          <cell r="J196" t="str">
            <v>CLOSED</v>
          </cell>
          <cell r="K196" t="str">
            <v>Blk 2 &amp; Lot 13</v>
          </cell>
          <cell r="L196">
            <v>55</v>
          </cell>
          <cell r="M196">
            <v>80</v>
          </cell>
          <cell r="N196" t="str">
            <v>DU-EXE</v>
          </cell>
          <cell r="O196" t="str">
            <v>DUPLEX REG</v>
          </cell>
          <cell r="P196">
            <v>3600000</v>
          </cell>
          <cell r="Q196"/>
          <cell r="R196">
            <v>3600000</v>
          </cell>
          <cell r="T196">
            <v>360000</v>
          </cell>
          <cell r="U196"/>
          <cell r="V196">
            <v>20000</v>
          </cell>
          <cell r="W196">
            <v>126430</v>
          </cell>
          <cell r="X196">
            <v>340000</v>
          </cell>
          <cell r="Y196">
            <v>10</v>
          </cell>
          <cell r="Z196">
            <v>34000</v>
          </cell>
          <cell r="AA196"/>
          <cell r="AB196">
            <v>0</v>
          </cell>
          <cell r="AD196">
            <v>3600000</v>
          </cell>
          <cell r="AE196">
            <v>27910.761682279484</v>
          </cell>
          <cell r="AF196">
            <v>25444.051101903304</v>
          </cell>
          <cell r="AG196"/>
          <cell r="AH196">
            <v>93035.872274264955</v>
          </cell>
          <cell r="AI196">
            <v>84813.503673011015</v>
          </cell>
        </row>
        <row r="197">
          <cell r="I197" t="str">
            <v>VAP-03-002-014</v>
          </cell>
          <cell r="J197" t="str">
            <v>CLOSED</v>
          </cell>
          <cell r="K197" t="str">
            <v>Blk 2 &amp; Lot 14</v>
          </cell>
          <cell r="L197">
            <v>55</v>
          </cell>
          <cell r="M197">
            <v>80</v>
          </cell>
          <cell r="N197" t="str">
            <v>DU-EXE</v>
          </cell>
          <cell r="O197" t="str">
            <v>DUPLEX REG</v>
          </cell>
          <cell r="P197">
            <v>3600000</v>
          </cell>
          <cell r="Q197"/>
          <cell r="R197">
            <v>3600000</v>
          </cell>
          <cell r="T197">
            <v>360000</v>
          </cell>
          <cell r="U197"/>
          <cell r="V197">
            <v>20000</v>
          </cell>
          <cell r="W197">
            <v>126430</v>
          </cell>
          <cell r="X197">
            <v>340000</v>
          </cell>
          <cell r="Y197">
            <v>10</v>
          </cell>
          <cell r="Z197">
            <v>34000</v>
          </cell>
          <cell r="AA197"/>
          <cell r="AB197">
            <v>0</v>
          </cell>
          <cell r="AD197">
            <v>3600000</v>
          </cell>
          <cell r="AE197">
            <v>27910.761682279484</v>
          </cell>
          <cell r="AF197">
            <v>25444.051101903304</v>
          </cell>
          <cell r="AG197"/>
          <cell r="AH197">
            <v>93035.872274264955</v>
          </cell>
          <cell r="AI197">
            <v>84813.503673011015</v>
          </cell>
        </row>
        <row r="198">
          <cell r="I198" t="str">
            <v>VAP-03-100-001</v>
          </cell>
          <cell r="J198" t="str">
            <v>CLOSED</v>
          </cell>
          <cell r="K198" t="str">
            <v>Blk 100 &amp; Lot 1</v>
          </cell>
          <cell r="L198">
            <v>55</v>
          </cell>
          <cell r="M198">
            <v>95</v>
          </cell>
          <cell r="N198" t="str">
            <v>DU-EXE-IRR</v>
          </cell>
          <cell r="O198" t="str">
            <v>DUPLEX 90+</v>
          </cell>
          <cell r="P198">
            <v>3600000</v>
          </cell>
          <cell r="Q198"/>
          <cell r="R198">
            <v>3600000</v>
          </cell>
          <cell r="T198">
            <v>468000</v>
          </cell>
          <cell r="U198"/>
          <cell r="V198">
            <v>20000</v>
          </cell>
          <cell r="W198">
            <v>164350</v>
          </cell>
          <cell r="X198">
            <v>448000</v>
          </cell>
          <cell r="Y198">
            <v>10</v>
          </cell>
          <cell r="Z198">
            <v>44800</v>
          </cell>
          <cell r="AA198"/>
          <cell r="AB198">
            <v>0</v>
          </cell>
          <cell r="AD198">
            <v>3600000</v>
          </cell>
          <cell r="AE198">
            <v>27910.761682279484</v>
          </cell>
          <cell r="AF198">
            <v>25444.051101903304</v>
          </cell>
          <cell r="AG198"/>
          <cell r="AH198">
            <v>93035.872274264955</v>
          </cell>
          <cell r="AI198">
            <v>84813.503673011015</v>
          </cell>
        </row>
        <row r="199">
          <cell r="I199" t="str">
            <v>VAP-03-100-002</v>
          </cell>
          <cell r="J199" t="str">
            <v>CLOSED</v>
          </cell>
          <cell r="K199" t="str">
            <v>Blk 100 &amp; Lot 2</v>
          </cell>
          <cell r="L199">
            <v>55</v>
          </cell>
          <cell r="M199">
            <v>93</v>
          </cell>
          <cell r="N199" t="str">
            <v>DU-EXE-IRR</v>
          </cell>
          <cell r="O199" t="str">
            <v>DUPLEX 90+</v>
          </cell>
          <cell r="P199">
            <v>3600000</v>
          </cell>
          <cell r="Q199"/>
          <cell r="R199">
            <v>3600000</v>
          </cell>
          <cell r="T199">
            <v>468000</v>
          </cell>
          <cell r="U199"/>
          <cell r="V199">
            <v>20000</v>
          </cell>
          <cell r="W199">
            <v>164350</v>
          </cell>
          <cell r="X199">
            <v>448000</v>
          </cell>
          <cell r="Y199">
            <v>10</v>
          </cell>
          <cell r="Z199">
            <v>44800</v>
          </cell>
          <cell r="AA199"/>
          <cell r="AB199">
            <v>0</v>
          </cell>
          <cell r="AD199">
            <v>3600000</v>
          </cell>
          <cell r="AE199">
            <v>27910.761682279484</v>
          </cell>
          <cell r="AF199">
            <v>25444.051101903304</v>
          </cell>
          <cell r="AG199"/>
          <cell r="AH199">
            <v>93035.872274264955</v>
          </cell>
          <cell r="AI199">
            <v>84813.503673011015</v>
          </cell>
        </row>
        <row r="200">
          <cell r="I200" t="str">
            <v>VAP-03-100-003</v>
          </cell>
          <cell r="J200" t="str">
            <v>CLOSED</v>
          </cell>
          <cell r="K200" t="str">
            <v>Blk 100 &amp; Lot 3</v>
          </cell>
          <cell r="L200">
            <v>55</v>
          </cell>
          <cell r="M200">
            <v>94</v>
          </cell>
          <cell r="N200" t="str">
            <v>DU-EXE-IRR</v>
          </cell>
          <cell r="O200" t="str">
            <v>DUPLEX 90+</v>
          </cell>
          <cell r="P200">
            <v>3600000</v>
          </cell>
          <cell r="Q200"/>
          <cell r="R200">
            <v>3600000</v>
          </cell>
          <cell r="T200">
            <v>468000</v>
          </cell>
          <cell r="U200"/>
          <cell r="V200">
            <v>20000</v>
          </cell>
          <cell r="W200">
            <v>164350</v>
          </cell>
          <cell r="X200">
            <v>448000</v>
          </cell>
          <cell r="Y200">
            <v>10</v>
          </cell>
          <cell r="Z200">
            <v>44800</v>
          </cell>
          <cell r="AA200"/>
          <cell r="AB200">
            <v>0</v>
          </cell>
          <cell r="AD200">
            <v>3600000</v>
          </cell>
          <cell r="AE200">
            <v>27910.761682279484</v>
          </cell>
          <cell r="AF200">
            <v>25444.051101903304</v>
          </cell>
          <cell r="AG200"/>
          <cell r="AH200">
            <v>93035.872274264955</v>
          </cell>
          <cell r="AI200">
            <v>84813.503673011015</v>
          </cell>
        </row>
        <row r="201">
          <cell r="I201" t="str">
            <v>VAP-03-100-004</v>
          </cell>
          <cell r="J201" t="str">
            <v>CLOSED</v>
          </cell>
          <cell r="K201" t="str">
            <v>Blk 100 &amp; Lot 4</v>
          </cell>
          <cell r="L201">
            <v>55</v>
          </cell>
          <cell r="M201">
            <v>94</v>
          </cell>
          <cell r="N201" t="str">
            <v>DU-EXE-IRR</v>
          </cell>
          <cell r="O201" t="str">
            <v>DUPLEX 90+</v>
          </cell>
          <cell r="P201">
            <v>3600000</v>
          </cell>
          <cell r="Q201"/>
          <cell r="R201">
            <v>3600000</v>
          </cell>
          <cell r="T201">
            <v>468000</v>
          </cell>
          <cell r="U201"/>
          <cell r="V201">
            <v>20000</v>
          </cell>
          <cell r="W201">
            <v>164350</v>
          </cell>
          <cell r="X201">
            <v>448000</v>
          </cell>
          <cell r="Y201">
            <v>10</v>
          </cell>
          <cell r="Z201">
            <v>44800</v>
          </cell>
          <cell r="AA201"/>
          <cell r="AB201">
            <v>0</v>
          </cell>
          <cell r="AD201">
            <v>3600000</v>
          </cell>
          <cell r="AE201">
            <v>27910.761682279484</v>
          </cell>
          <cell r="AF201">
            <v>25444.051101903304</v>
          </cell>
          <cell r="AG201"/>
          <cell r="AH201">
            <v>93035.872274264955</v>
          </cell>
          <cell r="AI201">
            <v>84813.503673011015</v>
          </cell>
        </row>
        <row r="202">
          <cell r="I202" t="str">
            <v>VAP-03-100-005</v>
          </cell>
          <cell r="J202" t="str">
            <v>CLOSED</v>
          </cell>
          <cell r="K202" t="str">
            <v>Blk 100 &amp; Lot 5</v>
          </cell>
          <cell r="L202">
            <v>55</v>
          </cell>
          <cell r="M202">
            <v>99</v>
          </cell>
          <cell r="N202" t="str">
            <v>DU-EXE-IRR</v>
          </cell>
          <cell r="O202" t="str">
            <v>DUPLEX IRREG +100</v>
          </cell>
          <cell r="P202">
            <v>4644500</v>
          </cell>
          <cell r="Q202">
            <v>497625</v>
          </cell>
          <cell r="R202">
            <v>4146875</v>
          </cell>
          <cell r="T202">
            <v>603785</v>
          </cell>
          <cell r="U202"/>
          <cell r="V202">
            <v>20000</v>
          </cell>
          <cell r="W202">
            <v>212040</v>
          </cell>
          <cell r="X202">
            <v>583785</v>
          </cell>
          <cell r="Y202">
            <v>10</v>
          </cell>
          <cell r="Z202">
            <v>58378.5</v>
          </cell>
          <cell r="AA202"/>
          <cell r="AB202">
            <v>0</v>
          </cell>
          <cell r="AD202">
            <v>4644500</v>
          </cell>
          <cell r="AE202">
            <v>36008.759064818631</v>
          </cell>
          <cell r="AF202">
            <v>32826.359817441633</v>
          </cell>
          <cell r="AG202"/>
          <cell r="AH202">
            <v>120029.19688272878</v>
          </cell>
          <cell r="AI202">
            <v>109421.19939147211</v>
          </cell>
        </row>
        <row r="203">
          <cell r="I203" t="str">
            <v>VAP-03-100-006</v>
          </cell>
          <cell r="J203" t="str">
            <v>CLOSED</v>
          </cell>
          <cell r="K203" t="str">
            <v>Blk 100 &amp; Lot 6</v>
          </cell>
          <cell r="L203">
            <v>55</v>
          </cell>
          <cell r="M203">
            <v>118</v>
          </cell>
          <cell r="N203" t="str">
            <v>DU-EXE-IRR</v>
          </cell>
          <cell r="O203" t="str">
            <v>DUPLEX IRREG +100</v>
          </cell>
          <cell r="P203">
            <v>4600000</v>
          </cell>
          <cell r="Q203">
            <v>492857.14285714284</v>
          </cell>
          <cell r="R203">
            <v>4107142.8571428573</v>
          </cell>
          <cell r="T203">
            <v>598000</v>
          </cell>
          <cell r="U203"/>
          <cell r="V203">
            <v>20000</v>
          </cell>
          <cell r="W203">
            <v>210000</v>
          </cell>
          <cell r="X203">
            <v>578000</v>
          </cell>
          <cell r="Y203">
            <v>10</v>
          </cell>
          <cell r="Z203">
            <v>57800</v>
          </cell>
          <cell r="AA203"/>
          <cell r="AB203">
            <v>0</v>
          </cell>
          <cell r="AD203">
            <v>4600000</v>
          </cell>
          <cell r="AE203">
            <v>35663.751038468232</v>
          </cell>
          <cell r="AF203">
            <v>32511.843074654222</v>
          </cell>
          <cell r="AG203"/>
          <cell r="AH203">
            <v>118879.17012822744</v>
          </cell>
          <cell r="AI203">
            <v>108372.81024884741</v>
          </cell>
        </row>
        <row r="204">
          <cell r="I204" t="str">
            <v>VAP-03-001-002</v>
          </cell>
          <cell r="J204" t="str">
            <v>CLOSED</v>
          </cell>
          <cell r="K204" t="str">
            <v>Blk 1 &amp; Lot 2</v>
          </cell>
          <cell r="L204">
            <v>55</v>
          </cell>
          <cell r="M204">
            <v>81</v>
          </cell>
          <cell r="N204" t="str">
            <v>DU-EXE</v>
          </cell>
          <cell r="O204" t="str">
            <v>DUPLEX REG</v>
          </cell>
          <cell r="P204">
            <v>3600000</v>
          </cell>
          <cell r="Q204"/>
          <cell r="R204">
            <v>3600000</v>
          </cell>
          <cell r="T204">
            <v>360000</v>
          </cell>
          <cell r="U204"/>
          <cell r="V204">
            <v>20000</v>
          </cell>
          <cell r="W204">
            <v>126430</v>
          </cell>
          <cell r="X204">
            <v>340000</v>
          </cell>
          <cell r="Y204">
            <v>12</v>
          </cell>
          <cell r="Z204">
            <v>28333.333333333332</v>
          </cell>
          <cell r="AA204"/>
          <cell r="AB204">
            <v>0</v>
          </cell>
          <cell r="AD204">
            <v>3600000</v>
          </cell>
          <cell r="AE204">
            <v>27910.761682279484</v>
          </cell>
          <cell r="AF204">
            <v>25444.051101903304</v>
          </cell>
          <cell r="AG204"/>
          <cell r="AH204">
            <v>93035.872274264955</v>
          </cell>
          <cell r="AI204">
            <v>84813.503673011015</v>
          </cell>
        </row>
        <row r="205">
          <cell r="I205" t="str">
            <v>VAP-03-001-003</v>
          </cell>
          <cell r="J205" t="str">
            <v>CLOSED</v>
          </cell>
          <cell r="K205" t="str">
            <v>Blk 1 &amp; Lot 3</v>
          </cell>
          <cell r="L205">
            <v>55</v>
          </cell>
          <cell r="M205">
            <v>81</v>
          </cell>
          <cell r="N205" t="str">
            <v>DU-EXE</v>
          </cell>
          <cell r="O205" t="str">
            <v>DUPLEX REG</v>
          </cell>
          <cell r="P205">
            <v>3600000</v>
          </cell>
          <cell r="Q205"/>
          <cell r="R205">
            <v>3600000</v>
          </cell>
          <cell r="T205">
            <v>360000</v>
          </cell>
          <cell r="U205"/>
          <cell r="V205">
            <v>20000</v>
          </cell>
          <cell r="W205">
            <v>126430</v>
          </cell>
          <cell r="X205">
            <v>340000</v>
          </cell>
          <cell r="Y205">
            <v>12</v>
          </cell>
          <cell r="Z205">
            <v>28333.333333333332</v>
          </cell>
          <cell r="AA205"/>
          <cell r="AB205">
            <v>0</v>
          </cell>
          <cell r="AD205">
            <v>3600000</v>
          </cell>
          <cell r="AE205">
            <v>27910.761682279484</v>
          </cell>
          <cell r="AF205">
            <v>25444.051101903304</v>
          </cell>
          <cell r="AG205"/>
          <cell r="AH205">
            <v>93035.872274264955</v>
          </cell>
          <cell r="AI205">
            <v>84813.503673011015</v>
          </cell>
        </row>
        <row r="206">
          <cell r="I206" t="str">
            <v>VAP-03-001-004</v>
          </cell>
          <cell r="J206" t="str">
            <v>CLOSED</v>
          </cell>
          <cell r="K206" t="str">
            <v>Blk 1 &amp; Lot 4</v>
          </cell>
          <cell r="L206">
            <v>55</v>
          </cell>
          <cell r="M206">
            <v>98</v>
          </cell>
          <cell r="N206" t="str">
            <v>DU-EXE-IRR</v>
          </cell>
          <cell r="O206" t="str">
            <v>DUPLEX IRREG +100</v>
          </cell>
          <cell r="P206">
            <v>4634000</v>
          </cell>
          <cell r="Q206">
            <v>496500</v>
          </cell>
          <cell r="R206">
            <v>4137500</v>
          </cell>
          <cell r="T206">
            <v>602420</v>
          </cell>
          <cell r="U206"/>
          <cell r="V206">
            <v>20000</v>
          </cell>
          <cell r="W206">
            <v>211560</v>
          </cell>
          <cell r="X206">
            <v>582420</v>
          </cell>
          <cell r="Y206">
            <v>12</v>
          </cell>
          <cell r="Z206">
            <v>48535</v>
          </cell>
          <cell r="AA206"/>
          <cell r="AB206">
            <v>0</v>
          </cell>
          <cell r="AD206">
            <v>4634000</v>
          </cell>
          <cell r="AE206">
            <v>35927.352676578652</v>
          </cell>
          <cell r="AF206">
            <v>32752.14800172775</v>
          </cell>
          <cell r="AG206"/>
          <cell r="AH206">
            <v>119757.84225526218</v>
          </cell>
          <cell r="AI206">
            <v>109173.82667242584</v>
          </cell>
        </row>
        <row r="207">
          <cell r="I207" t="str">
            <v>VAP-03-001-005</v>
          </cell>
          <cell r="J207" t="str">
            <v>CLOSED</v>
          </cell>
          <cell r="K207" t="str">
            <v>Blk 1 &amp; Lot 5</v>
          </cell>
          <cell r="L207">
            <v>55</v>
          </cell>
          <cell r="M207">
            <v>82</v>
          </cell>
          <cell r="N207" t="str">
            <v>DU-EXE</v>
          </cell>
          <cell r="O207" t="str">
            <v>DUPLEX REG</v>
          </cell>
          <cell r="P207">
            <v>3600000</v>
          </cell>
          <cell r="Q207"/>
          <cell r="R207">
            <v>3600000</v>
          </cell>
          <cell r="T207">
            <v>360000</v>
          </cell>
          <cell r="U207"/>
          <cell r="V207">
            <v>20000</v>
          </cell>
          <cell r="W207">
            <v>126430</v>
          </cell>
          <cell r="X207">
            <v>340000</v>
          </cell>
          <cell r="Y207">
            <v>12</v>
          </cell>
          <cell r="Z207">
            <v>28333.333333333332</v>
          </cell>
          <cell r="AA207"/>
          <cell r="AB207">
            <v>0</v>
          </cell>
          <cell r="AD207">
            <v>3600000</v>
          </cell>
          <cell r="AE207">
            <v>27910.761682279484</v>
          </cell>
          <cell r="AF207">
            <v>25444.051101903304</v>
          </cell>
          <cell r="AG207"/>
          <cell r="AH207">
            <v>93035.872274264955</v>
          </cell>
          <cell r="AI207">
            <v>84813.503673011015</v>
          </cell>
        </row>
        <row r="208">
          <cell r="I208" t="str">
            <v>VAP-03-002-001</v>
          </cell>
          <cell r="J208" t="str">
            <v>CLOSED</v>
          </cell>
          <cell r="K208" t="str">
            <v>Blk 2 &amp; Lot 1</v>
          </cell>
          <cell r="L208">
            <v>55</v>
          </cell>
          <cell r="M208">
            <v>80</v>
          </cell>
          <cell r="N208" t="str">
            <v>DU-EXE</v>
          </cell>
          <cell r="O208" t="str">
            <v>DUPLEX REG</v>
          </cell>
          <cell r="P208">
            <v>3600000</v>
          </cell>
          <cell r="Q208"/>
          <cell r="R208">
            <v>3600000</v>
          </cell>
          <cell r="T208">
            <v>360000</v>
          </cell>
          <cell r="U208"/>
          <cell r="V208">
            <v>20000</v>
          </cell>
          <cell r="W208">
            <v>126430</v>
          </cell>
          <cell r="X208">
            <v>340000</v>
          </cell>
          <cell r="Y208">
            <v>12</v>
          </cell>
          <cell r="Z208">
            <v>28333.333333333332</v>
          </cell>
          <cell r="AA208"/>
          <cell r="AB208">
            <v>0</v>
          </cell>
          <cell r="AD208">
            <v>3600000</v>
          </cell>
          <cell r="AE208">
            <v>27910.761682279484</v>
          </cell>
          <cell r="AF208">
            <v>25444.051101903304</v>
          </cell>
          <cell r="AG208"/>
          <cell r="AH208">
            <v>93035.872274264955</v>
          </cell>
          <cell r="AI208">
            <v>84813.503673011015</v>
          </cell>
        </row>
        <row r="209">
          <cell r="I209" t="str">
            <v>VAP-03-002-002</v>
          </cell>
          <cell r="J209" t="str">
            <v>CLOSED</v>
          </cell>
          <cell r="K209" t="str">
            <v>Blk 2 &amp; Lot 2</v>
          </cell>
          <cell r="L209">
            <v>55</v>
          </cell>
          <cell r="M209">
            <v>80</v>
          </cell>
          <cell r="N209" t="str">
            <v>DU-EXE</v>
          </cell>
          <cell r="O209" t="str">
            <v>DUPLEX REG</v>
          </cell>
          <cell r="P209">
            <v>3600000</v>
          </cell>
          <cell r="Q209"/>
          <cell r="R209">
            <v>3600000</v>
          </cell>
          <cell r="T209">
            <v>360000</v>
          </cell>
          <cell r="U209"/>
          <cell r="V209">
            <v>20000</v>
          </cell>
          <cell r="W209">
            <v>126430</v>
          </cell>
          <cell r="X209">
            <v>340000</v>
          </cell>
          <cell r="Y209">
            <v>12</v>
          </cell>
          <cell r="Z209">
            <v>28333.333333333332</v>
          </cell>
          <cell r="AA209"/>
          <cell r="AB209">
            <v>0</v>
          </cell>
          <cell r="AD209">
            <v>3600000</v>
          </cell>
          <cell r="AE209">
            <v>27910.761682279484</v>
          </cell>
          <cell r="AF209">
            <v>25444.051101903304</v>
          </cell>
          <cell r="AG209"/>
          <cell r="AH209">
            <v>93035.872274264955</v>
          </cell>
          <cell r="AI209">
            <v>84813.503673011015</v>
          </cell>
        </row>
        <row r="210">
          <cell r="I210" t="str">
            <v>VAP-03-002-015</v>
          </cell>
          <cell r="J210" t="str">
            <v>CLOSED</v>
          </cell>
          <cell r="K210" t="str">
            <v>Blk 2 &amp; Lot 15</v>
          </cell>
          <cell r="L210">
            <v>55</v>
          </cell>
          <cell r="M210">
            <v>80</v>
          </cell>
          <cell r="N210" t="str">
            <v>DU-EXE</v>
          </cell>
          <cell r="O210" t="str">
            <v>DUPLEX REG</v>
          </cell>
          <cell r="P210">
            <v>3600000</v>
          </cell>
          <cell r="Q210"/>
          <cell r="R210">
            <v>3600000</v>
          </cell>
          <cell r="T210">
            <v>360000</v>
          </cell>
          <cell r="U210"/>
          <cell r="V210">
            <v>20000</v>
          </cell>
          <cell r="W210">
            <v>126430</v>
          </cell>
          <cell r="X210">
            <v>340000</v>
          </cell>
          <cell r="Y210">
            <v>12</v>
          </cell>
          <cell r="Z210">
            <v>28333.333333333332</v>
          </cell>
          <cell r="AA210"/>
          <cell r="AB210">
            <v>0</v>
          </cell>
          <cell r="AD210">
            <v>3600000</v>
          </cell>
          <cell r="AE210">
            <v>27910.761682279484</v>
          </cell>
          <cell r="AF210">
            <v>25444.051101903304</v>
          </cell>
          <cell r="AG210"/>
          <cell r="AH210">
            <v>93035.872274264955</v>
          </cell>
          <cell r="AI210">
            <v>84813.503673011015</v>
          </cell>
        </row>
        <row r="211">
          <cell r="I211" t="str">
            <v>VAP-03-002-016</v>
          </cell>
          <cell r="J211" t="str">
            <v>CLOSED</v>
          </cell>
          <cell r="K211" t="str">
            <v>Blk 2 &amp; Lot 16</v>
          </cell>
          <cell r="L211">
            <v>55</v>
          </cell>
          <cell r="M211">
            <v>80</v>
          </cell>
          <cell r="N211" t="str">
            <v>DU-EXE</v>
          </cell>
          <cell r="O211" t="str">
            <v>DUPLEX REG</v>
          </cell>
          <cell r="P211">
            <v>3600000</v>
          </cell>
          <cell r="Q211"/>
          <cell r="R211">
            <v>3600000</v>
          </cell>
          <cell r="T211">
            <v>360000</v>
          </cell>
          <cell r="U211"/>
          <cell r="V211">
            <v>20000</v>
          </cell>
          <cell r="W211">
            <v>126430</v>
          </cell>
          <cell r="X211">
            <v>340000</v>
          </cell>
          <cell r="Y211">
            <v>12</v>
          </cell>
          <cell r="Z211">
            <v>28333.333333333332</v>
          </cell>
          <cell r="AA211"/>
          <cell r="AB211">
            <v>0</v>
          </cell>
          <cell r="AD211">
            <v>3600000</v>
          </cell>
          <cell r="AE211">
            <v>27910.761682279484</v>
          </cell>
          <cell r="AF211">
            <v>25444.051101903304</v>
          </cell>
          <cell r="AG211"/>
          <cell r="AH211">
            <v>93035.872274264955</v>
          </cell>
          <cell r="AI211">
            <v>84813.503673011015</v>
          </cell>
        </row>
        <row r="212">
          <cell r="I212" t="str">
            <v>VAP-03-002-017</v>
          </cell>
          <cell r="J212" t="str">
            <v>CLOSED</v>
          </cell>
          <cell r="K212" t="str">
            <v>Blk 2 &amp; Lot 17</v>
          </cell>
          <cell r="L212">
            <v>55</v>
          </cell>
          <cell r="M212">
            <v>80</v>
          </cell>
          <cell r="N212" t="str">
            <v>DU-EXE</v>
          </cell>
          <cell r="O212" t="str">
            <v>DUPLEX REG</v>
          </cell>
          <cell r="P212">
            <v>3600000</v>
          </cell>
          <cell r="Q212"/>
          <cell r="R212">
            <v>3600000</v>
          </cell>
          <cell r="T212">
            <v>360000</v>
          </cell>
          <cell r="U212"/>
          <cell r="V212">
            <v>20000</v>
          </cell>
          <cell r="W212">
            <v>126430</v>
          </cell>
          <cell r="X212">
            <v>340000</v>
          </cell>
          <cell r="Y212">
            <v>12</v>
          </cell>
          <cell r="Z212">
            <v>28333.333333333332</v>
          </cell>
          <cell r="AA212"/>
          <cell r="AB212">
            <v>0</v>
          </cell>
          <cell r="AD212">
            <v>3600000</v>
          </cell>
          <cell r="AE212">
            <v>27910.761682279484</v>
          </cell>
          <cell r="AF212">
            <v>25444.051101903304</v>
          </cell>
          <cell r="AG212"/>
          <cell r="AH212">
            <v>93035.872274264955</v>
          </cell>
          <cell r="AI212">
            <v>84813.503673011015</v>
          </cell>
        </row>
        <row r="213">
          <cell r="I213" t="str">
            <v>VAP-03-002-018</v>
          </cell>
          <cell r="J213" t="str">
            <v>CLOSED</v>
          </cell>
          <cell r="K213" t="str">
            <v>Blk 2 &amp; Lot 18</v>
          </cell>
          <cell r="L213">
            <v>55</v>
          </cell>
          <cell r="M213">
            <v>80</v>
          </cell>
          <cell r="N213" t="str">
            <v>DU-EXE</v>
          </cell>
          <cell r="O213" t="str">
            <v>DUPLEX REG</v>
          </cell>
          <cell r="P213">
            <v>3600000</v>
          </cell>
          <cell r="Q213"/>
          <cell r="R213">
            <v>3600000</v>
          </cell>
          <cell r="T213">
            <v>360000</v>
          </cell>
          <cell r="U213"/>
          <cell r="V213">
            <v>20000</v>
          </cell>
          <cell r="W213">
            <v>126430</v>
          </cell>
          <cell r="X213">
            <v>340000</v>
          </cell>
          <cell r="Y213">
            <v>12</v>
          </cell>
          <cell r="Z213">
            <v>28333.333333333332</v>
          </cell>
          <cell r="AA213"/>
          <cell r="AB213">
            <v>0</v>
          </cell>
          <cell r="AD213">
            <v>3600000</v>
          </cell>
          <cell r="AE213">
            <v>27910.761682279484</v>
          </cell>
          <cell r="AF213">
            <v>25444.051101903304</v>
          </cell>
          <cell r="AG213"/>
          <cell r="AH213">
            <v>93035.872274264955</v>
          </cell>
          <cell r="AI213">
            <v>84813.503673011015</v>
          </cell>
        </row>
        <row r="214">
          <cell r="I214" t="str">
            <v>VAP-03-002-019</v>
          </cell>
          <cell r="J214" t="str">
            <v>CLOSED</v>
          </cell>
          <cell r="K214" t="str">
            <v>Blk 2 &amp; Lot 19</v>
          </cell>
          <cell r="L214">
            <v>55</v>
          </cell>
          <cell r="M214">
            <v>80</v>
          </cell>
          <cell r="N214" t="str">
            <v>DU-EXE</v>
          </cell>
          <cell r="O214" t="str">
            <v>DUPLEX REG</v>
          </cell>
          <cell r="P214">
            <v>3600000</v>
          </cell>
          <cell r="Q214"/>
          <cell r="R214">
            <v>3600000</v>
          </cell>
          <cell r="T214">
            <v>360000</v>
          </cell>
          <cell r="U214"/>
          <cell r="V214">
            <v>20000</v>
          </cell>
          <cell r="W214">
            <v>126430</v>
          </cell>
          <cell r="X214">
            <v>340000</v>
          </cell>
          <cell r="Y214">
            <v>12</v>
          </cell>
          <cell r="Z214">
            <v>28333.333333333332</v>
          </cell>
          <cell r="AA214"/>
          <cell r="AB214">
            <v>0</v>
          </cell>
          <cell r="AD214">
            <v>3600000</v>
          </cell>
          <cell r="AE214">
            <v>27910.761682279484</v>
          </cell>
          <cell r="AF214">
            <v>25444.051101903304</v>
          </cell>
          <cell r="AG214"/>
          <cell r="AH214">
            <v>93035.872274264955</v>
          </cell>
          <cell r="AI214">
            <v>84813.503673011015</v>
          </cell>
        </row>
        <row r="215">
          <cell r="I215" t="str">
            <v>VAP-03-008-002</v>
          </cell>
          <cell r="J215" t="str">
            <v>CLOSED</v>
          </cell>
          <cell r="K215" t="str">
            <v>Blk 8 &amp; Lot 2</v>
          </cell>
          <cell r="L215">
            <v>55</v>
          </cell>
          <cell r="M215">
            <v>80</v>
          </cell>
          <cell r="N215" t="str">
            <v>DU-EXE</v>
          </cell>
          <cell r="O215" t="str">
            <v>DUPLEX REG</v>
          </cell>
          <cell r="P215">
            <v>3600000</v>
          </cell>
          <cell r="Q215"/>
          <cell r="R215">
            <v>3600000</v>
          </cell>
          <cell r="T215">
            <v>360000</v>
          </cell>
          <cell r="U215"/>
          <cell r="V215">
            <v>20000</v>
          </cell>
          <cell r="W215">
            <v>126430</v>
          </cell>
          <cell r="X215">
            <v>340000</v>
          </cell>
          <cell r="Y215">
            <v>12</v>
          </cell>
          <cell r="Z215">
            <v>28333.333333333332</v>
          </cell>
          <cell r="AA215"/>
          <cell r="AB215">
            <v>0</v>
          </cell>
          <cell r="AD215">
            <v>3600000</v>
          </cell>
          <cell r="AE215">
            <v>27910.761682279484</v>
          </cell>
          <cell r="AF215">
            <v>25444.051101903304</v>
          </cell>
          <cell r="AG215"/>
          <cell r="AH215">
            <v>93035.872274264955</v>
          </cell>
          <cell r="AI215">
            <v>84813.503673011015</v>
          </cell>
        </row>
        <row r="216">
          <cell r="I216" t="str">
            <v>VAP-03-008-003</v>
          </cell>
          <cell r="J216" t="str">
            <v>CLOSED</v>
          </cell>
          <cell r="K216" t="str">
            <v>Blk 8 &amp; Lot 3</v>
          </cell>
          <cell r="L216">
            <v>55</v>
          </cell>
          <cell r="M216">
            <v>83</v>
          </cell>
          <cell r="N216" t="str">
            <v>DU-EXE</v>
          </cell>
          <cell r="O216" t="str">
            <v>DUPLEX REG</v>
          </cell>
          <cell r="P216">
            <v>3600000</v>
          </cell>
          <cell r="Q216"/>
          <cell r="R216">
            <v>3600000</v>
          </cell>
          <cell r="T216">
            <v>360000</v>
          </cell>
          <cell r="U216"/>
          <cell r="V216">
            <v>20000</v>
          </cell>
          <cell r="W216">
            <v>126430</v>
          </cell>
          <cell r="X216">
            <v>340000</v>
          </cell>
          <cell r="Y216">
            <v>12</v>
          </cell>
          <cell r="Z216">
            <v>28333.333333333332</v>
          </cell>
          <cell r="AA216"/>
          <cell r="AB216">
            <v>0</v>
          </cell>
          <cell r="AD216">
            <v>3600000</v>
          </cell>
          <cell r="AE216">
            <v>27910.761682279484</v>
          </cell>
          <cell r="AF216">
            <v>25444.051101903304</v>
          </cell>
          <cell r="AG216"/>
          <cell r="AH216">
            <v>93035.872274264955</v>
          </cell>
          <cell r="AI216">
            <v>84813.503673011015</v>
          </cell>
        </row>
        <row r="217">
          <cell r="I217" t="str">
            <v>VAP-03-008-004</v>
          </cell>
          <cell r="J217" t="str">
            <v>CLOSED</v>
          </cell>
          <cell r="K217" t="str">
            <v>Blk 8 &amp; Lot 4</v>
          </cell>
          <cell r="L217">
            <v>55</v>
          </cell>
          <cell r="M217">
            <v>80</v>
          </cell>
          <cell r="N217" t="str">
            <v>DU-EXE</v>
          </cell>
          <cell r="O217" t="str">
            <v>DUPLEX REG</v>
          </cell>
          <cell r="P217">
            <v>3600000</v>
          </cell>
          <cell r="Q217"/>
          <cell r="R217">
            <v>3600000</v>
          </cell>
          <cell r="T217">
            <v>360000</v>
          </cell>
          <cell r="U217"/>
          <cell r="V217">
            <v>20000</v>
          </cell>
          <cell r="W217">
            <v>126430</v>
          </cell>
          <cell r="X217">
            <v>340000</v>
          </cell>
          <cell r="Y217">
            <v>12</v>
          </cell>
          <cell r="Z217">
            <v>28333.333333333332</v>
          </cell>
          <cell r="AA217"/>
          <cell r="AB217">
            <v>0</v>
          </cell>
          <cell r="AD217">
            <v>3600000</v>
          </cell>
          <cell r="AE217">
            <v>27910.761682279484</v>
          </cell>
          <cell r="AF217">
            <v>25444.051101903304</v>
          </cell>
          <cell r="AG217"/>
          <cell r="AH217">
            <v>93035.872274264955</v>
          </cell>
          <cell r="AI217">
            <v>84813.503673011015</v>
          </cell>
        </row>
        <row r="218">
          <cell r="I218" t="str">
            <v>VAP-03-008-005</v>
          </cell>
          <cell r="J218" t="str">
            <v>CLOSED</v>
          </cell>
          <cell r="K218" t="str">
            <v>Blk 8 &amp; Lot 5</v>
          </cell>
          <cell r="L218">
            <v>55</v>
          </cell>
          <cell r="M218">
            <v>93</v>
          </cell>
          <cell r="N218" t="str">
            <v>DU-EXE-IRR</v>
          </cell>
          <cell r="O218" t="str">
            <v>DUPLEX 90+</v>
          </cell>
          <cell r="P218">
            <v>3600000</v>
          </cell>
          <cell r="Q218"/>
          <cell r="R218">
            <v>3600000</v>
          </cell>
          <cell r="T218">
            <v>468000</v>
          </cell>
          <cell r="U218"/>
          <cell r="V218">
            <v>20000</v>
          </cell>
          <cell r="W218">
            <v>164350</v>
          </cell>
          <cell r="X218">
            <v>448000</v>
          </cell>
          <cell r="Y218">
            <v>12</v>
          </cell>
          <cell r="Z218">
            <v>37333.333333333336</v>
          </cell>
          <cell r="AA218"/>
          <cell r="AB218">
            <v>0</v>
          </cell>
          <cell r="AD218">
            <v>3600000</v>
          </cell>
          <cell r="AE218">
            <v>27910.761682279484</v>
          </cell>
          <cell r="AF218">
            <v>25444.051101903304</v>
          </cell>
          <cell r="AG218"/>
          <cell r="AH218">
            <v>93035.872274264955</v>
          </cell>
          <cell r="AI218">
            <v>84813.503673011015</v>
          </cell>
        </row>
        <row r="219">
          <cell r="I219" t="str">
            <v>VAP-03-002-020</v>
          </cell>
          <cell r="J219" t="str">
            <v>CLOSED</v>
          </cell>
          <cell r="K219" t="str">
            <v>Blk 2 &amp; Lot 20</v>
          </cell>
          <cell r="L219">
            <v>55</v>
          </cell>
          <cell r="M219">
            <v>80</v>
          </cell>
          <cell r="N219" t="str">
            <v>DU-EXE</v>
          </cell>
          <cell r="O219" t="str">
            <v>DUPLEX REG</v>
          </cell>
          <cell r="P219">
            <v>3600000</v>
          </cell>
          <cell r="Q219"/>
          <cell r="R219">
            <v>3600000</v>
          </cell>
          <cell r="T219">
            <v>360000</v>
          </cell>
          <cell r="U219"/>
          <cell r="V219">
            <v>20000</v>
          </cell>
          <cell r="W219">
            <v>126430</v>
          </cell>
          <cell r="X219">
            <v>340000</v>
          </cell>
          <cell r="Y219">
            <v>12</v>
          </cell>
          <cell r="Z219">
            <v>28333.333333333332</v>
          </cell>
          <cell r="AA219"/>
          <cell r="AB219">
            <v>0</v>
          </cell>
          <cell r="AD219">
            <v>3600000</v>
          </cell>
          <cell r="AE219">
            <v>27910.761682279484</v>
          </cell>
          <cell r="AF219">
            <v>25444.051101903304</v>
          </cell>
          <cell r="AG219"/>
          <cell r="AH219">
            <v>93035.872274264955</v>
          </cell>
          <cell r="AI219">
            <v>84813.503673011015</v>
          </cell>
        </row>
        <row r="220">
          <cell r="I220" t="str">
            <v>VAP-03-002-021</v>
          </cell>
          <cell r="J220" t="str">
            <v>CLOSED</v>
          </cell>
          <cell r="K220" t="str">
            <v>Blk 2 &amp; Lot 21</v>
          </cell>
          <cell r="L220">
            <v>55</v>
          </cell>
          <cell r="M220">
            <v>80</v>
          </cell>
          <cell r="N220" t="str">
            <v>DU-EXE</v>
          </cell>
          <cell r="O220" t="str">
            <v>DUPLEX REG</v>
          </cell>
          <cell r="P220">
            <v>3600000</v>
          </cell>
          <cell r="Q220"/>
          <cell r="R220">
            <v>3600000</v>
          </cell>
          <cell r="T220">
            <v>360000</v>
          </cell>
          <cell r="U220"/>
          <cell r="V220">
            <v>20000</v>
          </cell>
          <cell r="W220">
            <v>126430</v>
          </cell>
          <cell r="X220">
            <v>340000</v>
          </cell>
          <cell r="Y220">
            <v>12</v>
          </cell>
          <cell r="Z220">
            <v>28333.333333333332</v>
          </cell>
          <cell r="AA220"/>
          <cell r="AB220">
            <v>0</v>
          </cell>
          <cell r="AD220">
            <v>3600000</v>
          </cell>
          <cell r="AE220">
            <v>27910.761682279484</v>
          </cell>
          <cell r="AF220">
            <v>25444.051101903304</v>
          </cell>
          <cell r="AG220"/>
          <cell r="AH220">
            <v>93035.872274264955</v>
          </cell>
          <cell r="AI220">
            <v>84813.503673011015</v>
          </cell>
        </row>
        <row r="221">
          <cell r="I221" t="str">
            <v>VAP-03-002-022</v>
          </cell>
          <cell r="J221" t="str">
            <v>CLOSED</v>
          </cell>
          <cell r="K221" t="str">
            <v>Blk 2 &amp; Lot 22</v>
          </cell>
          <cell r="L221">
            <v>55</v>
          </cell>
          <cell r="M221">
            <v>80</v>
          </cell>
          <cell r="N221" t="str">
            <v>DU-EXE</v>
          </cell>
          <cell r="O221" t="str">
            <v>DUPLEX REG</v>
          </cell>
          <cell r="P221">
            <v>3600000</v>
          </cell>
          <cell r="Q221"/>
          <cell r="R221">
            <v>3600000</v>
          </cell>
          <cell r="T221">
            <v>360000</v>
          </cell>
          <cell r="U221"/>
          <cell r="V221">
            <v>20000</v>
          </cell>
          <cell r="W221">
            <v>126430</v>
          </cell>
          <cell r="X221">
            <v>340000</v>
          </cell>
          <cell r="Y221">
            <v>12</v>
          </cell>
          <cell r="Z221">
            <v>28333.333333333332</v>
          </cell>
          <cell r="AA221"/>
          <cell r="AB221">
            <v>0</v>
          </cell>
          <cell r="AD221">
            <v>3600000</v>
          </cell>
          <cell r="AE221">
            <v>27910.761682279484</v>
          </cell>
          <cell r="AF221">
            <v>25444.051101903304</v>
          </cell>
          <cell r="AG221"/>
          <cell r="AH221">
            <v>93035.872274264955</v>
          </cell>
          <cell r="AI221">
            <v>84813.503673011015</v>
          </cell>
        </row>
        <row r="222">
          <cell r="I222" t="str">
            <v>VAP-03-002-023</v>
          </cell>
          <cell r="J222" t="str">
            <v>CLOSED</v>
          </cell>
          <cell r="K222" t="str">
            <v>Blk 2 &amp; Lot 23</v>
          </cell>
          <cell r="L222">
            <v>55</v>
          </cell>
          <cell r="M222">
            <v>80</v>
          </cell>
          <cell r="N222" t="str">
            <v>DU-EXE</v>
          </cell>
          <cell r="O222" t="str">
            <v>DUPLEX REG</v>
          </cell>
          <cell r="P222">
            <v>3600000</v>
          </cell>
          <cell r="Q222"/>
          <cell r="R222">
            <v>3600000</v>
          </cell>
          <cell r="T222">
            <v>360000</v>
          </cell>
          <cell r="U222"/>
          <cell r="V222">
            <v>20000</v>
          </cell>
          <cell r="W222">
            <v>126430</v>
          </cell>
          <cell r="X222">
            <v>340000</v>
          </cell>
          <cell r="Y222">
            <v>12</v>
          </cell>
          <cell r="Z222">
            <v>28333.333333333332</v>
          </cell>
          <cell r="AA222"/>
          <cell r="AB222">
            <v>0</v>
          </cell>
          <cell r="AD222">
            <v>3600000</v>
          </cell>
          <cell r="AE222">
            <v>27910.761682279484</v>
          </cell>
          <cell r="AF222">
            <v>25444.051101903304</v>
          </cell>
          <cell r="AG222"/>
          <cell r="AH222">
            <v>93035.872274264955</v>
          </cell>
          <cell r="AI222">
            <v>84813.503673011015</v>
          </cell>
        </row>
        <row r="223">
          <cell r="I223" t="str">
            <v>VAP-03-002-024</v>
          </cell>
          <cell r="J223" t="str">
            <v>CLOSED</v>
          </cell>
          <cell r="K223" t="str">
            <v>Blk 2 &amp; Lot 24</v>
          </cell>
          <cell r="L223">
            <v>55</v>
          </cell>
          <cell r="M223">
            <v>80</v>
          </cell>
          <cell r="N223" t="str">
            <v>DU-EXE</v>
          </cell>
          <cell r="O223" t="str">
            <v>DUPLEX REG</v>
          </cell>
          <cell r="P223">
            <v>3600000</v>
          </cell>
          <cell r="Q223"/>
          <cell r="R223">
            <v>3600000</v>
          </cell>
          <cell r="T223">
            <v>360000</v>
          </cell>
          <cell r="U223"/>
          <cell r="V223">
            <v>20000</v>
          </cell>
          <cell r="W223">
            <v>126430</v>
          </cell>
          <cell r="X223">
            <v>340000</v>
          </cell>
          <cell r="Y223">
            <v>12</v>
          </cell>
          <cell r="Z223">
            <v>28333.333333333332</v>
          </cell>
          <cell r="AA223"/>
          <cell r="AB223">
            <v>0</v>
          </cell>
          <cell r="AD223">
            <v>3600000</v>
          </cell>
          <cell r="AE223">
            <v>27910.761682279484</v>
          </cell>
          <cell r="AF223">
            <v>25444.051101903304</v>
          </cell>
          <cell r="AG223"/>
          <cell r="AH223">
            <v>93035.872274264955</v>
          </cell>
          <cell r="AI223">
            <v>84813.503673011015</v>
          </cell>
        </row>
        <row r="224">
          <cell r="I224" t="str">
            <v>VAP-03-002-025</v>
          </cell>
          <cell r="J224" t="str">
            <v>CLOSED</v>
          </cell>
          <cell r="K224" t="str">
            <v>Blk 2 &amp; Lot 25</v>
          </cell>
          <cell r="L224">
            <v>55</v>
          </cell>
          <cell r="M224">
            <v>80</v>
          </cell>
          <cell r="N224" t="str">
            <v>DU-EXE</v>
          </cell>
          <cell r="O224" t="str">
            <v>DUPLEX REG</v>
          </cell>
          <cell r="P224">
            <v>3600000</v>
          </cell>
          <cell r="Q224"/>
          <cell r="R224">
            <v>3600000</v>
          </cell>
          <cell r="T224">
            <v>360000</v>
          </cell>
          <cell r="U224"/>
          <cell r="V224">
            <v>20000</v>
          </cell>
          <cell r="W224">
            <v>126430</v>
          </cell>
          <cell r="X224">
            <v>340000</v>
          </cell>
          <cell r="Y224">
            <v>12</v>
          </cell>
          <cell r="Z224">
            <v>28333.333333333332</v>
          </cell>
          <cell r="AA224"/>
          <cell r="AB224">
            <v>0</v>
          </cell>
          <cell r="AD224">
            <v>3600000</v>
          </cell>
          <cell r="AE224">
            <v>27910.761682279484</v>
          </cell>
          <cell r="AF224">
            <v>25444.051101903304</v>
          </cell>
          <cell r="AG224"/>
          <cell r="AH224">
            <v>93035.872274264955</v>
          </cell>
          <cell r="AI224">
            <v>84813.503673011015</v>
          </cell>
        </row>
        <row r="225">
          <cell r="I225" t="str">
            <v>VAP-03-002-026</v>
          </cell>
          <cell r="J225" t="str">
            <v>CLOSED</v>
          </cell>
          <cell r="K225" t="str">
            <v>Blk 2 &amp; Lot 26</v>
          </cell>
          <cell r="L225">
            <v>55</v>
          </cell>
          <cell r="M225">
            <v>80</v>
          </cell>
          <cell r="N225" t="str">
            <v>DU-EXE</v>
          </cell>
          <cell r="O225" t="str">
            <v>DUPLEX REG</v>
          </cell>
          <cell r="P225">
            <v>3600000</v>
          </cell>
          <cell r="Q225"/>
          <cell r="R225">
            <v>3600000</v>
          </cell>
          <cell r="T225">
            <v>360000</v>
          </cell>
          <cell r="U225"/>
          <cell r="V225">
            <v>20000</v>
          </cell>
          <cell r="W225">
            <v>126430</v>
          </cell>
          <cell r="X225">
            <v>340000</v>
          </cell>
          <cell r="Y225">
            <v>12</v>
          </cell>
          <cell r="Z225">
            <v>28333.333333333332</v>
          </cell>
          <cell r="AA225"/>
          <cell r="AB225">
            <v>0</v>
          </cell>
          <cell r="AD225">
            <v>3600000</v>
          </cell>
          <cell r="AE225">
            <v>27910.761682279484</v>
          </cell>
          <cell r="AF225">
            <v>25444.051101903304</v>
          </cell>
          <cell r="AG225"/>
          <cell r="AH225">
            <v>93035.872274264955</v>
          </cell>
          <cell r="AI225">
            <v>84813.503673011015</v>
          </cell>
        </row>
        <row r="226">
          <cell r="I226" t="str">
            <v>VAP-03-010-003</v>
          </cell>
          <cell r="J226" t="str">
            <v>CLOSED</v>
          </cell>
          <cell r="K226" t="str">
            <v>Blk 10 &amp; Lot 3</v>
          </cell>
          <cell r="L226">
            <v>55</v>
          </cell>
          <cell r="M226">
            <v>80</v>
          </cell>
          <cell r="N226" t="str">
            <v>DU-EXE</v>
          </cell>
          <cell r="O226" t="str">
            <v>DUPLEX REG</v>
          </cell>
          <cell r="P226">
            <v>3600000</v>
          </cell>
          <cell r="Q226"/>
          <cell r="R226">
            <v>3600000</v>
          </cell>
          <cell r="T226">
            <v>360000</v>
          </cell>
          <cell r="U226"/>
          <cell r="V226">
            <v>20000</v>
          </cell>
          <cell r="W226">
            <v>126430</v>
          </cell>
          <cell r="X226">
            <v>340000</v>
          </cell>
          <cell r="Y226">
            <v>12</v>
          </cell>
          <cell r="Z226">
            <v>28333.333333333332</v>
          </cell>
          <cell r="AA226"/>
          <cell r="AB226">
            <v>0</v>
          </cell>
          <cell r="AD226">
            <v>3600000</v>
          </cell>
          <cell r="AE226">
            <v>27910.761682279484</v>
          </cell>
          <cell r="AF226">
            <v>25444.051101903304</v>
          </cell>
          <cell r="AG226"/>
          <cell r="AH226">
            <v>93035.872274264955</v>
          </cell>
          <cell r="AI226">
            <v>84813.503673011015</v>
          </cell>
        </row>
        <row r="227">
          <cell r="I227" t="str">
            <v>VAP-03-010-004</v>
          </cell>
          <cell r="J227" t="str">
            <v>CLOSED</v>
          </cell>
          <cell r="K227" t="str">
            <v>Blk 10 &amp; Lot 4</v>
          </cell>
          <cell r="L227">
            <v>55</v>
          </cell>
          <cell r="M227">
            <v>95</v>
          </cell>
          <cell r="N227" t="str">
            <v>DU-EXE-IRR</v>
          </cell>
          <cell r="O227" t="str">
            <v>DUPLEX 90+</v>
          </cell>
          <cell r="P227">
            <v>3600000</v>
          </cell>
          <cell r="Q227"/>
          <cell r="R227">
            <v>3600000</v>
          </cell>
          <cell r="T227">
            <v>468000</v>
          </cell>
          <cell r="U227"/>
          <cell r="V227">
            <v>20000</v>
          </cell>
          <cell r="W227">
            <v>164350</v>
          </cell>
          <cell r="X227">
            <v>448000</v>
          </cell>
          <cell r="Y227">
            <v>12</v>
          </cell>
          <cell r="Z227">
            <v>37333.333333333336</v>
          </cell>
          <cell r="AA227"/>
          <cell r="AB227">
            <v>0</v>
          </cell>
          <cell r="AD227">
            <v>3600000</v>
          </cell>
          <cell r="AE227">
            <v>27910.761682279484</v>
          </cell>
          <cell r="AF227">
            <v>25444.051101903304</v>
          </cell>
          <cell r="AG227"/>
          <cell r="AH227">
            <v>93035.872274264955</v>
          </cell>
          <cell r="AI227">
            <v>84813.503673011015</v>
          </cell>
        </row>
        <row r="228">
          <cell r="I228" t="str">
            <v>VAP-03-010-005</v>
          </cell>
          <cell r="J228" t="str">
            <v>CLOSED</v>
          </cell>
          <cell r="K228" t="str">
            <v>Blk 10 &amp; Lot 5</v>
          </cell>
          <cell r="L228">
            <v>55</v>
          </cell>
          <cell r="M228">
            <v>89</v>
          </cell>
          <cell r="N228" t="str">
            <v>DU-EXE</v>
          </cell>
          <cell r="O228" t="str">
            <v>DUPLEX REG</v>
          </cell>
          <cell r="P228">
            <v>3600000</v>
          </cell>
          <cell r="Q228"/>
          <cell r="R228">
            <v>3600000</v>
          </cell>
          <cell r="T228">
            <v>360000</v>
          </cell>
          <cell r="U228"/>
          <cell r="V228">
            <v>20000</v>
          </cell>
          <cell r="W228">
            <v>126430</v>
          </cell>
          <cell r="X228">
            <v>340000</v>
          </cell>
          <cell r="Y228">
            <v>12</v>
          </cell>
          <cell r="Z228">
            <v>28333.333333333332</v>
          </cell>
          <cell r="AA228"/>
          <cell r="AB228">
            <v>0</v>
          </cell>
          <cell r="AD228">
            <v>3600000</v>
          </cell>
          <cell r="AE228">
            <v>27910.761682279484</v>
          </cell>
          <cell r="AF228">
            <v>25444.051101903304</v>
          </cell>
          <cell r="AG228"/>
          <cell r="AH228">
            <v>93035.872274264955</v>
          </cell>
          <cell r="AI228">
            <v>84813.503673011015</v>
          </cell>
        </row>
        <row r="229">
          <cell r="I229" t="str">
            <v>VAP-03-010-006</v>
          </cell>
          <cell r="J229" t="str">
            <v>CLOSED</v>
          </cell>
          <cell r="K229" t="str">
            <v>Blk 10 &amp; Lot 6</v>
          </cell>
          <cell r="L229">
            <v>55</v>
          </cell>
          <cell r="M229">
            <v>80</v>
          </cell>
          <cell r="N229" t="str">
            <v>DU-EXE</v>
          </cell>
          <cell r="O229" t="str">
            <v>DUPLEX REG</v>
          </cell>
          <cell r="P229">
            <v>3600000</v>
          </cell>
          <cell r="Q229"/>
          <cell r="R229">
            <v>3600000</v>
          </cell>
          <cell r="T229">
            <v>360000</v>
          </cell>
          <cell r="U229"/>
          <cell r="V229">
            <v>20000</v>
          </cell>
          <cell r="W229">
            <v>126430</v>
          </cell>
          <cell r="X229">
            <v>340000</v>
          </cell>
          <cell r="Y229">
            <v>12</v>
          </cell>
          <cell r="Z229">
            <v>28333.333333333332</v>
          </cell>
          <cell r="AA229"/>
          <cell r="AB229">
            <v>0</v>
          </cell>
          <cell r="AD229">
            <v>3600000</v>
          </cell>
          <cell r="AE229">
            <v>27910.761682279484</v>
          </cell>
          <cell r="AF229">
            <v>25444.051101903304</v>
          </cell>
          <cell r="AG229"/>
          <cell r="AH229">
            <v>93035.872274264955</v>
          </cell>
          <cell r="AI229">
            <v>84813.503673011015</v>
          </cell>
        </row>
        <row r="230">
          <cell r="I230" t="str">
            <v>VAP-03-001-001</v>
          </cell>
          <cell r="J230" t="str">
            <v>CLOSED</v>
          </cell>
          <cell r="K230" t="str">
            <v>Blk 1 &amp; Lot 1</v>
          </cell>
          <cell r="L230">
            <v>55</v>
          </cell>
          <cell r="M230">
            <v>101</v>
          </cell>
          <cell r="N230" t="str">
            <v>SA</v>
          </cell>
          <cell r="O230" t="str">
            <v>SA</v>
          </cell>
          <cell r="P230">
            <v>5070500</v>
          </cell>
          <cell r="Q230">
            <v>543267.85714285716</v>
          </cell>
          <cell r="R230">
            <v>4527232.1428571427</v>
          </cell>
          <cell r="T230">
            <v>659165</v>
          </cell>
          <cell r="U230"/>
          <cell r="V230">
            <v>20000</v>
          </cell>
          <cell r="W230">
            <v>231480</v>
          </cell>
          <cell r="X230">
            <v>300000</v>
          </cell>
          <cell r="Y230">
            <v>12</v>
          </cell>
          <cell r="Z230">
            <v>25000</v>
          </cell>
          <cell r="AA230"/>
          <cell r="AB230">
            <v>339165</v>
          </cell>
          <cell r="AD230">
            <v>5409665</v>
          </cell>
          <cell r="AE230">
            <v>41941.07516554679</v>
          </cell>
          <cell r="AF230">
            <v>38234.386862271589</v>
          </cell>
          <cell r="AG230"/>
          <cell r="AH230">
            <v>139803.58388515597</v>
          </cell>
          <cell r="AI230">
            <v>127447.95620757197</v>
          </cell>
        </row>
        <row r="231">
          <cell r="I231" t="str">
            <v>VAP-03-008-001</v>
          </cell>
          <cell r="J231" t="str">
            <v>CLOSED</v>
          </cell>
          <cell r="K231" t="str">
            <v>Blk 8 &amp; Lot 1</v>
          </cell>
          <cell r="L231">
            <v>55</v>
          </cell>
          <cell r="M231">
            <v>80</v>
          </cell>
          <cell r="N231" t="str">
            <v>SA</v>
          </cell>
          <cell r="O231" t="str">
            <v>SA</v>
          </cell>
          <cell r="P231">
            <v>4350000</v>
          </cell>
          <cell r="Q231">
            <v>466071.42857142858</v>
          </cell>
          <cell r="R231">
            <v>3883928.5714285714</v>
          </cell>
          <cell r="T231">
            <v>565500</v>
          </cell>
          <cell r="U231"/>
          <cell r="V231">
            <v>20000</v>
          </cell>
          <cell r="W231">
            <v>198590</v>
          </cell>
          <cell r="X231">
            <v>300000</v>
          </cell>
          <cell r="Y231">
            <v>12</v>
          </cell>
          <cell r="Z231">
            <v>25000</v>
          </cell>
          <cell r="AA231"/>
          <cell r="AB231">
            <v>245500</v>
          </cell>
          <cell r="AD231">
            <v>4595500</v>
          </cell>
          <cell r="AE231">
            <v>35628.86258636538</v>
          </cell>
          <cell r="AF231">
            <v>32480.03801077684</v>
          </cell>
          <cell r="AG231"/>
          <cell r="AH231">
            <v>118762.8752878846</v>
          </cell>
          <cell r="AI231">
            <v>108266.79336925613</v>
          </cell>
        </row>
        <row r="232">
          <cell r="I232" t="str">
            <v>VAP-03-200-001</v>
          </cell>
          <cell r="J232" t="str">
            <v>CLOSED</v>
          </cell>
          <cell r="K232" t="str">
            <v>Blk 200 &amp; Lot 1</v>
          </cell>
          <cell r="L232">
            <v>55</v>
          </cell>
          <cell r="M232">
            <v>129</v>
          </cell>
          <cell r="N232" t="str">
            <v>SA</v>
          </cell>
          <cell r="O232" t="str">
            <v>SA</v>
          </cell>
          <cell r="P232">
            <v>5864500</v>
          </cell>
          <cell r="Q232">
            <v>628339.28571428568</v>
          </cell>
          <cell r="R232">
            <v>5236160.7142857146</v>
          </cell>
          <cell r="T232">
            <v>762385</v>
          </cell>
          <cell r="U232"/>
          <cell r="V232">
            <v>20000</v>
          </cell>
          <cell r="W232">
            <v>267730</v>
          </cell>
          <cell r="X232">
            <v>742385</v>
          </cell>
          <cell r="Y232">
            <v>12</v>
          </cell>
          <cell r="Z232">
            <v>61865.416666666664</v>
          </cell>
          <cell r="AA232"/>
          <cell r="AB232">
            <v>0</v>
          </cell>
          <cell r="AD232">
            <v>5864500</v>
          </cell>
          <cell r="AE232">
            <v>45467.406079368899</v>
          </cell>
          <cell r="AF232">
            <v>41449.066024197753</v>
          </cell>
          <cell r="AG232"/>
          <cell r="AH232">
            <v>151558.02026456301</v>
          </cell>
          <cell r="AI232">
            <v>138163.55341399251</v>
          </cell>
        </row>
        <row r="233">
          <cell r="I233" t="str">
            <v>VAP-03-005-023</v>
          </cell>
          <cell r="J233" t="str">
            <v>CLOSED</v>
          </cell>
          <cell r="K233" t="str">
            <v>Blk 5 &amp; Lot 23</v>
          </cell>
          <cell r="L233">
            <v>55</v>
          </cell>
          <cell r="M233">
            <v>80</v>
          </cell>
          <cell r="N233" t="str">
            <v>DU-EXE</v>
          </cell>
          <cell r="O233" t="str">
            <v>DUPLEX REG</v>
          </cell>
          <cell r="P233">
            <v>3600000</v>
          </cell>
          <cell r="Q233"/>
          <cell r="R233">
            <v>3600000</v>
          </cell>
          <cell r="T233">
            <v>360000</v>
          </cell>
          <cell r="U233"/>
          <cell r="V233">
            <v>20000</v>
          </cell>
          <cell r="W233">
            <v>126430</v>
          </cell>
          <cell r="X233">
            <v>100000</v>
          </cell>
          <cell r="Y233">
            <v>3</v>
          </cell>
          <cell r="Z233">
            <v>33333.333333333336</v>
          </cell>
          <cell r="AA233"/>
          <cell r="AB233">
            <v>240000</v>
          </cell>
          <cell r="AD233">
            <v>3840000</v>
          </cell>
          <cell r="AE233">
            <v>29771.479127764786</v>
          </cell>
          <cell r="AF233">
            <v>27140.321175363522</v>
          </cell>
          <cell r="AG233"/>
          <cell r="AH233">
            <v>99238.263759215959</v>
          </cell>
          <cell r="AI233">
            <v>90467.737251211744</v>
          </cell>
        </row>
        <row r="234">
          <cell r="I234" t="str">
            <v>VAP-03-005-045</v>
          </cell>
          <cell r="J234" t="str">
            <v>CLOSED</v>
          </cell>
          <cell r="K234" t="str">
            <v>Blk 5 &amp; Lot 45</v>
          </cell>
          <cell r="L234">
            <v>55</v>
          </cell>
          <cell r="M234">
            <v>90</v>
          </cell>
          <cell r="N234" t="str">
            <v>DU-EXE-IRR</v>
          </cell>
          <cell r="O234" t="str">
            <v>DUPLEX 90+</v>
          </cell>
          <cell r="P234">
            <v>3600000</v>
          </cell>
          <cell r="Q234"/>
          <cell r="R234">
            <v>3600000</v>
          </cell>
          <cell r="T234">
            <v>468000</v>
          </cell>
          <cell r="U234"/>
          <cell r="V234">
            <v>20000</v>
          </cell>
          <cell r="W234">
            <v>164350</v>
          </cell>
          <cell r="X234">
            <v>150000</v>
          </cell>
          <cell r="Y234">
            <v>4</v>
          </cell>
          <cell r="Z234">
            <v>37500</v>
          </cell>
          <cell r="AA234"/>
          <cell r="AB234">
            <v>298000</v>
          </cell>
          <cell r="AD234">
            <v>3898000</v>
          </cell>
          <cell r="AE234">
            <v>30221.152510423733</v>
          </cell>
          <cell r="AF234">
            <v>27550.253109783076</v>
          </cell>
          <cell r="AG234"/>
          <cell r="AH234">
            <v>100737.17503474579</v>
          </cell>
          <cell r="AI234">
            <v>91834.177032610256</v>
          </cell>
        </row>
        <row r="235">
          <cell r="I235" t="str">
            <v>VAP-03-006-026</v>
          </cell>
          <cell r="J235" t="str">
            <v>CLOSED</v>
          </cell>
          <cell r="K235" t="str">
            <v>Blk 6 &amp; Lot 26</v>
          </cell>
          <cell r="L235">
            <v>55</v>
          </cell>
          <cell r="M235">
            <v>80</v>
          </cell>
          <cell r="N235" t="str">
            <v>DU-EXE</v>
          </cell>
          <cell r="O235" t="str">
            <v>DUPLEX REG</v>
          </cell>
          <cell r="P235">
            <v>3600000</v>
          </cell>
          <cell r="Q235"/>
          <cell r="R235">
            <v>3600000</v>
          </cell>
          <cell r="T235">
            <v>360000</v>
          </cell>
          <cell r="U235"/>
          <cell r="V235">
            <v>20000</v>
          </cell>
          <cell r="W235">
            <v>126430</v>
          </cell>
          <cell r="X235">
            <v>100000</v>
          </cell>
          <cell r="Y235">
            <v>3</v>
          </cell>
          <cell r="Z235">
            <v>33333.333333333336</v>
          </cell>
          <cell r="AA235"/>
          <cell r="AB235">
            <v>240000</v>
          </cell>
          <cell r="AD235">
            <v>3840000</v>
          </cell>
          <cell r="AE235">
            <v>29771.479127764786</v>
          </cell>
          <cell r="AF235">
            <v>27140.321175363522</v>
          </cell>
          <cell r="AG235"/>
          <cell r="AH235">
            <v>99238.263759215959</v>
          </cell>
          <cell r="AI235">
            <v>90467.737251211744</v>
          </cell>
        </row>
        <row r="236">
          <cell r="I236" t="str">
            <v>VAP-03-011-003</v>
          </cell>
          <cell r="J236" t="str">
            <v>CLOSED</v>
          </cell>
          <cell r="K236" t="str">
            <v>Blk 11 &amp; Lot 3</v>
          </cell>
          <cell r="L236">
            <v>55</v>
          </cell>
          <cell r="M236">
            <v>80</v>
          </cell>
          <cell r="N236" t="str">
            <v>DU-EXE</v>
          </cell>
          <cell r="O236" t="str">
            <v>DUPLEX REG</v>
          </cell>
          <cell r="P236">
            <v>3600000</v>
          </cell>
          <cell r="Q236"/>
          <cell r="R236">
            <v>3600000</v>
          </cell>
          <cell r="T236">
            <v>360000</v>
          </cell>
          <cell r="U236"/>
          <cell r="V236">
            <v>20000</v>
          </cell>
          <cell r="W236">
            <v>126430</v>
          </cell>
          <cell r="X236">
            <v>100000</v>
          </cell>
          <cell r="Y236">
            <v>3</v>
          </cell>
          <cell r="Z236">
            <v>33333.333333333336</v>
          </cell>
          <cell r="AA236"/>
          <cell r="AB236">
            <v>240000</v>
          </cell>
          <cell r="AD236">
            <v>3840000</v>
          </cell>
          <cell r="AE236">
            <v>29771.479127764786</v>
          </cell>
          <cell r="AF236">
            <v>27140.321175363522</v>
          </cell>
          <cell r="AG236"/>
          <cell r="AH236">
            <v>99238.263759215959</v>
          </cell>
          <cell r="AI236">
            <v>90467.737251211744</v>
          </cell>
        </row>
        <row r="237">
          <cell r="I237" t="str">
            <v>VAP-03-011-006</v>
          </cell>
          <cell r="J237" t="str">
            <v>CLOSED</v>
          </cell>
          <cell r="K237" t="str">
            <v>Blk 11 &amp; Lot 6</v>
          </cell>
          <cell r="L237">
            <v>55</v>
          </cell>
          <cell r="M237">
            <v>80</v>
          </cell>
          <cell r="N237" t="str">
            <v>DU-EXE</v>
          </cell>
          <cell r="O237" t="str">
            <v>DUPLEX REG</v>
          </cell>
          <cell r="P237">
            <v>3600000</v>
          </cell>
          <cell r="Q237"/>
          <cell r="R237">
            <v>3600000</v>
          </cell>
          <cell r="T237">
            <v>360000</v>
          </cell>
          <cell r="U237"/>
          <cell r="V237">
            <v>20000</v>
          </cell>
          <cell r="W237">
            <v>126430</v>
          </cell>
          <cell r="X237">
            <v>100000</v>
          </cell>
          <cell r="Y237">
            <v>3</v>
          </cell>
          <cell r="Z237">
            <v>33333.333333333336</v>
          </cell>
          <cell r="AA237"/>
          <cell r="AB237">
            <v>240000</v>
          </cell>
          <cell r="AD237">
            <v>3840000</v>
          </cell>
          <cell r="AE237">
            <v>29771.479127764786</v>
          </cell>
          <cell r="AF237">
            <v>27140.321175363522</v>
          </cell>
          <cell r="AG237"/>
          <cell r="AH237">
            <v>99238.263759215959</v>
          </cell>
          <cell r="AI237">
            <v>90467.737251211744</v>
          </cell>
        </row>
        <row r="238">
          <cell r="I238" t="str">
            <v>VAP-03-012-003</v>
          </cell>
          <cell r="J238" t="str">
            <v>CLOSED</v>
          </cell>
          <cell r="K238" t="str">
            <v>Blk 12 &amp; Lot 3</v>
          </cell>
          <cell r="L238">
            <v>55</v>
          </cell>
          <cell r="M238">
            <v>90</v>
          </cell>
          <cell r="N238" t="str">
            <v>DU-EXE-IRR</v>
          </cell>
          <cell r="O238" t="str">
            <v>DUPLEX 90+</v>
          </cell>
          <cell r="P238">
            <v>3600000</v>
          </cell>
          <cell r="Q238"/>
          <cell r="R238">
            <v>3600000</v>
          </cell>
          <cell r="T238">
            <v>468000</v>
          </cell>
          <cell r="U238"/>
          <cell r="V238">
            <v>20000</v>
          </cell>
          <cell r="W238">
            <v>164350</v>
          </cell>
          <cell r="X238">
            <v>150000</v>
          </cell>
          <cell r="Y238">
            <v>4</v>
          </cell>
          <cell r="Z238">
            <v>37500</v>
          </cell>
          <cell r="AA238"/>
          <cell r="AB238">
            <v>298000</v>
          </cell>
          <cell r="AD238">
            <v>3898000</v>
          </cell>
          <cell r="AE238">
            <v>30221.152510423733</v>
          </cell>
          <cell r="AF238">
            <v>27550.253109783076</v>
          </cell>
          <cell r="AG238"/>
          <cell r="AH238">
            <v>100737.17503474579</v>
          </cell>
          <cell r="AI238">
            <v>91834.177032610256</v>
          </cell>
        </row>
        <row r="239">
          <cell r="I239" t="str">
            <v>VAP-03-012-006</v>
          </cell>
          <cell r="J239" t="str">
            <v>CLOSED</v>
          </cell>
          <cell r="K239" t="str">
            <v>Blk 12 &amp; Lot 6</v>
          </cell>
          <cell r="L239">
            <v>55</v>
          </cell>
          <cell r="M239">
            <v>90</v>
          </cell>
          <cell r="N239" t="str">
            <v>DU-EXE-IRR</v>
          </cell>
          <cell r="O239" t="str">
            <v>DUPLEX 90+</v>
          </cell>
          <cell r="P239">
            <v>3600000</v>
          </cell>
          <cell r="Q239"/>
          <cell r="R239">
            <v>3600000</v>
          </cell>
          <cell r="T239">
            <v>468000</v>
          </cell>
          <cell r="U239"/>
          <cell r="V239">
            <v>20000</v>
          </cell>
          <cell r="W239">
            <v>164350</v>
          </cell>
          <cell r="X239">
            <v>150000</v>
          </cell>
          <cell r="Y239">
            <v>4</v>
          </cell>
          <cell r="Z239">
            <v>37500</v>
          </cell>
          <cell r="AA239"/>
          <cell r="AB239">
            <v>298000</v>
          </cell>
          <cell r="AD239">
            <v>3898000</v>
          </cell>
          <cell r="AE239">
            <v>30221.152510423733</v>
          </cell>
          <cell r="AF239">
            <v>27550.253109783076</v>
          </cell>
          <cell r="AG239"/>
          <cell r="AH239">
            <v>100737.17503474579</v>
          </cell>
          <cell r="AI239">
            <v>91834.177032610256</v>
          </cell>
        </row>
        <row r="240">
          <cell r="I240" t="str">
            <v>VAP-03-005-001</v>
          </cell>
          <cell r="J240" t="str">
            <v>CLOSED</v>
          </cell>
          <cell r="K240" t="str">
            <v>Blk 5 &amp; Lot 1</v>
          </cell>
          <cell r="L240" t="str">
            <v>NA</v>
          </cell>
          <cell r="M240">
            <v>127</v>
          </cell>
          <cell r="N240" t="str">
            <v>LO</v>
          </cell>
          <cell r="O240" t="str">
            <v>LO</v>
          </cell>
          <cell r="P240">
            <v>4196500</v>
          </cell>
          <cell r="Q240">
            <v>449625</v>
          </cell>
          <cell r="R240">
            <v>3746875</v>
          </cell>
          <cell r="T240">
            <v>374687.5</v>
          </cell>
          <cell r="U240"/>
          <cell r="V240">
            <v>20000</v>
          </cell>
          <cell r="W240">
            <v>131580</v>
          </cell>
          <cell r="X240">
            <v>100000</v>
          </cell>
          <cell r="Y240">
            <v>5</v>
          </cell>
          <cell r="Z240">
            <v>20000</v>
          </cell>
          <cell r="AA240"/>
          <cell r="AB240">
            <v>254687.5</v>
          </cell>
          <cell r="AD240">
            <v>4451187.5</v>
          </cell>
          <cell r="AE240">
            <v>34510.009309900393</v>
          </cell>
          <cell r="AF240">
            <v>31460.067281709224</v>
          </cell>
          <cell r="AG240"/>
          <cell r="AH240">
            <v>115033.36436633464</v>
          </cell>
          <cell r="AI240">
            <v>104866.89093903075</v>
          </cell>
        </row>
        <row r="241">
          <cell r="I241" t="str">
            <v>VAP-03-005-002</v>
          </cell>
          <cell r="J241" t="str">
            <v>CLOSED</v>
          </cell>
          <cell r="K241" t="str">
            <v>Blk 5 &amp; Lot 2</v>
          </cell>
          <cell r="L241" t="str">
            <v>NA</v>
          </cell>
          <cell r="M241">
            <v>121</v>
          </cell>
          <cell r="N241" t="str">
            <v>LO</v>
          </cell>
          <cell r="O241" t="str">
            <v>LO</v>
          </cell>
          <cell r="P241">
            <v>4033500</v>
          </cell>
          <cell r="Q241">
            <v>432160.71428571426</v>
          </cell>
          <cell r="R241">
            <v>3601339.2857142859</v>
          </cell>
          <cell r="T241">
            <v>360133.92857142864</v>
          </cell>
          <cell r="U241"/>
          <cell r="V241">
            <v>20000</v>
          </cell>
          <cell r="W241">
            <v>126470</v>
          </cell>
          <cell r="X241">
            <v>100000</v>
          </cell>
          <cell r="Y241">
            <v>5</v>
          </cell>
          <cell r="Z241">
            <v>20000</v>
          </cell>
          <cell r="AA241"/>
          <cell r="AB241">
            <v>240133.92857142864</v>
          </cell>
          <cell r="AD241">
            <v>4273633.9285714291</v>
          </cell>
          <cell r="AE241">
            <v>33133.438360461383</v>
          </cell>
          <cell r="AF241">
            <v>30205.155574833116</v>
          </cell>
          <cell r="AG241"/>
          <cell r="AH241">
            <v>110444.79453487128</v>
          </cell>
          <cell r="AI241">
            <v>100683.85191611039</v>
          </cell>
        </row>
        <row r="242">
          <cell r="I242" t="str">
            <v>VAP-03-005-024</v>
          </cell>
          <cell r="J242" t="str">
            <v>CLOSED</v>
          </cell>
          <cell r="K242" t="str">
            <v>Blk 5 &amp; Lot 24</v>
          </cell>
          <cell r="L242" t="str">
            <v>NA</v>
          </cell>
          <cell r="M242">
            <v>98</v>
          </cell>
          <cell r="N242" t="str">
            <v>LO</v>
          </cell>
          <cell r="O242" t="str">
            <v>LO</v>
          </cell>
          <cell r="P242">
            <v>3192000</v>
          </cell>
          <cell r="Q242">
            <v>342000</v>
          </cell>
          <cell r="R242">
            <v>2850000</v>
          </cell>
          <cell r="T242">
            <v>285000</v>
          </cell>
          <cell r="U242"/>
          <cell r="V242">
            <v>20000</v>
          </cell>
          <cell r="W242">
            <v>100090</v>
          </cell>
          <cell r="X242">
            <v>100000</v>
          </cell>
          <cell r="Y242">
            <v>5</v>
          </cell>
          <cell r="Z242">
            <v>20000</v>
          </cell>
          <cell r="AA242"/>
          <cell r="AB242">
            <v>165000</v>
          </cell>
          <cell r="AD242">
            <v>3357000</v>
          </cell>
          <cell r="AE242">
            <v>26026.78526872562</v>
          </cell>
          <cell r="AF242">
            <v>23726.577652524829</v>
          </cell>
          <cell r="AG242"/>
          <cell r="AH242">
            <v>86755.950895752074</v>
          </cell>
          <cell r="AI242">
            <v>79088.592175082769</v>
          </cell>
        </row>
        <row r="243">
          <cell r="I243" t="str">
            <v>VAP-03-006-001</v>
          </cell>
          <cell r="J243" t="str">
            <v>CLOSED</v>
          </cell>
          <cell r="K243" t="str">
            <v>Blk 6 &amp; Lot 1</v>
          </cell>
          <cell r="L243" t="str">
            <v>NA</v>
          </cell>
          <cell r="M243">
            <v>118</v>
          </cell>
          <cell r="N243" t="str">
            <v>LO</v>
          </cell>
          <cell r="O243" t="str">
            <v>LO</v>
          </cell>
          <cell r="P243">
            <v>3902000</v>
          </cell>
          <cell r="Q243">
            <v>418071.42857142858</v>
          </cell>
          <cell r="R243">
            <v>3483928.5714285714</v>
          </cell>
          <cell r="T243">
            <v>348392.85714285716</v>
          </cell>
          <cell r="U243"/>
          <cell r="V243">
            <v>20000</v>
          </cell>
          <cell r="W243">
            <v>122350</v>
          </cell>
          <cell r="X243">
            <v>100000</v>
          </cell>
          <cell r="Y243">
            <v>5</v>
          </cell>
          <cell r="Z243">
            <v>20000</v>
          </cell>
          <cell r="AA243"/>
          <cell r="AB243">
            <v>228392.85714285716</v>
          </cell>
          <cell r="AD243">
            <v>4130392.8571428573</v>
          </cell>
          <cell r="AE243">
            <v>32022.891858306597</v>
          </cell>
          <cell r="AF243">
            <v>29192.757480022014</v>
          </cell>
          <cell r="AG243"/>
          <cell r="AH243">
            <v>106742.97286102199</v>
          </cell>
          <cell r="AI243">
            <v>97309.191600073376</v>
          </cell>
        </row>
        <row r="244">
          <cell r="I244" t="str">
            <v>VAP-03-006-002</v>
          </cell>
          <cell r="J244" t="str">
            <v>CLOSED</v>
          </cell>
          <cell r="K244" t="str">
            <v>Blk 6 &amp; Lot 2</v>
          </cell>
          <cell r="L244" t="str">
            <v>NA</v>
          </cell>
          <cell r="M244">
            <v>142</v>
          </cell>
          <cell r="N244" t="str">
            <v>LO</v>
          </cell>
          <cell r="O244" t="str">
            <v>LO</v>
          </cell>
          <cell r="P244">
            <v>4754000</v>
          </cell>
          <cell r="Q244">
            <v>509357.14285714284</v>
          </cell>
          <cell r="R244">
            <v>4244642.8571428573</v>
          </cell>
          <cell r="T244">
            <v>424464.28571428574</v>
          </cell>
          <cell r="U244"/>
          <cell r="V244">
            <v>20000</v>
          </cell>
          <cell r="W244">
            <v>149060</v>
          </cell>
          <cell r="X244">
            <v>100000</v>
          </cell>
          <cell r="Y244">
            <v>5</v>
          </cell>
          <cell r="Z244">
            <v>20000</v>
          </cell>
          <cell r="AA244"/>
          <cell r="AB244">
            <v>304464.28571428574</v>
          </cell>
          <cell r="AD244">
            <v>5058464.2857142854</v>
          </cell>
          <cell r="AE244">
            <v>39218.219765803762</v>
          </cell>
          <cell r="AF244">
            <v>35752.173273018627</v>
          </cell>
          <cell r="AG244"/>
          <cell r="AH244">
            <v>130727.39921934588</v>
          </cell>
          <cell r="AI244">
            <v>119173.9109100621</v>
          </cell>
        </row>
        <row r="245">
          <cell r="I245" t="str">
            <v>VAP-03-006-025</v>
          </cell>
          <cell r="J245" t="str">
            <v>CLOSED</v>
          </cell>
          <cell r="K245" t="str">
            <v>Blk 6 &amp; Lot 25</v>
          </cell>
          <cell r="L245" t="str">
            <v>NA</v>
          </cell>
          <cell r="M245">
            <v>105</v>
          </cell>
          <cell r="N245" t="str">
            <v>LO</v>
          </cell>
          <cell r="O245" t="str">
            <v>LO</v>
          </cell>
          <cell r="P245">
            <v>3465500</v>
          </cell>
          <cell r="Q245">
            <v>371303.57142857142</v>
          </cell>
          <cell r="R245">
            <v>3094196.4285714286</v>
          </cell>
          <cell r="T245">
            <v>309419.6428571429</v>
          </cell>
          <cell r="U245"/>
          <cell r="V245">
            <v>20000</v>
          </cell>
          <cell r="W245">
            <v>108660</v>
          </cell>
          <cell r="X245">
            <v>100000</v>
          </cell>
          <cell r="Y245">
            <v>5</v>
          </cell>
          <cell r="Z245">
            <v>20000</v>
          </cell>
          <cell r="AA245"/>
          <cell r="AB245">
            <v>189419.6428571429</v>
          </cell>
          <cell r="AD245">
            <v>3654919.6428571427</v>
          </cell>
          <cell r="AE245">
            <v>28336.553088796602</v>
          </cell>
          <cell r="AF245">
            <v>25832.211712835364</v>
          </cell>
          <cell r="AG245"/>
          <cell r="AH245">
            <v>94455.176962655343</v>
          </cell>
          <cell r="AI245">
            <v>86107.372376117884</v>
          </cell>
        </row>
        <row r="246">
          <cell r="I246" t="str">
            <v>VAP-03-008-006</v>
          </cell>
          <cell r="J246" t="str">
            <v>CLOSED</v>
          </cell>
          <cell r="K246" t="str">
            <v>Blk 8 &amp; Lot 6</v>
          </cell>
          <cell r="L246" t="str">
            <v>NA</v>
          </cell>
          <cell r="M246">
            <v>162</v>
          </cell>
          <cell r="N246" t="str">
            <v>LO</v>
          </cell>
          <cell r="O246" t="str">
            <v>LO</v>
          </cell>
          <cell r="P246">
            <v>5464000</v>
          </cell>
          <cell r="Q246">
            <v>585428.57142857148</v>
          </cell>
          <cell r="R246">
            <v>4878571.4285714282</v>
          </cell>
          <cell r="T246">
            <v>487857.14285714284</v>
          </cell>
          <cell r="U246"/>
          <cell r="V246">
            <v>20000</v>
          </cell>
          <cell r="W246">
            <v>171330</v>
          </cell>
          <cell r="X246">
            <v>100000</v>
          </cell>
          <cell r="Y246">
            <v>5</v>
          </cell>
          <cell r="Z246">
            <v>20000</v>
          </cell>
          <cell r="AA246"/>
          <cell r="AB246">
            <v>367857.14285714284</v>
          </cell>
          <cell r="AD246">
            <v>5831857.1428571427</v>
          </cell>
          <cell r="AE246">
            <v>45214.326355384743</v>
          </cell>
          <cell r="AF246">
            <v>41218.353100515815</v>
          </cell>
          <cell r="AG246"/>
          <cell r="AH246">
            <v>150714.42118461581</v>
          </cell>
          <cell r="AI246">
            <v>137394.51033505274</v>
          </cell>
        </row>
        <row r="247">
          <cell r="I247" t="str">
            <v>VAP-03-008-007</v>
          </cell>
          <cell r="J247" t="str">
            <v>CLOSED</v>
          </cell>
          <cell r="K247" t="str">
            <v>Blk 8 &amp; Lot 7</v>
          </cell>
          <cell r="L247" t="str">
            <v>NA</v>
          </cell>
          <cell r="M247">
            <v>115</v>
          </cell>
          <cell r="N247" t="str">
            <v>LO</v>
          </cell>
          <cell r="O247" t="str">
            <v>LO</v>
          </cell>
          <cell r="P247">
            <v>3770500</v>
          </cell>
          <cell r="Q247">
            <v>403982.14285714284</v>
          </cell>
          <cell r="R247">
            <v>3366517.8571428573</v>
          </cell>
          <cell r="T247">
            <v>336651.78571428574</v>
          </cell>
          <cell r="U247"/>
          <cell r="V247">
            <v>20000</v>
          </cell>
          <cell r="W247">
            <v>118230</v>
          </cell>
          <cell r="X247">
            <v>100000</v>
          </cell>
          <cell r="Y247">
            <v>5</v>
          </cell>
          <cell r="Z247">
            <v>20000</v>
          </cell>
          <cell r="AA247"/>
          <cell r="AB247">
            <v>216651.78571428574</v>
          </cell>
          <cell r="AD247">
            <v>3987151.7857142859</v>
          </cell>
          <cell r="AE247">
            <v>30912.345356151811</v>
          </cell>
          <cell r="AF247">
            <v>28180.359385210915</v>
          </cell>
          <cell r="AG247"/>
          <cell r="AH247">
            <v>103041.15118717271</v>
          </cell>
          <cell r="AI247">
            <v>93934.531284036391</v>
          </cell>
        </row>
        <row r="248">
          <cell r="I248" t="str">
            <v>VAP-03-009-015</v>
          </cell>
          <cell r="J248" t="str">
            <v>CLOSED</v>
          </cell>
          <cell r="K248" t="str">
            <v>Blk 9 &amp; Lot 15</v>
          </cell>
          <cell r="L248" t="str">
            <v>NA</v>
          </cell>
          <cell r="M248">
            <v>105</v>
          </cell>
          <cell r="N248" t="str">
            <v>LO</v>
          </cell>
          <cell r="O248" t="str">
            <v>LO</v>
          </cell>
          <cell r="P248">
            <v>3465500</v>
          </cell>
          <cell r="Q248">
            <v>371303.57142857142</v>
          </cell>
          <cell r="R248">
            <v>3094196.4285714286</v>
          </cell>
          <cell r="T248">
            <v>309419.6428571429</v>
          </cell>
          <cell r="U248"/>
          <cell r="V248">
            <v>20000</v>
          </cell>
          <cell r="W248">
            <v>108660</v>
          </cell>
          <cell r="X248">
            <v>100000</v>
          </cell>
          <cell r="Y248">
            <v>5</v>
          </cell>
          <cell r="Z248">
            <v>20000</v>
          </cell>
          <cell r="AA248"/>
          <cell r="AB248">
            <v>189419.6428571429</v>
          </cell>
          <cell r="AD248">
            <v>3654919.6428571427</v>
          </cell>
          <cell r="AE248">
            <v>28336.553088796602</v>
          </cell>
          <cell r="AF248">
            <v>25832.211712835364</v>
          </cell>
          <cell r="AG248"/>
          <cell r="AH248">
            <v>94455.176962655343</v>
          </cell>
          <cell r="AI248">
            <v>86107.372376117884</v>
          </cell>
        </row>
        <row r="249">
          <cell r="I249" t="str">
            <v>VAP-03-009-016</v>
          </cell>
          <cell r="J249" t="str">
            <v>CLOSED</v>
          </cell>
          <cell r="K249" t="str">
            <v>Blk 9 &amp; Lot 16</v>
          </cell>
          <cell r="L249" t="str">
            <v>NA</v>
          </cell>
          <cell r="M249">
            <v>100</v>
          </cell>
          <cell r="N249" t="str">
            <v>LO</v>
          </cell>
          <cell r="O249" t="str">
            <v>LO</v>
          </cell>
          <cell r="P249">
            <v>3213000</v>
          </cell>
          <cell r="Q249">
            <v>344250</v>
          </cell>
          <cell r="R249">
            <v>2868750</v>
          </cell>
          <cell r="T249">
            <v>286875</v>
          </cell>
          <cell r="U249"/>
          <cell r="V249">
            <v>20000</v>
          </cell>
          <cell r="W249">
            <v>100750</v>
          </cell>
          <cell r="X249">
            <v>100000</v>
          </cell>
          <cell r="Y249">
            <v>5</v>
          </cell>
          <cell r="Z249">
            <v>20000</v>
          </cell>
          <cell r="AA249"/>
          <cell r="AB249">
            <v>166875</v>
          </cell>
          <cell r="AD249">
            <v>3379875</v>
          </cell>
          <cell r="AE249">
            <v>26204.134900248438</v>
          </cell>
          <cell r="AF249">
            <v>23888.253393901508</v>
          </cell>
          <cell r="AG249"/>
          <cell r="AH249">
            <v>87347.116334161459</v>
          </cell>
          <cell r="AI249">
            <v>79627.51131300503</v>
          </cell>
        </row>
        <row r="250">
          <cell r="I250" t="str">
            <v>VAP-03-009-027</v>
          </cell>
          <cell r="J250" t="str">
            <v>CLOSED</v>
          </cell>
          <cell r="K250" t="str">
            <v>Blk 9 &amp; Lot 27</v>
          </cell>
          <cell r="L250" t="str">
            <v>NA</v>
          </cell>
          <cell r="M250">
            <v>146</v>
          </cell>
          <cell r="N250" t="str">
            <v>LO</v>
          </cell>
          <cell r="O250" t="str">
            <v>LO</v>
          </cell>
          <cell r="P250">
            <v>4896000</v>
          </cell>
          <cell r="Q250">
            <v>524571.42857142852</v>
          </cell>
          <cell r="R250">
            <v>4371428.5714285718</v>
          </cell>
          <cell r="T250">
            <v>437142.85714285722</v>
          </cell>
          <cell r="U250"/>
          <cell r="V250">
            <v>20000</v>
          </cell>
          <cell r="W250">
            <v>153520</v>
          </cell>
          <cell r="X250">
            <v>100000</v>
          </cell>
          <cell r="Y250">
            <v>5</v>
          </cell>
          <cell r="Z250">
            <v>20000</v>
          </cell>
          <cell r="AA250"/>
          <cell r="AB250">
            <v>317142.85714285722</v>
          </cell>
          <cell r="AD250">
            <v>5213142.8571428573</v>
          </cell>
          <cell r="AE250">
            <v>40417.441083719961</v>
          </cell>
          <cell r="AF250">
            <v>36845.40923851807</v>
          </cell>
          <cell r="AG250"/>
          <cell r="AH250">
            <v>134724.80361239988</v>
          </cell>
          <cell r="AI250">
            <v>122818.03079506024</v>
          </cell>
        </row>
        <row r="251">
          <cell r="I251" t="str">
            <v>VAP-03-010-001</v>
          </cell>
          <cell r="J251" t="str">
            <v>CLOSED</v>
          </cell>
          <cell r="K251" t="str">
            <v>Blk 10 &amp; Lot 1</v>
          </cell>
          <cell r="L251" t="str">
            <v>NA</v>
          </cell>
          <cell r="M251">
            <v>100</v>
          </cell>
          <cell r="N251" t="str">
            <v>LO</v>
          </cell>
          <cell r="O251" t="str">
            <v>LO</v>
          </cell>
          <cell r="P251">
            <v>3213000</v>
          </cell>
          <cell r="Q251">
            <v>344250</v>
          </cell>
          <cell r="R251">
            <v>2868750</v>
          </cell>
          <cell r="T251">
            <v>286875</v>
          </cell>
          <cell r="U251"/>
          <cell r="V251">
            <v>20000</v>
          </cell>
          <cell r="W251">
            <v>100750</v>
          </cell>
          <cell r="X251">
            <v>100000</v>
          </cell>
          <cell r="Y251">
            <v>5</v>
          </cell>
          <cell r="Z251">
            <v>20000</v>
          </cell>
          <cell r="AA251"/>
          <cell r="AB251">
            <v>166875</v>
          </cell>
          <cell r="AD251">
            <v>3379875</v>
          </cell>
          <cell r="AE251">
            <v>26204.134900248438</v>
          </cell>
          <cell r="AF251">
            <v>23888.253393901508</v>
          </cell>
          <cell r="AG251"/>
          <cell r="AH251">
            <v>87347.116334161459</v>
          </cell>
          <cell r="AI251">
            <v>79627.51131300503</v>
          </cell>
        </row>
        <row r="252">
          <cell r="I252" t="str">
            <v>VAP-03-010-002</v>
          </cell>
          <cell r="J252" t="str">
            <v>CLOSED</v>
          </cell>
          <cell r="K252" t="str">
            <v>Blk 10 &amp; Lot 2</v>
          </cell>
          <cell r="L252" t="str">
            <v>NA</v>
          </cell>
          <cell r="M252">
            <v>100</v>
          </cell>
          <cell r="N252" t="str">
            <v>LO</v>
          </cell>
          <cell r="O252" t="str">
            <v>LO</v>
          </cell>
          <cell r="P252">
            <v>3213000</v>
          </cell>
          <cell r="Q252">
            <v>344250</v>
          </cell>
          <cell r="R252">
            <v>2868750</v>
          </cell>
          <cell r="T252">
            <v>286875</v>
          </cell>
          <cell r="U252"/>
          <cell r="V252">
            <v>20000</v>
          </cell>
          <cell r="W252">
            <v>100750</v>
          </cell>
          <cell r="X252">
            <v>100000</v>
          </cell>
          <cell r="Y252">
            <v>5</v>
          </cell>
          <cell r="Z252">
            <v>20000</v>
          </cell>
          <cell r="AA252"/>
          <cell r="AB252">
            <v>166875</v>
          </cell>
          <cell r="AD252">
            <v>3379875</v>
          </cell>
          <cell r="AE252">
            <v>26204.134900248438</v>
          </cell>
          <cell r="AF252">
            <v>23888.253393901508</v>
          </cell>
          <cell r="AG252"/>
          <cell r="AH252">
            <v>87347.116334161459</v>
          </cell>
          <cell r="AI252">
            <v>79627.51131300503</v>
          </cell>
        </row>
        <row r="253">
          <cell r="I253" t="str">
            <v>VAP-03-011-001</v>
          </cell>
          <cell r="J253" t="str">
            <v>CLOSED</v>
          </cell>
          <cell r="K253" t="str">
            <v>Blk 11 &amp; Lot 1</v>
          </cell>
          <cell r="L253" t="str">
            <v>NA</v>
          </cell>
          <cell r="M253">
            <v>100</v>
          </cell>
          <cell r="N253" t="str">
            <v>LO</v>
          </cell>
          <cell r="O253" t="str">
            <v>LO</v>
          </cell>
          <cell r="P253">
            <v>3213000</v>
          </cell>
          <cell r="Q253">
            <v>344250</v>
          </cell>
          <cell r="R253">
            <v>2868750</v>
          </cell>
          <cell r="T253">
            <v>286875</v>
          </cell>
          <cell r="U253"/>
          <cell r="V253">
            <v>20000</v>
          </cell>
          <cell r="W253">
            <v>100750</v>
          </cell>
          <cell r="X253">
            <v>100000</v>
          </cell>
          <cell r="Y253">
            <v>5</v>
          </cell>
          <cell r="Z253">
            <v>20000</v>
          </cell>
          <cell r="AA253"/>
          <cell r="AB253">
            <v>166875</v>
          </cell>
          <cell r="AD253">
            <v>3379875</v>
          </cell>
          <cell r="AE253">
            <v>26204.134900248438</v>
          </cell>
          <cell r="AF253">
            <v>23888.253393901508</v>
          </cell>
          <cell r="AG253"/>
          <cell r="AH253">
            <v>87347.116334161459</v>
          </cell>
          <cell r="AI253">
            <v>79627.51131300503</v>
          </cell>
        </row>
        <row r="254">
          <cell r="I254" t="str">
            <v>VAP-03-011-002</v>
          </cell>
          <cell r="J254" t="str">
            <v>CLOSED</v>
          </cell>
          <cell r="K254" t="str">
            <v>Blk 11 &amp; Lot 2</v>
          </cell>
          <cell r="L254" t="str">
            <v>NA</v>
          </cell>
          <cell r="M254">
            <v>100</v>
          </cell>
          <cell r="N254" t="str">
            <v>LO</v>
          </cell>
          <cell r="O254" t="str">
            <v>LO</v>
          </cell>
          <cell r="P254">
            <v>3213000</v>
          </cell>
          <cell r="Q254">
            <v>344250</v>
          </cell>
          <cell r="R254">
            <v>2868750</v>
          </cell>
          <cell r="T254">
            <v>286875</v>
          </cell>
          <cell r="U254"/>
          <cell r="V254">
            <v>20000</v>
          </cell>
          <cell r="W254">
            <v>100750</v>
          </cell>
          <cell r="X254">
            <v>100000</v>
          </cell>
          <cell r="Y254">
            <v>5</v>
          </cell>
          <cell r="Z254">
            <v>20000</v>
          </cell>
          <cell r="AA254"/>
          <cell r="AB254">
            <v>166875</v>
          </cell>
          <cell r="AD254">
            <v>3379875</v>
          </cell>
          <cell r="AE254">
            <v>26204.134900248438</v>
          </cell>
          <cell r="AF254">
            <v>23888.253393901508</v>
          </cell>
          <cell r="AG254"/>
          <cell r="AH254">
            <v>87347.116334161459</v>
          </cell>
          <cell r="AI254">
            <v>79627.51131300503</v>
          </cell>
        </row>
        <row r="255">
          <cell r="I255" t="str">
            <v>VAP-03-011-004</v>
          </cell>
          <cell r="J255" t="str">
            <v>CLOSED</v>
          </cell>
          <cell r="K255" t="str">
            <v>Blk 11 &amp; Lot 4</v>
          </cell>
          <cell r="L255" t="str">
            <v>NA</v>
          </cell>
          <cell r="M255">
            <v>106</v>
          </cell>
          <cell r="N255" t="str">
            <v>LO</v>
          </cell>
          <cell r="O255" t="str">
            <v>LO</v>
          </cell>
          <cell r="P255">
            <v>3476000</v>
          </cell>
          <cell r="Q255">
            <v>372428.57142857142</v>
          </cell>
          <cell r="R255">
            <v>3103571.4285714286</v>
          </cell>
          <cell r="T255">
            <v>310357.1428571429</v>
          </cell>
          <cell r="U255"/>
          <cell r="V255">
            <v>20000</v>
          </cell>
          <cell r="W255">
            <v>108990</v>
          </cell>
          <cell r="X255">
            <v>100000</v>
          </cell>
          <cell r="Y255">
            <v>5</v>
          </cell>
          <cell r="Z255">
            <v>20000</v>
          </cell>
          <cell r="AA255"/>
          <cell r="AB255">
            <v>190357.1428571429</v>
          </cell>
          <cell r="AD255">
            <v>3666357.1428571427</v>
          </cell>
          <cell r="AE255">
            <v>28425.227904558011</v>
          </cell>
          <cell r="AF255">
            <v>25913.049583523702</v>
          </cell>
          <cell r="AG255"/>
          <cell r="AH255">
            <v>94750.759681860043</v>
          </cell>
          <cell r="AI255">
            <v>86376.831945079015</v>
          </cell>
        </row>
        <row r="256">
          <cell r="I256" t="str">
            <v>VAP-03-011-005</v>
          </cell>
          <cell r="J256" t="str">
            <v>CLOSED</v>
          </cell>
          <cell r="K256" t="str">
            <v>Blk 11 &amp; Lot 5</v>
          </cell>
          <cell r="L256" t="str">
            <v>NA</v>
          </cell>
          <cell r="M256">
            <v>102</v>
          </cell>
          <cell r="N256" t="str">
            <v>LO</v>
          </cell>
          <cell r="O256" t="str">
            <v>LO</v>
          </cell>
          <cell r="P256">
            <v>3334000</v>
          </cell>
          <cell r="Q256">
            <v>357214.28571428574</v>
          </cell>
          <cell r="R256">
            <v>2976785.7142857141</v>
          </cell>
          <cell r="T256">
            <v>297678.57142857142</v>
          </cell>
          <cell r="U256"/>
          <cell r="V256">
            <v>20000</v>
          </cell>
          <cell r="W256">
            <v>104540</v>
          </cell>
          <cell r="X256">
            <v>100000</v>
          </cell>
          <cell r="Y256">
            <v>5</v>
          </cell>
          <cell r="Z256">
            <v>20000</v>
          </cell>
          <cell r="AA256"/>
          <cell r="AB256">
            <v>177678.57142857142</v>
          </cell>
          <cell r="AD256">
            <v>3511678.5714285714</v>
          </cell>
          <cell r="AE256">
            <v>27226.006586641815</v>
          </cell>
          <cell r="AF256">
            <v>24819.813618024265</v>
          </cell>
          <cell r="AG256"/>
          <cell r="AH256">
            <v>90753.355288806051</v>
          </cell>
          <cell r="AI256">
            <v>82732.712060080885</v>
          </cell>
        </row>
        <row r="257">
          <cell r="I257" t="str">
            <v>VAP-03-012-001</v>
          </cell>
          <cell r="J257" t="str">
            <v>CLOSED</v>
          </cell>
          <cell r="K257" t="str">
            <v>Blk 12 &amp; Lot 1</v>
          </cell>
          <cell r="L257" t="str">
            <v>NA</v>
          </cell>
          <cell r="M257">
            <v>100</v>
          </cell>
          <cell r="N257" t="str">
            <v>LO</v>
          </cell>
          <cell r="O257" t="str">
            <v>LO</v>
          </cell>
          <cell r="P257">
            <v>3213000</v>
          </cell>
          <cell r="Q257">
            <v>344250</v>
          </cell>
          <cell r="R257">
            <v>2868750</v>
          </cell>
          <cell r="T257">
            <v>286875</v>
          </cell>
          <cell r="U257"/>
          <cell r="V257">
            <v>20000</v>
          </cell>
          <cell r="W257">
            <v>100750</v>
          </cell>
          <cell r="X257">
            <v>100000</v>
          </cell>
          <cell r="Y257">
            <v>5</v>
          </cell>
          <cell r="Z257">
            <v>20000</v>
          </cell>
          <cell r="AA257"/>
          <cell r="AB257">
            <v>166875</v>
          </cell>
          <cell r="AD257">
            <v>3379875</v>
          </cell>
          <cell r="AE257">
            <v>26204.134900248438</v>
          </cell>
          <cell r="AF257">
            <v>23888.253393901508</v>
          </cell>
          <cell r="AG257"/>
          <cell r="AH257">
            <v>87347.116334161459</v>
          </cell>
          <cell r="AI257">
            <v>79627.51131300503</v>
          </cell>
        </row>
        <row r="258">
          <cell r="I258" t="str">
            <v>VAP-03-012-002</v>
          </cell>
          <cell r="J258" t="str">
            <v>CLOSED</v>
          </cell>
          <cell r="K258" t="str">
            <v>Blk 12 &amp; Lot 2</v>
          </cell>
          <cell r="L258" t="str">
            <v>NA</v>
          </cell>
          <cell r="M258">
            <v>98</v>
          </cell>
          <cell r="N258" t="str">
            <v>LO</v>
          </cell>
          <cell r="O258" t="str">
            <v>LO</v>
          </cell>
          <cell r="P258">
            <v>3192000</v>
          </cell>
          <cell r="Q258">
            <v>342000</v>
          </cell>
          <cell r="R258">
            <v>2850000</v>
          </cell>
          <cell r="T258">
            <v>285000</v>
          </cell>
          <cell r="U258"/>
          <cell r="V258">
            <v>20000</v>
          </cell>
          <cell r="W258">
            <v>100090</v>
          </cell>
          <cell r="X258">
            <v>100000</v>
          </cell>
          <cell r="Y258">
            <v>5</v>
          </cell>
          <cell r="Z258">
            <v>20000</v>
          </cell>
          <cell r="AA258"/>
          <cell r="AB258">
            <v>165000</v>
          </cell>
          <cell r="AD258">
            <v>3357000</v>
          </cell>
          <cell r="AE258">
            <v>26026.78526872562</v>
          </cell>
          <cell r="AF258">
            <v>23726.577652524829</v>
          </cell>
          <cell r="AG258"/>
          <cell r="AH258">
            <v>86755.950895752074</v>
          </cell>
          <cell r="AI258">
            <v>79088.592175082769</v>
          </cell>
        </row>
        <row r="259">
          <cell r="I259" t="str">
            <v>VAP-03-012-004</v>
          </cell>
          <cell r="J259" t="str">
            <v>CLOSED</v>
          </cell>
          <cell r="K259" t="str">
            <v>Blk 12 &amp; Lot 4</v>
          </cell>
          <cell r="L259" t="str">
            <v>NA</v>
          </cell>
          <cell r="M259">
            <v>103</v>
          </cell>
          <cell r="N259" t="str">
            <v>LO</v>
          </cell>
          <cell r="O259" t="str">
            <v>LO</v>
          </cell>
          <cell r="P259">
            <v>3344500</v>
          </cell>
          <cell r="Q259">
            <v>358339.28571428574</v>
          </cell>
          <cell r="R259">
            <v>2986160.7142857141</v>
          </cell>
          <cell r="T259">
            <v>298616.07142857142</v>
          </cell>
          <cell r="U259"/>
          <cell r="V259">
            <v>20000</v>
          </cell>
          <cell r="W259">
            <v>104870</v>
          </cell>
          <cell r="X259">
            <v>100000</v>
          </cell>
          <cell r="Y259">
            <v>5</v>
          </cell>
          <cell r="Z259">
            <v>20000</v>
          </cell>
          <cell r="AA259"/>
          <cell r="AB259">
            <v>178616.07142857142</v>
          </cell>
          <cell r="AD259">
            <v>3523116.0714285714</v>
          </cell>
          <cell r="AE259">
            <v>27314.681402403225</v>
          </cell>
          <cell r="AF259">
            <v>24900.651488712603</v>
          </cell>
          <cell r="AG259"/>
          <cell r="AH259">
            <v>91048.938008010751</v>
          </cell>
          <cell r="AI259">
            <v>83002.171629042015</v>
          </cell>
        </row>
        <row r="260">
          <cell r="I260" t="str">
            <v>VAP-03-012-005</v>
          </cell>
          <cell r="J260" t="str">
            <v>CLOSED</v>
          </cell>
          <cell r="K260" t="str">
            <v>Blk 12 &amp; Lot 5</v>
          </cell>
          <cell r="L260" t="str">
            <v>NA</v>
          </cell>
          <cell r="M260">
            <v>102</v>
          </cell>
          <cell r="N260" t="str">
            <v>LO</v>
          </cell>
          <cell r="O260" t="str">
            <v>LO</v>
          </cell>
          <cell r="P260">
            <v>3334000</v>
          </cell>
          <cell r="Q260">
            <v>357214.28571428574</v>
          </cell>
          <cell r="R260">
            <v>2976785.7142857141</v>
          </cell>
          <cell r="T260">
            <v>297678.57142857142</v>
          </cell>
          <cell r="U260"/>
          <cell r="V260">
            <v>20000</v>
          </cell>
          <cell r="W260">
            <v>104540</v>
          </cell>
          <cell r="X260">
            <v>100000</v>
          </cell>
          <cell r="Y260">
            <v>5</v>
          </cell>
          <cell r="Z260">
            <v>20000</v>
          </cell>
          <cell r="AA260"/>
          <cell r="AB260">
            <v>177678.57142857142</v>
          </cell>
          <cell r="AD260">
            <v>3511678.5714285714</v>
          </cell>
          <cell r="AE260">
            <v>27226.006586641815</v>
          </cell>
          <cell r="AF260">
            <v>24819.813618024265</v>
          </cell>
          <cell r="AG260"/>
          <cell r="AH260">
            <v>90753.355288806051</v>
          </cell>
          <cell r="AI260">
            <v>82732.712060080885</v>
          </cell>
        </row>
        <row r="261">
          <cell r="I261" t="str">
            <v>VAP-03-200-002</v>
          </cell>
          <cell r="J261" t="str">
            <v>CLOSED</v>
          </cell>
          <cell r="K261" t="str">
            <v>Blk 200 &amp; Lot 2</v>
          </cell>
          <cell r="L261" t="str">
            <v>NA</v>
          </cell>
          <cell r="M261">
            <v>131</v>
          </cell>
          <cell r="N261" t="str">
            <v>LO</v>
          </cell>
          <cell r="O261" t="str">
            <v>LO</v>
          </cell>
          <cell r="P261">
            <v>4338500</v>
          </cell>
          <cell r="Q261">
            <v>464839.28571428574</v>
          </cell>
          <cell r="R261">
            <v>3873660.7142857141</v>
          </cell>
          <cell r="T261">
            <v>387366.07142857142</v>
          </cell>
          <cell r="U261"/>
          <cell r="V261">
            <v>20000</v>
          </cell>
          <cell r="W261">
            <v>136040</v>
          </cell>
          <cell r="X261">
            <v>100000</v>
          </cell>
          <cell r="Y261">
            <v>5</v>
          </cell>
          <cell r="Z261">
            <v>20000</v>
          </cell>
          <cell r="AA261"/>
          <cell r="AB261">
            <v>267366.07142857142</v>
          </cell>
          <cell r="AD261">
            <v>4605866.0714285718</v>
          </cell>
          <cell r="AE261">
            <v>35709.230627816592</v>
          </cell>
          <cell r="AF261">
            <v>32553.303247208663</v>
          </cell>
          <cell r="AG261"/>
          <cell r="AH261">
            <v>119030.76875938865</v>
          </cell>
          <cell r="AI261">
            <v>108511.01082402888</v>
          </cell>
        </row>
        <row r="262">
          <cell r="I262" t="str">
            <v>VAP-03-200-003</v>
          </cell>
          <cell r="J262" t="str">
            <v>CLOSED</v>
          </cell>
          <cell r="K262" t="str">
            <v>Blk 200 &amp; Lot 3</v>
          </cell>
          <cell r="L262" t="str">
            <v>NA</v>
          </cell>
          <cell r="M262">
            <v>122</v>
          </cell>
          <cell r="N262" t="str">
            <v>LO</v>
          </cell>
          <cell r="O262" t="str">
            <v>LO</v>
          </cell>
          <cell r="P262">
            <v>4044000</v>
          </cell>
          <cell r="Q262">
            <v>433285.71428571426</v>
          </cell>
          <cell r="R262">
            <v>3610714.2857142859</v>
          </cell>
          <cell r="T262">
            <v>361071.42857142864</v>
          </cell>
          <cell r="U262"/>
          <cell r="V262">
            <v>20000</v>
          </cell>
          <cell r="W262">
            <v>126800</v>
          </cell>
          <cell r="X262">
            <v>100000</v>
          </cell>
          <cell r="Y262">
            <v>5</v>
          </cell>
          <cell r="Z262">
            <v>20000</v>
          </cell>
          <cell r="AA262"/>
          <cell r="AB262">
            <v>241071.42857142864</v>
          </cell>
          <cell r="AD262">
            <v>4285071.4285714291</v>
          </cell>
          <cell r="AE262">
            <v>33222.113176222796</v>
          </cell>
          <cell r="AF262">
            <v>30285.993445521453</v>
          </cell>
          <cell r="AG262"/>
          <cell r="AH262">
            <v>110740.377254076</v>
          </cell>
          <cell r="AI262">
            <v>100953.31148507152</v>
          </cell>
        </row>
      </sheetData>
      <sheetData sheetId="1"/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ICELIST, 908u"/>
    </sheetNames>
    <sheetDataSet>
      <sheetData sheetId="0">
        <row r="7">
          <cell r="G7" t="str">
            <v>AGM-01-001-001</v>
          </cell>
          <cell r="H7" t="str">
            <v xml:space="preserve">Raemulan Lands, Inc. </v>
          </cell>
          <cell r="I7" t="str">
            <v>Agapeya</v>
          </cell>
          <cell r="J7" t="str">
            <v>AGM</v>
          </cell>
          <cell r="K7" t="str">
            <v>Eco-High</v>
          </cell>
          <cell r="L7" t="str">
            <v>West</v>
          </cell>
          <cell r="M7" t="str">
            <v>With LTS - 2024</v>
          </cell>
          <cell r="N7" t="str">
            <v>YES</v>
          </cell>
          <cell r="O7" t="str">
            <v>YES</v>
          </cell>
          <cell r="P7" t="str">
            <v>Unaffected lots</v>
          </cell>
          <cell r="Q7" t="str">
            <v>YES</v>
          </cell>
          <cell r="R7">
            <v>70</v>
          </cell>
          <cell r="S7" t="str">
            <v>PCS-04-034407</v>
          </cell>
          <cell r="T7" t="str">
            <v>TCT-060-202421286</v>
          </cell>
          <cell r="U7" t="b">
            <v>1</v>
          </cell>
          <cell r="V7" t="str">
            <v xml:space="preserve">Done </v>
          </cell>
          <cell r="W7" t="str">
            <v>2024 - Hold</v>
          </cell>
          <cell r="X7" t="str">
            <v>2024 Batch</v>
          </cell>
          <cell r="Y7">
            <v>1</v>
          </cell>
          <cell r="Z7">
            <v>1</v>
          </cell>
          <cell r="AA7" t="str">
            <v>H+L</v>
          </cell>
          <cell r="AB7">
            <v>70</v>
          </cell>
          <cell r="AC7">
            <v>50</v>
          </cell>
          <cell r="AD7" t="str">
            <v>Flat</v>
          </cell>
          <cell r="AE7" t="str">
            <v>Duplex</v>
          </cell>
          <cell r="AF7" t="str">
            <v>326 - With Partition</v>
          </cell>
          <cell r="AG7" t="str">
            <v>With Partition</v>
          </cell>
          <cell r="AH7" t="str">
            <v>With Partition</v>
          </cell>
          <cell r="AI7" t="str">
            <v>GREEN</v>
          </cell>
          <cell r="AJ7" t="str">
            <v>Flat / GREEN</v>
          </cell>
          <cell r="AK7">
            <v>1050000</v>
          </cell>
          <cell r="AL7">
            <v>15000</v>
          </cell>
          <cell r="AM7">
            <v>1650000</v>
          </cell>
          <cell r="AN7">
            <v>33000</v>
          </cell>
          <cell r="AO7">
            <v>150000</v>
          </cell>
          <cell r="AP7">
            <v>2850000</v>
          </cell>
          <cell r="AQ7"/>
          <cell r="AR7">
            <v>2850000</v>
          </cell>
          <cell r="AS7">
            <v>0</v>
          </cell>
          <cell r="AT7">
            <v>2850000</v>
          </cell>
          <cell r="AU7">
            <v>100000</v>
          </cell>
          <cell r="AV7">
            <v>2750000</v>
          </cell>
          <cell r="AW7">
            <v>0</v>
          </cell>
          <cell r="AX7">
            <v>2750000</v>
          </cell>
        </row>
        <row r="8">
          <cell r="G8" t="str">
            <v>AGM-01-001-002</v>
          </cell>
          <cell r="H8" t="str">
            <v xml:space="preserve">Raemulan Lands, Inc. </v>
          </cell>
          <cell r="I8" t="str">
            <v>Agapeya</v>
          </cell>
          <cell r="J8" t="str">
            <v>AGM</v>
          </cell>
          <cell r="K8" t="str">
            <v>Eco-High</v>
          </cell>
          <cell r="L8" t="str">
            <v>West</v>
          </cell>
          <cell r="M8" t="str">
            <v>With LTS - 2024</v>
          </cell>
          <cell r="N8" t="str">
            <v>YES</v>
          </cell>
          <cell r="O8" t="str">
            <v>YES</v>
          </cell>
          <cell r="P8" t="str">
            <v>Unaffected lots</v>
          </cell>
          <cell r="Q8" t="str">
            <v>YES</v>
          </cell>
          <cell r="R8">
            <v>70</v>
          </cell>
          <cell r="S8" t="str">
            <v>PCS-04-034407</v>
          </cell>
          <cell r="T8" t="str">
            <v>TCT-060-202421287</v>
          </cell>
          <cell r="U8" t="b">
            <v>1</v>
          </cell>
          <cell r="V8" t="str">
            <v>Done</v>
          </cell>
          <cell r="W8" t="str">
            <v>2024 - Hold</v>
          </cell>
          <cell r="X8" t="str">
            <v>2024 Batch</v>
          </cell>
          <cell r="Y8">
            <v>1</v>
          </cell>
          <cell r="Z8">
            <v>2</v>
          </cell>
          <cell r="AA8" t="str">
            <v>H+L</v>
          </cell>
          <cell r="AB8">
            <v>70</v>
          </cell>
          <cell r="AC8">
            <v>50</v>
          </cell>
          <cell r="AD8" t="str">
            <v>Slant</v>
          </cell>
          <cell r="AE8" t="str">
            <v>Duplex</v>
          </cell>
          <cell r="AF8" t="str">
            <v>326 - With Partition</v>
          </cell>
          <cell r="AG8" t="str">
            <v xml:space="preserve">Without Partition </v>
          </cell>
          <cell r="AH8" t="str">
            <v xml:space="preserve">Without Partition </v>
          </cell>
          <cell r="AI8" t="str">
            <v>GREEN</v>
          </cell>
          <cell r="AJ8" t="str">
            <v>Slant / GREEN</v>
          </cell>
          <cell r="AK8">
            <v>1050000</v>
          </cell>
          <cell r="AL8">
            <v>15000</v>
          </cell>
          <cell r="AM8">
            <v>1650000</v>
          </cell>
          <cell r="AN8">
            <v>33000</v>
          </cell>
          <cell r="AO8">
            <v>150000</v>
          </cell>
          <cell r="AP8">
            <v>2850000</v>
          </cell>
          <cell r="AQ8"/>
          <cell r="AR8">
            <v>2850000</v>
          </cell>
          <cell r="AS8">
            <v>200000</v>
          </cell>
          <cell r="AT8">
            <v>2650000</v>
          </cell>
          <cell r="AU8">
            <v>100000</v>
          </cell>
          <cell r="AV8">
            <v>2550000</v>
          </cell>
          <cell r="AW8">
            <v>0</v>
          </cell>
          <cell r="AX8">
            <v>2550000</v>
          </cell>
        </row>
        <row r="9">
          <cell r="G9" t="str">
            <v>AGM-01-001-003</v>
          </cell>
          <cell r="H9" t="str">
            <v xml:space="preserve">Raemulan Lands, Inc. </v>
          </cell>
          <cell r="I9" t="str">
            <v>Agapeya</v>
          </cell>
          <cell r="J9" t="str">
            <v>AGM</v>
          </cell>
          <cell r="K9" t="str">
            <v>Eco-High</v>
          </cell>
          <cell r="L9" t="str">
            <v>West</v>
          </cell>
          <cell r="M9" t="str">
            <v>With LTS - 2024</v>
          </cell>
          <cell r="N9" t="str">
            <v>YES</v>
          </cell>
          <cell r="O9" t="str">
            <v>YES</v>
          </cell>
          <cell r="P9" t="str">
            <v>Unaffected lots</v>
          </cell>
          <cell r="Q9" t="str">
            <v>YES</v>
          </cell>
          <cell r="R9">
            <v>70</v>
          </cell>
          <cell r="S9" t="str">
            <v>PCS-04-034407</v>
          </cell>
          <cell r="T9" t="str">
            <v>TCT-060-202421288</v>
          </cell>
          <cell r="U9" t="b">
            <v>1</v>
          </cell>
          <cell r="V9" t="str">
            <v>Done</v>
          </cell>
          <cell r="W9" t="str">
            <v>B3 2025 - Hold</v>
          </cell>
          <cell r="X9" t="str">
            <v>2025 - Batch 6</v>
          </cell>
          <cell r="Y9">
            <v>1</v>
          </cell>
          <cell r="Z9">
            <v>3</v>
          </cell>
          <cell r="AA9" t="str">
            <v>H+L</v>
          </cell>
          <cell r="AB9">
            <v>70</v>
          </cell>
          <cell r="AC9">
            <v>50</v>
          </cell>
          <cell r="AD9" t="str">
            <v>Slant</v>
          </cell>
          <cell r="AE9" t="str">
            <v>Duplex</v>
          </cell>
          <cell r="AF9" t="str">
            <v>568 - Without Partition</v>
          </cell>
          <cell r="AG9" t="str">
            <v xml:space="preserve">Without Partition </v>
          </cell>
          <cell r="AH9" t="str">
            <v>N/A - Model Home Park</v>
          </cell>
          <cell r="AI9" t="str">
            <v>GREEN</v>
          </cell>
          <cell r="AJ9" t="str">
            <v>Slant / GREEN</v>
          </cell>
          <cell r="AK9">
            <v>1050000</v>
          </cell>
          <cell r="AL9">
            <v>15000</v>
          </cell>
          <cell r="AM9">
            <v>1650000</v>
          </cell>
          <cell r="AN9">
            <v>33000</v>
          </cell>
          <cell r="AO9">
            <v>150000</v>
          </cell>
          <cell r="AP9">
            <v>2850000</v>
          </cell>
          <cell r="AQ9"/>
          <cell r="AR9">
            <v>2850000</v>
          </cell>
          <cell r="AS9">
            <v>200000</v>
          </cell>
          <cell r="AT9">
            <v>2650000</v>
          </cell>
          <cell r="AU9">
            <v>100000</v>
          </cell>
          <cell r="AV9">
            <v>2550000</v>
          </cell>
          <cell r="AW9">
            <v>0</v>
          </cell>
          <cell r="AX9">
            <v>2550000</v>
          </cell>
        </row>
        <row r="10">
          <cell r="G10" t="str">
            <v>AGM-01-001-004</v>
          </cell>
          <cell r="H10" t="str">
            <v xml:space="preserve">Raemulan Lands, Inc. </v>
          </cell>
          <cell r="I10" t="str">
            <v>Agapeya</v>
          </cell>
          <cell r="J10" t="str">
            <v>AGM</v>
          </cell>
          <cell r="K10" t="str">
            <v>Eco-High</v>
          </cell>
          <cell r="L10" t="str">
            <v>West</v>
          </cell>
          <cell r="M10" t="str">
            <v>With LTS - 2024</v>
          </cell>
          <cell r="N10" t="str">
            <v>YES</v>
          </cell>
          <cell r="O10" t="str">
            <v>YES</v>
          </cell>
          <cell r="P10" t="str">
            <v>Unaffected lots</v>
          </cell>
          <cell r="Q10" t="str">
            <v>YES</v>
          </cell>
          <cell r="R10">
            <v>70</v>
          </cell>
          <cell r="S10" t="str">
            <v>PCS-04-034407</v>
          </cell>
          <cell r="T10" t="str">
            <v>TCT-060-202421289</v>
          </cell>
          <cell r="U10" t="b">
            <v>1</v>
          </cell>
          <cell r="V10" t="str">
            <v>Done</v>
          </cell>
          <cell r="W10" t="str">
            <v>B3 2025 - Hold</v>
          </cell>
          <cell r="X10" t="str">
            <v>2025 - Batch 6</v>
          </cell>
          <cell r="Y10">
            <v>1</v>
          </cell>
          <cell r="Z10">
            <v>4</v>
          </cell>
          <cell r="AA10" t="str">
            <v>H+L</v>
          </cell>
          <cell r="AB10">
            <v>70</v>
          </cell>
          <cell r="AC10">
            <v>50</v>
          </cell>
          <cell r="AD10" t="str">
            <v>Flat</v>
          </cell>
          <cell r="AE10" t="str">
            <v>Duplex</v>
          </cell>
          <cell r="AF10" t="str">
            <v>568 - Without Partition</v>
          </cell>
          <cell r="AG10" t="str">
            <v xml:space="preserve">Without Partition </v>
          </cell>
          <cell r="AH10" t="str">
            <v>N/A - Model Home Park</v>
          </cell>
          <cell r="AI10" t="str">
            <v>GREEN</v>
          </cell>
          <cell r="AJ10" t="str">
            <v>Flat / GREEN</v>
          </cell>
          <cell r="AK10">
            <v>1050000</v>
          </cell>
          <cell r="AL10">
            <v>15000</v>
          </cell>
          <cell r="AM10">
            <v>1650000</v>
          </cell>
          <cell r="AN10">
            <v>33000</v>
          </cell>
          <cell r="AO10">
            <v>150000</v>
          </cell>
          <cell r="AP10">
            <v>2850000</v>
          </cell>
          <cell r="AQ10"/>
          <cell r="AR10">
            <v>2850000</v>
          </cell>
          <cell r="AS10">
            <v>200000</v>
          </cell>
          <cell r="AT10">
            <v>2650000</v>
          </cell>
          <cell r="AU10">
            <v>100000</v>
          </cell>
          <cell r="AV10">
            <v>2550000</v>
          </cell>
          <cell r="AW10">
            <v>0</v>
          </cell>
          <cell r="AX10">
            <v>2550000</v>
          </cell>
        </row>
        <row r="11">
          <cell r="G11" t="str">
            <v>AGM-01-001-005</v>
          </cell>
          <cell r="H11" t="str">
            <v xml:space="preserve">Raemulan Lands, Inc. </v>
          </cell>
          <cell r="I11" t="str">
            <v>Agapeya</v>
          </cell>
          <cell r="J11" t="str">
            <v>AGM</v>
          </cell>
          <cell r="K11" t="str">
            <v>Eco-High</v>
          </cell>
          <cell r="L11" t="str">
            <v>West</v>
          </cell>
          <cell r="M11" t="str">
            <v>With LTS - 2024</v>
          </cell>
          <cell r="N11" t="str">
            <v>YES</v>
          </cell>
          <cell r="O11" t="str">
            <v>YES</v>
          </cell>
          <cell r="P11" t="str">
            <v>Unaffected lots</v>
          </cell>
          <cell r="Q11" t="str">
            <v>YES</v>
          </cell>
          <cell r="R11">
            <v>70</v>
          </cell>
          <cell r="S11" t="str">
            <v>PCS-04-034407</v>
          </cell>
          <cell r="T11" t="str">
            <v>TCT-060-202421290</v>
          </cell>
          <cell r="U11" t="b">
            <v>1</v>
          </cell>
          <cell r="V11" t="str">
            <v>Done</v>
          </cell>
          <cell r="W11" t="str">
            <v>B3 2025 - Hold</v>
          </cell>
          <cell r="X11" t="str">
            <v>2025 - Batch 6</v>
          </cell>
          <cell r="Y11">
            <v>1</v>
          </cell>
          <cell r="Z11">
            <v>5</v>
          </cell>
          <cell r="AA11" t="str">
            <v>H+L</v>
          </cell>
          <cell r="AB11">
            <v>70</v>
          </cell>
          <cell r="AC11">
            <v>50</v>
          </cell>
          <cell r="AD11" t="str">
            <v>Flat</v>
          </cell>
          <cell r="AE11" t="str">
            <v>Duplex</v>
          </cell>
          <cell r="AF11" t="str">
            <v>568 - Without Partition</v>
          </cell>
          <cell r="AG11" t="str">
            <v xml:space="preserve">Without Partition </v>
          </cell>
          <cell r="AH11" t="str">
            <v>N/A - Model Home Park</v>
          </cell>
          <cell r="AI11" t="str">
            <v>PURPLE</v>
          </cell>
          <cell r="AJ11" t="str">
            <v>Flat / PURPLE</v>
          </cell>
          <cell r="AK11">
            <v>1050000</v>
          </cell>
          <cell r="AL11">
            <v>15000</v>
          </cell>
          <cell r="AM11">
            <v>1650000</v>
          </cell>
          <cell r="AN11">
            <v>33000</v>
          </cell>
          <cell r="AO11">
            <v>150000</v>
          </cell>
          <cell r="AP11">
            <v>2850000</v>
          </cell>
          <cell r="AQ11"/>
          <cell r="AR11">
            <v>2850000</v>
          </cell>
          <cell r="AS11">
            <v>200000</v>
          </cell>
          <cell r="AT11">
            <v>2650000</v>
          </cell>
          <cell r="AU11">
            <v>100000</v>
          </cell>
          <cell r="AV11">
            <v>2550000</v>
          </cell>
          <cell r="AW11">
            <v>0</v>
          </cell>
          <cell r="AX11">
            <v>2550000</v>
          </cell>
        </row>
        <row r="12">
          <cell r="G12" t="str">
            <v>AGM-01-001-006</v>
          </cell>
          <cell r="H12" t="str">
            <v xml:space="preserve">Raemulan Lands, Inc. </v>
          </cell>
          <cell r="I12" t="str">
            <v>Agapeya</v>
          </cell>
          <cell r="J12" t="str">
            <v>AGM</v>
          </cell>
          <cell r="K12" t="str">
            <v>Eco-High</v>
          </cell>
          <cell r="L12" t="str">
            <v>West</v>
          </cell>
          <cell r="M12" t="str">
            <v>With LTS - 2024</v>
          </cell>
          <cell r="N12" t="str">
            <v>YES</v>
          </cell>
          <cell r="O12" t="str">
            <v>YES</v>
          </cell>
          <cell r="P12" t="str">
            <v>Unaffected lots</v>
          </cell>
          <cell r="Q12" t="str">
            <v>YES</v>
          </cell>
          <cell r="R12">
            <v>70</v>
          </cell>
          <cell r="S12" t="str">
            <v>PCS-04-034407</v>
          </cell>
          <cell r="T12" t="str">
            <v>TCT-060-202421291</v>
          </cell>
          <cell r="U12" t="b">
            <v>1</v>
          </cell>
          <cell r="V12" t="str">
            <v>Done</v>
          </cell>
          <cell r="W12" t="str">
            <v>B3 2025 - Hold</v>
          </cell>
          <cell r="X12" t="str">
            <v>2025 - Batch 6</v>
          </cell>
          <cell r="Y12">
            <v>1</v>
          </cell>
          <cell r="Z12">
            <v>6</v>
          </cell>
          <cell r="AA12" t="str">
            <v>H+L</v>
          </cell>
          <cell r="AB12">
            <v>70</v>
          </cell>
          <cell r="AC12">
            <v>50</v>
          </cell>
          <cell r="AD12" t="str">
            <v>Slant</v>
          </cell>
          <cell r="AE12" t="str">
            <v>Duplex</v>
          </cell>
          <cell r="AF12" t="str">
            <v>568 - Without Partition</v>
          </cell>
          <cell r="AG12" t="str">
            <v xml:space="preserve">Without Partition </v>
          </cell>
          <cell r="AH12" t="str">
            <v>N/A - Model Home Park</v>
          </cell>
          <cell r="AI12" t="str">
            <v>PURPLE</v>
          </cell>
          <cell r="AJ12" t="str">
            <v>Slant / PURPLE</v>
          </cell>
          <cell r="AK12">
            <v>1050000</v>
          </cell>
          <cell r="AL12">
            <v>15000</v>
          </cell>
          <cell r="AM12">
            <v>1650000</v>
          </cell>
          <cell r="AN12">
            <v>33000</v>
          </cell>
          <cell r="AO12">
            <v>150000</v>
          </cell>
          <cell r="AP12">
            <v>2850000</v>
          </cell>
          <cell r="AQ12"/>
          <cell r="AR12">
            <v>2850000</v>
          </cell>
          <cell r="AS12">
            <v>200000</v>
          </cell>
          <cell r="AT12">
            <v>2650000</v>
          </cell>
          <cell r="AU12">
            <v>100000</v>
          </cell>
          <cell r="AV12">
            <v>2550000</v>
          </cell>
          <cell r="AW12">
            <v>0</v>
          </cell>
          <cell r="AX12">
            <v>2550000</v>
          </cell>
        </row>
        <row r="13">
          <cell r="G13" t="str">
            <v>AGM-01-001-007</v>
          </cell>
          <cell r="H13" t="str">
            <v xml:space="preserve">Raemulan Lands, Inc. </v>
          </cell>
          <cell r="I13" t="str">
            <v>Agapeya</v>
          </cell>
          <cell r="J13" t="str">
            <v>AGM</v>
          </cell>
          <cell r="K13" t="str">
            <v>Eco-High</v>
          </cell>
          <cell r="L13" t="str">
            <v>West</v>
          </cell>
          <cell r="M13" t="str">
            <v>With LTS - 2024</v>
          </cell>
          <cell r="N13" t="str">
            <v>YES</v>
          </cell>
          <cell r="O13" t="str">
            <v>YES</v>
          </cell>
          <cell r="P13" t="str">
            <v>Unaffected lots</v>
          </cell>
          <cell r="Q13" t="str">
            <v>YES</v>
          </cell>
          <cell r="R13">
            <v>70</v>
          </cell>
          <cell r="S13" t="str">
            <v>PCS-04-034407</v>
          </cell>
          <cell r="T13" t="str">
            <v>TCT-060-202421292</v>
          </cell>
          <cell r="U13" t="b">
            <v>1</v>
          </cell>
          <cell r="V13" t="str">
            <v>Done</v>
          </cell>
          <cell r="W13" t="str">
            <v>B3 2025 - Hold</v>
          </cell>
          <cell r="X13" t="str">
            <v>2025 - Batch 6</v>
          </cell>
          <cell r="Y13">
            <v>1</v>
          </cell>
          <cell r="Z13">
            <v>7</v>
          </cell>
          <cell r="AA13" t="str">
            <v>H+L</v>
          </cell>
          <cell r="AB13">
            <v>70</v>
          </cell>
          <cell r="AC13">
            <v>50</v>
          </cell>
          <cell r="AD13" t="str">
            <v>Slant</v>
          </cell>
          <cell r="AE13" t="str">
            <v>Duplex</v>
          </cell>
          <cell r="AF13" t="str">
            <v>568 - Without Partition</v>
          </cell>
          <cell r="AG13" t="str">
            <v xml:space="preserve">Without Partition </v>
          </cell>
          <cell r="AH13" t="str">
            <v>N/A - Model Home Park</v>
          </cell>
          <cell r="AI13" t="str">
            <v>PURPLE</v>
          </cell>
          <cell r="AJ13" t="str">
            <v>Slant / PURPLE</v>
          </cell>
          <cell r="AK13">
            <v>1050000</v>
          </cell>
          <cell r="AL13">
            <v>15000</v>
          </cell>
          <cell r="AM13">
            <v>1650000</v>
          </cell>
          <cell r="AN13">
            <v>33000</v>
          </cell>
          <cell r="AO13">
            <v>150000</v>
          </cell>
          <cell r="AP13">
            <v>2850000</v>
          </cell>
          <cell r="AQ13"/>
          <cell r="AR13">
            <v>2850000</v>
          </cell>
          <cell r="AS13">
            <v>200000</v>
          </cell>
          <cell r="AT13">
            <v>2650000</v>
          </cell>
          <cell r="AU13">
            <v>100000</v>
          </cell>
          <cell r="AV13">
            <v>2550000</v>
          </cell>
          <cell r="AW13">
            <v>0</v>
          </cell>
          <cell r="AX13">
            <v>2550000</v>
          </cell>
        </row>
        <row r="14">
          <cell r="G14" t="str">
            <v>AGM-01-001-008</v>
          </cell>
          <cell r="H14" t="str">
            <v xml:space="preserve">Raemulan Lands, Inc. </v>
          </cell>
          <cell r="I14" t="str">
            <v>Agapeya</v>
          </cell>
          <cell r="J14" t="str">
            <v>AGM</v>
          </cell>
          <cell r="K14" t="str">
            <v>Eco-High</v>
          </cell>
          <cell r="L14" t="str">
            <v>West</v>
          </cell>
          <cell r="M14" t="str">
            <v>With LTS - 2024</v>
          </cell>
          <cell r="N14" t="str">
            <v>YES</v>
          </cell>
          <cell r="O14" t="str">
            <v>YES</v>
          </cell>
          <cell r="P14" t="str">
            <v>Unaffected lots</v>
          </cell>
          <cell r="Q14" t="str">
            <v>YES</v>
          </cell>
          <cell r="R14">
            <v>70</v>
          </cell>
          <cell r="S14" t="str">
            <v>PCS-04-034407</v>
          </cell>
          <cell r="T14" t="str">
            <v>TCT-060-202421293</v>
          </cell>
          <cell r="U14" t="b">
            <v>1</v>
          </cell>
          <cell r="V14" t="str">
            <v>Done</v>
          </cell>
          <cell r="W14" t="str">
            <v>B3 2025 - Hold</v>
          </cell>
          <cell r="X14" t="str">
            <v>2025 - Batch 6</v>
          </cell>
          <cell r="Y14">
            <v>1</v>
          </cell>
          <cell r="Z14">
            <v>8</v>
          </cell>
          <cell r="AA14" t="str">
            <v>H+L</v>
          </cell>
          <cell r="AB14">
            <v>70</v>
          </cell>
          <cell r="AC14">
            <v>50</v>
          </cell>
          <cell r="AD14" t="str">
            <v>Flat</v>
          </cell>
          <cell r="AE14" t="str">
            <v>Duplex</v>
          </cell>
          <cell r="AF14" t="str">
            <v>568 - Without Partition</v>
          </cell>
          <cell r="AG14" t="str">
            <v xml:space="preserve">Without Partition </v>
          </cell>
          <cell r="AH14" t="str">
            <v>N/A - Model Home Park</v>
          </cell>
          <cell r="AI14" t="str">
            <v>PURPLE</v>
          </cell>
          <cell r="AJ14" t="str">
            <v>Flat / PURPLE</v>
          </cell>
          <cell r="AK14">
            <v>1050000</v>
          </cell>
          <cell r="AL14">
            <v>15000</v>
          </cell>
          <cell r="AM14">
            <v>1650000</v>
          </cell>
          <cell r="AN14">
            <v>33000</v>
          </cell>
          <cell r="AO14">
            <v>150000</v>
          </cell>
          <cell r="AP14">
            <v>2850000</v>
          </cell>
          <cell r="AQ14"/>
          <cell r="AR14">
            <v>2850000</v>
          </cell>
          <cell r="AS14">
            <v>200000</v>
          </cell>
          <cell r="AT14">
            <v>2650000</v>
          </cell>
          <cell r="AU14">
            <v>100000</v>
          </cell>
          <cell r="AV14">
            <v>2550000</v>
          </cell>
          <cell r="AW14">
            <v>0</v>
          </cell>
          <cell r="AX14">
            <v>2550000</v>
          </cell>
        </row>
        <row r="15">
          <cell r="G15" t="str">
            <v>AGM-01-001-009</v>
          </cell>
          <cell r="H15" t="str">
            <v xml:space="preserve">Raemulan Lands, Inc. </v>
          </cell>
          <cell r="I15" t="str">
            <v>Agapeya</v>
          </cell>
          <cell r="J15" t="str">
            <v>AGM</v>
          </cell>
          <cell r="K15" t="str">
            <v>Eco-High</v>
          </cell>
          <cell r="L15" t="str">
            <v>West</v>
          </cell>
          <cell r="M15" t="str">
            <v>With LTS - 2024</v>
          </cell>
          <cell r="N15" t="str">
            <v>YES</v>
          </cell>
          <cell r="O15" t="str">
            <v>YES</v>
          </cell>
          <cell r="P15" t="str">
            <v>Unaffected lots</v>
          </cell>
          <cell r="Q15" t="str">
            <v>YES</v>
          </cell>
          <cell r="R15">
            <v>70</v>
          </cell>
          <cell r="S15" t="str">
            <v>PCS-04-034407</v>
          </cell>
          <cell r="T15" t="str">
            <v>TCT-060-202421294</v>
          </cell>
          <cell r="U15" t="b">
            <v>1</v>
          </cell>
          <cell r="V15" t="str">
            <v>Done</v>
          </cell>
          <cell r="W15" t="str">
            <v>B3 2025 - Hold</v>
          </cell>
          <cell r="X15" t="str">
            <v>2025 - Batch 6</v>
          </cell>
          <cell r="Y15">
            <v>1</v>
          </cell>
          <cell r="Z15">
            <v>9</v>
          </cell>
          <cell r="AA15" t="str">
            <v>H+L</v>
          </cell>
          <cell r="AB15">
            <v>70</v>
          </cell>
          <cell r="AC15">
            <v>50</v>
          </cell>
          <cell r="AD15" t="str">
            <v>Flat</v>
          </cell>
          <cell r="AE15" t="str">
            <v>Duplex</v>
          </cell>
          <cell r="AF15" t="str">
            <v>568 - Without Partition</v>
          </cell>
          <cell r="AG15" t="str">
            <v xml:space="preserve">Without Partition </v>
          </cell>
          <cell r="AH15" t="str">
            <v>N/A - Model Home Park</v>
          </cell>
          <cell r="AI15" t="str">
            <v>PINK</v>
          </cell>
          <cell r="AJ15" t="str">
            <v>Flat / PINK</v>
          </cell>
          <cell r="AK15">
            <v>1050000</v>
          </cell>
          <cell r="AL15">
            <v>15000</v>
          </cell>
          <cell r="AM15">
            <v>1650000</v>
          </cell>
          <cell r="AN15">
            <v>33000</v>
          </cell>
          <cell r="AO15">
            <v>150000</v>
          </cell>
          <cell r="AP15">
            <v>2850000</v>
          </cell>
          <cell r="AQ15"/>
          <cell r="AR15">
            <v>2850000</v>
          </cell>
          <cell r="AS15">
            <v>200000</v>
          </cell>
          <cell r="AT15">
            <v>2650000</v>
          </cell>
          <cell r="AU15">
            <v>100000</v>
          </cell>
          <cell r="AV15">
            <v>2550000</v>
          </cell>
          <cell r="AW15">
            <v>0</v>
          </cell>
          <cell r="AX15">
            <v>2550000</v>
          </cell>
        </row>
        <row r="16">
          <cell r="G16" t="str">
            <v>AGM-01-001-010</v>
          </cell>
          <cell r="H16" t="str">
            <v xml:space="preserve">Raemulan Lands, Inc. </v>
          </cell>
          <cell r="I16" t="str">
            <v>Agapeya</v>
          </cell>
          <cell r="J16" t="str">
            <v>AGM</v>
          </cell>
          <cell r="K16" t="str">
            <v>Eco-High</v>
          </cell>
          <cell r="L16" t="str">
            <v>West</v>
          </cell>
          <cell r="M16" t="str">
            <v>With LTS - 2024</v>
          </cell>
          <cell r="N16" t="str">
            <v>YES</v>
          </cell>
          <cell r="O16" t="str">
            <v>YES</v>
          </cell>
          <cell r="P16" t="str">
            <v>Unaffected lots</v>
          </cell>
          <cell r="Q16" t="str">
            <v>YES</v>
          </cell>
          <cell r="R16">
            <v>119</v>
          </cell>
          <cell r="S16" t="str">
            <v>PCS-04-034407</v>
          </cell>
          <cell r="T16" t="str">
            <v>TCT-060-202421295</v>
          </cell>
          <cell r="U16" t="b">
            <v>1</v>
          </cell>
          <cell r="V16" t="str">
            <v>Done</v>
          </cell>
          <cell r="W16" t="str">
            <v>B3 2025 - Hold</v>
          </cell>
          <cell r="X16" t="str">
            <v>2025 - Batch 6</v>
          </cell>
          <cell r="Y16">
            <v>1</v>
          </cell>
          <cell r="Z16">
            <v>10</v>
          </cell>
          <cell r="AA16" t="str">
            <v>H+L</v>
          </cell>
          <cell r="AB16">
            <v>119</v>
          </cell>
          <cell r="AC16">
            <v>50</v>
          </cell>
          <cell r="AD16" t="str">
            <v>Slant</v>
          </cell>
          <cell r="AE16" t="str">
            <v>Duplex</v>
          </cell>
          <cell r="AF16" t="str">
            <v>568 - Without Partition</v>
          </cell>
          <cell r="AG16" t="str">
            <v xml:space="preserve">Without Partition </v>
          </cell>
          <cell r="AH16" t="str">
            <v>N/A - Model Home Park</v>
          </cell>
          <cell r="AI16" t="str">
            <v>PINK</v>
          </cell>
          <cell r="AJ16" t="str">
            <v>Slant / PINK</v>
          </cell>
          <cell r="AK16">
            <v>1785000</v>
          </cell>
          <cell r="AL16">
            <v>15000</v>
          </cell>
          <cell r="AM16">
            <v>1650000</v>
          </cell>
          <cell r="AN16">
            <v>33000</v>
          </cell>
          <cell r="AO16">
            <v>150000</v>
          </cell>
          <cell r="AP16">
            <v>3585000</v>
          </cell>
          <cell r="AQ16"/>
          <cell r="AR16">
            <v>3600000</v>
          </cell>
          <cell r="AS16">
            <v>200000</v>
          </cell>
          <cell r="AT16">
            <v>3400000</v>
          </cell>
          <cell r="AU16">
            <v>100000</v>
          </cell>
          <cell r="AV16">
            <v>3300000</v>
          </cell>
          <cell r="AW16">
            <v>0</v>
          </cell>
          <cell r="AX16">
            <v>3300000</v>
          </cell>
        </row>
        <row r="17">
          <cell r="G17" t="str">
            <v>AGM-01-002-001</v>
          </cell>
          <cell r="H17" t="str">
            <v xml:space="preserve">Raemulan Lands, Inc. </v>
          </cell>
          <cell r="I17" t="str">
            <v>Agapeya</v>
          </cell>
          <cell r="J17" t="str">
            <v>AGM</v>
          </cell>
          <cell r="K17" t="str">
            <v>Eco-High</v>
          </cell>
          <cell r="L17" t="str">
            <v>West</v>
          </cell>
          <cell r="M17" t="str">
            <v>With LTS - 2024</v>
          </cell>
          <cell r="N17" t="str">
            <v>YES</v>
          </cell>
          <cell r="O17" t="str">
            <v>YES</v>
          </cell>
          <cell r="P17" t="str">
            <v>Unaffected lots</v>
          </cell>
          <cell r="Q17" t="str">
            <v>YES</v>
          </cell>
          <cell r="R17">
            <v>70</v>
          </cell>
          <cell r="S17" t="str">
            <v>PCS-04-034407</v>
          </cell>
          <cell r="T17" t="str">
            <v>TCT-060-202421296</v>
          </cell>
          <cell r="U17" t="b">
            <v>1</v>
          </cell>
          <cell r="V17" t="str">
            <v>Done</v>
          </cell>
          <cell r="W17" t="str">
            <v>B3 2025</v>
          </cell>
          <cell r="X17" t="str">
            <v>2025 - Batch 6</v>
          </cell>
          <cell r="Y17">
            <v>2</v>
          </cell>
          <cell r="Z17">
            <v>1</v>
          </cell>
          <cell r="AA17" t="str">
            <v>H+L</v>
          </cell>
          <cell r="AB17">
            <v>70</v>
          </cell>
          <cell r="AC17">
            <v>50</v>
          </cell>
          <cell r="AD17" t="str">
            <v>Slant</v>
          </cell>
          <cell r="AE17" t="str">
            <v>Duplex</v>
          </cell>
          <cell r="AF17" t="str">
            <v>568 - Without Partition</v>
          </cell>
          <cell r="AG17" t="str">
            <v xml:space="preserve">Without Partition </v>
          </cell>
          <cell r="AH17" t="str">
            <v xml:space="preserve">Without Partition </v>
          </cell>
          <cell r="AI17" t="str">
            <v>PURPLE</v>
          </cell>
          <cell r="AJ17" t="str">
            <v>Slant / PURPLE</v>
          </cell>
          <cell r="AK17">
            <v>1050000</v>
          </cell>
          <cell r="AL17">
            <v>15000</v>
          </cell>
          <cell r="AM17">
            <v>1650000</v>
          </cell>
          <cell r="AN17">
            <v>33000</v>
          </cell>
          <cell r="AO17">
            <v>150000</v>
          </cell>
          <cell r="AP17">
            <v>2850000</v>
          </cell>
          <cell r="AQ17"/>
          <cell r="AR17">
            <v>2850000</v>
          </cell>
          <cell r="AS17">
            <v>200000</v>
          </cell>
          <cell r="AT17">
            <v>2650000</v>
          </cell>
          <cell r="AU17">
            <v>100000</v>
          </cell>
          <cell r="AV17">
            <v>2550000</v>
          </cell>
          <cell r="AW17">
            <v>0</v>
          </cell>
          <cell r="AX17">
            <v>2550000</v>
          </cell>
        </row>
        <row r="18">
          <cell r="G18" t="str">
            <v>AGM-01-002-002</v>
          </cell>
          <cell r="H18" t="str">
            <v xml:space="preserve">Raemulan Lands, Inc. </v>
          </cell>
          <cell r="I18" t="str">
            <v>Agapeya</v>
          </cell>
          <cell r="J18" t="str">
            <v>AGM</v>
          </cell>
          <cell r="K18" t="str">
            <v>Eco-High</v>
          </cell>
          <cell r="L18" t="str">
            <v>West</v>
          </cell>
          <cell r="M18" t="str">
            <v>With LTS - 2024</v>
          </cell>
          <cell r="N18" t="str">
            <v>YES</v>
          </cell>
          <cell r="O18" t="str">
            <v>YES</v>
          </cell>
          <cell r="P18" t="str">
            <v>Unaffected lots</v>
          </cell>
          <cell r="Q18" t="str">
            <v>YES</v>
          </cell>
          <cell r="R18">
            <v>70</v>
          </cell>
          <cell r="S18" t="str">
            <v>PCS-04-034407</v>
          </cell>
          <cell r="T18" t="str">
            <v>TCT-060-202421297</v>
          </cell>
          <cell r="U18" t="b">
            <v>1</v>
          </cell>
          <cell r="V18" t="str">
            <v>Done</v>
          </cell>
          <cell r="W18" t="str">
            <v>B3 2025</v>
          </cell>
          <cell r="X18" t="str">
            <v>2025 - Batch 6</v>
          </cell>
          <cell r="Y18">
            <v>2</v>
          </cell>
          <cell r="Z18">
            <v>2</v>
          </cell>
          <cell r="AA18" t="str">
            <v>H+L</v>
          </cell>
          <cell r="AB18">
            <v>70</v>
          </cell>
          <cell r="AC18">
            <v>50</v>
          </cell>
          <cell r="AD18" t="str">
            <v>Flat</v>
          </cell>
          <cell r="AE18" t="str">
            <v>Duplex</v>
          </cell>
          <cell r="AF18" t="str">
            <v>568 - Without Partition</v>
          </cell>
          <cell r="AG18" t="str">
            <v xml:space="preserve">Without Partition </v>
          </cell>
          <cell r="AH18" t="str">
            <v xml:space="preserve">Without Partition </v>
          </cell>
          <cell r="AI18" t="str">
            <v>PURPLE</v>
          </cell>
          <cell r="AJ18" t="str">
            <v>Flat / PURPLE</v>
          </cell>
          <cell r="AK18">
            <v>1050000</v>
          </cell>
          <cell r="AL18">
            <v>15000</v>
          </cell>
          <cell r="AM18">
            <v>1650000</v>
          </cell>
          <cell r="AN18">
            <v>33000</v>
          </cell>
          <cell r="AO18">
            <v>150000</v>
          </cell>
          <cell r="AP18">
            <v>2850000</v>
          </cell>
          <cell r="AQ18"/>
          <cell r="AR18">
            <v>2850000</v>
          </cell>
          <cell r="AS18">
            <v>200000</v>
          </cell>
          <cell r="AT18">
            <v>2650000</v>
          </cell>
          <cell r="AU18">
            <v>100000</v>
          </cell>
          <cell r="AV18">
            <v>2550000</v>
          </cell>
          <cell r="AW18">
            <v>0</v>
          </cell>
          <cell r="AX18">
            <v>2550000</v>
          </cell>
        </row>
        <row r="19">
          <cell r="G19" t="str">
            <v>AGM-01-002-003</v>
          </cell>
          <cell r="H19" t="str">
            <v xml:space="preserve">Raemulan Lands, Inc. </v>
          </cell>
          <cell r="I19" t="str">
            <v>Agapeya</v>
          </cell>
          <cell r="J19" t="str">
            <v>AGM</v>
          </cell>
          <cell r="K19" t="str">
            <v>Eco-High</v>
          </cell>
          <cell r="L19" t="str">
            <v>West</v>
          </cell>
          <cell r="M19" t="str">
            <v>With LTS - 2024</v>
          </cell>
          <cell r="N19" t="str">
            <v>YES</v>
          </cell>
          <cell r="O19" t="str">
            <v>YES</v>
          </cell>
          <cell r="P19" t="str">
            <v>Unaffected lots</v>
          </cell>
          <cell r="Q19" t="str">
            <v>YES</v>
          </cell>
          <cell r="R19">
            <v>70</v>
          </cell>
          <cell r="S19" t="str">
            <v>PCS-04-034407</v>
          </cell>
          <cell r="T19" t="str">
            <v>TCT-060-202421298</v>
          </cell>
          <cell r="U19" t="b">
            <v>1</v>
          </cell>
          <cell r="V19" t="str">
            <v>Done</v>
          </cell>
          <cell r="W19" t="str">
            <v>B3 2025</v>
          </cell>
          <cell r="X19" t="str">
            <v>2025 - Batch 6</v>
          </cell>
          <cell r="Y19">
            <v>2</v>
          </cell>
          <cell r="Z19">
            <v>3</v>
          </cell>
          <cell r="AA19" t="str">
            <v>H+L</v>
          </cell>
          <cell r="AB19">
            <v>70</v>
          </cell>
          <cell r="AC19">
            <v>50</v>
          </cell>
          <cell r="AD19" t="str">
            <v>Flat</v>
          </cell>
          <cell r="AE19" t="str">
            <v>Duplex</v>
          </cell>
          <cell r="AF19" t="str">
            <v>568 - Without Partition</v>
          </cell>
          <cell r="AG19" t="str">
            <v xml:space="preserve">Without Partition </v>
          </cell>
          <cell r="AH19" t="str">
            <v xml:space="preserve">Without Partition </v>
          </cell>
          <cell r="AI19" t="str">
            <v>PURPLE</v>
          </cell>
          <cell r="AJ19" t="str">
            <v>Flat / PURPLE</v>
          </cell>
          <cell r="AK19">
            <v>1050000</v>
          </cell>
          <cell r="AL19">
            <v>15000</v>
          </cell>
          <cell r="AM19">
            <v>1650000</v>
          </cell>
          <cell r="AN19">
            <v>33000</v>
          </cell>
          <cell r="AO19">
            <v>150000</v>
          </cell>
          <cell r="AP19">
            <v>2850000</v>
          </cell>
          <cell r="AQ19"/>
          <cell r="AR19">
            <v>2850000</v>
          </cell>
          <cell r="AS19">
            <v>200000</v>
          </cell>
          <cell r="AT19">
            <v>2650000</v>
          </cell>
          <cell r="AU19">
            <v>100000</v>
          </cell>
          <cell r="AV19">
            <v>2550000</v>
          </cell>
          <cell r="AW19">
            <v>0</v>
          </cell>
          <cell r="AX19">
            <v>2550000</v>
          </cell>
        </row>
        <row r="20">
          <cell r="G20" t="str">
            <v>AGM-01-002-004</v>
          </cell>
          <cell r="H20" t="str">
            <v xml:space="preserve">Raemulan Lands, Inc. </v>
          </cell>
          <cell r="I20" t="str">
            <v>Agapeya</v>
          </cell>
          <cell r="J20" t="str">
            <v>AGM</v>
          </cell>
          <cell r="K20" t="str">
            <v>Eco-High</v>
          </cell>
          <cell r="L20" t="str">
            <v>West</v>
          </cell>
          <cell r="M20" t="str">
            <v>With LTS - 2024</v>
          </cell>
          <cell r="N20" t="str">
            <v>YES</v>
          </cell>
          <cell r="O20" t="str">
            <v>YES</v>
          </cell>
          <cell r="P20" t="str">
            <v>Unaffected lots</v>
          </cell>
          <cell r="Q20" t="str">
            <v>YES</v>
          </cell>
          <cell r="R20">
            <v>70</v>
          </cell>
          <cell r="S20" t="str">
            <v>PCS-04-034407</v>
          </cell>
          <cell r="T20" t="str">
            <v>TCT-060-202421299</v>
          </cell>
          <cell r="U20" t="b">
            <v>1</v>
          </cell>
          <cell r="V20" t="str">
            <v>Done</v>
          </cell>
          <cell r="W20" t="str">
            <v>B3 2025</v>
          </cell>
          <cell r="X20" t="str">
            <v>2025 - Batch 6</v>
          </cell>
          <cell r="Y20">
            <v>2</v>
          </cell>
          <cell r="Z20">
            <v>4</v>
          </cell>
          <cell r="AA20" t="str">
            <v>H+L</v>
          </cell>
          <cell r="AB20">
            <v>70</v>
          </cell>
          <cell r="AC20">
            <v>50</v>
          </cell>
          <cell r="AD20" t="str">
            <v>Slant</v>
          </cell>
          <cell r="AE20" t="str">
            <v>Duplex</v>
          </cell>
          <cell r="AF20" t="str">
            <v>568 - Without Partition</v>
          </cell>
          <cell r="AG20" t="str">
            <v xml:space="preserve">Without Partition </v>
          </cell>
          <cell r="AH20" t="str">
            <v xml:space="preserve">Without Partition </v>
          </cell>
          <cell r="AI20" t="str">
            <v>PURPLE</v>
          </cell>
          <cell r="AJ20" t="str">
            <v>Slant / PURPLE</v>
          </cell>
          <cell r="AK20">
            <v>1050000</v>
          </cell>
          <cell r="AL20">
            <v>15000</v>
          </cell>
          <cell r="AM20">
            <v>1650000</v>
          </cell>
          <cell r="AN20">
            <v>33000</v>
          </cell>
          <cell r="AO20">
            <v>150000</v>
          </cell>
          <cell r="AP20">
            <v>2850000</v>
          </cell>
          <cell r="AQ20"/>
          <cell r="AR20">
            <v>2850000</v>
          </cell>
          <cell r="AS20">
            <v>200000</v>
          </cell>
          <cell r="AT20">
            <v>2650000</v>
          </cell>
          <cell r="AU20">
            <v>100000</v>
          </cell>
          <cell r="AV20">
            <v>2550000</v>
          </cell>
          <cell r="AW20">
            <v>0</v>
          </cell>
          <cell r="AX20">
            <v>2550000</v>
          </cell>
        </row>
        <row r="21">
          <cell r="G21" t="str">
            <v>AGM-01-002-005</v>
          </cell>
          <cell r="H21" t="str">
            <v xml:space="preserve">Raemulan Lands, Inc. </v>
          </cell>
          <cell r="I21" t="str">
            <v>Agapeya</v>
          </cell>
          <cell r="J21" t="str">
            <v>AGM</v>
          </cell>
          <cell r="K21" t="str">
            <v>Eco-High</v>
          </cell>
          <cell r="L21" t="str">
            <v>West</v>
          </cell>
          <cell r="M21" t="str">
            <v>With LTS - 2024</v>
          </cell>
          <cell r="N21" t="str">
            <v>YES</v>
          </cell>
          <cell r="O21" t="str">
            <v>YES</v>
          </cell>
          <cell r="P21" t="str">
            <v>Unaffected lots</v>
          </cell>
          <cell r="Q21" t="str">
            <v>YES</v>
          </cell>
          <cell r="R21">
            <v>70</v>
          </cell>
          <cell r="S21" t="str">
            <v>PCS-04-034407</v>
          </cell>
          <cell r="T21" t="str">
            <v>TCT-060-202421300</v>
          </cell>
          <cell r="U21" t="b">
            <v>1</v>
          </cell>
          <cell r="V21" t="str">
            <v>Done</v>
          </cell>
          <cell r="W21" t="str">
            <v>B3 2025</v>
          </cell>
          <cell r="X21" t="str">
            <v>2025 - Batch 6</v>
          </cell>
          <cell r="Y21">
            <v>2</v>
          </cell>
          <cell r="Z21">
            <v>5</v>
          </cell>
          <cell r="AA21" t="str">
            <v>H+L</v>
          </cell>
          <cell r="AB21">
            <v>70</v>
          </cell>
          <cell r="AC21">
            <v>50</v>
          </cell>
          <cell r="AD21" t="str">
            <v>Slant</v>
          </cell>
          <cell r="AE21" t="str">
            <v>Duplex</v>
          </cell>
          <cell r="AF21" t="str">
            <v>568 - Without Partition</v>
          </cell>
          <cell r="AG21" t="str">
            <v xml:space="preserve">Without Partition </v>
          </cell>
          <cell r="AH21" t="str">
            <v xml:space="preserve">Without Partition </v>
          </cell>
          <cell r="AI21" t="str">
            <v>PINK</v>
          </cell>
          <cell r="AJ21" t="str">
            <v>Slant / PINK</v>
          </cell>
          <cell r="AK21">
            <v>1050000</v>
          </cell>
          <cell r="AL21">
            <v>15000</v>
          </cell>
          <cell r="AM21">
            <v>1650000</v>
          </cell>
          <cell r="AN21">
            <v>33000</v>
          </cell>
          <cell r="AO21">
            <v>150000</v>
          </cell>
          <cell r="AP21">
            <v>2850000</v>
          </cell>
          <cell r="AQ21"/>
          <cell r="AR21">
            <v>2850000</v>
          </cell>
          <cell r="AS21">
            <v>200000</v>
          </cell>
          <cell r="AT21">
            <v>2650000</v>
          </cell>
          <cell r="AU21">
            <v>100000</v>
          </cell>
          <cell r="AV21">
            <v>2550000</v>
          </cell>
          <cell r="AW21">
            <v>0</v>
          </cell>
          <cell r="AX21">
            <v>2550000</v>
          </cell>
        </row>
        <row r="22">
          <cell r="G22" t="str">
            <v>AGM-01-002-006</v>
          </cell>
          <cell r="H22" t="str">
            <v xml:space="preserve">Raemulan Lands, Inc. </v>
          </cell>
          <cell r="I22" t="str">
            <v>Agapeya</v>
          </cell>
          <cell r="J22" t="str">
            <v>AGM</v>
          </cell>
          <cell r="K22" t="str">
            <v>Eco-High</v>
          </cell>
          <cell r="L22" t="str">
            <v>West</v>
          </cell>
          <cell r="M22" t="str">
            <v>With LTS - 2024</v>
          </cell>
          <cell r="N22" t="str">
            <v>YES</v>
          </cell>
          <cell r="O22" t="str">
            <v>YES</v>
          </cell>
          <cell r="P22" t="str">
            <v>Unaffected lots</v>
          </cell>
          <cell r="Q22" t="str">
            <v>YES</v>
          </cell>
          <cell r="R22">
            <v>70</v>
          </cell>
          <cell r="S22" t="str">
            <v>PCS-04-034407</v>
          </cell>
          <cell r="T22" t="str">
            <v>TCT-060-202421301</v>
          </cell>
          <cell r="U22" t="b">
            <v>1</v>
          </cell>
          <cell r="V22" t="str">
            <v>Done</v>
          </cell>
          <cell r="W22" t="str">
            <v>B3 2025</v>
          </cell>
          <cell r="X22" t="str">
            <v>2025 - Batch 6</v>
          </cell>
          <cell r="Y22">
            <v>2</v>
          </cell>
          <cell r="Z22">
            <v>6</v>
          </cell>
          <cell r="AA22" t="str">
            <v>H+L</v>
          </cell>
          <cell r="AB22">
            <v>70</v>
          </cell>
          <cell r="AC22">
            <v>50</v>
          </cell>
          <cell r="AD22" t="str">
            <v>Flat</v>
          </cell>
          <cell r="AE22" t="str">
            <v>Duplex</v>
          </cell>
          <cell r="AF22" t="str">
            <v>568 - Without Partition</v>
          </cell>
          <cell r="AG22" t="str">
            <v xml:space="preserve">Without Partition </v>
          </cell>
          <cell r="AH22" t="str">
            <v xml:space="preserve">Without Partition </v>
          </cell>
          <cell r="AI22" t="str">
            <v>PINK</v>
          </cell>
          <cell r="AJ22" t="str">
            <v>Flat / PINK</v>
          </cell>
          <cell r="AK22">
            <v>1050000</v>
          </cell>
          <cell r="AL22">
            <v>15000</v>
          </cell>
          <cell r="AM22">
            <v>1650000</v>
          </cell>
          <cell r="AN22">
            <v>33000</v>
          </cell>
          <cell r="AO22">
            <v>150000</v>
          </cell>
          <cell r="AP22">
            <v>2850000</v>
          </cell>
          <cell r="AQ22"/>
          <cell r="AR22">
            <v>2850000</v>
          </cell>
          <cell r="AS22">
            <v>200000</v>
          </cell>
          <cell r="AT22">
            <v>2650000</v>
          </cell>
          <cell r="AU22">
            <v>100000</v>
          </cell>
          <cell r="AV22">
            <v>2550000</v>
          </cell>
          <cell r="AW22">
            <v>0</v>
          </cell>
          <cell r="AX22">
            <v>2550000</v>
          </cell>
        </row>
        <row r="23">
          <cell r="G23" t="str">
            <v>AGM-01-002-007</v>
          </cell>
          <cell r="H23" t="str">
            <v xml:space="preserve">Raemulan Lands, Inc. </v>
          </cell>
          <cell r="I23" t="str">
            <v>Agapeya</v>
          </cell>
          <cell r="J23" t="str">
            <v>AGM</v>
          </cell>
          <cell r="K23" t="str">
            <v>Eco-High</v>
          </cell>
          <cell r="L23" t="str">
            <v>West</v>
          </cell>
          <cell r="M23" t="str">
            <v>With LTS - 2024</v>
          </cell>
          <cell r="N23" t="str">
            <v>YES</v>
          </cell>
          <cell r="O23" t="str">
            <v>YES</v>
          </cell>
          <cell r="P23" t="str">
            <v>Unaffected lots</v>
          </cell>
          <cell r="Q23" t="str">
            <v>YES</v>
          </cell>
          <cell r="R23">
            <v>70</v>
          </cell>
          <cell r="S23" t="str">
            <v>PCS-04-034407</v>
          </cell>
          <cell r="T23" t="str">
            <v>TCT-060-202421302</v>
          </cell>
          <cell r="U23" t="b">
            <v>1</v>
          </cell>
          <cell r="V23" t="str">
            <v>Done</v>
          </cell>
          <cell r="W23" t="str">
            <v>B4 2025</v>
          </cell>
          <cell r="X23" t="str">
            <v>2025 - Batch 6</v>
          </cell>
          <cell r="Y23">
            <v>2</v>
          </cell>
          <cell r="Z23">
            <v>7</v>
          </cell>
          <cell r="AA23" t="str">
            <v>H+L</v>
          </cell>
          <cell r="AB23">
            <v>70</v>
          </cell>
          <cell r="AC23">
            <v>50</v>
          </cell>
          <cell r="AD23" t="str">
            <v>Flat</v>
          </cell>
          <cell r="AE23" t="str">
            <v>Duplex</v>
          </cell>
          <cell r="AF23" t="str">
            <v>568 - Without Partition</v>
          </cell>
          <cell r="AG23" t="str">
            <v xml:space="preserve">Without Partition </v>
          </cell>
          <cell r="AH23" t="str">
            <v xml:space="preserve">Without Partition </v>
          </cell>
          <cell r="AI23" t="str">
            <v>PINK</v>
          </cell>
          <cell r="AJ23" t="str">
            <v>Flat / PINK</v>
          </cell>
          <cell r="AK23">
            <v>1050000</v>
          </cell>
          <cell r="AL23">
            <v>15000</v>
          </cell>
          <cell r="AM23">
            <v>1650000</v>
          </cell>
          <cell r="AN23">
            <v>33000</v>
          </cell>
          <cell r="AO23">
            <v>150000</v>
          </cell>
          <cell r="AP23">
            <v>2850000</v>
          </cell>
          <cell r="AQ23"/>
          <cell r="AR23">
            <v>2850000</v>
          </cell>
          <cell r="AS23">
            <v>200000</v>
          </cell>
          <cell r="AT23">
            <v>2650000</v>
          </cell>
          <cell r="AU23">
            <v>100000</v>
          </cell>
          <cell r="AV23">
            <v>2550000</v>
          </cell>
          <cell r="AW23">
            <v>0</v>
          </cell>
          <cell r="AX23">
            <v>2550000</v>
          </cell>
        </row>
        <row r="24">
          <cell r="G24" t="str">
            <v>AGM-01-002-008</v>
          </cell>
          <cell r="H24" t="str">
            <v xml:space="preserve">Raemulan Lands, Inc. </v>
          </cell>
          <cell r="I24" t="str">
            <v>Agapeya</v>
          </cell>
          <cell r="J24" t="str">
            <v>AGM</v>
          </cell>
          <cell r="K24" t="str">
            <v>Eco-High</v>
          </cell>
          <cell r="L24" t="str">
            <v>West</v>
          </cell>
          <cell r="M24" t="str">
            <v>With LTS - 2024</v>
          </cell>
          <cell r="N24" t="str">
            <v>YES</v>
          </cell>
          <cell r="O24" t="str">
            <v>YES</v>
          </cell>
          <cell r="P24" t="str">
            <v>Unaffected lots</v>
          </cell>
          <cell r="Q24" t="str">
            <v>YES</v>
          </cell>
          <cell r="R24">
            <v>70</v>
          </cell>
          <cell r="S24" t="str">
            <v>PCS-04-034407</v>
          </cell>
          <cell r="T24" t="str">
            <v>TCT-060-202421303</v>
          </cell>
          <cell r="U24" t="b">
            <v>1</v>
          </cell>
          <cell r="V24" t="str">
            <v>Done</v>
          </cell>
          <cell r="W24" t="str">
            <v>B4 2025</v>
          </cell>
          <cell r="X24" t="str">
            <v>2025 - Batch 6</v>
          </cell>
          <cell r="Y24">
            <v>2</v>
          </cell>
          <cell r="Z24">
            <v>8</v>
          </cell>
          <cell r="AA24" t="str">
            <v>H+L</v>
          </cell>
          <cell r="AB24">
            <v>70</v>
          </cell>
          <cell r="AC24">
            <v>50</v>
          </cell>
          <cell r="AD24" t="str">
            <v>Slant</v>
          </cell>
          <cell r="AE24" t="str">
            <v>Duplex</v>
          </cell>
          <cell r="AF24" t="str">
            <v>568 - Without Partition</v>
          </cell>
          <cell r="AG24" t="str">
            <v xml:space="preserve">Without Partition </v>
          </cell>
          <cell r="AH24" t="str">
            <v xml:space="preserve">Without Partition </v>
          </cell>
          <cell r="AI24" t="str">
            <v>PINK</v>
          </cell>
          <cell r="AJ24" t="str">
            <v>Slant / PINK</v>
          </cell>
          <cell r="AK24">
            <v>1050000</v>
          </cell>
          <cell r="AL24">
            <v>15000</v>
          </cell>
          <cell r="AM24">
            <v>1650000</v>
          </cell>
          <cell r="AN24">
            <v>33000</v>
          </cell>
          <cell r="AO24">
            <v>150000</v>
          </cell>
          <cell r="AP24">
            <v>2850000</v>
          </cell>
          <cell r="AQ24"/>
          <cell r="AR24">
            <v>2850000</v>
          </cell>
          <cell r="AS24">
            <v>200000</v>
          </cell>
          <cell r="AT24">
            <v>2650000</v>
          </cell>
          <cell r="AU24">
            <v>100000</v>
          </cell>
          <cell r="AV24">
            <v>2550000</v>
          </cell>
          <cell r="AW24">
            <v>0</v>
          </cell>
          <cell r="AX24">
            <v>2550000</v>
          </cell>
        </row>
        <row r="25">
          <cell r="G25" t="str">
            <v>AGM-01-007-001</v>
          </cell>
          <cell r="H25" t="str">
            <v xml:space="preserve">Raemulan Lands, Inc. </v>
          </cell>
          <cell r="I25" t="str">
            <v>Agapeya</v>
          </cell>
          <cell r="J25" t="str">
            <v>AGM</v>
          </cell>
          <cell r="K25" t="str">
            <v>Eco-High</v>
          </cell>
          <cell r="L25" t="str">
            <v>West</v>
          </cell>
          <cell r="M25" t="str">
            <v>With LTS - 2024</v>
          </cell>
          <cell r="N25" t="str">
            <v>YES</v>
          </cell>
          <cell r="O25" t="str">
            <v>YES</v>
          </cell>
          <cell r="P25" t="str">
            <v>Unaffected lots</v>
          </cell>
          <cell r="Q25" t="str">
            <v>YES</v>
          </cell>
          <cell r="R25">
            <v>100</v>
          </cell>
          <cell r="S25" t="str">
            <v>PCS-04-034407</v>
          </cell>
          <cell r="T25" t="str">
            <v>TCT-060-2024021392</v>
          </cell>
          <cell r="U25" t="b">
            <v>1</v>
          </cell>
          <cell r="V25" t="str">
            <v>Done</v>
          </cell>
          <cell r="W25" t="str">
            <v>2024 Batch</v>
          </cell>
          <cell r="X25" t="str">
            <v>2024 Batch</v>
          </cell>
          <cell r="Y25">
            <v>7</v>
          </cell>
          <cell r="Z25">
            <v>1</v>
          </cell>
          <cell r="AA25" t="str">
            <v>H+L</v>
          </cell>
          <cell r="AB25">
            <v>100</v>
          </cell>
          <cell r="AC25">
            <v>50</v>
          </cell>
          <cell r="AD25" t="str">
            <v>Flat</v>
          </cell>
          <cell r="AE25" t="str">
            <v>Duplex</v>
          </cell>
          <cell r="AF25" t="str">
            <v>326 - With Partition</v>
          </cell>
          <cell r="AG25" t="str">
            <v xml:space="preserve">Without Partition </v>
          </cell>
          <cell r="AH25" t="str">
            <v>With Partition</v>
          </cell>
          <cell r="AI25" t="str">
            <v>PINK</v>
          </cell>
          <cell r="AJ25" t="str">
            <v>Flat / PINK</v>
          </cell>
          <cell r="AK25">
            <v>1500000</v>
          </cell>
          <cell r="AL25">
            <v>15000</v>
          </cell>
          <cell r="AM25">
            <v>1650000</v>
          </cell>
          <cell r="AN25">
            <v>33000</v>
          </cell>
          <cell r="AO25">
            <v>150000</v>
          </cell>
          <cell r="AP25">
            <v>3300000</v>
          </cell>
          <cell r="AQ25"/>
          <cell r="AR25">
            <v>3300000</v>
          </cell>
          <cell r="AS25">
            <v>0</v>
          </cell>
          <cell r="AT25">
            <v>3300000</v>
          </cell>
          <cell r="AU25">
            <v>100000</v>
          </cell>
          <cell r="AV25">
            <v>3200000</v>
          </cell>
          <cell r="AW25">
            <v>0</v>
          </cell>
          <cell r="AX25">
            <v>3200000</v>
          </cell>
        </row>
        <row r="26">
          <cell r="G26" t="str">
            <v>AGM-01-002-010</v>
          </cell>
          <cell r="H26" t="str">
            <v xml:space="preserve">Raemulan Lands, Inc. </v>
          </cell>
          <cell r="I26" t="str">
            <v>Agapeya</v>
          </cell>
          <cell r="J26" t="str">
            <v>AGM</v>
          </cell>
          <cell r="K26" t="str">
            <v>Eco-High</v>
          </cell>
          <cell r="L26" t="str">
            <v>West</v>
          </cell>
          <cell r="M26" t="str">
            <v>With LTS - 2024</v>
          </cell>
          <cell r="N26" t="str">
            <v>YES</v>
          </cell>
          <cell r="O26" t="str">
            <v>YES</v>
          </cell>
          <cell r="P26" t="str">
            <v>Unaffected lots</v>
          </cell>
          <cell r="Q26" t="str">
            <v>YES</v>
          </cell>
          <cell r="R26">
            <v>97</v>
          </cell>
          <cell r="S26" t="str">
            <v>PCS-04-034407</v>
          </cell>
          <cell r="T26" t="str">
            <v>TCT-060-202421305</v>
          </cell>
          <cell r="U26" t="b">
            <v>1</v>
          </cell>
          <cell r="V26" t="str">
            <v>Done</v>
          </cell>
          <cell r="W26" t="str">
            <v>B4 2025</v>
          </cell>
          <cell r="X26" t="str">
            <v>2025 - Batch 6</v>
          </cell>
          <cell r="Y26">
            <v>2</v>
          </cell>
          <cell r="Z26">
            <v>10</v>
          </cell>
          <cell r="AA26" t="str">
            <v>H+L</v>
          </cell>
          <cell r="AB26">
            <v>97</v>
          </cell>
          <cell r="AC26">
            <v>50</v>
          </cell>
          <cell r="AD26" t="str">
            <v>Slant</v>
          </cell>
          <cell r="AE26" t="str">
            <v>Duplex</v>
          </cell>
          <cell r="AF26" t="str">
            <v>568 - Without Partition</v>
          </cell>
          <cell r="AG26" t="str">
            <v xml:space="preserve">Without Partition </v>
          </cell>
          <cell r="AH26" t="str">
            <v xml:space="preserve">Without Partition </v>
          </cell>
          <cell r="AI26" t="str">
            <v>YELLOW</v>
          </cell>
          <cell r="AJ26" t="str">
            <v>Slant / YELLOW</v>
          </cell>
          <cell r="AK26">
            <v>1455000</v>
          </cell>
          <cell r="AL26">
            <v>15000</v>
          </cell>
          <cell r="AM26">
            <v>1650000</v>
          </cell>
          <cell r="AN26">
            <v>33000</v>
          </cell>
          <cell r="AO26">
            <v>150000</v>
          </cell>
          <cell r="AP26">
            <v>3255000</v>
          </cell>
          <cell r="AQ26"/>
          <cell r="AR26">
            <v>3255000</v>
          </cell>
          <cell r="AS26">
            <v>200000</v>
          </cell>
          <cell r="AT26">
            <v>3055000</v>
          </cell>
          <cell r="AU26">
            <v>100000</v>
          </cell>
          <cell r="AV26">
            <v>2955000</v>
          </cell>
          <cell r="AW26">
            <v>0</v>
          </cell>
          <cell r="AX26">
            <v>2955000</v>
          </cell>
        </row>
        <row r="27">
          <cell r="G27" t="str">
            <v>AGM-01-002-011</v>
          </cell>
          <cell r="H27" t="str">
            <v xml:space="preserve">Raemulan Lands, Inc. </v>
          </cell>
          <cell r="I27" t="str">
            <v>Agapeya</v>
          </cell>
          <cell r="J27" t="str">
            <v>AGM</v>
          </cell>
          <cell r="K27" t="str">
            <v>Eco-High</v>
          </cell>
          <cell r="L27" t="str">
            <v>West</v>
          </cell>
          <cell r="M27" t="str">
            <v>With LTS - 2024</v>
          </cell>
          <cell r="N27" t="str">
            <v>YES</v>
          </cell>
          <cell r="O27" t="str">
            <v>YES</v>
          </cell>
          <cell r="P27" t="str">
            <v>Unaffected lots</v>
          </cell>
          <cell r="Q27" t="str">
            <v>YES</v>
          </cell>
          <cell r="R27">
            <v>83</v>
          </cell>
          <cell r="S27" t="str">
            <v>PCS-04-034407</v>
          </cell>
          <cell r="T27" t="str">
            <v>TCT-060-202421306</v>
          </cell>
          <cell r="U27" t="b">
            <v>1</v>
          </cell>
          <cell r="V27" t="str">
            <v>Done</v>
          </cell>
          <cell r="W27" t="str">
            <v>B4 2025</v>
          </cell>
          <cell r="X27" t="str">
            <v>2025 - Batch 6</v>
          </cell>
          <cell r="Y27">
            <v>2</v>
          </cell>
          <cell r="Z27">
            <v>11</v>
          </cell>
          <cell r="AA27" t="str">
            <v>H+L</v>
          </cell>
          <cell r="AB27">
            <v>83</v>
          </cell>
          <cell r="AC27">
            <v>50</v>
          </cell>
          <cell r="AD27" t="str">
            <v>Flat</v>
          </cell>
          <cell r="AE27" t="str">
            <v>Duplex</v>
          </cell>
          <cell r="AF27" t="str">
            <v>568 - Without Partition</v>
          </cell>
          <cell r="AG27" t="str">
            <v xml:space="preserve">Without Partition </v>
          </cell>
          <cell r="AH27" t="str">
            <v xml:space="preserve">Without Partition </v>
          </cell>
          <cell r="AI27" t="str">
            <v>YELLOW</v>
          </cell>
          <cell r="AJ27" t="str">
            <v>Flat / YELLOW</v>
          </cell>
          <cell r="AK27">
            <v>1245000</v>
          </cell>
          <cell r="AL27">
            <v>15000</v>
          </cell>
          <cell r="AM27">
            <v>1650000</v>
          </cell>
          <cell r="AN27">
            <v>33000</v>
          </cell>
          <cell r="AO27">
            <v>150000</v>
          </cell>
          <cell r="AP27">
            <v>3045000</v>
          </cell>
          <cell r="AQ27"/>
          <cell r="AR27">
            <v>3045000</v>
          </cell>
          <cell r="AS27">
            <v>200000</v>
          </cell>
          <cell r="AT27">
            <v>2845000</v>
          </cell>
          <cell r="AU27">
            <v>100000</v>
          </cell>
          <cell r="AV27">
            <v>2745000</v>
          </cell>
          <cell r="AW27">
            <v>0</v>
          </cell>
          <cell r="AX27">
            <v>2745000</v>
          </cell>
        </row>
        <row r="28">
          <cell r="G28" t="str">
            <v>AGM-01-002-012</v>
          </cell>
          <cell r="H28" t="str">
            <v xml:space="preserve">Raemulan Lands, Inc. </v>
          </cell>
          <cell r="I28" t="str">
            <v>Agapeya</v>
          </cell>
          <cell r="J28" t="str">
            <v>AGM</v>
          </cell>
          <cell r="K28" t="str">
            <v>Eco-High</v>
          </cell>
          <cell r="L28" t="str">
            <v>West</v>
          </cell>
          <cell r="M28" t="str">
            <v>With LTS - 2024</v>
          </cell>
          <cell r="N28" t="str">
            <v>YES</v>
          </cell>
          <cell r="O28" t="str">
            <v>YES</v>
          </cell>
          <cell r="P28" t="str">
            <v>Unaffected lots</v>
          </cell>
          <cell r="Q28" t="str">
            <v>YES</v>
          </cell>
          <cell r="R28">
            <v>128</v>
          </cell>
          <cell r="S28" t="str">
            <v>PCS-04-034407</v>
          </cell>
          <cell r="T28" t="str">
            <v>TCT-060-202421307</v>
          </cell>
          <cell r="U28" t="b">
            <v>1</v>
          </cell>
          <cell r="V28" t="str">
            <v>Done</v>
          </cell>
          <cell r="W28" t="str">
            <v>B4 2025</v>
          </cell>
          <cell r="X28" t="str">
            <v>2025 - Batch 6</v>
          </cell>
          <cell r="Y28">
            <v>2</v>
          </cell>
          <cell r="Z28">
            <v>12</v>
          </cell>
          <cell r="AA28" t="str">
            <v>H+L</v>
          </cell>
          <cell r="AB28">
            <v>128</v>
          </cell>
          <cell r="AC28">
            <v>50</v>
          </cell>
          <cell r="AD28" t="str">
            <v>Slant</v>
          </cell>
          <cell r="AE28" t="str">
            <v>Duplex</v>
          </cell>
          <cell r="AF28" t="str">
            <v>568 - Without Partition</v>
          </cell>
          <cell r="AG28" t="str">
            <v xml:space="preserve">Without Partition </v>
          </cell>
          <cell r="AH28" t="str">
            <v xml:space="preserve">Without Partition </v>
          </cell>
          <cell r="AI28" t="str">
            <v>YELLOW</v>
          </cell>
          <cell r="AJ28" t="str">
            <v>Slant / YELLOW</v>
          </cell>
          <cell r="AK28">
            <v>1920000</v>
          </cell>
          <cell r="AL28">
            <v>15000</v>
          </cell>
          <cell r="AM28">
            <v>1650000</v>
          </cell>
          <cell r="AN28">
            <v>33000</v>
          </cell>
          <cell r="AO28">
            <v>150000</v>
          </cell>
          <cell r="AP28">
            <v>3720000</v>
          </cell>
          <cell r="AQ28"/>
          <cell r="AR28">
            <v>3720000</v>
          </cell>
          <cell r="AS28">
            <v>200000</v>
          </cell>
          <cell r="AT28">
            <v>3520000</v>
          </cell>
          <cell r="AU28">
            <v>150000</v>
          </cell>
          <cell r="AV28">
            <v>3370000</v>
          </cell>
          <cell r="AW28">
            <v>0</v>
          </cell>
          <cell r="AX28">
            <v>3370000</v>
          </cell>
        </row>
        <row r="29">
          <cell r="G29" t="str">
            <v>AGM-01-002-013</v>
          </cell>
          <cell r="H29" t="str">
            <v xml:space="preserve">Raemulan Lands, Inc. </v>
          </cell>
          <cell r="I29" t="str">
            <v>Agapeya</v>
          </cell>
          <cell r="J29" t="str">
            <v>AGM</v>
          </cell>
          <cell r="K29" t="str">
            <v>Eco-High</v>
          </cell>
          <cell r="L29" t="str">
            <v>West</v>
          </cell>
          <cell r="M29" t="str">
            <v>With LTS - 2024</v>
          </cell>
          <cell r="N29" t="str">
            <v>YES</v>
          </cell>
          <cell r="O29" t="str">
            <v>YES</v>
          </cell>
          <cell r="P29" t="str">
            <v>Unaffected lots</v>
          </cell>
          <cell r="Q29" t="str">
            <v>YES</v>
          </cell>
          <cell r="R29">
            <v>99</v>
          </cell>
          <cell r="S29" t="str">
            <v>PCS-04-034407</v>
          </cell>
          <cell r="T29" t="str">
            <v>TCT-060-202421308</v>
          </cell>
          <cell r="U29" t="b">
            <v>1</v>
          </cell>
          <cell r="V29" t="str">
            <v>Done</v>
          </cell>
          <cell r="W29" t="str">
            <v>B4 2025</v>
          </cell>
          <cell r="X29" t="str">
            <v>2025 - Batch 6</v>
          </cell>
          <cell r="Y29">
            <v>2</v>
          </cell>
          <cell r="Z29">
            <v>13</v>
          </cell>
          <cell r="AA29" t="str">
            <v>H+L</v>
          </cell>
          <cell r="AB29">
            <v>99</v>
          </cell>
          <cell r="AC29">
            <v>50</v>
          </cell>
          <cell r="AD29" t="str">
            <v>Flat</v>
          </cell>
          <cell r="AE29" t="str">
            <v>Duplex</v>
          </cell>
          <cell r="AF29" t="str">
            <v>568 - Without Partition</v>
          </cell>
          <cell r="AG29" t="str">
            <v xml:space="preserve">Without Partition </v>
          </cell>
          <cell r="AH29" t="str">
            <v xml:space="preserve">Without Partition </v>
          </cell>
          <cell r="AI29" t="str">
            <v>YELLOW</v>
          </cell>
          <cell r="AJ29" t="str">
            <v>Flat / YELLOW</v>
          </cell>
          <cell r="AK29">
            <v>1485000</v>
          </cell>
          <cell r="AL29">
            <v>15000</v>
          </cell>
          <cell r="AM29">
            <v>1650000</v>
          </cell>
          <cell r="AN29">
            <v>33000</v>
          </cell>
          <cell r="AO29">
            <v>150000</v>
          </cell>
          <cell r="AP29">
            <v>3285000</v>
          </cell>
          <cell r="AQ29"/>
          <cell r="AR29">
            <v>3285000</v>
          </cell>
          <cell r="AS29">
            <v>200000</v>
          </cell>
          <cell r="AT29">
            <v>3085000</v>
          </cell>
          <cell r="AU29">
            <v>100000</v>
          </cell>
          <cell r="AV29">
            <v>2985000</v>
          </cell>
          <cell r="AW29">
            <v>0</v>
          </cell>
          <cell r="AX29">
            <v>2985000</v>
          </cell>
        </row>
        <row r="30">
          <cell r="G30" t="str">
            <v>AGM-01-002-014</v>
          </cell>
          <cell r="H30" t="str">
            <v xml:space="preserve">Raemulan Lands, Inc. </v>
          </cell>
          <cell r="I30" t="str">
            <v>Agapeya</v>
          </cell>
          <cell r="J30" t="str">
            <v>AGM</v>
          </cell>
          <cell r="K30" t="str">
            <v>Eco-High</v>
          </cell>
          <cell r="L30" t="str">
            <v>West</v>
          </cell>
          <cell r="M30" t="str">
            <v>With LTS - 2024</v>
          </cell>
          <cell r="N30" t="str">
            <v>YES</v>
          </cell>
          <cell r="O30" t="str">
            <v>YES</v>
          </cell>
          <cell r="P30" t="str">
            <v>Unaffected lots</v>
          </cell>
          <cell r="Q30" t="str">
            <v>YES</v>
          </cell>
          <cell r="R30">
            <v>70</v>
          </cell>
          <cell r="S30" t="str">
            <v>PCS-04-034407</v>
          </cell>
          <cell r="T30" t="str">
            <v>TCT-060-202421309</v>
          </cell>
          <cell r="U30" t="b">
            <v>1</v>
          </cell>
          <cell r="V30" t="str">
            <v>Done</v>
          </cell>
          <cell r="W30" t="str">
            <v>B4 2025</v>
          </cell>
          <cell r="X30" t="str">
            <v>2025 - Batch 6</v>
          </cell>
          <cell r="Y30">
            <v>2</v>
          </cell>
          <cell r="Z30">
            <v>14</v>
          </cell>
          <cell r="AA30" t="str">
            <v>H+L</v>
          </cell>
          <cell r="AB30">
            <v>70</v>
          </cell>
          <cell r="AC30">
            <v>50</v>
          </cell>
          <cell r="AD30" t="str">
            <v>Flat</v>
          </cell>
          <cell r="AE30" t="str">
            <v>Duplex</v>
          </cell>
          <cell r="AF30" t="str">
            <v>568 - Without Partition</v>
          </cell>
          <cell r="AG30" t="str">
            <v xml:space="preserve">Without Partition </v>
          </cell>
          <cell r="AH30" t="str">
            <v xml:space="preserve">Without Partition </v>
          </cell>
          <cell r="AI30" t="str">
            <v>GREEN</v>
          </cell>
          <cell r="AJ30" t="str">
            <v>Flat / GREEN</v>
          </cell>
          <cell r="AK30">
            <v>1050000</v>
          </cell>
          <cell r="AL30">
            <v>15000</v>
          </cell>
          <cell r="AM30">
            <v>1650000</v>
          </cell>
          <cell r="AN30">
            <v>33000</v>
          </cell>
          <cell r="AO30">
            <v>150000</v>
          </cell>
          <cell r="AP30">
            <v>2850000</v>
          </cell>
          <cell r="AQ30"/>
          <cell r="AR30">
            <v>2850000</v>
          </cell>
          <cell r="AS30">
            <v>200000</v>
          </cell>
          <cell r="AT30">
            <v>2650000</v>
          </cell>
          <cell r="AU30">
            <v>100000</v>
          </cell>
          <cell r="AV30">
            <v>2550000</v>
          </cell>
          <cell r="AW30">
            <v>0</v>
          </cell>
          <cell r="AX30">
            <v>2550000</v>
          </cell>
        </row>
        <row r="31">
          <cell r="G31" t="str">
            <v>AGM-01-002-015</v>
          </cell>
          <cell r="H31" t="str">
            <v xml:space="preserve">Raemulan Lands, Inc. </v>
          </cell>
          <cell r="I31" t="str">
            <v>Agapeya</v>
          </cell>
          <cell r="J31" t="str">
            <v>AGM</v>
          </cell>
          <cell r="K31" t="str">
            <v>Eco-High</v>
          </cell>
          <cell r="L31" t="str">
            <v>West</v>
          </cell>
          <cell r="M31" t="str">
            <v>With LTS - 2024</v>
          </cell>
          <cell r="N31" t="str">
            <v>YES</v>
          </cell>
          <cell r="O31" t="str">
            <v>YES</v>
          </cell>
          <cell r="P31" t="str">
            <v>Unaffected lots</v>
          </cell>
          <cell r="Q31" t="str">
            <v>YES</v>
          </cell>
          <cell r="R31">
            <v>70</v>
          </cell>
          <cell r="S31" t="str">
            <v>PCS-04-034407</v>
          </cell>
          <cell r="T31" t="str">
            <v>TCT-060-202421310</v>
          </cell>
          <cell r="U31" t="b">
            <v>1</v>
          </cell>
          <cell r="V31" t="str">
            <v>Done</v>
          </cell>
          <cell r="W31" t="str">
            <v>B4 2025</v>
          </cell>
          <cell r="X31" t="str">
            <v>2025 - Batch 6</v>
          </cell>
          <cell r="Y31">
            <v>2</v>
          </cell>
          <cell r="Z31">
            <v>15</v>
          </cell>
          <cell r="AA31" t="str">
            <v>H+L</v>
          </cell>
          <cell r="AB31">
            <v>70</v>
          </cell>
          <cell r="AC31">
            <v>50</v>
          </cell>
          <cell r="AD31" t="str">
            <v>Slant</v>
          </cell>
          <cell r="AE31" t="str">
            <v>Duplex</v>
          </cell>
          <cell r="AF31" t="str">
            <v>568 - Without Partition</v>
          </cell>
          <cell r="AG31" t="str">
            <v xml:space="preserve">Without Partition </v>
          </cell>
          <cell r="AH31" t="str">
            <v xml:space="preserve">Without Partition </v>
          </cell>
          <cell r="AI31" t="str">
            <v>GREEN</v>
          </cell>
          <cell r="AJ31" t="str">
            <v>Slant / GREEN</v>
          </cell>
          <cell r="AK31">
            <v>1050000</v>
          </cell>
          <cell r="AL31">
            <v>15000</v>
          </cell>
          <cell r="AM31">
            <v>1650000</v>
          </cell>
          <cell r="AN31">
            <v>33000</v>
          </cell>
          <cell r="AO31">
            <v>150000</v>
          </cell>
          <cell r="AP31">
            <v>2850000</v>
          </cell>
          <cell r="AQ31"/>
          <cell r="AR31">
            <v>2850000</v>
          </cell>
          <cell r="AS31">
            <v>200000</v>
          </cell>
          <cell r="AT31">
            <v>2650000</v>
          </cell>
          <cell r="AU31">
            <v>100000</v>
          </cell>
          <cell r="AV31">
            <v>2550000</v>
          </cell>
          <cell r="AW31">
            <v>0</v>
          </cell>
          <cell r="AX31">
            <v>2550000</v>
          </cell>
        </row>
        <row r="32">
          <cell r="G32" t="str">
            <v>AGM-01-002-016</v>
          </cell>
          <cell r="H32" t="str">
            <v xml:space="preserve">Raemulan Lands, Inc. </v>
          </cell>
          <cell r="I32" t="str">
            <v>Agapeya</v>
          </cell>
          <cell r="J32" t="str">
            <v>AGM</v>
          </cell>
          <cell r="K32" t="str">
            <v>Eco-High</v>
          </cell>
          <cell r="L32" t="str">
            <v>West</v>
          </cell>
          <cell r="M32" t="str">
            <v>With LTS - 2024</v>
          </cell>
          <cell r="N32" t="str">
            <v>YES</v>
          </cell>
          <cell r="O32" t="str">
            <v>YES</v>
          </cell>
          <cell r="P32" t="str">
            <v>Unaffected lots</v>
          </cell>
          <cell r="Q32" t="str">
            <v>YES</v>
          </cell>
          <cell r="R32">
            <v>70</v>
          </cell>
          <cell r="S32" t="str">
            <v>PCS-04-034407</v>
          </cell>
          <cell r="T32" t="str">
            <v>TCT-060-202421311</v>
          </cell>
          <cell r="U32" t="b">
            <v>1</v>
          </cell>
          <cell r="V32" t="str">
            <v>Done</v>
          </cell>
          <cell r="W32" t="str">
            <v>B4 2025</v>
          </cell>
          <cell r="X32" t="str">
            <v>2025 - Batch 6</v>
          </cell>
          <cell r="Y32">
            <v>2</v>
          </cell>
          <cell r="Z32">
            <v>16</v>
          </cell>
          <cell r="AA32" t="str">
            <v>H+L</v>
          </cell>
          <cell r="AB32">
            <v>70</v>
          </cell>
          <cell r="AC32">
            <v>50</v>
          </cell>
          <cell r="AD32" t="str">
            <v>Slant</v>
          </cell>
          <cell r="AE32" t="str">
            <v>Duplex</v>
          </cell>
          <cell r="AF32" t="str">
            <v>568 - Without Partition</v>
          </cell>
          <cell r="AG32" t="str">
            <v xml:space="preserve">Without Partition </v>
          </cell>
          <cell r="AH32" t="str">
            <v xml:space="preserve">Without Partition </v>
          </cell>
          <cell r="AI32" t="str">
            <v>GREEN</v>
          </cell>
          <cell r="AJ32" t="str">
            <v>Slant / GREEN</v>
          </cell>
          <cell r="AK32">
            <v>1050000</v>
          </cell>
          <cell r="AL32">
            <v>15000</v>
          </cell>
          <cell r="AM32">
            <v>1650000</v>
          </cell>
          <cell r="AN32">
            <v>33000</v>
          </cell>
          <cell r="AO32">
            <v>150000</v>
          </cell>
          <cell r="AP32">
            <v>2850000</v>
          </cell>
          <cell r="AQ32"/>
          <cell r="AR32">
            <v>2850000</v>
          </cell>
          <cell r="AS32">
            <v>200000</v>
          </cell>
          <cell r="AT32">
            <v>2650000</v>
          </cell>
          <cell r="AU32">
            <v>100000</v>
          </cell>
          <cell r="AV32">
            <v>2550000</v>
          </cell>
          <cell r="AW32">
            <v>0</v>
          </cell>
          <cell r="AX32">
            <v>2550000</v>
          </cell>
        </row>
        <row r="33">
          <cell r="G33" t="str">
            <v>AGM-01-002-017</v>
          </cell>
          <cell r="H33" t="str">
            <v xml:space="preserve">Raemulan Lands, Inc. </v>
          </cell>
          <cell r="I33" t="str">
            <v>Agapeya</v>
          </cell>
          <cell r="J33" t="str">
            <v>AGM</v>
          </cell>
          <cell r="K33" t="str">
            <v>Eco-High</v>
          </cell>
          <cell r="L33" t="str">
            <v>West</v>
          </cell>
          <cell r="M33" t="str">
            <v>With LTS - 2024</v>
          </cell>
          <cell r="N33" t="str">
            <v>YES</v>
          </cell>
          <cell r="O33" t="str">
            <v>YES</v>
          </cell>
          <cell r="P33" t="str">
            <v>Unaffected lots</v>
          </cell>
          <cell r="Q33" t="str">
            <v>YES</v>
          </cell>
          <cell r="R33">
            <v>70</v>
          </cell>
          <cell r="S33" t="str">
            <v>PCS-04-034407</v>
          </cell>
          <cell r="T33" t="str">
            <v>TCT-060-202421312</v>
          </cell>
          <cell r="U33" t="b">
            <v>1</v>
          </cell>
          <cell r="V33" t="str">
            <v>Done</v>
          </cell>
          <cell r="W33" t="str">
            <v>B4 2025</v>
          </cell>
          <cell r="X33" t="str">
            <v>2025 - Batch 6</v>
          </cell>
          <cell r="Y33">
            <v>2</v>
          </cell>
          <cell r="Z33">
            <v>17</v>
          </cell>
          <cell r="AA33" t="str">
            <v>H+L</v>
          </cell>
          <cell r="AB33">
            <v>70</v>
          </cell>
          <cell r="AC33">
            <v>50</v>
          </cell>
          <cell r="AD33" t="str">
            <v>Flat</v>
          </cell>
          <cell r="AE33" t="str">
            <v>Duplex</v>
          </cell>
          <cell r="AF33" t="str">
            <v>568 - Without Partition</v>
          </cell>
          <cell r="AG33" t="str">
            <v xml:space="preserve">Without Partition </v>
          </cell>
          <cell r="AH33" t="str">
            <v xml:space="preserve">Without Partition </v>
          </cell>
          <cell r="AI33" t="str">
            <v>GREEN</v>
          </cell>
          <cell r="AJ33" t="str">
            <v>Flat / GREEN</v>
          </cell>
          <cell r="AK33">
            <v>1050000</v>
          </cell>
          <cell r="AL33">
            <v>15000</v>
          </cell>
          <cell r="AM33">
            <v>1650000</v>
          </cell>
          <cell r="AN33">
            <v>33000</v>
          </cell>
          <cell r="AO33">
            <v>150000</v>
          </cell>
          <cell r="AP33">
            <v>2850000</v>
          </cell>
          <cell r="AQ33"/>
          <cell r="AR33">
            <v>2850000</v>
          </cell>
          <cell r="AS33">
            <v>200000</v>
          </cell>
          <cell r="AT33">
            <v>2650000</v>
          </cell>
          <cell r="AU33">
            <v>100000</v>
          </cell>
          <cell r="AV33">
            <v>2550000</v>
          </cell>
          <cell r="AW33">
            <v>0</v>
          </cell>
          <cell r="AX33">
            <v>2550000</v>
          </cell>
        </row>
        <row r="34">
          <cell r="G34" t="str">
            <v>AGM-01-002-018</v>
          </cell>
          <cell r="H34" t="str">
            <v xml:space="preserve">Raemulan Lands, Inc. </v>
          </cell>
          <cell r="I34" t="str">
            <v>Agapeya</v>
          </cell>
          <cell r="J34" t="str">
            <v>AGM</v>
          </cell>
          <cell r="K34" t="str">
            <v>Eco-High</v>
          </cell>
          <cell r="L34" t="str">
            <v>West</v>
          </cell>
          <cell r="M34" t="str">
            <v>With LTS - 2024</v>
          </cell>
          <cell r="N34" t="str">
            <v>YES</v>
          </cell>
          <cell r="O34" t="str">
            <v>YES</v>
          </cell>
          <cell r="P34" t="str">
            <v>Unaffected lots</v>
          </cell>
          <cell r="Q34" t="str">
            <v>YES</v>
          </cell>
          <cell r="R34">
            <v>70</v>
          </cell>
          <cell r="S34" t="str">
            <v>PCS-04-034407</v>
          </cell>
          <cell r="T34" t="str">
            <v>TCT-060-202421313</v>
          </cell>
          <cell r="U34" t="b">
            <v>1</v>
          </cell>
          <cell r="V34" t="str">
            <v>Done</v>
          </cell>
          <cell r="W34" t="str">
            <v>B4 2025</v>
          </cell>
          <cell r="X34" t="str">
            <v>2025 - Batch 6</v>
          </cell>
          <cell r="Y34">
            <v>2</v>
          </cell>
          <cell r="Z34">
            <v>18</v>
          </cell>
          <cell r="AA34" t="str">
            <v>H+L</v>
          </cell>
          <cell r="AB34">
            <v>70</v>
          </cell>
          <cell r="AC34">
            <v>50</v>
          </cell>
          <cell r="AD34" t="str">
            <v>Flat</v>
          </cell>
          <cell r="AE34" t="str">
            <v>Duplex</v>
          </cell>
          <cell r="AF34" t="str">
            <v>568 - Without Partition</v>
          </cell>
          <cell r="AG34" t="str">
            <v xml:space="preserve">Without Partition </v>
          </cell>
          <cell r="AH34" t="str">
            <v xml:space="preserve">Without Partition </v>
          </cell>
          <cell r="AI34" t="str">
            <v>PINK</v>
          </cell>
          <cell r="AJ34" t="str">
            <v>Flat / PINK</v>
          </cell>
          <cell r="AK34">
            <v>1050000</v>
          </cell>
          <cell r="AL34">
            <v>15000</v>
          </cell>
          <cell r="AM34">
            <v>1650000</v>
          </cell>
          <cell r="AN34">
            <v>33000</v>
          </cell>
          <cell r="AO34">
            <v>150000</v>
          </cell>
          <cell r="AP34">
            <v>2850000</v>
          </cell>
          <cell r="AQ34"/>
          <cell r="AR34">
            <v>2850000</v>
          </cell>
          <cell r="AS34">
            <v>200000</v>
          </cell>
          <cell r="AT34">
            <v>2650000</v>
          </cell>
          <cell r="AU34">
            <v>100000</v>
          </cell>
          <cell r="AV34">
            <v>2550000</v>
          </cell>
          <cell r="AW34">
            <v>0</v>
          </cell>
          <cell r="AX34">
            <v>2550000</v>
          </cell>
        </row>
        <row r="35">
          <cell r="G35" t="str">
            <v>AGM-01-002-019</v>
          </cell>
          <cell r="H35" t="str">
            <v xml:space="preserve">Raemulan Lands, Inc. </v>
          </cell>
          <cell r="I35" t="str">
            <v>Agapeya</v>
          </cell>
          <cell r="J35" t="str">
            <v>AGM</v>
          </cell>
          <cell r="K35" t="str">
            <v>Eco-High</v>
          </cell>
          <cell r="L35" t="str">
            <v>West</v>
          </cell>
          <cell r="M35" t="str">
            <v>With LTS - 2024</v>
          </cell>
          <cell r="N35" t="str">
            <v>YES</v>
          </cell>
          <cell r="O35" t="str">
            <v>YES</v>
          </cell>
          <cell r="P35" t="str">
            <v>Unaffected lots</v>
          </cell>
          <cell r="Q35" t="str">
            <v>YES</v>
          </cell>
          <cell r="R35">
            <v>70</v>
          </cell>
          <cell r="S35" t="str">
            <v>PCS-04-034407</v>
          </cell>
          <cell r="T35" t="str">
            <v>TCT-060-202421314</v>
          </cell>
          <cell r="U35" t="b">
            <v>1</v>
          </cell>
          <cell r="V35" t="str">
            <v>Done</v>
          </cell>
          <cell r="W35" t="str">
            <v>B4 2025</v>
          </cell>
          <cell r="X35" t="str">
            <v>2025 - Batch 6</v>
          </cell>
          <cell r="Y35">
            <v>2</v>
          </cell>
          <cell r="Z35">
            <v>19</v>
          </cell>
          <cell r="AA35" t="str">
            <v>H+L</v>
          </cell>
          <cell r="AB35">
            <v>70</v>
          </cell>
          <cell r="AC35">
            <v>50</v>
          </cell>
          <cell r="AD35" t="str">
            <v>Slant</v>
          </cell>
          <cell r="AE35" t="str">
            <v>Duplex</v>
          </cell>
          <cell r="AF35" t="str">
            <v>568 - Without Partition</v>
          </cell>
          <cell r="AG35" t="str">
            <v xml:space="preserve">Without Partition </v>
          </cell>
          <cell r="AH35" t="str">
            <v xml:space="preserve">Without Partition </v>
          </cell>
          <cell r="AI35" t="str">
            <v>PINK</v>
          </cell>
          <cell r="AJ35" t="str">
            <v>Slant / PINK</v>
          </cell>
          <cell r="AK35">
            <v>1050000</v>
          </cell>
          <cell r="AL35">
            <v>15000</v>
          </cell>
          <cell r="AM35">
            <v>1650000</v>
          </cell>
          <cell r="AN35">
            <v>33000</v>
          </cell>
          <cell r="AO35">
            <v>150000</v>
          </cell>
          <cell r="AP35">
            <v>2850000</v>
          </cell>
          <cell r="AQ35"/>
          <cell r="AR35">
            <v>2850000</v>
          </cell>
          <cell r="AS35">
            <v>200000</v>
          </cell>
          <cell r="AT35">
            <v>2650000</v>
          </cell>
          <cell r="AU35">
            <v>100000</v>
          </cell>
          <cell r="AV35">
            <v>2550000</v>
          </cell>
          <cell r="AW35">
            <v>0</v>
          </cell>
          <cell r="AX35">
            <v>2550000</v>
          </cell>
        </row>
        <row r="36">
          <cell r="G36" t="str">
            <v>AGM-01-002-020</v>
          </cell>
          <cell r="H36" t="str">
            <v xml:space="preserve">Raemulan Lands, Inc. </v>
          </cell>
          <cell r="I36" t="str">
            <v>Agapeya</v>
          </cell>
          <cell r="J36" t="str">
            <v>AGM</v>
          </cell>
          <cell r="K36" t="str">
            <v>Eco-High</v>
          </cell>
          <cell r="L36" t="str">
            <v>West</v>
          </cell>
          <cell r="M36" t="str">
            <v>With LTS - 2024</v>
          </cell>
          <cell r="N36" t="str">
            <v>YES</v>
          </cell>
          <cell r="O36" t="str">
            <v>YES</v>
          </cell>
          <cell r="P36" t="str">
            <v>Unaffected lots</v>
          </cell>
          <cell r="Q36" t="str">
            <v>YES</v>
          </cell>
          <cell r="R36">
            <v>70</v>
          </cell>
          <cell r="S36" t="str">
            <v>PCS-04-034407</v>
          </cell>
          <cell r="T36" t="str">
            <v>TCT-060-202421315</v>
          </cell>
          <cell r="U36" t="b">
            <v>1</v>
          </cell>
          <cell r="V36" t="str">
            <v>Done</v>
          </cell>
          <cell r="W36" t="str">
            <v>B4 2025</v>
          </cell>
          <cell r="X36" t="str">
            <v>2025 - Batch 6</v>
          </cell>
          <cell r="Y36">
            <v>2</v>
          </cell>
          <cell r="Z36">
            <v>20</v>
          </cell>
          <cell r="AA36" t="str">
            <v>H+L</v>
          </cell>
          <cell r="AB36">
            <v>70</v>
          </cell>
          <cell r="AC36">
            <v>50</v>
          </cell>
          <cell r="AD36" t="str">
            <v>Slant</v>
          </cell>
          <cell r="AE36" t="str">
            <v>Duplex</v>
          </cell>
          <cell r="AF36" t="str">
            <v>568 - Without Partition</v>
          </cell>
          <cell r="AG36" t="str">
            <v xml:space="preserve">Without Partition </v>
          </cell>
          <cell r="AH36" t="str">
            <v xml:space="preserve">Without Partition </v>
          </cell>
          <cell r="AI36" t="str">
            <v>PINK</v>
          </cell>
          <cell r="AJ36" t="str">
            <v>Slant / PINK</v>
          </cell>
          <cell r="AK36">
            <v>1050000</v>
          </cell>
          <cell r="AL36">
            <v>15000</v>
          </cell>
          <cell r="AM36">
            <v>1650000</v>
          </cell>
          <cell r="AN36">
            <v>33000</v>
          </cell>
          <cell r="AO36">
            <v>150000</v>
          </cell>
          <cell r="AP36">
            <v>2850000</v>
          </cell>
          <cell r="AQ36"/>
          <cell r="AR36">
            <v>2850000</v>
          </cell>
          <cell r="AS36">
            <v>200000</v>
          </cell>
          <cell r="AT36">
            <v>2650000</v>
          </cell>
          <cell r="AU36">
            <v>100000</v>
          </cell>
          <cell r="AV36">
            <v>2550000</v>
          </cell>
          <cell r="AW36">
            <v>0</v>
          </cell>
          <cell r="AX36">
            <v>2550000</v>
          </cell>
        </row>
        <row r="37">
          <cell r="G37" t="str">
            <v>AGM-01-002-021</v>
          </cell>
          <cell r="H37" t="str">
            <v xml:space="preserve">Raemulan Lands, Inc. </v>
          </cell>
          <cell r="I37" t="str">
            <v>Agapeya</v>
          </cell>
          <cell r="J37" t="str">
            <v>AGM</v>
          </cell>
          <cell r="K37" t="str">
            <v>Eco-High</v>
          </cell>
          <cell r="L37" t="str">
            <v>West</v>
          </cell>
          <cell r="M37" t="str">
            <v>With LTS - 2024</v>
          </cell>
          <cell r="N37" t="str">
            <v>YES</v>
          </cell>
          <cell r="O37" t="str">
            <v>YES</v>
          </cell>
          <cell r="P37" t="str">
            <v>Unaffected lots</v>
          </cell>
          <cell r="Q37" t="str">
            <v>YES</v>
          </cell>
          <cell r="R37">
            <v>96</v>
          </cell>
          <cell r="S37" t="str">
            <v>PCS-04-034407</v>
          </cell>
          <cell r="T37" t="str">
            <v>TCT-060-202421316</v>
          </cell>
          <cell r="U37" t="b">
            <v>1</v>
          </cell>
          <cell r="V37" t="str">
            <v>Done</v>
          </cell>
          <cell r="W37" t="str">
            <v>B4 2025</v>
          </cell>
          <cell r="X37" t="str">
            <v>2025 - Batch 6</v>
          </cell>
          <cell r="Y37">
            <v>2</v>
          </cell>
          <cell r="Z37">
            <v>21</v>
          </cell>
          <cell r="AA37" t="str">
            <v>H+L</v>
          </cell>
          <cell r="AB37">
            <v>96</v>
          </cell>
          <cell r="AC37">
            <v>50</v>
          </cell>
          <cell r="AD37" t="str">
            <v>Flat</v>
          </cell>
          <cell r="AE37" t="str">
            <v>Duplex</v>
          </cell>
          <cell r="AF37" t="str">
            <v>568 - Without Partition</v>
          </cell>
          <cell r="AG37" t="str">
            <v xml:space="preserve">Without Partition </v>
          </cell>
          <cell r="AH37" t="str">
            <v xml:space="preserve">Without Partition </v>
          </cell>
          <cell r="AI37" t="str">
            <v>PINK</v>
          </cell>
          <cell r="AJ37" t="str">
            <v>Flat / PINK</v>
          </cell>
          <cell r="AK37">
            <v>1440000</v>
          </cell>
          <cell r="AL37">
            <v>15000</v>
          </cell>
          <cell r="AM37">
            <v>1650000</v>
          </cell>
          <cell r="AN37">
            <v>33000</v>
          </cell>
          <cell r="AO37">
            <v>150000</v>
          </cell>
          <cell r="AP37">
            <v>3240000</v>
          </cell>
          <cell r="AQ37"/>
          <cell r="AR37">
            <v>3240000</v>
          </cell>
          <cell r="AS37">
            <v>200000</v>
          </cell>
          <cell r="AT37">
            <v>3040000</v>
          </cell>
          <cell r="AU37">
            <v>100000</v>
          </cell>
          <cell r="AV37">
            <v>2940000</v>
          </cell>
          <cell r="AW37">
            <v>0</v>
          </cell>
          <cell r="AX37">
            <v>2940000</v>
          </cell>
        </row>
        <row r="38">
          <cell r="G38" t="str">
            <v>AGM-01-003-001</v>
          </cell>
          <cell r="H38" t="str">
            <v xml:space="preserve">Raemulan Lands, Inc. </v>
          </cell>
          <cell r="I38" t="str">
            <v>Agapeya</v>
          </cell>
          <cell r="J38" t="str">
            <v>AGM</v>
          </cell>
          <cell r="K38" t="str">
            <v>Eco-High</v>
          </cell>
          <cell r="L38" t="str">
            <v>West</v>
          </cell>
          <cell r="M38" t="str">
            <v>With LTS - 2024</v>
          </cell>
          <cell r="N38" t="str">
            <v>YES</v>
          </cell>
          <cell r="O38" t="str">
            <v>YES</v>
          </cell>
          <cell r="P38" t="str">
            <v>Unaffected lots</v>
          </cell>
          <cell r="Q38" t="str">
            <v>YES</v>
          </cell>
          <cell r="R38">
            <v>88</v>
          </cell>
          <cell r="S38" t="str">
            <v>PCS-04-034407</v>
          </cell>
          <cell r="T38" t="str">
            <v>TCT-060-202421318</v>
          </cell>
          <cell r="U38" t="b">
            <v>1</v>
          </cell>
          <cell r="V38" t="str">
            <v>Done</v>
          </cell>
          <cell r="W38" t="str">
            <v>B4 2025</v>
          </cell>
          <cell r="X38" t="str">
            <v>2025 - Batch 5</v>
          </cell>
          <cell r="Y38">
            <v>3</v>
          </cell>
          <cell r="Z38">
            <v>1</v>
          </cell>
          <cell r="AA38" t="str">
            <v>H+L</v>
          </cell>
          <cell r="AB38">
            <v>88</v>
          </cell>
          <cell r="AC38">
            <v>50</v>
          </cell>
          <cell r="AD38" t="str">
            <v>Slant</v>
          </cell>
          <cell r="AE38" t="str">
            <v>Duplex</v>
          </cell>
          <cell r="AF38" t="str">
            <v>568 - Without Partition</v>
          </cell>
          <cell r="AG38" t="str">
            <v xml:space="preserve">Without Partition </v>
          </cell>
          <cell r="AH38" t="str">
            <v xml:space="preserve">Without Partition </v>
          </cell>
          <cell r="AI38" t="str">
            <v>YELLOW</v>
          </cell>
          <cell r="AJ38" t="str">
            <v>Slant / YELLOW</v>
          </cell>
          <cell r="AK38">
            <v>1320000</v>
          </cell>
          <cell r="AL38">
            <v>15000</v>
          </cell>
          <cell r="AM38">
            <v>1650000</v>
          </cell>
          <cell r="AN38">
            <v>33000</v>
          </cell>
          <cell r="AO38">
            <v>150000</v>
          </cell>
          <cell r="AP38">
            <v>3120000</v>
          </cell>
          <cell r="AQ38"/>
          <cell r="AR38">
            <v>3120000</v>
          </cell>
          <cell r="AS38">
            <v>200000</v>
          </cell>
          <cell r="AT38">
            <v>2920000</v>
          </cell>
          <cell r="AU38">
            <v>100000</v>
          </cell>
          <cell r="AV38">
            <v>2820000</v>
          </cell>
          <cell r="AW38">
            <v>0</v>
          </cell>
          <cell r="AX38">
            <v>2820000</v>
          </cell>
        </row>
        <row r="39">
          <cell r="G39" t="str">
            <v>AGM-01-003-002</v>
          </cell>
          <cell r="H39" t="str">
            <v xml:space="preserve">Raemulan Lands, Inc. </v>
          </cell>
          <cell r="I39" t="str">
            <v>Agapeya</v>
          </cell>
          <cell r="J39" t="str">
            <v>AGM</v>
          </cell>
          <cell r="K39" t="str">
            <v>Eco-High</v>
          </cell>
          <cell r="L39" t="str">
            <v>West</v>
          </cell>
          <cell r="M39" t="str">
            <v>With LTS - 2024</v>
          </cell>
          <cell r="N39" t="str">
            <v>YES</v>
          </cell>
          <cell r="O39" t="str">
            <v>YES</v>
          </cell>
          <cell r="P39" t="str">
            <v>Unaffected lots</v>
          </cell>
          <cell r="Q39" t="str">
            <v>YES</v>
          </cell>
          <cell r="R39">
            <v>70</v>
          </cell>
          <cell r="S39" t="str">
            <v>PCS-04-034407</v>
          </cell>
          <cell r="T39" t="str">
            <v>TCT-060-202421319</v>
          </cell>
          <cell r="U39" t="b">
            <v>1</v>
          </cell>
          <cell r="V39" t="str">
            <v>Done</v>
          </cell>
          <cell r="W39" t="str">
            <v>B4 2025</v>
          </cell>
          <cell r="X39" t="str">
            <v>2025 - Batch 5</v>
          </cell>
          <cell r="Y39">
            <v>3</v>
          </cell>
          <cell r="Z39">
            <v>2</v>
          </cell>
          <cell r="AA39" t="str">
            <v>H+L</v>
          </cell>
          <cell r="AB39">
            <v>70</v>
          </cell>
          <cell r="AC39">
            <v>50</v>
          </cell>
          <cell r="AD39" t="str">
            <v>Flat</v>
          </cell>
          <cell r="AE39" t="str">
            <v>Duplex</v>
          </cell>
          <cell r="AF39" t="str">
            <v>568 - Without Partition</v>
          </cell>
          <cell r="AG39" t="str">
            <v xml:space="preserve">Without Partition </v>
          </cell>
          <cell r="AH39" t="str">
            <v xml:space="preserve">Without Partition </v>
          </cell>
          <cell r="AI39" t="str">
            <v>YELLOW</v>
          </cell>
          <cell r="AJ39" t="str">
            <v>Flat / YELLOW</v>
          </cell>
          <cell r="AK39">
            <v>1050000</v>
          </cell>
          <cell r="AL39">
            <v>15000</v>
          </cell>
          <cell r="AM39">
            <v>1650000</v>
          </cell>
          <cell r="AN39">
            <v>33000</v>
          </cell>
          <cell r="AO39">
            <v>150000</v>
          </cell>
          <cell r="AP39">
            <v>2850000</v>
          </cell>
          <cell r="AQ39"/>
          <cell r="AR39">
            <v>2850000</v>
          </cell>
          <cell r="AS39">
            <v>200000</v>
          </cell>
          <cell r="AT39">
            <v>2650000</v>
          </cell>
          <cell r="AU39">
            <v>100000</v>
          </cell>
          <cell r="AV39">
            <v>2550000</v>
          </cell>
          <cell r="AW39">
            <v>0</v>
          </cell>
          <cell r="AX39">
            <v>2550000</v>
          </cell>
        </row>
        <row r="40">
          <cell r="G40" t="str">
            <v>AGM-01-003-003</v>
          </cell>
          <cell r="H40" t="str">
            <v xml:space="preserve">Raemulan Lands, Inc. </v>
          </cell>
          <cell r="I40" t="str">
            <v>Agapeya</v>
          </cell>
          <cell r="J40" t="str">
            <v>AGM</v>
          </cell>
          <cell r="K40" t="str">
            <v>Eco-High</v>
          </cell>
          <cell r="L40" t="str">
            <v>West</v>
          </cell>
          <cell r="M40" t="str">
            <v>With LTS - 2024</v>
          </cell>
          <cell r="N40" t="str">
            <v>YES</v>
          </cell>
          <cell r="O40" t="str">
            <v>YES</v>
          </cell>
          <cell r="P40" t="str">
            <v>Unaffected lots</v>
          </cell>
          <cell r="Q40" t="str">
            <v>YES</v>
          </cell>
          <cell r="R40">
            <v>70</v>
          </cell>
          <cell r="S40" t="str">
            <v>PCS-04-034407</v>
          </cell>
          <cell r="T40" t="str">
            <v>TCT-060-202421320</v>
          </cell>
          <cell r="U40" t="b">
            <v>1</v>
          </cell>
          <cell r="V40" t="str">
            <v>Done</v>
          </cell>
          <cell r="W40" t="str">
            <v>B4 2025</v>
          </cell>
          <cell r="X40" t="str">
            <v>2025 - Batch 5</v>
          </cell>
          <cell r="Y40">
            <v>3</v>
          </cell>
          <cell r="Z40">
            <v>3</v>
          </cell>
          <cell r="AA40" t="str">
            <v>H+L</v>
          </cell>
          <cell r="AB40">
            <v>70</v>
          </cell>
          <cell r="AC40">
            <v>50</v>
          </cell>
          <cell r="AD40" t="str">
            <v>Flat</v>
          </cell>
          <cell r="AE40" t="str">
            <v>Duplex</v>
          </cell>
          <cell r="AF40" t="str">
            <v>568 - Without Partition</v>
          </cell>
          <cell r="AG40" t="str">
            <v xml:space="preserve">Without Partition </v>
          </cell>
          <cell r="AH40" t="str">
            <v xml:space="preserve">Without Partition </v>
          </cell>
          <cell r="AI40" t="str">
            <v>YELLOW</v>
          </cell>
          <cell r="AJ40" t="str">
            <v>Flat / YELLOW</v>
          </cell>
          <cell r="AK40">
            <v>1050000</v>
          </cell>
          <cell r="AL40">
            <v>15000</v>
          </cell>
          <cell r="AM40">
            <v>1650000</v>
          </cell>
          <cell r="AN40">
            <v>33000</v>
          </cell>
          <cell r="AO40">
            <v>150000</v>
          </cell>
          <cell r="AP40">
            <v>2850000</v>
          </cell>
          <cell r="AQ40"/>
          <cell r="AR40">
            <v>2850000</v>
          </cell>
          <cell r="AS40">
            <v>200000</v>
          </cell>
          <cell r="AT40">
            <v>2650000</v>
          </cell>
          <cell r="AU40">
            <v>100000</v>
          </cell>
          <cell r="AV40">
            <v>2550000</v>
          </cell>
          <cell r="AW40">
            <v>0</v>
          </cell>
          <cell r="AX40">
            <v>2550000</v>
          </cell>
        </row>
        <row r="41">
          <cell r="G41" t="str">
            <v>AGM-01-003-004</v>
          </cell>
          <cell r="H41" t="str">
            <v xml:space="preserve">Raemulan Lands, Inc. </v>
          </cell>
          <cell r="I41" t="str">
            <v>Agapeya</v>
          </cell>
          <cell r="J41" t="str">
            <v>AGM</v>
          </cell>
          <cell r="K41" t="str">
            <v>Eco-High</v>
          </cell>
          <cell r="L41" t="str">
            <v>West</v>
          </cell>
          <cell r="M41" t="str">
            <v>With LTS - 2024</v>
          </cell>
          <cell r="N41" t="str">
            <v>YES</v>
          </cell>
          <cell r="O41" t="str">
            <v>YES</v>
          </cell>
          <cell r="P41" t="str">
            <v>Unaffected lots</v>
          </cell>
          <cell r="Q41" t="str">
            <v>YES</v>
          </cell>
          <cell r="R41">
            <v>70</v>
          </cell>
          <cell r="S41" t="str">
            <v>PCS-04-034407</v>
          </cell>
          <cell r="T41" t="str">
            <v>TCT-060-202421321</v>
          </cell>
          <cell r="U41" t="b">
            <v>1</v>
          </cell>
          <cell r="V41" t="str">
            <v>Done</v>
          </cell>
          <cell r="W41" t="str">
            <v>B4 2025</v>
          </cell>
          <cell r="X41" t="str">
            <v>2025 - Batch 5</v>
          </cell>
          <cell r="Y41">
            <v>3</v>
          </cell>
          <cell r="Z41">
            <v>4</v>
          </cell>
          <cell r="AA41" t="str">
            <v>H+L</v>
          </cell>
          <cell r="AB41">
            <v>70</v>
          </cell>
          <cell r="AC41">
            <v>50</v>
          </cell>
          <cell r="AD41" t="str">
            <v>Slant</v>
          </cell>
          <cell r="AE41" t="str">
            <v>Duplex</v>
          </cell>
          <cell r="AF41" t="str">
            <v>568 - Without Partition</v>
          </cell>
          <cell r="AG41" t="str">
            <v xml:space="preserve">Without Partition </v>
          </cell>
          <cell r="AH41" t="str">
            <v xml:space="preserve">Without Partition </v>
          </cell>
          <cell r="AI41" t="str">
            <v>YELLOW</v>
          </cell>
          <cell r="AJ41" t="str">
            <v>Slant / YELLOW</v>
          </cell>
          <cell r="AK41">
            <v>1050000</v>
          </cell>
          <cell r="AL41">
            <v>15000</v>
          </cell>
          <cell r="AM41">
            <v>1650000</v>
          </cell>
          <cell r="AN41">
            <v>33000</v>
          </cell>
          <cell r="AO41">
            <v>150000</v>
          </cell>
          <cell r="AP41">
            <v>2850000</v>
          </cell>
          <cell r="AQ41"/>
          <cell r="AR41">
            <v>2850000</v>
          </cell>
          <cell r="AS41">
            <v>200000</v>
          </cell>
          <cell r="AT41">
            <v>2650000</v>
          </cell>
          <cell r="AU41">
            <v>100000</v>
          </cell>
          <cell r="AV41">
            <v>2550000</v>
          </cell>
          <cell r="AW41">
            <v>0</v>
          </cell>
          <cell r="AX41">
            <v>2550000</v>
          </cell>
        </row>
        <row r="42">
          <cell r="G42" t="str">
            <v>AGM-01-003-005</v>
          </cell>
          <cell r="H42" t="str">
            <v xml:space="preserve">Raemulan Lands, Inc. </v>
          </cell>
          <cell r="I42" t="str">
            <v>Agapeya</v>
          </cell>
          <cell r="J42" t="str">
            <v>AGM</v>
          </cell>
          <cell r="K42" t="str">
            <v>Eco-High</v>
          </cell>
          <cell r="L42" t="str">
            <v>West</v>
          </cell>
          <cell r="M42" t="str">
            <v>With LTS - 2024</v>
          </cell>
          <cell r="N42" t="str">
            <v>YES</v>
          </cell>
          <cell r="O42" t="str">
            <v>YES</v>
          </cell>
          <cell r="P42" t="str">
            <v>Unaffected lots</v>
          </cell>
          <cell r="Q42" t="str">
            <v>YES</v>
          </cell>
          <cell r="R42">
            <v>70</v>
          </cell>
          <cell r="S42" t="str">
            <v>PCS-04-034407</v>
          </cell>
          <cell r="T42" t="str">
            <v>TCT-060-202421322</v>
          </cell>
          <cell r="U42" t="b">
            <v>1</v>
          </cell>
          <cell r="V42" t="str">
            <v>Done</v>
          </cell>
          <cell r="W42" t="str">
            <v>B4 2025</v>
          </cell>
          <cell r="X42" t="str">
            <v>2025 - Batch 5</v>
          </cell>
          <cell r="Y42">
            <v>3</v>
          </cell>
          <cell r="Z42">
            <v>5</v>
          </cell>
          <cell r="AA42" t="str">
            <v>H+L</v>
          </cell>
          <cell r="AB42">
            <v>70</v>
          </cell>
          <cell r="AC42">
            <v>50</v>
          </cell>
          <cell r="AD42" t="str">
            <v>Slant</v>
          </cell>
          <cell r="AE42" t="str">
            <v>Duplex</v>
          </cell>
          <cell r="AF42" t="str">
            <v>568 - Without Partition</v>
          </cell>
          <cell r="AG42" t="str">
            <v xml:space="preserve">Without Partition </v>
          </cell>
          <cell r="AH42" t="str">
            <v xml:space="preserve">Without Partition </v>
          </cell>
          <cell r="AI42" t="str">
            <v>PURPLE</v>
          </cell>
          <cell r="AJ42" t="str">
            <v>Slant / PURPLE</v>
          </cell>
          <cell r="AK42">
            <v>1050000</v>
          </cell>
          <cell r="AL42">
            <v>15000</v>
          </cell>
          <cell r="AM42">
            <v>1650000</v>
          </cell>
          <cell r="AN42">
            <v>33000</v>
          </cell>
          <cell r="AO42">
            <v>150000</v>
          </cell>
          <cell r="AP42">
            <v>2850000</v>
          </cell>
          <cell r="AQ42"/>
          <cell r="AR42">
            <v>2850000</v>
          </cell>
          <cell r="AS42">
            <v>200000</v>
          </cell>
          <cell r="AT42">
            <v>2650000</v>
          </cell>
          <cell r="AU42">
            <v>100000</v>
          </cell>
          <cell r="AV42">
            <v>2550000</v>
          </cell>
          <cell r="AW42">
            <v>0</v>
          </cell>
          <cell r="AX42">
            <v>2550000</v>
          </cell>
        </row>
        <row r="43">
          <cell r="G43" t="str">
            <v>AGM-01-003-006</v>
          </cell>
          <cell r="H43" t="str">
            <v xml:space="preserve">Raemulan Lands, Inc. </v>
          </cell>
          <cell r="I43" t="str">
            <v>Agapeya</v>
          </cell>
          <cell r="J43" t="str">
            <v>AGM</v>
          </cell>
          <cell r="K43" t="str">
            <v>Eco-High</v>
          </cell>
          <cell r="L43" t="str">
            <v>West</v>
          </cell>
          <cell r="M43" t="str">
            <v>With LTS - 2024</v>
          </cell>
          <cell r="N43" t="str">
            <v>YES</v>
          </cell>
          <cell r="O43" t="str">
            <v>YES</v>
          </cell>
          <cell r="P43" t="str">
            <v>Unaffected lots</v>
          </cell>
          <cell r="Q43" t="str">
            <v>YES</v>
          </cell>
          <cell r="R43">
            <v>70</v>
          </cell>
          <cell r="S43" t="str">
            <v>PCS-04-034407</v>
          </cell>
          <cell r="T43" t="str">
            <v>TCT-060-202421323</v>
          </cell>
          <cell r="U43" t="b">
            <v>1</v>
          </cell>
          <cell r="V43" t="str">
            <v>Done</v>
          </cell>
          <cell r="W43" t="str">
            <v>B4 2025</v>
          </cell>
          <cell r="X43" t="str">
            <v>2025 - Batch 5</v>
          </cell>
          <cell r="Y43">
            <v>3</v>
          </cell>
          <cell r="Z43">
            <v>6</v>
          </cell>
          <cell r="AA43" t="str">
            <v>H+L</v>
          </cell>
          <cell r="AB43">
            <v>70</v>
          </cell>
          <cell r="AC43">
            <v>50</v>
          </cell>
          <cell r="AD43" t="str">
            <v>Flat</v>
          </cell>
          <cell r="AE43" t="str">
            <v>Duplex</v>
          </cell>
          <cell r="AF43" t="str">
            <v>568 - Without Partition</v>
          </cell>
          <cell r="AG43" t="str">
            <v xml:space="preserve">Without Partition </v>
          </cell>
          <cell r="AH43" t="str">
            <v xml:space="preserve">Without Partition </v>
          </cell>
          <cell r="AI43" t="str">
            <v>PURPLE</v>
          </cell>
          <cell r="AJ43" t="str">
            <v>Flat / PURPLE</v>
          </cell>
          <cell r="AK43">
            <v>1050000</v>
          </cell>
          <cell r="AL43">
            <v>15000</v>
          </cell>
          <cell r="AM43">
            <v>1650000</v>
          </cell>
          <cell r="AN43">
            <v>33000</v>
          </cell>
          <cell r="AO43">
            <v>150000</v>
          </cell>
          <cell r="AP43">
            <v>2850000</v>
          </cell>
          <cell r="AQ43"/>
          <cell r="AR43">
            <v>2850000</v>
          </cell>
          <cell r="AS43">
            <v>200000</v>
          </cell>
          <cell r="AT43">
            <v>2650000</v>
          </cell>
          <cell r="AU43">
            <v>100000</v>
          </cell>
          <cell r="AV43">
            <v>2550000</v>
          </cell>
          <cell r="AW43">
            <v>0</v>
          </cell>
          <cell r="AX43">
            <v>2550000</v>
          </cell>
        </row>
        <row r="44">
          <cell r="G44" t="str">
            <v>AGM-01-007-002</v>
          </cell>
          <cell r="H44" t="str">
            <v xml:space="preserve">Raemulan Lands, Inc. </v>
          </cell>
          <cell r="I44" t="str">
            <v>Agapeya</v>
          </cell>
          <cell r="J44" t="str">
            <v>AGM</v>
          </cell>
          <cell r="K44" t="str">
            <v>Eco-High</v>
          </cell>
          <cell r="L44" t="str">
            <v>West</v>
          </cell>
          <cell r="M44" t="str">
            <v>With LTS - 2024</v>
          </cell>
          <cell r="N44" t="str">
            <v>YES</v>
          </cell>
          <cell r="O44" t="str">
            <v>YES</v>
          </cell>
          <cell r="P44" t="str">
            <v>Unaffected lots</v>
          </cell>
          <cell r="Q44" t="str">
            <v>YES</v>
          </cell>
          <cell r="R44">
            <v>70</v>
          </cell>
          <cell r="S44" t="str">
            <v>PCS-04-034407</v>
          </cell>
          <cell r="T44" t="str">
            <v>TCT-060-2024021393</v>
          </cell>
          <cell r="U44" t="b">
            <v>1</v>
          </cell>
          <cell r="V44" t="str">
            <v>Done</v>
          </cell>
          <cell r="W44" t="str">
            <v>2024 Batch</v>
          </cell>
          <cell r="X44" t="str">
            <v>2024 Batch</v>
          </cell>
          <cell r="Y44">
            <v>7</v>
          </cell>
          <cell r="Z44">
            <v>2</v>
          </cell>
          <cell r="AA44" t="str">
            <v>H+L</v>
          </cell>
          <cell r="AB44">
            <v>70</v>
          </cell>
          <cell r="AC44">
            <v>50</v>
          </cell>
          <cell r="AD44" t="str">
            <v>Flat</v>
          </cell>
          <cell r="AE44" t="str">
            <v>Duplex</v>
          </cell>
          <cell r="AF44" t="str">
            <v>326 - With Partition</v>
          </cell>
          <cell r="AG44" t="str">
            <v xml:space="preserve">Without Partition </v>
          </cell>
          <cell r="AH44" t="str">
            <v xml:space="preserve">Without Partition </v>
          </cell>
          <cell r="AI44" t="str">
            <v>YELLOW</v>
          </cell>
          <cell r="AJ44" t="str">
            <v>Flat / YELLOW</v>
          </cell>
          <cell r="AK44">
            <v>1050000</v>
          </cell>
          <cell r="AL44">
            <v>15000</v>
          </cell>
          <cell r="AM44">
            <v>1650000</v>
          </cell>
          <cell r="AN44">
            <v>33000</v>
          </cell>
          <cell r="AO44">
            <v>150000</v>
          </cell>
          <cell r="AP44">
            <v>2850000</v>
          </cell>
          <cell r="AQ44"/>
          <cell r="AR44">
            <v>2850000</v>
          </cell>
          <cell r="AS44">
            <v>200000</v>
          </cell>
          <cell r="AT44">
            <v>2650000</v>
          </cell>
          <cell r="AU44">
            <v>100000</v>
          </cell>
          <cell r="AV44">
            <v>2550000</v>
          </cell>
          <cell r="AW44">
            <v>0</v>
          </cell>
          <cell r="AX44">
            <v>2550000</v>
          </cell>
        </row>
        <row r="45">
          <cell r="G45" t="str">
            <v>AGM-01-005-001</v>
          </cell>
          <cell r="H45" t="str">
            <v xml:space="preserve">Raemulan Lands, Inc. </v>
          </cell>
          <cell r="I45" t="str">
            <v>Agapeya</v>
          </cell>
          <cell r="J45" t="str">
            <v>AGM</v>
          </cell>
          <cell r="K45" t="str">
            <v>Eco-High</v>
          </cell>
          <cell r="L45" t="str">
            <v>West</v>
          </cell>
          <cell r="M45" t="str">
            <v>With LTS - 2024</v>
          </cell>
          <cell r="N45" t="str">
            <v>YES</v>
          </cell>
          <cell r="O45" t="str">
            <v>YES</v>
          </cell>
          <cell r="P45" t="str">
            <v>Unaffected lots</v>
          </cell>
          <cell r="Q45" t="str">
            <v>YES</v>
          </cell>
          <cell r="R45">
            <v>95</v>
          </cell>
          <cell r="S45" t="str">
            <v>PCS-04-034407</v>
          </cell>
          <cell r="T45" t="str">
            <v>TCT-060-2024021328</v>
          </cell>
          <cell r="U45" t="b">
            <v>1</v>
          </cell>
          <cell r="V45" t="str">
            <v>Done</v>
          </cell>
          <cell r="W45" t="str">
            <v>B3 2025</v>
          </cell>
          <cell r="X45" t="str">
            <v>2025 - Batch 5</v>
          </cell>
          <cell r="Y45">
            <v>5</v>
          </cell>
          <cell r="Z45">
            <v>1</v>
          </cell>
          <cell r="AA45" t="str">
            <v>H+L</v>
          </cell>
          <cell r="AB45">
            <v>95</v>
          </cell>
          <cell r="AC45">
            <v>50</v>
          </cell>
          <cell r="AD45" t="str">
            <v>Flat</v>
          </cell>
          <cell r="AE45" t="str">
            <v>Duplex</v>
          </cell>
          <cell r="AF45" t="str">
            <v>568 - Without Partition</v>
          </cell>
          <cell r="AG45" t="str">
            <v xml:space="preserve">Without Partition </v>
          </cell>
          <cell r="AH45" t="str">
            <v xml:space="preserve">Without Partition </v>
          </cell>
          <cell r="AI45" t="str">
            <v>GREEN</v>
          </cell>
          <cell r="AJ45" t="str">
            <v>Flat / GREEN</v>
          </cell>
          <cell r="AK45">
            <v>1425000</v>
          </cell>
          <cell r="AL45">
            <v>15000</v>
          </cell>
          <cell r="AM45">
            <v>1650000</v>
          </cell>
          <cell r="AN45">
            <v>33000</v>
          </cell>
          <cell r="AO45">
            <v>150000</v>
          </cell>
          <cell r="AP45">
            <v>3225000</v>
          </cell>
          <cell r="AQ45"/>
          <cell r="AR45">
            <v>3225000</v>
          </cell>
          <cell r="AS45">
            <v>200000</v>
          </cell>
          <cell r="AT45">
            <v>3025000</v>
          </cell>
          <cell r="AU45">
            <v>100000</v>
          </cell>
          <cell r="AV45">
            <v>2925000</v>
          </cell>
          <cell r="AW45">
            <v>0</v>
          </cell>
          <cell r="AX45">
            <v>2925000</v>
          </cell>
        </row>
        <row r="46">
          <cell r="G46" t="str">
            <v>AGM-01-005-002</v>
          </cell>
          <cell r="H46" t="str">
            <v xml:space="preserve">Raemulan Lands, Inc. </v>
          </cell>
          <cell r="I46" t="str">
            <v>Agapeya</v>
          </cell>
          <cell r="J46" t="str">
            <v>AGM</v>
          </cell>
          <cell r="K46" t="str">
            <v>Eco-High</v>
          </cell>
          <cell r="L46" t="str">
            <v>West</v>
          </cell>
          <cell r="M46" t="str">
            <v>With LTS - 2024</v>
          </cell>
          <cell r="N46" t="str">
            <v>YES</v>
          </cell>
          <cell r="O46" t="str">
            <v>YES</v>
          </cell>
          <cell r="P46" t="str">
            <v>Unaffected lots</v>
          </cell>
          <cell r="Q46" t="str">
            <v>YES</v>
          </cell>
          <cell r="R46">
            <v>80</v>
          </cell>
          <cell r="S46" t="str">
            <v>PCS-04-034407</v>
          </cell>
          <cell r="T46" t="str">
            <v>TCT-060-2024021329</v>
          </cell>
          <cell r="U46" t="b">
            <v>1</v>
          </cell>
          <cell r="V46" t="str">
            <v xml:space="preserve">Done </v>
          </cell>
          <cell r="W46" t="str">
            <v>B3 2025</v>
          </cell>
          <cell r="X46" t="str">
            <v>2025 - Batch 5</v>
          </cell>
          <cell r="Y46">
            <v>5</v>
          </cell>
          <cell r="Z46">
            <v>2</v>
          </cell>
          <cell r="AA46" t="str">
            <v>H+L</v>
          </cell>
          <cell r="AB46">
            <v>80</v>
          </cell>
          <cell r="AC46">
            <v>50</v>
          </cell>
          <cell r="AD46" t="str">
            <v>Slant</v>
          </cell>
          <cell r="AE46" t="str">
            <v>Duplex</v>
          </cell>
          <cell r="AF46" t="str">
            <v>568 - Without Partition</v>
          </cell>
          <cell r="AG46" t="str">
            <v xml:space="preserve">Without Partition </v>
          </cell>
          <cell r="AH46" t="str">
            <v xml:space="preserve">Without Partition </v>
          </cell>
          <cell r="AI46" t="str">
            <v>GREEN</v>
          </cell>
          <cell r="AJ46" t="str">
            <v>Slant / GREEN</v>
          </cell>
          <cell r="AK46">
            <v>1200000</v>
          </cell>
          <cell r="AL46">
            <v>15000</v>
          </cell>
          <cell r="AM46">
            <v>1650000</v>
          </cell>
          <cell r="AN46">
            <v>33000</v>
          </cell>
          <cell r="AO46">
            <v>150000</v>
          </cell>
          <cell r="AP46">
            <v>3000000</v>
          </cell>
          <cell r="AQ46"/>
          <cell r="AR46">
            <v>3000000</v>
          </cell>
          <cell r="AS46">
            <v>200000</v>
          </cell>
          <cell r="AT46">
            <v>2800000</v>
          </cell>
          <cell r="AU46">
            <v>100000</v>
          </cell>
          <cell r="AV46">
            <v>2700000</v>
          </cell>
          <cell r="AW46">
            <v>0</v>
          </cell>
          <cell r="AX46">
            <v>2700000</v>
          </cell>
        </row>
        <row r="47">
          <cell r="G47" t="str">
            <v>AGM-01-005-003</v>
          </cell>
          <cell r="H47" t="str">
            <v xml:space="preserve">Raemulan Lands, Inc. </v>
          </cell>
          <cell r="I47" t="str">
            <v>Agapeya</v>
          </cell>
          <cell r="J47" t="str">
            <v>AGM</v>
          </cell>
          <cell r="K47" t="str">
            <v>Eco-High</v>
          </cell>
          <cell r="L47" t="str">
            <v>West</v>
          </cell>
          <cell r="M47" t="str">
            <v>With LTS - 2024</v>
          </cell>
          <cell r="N47" t="str">
            <v>YES</v>
          </cell>
          <cell r="O47" t="str">
            <v>YES</v>
          </cell>
          <cell r="P47" t="str">
            <v>Unaffected lots</v>
          </cell>
          <cell r="Q47" t="str">
            <v>YES</v>
          </cell>
          <cell r="R47">
            <v>80</v>
          </cell>
          <cell r="S47" t="str">
            <v>PCS-04-034407</v>
          </cell>
          <cell r="T47" t="str">
            <v>TCT-060-2024021330</v>
          </cell>
          <cell r="U47" t="b">
            <v>1</v>
          </cell>
          <cell r="V47" t="str">
            <v>Done</v>
          </cell>
          <cell r="W47" t="str">
            <v>B3 2025</v>
          </cell>
          <cell r="X47" t="str">
            <v>2025 - Batch 6</v>
          </cell>
          <cell r="Y47">
            <v>5</v>
          </cell>
          <cell r="Z47">
            <v>3</v>
          </cell>
          <cell r="AA47" t="str">
            <v>H+L</v>
          </cell>
          <cell r="AB47">
            <v>80</v>
          </cell>
          <cell r="AC47">
            <v>50</v>
          </cell>
          <cell r="AD47" t="str">
            <v>Slant</v>
          </cell>
          <cell r="AE47" t="str">
            <v>Duplex</v>
          </cell>
          <cell r="AF47" t="str">
            <v>568 - Without Partition</v>
          </cell>
          <cell r="AG47" t="str">
            <v xml:space="preserve">Without Partition </v>
          </cell>
          <cell r="AH47" t="str">
            <v xml:space="preserve">Without Partition </v>
          </cell>
          <cell r="AI47" t="str">
            <v>GREEN</v>
          </cell>
          <cell r="AJ47" t="str">
            <v>Slant / GREEN</v>
          </cell>
          <cell r="AK47">
            <v>1200000</v>
          </cell>
          <cell r="AL47">
            <v>15000</v>
          </cell>
          <cell r="AM47">
            <v>1650000</v>
          </cell>
          <cell r="AN47">
            <v>33000</v>
          </cell>
          <cell r="AO47">
            <v>150000</v>
          </cell>
          <cell r="AP47">
            <v>3000000</v>
          </cell>
          <cell r="AQ47"/>
          <cell r="AR47">
            <v>3000000</v>
          </cell>
          <cell r="AS47">
            <v>200000</v>
          </cell>
          <cell r="AT47">
            <v>2800000</v>
          </cell>
          <cell r="AU47">
            <v>100000</v>
          </cell>
          <cell r="AV47">
            <v>2700000</v>
          </cell>
          <cell r="AW47">
            <v>0</v>
          </cell>
          <cell r="AX47">
            <v>2700000</v>
          </cell>
        </row>
        <row r="48">
          <cell r="G48" t="str">
            <v>AGM-01-005-004</v>
          </cell>
          <cell r="H48" t="str">
            <v xml:space="preserve">Raemulan Lands, Inc. </v>
          </cell>
          <cell r="I48" t="str">
            <v>Agapeya</v>
          </cell>
          <cell r="J48" t="str">
            <v>AGM</v>
          </cell>
          <cell r="K48" t="str">
            <v>Eco-High</v>
          </cell>
          <cell r="L48" t="str">
            <v>West</v>
          </cell>
          <cell r="M48" t="str">
            <v>With LTS - 2024</v>
          </cell>
          <cell r="N48" t="str">
            <v>YES</v>
          </cell>
          <cell r="O48" t="str">
            <v>YES</v>
          </cell>
          <cell r="P48" t="str">
            <v>Unaffected lots</v>
          </cell>
          <cell r="Q48" t="str">
            <v>YES</v>
          </cell>
          <cell r="R48">
            <v>70</v>
          </cell>
          <cell r="S48" t="str">
            <v>PCS-04-034407</v>
          </cell>
          <cell r="T48" t="str">
            <v>TCT-060-2024021331</v>
          </cell>
          <cell r="U48" t="b">
            <v>1</v>
          </cell>
          <cell r="V48" t="str">
            <v>Done</v>
          </cell>
          <cell r="W48" t="str">
            <v>B3 2025</v>
          </cell>
          <cell r="X48" t="str">
            <v>2025 - Batch 6</v>
          </cell>
          <cell r="Y48">
            <v>5</v>
          </cell>
          <cell r="Z48">
            <v>4</v>
          </cell>
          <cell r="AA48" t="str">
            <v>H+L</v>
          </cell>
          <cell r="AB48">
            <v>70</v>
          </cell>
          <cell r="AC48">
            <v>50</v>
          </cell>
          <cell r="AD48" t="str">
            <v>Flat</v>
          </cell>
          <cell r="AE48" t="str">
            <v>Duplex</v>
          </cell>
          <cell r="AF48" t="str">
            <v>568 - Without Partition</v>
          </cell>
          <cell r="AG48" t="str">
            <v xml:space="preserve">Without Partition </v>
          </cell>
          <cell r="AH48" t="str">
            <v xml:space="preserve">Without Partition </v>
          </cell>
          <cell r="AI48" t="str">
            <v>GREEN</v>
          </cell>
          <cell r="AJ48" t="str">
            <v>Flat / GREEN</v>
          </cell>
          <cell r="AK48">
            <v>1050000</v>
          </cell>
          <cell r="AL48">
            <v>15000</v>
          </cell>
          <cell r="AM48">
            <v>1650000</v>
          </cell>
          <cell r="AN48">
            <v>33000</v>
          </cell>
          <cell r="AO48">
            <v>150000</v>
          </cell>
          <cell r="AP48">
            <v>2850000</v>
          </cell>
          <cell r="AQ48"/>
          <cell r="AR48">
            <v>2850000</v>
          </cell>
          <cell r="AS48">
            <v>200000</v>
          </cell>
          <cell r="AT48">
            <v>2650000</v>
          </cell>
          <cell r="AU48">
            <v>100000</v>
          </cell>
          <cell r="AV48">
            <v>2550000</v>
          </cell>
          <cell r="AW48">
            <v>0</v>
          </cell>
          <cell r="AX48">
            <v>2550000</v>
          </cell>
        </row>
        <row r="49">
          <cell r="G49" t="str">
            <v>AGM-01-005-005</v>
          </cell>
          <cell r="H49" t="str">
            <v xml:space="preserve">Raemulan Lands, Inc. </v>
          </cell>
          <cell r="I49" t="str">
            <v>Agapeya</v>
          </cell>
          <cell r="J49" t="str">
            <v>AGM</v>
          </cell>
          <cell r="K49" t="str">
            <v>Eco-High</v>
          </cell>
          <cell r="L49" t="str">
            <v>West</v>
          </cell>
          <cell r="M49" t="str">
            <v>With LTS - 2024</v>
          </cell>
          <cell r="N49" t="str">
            <v>YES</v>
          </cell>
          <cell r="O49" t="str">
            <v>YES</v>
          </cell>
          <cell r="P49" t="str">
            <v>Unaffected lots</v>
          </cell>
          <cell r="Q49" t="str">
            <v>YES</v>
          </cell>
          <cell r="R49">
            <v>70</v>
          </cell>
          <cell r="S49" t="str">
            <v>PCS-04-034407</v>
          </cell>
          <cell r="T49" t="str">
            <v>TCT-060-2024021332</v>
          </cell>
          <cell r="U49" t="b">
            <v>1</v>
          </cell>
          <cell r="V49" t="str">
            <v>Done</v>
          </cell>
          <cell r="W49" t="str">
            <v>B3 2025</v>
          </cell>
          <cell r="X49" t="str">
            <v>2025 - Batch 6</v>
          </cell>
          <cell r="Y49">
            <v>5</v>
          </cell>
          <cell r="Z49">
            <v>5</v>
          </cell>
          <cell r="AA49" t="str">
            <v>H+L</v>
          </cell>
          <cell r="AB49">
            <v>70</v>
          </cell>
          <cell r="AC49">
            <v>50</v>
          </cell>
          <cell r="AD49" t="str">
            <v>Flat</v>
          </cell>
          <cell r="AE49" t="str">
            <v>Duplex</v>
          </cell>
          <cell r="AF49" t="str">
            <v>568 - Without Partition</v>
          </cell>
          <cell r="AG49" t="str">
            <v xml:space="preserve">Without Partition </v>
          </cell>
          <cell r="AH49" t="str">
            <v xml:space="preserve">Without Partition </v>
          </cell>
          <cell r="AI49" t="str">
            <v>PINK</v>
          </cell>
          <cell r="AJ49" t="str">
            <v>Flat / PINK</v>
          </cell>
          <cell r="AK49">
            <v>1050000</v>
          </cell>
          <cell r="AL49">
            <v>15000</v>
          </cell>
          <cell r="AM49">
            <v>1650000</v>
          </cell>
          <cell r="AN49">
            <v>33000</v>
          </cell>
          <cell r="AO49">
            <v>150000</v>
          </cell>
          <cell r="AP49">
            <v>2850000</v>
          </cell>
          <cell r="AQ49"/>
          <cell r="AR49">
            <v>2850000</v>
          </cell>
          <cell r="AS49">
            <v>200000</v>
          </cell>
          <cell r="AT49">
            <v>2650000</v>
          </cell>
          <cell r="AU49">
            <v>100000</v>
          </cell>
          <cell r="AV49">
            <v>2550000</v>
          </cell>
          <cell r="AW49">
            <v>0</v>
          </cell>
          <cell r="AX49">
            <v>2550000</v>
          </cell>
        </row>
        <row r="50">
          <cell r="G50" t="str">
            <v>AGM-01-005-006</v>
          </cell>
          <cell r="H50" t="str">
            <v xml:space="preserve">Raemulan Lands, Inc. </v>
          </cell>
          <cell r="I50" t="str">
            <v>Agapeya</v>
          </cell>
          <cell r="J50" t="str">
            <v>AGM</v>
          </cell>
          <cell r="K50" t="str">
            <v>Eco-High</v>
          </cell>
          <cell r="L50" t="str">
            <v>West</v>
          </cell>
          <cell r="M50" t="str">
            <v>With LTS - 2024</v>
          </cell>
          <cell r="N50" t="str">
            <v>YES</v>
          </cell>
          <cell r="O50" t="str">
            <v>YES</v>
          </cell>
          <cell r="P50" t="str">
            <v>Unaffected lots</v>
          </cell>
          <cell r="Q50" t="str">
            <v>YES</v>
          </cell>
          <cell r="R50">
            <v>70</v>
          </cell>
          <cell r="S50" t="str">
            <v>PCS-04-034407</v>
          </cell>
          <cell r="T50" t="str">
            <v>TCT-060-2024021333</v>
          </cell>
          <cell r="U50" t="b">
            <v>1</v>
          </cell>
          <cell r="V50" t="str">
            <v>Done</v>
          </cell>
          <cell r="W50" t="str">
            <v>B3 2025</v>
          </cell>
          <cell r="X50" t="str">
            <v>2025 - Batch 6</v>
          </cell>
          <cell r="Y50">
            <v>5</v>
          </cell>
          <cell r="Z50">
            <v>6</v>
          </cell>
          <cell r="AA50" t="str">
            <v>H+L</v>
          </cell>
          <cell r="AB50">
            <v>70</v>
          </cell>
          <cell r="AC50">
            <v>50</v>
          </cell>
          <cell r="AD50" t="str">
            <v>Slant</v>
          </cell>
          <cell r="AE50" t="str">
            <v>Duplex</v>
          </cell>
          <cell r="AF50" t="str">
            <v>568 - Without Partition</v>
          </cell>
          <cell r="AG50" t="str">
            <v xml:space="preserve">Without Partition </v>
          </cell>
          <cell r="AH50" t="str">
            <v xml:space="preserve">Without Partition </v>
          </cell>
          <cell r="AI50" t="str">
            <v>PINK</v>
          </cell>
          <cell r="AJ50" t="str">
            <v>Slant / PINK</v>
          </cell>
          <cell r="AK50">
            <v>1050000</v>
          </cell>
          <cell r="AL50">
            <v>15000</v>
          </cell>
          <cell r="AM50">
            <v>1650000</v>
          </cell>
          <cell r="AN50">
            <v>33000</v>
          </cell>
          <cell r="AO50">
            <v>150000</v>
          </cell>
          <cell r="AP50">
            <v>2850000</v>
          </cell>
          <cell r="AQ50"/>
          <cell r="AR50">
            <v>2850000</v>
          </cell>
          <cell r="AS50">
            <v>200000</v>
          </cell>
          <cell r="AT50">
            <v>2650000</v>
          </cell>
          <cell r="AU50">
            <v>100000</v>
          </cell>
          <cell r="AV50">
            <v>2550000</v>
          </cell>
          <cell r="AW50">
            <v>0</v>
          </cell>
          <cell r="AX50">
            <v>2550000</v>
          </cell>
        </row>
        <row r="51">
          <cell r="G51" t="str">
            <v>AGM-01-005-007</v>
          </cell>
          <cell r="H51" t="str">
            <v xml:space="preserve">Raemulan Lands, Inc. </v>
          </cell>
          <cell r="I51" t="str">
            <v>Agapeya</v>
          </cell>
          <cell r="J51" t="str">
            <v>AGM</v>
          </cell>
          <cell r="K51" t="str">
            <v>Eco-High</v>
          </cell>
          <cell r="L51" t="str">
            <v>West</v>
          </cell>
          <cell r="M51" t="str">
            <v>With LTS - 2024</v>
          </cell>
          <cell r="N51" t="str">
            <v>YES</v>
          </cell>
          <cell r="O51" t="str">
            <v>YES</v>
          </cell>
          <cell r="P51" t="str">
            <v>Unaffected lots</v>
          </cell>
          <cell r="Q51" t="str">
            <v>YES</v>
          </cell>
          <cell r="R51">
            <v>70</v>
          </cell>
          <cell r="S51" t="str">
            <v>PCS-04-034407</v>
          </cell>
          <cell r="T51" t="str">
            <v>TCT-060-2024021334</v>
          </cell>
          <cell r="U51" t="b">
            <v>1</v>
          </cell>
          <cell r="V51" t="str">
            <v>Done</v>
          </cell>
          <cell r="W51" t="str">
            <v>B3 2025</v>
          </cell>
          <cell r="X51" t="str">
            <v>2025 - Batch 6</v>
          </cell>
          <cell r="Y51">
            <v>5</v>
          </cell>
          <cell r="Z51">
            <v>7</v>
          </cell>
          <cell r="AA51" t="str">
            <v>H+L</v>
          </cell>
          <cell r="AB51">
            <v>70</v>
          </cell>
          <cell r="AC51">
            <v>50</v>
          </cell>
          <cell r="AD51" t="str">
            <v>Slant</v>
          </cell>
          <cell r="AE51" t="str">
            <v>Duplex</v>
          </cell>
          <cell r="AF51" t="str">
            <v>568 - Without Partition</v>
          </cell>
          <cell r="AG51" t="str">
            <v xml:space="preserve">Without Partition </v>
          </cell>
          <cell r="AH51" t="str">
            <v xml:space="preserve">Without Partition </v>
          </cell>
          <cell r="AI51" t="str">
            <v>PINK</v>
          </cell>
          <cell r="AJ51" t="str">
            <v>Slant / PINK</v>
          </cell>
          <cell r="AK51">
            <v>1050000</v>
          </cell>
          <cell r="AL51">
            <v>15000</v>
          </cell>
          <cell r="AM51">
            <v>1650000</v>
          </cell>
          <cell r="AN51">
            <v>33000</v>
          </cell>
          <cell r="AO51">
            <v>150000</v>
          </cell>
          <cell r="AP51">
            <v>2850000</v>
          </cell>
          <cell r="AQ51"/>
          <cell r="AR51">
            <v>2850000</v>
          </cell>
          <cell r="AS51">
            <v>200000</v>
          </cell>
          <cell r="AT51">
            <v>2650000</v>
          </cell>
          <cell r="AU51">
            <v>100000</v>
          </cell>
          <cell r="AV51">
            <v>2550000</v>
          </cell>
          <cell r="AW51">
            <v>0</v>
          </cell>
          <cell r="AX51">
            <v>2550000</v>
          </cell>
        </row>
        <row r="52">
          <cell r="G52" t="str">
            <v>AGM-01-005-008</v>
          </cell>
          <cell r="H52" t="str">
            <v xml:space="preserve">Raemulan Lands, Inc. </v>
          </cell>
          <cell r="I52" t="str">
            <v>Agapeya</v>
          </cell>
          <cell r="J52" t="str">
            <v>AGM</v>
          </cell>
          <cell r="K52" t="str">
            <v>Eco-High</v>
          </cell>
          <cell r="L52" t="str">
            <v>West</v>
          </cell>
          <cell r="M52" t="str">
            <v>With LTS - 2024</v>
          </cell>
          <cell r="N52" t="str">
            <v>YES</v>
          </cell>
          <cell r="O52" t="str">
            <v>YES</v>
          </cell>
          <cell r="P52" t="str">
            <v>Unaffected lots</v>
          </cell>
          <cell r="Q52" t="str">
            <v>YES</v>
          </cell>
          <cell r="R52">
            <v>70</v>
          </cell>
          <cell r="S52" t="str">
            <v>PCS-04-034407</v>
          </cell>
          <cell r="T52" t="str">
            <v>TCT-060-2024021335</v>
          </cell>
          <cell r="U52" t="b">
            <v>1</v>
          </cell>
          <cell r="V52" t="str">
            <v>Done</v>
          </cell>
          <cell r="W52" t="str">
            <v>B3 2025</v>
          </cell>
          <cell r="X52" t="str">
            <v>2025 - Batch 6</v>
          </cell>
          <cell r="Y52">
            <v>5</v>
          </cell>
          <cell r="Z52">
            <v>8</v>
          </cell>
          <cell r="AA52" t="str">
            <v>H+L</v>
          </cell>
          <cell r="AB52">
            <v>70</v>
          </cell>
          <cell r="AC52">
            <v>50</v>
          </cell>
          <cell r="AD52" t="str">
            <v>Flat</v>
          </cell>
          <cell r="AE52" t="str">
            <v>Duplex</v>
          </cell>
          <cell r="AF52" t="str">
            <v>568 - Without Partition</v>
          </cell>
          <cell r="AG52" t="str">
            <v xml:space="preserve">Without Partition </v>
          </cell>
          <cell r="AH52" t="str">
            <v xml:space="preserve">Without Partition </v>
          </cell>
          <cell r="AI52" t="str">
            <v>PINK</v>
          </cell>
          <cell r="AJ52" t="str">
            <v>Flat / PINK</v>
          </cell>
          <cell r="AK52">
            <v>1050000</v>
          </cell>
          <cell r="AL52">
            <v>15000</v>
          </cell>
          <cell r="AM52">
            <v>1650000</v>
          </cell>
          <cell r="AN52">
            <v>33000</v>
          </cell>
          <cell r="AO52">
            <v>150000</v>
          </cell>
          <cell r="AP52">
            <v>2850000</v>
          </cell>
          <cell r="AQ52"/>
          <cell r="AR52">
            <v>2850000</v>
          </cell>
          <cell r="AS52">
            <v>200000</v>
          </cell>
          <cell r="AT52">
            <v>2650000</v>
          </cell>
          <cell r="AU52">
            <v>100000</v>
          </cell>
          <cell r="AV52">
            <v>2550000</v>
          </cell>
          <cell r="AW52">
            <v>0</v>
          </cell>
          <cell r="AX52">
            <v>2550000</v>
          </cell>
        </row>
        <row r="53">
          <cell r="G53" t="str">
            <v>AGM-01-005-009</v>
          </cell>
          <cell r="H53" t="str">
            <v xml:space="preserve">Raemulan Lands, Inc. </v>
          </cell>
          <cell r="I53" t="str">
            <v>Agapeya</v>
          </cell>
          <cell r="J53" t="str">
            <v>AGM</v>
          </cell>
          <cell r="K53" t="str">
            <v>Eco-High</v>
          </cell>
          <cell r="L53" t="str">
            <v>West</v>
          </cell>
          <cell r="M53" t="str">
            <v>With LTS - 2024</v>
          </cell>
          <cell r="N53" t="str">
            <v>YES</v>
          </cell>
          <cell r="O53" t="str">
            <v>YES</v>
          </cell>
          <cell r="P53" t="str">
            <v>Unaffected lots</v>
          </cell>
          <cell r="Q53" t="str">
            <v>YES</v>
          </cell>
          <cell r="R53">
            <v>70</v>
          </cell>
          <cell r="S53" t="str">
            <v>PCS-04-034407</v>
          </cell>
          <cell r="T53" t="str">
            <v>TCT-060-2024021336</v>
          </cell>
          <cell r="U53" t="b">
            <v>1</v>
          </cell>
          <cell r="V53" t="str">
            <v>Done</v>
          </cell>
          <cell r="W53" t="str">
            <v>B3 2025</v>
          </cell>
          <cell r="X53" t="str">
            <v>2025 - Batch 6</v>
          </cell>
          <cell r="Y53">
            <v>5</v>
          </cell>
          <cell r="Z53">
            <v>9</v>
          </cell>
          <cell r="AA53" t="str">
            <v>H+L</v>
          </cell>
          <cell r="AB53">
            <v>70</v>
          </cell>
          <cell r="AC53">
            <v>50</v>
          </cell>
          <cell r="AD53" t="str">
            <v>Flat</v>
          </cell>
          <cell r="AE53" t="str">
            <v>Duplex</v>
          </cell>
          <cell r="AF53" t="str">
            <v>568 - Without Partition</v>
          </cell>
          <cell r="AG53" t="str">
            <v xml:space="preserve">Without Partition </v>
          </cell>
          <cell r="AH53" t="str">
            <v xml:space="preserve">Without Partition </v>
          </cell>
          <cell r="AI53" t="str">
            <v>PURPLE</v>
          </cell>
          <cell r="AJ53" t="str">
            <v>Flat / PURPLE</v>
          </cell>
          <cell r="AK53">
            <v>1050000</v>
          </cell>
          <cell r="AL53">
            <v>15000</v>
          </cell>
          <cell r="AM53">
            <v>1650000</v>
          </cell>
          <cell r="AN53">
            <v>33000</v>
          </cell>
          <cell r="AO53">
            <v>150000</v>
          </cell>
          <cell r="AP53">
            <v>2850000</v>
          </cell>
          <cell r="AQ53"/>
          <cell r="AR53">
            <v>2850000</v>
          </cell>
          <cell r="AS53">
            <v>200000</v>
          </cell>
          <cell r="AT53">
            <v>2650000</v>
          </cell>
          <cell r="AU53">
            <v>100000</v>
          </cell>
          <cell r="AV53">
            <v>2550000</v>
          </cell>
          <cell r="AW53">
            <v>0</v>
          </cell>
          <cell r="AX53">
            <v>2550000</v>
          </cell>
        </row>
        <row r="54">
          <cell r="G54" t="str">
            <v>AGM-01-005-010</v>
          </cell>
          <cell r="H54" t="str">
            <v xml:space="preserve">Raemulan Lands, Inc. </v>
          </cell>
          <cell r="I54" t="str">
            <v>Agapeya</v>
          </cell>
          <cell r="J54" t="str">
            <v>AGM</v>
          </cell>
          <cell r="K54" t="str">
            <v>Eco-High</v>
          </cell>
          <cell r="L54" t="str">
            <v>West</v>
          </cell>
          <cell r="M54" t="str">
            <v>With LTS - 2024</v>
          </cell>
          <cell r="N54" t="str">
            <v>YES</v>
          </cell>
          <cell r="O54" t="str">
            <v>YES</v>
          </cell>
          <cell r="P54" t="str">
            <v>Unaffected lots</v>
          </cell>
          <cell r="Q54" t="str">
            <v>YES</v>
          </cell>
          <cell r="R54">
            <v>70</v>
          </cell>
          <cell r="S54" t="str">
            <v>PCS-04-034407</v>
          </cell>
          <cell r="T54" t="str">
            <v>TCT-060-2024021337</v>
          </cell>
          <cell r="U54" t="b">
            <v>1</v>
          </cell>
          <cell r="V54" t="str">
            <v>Done</v>
          </cell>
          <cell r="W54" t="str">
            <v>B4 2025</v>
          </cell>
          <cell r="X54" t="str">
            <v>2025 - Batch 6</v>
          </cell>
          <cell r="Y54">
            <v>5</v>
          </cell>
          <cell r="Z54">
            <v>10</v>
          </cell>
          <cell r="AA54" t="str">
            <v>H+L</v>
          </cell>
          <cell r="AB54">
            <v>70</v>
          </cell>
          <cell r="AC54">
            <v>50</v>
          </cell>
          <cell r="AD54" t="str">
            <v>Slant</v>
          </cell>
          <cell r="AE54" t="str">
            <v>Duplex</v>
          </cell>
          <cell r="AF54" t="str">
            <v>568 - Without Partition</v>
          </cell>
          <cell r="AG54" t="str">
            <v xml:space="preserve">Without Partition </v>
          </cell>
          <cell r="AH54" t="str">
            <v xml:space="preserve">Without Partition </v>
          </cell>
          <cell r="AI54" t="str">
            <v>PURPLE</v>
          </cell>
          <cell r="AJ54" t="str">
            <v>Slant / PURPLE</v>
          </cell>
          <cell r="AK54">
            <v>1050000</v>
          </cell>
          <cell r="AL54">
            <v>15000</v>
          </cell>
          <cell r="AM54">
            <v>1650000</v>
          </cell>
          <cell r="AN54">
            <v>33000</v>
          </cell>
          <cell r="AO54">
            <v>150000</v>
          </cell>
          <cell r="AP54">
            <v>2850000</v>
          </cell>
          <cell r="AQ54"/>
          <cell r="AR54">
            <v>2850000</v>
          </cell>
          <cell r="AS54">
            <v>200000</v>
          </cell>
          <cell r="AT54">
            <v>2650000</v>
          </cell>
          <cell r="AU54">
            <v>100000</v>
          </cell>
          <cell r="AV54">
            <v>2550000</v>
          </cell>
          <cell r="AW54">
            <v>0</v>
          </cell>
          <cell r="AX54">
            <v>2550000</v>
          </cell>
        </row>
        <row r="55">
          <cell r="G55" t="str">
            <v>AGM-01-005-011</v>
          </cell>
          <cell r="H55" t="str">
            <v xml:space="preserve">Raemulan Lands, Inc. </v>
          </cell>
          <cell r="I55" t="str">
            <v>Agapeya</v>
          </cell>
          <cell r="J55" t="str">
            <v>AGM</v>
          </cell>
          <cell r="K55" t="str">
            <v>Eco-High</v>
          </cell>
          <cell r="L55" t="str">
            <v>West</v>
          </cell>
          <cell r="M55" t="str">
            <v>With LTS - 2024</v>
          </cell>
          <cell r="N55" t="str">
            <v>YES</v>
          </cell>
          <cell r="O55" t="str">
            <v>YES</v>
          </cell>
          <cell r="P55" t="str">
            <v>Unaffected lots</v>
          </cell>
          <cell r="Q55" t="str">
            <v>YES</v>
          </cell>
          <cell r="R55">
            <v>107</v>
          </cell>
          <cell r="S55" t="str">
            <v>PCS-04-034407</v>
          </cell>
          <cell r="T55" t="str">
            <v>TCT-060-2024021338</v>
          </cell>
          <cell r="U55" t="b">
            <v>1</v>
          </cell>
          <cell r="V55" t="str">
            <v>Done</v>
          </cell>
          <cell r="W55" t="str">
            <v>B4 2025</v>
          </cell>
          <cell r="X55" t="str">
            <v>2025 - Batch 6</v>
          </cell>
          <cell r="Y55">
            <v>5</v>
          </cell>
          <cell r="Z55">
            <v>11</v>
          </cell>
          <cell r="AA55" t="str">
            <v>H+L</v>
          </cell>
          <cell r="AB55">
            <v>107</v>
          </cell>
          <cell r="AC55">
            <v>50</v>
          </cell>
          <cell r="AD55" t="str">
            <v>Slant</v>
          </cell>
          <cell r="AE55" t="str">
            <v>Duplex</v>
          </cell>
          <cell r="AF55" t="str">
            <v>568 - Without Partition</v>
          </cell>
          <cell r="AG55" t="str">
            <v xml:space="preserve">Without Partition </v>
          </cell>
          <cell r="AH55" t="str">
            <v xml:space="preserve">Without Partition </v>
          </cell>
          <cell r="AI55" t="str">
            <v>PURPLE</v>
          </cell>
          <cell r="AJ55" t="str">
            <v>Slant / PURPLE</v>
          </cell>
          <cell r="AK55">
            <v>1605000</v>
          </cell>
          <cell r="AL55">
            <v>15000</v>
          </cell>
          <cell r="AM55">
            <v>1650000</v>
          </cell>
          <cell r="AN55">
            <v>33000</v>
          </cell>
          <cell r="AO55">
            <v>150000</v>
          </cell>
          <cell r="AP55">
            <v>3405000</v>
          </cell>
          <cell r="AQ55"/>
          <cell r="AR55">
            <v>3405000</v>
          </cell>
          <cell r="AS55">
            <v>200000</v>
          </cell>
          <cell r="AT55">
            <v>3205000</v>
          </cell>
          <cell r="AU55">
            <v>100000</v>
          </cell>
          <cell r="AV55">
            <v>3105000</v>
          </cell>
          <cell r="AW55">
            <v>0</v>
          </cell>
          <cell r="AX55">
            <v>3105000</v>
          </cell>
        </row>
        <row r="56">
          <cell r="G56" t="str">
            <v>AGM-01-005-012</v>
          </cell>
          <cell r="H56" t="str">
            <v xml:space="preserve">Raemulan Lands, Inc. </v>
          </cell>
          <cell r="I56" t="str">
            <v>Agapeya</v>
          </cell>
          <cell r="J56" t="str">
            <v>AGM</v>
          </cell>
          <cell r="K56" t="str">
            <v>Eco-High</v>
          </cell>
          <cell r="L56" t="str">
            <v>West</v>
          </cell>
          <cell r="M56" t="str">
            <v>With LTS - 2024</v>
          </cell>
          <cell r="N56" t="str">
            <v>YES</v>
          </cell>
          <cell r="O56" t="str">
            <v>YES</v>
          </cell>
          <cell r="P56" t="str">
            <v>Unaffected lots</v>
          </cell>
          <cell r="Q56" t="str">
            <v>YES</v>
          </cell>
          <cell r="R56">
            <v>107</v>
          </cell>
          <cell r="S56" t="str">
            <v>PCS-04-034407</v>
          </cell>
          <cell r="T56" t="str">
            <v>TCT-060-2024021339</v>
          </cell>
          <cell r="U56" t="b">
            <v>1</v>
          </cell>
          <cell r="V56" t="str">
            <v>Done</v>
          </cell>
          <cell r="W56" t="str">
            <v>B4 2025</v>
          </cell>
          <cell r="X56" t="str">
            <v>2025 - Batch 6</v>
          </cell>
          <cell r="Y56">
            <v>5</v>
          </cell>
          <cell r="Z56">
            <v>12</v>
          </cell>
          <cell r="AA56" t="str">
            <v>H+L</v>
          </cell>
          <cell r="AB56">
            <v>107</v>
          </cell>
          <cell r="AC56">
            <v>50</v>
          </cell>
          <cell r="AD56" t="str">
            <v>Flat</v>
          </cell>
          <cell r="AE56" t="str">
            <v>Duplex</v>
          </cell>
          <cell r="AF56" t="str">
            <v>568 - Without Partition</v>
          </cell>
          <cell r="AG56" t="str">
            <v xml:space="preserve">Without Partition </v>
          </cell>
          <cell r="AH56" t="str">
            <v xml:space="preserve">Without Partition </v>
          </cell>
          <cell r="AI56" t="str">
            <v>PURPLE</v>
          </cell>
          <cell r="AJ56" t="str">
            <v>Flat / PURPLE</v>
          </cell>
          <cell r="AK56">
            <v>1605000</v>
          </cell>
          <cell r="AL56">
            <v>15000</v>
          </cell>
          <cell r="AM56">
            <v>1650000</v>
          </cell>
          <cell r="AN56">
            <v>33000</v>
          </cell>
          <cell r="AO56">
            <v>150000</v>
          </cell>
          <cell r="AP56">
            <v>3405000</v>
          </cell>
          <cell r="AQ56"/>
          <cell r="AR56">
            <v>3405000</v>
          </cell>
          <cell r="AS56">
            <v>200000</v>
          </cell>
          <cell r="AT56">
            <v>3205000</v>
          </cell>
          <cell r="AU56">
            <v>100000</v>
          </cell>
          <cell r="AV56">
            <v>3105000</v>
          </cell>
          <cell r="AW56">
            <v>0</v>
          </cell>
          <cell r="AX56">
            <v>3105000</v>
          </cell>
        </row>
        <row r="57">
          <cell r="G57" t="str">
            <v>AGM-01-005-013</v>
          </cell>
          <cell r="H57" t="str">
            <v xml:space="preserve">Raemulan Lands, Inc. </v>
          </cell>
          <cell r="I57" t="str">
            <v>Agapeya</v>
          </cell>
          <cell r="J57" t="str">
            <v>AGM</v>
          </cell>
          <cell r="K57" t="str">
            <v>Eco-High</v>
          </cell>
          <cell r="L57" t="str">
            <v>West</v>
          </cell>
          <cell r="M57" t="str">
            <v>With LTS - 2024</v>
          </cell>
          <cell r="N57" t="str">
            <v>YES</v>
          </cell>
          <cell r="O57" t="str">
            <v>YES</v>
          </cell>
          <cell r="P57" t="str">
            <v>Unaffected lots</v>
          </cell>
          <cell r="Q57" t="str">
            <v>YES</v>
          </cell>
          <cell r="R57">
            <v>70</v>
          </cell>
          <cell r="S57" t="str">
            <v>PCS-04-034407</v>
          </cell>
          <cell r="T57" t="str">
            <v>TCT-060-2024021340</v>
          </cell>
          <cell r="U57" t="b">
            <v>1</v>
          </cell>
          <cell r="V57" t="str">
            <v>Done</v>
          </cell>
          <cell r="W57" t="str">
            <v>B4 2025</v>
          </cell>
          <cell r="X57" t="str">
            <v>2025 - Batch 6</v>
          </cell>
          <cell r="Y57">
            <v>5</v>
          </cell>
          <cell r="Z57">
            <v>13</v>
          </cell>
          <cell r="AA57" t="str">
            <v>H+L</v>
          </cell>
          <cell r="AB57">
            <v>70</v>
          </cell>
          <cell r="AC57">
            <v>50</v>
          </cell>
          <cell r="AD57" t="str">
            <v>Flat</v>
          </cell>
          <cell r="AE57" t="str">
            <v>Duplex</v>
          </cell>
          <cell r="AF57" t="str">
            <v>568 - Without Partition</v>
          </cell>
          <cell r="AG57" t="str">
            <v xml:space="preserve">Without Partition </v>
          </cell>
          <cell r="AH57" t="str">
            <v xml:space="preserve">Without Partition </v>
          </cell>
          <cell r="AI57" t="str">
            <v>YELLOW</v>
          </cell>
          <cell r="AJ57" t="str">
            <v>Flat / YELLOW</v>
          </cell>
          <cell r="AK57">
            <v>1050000</v>
          </cell>
          <cell r="AL57">
            <v>15000</v>
          </cell>
          <cell r="AM57">
            <v>1650000</v>
          </cell>
          <cell r="AN57">
            <v>33000</v>
          </cell>
          <cell r="AO57">
            <v>150000</v>
          </cell>
          <cell r="AP57">
            <v>2850000</v>
          </cell>
          <cell r="AQ57"/>
          <cell r="AR57">
            <v>2850000</v>
          </cell>
          <cell r="AS57">
            <v>200000</v>
          </cell>
          <cell r="AT57">
            <v>2650000</v>
          </cell>
          <cell r="AU57">
            <v>100000</v>
          </cell>
          <cell r="AV57">
            <v>2550000</v>
          </cell>
          <cell r="AW57">
            <v>0</v>
          </cell>
          <cell r="AX57">
            <v>2550000</v>
          </cell>
        </row>
        <row r="58">
          <cell r="G58" t="str">
            <v>AGM-01-005-014</v>
          </cell>
          <cell r="H58" t="str">
            <v xml:space="preserve">Raemulan Lands, Inc. </v>
          </cell>
          <cell r="I58" t="str">
            <v>Agapeya</v>
          </cell>
          <cell r="J58" t="str">
            <v>AGM</v>
          </cell>
          <cell r="K58" t="str">
            <v>Eco-High</v>
          </cell>
          <cell r="L58" t="str">
            <v>West</v>
          </cell>
          <cell r="M58" t="str">
            <v>With LTS - 2024</v>
          </cell>
          <cell r="N58" t="str">
            <v>YES</v>
          </cell>
          <cell r="O58" t="str">
            <v>YES</v>
          </cell>
          <cell r="P58" t="str">
            <v>Unaffected lots</v>
          </cell>
          <cell r="Q58" t="str">
            <v>YES</v>
          </cell>
          <cell r="R58">
            <v>70</v>
          </cell>
          <cell r="S58" t="str">
            <v>PCS-04-034407</v>
          </cell>
          <cell r="T58" t="str">
            <v>TCT-060-2024021341</v>
          </cell>
          <cell r="U58" t="b">
            <v>1</v>
          </cell>
          <cell r="V58" t="str">
            <v>Done</v>
          </cell>
          <cell r="W58" t="str">
            <v>B4 2025</v>
          </cell>
          <cell r="X58" t="str">
            <v>2025 - Batch 6</v>
          </cell>
          <cell r="Y58">
            <v>5</v>
          </cell>
          <cell r="Z58">
            <v>14</v>
          </cell>
          <cell r="AA58" t="str">
            <v>H+L</v>
          </cell>
          <cell r="AB58">
            <v>70</v>
          </cell>
          <cell r="AC58">
            <v>50</v>
          </cell>
          <cell r="AD58" t="str">
            <v>Slant</v>
          </cell>
          <cell r="AE58" t="str">
            <v>Duplex</v>
          </cell>
          <cell r="AF58" t="str">
            <v>568 - Without Partition</v>
          </cell>
          <cell r="AG58" t="str">
            <v xml:space="preserve">Without Partition </v>
          </cell>
          <cell r="AH58" t="str">
            <v xml:space="preserve">Without Partition </v>
          </cell>
          <cell r="AI58" t="str">
            <v>YELLOW</v>
          </cell>
          <cell r="AJ58" t="str">
            <v>Slant / YELLOW</v>
          </cell>
          <cell r="AK58">
            <v>1050000</v>
          </cell>
          <cell r="AL58">
            <v>15000</v>
          </cell>
          <cell r="AM58">
            <v>1650000</v>
          </cell>
          <cell r="AN58">
            <v>33000</v>
          </cell>
          <cell r="AO58">
            <v>150000</v>
          </cell>
          <cell r="AP58">
            <v>2850000</v>
          </cell>
          <cell r="AQ58"/>
          <cell r="AR58">
            <v>2850000</v>
          </cell>
          <cell r="AS58">
            <v>200000</v>
          </cell>
          <cell r="AT58">
            <v>2650000</v>
          </cell>
          <cell r="AU58">
            <v>100000</v>
          </cell>
          <cell r="AV58">
            <v>2550000</v>
          </cell>
          <cell r="AW58">
            <v>0</v>
          </cell>
          <cell r="AX58">
            <v>2550000</v>
          </cell>
        </row>
        <row r="59">
          <cell r="G59" t="str">
            <v>AGM-01-005-015</v>
          </cell>
          <cell r="H59" t="str">
            <v xml:space="preserve">Raemulan Lands, Inc. </v>
          </cell>
          <cell r="I59" t="str">
            <v>Agapeya</v>
          </cell>
          <cell r="J59" t="str">
            <v>AGM</v>
          </cell>
          <cell r="K59" t="str">
            <v>Eco-High</v>
          </cell>
          <cell r="L59" t="str">
            <v>West</v>
          </cell>
          <cell r="M59" t="str">
            <v>With LTS - 2024</v>
          </cell>
          <cell r="N59" t="str">
            <v>YES</v>
          </cell>
          <cell r="O59" t="str">
            <v>YES</v>
          </cell>
          <cell r="P59" t="str">
            <v>Unaffected lots</v>
          </cell>
          <cell r="Q59" t="str">
            <v>YES</v>
          </cell>
          <cell r="R59">
            <v>70</v>
          </cell>
          <cell r="S59" t="str">
            <v>PCS-04-034407</v>
          </cell>
          <cell r="T59" t="str">
            <v>TCT-060-2024021342</v>
          </cell>
          <cell r="U59" t="b">
            <v>1</v>
          </cell>
          <cell r="V59" t="str">
            <v>Done</v>
          </cell>
          <cell r="W59" t="str">
            <v>B4 2025</v>
          </cell>
          <cell r="X59" t="str">
            <v>2025 - Batch 6</v>
          </cell>
          <cell r="Y59">
            <v>5</v>
          </cell>
          <cell r="Z59">
            <v>15</v>
          </cell>
          <cell r="AA59" t="str">
            <v>H+L</v>
          </cell>
          <cell r="AB59">
            <v>70</v>
          </cell>
          <cell r="AC59">
            <v>50</v>
          </cell>
          <cell r="AD59" t="str">
            <v>Slant</v>
          </cell>
          <cell r="AE59" t="str">
            <v>Duplex</v>
          </cell>
          <cell r="AF59" t="str">
            <v>568 - Without Partition</v>
          </cell>
          <cell r="AG59" t="str">
            <v xml:space="preserve">Without Partition </v>
          </cell>
          <cell r="AH59" t="str">
            <v xml:space="preserve">Without Partition </v>
          </cell>
          <cell r="AI59" t="str">
            <v>YELLOW</v>
          </cell>
          <cell r="AJ59" t="str">
            <v>Slant / YELLOW</v>
          </cell>
          <cell r="AK59">
            <v>1050000</v>
          </cell>
          <cell r="AL59">
            <v>15000</v>
          </cell>
          <cell r="AM59">
            <v>1650000</v>
          </cell>
          <cell r="AN59">
            <v>33000</v>
          </cell>
          <cell r="AO59">
            <v>150000</v>
          </cell>
          <cell r="AP59">
            <v>2850000</v>
          </cell>
          <cell r="AQ59"/>
          <cell r="AR59">
            <v>2850000</v>
          </cell>
          <cell r="AS59">
            <v>200000</v>
          </cell>
          <cell r="AT59">
            <v>2650000</v>
          </cell>
          <cell r="AU59">
            <v>100000</v>
          </cell>
          <cell r="AV59">
            <v>2550000</v>
          </cell>
          <cell r="AW59">
            <v>0</v>
          </cell>
          <cell r="AX59">
            <v>2550000</v>
          </cell>
        </row>
        <row r="60">
          <cell r="G60" t="str">
            <v>AGM-01-005-016</v>
          </cell>
          <cell r="H60" t="str">
            <v xml:space="preserve">Raemulan Lands, Inc. </v>
          </cell>
          <cell r="I60" t="str">
            <v>Agapeya</v>
          </cell>
          <cell r="J60" t="str">
            <v>AGM</v>
          </cell>
          <cell r="K60" t="str">
            <v>Eco-High</v>
          </cell>
          <cell r="L60" t="str">
            <v>West</v>
          </cell>
          <cell r="M60" t="str">
            <v>With LTS - 2024</v>
          </cell>
          <cell r="N60" t="str">
            <v>YES</v>
          </cell>
          <cell r="O60" t="str">
            <v>YES</v>
          </cell>
          <cell r="P60" t="str">
            <v>Unaffected lots</v>
          </cell>
          <cell r="Q60" t="str">
            <v>YES</v>
          </cell>
          <cell r="R60">
            <v>70</v>
          </cell>
          <cell r="S60" t="str">
            <v>PCS-04-034407</v>
          </cell>
          <cell r="T60" t="str">
            <v>TCT-060-2024021343</v>
          </cell>
          <cell r="U60" t="b">
            <v>1</v>
          </cell>
          <cell r="V60" t="str">
            <v>Done</v>
          </cell>
          <cell r="W60" t="str">
            <v>B4 2025</v>
          </cell>
          <cell r="X60" t="str">
            <v>2025 - Batch 6</v>
          </cell>
          <cell r="Y60">
            <v>5</v>
          </cell>
          <cell r="Z60">
            <v>16</v>
          </cell>
          <cell r="AA60" t="str">
            <v>H+L</v>
          </cell>
          <cell r="AB60">
            <v>70</v>
          </cell>
          <cell r="AC60">
            <v>50</v>
          </cell>
          <cell r="AD60" t="str">
            <v>Flat</v>
          </cell>
          <cell r="AE60" t="str">
            <v>Duplex</v>
          </cell>
          <cell r="AF60" t="str">
            <v>568 - Without Partition</v>
          </cell>
          <cell r="AG60" t="str">
            <v xml:space="preserve">Without Partition </v>
          </cell>
          <cell r="AH60" t="str">
            <v xml:space="preserve">Without Partition </v>
          </cell>
          <cell r="AI60" t="str">
            <v>YELLOW</v>
          </cell>
          <cell r="AJ60" t="str">
            <v>Flat / YELLOW</v>
          </cell>
          <cell r="AK60">
            <v>1050000</v>
          </cell>
          <cell r="AL60">
            <v>15000</v>
          </cell>
          <cell r="AM60">
            <v>1650000</v>
          </cell>
          <cell r="AN60">
            <v>33000</v>
          </cell>
          <cell r="AO60">
            <v>150000</v>
          </cell>
          <cell r="AP60">
            <v>2850000</v>
          </cell>
          <cell r="AQ60"/>
          <cell r="AR60">
            <v>2850000</v>
          </cell>
          <cell r="AS60">
            <v>200000</v>
          </cell>
          <cell r="AT60">
            <v>2650000</v>
          </cell>
          <cell r="AU60">
            <v>100000</v>
          </cell>
          <cell r="AV60">
            <v>2550000</v>
          </cell>
          <cell r="AW60">
            <v>0</v>
          </cell>
          <cell r="AX60">
            <v>2550000</v>
          </cell>
        </row>
        <row r="61">
          <cell r="G61" t="str">
            <v>AGM-01-005-017</v>
          </cell>
          <cell r="H61" t="str">
            <v xml:space="preserve">Raemulan Lands, Inc. </v>
          </cell>
          <cell r="I61" t="str">
            <v>Agapeya</v>
          </cell>
          <cell r="J61" t="str">
            <v>AGM</v>
          </cell>
          <cell r="K61" t="str">
            <v>Eco-High</v>
          </cell>
          <cell r="L61" t="str">
            <v>West</v>
          </cell>
          <cell r="M61" t="str">
            <v>With LTS - 2024</v>
          </cell>
          <cell r="N61" t="str">
            <v>YES</v>
          </cell>
          <cell r="O61" t="str">
            <v>YES</v>
          </cell>
          <cell r="P61" t="str">
            <v>Unaffected lots</v>
          </cell>
          <cell r="Q61" t="str">
            <v>YES</v>
          </cell>
          <cell r="R61">
            <v>70</v>
          </cell>
          <cell r="S61" t="str">
            <v>PCS-04-034407</v>
          </cell>
          <cell r="T61" t="str">
            <v>TCT-060-2024021344</v>
          </cell>
          <cell r="U61" t="b">
            <v>1</v>
          </cell>
          <cell r="V61" t="str">
            <v>Done</v>
          </cell>
          <cell r="W61" t="str">
            <v>B4 2025</v>
          </cell>
          <cell r="X61" t="str">
            <v>2025 - Batch 6</v>
          </cell>
          <cell r="Y61">
            <v>5</v>
          </cell>
          <cell r="Z61">
            <v>17</v>
          </cell>
          <cell r="AA61" t="str">
            <v>H+L</v>
          </cell>
          <cell r="AB61">
            <v>70</v>
          </cell>
          <cell r="AC61">
            <v>50</v>
          </cell>
          <cell r="AD61" t="str">
            <v>Flat</v>
          </cell>
          <cell r="AE61" t="str">
            <v>Duplex</v>
          </cell>
          <cell r="AF61" t="str">
            <v>568 - Without Partition</v>
          </cell>
          <cell r="AG61" t="str">
            <v xml:space="preserve">Without Partition </v>
          </cell>
          <cell r="AH61" t="str">
            <v xml:space="preserve">Without Partition </v>
          </cell>
          <cell r="AI61" t="str">
            <v>PURPLE</v>
          </cell>
          <cell r="AJ61" t="str">
            <v>Flat / PURPLE</v>
          </cell>
          <cell r="AK61">
            <v>1050000</v>
          </cell>
          <cell r="AL61">
            <v>15000</v>
          </cell>
          <cell r="AM61">
            <v>1650000</v>
          </cell>
          <cell r="AN61">
            <v>33000</v>
          </cell>
          <cell r="AO61">
            <v>150000</v>
          </cell>
          <cell r="AP61">
            <v>2850000</v>
          </cell>
          <cell r="AQ61"/>
          <cell r="AR61">
            <v>2850000</v>
          </cell>
          <cell r="AS61">
            <v>200000</v>
          </cell>
          <cell r="AT61">
            <v>2650000</v>
          </cell>
          <cell r="AU61">
            <v>100000</v>
          </cell>
          <cell r="AV61">
            <v>2550000</v>
          </cell>
          <cell r="AW61">
            <v>0</v>
          </cell>
          <cell r="AX61">
            <v>2550000</v>
          </cell>
        </row>
        <row r="62">
          <cell r="G62" t="str">
            <v>AGM-01-005-018</v>
          </cell>
          <cell r="H62" t="str">
            <v xml:space="preserve">Raemulan Lands, Inc. </v>
          </cell>
          <cell r="I62" t="str">
            <v>Agapeya</v>
          </cell>
          <cell r="J62" t="str">
            <v>AGM</v>
          </cell>
          <cell r="K62" t="str">
            <v>Eco-High</v>
          </cell>
          <cell r="L62" t="str">
            <v>West</v>
          </cell>
          <cell r="M62" t="str">
            <v>With LTS - 2024</v>
          </cell>
          <cell r="N62" t="str">
            <v>YES</v>
          </cell>
          <cell r="O62" t="str">
            <v>YES</v>
          </cell>
          <cell r="P62" t="str">
            <v>Unaffected lots</v>
          </cell>
          <cell r="Q62" t="str">
            <v>YES</v>
          </cell>
          <cell r="R62">
            <v>70</v>
          </cell>
          <cell r="S62" t="str">
            <v>PCS-04-034407</v>
          </cell>
          <cell r="T62" t="str">
            <v>TCT-060-2024021345</v>
          </cell>
          <cell r="U62" t="b">
            <v>1</v>
          </cell>
          <cell r="V62" t="str">
            <v>Done</v>
          </cell>
          <cell r="W62" t="str">
            <v>B4 2025</v>
          </cell>
          <cell r="X62" t="str">
            <v>2025 - Batch 6</v>
          </cell>
          <cell r="Y62">
            <v>5</v>
          </cell>
          <cell r="Z62">
            <v>18</v>
          </cell>
          <cell r="AA62" t="str">
            <v>H+L</v>
          </cell>
          <cell r="AB62">
            <v>70</v>
          </cell>
          <cell r="AC62">
            <v>50</v>
          </cell>
          <cell r="AD62" t="str">
            <v>Slant</v>
          </cell>
          <cell r="AE62" t="str">
            <v>Duplex</v>
          </cell>
          <cell r="AF62" t="str">
            <v>568 - Without Partition</v>
          </cell>
          <cell r="AG62" t="str">
            <v xml:space="preserve">Without Partition </v>
          </cell>
          <cell r="AH62" t="str">
            <v xml:space="preserve">Without Partition </v>
          </cell>
          <cell r="AI62" t="str">
            <v>PURPLE</v>
          </cell>
          <cell r="AJ62" t="str">
            <v>Slant / PURPLE</v>
          </cell>
          <cell r="AK62">
            <v>1050000</v>
          </cell>
          <cell r="AL62">
            <v>15000</v>
          </cell>
          <cell r="AM62">
            <v>1650000</v>
          </cell>
          <cell r="AN62">
            <v>33000</v>
          </cell>
          <cell r="AO62">
            <v>150000</v>
          </cell>
          <cell r="AP62">
            <v>2850000</v>
          </cell>
          <cell r="AQ62"/>
          <cell r="AR62">
            <v>2850000</v>
          </cell>
          <cell r="AS62">
            <v>200000</v>
          </cell>
          <cell r="AT62">
            <v>2650000</v>
          </cell>
          <cell r="AU62">
            <v>100000</v>
          </cell>
          <cell r="AV62">
            <v>2550000</v>
          </cell>
          <cell r="AW62">
            <v>0</v>
          </cell>
          <cell r="AX62">
            <v>2550000</v>
          </cell>
        </row>
        <row r="63">
          <cell r="G63" t="str">
            <v>AGM-01-005-019</v>
          </cell>
          <cell r="H63" t="str">
            <v xml:space="preserve">Raemulan Lands, Inc. </v>
          </cell>
          <cell r="I63" t="str">
            <v>Agapeya</v>
          </cell>
          <cell r="J63" t="str">
            <v>AGM</v>
          </cell>
          <cell r="K63" t="str">
            <v>Eco-High</v>
          </cell>
          <cell r="L63" t="str">
            <v>West</v>
          </cell>
          <cell r="M63" t="str">
            <v>With LTS - 2024</v>
          </cell>
          <cell r="N63" t="str">
            <v>YES</v>
          </cell>
          <cell r="O63" t="str">
            <v>YES</v>
          </cell>
          <cell r="P63" t="str">
            <v>Unaffected lots</v>
          </cell>
          <cell r="Q63" t="str">
            <v>YES</v>
          </cell>
          <cell r="R63">
            <v>70</v>
          </cell>
          <cell r="S63" t="str">
            <v>PCS-04-034407</v>
          </cell>
          <cell r="T63" t="str">
            <v>TCT-060-2024021346</v>
          </cell>
          <cell r="U63" t="b">
            <v>1</v>
          </cell>
          <cell r="V63" t="str">
            <v>Done</v>
          </cell>
          <cell r="W63" t="str">
            <v>B4 2025</v>
          </cell>
          <cell r="X63" t="str">
            <v>2025 - Batch 5</v>
          </cell>
          <cell r="Y63">
            <v>5</v>
          </cell>
          <cell r="Z63">
            <v>19</v>
          </cell>
          <cell r="AA63" t="str">
            <v>H+L</v>
          </cell>
          <cell r="AB63">
            <v>70</v>
          </cell>
          <cell r="AC63">
            <v>50</v>
          </cell>
          <cell r="AD63" t="str">
            <v>Slant</v>
          </cell>
          <cell r="AE63" t="str">
            <v>Duplex</v>
          </cell>
          <cell r="AF63" t="str">
            <v>568 - Without Partition</v>
          </cell>
          <cell r="AG63" t="str">
            <v xml:space="preserve">Without Partition </v>
          </cell>
          <cell r="AH63" t="str">
            <v xml:space="preserve">Without Partition </v>
          </cell>
          <cell r="AI63" t="str">
            <v>PURPLE</v>
          </cell>
          <cell r="AJ63" t="str">
            <v>Slant / PURPLE</v>
          </cell>
          <cell r="AK63">
            <v>1050000</v>
          </cell>
          <cell r="AL63">
            <v>15000</v>
          </cell>
          <cell r="AM63">
            <v>1650000</v>
          </cell>
          <cell r="AN63">
            <v>33000</v>
          </cell>
          <cell r="AO63">
            <v>150000</v>
          </cell>
          <cell r="AP63">
            <v>2850000</v>
          </cell>
          <cell r="AQ63"/>
          <cell r="AR63">
            <v>2850000</v>
          </cell>
          <cell r="AS63">
            <v>200000</v>
          </cell>
          <cell r="AT63">
            <v>2650000</v>
          </cell>
          <cell r="AU63">
            <v>100000</v>
          </cell>
          <cell r="AV63">
            <v>2550000</v>
          </cell>
          <cell r="AW63">
            <v>0</v>
          </cell>
          <cell r="AX63">
            <v>2550000</v>
          </cell>
        </row>
        <row r="64">
          <cell r="G64" t="str">
            <v>AGM-01-005-020</v>
          </cell>
          <cell r="H64" t="str">
            <v xml:space="preserve">Raemulan Lands, Inc. </v>
          </cell>
          <cell r="I64" t="str">
            <v>Agapeya</v>
          </cell>
          <cell r="J64" t="str">
            <v>AGM</v>
          </cell>
          <cell r="K64" t="str">
            <v>Eco-High</v>
          </cell>
          <cell r="L64" t="str">
            <v>West</v>
          </cell>
          <cell r="M64" t="str">
            <v>With LTS - 2024</v>
          </cell>
          <cell r="N64" t="str">
            <v>YES</v>
          </cell>
          <cell r="O64" t="str">
            <v>YES</v>
          </cell>
          <cell r="P64" t="str">
            <v>Unaffected lots</v>
          </cell>
          <cell r="Q64" t="str">
            <v>YES</v>
          </cell>
          <cell r="R64">
            <v>80</v>
          </cell>
          <cell r="S64" t="str">
            <v>PCS-04-034407</v>
          </cell>
          <cell r="T64" t="str">
            <v>TCT-060-2024021347</v>
          </cell>
          <cell r="U64" t="b">
            <v>1</v>
          </cell>
          <cell r="V64" t="str">
            <v>Done</v>
          </cell>
          <cell r="W64" t="str">
            <v>B3 2025</v>
          </cell>
          <cell r="X64" t="str">
            <v>2025 - Batch 5</v>
          </cell>
          <cell r="Y64">
            <v>5</v>
          </cell>
          <cell r="Z64">
            <v>20</v>
          </cell>
          <cell r="AA64" t="str">
            <v>H+L</v>
          </cell>
          <cell r="AB64">
            <v>80</v>
          </cell>
          <cell r="AC64">
            <v>50</v>
          </cell>
          <cell r="AD64" t="str">
            <v>Flat</v>
          </cell>
          <cell r="AE64" t="str">
            <v>Duplex</v>
          </cell>
          <cell r="AF64" t="str">
            <v>568 - Without Partition</v>
          </cell>
          <cell r="AG64" t="str">
            <v xml:space="preserve">Without Partition </v>
          </cell>
          <cell r="AH64" t="str">
            <v xml:space="preserve">Without Partition </v>
          </cell>
          <cell r="AI64" t="str">
            <v>PURPLE</v>
          </cell>
          <cell r="AJ64" t="str">
            <v>Flat / PURPLE</v>
          </cell>
          <cell r="AK64">
            <v>1200000</v>
          </cell>
          <cell r="AL64">
            <v>15000</v>
          </cell>
          <cell r="AM64">
            <v>1650000</v>
          </cell>
          <cell r="AN64">
            <v>33000</v>
          </cell>
          <cell r="AO64">
            <v>150000</v>
          </cell>
          <cell r="AP64">
            <v>3000000</v>
          </cell>
          <cell r="AQ64"/>
          <cell r="AR64">
            <v>3000000</v>
          </cell>
          <cell r="AS64">
            <v>200000</v>
          </cell>
          <cell r="AT64">
            <v>2800000</v>
          </cell>
          <cell r="AU64">
            <v>100000</v>
          </cell>
          <cell r="AV64">
            <v>2700000</v>
          </cell>
          <cell r="AW64">
            <v>0</v>
          </cell>
          <cell r="AX64">
            <v>2700000</v>
          </cell>
        </row>
        <row r="65">
          <cell r="G65" t="str">
            <v>AGM-01-005-021</v>
          </cell>
          <cell r="H65" t="str">
            <v xml:space="preserve">Raemulan Lands, Inc. </v>
          </cell>
          <cell r="I65" t="str">
            <v>Agapeya</v>
          </cell>
          <cell r="J65" t="str">
            <v>AGM</v>
          </cell>
          <cell r="K65" t="str">
            <v>Eco-High</v>
          </cell>
          <cell r="L65" t="str">
            <v>West</v>
          </cell>
          <cell r="M65" t="str">
            <v>With LTS - 2024</v>
          </cell>
          <cell r="N65" t="str">
            <v>YES</v>
          </cell>
          <cell r="O65" t="str">
            <v>YES</v>
          </cell>
          <cell r="P65" t="str">
            <v>Unaffected lots</v>
          </cell>
          <cell r="Q65" t="str">
            <v>YES</v>
          </cell>
          <cell r="R65">
            <v>80</v>
          </cell>
          <cell r="S65" t="str">
            <v>PCS-04-034407</v>
          </cell>
          <cell r="T65" t="str">
            <v>TCT-060-2024021348</v>
          </cell>
          <cell r="U65" t="b">
            <v>1</v>
          </cell>
          <cell r="V65" t="str">
            <v>Done</v>
          </cell>
          <cell r="W65" t="str">
            <v>B3 2025</v>
          </cell>
          <cell r="X65" t="str">
            <v>2025 - Batch 5</v>
          </cell>
          <cell r="Y65">
            <v>5</v>
          </cell>
          <cell r="Z65">
            <v>21</v>
          </cell>
          <cell r="AA65" t="str">
            <v>H+L</v>
          </cell>
          <cell r="AB65">
            <v>80</v>
          </cell>
          <cell r="AC65">
            <v>50</v>
          </cell>
          <cell r="AD65" t="str">
            <v>Flat</v>
          </cell>
          <cell r="AE65" t="str">
            <v>Duplex</v>
          </cell>
          <cell r="AF65" t="str">
            <v>568 - Without Partition</v>
          </cell>
          <cell r="AG65" t="str">
            <v xml:space="preserve">Without Partition </v>
          </cell>
          <cell r="AH65" t="str">
            <v xml:space="preserve">Without Partition </v>
          </cell>
          <cell r="AI65" t="str">
            <v>PINK</v>
          </cell>
          <cell r="AJ65" t="str">
            <v>Flat / PINK</v>
          </cell>
          <cell r="AK65">
            <v>1200000</v>
          </cell>
          <cell r="AL65">
            <v>15000</v>
          </cell>
          <cell r="AM65">
            <v>1650000</v>
          </cell>
          <cell r="AN65">
            <v>33000</v>
          </cell>
          <cell r="AO65">
            <v>150000</v>
          </cell>
          <cell r="AP65">
            <v>3000000</v>
          </cell>
          <cell r="AQ65"/>
          <cell r="AR65">
            <v>3000000</v>
          </cell>
          <cell r="AS65">
            <v>200000</v>
          </cell>
          <cell r="AT65">
            <v>2800000</v>
          </cell>
          <cell r="AU65">
            <v>100000</v>
          </cell>
          <cell r="AV65">
            <v>2700000</v>
          </cell>
          <cell r="AW65">
            <v>0</v>
          </cell>
          <cell r="AX65">
            <v>2700000</v>
          </cell>
        </row>
        <row r="66">
          <cell r="G66" t="str">
            <v>AGM-01-005-022</v>
          </cell>
          <cell r="H66" t="str">
            <v xml:space="preserve">Raemulan Lands, Inc. </v>
          </cell>
          <cell r="I66" t="str">
            <v>Agapeya</v>
          </cell>
          <cell r="J66" t="str">
            <v>AGM</v>
          </cell>
          <cell r="K66" t="str">
            <v>Eco-High</v>
          </cell>
          <cell r="L66" t="str">
            <v>West</v>
          </cell>
          <cell r="M66" t="str">
            <v>With LTS - 2024</v>
          </cell>
          <cell r="N66" t="str">
            <v>YES</v>
          </cell>
          <cell r="O66" t="str">
            <v>YES</v>
          </cell>
          <cell r="P66" t="str">
            <v>Unaffected lots</v>
          </cell>
          <cell r="Q66" t="str">
            <v>YES</v>
          </cell>
          <cell r="R66">
            <v>95</v>
          </cell>
          <cell r="S66" t="str">
            <v>PCS-04-034407</v>
          </cell>
          <cell r="T66" t="str">
            <v>TCT-060-2024021349</v>
          </cell>
          <cell r="U66" t="b">
            <v>1</v>
          </cell>
          <cell r="V66" t="str">
            <v>Done</v>
          </cell>
          <cell r="W66" t="str">
            <v>B3 2025</v>
          </cell>
          <cell r="X66" t="str">
            <v>2025 - Batch 5</v>
          </cell>
          <cell r="Y66">
            <v>5</v>
          </cell>
          <cell r="Z66">
            <v>22</v>
          </cell>
          <cell r="AA66" t="str">
            <v>H+L</v>
          </cell>
          <cell r="AB66">
            <v>95</v>
          </cell>
          <cell r="AC66">
            <v>50</v>
          </cell>
          <cell r="AD66" t="str">
            <v>Slant</v>
          </cell>
          <cell r="AE66" t="str">
            <v>Duplex</v>
          </cell>
          <cell r="AF66" t="str">
            <v>568 - Without Partition</v>
          </cell>
          <cell r="AG66" t="str">
            <v xml:space="preserve">Without Partition </v>
          </cell>
          <cell r="AH66" t="str">
            <v xml:space="preserve">Without Partition </v>
          </cell>
          <cell r="AI66" t="str">
            <v>PINK</v>
          </cell>
          <cell r="AJ66" t="str">
            <v>Slant / PINK</v>
          </cell>
          <cell r="AK66">
            <v>1425000</v>
          </cell>
          <cell r="AL66">
            <v>15000</v>
          </cell>
          <cell r="AM66">
            <v>1650000</v>
          </cell>
          <cell r="AN66">
            <v>33000</v>
          </cell>
          <cell r="AO66">
            <v>150000</v>
          </cell>
          <cell r="AP66">
            <v>3225000</v>
          </cell>
          <cell r="AQ66"/>
          <cell r="AR66">
            <v>3225000</v>
          </cell>
          <cell r="AS66">
            <v>200000</v>
          </cell>
          <cell r="AT66">
            <v>3025000</v>
          </cell>
          <cell r="AU66">
            <v>100000</v>
          </cell>
          <cell r="AV66">
            <v>2925000</v>
          </cell>
          <cell r="AW66">
            <v>0</v>
          </cell>
          <cell r="AX66">
            <v>2925000</v>
          </cell>
        </row>
        <row r="67">
          <cell r="G67" t="str">
            <v>AGM-01-006-001</v>
          </cell>
          <cell r="H67" t="str">
            <v xml:space="preserve">Raemulan Lands, Inc. </v>
          </cell>
          <cell r="I67" t="str">
            <v>Agapeya</v>
          </cell>
          <cell r="J67" t="str">
            <v>AGM</v>
          </cell>
          <cell r="K67" t="str">
            <v>Eco-High</v>
          </cell>
          <cell r="L67" t="str">
            <v>West</v>
          </cell>
          <cell r="M67" t="str">
            <v>With LTS - 2024</v>
          </cell>
          <cell r="N67" t="str">
            <v>YES</v>
          </cell>
          <cell r="O67" t="str">
            <v>YES</v>
          </cell>
          <cell r="P67" t="str">
            <v>Unaffected lots</v>
          </cell>
          <cell r="Q67" t="str">
            <v>YES</v>
          </cell>
          <cell r="R67">
            <v>100</v>
          </cell>
          <cell r="S67" t="str">
            <v>PCS-04-034407</v>
          </cell>
          <cell r="T67" t="str">
            <v>TCT-060-2024021350</v>
          </cell>
          <cell r="U67" t="b">
            <v>1</v>
          </cell>
          <cell r="V67" t="str">
            <v xml:space="preserve">Done </v>
          </cell>
          <cell r="W67" t="str">
            <v>2024 Batch</v>
          </cell>
          <cell r="X67" t="str">
            <v>2024 Batch</v>
          </cell>
          <cell r="Y67">
            <v>6</v>
          </cell>
          <cell r="Z67">
            <v>1</v>
          </cell>
          <cell r="AA67" t="str">
            <v>H+L</v>
          </cell>
          <cell r="AB67">
            <v>100</v>
          </cell>
          <cell r="AC67">
            <v>50</v>
          </cell>
          <cell r="AD67" t="str">
            <v>Slant</v>
          </cell>
          <cell r="AE67" t="str">
            <v>Duplex</v>
          </cell>
          <cell r="AF67" t="str">
            <v>326 - With Partition</v>
          </cell>
          <cell r="AG67" t="str">
            <v xml:space="preserve">Without Partition </v>
          </cell>
          <cell r="AH67" t="str">
            <v xml:space="preserve">Without Partition </v>
          </cell>
          <cell r="AI67" t="str">
            <v>PINK</v>
          </cell>
          <cell r="AJ67" t="str">
            <v>Slant / PINK</v>
          </cell>
          <cell r="AK67">
            <v>1500000</v>
          </cell>
          <cell r="AL67">
            <v>15000</v>
          </cell>
          <cell r="AM67">
            <v>1650000</v>
          </cell>
          <cell r="AN67">
            <v>33000</v>
          </cell>
          <cell r="AO67">
            <v>150000</v>
          </cell>
          <cell r="AP67">
            <v>3300000</v>
          </cell>
          <cell r="AQ67"/>
          <cell r="AR67">
            <v>3300000</v>
          </cell>
          <cell r="AS67">
            <v>200000</v>
          </cell>
          <cell r="AT67">
            <v>3100000</v>
          </cell>
          <cell r="AU67">
            <v>100000</v>
          </cell>
          <cell r="AV67">
            <v>3000000</v>
          </cell>
          <cell r="AW67">
            <v>0</v>
          </cell>
          <cell r="AX67">
            <v>3000000</v>
          </cell>
        </row>
        <row r="68">
          <cell r="G68" t="str">
            <v>AGM-01-006-002</v>
          </cell>
          <cell r="H68" t="str">
            <v xml:space="preserve">Raemulan Lands, Inc. </v>
          </cell>
          <cell r="I68" t="str">
            <v>Agapeya</v>
          </cell>
          <cell r="J68" t="str">
            <v>AGM</v>
          </cell>
          <cell r="K68" t="str">
            <v>Eco-High</v>
          </cell>
          <cell r="L68" t="str">
            <v>West</v>
          </cell>
          <cell r="M68" t="str">
            <v>With LTS - 2024</v>
          </cell>
          <cell r="N68" t="str">
            <v>YES</v>
          </cell>
          <cell r="O68" t="str">
            <v>YES</v>
          </cell>
          <cell r="P68" t="str">
            <v>Unaffected lots</v>
          </cell>
          <cell r="Q68" t="str">
            <v>YES</v>
          </cell>
          <cell r="R68">
            <v>70</v>
          </cell>
          <cell r="S68" t="str">
            <v>PCS-04-034407</v>
          </cell>
          <cell r="T68" t="str">
            <v>TCT-060-2024021351</v>
          </cell>
          <cell r="U68" t="b">
            <v>1</v>
          </cell>
          <cell r="V68" t="str">
            <v>Done</v>
          </cell>
          <cell r="W68" t="str">
            <v>2024 Batch</v>
          </cell>
          <cell r="X68" t="str">
            <v>2024 Batch</v>
          </cell>
          <cell r="Y68">
            <v>6</v>
          </cell>
          <cell r="Z68">
            <v>2</v>
          </cell>
          <cell r="AA68" t="str">
            <v>H+L</v>
          </cell>
          <cell r="AB68">
            <v>70</v>
          </cell>
          <cell r="AC68">
            <v>50</v>
          </cell>
          <cell r="AD68" t="str">
            <v>Flat</v>
          </cell>
          <cell r="AE68" t="str">
            <v>Duplex</v>
          </cell>
          <cell r="AF68" t="str">
            <v>326 - With Partition</v>
          </cell>
          <cell r="AG68" t="str">
            <v>With Partition</v>
          </cell>
          <cell r="AH68" t="str">
            <v>With Partition</v>
          </cell>
          <cell r="AI68" t="str">
            <v>YELLOW</v>
          </cell>
          <cell r="AJ68" t="str">
            <v>Flat / YELLOW</v>
          </cell>
          <cell r="AK68">
            <v>1050000</v>
          </cell>
          <cell r="AL68">
            <v>15000</v>
          </cell>
          <cell r="AM68">
            <v>1650000</v>
          </cell>
          <cell r="AN68">
            <v>33000</v>
          </cell>
          <cell r="AO68">
            <v>150000</v>
          </cell>
          <cell r="AP68">
            <v>2850000</v>
          </cell>
          <cell r="AQ68"/>
          <cell r="AR68">
            <v>2850000</v>
          </cell>
          <cell r="AS68">
            <v>0</v>
          </cell>
          <cell r="AT68">
            <v>2850000</v>
          </cell>
          <cell r="AU68">
            <v>100000</v>
          </cell>
          <cell r="AV68">
            <v>2750000</v>
          </cell>
          <cell r="AW68">
            <v>0</v>
          </cell>
          <cell r="AX68">
            <v>2750000</v>
          </cell>
        </row>
        <row r="69">
          <cell r="G69" t="str">
            <v>AGM-01-006-003</v>
          </cell>
          <cell r="H69" t="str">
            <v xml:space="preserve">Raemulan Lands, Inc. </v>
          </cell>
          <cell r="I69" t="str">
            <v>Agapeya</v>
          </cell>
          <cell r="J69" t="str">
            <v>AGM</v>
          </cell>
          <cell r="K69" t="str">
            <v>Eco-High</v>
          </cell>
          <cell r="L69" t="str">
            <v>West</v>
          </cell>
          <cell r="M69" t="str">
            <v>With LTS - 2024</v>
          </cell>
          <cell r="N69" t="str">
            <v>YES</v>
          </cell>
          <cell r="O69" t="str">
            <v>YES</v>
          </cell>
          <cell r="P69" t="str">
            <v>Unaffected lots</v>
          </cell>
          <cell r="Q69" t="str">
            <v>YES</v>
          </cell>
          <cell r="R69">
            <v>70</v>
          </cell>
          <cell r="S69" t="str">
            <v>PCS-04-034407</v>
          </cell>
          <cell r="T69" t="str">
            <v>TCT-060-2024021352</v>
          </cell>
          <cell r="U69" t="b">
            <v>1</v>
          </cell>
          <cell r="V69" t="str">
            <v>Done</v>
          </cell>
          <cell r="W69" t="str">
            <v>2024 Batch</v>
          </cell>
          <cell r="X69" t="str">
            <v>2024 Batch</v>
          </cell>
          <cell r="Y69">
            <v>6</v>
          </cell>
          <cell r="Z69">
            <v>3</v>
          </cell>
          <cell r="AA69" t="str">
            <v>H+L</v>
          </cell>
          <cell r="AB69">
            <v>70</v>
          </cell>
          <cell r="AC69">
            <v>50</v>
          </cell>
          <cell r="AD69" t="str">
            <v>Slant</v>
          </cell>
          <cell r="AE69" t="str">
            <v>Duplex</v>
          </cell>
          <cell r="AF69" t="str">
            <v>326 - With Partition</v>
          </cell>
          <cell r="AG69" t="str">
            <v xml:space="preserve">Without Partition </v>
          </cell>
          <cell r="AH69" t="str">
            <v xml:space="preserve">Without Partition </v>
          </cell>
          <cell r="AI69" t="str">
            <v>YELLOW</v>
          </cell>
          <cell r="AJ69" t="str">
            <v>Slant / YELLOW</v>
          </cell>
          <cell r="AK69">
            <v>1050000</v>
          </cell>
          <cell r="AL69">
            <v>15000</v>
          </cell>
          <cell r="AM69">
            <v>1650000</v>
          </cell>
          <cell r="AN69">
            <v>33000</v>
          </cell>
          <cell r="AO69">
            <v>150000</v>
          </cell>
          <cell r="AP69">
            <v>2850000</v>
          </cell>
          <cell r="AQ69"/>
          <cell r="AR69">
            <v>2850000</v>
          </cell>
          <cell r="AS69">
            <v>200000</v>
          </cell>
          <cell r="AT69">
            <v>2650000</v>
          </cell>
          <cell r="AU69">
            <v>100000</v>
          </cell>
          <cell r="AV69">
            <v>2550000</v>
          </cell>
          <cell r="AW69">
            <v>0</v>
          </cell>
          <cell r="AX69">
            <v>2550000</v>
          </cell>
        </row>
        <row r="70">
          <cell r="G70" t="str">
            <v>AGM-01-006-004</v>
          </cell>
          <cell r="H70" t="str">
            <v xml:space="preserve">Raemulan Lands, Inc. </v>
          </cell>
          <cell r="I70" t="str">
            <v>Agapeya</v>
          </cell>
          <cell r="J70" t="str">
            <v>AGM</v>
          </cell>
          <cell r="K70" t="str">
            <v>Eco-High</v>
          </cell>
          <cell r="L70" t="str">
            <v>West</v>
          </cell>
          <cell r="M70" t="str">
            <v>With LTS - 2024</v>
          </cell>
          <cell r="N70" t="str">
            <v>YES</v>
          </cell>
          <cell r="O70" t="str">
            <v>YES</v>
          </cell>
          <cell r="P70" t="str">
            <v>Unaffected lots</v>
          </cell>
          <cell r="Q70" t="str">
            <v>YES</v>
          </cell>
          <cell r="R70">
            <v>70</v>
          </cell>
          <cell r="S70" t="str">
            <v>PCS-04-034407</v>
          </cell>
          <cell r="T70" t="str">
            <v>TCT-060-2024021353</v>
          </cell>
          <cell r="U70" t="b">
            <v>1</v>
          </cell>
          <cell r="V70" t="str">
            <v>Done</v>
          </cell>
          <cell r="W70" t="str">
            <v>2024 Batch</v>
          </cell>
          <cell r="X70" t="str">
            <v>2024 Batch</v>
          </cell>
          <cell r="Y70">
            <v>6</v>
          </cell>
          <cell r="Z70">
            <v>4</v>
          </cell>
          <cell r="AA70" t="str">
            <v>H+L</v>
          </cell>
          <cell r="AB70">
            <v>70</v>
          </cell>
          <cell r="AC70">
            <v>50</v>
          </cell>
          <cell r="AD70" t="str">
            <v>Slant</v>
          </cell>
          <cell r="AE70" t="str">
            <v>Duplex</v>
          </cell>
          <cell r="AF70" t="str">
            <v>326 - With Partition</v>
          </cell>
          <cell r="AG70" t="str">
            <v>With Partition</v>
          </cell>
          <cell r="AH70" t="str">
            <v>With Partition</v>
          </cell>
          <cell r="AI70" t="str">
            <v>YELLOW</v>
          </cell>
          <cell r="AJ70" t="str">
            <v>Slant / YELLOW</v>
          </cell>
          <cell r="AK70">
            <v>1050000</v>
          </cell>
          <cell r="AL70">
            <v>15000</v>
          </cell>
          <cell r="AM70">
            <v>1650000</v>
          </cell>
          <cell r="AN70">
            <v>33000</v>
          </cell>
          <cell r="AO70">
            <v>150000</v>
          </cell>
          <cell r="AP70">
            <v>2850000</v>
          </cell>
          <cell r="AQ70"/>
          <cell r="AR70">
            <v>2850000</v>
          </cell>
          <cell r="AS70">
            <v>0</v>
          </cell>
          <cell r="AT70">
            <v>2850000</v>
          </cell>
          <cell r="AU70">
            <v>100000</v>
          </cell>
          <cell r="AV70">
            <v>2750000</v>
          </cell>
          <cell r="AW70">
            <v>0</v>
          </cell>
          <cell r="AX70">
            <v>2750000</v>
          </cell>
        </row>
        <row r="71">
          <cell r="G71" t="str">
            <v>AGM-01-006-005</v>
          </cell>
          <cell r="H71" t="str">
            <v xml:space="preserve">Raemulan Lands, Inc. </v>
          </cell>
          <cell r="I71" t="str">
            <v>Agapeya</v>
          </cell>
          <cell r="J71" t="str">
            <v>AGM</v>
          </cell>
          <cell r="K71" t="str">
            <v>Eco-High</v>
          </cell>
          <cell r="L71" t="str">
            <v>West</v>
          </cell>
          <cell r="M71" t="str">
            <v>With LTS - 2024</v>
          </cell>
          <cell r="N71" t="str">
            <v>YES</v>
          </cell>
          <cell r="O71" t="str">
            <v>YES</v>
          </cell>
          <cell r="P71" t="str">
            <v>Unaffected lots</v>
          </cell>
          <cell r="Q71" t="str">
            <v>YES</v>
          </cell>
          <cell r="R71">
            <v>70</v>
          </cell>
          <cell r="S71" t="str">
            <v>PCS-04-034407</v>
          </cell>
          <cell r="T71" t="str">
            <v>TCT-060-2024021354</v>
          </cell>
          <cell r="U71" t="b">
            <v>1</v>
          </cell>
          <cell r="V71" t="str">
            <v>Done</v>
          </cell>
          <cell r="W71" t="str">
            <v>2024 Batch</v>
          </cell>
          <cell r="X71" t="str">
            <v>2024 Batch</v>
          </cell>
          <cell r="Y71">
            <v>6</v>
          </cell>
          <cell r="Z71">
            <v>5</v>
          </cell>
          <cell r="AA71" t="str">
            <v>H+L</v>
          </cell>
          <cell r="AB71">
            <v>70</v>
          </cell>
          <cell r="AC71">
            <v>50</v>
          </cell>
          <cell r="AD71" t="str">
            <v>Flat</v>
          </cell>
          <cell r="AE71" t="str">
            <v>Duplex</v>
          </cell>
          <cell r="AF71" t="str">
            <v>326 - With Partition</v>
          </cell>
          <cell r="AG71" t="str">
            <v>With Partition</v>
          </cell>
          <cell r="AH71" t="str">
            <v>With Partition</v>
          </cell>
          <cell r="AI71" t="str">
            <v>YELLOW</v>
          </cell>
          <cell r="AJ71" t="str">
            <v>Flat / YELLOW</v>
          </cell>
          <cell r="AK71">
            <v>1050000</v>
          </cell>
          <cell r="AL71">
            <v>15000</v>
          </cell>
          <cell r="AM71">
            <v>1650000</v>
          </cell>
          <cell r="AN71">
            <v>33000</v>
          </cell>
          <cell r="AO71">
            <v>150000</v>
          </cell>
          <cell r="AP71">
            <v>2850000</v>
          </cell>
          <cell r="AQ71"/>
          <cell r="AR71">
            <v>2850000</v>
          </cell>
          <cell r="AS71">
            <v>0</v>
          </cell>
          <cell r="AT71">
            <v>2850000</v>
          </cell>
          <cell r="AU71">
            <v>100000</v>
          </cell>
          <cell r="AV71">
            <v>2750000</v>
          </cell>
          <cell r="AW71">
            <v>0</v>
          </cell>
          <cell r="AX71">
            <v>2750000</v>
          </cell>
        </row>
        <row r="72">
          <cell r="G72" t="str">
            <v>AGM-01-006-006</v>
          </cell>
          <cell r="H72" t="str">
            <v xml:space="preserve">Raemulan Lands, Inc. </v>
          </cell>
          <cell r="I72" t="str">
            <v>Agapeya</v>
          </cell>
          <cell r="J72" t="str">
            <v>AGM</v>
          </cell>
          <cell r="K72" t="str">
            <v>Eco-High</v>
          </cell>
          <cell r="L72" t="str">
            <v>West</v>
          </cell>
          <cell r="M72" t="str">
            <v>With LTS - 2024</v>
          </cell>
          <cell r="N72" t="str">
            <v>YES</v>
          </cell>
          <cell r="O72" t="str">
            <v>YES</v>
          </cell>
          <cell r="P72" t="str">
            <v>Unaffected lots</v>
          </cell>
          <cell r="Q72" t="str">
            <v>YES</v>
          </cell>
          <cell r="R72">
            <v>70</v>
          </cell>
          <cell r="S72" t="str">
            <v>PCS-04-034407</v>
          </cell>
          <cell r="T72" t="str">
            <v>TCT-060-2024021355</v>
          </cell>
          <cell r="U72" t="b">
            <v>1</v>
          </cell>
          <cell r="V72" t="str">
            <v>Done</v>
          </cell>
          <cell r="W72" t="str">
            <v>2024 Batch</v>
          </cell>
          <cell r="X72" t="str">
            <v>2024 Batch</v>
          </cell>
          <cell r="Y72">
            <v>6</v>
          </cell>
          <cell r="Z72">
            <v>6</v>
          </cell>
          <cell r="AA72" t="str">
            <v>H+L</v>
          </cell>
          <cell r="AB72">
            <v>70</v>
          </cell>
          <cell r="AC72">
            <v>50</v>
          </cell>
          <cell r="AD72" t="str">
            <v>Flat</v>
          </cell>
          <cell r="AE72" t="str">
            <v>Duplex</v>
          </cell>
          <cell r="AF72" t="str">
            <v>326 - With Partition</v>
          </cell>
          <cell r="AG72" t="str">
            <v>With Partition</v>
          </cell>
          <cell r="AH72" t="str">
            <v>With Partition</v>
          </cell>
          <cell r="AI72" t="str">
            <v>GREEN</v>
          </cell>
          <cell r="AJ72" t="str">
            <v>Flat / GREEN</v>
          </cell>
          <cell r="AK72">
            <v>1050000</v>
          </cell>
          <cell r="AL72">
            <v>15000</v>
          </cell>
          <cell r="AM72">
            <v>1650000</v>
          </cell>
          <cell r="AN72">
            <v>33000</v>
          </cell>
          <cell r="AO72">
            <v>150000</v>
          </cell>
          <cell r="AP72">
            <v>2850000</v>
          </cell>
          <cell r="AQ72"/>
          <cell r="AR72">
            <v>2850000</v>
          </cell>
          <cell r="AS72">
            <v>0</v>
          </cell>
          <cell r="AT72">
            <v>2850000</v>
          </cell>
          <cell r="AU72">
            <v>100000</v>
          </cell>
          <cell r="AV72">
            <v>2750000</v>
          </cell>
          <cell r="AW72">
            <v>0</v>
          </cell>
          <cell r="AX72">
            <v>2750000</v>
          </cell>
        </row>
        <row r="73">
          <cell r="G73" t="str">
            <v>AGM-01-006-007</v>
          </cell>
          <cell r="H73" t="str">
            <v xml:space="preserve">Raemulan Lands, Inc. </v>
          </cell>
          <cell r="I73" t="str">
            <v>Agapeya</v>
          </cell>
          <cell r="J73" t="str">
            <v>AGM</v>
          </cell>
          <cell r="K73" t="str">
            <v>Eco-High</v>
          </cell>
          <cell r="L73" t="str">
            <v>West</v>
          </cell>
          <cell r="M73" t="str">
            <v>With LTS - 2024</v>
          </cell>
          <cell r="N73" t="str">
            <v>YES</v>
          </cell>
          <cell r="O73" t="str">
            <v>YES</v>
          </cell>
          <cell r="P73" t="str">
            <v>Unaffected lots</v>
          </cell>
          <cell r="Q73" t="str">
            <v>YES</v>
          </cell>
          <cell r="R73">
            <v>70</v>
          </cell>
          <cell r="S73" t="str">
            <v>PCS-04-034407</v>
          </cell>
          <cell r="T73" t="str">
            <v>TCT-060-2024021356</v>
          </cell>
          <cell r="U73" t="b">
            <v>1</v>
          </cell>
          <cell r="V73" t="str">
            <v>Done</v>
          </cell>
          <cell r="W73" t="str">
            <v>2024 Batch</v>
          </cell>
          <cell r="X73" t="str">
            <v>2024 Batch</v>
          </cell>
          <cell r="Y73">
            <v>6</v>
          </cell>
          <cell r="Z73">
            <v>7</v>
          </cell>
          <cell r="AA73" t="str">
            <v>H+L</v>
          </cell>
          <cell r="AB73">
            <v>70</v>
          </cell>
          <cell r="AC73">
            <v>50</v>
          </cell>
          <cell r="AD73" t="str">
            <v>Slant</v>
          </cell>
          <cell r="AE73" t="str">
            <v>Duplex</v>
          </cell>
          <cell r="AF73" t="str">
            <v>326 - With Partition</v>
          </cell>
          <cell r="AG73" t="str">
            <v>With Partition</v>
          </cell>
          <cell r="AH73" t="str">
            <v>With Partition</v>
          </cell>
          <cell r="AI73" t="str">
            <v>GREEN</v>
          </cell>
          <cell r="AJ73" t="str">
            <v>Slant / GREEN</v>
          </cell>
          <cell r="AK73">
            <v>1050000</v>
          </cell>
          <cell r="AL73">
            <v>15000</v>
          </cell>
          <cell r="AM73">
            <v>1650000</v>
          </cell>
          <cell r="AN73">
            <v>33000</v>
          </cell>
          <cell r="AO73">
            <v>150000</v>
          </cell>
          <cell r="AP73">
            <v>2850000</v>
          </cell>
          <cell r="AQ73"/>
          <cell r="AR73">
            <v>2850000</v>
          </cell>
          <cell r="AS73">
            <v>0</v>
          </cell>
          <cell r="AT73">
            <v>2850000</v>
          </cell>
          <cell r="AU73">
            <v>100000</v>
          </cell>
          <cell r="AV73">
            <v>2750000</v>
          </cell>
          <cell r="AW73">
            <v>0</v>
          </cell>
          <cell r="AX73">
            <v>2750000</v>
          </cell>
        </row>
        <row r="74">
          <cell r="G74" t="str">
            <v>AGM-01-006-008</v>
          </cell>
          <cell r="H74" t="str">
            <v xml:space="preserve">Raemulan Lands, Inc. </v>
          </cell>
          <cell r="I74" t="str">
            <v>Agapeya</v>
          </cell>
          <cell r="J74" t="str">
            <v>AGM</v>
          </cell>
          <cell r="K74" t="str">
            <v>Eco-High</v>
          </cell>
          <cell r="L74" t="str">
            <v>West</v>
          </cell>
          <cell r="M74" t="str">
            <v>With LTS - 2024</v>
          </cell>
          <cell r="N74" t="str">
            <v>YES</v>
          </cell>
          <cell r="O74" t="str">
            <v>YES</v>
          </cell>
          <cell r="P74" t="str">
            <v>Unaffected lots</v>
          </cell>
          <cell r="Q74" t="str">
            <v>YES</v>
          </cell>
          <cell r="R74">
            <v>70</v>
          </cell>
          <cell r="S74" t="str">
            <v>PCS-04-034407</v>
          </cell>
          <cell r="T74" t="str">
            <v>TCT-060-2024021357</v>
          </cell>
          <cell r="U74" t="b">
            <v>1</v>
          </cell>
          <cell r="V74" t="str">
            <v>Done</v>
          </cell>
          <cell r="W74" t="str">
            <v>2024 Batch</v>
          </cell>
          <cell r="X74" t="str">
            <v>2024 Batch</v>
          </cell>
          <cell r="Y74">
            <v>6</v>
          </cell>
          <cell r="Z74">
            <v>8</v>
          </cell>
          <cell r="AA74" t="str">
            <v>H+L</v>
          </cell>
          <cell r="AB74">
            <v>70</v>
          </cell>
          <cell r="AC74">
            <v>50</v>
          </cell>
          <cell r="AD74" t="str">
            <v>Slant</v>
          </cell>
          <cell r="AE74" t="str">
            <v>Duplex</v>
          </cell>
          <cell r="AF74" t="str">
            <v>326 - With Partition</v>
          </cell>
          <cell r="AG74" t="str">
            <v xml:space="preserve">Without Partition </v>
          </cell>
          <cell r="AH74" t="str">
            <v xml:space="preserve">Without Partition </v>
          </cell>
          <cell r="AI74" t="str">
            <v>GREEN</v>
          </cell>
          <cell r="AJ74" t="str">
            <v>Slant / GREEN</v>
          </cell>
          <cell r="AK74">
            <v>1050000</v>
          </cell>
          <cell r="AL74">
            <v>15000</v>
          </cell>
          <cell r="AM74">
            <v>1650000</v>
          </cell>
          <cell r="AN74">
            <v>33000</v>
          </cell>
          <cell r="AO74">
            <v>150000</v>
          </cell>
          <cell r="AP74">
            <v>2850000</v>
          </cell>
          <cell r="AQ74"/>
          <cell r="AR74">
            <v>2850000</v>
          </cell>
          <cell r="AS74">
            <v>200000</v>
          </cell>
          <cell r="AT74">
            <v>2650000</v>
          </cell>
          <cell r="AU74">
            <v>100000</v>
          </cell>
          <cell r="AV74">
            <v>2550000</v>
          </cell>
          <cell r="AW74">
            <v>0</v>
          </cell>
          <cell r="AX74">
            <v>2550000</v>
          </cell>
        </row>
        <row r="75">
          <cell r="G75" t="str">
            <v>AGM-01-006-009</v>
          </cell>
          <cell r="H75" t="str">
            <v xml:space="preserve">Raemulan Lands, Inc. </v>
          </cell>
          <cell r="I75" t="str">
            <v>Agapeya</v>
          </cell>
          <cell r="J75" t="str">
            <v>AGM</v>
          </cell>
          <cell r="K75" t="str">
            <v>Eco-High</v>
          </cell>
          <cell r="L75" t="str">
            <v>West</v>
          </cell>
          <cell r="M75" t="str">
            <v>With LTS - 2024</v>
          </cell>
          <cell r="N75" t="str">
            <v>YES</v>
          </cell>
          <cell r="O75" t="str">
            <v>YES</v>
          </cell>
          <cell r="P75" t="str">
            <v>Unaffected lots</v>
          </cell>
          <cell r="Q75" t="str">
            <v>YES</v>
          </cell>
          <cell r="R75">
            <v>70</v>
          </cell>
          <cell r="S75" t="str">
            <v>PCS-04-034407</v>
          </cell>
          <cell r="T75" t="str">
            <v>TCT-060-2024021358</v>
          </cell>
          <cell r="U75" t="b">
            <v>1</v>
          </cell>
          <cell r="V75" t="str">
            <v>Done</v>
          </cell>
          <cell r="W75" t="str">
            <v>2024 Batch</v>
          </cell>
          <cell r="X75" t="str">
            <v>2024 Batch</v>
          </cell>
          <cell r="Y75">
            <v>6</v>
          </cell>
          <cell r="Z75">
            <v>9</v>
          </cell>
          <cell r="AA75" t="str">
            <v>H+L</v>
          </cell>
          <cell r="AB75">
            <v>70</v>
          </cell>
          <cell r="AC75">
            <v>50</v>
          </cell>
          <cell r="AD75" t="str">
            <v>Flat</v>
          </cell>
          <cell r="AE75" t="str">
            <v>Duplex</v>
          </cell>
          <cell r="AF75" t="str">
            <v>326 - With Partition</v>
          </cell>
          <cell r="AG75" t="str">
            <v xml:space="preserve">Without Partition </v>
          </cell>
          <cell r="AH75" t="str">
            <v xml:space="preserve">Without Partition </v>
          </cell>
          <cell r="AI75" t="str">
            <v>GREEN</v>
          </cell>
          <cell r="AJ75" t="str">
            <v>Flat / GREEN</v>
          </cell>
          <cell r="AK75">
            <v>1050000</v>
          </cell>
          <cell r="AL75">
            <v>15000</v>
          </cell>
          <cell r="AM75">
            <v>1650000</v>
          </cell>
          <cell r="AN75">
            <v>33000</v>
          </cell>
          <cell r="AO75">
            <v>150000</v>
          </cell>
          <cell r="AP75">
            <v>2850000</v>
          </cell>
          <cell r="AQ75"/>
          <cell r="AR75">
            <v>2850000</v>
          </cell>
          <cell r="AS75">
            <v>200000</v>
          </cell>
          <cell r="AT75">
            <v>2650000</v>
          </cell>
          <cell r="AU75">
            <v>100000</v>
          </cell>
          <cell r="AV75">
            <v>2550000</v>
          </cell>
          <cell r="AW75">
            <v>0</v>
          </cell>
          <cell r="AX75">
            <v>2550000</v>
          </cell>
        </row>
        <row r="76">
          <cell r="G76" t="str">
            <v>AGM-01-006-010</v>
          </cell>
          <cell r="H76" t="str">
            <v xml:space="preserve">Raemulan Lands, Inc. </v>
          </cell>
          <cell r="I76" t="str">
            <v>Agapeya</v>
          </cell>
          <cell r="J76" t="str">
            <v>AGM</v>
          </cell>
          <cell r="K76" t="str">
            <v>Eco-High</v>
          </cell>
          <cell r="L76" t="str">
            <v>West</v>
          </cell>
          <cell r="M76" t="str">
            <v>With LTS - 2024</v>
          </cell>
          <cell r="N76" t="str">
            <v>YES</v>
          </cell>
          <cell r="O76" t="str">
            <v>YES</v>
          </cell>
          <cell r="P76" t="str">
            <v>Unaffected lots</v>
          </cell>
          <cell r="Q76" t="str">
            <v>YES</v>
          </cell>
          <cell r="R76">
            <v>70</v>
          </cell>
          <cell r="S76" t="str">
            <v>PCS-04-034407</v>
          </cell>
          <cell r="T76" t="str">
            <v>TCT-060-2024021359</v>
          </cell>
          <cell r="U76" t="b">
            <v>1</v>
          </cell>
          <cell r="V76" t="str">
            <v>Done</v>
          </cell>
          <cell r="W76" t="str">
            <v>2024 Batch</v>
          </cell>
          <cell r="X76" t="str">
            <v>2024 Batch</v>
          </cell>
          <cell r="Y76">
            <v>6</v>
          </cell>
          <cell r="Z76">
            <v>10</v>
          </cell>
          <cell r="AA76" t="str">
            <v>H+L</v>
          </cell>
          <cell r="AB76">
            <v>70</v>
          </cell>
          <cell r="AC76">
            <v>50</v>
          </cell>
          <cell r="AD76" t="str">
            <v>Flat</v>
          </cell>
          <cell r="AE76" t="str">
            <v>Duplex</v>
          </cell>
          <cell r="AF76" t="str">
            <v>326 - With Partition</v>
          </cell>
          <cell r="AG76" t="str">
            <v>With Partition</v>
          </cell>
          <cell r="AH76" t="str">
            <v>With Partition</v>
          </cell>
          <cell r="AI76" t="str">
            <v>PURPLE</v>
          </cell>
          <cell r="AJ76" t="str">
            <v>Flat / PURPLE</v>
          </cell>
          <cell r="AK76">
            <v>1050000</v>
          </cell>
          <cell r="AL76">
            <v>15000</v>
          </cell>
          <cell r="AM76">
            <v>1650000</v>
          </cell>
          <cell r="AN76">
            <v>33000</v>
          </cell>
          <cell r="AO76">
            <v>150000</v>
          </cell>
          <cell r="AP76">
            <v>2850000</v>
          </cell>
          <cell r="AQ76"/>
          <cell r="AR76">
            <v>2850000</v>
          </cell>
          <cell r="AS76">
            <v>0</v>
          </cell>
          <cell r="AT76">
            <v>2850000</v>
          </cell>
          <cell r="AU76">
            <v>100000</v>
          </cell>
          <cell r="AV76">
            <v>2750000</v>
          </cell>
          <cell r="AW76">
            <v>0</v>
          </cell>
          <cell r="AX76">
            <v>2750000</v>
          </cell>
        </row>
        <row r="77">
          <cell r="G77" t="str">
            <v>AGM-01-006-011</v>
          </cell>
          <cell r="H77" t="str">
            <v xml:space="preserve">Raemulan Lands, Inc. </v>
          </cell>
          <cell r="I77" t="str">
            <v>Agapeya</v>
          </cell>
          <cell r="J77" t="str">
            <v>AGM</v>
          </cell>
          <cell r="K77" t="str">
            <v>Eco-High</v>
          </cell>
          <cell r="L77" t="str">
            <v>West</v>
          </cell>
          <cell r="M77" t="str">
            <v>With LTS - 2024</v>
          </cell>
          <cell r="N77" t="str">
            <v>YES</v>
          </cell>
          <cell r="O77" t="str">
            <v>YES</v>
          </cell>
          <cell r="P77" t="str">
            <v>Unaffected lots</v>
          </cell>
          <cell r="Q77" t="str">
            <v>YES</v>
          </cell>
          <cell r="R77">
            <v>70</v>
          </cell>
          <cell r="S77" t="str">
            <v>PCS-04-034407</v>
          </cell>
          <cell r="T77" t="str">
            <v>TCT-060-2024021360</v>
          </cell>
          <cell r="U77" t="b">
            <v>1</v>
          </cell>
          <cell r="V77" t="str">
            <v>Done</v>
          </cell>
          <cell r="W77" t="str">
            <v>2024 Batch</v>
          </cell>
          <cell r="X77" t="str">
            <v>2024 Batch</v>
          </cell>
          <cell r="Y77">
            <v>6</v>
          </cell>
          <cell r="Z77">
            <v>11</v>
          </cell>
          <cell r="AA77" t="str">
            <v>H+L</v>
          </cell>
          <cell r="AB77">
            <v>70</v>
          </cell>
          <cell r="AC77">
            <v>50</v>
          </cell>
          <cell r="AD77" t="str">
            <v>Slant</v>
          </cell>
          <cell r="AE77" t="str">
            <v>Duplex</v>
          </cell>
          <cell r="AF77" t="str">
            <v>326 - With Partition</v>
          </cell>
          <cell r="AG77" t="str">
            <v>With Partition</v>
          </cell>
          <cell r="AH77" t="str">
            <v>With Partition</v>
          </cell>
          <cell r="AI77" t="str">
            <v>PURPLE</v>
          </cell>
          <cell r="AJ77" t="str">
            <v>Slant / PURPLE</v>
          </cell>
          <cell r="AK77">
            <v>1050000</v>
          </cell>
          <cell r="AL77">
            <v>15000</v>
          </cell>
          <cell r="AM77">
            <v>1650000</v>
          </cell>
          <cell r="AN77">
            <v>33000</v>
          </cell>
          <cell r="AO77">
            <v>150000</v>
          </cell>
          <cell r="AP77">
            <v>2850000</v>
          </cell>
          <cell r="AQ77"/>
          <cell r="AR77">
            <v>2850000</v>
          </cell>
          <cell r="AS77">
            <v>0</v>
          </cell>
          <cell r="AT77">
            <v>2850000</v>
          </cell>
          <cell r="AU77">
            <v>100000</v>
          </cell>
          <cell r="AV77">
            <v>2750000</v>
          </cell>
          <cell r="AW77">
            <v>0</v>
          </cell>
          <cell r="AX77">
            <v>2750000</v>
          </cell>
        </row>
        <row r="78">
          <cell r="G78" t="str">
            <v>AGM-01-006-012</v>
          </cell>
          <cell r="H78" t="str">
            <v xml:space="preserve">Raemulan Lands, Inc. </v>
          </cell>
          <cell r="I78" t="str">
            <v>Agapeya</v>
          </cell>
          <cell r="J78" t="str">
            <v>AGM</v>
          </cell>
          <cell r="K78" t="str">
            <v>Eco-High</v>
          </cell>
          <cell r="L78" t="str">
            <v>West</v>
          </cell>
          <cell r="M78" t="str">
            <v>With LTS - 2024</v>
          </cell>
          <cell r="N78" t="str">
            <v>YES</v>
          </cell>
          <cell r="O78" t="str">
            <v>YES</v>
          </cell>
          <cell r="P78" t="str">
            <v>Unaffected lots</v>
          </cell>
          <cell r="Q78" t="str">
            <v>YES</v>
          </cell>
          <cell r="R78">
            <v>70</v>
          </cell>
          <cell r="S78" t="str">
            <v>PCS-04-034407</v>
          </cell>
          <cell r="T78" t="str">
            <v>TCT-060-2024021361</v>
          </cell>
          <cell r="U78" t="b">
            <v>1</v>
          </cell>
          <cell r="V78" t="str">
            <v>Done</v>
          </cell>
          <cell r="W78" t="str">
            <v>2024 Batch</v>
          </cell>
          <cell r="X78" t="str">
            <v>2024 Batch</v>
          </cell>
          <cell r="Y78">
            <v>6</v>
          </cell>
          <cell r="Z78">
            <v>12</v>
          </cell>
          <cell r="AA78" t="str">
            <v>H+L</v>
          </cell>
          <cell r="AB78">
            <v>70</v>
          </cell>
          <cell r="AC78">
            <v>50</v>
          </cell>
          <cell r="AD78" t="str">
            <v>Slant</v>
          </cell>
          <cell r="AE78" t="str">
            <v>Duplex</v>
          </cell>
          <cell r="AF78" t="str">
            <v>326 - With Partition</v>
          </cell>
          <cell r="AG78" t="str">
            <v>With Partition</v>
          </cell>
          <cell r="AH78" t="str">
            <v>With Partition</v>
          </cell>
          <cell r="AI78" t="str">
            <v>PURPLE</v>
          </cell>
          <cell r="AJ78" t="str">
            <v>Slant / PURPLE</v>
          </cell>
          <cell r="AK78">
            <v>1050000</v>
          </cell>
          <cell r="AL78">
            <v>15000</v>
          </cell>
          <cell r="AM78">
            <v>1650000</v>
          </cell>
          <cell r="AN78">
            <v>33000</v>
          </cell>
          <cell r="AO78">
            <v>150000</v>
          </cell>
          <cell r="AP78">
            <v>2850000</v>
          </cell>
          <cell r="AQ78"/>
          <cell r="AR78">
            <v>2850000</v>
          </cell>
          <cell r="AS78">
            <v>0</v>
          </cell>
          <cell r="AT78">
            <v>2850000</v>
          </cell>
          <cell r="AU78">
            <v>100000</v>
          </cell>
          <cell r="AV78">
            <v>2750000</v>
          </cell>
          <cell r="AW78">
            <v>0</v>
          </cell>
          <cell r="AX78">
            <v>2750000</v>
          </cell>
        </row>
        <row r="79">
          <cell r="G79" t="str">
            <v>AGM-01-006-013</v>
          </cell>
          <cell r="H79" t="str">
            <v xml:space="preserve">Raemulan Lands, Inc. </v>
          </cell>
          <cell r="I79" t="str">
            <v>Agapeya</v>
          </cell>
          <cell r="J79" t="str">
            <v>AGM</v>
          </cell>
          <cell r="K79" t="str">
            <v>Eco-High</v>
          </cell>
          <cell r="L79" t="str">
            <v>West</v>
          </cell>
          <cell r="M79" t="str">
            <v>With LTS - 2024</v>
          </cell>
          <cell r="N79" t="str">
            <v>YES</v>
          </cell>
          <cell r="O79" t="str">
            <v>YES</v>
          </cell>
          <cell r="P79" t="str">
            <v>Unaffected lots</v>
          </cell>
          <cell r="Q79" t="str">
            <v>YES</v>
          </cell>
          <cell r="R79">
            <v>70</v>
          </cell>
          <cell r="S79" t="str">
            <v>PCS-04-034407</v>
          </cell>
          <cell r="T79" t="str">
            <v>TCT-060-2024021362</v>
          </cell>
          <cell r="U79" t="b">
            <v>1</v>
          </cell>
          <cell r="V79" t="str">
            <v>Done</v>
          </cell>
          <cell r="W79" t="str">
            <v>2024 Batch</v>
          </cell>
          <cell r="X79" t="str">
            <v>2024 Batch</v>
          </cell>
          <cell r="Y79">
            <v>6</v>
          </cell>
          <cell r="Z79">
            <v>13</v>
          </cell>
          <cell r="AA79" t="str">
            <v>H+L</v>
          </cell>
          <cell r="AB79">
            <v>70</v>
          </cell>
          <cell r="AC79">
            <v>50</v>
          </cell>
          <cell r="AD79" t="str">
            <v>Flat</v>
          </cell>
          <cell r="AE79" t="str">
            <v>Duplex</v>
          </cell>
          <cell r="AF79" t="str">
            <v>326 - With Partition</v>
          </cell>
          <cell r="AG79" t="str">
            <v>With Partition</v>
          </cell>
          <cell r="AH79" t="str">
            <v>With Partition</v>
          </cell>
          <cell r="AI79" t="str">
            <v>PURPLE</v>
          </cell>
          <cell r="AJ79" t="str">
            <v>Flat / PURPLE</v>
          </cell>
          <cell r="AK79">
            <v>1050000</v>
          </cell>
          <cell r="AL79">
            <v>15000</v>
          </cell>
          <cell r="AM79">
            <v>1650000</v>
          </cell>
          <cell r="AN79">
            <v>33000</v>
          </cell>
          <cell r="AO79">
            <v>150000</v>
          </cell>
          <cell r="AP79">
            <v>2850000</v>
          </cell>
          <cell r="AQ79"/>
          <cell r="AR79">
            <v>2850000</v>
          </cell>
          <cell r="AS79">
            <v>0</v>
          </cell>
          <cell r="AT79">
            <v>2850000</v>
          </cell>
          <cell r="AU79">
            <v>100000</v>
          </cell>
          <cell r="AV79">
            <v>2750000</v>
          </cell>
          <cell r="AW79">
            <v>0</v>
          </cell>
          <cell r="AX79">
            <v>2750000</v>
          </cell>
        </row>
        <row r="80">
          <cell r="G80" t="str">
            <v>AGM-01-006-014</v>
          </cell>
          <cell r="H80" t="str">
            <v xml:space="preserve">Raemulan Lands, Inc. </v>
          </cell>
          <cell r="I80" t="str">
            <v>Agapeya</v>
          </cell>
          <cell r="J80" t="str">
            <v>AGM</v>
          </cell>
          <cell r="K80" t="str">
            <v>Eco-High</v>
          </cell>
          <cell r="L80" t="str">
            <v>West</v>
          </cell>
          <cell r="M80" t="str">
            <v>With LTS - 2024</v>
          </cell>
          <cell r="N80" t="str">
            <v>YES</v>
          </cell>
          <cell r="O80" t="str">
            <v>YES</v>
          </cell>
          <cell r="P80" t="str">
            <v>Unaffected lots</v>
          </cell>
          <cell r="Q80" t="str">
            <v>YES</v>
          </cell>
          <cell r="R80">
            <v>70</v>
          </cell>
          <cell r="S80" t="str">
            <v>PCS-04-034407</v>
          </cell>
          <cell r="T80" t="str">
            <v>TCT-060-2024021363</v>
          </cell>
          <cell r="U80" t="b">
            <v>1</v>
          </cell>
          <cell r="V80" t="str">
            <v>Done</v>
          </cell>
          <cell r="W80" t="str">
            <v>2024 Batch</v>
          </cell>
          <cell r="X80" t="str">
            <v>2024 Batch</v>
          </cell>
          <cell r="Y80">
            <v>6</v>
          </cell>
          <cell r="Z80">
            <v>14</v>
          </cell>
          <cell r="AA80" t="str">
            <v>H+L</v>
          </cell>
          <cell r="AB80">
            <v>70</v>
          </cell>
          <cell r="AC80">
            <v>50</v>
          </cell>
          <cell r="AD80" t="str">
            <v>Flat</v>
          </cell>
          <cell r="AE80" t="str">
            <v>Duplex</v>
          </cell>
          <cell r="AF80" t="str">
            <v>326 - With Partition</v>
          </cell>
          <cell r="AG80" t="str">
            <v>With Partition</v>
          </cell>
          <cell r="AH80" t="str">
            <v>With Partition</v>
          </cell>
          <cell r="AI80" t="str">
            <v>PINK</v>
          </cell>
          <cell r="AJ80" t="str">
            <v>Flat / PINK</v>
          </cell>
          <cell r="AK80">
            <v>1050000</v>
          </cell>
          <cell r="AL80">
            <v>15000</v>
          </cell>
          <cell r="AM80">
            <v>1650000</v>
          </cell>
          <cell r="AN80">
            <v>33000</v>
          </cell>
          <cell r="AO80">
            <v>150000</v>
          </cell>
          <cell r="AP80">
            <v>2850000</v>
          </cell>
          <cell r="AQ80"/>
          <cell r="AR80">
            <v>2850000</v>
          </cell>
          <cell r="AS80">
            <v>0</v>
          </cell>
          <cell r="AT80">
            <v>2850000</v>
          </cell>
          <cell r="AU80">
            <v>100000</v>
          </cell>
          <cell r="AV80">
            <v>2750000</v>
          </cell>
          <cell r="AW80">
            <v>0</v>
          </cell>
          <cell r="AX80">
            <v>2750000</v>
          </cell>
        </row>
        <row r="81">
          <cell r="G81" t="str">
            <v>AGM-01-006-015</v>
          </cell>
          <cell r="H81" t="str">
            <v xml:space="preserve">Raemulan Lands, Inc. </v>
          </cell>
          <cell r="I81" t="str">
            <v>Agapeya</v>
          </cell>
          <cell r="J81" t="str">
            <v>AGM</v>
          </cell>
          <cell r="K81" t="str">
            <v>Eco-High</v>
          </cell>
          <cell r="L81" t="str">
            <v>West</v>
          </cell>
          <cell r="M81" t="str">
            <v>With LTS - 2024</v>
          </cell>
          <cell r="N81" t="str">
            <v>YES</v>
          </cell>
          <cell r="O81" t="str">
            <v>YES</v>
          </cell>
          <cell r="P81" t="str">
            <v>Unaffected lots</v>
          </cell>
          <cell r="Q81" t="str">
            <v>YES</v>
          </cell>
          <cell r="R81">
            <v>70</v>
          </cell>
          <cell r="S81" t="str">
            <v>PCS-04-034407</v>
          </cell>
          <cell r="T81" t="str">
            <v>TCT-060-2024021364</v>
          </cell>
          <cell r="U81" t="b">
            <v>1</v>
          </cell>
          <cell r="V81" t="str">
            <v>Done</v>
          </cell>
          <cell r="W81" t="str">
            <v>2024 Batch</v>
          </cell>
          <cell r="X81" t="str">
            <v>2024 Batch</v>
          </cell>
          <cell r="Y81">
            <v>6</v>
          </cell>
          <cell r="Z81">
            <v>15</v>
          </cell>
          <cell r="AA81" t="str">
            <v>H+L</v>
          </cell>
          <cell r="AB81">
            <v>70</v>
          </cell>
          <cell r="AC81">
            <v>50</v>
          </cell>
          <cell r="AD81" t="str">
            <v>Slant</v>
          </cell>
          <cell r="AE81" t="str">
            <v>Duplex</v>
          </cell>
          <cell r="AF81" t="str">
            <v>326 - With Partition</v>
          </cell>
          <cell r="AG81" t="str">
            <v xml:space="preserve">Without Partition </v>
          </cell>
          <cell r="AH81" t="str">
            <v>With Partition</v>
          </cell>
          <cell r="AI81" t="str">
            <v>PINK</v>
          </cell>
          <cell r="AJ81" t="str">
            <v>Slant / PINK</v>
          </cell>
          <cell r="AK81">
            <v>1050000</v>
          </cell>
          <cell r="AL81">
            <v>15000</v>
          </cell>
          <cell r="AM81">
            <v>1650000</v>
          </cell>
          <cell r="AN81">
            <v>33000</v>
          </cell>
          <cell r="AO81">
            <v>150000</v>
          </cell>
          <cell r="AP81">
            <v>2850000</v>
          </cell>
          <cell r="AQ81"/>
          <cell r="AR81">
            <v>2850000</v>
          </cell>
          <cell r="AS81">
            <v>0</v>
          </cell>
          <cell r="AT81">
            <v>2850000</v>
          </cell>
          <cell r="AU81">
            <v>100000</v>
          </cell>
          <cell r="AV81">
            <v>2750000</v>
          </cell>
          <cell r="AW81">
            <v>0</v>
          </cell>
          <cell r="AX81">
            <v>2750000</v>
          </cell>
        </row>
        <row r="82">
          <cell r="G82" t="str">
            <v>AGM-01-006-016</v>
          </cell>
          <cell r="H82" t="str">
            <v xml:space="preserve">Raemulan Lands, Inc. </v>
          </cell>
          <cell r="I82" t="str">
            <v>Agapeya</v>
          </cell>
          <cell r="J82" t="str">
            <v>AGM</v>
          </cell>
          <cell r="K82" t="str">
            <v>Eco-High</v>
          </cell>
          <cell r="L82" t="str">
            <v>West</v>
          </cell>
          <cell r="M82" t="str">
            <v>With LTS - 2024</v>
          </cell>
          <cell r="N82" t="str">
            <v>YES</v>
          </cell>
          <cell r="O82" t="str">
            <v>YES</v>
          </cell>
          <cell r="P82" t="str">
            <v>Unaffected lots</v>
          </cell>
          <cell r="Q82" t="str">
            <v>YES</v>
          </cell>
          <cell r="R82">
            <v>70</v>
          </cell>
          <cell r="S82" t="str">
            <v>PCS-04-034407</v>
          </cell>
          <cell r="T82" t="str">
            <v>TCT-060-2024021365</v>
          </cell>
          <cell r="U82" t="b">
            <v>1</v>
          </cell>
          <cell r="V82" t="str">
            <v>Done</v>
          </cell>
          <cell r="W82" t="str">
            <v>2024 Batch</v>
          </cell>
          <cell r="X82" t="str">
            <v>2024 Batch</v>
          </cell>
          <cell r="Y82">
            <v>6</v>
          </cell>
          <cell r="Z82">
            <v>16</v>
          </cell>
          <cell r="AA82" t="str">
            <v>H+L</v>
          </cell>
          <cell r="AB82">
            <v>70</v>
          </cell>
          <cell r="AC82">
            <v>50</v>
          </cell>
          <cell r="AD82" t="str">
            <v>Slant</v>
          </cell>
          <cell r="AE82" t="str">
            <v>Duplex</v>
          </cell>
          <cell r="AF82" t="str">
            <v>326 - With Partition</v>
          </cell>
          <cell r="AG82" t="str">
            <v xml:space="preserve">Without Partition </v>
          </cell>
          <cell r="AH82" t="str">
            <v xml:space="preserve">Without Partition </v>
          </cell>
          <cell r="AI82" t="str">
            <v>PINK</v>
          </cell>
          <cell r="AJ82" t="str">
            <v>Slant / PINK</v>
          </cell>
          <cell r="AK82">
            <v>1050000</v>
          </cell>
          <cell r="AL82">
            <v>15000</v>
          </cell>
          <cell r="AM82">
            <v>1650000</v>
          </cell>
          <cell r="AN82">
            <v>33000</v>
          </cell>
          <cell r="AO82">
            <v>150000</v>
          </cell>
          <cell r="AP82">
            <v>2850000</v>
          </cell>
          <cell r="AQ82"/>
          <cell r="AR82">
            <v>2850000</v>
          </cell>
          <cell r="AS82">
            <v>200000</v>
          </cell>
          <cell r="AT82">
            <v>2650000</v>
          </cell>
          <cell r="AU82">
            <v>100000</v>
          </cell>
          <cell r="AV82">
            <v>2550000</v>
          </cell>
          <cell r="AW82">
            <v>0</v>
          </cell>
          <cell r="AX82">
            <v>2550000</v>
          </cell>
        </row>
        <row r="83">
          <cell r="G83" t="str">
            <v>AGM-01-006-017</v>
          </cell>
          <cell r="H83" t="str">
            <v xml:space="preserve">Raemulan Lands, Inc. </v>
          </cell>
          <cell r="I83" t="str">
            <v>Agapeya</v>
          </cell>
          <cell r="J83" t="str">
            <v>AGM</v>
          </cell>
          <cell r="K83" t="str">
            <v>Eco-High</v>
          </cell>
          <cell r="L83" t="str">
            <v>West</v>
          </cell>
          <cell r="M83" t="str">
            <v>With LTS - 2024</v>
          </cell>
          <cell r="N83" t="str">
            <v>YES</v>
          </cell>
          <cell r="O83" t="str">
            <v>YES</v>
          </cell>
          <cell r="P83" t="str">
            <v>Unaffected lots</v>
          </cell>
          <cell r="Q83" t="str">
            <v>YES</v>
          </cell>
          <cell r="R83">
            <v>70</v>
          </cell>
          <cell r="S83" t="str">
            <v>PCS-04-034407</v>
          </cell>
          <cell r="T83" t="str">
            <v>TCT-060-2024021366</v>
          </cell>
          <cell r="U83" t="b">
            <v>1</v>
          </cell>
          <cell r="V83" t="str">
            <v>Done</v>
          </cell>
          <cell r="W83" t="str">
            <v>2024 Batch</v>
          </cell>
          <cell r="X83" t="str">
            <v>2024 Batch</v>
          </cell>
          <cell r="Y83">
            <v>6</v>
          </cell>
          <cell r="Z83">
            <v>17</v>
          </cell>
          <cell r="AA83" t="str">
            <v>H+L</v>
          </cell>
          <cell r="AB83">
            <v>70</v>
          </cell>
          <cell r="AC83">
            <v>50</v>
          </cell>
          <cell r="AD83" t="str">
            <v>Flat</v>
          </cell>
          <cell r="AE83" t="str">
            <v>Duplex</v>
          </cell>
          <cell r="AF83" t="str">
            <v>326 - With Partition</v>
          </cell>
          <cell r="AG83" t="str">
            <v xml:space="preserve">Without Partition </v>
          </cell>
          <cell r="AH83" t="str">
            <v xml:space="preserve">Without Partition </v>
          </cell>
          <cell r="AI83" t="str">
            <v>PINK</v>
          </cell>
          <cell r="AJ83" t="str">
            <v>Flat / PINK</v>
          </cell>
          <cell r="AK83">
            <v>1050000</v>
          </cell>
          <cell r="AL83">
            <v>15000</v>
          </cell>
          <cell r="AM83">
            <v>1650000</v>
          </cell>
          <cell r="AN83">
            <v>33000</v>
          </cell>
          <cell r="AO83">
            <v>150000</v>
          </cell>
          <cell r="AP83">
            <v>2850000</v>
          </cell>
          <cell r="AQ83"/>
          <cell r="AR83">
            <v>2850000</v>
          </cell>
          <cell r="AS83">
            <v>200000</v>
          </cell>
          <cell r="AT83">
            <v>2650000</v>
          </cell>
          <cell r="AU83">
            <v>100000</v>
          </cell>
          <cell r="AV83">
            <v>2550000</v>
          </cell>
          <cell r="AW83">
            <v>0</v>
          </cell>
          <cell r="AX83">
            <v>2550000</v>
          </cell>
        </row>
        <row r="84">
          <cell r="G84" t="str">
            <v>AGM-01-006-018</v>
          </cell>
          <cell r="H84" t="str">
            <v xml:space="preserve">Raemulan Lands, Inc. </v>
          </cell>
          <cell r="I84" t="str">
            <v>Agapeya</v>
          </cell>
          <cell r="J84" t="str">
            <v>AGM</v>
          </cell>
          <cell r="K84" t="str">
            <v>Eco-High</v>
          </cell>
          <cell r="L84" t="str">
            <v>West</v>
          </cell>
          <cell r="M84" t="str">
            <v>With LTS - 2024</v>
          </cell>
          <cell r="N84" t="str">
            <v>YES</v>
          </cell>
          <cell r="O84" t="str">
            <v>YES</v>
          </cell>
          <cell r="P84" t="str">
            <v>Unaffected lots</v>
          </cell>
          <cell r="Q84" t="str">
            <v>YES</v>
          </cell>
          <cell r="R84">
            <v>70</v>
          </cell>
          <cell r="S84" t="str">
            <v>PCS-04-034407</v>
          </cell>
          <cell r="T84" t="str">
            <v>TCT-060-2024021367</v>
          </cell>
          <cell r="U84" t="b">
            <v>1</v>
          </cell>
          <cell r="V84" t="str">
            <v>Done</v>
          </cell>
          <cell r="W84" t="str">
            <v>2024 Batch</v>
          </cell>
          <cell r="X84" t="str">
            <v>2024 Batch</v>
          </cell>
          <cell r="Y84">
            <v>6</v>
          </cell>
          <cell r="Z84">
            <v>18</v>
          </cell>
          <cell r="AA84" t="str">
            <v>H+L</v>
          </cell>
          <cell r="AB84">
            <v>70</v>
          </cell>
          <cell r="AC84">
            <v>50</v>
          </cell>
          <cell r="AD84" t="str">
            <v>Flat</v>
          </cell>
          <cell r="AE84" t="str">
            <v>Duplex</v>
          </cell>
          <cell r="AF84" t="str">
            <v>326 - With Partition</v>
          </cell>
          <cell r="AG84" t="str">
            <v xml:space="preserve">Without Partition </v>
          </cell>
          <cell r="AH84" t="str">
            <v xml:space="preserve">Without Partition </v>
          </cell>
          <cell r="AI84" t="str">
            <v>YELLOW</v>
          </cell>
          <cell r="AJ84" t="str">
            <v>Flat / YELLOW</v>
          </cell>
          <cell r="AK84">
            <v>1050000</v>
          </cell>
          <cell r="AL84">
            <v>15000</v>
          </cell>
          <cell r="AM84">
            <v>1650000</v>
          </cell>
          <cell r="AN84">
            <v>33000</v>
          </cell>
          <cell r="AO84">
            <v>150000</v>
          </cell>
          <cell r="AP84">
            <v>2850000</v>
          </cell>
          <cell r="AQ84"/>
          <cell r="AR84">
            <v>2850000</v>
          </cell>
          <cell r="AS84">
            <v>200000</v>
          </cell>
          <cell r="AT84">
            <v>2650000</v>
          </cell>
          <cell r="AU84">
            <v>100000</v>
          </cell>
          <cell r="AV84">
            <v>2550000</v>
          </cell>
          <cell r="AW84">
            <v>0</v>
          </cell>
          <cell r="AX84">
            <v>2550000</v>
          </cell>
        </row>
        <row r="85">
          <cell r="G85" t="str">
            <v>AGM-01-006-019</v>
          </cell>
          <cell r="H85" t="str">
            <v xml:space="preserve">Raemulan Lands, Inc. </v>
          </cell>
          <cell r="I85" t="str">
            <v>Agapeya</v>
          </cell>
          <cell r="J85" t="str">
            <v>AGM</v>
          </cell>
          <cell r="K85" t="str">
            <v>Eco-High</v>
          </cell>
          <cell r="L85" t="str">
            <v>West</v>
          </cell>
          <cell r="M85" t="str">
            <v>With LTS - 2024</v>
          </cell>
          <cell r="N85" t="str">
            <v>YES</v>
          </cell>
          <cell r="O85" t="str">
            <v>YES</v>
          </cell>
          <cell r="P85" t="str">
            <v>Unaffected lots</v>
          </cell>
          <cell r="Q85" t="str">
            <v>YES</v>
          </cell>
          <cell r="R85">
            <v>70</v>
          </cell>
          <cell r="S85" t="str">
            <v>PCS-04-034407</v>
          </cell>
          <cell r="T85" t="str">
            <v>TCT-060-2024021368</v>
          </cell>
          <cell r="U85" t="b">
            <v>1</v>
          </cell>
          <cell r="V85" t="str">
            <v>Done</v>
          </cell>
          <cell r="W85" t="str">
            <v>2024 Batch</v>
          </cell>
          <cell r="X85" t="str">
            <v>2024 Batch</v>
          </cell>
          <cell r="Y85">
            <v>6</v>
          </cell>
          <cell r="Z85">
            <v>19</v>
          </cell>
          <cell r="AA85" t="str">
            <v>H+L</v>
          </cell>
          <cell r="AB85">
            <v>70</v>
          </cell>
          <cell r="AC85">
            <v>50</v>
          </cell>
          <cell r="AD85" t="str">
            <v>Slant</v>
          </cell>
          <cell r="AE85" t="str">
            <v>Duplex</v>
          </cell>
          <cell r="AF85" t="str">
            <v>326 - With Partition</v>
          </cell>
          <cell r="AG85" t="str">
            <v xml:space="preserve">Without Partition </v>
          </cell>
          <cell r="AH85" t="str">
            <v>With Partition</v>
          </cell>
          <cell r="AI85" t="str">
            <v>YELLOW</v>
          </cell>
          <cell r="AJ85" t="str">
            <v>Slant / YELLOW</v>
          </cell>
          <cell r="AK85">
            <v>1050000</v>
          </cell>
          <cell r="AL85">
            <v>15000</v>
          </cell>
          <cell r="AM85">
            <v>1650000</v>
          </cell>
          <cell r="AN85">
            <v>33000</v>
          </cell>
          <cell r="AO85">
            <v>150000</v>
          </cell>
          <cell r="AP85">
            <v>2850000</v>
          </cell>
          <cell r="AQ85"/>
          <cell r="AR85">
            <v>2850000</v>
          </cell>
          <cell r="AS85">
            <v>0</v>
          </cell>
          <cell r="AT85">
            <v>2850000</v>
          </cell>
          <cell r="AU85">
            <v>100000</v>
          </cell>
          <cell r="AV85">
            <v>2750000</v>
          </cell>
          <cell r="AW85">
            <v>0</v>
          </cell>
          <cell r="AX85">
            <v>2750000</v>
          </cell>
        </row>
        <row r="86">
          <cell r="G86" t="str">
            <v>AGM-01-006-020</v>
          </cell>
          <cell r="H86" t="str">
            <v xml:space="preserve">Raemulan Lands, Inc. </v>
          </cell>
          <cell r="I86" t="str">
            <v>Agapeya</v>
          </cell>
          <cell r="J86" t="str">
            <v>AGM</v>
          </cell>
          <cell r="K86" t="str">
            <v>Eco-High</v>
          </cell>
          <cell r="L86" t="str">
            <v>West</v>
          </cell>
          <cell r="M86" t="str">
            <v>With LTS - 2024</v>
          </cell>
          <cell r="N86" t="str">
            <v>YES</v>
          </cell>
          <cell r="O86" t="str">
            <v>YES</v>
          </cell>
          <cell r="P86" t="str">
            <v>Unaffected lots</v>
          </cell>
          <cell r="Q86" t="str">
            <v>YES</v>
          </cell>
          <cell r="R86">
            <v>70</v>
          </cell>
          <cell r="S86" t="str">
            <v>PCS-04-034407</v>
          </cell>
          <cell r="T86" t="str">
            <v>TCT-060-2024021369</v>
          </cell>
          <cell r="U86" t="b">
            <v>1</v>
          </cell>
          <cell r="V86" t="str">
            <v>Done</v>
          </cell>
          <cell r="W86" t="str">
            <v>2024 Batch</v>
          </cell>
          <cell r="X86" t="str">
            <v>2024 Batch</v>
          </cell>
          <cell r="Y86">
            <v>6</v>
          </cell>
          <cell r="Z86">
            <v>20</v>
          </cell>
          <cell r="AA86" t="str">
            <v>H+L</v>
          </cell>
          <cell r="AB86">
            <v>70</v>
          </cell>
          <cell r="AC86">
            <v>50</v>
          </cell>
          <cell r="AD86" t="str">
            <v>Slant</v>
          </cell>
          <cell r="AE86" t="str">
            <v>Duplex</v>
          </cell>
          <cell r="AF86" t="str">
            <v>326 - With Partition</v>
          </cell>
          <cell r="AG86" t="str">
            <v>With Partition</v>
          </cell>
          <cell r="AH86" t="str">
            <v>With Partition</v>
          </cell>
          <cell r="AI86" t="str">
            <v>YELLOW</v>
          </cell>
          <cell r="AJ86" t="str">
            <v>Slant / YELLOW</v>
          </cell>
          <cell r="AK86">
            <v>1050000</v>
          </cell>
          <cell r="AL86">
            <v>15000</v>
          </cell>
          <cell r="AM86">
            <v>1650000</v>
          </cell>
          <cell r="AN86">
            <v>33000</v>
          </cell>
          <cell r="AO86">
            <v>150000</v>
          </cell>
          <cell r="AP86">
            <v>2850000</v>
          </cell>
          <cell r="AQ86"/>
          <cell r="AR86">
            <v>2850000</v>
          </cell>
          <cell r="AS86">
            <v>0</v>
          </cell>
          <cell r="AT86">
            <v>2850000</v>
          </cell>
          <cell r="AU86">
            <v>100000</v>
          </cell>
          <cell r="AV86">
            <v>2750000</v>
          </cell>
          <cell r="AW86">
            <v>0</v>
          </cell>
          <cell r="AX86">
            <v>2750000</v>
          </cell>
        </row>
        <row r="87">
          <cell r="G87" t="str">
            <v>AGM-01-006-021</v>
          </cell>
          <cell r="H87" t="str">
            <v xml:space="preserve">Raemulan Lands, Inc. </v>
          </cell>
          <cell r="I87" t="str">
            <v>Agapeya</v>
          </cell>
          <cell r="J87" t="str">
            <v>AGM</v>
          </cell>
          <cell r="K87" t="str">
            <v>Eco-High</v>
          </cell>
          <cell r="L87" t="str">
            <v>West</v>
          </cell>
          <cell r="M87" t="str">
            <v>With LTS - 2024</v>
          </cell>
          <cell r="N87" t="str">
            <v>YES</v>
          </cell>
          <cell r="O87" t="str">
            <v>YES</v>
          </cell>
          <cell r="P87" t="str">
            <v>Unaffected lots</v>
          </cell>
          <cell r="Q87" t="str">
            <v>YES</v>
          </cell>
          <cell r="R87">
            <v>78</v>
          </cell>
          <cell r="S87" t="str">
            <v>PCS-04-034407</v>
          </cell>
          <cell r="T87" t="str">
            <v>TCT-060-2024021370</v>
          </cell>
          <cell r="U87" t="b">
            <v>1</v>
          </cell>
          <cell r="V87" t="str">
            <v>Done</v>
          </cell>
          <cell r="W87" t="str">
            <v>2024 Batch</v>
          </cell>
          <cell r="X87" t="str">
            <v>2024 Batch</v>
          </cell>
          <cell r="Y87">
            <v>6</v>
          </cell>
          <cell r="Z87">
            <v>21</v>
          </cell>
          <cell r="AA87" t="str">
            <v>H+L</v>
          </cell>
          <cell r="AB87">
            <v>78</v>
          </cell>
          <cell r="AC87">
            <v>50</v>
          </cell>
          <cell r="AD87" t="str">
            <v>Flat</v>
          </cell>
          <cell r="AE87" t="str">
            <v>Duplex</v>
          </cell>
          <cell r="AF87" t="str">
            <v>326 - With Partition</v>
          </cell>
          <cell r="AG87" t="str">
            <v xml:space="preserve">Without Partition </v>
          </cell>
          <cell r="AH87" t="str">
            <v xml:space="preserve">Without Partition </v>
          </cell>
          <cell r="AI87" t="str">
            <v>YELLOW</v>
          </cell>
          <cell r="AJ87" t="str">
            <v>Flat / YELLOW</v>
          </cell>
          <cell r="AK87">
            <v>1170000</v>
          </cell>
          <cell r="AL87">
            <v>15000</v>
          </cell>
          <cell r="AM87">
            <v>1650000</v>
          </cell>
          <cell r="AN87">
            <v>33000</v>
          </cell>
          <cell r="AO87">
            <v>150000</v>
          </cell>
          <cell r="AP87">
            <v>2970000</v>
          </cell>
          <cell r="AQ87"/>
          <cell r="AR87">
            <v>2970000</v>
          </cell>
          <cell r="AS87">
            <v>200000</v>
          </cell>
          <cell r="AT87">
            <v>2770000</v>
          </cell>
          <cell r="AU87">
            <v>100000</v>
          </cell>
          <cell r="AV87">
            <v>2670000</v>
          </cell>
          <cell r="AW87">
            <v>0</v>
          </cell>
          <cell r="AX87">
            <v>2670000</v>
          </cell>
        </row>
        <row r="88">
          <cell r="G88" t="str">
            <v>AGM-01-006-022</v>
          </cell>
          <cell r="H88" t="str">
            <v xml:space="preserve">Raemulan Lands, Inc. </v>
          </cell>
          <cell r="I88" t="str">
            <v>Agapeya</v>
          </cell>
          <cell r="J88" t="str">
            <v>AGM</v>
          </cell>
          <cell r="K88" t="str">
            <v>Eco-High</v>
          </cell>
          <cell r="L88" t="str">
            <v>West</v>
          </cell>
          <cell r="M88" t="str">
            <v>With LTS - 2024</v>
          </cell>
          <cell r="N88" t="str">
            <v>YES</v>
          </cell>
          <cell r="O88" t="str">
            <v>YES</v>
          </cell>
          <cell r="P88" t="str">
            <v>Unaffected lots</v>
          </cell>
          <cell r="Q88" t="str">
            <v>YES</v>
          </cell>
          <cell r="R88">
            <v>78</v>
          </cell>
          <cell r="S88" t="str">
            <v>PCS-04-034407</v>
          </cell>
          <cell r="T88" t="str">
            <v>TCT-060-2024021371</v>
          </cell>
          <cell r="U88" t="b">
            <v>1</v>
          </cell>
          <cell r="V88" t="str">
            <v>Done</v>
          </cell>
          <cell r="W88" t="str">
            <v>2024 Batch</v>
          </cell>
          <cell r="X88" t="str">
            <v>2024 Batch</v>
          </cell>
          <cell r="Y88">
            <v>6</v>
          </cell>
          <cell r="Z88">
            <v>22</v>
          </cell>
          <cell r="AA88" t="str">
            <v>H+L</v>
          </cell>
          <cell r="AB88">
            <v>78</v>
          </cell>
          <cell r="AC88">
            <v>50</v>
          </cell>
          <cell r="AD88" t="str">
            <v>Slant</v>
          </cell>
          <cell r="AE88" t="str">
            <v>Duplex</v>
          </cell>
          <cell r="AF88" t="str">
            <v>326 - With Partition</v>
          </cell>
          <cell r="AG88" t="str">
            <v xml:space="preserve">Without Partition </v>
          </cell>
          <cell r="AH88" t="str">
            <v xml:space="preserve">With Partition </v>
          </cell>
          <cell r="AI88" t="str">
            <v>GREEN</v>
          </cell>
          <cell r="AJ88" t="str">
            <v>Slant / GREEN</v>
          </cell>
          <cell r="AK88">
            <v>1170000</v>
          </cell>
          <cell r="AL88">
            <v>15000</v>
          </cell>
          <cell r="AM88">
            <v>1650000</v>
          </cell>
          <cell r="AN88">
            <v>33000</v>
          </cell>
          <cell r="AO88">
            <v>150000</v>
          </cell>
          <cell r="AP88">
            <v>2970000</v>
          </cell>
          <cell r="AQ88"/>
          <cell r="AR88">
            <v>2970000</v>
          </cell>
          <cell r="AS88">
            <v>200000</v>
          </cell>
          <cell r="AT88">
            <v>2770000</v>
          </cell>
          <cell r="AU88">
            <v>100000</v>
          </cell>
          <cell r="AV88">
            <v>2670000</v>
          </cell>
          <cell r="AW88">
            <v>0</v>
          </cell>
          <cell r="AX88">
            <v>2670000</v>
          </cell>
        </row>
        <row r="89">
          <cell r="G89" t="str">
            <v>AGM-01-006-023</v>
          </cell>
          <cell r="H89" t="str">
            <v xml:space="preserve">Raemulan Lands, Inc. </v>
          </cell>
          <cell r="I89" t="str">
            <v>Agapeya</v>
          </cell>
          <cell r="J89" t="str">
            <v>AGM</v>
          </cell>
          <cell r="K89" t="str">
            <v>Eco-High</v>
          </cell>
          <cell r="L89" t="str">
            <v>West</v>
          </cell>
          <cell r="M89" t="str">
            <v>With LTS - 2024</v>
          </cell>
          <cell r="N89" t="str">
            <v>YES</v>
          </cell>
          <cell r="O89" t="str">
            <v>YES</v>
          </cell>
          <cell r="P89" t="str">
            <v>Unaffected lots</v>
          </cell>
          <cell r="Q89" t="str">
            <v>YES</v>
          </cell>
          <cell r="R89">
            <v>70</v>
          </cell>
          <cell r="S89" t="str">
            <v>PCS-04-034407</v>
          </cell>
          <cell r="T89" t="str">
            <v>TCT-060-2024021372</v>
          </cell>
          <cell r="U89" t="b">
            <v>1</v>
          </cell>
          <cell r="V89" t="str">
            <v>Done</v>
          </cell>
          <cell r="W89" t="str">
            <v>2024 Batch</v>
          </cell>
          <cell r="X89" t="str">
            <v>2024 Batch</v>
          </cell>
          <cell r="Y89">
            <v>6</v>
          </cell>
          <cell r="Z89">
            <v>23</v>
          </cell>
          <cell r="AA89" t="str">
            <v>H+L</v>
          </cell>
          <cell r="AB89">
            <v>70</v>
          </cell>
          <cell r="AC89">
            <v>50</v>
          </cell>
          <cell r="AD89" t="str">
            <v>Flat</v>
          </cell>
          <cell r="AE89" t="str">
            <v>Duplex</v>
          </cell>
          <cell r="AF89" t="str">
            <v>326 - With Partition</v>
          </cell>
          <cell r="AG89" t="str">
            <v>With Partition</v>
          </cell>
          <cell r="AH89" t="str">
            <v>With Partition</v>
          </cell>
          <cell r="AI89" t="str">
            <v>GREEN</v>
          </cell>
          <cell r="AJ89" t="str">
            <v>Flat / GREEN</v>
          </cell>
          <cell r="AK89">
            <v>1050000</v>
          </cell>
          <cell r="AL89">
            <v>15000</v>
          </cell>
          <cell r="AM89">
            <v>1650000</v>
          </cell>
          <cell r="AN89">
            <v>33000</v>
          </cell>
          <cell r="AO89">
            <v>150000</v>
          </cell>
          <cell r="AP89">
            <v>2850000</v>
          </cell>
          <cell r="AQ89"/>
          <cell r="AR89">
            <v>2850000</v>
          </cell>
          <cell r="AS89">
            <v>0</v>
          </cell>
          <cell r="AT89">
            <v>2850000</v>
          </cell>
          <cell r="AU89">
            <v>100000</v>
          </cell>
          <cell r="AV89">
            <v>2750000</v>
          </cell>
          <cell r="AW89">
            <v>0</v>
          </cell>
          <cell r="AX89">
            <v>2750000</v>
          </cell>
        </row>
        <row r="90">
          <cell r="G90" t="str">
            <v>AGM-01-006-024</v>
          </cell>
          <cell r="H90" t="str">
            <v xml:space="preserve">Raemulan Lands, Inc. </v>
          </cell>
          <cell r="I90" t="str">
            <v>Agapeya</v>
          </cell>
          <cell r="J90" t="str">
            <v>AGM</v>
          </cell>
          <cell r="K90" t="str">
            <v>Eco-High</v>
          </cell>
          <cell r="L90" t="str">
            <v>West</v>
          </cell>
          <cell r="M90" t="str">
            <v>With LTS - 2024</v>
          </cell>
          <cell r="N90" t="str">
            <v>YES</v>
          </cell>
          <cell r="O90" t="str">
            <v>YES</v>
          </cell>
          <cell r="P90" t="str">
            <v>Unaffected lots</v>
          </cell>
          <cell r="Q90" t="str">
            <v>YES</v>
          </cell>
          <cell r="R90">
            <v>70</v>
          </cell>
          <cell r="S90" t="str">
            <v>PCS-04-034407</v>
          </cell>
          <cell r="T90" t="str">
            <v>TCT-060-2024021373</v>
          </cell>
          <cell r="U90" t="b">
            <v>1</v>
          </cell>
          <cell r="V90" t="str">
            <v>Done</v>
          </cell>
          <cell r="W90" t="str">
            <v>2024 Batch</v>
          </cell>
          <cell r="X90" t="str">
            <v>2024 Batch</v>
          </cell>
          <cell r="Y90">
            <v>6</v>
          </cell>
          <cell r="Z90">
            <v>24</v>
          </cell>
          <cell r="AA90" t="str">
            <v>H+L</v>
          </cell>
          <cell r="AB90">
            <v>70</v>
          </cell>
          <cell r="AC90">
            <v>50</v>
          </cell>
          <cell r="AD90" t="str">
            <v>Flat</v>
          </cell>
          <cell r="AE90" t="str">
            <v>Duplex</v>
          </cell>
          <cell r="AF90" t="str">
            <v>326 - With Partition</v>
          </cell>
          <cell r="AG90" t="str">
            <v>With Partition</v>
          </cell>
          <cell r="AH90" t="str">
            <v>With Partition</v>
          </cell>
          <cell r="AI90" t="str">
            <v>GREEN</v>
          </cell>
          <cell r="AJ90" t="str">
            <v>Flat / GREEN</v>
          </cell>
          <cell r="AK90">
            <v>1050000</v>
          </cell>
          <cell r="AL90">
            <v>15000</v>
          </cell>
          <cell r="AM90">
            <v>1650000</v>
          </cell>
          <cell r="AN90">
            <v>33000</v>
          </cell>
          <cell r="AO90">
            <v>150000</v>
          </cell>
          <cell r="AP90">
            <v>2850000</v>
          </cell>
          <cell r="AQ90"/>
          <cell r="AR90">
            <v>2850000</v>
          </cell>
          <cell r="AS90">
            <v>0</v>
          </cell>
          <cell r="AT90">
            <v>2850000</v>
          </cell>
          <cell r="AU90">
            <v>100000</v>
          </cell>
          <cell r="AV90">
            <v>2750000</v>
          </cell>
          <cell r="AW90">
            <v>0</v>
          </cell>
          <cell r="AX90">
            <v>2750000</v>
          </cell>
        </row>
        <row r="91">
          <cell r="G91" t="str">
            <v>AGM-01-006-025</v>
          </cell>
          <cell r="H91" t="str">
            <v xml:space="preserve">Raemulan Lands, Inc. </v>
          </cell>
          <cell r="I91" t="str">
            <v>Agapeya</v>
          </cell>
          <cell r="J91" t="str">
            <v>AGM</v>
          </cell>
          <cell r="K91" t="str">
            <v>Eco-High</v>
          </cell>
          <cell r="L91" t="str">
            <v>West</v>
          </cell>
          <cell r="M91" t="str">
            <v>With LTS - 2024</v>
          </cell>
          <cell r="N91" t="str">
            <v>YES</v>
          </cell>
          <cell r="O91" t="str">
            <v>YES</v>
          </cell>
          <cell r="P91" t="str">
            <v>Unaffected lots</v>
          </cell>
          <cell r="Q91" t="str">
            <v>YES</v>
          </cell>
          <cell r="R91">
            <v>70</v>
          </cell>
          <cell r="S91" t="str">
            <v>PCS-04-034407</v>
          </cell>
          <cell r="T91" t="str">
            <v>TCT-060-2024021374</v>
          </cell>
          <cell r="U91" t="b">
            <v>1</v>
          </cell>
          <cell r="V91" t="str">
            <v>Done</v>
          </cell>
          <cell r="W91" t="str">
            <v>2024 Batch</v>
          </cell>
          <cell r="X91" t="str">
            <v>2024 Batch</v>
          </cell>
          <cell r="Y91">
            <v>6</v>
          </cell>
          <cell r="Z91">
            <v>25</v>
          </cell>
          <cell r="AA91" t="str">
            <v>H+L</v>
          </cell>
          <cell r="AB91">
            <v>70</v>
          </cell>
          <cell r="AC91">
            <v>50</v>
          </cell>
          <cell r="AD91" t="str">
            <v>Slant</v>
          </cell>
          <cell r="AE91" t="str">
            <v>Duplex</v>
          </cell>
          <cell r="AF91" t="str">
            <v>326 - With Partition</v>
          </cell>
          <cell r="AG91" t="str">
            <v xml:space="preserve">Without Partition </v>
          </cell>
          <cell r="AH91" t="str">
            <v xml:space="preserve">Without Partition </v>
          </cell>
          <cell r="AI91" t="str">
            <v>GREEN</v>
          </cell>
          <cell r="AJ91" t="str">
            <v>Slant / GREEN</v>
          </cell>
          <cell r="AK91">
            <v>1050000</v>
          </cell>
          <cell r="AL91">
            <v>15000</v>
          </cell>
          <cell r="AM91">
            <v>1650000</v>
          </cell>
          <cell r="AN91">
            <v>33000</v>
          </cell>
          <cell r="AO91">
            <v>150000</v>
          </cell>
          <cell r="AP91">
            <v>2850000</v>
          </cell>
          <cell r="AQ91"/>
          <cell r="AR91">
            <v>2850000</v>
          </cell>
          <cell r="AS91">
            <v>200000</v>
          </cell>
          <cell r="AT91">
            <v>2650000</v>
          </cell>
          <cell r="AU91">
            <v>100000</v>
          </cell>
          <cell r="AV91">
            <v>2550000</v>
          </cell>
          <cell r="AW91">
            <v>0</v>
          </cell>
          <cell r="AX91">
            <v>2550000</v>
          </cell>
        </row>
        <row r="92">
          <cell r="G92" t="str">
            <v>AGM-01-006-026</v>
          </cell>
          <cell r="H92" t="str">
            <v xml:space="preserve">Raemulan Lands, Inc. </v>
          </cell>
          <cell r="I92" t="str">
            <v>Agapeya</v>
          </cell>
          <cell r="J92" t="str">
            <v>AGM</v>
          </cell>
          <cell r="K92" t="str">
            <v>Eco-High</v>
          </cell>
          <cell r="L92" t="str">
            <v>West</v>
          </cell>
          <cell r="M92" t="str">
            <v>With LTS - 2024</v>
          </cell>
          <cell r="N92" t="str">
            <v>YES</v>
          </cell>
          <cell r="O92" t="str">
            <v>YES</v>
          </cell>
          <cell r="P92" t="str">
            <v>Unaffected lots</v>
          </cell>
          <cell r="Q92" t="str">
            <v>YES</v>
          </cell>
          <cell r="R92">
            <v>70</v>
          </cell>
          <cell r="S92" t="str">
            <v>PCS-04-034407</v>
          </cell>
          <cell r="T92" t="str">
            <v>TCT-060-2024021375</v>
          </cell>
          <cell r="U92" t="b">
            <v>1</v>
          </cell>
          <cell r="V92" t="str">
            <v>Done</v>
          </cell>
          <cell r="W92" t="str">
            <v>2024 Batch</v>
          </cell>
          <cell r="X92" t="str">
            <v>2024 Batch</v>
          </cell>
          <cell r="Y92">
            <v>6</v>
          </cell>
          <cell r="Z92">
            <v>26</v>
          </cell>
          <cell r="AA92" t="str">
            <v>H+L</v>
          </cell>
          <cell r="AB92">
            <v>70</v>
          </cell>
          <cell r="AC92">
            <v>50</v>
          </cell>
          <cell r="AD92" t="str">
            <v>Slant</v>
          </cell>
          <cell r="AE92" t="str">
            <v>Duplex</v>
          </cell>
          <cell r="AF92" t="str">
            <v>326 - With Partition</v>
          </cell>
          <cell r="AG92" t="str">
            <v xml:space="preserve">Without Partition </v>
          </cell>
          <cell r="AH92" t="str">
            <v xml:space="preserve">Without Partition </v>
          </cell>
          <cell r="AI92" t="str">
            <v>YELLOW</v>
          </cell>
          <cell r="AJ92" t="str">
            <v>Slant / YELLOW</v>
          </cell>
          <cell r="AK92">
            <v>1050000</v>
          </cell>
          <cell r="AL92">
            <v>15000</v>
          </cell>
          <cell r="AM92">
            <v>1650000</v>
          </cell>
          <cell r="AN92">
            <v>33000</v>
          </cell>
          <cell r="AO92">
            <v>150000</v>
          </cell>
          <cell r="AP92">
            <v>2850000</v>
          </cell>
          <cell r="AQ92"/>
          <cell r="AR92">
            <v>2850000</v>
          </cell>
          <cell r="AS92">
            <v>200000</v>
          </cell>
          <cell r="AT92">
            <v>2650000</v>
          </cell>
          <cell r="AU92">
            <v>100000</v>
          </cell>
          <cell r="AV92">
            <v>2550000</v>
          </cell>
          <cell r="AW92">
            <v>0</v>
          </cell>
          <cell r="AX92">
            <v>2550000</v>
          </cell>
        </row>
        <row r="93">
          <cell r="G93" t="str">
            <v>AGM-01-006-027</v>
          </cell>
          <cell r="H93" t="str">
            <v xml:space="preserve">Raemulan Lands, Inc. </v>
          </cell>
          <cell r="I93" t="str">
            <v>Agapeya</v>
          </cell>
          <cell r="J93" t="str">
            <v>AGM</v>
          </cell>
          <cell r="K93" t="str">
            <v>Eco-High</v>
          </cell>
          <cell r="L93" t="str">
            <v>West</v>
          </cell>
          <cell r="M93" t="str">
            <v>With LTS - 2024</v>
          </cell>
          <cell r="N93" t="str">
            <v>YES</v>
          </cell>
          <cell r="O93" t="str">
            <v>YES</v>
          </cell>
          <cell r="P93" t="str">
            <v>Unaffected lots</v>
          </cell>
          <cell r="Q93" t="str">
            <v>YES</v>
          </cell>
          <cell r="R93">
            <v>70</v>
          </cell>
          <cell r="S93" t="str">
            <v>PCS-04-034407</v>
          </cell>
          <cell r="T93" t="str">
            <v>TCT-060-2024021376</v>
          </cell>
          <cell r="U93" t="b">
            <v>1</v>
          </cell>
          <cell r="V93" t="str">
            <v>Done</v>
          </cell>
          <cell r="W93" t="str">
            <v>2024 Batch</v>
          </cell>
          <cell r="X93" t="str">
            <v>2024 Batch</v>
          </cell>
          <cell r="Y93">
            <v>6</v>
          </cell>
          <cell r="Z93">
            <v>27</v>
          </cell>
          <cell r="AA93" t="str">
            <v>H+L</v>
          </cell>
          <cell r="AB93">
            <v>70</v>
          </cell>
          <cell r="AC93">
            <v>50</v>
          </cell>
          <cell r="AD93" t="str">
            <v>Flat</v>
          </cell>
          <cell r="AE93" t="str">
            <v>Duplex</v>
          </cell>
          <cell r="AF93" t="str">
            <v>326 - With Partition</v>
          </cell>
          <cell r="AG93" t="str">
            <v xml:space="preserve">Without Partition </v>
          </cell>
          <cell r="AH93" t="str">
            <v xml:space="preserve">Without Partition </v>
          </cell>
          <cell r="AI93" t="str">
            <v>YELLOW</v>
          </cell>
          <cell r="AJ93" t="str">
            <v>Flat / YELLOW</v>
          </cell>
          <cell r="AK93">
            <v>1050000</v>
          </cell>
          <cell r="AL93">
            <v>15000</v>
          </cell>
          <cell r="AM93">
            <v>1650000</v>
          </cell>
          <cell r="AN93">
            <v>33000</v>
          </cell>
          <cell r="AO93">
            <v>150000</v>
          </cell>
          <cell r="AP93">
            <v>2850000</v>
          </cell>
          <cell r="AQ93"/>
          <cell r="AR93">
            <v>2850000</v>
          </cell>
          <cell r="AS93">
            <v>200000</v>
          </cell>
          <cell r="AT93">
            <v>2650000</v>
          </cell>
          <cell r="AU93">
            <v>100000</v>
          </cell>
          <cell r="AV93">
            <v>2550000</v>
          </cell>
          <cell r="AW93">
            <v>0</v>
          </cell>
          <cell r="AX93">
            <v>2550000</v>
          </cell>
        </row>
        <row r="94">
          <cell r="G94" t="str">
            <v>AGM-01-006-028</v>
          </cell>
          <cell r="H94" t="str">
            <v xml:space="preserve">Raemulan Lands, Inc. </v>
          </cell>
          <cell r="I94" t="str">
            <v>Agapeya</v>
          </cell>
          <cell r="J94" t="str">
            <v>AGM</v>
          </cell>
          <cell r="K94" t="str">
            <v>Eco-High</v>
          </cell>
          <cell r="L94" t="str">
            <v>West</v>
          </cell>
          <cell r="M94" t="str">
            <v>With LTS - 2024</v>
          </cell>
          <cell r="N94" t="str">
            <v>YES</v>
          </cell>
          <cell r="O94" t="str">
            <v>YES</v>
          </cell>
          <cell r="P94" t="str">
            <v>Unaffected lots</v>
          </cell>
          <cell r="Q94" t="str">
            <v>YES</v>
          </cell>
          <cell r="R94">
            <v>70</v>
          </cell>
          <cell r="S94" t="str">
            <v>PCS-04-034407</v>
          </cell>
          <cell r="T94" t="str">
            <v>TCT-060-2024021377</v>
          </cell>
          <cell r="U94" t="b">
            <v>1</v>
          </cell>
          <cell r="V94" t="str">
            <v>Done</v>
          </cell>
          <cell r="W94" t="str">
            <v>2024 Batch</v>
          </cell>
          <cell r="X94" t="str">
            <v>2024 Batch</v>
          </cell>
          <cell r="Y94">
            <v>6</v>
          </cell>
          <cell r="Z94">
            <v>28</v>
          </cell>
          <cell r="AA94" t="str">
            <v>H+L</v>
          </cell>
          <cell r="AB94">
            <v>70</v>
          </cell>
          <cell r="AC94">
            <v>50</v>
          </cell>
          <cell r="AD94" t="str">
            <v>Flat</v>
          </cell>
          <cell r="AE94" t="str">
            <v>Duplex</v>
          </cell>
          <cell r="AF94" t="str">
            <v>326 - With Partition</v>
          </cell>
          <cell r="AG94" t="str">
            <v xml:space="preserve">Without Partition </v>
          </cell>
          <cell r="AH94" t="str">
            <v xml:space="preserve">Without Partition </v>
          </cell>
          <cell r="AI94" t="str">
            <v>YELLOW</v>
          </cell>
          <cell r="AJ94" t="str">
            <v>Flat / YELLOW</v>
          </cell>
          <cell r="AK94">
            <v>1050000</v>
          </cell>
          <cell r="AL94">
            <v>15000</v>
          </cell>
          <cell r="AM94">
            <v>1650000</v>
          </cell>
          <cell r="AN94">
            <v>33000</v>
          </cell>
          <cell r="AO94">
            <v>150000</v>
          </cell>
          <cell r="AP94">
            <v>2850000</v>
          </cell>
          <cell r="AQ94"/>
          <cell r="AR94">
            <v>2850000</v>
          </cell>
          <cell r="AS94">
            <v>200000</v>
          </cell>
          <cell r="AT94">
            <v>2650000</v>
          </cell>
          <cell r="AU94">
            <v>100000</v>
          </cell>
          <cell r="AV94">
            <v>2550000</v>
          </cell>
          <cell r="AW94">
            <v>0</v>
          </cell>
          <cell r="AX94">
            <v>2550000</v>
          </cell>
        </row>
        <row r="95">
          <cell r="G95" t="str">
            <v>AGM-01-006-029</v>
          </cell>
          <cell r="H95" t="str">
            <v xml:space="preserve">Raemulan Lands, Inc. </v>
          </cell>
          <cell r="I95" t="str">
            <v>Agapeya</v>
          </cell>
          <cell r="J95" t="str">
            <v>AGM</v>
          </cell>
          <cell r="K95" t="str">
            <v>Eco-High</v>
          </cell>
          <cell r="L95" t="str">
            <v>West</v>
          </cell>
          <cell r="M95" t="str">
            <v>With LTS - 2024</v>
          </cell>
          <cell r="N95" t="str">
            <v>YES</v>
          </cell>
          <cell r="O95" t="str">
            <v>YES</v>
          </cell>
          <cell r="P95" t="str">
            <v>Unaffected lots</v>
          </cell>
          <cell r="Q95" t="str">
            <v>YES</v>
          </cell>
          <cell r="R95">
            <v>70</v>
          </cell>
          <cell r="S95" t="str">
            <v>PCS-04-034407</v>
          </cell>
          <cell r="T95" t="str">
            <v>TCT-060-2024021378</v>
          </cell>
          <cell r="U95" t="b">
            <v>1</v>
          </cell>
          <cell r="V95" t="str">
            <v>Done</v>
          </cell>
          <cell r="W95" t="str">
            <v>2024 Batch</v>
          </cell>
          <cell r="X95" t="str">
            <v>2024 Batch</v>
          </cell>
          <cell r="Y95">
            <v>6</v>
          </cell>
          <cell r="Z95">
            <v>29</v>
          </cell>
          <cell r="AA95" t="str">
            <v>H+L</v>
          </cell>
          <cell r="AB95">
            <v>70</v>
          </cell>
          <cell r="AC95">
            <v>50</v>
          </cell>
          <cell r="AD95" t="str">
            <v>Slant</v>
          </cell>
          <cell r="AE95" t="str">
            <v>Duplex</v>
          </cell>
          <cell r="AF95" t="str">
            <v>326 - With Partition</v>
          </cell>
          <cell r="AG95" t="str">
            <v xml:space="preserve">Without Partition </v>
          </cell>
          <cell r="AH95" t="str">
            <v>With Partition</v>
          </cell>
          <cell r="AI95" t="str">
            <v>YELLOW</v>
          </cell>
          <cell r="AJ95" t="str">
            <v>Slant / YELLOW</v>
          </cell>
          <cell r="AK95">
            <v>1050000</v>
          </cell>
          <cell r="AL95">
            <v>15000</v>
          </cell>
          <cell r="AM95">
            <v>1650000</v>
          </cell>
          <cell r="AN95">
            <v>33000</v>
          </cell>
          <cell r="AO95">
            <v>150000</v>
          </cell>
          <cell r="AP95">
            <v>2850000</v>
          </cell>
          <cell r="AQ95"/>
          <cell r="AR95">
            <v>2850000</v>
          </cell>
          <cell r="AS95">
            <v>0</v>
          </cell>
          <cell r="AT95">
            <v>2850000</v>
          </cell>
          <cell r="AU95">
            <v>100000</v>
          </cell>
          <cell r="AV95">
            <v>2750000</v>
          </cell>
          <cell r="AW95">
            <v>0</v>
          </cell>
          <cell r="AX95">
            <v>2750000</v>
          </cell>
        </row>
        <row r="96">
          <cell r="G96" t="str">
            <v>AGM-01-006-030</v>
          </cell>
          <cell r="H96" t="str">
            <v xml:space="preserve">Raemulan Lands, Inc. </v>
          </cell>
          <cell r="I96" t="str">
            <v>Agapeya</v>
          </cell>
          <cell r="J96" t="str">
            <v>AGM</v>
          </cell>
          <cell r="K96" t="str">
            <v>Eco-High</v>
          </cell>
          <cell r="L96" t="str">
            <v>West</v>
          </cell>
          <cell r="M96" t="str">
            <v>With LTS - 2024</v>
          </cell>
          <cell r="N96" t="str">
            <v>YES</v>
          </cell>
          <cell r="O96" t="str">
            <v>YES</v>
          </cell>
          <cell r="P96" t="str">
            <v>Unaffected lots</v>
          </cell>
          <cell r="Q96" t="str">
            <v>YES</v>
          </cell>
          <cell r="R96">
            <v>70</v>
          </cell>
          <cell r="S96" t="str">
            <v>PCS-04-034407</v>
          </cell>
          <cell r="T96" t="str">
            <v>TCT-060-2024021379</v>
          </cell>
          <cell r="U96" t="b">
            <v>1</v>
          </cell>
          <cell r="V96" t="str">
            <v>Done</v>
          </cell>
          <cell r="W96" t="str">
            <v>2024 Batch</v>
          </cell>
          <cell r="X96" t="str">
            <v>2024 Batch</v>
          </cell>
          <cell r="Y96">
            <v>6</v>
          </cell>
          <cell r="Z96">
            <v>30</v>
          </cell>
          <cell r="AA96" t="str">
            <v>H+L</v>
          </cell>
          <cell r="AB96">
            <v>70</v>
          </cell>
          <cell r="AC96">
            <v>50</v>
          </cell>
          <cell r="AD96" t="str">
            <v>Slant</v>
          </cell>
          <cell r="AE96" t="str">
            <v>Duplex</v>
          </cell>
          <cell r="AF96" t="str">
            <v>326 - With Partition</v>
          </cell>
          <cell r="AG96" t="str">
            <v xml:space="preserve">Without Partition </v>
          </cell>
          <cell r="AH96" t="str">
            <v>With Partition</v>
          </cell>
          <cell r="AI96" t="str">
            <v>PINK</v>
          </cell>
          <cell r="AJ96" t="str">
            <v>Slant / PINK</v>
          </cell>
          <cell r="AK96">
            <v>1050000</v>
          </cell>
          <cell r="AL96">
            <v>15000</v>
          </cell>
          <cell r="AM96">
            <v>1650000</v>
          </cell>
          <cell r="AN96">
            <v>33000</v>
          </cell>
          <cell r="AO96">
            <v>150000</v>
          </cell>
          <cell r="AP96">
            <v>2850000</v>
          </cell>
          <cell r="AQ96"/>
          <cell r="AR96">
            <v>2850000</v>
          </cell>
          <cell r="AS96">
            <v>0</v>
          </cell>
          <cell r="AT96">
            <v>2850000</v>
          </cell>
          <cell r="AU96">
            <v>100000</v>
          </cell>
          <cell r="AV96">
            <v>2750000</v>
          </cell>
          <cell r="AW96">
            <v>0</v>
          </cell>
          <cell r="AX96">
            <v>2750000</v>
          </cell>
        </row>
        <row r="97">
          <cell r="G97" t="str">
            <v>AGM-01-006-031</v>
          </cell>
          <cell r="H97" t="str">
            <v xml:space="preserve">Raemulan Lands, Inc. </v>
          </cell>
          <cell r="I97" t="str">
            <v>Agapeya</v>
          </cell>
          <cell r="J97" t="str">
            <v>AGM</v>
          </cell>
          <cell r="K97" t="str">
            <v>Eco-High</v>
          </cell>
          <cell r="L97" t="str">
            <v>West</v>
          </cell>
          <cell r="M97" t="str">
            <v>With LTS - 2024</v>
          </cell>
          <cell r="N97" t="str">
            <v>YES</v>
          </cell>
          <cell r="O97" t="str">
            <v>YES</v>
          </cell>
          <cell r="P97" t="str">
            <v>Unaffected lots</v>
          </cell>
          <cell r="Q97" t="str">
            <v>YES</v>
          </cell>
          <cell r="R97">
            <v>70</v>
          </cell>
          <cell r="S97" t="str">
            <v>PCS-04-034407</v>
          </cell>
          <cell r="T97" t="str">
            <v>TCT-060-2024021380</v>
          </cell>
          <cell r="U97" t="b">
            <v>1</v>
          </cell>
          <cell r="V97" t="str">
            <v>Done</v>
          </cell>
          <cell r="W97" t="str">
            <v>2024 Batch</v>
          </cell>
          <cell r="X97" t="str">
            <v>2024 Batch</v>
          </cell>
          <cell r="Y97">
            <v>6</v>
          </cell>
          <cell r="Z97">
            <v>31</v>
          </cell>
          <cell r="AA97" t="str">
            <v>H+L</v>
          </cell>
          <cell r="AB97">
            <v>70</v>
          </cell>
          <cell r="AC97">
            <v>50</v>
          </cell>
          <cell r="AD97" t="str">
            <v>Flat</v>
          </cell>
          <cell r="AE97" t="str">
            <v>Duplex</v>
          </cell>
          <cell r="AF97" t="str">
            <v>326 - With Partition</v>
          </cell>
          <cell r="AG97" t="str">
            <v xml:space="preserve">Without Partition </v>
          </cell>
          <cell r="AH97" t="str">
            <v xml:space="preserve">Without Partition </v>
          </cell>
          <cell r="AI97" t="str">
            <v>PINK</v>
          </cell>
          <cell r="AJ97" t="str">
            <v>Flat / PINK</v>
          </cell>
          <cell r="AK97">
            <v>1050000</v>
          </cell>
          <cell r="AL97">
            <v>15000</v>
          </cell>
          <cell r="AM97">
            <v>1650000</v>
          </cell>
          <cell r="AN97">
            <v>33000</v>
          </cell>
          <cell r="AO97">
            <v>150000</v>
          </cell>
          <cell r="AP97">
            <v>2850000</v>
          </cell>
          <cell r="AQ97"/>
          <cell r="AR97">
            <v>2850000</v>
          </cell>
          <cell r="AS97">
            <v>200000</v>
          </cell>
          <cell r="AT97">
            <v>2650000</v>
          </cell>
          <cell r="AU97">
            <v>100000</v>
          </cell>
          <cell r="AV97">
            <v>2550000</v>
          </cell>
          <cell r="AW97">
            <v>0</v>
          </cell>
          <cell r="AX97">
            <v>2550000</v>
          </cell>
        </row>
        <row r="98">
          <cell r="G98" t="str">
            <v>AGM-01-006-032</v>
          </cell>
          <cell r="H98" t="str">
            <v xml:space="preserve">Raemulan Lands, Inc. </v>
          </cell>
          <cell r="I98" t="str">
            <v>Agapeya</v>
          </cell>
          <cell r="J98" t="str">
            <v>AGM</v>
          </cell>
          <cell r="K98" t="str">
            <v>Eco-High</v>
          </cell>
          <cell r="L98" t="str">
            <v>West</v>
          </cell>
          <cell r="M98" t="str">
            <v>With LTS - 2024</v>
          </cell>
          <cell r="N98" t="str">
            <v>YES</v>
          </cell>
          <cell r="O98" t="str">
            <v>YES</v>
          </cell>
          <cell r="P98" t="str">
            <v>Unaffected lots</v>
          </cell>
          <cell r="Q98" t="str">
            <v>YES</v>
          </cell>
          <cell r="R98">
            <v>70</v>
          </cell>
          <cell r="S98" t="str">
            <v>PCS-04-034407</v>
          </cell>
          <cell r="T98" t="str">
            <v>TCT-060-2024021381</v>
          </cell>
          <cell r="U98" t="b">
            <v>1</v>
          </cell>
          <cell r="V98" t="str">
            <v>Done</v>
          </cell>
          <cell r="W98" t="str">
            <v>2024 Batch</v>
          </cell>
          <cell r="X98" t="str">
            <v>2024 Batch</v>
          </cell>
          <cell r="Y98">
            <v>6</v>
          </cell>
          <cell r="Z98">
            <v>32</v>
          </cell>
          <cell r="AA98" t="str">
            <v>H+L</v>
          </cell>
          <cell r="AB98">
            <v>70</v>
          </cell>
          <cell r="AC98">
            <v>50</v>
          </cell>
          <cell r="AD98" t="str">
            <v>Flat</v>
          </cell>
          <cell r="AE98" t="str">
            <v>Duplex</v>
          </cell>
          <cell r="AF98" t="str">
            <v>326 - With Partition</v>
          </cell>
          <cell r="AG98" t="str">
            <v>With Partition</v>
          </cell>
          <cell r="AH98" t="str">
            <v>With Partition</v>
          </cell>
          <cell r="AI98" t="str">
            <v>PINK</v>
          </cell>
          <cell r="AJ98" t="str">
            <v>Flat / PINK</v>
          </cell>
          <cell r="AK98">
            <v>1050000</v>
          </cell>
          <cell r="AL98">
            <v>15000</v>
          </cell>
          <cell r="AM98">
            <v>1650000</v>
          </cell>
          <cell r="AN98">
            <v>33000</v>
          </cell>
          <cell r="AO98">
            <v>150000</v>
          </cell>
          <cell r="AP98">
            <v>2850000</v>
          </cell>
          <cell r="AQ98"/>
          <cell r="AR98">
            <v>2850000</v>
          </cell>
          <cell r="AS98">
            <v>0</v>
          </cell>
          <cell r="AT98">
            <v>2850000</v>
          </cell>
          <cell r="AU98">
            <v>100000</v>
          </cell>
          <cell r="AV98">
            <v>2750000</v>
          </cell>
          <cell r="AW98">
            <v>0</v>
          </cell>
          <cell r="AX98">
            <v>2750000</v>
          </cell>
        </row>
        <row r="99">
          <cell r="G99" t="str">
            <v>AGM-01-006-033</v>
          </cell>
          <cell r="H99" t="str">
            <v xml:space="preserve">Raemulan Lands, Inc. </v>
          </cell>
          <cell r="I99" t="str">
            <v>Agapeya</v>
          </cell>
          <cell r="J99" t="str">
            <v>AGM</v>
          </cell>
          <cell r="K99" t="str">
            <v>Eco-High</v>
          </cell>
          <cell r="L99" t="str">
            <v>West</v>
          </cell>
          <cell r="M99" t="str">
            <v>With LTS - 2024</v>
          </cell>
          <cell r="N99" t="str">
            <v>YES</v>
          </cell>
          <cell r="O99" t="str">
            <v>YES</v>
          </cell>
          <cell r="P99" t="str">
            <v>Unaffected lots</v>
          </cell>
          <cell r="Q99" t="str">
            <v>YES</v>
          </cell>
          <cell r="R99">
            <v>70</v>
          </cell>
          <cell r="S99" t="str">
            <v>PCS-04-034407</v>
          </cell>
          <cell r="T99" t="str">
            <v>TCT-060-2024021382</v>
          </cell>
          <cell r="U99" t="b">
            <v>1</v>
          </cell>
          <cell r="V99" t="str">
            <v>Done</v>
          </cell>
          <cell r="W99" t="str">
            <v>2024 Batch</v>
          </cell>
          <cell r="X99" t="str">
            <v>2024 Batch</v>
          </cell>
          <cell r="Y99">
            <v>6</v>
          </cell>
          <cell r="Z99">
            <v>33</v>
          </cell>
          <cell r="AA99" t="str">
            <v>H+L</v>
          </cell>
          <cell r="AB99">
            <v>70</v>
          </cell>
          <cell r="AC99">
            <v>50</v>
          </cell>
          <cell r="AD99" t="str">
            <v>Slant</v>
          </cell>
          <cell r="AE99" t="str">
            <v>Duplex</v>
          </cell>
          <cell r="AF99" t="str">
            <v>326 - With Partition</v>
          </cell>
          <cell r="AG99" t="str">
            <v xml:space="preserve">Without Partition </v>
          </cell>
          <cell r="AH99" t="str">
            <v>With Partition</v>
          </cell>
          <cell r="AI99" t="str">
            <v>PINK</v>
          </cell>
          <cell r="AJ99" t="str">
            <v>Slant / PINK</v>
          </cell>
          <cell r="AK99">
            <v>1050000</v>
          </cell>
          <cell r="AL99">
            <v>15000</v>
          </cell>
          <cell r="AM99">
            <v>1650000</v>
          </cell>
          <cell r="AN99">
            <v>33000</v>
          </cell>
          <cell r="AO99">
            <v>150000</v>
          </cell>
          <cell r="AP99">
            <v>2850000</v>
          </cell>
          <cell r="AQ99"/>
          <cell r="AR99">
            <v>2850000</v>
          </cell>
          <cell r="AS99">
            <v>0</v>
          </cell>
          <cell r="AT99">
            <v>2850000</v>
          </cell>
          <cell r="AU99">
            <v>100000</v>
          </cell>
          <cell r="AV99">
            <v>2750000</v>
          </cell>
          <cell r="AW99">
            <v>0</v>
          </cell>
          <cell r="AX99">
            <v>2750000</v>
          </cell>
        </row>
        <row r="100">
          <cell r="G100" t="str">
            <v>AGM-01-006-034</v>
          </cell>
          <cell r="H100" t="str">
            <v xml:space="preserve">Raemulan Lands, Inc. </v>
          </cell>
          <cell r="I100" t="str">
            <v>Agapeya</v>
          </cell>
          <cell r="J100" t="str">
            <v>AGM</v>
          </cell>
          <cell r="K100" t="str">
            <v>Eco-High</v>
          </cell>
          <cell r="L100" t="str">
            <v>West</v>
          </cell>
          <cell r="M100" t="str">
            <v>With LTS - 2024</v>
          </cell>
          <cell r="N100" t="str">
            <v>YES</v>
          </cell>
          <cell r="O100" t="str">
            <v>YES</v>
          </cell>
          <cell r="P100" t="str">
            <v>Unaffected lots</v>
          </cell>
          <cell r="Q100" t="str">
            <v>YES</v>
          </cell>
          <cell r="R100">
            <v>70</v>
          </cell>
          <cell r="S100" t="str">
            <v>PCS-04-034407</v>
          </cell>
          <cell r="T100" t="str">
            <v>TCT-060-2024021383</v>
          </cell>
          <cell r="U100" t="b">
            <v>1</v>
          </cell>
          <cell r="V100" t="str">
            <v>Done</v>
          </cell>
          <cell r="W100" t="str">
            <v>2024 Batch</v>
          </cell>
          <cell r="X100" t="str">
            <v>2024 Batch</v>
          </cell>
          <cell r="Y100">
            <v>6</v>
          </cell>
          <cell r="Z100">
            <v>34</v>
          </cell>
          <cell r="AA100" t="str">
            <v>H+L</v>
          </cell>
          <cell r="AB100">
            <v>70</v>
          </cell>
          <cell r="AC100">
            <v>50</v>
          </cell>
          <cell r="AD100" t="str">
            <v>Slant</v>
          </cell>
          <cell r="AE100" t="str">
            <v>Duplex</v>
          </cell>
          <cell r="AF100" t="str">
            <v>326 - With Partition</v>
          </cell>
          <cell r="AG100" t="str">
            <v xml:space="preserve">Without Partition </v>
          </cell>
          <cell r="AH100" t="str">
            <v>With Partition</v>
          </cell>
          <cell r="AI100" t="str">
            <v>PURPLE</v>
          </cell>
          <cell r="AJ100" t="str">
            <v>Slant / PURPLE</v>
          </cell>
          <cell r="AK100">
            <v>1050000</v>
          </cell>
          <cell r="AL100">
            <v>15000</v>
          </cell>
          <cell r="AM100">
            <v>1650000</v>
          </cell>
          <cell r="AN100">
            <v>33000</v>
          </cell>
          <cell r="AO100">
            <v>150000</v>
          </cell>
          <cell r="AP100">
            <v>2850000</v>
          </cell>
          <cell r="AQ100"/>
          <cell r="AR100">
            <v>2850000</v>
          </cell>
          <cell r="AS100">
            <v>0</v>
          </cell>
          <cell r="AT100">
            <v>2850000</v>
          </cell>
          <cell r="AU100">
            <v>100000</v>
          </cell>
          <cell r="AV100">
            <v>2750000</v>
          </cell>
          <cell r="AW100">
            <v>0</v>
          </cell>
          <cell r="AX100">
            <v>2750000</v>
          </cell>
        </row>
        <row r="101">
          <cell r="G101" t="str">
            <v>AGM-01-006-035</v>
          </cell>
          <cell r="H101" t="str">
            <v xml:space="preserve">Raemulan Lands, Inc. </v>
          </cell>
          <cell r="I101" t="str">
            <v>Agapeya</v>
          </cell>
          <cell r="J101" t="str">
            <v>AGM</v>
          </cell>
          <cell r="K101" t="str">
            <v>Eco-High</v>
          </cell>
          <cell r="L101" t="str">
            <v>West</v>
          </cell>
          <cell r="M101" t="str">
            <v>With LTS - 2024</v>
          </cell>
          <cell r="N101" t="str">
            <v>YES</v>
          </cell>
          <cell r="O101" t="str">
            <v>YES</v>
          </cell>
          <cell r="P101" t="str">
            <v>Unaffected lots</v>
          </cell>
          <cell r="Q101" t="str">
            <v>YES</v>
          </cell>
          <cell r="R101">
            <v>70</v>
          </cell>
          <cell r="S101" t="str">
            <v>PCS-04-034407</v>
          </cell>
          <cell r="T101" t="str">
            <v>TCT-060-2024021384</v>
          </cell>
          <cell r="U101" t="b">
            <v>1</v>
          </cell>
          <cell r="V101" t="str">
            <v>Done</v>
          </cell>
          <cell r="W101" t="str">
            <v>2024 Batch</v>
          </cell>
          <cell r="X101" t="str">
            <v>2024 Batch</v>
          </cell>
          <cell r="Y101">
            <v>6</v>
          </cell>
          <cell r="Z101">
            <v>35</v>
          </cell>
          <cell r="AA101" t="str">
            <v>H+L</v>
          </cell>
          <cell r="AB101">
            <v>70</v>
          </cell>
          <cell r="AC101">
            <v>50</v>
          </cell>
          <cell r="AD101" t="str">
            <v>Flat</v>
          </cell>
          <cell r="AE101" t="str">
            <v>Duplex</v>
          </cell>
          <cell r="AF101" t="str">
            <v>326 - With Partition</v>
          </cell>
          <cell r="AG101" t="str">
            <v xml:space="preserve">Without Partition </v>
          </cell>
          <cell r="AH101" t="str">
            <v xml:space="preserve">Without Partition </v>
          </cell>
          <cell r="AI101" t="str">
            <v>PURPLE</v>
          </cell>
          <cell r="AJ101" t="str">
            <v>Flat / PURPLE</v>
          </cell>
          <cell r="AK101">
            <v>1050000</v>
          </cell>
          <cell r="AL101">
            <v>15000</v>
          </cell>
          <cell r="AM101">
            <v>1650000</v>
          </cell>
          <cell r="AN101">
            <v>33000</v>
          </cell>
          <cell r="AO101">
            <v>150000</v>
          </cell>
          <cell r="AP101">
            <v>2850000</v>
          </cell>
          <cell r="AQ101"/>
          <cell r="AR101">
            <v>2850000</v>
          </cell>
          <cell r="AS101">
            <v>200000</v>
          </cell>
          <cell r="AT101">
            <v>2650000</v>
          </cell>
          <cell r="AU101">
            <v>100000</v>
          </cell>
          <cell r="AV101">
            <v>2550000</v>
          </cell>
          <cell r="AW101">
            <v>0</v>
          </cell>
          <cell r="AX101">
            <v>2550000</v>
          </cell>
        </row>
        <row r="102">
          <cell r="G102" t="str">
            <v>AGM-01-006-036</v>
          </cell>
          <cell r="H102" t="str">
            <v xml:space="preserve">Raemulan Lands, Inc. </v>
          </cell>
          <cell r="I102" t="str">
            <v>Agapeya</v>
          </cell>
          <cell r="J102" t="str">
            <v>AGM</v>
          </cell>
          <cell r="K102" t="str">
            <v>Eco-High</v>
          </cell>
          <cell r="L102" t="str">
            <v>West</v>
          </cell>
          <cell r="M102" t="str">
            <v>With LTS - 2024</v>
          </cell>
          <cell r="N102" t="str">
            <v>YES</v>
          </cell>
          <cell r="O102" t="str">
            <v>YES</v>
          </cell>
          <cell r="P102" t="str">
            <v>Unaffected lots</v>
          </cell>
          <cell r="Q102" t="str">
            <v>YES</v>
          </cell>
          <cell r="R102">
            <v>70</v>
          </cell>
          <cell r="S102" t="str">
            <v>PCS-04-034407</v>
          </cell>
          <cell r="T102" t="str">
            <v>TCT-060-2024021385</v>
          </cell>
          <cell r="U102" t="b">
            <v>1</v>
          </cell>
          <cell r="V102" t="str">
            <v>Done</v>
          </cell>
          <cell r="W102" t="str">
            <v>2024 Batch</v>
          </cell>
          <cell r="X102" t="str">
            <v>2024 Batch</v>
          </cell>
          <cell r="Y102">
            <v>6</v>
          </cell>
          <cell r="Z102">
            <v>36</v>
          </cell>
          <cell r="AA102" t="str">
            <v>H+L</v>
          </cell>
          <cell r="AB102">
            <v>70</v>
          </cell>
          <cell r="AC102">
            <v>50</v>
          </cell>
          <cell r="AD102" t="str">
            <v>Flat</v>
          </cell>
          <cell r="AE102" t="str">
            <v>Duplex</v>
          </cell>
          <cell r="AF102" t="str">
            <v>326 - With Partition</v>
          </cell>
          <cell r="AG102" t="str">
            <v xml:space="preserve">Without Partition </v>
          </cell>
          <cell r="AH102" t="str">
            <v xml:space="preserve">Without Partition </v>
          </cell>
          <cell r="AI102" t="str">
            <v>PURPLE</v>
          </cell>
          <cell r="AJ102" t="str">
            <v>Flat / PURPLE</v>
          </cell>
          <cell r="AK102">
            <v>1050000</v>
          </cell>
          <cell r="AL102">
            <v>15000</v>
          </cell>
          <cell r="AM102">
            <v>1650000</v>
          </cell>
          <cell r="AN102">
            <v>33000</v>
          </cell>
          <cell r="AO102">
            <v>150000</v>
          </cell>
          <cell r="AP102">
            <v>2850000</v>
          </cell>
          <cell r="AQ102"/>
          <cell r="AR102">
            <v>2850000</v>
          </cell>
          <cell r="AS102">
            <v>200000</v>
          </cell>
          <cell r="AT102">
            <v>2650000</v>
          </cell>
          <cell r="AU102">
            <v>100000</v>
          </cell>
          <cell r="AV102">
            <v>2550000</v>
          </cell>
          <cell r="AW102">
            <v>0</v>
          </cell>
          <cell r="AX102">
            <v>2550000</v>
          </cell>
        </row>
        <row r="103">
          <cell r="G103" t="str">
            <v>AGM-01-006-037</v>
          </cell>
          <cell r="H103" t="str">
            <v xml:space="preserve">Raemulan Lands, Inc. </v>
          </cell>
          <cell r="I103" t="str">
            <v>Agapeya</v>
          </cell>
          <cell r="J103" t="str">
            <v>AGM</v>
          </cell>
          <cell r="K103" t="str">
            <v>Eco-High</v>
          </cell>
          <cell r="L103" t="str">
            <v>West</v>
          </cell>
          <cell r="M103" t="str">
            <v>With LTS - 2024</v>
          </cell>
          <cell r="N103" t="str">
            <v>YES</v>
          </cell>
          <cell r="O103" t="str">
            <v>YES</v>
          </cell>
          <cell r="P103" t="str">
            <v>Unaffected lots</v>
          </cell>
          <cell r="Q103" t="str">
            <v>YES</v>
          </cell>
          <cell r="R103">
            <v>70</v>
          </cell>
          <cell r="S103" t="str">
            <v>PCS-04-034407</v>
          </cell>
          <cell r="T103" t="str">
            <v>TCT-060-2024021386</v>
          </cell>
          <cell r="U103" t="b">
            <v>1</v>
          </cell>
          <cell r="V103" t="str">
            <v>Done</v>
          </cell>
          <cell r="W103" t="str">
            <v>2024 Batch</v>
          </cell>
          <cell r="X103" t="str">
            <v>2024 Batch</v>
          </cell>
          <cell r="Y103">
            <v>6</v>
          </cell>
          <cell r="Z103">
            <v>37</v>
          </cell>
          <cell r="AA103" t="str">
            <v>H+L</v>
          </cell>
          <cell r="AB103">
            <v>70</v>
          </cell>
          <cell r="AC103">
            <v>50</v>
          </cell>
          <cell r="AD103" t="str">
            <v>Slant</v>
          </cell>
          <cell r="AE103" t="str">
            <v>Duplex</v>
          </cell>
          <cell r="AF103" t="str">
            <v>326 - With Partition</v>
          </cell>
          <cell r="AG103" t="str">
            <v>With Partition</v>
          </cell>
          <cell r="AH103" t="str">
            <v>With Partition</v>
          </cell>
          <cell r="AI103" t="str">
            <v>PURPLE</v>
          </cell>
          <cell r="AJ103" t="str">
            <v>Slant / PURPLE</v>
          </cell>
          <cell r="AK103">
            <v>1050000</v>
          </cell>
          <cell r="AL103">
            <v>15000</v>
          </cell>
          <cell r="AM103">
            <v>1650000</v>
          </cell>
          <cell r="AN103">
            <v>33000</v>
          </cell>
          <cell r="AO103">
            <v>150000</v>
          </cell>
          <cell r="AP103">
            <v>2850000</v>
          </cell>
          <cell r="AQ103"/>
          <cell r="AR103">
            <v>2850000</v>
          </cell>
          <cell r="AS103">
            <v>0</v>
          </cell>
          <cell r="AT103">
            <v>2850000</v>
          </cell>
          <cell r="AU103">
            <v>100000</v>
          </cell>
          <cell r="AV103">
            <v>2750000</v>
          </cell>
          <cell r="AW103">
            <v>0</v>
          </cell>
          <cell r="AX103">
            <v>2750000</v>
          </cell>
        </row>
        <row r="104">
          <cell r="G104" t="str">
            <v>AGM-01-006-038</v>
          </cell>
          <cell r="H104" t="str">
            <v xml:space="preserve">Raemulan Lands, Inc. </v>
          </cell>
          <cell r="I104" t="str">
            <v>Agapeya</v>
          </cell>
          <cell r="J104" t="str">
            <v>AGM</v>
          </cell>
          <cell r="K104" t="str">
            <v>Eco-High</v>
          </cell>
          <cell r="L104" t="str">
            <v>West</v>
          </cell>
          <cell r="M104" t="str">
            <v>With LTS - 2024</v>
          </cell>
          <cell r="N104" t="str">
            <v>YES</v>
          </cell>
          <cell r="O104" t="str">
            <v>YES</v>
          </cell>
          <cell r="P104" t="str">
            <v>Unaffected lots</v>
          </cell>
          <cell r="Q104" t="str">
            <v>YES</v>
          </cell>
          <cell r="R104">
            <v>70</v>
          </cell>
          <cell r="S104" t="str">
            <v>PCS-04-034407</v>
          </cell>
          <cell r="T104" t="str">
            <v>TCT-060-2024021387</v>
          </cell>
          <cell r="U104" t="b">
            <v>1</v>
          </cell>
          <cell r="V104" t="str">
            <v>Done</v>
          </cell>
          <cell r="W104" t="str">
            <v>2024 Batch</v>
          </cell>
          <cell r="X104" t="str">
            <v>2024 Batch</v>
          </cell>
          <cell r="Y104">
            <v>6</v>
          </cell>
          <cell r="Z104">
            <v>38</v>
          </cell>
          <cell r="AA104" t="str">
            <v>H+L</v>
          </cell>
          <cell r="AB104">
            <v>70</v>
          </cell>
          <cell r="AC104">
            <v>50</v>
          </cell>
          <cell r="AD104" t="str">
            <v>Slant</v>
          </cell>
          <cell r="AE104" t="str">
            <v>Duplex</v>
          </cell>
          <cell r="AF104" t="str">
            <v>326 - With Partition</v>
          </cell>
          <cell r="AG104" t="str">
            <v xml:space="preserve">Without Partition </v>
          </cell>
          <cell r="AH104" t="str">
            <v xml:space="preserve">Without Partition </v>
          </cell>
          <cell r="AI104" t="str">
            <v>GREEN</v>
          </cell>
          <cell r="AJ104" t="str">
            <v>Slant / GREEN</v>
          </cell>
          <cell r="AK104">
            <v>1050000</v>
          </cell>
          <cell r="AL104">
            <v>15000</v>
          </cell>
          <cell r="AM104">
            <v>1650000</v>
          </cell>
          <cell r="AN104">
            <v>33000</v>
          </cell>
          <cell r="AO104">
            <v>150000</v>
          </cell>
          <cell r="AP104">
            <v>2850000</v>
          </cell>
          <cell r="AQ104"/>
          <cell r="AR104">
            <v>2850000</v>
          </cell>
          <cell r="AS104">
            <v>200000</v>
          </cell>
          <cell r="AT104">
            <v>2650000</v>
          </cell>
          <cell r="AU104">
            <v>100000</v>
          </cell>
          <cell r="AV104">
            <v>2550000</v>
          </cell>
          <cell r="AW104">
            <v>0</v>
          </cell>
          <cell r="AX104">
            <v>2550000</v>
          </cell>
        </row>
        <row r="105">
          <cell r="G105" t="str">
            <v>AGM-01-006-039</v>
          </cell>
          <cell r="H105" t="str">
            <v xml:space="preserve">Raemulan Lands, Inc. </v>
          </cell>
          <cell r="I105" t="str">
            <v>Agapeya</v>
          </cell>
          <cell r="J105" t="str">
            <v>AGM</v>
          </cell>
          <cell r="K105" t="str">
            <v>Eco-High</v>
          </cell>
          <cell r="L105" t="str">
            <v>West</v>
          </cell>
          <cell r="M105" t="str">
            <v>With LTS - 2024</v>
          </cell>
          <cell r="N105" t="str">
            <v>YES</v>
          </cell>
          <cell r="O105" t="str">
            <v>YES</v>
          </cell>
          <cell r="P105" t="str">
            <v>Unaffected lots</v>
          </cell>
          <cell r="Q105" t="str">
            <v>YES</v>
          </cell>
          <cell r="R105">
            <v>70</v>
          </cell>
          <cell r="S105" t="str">
            <v>PCS-04-034407</v>
          </cell>
          <cell r="T105" t="str">
            <v>TCT-060-2024021388</v>
          </cell>
          <cell r="U105" t="b">
            <v>1</v>
          </cell>
          <cell r="V105" t="str">
            <v>Done</v>
          </cell>
          <cell r="W105" t="str">
            <v>2024 Batch</v>
          </cell>
          <cell r="X105" t="str">
            <v>2024 Batch</v>
          </cell>
          <cell r="Y105">
            <v>6</v>
          </cell>
          <cell r="Z105">
            <v>39</v>
          </cell>
          <cell r="AA105" t="str">
            <v>H+L</v>
          </cell>
          <cell r="AB105">
            <v>70</v>
          </cell>
          <cell r="AC105">
            <v>50</v>
          </cell>
          <cell r="AD105" t="str">
            <v>Flat</v>
          </cell>
          <cell r="AE105" t="str">
            <v>Duplex</v>
          </cell>
          <cell r="AF105" t="str">
            <v>326 - With Partition</v>
          </cell>
          <cell r="AG105" t="str">
            <v>With Partition</v>
          </cell>
          <cell r="AH105" t="str">
            <v>With Partition</v>
          </cell>
          <cell r="AI105" t="str">
            <v>GREEN</v>
          </cell>
          <cell r="AJ105" t="str">
            <v>Flat / GREEN</v>
          </cell>
          <cell r="AK105">
            <v>1050000</v>
          </cell>
          <cell r="AL105">
            <v>15000</v>
          </cell>
          <cell r="AM105">
            <v>1650000</v>
          </cell>
          <cell r="AN105">
            <v>33000</v>
          </cell>
          <cell r="AO105">
            <v>150000</v>
          </cell>
          <cell r="AP105">
            <v>2850000</v>
          </cell>
          <cell r="AQ105"/>
          <cell r="AR105">
            <v>2850000</v>
          </cell>
          <cell r="AS105">
            <v>0</v>
          </cell>
          <cell r="AT105">
            <v>2850000</v>
          </cell>
          <cell r="AU105">
            <v>100000</v>
          </cell>
          <cell r="AV105">
            <v>2750000</v>
          </cell>
          <cell r="AW105">
            <v>0</v>
          </cell>
          <cell r="AX105">
            <v>2750000</v>
          </cell>
        </row>
        <row r="106">
          <cell r="G106" t="str">
            <v>AGM-01-006-040</v>
          </cell>
          <cell r="H106" t="str">
            <v xml:space="preserve">Raemulan Lands, Inc. </v>
          </cell>
          <cell r="I106" t="str">
            <v>Agapeya</v>
          </cell>
          <cell r="J106" t="str">
            <v>AGM</v>
          </cell>
          <cell r="K106" t="str">
            <v>Eco-High</v>
          </cell>
          <cell r="L106" t="str">
            <v>West</v>
          </cell>
          <cell r="M106" t="str">
            <v>With LTS - 2024</v>
          </cell>
          <cell r="N106" t="str">
            <v>YES</v>
          </cell>
          <cell r="O106" t="str">
            <v>YES</v>
          </cell>
          <cell r="P106" t="str">
            <v>Unaffected lots</v>
          </cell>
          <cell r="Q106" t="str">
            <v>YES</v>
          </cell>
          <cell r="R106">
            <v>70</v>
          </cell>
          <cell r="S106" t="str">
            <v>PCS-04-034407</v>
          </cell>
          <cell r="T106" t="str">
            <v>TCT-060-2024021389</v>
          </cell>
          <cell r="U106" t="b">
            <v>1</v>
          </cell>
          <cell r="V106" t="str">
            <v>Done</v>
          </cell>
          <cell r="W106" t="str">
            <v>2024 Batch</v>
          </cell>
          <cell r="X106" t="str">
            <v>2024 Batch</v>
          </cell>
          <cell r="Y106">
            <v>6</v>
          </cell>
          <cell r="Z106">
            <v>40</v>
          </cell>
          <cell r="AA106" t="str">
            <v>H+L</v>
          </cell>
          <cell r="AB106">
            <v>70</v>
          </cell>
          <cell r="AC106">
            <v>50</v>
          </cell>
          <cell r="AD106" t="str">
            <v>Flat</v>
          </cell>
          <cell r="AE106" t="str">
            <v>Duplex</v>
          </cell>
          <cell r="AF106" t="str">
            <v>326 - With Partition</v>
          </cell>
          <cell r="AG106" t="str">
            <v>With Partition</v>
          </cell>
          <cell r="AH106" t="str">
            <v>With Partition</v>
          </cell>
          <cell r="AI106" t="str">
            <v>GREEN</v>
          </cell>
          <cell r="AJ106" t="str">
            <v>Flat / GREEN</v>
          </cell>
          <cell r="AK106">
            <v>1050000</v>
          </cell>
          <cell r="AL106">
            <v>15000</v>
          </cell>
          <cell r="AM106">
            <v>1650000</v>
          </cell>
          <cell r="AN106">
            <v>33000</v>
          </cell>
          <cell r="AO106">
            <v>150000</v>
          </cell>
          <cell r="AP106">
            <v>2850000</v>
          </cell>
          <cell r="AQ106"/>
          <cell r="AR106">
            <v>2850000</v>
          </cell>
          <cell r="AS106">
            <v>0</v>
          </cell>
          <cell r="AT106">
            <v>2850000</v>
          </cell>
          <cell r="AU106">
            <v>100000</v>
          </cell>
          <cell r="AV106">
            <v>2750000</v>
          </cell>
          <cell r="AW106">
            <v>0</v>
          </cell>
          <cell r="AX106">
            <v>2750000</v>
          </cell>
        </row>
        <row r="107">
          <cell r="G107" t="str">
            <v>AGM-01-006-041</v>
          </cell>
          <cell r="H107" t="str">
            <v xml:space="preserve">Raemulan Lands, Inc. </v>
          </cell>
          <cell r="I107" t="str">
            <v>Agapeya</v>
          </cell>
          <cell r="J107" t="str">
            <v>AGM</v>
          </cell>
          <cell r="K107" t="str">
            <v>Eco-High</v>
          </cell>
          <cell r="L107" t="str">
            <v>West</v>
          </cell>
          <cell r="M107" t="str">
            <v>With LTS - 2024</v>
          </cell>
          <cell r="N107" t="str">
            <v>YES</v>
          </cell>
          <cell r="O107" t="str">
            <v>YES</v>
          </cell>
          <cell r="P107" t="str">
            <v>Unaffected lots</v>
          </cell>
          <cell r="Q107" t="str">
            <v>YES</v>
          </cell>
          <cell r="R107">
            <v>70</v>
          </cell>
          <cell r="S107" t="str">
            <v>PCS-04-034407</v>
          </cell>
          <cell r="T107" t="str">
            <v>TCT-060-2024021390</v>
          </cell>
          <cell r="U107" t="b">
            <v>1</v>
          </cell>
          <cell r="V107" t="str">
            <v>Done</v>
          </cell>
          <cell r="W107" t="str">
            <v>2024 Batch</v>
          </cell>
          <cell r="X107" t="str">
            <v>2024 Batch</v>
          </cell>
          <cell r="Y107">
            <v>6</v>
          </cell>
          <cell r="Z107">
            <v>41</v>
          </cell>
          <cell r="AA107" t="str">
            <v>H+L</v>
          </cell>
          <cell r="AB107">
            <v>70</v>
          </cell>
          <cell r="AC107">
            <v>50</v>
          </cell>
          <cell r="AD107" t="str">
            <v>Slant</v>
          </cell>
          <cell r="AE107" t="str">
            <v>Duplex</v>
          </cell>
          <cell r="AF107" t="str">
            <v>326 - With Partition</v>
          </cell>
          <cell r="AG107" t="str">
            <v>With Partition</v>
          </cell>
          <cell r="AH107" t="str">
            <v>With Partition</v>
          </cell>
          <cell r="AI107" t="str">
            <v>GREEN</v>
          </cell>
          <cell r="AJ107" t="str">
            <v>Slant / GREEN</v>
          </cell>
          <cell r="AK107">
            <v>1050000</v>
          </cell>
          <cell r="AL107">
            <v>15000</v>
          </cell>
          <cell r="AM107">
            <v>1650000</v>
          </cell>
          <cell r="AN107">
            <v>33000</v>
          </cell>
          <cell r="AO107">
            <v>150000</v>
          </cell>
          <cell r="AP107">
            <v>2850000</v>
          </cell>
          <cell r="AQ107"/>
          <cell r="AR107">
            <v>2850000</v>
          </cell>
          <cell r="AS107">
            <v>0</v>
          </cell>
          <cell r="AT107">
            <v>2850000</v>
          </cell>
          <cell r="AU107">
            <v>100000</v>
          </cell>
          <cell r="AV107">
            <v>2750000</v>
          </cell>
          <cell r="AW107">
            <v>0</v>
          </cell>
          <cell r="AX107">
            <v>2750000</v>
          </cell>
        </row>
        <row r="108">
          <cell r="G108" t="str">
            <v>AGM-01-006-042</v>
          </cell>
          <cell r="H108" t="str">
            <v xml:space="preserve">Raemulan Lands, Inc. </v>
          </cell>
          <cell r="I108" t="str">
            <v>Agapeya</v>
          </cell>
          <cell r="J108" t="str">
            <v>AGM</v>
          </cell>
          <cell r="K108" t="str">
            <v>Eco-High</v>
          </cell>
          <cell r="L108" t="str">
            <v>West</v>
          </cell>
          <cell r="M108" t="str">
            <v>With LTS - 2024</v>
          </cell>
          <cell r="N108" t="str">
            <v>YES</v>
          </cell>
          <cell r="O108" t="str">
            <v>YES</v>
          </cell>
          <cell r="P108" t="str">
            <v>Unaffected lots</v>
          </cell>
          <cell r="Q108" t="str">
            <v>YES</v>
          </cell>
          <cell r="R108">
            <v>100</v>
          </cell>
          <cell r="S108" t="str">
            <v>PCS-04-034407</v>
          </cell>
          <cell r="T108" t="str">
            <v>TCT-060-2024021391</v>
          </cell>
          <cell r="U108" t="b">
            <v>1</v>
          </cell>
          <cell r="V108" t="str">
            <v>Done</v>
          </cell>
          <cell r="W108" t="str">
            <v>2024 Batch</v>
          </cell>
          <cell r="X108" t="str">
            <v>2024 Batch</v>
          </cell>
          <cell r="Y108">
            <v>6</v>
          </cell>
          <cell r="Z108">
            <v>42</v>
          </cell>
          <cell r="AA108" t="str">
            <v>H+L</v>
          </cell>
          <cell r="AB108">
            <v>100</v>
          </cell>
          <cell r="AC108">
            <v>50</v>
          </cell>
          <cell r="AD108" t="str">
            <v>Flat</v>
          </cell>
          <cell r="AE108" t="str">
            <v>Duplex</v>
          </cell>
          <cell r="AF108" t="str">
            <v>326 - With Partition</v>
          </cell>
          <cell r="AG108" t="str">
            <v>With Partition</v>
          </cell>
          <cell r="AH108" t="str">
            <v>With Partition</v>
          </cell>
          <cell r="AI108" t="str">
            <v>PINK</v>
          </cell>
          <cell r="AJ108" t="str">
            <v>Flat / PINK</v>
          </cell>
          <cell r="AK108">
            <v>1500000</v>
          </cell>
          <cell r="AL108">
            <v>15000</v>
          </cell>
          <cell r="AM108">
            <v>1650000</v>
          </cell>
          <cell r="AN108">
            <v>33000</v>
          </cell>
          <cell r="AO108">
            <v>150000</v>
          </cell>
          <cell r="AP108">
            <v>3300000</v>
          </cell>
          <cell r="AQ108"/>
          <cell r="AR108">
            <v>3300000</v>
          </cell>
          <cell r="AS108">
            <v>0</v>
          </cell>
          <cell r="AT108">
            <v>3300000</v>
          </cell>
          <cell r="AU108">
            <v>100000</v>
          </cell>
          <cell r="AV108">
            <v>3200000</v>
          </cell>
          <cell r="AW108">
            <v>0</v>
          </cell>
          <cell r="AX108">
            <v>3200000</v>
          </cell>
        </row>
        <row r="109">
          <cell r="G109" t="str">
            <v>AGM-01-007-003</v>
          </cell>
          <cell r="H109" t="str">
            <v xml:space="preserve">Raemulan Lands, Inc. </v>
          </cell>
          <cell r="I109" t="str">
            <v>Agapeya</v>
          </cell>
          <cell r="J109" t="str">
            <v>AGM</v>
          </cell>
          <cell r="K109" t="str">
            <v>Eco-High</v>
          </cell>
          <cell r="L109" t="str">
            <v>West</v>
          </cell>
          <cell r="M109" t="str">
            <v>With LTS - 2024</v>
          </cell>
          <cell r="N109" t="str">
            <v>YES</v>
          </cell>
          <cell r="O109" t="str">
            <v>YES</v>
          </cell>
          <cell r="P109" t="str">
            <v>Unaffected lots</v>
          </cell>
          <cell r="Q109" t="str">
            <v>YES</v>
          </cell>
          <cell r="R109">
            <v>70</v>
          </cell>
          <cell r="S109" t="str">
            <v>PCS-04-034407</v>
          </cell>
          <cell r="T109" t="str">
            <v>TCT-060-2024021394</v>
          </cell>
          <cell r="U109" t="b">
            <v>1</v>
          </cell>
          <cell r="V109" t="str">
            <v>Done</v>
          </cell>
          <cell r="W109" t="str">
            <v>2024 Batch</v>
          </cell>
          <cell r="X109" t="str">
            <v>2024 Batch</v>
          </cell>
          <cell r="Y109">
            <v>7</v>
          </cell>
          <cell r="Z109">
            <v>3</v>
          </cell>
          <cell r="AA109" t="str">
            <v>H+L</v>
          </cell>
          <cell r="AB109">
            <v>70</v>
          </cell>
          <cell r="AC109">
            <v>50</v>
          </cell>
          <cell r="AD109" t="str">
            <v>Slant</v>
          </cell>
          <cell r="AE109" t="str">
            <v>Duplex</v>
          </cell>
          <cell r="AF109" t="str">
            <v>326 - With Partition</v>
          </cell>
          <cell r="AG109" t="str">
            <v>With Partition</v>
          </cell>
          <cell r="AH109" t="str">
            <v>With Partition</v>
          </cell>
          <cell r="AI109" t="str">
            <v>YELLOW</v>
          </cell>
          <cell r="AJ109" t="str">
            <v>Slant / YELLOW</v>
          </cell>
          <cell r="AK109">
            <v>1050000</v>
          </cell>
          <cell r="AL109">
            <v>15000</v>
          </cell>
          <cell r="AM109">
            <v>1650000</v>
          </cell>
          <cell r="AN109">
            <v>33000</v>
          </cell>
          <cell r="AO109">
            <v>150000</v>
          </cell>
          <cell r="AP109">
            <v>2850000</v>
          </cell>
          <cell r="AQ109"/>
          <cell r="AR109">
            <v>2850000</v>
          </cell>
          <cell r="AS109">
            <v>0</v>
          </cell>
          <cell r="AT109">
            <v>2850000</v>
          </cell>
          <cell r="AU109">
            <v>100000</v>
          </cell>
          <cell r="AV109">
            <v>2750000</v>
          </cell>
          <cell r="AW109">
            <v>0</v>
          </cell>
          <cell r="AX109">
            <v>2750000</v>
          </cell>
        </row>
        <row r="110">
          <cell r="G110" t="str">
            <v>AGM-01-007-004</v>
          </cell>
          <cell r="H110" t="str">
            <v xml:space="preserve">Raemulan Lands, Inc. </v>
          </cell>
          <cell r="I110" t="str">
            <v>Agapeya</v>
          </cell>
          <cell r="J110" t="str">
            <v>AGM</v>
          </cell>
          <cell r="K110" t="str">
            <v>Eco-High</v>
          </cell>
          <cell r="L110" t="str">
            <v>West</v>
          </cell>
          <cell r="M110" t="str">
            <v>With LTS - 2024</v>
          </cell>
          <cell r="N110" t="str">
            <v>YES</v>
          </cell>
          <cell r="O110" t="str">
            <v>YES</v>
          </cell>
          <cell r="P110" t="str">
            <v>Unaffected lots</v>
          </cell>
          <cell r="Q110" t="str">
            <v>YES</v>
          </cell>
          <cell r="R110">
            <v>70</v>
          </cell>
          <cell r="S110" t="str">
            <v>PCS-04-034407</v>
          </cell>
          <cell r="T110" t="str">
            <v>TCT-060-2024021395</v>
          </cell>
          <cell r="U110" t="b">
            <v>1</v>
          </cell>
          <cell r="V110" t="str">
            <v>Done</v>
          </cell>
          <cell r="W110" t="str">
            <v>2024 Batch</v>
          </cell>
          <cell r="X110" t="str">
            <v>2024 Batch</v>
          </cell>
          <cell r="Y110">
            <v>7</v>
          </cell>
          <cell r="Z110">
            <v>4</v>
          </cell>
          <cell r="AA110" t="str">
            <v>H+L</v>
          </cell>
          <cell r="AB110">
            <v>70</v>
          </cell>
          <cell r="AC110">
            <v>50</v>
          </cell>
          <cell r="AD110" t="str">
            <v>Slant</v>
          </cell>
          <cell r="AE110" t="str">
            <v>Duplex</v>
          </cell>
          <cell r="AF110" t="str">
            <v>326 - With Partition</v>
          </cell>
          <cell r="AG110" t="str">
            <v xml:space="preserve">Without Partition </v>
          </cell>
          <cell r="AH110" t="str">
            <v xml:space="preserve">Without Partition </v>
          </cell>
          <cell r="AI110" t="str">
            <v>YELLOW</v>
          </cell>
          <cell r="AJ110" t="str">
            <v>Slant / YELLOW</v>
          </cell>
          <cell r="AK110">
            <v>1050000</v>
          </cell>
          <cell r="AL110">
            <v>15000</v>
          </cell>
          <cell r="AM110">
            <v>1650000</v>
          </cell>
          <cell r="AN110">
            <v>33000</v>
          </cell>
          <cell r="AO110">
            <v>150000</v>
          </cell>
          <cell r="AP110">
            <v>2850000</v>
          </cell>
          <cell r="AQ110"/>
          <cell r="AR110">
            <v>2850000</v>
          </cell>
          <cell r="AS110">
            <v>200000</v>
          </cell>
          <cell r="AT110">
            <v>2650000</v>
          </cell>
          <cell r="AU110">
            <v>100000</v>
          </cell>
          <cell r="AV110">
            <v>2550000</v>
          </cell>
          <cell r="AW110">
            <v>0</v>
          </cell>
          <cell r="AX110">
            <v>2550000</v>
          </cell>
        </row>
        <row r="111">
          <cell r="G111" t="str">
            <v>AGM-01-007-005</v>
          </cell>
          <cell r="H111" t="str">
            <v xml:space="preserve">Raemulan Lands, Inc. </v>
          </cell>
          <cell r="I111" t="str">
            <v>Agapeya</v>
          </cell>
          <cell r="J111" t="str">
            <v>AGM</v>
          </cell>
          <cell r="K111" t="str">
            <v>Eco-High</v>
          </cell>
          <cell r="L111" t="str">
            <v>West</v>
          </cell>
          <cell r="M111" t="str">
            <v>With LTS - 2024</v>
          </cell>
          <cell r="N111" t="str">
            <v>YES</v>
          </cell>
          <cell r="O111" t="str">
            <v>YES</v>
          </cell>
          <cell r="P111" t="str">
            <v>Unaffected lots</v>
          </cell>
          <cell r="Q111" t="str">
            <v>YES</v>
          </cell>
          <cell r="R111">
            <v>70</v>
          </cell>
          <cell r="S111" t="str">
            <v>PCS-04-034407</v>
          </cell>
          <cell r="T111" t="str">
            <v>TCT-060-2024021396</v>
          </cell>
          <cell r="U111" t="b">
            <v>1</v>
          </cell>
          <cell r="V111" t="str">
            <v>Done</v>
          </cell>
          <cell r="W111" t="str">
            <v>2024 Batch</v>
          </cell>
          <cell r="X111" t="str">
            <v>2024 Batch</v>
          </cell>
          <cell r="Y111">
            <v>7</v>
          </cell>
          <cell r="Z111">
            <v>5</v>
          </cell>
          <cell r="AA111" t="str">
            <v>H+L</v>
          </cell>
          <cell r="AB111">
            <v>70</v>
          </cell>
          <cell r="AC111">
            <v>50</v>
          </cell>
          <cell r="AD111" t="str">
            <v>Flat</v>
          </cell>
          <cell r="AE111" t="str">
            <v>Duplex</v>
          </cell>
          <cell r="AF111" t="str">
            <v>326 - With Partition</v>
          </cell>
          <cell r="AG111" t="str">
            <v xml:space="preserve">Without Partition </v>
          </cell>
          <cell r="AH111" t="str">
            <v xml:space="preserve">Without Partition </v>
          </cell>
          <cell r="AI111" t="str">
            <v>YELLOW</v>
          </cell>
          <cell r="AJ111" t="str">
            <v>Flat / YELLOW</v>
          </cell>
          <cell r="AK111">
            <v>1050000</v>
          </cell>
          <cell r="AL111">
            <v>15000</v>
          </cell>
          <cell r="AM111">
            <v>1650000</v>
          </cell>
          <cell r="AN111">
            <v>33000</v>
          </cell>
          <cell r="AO111">
            <v>150000</v>
          </cell>
          <cell r="AP111">
            <v>2850000</v>
          </cell>
          <cell r="AQ111"/>
          <cell r="AR111">
            <v>2850000</v>
          </cell>
          <cell r="AS111">
            <v>200000</v>
          </cell>
          <cell r="AT111">
            <v>2650000</v>
          </cell>
          <cell r="AU111">
            <v>100000</v>
          </cell>
          <cell r="AV111">
            <v>2550000</v>
          </cell>
          <cell r="AW111">
            <v>0</v>
          </cell>
          <cell r="AX111">
            <v>2550000</v>
          </cell>
        </row>
        <row r="112">
          <cell r="G112" t="str">
            <v>AGM-01-007-006</v>
          </cell>
          <cell r="H112" t="str">
            <v xml:space="preserve">Raemulan Lands, Inc. </v>
          </cell>
          <cell r="I112" t="str">
            <v>Agapeya</v>
          </cell>
          <cell r="J112" t="str">
            <v>AGM</v>
          </cell>
          <cell r="K112" t="str">
            <v>Eco-High</v>
          </cell>
          <cell r="L112" t="str">
            <v>West</v>
          </cell>
          <cell r="M112" t="str">
            <v>With LTS - 2024</v>
          </cell>
          <cell r="N112" t="str">
            <v>YES</v>
          </cell>
          <cell r="O112" t="str">
            <v>YES</v>
          </cell>
          <cell r="P112" t="str">
            <v>Unaffected lots</v>
          </cell>
          <cell r="Q112" t="str">
            <v>YES</v>
          </cell>
          <cell r="R112">
            <v>70</v>
          </cell>
          <cell r="S112" t="str">
            <v>PCS-04-034407</v>
          </cell>
          <cell r="T112" t="str">
            <v>TCT-060-2024021397</v>
          </cell>
          <cell r="U112" t="b">
            <v>1</v>
          </cell>
          <cell r="V112" t="str">
            <v>Done</v>
          </cell>
          <cell r="W112" t="str">
            <v>2024 Batch</v>
          </cell>
          <cell r="X112" t="str">
            <v>2024 Batch</v>
          </cell>
          <cell r="Y112">
            <v>7</v>
          </cell>
          <cell r="Z112">
            <v>6</v>
          </cell>
          <cell r="AA112" t="str">
            <v>H+L</v>
          </cell>
          <cell r="AB112">
            <v>70</v>
          </cell>
          <cell r="AC112">
            <v>50</v>
          </cell>
          <cell r="AD112" t="str">
            <v>Flat</v>
          </cell>
          <cell r="AE112" t="str">
            <v>Duplex</v>
          </cell>
          <cell r="AF112" t="str">
            <v>326 - With Partition</v>
          </cell>
          <cell r="AG112" t="str">
            <v>With Partition</v>
          </cell>
          <cell r="AH112" t="str">
            <v>With Partition</v>
          </cell>
          <cell r="AI112" t="str">
            <v>GREEN</v>
          </cell>
          <cell r="AJ112" t="str">
            <v>Flat / GREEN</v>
          </cell>
          <cell r="AK112">
            <v>1050000</v>
          </cell>
          <cell r="AL112">
            <v>15000</v>
          </cell>
          <cell r="AM112">
            <v>1650000</v>
          </cell>
          <cell r="AN112">
            <v>33000</v>
          </cell>
          <cell r="AO112">
            <v>150000</v>
          </cell>
          <cell r="AP112">
            <v>2850000</v>
          </cell>
          <cell r="AQ112"/>
          <cell r="AR112">
            <v>2850000</v>
          </cell>
          <cell r="AS112">
            <v>0</v>
          </cell>
          <cell r="AT112">
            <v>2850000</v>
          </cell>
          <cell r="AU112">
            <v>100000</v>
          </cell>
          <cell r="AV112">
            <v>2750000</v>
          </cell>
          <cell r="AW112">
            <v>0</v>
          </cell>
          <cell r="AX112">
            <v>2750000</v>
          </cell>
        </row>
        <row r="113">
          <cell r="G113" t="str">
            <v>AGM-01-007-007</v>
          </cell>
          <cell r="H113" t="str">
            <v xml:space="preserve">Raemulan Lands, Inc. </v>
          </cell>
          <cell r="I113" t="str">
            <v>Agapeya</v>
          </cell>
          <cell r="J113" t="str">
            <v>AGM</v>
          </cell>
          <cell r="K113" t="str">
            <v>Eco-High</v>
          </cell>
          <cell r="L113" t="str">
            <v>West</v>
          </cell>
          <cell r="M113" t="str">
            <v>With LTS - 2024</v>
          </cell>
          <cell r="N113" t="str">
            <v>YES</v>
          </cell>
          <cell r="O113" t="str">
            <v>YES</v>
          </cell>
          <cell r="P113" t="str">
            <v>Unaffected lots</v>
          </cell>
          <cell r="Q113" t="str">
            <v>YES</v>
          </cell>
          <cell r="R113">
            <v>70</v>
          </cell>
          <cell r="S113" t="str">
            <v>PCS-04-034407</v>
          </cell>
          <cell r="T113" t="str">
            <v>TCT-060-2024021398</v>
          </cell>
          <cell r="U113" t="b">
            <v>1</v>
          </cell>
          <cell r="V113" t="str">
            <v>Done</v>
          </cell>
          <cell r="W113" t="str">
            <v>2024 Batch</v>
          </cell>
          <cell r="X113" t="str">
            <v>2024 Batch</v>
          </cell>
          <cell r="Y113">
            <v>7</v>
          </cell>
          <cell r="Z113">
            <v>7</v>
          </cell>
          <cell r="AA113" t="str">
            <v>H+L</v>
          </cell>
          <cell r="AB113">
            <v>70</v>
          </cell>
          <cell r="AC113">
            <v>50</v>
          </cell>
          <cell r="AD113" t="str">
            <v>Slant</v>
          </cell>
          <cell r="AE113" t="str">
            <v>Duplex</v>
          </cell>
          <cell r="AF113" t="str">
            <v>326 - With Partition</v>
          </cell>
          <cell r="AG113" t="str">
            <v>With Partition</v>
          </cell>
          <cell r="AH113" t="str">
            <v>With Partition</v>
          </cell>
          <cell r="AI113" t="str">
            <v>GREEN</v>
          </cell>
          <cell r="AJ113" t="str">
            <v>Slant / GREEN</v>
          </cell>
          <cell r="AK113">
            <v>1050000</v>
          </cell>
          <cell r="AL113">
            <v>15000</v>
          </cell>
          <cell r="AM113">
            <v>1650000</v>
          </cell>
          <cell r="AN113">
            <v>33000</v>
          </cell>
          <cell r="AO113">
            <v>150000</v>
          </cell>
          <cell r="AP113">
            <v>2850000</v>
          </cell>
          <cell r="AQ113"/>
          <cell r="AR113">
            <v>2850000</v>
          </cell>
          <cell r="AS113">
            <v>0</v>
          </cell>
          <cell r="AT113">
            <v>2850000</v>
          </cell>
          <cell r="AU113">
            <v>100000</v>
          </cell>
          <cell r="AV113">
            <v>2750000</v>
          </cell>
          <cell r="AW113">
            <v>0</v>
          </cell>
          <cell r="AX113">
            <v>2750000</v>
          </cell>
        </row>
        <row r="114">
          <cell r="G114" t="str">
            <v>AGM-01-007-008</v>
          </cell>
          <cell r="H114" t="str">
            <v xml:space="preserve">Raemulan Lands, Inc. </v>
          </cell>
          <cell r="I114" t="str">
            <v>Agapeya</v>
          </cell>
          <cell r="J114" t="str">
            <v>AGM</v>
          </cell>
          <cell r="K114" t="str">
            <v>Eco-High</v>
          </cell>
          <cell r="L114" t="str">
            <v>West</v>
          </cell>
          <cell r="M114" t="str">
            <v>With LTS - 2024</v>
          </cell>
          <cell r="N114" t="str">
            <v>YES</v>
          </cell>
          <cell r="O114" t="str">
            <v>YES</v>
          </cell>
          <cell r="P114" t="str">
            <v>Unaffected lots</v>
          </cell>
          <cell r="Q114" t="str">
            <v>YES</v>
          </cell>
          <cell r="R114">
            <v>70</v>
          </cell>
          <cell r="S114" t="str">
            <v>PCS-04-034407</v>
          </cell>
          <cell r="T114" t="str">
            <v>TCT-060-2024021399</v>
          </cell>
          <cell r="U114" t="b">
            <v>1</v>
          </cell>
          <cell r="V114" t="str">
            <v>Done</v>
          </cell>
          <cell r="W114" t="str">
            <v>2024 Batch</v>
          </cell>
          <cell r="X114" t="str">
            <v>2024 Batch</v>
          </cell>
          <cell r="Y114">
            <v>7</v>
          </cell>
          <cell r="Z114">
            <v>8</v>
          </cell>
          <cell r="AA114" t="str">
            <v>H+L</v>
          </cell>
          <cell r="AB114">
            <v>70</v>
          </cell>
          <cell r="AC114">
            <v>50</v>
          </cell>
          <cell r="AD114" t="str">
            <v>Slant</v>
          </cell>
          <cell r="AE114" t="str">
            <v>Duplex</v>
          </cell>
          <cell r="AF114" t="str">
            <v>326 - With Partition</v>
          </cell>
          <cell r="AG114" t="str">
            <v>With Partition</v>
          </cell>
          <cell r="AH114" t="str">
            <v>With Partition</v>
          </cell>
          <cell r="AI114" t="str">
            <v>GREEN</v>
          </cell>
          <cell r="AJ114" t="str">
            <v>Slant / GREEN</v>
          </cell>
          <cell r="AK114">
            <v>1050000</v>
          </cell>
          <cell r="AL114">
            <v>15000</v>
          </cell>
          <cell r="AM114">
            <v>1650000</v>
          </cell>
          <cell r="AN114">
            <v>33000</v>
          </cell>
          <cell r="AO114">
            <v>150000</v>
          </cell>
          <cell r="AP114">
            <v>2850000</v>
          </cell>
          <cell r="AQ114"/>
          <cell r="AR114">
            <v>2850000</v>
          </cell>
          <cell r="AS114">
            <v>0</v>
          </cell>
          <cell r="AT114">
            <v>2850000</v>
          </cell>
          <cell r="AU114">
            <v>100000</v>
          </cell>
          <cell r="AV114">
            <v>2750000</v>
          </cell>
          <cell r="AW114">
            <v>0</v>
          </cell>
          <cell r="AX114">
            <v>2750000</v>
          </cell>
        </row>
        <row r="115">
          <cell r="G115" t="str">
            <v>AGM-01-007-009</v>
          </cell>
          <cell r="H115" t="str">
            <v xml:space="preserve">Raemulan Lands, Inc. </v>
          </cell>
          <cell r="I115" t="str">
            <v>Agapeya</v>
          </cell>
          <cell r="J115" t="str">
            <v>AGM</v>
          </cell>
          <cell r="K115" t="str">
            <v>Eco-High</v>
          </cell>
          <cell r="L115" t="str">
            <v>West</v>
          </cell>
          <cell r="M115" t="str">
            <v>With LTS - 2024</v>
          </cell>
          <cell r="N115" t="str">
            <v>YES</v>
          </cell>
          <cell r="O115" t="str">
            <v>YES</v>
          </cell>
          <cell r="P115" t="str">
            <v>Unaffected lots</v>
          </cell>
          <cell r="Q115" t="str">
            <v>YES</v>
          </cell>
          <cell r="R115">
            <v>70</v>
          </cell>
          <cell r="S115" t="str">
            <v>PCS-04-034407</v>
          </cell>
          <cell r="T115" t="str">
            <v>TCT-060-2024021400</v>
          </cell>
          <cell r="U115" t="b">
            <v>1</v>
          </cell>
          <cell r="V115" t="str">
            <v>Done</v>
          </cell>
          <cell r="W115" t="str">
            <v>2024 Batch</v>
          </cell>
          <cell r="X115" t="str">
            <v>2024 Batch</v>
          </cell>
          <cell r="Y115">
            <v>7</v>
          </cell>
          <cell r="Z115">
            <v>9</v>
          </cell>
          <cell r="AA115" t="str">
            <v>H+L</v>
          </cell>
          <cell r="AB115">
            <v>70</v>
          </cell>
          <cell r="AC115">
            <v>50</v>
          </cell>
          <cell r="AD115" t="str">
            <v>Flat</v>
          </cell>
          <cell r="AE115" t="str">
            <v>Duplex</v>
          </cell>
          <cell r="AF115" t="str">
            <v>326 - With Partition</v>
          </cell>
          <cell r="AG115" t="str">
            <v>With Partition</v>
          </cell>
          <cell r="AH115" t="str">
            <v>With Partition</v>
          </cell>
          <cell r="AI115" t="str">
            <v>GREEN</v>
          </cell>
          <cell r="AJ115" t="str">
            <v>Flat / GREEN</v>
          </cell>
          <cell r="AK115">
            <v>1050000</v>
          </cell>
          <cell r="AL115">
            <v>15000</v>
          </cell>
          <cell r="AM115">
            <v>1650000</v>
          </cell>
          <cell r="AN115">
            <v>33000</v>
          </cell>
          <cell r="AO115">
            <v>150000</v>
          </cell>
          <cell r="AP115">
            <v>2850000</v>
          </cell>
          <cell r="AQ115"/>
          <cell r="AR115">
            <v>2850000</v>
          </cell>
          <cell r="AS115">
            <v>0</v>
          </cell>
          <cell r="AT115">
            <v>2850000</v>
          </cell>
          <cell r="AU115">
            <v>100000</v>
          </cell>
          <cell r="AV115">
            <v>2750000</v>
          </cell>
          <cell r="AW115">
            <v>0</v>
          </cell>
          <cell r="AX115">
            <v>2750000</v>
          </cell>
        </row>
        <row r="116">
          <cell r="G116" t="str">
            <v>AGM-01-007-010</v>
          </cell>
          <cell r="H116" t="str">
            <v xml:space="preserve">Raemulan Lands, Inc. </v>
          </cell>
          <cell r="I116" t="str">
            <v>Agapeya</v>
          </cell>
          <cell r="J116" t="str">
            <v>AGM</v>
          </cell>
          <cell r="K116" t="str">
            <v>Eco-High</v>
          </cell>
          <cell r="L116" t="str">
            <v>West</v>
          </cell>
          <cell r="M116" t="str">
            <v>With LTS - 2024</v>
          </cell>
          <cell r="N116" t="str">
            <v>YES</v>
          </cell>
          <cell r="O116" t="str">
            <v>YES</v>
          </cell>
          <cell r="P116" t="str">
            <v>Unaffected lots</v>
          </cell>
          <cell r="Q116" t="str">
            <v>YES</v>
          </cell>
          <cell r="R116">
            <v>70</v>
          </cell>
          <cell r="S116" t="str">
            <v>PCS-04-034407</v>
          </cell>
          <cell r="T116" t="str">
            <v>TCT-060-2024021401</v>
          </cell>
          <cell r="U116" t="b">
            <v>1</v>
          </cell>
          <cell r="V116" t="str">
            <v>Done</v>
          </cell>
          <cell r="W116" t="str">
            <v>2024 Batch</v>
          </cell>
          <cell r="X116" t="str">
            <v>2024 Batch</v>
          </cell>
          <cell r="Y116">
            <v>7</v>
          </cell>
          <cell r="Z116">
            <v>10</v>
          </cell>
          <cell r="AA116" t="str">
            <v>H+L</v>
          </cell>
          <cell r="AB116">
            <v>70</v>
          </cell>
          <cell r="AC116">
            <v>50</v>
          </cell>
          <cell r="AD116" t="str">
            <v>Flat</v>
          </cell>
          <cell r="AE116" t="str">
            <v>Duplex</v>
          </cell>
          <cell r="AF116" t="str">
            <v>326 - With Partition</v>
          </cell>
          <cell r="AG116" t="str">
            <v>With Partition</v>
          </cell>
          <cell r="AH116" t="str">
            <v>With Partition</v>
          </cell>
          <cell r="AI116" t="str">
            <v>PURPLE</v>
          </cell>
          <cell r="AJ116" t="str">
            <v>Flat / PURPLE</v>
          </cell>
          <cell r="AK116">
            <v>1050000</v>
          </cell>
          <cell r="AL116">
            <v>15000</v>
          </cell>
          <cell r="AM116">
            <v>1650000</v>
          </cell>
          <cell r="AN116">
            <v>33000</v>
          </cell>
          <cell r="AO116">
            <v>150000</v>
          </cell>
          <cell r="AP116">
            <v>2850000</v>
          </cell>
          <cell r="AQ116"/>
          <cell r="AR116">
            <v>2850000</v>
          </cell>
          <cell r="AS116">
            <v>0</v>
          </cell>
          <cell r="AT116">
            <v>2850000</v>
          </cell>
          <cell r="AU116">
            <v>100000</v>
          </cell>
          <cell r="AV116">
            <v>2750000</v>
          </cell>
          <cell r="AW116">
            <v>0</v>
          </cell>
          <cell r="AX116">
            <v>2750000</v>
          </cell>
        </row>
        <row r="117">
          <cell r="G117" t="str">
            <v>AGM-01-007-011</v>
          </cell>
          <cell r="H117" t="str">
            <v xml:space="preserve">Raemulan Lands, Inc. </v>
          </cell>
          <cell r="I117" t="str">
            <v>Agapeya</v>
          </cell>
          <cell r="J117" t="str">
            <v>AGM</v>
          </cell>
          <cell r="K117" t="str">
            <v>Eco-High</v>
          </cell>
          <cell r="L117" t="str">
            <v>West</v>
          </cell>
          <cell r="M117" t="str">
            <v>With LTS - 2024</v>
          </cell>
          <cell r="N117" t="str">
            <v>YES</v>
          </cell>
          <cell r="O117" t="str">
            <v>YES</v>
          </cell>
          <cell r="P117" t="str">
            <v>Unaffected lots</v>
          </cell>
          <cell r="Q117" t="str">
            <v>YES</v>
          </cell>
          <cell r="R117">
            <v>70</v>
          </cell>
          <cell r="S117" t="str">
            <v>PCS-04-034407</v>
          </cell>
          <cell r="T117" t="str">
            <v>TCT-060-2024021402</v>
          </cell>
          <cell r="U117" t="b">
            <v>1</v>
          </cell>
          <cell r="V117" t="str">
            <v>Done</v>
          </cell>
          <cell r="W117" t="str">
            <v>2024 Batch</v>
          </cell>
          <cell r="X117" t="str">
            <v>2024 Batch</v>
          </cell>
          <cell r="Y117">
            <v>7</v>
          </cell>
          <cell r="Z117">
            <v>11</v>
          </cell>
          <cell r="AA117" t="str">
            <v>H+L</v>
          </cell>
          <cell r="AB117">
            <v>70</v>
          </cell>
          <cell r="AC117">
            <v>50</v>
          </cell>
          <cell r="AD117" t="str">
            <v>Slant</v>
          </cell>
          <cell r="AE117" t="str">
            <v>Duplex</v>
          </cell>
          <cell r="AF117" t="str">
            <v>326 - With Partition</v>
          </cell>
          <cell r="AG117" t="str">
            <v>With Partition</v>
          </cell>
          <cell r="AH117" t="str">
            <v>With Partition</v>
          </cell>
          <cell r="AI117" t="str">
            <v>PURPLE</v>
          </cell>
          <cell r="AJ117" t="str">
            <v>Slant / PURPLE</v>
          </cell>
          <cell r="AK117">
            <v>1050000</v>
          </cell>
          <cell r="AL117">
            <v>15000</v>
          </cell>
          <cell r="AM117">
            <v>1650000</v>
          </cell>
          <cell r="AN117">
            <v>33000</v>
          </cell>
          <cell r="AO117">
            <v>150000</v>
          </cell>
          <cell r="AP117">
            <v>2850000</v>
          </cell>
          <cell r="AQ117"/>
          <cell r="AR117">
            <v>2850000</v>
          </cell>
          <cell r="AS117">
            <v>0</v>
          </cell>
          <cell r="AT117">
            <v>2850000</v>
          </cell>
          <cell r="AU117">
            <v>100000</v>
          </cell>
          <cell r="AV117">
            <v>2750000</v>
          </cell>
          <cell r="AW117">
            <v>0</v>
          </cell>
          <cell r="AX117">
            <v>2750000</v>
          </cell>
        </row>
        <row r="118">
          <cell r="G118" t="str">
            <v>AGM-01-007-012</v>
          </cell>
          <cell r="H118" t="str">
            <v xml:space="preserve">Raemulan Lands, Inc. </v>
          </cell>
          <cell r="I118" t="str">
            <v>Agapeya</v>
          </cell>
          <cell r="J118" t="str">
            <v>AGM</v>
          </cell>
          <cell r="K118" t="str">
            <v>Eco-High</v>
          </cell>
          <cell r="L118" t="str">
            <v>West</v>
          </cell>
          <cell r="M118" t="str">
            <v>With LTS - 2024</v>
          </cell>
          <cell r="N118" t="str">
            <v>YES</v>
          </cell>
          <cell r="O118" t="str">
            <v>YES</v>
          </cell>
          <cell r="P118" t="str">
            <v>Unaffected lots</v>
          </cell>
          <cell r="Q118" t="str">
            <v>YES</v>
          </cell>
          <cell r="R118">
            <v>70</v>
          </cell>
          <cell r="S118" t="str">
            <v>PCS-04-034407</v>
          </cell>
          <cell r="T118" t="str">
            <v>TCT-060-2024021403</v>
          </cell>
          <cell r="U118" t="b">
            <v>1</v>
          </cell>
          <cell r="V118" t="str">
            <v>Done</v>
          </cell>
          <cell r="W118" t="str">
            <v>2024 Batch</v>
          </cell>
          <cell r="X118" t="str">
            <v>2024 Batch</v>
          </cell>
          <cell r="Y118">
            <v>7</v>
          </cell>
          <cell r="Z118">
            <v>12</v>
          </cell>
          <cell r="AA118" t="str">
            <v>H+L</v>
          </cell>
          <cell r="AB118">
            <v>70</v>
          </cell>
          <cell r="AC118">
            <v>50</v>
          </cell>
          <cell r="AD118" t="str">
            <v>Slant</v>
          </cell>
          <cell r="AE118" t="str">
            <v>Duplex</v>
          </cell>
          <cell r="AF118" t="str">
            <v>326 - With Partition</v>
          </cell>
          <cell r="AG118" t="str">
            <v>With Partition</v>
          </cell>
          <cell r="AH118" t="str">
            <v>With Partition</v>
          </cell>
          <cell r="AI118" t="str">
            <v>PURPLE</v>
          </cell>
          <cell r="AJ118" t="str">
            <v>Slant / PURPLE</v>
          </cell>
          <cell r="AK118">
            <v>1050000</v>
          </cell>
          <cell r="AL118">
            <v>15000</v>
          </cell>
          <cell r="AM118">
            <v>1650000</v>
          </cell>
          <cell r="AN118">
            <v>33000</v>
          </cell>
          <cell r="AO118">
            <v>150000</v>
          </cell>
          <cell r="AP118">
            <v>2850000</v>
          </cell>
          <cell r="AQ118"/>
          <cell r="AR118">
            <v>2850000</v>
          </cell>
          <cell r="AS118">
            <v>0</v>
          </cell>
          <cell r="AT118">
            <v>2850000</v>
          </cell>
          <cell r="AU118">
            <v>100000</v>
          </cell>
          <cell r="AV118">
            <v>2750000</v>
          </cell>
          <cell r="AW118">
            <v>0</v>
          </cell>
          <cell r="AX118">
            <v>2750000</v>
          </cell>
        </row>
        <row r="119">
          <cell r="G119" t="str">
            <v>AGM-01-007-013</v>
          </cell>
          <cell r="H119" t="str">
            <v xml:space="preserve">Raemulan Lands, Inc. </v>
          </cell>
          <cell r="I119" t="str">
            <v>Agapeya</v>
          </cell>
          <cell r="J119" t="str">
            <v>AGM</v>
          </cell>
          <cell r="K119" t="str">
            <v>Eco-High</v>
          </cell>
          <cell r="L119" t="str">
            <v>West</v>
          </cell>
          <cell r="M119" t="str">
            <v>With LTS - 2024</v>
          </cell>
          <cell r="N119" t="str">
            <v>YES</v>
          </cell>
          <cell r="O119" t="str">
            <v>YES</v>
          </cell>
          <cell r="P119" t="str">
            <v>Unaffected lots</v>
          </cell>
          <cell r="Q119" t="str">
            <v>YES</v>
          </cell>
          <cell r="R119">
            <v>70</v>
          </cell>
          <cell r="S119" t="str">
            <v>PCS-04-034407</v>
          </cell>
          <cell r="T119" t="str">
            <v>TCT-060-2024021404</v>
          </cell>
          <cell r="U119" t="b">
            <v>1</v>
          </cell>
          <cell r="V119" t="str">
            <v>Done</v>
          </cell>
          <cell r="W119" t="str">
            <v>2024 Batch</v>
          </cell>
          <cell r="X119" t="str">
            <v>2024 Batch</v>
          </cell>
          <cell r="Y119">
            <v>7</v>
          </cell>
          <cell r="Z119">
            <v>13</v>
          </cell>
          <cell r="AA119" t="str">
            <v>H+L</v>
          </cell>
          <cell r="AB119">
            <v>70</v>
          </cell>
          <cell r="AC119">
            <v>50</v>
          </cell>
          <cell r="AD119" t="str">
            <v>Flat</v>
          </cell>
          <cell r="AE119" t="str">
            <v>Duplex</v>
          </cell>
          <cell r="AF119" t="str">
            <v>326 - With Partition</v>
          </cell>
          <cell r="AG119" t="str">
            <v>With Partition</v>
          </cell>
          <cell r="AH119" t="str">
            <v>With Partition</v>
          </cell>
          <cell r="AI119" t="str">
            <v>PURPLE</v>
          </cell>
          <cell r="AJ119" t="str">
            <v>Flat / PURPLE</v>
          </cell>
          <cell r="AK119">
            <v>1050000</v>
          </cell>
          <cell r="AL119">
            <v>15000</v>
          </cell>
          <cell r="AM119">
            <v>1650000</v>
          </cell>
          <cell r="AN119">
            <v>33000</v>
          </cell>
          <cell r="AO119">
            <v>150000</v>
          </cell>
          <cell r="AP119">
            <v>2850000</v>
          </cell>
          <cell r="AQ119"/>
          <cell r="AR119">
            <v>2850000</v>
          </cell>
          <cell r="AS119">
            <v>0</v>
          </cell>
          <cell r="AT119">
            <v>2850000</v>
          </cell>
          <cell r="AU119">
            <v>100000</v>
          </cell>
          <cell r="AV119">
            <v>2750000</v>
          </cell>
          <cell r="AW119">
            <v>0</v>
          </cell>
          <cell r="AX119">
            <v>2750000</v>
          </cell>
        </row>
        <row r="120">
          <cell r="G120" t="str">
            <v>AGM-01-007-014</v>
          </cell>
          <cell r="H120" t="str">
            <v xml:space="preserve">Raemulan Lands, Inc. </v>
          </cell>
          <cell r="I120" t="str">
            <v>Agapeya</v>
          </cell>
          <cell r="J120" t="str">
            <v>AGM</v>
          </cell>
          <cell r="K120" t="str">
            <v>Eco-High</v>
          </cell>
          <cell r="L120" t="str">
            <v>West</v>
          </cell>
          <cell r="M120" t="str">
            <v>With LTS - 2024</v>
          </cell>
          <cell r="N120" t="str">
            <v>YES</v>
          </cell>
          <cell r="O120" t="str">
            <v>YES</v>
          </cell>
          <cell r="P120" t="str">
            <v>Unaffected lots</v>
          </cell>
          <cell r="Q120" t="str">
            <v>YES</v>
          </cell>
          <cell r="R120">
            <v>70</v>
          </cell>
          <cell r="S120" t="str">
            <v>PCS-04-034407</v>
          </cell>
          <cell r="T120" t="str">
            <v>TCT-060-2024021405</v>
          </cell>
          <cell r="U120" t="b">
            <v>1</v>
          </cell>
          <cell r="V120" t="str">
            <v>Done</v>
          </cell>
          <cell r="W120" t="str">
            <v>2024 Batch</v>
          </cell>
          <cell r="X120" t="str">
            <v>2024 Batch</v>
          </cell>
          <cell r="Y120">
            <v>7</v>
          </cell>
          <cell r="Z120">
            <v>14</v>
          </cell>
          <cell r="AA120" t="str">
            <v>H+L</v>
          </cell>
          <cell r="AB120">
            <v>70</v>
          </cell>
          <cell r="AC120">
            <v>50</v>
          </cell>
          <cell r="AD120" t="str">
            <v>Flat</v>
          </cell>
          <cell r="AE120" t="str">
            <v>Duplex</v>
          </cell>
          <cell r="AF120" t="str">
            <v>326 - With Partition</v>
          </cell>
          <cell r="AG120" t="str">
            <v>With Partition</v>
          </cell>
          <cell r="AH120" t="str">
            <v>With Partition</v>
          </cell>
          <cell r="AI120" t="str">
            <v>PINK</v>
          </cell>
          <cell r="AJ120" t="str">
            <v>Flat / PINK</v>
          </cell>
          <cell r="AK120">
            <v>1050000</v>
          </cell>
          <cell r="AL120">
            <v>15000</v>
          </cell>
          <cell r="AM120">
            <v>1650000</v>
          </cell>
          <cell r="AN120">
            <v>33000</v>
          </cell>
          <cell r="AO120">
            <v>150000</v>
          </cell>
          <cell r="AP120">
            <v>2850000</v>
          </cell>
          <cell r="AQ120"/>
          <cell r="AR120">
            <v>2850000</v>
          </cell>
          <cell r="AS120">
            <v>0</v>
          </cell>
          <cell r="AT120">
            <v>2850000</v>
          </cell>
          <cell r="AU120">
            <v>100000</v>
          </cell>
          <cell r="AV120">
            <v>2750000</v>
          </cell>
          <cell r="AW120">
            <v>0</v>
          </cell>
          <cell r="AX120">
            <v>2750000</v>
          </cell>
        </row>
        <row r="121">
          <cell r="G121" t="str">
            <v>AGM-01-007-015</v>
          </cell>
          <cell r="H121" t="str">
            <v xml:space="preserve">Raemulan Lands, Inc. </v>
          </cell>
          <cell r="I121" t="str">
            <v>Agapeya</v>
          </cell>
          <cell r="J121" t="str">
            <v>AGM</v>
          </cell>
          <cell r="K121" t="str">
            <v>Eco-High</v>
          </cell>
          <cell r="L121" t="str">
            <v>West</v>
          </cell>
          <cell r="M121" t="str">
            <v>With LTS - 2024</v>
          </cell>
          <cell r="N121" t="str">
            <v>YES</v>
          </cell>
          <cell r="O121" t="str">
            <v>YES</v>
          </cell>
          <cell r="P121" t="str">
            <v>Unaffected lots</v>
          </cell>
          <cell r="Q121" t="str">
            <v>YES</v>
          </cell>
          <cell r="R121">
            <v>70</v>
          </cell>
          <cell r="S121" t="str">
            <v>PCS-04-034407</v>
          </cell>
          <cell r="T121" t="str">
            <v>TCT-060-2024021406</v>
          </cell>
          <cell r="U121" t="b">
            <v>1</v>
          </cell>
          <cell r="V121" t="str">
            <v>Done</v>
          </cell>
          <cell r="W121" t="str">
            <v>2024 Batch</v>
          </cell>
          <cell r="X121" t="str">
            <v>2024 Batch</v>
          </cell>
          <cell r="Y121">
            <v>7</v>
          </cell>
          <cell r="Z121">
            <v>15</v>
          </cell>
          <cell r="AA121" t="str">
            <v>H+L</v>
          </cell>
          <cell r="AB121">
            <v>70</v>
          </cell>
          <cell r="AC121">
            <v>50</v>
          </cell>
          <cell r="AD121" t="str">
            <v>Slant</v>
          </cell>
          <cell r="AE121" t="str">
            <v>Duplex</v>
          </cell>
          <cell r="AF121" t="str">
            <v>326 - With Partition</v>
          </cell>
          <cell r="AG121" t="str">
            <v>With Partition</v>
          </cell>
          <cell r="AH121" t="str">
            <v>With Partition</v>
          </cell>
          <cell r="AI121" t="str">
            <v>PINK</v>
          </cell>
          <cell r="AJ121" t="str">
            <v>Slant / PINK</v>
          </cell>
          <cell r="AK121">
            <v>1050000</v>
          </cell>
          <cell r="AL121">
            <v>15000</v>
          </cell>
          <cell r="AM121">
            <v>1650000</v>
          </cell>
          <cell r="AN121">
            <v>33000</v>
          </cell>
          <cell r="AO121">
            <v>150000</v>
          </cell>
          <cell r="AP121">
            <v>2850000</v>
          </cell>
          <cell r="AQ121"/>
          <cell r="AR121">
            <v>2850000</v>
          </cell>
          <cell r="AS121">
            <v>0</v>
          </cell>
          <cell r="AT121">
            <v>2850000</v>
          </cell>
          <cell r="AU121">
            <v>100000</v>
          </cell>
          <cell r="AV121">
            <v>2750000</v>
          </cell>
          <cell r="AW121">
            <v>0</v>
          </cell>
          <cell r="AX121">
            <v>2750000</v>
          </cell>
        </row>
        <row r="122">
          <cell r="G122" t="str">
            <v>AGM-01-007-016</v>
          </cell>
          <cell r="H122" t="str">
            <v xml:space="preserve">Raemulan Lands, Inc. </v>
          </cell>
          <cell r="I122" t="str">
            <v>Agapeya</v>
          </cell>
          <cell r="J122" t="str">
            <v>AGM</v>
          </cell>
          <cell r="K122" t="str">
            <v>Eco-High</v>
          </cell>
          <cell r="L122" t="str">
            <v>West</v>
          </cell>
          <cell r="M122" t="str">
            <v>With LTS - 2024</v>
          </cell>
          <cell r="N122" t="str">
            <v>YES</v>
          </cell>
          <cell r="O122" t="str">
            <v>YES</v>
          </cell>
          <cell r="P122" t="str">
            <v>Unaffected lots</v>
          </cell>
          <cell r="Q122" t="str">
            <v>YES</v>
          </cell>
          <cell r="R122">
            <v>70</v>
          </cell>
          <cell r="S122" t="str">
            <v>PCS-04-034407</v>
          </cell>
          <cell r="T122" t="str">
            <v>TCT-060-2024021407</v>
          </cell>
          <cell r="U122" t="b">
            <v>1</v>
          </cell>
          <cell r="V122" t="str">
            <v>Done</v>
          </cell>
          <cell r="W122" t="str">
            <v>2024 Batch</v>
          </cell>
          <cell r="X122" t="str">
            <v>2024 Batch</v>
          </cell>
          <cell r="Y122">
            <v>7</v>
          </cell>
          <cell r="Z122">
            <v>16</v>
          </cell>
          <cell r="AA122" t="str">
            <v>H+L</v>
          </cell>
          <cell r="AB122">
            <v>70</v>
          </cell>
          <cell r="AC122">
            <v>50</v>
          </cell>
          <cell r="AD122" t="str">
            <v>Slant</v>
          </cell>
          <cell r="AE122" t="str">
            <v>Duplex</v>
          </cell>
          <cell r="AF122" t="str">
            <v>326 - With Partition</v>
          </cell>
          <cell r="AG122" t="str">
            <v>With Partition</v>
          </cell>
          <cell r="AH122" t="str">
            <v>With Partition</v>
          </cell>
          <cell r="AI122" t="str">
            <v>PINK</v>
          </cell>
          <cell r="AJ122" t="str">
            <v>Slant / PINK</v>
          </cell>
          <cell r="AK122">
            <v>1050000</v>
          </cell>
          <cell r="AL122">
            <v>15000</v>
          </cell>
          <cell r="AM122">
            <v>1650000</v>
          </cell>
          <cell r="AN122">
            <v>33000</v>
          </cell>
          <cell r="AO122">
            <v>150000</v>
          </cell>
          <cell r="AP122">
            <v>2850000</v>
          </cell>
          <cell r="AQ122"/>
          <cell r="AR122">
            <v>2850000</v>
          </cell>
          <cell r="AS122">
            <v>0</v>
          </cell>
          <cell r="AT122">
            <v>2850000</v>
          </cell>
          <cell r="AU122">
            <v>100000</v>
          </cell>
          <cell r="AV122">
            <v>2750000</v>
          </cell>
          <cell r="AW122">
            <v>0</v>
          </cell>
          <cell r="AX122">
            <v>2750000</v>
          </cell>
        </row>
        <row r="123">
          <cell r="G123" t="str">
            <v>AGM-01-007-017</v>
          </cell>
          <cell r="H123" t="str">
            <v xml:space="preserve">Raemulan Lands, Inc. </v>
          </cell>
          <cell r="I123" t="str">
            <v>Agapeya</v>
          </cell>
          <cell r="J123" t="str">
            <v>AGM</v>
          </cell>
          <cell r="K123" t="str">
            <v>Eco-High</v>
          </cell>
          <cell r="L123" t="str">
            <v>West</v>
          </cell>
          <cell r="M123" t="str">
            <v>With LTS - 2024</v>
          </cell>
          <cell r="N123" t="str">
            <v>YES</v>
          </cell>
          <cell r="O123" t="str">
            <v>YES</v>
          </cell>
          <cell r="P123" t="str">
            <v>Unaffected lots</v>
          </cell>
          <cell r="Q123" t="str">
            <v>YES</v>
          </cell>
          <cell r="R123">
            <v>70</v>
          </cell>
          <cell r="S123" t="str">
            <v>PCS-04-034407</v>
          </cell>
          <cell r="T123" t="str">
            <v>TCT-060-2024021408</v>
          </cell>
          <cell r="U123" t="b">
            <v>1</v>
          </cell>
          <cell r="V123" t="str">
            <v>Done</v>
          </cell>
          <cell r="W123" t="str">
            <v>2024 Batch</v>
          </cell>
          <cell r="X123" t="str">
            <v>2024 Batch</v>
          </cell>
          <cell r="Y123">
            <v>7</v>
          </cell>
          <cell r="Z123">
            <v>17</v>
          </cell>
          <cell r="AA123" t="str">
            <v>H+L</v>
          </cell>
          <cell r="AB123">
            <v>70</v>
          </cell>
          <cell r="AC123">
            <v>50</v>
          </cell>
          <cell r="AD123" t="str">
            <v>Flat</v>
          </cell>
          <cell r="AE123" t="str">
            <v>Duplex</v>
          </cell>
          <cell r="AF123" t="str">
            <v>326 - With Partition</v>
          </cell>
          <cell r="AG123" t="str">
            <v>With Partition</v>
          </cell>
          <cell r="AH123" t="str">
            <v>With Partition</v>
          </cell>
          <cell r="AI123" t="str">
            <v>PINK</v>
          </cell>
          <cell r="AJ123" t="str">
            <v>Flat / PINK</v>
          </cell>
          <cell r="AK123">
            <v>1050000</v>
          </cell>
          <cell r="AL123">
            <v>15000</v>
          </cell>
          <cell r="AM123">
            <v>1650000</v>
          </cell>
          <cell r="AN123">
            <v>33000</v>
          </cell>
          <cell r="AO123">
            <v>150000</v>
          </cell>
          <cell r="AP123">
            <v>2850000</v>
          </cell>
          <cell r="AQ123"/>
          <cell r="AR123">
            <v>2850000</v>
          </cell>
          <cell r="AS123">
            <v>0</v>
          </cell>
          <cell r="AT123">
            <v>2850000</v>
          </cell>
          <cell r="AU123">
            <v>100000</v>
          </cell>
          <cell r="AV123">
            <v>2750000</v>
          </cell>
          <cell r="AW123">
            <v>0</v>
          </cell>
          <cell r="AX123">
            <v>2750000</v>
          </cell>
        </row>
        <row r="124">
          <cell r="G124" t="str">
            <v>AGM-01-007-018</v>
          </cell>
          <cell r="H124" t="str">
            <v xml:space="preserve">Raemulan Lands, Inc. </v>
          </cell>
          <cell r="I124" t="str">
            <v>Agapeya</v>
          </cell>
          <cell r="J124" t="str">
            <v>AGM</v>
          </cell>
          <cell r="K124" t="str">
            <v>Eco-High</v>
          </cell>
          <cell r="L124" t="str">
            <v>West</v>
          </cell>
          <cell r="M124" t="str">
            <v>With LTS - 2024</v>
          </cell>
          <cell r="N124" t="str">
            <v>YES</v>
          </cell>
          <cell r="O124" t="str">
            <v>YES</v>
          </cell>
          <cell r="P124" t="str">
            <v>Unaffected lots</v>
          </cell>
          <cell r="Q124" t="str">
            <v>YES</v>
          </cell>
          <cell r="R124">
            <v>70</v>
          </cell>
          <cell r="S124" t="str">
            <v>PCS-04-034407</v>
          </cell>
          <cell r="T124" t="str">
            <v>TCT-060-2024021409</v>
          </cell>
          <cell r="U124" t="b">
            <v>1</v>
          </cell>
          <cell r="V124" t="str">
            <v>Done</v>
          </cell>
          <cell r="W124" t="str">
            <v>2024 Batch</v>
          </cell>
          <cell r="X124" t="str">
            <v>2024 Batch</v>
          </cell>
          <cell r="Y124">
            <v>7</v>
          </cell>
          <cell r="Z124">
            <v>18</v>
          </cell>
          <cell r="AA124" t="str">
            <v>H+L</v>
          </cell>
          <cell r="AB124">
            <v>70</v>
          </cell>
          <cell r="AC124">
            <v>50</v>
          </cell>
          <cell r="AD124" t="str">
            <v>Flat</v>
          </cell>
          <cell r="AE124" t="str">
            <v>Duplex</v>
          </cell>
          <cell r="AF124" t="str">
            <v>326 - With Partition</v>
          </cell>
          <cell r="AG124" t="str">
            <v>With Partition</v>
          </cell>
          <cell r="AH124" t="str">
            <v>With Partition</v>
          </cell>
          <cell r="AI124" t="str">
            <v>YELLOW</v>
          </cell>
          <cell r="AJ124" t="str">
            <v>Flat / YELLOW</v>
          </cell>
          <cell r="AK124">
            <v>1050000</v>
          </cell>
          <cell r="AL124">
            <v>15000</v>
          </cell>
          <cell r="AM124">
            <v>1650000</v>
          </cell>
          <cell r="AN124">
            <v>33000</v>
          </cell>
          <cell r="AO124">
            <v>150000</v>
          </cell>
          <cell r="AP124">
            <v>2850000</v>
          </cell>
          <cell r="AQ124"/>
          <cell r="AR124">
            <v>2850000</v>
          </cell>
          <cell r="AS124">
            <v>0</v>
          </cell>
          <cell r="AT124">
            <v>2850000</v>
          </cell>
          <cell r="AU124">
            <v>100000</v>
          </cell>
          <cell r="AV124">
            <v>2750000</v>
          </cell>
          <cell r="AW124">
            <v>0</v>
          </cell>
          <cell r="AX124">
            <v>2750000</v>
          </cell>
        </row>
        <row r="125">
          <cell r="G125" t="str">
            <v>AGM-01-007-019</v>
          </cell>
          <cell r="H125" t="str">
            <v xml:space="preserve">Raemulan Lands, Inc. </v>
          </cell>
          <cell r="I125" t="str">
            <v>Agapeya</v>
          </cell>
          <cell r="J125" t="str">
            <v>AGM</v>
          </cell>
          <cell r="K125" t="str">
            <v>Eco-High</v>
          </cell>
          <cell r="L125" t="str">
            <v>West</v>
          </cell>
          <cell r="M125" t="str">
            <v>With LTS - 2024</v>
          </cell>
          <cell r="N125" t="str">
            <v>YES</v>
          </cell>
          <cell r="O125" t="str">
            <v>YES</v>
          </cell>
          <cell r="P125" t="str">
            <v>Unaffected lots</v>
          </cell>
          <cell r="Q125" t="str">
            <v>YES</v>
          </cell>
          <cell r="R125">
            <v>70</v>
          </cell>
          <cell r="S125" t="str">
            <v>PCS-04-034407</v>
          </cell>
          <cell r="T125" t="str">
            <v>TCT-060-2024021410</v>
          </cell>
          <cell r="U125" t="b">
            <v>1</v>
          </cell>
          <cell r="V125" t="str">
            <v>Done</v>
          </cell>
          <cell r="W125" t="str">
            <v>2024 Batch</v>
          </cell>
          <cell r="X125" t="str">
            <v>2024 Batch</v>
          </cell>
          <cell r="Y125">
            <v>7</v>
          </cell>
          <cell r="Z125">
            <v>19</v>
          </cell>
          <cell r="AA125" t="str">
            <v>H+L</v>
          </cell>
          <cell r="AB125">
            <v>70</v>
          </cell>
          <cell r="AC125">
            <v>50</v>
          </cell>
          <cell r="AD125" t="str">
            <v>Slant</v>
          </cell>
          <cell r="AE125" t="str">
            <v>Duplex</v>
          </cell>
          <cell r="AF125" t="str">
            <v>326 - With Partition</v>
          </cell>
          <cell r="AG125" t="str">
            <v>With Partition</v>
          </cell>
          <cell r="AH125" t="str">
            <v>With Partition</v>
          </cell>
          <cell r="AI125" t="str">
            <v>YELLOW</v>
          </cell>
          <cell r="AJ125" t="str">
            <v>Slant / YELLOW</v>
          </cell>
          <cell r="AK125">
            <v>1050000</v>
          </cell>
          <cell r="AL125">
            <v>15000</v>
          </cell>
          <cell r="AM125">
            <v>1650000</v>
          </cell>
          <cell r="AN125">
            <v>33000</v>
          </cell>
          <cell r="AO125">
            <v>150000</v>
          </cell>
          <cell r="AP125">
            <v>2850000</v>
          </cell>
          <cell r="AQ125"/>
          <cell r="AR125">
            <v>2850000</v>
          </cell>
          <cell r="AS125">
            <v>0</v>
          </cell>
          <cell r="AT125">
            <v>2850000</v>
          </cell>
          <cell r="AU125">
            <v>100000</v>
          </cell>
          <cell r="AV125">
            <v>2750000</v>
          </cell>
          <cell r="AW125">
            <v>0</v>
          </cell>
          <cell r="AX125">
            <v>2750000</v>
          </cell>
        </row>
        <row r="126">
          <cell r="G126" t="str">
            <v>AGM-01-007-020</v>
          </cell>
          <cell r="H126" t="str">
            <v xml:space="preserve">Raemulan Lands, Inc. </v>
          </cell>
          <cell r="I126" t="str">
            <v>Agapeya</v>
          </cell>
          <cell r="J126" t="str">
            <v>AGM</v>
          </cell>
          <cell r="K126" t="str">
            <v>Eco-High</v>
          </cell>
          <cell r="L126" t="str">
            <v>West</v>
          </cell>
          <cell r="M126" t="str">
            <v>With LTS - 2024</v>
          </cell>
          <cell r="N126" t="str">
            <v>YES</v>
          </cell>
          <cell r="O126" t="str">
            <v>YES</v>
          </cell>
          <cell r="P126" t="str">
            <v>Unaffected lots</v>
          </cell>
          <cell r="Q126" t="str">
            <v>YES</v>
          </cell>
          <cell r="R126">
            <v>70</v>
          </cell>
          <cell r="S126" t="str">
            <v>PCS-04-034407</v>
          </cell>
          <cell r="T126" t="str">
            <v>TCT-060-2024021411</v>
          </cell>
          <cell r="U126" t="b">
            <v>1</v>
          </cell>
          <cell r="V126" t="str">
            <v>Done</v>
          </cell>
          <cell r="W126" t="str">
            <v>2024 Batch</v>
          </cell>
          <cell r="X126" t="str">
            <v>2024 Batch</v>
          </cell>
          <cell r="Y126">
            <v>7</v>
          </cell>
          <cell r="Z126">
            <v>20</v>
          </cell>
          <cell r="AA126" t="str">
            <v>H+L</v>
          </cell>
          <cell r="AB126">
            <v>70</v>
          </cell>
          <cell r="AC126">
            <v>50</v>
          </cell>
          <cell r="AD126" t="str">
            <v>Slant</v>
          </cell>
          <cell r="AE126" t="str">
            <v>Duplex</v>
          </cell>
          <cell r="AF126" t="str">
            <v>326 - With Partition</v>
          </cell>
          <cell r="AG126" t="str">
            <v>With Partition</v>
          </cell>
          <cell r="AH126" t="str">
            <v>With Partition</v>
          </cell>
          <cell r="AI126" t="str">
            <v>YELLOW</v>
          </cell>
          <cell r="AJ126" t="str">
            <v>Slant / YELLOW</v>
          </cell>
          <cell r="AK126">
            <v>1050000</v>
          </cell>
          <cell r="AL126">
            <v>15000</v>
          </cell>
          <cell r="AM126">
            <v>1650000</v>
          </cell>
          <cell r="AN126">
            <v>33000</v>
          </cell>
          <cell r="AO126">
            <v>150000</v>
          </cell>
          <cell r="AP126">
            <v>2850000</v>
          </cell>
          <cell r="AQ126"/>
          <cell r="AR126">
            <v>2850000</v>
          </cell>
          <cell r="AS126">
            <v>0</v>
          </cell>
          <cell r="AT126">
            <v>2850000</v>
          </cell>
          <cell r="AU126">
            <v>100000</v>
          </cell>
          <cell r="AV126">
            <v>2750000</v>
          </cell>
          <cell r="AW126">
            <v>0</v>
          </cell>
          <cell r="AX126">
            <v>2750000</v>
          </cell>
        </row>
        <row r="127">
          <cell r="G127" t="str">
            <v>AGM-01-007-021</v>
          </cell>
          <cell r="H127" t="str">
            <v xml:space="preserve">Raemulan Lands, Inc. </v>
          </cell>
          <cell r="I127" t="str">
            <v>Agapeya</v>
          </cell>
          <cell r="J127" t="str">
            <v>AGM</v>
          </cell>
          <cell r="K127" t="str">
            <v>Eco-High</v>
          </cell>
          <cell r="L127" t="str">
            <v>West</v>
          </cell>
          <cell r="M127" t="str">
            <v>With LTS - 2024</v>
          </cell>
          <cell r="N127" t="str">
            <v>YES</v>
          </cell>
          <cell r="O127" t="str">
            <v>YES</v>
          </cell>
          <cell r="P127" t="str">
            <v>Unaffected lots</v>
          </cell>
          <cell r="Q127" t="str">
            <v>YES</v>
          </cell>
          <cell r="R127">
            <v>78</v>
          </cell>
          <cell r="S127" t="str">
            <v>PCS-04-034407</v>
          </cell>
          <cell r="T127" t="str">
            <v>TCT-060-2024021412</v>
          </cell>
          <cell r="U127" t="b">
            <v>1</v>
          </cell>
          <cell r="V127" t="str">
            <v>Done</v>
          </cell>
          <cell r="W127" t="str">
            <v>2024 Batch</v>
          </cell>
          <cell r="X127" t="str">
            <v>2024 Batch</v>
          </cell>
          <cell r="Y127">
            <v>7</v>
          </cell>
          <cell r="Z127">
            <v>21</v>
          </cell>
          <cell r="AA127" t="str">
            <v>H+L</v>
          </cell>
          <cell r="AB127">
            <v>78</v>
          </cell>
          <cell r="AC127">
            <v>50</v>
          </cell>
          <cell r="AD127" t="str">
            <v>Flat</v>
          </cell>
          <cell r="AE127" t="str">
            <v>Duplex</v>
          </cell>
          <cell r="AF127" t="str">
            <v>326 - With Partition</v>
          </cell>
          <cell r="AG127" t="str">
            <v>With Partition</v>
          </cell>
          <cell r="AH127" t="str">
            <v>With Partition</v>
          </cell>
          <cell r="AI127" t="str">
            <v>YELLOW</v>
          </cell>
          <cell r="AJ127" t="str">
            <v>Flat / YELLOW</v>
          </cell>
          <cell r="AK127">
            <v>1170000</v>
          </cell>
          <cell r="AL127">
            <v>15000</v>
          </cell>
          <cell r="AM127">
            <v>1650000</v>
          </cell>
          <cell r="AN127">
            <v>33000</v>
          </cell>
          <cell r="AO127">
            <v>150000</v>
          </cell>
          <cell r="AP127">
            <v>2970000</v>
          </cell>
          <cell r="AQ127"/>
          <cell r="AR127">
            <v>2970000</v>
          </cell>
          <cell r="AS127">
            <v>0</v>
          </cell>
          <cell r="AT127">
            <v>2970000</v>
          </cell>
          <cell r="AU127">
            <v>100000</v>
          </cell>
          <cell r="AV127">
            <v>2870000</v>
          </cell>
          <cell r="AW127">
            <v>0</v>
          </cell>
          <cell r="AX127">
            <v>2870000</v>
          </cell>
        </row>
        <row r="128">
          <cell r="G128" t="str">
            <v>AGM-01-007-022</v>
          </cell>
          <cell r="H128" t="str">
            <v xml:space="preserve">Raemulan Lands, Inc. </v>
          </cell>
          <cell r="I128" t="str">
            <v>Agapeya</v>
          </cell>
          <cell r="J128" t="str">
            <v>AGM</v>
          </cell>
          <cell r="K128" t="str">
            <v>Eco-High</v>
          </cell>
          <cell r="L128" t="str">
            <v>West</v>
          </cell>
          <cell r="M128" t="str">
            <v>With LTS - 2024</v>
          </cell>
          <cell r="N128" t="str">
            <v>YES</v>
          </cell>
          <cell r="O128" t="str">
            <v>YES</v>
          </cell>
          <cell r="P128" t="str">
            <v>Unaffected lots</v>
          </cell>
          <cell r="Q128" t="str">
            <v>YES</v>
          </cell>
          <cell r="R128">
            <v>78</v>
          </cell>
          <cell r="S128" t="str">
            <v>PCS-04-034407</v>
          </cell>
          <cell r="T128" t="str">
            <v>TCT-060-2024021413</v>
          </cell>
          <cell r="U128" t="b">
            <v>1</v>
          </cell>
          <cell r="V128" t="str">
            <v>Done</v>
          </cell>
          <cell r="W128" t="str">
            <v>2024 Batch</v>
          </cell>
          <cell r="X128" t="str">
            <v>2024 Batch</v>
          </cell>
          <cell r="Y128">
            <v>7</v>
          </cell>
          <cell r="Z128">
            <v>22</v>
          </cell>
          <cell r="AA128" t="str">
            <v>H+L</v>
          </cell>
          <cell r="AB128">
            <v>78</v>
          </cell>
          <cell r="AC128">
            <v>50</v>
          </cell>
          <cell r="AD128" t="str">
            <v>Slant</v>
          </cell>
          <cell r="AE128" t="str">
            <v>Duplex</v>
          </cell>
          <cell r="AF128" t="str">
            <v>326 - With Partition</v>
          </cell>
          <cell r="AG128" t="str">
            <v>With Partition</v>
          </cell>
          <cell r="AH128" t="str">
            <v>With Partition</v>
          </cell>
          <cell r="AI128" t="str">
            <v>GREEN</v>
          </cell>
          <cell r="AJ128" t="str">
            <v>Slant / GREEN</v>
          </cell>
          <cell r="AK128">
            <v>1170000</v>
          </cell>
          <cell r="AL128">
            <v>15000</v>
          </cell>
          <cell r="AM128">
            <v>1650000</v>
          </cell>
          <cell r="AN128">
            <v>33000</v>
          </cell>
          <cell r="AO128">
            <v>150000</v>
          </cell>
          <cell r="AP128">
            <v>2970000</v>
          </cell>
          <cell r="AQ128"/>
          <cell r="AR128">
            <v>2970000</v>
          </cell>
          <cell r="AS128">
            <v>0</v>
          </cell>
          <cell r="AT128">
            <v>2970000</v>
          </cell>
          <cell r="AU128">
            <v>100000</v>
          </cell>
          <cell r="AV128">
            <v>2870000</v>
          </cell>
          <cell r="AW128">
            <v>0</v>
          </cell>
          <cell r="AX128">
            <v>2870000</v>
          </cell>
        </row>
        <row r="129">
          <cell r="G129" t="str">
            <v>AGM-01-007-023</v>
          </cell>
          <cell r="H129" t="str">
            <v xml:space="preserve">Raemulan Lands, Inc. </v>
          </cell>
          <cell r="I129" t="str">
            <v>Agapeya</v>
          </cell>
          <cell r="J129" t="str">
            <v>AGM</v>
          </cell>
          <cell r="K129" t="str">
            <v>Eco-High</v>
          </cell>
          <cell r="L129" t="str">
            <v>West</v>
          </cell>
          <cell r="M129" t="str">
            <v>With LTS - 2024</v>
          </cell>
          <cell r="N129" t="str">
            <v>YES</v>
          </cell>
          <cell r="O129" t="str">
            <v>YES</v>
          </cell>
          <cell r="P129" t="str">
            <v>Unaffected lots</v>
          </cell>
          <cell r="Q129" t="str">
            <v>YES</v>
          </cell>
          <cell r="R129">
            <v>70</v>
          </cell>
          <cell r="S129" t="str">
            <v>PCS-04-034407</v>
          </cell>
          <cell r="T129" t="str">
            <v>TCT-060-2024021414</v>
          </cell>
          <cell r="U129" t="b">
            <v>1</v>
          </cell>
          <cell r="V129" t="str">
            <v>Done</v>
          </cell>
          <cell r="W129" t="str">
            <v>2024 Batch</v>
          </cell>
          <cell r="X129" t="str">
            <v>2024 Batch</v>
          </cell>
          <cell r="Y129">
            <v>7</v>
          </cell>
          <cell r="Z129">
            <v>23</v>
          </cell>
          <cell r="AA129" t="str">
            <v>H+L</v>
          </cell>
          <cell r="AB129">
            <v>70</v>
          </cell>
          <cell r="AC129">
            <v>50</v>
          </cell>
          <cell r="AD129" t="str">
            <v>Flat</v>
          </cell>
          <cell r="AE129" t="str">
            <v>Duplex</v>
          </cell>
          <cell r="AF129" t="str">
            <v>326 - With Partition</v>
          </cell>
          <cell r="AG129" t="str">
            <v>With Partition</v>
          </cell>
          <cell r="AH129" t="str">
            <v>With Partition</v>
          </cell>
          <cell r="AI129" t="str">
            <v>GREEN</v>
          </cell>
          <cell r="AJ129" t="str">
            <v>Flat / GREEN</v>
          </cell>
          <cell r="AK129">
            <v>1050000</v>
          </cell>
          <cell r="AL129">
            <v>15000</v>
          </cell>
          <cell r="AM129">
            <v>1650000</v>
          </cell>
          <cell r="AN129">
            <v>33000</v>
          </cell>
          <cell r="AO129">
            <v>150000</v>
          </cell>
          <cell r="AP129">
            <v>2850000</v>
          </cell>
          <cell r="AQ129"/>
          <cell r="AR129">
            <v>2850000</v>
          </cell>
          <cell r="AS129">
            <v>0</v>
          </cell>
          <cell r="AT129">
            <v>2850000</v>
          </cell>
          <cell r="AU129">
            <v>100000</v>
          </cell>
          <cell r="AV129">
            <v>2750000</v>
          </cell>
          <cell r="AW129">
            <v>0</v>
          </cell>
          <cell r="AX129">
            <v>2750000</v>
          </cell>
        </row>
        <row r="130">
          <cell r="G130" t="str">
            <v>AGM-01-007-024</v>
          </cell>
          <cell r="H130" t="str">
            <v xml:space="preserve">Raemulan Lands, Inc. </v>
          </cell>
          <cell r="I130" t="str">
            <v>Agapeya</v>
          </cell>
          <cell r="J130" t="str">
            <v>AGM</v>
          </cell>
          <cell r="K130" t="str">
            <v>Eco-High</v>
          </cell>
          <cell r="L130" t="str">
            <v>West</v>
          </cell>
          <cell r="M130" t="str">
            <v>With LTS - 2024</v>
          </cell>
          <cell r="N130" t="str">
            <v>YES</v>
          </cell>
          <cell r="O130" t="str">
            <v>YES</v>
          </cell>
          <cell r="P130" t="str">
            <v>Unaffected lots</v>
          </cell>
          <cell r="Q130" t="str">
            <v>YES</v>
          </cell>
          <cell r="R130">
            <v>70</v>
          </cell>
          <cell r="S130" t="str">
            <v>PCS-04-034407</v>
          </cell>
          <cell r="T130" t="str">
            <v>TCT-060-2024021415</v>
          </cell>
          <cell r="U130" t="b">
            <v>1</v>
          </cell>
          <cell r="V130" t="str">
            <v>Done</v>
          </cell>
          <cell r="W130" t="str">
            <v>2024 Batch</v>
          </cell>
          <cell r="X130" t="str">
            <v>2024 Batch</v>
          </cell>
          <cell r="Y130">
            <v>7</v>
          </cell>
          <cell r="Z130">
            <v>24</v>
          </cell>
          <cell r="AA130" t="str">
            <v>H+L</v>
          </cell>
          <cell r="AB130">
            <v>70</v>
          </cell>
          <cell r="AC130">
            <v>50</v>
          </cell>
          <cell r="AD130" t="str">
            <v>Flat</v>
          </cell>
          <cell r="AE130" t="str">
            <v>Duplex</v>
          </cell>
          <cell r="AF130" t="str">
            <v>326 - With Partition</v>
          </cell>
          <cell r="AG130" t="str">
            <v>With Partition</v>
          </cell>
          <cell r="AH130" t="str">
            <v>With Partition</v>
          </cell>
          <cell r="AI130" t="str">
            <v>GREEN</v>
          </cell>
          <cell r="AJ130" t="str">
            <v>Flat / GREEN</v>
          </cell>
          <cell r="AK130">
            <v>1050000</v>
          </cell>
          <cell r="AL130">
            <v>15000</v>
          </cell>
          <cell r="AM130">
            <v>1650000</v>
          </cell>
          <cell r="AN130">
            <v>33000</v>
          </cell>
          <cell r="AO130">
            <v>150000</v>
          </cell>
          <cell r="AP130">
            <v>2850000</v>
          </cell>
          <cell r="AQ130"/>
          <cell r="AR130">
            <v>2850000</v>
          </cell>
          <cell r="AS130">
            <v>0</v>
          </cell>
          <cell r="AT130">
            <v>2850000</v>
          </cell>
          <cell r="AU130">
            <v>100000</v>
          </cell>
          <cell r="AV130">
            <v>2750000</v>
          </cell>
          <cell r="AW130">
            <v>0</v>
          </cell>
          <cell r="AX130">
            <v>2750000</v>
          </cell>
        </row>
        <row r="131">
          <cell r="G131" t="str">
            <v>AGM-01-007-025</v>
          </cell>
          <cell r="H131" t="str">
            <v xml:space="preserve">Raemulan Lands, Inc. </v>
          </cell>
          <cell r="I131" t="str">
            <v>Agapeya</v>
          </cell>
          <cell r="J131" t="str">
            <v>AGM</v>
          </cell>
          <cell r="K131" t="str">
            <v>Eco-High</v>
          </cell>
          <cell r="L131" t="str">
            <v>West</v>
          </cell>
          <cell r="M131" t="str">
            <v>With LTS - 2024</v>
          </cell>
          <cell r="N131" t="str">
            <v>YES</v>
          </cell>
          <cell r="O131" t="str">
            <v>YES</v>
          </cell>
          <cell r="P131" t="str">
            <v>Unaffected lots</v>
          </cell>
          <cell r="Q131" t="str">
            <v>YES</v>
          </cell>
          <cell r="R131">
            <v>70</v>
          </cell>
          <cell r="S131" t="str">
            <v>PCS-04-034407</v>
          </cell>
          <cell r="T131" t="str">
            <v>TCT-060-2024021416</v>
          </cell>
          <cell r="U131" t="b">
            <v>1</v>
          </cell>
          <cell r="V131" t="str">
            <v>Done</v>
          </cell>
          <cell r="W131" t="str">
            <v>2024 Batch</v>
          </cell>
          <cell r="X131" t="str">
            <v>2024 Batch</v>
          </cell>
          <cell r="Y131">
            <v>7</v>
          </cell>
          <cell r="Z131">
            <v>25</v>
          </cell>
          <cell r="AA131" t="str">
            <v>H+L</v>
          </cell>
          <cell r="AB131">
            <v>70</v>
          </cell>
          <cell r="AC131">
            <v>50</v>
          </cell>
          <cell r="AD131" t="str">
            <v>Slant</v>
          </cell>
          <cell r="AE131" t="str">
            <v>Duplex</v>
          </cell>
          <cell r="AF131" t="str">
            <v>326 - With Partition</v>
          </cell>
          <cell r="AG131" t="str">
            <v>With Partition</v>
          </cell>
          <cell r="AH131" t="str">
            <v>With Partition</v>
          </cell>
          <cell r="AI131" t="str">
            <v>GREEN</v>
          </cell>
          <cell r="AJ131" t="str">
            <v>Slant / GREEN</v>
          </cell>
          <cell r="AK131">
            <v>1050000</v>
          </cell>
          <cell r="AL131">
            <v>15000</v>
          </cell>
          <cell r="AM131">
            <v>1650000</v>
          </cell>
          <cell r="AN131">
            <v>33000</v>
          </cell>
          <cell r="AO131">
            <v>150000</v>
          </cell>
          <cell r="AP131">
            <v>2850000</v>
          </cell>
          <cell r="AQ131"/>
          <cell r="AR131">
            <v>2850000</v>
          </cell>
          <cell r="AS131">
            <v>0</v>
          </cell>
          <cell r="AT131">
            <v>2850000</v>
          </cell>
          <cell r="AU131">
            <v>100000</v>
          </cell>
          <cell r="AV131">
            <v>2750000</v>
          </cell>
          <cell r="AW131">
            <v>0</v>
          </cell>
          <cell r="AX131">
            <v>2750000</v>
          </cell>
        </row>
        <row r="132">
          <cell r="G132" t="str">
            <v>AGM-01-007-026</v>
          </cell>
          <cell r="H132" t="str">
            <v xml:space="preserve">Raemulan Lands, Inc. </v>
          </cell>
          <cell r="I132" t="str">
            <v>Agapeya</v>
          </cell>
          <cell r="J132" t="str">
            <v>AGM</v>
          </cell>
          <cell r="K132" t="str">
            <v>Eco-High</v>
          </cell>
          <cell r="L132" t="str">
            <v>West</v>
          </cell>
          <cell r="M132" t="str">
            <v>With LTS - 2024</v>
          </cell>
          <cell r="N132" t="str">
            <v>YES</v>
          </cell>
          <cell r="O132" t="str">
            <v>YES</v>
          </cell>
          <cell r="P132" t="str">
            <v>Unaffected lots</v>
          </cell>
          <cell r="Q132" t="str">
            <v>YES</v>
          </cell>
          <cell r="R132">
            <v>70</v>
          </cell>
          <cell r="S132" t="str">
            <v>PCS-04-034407</v>
          </cell>
          <cell r="T132" t="str">
            <v>TCT-060-2024021417</v>
          </cell>
          <cell r="U132" t="b">
            <v>1</v>
          </cell>
          <cell r="V132" t="str">
            <v>Done</v>
          </cell>
          <cell r="W132" t="str">
            <v>2024 Batch</v>
          </cell>
          <cell r="X132" t="str">
            <v>2024 Batch</v>
          </cell>
          <cell r="Y132">
            <v>7</v>
          </cell>
          <cell r="Z132">
            <v>26</v>
          </cell>
          <cell r="AA132" t="str">
            <v>H+L</v>
          </cell>
          <cell r="AB132">
            <v>70</v>
          </cell>
          <cell r="AC132">
            <v>50</v>
          </cell>
          <cell r="AD132" t="str">
            <v>Slant</v>
          </cell>
          <cell r="AE132" t="str">
            <v>Duplex</v>
          </cell>
          <cell r="AF132" t="str">
            <v>326 - With Partition</v>
          </cell>
          <cell r="AG132" t="str">
            <v>With Partition</v>
          </cell>
          <cell r="AH132" t="str">
            <v>With Partition</v>
          </cell>
          <cell r="AI132" t="str">
            <v>YELLOW</v>
          </cell>
          <cell r="AJ132" t="str">
            <v>Slant / YELLOW</v>
          </cell>
          <cell r="AK132">
            <v>1050000</v>
          </cell>
          <cell r="AL132">
            <v>15000</v>
          </cell>
          <cell r="AM132">
            <v>1650000</v>
          </cell>
          <cell r="AN132">
            <v>33000</v>
          </cell>
          <cell r="AO132">
            <v>150000</v>
          </cell>
          <cell r="AP132">
            <v>2850000</v>
          </cell>
          <cell r="AQ132"/>
          <cell r="AR132">
            <v>2850000</v>
          </cell>
          <cell r="AS132">
            <v>0</v>
          </cell>
          <cell r="AT132">
            <v>2850000</v>
          </cell>
          <cell r="AU132">
            <v>100000</v>
          </cell>
          <cell r="AV132">
            <v>2750000</v>
          </cell>
          <cell r="AW132">
            <v>0</v>
          </cell>
          <cell r="AX132">
            <v>2750000</v>
          </cell>
        </row>
        <row r="133">
          <cell r="G133" t="str">
            <v>AGM-01-007-027</v>
          </cell>
          <cell r="H133" t="str">
            <v xml:space="preserve">Raemulan Lands, Inc. </v>
          </cell>
          <cell r="I133" t="str">
            <v>Agapeya</v>
          </cell>
          <cell r="J133" t="str">
            <v>AGM</v>
          </cell>
          <cell r="K133" t="str">
            <v>Eco-High</v>
          </cell>
          <cell r="L133" t="str">
            <v>West</v>
          </cell>
          <cell r="M133" t="str">
            <v>With LTS - 2024</v>
          </cell>
          <cell r="N133" t="str">
            <v>YES</v>
          </cell>
          <cell r="O133" t="str">
            <v>YES</v>
          </cell>
          <cell r="P133" t="str">
            <v>Unaffected lots</v>
          </cell>
          <cell r="Q133" t="str">
            <v>YES</v>
          </cell>
          <cell r="R133">
            <v>70</v>
          </cell>
          <cell r="S133" t="str">
            <v>PCS-04-034407</v>
          </cell>
          <cell r="T133" t="str">
            <v>TCT-060-2024021418</v>
          </cell>
          <cell r="U133" t="b">
            <v>1</v>
          </cell>
          <cell r="V133" t="str">
            <v>Done</v>
          </cell>
          <cell r="W133" t="str">
            <v>2024 Batch</v>
          </cell>
          <cell r="X133" t="str">
            <v>2024 Batch</v>
          </cell>
          <cell r="Y133">
            <v>7</v>
          </cell>
          <cell r="Z133">
            <v>27</v>
          </cell>
          <cell r="AA133" t="str">
            <v>H+L</v>
          </cell>
          <cell r="AB133">
            <v>70</v>
          </cell>
          <cell r="AC133">
            <v>50</v>
          </cell>
          <cell r="AD133" t="str">
            <v>Flat</v>
          </cell>
          <cell r="AE133" t="str">
            <v>Duplex</v>
          </cell>
          <cell r="AF133" t="str">
            <v>326 - With Partition</v>
          </cell>
          <cell r="AG133" t="str">
            <v>With Partition</v>
          </cell>
          <cell r="AH133" t="str">
            <v>With Partition</v>
          </cell>
          <cell r="AI133" t="str">
            <v>YELLOW</v>
          </cell>
          <cell r="AJ133" t="str">
            <v>Flat / YELLOW</v>
          </cell>
          <cell r="AK133">
            <v>1050000</v>
          </cell>
          <cell r="AL133">
            <v>15000</v>
          </cell>
          <cell r="AM133">
            <v>1650000</v>
          </cell>
          <cell r="AN133">
            <v>33000</v>
          </cell>
          <cell r="AO133">
            <v>150000</v>
          </cell>
          <cell r="AP133">
            <v>2850000</v>
          </cell>
          <cell r="AQ133"/>
          <cell r="AR133">
            <v>2850000</v>
          </cell>
          <cell r="AS133">
            <v>0</v>
          </cell>
          <cell r="AT133">
            <v>2850000</v>
          </cell>
          <cell r="AU133">
            <v>100000</v>
          </cell>
          <cell r="AV133">
            <v>2750000</v>
          </cell>
          <cell r="AW133">
            <v>0</v>
          </cell>
          <cell r="AX133">
            <v>2750000</v>
          </cell>
        </row>
        <row r="134">
          <cell r="G134" t="str">
            <v>AGM-01-007-028</v>
          </cell>
          <cell r="H134" t="str">
            <v xml:space="preserve">Raemulan Lands, Inc. </v>
          </cell>
          <cell r="I134" t="str">
            <v>Agapeya</v>
          </cell>
          <cell r="J134" t="str">
            <v>AGM</v>
          </cell>
          <cell r="K134" t="str">
            <v>Eco-High</v>
          </cell>
          <cell r="L134" t="str">
            <v>West</v>
          </cell>
          <cell r="M134" t="str">
            <v>With LTS - 2024</v>
          </cell>
          <cell r="N134" t="str">
            <v>YES</v>
          </cell>
          <cell r="O134" t="str">
            <v>YES</v>
          </cell>
          <cell r="P134" t="str">
            <v>Unaffected lots</v>
          </cell>
          <cell r="Q134" t="str">
            <v>YES</v>
          </cell>
          <cell r="R134">
            <v>70</v>
          </cell>
          <cell r="S134" t="str">
            <v>PCS-04-034407</v>
          </cell>
          <cell r="T134" t="str">
            <v>TCT-060-2024021419</v>
          </cell>
          <cell r="U134" t="b">
            <v>1</v>
          </cell>
          <cell r="V134" t="str">
            <v>Done</v>
          </cell>
          <cell r="W134" t="str">
            <v>2024 Batch</v>
          </cell>
          <cell r="X134" t="str">
            <v>2024 Batch</v>
          </cell>
          <cell r="Y134">
            <v>7</v>
          </cell>
          <cell r="Z134">
            <v>28</v>
          </cell>
          <cell r="AA134" t="str">
            <v>H+L</v>
          </cell>
          <cell r="AB134">
            <v>70</v>
          </cell>
          <cell r="AC134">
            <v>50</v>
          </cell>
          <cell r="AD134" t="str">
            <v>Flat</v>
          </cell>
          <cell r="AE134" t="str">
            <v>Duplex</v>
          </cell>
          <cell r="AF134" t="str">
            <v>326 - With Partition</v>
          </cell>
          <cell r="AG134" t="str">
            <v>With Partition</v>
          </cell>
          <cell r="AH134" t="str">
            <v>With Partition</v>
          </cell>
          <cell r="AI134" t="str">
            <v>YELLOW</v>
          </cell>
          <cell r="AJ134" t="str">
            <v>Flat / YELLOW</v>
          </cell>
          <cell r="AK134">
            <v>1050000</v>
          </cell>
          <cell r="AL134">
            <v>15000</v>
          </cell>
          <cell r="AM134">
            <v>1650000</v>
          </cell>
          <cell r="AN134">
            <v>33000</v>
          </cell>
          <cell r="AO134">
            <v>150000</v>
          </cell>
          <cell r="AP134">
            <v>2850000</v>
          </cell>
          <cell r="AQ134"/>
          <cell r="AR134">
            <v>2850000</v>
          </cell>
          <cell r="AS134">
            <v>0</v>
          </cell>
          <cell r="AT134">
            <v>2850000</v>
          </cell>
          <cell r="AU134">
            <v>100000</v>
          </cell>
          <cell r="AV134">
            <v>2750000</v>
          </cell>
          <cell r="AW134">
            <v>0</v>
          </cell>
          <cell r="AX134">
            <v>2750000</v>
          </cell>
        </row>
        <row r="135">
          <cell r="G135" t="str">
            <v>AGM-01-007-029</v>
          </cell>
          <cell r="H135" t="str">
            <v xml:space="preserve">Raemulan Lands, Inc. </v>
          </cell>
          <cell r="I135" t="str">
            <v>Agapeya</v>
          </cell>
          <cell r="J135" t="str">
            <v>AGM</v>
          </cell>
          <cell r="K135" t="str">
            <v>Eco-High</v>
          </cell>
          <cell r="L135" t="str">
            <v>West</v>
          </cell>
          <cell r="M135" t="str">
            <v>With LTS - 2024</v>
          </cell>
          <cell r="N135" t="str">
            <v>YES</v>
          </cell>
          <cell r="O135" t="str">
            <v>YES</v>
          </cell>
          <cell r="P135" t="str">
            <v>Unaffected lots</v>
          </cell>
          <cell r="Q135" t="str">
            <v>YES</v>
          </cell>
          <cell r="R135">
            <v>70</v>
          </cell>
          <cell r="S135" t="str">
            <v>PCS-04-034407</v>
          </cell>
          <cell r="T135" t="str">
            <v>TCT-060-2024021420</v>
          </cell>
          <cell r="U135" t="b">
            <v>1</v>
          </cell>
          <cell r="V135" t="str">
            <v>Done</v>
          </cell>
          <cell r="W135" t="str">
            <v>2024 Batch</v>
          </cell>
          <cell r="X135" t="str">
            <v>2024 Batch</v>
          </cell>
          <cell r="Y135">
            <v>7</v>
          </cell>
          <cell r="Z135">
            <v>29</v>
          </cell>
          <cell r="AA135" t="str">
            <v>H+L</v>
          </cell>
          <cell r="AB135">
            <v>70</v>
          </cell>
          <cell r="AC135">
            <v>50</v>
          </cell>
          <cell r="AD135" t="str">
            <v>Slant</v>
          </cell>
          <cell r="AE135" t="str">
            <v>Duplex</v>
          </cell>
          <cell r="AF135" t="str">
            <v>326 - With Partition</v>
          </cell>
          <cell r="AG135" t="str">
            <v>With Partition</v>
          </cell>
          <cell r="AH135" t="str">
            <v>With Partition</v>
          </cell>
          <cell r="AI135" t="str">
            <v>YELLOW</v>
          </cell>
          <cell r="AJ135" t="str">
            <v>Slant / YELLOW</v>
          </cell>
          <cell r="AK135">
            <v>1050000</v>
          </cell>
          <cell r="AL135">
            <v>15000</v>
          </cell>
          <cell r="AM135">
            <v>1650000</v>
          </cell>
          <cell r="AN135">
            <v>33000</v>
          </cell>
          <cell r="AO135">
            <v>150000</v>
          </cell>
          <cell r="AP135">
            <v>2850000</v>
          </cell>
          <cell r="AQ135"/>
          <cell r="AR135">
            <v>2850000</v>
          </cell>
          <cell r="AS135">
            <v>0</v>
          </cell>
          <cell r="AT135">
            <v>2850000</v>
          </cell>
          <cell r="AU135">
            <v>100000</v>
          </cell>
          <cell r="AV135">
            <v>2750000</v>
          </cell>
          <cell r="AW135">
            <v>0</v>
          </cell>
          <cell r="AX135">
            <v>2750000</v>
          </cell>
        </row>
        <row r="136">
          <cell r="G136" t="str">
            <v>AGM-01-007-030</v>
          </cell>
          <cell r="H136" t="str">
            <v xml:space="preserve">Raemulan Lands, Inc. </v>
          </cell>
          <cell r="I136" t="str">
            <v>Agapeya</v>
          </cell>
          <cell r="J136" t="str">
            <v>AGM</v>
          </cell>
          <cell r="K136" t="str">
            <v>Eco-High</v>
          </cell>
          <cell r="L136" t="str">
            <v>West</v>
          </cell>
          <cell r="M136" t="str">
            <v>With LTS - 2024</v>
          </cell>
          <cell r="N136" t="str">
            <v>YES</v>
          </cell>
          <cell r="O136" t="str">
            <v>YES</v>
          </cell>
          <cell r="P136" t="str">
            <v>Unaffected lots</v>
          </cell>
          <cell r="Q136" t="str">
            <v>YES</v>
          </cell>
          <cell r="R136">
            <v>70</v>
          </cell>
          <cell r="S136" t="str">
            <v>PCS-04-034407</v>
          </cell>
          <cell r="T136" t="str">
            <v>TCT-060-2024021421</v>
          </cell>
          <cell r="U136" t="b">
            <v>1</v>
          </cell>
          <cell r="V136" t="str">
            <v>Done</v>
          </cell>
          <cell r="W136" t="str">
            <v>2024 Batch</v>
          </cell>
          <cell r="X136" t="str">
            <v>2024 Batch</v>
          </cell>
          <cell r="Y136">
            <v>7</v>
          </cell>
          <cell r="Z136">
            <v>30</v>
          </cell>
          <cell r="AA136" t="str">
            <v>H+L</v>
          </cell>
          <cell r="AB136">
            <v>70</v>
          </cell>
          <cell r="AC136">
            <v>50</v>
          </cell>
          <cell r="AD136" t="str">
            <v>Slant</v>
          </cell>
          <cell r="AE136" t="str">
            <v>Duplex</v>
          </cell>
          <cell r="AF136" t="str">
            <v>326 - With Partition</v>
          </cell>
          <cell r="AG136" t="str">
            <v>With Partition</v>
          </cell>
          <cell r="AH136" t="str">
            <v>With Partition</v>
          </cell>
          <cell r="AI136" t="str">
            <v>PINK</v>
          </cell>
          <cell r="AJ136" t="str">
            <v>Slant / PINK</v>
          </cell>
          <cell r="AK136">
            <v>1050000</v>
          </cell>
          <cell r="AL136">
            <v>15000</v>
          </cell>
          <cell r="AM136">
            <v>1650000</v>
          </cell>
          <cell r="AN136">
            <v>33000</v>
          </cell>
          <cell r="AO136">
            <v>150000</v>
          </cell>
          <cell r="AP136">
            <v>2850000</v>
          </cell>
          <cell r="AQ136"/>
          <cell r="AR136">
            <v>2850000</v>
          </cell>
          <cell r="AS136">
            <v>0</v>
          </cell>
          <cell r="AT136">
            <v>2850000</v>
          </cell>
          <cell r="AU136">
            <v>100000</v>
          </cell>
          <cell r="AV136">
            <v>2750000</v>
          </cell>
          <cell r="AW136">
            <v>0</v>
          </cell>
          <cell r="AX136">
            <v>2750000</v>
          </cell>
        </row>
        <row r="137">
          <cell r="G137" t="str">
            <v>AGM-01-007-031</v>
          </cell>
          <cell r="H137" t="str">
            <v xml:space="preserve">Raemulan Lands, Inc. </v>
          </cell>
          <cell r="I137" t="str">
            <v>Agapeya</v>
          </cell>
          <cell r="J137" t="str">
            <v>AGM</v>
          </cell>
          <cell r="K137" t="str">
            <v>Eco-High</v>
          </cell>
          <cell r="L137" t="str">
            <v>West</v>
          </cell>
          <cell r="M137" t="str">
            <v>With LTS - 2024</v>
          </cell>
          <cell r="N137" t="str">
            <v>YES</v>
          </cell>
          <cell r="O137" t="str">
            <v>YES</v>
          </cell>
          <cell r="P137" t="str">
            <v>Unaffected lots</v>
          </cell>
          <cell r="Q137" t="str">
            <v>YES</v>
          </cell>
          <cell r="R137">
            <v>70</v>
          </cell>
          <cell r="S137" t="str">
            <v>PCS-04-034407</v>
          </cell>
          <cell r="T137" t="str">
            <v>TCT-060-2024021422</v>
          </cell>
          <cell r="U137" t="b">
            <v>1</v>
          </cell>
          <cell r="V137" t="str">
            <v>Done</v>
          </cell>
          <cell r="W137" t="str">
            <v>2024 Batch</v>
          </cell>
          <cell r="X137" t="str">
            <v>2024 Batch</v>
          </cell>
          <cell r="Y137">
            <v>7</v>
          </cell>
          <cell r="Z137">
            <v>31</v>
          </cell>
          <cell r="AA137" t="str">
            <v>H+L</v>
          </cell>
          <cell r="AB137">
            <v>70</v>
          </cell>
          <cell r="AC137">
            <v>50</v>
          </cell>
          <cell r="AD137" t="str">
            <v>Flat</v>
          </cell>
          <cell r="AE137" t="str">
            <v>Duplex</v>
          </cell>
          <cell r="AF137" t="str">
            <v>326 - With Partition</v>
          </cell>
          <cell r="AG137" t="str">
            <v>With Partition</v>
          </cell>
          <cell r="AH137" t="str">
            <v>With Partition</v>
          </cell>
          <cell r="AI137" t="str">
            <v>PINK</v>
          </cell>
          <cell r="AJ137" t="str">
            <v>Flat / PINK</v>
          </cell>
          <cell r="AK137">
            <v>1050000</v>
          </cell>
          <cell r="AL137">
            <v>15000</v>
          </cell>
          <cell r="AM137">
            <v>1650000</v>
          </cell>
          <cell r="AN137">
            <v>33000</v>
          </cell>
          <cell r="AO137">
            <v>150000</v>
          </cell>
          <cell r="AP137">
            <v>2850000</v>
          </cell>
          <cell r="AQ137"/>
          <cell r="AR137">
            <v>2850000</v>
          </cell>
          <cell r="AS137">
            <v>0</v>
          </cell>
          <cell r="AT137">
            <v>2850000</v>
          </cell>
          <cell r="AU137">
            <v>100000</v>
          </cell>
          <cell r="AV137">
            <v>2750000</v>
          </cell>
          <cell r="AW137">
            <v>0</v>
          </cell>
          <cell r="AX137">
            <v>2750000</v>
          </cell>
        </row>
        <row r="138">
          <cell r="G138" t="str">
            <v>AGM-01-007-032</v>
          </cell>
          <cell r="H138" t="str">
            <v xml:space="preserve">Raemulan Lands, Inc. </v>
          </cell>
          <cell r="I138" t="str">
            <v>Agapeya</v>
          </cell>
          <cell r="J138" t="str">
            <v>AGM</v>
          </cell>
          <cell r="K138" t="str">
            <v>Eco-High</v>
          </cell>
          <cell r="L138" t="str">
            <v>West</v>
          </cell>
          <cell r="M138" t="str">
            <v>With LTS - 2024</v>
          </cell>
          <cell r="N138" t="str">
            <v>YES</v>
          </cell>
          <cell r="O138" t="str">
            <v>YES</v>
          </cell>
          <cell r="P138" t="str">
            <v>Unaffected lots</v>
          </cell>
          <cell r="Q138" t="str">
            <v>YES</v>
          </cell>
          <cell r="R138">
            <v>70</v>
          </cell>
          <cell r="S138" t="str">
            <v>PCS-04-034407</v>
          </cell>
          <cell r="T138" t="str">
            <v>TCT-060-2024021423</v>
          </cell>
          <cell r="U138" t="b">
            <v>1</v>
          </cell>
          <cell r="V138" t="str">
            <v>Done</v>
          </cell>
          <cell r="W138" t="str">
            <v>2024 Batch</v>
          </cell>
          <cell r="X138" t="str">
            <v>2024 Batch</v>
          </cell>
          <cell r="Y138">
            <v>7</v>
          </cell>
          <cell r="Z138">
            <v>32</v>
          </cell>
          <cell r="AA138" t="str">
            <v>H+L</v>
          </cell>
          <cell r="AB138">
            <v>70</v>
          </cell>
          <cell r="AC138">
            <v>50</v>
          </cell>
          <cell r="AD138" t="str">
            <v>Flat</v>
          </cell>
          <cell r="AE138" t="str">
            <v>Duplex</v>
          </cell>
          <cell r="AF138" t="str">
            <v>326 - With Partition</v>
          </cell>
          <cell r="AG138" t="str">
            <v>With Partition</v>
          </cell>
          <cell r="AH138" t="str">
            <v>With Partition</v>
          </cell>
          <cell r="AI138" t="str">
            <v>PINK</v>
          </cell>
          <cell r="AJ138" t="str">
            <v>Flat / PINK</v>
          </cell>
          <cell r="AK138">
            <v>1050000</v>
          </cell>
          <cell r="AL138">
            <v>15000</v>
          </cell>
          <cell r="AM138">
            <v>1650000</v>
          </cell>
          <cell r="AN138">
            <v>33000</v>
          </cell>
          <cell r="AO138">
            <v>150000</v>
          </cell>
          <cell r="AP138">
            <v>2850000</v>
          </cell>
          <cell r="AQ138"/>
          <cell r="AR138">
            <v>2850000</v>
          </cell>
          <cell r="AS138">
            <v>0</v>
          </cell>
          <cell r="AT138">
            <v>2850000</v>
          </cell>
          <cell r="AU138">
            <v>100000</v>
          </cell>
          <cell r="AV138">
            <v>2750000</v>
          </cell>
          <cell r="AW138">
            <v>0</v>
          </cell>
          <cell r="AX138">
            <v>2750000</v>
          </cell>
        </row>
        <row r="139">
          <cell r="G139" t="str">
            <v>AGM-01-007-033</v>
          </cell>
          <cell r="H139" t="str">
            <v xml:space="preserve">Raemulan Lands, Inc. </v>
          </cell>
          <cell r="I139" t="str">
            <v>Agapeya</v>
          </cell>
          <cell r="J139" t="str">
            <v>AGM</v>
          </cell>
          <cell r="K139" t="str">
            <v>Eco-High</v>
          </cell>
          <cell r="L139" t="str">
            <v>West</v>
          </cell>
          <cell r="M139" t="str">
            <v>With LTS - 2024</v>
          </cell>
          <cell r="N139" t="str">
            <v>YES</v>
          </cell>
          <cell r="O139" t="str">
            <v>YES</v>
          </cell>
          <cell r="P139" t="str">
            <v>Unaffected lots</v>
          </cell>
          <cell r="Q139" t="str">
            <v>YES</v>
          </cell>
          <cell r="R139">
            <v>70</v>
          </cell>
          <cell r="S139" t="str">
            <v>PCS-04-034407</v>
          </cell>
          <cell r="T139" t="str">
            <v>TCT-060-2024021424</v>
          </cell>
          <cell r="U139" t="b">
            <v>1</v>
          </cell>
          <cell r="V139" t="str">
            <v>Done</v>
          </cell>
          <cell r="W139" t="str">
            <v>2024 Batch</v>
          </cell>
          <cell r="X139" t="str">
            <v>2024 Batch</v>
          </cell>
          <cell r="Y139">
            <v>7</v>
          </cell>
          <cell r="Z139">
            <v>33</v>
          </cell>
          <cell r="AA139" t="str">
            <v>H+L</v>
          </cell>
          <cell r="AB139">
            <v>70</v>
          </cell>
          <cell r="AC139">
            <v>50</v>
          </cell>
          <cell r="AD139" t="str">
            <v>Slant</v>
          </cell>
          <cell r="AE139" t="str">
            <v>Duplex</v>
          </cell>
          <cell r="AF139" t="str">
            <v>326 - With Partition</v>
          </cell>
          <cell r="AG139" t="str">
            <v>With Partition</v>
          </cell>
          <cell r="AH139" t="str">
            <v>With Partition</v>
          </cell>
          <cell r="AI139" t="str">
            <v>PINK</v>
          </cell>
          <cell r="AJ139" t="str">
            <v>Slant / PINK</v>
          </cell>
          <cell r="AK139">
            <v>1050000</v>
          </cell>
          <cell r="AL139">
            <v>15000</v>
          </cell>
          <cell r="AM139">
            <v>1650000</v>
          </cell>
          <cell r="AN139">
            <v>33000</v>
          </cell>
          <cell r="AO139">
            <v>150000</v>
          </cell>
          <cell r="AP139">
            <v>2850000</v>
          </cell>
          <cell r="AQ139"/>
          <cell r="AR139">
            <v>2850000</v>
          </cell>
          <cell r="AS139">
            <v>0</v>
          </cell>
          <cell r="AT139">
            <v>2850000</v>
          </cell>
          <cell r="AU139">
            <v>100000</v>
          </cell>
          <cell r="AV139">
            <v>2750000</v>
          </cell>
          <cell r="AW139">
            <v>0</v>
          </cell>
          <cell r="AX139">
            <v>2750000</v>
          </cell>
        </row>
        <row r="140">
          <cell r="G140" t="str">
            <v>AGM-01-007-034</v>
          </cell>
          <cell r="H140" t="str">
            <v xml:space="preserve">Raemulan Lands, Inc. </v>
          </cell>
          <cell r="I140" t="str">
            <v>Agapeya</v>
          </cell>
          <cell r="J140" t="str">
            <v>AGM</v>
          </cell>
          <cell r="K140" t="str">
            <v>Eco-High</v>
          </cell>
          <cell r="L140" t="str">
            <v>West</v>
          </cell>
          <cell r="M140" t="str">
            <v>With LTS - 2024</v>
          </cell>
          <cell r="N140" t="str">
            <v>YES</v>
          </cell>
          <cell r="O140" t="str">
            <v>YES</v>
          </cell>
          <cell r="P140" t="str">
            <v>Unaffected lots</v>
          </cell>
          <cell r="Q140" t="str">
            <v>YES</v>
          </cell>
          <cell r="R140">
            <v>70</v>
          </cell>
          <cell r="S140" t="str">
            <v>PCS-04-034407</v>
          </cell>
          <cell r="T140" t="str">
            <v>TCT-060-2024021425</v>
          </cell>
          <cell r="U140" t="b">
            <v>1</v>
          </cell>
          <cell r="V140" t="str">
            <v>Done</v>
          </cell>
          <cell r="W140" t="str">
            <v>2024 Batch</v>
          </cell>
          <cell r="X140" t="str">
            <v>2024 Batch</v>
          </cell>
          <cell r="Y140">
            <v>7</v>
          </cell>
          <cell r="Z140">
            <v>34</v>
          </cell>
          <cell r="AA140" t="str">
            <v>H+L</v>
          </cell>
          <cell r="AB140">
            <v>70</v>
          </cell>
          <cell r="AC140">
            <v>50</v>
          </cell>
          <cell r="AD140" t="str">
            <v>Slant</v>
          </cell>
          <cell r="AE140" t="str">
            <v>Duplex</v>
          </cell>
          <cell r="AF140" t="str">
            <v>326 - With Partition</v>
          </cell>
          <cell r="AG140" t="str">
            <v>With Partition</v>
          </cell>
          <cell r="AH140" t="str">
            <v>With Partition</v>
          </cell>
          <cell r="AI140" t="str">
            <v>PURPLE</v>
          </cell>
          <cell r="AJ140" t="str">
            <v>Slant / PURPLE</v>
          </cell>
          <cell r="AK140">
            <v>1050000</v>
          </cell>
          <cell r="AL140">
            <v>15000</v>
          </cell>
          <cell r="AM140">
            <v>1650000</v>
          </cell>
          <cell r="AN140">
            <v>33000</v>
          </cell>
          <cell r="AO140">
            <v>150000</v>
          </cell>
          <cell r="AP140">
            <v>2850000</v>
          </cell>
          <cell r="AQ140"/>
          <cell r="AR140">
            <v>2850000</v>
          </cell>
          <cell r="AS140">
            <v>0</v>
          </cell>
          <cell r="AT140">
            <v>2850000</v>
          </cell>
          <cell r="AU140">
            <v>100000</v>
          </cell>
          <cell r="AV140">
            <v>2750000</v>
          </cell>
          <cell r="AW140">
            <v>0</v>
          </cell>
          <cell r="AX140">
            <v>2750000</v>
          </cell>
        </row>
        <row r="141">
          <cell r="G141" t="str">
            <v>AGM-01-007-035</v>
          </cell>
          <cell r="H141" t="str">
            <v xml:space="preserve">Raemulan Lands, Inc. </v>
          </cell>
          <cell r="I141" t="str">
            <v>Agapeya</v>
          </cell>
          <cell r="J141" t="str">
            <v>AGM</v>
          </cell>
          <cell r="K141" t="str">
            <v>Eco-High</v>
          </cell>
          <cell r="L141" t="str">
            <v>West</v>
          </cell>
          <cell r="M141" t="str">
            <v>With LTS - 2024</v>
          </cell>
          <cell r="N141" t="str">
            <v>YES</v>
          </cell>
          <cell r="O141" t="str">
            <v>YES</v>
          </cell>
          <cell r="P141" t="str">
            <v>Unaffected lots</v>
          </cell>
          <cell r="Q141" t="str">
            <v>YES</v>
          </cell>
          <cell r="R141">
            <v>70</v>
          </cell>
          <cell r="S141" t="str">
            <v>PCS-04-034407</v>
          </cell>
          <cell r="T141" t="str">
            <v>TCT-060-2024021426</v>
          </cell>
          <cell r="U141" t="b">
            <v>1</v>
          </cell>
          <cell r="V141" t="str">
            <v>Done</v>
          </cell>
          <cell r="W141" t="str">
            <v>2024 Batch</v>
          </cell>
          <cell r="X141" t="str">
            <v>2024 Batch</v>
          </cell>
          <cell r="Y141">
            <v>7</v>
          </cell>
          <cell r="Z141">
            <v>35</v>
          </cell>
          <cell r="AA141" t="str">
            <v>H+L</v>
          </cell>
          <cell r="AB141">
            <v>70</v>
          </cell>
          <cell r="AC141">
            <v>50</v>
          </cell>
          <cell r="AD141" t="str">
            <v>Flat</v>
          </cell>
          <cell r="AE141" t="str">
            <v>Duplex</v>
          </cell>
          <cell r="AF141" t="str">
            <v>326 - With Partition</v>
          </cell>
          <cell r="AG141" t="str">
            <v xml:space="preserve">Without Partition </v>
          </cell>
          <cell r="AH141" t="str">
            <v xml:space="preserve">Without Partition </v>
          </cell>
          <cell r="AI141" t="str">
            <v>PURPLE</v>
          </cell>
          <cell r="AJ141" t="str">
            <v>Flat / PURPLE</v>
          </cell>
          <cell r="AK141">
            <v>1050000</v>
          </cell>
          <cell r="AL141">
            <v>15000</v>
          </cell>
          <cell r="AM141">
            <v>1650000</v>
          </cell>
          <cell r="AN141">
            <v>33000</v>
          </cell>
          <cell r="AO141">
            <v>150000</v>
          </cell>
          <cell r="AP141">
            <v>2850000</v>
          </cell>
          <cell r="AQ141"/>
          <cell r="AR141">
            <v>2850000</v>
          </cell>
          <cell r="AS141">
            <v>200000</v>
          </cell>
          <cell r="AT141">
            <v>2650000</v>
          </cell>
          <cell r="AU141">
            <v>100000</v>
          </cell>
          <cell r="AV141">
            <v>2550000</v>
          </cell>
          <cell r="AW141">
            <v>0</v>
          </cell>
          <cell r="AX141">
            <v>2550000</v>
          </cell>
        </row>
        <row r="142">
          <cell r="G142" t="str">
            <v>AGM-01-007-036</v>
          </cell>
          <cell r="H142" t="str">
            <v xml:space="preserve">Raemulan Lands, Inc. </v>
          </cell>
          <cell r="I142" t="str">
            <v>Agapeya</v>
          </cell>
          <cell r="J142" t="str">
            <v>AGM</v>
          </cell>
          <cell r="K142" t="str">
            <v>Eco-High</v>
          </cell>
          <cell r="L142" t="str">
            <v>West</v>
          </cell>
          <cell r="M142" t="str">
            <v>With LTS - 2024</v>
          </cell>
          <cell r="N142" t="str">
            <v>YES</v>
          </cell>
          <cell r="O142" t="str">
            <v>YES</v>
          </cell>
          <cell r="P142" t="str">
            <v>Unaffected lots</v>
          </cell>
          <cell r="Q142" t="str">
            <v>YES</v>
          </cell>
          <cell r="R142">
            <v>70</v>
          </cell>
          <cell r="S142" t="str">
            <v>PCS-04-034407</v>
          </cell>
          <cell r="T142" t="str">
            <v>TCT-060-2024021427</v>
          </cell>
          <cell r="U142" t="b">
            <v>1</v>
          </cell>
          <cell r="V142" t="str">
            <v>Done</v>
          </cell>
          <cell r="W142" t="str">
            <v>2024 Batch</v>
          </cell>
          <cell r="X142" t="str">
            <v>2024 Batch</v>
          </cell>
          <cell r="Y142">
            <v>7</v>
          </cell>
          <cell r="Z142">
            <v>36</v>
          </cell>
          <cell r="AA142" t="str">
            <v>H+L</v>
          </cell>
          <cell r="AB142">
            <v>70</v>
          </cell>
          <cell r="AC142">
            <v>50</v>
          </cell>
          <cell r="AD142" t="str">
            <v>Flat</v>
          </cell>
          <cell r="AE142" t="str">
            <v>Duplex</v>
          </cell>
          <cell r="AF142" t="str">
            <v>326 - With Partition</v>
          </cell>
          <cell r="AG142" t="str">
            <v xml:space="preserve">Without Partition </v>
          </cell>
          <cell r="AH142" t="str">
            <v xml:space="preserve">Without Partition </v>
          </cell>
          <cell r="AI142" t="str">
            <v>PURPLE</v>
          </cell>
          <cell r="AJ142" t="str">
            <v>Flat / PURPLE</v>
          </cell>
          <cell r="AK142">
            <v>1050000</v>
          </cell>
          <cell r="AL142">
            <v>15000</v>
          </cell>
          <cell r="AM142">
            <v>1650000</v>
          </cell>
          <cell r="AN142">
            <v>33000</v>
          </cell>
          <cell r="AO142">
            <v>150000</v>
          </cell>
          <cell r="AP142">
            <v>2850000</v>
          </cell>
          <cell r="AQ142"/>
          <cell r="AR142">
            <v>2850000</v>
          </cell>
          <cell r="AS142">
            <v>200000</v>
          </cell>
          <cell r="AT142">
            <v>2650000</v>
          </cell>
          <cell r="AU142">
            <v>100000</v>
          </cell>
          <cell r="AV142">
            <v>2550000</v>
          </cell>
          <cell r="AW142">
            <v>0</v>
          </cell>
          <cell r="AX142">
            <v>2550000</v>
          </cell>
        </row>
        <row r="143">
          <cell r="G143" t="str">
            <v>AGM-01-007-037</v>
          </cell>
          <cell r="H143" t="str">
            <v xml:space="preserve">Raemulan Lands, Inc. </v>
          </cell>
          <cell r="I143" t="str">
            <v>Agapeya</v>
          </cell>
          <cell r="J143" t="str">
            <v>AGM</v>
          </cell>
          <cell r="K143" t="str">
            <v>Eco-High</v>
          </cell>
          <cell r="L143" t="str">
            <v>West</v>
          </cell>
          <cell r="M143" t="str">
            <v>With LTS - 2024</v>
          </cell>
          <cell r="N143" t="str">
            <v>YES</v>
          </cell>
          <cell r="O143" t="str">
            <v>YES</v>
          </cell>
          <cell r="P143" t="str">
            <v>Unaffected lots</v>
          </cell>
          <cell r="Q143" t="str">
            <v>YES</v>
          </cell>
          <cell r="R143">
            <v>70</v>
          </cell>
          <cell r="S143" t="str">
            <v>PCS-04-034407</v>
          </cell>
          <cell r="T143" t="str">
            <v>TCT-060-2024021428</v>
          </cell>
          <cell r="U143" t="b">
            <v>1</v>
          </cell>
          <cell r="V143" t="str">
            <v>Done</v>
          </cell>
          <cell r="W143" t="str">
            <v>2024 Batch</v>
          </cell>
          <cell r="X143" t="str">
            <v>2024 Batch</v>
          </cell>
          <cell r="Y143">
            <v>7</v>
          </cell>
          <cell r="Z143">
            <v>37</v>
          </cell>
          <cell r="AA143" t="str">
            <v>H+L</v>
          </cell>
          <cell r="AB143">
            <v>70</v>
          </cell>
          <cell r="AC143">
            <v>50</v>
          </cell>
          <cell r="AD143" t="str">
            <v>Slant</v>
          </cell>
          <cell r="AE143" t="str">
            <v>Duplex</v>
          </cell>
          <cell r="AF143" t="str">
            <v>326 - With Partition</v>
          </cell>
          <cell r="AG143" t="str">
            <v>With Partition</v>
          </cell>
          <cell r="AH143" t="str">
            <v>With Partition</v>
          </cell>
          <cell r="AI143" t="str">
            <v>PURPLE</v>
          </cell>
          <cell r="AJ143" t="str">
            <v>Slant / PURPLE</v>
          </cell>
          <cell r="AK143">
            <v>1050000</v>
          </cell>
          <cell r="AL143">
            <v>15000</v>
          </cell>
          <cell r="AM143">
            <v>1650000</v>
          </cell>
          <cell r="AN143">
            <v>33000</v>
          </cell>
          <cell r="AO143">
            <v>150000</v>
          </cell>
          <cell r="AP143">
            <v>2850000</v>
          </cell>
          <cell r="AQ143"/>
          <cell r="AR143">
            <v>2850000</v>
          </cell>
          <cell r="AS143">
            <v>0</v>
          </cell>
          <cell r="AT143">
            <v>2850000</v>
          </cell>
          <cell r="AU143">
            <v>100000</v>
          </cell>
          <cell r="AV143">
            <v>2750000</v>
          </cell>
          <cell r="AW143">
            <v>0</v>
          </cell>
          <cell r="AX143">
            <v>2750000</v>
          </cell>
        </row>
        <row r="144">
          <cell r="G144" t="str">
            <v>AGM-01-007-038</v>
          </cell>
          <cell r="H144" t="str">
            <v xml:space="preserve">Raemulan Lands, Inc. </v>
          </cell>
          <cell r="I144" t="str">
            <v>Agapeya</v>
          </cell>
          <cell r="J144" t="str">
            <v>AGM</v>
          </cell>
          <cell r="K144" t="str">
            <v>Eco-High</v>
          </cell>
          <cell r="L144" t="str">
            <v>West</v>
          </cell>
          <cell r="M144" t="str">
            <v>With LTS - 2024</v>
          </cell>
          <cell r="N144" t="str">
            <v>YES</v>
          </cell>
          <cell r="O144" t="str">
            <v>YES</v>
          </cell>
          <cell r="P144" t="str">
            <v>Unaffected lots</v>
          </cell>
          <cell r="Q144" t="str">
            <v>YES</v>
          </cell>
          <cell r="R144">
            <v>70</v>
          </cell>
          <cell r="S144" t="str">
            <v>PCS-04-034407</v>
          </cell>
          <cell r="T144" t="str">
            <v>TCT-060-2024021429</v>
          </cell>
          <cell r="U144" t="b">
            <v>1</v>
          </cell>
          <cell r="V144" t="str">
            <v>Done</v>
          </cell>
          <cell r="W144" t="str">
            <v>2024 Batch</v>
          </cell>
          <cell r="X144" t="str">
            <v>2024 Batch</v>
          </cell>
          <cell r="Y144">
            <v>7</v>
          </cell>
          <cell r="Z144">
            <v>38</v>
          </cell>
          <cell r="AA144" t="str">
            <v>H+L</v>
          </cell>
          <cell r="AB144">
            <v>70</v>
          </cell>
          <cell r="AC144">
            <v>50</v>
          </cell>
          <cell r="AD144" t="str">
            <v>Slant</v>
          </cell>
          <cell r="AE144" t="str">
            <v>Duplex</v>
          </cell>
          <cell r="AF144" t="str">
            <v>326 - With Partition</v>
          </cell>
          <cell r="AG144" t="str">
            <v xml:space="preserve">Without Partition </v>
          </cell>
          <cell r="AH144" t="str">
            <v xml:space="preserve">Without Partition </v>
          </cell>
          <cell r="AI144" t="str">
            <v>GREEN</v>
          </cell>
          <cell r="AJ144" t="str">
            <v>Slant / GREEN</v>
          </cell>
          <cell r="AK144">
            <v>1050000</v>
          </cell>
          <cell r="AL144">
            <v>15000</v>
          </cell>
          <cell r="AM144">
            <v>1650000</v>
          </cell>
          <cell r="AN144">
            <v>33000</v>
          </cell>
          <cell r="AO144">
            <v>150000</v>
          </cell>
          <cell r="AP144">
            <v>2850000</v>
          </cell>
          <cell r="AQ144"/>
          <cell r="AR144">
            <v>2850000</v>
          </cell>
          <cell r="AS144">
            <v>200000</v>
          </cell>
          <cell r="AT144">
            <v>2650000</v>
          </cell>
          <cell r="AU144">
            <v>100000</v>
          </cell>
          <cell r="AV144">
            <v>2550000</v>
          </cell>
          <cell r="AW144">
            <v>0</v>
          </cell>
          <cell r="AX144">
            <v>2550000</v>
          </cell>
        </row>
        <row r="145">
          <cell r="G145" t="str">
            <v>AGM-01-007-039</v>
          </cell>
          <cell r="H145" t="str">
            <v xml:space="preserve">Raemulan Lands, Inc. </v>
          </cell>
          <cell r="I145" t="str">
            <v>Agapeya</v>
          </cell>
          <cell r="J145" t="str">
            <v>AGM</v>
          </cell>
          <cell r="K145" t="str">
            <v>Eco-High</v>
          </cell>
          <cell r="L145" t="str">
            <v>West</v>
          </cell>
          <cell r="M145" t="str">
            <v>With LTS - 2024</v>
          </cell>
          <cell r="N145" t="str">
            <v>YES</v>
          </cell>
          <cell r="O145" t="str">
            <v>YES</v>
          </cell>
          <cell r="P145" t="str">
            <v>Unaffected lots</v>
          </cell>
          <cell r="Q145" t="str">
            <v>YES</v>
          </cell>
          <cell r="R145">
            <v>70</v>
          </cell>
          <cell r="S145" t="str">
            <v>PCS-04-034407</v>
          </cell>
          <cell r="T145" t="str">
            <v>TCT-060-2024021430</v>
          </cell>
          <cell r="U145" t="b">
            <v>1</v>
          </cell>
          <cell r="V145" t="str">
            <v>Done</v>
          </cell>
          <cell r="W145" t="str">
            <v>2024 Batch</v>
          </cell>
          <cell r="X145" t="str">
            <v>2024 Batch</v>
          </cell>
          <cell r="Y145">
            <v>7</v>
          </cell>
          <cell r="Z145">
            <v>39</v>
          </cell>
          <cell r="AA145" t="str">
            <v>H+L</v>
          </cell>
          <cell r="AB145">
            <v>70</v>
          </cell>
          <cell r="AC145">
            <v>50</v>
          </cell>
          <cell r="AD145" t="str">
            <v>Flat</v>
          </cell>
          <cell r="AE145" t="str">
            <v>Duplex</v>
          </cell>
          <cell r="AF145" t="str">
            <v>326 - With Partition</v>
          </cell>
          <cell r="AG145" t="str">
            <v xml:space="preserve">Without Partition </v>
          </cell>
          <cell r="AH145" t="str">
            <v xml:space="preserve">Without Partition </v>
          </cell>
          <cell r="AI145" t="str">
            <v>GREEN</v>
          </cell>
          <cell r="AJ145" t="str">
            <v>Flat / GREEN</v>
          </cell>
          <cell r="AK145">
            <v>1050000</v>
          </cell>
          <cell r="AL145">
            <v>15000</v>
          </cell>
          <cell r="AM145">
            <v>1650000</v>
          </cell>
          <cell r="AN145">
            <v>33000</v>
          </cell>
          <cell r="AO145">
            <v>150000</v>
          </cell>
          <cell r="AP145">
            <v>2850000</v>
          </cell>
          <cell r="AQ145"/>
          <cell r="AR145">
            <v>2850000</v>
          </cell>
          <cell r="AS145">
            <v>200000</v>
          </cell>
          <cell r="AT145">
            <v>2650000</v>
          </cell>
          <cell r="AU145">
            <v>100000</v>
          </cell>
          <cell r="AV145">
            <v>2550000</v>
          </cell>
          <cell r="AW145">
            <v>0</v>
          </cell>
          <cell r="AX145">
            <v>2550000</v>
          </cell>
        </row>
        <row r="146">
          <cell r="G146" t="str">
            <v>AGM-01-007-040</v>
          </cell>
          <cell r="H146" t="str">
            <v xml:space="preserve">Raemulan Lands, Inc. </v>
          </cell>
          <cell r="I146" t="str">
            <v>Agapeya</v>
          </cell>
          <cell r="J146" t="str">
            <v>AGM</v>
          </cell>
          <cell r="K146" t="str">
            <v>Eco-High</v>
          </cell>
          <cell r="L146" t="str">
            <v>West</v>
          </cell>
          <cell r="M146" t="str">
            <v>With LTS - 2024</v>
          </cell>
          <cell r="N146" t="str">
            <v>YES</v>
          </cell>
          <cell r="O146" t="str">
            <v>YES</v>
          </cell>
          <cell r="P146" t="str">
            <v>Unaffected lots</v>
          </cell>
          <cell r="Q146" t="str">
            <v>YES</v>
          </cell>
          <cell r="R146">
            <v>70</v>
          </cell>
          <cell r="S146" t="str">
            <v>PCS-04-034407</v>
          </cell>
          <cell r="T146" t="str">
            <v>TCT-060-2024021431</v>
          </cell>
          <cell r="U146" t="b">
            <v>1</v>
          </cell>
          <cell r="V146" t="str">
            <v>Done</v>
          </cell>
          <cell r="W146" t="str">
            <v>2024 Batch</v>
          </cell>
          <cell r="X146" t="str">
            <v>2024 Batch</v>
          </cell>
          <cell r="Y146">
            <v>7</v>
          </cell>
          <cell r="Z146">
            <v>40</v>
          </cell>
          <cell r="AA146" t="str">
            <v>H+L</v>
          </cell>
          <cell r="AB146">
            <v>70</v>
          </cell>
          <cell r="AC146">
            <v>50</v>
          </cell>
          <cell r="AD146" t="str">
            <v>Flat</v>
          </cell>
          <cell r="AE146" t="str">
            <v>Duplex</v>
          </cell>
          <cell r="AF146" t="str">
            <v>326 - With Partition</v>
          </cell>
          <cell r="AG146" t="str">
            <v>With Partition</v>
          </cell>
          <cell r="AH146" t="str">
            <v>With Partition</v>
          </cell>
          <cell r="AI146" t="str">
            <v>GREEN</v>
          </cell>
          <cell r="AJ146" t="str">
            <v>Flat / GREEN</v>
          </cell>
          <cell r="AK146">
            <v>1050000</v>
          </cell>
          <cell r="AL146">
            <v>15000</v>
          </cell>
          <cell r="AM146">
            <v>1650000</v>
          </cell>
          <cell r="AN146">
            <v>33000</v>
          </cell>
          <cell r="AO146">
            <v>150000</v>
          </cell>
          <cell r="AP146">
            <v>2850000</v>
          </cell>
          <cell r="AQ146"/>
          <cell r="AR146">
            <v>2850000</v>
          </cell>
          <cell r="AS146">
            <v>0</v>
          </cell>
          <cell r="AT146">
            <v>2850000</v>
          </cell>
          <cell r="AU146">
            <v>100000</v>
          </cell>
          <cell r="AV146">
            <v>2750000</v>
          </cell>
          <cell r="AW146">
            <v>0</v>
          </cell>
          <cell r="AX146">
            <v>2750000</v>
          </cell>
        </row>
        <row r="147">
          <cell r="G147" t="str">
            <v>AGM-01-007-041</v>
          </cell>
          <cell r="H147" t="str">
            <v xml:space="preserve">Raemulan Lands, Inc. </v>
          </cell>
          <cell r="I147" t="str">
            <v>Agapeya</v>
          </cell>
          <cell r="J147" t="str">
            <v>AGM</v>
          </cell>
          <cell r="K147" t="str">
            <v>Eco-High</v>
          </cell>
          <cell r="L147" t="str">
            <v>West</v>
          </cell>
          <cell r="M147" t="str">
            <v>With LTS - 2024</v>
          </cell>
          <cell r="N147" t="str">
            <v>YES</v>
          </cell>
          <cell r="O147" t="str">
            <v>YES</v>
          </cell>
          <cell r="P147" t="str">
            <v>Unaffected lots</v>
          </cell>
          <cell r="Q147" t="str">
            <v>YES</v>
          </cell>
          <cell r="R147">
            <v>70</v>
          </cell>
          <cell r="S147" t="str">
            <v>PCS-04-034407</v>
          </cell>
          <cell r="T147" t="str">
            <v>TCT-060-2024021432</v>
          </cell>
          <cell r="U147" t="b">
            <v>1</v>
          </cell>
          <cell r="V147" t="str">
            <v>Done</v>
          </cell>
          <cell r="W147" t="str">
            <v>2024 Batch</v>
          </cell>
          <cell r="X147" t="str">
            <v>2024 Batch</v>
          </cell>
          <cell r="Y147">
            <v>7</v>
          </cell>
          <cell r="Z147">
            <v>41</v>
          </cell>
          <cell r="AA147" t="str">
            <v>H+L</v>
          </cell>
          <cell r="AB147">
            <v>70</v>
          </cell>
          <cell r="AC147">
            <v>50</v>
          </cell>
          <cell r="AD147" t="str">
            <v>Slant</v>
          </cell>
          <cell r="AE147" t="str">
            <v>Duplex</v>
          </cell>
          <cell r="AF147" t="str">
            <v>326 - With Partition</v>
          </cell>
          <cell r="AG147" t="str">
            <v xml:space="preserve">Without Partition </v>
          </cell>
          <cell r="AH147" t="str">
            <v xml:space="preserve">Without Partition </v>
          </cell>
          <cell r="AI147" t="str">
            <v>GREEN</v>
          </cell>
          <cell r="AJ147" t="str">
            <v>Slant / GREEN</v>
          </cell>
          <cell r="AK147">
            <v>1050000</v>
          </cell>
          <cell r="AL147">
            <v>15000</v>
          </cell>
          <cell r="AM147">
            <v>1650000</v>
          </cell>
          <cell r="AN147">
            <v>33000</v>
          </cell>
          <cell r="AO147">
            <v>150000</v>
          </cell>
          <cell r="AP147">
            <v>2850000</v>
          </cell>
          <cell r="AQ147"/>
          <cell r="AR147">
            <v>2850000</v>
          </cell>
          <cell r="AS147">
            <v>200000</v>
          </cell>
          <cell r="AT147">
            <v>2650000</v>
          </cell>
          <cell r="AU147">
            <v>100000</v>
          </cell>
          <cell r="AV147">
            <v>2550000</v>
          </cell>
          <cell r="AW147">
            <v>0</v>
          </cell>
          <cell r="AX147">
            <v>2550000</v>
          </cell>
        </row>
        <row r="148">
          <cell r="G148" t="str">
            <v>AGM-01-007-042</v>
          </cell>
          <cell r="H148" t="str">
            <v xml:space="preserve">Raemulan Lands, Inc. </v>
          </cell>
          <cell r="I148" t="str">
            <v>Agapeya</v>
          </cell>
          <cell r="J148" t="str">
            <v>AGM</v>
          </cell>
          <cell r="K148" t="str">
            <v>Eco-High</v>
          </cell>
          <cell r="L148" t="str">
            <v>West</v>
          </cell>
          <cell r="M148" t="str">
            <v>With LTS - 2024</v>
          </cell>
          <cell r="N148" t="str">
            <v>YES</v>
          </cell>
          <cell r="O148" t="str">
            <v>YES</v>
          </cell>
          <cell r="P148" t="str">
            <v>Unaffected lots</v>
          </cell>
          <cell r="Q148" t="str">
            <v>YES</v>
          </cell>
          <cell r="R148">
            <v>100</v>
          </cell>
          <cell r="S148" t="str">
            <v>PCS-04-034407</v>
          </cell>
          <cell r="T148" t="str">
            <v>TCT-060-2024021433</v>
          </cell>
          <cell r="U148" t="b">
            <v>1</v>
          </cell>
          <cell r="V148" t="str">
            <v>Done</v>
          </cell>
          <cell r="W148" t="str">
            <v>2024 Batch</v>
          </cell>
          <cell r="X148" t="str">
            <v>2024 Batch</v>
          </cell>
          <cell r="Y148">
            <v>7</v>
          </cell>
          <cell r="Z148">
            <v>42</v>
          </cell>
          <cell r="AA148" t="str">
            <v>H+L</v>
          </cell>
          <cell r="AB148">
            <v>100</v>
          </cell>
          <cell r="AC148">
            <v>50</v>
          </cell>
          <cell r="AD148" t="str">
            <v>Slant</v>
          </cell>
          <cell r="AE148" t="str">
            <v>Duplex</v>
          </cell>
          <cell r="AF148" t="str">
            <v>326 - With Partition</v>
          </cell>
          <cell r="AG148" t="str">
            <v>With Partition</v>
          </cell>
          <cell r="AH148" t="str">
            <v>With Partition</v>
          </cell>
          <cell r="AI148" t="str">
            <v>PINK</v>
          </cell>
          <cell r="AJ148" t="str">
            <v>Slant / PINK</v>
          </cell>
          <cell r="AK148">
            <v>1500000</v>
          </cell>
          <cell r="AL148">
            <v>15000</v>
          </cell>
          <cell r="AM148">
            <v>1650000</v>
          </cell>
          <cell r="AN148">
            <v>33000</v>
          </cell>
          <cell r="AO148">
            <v>150000</v>
          </cell>
          <cell r="AP148">
            <v>3300000</v>
          </cell>
          <cell r="AQ148"/>
          <cell r="AR148">
            <v>3300000</v>
          </cell>
          <cell r="AS148">
            <v>0</v>
          </cell>
          <cell r="AT148">
            <v>3300000</v>
          </cell>
          <cell r="AU148">
            <v>100000</v>
          </cell>
          <cell r="AV148">
            <v>3200000</v>
          </cell>
          <cell r="AW148">
            <v>0</v>
          </cell>
          <cell r="AX148">
            <v>3200000</v>
          </cell>
        </row>
        <row r="149">
          <cell r="G149" t="str">
            <v>AGM-01-002-009</v>
          </cell>
          <cell r="H149" t="str">
            <v xml:space="preserve">Raemulan Lands, Inc. </v>
          </cell>
          <cell r="I149" t="str">
            <v>Agapeya</v>
          </cell>
          <cell r="J149" t="str">
            <v>AGM</v>
          </cell>
          <cell r="K149" t="str">
            <v>Eco-High</v>
          </cell>
          <cell r="L149" t="str">
            <v>West</v>
          </cell>
          <cell r="M149" t="str">
            <v>With LTS - 2024</v>
          </cell>
          <cell r="N149" t="str">
            <v>YES</v>
          </cell>
          <cell r="O149" t="str">
            <v>NO</v>
          </cell>
          <cell r="P149" t="str">
            <v>Unaffected lots</v>
          </cell>
          <cell r="Q149" t="str">
            <v>YES</v>
          </cell>
          <cell r="R149">
            <v>115</v>
          </cell>
          <cell r="S149" t="str">
            <v>PCS-04-034407</v>
          </cell>
          <cell r="T149" t="str">
            <v>TCT-060-202421304</v>
          </cell>
          <cell r="U149" t="b">
            <v>1</v>
          </cell>
          <cell r="V149" t="str">
            <v>Done</v>
          </cell>
          <cell r="W149" t="str">
            <v>B4 - Lot Only</v>
          </cell>
          <cell r="X149" t="str">
            <v>Lot Only - N/A</v>
          </cell>
          <cell r="Y149">
            <v>2</v>
          </cell>
          <cell r="Z149">
            <v>9</v>
          </cell>
          <cell r="AA149" t="str">
            <v>LO</v>
          </cell>
          <cell r="AB149">
            <v>115</v>
          </cell>
          <cell r="AC149" t="str">
            <v>N/A</v>
          </cell>
          <cell r="AD149" t="str">
            <v>-</v>
          </cell>
          <cell r="AE149" t="str">
            <v>Lot Only</v>
          </cell>
          <cell r="AF149" t="str">
            <v>N/A</v>
          </cell>
          <cell r="AG149" t="str">
            <v>N/A - LOT ONLY</v>
          </cell>
          <cell r="AH149" t="str">
            <v>N/A - LOT ONLY</v>
          </cell>
          <cell r="AI149" t="str">
            <v>N/A - LOT ONLY</v>
          </cell>
          <cell r="AJ149" t="str">
            <v>- / N/A - LOT ONLY</v>
          </cell>
          <cell r="AK149">
            <v>1725000</v>
          </cell>
          <cell r="AL149">
            <v>15000</v>
          </cell>
          <cell r="AM149">
            <v>0</v>
          </cell>
          <cell r="AN149">
            <v>0</v>
          </cell>
          <cell r="AO149">
            <v>100000</v>
          </cell>
          <cell r="AP149">
            <v>1825000</v>
          </cell>
          <cell r="AQ149"/>
          <cell r="AR149">
            <v>1825000</v>
          </cell>
          <cell r="AS149">
            <v>0</v>
          </cell>
          <cell r="AT149">
            <v>1825000</v>
          </cell>
          <cell r="AU149">
            <v>100000</v>
          </cell>
          <cell r="AV149">
            <v>1725000</v>
          </cell>
          <cell r="AW149">
            <v>0</v>
          </cell>
          <cell r="AX149">
            <v>1725000</v>
          </cell>
        </row>
        <row r="150">
          <cell r="G150" t="str">
            <v>AGM-01-003-007</v>
          </cell>
          <cell r="H150" t="str">
            <v xml:space="preserve">Raemulan Lands, Inc. </v>
          </cell>
          <cell r="I150" t="str">
            <v>Agapeya</v>
          </cell>
          <cell r="J150" t="str">
            <v>AGM</v>
          </cell>
          <cell r="K150" t="str">
            <v>Eco-High</v>
          </cell>
          <cell r="L150" t="str">
            <v>West</v>
          </cell>
          <cell r="M150" t="str">
            <v>With LTS - 2024</v>
          </cell>
          <cell r="N150" t="str">
            <v>YES</v>
          </cell>
          <cell r="O150" t="str">
            <v>NO</v>
          </cell>
          <cell r="P150" t="str">
            <v>Unaffected lots</v>
          </cell>
          <cell r="Q150" t="str">
            <v>YES</v>
          </cell>
          <cell r="R150">
            <v>111</v>
          </cell>
          <cell r="S150" t="str">
            <v>PCS-04-034407</v>
          </cell>
          <cell r="T150" t="str">
            <v>TCT-060-202421324</v>
          </cell>
          <cell r="U150" t="b">
            <v>1</v>
          </cell>
          <cell r="V150" t="str">
            <v>Done</v>
          </cell>
          <cell r="W150" t="str">
            <v>B4 - Lot Only</v>
          </cell>
          <cell r="X150" t="str">
            <v>Lot Only - N/A</v>
          </cell>
          <cell r="Y150">
            <v>3</v>
          </cell>
          <cell r="Z150">
            <v>7</v>
          </cell>
          <cell r="AA150" t="str">
            <v>LO</v>
          </cell>
          <cell r="AB150">
            <v>111</v>
          </cell>
          <cell r="AC150" t="str">
            <v>N/A</v>
          </cell>
          <cell r="AD150" t="str">
            <v>-</v>
          </cell>
          <cell r="AE150" t="str">
            <v>Lot Only</v>
          </cell>
          <cell r="AF150" t="str">
            <v>N/A</v>
          </cell>
          <cell r="AG150" t="str">
            <v>N/A - LOT ONLY</v>
          </cell>
          <cell r="AH150" t="str">
            <v>N/A - LOT ONLY</v>
          </cell>
          <cell r="AI150" t="str">
            <v>N/A - LOT ONLY</v>
          </cell>
          <cell r="AJ150" t="str">
            <v>- / N/A - LOT ONLY</v>
          </cell>
          <cell r="AK150">
            <v>1665000</v>
          </cell>
          <cell r="AL150">
            <v>15000</v>
          </cell>
          <cell r="AM150">
            <v>0</v>
          </cell>
          <cell r="AN150">
            <v>0</v>
          </cell>
          <cell r="AO150">
            <v>100000</v>
          </cell>
          <cell r="AP150">
            <v>1765000</v>
          </cell>
          <cell r="AQ150"/>
          <cell r="AR150">
            <v>1765000</v>
          </cell>
          <cell r="AS150">
            <v>0</v>
          </cell>
          <cell r="AT150">
            <v>1765000</v>
          </cell>
          <cell r="AU150">
            <v>100000</v>
          </cell>
          <cell r="AV150">
            <v>1665000</v>
          </cell>
          <cell r="AW150">
            <v>0</v>
          </cell>
          <cell r="AX150">
            <v>1665000</v>
          </cell>
        </row>
        <row r="151">
          <cell r="G151" t="str">
            <v>AGM-01-008-001</v>
          </cell>
          <cell r="H151" t="str">
            <v xml:space="preserve">Raemulan Lands, Inc. </v>
          </cell>
          <cell r="I151" t="str">
            <v>Agapeya</v>
          </cell>
          <cell r="J151" t="str">
            <v>AGM</v>
          </cell>
          <cell r="K151" t="str">
            <v>Eco-High</v>
          </cell>
          <cell r="L151" t="str">
            <v>West</v>
          </cell>
          <cell r="M151" t="str">
            <v>With LTS - 2024</v>
          </cell>
          <cell r="N151" t="str">
            <v>YES</v>
          </cell>
          <cell r="O151" t="str">
            <v>YES</v>
          </cell>
          <cell r="P151" t="str">
            <v>Unaffected lots</v>
          </cell>
          <cell r="Q151" t="str">
            <v>YES</v>
          </cell>
          <cell r="R151">
            <v>89</v>
          </cell>
          <cell r="S151" t="str">
            <v>PCS-04-034407</v>
          </cell>
          <cell r="T151" t="str">
            <v>TCT-060-2024021434</v>
          </cell>
          <cell r="U151" t="b">
            <v>1</v>
          </cell>
          <cell r="V151" t="str">
            <v>Done</v>
          </cell>
          <cell r="W151" t="str">
            <v>2024 Batch</v>
          </cell>
          <cell r="X151" t="str">
            <v>2024 Batch</v>
          </cell>
          <cell r="Y151">
            <v>8</v>
          </cell>
          <cell r="Z151">
            <v>1</v>
          </cell>
          <cell r="AA151" t="str">
            <v>H+L</v>
          </cell>
          <cell r="AB151">
            <v>89</v>
          </cell>
          <cell r="AC151">
            <v>50</v>
          </cell>
          <cell r="AD151" t="str">
            <v>Flat</v>
          </cell>
          <cell r="AE151" t="str">
            <v>Duplex</v>
          </cell>
          <cell r="AF151" t="str">
            <v>326 - With Partition</v>
          </cell>
          <cell r="AG151" t="str">
            <v>With Partition</v>
          </cell>
          <cell r="AH151" t="str">
            <v>With Partition</v>
          </cell>
          <cell r="AI151" t="str">
            <v>PURPLE</v>
          </cell>
          <cell r="AJ151" t="str">
            <v>Flat / PURPLE</v>
          </cell>
          <cell r="AK151">
            <v>1335000</v>
          </cell>
          <cell r="AL151">
            <v>15000</v>
          </cell>
          <cell r="AM151">
            <v>1650000</v>
          </cell>
          <cell r="AN151">
            <v>33000</v>
          </cell>
          <cell r="AO151">
            <v>150000</v>
          </cell>
          <cell r="AP151">
            <v>3135000</v>
          </cell>
          <cell r="AQ151"/>
          <cell r="AR151">
            <v>3135000</v>
          </cell>
          <cell r="AS151">
            <v>0</v>
          </cell>
          <cell r="AT151">
            <v>3135000</v>
          </cell>
          <cell r="AU151">
            <v>100000</v>
          </cell>
          <cell r="AV151">
            <v>3035000</v>
          </cell>
          <cell r="AW151">
            <v>0</v>
          </cell>
          <cell r="AX151">
            <v>3035000</v>
          </cell>
        </row>
        <row r="152">
          <cell r="G152" t="str">
            <v>AGM-01-008-002</v>
          </cell>
          <cell r="H152" t="str">
            <v xml:space="preserve">Raemulan Lands, Inc. </v>
          </cell>
          <cell r="I152" t="str">
            <v>Agapeya</v>
          </cell>
          <cell r="J152" t="str">
            <v>AGM</v>
          </cell>
          <cell r="K152" t="str">
            <v>Eco-High</v>
          </cell>
          <cell r="L152" t="str">
            <v>West</v>
          </cell>
          <cell r="M152" t="str">
            <v>With LTS - 2024</v>
          </cell>
          <cell r="N152" t="str">
            <v>YES</v>
          </cell>
          <cell r="O152" t="str">
            <v>YES</v>
          </cell>
          <cell r="P152" t="str">
            <v>Unaffected lots</v>
          </cell>
          <cell r="Q152" t="str">
            <v>YES</v>
          </cell>
          <cell r="R152">
            <v>70</v>
          </cell>
          <cell r="S152" t="str">
            <v>PCS-04-034407</v>
          </cell>
          <cell r="T152" t="str">
            <v>TCT-060-2024021435</v>
          </cell>
          <cell r="U152" t="b">
            <v>1</v>
          </cell>
          <cell r="V152" t="str">
            <v>Done</v>
          </cell>
          <cell r="W152" t="str">
            <v>2024 Batch</v>
          </cell>
          <cell r="X152" t="str">
            <v>2024 Batch</v>
          </cell>
          <cell r="Y152">
            <v>8</v>
          </cell>
          <cell r="Z152">
            <v>2</v>
          </cell>
          <cell r="AA152" t="str">
            <v>H+L</v>
          </cell>
          <cell r="AB152">
            <v>70</v>
          </cell>
          <cell r="AC152">
            <v>50</v>
          </cell>
          <cell r="AD152" t="str">
            <v>Slant</v>
          </cell>
          <cell r="AE152" t="str">
            <v>Duplex</v>
          </cell>
          <cell r="AF152" t="str">
            <v>326 - With Partition</v>
          </cell>
          <cell r="AG152" t="str">
            <v xml:space="preserve">Without Partition </v>
          </cell>
          <cell r="AH152" t="str">
            <v xml:space="preserve">Without Partition </v>
          </cell>
          <cell r="AI152" t="str">
            <v>PURPLE</v>
          </cell>
          <cell r="AJ152" t="str">
            <v>Slant / PURPLE</v>
          </cell>
          <cell r="AK152">
            <v>1050000</v>
          </cell>
          <cell r="AL152">
            <v>15000</v>
          </cell>
          <cell r="AM152">
            <v>1650000</v>
          </cell>
          <cell r="AN152">
            <v>33000</v>
          </cell>
          <cell r="AO152">
            <v>150000</v>
          </cell>
          <cell r="AP152">
            <v>2850000</v>
          </cell>
          <cell r="AQ152"/>
          <cell r="AR152">
            <v>2850000</v>
          </cell>
          <cell r="AS152">
            <v>200000</v>
          </cell>
          <cell r="AT152">
            <v>2650000</v>
          </cell>
          <cell r="AU152">
            <v>100000</v>
          </cell>
          <cell r="AV152">
            <v>2550000</v>
          </cell>
          <cell r="AW152">
            <v>0</v>
          </cell>
          <cell r="AX152">
            <v>2550000</v>
          </cell>
        </row>
        <row r="153">
          <cell r="G153" t="str">
            <v>AGM-01-008-003</v>
          </cell>
          <cell r="H153" t="str">
            <v xml:space="preserve">Raemulan Lands, Inc. </v>
          </cell>
          <cell r="I153" t="str">
            <v>Agapeya</v>
          </cell>
          <cell r="J153" t="str">
            <v>AGM</v>
          </cell>
          <cell r="K153" t="str">
            <v>Eco-High</v>
          </cell>
          <cell r="L153" t="str">
            <v>West</v>
          </cell>
          <cell r="M153" t="str">
            <v>With LTS - 2024</v>
          </cell>
          <cell r="N153" t="str">
            <v>YES</v>
          </cell>
          <cell r="O153" t="str">
            <v>YES</v>
          </cell>
          <cell r="P153" t="str">
            <v>Unaffected lots</v>
          </cell>
          <cell r="Q153" t="str">
            <v>YES</v>
          </cell>
          <cell r="R153">
            <v>70</v>
          </cell>
          <cell r="S153" t="str">
            <v>PCS-04-036353</v>
          </cell>
          <cell r="T153" t="str">
            <v>TCT-060-2026007151</v>
          </cell>
          <cell r="U153" t="b">
            <v>1</v>
          </cell>
          <cell r="V153" t="str">
            <v>Done</v>
          </cell>
          <cell r="W153" t="str">
            <v>2024 Batch</v>
          </cell>
          <cell r="X153" t="str">
            <v>2024 Batch</v>
          </cell>
          <cell r="Y153">
            <v>8</v>
          </cell>
          <cell r="Z153">
            <v>3</v>
          </cell>
          <cell r="AA153" t="str">
            <v>H+L</v>
          </cell>
          <cell r="AB153">
            <v>70</v>
          </cell>
          <cell r="AC153">
            <v>50</v>
          </cell>
          <cell r="AD153" t="str">
            <v>Slant</v>
          </cell>
          <cell r="AE153" t="str">
            <v>Duplex</v>
          </cell>
          <cell r="AF153" t="str">
            <v>326 - With Partition</v>
          </cell>
          <cell r="AG153" t="str">
            <v>With Partition</v>
          </cell>
          <cell r="AH153" t="str">
            <v>With Partition</v>
          </cell>
          <cell r="AI153" t="str">
            <v>PURPLE</v>
          </cell>
          <cell r="AJ153" t="str">
            <v>Slant / PURPLE</v>
          </cell>
          <cell r="AK153">
            <v>1050000</v>
          </cell>
          <cell r="AL153">
            <v>15000</v>
          </cell>
          <cell r="AM153">
            <v>1650000</v>
          </cell>
          <cell r="AN153">
            <v>33000</v>
          </cell>
          <cell r="AO153">
            <v>150000</v>
          </cell>
          <cell r="AP153">
            <v>2850000</v>
          </cell>
          <cell r="AQ153"/>
          <cell r="AR153">
            <v>2850000</v>
          </cell>
          <cell r="AS153">
            <v>0</v>
          </cell>
          <cell r="AT153">
            <v>2850000</v>
          </cell>
          <cell r="AU153">
            <v>100000</v>
          </cell>
          <cell r="AV153">
            <v>2750000</v>
          </cell>
          <cell r="AW153">
            <v>0</v>
          </cell>
          <cell r="AX153">
            <v>2750000</v>
          </cell>
        </row>
        <row r="154">
          <cell r="G154" t="str">
            <v>AGM-01-008-004</v>
          </cell>
          <cell r="H154" t="str">
            <v xml:space="preserve">Raemulan Lands, Inc. </v>
          </cell>
          <cell r="I154" t="str">
            <v>Agapeya</v>
          </cell>
          <cell r="J154" t="str">
            <v>AGM</v>
          </cell>
          <cell r="K154" t="str">
            <v>Eco-High</v>
          </cell>
          <cell r="L154" t="str">
            <v>West</v>
          </cell>
          <cell r="M154" t="str">
            <v>With LTS - 2024</v>
          </cell>
          <cell r="N154" t="str">
            <v>YES</v>
          </cell>
          <cell r="O154" t="str">
            <v>YES</v>
          </cell>
          <cell r="P154" t="str">
            <v>Unaffected lots</v>
          </cell>
          <cell r="Q154" t="str">
            <v>YES</v>
          </cell>
          <cell r="R154">
            <v>70</v>
          </cell>
          <cell r="S154" t="str">
            <v>PCS-04-034298</v>
          </cell>
          <cell r="T154" t="str">
            <v>TCT-060-2024021550</v>
          </cell>
          <cell r="U154" t="b">
            <v>1</v>
          </cell>
          <cell r="V154" t="str">
            <v>Done</v>
          </cell>
          <cell r="W154" t="str">
            <v>2024 Batch</v>
          </cell>
          <cell r="X154" t="str">
            <v>2024 Batch</v>
          </cell>
          <cell r="Y154">
            <v>8</v>
          </cell>
          <cell r="Z154">
            <v>4</v>
          </cell>
          <cell r="AA154" t="str">
            <v>H+L</v>
          </cell>
          <cell r="AB154">
            <v>70</v>
          </cell>
          <cell r="AC154">
            <v>50</v>
          </cell>
          <cell r="AD154" t="str">
            <v>Flat</v>
          </cell>
          <cell r="AE154" t="str">
            <v>Duplex</v>
          </cell>
          <cell r="AF154" t="str">
            <v>326 - With Partition</v>
          </cell>
          <cell r="AG154" t="str">
            <v>With Partition</v>
          </cell>
          <cell r="AH154" t="str">
            <v>With Partition</v>
          </cell>
          <cell r="AI154" t="str">
            <v>PURPLE</v>
          </cell>
          <cell r="AJ154" t="str">
            <v>Flat / PURPLE</v>
          </cell>
          <cell r="AK154">
            <v>1050000</v>
          </cell>
          <cell r="AL154">
            <v>15000</v>
          </cell>
          <cell r="AM154">
            <v>1650000</v>
          </cell>
          <cell r="AN154">
            <v>33000</v>
          </cell>
          <cell r="AO154">
            <v>150000</v>
          </cell>
          <cell r="AP154">
            <v>2850000</v>
          </cell>
          <cell r="AQ154"/>
          <cell r="AR154">
            <v>2850000</v>
          </cell>
          <cell r="AS154">
            <v>0</v>
          </cell>
          <cell r="AT154">
            <v>2850000</v>
          </cell>
          <cell r="AU154">
            <v>100000</v>
          </cell>
          <cell r="AV154">
            <v>2750000</v>
          </cell>
          <cell r="AW154">
            <v>0</v>
          </cell>
          <cell r="AX154">
            <v>2750000</v>
          </cell>
        </row>
        <row r="155">
          <cell r="G155" t="str">
            <v>AGM-01-008-005</v>
          </cell>
          <cell r="H155" t="str">
            <v xml:space="preserve">Raemulan Lands, Inc. </v>
          </cell>
          <cell r="I155" t="str">
            <v>Agapeya</v>
          </cell>
          <cell r="J155" t="str">
            <v>AGM</v>
          </cell>
          <cell r="K155" t="str">
            <v>Eco-High</v>
          </cell>
          <cell r="L155" t="str">
            <v>West</v>
          </cell>
          <cell r="M155" t="str">
            <v>With LTS - 2024</v>
          </cell>
          <cell r="N155" t="str">
            <v>YES</v>
          </cell>
          <cell r="O155" t="str">
            <v>YES</v>
          </cell>
          <cell r="P155" t="str">
            <v>Unaffected lots</v>
          </cell>
          <cell r="Q155" t="str">
            <v>YES</v>
          </cell>
          <cell r="R155">
            <v>70</v>
          </cell>
          <cell r="S155" t="str">
            <v>PCS-04-034298</v>
          </cell>
          <cell r="T155" t="str">
            <v>TCT-060-2024021551</v>
          </cell>
          <cell r="U155" t="b">
            <v>1</v>
          </cell>
          <cell r="V155" t="str">
            <v>Done</v>
          </cell>
          <cell r="W155" t="str">
            <v>2024 Batch</v>
          </cell>
          <cell r="X155" t="str">
            <v>2024 Batch</v>
          </cell>
          <cell r="Y155">
            <v>8</v>
          </cell>
          <cell r="Z155">
            <v>5</v>
          </cell>
          <cell r="AA155" t="str">
            <v>H+L</v>
          </cell>
          <cell r="AB155">
            <v>70</v>
          </cell>
          <cell r="AC155">
            <v>50</v>
          </cell>
          <cell r="AD155" t="str">
            <v>Flat</v>
          </cell>
          <cell r="AE155" t="str">
            <v>Duplex</v>
          </cell>
          <cell r="AF155" t="str">
            <v>326 - With Partition</v>
          </cell>
          <cell r="AG155" t="str">
            <v xml:space="preserve">Without Partition </v>
          </cell>
          <cell r="AH155" t="str">
            <v xml:space="preserve">Without Partition </v>
          </cell>
          <cell r="AI155" t="str">
            <v>PINK</v>
          </cell>
          <cell r="AJ155" t="str">
            <v>Flat / PINK</v>
          </cell>
          <cell r="AK155">
            <v>1050000</v>
          </cell>
          <cell r="AL155">
            <v>15000</v>
          </cell>
          <cell r="AM155">
            <v>1650000</v>
          </cell>
          <cell r="AN155">
            <v>33000</v>
          </cell>
          <cell r="AO155">
            <v>150000</v>
          </cell>
          <cell r="AP155">
            <v>2850000</v>
          </cell>
          <cell r="AQ155"/>
          <cell r="AR155">
            <v>2850000</v>
          </cell>
          <cell r="AS155">
            <v>200000</v>
          </cell>
          <cell r="AT155">
            <v>2650000</v>
          </cell>
          <cell r="AU155">
            <v>100000</v>
          </cell>
          <cell r="AV155">
            <v>2550000</v>
          </cell>
          <cell r="AW155">
            <v>0</v>
          </cell>
          <cell r="AX155">
            <v>2550000</v>
          </cell>
        </row>
        <row r="156">
          <cell r="G156" t="str">
            <v>AGM-01-008-006</v>
          </cell>
          <cell r="H156" t="str">
            <v xml:space="preserve">Raemulan Lands, Inc. </v>
          </cell>
          <cell r="I156" t="str">
            <v>Agapeya</v>
          </cell>
          <cell r="J156" t="str">
            <v>AGM</v>
          </cell>
          <cell r="K156" t="str">
            <v>Eco-High</v>
          </cell>
          <cell r="L156" t="str">
            <v>West</v>
          </cell>
          <cell r="M156" t="str">
            <v>With LTS - 2024</v>
          </cell>
          <cell r="N156" t="str">
            <v>YES</v>
          </cell>
          <cell r="O156" t="str">
            <v>YES</v>
          </cell>
          <cell r="P156" t="str">
            <v>Unaffected lots</v>
          </cell>
          <cell r="Q156" t="str">
            <v>YES</v>
          </cell>
          <cell r="R156">
            <v>70</v>
          </cell>
          <cell r="S156" t="str">
            <v>PCS-04-034298</v>
          </cell>
          <cell r="T156" t="str">
            <v>TCT-060-2024021552</v>
          </cell>
          <cell r="U156" t="b">
            <v>1</v>
          </cell>
          <cell r="V156" t="str">
            <v>Done</v>
          </cell>
          <cell r="W156" t="str">
            <v>2024 Batch</v>
          </cell>
          <cell r="X156" t="str">
            <v>2024 Batch</v>
          </cell>
          <cell r="Y156">
            <v>8</v>
          </cell>
          <cell r="Z156">
            <v>6</v>
          </cell>
          <cell r="AA156" t="str">
            <v>H+L</v>
          </cell>
          <cell r="AB156">
            <v>70</v>
          </cell>
          <cell r="AC156">
            <v>50</v>
          </cell>
          <cell r="AD156" t="str">
            <v>Slant</v>
          </cell>
          <cell r="AE156" t="str">
            <v>Duplex</v>
          </cell>
          <cell r="AF156" t="str">
            <v>326 - With Partition</v>
          </cell>
          <cell r="AG156" t="str">
            <v>With Partition</v>
          </cell>
          <cell r="AH156" t="str">
            <v>With Partition</v>
          </cell>
          <cell r="AI156" t="str">
            <v>PINK</v>
          </cell>
          <cell r="AJ156" t="str">
            <v>Slant / PINK</v>
          </cell>
          <cell r="AK156">
            <v>1050000</v>
          </cell>
          <cell r="AL156">
            <v>15000</v>
          </cell>
          <cell r="AM156">
            <v>1650000</v>
          </cell>
          <cell r="AN156">
            <v>33000</v>
          </cell>
          <cell r="AO156">
            <v>150000</v>
          </cell>
          <cell r="AP156">
            <v>2850000</v>
          </cell>
          <cell r="AQ156"/>
          <cell r="AR156">
            <v>2850000</v>
          </cell>
          <cell r="AS156">
            <v>0</v>
          </cell>
          <cell r="AT156">
            <v>2850000</v>
          </cell>
          <cell r="AU156">
            <v>100000</v>
          </cell>
          <cell r="AV156">
            <v>2750000</v>
          </cell>
          <cell r="AW156">
            <v>0</v>
          </cell>
          <cell r="AX156">
            <v>2750000</v>
          </cell>
        </row>
        <row r="157">
          <cell r="G157" t="str">
            <v>AGM-01-008-007</v>
          </cell>
          <cell r="H157" t="str">
            <v xml:space="preserve">Raemulan Lands, Inc. </v>
          </cell>
          <cell r="I157" t="str">
            <v>Agapeya</v>
          </cell>
          <cell r="J157" t="str">
            <v>AGM</v>
          </cell>
          <cell r="K157" t="str">
            <v>Eco-High</v>
          </cell>
          <cell r="L157" t="str">
            <v>West</v>
          </cell>
          <cell r="M157" t="str">
            <v>With LTS - 2024</v>
          </cell>
          <cell r="N157" t="str">
            <v>YES</v>
          </cell>
          <cell r="O157" t="str">
            <v>YES</v>
          </cell>
          <cell r="P157" t="str">
            <v>Unaffected lots</v>
          </cell>
          <cell r="Q157" t="str">
            <v>YES</v>
          </cell>
          <cell r="R157">
            <v>70</v>
          </cell>
          <cell r="S157" t="str">
            <v>PCS-04-034298</v>
          </cell>
          <cell r="T157" t="str">
            <v>TCT-060-2024021553</v>
          </cell>
          <cell r="U157" t="b">
            <v>1</v>
          </cell>
          <cell r="V157" t="str">
            <v>Done</v>
          </cell>
          <cell r="W157" t="str">
            <v>2024 Batch</v>
          </cell>
          <cell r="X157" t="str">
            <v>2024 Batch</v>
          </cell>
          <cell r="Y157">
            <v>8</v>
          </cell>
          <cell r="Z157">
            <v>7</v>
          </cell>
          <cell r="AA157" t="str">
            <v>H+L</v>
          </cell>
          <cell r="AB157">
            <v>70</v>
          </cell>
          <cell r="AC157">
            <v>50</v>
          </cell>
          <cell r="AD157" t="str">
            <v>Slant</v>
          </cell>
          <cell r="AE157" t="str">
            <v>Duplex</v>
          </cell>
          <cell r="AF157" t="str">
            <v>326 - With Partition</v>
          </cell>
          <cell r="AG157" t="str">
            <v>With Partition</v>
          </cell>
          <cell r="AH157" t="str">
            <v>With Partition</v>
          </cell>
          <cell r="AI157" t="str">
            <v>PINK</v>
          </cell>
          <cell r="AJ157" t="str">
            <v>Slant / PINK</v>
          </cell>
          <cell r="AK157">
            <v>1050000</v>
          </cell>
          <cell r="AL157">
            <v>15000</v>
          </cell>
          <cell r="AM157">
            <v>1650000</v>
          </cell>
          <cell r="AN157">
            <v>33000</v>
          </cell>
          <cell r="AO157">
            <v>150000</v>
          </cell>
          <cell r="AP157">
            <v>2850000</v>
          </cell>
          <cell r="AQ157"/>
          <cell r="AR157">
            <v>2850000</v>
          </cell>
          <cell r="AS157">
            <v>0</v>
          </cell>
          <cell r="AT157">
            <v>2850000</v>
          </cell>
          <cell r="AU157">
            <v>100000</v>
          </cell>
          <cell r="AV157">
            <v>2750000</v>
          </cell>
          <cell r="AW157">
            <v>0</v>
          </cell>
          <cell r="AX157">
            <v>2750000</v>
          </cell>
        </row>
        <row r="158">
          <cell r="G158" t="str">
            <v>AGM-01-008-008</v>
          </cell>
          <cell r="H158" t="str">
            <v xml:space="preserve">Raemulan Lands, Inc. </v>
          </cell>
          <cell r="I158" t="str">
            <v>Agapeya</v>
          </cell>
          <cell r="J158" t="str">
            <v>AGM</v>
          </cell>
          <cell r="K158" t="str">
            <v>Eco-High</v>
          </cell>
          <cell r="L158" t="str">
            <v>West</v>
          </cell>
          <cell r="M158" t="str">
            <v>With LTS - 2024</v>
          </cell>
          <cell r="N158" t="str">
            <v>YES</v>
          </cell>
          <cell r="O158" t="str">
            <v>YES</v>
          </cell>
          <cell r="P158" t="str">
            <v>Unaffected lots</v>
          </cell>
          <cell r="Q158" t="str">
            <v>YES</v>
          </cell>
          <cell r="R158">
            <v>70</v>
          </cell>
          <cell r="S158" t="str">
            <v>PCS-04-034298</v>
          </cell>
          <cell r="T158" t="str">
            <v>TCT-060-2024021554</v>
          </cell>
          <cell r="U158" t="b">
            <v>1</v>
          </cell>
          <cell r="V158" t="str">
            <v>Done</v>
          </cell>
          <cell r="W158" t="str">
            <v>2024 Batch</v>
          </cell>
          <cell r="X158" t="str">
            <v>2024 Batch</v>
          </cell>
          <cell r="Y158">
            <v>8</v>
          </cell>
          <cell r="Z158">
            <v>8</v>
          </cell>
          <cell r="AA158" t="str">
            <v>H+L</v>
          </cell>
          <cell r="AB158">
            <v>70</v>
          </cell>
          <cell r="AC158">
            <v>50</v>
          </cell>
          <cell r="AD158" t="str">
            <v>Flat</v>
          </cell>
          <cell r="AE158" t="str">
            <v>Duplex</v>
          </cell>
          <cell r="AF158" t="str">
            <v>326 - With Partition</v>
          </cell>
          <cell r="AG158" t="str">
            <v>With Partition</v>
          </cell>
          <cell r="AH158" t="str">
            <v>With Partition</v>
          </cell>
          <cell r="AI158" t="str">
            <v>PINK</v>
          </cell>
          <cell r="AJ158" t="str">
            <v>Flat / PINK</v>
          </cell>
          <cell r="AK158">
            <v>1050000</v>
          </cell>
          <cell r="AL158">
            <v>15000</v>
          </cell>
          <cell r="AM158">
            <v>1650000</v>
          </cell>
          <cell r="AN158">
            <v>33000</v>
          </cell>
          <cell r="AO158">
            <v>150000</v>
          </cell>
          <cell r="AP158">
            <v>2850000</v>
          </cell>
          <cell r="AQ158"/>
          <cell r="AR158">
            <v>2850000</v>
          </cell>
          <cell r="AS158">
            <v>0</v>
          </cell>
          <cell r="AT158">
            <v>2850000</v>
          </cell>
          <cell r="AU158">
            <v>100000</v>
          </cell>
          <cell r="AV158">
            <v>2750000</v>
          </cell>
          <cell r="AW158">
            <v>0</v>
          </cell>
          <cell r="AX158">
            <v>2750000</v>
          </cell>
        </row>
        <row r="159">
          <cell r="G159" t="str">
            <v>AGM-01-008-009</v>
          </cell>
          <cell r="H159" t="str">
            <v xml:space="preserve">Raemulan Lands, Inc. </v>
          </cell>
          <cell r="I159" t="str">
            <v>Agapeya</v>
          </cell>
          <cell r="J159" t="str">
            <v>AGM</v>
          </cell>
          <cell r="K159" t="str">
            <v>Eco-High</v>
          </cell>
          <cell r="L159" t="str">
            <v>West</v>
          </cell>
          <cell r="M159" t="str">
            <v>With LTS - 2024</v>
          </cell>
          <cell r="N159" t="str">
            <v>YES</v>
          </cell>
          <cell r="O159" t="str">
            <v>YES</v>
          </cell>
          <cell r="P159" t="str">
            <v>Unaffected lots</v>
          </cell>
          <cell r="Q159" t="str">
            <v>YES</v>
          </cell>
          <cell r="R159">
            <v>70</v>
          </cell>
          <cell r="S159" t="str">
            <v>PCS-04-034298</v>
          </cell>
          <cell r="T159" t="str">
            <v>TCT-060-2024021555</v>
          </cell>
          <cell r="U159" t="b">
            <v>1</v>
          </cell>
          <cell r="V159" t="str">
            <v>Done</v>
          </cell>
          <cell r="W159" t="str">
            <v>2024 Batch</v>
          </cell>
          <cell r="X159" t="str">
            <v>2024 Batch</v>
          </cell>
          <cell r="Y159">
            <v>8</v>
          </cell>
          <cell r="Z159">
            <v>9</v>
          </cell>
          <cell r="AA159" t="str">
            <v>H+L</v>
          </cell>
          <cell r="AB159">
            <v>70</v>
          </cell>
          <cell r="AC159">
            <v>50</v>
          </cell>
          <cell r="AD159" t="str">
            <v>Flat</v>
          </cell>
          <cell r="AE159" t="str">
            <v>Duplex</v>
          </cell>
          <cell r="AF159" t="str">
            <v>326 - With Partition</v>
          </cell>
          <cell r="AG159" t="str">
            <v>With Partition</v>
          </cell>
          <cell r="AH159" t="str">
            <v>With Partition</v>
          </cell>
          <cell r="AI159" t="str">
            <v>YELLOW</v>
          </cell>
          <cell r="AJ159" t="str">
            <v>Flat / YELLOW</v>
          </cell>
          <cell r="AK159">
            <v>1050000</v>
          </cell>
          <cell r="AL159">
            <v>15000</v>
          </cell>
          <cell r="AM159">
            <v>1650000</v>
          </cell>
          <cell r="AN159">
            <v>33000</v>
          </cell>
          <cell r="AO159">
            <v>150000</v>
          </cell>
          <cell r="AP159">
            <v>2850000</v>
          </cell>
          <cell r="AQ159"/>
          <cell r="AR159">
            <v>2850000</v>
          </cell>
          <cell r="AS159">
            <v>0</v>
          </cell>
          <cell r="AT159">
            <v>2850000</v>
          </cell>
          <cell r="AU159">
            <v>100000</v>
          </cell>
          <cell r="AV159">
            <v>2750000</v>
          </cell>
          <cell r="AW159">
            <v>0</v>
          </cell>
          <cell r="AX159">
            <v>2750000</v>
          </cell>
        </row>
        <row r="160">
          <cell r="G160" t="str">
            <v>AGM-01-008-010</v>
          </cell>
          <cell r="H160" t="str">
            <v xml:space="preserve">Raemulan Lands, Inc. </v>
          </cell>
          <cell r="I160" t="str">
            <v>Agapeya</v>
          </cell>
          <cell r="J160" t="str">
            <v>AGM</v>
          </cell>
          <cell r="K160" t="str">
            <v>Eco-High</v>
          </cell>
          <cell r="L160" t="str">
            <v>West</v>
          </cell>
          <cell r="M160" t="str">
            <v>With LTS - 2024</v>
          </cell>
          <cell r="N160" t="str">
            <v>YES</v>
          </cell>
          <cell r="O160" t="str">
            <v>YES</v>
          </cell>
          <cell r="P160" t="str">
            <v>Unaffected lots</v>
          </cell>
          <cell r="Q160" t="str">
            <v>YES</v>
          </cell>
          <cell r="R160">
            <v>70</v>
          </cell>
          <cell r="S160" t="str">
            <v>PCS-04-034298</v>
          </cell>
          <cell r="T160" t="str">
            <v>TCT-060-2024021556</v>
          </cell>
          <cell r="U160" t="b">
            <v>1</v>
          </cell>
          <cell r="V160" t="str">
            <v>Done</v>
          </cell>
          <cell r="W160" t="str">
            <v>2024 Batch</v>
          </cell>
          <cell r="X160" t="str">
            <v>2024 Batch</v>
          </cell>
          <cell r="Y160">
            <v>8</v>
          </cell>
          <cell r="Z160">
            <v>10</v>
          </cell>
          <cell r="AA160" t="str">
            <v>H+L</v>
          </cell>
          <cell r="AB160">
            <v>70</v>
          </cell>
          <cell r="AC160">
            <v>50</v>
          </cell>
          <cell r="AD160" t="str">
            <v>Slant</v>
          </cell>
          <cell r="AE160" t="str">
            <v>Duplex</v>
          </cell>
          <cell r="AF160" t="str">
            <v>326 - With Partition</v>
          </cell>
          <cell r="AG160" t="str">
            <v>With Partition</v>
          </cell>
          <cell r="AH160" t="str">
            <v>With Partition</v>
          </cell>
          <cell r="AI160" t="str">
            <v>YELLOW</v>
          </cell>
          <cell r="AJ160" t="str">
            <v>Slant / YELLOW</v>
          </cell>
          <cell r="AK160">
            <v>1050000</v>
          </cell>
          <cell r="AL160">
            <v>15000</v>
          </cell>
          <cell r="AM160">
            <v>1650000</v>
          </cell>
          <cell r="AN160">
            <v>33000</v>
          </cell>
          <cell r="AO160">
            <v>150000</v>
          </cell>
          <cell r="AP160">
            <v>2850000</v>
          </cell>
          <cell r="AQ160"/>
          <cell r="AR160">
            <v>2850000</v>
          </cell>
          <cell r="AS160">
            <v>0</v>
          </cell>
          <cell r="AT160">
            <v>2850000</v>
          </cell>
          <cell r="AU160">
            <v>100000</v>
          </cell>
          <cell r="AV160">
            <v>2750000</v>
          </cell>
          <cell r="AW160">
            <v>0</v>
          </cell>
          <cell r="AX160">
            <v>2750000</v>
          </cell>
        </row>
        <row r="161">
          <cell r="G161" t="str">
            <v>AGM-01-008-011</v>
          </cell>
          <cell r="H161" t="str">
            <v xml:space="preserve">Raemulan Lands, Inc. </v>
          </cell>
          <cell r="I161" t="str">
            <v>Agapeya</v>
          </cell>
          <cell r="J161" t="str">
            <v>AGM</v>
          </cell>
          <cell r="K161" t="str">
            <v>Eco-High</v>
          </cell>
          <cell r="L161" t="str">
            <v>West</v>
          </cell>
          <cell r="M161" t="str">
            <v>With LTS - 2024</v>
          </cell>
          <cell r="N161" t="str">
            <v>YES</v>
          </cell>
          <cell r="O161" t="str">
            <v>YES</v>
          </cell>
          <cell r="P161" t="str">
            <v>Unaffected lots</v>
          </cell>
          <cell r="Q161" t="str">
            <v>YES</v>
          </cell>
          <cell r="R161">
            <v>70</v>
          </cell>
          <cell r="S161" t="str">
            <v>PCS-04-034298</v>
          </cell>
          <cell r="T161" t="str">
            <v>TCT-060-2024021557</v>
          </cell>
          <cell r="U161" t="b">
            <v>1</v>
          </cell>
          <cell r="V161" t="str">
            <v>Done</v>
          </cell>
          <cell r="W161" t="str">
            <v>2024 Batch</v>
          </cell>
          <cell r="X161" t="str">
            <v>2024 Batch</v>
          </cell>
          <cell r="Y161">
            <v>8</v>
          </cell>
          <cell r="Z161">
            <v>11</v>
          </cell>
          <cell r="AA161" t="str">
            <v>H+L</v>
          </cell>
          <cell r="AB161">
            <v>70</v>
          </cell>
          <cell r="AC161">
            <v>50</v>
          </cell>
          <cell r="AD161" t="str">
            <v>Slant</v>
          </cell>
          <cell r="AE161" t="str">
            <v>Duplex</v>
          </cell>
          <cell r="AF161" t="str">
            <v>326 - With Partition</v>
          </cell>
          <cell r="AG161" t="str">
            <v>With Partition</v>
          </cell>
          <cell r="AH161" t="str">
            <v>With Partition</v>
          </cell>
          <cell r="AI161" t="str">
            <v>YELLOW</v>
          </cell>
          <cell r="AJ161" t="str">
            <v>Slant / YELLOW</v>
          </cell>
          <cell r="AK161">
            <v>1050000</v>
          </cell>
          <cell r="AL161">
            <v>15000</v>
          </cell>
          <cell r="AM161">
            <v>1650000</v>
          </cell>
          <cell r="AN161">
            <v>33000</v>
          </cell>
          <cell r="AO161">
            <v>150000</v>
          </cell>
          <cell r="AP161">
            <v>2850000</v>
          </cell>
          <cell r="AQ161"/>
          <cell r="AR161">
            <v>2850000</v>
          </cell>
          <cell r="AS161">
            <v>0</v>
          </cell>
          <cell r="AT161">
            <v>2850000</v>
          </cell>
          <cell r="AU161">
            <v>100000</v>
          </cell>
          <cell r="AV161">
            <v>2750000</v>
          </cell>
          <cell r="AW161">
            <v>0</v>
          </cell>
          <cell r="AX161">
            <v>2750000</v>
          </cell>
        </row>
        <row r="162">
          <cell r="G162" t="str">
            <v>AGM-01-008-012</v>
          </cell>
          <cell r="H162" t="str">
            <v xml:space="preserve">Raemulan Lands, Inc. </v>
          </cell>
          <cell r="I162" t="str">
            <v>Agapeya</v>
          </cell>
          <cell r="J162" t="str">
            <v>AGM</v>
          </cell>
          <cell r="K162" t="str">
            <v>Eco-High</v>
          </cell>
          <cell r="L162" t="str">
            <v>West</v>
          </cell>
          <cell r="M162" t="str">
            <v>With LTS - 2024</v>
          </cell>
          <cell r="N162" t="str">
            <v>YES</v>
          </cell>
          <cell r="O162" t="str">
            <v>YES</v>
          </cell>
          <cell r="P162" t="str">
            <v>Unaffected lots</v>
          </cell>
          <cell r="Q162" t="str">
            <v>YES</v>
          </cell>
          <cell r="R162">
            <v>70</v>
          </cell>
          <cell r="S162" t="str">
            <v>PCS-04-034298</v>
          </cell>
          <cell r="T162" t="str">
            <v>TCT-060-2024021558</v>
          </cell>
          <cell r="U162" t="b">
            <v>1</v>
          </cell>
          <cell r="V162" t="str">
            <v>Done</v>
          </cell>
          <cell r="W162" t="str">
            <v>2024 Batch</v>
          </cell>
          <cell r="X162" t="str">
            <v>2024 Batch</v>
          </cell>
          <cell r="Y162">
            <v>8</v>
          </cell>
          <cell r="Z162">
            <v>12</v>
          </cell>
          <cell r="AA162" t="str">
            <v>H+L</v>
          </cell>
          <cell r="AB162">
            <v>70</v>
          </cell>
          <cell r="AC162">
            <v>50</v>
          </cell>
          <cell r="AD162" t="str">
            <v>Flat</v>
          </cell>
          <cell r="AE162" t="str">
            <v>Duplex</v>
          </cell>
          <cell r="AF162" t="str">
            <v>326 - With Partition</v>
          </cell>
          <cell r="AG162" t="str">
            <v>With Partition</v>
          </cell>
          <cell r="AH162" t="str">
            <v>With Partition</v>
          </cell>
          <cell r="AI162" t="str">
            <v>YELLOW</v>
          </cell>
          <cell r="AJ162" t="str">
            <v>Flat / YELLOW</v>
          </cell>
          <cell r="AK162">
            <v>1050000</v>
          </cell>
          <cell r="AL162">
            <v>15000</v>
          </cell>
          <cell r="AM162">
            <v>1650000</v>
          </cell>
          <cell r="AN162">
            <v>33000</v>
          </cell>
          <cell r="AO162">
            <v>150000</v>
          </cell>
          <cell r="AP162">
            <v>2850000</v>
          </cell>
          <cell r="AQ162"/>
          <cell r="AR162">
            <v>2850000</v>
          </cell>
          <cell r="AS162">
            <v>0</v>
          </cell>
          <cell r="AT162">
            <v>2850000</v>
          </cell>
          <cell r="AU162">
            <v>100000</v>
          </cell>
          <cell r="AV162">
            <v>2750000</v>
          </cell>
          <cell r="AW162">
            <v>0</v>
          </cell>
          <cell r="AX162">
            <v>2750000</v>
          </cell>
        </row>
        <row r="163">
          <cell r="G163" t="str">
            <v>AGM-01-008-013</v>
          </cell>
          <cell r="H163" t="str">
            <v xml:space="preserve">Raemulan Lands, Inc. </v>
          </cell>
          <cell r="I163" t="str">
            <v>Agapeya</v>
          </cell>
          <cell r="J163" t="str">
            <v>AGM</v>
          </cell>
          <cell r="K163" t="str">
            <v>Eco-High</v>
          </cell>
          <cell r="L163" t="str">
            <v>West</v>
          </cell>
          <cell r="M163" t="str">
            <v>With LTS - 2024</v>
          </cell>
          <cell r="N163" t="str">
            <v>YES</v>
          </cell>
          <cell r="O163" t="str">
            <v>YES</v>
          </cell>
          <cell r="P163" t="str">
            <v>Unaffected lots</v>
          </cell>
          <cell r="Q163" t="str">
            <v>YES</v>
          </cell>
          <cell r="R163">
            <v>70</v>
          </cell>
          <cell r="S163" t="str">
            <v>PCS-04-034298</v>
          </cell>
          <cell r="T163" t="str">
            <v>TCT-060-2024021559</v>
          </cell>
          <cell r="U163" t="b">
            <v>1</v>
          </cell>
          <cell r="V163" t="str">
            <v>Done</v>
          </cell>
          <cell r="W163" t="str">
            <v>2024 Batch</v>
          </cell>
          <cell r="X163" t="str">
            <v>2024 Batch</v>
          </cell>
          <cell r="Y163">
            <v>8</v>
          </cell>
          <cell r="Z163">
            <v>13</v>
          </cell>
          <cell r="AA163" t="str">
            <v>H+L</v>
          </cell>
          <cell r="AB163">
            <v>70</v>
          </cell>
          <cell r="AC163">
            <v>50</v>
          </cell>
          <cell r="AD163" t="str">
            <v>Flat</v>
          </cell>
          <cell r="AE163" t="str">
            <v>Duplex</v>
          </cell>
          <cell r="AF163" t="str">
            <v>326 - With Partition</v>
          </cell>
          <cell r="AG163" t="str">
            <v xml:space="preserve">Without Partition </v>
          </cell>
          <cell r="AH163" t="str">
            <v xml:space="preserve">Without Partition </v>
          </cell>
          <cell r="AI163" t="str">
            <v>GREEN</v>
          </cell>
          <cell r="AJ163" t="str">
            <v>Flat / GREEN</v>
          </cell>
          <cell r="AK163">
            <v>1050000</v>
          </cell>
          <cell r="AL163">
            <v>15000</v>
          </cell>
          <cell r="AM163">
            <v>1650000</v>
          </cell>
          <cell r="AN163">
            <v>33000</v>
          </cell>
          <cell r="AO163">
            <v>150000</v>
          </cell>
          <cell r="AP163">
            <v>2850000</v>
          </cell>
          <cell r="AQ163"/>
          <cell r="AR163">
            <v>2850000</v>
          </cell>
          <cell r="AS163">
            <v>200000</v>
          </cell>
          <cell r="AT163">
            <v>2650000</v>
          </cell>
          <cell r="AU163">
            <v>100000</v>
          </cell>
          <cell r="AV163">
            <v>2550000</v>
          </cell>
          <cell r="AW163">
            <v>0</v>
          </cell>
          <cell r="AX163">
            <v>2550000</v>
          </cell>
        </row>
        <row r="164">
          <cell r="G164" t="str">
            <v>AGM-01-008-014</v>
          </cell>
          <cell r="H164" t="str">
            <v xml:space="preserve">Raemulan Lands, Inc. </v>
          </cell>
          <cell r="I164" t="str">
            <v>Agapeya</v>
          </cell>
          <cell r="J164" t="str">
            <v>AGM</v>
          </cell>
          <cell r="K164" t="str">
            <v>Eco-High</v>
          </cell>
          <cell r="L164" t="str">
            <v>West</v>
          </cell>
          <cell r="M164" t="str">
            <v>With LTS - 2024</v>
          </cell>
          <cell r="N164" t="str">
            <v>YES</v>
          </cell>
          <cell r="O164" t="str">
            <v>YES</v>
          </cell>
          <cell r="P164" t="str">
            <v>Unaffected lots</v>
          </cell>
          <cell r="Q164" t="str">
            <v>YES</v>
          </cell>
          <cell r="R164">
            <v>70</v>
          </cell>
          <cell r="S164" t="str">
            <v>PCS-04-034298</v>
          </cell>
          <cell r="T164" t="str">
            <v>TCT-060-2024021560</v>
          </cell>
          <cell r="U164" t="b">
            <v>1</v>
          </cell>
          <cell r="V164" t="str">
            <v>Done</v>
          </cell>
          <cell r="W164" t="str">
            <v>2024 Batch</v>
          </cell>
          <cell r="X164" t="str">
            <v>2024 Batch</v>
          </cell>
          <cell r="Y164">
            <v>8</v>
          </cell>
          <cell r="Z164">
            <v>14</v>
          </cell>
          <cell r="AA164" t="str">
            <v>H+L</v>
          </cell>
          <cell r="AB164">
            <v>70</v>
          </cell>
          <cell r="AC164">
            <v>50</v>
          </cell>
          <cell r="AD164" t="str">
            <v>Slant</v>
          </cell>
          <cell r="AE164" t="str">
            <v>Duplex</v>
          </cell>
          <cell r="AF164" t="str">
            <v>326 - With Partition</v>
          </cell>
          <cell r="AG164" t="str">
            <v>With Partition</v>
          </cell>
          <cell r="AH164" t="str">
            <v>With Partition</v>
          </cell>
          <cell r="AI164" t="str">
            <v>GREEN</v>
          </cell>
          <cell r="AJ164" t="str">
            <v>Slant / GREEN</v>
          </cell>
          <cell r="AK164">
            <v>1050000</v>
          </cell>
          <cell r="AL164">
            <v>15000</v>
          </cell>
          <cell r="AM164">
            <v>1650000</v>
          </cell>
          <cell r="AN164">
            <v>33000</v>
          </cell>
          <cell r="AO164">
            <v>150000</v>
          </cell>
          <cell r="AP164">
            <v>2850000</v>
          </cell>
          <cell r="AQ164"/>
          <cell r="AR164">
            <v>2850000</v>
          </cell>
          <cell r="AS164">
            <v>0</v>
          </cell>
          <cell r="AT164">
            <v>2850000</v>
          </cell>
          <cell r="AU164">
            <v>100000</v>
          </cell>
          <cell r="AV164">
            <v>2750000</v>
          </cell>
          <cell r="AW164">
            <v>0</v>
          </cell>
          <cell r="AX164">
            <v>2750000</v>
          </cell>
        </row>
        <row r="165">
          <cell r="G165" t="str">
            <v>AGM-01-008-015</v>
          </cell>
          <cell r="H165" t="str">
            <v xml:space="preserve">Raemulan Lands, Inc. </v>
          </cell>
          <cell r="I165" t="str">
            <v>Agapeya</v>
          </cell>
          <cell r="J165" t="str">
            <v>AGM</v>
          </cell>
          <cell r="K165" t="str">
            <v>Eco-High</v>
          </cell>
          <cell r="L165" t="str">
            <v>West</v>
          </cell>
          <cell r="M165" t="str">
            <v>With LTS - 2024</v>
          </cell>
          <cell r="N165" t="str">
            <v>YES</v>
          </cell>
          <cell r="O165" t="str">
            <v>YES</v>
          </cell>
          <cell r="P165" t="str">
            <v>Unaffected lots</v>
          </cell>
          <cell r="Q165" t="str">
            <v>YES</v>
          </cell>
          <cell r="R165">
            <v>70</v>
          </cell>
          <cell r="S165" t="str">
            <v>PCS-04-034298</v>
          </cell>
          <cell r="T165" t="str">
            <v>TCT-060-2024021561</v>
          </cell>
          <cell r="U165" t="b">
            <v>1</v>
          </cell>
          <cell r="V165" t="str">
            <v>Done</v>
          </cell>
          <cell r="W165" t="str">
            <v>2024 Batch</v>
          </cell>
          <cell r="X165" t="str">
            <v>2024 Batch</v>
          </cell>
          <cell r="Y165">
            <v>8</v>
          </cell>
          <cell r="Z165">
            <v>15</v>
          </cell>
          <cell r="AA165" t="str">
            <v>H+L</v>
          </cell>
          <cell r="AB165">
            <v>70</v>
          </cell>
          <cell r="AC165">
            <v>50</v>
          </cell>
          <cell r="AD165" t="str">
            <v>Slant</v>
          </cell>
          <cell r="AE165" t="str">
            <v>Duplex</v>
          </cell>
          <cell r="AF165" t="str">
            <v>326 - With Partition</v>
          </cell>
          <cell r="AG165" t="str">
            <v>With Partition</v>
          </cell>
          <cell r="AH165" t="str">
            <v>With Partition</v>
          </cell>
          <cell r="AI165" t="str">
            <v>GREEN</v>
          </cell>
          <cell r="AJ165" t="str">
            <v>Slant / GREEN</v>
          </cell>
          <cell r="AK165">
            <v>1050000</v>
          </cell>
          <cell r="AL165">
            <v>15000</v>
          </cell>
          <cell r="AM165">
            <v>1650000</v>
          </cell>
          <cell r="AN165">
            <v>33000</v>
          </cell>
          <cell r="AO165">
            <v>150000</v>
          </cell>
          <cell r="AP165">
            <v>2850000</v>
          </cell>
          <cell r="AQ165"/>
          <cell r="AR165">
            <v>2850000</v>
          </cell>
          <cell r="AS165">
            <v>0</v>
          </cell>
          <cell r="AT165">
            <v>2850000</v>
          </cell>
          <cell r="AU165">
            <v>100000</v>
          </cell>
          <cell r="AV165">
            <v>2750000</v>
          </cell>
          <cell r="AW165">
            <v>0</v>
          </cell>
          <cell r="AX165">
            <v>2750000</v>
          </cell>
        </row>
        <row r="166">
          <cell r="G166" t="str">
            <v>AGM-01-008-016</v>
          </cell>
          <cell r="H166" t="str">
            <v xml:space="preserve">Raemulan Lands, Inc. </v>
          </cell>
          <cell r="I166" t="str">
            <v>Agapeya</v>
          </cell>
          <cell r="J166" t="str">
            <v>AGM</v>
          </cell>
          <cell r="K166" t="str">
            <v>Eco-High</v>
          </cell>
          <cell r="L166" t="str">
            <v>West</v>
          </cell>
          <cell r="M166" t="str">
            <v>With LTS - 2024</v>
          </cell>
          <cell r="N166" t="str">
            <v>YES</v>
          </cell>
          <cell r="O166" t="str">
            <v>YES</v>
          </cell>
          <cell r="P166" t="str">
            <v>Unaffected lots</v>
          </cell>
          <cell r="Q166" t="str">
            <v>YES</v>
          </cell>
          <cell r="R166">
            <v>70</v>
          </cell>
          <cell r="S166" t="str">
            <v>PCS-04-034298</v>
          </cell>
          <cell r="T166" t="str">
            <v>TCT-060-2024021562</v>
          </cell>
          <cell r="U166" t="b">
            <v>1</v>
          </cell>
          <cell r="V166" t="str">
            <v>Done</v>
          </cell>
          <cell r="W166" t="str">
            <v>2024 Batch</v>
          </cell>
          <cell r="X166" t="str">
            <v>2024 Batch</v>
          </cell>
          <cell r="Y166">
            <v>8</v>
          </cell>
          <cell r="Z166">
            <v>16</v>
          </cell>
          <cell r="AA166" t="str">
            <v>H+L</v>
          </cell>
          <cell r="AB166">
            <v>70</v>
          </cell>
          <cell r="AC166">
            <v>50</v>
          </cell>
          <cell r="AD166" t="str">
            <v>Flat</v>
          </cell>
          <cell r="AE166" t="str">
            <v>Duplex</v>
          </cell>
          <cell r="AF166" t="str">
            <v>326 - With Partition</v>
          </cell>
          <cell r="AG166" t="str">
            <v>With Partition</v>
          </cell>
          <cell r="AH166" t="str">
            <v>With Partition</v>
          </cell>
          <cell r="AI166" t="str">
            <v>GREEN</v>
          </cell>
          <cell r="AJ166" t="str">
            <v>Flat / GREEN</v>
          </cell>
          <cell r="AK166">
            <v>1050000</v>
          </cell>
          <cell r="AL166">
            <v>15000</v>
          </cell>
          <cell r="AM166">
            <v>1650000</v>
          </cell>
          <cell r="AN166">
            <v>33000</v>
          </cell>
          <cell r="AO166">
            <v>150000</v>
          </cell>
          <cell r="AP166">
            <v>2850000</v>
          </cell>
          <cell r="AQ166"/>
          <cell r="AR166">
            <v>2850000</v>
          </cell>
          <cell r="AS166">
            <v>0</v>
          </cell>
          <cell r="AT166">
            <v>2850000</v>
          </cell>
          <cell r="AU166">
            <v>100000</v>
          </cell>
          <cell r="AV166">
            <v>2750000</v>
          </cell>
          <cell r="AW166">
            <v>0</v>
          </cell>
          <cell r="AX166">
            <v>2750000</v>
          </cell>
        </row>
        <row r="167">
          <cell r="G167" t="str">
            <v>AGM-01-008-017</v>
          </cell>
          <cell r="H167" t="str">
            <v xml:space="preserve">Raemulan Lands, Inc. </v>
          </cell>
          <cell r="I167" t="str">
            <v>Agapeya</v>
          </cell>
          <cell r="J167" t="str">
            <v>AGM</v>
          </cell>
          <cell r="K167" t="str">
            <v>Eco-High</v>
          </cell>
          <cell r="L167" t="str">
            <v>West</v>
          </cell>
          <cell r="M167" t="str">
            <v>With LTS - 2024</v>
          </cell>
          <cell r="N167" t="str">
            <v>YES</v>
          </cell>
          <cell r="O167" t="str">
            <v>YES</v>
          </cell>
          <cell r="P167" t="str">
            <v>Unaffected lots</v>
          </cell>
          <cell r="Q167" t="str">
            <v>YES</v>
          </cell>
          <cell r="R167">
            <v>70</v>
          </cell>
          <cell r="S167" t="str">
            <v>PCS-04-034298</v>
          </cell>
          <cell r="T167" t="str">
            <v>TCT-060-2024021563</v>
          </cell>
          <cell r="U167" t="b">
            <v>1</v>
          </cell>
          <cell r="V167" t="str">
            <v>Done</v>
          </cell>
          <cell r="W167" t="str">
            <v>2024 Batch</v>
          </cell>
          <cell r="X167" t="str">
            <v>2024 Batch</v>
          </cell>
          <cell r="Y167">
            <v>8</v>
          </cell>
          <cell r="Z167">
            <v>17</v>
          </cell>
          <cell r="AA167" t="str">
            <v>H+L</v>
          </cell>
          <cell r="AB167">
            <v>70</v>
          </cell>
          <cell r="AC167">
            <v>50</v>
          </cell>
          <cell r="AD167" t="str">
            <v>Flat</v>
          </cell>
          <cell r="AE167" t="str">
            <v>Duplex</v>
          </cell>
          <cell r="AF167" t="str">
            <v>326 - With Partition</v>
          </cell>
          <cell r="AG167" t="str">
            <v>With Partition</v>
          </cell>
          <cell r="AH167" t="str">
            <v>With Partition</v>
          </cell>
          <cell r="AI167" t="str">
            <v>PURPLE</v>
          </cell>
          <cell r="AJ167" t="str">
            <v>Flat / PURPLE</v>
          </cell>
          <cell r="AK167">
            <v>1050000</v>
          </cell>
          <cell r="AL167">
            <v>15000</v>
          </cell>
          <cell r="AM167">
            <v>1650000</v>
          </cell>
          <cell r="AN167">
            <v>33000</v>
          </cell>
          <cell r="AO167">
            <v>150000</v>
          </cell>
          <cell r="AP167">
            <v>2850000</v>
          </cell>
          <cell r="AQ167"/>
          <cell r="AR167">
            <v>2850000</v>
          </cell>
          <cell r="AS167">
            <v>0</v>
          </cell>
          <cell r="AT167">
            <v>2850000</v>
          </cell>
          <cell r="AU167">
            <v>100000</v>
          </cell>
          <cell r="AV167">
            <v>2750000</v>
          </cell>
          <cell r="AW167">
            <v>0</v>
          </cell>
          <cell r="AX167">
            <v>2750000</v>
          </cell>
        </row>
        <row r="168">
          <cell r="G168" t="str">
            <v>AGM-01-008-018</v>
          </cell>
          <cell r="H168" t="str">
            <v xml:space="preserve">Raemulan Lands, Inc. </v>
          </cell>
          <cell r="I168" t="str">
            <v>Agapeya</v>
          </cell>
          <cell r="J168" t="str">
            <v>AGM</v>
          </cell>
          <cell r="K168" t="str">
            <v>Eco-High</v>
          </cell>
          <cell r="L168" t="str">
            <v>West</v>
          </cell>
          <cell r="M168" t="str">
            <v>With LTS - 2024</v>
          </cell>
          <cell r="N168" t="str">
            <v>YES</v>
          </cell>
          <cell r="O168" t="str">
            <v>YES</v>
          </cell>
          <cell r="P168" t="str">
            <v>Unaffected lots</v>
          </cell>
          <cell r="Q168" t="str">
            <v>YES</v>
          </cell>
          <cell r="R168">
            <v>70</v>
          </cell>
          <cell r="S168" t="str">
            <v>PCS-04-034298</v>
          </cell>
          <cell r="T168" t="str">
            <v>TCT-060-2024021564</v>
          </cell>
          <cell r="U168" t="b">
            <v>1</v>
          </cell>
          <cell r="V168" t="str">
            <v>Done</v>
          </cell>
          <cell r="W168" t="str">
            <v>2024 Batch</v>
          </cell>
          <cell r="X168" t="str">
            <v>2024 Batch</v>
          </cell>
          <cell r="Y168">
            <v>8</v>
          </cell>
          <cell r="Z168">
            <v>18</v>
          </cell>
          <cell r="AA168" t="str">
            <v>H+L</v>
          </cell>
          <cell r="AB168">
            <v>70</v>
          </cell>
          <cell r="AC168">
            <v>50</v>
          </cell>
          <cell r="AD168" t="str">
            <v>Slant</v>
          </cell>
          <cell r="AE168" t="str">
            <v>Duplex</v>
          </cell>
          <cell r="AF168" t="str">
            <v>326 - With Partition</v>
          </cell>
          <cell r="AG168" t="str">
            <v xml:space="preserve">Without Partition </v>
          </cell>
          <cell r="AH168" t="str">
            <v xml:space="preserve">Without Partition </v>
          </cell>
          <cell r="AI168" t="str">
            <v>PURPLE</v>
          </cell>
          <cell r="AJ168" t="str">
            <v>Slant / PURPLE</v>
          </cell>
          <cell r="AK168">
            <v>1050000</v>
          </cell>
          <cell r="AL168">
            <v>15000</v>
          </cell>
          <cell r="AM168">
            <v>1650000</v>
          </cell>
          <cell r="AN168">
            <v>33000</v>
          </cell>
          <cell r="AO168">
            <v>150000</v>
          </cell>
          <cell r="AP168">
            <v>2850000</v>
          </cell>
          <cell r="AQ168"/>
          <cell r="AR168">
            <v>2850000</v>
          </cell>
          <cell r="AS168">
            <v>200000</v>
          </cell>
          <cell r="AT168">
            <v>2650000</v>
          </cell>
          <cell r="AU168">
            <v>100000</v>
          </cell>
          <cell r="AV168">
            <v>2550000</v>
          </cell>
          <cell r="AW168">
            <v>0</v>
          </cell>
          <cell r="AX168">
            <v>2550000</v>
          </cell>
        </row>
        <row r="169">
          <cell r="G169" t="str">
            <v>AGM-01-008-019</v>
          </cell>
          <cell r="H169" t="str">
            <v xml:space="preserve">Raemulan Lands, Inc. </v>
          </cell>
          <cell r="I169" t="str">
            <v>Agapeya</v>
          </cell>
          <cell r="J169" t="str">
            <v>AGM</v>
          </cell>
          <cell r="K169" t="str">
            <v>Eco-High</v>
          </cell>
          <cell r="L169" t="str">
            <v>West</v>
          </cell>
          <cell r="M169" t="str">
            <v>With LTS - 2024</v>
          </cell>
          <cell r="N169" t="str">
            <v>YES</v>
          </cell>
          <cell r="O169" t="str">
            <v>YES</v>
          </cell>
          <cell r="P169" t="str">
            <v>Unaffected lots</v>
          </cell>
          <cell r="Q169" t="str">
            <v>YES</v>
          </cell>
          <cell r="R169">
            <v>70</v>
          </cell>
          <cell r="S169" t="str">
            <v>PCS-04-034298</v>
          </cell>
          <cell r="T169" t="str">
            <v>TCT-060-2024021565</v>
          </cell>
          <cell r="U169" t="b">
            <v>1</v>
          </cell>
          <cell r="V169" t="str">
            <v>Done</v>
          </cell>
          <cell r="W169" t="str">
            <v>2024 Batch</v>
          </cell>
          <cell r="X169" t="str">
            <v>2024 Batch</v>
          </cell>
          <cell r="Y169">
            <v>8</v>
          </cell>
          <cell r="Z169">
            <v>19</v>
          </cell>
          <cell r="AA169" t="str">
            <v>H+L</v>
          </cell>
          <cell r="AB169">
            <v>70</v>
          </cell>
          <cell r="AC169">
            <v>50</v>
          </cell>
          <cell r="AD169" t="str">
            <v>Slant</v>
          </cell>
          <cell r="AE169" t="str">
            <v>Duplex</v>
          </cell>
          <cell r="AF169" t="str">
            <v>326 - With Partition</v>
          </cell>
          <cell r="AG169" t="str">
            <v>With Partition</v>
          </cell>
          <cell r="AH169" t="str">
            <v>With Partition</v>
          </cell>
          <cell r="AI169" t="str">
            <v>PURPLE</v>
          </cell>
          <cell r="AJ169" t="str">
            <v>Slant / PURPLE</v>
          </cell>
          <cell r="AK169">
            <v>1050000</v>
          </cell>
          <cell r="AL169">
            <v>15000</v>
          </cell>
          <cell r="AM169">
            <v>1650000</v>
          </cell>
          <cell r="AN169">
            <v>33000</v>
          </cell>
          <cell r="AO169">
            <v>150000</v>
          </cell>
          <cell r="AP169">
            <v>2850000</v>
          </cell>
          <cell r="AQ169"/>
          <cell r="AR169">
            <v>2850000</v>
          </cell>
          <cell r="AS169"/>
          <cell r="AT169">
            <v>2850000</v>
          </cell>
          <cell r="AU169">
            <v>100000</v>
          </cell>
          <cell r="AV169">
            <v>2750000</v>
          </cell>
          <cell r="AW169">
            <v>0</v>
          </cell>
          <cell r="AX169">
            <v>2750000</v>
          </cell>
        </row>
        <row r="170">
          <cell r="G170" t="str">
            <v>AGM-01-008-020</v>
          </cell>
          <cell r="H170" t="str">
            <v xml:space="preserve">Raemulan Lands, Inc. </v>
          </cell>
          <cell r="I170" t="str">
            <v>Agapeya</v>
          </cell>
          <cell r="J170" t="str">
            <v>AGM</v>
          </cell>
          <cell r="K170" t="str">
            <v>Eco-High</v>
          </cell>
          <cell r="L170" t="str">
            <v>West</v>
          </cell>
          <cell r="M170" t="str">
            <v>With LTS - 2024</v>
          </cell>
          <cell r="N170" t="str">
            <v>YES</v>
          </cell>
          <cell r="O170" t="str">
            <v>YES</v>
          </cell>
          <cell r="P170" t="str">
            <v>Unaffected lots</v>
          </cell>
          <cell r="Q170" t="str">
            <v>YES</v>
          </cell>
          <cell r="R170">
            <v>70</v>
          </cell>
          <cell r="S170" t="str">
            <v>PCS-04-034298</v>
          </cell>
          <cell r="T170" t="str">
            <v>TCT-060-2024021566</v>
          </cell>
          <cell r="U170" t="b">
            <v>1</v>
          </cell>
          <cell r="V170" t="str">
            <v>Done</v>
          </cell>
          <cell r="W170" t="str">
            <v>2024 Batch</v>
          </cell>
          <cell r="X170" t="str">
            <v>2024 Batch</v>
          </cell>
          <cell r="Y170">
            <v>8</v>
          </cell>
          <cell r="Z170">
            <v>20</v>
          </cell>
          <cell r="AA170" t="str">
            <v>H+L</v>
          </cell>
          <cell r="AB170">
            <v>70</v>
          </cell>
          <cell r="AC170">
            <v>50</v>
          </cell>
          <cell r="AD170" t="str">
            <v>Flat</v>
          </cell>
          <cell r="AE170" t="str">
            <v>Duplex</v>
          </cell>
          <cell r="AF170" t="str">
            <v>326 - With Partition</v>
          </cell>
          <cell r="AG170" t="str">
            <v>With Partition</v>
          </cell>
          <cell r="AH170" t="str">
            <v>With Partition</v>
          </cell>
          <cell r="AI170" t="str">
            <v>PURPLE</v>
          </cell>
          <cell r="AJ170" t="str">
            <v>Flat / PURPLE</v>
          </cell>
          <cell r="AK170">
            <v>1050000</v>
          </cell>
          <cell r="AL170">
            <v>15000</v>
          </cell>
          <cell r="AM170">
            <v>1650000</v>
          </cell>
          <cell r="AN170">
            <v>33000</v>
          </cell>
          <cell r="AO170">
            <v>150000</v>
          </cell>
          <cell r="AP170">
            <v>2850000</v>
          </cell>
          <cell r="AQ170"/>
          <cell r="AR170">
            <v>2850000</v>
          </cell>
          <cell r="AS170">
            <v>0</v>
          </cell>
          <cell r="AT170">
            <v>2850000</v>
          </cell>
          <cell r="AU170">
            <v>100000</v>
          </cell>
          <cell r="AV170">
            <v>2750000</v>
          </cell>
          <cell r="AW170">
            <v>0</v>
          </cell>
          <cell r="AX170">
            <v>2750000</v>
          </cell>
        </row>
        <row r="171">
          <cell r="G171" t="str">
            <v>AGM-01-008-021</v>
          </cell>
          <cell r="H171" t="str">
            <v xml:space="preserve">Raemulan Lands, Inc. </v>
          </cell>
          <cell r="I171" t="str">
            <v>Agapeya</v>
          </cell>
          <cell r="J171" t="str">
            <v>AGM</v>
          </cell>
          <cell r="K171" t="str">
            <v>Eco-High</v>
          </cell>
          <cell r="L171" t="str">
            <v>West</v>
          </cell>
          <cell r="M171" t="str">
            <v>With LTS - 2024</v>
          </cell>
          <cell r="N171" t="str">
            <v>YES</v>
          </cell>
          <cell r="O171" t="str">
            <v>YES</v>
          </cell>
          <cell r="P171" t="str">
            <v>Unaffected lots</v>
          </cell>
          <cell r="Q171" t="str">
            <v>YES</v>
          </cell>
          <cell r="R171">
            <v>70</v>
          </cell>
          <cell r="S171" t="str">
            <v>PCS-04-034298</v>
          </cell>
          <cell r="T171" t="str">
            <v>TCT-060-2024021567</v>
          </cell>
          <cell r="U171" t="b">
            <v>1</v>
          </cell>
          <cell r="V171" t="str">
            <v>Done</v>
          </cell>
          <cell r="W171" t="str">
            <v>2024 Batch</v>
          </cell>
          <cell r="X171" t="str">
            <v>2024 Batch</v>
          </cell>
          <cell r="Y171">
            <v>8</v>
          </cell>
          <cell r="Z171">
            <v>21</v>
          </cell>
          <cell r="AA171" t="str">
            <v>H+L</v>
          </cell>
          <cell r="AB171">
            <v>70</v>
          </cell>
          <cell r="AC171">
            <v>50</v>
          </cell>
          <cell r="AD171" t="str">
            <v>Flat</v>
          </cell>
          <cell r="AE171" t="str">
            <v>Duplex</v>
          </cell>
          <cell r="AF171" t="str">
            <v>326 - With Partition</v>
          </cell>
          <cell r="AG171" t="str">
            <v>With Partition</v>
          </cell>
          <cell r="AH171" t="str">
            <v>With Partition</v>
          </cell>
          <cell r="AI171" t="str">
            <v>PINK</v>
          </cell>
          <cell r="AJ171" t="str">
            <v>Flat / PINK</v>
          </cell>
          <cell r="AK171">
            <v>1050000</v>
          </cell>
          <cell r="AL171">
            <v>15000</v>
          </cell>
          <cell r="AM171">
            <v>1650000</v>
          </cell>
          <cell r="AN171">
            <v>33000</v>
          </cell>
          <cell r="AO171">
            <v>150000</v>
          </cell>
          <cell r="AP171">
            <v>2850000</v>
          </cell>
          <cell r="AQ171"/>
          <cell r="AR171">
            <v>2850000</v>
          </cell>
          <cell r="AS171">
            <v>0</v>
          </cell>
          <cell r="AT171">
            <v>2850000</v>
          </cell>
          <cell r="AU171">
            <v>100000</v>
          </cell>
          <cell r="AV171">
            <v>2750000</v>
          </cell>
          <cell r="AW171">
            <v>0</v>
          </cell>
          <cell r="AX171">
            <v>2750000</v>
          </cell>
        </row>
        <row r="172">
          <cell r="G172" t="str">
            <v>AGM-01-008-022</v>
          </cell>
          <cell r="H172" t="str">
            <v xml:space="preserve">Raemulan Lands, Inc. </v>
          </cell>
          <cell r="I172" t="str">
            <v>Agapeya</v>
          </cell>
          <cell r="J172" t="str">
            <v>AGM</v>
          </cell>
          <cell r="K172" t="str">
            <v>Eco-High</v>
          </cell>
          <cell r="L172" t="str">
            <v>West</v>
          </cell>
          <cell r="M172" t="str">
            <v>With LTS - 2024</v>
          </cell>
          <cell r="N172" t="str">
            <v>YES</v>
          </cell>
          <cell r="O172" t="str">
            <v>YES</v>
          </cell>
          <cell r="P172" t="str">
            <v>Unaffected lots</v>
          </cell>
          <cell r="Q172" t="str">
            <v>YES</v>
          </cell>
          <cell r="R172">
            <v>70</v>
          </cell>
          <cell r="S172" t="str">
            <v>PCS-04-034298</v>
          </cell>
          <cell r="T172" t="str">
            <v>TCT-060-2024021568</v>
          </cell>
          <cell r="U172" t="b">
            <v>1</v>
          </cell>
          <cell r="V172" t="str">
            <v>Done</v>
          </cell>
          <cell r="W172" t="str">
            <v>2024 Batch</v>
          </cell>
          <cell r="X172" t="str">
            <v>2024 Batch</v>
          </cell>
          <cell r="Y172">
            <v>8</v>
          </cell>
          <cell r="Z172">
            <v>22</v>
          </cell>
          <cell r="AA172" t="str">
            <v>H+L</v>
          </cell>
          <cell r="AB172">
            <v>70</v>
          </cell>
          <cell r="AC172">
            <v>50</v>
          </cell>
          <cell r="AD172" t="str">
            <v>Slant</v>
          </cell>
          <cell r="AE172" t="str">
            <v>Duplex</v>
          </cell>
          <cell r="AF172" t="str">
            <v>326 - With Partition</v>
          </cell>
          <cell r="AG172" t="str">
            <v>With Partition</v>
          </cell>
          <cell r="AH172" t="str">
            <v>With Partition</v>
          </cell>
          <cell r="AI172" t="str">
            <v>PINK</v>
          </cell>
          <cell r="AJ172" t="str">
            <v>Slant / PINK</v>
          </cell>
          <cell r="AK172">
            <v>1050000</v>
          </cell>
          <cell r="AL172">
            <v>15000</v>
          </cell>
          <cell r="AM172">
            <v>1650000</v>
          </cell>
          <cell r="AN172">
            <v>33000</v>
          </cell>
          <cell r="AO172">
            <v>150000</v>
          </cell>
          <cell r="AP172">
            <v>2850000</v>
          </cell>
          <cell r="AQ172"/>
          <cell r="AR172">
            <v>2850000</v>
          </cell>
          <cell r="AS172">
            <v>0</v>
          </cell>
          <cell r="AT172">
            <v>2850000</v>
          </cell>
          <cell r="AU172">
            <v>100000</v>
          </cell>
          <cell r="AV172">
            <v>2750000</v>
          </cell>
          <cell r="AW172">
            <v>0</v>
          </cell>
          <cell r="AX172">
            <v>2750000</v>
          </cell>
        </row>
        <row r="173">
          <cell r="G173" t="str">
            <v>AGM-01-008-023</v>
          </cell>
          <cell r="H173" t="str">
            <v xml:space="preserve">Raemulan Lands, Inc. </v>
          </cell>
          <cell r="I173" t="str">
            <v>Agapeya</v>
          </cell>
          <cell r="J173" t="str">
            <v>AGM</v>
          </cell>
          <cell r="K173" t="str">
            <v>Eco-High</v>
          </cell>
          <cell r="L173" t="str">
            <v>West</v>
          </cell>
          <cell r="M173" t="str">
            <v>With LTS - 2024</v>
          </cell>
          <cell r="N173" t="str">
            <v>YES</v>
          </cell>
          <cell r="O173" t="str">
            <v>YES</v>
          </cell>
          <cell r="P173" t="str">
            <v>Unaffected lots</v>
          </cell>
          <cell r="Q173" t="str">
            <v>YES</v>
          </cell>
          <cell r="R173">
            <v>70</v>
          </cell>
          <cell r="S173" t="str">
            <v>PCS-04-034298</v>
          </cell>
          <cell r="T173" t="str">
            <v>TCT-060-2024021569</v>
          </cell>
          <cell r="U173" t="b">
            <v>1</v>
          </cell>
          <cell r="V173" t="str">
            <v>Done</v>
          </cell>
          <cell r="W173" t="str">
            <v>2024 Batch</v>
          </cell>
          <cell r="X173" t="str">
            <v>2024 Batch</v>
          </cell>
          <cell r="Y173">
            <v>8</v>
          </cell>
          <cell r="Z173">
            <v>23</v>
          </cell>
          <cell r="AA173" t="str">
            <v>H+L</v>
          </cell>
          <cell r="AB173">
            <v>70</v>
          </cell>
          <cell r="AC173">
            <v>50</v>
          </cell>
          <cell r="AD173" t="str">
            <v>Slant</v>
          </cell>
          <cell r="AE173" t="str">
            <v>Duplex</v>
          </cell>
          <cell r="AF173" t="str">
            <v>326 - With Partition</v>
          </cell>
          <cell r="AG173" t="str">
            <v>With Partition</v>
          </cell>
          <cell r="AH173" t="str">
            <v>With Partition</v>
          </cell>
          <cell r="AI173" t="str">
            <v>PINK</v>
          </cell>
          <cell r="AJ173" t="str">
            <v>Slant / PINK</v>
          </cell>
          <cell r="AK173">
            <v>1050000</v>
          </cell>
          <cell r="AL173">
            <v>15000</v>
          </cell>
          <cell r="AM173">
            <v>1650000</v>
          </cell>
          <cell r="AN173">
            <v>33000</v>
          </cell>
          <cell r="AO173">
            <v>150000</v>
          </cell>
          <cell r="AP173">
            <v>2850000</v>
          </cell>
          <cell r="AQ173"/>
          <cell r="AR173">
            <v>2850000</v>
          </cell>
          <cell r="AS173">
            <v>0</v>
          </cell>
          <cell r="AT173">
            <v>2850000</v>
          </cell>
          <cell r="AU173">
            <v>100000</v>
          </cell>
          <cell r="AV173">
            <v>2750000</v>
          </cell>
          <cell r="AW173">
            <v>0</v>
          </cell>
          <cell r="AX173">
            <v>2750000</v>
          </cell>
        </row>
        <row r="174">
          <cell r="G174" t="str">
            <v>AGM-01-008-024</v>
          </cell>
          <cell r="H174" t="str">
            <v xml:space="preserve">Raemulan Lands, Inc. </v>
          </cell>
          <cell r="I174" t="str">
            <v>Agapeya</v>
          </cell>
          <cell r="J174" t="str">
            <v>AGM</v>
          </cell>
          <cell r="K174" t="str">
            <v>Eco-High</v>
          </cell>
          <cell r="L174" t="str">
            <v>West</v>
          </cell>
          <cell r="M174" t="str">
            <v>With LTS - 2024</v>
          </cell>
          <cell r="N174" t="str">
            <v>YES</v>
          </cell>
          <cell r="O174" t="str">
            <v>YES</v>
          </cell>
          <cell r="P174" t="str">
            <v>Unaffected lots</v>
          </cell>
          <cell r="Q174" t="str">
            <v>YES</v>
          </cell>
          <cell r="R174">
            <v>70</v>
          </cell>
          <cell r="S174" t="str">
            <v>PCS-04-034298</v>
          </cell>
          <cell r="T174" t="str">
            <v>TCT-060-2024021570</v>
          </cell>
          <cell r="U174" t="b">
            <v>1</v>
          </cell>
          <cell r="V174" t="str">
            <v>Done</v>
          </cell>
          <cell r="W174" t="str">
            <v>2024 Batch</v>
          </cell>
          <cell r="X174" t="str">
            <v>2024 Batch</v>
          </cell>
          <cell r="Y174">
            <v>8</v>
          </cell>
          <cell r="Z174">
            <v>24</v>
          </cell>
          <cell r="AA174" t="str">
            <v>H+L</v>
          </cell>
          <cell r="AB174">
            <v>70</v>
          </cell>
          <cell r="AC174">
            <v>50</v>
          </cell>
          <cell r="AD174" t="str">
            <v>Flat</v>
          </cell>
          <cell r="AE174" t="str">
            <v>Duplex</v>
          </cell>
          <cell r="AF174" t="str">
            <v>326 - With Partition</v>
          </cell>
          <cell r="AG174" t="str">
            <v>With Partition</v>
          </cell>
          <cell r="AH174" t="str">
            <v>With Partition</v>
          </cell>
          <cell r="AI174" t="str">
            <v>PINK</v>
          </cell>
          <cell r="AJ174" t="str">
            <v>Flat / PINK</v>
          </cell>
          <cell r="AK174">
            <v>1050000</v>
          </cell>
          <cell r="AL174">
            <v>15000</v>
          </cell>
          <cell r="AM174">
            <v>1650000</v>
          </cell>
          <cell r="AN174">
            <v>33000</v>
          </cell>
          <cell r="AO174">
            <v>150000</v>
          </cell>
          <cell r="AP174">
            <v>2850000</v>
          </cell>
          <cell r="AQ174"/>
          <cell r="AR174">
            <v>2850000</v>
          </cell>
          <cell r="AS174">
            <v>0</v>
          </cell>
          <cell r="AT174">
            <v>2850000</v>
          </cell>
          <cell r="AU174">
            <v>100000</v>
          </cell>
          <cell r="AV174">
            <v>2750000</v>
          </cell>
          <cell r="AW174">
            <v>0</v>
          </cell>
          <cell r="AX174">
            <v>2750000</v>
          </cell>
        </row>
        <row r="175">
          <cell r="G175" t="str">
            <v>AGM-01-008-025</v>
          </cell>
          <cell r="H175" t="str">
            <v xml:space="preserve">Raemulan Lands, Inc. </v>
          </cell>
          <cell r="I175" t="str">
            <v>Agapeya</v>
          </cell>
          <cell r="J175" t="str">
            <v>AGM</v>
          </cell>
          <cell r="K175" t="str">
            <v>Eco-High</v>
          </cell>
          <cell r="L175" t="str">
            <v>West</v>
          </cell>
          <cell r="M175" t="str">
            <v>With LTS - 2024</v>
          </cell>
          <cell r="N175" t="str">
            <v>YES</v>
          </cell>
          <cell r="O175" t="str">
            <v>YES</v>
          </cell>
          <cell r="P175" t="str">
            <v>Unaffected lots</v>
          </cell>
          <cell r="Q175" t="str">
            <v>YES</v>
          </cell>
          <cell r="R175">
            <v>70</v>
          </cell>
          <cell r="S175" t="str">
            <v>PCS-04-034298</v>
          </cell>
          <cell r="T175" t="str">
            <v>TCT-060-2024021571</v>
          </cell>
          <cell r="U175" t="b">
            <v>1</v>
          </cell>
          <cell r="V175" t="str">
            <v>Done</v>
          </cell>
          <cell r="W175" t="str">
            <v>2024 Batch</v>
          </cell>
          <cell r="X175" t="str">
            <v>2024 Batch</v>
          </cell>
          <cell r="Y175">
            <v>8</v>
          </cell>
          <cell r="Z175">
            <v>25</v>
          </cell>
          <cell r="AA175" t="str">
            <v>H+L</v>
          </cell>
          <cell r="AB175">
            <v>70</v>
          </cell>
          <cell r="AC175">
            <v>50</v>
          </cell>
          <cell r="AD175" t="str">
            <v>Flat</v>
          </cell>
          <cell r="AE175" t="str">
            <v>Duplex</v>
          </cell>
          <cell r="AF175" t="str">
            <v>326 - With Partition</v>
          </cell>
          <cell r="AG175" t="str">
            <v>With Partition</v>
          </cell>
          <cell r="AH175" t="str">
            <v>With Partition</v>
          </cell>
          <cell r="AI175" t="str">
            <v>YELLOW</v>
          </cell>
          <cell r="AJ175" t="str">
            <v>Flat / YELLOW</v>
          </cell>
          <cell r="AK175">
            <v>1050000</v>
          </cell>
          <cell r="AL175">
            <v>15000</v>
          </cell>
          <cell r="AM175">
            <v>1650000</v>
          </cell>
          <cell r="AN175">
            <v>33000</v>
          </cell>
          <cell r="AO175">
            <v>150000</v>
          </cell>
          <cell r="AP175">
            <v>2850000</v>
          </cell>
          <cell r="AQ175"/>
          <cell r="AR175">
            <v>2850000</v>
          </cell>
          <cell r="AS175">
            <v>0</v>
          </cell>
          <cell r="AT175">
            <v>2850000</v>
          </cell>
          <cell r="AU175">
            <v>100000</v>
          </cell>
          <cell r="AV175">
            <v>2750000</v>
          </cell>
          <cell r="AW175">
            <v>0</v>
          </cell>
          <cell r="AX175">
            <v>2750000</v>
          </cell>
        </row>
        <row r="176">
          <cell r="G176" t="str">
            <v>AGM-01-008-026</v>
          </cell>
          <cell r="H176" t="str">
            <v xml:space="preserve">Raemulan Lands, Inc. </v>
          </cell>
          <cell r="I176" t="str">
            <v>Agapeya</v>
          </cell>
          <cell r="J176" t="str">
            <v>AGM</v>
          </cell>
          <cell r="K176" t="str">
            <v>Eco-High</v>
          </cell>
          <cell r="L176" t="str">
            <v>West</v>
          </cell>
          <cell r="M176" t="str">
            <v>With LTS - 2024</v>
          </cell>
          <cell r="N176" t="str">
            <v>YES</v>
          </cell>
          <cell r="O176" t="str">
            <v>YES</v>
          </cell>
          <cell r="P176" t="str">
            <v>Unaffected lots</v>
          </cell>
          <cell r="Q176" t="str">
            <v>YES</v>
          </cell>
          <cell r="R176">
            <v>70</v>
          </cell>
          <cell r="S176" t="str">
            <v>PCS-04-034298</v>
          </cell>
          <cell r="T176" t="str">
            <v>TCT-060-2024021572</v>
          </cell>
          <cell r="U176" t="b">
            <v>1</v>
          </cell>
          <cell r="V176" t="str">
            <v>Done</v>
          </cell>
          <cell r="W176" t="str">
            <v>2024 Batch</v>
          </cell>
          <cell r="X176" t="str">
            <v>2024 Batch</v>
          </cell>
          <cell r="Y176">
            <v>8</v>
          </cell>
          <cell r="Z176">
            <v>26</v>
          </cell>
          <cell r="AA176" t="str">
            <v>H+L</v>
          </cell>
          <cell r="AB176">
            <v>70</v>
          </cell>
          <cell r="AC176">
            <v>50</v>
          </cell>
          <cell r="AD176" t="str">
            <v>Slant</v>
          </cell>
          <cell r="AE176" t="str">
            <v>Duplex</v>
          </cell>
          <cell r="AF176" t="str">
            <v>326 - With Partition</v>
          </cell>
          <cell r="AG176" t="str">
            <v>With Partition</v>
          </cell>
          <cell r="AH176" t="str">
            <v>With Partition</v>
          </cell>
          <cell r="AI176" t="str">
            <v>YELLOW</v>
          </cell>
          <cell r="AJ176" t="str">
            <v>Slant / YELLOW</v>
          </cell>
          <cell r="AK176">
            <v>1050000</v>
          </cell>
          <cell r="AL176">
            <v>15000</v>
          </cell>
          <cell r="AM176">
            <v>1650000</v>
          </cell>
          <cell r="AN176">
            <v>33000</v>
          </cell>
          <cell r="AO176">
            <v>150000</v>
          </cell>
          <cell r="AP176">
            <v>2850000</v>
          </cell>
          <cell r="AQ176"/>
          <cell r="AR176">
            <v>2850000</v>
          </cell>
          <cell r="AS176">
            <v>0</v>
          </cell>
          <cell r="AT176">
            <v>2850000</v>
          </cell>
          <cell r="AU176">
            <v>100000</v>
          </cell>
          <cell r="AV176">
            <v>2750000</v>
          </cell>
          <cell r="AW176">
            <v>0</v>
          </cell>
          <cell r="AX176">
            <v>2750000</v>
          </cell>
        </row>
        <row r="177">
          <cell r="G177" t="str">
            <v>AGM-01-008-027</v>
          </cell>
          <cell r="H177" t="str">
            <v xml:space="preserve">Raemulan Lands, Inc. </v>
          </cell>
          <cell r="I177" t="str">
            <v>Agapeya</v>
          </cell>
          <cell r="J177" t="str">
            <v>AGM</v>
          </cell>
          <cell r="K177" t="str">
            <v>Eco-High</v>
          </cell>
          <cell r="L177" t="str">
            <v>West</v>
          </cell>
          <cell r="M177" t="str">
            <v>With LTS - 2024</v>
          </cell>
          <cell r="N177" t="str">
            <v>YES</v>
          </cell>
          <cell r="O177" t="str">
            <v>YES</v>
          </cell>
          <cell r="P177" t="str">
            <v>Unaffected lots</v>
          </cell>
          <cell r="Q177" t="str">
            <v>YES</v>
          </cell>
          <cell r="R177">
            <v>70</v>
          </cell>
          <cell r="S177" t="str">
            <v>PCS-04-034298</v>
          </cell>
          <cell r="T177" t="str">
            <v>TCT-060-2024021573</v>
          </cell>
          <cell r="U177" t="b">
            <v>1</v>
          </cell>
          <cell r="V177" t="str">
            <v>Done</v>
          </cell>
          <cell r="W177" t="str">
            <v>2024 Batch</v>
          </cell>
          <cell r="X177" t="str">
            <v>2024 Batch</v>
          </cell>
          <cell r="Y177">
            <v>8</v>
          </cell>
          <cell r="Z177">
            <v>27</v>
          </cell>
          <cell r="AA177" t="str">
            <v>H+L</v>
          </cell>
          <cell r="AB177">
            <v>70</v>
          </cell>
          <cell r="AC177">
            <v>50</v>
          </cell>
          <cell r="AD177" t="str">
            <v>Flat</v>
          </cell>
          <cell r="AE177" t="str">
            <v>Duplex</v>
          </cell>
          <cell r="AF177" t="str">
            <v>326 - With Partition</v>
          </cell>
          <cell r="AG177" t="str">
            <v>With Partition</v>
          </cell>
          <cell r="AH177" t="str">
            <v>With Partition</v>
          </cell>
          <cell r="AI177" t="str">
            <v>YELLOW</v>
          </cell>
          <cell r="AJ177" t="str">
            <v>Flat / YELLOW</v>
          </cell>
          <cell r="AK177">
            <v>1050000</v>
          </cell>
          <cell r="AL177">
            <v>15000</v>
          </cell>
          <cell r="AM177">
            <v>1650000</v>
          </cell>
          <cell r="AN177">
            <v>33000</v>
          </cell>
          <cell r="AO177">
            <v>150000</v>
          </cell>
          <cell r="AP177">
            <v>2850000</v>
          </cell>
          <cell r="AQ177"/>
          <cell r="AR177">
            <v>2850000</v>
          </cell>
          <cell r="AS177">
            <v>0</v>
          </cell>
          <cell r="AT177">
            <v>2850000</v>
          </cell>
          <cell r="AU177">
            <v>100000</v>
          </cell>
          <cell r="AV177">
            <v>2750000</v>
          </cell>
          <cell r="AW177">
            <v>0</v>
          </cell>
          <cell r="AX177">
            <v>2750000</v>
          </cell>
        </row>
        <row r="178">
          <cell r="G178" t="str">
            <v>AGM-01-008-028</v>
          </cell>
          <cell r="H178" t="str">
            <v xml:space="preserve">Raemulan Lands, Inc. </v>
          </cell>
          <cell r="I178" t="str">
            <v>Agapeya</v>
          </cell>
          <cell r="J178" t="str">
            <v>AGM</v>
          </cell>
          <cell r="K178" t="str">
            <v>Eco-High</v>
          </cell>
          <cell r="L178" t="str">
            <v>West</v>
          </cell>
          <cell r="M178" t="str">
            <v>With LTS - 2024</v>
          </cell>
          <cell r="N178" t="str">
            <v>YES</v>
          </cell>
          <cell r="O178" t="str">
            <v>YES</v>
          </cell>
          <cell r="P178" t="str">
            <v>Unaffected lots</v>
          </cell>
          <cell r="Q178" t="str">
            <v>YES</v>
          </cell>
          <cell r="R178">
            <v>81</v>
          </cell>
          <cell r="S178" t="str">
            <v>PCS-04-034298</v>
          </cell>
          <cell r="T178" t="str">
            <v>TCT-060-2024021574</v>
          </cell>
          <cell r="U178" t="b">
            <v>1</v>
          </cell>
          <cell r="V178" t="str">
            <v>Done</v>
          </cell>
          <cell r="W178" t="str">
            <v>2024 Batch</v>
          </cell>
          <cell r="X178" t="str">
            <v>2024 Batch</v>
          </cell>
          <cell r="Y178">
            <v>8</v>
          </cell>
          <cell r="Z178">
            <v>28</v>
          </cell>
          <cell r="AA178" t="str">
            <v>H+L</v>
          </cell>
          <cell r="AB178">
            <v>81</v>
          </cell>
          <cell r="AC178">
            <v>50</v>
          </cell>
          <cell r="AD178" t="str">
            <v>Slant</v>
          </cell>
          <cell r="AE178" t="str">
            <v>Duplex</v>
          </cell>
          <cell r="AF178" t="str">
            <v>326 - With Partition</v>
          </cell>
          <cell r="AG178" t="str">
            <v>With Partition</v>
          </cell>
          <cell r="AH178" t="str">
            <v>With Partition</v>
          </cell>
          <cell r="AI178" t="str">
            <v>YELLOW</v>
          </cell>
          <cell r="AJ178" t="str">
            <v>Slant / YELLOW</v>
          </cell>
          <cell r="AK178">
            <v>1215000</v>
          </cell>
          <cell r="AL178">
            <v>15000</v>
          </cell>
          <cell r="AM178">
            <v>1650000</v>
          </cell>
          <cell r="AN178">
            <v>33000</v>
          </cell>
          <cell r="AO178">
            <v>150000</v>
          </cell>
          <cell r="AP178">
            <v>3015000</v>
          </cell>
          <cell r="AQ178"/>
          <cell r="AR178">
            <v>3015000</v>
          </cell>
          <cell r="AS178">
            <v>0</v>
          </cell>
          <cell r="AT178">
            <v>3015000</v>
          </cell>
          <cell r="AU178">
            <v>100000</v>
          </cell>
          <cell r="AV178">
            <v>2915000</v>
          </cell>
          <cell r="AW178">
            <v>0</v>
          </cell>
          <cell r="AX178">
            <v>2915000</v>
          </cell>
        </row>
        <row r="179">
          <cell r="G179" t="str">
            <v>AGM-01-009-001</v>
          </cell>
          <cell r="H179" t="str">
            <v xml:space="preserve">Raemulan Lands, Inc. </v>
          </cell>
          <cell r="I179" t="str">
            <v>Agapeya</v>
          </cell>
          <cell r="J179" t="str">
            <v>AGM</v>
          </cell>
          <cell r="K179" t="str">
            <v>Eco-High</v>
          </cell>
          <cell r="L179" t="str">
            <v>West</v>
          </cell>
          <cell r="M179" t="str">
            <v>With LTS - 2024</v>
          </cell>
          <cell r="N179" t="str">
            <v>YES</v>
          </cell>
          <cell r="O179" t="str">
            <v>YES</v>
          </cell>
          <cell r="P179" t="str">
            <v>Unaffected lots</v>
          </cell>
          <cell r="Q179" t="str">
            <v>YES</v>
          </cell>
          <cell r="R179">
            <v>88</v>
          </cell>
          <cell r="S179" t="str">
            <v>PCS-04-034407</v>
          </cell>
          <cell r="T179" t="str">
            <v>TCT-060-2024021437</v>
          </cell>
          <cell r="U179" t="b">
            <v>1</v>
          </cell>
          <cell r="V179" t="str">
            <v>Done</v>
          </cell>
          <cell r="W179" t="str">
            <v>2024 Batch</v>
          </cell>
          <cell r="X179" t="str">
            <v>2024 Batch</v>
          </cell>
          <cell r="Y179">
            <v>9</v>
          </cell>
          <cell r="Z179">
            <v>1</v>
          </cell>
          <cell r="AA179" t="str">
            <v>H+L</v>
          </cell>
          <cell r="AB179">
            <v>88</v>
          </cell>
          <cell r="AC179">
            <v>50</v>
          </cell>
          <cell r="AD179" t="str">
            <v>Flat</v>
          </cell>
          <cell r="AE179" t="str">
            <v>Duplex</v>
          </cell>
          <cell r="AF179" t="str">
            <v>326 - With Partition</v>
          </cell>
          <cell r="AG179" t="str">
            <v>With Partition</v>
          </cell>
          <cell r="AH179" t="str">
            <v>With Partition</v>
          </cell>
          <cell r="AI179" t="str">
            <v>YELLOW</v>
          </cell>
          <cell r="AJ179" t="str">
            <v>Flat / YELLOW</v>
          </cell>
          <cell r="AK179">
            <v>1320000</v>
          </cell>
          <cell r="AL179">
            <v>15000</v>
          </cell>
          <cell r="AM179">
            <v>1650000</v>
          </cell>
          <cell r="AN179">
            <v>33000</v>
          </cell>
          <cell r="AO179">
            <v>150000</v>
          </cell>
          <cell r="AP179">
            <v>3120000</v>
          </cell>
          <cell r="AQ179"/>
          <cell r="AR179">
            <v>3120000</v>
          </cell>
          <cell r="AS179">
            <v>0</v>
          </cell>
          <cell r="AT179">
            <v>3120000</v>
          </cell>
          <cell r="AU179">
            <v>100000</v>
          </cell>
          <cell r="AV179">
            <v>3020000</v>
          </cell>
          <cell r="AW179">
            <v>0</v>
          </cell>
          <cell r="AX179">
            <v>3020000</v>
          </cell>
        </row>
        <row r="180">
          <cell r="G180" t="str">
            <v>AGM-01-009-002</v>
          </cell>
          <cell r="H180" t="str">
            <v xml:space="preserve">Raemulan Lands, Inc. </v>
          </cell>
          <cell r="I180" t="str">
            <v>Agapeya</v>
          </cell>
          <cell r="J180" t="str">
            <v>AGM</v>
          </cell>
          <cell r="K180" t="str">
            <v>Eco-High</v>
          </cell>
          <cell r="L180" t="str">
            <v>West</v>
          </cell>
          <cell r="M180" t="str">
            <v>With LTS - 2024</v>
          </cell>
          <cell r="N180" t="str">
            <v>YES</v>
          </cell>
          <cell r="O180" t="str">
            <v>YES</v>
          </cell>
          <cell r="P180" t="str">
            <v>Unaffected lots</v>
          </cell>
          <cell r="Q180" t="str">
            <v>YES</v>
          </cell>
          <cell r="R180">
            <v>70</v>
          </cell>
          <cell r="S180" t="str">
            <v>PCS-04-034407</v>
          </cell>
          <cell r="T180" t="str">
            <v>TCT-060-2024021438</v>
          </cell>
          <cell r="U180" t="b">
            <v>1</v>
          </cell>
          <cell r="V180" t="str">
            <v>Done</v>
          </cell>
          <cell r="W180" t="str">
            <v>2024 Batch</v>
          </cell>
          <cell r="X180" t="str">
            <v>2024 Batch</v>
          </cell>
          <cell r="Y180">
            <v>9</v>
          </cell>
          <cell r="Z180">
            <v>2</v>
          </cell>
          <cell r="AA180" t="str">
            <v>H+L</v>
          </cell>
          <cell r="AB180">
            <v>70</v>
          </cell>
          <cell r="AC180">
            <v>50</v>
          </cell>
          <cell r="AD180" t="str">
            <v>Slant</v>
          </cell>
          <cell r="AE180" t="str">
            <v>Duplex</v>
          </cell>
          <cell r="AF180" t="str">
            <v>326 - With Partition</v>
          </cell>
          <cell r="AG180" t="str">
            <v xml:space="preserve">Without Partition </v>
          </cell>
          <cell r="AH180" t="str">
            <v xml:space="preserve">Without Partition </v>
          </cell>
          <cell r="AI180" t="str">
            <v>YELLOW</v>
          </cell>
          <cell r="AJ180" t="str">
            <v>Slant / YELLOW</v>
          </cell>
          <cell r="AK180">
            <v>1050000</v>
          </cell>
          <cell r="AL180">
            <v>15000</v>
          </cell>
          <cell r="AM180">
            <v>1650000</v>
          </cell>
          <cell r="AN180">
            <v>33000</v>
          </cell>
          <cell r="AO180">
            <v>150000</v>
          </cell>
          <cell r="AP180">
            <v>2850000</v>
          </cell>
          <cell r="AQ180"/>
          <cell r="AR180">
            <v>2850000</v>
          </cell>
          <cell r="AS180">
            <v>200000</v>
          </cell>
          <cell r="AT180">
            <v>2650000</v>
          </cell>
          <cell r="AU180">
            <v>100000</v>
          </cell>
          <cell r="AV180">
            <v>2550000</v>
          </cell>
          <cell r="AW180">
            <v>0</v>
          </cell>
          <cell r="AX180">
            <v>2550000</v>
          </cell>
        </row>
        <row r="181">
          <cell r="G181" t="str">
            <v>AGM-01-009-003</v>
          </cell>
          <cell r="H181" t="str">
            <v xml:space="preserve">Raemulan Lands, Inc. </v>
          </cell>
          <cell r="I181" t="str">
            <v>Agapeya</v>
          </cell>
          <cell r="J181" t="str">
            <v>AGM</v>
          </cell>
          <cell r="K181" t="str">
            <v>Eco-High</v>
          </cell>
          <cell r="L181" t="str">
            <v>West</v>
          </cell>
          <cell r="M181" t="str">
            <v>With LTS - 2024</v>
          </cell>
          <cell r="N181" t="str">
            <v>YES</v>
          </cell>
          <cell r="O181" t="str">
            <v>YES</v>
          </cell>
          <cell r="P181" t="str">
            <v>Unaffected lots</v>
          </cell>
          <cell r="Q181" t="str">
            <v>YES</v>
          </cell>
          <cell r="R181">
            <v>70</v>
          </cell>
          <cell r="S181" t="str">
            <v>PCS-04-034407</v>
          </cell>
          <cell r="T181" t="str">
            <v>TCT-060-2024021439</v>
          </cell>
          <cell r="U181" t="b">
            <v>1</v>
          </cell>
          <cell r="V181" t="str">
            <v>Done</v>
          </cell>
          <cell r="W181" t="str">
            <v>2024 Batch</v>
          </cell>
          <cell r="X181" t="str">
            <v>2024 Batch</v>
          </cell>
          <cell r="Y181">
            <v>9</v>
          </cell>
          <cell r="Z181">
            <v>3</v>
          </cell>
          <cell r="AA181" t="str">
            <v>H+L</v>
          </cell>
          <cell r="AB181">
            <v>70</v>
          </cell>
          <cell r="AC181">
            <v>50</v>
          </cell>
          <cell r="AD181" t="str">
            <v>Slant</v>
          </cell>
          <cell r="AE181" t="str">
            <v>Duplex</v>
          </cell>
          <cell r="AF181" t="str">
            <v>326 - With Partition</v>
          </cell>
          <cell r="AG181" t="str">
            <v>With Partition</v>
          </cell>
          <cell r="AH181" t="str">
            <v>With Partition</v>
          </cell>
          <cell r="AI181" t="str">
            <v>YELLOW</v>
          </cell>
          <cell r="AJ181" t="str">
            <v>Slant / YELLOW</v>
          </cell>
          <cell r="AK181">
            <v>1050000</v>
          </cell>
          <cell r="AL181">
            <v>15000</v>
          </cell>
          <cell r="AM181">
            <v>1650000</v>
          </cell>
          <cell r="AN181">
            <v>33000</v>
          </cell>
          <cell r="AO181">
            <v>150000</v>
          </cell>
          <cell r="AP181">
            <v>2850000</v>
          </cell>
          <cell r="AQ181"/>
          <cell r="AR181">
            <v>2850000</v>
          </cell>
          <cell r="AS181">
            <v>0</v>
          </cell>
          <cell r="AT181">
            <v>2850000</v>
          </cell>
          <cell r="AU181">
            <v>100000</v>
          </cell>
          <cell r="AV181">
            <v>2750000</v>
          </cell>
          <cell r="AW181">
            <v>0</v>
          </cell>
          <cell r="AX181">
            <v>2750000</v>
          </cell>
        </row>
        <row r="182">
          <cell r="G182" t="str">
            <v>AGM-01-009-004</v>
          </cell>
          <cell r="H182" t="str">
            <v xml:space="preserve">Raemulan Lands, Inc. </v>
          </cell>
          <cell r="I182" t="str">
            <v>Agapeya</v>
          </cell>
          <cell r="J182" t="str">
            <v>AGM</v>
          </cell>
          <cell r="K182" t="str">
            <v>Eco-High</v>
          </cell>
          <cell r="L182" t="str">
            <v>West</v>
          </cell>
          <cell r="M182" t="str">
            <v>With LTS - 2024</v>
          </cell>
          <cell r="N182" t="str">
            <v>YES</v>
          </cell>
          <cell r="O182" t="str">
            <v>YES</v>
          </cell>
          <cell r="P182" t="str">
            <v>Unaffected lots</v>
          </cell>
          <cell r="Q182" t="str">
            <v>YES</v>
          </cell>
          <cell r="R182">
            <v>70</v>
          </cell>
          <cell r="S182" t="str">
            <v>PCS-04-034407</v>
          </cell>
          <cell r="T182" t="str">
            <v>TCT-060-2024021440</v>
          </cell>
          <cell r="U182" t="b">
            <v>1</v>
          </cell>
          <cell r="V182" t="str">
            <v>Done</v>
          </cell>
          <cell r="W182" t="str">
            <v>2024 Batch</v>
          </cell>
          <cell r="X182" t="str">
            <v>2024 Batch</v>
          </cell>
          <cell r="Y182">
            <v>9</v>
          </cell>
          <cell r="Z182">
            <v>4</v>
          </cell>
          <cell r="AA182" t="str">
            <v>H+L</v>
          </cell>
          <cell r="AB182">
            <v>70</v>
          </cell>
          <cell r="AC182">
            <v>50</v>
          </cell>
          <cell r="AD182" t="str">
            <v>Flat</v>
          </cell>
          <cell r="AE182" t="str">
            <v>Duplex</v>
          </cell>
          <cell r="AF182" t="str">
            <v>326 - With Partition</v>
          </cell>
          <cell r="AG182" t="str">
            <v xml:space="preserve">Without Partition </v>
          </cell>
          <cell r="AH182" t="str">
            <v xml:space="preserve">Without Partition </v>
          </cell>
          <cell r="AI182" t="str">
            <v>YELLOW</v>
          </cell>
          <cell r="AJ182" t="str">
            <v>Flat / YELLOW</v>
          </cell>
          <cell r="AK182">
            <v>1050000</v>
          </cell>
          <cell r="AL182">
            <v>15000</v>
          </cell>
          <cell r="AM182">
            <v>1650000</v>
          </cell>
          <cell r="AN182">
            <v>33000</v>
          </cell>
          <cell r="AO182">
            <v>150000</v>
          </cell>
          <cell r="AP182">
            <v>2850000</v>
          </cell>
          <cell r="AQ182"/>
          <cell r="AR182">
            <v>2850000</v>
          </cell>
          <cell r="AS182">
            <v>200000</v>
          </cell>
          <cell r="AT182">
            <v>2650000</v>
          </cell>
          <cell r="AU182">
            <v>100000</v>
          </cell>
          <cell r="AV182">
            <v>2550000</v>
          </cell>
          <cell r="AW182">
            <v>0</v>
          </cell>
          <cell r="AX182">
            <v>2550000</v>
          </cell>
        </row>
        <row r="183">
          <cell r="G183" t="str">
            <v>AGM-01-009-005</v>
          </cell>
          <cell r="H183" t="str">
            <v xml:space="preserve">Raemulan Lands, Inc. </v>
          </cell>
          <cell r="I183" t="str">
            <v>Agapeya</v>
          </cell>
          <cell r="J183" t="str">
            <v>AGM</v>
          </cell>
          <cell r="K183" t="str">
            <v>Eco-High</v>
          </cell>
          <cell r="L183" t="str">
            <v>West</v>
          </cell>
          <cell r="M183" t="str">
            <v>With LTS - 2024</v>
          </cell>
          <cell r="N183" t="str">
            <v>YES</v>
          </cell>
          <cell r="O183" t="str">
            <v>YES</v>
          </cell>
          <cell r="P183" t="str">
            <v>Unaffected lots</v>
          </cell>
          <cell r="Q183" t="str">
            <v>YES</v>
          </cell>
          <cell r="R183">
            <v>70</v>
          </cell>
          <cell r="S183" t="str">
            <v>PCS-04-035875</v>
          </cell>
          <cell r="T183" t="str">
            <v>TCT-060-2024021441</v>
          </cell>
          <cell r="U183" t="b">
            <v>1</v>
          </cell>
          <cell r="V183" t="str">
            <v>Done</v>
          </cell>
          <cell r="W183" t="str">
            <v>2024 Batch</v>
          </cell>
          <cell r="X183" t="str">
            <v>2024 Batch</v>
          </cell>
          <cell r="Y183">
            <v>9</v>
          </cell>
          <cell r="Z183">
            <v>5</v>
          </cell>
          <cell r="AA183" t="str">
            <v>H+L</v>
          </cell>
          <cell r="AB183">
            <v>70</v>
          </cell>
          <cell r="AC183">
            <v>50</v>
          </cell>
          <cell r="AD183" t="str">
            <v>Flat</v>
          </cell>
          <cell r="AE183" t="str">
            <v>Duplex</v>
          </cell>
          <cell r="AF183" t="str">
            <v>326 - With Partition</v>
          </cell>
          <cell r="AG183" t="str">
            <v>With Partition</v>
          </cell>
          <cell r="AH183" t="str">
            <v>With Partition</v>
          </cell>
          <cell r="AI183" t="str">
            <v>GREEN</v>
          </cell>
          <cell r="AJ183" t="str">
            <v>Flat / GREEN</v>
          </cell>
          <cell r="AK183">
            <v>1050000</v>
          </cell>
          <cell r="AL183">
            <v>15000</v>
          </cell>
          <cell r="AM183">
            <v>1650000</v>
          </cell>
          <cell r="AN183">
            <v>33000</v>
          </cell>
          <cell r="AO183">
            <v>150000</v>
          </cell>
          <cell r="AP183">
            <v>2850000</v>
          </cell>
          <cell r="AQ183"/>
          <cell r="AR183">
            <v>2850000</v>
          </cell>
          <cell r="AS183">
            <v>0</v>
          </cell>
          <cell r="AT183">
            <v>2850000</v>
          </cell>
          <cell r="AU183">
            <v>100000</v>
          </cell>
          <cell r="AV183">
            <v>2750000</v>
          </cell>
          <cell r="AW183">
            <v>0</v>
          </cell>
          <cell r="AX183">
            <v>2750000</v>
          </cell>
        </row>
        <row r="184">
          <cell r="G184" t="str">
            <v>AGM-01-009-006</v>
          </cell>
          <cell r="H184" t="str">
            <v xml:space="preserve">Raemulan Lands, Inc. </v>
          </cell>
          <cell r="I184" t="str">
            <v>Agapeya</v>
          </cell>
          <cell r="J184" t="str">
            <v>AGM</v>
          </cell>
          <cell r="K184" t="str">
            <v>Eco-High</v>
          </cell>
          <cell r="L184" t="str">
            <v>West</v>
          </cell>
          <cell r="M184" t="str">
            <v>With LTS - 2024</v>
          </cell>
          <cell r="N184" t="str">
            <v>YES</v>
          </cell>
          <cell r="O184" t="str">
            <v>YES</v>
          </cell>
          <cell r="P184" t="str">
            <v>Unaffected lots</v>
          </cell>
          <cell r="Q184" t="str">
            <v>YES</v>
          </cell>
          <cell r="R184">
            <v>70</v>
          </cell>
          <cell r="S184" t="str">
            <v>PCS-04-034298</v>
          </cell>
          <cell r="T184" t="str">
            <v>TCT-060-2024021576</v>
          </cell>
          <cell r="U184" t="b">
            <v>1</v>
          </cell>
          <cell r="V184" t="str">
            <v>Done</v>
          </cell>
          <cell r="W184" t="str">
            <v>2024 Batch</v>
          </cell>
          <cell r="X184" t="str">
            <v>2024 Batch</v>
          </cell>
          <cell r="Y184">
            <v>9</v>
          </cell>
          <cell r="Z184">
            <v>6</v>
          </cell>
          <cell r="AA184" t="str">
            <v>H+L</v>
          </cell>
          <cell r="AB184">
            <v>70</v>
          </cell>
          <cell r="AC184">
            <v>50</v>
          </cell>
          <cell r="AD184" t="str">
            <v>Slant</v>
          </cell>
          <cell r="AE184" t="str">
            <v>Duplex</v>
          </cell>
          <cell r="AF184" t="str">
            <v>326 - With Partition</v>
          </cell>
          <cell r="AG184" t="str">
            <v xml:space="preserve">Without Partition </v>
          </cell>
          <cell r="AH184" t="str">
            <v xml:space="preserve">Without Partition </v>
          </cell>
          <cell r="AI184" t="str">
            <v>GREEN</v>
          </cell>
          <cell r="AJ184" t="str">
            <v>Slant / GREEN</v>
          </cell>
          <cell r="AK184">
            <v>1050000</v>
          </cell>
          <cell r="AL184">
            <v>15000</v>
          </cell>
          <cell r="AM184">
            <v>1650000</v>
          </cell>
          <cell r="AN184">
            <v>33000</v>
          </cell>
          <cell r="AO184">
            <v>150000</v>
          </cell>
          <cell r="AP184">
            <v>2850000</v>
          </cell>
          <cell r="AQ184"/>
          <cell r="AR184">
            <v>2850000</v>
          </cell>
          <cell r="AS184">
            <v>200000</v>
          </cell>
          <cell r="AT184">
            <v>2650000</v>
          </cell>
          <cell r="AU184">
            <v>100000</v>
          </cell>
          <cell r="AV184">
            <v>2550000</v>
          </cell>
          <cell r="AW184">
            <v>0</v>
          </cell>
          <cell r="AX184">
            <v>2550000</v>
          </cell>
        </row>
        <row r="185">
          <cell r="G185" t="str">
            <v>AGM-01-009-007</v>
          </cell>
          <cell r="H185" t="str">
            <v xml:space="preserve">Raemulan Lands, Inc. </v>
          </cell>
          <cell r="I185" t="str">
            <v>Agapeya</v>
          </cell>
          <cell r="J185" t="str">
            <v>AGM</v>
          </cell>
          <cell r="K185" t="str">
            <v>Eco-High</v>
          </cell>
          <cell r="L185" t="str">
            <v>West</v>
          </cell>
          <cell r="M185" t="str">
            <v>With LTS - 2024</v>
          </cell>
          <cell r="N185" t="str">
            <v>YES</v>
          </cell>
          <cell r="O185" t="str">
            <v>YES</v>
          </cell>
          <cell r="P185" t="str">
            <v>Unaffected lots</v>
          </cell>
          <cell r="Q185" t="str">
            <v>YES</v>
          </cell>
          <cell r="R185">
            <v>70</v>
          </cell>
          <cell r="S185" t="str">
            <v>PCS-04-034298</v>
          </cell>
          <cell r="T185" t="str">
            <v>TCT-060-2024021577</v>
          </cell>
          <cell r="U185" t="b">
            <v>1</v>
          </cell>
          <cell r="V185" t="str">
            <v>Done</v>
          </cell>
          <cell r="W185" t="str">
            <v>2024 Batch</v>
          </cell>
          <cell r="X185" t="str">
            <v>2024 Batch</v>
          </cell>
          <cell r="Y185">
            <v>9</v>
          </cell>
          <cell r="Z185">
            <v>7</v>
          </cell>
          <cell r="AA185" t="str">
            <v>H+L</v>
          </cell>
          <cell r="AB185">
            <v>70</v>
          </cell>
          <cell r="AC185">
            <v>50</v>
          </cell>
          <cell r="AD185" t="str">
            <v>Slant</v>
          </cell>
          <cell r="AE185" t="str">
            <v>Duplex</v>
          </cell>
          <cell r="AF185" t="str">
            <v>326 - With Partition</v>
          </cell>
          <cell r="AG185" t="str">
            <v>With Partition</v>
          </cell>
          <cell r="AH185" t="str">
            <v>With Partition</v>
          </cell>
          <cell r="AI185" t="str">
            <v>GREEN</v>
          </cell>
          <cell r="AJ185" t="str">
            <v>Slant / GREEN</v>
          </cell>
          <cell r="AK185">
            <v>1050000</v>
          </cell>
          <cell r="AL185">
            <v>15000</v>
          </cell>
          <cell r="AM185">
            <v>1650000</v>
          </cell>
          <cell r="AN185">
            <v>33000</v>
          </cell>
          <cell r="AO185">
            <v>150000</v>
          </cell>
          <cell r="AP185">
            <v>2850000</v>
          </cell>
          <cell r="AQ185"/>
          <cell r="AR185">
            <v>2850000</v>
          </cell>
          <cell r="AS185">
            <v>0</v>
          </cell>
          <cell r="AT185">
            <v>2850000</v>
          </cell>
          <cell r="AU185">
            <v>100000</v>
          </cell>
          <cell r="AV185">
            <v>2750000</v>
          </cell>
          <cell r="AW185">
            <v>0</v>
          </cell>
          <cell r="AX185">
            <v>2750000</v>
          </cell>
        </row>
        <row r="186">
          <cell r="G186" t="str">
            <v>AGM-01-009-008</v>
          </cell>
          <cell r="H186" t="str">
            <v xml:space="preserve">Raemulan Lands, Inc. </v>
          </cell>
          <cell r="I186" t="str">
            <v>Agapeya</v>
          </cell>
          <cell r="J186" t="str">
            <v>AGM</v>
          </cell>
          <cell r="K186" t="str">
            <v>Eco-High</v>
          </cell>
          <cell r="L186" t="str">
            <v>West</v>
          </cell>
          <cell r="M186" t="str">
            <v>With LTS - 2024</v>
          </cell>
          <cell r="N186" t="str">
            <v>YES</v>
          </cell>
          <cell r="O186" t="str">
            <v>YES</v>
          </cell>
          <cell r="P186" t="str">
            <v>Unaffected lots</v>
          </cell>
          <cell r="Q186" t="str">
            <v>YES</v>
          </cell>
          <cell r="R186">
            <v>70</v>
          </cell>
          <cell r="S186" t="str">
            <v>PCS-04-034298</v>
          </cell>
          <cell r="T186" t="str">
            <v>TCT-060-2024021578</v>
          </cell>
          <cell r="U186" t="b">
            <v>1</v>
          </cell>
          <cell r="V186" t="str">
            <v>Done</v>
          </cell>
          <cell r="W186" t="str">
            <v>2024 Batch</v>
          </cell>
          <cell r="X186" t="str">
            <v>2024 Batch</v>
          </cell>
          <cell r="Y186">
            <v>9</v>
          </cell>
          <cell r="Z186">
            <v>8</v>
          </cell>
          <cell r="AA186" t="str">
            <v>H+L</v>
          </cell>
          <cell r="AB186">
            <v>70</v>
          </cell>
          <cell r="AC186">
            <v>50</v>
          </cell>
          <cell r="AD186" t="str">
            <v>Flat</v>
          </cell>
          <cell r="AE186" t="str">
            <v>Duplex</v>
          </cell>
          <cell r="AF186" t="str">
            <v>326 - With Partition</v>
          </cell>
          <cell r="AG186" t="str">
            <v>With Partition</v>
          </cell>
          <cell r="AH186" t="str">
            <v>With Partition</v>
          </cell>
          <cell r="AI186" t="str">
            <v>GREEN</v>
          </cell>
          <cell r="AJ186" t="str">
            <v>Flat / GREEN</v>
          </cell>
          <cell r="AK186">
            <v>1050000</v>
          </cell>
          <cell r="AL186">
            <v>15000</v>
          </cell>
          <cell r="AM186">
            <v>1650000</v>
          </cell>
          <cell r="AN186">
            <v>33000</v>
          </cell>
          <cell r="AO186">
            <v>150000</v>
          </cell>
          <cell r="AP186">
            <v>2850000</v>
          </cell>
          <cell r="AQ186"/>
          <cell r="AR186">
            <v>2850000</v>
          </cell>
          <cell r="AS186">
            <v>0</v>
          </cell>
          <cell r="AT186">
            <v>2850000</v>
          </cell>
          <cell r="AU186">
            <v>100000</v>
          </cell>
          <cell r="AV186">
            <v>2750000</v>
          </cell>
          <cell r="AW186">
            <v>0</v>
          </cell>
          <cell r="AX186">
            <v>2750000</v>
          </cell>
        </row>
        <row r="187">
          <cell r="G187" t="str">
            <v>AGM-01-009-009</v>
          </cell>
          <cell r="H187" t="str">
            <v xml:space="preserve">Raemulan Lands, Inc. </v>
          </cell>
          <cell r="I187" t="str">
            <v>Agapeya</v>
          </cell>
          <cell r="J187" t="str">
            <v>AGM</v>
          </cell>
          <cell r="K187" t="str">
            <v>Eco-High</v>
          </cell>
          <cell r="L187" t="str">
            <v>West</v>
          </cell>
          <cell r="M187" t="str">
            <v>With LTS - 2024</v>
          </cell>
          <cell r="N187" t="str">
            <v>YES</v>
          </cell>
          <cell r="O187" t="str">
            <v>YES</v>
          </cell>
          <cell r="P187" t="str">
            <v>Unaffected lots</v>
          </cell>
          <cell r="Q187" t="str">
            <v>YES</v>
          </cell>
          <cell r="R187">
            <v>70</v>
          </cell>
          <cell r="S187" t="str">
            <v>PCS-04-034298</v>
          </cell>
          <cell r="T187" t="str">
            <v>TCT-060-2024021579</v>
          </cell>
          <cell r="U187" t="b">
            <v>1</v>
          </cell>
          <cell r="V187" t="str">
            <v>Done</v>
          </cell>
          <cell r="W187" t="str">
            <v>2024 Batch</v>
          </cell>
          <cell r="X187" t="str">
            <v>2024 Batch</v>
          </cell>
          <cell r="Y187">
            <v>9</v>
          </cell>
          <cell r="Z187">
            <v>9</v>
          </cell>
          <cell r="AA187" t="str">
            <v>H+L</v>
          </cell>
          <cell r="AB187">
            <v>70</v>
          </cell>
          <cell r="AC187">
            <v>50</v>
          </cell>
          <cell r="AD187" t="str">
            <v>Flat</v>
          </cell>
          <cell r="AE187" t="str">
            <v>Duplex</v>
          </cell>
          <cell r="AF187" t="str">
            <v>326 - With Partition</v>
          </cell>
          <cell r="AG187" t="str">
            <v>With Partition</v>
          </cell>
          <cell r="AH187" t="str">
            <v>With Partition</v>
          </cell>
          <cell r="AI187" t="str">
            <v>PURPLE</v>
          </cell>
          <cell r="AJ187" t="str">
            <v>Flat / PURPLE</v>
          </cell>
          <cell r="AK187">
            <v>1050000</v>
          </cell>
          <cell r="AL187">
            <v>15000</v>
          </cell>
          <cell r="AM187">
            <v>1650000</v>
          </cell>
          <cell r="AN187">
            <v>33000</v>
          </cell>
          <cell r="AO187">
            <v>150000</v>
          </cell>
          <cell r="AP187">
            <v>2850000</v>
          </cell>
          <cell r="AQ187"/>
          <cell r="AR187">
            <v>2850000</v>
          </cell>
          <cell r="AS187">
            <v>0</v>
          </cell>
          <cell r="AT187">
            <v>2850000</v>
          </cell>
          <cell r="AU187">
            <v>100000</v>
          </cell>
          <cell r="AV187">
            <v>2750000</v>
          </cell>
          <cell r="AW187">
            <v>0</v>
          </cell>
          <cell r="AX187">
            <v>2750000</v>
          </cell>
        </row>
        <row r="188">
          <cell r="G188" t="str">
            <v>AGM-01-009-010</v>
          </cell>
          <cell r="H188" t="str">
            <v xml:space="preserve">Raemulan Lands, Inc. </v>
          </cell>
          <cell r="I188" t="str">
            <v>Agapeya</v>
          </cell>
          <cell r="J188" t="str">
            <v>AGM</v>
          </cell>
          <cell r="K188" t="str">
            <v>Eco-High</v>
          </cell>
          <cell r="L188" t="str">
            <v>West</v>
          </cell>
          <cell r="M188" t="str">
            <v>With LTS - 2024</v>
          </cell>
          <cell r="N188" t="str">
            <v>YES</v>
          </cell>
          <cell r="O188" t="str">
            <v>YES</v>
          </cell>
          <cell r="P188" t="str">
            <v>Unaffected lots</v>
          </cell>
          <cell r="Q188" t="str">
            <v>YES</v>
          </cell>
          <cell r="R188">
            <v>70</v>
          </cell>
          <cell r="S188" t="str">
            <v>PCS-04-034298</v>
          </cell>
          <cell r="T188" t="str">
            <v>TCT-060-2024021580</v>
          </cell>
          <cell r="U188" t="b">
            <v>1</v>
          </cell>
          <cell r="V188" t="str">
            <v>Done</v>
          </cell>
          <cell r="W188" t="str">
            <v>2024 Batch</v>
          </cell>
          <cell r="X188" t="str">
            <v>2024 Batch</v>
          </cell>
          <cell r="Y188">
            <v>9</v>
          </cell>
          <cell r="Z188">
            <v>10</v>
          </cell>
          <cell r="AA188" t="str">
            <v>H+L</v>
          </cell>
          <cell r="AB188">
            <v>70</v>
          </cell>
          <cell r="AC188">
            <v>50</v>
          </cell>
          <cell r="AD188" t="str">
            <v>Slant</v>
          </cell>
          <cell r="AE188" t="str">
            <v>Duplex</v>
          </cell>
          <cell r="AF188" t="str">
            <v>326 - With Partition</v>
          </cell>
          <cell r="AG188" t="str">
            <v>With Partition</v>
          </cell>
          <cell r="AH188" t="str">
            <v>With Partition</v>
          </cell>
          <cell r="AI188" t="str">
            <v>PURPLE</v>
          </cell>
          <cell r="AJ188" t="str">
            <v>Slant / PURPLE</v>
          </cell>
          <cell r="AK188">
            <v>1050000</v>
          </cell>
          <cell r="AL188">
            <v>15000</v>
          </cell>
          <cell r="AM188">
            <v>1650000</v>
          </cell>
          <cell r="AN188">
            <v>33000</v>
          </cell>
          <cell r="AO188">
            <v>150000</v>
          </cell>
          <cell r="AP188">
            <v>2850000</v>
          </cell>
          <cell r="AQ188"/>
          <cell r="AR188">
            <v>2850000</v>
          </cell>
          <cell r="AS188">
            <v>0</v>
          </cell>
          <cell r="AT188">
            <v>2850000</v>
          </cell>
          <cell r="AU188">
            <v>100000</v>
          </cell>
          <cell r="AV188">
            <v>2750000</v>
          </cell>
          <cell r="AW188">
            <v>0</v>
          </cell>
          <cell r="AX188">
            <v>2750000</v>
          </cell>
        </row>
        <row r="189">
          <cell r="G189" t="str">
            <v>AGM-01-009-011</v>
          </cell>
          <cell r="H189" t="str">
            <v xml:space="preserve">Raemulan Lands, Inc. </v>
          </cell>
          <cell r="I189" t="str">
            <v>Agapeya</v>
          </cell>
          <cell r="J189" t="str">
            <v>AGM</v>
          </cell>
          <cell r="K189" t="str">
            <v>Eco-High</v>
          </cell>
          <cell r="L189" t="str">
            <v>West</v>
          </cell>
          <cell r="M189" t="str">
            <v>With LTS - 2024</v>
          </cell>
          <cell r="N189" t="str">
            <v>YES</v>
          </cell>
          <cell r="O189" t="str">
            <v>YES</v>
          </cell>
          <cell r="P189" t="str">
            <v>Unaffected lots</v>
          </cell>
          <cell r="Q189" t="str">
            <v>YES</v>
          </cell>
          <cell r="R189">
            <v>70</v>
          </cell>
          <cell r="S189" t="str">
            <v>PCS-04-034298</v>
          </cell>
          <cell r="T189" t="str">
            <v>TCT-060-2024021581</v>
          </cell>
          <cell r="U189" t="b">
            <v>1</v>
          </cell>
          <cell r="V189" t="str">
            <v>Done</v>
          </cell>
          <cell r="W189" t="str">
            <v>2024 Batch</v>
          </cell>
          <cell r="X189" t="str">
            <v>2024 Batch</v>
          </cell>
          <cell r="Y189">
            <v>9</v>
          </cell>
          <cell r="Z189">
            <v>11</v>
          </cell>
          <cell r="AA189" t="str">
            <v>H+L</v>
          </cell>
          <cell r="AB189">
            <v>70</v>
          </cell>
          <cell r="AC189">
            <v>50</v>
          </cell>
          <cell r="AD189" t="str">
            <v>Slant</v>
          </cell>
          <cell r="AE189" t="str">
            <v>Duplex</v>
          </cell>
          <cell r="AF189" t="str">
            <v>326 - With Partition</v>
          </cell>
          <cell r="AG189" t="str">
            <v xml:space="preserve">Without Partition </v>
          </cell>
          <cell r="AH189" t="str">
            <v xml:space="preserve">Without Partition </v>
          </cell>
          <cell r="AI189" t="str">
            <v>PURPLE</v>
          </cell>
          <cell r="AJ189" t="str">
            <v>Slant / PURPLE</v>
          </cell>
          <cell r="AK189">
            <v>1050000</v>
          </cell>
          <cell r="AL189">
            <v>15000</v>
          </cell>
          <cell r="AM189">
            <v>1650000</v>
          </cell>
          <cell r="AN189">
            <v>33000</v>
          </cell>
          <cell r="AO189">
            <v>150000</v>
          </cell>
          <cell r="AP189">
            <v>2850000</v>
          </cell>
          <cell r="AQ189"/>
          <cell r="AR189">
            <v>2850000</v>
          </cell>
          <cell r="AS189">
            <v>200000</v>
          </cell>
          <cell r="AT189">
            <v>2650000</v>
          </cell>
          <cell r="AU189">
            <v>100000</v>
          </cell>
          <cell r="AV189">
            <v>2550000</v>
          </cell>
          <cell r="AW189">
            <v>0</v>
          </cell>
          <cell r="AX189">
            <v>2550000</v>
          </cell>
        </row>
        <row r="190">
          <cell r="G190" t="str">
            <v>AGM-01-009-012</v>
          </cell>
          <cell r="H190" t="str">
            <v xml:space="preserve">Raemulan Lands, Inc. </v>
          </cell>
          <cell r="I190" t="str">
            <v>Agapeya</v>
          </cell>
          <cell r="J190" t="str">
            <v>AGM</v>
          </cell>
          <cell r="K190" t="str">
            <v>Eco-High</v>
          </cell>
          <cell r="L190" t="str">
            <v>West</v>
          </cell>
          <cell r="M190" t="str">
            <v>With LTS - 2024</v>
          </cell>
          <cell r="N190" t="str">
            <v>YES</v>
          </cell>
          <cell r="O190" t="str">
            <v>YES</v>
          </cell>
          <cell r="P190" t="str">
            <v>Unaffected lots</v>
          </cell>
          <cell r="Q190" t="str">
            <v>YES</v>
          </cell>
          <cell r="R190">
            <v>70</v>
          </cell>
          <cell r="S190" t="str">
            <v>PCS-04-034298</v>
          </cell>
          <cell r="T190" t="str">
            <v>TCT-060-2024021582</v>
          </cell>
          <cell r="U190" t="b">
            <v>1</v>
          </cell>
          <cell r="V190" t="str">
            <v>Done</v>
          </cell>
          <cell r="W190" t="str">
            <v>2024 Batch</v>
          </cell>
          <cell r="X190" t="str">
            <v>2024 Batch</v>
          </cell>
          <cell r="Y190">
            <v>9</v>
          </cell>
          <cell r="Z190">
            <v>12</v>
          </cell>
          <cell r="AA190" t="str">
            <v>H+L</v>
          </cell>
          <cell r="AB190">
            <v>70</v>
          </cell>
          <cell r="AC190">
            <v>50</v>
          </cell>
          <cell r="AD190" t="str">
            <v>Flat</v>
          </cell>
          <cell r="AE190" t="str">
            <v>Duplex</v>
          </cell>
          <cell r="AF190" t="str">
            <v>326 - With Partition</v>
          </cell>
          <cell r="AG190" t="str">
            <v>With Partition</v>
          </cell>
          <cell r="AH190" t="str">
            <v>With Partition</v>
          </cell>
          <cell r="AI190" t="str">
            <v>PURPLE</v>
          </cell>
          <cell r="AJ190" t="str">
            <v>Flat / PURPLE</v>
          </cell>
          <cell r="AK190">
            <v>1050000</v>
          </cell>
          <cell r="AL190">
            <v>15000</v>
          </cell>
          <cell r="AM190">
            <v>1650000</v>
          </cell>
          <cell r="AN190">
            <v>33000</v>
          </cell>
          <cell r="AO190">
            <v>150000</v>
          </cell>
          <cell r="AP190">
            <v>2850000</v>
          </cell>
          <cell r="AQ190"/>
          <cell r="AR190">
            <v>2850000</v>
          </cell>
          <cell r="AS190">
            <v>0</v>
          </cell>
          <cell r="AT190">
            <v>2850000</v>
          </cell>
          <cell r="AU190">
            <v>100000</v>
          </cell>
          <cell r="AV190">
            <v>2750000</v>
          </cell>
          <cell r="AW190">
            <v>0</v>
          </cell>
          <cell r="AX190">
            <v>2750000</v>
          </cell>
        </row>
        <row r="191">
          <cell r="G191" t="str">
            <v>AGM-01-009-013</v>
          </cell>
          <cell r="H191" t="str">
            <v xml:space="preserve">Raemulan Lands, Inc. </v>
          </cell>
          <cell r="I191" t="str">
            <v>Agapeya</v>
          </cell>
          <cell r="J191" t="str">
            <v>AGM</v>
          </cell>
          <cell r="K191" t="str">
            <v>Eco-High</v>
          </cell>
          <cell r="L191" t="str">
            <v>West</v>
          </cell>
          <cell r="M191" t="str">
            <v>With LTS - 2024</v>
          </cell>
          <cell r="N191" t="str">
            <v>YES</v>
          </cell>
          <cell r="O191" t="str">
            <v>YES</v>
          </cell>
          <cell r="P191" t="str">
            <v>Unaffected lots</v>
          </cell>
          <cell r="Q191" t="str">
            <v>YES</v>
          </cell>
          <cell r="R191">
            <v>70</v>
          </cell>
          <cell r="S191" t="str">
            <v>PCS-04-034298</v>
          </cell>
          <cell r="T191" t="str">
            <v>TCT-060-2024021583</v>
          </cell>
          <cell r="U191" t="b">
            <v>1</v>
          </cell>
          <cell r="V191" t="str">
            <v>Done</v>
          </cell>
          <cell r="W191" t="str">
            <v>2024 Batch</v>
          </cell>
          <cell r="X191" t="str">
            <v>2024 Batch</v>
          </cell>
          <cell r="Y191">
            <v>9</v>
          </cell>
          <cell r="Z191">
            <v>13</v>
          </cell>
          <cell r="AA191" t="str">
            <v>H+L</v>
          </cell>
          <cell r="AB191">
            <v>70</v>
          </cell>
          <cell r="AC191">
            <v>50</v>
          </cell>
          <cell r="AD191" t="str">
            <v>Flat</v>
          </cell>
          <cell r="AE191" t="str">
            <v>Duplex</v>
          </cell>
          <cell r="AF191" t="str">
            <v>326 - With Partition</v>
          </cell>
          <cell r="AG191" t="str">
            <v>With Partition</v>
          </cell>
          <cell r="AH191" t="str">
            <v>With Partition</v>
          </cell>
          <cell r="AI191" t="str">
            <v>PINK</v>
          </cell>
          <cell r="AJ191" t="str">
            <v>Flat / PINK</v>
          </cell>
          <cell r="AK191">
            <v>1050000</v>
          </cell>
          <cell r="AL191">
            <v>15000</v>
          </cell>
          <cell r="AM191">
            <v>1650000</v>
          </cell>
          <cell r="AN191">
            <v>33000</v>
          </cell>
          <cell r="AO191">
            <v>150000</v>
          </cell>
          <cell r="AP191">
            <v>2850000</v>
          </cell>
          <cell r="AQ191"/>
          <cell r="AR191">
            <v>2850000</v>
          </cell>
          <cell r="AS191">
            <v>0</v>
          </cell>
          <cell r="AT191">
            <v>2850000</v>
          </cell>
          <cell r="AU191">
            <v>100000</v>
          </cell>
          <cell r="AV191">
            <v>2750000</v>
          </cell>
          <cell r="AW191">
            <v>0</v>
          </cell>
          <cell r="AX191">
            <v>2750000</v>
          </cell>
        </row>
        <row r="192">
          <cell r="G192" t="str">
            <v>AGM-01-009-014</v>
          </cell>
          <cell r="H192" t="str">
            <v xml:space="preserve">Raemulan Lands, Inc. </v>
          </cell>
          <cell r="I192" t="str">
            <v>Agapeya</v>
          </cell>
          <cell r="J192" t="str">
            <v>AGM</v>
          </cell>
          <cell r="K192" t="str">
            <v>Eco-High</v>
          </cell>
          <cell r="L192" t="str">
            <v>West</v>
          </cell>
          <cell r="M192" t="str">
            <v>With LTS - 2024</v>
          </cell>
          <cell r="N192" t="str">
            <v>YES</v>
          </cell>
          <cell r="O192" t="str">
            <v>YES</v>
          </cell>
          <cell r="P192" t="str">
            <v>Unaffected lots</v>
          </cell>
          <cell r="Q192" t="str">
            <v>YES</v>
          </cell>
          <cell r="R192">
            <v>70</v>
          </cell>
          <cell r="S192" t="str">
            <v>PCS-04-034298</v>
          </cell>
          <cell r="T192" t="str">
            <v>TCT-060-2024021584</v>
          </cell>
          <cell r="U192" t="b">
            <v>1</v>
          </cell>
          <cell r="V192" t="str">
            <v>Done</v>
          </cell>
          <cell r="W192" t="str">
            <v>2024 Batch</v>
          </cell>
          <cell r="X192" t="str">
            <v>2024 Batch</v>
          </cell>
          <cell r="Y192">
            <v>9</v>
          </cell>
          <cell r="Z192">
            <v>14</v>
          </cell>
          <cell r="AA192" t="str">
            <v>H+L</v>
          </cell>
          <cell r="AB192">
            <v>70</v>
          </cell>
          <cell r="AC192">
            <v>50</v>
          </cell>
          <cell r="AD192" t="str">
            <v>Slant</v>
          </cell>
          <cell r="AE192" t="str">
            <v>Duplex</v>
          </cell>
          <cell r="AF192" t="str">
            <v>326 - With Partition</v>
          </cell>
          <cell r="AG192" t="str">
            <v>With Partition</v>
          </cell>
          <cell r="AH192" t="str">
            <v>With Partition</v>
          </cell>
          <cell r="AI192" t="str">
            <v>PINK</v>
          </cell>
          <cell r="AJ192" t="str">
            <v>Slant / PINK</v>
          </cell>
          <cell r="AK192">
            <v>1050000</v>
          </cell>
          <cell r="AL192">
            <v>15000</v>
          </cell>
          <cell r="AM192">
            <v>1650000</v>
          </cell>
          <cell r="AN192">
            <v>33000</v>
          </cell>
          <cell r="AO192">
            <v>150000</v>
          </cell>
          <cell r="AP192">
            <v>2850000</v>
          </cell>
          <cell r="AQ192"/>
          <cell r="AR192">
            <v>2850000</v>
          </cell>
          <cell r="AS192">
            <v>0</v>
          </cell>
          <cell r="AT192">
            <v>2850000</v>
          </cell>
          <cell r="AU192">
            <v>100000</v>
          </cell>
          <cell r="AV192">
            <v>2750000</v>
          </cell>
          <cell r="AW192">
            <v>0</v>
          </cell>
          <cell r="AX192">
            <v>2750000</v>
          </cell>
        </row>
        <row r="193">
          <cell r="G193" t="str">
            <v>AGM-01-009-015</v>
          </cell>
          <cell r="H193" t="str">
            <v xml:space="preserve">Raemulan Lands, Inc. </v>
          </cell>
          <cell r="I193" t="str">
            <v>Agapeya</v>
          </cell>
          <cell r="J193" t="str">
            <v>AGM</v>
          </cell>
          <cell r="K193" t="str">
            <v>Eco-High</v>
          </cell>
          <cell r="L193" t="str">
            <v>West</v>
          </cell>
          <cell r="M193" t="str">
            <v>With LTS - 2024</v>
          </cell>
          <cell r="N193" t="str">
            <v>YES</v>
          </cell>
          <cell r="O193" t="str">
            <v>YES</v>
          </cell>
          <cell r="P193" t="str">
            <v>Unaffected lots</v>
          </cell>
          <cell r="Q193" t="str">
            <v>YES</v>
          </cell>
          <cell r="R193">
            <v>70</v>
          </cell>
          <cell r="S193" t="str">
            <v>PCS-04-034298</v>
          </cell>
          <cell r="T193" t="str">
            <v>TCT-060-2024021585</v>
          </cell>
          <cell r="U193" t="b">
            <v>1</v>
          </cell>
          <cell r="V193" t="str">
            <v>Done</v>
          </cell>
          <cell r="W193" t="str">
            <v>2024 Batch</v>
          </cell>
          <cell r="X193" t="str">
            <v>2024 Batch</v>
          </cell>
          <cell r="Y193">
            <v>9</v>
          </cell>
          <cell r="Z193">
            <v>15</v>
          </cell>
          <cell r="AA193" t="str">
            <v>H+L</v>
          </cell>
          <cell r="AB193">
            <v>70</v>
          </cell>
          <cell r="AC193">
            <v>50</v>
          </cell>
          <cell r="AD193" t="str">
            <v>Slant</v>
          </cell>
          <cell r="AE193" t="str">
            <v>Duplex</v>
          </cell>
          <cell r="AF193" t="str">
            <v>326 - With Partition</v>
          </cell>
          <cell r="AG193" t="str">
            <v xml:space="preserve">Without Partition </v>
          </cell>
          <cell r="AH193" t="str">
            <v xml:space="preserve">With Partition </v>
          </cell>
          <cell r="AI193" t="str">
            <v>PINK</v>
          </cell>
          <cell r="AJ193" t="str">
            <v>Slant / PINK</v>
          </cell>
          <cell r="AK193">
            <v>1050000</v>
          </cell>
          <cell r="AL193">
            <v>15000</v>
          </cell>
          <cell r="AM193">
            <v>1650000</v>
          </cell>
          <cell r="AN193">
            <v>33000</v>
          </cell>
          <cell r="AO193">
            <v>150000</v>
          </cell>
          <cell r="AP193">
            <v>2850000</v>
          </cell>
          <cell r="AQ193"/>
          <cell r="AR193">
            <v>2850000</v>
          </cell>
          <cell r="AS193">
            <v>200000</v>
          </cell>
          <cell r="AT193">
            <v>2650000</v>
          </cell>
          <cell r="AU193">
            <v>100000</v>
          </cell>
          <cell r="AV193">
            <v>2550000</v>
          </cell>
          <cell r="AW193">
            <v>0</v>
          </cell>
          <cell r="AX193">
            <v>2550000</v>
          </cell>
        </row>
        <row r="194">
          <cell r="G194" t="str">
            <v>AGM-01-009-016</v>
          </cell>
          <cell r="H194" t="str">
            <v xml:space="preserve">Raemulan Lands, Inc. </v>
          </cell>
          <cell r="I194" t="str">
            <v>Agapeya</v>
          </cell>
          <cell r="J194" t="str">
            <v>AGM</v>
          </cell>
          <cell r="K194" t="str">
            <v>Eco-High</v>
          </cell>
          <cell r="L194" t="str">
            <v>West</v>
          </cell>
          <cell r="M194" t="str">
            <v>With LTS - 2024</v>
          </cell>
          <cell r="N194" t="str">
            <v>YES</v>
          </cell>
          <cell r="O194" t="str">
            <v>YES</v>
          </cell>
          <cell r="P194" t="str">
            <v>Unaffected lots</v>
          </cell>
          <cell r="Q194" t="str">
            <v>YES</v>
          </cell>
          <cell r="R194">
            <v>70</v>
          </cell>
          <cell r="S194" t="str">
            <v>PCS-04-034298</v>
          </cell>
          <cell r="T194" t="str">
            <v>TCT-060-2024021586</v>
          </cell>
          <cell r="U194" t="b">
            <v>1</v>
          </cell>
          <cell r="V194" t="str">
            <v>Done</v>
          </cell>
          <cell r="W194" t="str">
            <v>2024 Batch</v>
          </cell>
          <cell r="X194" t="str">
            <v>2024 Batch</v>
          </cell>
          <cell r="Y194">
            <v>9</v>
          </cell>
          <cell r="Z194">
            <v>16</v>
          </cell>
          <cell r="AA194" t="str">
            <v>H+L</v>
          </cell>
          <cell r="AB194">
            <v>70</v>
          </cell>
          <cell r="AC194">
            <v>50</v>
          </cell>
          <cell r="AD194" t="str">
            <v>Flat</v>
          </cell>
          <cell r="AE194" t="str">
            <v>Duplex</v>
          </cell>
          <cell r="AF194" t="str">
            <v>326 - With Partition</v>
          </cell>
          <cell r="AG194" t="str">
            <v xml:space="preserve">Without Partition </v>
          </cell>
          <cell r="AH194" t="str">
            <v>With Partition</v>
          </cell>
          <cell r="AI194" t="str">
            <v>PINK</v>
          </cell>
          <cell r="AJ194" t="str">
            <v>Flat / PINK</v>
          </cell>
          <cell r="AK194">
            <v>1050000</v>
          </cell>
          <cell r="AL194">
            <v>15000</v>
          </cell>
          <cell r="AM194">
            <v>1650000</v>
          </cell>
          <cell r="AN194">
            <v>33000</v>
          </cell>
          <cell r="AO194">
            <v>150000</v>
          </cell>
          <cell r="AP194">
            <v>2850000</v>
          </cell>
          <cell r="AQ194"/>
          <cell r="AR194">
            <v>2850000</v>
          </cell>
          <cell r="AS194">
            <v>0</v>
          </cell>
          <cell r="AT194">
            <v>2850000</v>
          </cell>
          <cell r="AU194">
            <v>100000</v>
          </cell>
          <cell r="AV194">
            <v>2750000</v>
          </cell>
          <cell r="AW194">
            <v>0</v>
          </cell>
          <cell r="AX194">
            <v>2750000</v>
          </cell>
        </row>
        <row r="195">
          <cell r="G195" t="str">
            <v>AGM-01-009-017</v>
          </cell>
          <cell r="H195" t="str">
            <v xml:space="preserve">Raemulan Lands, Inc. </v>
          </cell>
          <cell r="I195" t="str">
            <v>Agapeya</v>
          </cell>
          <cell r="J195" t="str">
            <v>AGM</v>
          </cell>
          <cell r="K195" t="str">
            <v>Eco-High</v>
          </cell>
          <cell r="L195" t="str">
            <v>West</v>
          </cell>
          <cell r="M195" t="str">
            <v>With LTS - 2024</v>
          </cell>
          <cell r="N195" t="str">
            <v>YES</v>
          </cell>
          <cell r="O195" t="str">
            <v>YES</v>
          </cell>
          <cell r="P195" t="str">
            <v>Unaffected lots</v>
          </cell>
          <cell r="Q195" t="str">
            <v>YES</v>
          </cell>
          <cell r="R195">
            <v>70</v>
          </cell>
          <cell r="S195" t="str">
            <v>PCS-04-034298</v>
          </cell>
          <cell r="T195" t="str">
            <v>TCT-060-2024021587</v>
          </cell>
          <cell r="U195" t="b">
            <v>1</v>
          </cell>
          <cell r="V195" t="str">
            <v>Done</v>
          </cell>
          <cell r="W195" t="str">
            <v>2024 Batch</v>
          </cell>
          <cell r="X195" t="str">
            <v>2024 Batch</v>
          </cell>
          <cell r="Y195">
            <v>9</v>
          </cell>
          <cell r="Z195">
            <v>17</v>
          </cell>
          <cell r="AA195" t="str">
            <v>H+L</v>
          </cell>
          <cell r="AB195">
            <v>70</v>
          </cell>
          <cell r="AC195">
            <v>50</v>
          </cell>
          <cell r="AD195" t="str">
            <v>Flat</v>
          </cell>
          <cell r="AE195" t="str">
            <v>Duplex</v>
          </cell>
          <cell r="AF195" t="str">
            <v>326 - With Partition</v>
          </cell>
          <cell r="AG195" t="str">
            <v>With Partition</v>
          </cell>
          <cell r="AH195" t="str">
            <v>With Partition</v>
          </cell>
          <cell r="AI195" t="str">
            <v>YELLOW</v>
          </cell>
          <cell r="AJ195" t="str">
            <v>Flat / YELLOW</v>
          </cell>
          <cell r="AK195">
            <v>1050000</v>
          </cell>
          <cell r="AL195">
            <v>15000</v>
          </cell>
          <cell r="AM195">
            <v>1650000</v>
          </cell>
          <cell r="AN195">
            <v>33000</v>
          </cell>
          <cell r="AO195">
            <v>150000</v>
          </cell>
          <cell r="AP195">
            <v>2850000</v>
          </cell>
          <cell r="AQ195"/>
          <cell r="AR195">
            <v>2850000</v>
          </cell>
          <cell r="AS195">
            <v>0</v>
          </cell>
          <cell r="AT195">
            <v>2850000</v>
          </cell>
          <cell r="AU195">
            <v>100000</v>
          </cell>
          <cell r="AV195">
            <v>2750000</v>
          </cell>
          <cell r="AW195">
            <v>0</v>
          </cell>
          <cell r="AX195">
            <v>2750000</v>
          </cell>
        </row>
        <row r="196">
          <cell r="G196" t="str">
            <v>AGM-01-009-018</v>
          </cell>
          <cell r="H196" t="str">
            <v xml:space="preserve">Raemulan Lands, Inc. </v>
          </cell>
          <cell r="I196" t="str">
            <v>Agapeya</v>
          </cell>
          <cell r="J196" t="str">
            <v>AGM</v>
          </cell>
          <cell r="K196" t="str">
            <v>Eco-High</v>
          </cell>
          <cell r="L196" t="str">
            <v>West</v>
          </cell>
          <cell r="M196" t="str">
            <v>With LTS - 2024</v>
          </cell>
          <cell r="N196" t="str">
            <v>YES</v>
          </cell>
          <cell r="O196" t="str">
            <v>YES</v>
          </cell>
          <cell r="P196" t="str">
            <v>Unaffected lots</v>
          </cell>
          <cell r="Q196" t="str">
            <v>YES</v>
          </cell>
          <cell r="R196">
            <v>70</v>
          </cell>
          <cell r="S196" t="str">
            <v>PCS-04-034298</v>
          </cell>
          <cell r="T196" t="str">
            <v>TCT-060-2024021588</v>
          </cell>
          <cell r="U196" t="b">
            <v>1</v>
          </cell>
          <cell r="V196" t="str">
            <v>Done</v>
          </cell>
          <cell r="W196" t="str">
            <v>2024 Batch</v>
          </cell>
          <cell r="X196" t="str">
            <v>2024 Batch</v>
          </cell>
          <cell r="Y196">
            <v>9</v>
          </cell>
          <cell r="Z196">
            <v>18</v>
          </cell>
          <cell r="AA196" t="str">
            <v>H+L</v>
          </cell>
          <cell r="AB196">
            <v>70</v>
          </cell>
          <cell r="AC196">
            <v>50</v>
          </cell>
          <cell r="AD196" t="str">
            <v>Slant</v>
          </cell>
          <cell r="AE196" t="str">
            <v>Duplex</v>
          </cell>
          <cell r="AF196" t="str">
            <v>326 - With Partition</v>
          </cell>
          <cell r="AG196" t="str">
            <v>With Partition</v>
          </cell>
          <cell r="AH196" t="str">
            <v>With Partition</v>
          </cell>
          <cell r="AI196" t="str">
            <v>YELLOW</v>
          </cell>
          <cell r="AJ196" t="str">
            <v>Slant / YELLOW</v>
          </cell>
          <cell r="AK196">
            <v>1050000</v>
          </cell>
          <cell r="AL196">
            <v>15000</v>
          </cell>
          <cell r="AM196">
            <v>1650000</v>
          </cell>
          <cell r="AN196">
            <v>33000</v>
          </cell>
          <cell r="AO196">
            <v>150000</v>
          </cell>
          <cell r="AP196">
            <v>2850000</v>
          </cell>
          <cell r="AQ196"/>
          <cell r="AR196">
            <v>2850000</v>
          </cell>
          <cell r="AS196">
            <v>0</v>
          </cell>
          <cell r="AT196">
            <v>2850000</v>
          </cell>
          <cell r="AU196">
            <v>100000</v>
          </cell>
          <cell r="AV196">
            <v>2750000</v>
          </cell>
          <cell r="AW196">
            <v>0</v>
          </cell>
          <cell r="AX196">
            <v>2750000</v>
          </cell>
        </row>
        <row r="197">
          <cell r="G197" t="str">
            <v>AGM-01-009-019</v>
          </cell>
          <cell r="H197" t="str">
            <v xml:space="preserve">Raemulan Lands, Inc. </v>
          </cell>
          <cell r="I197" t="str">
            <v>Agapeya</v>
          </cell>
          <cell r="J197" t="str">
            <v>AGM</v>
          </cell>
          <cell r="K197" t="str">
            <v>Eco-High</v>
          </cell>
          <cell r="L197" t="str">
            <v>West</v>
          </cell>
          <cell r="M197" t="str">
            <v>With LTS - 2024</v>
          </cell>
          <cell r="N197" t="str">
            <v>YES</v>
          </cell>
          <cell r="O197" t="str">
            <v>YES</v>
          </cell>
          <cell r="P197" t="str">
            <v>Unaffected lots</v>
          </cell>
          <cell r="Q197" t="str">
            <v>YES</v>
          </cell>
          <cell r="R197">
            <v>70</v>
          </cell>
          <cell r="S197" t="str">
            <v>PCS-04-034298</v>
          </cell>
          <cell r="T197" t="str">
            <v>TCT-060-2024021589</v>
          </cell>
          <cell r="U197" t="b">
            <v>1</v>
          </cell>
          <cell r="V197" t="str">
            <v>Done</v>
          </cell>
          <cell r="W197" t="str">
            <v>2024 Batch</v>
          </cell>
          <cell r="X197" t="str">
            <v>2024 Batch</v>
          </cell>
          <cell r="Y197">
            <v>9</v>
          </cell>
          <cell r="Z197">
            <v>19</v>
          </cell>
          <cell r="AA197" t="str">
            <v>H+L</v>
          </cell>
          <cell r="AB197">
            <v>70</v>
          </cell>
          <cell r="AC197">
            <v>50</v>
          </cell>
          <cell r="AD197" t="str">
            <v>Slant</v>
          </cell>
          <cell r="AE197" t="str">
            <v>Duplex</v>
          </cell>
          <cell r="AF197" t="str">
            <v>326 - With Partition</v>
          </cell>
          <cell r="AG197" t="str">
            <v>With Partition</v>
          </cell>
          <cell r="AH197" t="str">
            <v>With Partition</v>
          </cell>
          <cell r="AI197" t="str">
            <v>YELLOW</v>
          </cell>
          <cell r="AJ197" t="str">
            <v>Slant / YELLOW</v>
          </cell>
          <cell r="AK197">
            <v>1050000</v>
          </cell>
          <cell r="AL197">
            <v>15000</v>
          </cell>
          <cell r="AM197">
            <v>1650000</v>
          </cell>
          <cell r="AN197">
            <v>33000</v>
          </cell>
          <cell r="AO197">
            <v>150000</v>
          </cell>
          <cell r="AP197">
            <v>2850000</v>
          </cell>
          <cell r="AQ197"/>
          <cell r="AR197">
            <v>2850000</v>
          </cell>
          <cell r="AS197">
            <v>0</v>
          </cell>
          <cell r="AT197">
            <v>2850000</v>
          </cell>
          <cell r="AU197">
            <v>100000</v>
          </cell>
          <cell r="AV197">
            <v>2750000</v>
          </cell>
          <cell r="AW197">
            <v>0</v>
          </cell>
          <cell r="AX197">
            <v>2750000</v>
          </cell>
        </row>
        <row r="198">
          <cell r="G198" t="str">
            <v>AGM-01-009-020</v>
          </cell>
          <cell r="H198" t="str">
            <v xml:space="preserve">Raemulan Lands, Inc. </v>
          </cell>
          <cell r="I198" t="str">
            <v>Agapeya</v>
          </cell>
          <cell r="J198" t="str">
            <v>AGM</v>
          </cell>
          <cell r="K198" t="str">
            <v>Eco-High</v>
          </cell>
          <cell r="L198" t="str">
            <v>West</v>
          </cell>
          <cell r="M198" t="str">
            <v>With LTS - 2024</v>
          </cell>
          <cell r="N198" t="str">
            <v>YES</v>
          </cell>
          <cell r="O198" t="str">
            <v>YES</v>
          </cell>
          <cell r="P198" t="str">
            <v>Unaffected lots</v>
          </cell>
          <cell r="Q198" t="str">
            <v>YES</v>
          </cell>
          <cell r="R198">
            <v>70</v>
          </cell>
          <cell r="S198" t="str">
            <v>PCS-04-034298</v>
          </cell>
          <cell r="T198" t="str">
            <v>TCT-060-2024021590</v>
          </cell>
          <cell r="U198" t="b">
            <v>1</v>
          </cell>
          <cell r="V198" t="str">
            <v>Done</v>
          </cell>
          <cell r="W198" t="str">
            <v>2024 Batch</v>
          </cell>
          <cell r="X198" t="str">
            <v>2024 Batch</v>
          </cell>
          <cell r="Y198">
            <v>9</v>
          </cell>
          <cell r="Z198">
            <v>20</v>
          </cell>
          <cell r="AA198" t="str">
            <v>H+L</v>
          </cell>
          <cell r="AB198">
            <v>70</v>
          </cell>
          <cell r="AC198">
            <v>50</v>
          </cell>
          <cell r="AD198" t="str">
            <v>Flat</v>
          </cell>
          <cell r="AE198" t="str">
            <v>Duplex</v>
          </cell>
          <cell r="AF198" t="str">
            <v>326 - With Partition</v>
          </cell>
          <cell r="AG198" t="str">
            <v>With Partition</v>
          </cell>
          <cell r="AH198" t="str">
            <v>With Partition</v>
          </cell>
          <cell r="AI198" t="str">
            <v>YELLOW</v>
          </cell>
          <cell r="AJ198" t="str">
            <v>Flat / YELLOW</v>
          </cell>
          <cell r="AK198">
            <v>1050000</v>
          </cell>
          <cell r="AL198">
            <v>15000</v>
          </cell>
          <cell r="AM198">
            <v>1650000</v>
          </cell>
          <cell r="AN198">
            <v>33000</v>
          </cell>
          <cell r="AO198">
            <v>150000</v>
          </cell>
          <cell r="AP198">
            <v>2850000</v>
          </cell>
          <cell r="AQ198"/>
          <cell r="AR198">
            <v>2850000</v>
          </cell>
          <cell r="AS198">
            <v>0</v>
          </cell>
          <cell r="AT198">
            <v>2850000</v>
          </cell>
          <cell r="AU198">
            <v>100000</v>
          </cell>
          <cell r="AV198">
            <v>2750000</v>
          </cell>
          <cell r="AW198">
            <v>0</v>
          </cell>
          <cell r="AX198">
            <v>2750000</v>
          </cell>
        </row>
        <row r="199">
          <cell r="G199" t="str">
            <v>AGM-01-009-021</v>
          </cell>
          <cell r="H199" t="str">
            <v xml:space="preserve">Raemulan Lands, Inc. </v>
          </cell>
          <cell r="I199" t="str">
            <v>Agapeya</v>
          </cell>
          <cell r="J199" t="str">
            <v>AGM</v>
          </cell>
          <cell r="K199" t="str">
            <v>Eco-High</v>
          </cell>
          <cell r="L199" t="str">
            <v>West</v>
          </cell>
          <cell r="M199" t="str">
            <v>With LTS - 2024</v>
          </cell>
          <cell r="N199" t="str">
            <v>YES</v>
          </cell>
          <cell r="O199" t="str">
            <v>YES</v>
          </cell>
          <cell r="P199" t="str">
            <v>Unaffected lots</v>
          </cell>
          <cell r="Q199" t="str">
            <v>YES</v>
          </cell>
          <cell r="R199">
            <v>70</v>
          </cell>
          <cell r="S199" t="str">
            <v>PCS-04-034298</v>
          </cell>
          <cell r="T199" t="str">
            <v>TCT-060-2024021591</v>
          </cell>
          <cell r="U199" t="b">
            <v>1</v>
          </cell>
          <cell r="V199" t="str">
            <v>Done</v>
          </cell>
          <cell r="W199" t="str">
            <v>2024 Batch</v>
          </cell>
          <cell r="X199" t="str">
            <v>2024 Batch</v>
          </cell>
          <cell r="Y199">
            <v>9</v>
          </cell>
          <cell r="Z199">
            <v>21</v>
          </cell>
          <cell r="AA199" t="str">
            <v>H+L</v>
          </cell>
          <cell r="AB199">
            <v>70</v>
          </cell>
          <cell r="AC199">
            <v>50</v>
          </cell>
          <cell r="AD199" t="str">
            <v>Flat</v>
          </cell>
          <cell r="AE199" t="str">
            <v>Duplex</v>
          </cell>
          <cell r="AF199" t="str">
            <v>326 - With Partition</v>
          </cell>
          <cell r="AG199" t="str">
            <v xml:space="preserve">Without Partition </v>
          </cell>
          <cell r="AH199" t="str">
            <v xml:space="preserve">Without Partition </v>
          </cell>
          <cell r="AI199" t="str">
            <v>GREEN</v>
          </cell>
          <cell r="AJ199" t="str">
            <v>Flat / GREEN</v>
          </cell>
          <cell r="AK199">
            <v>1050000</v>
          </cell>
          <cell r="AL199">
            <v>15000</v>
          </cell>
          <cell r="AM199">
            <v>1650000</v>
          </cell>
          <cell r="AN199">
            <v>33000</v>
          </cell>
          <cell r="AO199">
            <v>150000</v>
          </cell>
          <cell r="AP199">
            <v>2850000</v>
          </cell>
          <cell r="AQ199"/>
          <cell r="AR199">
            <v>2850000</v>
          </cell>
          <cell r="AS199">
            <v>200000</v>
          </cell>
          <cell r="AT199">
            <v>2650000</v>
          </cell>
          <cell r="AU199">
            <v>100000</v>
          </cell>
          <cell r="AV199">
            <v>2550000</v>
          </cell>
          <cell r="AW199">
            <v>0</v>
          </cell>
          <cell r="AX199">
            <v>2550000</v>
          </cell>
        </row>
        <row r="200">
          <cell r="G200" t="str">
            <v>AGM-01-009-022</v>
          </cell>
          <cell r="H200" t="str">
            <v xml:space="preserve">Raemulan Lands, Inc. </v>
          </cell>
          <cell r="I200" t="str">
            <v>Agapeya</v>
          </cell>
          <cell r="J200" t="str">
            <v>AGM</v>
          </cell>
          <cell r="K200" t="str">
            <v>Eco-High</v>
          </cell>
          <cell r="L200" t="str">
            <v>West</v>
          </cell>
          <cell r="M200" t="str">
            <v>With LTS - 2024</v>
          </cell>
          <cell r="N200" t="str">
            <v>YES</v>
          </cell>
          <cell r="O200" t="str">
            <v>YES</v>
          </cell>
          <cell r="P200" t="str">
            <v>Unaffected lots</v>
          </cell>
          <cell r="Q200" t="str">
            <v>YES</v>
          </cell>
          <cell r="R200">
            <v>70</v>
          </cell>
          <cell r="S200" t="str">
            <v>PCS-04-034298</v>
          </cell>
          <cell r="T200" t="str">
            <v>TCT-060-2024021592</v>
          </cell>
          <cell r="U200" t="b">
            <v>1</v>
          </cell>
          <cell r="V200" t="str">
            <v>Done</v>
          </cell>
          <cell r="W200" t="str">
            <v>2024 Batch</v>
          </cell>
          <cell r="X200" t="str">
            <v>2024 Batch</v>
          </cell>
          <cell r="Y200">
            <v>9</v>
          </cell>
          <cell r="Z200">
            <v>22</v>
          </cell>
          <cell r="AA200" t="str">
            <v>H+L</v>
          </cell>
          <cell r="AB200">
            <v>70</v>
          </cell>
          <cell r="AC200">
            <v>50</v>
          </cell>
          <cell r="AD200" t="str">
            <v>Slant</v>
          </cell>
          <cell r="AE200" t="str">
            <v>Duplex</v>
          </cell>
          <cell r="AF200" t="str">
            <v>326 - With Partition</v>
          </cell>
          <cell r="AG200" t="str">
            <v>With Partition</v>
          </cell>
          <cell r="AH200" t="str">
            <v>With Partition</v>
          </cell>
          <cell r="AI200" t="str">
            <v>GREEN</v>
          </cell>
          <cell r="AJ200" t="str">
            <v>Slant / GREEN</v>
          </cell>
          <cell r="AK200">
            <v>1050000</v>
          </cell>
          <cell r="AL200">
            <v>15000</v>
          </cell>
          <cell r="AM200">
            <v>1650000</v>
          </cell>
          <cell r="AN200">
            <v>33000</v>
          </cell>
          <cell r="AO200">
            <v>150000</v>
          </cell>
          <cell r="AP200">
            <v>2850000</v>
          </cell>
          <cell r="AQ200"/>
          <cell r="AR200">
            <v>2850000</v>
          </cell>
          <cell r="AS200">
            <v>0</v>
          </cell>
          <cell r="AT200">
            <v>2850000</v>
          </cell>
          <cell r="AU200">
            <v>100000</v>
          </cell>
          <cell r="AV200">
            <v>2750000</v>
          </cell>
          <cell r="AW200">
            <v>0</v>
          </cell>
          <cell r="AX200">
            <v>2750000</v>
          </cell>
        </row>
        <row r="201">
          <cell r="G201" t="str">
            <v>AGM-01-009-023</v>
          </cell>
          <cell r="H201" t="str">
            <v xml:space="preserve">Raemulan Lands, Inc. </v>
          </cell>
          <cell r="I201" t="str">
            <v>Agapeya</v>
          </cell>
          <cell r="J201" t="str">
            <v>AGM</v>
          </cell>
          <cell r="K201" t="str">
            <v>Eco-High</v>
          </cell>
          <cell r="L201" t="str">
            <v>West</v>
          </cell>
          <cell r="M201" t="str">
            <v>With LTS - 2024</v>
          </cell>
          <cell r="N201" t="str">
            <v>YES</v>
          </cell>
          <cell r="O201" t="str">
            <v>YES</v>
          </cell>
          <cell r="P201" t="str">
            <v>Unaffected lots</v>
          </cell>
          <cell r="Q201" t="str">
            <v>YES</v>
          </cell>
          <cell r="R201">
            <v>70</v>
          </cell>
          <cell r="S201" t="str">
            <v>PCS-04-034298</v>
          </cell>
          <cell r="T201" t="str">
            <v>TCT-060-2024021593</v>
          </cell>
          <cell r="U201" t="b">
            <v>1</v>
          </cell>
          <cell r="V201" t="str">
            <v>Done</v>
          </cell>
          <cell r="W201" t="str">
            <v>2024 Batch</v>
          </cell>
          <cell r="X201" t="str">
            <v>2024 Batch</v>
          </cell>
          <cell r="Y201">
            <v>9</v>
          </cell>
          <cell r="Z201">
            <v>23</v>
          </cell>
          <cell r="AA201" t="str">
            <v>H+L</v>
          </cell>
          <cell r="AB201">
            <v>70</v>
          </cell>
          <cell r="AC201">
            <v>50</v>
          </cell>
          <cell r="AD201" t="str">
            <v>Slant</v>
          </cell>
          <cell r="AE201" t="str">
            <v>Duplex</v>
          </cell>
          <cell r="AF201" t="str">
            <v>326 - With Partition</v>
          </cell>
          <cell r="AG201" t="str">
            <v>With Partition</v>
          </cell>
          <cell r="AH201" t="str">
            <v>With Partition</v>
          </cell>
          <cell r="AI201" t="str">
            <v>GREEN</v>
          </cell>
          <cell r="AJ201" t="str">
            <v>Slant / GREEN</v>
          </cell>
          <cell r="AK201">
            <v>1050000</v>
          </cell>
          <cell r="AL201">
            <v>15000</v>
          </cell>
          <cell r="AM201">
            <v>1650000</v>
          </cell>
          <cell r="AN201">
            <v>33000</v>
          </cell>
          <cell r="AO201">
            <v>150000</v>
          </cell>
          <cell r="AP201">
            <v>2850000</v>
          </cell>
          <cell r="AQ201"/>
          <cell r="AR201">
            <v>2850000</v>
          </cell>
          <cell r="AS201">
            <v>0</v>
          </cell>
          <cell r="AT201">
            <v>2850000</v>
          </cell>
          <cell r="AU201">
            <v>100000</v>
          </cell>
          <cell r="AV201">
            <v>2750000</v>
          </cell>
          <cell r="AW201">
            <v>0</v>
          </cell>
          <cell r="AX201">
            <v>2750000</v>
          </cell>
        </row>
        <row r="202">
          <cell r="G202" t="str">
            <v>AGM-01-009-024</v>
          </cell>
          <cell r="H202" t="str">
            <v xml:space="preserve">Raemulan Lands, Inc. </v>
          </cell>
          <cell r="I202" t="str">
            <v>Agapeya</v>
          </cell>
          <cell r="J202" t="str">
            <v>AGM</v>
          </cell>
          <cell r="K202" t="str">
            <v>Eco-High</v>
          </cell>
          <cell r="L202" t="str">
            <v>West</v>
          </cell>
          <cell r="M202" t="str">
            <v>With LTS - 2024</v>
          </cell>
          <cell r="N202" t="str">
            <v>YES</v>
          </cell>
          <cell r="O202" t="str">
            <v>YES</v>
          </cell>
          <cell r="P202" t="str">
            <v>Unaffected lots</v>
          </cell>
          <cell r="Q202" t="str">
            <v>YES</v>
          </cell>
          <cell r="R202">
            <v>70</v>
          </cell>
          <cell r="S202" t="str">
            <v>PCS-04-034298</v>
          </cell>
          <cell r="T202" t="str">
            <v>TCT-060-2024021594</v>
          </cell>
          <cell r="U202" t="b">
            <v>1</v>
          </cell>
          <cell r="V202" t="str">
            <v>Done</v>
          </cell>
          <cell r="W202" t="str">
            <v>2024 Batch</v>
          </cell>
          <cell r="X202" t="str">
            <v>2024 Batch</v>
          </cell>
          <cell r="Y202">
            <v>9</v>
          </cell>
          <cell r="Z202">
            <v>24</v>
          </cell>
          <cell r="AA202" t="str">
            <v>H+L</v>
          </cell>
          <cell r="AB202">
            <v>70</v>
          </cell>
          <cell r="AC202">
            <v>50</v>
          </cell>
          <cell r="AD202" t="str">
            <v>Flat</v>
          </cell>
          <cell r="AE202" t="str">
            <v>Duplex</v>
          </cell>
          <cell r="AF202" t="str">
            <v>326 - With Partition</v>
          </cell>
          <cell r="AG202" t="str">
            <v xml:space="preserve">Without Partition </v>
          </cell>
          <cell r="AH202" t="str">
            <v xml:space="preserve">Without Partition </v>
          </cell>
          <cell r="AI202" t="str">
            <v>GREEN</v>
          </cell>
          <cell r="AJ202" t="str">
            <v>Flat / GREEN</v>
          </cell>
          <cell r="AK202">
            <v>1050000</v>
          </cell>
          <cell r="AL202">
            <v>15000</v>
          </cell>
          <cell r="AM202">
            <v>1650000</v>
          </cell>
          <cell r="AN202">
            <v>33000</v>
          </cell>
          <cell r="AO202">
            <v>150000</v>
          </cell>
          <cell r="AP202">
            <v>2850000</v>
          </cell>
          <cell r="AQ202"/>
          <cell r="AR202">
            <v>2850000</v>
          </cell>
          <cell r="AS202">
            <v>200000</v>
          </cell>
          <cell r="AT202">
            <v>2650000</v>
          </cell>
          <cell r="AU202">
            <v>100000</v>
          </cell>
          <cell r="AV202">
            <v>2550000</v>
          </cell>
          <cell r="AW202">
            <v>0</v>
          </cell>
          <cell r="AX202">
            <v>2550000</v>
          </cell>
        </row>
        <row r="203">
          <cell r="G203" t="str">
            <v>AGM-01-009-025</v>
          </cell>
          <cell r="H203" t="str">
            <v xml:space="preserve">Raemulan Lands, Inc. </v>
          </cell>
          <cell r="I203" t="str">
            <v>Agapeya</v>
          </cell>
          <cell r="J203" t="str">
            <v>AGM</v>
          </cell>
          <cell r="K203" t="str">
            <v>Eco-High</v>
          </cell>
          <cell r="L203" t="str">
            <v>West</v>
          </cell>
          <cell r="M203" t="str">
            <v>With LTS - 2024</v>
          </cell>
          <cell r="N203" t="str">
            <v>YES</v>
          </cell>
          <cell r="O203" t="str">
            <v>YES</v>
          </cell>
          <cell r="P203" t="str">
            <v>Unaffected lots</v>
          </cell>
          <cell r="Q203" t="str">
            <v>YES</v>
          </cell>
          <cell r="R203">
            <v>70</v>
          </cell>
          <cell r="S203" t="str">
            <v>PCS-04-034298</v>
          </cell>
          <cell r="T203" t="str">
            <v>TCT-060-2024021595</v>
          </cell>
          <cell r="U203" t="b">
            <v>1</v>
          </cell>
          <cell r="V203" t="str">
            <v>Done</v>
          </cell>
          <cell r="W203" t="str">
            <v>2024 Batch</v>
          </cell>
          <cell r="X203" t="str">
            <v>2024 Batch</v>
          </cell>
          <cell r="Y203">
            <v>9</v>
          </cell>
          <cell r="Z203">
            <v>25</v>
          </cell>
          <cell r="AA203" t="str">
            <v>H+L</v>
          </cell>
          <cell r="AB203">
            <v>70</v>
          </cell>
          <cell r="AC203">
            <v>50</v>
          </cell>
          <cell r="AD203" t="str">
            <v>Flat</v>
          </cell>
          <cell r="AE203" t="str">
            <v>Duplex</v>
          </cell>
          <cell r="AF203" t="str">
            <v>326 - With Partition</v>
          </cell>
          <cell r="AG203" t="str">
            <v xml:space="preserve">Without Partition </v>
          </cell>
          <cell r="AH203" t="str">
            <v xml:space="preserve">Without Partition </v>
          </cell>
          <cell r="AI203" t="str">
            <v>PURPLE</v>
          </cell>
          <cell r="AJ203" t="str">
            <v>Flat / PURPLE</v>
          </cell>
          <cell r="AK203">
            <v>1050000</v>
          </cell>
          <cell r="AL203">
            <v>15000</v>
          </cell>
          <cell r="AM203">
            <v>1650000</v>
          </cell>
          <cell r="AN203">
            <v>33000</v>
          </cell>
          <cell r="AO203">
            <v>150000</v>
          </cell>
          <cell r="AP203">
            <v>2850000</v>
          </cell>
          <cell r="AQ203"/>
          <cell r="AR203">
            <v>2850000</v>
          </cell>
          <cell r="AS203">
            <v>200000</v>
          </cell>
          <cell r="AT203">
            <v>2650000</v>
          </cell>
          <cell r="AU203">
            <v>100000</v>
          </cell>
          <cell r="AV203">
            <v>2550000</v>
          </cell>
          <cell r="AW203">
            <v>0</v>
          </cell>
          <cell r="AX203">
            <v>2550000</v>
          </cell>
        </row>
        <row r="204">
          <cell r="G204" t="str">
            <v>AGM-01-009-026</v>
          </cell>
          <cell r="H204" t="str">
            <v xml:space="preserve">Raemulan Lands, Inc. </v>
          </cell>
          <cell r="I204" t="str">
            <v>Agapeya</v>
          </cell>
          <cell r="J204" t="str">
            <v>AGM</v>
          </cell>
          <cell r="K204" t="str">
            <v>Eco-High</v>
          </cell>
          <cell r="L204" t="str">
            <v>West</v>
          </cell>
          <cell r="M204" t="str">
            <v>With LTS - 2024</v>
          </cell>
          <cell r="N204" t="str">
            <v>YES</v>
          </cell>
          <cell r="O204" t="str">
            <v>YES</v>
          </cell>
          <cell r="P204" t="str">
            <v>Unaffected lots</v>
          </cell>
          <cell r="Q204" t="str">
            <v>YES</v>
          </cell>
          <cell r="R204">
            <v>80</v>
          </cell>
          <cell r="S204" t="str">
            <v>PCS-04-034298</v>
          </cell>
          <cell r="T204" t="str">
            <v>TCT-060-2024021596</v>
          </cell>
          <cell r="U204" t="b">
            <v>1</v>
          </cell>
          <cell r="V204" t="str">
            <v>Done</v>
          </cell>
          <cell r="W204" t="str">
            <v>2024 Batch</v>
          </cell>
          <cell r="X204" t="str">
            <v>2024 Batch</v>
          </cell>
          <cell r="Y204">
            <v>9</v>
          </cell>
          <cell r="Z204">
            <v>26</v>
          </cell>
          <cell r="AA204" t="str">
            <v>H+L</v>
          </cell>
          <cell r="AB204">
            <v>80</v>
          </cell>
          <cell r="AC204">
            <v>50</v>
          </cell>
          <cell r="AD204" t="str">
            <v>Slant</v>
          </cell>
          <cell r="AE204" t="str">
            <v>Duplex</v>
          </cell>
          <cell r="AF204" t="str">
            <v>326 - With Partition</v>
          </cell>
          <cell r="AG204" t="str">
            <v xml:space="preserve">Without Partition </v>
          </cell>
          <cell r="AH204" t="str">
            <v>With Partition</v>
          </cell>
          <cell r="AI204" t="str">
            <v>PURPLE</v>
          </cell>
          <cell r="AJ204" t="str">
            <v>Slant / PURPLE</v>
          </cell>
          <cell r="AK204">
            <v>1200000</v>
          </cell>
          <cell r="AL204">
            <v>15000</v>
          </cell>
          <cell r="AM204">
            <v>1650000</v>
          </cell>
          <cell r="AN204">
            <v>33000</v>
          </cell>
          <cell r="AO204">
            <v>150000</v>
          </cell>
          <cell r="AP204">
            <v>3000000</v>
          </cell>
          <cell r="AQ204"/>
          <cell r="AR204">
            <v>3000000</v>
          </cell>
          <cell r="AS204">
            <v>0</v>
          </cell>
          <cell r="AT204">
            <v>3000000</v>
          </cell>
          <cell r="AU204">
            <v>100000</v>
          </cell>
          <cell r="AV204">
            <v>2900000</v>
          </cell>
          <cell r="AW204">
            <v>0</v>
          </cell>
          <cell r="AX204">
            <v>2900000</v>
          </cell>
        </row>
        <row r="205">
          <cell r="G205" t="str">
            <v>AGM-01-009-027</v>
          </cell>
          <cell r="H205" t="str">
            <v xml:space="preserve">Raemulan Lands, Inc. </v>
          </cell>
          <cell r="I205" t="str">
            <v>Agapeya</v>
          </cell>
          <cell r="J205" t="str">
            <v>AGM</v>
          </cell>
          <cell r="K205" t="str">
            <v>Eco-High</v>
          </cell>
          <cell r="L205" t="str">
            <v>West</v>
          </cell>
          <cell r="M205" t="str">
            <v>With LTS - 2024</v>
          </cell>
          <cell r="N205" t="str">
            <v>YES</v>
          </cell>
          <cell r="O205" t="str">
            <v>YES</v>
          </cell>
          <cell r="P205" t="str">
            <v>Unaffected lots</v>
          </cell>
          <cell r="Q205" t="str">
            <v>YES</v>
          </cell>
          <cell r="R205">
            <v>80</v>
          </cell>
          <cell r="S205" t="str">
            <v>PCS-04-034298</v>
          </cell>
          <cell r="T205" t="str">
            <v>TCT-060-2024021597</v>
          </cell>
          <cell r="U205" t="b">
            <v>1</v>
          </cell>
          <cell r="V205" t="str">
            <v>Done</v>
          </cell>
          <cell r="W205" t="str">
            <v>2024 Batch</v>
          </cell>
          <cell r="X205" t="str">
            <v>2024 Batch</v>
          </cell>
          <cell r="Y205">
            <v>9</v>
          </cell>
          <cell r="Z205">
            <v>27</v>
          </cell>
          <cell r="AA205" t="str">
            <v>H+L</v>
          </cell>
          <cell r="AB205">
            <v>80</v>
          </cell>
          <cell r="AC205">
            <v>50</v>
          </cell>
          <cell r="AD205" t="str">
            <v>Slant</v>
          </cell>
          <cell r="AE205" t="str">
            <v>Duplex</v>
          </cell>
          <cell r="AF205" t="str">
            <v>326 - With Partition</v>
          </cell>
          <cell r="AG205" t="str">
            <v xml:space="preserve">Without Partition </v>
          </cell>
          <cell r="AH205" t="str">
            <v>With Partition</v>
          </cell>
          <cell r="AI205" t="str">
            <v>PURPLE</v>
          </cell>
          <cell r="AJ205" t="str">
            <v>Slant / PURPLE</v>
          </cell>
          <cell r="AK205">
            <v>1200000</v>
          </cell>
          <cell r="AL205">
            <v>15000</v>
          </cell>
          <cell r="AM205">
            <v>1650000</v>
          </cell>
          <cell r="AN205">
            <v>33000</v>
          </cell>
          <cell r="AO205">
            <v>150000</v>
          </cell>
          <cell r="AP205">
            <v>3000000</v>
          </cell>
          <cell r="AQ205"/>
          <cell r="AR205">
            <v>3000000</v>
          </cell>
          <cell r="AS205">
            <v>0</v>
          </cell>
          <cell r="AT205">
            <v>3000000</v>
          </cell>
          <cell r="AU205">
            <v>100000</v>
          </cell>
          <cell r="AV205">
            <v>2900000</v>
          </cell>
          <cell r="AW205">
            <v>0</v>
          </cell>
          <cell r="AX205">
            <v>2900000</v>
          </cell>
        </row>
        <row r="206">
          <cell r="G206" t="str">
            <v>AGM-01-009-028</v>
          </cell>
          <cell r="H206" t="str">
            <v xml:space="preserve">Raemulan Lands, Inc. </v>
          </cell>
          <cell r="I206" t="str">
            <v>Agapeya</v>
          </cell>
          <cell r="J206" t="str">
            <v>AGM</v>
          </cell>
          <cell r="K206" t="str">
            <v>Eco-High</v>
          </cell>
          <cell r="L206" t="str">
            <v>West</v>
          </cell>
          <cell r="M206" t="str">
            <v>With LTS - 2024</v>
          </cell>
          <cell r="N206" t="str">
            <v>YES</v>
          </cell>
          <cell r="O206" t="str">
            <v>YES</v>
          </cell>
          <cell r="P206" t="str">
            <v>Unaffected lots</v>
          </cell>
          <cell r="Q206" t="str">
            <v>YES</v>
          </cell>
          <cell r="R206">
            <v>100</v>
          </cell>
          <cell r="S206" t="str">
            <v>PCS-04-034298</v>
          </cell>
          <cell r="T206" t="str">
            <v>TCT-060-2024021598</v>
          </cell>
          <cell r="U206" t="b">
            <v>1</v>
          </cell>
          <cell r="V206" t="str">
            <v>Done</v>
          </cell>
          <cell r="W206" t="str">
            <v>2024 Batch</v>
          </cell>
          <cell r="X206" t="str">
            <v>2024 Batch</v>
          </cell>
          <cell r="Y206">
            <v>9</v>
          </cell>
          <cell r="Z206">
            <v>28</v>
          </cell>
          <cell r="AA206" t="str">
            <v>H+L</v>
          </cell>
          <cell r="AB206">
            <v>100</v>
          </cell>
          <cell r="AC206">
            <v>50</v>
          </cell>
          <cell r="AD206" t="str">
            <v>Flat</v>
          </cell>
          <cell r="AE206" t="str">
            <v>Duplex</v>
          </cell>
          <cell r="AF206" t="str">
            <v>326 - With Partition</v>
          </cell>
          <cell r="AG206" t="str">
            <v>With Partition</v>
          </cell>
          <cell r="AH206" t="str">
            <v>With Partition</v>
          </cell>
          <cell r="AI206" t="str">
            <v>PURPLE</v>
          </cell>
          <cell r="AJ206" t="str">
            <v>Flat / PURPLE</v>
          </cell>
          <cell r="AK206">
            <v>1500000</v>
          </cell>
          <cell r="AL206">
            <v>15000</v>
          </cell>
          <cell r="AM206">
            <v>1650000</v>
          </cell>
          <cell r="AN206">
            <v>33000</v>
          </cell>
          <cell r="AO206">
            <v>150000</v>
          </cell>
          <cell r="AP206">
            <v>3300000</v>
          </cell>
          <cell r="AQ206"/>
          <cell r="AR206">
            <v>3300000</v>
          </cell>
          <cell r="AS206">
            <v>0</v>
          </cell>
          <cell r="AT206">
            <v>3300000</v>
          </cell>
          <cell r="AU206">
            <v>100000</v>
          </cell>
          <cell r="AV206">
            <v>3200000</v>
          </cell>
          <cell r="AW206">
            <v>0</v>
          </cell>
          <cell r="AX206">
            <v>3200000</v>
          </cell>
        </row>
        <row r="207">
          <cell r="G207" t="str">
            <v>AGM-01-009-029</v>
          </cell>
          <cell r="H207" t="str">
            <v xml:space="preserve">Raemulan Lands, Inc. </v>
          </cell>
          <cell r="I207" t="str">
            <v>Agapeya</v>
          </cell>
          <cell r="J207" t="str">
            <v>AGM</v>
          </cell>
          <cell r="K207" t="str">
            <v>Eco-High</v>
          </cell>
          <cell r="L207" t="str">
            <v>West</v>
          </cell>
          <cell r="M207" t="str">
            <v>With LTS - 2024</v>
          </cell>
          <cell r="N207" t="str">
            <v>YES</v>
          </cell>
          <cell r="O207" t="str">
            <v>NO</v>
          </cell>
          <cell r="P207" t="str">
            <v>Unaffected lots</v>
          </cell>
          <cell r="Q207" t="str">
            <v>YES</v>
          </cell>
          <cell r="R207">
            <v>126</v>
          </cell>
          <cell r="S207" t="str">
            <v>PCS-04-034298</v>
          </cell>
          <cell r="T207" t="str">
            <v>TCT-060-2024021599</v>
          </cell>
          <cell r="U207" t="b">
            <v>1</v>
          </cell>
          <cell r="V207" t="str">
            <v>Done</v>
          </cell>
          <cell r="W207" t="str">
            <v>B1 - Lot Only</v>
          </cell>
          <cell r="X207" t="str">
            <v>Lot Only - N/A</v>
          </cell>
          <cell r="Y207">
            <v>9</v>
          </cell>
          <cell r="Z207">
            <v>29</v>
          </cell>
          <cell r="AA207" t="str">
            <v>LO</v>
          </cell>
          <cell r="AB207">
            <v>126</v>
          </cell>
          <cell r="AC207" t="str">
            <v>N/A</v>
          </cell>
          <cell r="AD207" t="str">
            <v>-</v>
          </cell>
          <cell r="AE207" t="str">
            <v>Lot Only</v>
          </cell>
          <cell r="AF207" t="str">
            <v>N/A</v>
          </cell>
          <cell r="AG207" t="str">
            <v>N/A - LOT ONLY</v>
          </cell>
          <cell r="AH207" t="str">
            <v>N/A - LOT ONLY</v>
          </cell>
          <cell r="AI207" t="str">
            <v>N/A - LOT ONLY</v>
          </cell>
          <cell r="AJ207" t="str">
            <v>- / N/A - LOT ONLY</v>
          </cell>
          <cell r="AK207">
            <v>1890000</v>
          </cell>
          <cell r="AL207">
            <v>15000</v>
          </cell>
          <cell r="AM207">
            <v>0</v>
          </cell>
          <cell r="AN207">
            <v>0</v>
          </cell>
          <cell r="AO207">
            <v>150000</v>
          </cell>
          <cell r="AP207">
            <v>2040000</v>
          </cell>
          <cell r="AQ207"/>
          <cell r="AR207">
            <v>2040000</v>
          </cell>
          <cell r="AS207">
            <v>0</v>
          </cell>
          <cell r="AT207">
            <v>2040000</v>
          </cell>
          <cell r="AU207">
            <v>100000</v>
          </cell>
          <cell r="AV207">
            <v>1940000</v>
          </cell>
          <cell r="AW207">
            <v>0</v>
          </cell>
          <cell r="AX207">
            <v>1940000</v>
          </cell>
        </row>
        <row r="208">
          <cell r="G208" t="str">
            <v>AGM-01-009-030</v>
          </cell>
          <cell r="H208" t="str">
            <v xml:space="preserve">Raemulan Lands, Inc. </v>
          </cell>
          <cell r="I208" t="str">
            <v>Agapeya</v>
          </cell>
          <cell r="J208" t="str">
            <v>AGM</v>
          </cell>
          <cell r="K208" t="str">
            <v>Eco-High</v>
          </cell>
          <cell r="L208" t="str">
            <v>West</v>
          </cell>
          <cell r="M208" t="str">
            <v>With LTS - 2024</v>
          </cell>
          <cell r="N208" t="str">
            <v>YES</v>
          </cell>
          <cell r="O208" t="str">
            <v>YES</v>
          </cell>
          <cell r="P208" t="str">
            <v>Unaffected lots</v>
          </cell>
          <cell r="Q208" t="str">
            <v>YES</v>
          </cell>
          <cell r="R208">
            <v>80</v>
          </cell>
          <cell r="S208" t="str">
            <v>PCS-04-034298</v>
          </cell>
          <cell r="T208" t="str">
            <v>TCT-060-2024021600</v>
          </cell>
          <cell r="U208" t="b">
            <v>1</v>
          </cell>
          <cell r="V208" t="str">
            <v>Done</v>
          </cell>
          <cell r="W208" t="str">
            <v>2024 Batch</v>
          </cell>
          <cell r="X208" t="str">
            <v>2024 Batch</v>
          </cell>
          <cell r="Y208">
            <v>9</v>
          </cell>
          <cell r="Z208">
            <v>30</v>
          </cell>
          <cell r="AA208" t="str">
            <v>H+L</v>
          </cell>
          <cell r="AB208">
            <v>80</v>
          </cell>
          <cell r="AC208">
            <v>50</v>
          </cell>
          <cell r="AD208" t="str">
            <v>Flat</v>
          </cell>
          <cell r="AE208" t="str">
            <v>Duplex</v>
          </cell>
          <cell r="AF208" t="str">
            <v>326 - With Partition</v>
          </cell>
          <cell r="AG208" t="str">
            <v>With Partition</v>
          </cell>
          <cell r="AH208" t="str">
            <v>With Partition</v>
          </cell>
          <cell r="AI208" t="str">
            <v>GREEN</v>
          </cell>
          <cell r="AJ208" t="str">
            <v>Flat / GREEN</v>
          </cell>
          <cell r="AK208">
            <v>1200000</v>
          </cell>
          <cell r="AL208">
            <v>15000</v>
          </cell>
          <cell r="AM208">
            <v>1650000</v>
          </cell>
          <cell r="AN208">
            <v>33000</v>
          </cell>
          <cell r="AO208">
            <v>150000</v>
          </cell>
          <cell r="AP208">
            <v>3000000</v>
          </cell>
          <cell r="AQ208"/>
          <cell r="AR208">
            <v>3000000</v>
          </cell>
          <cell r="AS208">
            <v>0</v>
          </cell>
          <cell r="AT208">
            <v>3000000</v>
          </cell>
          <cell r="AU208">
            <v>100000</v>
          </cell>
          <cell r="AV208">
            <v>2900000</v>
          </cell>
          <cell r="AW208">
            <v>0</v>
          </cell>
          <cell r="AX208">
            <v>2900000</v>
          </cell>
        </row>
        <row r="209">
          <cell r="G209" t="str">
            <v>AGM-01-009-031</v>
          </cell>
          <cell r="H209" t="str">
            <v xml:space="preserve">Raemulan Lands, Inc. </v>
          </cell>
          <cell r="I209" t="str">
            <v>Agapeya</v>
          </cell>
          <cell r="J209" t="str">
            <v>AGM</v>
          </cell>
          <cell r="K209" t="str">
            <v>Eco-High</v>
          </cell>
          <cell r="L209" t="str">
            <v>West</v>
          </cell>
          <cell r="M209" t="str">
            <v>With LTS - 2024</v>
          </cell>
          <cell r="N209" t="str">
            <v>YES</v>
          </cell>
          <cell r="O209" t="str">
            <v>YES</v>
          </cell>
          <cell r="P209" t="str">
            <v>Unaffected lots</v>
          </cell>
          <cell r="Q209" t="str">
            <v>YES</v>
          </cell>
          <cell r="R209">
            <v>80</v>
          </cell>
          <cell r="S209" t="str">
            <v>PCS-04-034298</v>
          </cell>
          <cell r="T209" t="str">
            <v>TCT-060-2024021601</v>
          </cell>
          <cell r="U209" t="b">
            <v>1</v>
          </cell>
          <cell r="V209" t="str">
            <v>Done</v>
          </cell>
          <cell r="W209" t="str">
            <v>2024 Batch</v>
          </cell>
          <cell r="X209" t="str">
            <v>2024 Batch</v>
          </cell>
          <cell r="Y209">
            <v>9</v>
          </cell>
          <cell r="Z209">
            <v>31</v>
          </cell>
          <cell r="AA209" t="str">
            <v>H+L</v>
          </cell>
          <cell r="AB209">
            <v>80</v>
          </cell>
          <cell r="AC209">
            <v>50</v>
          </cell>
          <cell r="AD209" t="str">
            <v>Slant</v>
          </cell>
          <cell r="AE209" t="str">
            <v>Duplex</v>
          </cell>
          <cell r="AF209" t="str">
            <v>326 - With Partition</v>
          </cell>
          <cell r="AG209" t="str">
            <v>With Partition</v>
          </cell>
          <cell r="AH209" t="str">
            <v>With Partition</v>
          </cell>
          <cell r="AI209" t="str">
            <v>GREEN</v>
          </cell>
          <cell r="AJ209" t="str">
            <v>Slant / GREEN</v>
          </cell>
          <cell r="AK209">
            <v>1200000</v>
          </cell>
          <cell r="AL209">
            <v>15000</v>
          </cell>
          <cell r="AM209">
            <v>1650000</v>
          </cell>
          <cell r="AN209">
            <v>33000</v>
          </cell>
          <cell r="AO209">
            <v>150000</v>
          </cell>
          <cell r="AP209">
            <v>3000000</v>
          </cell>
          <cell r="AQ209"/>
          <cell r="AR209">
            <v>3000000</v>
          </cell>
          <cell r="AS209"/>
          <cell r="AT209">
            <v>3000000</v>
          </cell>
          <cell r="AU209">
            <v>100000</v>
          </cell>
          <cell r="AV209">
            <v>2900000</v>
          </cell>
          <cell r="AW209">
            <v>0</v>
          </cell>
          <cell r="AX209">
            <v>2900000</v>
          </cell>
        </row>
        <row r="210">
          <cell r="G210" t="str">
            <v>AGM-01-009-032</v>
          </cell>
          <cell r="H210" t="str">
            <v xml:space="preserve">Raemulan Lands, Inc. </v>
          </cell>
          <cell r="I210" t="str">
            <v>Agapeya</v>
          </cell>
          <cell r="J210" t="str">
            <v>AGM</v>
          </cell>
          <cell r="K210" t="str">
            <v>Eco-High</v>
          </cell>
          <cell r="L210" t="str">
            <v>West</v>
          </cell>
          <cell r="M210" t="str">
            <v>With LTS - 2024</v>
          </cell>
          <cell r="N210" t="str">
            <v>YES</v>
          </cell>
          <cell r="O210" t="str">
            <v>YES</v>
          </cell>
          <cell r="P210" t="str">
            <v>Unaffected lots</v>
          </cell>
          <cell r="Q210" t="str">
            <v>YES</v>
          </cell>
          <cell r="R210">
            <v>70</v>
          </cell>
          <cell r="S210" t="str">
            <v>PCS-04-034298</v>
          </cell>
          <cell r="T210" t="str">
            <v>TCT-060-2024021602</v>
          </cell>
          <cell r="U210" t="b">
            <v>1</v>
          </cell>
          <cell r="V210" t="str">
            <v>Done</v>
          </cell>
          <cell r="W210" t="str">
            <v>2024 Batch</v>
          </cell>
          <cell r="X210" t="str">
            <v>2024 Batch</v>
          </cell>
          <cell r="Y210">
            <v>9</v>
          </cell>
          <cell r="Z210">
            <v>32</v>
          </cell>
          <cell r="AA210" t="str">
            <v>H+L</v>
          </cell>
          <cell r="AB210">
            <v>70</v>
          </cell>
          <cell r="AC210">
            <v>50</v>
          </cell>
          <cell r="AD210" t="str">
            <v>Slant</v>
          </cell>
          <cell r="AE210" t="str">
            <v>Duplex</v>
          </cell>
          <cell r="AF210" t="str">
            <v>326 - With Partition</v>
          </cell>
          <cell r="AG210" t="str">
            <v>With Partition</v>
          </cell>
          <cell r="AH210" t="str">
            <v>With Partition</v>
          </cell>
          <cell r="AI210" t="str">
            <v>YELLOW</v>
          </cell>
          <cell r="AJ210" t="str">
            <v>Slant / YELLOW</v>
          </cell>
          <cell r="AK210">
            <v>1050000</v>
          </cell>
          <cell r="AL210">
            <v>15000</v>
          </cell>
          <cell r="AM210">
            <v>1650000</v>
          </cell>
          <cell r="AN210">
            <v>33000</v>
          </cell>
          <cell r="AO210">
            <v>150000</v>
          </cell>
          <cell r="AP210">
            <v>2850000</v>
          </cell>
          <cell r="AQ210"/>
          <cell r="AR210">
            <v>2850000</v>
          </cell>
          <cell r="AS210">
            <v>0</v>
          </cell>
          <cell r="AT210">
            <v>2850000</v>
          </cell>
          <cell r="AU210">
            <v>100000</v>
          </cell>
          <cell r="AV210">
            <v>2750000</v>
          </cell>
          <cell r="AW210">
            <v>0</v>
          </cell>
          <cell r="AX210">
            <v>2750000</v>
          </cell>
        </row>
        <row r="211">
          <cell r="G211" t="str">
            <v>AGM-01-009-033</v>
          </cell>
          <cell r="H211" t="str">
            <v xml:space="preserve">Raemulan Lands, Inc. </v>
          </cell>
          <cell r="I211" t="str">
            <v>Agapeya</v>
          </cell>
          <cell r="J211" t="str">
            <v>AGM</v>
          </cell>
          <cell r="K211" t="str">
            <v>Eco-High</v>
          </cell>
          <cell r="L211" t="str">
            <v>West</v>
          </cell>
          <cell r="M211" t="str">
            <v>With LTS - 2024</v>
          </cell>
          <cell r="N211" t="str">
            <v>YES</v>
          </cell>
          <cell r="O211" t="str">
            <v>YES</v>
          </cell>
          <cell r="P211" t="str">
            <v>Unaffected lots</v>
          </cell>
          <cell r="Q211" t="str">
            <v>YES</v>
          </cell>
          <cell r="R211">
            <v>70</v>
          </cell>
          <cell r="S211" t="str">
            <v>PCS-04-034298</v>
          </cell>
          <cell r="T211" t="str">
            <v>TCT-060-2024021603</v>
          </cell>
          <cell r="U211" t="b">
            <v>1</v>
          </cell>
          <cell r="V211" t="str">
            <v>Done</v>
          </cell>
          <cell r="W211" t="str">
            <v>2024 Batch</v>
          </cell>
          <cell r="X211" t="str">
            <v>2024 Batch</v>
          </cell>
          <cell r="Y211">
            <v>9</v>
          </cell>
          <cell r="Z211">
            <v>33</v>
          </cell>
          <cell r="AA211" t="str">
            <v>H+L</v>
          </cell>
          <cell r="AB211">
            <v>70</v>
          </cell>
          <cell r="AC211">
            <v>50</v>
          </cell>
          <cell r="AD211" t="str">
            <v>Flat</v>
          </cell>
          <cell r="AE211" t="str">
            <v>Duplex</v>
          </cell>
          <cell r="AF211" t="str">
            <v>326 - With Partition</v>
          </cell>
          <cell r="AG211" t="str">
            <v>With Partition</v>
          </cell>
          <cell r="AH211" t="str">
            <v>With Partition</v>
          </cell>
          <cell r="AI211" t="str">
            <v>YELLOW</v>
          </cell>
          <cell r="AJ211" t="str">
            <v>Flat / YELLOW</v>
          </cell>
          <cell r="AK211">
            <v>1050000</v>
          </cell>
          <cell r="AL211">
            <v>15000</v>
          </cell>
          <cell r="AM211">
            <v>1650000</v>
          </cell>
          <cell r="AN211">
            <v>33000</v>
          </cell>
          <cell r="AO211">
            <v>150000</v>
          </cell>
          <cell r="AP211">
            <v>2850000</v>
          </cell>
          <cell r="AQ211"/>
          <cell r="AR211">
            <v>2850000</v>
          </cell>
          <cell r="AS211">
            <v>0</v>
          </cell>
          <cell r="AT211">
            <v>2850000</v>
          </cell>
          <cell r="AU211">
            <v>100000</v>
          </cell>
          <cell r="AV211">
            <v>2750000</v>
          </cell>
          <cell r="AW211">
            <v>0</v>
          </cell>
          <cell r="AX211">
            <v>2750000</v>
          </cell>
        </row>
        <row r="212">
          <cell r="G212" t="str">
            <v>AGM-01-009-034</v>
          </cell>
          <cell r="H212" t="str">
            <v xml:space="preserve">Raemulan Lands, Inc. </v>
          </cell>
          <cell r="I212" t="str">
            <v>Agapeya</v>
          </cell>
          <cell r="J212" t="str">
            <v>AGM</v>
          </cell>
          <cell r="K212" t="str">
            <v>Eco-High</v>
          </cell>
          <cell r="L212" t="str">
            <v>West</v>
          </cell>
          <cell r="M212" t="str">
            <v>With LTS - 2024</v>
          </cell>
          <cell r="N212" t="str">
            <v>YES</v>
          </cell>
          <cell r="O212" t="str">
            <v>YES</v>
          </cell>
          <cell r="P212" t="str">
            <v>Unaffected lots</v>
          </cell>
          <cell r="Q212" t="str">
            <v>YES</v>
          </cell>
          <cell r="R212">
            <v>70</v>
          </cell>
          <cell r="S212" t="str">
            <v>PCS-04-034298</v>
          </cell>
          <cell r="T212" t="str">
            <v>TCT-060-2024021604</v>
          </cell>
          <cell r="U212" t="b">
            <v>1</v>
          </cell>
          <cell r="V212" t="str">
            <v>Done</v>
          </cell>
          <cell r="W212" t="str">
            <v>2024 Batch</v>
          </cell>
          <cell r="X212" t="str">
            <v>2024 Batch</v>
          </cell>
          <cell r="Y212">
            <v>9</v>
          </cell>
          <cell r="Z212">
            <v>34</v>
          </cell>
          <cell r="AA212" t="str">
            <v>H+L</v>
          </cell>
          <cell r="AB212">
            <v>70</v>
          </cell>
          <cell r="AC212">
            <v>50</v>
          </cell>
          <cell r="AD212" t="str">
            <v>Flat</v>
          </cell>
          <cell r="AE212" t="str">
            <v>Duplex</v>
          </cell>
          <cell r="AF212" t="str">
            <v>326 - With Partition</v>
          </cell>
          <cell r="AG212" t="str">
            <v>With Partition</v>
          </cell>
          <cell r="AH212" t="str">
            <v>With Partition</v>
          </cell>
          <cell r="AI212" t="str">
            <v>YELLOW</v>
          </cell>
          <cell r="AJ212" t="str">
            <v>Flat / YELLOW</v>
          </cell>
          <cell r="AK212">
            <v>1050000</v>
          </cell>
          <cell r="AL212">
            <v>15000</v>
          </cell>
          <cell r="AM212">
            <v>1650000</v>
          </cell>
          <cell r="AN212">
            <v>33000</v>
          </cell>
          <cell r="AO212">
            <v>150000</v>
          </cell>
          <cell r="AP212">
            <v>2850000</v>
          </cell>
          <cell r="AQ212"/>
          <cell r="AR212">
            <v>2850000</v>
          </cell>
          <cell r="AS212"/>
          <cell r="AT212">
            <v>2850000</v>
          </cell>
          <cell r="AU212">
            <v>100000</v>
          </cell>
          <cell r="AV212">
            <v>2750000</v>
          </cell>
          <cell r="AW212">
            <v>0</v>
          </cell>
          <cell r="AX212">
            <v>2750000</v>
          </cell>
        </row>
        <row r="213">
          <cell r="G213" t="str">
            <v>AGM-01-009-035</v>
          </cell>
          <cell r="H213" t="str">
            <v xml:space="preserve">Raemulan Lands, Inc. </v>
          </cell>
          <cell r="I213" t="str">
            <v>Agapeya</v>
          </cell>
          <cell r="J213" t="str">
            <v>AGM</v>
          </cell>
          <cell r="K213" t="str">
            <v>Eco-High</v>
          </cell>
          <cell r="L213" t="str">
            <v>West</v>
          </cell>
          <cell r="M213" t="str">
            <v>With LTS - 2024</v>
          </cell>
          <cell r="N213" t="str">
            <v>YES</v>
          </cell>
          <cell r="O213" t="str">
            <v>YES</v>
          </cell>
          <cell r="P213" t="str">
            <v>Unaffected lots</v>
          </cell>
          <cell r="Q213" t="str">
            <v>YES</v>
          </cell>
          <cell r="R213">
            <v>70</v>
          </cell>
          <cell r="S213" t="str">
            <v>PCS-04-034298</v>
          </cell>
          <cell r="T213" t="str">
            <v>TCT-060-2024021605</v>
          </cell>
          <cell r="U213" t="b">
            <v>1</v>
          </cell>
          <cell r="V213" t="str">
            <v>Done</v>
          </cell>
          <cell r="W213" t="str">
            <v>2024 Batch</v>
          </cell>
          <cell r="X213" t="str">
            <v>2024 Batch</v>
          </cell>
          <cell r="Y213">
            <v>9</v>
          </cell>
          <cell r="Z213">
            <v>35</v>
          </cell>
          <cell r="AA213" t="str">
            <v>H+L</v>
          </cell>
          <cell r="AB213">
            <v>70</v>
          </cell>
          <cell r="AC213">
            <v>50</v>
          </cell>
          <cell r="AD213" t="str">
            <v>Slant</v>
          </cell>
          <cell r="AE213" t="str">
            <v>Duplex</v>
          </cell>
          <cell r="AF213" t="str">
            <v>326 - With Partition</v>
          </cell>
          <cell r="AG213" t="str">
            <v>With Partition</v>
          </cell>
          <cell r="AH213" t="str">
            <v>With Partition</v>
          </cell>
          <cell r="AI213" t="str">
            <v>YELLOW</v>
          </cell>
          <cell r="AJ213" t="str">
            <v>Slant / YELLOW</v>
          </cell>
          <cell r="AK213">
            <v>1050000</v>
          </cell>
          <cell r="AL213">
            <v>15000</v>
          </cell>
          <cell r="AM213">
            <v>1650000</v>
          </cell>
          <cell r="AN213">
            <v>33000</v>
          </cell>
          <cell r="AO213">
            <v>150000</v>
          </cell>
          <cell r="AP213">
            <v>2850000</v>
          </cell>
          <cell r="AQ213"/>
          <cell r="AR213">
            <v>2850000</v>
          </cell>
          <cell r="AS213">
            <v>0</v>
          </cell>
          <cell r="AT213">
            <v>2850000</v>
          </cell>
          <cell r="AU213">
            <v>100000</v>
          </cell>
          <cell r="AV213">
            <v>2750000</v>
          </cell>
          <cell r="AW213">
            <v>0</v>
          </cell>
          <cell r="AX213">
            <v>2750000</v>
          </cell>
        </row>
        <row r="214">
          <cell r="G214" t="str">
            <v>AGM-01-009-036</v>
          </cell>
          <cell r="H214" t="str">
            <v xml:space="preserve">Raemulan Lands, Inc. </v>
          </cell>
          <cell r="I214" t="str">
            <v>Agapeya</v>
          </cell>
          <cell r="J214" t="str">
            <v>AGM</v>
          </cell>
          <cell r="K214" t="str">
            <v>Eco-High</v>
          </cell>
          <cell r="L214" t="str">
            <v>West</v>
          </cell>
          <cell r="M214" t="str">
            <v>With LTS - 2024</v>
          </cell>
          <cell r="N214" t="str">
            <v>YES</v>
          </cell>
          <cell r="O214" t="str">
            <v>YES</v>
          </cell>
          <cell r="P214" t="str">
            <v>Unaffected lots</v>
          </cell>
          <cell r="Q214" t="str">
            <v>YES</v>
          </cell>
          <cell r="R214">
            <v>70</v>
          </cell>
          <cell r="S214" t="str">
            <v>PCS-04-034298</v>
          </cell>
          <cell r="T214" t="str">
            <v>TCT-060-2024021606</v>
          </cell>
          <cell r="U214" t="b">
            <v>1</v>
          </cell>
          <cell r="V214" t="str">
            <v>Done</v>
          </cell>
          <cell r="W214" t="str">
            <v>2024 Batch</v>
          </cell>
          <cell r="X214" t="str">
            <v>2024 Batch</v>
          </cell>
          <cell r="Y214">
            <v>9</v>
          </cell>
          <cell r="Z214">
            <v>36</v>
          </cell>
          <cell r="AA214" t="str">
            <v>H+L</v>
          </cell>
          <cell r="AB214">
            <v>70</v>
          </cell>
          <cell r="AC214">
            <v>50</v>
          </cell>
          <cell r="AD214" t="str">
            <v>Slant</v>
          </cell>
          <cell r="AE214" t="str">
            <v>Duplex</v>
          </cell>
          <cell r="AF214" t="str">
            <v>326 - With Partition</v>
          </cell>
          <cell r="AG214" t="str">
            <v>With Partition</v>
          </cell>
          <cell r="AH214" t="str">
            <v>With Partition</v>
          </cell>
          <cell r="AI214" t="str">
            <v>PINK</v>
          </cell>
          <cell r="AJ214" t="str">
            <v>Slant / PINK</v>
          </cell>
          <cell r="AK214">
            <v>1050000</v>
          </cell>
          <cell r="AL214">
            <v>15000</v>
          </cell>
          <cell r="AM214">
            <v>1650000</v>
          </cell>
          <cell r="AN214">
            <v>33000</v>
          </cell>
          <cell r="AO214">
            <v>150000</v>
          </cell>
          <cell r="AP214">
            <v>2850000</v>
          </cell>
          <cell r="AQ214"/>
          <cell r="AR214">
            <v>2850000</v>
          </cell>
          <cell r="AS214"/>
          <cell r="AT214">
            <v>2850000</v>
          </cell>
          <cell r="AU214">
            <v>100000</v>
          </cell>
          <cell r="AV214">
            <v>2750000</v>
          </cell>
          <cell r="AW214">
            <v>0</v>
          </cell>
          <cell r="AX214">
            <v>2750000</v>
          </cell>
        </row>
        <row r="215">
          <cell r="G215" t="str">
            <v>AGM-01-009-037</v>
          </cell>
          <cell r="H215" t="str">
            <v xml:space="preserve">Raemulan Lands, Inc. </v>
          </cell>
          <cell r="I215" t="str">
            <v>Agapeya</v>
          </cell>
          <cell r="J215" t="str">
            <v>AGM</v>
          </cell>
          <cell r="K215" t="str">
            <v>Eco-High</v>
          </cell>
          <cell r="L215" t="str">
            <v>West</v>
          </cell>
          <cell r="M215" t="str">
            <v>With LTS - 2024</v>
          </cell>
          <cell r="N215" t="str">
            <v>YES</v>
          </cell>
          <cell r="O215" t="str">
            <v>YES</v>
          </cell>
          <cell r="P215" t="str">
            <v>Unaffected lots</v>
          </cell>
          <cell r="Q215" t="str">
            <v>YES</v>
          </cell>
          <cell r="R215">
            <v>70</v>
          </cell>
          <cell r="S215" t="str">
            <v>PCS-04-034298</v>
          </cell>
          <cell r="T215" t="str">
            <v>TCT-060-2024021607</v>
          </cell>
          <cell r="U215" t="b">
            <v>1</v>
          </cell>
          <cell r="V215" t="str">
            <v>Done</v>
          </cell>
          <cell r="W215" t="str">
            <v>2024 Batch</v>
          </cell>
          <cell r="X215" t="str">
            <v>2024 Batch</v>
          </cell>
          <cell r="Y215">
            <v>9</v>
          </cell>
          <cell r="Z215">
            <v>37</v>
          </cell>
          <cell r="AA215" t="str">
            <v>H+L</v>
          </cell>
          <cell r="AB215">
            <v>70</v>
          </cell>
          <cell r="AC215">
            <v>50</v>
          </cell>
          <cell r="AD215" t="str">
            <v>Flat</v>
          </cell>
          <cell r="AE215" t="str">
            <v>Duplex</v>
          </cell>
          <cell r="AF215" t="str">
            <v>326 - With Partition</v>
          </cell>
          <cell r="AG215" t="str">
            <v>With Partition</v>
          </cell>
          <cell r="AH215" t="str">
            <v>With Partition</v>
          </cell>
          <cell r="AI215" t="str">
            <v>PINK</v>
          </cell>
          <cell r="AJ215" t="str">
            <v>Flat / PINK</v>
          </cell>
          <cell r="AK215">
            <v>1050000</v>
          </cell>
          <cell r="AL215">
            <v>15000</v>
          </cell>
          <cell r="AM215">
            <v>1650000</v>
          </cell>
          <cell r="AN215">
            <v>33000</v>
          </cell>
          <cell r="AO215">
            <v>150000</v>
          </cell>
          <cell r="AP215">
            <v>2850000</v>
          </cell>
          <cell r="AQ215"/>
          <cell r="AR215">
            <v>2850000</v>
          </cell>
          <cell r="AS215">
            <v>0</v>
          </cell>
          <cell r="AT215">
            <v>2850000</v>
          </cell>
          <cell r="AU215">
            <v>100000</v>
          </cell>
          <cell r="AV215">
            <v>2750000</v>
          </cell>
          <cell r="AW215">
            <v>0</v>
          </cell>
          <cell r="AX215">
            <v>2750000</v>
          </cell>
        </row>
        <row r="216">
          <cell r="G216" t="str">
            <v>AGM-01-009-038</v>
          </cell>
          <cell r="H216" t="str">
            <v xml:space="preserve">Raemulan Lands, Inc. </v>
          </cell>
          <cell r="I216" t="str">
            <v>Agapeya</v>
          </cell>
          <cell r="J216" t="str">
            <v>AGM</v>
          </cell>
          <cell r="K216" t="str">
            <v>Eco-High</v>
          </cell>
          <cell r="L216" t="str">
            <v>West</v>
          </cell>
          <cell r="M216" t="str">
            <v>With LTS - 2024</v>
          </cell>
          <cell r="N216" t="str">
            <v>YES</v>
          </cell>
          <cell r="O216" t="str">
            <v>YES</v>
          </cell>
          <cell r="P216" t="str">
            <v>Unaffected lots</v>
          </cell>
          <cell r="Q216" t="str">
            <v>YES</v>
          </cell>
          <cell r="R216">
            <v>70</v>
          </cell>
          <cell r="S216" t="str">
            <v>PCS-04-034298</v>
          </cell>
          <cell r="T216" t="str">
            <v>TCT-060-2024021608</v>
          </cell>
          <cell r="U216" t="b">
            <v>1</v>
          </cell>
          <cell r="V216" t="str">
            <v>Done</v>
          </cell>
          <cell r="W216" t="str">
            <v>2024 Batch</v>
          </cell>
          <cell r="X216" t="str">
            <v>2024 Batch</v>
          </cell>
          <cell r="Y216">
            <v>9</v>
          </cell>
          <cell r="Z216">
            <v>38</v>
          </cell>
          <cell r="AA216" t="str">
            <v>H+L</v>
          </cell>
          <cell r="AB216">
            <v>70</v>
          </cell>
          <cell r="AC216">
            <v>50</v>
          </cell>
          <cell r="AD216" t="str">
            <v>Flat</v>
          </cell>
          <cell r="AE216" t="str">
            <v>Duplex</v>
          </cell>
          <cell r="AF216" t="str">
            <v>326 - With Partition</v>
          </cell>
          <cell r="AG216" t="str">
            <v>With Partition</v>
          </cell>
          <cell r="AH216" t="str">
            <v>With Partition</v>
          </cell>
          <cell r="AI216" t="str">
            <v>PINK</v>
          </cell>
          <cell r="AJ216" t="str">
            <v>Flat / PINK</v>
          </cell>
          <cell r="AK216">
            <v>1050000</v>
          </cell>
          <cell r="AL216">
            <v>15000</v>
          </cell>
          <cell r="AM216">
            <v>1650000</v>
          </cell>
          <cell r="AN216">
            <v>33000</v>
          </cell>
          <cell r="AO216">
            <v>150000</v>
          </cell>
          <cell r="AP216">
            <v>2850000</v>
          </cell>
          <cell r="AQ216"/>
          <cell r="AR216">
            <v>2850000</v>
          </cell>
          <cell r="AS216">
            <v>0</v>
          </cell>
          <cell r="AT216">
            <v>2850000</v>
          </cell>
          <cell r="AU216">
            <v>100000</v>
          </cell>
          <cell r="AV216">
            <v>2750000</v>
          </cell>
          <cell r="AW216">
            <v>0</v>
          </cell>
          <cell r="AX216">
            <v>2750000</v>
          </cell>
        </row>
        <row r="217">
          <cell r="G217" t="str">
            <v>AGM-01-009-039</v>
          </cell>
          <cell r="H217" t="str">
            <v xml:space="preserve">Raemulan Lands, Inc. </v>
          </cell>
          <cell r="I217" t="str">
            <v>Agapeya</v>
          </cell>
          <cell r="J217" t="str">
            <v>AGM</v>
          </cell>
          <cell r="K217" t="str">
            <v>Eco-High</v>
          </cell>
          <cell r="L217" t="str">
            <v>West</v>
          </cell>
          <cell r="M217" t="str">
            <v>With LTS - 2024</v>
          </cell>
          <cell r="N217" t="str">
            <v>YES</v>
          </cell>
          <cell r="O217" t="str">
            <v>YES</v>
          </cell>
          <cell r="P217" t="str">
            <v>Unaffected lots</v>
          </cell>
          <cell r="Q217" t="str">
            <v>YES</v>
          </cell>
          <cell r="R217">
            <v>70</v>
          </cell>
          <cell r="S217" t="str">
            <v>PCS-04-034298</v>
          </cell>
          <cell r="T217" t="str">
            <v>TCT-060-2024021609</v>
          </cell>
          <cell r="U217" t="b">
            <v>1</v>
          </cell>
          <cell r="V217" t="str">
            <v>Done</v>
          </cell>
          <cell r="W217" t="str">
            <v>2024 Batch</v>
          </cell>
          <cell r="X217" t="str">
            <v>2024 Batch</v>
          </cell>
          <cell r="Y217">
            <v>9</v>
          </cell>
          <cell r="Z217">
            <v>39</v>
          </cell>
          <cell r="AA217" t="str">
            <v>H+L</v>
          </cell>
          <cell r="AB217">
            <v>70</v>
          </cell>
          <cell r="AC217">
            <v>50</v>
          </cell>
          <cell r="AD217" t="str">
            <v>Slant</v>
          </cell>
          <cell r="AE217" t="str">
            <v>Duplex</v>
          </cell>
          <cell r="AF217" t="str">
            <v>326 - With Partition</v>
          </cell>
          <cell r="AG217" t="str">
            <v>With Partition</v>
          </cell>
          <cell r="AH217" t="str">
            <v>With Partition</v>
          </cell>
          <cell r="AI217" t="str">
            <v>PINK</v>
          </cell>
          <cell r="AJ217" t="str">
            <v>Slant / PINK</v>
          </cell>
          <cell r="AK217">
            <v>1050000</v>
          </cell>
          <cell r="AL217">
            <v>15000</v>
          </cell>
          <cell r="AM217">
            <v>1650000</v>
          </cell>
          <cell r="AN217">
            <v>33000</v>
          </cell>
          <cell r="AO217">
            <v>150000</v>
          </cell>
          <cell r="AP217">
            <v>2850000</v>
          </cell>
          <cell r="AQ217"/>
          <cell r="AR217">
            <v>2850000</v>
          </cell>
          <cell r="AS217">
            <v>0</v>
          </cell>
          <cell r="AT217">
            <v>2850000</v>
          </cell>
          <cell r="AU217">
            <v>100000</v>
          </cell>
          <cell r="AV217">
            <v>2750000</v>
          </cell>
          <cell r="AW217">
            <v>0</v>
          </cell>
          <cell r="AX217">
            <v>2750000</v>
          </cell>
        </row>
        <row r="218">
          <cell r="G218" t="str">
            <v>AGM-01-009-040</v>
          </cell>
          <cell r="H218" t="str">
            <v xml:space="preserve">Raemulan Lands, Inc. </v>
          </cell>
          <cell r="I218" t="str">
            <v>Agapeya</v>
          </cell>
          <cell r="J218" t="str">
            <v>AGM</v>
          </cell>
          <cell r="K218" t="str">
            <v>Eco-High</v>
          </cell>
          <cell r="L218" t="str">
            <v>West</v>
          </cell>
          <cell r="M218" t="str">
            <v>With LTS - 2024</v>
          </cell>
          <cell r="N218" t="str">
            <v>YES</v>
          </cell>
          <cell r="O218" t="str">
            <v>YES</v>
          </cell>
          <cell r="P218" t="str">
            <v>Unaffected lots</v>
          </cell>
          <cell r="Q218" t="str">
            <v>YES</v>
          </cell>
          <cell r="R218">
            <v>70</v>
          </cell>
          <cell r="S218" t="str">
            <v>PCS-04-034298</v>
          </cell>
          <cell r="T218" t="str">
            <v>TCT-060-2024021610</v>
          </cell>
          <cell r="U218" t="b">
            <v>1</v>
          </cell>
          <cell r="V218" t="str">
            <v>Done</v>
          </cell>
          <cell r="W218" t="str">
            <v>2024 Batch</v>
          </cell>
          <cell r="X218" t="str">
            <v>2024 Batch</v>
          </cell>
          <cell r="Y218">
            <v>9</v>
          </cell>
          <cell r="Z218">
            <v>40</v>
          </cell>
          <cell r="AA218" t="str">
            <v>H+L</v>
          </cell>
          <cell r="AB218">
            <v>70</v>
          </cell>
          <cell r="AC218">
            <v>50</v>
          </cell>
          <cell r="AD218" t="str">
            <v>Slant</v>
          </cell>
          <cell r="AE218" t="str">
            <v>Duplex</v>
          </cell>
          <cell r="AF218" t="str">
            <v>326 - With Partition</v>
          </cell>
          <cell r="AG218" t="str">
            <v>With Partition</v>
          </cell>
          <cell r="AH218" t="str">
            <v>With Partition</v>
          </cell>
          <cell r="AI218" t="str">
            <v>PURPLE</v>
          </cell>
          <cell r="AJ218" t="str">
            <v>Slant / PURPLE</v>
          </cell>
          <cell r="AK218">
            <v>1050000</v>
          </cell>
          <cell r="AL218">
            <v>15000</v>
          </cell>
          <cell r="AM218">
            <v>1650000</v>
          </cell>
          <cell r="AN218">
            <v>33000</v>
          </cell>
          <cell r="AO218">
            <v>150000</v>
          </cell>
          <cell r="AP218">
            <v>2850000</v>
          </cell>
          <cell r="AQ218"/>
          <cell r="AR218">
            <v>2850000</v>
          </cell>
          <cell r="AS218">
            <v>0</v>
          </cell>
          <cell r="AT218">
            <v>2850000</v>
          </cell>
          <cell r="AU218">
            <v>100000</v>
          </cell>
          <cell r="AV218">
            <v>2750000</v>
          </cell>
          <cell r="AW218">
            <v>0</v>
          </cell>
          <cell r="AX218">
            <v>2750000</v>
          </cell>
        </row>
        <row r="219">
          <cell r="G219" t="str">
            <v>AGM-01-009-041</v>
          </cell>
          <cell r="H219" t="str">
            <v xml:space="preserve">Raemulan Lands, Inc. </v>
          </cell>
          <cell r="I219" t="str">
            <v>Agapeya</v>
          </cell>
          <cell r="J219" t="str">
            <v>AGM</v>
          </cell>
          <cell r="K219" t="str">
            <v>Eco-High</v>
          </cell>
          <cell r="L219" t="str">
            <v>West</v>
          </cell>
          <cell r="M219" t="str">
            <v>With LTS - 2024</v>
          </cell>
          <cell r="N219" t="str">
            <v>YES</v>
          </cell>
          <cell r="O219" t="str">
            <v>YES</v>
          </cell>
          <cell r="P219" t="str">
            <v>Unaffected lots</v>
          </cell>
          <cell r="Q219" t="str">
            <v>YES</v>
          </cell>
          <cell r="R219">
            <v>70</v>
          </cell>
          <cell r="S219" t="str">
            <v>PCS-04-034298</v>
          </cell>
          <cell r="T219" t="str">
            <v>TCT-060-2024021611</v>
          </cell>
          <cell r="U219" t="b">
            <v>1</v>
          </cell>
          <cell r="V219" t="str">
            <v>Done</v>
          </cell>
          <cell r="W219" t="str">
            <v>2024 Batch</v>
          </cell>
          <cell r="X219" t="str">
            <v>2024 Batch</v>
          </cell>
          <cell r="Y219">
            <v>9</v>
          </cell>
          <cell r="Z219">
            <v>41</v>
          </cell>
          <cell r="AA219" t="str">
            <v>H+L</v>
          </cell>
          <cell r="AB219">
            <v>70</v>
          </cell>
          <cell r="AC219">
            <v>50</v>
          </cell>
          <cell r="AD219" t="str">
            <v>Flat</v>
          </cell>
          <cell r="AE219" t="str">
            <v>Duplex</v>
          </cell>
          <cell r="AF219" t="str">
            <v>326 - With Partition</v>
          </cell>
          <cell r="AG219" t="str">
            <v>With Partition</v>
          </cell>
          <cell r="AH219" t="str">
            <v>With Partition</v>
          </cell>
          <cell r="AI219" t="str">
            <v>PURPLE</v>
          </cell>
          <cell r="AJ219" t="str">
            <v>Flat / PURPLE</v>
          </cell>
          <cell r="AK219">
            <v>1050000</v>
          </cell>
          <cell r="AL219">
            <v>15000</v>
          </cell>
          <cell r="AM219">
            <v>1650000</v>
          </cell>
          <cell r="AN219">
            <v>33000</v>
          </cell>
          <cell r="AO219">
            <v>150000</v>
          </cell>
          <cell r="AP219">
            <v>2850000</v>
          </cell>
          <cell r="AQ219"/>
          <cell r="AR219">
            <v>2850000</v>
          </cell>
          <cell r="AS219"/>
          <cell r="AT219">
            <v>2850000</v>
          </cell>
          <cell r="AU219">
            <v>100000</v>
          </cell>
          <cell r="AV219">
            <v>2750000</v>
          </cell>
          <cell r="AW219">
            <v>0</v>
          </cell>
          <cell r="AX219">
            <v>2750000</v>
          </cell>
        </row>
        <row r="220">
          <cell r="G220" t="str">
            <v>AGM-01-009-042</v>
          </cell>
          <cell r="H220" t="str">
            <v xml:space="preserve">Raemulan Lands, Inc. </v>
          </cell>
          <cell r="I220" t="str">
            <v>Agapeya</v>
          </cell>
          <cell r="J220" t="str">
            <v>AGM</v>
          </cell>
          <cell r="K220" t="str">
            <v>Eco-High</v>
          </cell>
          <cell r="L220" t="str">
            <v>West</v>
          </cell>
          <cell r="M220" t="str">
            <v>With LTS - 2024</v>
          </cell>
          <cell r="N220" t="str">
            <v>YES</v>
          </cell>
          <cell r="O220" t="str">
            <v>YES</v>
          </cell>
          <cell r="P220" t="str">
            <v>Unaffected lots</v>
          </cell>
          <cell r="Q220" t="str">
            <v>YES</v>
          </cell>
          <cell r="R220">
            <v>70</v>
          </cell>
          <cell r="S220" t="str">
            <v>PCS-04-034298</v>
          </cell>
          <cell r="T220" t="str">
            <v>TCT-060-2024021612</v>
          </cell>
          <cell r="U220" t="b">
            <v>1</v>
          </cell>
          <cell r="V220" t="str">
            <v>Done</v>
          </cell>
          <cell r="W220" t="str">
            <v>2024 Batch</v>
          </cell>
          <cell r="X220" t="str">
            <v>2024 Batch</v>
          </cell>
          <cell r="Y220">
            <v>9</v>
          </cell>
          <cell r="Z220">
            <v>42</v>
          </cell>
          <cell r="AA220" t="str">
            <v>H+L</v>
          </cell>
          <cell r="AB220">
            <v>70</v>
          </cell>
          <cell r="AC220">
            <v>50</v>
          </cell>
          <cell r="AD220" t="str">
            <v>Flat</v>
          </cell>
          <cell r="AE220" t="str">
            <v>Duplex</v>
          </cell>
          <cell r="AF220" t="str">
            <v>326 - With Partition</v>
          </cell>
          <cell r="AG220" t="str">
            <v xml:space="preserve">Without Partition </v>
          </cell>
          <cell r="AH220" t="str">
            <v xml:space="preserve">Without Partition </v>
          </cell>
          <cell r="AI220" t="str">
            <v>PURPLE</v>
          </cell>
          <cell r="AJ220" t="str">
            <v>Flat / PURPLE</v>
          </cell>
          <cell r="AK220">
            <v>1050000</v>
          </cell>
          <cell r="AL220">
            <v>15000</v>
          </cell>
          <cell r="AM220">
            <v>1650000</v>
          </cell>
          <cell r="AN220">
            <v>33000</v>
          </cell>
          <cell r="AO220">
            <v>150000</v>
          </cell>
          <cell r="AP220">
            <v>2850000</v>
          </cell>
          <cell r="AQ220"/>
          <cell r="AR220">
            <v>2850000</v>
          </cell>
          <cell r="AS220">
            <v>200000</v>
          </cell>
          <cell r="AT220">
            <v>2650000</v>
          </cell>
          <cell r="AU220">
            <v>100000</v>
          </cell>
          <cell r="AV220">
            <v>2550000</v>
          </cell>
          <cell r="AW220">
            <v>0</v>
          </cell>
          <cell r="AX220">
            <v>2550000</v>
          </cell>
        </row>
        <row r="221">
          <cell r="G221" t="str">
            <v>AGM-01-009-043</v>
          </cell>
          <cell r="H221" t="str">
            <v xml:space="preserve">Raemulan Lands, Inc. </v>
          </cell>
          <cell r="I221" t="str">
            <v>Agapeya</v>
          </cell>
          <cell r="J221" t="str">
            <v>AGM</v>
          </cell>
          <cell r="K221" t="str">
            <v>Eco-High</v>
          </cell>
          <cell r="L221" t="str">
            <v>West</v>
          </cell>
          <cell r="M221" t="str">
            <v>With LTS - 2024</v>
          </cell>
          <cell r="N221" t="str">
            <v>YES</v>
          </cell>
          <cell r="O221" t="str">
            <v>YES</v>
          </cell>
          <cell r="P221" t="str">
            <v>Unaffected lots</v>
          </cell>
          <cell r="Q221" t="str">
            <v>YES</v>
          </cell>
          <cell r="R221">
            <v>70</v>
          </cell>
          <cell r="S221" t="str">
            <v>PCS-04-034298</v>
          </cell>
          <cell r="T221" t="str">
            <v>TCT-060-2024021613</v>
          </cell>
          <cell r="U221" t="b">
            <v>1</v>
          </cell>
          <cell r="V221" t="str">
            <v>Done</v>
          </cell>
          <cell r="W221" t="str">
            <v>2024 Batch</v>
          </cell>
          <cell r="X221" t="str">
            <v>2024 Batch</v>
          </cell>
          <cell r="Y221">
            <v>9</v>
          </cell>
          <cell r="Z221">
            <v>43</v>
          </cell>
          <cell r="AA221" t="str">
            <v>H+L</v>
          </cell>
          <cell r="AB221">
            <v>70</v>
          </cell>
          <cell r="AC221">
            <v>50</v>
          </cell>
          <cell r="AD221" t="str">
            <v>Slant</v>
          </cell>
          <cell r="AE221" t="str">
            <v>Duplex</v>
          </cell>
          <cell r="AF221" t="str">
            <v>326 - With Partition</v>
          </cell>
          <cell r="AG221" t="str">
            <v xml:space="preserve">Without Partition </v>
          </cell>
          <cell r="AH221" t="str">
            <v xml:space="preserve">Without Partition </v>
          </cell>
          <cell r="AI221" t="str">
            <v>PURPLE</v>
          </cell>
          <cell r="AJ221" t="str">
            <v>Slant / PURPLE</v>
          </cell>
          <cell r="AK221">
            <v>1050000</v>
          </cell>
          <cell r="AL221">
            <v>15000</v>
          </cell>
          <cell r="AM221">
            <v>1650000</v>
          </cell>
          <cell r="AN221">
            <v>33000</v>
          </cell>
          <cell r="AO221">
            <v>150000</v>
          </cell>
          <cell r="AP221">
            <v>2850000</v>
          </cell>
          <cell r="AQ221"/>
          <cell r="AR221">
            <v>2850000</v>
          </cell>
          <cell r="AS221">
            <v>200000</v>
          </cell>
          <cell r="AT221">
            <v>2650000</v>
          </cell>
          <cell r="AU221">
            <v>100000</v>
          </cell>
          <cell r="AV221">
            <v>2550000</v>
          </cell>
          <cell r="AW221">
            <v>0</v>
          </cell>
          <cell r="AX221">
            <v>2550000</v>
          </cell>
        </row>
        <row r="222">
          <cell r="G222" t="str">
            <v>AGM-01-009-044</v>
          </cell>
          <cell r="H222" t="str">
            <v xml:space="preserve">Raemulan Lands, Inc. </v>
          </cell>
          <cell r="I222" t="str">
            <v>Agapeya</v>
          </cell>
          <cell r="J222" t="str">
            <v>AGM</v>
          </cell>
          <cell r="K222" t="str">
            <v>Eco-High</v>
          </cell>
          <cell r="L222" t="str">
            <v>West</v>
          </cell>
          <cell r="M222" t="str">
            <v>With LTS - 2024</v>
          </cell>
          <cell r="N222" t="str">
            <v>YES</v>
          </cell>
          <cell r="O222" t="str">
            <v>YES</v>
          </cell>
          <cell r="P222" t="str">
            <v>Unaffected lots</v>
          </cell>
          <cell r="Q222" t="str">
            <v>YES</v>
          </cell>
          <cell r="R222">
            <v>70</v>
          </cell>
          <cell r="S222" t="str">
            <v>PCS-04-034298</v>
          </cell>
          <cell r="T222" t="str">
            <v>TCT-060-2024021614</v>
          </cell>
          <cell r="U222" t="b">
            <v>1</v>
          </cell>
          <cell r="V222" t="str">
            <v>Done</v>
          </cell>
          <cell r="W222" t="str">
            <v>2024 Batch</v>
          </cell>
          <cell r="X222" t="str">
            <v>2024 Batch</v>
          </cell>
          <cell r="Y222">
            <v>9</v>
          </cell>
          <cell r="Z222">
            <v>44</v>
          </cell>
          <cell r="AA222" t="str">
            <v>H+L</v>
          </cell>
          <cell r="AB222">
            <v>70</v>
          </cell>
          <cell r="AC222">
            <v>50</v>
          </cell>
          <cell r="AD222" t="str">
            <v>Slant</v>
          </cell>
          <cell r="AE222" t="str">
            <v>Duplex</v>
          </cell>
          <cell r="AF222" t="str">
            <v>326 - With Partition</v>
          </cell>
          <cell r="AG222" t="str">
            <v>With Partition</v>
          </cell>
          <cell r="AH222" t="str">
            <v>With Partition</v>
          </cell>
          <cell r="AI222" t="str">
            <v>GREEN</v>
          </cell>
          <cell r="AJ222" t="str">
            <v>Slant / GREEN</v>
          </cell>
          <cell r="AK222">
            <v>1050000</v>
          </cell>
          <cell r="AL222">
            <v>15000</v>
          </cell>
          <cell r="AM222">
            <v>1650000</v>
          </cell>
          <cell r="AN222">
            <v>33000</v>
          </cell>
          <cell r="AO222">
            <v>150000</v>
          </cell>
          <cell r="AP222">
            <v>2850000</v>
          </cell>
          <cell r="AQ222"/>
          <cell r="AR222">
            <v>2850000</v>
          </cell>
          <cell r="AS222">
            <v>0</v>
          </cell>
          <cell r="AT222">
            <v>2850000</v>
          </cell>
          <cell r="AU222">
            <v>100000</v>
          </cell>
          <cell r="AV222">
            <v>2750000</v>
          </cell>
          <cell r="AW222">
            <v>0</v>
          </cell>
          <cell r="AX222">
            <v>2750000</v>
          </cell>
        </row>
        <row r="223">
          <cell r="G223" t="str">
            <v>AGM-01-009-045</v>
          </cell>
          <cell r="H223" t="str">
            <v xml:space="preserve">Raemulan Lands, Inc. </v>
          </cell>
          <cell r="I223" t="str">
            <v>Agapeya</v>
          </cell>
          <cell r="J223" t="str">
            <v>AGM</v>
          </cell>
          <cell r="K223" t="str">
            <v>Eco-High</v>
          </cell>
          <cell r="L223" t="str">
            <v>West</v>
          </cell>
          <cell r="M223" t="str">
            <v>With LTS - 2024</v>
          </cell>
          <cell r="N223" t="str">
            <v>YES</v>
          </cell>
          <cell r="O223" t="str">
            <v>YES</v>
          </cell>
          <cell r="P223" t="str">
            <v>Unaffected lots</v>
          </cell>
          <cell r="Q223" t="str">
            <v>YES</v>
          </cell>
          <cell r="R223">
            <v>70</v>
          </cell>
          <cell r="S223" t="str">
            <v>PCS-04-034298</v>
          </cell>
          <cell r="T223" t="str">
            <v>TCT-060-2024021615</v>
          </cell>
          <cell r="U223" t="b">
            <v>1</v>
          </cell>
          <cell r="V223" t="str">
            <v>Done</v>
          </cell>
          <cell r="W223" t="str">
            <v>2024 Batch</v>
          </cell>
          <cell r="X223" t="str">
            <v>2024 Batch</v>
          </cell>
          <cell r="Y223">
            <v>9</v>
          </cell>
          <cell r="Z223">
            <v>45</v>
          </cell>
          <cell r="AA223" t="str">
            <v>H+L</v>
          </cell>
          <cell r="AB223">
            <v>70</v>
          </cell>
          <cell r="AC223">
            <v>50</v>
          </cell>
          <cell r="AD223" t="str">
            <v>Flat</v>
          </cell>
          <cell r="AE223" t="str">
            <v>Duplex</v>
          </cell>
          <cell r="AF223" t="str">
            <v>326 - With Partition</v>
          </cell>
          <cell r="AG223" t="str">
            <v>With Partition</v>
          </cell>
          <cell r="AH223" t="str">
            <v>With Partition</v>
          </cell>
          <cell r="AI223" t="str">
            <v>GREEN</v>
          </cell>
          <cell r="AJ223" t="str">
            <v>Flat / GREEN</v>
          </cell>
          <cell r="AK223">
            <v>1050000</v>
          </cell>
          <cell r="AL223">
            <v>15000</v>
          </cell>
          <cell r="AM223">
            <v>1650000</v>
          </cell>
          <cell r="AN223">
            <v>33000</v>
          </cell>
          <cell r="AO223">
            <v>150000</v>
          </cell>
          <cell r="AP223">
            <v>2850000</v>
          </cell>
          <cell r="AQ223"/>
          <cell r="AR223">
            <v>2850000</v>
          </cell>
          <cell r="AS223">
            <v>0</v>
          </cell>
          <cell r="AT223">
            <v>2850000</v>
          </cell>
          <cell r="AU223">
            <v>100000</v>
          </cell>
          <cell r="AV223">
            <v>2750000</v>
          </cell>
          <cell r="AW223">
            <v>0</v>
          </cell>
          <cell r="AX223">
            <v>2750000</v>
          </cell>
        </row>
        <row r="224">
          <cell r="G224" t="str">
            <v>AGM-01-009-046</v>
          </cell>
          <cell r="H224" t="str">
            <v xml:space="preserve">Raemulan Lands, Inc. </v>
          </cell>
          <cell r="I224" t="str">
            <v>Agapeya</v>
          </cell>
          <cell r="J224" t="str">
            <v>AGM</v>
          </cell>
          <cell r="K224" t="str">
            <v>Eco-High</v>
          </cell>
          <cell r="L224" t="str">
            <v>West</v>
          </cell>
          <cell r="M224" t="str">
            <v>With LTS - 2024</v>
          </cell>
          <cell r="N224" t="str">
            <v>YES</v>
          </cell>
          <cell r="O224" t="str">
            <v>YES</v>
          </cell>
          <cell r="P224" t="str">
            <v>Unaffected lots</v>
          </cell>
          <cell r="Q224" t="str">
            <v>YES</v>
          </cell>
          <cell r="R224">
            <v>70</v>
          </cell>
          <cell r="S224" t="str">
            <v>PCS-04-034298</v>
          </cell>
          <cell r="T224" t="str">
            <v>TCT-060-2024021616</v>
          </cell>
          <cell r="U224" t="b">
            <v>1</v>
          </cell>
          <cell r="V224" t="str">
            <v>Done</v>
          </cell>
          <cell r="W224" t="str">
            <v>2024 Batch</v>
          </cell>
          <cell r="X224" t="str">
            <v>2024 Batch</v>
          </cell>
          <cell r="Y224">
            <v>9</v>
          </cell>
          <cell r="Z224">
            <v>46</v>
          </cell>
          <cell r="AA224" t="str">
            <v>H+L</v>
          </cell>
          <cell r="AB224">
            <v>70</v>
          </cell>
          <cell r="AC224">
            <v>50</v>
          </cell>
          <cell r="AD224" t="str">
            <v>Flat</v>
          </cell>
          <cell r="AE224" t="str">
            <v>Duplex</v>
          </cell>
          <cell r="AF224" t="str">
            <v>326 - With Partition</v>
          </cell>
          <cell r="AG224" t="str">
            <v>With Partition</v>
          </cell>
          <cell r="AH224" t="str">
            <v>With Partition</v>
          </cell>
          <cell r="AI224" t="str">
            <v>GREEN</v>
          </cell>
          <cell r="AJ224" t="str">
            <v>Flat / GREEN</v>
          </cell>
          <cell r="AK224">
            <v>1050000</v>
          </cell>
          <cell r="AL224">
            <v>15000</v>
          </cell>
          <cell r="AM224">
            <v>1650000</v>
          </cell>
          <cell r="AN224">
            <v>33000</v>
          </cell>
          <cell r="AO224">
            <v>150000</v>
          </cell>
          <cell r="AP224">
            <v>2850000</v>
          </cell>
          <cell r="AQ224"/>
          <cell r="AR224">
            <v>2850000</v>
          </cell>
          <cell r="AS224">
            <v>0</v>
          </cell>
          <cell r="AT224">
            <v>2850000</v>
          </cell>
          <cell r="AU224">
            <v>100000</v>
          </cell>
          <cell r="AV224">
            <v>2750000</v>
          </cell>
          <cell r="AW224">
            <v>0</v>
          </cell>
          <cell r="AX224">
            <v>2750000</v>
          </cell>
        </row>
        <row r="225">
          <cell r="G225" t="str">
            <v>AGM-01-009-047</v>
          </cell>
          <cell r="H225" t="str">
            <v xml:space="preserve">Raemulan Lands, Inc. </v>
          </cell>
          <cell r="I225" t="str">
            <v>Agapeya</v>
          </cell>
          <cell r="J225" t="str">
            <v>AGM</v>
          </cell>
          <cell r="K225" t="str">
            <v>Eco-High</v>
          </cell>
          <cell r="L225" t="str">
            <v>West</v>
          </cell>
          <cell r="M225" t="str">
            <v>With LTS - 2024</v>
          </cell>
          <cell r="N225" t="str">
            <v>YES</v>
          </cell>
          <cell r="O225" t="str">
            <v>YES</v>
          </cell>
          <cell r="P225" t="str">
            <v>Unaffected lots</v>
          </cell>
          <cell r="Q225" t="str">
            <v>YES</v>
          </cell>
          <cell r="R225">
            <v>70</v>
          </cell>
          <cell r="S225" t="str">
            <v>PCS-04-034298</v>
          </cell>
          <cell r="T225" t="str">
            <v>TCT-060-2024021617</v>
          </cell>
          <cell r="U225" t="b">
            <v>1</v>
          </cell>
          <cell r="V225" t="str">
            <v>Done</v>
          </cell>
          <cell r="W225" t="str">
            <v>2024 Batch</v>
          </cell>
          <cell r="X225" t="str">
            <v>2024 Batch</v>
          </cell>
          <cell r="Y225">
            <v>9</v>
          </cell>
          <cell r="Z225">
            <v>47</v>
          </cell>
          <cell r="AA225" t="str">
            <v>H+L</v>
          </cell>
          <cell r="AB225">
            <v>70</v>
          </cell>
          <cell r="AC225">
            <v>50</v>
          </cell>
          <cell r="AD225" t="str">
            <v>Slant</v>
          </cell>
          <cell r="AE225" t="str">
            <v>Duplex</v>
          </cell>
          <cell r="AF225" t="str">
            <v>326 - With Partition</v>
          </cell>
          <cell r="AG225" t="str">
            <v xml:space="preserve">Without Partition </v>
          </cell>
          <cell r="AH225" t="str">
            <v xml:space="preserve">Without Partition </v>
          </cell>
          <cell r="AI225" t="str">
            <v>GREEN</v>
          </cell>
          <cell r="AJ225" t="str">
            <v>Slant / GREEN</v>
          </cell>
          <cell r="AK225">
            <v>1050000</v>
          </cell>
          <cell r="AL225">
            <v>15000</v>
          </cell>
          <cell r="AM225">
            <v>1650000</v>
          </cell>
          <cell r="AN225">
            <v>33000</v>
          </cell>
          <cell r="AO225">
            <v>150000</v>
          </cell>
          <cell r="AP225">
            <v>2850000</v>
          </cell>
          <cell r="AQ225"/>
          <cell r="AR225">
            <v>2850000</v>
          </cell>
          <cell r="AS225">
            <v>200000</v>
          </cell>
          <cell r="AT225">
            <v>2650000</v>
          </cell>
          <cell r="AU225">
            <v>100000</v>
          </cell>
          <cell r="AV225">
            <v>2550000</v>
          </cell>
          <cell r="AW225">
            <v>0</v>
          </cell>
          <cell r="AX225">
            <v>2550000</v>
          </cell>
        </row>
        <row r="226">
          <cell r="G226" t="str">
            <v>AGM-01-009-048</v>
          </cell>
          <cell r="H226" t="str">
            <v xml:space="preserve">Raemulan Lands, Inc. </v>
          </cell>
          <cell r="I226" t="str">
            <v>Agapeya</v>
          </cell>
          <cell r="J226" t="str">
            <v>AGM</v>
          </cell>
          <cell r="K226" t="str">
            <v>Eco-High</v>
          </cell>
          <cell r="L226" t="str">
            <v>West</v>
          </cell>
          <cell r="M226" t="str">
            <v>With LTS - 2024</v>
          </cell>
          <cell r="N226" t="str">
            <v>YES</v>
          </cell>
          <cell r="O226" t="str">
            <v>YES</v>
          </cell>
          <cell r="P226" t="str">
            <v>Unaffected lots</v>
          </cell>
          <cell r="Q226" t="str">
            <v>YES</v>
          </cell>
          <cell r="R226">
            <v>70</v>
          </cell>
          <cell r="S226" t="str">
            <v>PCS-04-034298</v>
          </cell>
          <cell r="T226" t="str">
            <v>TCT-060-2024021618</v>
          </cell>
          <cell r="U226" t="b">
            <v>1</v>
          </cell>
          <cell r="V226" t="str">
            <v>Done</v>
          </cell>
          <cell r="W226" t="str">
            <v>2024 Batch</v>
          </cell>
          <cell r="X226" t="str">
            <v>2024 Batch</v>
          </cell>
          <cell r="Y226">
            <v>9</v>
          </cell>
          <cell r="Z226">
            <v>48</v>
          </cell>
          <cell r="AA226" t="str">
            <v>H+L</v>
          </cell>
          <cell r="AB226">
            <v>70</v>
          </cell>
          <cell r="AC226">
            <v>50</v>
          </cell>
          <cell r="AD226" t="str">
            <v>Slant</v>
          </cell>
          <cell r="AE226" t="str">
            <v>Duplex</v>
          </cell>
          <cell r="AF226" t="str">
            <v>326 - With Partition</v>
          </cell>
          <cell r="AG226" t="str">
            <v xml:space="preserve">Without Partition </v>
          </cell>
          <cell r="AH226" t="str">
            <v xml:space="preserve">Without Partition </v>
          </cell>
          <cell r="AI226" t="str">
            <v>YELLOW</v>
          </cell>
          <cell r="AJ226" t="str">
            <v>Slant / YELLOW</v>
          </cell>
          <cell r="AK226">
            <v>1050000</v>
          </cell>
          <cell r="AL226">
            <v>15000</v>
          </cell>
          <cell r="AM226">
            <v>1650000</v>
          </cell>
          <cell r="AN226">
            <v>33000</v>
          </cell>
          <cell r="AO226">
            <v>150000</v>
          </cell>
          <cell r="AP226">
            <v>2850000</v>
          </cell>
          <cell r="AQ226"/>
          <cell r="AR226">
            <v>2850000</v>
          </cell>
          <cell r="AS226">
            <v>200000</v>
          </cell>
          <cell r="AT226">
            <v>2650000</v>
          </cell>
          <cell r="AU226">
            <v>100000</v>
          </cell>
          <cell r="AV226">
            <v>2550000</v>
          </cell>
          <cell r="AW226">
            <v>0</v>
          </cell>
          <cell r="AX226">
            <v>2550000</v>
          </cell>
        </row>
        <row r="227">
          <cell r="G227" t="str">
            <v>AGM-01-009-049</v>
          </cell>
          <cell r="H227" t="str">
            <v xml:space="preserve">Raemulan Lands, Inc. </v>
          </cell>
          <cell r="I227" t="str">
            <v>Agapeya</v>
          </cell>
          <cell r="J227" t="str">
            <v>AGM</v>
          </cell>
          <cell r="K227" t="str">
            <v>Eco-High</v>
          </cell>
          <cell r="L227" t="str">
            <v>West</v>
          </cell>
          <cell r="M227" t="str">
            <v>With LTS - 2024</v>
          </cell>
          <cell r="N227" t="str">
            <v>YES</v>
          </cell>
          <cell r="O227" t="str">
            <v>YES</v>
          </cell>
          <cell r="P227" t="str">
            <v>Unaffected lots</v>
          </cell>
          <cell r="Q227" t="str">
            <v>YES</v>
          </cell>
          <cell r="R227">
            <v>70</v>
          </cell>
          <cell r="S227" t="str">
            <v>PCS-04-034298</v>
          </cell>
          <cell r="T227" t="str">
            <v>TCT-060-2024021619</v>
          </cell>
          <cell r="U227" t="b">
            <v>1</v>
          </cell>
          <cell r="V227" t="str">
            <v>Done</v>
          </cell>
          <cell r="W227" t="str">
            <v>2024 Batch</v>
          </cell>
          <cell r="X227" t="str">
            <v>2024 Batch</v>
          </cell>
          <cell r="Y227">
            <v>9</v>
          </cell>
          <cell r="Z227">
            <v>49</v>
          </cell>
          <cell r="AA227" t="str">
            <v>H+L</v>
          </cell>
          <cell r="AB227">
            <v>70</v>
          </cell>
          <cell r="AC227">
            <v>50</v>
          </cell>
          <cell r="AD227" t="str">
            <v>Flat</v>
          </cell>
          <cell r="AE227" t="str">
            <v>Duplex</v>
          </cell>
          <cell r="AF227" t="str">
            <v>326 - With Partition</v>
          </cell>
          <cell r="AG227" t="str">
            <v>With Partition</v>
          </cell>
          <cell r="AH227" t="str">
            <v>With Partition</v>
          </cell>
          <cell r="AI227" t="str">
            <v>YELLOW</v>
          </cell>
          <cell r="AJ227" t="str">
            <v>Flat / YELLOW</v>
          </cell>
          <cell r="AK227">
            <v>1050000</v>
          </cell>
          <cell r="AL227">
            <v>15000</v>
          </cell>
          <cell r="AM227">
            <v>1650000</v>
          </cell>
          <cell r="AN227">
            <v>33000</v>
          </cell>
          <cell r="AO227">
            <v>150000</v>
          </cell>
          <cell r="AP227">
            <v>2850000</v>
          </cell>
          <cell r="AQ227"/>
          <cell r="AR227">
            <v>2850000</v>
          </cell>
          <cell r="AS227">
            <v>0</v>
          </cell>
          <cell r="AT227">
            <v>2850000</v>
          </cell>
          <cell r="AU227">
            <v>100000</v>
          </cell>
          <cell r="AV227">
            <v>2750000</v>
          </cell>
          <cell r="AW227">
            <v>0</v>
          </cell>
          <cell r="AX227">
            <v>2750000</v>
          </cell>
        </row>
        <row r="228">
          <cell r="G228" t="str">
            <v>AGM-01-009-050</v>
          </cell>
          <cell r="H228" t="str">
            <v xml:space="preserve">Raemulan Lands, Inc. </v>
          </cell>
          <cell r="I228" t="str">
            <v>Agapeya</v>
          </cell>
          <cell r="J228" t="str">
            <v>AGM</v>
          </cell>
          <cell r="K228" t="str">
            <v>Eco-High</v>
          </cell>
          <cell r="L228" t="str">
            <v>West</v>
          </cell>
          <cell r="M228" t="str">
            <v>With LTS - 2024</v>
          </cell>
          <cell r="N228" t="str">
            <v>YES</v>
          </cell>
          <cell r="O228" t="str">
            <v>YES</v>
          </cell>
          <cell r="P228" t="str">
            <v>Unaffected lots</v>
          </cell>
          <cell r="Q228" t="str">
            <v>YES</v>
          </cell>
          <cell r="R228">
            <v>70</v>
          </cell>
          <cell r="S228" t="str">
            <v>PCS-04-034298</v>
          </cell>
          <cell r="T228" t="str">
            <v>TCT-060-2024021620</v>
          </cell>
          <cell r="U228" t="b">
            <v>1</v>
          </cell>
          <cell r="V228" t="str">
            <v>Done</v>
          </cell>
          <cell r="W228" t="str">
            <v>2024 Batch</v>
          </cell>
          <cell r="X228" t="str">
            <v>2024 Batch</v>
          </cell>
          <cell r="Y228">
            <v>9</v>
          </cell>
          <cell r="Z228">
            <v>50</v>
          </cell>
          <cell r="AA228" t="str">
            <v>H+L</v>
          </cell>
          <cell r="AB228">
            <v>70</v>
          </cell>
          <cell r="AC228">
            <v>50</v>
          </cell>
          <cell r="AD228" t="str">
            <v>Flat</v>
          </cell>
          <cell r="AE228" t="str">
            <v>Duplex</v>
          </cell>
          <cell r="AF228" t="str">
            <v>326 - With Partition</v>
          </cell>
          <cell r="AG228" t="str">
            <v>With Partition</v>
          </cell>
          <cell r="AH228" t="str">
            <v>With Partition</v>
          </cell>
          <cell r="AI228" t="str">
            <v>YELLOW</v>
          </cell>
          <cell r="AJ228" t="str">
            <v>Flat / YELLOW</v>
          </cell>
          <cell r="AK228">
            <v>1050000</v>
          </cell>
          <cell r="AL228">
            <v>15000</v>
          </cell>
          <cell r="AM228">
            <v>1650000</v>
          </cell>
          <cell r="AN228">
            <v>33000</v>
          </cell>
          <cell r="AO228">
            <v>150000</v>
          </cell>
          <cell r="AP228">
            <v>2850000</v>
          </cell>
          <cell r="AQ228"/>
          <cell r="AR228">
            <v>2850000</v>
          </cell>
          <cell r="AS228">
            <v>0</v>
          </cell>
          <cell r="AT228">
            <v>2850000</v>
          </cell>
          <cell r="AU228">
            <v>100000</v>
          </cell>
          <cell r="AV228">
            <v>2750000</v>
          </cell>
          <cell r="AW228">
            <v>0</v>
          </cell>
          <cell r="AX228">
            <v>2750000</v>
          </cell>
        </row>
        <row r="229">
          <cell r="G229" t="str">
            <v>AGM-01-009-051</v>
          </cell>
          <cell r="H229" t="str">
            <v xml:space="preserve">Raemulan Lands, Inc. </v>
          </cell>
          <cell r="I229" t="str">
            <v>Agapeya</v>
          </cell>
          <cell r="J229" t="str">
            <v>AGM</v>
          </cell>
          <cell r="K229" t="str">
            <v>Eco-High</v>
          </cell>
          <cell r="L229" t="str">
            <v>West</v>
          </cell>
          <cell r="M229" t="str">
            <v>With LTS - 2024</v>
          </cell>
          <cell r="N229" t="str">
            <v>YES</v>
          </cell>
          <cell r="O229" t="str">
            <v>YES</v>
          </cell>
          <cell r="P229" t="str">
            <v>Unaffected lots</v>
          </cell>
          <cell r="Q229" t="str">
            <v>YES</v>
          </cell>
          <cell r="R229">
            <v>70</v>
          </cell>
          <cell r="S229" t="str">
            <v>PCS-04-035875</v>
          </cell>
          <cell r="T229" t="str">
            <v>TCT-060-2025015503</v>
          </cell>
          <cell r="U229" t="b">
            <v>1</v>
          </cell>
          <cell r="V229" t="str">
            <v>Done</v>
          </cell>
          <cell r="W229" t="str">
            <v>2024 Batch</v>
          </cell>
          <cell r="X229" t="str">
            <v>2024 Batch</v>
          </cell>
          <cell r="Y229">
            <v>9</v>
          </cell>
          <cell r="Z229">
            <v>51</v>
          </cell>
          <cell r="AA229" t="str">
            <v>H+L</v>
          </cell>
          <cell r="AB229">
            <v>70</v>
          </cell>
          <cell r="AC229">
            <v>50</v>
          </cell>
          <cell r="AD229" t="str">
            <v>Slant</v>
          </cell>
          <cell r="AE229" t="str">
            <v>Duplex</v>
          </cell>
          <cell r="AF229" t="str">
            <v>326 - With Partition</v>
          </cell>
          <cell r="AG229" t="str">
            <v>With Partition</v>
          </cell>
          <cell r="AH229" t="str">
            <v>With Partition</v>
          </cell>
          <cell r="AI229" t="str">
            <v>YELLOW</v>
          </cell>
          <cell r="AJ229" t="str">
            <v>Slant / YELLOW</v>
          </cell>
          <cell r="AK229">
            <v>1050000</v>
          </cell>
          <cell r="AL229">
            <v>15000</v>
          </cell>
          <cell r="AM229">
            <v>1650000</v>
          </cell>
          <cell r="AN229">
            <v>33000</v>
          </cell>
          <cell r="AO229">
            <v>150000</v>
          </cell>
          <cell r="AP229">
            <v>2850000</v>
          </cell>
          <cell r="AQ229"/>
          <cell r="AR229">
            <v>2850000</v>
          </cell>
          <cell r="AS229">
            <v>0</v>
          </cell>
          <cell r="AT229">
            <v>2850000</v>
          </cell>
          <cell r="AU229">
            <v>100000</v>
          </cell>
          <cell r="AV229">
            <v>2750000</v>
          </cell>
          <cell r="AW229">
            <v>0</v>
          </cell>
          <cell r="AX229">
            <v>2750000</v>
          </cell>
        </row>
        <row r="230">
          <cell r="G230" t="str">
            <v>AGM-01-009-052</v>
          </cell>
          <cell r="H230" t="str">
            <v xml:space="preserve">Raemulan Lands, Inc. </v>
          </cell>
          <cell r="I230" t="str">
            <v>Agapeya</v>
          </cell>
          <cell r="J230" t="str">
            <v>AGM</v>
          </cell>
          <cell r="K230" t="str">
            <v>Eco-High</v>
          </cell>
          <cell r="L230" t="str">
            <v>West</v>
          </cell>
          <cell r="M230" t="str">
            <v>With LTS - 2024</v>
          </cell>
          <cell r="N230" t="str">
            <v>YES</v>
          </cell>
          <cell r="O230" t="str">
            <v>YES</v>
          </cell>
          <cell r="P230" t="str">
            <v>Unaffected lots</v>
          </cell>
          <cell r="Q230" t="str">
            <v>YES</v>
          </cell>
          <cell r="R230">
            <v>70</v>
          </cell>
          <cell r="S230" t="str">
            <v>PCS-04-034407</v>
          </cell>
          <cell r="T230" t="str">
            <v>TCT-060-2024021443</v>
          </cell>
          <cell r="U230" t="b">
            <v>1</v>
          </cell>
          <cell r="V230" t="str">
            <v>Done</v>
          </cell>
          <cell r="W230" t="str">
            <v>2024 Batch</v>
          </cell>
          <cell r="X230" t="str">
            <v>2024 Batch</v>
          </cell>
          <cell r="Y230">
            <v>9</v>
          </cell>
          <cell r="Z230">
            <v>52</v>
          </cell>
          <cell r="AA230" t="str">
            <v>H+L</v>
          </cell>
          <cell r="AB230">
            <v>70</v>
          </cell>
          <cell r="AC230">
            <v>50</v>
          </cell>
          <cell r="AD230" t="str">
            <v>Slant</v>
          </cell>
          <cell r="AE230" t="str">
            <v>Duplex</v>
          </cell>
          <cell r="AF230" t="str">
            <v>326 - With Partition</v>
          </cell>
          <cell r="AG230" t="str">
            <v>With Partition</v>
          </cell>
          <cell r="AH230" t="str">
            <v>With Partition</v>
          </cell>
          <cell r="AI230" t="str">
            <v>PINK</v>
          </cell>
          <cell r="AJ230" t="str">
            <v>Slant / PINK</v>
          </cell>
          <cell r="AK230">
            <v>1050000</v>
          </cell>
          <cell r="AL230">
            <v>15000</v>
          </cell>
          <cell r="AM230">
            <v>1650000</v>
          </cell>
          <cell r="AN230">
            <v>33000</v>
          </cell>
          <cell r="AO230">
            <v>150000</v>
          </cell>
          <cell r="AP230">
            <v>2850000</v>
          </cell>
          <cell r="AQ230"/>
          <cell r="AR230">
            <v>2850000</v>
          </cell>
          <cell r="AS230">
            <v>0</v>
          </cell>
          <cell r="AT230">
            <v>2850000</v>
          </cell>
          <cell r="AU230">
            <v>100000</v>
          </cell>
          <cell r="AV230">
            <v>2750000</v>
          </cell>
          <cell r="AW230">
            <v>0</v>
          </cell>
          <cell r="AX230">
            <v>2750000</v>
          </cell>
        </row>
        <row r="231">
          <cell r="G231" t="str">
            <v>AGM-01-009-053</v>
          </cell>
          <cell r="H231" t="str">
            <v xml:space="preserve">Raemulan Lands, Inc. </v>
          </cell>
          <cell r="I231" t="str">
            <v>Agapeya</v>
          </cell>
          <cell r="J231" t="str">
            <v>AGM</v>
          </cell>
          <cell r="K231" t="str">
            <v>Eco-High</v>
          </cell>
          <cell r="L231" t="str">
            <v>West</v>
          </cell>
          <cell r="M231" t="str">
            <v>With LTS - 2024</v>
          </cell>
          <cell r="N231" t="str">
            <v>YES</v>
          </cell>
          <cell r="O231" t="str">
            <v>YES</v>
          </cell>
          <cell r="P231" t="str">
            <v>Unaffected lots</v>
          </cell>
          <cell r="Q231" t="str">
            <v>YES</v>
          </cell>
          <cell r="R231">
            <v>70</v>
          </cell>
          <cell r="S231" t="str">
            <v>PCS-04-034407</v>
          </cell>
          <cell r="T231" t="str">
            <v>TCT-060-2024021444</v>
          </cell>
          <cell r="U231" t="b">
            <v>1</v>
          </cell>
          <cell r="V231" t="str">
            <v>Done</v>
          </cell>
          <cell r="W231" t="str">
            <v>2024 Batch</v>
          </cell>
          <cell r="X231" t="str">
            <v>2024 Batch</v>
          </cell>
          <cell r="Y231">
            <v>9</v>
          </cell>
          <cell r="Z231">
            <v>53</v>
          </cell>
          <cell r="AA231" t="str">
            <v>H+L</v>
          </cell>
          <cell r="AB231">
            <v>70</v>
          </cell>
          <cell r="AC231">
            <v>50</v>
          </cell>
          <cell r="AD231" t="str">
            <v>Flat</v>
          </cell>
          <cell r="AE231" t="str">
            <v>Duplex</v>
          </cell>
          <cell r="AF231" t="str">
            <v>326 - With Partition</v>
          </cell>
          <cell r="AG231" t="str">
            <v>With Partition</v>
          </cell>
          <cell r="AH231" t="str">
            <v>With Partition</v>
          </cell>
          <cell r="AI231" t="str">
            <v>PINK</v>
          </cell>
          <cell r="AJ231" t="str">
            <v>Flat / PINK</v>
          </cell>
          <cell r="AK231">
            <v>1050000</v>
          </cell>
          <cell r="AL231">
            <v>15000</v>
          </cell>
          <cell r="AM231">
            <v>1650000</v>
          </cell>
          <cell r="AN231">
            <v>33000</v>
          </cell>
          <cell r="AO231">
            <v>150000</v>
          </cell>
          <cell r="AP231">
            <v>2850000</v>
          </cell>
          <cell r="AQ231"/>
          <cell r="AR231">
            <v>2850000</v>
          </cell>
          <cell r="AS231">
            <v>0</v>
          </cell>
          <cell r="AT231">
            <v>2850000</v>
          </cell>
          <cell r="AU231">
            <v>100000</v>
          </cell>
          <cell r="AV231">
            <v>2750000</v>
          </cell>
          <cell r="AW231">
            <v>0</v>
          </cell>
          <cell r="AX231">
            <v>2750000</v>
          </cell>
        </row>
        <row r="232">
          <cell r="G232" t="str">
            <v>AGM-01-009-054</v>
          </cell>
          <cell r="H232" t="str">
            <v xml:space="preserve">Raemulan Lands, Inc. </v>
          </cell>
          <cell r="I232" t="str">
            <v>Agapeya</v>
          </cell>
          <cell r="J232" t="str">
            <v>AGM</v>
          </cell>
          <cell r="K232" t="str">
            <v>Eco-High</v>
          </cell>
          <cell r="L232" t="str">
            <v>West</v>
          </cell>
          <cell r="M232" t="str">
            <v>With LTS - 2024</v>
          </cell>
          <cell r="N232" t="str">
            <v>YES</v>
          </cell>
          <cell r="O232" t="str">
            <v>YES</v>
          </cell>
          <cell r="P232" t="str">
            <v>Unaffected lots</v>
          </cell>
          <cell r="Q232" t="str">
            <v>YES</v>
          </cell>
          <cell r="R232">
            <v>70</v>
          </cell>
          <cell r="S232" t="str">
            <v>PCS-04-034407</v>
          </cell>
          <cell r="T232" t="str">
            <v>TCT-060-2024021445</v>
          </cell>
          <cell r="U232" t="b">
            <v>1</v>
          </cell>
          <cell r="V232" t="str">
            <v>Done</v>
          </cell>
          <cell r="W232" t="str">
            <v>2024 Batch</v>
          </cell>
          <cell r="X232" t="str">
            <v>2024 Batch</v>
          </cell>
          <cell r="Y232">
            <v>9</v>
          </cell>
          <cell r="Z232">
            <v>54</v>
          </cell>
          <cell r="AA232" t="str">
            <v>H+L</v>
          </cell>
          <cell r="AB232">
            <v>70</v>
          </cell>
          <cell r="AC232">
            <v>50</v>
          </cell>
          <cell r="AD232" t="str">
            <v>Flat</v>
          </cell>
          <cell r="AE232" t="str">
            <v>Duplex</v>
          </cell>
          <cell r="AF232" t="str">
            <v>326 - With Partition</v>
          </cell>
          <cell r="AG232" t="str">
            <v>With Partition</v>
          </cell>
          <cell r="AH232" t="str">
            <v>With Partition</v>
          </cell>
          <cell r="AI232" t="str">
            <v>PINK</v>
          </cell>
          <cell r="AJ232" t="str">
            <v>Flat / PINK</v>
          </cell>
          <cell r="AK232">
            <v>1050000</v>
          </cell>
          <cell r="AL232">
            <v>15000</v>
          </cell>
          <cell r="AM232">
            <v>1650000</v>
          </cell>
          <cell r="AN232">
            <v>33000</v>
          </cell>
          <cell r="AO232">
            <v>150000</v>
          </cell>
          <cell r="AP232">
            <v>2850000</v>
          </cell>
          <cell r="AQ232"/>
          <cell r="AR232">
            <v>2850000</v>
          </cell>
          <cell r="AS232">
            <v>0</v>
          </cell>
          <cell r="AT232">
            <v>2850000</v>
          </cell>
          <cell r="AU232">
            <v>100000</v>
          </cell>
          <cell r="AV232">
            <v>2750000</v>
          </cell>
          <cell r="AW232">
            <v>0</v>
          </cell>
          <cell r="AX232">
            <v>2750000</v>
          </cell>
        </row>
        <row r="233">
          <cell r="G233" t="str">
            <v>AGM-01-009-055</v>
          </cell>
          <cell r="H233" t="str">
            <v xml:space="preserve">Raemulan Lands, Inc. </v>
          </cell>
          <cell r="I233" t="str">
            <v>Agapeya</v>
          </cell>
          <cell r="J233" t="str">
            <v>AGM</v>
          </cell>
          <cell r="K233" t="str">
            <v>Eco-High</v>
          </cell>
          <cell r="L233" t="str">
            <v>West</v>
          </cell>
          <cell r="M233" t="str">
            <v>With LTS - 2024</v>
          </cell>
          <cell r="N233" t="str">
            <v>YES</v>
          </cell>
          <cell r="O233" t="str">
            <v>YES</v>
          </cell>
          <cell r="P233" t="str">
            <v>Unaffected lots</v>
          </cell>
          <cell r="Q233" t="str">
            <v>YES</v>
          </cell>
          <cell r="R233">
            <v>88</v>
          </cell>
          <cell r="S233" t="str">
            <v>PCS-04-034407</v>
          </cell>
          <cell r="T233" t="str">
            <v>TCT-060-2024021446</v>
          </cell>
          <cell r="U233" t="b">
            <v>1</v>
          </cell>
          <cell r="V233" t="str">
            <v>Done</v>
          </cell>
          <cell r="W233" t="str">
            <v>2024 Batch</v>
          </cell>
          <cell r="X233" t="str">
            <v>2024 Batch</v>
          </cell>
          <cell r="Y233">
            <v>9</v>
          </cell>
          <cell r="Z233">
            <v>55</v>
          </cell>
          <cell r="AA233" t="str">
            <v>H+L</v>
          </cell>
          <cell r="AB233">
            <v>88</v>
          </cell>
          <cell r="AC233">
            <v>50</v>
          </cell>
          <cell r="AD233" t="str">
            <v>Slant</v>
          </cell>
          <cell r="AE233" t="str">
            <v>Duplex</v>
          </cell>
          <cell r="AF233" t="str">
            <v>326 - With Partition</v>
          </cell>
          <cell r="AG233" t="str">
            <v>With Partition</v>
          </cell>
          <cell r="AH233" t="str">
            <v>With Partition</v>
          </cell>
          <cell r="AI233" t="str">
            <v>PINK</v>
          </cell>
          <cell r="AJ233" t="str">
            <v>Slant / PINK</v>
          </cell>
          <cell r="AK233">
            <v>1320000</v>
          </cell>
          <cell r="AL233">
            <v>15000</v>
          </cell>
          <cell r="AM233">
            <v>1650000</v>
          </cell>
          <cell r="AN233">
            <v>33000</v>
          </cell>
          <cell r="AO233">
            <v>150000</v>
          </cell>
          <cell r="AP233">
            <v>3120000</v>
          </cell>
          <cell r="AQ233"/>
          <cell r="AR233">
            <v>3120000</v>
          </cell>
          <cell r="AS233">
            <v>0</v>
          </cell>
          <cell r="AT233">
            <v>3120000</v>
          </cell>
          <cell r="AU233">
            <v>100000</v>
          </cell>
          <cell r="AV233">
            <v>3020000</v>
          </cell>
          <cell r="AW233">
            <v>0</v>
          </cell>
          <cell r="AX233">
            <v>3020000</v>
          </cell>
        </row>
        <row r="234">
          <cell r="G234" t="str">
            <v>AGM-01-010-001</v>
          </cell>
          <cell r="H234" t="str">
            <v xml:space="preserve">Raemulan Lands, Inc. </v>
          </cell>
          <cell r="I234" t="str">
            <v>Agapeya</v>
          </cell>
          <cell r="J234" t="str">
            <v>AGM</v>
          </cell>
          <cell r="K234" t="str">
            <v>Eco-High</v>
          </cell>
          <cell r="L234" t="str">
            <v>West</v>
          </cell>
          <cell r="M234" t="str">
            <v>With LTS - 2024</v>
          </cell>
          <cell r="N234" t="str">
            <v>YES</v>
          </cell>
          <cell r="O234" t="str">
            <v>YES</v>
          </cell>
          <cell r="P234" t="str">
            <v>Unaffected lots</v>
          </cell>
          <cell r="Q234" t="str">
            <v>YES</v>
          </cell>
          <cell r="R234">
            <v>88</v>
          </cell>
          <cell r="S234" t="str">
            <v>PCS-04-034407</v>
          </cell>
          <cell r="T234" t="str">
            <v>TCT-060-2024021447</v>
          </cell>
          <cell r="U234" t="b">
            <v>1</v>
          </cell>
          <cell r="V234" t="str">
            <v>Done</v>
          </cell>
          <cell r="W234" t="str">
            <v>B3 2025</v>
          </cell>
          <cell r="X234" t="str">
            <v>2025 - Batch 4</v>
          </cell>
          <cell r="Y234">
            <v>10</v>
          </cell>
          <cell r="Z234">
            <v>1</v>
          </cell>
          <cell r="AA234" t="str">
            <v>H+L</v>
          </cell>
          <cell r="AB234">
            <v>88</v>
          </cell>
          <cell r="AC234">
            <v>50</v>
          </cell>
          <cell r="AD234" t="str">
            <v>Slant</v>
          </cell>
          <cell r="AE234" t="str">
            <v>Duplex</v>
          </cell>
          <cell r="AF234" t="str">
            <v>568 - Without Partition</v>
          </cell>
          <cell r="AG234" t="str">
            <v xml:space="preserve">Without Partition </v>
          </cell>
          <cell r="AH234" t="str">
            <v xml:space="preserve">Without Partition </v>
          </cell>
          <cell r="AI234" t="str">
            <v>YELLOW</v>
          </cell>
          <cell r="AJ234" t="str">
            <v>Slant / YELLOW</v>
          </cell>
          <cell r="AK234">
            <v>1320000</v>
          </cell>
          <cell r="AL234">
            <v>15000</v>
          </cell>
          <cell r="AM234">
            <v>1650000</v>
          </cell>
          <cell r="AN234">
            <v>33000</v>
          </cell>
          <cell r="AO234">
            <v>150000</v>
          </cell>
          <cell r="AP234">
            <v>3120000</v>
          </cell>
          <cell r="AQ234"/>
          <cell r="AR234">
            <v>3120000</v>
          </cell>
          <cell r="AS234">
            <v>200000</v>
          </cell>
          <cell r="AT234">
            <v>2920000</v>
          </cell>
          <cell r="AU234">
            <v>100000</v>
          </cell>
          <cell r="AV234">
            <v>2820000</v>
          </cell>
          <cell r="AW234">
            <v>0</v>
          </cell>
          <cell r="AX234">
            <v>2820000</v>
          </cell>
        </row>
        <row r="235">
          <cell r="G235" t="str">
            <v>AGM-01-010-002</v>
          </cell>
          <cell r="H235" t="str">
            <v xml:space="preserve">Raemulan Lands, Inc. </v>
          </cell>
          <cell r="I235" t="str">
            <v>Agapeya</v>
          </cell>
          <cell r="J235" t="str">
            <v>AGM</v>
          </cell>
          <cell r="K235" t="str">
            <v>Eco-High</v>
          </cell>
          <cell r="L235" t="str">
            <v>West</v>
          </cell>
          <cell r="M235" t="str">
            <v>With LTS - 2024</v>
          </cell>
          <cell r="N235" t="str">
            <v>YES</v>
          </cell>
          <cell r="O235" t="str">
            <v>YES</v>
          </cell>
          <cell r="P235" t="str">
            <v>Unaffected lots</v>
          </cell>
          <cell r="Q235" t="str">
            <v>YES</v>
          </cell>
          <cell r="R235">
            <v>70</v>
          </cell>
          <cell r="S235" t="str">
            <v>PCS-04-034407</v>
          </cell>
          <cell r="T235" t="str">
            <v>TCT-060-2024021448</v>
          </cell>
          <cell r="U235" t="b">
            <v>1</v>
          </cell>
          <cell r="V235" t="str">
            <v>Done</v>
          </cell>
          <cell r="W235" t="str">
            <v>B3 2025</v>
          </cell>
          <cell r="X235" t="str">
            <v>2025 - Batch 4</v>
          </cell>
          <cell r="Y235">
            <v>10</v>
          </cell>
          <cell r="Z235">
            <v>2</v>
          </cell>
          <cell r="AA235" t="str">
            <v>H+L</v>
          </cell>
          <cell r="AB235">
            <v>70</v>
          </cell>
          <cell r="AC235">
            <v>50</v>
          </cell>
          <cell r="AD235" t="str">
            <v>Flat</v>
          </cell>
          <cell r="AE235" t="str">
            <v>Duplex</v>
          </cell>
          <cell r="AF235" t="str">
            <v>568 - Without Partition</v>
          </cell>
          <cell r="AG235" t="str">
            <v xml:space="preserve">Without Partition </v>
          </cell>
          <cell r="AH235" t="str">
            <v xml:space="preserve">Without Partition </v>
          </cell>
          <cell r="AI235" t="str">
            <v>YELLOW</v>
          </cell>
          <cell r="AJ235" t="str">
            <v>Flat / YELLOW</v>
          </cell>
          <cell r="AK235">
            <v>1050000</v>
          </cell>
          <cell r="AL235">
            <v>15000</v>
          </cell>
          <cell r="AM235">
            <v>1650000</v>
          </cell>
          <cell r="AN235">
            <v>33000</v>
          </cell>
          <cell r="AO235">
            <v>150000</v>
          </cell>
          <cell r="AP235">
            <v>2850000</v>
          </cell>
          <cell r="AQ235"/>
          <cell r="AR235">
            <v>2850000</v>
          </cell>
          <cell r="AS235">
            <v>200000</v>
          </cell>
          <cell r="AT235">
            <v>2650000</v>
          </cell>
          <cell r="AU235">
            <v>100000</v>
          </cell>
          <cell r="AV235">
            <v>2550000</v>
          </cell>
          <cell r="AW235">
            <v>0</v>
          </cell>
          <cell r="AX235">
            <v>2550000</v>
          </cell>
        </row>
        <row r="236">
          <cell r="G236" t="str">
            <v>AGM-01-010-003</v>
          </cell>
          <cell r="H236" t="str">
            <v xml:space="preserve">Raemulan Lands, Inc. </v>
          </cell>
          <cell r="I236" t="str">
            <v>Agapeya</v>
          </cell>
          <cell r="J236" t="str">
            <v>AGM</v>
          </cell>
          <cell r="K236" t="str">
            <v>Eco-High</v>
          </cell>
          <cell r="L236" t="str">
            <v>West</v>
          </cell>
          <cell r="M236" t="str">
            <v>With LTS - 2024</v>
          </cell>
          <cell r="N236" t="str">
            <v>YES</v>
          </cell>
          <cell r="O236" t="str">
            <v>YES</v>
          </cell>
          <cell r="P236" t="str">
            <v>Unaffected lots</v>
          </cell>
          <cell r="Q236" t="str">
            <v>YES</v>
          </cell>
          <cell r="R236">
            <v>70</v>
          </cell>
          <cell r="S236" t="str">
            <v>PCS-04-034407</v>
          </cell>
          <cell r="T236" t="str">
            <v>TCT-060-2024021449</v>
          </cell>
          <cell r="U236" t="b">
            <v>1</v>
          </cell>
          <cell r="V236" t="str">
            <v>Done</v>
          </cell>
          <cell r="W236" t="str">
            <v>B3 2025</v>
          </cell>
          <cell r="X236" t="str">
            <v>2025 - Batch 4</v>
          </cell>
          <cell r="Y236">
            <v>10</v>
          </cell>
          <cell r="Z236">
            <v>3</v>
          </cell>
          <cell r="AA236" t="str">
            <v>H+L</v>
          </cell>
          <cell r="AB236">
            <v>70</v>
          </cell>
          <cell r="AC236">
            <v>50</v>
          </cell>
          <cell r="AD236" t="str">
            <v>Flat</v>
          </cell>
          <cell r="AE236" t="str">
            <v>Duplex</v>
          </cell>
          <cell r="AF236" t="str">
            <v>568 - Without Partition</v>
          </cell>
          <cell r="AG236" t="str">
            <v xml:space="preserve">Without Partition </v>
          </cell>
          <cell r="AH236" t="str">
            <v xml:space="preserve">Without Partition </v>
          </cell>
          <cell r="AI236" t="str">
            <v>YELLOW</v>
          </cell>
          <cell r="AJ236" t="str">
            <v>Flat / YELLOW</v>
          </cell>
          <cell r="AK236">
            <v>1050000</v>
          </cell>
          <cell r="AL236">
            <v>15000</v>
          </cell>
          <cell r="AM236">
            <v>1650000</v>
          </cell>
          <cell r="AN236">
            <v>33000</v>
          </cell>
          <cell r="AO236">
            <v>150000</v>
          </cell>
          <cell r="AP236">
            <v>2850000</v>
          </cell>
          <cell r="AQ236"/>
          <cell r="AR236">
            <v>2850000</v>
          </cell>
          <cell r="AS236">
            <v>200000</v>
          </cell>
          <cell r="AT236">
            <v>2650000</v>
          </cell>
          <cell r="AU236">
            <v>100000</v>
          </cell>
          <cell r="AV236">
            <v>2550000</v>
          </cell>
          <cell r="AW236">
            <v>0</v>
          </cell>
          <cell r="AX236">
            <v>2550000</v>
          </cell>
        </row>
        <row r="237">
          <cell r="G237" t="str">
            <v>AGM-01-010-004</v>
          </cell>
          <cell r="H237" t="str">
            <v xml:space="preserve">Raemulan Lands, Inc. </v>
          </cell>
          <cell r="I237" t="str">
            <v>Agapeya</v>
          </cell>
          <cell r="J237" t="str">
            <v>AGM</v>
          </cell>
          <cell r="K237" t="str">
            <v>Eco-High</v>
          </cell>
          <cell r="L237" t="str">
            <v>West</v>
          </cell>
          <cell r="M237" t="str">
            <v>With LTS - 2024</v>
          </cell>
          <cell r="N237" t="str">
            <v>YES</v>
          </cell>
          <cell r="O237" t="str">
            <v>YES</v>
          </cell>
          <cell r="P237" t="str">
            <v>Unaffected lots</v>
          </cell>
          <cell r="Q237" t="str">
            <v>YES</v>
          </cell>
          <cell r="R237">
            <v>70</v>
          </cell>
          <cell r="S237" t="str">
            <v>PCS-04-034407</v>
          </cell>
          <cell r="T237" t="str">
            <v>TCT-060-2024021450</v>
          </cell>
          <cell r="U237" t="b">
            <v>1</v>
          </cell>
          <cell r="V237" t="str">
            <v>Done</v>
          </cell>
          <cell r="W237" t="str">
            <v>B3 2025</v>
          </cell>
          <cell r="X237" t="str">
            <v>2025 - Batch 4</v>
          </cell>
          <cell r="Y237">
            <v>10</v>
          </cell>
          <cell r="Z237">
            <v>4</v>
          </cell>
          <cell r="AA237" t="str">
            <v>H+L</v>
          </cell>
          <cell r="AB237">
            <v>70</v>
          </cell>
          <cell r="AC237">
            <v>50</v>
          </cell>
          <cell r="AD237" t="str">
            <v>Slant</v>
          </cell>
          <cell r="AE237" t="str">
            <v>Duplex</v>
          </cell>
          <cell r="AF237" t="str">
            <v>568 - Without Partition</v>
          </cell>
          <cell r="AG237" t="str">
            <v xml:space="preserve">Without Partition </v>
          </cell>
          <cell r="AH237" t="str">
            <v xml:space="preserve">Without Partition </v>
          </cell>
          <cell r="AI237" t="str">
            <v>YELLOW</v>
          </cell>
          <cell r="AJ237" t="str">
            <v>Slant / YELLOW</v>
          </cell>
          <cell r="AK237">
            <v>1050000</v>
          </cell>
          <cell r="AL237">
            <v>15000</v>
          </cell>
          <cell r="AM237">
            <v>1650000</v>
          </cell>
          <cell r="AN237">
            <v>33000</v>
          </cell>
          <cell r="AO237">
            <v>150000</v>
          </cell>
          <cell r="AP237">
            <v>2850000</v>
          </cell>
          <cell r="AQ237"/>
          <cell r="AR237">
            <v>2850000</v>
          </cell>
          <cell r="AS237">
            <v>200000</v>
          </cell>
          <cell r="AT237">
            <v>2650000</v>
          </cell>
          <cell r="AU237">
            <v>100000</v>
          </cell>
          <cell r="AV237">
            <v>2550000</v>
          </cell>
          <cell r="AW237">
            <v>0</v>
          </cell>
          <cell r="AX237">
            <v>2550000</v>
          </cell>
        </row>
        <row r="238">
          <cell r="G238" t="str">
            <v>AGM-01-010-005</v>
          </cell>
          <cell r="H238" t="str">
            <v xml:space="preserve">Raemulan Lands, Inc. </v>
          </cell>
          <cell r="I238" t="str">
            <v>Agapeya</v>
          </cell>
          <cell r="J238" t="str">
            <v>AGM</v>
          </cell>
          <cell r="K238" t="str">
            <v>Eco-High</v>
          </cell>
          <cell r="L238" t="str">
            <v>West</v>
          </cell>
          <cell r="M238" t="str">
            <v>With LTS - 2024</v>
          </cell>
          <cell r="N238" t="str">
            <v>YES</v>
          </cell>
          <cell r="O238" t="str">
            <v>YES</v>
          </cell>
          <cell r="P238" t="str">
            <v>Unaffected lots</v>
          </cell>
          <cell r="Q238" t="str">
            <v>YES</v>
          </cell>
          <cell r="R238">
            <v>70</v>
          </cell>
          <cell r="S238" t="str">
            <v>PCS-04-034407</v>
          </cell>
          <cell r="T238" t="str">
            <v>TCT-060-2024021451</v>
          </cell>
          <cell r="U238" t="b">
            <v>1</v>
          </cell>
          <cell r="V238" t="str">
            <v>Done</v>
          </cell>
          <cell r="W238" t="str">
            <v>B3 2025</v>
          </cell>
          <cell r="X238" t="str">
            <v>2025 - Batch 5</v>
          </cell>
          <cell r="Y238">
            <v>10</v>
          </cell>
          <cell r="Z238">
            <v>5</v>
          </cell>
          <cell r="AA238" t="str">
            <v>H+L</v>
          </cell>
          <cell r="AB238">
            <v>70</v>
          </cell>
          <cell r="AC238">
            <v>50</v>
          </cell>
          <cell r="AD238" t="str">
            <v>Slant</v>
          </cell>
          <cell r="AE238" t="str">
            <v>Duplex</v>
          </cell>
          <cell r="AF238" t="str">
            <v>568 - Without Partition</v>
          </cell>
          <cell r="AG238" t="str">
            <v xml:space="preserve">Without Partition </v>
          </cell>
          <cell r="AH238" t="str">
            <v xml:space="preserve">Without Partition </v>
          </cell>
          <cell r="AI238" t="str">
            <v>PINK</v>
          </cell>
          <cell r="AJ238" t="str">
            <v>Slant / PINK</v>
          </cell>
          <cell r="AK238">
            <v>1050000</v>
          </cell>
          <cell r="AL238">
            <v>15000</v>
          </cell>
          <cell r="AM238">
            <v>1650000</v>
          </cell>
          <cell r="AN238">
            <v>33000</v>
          </cell>
          <cell r="AO238">
            <v>150000</v>
          </cell>
          <cell r="AP238">
            <v>2850000</v>
          </cell>
          <cell r="AQ238"/>
          <cell r="AR238">
            <v>2850000</v>
          </cell>
          <cell r="AS238">
            <v>200000</v>
          </cell>
          <cell r="AT238">
            <v>2650000</v>
          </cell>
          <cell r="AU238">
            <v>100000</v>
          </cell>
          <cell r="AV238">
            <v>2550000</v>
          </cell>
          <cell r="AW238">
            <v>0</v>
          </cell>
          <cell r="AX238">
            <v>2550000</v>
          </cell>
        </row>
        <row r="239">
          <cell r="G239" t="str">
            <v>AGM-01-010-006</v>
          </cell>
          <cell r="H239" t="str">
            <v xml:space="preserve">Raemulan Lands, Inc. </v>
          </cell>
          <cell r="I239" t="str">
            <v>Agapeya</v>
          </cell>
          <cell r="J239" t="str">
            <v>AGM</v>
          </cell>
          <cell r="K239" t="str">
            <v>Eco-High</v>
          </cell>
          <cell r="L239" t="str">
            <v>West</v>
          </cell>
          <cell r="M239" t="str">
            <v>With LTS - 2024</v>
          </cell>
          <cell r="N239" t="str">
            <v>YES</v>
          </cell>
          <cell r="O239" t="str">
            <v>YES</v>
          </cell>
          <cell r="P239" t="str">
            <v>Unaffected lots</v>
          </cell>
          <cell r="Q239" t="str">
            <v>YES</v>
          </cell>
          <cell r="R239">
            <v>70</v>
          </cell>
          <cell r="S239" t="str">
            <v>PCS-04-034407</v>
          </cell>
          <cell r="T239" t="str">
            <v>TCT-060-2024021452</v>
          </cell>
          <cell r="U239" t="b">
            <v>1</v>
          </cell>
          <cell r="V239" t="str">
            <v>Done</v>
          </cell>
          <cell r="W239" t="str">
            <v>B3 2025</v>
          </cell>
          <cell r="X239" t="str">
            <v>2025 - Batch 5</v>
          </cell>
          <cell r="Y239">
            <v>10</v>
          </cell>
          <cell r="Z239">
            <v>6</v>
          </cell>
          <cell r="AA239" t="str">
            <v>H+L</v>
          </cell>
          <cell r="AB239">
            <v>70</v>
          </cell>
          <cell r="AC239">
            <v>50</v>
          </cell>
          <cell r="AD239" t="str">
            <v>Flat</v>
          </cell>
          <cell r="AE239" t="str">
            <v>Duplex</v>
          </cell>
          <cell r="AF239" t="str">
            <v>568 - Without Partition</v>
          </cell>
          <cell r="AG239" t="str">
            <v xml:space="preserve">Without Partition </v>
          </cell>
          <cell r="AH239" t="str">
            <v xml:space="preserve">Without Partition </v>
          </cell>
          <cell r="AI239" t="str">
            <v>PINK</v>
          </cell>
          <cell r="AJ239" t="str">
            <v>Flat / PINK</v>
          </cell>
          <cell r="AK239">
            <v>1050000</v>
          </cell>
          <cell r="AL239">
            <v>15000</v>
          </cell>
          <cell r="AM239">
            <v>1650000</v>
          </cell>
          <cell r="AN239">
            <v>33000</v>
          </cell>
          <cell r="AO239">
            <v>150000</v>
          </cell>
          <cell r="AP239">
            <v>2850000</v>
          </cell>
          <cell r="AQ239"/>
          <cell r="AR239">
            <v>2850000</v>
          </cell>
          <cell r="AS239">
            <v>200000</v>
          </cell>
          <cell r="AT239">
            <v>2650000</v>
          </cell>
          <cell r="AU239">
            <v>100000</v>
          </cell>
          <cell r="AV239">
            <v>2550000</v>
          </cell>
          <cell r="AW239">
            <v>0</v>
          </cell>
          <cell r="AX239">
            <v>2550000</v>
          </cell>
        </row>
        <row r="240">
          <cell r="G240" t="str">
            <v>AGM-01-010-007</v>
          </cell>
          <cell r="H240" t="str">
            <v xml:space="preserve">Raemulan Lands, Inc. </v>
          </cell>
          <cell r="I240" t="str">
            <v>Agapeya</v>
          </cell>
          <cell r="J240" t="str">
            <v>AGM</v>
          </cell>
          <cell r="K240" t="str">
            <v>Eco-High</v>
          </cell>
          <cell r="L240" t="str">
            <v>West</v>
          </cell>
          <cell r="M240" t="str">
            <v>With LTS - 2024</v>
          </cell>
          <cell r="N240" t="str">
            <v>YES</v>
          </cell>
          <cell r="O240" t="str">
            <v>YES</v>
          </cell>
          <cell r="P240" t="str">
            <v>Unaffected lots</v>
          </cell>
          <cell r="Q240" t="str">
            <v>YES</v>
          </cell>
          <cell r="R240">
            <v>70</v>
          </cell>
          <cell r="S240" t="str">
            <v>PCS-04-034407</v>
          </cell>
          <cell r="T240" t="str">
            <v>TCT-060-2024021453</v>
          </cell>
          <cell r="U240" t="b">
            <v>1</v>
          </cell>
          <cell r="V240" t="str">
            <v>Done</v>
          </cell>
          <cell r="W240" t="str">
            <v>B3 2025</v>
          </cell>
          <cell r="X240" t="str">
            <v>2025 - Batch 5</v>
          </cell>
          <cell r="Y240">
            <v>10</v>
          </cell>
          <cell r="Z240">
            <v>7</v>
          </cell>
          <cell r="AA240" t="str">
            <v>H+L</v>
          </cell>
          <cell r="AB240">
            <v>70</v>
          </cell>
          <cell r="AC240">
            <v>50</v>
          </cell>
          <cell r="AD240" t="str">
            <v>Flat</v>
          </cell>
          <cell r="AE240" t="str">
            <v>Duplex</v>
          </cell>
          <cell r="AF240" t="str">
            <v>568 - Without Partition</v>
          </cell>
          <cell r="AG240" t="str">
            <v xml:space="preserve">Without Partition </v>
          </cell>
          <cell r="AH240" t="str">
            <v xml:space="preserve">Without Partition </v>
          </cell>
          <cell r="AI240" t="str">
            <v>PINK</v>
          </cell>
          <cell r="AJ240" t="str">
            <v>Flat / PINK</v>
          </cell>
          <cell r="AK240">
            <v>1050000</v>
          </cell>
          <cell r="AL240">
            <v>15000</v>
          </cell>
          <cell r="AM240">
            <v>1650000</v>
          </cell>
          <cell r="AN240">
            <v>33000</v>
          </cell>
          <cell r="AO240">
            <v>150000</v>
          </cell>
          <cell r="AP240">
            <v>2850000</v>
          </cell>
          <cell r="AQ240"/>
          <cell r="AR240">
            <v>2850000</v>
          </cell>
          <cell r="AS240">
            <v>200000</v>
          </cell>
          <cell r="AT240">
            <v>2650000</v>
          </cell>
          <cell r="AU240">
            <v>100000</v>
          </cell>
          <cell r="AV240">
            <v>2550000</v>
          </cell>
          <cell r="AW240">
            <v>0</v>
          </cell>
          <cell r="AX240">
            <v>2550000</v>
          </cell>
        </row>
        <row r="241">
          <cell r="G241" t="str">
            <v>AGM-01-010-008</v>
          </cell>
          <cell r="H241" t="str">
            <v xml:space="preserve">Raemulan Lands, Inc. </v>
          </cell>
          <cell r="I241" t="str">
            <v>Agapeya</v>
          </cell>
          <cell r="J241" t="str">
            <v>AGM</v>
          </cell>
          <cell r="K241" t="str">
            <v>Eco-High</v>
          </cell>
          <cell r="L241" t="str">
            <v>West</v>
          </cell>
          <cell r="M241" t="str">
            <v>With LTS - 2024</v>
          </cell>
          <cell r="N241" t="str">
            <v>YES</v>
          </cell>
          <cell r="O241" t="str">
            <v>YES</v>
          </cell>
          <cell r="P241" t="str">
            <v>Unaffected lots</v>
          </cell>
          <cell r="Q241" t="str">
            <v>YES</v>
          </cell>
          <cell r="R241">
            <v>90</v>
          </cell>
          <cell r="S241" t="str">
            <v>PCS-04-034407</v>
          </cell>
          <cell r="T241" t="str">
            <v>TCT-060-2024021454</v>
          </cell>
          <cell r="U241" t="b">
            <v>1</v>
          </cell>
          <cell r="V241" t="str">
            <v>Done</v>
          </cell>
          <cell r="W241" t="str">
            <v>B3 2025</v>
          </cell>
          <cell r="X241" t="str">
            <v>2025 - Batch 5</v>
          </cell>
          <cell r="Y241">
            <v>10</v>
          </cell>
          <cell r="Z241">
            <v>8</v>
          </cell>
          <cell r="AA241" t="str">
            <v>H+L</v>
          </cell>
          <cell r="AB241">
            <v>90</v>
          </cell>
          <cell r="AC241">
            <v>50</v>
          </cell>
          <cell r="AD241" t="str">
            <v>Slant</v>
          </cell>
          <cell r="AE241" t="str">
            <v>Duplex</v>
          </cell>
          <cell r="AF241" t="str">
            <v>568 - Without Partition</v>
          </cell>
          <cell r="AG241" t="str">
            <v xml:space="preserve">Without Partition </v>
          </cell>
          <cell r="AH241" t="str">
            <v xml:space="preserve">Without Partition </v>
          </cell>
          <cell r="AI241" t="str">
            <v>PINK</v>
          </cell>
          <cell r="AJ241" t="str">
            <v>Slant / PINK</v>
          </cell>
          <cell r="AK241">
            <v>1350000</v>
          </cell>
          <cell r="AL241">
            <v>15000</v>
          </cell>
          <cell r="AM241">
            <v>1650000</v>
          </cell>
          <cell r="AN241">
            <v>33000</v>
          </cell>
          <cell r="AO241">
            <v>150000</v>
          </cell>
          <cell r="AP241">
            <v>3150000</v>
          </cell>
          <cell r="AQ241"/>
          <cell r="AR241">
            <v>3150000</v>
          </cell>
          <cell r="AS241">
            <v>200000</v>
          </cell>
          <cell r="AT241">
            <v>2950000</v>
          </cell>
          <cell r="AU241">
            <v>100000</v>
          </cell>
          <cell r="AV241">
            <v>2850000</v>
          </cell>
          <cell r="AW241">
            <v>0</v>
          </cell>
          <cell r="AX241">
            <v>2850000</v>
          </cell>
        </row>
        <row r="242">
          <cell r="G242" t="str">
            <v>AGM-01-010-009</v>
          </cell>
          <cell r="H242" t="str">
            <v xml:space="preserve">Raemulan Lands, Inc. </v>
          </cell>
          <cell r="I242" t="str">
            <v>Agapeya</v>
          </cell>
          <cell r="J242" t="str">
            <v>AGM</v>
          </cell>
          <cell r="K242" t="str">
            <v>Eco-High</v>
          </cell>
          <cell r="L242" t="str">
            <v>West</v>
          </cell>
          <cell r="M242" t="str">
            <v>With LTS - 2024</v>
          </cell>
          <cell r="N242" t="str">
            <v>YES</v>
          </cell>
          <cell r="O242" t="str">
            <v>YES</v>
          </cell>
          <cell r="P242" t="str">
            <v>Unaffected lots</v>
          </cell>
          <cell r="Q242" t="str">
            <v>YES</v>
          </cell>
          <cell r="R242">
            <v>90</v>
          </cell>
          <cell r="S242" t="str">
            <v>PCS-04-034407</v>
          </cell>
          <cell r="T242" t="str">
            <v>TCT-060-2024021455</v>
          </cell>
          <cell r="U242" t="b">
            <v>1</v>
          </cell>
          <cell r="V242" t="str">
            <v>Done</v>
          </cell>
          <cell r="W242" t="str">
            <v>B3 2025</v>
          </cell>
          <cell r="X242" t="str">
            <v>2025 - Batch 5</v>
          </cell>
          <cell r="Y242">
            <v>10</v>
          </cell>
          <cell r="Z242">
            <v>9</v>
          </cell>
          <cell r="AA242" t="str">
            <v>H+L</v>
          </cell>
          <cell r="AB242">
            <v>90</v>
          </cell>
          <cell r="AC242">
            <v>50</v>
          </cell>
          <cell r="AD242" t="str">
            <v>Flat</v>
          </cell>
          <cell r="AE242" t="str">
            <v>Duplex</v>
          </cell>
          <cell r="AF242" t="str">
            <v>568 - Without Partition</v>
          </cell>
          <cell r="AG242" t="str">
            <v xml:space="preserve">Without Partition </v>
          </cell>
          <cell r="AH242" t="str">
            <v xml:space="preserve">Without Partition </v>
          </cell>
          <cell r="AI242" t="str">
            <v>GREEN</v>
          </cell>
          <cell r="AJ242" t="str">
            <v>Flat / GREEN</v>
          </cell>
          <cell r="AK242">
            <v>1350000</v>
          </cell>
          <cell r="AL242">
            <v>15000</v>
          </cell>
          <cell r="AM242">
            <v>1650000</v>
          </cell>
          <cell r="AN242">
            <v>33000</v>
          </cell>
          <cell r="AO242">
            <v>150000</v>
          </cell>
          <cell r="AP242">
            <v>3150000</v>
          </cell>
          <cell r="AQ242"/>
          <cell r="AR242">
            <v>3150000</v>
          </cell>
          <cell r="AS242">
            <v>200000</v>
          </cell>
          <cell r="AT242">
            <v>2950000</v>
          </cell>
          <cell r="AU242">
            <v>100000</v>
          </cell>
          <cell r="AV242">
            <v>2850000</v>
          </cell>
          <cell r="AW242">
            <v>0</v>
          </cell>
          <cell r="AX242">
            <v>2850000</v>
          </cell>
        </row>
        <row r="243">
          <cell r="G243" t="str">
            <v>AGM-01-010-010</v>
          </cell>
          <cell r="H243" t="str">
            <v xml:space="preserve">Raemulan Lands, Inc. </v>
          </cell>
          <cell r="I243" t="str">
            <v>Agapeya</v>
          </cell>
          <cell r="J243" t="str">
            <v>AGM</v>
          </cell>
          <cell r="K243" t="str">
            <v>Eco-High</v>
          </cell>
          <cell r="L243" t="str">
            <v>West</v>
          </cell>
          <cell r="M243" t="str">
            <v>With LTS - 2024</v>
          </cell>
          <cell r="N243" t="str">
            <v>YES</v>
          </cell>
          <cell r="O243" t="str">
            <v>YES</v>
          </cell>
          <cell r="P243" t="str">
            <v>Unaffected lots</v>
          </cell>
          <cell r="Q243" t="str">
            <v>YES</v>
          </cell>
          <cell r="R243">
            <v>70</v>
          </cell>
          <cell r="S243" t="str">
            <v>PCS-04-034407</v>
          </cell>
          <cell r="T243" t="str">
            <v>TCT-060-2024021456</v>
          </cell>
          <cell r="U243" t="b">
            <v>1</v>
          </cell>
          <cell r="V243" t="str">
            <v>Done</v>
          </cell>
          <cell r="W243" t="str">
            <v>B3 2025</v>
          </cell>
          <cell r="X243" t="str">
            <v>2025 - Batch 5</v>
          </cell>
          <cell r="Y243">
            <v>10</v>
          </cell>
          <cell r="Z243">
            <v>10</v>
          </cell>
          <cell r="AA243" t="str">
            <v>H+L</v>
          </cell>
          <cell r="AB243">
            <v>70</v>
          </cell>
          <cell r="AC243">
            <v>50</v>
          </cell>
          <cell r="AD243" t="str">
            <v>Slant</v>
          </cell>
          <cell r="AE243" t="str">
            <v>Duplex</v>
          </cell>
          <cell r="AF243" t="str">
            <v>568 - Without Partition</v>
          </cell>
          <cell r="AG243" t="str">
            <v xml:space="preserve">Without Partition </v>
          </cell>
          <cell r="AH243" t="str">
            <v xml:space="preserve">Without Partition </v>
          </cell>
          <cell r="AI243" t="str">
            <v>GREEN</v>
          </cell>
          <cell r="AJ243" t="str">
            <v>Slant / GREEN</v>
          </cell>
          <cell r="AK243">
            <v>1050000</v>
          </cell>
          <cell r="AL243">
            <v>15000</v>
          </cell>
          <cell r="AM243">
            <v>1650000</v>
          </cell>
          <cell r="AN243">
            <v>33000</v>
          </cell>
          <cell r="AO243">
            <v>150000</v>
          </cell>
          <cell r="AP243">
            <v>2850000</v>
          </cell>
          <cell r="AQ243"/>
          <cell r="AR243">
            <v>2850000</v>
          </cell>
          <cell r="AS243">
            <v>200000</v>
          </cell>
          <cell r="AT243">
            <v>2650000</v>
          </cell>
          <cell r="AU243">
            <v>100000</v>
          </cell>
          <cell r="AV243">
            <v>2550000</v>
          </cell>
          <cell r="AW243">
            <v>0</v>
          </cell>
          <cell r="AX243">
            <v>2550000</v>
          </cell>
        </row>
        <row r="244">
          <cell r="G244" t="str">
            <v>AGM-01-010-011</v>
          </cell>
          <cell r="H244" t="str">
            <v xml:space="preserve">Raemulan Lands, Inc. </v>
          </cell>
          <cell r="I244" t="str">
            <v>Agapeya</v>
          </cell>
          <cell r="J244" t="str">
            <v>AGM</v>
          </cell>
          <cell r="K244" t="str">
            <v>Eco-High</v>
          </cell>
          <cell r="L244" t="str">
            <v>West</v>
          </cell>
          <cell r="M244" t="str">
            <v>With LTS - 2024</v>
          </cell>
          <cell r="N244" t="str">
            <v>YES</v>
          </cell>
          <cell r="O244" t="str">
            <v>YES</v>
          </cell>
          <cell r="P244" t="str">
            <v>Unaffected lots</v>
          </cell>
          <cell r="Q244" t="str">
            <v>YES</v>
          </cell>
          <cell r="R244">
            <v>70</v>
          </cell>
          <cell r="S244" t="str">
            <v>PCS-04-034407</v>
          </cell>
          <cell r="T244" t="str">
            <v>TCT-060-2024021457</v>
          </cell>
          <cell r="U244" t="b">
            <v>1</v>
          </cell>
          <cell r="V244" t="str">
            <v>Done</v>
          </cell>
          <cell r="W244" t="str">
            <v>B4 2025</v>
          </cell>
          <cell r="X244" t="str">
            <v>2025 - Batch 5</v>
          </cell>
          <cell r="Y244">
            <v>10</v>
          </cell>
          <cell r="Z244">
            <v>11</v>
          </cell>
          <cell r="AA244" t="str">
            <v>H+L</v>
          </cell>
          <cell r="AB244">
            <v>70</v>
          </cell>
          <cell r="AC244">
            <v>50</v>
          </cell>
          <cell r="AD244" t="str">
            <v>Slant</v>
          </cell>
          <cell r="AE244" t="str">
            <v>Duplex</v>
          </cell>
          <cell r="AF244" t="str">
            <v>568 - Without Partition</v>
          </cell>
          <cell r="AG244" t="str">
            <v xml:space="preserve">Without Partition </v>
          </cell>
          <cell r="AH244" t="str">
            <v xml:space="preserve">Without Partition </v>
          </cell>
          <cell r="AI244" t="str">
            <v>GREEN</v>
          </cell>
          <cell r="AJ244" t="str">
            <v>Slant / GREEN</v>
          </cell>
          <cell r="AK244">
            <v>1050000</v>
          </cell>
          <cell r="AL244">
            <v>15000</v>
          </cell>
          <cell r="AM244">
            <v>1650000</v>
          </cell>
          <cell r="AN244">
            <v>33000</v>
          </cell>
          <cell r="AO244">
            <v>150000</v>
          </cell>
          <cell r="AP244">
            <v>2850000</v>
          </cell>
          <cell r="AQ244"/>
          <cell r="AR244">
            <v>2850000</v>
          </cell>
          <cell r="AS244">
            <v>200000</v>
          </cell>
          <cell r="AT244">
            <v>2650000</v>
          </cell>
          <cell r="AU244">
            <v>100000</v>
          </cell>
          <cell r="AV244">
            <v>2550000</v>
          </cell>
          <cell r="AW244">
            <v>0</v>
          </cell>
          <cell r="AX244">
            <v>2550000</v>
          </cell>
        </row>
        <row r="245">
          <cell r="G245" t="str">
            <v>AGM-01-010-012</v>
          </cell>
          <cell r="H245" t="str">
            <v xml:space="preserve">Raemulan Lands, Inc. </v>
          </cell>
          <cell r="I245" t="str">
            <v>Agapeya</v>
          </cell>
          <cell r="J245" t="str">
            <v>AGM</v>
          </cell>
          <cell r="K245" t="str">
            <v>Eco-High</v>
          </cell>
          <cell r="L245" t="str">
            <v>West</v>
          </cell>
          <cell r="M245" t="str">
            <v>With LTS - 2024</v>
          </cell>
          <cell r="N245" t="str">
            <v>YES</v>
          </cell>
          <cell r="O245" t="str">
            <v>YES</v>
          </cell>
          <cell r="P245" t="str">
            <v>Unaffected lots</v>
          </cell>
          <cell r="Q245" t="str">
            <v>YES</v>
          </cell>
          <cell r="R245">
            <v>70</v>
          </cell>
          <cell r="S245" t="str">
            <v>PCS-04-034407</v>
          </cell>
          <cell r="T245" t="str">
            <v>TCT-060-2024021458</v>
          </cell>
          <cell r="U245" t="b">
            <v>1</v>
          </cell>
          <cell r="V245" t="str">
            <v>Done</v>
          </cell>
          <cell r="W245" t="str">
            <v>B4 2025</v>
          </cell>
          <cell r="X245" t="str">
            <v>2025 - Batch 5</v>
          </cell>
          <cell r="Y245">
            <v>10</v>
          </cell>
          <cell r="Z245">
            <v>12</v>
          </cell>
          <cell r="AA245" t="str">
            <v>H+L</v>
          </cell>
          <cell r="AB245">
            <v>70</v>
          </cell>
          <cell r="AC245">
            <v>50</v>
          </cell>
          <cell r="AD245" t="str">
            <v>Flat</v>
          </cell>
          <cell r="AE245" t="str">
            <v>Duplex</v>
          </cell>
          <cell r="AF245" t="str">
            <v>568 - Without Partition</v>
          </cell>
          <cell r="AG245" t="str">
            <v xml:space="preserve">Without Partition </v>
          </cell>
          <cell r="AH245" t="str">
            <v xml:space="preserve">Without Partition </v>
          </cell>
          <cell r="AI245" t="str">
            <v>GREEN</v>
          </cell>
          <cell r="AJ245" t="str">
            <v>Flat / GREEN</v>
          </cell>
          <cell r="AK245">
            <v>1050000</v>
          </cell>
          <cell r="AL245">
            <v>15000</v>
          </cell>
          <cell r="AM245">
            <v>1650000</v>
          </cell>
          <cell r="AN245">
            <v>33000</v>
          </cell>
          <cell r="AO245">
            <v>150000</v>
          </cell>
          <cell r="AP245">
            <v>2850000</v>
          </cell>
          <cell r="AQ245"/>
          <cell r="AR245">
            <v>2850000</v>
          </cell>
          <cell r="AS245">
            <v>200000</v>
          </cell>
          <cell r="AT245">
            <v>2650000</v>
          </cell>
          <cell r="AU245">
            <v>100000</v>
          </cell>
          <cell r="AV245">
            <v>2550000</v>
          </cell>
          <cell r="AW245">
            <v>0</v>
          </cell>
          <cell r="AX245">
            <v>2550000</v>
          </cell>
        </row>
        <row r="246">
          <cell r="G246" t="str">
            <v>AGM-01-010-013</v>
          </cell>
          <cell r="H246" t="str">
            <v xml:space="preserve">Raemulan Lands, Inc. </v>
          </cell>
          <cell r="I246" t="str">
            <v>Agapeya</v>
          </cell>
          <cell r="J246" t="str">
            <v>AGM</v>
          </cell>
          <cell r="K246" t="str">
            <v>Eco-High</v>
          </cell>
          <cell r="L246" t="str">
            <v>West</v>
          </cell>
          <cell r="M246" t="str">
            <v>With LTS - 2024</v>
          </cell>
          <cell r="N246" t="str">
            <v>YES</v>
          </cell>
          <cell r="O246" t="str">
            <v>YES</v>
          </cell>
          <cell r="P246" t="str">
            <v>Unaffected lots</v>
          </cell>
          <cell r="Q246" t="str">
            <v>YES</v>
          </cell>
          <cell r="R246">
            <v>70</v>
          </cell>
          <cell r="S246" t="str">
            <v>PCS-04-034407</v>
          </cell>
          <cell r="T246" t="str">
            <v>TCT-060-2024021459</v>
          </cell>
          <cell r="U246" t="b">
            <v>1</v>
          </cell>
          <cell r="V246" t="str">
            <v>Done</v>
          </cell>
          <cell r="W246" t="str">
            <v>B4 2025</v>
          </cell>
          <cell r="X246" t="str">
            <v>2025 - Batch 5</v>
          </cell>
          <cell r="Y246">
            <v>10</v>
          </cell>
          <cell r="Z246">
            <v>13</v>
          </cell>
          <cell r="AA246" t="str">
            <v>H+L</v>
          </cell>
          <cell r="AB246">
            <v>70</v>
          </cell>
          <cell r="AC246">
            <v>50</v>
          </cell>
          <cell r="AD246" t="str">
            <v>Slant</v>
          </cell>
          <cell r="AE246" t="str">
            <v>Duplex</v>
          </cell>
          <cell r="AF246" t="str">
            <v>568 - Without Partition</v>
          </cell>
          <cell r="AG246" t="str">
            <v xml:space="preserve">Without Partition </v>
          </cell>
          <cell r="AH246" t="str">
            <v xml:space="preserve">Without Partition </v>
          </cell>
          <cell r="AI246" t="str">
            <v>YELLOW</v>
          </cell>
          <cell r="AJ246" t="str">
            <v>Slant / YELLOW</v>
          </cell>
          <cell r="AK246">
            <v>1050000</v>
          </cell>
          <cell r="AL246">
            <v>15000</v>
          </cell>
          <cell r="AM246">
            <v>1650000</v>
          </cell>
          <cell r="AN246">
            <v>33000</v>
          </cell>
          <cell r="AO246">
            <v>150000</v>
          </cell>
          <cell r="AP246">
            <v>2850000</v>
          </cell>
          <cell r="AQ246"/>
          <cell r="AR246">
            <v>2850000</v>
          </cell>
          <cell r="AS246">
            <v>200000</v>
          </cell>
          <cell r="AT246">
            <v>2650000</v>
          </cell>
          <cell r="AU246">
            <v>100000</v>
          </cell>
          <cell r="AV246">
            <v>2550000</v>
          </cell>
          <cell r="AW246">
            <v>0</v>
          </cell>
          <cell r="AX246">
            <v>2550000</v>
          </cell>
        </row>
        <row r="247">
          <cell r="G247" t="str">
            <v>AGM-01-010-014</v>
          </cell>
          <cell r="H247" t="str">
            <v xml:space="preserve">Raemulan Lands, Inc. </v>
          </cell>
          <cell r="I247" t="str">
            <v>Agapeya</v>
          </cell>
          <cell r="J247" t="str">
            <v>AGM</v>
          </cell>
          <cell r="K247" t="str">
            <v>Eco-High</v>
          </cell>
          <cell r="L247" t="str">
            <v>West</v>
          </cell>
          <cell r="M247" t="str">
            <v>With LTS - 2024</v>
          </cell>
          <cell r="N247" t="str">
            <v>YES</v>
          </cell>
          <cell r="O247" t="str">
            <v>YES</v>
          </cell>
          <cell r="P247" t="str">
            <v>Unaffected lots</v>
          </cell>
          <cell r="Q247" t="str">
            <v>YES</v>
          </cell>
          <cell r="R247">
            <v>70</v>
          </cell>
          <cell r="S247" t="str">
            <v>PCS-04-034407</v>
          </cell>
          <cell r="T247" t="str">
            <v>TCT-060-2024021460</v>
          </cell>
          <cell r="U247" t="b">
            <v>1</v>
          </cell>
          <cell r="V247" t="str">
            <v>Done</v>
          </cell>
          <cell r="W247" t="str">
            <v>B4 2025</v>
          </cell>
          <cell r="X247" t="str">
            <v>2025 - Batch 5</v>
          </cell>
          <cell r="Y247">
            <v>10</v>
          </cell>
          <cell r="Z247">
            <v>14</v>
          </cell>
          <cell r="AA247" t="str">
            <v>H+L</v>
          </cell>
          <cell r="AB247">
            <v>70</v>
          </cell>
          <cell r="AC247">
            <v>50</v>
          </cell>
          <cell r="AD247" t="str">
            <v>Flat</v>
          </cell>
          <cell r="AE247" t="str">
            <v>Duplex</v>
          </cell>
          <cell r="AF247" t="str">
            <v>568 - Without Partition</v>
          </cell>
          <cell r="AG247" t="str">
            <v xml:space="preserve">Without Partition </v>
          </cell>
          <cell r="AH247" t="str">
            <v xml:space="preserve">Without Partition </v>
          </cell>
          <cell r="AI247" t="str">
            <v>YELLOW</v>
          </cell>
          <cell r="AJ247" t="str">
            <v>Flat / YELLOW</v>
          </cell>
          <cell r="AK247">
            <v>1050000</v>
          </cell>
          <cell r="AL247">
            <v>15000</v>
          </cell>
          <cell r="AM247">
            <v>1650000</v>
          </cell>
          <cell r="AN247">
            <v>33000</v>
          </cell>
          <cell r="AO247">
            <v>150000</v>
          </cell>
          <cell r="AP247">
            <v>2850000</v>
          </cell>
          <cell r="AQ247"/>
          <cell r="AR247">
            <v>2850000</v>
          </cell>
          <cell r="AS247">
            <v>200000</v>
          </cell>
          <cell r="AT247">
            <v>2650000</v>
          </cell>
          <cell r="AU247">
            <v>100000</v>
          </cell>
          <cell r="AV247">
            <v>2550000</v>
          </cell>
          <cell r="AW247">
            <v>0</v>
          </cell>
          <cell r="AX247">
            <v>2550000</v>
          </cell>
        </row>
        <row r="248">
          <cell r="G248" t="str">
            <v>AGM-01-010-015</v>
          </cell>
          <cell r="H248" t="str">
            <v xml:space="preserve">Raemulan Lands, Inc. </v>
          </cell>
          <cell r="I248" t="str">
            <v>Agapeya</v>
          </cell>
          <cell r="J248" t="str">
            <v>AGM</v>
          </cell>
          <cell r="K248" t="str">
            <v>Eco-High</v>
          </cell>
          <cell r="L248" t="str">
            <v>West</v>
          </cell>
          <cell r="M248" t="str">
            <v>With LTS - 2024</v>
          </cell>
          <cell r="N248" t="str">
            <v>YES</v>
          </cell>
          <cell r="O248" t="str">
            <v>YES</v>
          </cell>
          <cell r="P248" t="str">
            <v>Unaffected lots</v>
          </cell>
          <cell r="Q248" t="str">
            <v>YES</v>
          </cell>
          <cell r="R248">
            <v>70</v>
          </cell>
          <cell r="S248" t="str">
            <v>PCS-04-034407</v>
          </cell>
          <cell r="T248" t="str">
            <v>TCT-060-2024021461</v>
          </cell>
          <cell r="U248" t="b">
            <v>1</v>
          </cell>
          <cell r="V248" t="str">
            <v>Done</v>
          </cell>
          <cell r="W248" t="str">
            <v>B4 2025</v>
          </cell>
          <cell r="X248" t="str">
            <v>2025 - Batch 4</v>
          </cell>
          <cell r="Y248">
            <v>10</v>
          </cell>
          <cell r="Z248">
            <v>15</v>
          </cell>
          <cell r="AA248" t="str">
            <v>H+L</v>
          </cell>
          <cell r="AB248">
            <v>70</v>
          </cell>
          <cell r="AC248">
            <v>50</v>
          </cell>
          <cell r="AD248" t="str">
            <v>Flat</v>
          </cell>
          <cell r="AE248" t="str">
            <v>Duplex</v>
          </cell>
          <cell r="AF248" t="str">
            <v>568 - Without Partition</v>
          </cell>
          <cell r="AG248" t="str">
            <v xml:space="preserve">Without Partition </v>
          </cell>
          <cell r="AH248" t="str">
            <v xml:space="preserve">Without Partition </v>
          </cell>
          <cell r="AI248" t="str">
            <v>YELLOW</v>
          </cell>
          <cell r="AJ248" t="str">
            <v>Flat / YELLOW</v>
          </cell>
          <cell r="AK248">
            <v>1050000</v>
          </cell>
          <cell r="AL248">
            <v>15000</v>
          </cell>
          <cell r="AM248">
            <v>1650000</v>
          </cell>
          <cell r="AN248">
            <v>33000</v>
          </cell>
          <cell r="AO248">
            <v>150000</v>
          </cell>
          <cell r="AP248">
            <v>2850000</v>
          </cell>
          <cell r="AQ248"/>
          <cell r="AR248">
            <v>2850000</v>
          </cell>
          <cell r="AS248">
            <v>200000</v>
          </cell>
          <cell r="AT248">
            <v>2650000</v>
          </cell>
          <cell r="AU248">
            <v>100000</v>
          </cell>
          <cell r="AV248">
            <v>2550000</v>
          </cell>
          <cell r="AW248">
            <v>0</v>
          </cell>
          <cell r="AX248">
            <v>2550000</v>
          </cell>
        </row>
        <row r="249">
          <cell r="G249" t="str">
            <v>AGM-01-010-016</v>
          </cell>
          <cell r="H249" t="str">
            <v xml:space="preserve">Raemulan Lands, Inc. </v>
          </cell>
          <cell r="I249" t="str">
            <v>Agapeya</v>
          </cell>
          <cell r="J249" t="str">
            <v>AGM</v>
          </cell>
          <cell r="K249" t="str">
            <v>Eco-High</v>
          </cell>
          <cell r="L249" t="str">
            <v>West</v>
          </cell>
          <cell r="M249" t="str">
            <v>With LTS - 2024</v>
          </cell>
          <cell r="N249" t="str">
            <v>YES</v>
          </cell>
          <cell r="O249" t="str">
            <v>YES</v>
          </cell>
          <cell r="P249" t="str">
            <v>Unaffected lots</v>
          </cell>
          <cell r="Q249" t="str">
            <v>YES</v>
          </cell>
          <cell r="R249">
            <v>90</v>
          </cell>
          <cell r="S249" t="str">
            <v>PCS-04-034407</v>
          </cell>
          <cell r="T249" t="str">
            <v>TCT-060-2024021462</v>
          </cell>
          <cell r="U249" t="b">
            <v>1</v>
          </cell>
          <cell r="V249" t="str">
            <v>Done</v>
          </cell>
          <cell r="W249" t="str">
            <v>B4 2025</v>
          </cell>
          <cell r="X249" t="str">
            <v>2025 - Batch 4</v>
          </cell>
          <cell r="Y249">
            <v>10</v>
          </cell>
          <cell r="Z249">
            <v>16</v>
          </cell>
          <cell r="AA249" t="str">
            <v>H+L</v>
          </cell>
          <cell r="AB249">
            <v>90</v>
          </cell>
          <cell r="AC249">
            <v>50</v>
          </cell>
          <cell r="AD249" t="str">
            <v>Slant</v>
          </cell>
          <cell r="AE249" t="str">
            <v>Duplex</v>
          </cell>
          <cell r="AF249" t="str">
            <v>568 - Without Partition</v>
          </cell>
          <cell r="AG249" t="str">
            <v xml:space="preserve">Without Partition </v>
          </cell>
          <cell r="AH249" t="str">
            <v xml:space="preserve">Without Partition </v>
          </cell>
          <cell r="AI249" t="str">
            <v>YELLOW</v>
          </cell>
          <cell r="AJ249" t="str">
            <v>Slant / YELLOW</v>
          </cell>
          <cell r="AK249">
            <v>1350000</v>
          </cell>
          <cell r="AL249">
            <v>15000</v>
          </cell>
          <cell r="AM249">
            <v>1650000</v>
          </cell>
          <cell r="AN249">
            <v>33000</v>
          </cell>
          <cell r="AO249">
            <v>150000</v>
          </cell>
          <cell r="AP249">
            <v>3150000</v>
          </cell>
          <cell r="AQ249"/>
          <cell r="AR249">
            <v>3150000</v>
          </cell>
          <cell r="AS249">
            <v>200000</v>
          </cell>
          <cell r="AT249">
            <v>2950000</v>
          </cell>
          <cell r="AU249">
            <v>100000</v>
          </cell>
          <cell r="AV249">
            <v>2850000</v>
          </cell>
          <cell r="AW249">
            <v>0</v>
          </cell>
          <cell r="AX249">
            <v>2850000</v>
          </cell>
        </row>
        <row r="250">
          <cell r="G250" t="str">
            <v>AGM-01-011-001</v>
          </cell>
          <cell r="H250" t="str">
            <v xml:space="preserve">Raemulan Lands, Inc. </v>
          </cell>
          <cell r="I250" t="str">
            <v>Agapeya</v>
          </cell>
          <cell r="J250" t="str">
            <v>AGM</v>
          </cell>
          <cell r="K250" t="str">
            <v>Eco-High</v>
          </cell>
          <cell r="L250" t="str">
            <v>West</v>
          </cell>
          <cell r="M250" t="str">
            <v>With LTS - 2024</v>
          </cell>
          <cell r="N250" t="str">
            <v>YES</v>
          </cell>
          <cell r="O250" t="str">
            <v>YES</v>
          </cell>
          <cell r="P250" t="str">
            <v>Unaffected lots</v>
          </cell>
          <cell r="Q250" t="str">
            <v>YES</v>
          </cell>
          <cell r="R250">
            <v>90</v>
          </cell>
          <cell r="S250" t="str">
            <v>PCS-04-035872</v>
          </cell>
          <cell r="T250" t="str">
            <v>TCT-060-2025015500</v>
          </cell>
          <cell r="U250" t="b">
            <v>1</v>
          </cell>
          <cell r="V250" t="str">
            <v>Done</v>
          </cell>
          <cell r="W250" t="str">
            <v>B3 2025</v>
          </cell>
          <cell r="X250" t="str">
            <v>2025 - Batch 4</v>
          </cell>
          <cell r="Y250">
            <v>11</v>
          </cell>
          <cell r="Z250">
            <v>1</v>
          </cell>
          <cell r="AA250" t="str">
            <v>H+L</v>
          </cell>
          <cell r="AB250">
            <v>90</v>
          </cell>
          <cell r="AC250">
            <v>50</v>
          </cell>
          <cell r="AD250" t="str">
            <v>Slant</v>
          </cell>
          <cell r="AE250" t="str">
            <v>Duplex</v>
          </cell>
          <cell r="AF250" t="str">
            <v>568 - Without Partition</v>
          </cell>
          <cell r="AG250" t="str">
            <v xml:space="preserve">Without Partition </v>
          </cell>
          <cell r="AH250" t="str">
            <v xml:space="preserve">Without Partition </v>
          </cell>
          <cell r="AI250" t="str">
            <v>PINK</v>
          </cell>
          <cell r="AJ250" t="str">
            <v>Slant / PINK</v>
          </cell>
          <cell r="AK250">
            <v>1350000</v>
          </cell>
          <cell r="AL250">
            <v>15000</v>
          </cell>
          <cell r="AM250">
            <v>1650000</v>
          </cell>
          <cell r="AN250">
            <v>33000</v>
          </cell>
          <cell r="AO250">
            <v>150000</v>
          </cell>
          <cell r="AP250">
            <v>3150000</v>
          </cell>
          <cell r="AQ250"/>
          <cell r="AR250">
            <v>3150000</v>
          </cell>
          <cell r="AS250">
            <v>200000</v>
          </cell>
          <cell r="AT250">
            <v>2950000</v>
          </cell>
          <cell r="AU250">
            <v>100000</v>
          </cell>
          <cell r="AV250">
            <v>2850000</v>
          </cell>
          <cell r="AW250">
            <v>0</v>
          </cell>
          <cell r="AX250">
            <v>2850000</v>
          </cell>
        </row>
        <row r="251">
          <cell r="G251" t="str">
            <v>AGM-01-011-002</v>
          </cell>
          <cell r="H251" t="str">
            <v xml:space="preserve">Raemulan Lands, Inc. </v>
          </cell>
          <cell r="I251" t="str">
            <v>Agapeya</v>
          </cell>
          <cell r="J251" t="str">
            <v>AGM</v>
          </cell>
          <cell r="K251" t="str">
            <v>Eco-High</v>
          </cell>
          <cell r="L251" t="str">
            <v>West</v>
          </cell>
          <cell r="M251" t="str">
            <v>With LTS - 2024</v>
          </cell>
          <cell r="N251" t="str">
            <v>YES</v>
          </cell>
          <cell r="O251" t="str">
            <v>YES</v>
          </cell>
          <cell r="P251" t="str">
            <v>Unaffected lots</v>
          </cell>
          <cell r="Q251" t="str">
            <v>YES</v>
          </cell>
          <cell r="R251">
            <v>70</v>
          </cell>
          <cell r="S251" t="str">
            <v>PCS-04-034407</v>
          </cell>
          <cell r="T251" t="str">
            <v>TCT-060-2024021464</v>
          </cell>
          <cell r="U251" t="b">
            <v>1</v>
          </cell>
          <cell r="V251" t="str">
            <v>Done</v>
          </cell>
          <cell r="W251" t="str">
            <v>B3 2025</v>
          </cell>
          <cell r="X251" t="str">
            <v>2025 - Batch 4</v>
          </cell>
          <cell r="Y251">
            <v>11</v>
          </cell>
          <cell r="Z251">
            <v>2</v>
          </cell>
          <cell r="AA251" t="str">
            <v>H+L</v>
          </cell>
          <cell r="AB251">
            <v>70</v>
          </cell>
          <cell r="AC251">
            <v>50</v>
          </cell>
          <cell r="AD251" t="str">
            <v>Flat</v>
          </cell>
          <cell r="AE251" t="str">
            <v>Duplex</v>
          </cell>
          <cell r="AF251" t="str">
            <v>568 - Without Partition</v>
          </cell>
          <cell r="AG251" t="str">
            <v xml:space="preserve">Without Partition </v>
          </cell>
          <cell r="AH251" t="str">
            <v xml:space="preserve">Without Partition </v>
          </cell>
          <cell r="AI251" t="str">
            <v>PINK</v>
          </cell>
          <cell r="AJ251" t="str">
            <v>Flat / PINK</v>
          </cell>
          <cell r="AK251">
            <v>1050000</v>
          </cell>
          <cell r="AL251">
            <v>15000</v>
          </cell>
          <cell r="AM251">
            <v>1650000</v>
          </cell>
          <cell r="AN251">
            <v>33000</v>
          </cell>
          <cell r="AO251">
            <v>150000</v>
          </cell>
          <cell r="AP251">
            <v>2850000</v>
          </cell>
          <cell r="AQ251"/>
          <cell r="AR251">
            <v>2850000</v>
          </cell>
          <cell r="AS251">
            <v>200000</v>
          </cell>
          <cell r="AT251">
            <v>2650000</v>
          </cell>
          <cell r="AU251">
            <v>100000</v>
          </cell>
          <cell r="AV251">
            <v>2550000</v>
          </cell>
          <cell r="AW251">
            <v>0</v>
          </cell>
          <cell r="AX251">
            <v>2550000</v>
          </cell>
        </row>
        <row r="252">
          <cell r="G252" t="str">
            <v>AGM-01-011-003</v>
          </cell>
          <cell r="H252" t="str">
            <v xml:space="preserve">Raemulan Lands, Inc. </v>
          </cell>
          <cell r="I252" t="str">
            <v>Agapeya</v>
          </cell>
          <cell r="J252" t="str">
            <v>AGM</v>
          </cell>
          <cell r="K252" t="str">
            <v>Eco-High</v>
          </cell>
          <cell r="L252" t="str">
            <v>West</v>
          </cell>
          <cell r="M252" t="str">
            <v>With LTS - 2024</v>
          </cell>
          <cell r="N252" t="str">
            <v>YES</v>
          </cell>
          <cell r="O252" t="str">
            <v>YES</v>
          </cell>
          <cell r="P252" t="str">
            <v>Unaffected lots</v>
          </cell>
          <cell r="Q252" t="str">
            <v>YES</v>
          </cell>
          <cell r="R252">
            <v>70</v>
          </cell>
          <cell r="S252" t="str">
            <v>PCS-04-034407</v>
          </cell>
          <cell r="T252" t="str">
            <v>TCT-060-2024021465</v>
          </cell>
          <cell r="U252" t="b">
            <v>1</v>
          </cell>
          <cell r="V252" t="str">
            <v>Done</v>
          </cell>
          <cell r="W252" t="str">
            <v>B3 2025</v>
          </cell>
          <cell r="X252" t="str">
            <v>2025 - Batch 4</v>
          </cell>
          <cell r="Y252">
            <v>11</v>
          </cell>
          <cell r="Z252">
            <v>3</v>
          </cell>
          <cell r="AA252" t="str">
            <v>H+L</v>
          </cell>
          <cell r="AB252">
            <v>70</v>
          </cell>
          <cell r="AC252">
            <v>50</v>
          </cell>
          <cell r="AD252" t="str">
            <v>Flat</v>
          </cell>
          <cell r="AE252" t="str">
            <v>Duplex</v>
          </cell>
          <cell r="AF252" t="str">
            <v>568 - Without Partition</v>
          </cell>
          <cell r="AG252" t="str">
            <v xml:space="preserve">Without Partition </v>
          </cell>
          <cell r="AH252" t="str">
            <v xml:space="preserve">Without Partition </v>
          </cell>
          <cell r="AI252" t="str">
            <v>PINK</v>
          </cell>
          <cell r="AJ252" t="str">
            <v>Flat / PINK</v>
          </cell>
          <cell r="AK252">
            <v>1050000</v>
          </cell>
          <cell r="AL252">
            <v>15000</v>
          </cell>
          <cell r="AM252">
            <v>1650000</v>
          </cell>
          <cell r="AN252">
            <v>33000</v>
          </cell>
          <cell r="AO252">
            <v>150000</v>
          </cell>
          <cell r="AP252">
            <v>2850000</v>
          </cell>
          <cell r="AQ252"/>
          <cell r="AR252">
            <v>2850000</v>
          </cell>
          <cell r="AS252">
            <v>200000</v>
          </cell>
          <cell r="AT252">
            <v>2650000</v>
          </cell>
          <cell r="AU252">
            <v>100000</v>
          </cell>
          <cell r="AV252">
            <v>2550000</v>
          </cell>
          <cell r="AW252">
            <v>0</v>
          </cell>
          <cell r="AX252">
            <v>2550000</v>
          </cell>
        </row>
        <row r="253">
          <cell r="G253" t="str">
            <v>AGM-01-011-004</v>
          </cell>
          <cell r="H253" t="str">
            <v xml:space="preserve">Raemulan Lands, Inc. </v>
          </cell>
          <cell r="I253" t="str">
            <v>Agapeya</v>
          </cell>
          <cell r="J253" t="str">
            <v>AGM</v>
          </cell>
          <cell r="K253" t="str">
            <v>Eco-High</v>
          </cell>
          <cell r="L253" t="str">
            <v>West</v>
          </cell>
          <cell r="M253" t="str">
            <v>With LTS - 2024</v>
          </cell>
          <cell r="N253" t="str">
            <v>YES</v>
          </cell>
          <cell r="O253" t="str">
            <v>YES</v>
          </cell>
          <cell r="P253" t="str">
            <v>Unaffected lots</v>
          </cell>
          <cell r="Q253" t="str">
            <v>YES</v>
          </cell>
          <cell r="R253">
            <v>70</v>
          </cell>
          <cell r="S253" t="str">
            <v>PCS-04-034407</v>
          </cell>
          <cell r="T253" t="str">
            <v>TCT-060-2024021466</v>
          </cell>
          <cell r="U253" t="b">
            <v>1</v>
          </cell>
          <cell r="V253" t="str">
            <v>Done</v>
          </cell>
          <cell r="W253" t="str">
            <v>B3 2025</v>
          </cell>
          <cell r="X253" t="str">
            <v>2025 - Batch 4</v>
          </cell>
          <cell r="Y253">
            <v>11</v>
          </cell>
          <cell r="Z253">
            <v>4</v>
          </cell>
          <cell r="AA253" t="str">
            <v>H+L</v>
          </cell>
          <cell r="AB253">
            <v>70</v>
          </cell>
          <cell r="AC253">
            <v>50</v>
          </cell>
          <cell r="AD253" t="str">
            <v>Slant</v>
          </cell>
          <cell r="AE253" t="str">
            <v>Duplex</v>
          </cell>
          <cell r="AF253" t="str">
            <v>568 - Without Partition</v>
          </cell>
          <cell r="AG253" t="str">
            <v xml:space="preserve">Without Partition </v>
          </cell>
          <cell r="AH253" t="str">
            <v xml:space="preserve">Without Partition </v>
          </cell>
          <cell r="AI253" t="str">
            <v>PINK</v>
          </cell>
          <cell r="AJ253" t="str">
            <v>Slant / PINK</v>
          </cell>
          <cell r="AK253">
            <v>1050000</v>
          </cell>
          <cell r="AL253">
            <v>15000</v>
          </cell>
          <cell r="AM253">
            <v>1650000</v>
          </cell>
          <cell r="AN253">
            <v>33000</v>
          </cell>
          <cell r="AO253">
            <v>150000</v>
          </cell>
          <cell r="AP253">
            <v>2850000</v>
          </cell>
          <cell r="AQ253"/>
          <cell r="AR253">
            <v>2850000</v>
          </cell>
          <cell r="AS253">
            <v>200000</v>
          </cell>
          <cell r="AT253">
            <v>2650000</v>
          </cell>
          <cell r="AU253">
            <v>100000</v>
          </cell>
          <cell r="AV253">
            <v>2550000</v>
          </cell>
          <cell r="AW253">
            <v>0</v>
          </cell>
          <cell r="AX253">
            <v>2550000</v>
          </cell>
        </row>
        <row r="254">
          <cell r="G254" t="str">
            <v>AGM-01-011-005</v>
          </cell>
          <cell r="H254" t="str">
            <v xml:space="preserve">Raemulan Lands, Inc. </v>
          </cell>
          <cell r="I254" t="str">
            <v>Agapeya</v>
          </cell>
          <cell r="J254" t="str">
            <v>AGM</v>
          </cell>
          <cell r="K254" t="str">
            <v>Eco-High</v>
          </cell>
          <cell r="L254" t="str">
            <v>West</v>
          </cell>
          <cell r="M254" t="str">
            <v>With LTS - 2024</v>
          </cell>
          <cell r="N254" t="str">
            <v>YES</v>
          </cell>
          <cell r="O254" t="str">
            <v>YES</v>
          </cell>
          <cell r="P254" t="str">
            <v>Unaffected lots</v>
          </cell>
          <cell r="Q254" t="str">
            <v>YES</v>
          </cell>
          <cell r="R254">
            <v>70</v>
          </cell>
          <cell r="S254" t="str">
            <v>PCS-04-034407</v>
          </cell>
          <cell r="T254" t="str">
            <v>TCT-060-2024021467</v>
          </cell>
          <cell r="U254" t="b">
            <v>1</v>
          </cell>
          <cell r="V254" t="str">
            <v>Done</v>
          </cell>
          <cell r="W254" t="str">
            <v>B3 2025</v>
          </cell>
          <cell r="X254" t="str">
            <v>2025 - Batch 4</v>
          </cell>
          <cell r="Y254">
            <v>11</v>
          </cell>
          <cell r="Z254">
            <v>5</v>
          </cell>
          <cell r="AA254" t="str">
            <v>H+L</v>
          </cell>
          <cell r="AB254">
            <v>70</v>
          </cell>
          <cell r="AC254">
            <v>50</v>
          </cell>
          <cell r="AD254" t="str">
            <v>Slant</v>
          </cell>
          <cell r="AE254" t="str">
            <v>Duplex</v>
          </cell>
          <cell r="AF254" t="str">
            <v>568 - Without Partition</v>
          </cell>
          <cell r="AG254" t="str">
            <v xml:space="preserve">Without Partition </v>
          </cell>
          <cell r="AH254" t="str">
            <v xml:space="preserve">Without Partition </v>
          </cell>
          <cell r="AI254" t="str">
            <v>YELLOW</v>
          </cell>
          <cell r="AJ254" t="str">
            <v>Slant / YELLOW</v>
          </cell>
          <cell r="AK254">
            <v>1050000</v>
          </cell>
          <cell r="AL254">
            <v>15000</v>
          </cell>
          <cell r="AM254">
            <v>1650000</v>
          </cell>
          <cell r="AN254">
            <v>33000</v>
          </cell>
          <cell r="AO254">
            <v>150000</v>
          </cell>
          <cell r="AP254">
            <v>2850000</v>
          </cell>
          <cell r="AQ254"/>
          <cell r="AR254">
            <v>2850000</v>
          </cell>
          <cell r="AS254">
            <v>200000</v>
          </cell>
          <cell r="AT254">
            <v>2650000</v>
          </cell>
          <cell r="AU254">
            <v>100000</v>
          </cell>
          <cell r="AV254">
            <v>2550000</v>
          </cell>
          <cell r="AW254">
            <v>0</v>
          </cell>
          <cell r="AX254">
            <v>2550000</v>
          </cell>
        </row>
        <row r="255">
          <cell r="G255" t="str">
            <v>AGM-01-011-006</v>
          </cell>
          <cell r="H255" t="str">
            <v xml:space="preserve">Raemulan Lands, Inc. </v>
          </cell>
          <cell r="I255" t="str">
            <v>Agapeya</v>
          </cell>
          <cell r="J255" t="str">
            <v>AGM</v>
          </cell>
          <cell r="K255" t="str">
            <v>Eco-High</v>
          </cell>
          <cell r="L255" t="str">
            <v>West</v>
          </cell>
          <cell r="M255" t="str">
            <v>With LTS - 2024</v>
          </cell>
          <cell r="N255" t="str">
            <v>YES</v>
          </cell>
          <cell r="O255" t="str">
            <v>YES</v>
          </cell>
          <cell r="P255" t="str">
            <v>Unaffected lots</v>
          </cell>
          <cell r="Q255" t="str">
            <v>YES</v>
          </cell>
          <cell r="R255">
            <v>70</v>
          </cell>
          <cell r="S255" t="str">
            <v>PCS-04-034407</v>
          </cell>
          <cell r="T255" t="str">
            <v>TCT-060-2024021468</v>
          </cell>
          <cell r="U255" t="b">
            <v>1</v>
          </cell>
          <cell r="V255" t="str">
            <v>Done</v>
          </cell>
          <cell r="W255" t="str">
            <v>B3 2025</v>
          </cell>
          <cell r="X255" t="str">
            <v>2025 - Batch 4</v>
          </cell>
          <cell r="Y255">
            <v>11</v>
          </cell>
          <cell r="Z255">
            <v>6</v>
          </cell>
          <cell r="AA255" t="str">
            <v>H+L</v>
          </cell>
          <cell r="AB255">
            <v>70</v>
          </cell>
          <cell r="AC255">
            <v>50</v>
          </cell>
          <cell r="AD255" t="str">
            <v>Flat</v>
          </cell>
          <cell r="AE255" t="str">
            <v>Duplex</v>
          </cell>
          <cell r="AF255" t="str">
            <v>568 - Without Partition</v>
          </cell>
          <cell r="AG255" t="str">
            <v xml:space="preserve">Without Partition </v>
          </cell>
          <cell r="AH255" t="str">
            <v xml:space="preserve">Without Partition </v>
          </cell>
          <cell r="AI255" t="str">
            <v>YELLOW</v>
          </cell>
          <cell r="AJ255" t="str">
            <v>Flat / YELLOW</v>
          </cell>
          <cell r="AK255">
            <v>1050000</v>
          </cell>
          <cell r="AL255">
            <v>15000</v>
          </cell>
          <cell r="AM255">
            <v>1650000</v>
          </cell>
          <cell r="AN255">
            <v>33000</v>
          </cell>
          <cell r="AO255">
            <v>150000</v>
          </cell>
          <cell r="AP255">
            <v>2850000</v>
          </cell>
          <cell r="AQ255"/>
          <cell r="AR255">
            <v>2850000</v>
          </cell>
          <cell r="AS255">
            <v>200000</v>
          </cell>
          <cell r="AT255">
            <v>2650000</v>
          </cell>
          <cell r="AU255">
            <v>100000</v>
          </cell>
          <cell r="AV255">
            <v>2550000</v>
          </cell>
          <cell r="AW255">
            <v>0</v>
          </cell>
          <cell r="AX255">
            <v>2550000</v>
          </cell>
        </row>
        <row r="256">
          <cell r="G256" t="str">
            <v>AGM-01-011-007</v>
          </cell>
          <cell r="H256" t="str">
            <v xml:space="preserve">Raemulan Lands, Inc. </v>
          </cell>
          <cell r="I256" t="str">
            <v>Agapeya</v>
          </cell>
          <cell r="J256" t="str">
            <v>AGM</v>
          </cell>
          <cell r="K256" t="str">
            <v>Eco-High</v>
          </cell>
          <cell r="L256" t="str">
            <v>West</v>
          </cell>
          <cell r="M256" t="str">
            <v>With LTS - 2024</v>
          </cell>
          <cell r="N256" t="str">
            <v>YES</v>
          </cell>
          <cell r="O256" t="str">
            <v>YES</v>
          </cell>
          <cell r="P256" t="str">
            <v>Unaffected lots</v>
          </cell>
          <cell r="Q256" t="str">
            <v>YES</v>
          </cell>
          <cell r="R256">
            <v>70</v>
          </cell>
          <cell r="S256" t="str">
            <v>PCS-04-034407</v>
          </cell>
          <cell r="T256" t="str">
            <v>TCT-060-2024021469</v>
          </cell>
          <cell r="U256" t="b">
            <v>1</v>
          </cell>
          <cell r="V256" t="str">
            <v>Done</v>
          </cell>
          <cell r="W256" t="str">
            <v>B3 2025</v>
          </cell>
          <cell r="X256" t="str">
            <v>2025 - Batch 4</v>
          </cell>
          <cell r="Y256">
            <v>11</v>
          </cell>
          <cell r="Z256">
            <v>7</v>
          </cell>
          <cell r="AA256" t="str">
            <v>H+L</v>
          </cell>
          <cell r="AB256">
            <v>70</v>
          </cell>
          <cell r="AC256">
            <v>50</v>
          </cell>
          <cell r="AD256" t="str">
            <v>Flat</v>
          </cell>
          <cell r="AE256" t="str">
            <v>Duplex</v>
          </cell>
          <cell r="AF256" t="str">
            <v>568 - Without Partition</v>
          </cell>
          <cell r="AG256" t="str">
            <v xml:space="preserve">Without Partition </v>
          </cell>
          <cell r="AH256" t="str">
            <v xml:space="preserve">Without Partition </v>
          </cell>
          <cell r="AI256" t="str">
            <v>YELLOW</v>
          </cell>
          <cell r="AJ256" t="str">
            <v>Flat / YELLOW</v>
          </cell>
          <cell r="AK256">
            <v>1050000</v>
          </cell>
          <cell r="AL256">
            <v>15000</v>
          </cell>
          <cell r="AM256">
            <v>1650000</v>
          </cell>
          <cell r="AN256">
            <v>33000</v>
          </cell>
          <cell r="AO256">
            <v>150000</v>
          </cell>
          <cell r="AP256">
            <v>2850000</v>
          </cell>
          <cell r="AQ256"/>
          <cell r="AR256">
            <v>2850000</v>
          </cell>
          <cell r="AS256">
            <v>200000</v>
          </cell>
          <cell r="AT256">
            <v>2650000</v>
          </cell>
          <cell r="AU256">
            <v>100000</v>
          </cell>
          <cell r="AV256">
            <v>2550000</v>
          </cell>
          <cell r="AW256">
            <v>0</v>
          </cell>
          <cell r="AX256">
            <v>2550000</v>
          </cell>
        </row>
        <row r="257">
          <cell r="G257" t="str">
            <v>AGM-01-011-008</v>
          </cell>
          <cell r="H257" t="str">
            <v xml:space="preserve">Raemulan Lands, Inc. </v>
          </cell>
          <cell r="I257" t="str">
            <v>Agapeya</v>
          </cell>
          <cell r="J257" t="str">
            <v>AGM</v>
          </cell>
          <cell r="K257" t="str">
            <v>Eco-High</v>
          </cell>
          <cell r="L257" t="str">
            <v>West</v>
          </cell>
          <cell r="M257" t="str">
            <v>With LTS - 2024</v>
          </cell>
          <cell r="N257" t="str">
            <v>YES</v>
          </cell>
          <cell r="O257" t="str">
            <v>YES</v>
          </cell>
          <cell r="P257" t="str">
            <v>Unaffected lots</v>
          </cell>
          <cell r="Q257" t="str">
            <v>YES</v>
          </cell>
          <cell r="R257">
            <v>90</v>
          </cell>
          <cell r="S257" t="str">
            <v>PCS-04-034407</v>
          </cell>
          <cell r="T257" t="str">
            <v>TCT-060-2024021470</v>
          </cell>
          <cell r="U257" t="b">
            <v>1</v>
          </cell>
          <cell r="V257" t="str">
            <v>Done</v>
          </cell>
          <cell r="W257" t="str">
            <v>B3 2025</v>
          </cell>
          <cell r="X257" t="str">
            <v>2025 - Batch 4</v>
          </cell>
          <cell r="Y257">
            <v>11</v>
          </cell>
          <cell r="Z257">
            <v>8</v>
          </cell>
          <cell r="AA257" t="str">
            <v>H+L</v>
          </cell>
          <cell r="AB257">
            <v>90</v>
          </cell>
          <cell r="AC257">
            <v>50</v>
          </cell>
          <cell r="AD257" t="str">
            <v>Slant</v>
          </cell>
          <cell r="AE257" t="str">
            <v>Duplex</v>
          </cell>
          <cell r="AF257" t="str">
            <v>568 - Without Partition</v>
          </cell>
          <cell r="AG257" t="str">
            <v xml:space="preserve">Without Partition </v>
          </cell>
          <cell r="AH257" t="str">
            <v xml:space="preserve">Without Partition </v>
          </cell>
          <cell r="AI257" t="str">
            <v>YELLOW</v>
          </cell>
          <cell r="AJ257" t="str">
            <v>Slant / YELLOW</v>
          </cell>
          <cell r="AK257">
            <v>1350000</v>
          </cell>
          <cell r="AL257">
            <v>15000</v>
          </cell>
          <cell r="AM257">
            <v>1650000</v>
          </cell>
          <cell r="AN257">
            <v>33000</v>
          </cell>
          <cell r="AO257">
            <v>150000</v>
          </cell>
          <cell r="AP257">
            <v>3150000</v>
          </cell>
          <cell r="AQ257"/>
          <cell r="AR257">
            <v>3150000</v>
          </cell>
          <cell r="AS257">
            <v>200000</v>
          </cell>
          <cell r="AT257">
            <v>2950000</v>
          </cell>
          <cell r="AU257">
            <v>100000</v>
          </cell>
          <cell r="AV257">
            <v>2850000</v>
          </cell>
          <cell r="AW257">
            <v>0</v>
          </cell>
          <cell r="AX257">
            <v>2850000</v>
          </cell>
        </row>
        <row r="258">
          <cell r="G258" t="str">
            <v>AGM-01-011-009</v>
          </cell>
          <cell r="H258" t="str">
            <v xml:space="preserve">Raemulan Lands, Inc. </v>
          </cell>
          <cell r="I258" t="str">
            <v>Agapeya</v>
          </cell>
          <cell r="J258" t="str">
            <v>AGM</v>
          </cell>
          <cell r="K258" t="str">
            <v>Eco-High</v>
          </cell>
          <cell r="L258" t="str">
            <v>West</v>
          </cell>
          <cell r="M258" t="str">
            <v>With LTS - 2024</v>
          </cell>
          <cell r="N258" t="str">
            <v>YES</v>
          </cell>
          <cell r="O258" t="str">
            <v>YES</v>
          </cell>
          <cell r="P258" t="str">
            <v>Unaffected lots</v>
          </cell>
          <cell r="Q258" t="str">
            <v>YES</v>
          </cell>
          <cell r="R258">
            <v>90</v>
          </cell>
          <cell r="S258" t="str">
            <v>PCS-04-034407</v>
          </cell>
          <cell r="T258" t="str">
            <v>TCT-060-2024021471</v>
          </cell>
          <cell r="U258" t="b">
            <v>1</v>
          </cell>
          <cell r="V258" t="str">
            <v>Done</v>
          </cell>
          <cell r="W258" t="str">
            <v>B4 2025</v>
          </cell>
          <cell r="X258" t="str">
            <v>2025 - Batch 4</v>
          </cell>
          <cell r="Y258">
            <v>11</v>
          </cell>
          <cell r="Z258">
            <v>9</v>
          </cell>
          <cell r="AA258" t="str">
            <v>H+L</v>
          </cell>
          <cell r="AB258">
            <v>90</v>
          </cell>
          <cell r="AC258">
            <v>50</v>
          </cell>
          <cell r="AD258" t="str">
            <v>Flat</v>
          </cell>
          <cell r="AE258" t="str">
            <v>Duplex</v>
          </cell>
          <cell r="AF258" t="str">
            <v>568 - Without Partition</v>
          </cell>
          <cell r="AG258" t="str">
            <v xml:space="preserve">Without Partition </v>
          </cell>
          <cell r="AH258" t="str">
            <v xml:space="preserve">Without Partition </v>
          </cell>
          <cell r="AI258" t="str">
            <v>PURPLE</v>
          </cell>
          <cell r="AJ258" t="str">
            <v>Flat / PURPLE</v>
          </cell>
          <cell r="AK258">
            <v>1350000</v>
          </cell>
          <cell r="AL258">
            <v>15000</v>
          </cell>
          <cell r="AM258">
            <v>1650000</v>
          </cell>
          <cell r="AN258">
            <v>33000</v>
          </cell>
          <cell r="AO258">
            <v>150000</v>
          </cell>
          <cell r="AP258">
            <v>3150000</v>
          </cell>
          <cell r="AQ258"/>
          <cell r="AR258">
            <v>3150000</v>
          </cell>
          <cell r="AS258">
            <v>200000</v>
          </cell>
          <cell r="AT258">
            <v>2950000</v>
          </cell>
          <cell r="AU258">
            <v>100000</v>
          </cell>
          <cell r="AV258">
            <v>2850000</v>
          </cell>
          <cell r="AW258">
            <v>0</v>
          </cell>
          <cell r="AX258">
            <v>2850000</v>
          </cell>
        </row>
        <row r="259">
          <cell r="G259" t="str">
            <v>AGM-01-011-010</v>
          </cell>
          <cell r="H259" t="str">
            <v xml:space="preserve">Raemulan Lands, Inc. </v>
          </cell>
          <cell r="I259" t="str">
            <v>Agapeya</v>
          </cell>
          <cell r="J259" t="str">
            <v>AGM</v>
          </cell>
          <cell r="K259" t="str">
            <v>Eco-High</v>
          </cell>
          <cell r="L259" t="str">
            <v>West</v>
          </cell>
          <cell r="M259" t="str">
            <v>Without LTS</v>
          </cell>
          <cell r="N259"/>
          <cell r="O259"/>
          <cell r="P259" t="str">
            <v>Unaffected lots</v>
          </cell>
          <cell r="Q259" t="str">
            <v>NO</v>
          </cell>
          <cell r="R259">
            <v>70</v>
          </cell>
          <cell r="S259" t="str">
            <v>PCS-04-036399</v>
          </cell>
          <cell r="T259" t="str">
            <v>TCT-060-2026007154</v>
          </cell>
          <cell r="U259" t="b">
            <v>1</v>
          </cell>
          <cell r="V259" t="str">
            <v>Done</v>
          </cell>
          <cell r="W259" t="str">
            <v>B4 2025</v>
          </cell>
          <cell r="X259" t="str">
            <v>2025 - Batch 4</v>
          </cell>
          <cell r="Y259">
            <v>11</v>
          </cell>
          <cell r="Z259">
            <v>10</v>
          </cell>
          <cell r="AA259" t="str">
            <v>H+L</v>
          </cell>
          <cell r="AB259">
            <v>70</v>
          </cell>
          <cell r="AC259">
            <v>50</v>
          </cell>
          <cell r="AD259" t="str">
            <v>Slant</v>
          </cell>
          <cell r="AE259" t="str">
            <v>Duplex</v>
          </cell>
          <cell r="AF259" t="str">
            <v>568 - Without Partition</v>
          </cell>
          <cell r="AG259" t="str">
            <v xml:space="preserve">Without Partition </v>
          </cell>
          <cell r="AH259" t="str">
            <v xml:space="preserve">Without Partition </v>
          </cell>
          <cell r="AI259" t="str">
            <v>PURPLE</v>
          </cell>
          <cell r="AJ259" t="str">
            <v>Slant / PURPLE</v>
          </cell>
          <cell r="AK259">
            <v>1050000</v>
          </cell>
          <cell r="AL259">
            <v>15000</v>
          </cell>
          <cell r="AM259">
            <v>1650000</v>
          </cell>
          <cell r="AN259">
            <v>33000</v>
          </cell>
          <cell r="AO259">
            <v>150000</v>
          </cell>
          <cell r="AP259">
            <v>2850000</v>
          </cell>
          <cell r="AQ259"/>
          <cell r="AR259">
            <v>2850000</v>
          </cell>
          <cell r="AS259">
            <v>200000</v>
          </cell>
          <cell r="AT259">
            <v>2650000</v>
          </cell>
          <cell r="AU259">
            <v>100000</v>
          </cell>
          <cell r="AV259">
            <v>2550000</v>
          </cell>
          <cell r="AW259">
            <v>0</v>
          </cell>
          <cell r="AX259">
            <v>2550000</v>
          </cell>
        </row>
        <row r="260">
          <cell r="G260" t="str">
            <v>AGM-01-011-011</v>
          </cell>
          <cell r="H260" t="str">
            <v xml:space="preserve">Raemulan Lands, Inc. </v>
          </cell>
          <cell r="I260" t="str">
            <v>Agapeya</v>
          </cell>
          <cell r="J260" t="str">
            <v>AGM</v>
          </cell>
          <cell r="K260" t="str">
            <v>Eco-High</v>
          </cell>
          <cell r="L260" t="str">
            <v>West</v>
          </cell>
          <cell r="M260" t="str">
            <v>Without LTS</v>
          </cell>
          <cell r="N260"/>
          <cell r="O260"/>
          <cell r="P260" t="str">
            <v>Unaffected lots</v>
          </cell>
          <cell r="Q260" t="str">
            <v>NO</v>
          </cell>
          <cell r="R260">
            <v>70</v>
          </cell>
          <cell r="S260" t="str">
            <v>PCS-04-036399</v>
          </cell>
          <cell r="T260" t="str">
            <v>TCT-060-2026007155</v>
          </cell>
          <cell r="U260" t="b">
            <v>1</v>
          </cell>
          <cell r="V260" t="str">
            <v>Done</v>
          </cell>
          <cell r="W260" t="str">
            <v>B4 2025</v>
          </cell>
          <cell r="X260" t="str">
            <v>2025 - Batch 4</v>
          </cell>
          <cell r="Y260">
            <v>11</v>
          </cell>
          <cell r="Z260">
            <v>11</v>
          </cell>
          <cell r="AA260" t="str">
            <v>H+L</v>
          </cell>
          <cell r="AB260">
            <v>70</v>
          </cell>
          <cell r="AC260">
            <v>50</v>
          </cell>
          <cell r="AD260" t="str">
            <v>Slant</v>
          </cell>
          <cell r="AE260" t="str">
            <v>Duplex</v>
          </cell>
          <cell r="AF260" t="str">
            <v>568 - Without Partition</v>
          </cell>
          <cell r="AG260" t="str">
            <v xml:space="preserve">Without Partition </v>
          </cell>
          <cell r="AH260" t="str">
            <v xml:space="preserve">Without Partition </v>
          </cell>
          <cell r="AI260" t="str">
            <v>PURPLE</v>
          </cell>
          <cell r="AJ260" t="str">
            <v>Slant / PURPLE</v>
          </cell>
          <cell r="AK260">
            <v>1050000</v>
          </cell>
          <cell r="AL260">
            <v>15000</v>
          </cell>
          <cell r="AM260">
            <v>1650000</v>
          </cell>
          <cell r="AN260">
            <v>33000</v>
          </cell>
          <cell r="AO260">
            <v>150000</v>
          </cell>
          <cell r="AP260">
            <v>2850000</v>
          </cell>
          <cell r="AQ260"/>
          <cell r="AR260">
            <v>2850000</v>
          </cell>
          <cell r="AS260">
            <v>200000</v>
          </cell>
          <cell r="AT260">
            <v>2650000</v>
          </cell>
          <cell r="AU260">
            <v>100000</v>
          </cell>
          <cell r="AV260">
            <v>2550000</v>
          </cell>
          <cell r="AW260">
            <v>0</v>
          </cell>
          <cell r="AX260">
            <v>2550000</v>
          </cell>
        </row>
        <row r="261">
          <cell r="G261" t="str">
            <v>AGM-01-011-012</v>
          </cell>
          <cell r="H261" t="str">
            <v xml:space="preserve">Raemulan Lands, Inc. </v>
          </cell>
          <cell r="I261" t="str">
            <v>Agapeya</v>
          </cell>
          <cell r="J261" t="str">
            <v>AGM</v>
          </cell>
          <cell r="K261" t="str">
            <v>Eco-High</v>
          </cell>
          <cell r="L261" t="str">
            <v>West</v>
          </cell>
          <cell r="M261" t="str">
            <v>Without LTS</v>
          </cell>
          <cell r="N261"/>
          <cell r="O261"/>
          <cell r="P261" t="str">
            <v>Unaffected lots</v>
          </cell>
          <cell r="Q261" t="str">
            <v>NO</v>
          </cell>
          <cell r="R261">
            <v>70</v>
          </cell>
          <cell r="S261" t="str">
            <v>PCS-04-036399</v>
          </cell>
          <cell r="T261" t="str">
            <v>TCT-060-2026007156</v>
          </cell>
          <cell r="U261" t="b">
            <v>1</v>
          </cell>
          <cell r="V261" t="str">
            <v>Done</v>
          </cell>
          <cell r="W261" t="str">
            <v>B4 2025</v>
          </cell>
          <cell r="X261" t="str">
            <v>2025 - Batch 4</v>
          </cell>
          <cell r="Y261">
            <v>11</v>
          </cell>
          <cell r="Z261">
            <v>12</v>
          </cell>
          <cell r="AA261" t="str">
            <v>H+L</v>
          </cell>
          <cell r="AB261">
            <v>70</v>
          </cell>
          <cell r="AC261">
            <v>50</v>
          </cell>
          <cell r="AD261" t="str">
            <v>Flat</v>
          </cell>
          <cell r="AE261" t="str">
            <v>Duplex</v>
          </cell>
          <cell r="AF261" t="str">
            <v>568 - Without Partition</v>
          </cell>
          <cell r="AG261" t="str">
            <v xml:space="preserve">Without Partition </v>
          </cell>
          <cell r="AH261" t="str">
            <v xml:space="preserve">Without Partition </v>
          </cell>
          <cell r="AI261" t="str">
            <v>PURPLE</v>
          </cell>
          <cell r="AJ261" t="str">
            <v>Flat / PURPLE</v>
          </cell>
          <cell r="AK261">
            <v>1050000</v>
          </cell>
          <cell r="AL261">
            <v>15000</v>
          </cell>
          <cell r="AM261">
            <v>1650000</v>
          </cell>
          <cell r="AN261">
            <v>33000</v>
          </cell>
          <cell r="AO261">
            <v>150000</v>
          </cell>
          <cell r="AP261">
            <v>2850000</v>
          </cell>
          <cell r="AQ261"/>
          <cell r="AR261">
            <v>2850000</v>
          </cell>
          <cell r="AS261">
            <v>200000</v>
          </cell>
          <cell r="AT261">
            <v>2650000</v>
          </cell>
          <cell r="AU261">
            <v>100000</v>
          </cell>
          <cell r="AV261">
            <v>2550000</v>
          </cell>
          <cell r="AW261">
            <v>0</v>
          </cell>
          <cell r="AX261">
            <v>2550000</v>
          </cell>
        </row>
        <row r="262">
          <cell r="G262" t="str">
            <v>AGM-01-011-013</v>
          </cell>
          <cell r="H262" t="str">
            <v xml:space="preserve">Raemulan Lands, Inc. </v>
          </cell>
          <cell r="I262" t="str">
            <v>Agapeya</v>
          </cell>
          <cell r="J262" t="str">
            <v>AGM</v>
          </cell>
          <cell r="K262" t="str">
            <v>Eco-High</v>
          </cell>
          <cell r="L262" t="str">
            <v>West</v>
          </cell>
          <cell r="M262" t="str">
            <v>With LTS - 2024</v>
          </cell>
          <cell r="N262" t="str">
            <v>YES</v>
          </cell>
          <cell r="O262" t="str">
            <v>YES</v>
          </cell>
          <cell r="P262" t="str">
            <v>Unaffected lots</v>
          </cell>
          <cell r="Q262" t="str">
            <v>YES</v>
          </cell>
          <cell r="R262">
            <v>70</v>
          </cell>
          <cell r="S262" t="str">
            <v>PCS-04-034407</v>
          </cell>
          <cell r="T262" t="str">
            <v>TCT-060-2024021475</v>
          </cell>
          <cell r="U262" t="b">
            <v>1</v>
          </cell>
          <cell r="V262" t="str">
            <v>Done</v>
          </cell>
          <cell r="W262" t="str">
            <v>B4 2025</v>
          </cell>
          <cell r="X262" t="str">
            <v>2025 - Batch 4</v>
          </cell>
          <cell r="Y262">
            <v>11</v>
          </cell>
          <cell r="Z262">
            <v>13</v>
          </cell>
          <cell r="AA262" t="str">
            <v>H+L</v>
          </cell>
          <cell r="AB262">
            <v>70</v>
          </cell>
          <cell r="AC262">
            <v>50</v>
          </cell>
          <cell r="AD262" t="str">
            <v>Flat</v>
          </cell>
          <cell r="AE262" t="str">
            <v>Duplex</v>
          </cell>
          <cell r="AF262" t="str">
            <v>568 - Without Partition</v>
          </cell>
          <cell r="AG262" t="str">
            <v xml:space="preserve">Without Partition </v>
          </cell>
          <cell r="AH262" t="str">
            <v xml:space="preserve">Without Partition </v>
          </cell>
          <cell r="AI262" t="str">
            <v>GREEN</v>
          </cell>
          <cell r="AJ262" t="str">
            <v>Flat / GREEN</v>
          </cell>
          <cell r="AK262">
            <v>1050000</v>
          </cell>
          <cell r="AL262">
            <v>15000</v>
          </cell>
          <cell r="AM262">
            <v>1650000</v>
          </cell>
          <cell r="AN262">
            <v>33000</v>
          </cell>
          <cell r="AO262">
            <v>150000</v>
          </cell>
          <cell r="AP262">
            <v>2850000</v>
          </cell>
          <cell r="AQ262"/>
          <cell r="AR262">
            <v>2850000</v>
          </cell>
          <cell r="AS262">
            <v>200000</v>
          </cell>
          <cell r="AT262">
            <v>2650000</v>
          </cell>
          <cell r="AU262">
            <v>100000</v>
          </cell>
          <cell r="AV262">
            <v>2550000</v>
          </cell>
          <cell r="AW262">
            <v>0</v>
          </cell>
          <cell r="AX262">
            <v>2550000</v>
          </cell>
        </row>
        <row r="263">
          <cell r="G263" t="str">
            <v>AGM-01-011-014</v>
          </cell>
          <cell r="H263" t="str">
            <v xml:space="preserve">Raemulan Lands, Inc. </v>
          </cell>
          <cell r="I263" t="str">
            <v>Agapeya</v>
          </cell>
          <cell r="J263" t="str">
            <v>AGM</v>
          </cell>
          <cell r="K263" t="str">
            <v>Eco-High</v>
          </cell>
          <cell r="L263" t="str">
            <v>West</v>
          </cell>
          <cell r="M263" t="str">
            <v>With LTS - 2024</v>
          </cell>
          <cell r="N263" t="str">
            <v>YES</v>
          </cell>
          <cell r="O263" t="str">
            <v>YES</v>
          </cell>
          <cell r="P263" t="str">
            <v>Unaffected lots</v>
          </cell>
          <cell r="Q263" t="str">
            <v>YES</v>
          </cell>
          <cell r="R263">
            <v>70</v>
          </cell>
          <cell r="S263" t="str">
            <v>PCS-04-034407</v>
          </cell>
          <cell r="T263" t="str">
            <v>TCT-060-2024021476</v>
          </cell>
          <cell r="U263" t="b">
            <v>1</v>
          </cell>
          <cell r="V263" t="str">
            <v>Done</v>
          </cell>
          <cell r="W263" t="str">
            <v>B4 2025</v>
          </cell>
          <cell r="X263" t="str">
            <v>2025 - Batch 4</v>
          </cell>
          <cell r="Y263">
            <v>11</v>
          </cell>
          <cell r="Z263">
            <v>14</v>
          </cell>
          <cell r="AA263" t="str">
            <v>H+L</v>
          </cell>
          <cell r="AB263">
            <v>70</v>
          </cell>
          <cell r="AC263">
            <v>50</v>
          </cell>
          <cell r="AD263" t="str">
            <v>Slant</v>
          </cell>
          <cell r="AE263" t="str">
            <v>Duplex</v>
          </cell>
          <cell r="AF263" t="str">
            <v>568 - Without Partition</v>
          </cell>
          <cell r="AG263" t="str">
            <v xml:space="preserve">Without Partition </v>
          </cell>
          <cell r="AH263" t="str">
            <v xml:space="preserve">Without Partition </v>
          </cell>
          <cell r="AI263" t="str">
            <v>GREEN</v>
          </cell>
          <cell r="AJ263" t="str">
            <v>Slant / GREEN</v>
          </cell>
          <cell r="AK263">
            <v>1050000</v>
          </cell>
          <cell r="AL263">
            <v>15000</v>
          </cell>
          <cell r="AM263">
            <v>1650000</v>
          </cell>
          <cell r="AN263">
            <v>33000</v>
          </cell>
          <cell r="AO263">
            <v>150000</v>
          </cell>
          <cell r="AP263">
            <v>2850000</v>
          </cell>
          <cell r="AQ263"/>
          <cell r="AR263">
            <v>2850000</v>
          </cell>
          <cell r="AS263">
            <v>200000</v>
          </cell>
          <cell r="AT263">
            <v>2650000</v>
          </cell>
          <cell r="AU263">
            <v>100000</v>
          </cell>
          <cell r="AV263">
            <v>2550000</v>
          </cell>
          <cell r="AW263">
            <v>0</v>
          </cell>
          <cell r="AX263">
            <v>2550000</v>
          </cell>
        </row>
        <row r="264">
          <cell r="G264" t="str">
            <v>AGM-01-011-015</v>
          </cell>
          <cell r="H264" t="str">
            <v xml:space="preserve">Raemulan Lands, Inc. </v>
          </cell>
          <cell r="I264" t="str">
            <v>Agapeya</v>
          </cell>
          <cell r="J264" t="str">
            <v>AGM</v>
          </cell>
          <cell r="K264" t="str">
            <v>Eco-High</v>
          </cell>
          <cell r="L264" t="str">
            <v>West</v>
          </cell>
          <cell r="M264" t="str">
            <v>With LTS - 2024</v>
          </cell>
          <cell r="N264" t="str">
            <v>YES</v>
          </cell>
          <cell r="O264" t="str">
            <v>YES</v>
          </cell>
          <cell r="P264" t="str">
            <v>Unaffected lots</v>
          </cell>
          <cell r="Q264" t="str">
            <v>YES</v>
          </cell>
          <cell r="R264">
            <v>70</v>
          </cell>
          <cell r="S264" t="str">
            <v>PCS-04-034407</v>
          </cell>
          <cell r="T264" t="str">
            <v>TCT-060-2024021477</v>
          </cell>
          <cell r="U264" t="b">
            <v>1</v>
          </cell>
          <cell r="V264" t="str">
            <v>Done</v>
          </cell>
          <cell r="W264" t="str">
            <v>B4 2025</v>
          </cell>
          <cell r="X264" t="str">
            <v>2025 - Batch 4</v>
          </cell>
          <cell r="Y264">
            <v>11</v>
          </cell>
          <cell r="Z264">
            <v>15</v>
          </cell>
          <cell r="AA264" t="str">
            <v>H+L</v>
          </cell>
          <cell r="AB264">
            <v>70</v>
          </cell>
          <cell r="AC264">
            <v>50</v>
          </cell>
          <cell r="AD264" t="str">
            <v>Slant</v>
          </cell>
          <cell r="AE264" t="str">
            <v>Duplex</v>
          </cell>
          <cell r="AF264" t="str">
            <v>568 - Without Partition</v>
          </cell>
          <cell r="AG264" t="str">
            <v xml:space="preserve">Without Partition </v>
          </cell>
          <cell r="AH264" t="str">
            <v xml:space="preserve">Without Partition </v>
          </cell>
          <cell r="AI264" t="str">
            <v>GREEN</v>
          </cell>
          <cell r="AJ264" t="str">
            <v>Slant / GREEN</v>
          </cell>
          <cell r="AK264">
            <v>1050000</v>
          </cell>
          <cell r="AL264">
            <v>15000</v>
          </cell>
          <cell r="AM264">
            <v>1650000</v>
          </cell>
          <cell r="AN264">
            <v>33000</v>
          </cell>
          <cell r="AO264">
            <v>150000</v>
          </cell>
          <cell r="AP264">
            <v>2850000</v>
          </cell>
          <cell r="AQ264"/>
          <cell r="AR264">
            <v>2850000</v>
          </cell>
          <cell r="AS264">
            <v>200000</v>
          </cell>
          <cell r="AT264">
            <v>2650000</v>
          </cell>
          <cell r="AU264">
            <v>100000</v>
          </cell>
          <cell r="AV264">
            <v>2550000</v>
          </cell>
          <cell r="AW264">
            <v>0</v>
          </cell>
          <cell r="AX264">
            <v>2550000</v>
          </cell>
        </row>
        <row r="265">
          <cell r="G265" t="str">
            <v>AGM-01-011-016</v>
          </cell>
          <cell r="H265" t="str">
            <v xml:space="preserve">Raemulan Lands, Inc. </v>
          </cell>
          <cell r="I265" t="str">
            <v>Agapeya</v>
          </cell>
          <cell r="J265" t="str">
            <v>AGM</v>
          </cell>
          <cell r="K265" t="str">
            <v>Eco-High</v>
          </cell>
          <cell r="L265" t="str">
            <v>West</v>
          </cell>
          <cell r="M265" t="str">
            <v>With LTS - 2024</v>
          </cell>
          <cell r="N265" t="str">
            <v>YES</v>
          </cell>
          <cell r="O265" t="str">
            <v>YES</v>
          </cell>
          <cell r="P265" t="str">
            <v>Unaffected lots</v>
          </cell>
          <cell r="Q265" t="str">
            <v>YES</v>
          </cell>
          <cell r="R265">
            <v>90</v>
          </cell>
          <cell r="S265" t="str">
            <v>PCS-04-035872</v>
          </cell>
          <cell r="T265" t="str">
            <v>TCT-060-2025015501</v>
          </cell>
          <cell r="U265" t="b">
            <v>1</v>
          </cell>
          <cell r="V265" t="str">
            <v>Done</v>
          </cell>
          <cell r="W265" t="str">
            <v>B4 2025</v>
          </cell>
          <cell r="X265" t="str">
            <v>2025 - Batch 4</v>
          </cell>
          <cell r="Y265">
            <v>11</v>
          </cell>
          <cell r="Z265">
            <v>16</v>
          </cell>
          <cell r="AA265" t="str">
            <v>H+L</v>
          </cell>
          <cell r="AB265">
            <v>90</v>
          </cell>
          <cell r="AC265">
            <v>50</v>
          </cell>
          <cell r="AD265" t="str">
            <v>Flat</v>
          </cell>
          <cell r="AE265" t="str">
            <v>Duplex</v>
          </cell>
          <cell r="AF265" t="str">
            <v>568 - Without Partition</v>
          </cell>
          <cell r="AG265" t="str">
            <v xml:space="preserve">Without Partition </v>
          </cell>
          <cell r="AH265" t="str">
            <v xml:space="preserve">Without Partition </v>
          </cell>
          <cell r="AI265" t="str">
            <v>GREEN</v>
          </cell>
          <cell r="AJ265" t="str">
            <v>Flat / GREEN</v>
          </cell>
          <cell r="AK265">
            <v>1350000</v>
          </cell>
          <cell r="AL265">
            <v>15000</v>
          </cell>
          <cell r="AM265">
            <v>1650000</v>
          </cell>
          <cell r="AN265">
            <v>33000</v>
          </cell>
          <cell r="AO265">
            <v>150000</v>
          </cell>
          <cell r="AP265">
            <v>3150000</v>
          </cell>
          <cell r="AQ265"/>
          <cell r="AR265">
            <v>3150000</v>
          </cell>
          <cell r="AS265">
            <v>200000</v>
          </cell>
          <cell r="AT265">
            <v>2950000</v>
          </cell>
          <cell r="AU265">
            <v>100000</v>
          </cell>
          <cell r="AV265">
            <v>2850000</v>
          </cell>
          <cell r="AW265">
            <v>0</v>
          </cell>
          <cell r="AX265">
            <v>2850000</v>
          </cell>
        </row>
        <row r="266">
          <cell r="G266" t="str">
            <v>AGM-01-012-001</v>
          </cell>
          <cell r="H266" t="str">
            <v xml:space="preserve">Raemulan Lands, Inc. </v>
          </cell>
          <cell r="I266" t="str">
            <v>Agapeya</v>
          </cell>
          <cell r="J266" t="str">
            <v>AGM</v>
          </cell>
          <cell r="K266" t="str">
            <v>Eco-High</v>
          </cell>
          <cell r="L266" t="str">
            <v>West</v>
          </cell>
          <cell r="M266" t="str">
            <v>With LTS - 2024</v>
          </cell>
          <cell r="N266" t="str">
            <v>YES</v>
          </cell>
          <cell r="O266" t="str">
            <v>NO</v>
          </cell>
          <cell r="P266" t="str">
            <v>Unaffected lots</v>
          </cell>
          <cell r="Q266" t="str">
            <v>YES</v>
          </cell>
          <cell r="R266">
            <v>100</v>
          </cell>
          <cell r="S266" t="str">
            <v>PCS-04-034407</v>
          </cell>
          <cell r="T266" t="str">
            <v>TCT-060-2024021479</v>
          </cell>
          <cell r="U266" t="b">
            <v>1</v>
          </cell>
          <cell r="V266" t="str">
            <v>Done</v>
          </cell>
          <cell r="W266" t="str">
            <v>B3 - Lot Only</v>
          </cell>
          <cell r="X266" t="str">
            <v>Lot Only - N/A</v>
          </cell>
          <cell r="Y266">
            <v>12</v>
          </cell>
          <cell r="Z266">
            <v>1</v>
          </cell>
          <cell r="AA266" t="str">
            <v>LO</v>
          </cell>
          <cell r="AB266">
            <v>100</v>
          </cell>
          <cell r="AC266" t="str">
            <v>N/A</v>
          </cell>
          <cell r="AD266" t="str">
            <v>-</v>
          </cell>
          <cell r="AE266" t="str">
            <v>Lot Only</v>
          </cell>
          <cell r="AF266" t="str">
            <v>N/A</v>
          </cell>
          <cell r="AG266" t="str">
            <v>N/A - LOT ONLY</v>
          </cell>
          <cell r="AH266" t="str">
            <v>N/A - LOT ONLY</v>
          </cell>
          <cell r="AI266" t="str">
            <v>N/A - LOT ONLY</v>
          </cell>
          <cell r="AJ266" t="str">
            <v>- / N/A - LOT ONLY</v>
          </cell>
          <cell r="AK266">
            <v>1500000</v>
          </cell>
          <cell r="AL266">
            <v>15000</v>
          </cell>
          <cell r="AM266">
            <v>0</v>
          </cell>
          <cell r="AN266">
            <v>0</v>
          </cell>
          <cell r="AO266">
            <v>100000</v>
          </cell>
          <cell r="AP266">
            <v>1600000</v>
          </cell>
          <cell r="AQ266"/>
          <cell r="AR266">
            <v>1600000</v>
          </cell>
          <cell r="AS266">
            <v>0</v>
          </cell>
          <cell r="AT266">
            <v>1600000</v>
          </cell>
          <cell r="AU266">
            <v>100000</v>
          </cell>
          <cell r="AV266">
            <v>1500000</v>
          </cell>
          <cell r="AW266">
            <v>0</v>
          </cell>
          <cell r="AX266">
            <v>1500000</v>
          </cell>
        </row>
        <row r="267">
          <cell r="G267" t="str">
            <v>AGM-01-012-002</v>
          </cell>
          <cell r="H267" t="str">
            <v xml:space="preserve">Raemulan Lands, Inc. </v>
          </cell>
          <cell r="I267" t="str">
            <v>Agapeya</v>
          </cell>
          <cell r="J267" t="str">
            <v>AGM</v>
          </cell>
          <cell r="K267" t="str">
            <v>Eco-High</v>
          </cell>
          <cell r="L267" t="str">
            <v>West</v>
          </cell>
          <cell r="M267" t="str">
            <v>With LTS - 2024</v>
          </cell>
          <cell r="N267" t="str">
            <v>YES</v>
          </cell>
          <cell r="O267" t="str">
            <v>YES</v>
          </cell>
          <cell r="P267" t="str">
            <v>Unaffected lots</v>
          </cell>
          <cell r="Q267" t="str">
            <v>YES</v>
          </cell>
          <cell r="R267">
            <v>70</v>
          </cell>
          <cell r="S267" t="str">
            <v>PCS-04-034407</v>
          </cell>
          <cell r="T267" t="str">
            <v>TCT-060-2024021480</v>
          </cell>
          <cell r="U267" t="b">
            <v>1</v>
          </cell>
          <cell r="V267" t="str">
            <v>Done</v>
          </cell>
          <cell r="W267" t="str">
            <v>B3 2025</v>
          </cell>
          <cell r="X267" t="str">
            <v>2025 - Batch 4</v>
          </cell>
          <cell r="Y267">
            <v>12</v>
          </cell>
          <cell r="Z267">
            <v>2</v>
          </cell>
          <cell r="AA267" t="str">
            <v>H+L</v>
          </cell>
          <cell r="AB267">
            <v>70</v>
          </cell>
          <cell r="AC267">
            <v>50</v>
          </cell>
          <cell r="AD267" t="str">
            <v>Slant</v>
          </cell>
          <cell r="AE267" t="str">
            <v>Duplex</v>
          </cell>
          <cell r="AF267" t="str">
            <v>568 - Without Partition</v>
          </cell>
          <cell r="AG267" t="str">
            <v xml:space="preserve">Without Partition </v>
          </cell>
          <cell r="AH267" t="str">
            <v xml:space="preserve">Without Partition </v>
          </cell>
          <cell r="AI267" t="str">
            <v>PINK</v>
          </cell>
          <cell r="AJ267" t="str">
            <v>Slant / PINK</v>
          </cell>
          <cell r="AK267">
            <v>1050000</v>
          </cell>
          <cell r="AL267">
            <v>15000</v>
          </cell>
          <cell r="AM267">
            <v>1650000</v>
          </cell>
          <cell r="AN267">
            <v>33000</v>
          </cell>
          <cell r="AO267">
            <v>150000</v>
          </cell>
          <cell r="AP267">
            <v>2850000</v>
          </cell>
          <cell r="AQ267"/>
          <cell r="AR267">
            <v>2850000</v>
          </cell>
          <cell r="AS267">
            <v>200000</v>
          </cell>
          <cell r="AT267">
            <v>2650000</v>
          </cell>
          <cell r="AU267">
            <v>100000</v>
          </cell>
          <cell r="AV267">
            <v>2550000</v>
          </cell>
          <cell r="AW267">
            <v>0</v>
          </cell>
          <cell r="AX267">
            <v>2550000</v>
          </cell>
        </row>
        <row r="268">
          <cell r="G268" t="str">
            <v>AGM-01-012-003</v>
          </cell>
          <cell r="H268" t="str">
            <v xml:space="preserve">Raemulan Lands, Inc. </v>
          </cell>
          <cell r="I268" t="str">
            <v>Agapeya</v>
          </cell>
          <cell r="J268" t="str">
            <v>AGM</v>
          </cell>
          <cell r="K268" t="str">
            <v>Eco-High</v>
          </cell>
          <cell r="L268" t="str">
            <v>West</v>
          </cell>
          <cell r="M268" t="str">
            <v>With LTS - 2024</v>
          </cell>
          <cell r="N268" t="str">
            <v>YES</v>
          </cell>
          <cell r="O268" t="str">
            <v>YES</v>
          </cell>
          <cell r="P268" t="str">
            <v>Unaffected lots</v>
          </cell>
          <cell r="Q268" t="str">
            <v>YES</v>
          </cell>
          <cell r="R268">
            <v>70</v>
          </cell>
          <cell r="S268" t="str">
            <v>PCS-04-034407</v>
          </cell>
          <cell r="T268" t="str">
            <v>TCT-060-2024021481</v>
          </cell>
          <cell r="U268" t="b">
            <v>1</v>
          </cell>
          <cell r="V268" t="str">
            <v>Done</v>
          </cell>
          <cell r="W268" t="str">
            <v>B3 2025</v>
          </cell>
          <cell r="X268" t="str">
            <v>2025 - Batch 4</v>
          </cell>
          <cell r="Y268">
            <v>12</v>
          </cell>
          <cell r="Z268">
            <v>3</v>
          </cell>
          <cell r="AA268" t="str">
            <v>H+L</v>
          </cell>
          <cell r="AB268">
            <v>70</v>
          </cell>
          <cell r="AC268">
            <v>50</v>
          </cell>
          <cell r="AD268" t="str">
            <v>Flat</v>
          </cell>
          <cell r="AE268" t="str">
            <v>Duplex</v>
          </cell>
          <cell r="AF268" t="str">
            <v>568 - Without Partition</v>
          </cell>
          <cell r="AG268" t="str">
            <v xml:space="preserve">Without Partition </v>
          </cell>
          <cell r="AH268" t="str">
            <v xml:space="preserve">Without Partition </v>
          </cell>
          <cell r="AI268" t="str">
            <v>PINK</v>
          </cell>
          <cell r="AJ268" t="str">
            <v>Flat / PINK</v>
          </cell>
          <cell r="AK268">
            <v>1050000</v>
          </cell>
          <cell r="AL268">
            <v>15000</v>
          </cell>
          <cell r="AM268">
            <v>1650000</v>
          </cell>
          <cell r="AN268">
            <v>33000</v>
          </cell>
          <cell r="AO268">
            <v>150000</v>
          </cell>
          <cell r="AP268">
            <v>2850000</v>
          </cell>
          <cell r="AQ268"/>
          <cell r="AR268">
            <v>2850000</v>
          </cell>
          <cell r="AS268">
            <v>200000</v>
          </cell>
          <cell r="AT268">
            <v>2650000</v>
          </cell>
          <cell r="AU268">
            <v>100000</v>
          </cell>
          <cell r="AV268">
            <v>2550000</v>
          </cell>
          <cell r="AW268">
            <v>0</v>
          </cell>
          <cell r="AX268">
            <v>2550000</v>
          </cell>
        </row>
        <row r="269">
          <cell r="G269" t="str">
            <v>AGM-01-012-004</v>
          </cell>
          <cell r="H269" t="str">
            <v xml:space="preserve">Raemulan Lands, Inc. </v>
          </cell>
          <cell r="I269" t="str">
            <v>Agapeya</v>
          </cell>
          <cell r="J269" t="str">
            <v>AGM</v>
          </cell>
          <cell r="K269" t="str">
            <v>Eco-High</v>
          </cell>
          <cell r="L269" t="str">
            <v>West</v>
          </cell>
          <cell r="M269" t="str">
            <v>With LTS - 2024</v>
          </cell>
          <cell r="N269" t="str">
            <v>YES</v>
          </cell>
          <cell r="O269" t="str">
            <v>YES</v>
          </cell>
          <cell r="P269" t="str">
            <v>Unaffected lots</v>
          </cell>
          <cell r="Q269" t="str">
            <v>YES</v>
          </cell>
          <cell r="R269">
            <v>70</v>
          </cell>
          <cell r="S269" t="str">
            <v>PCS-04-034407</v>
          </cell>
          <cell r="T269" t="str">
            <v>TCT-060-2024021482</v>
          </cell>
          <cell r="U269" t="b">
            <v>1</v>
          </cell>
          <cell r="V269" t="str">
            <v>Done</v>
          </cell>
          <cell r="W269" t="str">
            <v>B3 2025</v>
          </cell>
          <cell r="X269" t="str">
            <v>2025 - Batch 4</v>
          </cell>
          <cell r="Y269">
            <v>12</v>
          </cell>
          <cell r="Z269">
            <v>4</v>
          </cell>
          <cell r="AA269" t="str">
            <v>H+L</v>
          </cell>
          <cell r="AB269">
            <v>70</v>
          </cell>
          <cell r="AC269">
            <v>50</v>
          </cell>
          <cell r="AD269" t="str">
            <v>Flat</v>
          </cell>
          <cell r="AE269" t="str">
            <v>Duplex</v>
          </cell>
          <cell r="AF269" t="str">
            <v>568 - Without Partition</v>
          </cell>
          <cell r="AG269" t="str">
            <v xml:space="preserve">Without Partition </v>
          </cell>
          <cell r="AH269" t="str">
            <v xml:space="preserve">Without Partition </v>
          </cell>
          <cell r="AI269" t="str">
            <v>PINK</v>
          </cell>
          <cell r="AJ269" t="str">
            <v>Flat / PINK</v>
          </cell>
          <cell r="AK269">
            <v>1050000</v>
          </cell>
          <cell r="AL269">
            <v>15000</v>
          </cell>
          <cell r="AM269">
            <v>1650000</v>
          </cell>
          <cell r="AN269">
            <v>33000</v>
          </cell>
          <cell r="AO269">
            <v>150000</v>
          </cell>
          <cell r="AP269">
            <v>2850000</v>
          </cell>
          <cell r="AQ269"/>
          <cell r="AR269">
            <v>2850000</v>
          </cell>
          <cell r="AS269">
            <v>200000</v>
          </cell>
          <cell r="AT269">
            <v>2650000</v>
          </cell>
          <cell r="AU269">
            <v>100000</v>
          </cell>
          <cell r="AV269">
            <v>2550000</v>
          </cell>
          <cell r="AW269">
            <v>0</v>
          </cell>
          <cell r="AX269">
            <v>2550000</v>
          </cell>
        </row>
        <row r="270">
          <cell r="G270" t="str">
            <v>AGM-01-012-005</v>
          </cell>
          <cell r="H270" t="str">
            <v xml:space="preserve">Raemulan Lands, Inc. </v>
          </cell>
          <cell r="I270" t="str">
            <v>Agapeya</v>
          </cell>
          <cell r="J270" t="str">
            <v>AGM</v>
          </cell>
          <cell r="K270" t="str">
            <v>Eco-High</v>
          </cell>
          <cell r="L270" t="str">
            <v>West</v>
          </cell>
          <cell r="M270" t="str">
            <v>With LTS - 2024</v>
          </cell>
          <cell r="N270" t="str">
            <v>YES</v>
          </cell>
          <cell r="O270" t="str">
            <v>YES</v>
          </cell>
          <cell r="P270" t="str">
            <v>Unaffected lots</v>
          </cell>
          <cell r="Q270" t="str">
            <v>YES</v>
          </cell>
          <cell r="R270">
            <v>70</v>
          </cell>
          <cell r="S270" t="str">
            <v>PSD-04-276263</v>
          </cell>
          <cell r="T270" t="str">
            <v>TCT-060-2024019627</v>
          </cell>
          <cell r="U270" t="b">
            <v>1</v>
          </cell>
          <cell r="V270" t="str">
            <v>Done</v>
          </cell>
          <cell r="W270" t="str">
            <v>B3 2025</v>
          </cell>
          <cell r="X270" t="str">
            <v>2025 - Batch 4</v>
          </cell>
          <cell r="Y270">
            <v>12</v>
          </cell>
          <cell r="Z270">
            <v>5</v>
          </cell>
          <cell r="AA270" t="str">
            <v>H+L</v>
          </cell>
          <cell r="AB270">
            <v>70</v>
          </cell>
          <cell r="AC270">
            <v>50</v>
          </cell>
          <cell r="AD270" t="str">
            <v>Slant</v>
          </cell>
          <cell r="AE270" t="str">
            <v>Duplex</v>
          </cell>
          <cell r="AF270" t="str">
            <v>568 - Without Partition</v>
          </cell>
          <cell r="AG270" t="str">
            <v xml:space="preserve">Without Partition </v>
          </cell>
          <cell r="AH270" t="str">
            <v xml:space="preserve">Without Partition </v>
          </cell>
          <cell r="AI270" t="str">
            <v>PINK</v>
          </cell>
          <cell r="AJ270" t="str">
            <v>Slant / PINK</v>
          </cell>
          <cell r="AK270">
            <v>1050000</v>
          </cell>
          <cell r="AL270">
            <v>15000</v>
          </cell>
          <cell r="AM270">
            <v>1650000</v>
          </cell>
          <cell r="AN270">
            <v>33000</v>
          </cell>
          <cell r="AO270">
            <v>150000</v>
          </cell>
          <cell r="AP270">
            <v>2850000</v>
          </cell>
          <cell r="AQ270"/>
          <cell r="AR270">
            <v>2850000</v>
          </cell>
          <cell r="AS270">
            <v>200000</v>
          </cell>
          <cell r="AT270">
            <v>2650000</v>
          </cell>
          <cell r="AU270">
            <v>100000</v>
          </cell>
          <cell r="AV270">
            <v>2550000</v>
          </cell>
          <cell r="AW270">
            <v>0</v>
          </cell>
          <cell r="AX270">
            <v>2550000</v>
          </cell>
        </row>
        <row r="271">
          <cell r="G271" t="str">
            <v>AGM-01-012-006</v>
          </cell>
          <cell r="H271" t="str">
            <v xml:space="preserve">Raemulan Lands, Inc. </v>
          </cell>
          <cell r="I271" t="str">
            <v>Agapeya</v>
          </cell>
          <cell r="J271" t="str">
            <v>AGM</v>
          </cell>
          <cell r="K271" t="str">
            <v>Eco-High</v>
          </cell>
          <cell r="L271" t="str">
            <v>West</v>
          </cell>
          <cell r="M271" t="str">
            <v>With LTS - 2024</v>
          </cell>
          <cell r="N271" t="str">
            <v>YES</v>
          </cell>
          <cell r="O271" t="str">
            <v>YES</v>
          </cell>
          <cell r="P271" t="str">
            <v>Unaffected lots</v>
          </cell>
          <cell r="Q271" t="str">
            <v>YES</v>
          </cell>
          <cell r="R271">
            <v>70</v>
          </cell>
          <cell r="S271" t="str">
            <v>PSD-04-276263</v>
          </cell>
          <cell r="T271" t="str">
            <v>TCT-060-2024019628</v>
          </cell>
          <cell r="U271" t="b">
            <v>1</v>
          </cell>
          <cell r="V271" t="str">
            <v>Done</v>
          </cell>
          <cell r="W271" t="str">
            <v>B3 2025</v>
          </cell>
          <cell r="X271" t="str">
            <v>2025 - Batch 4</v>
          </cell>
          <cell r="Y271">
            <v>12</v>
          </cell>
          <cell r="Z271">
            <v>6</v>
          </cell>
          <cell r="AA271" t="str">
            <v>H+L</v>
          </cell>
          <cell r="AB271">
            <v>70</v>
          </cell>
          <cell r="AC271">
            <v>50</v>
          </cell>
          <cell r="AD271" t="str">
            <v>Slant</v>
          </cell>
          <cell r="AE271" t="str">
            <v>Duplex</v>
          </cell>
          <cell r="AF271" t="str">
            <v>568 - Without Partition</v>
          </cell>
          <cell r="AG271" t="str">
            <v xml:space="preserve">Without Partition </v>
          </cell>
          <cell r="AH271" t="str">
            <v xml:space="preserve">Without Partition </v>
          </cell>
          <cell r="AI271" t="str">
            <v>PURPLE</v>
          </cell>
          <cell r="AJ271" t="str">
            <v>Slant / PURPLE</v>
          </cell>
          <cell r="AK271">
            <v>1050000</v>
          </cell>
          <cell r="AL271">
            <v>15000</v>
          </cell>
          <cell r="AM271">
            <v>1650000</v>
          </cell>
          <cell r="AN271">
            <v>33000</v>
          </cell>
          <cell r="AO271">
            <v>150000</v>
          </cell>
          <cell r="AP271">
            <v>2850000</v>
          </cell>
          <cell r="AQ271"/>
          <cell r="AR271">
            <v>2850000</v>
          </cell>
          <cell r="AS271">
            <v>200000</v>
          </cell>
          <cell r="AT271">
            <v>2650000</v>
          </cell>
          <cell r="AU271">
            <v>100000</v>
          </cell>
          <cell r="AV271">
            <v>2550000</v>
          </cell>
          <cell r="AW271">
            <v>0</v>
          </cell>
          <cell r="AX271">
            <v>2550000</v>
          </cell>
        </row>
        <row r="272">
          <cell r="G272" t="str">
            <v>AGM-01-012-007</v>
          </cell>
          <cell r="H272" t="str">
            <v xml:space="preserve">Raemulan Lands, Inc. </v>
          </cell>
          <cell r="I272" t="str">
            <v>Agapeya</v>
          </cell>
          <cell r="J272" t="str">
            <v>AGM</v>
          </cell>
          <cell r="K272" t="str">
            <v>Eco-High</v>
          </cell>
          <cell r="L272" t="str">
            <v>West</v>
          </cell>
          <cell r="M272" t="str">
            <v>With LTS - 2024</v>
          </cell>
          <cell r="N272" t="str">
            <v>YES</v>
          </cell>
          <cell r="O272" t="str">
            <v>YES</v>
          </cell>
          <cell r="P272" t="str">
            <v>Unaffected lots</v>
          </cell>
          <cell r="Q272" t="str">
            <v>YES</v>
          </cell>
          <cell r="R272">
            <v>70</v>
          </cell>
          <cell r="S272" t="str">
            <v>PSD-04-276263</v>
          </cell>
          <cell r="T272" t="str">
            <v>TCT-060-2024019629</v>
          </cell>
          <cell r="U272" t="b">
            <v>1</v>
          </cell>
          <cell r="V272" t="str">
            <v>Done</v>
          </cell>
          <cell r="W272" t="str">
            <v>B3 2025</v>
          </cell>
          <cell r="X272" t="str">
            <v>2025 - Batch 4</v>
          </cell>
          <cell r="Y272">
            <v>12</v>
          </cell>
          <cell r="Z272">
            <v>7</v>
          </cell>
          <cell r="AA272" t="str">
            <v>H+L</v>
          </cell>
          <cell r="AB272">
            <v>70</v>
          </cell>
          <cell r="AC272">
            <v>50</v>
          </cell>
          <cell r="AD272" t="str">
            <v>Flat</v>
          </cell>
          <cell r="AE272" t="str">
            <v>Duplex</v>
          </cell>
          <cell r="AF272" t="str">
            <v>568 - Without Partition</v>
          </cell>
          <cell r="AG272" t="str">
            <v xml:space="preserve">Without Partition </v>
          </cell>
          <cell r="AH272" t="str">
            <v xml:space="preserve">Without Partition </v>
          </cell>
          <cell r="AI272" t="str">
            <v>PURPLE</v>
          </cell>
          <cell r="AJ272" t="str">
            <v>Flat / PURPLE</v>
          </cell>
          <cell r="AK272">
            <v>1050000</v>
          </cell>
          <cell r="AL272">
            <v>15000</v>
          </cell>
          <cell r="AM272">
            <v>1650000</v>
          </cell>
          <cell r="AN272">
            <v>33000</v>
          </cell>
          <cell r="AO272">
            <v>150000</v>
          </cell>
          <cell r="AP272">
            <v>2850000</v>
          </cell>
          <cell r="AQ272"/>
          <cell r="AR272">
            <v>2850000</v>
          </cell>
          <cell r="AS272">
            <v>200000</v>
          </cell>
          <cell r="AT272">
            <v>2650000</v>
          </cell>
          <cell r="AU272">
            <v>100000</v>
          </cell>
          <cell r="AV272">
            <v>2550000</v>
          </cell>
          <cell r="AW272">
            <v>0</v>
          </cell>
          <cell r="AX272">
            <v>2550000</v>
          </cell>
        </row>
        <row r="273">
          <cell r="G273" t="str">
            <v>AGM-01-012-008</v>
          </cell>
          <cell r="H273" t="str">
            <v xml:space="preserve">Raemulan Lands, Inc. </v>
          </cell>
          <cell r="I273" t="str">
            <v>Agapeya</v>
          </cell>
          <cell r="J273" t="str">
            <v>AGM</v>
          </cell>
          <cell r="K273" t="str">
            <v>Eco-High</v>
          </cell>
          <cell r="L273" t="str">
            <v>West</v>
          </cell>
          <cell r="M273" t="str">
            <v>With LTS - 2024</v>
          </cell>
          <cell r="N273" t="str">
            <v>YES</v>
          </cell>
          <cell r="O273" t="str">
            <v>YES</v>
          </cell>
          <cell r="P273" t="str">
            <v>Unaffected lots</v>
          </cell>
          <cell r="Q273" t="str">
            <v>YES</v>
          </cell>
          <cell r="R273">
            <v>70</v>
          </cell>
          <cell r="S273" t="str">
            <v>PSD-04-276263</v>
          </cell>
          <cell r="T273" t="str">
            <v>TCT-060-2024019630</v>
          </cell>
          <cell r="U273" t="b">
            <v>1</v>
          </cell>
          <cell r="V273" t="str">
            <v>Done</v>
          </cell>
          <cell r="W273" t="str">
            <v>B4 2025</v>
          </cell>
          <cell r="X273" t="str">
            <v>2025 - Batch 3</v>
          </cell>
          <cell r="Y273">
            <v>12</v>
          </cell>
          <cell r="Z273">
            <v>8</v>
          </cell>
          <cell r="AA273" t="str">
            <v>H+L</v>
          </cell>
          <cell r="AB273">
            <v>70</v>
          </cell>
          <cell r="AC273">
            <v>50</v>
          </cell>
          <cell r="AD273" t="str">
            <v>Flat</v>
          </cell>
          <cell r="AE273" t="str">
            <v>Duplex</v>
          </cell>
          <cell r="AF273" t="str">
            <v>568 - Without Partition</v>
          </cell>
          <cell r="AG273" t="str">
            <v xml:space="preserve">Without Partition </v>
          </cell>
          <cell r="AH273" t="str">
            <v xml:space="preserve">Without Partition </v>
          </cell>
          <cell r="AI273" t="str">
            <v>PURPLE</v>
          </cell>
          <cell r="AJ273" t="str">
            <v>Flat / PURPLE</v>
          </cell>
          <cell r="AK273">
            <v>1050000</v>
          </cell>
          <cell r="AL273">
            <v>15000</v>
          </cell>
          <cell r="AM273">
            <v>1650000</v>
          </cell>
          <cell r="AN273">
            <v>33000</v>
          </cell>
          <cell r="AO273">
            <v>150000</v>
          </cell>
          <cell r="AP273">
            <v>2850000</v>
          </cell>
          <cell r="AQ273"/>
          <cell r="AR273">
            <v>2850000</v>
          </cell>
          <cell r="AS273">
            <v>200000</v>
          </cell>
          <cell r="AT273">
            <v>2650000</v>
          </cell>
          <cell r="AU273">
            <v>100000</v>
          </cell>
          <cell r="AV273">
            <v>2550000</v>
          </cell>
          <cell r="AW273">
            <v>0</v>
          </cell>
          <cell r="AX273">
            <v>2550000</v>
          </cell>
        </row>
        <row r="274">
          <cell r="G274" t="str">
            <v>AGM-01-012-009</v>
          </cell>
          <cell r="H274" t="str">
            <v xml:space="preserve">Raemulan Lands, Inc. </v>
          </cell>
          <cell r="I274" t="str">
            <v>Agapeya</v>
          </cell>
          <cell r="J274" t="str">
            <v>AGM</v>
          </cell>
          <cell r="K274" t="str">
            <v>Eco-High</v>
          </cell>
          <cell r="L274" t="str">
            <v>West</v>
          </cell>
          <cell r="M274" t="str">
            <v>With LTS - 2024</v>
          </cell>
          <cell r="N274" t="str">
            <v>YES</v>
          </cell>
          <cell r="O274" t="str">
            <v>YES</v>
          </cell>
          <cell r="P274" t="str">
            <v>Unaffected lots</v>
          </cell>
          <cell r="Q274" t="str">
            <v>YES</v>
          </cell>
          <cell r="R274">
            <v>70</v>
          </cell>
          <cell r="S274" t="str">
            <v>PSD-04-276263</v>
          </cell>
          <cell r="T274" t="str">
            <v>TCT-060-2024019631</v>
          </cell>
          <cell r="U274" t="b">
            <v>1</v>
          </cell>
          <cell r="V274" t="str">
            <v>Done</v>
          </cell>
          <cell r="W274" t="str">
            <v>B4 2025</v>
          </cell>
          <cell r="X274" t="str">
            <v>2025 - Batch 3</v>
          </cell>
          <cell r="Y274">
            <v>12</v>
          </cell>
          <cell r="Z274">
            <v>9</v>
          </cell>
          <cell r="AA274" t="str">
            <v>H+L</v>
          </cell>
          <cell r="AB274">
            <v>70</v>
          </cell>
          <cell r="AC274">
            <v>50</v>
          </cell>
          <cell r="AD274" t="str">
            <v>Slant</v>
          </cell>
          <cell r="AE274" t="str">
            <v>Duplex</v>
          </cell>
          <cell r="AF274" t="str">
            <v>568 - Without Partition</v>
          </cell>
          <cell r="AG274" t="str">
            <v xml:space="preserve">Without Partition </v>
          </cell>
          <cell r="AH274" t="str">
            <v xml:space="preserve">Without Partition </v>
          </cell>
          <cell r="AI274" t="str">
            <v>PURPLE</v>
          </cell>
          <cell r="AJ274" t="str">
            <v>Slant / PURPLE</v>
          </cell>
          <cell r="AK274">
            <v>1050000</v>
          </cell>
          <cell r="AL274">
            <v>15000</v>
          </cell>
          <cell r="AM274">
            <v>1650000</v>
          </cell>
          <cell r="AN274">
            <v>33000</v>
          </cell>
          <cell r="AO274">
            <v>150000</v>
          </cell>
          <cell r="AP274">
            <v>2850000</v>
          </cell>
          <cell r="AQ274"/>
          <cell r="AR274">
            <v>2850000</v>
          </cell>
          <cell r="AS274">
            <v>200000</v>
          </cell>
          <cell r="AT274">
            <v>2650000</v>
          </cell>
          <cell r="AU274">
            <v>100000</v>
          </cell>
          <cell r="AV274">
            <v>2550000</v>
          </cell>
          <cell r="AW274">
            <v>0</v>
          </cell>
          <cell r="AX274">
            <v>2550000</v>
          </cell>
        </row>
        <row r="275">
          <cell r="G275" t="str">
            <v>AGM-01-012-010</v>
          </cell>
          <cell r="H275" t="str">
            <v xml:space="preserve">Raemulan Lands, Inc. </v>
          </cell>
          <cell r="I275" t="str">
            <v>Agapeya</v>
          </cell>
          <cell r="J275" t="str">
            <v>AGM</v>
          </cell>
          <cell r="K275" t="str">
            <v>Eco-High</v>
          </cell>
          <cell r="L275" t="str">
            <v>West</v>
          </cell>
          <cell r="M275" t="str">
            <v>With LTS - 2024</v>
          </cell>
          <cell r="N275" t="str">
            <v>YES</v>
          </cell>
          <cell r="O275" t="str">
            <v>YES</v>
          </cell>
          <cell r="P275" t="str">
            <v>Unaffected lots</v>
          </cell>
          <cell r="Q275" t="str">
            <v>YES</v>
          </cell>
          <cell r="R275">
            <v>70</v>
          </cell>
          <cell r="S275" t="str">
            <v>PSD-04-276263</v>
          </cell>
          <cell r="T275" t="str">
            <v>TCT-060-2024019632</v>
          </cell>
          <cell r="U275" t="b">
            <v>1</v>
          </cell>
          <cell r="V275" t="str">
            <v>Done</v>
          </cell>
          <cell r="W275" t="str">
            <v>B4 2025</v>
          </cell>
          <cell r="X275" t="str">
            <v>2025 - Batch 3</v>
          </cell>
          <cell r="Y275">
            <v>12</v>
          </cell>
          <cell r="Z275">
            <v>10</v>
          </cell>
          <cell r="AA275" t="str">
            <v>H+L</v>
          </cell>
          <cell r="AB275">
            <v>70</v>
          </cell>
          <cell r="AC275">
            <v>50</v>
          </cell>
          <cell r="AD275" t="str">
            <v>Slant</v>
          </cell>
          <cell r="AE275" t="str">
            <v>Duplex</v>
          </cell>
          <cell r="AF275" t="str">
            <v>568 - Without Partition</v>
          </cell>
          <cell r="AG275" t="str">
            <v xml:space="preserve">Without Partition </v>
          </cell>
          <cell r="AH275" t="str">
            <v xml:space="preserve">Without Partition </v>
          </cell>
          <cell r="AI275" t="str">
            <v>GREEN</v>
          </cell>
          <cell r="AJ275" t="str">
            <v>Slant / GREEN</v>
          </cell>
          <cell r="AK275">
            <v>1050000</v>
          </cell>
          <cell r="AL275">
            <v>15000</v>
          </cell>
          <cell r="AM275">
            <v>1650000</v>
          </cell>
          <cell r="AN275">
            <v>33000</v>
          </cell>
          <cell r="AO275">
            <v>150000</v>
          </cell>
          <cell r="AP275">
            <v>2850000</v>
          </cell>
          <cell r="AQ275"/>
          <cell r="AR275">
            <v>2850000</v>
          </cell>
          <cell r="AS275">
            <v>200000</v>
          </cell>
          <cell r="AT275">
            <v>2650000</v>
          </cell>
          <cell r="AU275">
            <v>100000</v>
          </cell>
          <cell r="AV275">
            <v>2550000</v>
          </cell>
          <cell r="AW275">
            <v>0</v>
          </cell>
          <cell r="AX275">
            <v>2550000</v>
          </cell>
        </row>
        <row r="276">
          <cell r="G276" t="str">
            <v>AGM-01-012-011</v>
          </cell>
          <cell r="H276" t="str">
            <v xml:space="preserve">Raemulan Lands, Inc. </v>
          </cell>
          <cell r="I276" t="str">
            <v>Agapeya</v>
          </cell>
          <cell r="J276" t="str">
            <v>AGM</v>
          </cell>
          <cell r="K276" t="str">
            <v>Eco-High</v>
          </cell>
          <cell r="L276" t="str">
            <v>West</v>
          </cell>
          <cell r="M276" t="str">
            <v>Without LTS</v>
          </cell>
          <cell r="N276"/>
          <cell r="O276"/>
          <cell r="P276" t="str">
            <v>Unaffected lots</v>
          </cell>
          <cell r="Q276" t="str">
            <v>NO</v>
          </cell>
          <cell r="R276">
            <v>70</v>
          </cell>
          <cell r="S276" t="str">
            <v>PCS-04-036395</v>
          </cell>
          <cell r="T276" t="str">
            <v>TCT-060-2026007157</v>
          </cell>
          <cell r="U276" t="b">
            <v>1</v>
          </cell>
          <cell r="V276" t="str">
            <v>Done</v>
          </cell>
          <cell r="W276" t="str">
            <v>B4 2025</v>
          </cell>
          <cell r="X276" t="str">
            <v>2025 - Batch 3</v>
          </cell>
          <cell r="Y276">
            <v>12</v>
          </cell>
          <cell r="Z276">
            <v>11</v>
          </cell>
          <cell r="AA276" t="str">
            <v>H+L</v>
          </cell>
          <cell r="AB276">
            <v>70</v>
          </cell>
          <cell r="AC276">
            <v>50</v>
          </cell>
          <cell r="AD276" t="str">
            <v>Flat</v>
          </cell>
          <cell r="AE276" t="str">
            <v>Duplex</v>
          </cell>
          <cell r="AF276" t="str">
            <v>568 - Without Partition</v>
          </cell>
          <cell r="AG276" t="str">
            <v xml:space="preserve">Without Partition </v>
          </cell>
          <cell r="AH276" t="str">
            <v xml:space="preserve">Without Partition </v>
          </cell>
          <cell r="AI276" t="str">
            <v>GREEN</v>
          </cell>
          <cell r="AJ276" t="str">
            <v>Flat / GREEN</v>
          </cell>
          <cell r="AK276">
            <v>1050000</v>
          </cell>
          <cell r="AL276">
            <v>15000</v>
          </cell>
          <cell r="AM276">
            <v>1650000</v>
          </cell>
          <cell r="AN276">
            <v>33000</v>
          </cell>
          <cell r="AO276">
            <v>150000</v>
          </cell>
          <cell r="AP276">
            <v>2850000</v>
          </cell>
          <cell r="AQ276"/>
          <cell r="AR276">
            <v>2850000</v>
          </cell>
          <cell r="AS276">
            <v>200000</v>
          </cell>
          <cell r="AT276">
            <v>2650000</v>
          </cell>
          <cell r="AU276">
            <v>100000</v>
          </cell>
          <cell r="AV276">
            <v>2550000</v>
          </cell>
          <cell r="AW276">
            <v>0</v>
          </cell>
          <cell r="AX276">
            <v>2550000</v>
          </cell>
        </row>
        <row r="277">
          <cell r="G277" t="str">
            <v>AGM-01-012-012</v>
          </cell>
          <cell r="H277" t="str">
            <v xml:space="preserve">Raemulan Lands, Inc. </v>
          </cell>
          <cell r="I277" t="str">
            <v>Agapeya</v>
          </cell>
          <cell r="J277" t="str">
            <v>AGM</v>
          </cell>
          <cell r="K277" t="str">
            <v>Eco-High</v>
          </cell>
          <cell r="L277" t="str">
            <v>West</v>
          </cell>
          <cell r="M277" t="str">
            <v>With LTS - 2026</v>
          </cell>
          <cell r="N277" t="str">
            <v>YES</v>
          </cell>
          <cell r="O277" t="str">
            <v>NO</v>
          </cell>
          <cell r="P277" t="str">
            <v>Unaffected lots</v>
          </cell>
          <cell r="Q277" t="str">
            <v>NO</v>
          </cell>
          <cell r="R277">
            <v>70</v>
          </cell>
          <cell r="S277" t="str">
            <v>PSD-04-277865</v>
          </cell>
          <cell r="T277" t="str">
            <v>TCT-060-2025019422</v>
          </cell>
          <cell r="U277" t="b">
            <v>1</v>
          </cell>
          <cell r="V277" t="str">
            <v>Done</v>
          </cell>
          <cell r="W277" t="str">
            <v>B4 2025</v>
          </cell>
          <cell r="X277" t="str">
            <v>2025 - Batch 3</v>
          </cell>
          <cell r="Y277">
            <v>12</v>
          </cell>
          <cell r="Z277">
            <v>12</v>
          </cell>
          <cell r="AA277" t="str">
            <v>H+L</v>
          </cell>
          <cell r="AB277">
            <v>70</v>
          </cell>
          <cell r="AC277">
            <v>50</v>
          </cell>
          <cell r="AD277" t="str">
            <v>Flat</v>
          </cell>
          <cell r="AE277" t="str">
            <v>Duplex</v>
          </cell>
          <cell r="AF277" t="str">
            <v>568 - Without Partition</v>
          </cell>
          <cell r="AG277" t="str">
            <v xml:space="preserve">Without Partition </v>
          </cell>
          <cell r="AH277" t="str">
            <v xml:space="preserve">Without Partition </v>
          </cell>
          <cell r="AI277" t="str">
            <v>GREEN</v>
          </cell>
          <cell r="AJ277" t="str">
            <v>Flat / GREEN</v>
          </cell>
          <cell r="AK277">
            <v>1050000</v>
          </cell>
          <cell r="AL277">
            <v>15000</v>
          </cell>
          <cell r="AM277">
            <v>1650000</v>
          </cell>
          <cell r="AN277">
            <v>33000</v>
          </cell>
          <cell r="AO277">
            <v>150000</v>
          </cell>
          <cell r="AP277">
            <v>2850000</v>
          </cell>
          <cell r="AQ277"/>
          <cell r="AR277">
            <v>2850000</v>
          </cell>
          <cell r="AS277">
            <v>200000</v>
          </cell>
          <cell r="AT277">
            <v>2650000</v>
          </cell>
          <cell r="AU277">
            <v>100000</v>
          </cell>
          <cell r="AV277">
            <v>2550000</v>
          </cell>
          <cell r="AW277">
            <v>0</v>
          </cell>
          <cell r="AX277">
            <v>2550000</v>
          </cell>
        </row>
        <row r="278">
          <cell r="G278" t="str">
            <v>AGM-01-012-013</v>
          </cell>
          <cell r="H278" t="str">
            <v xml:space="preserve">Raemulan Lands, Inc. </v>
          </cell>
          <cell r="I278" t="str">
            <v>Agapeya</v>
          </cell>
          <cell r="J278" t="str">
            <v>AGM</v>
          </cell>
          <cell r="K278" t="str">
            <v>Eco-High</v>
          </cell>
          <cell r="L278" t="str">
            <v>West</v>
          </cell>
          <cell r="M278" t="str">
            <v>With LTS - 2026</v>
          </cell>
          <cell r="N278" t="str">
            <v>YES</v>
          </cell>
          <cell r="O278" t="str">
            <v>NO</v>
          </cell>
          <cell r="P278" t="str">
            <v>Unaffected lots</v>
          </cell>
          <cell r="Q278" t="str">
            <v>NO</v>
          </cell>
          <cell r="R278">
            <v>70</v>
          </cell>
          <cell r="S278" t="str">
            <v>PSD-04-277865</v>
          </cell>
          <cell r="T278" t="str">
            <v>TCT-060-2025019423</v>
          </cell>
          <cell r="U278" t="b">
            <v>1</v>
          </cell>
          <cell r="V278" t="str">
            <v>Done</v>
          </cell>
          <cell r="W278" t="str">
            <v>B4 2025</v>
          </cell>
          <cell r="X278" t="str">
            <v>2025 - Batch 3</v>
          </cell>
          <cell r="Y278">
            <v>12</v>
          </cell>
          <cell r="Z278">
            <v>13</v>
          </cell>
          <cell r="AA278" t="str">
            <v>H+L</v>
          </cell>
          <cell r="AB278">
            <v>70</v>
          </cell>
          <cell r="AC278">
            <v>50</v>
          </cell>
          <cell r="AD278" t="str">
            <v>Slant</v>
          </cell>
          <cell r="AE278" t="str">
            <v>Duplex</v>
          </cell>
          <cell r="AF278" t="str">
            <v>568 - Without Partition</v>
          </cell>
          <cell r="AG278" t="str">
            <v xml:space="preserve">Without Partition </v>
          </cell>
          <cell r="AH278" t="str">
            <v xml:space="preserve">Without Partition </v>
          </cell>
          <cell r="AI278" t="str">
            <v>GREEN</v>
          </cell>
          <cell r="AJ278" t="str">
            <v>Slant / GREEN</v>
          </cell>
          <cell r="AK278">
            <v>1050000</v>
          </cell>
          <cell r="AL278">
            <v>15000</v>
          </cell>
          <cell r="AM278">
            <v>1650000</v>
          </cell>
          <cell r="AN278">
            <v>33000</v>
          </cell>
          <cell r="AO278">
            <v>150000</v>
          </cell>
          <cell r="AP278">
            <v>2850000</v>
          </cell>
          <cell r="AQ278"/>
          <cell r="AR278">
            <v>2850000</v>
          </cell>
          <cell r="AS278">
            <v>200000</v>
          </cell>
          <cell r="AT278">
            <v>2650000</v>
          </cell>
          <cell r="AU278">
            <v>100000</v>
          </cell>
          <cell r="AV278">
            <v>2550000</v>
          </cell>
          <cell r="AW278">
            <v>0</v>
          </cell>
          <cell r="AX278">
            <v>2550000</v>
          </cell>
        </row>
        <row r="279">
          <cell r="G279" t="str">
            <v>AGM-01-015-001</v>
          </cell>
          <cell r="H279" t="str">
            <v xml:space="preserve">Raemulan Lands, Inc. </v>
          </cell>
          <cell r="I279" t="str">
            <v>Agapeya</v>
          </cell>
          <cell r="J279" t="str">
            <v>AGM</v>
          </cell>
          <cell r="K279" t="str">
            <v>Eco-High</v>
          </cell>
          <cell r="L279" t="str">
            <v>West</v>
          </cell>
          <cell r="M279" t="str">
            <v>Without LTS</v>
          </cell>
          <cell r="N279"/>
          <cell r="O279"/>
          <cell r="P279" t="str">
            <v>Unaffected lots</v>
          </cell>
          <cell r="Q279" t="str">
            <v>NO</v>
          </cell>
          <cell r="R279">
            <v>90</v>
          </cell>
          <cell r="S279" t="str">
            <v>PCS-04-036368</v>
          </cell>
          <cell r="T279" t="str">
            <v>TCT-060-2026008399</v>
          </cell>
          <cell r="U279" t="b">
            <v>1</v>
          </cell>
          <cell r="V279" t="str">
            <v>Done</v>
          </cell>
          <cell r="W279" t="str">
            <v>B3 2025</v>
          </cell>
          <cell r="X279" t="str">
            <v>2025 - Batch 6</v>
          </cell>
          <cell r="Y279">
            <v>15</v>
          </cell>
          <cell r="Z279">
            <v>1</v>
          </cell>
          <cell r="AA279" t="str">
            <v>H+L</v>
          </cell>
          <cell r="AB279">
            <v>90</v>
          </cell>
          <cell r="AC279">
            <v>50</v>
          </cell>
          <cell r="AD279" t="str">
            <v>Slant</v>
          </cell>
          <cell r="AE279" t="str">
            <v>Duplex</v>
          </cell>
          <cell r="AF279" t="str">
            <v>568 - Without Partition</v>
          </cell>
          <cell r="AG279" t="str">
            <v xml:space="preserve">Without Partition </v>
          </cell>
          <cell r="AH279" t="str">
            <v xml:space="preserve">Without Partition </v>
          </cell>
          <cell r="AI279" t="str">
            <v>PURPLE</v>
          </cell>
          <cell r="AJ279" t="str">
            <v>Slant / PURPLE</v>
          </cell>
          <cell r="AK279">
            <v>1350000</v>
          </cell>
          <cell r="AL279">
            <v>15000</v>
          </cell>
          <cell r="AM279">
            <v>1650000</v>
          </cell>
          <cell r="AN279">
            <v>33000</v>
          </cell>
          <cell r="AO279">
            <v>150000</v>
          </cell>
          <cell r="AP279">
            <v>3150000</v>
          </cell>
          <cell r="AQ279"/>
          <cell r="AR279">
            <v>3150000</v>
          </cell>
          <cell r="AS279">
            <v>200000</v>
          </cell>
          <cell r="AT279">
            <v>2950000</v>
          </cell>
          <cell r="AU279">
            <v>100000</v>
          </cell>
          <cell r="AV279">
            <v>2850000</v>
          </cell>
          <cell r="AW279">
            <v>0</v>
          </cell>
          <cell r="AX279">
            <v>2850000</v>
          </cell>
        </row>
        <row r="280">
          <cell r="G280" t="str">
            <v>AGM-01-015-002</v>
          </cell>
          <cell r="H280" t="str">
            <v xml:space="preserve">Raemulan Lands, Inc. </v>
          </cell>
          <cell r="I280" t="str">
            <v>Agapeya</v>
          </cell>
          <cell r="J280" t="str">
            <v>AGM</v>
          </cell>
          <cell r="K280" t="str">
            <v>Eco-High</v>
          </cell>
          <cell r="L280" t="str">
            <v>West</v>
          </cell>
          <cell r="M280" t="str">
            <v>Without LTS</v>
          </cell>
          <cell r="N280"/>
          <cell r="O280"/>
          <cell r="P280" t="str">
            <v>Unaffected lots</v>
          </cell>
          <cell r="Q280" t="str">
            <v>NO</v>
          </cell>
          <cell r="R280">
            <v>70</v>
          </cell>
          <cell r="S280" t="str">
            <v>PCS-04-036368</v>
          </cell>
          <cell r="T280" t="str">
            <v>TCT-060-2026008400</v>
          </cell>
          <cell r="U280" t="b">
            <v>1</v>
          </cell>
          <cell r="V280" t="str">
            <v>Done</v>
          </cell>
          <cell r="W280" t="str">
            <v>B3 2025</v>
          </cell>
          <cell r="X280" t="str">
            <v>2025 - Batch 6</v>
          </cell>
          <cell r="Y280">
            <v>15</v>
          </cell>
          <cell r="Z280">
            <v>2</v>
          </cell>
          <cell r="AA280" t="str">
            <v>H+L</v>
          </cell>
          <cell r="AB280">
            <v>70</v>
          </cell>
          <cell r="AC280">
            <v>50</v>
          </cell>
          <cell r="AD280" t="str">
            <v>Flat</v>
          </cell>
          <cell r="AE280" t="str">
            <v>Duplex</v>
          </cell>
          <cell r="AF280" t="str">
            <v>568 - Without Partition</v>
          </cell>
          <cell r="AG280" t="str">
            <v xml:space="preserve">Without Partition </v>
          </cell>
          <cell r="AH280" t="str">
            <v xml:space="preserve">Without Partition </v>
          </cell>
          <cell r="AI280" t="str">
            <v>PURPLE</v>
          </cell>
          <cell r="AJ280" t="str">
            <v>Flat / PURPLE</v>
          </cell>
          <cell r="AK280">
            <v>1050000</v>
          </cell>
          <cell r="AL280">
            <v>15000</v>
          </cell>
          <cell r="AM280">
            <v>1650000</v>
          </cell>
          <cell r="AN280">
            <v>33000</v>
          </cell>
          <cell r="AO280">
            <v>150000</v>
          </cell>
          <cell r="AP280">
            <v>2850000</v>
          </cell>
          <cell r="AQ280"/>
          <cell r="AR280">
            <v>2850000</v>
          </cell>
          <cell r="AS280">
            <v>200000</v>
          </cell>
          <cell r="AT280">
            <v>2650000</v>
          </cell>
          <cell r="AU280">
            <v>100000</v>
          </cell>
          <cell r="AV280">
            <v>2550000</v>
          </cell>
          <cell r="AW280">
            <v>0</v>
          </cell>
          <cell r="AX280">
            <v>2550000</v>
          </cell>
        </row>
        <row r="281">
          <cell r="G281" t="str">
            <v>AGM-01-015-003</v>
          </cell>
          <cell r="H281" t="str">
            <v xml:space="preserve">Raemulan Lands, Inc. </v>
          </cell>
          <cell r="I281" t="str">
            <v>Agapeya</v>
          </cell>
          <cell r="J281" t="str">
            <v>AGM</v>
          </cell>
          <cell r="K281" t="str">
            <v>Eco-High</v>
          </cell>
          <cell r="L281" t="str">
            <v>West</v>
          </cell>
          <cell r="M281" t="str">
            <v>Without LTS</v>
          </cell>
          <cell r="N281"/>
          <cell r="O281"/>
          <cell r="P281" t="str">
            <v>Unaffected lots</v>
          </cell>
          <cell r="Q281" t="str">
            <v>NO</v>
          </cell>
          <cell r="R281">
            <v>70</v>
          </cell>
          <cell r="S281" t="str">
            <v>PCS-04-036368</v>
          </cell>
          <cell r="T281" t="str">
            <v>TCT-060-2026008401</v>
          </cell>
          <cell r="U281" t="b">
            <v>1</v>
          </cell>
          <cell r="V281" t="str">
            <v>Done</v>
          </cell>
          <cell r="W281" t="str">
            <v>B3 2025</v>
          </cell>
          <cell r="X281" t="str">
            <v>2025 - Batch 6</v>
          </cell>
          <cell r="Y281">
            <v>15</v>
          </cell>
          <cell r="Z281">
            <v>3</v>
          </cell>
          <cell r="AA281" t="str">
            <v>H+L</v>
          </cell>
          <cell r="AB281">
            <v>70</v>
          </cell>
          <cell r="AC281">
            <v>50</v>
          </cell>
          <cell r="AD281" t="str">
            <v>Flat</v>
          </cell>
          <cell r="AE281" t="str">
            <v>Duplex</v>
          </cell>
          <cell r="AF281" t="str">
            <v>568 - Without Partition</v>
          </cell>
          <cell r="AG281" t="str">
            <v xml:space="preserve">Without Partition </v>
          </cell>
          <cell r="AH281" t="str">
            <v xml:space="preserve">Without Partition </v>
          </cell>
          <cell r="AI281" t="str">
            <v>PURPLE</v>
          </cell>
          <cell r="AJ281" t="str">
            <v>Flat / PURPLE</v>
          </cell>
          <cell r="AK281">
            <v>1050000</v>
          </cell>
          <cell r="AL281">
            <v>15000</v>
          </cell>
          <cell r="AM281">
            <v>1650000</v>
          </cell>
          <cell r="AN281">
            <v>33000</v>
          </cell>
          <cell r="AO281">
            <v>150000</v>
          </cell>
          <cell r="AP281">
            <v>2850000</v>
          </cell>
          <cell r="AQ281"/>
          <cell r="AR281">
            <v>2850000</v>
          </cell>
          <cell r="AS281">
            <v>200000</v>
          </cell>
          <cell r="AT281">
            <v>2650000</v>
          </cell>
          <cell r="AU281">
            <v>100000</v>
          </cell>
          <cell r="AV281">
            <v>2550000</v>
          </cell>
          <cell r="AW281">
            <v>0</v>
          </cell>
          <cell r="AX281">
            <v>2550000</v>
          </cell>
        </row>
        <row r="282">
          <cell r="G282" t="str">
            <v>AGM-01-015-004</v>
          </cell>
          <cell r="H282" t="str">
            <v xml:space="preserve">Raemulan Lands, Inc. </v>
          </cell>
          <cell r="I282" t="str">
            <v>Agapeya</v>
          </cell>
          <cell r="J282" t="str">
            <v>AGM</v>
          </cell>
          <cell r="K282" t="str">
            <v>Eco-High</v>
          </cell>
          <cell r="L282" t="str">
            <v>West</v>
          </cell>
          <cell r="M282" t="str">
            <v>With LTS - 2026</v>
          </cell>
          <cell r="N282" t="str">
            <v>YES</v>
          </cell>
          <cell r="O282" t="str">
            <v>NO</v>
          </cell>
          <cell r="P282" t="str">
            <v>Unaffected lots</v>
          </cell>
          <cell r="Q282" t="str">
            <v>NO</v>
          </cell>
          <cell r="R282">
            <v>70</v>
          </cell>
          <cell r="S282" t="str">
            <v>PSD-04-277865</v>
          </cell>
          <cell r="T282" t="str">
            <v>TCT-060-2025019432</v>
          </cell>
          <cell r="U282" t="b">
            <v>1</v>
          </cell>
          <cell r="V282" t="str">
            <v>Done</v>
          </cell>
          <cell r="W282" t="str">
            <v>B3 2025</v>
          </cell>
          <cell r="X282" t="str">
            <v>2025 - Batch 6</v>
          </cell>
          <cell r="Y282">
            <v>15</v>
          </cell>
          <cell r="Z282">
            <v>4</v>
          </cell>
          <cell r="AA282" t="str">
            <v>H+L</v>
          </cell>
          <cell r="AB282">
            <v>70</v>
          </cell>
          <cell r="AC282">
            <v>50</v>
          </cell>
          <cell r="AD282" t="str">
            <v>Slant</v>
          </cell>
          <cell r="AE282" t="str">
            <v>Duplex</v>
          </cell>
          <cell r="AF282" t="str">
            <v>568 - Without Partition</v>
          </cell>
          <cell r="AG282" t="str">
            <v xml:space="preserve">Without Partition </v>
          </cell>
          <cell r="AH282" t="str">
            <v xml:space="preserve">Without Partition </v>
          </cell>
          <cell r="AI282" t="str">
            <v>PURPLE</v>
          </cell>
          <cell r="AJ282" t="str">
            <v>Slant / PURPLE</v>
          </cell>
          <cell r="AK282">
            <v>1050000</v>
          </cell>
          <cell r="AL282">
            <v>15000</v>
          </cell>
          <cell r="AM282">
            <v>1650000</v>
          </cell>
          <cell r="AN282">
            <v>33000</v>
          </cell>
          <cell r="AO282">
            <v>150000</v>
          </cell>
          <cell r="AP282">
            <v>2850000</v>
          </cell>
          <cell r="AQ282"/>
          <cell r="AR282">
            <v>2850000</v>
          </cell>
          <cell r="AS282">
            <v>200000</v>
          </cell>
          <cell r="AT282">
            <v>2650000</v>
          </cell>
          <cell r="AU282">
            <v>100000</v>
          </cell>
          <cell r="AV282">
            <v>2550000</v>
          </cell>
          <cell r="AW282">
            <v>0</v>
          </cell>
          <cell r="AX282">
            <v>2550000</v>
          </cell>
        </row>
        <row r="283">
          <cell r="G283" t="str">
            <v>AGM-01-015-005</v>
          </cell>
          <cell r="H283" t="str">
            <v xml:space="preserve">Raemulan Lands, Inc. </v>
          </cell>
          <cell r="I283" t="str">
            <v>Agapeya</v>
          </cell>
          <cell r="J283" t="str">
            <v>AGM</v>
          </cell>
          <cell r="K283" t="str">
            <v>Eco-High</v>
          </cell>
          <cell r="L283" t="str">
            <v>West</v>
          </cell>
          <cell r="M283" t="str">
            <v>With LTS - 2026</v>
          </cell>
          <cell r="N283" t="str">
            <v>YES</v>
          </cell>
          <cell r="O283" t="str">
            <v>NO</v>
          </cell>
          <cell r="P283" t="str">
            <v>Unaffected lots</v>
          </cell>
          <cell r="Q283" t="str">
            <v>NO</v>
          </cell>
          <cell r="R283">
            <v>70</v>
          </cell>
          <cell r="S283" t="str">
            <v>PSD-04-277865</v>
          </cell>
          <cell r="T283" t="str">
            <v>TCT-060-2025019433</v>
          </cell>
          <cell r="U283" t="b">
            <v>1</v>
          </cell>
          <cell r="V283" t="str">
            <v>Done</v>
          </cell>
          <cell r="W283" t="str">
            <v>B3 2025</v>
          </cell>
          <cell r="X283" t="str">
            <v>2025 - Batch 6</v>
          </cell>
          <cell r="Y283">
            <v>15</v>
          </cell>
          <cell r="Z283">
            <v>5</v>
          </cell>
          <cell r="AA283" t="str">
            <v>H+L</v>
          </cell>
          <cell r="AB283">
            <v>70</v>
          </cell>
          <cell r="AC283">
            <v>50</v>
          </cell>
          <cell r="AD283" t="str">
            <v>Slant</v>
          </cell>
          <cell r="AE283" t="str">
            <v>Duplex</v>
          </cell>
          <cell r="AF283" t="str">
            <v>568 - Without Partition</v>
          </cell>
          <cell r="AG283" t="str">
            <v xml:space="preserve">Without Partition </v>
          </cell>
          <cell r="AH283" t="str">
            <v xml:space="preserve">Without Partition </v>
          </cell>
          <cell r="AI283" t="str">
            <v>PINK</v>
          </cell>
          <cell r="AJ283" t="str">
            <v>Slant / PINK</v>
          </cell>
          <cell r="AK283">
            <v>1050000</v>
          </cell>
          <cell r="AL283">
            <v>15000</v>
          </cell>
          <cell r="AM283">
            <v>1650000</v>
          </cell>
          <cell r="AN283">
            <v>33000</v>
          </cell>
          <cell r="AO283">
            <v>150000</v>
          </cell>
          <cell r="AP283">
            <v>2850000</v>
          </cell>
          <cell r="AQ283"/>
          <cell r="AR283">
            <v>2850000</v>
          </cell>
          <cell r="AS283">
            <v>200000</v>
          </cell>
          <cell r="AT283">
            <v>2650000</v>
          </cell>
          <cell r="AU283">
            <v>100000</v>
          </cell>
          <cell r="AV283">
            <v>2550000</v>
          </cell>
          <cell r="AW283">
            <v>0</v>
          </cell>
          <cell r="AX283">
            <v>2550000</v>
          </cell>
        </row>
        <row r="284">
          <cell r="G284" t="str">
            <v>AGM-01-015-006</v>
          </cell>
          <cell r="H284" t="str">
            <v xml:space="preserve">Raemulan Lands, Inc. </v>
          </cell>
          <cell r="I284" t="str">
            <v>Agapeya</v>
          </cell>
          <cell r="J284" t="str">
            <v>AGM</v>
          </cell>
          <cell r="K284" t="str">
            <v>Eco-High</v>
          </cell>
          <cell r="L284" t="str">
            <v>West</v>
          </cell>
          <cell r="M284" t="str">
            <v>With LTS - 2026</v>
          </cell>
          <cell r="N284" t="str">
            <v>YES</v>
          </cell>
          <cell r="O284" t="str">
            <v>NO</v>
          </cell>
          <cell r="P284" t="str">
            <v>Unaffected lots</v>
          </cell>
          <cell r="Q284" t="str">
            <v>NO</v>
          </cell>
          <cell r="R284">
            <v>70</v>
          </cell>
          <cell r="S284" t="str">
            <v>PSD-04-277865</v>
          </cell>
          <cell r="T284" t="str">
            <v>TCT-060-2025019434</v>
          </cell>
          <cell r="U284" t="b">
            <v>1</v>
          </cell>
          <cell r="V284" t="str">
            <v>Done</v>
          </cell>
          <cell r="W284" t="str">
            <v>B3 2025</v>
          </cell>
          <cell r="X284" t="str">
            <v>2025 - Batch 6</v>
          </cell>
          <cell r="Y284">
            <v>15</v>
          </cell>
          <cell r="Z284">
            <v>6</v>
          </cell>
          <cell r="AA284" t="str">
            <v>H+L</v>
          </cell>
          <cell r="AB284">
            <v>70</v>
          </cell>
          <cell r="AC284">
            <v>50</v>
          </cell>
          <cell r="AD284" t="str">
            <v>Flat</v>
          </cell>
          <cell r="AE284" t="str">
            <v>Duplex</v>
          </cell>
          <cell r="AF284" t="str">
            <v>568 - Without Partition</v>
          </cell>
          <cell r="AG284" t="str">
            <v xml:space="preserve">Without Partition </v>
          </cell>
          <cell r="AH284" t="str">
            <v xml:space="preserve">Without Partition </v>
          </cell>
          <cell r="AI284" t="str">
            <v>PINK</v>
          </cell>
          <cell r="AJ284" t="str">
            <v>Flat / PINK</v>
          </cell>
          <cell r="AK284">
            <v>1050000</v>
          </cell>
          <cell r="AL284">
            <v>15000</v>
          </cell>
          <cell r="AM284">
            <v>1650000</v>
          </cell>
          <cell r="AN284">
            <v>33000</v>
          </cell>
          <cell r="AO284">
            <v>150000</v>
          </cell>
          <cell r="AP284">
            <v>2850000</v>
          </cell>
          <cell r="AQ284"/>
          <cell r="AR284">
            <v>2850000</v>
          </cell>
          <cell r="AS284">
            <v>200000</v>
          </cell>
          <cell r="AT284">
            <v>2650000</v>
          </cell>
          <cell r="AU284">
            <v>100000</v>
          </cell>
          <cell r="AV284">
            <v>2550000</v>
          </cell>
          <cell r="AW284">
            <v>0</v>
          </cell>
          <cell r="AX284">
            <v>2550000</v>
          </cell>
        </row>
        <row r="285">
          <cell r="G285" t="str">
            <v>AGM-01-015-007</v>
          </cell>
          <cell r="H285" t="str">
            <v xml:space="preserve">Raemulan Lands, Inc. </v>
          </cell>
          <cell r="I285" t="str">
            <v>Agapeya</v>
          </cell>
          <cell r="J285" t="str">
            <v>AGM</v>
          </cell>
          <cell r="K285" t="str">
            <v>Eco-High</v>
          </cell>
          <cell r="L285" t="str">
            <v>West</v>
          </cell>
          <cell r="M285" t="str">
            <v>Without LTS</v>
          </cell>
          <cell r="N285"/>
          <cell r="O285"/>
          <cell r="P285" t="str">
            <v>for conso</v>
          </cell>
          <cell r="Q285" t="str">
            <v>NO</v>
          </cell>
          <cell r="R285">
            <v>59</v>
          </cell>
          <cell r="S285" t="str">
            <v>PSD-04-277865</v>
          </cell>
          <cell r="T285" t="str">
            <v>TCT-060-2025019435</v>
          </cell>
          <cell r="U285" t="b">
            <v>0</v>
          </cell>
          <cell r="V285" t="str">
            <v>Ongoing</v>
          </cell>
          <cell r="W285" t="str">
            <v>B4 2025</v>
          </cell>
          <cell r="X285" t="str">
            <v>2025 - Batch 6</v>
          </cell>
          <cell r="Y285">
            <v>15</v>
          </cell>
          <cell r="Z285">
            <v>7</v>
          </cell>
          <cell r="AA285" t="str">
            <v>H+L</v>
          </cell>
          <cell r="AB285">
            <v>70</v>
          </cell>
          <cell r="AC285">
            <v>50</v>
          </cell>
          <cell r="AD285" t="str">
            <v>Flat</v>
          </cell>
          <cell r="AE285" t="str">
            <v>Duplex</v>
          </cell>
          <cell r="AF285" t="str">
            <v>568 - Without Partition</v>
          </cell>
          <cell r="AG285" t="str">
            <v xml:space="preserve">Without Partition </v>
          </cell>
          <cell r="AH285" t="str">
            <v xml:space="preserve">Without Partition </v>
          </cell>
          <cell r="AI285" t="str">
            <v>PINK</v>
          </cell>
          <cell r="AJ285" t="str">
            <v>Flat / PINK</v>
          </cell>
          <cell r="AK285">
            <v>1050000</v>
          </cell>
          <cell r="AL285">
            <v>15000</v>
          </cell>
          <cell r="AM285">
            <v>1650000</v>
          </cell>
          <cell r="AN285">
            <v>33000</v>
          </cell>
          <cell r="AO285">
            <v>150000</v>
          </cell>
          <cell r="AP285">
            <v>2850000</v>
          </cell>
          <cell r="AQ285"/>
          <cell r="AR285">
            <v>2850000</v>
          </cell>
          <cell r="AS285">
            <v>200000</v>
          </cell>
          <cell r="AT285">
            <v>2650000</v>
          </cell>
          <cell r="AU285">
            <v>100000</v>
          </cell>
          <cell r="AV285">
            <v>2550000</v>
          </cell>
          <cell r="AW285">
            <v>0</v>
          </cell>
          <cell r="AX285">
            <v>2550000</v>
          </cell>
        </row>
        <row r="286">
          <cell r="G286" t="str">
            <v>AGM-01-015-008</v>
          </cell>
          <cell r="H286" t="str">
            <v xml:space="preserve">Raemulan Lands, Inc. </v>
          </cell>
          <cell r="I286" t="str">
            <v>Agapeya</v>
          </cell>
          <cell r="J286" t="str">
            <v>AGM</v>
          </cell>
          <cell r="K286" t="str">
            <v>Eco-High</v>
          </cell>
          <cell r="L286" t="str">
            <v>West</v>
          </cell>
          <cell r="M286" t="str">
            <v>Without LTS</v>
          </cell>
          <cell r="N286"/>
          <cell r="O286"/>
          <cell r="P286" t="str">
            <v>for conso</v>
          </cell>
          <cell r="Q286" t="str">
            <v>NO</v>
          </cell>
          <cell r="R286">
            <v>9</v>
          </cell>
          <cell r="S286" t="str">
            <v>PSD-04-277865</v>
          </cell>
          <cell r="T286" t="str">
            <v>TCT-060-2025019436</v>
          </cell>
          <cell r="U286" t="b">
            <v>0</v>
          </cell>
          <cell r="V286" t="str">
            <v>Ongoing</v>
          </cell>
          <cell r="W286" t="str">
            <v>B4 2025</v>
          </cell>
          <cell r="X286" t="str">
            <v>2025 - Batch 6</v>
          </cell>
          <cell r="Y286">
            <v>15</v>
          </cell>
          <cell r="Z286">
            <v>8</v>
          </cell>
          <cell r="AA286" t="str">
            <v>H+L</v>
          </cell>
          <cell r="AB286">
            <v>90</v>
          </cell>
          <cell r="AC286">
            <v>50</v>
          </cell>
          <cell r="AD286" t="str">
            <v>Slant</v>
          </cell>
          <cell r="AE286" t="str">
            <v>Duplex</v>
          </cell>
          <cell r="AF286" t="str">
            <v>568 - Without Partition</v>
          </cell>
          <cell r="AG286" t="str">
            <v xml:space="preserve">Without Partition </v>
          </cell>
          <cell r="AH286" t="str">
            <v xml:space="preserve">Without Partition </v>
          </cell>
          <cell r="AI286" t="str">
            <v>PINK</v>
          </cell>
          <cell r="AJ286" t="str">
            <v>Slant / PINK</v>
          </cell>
          <cell r="AK286">
            <v>1350000</v>
          </cell>
          <cell r="AL286">
            <v>15000</v>
          </cell>
          <cell r="AM286">
            <v>1650000</v>
          </cell>
          <cell r="AN286">
            <v>33000</v>
          </cell>
          <cell r="AO286">
            <v>150000</v>
          </cell>
          <cell r="AP286">
            <v>3150000</v>
          </cell>
          <cell r="AQ286"/>
          <cell r="AR286">
            <v>3150000</v>
          </cell>
          <cell r="AS286">
            <v>200000</v>
          </cell>
          <cell r="AT286">
            <v>2950000</v>
          </cell>
          <cell r="AU286">
            <v>100000</v>
          </cell>
          <cell r="AV286">
            <v>2850000</v>
          </cell>
          <cell r="AW286">
            <v>0</v>
          </cell>
          <cell r="AX286">
            <v>2850000</v>
          </cell>
        </row>
        <row r="287">
          <cell r="G287" t="str">
            <v>AGM-01-015-009</v>
          </cell>
          <cell r="H287" t="str">
            <v xml:space="preserve">Raemulan Lands, Inc. </v>
          </cell>
          <cell r="I287" t="str">
            <v>Agapeya</v>
          </cell>
          <cell r="J287" t="str">
            <v>AGM</v>
          </cell>
          <cell r="K287" t="str">
            <v>Eco-High</v>
          </cell>
          <cell r="L287" t="str">
            <v>West</v>
          </cell>
          <cell r="M287" t="str">
            <v>Without LTS</v>
          </cell>
          <cell r="N287"/>
          <cell r="O287"/>
          <cell r="P287" t="str">
            <v>for conso</v>
          </cell>
          <cell r="Q287" t="str">
            <v>NO</v>
          </cell>
          <cell r="R287">
            <v>33</v>
          </cell>
          <cell r="S287" t="str">
            <v>PSD-04-277865</v>
          </cell>
          <cell r="T287" t="str">
            <v>TCT-060-2025019437</v>
          </cell>
          <cell r="U287" t="b">
            <v>0</v>
          </cell>
          <cell r="V287" t="str">
            <v>Ongoing</v>
          </cell>
          <cell r="W287" t="str">
            <v>B4 2025</v>
          </cell>
          <cell r="X287" t="str">
            <v>2025 - Batch 6</v>
          </cell>
          <cell r="Y287">
            <v>15</v>
          </cell>
          <cell r="Z287">
            <v>9</v>
          </cell>
          <cell r="AA287" t="str">
            <v>H+L</v>
          </cell>
          <cell r="AB287">
            <v>90</v>
          </cell>
          <cell r="AC287">
            <v>50</v>
          </cell>
          <cell r="AD287" t="str">
            <v>Flat</v>
          </cell>
          <cell r="AE287" t="str">
            <v>Duplex</v>
          </cell>
          <cell r="AF287" t="str">
            <v>568 - Without Partition</v>
          </cell>
          <cell r="AG287" t="str">
            <v xml:space="preserve">Without Partition </v>
          </cell>
          <cell r="AH287" t="str">
            <v xml:space="preserve">Without Partition </v>
          </cell>
          <cell r="AI287" t="str">
            <v>GREEN</v>
          </cell>
          <cell r="AJ287" t="str">
            <v>Flat / GREEN</v>
          </cell>
          <cell r="AK287">
            <v>1350000</v>
          </cell>
          <cell r="AL287">
            <v>15000</v>
          </cell>
          <cell r="AM287">
            <v>1650000</v>
          </cell>
          <cell r="AN287">
            <v>33000</v>
          </cell>
          <cell r="AO287">
            <v>150000</v>
          </cell>
          <cell r="AP287">
            <v>3150000</v>
          </cell>
          <cell r="AQ287"/>
          <cell r="AR287">
            <v>3150000</v>
          </cell>
          <cell r="AS287">
            <v>200000</v>
          </cell>
          <cell r="AT287">
            <v>2950000</v>
          </cell>
          <cell r="AU287">
            <v>100000</v>
          </cell>
          <cell r="AV287">
            <v>2850000</v>
          </cell>
          <cell r="AW287">
            <v>0</v>
          </cell>
          <cell r="AX287">
            <v>2850000</v>
          </cell>
        </row>
        <row r="288">
          <cell r="G288" t="str">
            <v>AGM-01-015-010</v>
          </cell>
          <cell r="H288" t="str">
            <v xml:space="preserve">Raemulan Lands, Inc. </v>
          </cell>
          <cell r="I288" t="str">
            <v>Agapeya</v>
          </cell>
          <cell r="J288" t="str">
            <v>AGM</v>
          </cell>
          <cell r="K288" t="str">
            <v>Eco-High</v>
          </cell>
          <cell r="L288" t="str">
            <v>West</v>
          </cell>
          <cell r="M288" t="str">
            <v>With LTS - 2026</v>
          </cell>
          <cell r="N288" t="str">
            <v>YES</v>
          </cell>
          <cell r="O288" t="str">
            <v>NO</v>
          </cell>
          <cell r="P288" t="str">
            <v>Unaffected lots</v>
          </cell>
          <cell r="Q288" t="str">
            <v>NO</v>
          </cell>
          <cell r="R288">
            <v>70</v>
          </cell>
          <cell r="S288" t="str">
            <v>PSD-04-277865</v>
          </cell>
          <cell r="T288" t="str">
            <v>TCT-060-2025019438</v>
          </cell>
          <cell r="U288" t="b">
            <v>1</v>
          </cell>
          <cell r="V288" t="str">
            <v>Done</v>
          </cell>
          <cell r="W288" t="str">
            <v>B4 2025</v>
          </cell>
          <cell r="X288" t="str">
            <v>2025 - Batch 6</v>
          </cell>
          <cell r="Y288">
            <v>15</v>
          </cell>
          <cell r="Z288">
            <v>10</v>
          </cell>
          <cell r="AA288" t="str">
            <v>H+L</v>
          </cell>
          <cell r="AB288">
            <v>70</v>
          </cell>
          <cell r="AC288">
            <v>50</v>
          </cell>
          <cell r="AD288" t="str">
            <v>Slant</v>
          </cell>
          <cell r="AE288" t="str">
            <v>Duplex</v>
          </cell>
          <cell r="AF288" t="str">
            <v>568 - Without Partition</v>
          </cell>
          <cell r="AG288" t="str">
            <v xml:space="preserve">Without Partition </v>
          </cell>
          <cell r="AH288" t="str">
            <v xml:space="preserve">Without Partition </v>
          </cell>
          <cell r="AI288" t="str">
            <v>GREEN</v>
          </cell>
          <cell r="AJ288" t="str">
            <v>Slant / GREEN</v>
          </cell>
          <cell r="AK288">
            <v>1050000</v>
          </cell>
          <cell r="AL288">
            <v>15000</v>
          </cell>
          <cell r="AM288">
            <v>1650000</v>
          </cell>
          <cell r="AN288">
            <v>33000</v>
          </cell>
          <cell r="AO288">
            <v>150000</v>
          </cell>
          <cell r="AP288">
            <v>2850000</v>
          </cell>
          <cell r="AQ288"/>
          <cell r="AR288">
            <v>2850000</v>
          </cell>
          <cell r="AS288">
            <v>200000</v>
          </cell>
          <cell r="AT288">
            <v>2650000</v>
          </cell>
          <cell r="AU288">
            <v>100000</v>
          </cell>
          <cell r="AV288">
            <v>2550000</v>
          </cell>
          <cell r="AW288">
            <v>0</v>
          </cell>
          <cell r="AX288">
            <v>2550000</v>
          </cell>
        </row>
        <row r="289">
          <cell r="G289" t="str">
            <v>AGM-01-015-011</v>
          </cell>
          <cell r="H289" t="str">
            <v xml:space="preserve">Raemulan Lands, Inc. </v>
          </cell>
          <cell r="I289" t="str">
            <v>Agapeya</v>
          </cell>
          <cell r="J289" t="str">
            <v>AGM</v>
          </cell>
          <cell r="K289" t="str">
            <v>Eco-High</v>
          </cell>
          <cell r="L289" t="str">
            <v>West</v>
          </cell>
          <cell r="M289" t="str">
            <v>With LTS - 2026</v>
          </cell>
          <cell r="N289" t="str">
            <v>YES</v>
          </cell>
          <cell r="O289" t="str">
            <v>NO</v>
          </cell>
          <cell r="P289" t="str">
            <v>Unaffected lots</v>
          </cell>
          <cell r="Q289" t="str">
            <v>NO</v>
          </cell>
          <cell r="R289">
            <v>70</v>
          </cell>
          <cell r="S289" t="str">
            <v>PSD-04-277865</v>
          </cell>
          <cell r="T289" t="str">
            <v>TCT-060-2025019439</v>
          </cell>
          <cell r="U289" t="b">
            <v>1</v>
          </cell>
          <cell r="V289" t="str">
            <v>Done</v>
          </cell>
          <cell r="W289" t="str">
            <v>B4 2025</v>
          </cell>
          <cell r="X289" t="str">
            <v>2025 - Batch 6</v>
          </cell>
          <cell r="Y289">
            <v>15</v>
          </cell>
          <cell r="Z289">
            <v>11</v>
          </cell>
          <cell r="AA289" t="str">
            <v>H+L</v>
          </cell>
          <cell r="AB289">
            <v>70</v>
          </cell>
          <cell r="AC289">
            <v>50</v>
          </cell>
          <cell r="AD289" t="str">
            <v>Slant</v>
          </cell>
          <cell r="AE289" t="str">
            <v>Duplex</v>
          </cell>
          <cell r="AF289" t="str">
            <v>568 - Without Partition</v>
          </cell>
          <cell r="AG289" t="str">
            <v xml:space="preserve">Without Partition </v>
          </cell>
          <cell r="AH289" t="str">
            <v xml:space="preserve">Without Partition </v>
          </cell>
          <cell r="AI289" t="str">
            <v>GREEN</v>
          </cell>
          <cell r="AJ289" t="str">
            <v>Slant / GREEN</v>
          </cell>
          <cell r="AK289">
            <v>1050000</v>
          </cell>
          <cell r="AL289">
            <v>15000</v>
          </cell>
          <cell r="AM289">
            <v>1650000</v>
          </cell>
          <cell r="AN289">
            <v>33000</v>
          </cell>
          <cell r="AO289">
            <v>150000</v>
          </cell>
          <cell r="AP289">
            <v>2850000</v>
          </cell>
          <cell r="AQ289"/>
          <cell r="AR289">
            <v>2850000</v>
          </cell>
          <cell r="AS289">
            <v>200000</v>
          </cell>
          <cell r="AT289">
            <v>2650000</v>
          </cell>
          <cell r="AU289">
            <v>100000</v>
          </cell>
          <cell r="AV289">
            <v>2550000</v>
          </cell>
          <cell r="AW289">
            <v>0</v>
          </cell>
          <cell r="AX289">
            <v>2550000</v>
          </cell>
        </row>
        <row r="290">
          <cell r="G290" t="str">
            <v>AGM-01-015-012</v>
          </cell>
          <cell r="H290" t="str">
            <v xml:space="preserve">Raemulan Lands, Inc. </v>
          </cell>
          <cell r="I290" t="str">
            <v>Agapeya</v>
          </cell>
          <cell r="J290" t="str">
            <v>AGM</v>
          </cell>
          <cell r="K290" t="str">
            <v>Eco-High</v>
          </cell>
          <cell r="L290" t="str">
            <v>West</v>
          </cell>
          <cell r="M290" t="str">
            <v>With LTS - 2026</v>
          </cell>
          <cell r="N290" t="str">
            <v>YES</v>
          </cell>
          <cell r="O290" t="str">
            <v>NO</v>
          </cell>
          <cell r="P290" t="str">
            <v>Unaffected lots</v>
          </cell>
          <cell r="Q290" t="str">
            <v>NO</v>
          </cell>
          <cell r="R290">
            <v>70</v>
          </cell>
          <cell r="S290" t="str">
            <v>PSD-04-277865</v>
          </cell>
          <cell r="T290" t="str">
            <v>TCT-060-2025019440</v>
          </cell>
          <cell r="U290" t="b">
            <v>1</v>
          </cell>
          <cell r="V290" t="str">
            <v>Done</v>
          </cell>
          <cell r="W290" t="str">
            <v>B4 2025</v>
          </cell>
          <cell r="X290" t="str">
            <v>2025 - Batch 6</v>
          </cell>
          <cell r="Y290">
            <v>15</v>
          </cell>
          <cell r="Z290">
            <v>12</v>
          </cell>
          <cell r="AA290" t="str">
            <v>H+L</v>
          </cell>
          <cell r="AB290">
            <v>70</v>
          </cell>
          <cell r="AC290">
            <v>50</v>
          </cell>
          <cell r="AD290" t="str">
            <v>Flat</v>
          </cell>
          <cell r="AE290" t="str">
            <v>Duplex</v>
          </cell>
          <cell r="AF290" t="str">
            <v>568 - Without Partition</v>
          </cell>
          <cell r="AG290" t="str">
            <v xml:space="preserve">Without Partition </v>
          </cell>
          <cell r="AH290" t="str">
            <v xml:space="preserve">Without Partition </v>
          </cell>
          <cell r="AI290" t="str">
            <v>GREEN</v>
          </cell>
          <cell r="AJ290" t="str">
            <v>Flat / GREEN</v>
          </cell>
          <cell r="AK290">
            <v>1050000</v>
          </cell>
          <cell r="AL290">
            <v>15000</v>
          </cell>
          <cell r="AM290">
            <v>1650000</v>
          </cell>
          <cell r="AN290">
            <v>33000</v>
          </cell>
          <cell r="AO290">
            <v>150000</v>
          </cell>
          <cell r="AP290">
            <v>2850000</v>
          </cell>
          <cell r="AQ290"/>
          <cell r="AR290">
            <v>2850000</v>
          </cell>
          <cell r="AS290">
            <v>200000</v>
          </cell>
          <cell r="AT290">
            <v>2650000</v>
          </cell>
          <cell r="AU290">
            <v>100000</v>
          </cell>
          <cell r="AV290">
            <v>2550000</v>
          </cell>
          <cell r="AW290">
            <v>0</v>
          </cell>
          <cell r="AX290">
            <v>2550000</v>
          </cell>
        </row>
        <row r="291">
          <cell r="G291" t="str">
            <v>AGM-01-015-013</v>
          </cell>
          <cell r="H291" t="str">
            <v xml:space="preserve">Raemulan Lands, Inc. </v>
          </cell>
          <cell r="I291" t="str">
            <v>Agapeya</v>
          </cell>
          <cell r="J291" t="str">
            <v>AGM</v>
          </cell>
          <cell r="K291" t="str">
            <v>Eco-High</v>
          </cell>
          <cell r="L291" t="str">
            <v>West</v>
          </cell>
          <cell r="M291" t="str">
            <v>With LTS - 2026</v>
          </cell>
          <cell r="N291" t="str">
            <v>YES</v>
          </cell>
          <cell r="O291" t="str">
            <v>NO</v>
          </cell>
          <cell r="P291" t="str">
            <v>Unaffected lots</v>
          </cell>
          <cell r="Q291" t="str">
            <v>NO</v>
          </cell>
          <cell r="R291">
            <v>70</v>
          </cell>
          <cell r="S291" t="str">
            <v>PSD-04-277865</v>
          </cell>
          <cell r="T291" t="str">
            <v>TCT-060-2025019441</v>
          </cell>
          <cell r="U291" t="b">
            <v>1</v>
          </cell>
          <cell r="V291" t="str">
            <v>Done</v>
          </cell>
          <cell r="W291" t="str">
            <v>B4 2025</v>
          </cell>
          <cell r="X291" t="str">
            <v>2025 - Batch 6</v>
          </cell>
          <cell r="Y291">
            <v>15</v>
          </cell>
          <cell r="Z291">
            <v>13</v>
          </cell>
          <cell r="AA291" t="str">
            <v>H+L</v>
          </cell>
          <cell r="AB291">
            <v>70</v>
          </cell>
          <cell r="AC291">
            <v>50</v>
          </cell>
          <cell r="AD291" t="str">
            <v>Flat</v>
          </cell>
          <cell r="AE291" t="str">
            <v>Duplex</v>
          </cell>
          <cell r="AF291" t="str">
            <v>568 - Without Partition</v>
          </cell>
          <cell r="AG291" t="str">
            <v xml:space="preserve">Without Partition </v>
          </cell>
          <cell r="AH291" t="str">
            <v xml:space="preserve">Without Partition </v>
          </cell>
          <cell r="AI291" t="str">
            <v>PURPLE</v>
          </cell>
          <cell r="AJ291" t="str">
            <v>Flat / PURPLE</v>
          </cell>
          <cell r="AK291">
            <v>1050000</v>
          </cell>
          <cell r="AL291">
            <v>15000</v>
          </cell>
          <cell r="AM291">
            <v>1650000</v>
          </cell>
          <cell r="AN291">
            <v>33000</v>
          </cell>
          <cell r="AO291">
            <v>150000</v>
          </cell>
          <cell r="AP291">
            <v>2850000</v>
          </cell>
          <cell r="AQ291"/>
          <cell r="AR291">
            <v>2850000</v>
          </cell>
          <cell r="AS291">
            <v>200000</v>
          </cell>
          <cell r="AT291">
            <v>2650000</v>
          </cell>
          <cell r="AU291">
            <v>100000</v>
          </cell>
          <cell r="AV291">
            <v>2550000</v>
          </cell>
          <cell r="AW291">
            <v>0</v>
          </cell>
          <cell r="AX291">
            <v>2550000</v>
          </cell>
        </row>
        <row r="292">
          <cell r="G292" t="str">
            <v>AGM-01-015-014</v>
          </cell>
          <cell r="H292" t="str">
            <v xml:space="preserve">Raemulan Lands, Inc. </v>
          </cell>
          <cell r="I292" t="str">
            <v>Agapeya</v>
          </cell>
          <cell r="J292" t="str">
            <v>AGM</v>
          </cell>
          <cell r="K292" t="str">
            <v>Eco-High</v>
          </cell>
          <cell r="L292" t="str">
            <v>West</v>
          </cell>
          <cell r="M292" t="str">
            <v>With LTS - 2026</v>
          </cell>
          <cell r="N292" t="str">
            <v>YES</v>
          </cell>
          <cell r="O292" t="str">
            <v>NO</v>
          </cell>
          <cell r="P292" t="str">
            <v>Unaffected lots</v>
          </cell>
          <cell r="Q292" t="str">
            <v>NO</v>
          </cell>
          <cell r="R292">
            <v>70</v>
          </cell>
          <cell r="S292" t="str">
            <v>PSD-04-277865</v>
          </cell>
          <cell r="T292" t="str">
            <v>TCT-060-2025019442</v>
          </cell>
          <cell r="U292" t="b">
            <v>1</v>
          </cell>
          <cell r="V292" t="str">
            <v>Done</v>
          </cell>
          <cell r="W292" t="str">
            <v>B4 2025</v>
          </cell>
          <cell r="X292" t="str">
            <v>2025 - Batch 6</v>
          </cell>
          <cell r="Y292">
            <v>15</v>
          </cell>
          <cell r="Z292">
            <v>14</v>
          </cell>
          <cell r="AA292" t="str">
            <v>H+L</v>
          </cell>
          <cell r="AB292">
            <v>70</v>
          </cell>
          <cell r="AC292">
            <v>50</v>
          </cell>
          <cell r="AD292" t="str">
            <v>Slant</v>
          </cell>
          <cell r="AE292" t="str">
            <v>Duplex</v>
          </cell>
          <cell r="AF292" t="str">
            <v>568 - Without Partition</v>
          </cell>
          <cell r="AG292" t="str">
            <v xml:space="preserve">Without Partition </v>
          </cell>
          <cell r="AH292" t="str">
            <v xml:space="preserve">Without Partition </v>
          </cell>
          <cell r="AI292" t="str">
            <v>PURPLE</v>
          </cell>
          <cell r="AJ292" t="str">
            <v>Slant / PURPLE</v>
          </cell>
          <cell r="AK292">
            <v>1050000</v>
          </cell>
          <cell r="AL292">
            <v>15000</v>
          </cell>
          <cell r="AM292">
            <v>1650000</v>
          </cell>
          <cell r="AN292">
            <v>33000</v>
          </cell>
          <cell r="AO292">
            <v>150000</v>
          </cell>
          <cell r="AP292">
            <v>2850000</v>
          </cell>
          <cell r="AQ292"/>
          <cell r="AR292">
            <v>2850000</v>
          </cell>
          <cell r="AS292">
            <v>200000</v>
          </cell>
          <cell r="AT292">
            <v>2650000</v>
          </cell>
          <cell r="AU292">
            <v>100000</v>
          </cell>
          <cell r="AV292">
            <v>2550000</v>
          </cell>
          <cell r="AW292">
            <v>0</v>
          </cell>
          <cell r="AX292">
            <v>2550000</v>
          </cell>
        </row>
        <row r="293">
          <cell r="G293" t="str">
            <v>AGM-01-015-015</v>
          </cell>
          <cell r="H293" t="str">
            <v xml:space="preserve">Raemulan Lands, Inc. </v>
          </cell>
          <cell r="I293" t="str">
            <v>Agapeya</v>
          </cell>
          <cell r="J293" t="str">
            <v>AGM</v>
          </cell>
          <cell r="K293" t="str">
            <v>Eco-High</v>
          </cell>
          <cell r="L293" t="str">
            <v>West</v>
          </cell>
          <cell r="M293" t="str">
            <v>With LTS - 2026</v>
          </cell>
          <cell r="N293" t="str">
            <v>YES</v>
          </cell>
          <cell r="O293" t="str">
            <v>NO</v>
          </cell>
          <cell r="P293" t="str">
            <v>Unaffected lots</v>
          </cell>
          <cell r="Q293" t="str">
            <v>NO</v>
          </cell>
          <cell r="R293">
            <v>70</v>
          </cell>
          <cell r="S293" t="str">
            <v>PSD-04-277865</v>
          </cell>
          <cell r="T293" t="str">
            <v>TCT-060-2025019443</v>
          </cell>
          <cell r="U293" t="b">
            <v>1</v>
          </cell>
          <cell r="V293" t="str">
            <v>Done</v>
          </cell>
          <cell r="W293" t="str">
            <v>B4 2025</v>
          </cell>
          <cell r="X293" t="str">
            <v>2025 - Batch 6</v>
          </cell>
          <cell r="Y293">
            <v>15</v>
          </cell>
          <cell r="Z293">
            <v>15</v>
          </cell>
          <cell r="AA293" t="str">
            <v>H+L</v>
          </cell>
          <cell r="AB293">
            <v>70</v>
          </cell>
          <cell r="AC293">
            <v>50</v>
          </cell>
          <cell r="AD293" t="str">
            <v>Slant</v>
          </cell>
          <cell r="AE293" t="str">
            <v>Duplex</v>
          </cell>
          <cell r="AF293" t="str">
            <v>568 - Without Partition</v>
          </cell>
          <cell r="AG293" t="str">
            <v xml:space="preserve">Without Partition </v>
          </cell>
          <cell r="AH293" t="str">
            <v xml:space="preserve">Without Partition </v>
          </cell>
          <cell r="AI293" t="str">
            <v>PURPLE</v>
          </cell>
          <cell r="AJ293" t="str">
            <v>Slant / PURPLE</v>
          </cell>
          <cell r="AK293">
            <v>1050000</v>
          </cell>
          <cell r="AL293">
            <v>15000</v>
          </cell>
          <cell r="AM293">
            <v>1650000</v>
          </cell>
          <cell r="AN293">
            <v>33000</v>
          </cell>
          <cell r="AO293">
            <v>150000</v>
          </cell>
          <cell r="AP293">
            <v>2850000</v>
          </cell>
          <cell r="AQ293"/>
          <cell r="AR293">
            <v>2850000</v>
          </cell>
          <cell r="AS293">
            <v>200000</v>
          </cell>
          <cell r="AT293">
            <v>2650000</v>
          </cell>
          <cell r="AU293">
            <v>100000</v>
          </cell>
          <cell r="AV293">
            <v>2550000</v>
          </cell>
          <cell r="AW293">
            <v>0</v>
          </cell>
          <cell r="AX293">
            <v>2550000</v>
          </cell>
        </row>
        <row r="294">
          <cell r="G294" t="str">
            <v>AGM-01-015-016</v>
          </cell>
          <cell r="H294" t="str">
            <v xml:space="preserve">Raemulan Lands, Inc. </v>
          </cell>
          <cell r="I294" t="str">
            <v>Agapeya</v>
          </cell>
          <cell r="J294" t="str">
            <v>AGM</v>
          </cell>
          <cell r="K294" t="str">
            <v>Eco-High</v>
          </cell>
          <cell r="L294" t="str">
            <v>West</v>
          </cell>
          <cell r="M294" t="str">
            <v>With LTS - 2026</v>
          </cell>
          <cell r="N294" t="str">
            <v>YES</v>
          </cell>
          <cell r="O294" t="str">
            <v>NO</v>
          </cell>
          <cell r="P294" t="str">
            <v>Unaffected lots</v>
          </cell>
          <cell r="Q294" t="str">
            <v>NO</v>
          </cell>
          <cell r="R294">
            <v>90</v>
          </cell>
          <cell r="S294" t="str">
            <v>PCS-04-036368</v>
          </cell>
          <cell r="T294" t="str">
            <v>TCT-060-2026008402</v>
          </cell>
          <cell r="U294" t="b">
            <v>1</v>
          </cell>
          <cell r="V294" t="str">
            <v>Done</v>
          </cell>
          <cell r="W294" t="str">
            <v>B4 2025</v>
          </cell>
          <cell r="X294" t="str">
            <v>2025 - Batch 6</v>
          </cell>
          <cell r="Y294">
            <v>15</v>
          </cell>
          <cell r="Z294">
            <v>16</v>
          </cell>
          <cell r="AA294" t="str">
            <v>H+L</v>
          </cell>
          <cell r="AB294">
            <v>90</v>
          </cell>
          <cell r="AC294">
            <v>50</v>
          </cell>
          <cell r="AD294" t="str">
            <v>Flat</v>
          </cell>
          <cell r="AE294" t="str">
            <v>Duplex</v>
          </cell>
          <cell r="AF294" t="str">
            <v>568 - Without Partition</v>
          </cell>
          <cell r="AG294" t="str">
            <v xml:space="preserve">Without Partition </v>
          </cell>
          <cell r="AH294" t="str">
            <v xml:space="preserve">Without Partition </v>
          </cell>
          <cell r="AI294" t="str">
            <v>PURPLE</v>
          </cell>
          <cell r="AJ294" t="str">
            <v>Flat / PURPLE</v>
          </cell>
          <cell r="AK294">
            <v>1350000</v>
          </cell>
          <cell r="AL294">
            <v>15000</v>
          </cell>
          <cell r="AM294">
            <v>1650000</v>
          </cell>
          <cell r="AN294">
            <v>33000</v>
          </cell>
          <cell r="AO294">
            <v>150000</v>
          </cell>
          <cell r="AP294">
            <v>3150000</v>
          </cell>
          <cell r="AQ294"/>
          <cell r="AR294">
            <v>3150000</v>
          </cell>
          <cell r="AS294">
            <v>200000</v>
          </cell>
          <cell r="AT294">
            <v>2950000</v>
          </cell>
          <cell r="AU294">
            <v>100000</v>
          </cell>
          <cell r="AV294">
            <v>2850000</v>
          </cell>
          <cell r="AW294">
            <v>0</v>
          </cell>
          <cell r="AX294">
            <v>2850000</v>
          </cell>
        </row>
        <row r="295">
          <cell r="G295" t="str">
            <v>AGM-01-016-001</v>
          </cell>
          <cell r="H295" t="str">
            <v xml:space="preserve">Raemulan Lands, Inc. </v>
          </cell>
          <cell r="I295" t="str">
            <v>Agapeya</v>
          </cell>
          <cell r="J295" t="str">
            <v>AGM</v>
          </cell>
          <cell r="K295" t="str">
            <v>Eco-High</v>
          </cell>
          <cell r="L295" t="str">
            <v>West</v>
          </cell>
          <cell r="M295" t="str">
            <v>With LTS - 2026</v>
          </cell>
          <cell r="N295" t="str">
            <v>YES</v>
          </cell>
          <cell r="O295" t="str">
            <v>NO</v>
          </cell>
          <cell r="P295" t="str">
            <v>Unaffected lots</v>
          </cell>
          <cell r="Q295" t="str">
            <v>NO</v>
          </cell>
          <cell r="R295">
            <v>90</v>
          </cell>
          <cell r="S295" t="str">
            <v>PSD-04-277865</v>
          </cell>
          <cell r="T295" t="str">
            <v>TCT-060-2025019445</v>
          </cell>
          <cell r="U295" t="b">
            <v>1</v>
          </cell>
          <cell r="V295" t="str">
            <v>Done</v>
          </cell>
          <cell r="W295" t="str">
            <v>B3 2025</v>
          </cell>
          <cell r="X295" t="str">
            <v>2025 - Batch 5</v>
          </cell>
          <cell r="Y295">
            <v>16</v>
          </cell>
          <cell r="Z295">
            <v>1</v>
          </cell>
          <cell r="AA295" t="str">
            <v>H+L</v>
          </cell>
          <cell r="AB295">
            <v>90</v>
          </cell>
          <cell r="AC295">
            <v>50</v>
          </cell>
          <cell r="AD295" t="str">
            <v>Slant</v>
          </cell>
          <cell r="AE295" t="str">
            <v>Duplex</v>
          </cell>
          <cell r="AF295" t="str">
            <v>568 - Without Partition</v>
          </cell>
          <cell r="AG295" t="str">
            <v xml:space="preserve">Without Partition </v>
          </cell>
          <cell r="AH295" t="str">
            <v xml:space="preserve">Without Partition </v>
          </cell>
          <cell r="AI295" t="str">
            <v>PINK</v>
          </cell>
          <cell r="AJ295" t="str">
            <v>Slant / PINK</v>
          </cell>
          <cell r="AK295">
            <v>1350000</v>
          </cell>
          <cell r="AL295">
            <v>15000</v>
          </cell>
          <cell r="AM295">
            <v>1650000</v>
          </cell>
          <cell r="AN295">
            <v>33000</v>
          </cell>
          <cell r="AO295">
            <v>150000</v>
          </cell>
          <cell r="AP295">
            <v>3150000</v>
          </cell>
          <cell r="AQ295"/>
          <cell r="AR295">
            <v>3150000</v>
          </cell>
          <cell r="AS295">
            <v>200000</v>
          </cell>
          <cell r="AT295">
            <v>2950000</v>
          </cell>
          <cell r="AU295">
            <v>100000</v>
          </cell>
          <cell r="AV295">
            <v>2850000</v>
          </cell>
          <cell r="AW295">
            <v>0</v>
          </cell>
          <cell r="AX295">
            <v>2850000</v>
          </cell>
        </row>
        <row r="296">
          <cell r="G296" t="str">
            <v>AGM-01-016-002</v>
          </cell>
          <cell r="H296" t="str">
            <v xml:space="preserve">Raemulan Lands, Inc. </v>
          </cell>
          <cell r="I296" t="str">
            <v>Agapeya</v>
          </cell>
          <cell r="J296" t="str">
            <v>AGM</v>
          </cell>
          <cell r="K296" t="str">
            <v>Eco-High</v>
          </cell>
          <cell r="L296" t="str">
            <v>West</v>
          </cell>
          <cell r="M296" t="str">
            <v>With LTS - 2026</v>
          </cell>
          <cell r="N296" t="str">
            <v>YES</v>
          </cell>
          <cell r="O296" t="str">
            <v>NO</v>
          </cell>
          <cell r="P296" t="str">
            <v>Unaffected lots</v>
          </cell>
          <cell r="Q296" t="str">
            <v>NO</v>
          </cell>
          <cell r="R296">
            <v>70</v>
          </cell>
          <cell r="S296" t="str">
            <v>PSD-04-277865</v>
          </cell>
          <cell r="T296" t="str">
            <v>TCT-060-2025019446</v>
          </cell>
          <cell r="U296" t="b">
            <v>1</v>
          </cell>
          <cell r="V296" t="str">
            <v>Done</v>
          </cell>
          <cell r="W296" t="str">
            <v>B3 2025</v>
          </cell>
          <cell r="X296" t="str">
            <v>2025 - Batch 5</v>
          </cell>
          <cell r="Y296">
            <v>16</v>
          </cell>
          <cell r="Z296">
            <v>2</v>
          </cell>
          <cell r="AA296" t="str">
            <v>H+L</v>
          </cell>
          <cell r="AB296">
            <v>70</v>
          </cell>
          <cell r="AC296">
            <v>50</v>
          </cell>
          <cell r="AD296" t="str">
            <v>Flat</v>
          </cell>
          <cell r="AE296" t="str">
            <v>Duplex</v>
          </cell>
          <cell r="AF296" t="str">
            <v>568 - Without Partition</v>
          </cell>
          <cell r="AG296" t="str">
            <v xml:space="preserve">Without Partition </v>
          </cell>
          <cell r="AH296" t="str">
            <v xml:space="preserve">Without Partition </v>
          </cell>
          <cell r="AI296" t="str">
            <v>PINK</v>
          </cell>
          <cell r="AJ296" t="str">
            <v>Flat / PINK</v>
          </cell>
          <cell r="AK296">
            <v>1050000</v>
          </cell>
          <cell r="AL296">
            <v>15000</v>
          </cell>
          <cell r="AM296">
            <v>1650000</v>
          </cell>
          <cell r="AN296">
            <v>33000</v>
          </cell>
          <cell r="AO296">
            <v>150000</v>
          </cell>
          <cell r="AP296">
            <v>2850000</v>
          </cell>
          <cell r="AQ296"/>
          <cell r="AR296">
            <v>2850000</v>
          </cell>
          <cell r="AS296">
            <v>200000</v>
          </cell>
          <cell r="AT296">
            <v>2650000</v>
          </cell>
          <cell r="AU296">
            <v>100000</v>
          </cell>
          <cell r="AV296">
            <v>2550000</v>
          </cell>
          <cell r="AW296">
            <v>0</v>
          </cell>
          <cell r="AX296">
            <v>2550000</v>
          </cell>
        </row>
        <row r="297">
          <cell r="G297" t="str">
            <v>AGM-01-016-003</v>
          </cell>
          <cell r="H297" t="str">
            <v xml:space="preserve">Raemulan Lands, Inc. </v>
          </cell>
          <cell r="I297" t="str">
            <v>Agapeya</v>
          </cell>
          <cell r="J297" t="str">
            <v>AGM</v>
          </cell>
          <cell r="K297" t="str">
            <v>Eco-High</v>
          </cell>
          <cell r="L297" t="str">
            <v>West</v>
          </cell>
          <cell r="M297" t="str">
            <v>With LTS - 2026</v>
          </cell>
          <cell r="N297" t="str">
            <v>YES</v>
          </cell>
          <cell r="O297" t="str">
            <v>NO</v>
          </cell>
          <cell r="P297" t="str">
            <v>Unaffected lots</v>
          </cell>
          <cell r="Q297" t="str">
            <v>NO</v>
          </cell>
          <cell r="R297">
            <v>70</v>
          </cell>
          <cell r="S297" t="str">
            <v>PSD-04-277865</v>
          </cell>
          <cell r="T297" t="str">
            <v>TCT-060-2025019447</v>
          </cell>
          <cell r="U297" t="b">
            <v>1</v>
          </cell>
          <cell r="V297" t="str">
            <v>Done</v>
          </cell>
          <cell r="W297" t="str">
            <v>B3 2025</v>
          </cell>
          <cell r="X297" t="str">
            <v>2025 - Batch 5</v>
          </cell>
          <cell r="Y297">
            <v>16</v>
          </cell>
          <cell r="Z297">
            <v>3</v>
          </cell>
          <cell r="AA297" t="str">
            <v>H+L</v>
          </cell>
          <cell r="AB297">
            <v>70</v>
          </cell>
          <cell r="AC297">
            <v>50</v>
          </cell>
          <cell r="AD297" t="str">
            <v>Flat</v>
          </cell>
          <cell r="AE297" t="str">
            <v>Duplex</v>
          </cell>
          <cell r="AF297" t="str">
            <v>568 - Without Partition</v>
          </cell>
          <cell r="AG297" t="str">
            <v xml:space="preserve">Without Partition </v>
          </cell>
          <cell r="AH297" t="str">
            <v xml:space="preserve">Without Partition </v>
          </cell>
          <cell r="AI297" t="str">
            <v>PINK</v>
          </cell>
          <cell r="AJ297" t="str">
            <v>Flat / PINK</v>
          </cell>
          <cell r="AK297">
            <v>1050000</v>
          </cell>
          <cell r="AL297">
            <v>15000</v>
          </cell>
          <cell r="AM297">
            <v>1650000</v>
          </cell>
          <cell r="AN297">
            <v>33000</v>
          </cell>
          <cell r="AO297">
            <v>150000</v>
          </cell>
          <cell r="AP297">
            <v>2850000</v>
          </cell>
          <cell r="AQ297"/>
          <cell r="AR297">
            <v>2850000</v>
          </cell>
          <cell r="AS297">
            <v>200000</v>
          </cell>
          <cell r="AT297">
            <v>2650000</v>
          </cell>
          <cell r="AU297">
            <v>100000</v>
          </cell>
          <cell r="AV297">
            <v>2550000</v>
          </cell>
          <cell r="AW297">
            <v>0</v>
          </cell>
          <cell r="AX297">
            <v>2550000</v>
          </cell>
        </row>
        <row r="298">
          <cell r="G298" t="str">
            <v>AGM-01-016-004</v>
          </cell>
          <cell r="H298" t="str">
            <v xml:space="preserve">Raemulan Lands, Inc. </v>
          </cell>
          <cell r="I298" t="str">
            <v>Agapeya</v>
          </cell>
          <cell r="J298" t="str">
            <v>AGM</v>
          </cell>
          <cell r="K298" t="str">
            <v>Eco-High</v>
          </cell>
          <cell r="L298" t="str">
            <v>West</v>
          </cell>
          <cell r="M298" t="str">
            <v>With LTS - 2026</v>
          </cell>
          <cell r="N298" t="str">
            <v>YES</v>
          </cell>
          <cell r="O298" t="str">
            <v>NO</v>
          </cell>
          <cell r="P298" t="str">
            <v>Unaffected lots</v>
          </cell>
          <cell r="Q298" t="str">
            <v>NO</v>
          </cell>
          <cell r="R298">
            <v>70</v>
          </cell>
          <cell r="S298" t="str">
            <v>PSD-04-277865</v>
          </cell>
          <cell r="T298" t="str">
            <v>TCT-060-2025019448</v>
          </cell>
          <cell r="U298" t="b">
            <v>1</v>
          </cell>
          <cell r="V298" t="str">
            <v>Done</v>
          </cell>
          <cell r="W298" t="str">
            <v>B3 2025</v>
          </cell>
          <cell r="X298" t="str">
            <v>2025 - Batch 5</v>
          </cell>
          <cell r="Y298">
            <v>16</v>
          </cell>
          <cell r="Z298">
            <v>4</v>
          </cell>
          <cell r="AA298" t="str">
            <v>H+L</v>
          </cell>
          <cell r="AB298">
            <v>70</v>
          </cell>
          <cell r="AC298">
            <v>50</v>
          </cell>
          <cell r="AD298" t="str">
            <v>Slant</v>
          </cell>
          <cell r="AE298" t="str">
            <v>Duplex</v>
          </cell>
          <cell r="AF298" t="str">
            <v>568 - Without Partition</v>
          </cell>
          <cell r="AG298" t="str">
            <v xml:space="preserve">Without Partition </v>
          </cell>
          <cell r="AH298" t="str">
            <v xml:space="preserve">Without Partition </v>
          </cell>
          <cell r="AI298" t="str">
            <v>PINK</v>
          </cell>
          <cell r="AJ298" t="str">
            <v>Slant / PINK</v>
          </cell>
          <cell r="AK298">
            <v>1050000</v>
          </cell>
          <cell r="AL298">
            <v>15000</v>
          </cell>
          <cell r="AM298">
            <v>1650000</v>
          </cell>
          <cell r="AN298">
            <v>33000</v>
          </cell>
          <cell r="AO298">
            <v>150000</v>
          </cell>
          <cell r="AP298">
            <v>2850000</v>
          </cell>
          <cell r="AQ298"/>
          <cell r="AR298">
            <v>2850000</v>
          </cell>
          <cell r="AS298">
            <v>200000</v>
          </cell>
          <cell r="AT298">
            <v>2650000</v>
          </cell>
          <cell r="AU298">
            <v>100000</v>
          </cell>
          <cell r="AV298">
            <v>2550000</v>
          </cell>
          <cell r="AW298">
            <v>0</v>
          </cell>
          <cell r="AX298">
            <v>2550000</v>
          </cell>
        </row>
        <row r="299">
          <cell r="G299" t="str">
            <v>AGM-01-016-005</v>
          </cell>
          <cell r="H299" t="str">
            <v xml:space="preserve">Raemulan Lands, Inc. </v>
          </cell>
          <cell r="I299" t="str">
            <v>Agapeya</v>
          </cell>
          <cell r="J299" t="str">
            <v>AGM</v>
          </cell>
          <cell r="K299" t="str">
            <v>Eco-High</v>
          </cell>
          <cell r="L299" t="str">
            <v>West</v>
          </cell>
          <cell r="M299" t="str">
            <v>With LTS - 2026</v>
          </cell>
          <cell r="N299" t="str">
            <v>YES</v>
          </cell>
          <cell r="O299" t="str">
            <v>NO</v>
          </cell>
          <cell r="P299" t="str">
            <v>Unaffected lots</v>
          </cell>
          <cell r="Q299" t="str">
            <v>NO</v>
          </cell>
          <cell r="R299">
            <v>70</v>
          </cell>
          <cell r="S299" t="str">
            <v>PSD-04-277865</v>
          </cell>
          <cell r="T299" t="str">
            <v>TCT-060-2025019449</v>
          </cell>
          <cell r="U299" t="b">
            <v>1</v>
          </cell>
          <cell r="V299" t="str">
            <v>Done</v>
          </cell>
          <cell r="W299" t="str">
            <v>B3 2025</v>
          </cell>
          <cell r="X299" t="str">
            <v>2025 - Batch 5</v>
          </cell>
          <cell r="Y299">
            <v>16</v>
          </cell>
          <cell r="Z299">
            <v>5</v>
          </cell>
          <cell r="AA299" t="str">
            <v>H+L</v>
          </cell>
          <cell r="AB299">
            <v>70</v>
          </cell>
          <cell r="AC299">
            <v>50</v>
          </cell>
          <cell r="AD299" t="str">
            <v>Slant</v>
          </cell>
          <cell r="AE299" t="str">
            <v>Duplex</v>
          </cell>
          <cell r="AF299" t="str">
            <v>568 - Without Partition</v>
          </cell>
          <cell r="AG299" t="str">
            <v xml:space="preserve">Without Partition </v>
          </cell>
          <cell r="AH299" t="str">
            <v xml:space="preserve">Without Partition </v>
          </cell>
          <cell r="AI299" t="str">
            <v>YELLOW</v>
          </cell>
          <cell r="AJ299" t="str">
            <v>Slant / YELLOW</v>
          </cell>
          <cell r="AK299">
            <v>1050000</v>
          </cell>
          <cell r="AL299">
            <v>15000</v>
          </cell>
          <cell r="AM299">
            <v>1650000</v>
          </cell>
          <cell r="AN299">
            <v>33000</v>
          </cell>
          <cell r="AO299">
            <v>150000</v>
          </cell>
          <cell r="AP299">
            <v>2850000</v>
          </cell>
          <cell r="AQ299"/>
          <cell r="AR299">
            <v>2850000</v>
          </cell>
          <cell r="AS299">
            <v>200000</v>
          </cell>
          <cell r="AT299">
            <v>2650000</v>
          </cell>
          <cell r="AU299">
            <v>100000</v>
          </cell>
          <cell r="AV299">
            <v>2550000</v>
          </cell>
          <cell r="AW299">
            <v>0</v>
          </cell>
          <cell r="AX299">
            <v>2550000</v>
          </cell>
        </row>
        <row r="300">
          <cell r="G300" t="str">
            <v>AGM-01-016-006</v>
          </cell>
          <cell r="H300" t="str">
            <v xml:space="preserve">Raemulan Lands, Inc. </v>
          </cell>
          <cell r="I300" t="str">
            <v>Agapeya</v>
          </cell>
          <cell r="J300" t="str">
            <v>AGM</v>
          </cell>
          <cell r="K300" t="str">
            <v>Eco-High</v>
          </cell>
          <cell r="L300" t="str">
            <v>West</v>
          </cell>
          <cell r="M300" t="str">
            <v>With LTS - 2026</v>
          </cell>
          <cell r="N300" t="str">
            <v>YES</v>
          </cell>
          <cell r="O300" t="str">
            <v>NO</v>
          </cell>
          <cell r="P300" t="str">
            <v>Unaffected lots</v>
          </cell>
          <cell r="Q300" t="str">
            <v>NO</v>
          </cell>
          <cell r="R300">
            <v>70</v>
          </cell>
          <cell r="S300" t="str">
            <v>PSD-04-277865</v>
          </cell>
          <cell r="T300" t="str">
            <v>TCT-060-2025019450</v>
          </cell>
          <cell r="U300" t="b">
            <v>1</v>
          </cell>
          <cell r="V300" t="str">
            <v>Done</v>
          </cell>
          <cell r="W300" t="str">
            <v>B3 2025</v>
          </cell>
          <cell r="X300" t="str">
            <v>2025 - Batch 5</v>
          </cell>
          <cell r="Y300">
            <v>16</v>
          </cell>
          <cell r="Z300">
            <v>6</v>
          </cell>
          <cell r="AA300" t="str">
            <v>H+L</v>
          </cell>
          <cell r="AB300">
            <v>70</v>
          </cell>
          <cell r="AC300">
            <v>50</v>
          </cell>
          <cell r="AD300" t="str">
            <v>Flat</v>
          </cell>
          <cell r="AE300" t="str">
            <v>Duplex</v>
          </cell>
          <cell r="AF300" t="str">
            <v>568 - Without Partition</v>
          </cell>
          <cell r="AG300" t="str">
            <v xml:space="preserve">Without Partition </v>
          </cell>
          <cell r="AH300" t="str">
            <v xml:space="preserve">Without Partition </v>
          </cell>
          <cell r="AI300" t="str">
            <v>YELLOW</v>
          </cell>
          <cell r="AJ300" t="str">
            <v>Flat / YELLOW</v>
          </cell>
          <cell r="AK300">
            <v>1050000</v>
          </cell>
          <cell r="AL300">
            <v>15000</v>
          </cell>
          <cell r="AM300">
            <v>1650000</v>
          </cell>
          <cell r="AN300">
            <v>33000</v>
          </cell>
          <cell r="AO300">
            <v>150000</v>
          </cell>
          <cell r="AP300">
            <v>2850000</v>
          </cell>
          <cell r="AQ300"/>
          <cell r="AR300">
            <v>2850000</v>
          </cell>
          <cell r="AS300">
            <v>200000</v>
          </cell>
          <cell r="AT300">
            <v>2650000</v>
          </cell>
          <cell r="AU300">
            <v>100000</v>
          </cell>
          <cell r="AV300">
            <v>2550000</v>
          </cell>
          <cell r="AW300">
            <v>0</v>
          </cell>
          <cell r="AX300">
            <v>2550000</v>
          </cell>
        </row>
        <row r="301">
          <cell r="G301" t="str">
            <v>AGM-01-016-007</v>
          </cell>
          <cell r="H301" t="str">
            <v xml:space="preserve">Raemulan Lands, Inc. </v>
          </cell>
          <cell r="I301" t="str">
            <v>Agapeya</v>
          </cell>
          <cell r="J301" t="str">
            <v>AGM</v>
          </cell>
          <cell r="K301" t="str">
            <v>Eco-High</v>
          </cell>
          <cell r="L301" t="str">
            <v>West</v>
          </cell>
          <cell r="M301" t="str">
            <v>With LTS - 2026</v>
          </cell>
          <cell r="N301" t="str">
            <v>YES</v>
          </cell>
          <cell r="O301" t="str">
            <v>NO</v>
          </cell>
          <cell r="P301" t="str">
            <v>Unaffected lots</v>
          </cell>
          <cell r="Q301" t="str">
            <v>NO</v>
          </cell>
          <cell r="R301">
            <v>70</v>
          </cell>
          <cell r="S301" t="str">
            <v>PSD-04-277865</v>
          </cell>
          <cell r="T301" t="str">
            <v>TCT-060-2025019451</v>
          </cell>
          <cell r="U301" t="b">
            <v>1</v>
          </cell>
          <cell r="V301" t="str">
            <v>Done</v>
          </cell>
          <cell r="W301" t="str">
            <v>B4 2025</v>
          </cell>
          <cell r="X301" t="str">
            <v>2025 - Batch 5</v>
          </cell>
          <cell r="Y301">
            <v>16</v>
          </cell>
          <cell r="Z301">
            <v>7</v>
          </cell>
          <cell r="AA301" t="str">
            <v>H+L</v>
          </cell>
          <cell r="AB301">
            <v>70</v>
          </cell>
          <cell r="AC301">
            <v>50</v>
          </cell>
          <cell r="AD301" t="str">
            <v>Flat</v>
          </cell>
          <cell r="AE301" t="str">
            <v>Duplex</v>
          </cell>
          <cell r="AF301" t="str">
            <v>568 - Without Partition</v>
          </cell>
          <cell r="AG301" t="str">
            <v xml:space="preserve">Without Partition </v>
          </cell>
          <cell r="AH301" t="str">
            <v xml:space="preserve">Without Partition </v>
          </cell>
          <cell r="AI301" t="str">
            <v>YELLOW</v>
          </cell>
          <cell r="AJ301" t="str">
            <v>Flat / YELLOW</v>
          </cell>
          <cell r="AK301">
            <v>1050000</v>
          </cell>
          <cell r="AL301">
            <v>15000</v>
          </cell>
          <cell r="AM301">
            <v>1650000</v>
          </cell>
          <cell r="AN301">
            <v>33000</v>
          </cell>
          <cell r="AO301">
            <v>150000</v>
          </cell>
          <cell r="AP301">
            <v>2850000</v>
          </cell>
          <cell r="AQ301"/>
          <cell r="AR301">
            <v>2850000</v>
          </cell>
          <cell r="AS301">
            <v>200000</v>
          </cell>
          <cell r="AT301">
            <v>2650000</v>
          </cell>
          <cell r="AU301">
            <v>100000</v>
          </cell>
          <cell r="AV301">
            <v>2550000</v>
          </cell>
          <cell r="AW301">
            <v>0</v>
          </cell>
          <cell r="AX301">
            <v>2550000</v>
          </cell>
        </row>
        <row r="302">
          <cell r="G302" t="str">
            <v>AGM-01-016-008</v>
          </cell>
          <cell r="H302" t="str">
            <v xml:space="preserve">Raemulan Lands, Inc. </v>
          </cell>
          <cell r="I302" t="str">
            <v>Agapeya</v>
          </cell>
          <cell r="J302" t="str">
            <v>AGM</v>
          </cell>
          <cell r="K302" t="str">
            <v>Eco-High</v>
          </cell>
          <cell r="L302" t="str">
            <v>West</v>
          </cell>
          <cell r="M302" t="str">
            <v>With LTS - 2026</v>
          </cell>
          <cell r="N302" t="str">
            <v>YES</v>
          </cell>
          <cell r="O302" t="str">
            <v>NO</v>
          </cell>
          <cell r="P302" t="str">
            <v>Unaffected lots</v>
          </cell>
          <cell r="Q302" t="str">
            <v>NO</v>
          </cell>
          <cell r="R302">
            <v>90</v>
          </cell>
          <cell r="S302" t="str">
            <v>PCN-04-004511</v>
          </cell>
          <cell r="T302" t="str">
            <v>TCT-060-2026007146</v>
          </cell>
          <cell r="U302" t="b">
            <v>1</v>
          </cell>
          <cell r="V302" t="str">
            <v>Done</v>
          </cell>
          <cell r="W302" t="str">
            <v>B4 2025</v>
          </cell>
          <cell r="X302" t="str">
            <v>2025 - Batch 5</v>
          </cell>
          <cell r="Y302">
            <v>16</v>
          </cell>
          <cell r="Z302">
            <v>8</v>
          </cell>
          <cell r="AA302" t="str">
            <v>H+L</v>
          </cell>
          <cell r="AB302">
            <v>90</v>
          </cell>
          <cell r="AC302">
            <v>50</v>
          </cell>
          <cell r="AD302" t="str">
            <v>Slant</v>
          </cell>
          <cell r="AE302" t="str">
            <v>Duplex</v>
          </cell>
          <cell r="AF302" t="str">
            <v>568 - Without Partition</v>
          </cell>
          <cell r="AG302" t="str">
            <v xml:space="preserve">Without Partition </v>
          </cell>
          <cell r="AH302" t="str">
            <v xml:space="preserve">Without Partition </v>
          </cell>
          <cell r="AI302" t="str">
            <v>YELLOW</v>
          </cell>
          <cell r="AJ302" t="str">
            <v>Slant / YELLOW</v>
          </cell>
          <cell r="AK302">
            <v>1350000</v>
          </cell>
          <cell r="AL302">
            <v>15000</v>
          </cell>
          <cell r="AM302">
            <v>1650000</v>
          </cell>
          <cell r="AN302">
            <v>33000</v>
          </cell>
          <cell r="AO302">
            <v>150000</v>
          </cell>
          <cell r="AP302">
            <v>3150000</v>
          </cell>
          <cell r="AQ302"/>
          <cell r="AR302">
            <v>3150000</v>
          </cell>
          <cell r="AS302">
            <v>200000</v>
          </cell>
          <cell r="AT302">
            <v>2950000</v>
          </cell>
          <cell r="AU302">
            <v>100000</v>
          </cell>
          <cell r="AV302">
            <v>2850000</v>
          </cell>
          <cell r="AW302">
            <v>0</v>
          </cell>
          <cell r="AX302">
            <v>2850000</v>
          </cell>
        </row>
        <row r="303">
          <cell r="G303" t="str">
            <v>AGM-01-016-009</v>
          </cell>
          <cell r="H303" t="str">
            <v xml:space="preserve">Raemulan Lands, Inc. </v>
          </cell>
          <cell r="I303" t="str">
            <v>Agapeya</v>
          </cell>
          <cell r="J303" t="str">
            <v>AGM</v>
          </cell>
          <cell r="K303" t="str">
            <v>Eco-High</v>
          </cell>
          <cell r="L303" t="str">
            <v>West</v>
          </cell>
          <cell r="M303" t="str">
            <v>With LTS - 2026</v>
          </cell>
          <cell r="N303" t="str">
            <v>YES</v>
          </cell>
          <cell r="O303" t="str">
            <v>NO</v>
          </cell>
          <cell r="P303" t="str">
            <v>Unaffected lots</v>
          </cell>
          <cell r="Q303" t="str">
            <v>NO</v>
          </cell>
          <cell r="R303">
            <v>88</v>
          </cell>
          <cell r="S303" t="str">
            <v>PSD-04-277865</v>
          </cell>
          <cell r="T303" t="str">
            <v>TCT-060-2025019453</v>
          </cell>
          <cell r="U303" t="b">
            <v>1</v>
          </cell>
          <cell r="V303" t="str">
            <v>Done</v>
          </cell>
          <cell r="W303" t="str">
            <v>B4 2025</v>
          </cell>
          <cell r="X303" t="str">
            <v>2025 - Batch 5</v>
          </cell>
          <cell r="Y303">
            <v>16</v>
          </cell>
          <cell r="Z303">
            <v>9</v>
          </cell>
          <cell r="AA303" t="str">
            <v>H+L</v>
          </cell>
          <cell r="AB303">
            <v>88</v>
          </cell>
          <cell r="AC303">
            <v>50</v>
          </cell>
          <cell r="AD303" t="str">
            <v>Flat</v>
          </cell>
          <cell r="AE303" t="str">
            <v>Duplex</v>
          </cell>
          <cell r="AF303" t="str">
            <v>568 - Without Partition</v>
          </cell>
          <cell r="AG303" t="str">
            <v xml:space="preserve">Without Partition </v>
          </cell>
          <cell r="AH303" t="str">
            <v xml:space="preserve">Without Partition </v>
          </cell>
          <cell r="AI303" t="str">
            <v>PURPLE</v>
          </cell>
          <cell r="AJ303" t="str">
            <v>Flat / PURPLE</v>
          </cell>
          <cell r="AK303">
            <v>1320000</v>
          </cell>
          <cell r="AL303">
            <v>15000</v>
          </cell>
          <cell r="AM303">
            <v>1650000</v>
          </cell>
          <cell r="AN303">
            <v>33000</v>
          </cell>
          <cell r="AO303">
            <v>150000</v>
          </cell>
          <cell r="AP303">
            <v>3120000</v>
          </cell>
          <cell r="AQ303"/>
          <cell r="AR303">
            <v>3120000</v>
          </cell>
          <cell r="AS303">
            <v>200000</v>
          </cell>
          <cell r="AT303">
            <v>2920000</v>
          </cell>
          <cell r="AU303">
            <v>100000</v>
          </cell>
          <cell r="AV303">
            <v>2820000</v>
          </cell>
          <cell r="AW303">
            <v>0</v>
          </cell>
          <cell r="AX303">
            <v>2820000</v>
          </cell>
        </row>
        <row r="304">
          <cell r="G304" t="str">
            <v>AGM-01-016-010</v>
          </cell>
          <cell r="H304" t="str">
            <v xml:space="preserve">Raemulan Lands, Inc. </v>
          </cell>
          <cell r="I304" t="str">
            <v>Agapeya</v>
          </cell>
          <cell r="J304" t="str">
            <v>AGM</v>
          </cell>
          <cell r="K304" t="str">
            <v>Eco-High</v>
          </cell>
          <cell r="L304" t="str">
            <v>West</v>
          </cell>
          <cell r="M304" t="str">
            <v>With LTS - 2026</v>
          </cell>
          <cell r="N304" t="str">
            <v>YES</v>
          </cell>
          <cell r="O304" t="str">
            <v>NO</v>
          </cell>
          <cell r="P304" t="str">
            <v>Unaffected lots</v>
          </cell>
          <cell r="Q304" t="str">
            <v>NO</v>
          </cell>
          <cell r="R304">
            <v>70</v>
          </cell>
          <cell r="S304" t="str">
            <v>PSD-04-277865</v>
          </cell>
          <cell r="T304" t="str">
            <v>TCT-060-2025019454</v>
          </cell>
          <cell r="U304" t="b">
            <v>1</v>
          </cell>
          <cell r="V304" t="str">
            <v>Done</v>
          </cell>
          <cell r="W304" t="str">
            <v>B4 2025</v>
          </cell>
          <cell r="X304" t="str">
            <v>2025 - Batch 5</v>
          </cell>
          <cell r="Y304">
            <v>16</v>
          </cell>
          <cell r="Z304">
            <v>10</v>
          </cell>
          <cell r="AA304" t="str">
            <v>H+L</v>
          </cell>
          <cell r="AB304">
            <v>70</v>
          </cell>
          <cell r="AC304">
            <v>50</v>
          </cell>
          <cell r="AD304" t="str">
            <v>Slant</v>
          </cell>
          <cell r="AE304" t="str">
            <v>Duplex</v>
          </cell>
          <cell r="AF304" t="str">
            <v>568 - Without Partition</v>
          </cell>
          <cell r="AG304" t="str">
            <v xml:space="preserve">Without Partition </v>
          </cell>
          <cell r="AH304" t="str">
            <v xml:space="preserve">Without Partition </v>
          </cell>
          <cell r="AI304" t="str">
            <v>PURPLE</v>
          </cell>
          <cell r="AJ304" t="str">
            <v>Slant / PURPLE</v>
          </cell>
          <cell r="AK304">
            <v>1050000</v>
          </cell>
          <cell r="AL304">
            <v>15000</v>
          </cell>
          <cell r="AM304">
            <v>1650000</v>
          </cell>
          <cell r="AN304">
            <v>33000</v>
          </cell>
          <cell r="AO304">
            <v>150000</v>
          </cell>
          <cell r="AP304">
            <v>2850000</v>
          </cell>
          <cell r="AQ304"/>
          <cell r="AR304">
            <v>2850000</v>
          </cell>
          <cell r="AS304">
            <v>200000</v>
          </cell>
          <cell r="AT304">
            <v>2650000</v>
          </cell>
          <cell r="AU304">
            <v>100000</v>
          </cell>
          <cell r="AV304">
            <v>2550000</v>
          </cell>
          <cell r="AW304">
            <v>0</v>
          </cell>
          <cell r="AX304">
            <v>2550000</v>
          </cell>
        </row>
        <row r="305">
          <cell r="G305" t="str">
            <v>AGM-01-016-011</v>
          </cell>
          <cell r="H305" t="str">
            <v xml:space="preserve">Raemulan Lands, Inc. </v>
          </cell>
          <cell r="I305" t="str">
            <v>Agapeya</v>
          </cell>
          <cell r="J305" t="str">
            <v>AGM</v>
          </cell>
          <cell r="K305" t="str">
            <v>Eco-High</v>
          </cell>
          <cell r="L305" t="str">
            <v>West</v>
          </cell>
          <cell r="M305" t="str">
            <v>With LTS - 2026</v>
          </cell>
          <cell r="N305" t="str">
            <v>YES</v>
          </cell>
          <cell r="O305" t="str">
            <v>NO</v>
          </cell>
          <cell r="P305" t="str">
            <v>Unaffected lots</v>
          </cell>
          <cell r="Q305" t="str">
            <v>NO</v>
          </cell>
          <cell r="R305">
            <v>70</v>
          </cell>
          <cell r="S305" t="str">
            <v>PSD-04-277865</v>
          </cell>
          <cell r="T305" t="str">
            <v>TCT-060-2025019455</v>
          </cell>
          <cell r="U305" t="b">
            <v>1</v>
          </cell>
          <cell r="V305" t="str">
            <v>Done</v>
          </cell>
          <cell r="W305" t="str">
            <v>B4 2025</v>
          </cell>
          <cell r="X305" t="str">
            <v>2025 - Batch 5</v>
          </cell>
          <cell r="Y305">
            <v>16</v>
          </cell>
          <cell r="Z305">
            <v>11</v>
          </cell>
          <cell r="AA305" t="str">
            <v>H+L</v>
          </cell>
          <cell r="AB305">
            <v>70</v>
          </cell>
          <cell r="AC305">
            <v>50</v>
          </cell>
          <cell r="AD305" t="str">
            <v>Slant</v>
          </cell>
          <cell r="AE305" t="str">
            <v>Duplex</v>
          </cell>
          <cell r="AF305" t="str">
            <v>568 - Without Partition</v>
          </cell>
          <cell r="AG305" t="str">
            <v xml:space="preserve">Without Partition </v>
          </cell>
          <cell r="AH305" t="str">
            <v xml:space="preserve">Without Partition </v>
          </cell>
          <cell r="AI305" t="str">
            <v>PURPLE</v>
          </cell>
          <cell r="AJ305" t="str">
            <v>Slant / PURPLE</v>
          </cell>
          <cell r="AK305">
            <v>1050000</v>
          </cell>
          <cell r="AL305">
            <v>15000</v>
          </cell>
          <cell r="AM305">
            <v>1650000</v>
          </cell>
          <cell r="AN305">
            <v>33000</v>
          </cell>
          <cell r="AO305">
            <v>150000</v>
          </cell>
          <cell r="AP305">
            <v>2850000</v>
          </cell>
          <cell r="AQ305"/>
          <cell r="AR305">
            <v>2850000</v>
          </cell>
          <cell r="AS305">
            <v>200000</v>
          </cell>
          <cell r="AT305">
            <v>2650000</v>
          </cell>
          <cell r="AU305">
            <v>100000</v>
          </cell>
          <cell r="AV305">
            <v>2550000</v>
          </cell>
          <cell r="AW305">
            <v>0</v>
          </cell>
          <cell r="AX305">
            <v>2550000</v>
          </cell>
        </row>
        <row r="306">
          <cell r="G306" t="str">
            <v>AGM-01-016-012</v>
          </cell>
          <cell r="H306" t="str">
            <v xml:space="preserve">Raemulan Lands, Inc. </v>
          </cell>
          <cell r="I306" t="str">
            <v>Agapeya</v>
          </cell>
          <cell r="J306" t="str">
            <v>AGM</v>
          </cell>
          <cell r="K306" t="str">
            <v>Eco-High</v>
          </cell>
          <cell r="L306" t="str">
            <v>West</v>
          </cell>
          <cell r="M306" t="str">
            <v>With LTS - 2026</v>
          </cell>
          <cell r="N306" t="str">
            <v>YES</v>
          </cell>
          <cell r="O306" t="str">
            <v>NO</v>
          </cell>
          <cell r="P306" t="str">
            <v>Unaffected lots</v>
          </cell>
          <cell r="Q306" t="str">
            <v>NO</v>
          </cell>
          <cell r="R306">
            <v>70</v>
          </cell>
          <cell r="S306" t="str">
            <v>PSD-04-277865</v>
          </cell>
          <cell r="T306" t="str">
            <v>TCT-060-2025019456</v>
          </cell>
          <cell r="U306" t="b">
            <v>1</v>
          </cell>
          <cell r="V306" t="str">
            <v>Done</v>
          </cell>
          <cell r="W306" t="str">
            <v>B4 2025</v>
          </cell>
          <cell r="X306" t="str">
            <v>2025 - Batch 5</v>
          </cell>
          <cell r="Y306">
            <v>16</v>
          </cell>
          <cell r="Z306">
            <v>12</v>
          </cell>
          <cell r="AA306" t="str">
            <v>H+L</v>
          </cell>
          <cell r="AB306">
            <v>70</v>
          </cell>
          <cell r="AC306">
            <v>50</v>
          </cell>
          <cell r="AD306" t="str">
            <v>Flat</v>
          </cell>
          <cell r="AE306" t="str">
            <v>Duplex</v>
          </cell>
          <cell r="AF306" t="str">
            <v>568 - Without Partition</v>
          </cell>
          <cell r="AG306" t="str">
            <v xml:space="preserve">Without Partition </v>
          </cell>
          <cell r="AH306" t="str">
            <v xml:space="preserve">Without Partition </v>
          </cell>
          <cell r="AI306" t="str">
            <v>PURPLE</v>
          </cell>
          <cell r="AJ306" t="str">
            <v>Flat / PURPLE</v>
          </cell>
          <cell r="AK306">
            <v>1050000</v>
          </cell>
          <cell r="AL306">
            <v>15000</v>
          </cell>
          <cell r="AM306">
            <v>1650000</v>
          </cell>
          <cell r="AN306">
            <v>33000</v>
          </cell>
          <cell r="AO306">
            <v>150000</v>
          </cell>
          <cell r="AP306">
            <v>2850000</v>
          </cell>
          <cell r="AQ306"/>
          <cell r="AR306">
            <v>2850000</v>
          </cell>
          <cell r="AS306">
            <v>200000</v>
          </cell>
          <cell r="AT306">
            <v>2650000</v>
          </cell>
          <cell r="AU306">
            <v>100000</v>
          </cell>
          <cell r="AV306">
            <v>2550000</v>
          </cell>
          <cell r="AW306">
            <v>0</v>
          </cell>
          <cell r="AX306">
            <v>2550000</v>
          </cell>
        </row>
        <row r="307">
          <cell r="G307" t="str">
            <v>AGM-01-016-013</v>
          </cell>
          <cell r="H307" t="str">
            <v xml:space="preserve">Raemulan Lands, Inc. </v>
          </cell>
          <cell r="I307" t="str">
            <v>Agapeya</v>
          </cell>
          <cell r="J307" t="str">
            <v>AGM</v>
          </cell>
          <cell r="K307" t="str">
            <v>Eco-High</v>
          </cell>
          <cell r="L307" t="str">
            <v>West</v>
          </cell>
          <cell r="M307" t="str">
            <v>With LTS - 2026</v>
          </cell>
          <cell r="N307" t="str">
            <v>YES</v>
          </cell>
          <cell r="O307" t="str">
            <v>NO</v>
          </cell>
          <cell r="P307" t="str">
            <v>Unaffected lots</v>
          </cell>
          <cell r="Q307" t="str">
            <v>NO</v>
          </cell>
          <cell r="R307">
            <v>70</v>
          </cell>
          <cell r="S307" t="str">
            <v>PSD-04-277865</v>
          </cell>
          <cell r="T307" t="str">
            <v>TCT-060-2025019457</v>
          </cell>
          <cell r="U307" t="b">
            <v>1</v>
          </cell>
          <cell r="V307" t="str">
            <v>Done</v>
          </cell>
          <cell r="W307" t="str">
            <v>B4 2025</v>
          </cell>
          <cell r="X307" t="str">
            <v>2025 - Batch 5</v>
          </cell>
          <cell r="Y307">
            <v>16</v>
          </cell>
          <cell r="Z307">
            <v>13</v>
          </cell>
          <cell r="AA307" t="str">
            <v>H+L</v>
          </cell>
          <cell r="AB307">
            <v>70</v>
          </cell>
          <cell r="AC307">
            <v>50</v>
          </cell>
          <cell r="AD307" t="str">
            <v>Flat</v>
          </cell>
          <cell r="AE307" t="str">
            <v>Duplex</v>
          </cell>
          <cell r="AF307" t="str">
            <v>568 - Without Partition</v>
          </cell>
          <cell r="AG307" t="str">
            <v xml:space="preserve">Without Partition </v>
          </cell>
          <cell r="AH307" t="str">
            <v xml:space="preserve">Without Partition </v>
          </cell>
          <cell r="AI307" t="str">
            <v>GREEN</v>
          </cell>
          <cell r="AJ307" t="str">
            <v>Flat / GREEN</v>
          </cell>
          <cell r="AK307">
            <v>1050000</v>
          </cell>
          <cell r="AL307">
            <v>15000</v>
          </cell>
          <cell r="AM307">
            <v>1650000</v>
          </cell>
          <cell r="AN307">
            <v>33000</v>
          </cell>
          <cell r="AO307">
            <v>150000</v>
          </cell>
          <cell r="AP307">
            <v>2850000</v>
          </cell>
          <cell r="AQ307"/>
          <cell r="AR307">
            <v>2850000</v>
          </cell>
          <cell r="AS307">
            <v>200000</v>
          </cell>
          <cell r="AT307">
            <v>2650000</v>
          </cell>
          <cell r="AU307">
            <v>100000</v>
          </cell>
          <cell r="AV307">
            <v>2550000</v>
          </cell>
          <cell r="AW307">
            <v>0</v>
          </cell>
          <cell r="AX307">
            <v>2550000</v>
          </cell>
        </row>
        <row r="308">
          <cell r="G308" t="str">
            <v>AGM-01-016-014</v>
          </cell>
          <cell r="H308" t="str">
            <v xml:space="preserve">Raemulan Lands, Inc. </v>
          </cell>
          <cell r="I308" t="str">
            <v>Agapeya</v>
          </cell>
          <cell r="J308" t="str">
            <v>AGM</v>
          </cell>
          <cell r="K308" t="str">
            <v>Eco-High</v>
          </cell>
          <cell r="L308" t="str">
            <v>West</v>
          </cell>
          <cell r="M308" t="str">
            <v>With LTS - 2026</v>
          </cell>
          <cell r="N308" t="str">
            <v>YES</v>
          </cell>
          <cell r="O308" t="str">
            <v>NO</v>
          </cell>
          <cell r="P308" t="str">
            <v>Unaffected lots</v>
          </cell>
          <cell r="Q308" t="str">
            <v>NO</v>
          </cell>
          <cell r="R308">
            <v>70</v>
          </cell>
          <cell r="S308" t="str">
            <v>PSD-04-277865</v>
          </cell>
          <cell r="T308" t="str">
            <v>TCT-060-2025019458</v>
          </cell>
          <cell r="U308" t="b">
            <v>1</v>
          </cell>
          <cell r="V308" t="str">
            <v>Done</v>
          </cell>
          <cell r="W308" t="str">
            <v>B4 2025</v>
          </cell>
          <cell r="X308" t="str">
            <v>2025 - Batch 5</v>
          </cell>
          <cell r="Y308">
            <v>16</v>
          </cell>
          <cell r="Z308">
            <v>14</v>
          </cell>
          <cell r="AA308" t="str">
            <v>H+L</v>
          </cell>
          <cell r="AB308">
            <v>70</v>
          </cell>
          <cell r="AC308">
            <v>50</v>
          </cell>
          <cell r="AD308" t="str">
            <v>Slant</v>
          </cell>
          <cell r="AE308" t="str">
            <v>Duplex</v>
          </cell>
          <cell r="AF308" t="str">
            <v>568 - Without Partition</v>
          </cell>
          <cell r="AG308" t="str">
            <v xml:space="preserve">Without Partition </v>
          </cell>
          <cell r="AH308" t="str">
            <v xml:space="preserve">Without Partition </v>
          </cell>
          <cell r="AI308" t="str">
            <v>GREEN</v>
          </cell>
          <cell r="AJ308" t="str">
            <v>Slant / GREEN</v>
          </cell>
          <cell r="AK308">
            <v>1050000</v>
          </cell>
          <cell r="AL308">
            <v>15000</v>
          </cell>
          <cell r="AM308">
            <v>1650000</v>
          </cell>
          <cell r="AN308">
            <v>33000</v>
          </cell>
          <cell r="AO308">
            <v>150000</v>
          </cell>
          <cell r="AP308">
            <v>2850000</v>
          </cell>
          <cell r="AQ308"/>
          <cell r="AR308">
            <v>2850000</v>
          </cell>
          <cell r="AS308">
            <v>200000</v>
          </cell>
          <cell r="AT308">
            <v>2650000</v>
          </cell>
          <cell r="AU308">
            <v>100000</v>
          </cell>
          <cell r="AV308">
            <v>2550000</v>
          </cell>
          <cell r="AW308">
            <v>0</v>
          </cell>
          <cell r="AX308">
            <v>2550000</v>
          </cell>
        </row>
        <row r="309">
          <cell r="G309" t="str">
            <v>AGM-01-016-015</v>
          </cell>
          <cell r="H309" t="str">
            <v xml:space="preserve">Raemulan Lands, Inc. </v>
          </cell>
          <cell r="I309" t="str">
            <v>Agapeya</v>
          </cell>
          <cell r="J309" t="str">
            <v>AGM</v>
          </cell>
          <cell r="K309" t="str">
            <v>Eco-High</v>
          </cell>
          <cell r="L309" t="str">
            <v>West</v>
          </cell>
          <cell r="M309" t="str">
            <v>With LTS - 2026</v>
          </cell>
          <cell r="N309" t="str">
            <v>YES</v>
          </cell>
          <cell r="O309" t="str">
            <v>NO</v>
          </cell>
          <cell r="P309" t="str">
            <v>Unaffected lots</v>
          </cell>
          <cell r="Q309" t="str">
            <v>NO</v>
          </cell>
          <cell r="R309">
            <v>70</v>
          </cell>
          <cell r="S309" t="str">
            <v>PSD-04-277865</v>
          </cell>
          <cell r="T309" t="str">
            <v>TCT-060-2025019459</v>
          </cell>
          <cell r="U309" t="b">
            <v>1</v>
          </cell>
          <cell r="V309" t="str">
            <v>Done</v>
          </cell>
          <cell r="W309" t="str">
            <v>B4 2025</v>
          </cell>
          <cell r="X309" t="str">
            <v>2025 - Batch 5</v>
          </cell>
          <cell r="Y309">
            <v>16</v>
          </cell>
          <cell r="Z309">
            <v>15</v>
          </cell>
          <cell r="AA309" t="str">
            <v>H+L</v>
          </cell>
          <cell r="AB309">
            <v>70</v>
          </cell>
          <cell r="AC309">
            <v>50</v>
          </cell>
          <cell r="AD309" t="str">
            <v>Slant</v>
          </cell>
          <cell r="AE309" t="str">
            <v>Duplex</v>
          </cell>
          <cell r="AF309" t="str">
            <v>568 - Without Partition</v>
          </cell>
          <cell r="AG309" t="str">
            <v xml:space="preserve">Without Partition </v>
          </cell>
          <cell r="AH309" t="str">
            <v xml:space="preserve">Without Partition </v>
          </cell>
          <cell r="AI309" t="str">
            <v>GREEN</v>
          </cell>
          <cell r="AJ309" t="str">
            <v>Slant / GREEN</v>
          </cell>
          <cell r="AK309">
            <v>1050000</v>
          </cell>
          <cell r="AL309">
            <v>15000</v>
          </cell>
          <cell r="AM309">
            <v>1650000</v>
          </cell>
          <cell r="AN309">
            <v>33000</v>
          </cell>
          <cell r="AO309">
            <v>150000</v>
          </cell>
          <cell r="AP309">
            <v>2850000</v>
          </cell>
          <cell r="AQ309"/>
          <cell r="AR309">
            <v>2850000</v>
          </cell>
          <cell r="AS309">
            <v>200000</v>
          </cell>
          <cell r="AT309">
            <v>2650000</v>
          </cell>
          <cell r="AU309">
            <v>100000</v>
          </cell>
          <cell r="AV309">
            <v>2550000</v>
          </cell>
          <cell r="AW309">
            <v>0</v>
          </cell>
          <cell r="AX309">
            <v>2550000</v>
          </cell>
        </row>
        <row r="310">
          <cell r="G310" t="str">
            <v>AGM-01-016-016</v>
          </cell>
          <cell r="H310" t="str">
            <v xml:space="preserve">Raemulan Lands, Inc. </v>
          </cell>
          <cell r="I310" t="str">
            <v>Agapeya</v>
          </cell>
          <cell r="J310" t="str">
            <v>AGM</v>
          </cell>
          <cell r="K310" t="str">
            <v>Eco-High</v>
          </cell>
          <cell r="L310" t="str">
            <v>West</v>
          </cell>
          <cell r="M310" t="str">
            <v>With LTS - 2026</v>
          </cell>
          <cell r="N310" t="str">
            <v>YES</v>
          </cell>
          <cell r="O310" t="str">
            <v>NO</v>
          </cell>
          <cell r="P310" t="str">
            <v>Unaffected lots</v>
          </cell>
          <cell r="Q310" t="str">
            <v>NO</v>
          </cell>
          <cell r="R310">
            <v>90</v>
          </cell>
          <cell r="S310" t="str">
            <v>PSD-04-277865</v>
          </cell>
          <cell r="T310" t="str">
            <v>TCT-060-2025019460</v>
          </cell>
          <cell r="U310" t="b">
            <v>1</v>
          </cell>
          <cell r="V310" t="str">
            <v>Done</v>
          </cell>
          <cell r="W310" t="str">
            <v>B4 2025</v>
          </cell>
          <cell r="X310" t="str">
            <v>2025 - Batch 5</v>
          </cell>
          <cell r="Y310">
            <v>16</v>
          </cell>
          <cell r="Z310">
            <v>16</v>
          </cell>
          <cell r="AA310" t="str">
            <v>H+L</v>
          </cell>
          <cell r="AB310">
            <v>90</v>
          </cell>
          <cell r="AC310">
            <v>50</v>
          </cell>
          <cell r="AD310" t="str">
            <v>Flat</v>
          </cell>
          <cell r="AE310" t="str">
            <v>Duplex</v>
          </cell>
          <cell r="AF310" t="str">
            <v>568 - Without Partition</v>
          </cell>
          <cell r="AG310" t="str">
            <v xml:space="preserve">Without Partition </v>
          </cell>
          <cell r="AH310" t="str">
            <v xml:space="preserve">Without Partition </v>
          </cell>
          <cell r="AI310" t="str">
            <v>GREEN</v>
          </cell>
          <cell r="AJ310" t="str">
            <v>Flat / GREEN</v>
          </cell>
          <cell r="AK310">
            <v>1350000</v>
          </cell>
          <cell r="AL310">
            <v>15000</v>
          </cell>
          <cell r="AM310">
            <v>1650000</v>
          </cell>
          <cell r="AN310">
            <v>33000</v>
          </cell>
          <cell r="AO310">
            <v>150000</v>
          </cell>
          <cell r="AP310">
            <v>3150000</v>
          </cell>
          <cell r="AQ310"/>
          <cell r="AR310">
            <v>3150000</v>
          </cell>
          <cell r="AS310">
            <v>200000</v>
          </cell>
          <cell r="AT310">
            <v>2950000</v>
          </cell>
          <cell r="AU310">
            <v>100000</v>
          </cell>
          <cell r="AV310">
            <v>2850000</v>
          </cell>
          <cell r="AW310">
            <v>0</v>
          </cell>
          <cell r="AX310">
            <v>2850000</v>
          </cell>
        </row>
        <row r="311">
          <cell r="G311" t="str">
            <v>AGM-01-017-001</v>
          </cell>
          <cell r="H311" t="str">
            <v xml:space="preserve">Raemulan Lands, Inc. </v>
          </cell>
          <cell r="I311" t="str">
            <v>Agapeya</v>
          </cell>
          <cell r="J311" t="str">
            <v>AGM</v>
          </cell>
          <cell r="K311" t="str">
            <v>Eco-High</v>
          </cell>
          <cell r="L311" t="str">
            <v>West</v>
          </cell>
          <cell r="M311" t="str">
            <v>With LTS - 2026</v>
          </cell>
          <cell r="N311" t="str">
            <v>YES</v>
          </cell>
          <cell r="O311" t="str">
            <v>NO</v>
          </cell>
          <cell r="P311" t="str">
            <v>Unaffected lots</v>
          </cell>
          <cell r="Q311" t="str">
            <v>NO</v>
          </cell>
          <cell r="R311">
            <v>97</v>
          </cell>
          <cell r="S311" t="str">
            <v>PSD-04-277865</v>
          </cell>
          <cell r="T311" t="str">
            <v>TCT-060-2025019461</v>
          </cell>
          <cell r="U311" t="b">
            <v>1</v>
          </cell>
          <cell r="V311" t="str">
            <v>Done</v>
          </cell>
          <cell r="W311" t="str">
            <v>B2 2025</v>
          </cell>
          <cell r="X311" t="str">
            <v>2025 - Batch 3</v>
          </cell>
          <cell r="Y311">
            <v>17</v>
          </cell>
          <cell r="Z311">
            <v>1</v>
          </cell>
          <cell r="AA311" t="str">
            <v>H+L</v>
          </cell>
          <cell r="AB311">
            <v>97</v>
          </cell>
          <cell r="AC311">
            <v>50</v>
          </cell>
          <cell r="AD311" t="str">
            <v>Slant</v>
          </cell>
          <cell r="AE311" t="str">
            <v>Duplex</v>
          </cell>
          <cell r="AF311" t="str">
            <v>568 - Without Partition</v>
          </cell>
          <cell r="AG311" t="str">
            <v xml:space="preserve">Without Partition </v>
          </cell>
          <cell r="AH311" t="str">
            <v xml:space="preserve">Without Partition </v>
          </cell>
          <cell r="AI311" t="str">
            <v>GREEN</v>
          </cell>
          <cell r="AJ311" t="str">
            <v>Slant / GREEN</v>
          </cell>
          <cell r="AK311">
            <v>1455000</v>
          </cell>
          <cell r="AL311">
            <v>15000</v>
          </cell>
          <cell r="AM311">
            <v>1650000</v>
          </cell>
          <cell r="AN311">
            <v>33000</v>
          </cell>
          <cell r="AO311">
            <v>150000</v>
          </cell>
          <cell r="AP311">
            <v>3255000</v>
          </cell>
          <cell r="AQ311"/>
          <cell r="AR311">
            <v>3255000</v>
          </cell>
          <cell r="AS311">
            <v>200000</v>
          </cell>
          <cell r="AT311">
            <v>3055000</v>
          </cell>
          <cell r="AU311">
            <v>100000</v>
          </cell>
          <cell r="AV311">
            <v>2955000</v>
          </cell>
          <cell r="AW311">
            <v>0</v>
          </cell>
          <cell r="AX311">
            <v>2955000</v>
          </cell>
        </row>
        <row r="312">
          <cell r="G312" t="str">
            <v>AGM-01-017-002</v>
          </cell>
          <cell r="H312" t="str">
            <v xml:space="preserve">Raemulan Lands, Inc. </v>
          </cell>
          <cell r="I312" t="str">
            <v>Agapeya</v>
          </cell>
          <cell r="J312" t="str">
            <v>AGM</v>
          </cell>
          <cell r="K312" t="str">
            <v>Eco-High</v>
          </cell>
          <cell r="L312" t="str">
            <v>West</v>
          </cell>
          <cell r="M312" t="str">
            <v>With LTS - 2026</v>
          </cell>
          <cell r="N312" t="str">
            <v>YES</v>
          </cell>
          <cell r="O312" t="str">
            <v>NO</v>
          </cell>
          <cell r="P312" t="str">
            <v>Unaffected lots</v>
          </cell>
          <cell r="Q312" t="str">
            <v>NO</v>
          </cell>
          <cell r="R312">
            <v>80</v>
          </cell>
          <cell r="S312" t="str">
            <v>PSD-04-277865</v>
          </cell>
          <cell r="T312" t="str">
            <v>TCT-060-2025019462</v>
          </cell>
          <cell r="U312" t="b">
            <v>1</v>
          </cell>
          <cell r="V312" t="str">
            <v>Done</v>
          </cell>
          <cell r="W312" t="str">
            <v>B2 2025</v>
          </cell>
          <cell r="X312" t="str">
            <v>2025 - Batch 3</v>
          </cell>
          <cell r="Y312">
            <v>17</v>
          </cell>
          <cell r="Z312">
            <v>2</v>
          </cell>
          <cell r="AA312" t="str">
            <v>H+L</v>
          </cell>
          <cell r="AB312">
            <v>80</v>
          </cell>
          <cell r="AC312">
            <v>50</v>
          </cell>
          <cell r="AD312" t="str">
            <v>Flat</v>
          </cell>
          <cell r="AE312" t="str">
            <v>Duplex</v>
          </cell>
          <cell r="AF312" t="str">
            <v>568 - Without Partition</v>
          </cell>
          <cell r="AG312" t="str">
            <v xml:space="preserve">Without Partition </v>
          </cell>
          <cell r="AH312" t="str">
            <v xml:space="preserve">Without Partition </v>
          </cell>
          <cell r="AI312" t="str">
            <v>GREEN</v>
          </cell>
          <cell r="AJ312" t="str">
            <v>Flat / GREEN</v>
          </cell>
          <cell r="AK312">
            <v>1200000</v>
          </cell>
          <cell r="AL312">
            <v>15000</v>
          </cell>
          <cell r="AM312">
            <v>1650000</v>
          </cell>
          <cell r="AN312">
            <v>33000</v>
          </cell>
          <cell r="AO312">
            <v>150000</v>
          </cell>
          <cell r="AP312">
            <v>3000000</v>
          </cell>
          <cell r="AQ312"/>
          <cell r="AR312">
            <v>3000000</v>
          </cell>
          <cell r="AS312">
            <v>200000</v>
          </cell>
          <cell r="AT312">
            <v>2800000</v>
          </cell>
          <cell r="AU312">
            <v>100000</v>
          </cell>
          <cell r="AV312">
            <v>2700000</v>
          </cell>
          <cell r="AW312">
            <v>0</v>
          </cell>
          <cell r="AX312">
            <v>2700000</v>
          </cell>
        </row>
        <row r="313">
          <cell r="G313" t="str">
            <v>AGM-01-017-003</v>
          </cell>
          <cell r="H313" t="str">
            <v xml:space="preserve">Raemulan Lands, Inc. </v>
          </cell>
          <cell r="I313" t="str">
            <v>Agapeya</v>
          </cell>
          <cell r="J313" t="str">
            <v>AGM</v>
          </cell>
          <cell r="K313" t="str">
            <v>Eco-High</v>
          </cell>
          <cell r="L313" t="str">
            <v>West</v>
          </cell>
          <cell r="M313" t="str">
            <v>With LTS - 2026</v>
          </cell>
          <cell r="N313" t="str">
            <v>YES</v>
          </cell>
          <cell r="O313" t="str">
            <v>NO</v>
          </cell>
          <cell r="P313" t="str">
            <v>Unaffected lots</v>
          </cell>
          <cell r="Q313" t="str">
            <v>NO</v>
          </cell>
          <cell r="R313">
            <v>80</v>
          </cell>
          <cell r="S313" t="str">
            <v>PSD-04-277865</v>
          </cell>
          <cell r="T313" t="str">
            <v>TCT-060-2025019463</v>
          </cell>
          <cell r="U313" t="b">
            <v>1</v>
          </cell>
          <cell r="V313" t="str">
            <v>Done</v>
          </cell>
          <cell r="W313" t="str">
            <v>B2 2025</v>
          </cell>
          <cell r="X313" t="str">
            <v>2025 - Batch 3</v>
          </cell>
          <cell r="Y313">
            <v>17</v>
          </cell>
          <cell r="Z313">
            <v>3</v>
          </cell>
          <cell r="AA313" t="str">
            <v>H+L</v>
          </cell>
          <cell r="AB313">
            <v>80</v>
          </cell>
          <cell r="AC313">
            <v>50</v>
          </cell>
          <cell r="AD313" t="str">
            <v>Flat</v>
          </cell>
          <cell r="AE313" t="str">
            <v>Duplex</v>
          </cell>
          <cell r="AF313" t="str">
            <v>568 - Without Partition</v>
          </cell>
          <cell r="AG313" t="str">
            <v xml:space="preserve">Without Partition </v>
          </cell>
          <cell r="AH313" t="str">
            <v xml:space="preserve">Without Partition </v>
          </cell>
          <cell r="AI313" t="str">
            <v>GREEN</v>
          </cell>
          <cell r="AJ313" t="str">
            <v>Flat / GREEN</v>
          </cell>
          <cell r="AK313">
            <v>1200000</v>
          </cell>
          <cell r="AL313">
            <v>15000</v>
          </cell>
          <cell r="AM313">
            <v>1650000</v>
          </cell>
          <cell r="AN313">
            <v>33000</v>
          </cell>
          <cell r="AO313">
            <v>150000</v>
          </cell>
          <cell r="AP313">
            <v>3000000</v>
          </cell>
          <cell r="AQ313"/>
          <cell r="AR313">
            <v>3000000</v>
          </cell>
          <cell r="AS313">
            <v>200000</v>
          </cell>
          <cell r="AT313">
            <v>2800000</v>
          </cell>
          <cell r="AU313">
            <v>100000</v>
          </cell>
          <cell r="AV313">
            <v>2700000</v>
          </cell>
          <cell r="AW313">
            <v>0</v>
          </cell>
          <cell r="AX313">
            <v>2700000</v>
          </cell>
        </row>
        <row r="314">
          <cell r="G314" t="str">
            <v>AGM-01-017-004</v>
          </cell>
          <cell r="H314" t="str">
            <v xml:space="preserve">Raemulan Lands, Inc. </v>
          </cell>
          <cell r="I314" t="str">
            <v>Agapeya</v>
          </cell>
          <cell r="J314" t="str">
            <v>AGM</v>
          </cell>
          <cell r="K314" t="str">
            <v>Eco-High</v>
          </cell>
          <cell r="L314" t="str">
            <v>West</v>
          </cell>
          <cell r="M314" t="str">
            <v>With LTS - 2026</v>
          </cell>
          <cell r="N314" t="str">
            <v>YES</v>
          </cell>
          <cell r="O314" t="str">
            <v>NO</v>
          </cell>
          <cell r="P314" t="str">
            <v>Unaffected lots</v>
          </cell>
          <cell r="Q314" t="str">
            <v>NO</v>
          </cell>
          <cell r="R314">
            <v>98</v>
          </cell>
          <cell r="S314" t="str">
            <v>PSD-04-277865</v>
          </cell>
          <cell r="T314" t="str">
            <v>TCT-060-2025019464</v>
          </cell>
          <cell r="U314" t="b">
            <v>1</v>
          </cell>
          <cell r="V314" t="str">
            <v>Done</v>
          </cell>
          <cell r="W314" t="str">
            <v>B2 2025</v>
          </cell>
          <cell r="X314" t="str">
            <v>2025 - Batch 3</v>
          </cell>
          <cell r="Y314">
            <v>17</v>
          </cell>
          <cell r="Z314">
            <v>4</v>
          </cell>
          <cell r="AA314" t="str">
            <v>H+L</v>
          </cell>
          <cell r="AB314">
            <v>98</v>
          </cell>
          <cell r="AC314">
            <v>50</v>
          </cell>
          <cell r="AD314" t="str">
            <v>Slant</v>
          </cell>
          <cell r="AE314" t="str">
            <v>Duplex</v>
          </cell>
          <cell r="AF314" t="str">
            <v>568 - Without Partition</v>
          </cell>
          <cell r="AG314" t="str">
            <v xml:space="preserve">Without Partition </v>
          </cell>
          <cell r="AH314" t="str">
            <v xml:space="preserve">Without Partition </v>
          </cell>
          <cell r="AI314" t="str">
            <v>GREEN</v>
          </cell>
          <cell r="AJ314" t="str">
            <v>Slant / GREEN</v>
          </cell>
          <cell r="AK314">
            <v>1470000</v>
          </cell>
          <cell r="AL314">
            <v>15000</v>
          </cell>
          <cell r="AM314">
            <v>1650000</v>
          </cell>
          <cell r="AN314">
            <v>33000</v>
          </cell>
          <cell r="AO314">
            <v>150000</v>
          </cell>
          <cell r="AP314">
            <v>3270000</v>
          </cell>
          <cell r="AQ314"/>
          <cell r="AR314">
            <v>3270000</v>
          </cell>
          <cell r="AS314">
            <v>200000</v>
          </cell>
          <cell r="AT314">
            <v>3070000</v>
          </cell>
          <cell r="AU314">
            <v>100000</v>
          </cell>
          <cell r="AV314">
            <v>2970000</v>
          </cell>
          <cell r="AW314">
            <v>0</v>
          </cell>
          <cell r="AX314">
            <v>2970000</v>
          </cell>
        </row>
        <row r="315">
          <cell r="G315" t="str">
            <v>AGM-01-017-005</v>
          </cell>
          <cell r="H315" t="str">
            <v xml:space="preserve">Raemulan Lands, Inc. </v>
          </cell>
          <cell r="I315" t="str">
            <v>Agapeya</v>
          </cell>
          <cell r="J315" t="str">
            <v>AGM</v>
          </cell>
          <cell r="K315" t="str">
            <v>Eco-High</v>
          </cell>
          <cell r="L315" t="str">
            <v>West</v>
          </cell>
          <cell r="M315" t="str">
            <v>With LTS - 2026</v>
          </cell>
          <cell r="N315" t="str">
            <v>YES</v>
          </cell>
          <cell r="O315" t="str">
            <v>NO</v>
          </cell>
          <cell r="P315" t="str">
            <v>Unaffected lots</v>
          </cell>
          <cell r="Q315" t="str">
            <v>NO</v>
          </cell>
          <cell r="R315">
            <v>80</v>
          </cell>
          <cell r="S315" t="str">
            <v>PSD-04-277865</v>
          </cell>
          <cell r="T315" t="str">
            <v>TCT-060-2025019465</v>
          </cell>
          <cell r="U315" t="b">
            <v>1</v>
          </cell>
          <cell r="V315" t="str">
            <v>Done</v>
          </cell>
          <cell r="W315" t="str">
            <v>B2 2025</v>
          </cell>
          <cell r="X315" t="str">
            <v>2025 - Batch 3</v>
          </cell>
          <cell r="Y315">
            <v>17</v>
          </cell>
          <cell r="Z315">
            <v>5</v>
          </cell>
          <cell r="AA315" t="str">
            <v>H+L</v>
          </cell>
          <cell r="AB315">
            <v>80</v>
          </cell>
          <cell r="AC315">
            <v>50</v>
          </cell>
          <cell r="AD315" t="str">
            <v>Flat</v>
          </cell>
          <cell r="AE315" t="str">
            <v>Duplex</v>
          </cell>
          <cell r="AF315" t="str">
            <v>568 - Without Partition</v>
          </cell>
          <cell r="AG315" t="str">
            <v xml:space="preserve">Without Partition </v>
          </cell>
          <cell r="AH315" t="str">
            <v xml:space="preserve">Without Partition </v>
          </cell>
          <cell r="AI315" t="str">
            <v>PINK</v>
          </cell>
          <cell r="AJ315" t="str">
            <v>Flat / PINK</v>
          </cell>
          <cell r="AK315">
            <v>1200000</v>
          </cell>
          <cell r="AL315">
            <v>15000</v>
          </cell>
          <cell r="AM315">
            <v>1650000</v>
          </cell>
          <cell r="AN315">
            <v>33000</v>
          </cell>
          <cell r="AO315">
            <v>150000</v>
          </cell>
          <cell r="AP315">
            <v>3000000</v>
          </cell>
          <cell r="AQ315"/>
          <cell r="AR315">
            <v>3000000</v>
          </cell>
          <cell r="AS315">
            <v>200000</v>
          </cell>
          <cell r="AT315">
            <v>2800000</v>
          </cell>
          <cell r="AU315">
            <v>100000</v>
          </cell>
          <cell r="AV315">
            <v>2700000</v>
          </cell>
          <cell r="AW315">
            <v>0</v>
          </cell>
          <cell r="AX315">
            <v>2700000</v>
          </cell>
        </row>
        <row r="316">
          <cell r="G316" t="str">
            <v>AGM-01-017-006</v>
          </cell>
          <cell r="H316" t="str">
            <v xml:space="preserve">Raemulan Lands, Inc. </v>
          </cell>
          <cell r="I316" t="str">
            <v>Agapeya</v>
          </cell>
          <cell r="J316" t="str">
            <v>AGM</v>
          </cell>
          <cell r="K316" t="str">
            <v>Eco-High</v>
          </cell>
          <cell r="L316" t="str">
            <v>West</v>
          </cell>
          <cell r="M316" t="str">
            <v>With LTS - 2026</v>
          </cell>
          <cell r="N316" t="str">
            <v>YES</v>
          </cell>
          <cell r="O316" t="str">
            <v>NO</v>
          </cell>
          <cell r="P316" t="str">
            <v>Unaffected lots</v>
          </cell>
          <cell r="Q316" t="str">
            <v>NO</v>
          </cell>
          <cell r="R316">
            <v>70</v>
          </cell>
          <cell r="S316" t="str">
            <v>PSD-04-277865</v>
          </cell>
          <cell r="T316" t="str">
            <v>TCT-060-2025019466</v>
          </cell>
          <cell r="U316" t="b">
            <v>1</v>
          </cell>
          <cell r="V316" t="str">
            <v>Done</v>
          </cell>
          <cell r="W316" t="str">
            <v>B2 2025</v>
          </cell>
          <cell r="X316" t="str">
            <v>2025 - Batch 3</v>
          </cell>
          <cell r="Y316">
            <v>17</v>
          </cell>
          <cell r="Z316">
            <v>6</v>
          </cell>
          <cell r="AA316" t="str">
            <v>H+L</v>
          </cell>
          <cell r="AB316">
            <v>70</v>
          </cell>
          <cell r="AC316">
            <v>50</v>
          </cell>
          <cell r="AD316" t="str">
            <v>Slant</v>
          </cell>
          <cell r="AE316" t="str">
            <v>Duplex</v>
          </cell>
          <cell r="AF316" t="str">
            <v>568 - Without Partition</v>
          </cell>
          <cell r="AG316" t="str">
            <v xml:space="preserve">Without Partition </v>
          </cell>
          <cell r="AH316" t="str">
            <v xml:space="preserve">Without Partition </v>
          </cell>
          <cell r="AI316" t="str">
            <v>PINK</v>
          </cell>
          <cell r="AJ316" t="str">
            <v>Slant / PINK</v>
          </cell>
          <cell r="AK316">
            <v>1050000</v>
          </cell>
          <cell r="AL316">
            <v>15000</v>
          </cell>
          <cell r="AM316">
            <v>1650000</v>
          </cell>
          <cell r="AN316">
            <v>33000</v>
          </cell>
          <cell r="AO316">
            <v>150000</v>
          </cell>
          <cell r="AP316">
            <v>2850000</v>
          </cell>
          <cell r="AQ316"/>
          <cell r="AR316">
            <v>2850000</v>
          </cell>
          <cell r="AS316">
            <v>200000</v>
          </cell>
          <cell r="AT316">
            <v>2650000</v>
          </cell>
          <cell r="AU316">
            <v>100000</v>
          </cell>
          <cell r="AV316">
            <v>2550000</v>
          </cell>
          <cell r="AW316">
            <v>0</v>
          </cell>
          <cell r="AX316">
            <v>2550000</v>
          </cell>
        </row>
        <row r="317">
          <cell r="G317" t="str">
            <v>AGM-01-017-007</v>
          </cell>
          <cell r="H317" t="str">
            <v xml:space="preserve">Raemulan Lands, Inc. </v>
          </cell>
          <cell r="I317" t="str">
            <v>Agapeya</v>
          </cell>
          <cell r="J317" t="str">
            <v>AGM</v>
          </cell>
          <cell r="K317" t="str">
            <v>Eco-High</v>
          </cell>
          <cell r="L317" t="str">
            <v>West</v>
          </cell>
          <cell r="M317" t="str">
            <v>With LTS - 2026</v>
          </cell>
          <cell r="N317" t="str">
            <v>YES</v>
          </cell>
          <cell r="O317" t="str">
            <v>NO</v>
          </cell>
          <cell r="P317" t="str">
            <v>Unaffected lots</v>
          </cell>
          <cell r="Q317" t="str">
            <v>NO</v>
          </cell>
          <cell r="R317">
            <v>70</v>
          </cell>
          <cell r="S317" t="str">
            <v>PSD-04-277865</v>
          </cell>
          <cell r="T317" t="str">
            <v>TCT-060-2025019467</v>
          </cell>
          <cell r="U317" t="b">
            <v>1</v>
          </cell>
          <cell r="V317" t="str">
            <v xml:space="preserve">Done </v>
          </cell>
          <cell r="W317" t="str">
            <v>B2 2025</v>
          </cell>
          <cell r="X317" t="str">
            <v>2025 - Batch 3</v>
          </cell>
          <cell r="Y317">
            <v>17</v>
          </cell>
          <cell r="Z317">
            <v>7</v>
          </cell>
          <cell r="AA317" t="str">
            <v>H+L</v>
          </cell>
          <cell r="AB317">
            <v>70</v>
          </cell>
          <cell r="AC317">
            <v>50</v>
          </cell>
          <cell r="AD317" t="str">
            <v>Slant</v>
          </cell>
          <cell r="AE317" t="str">
            <v>Duplex</v>
          </cell>
          <cell r="AF317" t="str">
            <v>568 - Without Partition</v>
          </cell>
          <cell r="AG317" t="str">
            <v xml:space="preserve">Without Partition </v>
          </cell>
          <cell r="AH317" t="str">
            <v xml:space="preserve">Without Partition </v>
          </cell>
          <cell r="AI317" t="str">
            <v>PINK</v>
          </cell>
          <cell r="AJ317" t="str">
            <v>Slant / PINK</v>
          </cell>
          <cell r="AK317">
            <v>1050000</v>
          </cell>
          <cell r="AL317">
            <v>15000</v>
          </cell>
          <cell r="AM317">
            <v>1650000</v>
          </cell>
          <cell r="AN317">
            <v>33000</v>
          </cell>
          <cell r="AO317">
            <v>150000</v>
          </cell>
          <cell r="AP317">
            <v>2850000</v>
          </cell>
          <cell r="AQ317"/>
          <cell r="AR317">
            <v>2850000</v>
          </cell>
          <cell r="AS317">
            <v>200000</v>
          </cell>
          <cell r="AT317">
            <v>2650000</v>
          </cell>
          <cell r="AU317">
            <v>100000</v>
          </cell>
          <cell r="AV317">
            <v>2550000</v>
          </cell>
          <cell r="AW317">
            <v>0</v>
          </cell>
          <cell r="AX317">
            <v>2550000</v>
          </cell>
        </row>
        <row r="318">
          <cell r="G318" t="str">
            <v>AGM-01-017-008</v>
          </cell>
          <cell r="H318" t="str">
            <v xml:space="preserve">Raemulan Lands, Inc. </v>
          </cell>
          <cell r="I318" t="str">
            <v>Agapeya</v>
          </cell>
          <cell r="J318" t="str">
            <v>AGM</v>
          </cell>
          <cell r="K318" t="str">
            <v>Eco-High</v>
          </cell>
          <cell r="L318" t="str">
            <v>West</v>
          </cell>
          <cell r="M318" t="str">
            <v>With LTS - 2026</v>
          </cell>
          <cell r="N318" t="str">
            <v>YES</v>
          </cell>
          <cell r="O318" t="str">
            <v>NO</v>
          </cell>
          <cell r="P318" t="str">
            <v>Unaffected lots</v>
          </cell>
          <cell r="Q318" t="str">
            <v>NO</v>
          </cell>
          <cell r="R318">
            <v>80</v>
          </cell>
          <cell r="S318" t="str">
            <v>PSD-04-277865</v>
          </cell>
          <cell r="T318" t="str">
            <v>TCT-060-2025019468</v>
          </cell>
          <cell r="U318" t="b">
            <v>1</v>
          </cell>
          <cell r="V318" t="str">
            <v xml:space="preserve">Done </v>
          </cell>
          <cell r="W318" t="str">
            <v>B2 2025</v>
          </cell>
          <cell r="X318" t="str">
            <v>2025 - Batch 3</v>
          </cell>
          <cell r="Y318">
            <v>17</v>
          </cell>
          <cell r="Z318">
            <v>8</v>
          </cell>
          <cell r="AA318" t="str">
            <v>H+L</v>
          </cell>
          <cell r="AB318">
            <v>80</v>
          </cell>
          <cell r="AC318">
            <v>50</v>
          </cell>
          <cell r="AD318" t="str">
            <v>Flat</v>
          </cell>
          <cell r="AE318" t="str">
            <v>Duplex</v>
          </cell>
          <cell r="AF318" t="str">
            <v>568 - Without Partition</v>
          </cell>
          <cell r="AG318" t="str">
            <v xml:space="preserve">Without Partition </v>
          </cell>
          <cell r="AH318" t="str">
            <v xml:space="preserve">Without Partition </v>
          </cell>
          <cell r="AI318" t="str">
            <v>PINK</v>
          </cell>
          <cell r="AJ318" t="str">
            <v>Flat / PINK</v>
          </cell>
          <cell r="AK318">
            <v>1200000</v>
          </cell>
          <cell r="AL318">
            <v>15000</v>
          </cell>
          <cell r="AM318">
            <v>1650000</v>
          </cell>
          <cell r="AN318">
            <v>33000</v>
          </cell>
          <cell r="AO318">
            <v>150000</v>
          </cell>
          <cell r="AP318">
            <v>3000000</v>
          </cell>
          <cell r="AQ318"/>
          <cell r="AR318">
            <v>3000000</v>
          </cell>
          <cell r="AS318">
            <v>200000</v>
          </cell>
          <cell r="AT318">
            <v>2800000</v>
          </cell>
          <cell r="AU318">
            <v>100000</v>
          </cell>
          <cell r="AV318">
            <v>2700000</v>
          </cell>
          <cell r="AW318">
            <v>0</v>
          </cell>
          <cell r="AX318">
            <v>2700000</v>
          </cell>
        </row>
        <row r="319">
          <cell r="G319" t="str">
            <v>AGM-01-017-009</v>
          </cell>
          <cell r="H319" t="str">
            <v xml:space="preserve">Raemulan Lands, Inc. </v>
          </cell>
          <cell r="I319" t="str">
            <v>Agapeya</v>
          </cell>
          <cell r="J319" t="str">
            <v>AGM</v>
          </cell>
          <cell r="K319" t="str">
            <v>Eco-High</v>
          </cell>
          <cell r="L319" t="str">
            <v>West</v>
          </cell>
          <cell r="M319" t="str">
            <v>With LTS - 2024</v>
          </cell>
          <cell r="N319" t="str">
            <v>YES</v>
          </cell>
          <cell r="O319" t="str">
            <v>NO</v>
          </cell>
          <cell r="P319" t="str">
            <v>Unaffected lots</v>
          </cell>
          <cell r="Q319" t="str">
            <v>YES</v>
          </cell>
          <cell r="R319">
            <v>102</v>
          </cell>
          <cell r="S319" t="str">
            <v>PSD-04-277865</v>
          </cell>
          <cell r="T319" t="str">
            <v>TCT-060-2025019469</v>
          </cell>
          <cell r="U319" t="b">
            <v>1</v>
          </cell>
          <cell r="V319" t="str">
            <v xml:space="preserve">Done </v>
          </cell>
          <cell r="W319" t="str">
            <v>B2 - Lot Only</v>
          </cell>
          <cell r="X319" t="str">
            <v>Lot Only - N/A</v>
          </cell>
          <cell r="Y319">
            <v>17</v>
          </cell>
          <cell r="Z319">
            <v>9</v>
          </cell>
          <cell r="AA319" t="str">
            <v>LO</v>
          </cell>
          <cell r="AB319">
            <v>102</v>
          </cell>
          <cell r="AC319" t="str">
            <v>N/A</v>
          </cell>
          <cell r="AD319" t="str">
            <v>-</v>
          </cell>
          <cell r="AE319" t="str">
            <v>Lot Only</v>
          </cell>
          <cell r="AF319" t="str">
            <v>N/A</v>
          </cell>
          <cell r="AG319" t="str">
            <v>N/A - LOT ONLY</v>
          </cell>
          <cell r="AH319" t="str">
            <v>N/A - LOT ONLY</v>
          </cell>
          <cell r="AI319" t="str">
            <v>N/A - LOT ONLY</v>
          </cell>
          <cell r="AJ319" t="str">
            <v>- / N/A - LOT ONLY</v>
          </cell>
          <cell r="AK319">
            <v>1530000</v>
          </cell>
          <cell r="AL319">
            <v>15000</v>
          </cell>
          <cell r="AM319">
            <v>0</v>
          </cell>
          <cell r="AN319">
            <v>0</v>
          </cell>
          <cell r="AO319">
            <v>100000</v>
          </cell>
          <cell r="AP319">
            <v>1630000</v>
          </cell>
          <cell r="AQ319"/>
          <cell r="AR319">
            <v>1630000</v>
          </cell>
          <cell r="AS319">
            <v>0</v>
          </cell>
          <cell r="AT319">
            <v>1630000</v>
          </cell>
          <cell r="AU319">
            <v>100000</v>
          </cell>
          <cell r="AV319">
            <v>1530000</v>
          </cell>
          <cell r="AW319">
            <v>0</v>
          </cell>
          <cell r="AX319">
            <v>1530000</v>
          </cell>
        </row>
        <row r="320">
          <cell r="G320" t="str">
            <v>AGM-01-018-001</v>
          </cell>
          <cell r="H320" t="str">
            <v xml:space="preserve">Raemulan Lands, Inc. </v>
          </cell>
          <cell r="I320" t="str">
            <v>Agapeya</v>
          </cell>
          <cell r="J320" t="str">
            <v>AGM</v>
          </cell>
          <cell r="K320" t="str">
            <v>Eco-High</v>
          </cell>
          <cell r="L320" t="str">
            <v>West</v>
          </cell>
          <cell r="M320" t="str">
            <v>With LTS - 2026</v>
          </cell>
          <cell r="N320" t="str">
            <v>YES</v>
          </cell>
          <cell r="O320" t="str">
            <v>NO</v>
          </cell>
          <cell r="P320" t="str">
            <v>Unaffected lots</v>
          </cell>
          <cell r="Q320" t="str">
            <v>NO</v>
          </cell>
          <cell r="R320">
            <v>97</v>
          </cell>
          <cell r="S320" t="str">
            <v>PSD-04-277865</v>
          </cell>
          <cell r="T320" t="str">
            <v>TCT-060-2025019470</v>
          </cell>
          <cell r="U320" t="b">
            <v>1</v>
          </cell>
          <cell r="V320" t="str">
            <v>Done</v>
          </cell>
          <cell r="W320" t="str">
            <v>B3 2025</v>
          </cell>
          <cell r="X320" t="str">
            <v>2025 - Batch 3</v>
          </cell>
          <cell r="Y320">
            <v>18</v>
          </cell>
          <cell r="Z320">
            <v>1</v>
          </cell>
          <cell r="AA320" t="str">
            <v>H+L</v>
          </cell>
          <cell r="AB320">
            <v>97</v>
          </cell>
          <cell r="AC320">
            <v>50</v>
          </cell>
          <cell r="AD320" t="str">
            <v>Flat</v>
          </cell>
          <cell r="AE320" t="str">
            <v>Duplex</v>
          </cell>
          <cell r="AF320" t="str">
            <v>568 - Without Partition</v>
          </cell>
          <cell r="AG320" t="str">
            <v xml:space="preserve">Without Partition </v>
          </cell>
          <cell r="AH320" t="str">
            <v xml:space="preserve">Without Partition </v>
          </cell>
          <cell r="AI320" t="str">
            <v>YELLOW</v>
          </cell>
          <cell r="AJ320" t="str">
            <v>Flat / YELLOW</v>
          </cell>
          <cell r="AK320">
            <v>1455000</v>
          </cell>
          <cell r="AL320">
            <v>15000</v>
          </cell>
          <cell r="AM320">
            <v>1650000</v>
          </cell>
          <cell r="AN320">
            <v>33000</v>
          </cell>
          <cell r="AO320">
            <v>150000</v>
          </cell>
          <cell r="AP320">
            <v>3255000</v>
          </cell>
          <cell r="AQ320"/>
          <cell r="AR320">
            <v>3255000</v>
          </cell>
          <cell r="AS320">
            <v>200000</v>
          </cell>
          <cell r="AT320">
            <v>3055000</v>
          </cell>
          <cell r="AU320">
            <v>100000</v>
          </cell>
          <cell r="AV320">
            <v>2955000</v>
          </cell>
          <cell r="AW320">
            <v>0</v>
          </cell>
          <cell r="AX320">
            <v>2955000</v>
          </cell>
        </row>
        <row r="321">
          <cell r="G321" t="str">
            <v>AGM-01-018-002</v>
          </cell>
          <cell r="H321" t="str">
            <v xml:space="preserve">Raemulan Lands, Inc. </v>
          </cell>
          <cell r="I321" t="str">
            <v>Agapeya</v>
          </cell>
          <cell r="J321" t="str">
            <v>AGM</v>
          </cell>
          <cell r="K321" t="str">
            <v>Eco-High</v>
          </cell>
          <cell r="L321" t="str">
            <v>West</v>
          </cell>
          <cell r="M321" t="str">
            <v>With LTS - 2026</v>
          </cell>
          <cell r="N321" t="str">
            <v>YES</v>
          </cell>
          <cell r="O321" t="str">
            <v>NO</v>
          </cell>
          <cell r="P321" t="str">
            <v>Unaffected lots</v>
          </cell>
          <cell r="Q321" t="str">
            <v>NO</v>
          </cell>
          <cell r="R321">
            <v>80</v>
          </cell>
          <cell r="S321" t="str">
            <v>PSD-04-277865</v>
          </cell>
          <cell r="T321" t="str">
            <v>TCT-060-2025019471</v>
          </cell>
          <cell r="U321" t="b">
            <v>1</v>
          </cell>
          <cell r="V321" t="str">
            <v>Done</v>
          </cell>
          <cell r="W321" t="str">
            <v>B3 2025</v>
          </cell>
          <cell r="X321" t="str">
            <v>2025 - Batch 3</v>
          </cell>
          <cell r="Y321">
            <v>18</v>
          </cell>
          <cell r="Z321">
            <v>2</v>
          </cell>
          <cell r="AA321" t="str">
            <v>H+L</v>
          </cell>
          <cell r="AB321">
            <v>80</v>
          </cell>
          <cell r="AC321">
            <v>50</v>
          </cell>
          <cell r="AD321" t="str">
            <v>Slant</v>
          </cell>
          <cell r="AE321" t="str">
            <v>Duplex</v>
          </cell>
          <cell r="AF321" t="str">
            <v>568 - Without Partition</v>
          </cell>
          <cell r="AG321" t="str">
            <v xml:space="preserve">Without Partition </v>
          </cell>
          <cell r="AH321" t="str">
            <v xml:space="preserve">Without Partition </v>
          </cell>
          <cell r="AI321" t="str">
            <v>YELLOW</v>
          </cell>
          <cell r="AJ321" t="str">
            <v>Slant / YELLOW</v>
          </cell>
          <cell r="AK321">
            <v>1200000</v>
          </cell>
          <cell r="AL321">
            <v>15000</v>
          </cell>
          <cell r="AM321">
            <v>1650000</v>
          </cell>
          <cell r="AN321">
            <v>33000</v>
          </cell>
          <cell r="AO321">
            <v>150000</v>
          </cell>
          <cell r="AP321">
            <v>3000000</v>
          </cell>
          <cell r="AQ321"/>
          <cell r="AR321">
            <v>3000000</v>
          </cell>
          <cell r="AS321">
            <v>200000</v>
          </cell>
          <cell r="AT321">
            <v>2800000</v>
          </cell>
          <cell r="AU321">
            <v>100000</v>
          </cell>
          <cell r="AV321">
            <v>2700000</v>
          </cell>
          <cell r="AW321">
            <v>0</v>
          </cell>
          <cell r="AX321">
            <v>2700000</v>
          </cell>
        </row>
        <row r="322">
          <cell r="G322" t="str">
            <v>AGM-01-018-003</v>
          </cell>
          <cell r="H322" t="str">
            <v xml:space="preserve">Raemulan Lands, Inc. </v>
          </cell>
          <cell r="I322" t="str">
            <v>Agapeya</v>
          </cell>
          <cell r="J322" t="str">
            <v>AGM</v>
          </cell>
          <cell r="K322" t="str">
            <v>Eco-High</v>
          </cell>
          <cell r="L322" t="str">
            <v>West</v>
          </cell>
          <cell r="M322" t="str">
            <v>With LTS - 2026</v>
          </cell>
          <cell r="N322" t="str">
            <v>YES</v>
          </cell>
          <cell r="O322" t="str">
            <v>NO</v>
          </cell>
          <cell r="P322" t="str">
            <v>Unaffected lots</v>
          </cell>
          <cell r="Q322" t="str">
            <v>NO</v>
          </cell>
          <cell r="R322">
            <v>80</v>
          </cell>
          <cell r="S322" t="str">
            <v>PSD-04-277865</v>
          </cell>
          <cell r="T322" t="str">
            <v>TCT-060-2025019472</v>
          </cell>
          <cell r="U322" t="b">
            <v>1</v>
          </cell>
          <cell r="V322" t="str">
            <v>Done</v>
          </cell>
          <cell r="W322" t="str">
            <v>B3 2025</v>
          </cell>
          <cell r="X322" t="str">
            <v>2025 - Batch 3</v>
          </cell>
          <cell r="Y322">
            <v>18</v>
          </cell>
          <cell r="Z322">
            <v>3</v>
          </cell>
          <cell r="AA322" t="str">
            <v>H+L</v>
          </cell>
          <cell r="AB322">
            <v>80</v>
          </cell>
          <cell r="AC322">
            <v>50</v>
          </cell>
          <cell r="AD322" t="str">
            <v>Slant</v>
          </cell>
          <cell r="AE322" t="str">
            <v>Duplex</v>
          </cell>
          <cell r="AF322" t="str">
            <v>568 - Without Partition</v>
          </cell>
          <cell r="AG322" t="str">
            <v xml:space="preserve">Without Partition </v>
          </cell>
          <cell r="AH322" t="str">
            <v xml:space="preserve">Without Partition </v>
          </cell>
          <cell r="AI322" t="str">
            <v>YELLOW</v>
          </cell>
          <cell r="AJ322" t="str">
            <v>Slant / YELLOW</v>
          </cell>
          <cell r="AK322">
            <v>1200000</v>
          </cell>
          <cell r="AL322">
            <v>15000</v>
          </cell>
          <cell r="AM322">
            <v>1650000</v>
          </cell>
          <cell r="AN322">
            <v>33000</v>
          </cell>
          <cell r="AO322">
            <v>150000</v>
          </cell>
          <cell r="AP322">
            <v>3000000</v>
          </cell>
          <cell r="AQ322"/>
          <cell r="AR322">
            <v>3000000</v>
          </cell>
          <cell r="AS322">
            <v>200000</v>
          </cell>
          <cell r="AT322">
            <v>2800000</v>
          </cell>
          <cell r="AU322">
            <v>100000</v>
          </cell>
          <cell r="AV322">
            <v>2700000</v>
          </cell>
          <cell r="AW322">
            <v>0</v>
          </cell>
          <cell r="AX322">
            <v>2700000</v>
          </cell>
        </row>
        <row r="323">
          <cell r="G323" t="str">
            <v>AGM-01-018-004</v>
          </cell>
          <cell r="H323" t="str">
            <v xml:space="preserve">Raemulan Lands, Inc. </v>
          </cell>
          <cell r="I323" t="str">
            <v>Agapeya</v>
          </cell>
          <cell r="J323" t="str">
            <v>AGM</v>
          </cell>
          <cell r="K323" t="str">
            <v>Eco-High</v>
          </cell>
          <cell r="L323" t="str">
            <v>West</v>
          </cell>
          <cell r="M323" t="str">
            <v>With LTS - 2026</v>
          </cell>
          <cell r="N323" t="str">
            <v>YES</v>
          </cell>
          <cell r="O323" t="str">
            <v>NO</v>
          </cell>
          <cell r="P323" t="str">
            <v>Unaffected lots</v>
          </cell>
          <cell r="Q323" t="str">
            <v>NO</v>
          </cell>
          <cell r="R323">
            <v>70</v>
          </cell>
          <cell r="S323" t="str">
            <v>PSD-04-277865</v>
          </cell>
          <cell r="T323" t="str">
            <v>TCT-060-2025019473</v>
          </cell>
          <cell r="U323" t="b">
            <v>1</v>
          </cell>
          <cell r="V323" t="str">
            <v>Done</v>
          </cell>
          <cell r="W323" t="str">
            <v>B3 2025</v>
          </cell>
          <cell r="X323" t="str">
            <v>2025 - Batch 3</v>
          </cell>
          <cell r="Y323">
            <v>18</v>
          </cell>
          <cell r="Z323">
            <v>4</v>
          </cell>
          <cell r="AA323" t="str">
            <v>H+L</v>
          </cell>
          <cell r="AB323">
            <v>70</v>
          </cell>
          <cell r="AC323">
            <v>50</v>
          </cell>
          <cell r="AD323" t="str">
            <v>Flat</v>
          </cell>
          <cell r="AE323" t="str">
            <v>Duplex</v>
          </cell>
          <cell r="AF323" t="str">
            <v>568 - Without Partition</v>
          </cell>
          <cell r="AG323" t="str">
            <v xml:space="preserve">Without Partition </v>
          </cell>
          <cell r="AH323" t="str">
            <v xml:space="preserve">Without Partition </v>
          </cell>
          <cell r="AI323" t="str">
            <v>YELLOW</v>
          </cell>
          <cell r="AJ323" t="str">
            <v>Flat / YELLOW</v>
          </cell>
          <cell r="AK323">
            <v>1050000</v>
          </cell>
          <cell r="AL323">
            <v>15000</v>
          </cell>
          <cell r="AM323">
            <v>1650000</v>
          </cell>
          <cell r="AN323">
            <v>33000</v>
          </cell>
          <cell r="AO323">
            <v>150000</v>
          </cell>
          <cell r="AP323">
            <v>2850000</v>
          </cell>
          <cell r="AQ323"/>
          <cell r="AR323">
            <v>2850000</v>
          </cell>
          <cell r="AS323">
            <v>200000</v>
          </cell>
          <cell r="AT323">
            <v>2650000</v>
          </cell>
          <cell r="AU323">
            <v>100000</v>
          </cell>
          <cell r="AV323">
            <v>2550000</v>
          </cell>
          <cell r="AW323">
            <v>0</v>
          </cell>
          <cell r="AX323">
            <v>2550000</v>
          </cell>
        </row>
        <row r="324">
          <cell r="G324" t="str">
            <v>AGM-01-018-005</v>
          </cell>
          <cell r="H324" t="str">
            <v xml:space="preserve">Raemulan Lands, Inc. </v>
          </cell>
          <cell r="I324" t="str">
            <v>Agapeya</v>
          </cell>
          <cell r="J324" t="str">
            <v>AGM</v>
          </cell>
          <cell r="K324" t="str">
            <v>Eco-High</v>
          </cell>
          <cell r="L324" t="str">
            <v>West</v>
          </cell>
          <cell r="M324" t="str">
            <v>With LTS - 2026</v>
          </cell>
          <cell r="N324" t="str">
            <v>YES</v>
          </cell>
          <cell r="O324" t="str">
            <v>NO</v>
          </cell>
          <cell r="P324" t="str">
            <v>Unaffected lots</v>
          </cell>
          <cell r="Q324" t="str">
            <v>NO</v>
          </cell>
          <cell r="R324">
            <v>70</v>
          </cell>
          <cell r="S324" t="str">
            <v>PSD-04-277865</v>
          </cell>
          <cell r="T324" t="str">
            <v>TCT-060-2025019474</v>
          </cell>
          <cell r="U324" t="b">
            <v>1</v>
          </cell>
          <cell r="V324" t="str">
            <v>Done</v>
          </cell>
          <cell r="W324" t="str">
            <v>B3 2025</v>
          </cell>
          <cell r="X324" t="str">
            <v>2025 - Batch 3</v>
          </cell>
          <cell r="Y324">
            <v>18</v>
          </cell>
          <cell r="Z324">
            <v>5</v>
          </cell>
          <cell r="AA324" t="str">
            <v>H+L</v>
          </cell>
          <cell r="AB324">
            <v>70</v>
          </cell>
          <cell r="AC324">
            <v>50</v>
          </cell>
          <cell r="AD324" t="str">
            <v>Flat</v>
          </cell>
          <cell r="AE324" t="str">
            <v>Duplex</v>
          </cell>
          <cell r="AF324" t="str">
            <v>568 - Without Partition</v>
          </cell>
          <cell r="AG324" t="str">
            <v xml:space="preserve">Without Partition </v>
          </cell>
          <cell r="AH324" t="str">
            <v xml:space="preserve">Without Partition </v>
          </cell>
          <cell r="AI324" t="str">
            <v>PURPLE</v>
          </cell>
          <cell r="AJ324" t="str">
            <v>Flat / PURPLE</v>
          </cell>
          <cell r="AK324">
            <v>1050000</v>
          </cell>
          <cell r="AL324">
            <v>15000</v>
          </cell>
          <cell r="AM324">
            <v>1650000</v>
          </cell>
          <cell r="AN324">
            <v>33000</v>
          </cell>
          <cell r="AO324">
            <v>150000</v>
          </cell>
          <cell r="AP324">
            <v>2850000</v>
          </cell>
          <cell r="AQ324"/>
          <cell r="AR324">
            <v>2850000</v>
          </cell>
          <cell r="AS324">
            <v>200000</v>
          </cell>
          <cell r="AT324">
            <v>2650000</v>
          </cell>
          <cell r="AU324">
            <v>100000</v>
          </cell>
          <cell r="AV324">
            <v>2550000</v>
          </cell>
          <cell r="AW324">
            <v>0</v>
          </cell>
          <cell r="AX324">
            <v>2550000</v>
          </cell>
        </row>
        <row r="325">
          <cell r="G325" t="str">
            <v>AGM-01-018-006</v>
          </cell>
          <cell r="H325" t="str">
            <v xml:space="preserve">Raemulan Lands, Inc. </v>
          </cell>
          <cell r="I325" t="str">
            <v>Agapeya</v>
          </cell>
          <cell r="J325" t="str">
            <v>AGM</v>
          </cell>
          <cell r="K325" t="str">
            <v>Eco-High</v>
          </cell>
          <cell r="L325" t="str">
            <v>West</v>
          </cell>
          <cell r="M325" t="str">
            <v>With LTS - 2026</v>
          </cell>
          <cell r="N325" t="str">
            <v>YES</v>
          </cell>
          <cell r="O325" t="str">
            <v>NO</v>
          </cell>
          <cell r="P325" t="str">
            <v>Unaffected lots</v>
          </cell>
          <cell r="Q325" t="str">
            <v>NO</v>
          </cell>
          <cell r="R325">
            <v>80</v>
          </cell>
          <cell r="S325" t="str">
            <v>PSD-04-277865</v>
          </cell>
          <cell r="T325" t="str">
            <v>TCT-060-2025019475</v>
          </cell>
          <cell r="U325" t="b">
            <v>1</v>
          </cell>
          <cell r="V325" t="str">
            <v>Done</v>
          </cell>
          <cell r="W325" t="str">
            <v>B3 2025</v>
          </cell>
          <cell r="X325" t="str">
            <v>2025 - Batch 3</v>
          </cell>
          <cell r="Y325">
            <v>18</v>
          </cell>
          <cell r="Z325">
            <v>6</v>
          </cell>
          <cell r="AA325" t="str">
            <v>H+L</v>
          </cell>
          <cell r="AB325">
            <v>80</v>
          </cell>
          <cell r="AC325">
            <v>50</v>
          </cell>
          <cell r="AD325" t="str">
            <v>Slant</v>
          </cell>
          <cell r="AE325" t="str">
            <v>Duplex</v>
          </cell>
          <cell r="AF325" t="str">
            <v>568 - Without Partition</v>
          </cell>
          <cell r="AG325" t="str">
            <v xml:space="preserve">Without Partition </v>
          </cell>
          <cell r="AH325" t="str">
            <v xml:space="preserve">Without Partition </v>
          </cell>
          <cell r="AI325" t="str">
            <v>PURPLE</v>
          </cell>
          <cell r="AJ325" t="str">
            <v>Slant / PURPLE</v>
          </cell>
          <cell r="AK325">
            <v>1200000</v>
          </cell>
          <cell r="AL325">
            <v>15000</v>
          </cell>
          <cell r="AM325">
            <v>1650000</v>
          </cell>
          <cell r="AN325">
            <v>33000</v>
          </cell>
          <cell r="AO325">
            <v>150000</v>
          </cell>
          <cell r="AP325">
            <v>3000000</v>
          </cell>
          <cell r="AQ325"/>
          <cell r="AR325">
            <v>3000000</v>
          </cell>
          <cell r="AS325">
            <v>200000</v>
          </cell>
          <cell r="AT325">
            <v>2800000</v>
          </cell>
          <cell r="AU325">
            <v>100000</v>
          </cell>
          <cell r="AV325">
            <v>2700000</v>
          </cell>
          <cell r="AW325">
            <v>0</v>
          </cell>
          <cell r="AX325">
            <v>2700000</v>
          </cell>
        </row>
        <row r="326">
          <cell r="G326" t="str">
            <v>AGM-01-018-007</v>
          </cell>
          <cell r="H326" t="str">
            <v xml:space="preserve">Raemulan Lands, Inc. </v>
          </cell>
          <cell r="I326" t="str">
            <v>Agapeya</v>
          </cell>
          <cell r="J326" t="str">
            <v>AGM</v>
          </cell>
          <cell r="K326" t="str">
            <v>Eco-High</v>
          </cell>
          <cell r="L326" t="str">
            <v>West</v>
          </cell>
          <cell r="M326" t="str">
            <v>With LTS - 2026</v>
          </cell>
          <cell r="N326" t="str">
            <v>YES</v>
          </cell>
          <cell r="O326" t="str">
            <v>NO</v>
          </cell>
          <cell r="P326" t="str">
            <v>Unaffected lots</v>
          </cell>
          <cell r="Q326" t="str">
            <v>NO</v>
          </cell>
          <cell r="R326">
            <v>70</v>
          </cell>
          <cell r="S326" t="str">
            <v>PSD-04-277865</v>
          </cell>
          <cell r="T326" t="str">
            <v>TCT-060-2025019476</v>
          </cell>
          <cell r="U326" t="b">
            <v>1</v>
          </cell>
          <cell r="V326" t="str">
            <v>Done</v>
          </cell>
          <cell r="W326" t="str">
            <v>B4 2025</v>
          </cell>
          <cell r="X326" t="str">
            <v>2025 - Batch 3</v>
          </cell>
          <cell r="Y326">
            <v>18</v>
          </cell>
          <cell r="Z326">
            <v>7</v>
          </cell>
          <cell r="AA326" t="str">
            <v>H+L</v>
          </cell>
          <cell r="AB326">
            <v>70</v>
          </cell>
          <cell r="AC326">
            <v>50</v>
          </cell>
          <cell r="AD326" t="str">
            <v>Flat</v>
          </cell>
          <cell r="AE326" t="str">
            <v>Duplex</v>
          </cell>
          <cell r="AF326" t="str">
            <v>568 - Without Partition</v>
          </cell>
          <cell r="AG326" t="str">
            <v xml:space="preserve">Without Partition </v>
          </cell>
          <cell r="AH326" t="str">
            <v xml:space="preserve">Without Partition </v>
          </cell>
          <cell r="AI326" t="str">
            <v>PURPLE</v>
          </cell>
          <cell r="AJ326" t="str">
            <v>Flat / PURPLE</v>
          </cell>
          <cell r="AK326">
            <v>1050000</v>
          </cell>
          <cell r="AL326">
            <v>15000</v>
          </cell>
          <cell r="AM326">
            <v>1650000</v>
          </cell>
          <cell r="AN326">
            <v>33000</v>
          </cell>
          <cell r="AO326">
            <v>150000</v>
          </cell>
          <cell r="AP326">
            <v>2850000</v>
          </cell>
          <cell r="AQ326"/>
          <cell r="AR326">
            <v>2850000</v>
          </cell>
          <cell r="AS326">
            <v>200000</v>
          </cell>
          <cell r="AT326">
            <v>2650000</v>
          </cell>
          <cell r="AU326">
            <v>100000</v>
          </cell>
          <cell r="AV326">
            <v>2550000</v>
          </cell>
          <cell r="AW326">
            <v>0</v>
          </cell>
          <cell r="AX326">
            <v>2550000</v>
          </cell>
        </row>
        <row r="327">
          <cell r="G327" t="str">
            <v>AGM-01-018-008</v>
          </cell>
          <cell r="H327" t="str">
            <v xml:space="preserve">Raemulan Lands, Inc. </v>
          </cell>
          <cell r="I327" t="str">
            <v>Agapeya</v>
          </cell>
          <cell r="J327" t="str">
            <v>AGM</v>
          </cell>
          <cell r="K327" t="str">
            <v>Eco-High</v>
          </cell>
          <cell r="L327" t="str">
            <v>West</v>
          </cell>
          <cell r="M327" t="str">
            <v>With LTS - 2026</v>
          </cell>
          <cell r="N327" t="str">
            <v>YES</v>
          </cell>
          <cell r="O327" t="str">
            <v>NO</v>
          </cell>
          <cell r="P327" t="str">
            <v>Unaffected lots</v>
          </cell>
          <cell r="Q327" t="str">
            <v>NO</v>
          </cell>
          <cell r="R327">
            <v>70</v>
          </cell>
          <cell r="S327" t="str">
            <v>PSD-04-277865</v>
          </cell>
          <cell r="T327" t="str">
            <v>TCT-060-2025019477</v>
          </cell>
          <cell r="U327" t="b">
            <v>1</v>
          </cell>
          <cell r="V327" t="str">
            <v>Done</v>
          </cell>
          <cell r="W327" t="str">
            <v>B4 2025</v>
          </cell>
          <cell r="X327" t="str">
            <v>2025 - Batch 3</v>
          </cell>
          <cell r="Y327">
            <v>18</v>
          </cell>
          <cell r="Z327">
            <v>8</v>
          </cell>
          <cell r="AA327" t="str">
            <v>H+L</v>
          </cell>
          <cell r="AB327">
            <v>70</v>
          </cell>
          <cell r="AC327">
            <v>50</v>
          </cell>
          <cell r="AD327" t="str">
            <v>Slant</v>
          </cell>
          <cell r="AE327" t="str">
            <v>Duplex</v>
          </cell>
          <cell r="AF327" t="str">
            <v>568 - Without Partition</v>
          </cell>
          <cell r="AG327" t="str">
            <v xml:space="preserve">Without Partition </v>
          </cell>
          <cell r="AH327" t="str">
            <v xml:space="preserve">Without Partition </v>
          </cell>
          <cell r="AI327" t="str">
            <v>PURPLE</v>
          </cell>
          <cell r="AJ327" t="str">
            <v>Slant / PURPLE</v>
          </cell>
          <cell r="AK327">
            <v>1050000</v>
          </cell>
          <cell r="AL327">
            <v>15000</v>
          </cell>
          <cell r="AM327">
            <v>1650000</v>
          </cell>
          <cell r="AN327">
            <v>33000</v>
          </cell>
          <cell r="AO327">
            <v>150000</v>
          </cell>
          <cell r="AP327">
            <v>2850000</v>
          </cell>
          <cell r="AQ327"/>
          <cell r="AR327">
            <v>2850000</v>
          </cell>
          <cell r="AS327">
            <v>200000</v>
          </cell>
          <cell r="AT327">
            <v>2650000</v>
          </cell>
          <cell r="AU327">
            <v>100000</v>
          </cell>
          <cell r="AV327">
            <v>2550000</v>
          </cell>
          <cell r="AW327">
            <v>0</v>
          </cell>
          <cell r="AX327">
            <v>2550000</v>
          </cell>
        </row>
        <row r="328">
          <cell r="G328" t="str">
            <v>AGM-01-018-009</v>
          </cell>
          <cell r="H328" t="str">
            <v xml:space="preserve">Raemulan Lands, Inc. </v>
          </cell>
          <cell r="I328" t="str">
            <v>Agapeya</v>
          </cell>
          <cell r="J328" t="str">
            <v>AGM</v>
          </cell>
          <cell r="K328" t="str">
            <v>Eco-High</v>
          </cell>
          <cell r="L328" t="str">
            <v>West</v>
          </cell>
          <cell r="M328" t="str">
            <v>With LTS - 2026</v>
          </cell>
          <cell r="N328" t="str">
            <v>YES</v>
          </cell>
          <cell r="O328" t="str">
            <v>NO</v>
          </cell>
          <cell r="P328" t="str">
            <v>Unaffected lots</v>
          </cell>
          <cell r="Q328" t="str">
            <v>NO</v>
          </cell>
          <cell r="R328">
            <v>70</v>
          </cell>
          <cell r="S328" t="str">
            <v>PSD-04-277865</v>
          </cell>
          <cell r="T328" t="str">
            <v>TCT-060-2025019478</v>
          </cell>
          <cell r="U328" t="b">
            <v>1</v>
          </cell>
          <cell r="V328" t="str">
            <v>Done</v>
          </cell>
          <cell r="W328" t="str">
            <v>B4 2025</v>
          </cell>
          <cell r="X328" t="str">
            <v>2025 - Batch 3</v>
          </cell>
          <cell r="Y328">
            <v>18</v>
          </cell>
          <cell r="Z328">
            <v>9</v>
          </cell>
          <cell r="AA328" t="str">
            <v>H+L</v>
          </cell>
          <cell r="AB328">
            <v>70</v>
          </cell>
          <cell r="AC328">
            <v>50</v>
          </cell>
          <cell r="AD328" t="str">
            <v>Slant</v>
          </cell>
          <cell r="AE328" t="str">
            <v>Duplex</v>
          </cell>
          <cell r="AF328" t="str">
            <v>568 - Without Partition</v>
          </cell>
          <cell r="AG328" t="str">
            <v xml:space="preserve">Without Partition </v>
          </cell>
          <cell r="AH328" t="str">
            <v xml:space="preserve">Without Partition </v>
          </cell>
          <cell r="AI328" t="str">
            <v>PINK</v>
          </cell>
          <cell r="AJ328" t="str">
            <v>Slant / PINK</v>
          </cell>
          <cell r="AK328">
            <v>1050000</v>
          </cell>
          <cell r="AL328">
            <v>15000</v>
          </cell>
          <cell r="AM328">
            <v>1650000</v>
          </cell>
          <cell r="AN328">
            <v>33000</v>
          </cell>
          <cell r="AO328">
            <v>150000</v>
          </cell>
          <cell r="AP328">
            <v>2850000</v>
          </cell>
          <cell r="AQ328"/>
          <cell r="AR328">
            <v>2850000</v>
          </cell>
          <cell r="AS328">
            <v>200000</v>
          </cell>
          <cell r="AT328">
            <v>2650000</v>
          </cell>
          <cell r="AU328">
            <v>100000</v>
          </cell>
          <cell r="AV328">
            <v>2550000</v>
          </cell>
          <cell r="AW328">
            <v>0</v>
          </cell>
          <cell r="AX328">
            <v>2550000</v>
          </cell>
        </row>
        <row r="329">
          <cell r="G329" t="str">
            <v>AGM-01-018-010</v>
          </cell>
          <cell r="H329" t="str">
            <v xml:space="preserve">Raemulan Lands, Inc. </v>
          </cell>
          <cell r="I329" t="str">
            <v>Agapeya</v>
          </cell>
          <cell r="J329" t="str">
            <v>AGM</v>
          </cell>
          <cell r="K329" t="str">
            <v>Eco-High</v>
          </cell>
          <cell r="L329" t="str">
            <v>West</v>
          </cell>
          <cell r="M329" t="str">
            <v>With LTS - 2026</v>
          </cell>
          <cell r="N329" t="str">
            <v>YES</v>
          </cell>
          <cell r="O329" t="str">
            <v>NO</v>
          </cell>
          <cell r="P329" t="str">
            <v>Unaffected lots</v>
          </cell>
          <cell r="Q329" t="str">
            <v>NO</v>
          </cell>
          <cell r="R329">
            <v>70</v>
          </cell>
          <cell r="S329" t="str">
            <v>PSD-04-277865</v>
          </cell>
          <cell r="T329" t="str">
            <v>TCT-060-2025019479</v>
          </cell>
          <cell r="U329" t="b">
            <v>1</v>
          </cell>
          <cell r="V329" t="str">
            <v>Done</v>
          </cell>
          <cell r="W329" t="str">
            <v>B4 2025</v>
          </cell>
          <cell r="X329" t="str">
            <v>2025 - Batch 3</v>
          </cell>
          <cell r="Y329">
            <v>18</v>
          </cell>
          <cell r="Z329">
            <v>10</v>
          </cell>
          <cell r="AA329" t="str">
            <v>H+L</v>
          </cell>
          <cell r="AB329">
            <v>70</v>
          </cell>
          <cell r="AC329">
            <v>50</v>
          </cell>
          <cell r="AD329" t="str">
            <v>Flat</v>
          </cell>
          <cell r="AE329" t="str">
            <v>Duplex</v>
          </cell>
          <cell r="AF329" t="str">
            <v>568 - Without Partition</v>
          </cell>
          <cell r="AG329" t="str">
            <v xml:space="preserve">Without Partition </v>
          </cell>
          <cell r="AH329" t="str">
            <v xml:space="preserve">Without Partition </v>
          </cell>
          <cell r="AI329" t="str">
            <v>PINK</v>
          </cell>
          <cell r="AJ329" t="str">
            <v>Flat / PINK</v>
          </cell>
          <cell r="AK329">
            <v>1050000</v>
          </cell>
          <cell r="AL329">
            <v>15000</v>
          </cell>
          <cell r="AM329">
            <v>1650000</v>
          </cell>
          <cell r="AN329">
            <v>33000</v>
          </cell>
          <cell r="AO329">
            <v>150000</v>
          </cell>
          <cell r="AP329">
            <v>2850000</v>
          </cell>
          <cell r="AQ329"/>
          <cell r="AR329">
            <v>2850000</v>
          </cell>
          <cell r="AS329">
            <v>200000</v>
          </cell>
          <cell r="AT329">
            <v>2650000</v>
          </cell>
          <cell r="AU329">
            <v>100000</v>
          </cell>
          <cell r="AV329">
            <v>2550000</v>
          </cell>
          <cell r="AW329">
            <v>0</v>
          </cell>
          <cell r="AX329">
            <v>2550000</v>
          </cell>
        </row>
        <row r="330">
          <cell r="G330" t="str">
            <v>AGM-01-018-011</v>
          </cell>
          <cell r="H330" t="str">
            <v xml:space="preserve">Raemulan Lands, Inc. </v>
          </cell>
          <cell r="I330" t="str">
            <v>Agapeya</v>
          </cell>
          <cell r="J330" t="str">
            <v>AGM</v>
          </cell>
          <cell r="K330" t="str">
            <v>Eco-High</v>
          </cell>
          <cell r="L330" t="str">
            <v>West</v>
          </cell>
          <cell r="M330" t="str">
            <v>With LTS - 2026</v>
          </cell>
          <cell r="N330" t="str">
            <v>YES</v>
          </cell>
          <cell r="O330" t="str">
            <v>NO</v>
          </cell>
          <cell r="P330" t="str">
            <v>Unaffected lots</v>
          </cell>
          <cell r="Q330" t="str">
            <v>NO</v>
          </cell>
          <cell r="R330">
            <v>70</v>
          </cell>
          <cell r="S330" t="str">
            <v>PSD-04-277865</v>
          </cell>
          <cell r="T330" t="str">
            <v>TCT-060-2025019480</v>
          </cell>
          <cell r="U330" t="b">
            <v>1</v>
          </cell>
          <cell r="V330" t="str">
            <v>Done</v>
          </cell>
          <cell r="W330" t="str">
            <v>B4 2025</v>
          </cell>
          <cell r="X330" t="str">
            <v>2025 - Batch 3</v>
          </cell>
          <cell r="Y330">
            <v>18</v>
          </cell>
          <cell r="Z330">
            <v>11</v>
          </cell>
          <cell r="AA330" t="str">
            <v>H+L</v>
          </cell>
          <cell r="AB330">
            <v>70</v>
          </cell>
          <cell r="AC330">
            <v>50</v>
          </cell>
          <cell r="AD330" t="str">
            <v>Flat</v>
          </cell>
          <cell r="AE330" t="str">
            <v>Duplex</v>
          </cell>
          <cell r="AF330" t="str">
            <v>568 - Without Partition</v>
          </cell>
          <cell r="AG330" t="str">
            <v xml:space="preserve">Without Partition </v>
          </cell>
          <cell r="AH330" t="str">
            <v xml:space="preserve">Without Partition </v>
          </cell>
          <cell r="AI330" t="str">
            <v>PINK</v>
          </cell>
          <cell r="AJ330" t="str">
            <v>Flat / PINK</v>
          </cell>
          <cell r="AK330">
            <v>1050000</v>
          </cell>
          <cell r="AL330">
            <v>15000</v>
          </cell>
          <cell r="AM330">
            <v>1650000</v>
          </cell>
          <cell r="AN330">
            <v>33000</v>
          </cell>
          <cell r="AO330">
            <v>150000</v>
          </cell>
          <cell r="AP330">
            <v>2850000</v>
          </cell>
          <cell r="AQ330"/>
          <cell r="AR330">
            <v>2850000</v>
          </cell>
          <cell r="AS330">
            <v>200000</v>
          </cell>
          <cell r="AT330">
            <v>2650000</v>
          </cell>
          <cell r="AU330">
            <v>100000</v>
          </cell>
          <cell r="AV330">
            <v>2550000</v>
          </cell>
          <cell r="AW330">
            <v>0</v>
          </cell>
          <cell r="AX330">
            <v>2550000</v>
          </cell>
        </row>
        <row r="331">
          <cell r="G331" t="str">
            <v>AGM-01-018-012</v>
          </cell>
          <cell r="H331" t="str">
            <v xml:space="preserve">Raemulan Lands, Inc. </v>
          </cell>
          <cell r="I331" t="str">
            <v>Agapeya</v>
          </cell>
          <cell r="J331" t="str">
            <v>AGM</v>
          </cell>
          <cell r="K331" t="str">
            <v>Eco-High</v>
          </cell>
          <cell r="L331" t="str">
            <v>West</v>
          </cell>
          <cell r="M331" t="str">
            <v>With LTS - 2026</v>
          </cell>
          <cell r="N331" t="str">
            <v>YES</v>
          </cell>
          <cell r="O331" t="str">
            <v>NO</v>
          </cell>
          <cell r="P331" t="str">
            <v>Unaffected lots</v>
          </cell>
          <cell r="Q331" t="str">
            <v>NO</v>
          </cell>
          <cell r="R331">
            <v>70</v>
          </cell>
          <cell r="S331" t="str">
            <v>PSD-04-277865</v>
          </cell>
          <cell r="T331" t="str">
            <v>TCT-060-2025019481</v>
          </cell>
          <cell r="U331" t="b">
            <v>1</v>
          </cell>
          <cell r="V331" t="str">
            <v>Done</v>
          </cell>
          <cell r="W331" t="str">
            <v>B4 2025</v>
          </cell>
          <cell r="X331" t="str">
            <v>2025 - Batch 3</v>
          </cell>
          <cell r="Y331">
            <v>18</v>
          </cell>
          <cell r="Z331">
            <v>12</v>
          </cell>
          <cell r="AA331" t="str">
            <v>H+L</v>
          </cell>
          <cell r="AB331">
            <v>70</v>
          </cell>
          <cell r="AC331">
            <v>50</v>
          </cell>
          <cell r="AD331" t="str">
            <v>Slant</v>
          </cell>
          <cell r="AE331" t="str">
            <v>Duplex</v>
          </cell>
          <cell r="AF331" t="str">
            <v>568 - Without Partition</v>
          </cell>
          <cell r="AG331" t="str">
            <v xml:space="preserve">Without Partition </v>
          </cell>
          <cell r="AH331" t="str">
            <v xml:space="preserve">Without Partition </v>
          </cell>
          <cell r="AI331" t="str">
            <v>PINK</v>
          </cell>
          <cell r="AJ331" t="str">
            <v>Slant / PINK</v>
          </cell>
          <cell r="AK331">
            <v>1050000</v>
          </cell>
          <cell r="AL331">
            <v>15000</v>
          </cell>
          <cell r="AM331">
            <v>1650000</v>
          </cell>
          <cell r="AN331">
            <v>33000</v>
          </cell>
          <cell r="AO331">
            <v>150000</v>
          </cell>
          <cell r="AP331">
            <v>2850000</v>
          </cell>
          <cell r="AQ331"/>
          <cell r="AR331">
            <v>2850000</v>
          </cell>
          <cell r="AS331">
            <v>200000</v>
          </cell>
          <cell r="AT331">
            <v>2650000</v>
          </cell>
          <cell r="AU331">
            <v>100000</v>
          </cell>
          <cell r="AV331">
            <v>2550000</v>
          </cell>
          <cell r="AW331">
            <v>0</v>
          </cell>
          <cell r="AX331">
            <v>2550000</v>
          </cell>
        </row>
        <row r="332">
          <cell r="G332" t="str">
            <v>AGM-01-018-013</v>
          </cell>
          <cell r="H332" t="str">
            <v xml:space="preserve">Raemulan Lands, Inc. </v>
          </cell>
          <cell r="I332" t="str">
            <v>Agapeya</v>
          </cell>
          <cell r="J332" t="str">
            <v>AGM</v>
          </cell>
          <cell r="K332" t="str">
            <v>Eco-High</v>
          </cell>
          <cell r="L332" t="str">
            <v>West</v>
          </cell>
          <cell r="M332" t="str">
            <v>With LTS - 2026</v>
          </cell>
          <cell r="N332" t="str">
            <v>YES</v>
          </cell>
          <cell r="O332" t="str">
            <v>NO</v>
          </cell>
          <cell r="P332" t="str">
            <v>Unaffected lots</v>
          </cell>
          <cell r="Q332" t="str">
            <v>NO</v>
          </cell>
          <cell r="R332">
            <v>104</v>
          </cell>
          <cell r="S332" t="str">
            <v>PSD-04-277865</v>
          </cell>
          <cell r="T332" t="str">
            <v>TCT-060-2025019482</v>
          </cell>
          <cell r="U332" t="b">
            <v>1</v>
          </cell>
          <cell r="V332" t="str">
            <v>Done</v>
          </cell>
          <cell r="W332" t="str">
            <v>B3 - Lot Only</v>
          </cell>
          <cell r="X332" t="str">
            <v>Lot Only - N/A</v>
          </cell>
          <cell r="Y332">
            <v>18</v>
          </cell>
          <cell r="Z332">
            <v>13</v>
          </cell>
          <cell r="AA332" t="str">
            <v>LO</v>
          </cell>
          <cell r="AB332">
            <v>104</v>
          </cell>
          <cell r="AC332" t="str">
            <v>N/A</v>
          </cell>
          <cell r="AD332" t="str">
            <v>-</v>
          </cell>
          <cell r="AE332" t="str">
            <v>Lot Only</v>
          </cell>
          <cell r="AF332" t="str">
            <v>N/A</v>
          </cell>
          <cell r="AG332" t="str">
            <v>N/A - LOT ONLY</v>
          </cell>
          <cell r="AH332" t="str">
            <v>N/A - LOT ONLY</v>
          </cell>
          <cell r="AI332" t="str">
            <v>N/A - LOT ONLY</v>
          </cell>
          <cell r="AJ332" t="str">
            <v>- / N/A - LOT ONLY</v>
          </cell>
          <cell r="AK332">
            <v>1560000</v>
          </cell>
          <cell r="AL332">
            <v>15000</v>
          </cell>
          <cell r="AM332">
            <v>0</v>
          </cell>
          <cell r="AN332">
            <v>0</v>
          </cell>
          <cell r="AO332">
            <v>100000</v>
          </cell>
          <cell r="AP332">
            <v>1660000</v>
          </cell>
          <cell r="AQ332"/>
          <cell r="AR332">
            <v>1660000</v>
          </cell>
          <cell r="AS332">
            <v>0</v>
          </cell>
          <cell r="AT332">
            <v>1660000</v>
          </cell>
          <cell r="AU332">
            <v>100000</v>
          </cell>
          <cell r="AV332">
            <v>1560000</v>
          </cell>
          <cell r="AW332">
            <v>0</v>
          </cell>
          <cell r="AX332">
            <v>1560000</v>
          </cell>
        </row>
        <row r="333">
          <cell r="G333" t="str">
            <v>AGM-01-019-001</v>
          </cell>
          <cell r="H333" t="str">
            <v xml:space="preserve">Raemulan Lands, Inc. </v>
          </cell>
          <cell r="I333" t="str">
            <v>Agapeya</v>
          </cell>
          <cell r="J333" t="str">
            <v>AGM</v>
          </cell>
          <cell r="K333" t="str">
            <v>Eco-High</v>
          </cell>
          <cell r="L333" t="str">
            <v>West</v>
          </cell>
          <cell r="M333" t="str">
            <v>With LTS - 2026</v>
          </cell>
          <cell r="N333" t="str">
            <v>YES</v>
          </cell>
          <cell r="O333" t="str">
            <v>NO</v>
          </cell>
          <cell r="P333" t="str">
            <v>Unaffected lots</v>
          </cell>
          <cell r="Q333" t="str">
            <v>NO</v>
          </cell>
          <cell r="R333">
            <v>70</v>
          </cell>
          <cell r="S333" t="str">
            <v>PSD-04-277865</v>
          </cell>
          <cell r="T333" t="str">
            <v>TCT-060-2025019483</v>
          </cell>
          <cell r="U333" t="b">
            <v>1</v>
          </cell>
          <cell r="V333" t="str">
            <v>Done</v>
          </cell>
          <cell r="W333" t="str">
            <v>B3 2025</v>
          </cell>
          <cell r="X333" t="str">
            <v>2025 - Batch 5</v>
          </cell>
          <cell r="Y333">
            <v>19</v>
          </cell>
          <cell r="Z333">
            <v>1</v>
          </cell>
          <cell r="AA333" t="str">
            <v>H+L</v>
          </cell>
          <cell r="AB333">
            <v>70</v>
          </cell>
          <cell r="AC333">
            <v>50</v>
          </cell>
          <cell r="AD333" t="str">
            <v>Slant</v>
          </cell>
          <cell r="AE333" t="str">
            <v>Duplex</v>
          </cell>
          <cell r="AF333" t="str">
            <v>568 - Without Partition</v>
          </cell>
          <cell r="AG333" t="str">
            <v xml:space="preserve">Without Partition </v>
          </cell>
          <cell r="AH333" t="str">
            <v xml:space="preserve">Without Partition </v>
          </cell>
          <cell r="AI333" t="str">
            <v>PINK</v>
          </cell>
          <cell r="AJ333" t="str">
            <v>Slant / PINK</v>
          </cell>
          <cell r="AK333">
            <v>1050000</v>
          </cell>
          <cell r="AL333">
            <v>15000</v>
          </cell>
          <cell r="AM333">
            <v>1650000</v>
          </cell>
          <cell r="AN333">
            <v>33000</v>
          </cell>
          <cell r="AO333">
            <v>150000</v>
          </cell>
          <cell r="AP333">
            <v>2850000</v>
          </cell>
          <cell r="AQ333"/>
          <cell r="AR333">
            <v>2850000</v>
          </cell>
          <cell r="AS333">
            <v>200000</v>
          </cell>
          <cell r="AT333">
            <v>2650000</v>
          </cell>
          <cell r="AU333">
            <v>100000</v>
          </cell>
          <cell r="AV333">
            <v>2550000</v>
          </cell>
          <cell r="AW333">
            <v>0</v>
          </cell>
          <cell r="AX333">
            <v>2550000</v>
          </cell>
        </row>
        <row r="334">
          <cell r="G334" t="str">
            <v>AGM-01-019-002</v>
          </cell>
          <cell r="H334" t="str">
            <v xml:space="preserve">Raemulan Lands, Inc. </v>
          </cell>
          <cell r="I334" t="str">
            <v>Agapeya</v>
          </cell>
          <cell r="J334" t="str">
            <v>AGM</v>
          </cell>
          <cell r="K334" t="str">
            <v>Eco-High</v>
          </cell>
          <cell r="L334" t="str">
            <v>West</v>
          </cell>
          <cell r="M334" t="str">
            <v>With LTS - 2026</v>
          </cell>
          <cell r="N334" t="str">
            <v>YES</v>
          </cell>
          <cell r="O334" t="str">
            <v>NO</v>
          </cell>
          <cell r="P334" t="str">
            <v>Unaffected lots</v>
          </cell>
          <cell r="Q334" t="str">
            <v>NO</v>
          </cell>
          <cell r="R334">
            <v>70</v>
          </cell>
          <cell r="S334" t="str">
            <v>PSD-04-277865</v>
          </cell>
          <cell r="T334" t="str">
            <v>TCT-060-2025019484</v>
          </cell>
          <cell r="U334" t="b">
            <v>1</v>
          </cell>
          <cell r="V334" t="str">
            <v>Done</v>
          </cell>
          <cell r="W334" t="str">
            <v>B4 2025</v>
          </cell>
          <cell r="X334" t="str">
            <v>2025 - Batch 5</v>
          </cell>
          <cell r="Y334">
            <v>19</v>
          </cell>
          <cell r="Z334">
            <v>2</v>
          </cell>
          <cell r="AA334" t="str">
            <v>H+L</v>
          </cell>
          <cell r="AB334">
            <v>70</v>
          </cell>
          <cell r="AC334">
            <v>50</v>
          </cell>
          <cell r="AD334" t="str">
            <v>Flat</v>
          </cell>
          <cell r="AE334" t="str">
            <v>Duplex</v>
          </cell>
          <cell r="AF334" t="str">
            <v>568 - Without Partition</v>
          </cell>
          <cell r="AG334" t="str">
            <v xml:space="preserve">Without Partition </v>
          </cell>
          <cell r="AH334" t="str">
            <v xml:space="preserve">Without Partition </v>
          </cell>
          <cell r="AI334" t="str">
            <v>PINK</v>
          </cell>
          <cell r="AJ334" t="str">
            <v>Flat / PINK</v>
          </cell>
          <cell r="AK334">
            <v>1050000</v>
          </cell>
          <cell r="AL334">
            <v>15000</v>
          </cell>
          <cell r="AM334">
            <v>1650000</v>
          </cell>
          <cell r="AN334">
            <v>33000</v>
          </cell>
          <cell r="AO334">
            <v>150000</v>
          </cell>
          <cell r="AP334">
            <v>2850000</v>
          </cell>
          <cell r="AQ334"/>
          <cell r="AR334">
            <v>2850000</v>
          </cell>
          <cell r="AS334">
            <v>200000</v>
          </cell>
          <cell r="AT334">
            <v>2650000</v>
          </cell>
          <cell r="AU334">
            <v>100000</v>
          </cell>
          <cell r="AV334">
            <v>2550000</v>
          </cell>
          <cell r="AW334">
            <v>0</v>
          </cell>
          <cell r="AX334">
            <v>2550000</v>
          </cell>
        </row>
        <row r="335">
          <cell r="G335" t="str">
            <v>AGM-01-019-003</v>
          </cell>
          <cell r="H335" t="str">
            <v xml:space="preserve">Raemulan Lands, Inc. </v>
          </cell>
          <cell r="I335" t="str">
            <v>Agapeya</v>
          </cell>
          <cell r="J335" t="str">
            <v>AGM</v>
          </cell>
          <cell r="K335" t="str">
            <v>Eco-High</v>
          </cell>
          <cell r="L335" t="str">
            <v>West</v>
          </cell>
          <cell r="M335" t="str">
            <v>With LTS - 2026</v>
          </cell>
          <cell r="N335" t="str">
            <v>YES</v>
          </cell>
          <cell r="O335" t="str">
            <v>NO</v>
          </cell>
          <cell r="P335" t="str">
            <v>Unaffected lots</v>
          </cell>
          <cell r="Q335" t="str">
            <v>NO</v>
          </cell>
          <cell r="R335">
            <v>70</v>
          </cell>
          <cell r="S335" t="str">
            <v>PSD-04-277865</v>
          </cell>
          <cell r="T335" t="str">
            <v>TCT-060-2025019485</v>
          </cell>
          <cell r="U335" t="b">
            <v>1</v>
          </cell>
          <cell r="V335" t="str">
            <v>Done</v>
          </cell>
          <cell r="W335" t="str">
            <v>B4 2025</v>
          </cell>
          <cell r="X335" t="str">
            <v>2025 - Batch 5</v>
          </cell>
          <cell r="Y335">
            <v>19</v>
          </cell>
          <cell r="Z335">
            <v>3</v>
          </cell>
          <cell r="AA335" t="str">
            <v>H+L</v>
          </cell>
          <cell r="AB335">
            <v>70</v>
          </cell>
          <cell r="AC335">
            <v>50</v>
          </cell>
          <cell r="AD335" t="str">
            <v>Flat</v>
          </cell>
          <cell r="AE335" t="str">
            <v>Duplex</v>
          </cell>
          <cell r="AF335" t="str">
            <v>568 - Without Partition</v>
          </cell>
          <cell r="AG335" t="str">
            <v xml:space="preserve">Without Partition </v>
          </cell>
          <cell r="AH335" t="str">
            <v xml:space="preserve">Without Partition </v>
          </cell>
          <cell r="AI335" t="str">
            <v>PINK</v>
          </cell>
          <cell r="AJ335" t="str">
            <v>Flat / PINK</v>
          </cell>
          <cell r="AK335">
            <v>1050000</v>
          </cell>
          <cell r="AL335">
            <v>15000</v>
          </cell>
          <cell r="AM335">
            <v>1650000</v>
          </cell>
          <cell r="AN335">
            <v>33000</v>
          </cell>
          <cell r="AO335">
            <v>150000</v>
          </cell>
          <cell r="AP335">
            <v>2850000</v>
          </cell>
          <cell r="AQ335"/>
          <cell r="AR335">
            <v>2850000</v>
          </cell>
          <cell r="AS335">
            <v>200000</v>
          </cell>
          <cell r="AT335">
            <v>2650000</v>
          </cell>
          <cell r="AU335">
            <v>100000</v>
          </cell>
          <cell r="AV335">
            <v>2550000</v>
          </cell>
          <cell r="AW335">
            <v>0</v>
          </cell>
          <cell r="AX335">
            <v>2550000</v>
          </cell>
        </row>
        <row r="336">
          <cell r="G336" t="str">
            <v>AGM-01-019-004</v>
          </cell>
          <cell r="H336" t="str">
            <v xml:space="preserve">Raemulan Lands, Inc. </v>
          </cell>
          <cell r="I336" t="str">
            <v>Agapeya</v>
          </cell>
          <cell r="J336" t="str">
            <v>AGM</v>
          </cell>
          <cell r="K336" t="str">
            <v>Eco-High</v>
          </cell>
          <cell r="L336" t="str">
            <v>West</v>
          </cell>
          <cell r="M336" t="str">
            <v>With LTS - 2026</v>
          </cell>
          <cell r="N336" t="str">
            <v>YES</v>
          </cell>
          <cell r="O336" t="str">
            <v>NO</v>
          </cell>
          <cell r="P336" t="str">
            <v>Unaffected lots</v>
          </cell>
          <cell r="Q336" t="str">
            <v>NO</v>
          </cell>
          <cell r="R336">
            <v>70</v>
          </cell>
          <cell r="S336" t="str">
            <v>PSD-04-277865</v>
          </cell>
          <cell r="T336" t="str">
            <v>TCT-060-2025019486</v>
          </cell>
          <cell r="U336" t="b">
            <v>1</v>
          </cell>
          <cell r="V336" t="str">
            <v>Done</v>
          </cell>
          <cell r="W336" t="str">
            <v>B4 2025</v>
          </cell>
          <cell r="X336" t="str">
            <v>2025 - Batch 5</v>
          </cell>
          <cell r="Y336">
            <v>19</v>
          </cell>
          <cell r="Z336">
            <v>4</v>
          </cell>
          <cell r="AA336" t="str">
            <v>H+L</v>
          </cell>
          <cell r="AB336">
            <v>70</v>
          </cell>
          <cell r="AC336">
            <v>50</v>
          </cell>
          <cell r="AD336" t="str">
            <v>Slant</v>
          </cell>
          <cell r="AE336" t="str">
            <v>Duplex</v>
          </cell>
          <cell r="AF336" t="str">
            <v>568 - Without Partition</v>
          </cell>
          <cell r="AG336" t="str">
            <v xml:space="preserve">Without Partition </v>
          </cell>
          <cell r="AH336" t="str">
            <v xml:space="preserve">Without Partition </v>
          </cell>
          <cell r="AI336" t="str">
            <v>PINK</v>
          </cell>
          <cell r="AJ336" t="str">
            <v>Slant / PINK</v>
          </cell>
          <cell r="AK336">
            <v>1050000</v>
          </cell>
          <cell r="AL336">
            <v>15000</v>
          </cell>
          <cell r="AM336">
            <v>1650000</v>
          </cell>
          <cell r="AN336">
            <v>33000</v>
          </cell>
          <cell r="AO336">
            <v>150000</v>
          </cell>
          <cell r="AP336">
            <v>2850000</v>
          </cell>
          <cell r="AQ336"/>
          <cell r="AR336">
            <v>2850000</v>
          </cell>
          <cell r="AS336">
            <v>200000</v>
          </cell>
          <cell r="AT336">
            <v>2650000</v>
          </cell>
          <cell r="AU336">
            <v>100000</v>
          </cell>
          <cell r="AV336">
            <v>2550000</v>
          </cell>
          <cell r="AW336">
            <v>0</v>
          </cell>
          <cell r="AX336">
            <v>2550000</v>
          </cell>
        </row>
        <row r="337">
          <cell r="G337" t="str">
            <v>AGM-01-019-005</v>
          </cell>
          <cell r="H337" t="str">
            <v xml:space="preserve">Raemulan Lands, Inc. </v>
          </cell>
          <cell r="I337" t="str">
            <v>Agapeya</v>
          </cell>
          <cell r="J337" t="str">
            <v>AGM</v>
          </cell>
          <cell r="K337" t="str">
            <v>Eco-High</v>
          </cell>
          <cell r="L337" t="str">
            <v>West</v>
          </cell>
          <cell r="M337" t="str">
            <v>With LTS - 2026</v>
          </cell>
          <cell r="N337" t="str">
            <v>YES</v>
          </cell>
          <cell r="O337" t="str">
            <v>NO</v>
          </cell>
          <cell r="P337" t="str">
            <v>Unaffected lots</v>
          </cell>
          <cell r="Q337" t="str">
            <v>NO</v>
          </cell>
          <cell r="R337">
            <v>70</v>
          </cell>
          <cell r="S337" t="str">
            <v>PSD-04-277865</v>
          </cell>
          <cell r="T337" t="str">
            <v>TCT-060-2025019487</v>
          </cell>
          <cell r="U337" t="b">
            <v>1</v>
          </cell>
          <cell r="V337" t="str">
            <v>Done</v>
          </cell>
          <cell r="W337" t="str">
            <v>B4 2025</v>
          </cell>
          <cell r="X337" t="str">
            <v>2025 - Batch 5</v>
          </cell>
          <cell r="Y337">
            <v>19</v>
          </cell>
          <cell r="Z337">
            <v>5</v>
          </cell>
          <cell r="AA337" t="str">
            <v>H+L</v>
          </cell>
          <cell r="AB337">
            <v>70</v>
          </cell>
          <cell r="AC337">
            <v>50</v>
          </cell>
          <cell r="AD337" t="str">
            <v>Flat</v>
          </cell>
          <cell r="AE337" t="str">
            <v>Duplex</v>
          </cell>
          <cell r="AF337" t="str">
            <v>568 - Without Partition</v>
          </cell>
          <cell r="AG337" t="str">
            <v xml:space="preserve">Without Partition </v>
          </cell>
          <cell r="AH337" t="str">
            <v xml:space="preserve">Without Partition </v>
          </cell>
          <cell r="AI337" t="str">
            <v>GREEN</v>
          </cell>
          <cell r="AJ337" t="str">
            <v>Flat / GREEN</v>
          </cell>
          <cell r="AK337">
            <v>1050000</v>
          </cell>
          <cell r="AL337">
            <v>15000</v>
          </cell>
          <cell r="AM337">
            <v>1650000</v>
          </cell>
          <cell r="AN337">
            <v>33000</v>
          </cell>
          <cell r="AO337">
            <v>150000</v>
          </cell>
          <cell r="AP337">
            <v>2850000</v>
          </cell>
          <cell r="AQ337"/>
          <cell r="AR337">
            <v>2850000</v>
          </cell>
          <cell r="AS337">
            <v>200000</v>
          </cell>
          <cell r="AT337">
            <v>2650000</v>
          </cell>
          <cell r="AU337">
            <v>100000</v>
          </cell>
          <cell r="AV337">
            <v>2550000</v>
          </cell>
          <cell r="AW337">
            <v>0</v>
          </cell>
          <cell r="AX337">
            <v>2550000</v>
          </cell>
        </row>
        <row r="338">
          <cell r="G338" t="str">
            <v>AGM-01-019-006</v>
          </cell>
          <cell r="H338" t="str">
            <v xml:space="preserve">Raemulan Lands, Inc. </v>
          </cell>
          <cell r="I338" t="str">
            <v>Agapeya</v>
          </cell>
          <cell r="J338" t="str">
            <v>AGM</v>
          </cell>
          <cell r="K338" t="str">
            <v>Eco-High</v>
          </cell>
          <cell r="L338" t="str">
            <v>West</v>
          </cell>
          <cell r="M338" t="str">
            <v>With LTS - 2026</v>
          </cell>
          <cell r="N338" t="str">
            <v>YES</v>
          </cell>
          <cell r="O338" t="str">
            <v>NO</v>
          </cell>
          <cell r="P338" t="str">
            <v>Unaffected lots</v>
          </cell>
          <cell r="Q338" t="str">
            <v>NO</v>
          </cell>
          <cell r="R338">
            <v>70</v>
          </cell>
          <cell r="S338" t="str">
            <v>PSD-04-277865</v>
          </cell>
          <cell r="T338" t="str">
            <v>TCT-060-2025019488</v>
          </cell>
          <cell r="U338" t="b">
            <v>1</v>
          </cell>
          <cell r="V338" t="str">
            <v>Done</v>
          </cell>
          <cell r="W338" t="str">
            <v>B4 2025</v>
          </cell>
          <cell r="X338" t="str">
            <v>2025 - Batch 5</v>
          </cell>
          <cell r="Y338">
            <v>19</v>
          </cell>
          <cell r="Z338">
            <v>6</v>
          </cell>
          <cell r="AA338" t="str">
            <v>H+L</v>
          </cell>
          <cell r="AB338">
            <v>70</v>
          </cell>
          <cell r="AC338">
            <v>50</v>
          </cell>
          <cell r="AD338" t="str">
            <v>Slant</v>
          </cell>
          <cell r="AE338" t="str">
            <v>Duplex</v>
          </cell>
          <cell r="AF338" t="str">
            <v>568 - Without Partition</v>
          </cell>
          <cell r="AG338" t="str">
            <v xml:space="preserve">Without Partition </v>
          </cell>
          <cell r="AH338" t="str">
            <v xml:space="preserve">Without Partition </v>
          </cell>
          <cell r="AI338" t="str">
            <v>GREEN</v>
          </cell>
          <cell r="AJ338" t="str">
            <v>Slant / GREEN</v>
          </cell>
          <cell r="AK338">
            <v>1050000</v>
          </cell>
          <cell r="AL338">
            <v>15000</v>
          </cell>
          <cell r="AM338">
            <v>1650000</v>
          </cell>
          <cell r="AN338">
            <v>33000</v>
          </cell>
          <cell r="AO338">
            <v>150000</v>
          </cell>
          <cell r="AP338">
            <v>2850000</v>
          </cell>
          <cell r="AQ338"/>
          <cell r="AR338">
            <v>2850000</v>
          </cell>
          <cell r="AS338">
            <v>200000</v>
          </cell>
          <cell r="AT338">
            <v>2650000</v>
          </cell>
          <cell r="AU338">
            <v>100000</v>
          </cell>
          <cell r="AV338">
            <v>2550000</v>
          </cell>
          <cell r="AW338">
            <v>0</v>
          </cell>
          <cell r="AX338">
            <v>2550000</v>
          </cell>
        </row>
        <row r="339">
          <cell r="G339" t="str">
            <v>AGM-01-019-007</v>
          </cell>
          <cell r="H339" t="str">
            <v xml:space="preserve">Raemulan Lands, Inc. </v>
          </cell>
          <cell r="I339" t="str">
            <v>Agapeya</v>
          </cell>
          <cell r="J339" t="str">
            <v>AGM</v>
          </cell>
          <cell r="K339" t="str">
            <v>Eco-High</v>
          </cell>
          <cell r="L339" t="str">
            <v>West</v>
          </cell>
          <cell r="M339" t="str">
            <v>With LTS - 2026</v>
          </cell>
          <cell r="N339" t="str">
            <v>YES</v>
          </cell>
          <cell r="O339" t="str">
            <v>NO</v>
          </cell>
          <cell r="P339" t="str">
            <v>Unaffected lots</v>
          </cell>
          <cell r="Q339" t="str">
            <v>NO</v>
          </cell>
          <cell r="R339">
            <v>70</v>
          </cell>
          <cell r="S339" t="str">
            <v>PSD-04-277865</v>
          </cell>
          <cell r="T339" t="str">
            <v>TCT-060-2025019489</v>
          </cell>
          <cell r="U339" t="b">
            <v>1</v>
          </cell>
          <cell r="V339" t="str">
            <v>Done</v>
          </cell>
          <cell r="W339" t="str">
            <v>B4 2025</v>
          </cell>
          <cell r="X339" t="str">
            <v>2025 - Batch 5</v>
          </cell>
          <cell r="Y339">
            <v>19</v>
          </cell>
          <cell r="Z339">
            <v>7</v>
          </cell>
          <cell r="AA339" t="str">
            <v>H+L</v>
          </cell>
          <cell r="AB339">
            <v>70</v>
          </cell>
          <cell r="AC339">
            <v>50</v>
          </cell>
          <cell r="AD339" t="str">
            <v>Slant</v>
          </cell>
          <cell r="AE339" t="str">
            <v>Duplex</v>
          </cell>
          <cell r="AF339" t="str">
            <v>568 - Without Partition</v>
          </cell>
          <cell r="AG339" t="str">
            <v xml:space="preserve">Without Partition </v>
          </cell>
          <cell r="AH339" t="str">
            <v xml:space="preserve">Without Partition </v>
          </cell>
          <cell r="AI339" t="str">
            <v>GREEN</v>
          </cell>
          <cell r="AJ339" t="str">
            <v>Slant / GREEN</v>
          </cell>
          <cell r="AK339">
            <v>1050000</v>
          </cell>
          <cell r="AL339">
            <v>15000</v>
          </cell>
          <cell r="AM339">
            <v>1650000</v>
          </cell>
          <cell r="AN339">
            <v>33000</v>
          </cell>
          <cell r="AO339">
            <v>150000</v>
          </cell>
          <cell r="AP339">
            <v>2850000</v>
          </cell>
          <cell r="AQ339"/>
          <cell r="AR339">
            <v>2850000</v>
          </cell>
          <cell r="AS339">
            <v>200000</v>
          </cell>
          <cell r="AT339">
            <v>2650000</v>
          </cell>
          <cell r="AU339">
            <v>100000</v>
          </cell>
          <cell r="AV339">
            <v>2550000</v>
          </cell>
          <cell r="AW339">
            <v>0</v>
          </cell>
          <cell r="AX339">
            <v>2550000</v>
          </cell>
        </row>
        <row r="340">
          <cell r="G340" t="str">
            <v>AGM-01-019-008</v>
          </cell>
          <cell r="H340" t="str">
            <v xml:space="preserve">Raemulan Lands, Inc. </v>
          </cell>
          <cell r="I340" t="str">
            <v>Agapeya</v>
          </cell>
          <cell r="J340" t="str">
            <v>AGM</v>
          </cell>
          <cell r="K340" t="str">
            <v>Eco-High</v>
          </cell>
          <cell r="L340" t="str">
            <v>West</v>
          </cell>
          <cell r="M340" t="str">
            <v>With LTS - 2026</v>
          </cell>
          <cell r="N340" t="str">
            <v>YES</v>
          </cell>
          <cell r="O340" t="str">
            <v>NO</v>
          </cell>
          <cell r="P340" t="str">
            <v>Unaffected lots</v>
          </cell>
          <cell r="Q340" t="str">
            <v>NO</v>
          </cell>
          <cell r="R340">
            <v>70</v>
          </cell>
          <cell r="S340" t="str">
            <v>PSD-04-277865</v>
          </cell>
          <cell r="T340" t="str">
            <v>TCT-060-2025019490</v>
          </cell>
          <cell r="U340" t="b">
            <v>1</v>
          </cell>
          <cell r="V340" t="str">
            <v>Done</v>
          </cell>
          <cell r="W340" t="str">
            <v>B3 2025</v>
          </cell>
          <cell r="X340" t="str">
            <v>2025 - Batch 5</v>
          </cell>
          <cell r="Y340">
            <v>19</v>
          </cell>
          <cell r="Z340">
            <v>8</v>
          </cell>
          <cell r="AA340" t="str">
            <v>H+L</v>
          </cell>
          <cell r="AB340">
            <v>70</v>
          </cell>
          <cell r="AC340">
            <v>50</v>
          </cell>
          <cell r="AD340" t="str">
            <v>Flat</v>
          </cell>
          <cell r="AE340" t="str">
            <v>Duplex</v>
          </cell>
          <cell r="AF340" t="str">
            <v>568 - Without Partition</v>
          </cell>
          <cell r="AG340" t="str">
            <v xml:space="preserve">Without Partition </v>
          </cell>
          <cell r="AH340" t="str">
            <v xml:space="preserve">Without Partition </v>
          </cell>
          <cell r="AI340" t="str">
            <v>GREEN</v>
          </cell>
          <cell r="AJ340" t="str">
            <v>Flat / GREEN</v>
          </cell>
          <cell r="AK340">
            <v>1050000</v>
          </cell>
          <cell r="AL340">
            <v>15000</v>
          </cell>
          <cell r="AM340">
            <v>1650000</v>
          </cell>
          <cell r="AN340">
            <v>33000</v>
          </cell>
          <cell r="AO340">
            <v>150000</v>
          </cell>
          <cell r="AP340">
            <v>2850000</v>
          </cell>
          <cell r="AQ340"/>
          <cell r="AR340">
            <v>2850000</v>
          </cell>
          <cell r="AS340">
            <v>200000</v>
          </cell>
          <cell r="AT340">
            <v>2650000</v>
          </cell>
          <cell r="AU340">
            <v>100000</v>
          </cell>
          <cell r="AV340">
            <v>2550000</v>
          </cell>
          <cell r="AW340">
            <v>0</v>
          </cell>
          <cell r="AX340">
            <v>2550000</v>
          </cell>
        </row>
        <row r="341">
          <cell r="G341" t="str">
            <v>AGM-01-020-001</v>
          </cell>
          <cell r="H341" t="str">
            <v xml:space="preserve">Raemulan Lands, Inc. </v>
          </cell>
          <cell r="I341" t="str">
            <v>Agapeya</v>
          </cell>
          <cell r="J341" t="str">
            <v>AGM</v>
          </cell>
          <cell r="K341" t="str">
            <v>Eco-High</v>
          </cell>
          <cell r="L341" t="str">
            <v>West</v>
          </cell>
          <cell r="M341" t="str">
            <v>With LTS - 2026</v>
          </cell>
          <cell r="N341" t="str">
            <v>YES</v>
          </cell>
          <cell r="O341" t="str">
            <v>NO</v>
          </cell>
          <cell r="P341" t="str">
            <v>Unaffected lots</v>
          </cell>
          <cell r="Q341" t="str">
            <v>NO</v>
          </cell>
          <cell r="R341">
            <v>70</v>
          </cell>
          <cell r="S341" t="str">
            <v>PSD-04-277865</v>
          </cell>
          <cell r="T341" t="str">
            <v>TCT-060-2025019491</v>
          </cell>
          <cell r="U341" t="b">
            <v>1</v>
          </cell>
          <cell r="V341" t="str">
            <v>Done</v>
          </cell>
          <cell r="W341" t="str">
            <v>B3 2025</v>
          </cell>
          <cell r="X341" t="str">
            <v>2025 - Batch 5</v>
          </cell>
          <cell r="Y341">
            <v>20</v>
          </cell>
          <cell r="Z341">
            <v>1</v>
          </cell>
          <cell r="AA341" t="str">
            <v>H+L</v>
          </cell>
          <cell r="AB341">
            <v>70</v>
          </cell>
          <cell r="AC341">
            <v>50</v>
          </cell>
          <cell r="AD341" t="str">
            <v>Slant</v>
          </cell>
          <cell r="AE341" t="str">
            <v>Duplex</v>
          </cell>
          <cell r="AF341" t="str">
            <v>568 - Without Partition</v>
          </cell>
          <cell r="AG341" t="str">
            <v xml:space="preserve">Without Partition </v>
          </cell>
          <cell r="AH341" t="str">
            <v xml:space="preserve">Without Partition </v>
          </cell>
          <cell r="AI341" t="str">
            <v>PURPLE</v>
          </cell>
          <cell r="AJ341" t="str">
            <v>Slant / PURPLE</v>
          </cell>
          <cell r="AK341">
            <v>1050000</v>
          </cell>
          <cell r="AL341">
            <v>15000</v>
          </cell>
          <cell r="AM341">
            <v>1650000</v>
          </cell>
          <cell r="AN341">
            <v>33000</v>
          </cell>
          <cell r="AO341">
            <v>150000</v>
          </cell>
          <cell r="AP341">
            <v>2850000</v>
          </cell>
          <cell r="AQ341"/>
          <cell r="AR341">
            <v>2850000</v>
          </cell>
          <cell r="AS341">
            <v>200000</v>
          </cell>
          <cell r="AT341">
            <v>2650000</v>
          </cell>
          <cell r="AU341">
            <v>100000</v>
          </cell>
          <cell r="AV341">
            <v>2550000</v>
          </cell>
          <cell r="AW341">
            <v>0</v>
          </cell>
          <cell r="AX341">
            <v>2550000</v>
          </cell>
        </row>
        <row r="342">
          <cell r="G342" t="str">
            <v>AGM-01-020-002</v>
          </cell>
          <cell r="H342" t="str">
            <v xml:space="preserve">Raemulan Lands, Inc. </v>
          </cell>
          <cell r="I342" t="str">
            <v>Agapeya</v>
          </cell>
          <cell r="J342" t="str">
            <v>AGM</v>
          </cell>
          <cell r="K342" t="str">
            <v>Eco-High</v>
          </cell>
          <cell r="L342" t="str">
            <v>West</v>
          </cell>
          <cell r="M342" t="str">
            <v>With LTS - 2026</v>
          </cell>
          <cell r="N342" t="str">
            <v>YES</v>
          </cell>
          <cell r="O342" t="str">
            <v>NO</v>
          </cell>
          <cell r="P342" t="str">
            <v>Unaffected lots</v>
          </cell>
          <cell r="Q342" t="str">
            <v>NO</v>
          </cell>
          <cell r="R342">
            <v>70</v>
          </cell>
          <cell r="S342" t="str">
            <v>PSD-04-277865</v>
          </cell>
          <cell r="T342" t="str">
            <v>TCT-060-2025019492</v>
          </cell>
          <cell r="U342" t="b">
            <v>1</v>
          </cell>
          <cell r="V342" t="str">
            <v>Done</v>
          </cell>
          <cell r="W342" t="str">
            <v>B3 2025</v>
          </cell>
          <cell r="X342" t="str">
            <v>2025 - Batch 5</v>
          </cell>
          <cell r="Y342">
            <v>20</v>
          </cell>
          <cell r="Z342">
            <v>2</v>
          </cell>
          <cell r="AA342" t="str">
            <v>H+L</v>
          </cell>
          <cell r="AB342">
            <v>70</v>
          </cell>
          <cell r="AC342">
            <v>50</v>
          </cell>
          <cell r="AD342" t="str">
            <v>Flat</v>
          </cell>
          <cell r="AE342" t="str">
            <v>Duplex</v>
          </cell>
          <cell r="AF342" t="str">
            <v>568 - Without Partition</v>
          </cell>
          <cell r="AG342" t="str">
            <v xml:space="preserve">Without Partition </v>
          </cell>
          <cell r="AH342" t="str">
            <v xml:space="preserve">Without Partition </v>
          </cell>
          <cell r="AI342" t="str">
            <v>PURPLE</v>
          </cell>
          <cell r="AJ342" t="str">
            <v>Flat / PURPLE</v>
          </cell>
          <cell r="AK342">
            <v>1050000</v>
          </cell>
          <cell r="AL342">
            <v>15000</v>
          </cell>
          <cell r="AM342">
            <v>1650000</v>
          </cell>
          <cell r="AN342">
            <v>33000</v>
          </cell>
          <cell r="AO342">
            <v>150000</v>
          </cell>
          <cell r="AP342">
            <v>2850000</v>
          </cell>
          <cell r="AQ342"/>
          <cell r="AR342">
            <v>2850000</v>
          </cell>
          <cell r="AS342">
            <v>200000</v>
          </cell>
          <cell r="AT342">
            <v>2650000</v>
          </cell>
          <cell r="AU342">
            <v>100000</v>
          </cell>
          <cell r="AV342">
            <v>2550000</v>
          </cell>
          <cell r="AW342">
            <v>0</v>
          </cell>
          <cell r="AX342">
            <v>2550000</v>
          </cell>
        </row>
        <row r="343">
          <cell r="G343" t="str">
            <v>AGM-01-020-003</v>
          </cell>
          <cell r="H343" t="str">
            <v xml:space="preserve">Raemulan Lands, Inc. </v>
          </cell>
          <cell r="I343" t="str">
            <v>Agapeya</v>
          </cell>
          <cell r="J343" t="str">
            <v>AGM</v>
          </cell>
          <cell r="K343" t="str">
            <v>Eco-High</v>
          </cell>
          <cell r="L343" t="str">
            <v>West</v>
          </cell>
          <cell r="M343" t="str">
            <v>With LTS - 2026</v>
          </cell>
          <cell r="N343" t="str">
            <v>YES</v>
          </cell>
          <cell r="O343" t="str">
            <v>NO</v>
          </cell>
          <cell r="P343" t="str">
            <v>Unaffected lots</v>
          </cell>
          <cell r="Q343" t="str">
            <v>NO</v>
          </cell>
          <cell r="R343">
            <v>70</v>
          </cell>
          <cell r="S343" t="str">
            <v>PSD-04-277865</v>
          </cell>
          <cell r="T343" t="str">
            <v>TCT-060-2025019493</v>
          </cell>
          <cell r="U343" t="b">
            <v>1</v>
          </cell>
          <cell r="V343" t="str">
            <v>Done</v>
          </cell>
          <cell r="W343" t="str">
            <v>B4 2025</v>
          </cell>
          <cell r="X343" t="str">
            <v>2025 - Batch 5</v>
          </cell>
          <cell r="Y343">
            <v>20</v>
          </cell>
          <cell r="Z343">
            <v>3</v>
          </cell>
          <cell r="AA343" t="str">
            <v>H+L</v>
          </cell>
          <cell r="AB343">
            <v>70</v>
          </cell>
          <cell r="AC343">
            <v>50</v>
          </cell>
          <cell r="AD343" t="str">
            <v>Flat</v>
          </cell>
          <cell r="AE343" t="str">
            <v>Duplex</v>
          </cell>
          <cell r="AF343" t="str">
            <v>568 - Without Partition</v>
          </cell>
          <cell r="AG343" t="str">
            <v xml:space="preserve">Without Partition </v>
          </cell>
          <cell r="AH343" t="str">
            <v xml:space="preserve">Without Partition </v>
          </cell>
          <cell r="AI343" t="str">
            <v>PURPLE</v>
          </cell>
          <cell r="AJ343" t="str">
            <v>Flat / PURPLE</v>
          </cell>
          <cell r="AK343">
            <v>1050000</v>
          </cell>
          <cell r="AL343">
            <v>15000</v>
          </cell>
          <cell r="AM343">
            <v>1650000</v>
          </cell>
          <cell r="AN343">
            <v>33000</v>
          </cell>
          <cell r="AO343">
            <v>150000</v>
          </cell>
          <cell r="AP343">
            <v>2850000</v>
          </cell>
          <cell r="AQ343"/>
          <cell r="AR343">
            <v>2850000</v>
          </cell>
          <cell r="AS343">
            <v>200000</v>
          </cell>
          <cell r="AT343">
            <v>2650000</v>
          </cell>
          <cell r="AU343">
            <v>100000</v>
          </cell>
          <cell r="AV343">
            <v>2550000</v>
          </cell>
          <cell r="AW343">
            <v>0</v>
          </cell>
          <cell r="AX343">
            <v>2550000</v>
          </cell>
        </row>
        <row r="344">
          <cell r="G344" t="str">
            <v>AGM-01-020-004</v>
          </cell>
          <cell r="H344" t="str">
            <v xml:space="preserve">Raemulan Lands, Inc. </v>
          </cell>
          <cell r="I344" t="str">
            <v>Agapeya</v>
          </cell>
          <cell r="J344" t="str">
            <v>AGM</v>
          </cell>
          <cell r="K344" t="str">
            <v>Eco-High</v>
          </cell>
          <cell r="L344" t="str">
            <v>West</v>
          </cell>
          <cell r="M344" t="str">
            <v>With LTS - 2026</v>
          </cell>
          <cell r="N344" t="str">
            <v>YES</v>
          </cell>
          <cell r="O344" t="str">
            <v>NO</v>
          </cell>
          <cell r="P344" t="str">
            <v>Unaffected lots</v>
          </cell>
          <cell r="Q344" t="str">
            <v>NO</v>
          </cell>
          <cell r="R344">
            <v>70</v>
          </cell>
          <cell r="S344" t="str">
            <v>PSD-04-277865</v>
          </cell>
          <cell r="T344" t="str">
            <v>TCT-060-2025019494</v>
          </cell>
          <cell r="U344" t="b">
            <v>1</v>
          </cell>
          <cell r="V344" t="str">
            <v>Done</v>
          </cell>
          <cell r="W344" t="str">
            <v>B4 2025</v>
          </cell>
          <cell r="X344" t="str">
            <v>2025 - Batch 5</v>
          </cell>
          <cell r="Y344">
            <v>20</v>
          </cell>
          <cell r="Z344">
            <v>4</v>
          </cell>
          <cell r="AA344" t="str">
            <v>H+L</v>
          </cell>
          <cell r="AB344">
            <v>70</v>
          </cell>
          <cell r="AC344">
            <v>50</v>
          </cell>
          <cell r="AD344" t="str">
            <v>Slant</v>
          </cell>
          <cell r="AE344" t="str">
            <v>Duplex</v>
          </cell>
          <cell r="AF344" t="str">
            <v>568 - Without Partition</v>
          </cell>
          <cell r="AG344" t="str">
            <v xml:space="preserve">Without Partition </v>
          </cell>
          <cell r="AH344" t="str">
            <v xml:space="preserve">Without Partition </v>
          </cell>
          <cell r="AI344" t="str">
            <v>PURPLE</v>
          </cell>
          <cell r="AJ344" t="str">
            <v>Slant / PURPLE</v>
          </cell>
          <cell r="AK344">
            <v>1050000</v>
          </cell>
          <cell r="AL344">
            <v>15000</v>
          </cell>
          <cell r="AM344">
            <v>1650000</v>
          </cell>
          <cell r="AN344">
            <v>33000</v>
          </cell>
          <cell r="AO344">
            <v>150000</v>
          </cell>
          <cell r="AP344">
            <v>2850000</v>
          </cell>
          <cell r="AQ344"/>
          <cell r="AR344">
            <v>2850000</v>
          </cell>
          <cell r="AS344">
            <v>200000</v>
          </cell>
          <cell r="AT344">
            <v>2650000</v>
          </cell>
          <cell r="AU344">
            <v>100000</v>
          </cell>
          <cell r="AV344">
            <v>2550000</v>
          </cell>
          <cell r="AW344">
            <v>0</v>
          </cell>
          <cell r="AX344">
            <v>2550000</v>
          </cell>
        </row>
        <row r="345">
          <cell r="G345" t="str">
            <v>AGM-01-020-005</v>
          </cell>
          <cell r="H345" t="str">
            <v xml:space="preserve">Raemulan Lands, Inc. </v>
          </cell>
          <cell r="I345" t="str">
            <v>Agapeya</v>
          </cell>
          <cell r="J345" t="str">
            <v>AGM</v>
          </cell>
          <cell r="K345" t="str">
            <v>Eco-High</v>
          </cell>
          <cell r="L345" t="str">
            <v>West</v>
          </cell>
          <cell r="M345" t="str">
            <v>With LTS - 2026</v>
          </cell>
          <cell r="N345" t="str">
            <v>YES</v>
          </cell>
          <cell r="O345" t="str">
            <v>NO</v>
          </cell>
          <cell r="P345" t="str">
            <v>Unaffected lots</v>
          </cell>
          <cell r="Q345" t="str">
            <v>NO</v>
          </cell>
          <cell r="R345">
            <v>70</v>
          </cell>
          <cell r="S345" t="str">
            <v>PSD-04-277865</v>
          </cell>
          <cell r="T345" t="str">
            <v>TCT-060-2025019495</v>
          </cell>
          <cell r="U345" t="b">
            <v>1</v>
          </cell>
          <cell r="V345" t="str">
            <v>Done</v>
          </cell>
          <cell r="W345" t="str">
            <v>B4 2025</v>
          </cell>
          <cell r="X345" t="str">
            <v>2025 - Batch 5</v>
          </cell>
          <cell r="Y345">
            <v>20</v>
          </cell>
          <cell r="Z345">
            <v>5</v>
          </cell>
          <cell r="AA345" t="str">
            <v>H+L</v>
          </cell>
          <cell r="AB345">
            <v>70</v>
          </cell>
          <cell r="AC345">
            <v>50</v>
          </cell>
          <cell r="AD345" t="str">
            <v>Flat</v>
          </cell>
          <cell r="AE345" t="str">
            <v>Duplex</v>
          </cell>
          <cell r="AF345" t="str">
            <v>568 - Without Partition</v>
          </cell>
          <cell r="AG345" t="str">
            <v xml:space="preserve">Without Partition </v>
          </cell>
          <cell r="AH345" t="str">
            <v xml:space="preserve">Without Partition </v>
          </cell>
          <cell r="AI345" t="str">
            <v>YELLOW</v>
          </cell>
          <cell r="AJ345" t="str">
            <v>Flat / YELLOW</v>
          </cell>
          <cell r="AK345">
            <v>1050000</v>
          </cell>
          <cell r="AL345">
            <v>15000</v>
          </cell>
          <cell r="AM345">
            <v>1650000</v>
          </cell>
          <cell r="AN345">
            <v>33000</v>
          </cell>
          <cell r="AO345">
            <v>150000</v>
          </cell>
          <cell r="AP345">
            <v>2850000</v>
          </cell>
          <cell r="AQ345"/>
          <cell r="AR345">
            <v>2850000</v>
          </cell>
          <cell r="AS345">
            <v>200000</v>
          </cell>
          <cell r="AT345">
            <v>2650000</v>
          </cell>
          <cell r="AU345">
            <v>100000</v>
          </cell>
          <cell r="AV345">
            <v>2550000</v>
          </cell>
          <cell r="AW345">
            <v>0</v>
          </cell>
          <cell r="AX345">
            <v>2550000</v>
          </cell>
        </row>
        <row r="346">
          <cell r="G346" t="str">
            <v>AGM-01-020-006</v>
          </cell>
          <cell r="H346" t="str">
            <v xml:space="preserve">Raemulan Lands, Inc. </v>
          </cell>
          <cell r="I346" t="str">
            <v>Agapeya</v>
          </cell>
          <cell r="J346" t="str">
            <v>AGM</v>
          </cell>
          <cell r="K346" t="str">
            <v>Eco-High</v>
          </cell>
          <cell r="L346" t="str">
            <v>West</v>
          </cell>
          <cell r="M346" t="str">
            <v>With LTS - 2026</v>
          </cell>
          <cell r="N346" t="str">
            <v>YES</v>
          </cell>
          <cell r="O346" t="str">
            <v>NO</v>
          </cell>
          <cell r="P346" t="str">
            <v>Unaffected lots</v>
          </cell>
          <cell r="Q346" t="str">
            <v>NO</v>
          </cell>
          <cell r="R346">
            <v>70</v>
          </cell>
          <cell r="S346" t="str">
            <v>PSD-04-277865</v>
          </cell>
          <cell r="T346" t="str">
            <v>TCT-060-2025019496</v>
          </cell>
          <cell r="U346" t="b">
            <v>1</v>
          </cell>
          <cell r="V346" t="str">
            <v>Done</v>
          </cell>
          <cell r="W346" t="str">
            <v>B4 2025</v>
          </cell>
          <cell r="X346" t="str">
            <v>2025 - Batch 5</v>
          </cell>
          <cell r="Y346">
            <v>20</v>
          </cell>
          <cell r="Z346">
            <v>6</v>
          </cell>
          <cell r="AA346" t="str">
            <v>H+L</v>
          </cell>
          <cell r="AB346">
            <v>70</v>
          </cell>
          <cell r="AC346">
            <v>50</v>
          </cell>
          <cell r="AD346" t="str">
            <v>Slant</v>
          </cell>
          <cell r="AE346" t="str">
            <v>Duplex</v>
          </cell>
          <cell r="AF346" t="str">
            <v>568 - Without Partition</v>
          </cell>
          <cell r="AG346" t="str">
            <v xml:space="preserve">Without Partition </v>
          </cell>
          <cell r="AH346" t="str">
            <v xml:space="preserve">Without Partition </v>
          </cell>
          <cell r="AI346" t="str">
            <v>YELLOW</v>
          </cell>
          <cell r="AJ346" t="str">
            <v>Slant / YELLOW</v>
          </cell>
          <cell r="AK346">
            <v>1050000</v>
          </cell>
          <cell r="AL346">
            <v>15000</v>
          </cell>
          <cell r="AM346">
            <v>1650000</v>
          </cell>
          <cell r="AN346">
            <v>33000</v>
          </cell>
          <cell r="AO346">
            <v>150000</v>
          </cell>
          <cell r="AP346">
            <v>2850000</v>
          </cell>
          <cell r="AQ346"/>
          <cell r="AR346">
            <v>2850000</v>
          </cell>
          <cell r="AS346">
            <v>200000</v>
          </cell>
          <cell r="AT346">
            <v>2650000</v>
          </cell>
          <cell r="AU346">
            <v>100000</v>
          </cell>
          <cell r="AV346">
            <v>2550000</v>
          </cell>
          <cell r="AW346">
            <v>0</v>
          </cell>
          <cell r="AX346">
            <v>2550000</v>
          </cell>
        </row>
        <row r="347">
          <cell r="G347" t="str">
            <v>AGM-01-020-007</v>
          </cell>
          <cell r="H347" t="str">
            <v xml:space="preserve">Raemulan Lands, Inc. </v>
          </cell>
          <cell r="I347" t="str">
            <v>Agapeya</v>
          </cell>
          <cell r="J347" t="str">
            <v>AGM</v>
          </cell>
          <cell r="K347" t="str">
            <v>Eco-High</v>
          </cell>
          <cell r="L347" t="str">
            <v>West</v>
          </cell>
          <cell r="M347" t="str">
            <v>With LTS - 2026</v>
          </cell>
          <cell r="N347" t="str">
            <v>YES</v>
          </cell>
          <cell r="O347" t="str">
            <v>NO</v>
          </cell>
          <cell r="P347" t="str">
            <v>Unaffected lots</v>
          </cell>
          <cell r="Q347" t="str">
            <v>NO</v>
          </cell>
          <cell r="R347">
            <v>70</v>
          </cell>
          <cell r="S347" t="str">
            <v>PSD-04-277865</v>
          </cell>
          <cell r="T347" t="str">
            <v>TCT-060-2025019497</v>
          </cell>
          <cell r="U347" t="b">
            <v>1</v>
          </cell>
          <cell r="V347" t="str">
            <v>Done</v>
          </cell>
          <cell r="W347" t="str">
            <v>B3 2025</v>
          </cell>
          <cell r="X347" t="str">
            <v>2025 - Batch 5</v>
          </cell>
          <cell r="Y347">
            <v>20</v>
          </cell>
          <cell r="Z347">
            <v>7</v>
          </cell>
          <cell r="AA347" t="str">
            <v>H+L</v>
          </cell>
          <cell r="AB347">
            <v>70</v>
          </cell>
          <cell r="AC347">
            <v>50</v>
          </cell>
          <cell r="AD347" t="str">
            <v>Slant</v>
          </cell>
          <cell r="AE347" t="str">
            <v>Duplex</v>
          </cell>
          <cell r="AF347" t="str">
            <v>568 - Without Partition</v>
          </cell>
          <cell r="AG347" t="str">
            <v xml:space="preserve">Without Partition </v>
          </cell>
          <cell r="AH347" t="str">
            <v xml:space="preserve">Without Partition </v>
          </cell>
          <cell r="AI347" t="str">
            <v>YELLOW</v>
          </cell>
          <cell r="AJ347" t="str">
            <v>Slant / YELLOW</v>
          </cell>
          <cell r="AK347">
            <v>1050000</v>
          </cell>
          <cell r="AL347">
            <v>15000</v>
          </cell>
          <cell r="AM347">
            <v>1650000</v>
          </cell>
          <cell r="AN347">
            <v>33000</v>
          </cell>
          <cell r="AO347">
            <v>150000</v>
          </cell>
          <cell r="AP347">
            <v>2850000</v>
          </cell>
          <cell r="AQ347"/>
          <cell r="AR347">
            <v>2850000</v>
          </cell>
          <cell r="AS347">
            <v>200000</v>
          </cell>
          <cell r="AT347">
            <v>2650000</v>
          </cell>
          <cell r="AU347">
            <v>100000</v>
          </cell>
          <cell r="AV347">
            <v>2550000</v>
          </cell>
          <cell r="AW347">
            <v>0</v>
          </cell>
          <cell r="AX347">
            <v>2550000</v>
          </cell>
        </row>
        <row r="348">
          <cell r="G348" t="str">
            <v>AGM-01-020-008</v>
          </cell>
          <cell r="H348" t="str">
            <v xml:space="preserve">Raemulan Lands, Inc. </v>
          </cell>
          <cell r="I348" t="str">
            <v>Agapeya</v>
          </cell>
          <cell r="J348" t="str">
            <v>AGM</v>
          </cell>
          <cell r="K348" t="str">
            <v>Eco-High</v>
          </cell>
          <cell r="L348" t="str">
            <v>West</v>
          </cell>
          <cell r="M348" t="str">
            <v>With LTS - 2026</v>
          </cell>
          <cell r="N348" t="str">
            <v>YES</v>
          </cell>
          <cell r="O348" t="str">
            <v>NO</v>
          </cell>
          <cell r="P348" t="str">
            <v>Unaffected lots</v>
          </cell>
          <cell r="Q348" t="str">
            <v>NO</v>
          </cell>
          <cell r="R348">
            <v>70</v>
          </cell>
          <cell r="S348" t="str">
            <v>PSD-04-277865</v>
          </cell>
          <cell r="T348" t="str">
            <v>TCT-060-2025019498</v>
          </cell>
          <cell r="U348" t="b">
            <v>1</v>
          </cell>
          <cell r="V348" t="str">
            <v>Done</v>
          </cell>
          <cell r="W348" t="str">
            <v>B3 2025</v>
          </cell>
          <cell r="X348" t="str">
            <v>2025 - Batch 5</v>
          </cell>
          <cell r="Y348">
            <v>20</v>
          </cell>
          <cell r="Z348">
            <v>8</v>
          </cell>
          <cell r="AA348" t="str">
            <v>H+L</v>
          </cell>
          <cell r="AB348">
            <v>70</v>
          </cell>
          <cell r="AC348">
            <v>50</v>
          </cell>
          <cell r="AD348" t="str">
            <v>Flat</v>
          </cell>
          <cell r="AE348" t="str">
            <v>Duplex</v>
          </cell>
          <cell r="AF348" t="str">
            <v>568 - Without Partition</v>
          </cell>
          <cell r="AG348" t="str">
            <v xml:space="preserve">Without Partition </v>
          </cell>
          <cell r="AH348" t="str">
            <v xml:space="preserve">Without Partition </v>
          </cell>
          <cell r="AI348" t="str">
            <v>YELLOW</v>
          </cell>
          <cell r="AJ348" t="str">
            <v>Flat / YELLOW</v>
          </cell>
          <cell r="AK348">
            <v>1050000</v>
          </cell>
          <cell r="AL348">
            <v>15000</v>
          </cell>
          <cell r="AM348">
            <v>1650000</v>
          </cell>
          <cell r="AN348">
            <v>33000</v>
          </cell>
          <cell r="AO348">
            <v>150000</v>
          </cell>
          <cell r="AP348">
            <v>2850000</v>
          </cell>
          <cell r="AQ348"/>
          <cell r="AR348">
            <v>2850000</v>
          </cell>
          <cell r="AS348">
            <v>200000</v>
          </cell>
          <cell r="AT348">
            <v>2650000</v>
          </cell>
          <cell r="AU348">
            <v>100000</v>
          </cell>
          <cell r="AV348">
            <v>2550000</v>
          </cell>
          <cell r="AW348">
            <v>0</v>
          </cell>
          <cell r="AX348">
            <v>2550000</v>
          </cell>
        </row>
        <row r="349">
          <cell r="G349" t="str">
            <v>AGM-01-021-001</v>
          </cell>
          <cell r="H349" t="str">
            <v xml:space="preserve">Raemulan Lands, Inc. </v>
          </cell>
          <cell r="I349" t="str">
            <v>Agapeya</v>
          </cell>
          <cell r="J349" t="str">
            <v>AGM</v>
          </cell>
          <cell r="K349" t="str">
            <v>Eco-High</v>
          </cell>
          <cell r="L349" t="str">
            <v>West</v>
          </cell>
          <cell r="M349" t="str">
            <v>With LTS - 2026</v>
          </cell>
          <cell r="N349" t="str">
            <v>YES</v>
          </cell>
          <cell r="O349" t="str">
            <v>NO</v>
          </cell>
          <cell r="P349" t="str">
            <v>Unaffected lots</v>
          </cell>
          <cell r="Q349" t="str">
            <v>NO</v>
          </cell>
          <cell r="R349">
            <v>90</v>
          </cell>
          <cell r="S349" t="str">
            <v>PSD-04-277865</v>
          </cell>
          <cell r="T349" t="str">
            <v>TCT-060-2025019499</v>
          </cell>
          <cell r="U349" t="b">
            <v>1</v>
          </cell>
          <cell r="V349" t="str">
            <v>Done</v>
          </cell>
          <cell r="W349" t="str">
            <v>B3 2025</v>
          </cell>
          <cell r="X349" t="str">
            <v>2025 - Batch 4</v>
          </cell>
          <cell r="Y349">
            <v>21</v>
          </cell>
          <cell r="Z349">
            <v>1</v>
          </cell>
          <cell r="AA349" t="str">
            <v>H+L</v>
          </cell>
          <cell r="AB349">
            <v>90</v>
          </cell>
          <cell r="AC349">
            <v>50</v>
          </cell>
          <cell r="AD349" t="str">
            <v>Slant</v>
          </cell>
          <cell r="AE349" t="str">
            <v>Duplex</v>
          </cell>
          <cell r="AF349" t="str">
            <v>568 - Without Partition</v>
          </cell>
          <cell r="AG349" t="str">
            <v xml:space="preserve">Without Partition </v>
          </cell>
          <cell r="AH349" t="str">
            <v xml:space="preserve">Without Partition </v>
          </cell>
          <cell r="AI349" t="str">
            <v>PINK</v>
          </cell>
          <cell r="AJ349" t="str">
            <v>Slant / PINK</v>
          </cell>
          <cell r="AK349">
            <v>1350000</v>
          </cell>
          <cell r="AL349">
            <v>15000</v>
          </cell>
          <cell r="AM349">
            <v>1650000</v>
          </cell>
          <cell r="AN349">
            <v>33000</v>
          </cell>
          <cell r="AO349">
            <v>150000</v>
          </cell>
          <cell r="AP349">
            <v>3150000</v>
          </cell>
          <cell r="AQ349"/>
          <cell r="AR349">
            <v>3150000</v>
          </cell>
          <cell r="AS349">
            <v>200000</v>
          </cell>
          <cell r="AT349">
            <v>2950000</v>
          </cell>
          <cell r="AU349">
            <v>100000</v>
          </cell>
          <cell r="AV349">
            <v>2850000</v>
          </cell>
          <cell r="AW349">
            <v>0</v>
          </cell>
          <cell r="AX349">
            <v>2850000</v>
          </cell>
        </row>
        <row r="350">
          <cell r="G350" t="str">
            <v>AGM-01-021-002</v>
          </cell>
          <cell r="H350" t="str">
            <v xml:space="preserve">Raemulan Lands, Inc. </v>
          </cell>
          <cell r="I350" t="str">
            <v>Agapeya</v>
          </cell>
          <cell r="J350" t="str">
            <v>AGM</v>
          </cell>
          <cell r="K350" t="str">
            <v>Eco-High</v>
          </cell>
          <cell r="L350" t="str">
            <v>West</v>
          </cell>
          <cell r="M350" t="str">
            <v>With LTS - 2026</v>
          </cell>
          <cell r="N350" t="str">
            <v>YES</v>
          </cell>
          <cell r="O350" t="str">
            <v>NO</v>
          </cell>
          <cell r="P350" t="str">
            <v>Unaffected lots</v>
          </cell>
          <cell r="Q350" t="str">
            <v>NO</v>
          </cell>
          <cell r="R350">
            <v>90</v>
          </cell>
          <cell r="S350" t="str">
            <v>PSD-04-277865</v>
          </cell>
          <cell r="T350" t="str">
            <v>TCT-060-2025019500</v>
          </cell>
          <cell r="U350" t="b">
            <v>1</v>
          </cell>
          <cell r="V350" t="str">
            <v>Done</v>
          </cell>
          <cell r="W350" t="str">
            <v>B3 2025</v>
          </cell>
          <cell r="X350" t="str">
            <v>2025 - Batch 4</v>
          </cell>
          <cell r="Y350">
            <v>21</v>
          </cell>
          <cell r="Z350">
            <v>2</v>
          </cell>
          <cell r="AA350" t="str">
            <v>H+L</v>
          </cell>
          <cell r="AB350">
            <v>90</v>
          </cell>
          <cell r="AC350">
            <v>50</v>
          </cell>
          <cell r="AD350" t="str">
            <v>Flat</v>
          </cell>
          <cell r="AE350" t="str">
            <v>Duplex</v>
          </cell>
          <cell r="AF350" t="str">
            <v>568 - Without Partition</v>
          </cell>
          <cell r="AG350" t="str">
            <v xml:space="preserve">Without Partition </v>
          </cell>
          <cell r="AH350" t="str">
            <v xml:space="preserve">Without Partition </v>
          </cell>
          <cell r="AI350" t="str">
            <v>PINK</v>
          </cell>
          <cell r="AJ350" t="str">
            <v>Flat / PINK</v>
          </cell>
          <cell r="AK350">
            <v>1350000</v>
          </cell>
          <cell r="AL350">
            <v>15000</v>
          </cell>
          <cell r="AM350">
            <v>1650000</v>
          </cell>
          <cell r="AN350">
            <v>33000</v>
          </cell>
          <cell r="AO350">
            <v>150000</v>
          </cell>
          <cell r="AP350">
            <v>3150000</v>
          </cell>
          <cell r="AQ350"/>
          <cell r="AR350">
            <v>3150000</v>
          </cell>
          <cell r="AS350">
            <v>200000</v>
          </cell>
          <cell r="AT350">
            <v>2950000</v>
          </cell>
          <cell r="AU350">
            <v>100000</v>
          </cell>
          <cell r="AV350">
            <v>2850000</v>
          </cell>
          <cell r="AW350">
            <v>0</v>
          </cell>
          <cell r="AX350">
            <v>2850000</v>
          </cell>
        </row>
        <row r="351">
          <cell r="G351" t="str">
            <v>AGM-01-021-003</v>
          </cell>
          <cell r="H351" t="str">
            <v xml:space="preserve">Raemulan Lands, Inc. </v>
          </cell>
          <cell r="I351" t="str">
            <v>Agapeya</v>
          </cell>
          <cell r="J351" t="str">
            <v>AGM</v>
          </cell>
          <cell r="K351" t="str">
            <v>Eco-High</v>
          </cell>
          <cell r="L351" t="str">
            <v>West</v>
          </cell>
          <cell r="M351" t="str">
            <v>With LTS - 2026</v>
          </cell>
          <cell r="N351" t="str">
            <v>YES</v>
          </cell>
          <cell r="O351" t="str">
            <v>NO</v>
          </cell>
          <cell r="P351" t="str">
            <v>Unaffected lots</v>
          </cell>
          <cell r="Q351" t="str">
            <v>NO</v>
          </cell>
          <cell r="R351">
            <v>90</v>
          </cell>
          <cell r="S351" t="str">
            <v>PSD-04-277865</v>
          </cell>
          <cell r="T351" t="str">
            <v>TCT-060-2025019501</v>
          </cell>
          <cell r="U351" t="b">
            <v>1</v>
          </cell>
          <cell r="V351" t="str">
            <v>Done</v>
          </cell>
          <cell r="W351" t="str">
            <v>B3 2025</v>
          </cell>
          <cell r="X351" t="str">
            <v>2025 - Batch 4</v>
          </cell>
          <cell r="Y351">
            <v>21</v>
          </cell>
          <cell r="Z351">
            <v>3</v>
          </cell>
          <cell r="AA351" t="str">
            <v>H+L</v>
          </cell>
          <cell r="AB351">
            <v>90</v>
          </cell>
          <cell r="AC351">
            <v>50</v>
          </cell>
          <cell r="AD351" t="str">
            <v>Flat</v>
          </cell>
          <cell r="AE351" t="str">
            <v>Duplex</v>
          </cell>
          <cell r="AF351" t="str">
            <v>568 - Without Partition</v>
          </cell>
          <cell r="AG351" t="str">
            <v xml:space="preserve">Without Partition </v>
          </cell>
          <cell r="AH351" t="str">
            <v xml:space="preserve">Without Partition </v>
          </cell>
          <cell r="AI351" t="str">
            <v>PINK</v>
          </cell>
          <cell r="AJ351" t="str">
            <v>Flat / PINK</v>
          </cell>
          <cell r="AK351">
            <v>1350000</v>
          </cell>
          <cell r="AL351">
            <v>15000</v>
          </cell>
          <cell r="AM351">
            <v>1650000</v>
          </cell>
          <cell r="AN351">
            <v>33000</v>
          </cell>
          <cell r="AO351">
            <v>150000</v>
          </cell>
          <cell r="AP351">
            <v>3150000</v>
          </cell>
          <cell r="AQ351"/>
          <cell r="AR351">
            <v>3150000</v>
          </cell>
          <cell r="AS351">
            <v>200000</v>
          </cell>
          <cell r="AT351">
            <v>2950000</v>
          </cell>
          <cell r="AU351">
            <v>100000</v>
          </cell>
          <cell r="AV351">
            <v>2850000</v>
          </cell>
          <cell r="AW351">
            <v>0</v>
          </cell>
          <cell r="AX351">
            <v>2850000</v>
          </cell>
        </row>
        <row r="352">
          <cell r="G352" t="str">
            <v>AGM-01-021-004</v>
          </cell>
          <cell r="H352" t="str">
            <v xml:space="preserve">Raemulan Lands, Inc. </v>
          </cell>
          <cell r="I352" t="str">
            <v>Agapeya</v>
          </cell>
          <cell r="J352" t="str">
            <v>AGM</v>
          </cell>
          <cell r="K352" t="str">
            <v>Eco-High</v>
          </cell>
          <cell r="L352" t="str">
            <v>West</v>
          </cell>
          <cell r="M352" t="str">
            <v>With LTS - 2026</v>
          </cell>
          <cell r="N352" t="str">
            <v>YES</v>
          </cell>
          <cell r="O352" t="str">
            <v>NO</v>
          </cell>
          <cell r="P352" t="str">
            <v>Unaffected lots</v>
          </cell>
          <cell r="Q352" t="str">
            <v>NO</v>
          </cell>
          <cell r="R352">
            <v>80</v>
          </cell>
          <cell r="S352" t="str">
            <v>PSD-04-277865</v>
          </cell>
          <cell r="T352" t="str">
            <v>TCT-060-2025019502</v>
          </cell>
          <cell r="U352" t="b">
            <v>1</v>
          </cell>
          <cell r="V352" t="str">
            <v>Done</v>
          </cell>
          <cell r="W352" t="str">
            <v>B4 2025</v>
          </cell>
          <cell r="X352" t="str">
            <v>2025 - Batch 4</v>
          </cell>
          <cell r="Y352">
            <v>21</v>
          </cell>
          <cell r="Z352">
            <v>4</v>
          </cell>
          <cell r="AA352" t="str">
            <v>H+L</v>
          </cell>
          <cell r="AB352">
            <v>80</v>
          </cell>
          <cell r="AC352">
            <v>50</v>
          </cell>
          <cell r="AD352" t="str">
            <v>Slant</v>
          </cell>
          <cell r="AE352" t="str">
            <v>Duplex</v>
          </cell>
          <cell r="AF352" t="str">
            <v>568 - Without Partition</v>
          </cell>
          <cell r="AG352" t="str">
            <v xml:space="preserve">Without Partition </v>
          </cell>
          <cell r="AH352" t="str">
            <v xml:space="preserve">Without Partition </v>
          </cell>
          <cell r="AI352" t="str">
            <v>PINK</v>
          </cell>
          <cell r="AJ352" t="str">
            <v>Slant / PINK</v>
          </cell>
          <cell r="AK352">
            <v>1200000</v>
          </cell>
          <cell r="AL352">
            <v>15000</v>
          </cell>
          <cell r="AM352">
            <v>1650000</v>
          </cell>
          <cell r="AN352">
            <v>33000</v>
          </cell>
          <cell r="AO352">
            <v>150000</v>
          </cell>
          <cell r="AP352">
            <v>3000000</v>
          </cell>
          <cell r="AQ352"/>
          <cell r="AR352">
            <v>3000000</v>
          </cell>
          <cell r="AS352">
            <v>200000</v>
          </cell>
          <cell r="AT352">
            <v>2800000</v>
          </cell>
          <cell r="AU352">
            <v>100000</v>
          </cell>
          <cell r="AV352">
            <v>2700000</v>
          </cell>
          <cell r="AW352">
            <v>0</v>
          </cell>
          <cell r="AX352">
            <v>2700000</v>
          </cell>
        </row>
        <row r="353">
          <cell r="G353" t="str">
            <v>AGM-01-021-005</v>
          </cell>
          <cell r="H353" t="str">
            <v xml:space="preserve">Raemulan Lands, Inc. </v>
          </cell>
          <cell r="I353" t="str">
            <v>Agapeya</v>
          </cell>
          <cell r="J353" t="str">
            <v>AGM</v>
          </cell>
          <cell r="K353" t="str">
            <v>Eco-High</v>
          </cell>
          <cell r="L353" t="str">
            <v>West</v>
          </cell>
          <cell r="M353" t="str">
            <v>With LTS - 2026</v>
          </cell>
          <cell r="N353" t="str">
            <v>YES</v>
          </cell>
          <cell r="O353" t="str">
            <v>NO</v>
          </cell>
          <cell r="P353" t="str">
            <v>Unaffected lots</v>
          </cell>
          <cell r="Q353" t="str">
            <v>NO</v>
          </cell>
          <cell r="R353">
            <v>80</v>
          </cell>
          <cell r="S353" t="str">
            <v>PSD-04-277865</v>
          </cell>
          <cell r="T353" t="str">
            <v>TCT-060-2025019503</v>
          </cell>
          <cell r="U353" t="b">
            <v>1</v>
          </cell>
          <cell r="V353" t="str">
            <v>Done</v>
          </cell>
          <cell r="W353" t="str">
            <v>B4 2025</v>
          </cell>
          <cell r="X353" t="str">
            <v>2025 - Batch 4</v>
          </cell>
          <cell r="Y353">
            <v>21</v>
          </cell>
          <cell r="Z353">
            <v>5</v>
          </cell>
          <cell r="AA353" t="str">
            <v>H+L</v>
          </cell>
          <cell r="AB353">
            <v>80</v>
          </cell>
          <cell r="AC353">
            <v>50</v>
          </cell>
          <cell r="AD353" t="str">
            <v>Flat</v>
          </cell>
          <cell r="AE353" t="str">
            <v>Duplex</v>
          </cell>
          <cell r="AF353" t="str">
            <v>568 - Without Partition</v>
          </cell>
          <cell r="AG353" t="str">
            <v xml:space="preserve">Without Partition </v>
          </cell>
          <cell r="AH353" t="str">
            <v xml:space="preserve">Without Partition </v>
          </cell>
          <cell r="AI353" t="str">
            <v>GREEN</v>
          </cell>
          <cell r="AJ353" t="str">
            <v>Flat / GREEN</v>
          </cell>
          <cell r="AK353">
            <v>1200000</v>
          </cell>
          <cell r="AL353">
            <v>15000</v>
          </cell>
          <cell r="AM353">
            <v>1650000</v>
          </cell>
          <cell r="AN353">
            <v>33000</v>
          </cell>
          <cell r="AO353">
            <v>150000</v>
          </cell>
          <cell r="AP353">
            <v>3000000</v>
          </cell>
          <cell r="AQ353"/>
          <cell r="AR353">
            <v>3000000</v>
          </cell>
          <cell r="AS353">
            <v>200000</v>
          </cell>
          <cell r="AT353">
            <v>2800000</v>
          </cell>
          <cell r="AU353">
            <v>100000</v>
          </cell>
          <cell r="AV353">
            <v>2700000</v>
          </cell>
          <cell r="AW353">
            <v>0</v>
          </cell>
          <cell r="AX353">
            <v>2700000</v>
          </cell>
        </row>
        <row r="354">
          <cell r="G354" t="str">
            <v>AGM-01-021-006</v>
          </cell>
          <cell r="H354" t="str">
            <v xml:space="preserve">Raemulan Lands, Inc. </v>
          </cell>
          <cell r="I354" t="str">
            <v>Agapeya</v>
          </cell>
          <cell r="J354" t="str">
            <v>AGM</v>
          </cell>
          <cell r="K354" t="str">
            <v>Eco-High</v>
          </cell>
          <cell r="L354" t="str">
            <v>West</v>
          </cell>
          <cell r="M354" t="str">
            <v>With LTS - 2026</v>
          </cell>
          <cell r="N354" t="str">
            <v>YES</v>
          </cell>
          <cell r="O354" t="str">
            <v>NO</v>
          </cell>
          <cell r="P354" t="str">
            <v>Unaffected lots</v>
          </cell>
          <cell r="Q354" t="str">
            <v>NO</v>
          </cell>
          <cell r="R354">
            <v>90</v>
          </cell>
          <cell r="S354" t="str">
            <v>PSD-04-277865</v>
          </cell>
          <cell r="T354" t="str">
            <v>TCT-060-2025019504</v>
          </cell>
          <cell r="U354" t="b">
            <v>1</v>
          </cell>
          <cell r="V354" t="str">
            <v>Done</v>
          </cell>
          <cell r="W354" t="str">
            <v>B3 2025</v>
          </cell>
          <cell r="X354" t="str">
            <v>2025 - Batch 4</v>
          </cell>
          <cell r="Y354">
            <v>21</v>
          </cell>
          <cell r="Z354">
            <v>6</v>
          </cell>
          <cell r="AA354" t="str">
            <v>H+L</v>
          </cell>
          <cell r="AB354">
            <v>90</v>
          </cell>
          <cell r="AC354">
            <v>50</v>
          </cell>
          <cell r="AD354" t="str">
            <v>Slant</v>
          </cell>
          <cell r="AE354" t="str">
            <v>Duplex</v>
          </cell>
          <cell r="AF354" t="str">
            <v>568 - Without Partition</v>
          </cell>
          <cell r="AG354" t="str">
            <v xml:space="preserve">Without Partition </v>
          </cell>
          <cell r="AH354" t="str">
            <v xml:space="preserve">Without Partition </v>
          </cell>
          <cell r="AI354" t="str">
            <v>GREEN</v>
          </cell>
          <cell r="AJ354" t="str">
            <v>Slant / GREEN</v>
          </cell>
          <cell r="AK354">
            <v>1350000</v>
          </cell>
          <cell r="AL354">
            <v>15000</v>
          </cell>
          <cell r="AM354">
            <v>1650000</v>
          </cell>
          <cell r="AN354">
            <v>33000</v>
          </cell>
          <cell r="AO354">
            <v>150000</v>
          </cell>
          <cell r="AP354">
            <v>3150000</v>
          </cell>
          <cell r="AQ354"/>
          <cell r="AR354">
            <v>3150000</v>
          </cell>
          <cell r="AS354">
            <v>200000</v>
          </cell>
          <cell r="AT354">
            <v>2950000</v>
          </cell>
          <cell r="AU354">
            <v>100000</v>
          </cell>
          <cell r="AV354">
            <v>2850000</v>
          </cell>
          <cell r="AW354">
            <v>0</v>
          </cell>
          <cell r="AX354">
            <v>2850000</v>
          </cell>
        </row>
        <row r="355">
          <cell r="G355" t="str">
            <v>AGM-01-021-007</v>
          </cell>
          <cell r="H355" t="str">
            <v xml:space="preserve">Raemulan Lands, Inc. </v>
          </cell>
          <cell r="I355" t="str">
            <v>Agapeya</v>
          </cell>
          <cell r="J355" t="str">
            <v>AGM</v>
          </cell>
          <cell r="K355" t="str">
            <v>Eco-High</v>
          </cell>
          <cell r="L355" t="str">
            <v>West</v>
          </cell>
          <cell r="M355" t="str">
            <v>With LTS - 2026</v>
          </cell>
          <cell r="N355" t="str">
            <v>YES</v>
          </cell>
          <cell r="O355" t="str">
            <v>NO</v>
          </cell>
          <cell r="P355" t="str">
            <v>Unaffected lots</v>
          </cell>
          <cell r="Q355" t="str">
            <v>NO</v>
          </cell>
          <cell r="R355">
            <v>90</v>
          </cell>
          <cell r="S355" t="str">
            <v>PSD-04-277865</v>
          </cell>
          <cell r="T355" t="str">
            <v>TCT-060-2025019505</v>
          </cell>
          <cell r="U355" t="b">
            <v>1</v>
          </cell>
          <cell r="V355" t="str">
            <v>Done</v>
          </cell>
          <cell r="W355" t="str">
            <v>B3 2025</v>
          </cell>
          <cell r="X355" t="str">
            <v>2025 - Batch 4</v>
          </cell>
          <cell r="Y355">
            <v>21</v>
          </cell>
          <cell r="Z355">
            <v>7</v>
          </cell>
          <cell r="AA355" t="str">
            <v>H+L</v>
          </cell>
          <cell r="AB355">
            <v>90</v>
          </cell>
          <cell r="AC355">
            <v>50</v>
          </cell>
          <cell r="AD355" t="str">
            <v>Slant</v>
          </cell>
          <cell r="AE355" t="str">
            <v>Duplex</v>
          </cell>
          <cell r="AF355" t="str">
            <v>568 - Without Partition</v>
          </cell>
          <cell r="AG355" t="str">
            <v xml:space="preserve">Without Partition </v>
          </cell>
          <cell r="AH355" t="str">
            <v xml:space="preserve">Without Partition </v>
          </cell>
          <cell r="AI355" t="str">
            <v>GREEN</v>
          </cell>
          <cell r="AJ355" t="str">
            <v>Slant / GREEN</v>
          </cell>
          <cell r="AK355">
            <v>1350000</v>
          </cell>
          <cell r="AL355">
            <v>15000</v>
          </cell>
          <cell r="AM355">
            <v>1650000</v>
          </cell>
          <cell r="AN355">
            <v>33000</v>
          </cell>
          <cell r="AO355">
            <v>150000</v>
          </cell>
          <cell r="AP355">
            <v>3150000</v>
          </cell>
          <cell r="AQ355"/>
          <cell r="AR355">
            <v>3150000</v>
          </cell>
          <cell r="AS355">
            <v>200000</v>
          </cell>
          <cell r="AT355">
            <v>2950000</v>
          </cell>
          <cell r="AU355">
            <v>100000</v>
          </cell>
          <cell r="AV355">
            <v>2850000</v>
          </cell>
          <cell r="AW355">
            <v>0</v>
          </cell>
          <cell r="AX355">
            <v>2850000</v>
          </cell>
        </row>
        <row r="356">
          <cell r="G356" t="str">
            <v>AGM-01-021-008</v>
          </cell>
          <cell r="H356" t="str">
            <v xml:space="preserve">Raemulan Lands, Inc. </v>
          </cell>
          <cell r="I356" t="str">
            <v>Agapeya</v>
          </cell>
          <cell r="J356" t="str">
            <v>AGM</v>
          </cell>
          <cell r="K356" t="str">
            <v>Eco-High</v>
          </cell>
          <cell r="L356" t="str">
            <v>West</v>
          </cell>
          <cell r="M356" t="str">
            <v>With LTS - 2026</v>
          </cell>
          <cell r="N356" t="str">
            <v>YES</v>
          </cell>
          <cell r="O356" t="str">
            <v>NO</v>
          </cell>
          <cell r="P356" t="str">
            <v>Unaffected lots</v>
          </cell>
          <cell r="Q356" t="str">
            <v>NO</v>
          </cell>
          <cell r="R356">
            <v>90</v>
          </cell>
          <cell r="S356" t="str">
            <v>PSD-04-277865</v>
          </cell>
          <cell r="T356" t="str">
            <v>TCT-060-2025019506</v>
          </cell>
          <cell r="U356" t="b">
            <v>1</v>
          </cell>
          <cell r="V356" t="str">
            <v>Done</v>
          </cell>
          <cell r="W356" t="str">
            <v>B3 2025</v>
          </cell>
          <cell r="X356" t="str">
            <v>2025 - Batch 4</v>
          </cell>
          <cell r="Y356">
            <v>21</v>
          </cell>
          <cell r="Z356">
            <v>8</v>
          </cell>
          <cell r="AA356" t="str">
            <v>H+L</v>
          </cell>
          <cell r="AB356">
            <v>90</v>
          </cell>
          <cell r="AC356">
            <v>50</v>
          </cell>
          <cell r="AD356" t="str">
            <v>Flat</v>
          </cell>
          <cell r="AE356" t="str">
            <v>Duplex</v>
          </cell>
          <cell r="AF356" t="str">
            <v>568 - Without Partition</v>
          </cell>
          <cell r="AG356" t="str">
            <v xml:space="preserve">Without Partition </v>
          </cell>
          <cell r="AH356" t="str">
            <v xml:space="preserve">Without Partition </v>
          </cell>
          <cell r="AI356" t="str">
            <v>GREEN</v>
          </cell>
          <cell r="AJ356" t="str">
            <v>Flat / GREEN</v>
          </cell>
          <cell r="AK356">
            <v>1350000</v>
          </cell>
          <cell r="AL356">
            <v>15000</v>
          </cell>
          <cell r="AM356">
            <v>1650000</v>
          </cell>
          <cell r="AN356">
            <v>33000</v>
          </cell>
          <cell r="AO356">
            <v>150000</v>
          </cell>
          <cell r="AP356">
            <v>3150000</v>
          </cell>
          <cell r="AQ356"/>
          <cell r="AR356">
            <v>3150000</v>
          </cell>
          <cell r="AS356">
            <v>200000</v>
          </cell>
          <cell r="AT356">
            <v>2950000</v>
          </cell>
          <cell r="AU356">
            <v>100000</v>
          </cell>
          <cell r="AV356">
            <v>2850000</v>
          </cell>
          <cell r="AW356">
            <v>0</v>
          </cell>
          <cell r="AX356">
            <v>2850000</v>
          </cell>
        </row>
        <row r="357">
          <cell r="G357" t="str">
            <v>AGM-01-022-001</v>
          </cell>
          <cell r="H357" t="str">
            <v xml:space="preserve">Raemulan Lands, Inc. </v>
          </cell>
          <cell r="I357" t="str">
            <v>Agapeya</v>
          </cell>
          <cell r="J357" t="str">
            <v>AGM</v>
          </cell>
          <cell r="K357" t="str">
            <v>Eco-High</v>
          </cell>
          <cell r="L357" t="str">
            <v>West</v>
          </cell>
          <cell r="M357" t="str">
            <v>Without LTS</v>
          </cell>
          <cell r="N357"/>
          <cell r="O357"/>
          <cell r="P357" t="str">
            <v>Unaffected lots</v>
          </cell>
          <cell r="Q357" t="str">
            <v>NO</v>
          </cell>
          <cell r="R357">
            <v>80</v>
          </cell>
          <cell r="S357" t="str">
            <v>PCS-04-036367</v>
          </cell>
          <cell r="T357" t="str">
            <v>TCT-060-2026007147</v>
          </cell>
          <cell r="U357" t="b">
            <v>1</v>
          </cell>
          <cell r="V357" t="str">
            <v>Done</v>
          </cell>
          <cell r="W357" t="str">
            <v>B3 2025</v>
          </cell>
          <cell r="X357" t="str">
            <v>2025 - Batch 3</v>
          </cell>
          <cell r="Y357">
            <v>22</v>
          </cell>
          <cell r="Z357">
            <v>1</v>
          </cell>
          <cell r="AA357" t="str">
            <v>H+L</v>
          </cell>
          <cell r="AB357">
            <v>80</v>
          </cell>
          <cell r="AC357">
            <v>50</v>
          </cell>
          <cell r="AD357" t="str">
            <v>Flat</v>
          </cell>
          <cell r="AE357" t="str">
            <v>Duplex</v>
          </cell>
          <cell r="AF357" t="str">
            <v>568 - Without Partition</v>
          </cell>
          <cell r="AG357" t="str">
            <v xml:space="preserve">Without Partition </v>
          </cell>
          <cell r="AH357" t="str">
            <v xml:space="preserve">Without Partition </v>
          </cell>
          <cell r="AI357" t="str">
            <v>YELLOW</v>
          </cell>
          <cell r="AJ357" t="str">
            <v>Flat / YELLOW</v>
          </cell>
          <cell r="AK357">
            <v>1200000</v>
          </cell>
          <cell r="AL357">
            <v>15000</v>
          </cell>
          <cell r="AM357">
            <v>1650000</v>
          </cell>
          <cell r="AN357">
            <v>33000</v>
          </cell>
          <cell r="AO357">
            <v>150000</v>
          </cell>
          <cell r="AP357">
            <v>3000000</v>
          </cell>
          <cell r="AQ357"/>
          <cell r="AR357">
            <v>3000000</v>
          </cell>
          <cell r="AS357">
            <v>200000</v>
          </cell>
          <cell r="AT357">
            <v>2800000</v>
          </cell>
          <cell r="AU357">
            <v>100000</v>
          </cell>
          <cell r="AV357">
            <v>2700000</v>
          </cell>
          <cell r="AW357">
            <v>0</v>
          </cell>
          <cell r="AX357">
            <v>2700000</v>
          </cell>
        </row>
        <row r="358">
          <cell r="G358" t="str">
            <v>AGM-01-022-002</v>
          </cell>
          <cell r="H358" t="str">
            <v xml:space="preserve">Raemulan Lands, Inc. </v>
          </cell>
          <cell r="I358" t="str">
            <v>Agapeya</v>
          </cell>
          <cell r="J358" t="str">
            <v>AGM</v>
          </cell>
          <cell r="K358" t="str">
            <v>Eco-High</v>
          </cell>
          <cell r="L358" t="str">
            <v>West</v>
          </cell>
          <cell r="M358" t="str">
            <v>With LTS - 2026</v>
          </cell>
          <cell r="N358" t="str">
            <v>YES</v>
          </cell>
          <cell r="O358" t="str">
            <v>NO</v>
          </cell>
          <cell r="P358" t="str">
            <v>Unaffected lots</v>
          </cell>
          <cell r="Q358" t="str">
            <v>NO</v>
          </cell>
          <cell r="R358">
            <v>90</v>
          </cell>
          <cell r="S358" t="str">
            <v>PSD-04-277865</v>
          </cell>
          <cell r="T358" t="str">
            <v>TCT-060-2025019508</v>
          </cell>
          <cell r="U358" t="b">
            <v>1</v>
          </cell>
          <cell r="V358" t="str">
            <v>Done</v>
          </cell>
          <cell r="W358" t="str">
            <v>B3 2025</v>
          </cell>
          <cell r="X358" t="str">
            <v>2025 - Batch 3</v>
          </cell>
          <cell r="Y358">
            <v>22</v>
          </cell>
          <cell r="Z358">
            <v>2</v>
          </cell>
          <cell r="AA358" t="str">
            <v>H+L</v>
          </cell>
          <cell r="AB358">
            <v>90</v>
          </cell>
          <cell r="AC358">
            <v>50</v>
          </cell>
          <cell r="AD358" t="str">
            <v>Slant</v>
          </cell>
          <cell r="AE358" t="str">
            <v>Duplex</v>
          </cell>
          <cell r="AF358" t="str">
            <v>568 - Without Partition</v>
          </cell>
          <cell r="AG358" t="str">
            <v xml:space="preserve">Without Partition </v>
          </cell>
          <cell r="AH358" t="str">
            <v xml:space="preserve">Without Partition </v>
          </cell>
          <cell r="AI358" t="str">
            <v>YELLOW</v>
          </cell>
          <cell r="AJ358" t="str">
            <v>Slant / YELLOW</v>
          </cell>
          <cell r="AK358">
            <v>1350000</v>
          </cell>
          <cell r="AL358">
            <v>15000</v>
          </cell>
          <cell r="AM358">
            <v>1650000</v>
          </cell>
          <cell r="AN358">
            <v>33000</v>
          </cell>
          <cell r="AO358">
            <v>150000</v>
          </cell>
          <cell r="AP358">
            <v>3150000</v>
          </cell>
          <cell r="AQ358"/>
          <cell r="AR358">
            <v>3150000</v>
          </cell>
          <cell r="AS358">
            <v>200000</v>
          </cell>
          <cell r="AT358">
            <v>2950000</v>
          </cell>
          <cell r="AU358">
            <v>100000</v>
          </cell>
          <cell r="AV358">
            <v>2850000</v>
          </cell>
          <cell r="AW358">
            <v>0</v>
          </cell>
          <cell r="AX358">
            <v>2850000</v>
          </cell>
        </row>
        <row r="359">
          <cell r="G359" t="str">
            <v>AGM-01-022-003</v>
          </cell>
          <cell r="H359" t="str">
            <v xml:space="preserve">Raemulan Lands, Inc. </v>
          </cell>
          <cell r="I359" t="str">
            <v>Agapeya</v>
          </cell>
          <cell r="J359" t="str">
            <v>AGM</v>
          </cell>
          <cell r="K359" t="str">
            <v>Eco-High</v>
          </cell>
          <cell r="L359" t="str">
            <v>West</v>
          </cell>
          <cell r="M359" t="str">
            <v>With LTS - 2026</v>
          </cell>
          <cell r="N359" t="str">
            <v>YES</v>
          </cell>
          <cell r="O359" t="str">
            <v>NO</v>
          </cell>
          <cell r="P359" t="str">
            <v>Unaffected lots</v>
          </cell>
          <cell r="Q359" t="str">
            <v>NO</v>
          </cell>
          <cell r="R359">
            <v>90</v>
          </cell>
          <cell r="S359" t="str">
            <v>PSD-04-277865</v>
          </cell>
          <cell r="T359" t="str">
            <v>TCT-060-2025019509</v>
          </cell>
          <cell r="U359" t="b">
            <v>1</v>
          </cell>
          <cell r="V359" t="str">
            <v>Done</v>
          </cell>
          <cell r="W359" t="str">
            <v>B3 2025</v>
          </cell>
          <cell r="X359" t="str">
            <v>2025 - Batch 3</v>
          </cell>
          <cell r="Y359">
            <v>22</v>
          </cell>
          <cell r="Z359">
            <v>3</v>
          </cell>
          <cell r="AA359" t="str">
            <v>H+L</v>
          </cell>
          <cell r="AB359">
            <v>90</v>
          </cell>
          <cell r="AC359">
            <v>50</v>
          </cell>
          <cell r="AD359" t="str">
            <v>Slant</v>
          </cell>
          <cell r="AE359" t="str">
            <v>Duplex</v>
          </cell>
          <cell r="AF359" t="str">
            <v>568 - Without Partition</v>
          </cell>
          <cell r="AG359" t="str">
            <v xml:space="preserve">Without Partition </v>
          </cell>
          <cell r="AH359" t="str">
            <v xml:space="preserve">Without Partition </v>
          </cell>
          <cell r="AI359" t="str">
            <v>YELLOW</v>
          </cell>
          <cell r="AJ359" t="str">
            <v>Slant / YELLOW</v>
          </cell>
          <cell r="AK359">
            <v>1350000</v>
          </cell>
          <cell r="AL359">
            <v>15000</v>
          </cell>
          <cell r="AM359">
            <v>1650000</v>
          </cell>
          <cell r="AN359">
            <v>33000</v>
          </cell>
          <cell r="AO359">
            <v>150000</v>
          </cell>
          <cell r="AP359">
            <v>3150000</v>
          </cell>
          <cell r="AQ359"/>
          <cell r="AR359">
            <v>3150000</v>
          </cell>
          <cell r="AS359">
            <v>200000</v>
          </cell>
          <cell r="AT359">
            <v>2950000</v>
          </cell>
          <cell r="AU359">
            <v>100000</v>
          </cell>
          <cell r="AV359">
            <v>2850000</v>
          </cell>
          <cell r="AW359">
            <v>0</v>
          </cell>
          <cell r="AX359">
            <v>2850000</v>
          </cell>
        </row>
        <row r="360">
          <cell r="G360" t="str">
            <v>AGM-01-022-004</v>
          </cell>
          <cell r="H360" t="str">
            <v xml:space="preserve">Raemulan Lands, Inc. </v>
          </cell>
          <cell r="I360" t="str">
            <v>Agapeya</v>
          </cell>
          <cell r="J360" t="str">
            <v>AGM</v>
          </cell>
          <cell r="K360" t="str">
            <v>Eco-High</v>
          </cell>
          <cell r="L360" t="str">
            <v>West</v>
          </cell>
          <cell r="M360" t="str">
            <v>With LTS - 2026</v>
          </cell>
          <cell r="N360" t="str">
            <v>YES</v>
          </cell>
          <cell r="O360" t="str">
            <v>NO</v>
          </cell>
          <cell r="P360" t="str">
            <v>Unaffected lots</v>
          </cell>
          <cell r="Q360" t="str">
            <v>NO</v>
          </cell>
          <cell r="R360">
            <v>90</v>
          </cell>
          <cell r="S360" t="str">
            <v>PSD-04-277865</v>
          </cell>
          <cell r="T360" t="str">
            <v>TCT-060-2025019510</v>
          </cell>
          <cell r="U360" t="b">
            <v>1</v>
          </cell>
          <cell r="V360" t="str">
            <v>Done</v>
          </cell>
          <cell r="W360" t="str">
            <v>B3 2025</v>
          </cell>
          <cell r="X360" t="str">
            <v>2025 - Batch 3</v>
          </cell>
          <cell r="Y360">
            <v>22</v>
          </cell>
          <cell r="Z360">
            <v>4</v>
          </cell>
          <cell r="AA360" t="str">
            <v>H+L</v>
          </cell>
          <cell r="AB360">
            <v>90</v>
          </cell>
          <cell r="AC360">
            <v>50</v>
          </cell>
          <cell r="AD360" t="str">
            <v>Flat</v>
          </cell>
          <cell r="AE360" t="str">
            <v>Duplex</v>
          </cell>
          <cell r="AF360" t="str">
            <v>568 - Without Partition</v>
          </cell>
          <cell r="AG360" t="str">
            <v xml:space="preserve">Without Partition </v>
          </cell>
          <cell r="AH360" t="str">
            <v xml:space="preserve">Without Partition </v>
          </cell>
          <cell r="AI360" t="str">
            <v>YELLOW</v>
          </cell>
          <cell r="AJ360" t="str">
            <v>Flat / YELLOW</v>
          </cell>
          <cell r="AK360">
            <v>1350000</v>
          </cell>
          <cell r="AL360">
            <v>15000</v>
          </cell>
          <cell r="AM360">
            <v>1650000</v>
          </cell>
          <cell r="AN360">
            <v>33000</v>
          </cell>
          <cell r="AO360">
            <v>150000</v>
          </cell>
          <cell r="AP360">
            <v>3150000</v>
          </cell>
          <cell r="AQ360"/>
          <cell r="AR360">
            <v>3150000</v>
          </cell>
          <cell r="AS360">
            <v>200000</v>
          </cell>
          <cell r="AT360">
            <v>2950000</v>
          </cell>
          <cell r="AU360">
            <v>100000</v>
          </cell>
          <cell r="AV360">
            <v>2850000</v>
          </cell>
          <cell r="AW360">
            <v>0</v>
          </cell>
          <cell r="AX360">
            <v>2850000</v>
          </cell>
        </row>
        <row r="361">
          <cell r="G361" t="str">
            <v>AGM-01-022-005</v>
          </cell>
          <cell r="H361" t="str">
            <v xml:space="preserve">Raemulan Lands, Inc. </v>
          </cell>
          <cell r="I361" t="str">
            <v>Agapeya</v>
          </cell>
          <cell r="J361" t="str">
            <v>AGM</v>
          </cell>
          <cell r="K361" t="str">
            <v>Eco-High</v>
          </cell>
          <cell r="L361" t="str">
            <v>West</v>
          </cell>
          <cell r="M361" t="str">
            <v>With LTS - 2026</v>
          </cell>
          <cell r="N361" t="str">
            <v>YES</v>
          </cell>
          <cell r="O361" t="str">
            <v>NO</v>
          </cell>
          <cell r="P361" t="str">
            <v>Unaffected lots</v>
          </cell>
          <cell r="Q361" t="str">
            <v>NO</v>
          </cell>
          <cell r="R361">
            <v>109</v>
          </cell>
          <cell r="S361" t="str">
            <v>PSD-04-277865</v>
          </cell>
          <cell r="T361" t="str">
            <v>TCT-060-2025019511</v>
          </cell>
          <cell r="U361" t="b">
            <v>1</v>
          </cell>
          <cell r="V361" t="str">
            <v>Done</v>
          </cell>
          <cell r="W361" t="str">
            <v>B1 - Lot Only</v>
          </cell>
          <cell r="X361" t="str">
            <v>Lot Only - N/A</v>
          </cell>
          <cell r="Y361">
            <v>22</v>
          </cell>
          <cell r="Z361">
            <v>5</v>
          </cell>
          <cell r="AA361" t="str">
            <v>LO</v>
          </cell>
          <cell r="AB361">
            <v>109</v>
          </cell>
          <cell r="AC361" t="str">
            <v>N/A</v>
          </cell>
          <cell r="AD361" t="str">
            <v>-</v>
          </cell>
          <cell r="AE361" t="str">
            <v>Lot Only</v>
          </cell>
          <cell r="AF361" t="str">
            <v>N/A</v>
          </cell>
          <cell r="AG361" t="str">
            <v>N/A - LOT ONLY</v>
          </cell>
          <cell r="AH361" t="str">
            <v>N/A - LOT ONLY</v>
          </cell>
          <cell r="AI361" t="str">
            <v>N/A - LOT ONLY</v>
          </cell>
          <cell r="AJ361" t="str">
            <v>- / N/A - LOT ONLY</v>
          </cell>
          <cell r="AK361">
            <v>1635000</v>
          </cell>
          <cell r="AL361">
            <v>15000</v>
          </cell>
          <cell r="AM361">
            <v>0</v>
          </cell>
          <cell r="AN361">
            <v>0</v>
          </cell>
          <cell r="AO361">
            <v>100000</v>
          </cell>
          <cell r="AP361">
            <v>1735000</v>
          </cell>
          <cell r="AQ361"/>
          <cell r="AR361">
            <v>1735000</v>
          </cell>
          <cell r="AS361">
            <v>0</v>
          </cell>
          <cell r="AT361">
            <v>1735000</v>
          </cell>
          <cell r="AU361">
            <v>100000</v>
          </cell>
          <cell r="AV361">
            <v>1635000</v>
          </cell>
          <cell r="AW361">
            <v>0</v>
          </cell>
          <cell r="AX361">
            <v>1635000</v>
          </cell>
        </row>
        <row r="362">
          <cell r="G362" t="str">
            <v>AGM-01-022-006</v>
          </cell>
          <cell r="H362" t="str">
            <v xml:space="preserve">Raemulan Lands, Inc. </v>
          </cell>
          <cell r="I362" t="str">
            <v>Agapeya</v>
          </cell>
          <cell r="J362" t="str">
            <v>AGM</v>
          </cell>
          <cell r="K362" t="str">
            <v>Eco-High</v>
          </cell>
          <cell r="L362" t="str">
            <v>West</v>
          </cell>
          <cell r="M362" t="str">
            <v>With LTS - 2026</v>
          </cell>
          <cell r="N362" t="str">
            <v>YES</v>
          </cell>
          <cell r="O362" t="str">
            <v>NO</v>
          </cell>
          <cell r="P362" t="str">
            <v>Unaffected lots</v>
          </cell>
          <cell r="Q362" t="str">
            <v>NO</v>
          </cell>
          <cell r="R362">
            <v>80</v>
          </cell>
          <cell r="S362" t="str">
            <v>PSD-04-277865</v>
          </cell>
          <cell r="T362" t="str">
            <v>TCT-060-2025019512</v>
          </cell>
          <cell r="U362" t="b">
            <v>1</v>
          </cell>
          <cell r="V362" t="str">
            <v>Done</v>
          </cell>
          <cell r="W362" t="str">
            <v>B1 2025</v>
          </cell>
          <cell r="X362" t="str">
            <v>2025 - Batch 3</v>
          </cell>
          <cell r="Y362">
            <v>22</v>
          </cell>
          <cell r="Z362">
            <v>6</v>
          </cell>
          <cell r="AA362" t="str">
            <v>H+L</v>
          </cell>
          <cell r="AB362">
            <v>80</v>
          </cell>
          <cell r="AC362">
            <v>50</v>
          </cell>
          <cell r="AD362" t="str">
            <v>Slant</v>
          </cell>
          <cell r="AE362" t="str">
            <v>Duplex</v>
          </cell>
          <cell r="AF362" t="str">
            <v>568 - Without Partition</v>
          </cell>
          <cell r="AG362" t="str">
            <v xml:space="preserve">Without Partition </v>
          </cell>
          <cell r="AH362" t="str">
            <v xml:space="preserve">Without Partition </v>
          </cell>
          <cell r="AI362" t="str">
            <v>PURPLE</v>
          </cell>
          <cell r="AJ362" t="str">
            <v>Slant / PURPLE</v>
          </cell>
          <cell r="AK362">
            <v>1200000</v>
          </cell>
          <cell r="AL362">
            <v>15000</v>
          </cell>
          <cell r="AM362">
            <v>1650000</v>
          </cell>
          <cell r="AN362">
            <v>33000</v>
          </cell>
          <cell r="AO362">
            <v>150000</v>
          </cell>
          <cell r="AP362">
            <v>3000000</v>
          </cell>
          <cell r="AQ362"/>
          <cell r="AR362">
            <v>3000000</v>
          </cell>
          <cell r="AS362">
            <v>200000</v>
          </cell>
          <cell r="AT362">
            <v>2800000</v>
          </cell>
          <cell r="AU362">
            <v>100000</v>
          </cell>
          <cell r="AV362">
            <v>2700000</v>
          </cell>
          <cell r="AW362">
            <v>0</v>
          </cell>
          <cell r="AX362">
            <v>2700000</v>
          </cell>
        </row>
        <row r="363">
          <cell r="G363" t="str">
            <v>AGM-01-022-007</v>
          </cell>
          <cell r="H363" t="str">
            <v xml:space="preserve">Raemulan Lands, Inc. </v>
          </cell>
          <cell r="I363" t="str">
            <v>Agapeya</v>
          </cell>
          <cell r="J363" t="str">
            <v>AGM</v>
          </cell>
          <cell r="K363" t="str">
            <v>Eco-High</v>
          </cell>
          <cell r="L363" t="str">
            <v>West</v>
          </cell>
          <cell r="M363" t="str">
            <v>Without LTS</v>
          </cell>
          <cell r="N363"/>
          <cell r="O363"/>
          <cell r="P363" t="str">
            <v>Unaffected lots</v>
          </cell>
          <cell r="Q363" t="str">
            <v>NO</v>
          </cell>
          <cell r="R363">
            <v>70</v>
          </cell>
          <cell r="S363" t="str">
            <v>PCS-04-036367</v>
          </cell>
          <cell r="T363" t="str">
            <v>TCT-060-2026007148</v>
          </cell>
          <cell r="U363" t="b">
            <v>1</v>
          </cell>
          <cell r="V363" t="str">
            <v>Done</v>
          </cell>
          <cell r="W363" t="str">
            <v>B1 2025</v>
          </cell>
          <cell r="X363" t="str">
            <v>2025 - Batch 3</v>
          </cell>
          <cell r="Y363">
            <v>22</v>
          </cell>
          <cell r="Z363">
            <v>7</v>
          </cell>
          <cell r="AA363" t="str">
            <v>H+L</v>
          </cell>
          <cell r="AB363">
            <v>70</v>
          </cell>
          <cell r="AC363">
            <v>50</v>
          </cell>
          <cell r="AD363" t="str">
            <v>Flat</v>
          </cell>
          <cell r="AE363" t="str">
            <v>Duplex</v>
          </cell>
          <cell r="AF363" t="str">
            <v>568 - Without Partition</v>
          </cell>
          <cell r="AG363" t="str">
            <v xml:space="preserve">Without Partition </v>
          </cell>
          <cell r="AH363" t="str">
            <v xml:space="preserve">Without Partition </v>
          </cell>
          <cell r="AI363" t="str">
            <v>PURPLE</v>
          </cell>
          <cell r="AJ363" t="str">
            <v>Flat / PURPLE</v>
          </cell>
          <cell r="AK363">
            <v>1050000</v>
          </cell>
          <cell r="AL363">
            <v>15000</v>
          </cell>
          <cell r="AM363">
            <v>1650000</v>
          </cell>
          <cell r="AN363">
            <v>33000</v>
          </cell>
          <cell r="AO363">
            <v>150000</v>
          </cell>
          <cell r="AP363">
            <v>2850000</v>
          </cell>
          <cell r="AQ363"/>
          <cell r="AR363">
            <v>2850000</v>
          </cell>
          <cell r="AS363">
            <v>200000</v>
          </cell>
          <cell r="AT363">
            <v>2650000</v>
          </cell>
          <cell r="AU363">
            <v>100000</v>
          </cell>
          <cell r="AV363">
            <v>2550000</v>
          </cell>
          <cell r="AW363">
            <v>0</v>
          </cell>
          <cell r="AX363">
            <v>2550000</v>
          </cell>
        </row>
        <row r="364">
          <cell r="G364" t="str">
            <v>AGM-01-022-008</v>
          </cell>
          <cell r="H364" t="str">
            <v xml:space="preserve">Raemulan Lands, Inc. </v>
          </cell>
          <cell r="I364" t="str">
            <v>Agapeya</v>
          </cell>
          <cell r="J364" t="str">
            <v>AGM</v>
          </cell>
          <cell r="K364" t="str">
            <v>Eco-High</v>
          </cell>
          <cell r="L364" t="str">
            <v>West</v>
          </cell>
          <cell r="M364" t="str">
            <v>Without LTS</v>
          </cell>
          <cell r="N364"/>
          <cell r="O364"/>
          <cell r="P364" t="str">
            <v>Unaffected lots</v>
          </cell>
          <cell r="Q364" t="str">
            <v>NO</v>
          </cell>
          <cell r="R364">
            <v>70</v>
          </cell>
          <cell r="S364" t="str">
            <v>PCS-04-036367</v>
          </cell>
          <cell r="T364" t="str">
            <v>TCT-060-2026007149</v>
          </cell>
          <cell r="U364" t="b">
            <v>1</v>
          </cell>
          <cell r="V364" t="str">
            <v>Done</v>
          </cell>
          <cell r="W364" t="str">
            <v>B1 2025</v>
          </cell>
          <cell r="X364" t="str">
            <v>2025 - Batch 3</v>
          </cell>
          <cell r="Y364">
            <v>22</v>
          </cell>
          <cell r="Z364">
            <v>8</v>
          </cell>
          <cell r="AA364" t="str">
            <v>H+L</v>
          </cell>
          <cell r="AB364">
            <v>70</v>
          </cell>
          <cell r="AC364">
            <v>50</v>
          </cell>
          <cell r="AD364" t="str">
            <v>Flat</v>
          </cell>
          <cell r="AE364" t="str">
            <v>Duplex</v>
          </cell>
          <cell r="AF364" t="str">
            <v>568 - Without Partition</v>
          </cell>
          <cell r="AG364" t="str">
            <v xml:space="preserve">Without Partition </v>
          </cell>
          <cell r="AH364" t="str">
            <v xml:space="preserve">Without Partition </v>
          </cell>
          <cell r="AI364" t="str">
            <v>PURPLE</v>
          </cell>
          <cell r="AJ364" t="str">
            <v>Flat / PURPLE</v>
          </cell>
          <cell r="AK364">
            <v>1050000</v>
          </cell>
          <cell r="AL364">
            <v>15000</v>
          </cell>
          <cell r="AM364">
            <v>1650000</v>
          </cell>
          <cell r="AN364">
            <v>33000</v>
          </cell>
          <cell r="AO364">
            <v>150000</v>
          </cell>
          <cell r="AP364">
            <v>2850000</v>
          </cell>
          <cell r="AQ364"/>
          <cell r="AR364">
            <v>2850000</v>
          </cell>
          <cell r="AS364">
            <v>200000</v>
          </cell>
          <cell r="AT364">
            <v>2650000</v>
          </cell>
          <cell r="AU364">
            <v>100000</v>
          </cell>
          <cell r="AV364">
            <v>2550000</v>
          </cell>
          <cell r="AW364">
            <v>0</v>
          </cell>
          <cell r="AX364">
            <v>2550000</v>
          </cell>
        </row>
        <row r="365">
          <cell r="G365" t="str">
            <v>AGM-01-022-009</v>
          </cell>
          <cell r="H365" t="str">
            <v xml:space="preserve">Raemulan Lands, Inc. </v>
          </cell>
          <cell r="I365" t="str">
            <v>Agapeya</v>
          </cell>
          <cell r="J365" t="str">
            <v>AGM</v>
          </cell>
          <cell r="K365" t="str">
            <v>Eco-High</v>
          </cell>
          <cell r="L365" t="str">
            <v>West</v>
          </cell>
          <cell r="M365" t="str">
            <v>With LTS - 2024</v>
          </cell>
          <cell r="N365" t="str">
            <v>YES</v>
          </cell>
          <cell r="O365" t="str">
            <v>YES</v>
          </cell>
          <cell r="P365" t="str">
            <v>Unaffected lots</v>
          </cell>
          <cell r="Q365" t="str">
            <v>YES</v>
          </cell>
          <cell r="R365">
            <v>70</v>
          </cell>
          <cell r="S365" t="str">
            <v>PSD-04-276764</v>
          </cell>
          <cell r="T365" t="str">
            <v>TCT-060-2024018692</v>
          </cell>
          <cell r="U365" t="b">
            <v>1</v>
          </cell>
          <cell r="V365" t="str">
            <v>Done</v>
          </cell>
          <cell r="W365" t="str">
            <v>B1 2025</v>
          </cell>
          <cell r="X365" t="str">
            <v>2025 - Batch 3</v>
          </cell>
          <cell r="Y365">
            <v>22</v>
          </cell>
          <cell r="Z365">
            <v>9</v>
          </cell>
          <cell r="AA365" t="str">
            <v>H+L</v>
          </cell>
          <cell r="AB365">
            <v>70</v>
          </cell>
          <cell r="AC365">
            <v>50</v>
          </cell>
          <cell r="AD365" t="str">
            <v>Slant</v>
          </cell>
          <cell r="AE365" t="str">
            <v>Duplex</v>
          </cell>
          <cell r="AF365" t="str">
            <v>568 - Without Partition</v>
          </cell>
          <cell r="AG365" t="str">
            <v xml:space="preserve">Without Partition </v>
          </cell>
          <cell r="AH365" t="str">
            <v xml:space="preserve">Without Partition </v>
          </cell>
          <cell r="AI365" t="str">
            <v>PURPLE</v>
          </cell>
          <cell r="AJ365" t="str">
            <v>Slant / PURPLE</v>
          </cell>
          <cell r="AK365">
            <v>1050000</v>
          </cell>
          <cell r="AL365">
            <v>15000</v>
          </cell>
          <cell r="AM365">
            <v>1650000</v>
          </cell>
          <cell r="AN365">
            <v>33000</v>
          </cell>
          <cell r="AO365">
            <v>150000</v>
          </cell>
          <cell r="AP365">
            <v>2850000</v>
          </cell>
          <cell r="AQ365"/>
          <cell r="AR365">
            <v>2850000</v>
          </cell>
          <cell r="AS365">
            <v>200000</v>
          </cell>
          <cell r="AT365">
            <v>2650000</v>
          </cell>
          <cell r="AU365">
            <v>100000</v>
          </cell>
          <cell r="AV365">
            <v>2550000</v>
          </cell>
          <cell r="AW365">
            <v>0</v>
          </cell>
          <cell r="AX365">
            <v>2550000</v>
          </cell>
        </row>
        <row r="366">
          <cell r="G366" t="str">
            <v>AGM-01-022-010</v>
          </cell>
          <cell r="H366" t="str">
            <v xml:space="preserve">Raemulan Lands, Inc. </v>
          </cell>
          <cell r="I366" t="str">
            <v>Agapeya</v>
          </cell>
          <cell r="J366" t="str">
            <v>AGM</v>
          </cell>
          <cell r="K366" t="str">
            <v>Eco-High</v>
          </cell>
          <cell r="L366" t="str">
            <v>West</v>
          </cell>
          <cell r="M366" t="str">
            <v>With LTS - 2024</v>
          </cell>
          <cell r="N366" t="str">
            <v>YES</v>
          </cell>
          <cell r="O366" t="str">
            <v>YES</v>
          </cell>
          <cell r="P366" t="str">
            <v>Unaffected lots</v>
          </cell>
          <cell r="Q366" t="str">
            <v>YES</v>
          </cell>
          <cell r="R366">
            <v>70</v>
          </cell>
          <cell r="S366" t="str">
            <v>PCS-04-276764</v>
          </cell>
          <cell r="T366" t="str">
            <v>TCT-060-2024018693</v>
          </cell>
          <cell r="U366" t="b">
            <v>1</v>
          </cell>
          <cell r="V366" t="str">
            <v>Done</v>
          </cell>
          <cell r="W366" t="str">
            <v>B1 2025</v>
          </cell>
          <cell r="X366" t="str">
            <v>2025 - Batch 3</v>
          </cell>
          <cell r="Y366">
            <v>22</v>
          </cell>
          <cell r="Z366">
            <v>10</v>
          </cell>
          <cell r="AA366" t="str">
            <v>H+L</v>
          </cell>
          <cell r="AB366">
            <v>70</v>
          </cell>
          <cell r="AC366">
            <v>50</v>
          </cell>
          <cell r="AD366" t="str">
            <v>Slant</v>
          </cell>
          <cell r="AE366" t="str">
            <v>Duplex</v>
          </cell>
          <cell r="AF366" t="str">
            <v>568 - Without Partition</v>
          </cell>
          <cell r="AG366" t="str">
            <v xml:space="preserve">Without Partition </v>
          </cell>
          <cell r="AH366" t="str">
            <v xml:space="preserve">Without Partition </v>
          </cell>
          <cell r="AI366" t="str">
            <v>GREEN</v>
          </cell>
          <cell r="AJ366" t="str">
            <v>Slant / GREEN</v>
          </cell>
          <cell r="AK366">
            <v>1050000</v>
          </cell>
          <cell r="AL366">
            <v>15000</v>
          </cell>
          <cell r="AM366">
            <v>1650000</v>
          </cell>
          <cell r="AN366">
            <v>33000</v>
          </cell>
          <cell r="AO366">
            <v>150000</v>
          </cell>
          <cell r="AP366">
            <v>2850000</v>
          </cell>
          <cell r="AQ366"/>
          <cell r="AR366">
            <v>2850000</v>
          </cell>
          <cell r="AS366">
            <v>200000</v>
          </cell>
          <cell r="AT366">
            <v>2650000</v>
          </cell>
          <cell r="AU366">
            <v>100000</v>
          </cell>
          <cell r="AV366">
            <v>2550000</v>
          </cell>
          <cell r="AW366">
            <v>0</v>
          </cell>
          <cell r="AX366">
            <v>2550000</v>
          </cell>
        </row>
        <row r="367">
          <cell r="G367" t="str">
            <v>AGM-01-022-011</v>
          </cell>
          <cell r="H367" t="str">
            <v xml:space="preserve">Raemulan Lands, Inc. </v>
          </cell>
          <cell r="I367" t="str">
            <v>Agapeya</v>
          </cell>
          <cell r="J367" t="str">
            <v>AGM</v>
          </cell>
          <cell r="K367" t="str">
            <v>Eco-High</v>
          </cell>
          <cell r="L367" t="str">
            <v>West</v>
          </cell>
          <cell r="M367" t="str">
            <v>With LTS - 2024</v>
          </cell>
          <cell r="N367" t="str">
            <v>YES</v>
          </cell>
          <cell r="O367" t="str">
            <v>YES</v>
          </cell>
          <cell r="P367" t="str">
            <v>Unaffected lots</v>
          </cell>
          <cell r="Q367" t="str">
            <v>YES</v>
          </cell>
          <cell r="R367">
            <v>70</v>
          </cell>
          <cell r="S367" t="str">
            <v>PCS-04-276764</v>
          </cell>
          <cell r="T367" t="str">
            <v>TCT-060-2024018694</v>
          </cell>
          <cell r="U367" t="b">
            <v>1</v>
          </cell>
          <cell r="V367" t="str">
            <v>Done</v>
          </cell>
          <cell r="W367" t="str">
            <v>B1 2025</v>
          </cell>
          <cell r="X367" t="str">
            <v>2025 - Batch 3</v>
          </cell>
          <cell r="Y367">
            <v>22</v>
          </cell>
          <cell r="Z367">
            <v>11</v>
          </cell>
          <cell r="AA367" t="str">
            <v>H+L</v>
          </cell>
          <cell r="AB367">
            <v>70</v>
          </cell>
          <cell r="AC367">
            <v>50</v>
          </cell>
          <cell r="AD367" t="str">
            <v>Flat</v>
          </cell>
          <cell r="AE367" t="str">
            <v>Duplex</v>
          </cell>
          <cell r="AF367" t="str">
            <v>568 - Without Partition</v>
          </cell>
          <cell r="AG367" t="str">
            <v xml:space="preserve">Without Partition </v>
          </cell>
          <cell r="AH367" t="str">
            <v xml:space="preserve">Without Partition </v>
          </cell>
          <cell r="AI367" t="str">
            <v>GREEN</v>
          </cell>
          <cell r="AJ367" t="str">
            <v>Flat / GREEN</v>
          </cell>
          <cell r="AK367">
            <v>1050000</v>
          </cell>
          <cell r="AL367">
            <v>15000</v>
          </cell>
          <cell r="AM367">
            <v>1650000</v>
          </cell>
          <cell r="AN367">
            <v>33000</v>
          </cell>
          <cell r="AO367">
            <v>150000</v>
          </cell>
          <cell r="AP367">
            <v>2850000</v>
          </cell>
          <cell r="AQ367"/>
          <cell r="AR367">
            <v>2850000</v>
          </cell>
          <cell r="AS367">
            <v>200000</v>
          </cell>
          <cell r="AT367">
            <v>2650000</v>
          </cell>
          <cell r="AU367">
            <v>100000</v>
          </cell>
          <cell r="AV367">
            <v>2550000</v>
          </cell>
          <cell r="AW367">
            <v>0</v>
          </cell>
          <cell r="AX367">
            <v>2550000</v>
          </cell>
        </row>
        <row r="368">
          <cell r="G368" t="str">
            <v>AGM-01-022-012</v>
          </cell>
          <cell r="H368" t="str">
            <v xml:space="preserve">Raemulan Lands, Inc. </v>
          </cell>
          <cell r="I368" t="str">
            <v>Agapeya</v>
          </cell>
          <cell r="J368" t="str">
            <v>AGM</v>
          </cell>
          <cell r="K368" t="str">
            <v>Eco-High</v>
          </cell>
          <cell r="L368" t="str">
            <v>West</v>
          </cell>
          <cell r="M368" t="str">
            <v>With LTS - 2024</v>
          </cell>
          <cell r="N368" t="str">
            <v>YES</v>
          </cell>
          <cell r="O368" t="str">
            <v>YES</v>
          </cell>
          <cell r="P368" t="str">
            <v>Unaffected lots</v>
          </cell>
          <cell r="Q368" t="str">
            <v>YES</v>
          </cell>
          <cell r="R368">
            <v>90</v>
          </cell>
          <cell r="S368" t="str">
            <v>PCS-04-276764</v>
          </cell>
          <cell r="T368" t="str">
            <v>TCT-060-2024018695</v>
          </cell>
          <cell r="U368" t="b">
            <v>1</v>
          </cell>
          <cell r="V368" t="str">
            <v>Done</v>
          </cell>
          <cell r="W368" t="str">
            <v>B3 2025</v>
          </cell>
          <cell r="X368" t="str">
            <v>2025 - Batch 3</v>
          </cell>
          <cell r="Y368">
            <v>22</v>
          </cell>
          <cell r="Z368">
            <v>12</v>
          </cell>
          <cell r="AA368" t="str">
            <v>H+L</v>
          </cell>
          <cell r="AB368">
            <v>90</v>
          </cell>
          <cell r="AC368">
            <v>50</v>
          </cell>
          <cell r="AD368" t="str">
            <v>Flat</v>
          </cell>
          <cell r="AE368" t="str">
            <v>Duplex</v>
          </cell>
          <cell r="AF368" t="str">
            <v>568 - Without Partition</v>
          </cell>
          <cell r="AG368" t="str">
            <v xml:space="preserve">Without Partition </v>
          </cell>
          <cell r="AH368" t="str">
            <v xml:space="preserve">Without Partition </v>
          </cell>
          <cell r="AI368" t="str">
            <v>GREEN</v>
          </cell>
          <cell r="AJ368" t="str">
            <v>Flat / GREEN</v>
          </cell>
          <cell r="AK368">
            <v>1350000</v>
          </cell>
          <cell r="AL368">
            <v>15000</v>
          </cell>
          <cell r="AM368">
            <v>1650000</v>
          </cell>
          <cell r="AN368">
            <v>33000</v>
          </cell>
          <cell r="AO368">
            <v>150000</v>
          </cell>
          <cell r="AP368">
            <v>3150000</v>
          </cell>
          <cell r="AQ368"/>
          <cell r="AR368">
            <v>3150000</v>
          </cell>
          <cell r="AS368">
            <v>200000</v>
          </cell>
          <cell r="AT368">
            <v>2950000</v>
          </cell>
          <cell r="AU368">
            <v>100000</v>
          </cell>
          <cell r="AV368">
            <v>2850000</v>
          </cell>
          <cell r="AW368">
            <v>0</v>
          </cell>
          <cell r="AX368">
            <v>2850000</v>
          </cell>
        </row>
        <row r="369">
          <cell r="G369" t="str">
            <v>AGM-01-022-013</v>
          </cell>
          <cell r="H369" t="str">
            <v xml:space="preserve">Raemulan Lands, Inc. </v>
          </cell>
          <cell r="I369" t="str">
            <v>Agapeya</v>
          </cell>
          <cell r="J369" t="str">
            <v>AGM</v>
          </cell>
          <cell r="K369" t="str">
            <v>Eco-High</v>
          </cell>
          <cell r="L369" t="str">
            <v>West</v>
          </cell>
          <cell r="M369" t="str">
            <v>With LTS - 2024</v>
          </cell>
          <cell r="N369" t="str">
            <v>YES</v>
          </cell>
          <cell r="O369" t="str">
            <v>YES</v>
          </cell>
          <cell r="P369" t="str">
            <v>Unaffected lots</v>
          </cell>
          <cell r="Q369" t="str">
            <v>YES</v>
          </cell>
          <cell r="R369">
            <v>80</v>
          </cell>
          <cell r="S369" t="str">
            <v>PCS-04-276764</v>
          </cell>
          <cell r="T369" t="str">
            <v>TCT-060-2024018696</v>
          </cell>
          <cell r="U369" t="b">
            <v>1</v>
          </cell>
          <cell r="V369" t="str">
            <v>Done</v>
          </cell>
          <cell r="W369" t="str">
            <v>B3 2025</v>
          </cell>
          <cell r="X369" t="str">
            <v>2025 - Batch 3</v>
          </cell>
          <cell r="Y369">
            <v>22</v>
          </cell>
          <cell r="Z369">
            <v>13</v>
          </cell>
          <cell r="AA369" t="str">
            <v>H+L</v>
          </cell>
          <cell r="AB369">
            <v>80</v>
          </cell>
          <cell r="AC369">
            <v>50</v>
          </cell>
          <cell r="AD369" t="str">
            <v>Slant</v>
          </cell>
          <cell r="AE369" t="str">
            <v>Duplex</v>
          </cell>
          <cell r="AF369" t="str">
            <v>568 - Without Partition</v>
          </cell>
          <cell r="AG369" t="str">
            <v xml:space="preserve">Without Partition </v>
          </cell>
          <cell r="AH369" t="str">
            <v xml:space="preserve">Without Partition </v>
          </cell>
          <cell r="AI369" t="str">
            <v>GREEN</v>
          </cell>
          <cell r="AJ369" t="str">
            <v>Slant / GREEN</v>
          </cell>
          <cell r="AK369">
            <v>1200000</v>
          </cell>
          <cell r="AL369">
            <v>15000</v>
          </cell>
          <cell r="AM369">
            <v>1650000</v>
          </cell>
          <cell r="AN369">
            <v>33000</v>
          </cell>
          <cell r="AO369">
            <v>150000</v>
          </cell>
          <cell r="AP369">
            <v>3000000</v>
          </cell>
          <cell r="AQ369"/>
          <cell r="AR369">
            <v>3000000</v>
          </cell>
          <cell r="AS369">
            <v>200000</v>
          </cell>
          <cell r="AT369">
            <v>2800000</v>
          </cell>
          <cell r="AU369">
            <v>100000</v>
          </cell>
          <cell r="AV369">
            <v>2700000</v>
          </cell>
          <cell r="AW369">
            <v>0</v>
          </cell>
          <cell r="AX369">
            <v>2700000</v>
          </cell>
        </row>
        <row r="370">
          <cell r="G370" t="str">
            <v>AGM-01-023-001</v>
          </cell>
          <cell r="H370" t="str">
            <v xml:space="preserve">Raemulan Lands, Inc. </v>
          </cell>
          <cell r="I370" t="str">
            <v>Agapeya</v>
          </cell>
          <cell r="J370" t="str">
            <v>AGM</v>
          </cell>
          <cell r="K370" t="str">
            <v>Eco-High</v>
          </cell>
          <cell r="L370" t="str">
            <v>West</v>
          </cell>
          <cell r="M370" t="str">
            <v>With LTS - 2024</v>
          </cell>
          <cell r="N370" t="str">
            <v>YES</v>
          </cell>
          <cell r="O370" t="str">
            <v>YES</v>
          </cell>
          <cell r="P370" t="str">
            <v>Unaffected lots</v>
          </cell>
          <cell r="Q370" t="str">
            <v>YES</v>
          </cell>
          <cell r="R370">
            <v>96</v>
          </cell>
          <cell r="S370" t="str">
            <v>PCS-04-034407</v>
          </cell>
          <cell r="T370" t="str">
            <v>TCT-060-2024021493</v>
          </cell>
          <cell r="U370" t="b">
            <v>1</v>
          </cell>
          <cell r="V370" t="str">
            <v>Done</v>
          </cell>
          <cell r="W370" t="str">
            <v>B3 2025</v>
          </cell>
          <cell r="X370" t="str">
            <v>2025 - Batch 4</v>
          </cell>
          <cell r="Y370">
            <v>23</v>
          </cell>
          <cell r="Z370">
            <v>1</v>
          </cell>
          <cell r="AA370" t="str">
            <v>H+L</v>
          </cell>
          <cell r="AB370">
            <v>96</v>
          </cell>
          <cell r="AC370">
            <v>50</v>
          </cell>
          <cell r="AD370" t="str">
            <v>Slant</v>
          </cell>
          <cell r="AE370" t="str">
            <v>Duplex</v>
          </cell>
          <cell r="AF370" t="str">
            <v>568 - Without Partition</v>
          </cell>
          <cell r="AG370" t="str">
            <v xml:space="preserve">Without Partition </v>
          </cell>
          <cell r="AH370" t="str">
            <v xml:space="preserve">Without Partition </v>
          </cell>
          <cell r="AI370" t="str">
            <v>PINK</v>
          </cell>
          <cell r="AJ370" t="str">
            <v>Slant / PINK</v>
          </cell>
          <cell r="AK370">
            <v>1440000</v>
          </cell>
          <cell r="AL370">
            <v>15000</v>
          </cell>
          <cell r="AM370">
            <v>1650000</v>
          </cell>
          <cell r="AN370">
            <v>33000</v>
          </cell>
          <cell r="AO370">
            <v>150000</v>
          </cell>
          <cell r="AP370">
            <v>3240000</v>
          </cell>
          <cell r="AQ370"/>
          <cell r="AR370">
            <v>3240000</v>
          </cell>
          <cell r="AS370">
            <v>200000</v>
          </cell>
          <cell r="AT370">
            <v>3040000</v>
          </cell>
          <cell r="AU370">
            <v>100000</v>
          </cell>
          <cell r="AV370">
            <v>2940000</v>
          </cell>
          <cell r="AW370">
            <v>0</v>
          </cell>
          <cell r="AX370">
            <v>2940000</v>
          </cell>
        </row>
        <row r="371">
          <cell r="G371" t="str">
            <v>AGM-01-023-002</v>
          </cell>
          <cell r="H371" t="str">
            <v xml:space="preserve">Raemulan Lands, Inc. </v>
          </cell>
          <cell r="I371" t="str">
            <v>Agapeya</v>
          </cell>
          <cell r="J371" t="str">
            <v>AGM</v>
          </cell>
          <cell r="K371" t="str">
            <v>Eco-High</v>
          </cell>
          <cell r="L371" t="str">
            <v>West</v>
          </cell>
          <cell r="M371" t="str">
            <v>With LTS - 2024</v>
          </cell>
          <cell r="N371" t="str">
            <v>YES</v>
          </cell>
          <cell r="O371" t="str">
            <v>YES</v>
          </cell>
          <cell r="P371" t="str">
            <v>Unaffected lots</v>
          </cell>
          <cell r="Q371" t="str">
            <v>YES</v>
          </cell>
          <cell r="R371">
            <v>70</v>
          </cell>
          <cell r="S371" t="str">
            <v>PCS-04-034407</v>
          </cell>
          <cell r="T371" t="str">
            <v>TCT-060-2024021494</v>
          </cell>
          <cell r="U371" t="b">
            <v>1</v>
          </cell>
          <cell r="V371" t="str">
            <v>Done</v>
          </cell>
          <cell r="W371" t="str">
            <v>B3 2025</v>
          </cell>
          <cell r="X371" t="str">
            <v>2025 - Batch 4</v>
          </cell>
          <cell r="Y371">
            <v>23</v>
          </cell>
          <cell r="Z371">
            <v>2</v>
          </cell>
          <cell r="AA371" t="str">
            <v>H+L</v>
          </cell>
          <cell r="AB371">
            <v>70</v>
          </cell>
          <cell r="AC371">
            <v>50</v>
          </cell>
          <cell r="AD371" t="str">
            <v>Flat</v>
          </cell>
          <cell r="AE371" t="str">
            <v>Duplex</v>
          </cell>
          <cell r="AF371" t="str">
            <v>568 - Without Partition</v>
          </cell>
          <cell r="AG371" t="str">
            <v xml:space="preserve">Without Partition </v>
          </cell>
          <cell r="AH371" t="str">
            <v xml:space="preserve">Without Partition </v>
          </cell>
          <cell r="AI371" t="str">
            <v>PINK</v>
          </cell>
          <cell r="AJ371" t="str">
            <v>Flat / PINK</v>
          </cell>
          <cell r="AK371">
            <v>1050000</v>
          </cell>
          <cell r="AL371">
            <v>15000</v>
          </cell>
          <cell r="AM371">
            <v>1650000</v>
          </cell>
          <cell r="AN371">
            <v>33000</v>
          </cell>
          <cell r="AO371">
            <v>150000</v>
          </cell>
          <cell r="AP371">
            <v>2850000</v>
          </cell>
          <cell r="AQ371"/>
          <cell r="AR371">
            <v>2850000</v>
          </cell>
          <cell r="AS371">
            <v>200000</v>
          </cell>
          <cell r="AT371">
            <v>2650000</v>
          </cell>
          <cell r="AU371">
            <v>100000</v>
          </cell>
          <cell r="AV371">
            <v>2550000</v>
          </cell>
          <cell r="AW371">
            <v>0</v>
          </cell>
          <cell r="AX371">
            <v>2550000</v>
          </cell>
        </row>
        <row r="372">
          <cell r="G372" t="str">
            <v>AGM-01-023-003</v>
          </cell>
          <cell r="H372" t="str">
            <v xml:space="preserve">Raemulan Lands, Inc. </v>
          </cell>
          <cell r="I372" t="str">
            <v>Agapeya</v>
          </cell>
          <cell r="J372" t="str">
            <v>AGM</v>
          </cell>
          <cell r="K372" t="str">
            <v>Eco-High</v>
          </cell>
          <cell r="L372" t="str">
            <v>West</v>
          </cell>
          <cell r="M372" t="str">
            <v>With LTS - 2024</v>
          </cell>
          <cell r="N372" t="str">
            <v>YES</v>
          </cell>
          <cell r="O372" t="str">
            <v>YES</v>
          </cell>
          <cell r="P372" t="str">
            <v>Unaffected lots</v>
          </cell>
          <cell r="Q372" t="str">
            <v>YES</v>
          </cell>
          <cell r="R372">
            <v>70</v>
          </cell>
          <cell r="S372" t="str">
            <v>PCS-04-034407</v>
          </cell>
          <cell r="T372" t="str">
            <v>TCT-060-2024021495</v>
          </cell>
          <cell r="U372" t="b">
            <v>1</v>
          </cell>
          <cell r="V372" t="str">
            <v>Done</v>
          </cell>
          <cell r="W372" t="str">
            <v>B3 2025</v>
          </cell>
          <cell r="X372" t="str">
            <v>2025 - Batch 4</v>
          </cell>
          <cell r="Y372">
            <v>23</v>
          </cell>
          <cell r="Z372">
            <v>3</v>
          </cell>
          <cell r="AA372" t="str">
            <v>H+L</v>
          </cell>
          <cell r="AB372">
            <v>70</v>
          </cell>
          <cell r="AC372">
            <v>50</v>
          </cell>
          <cell r="AD372" t="str">
            <v>Flat</v>
          </cell>
          <cell r="AE372" t="str">
            <v>Duplex</v>
          </cell>
          <cell r="AF372" t="str">
            <v>568 - Without Partition</v>
          </cell>
          <cell r="AG372" t="str">
            <v xml:space="preserve">Without Partition </v>
          </cell>
          <cell r="AH372" t="str">
            <v xml:space="preserve">Without Partition </v>
          </cell>
          <cell r="AI372" t="str">
            <v>YELLOW</v>
          </cell>
          <cell r="AJ372" t="str">
            <v>Flat / YELLOW</v>
          </cell>
          <cell r="AK372">
            <v>1050000</v>
          </cell>
          <cell r="AL372">
            <v>15000</v>
          </cell>
          <cell r="AM372">
            <v>1650000</v>
          </cell>
          <cell r="AN372">
            <v>33000</v>
          </cell>
          <cell r="AO372">
            <v>150000</v>
          </cell>
          <cell r="AP372">
            <v>2850000</v>
          </cell>
          <cell r="AQ372"/>
          <cell r="AR372">
            <v>2850000</v>
          </cell>
          <cell r="AS372">
            <v>200000</v>
          </cell>
          <cell r="AT372">
            <v>2650000</v>
          </cell>
          <cell r="AU372">
            <v>100000</v>
          </cell>
          <cell r="AV372">
            <v>2550000</v>
          </cell>
          <cell r="AW372">
            <v>0</v>
          </cell>
          <cell r="AX372">
            <v>2550000</v>
          </cell>
        </row>
        <row r="373">
          <cell r="G373" t="str">
            <v>AGM-01-023-004</v>
          </cell>
          <cell r="H373" t="str">
            <v xml:space="preserve">Raemulan Lands, Inc. </v>
          </cell>
          <cell r="I373" t="str">
            <v>Agapeya</v>
          </cell>
          <cell r="J373" t="str">
            <v>AGM</v>
          </cell>
          <cell r="K373" t="str">
            <v>Eco-High</v>
          </cell>
          <cell r="L373" t="str">
            <v>West</v>
          </cell>
          <cell r="M373" t="str">
            <v>With LTS - 2024</v>
          </cell>
          <cell r="N373" t="str">
            <v>YES</v>
          </cell>
          <cell r="O373" t="str">
            <v>YES</v>
          </cell>
          <cell r="P373" t="str">
            <v>Unaffected lots</v>
          </cell>
          <cell r="Q373" t="str">
            <v>YES</v>
          </cell>
          <cell r="R373">
            <v>70</v>
          </cell>
          <cell r="S373" t="str">
            <v>PCS-04-034407</v>
          </cell>
          <cell r="T373" t="str">
            <v>TCT-060-2024021496</v>
          </cell>
          <cell r="U373" t="b">
            <v>1</v>
          </cell>
          <cell r="V373" t="str">
            <v>Done</v>
          </cell>
          <cell r="W373" t="str">
            <v>B3 2025</v>
          </cell>
          <cell r="X373" t="str">
            <v>2025 - Batch 4</v>
          </cell>
          <cell r="Y373">
            <v>23</v>
          </cell>
          <cell r="Z373">
            <v>4</v>
          </cell>
          <cell r="AA373" t="str">
            <v>H+L</v>
          </cell>
          <cell r="AB373">
            <v>70</v>
          </cell>
          <cell r="AC373">
            <v>50</v>
          </cell>
          <cell r="AD373" t="str">
            <v>Slant</v>
          </cell>
          <cell r="AE373" t="str">
            <v>Duplex</v>
          </cell>
          <cell r="AF373" t="str">
            <v>568 - Without Partition</v>
          </cell>
          <cell r="AG373" t="str">
            <v xml:space="preserve">Without Partition </v>
          </cell>
          <cell r="AH373" t="str">
            <v xml:space="preserve">Without Partition </v>
          </cell>
          <cell r="AI373" t="str">
            <v>YELLOW</v>
          </cell>
          <cell r="AJ373" t="str">
            <v>Slant / YELLOW</v>
          </cell>
          <cell r="AK373">
            <v>1050000</v>
          </cell>
          <cell r="AL373">
            <v>15000</v>
          </cell>
          <cell r="AM373">
            <v>1650000</v>
          </cell>
          <cell r="AN373">
            <v>33000</v>
          </cell>
          <cell r="AO373">
            <v>150000</v>
          </cell>
          <cell r="AP373">
            <v>2850000</v>
          </cell>
          <cell r="AQ373"/>
          <cell r="AR373">
            <v>2850000</v>
          </cell>
          <cell r="AS373">
            <v>200000</v>
          </cell>
          <cell r="AT373">
            <v>2650000</v>
          </cell>
          <cell r="AU373">
            <v>100000</v>
          </cell>
          <cell r="AV373">
            <v>2550000</v>
          </cell>
          <cell r="AW373">
            <v>0</v>
          </cell>
          <cell r="AX373">
            <v>2550000</v>
          </cell>
        </row>
        <row r="374">
          <cell r="G374" t="str">
            <v>AGM-01-023-005</v>
          </cell>
          <cell r="H374" t="str">
            <v xml:space="preserve">Raemulan Lands, Inc. </v>
          </cell>
          <cell r="I374" t="str">
            <v>Agapeya</v>
          </cell>
          <cell r="J374" t="str">
            <v>AGM</v>
          </cell>
          <cell r="K374" t="str">
            <v>Eco-High</v>
          </cell>
          <cell r="L374" t="str">
            <v>West</v>
          </cell>
          <cell r="M374" t="str">
            <v>With LTS - 2024</v>
          </cell>
          <cell r="N374" t="str">
            <v>YES</v>
          </cell>
          <cell r="O374" t="str">
            <v>YES</v>
          </cell>
          <cell r="P374" t="str">
            <v>Unaffected lots</v>
          </cell>
          <cell r="Q374" t="str">
            <v>YES</v>
          </cell>
          <cell r="R374">
            <v>70</v>
          </cell>
          <cell r="S374" t="str">
            <v>PCS-04-034407</v>
          </cell>
          <cell r="T374" t="str">
            <v>TCT-060-2024021497</v>
          </cell>
          <cell r="U374" t="b">
            <v>1</v>
          </cell>
          <cell r="V374" t="str">
            <v>Done</v>
          </cell>
          <cell r="W374" t="str">
            <v>B3 2025</v>
          </cell>
          <cell r="X374" t="str">
            <v>2025 - Batch 4</v>
          </cell>
          <cell r="Y374">
            <v>23</v>
          </cell>
          <cell r="Z374">
            <v>5</v>
          </cell>
          <cell r="AA374" t="str">
            <v>H+L</v>
          </cell>
          <cell r="AB374">
            <v>70</v>
          </cell>
          <cell r="AC374">
            <v>50</v>
          </cell>
          <cell r="AD374" t="str">
            <v>Slant</v>
          </cell>
          <cell r="AE374" t="str">
            <v>Duplex</v>
          </cell>
          <cell r="AF374" t="str">
            <v>568 - Without Partition</v>
          </cell>
          <cell r="AG374" t="str">
            <v xml:space="preserve">Without Partition </v>
          </cell>
          <cell r="AH374" t="str">
            <v xml:space="preserve">Without Partition </v>
          </cell>
          <cell r="AI374" t="str">
            <v>YELLOW</v>
          </cell>
          <cell r="AJ374" t="str">
            <v>Slant / YELLOW</v>
          </cell>
          <cell r="AK374">
            <v>1050000</v>
          </cell>
          <cell r="AL374">
            <v>15000</v>
          </cell>
          <cell r="AM374">
            <v>1650000</v>
          </cell>
          <cell r="AN374">
            <v>33000</v>
          </cell>
          <cell r="AO374">
            <v>150000</v>
          </cell>
          <cell r="AP374">
            <v>2850000</v>
          </cell>
          <cell r="AQ374"/>
          <cell r="AR374">
            <v>2850000</v>
          </cell>
          <cell r="AS374">
            <v>200000</v>
          </cell>
          <cell r="AT374">
            <v>2650000</v>
          </cell>
          <cell r="AU374">
            <v>100000</v>
          </cell>
          <cell r="AV374">
            <v>2550000</v>
          </cell>
          <cell r="AW374">
            <v>0</v>
          </cell>
          <cell r="AX374">
            <v>2550000</v>
          </cell>
        </row>
        <row r="375">
          <cell r="G375" t="str">
            <v>AGM-01-023-006</v>
          </cell>
          <cell r="H375" t="str">
            <v xml:space="preserve">Raemulan Lands, Inc. </v>
          </cell>
          <cell r="I375" t="str">
            <v>Agapeya</v>
          </cell>
          <cell r="J375" t="str">
            <v>AGM</v>
          </cell>
          <cell r="K375" t="str">
            <v>Eco-High</v>
          </cell>
          <cell r="L375" t="str">
            <v>West</v>
          </cell>
          <cell r="M375" t="str">
            <v>With LTS - 2024</v>
          </cell>
          <cell r="N375" t="str">
            <v>YES</v>
          </cell>
          <cell r="O375" t="str">
            <v>YES</v>
          </cell>
          <cell r="P375" t="str">
            <v>Unaffected lots</v>
          </cell>
          <cell r="Q375" t="str">
            <v>YES</v>
          </cell>
          <cell r="R375">
            <v>70</v>
          </cell>
          <cell r="S375" t="str">
            <v>PCS-04-034407</v>
          </cell>
          <cell r="T375" t="str">
            <v>TCT-060-2024021498</v>
          </cell>
          <cell r="U375" t="b">
            <v>1</v>
          </cell>
          <cell r="V375" t="str">
            <v>Done</v>
          </cell>
          <cell r="W375" t="str">
            <v>B3 2025</v>
          </cell>
          <cell r="X375" t="str">
            <v>2025 - Batch 4</v>
          </cell>
          <cell r="Y375">
            <v>23</v>
          </cell>
          <cell r="Z375">
            <v>6</v>
          </cell>
          <cell r="AA375" t="str">
            <v>H+L</v>
          </cell>
          <cell r="AB375">
            <v>70</v>
          </cell>
          <cell r="AC375">
            <v>50</v>
          </cell>
          <cell r="AD375" t="str">
            <v>Flat</v>
          </cell>
          <cell r="AE375" t="str">
            <v>Duplex</v>
          </cell>
          <cell r="AF375" t="str">
            <v>568 - Without Partition</v>
          </cell>
          <cell r="AG375" t="str">
            <v xml:space="preserve">Without Partition </v>
          </cell>
          <cell r="AH375" t="str">
            <v xml:space="preserve">Without Partition </v>
          </cell>
          <cell r="AI375" t="str">
            <v>YELLOW</v>
          </cell>
          <cell r="AJ375" t="str">
            <v>Flat / YELLOW</v>
          </cell>
          <cell r="AK375">
            <v>1050000</v>
          </cell>
          <cell r="AL375">
            <v>15000</v>
          </cell>
          <cell r="AM375">
            <v>1650000</v>
          </cell>
          <cell r="AN375">
            <v>33000</v>
          </cell>
          <cell r="AO375">
            <v>150000</v>
          </cell>
          <cell r="AP375">
            <v>2850000</v>
          </cell>
          <cell r="AQ375"/>
          <cell r="AR375">
            <v>2850000</v>
          </cell>
          <cell r="AS375">
            <v>200000</v>
          </cell>
          <cell r="AT375">
            <v>2650000</v>
          </cell>
          <cell r="AU375">
            <v>100000</v>
          </cell>
          <cell r="AV375">
            <v>2550000</v>
          </cell>
          <cell r="AW375">
            <v>0</v>
          </cell>
          <cell r="AX375">
            <v>2550000</v>
          </cell>
        </row>
        <row r="376">
          <cell r="G376" t="str">
            <v>AGM-01-023-007</v>
          </cell>
          <cell r="H376" t="str">
            <v xml:space="preserve">Raemulan Lands, Inc. </v>
          </cell>
          <cell r="I376" t="str">
            <v>Agapeya</v>
          </cell>
          <cell r="J376" t="str">
            <v>AGM</v>
          </cell>
          <cell r="K376" t="str">
            <v>Eco-High</v>
          </cell>
          <cell r="L376" t="str">
            <v>West</v>
          </cell>
          <cell r="M376" t="str">
            <v>With LTS - 2024</v>
          </cell>
          <cell r="N376" t="str">
            <v>YES</v>
          </cell>
          <cell r="O376" t="str">
            <v>YES</v>
          </cell>
          <cell r="P376" t="str">
            <v>Unaffected lots</v>
          </cell>
          <cell r="Q376" t="str">
            <v>YES</v>
          </cell>
          <cell r="R376">
            <v>70</v>
          </cell>
          <cell r="S376" t="str">
            <v>PCS-04-034407</v>
          </cell>
          <cell r="T376" t="str">
            <v>TCT-060-2024021499</v>
          </cell>
          <cell r="U376" t="b">
            <v>1</v>
          </cell>
          <cell r="V376" t="str">
            <v>Done</v>
          </cell>
          <cell r="W376" t="str">
            <v>B3 2025</v>
          </cell>
          <cell r="X376" t="str">
            <v>2025 - Batch 6</v>
          </cell>
          <cell r="Y376">
            <v>23</v>
          </cell>
          <cell r="Z376">
            <v>7</v>
          </cell>
          <cell r="AA376" t="str">
            <v>H+L</v>
          </cell>
          <cell r="AB376">
            <v>70</v>
          </cell>
          <cell r="AC376">
            <v>50</v>
          </cell>
          <cell r="AD376" t="str">
            <v>Flat</v>
          </cell>
          <cell r="AE376" t="str">
            <v>Duplex</v>
          </cell>
          <cell r="AF376" t="str">
            <v>568 - Without Partition</v>
          </cell>
          <cell r="AG376" t="str">
            <v xml:space="preserve">Without Partition </v>
          </cell>
          <cell r="AH376" t="str">
            <v xml:space="preserve">Without Partition </v>
          </cell>
          <cell r="AI376" t="str">
            <v>GREEN</v>
          </cell>
          <cell r="AJ376" t="str">
            <v>Flat / GREEN</v>
          </cell>
          <cell r="AK376">
            <v>1050000</v>
          </cell>
          <cell r="AL376">
            <v>15000</v>
          </cell>
          <cell r="AM376">
            <v>1650000</v>
          </cell>
          <cell r="AN376">
            <v>33000</v>
          </cell>
          <cell r="AO376">
            <v>150000</v>
          </cell>
          <cell r="AP376">
            <v>2850000</v>
          </cell>
          <cell r="AQ376"/>
          <cell r="AR376">
            <v>2850000</v>
          </cell>
          <cell r="AS376">
            <v>200000</v>
          </cell>
          <cell r="AT376">
            <v>2650000</v>
          </cell>
          <cell r="AU376">
            <v>100000</v>
          </cell>
          <cell r="AV376">
            <v>2550000</v>
          </cell>
          <cell r="AW376">
            <v>0</v>
          </cell>
          <cell r="AX376">
            <v>2550000</v>
          </cell>
        </row>
        <row r="377">
          <cell r="G377" t="str">
            <v>AGM-01-023-008</v>
          </cell>
          <cell r="H377" t="str">
            <v xml:space="preserve">Raemulan Lands, Inc. </v>
          </cell>
          <cell r="I377" t="str">
            <v>Agapeya</v>
          </cell>
          <cell r="J377" t="str">
            <v>AGM</v>
          </cell>
          <cell r="K377" t="str">
            <v>Eco-High</v>
          </cell>
          <cell r="L377" t="str">
            <v>West</v>
          </cell>
          <cell r="M377" t="str">
            <v>With LTS - 2024</v>
          </cell>
          <cell r="N377" t="str">
            <v>YES</v>
          </cell>
          <cell r="O377" t="str">
            <v>YES</v>
          </cell>
          <cell r="P377" t="str">
            <v>Unaffected lots</v>
          </cell>
          <cell r="Q377" t="str">
            <v>YES</v>
          </cell>
          <cell r="R377">
            <v>70</v>
          </cell>
          <cell r="S377" t="str">
            <v>PCS-04-034407</v>
          </cell>
          <cell r="T377" t="str">
            <v>TCT-060-2024021500</v>
          </cell>
          <cell r="U377" t="b">
            <v>1</v>
          </cell>
          <cell r="V377" t="str">
            <v>Done</v>
          </cell>
          <cell r="W377" t="str">
            <v>B3 2025</v>
          </cell>
          <cell r="X377" t="str">
            <v>2025 - Batch 6</v>
          </cell>
          <cell r="Y377">
            <v>23</v>
          </cell>
          <cell r="Z377">
            <v>8</v>
          </cell>
          <cell r="AA377" t="str">
            <v>H+L</v>
          </cell>
          <cell r="AB377">
            <v>70</v>
          </cell>
          <cell r="AC377">
            <v>50</v>
          </cell>
          <cell r="AD377" t="str">
            <v>Slant</v>
          </cell>
          <cell r="AE377" t="str">
            <v>Duplex</v>
          </cell>
          <cell r="AF377" t="str">
            <v>568 - Without Partition</v>
          </cell>
          <cell r="AG377" t="str">
            <v xml:space="preserve">Without Partition </v>
          </cell>
          <cell r="AH377" t="str">
            <v xml:space="preserve">Without Partition </v>
          </cell>
          <cell r="AI377" t="str">
            <v>GREEN</v>
          </cell>
          <cell r="AJ377" t="str">
            <v>Slant / GREEN</v>
          </cell>
          <cell r="AK377">
            <v>1050000</v>
          </cell>
          <cell r="AL377">
            <v>15000</v>
          </cell>
          <cell r="AM377">
            <v>1650000</v>
          </cell>
          <cell r="AN377">
            <v>33000</v>
          </cell>
          <cell r="AO377">
            <v>150000</v>
          </cell>
          <cell r="AP377">
            <v>2850000</v>
          </cell>
          <cell r="AQ377"/>
          <cell r="AR377">
            <v>2850000</v>
          </cell>
          <cell r="AS377">
            <v>200000</v>
          </cell>
          <cell r="AT377">
            <v>2650000</v>
          </cell>
          <cell r="AU377">
            <v>100000</v>
          </cell>
          <cell r="AV377">
            <v>2550000</v>
          </cell>
          <cell r="AW377">
            <v>0</v>
          </cell>
          <cell r="AX377">
            <v>2550000</v>
          </cell>
        </row>
        <row r="378">
          <cell r="G378" t="str">
            <v>AGM-01-023-009</v>
          </cell>
          <cell r="H378" t="str">
            <v xml:space="preserve">Raemulan Lands, Inc. </v>
          </cell>
          <cell r="I378" t="str">
            <v>Agapeya</v>
          </cell>
          <cell r="J378" t="str">
            <v>AGM</v>
          </cell>
          <cell r="K378" t="str">
            <v>Eco-High</v>
          </cell>
          <cell r="L378" t="str">
            <v>West</v>
          </cell>
          <cell r="M378" t="str">
            <v>With LTS - 2024</v>
          </cell>
          <cell r="N378" t="str">
            <v>YES</v>
          </cell>
          <cell r="O378" t="str">
            <v>YES</v>
          </cell>
          <cell r="P378" t="str">
            <v>Unaffected lots</v>
          </cell>
          <cell r="Q378" t="str">
            <v>YES</v>
          </cell>
          <cell r="R378">
            <v>70</v>
          </cell>
          <cell r="S378" t="str">
            <v>PCS-04-034407</v>
          </cell>
          <cell r="T378" t="str">
            <v>TCT-060-2024021501</v>
          </cell>
          <cell r="U378" t="b">
            <v>1</v>
          </cell>
          <cell r="V378" t="str">
            <v>Done</v>
          </cell>
          <cell r="W378" t="str">
            <v>B3 2025</v>
          </cell>
          <cell r="X378" t="str">
            <v>2025 - Batch 6</v>
          </cell>
          <cell r="Y378">
            <v>23</v>
          </cell>
          <cell r="Z378">
            <v>9</v>
          </cell>
          <cell r="AA378" t="str">
            <v>H+L</v>
          </cell>
          <cell r="AB378">
            <v>70</v>
          </cell>
          <cell r="AC378">
            <v>50</v>
          </cell>
          <cell r="AD378" t="str">
            <v>Slant</v>
          </cell>
          <cell r="AE378" t="str">
            <v>Duplex</v>
          </cell>
          <cell r="AF378" t="str">
            <v>568 - Without Partition</v>
          </cell>
          <cell r="AG378" t="str">
            <v xml:space="preserve">Without Partition </v>
          </cell>
          <cell r="AH378" t="str">
            <v xml:space="preserve">Without Partition </v>
          </cell>
          <cell r="AI378" t="str">
            <v>GREEN</v>
          </cell>
          <cell r="AJ378" t="str">
            <v>Slant / GREEN</v>
          </cell>
          <cell r="AK378">
            <v>1050000</v>
          </cell>
          <cell r="AL378">
            <v>15000</v>
          </cell>
          <cell r="AM378">
            <v>1650000</v>
          </cell>
          <cell r="AN378">
            <v>33000</v>
          </cell>
          <cell r="AO378">
            <v>150000</v>
          </cell>
          <cell r="AP378">
            <v>2850000</v>
          </cell>
          <cell r="AQ378"/>
          <cell r="AR378">
            <v>2850000</v>
          </cell>
          <cell r="AS378">
            <v>200000</v>
          </cell>
          <cell r="AT378">
            <v>2650000</v>
          </cell>
          <cell r="AU378">
            <v>100000</v>
          </cell>
          <cell r="AV378">
            <v>2550000</v>
          </cell>
          <cell r="AW378">
            <v>0</v>
          </cell>
          <cell r="AX378">
            <v>2550000</v>
          </cell>
        </row>
        <row r="379">
          <cell r="G379" t="str">
            <v>AGM-01-023-010</v>
          </cell>
          <cell r="H379" t="str">
            <v xml:space="preserve">Raemulan Lands, Inc. </v>
          </cell>
          <cell r="I379" t="str">
            <v>Agapeya</v>
          </cell>
          <cell r="J379" t="str">
            <v>AGM</v>
          </cell>
          <cell r="K379" t="str">
            <v>Eco-High</v>
          </cell>
          <cell r="L379" t="str">
            <v>West</v>
          </cell>
          <cell r="M379" t="str">
            <v>With LTS - 2024</v>
          </cell>
          <cell r="N379" t="str">
            <v>YES</v>
          </cell>
          <cell r="O379" t="str">
            <v>YES</v>
          </cell>
          <cell r="P379" t="str">
            <v>Unaffected lots</v>
          </cell>
          <cell r="Q379" t="str">
            <v>YES</v>
          </cell>
          <cell r="R379">
            <v>70</v>
          </cell>
          <cell r="S379" t="str">
            <v>PCS-04-034407</v>
          </cell>
          <cell r="T379" t="str">
            <v>TCT-060-2024021502</v>
          </cell>
          <cell r="U379" t="b">
            <v>1</v>
          </cell>
          <cell r="V379" t="str">
            <v>Done</v>
          </cell>
          <cell r="W379" t="str">
            <v>B3 2025</v>
          </cell>
          <cell r="X379" t="str">
            <v>2025 - Batch 6</v>
          </cell>
          <cell r="Y379">
            <v>23</v>
          </cell>
          <cell r="Z379">
            <v>10</v>
          </cell>
          <cell r="AA379" t="str">
            <v>H+L</v>
          </cell>
          <cell r="AB379">
            <v>70</v>
          </cell>
          <cell r="AC379">
            <v>50</v>
          </cell>
          <cell r="AD379" t="str">
            <v>Flat</v>
          </cell>
          <cell r="AE379" t="str">
            <v>Duplex</v>
          </cell>
          <cell r="AF379" t="str">
            <v>568 - Without Partition</v>
          </cell>
          <cell r="AG379" t="str">
            <v xml:space="preserve">Without Partition </v>
          </cell>
          <cell r="AH379" t="str">
            <v xml:space="preserve">Without Partition </v>
          </cell>
          <cell r="AI379" t="str">
            <v>GREEN</v>
          </cell>
          <cell r="AJ379" t="str">
            <v>Flat / GREEN</v>
          </cell>
          <cell r="AK379">
            <v>1050000</v>
          </cell>
          <cell r="AL379">
            <v>15000</v>
          </cell>
          <cell r="AM379">
            <v>1650000</v>
          </cell>
          <cell r="AN379">
            <v>33000</v>
          </cell>
          <cell r="AO379">
            <v>150000</v>
          </cell>
          <cell r="AP379">
            <v>2850000</v>
          </cell>
          <cell r="AQ379"/>
          <cell r="AR379">
            <v>2850000</v>
          </cell>
          <cell r="AS379">
            <v>200000</v>
          </cell>
          <cell r="AT379">
            <v>2650000</v>
          </cell>
          <cell r="AU379">
            <v>100000</v>
          </cell>
          <cell r="AV379">
            <v>2550000</v>
          </cell>
          <cell r="AW379">
            <v>0</v>
          </cell>
          <cell r="AX379">
            <v>2550000</v>
          </cell>
        </row>
        <row r="380">
          <cell r="G380" t="str">
            <v>AGM-01-023-011</v>
          </cell>
          <cell r="H380" t="str">
            <v xml:space="preserve">Raemulan Lands, Inc. </v>
          </cell>
          <cell r="I380" t="str">
            <v>Agapeya</v>
          </cell>
          <cell r="J380" t="str">
            <v>AGM</v>
          </cell>
          <cell r="K380" t="str">
            <v>Eco-High</v>
          </cell>
          <cell r="L380" t="str">
            <v>West</v>
          </cell>
          <cell r="M380" t="str">
            <v>Without LTS</v>
          </cell>
          <cell r="N380"/>
          <cell r="O380"/>
          <cell r="P380" t="str">
            <v>Unaffected lots</v>
          </cell>
          <cell r="Q380" t="str">
            <v>NO</v>
          </cell>
          <cell r="R380">
            <v>70</v>
          </cell>
          <cell r="S380" t="str">
            <v>PCS-04-036369</v>
          </cell>
          <cell r="T380" t="str">
            <v>TCT-060-2026007159</v>
          </cell>
          <cell r="U380" t="b">
            <v>1</v>
          </cell>
          <cell r="V380" t="str">
            <v>Done</v>
          </cell>
          <cell r="W380" t="str">
            <v>B3 2025</v>
          </cell>
          <cell r="X380" t="str">
            <v>2025 - Batch 6</v>
          </cell>
          <cell r="Y380">
            <v>23</v>
          </cell>
          <cell r="Z380">
            <v>11</v>
          </cell>
          <cell r="AA380" t="str">
            <v>H+L</v>
          </cell>
          <cell r="AB380">
            <v>70</v>
          </cell>
          <cell r="AC380">
            <v>50</v>
          </cell>
          <cell r="AD380" t="str">
            <v>Flat</v>
          </cell>
          <cell r="AE380" t="str">
            <v>Duplex</v>
          </cell>
          <cell r="AF380" t="str">
            <v>568 - Without Partition</v>
          </cell>
          <cell r="AG380" t="str">
            <v xml:space="preserve">Without Partition </v>
          </cell>
          <cell r="AH380" t="str">
            <v xml:space="preserve">Without Partition </v>
          </cell>
          <cell r="AI380" t="str">
            <v>PURPLE</v>
          </cell>
          <cell r="AJ380" t="str">
            <v>Flat / PURPLE</v>
          </cell>
          <cell r="AK380">
            <v>1050000</v>
          </cell>
          <cell r="AL380">
            <v>15000</v>
          </cell>
          <cell r="AM380">
            <v>1650000</v>
          </cell>
          <cell r="AN380">
            <v>33000</v>
          </cell>
          <cell r="AO380">
            <v>150000</v>
          </cell>
          <cell r="AP380">
            <v>2850000</v>
          </cell>
          <cell r="AQ380"/>
          <cell r="AR380">
            <v>2850000</v>
          </cell>
          <cell r="AS380">
            <v>200000</v>
          </cell>
          <cell r="AT380">
            <v>2650000</v>
          </cell>
          <cell r="AU380">
            <v>100000</v>
          </cell>
          <cell r="AV380">
            <v>2550000</v>
          </cell>
          <cell r="AW380">
            <v>0</v>
          </cell>
          <cell r="AX380">
            <v>2550000</v>
          </cell>
        </row>
        <row r="381">
          <cell r="G381" t="str">
            <v>AGM-01-023-012</v>
          </cell>
          <cell r="H381" t="str">
            <v xml:space="preserve">Raemulan Lands, Inc. </v>
          </cell>
          <cell r="I381" t="str">
            <v>Agapeya</v>
          </cell>
          <cell r="J381" t="str">
            <v>AGM</v>
          </cell>
          <cell r="K381" t="str">
            <v>Eco-High</v>
          </cell>
          <cell r="L381" t="str">
            <v>West</v>
          </cell>
          <cell r="M381" t="str">
            <v>With LTS - 2026</v>
          </cell>
          <cell r="N381" t="str">
            <v>YES</v>
          </cell>
          <cell r="O381" t="str">
            <v>NO</v>
          </cell>
          <cell r="P381" t="str">
            <v>Unaffected lots</v>
          </cell>
          <cell r="Q381" t="str">
            <v>NO</v>
          </cell>
          <cell r="R381">
            <v>70</v>
          </cell>
          <cell r="S381" t="str">
            <v>PSD-04-277865</v>
          </cell>
          <cell r="T381" t="str">
            <v>TCT-060-2025019516</v>
          </cell>
          <cell r="U381" t="b">
            <v>1</v>
          </cell>
          <cell r="V381" t="str">
            <v>Done</v>
          </cell>
          <cell r="W381" t="str">
            <v>B3 2025</v>
          </cell>
          <cell r="X381" t="str">
            <v>2025 - Batch 6</v>
          </cell>
          <cell r="Y381">
            <v>23</v>
          </cell>
          <cell r="Z381">
            <v>12</v>
          </cell>
          <cell r="AA381" t="str">
            <v>H+L</v>
          </cell>
          <cell r="AB381">
            <v>70</v>
          </cell>
          <cell r="AC381">
            <v>50</v>
          </cell>
          <cell r="AD381" t="str">
            <v>Slant</v>
          </cell>
          <cell r="AE381" t="str">
            <v>Duplex</v>
          </cell>
          <cell r="AF381" t="str">
            <v>568 - Without Partition</v>
          </cell>
          <cell r="AG381" t="str">
            <v xml:space="preserve">Without Partition </v>
          </cell>
          <cell r="AH381" t="str">
            <v xml:space="preserve">Without Partition </v>
          </cell>
          <cell r="AI381" t="str">
            <v>PURPLE</v>
          </cell>
          <cell r="AJ381" t="str">
            <v>Slant / PURPLE</v>
          </cell>
          <cell r="AK381">
            <v>1050000</v>
          </cell>
          <cell r="AL381">
            <v>15000</v>
          </cell>
          <cell r="AM381">
            <v>1650000</v>
          </cell>
          <cell r="AN381">
            <v>33000</v>
          </cell>
          <cell r="AO381">
            <v>150000</v>
          </cell>
          <cell r="AP381">
            <v>2850000</v>
          </cell>
          <cell r="AQ381"/>
          <cell r="AR381">
            <v>2850000</v>
          </cell>
          <cell r="AS381">
            <v>200000</v>
          </cell>
          <cell r="AT381">
            <v>2650000</v>
          </cell>
          <cell r="AU381">
            <v>100000</v>
          </cell>
          <cell r="AV381">
            <v>2550000</v>
          </cell>
          <cell r="AW381">
            <v>0</v>
          </cell>
          <cell r="AX381">
            <v>2550000</v>
          </cell>
        </row>
        <row r="382">
          <cell r="G382" t="str">
            <v>AGM-01-023-013</v>
          </cell>
          <cell r="H382" t="str">
            <v xml:space="preserve">Raemulan Lands, Inc. </v>
          </cell>
          <cell r="I382" t="str">
            <v>Agapeya</v>
          </cell>
          <cell r="J382" t="str">
            <v>AGM</v>
          </cell>
          <cell r="K382" t="str">
            <v>Eco-High</v>
          </cell>
          <cell r="L382" t="str">
            <v>West</v>
          </cell>
          <cell r="M382" t="str">
            <v>With LTS - 2026</v>
          </cell>
          <cell r="N382" t="str">
            <v>YES</v>
          </cell>
          <cell r="O382" t="str">
            <v>NO</v>
          </cell>
          <cell r="P382" t="str">
            <v>Unaffected lots</v>
          </cell>
          <cell r="Q382" t="str">
            <v>NO</v>
          </cell>
          <cell r="R382">
            <v>70</v>
          </cell>
          <cell r="S382" t="str">
            <v>PSD-04-277865</v>
          </cell>
          <cell r="T382" t="str">
            <v>TCT-060-2025019517</v>
          </cell>
          <cell r="U382" t="b">
            <v>1</v>
          </cell>
          <cell r="V382" t="str">
            <v>Done</v>
          </cell>
          <cell r="W382" t="str">
            <v>B3 2025</v>
          </cell>
          <cell r="X382" t="str">
            <v>2025 - Batch 6</v>
          </cell>
          <cell r="Y382">
            <v>23</v>
          </cell>
          <cell r="Z382">
            <v>13</v>
          </cell>
          <cell r="AA382" t="str">
            <v>H+L</v>
          </cell>
          <cell r="AB382">
            <v>70</v>
          </cell>
          <cell r="AC382">
            <v>50</v>
          </cell>
          <cell r="AD382" t="str">
            <v>Slant</v>
          </cell>
          <cell r="AE382" t="str">
            <v>Duplex</v>
          </cell>
          <cell r="AF382" t="str">
            <v>568 - Without Partition</v>
          </cell>
          <cell r="AG382" t="str">
            <v xml:space="preserve">Without Partition </v>
          </cell>
          <cell r="AH382" t="str">
            <v xml:space="preserve">Without Partition </v>
          </cell>
          <cell r="AI382" t="str">
            <v>PURPLE</v>
          </cell>
          <cell r="AJ382" t="str">
            <v>Slant / PURPLE</v>
          </cell>
          <cell r="AK382">
            <v>1050000</v>
          </cell>
          <cell r="AL382">
            <v>15000</v>
          </cell>
          <cell r="AM382">
            <v>1650000</v>
          </cell>
          <cell r="AN382">
            <v>33000</v>
          </cell>
          <cell r="AO382">
            <v>150000</v>
          </cell>
          <cell r="AP382">
            <v>2850000</v>
          </cell>
          <cell r="AQ382"/>
          <cell r="AR382">
            <v>2850000</v>
          </cell>
          <cell r="AS382">
            <v>200000</v>
          </cell>
          <cell r="AT382">
            <v>2650000</v>
          </cell>
          <cell r="AU382">
            <v>100000</v>
          </cell>
          <cell r="AV382">
            <v>2550000</v>
          </cell>
          <cell r="AW382">
            <v>0</v>
          </cell>
          <cell r="AX382">
            <v>2550000</v>
          </cell>
        </row>
        <row r="383">
          <cell r="G383" t="str">
            <v>AGM-01-023-014</v>
          </cell>
          <cell r="H383" t="str">
            <v xml:space="preserve">Raemulan Lands, Inc. </v>
          </cell>
          <cell r="I383" t="str">
            <v>Agapeya</v>
          </cell>
          <cell r="J383" t="str">
            <v>AGM</v>
          </cell>
          <cell r="K383" t="str">
            <v>Eco-High</v>
          </cell>
          <cell r="L383" t="str">
            <v>West</v>
          </cell>
          <cell r="M383" t="str">
            <v>With LTS - 2026</v>
          </cell>
          <cell r="N383" t="str">
            <v>YES</v>
          </cell>
          <cell r="O383" t="str">
            <v>NO</v>
          </cell>
          <cell r="P383" t="str">
            <v>Unaffected lots</v>
          </cell>
          <cell r="Q383" t="str">
            <v>NO</v>
          </cell>
          <cell r="R383">
            <v>70</v>
          </cell>
          <cell r="S383" t="str">
            <v>PSD-04-277865</v>
          </cell>
          <cell r="T383" t="str">
            <v>TCT-060-2025019518</v>
          </cell>
          <cell r="U383" t="b">
            <v>1</v>
          </cell>
          <cell r="V383" t="str">
            <v>Done</v>
          </cell>
          <cell r="W383" t="str">
            <v>B3 2025</v>
          </cell>
          <cell r="X383" t="str">
            <v>2025 - Batch 6</v>
          </cell>
          <cell r="Y383">
            <v>23</v>
          </cell>
          <cell r="Z383">
            <v>14</v>
          </cell>
          <cell r="AA383" t="str">
            <v>H+L</v>
          </cell>
          <cell r="AB383">
            <v>70</v>
          </cell>
          <cell r="AC383">
            <v>50</v>
          </cell>
          <cell r="AD383" t="str">
            <v>Flat</v>
          </cell>
          <cell r="AE383" t="str">
            <v>Duplex</v>
          </cell>
          <cell r="AF383" t="str">
            <v>568 - Without Partition</v>
          </cell>
          <cell r="AG383" t="str">
            <v xml:space="preserve">Without Partition </v>
          </cell>
          <cell r="AH383" t="str">
            <v xml:space="preserve">Without Partition </v>
          </cell>
          <cell r="AI383" t="str">
            <v>PURPLE</v>
          </cell>
          <cell r="AJ383" t="str">
            <v>Flat / PURPLE</v>
          </cell>
          <cell r="AK383">
            <v>1050000</v>
          </cell>
          <cell r="AL383">
            <v>15000</v>
          </cell>
          <cell r="AM383">
            <v>1650000</v>
          </cell>
          <cell r="AN383">
            <v>33000</v>
          </cell>
          <cell r="AO383">
            <v>150000</v>
          </cell>
          <cell r="AP383">
            <v>2850000</v>
          </cell>
          <cell r="AQ383"/>
          <cell r="AR383">
            <v>2850000</v>
          </cell>
          <cell r="AS383">
            <v>200000</v>
          </cell>
          <cell r="AT383">
            <v>2650000</v>
          </cell>
          <cell r="AU383">
            <v>100000</v>
          </cell>
          <cell r="AV383">
            <v>2550000</v>
          </cell>
          <cell r="AW383">
            <v>0</v>
          </cell>
          <cell r="AX383">
            <v>2550000</v>
          </cell>
        </row>
        <row r="384">
          <cell r="G384" t="str">
            <v>AGM-01-023-015</v>
          </cell>
          <cell r="H384" t="str">
            <v xml:space="preserve">Raemulan Lands, Inc. </v>
          </cell>
          <cell r="I384" t="str">
            <v>Agapeya</v>
          </cell>
          <cell r="J384" t="str">
            <v>AGM</v>
          </cell>
          <cell r="K384" t="str">
            <v>Eco-High</v>
          </cell>
          <cell r="L384" t="str">
            <v>West</v>
          </cell>
          <cell r="M384" t="str">
            <v>With LTS - 2026</v>
          </cell>
          <cell r="N384" t="str">
            <v>YES</v>
          </cell>
          <cell r="O384" t="str">
            <v>NO</v>
          </cell>
          <cell r="P384" t="str">
            <v>Unaffected lots</v>
          </cell>
          <cell r="Q384" t="str">
            <v>NO</v>
          </cell>
          <cell r="R384">
            <v>70</v>
          </cell>
          <cell r="S384" t="str">
            <v>PSD-04-277865</v>
          </cell>
          <cell r="T384" t="str">
            <v>TCT-060-2025019519</v>
          </cell>
          <cell r="U384" t="b">
            <v>1</v>
          </cell>
          <cell r="V384" t="str">
            <v>Done</v>
          </cell>
          <cell r="W384" t="str">
            <v>B3 2025</v>
          </cell>
          <cell r="X384" t="str">
            <v>2025 - Batch 6</v>
          </cell>
          <cell r="Y384">
            <v>23</v>
          </cell>
          <cell r="Z384">
            <v>15</v>
          </cell>
          <cell r="AA384" t="str">
            <v>H+L</v>
          </cell>
          <cell r="AB384">
            <v>70</v>
          </cell>
          <cell r="AC384">
            <v>50</v>
          </cell>
          <cell r="AD384" t="str">
            <v>Flat</v>
          </cell>
          <cell r="AE384" t="str">
            <v>Duplex</v>
          </cell>
          <cell r="AF384" t="str">
            <v>568 - Without Partition</v>
          </cell>
          <cell r="AG384" t="str">
            <v xml:space="preserve">Without Partition </v>
          </cell>
          <cell r="AH384" t="str">
            <v xml:space="preserve">Without Partition </v>
          </cell>
          <cell r="AI384" t="str">
            <v>PINK</v>
          </cell>
          <cell r="AJ384" t="str">
            <v>Flat / PINK</v>
          </cell>
          <cell r="AK384">
            <v>1050000</v>
          </cell>
          <cell r="AL384">
            <v>15000</v>
          </cell>
          <cell r="AM384">
            <v>1650000</v>
          </cell>
          <cell r="AN384">
            <v>33000</v>
          </cell>
          <cell r="AO384">
            <v>150000</v>
          </cell>
          <cell r="AP384">
            <v>2850000</v>
          </cell>
          <cell r="AQ384"/>
          <cell r="AR384">
            <v>2850000</v>
          </cell>
          <cell r="AS384">
            <v>200000</v>
          </cell>
          <cell r="AT384">
            <v>2650000</v>
          </cell>
          <cell r="AU384">
            <v>100000</v>
          </cell>
          <cell r="AV384">
            <v>2550000</v>
          </cell>
          <cell r="AW384">
            <v>0</v>
          </cell>
          <cell r="AX384">
            <v>2550000</v>
          </cell>
        </row>
        <row r="385">
          <cell r="G385" t="str">
            <v>AGM-01-023-016</v>
          </cell>
          <cell r="H385" t="str">
            <v xml:space="preserve">Raemulan Lands, Inc. </v>
          </cell>
          <cell r="I385" t="str">
            <v>Agapeya</v>
          </cell>
          <cell r="J385" t="str">
            <v>AGM</v>
          </cell>
          <cell r="K385" t="str">
            <v>Eco-High</v>
          </cell>
          <cell r="L385" t="str">
            <v>West</v>
          </cell>
          <cell r="M385" t="str">
            <v>With LTS - 2026</v>
          </cell>
          <cell r="N385" t="str">
            <v>YES</v>
          </cell>
          <cell r="O385" t="str">
            <v>NO</v>
          </cell>
          <cell r="P385" t="str">
            <v>Unaffected lots</v>
          </cell>
          <cell r="Q385" t="str">
            <v>NO</v>
          </cell>
          <cell r="R385">
            <v>70</v>
          </cell>
          <cell r="S385" t="str">
            <v>PSD-04-277865</v>
          </cell>
          <cell r="T385" t="str">
            <v>TCT-060-2025019520</v>
          </cell>
          <cell r="U385" t="b">
            <v>1</v>
          </cell>
          <cell r="V385" t="str">
            <v>Done</v>
          </cell>
          <cell r="W385" t="str">
            <v>B3 2025</v>
          </cell>
          <cell r="X385" t="str">
            <v>2025 - Batch 6</v>
          </cell>
          <cell r="Y385">
            <v>23</v>
          </cell>
          <cell r="Z385">
            <v>16</v>
          </cell>
          <cell r="AA385" t="str">
            <v>H+L</v>
          </cell>
          <cell r="AB385">
            <v>70</v>
          </cell>
          <cell r="AC385">
            <v>50</v>
          </cell>
          <cell r="AD385" t="str">
            <v>Slant</v>
          </cell>
          <cell r="AE385" t="str">
            <v>Duplex</v>
          </cell>
          <cell r="AF385" t="str">
            <v>568 - Without Partition</v>
          </cell>
          <cell r="AG385" t="str">
            <v xml:space="preserve">Without Partition </v>
          </cell>
          <cell r="AH385" t="str">
            <v xml:space="preserve">Without Partition </v>
          </cell>
          <cell r="AI385" t="str">
            <v>PINK</v>
          </cell>
          <cell r="AJ385" t="str">
            <v>Slant / PINK</v>
          </cell>
          <cell r="AK385">
            <v>1050000</v>
          </cell>
          <cell r="AL385">
            <v>15000</v>
          </cell>
          <cell r="AM385">
            <v>1650000</v>
          </cell>
          <cell r="AN385">
            <v>33000</v>
          </cell>
          <cell r="AO385">
            <v>150000</v>
          </cell>
          <cell r="AP385">
            <v>2850000</v>
          </cell>
          <cell r="AQ385"/>
          <cell r="AR385">
            <v>2850000</v>
          </cell>
          <cell r="AS385">
            <v>200000</v>
          </cell>
          <cell r="AT385">
            <v>2650000</v>
          </cell>
          <cell r="AU385">
            <v>100000</v>
          </cell>
          <cell r="AV385">
            <v>2550000</v>
          </cell>
          <cell r="AW385">
            <v>0</v>
          </cell>
          <cell r="AX385">
            <v>2550000</v>
          </cell>
        </row>
        <row r="386">
          <cell r="G386" t="str">
            <v>AGM-01-023-017</v>
          </cell>
          <cell r="H386" t="str">
            <v xml:space="preserve">Raemulan Lands, Inc. </v>
          </cell>
          <cell r="I386" t="str">
            <v>Agapeya</v>
          </cell>
          <cell r="J386" t="str">
            <v>AGM</v>
          </cell>
          <cell r="K386" t="str">
            <v>Eco-High</v>
          </cell>
          <cell r="L386" t="str">
            <v>West</v>
          </cell>
          <cell r="M386" t="str">
            <v>With LTS - 2026</v>
          </cell>
          <cell r="N386" t="str">
            <v>YES</v>
          </cell>
          <cell r="O386" t="str">
            <v>NO</v>
          </cell>
          <cell r="P386" t="str">
            <v>Unaffected lots</v>
          </cell>
          <cell r="Q386" t="str">
            <v>NO</v>
          </cell>
          <cell r="R386">
            <v>70</v>
          </cell>
          <cell r="S386" t="str">
            <v>PSD-04-277865</v>
          </cell>
          <cell r="T386" t="str">
            <v>TCT-060-2025019521</v>
          </cell>
          <cell r="U386" t="b">
            <v>1</v>
          </cell>
          <cell r="V386" t="str">
            <v>Done</v>
          </cell>
          <cell r="W386" t="str">
            <v>B3 2025</v>
          </cell>
          <cell r="X386" t="str">
            <v>2025 - Batch 6</v>
          </cell>
          <cell r="Y386">
            <v>23</v>
          </cell>
          <cell r="Z386">
            <v>17</v>
          </cell>
          <cell r="AA386" t="str">
            <v>H+L</v>
          </cell>
          <cell r="AB386">
            <v>70</v>
          </cell>
          <cell r="AC386">
            <v>50</v>
          </cell>
          <cell r="AD386" t="str">
            <v>Slant</v>
          </cell>
          <cell r="AE386" t="str">
            <v>Duplex</v>
          </cell>
          <cell r="AF386" t="str">
            <v>568 - Without Partition</v>
          </cell>
          <cell r="AG386" t="str">
            <v xml:space="preserve">Without Partition </v>
          </cell>
          <cell r="AH386" t="str">
            <v xml:space="preserve">Without Partition </v>
          </cell>
          <cell r="AI386" t="str">
            <v>PINK</v>
          </cell>
          <cell r="AJ386" t="str">
            <v>Slant / PINK</v>
          </cell>
          <cell r="AK386">
            <v>1050000</v>
          </cell>
          <cell r="AL386">
            <v>15000</v>
          </cell>
          <cell r="AM386">
            <v>1650000</v>
          </cell>
          <cell r="AN386">
            <v>33000</v>
          </cell>
          <cell r="AO386">
            <v>150000</v>
          </cell>
          <cell r="AP386">
            <v>2850000</v>
          </cell>
          <cell r="AQ386"/>
          <cell r="AR386">
            <v>2850000</v>
          </cell>
          <cell r="AS386">
            <v>200000</v>
          </cell>
          <cell r="AT386">
            <v>2650000</v>
          </cell>
          <cell r="AU386">
            <v>100000</v>
          </cell>
          <cell r="AV386">
            <v>2550000</v>
          </cell>
          <cell r="AW386">
            <v>0</v>
          </cell>
          <cell r="AX386">
            <v>2550000</v>
          </cell>
        </row>
        <row r="387">
          <cell r="G387" t="str">
            <v>AGM-01-023-018</v>
          </cell>
          <cell r="H387" t="str">
            <v xml:space="preserve">Raemulan Lands, Inc. </v>
          </cell>
          <cell r="I387" t="str">
            <v>Agapeya</v>
          </cell>
          <cell r="J387" t="str">
            <v>AGM</v>
          </cell>
          <cell r="K387" t="str">
            <v>Eco-High</v>
          </cell>
          <cell r="L387" t="str">
            <v>West</v>
          </cell>
          <cell r="M387" t="str">
            <v>With LTS - 2026</v>
          </cell>
          <cell r="N387" t="str">
            <v>YES</v>
          </cell>
          <cell r="O387" t="str">
            <v>NO</v>
          </cell>
          <cell r="P387" t="str">
            <v>Unaffected lots</v>
          </cell>
          <cell r="Q387" t="str">
            <v>NO</v>
          </cell>
          <cell r="R387">
            <v>70</v>
          </cell>
          <cell r="S387" t="str">
            <v>PSD-04-277865</v>
          </cell>
          <cell r="T387" t="str">
            <v>TCT-060-2025019522</v>
          </cell>
          <cell r="U387" t="b">
            <v>1</v>
          </cell>
          <cell r="V387" t="str">
            <v>Done</v>
          </cell>
          <cell r="W387" t="str">
            <v>B3 2025</v>
          </cell>
          <cell r="X387" t="str">
            <v>2025 - Batch 6</v>
          </cell>
          <cell r="Y387">
            <v>23</v>
          </cell>
          <cell r="Z387">
            <v>18</v>
          </cell>
          <cell r="AA387" t="str">
            <v>H+L</v>
          </cell>
          <cell r="AB387">
            <v>70</v>
          </cell>
          <cell r="AC387">
            <v>50</v>
          </cell>
          <cell r="AD387" t="str">
            <v>Flat</v>
          </cell>
          <cell r="AE387" t="str">
            <v>Duplex</v>
          </cell>
          <cell r="AF387" t="str">
            <v>568 - Without Partition</v>
          </cell>
          <cell r="AG387" t="str">
            <v xml:space="preserve">Without Partition </v>
          </cell>
          <cell r="AH387" t="str">
            <v xml:space="preserve">Without Partition </v>
          </cell>
          <cell r="AI387" t="str">
            <v>PINK</v>
          </cell>
          <cell r="AJ387" t="str">
            <v>Flat / PINK</v>
          </cell>
          <cell r="AK387">
            <v>1050000</v>
          </cell>
          <cell r="AL387">
            <v>15000</v>
          </cell>
          <cell r="AM387">
            <v>1650000</v>
          </cell>
          <cell r="AN387">
            <v>33000</v>
          </cell>
          <cell r="AO387">
            <v>150000</v>
          </cell>
          <cell r="AP387">
            <v>2850000</v>
          </cell>
          <cell r="AQ387"/>
          <cell r="AR387">
            <v>2850000</v>
          </cell>
          <cell r="AS387">
            <v>200000</v>
          </cell>
          <cell r="AT387">
            <v>2650000</v>
          </cell>
          <cell r="AU387">
            <v>100000</v>
          </cell>
          <cell r="AV387">
            <v>2550000</v>
          </cell>
          <cell r="AW387">
            <v>0</v>
          </cell>
          <cell r="AX387">
            <v>2550000</v>
          </cell>
        </row>
        <row r="388">
          <cell r="G388" t="str">
            <v>AGM-01-023-019</v>
          </cell>
          <cell r="H388" t="str">
            <v xml:space="preserve">Raemulan Lands, Inc. </v>
          </cell>
          <cell r="I388" t="str">
            <v>Agapeya</v>
          </cell>
          <cell r="J388" t="str">
            <v>AGM</v>
          </cell>
          <cell r="K388" t="str">
            <v>Eco-High</v>
          </cell>
          <cell r="L388" t="str">
            <v>West</v>
          </cell>
          <cell r="M388" t="str">
            <v>With LTS - 2026</v>
          </cell>
          <cell r="N388" t="str">
            <v>YES</v>
          </cell>
          <cell r="O388" t="str">
            <v>NO</v>
          </cell>
          <cell r="P388" t="str">
            <v>Unaffected lots</v>
          </cell>
          <cell r="Q388" t="str">
            <v>NO</v>
          </cell>
          <cell r="R388">
            <v>70</v>
          </cell>
          <cell r="S388" t="str">
            <v>PSD-04-277865</v>
          </cell>
          <cell r="T388" t="str">
            <v>TCT-060-2025019523</v>
          </cell>
          <cell r="U388" t="b">
            <v>1</v>
          </cell>
          <cell r="V388" t="str">
            <v>Done</v>
          </cell>
          <cell r="W388" t="str">
            <v>B3 2025</v>
          </cell>
          <cell r="X388" t="str">
            <v>2025 - Batch 5</v>
          </cell>
          <cell r="Y388">
            <v>23</v>
          </cell>
          <cell r="Z388">
            <v>19</v>
          </cell>
          <cell r="AA388" t="str">
            <v>H+L</v>
          </cell>
          <cell r="AB388">
            <v>70</v>
          </cell>
          <cell r="AC388">
            <v>50</v>
          </cell>
          <cell r="AD388" t="str">
            <v>Flat</v>
          </cell>
          <cell r="AE388" t="str">
            <v>Duplex</v>
          </cell>
          <cell r="AF388" t="str">
            <v>568 - Without Partition</v>
          </cell>
          <cell r="AG388" t="str">
            <v xml:space="preserve">Without Partition </v>
          </cell>
          <cell r="AH388" t="str">
            <v xml:space="preserve">Without Partition </v>
          </cell>
          <cell r="AI388" t="str">
            <v>YELLOW</v>
          </cell>
          <cell r="AJ388" t="str">
            <v>Flat / YELLOW</v>
          </cell>
          <cell r="AK388">
            <v>1050000</v>
          </cell>
          <cell r="AL388">
            <v>15000</v>
          </cell>
          <cell r="AM388">
            <v>1650000</v>
          </cell>
          <cell r="AN388">
            <v>33000</v>
          </cell>
          <cell r="AO388">
            <v>150000</v>
          </cell>
          <cell r="AP388">
            <v>2850000</v>
          </cell>
          <cell r="AQ388"/>
          <cell r="AR388">
            <v>2850000</v>
          </cell>
          <cell r="AS388">
            <v>200000</v>
          </cell>
          <cell r="AT388">
            <v>2650000</v>
          </cell>
          <cell r="AU388">
            <v>100000</v>
          </cell>
          <cell r="AV388">
            <v>2550000</v>
          </cell>
          <cell r="AW388">
            <v>0</v>
          </cell>
          <cell r="AX388">
            <v>2550000</v>
          </cell>
        </row>
        <row r="389">
          <cell r="G389" t="str">
            <v>AGM-01-023-020</v>
          </cell>
          <cell r="H389" t="str">
            <v xml:space="preserve">Raemulan Lands, Inc. </v>
          </cell>
          <cell r="I389" t="str">
            <v>Agapeya</v>
          </cell>
          <cell r="J389" t="str">
            <v>AGM</v>
          </cell>
          <cell r="K389" t="str">
            <v>Eco-High</v>
          </cell>
          <cell r="L389" t="str">
            <v>West</v>
          </cell>
          <cell r="M389" t="str">
            <v>With LTS - 2026</v>
          </cell>
          <cell r="N389" t="str">
            <v>YES</v>
          </cell>
          <cell r="O389" t="str">
            <v>NO</v>
          </cell>
          <cell r="P389" t="str">
            <v>Unaffected lots</v>
          </cell>
          <cell r="Q389" t="str">
            <v>NO</v>
          </cell>
          <cell r="R389">
            <v>70</v>
          </cell>
          <cell r="S389" t="str">
            <v>PSD-04-277865</v>
          </cell>
          <cell r="T389" t="str">
            <v>TCT-060-2025019524</v>
          </cell>
          <cell r="U389" t="b">
            <v>1</v>
          </cell>
          <cell r="V389" t="str">
            <v>Done</v>
          </cell>
          <cell r="W389" t="str">
            <v>B3 2025</v>
          </cell>
          <cell r="X389" t="str">
            <v>2025 - Batch 5</v>
          </cell>
          <cell r="Y389">
            <v>23</v>
          </cell>
          <cell r="Z389">
            <v>20</v>
          </cell>
          <cell r="AA389" t="str">
            <v>H+L</v>
          </cell>
          <cell r="AB389">
            <v>70</v>
          </cell>
          <cell r="AC389">
            <v>50</v>
          </cell>
          <cell r="AD389" t="str">
            <v>Slant</v>
          </cell>
          <cell r="AE389" t="str">
            <v>Duplex</v>
          </cell>
          <cell r="AF389" t="str">
            <v>568 - Without Partition</v>
          </cell>
          <cell r="AG389" t="str">
            <v xml:space="preserve">Without Partition </v>
          </cell>
          <cell r="AH389" t="str">
            <v xml:space="preserve">Without Partition </v>
          </cell>
          <cell r="AI389" t="str">
            <v>YELLOW</v>
          </cell>
          <cell r="AJ389" t="str">
            <v>Slant / YELLOW</v>
          </cell>
          <cell r="AK389">
            <v>1050000</v>
          </cell>
          <cell r="AL389">
            <v>15000</v>
          </cell>
          <cell r="AM389">
            <v>1650000</v>
          </cell>
          <cell r="AN389">
            <v>33000</v>
          </cell>
          <cell r="AO389">
            <v>150000</v>
          </cell>
          <cell r="AP389">
            <v>2850000</v>
          </cell>
          <cell r="AQ389"/>
          <cell r="AR389">
            <v>2850000</v>
          </cell>
          <cell r="AS389">
            <v>200000</v>
          </cell>
          <cell r="AT389">
            <v>2650000</v>
          </cell>
          <cell r="AU389">
            <v>100000</v>
          </cell>
          <cell r="AV389">
            <v>2550000</v>
          </cell>
          <cell r="AW389">
            <v>0</v>
          </cell>
          <cell r="AX389">
            <v>2550000</v>
          </cell>
        </row>
        <row r="390">
          <cell r="G390" t="str">
            <v>AGM-01-023-021</v>
          </cell>
          <cell r="H390" t="str">
            <v xml:space="preserve">Raemulan Lands, Inc. </v>
          </cell>
          <cell r="I390" t="str">
            <v>Agapeya</v>
          </cell>
          <cell r="J390" t="str">
            <v>AGM</v>
          </cell>
          <cell r="K390" t="str">
            <v>Eco-High</v>
          </cell>
          <cell r="L390" t="str">
            <v>West</v>
          </cell>
          <cell r="M390" t="str">
            <v>With LTS - 2026</v>
          </cell>
          <cell r="N390" t="str">
            <v>YES</v>
          </cell>
          <cell r="O390" t="str">
            <v>NO</v>
          </cell>
          <cell r="P390" t="str">
            <v>Unaffected lots</v>
          </cell>
          <cell r="Q390" t="str">
            <v>NO</v>
          </cell>
          <cell r="R390">
            <v>70</v>
          </cell>
          <cell r="S390" t="str">
            <v>PSD-04-277865</v>
          </cell>
          <cell r="T390" t="str">
            <v>TCT-060-2025019525</v>
          </cell>
          <cell r="U390" t="b">
            <v>1</v>
          </cell>
          <cell r="V390" t="str">
            <v>Done</v>
          </cell>
          <cell r="W390" t="str">
            <v>B3 2025</v>
          </cell>
          <cell r="X390" t="str">
            <v>2025 - Batch 5</v>
          </cell>
          <cell r="Y390">
            <v>23</v>
          </cell>
          <cell r="Z390">
            <v>21</v>
          </cell>
          <cell r="AA390" t="str">
            <v>H+L</v>
          </cell>
          <cell r="AB390">
            <v>70</v>
          </cell>
          <cell r="AC390">
            <v>50</v>
          </cell>
          <cell r="AD390" t="str">
            <v>Slant</v>
          </cell>
          <cell r="AE390" t="str">
            <v>Duplex</v>
          </cell>
          <cell r="AF390" t="str">
            <v>568 - Without Partition</v>
          </cell>
          <cell r="AG390" t="str">
            <v xml:space="preserve">Without Partition </v>
          </cell>
          <cell r="AH390" t="str">
            <v xml:space="preserve">Without Partition </v>
          </cell>
          <cell r="AI390" t="str">
            <v>YELLOW</v>
          </cell>
          <cell r="AJ390" t="str">
            <v>Slant / YELLOW</v>
          </cell>
          <cell r="AK390">
            <v>1050000</v>
          </cell>
          <cell r="AL390">
            <v>15000</v>
          </cell>
          <cell r="AM390">
            <v>1650000</v>
          </cell>
          <cell r="AN390">
            <v>33000</v>
          </cell>
          <cell r="AO390">
            <v>150000</v>
          </cell>
          <cell r="AP390">
            <v>2850000</v>
          </cell>
          <cell r="AQ390"/>
          <cell r="AR390">
            <v>2850000</v>
          </cell>
          <cell r="AS390">
            <v>200000</v>
          </cell>
          <cell r="AT390">
            <v>2650000</v>
          </cell>
          <cell r="AU390">
            <v>100000</v>
          </cell>
          <cell r="AV390">
            <v>2550000</v>
          </cell>
          <cell r="AW390">
            <v>0</v>
          </cell>
          <cell r="AX390">
            <v>2550000</v>
          </cell>
        </row>
        <row r="391">
          <cell r="G391" t="str">
            <v>AGM-01-023-022</v>
          </cell>
          <cell r="H391" t="str">
            <v xml:space="preserve">Raemulan Lands, Inc. </v>
          </cell>
          <cell r="I391" t="str">
            <v>Agapeya</v>
          </cell>
          <cell r="J391" t="str">
            <v>AGM</v>
          </cell>
          <cell r="K391" t="str">
            <v>Eco-High</v>
          </cell>
          <cell r="L391" t="str">
            <v>West</v>
          </cell>
          <cell r="M391" t="str">
            <v>With LTS - 2026</v>
          </cell>
          <cell r="N391" t="str">
            <v>YES</v>
          </cell>
          <cell r="O391" t="str">
            <v>NO</v>
          </cell>
          <cell r="P391" t="str">
            <v>Unaffected lots</v>
          </cell>
          <cell r="Q391" t="str">
            <v>NO</v>
          </cell>
          <cell r="R391">
            <v>70</v>
          </cell>
          <cell r="S391" t="str">
            <v>PSD-04-277865</v>
          </cell>
          <cell r="T391" t="str">
            <v>TCT-060-2025019526</v>
          </cell>
          <cell r="U391" t="b">
            <v>1</v>
          </cell>
          <cell r="V391" t="str">
            <v>Done</v>
          </cell>
          <cell r="W391" t="str">
            <v>B3 2025</v>
          </cell>
          <cell r="X391" t="str">
            <v>2025 - Batch 5</v>
          </cell>
          <cell r="Y391">
            <v>23</v>
          </cell>
          <cell r="Z391">
            <v>22</v>
          </cell>
          <cell r="AA391" t="str">
            <v>H+L</v>
          </cell>
          <cell r="AB391">
            <v>70</v>
          </cell>
          <cell r="AC391">
            <v>50</v>
          </cell>
          <cell r="AD391" t="str">
            <v>Flat</v>
          </cell>
          <cell r="AE391" t="str">
            <v>Duplex</v>
          </cell>
          <cell r="AF391" t="str">
            <v>568 - Without Partition</v>
          </cell>
          <cell r="AG391" t="str">
            <v xml:space="preserve">Without Partition </v>
          </cell>
          <cell r="AH391" t="str">
            <v xml:space="preserve">Without Partition </v>
          </cell>
          <cell r="AI391" t="str">
            <v>YELLOW</v>
          </cell>
          <cell r="AJ391" t="str">
            <v>Flat / YELLOW</v>
          </cell>
          <cell r="AK391">
            <v>1050000</v>
          </cell>
          <cell r="AL391">
            <v>15000</v>
          </cell>
          <cell r="AM391">
            <v>1650000</v>
          </cell>
          <cell r="AN391">
            <v>33000</v>
          </cell>
          <cell r="AO391">
            <v>150000</v>
          </cell>
          <cell r="AP391">
            <v>2850000</v>
          </cell>
          <cell r="AQ391"/>
          <cell r="AR391">
            <v>2850000</v>
          </cell>
          <cell r="AS391">
            <v>200000</v>
          </cell>
          <cell r="AT391">
            <v>2650000</v>
          </cell>
          <cell r="AU391">
            <v>100000</v>
          </cell>
          <cell r="AV391">
            <v>2550000</v>
          </cell>
          <cell r="AW391">
            <v>0</v>
          </cell>
          <cell r="AX391">
            <v>2550000</v>
          </cell>
        </row>
        <row r="392">
          <cell r="G392" t="str">
            <v>AGM-01-023-023</v>
          </cell>
          <cell r="H392" t="str">
            <v xml:space="preserve">Raemulan Lands, Inc. </v>
          </cell>
          <cell r="I392" t="str">
            <v>Agapeya</v>
          </cell>
          <cell r="J392" t="str">
            <v>AGM</v>
          </cell>
          <cell r="K392" t="str">
            <v>Eco-High</v>
          </cell>
          <cell r="L392" t="str">
            <v>West</v>
          </cell>
          <cell r="M392" t="str">
            <v>Without LTS</v>
          </cell>
          <cell r="N392"/>
          <cell r="O392"/>
          <cell r="P392" t="str">
            <v>Unaffected lots</v>
          </cell>
          <cell r="Q392" t="str">
            <v>NO</v>
          </cell>
          <cell r="R392">
            <v>70</v>
          </cell>
          <cell r="S392" t="str">
            <v>PCS-04-036352</v>
          </cell>
          <cell r="T392" t="str">
            <v>TCT-060-2026007165</v>
          </cell>
          <cell r="U392" t="b">
            <v>1</v>
          </cell>
          <cell r="V392" t="str">
            <v>Done</v>
          </cell>
          <cell r="W392" t="str">
            <v>B3 2025</v>
          </cell>
          <cell r="X392" t="str">
            <v>2025 - Batch 5</v>
          </cell>
          <cell r="Y392">
            <v>23</v>
          </cell>
          <cell r="Z392">
            <v>23</v>
          </cell>
          <cell r="AA392" t="str">
            <v>H+L</v>
          </cell>
          <cell r="AB392">
            <v>70</v>
          </cell>
          <cell r="AC392">
            <v>50</v>
          </cell>
          <cell r="AD392" t="str">
            <v>Flat</v>
          </cell>
          <cell r="AE392" t="str">
            <v>Duplex</v>
          </cell>
          <cell r="AF392" t="str">
            <v>568 - Without Partition</v>
          </cell>
          <cell r="AG392" t="str">
            <v xml:space="preserve">Without Partition </v>
          </cell>
          <cell r="AH392" t="str">
            <v xml:space="preserve">Without Partition </v>
          </cell>
          <cell r="AI392" t="str">
            <v>GREEN</v>
          </cell>
          <cell r="AJ392" t="str">
            <v>Flat / GREEN</v>
          </cell>
          <cell r="AK392">
            <v>1050000</v>
          </cell>
          <cell r="AL392">
            <v>15000</v>
          </cell>
          <cell r="AM392">
            <v>1650000</v>
          </cell>
          <cell r="AN392">
            <v>33000</v>
          </cell>
          <cell r="AO392">
            <v>150000</v>
          </cell>
          <cell r="AP392">
            <v>2850000</v>
          </cell>
          <cell r="AQ392"/>
          <cell r="AR392">
            <v>2850000</v>
          </cell>
          <cell r="AS392">
            <v>200000</v>
          </cell>
          <cell r="AT392">
            <v>2650000</v>
          </cell>
          <cell r="AU392">
            <v>100000</v>
          </cell>
          <cell r="AV392">
            <v>2550000</v>
          </cell>
          <cell r="AW392">
            <v>0</v>
          </cell>
          <cell r="AX392">
            <v>2550000</v>
          </cell>
        </row>
        <row r="393">
          <cell r="G393" t="str">
            <v>AGM-01-023-024</v>
          </cell>
          <cell r="H393" t="str">
            <v xml:space="preserve">Raemulan Lands, Inc. </v>
          </cell>
          <cell r="I393" t="str">
            <v>Agapeya</v>
          </cell>
          <cell r="J393" t="str">
            <v>AGM</v>
          </cell>
          <cell r="K393" t="str">
            <v>Eco-High</v>
          </cell>
          <cell r="L393" t="str">
            <v>West</v>
          </cell>
          <cell r="M393" t="str">
            <v>Without LTS</v>
          </cell>
          <cell r="N393"/>
          <cell r="O393"/>
          <cell r="P393" t="str">
            <v>Unaffected lots</v>
          </cell>
          <cell r="Q393" t="str">
            <v>NO</v>
          </cell>
          <cell r="R393">
            <v>70</v>
          </cell>
          <cell r="S393" t="str">
            <v>PCS-04-036352</v>
          </cell>
          <cell r="T393" t="str">
            <v>TCT-060-2026007166</v>
          </cell>
          <cell r="U393" t="b">
            <v>1</v>
          </cell>
          <cell r="V393" t="str">
            <v>Done</v>
          </cell>
          <cell r="W393" t="str">
            <v>B3 2025</v>
          </cell>
          <cell r="X393" t="str">
            <v>2025 - Batch 5</v>
          </cell>
          <cell r="Y393">
            <v>23</v>
          </cell>
          <cell r="Z393">
            <v>24</v>
          </cell>
          <cell r="AA393" t="str">
            <v>H+L</v>
          </cell>
          <cell r="AB393">
            <v>70</v>
          </cell>
          <cell r="AC393">
            <v>50</v>
          </cell>
          <cell r="AD393" t="str">
            <v>Slant</v>
          </cell>
          <cell r="AE393" t="str">
            <v>Duplex</v>
          </cell>
          <cell r="AF393" t="str">
            <v>568 - Without Partition</v>
          </cell>
          <cell r="AG393" t="str">
            <v xml:space="preserve">Without Partition </v>
          </cell>
          <cell r="AH393" t="str">
            <v xml:space="preserve">Without Partition </v>
          </cell>
          <cell r="AI393" t="str">
            <v>GREEN</v>
          </cell>
          <cell r="AJ393" t="str">
            <v>Slant / GREEN</v>
          </cell>
          <cell r="AK393">
            <v>1050000</v>
          </cell>
          <cell r="AL393">
            <v>15000</v>
          </cell>
          <cell r="AM393">
            <v>1650000</v>
          </cell>
          <cell r="AN393">
            <v>33000</v>
          </cell>
          <cell r="AO393">
            <v>150000</v>
          </cell>
          <cell r="AP393">
            <v>2850000</v>
          </cell>
          <cell r="AQ393"/>
          <cell r="AR393">
            <v>2850000</v>
          </cell>
          <cell r="AS393">
            <v>200000</v>
          </cell>
          <cell r="AT393">
            <v>2650000</v>
          </cell>
          <cell r="AU393">
            <v>100000</v>
          </cell>
          <cell r="AV393">
            <v>2550000</v>
          </cell>
          <cell r="AW393">
            <v>0</v>
          </cell>
          <cell r="AX393">
            <v>2550000</v>
          </cell>
        </row>
        <row r="394">
          <cell r="G394" t="str">
            <v>AGM-01-023-025</v>
          </cell>
          <cell r="H394" t="str">
            <v xml:space="preserve">Raemulan Lands, Inc. </v>
          </cell>
          <cell r="I394" t="str">
            <v>Agapeya</v>
          </cell>
          <cell r="J394" t="str">
            <v>AGM</v>
          </cell>
          <cell r="K394" t="str">
            <v>Eco-High</v>
          </cell>
          <cell r="L394" t="str">
            <v>West</v>
          </cell>
          <cell r="M394" t="str">
            <v>With LTS - 2024</v>
          </cell>
          <cell r="N394" t="str">
            <v>YES</v>
          </cell>
          <cell r="O394" t="str">
            <v>YES</v>
          </cell>
          <cell r="P394" t="str">
            <v>Unaffected lots</v>
          </cell>
          <cell r="Q394" t="str">
            <v>YES</v>
          </cell>
          <cell r="R394">
            <v>70</v>
          </cell>
          <cell r="S394" t="str">
            <v>PCS-04-276764</v>
          </cell>
          <cell r="T394" t="str">
            <v>TCT-060-2024018699</v>
          </cell>
          <cell r="U394" t="b">
            <v>1</v>
          </cell>
          <cell r="V394" t="str">
            <v>Done</v>
          </cell>
          <cell r="W394" t="str">
            <v>B3 2025</v>
          </cell>
          <cell r="X394" t="str">
            <v>2025 - Batch 4</v>
          </cell>
          <cell r="Y394">
            <v>23</v>
          </cell>
          <cell r="Z394">
            <v>25</v>
          </cell>
          <cell r="AA394" t="str">
            <v>H+L</v>
          </cell>
          <cell r="AB394">
            <v>70</v>
          </cell>
          <cell r="AC394">
            <v>50</v>
          </cell>
          <cell r="AD394" t="str">
            <v>Slant</v>
          </cell>
          <cell r="AE394" t="str">
            <v>Duplex</v>
          </cell>
          <cell r="AF394" t="str">
            <v>568 - Without Partition</v>
          </cell>
          <cell r="AG394" t="str">
            <v xml:space="preserve">Without Partition </v>
          </cell>
          <cell r="AH394" t="str">
            <v xml:space="preserve">Without Partition </v>
          </cell>
          <cell r="AI394" t="str">
            <v>GREEN</v>
          </cell>
          <cell r="AJ394" t="str">
            <v>Slant / GREEN</v>
          </cell>
          <cell r="AK394">
            <v>1050000</v>
          </cell>
          <cell r="AL394">
            <v>15000</v>
          </cell>
          <cell r="AM394">
            <v>1650000</v>
          </cell>
          <cell r="AN394">
            <v>33000</v>
          </cell>
          <cell r="AO394">
            <v>150000</v>
          </cell>
          <cell r="AP394">
            <v>2850000</v>
          </cell>
          <cell r="AQ394"/>
          <cell r="AR394">
            <v>2850000</v>
          </cell>
          <cell r="AS394">
            <v>200000</v>
          </cell>
          <cell r="AT394">
            <v>2650000</v>
          </cell>
          <cell r="AU394">
            <v>100000</v>
          </cell>
          <cell r="AV394">
            <v>2550000</v>
          </cell>
          <cell r="AW394">
            <v>0</v>
          </cell>
          <cell r="AX394">
            <v>2550000</v>
          </cell>
        </row>
        <row r="395">
          <cell r="G395" t="str">
            <v>AGM-01-023-026</v>
          </cell>
          <cell r="H395" t="str">
            <v xml:space="preserve">Raemulan Lands, Inc. </v>
          </cell>
          <cell r="I395" t="str">
            <v>Agapeya</v>
          </cell>
          <cell r="J395" t="str">
            <v>AGM</v>
          </cell>
          <cell r="K395" t="str">
            <v>Eco-High</v>
          </cell>
          <cell r="L395" t="str">
            <v>West</v>
          </cell>
          <cell r="M395" t="str">
            <v>With LTS - 2024</v>
          </cell>
          <cell r="N395" t="str">
            <v>YES</v>
          </cell>
          <cell r="O395" t="str">
            <v>YES</v>
          </cell>
          <cell r="P395" t="str">
            <v>Unaffected lots</v>
          </cell>
          <cell r="Q395" t="str">
            <v>YES</v>
          </cell>
          <cell r="R395">
            <v>70</v>
          </cell>
          <cell r="S395" t="str">
            <v>PCS-04-276764</v>
          </cell>
          <cell r="T395" t="str">
            <v>TCT-060-2024018700</v>
          </cell>
          <cell r="U395" t="b">
            <v>1</v>
          </cell>
          <cell r="V395" t="str">
            <v>Done</v>
          </cell>
          <cell r="W395" t="str">
            <v>B3 2025</v>
          </cell>
          <cell r="X395" t="str">
            <v>2025 - Batch 4</v>
          </cell>
          <cell r="Y395">
            <v>23</v>
          </cell>
          <cell r="Z395">
            <v>26</v>
          </cell>
          <cell r="AA395" t="str">
            <v>H+L</v>
          </cell>
          <cell r="AB395">
            <v>70</v>
          </cell>
          <cell r="AC395">
            <v>50</v>
          </cell>
          <cell r="AD395" t="str">
            <v>Flat</v>
          </cell>
          <cell r="AE395" t="str">
            <v>Duplex</v>
          </cell>
          <cell r="AF395" t="str">
            <v>568 - Without Partition</v>
          </cell>
          <cell r="AG395" t="str">
            <v xml:space="preserve">Without Partition </v>
          </cell>
          <cell r="AH395" t="str">
            <v xml:space="preserve">Without Partition </v>
          </cell>
          <cell r="AI395" t="str">
            <v>GREEN</v>
          </cell>
          <cell r="AJ395" t="str">
            <v>Flat / GREEN</v>
          </cell>
          <cell r="AK395">
            <v>1050000</v>
          </cell>
          <cell r="AL395">
            <v>15000</v>
          </cell>
          <cell r="AM395">
            <v>1650000</v>
          </cell>
          <cell r="AN395">
            <v>33000</v>
          </cell>
          <cell r="AO395">
            <v>150000</v>
          </cell>
          <cell r="AP395">
            <v>2850000</v>
          </cell>
          <cell r="AQ395"/>
          <cell r="AR395">
            <v>2850000</v>
          </cell>
          <cell r="AS395">
            <v>200000</v>
          </cell>
          <cell r="AT395">
            <v>2650000</v>
          </cell>
          <cell r="AU395">
            <v>100000</v>
          </cell>
          <cell r="AV395">
            <v>2550000</v>
          </cell>
          <cell r="AW395">
            <v>0</v>
          </cell>
          <cell r="AX395">
            <v>2550000</v>
          </cell>
        </row>
        <row r="396">
          <cell r="G396" t="str">
            <v>AGM-01-023-027</v>
          </cell>
          <cell r="H396" t="str">
            <v xml:space="preserve">Raemulan Lands, Inc. </v>
          </cell>
          <cell r="I396" t="str">
            <v>Agapeya</v>
          </cell>
          <cell r="J396" t="str">
            <v>AGM</v>
          </cell>
          <cell r="K396" t="str">
            <v>Eco-High</v>
          </cell>
          <cell r="L396" t="str">
            <v>West</v>
          </cell>
          <cell r="M396" t="str">
            <v>With LTS - 2024</v>
          </cell>
          <cell r="N396" t="str">
            <v>YES</v>
          </cell>
          <cell r="O396" t="str">
            <v>YES</v>
          </cell>
          <cell r="P396" t="str">
            <v>Unaffected lots</v>
          </cell>
          <cell r="Q396" t="str">
            <v>YES</v>
          </cell>
          <cell r="R396">
            <v>70</v>
          </cell>
          <cell r="S396" t="str">
            <v>PCS-04-276764</v>
          </cell>
          <cell r="T396" t="str">
            <v>TCT-060-2024018701</v>
          </cell>
          <cell r="U396" t="b">
            <v>1</v>
          </cell>
          <cell r="V396" t="str">
            <v>Done</v>
          </cell>
          <cell r="W396" t="str">
            <v>B3 2025</v>
          </cell>
          <cell r="X396" t="str">
            <v>2025 - Batch 4</v>
          </cell>
          <cell r="Y396">
            <v>23</v>
          </cell>
          <cell r="Z396">
            <v>27</v>
          </cell>
          <cell r="AA396" t="str">
            <v>H+L</v>
          </cell>
          <cell r="AB396">
            <v>70</v>
          </cell>
          <cell r="AC396">
            <v>50</v>
          </cell>
          <cell r="AD396" t="str">
            <v>Flat</v>
          </cell>
          <cell r="AE396" t="str">
            <v>Duplex</v>
          </cell>
          <cell r="AF396" t="str">
            <v>568 - Without Partition</v>
          </cell>
          <cell r="AG396" t="str">
            <v xml:space="preserve">Without Partition </v>
          </cell>
          <cell r="AH396" t="str">
            <v xml:space="preserve">Without Partition </v>
          </cell>
          <cell r="AI396" t="str">
            <v>PURPLE</v>
          </cell>
          <cell r="AJ396" t="str">
            <v>Flat / PURPLE</v>
          </cell>
          <cell r="AK396">
            <v>1050000</v>
          </cell>
          <cell r="AL396">
            <v>15000</v>
          </cell>
          <cell r="AM396">
            <v>1650000</v>
          </cell>
          <cell r="AN396">
            <v>33000</v>
          </cell>
          <cell r="AO396">
            <v>150000</v>
          </cell>
          <cell r="AP396">
            <v>2850000</v>
          </cell>
          <cell r="AQ396"/>
          <cell r="AR396">
            <v>2850000</v>
          </cell>
          <cell r="AS396">
            <v>200000</v>
          </cell>
          <cell r="AT396">
            <v>2650000</v>
          </cell>
          <cell r="AU396">
            <v>100000</v>
          </cell>
          <cell r="AV396">
            <v>2550000</v>
          </cell>
          <cell r="AW396">
            <v>0</v>
          </cell>
          <cell r="AX396">
            <v>2550000</v>
          </cell>
        </row>
        <row r="397">
          <cell r="G397" t="str">
            <v>AGM-01-023-028</v>
          </cell>
          <cell r="H397" t="str">
            <v xml:space="preserve">Raemulan Lands, Inc. </v>
          </cell>
          <cell r="I397" t="str">
            <v>Agapeya</v>
          </cell>
          <cell r="J397" t="str">
            <v>AGM</v>
          </cell>
          <cell r="K397" t="str">
            <v>Eco-High</v>
          </cell>
          <cell r="L397" t="str">
            <v>West</v>
          </cell>
          <cell r="M397" t="str">
            <v>With LTS - 2024</v>
          </cell>
          <cell r="N397" t="str">
            <v>YES</v>
          </cell>
          <cell r="O397" t="str">
            <v>YES</v>
          </cell>
          <cell r="P397" t="str">
            <v>Unaffected lots</v>
          </cell>
          <cell r="Q397" t="str">
            <v>YES</v>
          </cell>
          <cell r="R397">
            <v>70</v>
          </cell>
          <cell r="S397" t="str">
            <v>PCS-04-276764</v>
          </cell>
          <cell r="T397" t="str">
            <v>TCT-060-2024018702</v>
          </cell>
          <cell r="U397" t="b">
            <v>1</v>
          </cell>
          <cell r="V397" t="str">
            <v>Done</v>
          </cell>
          <cell r="W397" t="str">
            <v>B3 2025</v>
          </cell>
          <cell r="X397" t="str">
            <v>2025 - Batch 4</v>
          </cell>
          <cell r="Y397">
            <v>23</v>
          </cell>
          <cell r="Z397">
            <v>28</v>
          </cell>
          <cell r="AA397" t="str">
            <v>H+L</v>
          </cell>
          <cell r="AB397">
            <v>70</v>
          </cell>
          <cell r="AC397">
            <v>50</v>
          </cell>
          <cell r="AD397" t="str">
            <v>Slant</v>
          </cell>
          <cell r="AE397" t="str">
            <v>Duplex</v>
          </cell>
          <cell r="AF397" t="str">
            <v>568 - Without Partition</v>
          </cell>
          <cell r="AG397" t="str">
            <v xml:space="preserve">Without Partition </v>
          </cell>
          <cell r="AH397" t="str">
            <v>With Partition</v>
          </cell>
          <cell r="AI397" t="str">
            <v>PURPLE</v>
          </cell>
          <cell r="AJ397" t="str">
            <v>Slant / PURPLE</v>
          </cell>
          <cell r="AK397">
            <v>1050000</v>
          </cell>
          <cell r="AL397">
            <v>15000</v>
          </cell>
          <cell r="AM397">
            <v>1650000</v>
          </cell>
          <cell r="AN397">
            <v>33000</v>
          </cell>
          <cell r="AO397">
            <v>150000</v>
          </cell>
          <cell r="AP397">
            <v>2850000</v>
          </cell>
          <cell r="AQ397"/>
          <cell r="AR397">
            <v>2850000</v>
          </cell>
          <cell r="AS397">
            <v>0</v>
          </cell>
          <cell r="AT397">
            <v>2850000</v>
          </cell>
          <cell r="AU397">
            <v>100000</v>
          </cell>
          <cell r="AV397">
            <v>2750000</v>
          </cell>
          <cell r="AW397">
            <v>0</v>
          </cell>
          <cell r="AX397">
            <v>2750000</v>
          </cell>
        </row>
        <row r="398">
          <cell r="G398" t="str">
            <v>AGM-01-023-029</v>
          </cell>
          <cell r="H398" t="str">
            <v xml:space="preserve">Raemulan Lands, Inc. </v>
          </cell>
          <cell r="I398" t="str">
            <v>Agapeya</v>
          </cell>
          <cell r="J398" t="str">
            <v>AGM</v>
          </cell>
          <cell r="K398" t="str">
            <v>Eco-High</v>
          </cell>
          <cell r="L398" t="str">
            <v>West</v>
          </cell>
          <cell r="M398" t="str">
            <v>With LTS - 2024</v>
          </cell>
          <cell r="N398" t="str">
            <v>YES</v>
          </cell>
          <cell r="O398" t="str">
            <v>YES</v>
          </cell>
          <cell r="P398" t="str">
            <v>Unaffected lots</v>
          </cell>
          <cell r="Q398" t="str">
            <v>YES</v>
          </cell>
          <cell r="R398">
            <v>70</v>
          </cell>
          <cell r="S398" t="str">
            <v>PCS-04-276764</v>
          </cell>
          <cell r="T398" t="str">
            <v>TCT-060-2024018703</v>
          </cell>
          <cell r="U398" t="b">
            <v>1</v>
          </cell>
          <cell r="V398" t="str">
            <v>Done</v>
          </cell>
          <cell r="W398" t="str">
            <v>B3 2025</v>
          </cell>
          <cell r="X398" t="str">
            <v>2025 - Batch 4</v>
          </cell>
          <cell r="Y398">
            <v>23</v>
          </cell>
          <cell r="Z398">
            <v>29</v>
          </cell>
          <cell r="AA398" t="str">
            <v>H+L</v>
          </cell>
          <cell r="AB398">
            <v>70</v>
          </cell>
          <cell r="AC398">
            <v>50</v>
          </cell>
          <cell r="AD398" t="str">
            <v>Slant</v>
          </cell>
          <cell r="AE398" t="str">
            <v>Duplex</v>
          </cell>
          <cell r="AF398" t="str">
            <v>568 - Without Partition</v>
          </cell>
          <cell r="AG398" t="str">
            <v xml:space="preserve">Without Partition </v>
          </cell>
          <cell r="AH398" t="str">
            <v xml:space="preserve">Without Partition </v>
          </cell>
          <cell r="AI398" t="str">
            <v>PURPLE</v>
          </cell>
          <cell r="AJ398" t="str">
            <v>Slant / PURPLE</v>
          </cell>
          <cell r="AK398">
            <v>1050000</v>
          </cell>
          <cell r="AL398">
            <v>15000</v>
          </cell>
          <cell r="AM398">
            <v>1650000</v>
          </cell>
          <cell r="AN398">
            <v>33000</v>
          </cell>
          <cell r="AO398">
            <v>150000</v>
          </cell>
          <cell r="AP398">
            <v>2850000</v>
          </cell>
          <cell r="AQ398"/>
          <cell r="AR398">
            <v>2850000</v>
          </cell>
          <cell r="AS398">
            <v>200000</v>
          </cell>
          <cell r="AT398">
            <v>2650000</v>
          </cell>
          <cell r="AU398">
            <v>100000</v>
          </cell>
          <cell r="AV398">
            <v>2550000</v>
          </cell>
          <cell r="AW398">
            <v>0</v>
          </cell>
          <cell r="AX398">
            <v>2550000</v>
          </cell>
        </row>
        <row r="399">
          <cell r="G399" t="str">
            <v>AGM-01-023-030</v>
          </cell>
          <cell r="H399" t="str">
            <v xml:space="preserve">Raemulan Lands, Inc. </v>
          </cell>
          <cell r="I399" t="str">
            <v>Agapeya</v>
          </cell>
          <cell r="J399" t="str">
            <v>AGM</v>
          </cell>
          <cell r="K399" t="str">
            <v>Eco-High</v>
          </cell>
          <cell r="L399" t="str">
            <v>West</v>
          </cell>
          <cell r="M399" t="str">
            <v>With LTS - 2024</v>
          </cell>
          <cell r="N399" t="str">
            <v>YES</v>
          </cell>
          <cell r="O399" t="str">
            <v>YES</v>
          </cell>
          <cell r="P399" t="str">
            <v>Unaffected lots</v>
          </cell>
          <cell r="Q399" t="str">
            <v>YES</v>
          </cell>
          <cell r="R399">
            <v>81</v>
          </cell>
          <cell r="S399" t="str">
            <v>PCS-04-276764</v>
          </cell>
          <cell r="T399" t="str">
            <v>TCT-060-2024018704</v>
          </cell>
          <cell r="U399" t="b">
            <v>1</v>
          </cell>
          <cell r="V399" t="str">
            <v>Done</v>
          </cell>
          <cell r="W399" t="str">
            <v>B3 2025</v>
          </cell>
          <cell r="X399" t="str">
            <v>2025 - Batch 4</v>
          </cell>
          <cell r="Y399">
            <v>23</v>
          </cell>
          <cell r="Z399">
            <v>30</v>
          </cell>
          <cell r="AA399" t="str">
            <v>H+L</v>
          </cell>
          <cell r="AB399">
            <v>81</v>
          </cell>
          <cell r="AC399">
            <v>50</v>
          </cell>
          <cell r="AD399" t="str">
            <v>Flat</v>
          </cell>
          <cell r="AE399" t="str">
            <v>Duplex</v>
          </cell>
          <cell r="AF399" t="str">
            <v>568 - Without Partition</v>
          </cell>
          <cell r="AG399" t="str">
            <v xml:space="preserve">Without Partition </v>
          </cell>
          <cell r="AH399" t="str">
            <v xml:space="preserve">Without Partition </v>
          </cell>
          <cell r="AI399" t="str">
            <v>PURPLE</v>
          </cell>
          <cell r="AJ399" t="str">
            <v>Flat / PURPLE</v>
          </cell>
          <cell r="AK399">
            <v>1215000</v>
          </cell>
          <cell r="AL399">
            <v>15000</v>
          </cell>
          <cell r="AM399">
            <v>1650000</v>
          </cell>
          <cell r="AN399">
            <v>33000</v>
          </cell>
          <cell r="AO399">
            <v>150000</v>
          </cell>
          <cell r="AP399">
            <v>3015000</v>
          </cell>
          <cell r="AQ399"/>
          <cell r="AR399">
            <v>3015000</v>
          </cell>
          <cell r="AS399">
            <v>200000</v>
          </cell>
          <cell r="AT399">
            <v>2815000</v>
          </cell>
          <cell r="AU399">
            <v>100000</v>
          </cell>
          <cell r="AV399">
            <v>2715000</v>
          </cell>
          <cell r="AW399">
            <v>0</v>
          </cell>
          <cell r="AX399">
            <v>2715000</v>
          </cell>
        </row>
        <row r="400">
          <cell r="G400" t="str">
            <v>AGM-01-023-031</v>
          </cell>
          <cell r="H400" t="str">
            <v xml:space="preserve">Raemulan Lands, Inc. </v>
          </cell>
          <cell r="I400" t="str">
            <v>Agapeya</v>
          </cell>
          <cell r="J400" t="str">
            <v>AGM</v>
          </cell>
          <cell r="K400" t="str">
            <v>Eco-High</v>
          </cell>
          <cell r="L400" t="str">
            <v>West</v>
          </cell>
          <cell r="M400" t="str">
            <v>With LTS - 2024</v>
          </cell>
          <cell r="N400" t="str">
            <v>YES</v>
          </cell>
          <cell r="O400" t="str">
            <v>YES</v>
          </cell>
          <cell r="P400" t="str">
            <v>Unaffected lots</v>
          </cell>
          <cell r="Q400" t="str">
            <v>YES</v>
          </cell>
          <cell r="R400">
            <v>81</v>
          </cell>
          <cell r="S400" t="str">
            <v>PCS-04-276764</v>
          </cell>
          <cell r="T400" t="str">
            <v>TCT-060-2024018705</v>
          </cell>
          <cell r="U400" t="b">
            <v>1</v>
          </cell>
          <cell r="V400" t="str">
            <v>Done</v>
          </cell>
          <cell r="W400" t="str">
            <v>B4 2025</v>
          </cell>
          <cell r="X400" t="str">
            <v>2025 - Batch 2</v>
          </cell>
          <cell r="Y400">
            <v>23</v>
          </cell>
          <cell r="Z400">
            <v>31</v>
          </cell>
          <cell r="AA400" t="str">
            <v>H+L</v>
          </cell>
          <cell r="AB400">
            <v>81</v>
          </cell>
          <cell r="AC400">
            <v>50</v>
          </cell>
          <cell r="AD400" t="str">
            <v>Slant</v>
          </cell>
          <cell r="AE400" t="str">
            <v>Duplex</v>
          </cell>
          <cell r="AF400" t="str">
            <v>568 - Without Partition</v>
          </cell>
          <cell r="AG400" t="str">
            <v xml:space="preserve">Without Partition </v>
          </cell>
          <cell r="AH400" t="str">
            <v xml:space="preserve">Without Partition </v>
          </cell>
          <cell r="AI400" t="str">
            <v>PINK</v>
          </cell>
          <cell r="AJ400" t="str">
            <v>Slant / PINK</v>
          </cell>
          <cell r="AK400">
            <v>1215000</v>
          </cell>
          <cell r="AL400">
            <v>15000</v>
          </cell>
          <cell r="AM400">
            <v>1650000</v>
          </cell>
          <cell r="AN400">
            <v>33000</v>
          </cell>
          <cell r="AO400">
            <v>150000</v>
          </cell>
          <cell r="AP400">
            <v>3015000</v>
          </cell>
          <cell r="AQ400"/>
          <cell r="AR400">
            <v>3015000</v>
          </cell>
          <cell r="AS400">
            <v>200000</v>
          </cell>
          <cell r="AT400">
            <v>2815000</v>
          </cell>
          <cell r="AU400">
            <v>100000</v>
          </cell>
          <cell r="AV400">
            <v>2715000</v>
          </cell>
          <cell r="AW400">
            <v>0</v>
          </cell>
          <cell r="AX400">
            <v>2715000</v>
          </cell>
        </row>
        <row r="401">
          <cell r="G401" t="str">
            <v>AGM-01-023-032</v>
          </cell>
          <cell r="H401" t="str">
            <v xml:space="preserve">Raemulan Lands, Inc. </v>
          </cell>
          <cell r="I401" t="str">
            <v>Agapeya</v>
          </cell>
          <cell r="J401" t="str">
            <v>AGM</v>
          </cell>
          <cell r="K401" t="str">
            <v>Eco-High</v>
          </cell>
          <cell r="L401" t="str">
            <v>West</v>
          </cell>
          <cell r="M401" t="str">
            <v>With LTS - 2024</v>
          </cell>
          <cell r="N401" t="str">
            <v>YES</v>
          </cell>
          <cell r="O401" t="str">
            <v>YES</v>
          </cell>
          <cell r="P401" t="str">
            <v>Unaffected lots</v>
          </cell>
          <cell r="Q401" t="str">
            <v>YES</v>
          </cell>
          <cell r="R401">
            <v>70</v>
          </cell>
          <cell r="S401" t="str">
            <v>PCS-04-276764</v>
          </cell>
          <cell r="T401" t="str">
            <v>TCT-060-2024018706</v>
          </cell>
          <cell r="U401" t="b">
            <v>1</v>
          </cell>
          <cell r="V401" t="str">
            <v>Done</v>
          </cell>
          <cell r="W401" t="str">
            <v>B4 2025</v>
          </cell>
          <cell r="X401" t="str">
            <v>2025 - Batch 2</v>
          </cell>
          <cell r="Y401">
            <v>23</v>
          </cell>
          <cell r="Z401">
            <v>32</v>
          </cell>
          <cell r="AA401" t="str">
            <v>H+L</v>
          </cell>
          <cell r="AB401">
            <v>70</v>
          </cell>
          <cell r="AC401">
            <v>50</v>
          </cell>
          <cell r="AD401" t="str">
            <v>Flat</v>
          </cell>
          <cell r="AE401" t="str">
            <v>Duplex</v>
          </cell>
          <cell r="AF401" t="str">
            <v>568 - Without Partition</v>
          </cell>
          <cell r="AG401" t="str">
            <v xml:space="preserve">Without Partition </v>
          </cell>
          <cell r="AH401" t="str">
            <v xml:space="preserve">Without Partition </v>
          </cell>
          <cell r="AI401" t="str">
            <v>PINK</v>
          </cell>
          <cell r="AJ401" t="str">
            <v>Flat / PINK</v>
          </cell>
          <cell r="AK401">
            <v>1050000</v>
          </cell>
          <cell r="AL401">
            <v>15000</v>
          </cell>
          <cell r="AM401">
            <v>1650000</v>
          </cell>
          <cell r="AN401">
            <v>33000</v>
          </cell>
          <cell r="AO401">
            <v>150000</v>
          </cell>
          <cell r="AP401">
            <v>2850000</v>
          </cell>
          <cell r="AQ401"/>
          <cell r="AR401">
            <v>2850000</v>
          </cell>
          <cell r="AS401">
            <v>200000</v>
          </cell>
          <cell r="AT401">
            <v>2650000</v>
          </cell>
          <cell r="AU401">
            <v>100000</v>
          </cell>
          <cell r="AV401">
            <v>2550000</v>
          </cell>
          <cell r="AW401">
            <v>0</v>
          </cell>
          <cell r="AX401">
            <v>2550000</v>
          </cell>
        </row>
        <row r="402">
          <cell r="G402" t="str">
            <v>AGM-01-023-033</v>
          </cell>
          <cell r="H402" t="str">
            <v xml:space="preserve">Raemulan Lands, Inc. </v>
          </cell>
          <cell r="I402" t="str">
            <v>Agapeya</v>
          </cell>
          <cell r="J402" t="str">
            <v>AGM</v>
          </cell>
          <cell r="K402" t="str">
            <v>Eco-High</v>
          </cell>
          <cell r="L402" t="str">
            <v>West</v>
          </cell>
          <cell r="M402" t="str">
            <v>With LTS - 2024</v>
          </cell>
          <cell r="N402" t="str">
            <v>YES</v>
          </cell>
          <cell r="O402" t="str">
            <v>YES</v>
          </cell>
          <cell r="P402" t="str">
            <v>Unaffected lots</v>
          </cell>
          <cell r="Q402" t="str">
            <v>YES</v>
          </cell>
          <cell r="R402">
            <v>70</v>
          </cell>
          <cell r="S402" t="str">
            <v>PCS-04-276764</v>
          </cell>
          <cell r="T402" t="str">
            <v>TCT-060-2024018707</v>
          </cell>
          <cell r="U402" t="b">
            <v>1</v>
          </cell>
          <cell r="V402" t="str">
            <v>Done</v>
          </cell>
          <cell r="W402" t="str">
            <v>B4 2025</v>
          </cell>
          <cell r="X402" t="str">
            <v>2025 - Batch 2</v>
          </cell>
          <cell r="Y402">
            <v>23</v>
          </cell>
          <cell r="Z402">
            <v>33</v>
          </cell>
          <cell r="AA402" t="str">
            <v>H+L</v>
          </cell>
          <cell r="AB402">
            <v>70</v>
          </cell>
          <cell r="AC402">
            <v>50</v>
          </cell>
          <cell r="AD402" t="str">
            <v>Flat</v>
          </cell>
          <cell r="AE402" t="str">
            <v>Duplex</v>
          </cell>
          <cell r="AF402" t="str">
            <v>568 - Without Partition</v>
          </cell>
          <cell r="AG402" t="str">
            <v xml:space="preserve">Without Partition </v>
          </cell>
          <cell r="AH402" t="str">
            <v xml:space="preserve">Without Partition </v>
          </cell>
          <cell r="AI402" t="str">
            <v>PINK</v>
          </cell>
          <cell r="AJ402" t="str">
            <v>Flat / PINK</v>
          </cell>
          <cell r="AK402">
            <v>1050000</v>
          </cell>
          <cell r="AL402">
            <v>15000</v>
          </cell>
          <cell r="AM402">
            <v>1650000</v>
          </cell>
          <cell r="AN402">
            <v>33000</v>
          </cell>
          <cell r="AO402">
            <v>150000</v>
          </cell>
          <cell r="AP402">
            <v>2850000</v>
          </cell>
          <cell r="AQ402"/>
          <cell r="AR402">
            <v>2850000</v>
          </cell>
          <cell r="AS402">
            <v>200000</v>
          </cell>
          <cell r="AT402">
            <v>2650000</v>
          </cell>
          <cell r="AU402">
            <v>100000</v>
          </cell>
          <cell r="AV402">
            <v>2550000</v>
          </cell>
          <cell r="AW402">
            <v>0</v>
          </cell>
          <cell r="AX402">
            <v>2550000</v>
          </cell>
        </row>
        <row r="403">
          <cell r="G403" t="str">
            <v>AGM-01-023-034</v>
          </cell>
          <cell r="H403" t="str">
            <v xml:space="preserve">Raemulan Lands, Inc. </v>
          </cell>
          <cell r="I403" t="str">
            <v>Agapeya</v>
          </cell>
          <cell r="J403" t="str">
            <v>AGM</v>
          </cell>
          <cell r="K403" t="str">
            <v>Eco-High</v>
          </cell>
          <cell r="L403" t="str">
            <v>West</v>
          </cell>
          <cell r="M403" t="str">
            <v>With LTS - 2024</v>
          </cell>
          <cell r="N403" t="str">
            <v>YES</v>
          </cell>
          <cell r="O403" t="str">
            <v>YES</v>
          </cell>
          <cell r="P403" t="str">
            <v>Unaffected lots</v>
          </cell>
          <cell r="Q403" t="str">
            <v>YES</v>
          </cell>
          <cell r="R403">
            <v>70</v>
          </cell>
          <cell r="S403" t="str">
            <v>PCS-04-276764</v>
          </cell>
          <cell r="T403" t="str">
            <v>TCT-060-2024018708</v>
          </cell>
          <cell r="U403" t="b">
            <v>1</v>
          </cell>
          <cell r="V403" t="str">
            <v>Done</v>
          </cell>
          <cell r="W403" t="str">
            <v>B4 2025</v>
          </cell>
          <cell r="X403" t="str">
            <v>2025 - Batch 2</v>
          </cell>
          <cell r="Y403">
            <v>23</v>
          </cell>
          <cell r="Z403">
            <v>34</v>
          </cell>
          <cell r="AA403" t="str">
            <v>H+L</v>
          </cell>
          <cell r="AB403">
            <v>70</v>
          </cell>
          <cell r="AC403">
            <v>50</v>
          </cell>
          <cell r="AD403" t="str">
            <v>Slant</v>
          </cell>
          <cell r="AE403" t="str">
            <v>Duplex</v>
          </cell>
          <cell r="AF403" t="str">
            <v>568 - Without Partition</v>
          </cell>
          <cell r="AG403" t="str">
            <v xml:space="preserve">Without Partition </v>
          </cell>
          <cell r="AH403" t="str">
            <v xml:space="preserve">Without Partition </v>
          </cell>
          <cell r="AI403" t="str">
            <v>PINK</v>
          </cell>
          <cell r="AJ403" t="str">
            <v>Slant / PINK</v>
          </cell>
          <cell r="AK403">
            <v>1050000</v>
          </cell>
          <cell r="AL403">
            <v>15000</v>
          </cell>
          <cell r="AM403">
            <v>1650000</v>
          </cell>
          <cell r="AN403">
            <v>33000</v>
          </cell>
          <cell r="AO403">
            <v>150000</v>
          </cell>
          <cell r="AP403">
            <v>2850000</v>
          </cell>
          <cell r="AQ403"/>
          <cell r="AR403">
            <v>2850000</v>
          </cell>
          <cell r="AS403">
            <v>200000</v>
          </cell>
          <cell r="AT403">
            <v>2650000</v>
          </cell>
          <cell r="AU403">
            <v>100000</v>
          </cell>
          <cell r="AV403">
            <v>2550000</v>
          </cell>
          <cell r="AW403">
            <v>0</v>
          </cell>
          <cell r="AX403">
            <v>2550000</v>
          </cell>
        </row>
        <row r="404">
          <cell r="G404" t="str">
            <v>AGM-01-023-035</v>
          </cell>
          <cell r="H404" t="str">
            <v xml:space="preserve">Raemulan Lands, Inc. </v>
          </cell>
          <cell r="I404" t="str">
            <v>Agapeya</v>
          </cell>
          <cell r="J404" t="str">
            <v>AGM</v>
          </cell>
          <cell r="K404" t="str">
            <v>Eco-High</v>
          </cell>
          <cell r="L404" t="str">
            <v>West</v>
          </cell>
          <cell r="M404" t="str">
            <v>With LTS - 2024</v>
          </cell>
          <cell r="N404" t="str">
            <v>YES</v>
          </cell>
          <cell r="O404" t="str">
            <v>YES</v>
          </cell>
          <cell r="P404" t="str">
            <v>Unaffected lots</v>
          </cell>
          <cell r="Q404" t="str">
            <v>YES</v>
          </cell>
          <cell r="R404">
            <v>70</v>
          </cell>
          <cell r="S404" t="str">
            <v>PCS-04-276764</v>
          </cell>
          <cell r="T404" t="str">
            <v>TCT-060-2024018709</v>
          </cell>
          <cell r="U404" t="b">
            <v>1</v>
          </cell>
          <cell r="V404" t="str">
            <v>Done</v>
          </cell>
          <cell r="W404" t="str">
            <v>B4 2025</v>
          </cell>
          <cell r="X404" t="str">
            <v>2025 - Batch 2</v>
          </cell>
          <cell r="Y404">
            <v>23</v>
          </cell>
          <cell r="Z404">
            <v>35</v>
          </cell>
          <cell r="AA404" t="str">
            <v>H+L</v>
          </cell>
          <cell r="AB404">
            <v>70</v>
          </cell>
          <cell r="AC404">
            <v>50</v>
          </cell>
          <cell r="AD404" t="str">
            <v>Slant</v>
          </cell>
          <cell r="AE404" t="str">
            <v>Duplex</v>
          </cell>
          <cell r="AF404" t="str">
            <v>568 - Without Partition</v>
          </cell>
          <cell r="AG404" t="str">
            <v xml:space="preserve">Without Partition </v>
          </cell>
          <cell r="AH404" t="str">
            <v xml:space="preserve">Without Partition </v>
          </cell>
          <cell r="AI404" t="str">
            <v>PURPLE</v>
          </cell>
          <cell r="AJ404" t="str">
            <v>Slant / PURPLE</v>
          </cell>
          <cell r="AK404">
            <v>1050000</v>
          </cell>
          <cell r="AL404">
            <v>15000</v>
          </cell>
          <cell r="AM404">
            <v>1650000</v>
          </cell>
          <cell r="AN404">
            <v>33000</v>
          </cell>
          <cell r="AO404">
            <v>150000</v>
          </cell>
          <cell r="AP404">
            <v>2850000</v>
          </cell>
          <cell r="AQ404"/>
          <cell r="AR404">
            <v>2850000</v>
          </cell>
          <cell r="AS404">
            <v>200000</v>
          </cell>
          <cell r="AT404">
            <v>2650000</v>
          </cell>
          <cell r="AU404">
            <v>100000</v>
          </cell>
          <cell r="AV404">
            <v>2550000</v>
          </cell>
          <cell r="AW404">
            <v>0</v>
          </cell>
          <cell r="AX404">
            <v>2550000</v>
          </cell>
        </row>
        <row r="405">
          <cell r="G405" t="str">
            <v>AGM-01-023-036</v>
          </cell>
          <cell r="H405" t="str">
            <v xml:space="preserve">Raemulan Lands, Inc. </v>
          </cell>
          <cell r="I405" t="str">
            <v>Agapeya</v>
          </cell>
          <cell r="J405" t="str">
            <v>AGM</v>
          </cell>
          <cell r="K405" t="str">
            <v>Eco-High</v>
          </cell>
          <cell r="L405" t="str">
            <v>West</v>
          </cell>
          <cell r="M405" t="str">
            <v>With LTS - 2024</v>
          </cell>
          <cell r="N405" t="str">
            <v>YES</v>
          </cell>
          <cell r="O405" t="str">
            <v>YES</v>
          </cell>
          <cell r="P405" t="str">
            <v>Unaffected lots</v>
          </cell>
          <cell r="Q405" t="str">
            <v>YES</v>
          </cell>
          <cell r="R405">
            <v>70</v>
          </cell>
          <cell r="S405" t="str">
            <v>PCS-04-276764</v>
          </cell>
          <cell r="T405" t="str">
            <v>TCT-060-2024018710</v>
          </cell>
          <cell r="U405" t="b">
            <v>1</v>
          </cell>
          <cell r="V405" t="str">
            <v>Done</v>
          </cell>
          <cell r="W405" t="str">
            <v>B4 2025</v>
          </cell>
          <cell r="X405" t="str">
            <v>2025 - Batch 2</v>
          </cell>
          <cell r="Y405">
            <v>23</v>
          </cell>
          <cell r="Z405">
            <v>36</v>
          </cell>
          <cell r="AA405" t="str">
            <v>H+L</v>
          </cell>
          <cell r="AB405">
            <v>70</v>
          </cell>
          <cell r="AC405">
            <v>50</v>
          </cell>
          <cell r="AD405" t="str">
            <v>Flat</v>
          </cell>
          <cell r="AE405" t="str">
            <v>Duplex</v>
          </cell>
          <cell r="AF405" t="str">
            <v>568 - Without Partition</v>
          </cell>
          <cell r="AG405" t="str">
            <v xml:space="preserve">Without Partition </v>
          </cell>
          <cell r="AH405" t="str">
            <v xml:space="preserve">Without Partition </v>
          </cell>
          <cell r="AI405" t="str">
            <v>PURPLE</v>
          </cell>
          <cell r="AJ405" t="str">
            <v>Flat / PURPLE</v>
          </cell>
          <cell r="AK405">
            <v>1050000</v>
          </cell>
          <cell r="AL405">
            <v>15000</v>
          </cell>
          <cell r="AM405">
            <v>1650000</v>
          </cell>
          <cell r="AN405">
            <v>33000</v>
          </cell>
          <cell r="AO405">
            <v>150000</v>
          </cell>
          <cell r="AP405">
            <v>2850000</v>
          </cell>
          <cell r="AQ405"/>
          <cell r="AR405">
            <v>2850000</v>
          </cell>
          <cell r="AS405">
            <v>200000</v>
          </cell>
          <cell r="AT405">
            <v>2650000</v>
          </cell>
          <cell r="AU405">
            <v>100000</v>
          </cell>
          <cell r="AV405">
            <v>2550000</v>
          </cell>
          <cell r="AW405">
            <v>0</v>
          </cell>
          <cell r="AX405">
            <v>2550000</v>
          </cell>
        </row>
        <row r="406">
          <cell r="G406" t="str">
            <v>AGM-01-023-037</v>
          </cell>
          <cell r="H406" t="str">
            <v xml:space="preserve">Raemulan Lands, Inc. </v>
          </cell>
          <cell r="I406" t="str">
            <v>Agapeya</v>
          </cell>
          <cell r="J406" t="str">
            <v>AGM</v>
          </cell>
          <cell r="K406" t="str">
            <v>Eco-High</v>
          </cell>
          <cell r="L406" t="str">
            <v>West</v>
          </cell>
          <cell r="M406" t="str">
            <v>With LTS - 2024</v>
          </cell>
          <cell r="N406" t="str">
            <v>YES</v>
          </cell>
          <cell r="O406" t="str">
            <v>YES</v>
          </cell>
          <cell r="P406" t="str">
            <v>Unaffected lots</v>
          </cell>
          <cell r="Q406" t="str">
            <v>YES</v>
          </cell>
          <cell r="R406">
            <v>70</v>
          </cell>
          <cell r="S406" t="str">
            <v>PCS-04-276764</v>
          </cell>
          <cell r="T406" t="str">
            <v>TCT-060-2024018711</v>
          </cell>
          <cell r="U406" t="b">
            <v>1</v>
          </cell>
          <cell r="V406" t="str">
            <v>Done</v>
          </cell>
          <cell r="W406" t="str">
            <v>B4 2025</v>
          </cell>
          <cell r="X406" t="str">
            <v>2025 - Batch 3</v>
          </cell>
          <cell r="Y406">
            <v>23</v>
          </cell>
          <cell r="Z406">
            <v>37</v>
          </cell>
          <cell r="AA406" t="str">
            <v>H+L</v>
          </cell>
          <cell r="AB406">
            <v>70</v>
          </cell>
          <cell r="AC406">
            <v>50</v>
          </cell>
          <cell r="AD406" t="str">
            <v>Flat</v>
          </cell>
          <cell r="AE406" t="str">
            <v>Duplex</v>
          </cell>
          <cell r="AF406" t="str">
            <v>568 - Without Partition</v>
          </cell>
          <cell r="AG406" t="str">
            <v xml:space="preserve">Without Partition </v>
          </cell>
          <cell r="AH406" t="str">
            <v xml:space="preserve">Without Partition </v>
          </cell>
          <cell r="AI406" t="str">
            <v>PURPLE</v>
          </cell>
          <cell r="AJ406" t="str">
            <v>Flat / PURPLE</v>
          </cell>
          <cell r="AK406">
            <v>1050000</v>
          </cell>
          <cell r="AL406">
            <v>15000</v>
          </cell>
          <cell r="AM406">
            <v>1650000</v>
          </cell>
          <cell r="AN406">
            <v>33000</v>
          </cell>
          <cell r="AO406">
            <v>150000</v>
          </cell>
          <cell r="AP406">
            <v>2850000</v>
          </cell>
          <cell r="AQ406"/>
          <cell r="AR406">
            <v>2850000</v>
          </cell>
          <cell r="AS406">
            <v>200000</v>
          </cell>
          <cell r="AT406">
            <v>2650000</v>
          </cell>
          <cell r="AU406">
            <v>100000</v>
          </cell>
          <cell r="AV406">
            <v>2550000</v>
          </cell>
          <cell r="AW406">
            <v>0</v>
          </cell>
          <cell r="AX406">
            <v>2550000</v>
          </cell>
        </row>
        <row r="407">
          <cell r="G407" t="str">
            <v>AGM-01-023-038</v>
          </cell>
          <cell r="H407" t="str">
            <v xml:space="preserve">Raemulan Lands, Inc. </v>
          </cell>
          <cell r="I407" t="str">
            <v>Agapeya</v>
          </cell>
          <cell r="J407" t="str">
            <v>AGM</v>
          </cell>
          <cell r="K407" t="str">
            <v>Eco-High</v>
          </cell>
          <cell r="L407" t="str">
            <v>West</v>
          </cell>
          <cell r="M407" t="str">
            <v>Without LTS</v>
          </cell>
          <cell r="N407"/>
          <cell r="O407"/>
          <cell r="P407" t="str">
            <v>Unaffected lots</v>
          </cell>
          <cell r="Q407" t="str">
            <v>NO</v>
          </cell>
          <cell r="R407">
            <v>70</v>
          </cell>
          <cell r="S407" t="str">
            <v>PCS-04-036352</v>
          </cell>
          <cell r="T407" t="str">
            <v>TCT-060-2026007167</v>
          </cell>
          <cell r="U407" t="b">
            <v>1</v>
          </cell>
          <cell r="V407" t="str">
            <v>Done</v>
          </cell>
          <cell r="W407" t="str">
            <v>B4 2025</v>
          </cell>
          <cell r="X407" t="str">
            <v>2025 - Batch 3</v>
          </cell>
          <cell r="Y407">
            <v>23</v>
          </cell>
          <cell r="Z407">
            <v>38</v>
          </cell>
          <cell r="AA407" t="str">
            <v>H+L</v>
          </cell>
          <cell r="AB407">
            <v>70</v>
          </cell>
          <cell r="AC407">
            <v>50</v>
          </cell>
          <cell r="AD407" t="str">
            <v>Slant</v>
          </cell>
          <cell r="AE407" t="str">
            <v>Duplex</v>
          </cell>
          <cell r="AF407" t="str">
            <v>568 - Without Partition</v>
          </cell>
          <cell r="AG407" t="str">
            <v xml:space="preserve">Without Partition </v>
          </cell>
          <cell r="AH407" t="str">
            <v xml:space="preserve">Without Partition </v>
          </cell>
          <cell r="AI407" t="str">
            <v>PURPLE</v>
          </cell>
          <cell r="AJ407" t="str">
            <v>Slant / PURPLE</v>
          </cell>
          <cell r="AK407">
            <v>1050000</v>
          </cell>
          <cell r="AL407">
            <v>15000</v>
          </cell>
          <cell r="AM407">
            <v>1650000</v>
          </cell>
          <cell r="AN407">
            <v>33000</v>
          </cell>
          <cell r="AO407">
            <v>150000</v>
          </cell>
          <cell r="AP407">
            <v>2850000</v>
          </cell>
          <cell r="AQ407"/>
          <cell r="AR407">
            <v>2850000</v>
          </cell>
          <cell r="AS407">
            <v>200000</v>
          </cell>
          <cell r="AT407">
            <v>2650000</v>
          </cell>
          <cell r="AU407">
            <v>100000</v>
          </cell>
          <cell r="AV407">
            <v>2550000</v>
          </cell>
          <cell r="AW407">
            <v>0</v>
          </cell>
          <cell r="AX407">
            <v>2550000</v>
          </cell>
        </row>
        <row r="408">
          <cell r="G408" t="str">
            <v>AGM-01-023-039</v>
          </cell>
          <cell r="H408" t="str">
            <v xml:space="preserve">Raemulan Lands, Inc. </v>
          </cell>
          <cell r="I408" t="str">
            <v>Agapeya</v>
          </cell>
          <cell r="J408" t="str">
            <v>AGM</v>
          </cell>
          <cell r="K408" t="str">
            <v>Eco-High</v>
          </cell>
          <cell r="L408" t="str">
            <v>West</v>
          </cell>
          <cell r="M408" t="str">
            <v>Without LTS</v>
          </cell>
          <cell r="N408"/>
          <cell r="O408"/>
          <cell r="P408" t="str">
            <v>Unaffected lots</v>
          </cell>
          <cell r="Q408" t="str">
            <v>NO</v>
          </cell>
          <cell r="R408">
            <v>70</v>
          </cell>
          <cell r="S408" t="str">
            <v>PCS-04-036352</v>
          </cell>
          <cell r="T408" t="str">
            <v>TCT-060-2026007168</v>
          </cell>
          <cell r="U408" t="b">
            <v>1</v>
          </cell>
          <cell r="V408" t="str">
            <v>Done</v>
          </cell>
          <cell r="W408" t="str">
            <v>B4 2025</v>
          </cell>
          <cell r="X408" t="str">
            <v>2025 - Batch 3</v>
          </cell>
          <cell r="Y408">
            <v>23</v>
          </cell>
          <cell r="Z408">
            <v>39</v>
          </cell>
          <cell r="AA408" t="str">
            <v>H+L</v>
          </cell>
          <cell r="AB408">
            <v>70</v>
          </cell>
          <cell r="AC408">
            <v>50</v>
          </cell>
          <cell r="AD408" t="str">
            <v>Slant</v>
          </cell>
          <cell r="AE408" t="str">
            <v>Duplex</v>
          </cell>
          <cell r="AF408" t="str">
            <v>568 - Without Partition</v>
          </cell>
          <cell r="AG408" t="str">
            <v xml:space="preserve">Without Partition </v>
          </cell>
          <cell r="AH408" t="str">
            <v xml:space="preserve">Without Partition </v>
          </cell>
          <cell r="AI408" t="str">
            <v>GREEN</v>
          </cell>
          <cell r="AJ408" t="str">
            <v>Slant / GREEN</v>
          </cell>
          <cell r="AK408">
            <v>1050000</v>
          </cell>
          <cell r="AL408">
            <v>15000</v>
          </cell>
          <cell r="AM408">
            <v>1650000</v>
          </cell>
          <cell r="AN408">
            <v>33000</v>
          </cell>
          <cell r="AO408">
            <v>150000</v>
          </cell>
          <cell r="AP408">
            <v>2850000</v>
          </cell>
          <cell r="AQ408"/>
          <cell r="AR408">
            <v>2850000</v>
          </cell>
          <cell r="AS408">
            <v>200000</v>
          </cell>
          <cell r="AT408">
            <v>2650000</v>
          </cell>
          <cell r="AU408">
            <v>100000</v>
          </cell>
          <cell r="AV408">
            <v>2550000</v>
          </cell>
          <cell r="AW408">
            <v>0</v>
          </cell>
          <cell r="AX408">
            <v>2550000</v>
          </cell>
        </row>
        <row r="409">
          <cell r="G409" t="str">
            <v>AGM-01-023-040</v>
          </cell>
          <cell r="H409" t="str">
            <v xml:space="preserve">Raemulan Lands, Inc. </v>
          </cell>
          <cell r="I409" t="str">
            <v>Agapeya</v>
          </cell>
          <cell r="J409" t="str">
            <v>AGM</v>
          </cell>
          <cell r="K409" t="str">
            <v>Eco-High</v>
          </cell>
          <cell r="L409" t="str">
            <v>West</v>
          </cell>
          <cell r="M409" t="str">
            <v>With LTS - 2026</v>
          </cell>
          <cell r="N409" t="str">
            <v>YES</v>
          </cell>
          <cell r="O409" t="str">
            <v>NO</v>
          </cell>
          <cell r="P409" t="str">
            <v>Unaffected lots</v>
          </cell>
          <cell r="Q409" t="str">
            <v>NO</v>
          </cell>
          <cell r="R409">
            <v>70</v>
          </cell>
          <cell r="S409" t="str">
            <v>PSD-04-277865</v>
          </cell>
          <cell r="T409" t="str">
            <v>TCT-060-2025019531</v>
          </cell>
          <cell r="U409" t="b">
            <v>1</v>
          </cell>
          <cell r="V409" t="str">
            <v>Done</v>
          </cell>
          <cell r="W409" t="str">
            <v>B4 2025</v>
          </cell>
          <cell r="X409" t="str">
            <v>2025 - Batch 3</v>
          </cell>
          <cell r="Y409">
            <v>23</v>
          </cell>
          <cell r="Z409">
            <v>40</v>
          </cell>
          <cell r="AA409" t="str">
            <v>H+L</v>
          </cell>
          <cell r="AB409">
            <v>70</v>
          </cell>
          <cell r="AC409">
            <v>50</v>
          </cell>
          <cell r="AD409" t="str">
            <v>Flat</v>
          </cell>
          <cell r="AE409" t="str">
            <v>Duplex</v>
          </cell>
          <cell r="AF409" t="str">
            <v>568 - Without Partition</v>
          </cell>
          <cell r="AG409" t="str">
            <v xml:space="preserve">Without Partition </v>
          </cell>
          <cell r="AH409" t="str">
            <v xml:space="preserve">Without Partition </v>
          </cell>
          <cell r="AI409" t="str">
            <v>GREEN</v>
          </cell>
          <cell r="AJ409" t="str">
            <v>Flat / GREEN</v>
          </cell>
          <cell r="AK409">
            <v>1050000</v>
          </cell>
          <cell r="AL409">
            <v>15000</v>
          </cell>
          <cell r="AM409">
            <v>1650000</v>
          </cell>
          <cell r="AN409">
            <v>33000</v>
          </cell>
          <cell r="AO409">
            <v>150000</v>
          </cell>
          <cell r="AP409">
            <v>2850000</v>
          </cell>
          <cell r="AQ409"/>
          <cell r="AR409">
            <v>2850000</v>
          </cell>
          <cell r="AS409">
            <v>200000</v>
          </cell>
          <cell r="AT409">
            <v>2650000</v>
          </cell>
          <cell r="AU409">
            <v>100000</v>
          </cell>
          <cell r="AV409">
            <v>2550000</v>
          </cell>
          <cell r="AW409">
            <v>0</v>
          </cell>
          <cell r="AX409">
            <v>2550000</v>
          </cell>
        </row>
        <row r="410">
          <cell r="G410" t="str">
            <v>AGM-01-023-041</v>
          </cell>
          <cell r="H410" t="str">
            <v xml:space="preserve">Raemulan Lands, Inc. </v>
          </cell>
          <cell r="I410" t="str">
            <v>Agapeya</v>
          </cell>
          <cell r="J410" t="str">
            <v>AGM</v>
          </cell>
          <cell r="K410" t="str">
            <v>Eco-High</v>
          </cell>
          <cell r="L410" t="str">
            <v>West</v>
          </cell>
          <cell r="M410" t="str">
            <v>With LTS - 2026</v>
          </cell>
          <cell r="N410" t="str">
            <v>YES</v>
          </cell>
          <cell r="O410" t="str">
            <v>NO</v>
          </cell>
          <cell r="P410" t="str">
            <v>Unaffected lots</v>
          </cell>
          <cell r="Q410" t="str">
            <v>NO</v>
          </cell>
          <cell r="R410">
            <v>70</v>
          </cell>
          <cell r="S410" t="str">
            <v>PSD-04-277865</v>
          </cell>
          <cell r="T410" t="str">
            <v>TCT-060-2025019532</v>
          </cell>
          <cell r="U410" t="b">
            <v>1</v>
          </cell>
          <cell r="V410" t="str">
            <v>Done</v>
          </cell>
          <cell r="W410" t="str">
            <v>B4 2025</v>
          </cell>
          <cell r="X410" t="str">
            <v>2025 - Batch 3</v>
          </cell>
          <cell r="Y410">
            <v>23</v>
          </cell>
          <cell r="Z410">
            <v>41</v>
          </cell>
          <cell r="AA410" t="str">
            <v>H+L</v>
          </cell>
          <cell r="AB410">
            <v>70</v>
          </cell>
          <cell r="AC410">
            <v>50</v>
          </cell>
          <cell r="AD410" t="str">
            <v>Flat</v>
          </cell>
          <cell r="AE410" t="str">
            <v>Duplex</v>
          </cell>
          <cell r="AF410" t="str">
            <v>568 - Without Partition</v>
          </cell>
          <cell r="AG410" t="str">
            <v xml:space="preserve">Without Partition </v>
          </cell>
          <cell r="AH410" t="str">
            <v xml:space="preserve">Without Partition </v>
          </cell>
          <cell r="AI410" t="str">
            <v>GREEN</v>
          </cell>
          <cell r="AJ410" t="str">
            <v>Flat / GREEN</v>
          </cell>
          <cell r="AK410">
            <v>1050000</v>
          </cell>
          <cell r="AL410">
            <v>15000</v>
          </cell>
          <cell r="AM410">
            <v>1650000</v>
          </cell>
          <cell r="AN410">
            <v>33000</v>
          </cell>
          <cell r="AO410">
            <v>150000</v>
          </cell>
          <cell r="AP410">
            <v>2850000</v>
          </cell>
          <cell r="AQ410"/>
          <cell r="AR410">
            <v>2850000</v>
          </cell>
          <cell r="AS410">
            <v>200000</v>
          </cell>
          <cell r="AT410">
            <v>2650000</v>
          </cell>
          <cell r="AU410">
            <v>100000</v>
          </cell>
          <cell r="AV410">
            <v>2550000</v>
          </cell>
          <cell r="AW410">
            <v>0</v>
          </cell>
          <cell r="AX410">
            <v>2550000</v>
          </cell>
        </row>
        <row r="411">
          <cell r="G411" t="str">
            <v>AGM-01-023-042</v>
          </cell>
          <cell r="H411" t="str">
            <v xml:space="preserve">Raemulan Lands, Inc. </v>
          </cell>
          <cell r="I411" t="str">
            <v>Agapeya</v>
          </cell>
          <cell r="J411" t="str">
            <v>AGM</v>
          </cell>
          <cell r="K411" t="str">
            <v>Eco-High</v>
          </cell>
          <cell r="L411" t="str">
            <v>West</v>
          </cell>
          <cell r="M411" t="str">
            <v>With LTS - 2026</v>
          </cell>
          <cell r="N411" t="str">
            <v>YES</v>
          </cell>
          <cell r="O411" t="str">
            <v>NO</v>
          </cell>
          <cell r="P411" t="str">
            <v>Unaffected lots</v>
          </cell>
          <cell r="Q411" t="str">
            <v>NO</v>
          </cell>
          <cell r="R411">
            <v>70</v>
          </cell>
          <cell r="S411" t="str">
            <v>PSD-04-277865</v>
          </cell>
          <cell r="T411" t="str">
            <v>TCT-060-2025019533</v>
          </cell>
          <cell r="U411" t="b">
            <v>1</v>
          </cell>
          <cell r="V411" t="str">
            <v>Done</v>
          </cell>
          <cell r="W411" t="str">
            <v>B4 2025</v>
          </cell>
          <cell r="X411" t="str">
            <v>2025 - Batch 3</v>
          </cell>
          <cell r="Y411">
            <v>23</v>
          </cell>
          <cell r="Z411">
            <v>42</v>
          </cell>
          <cell r="AA411" t="str">
            <v>H+L</v>
          </cell>
          <cell r="AB411">
            <v>70</v>
          </cell>
          <cell r="AC411">
            <v>50</v>
          </cell>
          <cell r="AD411" t="str">
            <v>Slant</v>
          </cell>
          <cell r="AE411" t="str">
            <v>Duplex</v>
          </cell>
          <cell r="AF411" t="str">
            <v>568 - Without Partition</v>
          </cell>
          <cell r="AG411" t="str">
            <v xml:space="preserve">Without Partition </v>
          </cell>
          <cell r="AH411" t="str">
            <v xml:space="preserve">Without Partition </v>
          </cell>
          <cell r="AI411" t="str">
            <v>GREEN</v>
          </cell>
          <cell r="AJ411" t="str">
            <v>Slant / GREEN</v>
          </cell>
          <cell r="AK411">
            <v>1050000</v>
          </cell>
          <cell r="AL411">
            <v>15000</v>
          </cell>
          <cell r="AM411">
            <v>1650000</v>
          </cell>
          <cell r="AN411">
            <v>33000</v>
          </cell>
          <cell r="AO411">
            <v>150000</v>
          </cell>
          <cell r="AP411">
            <v>2850000</v>
          </cell>
          <cell r="AQ411"/>
          <cell r="AR411">
            <v>2850000</v>
          </cell>
          <cell r="AS411">
            <v>200000</v>
          </cell>
          <cell r="AT411">
            <v>2650000</v>
          </cell>
          <cell r="AU411">
            <v>100000</v>
          </cell>
          <cell r="AV411">
            <v>2550000</v>
          </cell>
          <cell r="AW411">
            <v>0</v>
          </cell>
          <cell r="AX411">
            <v>2550000</v>
          </cell>
        </row>
        <row r="412">
          <cell r="G412" t="str">
            <v>AGM-01-023-043</v>
          </cell>
          <cell r="H412" t="str">
            <v xml:space="preserve">Raemulan Lands, Inc. </v>
          </cell>
          <cell r="I412" t="str">
            <v>Agapeya</v>
          </cell>
          <cell r="J412" t="str">
            <v>AGM</v>
          </cell>
          <cell r="K412" t="str">
            <v>Eco-High</v>
          </cell>
          <cell r="L412" t="str">
            <v>West</v>
          </cell>
          <cell r="M412" t="str">
            <v>With LTS - 2026</v>
          </cell>
          <cell r="N412" t="str">
            <v>YES</v>
          </cell>
          <cell r="O412" t="str">
            <v>NO</v>
          </cell>
          <cell r="P412" t="str">
            <v>Unaffected lots</v>
          </cell>
          <cell r="Q412" t="str">
            <v>NO</v>
          </cell>
          <cell r="R412">
            <v>70</v>
          </cell>
          <cell r="S412" t="str">
            <v>PSD-04-277865</v>
          </cell>
          <cell r="T412" t="str">
            <v>TCT-060-2025019534</v>
          </cell>
          <cell r="U412" t="b">
            <v>1</v>
          </cell>
          <cell r="V412" t="str">
            <v>Done</v>
          </cell>
          <cell r="W412" t="str">
            <v>B4 2025</v>
          </cell>
          <cell r="X412" t="str">
            <v>2025 - Batch 4</v>
          </cell>
          <cell r="Y412">
            <v>23</v>
          </cell>
          <cell r="Z412">
            <v>43</v>
          </cell>
          <cell r="AA412" t="str">
            <v>H+L</v>
          </cell>
          <cell r="AB412">
            <v>70</v>
          </cell>
          <cell r="AC412">
            <v>50</v>
          </cell>
          <cell r="AD412" t="str">
            <v>Slant</v>
          </cell>
          <cell r="AE412" t="str">
            <v>Duplex</v>
          </cell>
          <cell r="AF412" t="str">
            <v>568 - Without Partition</v>
          </cell>
          <cell r="AG412" t="str">
            <v xml:space="preserve">Without Partition </v>
          </cell>
          <cell r="AH412" t="str">
            <v xml:space="preserve">Without Partition </v>
          </cell>
          <cell r="AI412" t="str">
            <v>YELLOW</v>
          </cell>
          <cell r="AJ412" t="str">
            <v>Slant / YELLOW</v>
          </cell>
          <cell r="AK412">
            <v>1050000</v>
          </cell>
          <cell r="AL412">
            <v>15000</v>
          </cell>
          <cell r="AM412">
            <v>1650000</v>
          </cell>
          <cell r="AN412">
            <v>33000</v>
          </cell>
          <cell r="AO412">
            <v>150000</v>
          </cell>
          <cell r="AP412">
            <v>2850000</v>
          </cell>
          <cell r="AQ412"/>
          <cell r="AR412">
            <v>2850000</v>
          </cell>
          <cell r="AS412">
            <v>200000</v>
          </cell>
          <cell r="AT412">
            <v>2650000</v>
          </cell>
          <cell r="AU412">
            <v>100000</v>
          </cell>
          <cell r="AV412">
            <v>2550000</v>
          </cell>
          <cell r="AW412">
            <v>0</v>
          </cell>
          <cell r="AX412">
            <v>2550000</v>
          </cell>
        </row>
        <row r="413">
          <cell r="G413" t="str">
            <v>AGM-01-023-044</v>
          </cell>
          <cell r="H413" t="str">
            <v xml:space="preserve">Raemulan Lands, Inc. </v>
          </cell>
          <cell r="I413" t="str">
            <v>Agapeya</v>
          </cell>
          <cell r="J413" t="str">
            <v>AGM</v>
          </cell>
          <cell r="K413" t="str">
            <v>Eco-High</v>
          </cell>
          <cell r="L413" t="str">
            <v>West</v>
          </cell>
          <cell r="M413" t="str">
            <v>With LTS - 2026</v>
          </cell>
          <cell r="N413" t="str">
            <v>YES</v>
          </cell>
          <cell r="O413" t="str">
            <v>NO</v>
          </cell>
          <cell r="P413" t="str">
            <v>Unaffected lots</v>
          </cell>
          <cell r="Q413" t="str">
            <v>NO</v>
          </cell>
          <cell r="R413">
            <v>70</v>
          </cell>
          <cell r="S413" t="str">
            <v>PSD-04-277865</v>
          </cell>
          <cell r="T413" t="str">
            <v>TCT-060-2025019535</v>
          </cell>
          <cell r="U413" t="b">
            <v>1</v>
          </cell>
          <cell r="V413" t="str">
            <v>Done</v>
          </cell>
          <cell r="W413" t="str">
            <v>B4 2025</v>
          </cell>
          <cell r="X413" t="str">
            <v>2025 - Batch 4</v>
          </cell>
          <cell r="Y413">
            <v>23</v>
          </cell>
          <cell r="Z413">
            <v>44</v>
          </cell>
          <cell r="AA413" t="str">
            <v>H+L</v>
          </cell>
          <cell r="AB413">
            <v>70</v>
          </cell>
          <cell r="AC413">
            <v>50</v>
          </cell>
          <cell r="AD413" t="str">
            <v>Flat</v>
          </cell>
          <cell r="AE413" t="str">
            <v>Duplex</v>
          </cell>
          <cell r="AF413" t="str">
            <v>568 - Without Partition</v>
          </cell>
          <cell r="AG413" t="str">
            <v xml:space="preserve">Without Partition </v>
          </cell>
          <cell r="AH413" t="str">
            <v xml:space="preserve">Without Partition </v>
          </cell>
          <cell r="AI413" t="str">
            <v>YELLOW</v>
          </cell>
          <cell r="AJ413" t="str">
            <v>Flat / YELLOW</v>
          </cell>
          <cell r="AK413">
            <v>1050000</v>
          </cell>
          <cell r="AL413">
            <v>15000</v>
          </cell>
          <cell r="AM413">
            <v>1650000</v>
          </cell>
          <cell r="AN413">
            <v>33000</v>
          </cell>
          <cell r="AO413">
            <v>150000</v>
          </cell>
          <cell r="AP413">
            <v>2850000</v>
          </cell>
          <cell r="AQ413"/>
          <cell r="AR413">
            <v>2850000</v>
          </cell>
          <cell r="AS413">
            <v>200000</v>
          </cell>
          <cell r="AT413">
            <v>2650000</v>
          </cell>
          <cell r="AU413">
            <v>100000</v>
          </cell>
          <cell r="AV413">
            <v>2550000</v>
          </cell>
          <cell r="AW413">
            <v>0</v>
          </cell>
          <cell r="AX413">
            <v>2550000</v>
          </cell>
        </row>
        <row r="414">
          <cell r="G414" t="str">
            <v>AGM-01-023-045</v>
          </cell>
          <cell r="H414" t="str">
            <v xml:space="preserve">Raemulan Lands, Inc. </v>
          </cell>
          <cell r="I414" t="str">
            <v>Agapeya</v>
          </cell>
          <cell r="J414" t="str">
            <v>AGM</v>
          </cell>
          <cell r="K414" t="str">
            <v>Eco-High</v>
          </cell>
          <cell r="L414" t="str">
            <v>West</v>
          </cell>
          <cell r="M414" t="str">
            <v>With LTS - 2026</v>
          </cell>
          <cell r="N414" t="str">
            <v>YES</v>
          </cell>
          <cell r="O414" t="str">
            <v>NO</v>
          </cell>
          <cell r="P414" t="str">
            <v>Unaffected lots</v>
          </cell>
          <cell r="Q414" t="str">
            <v>NO</v>
          </cell>
          <cell r="R414">
            <v>70</v>
          </cell>
          <cell r="S414" t="str">
            <v>PSD-04-277865</v>
          </cell>
          <cell r="T414" t="str">
            <v>TCT-060-2025019536</v>
          </cell>
          <cell r="U414" t="b">
            <v>1</v>
          </cell>
          <cell r="V414" t="str">
            <v>Done</v>
          </cell>
          <cell r="W414" t="str">
            <v>B4 2025</v>
          </cell>
          <cell r="X414" t="str">
            <v>2025 - Batch 4</v>
          </cell>
          <cell r="Y414">
            <v>23</v>
          </cell>
          <cell r="Z414">
            <v>45</v>
          </cell>
          <cell r="AA414" t="str">
            <v>H+L</v>
          </cell>
          <cell r="AB414">
            <v>70</v>
          </cell>
          <cell r="AC414">
            <v>50</v>
          </cell>
          <cell r="AD414" t="str">
            <v>Flat</v>
          </cell>
          <cell r="AE414" t="str">
            <v>Duplex</v>
          </cell>
          <cell r="AF414" t="str">
            <v>568 - Without Partition</v>
          </cell>
          <cell r="AG414" t="str">
            <v xml:space="preserve">Without Partition </v>
          </cell>
          <cell r="AH414" t="str">
            <v xml:space="preserve">Without Partition </v>
          </cell>
          <cell r="AI414" t="str">
            <v>YELLOW</v>
          </cell>
          <cell r="AJ414" t="str">
            <v>Flat / YELLOW</v>
          </cell>
          <cell r="AK414">
            <v>1050000</v>
          </cell>
          <cell r="AL414">
            <v>15000</v>
          </cell>
          <cell r="AM414">
            <v>1650000</v>
          </cell>
          <cell r="AN414">
            <v>33000</v>
          </cell>
          <cell r="AO414">
            <v>150000</v>
          </cell>
          <cell r="AP414">
            <v>2850000</v>
          </cell>
          <cell r="AQ414"/>
          <cell r="AR414">
            <v>2850000</v>
          </cell>
          <cell r="AS414">
            <v>200000</v>
          </cell>
          <cell r="AT414">
            <v>2650000</v>
          </cell>
          <cell r="AU414">
            <v>100000</v>
          </cell>
          <cell r="AV414">
            <v>2550000</v>
          </cell>
          <cell r="AW414">
            <v>0</v>
          </cell>
          <cell r="AX414">
            <v>2550000</v>
          </cell>
        </row>
        <row r="415">
          <cell r="G415" t="str">
            <v>AGM-01-023-046</v>
          </cell>
          <cell r="H415" t="str">
            <v xml:space="preserve">Raemulan Lands, Inc. </v>
          </cell>
          <cell r="I415" t="str">
            <v>Agapeya</v>
          </cell>
          <cell r="J415" t="str">
            <v>AGM</v>
          </cell>
          <cell r="K415" t="str">
            <v>Eco-High</v>
          </cell>
          <cell r="L415" t="str">
            <v>West</v>
          </cell>
          <cell r="M415" t="str">
            <v>With LTS - 2026</v>
          </cell>
          <cell r="N415" t="str">
            <v>YES</v>
          </cell>
          <cell r="O415" t="str">
            <v>NO</v>
          </cell>
          <cell r="P415" t="str">
            <v>Unaffected lots</v>
          </cell>
          <cell r="Q415" t="str">
            <v>NO</v>
          </cell>
          <cell r="R415">
            <v>70</v>
          </cell>
          <cell r="S415" t="str">
            <v>PSD-04-277865</v>
          </cell>
          <cell r="T415" t="str">
            <v>TCT-060-2025019537</v>
          </cell>
          <cell r="U415" t="b">
            <v>1</v>
          </cell>
          <cell r="V415" t="str">
            <v>Done</v>
          </cell>
          <cell r="W415" t="str">
            <v>B4 2025</v>
          </cell>
          <cell r="X415" t="str">
            <v>2025 - Batch 4</v>
          </cell>
          <cell r="Y415">
            <v>23</v>
          </cell>
          <cell r="Z415">
            <v>46</v>
          </cell>
          <cell r="AA415" t="str">
            <v>H+L</v>
          </cell>
          <cell r="AB415">
            <v>70</v>
          </cell>
          <cell r="AC415">
            <v>50</v>
          </cell>
          <cell r="AD415" t="str">
            <v>Slant</v>
          </cell>
          <cell r="AE415" t="str">
            <v>Duplex</v>
          </cell>
          <cell r="AF415" t="str">
            <v>568 - Without Partition</v>
          </cell>
          <cell r="AG415" t="str">
            <v xml:space="preserve">Without Partition </v>
          </cell>
          <cell r="AH415" t="str">
            <v xml:space="preserve">Without Partition </v>
          </cell>
          <cell r="AI415" t="str">
            <v>YELLOW</v>
          </cell>
          <cell r="AJ415" t="str">
            <v>Slant / YELLOW</v>
          </cell>
          <cell r="AK415">
            <v>1050000</v>
          </cell>
          <cell r="AL415">
            <v>15000</v>
          </cell>
          <cell r="AM415">
            <v>1650000</v>
          </cell>
          <cell r="AN415">
            <v>33000</v>
          </cell>
          <cell r="AO415">
            <v>150000</v>
          </cell>
          <cell r="AP415">
            <v>2850000</v>
          </cell>
          <cell r="AQ415"/>
          <cell r="AR415">
            <v>2850000</v>
          </cell>
          <cell r="AS415">
            <v>200000</v>
          </cell>
          <cell r="AT415">
            <v>2650000</v>
          </cell>
          <cell r="AU415">
            <v>100000</v>
          </cell>
          <cell r="AV415">
            <v>2550000</v>
          </cell>
          <cell r="AW415">
            <v>0</v>
          </cell>
          <cell r="AX415">
            <v>2550000</v>
          </cell>
        </row>
        <row r="416">
          <cell r="G416" t="str">
            <v>AGM-01-023-047</v>
          </cell>
          <cell r="H416" t="str">
            <v xml:space="preserve">Raemulan Lands, Inc. </v>
          </cell>
          <cell r="I416" t="str">
            <v>Agapeya</v>
          </cell>
          <cell r="J416" t="str">
            <v>AGM</v>
          </cell>
          <cell r="K416" t="str">
            <v>Eco-High</v>
          </cell>
          <cell r="L416" t="str">
            <v>West</v>
          </cell>
          <cell r="M416" t="str">
            <v>With LTS - 2026</v>
          </cell>
          <cell r="N416" t="str">
            <v>YES</v>
          </cell>
          <cell r="O416" t="str">
            <v>NO</v>
          </cell>
          <cell r="P416" t="str">
            <v>Unaffected lots</v>
          </cell>
          <cell r="Q416" t="str">
            <v>NO</v>
          </cell>
          <cell r="R416">
            <v>70</v>
          </cell>
          <cell r="S416" t="str">
            <v>PSD-04-277865</v>
          </cell>
          <cell r="T416" t="str">
            <v>TCT-060-2025019538</v>
          </cell>
          <cell r="U416" t="b">
            <v>1</v>
          </cell>
          <cell r="V416" t="str">
            <v>Done</v>
          </cell>
          <cell r="W416" t="str">
            <v>B4 2025</v>
          </cell>
          <cell r="X416" t="str">
            <v>2025 - Batch 4</v>
          </cell>
          <cell r="Y416">
            <v>23</v>
          </cell>
          <cell r="Z416">
            <v>47</v>
          </cell>
          <cell r="AA416" t="str">
            <v>H+L</v>
          </cell>
          <cell r="AB416">
            <v>70</v>
          </cell>
          <cell r="AC416">
            <v>50</v>
          </cell>
          <cell r="AD416" t="str">
            <v>Slant</v>
          </cell>
          <cell r="AE416" t="str">
            <v>Duplex</v>
          </cell>
          <cell r="AF416" t="str">
            <v>568 - Without Partition</v>
          </cell>
          <cell r="AG416" t="str">
            <v xml:space="preserve">Without Partition </v>
          </cell>
          <cell r="AH416" t="str">
            <v xml:space="preserve">Without Partition </v>
          </cell>
          <cell r="AI416" t="str">
            <v>PINK</v>
          </cell>
          <cell r="AJ416" t="str">
            <v>Slant / PINK</v>
          </cell>
          <cell r="AK416">
            <v>1050000</v>
          </cell>
          <cell r="AL416">
            <v>15000</v>
          </cell>
          <cell r="AM416">
            <v>1650000</v>
          </cell>
          <cell r="AN416">
            <v>33000</v>
          </cell>
          <cell r="AO416">
            <v>150000</v>
          </cell>
          <cell r="AP416">
            <v>2850000</v>
          </cell>
          <cell r="AQ416"/>
          <cell r="AR416">
            <v>2850000</v>
          </cell>
          <cell r="AS416">
            <v>200000</v>
          </cell>
          <cell r="AT416">
            <v>2650000</v>
          </cell>
          <cell r="AU416">
            <v>100000</v>
          </cell>
          <cell r="AV416">
            <v>2550000</v>
          </cell>
          <cell r="AW416">
            <v>0</v>
          </cell>
          <cell r="AX416">
            <v>2550000</v>
          </cell>
        </row>
        <row r="417">
          <cell r="G417" t="str">
            <v>AGM-01-023-048</v>
          </cell>
          <cell r="H417" t="str">
            <v xml:space="preserve">Raemulan Lands, Inc. </v>
          </cell>
          <cell r="I417" t="str">
            <v>Agapeya</v>
          </cell>
          <cell r="J417" t="str">
            <v>AGM</v>
          </cell>
          <cell r="K417" t="str">
            <v>Eco-High</v>
          </cell>
          <cell r="L417" t="str">
            <v>West</v>
          </cell>
          <cell r="M417" t="str">
            <v>With LTS - 2026</v>
          </cell>
          <cell r="N417" t="str">
            <v>YES</v>
          </cell>
          <cell r="O417" t="str">
            <v>NO</v>
          </cell>
          <cell r="P417" t="str">
            <v>Unaffected lots</v>
          </cell>
          <cell r="Q417" t="str">
            <v>NO</v>
          </cell>
          <cell r="R417">
            <v>70</v>
          </cell>
          <cell r="S417" t="str">
            <v>PSD-04-277865</v>
          </cell>
          <cell r="T417" t="str">
            <v>TCT-060-2025019539</v>
          </cell>
          <cell r="U417" t="b">
            <v>1</v>
          </cell>
          <cell r="V417" t="str">
            <v>Done</v>
          </cell>
          <cell r="W417" t="str">
            <v>B4 2025</v>
          </cell>
          <cell r="X417" t="str">
            <v>2025 - Batch 4</v>
          </cell>
          <cell r="Y417">
            <v>23</v>
          </cell>
          <cell r="Z417">
            <v>48</v>
          </cell>
          <cell r="AA417" t="str">
            <v>H+L</v>
          </cell>
          <cell r="AB417">
            <v>70</v>
          </cell>
          <cell r="AC417">
            <v>50</v>
          </cell>
          <cell r="AD417" t="str">
            <v>Flat</v>
          </cell>
          <cell r="AE417" t="str">
            <v>Duplex</v>
          </cell>
          <cell r="AF417" t="str">
            <v>568 - Without Partition</v>
          </cell>
          <cell r="AG417" t="str">
            <v xml:space="preserve">Without Partition </v>
          </cell>
          <cell r="AH417" t="str">
            <v xml:space="preserve">Without Partition </v>
          </cell>
          <cell r="AI417" t="str">
            <v>PINK</v>
          </cell>
          <cell r="AJ417" t="str">
            <v>Flat / PINK</v>
          </cell>
          <cell r="AK417">
            <v>1050000</v>
          </cell>
          <cell r="AL417">
            <v>15000</v>
          </cell>
          <cell r="AM417">
            <v>1650000</v>
          </cell>
          <cell r="AN417">
            <v>33000</v>
          </cell>
          <cell r="AO417">
            <v>150000</v>
          </cell>
          <cell r="AP417">
            <v>2850000</v>
          </cell>
          <cell r="AQ417"/>
          <cell r="AR417">
            <v>2850000</v>
          </cell>
          <cell r="AS417">
            <v>200000</v>
          </cell>
          <cell r="AT417">
            <v>2650000</v>
          </cell>
          <cell r="AU417">
            <v>100000</v>
          </cell>
          <cell r="AV417">
            <v>2550000</v>
          </cell>
          <cell r="AW417">
            <v>0</v>
          </cell>
          <cell r="AX417">
            <v>2550000</v>
          </cell>
        </row>
        <row r="418">
          <cell r="G418" t="str">
            <v>AGM-01-023-049</v>
          </cell>
          <cell r="H418" t="str">
            <v xml:space="preserve">Raemulan Lands, Inc. </v>
          </cell>
          <cell r="I418" t="str">
            <v>Agapeya</v>
          </cell>
          <cell r="J418" t="str">
            <v>AGM</v>
          </cell>
          <cell r="K418" t="str">
            <v>Eco-High</v>
          </cell>
          <cell r="L418" t="str">
            <v>West</v>
          </cell>
          <cell r="M418" t="str">
            <v>With LTS - 2026</v>
          </cell>
          <cell r="N418" t="str">
            <v>YES</v>
          </cell>
          <cell r="O418" t="str">
            <v>NO</v>
          </cell>
          <cell r="P418" t="str">
            <v>Unaffected lots</v>
          </cell>
          <cell r="Q418" t="str">
            <v>NO</v>
          </cell>
          <cell r="R418">
            <v>70</v>
          </cell>
          <cell r="S418" t="str">
            <v>PSD-04-277865</v>
          </cell>
          <cell r="T418" t="str">
            <v>TCT-060-2025019540</v>
          </cell>
          <cell r="U418" t="b">
            <v>1</v>
          </cell>
          <cell r="V418" t="str">
            <v>Done</v>
          </cell>
          <cell r="W418" t="str">
            <v>B4 2025</v>
          </cell>
          <cell r="X418" t="str">
            <v>2025 - Batch 4</v>
          </cell>
          <cell r="Y418">
            <v>23</v>
          </cell>
          <cell r="Z418">
            <v>49</v>
          </cell>
          <cell r="AA418" t="str">
            <v>H+L</v>
          </cell>
          <cell r="AB418">
            <v>70</v>
          </cell>
          <cell r="AC418">
            <v>50</v>
          </cell>
          <cell r="AD418" t="str">
            <v>Flat</v>
          </cell>
          <cell r="AE418" t="str">
            <v>Duplex</v>
          </cell>
          <cell r="AF418" t="str">
            <v>568 - Without Partition</v>
          </cell>
          <cell r="AG418" t="str">
            <v xml:space="preserve">Without Partition </v>
          </cell>
          <cell r="AH418" t="str">
            <v xml:space="preserve">Without Partition </v>
          </cell>
          <cell r="AI418" t="str">
            <v>PINK</v>
          </cell>
          <cell r="AJ418" t="str">
            <v>Flat / PINK</v>
          </cell>
          <cell r="AK418">
            <v>1050000</v>
          </cell>
          <cell r="AL418">
            <v>15000</v>
          </cell>
          <cell r="AM418">
            <v>1650000</v>
          </cell>
          <cell r="AN418">
            <v>33000</v>
          </cell>
          <cell r="AO418">
            <v>150000</v>
          </cell>
          <cell r="AP418">
            <v>2850000</v>
          </cell>
          <cell r="AQ418"/>
          <cell r="AR418">
            <v>2850000</v>
          </cell>
          <cell r="AS418">
            <v>200000</v>
          </cell>
          <cell r="AT418">
            <v>2650000</v>
          </cell>
          <cell r="AU418">
            <v>100000</v>
          </cell>
          <cell r="AV418">
            <v>2550000</v>
          </cell>
          <cell r="AW418">
            <v>0</v>
          </cell>
          <cell r="AX418">
            <v>2550000</v>
          </cell>
        </row>
        <row r="419">
          <cell r="G419" t="str">
            <v>AGM-01-023-050</v>
          </cell>
          <cell r="H419" t="str">
            <v xml:space="preserve">Raemulan Lands, Inc. </v>
          </cell>
          <cell r="I419" t="str">
            <v>Agapeya</v>
          </cell>
          <cell r="J419" t="str">
            <v>AGM</v>
          </cell>
          <cell r="K419" t="str">
            <v>Eco-High</v>
          </cell>
          <cell r="L419" t="str">
            <v>West</v>
          </cell>
          <cell r="M419" t="str">
            <v>Without LTS</v>
          </cell>
          <cell r="N419"/>
          <cell r="O419"/>
          <cell r="P419" t="str">
            <v>Unaffected lots</v>
          </cell>
          <cell r="Q419" t="str">
            <v>NO</v>
          </cell>
          <cell r="R419">
            <v>70</v>
          </cell>
          <cell r="S419" t="str">
            <v>PCS-04-036369</v>
          </cell>
          <cell r="T419" t="str">
            <v>TCT-060-2026007160</v>
          </cell>
          <cell r="U419" t="b">
            <v>1</v>
          </cell>
          <cell r="V419" t="str">
            <v>Done</v>
          </cell>
          <cell r="W419" t="str">
            <v>B4 2025</v>
          </cell>
          <cell r="X419" t="str">
            <v>2025 - Batch 4</v>
          </cell>
          <cell r="Y419">
            <v>23</v>
          </cell>
          <cell r="Z419">
            <v>50</v>
          </cell>
          <cell r="AA419" t="str">
            <v>H+L</v>
          </cell>
          <cell r="AB419">
            <v>70</v>
          </cell>
          <cell r="AC419">
            <v>50</v>
          </cell>
          <cell r="AD419" t="str">
            <v>Slant</v>
          </cell>
          <cell r="AE419" t="str">
            <v>Duplex</v>
          </cell>
          <cell r="AF419" t="str">
            <v>568 - Without Partition</v>
          </cell>
          <cell r="AG419" t="str">
            <v xml:space="preserve">Without Partition </v>
          </cell>
          <cell r="AH419" t="str">
            <v xml:space="preserve">Without Partition </v>
          </cell>
          <cell r="AI419" t="str">
            <v>PINK</v>
          </cell>
          <cell r="AJ419" t="str">
            <v>Slant / PINK</v>
          </cell>
          <cell r="AK419">
            <v>1050000</v>
          </cell>
          <cell r="AL419">
            <v>15000</v>
          </cell>
          <cell r="AM419">
            <v>1650000</v>
          </cell>
          <cell r="AN419">
            <v>33000</v>
          </cell>
          <cell r="AO419">
            <v>150000</v>
          </cell>
          <cell r="AP419">
            <v>2850000</v>
          </cell>
          <cell r="AQ419"/>
          <cell r="AR419">
            <v>2850000</v>
          </cell>
          <cell r="AS419">
            <v>200000</v>
          </cell>
          <cell r="AT419">
            <v>2650000</v>
          </cell>
          <cell r="AU419">
            <v>100000</v>
          </cell>
          <cell r="AV419">
            <v>2550000</v>
          </cell>
          <cell r="AW419">
            <v>0</v>
          </cell>
          <cell r="AX419">
            <v>2550000</v>
          </cell>
        </row>
        <row r="420">
          <cell r="G420" t="str">
            <v>AGM-01-023-051</v>
          </cell>
          <cell r="H420" t="str">
            <v xml:space="preserve">Raemulan Lands, Inc. </v>
          </cell>
          <cell r="I420" t="str">
            <v>Agapeya</v>
          </cell>
          <cell r="J420" t="str">
            <v>AGM</v>
          </cell>
          <cell r="K420" t="str">
            <v>Eco-High</v>
          </cell>
          <cell r="L420" t="str">
            <v>West</v>
          </cell>
          <cell r="M420" t="str">
            <v>With LTS - 2024</v>
          </cell>
          <cell r="N420" t="str">
            <v>YES</v>
          </cell>
          <cell r="O420" t="str">
            <v>YES</v>
          </cell>
          <cell r="P420" t="str">
            <v>Unaffected lots</v>
          </cell>
          <cell r="Q420" t="str">
            <v>YES</v>
          </cell>
          <cell r="R420">
            <v>70</v>
          </cell>
          <cell r="S420" t="str">
            <v>PCS-04-034407</v>
          </cell>
          <cell r="T420" t="str">
            <v>TCT-060-2024021505</v>
          </cell>
          <cell r="U420" t="b">
            <v>1</v>
          </cell>
          <cell r="V420" t="str">
            <v>Done</v>
          </cell>
          <cell r="W420" t="str">
            <v>B4 2025</v>
          </cell>
          <cell r="X420" t="str">
            <v>2025 - Batch 3</v>
          </cell>
          <cell r="Y420">
            <v>23</v>
          </cell>
          <cell r="Z420">
            <v>51</v>
          </cell>
          <cell r="AA420" t="str">
            <v>H+L</v>
          </cell>
          <cell r="AB420">
            <v>70</v>
          </cell>
          <cell r="AC420">
            <v>50</v>
          </cell>
          <cell r="AD420" t="str">
            <v>Slant</v>
          </cell>
          <cell r="AE420" t="str">
            <v>Duplex</v>
          </cell>
          <cell r="AF420" t="str">
            <v>568 - Without Partition</v>
          </cell>
          <cell r="AG420" t="str">
            <v xml:space="preserve">Without Partition </v>
          </cell>
          <cell r="AH420" t="str">
            <v xml:space="preserve">Without Partition </v>
          </cell>
          <cell r="AI420" t="str">
            <v>PURPLE</v>
          </cell>
          <cell r="AJ420" t="str">
            <v>Slant / PURPLE</v>
          </cell>
          <cell r="AK420">
            <v>1050000</v>
          </cell>
          <cell r="AL420">
            <v>15000</v>
          </cell>
          <cell r="AM420">
            <v>1650000</v>
          </cell>
          <cell r="AN420">
            <v>33000</v>
          </cell>
          <cell r="AO420">
            <v>150000</v>
          </cell>
          <cell r="AP420">
            <v>2850000</v>
          </cell>
          <cell r="AQ420"/>
          <cell r="AR420">
            <v>2850000</v>
          </cell>
          <cell r="AS420">
            <v>200000</v>
          </cell>
          <cell r="AT420">
            <v>2650000</v>
          </cell>
          <cell r="AU420">
            <v>100000</v>
          </cell>
          <cell r="AV420">
            <v>2550000</v>
          </cell>
          <cell r="AW420">
            <v>0</v>
          </cell>
          <cell r="AX420">
            <v>2550000</v>
          </cell>
        </row>
        <row r="421">
          <cell r="G421" t="str">
            <v>AGM-01-023-052</v>
          </cell>
          <cell r="H421" t="str">
            <v xml:space="preserve">Raemulan Lands, Inc. </v>
          </cell>
          <cell r="I421" t="str">
            <v>Agapeya</v>
          </cell>
          <cell r="J421" t="str">
            <v>AGM</v>
          </cell>
          <cell r="K421" t="str">
            <v>Eco-High</v>
          </cell>
          <cell r="L421" t="str">
            <v>West</v>
          </cell>
          <cell r="M421" t="str">
            <v>With LTS - 2024</v>
          </cell>
          <cell r="N421" t="str">
            <v>YES</v>
          </cell>
          <cell r="O421" t="str">
            <v>YES</v>
          </cell>
          <cell r="P421" t="str">
            <v>Unaffected lots</v>
          </cell>
          <cell r="Q421" t="str">
            <v>YES</v>
          </cell>
          <cell r="R421">
            <v>70</v>
          </cell>
          <cell r="S421" t="str">
            <v>PCS-04-034407</v>
          </cell>
          <cell r="T421" t="str">
            <v>TCT-060-2024021506</v>
          </cell>
          <cell r="U421" t="b">
            <v>1</v>
          </cell>
          <cell r="V421" t="str">
            <v>Done</v>
          </cell>
          <cell r="W421" t="str">
            <v>B4 2025</v>
          </cell>
          <cell r="X421" t="str">
            <v>2025 - Batch 3</v>
          </cell>
          <cell r="Y421">
            <v>23</v>
          </cell>
          <cell r="Z421">
            <v>52</v>
          </cell>
          <cell r="AA421" t="str">
            <v>H+L</v>
          </cell>
          <cell r="AB421">
            <v>70</v>
          </cell>
          <cell r="AC421">
            <v>50</v>
          </cell>
          <cell r="AD421" t="str">
            <v>Flat</v>
          </cell>
          <cell r="AE421" t="str">
            <v>Duplex</v>
          </cell>
          <cell r="AF421" t="str">
            <v>568 - Without Partition</v>
          </cell>
          <cell r="AG421" t="str">
            <v xml:space="preserve">Without Partition </v>
          </cell>
          <cell r="AH421" t="str">
            <v xml:space="preserve">Without Partition </v>
          </cell>
          <cell r="AI421" t="str">
            <v>PURPLE</v>
          </cell>
          <cell r="AJ421" t="str">
            <v>Flat / PURPLE</v>
          </cell>
          <cell r="AK421">
            <v>1050000</v>
          </cell>
          <cell r="AL421">
            <v>15000</v>
          </cell>
          <cell r="AM421">
            <v>1650000</v>
          </cell>
          <cell r="AN421">
            <v>33000</v>
          </cell>
          <cell r="AO421">
            <v>150000</v>
          </cell>
          <cell r="AP421">
            <v>2850000</v>
          </cell>
          <cell r="AQ421"/>
          <cell r="AR421">
            <v>2850000</v>
          </cell>
          <cell r="AS421">
            <v>200000</v>
          </cell>
          <cell r="AT421">
            <v>2650000</v>
          </cell>
          <cell r="AU421">
            <v>100000</v>
          </cell>
          <cell r="AV421">
            <v>2550000</v>
          </cell>
          <cell r="AW421">
            <v>0</v>
          </cell>
          <cell r="AX421">
            <v>2550000</v>
          </cell>
        </row>
        <row r="422">
          <cell r="G422" t="str">
            <v>AGM-01-023-053</v>
          </cell>
          <cell r="H422" t="str">
            <v xml:space="preserve">Raemulan Lands, Inc. </v>
          </cell>
          <cell r="I422" t="str">
            <v>Agapeya</v>
          </cell>
          <cell r="J422" t="str">
            <v>AGM</v>
          </cell>
          <cell r="K422" t="str">
            <v>Eco-High</v>
          </cell>
          <cell r="L422" t="str">
            <v>West</v>
          </cell>
          <cell r="M422" t="str">
            <v>With LTS - 2024</v>
          </cell>
          <cell r="N422" t="str">
            <v>YES</v>
          </cell>
          <cell r="O422" t="str">
            <v>YES</v>
          </cell>
          <cell r="P422" t="str">
            <v>Unaffected lots</v>
          </cell>
          <cell r="Q422" t="str">
            <v>YES</v>
          </cell>
          <cell r="R422">
            <v>70</v>
          </cell>
          <cell r="S422" t="str">
            <v>PCS-04-034407</v>
          </cell>
          <cell r="T422" t="str">
            <v>TCT-060-2024021507</v>
          </cell>
          <cell r="U422" t="b">
            <v>1</v>
          </cell>
          <cell r="V422" t="str">
            <v>Done</v>
          </cell>
          <cell r="W422" t="str">
            <v>B4 2025</v>
          </cell>
          <cell r="X422" t="str">
            <v>2025 - Batch 3</v>
          </cell>
          <cell r="Y422">
            <v>23</v>
          </cell>
          <cell r="Z422">
            <v>53</v>
          </cell>
          <cell r="AA422" t="str">
            <v>H+L</v>
          </cell>
          <cell r="AB422">
            <v>70</v>
          </cell>
          <cell r="AC422">
            <v>50</v>
          </cell>
          <cell r="AD422" t="str">
            <v>Flat</v>
          </cell>
          <cell r="AE422" t="str">
            <v>Duplex</v>
          </cell>
          <cell r="AF422" t="str">
            <v>568 - Without Partition</v>
          </cell>
          <cell r="AG422" t="str">
            <v xml:space="preserve">Without Partition </v>
          </cell>
          <cell r="AH422" t="str">
            <v xml:space="preserve">Without Partition </v>
          </cell>
          <cell r="AI422" t="str">
            <v>PURPLE</v>
          </cell>
          <cell r="AJ422" t="str">
            <v>Flat / PURPLE</v>
          </cell>
          <cell r="AK422">
            <v>1050000</v>
          </cell>
          <cell r="AL422">
            <v>15000</v>
          </cell>
          <cell r="AM422">
            <v>1650000</v>
          </cell>
          <cell r="AN422">
            <v>33000</v>
          </cell>
          <cell r="AO422">
            <v>150000</v>
          </cell>
          <cell r="AP422">
            <v>2850000</v>
          </cell>
          <cell r="AQ422"/>
          <cell r="AR422">
            <v>2850000</v>
          </cell>
          <cell r="AS422">
            <v>200000</v>
          </cell>
          <cell r="AT422">
            <v>2650000</v>
          </cell>
          <cell r="AU422">
            <v>100000</v>
          </cell>
          <cell r="AV422">
            <v>2550000</v>
          </cell>
          <cell r="AW422">
            <v>0</v>
          </cell>
          <cell r="AX422">
            <v>2550000</v>
          </cell>
        </row>
        <row r="423">
          <cell r="G423" t="str">
            <v>AGM-01-023-054</v>
          </cell>
          <cell r="H423" t="str">
            <v xml:space="preserve">Raemulan Lands, Inc. </v>
          </cell>
          <cell r="I423" t="str">
            <v>Agapeya</v>
          </cell>
          <cell r="J423" t="str">
            <v>AGM</v>
          </cell>
          <cell r="K423" t="str">
            <v>Eco-High</v>
          </cell>
          <cell r="L423" t="str">
            <v>West</v>
          </cell>
          <cell r="M423" t="str">
            <v>With LTS - 2024</v>
          </cell>
          <cell r="N423" t="str">
            <v>YES</v>
          </cell>
          <cell r="O423" t="str">
            <v>YES</v>
          </cell>
          <cell r="P423" t="str">
            <v>Unaffected lots</v>
          </cell>
          <cell r="Q423" t="str">
            <v>YES</v>
          </cell>
          <cell r="R423">
            <v>70</v>
          </cell>
          <cell r="S423" t="str">
            <v>PCS-04-034407</v>
          </cell>
          <cell r="T423" t="str">
            <v>TCT-060-2024021508</v>
          </cell>
          <cell r="U423" t="b">
            <v>1</v>
          </cell>
          <cell r="V423" t="str">
            <v>Done</v>
          </cell>
          <cell r="W423" t="str">
            <v>B4 2025</v>
          </cell>
          <cell r="X423" t="str">
            <v>2025 - Batch 3</v>
          </cell>
          <cell r="Y423">
            <v>23</v>
          </cell>
          <cell r="Z423">
            <v>54</v>
          </cell>
          <cell r="AA423" t="str">
            <v>H+L</v>
          </cell>
          <cell r="AB423">
            <v>70</v>
          </cell>
          <cell r="AC423">
            <v>50</v>
          </cell>
          <cell r="AD423" t="str">
            <v>Slant</v>
          </cell>
          <cell r="AE423" t="str">
            <v>Duplex</v>
          </cell>
          <cell r="AF423" t="str">
            <v>568 - Without Partition</v>
          </cell>
          <cell r="AG423" t="str">
            <v xml:space="preserve">Without Partition </v>
          </cell>
          <cell r="AH423" t="str">
            <v xml:space="preserve">Without Partition </v>
          </cell>
          <cell r="AI423" t="str">
            <v>PURPLE</v>
          </cell>
          <cell r="AJ423" t="str">
            <v>Slant / PURPLE</v>
          </cell>
          <cell r="AK423">
            <v>1050000</v>
          </cell>
          <cell r="AL423">
            <v>15000</v>
          </cell>
          <cell r="AM423">
            <v>1650000</v>
          </cell>
          <cell r="AN423">
            <v>33000</v>
          </cell>
          <cell r="AO423">
            <v>150000</v>
          </cell>
          <cell r="AP423">
            <v>2850000</v>
          </cell>
          <cell r="AQ423"/>
          <cell r="AR423">
            <v>2850000</v>
          </cell>
          <cell r="AS423">
            <v>200000</v>
          </cell>
          <cell r="AT423">
            <v>2650000</v>
          </cell>
          <cell r="AU423">
            <v>100000</v>
          </cell>
          <cell r="AV423">
            <v>2550000</v>
          </cell>
          <cell r="AW423">
            <v>0</v>
          </cell>
          <cell r="AX423">
            <v>2550000</v>
          </cell>
        </row>
        <row r="424">
          <cell r="G424" t="str">
            <v>AGM-01-023-055</v>
          </cell>
          <cell r="H424" t="str">
            <v xml:space="preserve">Raemulan Lands, Inc. </v>
          </cell>
          <cell r="I424" t="str">
            <v>Agapeya</v>
          </cell>
          <cell r="J424" t="str">
            <v>AGM</v>
          </cell>
          <cell r="K424" t="str">
            <v>Eco-High</v>
          </cell>
          <cell r="L424" t="str">
            <v>West</v>
          </cell>
          <cell r="M424" t="str">
            <v>With LTS - 2024</v>
          </cell>
          <cell r="N424" t="str">
            <v>YES</v>
          </cell>
          <cell r="O424" t="str">
            <v>YES</v>
          </cell>
          <cell r="P424" t="str">
            <v>Unaffected lots</v>
          </cell>
          <cell r="Q424" t="str">
            <v>YES</v>
          </cell>
          <cell r="R424">
            <v>70</v>
          </cell>
          <cell r="S424" t="str">
            <v>PCS-04-034407</v>
          </cell>
          <cell r="T424" t="str">
            <v>TCT-060-2024021509</v>
          </cell>
          <cell r="U424" t="b">
            <v>1</v>
          </cell>
          <cell r="V424" t="str">
            <v>Done</v>
          </cell>
          <cell r="W424" t="str">
            <v>B4 2025</v>
          </cell>
          <cell r="X424" t="str">
            <v>2025 - Batch 3</v>
          </cell>
          <cell r="Y424">
            <v>23</v>
          </cell>
          <cell r="Z424">
            <v>55</v>
          </cell>
          <cell r="AA424" t="str">
            <v>H+L</v>
          </cell>
          <cell r="AB424">
            <v>70</v>
          </cell>
          <cell r="AC424">
            <v>50</v>
          </cell>
          <cell r="AD424" t="str">
            <v>Slant</v>
          </cell>
          <cell r="AE424" t="str">
            <v>Duplex</v>
          </cell>
          <cell r="AF424" t="str">
            <v>568 - Without Partition</v>
          </cell>
          <cell r="AG424" t="str">
            <v xml:space="preserve">Without Partition </v>
          </cell>
          <cell r="AH424" t="str">
            <v xml:space="preserve">Without Partition </v>
          </cell>
          <cell r="AI424" t="str">
            <v>GREEN</v>
          </cell>
          <cell r="AJ424" t="str">
            <v>Slant / GREEN</v>
          </cell>
          <cell r="AK424">
            <v>1050000</v>
          </cell>
          <cell r="AL424">
            <v>15000</v>
          </cell>
          <cell r="AM424">
            <v>1650000</v>
          </cell>
          <cell r="AN424">
            <v>33000</v>
          </cell>
          <cell r="AO424">
            <v>150000</v>
          </cell>
          <cell r="AP424">
            <v>2850000</v>
          </cell>
          <cell r="AQ424"/>
          <cell r="AR424">
            <v>2850000</v>
          </cell>
          <cell r="AS424">
            <v>200000</v>
          </cell>
          <cell r="AT424">
            <v>2650000</v>
          </cell>
          <cell r="AU424">
            <v>100000</v>
          </cell>
          <cell r="AV424">
            <v>2550000</v>
          </cell>
          <cell r="AW424">
            <v>0</v>
          </cell>
          <cell r="AX424">
            <v>2550000</v>
          </cell>
        </row>
        <row r="425">
          <cell r="G425" t="str">
            <v>AGM-01-023-056</v>
          </cell>
          <cell r="H425" t="str">
            <v xml:space="preserve">Raemulan Lands, Inc. </v>
          </cell>
          <cell r="I425" t="str">
            <v>Agapeya</v>
          </cell>
          <cell r="J425" t="str">
            <v>AGM</v>
          </cell>
          <cell r="K425" t="str">
            <v>Eco-High</v>
          </cell>
          <cell r="L425" t="str">
            <v>West</v>
          </cell>
          <cell r="M425" t="str">
            <v>With LTS - 2024</v>
          </cell>
          <cell r="N425" t="str">
            <v>YES</v>
          </cell>
          <cell r="O425" t="str">
            <v>YES</v>
          </cell>
          <cell r="P425" t="str">
            <v>Unaffected lots</v>
          </cell>
          <cell r="Q425" t="str">
            <v>YES</v>
          </cell>
          <cell r="R425">
            <v>70</v>
          </cell>
          <cell r="S425" t="str">
            <v>PCS-04-034407</v>
          </cell>
          <cell r="T425" t="str">
            <v>TCT-060-2024021510</v>
          </cell>
          <cell r="U425" t="b">
            <v>1</v>
          </cell>
          <cell r="V425" t="str">
            <v>Done</v>
          </cell>
          <cell r="W425" t="str">
            <v>B4 2025</v>
          </cell>
          <cell r="X425" t="str">
            <v>2025 - Batch 3</v>
          </cell>
          <cell r="Y425">
            <v>23</v>
          </cell>
          <cell r="Z425">
            <v>56</v>
          </cell>
          <cell r="AA425" t="str">
            <v>H+L</v>
          </cell>
          <cell r="AB425">
            <v>70</v>
          </cell>
          <cell r="AC425">
            <v>50</v>
          </cell>
          <cell r="AD425" t="str">
            <v>Flat</v>
          </cell>
          <cell r="AE425" t="str">
            <v>Duplex</v>
          </cell>
          <cell r="AF425" t="str">
            <v>568 - Without Partition</v>
          </cell>
          <cell r="AG425" t="str">
            <v xml:space="preserve">Without Partition </v>
          </cell>
          <cell r="AH425" t="str">
            <v xml:space="preserve">Without Partition </v>
          </cell>
          <cell r="AI425" t="str">
            <v>GREEN</v>
          </cell>
          <cell r="AJ425" t="str">
            <v>Flat / GREEN</v>
          </cell>
          <cell r="AK425">
            <v>1050000</v>
          </cell>
          <cell r="AL425">
            <v>15000</v>
          </cell>
          <cell r="AM425">
            <v>1650000</v>
          </cell>
          <cell r="AN425">
            <v>33000</v>
          </cell>
          <cell r="AO425">
            <v>150000</v>
          </cell>
          <cell r="AP425">
            <v>2850000</v>
          </cell>
          <cell r="AQ425"/>
          <cell r="AR425">
            <v>2850000</v>
          </cell>
          <cell r="AS425">
            <v>200000</v>
          </cell>
          <cell r="AT425">
            <v>2650000</v>
          </cell>
          <cell r="AU425">
            <v>100000</v>
          </cell>
          <cell r="AV425">
            <v>2550000</v>
          </cell>
          <cell r="AW425">
            <v>0</v>
          </cell>
          <cell r="AX425">
            <v>2550000</v>
          </cell>
        </row>
        <row r="426">
          <cell r="G426" t="str">
            <v>AGM-01-023-057</v>
          </cell>
          <cell r="H426" t="str">
            <v xml:space="preserve">Raemulan Lands, Inc. </v>
          </cell>
          <cell r="I426" t="str">
            <v>Agapeya</v>
          </cell>
          <cell r="J426" t="str">
            <v>AGM</v>
          </cell>
          <cell r="K426" t="str">
            <v>Eco-High</v>
          </cell>
          <cell r="L426" t="str">
            <v>West</v>
          </cell>
          <cell r="M426" t="str">
            <v>With LTS - 2024</v>
          </cell>
          <cell r="N426" t="str">
            <v>YES</v>
          </cell>
          <cell r="O426" t="str">
            <v>YES</v>
          </cell>
          <cell r="P426" t="str">
            <v>Unaffected lots</v>
          </cell>
          <cell r="Q426" t="str">
            <v>YES</v>
          </cell>
          <cell r="R426">
            <v>70</v>
          </cell>
          <cell r="S426" t="str">
            <v>PCS-04-034407</v>
          </cell>
          <cell r="T426" t="str">
            <v>TCT-060-2024021511</v>
          </cell>
          <cell r="U426" t="b">
            <v>1</v>
          </cell>
          <cell r="V426" t="str">
            <v>Done</v>
          </cell>
          <cell r="W426" t="str">
            <v>B4 2025</v>
          </cell>
          <cell r="X426" t="str">
            <v>2025 - Batch 3</v>
          </cell>
          <cell r="Y426">
            <v>23</v>
          </cell>
          <cell r="Z426">
            <v>57</v>
          </cell>
          <cell r="AA426" t="str">
            <v>H+L</v>
          </cell>
          <cell r="AB426">
            <v>70</v>
          </cell>
          <cell r="AC426">
            <v>50</v>
          </cell>
          <cell r="AD426" t="str">
            <v>Flat</v>
          </cell>
          <cell r="AE426" t="str">
            <v>Duplex</v>
          </cell>
          <cell r="AF426" t="str">
            <v>568 - Without Partition</v>
          </cell>
          <cell r="AG426" t="str">
            <v xml:space="preserve">Without Partition </v>
          </cell>
          <cell r="AH426" t="str">
            <v xml:space="preserve">Without Partition </v>
          </cell>
          <cell r="AI426" t="str">
            <v>GREEN</v>
          </cell>
          <cell r="AJ426" t="str">
            <v>Flat / GREEN</v>
          </cell>
          <cell r="AK426">
            <v>1050000</v>
          </cell>
          <cell r="AL426">
            <v>15000</v>
          </cell>
          <cell r="AM426">
            <v>1650000</v>
          </cell>
          <cell r="AN426">
            <v>33000</v>
          </cell>
          <cell r="AO426">
            <v>150000</v>
          </cell>
          <cell r="AP426">
            <v>2850000</v>
          </cell>
          <cell r="AQ426"/>
          <cell r="AR426">
            <v>2850000</v>
          </cell>
          <cell r="AS426">
            <v>200000</v>
          </cell>
          <cell r="AT426">
            <v>2650000</v>
          </cell>
          <cell r="AU426">
            <v>100000</v>
          </cell>
          <cell r="AV426">
            <v>2550000</v>
          </cell>
          <cell r="AW426">
            <v>0</v>
          </cell>
          <cell r="AX426">
            <v>2550000</v>
          </cell>
        </row>
        <row r="427">
          <cell r="G427" t="str">
            <v>AGM-01-023-058</v>
          </cell>
          <cell r="H427" t="str">
            <v xml:space="preserve">Raemulan Lands, Inc. </v>
          </cell>
          <cell r="I427" t="str">
            <v>Agapeya</v>
          </cell>
          <cell r="J427" t="str">
            <v>AGM</v>
          </cell>
          <cell r="K427" t="str">
            <v>Eco-High</v>
          </cell>
          <cell r="L427" t="str">
            <v>West</v>
          </cell>
          <cell r="M427" t="str">
            <v>With LTS - 2024</v>
          </cell>
          <cell r="N427" t="str">
            <v>YES</v>
          </cell>
          <cell r="O427" t="str">
            <v>YES</v>
          </cell>
          <cell r="P427" t="str">
            <v>Unaffected lots</v>
          </cell>
          <cell r="Q427" t="str">
            <v>YES</v>
          </cell>
          <cell r="R427">
            <v>80</v>
          </cell>
          <cell r="S427" t="str">
            <v>PCS-04-034407</v>
          </cell>
          <cell r="T427" t="str">
            <v>TCT-060-2024021512</v>
          </cell>
          <cell r="U427" t="b">
            <v>1</v>
          </cell>
          <cell r="V427" t="str">
            <v>Done</v>
          </cell>
          <cell r="W427" t="str">
            <v>B4 2025</v>
          </cell>
          <cell r="X427" t="str">
            <v>2025 - Batch 3</v>
          </cell>
          <cell r="Y427">
            <v>23</v>
          </cell>
          <cell r="Z427">
            <v>58</v>
          </cell>
          <cell r="AA427" t="str">
            <v>H+L</v>
          </cell>
          <cell r="AB427">
            <v>80</v>
          </cell>
          <cell r="AC427">
            <v>50</v>
          </cell>
          <cell r="AD427" t="str">
            <v>Slant</v>
          </cell>
          <cell r="AE427" t="str">
            <v>Duplex</v>
          </cell>
          <cell r="AF427" t="str">
            <v>568 - Without Partition</v>
          </cell>
          <cell r="AG427" t="str">
            <v xml:space="preserve">Without Partition </v>
          </cell>
          <cell r="AH427" t="str">
            <v xml:space="preserve">Without Partition </v>
          </cell>
          <cell r="AI427" t="str">
            <v>GREEN</v>
          </cell>
          <cell r="AJ427" t="str">
            <v>Slant / GREEN</v>
          </cell>
          <cell r="AK427">
            <v>1200000</v>
          </cell>
          <cell r="AL427">
            <v>15000</v>
          </cell>
          <cell r="AM427">
            <v>1650000</v>
          </cell>
          <cell r="AN427">
            <v>33000</v>
          </cell>
          <cell r="AO427">
            <v>150000</v>
          </cell>
          <cell r="AP427">
            <v>3000000</v>
          </cell>
          <cell r="AQ427"/>
          <cell r="AR427">
            <v>3000000</v>
          </cell>
          <cell r="AS427">
            <v>200000</v>
          </cell>
          <cell r="AT427">
            <v>2800000</v>
          </cell>
          <cell r="AU427">
            <v>100000</v>
          </cell>
          <cell r="AV427">
            <v>2700000</v>
          </cell>
          <cell r="AW427">
            <v>0</v>
          </cell>
          <cell r="AX427">
            <v>2700000</v>
          </cell>
        </row>
        <row r="428">
          <cell r="G428" t="str">
            <v>AGM-01-023-059</v>
          </cell>
          <cell r="H428" t="str">
            <v xml:space="preserve">Raemulan Lands, Inc. </v>
          </cell>
          <cell r="I428" t="str">
            <v>Agapeya</v>
          </cell>
          <cell r="J428" t="str">
            <v>AGM</v>
          </cell>
          <cell r="K428" t="str">
            <v>Eco-High</v>
          </cell>
          <cell r="L428" t="str">
            <v>West</v>
          </cell>
          <cell r="M428" t="str">
            <v>With LTS - 2024</v>
          </cell>
          <cell r="N428" t="str">
            <v>YES</v>
          </cell>
          <cell r="O428" t="str">
            <v>NO</v>
          </cell>
          <cell r="P428" t="str">
            <v>Unaffected lots</v>
          </cell>
          <cell r="Q428" t="str">
            <v>YES</v>
          </cell>
          <cell r="R428">
            <v>113</v>
          </cell>
          <cell r="S428" t="str">
            <v>PCS-04-034407</v>
          </cell>
          <cell r="T428" t="str">
            <v>TCT-060-2024021513</v>
          </cell>
          <cell r="U428" t="b">
            <v>1</v>
          </cell>
          <cell r="V428" t="str">
            <v>Done</v>
          </cell>
          <cell r="W428" t="str">
            <v>B3 - Lot Only</v>
          </cell>
          <cell r="X428" t="str">
            <v>Lot Only - N/A</v>
          </cell>
          <cell r="Y428">
            <v>23</v>
          </cell>
          <cell r="Z428">
            <v>59</v>
          </cell>
          <cell r="AA428" t="str">
            <v>LO</v>
          </cell>
          <cell r="AB428">
            <v>113</v>
          </cell>
          <cell r="AC428" t="str">
            <v>N/A</v>
          </cell>
          <cell r="AD428" t="str">
            <v>-</v>
          </cell>
          <cell r="AE428" t="str">
            <v>Lot Only</v>
          </cell>
          <cell r="AF428" t="str">
            <v>N/A</v>
          </cell>
          <cell r="AG428" t="str">
            <v>N/A - LOT ONLY</v>
          </cell>
          <cell r="AH428" t="str">
            <v>N/A - LOT ONLY</v>
          </cell>
          <cell r="AI428" t="str">
            <v>N/A - LOT ONLY</v>
          </cell>
          <cell r="AJ428" t="str">
            <v>- / N/A - LOT ONLY</v>
          </cell>
          <cell r="AK428">
            <v>1695000</v>
          </cell>
          <cell r="AL428">
            <v>15000</v>
          </cell>
          <cell r="AM428">
            <v>0</v>
          </cell>
          <cell r="AN428">
            <v>0</v>
          </cell>
          <cell r="AO428">
            <v>150000</v>
          </cell>
          <cell r="AP428">
            <v>1845000</v>
          </cell>
          <cell r="AQ428"/>
          <cell r="AR428">
            <v>1845000</v>
          </cell>
          <cell r="AS428">
            <v>0</v>
          </cell>
          <cell r="AT428">
            <v>1845000</v>
          </cell>
          <cell r="AU428">
            <v>100000</v>
          </cell>
          <cell r="AV428">
            <v>1745000</v>
          </cell>
          <cell r="AW428">
            <v>0</v>
          </cell>
          <cell r="AX428">
            <v>1745000</v>
          </cell>
        </row>
        <row r="429">
          <cell r="G429" t="str">
            <v>AGM-01-024-001</v>
          </cell>
          <cell r="H429" t="str">
            <v xml:space="preserve">Raemulan Lands, Inc. </v>
          </cell>
          <cell r="I429" t="str">
            <v>Agapeya</v>
          </cell>
          <cell r="J429" t="str">
            <v>AGM</v>
          </cell>
          <cell r="K429" t="str">
            <v>Eco-High</v>
          </cell>
          <cell r="L429" t="str">
            <v>West</v>
          </cell>
          <cell r="M429" t="str">
            <v>With LTS - 2024</v>
          </cell>
          <cell r="N429" t="str">
            <v>YES</v>
          </cell>
          <cell r="O429" t="str">
            <v>YES</v>
          </cell>
          <cell r="P429" t="str">
            <v>Unaffected lots</v>
          </cell>
          <cell r="Q429" t="str">
            <v>YES</v>
          </cell>
          <cell r="R429">
            <v>105</v>
          </cell>
          <cell r="S429" t="str">
            <v>PCS-04-034407</v>
          </cell>
          <cell r="T429" t="str">
            <v>TCT-060-2024021514</v>
          </cell>
          <cell r="U429" t="b">
            <v>1</v>
          </cell>
          <cell r="V429" t="str">
            <v>Done</v>
          </cell>
          <cell r="W429" t="str">
            <v>B1 2025</v>
          </cell>
          <cell r="X429" t="str">
            <v>2025 - Batch 1</v>
          </cell>
          <cell r="Y429">
            <v>24</v>
          </cell>
          <cell r="Z429">
            <v>1</v>
          </cell>
          <cell r="AA429" t="str">
            <v>H+L</v>
          </cell>
          <cell r="AB429">
            <v>105</v>
          </cell>
          <cell r="AC429">
            <v>50</v>
          </cell>
          <cell r="AD429" t="str">
            <v>Flat</v>
          </cell>
          <cell r="AE429" t="str">
            <v>Duplex</v>
          </cell>
          <cell r="AF429" t="str">
            <v>568 - Without Partition</v>
          </cell>
          <cell r="AG429" t="str">
            <v xml:space="preserve">Without Partition </v>
          </cell>
          <cell r="AH429" t="str">
            <v xml:space="preserve">Without Partition </v>
          </cell>
          <cell r="AI429" t="str">
            <v>PURPLE</v>
          </cell>
          <cell r="AJ429" t="str">
            <v>Flat / PURPLE</v>
          </cell>
          <cell r="AK429">
            <v>1575000</v>
          </cell>
          <cell r="AL429">
            <v>15000</v>
          </cell>
          <cell r="AM429">
            <v>1650000</v>
          </cell>
          <cell r="AN429">
            <v>33000</v>
          </cell>
          <cell r="AO429">
            <v>150000</v>
          </cell>
          <cell r="AP429">
            <v>3375000</v>
          </cell>
          <cell r="AQ429"/>
          <cell r="AR429">
            <v>3375000</v>
          </cell>
          <cell r="AS429">
            <v>200000</v>
          </cell>
          <cell r="AT429">
            <v>3175000</v>
          </cell>
          <cell r="AU429">
            <v>100000</v>
          </cell>
          <cell r="AV429">
            <v>3075000</v>
          </cell>
          <cell r="AW429">
            <v>0</v>
          </cell>
          <cell r="AX429">
            <v>3075000</v>
          </cell>
        </row>
        <row r="430">
          <cell r="G430" t="str">
            <v>AGM-01-024-002</v>
          </cell>
          <cell r="H430" t="str">
            <v xml:space="preserve">Raemulan Lands, Inc. </v>
          </cell>
          <cell r="I430" t="str">
            <v>Agapeya</v>
          </cell>
          <cell r="J430" t="str">
            <v>AGM</v>
          </cell>
          <cell r="K430" t="str">
            <v>Eco-High</v>
          </cell>
          <cell r="L430" t="str">
            <v>West</v>
          </cell>
          <cell r="M430" t="str">
            <v>With LTS - 2024</v>
          </cell>
          <cell r="N430" t="str">
            <v>YES</v>
          </cell>
          <cell r="O430" t="str">
            <v>YES</v>
          </cell>
          <cell r="P430" t="str">
            <v>Unaffected lots</v>
          </cell>
          <cell r="Q430" t="str">
            <v>YES</v>
          </cell>
          <cell r="R430">
            <v>70</v>
          </cell>
          <cell r="S430" t="str">
            <v>PCS-04-034407</v>
          </cell>
          <cell r="T430" t="str">
            <v>TCT-060-2024021515</v>
          </cell>
          <cell r="U430" t="b">
            <v>1</v>
          </cell>
          <cell r="V430" t="str">
            <v>Done</v>
          </cell>
          <cell r="W430" t="str">
            <v>B1 2025</v>
          </cell>
          <cell r="X430" t="str">
            <v>2025 - Batch 1</v>
          </cell>
          <cell r="Y430">
            <v>24</v>
          </cell>
          <cell r="Z430">
            <v>2</v>
          </cell>
          <cell r="AA430" t="str">
            <v>H+L</v>
          </cell>
          <cell r="AB430">
            <v>70</v>
          </cell>
          <cell r="AC430">
            <v>50</v>
          </cell>
          <cell r="AD430" t="str">
            <v>Slant</v>
          </cell>
          <cell r="AE430" t="str">
            <v>Duplex</v>
          </cell>
          <cell r="AF430" t="str">
            <v>568 - Without Partition</v>
          </cell>
          <cell r="AG430" t="str">
            <v xml:space="preserve">Without Partition </v>
          </cell>
          <cell r="AH430" t="str">
            <v xml:space="preserve">Without Partition </v>
          </cell>
          <cell r="AI430" t="str">
            <v>PURPLE</v>
          </cell>
          <cell r="AJ430" t="str">
            <v>Slant / PURPLE</v>
          </cell>
          <cell r="AK430">
            <v>1050000</v>
          </cell>
          <cell r="AL430">
            <v>15000</v>
          </cell>
          <cell r="AM430">
            <v>1650000</v>
          </cell>
          <cell r="AN430">
            <v>33000</v>
          </cell>
          <cell r="AO430">
            <v>150000</v>
          </cell>
          <cell r="AP430">
            <v>2850000</v>
          </cell>
          <cell r="AQ430"/>
          <cell r="AR430">
            <v>2850000</v>
          </cell>
          <cell r="AS430">
            <v>200000</v>
          </cell>
          <cell r="AT430">
            <v>2650000</v>
          </cell>
          <cell r="AU430">
            <v>100000</v>
          </cell>
          <cell r="AV430">
            <v>2550000</v>
          </cell>
          <cell r="AW430">
            <v>0</v>
          </cell>
          <cell r="AX430">
            <v>2550000</v>
          </cell>
        </row>
        <row r="431">
          <cell r="G431" t="str">
            <v>AGM-01-024-003</v>
          </cell>
          <cell r="H431" t="str">
            <v xml:space="preserve">Raemulan Lands, Inc. </v>
          </cell>
          <cell r="I431" t="str">
            <v>Agapeya</v>
          </cell>
          <cell r="J431" t="str">
            <v>AGM</v>
          </cell>
          <cell r="K431" t="str">
            <v>Eco-High</v>
          </cell>
          <cell r="L431" t="str">
            <v>West</v>
          </cell>
          <cell r="M431" t="str">
            <v>With LTS - 2024</v>
          </cell>
          <cell r="N431" t="str">
            <v>YES</v>
          </cell>
          <cell r="O431" t="str">
            <v>YES</v>
          </cell>
          <cell r="P431" t="str">
            <v>Unaffected lots</v>
          </cell>
          <cell r="Q431" t="str">
            <v>YES</v>
          </cell>
          <cell r="R431">
            <v>70</v>
          </cell>
          <cell r="S431" t="str">
            <v>PCS-04-034407</v>
          </cell>
          <cell r="T431" t="str">
            <v>TCT-060-2024021516</v>
          </cell>
          <cell r="U431" t="b">
            <v>1</v>
          </cell>
          <cell r="V431" t="str">
            <v>Done</v>
          </cell>
          <cell r="W431" t="str">
            <v>B1 2025</v>
          </cell>
          <cell r="X431" t="str">
            <v>2025 - Batch 1</v>
          </cell>
          <cell r="Y431">
            <v>24</v>
          </cell>
          <cell r="Z431">
            <v>3</v>
          </cell>
          <cell r="AA431" t="str">
            <v>H+L</v>
          </cell>
          <cell r="AB431">
            <v>70</v>
          </cell>
          <cell r="AC431">
            <v>50</v>
          </cell>
          <cell r="AD431" t="str">
            <v>Slant</v>
          </cell>
          <cell r="AE431" t="str">
            <v>Duplex</v>
          </cell>
          <cell r="AF431" t="str">
            <v>568 - Without Partition</v>
          </cell>
          <cell r="AG431" t="str">
            <v xml:space="preserve">Without Partition </v>
          </cell>
          <cell r="AH431" t="str">
            <v xml:space="preserve">Without Partition </v>
          </cell>
          <cell r="AI431" t="str">
            <v>PURPLE</v>
          </cell>
          <cell r="AJ431" t="str">
            <v>Slant / PURPLE</v>
          </cell>
          <cell r="AK431">
            <v>1050000</v>
          </cell>
          <cell r="AL431">
            <v>15000</v>
          </cell>
          <cell r="AM431">
            <v>1650000</v>
          </cell>
          <cell r="AN431">
            <v>33000</v>
          </cell>
          <cell r="AO431">
            <v>150000</v>
          </cell>
          <cell r="AP431">
            <v>2850000</v>
          </cell>
          <cell r="AQ431"/>
          <cell r="AR431">
            <v>2850000</v>
          </cell>
          <cell r="AS431">
            <v>200000</v>
          </cell>
          <cell r="AT431">
            <v>2650000</v>
          </cell>
          <cell r="AU431">
            <v>100000</v>
          </cell>
          <cell r="AV431">
            <v>2550000</v>
          </cell>
          <cell r="AW431">
            <v>0</v>
          </cell>
          <cell r="AX431">
            <v>2550000</v>
          </cell>
        </row>
        <row r="432">
          <cell r="G432" t="str">
            <v>AGM-01-024-004</v>
          </cell>
          <cell r="H432" t="str">
            <v xml:space="preserve">Raemulan Lands, Inc. </v>
          </cell>
          <cell r="I432" t="str">
            <v>Agapeya</v>
          </cell>
          <cell r="J432" t="str">
            <v>AGM</v>
          </cell>
          <cell r="K432" t="str">
            <v>Eco-High</v>
          </cell>
          <cell r="L432" t="str">
            <v>West</v>
          </cell>
          <cell r="M432" t="str">
            <v>With LTS - 2024</v>
          </cell>
          <cell r="N432" t="str">
            <v>YES</v>
          </cell>
          <cell r="O432" t="str">
            <v>YES</v>
          </cell>
          <cell r="P432" t="str">
            <v>Unaffected lots</v>
          </cell>
          <cell r="Q432" t="str">
            <v>YES</v>
          </cell>
          <cell r="R432">
            <v>70</v>
          </cell>
          <cell r="S432" t="str">
            <v>PCS-04-034407</v>
          </cell>
          <cell r="T432" t="str">
            <v>TCT-060-2024021517</v>
          </cell>
          <cell r="U432" t="b">
            <v>1</v>
          </cell>
          <cell r="V432" t="str">
            <v>Done</v>
          </cell>
          <cell r="W432" t="str">
            <v>B1 2025</v>
          </cell>
          <cell r="X432" t="str">
            <v>2025 - Batch 1</v>
          </cell>
          <cell r="Y432">
            <v>24</v>
          </cell>
          <cell r="Z432">
            <v>4</v>
          </cell>
          <cell r="AA432" t="str">
            <v>H+L</v>
          </cell>
          <cell r="AB432">
            <v>70</v>
          </cell>
          <cell r="AC432">
            <v>50</v>
          </cell>
          <cell r="AD432" t="str">
            <v>Flat</v>
          </cell>
          <cell r="AE432" t="str">
            <v>Duplex</v>
          </cell>
          <cell r="AF432" t="str">
            <v>568 - Without Partition</v>
          </cell>
          <cell r="AG432" t="str">
            <v xml:space="preserve">Without Partition </v>
          </cell>
          <cell r="AH432" t="str">
            <v xml:space="preserve">Without Partition </v>
          </cell>
          <cell r="AI432" t="str">
            <v>PURPLE</v>
          </cell>
          <cell r="AJ432" t="str">
            <v>Flat / PURPLE</v>
          </cell>
          <cell r="AK432">
            <v>1050000</v>
          </cell>
          <cell r="AL432">
            <v>15000</v>
          </cell>
          <cell r="AM432">
            <v>1650000</v>
          </cell>
          <cell r="AN432">
            <v>33000</v>
          </cell>
          <cell r="AO432">
            <v>150000</v>
          </cell>
          <cell r="AP432">
            <v>2850000</v>
          </cell>
          <cell r="AQ432"/>
          <cell r="AR432">
            <v>2850000</v>
          </cell>
          <cell r="AS432">
            <v>200000</v>
          </cell>
          <cell r="AT432">
            <v>2650000</v>
          </cell>
          <cell r="AU432">
            <v>100000</v>
          </cell>
          <cell r="AV432">
            <v>2550000</v>
          </cell>
          <cell r="AW432">
            <v>0</v>
          </cell>
          <cell r="AX432">
            <v>2550000</v>
          </cell>
        </row>
        <row r="433">
          <cell r="G433" t="str">
            <v>AGM-01-024-005</v>
          </cell>
          <cell r="H433" t="str">
            <v xml:space="preserve">Raemulan Lands, Inc. </v>
          </cell>
          <cell r="I433" t="str">
            <v>Agapeya</v>
          </cell>
          <cell r="J433" t="str">
            <v>AGM</v>
          </cell>
          <cell r="K433" t="str">
            <v>Eco-High</v>
          </cell>
          <cell r="L433" t="str">
            <v>West</v>
          </cell>
          <cell r="M433" t="str">
            <v>With LTS - 2024</v>
          </cell>
          <cell r="N433" t="str">
            <v>YES</v>
          </cell>
          <cell r="O433" t="str">
            <v>YES</v>
          </cell>
          <cell r="P433" t="str">
            <v>Unaffected lots</v>
          </cell>
          <cell r="Q433" t="str">
            <v>YES</v>
          </cell>
          <cell r="R433">
            <v>70</v>
          </cell>
          <cell r="S433" t="str">
            <v>PCS-04-034407</v>
          </cell>
          <cell r="T433" t="str">
            <v>TCT-060-2024021518</v>
          </cell>
          <cell r="U433" t="b">
            <v>1</v>
          </cell>
          <cell r="V433" t="str">
            <v>Done</v>
          </cell>
          <cell r="W433" t="str">
            <v>B2 2025</v>
          </cell>
          <cell r="X433" t="str">
            <v>2025 - Batch 5</v>
          </cell>
          <cell r="Y433">
            <v>24</v>
          </cell>
          <cell r="Z433">
            <v>5</v>
          </cell>
          <cell r="AA433" t="str">
            <v>H+L</v>
          </cell>
          <cell r="AB433">
            <v>70</v>
          </cell>
          <cell r="AC433">
            <v>50</v>
          </cell>
          <cell r="AD433" t="str">
            <v>Flat</v>
          </cell>
          <cell r="AE433" t="str">
            <v>Duplex</v>
          </cell>
          <cell r="AF433" t="str">
            <v>568 - Without Partition</v>
          </cell>
          <cell r="AG433" t="str">
            <v xml:space="preserve">Without Partition </v>
          </cell>
          <cell r="AH433" t="str">
            <v xml:space="preserve">Without Partition </v>
          </cell>
          <cell r="AI433" t="str">
            <v>PINK</v>
          </cell>
          <cell r="AJ433" t="str">
            <v>Flat / PINK</v>
          </cell>
          <cell r="AK433">
            <v>1050000</v>
          </cell>
          <cell r="AL433">
            <v>15000</v>
          </cell>
          <cell r="AM433">
            <v>1650000</v>
          </cell>
          <cell r="AN433">
            <v>33000</v>
          </cell>
          <cell r="AO433">
            <v>150000</v>
          </cell>
          <cell r="AP433">
            <v>2850000</v>
          </cell>
          <cell r="AQ433"/>
          <cell r="AR433">
            <v>2850000</v>
          </cell>
          <cell r="AS433">
            <v>200000</v>
          </cell>
          <cell r="AT433">
            <v>2650000</v>
          </cell>
          <cell r="AU433">
            <v>100000</v>
          </cell>
          <cell r="AV433">
            <v>2550000</v>
          </cell>
          <cell r="AW433">
            <v>0</v>
          </cell>
          <cell r="AX433">
            <v>2550000</v>
          </cell>
        </row>
        <row r="434">
          <cell r="G434" t="str">
            <v>AGM-01-024-006</v>
          </cell>
          <cell r="H434" t="str">
            <v xml:space="preserve">Raemulan Lands, Inc. </v>
          </cell>
          <cell r="I434" t="str">
            <v>Agapeya</v>
          </cell>
          <cell r="J434" t="str">
            <v>AGM</v>
          </cell>
          <cell r="K434" t="str">
            <v>Eco-High</v>
          </cell>
          <cell r="L434" t="str">
            <v>West</v>
          </cell>
          <cell r="M434" t="str">
            <v>With LTS - 2024</v>
          </cell>
          <cell r="N434" t="str">
            <v>YES</v>
          </cell>
          <cell r="O434" t="str">
            <v>YES</v>
          </cell>
          <cell r="P434" t="str">
            <v>Unaffected lots</v>
          </cell>
          <cell r="Q434" t="str">
            <v>YES</v>
          </cell>
          <cell r="R434">
            <v>70</v>
          </cell>
          <cell r="S434" t="str">
            <v>PCS-04-034407</v>
          </cell>
          <cell r="T434" t="str">
            <v>TCT-060-2024021519</v>
          </cell>
          <cell r="U434" t="b">
            <v>1</v>
          </cell>
          <cell r="V434" t="str">
            <v>Done</v>
          </cell>
          <cell r="W434" t="str">
            <v>B2 2025</v>
          </cell>
          <cell r="X434" t="str">
            <v>2025 - Batch 5</v>
          </cell>
          <cell r="Y434">
            <v>24</v>
          </cell>
          <cell r="Z434">
            <v>6</v>
          </cell>
          <cell r="AA434" t="str">
            <v>H+L</v>
          </cell>
          <cell r="AB434">
            <v>70</v>
          </cell>
          <cell r="AC434">
            <v>50</v>
          </cell>
          <cell r="AD434" t="str">
            <v>Slant</v>
          </cell>
          <cell r="AE434" t="str">
            <v>Duplex</v>
          </cell>
          <cell r="AF434" t="str">
            <v>568 - Without Partition</v>
          </cell>
          <cell r="AG434" t="str">
            <v xml:space="preserve">Without Partition </v>
          </cell>
          <cell r="AH434" t="str">
            <v xml:space="preserve">Without Partition </v>
          </cell>
          <cell r="AI434" t="str">
            <v>PINK</v>
          </cell>
          <cell r="AJ434" t="str">
            <v>Slant / PINK</v>
          </cell>
          <cell r="AK434">
            <v>1050000</v>
          </cell>
          <cell r="AL434">
            <v>15000</v>
          </cell>
          <cell r="AM434">
            <v>1650000</v>
          </cell>
          <cell r="AN434">
            <v>33000</v>
          </cell>
          <cell r="AO434">
            <v>150000</v>
          </cell>
          <cell r="AP434">
            <v>2850000</v>
          </cell>
          <cell r="AQ434"/>
          <cell r="AR434">
            <v>2850000</v>
          </cell>
          <cell r="AS434">
            <v>200000</v>
          </cell>
          <cell r="AT434">
            <v>2650000</v>
          </cell>
          <cell r="AU434">
            <v>100000</v>
          </cell>
          <cell r="AV434">
            <v>2550000</v>
          </cell>
          <cell r="AW434">
            <v>0</v>
          </cell>
          <cell r="AX434">
            <v>2550000</v>
          </cell>
        </row>
        <row r="435">
          <cell r="G435" t="str">
            <v>AGM-01-024-007</v>
          </cell>
          <cell r="H435" t="str">
            <v xml:space="preserve">Raemulan Lands, Inc. </v>
          </cell>
          <cell r="I435" t="str">
            <v>Agapeya</v>
          </cell>
          <cell r="J435" t="str">
            <v>AGM</v>
          </cell>
          <cell r="K435" t="str">
            <v>Eco-High</v>
          </cell>
          <cell r="L435" t="str">
            <v>West</v>
          </cell>
          <cell r="M435" t="str">
            <v>With LTS - 2024</v>
          </cell>
          <cell r="N435" t="str">
            <v>YES</v>
          </cell>
          <cell r="O435" t="str">
            <v>YES</v>
          </cell>
          <cell r="P435" t="str">
            <v>Unaffected lots</v>
          </cell>
          <cell r="Q435" t="str">
            <v>YES</v>
          </cell>
          <cell r="R435">
            <v>70</v>
          </cell>
          <cell r="S435" t="str">
            <v>PCS-04-034407</v>
          </cell>
          <cell r="T435" t="str">
            <v>TCT-060-2024021520</v>
          </cell>
          <cell r="U435" t="b">
            <v>1</v>
          </cell>
          <cell r="V435" t="str">
            <v>Done</v>
          </cell>
          <cell r="W435" t="str">
            <v>B2 2025</v>
          </cell>
          <cell r="X435" t="str">
            <v>2025 - Batch 5</v>
          </cell>
          <cell r="Y435">
            <v>24</v>
          </cell>
          <cell r="Z435">
            <v>7</v>
          </cell>
          <cell r="AA435" t="str">
            <v>H+L</v>
          </cell>
          <cell r="AB435">
            <v>70</v>
          </cell>
          <cell r="AC435">
            <v>50</v>
          </cell>
          <cell r="AD435" t="str">
            <v>Slant</v>
          </cell>
          <cell r="AE435" t="str">
            <v>Duplex</v>
          </cell>
          <cell r="AF435" t="str">
            <v>568 - Without Partition</v>
          </cell>
          <cell r="AG435" t="str">
            <v xml:space="preserve">Without Partition </v>
          </cell>
          <cell r="AH435" t="str">
            <v xml:space="preserve">Without Partition </v>
          </cell>
          <cell r="AI435" t="str">
            <v>PINK</v>
          </cell>
          <cell r="AJ435" t="str">
            <v>Slant / PINK</v>
          </cell>
          <cell r="AK435">
            <v>1050000</v>
          </cell>
          <cell r="AL435">
            <v>15000</v>
          </cell>
          <cell r="AM435">
            <v>1650000</v>
          </cell>
          <cell r="AN435">
            <v>33000</v>
          </cell>
          <cell r="AO435">
            <v>150000</v>
          </cell>
          <cell r="AP435">
            <v>2850000</v>
          </cell>
          <cell r="AQ435"/>
          <cell r="AR435">
            <v>2850000</v>
          </cell>
          <cell r="AS435">
            <v>200000</v>
          </cell>
          <cell r="AT435">
            <v>2650000</v>
          </cell>
          <cell r="AU435">
            <v>100000</v>
          </cell>
          <cell r="AV435">
            <v>2550000</v>
          </cell>
          <cell r="AW435">
            <v>0</v>
          </cell>
          <cell r="AX435">
            <v>2550000</v>
          </cell>
        </row>
        <row r="436">
          <cell r="G436" t="str">
            <v>AGM-01-024-008</v>
          </cell>
          <cell r="H436" t="str">
            <v xml:space="preserve">Raemulan Lands, Inc. </v>
          </cell>
          <cell r="I436" t="str">
            <v>Agapeya</v>
          </cell>
          <cell r="J436" t="str">
            <v>AGM</v>
          </cell>
          <cell r="K436" t="str">
            <v>Eco-High</v>
          </cell>
          <cell r="L436" t="str">
            <v>West</v>
          </cell>
          <cell r="M436" t="str">
            <v>Without LTS</v>
          </cell>
          <cell r="N436"/>
          <cell r="O436"/>
          <cell r="P436" t="str">
            <v>Unaffected lots</v>
          </cell>
          <cell r="Q436" t="str">
            <v>NO</v>
          </cell>
          <cell r="R436">
            <v>70</v>
          </cell>
          <cell r="S436" t="str">
            <v>PCS-04-036421</v>
          </cell>
          <cell r="T436" t="str">
            <v>TCT-060-2026007177</v>
          </cell>
          <cell r="U436" t="b">
            <v>1</v>
          </cell>
          <cell r="V436" t="str">
            <v>Done</v>
          </cell>
          <cell r="W436" t="str">
            <v>B2 2025</v>
          </cell>
          <cell r="X436" t="str">
            <v>2025 - Batch 5</v>
          </cell>
          <cell r="Y436">
            <v>24</v>
          </cell>
          <cell r="Z436">
            <v>8</v>
          </cell>
          <cell r="AA436" t="str">
            <v>H+L</v>
          </cell>
          <cell r="AB436">
            <v>70</v>
          </cell>
          <cell r="AC436">
            <v>50</v>
          </cell>
          <cell r="AD436" t="str">
            <v>Flat</v>
          </cell>
          <cell r="AE436" t="str">
            <v>Duplex</v>
          </cell>
          <cell r="AF436" t="str">
            <v>568 - Without Partition</v>
          </cell>
          <cell r="AG436" t="str">
            <v xml:space="preserve">Without Partition </v>
          </cell>
          <cell r="AH436" t="str">
            <v xml:space="preserve">Without Partition </v>
          </cell>
          <cell r="AI436" t="str">
            <v>PINK</v>
          </cell>
          <cell r="AJ436" t="str">
            <v>Flat / PINK</v>
          </cell>
          <cell r="AK436">
            <v>1050000</v>
          </cell>
          <cell r="AL436">
            <v>15000</v>
          </cell>
          <cell r="AM436">
            <v>1650000</v>
          </cell>
          <cell r="AN436">
            <v>33000</v>
          </cell>
          <cell r="AO436">
            <v>150000</v>
          </cell>
          <cell r="AP436">
            <v>2850000</v>
          </cell>
          <cell r="AQ436"/>
          <cell r="AR436">
            <v>2850000</v>
          </cell>
          <cell r="AS436">
            <v>200000</v>
          </cell>
          <cell r="AT436">
            <v>2650000</v>
          </cell>
          <cell r="AU436">
            <v>100000</v>
          </cell>
          <cell r="AV436">
            <v>2550000</v>
          </cell>
          <cell r="AW436">
            <v>0</v>
          </cell>
          <cell r="AX436">
            <v>2550000</v>
          </cell>
        </row>
        <row r="437">
          <cell r="G437" t="str">
            <v>AGM-01-024-009</v>
          </cell>
          <cell r="H437" t="str">
            <v xml:space="preserve">Raemulan Lands, Inc. </v>
          </cell>
          <cell r="I437" t="str">
            <v>Agapeya</v>
          </cell>
          <cell r="J437" t="str">
            <v>AGM</v>
          </cell>
          <cell r="K437" t="str">
            <v>Eco-High</v>
          </cell>
          <cell r="L437" t="str">
            <v>West</v>
          </cell>
          <cell r="M437" t="str">
            <v>With LTS - 2026</v>
          </cell>
          <cell r="N437" t="str">
            <v>YES</v>
          </cell>
          <cell r="O437" t="str">
            <v>NO</v>
          </cell>
          <cell r="P437" t="str">
            <v>Unaffected lots</v>
          </cell>
          <cell r="Q437" t="str">
            <v>NO</v>
          </cell>
          <cell r="R437">
            <v>70</v>
          </cell>
          <cell r="S437" t="str">
            <v>PSD-04-036421</v>
          </cell>
          <cell r="T437" t="str">
            <v>TCT-060-2026007178</v>
          </cell>
          <cell r="U437" t="b">
            <v>1</v>
          </cell>
          <cell r="V437" t="str">
            <v>Done</v>
          </cell>
          <cell r="W437" t="str">
            <v>B2 2025</v>
          </cell>
          <cell r="X437" t="str">
            <v>2025 - Batch 5</v>
          </cell>
          <cell r="Y437">
            <v>24</v>
          </cell>
          <cell r="Z437">
            <v>9</v>
          </cell>
          <cell r="AA437" t="str">
            <v>H+L</v>
          </cell>
          <cell r="AB437">
            <v>70</v>
          </cell>
          <cell r="AC437">
            <v>50</v>
          </cell>
          <cell r="AD437" t="str">
            <v>Flat</v>
          </cell>
          <cell r="AE437" t="str">
            <v>Duplex</v>
          </cell>
          <cell r="AF437" t="str">
            <v>568 - Without Partition</v>
          </cell>
          <cell r="AG437" t="str">
            <v xml:space="preserve">Without Partition </v>
          </cell>
          <cell r="AH437" t="str">
            <v xml:space="preserve">Without Partition </v>
          </cell>
          <cell r="AI437" t="str">
            <v>YELLOW</v>
          </cell>
          <cell r="AJ437" t="str">
            <v>Flat / YELLOW</v>
          </cell>
          <cell r="AK437">
            <v>1050000</v>
          </cell>
          <cell r="AL437">
            <v>15000</v>
          </cell>
          <cell r="AM437">
            <v>1650000</v>
          </cell>
          <cell r="AN437">
            <v>33000</v>
          </cell>
          <cell r="AO437">
            <v>150000</v>
          </cell>
          <cell r="AP437">
            <v>2850000</v>
          </cell>
          <cell r="AQ437"/>
          <cell r="AR437">
            <v>2850000</v>
          </cell>
          <cell r="AS437">
            <v>200000</v>
          </cell>
          <cell r="AT437">
            <v>2650000</v>
          </cell>
          <cell r="AU437">
            <v>100000</v>
          </cell>
          <cell r="AV437">
            <v>2550000</v>
          </cell>
          <cell r="AW437">
            <v>0</v>
          </cell>
          <cell r="AX437">
            <v>2550000</v>
          </cell>
        </row>
        <row r="438">
          <cell r="G438" t="str">
            <v>AGM-01-024-010</v>
          </cell>
          <cell r="H438" t="str">
            <v xml:space="preserve">Raemulan Lands, Inc. </v>
          </cell>
          <cell r="I438" t="str">
            <v>Agapeya</v>
          </cell>
          <cell r="J438" t="str">
            <v>AGM</v>
          </cell>
          <cell r="K438" t="str">
            <v>Eco-High</v>
          </cell>
          <cell r="L438" t="str">
            <v>West</v>
          </cell>
          <cell r="M438" t="str">
            <v>With LTS - 2026</v>
          </cell>
          <cell r="N438" t="str">
            <v>YES</v>
          </cell>
          <cell r="O438" t="str">
            <v>NO</v>
          </cell>
          <cell r="P438" t="str">
            <v>Unaffected lots</v>
          </cell>
          <cell r="Q438" t="str">
            <v>NO</v>
          </cell>
          <cell r="R438">
            <v>70</v>
          </cell>
          <cell r="S438" t="str">
            <v>PSD-04-277865</v>
          </cell>
          <cell r="T438" t="str">
            <v>TCT-060-2025019544</v>
          </cell>
          <cell r="U438" t="b">
            <v>1</v>
          </cell>
          <cell r="V438" t="str">
            <v>Done</v>
          </cell>
          <cell r="W438" t="str">
            <v>B2 2025</v>
          </cell>
          <cell r="X438" t="str">
            <v>2025 - Batch 5</v>
          </cell>
          <cell r="Y438">
            <v>24</v>
          </cell>
          <cell r="Z438">
            <v>10</v>
          </cell>
          <cell r="AA438" t="str">
            <v>H+L</v>
          </cell>
          <cell r="AB438">
            <v>70</v>
          </cell>
          <cell r="AC438">
            <v>50</v>
          </cell>
          <cell r="AD438" t="str">
            <v>Slant</v>
          </cell>
          <cell r="AE438" t="str">
            <v>Duplex</v>
          </cell>
          <cell r="AF438" t="str">
            <v>568 - Without Partition</v>
          </cell>
          <cell r="AG438" t="str">
            <v xml:space="preserve">Without Partition </v>
          </cell>
          <cell r="AH438" t="str">
            <v xml:space="preserve">Without Partition </v>
          </cell>
          <cell r="AI438" t="str">
            <v>YELLOW</v>
          </cell>
          <cell r="AJ438" t="str">
            <v>Slant / YELLOW</v>
          </cell>
          <cell r="AK438">
            <v>1050000</v>
          </cell>
          <cell r="AL438">
            <v>15000</v>
          </cell>
          <cell r="AM438">
            <v>1650000</v>
          </cell>
          <cell r="AN438">
            <v>33000</v>
          </cell>
          <cell r="AO438">
            <v>150000</v>
          </cell>
          <cell r="AP438">
            <v>2850000</v>
          </cell>
          <cell r="AQ438"/>
          <cell r="AR438">
            <v>2850000</v>
          </cell>
          <cell r="AS438">
            <v>200000</v>
          </cell>
          <cell r="AT438">
            <v>2650000</v>
          </cell>
          <cell r="AU438">
            <v>100000</v>
          </cell>
          <cell r="AV438">
            <v>2550000</v>
          </cell>
          <cell r="AW438">
            <v>0</v>
          </cell>
          <cell r="AX438">
            <v>2550000</v>
          </cell>
        </row>
        <row r="439">
          <cell r="G439" t="str">
            <v>AGM-01-024-011</v>
          </cell>
          <cell r="H439" t="str">
            <v xml:space="preserve">Raemulan Lands, Inc. </v>
          </cell>
          <cell r="I439" t="str">
            <v>Agapeya</v>
          </cell>
          <cell r="J439" t="str">
            <v>AGM</v>
          </cell>
          <cell r="K439" t="str">
            <v>Eco-High</v>
          </cell>
          <cell r="L439" t="str">
            <v>West</v>
          </cell>
          <cell r="M439" t="str">
            <v>With LTS - 2026</v>
          </cell>
          <cell r="N439" t="str">
            <v>YES</v>
          </cell>
          <cell r="O439" t="str">
            <v>NO</v>
          </cell>
          <cell r="P439" t="str">
            <v>Unaffected lots</v>
          </cell>
          <cell r="Q439" t="str">
            <v>NO</v>
          </cell>
          <cell r="R439">
            <v>70</v>
          </cell>
          <cell r="S439" t="str">
            <v>PSD-04-277865</v>
          </cell>
          <cell r="T439" t="str">
            <v>TCT-060-2025019545</v>
          </cell>
          <cell r="U439" t="b">
            <v>1</v>
          </cell>
          <cell r="V439" t="str">
            <v>Done</v>
          </cell>
          <cell r="W439" t="str">
            <v>B2 2025</v>
          </cell>
          <cell r="X439" t="str">
            <v>2025 - Batch 4</v>
          </cell>
          <cell r="Y439">
            <v>24</v>
          </cell>
          <cell r="Z439">
            <v>11</v>
          </cell>
          <cell r="AA439" t="str">
            <v>H+L</v>
          </cell>
          <cell r="AB439">
            <v>70</v>
          </cell>
          <cell r="AC439">
            <v>50</v>
          </cell>
          <cell r="AD439" t="str">
            <v>Slant</v>
          </cell>
          <cell r="AE439" t="str">
            <v>Duplex</v>
          </cell>
          <cell r="AF439" t="str">
            <v>568 - Without Partition</v>
          </cell>
          <cell r="AG439" t="str">
            <v xml:space="preserve">Without Partition </v>
          </cell>
          <cell r="AH439" t="str">
            <v xml:space="preserve">Without Partition </v>
          </cell>
          <cell r="AI439" t="str">
            <v>YELLOW</v>
          </cell>
          <cell r="AJ439" t="str">
            <v>Slant / YELLOW</v>
          </cell>
          <cell r="AK439">
            <v>1050000</v>
          </cell>
          <cell r="AL439">
            <v>15000</v>
          </cell>
          <cell r="AM439">
            <v>1650000</v>
          </cell>
          <cell r="AN439">
            <v>33000</v>
          </cell>
          <cell r="AO439">
            <v>150000</v>
          </cell>
          <cell r="AP439">
            <v>2850000</v>
          </cell>
          <cell r="AQ439"/>
          <cell r="AR439">
            <v>2850000</v>
          </cell>
          <cell r="AS439">
            <v>200000</v>
          </cell>
          <cell r="AT439">
            <v>2650000</v>
          </cell>
          <cell r="AU439">
            <v>100000</v>
          </cell>
          <cell r="AV439">
            <v>2550000</v>
          </cell>
          <cell r="AW439">
            <v>0</v>
          </cell>
          <cell r="AX439">
            <v>2550000</v>
          </cell>
        </row>
        <row r="440">
          <cell r="G440" t="str">
            <v>AGM-01-024-012</v>
          </cell>
          <cell r="H440" t="str">
            <v xml:space="preserve">Raemulan Lands, Inc. </v>
          </cell>
          <cell r="I440" t="str">
            <v>Agapeya</v>
          </cell>
          <cell r="J440" t="str">
            <v>AGM</v>
          </cell>
          <cell r="K440" t="str">
            <v>Eco-High</v>
          </cell>
          <cell r="L440" t="str">
            <v>West</v>
          </cell>
          <cell r="M440" t="str">
            <v>With LTS - 2026</v>
          </cell>
          <cell r="N440" t="str">
            <v>YES</v>
          </cell>
          <cell r="O440" t="str">
            <v>NO</v>
          </cell>
          <cell r="P440" t="str">
            <v>Unaffected lots</v>
          </cell>
          <cell r="Q440" t="str">
            <v>NO</v>
          </cell>
          <cell r="R440">
            <v>70</v>
          </cell>
          <cell r="S440" t="str">
            <v>PSD-04-277865</v>
          </cell>
          <cell r="T440" t="str">
            <v>TCT-060-2025019546</v>
          </cell>
          <cell r="U440" t="b">
            <v>1</v>
          </cell>
          <cell r="V440" t="str">
            <v>Done</v>
          </cell>
          <cell r="W440" t="str">
            <v>B2 2025</v>
          </cell>
          <cell r="X440" t="str">
            <v>2025 - Batch 4</v>
          </cell>
          <cell r="Y440">
            <v>24</v>
          </cell>
          <cell r="Z440">
            <v>12</v>
          </cell>
          <cell r="AA440" t="str">
            <v>H+L</v>
          </cell>
          <cell r="AB440">
            <v>70</v>
          </cell>
          <cell r="AC440">
            <v>50</v>
          </cell>
          <cell r="AD440" t="str">
            <v>Flat</v>
          </cell>
          <cell r="AE440" t="str">
            <v>Duplex</v>
          </cell>
          <cell r="AF440" t="str">
            <v>568 - Without Partition</v>
          </cell>
          <cell r="AG440" t="str">
            <v xml:space="preserve">Without Partition </v>
          </cell>
          <cell r="AH440" t="str">
            <v xml:space="preserve">Without Partition </v>
          </cell>
          <cell r="AI440" t="str">
            <v>YELLOW</v>
          </cell>
          <cell r="AJ440" t="str">
            <v>Flat / YELLOW</v>
          </cell>
          <cell r="AK440">
            <v>1050000</v>
          </cell>
          <cell r="AL440">
            <v>15000</v>
          </cell>
          <cell r="AM440">
            <v>1650000</v>
          </cell>
          <cell r="AN440">
            <v>33000</v>
          </cell>
          <cell r="AO440">
            <v>150000</v>
          </cell>
          <cell r="AP440">
            <v>2850000</v>
          </cell>
          <cell r="AQ440"/>
          <cell r="AR440">
            <v>2850000</v>
          </cell>
          <cell r="AS440">
            <v>200000</v>
          </cell>
          <cell r="AT440">
            <v>2650000</v>
          </cell>
          <cell r="AU440">
            <v>100000</v>
          </cell>
          <cell r="AV440">
            <v>2550000</v>
          </cell>
          <cell r="AW440">
            <v>0</v>
          </cell>
          <cell r="AX440">
            <v>2550000</v>
          </cell>
        </row>
        <row r="441">
          <cell r="G441" t="str">
            <v>AGM-01-024-013</v>
          </cell>
          <cell r="H441" t="str">
            <v xml:space="preserve">Raemulan Lands, Inc. </v>
          </cell>
          <cell r="I441" t="str">
            <v>Agapeya</v>
          </cell>
          <cell r="J441" t="str">
            <v>AGM</v>
          </cell>
          <cell r="K441" t="str">
            <v>Eco-High</v>
          </cell>
          <cell r="L441" t="str">
            <v>West</v>
          </cell>
          <cell r="M441" t="str">
            <v>With LTS - 2026</v>
          </cell>
          <cell r="N441" t="str">
            <v>YES</v>
          </cell>
          <cell r="O441" t="str">
            <v>NO</v>
          </cell>
          <cell r="P441" t="str">
            <v>Unaffected lots</v>
          </cell>
          <cell r="Q441" t="str">
            <v>NO</v>
          </cell>
          <cell r="R441">
            <v>70</v>
          </cell>
          <cell r="S441" t="str">
            <v>PSD-04-277865</v>
          </cell>
          <cell r="T441" t="str">
            <v>TCT-060-2025019547</v>
          </cell>
          <cell r="U441" t="b">
            <v>1</v>
          </cell>
          <cell r="V441" t="str">
            <v>Done</v>
          </cell>
          <cell r="W441" t="str">
            <v>B2 2025</v>
          </cell>
          <cell r="X441" t="str">
            <v>2025 - Batch 4</v>
          </cell>
          <cell r="Y441">
            <v>24</v>
          </cell>
          <cell r="Z441">
            <v>13</v>
          </cell>
          <cell r="AA441" t="str">
            <v>H+L</v>
          </cell>
          <cell r="AB441">
            <v>70</v>
          </cell>
          <cell r="AC441">
            <v>50</v>
          </cell>
          <cell r="AD441" t="str">
            <v>Flat</v>
          </cell>
          <cell r="AE441" t="str">
            <v>Duplex</v>
          </cell>
          <cell r="AF441" t="str">
            <v>568 - Without Partition</v>
          </cell>
          <cell r="AG441" t="str">
            <v xml:space="preserve">Without Partition </v>
          </cell>
          <cell r="AH441" t="str">
            <v xml:space="preserve">Without Partition </v>
          </cell>
          <cell r="AI441" t="str">
            <v>GREEN</v>
          </cell>
          <cell r="AJ441" t="str">
            <v>Flat / GREEN</v>
          </cell>
          <cell r="AK441">
            <v>1050000</v>
          </cell>
          <cell r="AL441">
            <v>15000</v>
          </cell>
          <cell r="AM441">
            <v>1650000</v>
          </cell>
          <cell r="AN441">
            <v>33000</v>
          </cell>
          <cell r="AO441">
            <v>150000</v>
          </cell>
          <cell r="AP441">
            <v>2850000</v>
          </cell>
          <cell r="AQ441"/>
          <cell r="AR441">
            <v>2850000</v>
          </cell>
          <cell r="AS441">
            <v>200000</v>
          </cell>
          <cell r="AT441">
            <v>2650000</v>
          </cell>
          <cell r="AU441">
            <v>100000</v>
          </cell>
          <cell r="AV441">
            <v>2550000</v>
          </cell>
          <cell r="AW441">
            <v>0</v>
          </cell>
          <cell r="AX441">
            <v>2550000</v>
          </cell>
        </row>
        <row r="442">
          <cell r="G442" t="str">
            <v>AGM-01-024-014</v>
          </cell>
          <cell r="H442" t="str">
            <v xml:space="preserve">Raemulan Lands, Inc. </v>
          </cell>
          <cell r="I442" t="str">
            <v>Agapeya</v>
          </cell>
          <cell r="J442" t="str">
            <v>AGM</v>
          </cell>
          <cell r="K442" t="str">
            <v>Eco-High</v>
          </cell>
          <cell r="L442" t="str">
            <v>West</v>
          </cell>
          <cell r="M442" t="str">
            <v>With LTS - 2026</v>
          </cell>
          <cell r="N442" t="str">
            <v>YES</v>
          </cell>
          <cell r="O442" t="str">
            <v>NO</v>
          </cell>
          <cell r="P442" t="str">
            <v>Unaffected lots</v>
          </cell>
          <cell r="Q442" t="str">
            <v>NO</v>
          </cell>
          <cell r="R442">
            <v>70</v>
          </cell>
          <cell r="S442" t="str">
            <v>PSD-04-277865</v>
          </cell>
          <cell r="T442" t="str">
            <v>TCT-060-2025019548</v>
          </cell>
          <cell r="U442" t="b">
            <v>1</v>
          </cell>
          <cell r="V442" t="str">
            <v>Done</v>
          </cell>
          <cell r="W442" t="str">
            <v>B2 2025</v>
          </cell>
          <cell r="X442" t="str">
            <v>2025 - Batch 4</v>
          </cell>
          <cell r="Y442">
            <v>24</v>
          </cell>
          <cell r="Z442">
            <v>14</v>
          </cell>
          <cell r="AA442" t="str">
            <v>H+L</v>
          </cell>
          <cell r="AB442">
            <v>70</v>
          </cell>
          <cell r="AC442">
            <v>50</v>
          </cell>
          <cell r="AD442" t="str">
            <v>Slant</v>
          </cell>
          <cell r="AE442" t="str">
            <v>Duplex</v>
          </cell>
          <cell r="AF442" t="str">
            <v>568 - Without Partition</v>
          </cell>
          <cell r="AG442" t="str">
            <v xml:space="preserve">Without Partition </v>
          </cell>
          <cell r="AH442" t="str">
            <v xml:space="preserve">Without Partition </v>
          </cell>
          <cell r="AI442" t="str">
            <v>GREEN</v>
          </cell>
          <cell r="AJ442" t="str">
            <v>Slant / GREEN</v>
          </cell>
          <cell r="AK442">
            <v>1050000</v>
          </cell>
          <cell r="AL442">
            <v>15000</v>
          </cell>
          <cell r="AM442">
            <v>1650000</v>
          </cell>
          <cell r="AN442">
            <v>33000</v>
          </cell>
          <cell r="AO442">
            <v>150000</v>
          </cell>
          <cell r="AP442">
            <v>2850000</v>
          </cell>
          <cell r="AQ442"/>
          <cell r="AR442">
            <v>2850000</v>
          </cell>
          <cell r="AS442">
            <v>200000</v>
          </cell>
          <cell r="AT442">
            <v>2650000</v>
          </cell>
          <cell r="AU442">
            <v>100000</v>
          </cell>
          <cell r="AV442">
            <v>2550000</v>
          </cell>
          <cell r="AW442">
            <v>0</v>
          </cell>
          <cell r="AX442">
            <v>2550000</v>
          </cell>
        </row>
        <row r="443">
          <cell r="G443" t="str">
            <v>AGM-01-024-015</v>
          </cell>
          <cell r="H443" t="str">
            <v xml:space="preserve">Raemulan Lands, Inc. </v>
          </cell>
          <cell r="I443" t="str">
            <v>Agapeya</v>
          </cell>
          <cell r="J443" t="str">
            <v>AGM</v>
          </cell>
          <cell r="K443" t="str">
            <v>Eco-High</v>
          </cell>
          <cell r="L443" t="str">
            <v>West</v>
          </cell>
          <cell r="M443" t="str">
            <v>With LTS - 2026</v>
          </cell>
          <cell r="N443" t="str">
            <v>YES</v>
          </cell>
          <cell r="O443" t="str">
            <v>NO</v>
          </cell>
          <cell r="P443" t="str">
            <v>Unaffected lots</v>
          </cell>
          <cell r="Q443" t="str">
            <v>NO</v>
          </cell>
          <cell r="R443">
            <v>70</v>
          </cell>
          <cell r="S443" t="str">
            <v>PSD-04-277865</v>
          </cell>
          <cell r="T443" t="str">
            <v>TCT-060-2025019549</v>
          </cell>
          <cell r="U443" t="b">
            <v>1</v>
          </cell>
          <cell r="V443" t="str">
            <v>Done</v>
          </cell>
          <cell r="W443" t="str">
            <v>B2 2025</v>
          </cell>
          <cell r="X443" t="str">
            <v>2025 - Batch 4</v>
          </cell>
          <cell r="Y443">
            <v>24</v>
          </cell>
          <cell r="Z443">
            <v>15</v>
          </cell>
          <cell r="AA443" t="str">
            <v>H+L</v>
          </cell>
          <cell r="AB443">
            <v>70</v>
          </cell>
          <cell r="AC443">
            <v>50</v>
          </cell>
          <cell r="AD443" t="str">
            <v>Slant</v>
          </cell>
          <cell r="AE443" t="str">
            <v>Duplex</v>
          </cell>
          <cell r="AF443" t="str">
            <v>568 - Without Partition</v>
          </cell>
          <cell r="AG443" t="str">
            <v xml:space="preserve">Without Partition </v>
          </cell>
          <cell r="AH443" t="str">
            <v xml:space="preserve">Without Partition </v>
          </cell>
          <cell r="AI443" t="str">
            <v>GREEN</v>
          </cell>
          <cell r="AJ443" t="str">
            <v>Slant / GREEN</v>
          </cell>
          <cell r="AK443">
            <v>1050000</v>
          </cell>
          <cell r="AL443">
            <v>15000</v>
          </cell>
          <cell r="AM443">
            <v>1650000</v>
          </cell>
          <cell r="AN443">
            <v>33000</v>
          </cell>
          <cell r="AO443">
            <v>150000</v>
          </cell>
          <cell r="AP443">
            <v>2850000</v>
          </cell>
          <cell r="AQ443"/>
          <cell r="AR443">
            <v>2850000</v>
          </cell>
          <cell r="AS443">
            <v>200000</v>
          </cell>
          <cell r="AT443">
            <v>2650000</v>
          </cell>
          <cell r="AU443">
            <v>100000</v>
          </cell>
          <cell r="AV443">
            <v>2550000</v>
          </cell>
          <cell r="AW443">
            <v>0</v>
          </cell>
          <cell r="AX443">
            <v>2550000</v>
          </cell>
        </row>
        <row r="444">
          <cell r="G444" t="str">
            <v>AGM-01-024-016</v>
          </cell>
          <cell r="H444" t="str">
            <v xml:space="preserve">Raemulan Lands, Inc. </v>
          </cell>
          <cell r="I444" t="str">
            <v>Agapeya</v>
          </cell>
          <cell r="J444" t="str">
            <v>AGM</v>
          </cell>
          <cell r="K444" t="str">
            <v>Eco-High</v>
          </cell>
          <cell r="L444" t="str">
            <v>West</v>
          </cell>
          <cell r="M444" t="str">
            <v>With LTS - 2026</v>
          </cell>
          <cell r="N444" t="str">
            <v>YES</v>
          </cell>
          <cell r="O444" t="str">
            <v>NO</v>
          </cell>
          <cell r="P444" t="str">
            <v>Unaffected lots</v>
          </cell>
          <cell r="Q444" t="str">
            <v>NO</v>
          </cell>
          <cell r="R444">
            <v>70</v>
          </cell>
          <cell r="S444" t="str">
            <v>PSD-04-277865</v>
          </cell>
          <cell r="T444" t="str">
            <v>TCT-060-2025019550</v>
          </cell>
          <cell r="U444" t="b">
            <v>1</v>
          </cell>
          <cell r="V444" t="str">
            <v>Done</v>
          </cell>
          <cell r="W444" t="str">
            <v>B2 2025</v>
          </cell>
          <cell r="X444" t="str">
            <v>2025 - Batch 4</v>
          </cell>
          <cell r="Y444">
            <v>24</v>
          </cell>
          <cell r="Z444">
            <v>16</v>
          </cell>
          <cell r="AA444" t="str">
            <v>H+L</v>
          </cell>
          <cell r="AB444">
            <v>70</v>
          </cell>
          <cell r="AC444">
            <v>50</v>
          </cell>
          <cell r="AD444" t="str">
            <v>Flat</v>
          </cell>
          <cell r="AE444" t="str">
            <v>Duplex</v>
          </cell>
          <cell r="AF444" t="str">
            <v>568 - Without Partition</v>
          </cell>
          <cell r="AG444" t="str">
            <v xml:space="preserve">Without Partition </v>
          </cell>
          <cell r="AH444" t="str">
            <v xml:space="preserve">Without Partition </v>
          </cell>
          <cell r="AI444" t="str">
            <v>GREEN</v>
          </cell>
          <cell r="AJ444" t="str">
            <v>Flat / GREEN</v>
          </cell>
          <cell r="AK444">
            <v>1050000</v>
          </cell>
          <cell r="AL444">
            <v>15000</v>
          </cell>
          <cell r="AM444">
            <v>1650000</v>
          </cell>
          <cell r="AN444">
            <v>33000</v>
          </cell>
          <cell r="AO444">
            <v>150000</v>
          </cell>
          <cell r="AP444">
            <v>2850000</v>
          </cell>
          <cell r="AQ444"/>
          <cell r="AR444">
            <v>2850000</v>
          </cell>
          <cell r="AS444">
            <v>200000</v>
          </cell>
          <cell r="AT444">
            <v>2650000</v>
          </cell>
          <cell r="AU444">
            <v>100000</v>
          </cell>
          <cell r="AV444">
            <v>2550000</v>
          </cell>
          <cell r="AW444">
            <v>0</v>
          </cell>
          <cell r="AX444">
            <v>2550000</v>
          </cell>
        </row>
        <row r="445">
          <cell r="G445" t="str">
            <v>AGM-01-024-017</v>
          </cell>
          <cell r="H445" t="str">
            <v xml:space="preserve">Raemulan Lands, Inc. </v>
          </cell>
          <cell r="I445" t="str">
            <v>Agapeya</v>
          </cell>
          <cell r="J445" t="str">
            <v>AGM</v>
          </cell>
          <cell r="K445" t="str">
            <v>Eco-High</v>
          </cell>
          <cell r="L445" t="str">
            <v>West</v>
          </cell>
          <cell r="M445" t="str">
            <v>With LTS - 2026</v>
          </cell>
          <cell r="N445" t="str">
            <v>YES</v>
          </cell>
          <cell r="O445" t="str">
            <v>NO</v>
          </cell>
          <cell r="P445" t="str">
            <v>Unaffected lots</v>
          </cell>
          <cell r="Q445" t="str">
            <v>NO</v>
          </cell>
          <cell r="R445">
            <v>70</v>
          </cell>
          <cell r="S445" t="str">
            <v>PSD-04-277865</v>
          </cell>
          <cell r="T445" t="str">
            <v>TCT-060-2025019551</v>
          </cell>
          <cell r="U445" t="b">
            <v>1</v>
          </cell>
          <cell r="V445" t="str">
            <v>Done</v>
          </cell>
          <cell r="W445" t="str">
            <v>B2 2025</v>
          </cell>
          <cell r="X445" t="str">
            <v>2025 - Batch 5</v>
          </cell>
          <cell r="Y445">
            <v>24</v>
          </cell>
          <cell r="Z445">
            <v>17</v>
          </cell>
          <cell r="AA445" t="str">
            <v>H+L</v>
          </cell>
          <cell r="AB445">
            <v>70</v>
          </cell>
          <cell r="AC445">
            <v>50</v>
          </cell>
          <cell r="AD445" t="str">
            <v>Flat</v>
          </cell>
          <cell r="AE445" t="str">
            <v>Duplex</v>
          </cell>
          <cell r="AF445" t="str">
            <v>568 - Without Partition</v>
          </cell>
          <cell r="AG445" t="str">
            <v xml:space="preserve">Without Partition </v>
          </cell>
          <cell r="AH445" t="str">
            <v xml:space="preserve">Without Partition </v>
          </cell>
          <cell r="AI445" t="str">
            <v>PURPLE</v>
          </cell>
          <cell r="AJ445" t="str">
            <v>Flat / PURPLE</v>
          </cell>
          <cell r="AK445">
            <v>1050000</v>
          </cell>
          <cell r="AL445">
            <v>15000</v>
          </cell>
          <cell r="AM445">
            <v>1650000</v>
          </cell>
          <cell r="AN445">
            <v>33000</v>
          </cell>
          <cell r="AO445">
            <v>150000</v>
          </cell>
          <cell r="AP445">
            <v>2850000</v>
          </cell>
          <cell r="AQ445"/>
          <cell r="AR445">
            <v>2850000</v>
          </cell>
          <cell r="AS445">
            <v>200000</v>
          </cell>
          <cell r="AT445">
            <v>2650000</v>
          </cell>
          <cell r="AU445">
            <v>100000</v>
          </cell>
          <cell r="AV445">
            <v>2550000</v>
          </cell>
          <cell r="AW445">
            <v>0</v>
          </cell>
          <cell r="AX445">
            <v>2550000</v>
          </cell>
        </row>
        <row r="446">
          <cell r="G446" t="str">
            <v>AGM-01-024-018</v>
          </cell>
          <cell r="H446" t="str">
            <v xml:space="preserve">Raemulan Lands, Inc. </v>
          </cell>
          <cell r="I446" t="str">
            <v>Agapeya</v>
          </cell>
          <cell r="J446" t="str">
            <v>AGM</v>
          </cell>
          <cell r="K446" t="str">
            <v>Eco-High</v>
          </cell>
          <cell r="L446" t="str">
            <v>West</v>
          </cell>
          <cell r="M446" t="str">
            <v>Without LTS</v>
          </cell>
          <cell r="N446"/>
          <cell r="O446"/>
          <cell r="P446" t="str">
            <v>Unaffected lots</v>
          </cell>
          <cell r="Q446" t="str">
            <v>NO</v>
          </cell>
          <cell r="R446">
            <v>70</v>
          </cell>
          <cell r="S446" t="str">
            <v>PCS-04-036365</v>
          </cell>
          <cell r="T446" t="str">
            <v>TCT-060-2026007161</v>
          </cell>
          <cell r="U446" t="b">
            <v>1</v>
          </cell>
          <cell r="V446" t="str">
            <v>Done</v>
          </cell>
          <cell r="W446" t="str">
            <v>B2 2025</v>
          </cell>
          <cell r="X446" t="str">
            <v>2025 - Batch 5</v>
          </cell>
          <cell r="Y446">
            <v>24</v>
          </cell>
          <cell r="Z446">
            <v>18</v>
          </cell>
          <cell r="AA446" t="str">
            <v>H+L</v>
          </cell>
          <cell r="AB446">
            <v>70</v>
          </cell>
          <cell r="AC446">
            <v>50</v>
          </cell>
          <cell r="AD446" t="str">
            <v>Slant</v>
          </cell>
          <cell r="AE446" t="str">
            <v>Duplex</v>
          </cell>
          <cell r="AF446" t="str">
            <v>568 - Without Partition</v>
          </cell>
          <cell r="AG446" t="str">
            <v xml:space="preserve">Without Partition </v>
          </cell>
          <cell r="AH446" t="str">
            <v xml:space="preserve">Without Partition </v>
          </cell>
          <cell r="AI446" t="str">
            <v>PURPLE</v>
          </cell>
          <cell r="AJ446" t="str">
            <v>Slant / PURPLE</v>
          </cell>
          <cell r="AK446">
            <v>1050000</v>
          </cell>
          <cell r="AL446">
            <v>15000</v>
          </cell>
          <cell r="AM446">
            <v>1650000</v>
          </cell>
          <cell r="AN446">
            <v>33000</v>
          </cell>
          <cell r="AO446">
            <v>150000</v>
          </cell>
          <cell r="AP446">
            <v>2850000</v>
          </cell>
          <cell r="AQ446"/>
          <cell r="AR446">
            <v>2850000</v>
          </cell>
          <cell r="AS446">
            <v>200000</v>
          </cell>
          <cell r="AT446">
            <v>2650000</v>
          </cell>
          <cell r="AU446">
            <v>100000</v>
          </cell>
          <cell r="AV446">
            <v>2550000</v>
          </cell>
          <cell r="AW446">
            <v>0</v>
          </cell>
          <cell r="AX446">
            <v>2550000</v>
          </cell>
        </row>
        <row r="447">
          <cell r="G447" t="str">
            <v>AGM-01-024-019</v>
          </cell>
          <cell r="H447" t="str">
            <v xml:space="preserve">Raemulan Lands, Inc. </v>
          </cell>
          <cell r="I447" t="str">
            <v>Agapeya</v>
          </cell>
          <cell r="J447" t="str">
            <v>AGM</v>
          </cell>
          <cell r="K447" t="str">
            <v>Eco-High</v>
          </cell>
          <cell r="L447" t="str">
            <v>West</v>
          </cell>
          <cell r="M447" t="str">
            <v>Without LTS</v>
          </cell>
          <cell r="N447"/>
          <cell r="O447"/>
          <cell r="P447" t="str">
            <v>Unaffected lots</v>
          </cell>
          <cell r="Q447" t="str">
            <v>NO</v>
          </cell>
          <cell r="R447">
            <v>70</v>
          </cell>
          <cell r="S447" t="str">
            <v>PCS-04-036365</v>
          </cell>
          <cell r="T447" t="str">
            <v>TCT-060-2026007162</v>
          </cell>
          <cell r="U447" t="b">
            <v>1</v>
          </cell>
          <cell r="V447" t="str">
            <v>Done</v>
          </cell>
          <cell r="W447" t="str">
            <v>B2 2025</v>
          </cell>
          <cell r="X447" t="str">
            <v>2025 - Batch 5</v>
          </cell>
          <cell r="Y447">
            <v>24</v>
          </cell>
          <cell r="Z447">
            <v>19</v>
          </cell>
          <cell r="AA447" t="str">
            <v>H+L</v>
          </cell>
          <cell r="AB447">
            <v>70</v>
          </cell>
          <cell r="AC447">
            <v>50</v>
          </cell>
          <cell r="AD447" t="str">
            <v>Slant</v>
          </cell>
          <cell r="AE447" t="str">
            <v>Duplex</v>
          </cell>
          <cell r="AF447" t="str">
            <v>568 - Without Partition</v>
          </cell>
          <cell r="AG447" t="str">
            <v xml:space="preserve">Without Partition </v>
          </cell>
          <cell r="AH447" t="str">
            <v xml:space="preserve">Without Partition </v>
          </cell>
          <cell r="AI447" t="str">
            <v>PURPLE</v>
          </cell>
          <cell r="AJ447" t="str">
            <v>Slant / PURPLE</v>
          </cell>
          <cell r="AK447">
            <v>1050000</v>
          </cell>
          <cell r="AL447">
            <v>15000</v>
          </cell>
          <cell r="AM447">
            <v>1650000</v>
          </cell>
          <cell r="AN447">
            <v>33000</v>
          </cell>
          <cell r="AO447">
            <v>150000</v>
          </cell>
          <cell r="AP447">
            <v>2850000</v>
          </cell>
          <cell r="AQ447"/>
          <cell r="AR447">
            <v>2850000</v>
          </cell>
          <cell r="AS447">
            <v>200000</v>
          </cell>
          <cell r="AT447">
            <v>2650000</v>
          </cell>
          <cell r="AU447">
            <v>100000</v>
          </cell>
          <cell r="AV447">
            <v>2550000</v>
          </cell>
          <cell r="AW447">
            <v>0</v>
          </cell>
          <cell r="AX447">
            <v>2550000</v>
          </cell>
        </row>
        <row r="448">
          <cell r="G448" t="str">
            <v>AGM-01-024-020</v>
          </cell>
          <cell r="H448" t="str">
            <v xml:space="preserve">Raemulan Lands, Inc. </v>
          </cell>
          <cell r="I448" t="str">
            <v>Agapeya</v>
          </cell>
          <cell r="J448" t="str">
            <v>AGM</v>
          </cell>
          <cell r="K448" t="str">
            <v>Eco-High</v>
          </cell>
          <cell r="L448" t="str">
            <v>West</v>
          </cell>
          <cell r="M448" t="str">
            <v>With LTS - 2024</v>
          </cell>
          <cell r="N448" t="str">
            <v>YES</v>
          </cell>
          <cell r="O448" t="str">
            <v>YES</v>
          </cell>
          <cell r="P448" t="str">
            <v>Unaffected lots</v>
          </cell>
          <cell r="Q448" t="str">
            <v>YES</v>
          </cell>
          <cell r="R448">
            <v>70</v>
          </cell>
          <cell r="S448" t="str">
            <v>PCS-04-276764</v>
          </cell>
          <cell r="T448" t="str">
            <v>TCT-060-2024018716</v>
          </cell>
          <cell r="U448" t="b">
            <v>1</v>
          </cell>
          <cell r="V448" t="str">
            <v>Done</v>
          </cell>
          <cell r="W448" t="str">
            <v>B2 2025</v>
          </cell>
          <cell r="X448" t="str">
            <v>2025 - Batch 5</v>
          </cell>
          <cell r="Y448">
            <v>24</v>
          </cell>
          <cell r="Z448">
            <v>20</v>
          </cell>
          <cell r="AA448" t="str">
            <v>H+L</v>
          </cell>
          <cell r="AB448">
            <v>70</v>
          </cell>
          <cell r="AC448">
            <v>50</v>
          </cell>
          <cell r="AD448" t="str">
            <v>Flat</v>
          </cell>
          <cell r="AE448" t="str">
            <v>Duplex</v>
          </cell>
          <cell r="AF448" t="str">
            <v>568 - Without Partition</v>
          </cell>
          <cell r="AG448" t="str">
            <v xml:space="preserve">Without Partition </v>
          </cell>
          <cell r="AH448" t="str">
            <v xml:space="preserve">Without Partition </v>
          </cell>
          <cell r="AI448" t="str">
            <v>PURPLE</v>
          </cell>
          <cell r="AJ448" t="str">
            <v>Flat / PURPLE</v>
          </cell>
          <cell r="AK448">
            <v>1050000</v>
          </cell>
          <cell r="AL448">
            <v>15000</v>
          </cell>
          <cell r="AM448">
            <v>1650000</v>
          </cell>
          <cell r="AN448">
            <v>33000</v>
          </cell>
          <cell r="AO448">
            <v>150000</v>
          </cell>
          <cell r="AP448">
            <v>2850000</v>
          </cell>
          <cell r="AQ448"/>
          <cell r="AR448">
            <v>2850000</v>
          </cell>
          <cell r="AS448">
            <v>200000</v>
          </cell>
          <cell r="AT448">
            <v>2650000</v>
          </cell>
          <cell r="AU448">
            <v>100000</v>
          </cell>
          <cell r="AV448">
            <v>2550000</v>
          </cell>
          <cell r="AW448">
            <v>0</v>
          </cell>
          <cell r="AX448">
            <v>2550000</v>
          </cell>
        </row>
        <row r="449">
          <cell r="G449" t="str">
            <v>AGM-01-024-021</v>
          </cell>
          <cell r="H449" t="str">
            <v xml:space="preserve">Raemulan Lands, Inc. </v>
          </cell>
          <cell r="I449" t="str">
            <v>Agapeya</v>
          </cell>
          <cell r="J449" t="str">
            <v>AGM</v>
          </cell>
          <cell r="K449" t="str">
            <v>Eco-High</v>
          </cell>
          <cell r="L449" t="str">
            <v>West</v>
          </cell>
          <cell r="M449" t="str">
            <v>With LTS - 2024</v>
          </cell>
          <cell r="N449" t="str">
            <v>YES</v>
          </cell>
          <cell r="O449" t="str">
            <v>YES</v>
          </cell>
          <cell r="P449" t="str">
            <v>Unaffected lots</v>
          </cell>
          <cell r="Q449" t="str">
            <v>YES</v>
          </cell>
          <cell r="R449">
            <v>70</v>
          </cell>
          <cell r="S449" t="str">
            <v>PCS-04-276764</v>
          </cell>
          <cell r="T449" t="str">
            <v>TCT-060-2024018717</v>
          </cell>
          <cell r="U449" t="b">
            <v>1</v>
          </cell>
          <cell r="V449" t="str">
            <v>Done</v>
          </cell>
          <cell r="W449" t="str">
            <v>B2 2025</v>
          </cell>
          <cell r="X449" t="str">
            <v>2025 - Batch 5</v>
          </cell>
          <cell r="Y449">
            <v>24</v>
          </cell>
          <cell r="Z449">
            <v>21</v>
          </cell>
          <cell r="AA449" t="str">
            <v>H+L</v>
          </cell>
          <cell r="AB449">
            <v>70</v>
          </cell>
          <cell r="AC449">
            <v>50</v>
          </cell>
          <cell r="AD449" t="str">
            <v>Flat</v>
          </cell>
          <cell r="AE449" t="str">
            <v>Duplex</v>
          </cell>
          <cell r="AF449" t="str">
            <v>568 - Without Partition</v>
          </cell>
          <cell r="AG449" t="str">
            <v xml:space="preserve">Without Partition </v>
          </cell>
          <cell r="AH449" t="str">
            <v xml:space="preserve">Without Partition </v>
          </cell>
          <cell r="AI449" t="str">
            <v>PINK</v>
          </cell>
          <cell r="AJ449" t="str">
            <v>Flat / PINK</v>
          </cell>
          <cell r="AK449">
            <v>1050000</v>
          </cell>
          <cell r="AL449">
            <v>15000</v>
          </cell>
          <cell r="AM449">
            <v>1650000</v>
          </cell>
          <cell r="AN449">
            <v>33000</v>
          </cell>
          <cell r="AO449">
            <v>150000</v>
          </cell>
          <cell r="AP449">
            <v>2850000</v>
          </cell>
          <cell r="AQ449"/>
          <cell r="AR449">
            <v>2850000</v>
          </cell>
          <cell r="AS449">
            <v>200000</v>
          </cell>
          <cell r="AT449">
            <v>2650000</v>
          </cell>
          <cell r="AU449">
            <v>100000</v>
          </cell>
          <cell r="AV449">
            <v>2550000</v>
          </cell>
          <cell r="AW449">
            <v>0</v>
          </cell>
          <cell r="AX449">
            <v>2550000</v>
          </cell>
        </row>
        <row r="450">
          <cell r="G450" t="str">
            <v>AGM-01-024-022</v>
          </cell>
          <cell r="H450" t="str">
            <v xml:space="preserve">Raemulan Lands, Inc. </v>
          </cell>
          <cell r="I450" t="str">
            <v>Agapeya</v>
          </cell>
          <cell r="J450" t="str">
            <v>AGM</v>
          </cell>
          <cell r="K450" t="str">
            <v>Eco-High</v>
          </cell>
          <cell r="L450" t="str">
            <v>West</v>
          </cell>
          <cell r="M450" t="str">
            <v>With LTS - 2024</v>
          </cell>
          <cell r="N450" t="str">
            <v>YES</v>
          </cell>
          <cell r="O450" t="str">
            <v>YES</v>
          </cell>
          <cell r="P450" t="str">
            <v>Unaffected lots</v>
          </cell>
          <cell r="Q450" t="str">
            <v>YES</v>
          </cell>
          <cell r="R450">
            <v>70</v>
          </cell>
          <cell r="S450" t="str">
            <v>PCS-04-276764</v>
          </cell>
          <cell r="T450" t="str">
            <v>TCT-060-2024018718</v>
          </cell>
          <cell r="U450" t="b">
            <v>1</v>
          </cell>
          <cell r="V450" t="str">
            <v>Done</v>
          </cell>
          <cell r="W450" t="str">
            <v>B2 2025</v>
          </cell>
          <cell r="X450" t="str">
            <v>2025 - Batch 5</v>
          </cell>
          <cell r="Y450">
            <v>24</v>
          </cell>
          <cell r="Z450">
            <v>22</v>
          </cell>
          <cell r="AA450" t="str">
            <v>H+L</v>
          </cell>
          <cell r="AB450">
            <v>70</v>
          </cell>
          <cell r="AC450">
            <v>50</v>
          </cell>
          <cell r="AD450" t="str">
            <v>Slant</v>
          </cell>
          <cell r="AE450" t="str">
            <v>Duplex</v>
          </cell>
          <cell r="AF450" t="str">
            <v>568 - Without Partition</v>
          </cell>
          <cell r="AG450" t="str">
            <v xml:space="preserve">Without Partition </v>
          </cell>
          <cell r="AH450" t="str">
            <v xml:space="preserve">Without Partition </v>
          </cell>
          <cell r="AI450" t="str">
            <v>PINK</v>
          </cell>
          <cell r="AJ450" t="str">
            <v>Slant / PINK</v>
          </cell>
          <cell r="AK450">
            <v>1050000</v>
          </cell>
          <cell r="AL450">
            <v>15000</v>
          </cell>
          <cell r="AM450">
            <v>1650000</v>
          </cell>
          <cell r="AN450">
            <v>33000</v>
          </cell>
          <cell r="AO450">
            <v>150000</v>
          </cell>
          <cell r="AP450">
            <v>2850000</v>
          </cell>
          <cell r="AQ450"/>
          <cell r="AR450">
            <v>2850000</v>
          </cell>
          <cell r="AS450">
            <v>200000</v>
          </cell>
          <cell r="AT450">
            <v>2650000</v>
          </cell>
          <cell r="AU450">
            <v>100000</v>
          </cell>
          <cell r="AV450">
            <v>2550000</v>
          </cell>
          <cell r="AW450">
            <v>0</v>
          </cell>
          <cell r="AX450">
            <v>2550000</v>
          </cell>
        </row>
        <row r="451">
          <cell r="G451" t="str">
            <v>AGM-01-024-023</v>
          </cell>
          <cell r="H451" t="str">
            <v xml:space="preserve">Raemulan Lands, Inc. </v>
          </cell>
          <cell r="I451" t="str">
            <v>Agapeya</v>
          </cell>
          <cell r="J451" t="str">
            <v>AGM</v>
          </cell>
          <cell r="K451" t="str">
            <v>Eco-High</v>
          </cell>
          <cell r="L451" t="str">
            <v>West</v>
          </cell>
          <cell r="M451" t="str">
            <v>With LTS - 2024</v>
          </cell>
          <cell r="N451" t="str">
            <v>YES</v>
          </cell>
          <cell r="O451" t="str">
            <v>YES</v>
          </cell>
          <cell r="P451" t="str">
            <v>Unaffected lots</v>
          </cell>
          <cell r="Q451" t="str">
            <v>YES</v>
          </cell>
          <cell r="R451">
            <v>70</v>
          </cell>
          <cell r="S451" t="str">
            <v>PCS-04-276764</v>
          </cell>
          <cell r="T451" t="str">
            <v>TCT-060-2024018719</v>
          </cell>
          <cell r="U451" t="b">
            <v>1</v>
          </cell>
          <cell r="V451" t="str">
            <v>Done</v>
          </cell>
          <cell r="W451" t="str">
            <v>B2 2025</v>
          </cell>
          <cell r="X451" t="str">
            <v>2025 - Batch 1</v>
          </cell>
          <cell r="Y451">
            <v>24</v>
          </cell>
          <cell r="Z451">
            <v>23</v>
          </cell>
          <cell r="AA451" t="str">
            <v>H+L</v>
          </cell>
          <cell r="AB451">
            <v>70</v>
          </cell>
          <cell r="AC451">
            <v>50</v>
          </cell>
          <cell r="AD451" t="str">
            <v>Slant</v>
          </cell>
          <cell r="AE451" t="str">
            <v>Duplex</v>
          </cell>
          <cell r="AF451" t="str">
            <v>568 - Without Partition</v>
          </cell>
          <cell r="AG451" t="str">
            <v xml:space="preserve">Without Partition </v>
          </cell>
          <cell r="AH451" t="str">
            <v xml:space="preserve">Without Partition </v>
          </cell>
          <cell r="AI451" t="str">
            <v>PINK</v>
          </cell>
          <cell r="AJ451" t="str">
            <v>Slant / PINK</v>
          </cell>
          <cell r="AK451">
            <v>1050000</v>
          </cell>
          <cell r="AL451">
            <v>15000</v>
          </cell>
          <cell r="AM451">
            <v>1650000</v>
          </cell>
          <cell r="AN451">
            <v>33000</v>
          </cell>
          <cell r="AO451">
            <v>150000</v>
          </cell>
          <cell r="AP451">
            <v>2850000</v>
          </cell>
          <cell r="AQ451"/>
          <cell r="AR451">
            <v>2850000</v>
          </cell>
          <cell r="AS451">
            <v>200000</v>
          </cell>
          <cell r="AT451">
            <v>2650000</v>
          </cell>
          <cell r="AU451">
            <v>100000</v>
          </cell>
          <cell r="AV451">
            <v>2550000</v>
          </cell>
          <cell r="AW451">
            <v>0</v>
          </cell>
          <cell r="AX451">
            <v>2550000</v>
          </cell>
        </row>
        <row r="452">
          <cell r="G452" t="str">
            <v>AGM-01-024-024</v>
          </cell>
          <cell r="H452" t="str">
            <v xml:space="preserve">Raemulan Lands, Inc. </v>
          </cell>
          <cell r="I452" t="str">
            <v>Agapeya</v>
          </cell>
          <cell r="J452" t="str">
            <v>AGM</v>
          </cell>
          <cell r="K452" t="str">
            <v>Eco-High</v>
          </cell>
          <cell r="L452" t="str">
            <v>West</v>
          </cell>
          <cell r="M452" t="str">
            <v>With LTS - 2024</v>
          </cell>
          <cell r="N452" t="str">
            <v>YES</v>
          </cell>
          <cell r="O452" t="str">
            <v>YES</v>
          </cell>
          <cell r="P452" t="str">
            <v>Unaffected lots</v>
          </cell>
          <cell r="Q452" t="str">
            <v>YES</v>
          </cell>
          <cell r="R452">
            <v>70</v>
          </cell>
          <cell r="S452" t="str">
            <v>PCS-04-276764</v>
          </cell>
          <cell r="T452" t="str">
            <v>TCT-060-2024018720</v>
          </cell>
          <cell r="U452" t="b">
            <v>1</v>
          </cell>
          <cell r="V452" t="str">
            <v>Done</v>
          </cell>
          <cell r="W452" t="str">
            <v>B2 2025</v>
          </cell>
          <cell r="X452" t="str">
            <v>2025 - Batch 1</v>
          </cell>
          <cell r="Y452">
            <v>24</v>
          </cell>
          <cell r="Z452">
            <v>24</v>
          </cell>
          <cell r="AA452" t="str">
            <v>H+L</v>
          </cell>
          <cell r="AB452">
            <v>70</v>
          </cell>
          <cell r="AC452">
            <v>50</v>
          </cell>
          <cell r="AD452" t="str">
            <v>Flat</v>
          </cell>
          <cell r="AE452" t="str">
            <v>Duplex</v>
          </cell>
          <cell r="AF452" t="str">
            <v>568 - Without Partition</v>
          </cell>
          <cell r="AG452" t="str">
            <v xml:space="preserve">Without Partition </v>
          </cell>
          <cell r="AH452" t="str">
            <v xml:space="preserve">Without Partition </v>
          </cell>
          <cell r="AI452" t="str">
            <v>PINK</v>
          </cell>
          <cell r="AJ452" t="str">
            <v>Flat / PINK</v>
          </cell>
          <cell r="AK452">
            <v>1050000</v>
          </cell>
          <cell r="AL452">
            <v>15000</v>
          </cell>
          <cell r="AM452">
            <v>1650000</v>
          </cell>
          <cell r="AN452">
            <v>33000</v>
          </cell>
          <cell r="AO452">
            <v>150000</v>
          </cell>
          <cell r="AP452">
            <v>2850000</v>
          </cell>
          <cell r="AQ452"/>
          <cell r="AR452">
            <v>2850000</v>
          </cell>
          <cell r="AS452">
            <v>200000</v>
          </cell>
          <cell r="AT452">
            <v>2650000</v>
          </cell>
          <cell r="AU452">
            <v>100000</v>
          </cell>
          <cell r="AV452">
            <v>2550000</v>
          </cell>
          <cell r="AW452">
            <v>0</v>
          </cell>
          <cell r="AX452">
            <v>2550000</v>
          </cell>
        </row>
        <row r="453">
          <cell r="G453" t="str">
            <v>AGM-01-024-025</v>
          </cell>
          <cell r="H453" t="str">
            <v xml:space="preserve">Raemulan Lands, Inc. </v>
          </cell>
          <cell r="I453" t="str">
            <v>Agapeya</v>
          </cell>
          <cell r="J453" t="str">
            <v>AGM</v>
          </cell>
          <cell r="K453" t="str">
            <v>Eco-High</v>
          </cell>
          <cell r="L453" t="str">
            <v>West</v>
          </cell>
          <cell r="M453" t="str">
            <v>With LTS - 2024</v>
          </cell>
          <cell r="N453" t="str">
            <v>YES</v>
          </cell>
          <cell r="O453" t="str">
            <v>YES</v>
          </cell>
          <cell r="P453" t="str">
            <v>Unaffected lots</v>
          </cell>
          <cell r="Q453" t="str">
            <v>YES</v>
          </cell>
          <cell r="R453">
            <v>70</v>
          </cell>
          <cell r="S453" t="str">
            <v>PCS-04-276764</v>
          </cell>
          <cell r="T453" t="str">
            <v>TCT-060-2024018721</v>
          </cell>
          <cell r="U453" t="b">
            <v>1</v>
          </cell>
          <cell r="V453" t="str">
            <v>Done</v>
          </cell>
          <cell r="W453" t="str">
            <v>B2 2025</v>
          </cell>
          <cell r="X453" t="str">
            <v>2025 - Batch 1</v>
          </cell>
          <cell r="Y453">
            <v>24</v>
          </cell>
          <cell r="Z453">
            <v>25</v>
          </cell>
          <cell r="AA453" t="str">
            <v>H+L</v>
          </cell>
          <cell r="AB453">
            <v>70</v>
          </cell>
          <cell r="AC453">
            <v>50</v>
          </cell>
          <cell r="AD453" t="str">
            <v>Flat</v>
          </cell>
          <cell r="AE453" t="str">
            <v>Duplex</v>
          </cell>
          <cell r="AF453" t="str">
            <v>568 - Without Partition</v>
          </cell>
          <cell r="AG453" t="str">
            <v xml:space="preserve">Without Partition </v>
          </cell>
          <cell r="AH453" t="str">
            <v xml:space="preserve">Without Partition </v>
          </cell>
          <cell r="AI453" t="str">
            <v>YELLOW</v>
          </cell>
          <cell r="AJ453" t="str">
            <v>Flat / YELLOW</v>
          </cell>
          <cell r="AK453">
            <v>1050000</v>
          </cell>
          <cell r="AL453">
            <v>15000</v>
          </cell>
          <cell r="AM453">
            <v>1650000</v>
          </cell>
          <cell r="AN453">
            <v>33000</v>
          </cell>
          <cell r="AO453">
            <v>150000</v>
          </cell>
          <cell r="AP453">
            <v>2850000</v>
          </cell>
          <cell r="AQ453"/>
          <cell r="AR453">
            <v>2850000</v>
          </cell>
          <cell r="AS453">
            <v>200000</v>
          </cell>
          <cell r="AT453">
            <v>2650000</v>
          </cell>
          <cell r="AU453">
            <v>100000</v>
          </cell>
          <cell r="AV453">
            <v>2550000</v>
          </cell>
          <cell r="AW453">
            <v>0</v>
          </cell>
          <cell r="AX453">
            <v>2550000</v>
          </cell>
        </row>
        <row r="454">
          <cell r="G454" t="str">
            <v>AGM-01-024-026</v>
          </cell>
          <cell r="H454" t="str">
            <v xml:space="preserve">Raemulan Lands, Inc. </v>
          </cell>
          <cell r="I454" t="str">
            <v>Agapeya</v>
          </cell>
          <cell r="J454" t="str">
            <v>AGM</v>
          </cell>
          <cell r="K454" t="str">
            <v>Eco-High</v>
          </cell>
          <cell r="L454" t="str">
            <v>West</v>
          </cell>
          <cell r="M454" t="str">
            <v>With LTS - 2024</v>
          </cell>
          <cell r="N454" t="str">
            <v>YES</v>
          </cell>
          <cell r="O454" t="str">
            <v>YES</v>
          </cell>
          <cell r="P454" t="str">
            <v>Unaffected lots</v>
          </cell>
          <cell r="Q454" t="str">
            <v>YES</v>
          </cell>
          <cell r="R454">
            <v>70</v>
          </cell>
          <cell r="S454" t="str">
            <v>PCS-04-276764</v>
          </cell>
          <cell r="T454" t="str">
            <v>TCT-060-2024018722</v>
          </cell>
          <cell r="U454" t="b">
            <v>1</v>
          </cell>
          <cell r="V454" t="str">
            <v>Done</v>
          </cell>
          <cell r="W454" t="str">
            <v>B2 2025</v>
          </cell>
          <cell r="X454" t="str">
            <v>2025 - Batch 1</v>
          </cell>
          <cell r="Y454">
            <v>24</v>
          </cell>
          <cell r="Z454">
            <v>26</v>
          </cell>
          <cell r="AA454" t="str">
            <v>H+L</v>
          </cell>
          <cell r="AB454">
            <v>70</v>
          </cell>
          <cell r="AC454">
            <v>50</v>
          </cell>
          <cell r="AD454" t="str">
            <v>Slant</v>
          </cell>
          <cell r="AE454" t="str">
            <v>Duplex</v>
          </cell>
          <cell r="AF454" t="str">
            <v>568 - Without Partition</v>
          </cell>
          <cell r="AG454" t="str">
            <v xml:space="preserve">Without Partition </v>
          </cell>
          <cell r="AH454" t="str">
            <v xml:space="preserve">Without Partition </v>
          </cell>
          <cell r="AI454" t="str">
            <v>YELLOW</v>
          </cell>
          <cell r="AJ454" t="str">
            <v>Slant / YELLOW</v>
          </cell>
          <cell r="AK454">
            <v>1050000</v>
          </cell>
          <cell r="AL454">
            <v>15000</v>
          </cell>
          <cell r="AM454">
            <v>1650000</v>
          </cell>
          <cell r="AN454">
            <v>33000</v>
          </cell>
          <cell r="AO454">
            <v>150000</v>
          </cell>
          <cell r="AP454">
            <v>2850000</v>
          </cell>
          <cell r="AQ454"/>
          <cell r="AR454">
            <v>2850000</v>
          </cell>
          <cell r="AS454">
            <v>200000</v>
          </cell>
          <cell r="AT454">
            <v>2650000</v>
          </cell>
          <cell r="AU454">
            <v>100000</v>
          </cell>
          <cell r="AV454">
            <v>2550000</v>
          </cell>
          <cell r="AW454">
            <v>0</v>
          </cell>
          <cell r="AX454">
            <v>2550000</v>
          </cell>
        </row>
        <row r="455">
          <cell r="G455" t="str">
            <v>AGM-01-024-027</v>
          </cell>
          <cell r="H455" t="str">
            <v xml:space="preserve">Raemulan Lands, Inc. </v>
          </cell>
          <cell r="I455" t="str">
            <v>Agapeya</v>
          </cell>
          <cell r="J455" t="str">
            <v>AGM</v>
          </cell>
          <cell r="K455" t="str">
            <v>Eco-High</v>
          </cell>
          <cell r="L455" t="str">
            <v>West</v>
          </cell>
          <cell r="M455" t="str">
            <v>With LTS - 2024</v>
          </cell>
          <cell r="N455" t="str">
            <v>YES</v>
          </cell>
          <cell r="O455" t="str">
            <v>YES</v>
          </cell>
          <cell r="P455" t="str">
            <v>Unaffected lots</v>
          </cell>
          <cell r="Q455" t="str">
            <v>YES</v>
          </cell>
          <cell r="R455">
            <v>70</v>
          </cell>
          <cell r="S455" t="str">
            <v>PCS-04-276764</v>
          </cell>
          <cell r="T455" t="str">
            <v>TCT-060-2024018723</v>
          </cell>
          <cell r="U455" t="b">
            <v>1</v>
          </cell>
          <cell r="V455" t="str">
            <v>Done</v>
          </cell>
          <cell r="W455" t="str">
            <v>B2 2025</v>
          </cell>
          <cell r="X455" t="str">
            <v>2025 - Batch 1</v>
          </cell>
          <cell r="Y455">
            <v>24</v>
          </cell>
          <cell r="Z455">
            <v>27</v>
          </cell>
          <cell r="AA455" t="str">
            <v>H+L</v>
          </cell>
          <cell r="AB455">
            <v>70</v>
          </cell>
          <cell r="AC455">
            <v>50</v>
          </cell>
          <cell r="AD455" t="str">
            <v>Slant</v>
          </cell>
          <cell r="AE455" t="str">
            <v>Duplex</v>
          </cell>
          <cell r="AF455" t="str">
            <v>568 - Without Partition</v>
          </cell>
          <cell r="AG455" t="str">
            <v xml:space="preserve">Without Partition </v>
          </cell>
          <cell r="AH455" t="str">
            <v xml:space="preserve">Without Partition </v>
          </cell>
          <cell r="AI455" t="str">
            <v>YELLOW</v>
          </cell>
          <cell r="AJ455" t="str">
            <v>Slant / YELLOW</v>
          </cell>
          <cell r="AK455">
            <v>1050000</v>
          </cell>
          <cell r="AL455">
            <v>15000</v>
          </cell>
          <cell r="AM455">
            <v>1650000</v>
          </cell>
          <cell r="AN455">
            <v>33000</v>
          </cell>
          <cell r="AO455">
            <v>150000</v>
          </cell>
          <cell r="AP455">
            <v>2850000</v>
          </cell>
          <cell r="AQ455"/>
          <cell r="AR455">
            <v>2850000</v>
          </cell>
          <cell r="AS455">
            <v>200000</v>
          </cell>
          <cell r="AT455">
            <v>2650000</v>
          </cell>
          <cell r="AU455">
            <v>100000</v>
          </cell>
          <cell r="AV455">
            <v>2550000</v>
          </cell>
          <cell r="AW455">
            <v>0</v>
          </cell>
          <cell r="AX455">
            <v>2550000</v>
          </cell>
        </row>
        <row r="456">
          <cell r="G456" t="str">
            <v>AGM-01-024-028</v>
          </cell>
          <cell r="H456" t="str">
            <v xml:space="preserve">Raemulan Lands, Inc. </v>
          </cell>
          <cell r="I456" t="str">
            <v>Agapeya</v>
          </cell>
          <cell r="J456" t="str">
            <v>AGM</v>
          </cell>
          <cell r="K456" t="str">
            <v>Eco-High</v>
          </cell>
          <cell r="L456" t="str">
            <v>West</v>
          </cell>
          <cell r="M456" t="str">
            <v>With LTS - 2024</v>
          </cell>
          <cell r="N456" t="str">
            <v>YES</v>
          </cell>
          <cell r="O456" t="str">
            <v>YES</v>
          </cell>
          <cell r="P456" t="str">
            <v>Unaffected lots</v>
          </cell>
          <cell r="Q456" t="str">
            <v>YES</v>
          </cell>
          <cell r="R456">
            <v>81</v>
          </cell>
          <cell r="S456" t="str">
            <v>PCS-04-276764</v>
          </cell>
          <cell r="T456" t="str">
            <v>TCT-060-2024018724</v>
          </cell>
          <cell r="U456" t="b">
            <v>1</v>
          </cell>
          <cell r="V456" t="str">
            <v>Done</v>
          </cell>
          <cell r="W456" t="str">
            <v>B2 2025</v>
          </cell>
          <cell r="X456" t="str">
            <v>2025 - Batch 1</v>
          </cell>
          <cell r="Y456">
            <v>24</v>
          </cell>
          <cell r="Z456">
            <v>28</v>
          </cell>
          <cell r="AA456" t="str">
            <v>H+L</v>
          </cell>
          <cell r="AB456">
            <v>81</v>
          </cell>
          <cell r="AC456">
            <v>50</v>
          </cell>
          <cell r="AD456" t="str">
            <v>Flat</v>
          </cell>
          <cell r="AE456" t="str">
            <v>Duplex</v>
          </cell>
          <cell r="AF456" t="str">
            <v>568 - Without Partition</v>
          </cell>
          <cell r="AG456" t="str">
            <v xml:space="preserve">Without Partition </v>
          </cell>
          <cell r="AH456" t="str">
            <v xml:space="preserve">Without Partition </v>
          </cell>
          <cell r="AI456" t="str">
            <v>YELLOW</v>
          </cell>
          <cell r="AJ456" t="str">
            <v>Flat / YELLOW</v>
          </cell>
          <cell r="AK456">
            <v>1215000</v>
          </cell>
          <cell r="AL456">
            <v>15000</v>
          </cell>
          <cell r="AM456">
            <v>1650000</v>
          </cell>
          <cell r="AN456">
            <v>33000</v>
          </cell>
          <cell r="AO456">
            <v>150000</v>
          </cell>
          <cell r="AP456">
            <v>3015000</v>
          </cell>
          <cell r="AQ456"/>
          <cell r="AR456">
            <v>3015000</v>
          </cell>
          <cell r="AS456">
            <v>200000</v>
          </cell>
          <cell r="AT456">
            <v>2815000</v>
          </cell>
          <cell r="AU456">
            <v>100000</v>
          </cell>
          <cell r="AV456">
            <v>2715000</v>
          </cell>
          <cell r="AW456">
            <v>0</v>
          </cell>
          <cell r="AX456">
            <v>2715000</v>
          </cell>
        </row>
        <row r="457">
          <cell r="G457" t="str">
            <v>AGM-01-024-029</v>
          </cell>
          <cell r="H457" t="str">
            <v xml:space="preserve">Raemulan Lands, Inc. </v>
          </cell>
          <cell r="I457" t="str">
            <v>Agapeya</v>
          </cell>
          <cell r="J457" t="str">
            <v>AGM</v>
          </cell>
          <cell r="K457" t="str">
            <v>Eco-High</v>
          </cell>
          <cell r="L457" t="str">
            <v>West</v>
          </cell>
          <cell r="M457" t="str">
            <v>With LTS - 2024</v>
          </cell>
          <cell r="N457" t="str">
            <v>YES</v>
          </cell>
          <cell r="O457" t="str">
            <v>YES</v>
          </cell>
          <cell r="P457" t="str">
            <v>Unaffected lots</v>
          </cell>
          <cell r="Q457" t="str">
            <v>YES</v>
          </cell>
          <cell r="R457">
            <v>81</v>
          </cell>
          <cell r="S457" t="str">
            <v>PCS-04-276764</v>
          </cell>
          <cell r="T457" t="str">
            <v>TCT-060-2024018725</v>
          </cell>
          <cell r="U457" t="b">
            <v>1</v>
          </cell>
          <cell r="V457" t="str">
            <v>Done</v>
          </cell>
          <cell r="W457" t="str">
            <v>B1 2025</v>
          </cell>
          <cell r="X457" t="str">
            <v>2025 - Batch 1</v>
          </cell>
          <cell r="Y457">
            <v>24</v>
          </cell>
          <cell r="Z457">
            <v>29</v>
          </cell>
          <cell r="AA457" t="str">
            <v>H+L</v>
          </cell>
          <cell r="AB457">
            <v>81</v>
          </cell>
          <cell r="AC457">
            <v>50</v>
          </cell>
          <cell r="AD457" t="str">
            <v>Slant</v>
          </cell>
          <cell r="AE457" t="str">
            <v>Duplex</v>
          </cell>
          <cell r="AF457" t="str">
            <v>568 - Without Partition</v>
          </cell>
          <cell r="AG457" t="str">
            <v xml:space="preserve">Without Partition </v>
          </cell>
          <cell r="AH457" t="str">
            <v xml:space="preserve">Without Partition </v>
          </cell>
          <cell r="AI457" t="str">
            <v>GREEN</v>
          </cell>
          <cell r="AJ457" t="str">
            <v>Slant / GREEN</v>
          </cell>
          <cell r="AK457">
            <v>1215000</v>
          </cell>
          <cell r="AL457">
            <v>15000</v>
          </cell>
          <cell r="AM457">
            <v>1650000</v>
          </cell>
          <cell r="AN457">
            <v>33000</v>
          </cell>
          <cell r="AO457">
            <v>150000</v>
          </cell>
          <cell r="AP457">
            <v>3015000</v>
          </cell>
          <cell r="AQ457"/>
          <cell r="AR457">
            <v>3015000</v>
          </cell>
          <cell r="AS457">
            <v>200000</v>
          </cell>
          <cell r="AT457">
            <v>2815000</v>
          </cell>
          <cell r="AU457">
            <v>100000</v>
          </cell>
          <cell r="AV457">
            <v>2715000</v>
          </cell>
          <cell r="AW457">
            <v>0</v>
          </cell>
          <cell r="AX457">
            <v>2715000</v>
          </cell>
        </row>
        <row r="458">
          <cell r="G458" t="str">
            <v>AGM-01-024-030</v>
          </cell>
          <cell r="H458" t="str">
            <v xml:space="preserve">Raemulan Lands, Inc. </v>
          </cell>
          <cell r="I458" t="str">
            <v>Agapeya</v>
          </cell>
          <cell r="J458" t="str">
            <v>AGM</v>
          </cell>
          <cell r="K458" t="str">
            <v>Eco-High</v>
          </cell>
          <cell r="L458" t="str">
            <v>West</v>
          </cell>
          <cell r="M458" t="str">
            <v>With LTS - 2024</v>
          </cell>
          <cell r="N458" t="str">
            <v>YES</v>
          </cell>
          <cell r="O458" t="str">
            <v>YES</v>
          </cell>
          <cell r="P458" t="str">
            <v>Unaffected lots</v>
          </cell>
          <cell r="Q458" t="str">
            <v>YES</v>
          </cell>
          <cell r="R458">
            <v>70</v>
          </cell>
          <cell r="S458" t="str">
            <v>PCS-04-276764</v>
          </cell>
          <cell r="T458" t="str">
            <v>TCT-060-2024018726</v>
          </cell>
          <cell r="U458" t="b">
            <v>1</v>
          </cell>
          <cell r="V458" t="str">
            <v>Done</v>
          </cell>
          <cell r="W458" t="str">
            <v>B1 2025</v>
          </cell>
          <cell r="X458" t="str">
            <v>2025 - Batch 1</v>
          </cell>
          <cell r="Y458">
            <v>24</v>
          </cell>
          <cell r="Z458">
            <v>30</v>
          </cell>
          <cell r="AA458" t="str">
            <v>H+L</v>
          </cell>
          <cell r="AB458">
            <v>70</v>
          </cell>
          <cell r="AC458">
            <v>50</v>
          </cell>
          <cell r="AD458" t="str">
            <v>Flat</v>
          </cell>
          <cell r="AE458" t="str">
            <v>Duplex</v>
          </cell>
          <cell r="AF458" t="str">
            <v>568 - Without Partition</v>
          </cell>
          <cell r="AG458" t="str">
            <v xml:space="preserve">Without Partition </v>
          </cell>
          <cell r="AH458" t="str">
            <v xml:space="preserve">Without Partition </v>
          </cell>
          <cell r="AI458" t="str">
            <v>GREEN</v>
          </cell>
          <cell r="AJ458" t="str">
            <v>Flat / GREEN</v>
          </cell>
          <cell r="AK458">
            <v>1050000</v>
          </cell>
          <cell r="AL458">
            <v>15000</v>
          </cell>
          <cell r="AM458">
            <v>1650000</v>
          </cell>
          <cell r="AN458">
            <v>33000</v>
          </cell>
          <cell r="AO458">
            <v>150000</v>
          </cell>
          <cell r="AP458">
            <v>2850000</v>
          </cell>
          <cell r="AQ458"/>
          <cell r="AR458">
            <v>2850000</v>
          </cell>
          <cell r="AS458">
            <v>200000</v>
          </cell>
          <cell r="AT458">
            <v>2650000</v>
          </cell>
          <cell r="AU458">
            <v>100000</v>
          </cell>
          <cell r="AV458">
            <v>2550000</v>
          </cell>
          <cell r="AW458">
            <v>0</v>
          </cell>
          <cell r="AX458">
            <v>2550000</v>
          </cell>
        </row>
        <row r="459">
          <cell r="G459" t="str">
            <v>AGM-01-024-031</v>
          </cell>
          <cell r="H459" t="str">
            <v xml:space="preserve">Raemulan Lands, Inc. </v>
          </cell>
          <cell r="I459" t="str">
            <v>Agapeya</v>
          </cell>
          <cell r="J459" t="str">
            <v>AGM</v>
          </cell>
          <cell r="K459" t="str">
            <v>Eco-High</v>
          </cell>
          <cell r="L459" t="str">
            <v>West</v>
          </cell>
          <cell r="M459" t="str">
            <v>With LTS - 2024</v>
          </cell>
          <cell r="N459" t="str">
            <v>YES</v>
          </cell>
          <cell r="O459" t="str">
            <v>YES</v>
          </cell>
          <cell r="P459" t="str">
            <v>Unaffected lots</v>
          </cell>
          <cell r="Q459" t="str">
            <v>YES</v>
          </cell>
          <cell r="R459">
            <v>70</v>
          </cell>
          <cell r="S459" t="str">
            <v>PCS-04-276764</v>
          </cell>
          <cell r="T459" t="str">
            <v>TCT-060-2024018727</v>
          </cell>
          <cell r="U459" t="b">
            <v>1</v>
          </cell>
          <cell r="V459" t="str">
            <v>Done</v>
          </cell>
          <cell r="W459" t="str">
            <v>B1 2025</v>
          </cell>
          <cell r="X459" t="str">
            <v>2025 - Batch 1</v>
          </cell>
          <cell r="Y459">
            <v>24</v>
          </cell>
          <cell r="Z459">
            <v>31</v>
          </cell>
          <cell r="AA459" t="str">
            <v>H+L</v>
          </cell>
          <cell r="AB459">
            <v>70</v>
          </cell>
          <cell r="AC459">
            <v>50</v>
          </cell>
          <cell r="AD459" t="str">
            <v>Flat</v>
          </cell>
          <cell r="AE459" t="str">
            <v>Duplex</v>
          </cell>
          <cell r="AF459" t="str">
            <v>568 - Without Partition</v>
          </cell>
          <cell r="AG459" t="str">
            <v xml:space="preserve">Without Partition </v>
          </cell>
          <cell r="AH459" t="str">
            <v xml:space="preserve">Without Partition </v>
          </cell>
          <cell r="AI459" t="str">
            <v>GREEN</v>
          </cell>
          <cell r="AJ459" t="str">
            <v>Flat / GREEN</v>
          </cell>
          <cell r="AK459">
            <v>1050000</v>
          </cell>
          <cell r="AL459">
            <v>15000</v>
          </cell>
          <cell r="AM459">
            <v>1650000</v>
          </cell>
          <cell r="AN459">
            <v>33000</v>
          </cell>
          <cell r="AO459">
            <v>150000</v>
          </cell>
          <cell r="AP459">
            <v>2850000</v>
          </cell>
          <cell r="AQ459"/>
          <cell r="AR459">
            <v>2850000</v>
          </cell>
          <cell r="AS459">
            <v>200000</v>
          </cell>
          <cell r="AT459">
            <v>2650000</v>
          </cell>
          <cell r="AU459">
            <v>100000</v>
          </cell>
          <cell r="AV459">
            <v>2550000</v>
          </cell>
          <cell r="AW459">
            <v>0</v>
          </cell>
          <cell r="AX459">
            <v>2550000</v>
          </cell>
        </row>
        <row r="460">
          <cell r="G460" t="str">
            <v>AGM-01-024-032</v>
          </cell>
          <cell r="H460" t="str">
            <v xml:space="preserve">Raemulan Lands, Inc. </v>
          </cell>
          <cell r="I460" t="str">
            <v>Agapeya</v>
          </cell>
          <cell r="J460" t="str">
            <v>AGM</v>
          </cell>
          <cell r="K460" t="str">
            <v>Eco-High</v>
          </cell>
          <cell r="L460" t="str">
            <v>West</v>
          </cell>
          <cell r="M460" t="str">
            <v>With LTS - 2024</v>
          </cell>
          <cell r="N460" t="str">
            <v>YES</v>
          </cell>
          <cell r="O460" t="str">
            <v>YES</v>
          </cell>
          <cell r="P460" t="str">
            <v>Unaffected lots</v>
          </cell>
          <cell r="Q460" t="str">
            <v>YES</v>
          </cell>
          <cell r="R460">
            <v>70</v>
          </cell>
          <cell r="S460" t="str">
            <v>PCS-04-276764</v>
          </cell>
          <cell r="T460" t="str">
            <v>TCT-060-2024018728</v>
          </cell>
          <cell r="U460" t="b">
            <v>1</v>
          </cell>
          <cell r="V460" t="str">
            <v>Done</v>
          </cell>
          <cell r="W460" t="str">
            <v>B1 2025</v>
          </cell>
          <cell r="X460" t="str">
            <v>2025 - Batch 1</v>
          </cell>
          <cell r="Y460">
            <v>24</v>
          </cell>
          <cell r="Z460">
            <v>32</v>
          </cell>
          <cell r="AA460" t="str">
            <v>H+L</v>
          </cell>
          <cell r="AB460">
            <v>70</v>
          </cell>
          <cell r="AC460">
            <v>50</v>
          </cell>
          <cell r="AD460" t="str">
            <v>Slant</v>
          </cell>
          <cell r="AE460" t="str">
            <v>Duplex</v>
          </cell>
          <cell r="AF460" t="str">
            <v>568 - Without Partition</v>
          </cell>
          <cell r="AG460" t="str">
            <v xml:space="preserve">Without Partition </v>
          </cell>
          <cell r="AH460" t="str">
            <v xml:space="preserve">Without Partition </v>
          </cell>
          <cell r="AI460" t="str">
            <v>GREEN</v>
          </cell>
          <cell r="AJ460" t="str">
            <v>Slant / GREEN</v>
          </cell>
          <cell r="AK460">
            <v>1050000</v>
          </cell>
          <cell r="AL460">
            <v>15000</v>
          </cell>
          <cell r="AM460">
            <v>1650000</v>
          </cell>
          <cell r="AN460">
            <v>33000</v>
          </cell>
          <cell r="AO460">
            <v>150000</v>
          </cell>
          <cell r="AP460">
            <v>2850000</v>
          </cell>
          <cell r="AQ460"/>
          <cell r="AR460">
            <v>2850000</v>
          </cell>
          <cell r="AS460">
            <v>200000</v>
          </cell>
          <cell r="AT460">
            <v>2650000</v>
          </cell>
          <cell r="AU460">
            <v>100000</v>
          </cell>
          <cell r="AV460">
            <v>2550000</v>
          </cell>
          <cell r="AW460">
            <v>0</v>
          </cell>
          <cell r="AX460">
            <v>2550000</v>
          </cell>
        </row>
        <row r="461">
          <cell r="G461" t="str">
            <v>AGM-01-024-033</v>
          </cell>
          <cell r="H461" t="str">
            <v xml:space="preserve">Raemulan Lands, Inc. </v>
          </cell>
          <cell r="I461" t="str">
            <v>Agapeya</v>
          </cell>
          <cell r="J461" t="str">
            <v>AGM</v>
          </cell>
          <cell r="K461" t="str">
            <v>Eco-High</v>
          </cell>
          <cell r="L461" t="str">
            <v>West</v>
          </cell>
          <cell r="M461" t="str">
            <v>With LTS - 2024</v>
          </cell>
          <cell r="N461" t="str">
            <v>YES</v>
          </cell>
          <cell r="O461" t="str">
            <v>YES</v>
          </cell>
          <cell r="P461" t="str">
            <v>Unaffected lots</v>
          </cell>
          <cell r="Q461" t="str">
            <v>YES</v>
          </cell>
          <cell r="R461">
            <v>70</v>
          </cell>
          <cell r="S461" t="str">
            <v>PCS-04-276764</v>
          </cell>
          <cell r="T461" t="str">
            <v>TCT-060-2024018729</v>
          </cell>
          <cell r="U461" t="b">
            <v>1</v>
          </cell>
          <cell r="V461" t="str">
            <v>Done</v>
          </cell>
          <cell r="W461" t="str">
            <v>B1 2025</v>
          </cell>
          <cell r="X461" t="str">
            <v>2025 - Batch 1</v>
          </cell>
          <cell r="Y461">
            <v>24</v>
          </cell>
          <cell r="Z461">
            <v>33</v>
          </cell>
          <cell r="AA461" t="str">
            <v>H+L</v>
          </cell>
          <cell r="AB461">
            <v>70</v>
          </cell>
          <cell r="AC461">
            <v>50</v>
          </cell>
          <cell r="AD461" t="str">
            <v>Slant</v>
          </cell>
          <cell r="AE461" t="str">
            <v>Duplex</v>
          </cell>
          <cell r="AF461" t="str">
            <v>568 - Without Partition</v>
          </cell>
          <cell r="AG461" t="str">
            <v xml:space="preserve">Without Partition </v>
          </cell>
          <cell r="AH461" t="str">
            <v xml:space="preserve">Without Partition </v>
          </cell>
          <cell r="AI461" t="str">
            <v>YELLOW</v>
          </cell>
          <cell r="AJ461" t="str">
            <v>Slant / YELLOW</v>
          </cell>
          <cell r="AK461">
            <v>1050000</v>
          </cell>
          <cell r="AL461">
            <v>15000</v>
          </cell>
          <cell r="AM461">
            <v>1650000</v>
          </cell>
          <cell r="AN461">
            <v>33000</v>
          </cell>
          <cell r="AO461">
            <v>150000</v>
          </cell>
          <cell r="AP461">
            <v>2850000</v>
          </cell>
          <cell r="AQ461"/>
          <cell r="AR461">
            <v>2850000</v>
          </cell>
          <cell r="AS461">
            <v>200000</v>
          </cell>
          <cell r="AT461">
            <v>2650000</v>
          </cell>
          <cell r="AU461">
            <v>100000</v>
          </cell>
          <cell r="AV461">
            <v>2550000</v>
          </cell>
          <cell r="AW461">
            <v>0</v>
          </cell>
          <cell r="AX461">
            <v>2550000</v>
          </cell>
        </row>
        <row r="462">
          <cell r="G462" t="str">
            <v>AGM-01-024-034</v>
          </cell>
          <cell r="H462" t="str">
            <v xml:space="preserve">Raemulan Lands, Inc. </v>
          </cell>
          <cell r="I462" t="str">
            <v>Agapeya</v>
          </cell>
          <cell r="J462" t="str">
            <v>AGM</v>
          </cell>
          <cell r="K462" t="str">
            <v>Eco-High</v>
          </cell>
          <cell r="L462" t="str">
            <v>West</v>
          </cell>
          <cell r="M462" t="str">
            <v>With LTS - 2024</v>
          </cell>
          <cell r="N462" t="str">
            <v>YES</v>
          </cell>
          <cell r="O462" t="str">
            <v>YES</v>
          </cell>
          <cell r="P462" t="str">
            <v>Unaffected lots</v>
          </cell>
          <cell r="Q462" t="str">
            <v>YES</v>
          </cell>
          <cell r="R462">
            <v>70</v>
          </cell>
          <cell r="S462" t="str">
            <v>PCS-04-276764</v>
          </cell>
          <cell r="T462" t="str">
            <v>TCT-060-2024018730</v>
          </cell>
          <cell r="U462" t="b">
            <v>1</v>
          </cell>
          <cell r="V462" t="str">
            <v>Done</v>
          </cell>
          <cell r="W462" t="str">
            <v>B1 2025</v>
          </cell>
          <cell r="X462" t="str">
            <v>2025 - Batch 1</v>
          </cell>
          <cell r="Y462">
            <v>24</v>
          </cell>
          <cell r="Z462">
            <v>34</v>
          </cell>
          <cell r="AA462" t="str">
            <v>H+L</v>
          </cell>
          <cell r="AB462">
            <v>70</v>
          </cell>
          <cell r="AC462">
            <v>50</v>
          </cell>
          <cell r="AD462" t="str">
            <v>Flat</v>
          </cell>
          <cell r="AE462" t="str">
            <v>Duplex</v>
          </cell>
          <cell r="AF462" t="str">
            <v>568 - Without Partition</v>
          </cell>
          <cell r="AG462" t="str">
            <v xml:space="preserve">Without Partition </v>
          </cell>
          <cell r="AH462" t="str">
            <v xml:space="preserve">Without Partition </v>
          </cell>
          <cell r="AI462" t="str">
            <v>YELLOW</v>
          </cell>
          <cell r="AJ462" t="str">
            <v>Flat / YELLOW</v>
          </cell>
          <cell r="AK462">
            <v>1050000</v>
          </cell>
          <cell r="AL462">
            <v>15000</v>
          </cell>
          <cell r="AM462">
            <v>1650000</v>
          </cell>
          <cell r="AN462">
            <v>33000</v>
          </cell>
          <cell r="AO462">
            <v>150000</v>
          </cell>
          <cell r="AP462">
            <v>2850000</v>
          </cell>
          <cell r="AQ462"/>
          <cell r="AR462">
            <v>2850000</v>
          </cell>
          <cell r="AS462">
            <v>200000</v>
          </cell>
          <cell r="AT462">
            <v>2650000</v>
          </cell>
          <cell r="AU462">
            <v>100000</v>
          </cell>
          <cell r="AV462">
            <v>2550000</v>
          </cell>
          <cell r="AW462">
            <v>0</v>
          </cell>
          <cell r="AX462">
            <v>2550000</v>
          </cell>
        </row>
        <row r="463">
          <cell r="G463" t="str">
            <v>AGM-01-024-035</v>
          </cell>
          <cell r="H463" t="str">
            <v xml:space="preserve">Raemulan Lands, Inc. </v>
          </cell>
          <cell r="I463" t="str">
            <v>Agapeya</v>
          </cell>
          <cell r="J463" t="str">
            <v>AGM</v>
          </cell>
          <cell r="K463" t="str">
            <v>Eco-High</v>
          </cell>
          <cell r="L463" t="str">
            <v>West</v>
          </cell>
          <cell r="M463" t="str">
            <v>With LTS - 2024</v>
          </cell>
          <cell r="N463" t="str">
            <v>YES</v>
          </cell>
          <cell r="O463" t="str">
            <v>YES</v>
          </cell>
          <cell r="P463" t="str">
            <v>Unaffected lots</v>
          </cell>
          <cell r="Q463" t="str">
            <v>YES</v>
          </cell>
          <cell r="R463">
            <v>70</v>
          </cell>
          <cell r="S463" t="str">
            <v>PCS-04-276764</v>
          </cell>
          <cell r="T463" t="str">
            <v>TCT-060-2024018731</v>
          </cell>
          <cell r="U463" t="b">
            <v>1</v>
          </cell>
          <cell r="V463" t="str">
            <v>Done</v>
          </cell>
          <cell r="W463" t="str">
            <v>B1 2025</v>
          </cell>
          <cell r="X463" t="str">
            <v>2025 - Batch 2</v>
          </cell>
          <cell r="Y463">
            <v>24</v>
          </cell>
          <cell r="Z463">
            <v>35</v>
          </cell>
          <cell r="AA463" t="str">
            <v>H+L</v>
          </cell>
          <cell r="AB463">
            <v>70</v>
          </cell>
          <cell r="AC463">
            <v>50</v>
          </cell>
          <cell r="AD463" t="str">
            <v>Flat</v>
          </cell>
          <cell r="AE463" t="str">
            <v>Duplex</v>
          </cell>
          <cell r="AF463" t="str">
            <v>568 - Without Partition</v>
          </cell>
          <cell r="AG463" t="str">
            <v xml:space="preserve">Without Partition </v>
          </cell>
          <cell r="AH463" t="str">
            <v xml:space="preserve">Without Partition </v>
          </cell>
          <cell r="AI463" t="str">
            <v>YELLOW</v>
          </cell>
          <cell r="AJ463" t="str">
            <v>Flat / YELLOW</v>
          </cell>
          <cell r="AK463">
            <v>1050000</v>
          </cell>
          <cell r="AL463">
            <v>15000</v>
          </cell>
          <cell r="AM463">
            <v>1650000</v>
          </cell>
          <cell r="AN463">
            <v>33000</v>
          </cell>
          <cell r="AO463">
            <v>150000</v>
          </cell>
          <cell r="AP463">
            <v>2850000</v>
          </cell>
          <cell r="AQ463"/>
          <cell r="AR463">
            <v>2850000</v>
          </cell>
          <cell r="AS463">
            <v>200000</v>
          </cell>
          <cell r="AT463">
            <v>2650000</v>
          </cell>
          <cell r="AU463">
            <v>100000</v>
          </cell>
          <cell r="AV463">
            <v>2550000</v>
          </cell>
          <cell r="AW463">
            <v>0</v>
          </cell>
          <cell r="AX463">
            <v>2550000</v>
          </cell>
        </row>
        <row r="464">
          <cell r="G464" t="str">
            <v>AGM-01-024-036</v>
          </cell>
          <cell r="H464" t="str">
            <v xml:space="preserve">Raemulan Lands, Inc. </v>
          </cell>
          <cell r="I464" t="str">
            <v>Agapeya</v>
          </cell>
          <cell r="J464" t="str">
            <v>AGM</v>
          </cell>
          <cell r="K464" t="str">
            <v>Eco-High</v>
          </cell>
          <cell r="L464" t="str">
            <v>West</v>
          </cell>
          <cell r="M464" t="str">
            <v>With LTS - 2024</v>
          </cell>
          <cell r="N464" t="str">
            <v>YES</v>
          </cell>
          <cell r="O464" t="str">
            <v>YES</v>
          </cell>
          <cell r="P464" t="str">
            <v>Unaffected lots</v>
          </cell>
          <cell r="Q464" t="str">
            <v>YES</v>
          </cell>
          <cell r="R464">
            <v>70</v>
          </cell>
          <cell r="S464" t="str">
            <v>PCS-04-276764</v>
          </cell>
          <cell r="T464" t="str">
            <v>TCT-060-2024018732</v>
          </cell>
          <cell r="U464" t="b">
            <v>1</v>
          </cell>
          <cell r="V464" t="str">
            <v>Done</v>
          </cell>
          <cell r="W464" t="str">
            <v>B1 2025</v>
          </cell>
          <cell r="X464" t="str">
            <v>2025 - Batch 2</v>
          </cell>
          <cell r="Y464">
            <v>24</v>
          </cell>
          <cell r="Z464">
            <v>36</v>
          </cell>
          <cell r="AA464" t="str">
            <v>H+L</v>
          </cell>
          <cell r="AB464">
            <v>70</v>
          </cell>
          <cell r="AC464">
            <v>50</v>
          </cell>
          <cell r="AD464" t="str">
            <v>Slant</v>
          </cell>
          <cell r="AE464" t="str">
            <v>Duplex</v>
          </cell>
          <cell r="AF464" t="str">
            <v>568 - Without Partition</v>
          </cell>
          <cell r="AG464" t="str">
            <v xml:space="preserve">Without Partition </v>
          </cell>
          <cell r="AH464" t="str">
            <v xml:space="preserve">Without Partition </v>
          </cell>
          <cell r="AI464" t="str">
            <v>YELLOW</v>
          </cell>
          <cell r="AJ464" t="str">
            <v>Slant / YELLOW</v>
          </cell>
          <cell r="AK464">
            <v>1050000</v>
          </cell>
          <cell r="AL464">
            <v>15000</v>
          </cell>
          <cell r="AM464">
            <v>1650000</v>
          </cell>
          <cell r="AN464">
            <v>33000</v>
          </cell>
          <cell r="AO464">
            <v>150000</v>
          </cell>
          <cell r="AP464">
            <v>2850000</v>
          </cell>
          <cell r="AQ464"/>
          <cell r="AR464">
            <v>2850000</v>
          </cell>
          <cell r="AS464">
            <v>200000</v>
          </cell>
          <cell r="AT464">
            <v>2650000</v>
          </cell>
          <cell r="AU464">
            <v>100000</v>
          </cell>
          <cell r="AV464">
            <v>2550000</v>
          </cell>
          <cell r="AW464">
            <v>0</v>
          </cell>
          <cell r="AX464">
            <v>2550000</v>
          </cell>
        </row>
        <row r="465">
          <cell r="G465" t="str">
            <v>AGM-01-024-037</v>
          </cell>
          <cell r="H465" t="str">
            <v xml:space="preserve">Raemulan Lands, Inc. </v>
          </cell>
          <cell r="I465" t="str">
            <v>Agapeya</v>
          </cell>
          <cell r="J465" t="str">
            <v>AGM</v>
          </cell>
          <cell r="K465" t="str">
            <v>Eco-High</v>
          </cell>
          <cell r="L465" t="str">
            <v>West</v>
          </cell>
          <cell r="M465" t="str">
            <v>With LTS - 2024</v>
          </cell>
          <cell r="N465" t="str">
            <v>YES</v>
          </cell>
          <cell r="O465" t="str">
            <v>YES</v>
          </cell>
          <cell r="P465" t="str">
            <v>Unaffected lots</v>
          </cell>
          <cell r="Q465" t="str">
            <v>YES</v>
          </cell>
          <cell r="R465">
            <v>70</v>
          </cell>
          <cell r="S465" t="str">
            <v>PCS-04-276764</v>
          </cell>
          <cell r="T465" t="str">
            <v>TCT-060-2024018733</v>
          </cell>
          <cell r="U465" t="b">
            <v>1</v>
          </cell>
          <cell r="V465" t="str">
            <v>Done</v>
          </cell>
          <cell r="W465" t="str">
            <v>B1 2025</v>
          </cell>
          <cell r="X465" t="str">
            <v>2025 - Batch 2</v>
          </cell>
          <cell r="Y465">
            <v>24</v>
          </cell>
          <cell r="Z465">
            <v>37</v>
          </cell>
          <cell r="AA465" t="str">
            <v>H+L</v>
          </cell>
          <cell r="AB465">
            <v>70</v>
          </cell>
          <cell r="AC465">
            <v>50</v>
          </cell>
          <cell r="AD465" t="str">
            <v>Slant</v>
          </cell>
          <cell r="AE465" t="str">
            <v>Duplex</v>
          </cell>
          <cell r="AF465" t="str">
            <v>568 - Without Partition</v>
          </cell>
          <cell r="AG465" t="str">
            <v xml:space="preserve">Without Partition </v>
          </cell>
          <cell r="AH465" t="str">
            <v xml:space="preserve">Without Partition </v>
          </cell>
          <cell r="AI465" t="str">
            <v>PINK</v>
          </cell>
          <cell r="AJ465" t="str">
            <v>Slant / PINK</v>
          </cell>
          <cell r="AK465">
            <v>1050000</v>
          </cell>
          <cell r="AL465">
            <v>15000</v>
          </cell>
          <cell r="AM465">
            <v>1650000</v>
          </cell>
          <cell r="AN465">
            <v>33000</v>
          </cell>
          <cell r="AO465">
            <v>150000</v>
          </cell>
          <cell r="AP465">
            <v>2850000</v>
          </cell>
          <cell r="AQ465"/>
          <cell r="AR465">
            <v>2850000</v>
          </cell>
          <cell r="AS465">
            <v>200000</v>
          </cell>
          <cell r="AT465">
            <v>2650000</v>
          </cell>
          <cell r="AU465">
            <v>100000</v>
          </cell>
          <cell r="AV465">
            <v>2550000</v>
          </cell>
          <cell r="AW465">
            <v>0</v>
          </cell>
          <cell r="AX465">
            <v>2550000</v>
          </cell>
        </row>
        <row r="466">
          <cell r="G466" t="str">
            <v>AGM-01-024-038</v>
          </cell>
          <cell r="H466" t="str">
            <v xml:space="preserve">Raemulan Lands, Inc. </v>
          </cell>
          <cell r="I466" t="str">
            <v>Agapeya</v>
          </cell>
          <cell r="J466" t="str">
            <v>AGM</v>
          </cell>
          <cell r="K466" t="str">
            <v>Eco-High</v>
          </cell>
          <cell r="L466" t="str">
            <v>West</v>
          </cell>
          <cell r="M466" t="str">
            <v>With LTS - 2024</v>
          </cell>
          <cell r="N466" t="str">
            <v>YES</v>
          </cell>
          <cell r="O466" t="str">
            <v>YES</v>
          </cell>
          <cell r="P466" t="str">
            <v>Unaffected lots</v>
          </cell>
          <cell r="Q466" t="str">
            <v>YES</v>
          </cell>
          <cell r="R466">
            <v>70</v>
          </cell>
          <cell r="S466" t="str">
            <v>PCS-04-276764</v>
          </cell>
          <cell r="T466" t="str">
            <v>TCT-060-2024018734</v>
          </cell>
          <cell r="U466" t="b">
            <v>1</v>
          </cell>
          <cell r="V466" t="str">
            <v>Done</v>
          </cell>
          <cell r="W466" t="str">
            <v>B1 2025</v>
          </cell>
          <cell r="X466" t="str">
            <v>2025 - Batch 2</v>
          </cell>
          <cell r="Y466">
            <v>24</v>
          </cell>
          <cell r="Z466">
            <v>38</v>
          </cell>
          <cell r="AA466" t="str">
            <v>H+L</v>
          </cell>
          <cell r="AB466">
            <v>70</v>
          </cell>
          <cell r="AC466">
            <v>50</v>
          </cell>
          <cell r="AD466" t="str">
            <v>Flat</v>
          </cell>
          <cell r="AE466" t="str">
            <v>Duplex</v>
          </cell>
          <cell r="AF466" t="str">
            <v>568 - Without Partition</v>
          </cell>
          <cell r="AG466" t="str">
            <v xml:space="preserve">Without Partition </v>
          </cell>
          <cell r="AH466" t="str">
            <v xml:space="preserve">Without Partition </v>
          </cell>
          <cell r="AI466" t="str">
            <v>PINK</v>
          </cell>
          <cell r="AJ466" t="str">
            <v>Flat / PINK</v>
          </cell>
          <cell r="AK466">
            <v>1050000</v>
          </cell>
          <cell r="AL466">
            <v>15000</v>
          </cell>
          <cell r="AM466">
            <v>1650000</v>
          </cell>
          <cell r="AN466">
            <v>33000</v>
          </cell>
          <cell r="AO466">
            <v>150000</v>
          </cell>
          <cell r="AP466">
            <v>2850000</v>
          </cell>
          <cell r="AQ466"/>
          <cell r="AR466">
            <v>2850000</v>
          </cell>
          <cell r="AS466">
            <v>200000</v>
          </cell>
          <cell r="AT466">
            <v>2650000</v>
          </cell>
          <cell r="AU466">
            <v>100000</v>
          </cell>
          <cell r="AV466">
            <v>2550000</v>
          </cell>
          <cell r="AW466">
            <v>0</v>
          </cell>
          <cell r="AX466">
            <v>2550000</v>
          </cell>
        </row>
        <row r="467">
          <cell r="G467" t="str">
            <v>AGM-01-024-039</v>
          </cell>
          <cell r="H467" t="str">
            <v xml:space="preserve">Raemulan Lands, Inc. </v>
          </cell>
          <cell r="I467" t="str">
            <v>Agapeya</v>
          </cell>
          <cell r="J467" t="str">
            <v>AGM</v>
          </cell>
          <cell r="K467" t="str">
            <v>Eco-High</v>
          </cell>
          <cell r="L467" t="str">
            <v>West</v>
          </cell>
          <cell r="M467" t="str">
            <v>Without LTS</v>
          </cell>
          <cell r="N467"/>
          <cell r="O467"/>
          <cell r="P467" t="str">
            <v>Unaffected lots</v>
          </cell>
          <cell r="Q467" t="str">
            <v>NO</v>
          </cell>
          <cell r="R467">
            <v>70</v>
          </cell>
          <cell r="S467" t="str">
            <v>PCS-04-036365</v>
          </cell>
          <cell r="T467" t="str">
            <v>TCT-060-2026007163</v>
          </cell>
          <cell r="U467" t="b">
            <v>1</v>
          </cell>
          <cell r="V467" t="str">
            <v>Done</v>
          </cell>
          <cell r="W467" t="str">
            <v>B1 2025</v>
          </cell>
          <cell r="X467" t="str">
            <v>2025 - Batch 2</v>
          </cell>
          <cell r="Y467">
            <v>24</v>
          </cell>
          <cell r="Z467">
            <v>39</v>
          </cell>
          <cell r="AA467" t="str">
            <v>H+L</v>
          </cell>
          <cell r="AB467">
            <v>70</v>
          </cell>
          <cell r="AC467">
            <v>50</v>
          </cell>
          <cell r="AD467" t="str">
            <v>Flat</v>
          </cell>
          <cell r="AE467" t="str">
            <v>Duplex</v>
          </cell>
          <cell r="AF467" t="str">
            <v>568 - Without Partition</v>
          </cell>
          <cell r="AG467" t="str">
            <v xml:space="preserve">Without Partition </v>
          </cell>
          <cell r="AH467" t="str">
            <v xml:space="preserve">Without Partition </v>
          </cell>
          <cell r="AI467" t="str">
            <v>PINK</v>
          </cell>
          <cell r="AJ467" t="str">
            <v>Flat / PINK</v>
          </cell>
          <cell r="AK467">
            <v>1050000</v>
          </cell>
          <cell r="AL467">
            <v>15000</v>
          </cell>
          <cell r="AM467">
            <v>1650000</v>
          </cell>
          <cell r="AN467">
            <v>33000</v>
          </cell>
          <cell r="AO467">
            <v>150000</v>
          </cell>
          <cell r="AP467">
            <v>2850000</v>
          </cell>
          <cell r="AQ467"/>
          <cell r="AR467">
            <v>2850000</v>
          </cell>
          <cell r="AS467">
            <v>200000</v>
          </cell>
          <cell r="AT467">
            <v>2650000</v>
          </cell>
          <cell r="AU467">
            <v>100000</v>
          </cell>
          <cell r="AV467">
            <v>2550000</v>
          </cell>
          <cell r="AW467">
            <v>0</v>
          </cell>
          <cell r="AX467">
            <v>2550000</v>
          </cell>
        </row>
        <row r="468">
          <cell r="G468" t="str">
            <v>AGM-01-024-040</v>
          </cell>
          <cell r="H468" t="str">
            <v xml:space="preserve">Raemulan Lands, Inc. </v>
          </cell>
          <cell r="I468" t="str">
            <v>Agapeya</v>
          </cell>
          <cell r="J468" t="str">
            <v>AGM</v>
          </cell>
          <cell r="K468" t="str">
            <v>Eco-High</v>
          </cell>
          <cell r="L468" t="str">
            <v>West</v>
          </cell>
          <cell r="M468" t="str">
            <v>Without LTS</v>
          </cell>
          <cell r="N468"/>
          <cell r="O468"/>
          <cell r="P468" t="str">
            <v>Unaffected lots</v>
          </cell>
          <cell r="Q468" t="str">
            <v>NO</v>
          </cell>
          <cell r="R468">
            <v>70</v>
          </cell>
          <cell r="S468" t="str">
            <v>PCS-04-036365</v>
          </cell>
          <cell r="T468" t="str">
            <v>TCT-060-2026007164</v>
          </cell>
          <cell r="U468" t="b">
            <v>1</v>
          </cell>
          <cell r="V468" t="str">
            <v>Done</v>
          </cell>
          <cell r="W468" t="str">
            <v>B1 2025</v>
          </cell>
          <cell r="X468" t="str">
            <v>2025 - Batch 2</v>
          </cell>
          <cell r="Y468">
            <v>24</v>
          </cell>
          <cell r="Z468">
            <v>40</v>
          </cell>
          <cell r="AA468" t="str">
            <v>H+L</v>
          </cell>
          <cell r="AB468">
            <v>70</v>
          </cell>
          <cell r="AC468">
            <v>50</v>
          </cell>
          <cell r="AD468" t="str">
            <v>Slant</v>
          </cell>
          <cell r="AE468" t="str">
            <v>Duplex</v>
          </cell>
          <cell r="AF468" t="str">
            <v>568 - Without Partition</v>
          </cell>
          <cell r="AG468" t="str">
            <v xml:space="preserve">Without Partition </v>
          </cell>
          <cell r="AH468" t="str">
            <v xml:space="preserve">Without Partition </v>
          </cell>
          <cell r="AI468" t="str">
            <v>PINK</v>
          </cell>
          <cell r="AJ468" t="str">
            <v>Slant / PINK</v>
          </cell>
          <cell r="AK468">
            <v>1050000</v>
          </cell>
          <cell r="AL468">
            <v>15000</v>
          </cell>
          <cell r="AM468">
            <v>1650000</v>
          </cell>
          <cell r="AN468">
            <v>33000</v>
          </cell>
          <cell r="AO468">
            <v>150000</v>
          </cell>
          <cell r="AP468">
            <v>2850000</v>
          </cell>
          <cell r="AQ468"/>
          <cell r="AR468">
            <v>2850000</v>
          </cell>
          <cell r="AS468">
            <v>200000</v>
          </cell>
          <cell r="AT468">
            <v>2650000</v>
          </cell>
          <cell r="AU468">
            <v>100000</v>
          </cell>
          <cell r="AV468">
            <v>2550000</v>
          </cell>
          <cell r="AW468">
            <v>0</v>
          </cell>
          <cell r="AX468">
            <v>2550000</v>
          </cell>
        </row>
        <row r="469">
          <cell r="G469" t="str">
            <v>AGM-01-024-041</v>
          </cell>
          <cell r="H469" t="str">
            <v xml:space="preserve">Raemulan Lands, Inc. </v>
          </cell>
          <cell r="I469" t="str">
            <v>Agapeya</v>
          </cell>
          <cell r="J469" t="str">
            <v>AGM</v>
          </cell>
          <cell r="K469" t="str">
            <v>Eco-High</v>
          </cell>
          <cell r="L469" t="str">
            <v>West</v>
          </cell>
          <cell r="M469" t="str">
            <v>With LTS - 2026</v>
          </cell>
          <cell r="N469" t="str">
            <v>YES</v>
          </cell>
          <cell r="O469" t="str">
            <v>NO</v>
          </cell>
          <cell r="P469" t="str">
            <v>Unaffected lots</v>
          </cell>
          <cell r="Q469" t="str">
            <v>NO</v>
          </cell>
          <cell r="R469">
            <v>70</v>
          </cell>
          <cell r="S469" t="str">
            <v>PSD-04-277865</v>
          </cell>
          <cell r="T469" t="str">
            <v>TCT-060-2025019556</v>
          </cell>
          <cell r="U469" t="b">
            <v>1</v>
          </cell>
          <cell r="V469" t="str">
            <v>Done</v>
          </cell>
          <cell r="W469" t="str">
            <v>B1 2025</v>
          </cell>
          <cell r="X469" t="str">
            <v>2025 - Batch 2</v>
          </cell>
          <cell r="Y469">
            <v>24</v>
          </cell>
          <cell r="Z469">
            <v>41</v>
          </cell>
          <cell r="AA469" t="str">
            <v>H+L</v>
          </cell>
          <cell r="AB469">
            <v>70</v>
          </cell>
          <cell r="AC469">
            <v>50</v>
          </cell>
          <cell r="AD469" t="str">
            <v>Slant</v>
          </cell>
          <cell r="AE469" t="str">
            <v>Duplex</v>
          </cell>
          <cell r="AF469" t="str">
            <v>568 - Without Partition</v>
          </cell>
          <cell r="AG469" t="str">
            <v xml:space="preserve">Without Partition </v>
          </cell>
          <cell r="AH469" t="str">
            <v xml:space="preserve">Without Partition </v>
          </cell>
          <cell r="AI469" t="str">
            <v>PURPLE</v>
          </cell>
          <cell r="AJ469" t="str">
            <v>Slant / PURPLE</v>
          </cell>
          <cell r="AK469">
            <v>1050000</v>
          </cell>
          <cell r="AL469">
            <v>15000</v>
          </cell>
          <cell r="AM469">
            <v>1650000</v>
          </cell>
          <cell r="AN469">
            <v>33000</v>
          </cell>
          <cell r="AO469">
            <v>150000</v>
          </cell>
          <cell r="AP469">
            <v>2850000</v>
          </cell>
          <cell r="AQ469"/>
          <cell r="AR469">
            <v>2850000</v>
          </cell>
          <cell r="AS469">
            <v>200000</v>
          </cell>
          <cell r="AT469">
            <v>2650000</v>
          </cell>
          <cell r="AU469">
            <v>100000</v>
          </cell>
          <cell r="AV469">
            <v>2550000</v>
          </cell>
          <cell r="AW469">
            <v>0</v>
          </cell>
          <cell r="AX469">
            <v>2550000</v>
          </cell>
        </row>
        <row r="470">
          <cell r="G470" t="str">
            <v>AGM-01-024-042</v>
          </cell>
          <cell r="H470" t="str">
            <v xml:space="preserve">Raemulan Lands, Inc. </v>
          </cell>
          <cell r="I470" t="str">
            <v>Agapeya</v>
          </cell>
          <cell r="J470" t="str">
            <v>AGM</v>
          </cell>
          <cell r="K470" t="str">
            <v>Eco-High</v>
          </cell>
          <cell r="L470" t="str">
            <v>West</v>
          </cell>
          <cell r="M470" t="str">
            <v>With LTS - 2026</v>
          </cell>
          <cell r="N470" t="str">
            <v>YES</v>
          </cell>
          <cell r="O470" t="str">
            <v>NO</v>
          </cell>
          <cell r="P470" t="str">
            <v>Unaffected lots</v>
          </cell>
          <cell r="Q470" t="str">
            <v>NO</v>
          </cell>
          <cell r="R470">
            <v>70</v>
          </cell>
          <cell r="S470" t="str">
            <v>PSD-04-277865</v>
          </cell>
          <cell r="T470" t="str">
            <v>TCT-060-2025019557</v>
          </cell>
          <cell r="U470" t="b">
            <v>1</v>
          </cell>
          <cell r="V470" t="str">
            <v>Done</v>
          </cell>
          <cell r="W470" t="str">
            <v>B1 2025</v>
          </cell>
          <cell r="X470" t="str">
            <v>2025 - Batch 2</v>
          </cell>
          <cell r="Y470">
            <v>24</v>
          </cell>
          <cell r="Z470">
            <v>42</v>
          </cell>
          <cell r="AA470" t="str">
            <v>H+L</v>
          </cell>
          <cell r="AB470">
            <v>70</v>
          </cell>
          <cell r="AC470">
            <v>50</v>
          </cell>
          <cell r="AD470" t="str">
            <v>Flat</v>
          </cell>
          <cell r="AE470" t="str">
            <v>Duplex</v>
          </cell>
          <cell r="AF470" t="str">
            <v>568 - Without Partition</v>
          </cell>
          <cell r="AG470" t="str">
            <v xml:space="preserve">Without Partition </v>
          </cell>
          <cell r="AH470" t="str">
            <v xml:space="preserve">Without Partition </v>
          </cell>
          <cell r="AI470" t="str">
            <v>PURPLE</v>
          </cell>
          <cell r="AJ470" t="str">
            <v>Flat / PURPLE</v>
          </cell>
          <cell r="AK470">
            <v>1050000</v>
          </cell>
          <cell r="AL470">
            <v>15000</v>
          </cell>
          <cell r="AM470">
            <v>1650000</v>
          </cell>
          <cell r="AN470">
            <v>33000</v>
          </cell>
          <cell r="AO470">
            <v>150000</v>
          </cell>
          <cell r="AP470">
            <v>2850000</v>
          </cell>
          <cell r="AQ470"/>
          <cell r="AR470">
            <v>2850000</v>
          </cell>
          <cell r="AS470">
            <v>200000</v>
          </cell>
          <cell r="AT470">
            <v>2650000</v>
          </cell>
          <cell r="AU470">
            <v>100000</v>
          </cell>
          <cell r="AV470">
            <v>2550000</v>
          </cell>
          <cell r="AW470">
            <v>0</v>
          </cell>
          <cell r="AX470">
            <v>2550000</v>
          </cell>
        </row>
        <row r="471">
          <cell r="G471" t="str">
            <v>AGM-01-024-043</v>
          </cell>
          <cell r="H471" t="str">
            <v xml:space="preserve">Raemulan Lands, Inc. </v>
          </cell>
          <cell r="I471" t="str">
            <v>Agapeya</v>
          </cell>
          <cell r="J471" t="str">
            <v>AGM</v>
          </cell>
          <cell r="K471" t="str">
            <v>Eco-High</v>
          </cell>
          <cell r="L471" t="str">
            <v>West</v>
          </cell>
          <cell r="M471" t="str">
            <v>With LTS - 2026</v>
          </cell>
          <cell r="N471" t="str">
            <v>YES</v>
          </cell>
          <cell r="O471" t="str">
            <v>NO</v>
          </cell>
          <cell r="P471" t="str">
            <v>Unaffected lots</v>
          </cell>
          <cell r="Q471" t="str">
            <v>NO</v>
          </cell>
          <cell r="R471">
            <v>70</v>
          </cell>
          <cell r="S471" t="str">
            <v>PSD-04-277865</v>
          </cell>
          <cell r="T471" t="str">
            <v>TCT-060-2025019558</v>
          </cell>
          <cell r="U471" t="b">
            <v>1</v>
          </cell>
          <cell r="V471" t="str">
            <v>Done</v>
          </cell>
          <cell r="W471" t="str">
            <v>B1 2025</v>
          </cell>
          <cell r="X471" t="str">
            <v>2025 - Batch 2</v>
          </cell>
          <cell r="Y471">
            <v>24</v>
          </cell>
          <cell r="Z471">
            <v>43</v>
          </cell>
          <cell r="AA471" t="str">
            <v>H+L</v>
          </cell>
          <cell r="AB471">
            <v>70</v>
          </cell>
          <cell r="AC471">
            <v>50</v>
          </cell>
          <cell r="AD471" t="str">
            <v>Flat</v>
          </cell>
          <cell r="AE471" t="str">
            <v>Duplex</v>
          </cell>
          <cell r="AF471" t="str">
            <v>568 - Without Partition</v>
          </cell>
          <cell r="AG471" t="str">
            <v xml:space="preserve">Without Partition </v>
          </cell>
          <cell r="AH471" t="str">
            <v xml:space="preserve">Without Partition </v>
          </cell>
          <cell r="AI471" t="str">
            <v>PURPLE</v>
          </cell>
          <cell r="AJ471" t="str">
            <v>Flat / PURPLE</v>
          </cell>
          <cell r="AK471">
            <v>1050000</v>
          </cell>
          <cell r="AL471">
            <v>15000</v>
          </cell>
          <cell r="AM471">
            <v>1650000</v>
          </cell>
          <cell r="AN471">
            <v>33000</v>
          </cell>
          <cell r="AO471">
            <v>150000</v>
          </cell>
          <cell r="AP471">
            <v>2850000</v>
          </cell>
          <cell r="AQ471"/>
          <cell r="AR471">
            <v>2850000</v>
          </cell>
          <cell r="AS471">
            <v>200000</v>
          </cell>
          <cell r="AT471">
            <v>2650000</v>
          </cell>
          <cell r="AU471">
            <v>100000</v>
          </cell>
          <cell r="AV471">
            <v>2550000</v>
          </cell>
          <cell r="AW471">
            <v>0</v>
          </cell>
          <cell r="AX471">
            <v>2550000</v>
          </cell>
        </row>
        <row r="472">
          <cell r="G472" t="str">
            <v>AGM-01-024-044</v>
          </cell>
          <cell r="H472" t="str">
            <v xml:space="preserve">Raemulan Lands, Inc. </v>
          </cell>
          <cell r="I472" t="str">
            <v>Agapeya</v>
          </cell>
          <cell r="J472" t="str">
            <v>AGM</v>
          </cell>
          <cell r="K472" t="str">
            <v>Eco-High</v>
          </cell>
          <cell r="L472" t="str">
            <v>West</v>
          </cell>
          <cell r="M472" t="str">
            <v>With LTS - 2026</v>
          </cell>
          <cell r="N472" t="str">
            <v>YES</v>
          </cell>
          <cell r="O472" t="str">
            <v>NO</v>
          </cell>
          <cell r="P472" t="str">
            <v>Unaffected lots</v>
          </cell>
          <cell r="Q472" t="str">
            <v>NO</v>
          </cell>
          <cell r="R472">
            <v>70</v>
          </cell>
          <cell r="S472" t="str">
            <v>PSD-04-277865</v>
          </cell>
          <cell r="T472" t="str">
            <v>TCT-060-2025019559</v>
          </cell>
          <cell r="U472" t="b">
            <v>1</v>
          </cell>
          <cell r="V472" t="str">
            <v>Done</v>
          </cell>
          <cell r="W472" t="str">
            <v>B1 2025</v>
          </cell>
          <cell r="X472" t="str">
            <v>2025 - Batch 2</v>
          </cell>
          <cell r="Y472">
            <v>24</v>
          </cell>
          <cell r="Z472">
            <v>44</v>
          </cell>
          <cell r="AA472" t="str">
            <v>H+L</v>
          </cell>
          <cell r="AB472">
            <v>70</v>
          </cell>
          <cell r="AC472">
            <v>50</v>
          </cell>
          <cell r="AD472" t="str">
            <v>Slant</v>
          </cell>
          <cell r="AE472" t="str">
            <v>Duplex</v>
          </cell>
          <cell r="AF472" t="str">
            <v>568 - Without Partition</v>
          </cell>
          <cell r="AG472" t="str">
            <v xml:space="preserve">Without Partition </v>
          </cell>
          <cell r="AH472" t="str">
            <v xml:space="preserve">Without Partition </v>
          </cell>
          <cell r="AI472" t="str">
            <v>PURPLE</v>
          </cell>
          <cell r="AJ472" t="str">
            <v>Slant / PURPLE</v>
          </cell>
          <cell r="AK472">
            <v>1050000</v>
          </cell>
          <cell r="AL472">
            <v>15000</v>
          </cell>
          <cell r="AM472">
            <v>1650000</v>
          </cell>
          <cell r="AN472">
            <v>33000</v>
          </cell>
          <cell r="AO472">
            <v>150000</v>
          </cell>
          <cell r="AP472">
            <v>2850000</v>
          </cell>
          <cell r="AQ472"/>
          <cell r="AR472">
            <v>2850000</v>
          </cell>
          <cell r="AS472">
            <v>200000</v>
          </cell>
          <cell r="AT472">
            <v>2650000</v>
          </cell>
          <cell r="AU472">
            <v>100000</v>
          </cell>
          <cell r="AV472">
            <v>2550000</v>
          </cell>
          <cell r="AW472">
            <v>0</v>
          </cell>
          <cell r="AX472">
            <v>2550000</v>
          </cell>
        </row>
        <row r="473">
          <cell r="G473" t="str">
            <v>AGM-01-024-045</v>
          </cell>
          <cell r="H473" t="str">
            <v xml:space="preserve">Raemulan Lands, Inc. </v>
          </cell>
          <cell r="I473" t="str">
            <v>Agapeya</v>
          </cell>
          <cell r="J473" t="str">
            <v>AGM</v>
          </cell>
          <cell r="K473" t="str">
            <v>Eco-High</v>
          </cell>
          <cell r="L473" t="str">
            <v>West</v>
          </cell>
          <cell r="M473" t="str">
            <v>With LTS - 2026</v>
          </cell>
          <cell r="N473" t="str">
            <v>YES</v>
          </cell>
          <cell r="O473" t="str">
            <v>NO</v>
          </cell>
          <cell r="P473" t="str">
            <v>Unaffected lots</v>
          </cell>
          <cell r="Q473" t="str">
            <v>NO</v>
          </cell>
          <cell r="R473">
            <v>70</v>
          </cell>
          <cell r="S473" t="str">
            <v>PSD-04-277865</v>
          </cell>
          <cell r="T473" t="str">
            <v>TCT-060-2025019560</v>
          </cell>
          <cell r="U473" t="b">
            <v>1</v>
          </cell>
          <cell r="V473" t="str">
            <v>Done</v>
          </cell>
          <cell r="W473" t="str">
            <v>B1 2025</v>
          </cell>
          <cell r="X473" t="str">
            <v>2025 - Batch 2</v>
          </cell>
          <cell r="Y473">
            <v>24</v>
          </cell>
          <cell r="Z473">
            <v>45</v>
          </cell>
          <cell r="AA473" t="str">
            <v>H+L</v>
          </cell>
          <cell r="AB473">
            <v>70</v>
          </cell>
          <cell r="AC473">
            <v>50</v>
          </cell>
          <cell r="AD473" t="str">
            <v>Slant</v>
          </cell>
          <cell r="AE473" t="str">
            <v>Duplex</v>
          </cell>
          <cell r="AF473" t="str">
            <v>568 - Without Partition</v>
          </cell>
          <cell r="AG473" t="str">
            <v xml:space="preserve">Without Partition </v>
          </cell>
          <cell r="AH473" t="str">
            <v xml:space="preserve">Without Partition </v>
          </cell>
          <cell r="AI473" t="str">
            <v>GREEN</v>
          </cell>
          <cell r="AJ473" t="str">
            <v>Slant / GREEN</v>
          </cell>
          <cell r="AK473">
            <v>1050000</v>
          </cell>
          <cell r="AL473">
            <v>15000</v>
          </cell>
          <cell r="AM473">
            <v>1650000</v>
          </cell>
          <cell r="AN473">
            <v>33000</v>
          </cell>
          <cell r="AO473">
            <v>150000</v>
          </cell>
          <cell r="AP473">
            <v>2850000</v>
          </cell>
          <cell r="AQ473"/>
          <cell r="AR473">
            <v>2850000</v>
          </cell>
          <cell r="AS473">
            <v>200000</v>
          </cell>
          <cell r="AT473">
            <v>2650000</v>
          </cell>
          <cell r="AU473">
            <v>100000</v>
          </cell>
          <cell r="AV473">
            <v>2550000</v>
          </cell>
          <cell r="AW473">
            <v>0</v>
          </cell>
          <cell r="AX473">
            <v>2550000</v>
          </cell>
        </row>
        <row r="474">
          <cell r="G474" t="str">
            <v>AGM-01-024-046</v>
          </cell>
          <cell r="H474" t="str">
            <v xml:space="preserve">Raemulan Lands, Inc. </v>
          </cell>
          <cell r="I474" t="str">
            <v>Agapeya</v>
          </cell>
          <cell r="J474" t="str">
            <v>AGM</v>
          </cell>
          <cell r="K474" t="str">
            <v>Eco-High</v>
          </cell>
          <cell r="L474" t="str">
            <v>West</v>
          </cell>
          <cell r="M474" t="str">
            <v>With LTS - 2026</v>
          </cell>
          <cell r="N474" t="str">
            <v>YES</v>
          </cell>
          <cell r="O474" t="str">
            <v>NO</v>
          </cell>
          <cell r="P474" t="str">
            <v>Unaffected lots</v>
          </cell>
          <cell r="Q474" t="str">
            <v>NO</v>
          </cell>
          <cell r="R474">
            <v>70</v>
          </cell>
          <cell r="S474" t="str">
            <v>PSD-04-277865</v>
          </cell>
          <cell r="T474" t="str">
            <v>TCT-060-2025019561</v>
          </cell>
          <cell r="U474" t="b">
            <v>1</v>
          </cell>
          <cell r="V474" t="str">
            <v>Done</v>
          </cell>
          <cell r="W474" t="str">
            <v>B1 2025</v>
          </cell>
          <cell r="X474" t="str">
            <v>2025 - Batch 2</v>
          </cell>
          <cell r="Y474">
            <v>24</v>
          </cell>
          <cell r="Z474">
            <v>46</v>
          </cell>
          <cell r="AA474" t="str">
            <v>H+L</v>
          </cell>
          <cell r="AB474">
            <v>70</v>
          </cell>
          <cell r="AC474">
            <v>50</v>
          </cell>
          <cell r="AD474" t="str">
            <v>Flat</v>
          </cell>
          <cell r="AE474" t="str">
            <v>Duplex</v>
          </cell>
          <cell r="AF474" t="str">
            <v>568 - Without Partition</v>
          </cell>
          <cell r="AG474" t="str">
            <v xml:space="preserve">Without Partition </v>
          </cell>
          <cell r="AH474" t="str">
            <v xml:space="preserve">Without Partition </v>
          </cell>
          <cell r="AI474" t="str">
            <v>GREEN</v>
          </cell>
          <cell r="AJ474" t="str">
            <v>Flat / GREEN</v>
          </cell>
          <cell r="AK474">
            <v>1050000</v>
          </cell>
          <cell r="AL474">
            <v>15000</v>
          </cell>
          <cell r="AM474">
            <v>1650000</v>
          </cell>
          <cell r="AN474">
            <v>33000</v>
          </cell>
          <cell r="AO474">
            <v>150000</v>
          </cell>
          <cell r="AP474">
            <v>2850000</v>
          </cell>
          <cell r="AQ474"/>
          <cell r="AR474">
            <v>2850000</v>
          </cell>
          <cell r="AS474">
            <v>200000</v>
          </cell>
          <cell r="AT474">
            <v>2650000</v>
          </cell>
          <cell r="AU474">
            <v>100000</v>
          </cell>
          <cell r="AV474">
            <v>2550000</v>
          </cell>
          <cell r="AW474">
            <v>0</v>
          </cell>
          <cell r="AX474">
            <v>2550000</v>
          </cell>
        </row>
        <row r="475">
          <cell r="G475" t="str">
            <v>AGM-01-024-047</v>
          </cell>
          <cell r="H475" t="str">
            <v xml:space="preserve">Raemulan Lands, Inc. </v>
          </cell>
          <cell r="I475" t="str">
            <v>Agapeya</v>
          </cell>
          <cell r="J475" t="str">
            <v>AGM</v>
          </cell>
          <cell r="K475" t="str">
            <v>Eco-High</v>
          </cell>
          <cell r="L475" t="str">
            <v>West</v>
          </cell>
          <cell r="M475" t="str">
            <v>With LTS - 2026</v>
          </cell>
          <cell r="N475" t="str">
            <v>YES</v>
          </cell>
          <cell r="O475" t="str">
            <v>NO</v>
          </cell>
          <cell r="P475" t="str">
            <v>Unaffected lots</v>
          </cell>
          <cell r="Q475" t="str">
            <v>NO</v>
          </cell>
          <cell r="R475">
            <v>70</v>
          </cell>
          <cell r="S475" t="str">
            <v>PSD-04-277865</v>
          </cell>
          <cell r="T475" t="str">
            <v>TCT-060-2025019562</v>
          </cell>
          <cell r="U475" t="b">
            <v>1</v>
          </cell>
          <cell r="V475" t="str">
            <v>Done</v>
          </cell>
          <cell r="W475" t="str">
            <v>B1 2025</v>
          </cell>
          <cell r="X475" t="str">
            <v>2025 - Batch 3</v>
          </cell>
          <cell r="Y475">
            <v>24</v>
          </cell>
          <cell r="Z475">
            <v>47</v>
          </cell>
          <cell r="AA475" t="str">
            <v>H+L</v>
          </cell>
          <cell r="AB475">
            <v>70</v>
          </cell>
          <cell r="AC475">
            <v>50</v>
          </cell>
          <cell r="AD475" t="str">
            <v>Flat</v>
          </cell>
          <cell r="AE475" t="str">
            <v>Duplex</v>
          </cell>
          <cell r="AF475" t="str">
            <v>568 - Without Partition</v>
          </cell>
          <cell r="AG475" t="str">
            <v xml:space="preserve">Without Partition </v>
          </cell>
          <cell r="AH475" t="str">
            <v xml:space="preserve">Without Partition </v>
          </cell>
          <cell r="AI475" t="str">
            <v>GREEN</v>
          </cell>
          <cell r="AJ475" t="str">
            <v>Flat / GREEN</v>
          </cell>
          <cell r="AK475">
            <v>1050000</v>
          </cell>
          <cell r="AL475">
            <v>15000</v>
          </cell>
          <cell r="AM475">
            <v>1650000</v>
          </cell>
          <cell r="AN475">
            <v>33000</v>
          </cell>
          <cell r="AO475">
            <v>150000</v>
          </cell>
          <cell r="AP475">
            <v>2850000</v>
          </cell>
          <cell r="AQ475"/>
          <cell r="AR475">
            <v>2850000</v>
          </cell>
          <cell r="AS475">
            <v>200000</v>
          </cell>
          <cell r="AT475">
            <v>2650000</v>
          </cell>
          <cell r="AU475">
            <v>100000</v>
          </cell>
          <cell r="AV475">
            <v>2550000</v>
          </cell>
          <cell r="AW475">
            <v>0</v>
          </cell>
          <cell r="AX475">
            <v>2550000</v>
          </cell>
        </row>
        <row r="476">
          <cell r="G476" t="str">
            <v>AGM-01-024-048</v>
          </cell>
          <cell r="H476" t="str">
            <v xml:space="preserve">Raemulan Lands, Inc. </v>
          </cell>
          <cell r="I476" t="str">
            <v>Agapeya</v>
          </cell>
          <cell r="J476" t="str">
            <v>AGM</v>
          </cell>
          <cell r="K476" t="str">
            <v>Eco-High</v>
          </cell>
          <cell r="L476" t="str">
            <v>West</v>
          </cell>
          <cell r="M476" t="str">
            <v>With LTS - 2026</v>
          </cell>
          <cell r="N476" t="str">
            <v>YES</v>
          </cell>
          <cell r="O476" t="str">
            <v>NO</v>
          </cell>
          <cell r="P476" t="str">
            <v>Unaffected lots</v>
          </cell>
          <cell r="Q476" t="str">
            <v>NO</v>
          </cell>
          <cell r="R476">
            <v>70</v>
          </cell>
          <cell r="S476" t="str">
            <v>PCS-04-036421</v>
          </cell>
          <cell r="T476" t="str">
            <v>TCT-060-2026007179</v>
          </cell>
          <cell r="U476" t="b">
            <v>1</v>
          </cell>
          <cell r="V476" t="str">
            <v>Done</v>
          </cell>
          <cell r="W476" t="str">
            <v>B1 2025</v>
          </cell>
          <cell r="X476" t="str">
            <v>2025 - Batch 3</v>
          </cell>
          <cell r="Y476">
            <v>24</v>
          </cell>
          <cell r="Z476">
            <v>48</v>
          </cell>
          <cell r="AA476" t="str">
            <v>H+L</v>
          </cell>
          <cell r="AB476">
            <v>70</v>
          </cell>
          <cell r="AC476">
            <v>50</v>
          </cell>
          <cell r="AD476" t="str">
            <v>Slant</v>
          </cell>
          <cell r="AE476" t="str">
            <v>Duplex</v>
          </cell>
          <cell r="AF476" t="str">
            <v>568 - Without Partition</v>
          </cell>
          <cell r="AG476" t="str">
            <v xml:space="preserve">Without Partition </v>
          </cell>
          <cell r="AH476" t="str">
            <v xml:space="preserve">Without Partition </v>
          </cell>
          <cell r="AI476" t="str">
            <v>GREEN</v>
          </cell>
          <cell r="AJ476" t="str">
            <v>Slant / GREEN</v>
          </cell>
          <cell r="AK476">
            <v>1050000</v>
          </cell>
          <cell r="AL476">
            <v>15000</v>
          </cell>
          <cell r="AM476">
            <v>1650000</v>
          </cell>
          <cell r="AN476">
            <v>33000</v>
          </cell>
          <cell r="AO476">
            <v>150000</v>
          </cell>
          <cell r="AP476">
            <v>2850000</v>
          </cell>
          <cell r="AQ476"/>
          <cell r="AR476">
            <v>2850000</v>
          </cell>
          <cell r="AS476">
            <v>200000</v>
          </cell>
          <cell r="AT476">
            <v>2650000</v>
          </cell>
          <cell r="AU476">
            <v>100000</v>
          </cell>
          <cell r="AV476">
            <v>2550000</v>
          </cell>
          <cell r="AW476">
            <v>0</v>
          </cell>
          <cell r="AX476">
            <v>2550000</v>
          </cell>
        </row>
        <row r="477">
          <cell r="G477" t="str">
            <v>AGM-01-024-049</v>
          </cell>
          <cell r="H477" t="str">
            <v xml:space="preserve">Raemulan Lands, Inc. </v>
          </cell>
          <cell r="I477" t="str">
            <v>Agapeya</v>
          </cell>
          <cell r="J477" t="str">
            <v>AGM</v>
          </cell>
          <cell r="K477" t="str">
            <v>Eco-High</v>
          </cell>
          <cell r="L477" t="str">
            <v>West</v>
          </cell>
          <cell r="M477" t="str">
            <v>Without LTS</v>
          </cell>
          <cell r="N477"/>
          <cell r="O477"/>
          <cell r="P477" t="str">
            <v>Unaffected lots</v>
          </cell>
          <cell r="Q477" t="str">
            <v>NO</v>
          </cell>
          <cell r="R477">
            <v>70</v>
          </cell>
          <cell r="S477" t="str">
            <v>PSD-04-036421</v>
          </cell>
          <cell r="T477" t="str">
            <v>TCT-060-2026007180</v>
          </cell>
          <cell r="U477" t="b">
            <v>1</v>
          </cell>
          <cell r="V477" t="str">
            <v>Done</v>
          </cell>
          <cell r="W477" t="str">
            <v>B1 2025</v>
          </cell>
          <cell r="X477" t="str">
            <v>2025 - Batch 3</v>
          </cell>
          <cell r="Y477">
            <v>24</v>
          </cell>
          <cell r="Z477">
            <v>49</v>
          </cell>
          <cell r="AA477" t="str">
            <v>H+L</v>
          </cell>
          <cell r="AB477">
            <v>70</v>
          </cell>
          <cell r="AC477">
            <v>50</v>
          </cell>
          <cell r="AD477" t="str">
            <v>Slant</v>
          </cell>
          <cell r="AE477" t="str">
            <v>Duplex</v>
          </cell>
          <cell r="AF477" t="str">
            <v>568 - Without Partition</v>
          </cell>
          <cell r="AG477" t="str">
            <v xml:space="preserve">Without Partition </v>
          </cell>
          <cell r="AH477" t="str">
            <v xml:space="preserve">Without Partition </v>
          </cell>
          <cell r="AI477" t="str">
            <v>YELLOW</v>
          </cell>
          <cell r="AJ477" t="str">
            <v>Slant / YELLOW</v>
          </cell>
          <cell r="AK477">
            <v>1050000</v>
          </cell>
          <cell r="AL477">
            <v>15000</v>
          </cell>
          <cell r="AM477">
            <v>1650000</v>
          </cell>
          <cell r="AN477">
            <v>33000</v>
          </cell>
          <cell r="AO477">
            <v>150000</v>
          </cell>
          <cell r="AP477">
            <v>2850000</v>
          </cell>
          <cell r="AQ477"/>
          <cell r="AR477">
            <v>2850000</v>
          </cell>
          <cell r="AS477">
            <v>200000</v>
          </cell>
          <cell r="AT477">
            <v>2650000</v>
          </cell>
          <cell r="AU477">
            <v>100000</v>
          </cell>
          <cell r="AV477">
            <v>2550000</v>
          </cell>
          <cell r="AW477">
            <v>0</v>
          </cell>
          <cell r="AX477">
            <v>2550000</v>
          </cell>
        </row>
        <row r="478">
          <cell r="G478" t="str">
            <v>AGM-01-024-050</v>
          </cell>
          <cell r="H478" t="str">
            <v xml:space="preserve">Raemulan Lands, Inc. </v>
          </cell>
          <cell r="I478" t="str">
            <v>Agapeya</v>
          </cell>
          <cell r="J478" t="str">
            <v>AGM</v>
          </cell>
          <cell r="K478" t="str">
            <v>Eco-High</v>
          </cell>
          <cell r="L478" t="str">
            <v>West</v>
          </cell>
          <cell r="M478" t="str">
            <v>With LTS - 2024</v>
          </cell>
          <cell r="N478" t="str">
            <v>YES</v>
          </cell>
          <cell r="O478" t="str">
            <v>YES</v>
          </cell>
          <cell r="P478" t="str">
            <v>Unaffected lots</v>
          </cell>
          <cell r="Q478" t="str">
            <v>YES</v>
          </cell>
          <cell r="R478">
            <v>70</v>
          </cell>
          <cell r="S478" t="str">
            <v>PCS-04-035873</v>
          </cell>
          <cell r="T478" t="str">
            <v>TCT-060-2025015506</v>
          </cell>
          <cell r="U478" t="b">
            <v>1</v>
          </cell>
          <cell r="V478" t="str">
            <v>Done</v>
          </cell>
          <cell r="W478" t="str">
            <v>B1 2025</v>
          </cell>
          <cell r="X478" t="str">
            <v>2025 - Batch 3</v>
          </cell>
          <cell r="Y478">
            <v>24</v>
          </cell>
          <cell r="Z478">
            <v>50</v>
          </cell>
          <cell r="AA478" t="str">
            <v>H+L</v>
          </cell>
          <cell r="AB478">
            <v>70</v>
          </cell>
          <cell r="AC478">
            <v>50</v>
          </cell>
          <cell r="AD478" t="str">
            <v>Flat</v>
          </cell>
          <cell r="AE478" t="str">
            <v>Duplex</v>
          </cell>
          <cell r="AF478" t="str">
            <v>568 - Without Partition</v>
          </cell>
          <cell r="AG478" t="str">
            <v xml:space="preserve">Without Partition </v>
          </cell>
          <cell r="AH478" t="str">
            <v xml:space="preserve">Without Partition </v>
          </cell>
          <cell r="AI478" t="str">
            <v>YELLOW</v>
          </cell>
          <cell r="AJ478" t="str">
            <v>Flat / YELLOW</v>
          </cell>
          <cell r="AK478">
            <v>1050000</v>
          </cell>
          <cell r="AL478">
            <v>15000</v>
          </cell>
          <cell r="AM478">
            <v>1650000</v>
          </cell>
          <cell r="AN478">
            <v>33000</v>
          </cell>
          <cell r="AO478">
            <v>150000</v>
          </cell>
          <cell r="AP478">
            <v>2850000</v>
          </cell>
          <cell r="AQ478"/>
          <cell r="AR478">
            <v>2850000</v>
          </cell>
          <cell r="AS478">
            <v>200000</v>
          </cell>
          <cell r="AT478">
            <v>2650000</v>
          </cell>
          <cell r="AU478">
            <v>100000</v>
          </cell>
          <cell r="AV478">
            <v>2550000</v>
          </cell>
          <cell r="AW478">
            <v>0</v>
          </cell>
          <cell r="AX478">
            <v>2550000</v>
          </cell>
        </row>
        <row r="479">
          <cell r="G479" t="str">
            <v>AGM-01-024-051</v>
          </cell>
          <cell r="H479" t="str">
            <v xml:space="preserve">Raemulan Lands, Inc. </v>
          </cell>
          <cell r="I479" t="str">
            <v>Agapeya</v>
          </cell>
          <cell r="J479" t="str">
            <v>AGM</v>
          </cell>
          <cell r="K479" t="str">
            <v>Eco-High</v>
          </cell>
          <cell r="L479" t="str">
            <v>West</v>
          </cell>
          <cell r="M479" t="str">
            <v>With LTS - 2024</v>
          </cell>
          <cell r="N479" t="str">
            <v>YES</v>
          </cell>
          <cell r="O479" t="str">
            <v>YES</v>
          </cell>
          <cell r="P479" t="str">
            <v>Unaffected lots</v>
          </cell>
          <cell r="Q479" t="str">
            <v>YES</v>
          </cell>
          <cell r="R479">
            <v>70</v>
          </cell>
          <cell r="S479" t="str">
            <v>PCS-04-035873</v>
          </cell>
          <cell r="T479" t="str">
            <v>TCT-060-2025015507</v>
          </cell>
          <cell r="U479" t="b">
            <v>1</v>
          </cell>
          <cell r="V479" t="str">
            <v>Done</v>
          </cell>
          <cell r="W479" t="str">
            <v>B1 2025</v>
          </cell>
          <cell r="X479" t="str">
            <v>2025 - Batch 3</v>
          </cell>
          <cell r="Y479">
            <v>24</v>
          </cell>
          <cell r="Z479">
            <v>51</v>
          </cell>
          <cell r="AA479" t="str">
            <v>H+L</v>
          </cell>
          <cell r="AB479">
            <v>70</v>
          </cell>
          <cell r="AC479">
            <v>50</v>
          </cell>
          <cell r="AD479" t="str">
            <v>Flat</v>
          </cell>
          <cell r="AE479" t="str">
            <v>Duplex</v>
          </cell>
          <cell r="AF479" t="str">
            <v>568 - Without Partition</v>
          </cell>
          <cell r="AG479" t="str">
            <v xml:space="preserve">Without Partition </v>
          </cell>
          <cell r="AH479" t="str">
            <v xml:space="preserve">Without Partition </v>
          </cell>
          <cell r="AI479" t="str">
            <v>YELLOW</v>
          </cell>
          <cell r="AJ479" t="str">
            <v>Flat / YELLOW</v>
          </cell>
          <cell r="AK479">
            <v>1050000</v>
          </cell>
          <cell r="AL479">
            <v>15000</v>
          </cell>
          <cell r="AM479">
            <v>1650000</v>
          </cell>
          <cell r="AN479">
            <v>33000</v>
          </cell>
          <cell r="AO479">
            <v>150000</v>
          </cell>
          <cell r="AP479">
            <v>2850000</v>
          </cell>
          <cell r="AQ479"/>
          <cell r="AR479">
            <v>2850000</v>
          </cell>
          <cell r="AS479">
            <v>200000</v>
          </cell>
          <cell r="AT479">
            <v>2650000</v>
          </cell>
          <cell r="AU479">
            <v>100000</v>
          </cell>
          <cell r="AV479">
            <v>2550000</v>
          </cell>
          <cell r="AW479">
            <v>0</v>
          </cell>
          <cell r="AX479">
            <v>2550000</v>
          </cell>
        </row>
        <row r="480">
          <cell r="G480" t="str">
            <v>AGM-01-024-052</v>
          </cell>
          <cell r="H480" t="str">
            <v xml:space="preserve">Raemulan Lands, Inc. </v>
          </cell>
          <cell r="I480" t="str">
            <v>Agapeya</v>
          </cell>
          <cell r="J480" t="str">
            <v>AGM</v>
          </cell>
          <cell r="K480" t="str">
            <v>Eco-High</v>
          </cell>
          <cell r="L480" t="str">
            <v>West</v>
          </cell>
          <cell r="M480" t="str">
            <v>With LTS - 2024</v>
          </cell>
          <cell r="N480" t="str">
            <v>YES</v>
          </cell>
          <cell r="O480" t="str">
            <v>YES</v>
          </cell>
          <cell r="P480" t="str">
            <v>Unaffected lots</v>
          </cell>
          <cell r="Q480" t="str">
            <v>YES</v>
          </cell>
          <cell r="R480">
            <v>70</v>
          </cell>
          <cell r="S480" t="str">
            <v>PCS-04-035873</v>
          </cell>
          <cell r="T480" t="str">
            <v>TCT-060-2025015508</v>
          </cell>
          <cell r="U480" t="b">
            <v>1</v>
          </cell>
          <cell r="V480" t="str">
            <v>Done</v>
          </cell>
          <cell r="W480" t="str">
            <v>B1 2025</v>
          </cell>
          <cell r="X480" t="str">
            <v>2025 - Batch 3</v>
          </cell>
          <cell r="Y480">
            <v>24</v>
          </cell>
          <cell r="Z480">
            <v>52</v>
          </cell>
          <cell r="AA480" t="str">
            <v>H+L</v>
          </cell>
          <cell r="AB480">
            <v>70</v>
          </cell>
          <cell r="AC480">
            <v>50</v>
          </cell>
          <cell r="AD480" t="str">
            <v>Slant</v>
          </cell>
          <cell r="AE480" t="str">
            <v>Duplex</v>
          </cell>
          <cell r="AF480" t="str">
            <v>568 - Without Partition</v>
          </cell>
          <cell r="AG480" t="str">
            <v xml:space="preserve">Without Partition </v>
          </cell>
          <cell r="AH480" t="str">
            <v xml:space="preserve">Without Partition </v>
          </cell>
          <cell r="AI480" t="str">
            <v>YELLOW</v>
          </cell>
          <cell r="AJ480" t="str">
            <v>Slant / YELLOW</v>
          </cell>
          <cell r="AK480">
            <v>1050000</v>
          </cell>
          <cell r="AL480">
            <v>15000</v>
          </cell>
          <cell r="AM480">
            <v>1650000</v>
          </cell>
          <cell r="AN480">
            <v>33000</v>
          </cell>
          <cell r="AO480">
            <v>150000</v>
          </cell>
          <cell r="AP480">
            <v>2850000</v>
          </cell>
          <cell r="AQ480"/>
          <cell r="AR480">
            <v>2850000</v>
          </cell>
          <cell r="AS480">
            <v>200000</v>
          </cell>
          <cell r="AT480">
            <v>2650000</v>
          </cell>
          <cell r="AU480">
            <v>100000</v>
          </cell>
          <cell r="AV480">
            <v>2550000</v>
          </cell>
          <cell r="AW480">
            <v>0</v>
          </cell>
          <cell r="AX480">
            <v>2550000</v>
          </cell>
        </row>
        <row r="481">
          <cell r="G481" t="str">
            <v>AGM-01-024-053</v>
          </cell>
          <cell r="H481" t="str">
            <v xml:space="preserve">Raemulan Lands, Inc. </v>
          </cell>
          <cell r="I481" t="str">
            <v>Agapeya</v>
          </cell>
          <cell r="J481" t="str">
            <v>AGM</v>
          </cell>
          <cell r="K481" t="str">
            <v>Eco-High</v>
          </cell>
          <cell r="L481" t="str">
            <v>West</v>
          </cell>
          <cell r="M481" t="str">
            <v>With LTS - 2024</v>
          </cell>
          <cell r="N481" t="str">
            <v>YES</v>
          </cell>
          <cell r="O481" t="str">
            <v>YES</v>
          </cell>
          <cell r="P481" t="str">
            <v>Unaffected lots</v>
          </cell>
          <cell r="Q481" t="str">
            <v>YES</v>
          </cell>
          <cell r="R481">
            <v>80</v>
          </cell>
          <cell r="S481" t="str">
            <v>PCS-04-035873</v>
          </cell>
          <cell r="T481" t="str">
            <v>TCT-060-2025015509</v>
          </cell>
          <cell r="U481" t="b">
            <v>1</v>
          </cell>
          <cell r="V481" t="str">
            <v>Done</v>
          </cell>
          <cell r="W481" t="str">
            <v>B1 2025</v>
          </cell>
          <cell r="X481" t="str">
            <v>2025 - Batch 1</v>
          </cell>
          <cell r="Y481">
            <v>24</v>
          </cell>
          <cell r="Z481">
            <v>53</v>
          </cell>
          <cell r="AA481" t="str">
            <v>H+L</v>
          </cell>
          <cell r="AB481">
            <v>80</v>
          </cell>
          <cell r="AC481">
            <v>50</v>
          </cell>
          <cell r="AD481" t="str">
            <v>Slant</v>
          </cell>
          <cell r="AE481" t="str">
            <v>Duplex</v>
          </cell>
          <cell r="AF481" t="str">
            <v>568 - Without Partition</v>
          </cell>
          <cell r="AG481" t="str">
            <v xml:space="preserve">Without Partition </v>
          </cell>
          <cell r="AH481" t="str">
            <v xml:space="preserve">Without Partition </v>
          </cell>
          <cell r="AI481" t="str">
            <v>PINK</v>
          </cell>
          <cell r="AJ481" t="str">
            <v>Slant / PINK</v>
          </cell>
          <cell r="AK481">
            <v>1200000</v>
          </cell>
          <cell r="AL481">
            <v>15000</v>
          </cell>
          <cell r="AM481">
            <v>1650000</v>
          </cell>
          <cell r="AN481">
            <v>33000</v>
          </cell>
          <cell r="AO481">
            <v>150000</v>
          </cell>
          <cell r="AP481">
            <v>3000000</v>
          </cell>
          <cell r="AQ481"/>
          <cell r="AR481">
            <v>3000000</v>
          </cell>
          <cell r="AS481">
            <v>200000</v>
          </cell>
          <cell r="AT481">
            <v>2800000</v>
          </cell>
          <cell r="AU481">
            <v>100000</v>
          </cell>
          <cell r="AV481">
            <v>2700000</v>
          </cell>
          <cell r="AW481">
            <v>0</v>
          </cell>
          <cell r="AX481">
            <v>2700000</v>
          </cell>
        </row>
        <row r="482">
          <cell r="G482" t="str">
            <v>AGM-01-024-054</v>
          </cell>
          <cell r="H482" t="str">
            <v xml:space="preserve">Raemulan Lands, Inc. </v>
          </cell>
          <cell r="I482" t="str">
            <v>Agapeya</v>
          </cell>
          <cell r="J482" t="str">
            <v>AGM</v>
          </cell>
          <cell r="K482" t="str">
            <v>Eco-High</v>
          </cell>
          <cell r="L482" t="str">
            <v>West</v>
          </cell>
          <cell r="M482" t="str">
            <v>With LTS - 2024</v>
          </cell>
          <cell r="N482" t="str">
            <v>YES</v>
          </cell>
          <cell r="O482" t="str">
            <v>YES</v>
          </cell>
          <cell r="P482" t="str">
            <v>Unaffected lots</v>
          </cell>
          <cell r="Q482" t="str">
            <v>YES</v>
          </cell>
          <cell r="R482">
            <v>80</v>
          </cell>
          <cell r="S482" t="str">
            <v>PCS-04-035873</v>
          </cell>
          <cell r="T482" t="str">
            <v>TCT-060-2025015510</v>
          </cell>
          <cell r="U482" t="b">
            <v>1</v>
          </cell>
          <cell r="V482" t="str">
            <v>Done</v>
          </cell>
          <cell r="W482" t="str">
            <v>B1 2025</v>
          </cell>
          <cell r="X482" t="str">
            <v>2025 - Batch 1</v>
          </cell>
          <cell r="Y482">
            <v>24</v>
          </cell>
          <cell r="Z482">
            <v>54</v>
          </cell>
          <cell r="AA482" t="str">
            <v>H+L</v>
          </cell>
          <cell r="AB482">
            <v>80</v>
          </cell>
          <cell r="AC482">
            <v>50</v>
          </cell>
          <cell r="AD482" t="str">
            <v>Flat</v>
          </cell>
          <cell r="AE482" t="str">
            <v>Duplex</v>
          </cell>
          <cell r="AF482" t="str">
            <v>568 - Without Partition</v>
          </cell>
          <cell r="AG482" t="str">
            <v xml:space="preserve">Without Partition </v>
          </cell>
          <cell r="AH482" t="str">
            <v xml:space="preserve">Without Partition </v>
          </cell>
          <cell r="AI482" t="str">
            <v>PINK</v>
          </cell>
          <cell r="AJ482" t="str">
            <v>Flat / PINK</v>
          </cell>
          <cell r="AK482">
            <v>1200000</v>
          </cell>
          <cell r="AL482">
            <v>15000</v>
          </cell>
          <cell r="AM482">
            <v>1650000</v>
          </cell>
          <cell r="AN482">
            <v>33000</v>
          </cell>
          <cell r="AO482">
            <v>150000</v>
          </cell>
          <cell r="AP482">
            <v>3000000</v>
          </cell>
          <cell r="AQ482"/>
          <cell r="AR482">
            <v>3000000</v>
          </cell>
          <cell r="AS482">
            <v>200000</v>
          </cell>
          <cell r="AT482">
            <v>2800000</v>
          </cell>
          <cell r="AU482">
            <v>100000</v>
          </cell>
          <cell r="AV482">
            <v>2700000</v>
          </cell>
          <cell r="AW482">
            <v>0</v>
          </cell>
          <cell r="AX482">
            <v>2700000</v>
          </cell>
        </row>
        <row r="483">
          <cell r="G483" t="str">
            <v>AGM-01-024-055</v>
          </cell>
          <cell r="H483" t="str">
            <v xml:space="preserve">Raemulan Lands, Inc. </v>
          </cell>
          <cell r="I483" t="str">
            <v>Agapeya</v>
          </cell>
          <cell r="J483" t="str">
            <v>AGM</v>
          </cell>
          <cell r="K483" t="str">
            <v>Eco-High</v>
          </cell>
          <cell r="L483" t="str">
            <v>West</v>
          </cell>
          <cell r="M483" t="str">
            <v>With LTS - 2024</v>
          </cell>
          <cell r="N483" t="str">
            <v>YES</v>
          </cell>
          <cell r="O483" t="str">
            <v>NO</v>
          </cell>
          <cell r="P483" t="str">
            <v>Unaffected lots</v>
          </cell>
          <cell r="Q483" t="str">
            <v>YES</v>
          </cell>
          <cell r="R483">
            <v>111</v>
          </cell>
          <cell r="S483" t="str">
            <v>PCS-04-035873</v>
          </cell>
          <cell r="T483" t="str">
            <v>TCT-060-2025015511</v>
          </cell>
          <cell r="U483" t="b">
            <v>1</v>
          </cell>
          <cell r="V483" t="str">
            <v>Done</v>
          </cell>
          <cell r="W483" t="str">
            <v>B1 - Lot Only</v>
          </cell>
          <cell r="X483" t="str">
            <v>Lot Only - N/A</v>
          </cell>
          <cell r="Y483">
            <v>24</v>
          </cell>
          <cell r="Z483">
            <v>55</v>
          </cell>
          <cell r="AA483" t="str">
            <v>LO</v>
          </cell>
          <cell r="AB483">
            <v>111</v>
          </cell>
          <cell r="AC483" t="str">
            <v>N/A</v>
          </cell>
          <cell r="AD483" t="str">
            <v>-</v>
          </cell>
          <cell r="AE483" t="str">
            <v>Lot Only</v>
          </cell>
          <cell r="AF483" t="str">
            <v>N/A</v>
          </cell>
          <cell r="AG483" t="str">
            <v>N/A - LOT ONLY</v>
          </cell>
          <cell r="AH483" t="str">
            <v>N/A - LOT ONLY</v>
          </cell>
          <cell r="AI483" t="str">
            <v>N/A - LOT ONLY</v>
          </cell>
          <cell r="AJ483" t="str">
            <v>- / N/A - LOT ONLY</v>
          </cell>
          <cell r="AK483">
            <v>1665000</v>
          </cell>
          <cell r="AL483">
            <v>15000</v>
          </cell>
          <cell r="AM483">
            <v>0</v>
          </cell>
          <cell r="AN483">
            <v>0</v>
          </cell>
          <cell r="AO483">
            <v>100000</v>
          </cell>
          <cell r="AP483">
            <v>1765000</v>
          </cell>
          <cell r="AQ483"/>
          <cell r="AR483">
            <v>1765000</v>
          </cell>
          <cell r="AS483">
            <v>0</v>
          </cell>
          <cell r="AT483">
            <v>1765000</v>
          </cell>
          <cell r="AU483">
            <v>100000</v>
          </cell>
          <cell r="AV483">
            <v>1665000</v>
          </cell>
          <cell r="AW483">
            <v>0</v>
          </cell>
          <cell r="AX483">
            <v>1665000</v>
          </cell>
        </row>
        <row r="484">
          <cell r="G484" t="str">
            <v>AGM-01-025-001</v>
          </cell>
          <cell r="H484" t="str">
            <v xml:space="preserve">Raemulan Lands, Inc. </v>
          </cell>
          <cell r="I484" t="str">
            <v>Agapeya</v>
          </cell>
          <cell r="J484" t="str">
            <v>AGM</v>
          </cell>
          <cell r="K484" t="str">
            <v>Eco-High</v>
          </cell>
          <cell r="L484" t="str">
            <v>West</v>
          </cell>
          <cell r="M484" t="str">
            <v>With LTS - 2024</v>
          </cell>
          <cell r="N484" t="str">
            <v>YES</v>
          </cell>
          <cell r="O484" t="str">
            <v>YES</v>
          </cell>
          <cell r="P484" t="str">
            <v>Unaffected lots</v>
          </cell>
          <cell r="Q484" t="str">
            <v>YES</v>
          </cell>
          <cell r="R484">
            <v>103</v>
          </cell>
          <cell r="S484" t="str">
            <v>PCS-04-034298</v>
          </cell>
          <cell r="T484" t="str">
            <v>TCT-060-2024021631</v>
          </cell>
          <cell r="U484" t="b">
            <v>1</v>
          </cell>
          <cell r="V484" t="str">
            <v>Done</v>
          </cell>
          <cell r="W484" t="str">
            <v>B1 2025</v>
          </cell>
          <cell r="X484" t="str">
            <v>2025 - Batch 4</v>
          </cell>
          <cell r="Y484">
            <v>25</v>
          </cell>
          <cell r="Z484">
            <v>1</v>
          </cell>
          <cell r="AA484" t="str">
            <v>H+L</v>
          </cell>
          <cell r="AB484">
            <v>103</v>
          </cell>
          <cell r="AC484">
            <v>50</v>
          </cell>
          <cell r="AD484" t="str">
            <v>Slant</v>
          </cell>
          <cell r="AE484" t="str">
            <v>Duplex</v>
          </cell>
          <cell r="AF484" t="str">
            <v>568 - Without Partition</v>
          </cell>
          <cell r="AG484" t="str">
            <v xml:space="preserve">Without Partition </v>
          </cell>
          <cell r="AH484" t="str">
            <v xml:space="preserve">Without Partition </v>
          </cell>
          <cell r="AI484" t="str">
            <v>YELLOW</v>
          </cell>
          <cell r="AJ484" t="str">
            <v>Slant / YELLOW</v>
          </cell>
          <cell r="AK484">
            <v>1545000</v>
          </cell>
          <cell r="AL484">
            <v>15000</v>
          </cell>
          <cell r="AM484">
            <v>1650000</v>
          </cell>
          <cell r="AN484">
            <v>33000</v>
          </cell>
          <cell r="AO484">
            <v>150000</v>
          </cell>
          <cell r="AP484">
            <v>3345000</v>
          </cell>
          <cell r="AQ484"/>
          <cell r="AR484">
            <v>3345000</v>
          </cell>
          <cell r="AS484">
            <v>200000</v>
          </cell>
          <cell r="AT484">
            <v>3145000</v>
          </cell>
          <cell r="AU484">
            <v>100000</v>
          </cell>
          <cell r="AV484">
            <v>3045000</v>
          </cell>
          <cell r="AW484">
            <v>0</v>
          </cell>
          <cell r="AX484">
            <v>3045000</v>
          </cell>
        </row>
        <row r="485">
          <cell r="G485" t="str">
            <v>AGM-01-025-002</v>
          </cell>
          <cell r="H485" t="str">
            <v xml:space="preserve">Raemulan Lands, Inc. </v>
          </cell>
          <cell r="I485" t="str">
            <v>Agapeya</v>
          </cell>
          <cell r="J485" t="str">
            <v>AGM</v>
          </cell>
          <cell r="K485" t="str">
            <v>Eco-High</v>
          </cell>
          <cell r="L485" t="str">
            <v>West</v>
          </cell>
          <cell r="M485" t="str">
            <v>With LTS - 2024</v>
          </cell>
          <cell r="N485" t="str">
            <v>YES</v>
          </cell>
          <cell r="O485" t="str">
            <v>YES</v>
          </cell>
          <cell r="P485" t="str">
            <v>Unaffected lots</v>
          </cell>
          <cell r="Q485" t="str">
            <v>YES</v>
          </cell>
          <cell r="R485">
            <v>80</v>
          </cell>
          <cell r="S485" t="str">
            <v>PCS-04-034298</v>
          </cell>
          <cell r="T485" t="str">
            <v>TCT-060-2024021632</v>
          </cell>
          <cell r="U485" t="b">
            <v>1</v>
          </cell>
          <cell r="V485" t="str">
            <v>Done</v>
          </cell>
          <cell r="W485" t="str">
            <v>B1 2025</v>
          </cell>
          <cell r="X485" t="str">
            <v>2025 - Batch 4</v>
          </cell>
          <cell r="Y485">
            <v>25</v>
          </cell>
          <cell r="Z485">
            <v>2</v>
          </cell>
          <cell r="AA485" t="str">
            <v>H+L</v>
          </cell>
          <cell r="AB485">
            <v>80</v>
          </cell>
          <cell r="AC485">
            <v>50</v>
          </cell>
          <cell r="AD485" t="str">
            <v>Flat</v>
          </cell>
          <cell r="AE485" t="str">
            <v>Duplex</v>
          </cell>
          <cell r="AF485" t="str">
            <v>568 - Without Partition</v>
          </cell>
          <cell r="AG485" t="str">
            <v xml:space="preserve">Without Partition </v>
          </cell>
          <cell r="AH485" t="str">
            <v xml:space="preserve">Without Partition </v>
          </cell>
          <cell r="AI485" t="str">
            <v>YELLOW</v>
          </cell>
          <cell r="AJ485" t="str">
            <v>Flat / YELLOW</v>
          </cell>
          <cell r="AK485">
            <v>1200000</v>
          </cell>
          <cell r="AL485">
            <v>15000</v>
          </cell>
          <cell r="AM485">
            <v>1650000</v>
          </cell>
          <cell r="AN485">
            <v>33000</v>
          </cell>
          <cell r="AO485">
            <v>150000</v>
          </cell>
          <cell r="AP485">
            <v>3000000</v>
          </cell>
          <cell r="AQ485"/>
          <cell r="AR485">
            <v>3000000</v>
          </cell>
          <cell r="AS485">
            <v>200000</v>
          </cell>
          <cell r="AT485">
            <v>2800000</v>
          </cell>
          <cell r="AU485">
            <v>100000</v>
          </cell>
          <cell r="AV485">
            <v>2700000</v>
          </cell>
          <cell r="AW485">
            <v>0</v>
          </cell>
          <cell r="AX485">
            <v>2700000</v>
          </cell>
        </row>
        <row r="486">
          <cell r="G486" t="str">
            <v>AGM-01-025-003</v>
          </cell>
          <cell r="H486" t="str">
            <v xml:space="preserve">Raemulan Lands, Inc. </v>
          </cell>
          <cell r="I486" t="str">
            <v>Agapeya</v>
          </cell>
          <cell r="J486" t="str">
            <v>AGM</v>
          </cell>
          <cell r="K486" t="str">
            <v>Eco-High</v>
          </cell>
          <cell r="L486" t="str">
            <v>West</v>
          </cell>
          <cell r="M486" t="str">
            <v>With LTS - 2024</v>
          </cell>
          <cell r="N486" t="str">
            <v>YES</v>
          </cell>
          <cell r="O486" t="str">
            <v>YES</v>
          </cell>
          <cell r="P486" t="str">
            <v>Unaffected lots</v>
          </cell>
          <cell r="Q486" t="str">
            <v>YES</v>
          </cell>
          <cell r="R486">
            <v>70</v>
          </cell>
          <cell r="S486" t="str">
            <v>PCS-04-034298</v>
          </cell>
          <cell r="T486" t="str">
            <v>TCT-060-2024021633</v>
          </cell>
          <cell r="U486" t="b">
            <v>1</v>
          </cell>
          <cell r="V486" t="str">
            <v>Done</v>
          </cell>
          <cell r="W486" t="str">
            <v>B1 2025</v>
          </cell>
          <cell r="X486" t="str">
            <v>2025 - Batch 4</v>
          </cell>
          <cell r="Y486">
            <v>25</v>
          </cell>
          <cell r="Z486">
            <v>3</v>
          </cell>
          <cell r="AA486" t="str">
            <v>H+L</v>
          </cell>
          <cell r="AB486">
            <v>70</v>
          </cell>
          <cell r="AC486">
            <v>50</v>
          </cell>
          <cell r="AD486" t="str">
            <v>Flat</v>
          </cell>
          <cell r="AE486" t="str">
            <v>Duplex</v>
          </cell>
          <cell r="AF486" t="str">
            <v>568 - Without Partition</v>
          </cell>
          <cell r="AG486" t="str">
            <v xml:space="preserve">Without Partition </v>
          </cell>
          <cell r="AH486" t="str">
            <v xml:space="preserve">Without Partition </v>
          </cell>
          <cell r="AI486" t="str">
            <v>GREEN</v>
          </cell>
          <cell r="AJ486" t="str">
            <v>Flat / GREEN</v>
          </cell>
          <cell r="AK486">
            <v>1050000</v>
          </cell>
          <cell r="AL486">
            <v>15000</v>
          </cell>
          <cell r="AM486">
            <v>1650000</v>
          </cell>
          <cell r="AN486">
            <v>33000</v>
          </cell>
          <cell r="AO486">
            <v>150000</v>
          </cell>
          <cell r="AP486">
            <v>2850000</v>
          </cell>
          <cell r="AQ486"/>
          <cell r="AR486">
            <v>2850000</v>
          </cell>
          <cell r="AS486">
            <v>200000</v>
          </cell>
          <cell r="AT486">
            <v>2650000</v>
          </cell>
          <cell r="AU486">
            <v>100000</v>
          </cell>
          <cell r="AV486">
            <v>2550000</v>
          </cell>
          <cell r="AW486">
            <v>0</v>
          </cell>
          <cell r="AX486">
            <v>2550000</v>
          </cell>
        </row>
        <row r="487">
          <cell r="G487" t="str">
            <v>AGM-01-025-004</v>
          </cell>
          <cell r="H487" t="str">
            <v xml:space="preserve">Raemulan Lands, Inc. </v>
          </cell>
          <cell r="I487" t="str">
            <v>Agapeya</v>
          </cell>
          <cell r="J487" t="str">
            <v>AGM</v>
          </cell>
          <cell r="K487" t="str">
            <v>Eco-High</v>
          </cell>
          <cell r="L487" t="str">
            <v>West</v>
          </cell>
          <cell r="M487" t="str">
            <v>With LTS - 2024</v>
          </cell>
          <cell r="N487" t="str">
            <v>YES</v>
          </cell>
          <cell r="O487" t="str">
            <v>YES</v>
          </cell>
          <cell r="P487" t="str">
            <v>Unaffected lots</v>
          </cell>
          <cell r="Q487" t="str">
            <v>YES</v>
          </cell>
          <cell r="R487">
            <v>70</v>
          </cell>
          <cell r="S487" t="str">
            <v>PCS-04-034298</v>
          </cell>
          <cell r="T487" t="str">
            <v>TCT-060-2024021634</v>
          </cell>
          <cell r="U487" t="b">
            <v>1</v>
          </cell>
          <cell r="V487" t="str">
            <v>Done</v>
          </cell>
          <cell r="W487" t="str">
            <v>B1 2025</v>
          </cell>
          <cell r="X487" t="str">
            <v>2025 - Batch 4</v>
          </cell>
          <cell r="Y487">
            <v>25</v>
          </cell>
          <cell r="Z487">
            <v>4</v>
          </cell>
          <cell r="AA487" t="str">
            <v>H+L</v>
          </cell>
          <cell r="AB487">
            <v>70</v>
          </cell>
          <cell r="AC487">
            <v>50</v>
          </cell>
          <cell r="AD487" t="str">
            <v>Slant</v>
          </cell>
          <cell r="AE487" t="str">
            <v>Duplex</v>
          </cell>
          <cell r="AF487" t="str">
            <v>568 - Without Partition</v>
          </cell>
          <cell r="AG487" t="str">
            <v xml:space="preserve">Without Partition </v>
          </cell>
          <cell r="AH487" t="str">
            <v xml:space="preserve">Without Partition </v>
          </cell>
          <cell r="AI487" t="str">
            <v>GREEN</v>
          </cell>
          <cell r="AJ487" t="str">
            <v>Slant / GREEN</v>
          </cell>
          <cell r="AK487">
            <v>1050000</v>
          </cell>
          <cell r="AL487">
            <v>15000</v>
          </cell>
          <cell r="AM487">
            <v>1650000</v>
          </cell>
          <cell r="AN487">
            <v>33000</v>
          </cell>
          <cell r="AO487">
            <v>150000</v>
          </cell>
          <cell r="AP487">
            <v>2850000</v>
          </cell>
          <cell r="AQ487"/>
          <cell r="AR487">
            <v>2850000</v>
          </cell>
          <cell r="AS487">
            <v>200000</v>
          </cell>
          <cell r="AT487">
            <v>2650000</v>
          </cell>
          <cell r="AU487">
            <v>100000</v>
          </cell>
          <cell r="AV487">
            <v>2550000</v>
          </cell>
          <cell r="AW487">
            <v>0</v>
          </cell>
          <cell r="AX487">
            <v>2550000</v>
          </cell>
        </row>
        <row r="488">
          <cell r="G488" t="str">
            <v>AGM-01-025-005</v>
          </cell>
          <cell r="H488" t="str">
            <v xml:space="preserve">Raemulan Lands, Inc. </v>
          </cell>
          <cell r="I488" t="str">
            <v>Agapeya</v>
          </cell>
          <cell r="J488" t="str">
            <v>AGM</v>
          </cell>
          <cell r="K488" t="str">
            <v>Eco-High</v>
          </cell>
          <cell r="L488" t="str">
            <v>West</v>
          </cell>
          <cell r="M488" t="str">
            <v>With LTS - 2024</v>
          </cell>
          <cell r="N488" t="str">
            <v>YES</v>
          </cell>
          <cell r="O488" t="str">
            <v>YES</v>
          </cell>
          <cell r="P488" t="str">
            <v>Unaffected lots</v>
          </cell>
          <cell r="Q488" t="str">
            <v>YES</v>
          </cell>
          <cell r="R488">
            <v>70</v>
          </cell>
          <cell r="S488" t="str">
            <v>PCS-04-034298</v>
          </cell>
          <cell r="T488" t="str">
            <v>TCT-060-2024021635</v>
          </cell>
          <cell r="U488" t="b">
            <v>1</v>
          </cell>
          <cell r="V488" t="str">
            <v>Done</v>
          </cell>
          <cell r="W488" t="str">
            <v>B1 2025</v>
          </cell>
          <cell r="X488" t="str">
            <v>2025 - Batch 4</v>
          </cell>
          <cell r="Y488">
            <v>25</v>
          </cell>
          <cell r="Z488">
            <v>5</v>
          </cell>
          <cell r="AA488" t="str">
            <v>H+L</v>
          </cell>
          <cell r="AB488">
            <v>70</v>
          </cell>
          <cell r="AC488">
            <v>50</v>
          </cell>
          <cell r="AD488" t="str">
            <v>Slant</v>
          </cell>
          <cell r="AE488" t="str">
            <v>Duplex</v>
          </cell>
          <cell r="AF488" t="str">
            <v>568 - Without Partition</v>
          </cell>
          <cell r="AG488" t="str">
            <v xml:space="preserve">Without Partition </v>
          </cell>
          <cell r="AH488" t="str">
            <v xml:space="preserve">Without Partition </v>
          </cell>
          <cell r="AI488" t="str">
            <v>GREEN</v>
          </cell>
          <cell r="AJ488" t="str">
            <v>Slant / GREEN</v>
          </cell>
          <cell r="AK488">
            <v>1050000</v>
          </cell>
          <cell r="AL488">
            <v>15000</v>
          </cell>
          <cell r="AM488">
            <v>1650000</v>
          </cell>
          <cell r="AN488">
            <v>33000</v>
          </cell>
          <cell r="AO488">
            <v>150000</v>
          </cell>
          <cell r="AP488">
            <v>2850000</v>
          </cell>
          <cell r="AQ488"/>
          <cell r="AR488">
            <v>2850000</v>
          </cell>
          <cell r="AS488">
            <v>200000</v>
          </cell>
          <cell r="AT488">
            <v>2650000</v>
          </cell>
          <cell r="AU488">
            <v>100000</v>
          </cell>
          <cell r="AV488">
            <v>2550000</v>
          </cell>
          <cell r="AW488">
            <v>0</v>
          </cell>
          <cell r="AX488">
            <v>2550000</v>
          </cell>
        </row>
        <row r="489">
          <cell r="G489" t="str">
            <v>AGM-01-025-006</v>
          </cell>
          <cell r="H489" t="str">
            <v xml:space="preserve">Raemulan Lands, Inc. </v>
          </cell>
          <cell r="I489" t="str">
            <v>Agapeya</v>
          </cell>
          <cell r="J489" t="str">
            <v>AGM</v>
          </cell>
          <cell r="K489" t="str">
            <v>Eco-High</v>
          </cell>
          <cell r="L489" t="str">
            <v>West</v>
          </cell>
          <cell r="M489" t="str">
            <v>With LTS - 2024</v>
          </cell>
          <cell r="N489" t="str">
            <v>YES</v>
          </cell>
          <cell r="O489" t="str">
            <v>YES</v>
          </cell>
          <cell r="P489" t="str">
            <v>Unaffected lots</v>
          </cell>
          <cell r="Q489" t="str">
            <v>YES</v>
          </cell>
          <cell r="R489">
            <v>70</v>
          </cell>
          <cell r="S489" t="str">
            <v>PCS-04-034298</v>
          </cell>
          <cell r="T489" t="str">
            <v>TCT-060-2024021636</v>
          </cell>
          <cell r="U489" t="b">
            <v>1</v>
          </cell>
          <cell r="V489" t="str">
            <v>Done</v>
          </cell>
          <cell r="W489" t="str">
            <v>B1 2025</v>
          </cell>
          <cell r="X489" t="str">
            <v>2025 - Batch 4</v>
          </cell>
          <cell r="Y489">
            <v>25</v>
          </cell>
          <cell r="Z489">
            <v>6</v>
          </cell>
          <cell r="AA489" t="str">
            <v>H+L</v>
          </cell>
          <cell r="AB489">
            <v>70</v>
          </cell>
          <cell r="AC489">
            <v>50</v>
          </cell>
          <cell r="AD489" t="str">
            <v>Flat</v>
          </cell>
          <cell r="AE489" t="str">
            <v>Duplex</v>
          </cell>
          <cell r="AF489" t="str">
            <v>568 - Without Partition</v>
          </cell>
          <cell r="AG489" t="str">
            <v xml:space="preserve">Without Partition </v>
          </cell>
          <cell r="AH489" t="str">
            <v xml:space="preserve">Without Partition </v>
          </cell>
          <cell r="AI489" t="str">
            <v>GREEN</v>
          </cell>
          <cell r="AJ489" t="str">
            <v>Flat / GREEN</v>
          </cell>
          <cell r="AK489">
            <v>1050000</v>
          </cell>
          <cell r="AL489">
            <v>15000</v>
          </cell>
          <cell r="AM489">
            <v>1650000</v>
          </cell>
          <cell r="AN489">
            <v>33000</v>
          </cell>
          <cell r="AO489">
            <v>150000</v>
          </cell>
          <cell r="AP489">
            <v>2850000</v>
          </cell>
          <cell r="AQ489"/>
          <cell r="AR489">
            <v>2850000</v>
          </cell>
          <cell r="AS489">
            <v>200000</v>
          </cell>
          <cell r="AT489">
            <v>2650000</v>
          </cell>
          <cell r="AU489">
            <v>100000</v>
          </cell>
          <cell r="AV489">
            <v>2550000</v>
          </cell>
          <cell r="AW489">
            <v>0</v>
          </cell>
          <cell r="AX489">
            <v>2550000</v>
          </cell>
        </row>
        <row r="490">
          <cell r="G490" t="str">
            <v>AGM-01-025-007</v>
          </cell>
          <cell r="H490" t="str">
            <v xml:space="preserve">Raemulan Lands, Inc. </v>
          </cell>
          <cell r="I490" t="str">
            <v>Agapeya</v>
          </cell>
          <cell r="J490" t="str">
            <v>AGM</v>
          </cell>
          <cell r="K490" t="str">
            <v>Eco-High</v>
          </cell>
          <cell r="L490" t="str">
            <v>West</v>
          </cell>
          <cell r="M490" t="str">
            <v>With LTS - 2024</v>
          </cell>
          <cell r="N490" t="str">
            <v>YES</v>
          </cell>
          <cell r="O490" t="str">
            <v>YES</v>
          </cell>
          <cell r="P490" t="str">
            <v>Unaffected lots</v>
          </cell>
          <cell r="Q490" t="str">
            <v>YES</v>
          </cell>
          <cell r="R490">
            <v>70</v>
          </cell>
          <cell r="S490" t="str">
            <v>PCS-04-034298</v>
          </cell>
          <cell r="T490" t="str">
            <v>TCT-060-2024021637</v>
          </cell>
          <cell r="U490" t="b">
            <v>1</v>
          </cell>
          <cell r="V490" t="str">
            <v>Done</v>
          </cell>
          <cell r="W490" t="str">
            <v>B1 2025</v>
          </cell>
          <cell r="X490" t="str">
            <v>2025 - Batch 4</v>
          </cell>
          <cell r="Y490">
            <v>25</v>
          </cell>
          <cell r="Z490">
            <v>7</v>
          </cell>
          <cell r="AA490" t="str">
            <v>H+L</v>
          </cell>
          <cell r="AB490">
            <v>70</v>
          </cell>
          <cell r="AC490">
            <v>50</v>
          </cell>
          <cell r="AD490" t="str">
            <v>Flat</v>
          </cell>
          <cell r="AE490" t="str">
            <v>Duplex</v>
          </cell>
          <cell r="AF490" t="str">
            <v>568 - Without Partition</v>
          </cell>
          <cell r="AG490" t="str">
            <v xml:space="preserve">Without Partition </v>
          </cell>
          <cell r="AH490" t="str">
            <v xml:space="preserve">Without Partition </v>
          </cell>
          <cell r="AI490" t="str">
            <v>PURPLE</v>
          </cell>
          <cell r="AJ490" t="str">
            <v>Flat / PURPLE</v>
          </cell>
          <cell r="AK490">
            <v>1050000</v>
          </cell>
          <cell r="AL490">
            <v>15000</v>
          </cell>
          <cell r="AM490">
            <v>1650000</v>
          </cell>
          <cell r="AN490">
            <v>33000</v>
          </cell>
          <cell r="AO490">
            <v>150000</v>
          </cell>
          <cell r="AP490">
            <v>2850000</v>
          </cell>
          <cell r="AQ490"/>
          <cell r="AR490">
            <v>2850000</v>
          </cell>
          <cell r="AS490">
            <v>200000</v>
          </cell>
          <cell r="AT490">
            <v>2650000</v>
          </cell>
          <cell r="AU490">
            <v>100000</v>
          </cell>
          <cell r="AV490">
            <v>2550000</v>
          </cell>
          <cell r="AW490">
            <v>0</v>
          </cell>
          <cell r="AX490">
            <v>2550000</v>
          </cell>
        </row>
        <row r="491">
          <cell r="G491" t="str">
            <v>AGM-01-025-008</v>
          </cell>
          <cell r="H491" t="str">
            <v xml:space="preserve">Raemulan Lands, Inc. </v>
          </cell>
          <cell r="I491" t="str">
            <v>Agapeya</v>
          </cell>
          <cell r="J491" t="str">
            <v>AGM</v>
          </cell>
          <cell r="K491" t="str">
            <v>Eco-High</v>
          </cell>
          <cell r="L491" t="str">
            <v>West</v>
          </cell>
          <cell r="M491" t="str">
            <v>With LTS - 2024</v>
          </cell>
          <cell r="N491" t="str">
            <v>YES</v>
          </cell>
          <cell r="O491" t="str">
            <v>YES</v>
          </cell>
          <cell r="P491" t="str">
            <v>Unaffected lots</v>
          </cell>
          <cell r="Q491" t="str">
            <v>YES</v>
          </cell>
          <cell r="R491">
            <v>70</v>
          </cell>
          <cell r="S491" t="str">
            <v>PCS-04-034298</v>
          </cell>
          <cell r="T491" t="str">
            <v>TCT-060-2024021638</v>
          </cell>
          <cell r="U491" t="b">
            <v>1</v>
          </cell>
          <cell r="V491" t="str">
            <v>Done</v>
          </cell>
          <cell r="W491" t="str">
            <v>B1 2025</v>
          </cell>
          <cell r="X491" t="str">
            <v>2025 - Batch 4</v>
          </cell>
          <cell r="Y491">
            <v>25</v>
          </cell>
          <cell r="Z491">
            <v>8</v>
          </cell>
          <cell r="AA491" t="str">
            <v>H+L</v>
          </cell>
          <cell r="AB491">
            <v>70</v>
          </cell>
          <cell r="AC491">
            <v>50</v>
          </cell>
          <cell r="AD491" t="str">
            <v>Slant</v>
          </cell>
          <cell r="AE491" t="str">
            <v>Duplex</v>
          </cell>
          <cell r="AF491" t="str">
            <v>568 - Without Partition</v>
          </cell>
          <cell r="AG491" t="str">
            <v xml:space="preserve">Without Partition </v>
          </cell>
          <cell r="AH491" t="str">
            <v xml:space="preserve">Without Partition </v>
          </cell>
          <cell r="AI491" t="str">
            <v>PURPLE</v>
          </cell>
          <cell r="AJ491" t="str">
            <v>Slant / PURPLE</v>
          </cell>
          <cell r="AK491">
            <v>1050000</v>
          </cell>
          <cell r="AL491">
            <v>15000</v>
          </cell>
          <cell r="AM491">
            <v>1650000</v>
          </cell>
          <cell r="AN491">
            <v>33000</v>
          </cell>
          <cell r="AO491">
            <v>150000</v>
          </cell>
          <cell r="AP491">
            <v>2850000</v>
          </cell>
          <cell r="AQ491"/>
          <cell r="AR491">
            <v>2850000</v>
          </cell>
          <cell r="AS491">
            <v>200000</v>
          </cell>
          <cell r="AT491">
            <v>2650000</v>
          </cell>
          <cell r="AU491">
            <v>100000</v>
          </cell>
          <cell r="AV491">
            <v>2550000</v>
          </cell>
          <cell r="AW491">
            <v>0</v>
          </cell>
          <cell r="AX491">
            <v>2550000</v>
          </cell>
        </row>
        <row r="492">
          <cell r="G492" t="str">
            <v>AGM-01-025-009</v>
          </cell>
          <cell r="H492" t="str">
            <v xml:space="preserve">Raemulan Lands, Inc. </v>
          </cell>
          <cell r="I492" t="str">
            <v>Agapeya</v>
          </cell>
          <cell r="J492" t="str">
            <v>AGM</v>
          </cell>
          <cell r="K492" t="str">
            <v>Eco-High</v>
          </cell>
          <cell r="L492" t="str">
            <v>West</v>
          </cell>
          <cell r="M492" t="str">
            <v>With LTS - 2024</v>
          </cell>
          <cell r="N492" t="str">
            <v>YES</v>
          </cell>
          <cell r="O492" t="str">
            <v>YES</v>
          </cell>
          <cell r="P492" t="str">
            <v>Unaffected lots</v>
          </cell>
          <cell r="Q492" t="str">
            <v>YES</v>
          </cell>
          <cell r="R492">
            <v>70</v>
          </cell>
          <cell r="S492" t="str">
            <v>PCS-04-034298</v>
          </cell>
          <cell r="T492" t="str">
            <v>TCT-060-2024021639</v>
          </cell>
          <cell r="U492" t="b">
            <v>1</v>
          </cell>
          <cell r="V492" t="str">
            <v>Done</v>
          </cell>
          <cell r="W492" t="str">
            <v>B1 2025</v>
          </cell>
          <cell r="X492" t="str">
            <v>2025 - Batch 1</v>
          </cell>
          <cell r="Y492">
            <v>25</v>
          </cell>
          <cell r="Z492">
            <v>9</v>
          </cell>
          <cell r="AA492" t="str">
            <v>H+L</v>
          </cell>
          <cell r="AB492">
            <v>70</v>
          </cell>
          <cell r="AC492">
            <v>50</v>
          </cell>
          <cell r="AD492" t="str">
            <v>Slant</v>
          </cell>
          <cell r="AE492" t="str">
            <v>Duplex</v>
          </cell>
          <cell r="AF492" t="str">
            <v>568 - Without Partition</v>
          </cell>
          <cell r="AG492" t="str">
            <v xml:space="preserve">Without Partition </v>
          </cell>
          <cell r="AH492" t="str">
            <v xml:space="preserve">Without Partition </v>
          </cell>
          <cell r="AI492" t="str">
            <v>PURPLE</v>
          </cell>
          <cell r="AJ492" t="str">
            <v>Slant / PURPLE</v>
          </cell>
          <cell r="AK492">
            <v>1050000</v>
          </cell>
          <cell r="AL492">
            <v>15000</v>
          </cell>
          <cell r="AM492">
            <v>1650000</v>
          </cell>
          <cell r="AN492">
            <v>33000</v>
          </cell>
          <cell r="AO492">
            <v>150000</v>
          </cell>
          <cell r="AP492">
            <v>2850000</v>
          </cell>
          <cell r="AQ492"/>
          <cell r="AR492">
            <v>2850000</v>
          </cell>
          <cell r="AS492">
            <v>200000</v>
          </cell>
          <cell r="AT492">
            <v>2650000</v>
          </cell>
          <cell r="AU492">
            <v>100000</v>
          </cell>
          <cell r="AV492">
            <v>2550000</v>
          </cell>
          <cell r="AW492">
            <v>0</v>
          </cell>
          <cell r="AX492">
            <v>2550000</v>
          </cell>
        </row>
        <row r="493">
          <cell r="G493" t="str">
            <v>AGM-01-025-010</v>
          </cell>
          <cell r="H493" t="str">
            <v xml:space="preserve">Raemulan Lands, Inc. </v>
          </cell>
          <cell r="I493" t="str">
            <v>Agapeya</v>
          </cell>
          <cell r="J493" t="str">
            <v>AGM</v>
          </cell>
          <cell r="K493" t="str">
            <v>Eco-High</v>
          </cell>
          <cell r="L493" t="str">
            <v>West</v>
          </cell>
          <cell r="M493" t="str">
            <v>With LTS - 2024</v>
          </cell>
          <cell r="N493" t="str">
            <v>YES</v>
          </cell>
          <cell r="O493" t="str">
            <v>YES</v>
          </cell>
          <cell r="P493" t="str">
            <v>Unaffected lots</v>
          </cell>
          <cell r="Q493" t="str">
            <v>YES</v>
          </cell>
          <cell r="R493">
            <v>70</v>
          </cell>
          <cell r="S493" t="str">
            <v>PCS-04-034298</v>
          </cell>
          <cell r="T493" t="str">
            <v>TCT-060-2024021640</v>
          </cell>
          <cell r="U493" t="b">
            <v>1</v>
          </cell>
          <cell r="V493" t="str">
            <v>Done</v>
          </cell>
          <cell r="W493" t="str">
            <v>B1 2025</v>
          </cell>
          <cell r="X493" t="str">
            <v>2025 - Batch 1</v>
          </cell>
          <cell r="Y493">
            <v>25</v>
          </cell>
          <cell r="Z493">
            <v>10</v>
          </cell>
          <cell r="AA493" t="str">
            <v>H+L</v>
          </cell>
          <cell r="AB493">
            <v>70</v>
          </cell>
          <cell r="AC493">
            <v>50</v>
          </cell>
          <cell r="AD493" t="str">
            <v>Flat</v>
          </cell>
          <cell r="AE493" t="str">
            <v>Duplex</v>
          </cell>
          <cell r="AF493" t="str">
            <v>568 - Without Partition</v>
          </cell>
          <cell r="AG493" t="str">
            <v xml:space="preserve">Without Partition </v>
          </cell>
          <cell r="AH493" t="str">
            <v xml:space="preserve">Without Partition </v>
          </cell>
          <cell r="AI493" t="str">
            <v>PURPLE</v>
          </cell>
          <cell r="AJ493" t="str">
            <v>Flat / PURPLE</v>
          </cell>
          <cell r="AK493">
            <v>1050000</v>
          </cell>
          <cell r="AL493">
            <v>15000</v>
          </cell>
          <cell r="AM493">
            <v>1650000</v>
          </cell>
          <cell r="AN493">
            <v>33000</v>
          </cell>
          <cell r="AO493">
            <v>150000</v>
          </cell>
          <cell r="AP493">
            <v>2850000</v>
          </cell>
          <cell r="AQ493"/>
          <cell r="AR493">
            <v>2850000</v>
          </cell>
          <cell r="AS493">
            <v>200000</v>
          </cell>
          <cell r="AT493">
            <v>2650000</v>
          </cell>
          <cell r="AU493">
            <v>100000</v>
          </cell>
          <cell r="AV493">
            <v>2550000</v>
          </cell>
          <cell r="AW493">
            <v>0</v>
          </cell>
          <cell r="AX493">
            <v>2550000</v>
          </cell>
        </row>
        <row r="494">
          <cell r="G494" t="str">
            <v>AGM-01-025-011</v>
          </cell>
          <cell r="H494" t="str">
            <v xml:space="preserve">Raemulan Lands, Inc. </v>
          </cell>
          <cell r="I494" t="str">
            <v>Agapeya</v>
          </cell>
          <cell r="J494" t="str">
            <v>AGM</v>
          </cell>
          <cell r="K494" t="str">
            <v>Eco-High</v>
          </cell>
          <cell r="L494" t="str">
            <v>West</v>
          </cell>
          <cell r="M494" t="str">
            <v>With LTS - 2024</v>
          </cell>
          <cell r="N494" t="str">
            <v>YES</v>
          </cell>
          <cell r="O494" t="str">
            <v>YES</v>
          </cell>
          <cell r="P494" t="str">
            <v>Unaffected lots</v>
          </cell>
          <cell r="Q494" t="str">
            <v>YES</v>
          </cell>
          <cell r="R494">
            <v>70</v>
          </cell>
          <cell r="S494" t="str">
            <v>PCS-04-034298</v>
          </cell>
          <cell r="T494" t="str">
            <v>TCT-060-2024021641</v>
          </cell>
          <cell r="U494" t="b">
            <v>1</v>
          </cell>
          <cell r="V494" t="str">
            <v>Done</v>
          </cell>
          <cell r="W494" t="str">
            <v>B1 2025</v>
          </cell>
          <cell r="X494" t="str">
            <v>2025 - Batch 1</v>
          </cell>
          <cell r="Y494">
            <v>25</v>
          </cell>
          <cell r="Z494">
            <v>11</v>
          </cell>
          <cell r="AA494" t="str">
            <v>H+L</v>
          </cell>
          <cell r="AB494">
            <v>70</v>
          </cell>
          <cell r="AC494">
            <v>50</v>
          </cell>
          <cell r="AD494" t="str">
            <v>Flat</v>
          </cell>
          <cell r="AE494" t="str">
            <v>Duplex</v>
          </cell>
          <cell r="AF494" t="str">
            <v>568 - Without Partition</v>
          </cell>
          <cell r="AG494" t="str">
            <v xml:space="preserve">Without Partition </v>
          </cell>
          <cell r="AH494" t="str">
            <v xml:space="preserve">Without Partition </v>
          </cell>
          <cell r="AI494" t="str">
            <v>PINK</v>
          </cell>
          <cell r="AJ494" t="str">
            <v>Flat / PINK</v>
          </cell>
          <cell r="AK494">
            <v>1050000</v>
          </cell>
          <cell r="AL494">
            <v>15000</v>
          </cell>
          <cell r="AM494">
            <v>1650000</v>
          </cell>
          <cell r="AN494">
            <v>33000</v>
          </cell>
          <cell r="AO494">
            <v>150000</v>
          </cell>
          <cell r="AP494">
            <v>2850000</v>
          </cell>
          <cell r="AQ494"/>
          <cell r="AR494">
            <v>2850000</v>
          </cell>
          <cell r="AS494">
            <v>200000</v>
          </cell>
          <cell r="AT494">
            <v>2650000</v>
          </cell>
          <cell r="AU494">
            <v>100000</v>
          </cell>
          <cell r="AV494">
            <v>2550000</v>
          </cell>
          <cell r="AW494">
            <v>0</v>
          </cell>
          <cell r="AX494">
            <v>2550000</v>
          </cell>
        </row>
        <row r="495">
          <cell r="G495" t="str">
            <v>AGM-01-025-012</v>
          </cell>
          <cell r="H495" t="str">
            <v xml:space="preserve">Raemulan Lands, Inc. </v>
          </cell>
          <cell r="I495" t="str">
            <v>Agapeya</v>
          </cell>
          <cell r="J495" t="str">
            <v>AGM</v>
          </cell>
          <cell r="K495" t="str">
            <v>Eco-High</v>
          </cell>
          <cell r="L495" t="str">
            <v>West</v>
          </cell>
          <cell r="M495" t="str">
            <v>With LTS - 2024</v>
          </cell>
          <cell r="N495" t="str">
            <v>YES</v>
          </cell>
          <cell r="O495" t="str">
            <v>YES</v>
          </cell>
          <cell r="P495" t="str">
            <v>Unaffected lots</v>
          </cell>
          <cell r="Q495" t="str">
            <v>YES</v>
          </cell>
          <cell r="R495">
            <v>70</v>
          </cell>
          <cell r="S495" t="str">
            <v>PCS-04-034298</v>
          </cell>
          <cell r="T495" t="str">
            <v>TCT-060-2024021642</v>
          </cell>
          <cell r="U495" t="b">
            <v>1</v>
          </cell>
          <cell r="V495" t="str">
            <v>Done</v>
          </cell>
          <cell r="W495" t="str">
            <v>B1 2025</v>
          </cell>
          <cell r="X495" t="str">
            <v>2025 - Batch 1</v>
          </cell>
          <cell r="Y495">
            <v>25</v>
          </cell>
          <cell r="Z495">
            <v>12</v>
          </cell>
          <cell r="AA495" t="str">
            <v>H+L</v>
          </cell>
          <cell r="AB495">
            <v>70</v>
          </cell>
          <cell r="AC495">
            <v>50</v>
          </cell>
          <cell r="AD495" t="str">
            <v>Slant</v>
          </cell>
          <cell r="AE495" t="str">
            <v>Duplex</v>
          </cell>
          <cell r="AF495" t="str">
            <v>568 - Without Partition</v>
          </cell>
          <cell r="AG495" t="str">
            <v xml:space="preserve">Without Partition </v>
          </cell>
          <cell r="AH495" t="str">
            <v xml:space="preserve">Without Partition </v>
          </cell>
          <cell r="AI495" t="str">
            <v>PINK</v>
          </cell>
          <cell r="AJ495" t="str">
            <v>Slant / PINK</v>
          </cell>
          <cell r="AK495">
            <v>1050000</v>
          </cell>
          <cell r="AL495">
            <v>15000</v>
          </cell>
          <cell r="AM495">
            <v>1650000</v>
          </cell>
          <cell r="AN495">
            <v>33000</v>
          </cell>
          <cell r="AO495">
            <v>150000</v>
          </cell>
          <cell r="AP495">
            <v>2850000</v>
          </cell>
          <cell r="AQ495"/>
          <cell r="AR495">
            <v>2850000</v>
          </cell>
          <cell r="AS495">
            <v>200000</v>
          </cell>
          <cell r="AT495">
            <v>2650000</v>
          </cell>
          <cell r="AU495">
            <v>100000</v>
          </cell>
          <cell r="AV495">
            <v>2550000</v>
          </cell>
          <cell r="AW495">
            <v>0</v>
          </cell>
          <cell r="AX495">
            <v>2550000</v>
          </cell>
        </row>
        <row r="496">
          <cell r="G496" t="str">
            <v>AGM-01-025-013</v>
          </cell>
          <cell r="H496" t="str">
            <v xml:space="preserve">Raemulan Lands, Inc. </v>
          </cell>
          <cell r="I496" t="str">
            <v>Agapeya</v>
          </cell>
          <cell r="J496" t="str">
            <v>AGM</v>
          </cell>
          <cell r="K496" t="str">
            <v>Eco-High</v>
          </cell>
          <cell r="L496" t="str">
            <v>West</v>
          </cell>
          <cell r="M496" t="str">
            <v>With LTS - 2024</v>
          </cell>
          <cell r="N496" t="str">
            <v>YES</v>
          </cell>
          <cell r="O496" t="str">
            <v>YES</v>
          </cell>
          <cell r="P496" t="str">
            <v>Unaffected lots</v>
          </cell>
          <cell r="Q496" t="str">
            <v>YES</v>
          </cell>
          <cell r="R496">
            <v>70</v>
          </cell>
          <cell r="S496" t="str">
            <v>PCS-04-034298</v>
          </cell>
          <cell r="T496" t="str">
            <v>TCT-060-2024021643</v>
          </cell>
          <cell r="U496" t="b">
            <v>1</v>
          </cell>
          <cell r="V496" t="str">
            <v>Done</v>
          </cell>
          <cell r="W496" t="str">
            <v>B1 2025</v>
          </cell>
          <cell r="X496" t="str">
            <v>2025 - Batch 1</v>
          </cell>
          <cell r="Y496">
            <v>25</v>
          </cell>
          <cell r="Z496">
            <v>13</v>
          </cell>
          <cell r="AA496" t="str">
            <v>H+L</v>
          </cell>
          <cell r="AB496">
            <v>70</v>
          </cell>
          <cell r="AC496">
            <v>50</v>
          </cell>
          <cell r="AD496" t="str">
            <v>Slant</v>
          </cell>
          <cell r="AE496" t="str">
            <v>Duplex</v>
          </cell>
          <cell r="AF496" t="str">
            <v>568 - Without Partition</v>
          </cell>
          <cell r="AG496" t="str">
            <v xml:space="preserve">Without Partition </v>
          </cell>
          <cell r="AH496" t="str">
            <v xml:space="preserve">Without Partition </v>
          </cell>
          <cell r="AI496" t="str">
            <v>PINK</v>
          </cell>
          <cell r="AJ496" t="str">
            <v>Slant / PINK</v>
          </cell>
          <cell r="AK496">
            <v>1050000</v>
          </cell>
          <cell r="AL496">
            <v>15000</v>
          </cell>
          <cell r="AM496">
            <v>1650000</v>
          </cell>
          <cell r="AN496">
            <v>33000</v>
          </cell>
          <cell r="AO496">
            <v>150000</v>
          </cell>
          <cell r="AP496">
            <v>2850000</v>
          </cell>
          <cell r="AQ496"/>
          <cell r="AR496">
            <v>2850000</v>
          </cell>
          <cell r="AS496">
            <v>200000</v>
          </cell>
          <cell r="AT496">
            <v>2650000</v>
          </cell>
          <cell r="AU496">
            <v>100000</v>
          </cell>
          <cell r="AV496">
            <v>2550000</v>
          </cell>
          <cell r="AW496">
            <v>0</v>
          </cell>
          <cell r="AX496">
            <v>2550000</v>
          </cell>
        </row>
        <row r="497">
          <cell r="G497" t="str">
            <v>AGM-01-025-014</v>
          </cell>
          <cell r="H497" t="str">
            <v xml:space="preserve">Raemulan Lands, Inc. </v>
          </cell>
          <cell r="I497" t="str">
            <v>Agapeya</v>
          </cell>
          <cell r="J497" t="str">
            <v>AGM</v>
          </cell>
          <cell r="K497" t="str">
            <v>Eco-High</v>
          </cell>
          <cell r="L497" t="str">
            <v>West</v>
          </cell>
          <cell r="M497" t="str">
            <v>With LTS - 2024</v>
          </cell>
          <cell r="N497" t="str">
            <v>YES</v>
          </cell>
          <cell r="O497" t="str">
            <v>YES</v>
          </cell>
          <cell r="P497" t="str">
            <v>Unaffected lots</v>
          </cell>
          <cell r="Q497" t="str">
            <v>YES</v>
          </cell>
          <cell r="R497">
            <v>70</v>
          </cell>
          <cell r="S497" t="str">
            <v>PCS-04-035871</v>
          </cell>
          <cell r="T497" t="str">
            <v>TCT-060-2025015498</v>
          </cell>
          <cell r="U497" t="b">
            <v>1</v>
          </cell>
          <cell r="V497" t="str">
            <v>Done</v>
          </cell>
          <cell r="W497" t="str">
            <v>B1 2025</v>
          </cell>
          <cell r="X497" t="str">
            <v>2025 - Batch 1</v>
          </cell>
          <cell r="Y497">
            <v>25</v>
          </cell>
          <cell r="Z497">
            <v>14</v>
          </cell>
          <cell r="AA497" t="str">
            <v>H+L</v>
          </cell>
          <cell r="AB497">
            <v>70</v>
          </cell>
          <cell r="AC497">
            <v>50</v>
          </cell>
          <cell r="AD497" t="str">
            <v>Flat</v>
          </cell>
          <cell r="AE497" t="str">
            <v>Duplex</v>
          </cell>
          <cell r="AF497" t="str">
            <v>568 - Without Partition</v>
          </cell>
          <cell r="AG497" t="str">
            <v xml:space="preserve">Without Partition </v>
          </cell>
          <cell r="AH497" t="str">
            <v xml:space="preserve">Without Partition </v>
          </cell>
          <cell r="AI497" t="str">
            <v>PINK</v>
          </cell>
          <cell r="AJ497" t="str">
            <v>Flat / PINK</v>
          </cell>
          <cell r="AK497">
            <v>1050000</v>
          </cell>
          <cell r="AL497">
            <v>15000</v>
          </cell>
          <cell r="AM497">
            <v>1650000</v>
          </cell>
          <cell r="AN497">
            <v>33000</v>
          </cell>
          <cell r="AO497">
            <v>150000</v>
          </cell>
          <cell r="AP497">
            <v>2850000</v>
          </cell>
          <cell r="AQ497"/>
          <cell r="AR497">
            <v>2850000</v>
          </cell>
          <cell r="AS497">
            <v>200000</v>
          </cell>
          <cell r="AT497">
            <v>2650000</v>
          </cell>
          <cell r="AU497">
            <v>100000</v>
          </cell>
          <cell r="AV497">
            <v>2550000</v>
          </cell>
          <cell r="AW497">
            <v>0</v>
          </cell>
          <cell r="AX497">
            <v>2550000</v>
          </cell>
        </row>
        <row r="498">
          <cell r="G498" t="str">
            <v>AGM-01-025-015</v>
          </cell>
          <cell r="H498" t="str">
            <v xml:space="preserve">Raemulan Lands, Inc. </v>
          </cell>
          <cell r="I498" t="str">
            <v>Agapeya</v>
          </cell>
          <cell r="J498" t="str">
            <v>AGM</v>
          </cell>
          <cell r="K498" t="str">
            <v>Eco-High</v>
          </cell>
          <cell r="L498" t="str">
            <v>West</v>
          </cell>
          <cell r="M498" t="str">
            <v>With LTS - 2024</v>
          </cell>
          <cell r="N498" t="str">
            <v>YES</v>
          </cell>
          <cell r="O498" t="str">
            <v>YES</v>
          </cell>
          <cell r="P498" t="str">
            <v>Unaffected lots</v>
          </cell>
          <cell r="Q498" t="str">
            <v>YES</v>
          </cell>
          <cell r="R498">
            <v>70</v>
          </cell>
          <cell r="S498" t="str">
            <v>PCS-04-276764</v>
          </cell>
          <cell r="T498" t="str">
            <v>TCT-060-2024018738</v>
          </cell>
          <cell r="U498" t="b">
            <v>1</v>
          </cell>
          <cell r="V498" t="str">
            <v>Done</v>
          </cell>
          <cell r="W498" t="str">
            <v>B1 2025</v>
          </cell>
          <cell r="X498" t="str">
            <v>2025 - Batch 2</v>
          </cell>
          <cell r="Y498">
            <v>25</v>
          </cell>
          <cell r="Z498">
            <v>15</v>
          </cell>
          <cell r="AA498" t="str">
            <v>H+L</v>
          </cell>
          <cell r="AB498">
            <v>70</v>
          </cell>
          <cell r="AC498">
            <v>50</v>
          </cell>
          <cell r="AD498" t="str">
            <v>Flat</v>
          </cell>
          <cell r="AE498" t="str">
            <v>Duplex</v>
          </cell>
          <cell r="AF498" t="str">
            <v>568 - Without Partition</v>
          </cell>
          <cell r="AG498" t="str">
            <v xml:space="preserve">Without Partition </v>
          </cell>
          <cell r="AH498" t="str">
            <v xml:space="preserve">Without Partition </v>
          </cell>
          <cell r="AI498" t="str">
            <v>YELLOW</v>
          </cell>
          <cell r="AJ498" t="str">
            <v>Flat / YELLOW</v>
          </cell>
          <cell r="AK498">
            <v>1050000</v>
          </cell>
          <cell r="AL498">
            <v>15000</v>
          </cell>
          <cell r="AM498">
            <v>1650000</v>
          </cell>
          <cell r="AN498">
            <v>33000</v>
          </cell>
          <cell r="AO498">
            <v>150000</v>
          </cell>
          <cell r="AP498">
            <v>2850000</v>
          </cell>
          <cell r="AQ498"/>
          <cell r="AR498">
            <v>2850000</v>
          </cell>
          <cell r="AS498">
            <v>200000</v>
          </cell>
          <cell r="AT498">
            <v>2650000</v>
          </cell>
          <cell r="AU498">
            <v>100000</v>
          </cell>
          <cell r="AV498">
            <v>2550000</v>
          </cell>
          <cell r="AW498">
            <v>0</v>
          </cell>
          <cell r="AX498">
            <v>2550000</v>
          </cell>
        </row>
        <row r="499">
          <cell r="G499" t="str">
            <v>AGM-01-025-016</v>
          </cell>
          <cell r="H499" t="str">
            <v xml:space="preserve">Raemulan Lands, Inc. </v>
          </cell>
          <cell r="I499" t="str">
            <v>Agapeya</v>
          </cell>
          <cell r="J499" t="str">
            <v>AGM</v>
          </cell>
          <cell r="K499" t="str">
            <v>Eco-High</v>
          </cell>
          <cell r="L499" t="str">
            <v>West</v>
          </cell>
          <cell r="M499" t="str">
            <v>With LTS - 2024</v>
          </cell>
          <cell r="N499" t="str">
            <v>YES</v>
          </cell>
          <cell r="O499" t="str">
            <v>YES</v>
          </cell>
          <cell r="P499" t="str">
            <v>Unaffected lots</v>
          </cell>
          <cell r="Q499" t="str">
            <v>YES</v>
          </cell>
          <cell r="R499">
            <v>70</v>
          </cell>
          <cell r="S499" t="str">
            <v>PCS-04-276764</v>
          </cell>
          <cell r="T499" t="str">
            <v>TCT-060-2024018739</v>
          </cell>
          <cell r="U499" t="b">
            <v>1</v>
          </cell>
          <cell r="V499" t="str">
            <v>Done</v>
          </cell>
          <cell r="W499" t="str">
            <v>B1 2025</v>
          </cell>
          <cell r="X499" t="str">
            <v>2025 - Batch 2</v>
          </cell>
          <cell r="Y499">
            <v>25</v>
          </cell>
          <cell r="Z499">
            <v>16</v>
          </cell>
          <cell r="AA499" t="str">
            <v>H+L</v>
          </cell>
          <cell r="AB499">
            <v>70</v>
          </cell>
          <cell r="AC499">
            <v>50</v>
          </cell>
          <cell r="AD499" t="str">
            <v>Slant</v>
          </cell>
          <cell r="AE499" t="str">
            <v>Duplex</v>
          </cell>
          <cell r="AF499" t="str">
            <v>568 - Without Partition</v>
          </cell>
          <cell r="AG499" t="str">
            <v xml:space="preserve">Without Partition </v>
          </cell>
          <cell r="AH499" t="str">
            <v xml:space="preserve">Without Partition </v>
          </cell>
          <cell r="AI499" t="str">
            <v>YELLOW</v>
          </cell>
          <cell r="AJ499" t="str">
            <v>Slant / YELLOW</v>
          </cell>
          <cell r="AK499">
            <v>1050000</v>
          </cell>
          <cell r="AL499">
            <v>15000</v>
          </cell>
          <cell r="AM499">
            <v>1650000</v>
          </cell>
          <cell r="AN499">
            <v>33000</v>
          </cell>
          <cell r="AO499">
            <v>150000</v>
          </cell>
          <cell r="AP499">
            <v>2850000</v>
          </cell>
          <cell r="AQ499"/>
          <cell r="AR499">
            <v>2850000</v>
          </cell>
          <cell r="AS499">
            <v>200000</v>
          </cell>
          <cell r="AT499">
            <v>2650000</v>
          </cell>
          <cell r="AU499">
            <v>100000</v>
          </cell>
          <cell r="AV499">
            <v>2550000</v>
          </cell>
          <cell r="AW499">
            <v>0</v>
          </cell>
          <cell r="AX499">
            <v>2550000</v>
          </cell>
        </row>
        <row r="500">
          <cell r="G500" t="str">
            <v>AGM-01-025-017</v>
          </cell>
          <cell r="H500" t="str">
            <v xml:space="preserve">Raemulan Lands, Inc. </v>
          </cell>
          <cell r="I500" t="str">
            <v>Agapeya</v>
          </cell>
          <cell r="J500" t="str">
            <v>AGM</v>
          </cell>
          <cell r="K500" t="str">
            <v>Eco-High</v>
          </cell>
          <cell r="L500" t="str">
            <v>West</v>
          </cell>
          <cell r="M500" t="str">
            <v>With LTS - 2024</v>
          </cell>
          <cell r="N500" t="str">
            <v>YES</v>
          </cell>
          <cell r="O500" t="str">
            <v>YES</v>
          </cell>
          <cell r="P500" t="str">
            <v>Unaffected lots</v>
          </cell>
          <cell r="Q500" t="str">
            <v>YES</v>
          </cell>
          <cell r="R500">
            <v>70</v>
          </cell>
          <cell r="S500" t="str">
            <v>PCS-04-276764</v>
          </cell>
          <cell r="T500" t="str">
            <v>TCT-060-2024018740</v>
          </cell>
          <cell r="U500" t="b">
            <v>1</v>
          </cell>
          <cell r="V500" t="str">
            <v>Done</v>
          </cell>
          <cell r="W500" t="str">
            <v>B1 2025</v>
          </cell>
          <cell r="X500" t="str">
            <v>2025 - Batch 2</v>
          </cell>
          <cell r="Y500">
            <v>25</v>
          </cell>
          <cell r="Z500">
            <v>17</v>
          </cell>
          <cell r="AA500" t="str">
            <v>H+L</v>
          </cell>
          <cell r="AB500">
            <v>70</v>
          </cell>
          <cell r="AC500">
            <v>50</v>
          </cell>
          <cell r="AD500" t="str">
            <v>Slant</v>
          </cell>
          <cell r="AE500" t="str">
            <v>Duplex</v>
          </cell>
          <cell r="AF500" t="str">
            <v>568 - Without Partition</v>
          </cell>
          <cell r="AG500" t="str">
            <v xml:space="preserve">Without Partition </v>
          </cell>
          <cell r="AH500" t="str">
            <v xml:space="preserve">Without Partition </v>
          </cell>
          <cell r="AI500" t="str">
            <v>YELLOW</v>
          </cell>
          <cell r="AJ500" t="str">
            <v>Slant / YELLOW</v>
          </cell>
          <cell r="AK500">
            <v>1050000</v>
          </cell>
          <cell r="AL500">
            <v>15000</v>
          </cell>
          <cell r="AM500">
            <v>1650000</v>
          </cell>
          <cell r="AN500">
            <v>33000</v>
          </cell>
          <cell r="AO500">
            <v>150000</v>
          </cell>
          <cell r="AP500">
            <v>2850000</v>
          </cell>
          <cell r="AQ500"/>
          <cell r="AR500">
            <v>2850000</v>
          </cell>
          <cell r="AS500">
            <v>200000</v>
          </cell>
          <cell r="AT500">
            <v>2650000</v>
          </cell>
          <cell r="AU500">
            <v>100000</v>
          </cell>
          <cell r="AV500">
            <v>2550000</v>
          </cell>
          <cell r="AW500">
            <v>0</v>
          </cell>
          <cell r="AX500">
            <v>2550000</v>
          </cell>
        </row>
        <row r="501">
          <cell r="G501" t="str">
            <v>AGM-01-025-018</v>
          </cell>
          <cell r="H501" t="str">
            <v xml:space="preserve">Raemulan Lands, Inc. </v>
          </cell>
          <cell r="I501" t="str">
            <v>Agapeya</v>
          </cell>
          <cell r="J501" t="str">
            <v>AGM</v>
          </cell>
          <cell r="K501" t="str">
            <v>Eco-High</v>
          </cell>
          <cell r="L501" t="str">
            <v>West</v>
          </cell>
          <cell r="M501" t="str">
            <v>With LTS - 2024</v>
          </cell>
          <cell r="N501" t="str">
            <v>YES</v>
          </cell>
          <cell r="O501" t="str">
            <v>YES</v>
          </cell>
          <cell r="P501" t="str">
            <v>Unaffected lots</v>
          </cell>
          <cell r="Q501" t="str">
            <v>YES</v>
          </cell>
          <cell r="R501">
            <v>70</v>
          </cell>
          <cell r="S501" t="str">
            <v>PCS-04-276764</v>
          </cell>
          <cell r="T501" t="str">
            <v>TCT-060-2024018741</v>
          </cell>
          <cell r="U501" t="b">
            <v>1</v>
          </cell>
          <cell r="V501" t="str">
            <v>Done</v>
          </cell>
          <cell r="W501" t="str">
            <v>B1 2025</v>
          </cell>
          <cell r="X501" t="str">
            <v>2025 - Batch 2</v>
          </cell>
          <cell r="Y501">
            <v>25</v>
          </cell>
          <cell r="Z501">
            <v>18</v>
          </cell>
          <cell r="AA501" t="str">
            <v>H+L</v>
          </cell>
          <cell r="AB501">
            <v>70</v>
          </cell>
          <cell r="AC501">
            <v>50</v>
          </cell>
          <cell r="AD501" t="str">
            <v>Flat</v>
          </cell>
          <cell r="AE501" t="str">
            <v>Duplex</v>
          </cell>
          <cell r="AF501" t="str">
            <v>568 - Without Partition</v>
          </cell>
          <cell r="AG501" t="str">
            <v xml:space="preserve">Without Partition </v>
          </cell>
          <cell r="AH501" t="str">
            <v xml:space="preserve">Without Partition </v>
          </cell>
          <cell r="AI501" t="str">
            <v>YELLOW</v>
          </cell>
          <cell r="AJ501" t="str">
            <v>Flat / YELLOW</v>
          </cell>
          <cell r="AK501">
            <v>1050000</v>
          </cell>
          <cell r="AL501">
            <v>15000</v>
          </cell>
          <cell r="AM501">
            <v>1650000</v>
          </cell>
          <cell r="AN501">
            <v>33000</v>
          </cell>
          <cell r="AO501">
            <v>150000</v>
          </cell>
          <cell r="AP501">
            <v>2850000</v>
          </cell>
          <cell r="AQ501"/>
          <cell r="AR501">
            <v>2850000</v>
          </cell>
          <cell r="AS501">
            <v>200000</v>
          </cell>
          <cell r="AT501">
            <v>2650000</v>
          </cell>
          <cell r="AU501">
            <v>100000</v>
          </cell>
          <cell r="AV501">
            <v>2550000</v>
          </cell>
          <cell r="AW501">
            <v>0</v>
          </cell>
          <cell r="AX501">
            <v>2550000</v>
          </cell>
        </row>
        <row r="502">
          <cell r="G502" t="str">
            <v>AGM-01-025-019</v>
          </cell>
          <cell r="H502" t="str">
            <v xml:space="preserve">Raemulan Lands, Inc. </v>
          </cell>
          <cell r="I502" t="str">
            <v>Agapeya</v>
          </cell>
          <cell r="J502" t="str">
            <v>AGM</v>
          </cell>
          <cell r="K502" t="str">
            <v>Eco-High</v>
          </cell>
          <cell r="L502" t="str">
            <v>West</v>
          </cell>
          <cell r="M502" t="str">
            <v>With LTS - 2024</v>
          </cell>
          <cell r="N502" t="str">
            <v>YES</v>
          </cell>
          <cell r="O502" t="str">
            <v>YES</v>
          </cell>
          <cell r="P502" t="str">
            <v>Unaffected lots</v>
          </cell>
          <cell r="Q502" t="str">
            <v>YES</v>
          </cell>
          <cell r="R502">
            <v>70</v>
          </cell>
          <cell r="S502" t="str">
            <v>PCS-04-276764</v>
          </cell>
          <cell r="T502" t="str">
            <v>TCT-060-2024018742</v>
          </cell>
          <cell r="U502" t="b">
            <v>1</v>
          </cell>
          <cell r="V502" t="str">
            <v>Done</v>
          </cell>
          <cell r="W502" t="str">
            <v>B1 2025</v>
          </cell>
          <cell r="X502" t="str">
            <v>2025 - Batch 2</v>
          </cell>
          <cell r="Y502">
            <v>25</v>
          </cell>
          <cell r="Z502">
            <v>19</v>
          </cell>
          <cell r="AA502" t="str">
            <v>H+L</v>
          </cell>
          <cell r="AB502">
            <v>70</v>
          </cell>
          <cell r="AC502">
            <v>50</v>
          </cell>
          <cell r="AD502" t="str">
            <v>Flat</v>
          </cell>
          <cell r="AE502" t="str">
            <v>Duplex</v>
          </cell>
          <cell r="AF502" t="str">
            <v>568 - Without Partition</v>
          </cell>
          <cell r="AG502" t="str">
            <v xml:space="preserve">Without Partition </v>
          </cell>
          <cell r="AH502" t="str">
            <v xml:space="preserve">Without Partition </v>
          </cell>
          <cell r="AI502" t="str">
            <v>GREEN</v>
          </cell>
          <cell r="AJ502" t="str">
            <v>Flat / GREEN</v>
          </cell>
          <cell r="AK502">
            <v>1050000</v>
          </cell>
          <cell r="AL502">
            <v>15000</v>
          </cell>
          <cell r="AM502">
            <v>1650000</v>
          </cell>
          <cell r="AN502">
            <v>33000</v>
          </cell>
          <cell r="AO502">
            <v>150000</v>
          </cell>
          <cell r="AP502">
            <v>2850000</v>
          </cell>
          <cell r="AQ502"/>
          <cell r="AR502">
            <v>2850000</v>
          </cell>
          <cell r="AS502">
            <v>200000</v>
          </cell>
          <cell r="AT502">
            <v>2650000</v>
          </cell>
          <cell r="AU502">
            <v>100000</v>
          </cell>
          <cell r="AV502">
            <v>2550000</v>
          </cell>
          <cell r="AW502">
            <v>0</v>
          </cell>
          <cell r="AX502">
            <v>2550000</v>
          </cell>
        </row>
        <row r="503">
          <cell r="G503" t="str">
            <v>AGM-01-025-020</v>
          </cell>
          <cell r="H503" t="str">
            <v xml:space="preserve">Raemulan Lands, Inc. </v>
          </cell>
          <cell r="I503" t="str">
            <v>Agapeya</v>
          </cell>
          <cell r="J503" t="str">
            <v>AGM</v>
          </cell>
          <cell r="K503" t="str">
            <v>Eco-High</v>
          </cell>
          <cell r="L503" t="str">
            <v>West</v>
          </cell>
          <cell r="M503" t="str">
            <v>With LTS - 2024</v>
          </cell>
          <cell r="N503" t="str">
            <v>YES</v>
          </cell>
          <cell r="O503" t="str">
            <v>YES</v>
          </cell>
          <cell r="P503" t="str">
            <v>Unaffected lots</v>
          </cell>
          <cell r="Q503" t="str">
            <v>YES</v>
          </cell>
          <cell r="R503">
            <v>70</v>
          </cell>
          <cell r="S503" t="str">
            <v>PCS-04-276764</v>
          </cell>
          <cell r="T503" t="str">
            <v>TCT-060-2024018743</v>
          </cell>
          <cell r="U503" t="b">
            <v>1</v>
          </cell>
          <cell r="V503" t="str">
            <v>Done</v>
          </cell>
          <cell r="W503" t="str">
            <v>B1 2025</v>
          </cell>
          <cell r="X503" t="str">
            <v>2025 - Batch 2</v>
          </cell>
          <cell r="Y503">
            <v>25</v>
          </cell>
          <cell r="Z503">
            <v>20</v>
          </cell>
          <cell r="AA503" t="str">
            <v>H+L</v>
          </cell>
          <cell r="AB503">
            <v>70</v>
          </cell>
          <cell r="AC503">
            <v>50</v>
          </cell>
          <cell r="AD503" t="str">
            <v>Slant</v>
          </cell>
          <cell r="AE503" t="str">
            <v>Duplex</v>
          </cell>
          <cell r="AF503" t="str">
            <v>568 - Without Partition</v>
          </cell>
          <cell r="AG503" t="str">
            <v xml:space="preserve">Without Partition </v>
          </cell>
          <cell r="AH503" t="str">
            <v xml:space="preserve">Without Partition </v>
          </cell>
          <cell r="AI503" t="str">
            <v>GREEN</v>
          </cell>
          <cell r="AJ503" t="str">
            <v>Slant / GREEN</v>
          </cell>
          <cell r="AK503">
            <v>1050000</v>
          </cell>
          <cell r="AL503">
            <v>15000</v>
          </cell>
          <cell r="AM503">
            <v>1650000</v>
          </cell>
          <cell r="AN503">
            <v>33000</v>
          </cell>
          <cell r="AO503">
            <v>150000</v>
          </cell>
          <cell r="AP503">
            <v>2850000</v>
          </cell>
          <cell r="AQ503"/>
          <cell r="AR503">
            <v>2850000</v>
          </cell>
          <cell r="AS503">
            <v>200000</v>
          </cell>
          <cell r="AT503">
            <v>2650000</v>
          </cell>
          <cell r="AU503">
            <v>100000</v>
          </cell>
          <cell r="AV503">
            <v>2550000</v>
          </cell>
          <cell r="AW503">
            <v>0</v>
          </cell>
          <cell r="AX503">
            <v>2550000</v>
          </cell>
        </row>
        <row r="504">
          <cell r="G504" t="str">
            <v>AGM-01-025-021</v>
          </cell>
          <cell r="H504" t="str">
            <v xml:space="preserve">Raemulan Lands, Inc. </v>
          </cell>
          <cell r="I504" t="str">
            <v>Agapeya</v>
          </cell>
          <cell r="J504" t="str">
            <v>AGM</v>
          </cell>
          <cell r="K504" t="str">
            <v>Eco-High</v>
          </cell>
          <cell r="L504" t="str">
            <v>West</v>
          </cell>
          <cell r="M504" t="str">
            <v>With LTS - 2024</v>
          </cell>
          <cell r="N504" t="str">
            <v>YES</v>
          </cell>
          <cell r="O504" t="str">
            <v>YES</v>
          </cell>
          <cell r="P504" t="str">
            <v>Unaffected lots</v>
          </cell>
          <cell r="Q504" t="str">
            <v>YES</v>
          </cell>
          <cell r="R504">
            <v>70</v>
          </cell>
          <cell r="S504" t="str">
            <v>PCS-04-276764</v>
          </cell>
          <cell r="T504" t="str">
            <v>TCT-060-2024018744</v>
          </cell>
          <cell r="U504" t="b">
            <v>1</v>
          </cell>
          <cell r="V504" t="str">
            <v>Done</v>
          </cell>
          <cell r="W504" t="str">
            <v>B1 2025</v>
          </cell>
          <cell r="X504" t="str">
            <v>2025 - Batch 1</v>
          </cell>
          <cell r="Y504">
            <v>25</v>
          </cell>
          <cell r="Z504">
            <v>21</v>
          </cell>
          <cell r="AA504" t="str">
            <v>H+L</v>
          </cell>
          <cell r="AB504">
            <v>70</v>
          </cell>
          <cell r="AC504">
            <v>50</v>
          </cell>
          <cell r="AD504" t="str">
            <v>Slant</v>
          </cell>
          <cell r="AE504" t="str">
            <v>Duplex</v>
          </cell>
          <cell r="AF504" t="str">
            <v>568 - Without Partition</v>
          </cell>
          <cell r="AG504" t="str">
            <v xml:space="preserve">Without Partition </v>
          </cell>
          <cell r="AH504" t="str">
            <v xml:space="preserve">Without Partition </v>
          </cell>
          <cell r="AI504" t="str">
            <v>GREEN</v>
          </cell>
          <cell r="AJ504" t="str">
            <v>Slant / GREEN</v>
          </cell>
          <cell r="AK504">
            <v>1050000</v>
          </cell>
          <cell r="AL504">
            <v>15000</v>
          </cell>
          <cell r="AM504">
            <v>1650000</v>
          </cell>
          <cell r="AN504">
            <v>33000</v>
          </cell>
          <cell r="AO504">
            <v>150000</v>
          </cell>
          <cell r="AP504">
            <v>2850000</v>
          </cell>
          <cell r="AQ504"/>
          <cell r="AR504">
            <v>2850000</v>
          </cell>
          <cell r="AS504">
            <v>200000</v>
          </cell>
          <cell r="AT504">
            <v>2650000</v>
          </cell>
          <cell r="AU504">
            <v>100000</v>
          </cell>
          <cell r="AV504">
            <v>2550000</v>
          </cell>
          <cell r="AW504">
            <v>0</v>
          </cell>
          <cell r="AX504">
            <v>2550000</v>
          </cell>
        </row>
        <row r="505">
          <cell r="G505" t="str">
            <v>AGM-01-025-022</v>
          </cell>
          <cell r="H505" t="str">
            <v xml:space="preserve">Raemulan Lands, Inc. </v>
          </cell>
          <cell r="I505" t="str">
            <v>Agapeya</v>
          </cell>
          <cell r="J505" t="str">
            <v>AGM</v>
          </cell>
          <cell r="K505" t="str">
            <v>Eco-High</v>
          </cell>
          <cell r="L505" t="str">
            <v>West</v>
          </cell>
          <cell r="M505" t="str">
            <v>With LTS - 2024</v>
          </cell>
          <cell r="N505" t="str">
            <v>YES</v>
          </cell>
          <cell r="O505" t="str">
            <v>YES</v>
          </cell>
          <cell r="P505" t="str">
            <v>Unaffected lots</v>
          </cell>
          <cell r="Q505" t="str">
            <v>YES</v>
          </cell>
          <cell r="R505">
            <v>70</v>
          </cell>
          <cell r="S505" t="str">
            <v>PCS-04-276764</v>
          </cell>
          <cell r="T505" t="str">
            <v>TCT-060-2024018745</v>
          </cell>
          <cell r="U505" t="b">
            <v>1</v>
          </cell>
          <cell r="V505" t="str">
            <v>Done</v>
          </cell>
          <cell r="W505" t="str">
            <v>B1 2025</v>
          </cell>
          <cell r="X505" t="str">
            <v>2025 - Batch 1</v>
          </cell>
          <cell r="Y505">
            <v>25</v>
          </cell>
          <cell r="Z505">
            <v>22</v>
          </cell>
          <cell r="AA505" t="str">
            <v>H+L</v>
          </cell>
          <cell r="AB505">
            <v>70</v>
          </cell>
          <cell r="AC505">
            <v>50</v>
          </cell>
          <cell r="AD505" t="str">
            <v>Flat</v>
          </cell>
          <cell r="AE505" t="str">
            <v>Duplex</v>
          </cell>
          <cell r="AF505" t="str">
            <v>568 - Without Partition</v>
          </cell>
          <cell r="AG505" t="str">
            <v xml:space="preserve">Without Partition </v>
          </cell>
          <cell r="AH505" t="str">
            <v xml:space="preserve">Without Partition </v>
          </cell>
          <cell r="AI505" t="str">
            <v>GREEN</v>
          </cell>
          <cell r="AJ505" t="str">
            <v>Flat / GREEN</v>
          </cell>
          <cell r="AK505">
            <v>1050000</v>
          </cell>
          <cell r="AL505">
            <v>15000</v>
          </cell>
          <cell r="AM505">
            <v>1650000</v>
          </cell>
          <cell r="AN505">
            <v>33000</v>
          </cell>
          <cell r="AO505">
            <v>150000</v>
          </cell>
          <cell r="AP505">
            <v>2850000</v>
          </cell>
          <cell r="AQ505"/>
          <cell r="AR505">
            <v>2850000</v>
          </cell>
          <cell r="AS505">
            <v>200000</v>
          </cell>
          <cell r="AT505">
            <v>2650000</v>
          </cell>
          <cell r="AU505">
            <v>100000</v>
          </cell>
          <cell r="AV505">
            <v>2550000</v>
          </cell>
          <cell r="AW505">
            <v>0</v>
          </cell>
          <cell r="AX505">
            <v>2550000</v>
          </cell>
        </row>
        <row r="506">
          <cell r="G506" t="str">
            <v>AGM-01-025-023</v>
          </cell>
          <cell r="H506" t="str">
            <v xml:space="preserve">Raemulan Lands, Inc. </v>
          </cell>
          <cell r="I506" t="str">
            <v>Agapeya</v>
          </cell>
          <cell r="J506" t="str">
            <v>AGM</v>
          </cell>
          <cell r="K506" t="str">
            <v>Eco-High</v>
          </cell>
          <cell r="L506" t="str">
            <v>West</v>
          </cell>
          <cell r="M506" t="str">
            <v>With LTS - 2024</v>
          </cell>
          <cell r="N506" t="str">
            <v>YES</v>
          </cell>
          <cell r="O506" t="str">
            <v>YES</v>
          </cell>
          <cell r="P506" t="str">
            <v>Unaffected lots</v>
          </cell>
          <cell r="Q506" t="str">
            <v>YES</v>
          </cell>
          <cell r="R506">
            <v>70</v>
          </cell>
          <cell r="S506" t="str">
            <v>PCS-04-276764</v>
          </cell>
          <cell r="T506" t="str">
            <v>TCT-060-2024018746</v>
          </cell>
          <cell r="U506" t="b">
            <v>1</v>
          </cell>
          <cell r="V506" t="str">
            <v>Done</v>
          </cell>
          <cell r="W506" t="str">
            <v>B1 2025</v>
          </cell>
          <cell r="X506" t="str">
            <v>2025 - Batch 1</v>
          </cell>
          <cell r="Y506">
            <v>25</v>
          </cell>
          <cell r="Z506">
            <v>23</v>
          </cell>
          <cell r="AA506" t="str">
            <v>H+L</v>
          </cell>
          <cell r="AB506">
            <v>70</v>
          </cell>
          <cell r="AC506">
            <v>50</v>
          </cell>
          <cell r="AD506" t="str">
            <v>Flat</v>
          </cell>
          <cell r="AE506" t="str">
            <v>Duplex</v>
          </cell>
          <cell r="AF506" t="str">
            <v>568 - Without Partition</v>
          </cell>
          <cell r="AG506" t="str">
            <v xml:space="preserve">Without Partition </v>
          </cell>
          <cell r="AH506" t="str">
            <v xml:space="preserve">Without Partition </v>
          </cell>
          <cell r="AI506" t="str">
            <v>PURPLE</v>
          </cell>
          <cell r="AJ506" t="str">
            <v>Flat / PURPLE</v>
          </cell>
          <cell r="AK506">
            <v>1050000</v>
          </cell>
          <cell r="AL506">
            <v>15000</v>
          </cell>
          <cell r="AM506">
            <v>1650000</v>
          </cell>
          <cell r="AN506">
            <v>33000</v>
          </cell>
          <cell r="AO506">
            <v>150000</v>
          </cell>
          <cell r="AP506">
            <v>2850000</v>
          </cell>
          <cell r="AQ506"/>
          <cell r="AR506">
            <v>2850000</v>
          </cell>
          <cell r="AS506">
            <v>200000</v>
          </cell>
          <cell r="AT506">
            <v>2650000</v>
          </cell>
          <cell r="AU506">
            <v>100000</v>
          </cell>
          <cell r="AV506">
            <v>2550000</v>
          </cell>
          <cell r="AW506">
            <v>0</v>
          </cell>
          <cell r="AX506">
            <v>2550000</v>
          </cell>
        </row>
        <row r="507">
          <cell r="G507" t="str">
            <v>AGM-01-025-024</v>
          </cell>
          <cell r="H507" t="str">
            <v xml:space="preserve">Raemulan Lands, Inc. </v>
          </cell>
          <cell r="I507" t="str">
            <v>Agapeya</v>
          </cell>
          <cell r="J507" t="str">
            <v>AGM</v>
          </cell>
          <cell r="K507" t="str">
            <v>Eco-High</v>
          </cell>
          <cell r="L507" t="str">
            <v>West</v>
          </cell>
          <cell r="M507" t="str">
            <v>With LTS - 2024</v>
          </cell>
          <cell r="N507" t="str">
            <v>YES</v>
          </cell>
          <cell r="O507" t="str">
            <v>YES</v>
          </cell>
          <cell r="P507" t="str">
            <v>Unaffected lots</v>
          </cell>
          <cell r="Q507" t="str">
            <v>YES</v>
          </cell>
          <cell r="R507">
            <v>70</v>
          </cell>
          <cell r="S507" t="str">
            <v>PCS-04-276764</v>
          </cell>
          <cell r="T507" t="str">
            <v>TCT-060-2024018747</v>
          </cell>
          <cell r="U507" t="b">
            <v>1</v>
          </cell>
          <cell r="V507" t="str">
            <v>Done</v>
          </cell>
          <cell r="W507" t="str">
            <v>B1 2025</v>
          </cell>
          <cell r="X507" t="str">
            <v>2025 - Batch 1</v>
          </cell>
          <cell r="Y507">
            <v>25</v>
          </cell>
          <cell r="Z507">
            <v>24</v>
          </cell>
          <cell r="AA507" t="str">
            <v>H+L</v>
          </cell>
          <cell r="AB507">
            <v>70</v>
          </cell>
          <cell r="AC507">
            <v>50</v>
          </cell>
          <cell r="AD507" t="str">
            <v>Slant</v>
          </cell>
          <cell r="AE507" t="str">
            <v>Duplex</v>
          </cell>
          <cell r="AF507" t="str">
            <v>568 - Without Partition</v>
          </cell>
          <cell r="AG507" t="str">
            <v xml:space="preserve">Without Partition </v>
          </cell>
          <cell r="AH507" t="str">
            <v xml:space="preserve">Without Partition </v>
          </cell>
          <cell r="AI507" t="str">
            <v>PURPLE</v>
          </cell>
          <cell r="AJ507" t="str">
            <v>Slant / PURPLE</v>
          </cell>
          <cell r="AK507">
            <v>1050000</v>
          </cell>
          <cell r="AL507">
            <v>15000</v>
          </cell>
          <cell r="AM507">
            <v>1650000</v>
          </cell>
          <cell r="AN507">
            <v>33000</v>
          </cell>
          <cell r="AO507">
            <v>150000</v>
          </cell>
          <cell r="AP507">
            <v>2850000</v>
          </cell>
          <cell r="AQ507"/>
          <cell r="AR507">
            <v>2850000</v>
          </cell>
          <cell r="AS507">
            <v>200000</v>
          </cell>
          <cell r="AT507">
            <v>2650000</v>
          </cell>
          <cell r="AU507">
            <v>100000</v>
          </cell>
          <cell r="AV507">
            <v>2550000</v>
          </cell>
          <cell r="AW507">
            <v>0</v>
          </cell>
          <cell r="AX507">
            <v>2550000</v>
          </cell>
        </row>
        <row r="508">
          <cell r="G508" t="str">
            <v>AGM-01-025-025</v>
          </cell>
          <cell r="H508" t="str">
            <v xml:space="preserve">Raemulan Lands, Inc. </v>
          </cell>
          <cell r="I508" t="str">
            <v>Agapeya</v>
          </cell>
          <cell r="J508" t="str">
            <v>AGM</v>
          </cell>
          <cell r="K508" t="str">
            <v>Eco-High</v>
          </cell>
          <cell r="L508" t="str">
            <v>West</v>
          </cell>
          <cell r="M508" t="str">
            <v>With LTS - 2024</v>
          </cell>
          <cell r="N508" t="str">
            <v>YES</v>
          </cell>
          <cell r="O508" t="str">
            <v>YES</v>
          </cell>
          <cell r="P508" t="str">
            <v>Unaffected lots</v>
          </cell>
          <cell r="Q508" t="str">
            <v>YES</v>
          </cell>
          <cell r="R508">
            <v>70</v>
          </cell>
          <cell r="S508" t="str">
            <v>PCS-04-276764</v>
          </cell>
          <cell r="T508" t="str">
            <v>TCT-060-2024018748</v>
          </cell>
          <cell r="U508" t="b">
            <v>1</v>
          </cell>
          <cell r="V508" t="str">
            <v>Done</v>
          </cell>
          <cell r="W508" t="str">
            <v>B1 2025</v>
          </cell>
          <cell r="X508" t="str">
            <v>2025 - Batch 1</v>
          </cell>
          <cell r="Y508">
            <v>25</v>
          </cell>
          <cell r="Z508">
            <v>25</v>
          </cell>
          <cell r="AA508" t="str">
            <v>H+L</v>
          </cell>
          <cell r="AB508">
            <v>70</v>
          </cell>
          <cell r="AC508">
            <v>50</v>
          </cell>
          <cell r="AD508" t="str">
            <v>Slant</v>
          </cell>
          <cell r="AE508" t="str">
            <v>Duplex</v>
          </cell>
          <cell r="AF508" t="str">
            <v>568 - Without Partition</v>
          </cell>
          <cell r="AG508" t="str">
            <v xml:space="preserve">Without Partition </v>
          </cell>
          <cell r="AH508" t="str">
            <v xml:space="preserve">Without Partition </v>
          </cell>
          <cell r="AI508" t="str">
            <v>PURPLE</v>
          </cell>
          <cell r="AJ508" t="str">
            <v>Slant / PURPLE</v>
          </cell>
          <cell r="AK508">
            <v>1050000</v>
          </cell>
          <cell r="AL508">
            <v>15000</v>
          </cell>
          <cell r="AM508">
            <v>1650000</v>
          </cell>
          <cell r="AN508">
            <v>33000</v>
          </cell>
          <cell r="AO508">
            <v>150000</v>
          </cell>
          <cell r="AP508">
            <v>2850000</v>
          </cell>
          <cell r="AQ508"/>
          <cell r="AR508">
            <v>2850000</v>
          </cell>
          <cell r="AS508">
            <v>200000</v>
          </cell>
          <cell r="AT508">
            <v>2650000</v>
          </cell>
          <cell r="AU508">
            <v>100000</v>
          </cell>
          <cell r="AV508">
            <v>2550000</v>
          </cell>
          <cell r="AW508">
            <v>0</v>
          </cell>
          <cell r="AX508">
            <v>2550000</v>
          </cell>
        </row>
        <row r="509">
          <cell r="G509" t="str">
            <v>AGM-01-025-026</v>
          </cell>
          <cell r="H509" t="str">
            <v xml:space="preserve">Raemulan Lands, Inc. </v>
          </cell>
          <cell r="I509" t="str">
            <v>Agapeya</v>
          </cell>
          <cell r="J509" t="str">
            <v>AGM</v>
          </cell>
          <cell r="K509" t="str">
            <v>Eco-High</v>
          </cell>
          <cell r="L509" t="str">
            <v>West</v>
          </cell>
          <cell r="M509" t="str">
            <v>With LTS - 2024</v>
          </cell>
          <cell r="N509" t="str">
            <v>YES</v>
          </cell>
          <cell r="O509" t="str">
            <v>YES</v>
          </cell>
          <cell r="P509" t="str">
            <v>Unaffected lots</v>
          </cell>
          <cell r="Q509" t="str">
            <v>YES</v>
          </cell>
          <cell r="R509">
            <v>81</v>
          </cell>
          <cell r="S509" t="str">
            <v>PCS-04-276764</v>
          </cell>
          <cell r="T509" t="str">
            <v>TCT-060-2024018749</v>
          </cell>
          <cell r="U509" t="b">
            <v>1</v>
          </cell>
          <cell r="V509" t="str">
            <v>Done</v>
          </cell>
          <cell r="W509" t="str">
            <v>B1 2025</v>
          </cell>
          <cell r="X509" t="str">
            <v>2025 - Batch 1</v>
          </cell>
          <cell r="Y509">
            <v>25</v>
          </cell>
          <cell r="Z509">
            <v>26</v>
          </cell>
          <cell r="AA509" t="str">
            <v>H+L</v>
          </cell>
          <cell r="AB509">
            <v>81</v>
          </cell>
          <cell r="AC509">
            <v>50</v>
          </cell>
          <cell r="AD509" t="str">
            <v>Flat</v>
          </cell>
          <cell r="AE509" t="str">
            <v>Duplex</v>
          </cell>
          <cell r="AF509" t="str">
            <v>568 - Without Partition</v>
          </cell>
          <cell r="AG509" t="str">
            <v xml:space="preserve">Without Partition </v>
          </cell>
          <cell r="AH509" t="str">
            <v xml:space="preserve">Without Partition </v>
          </cell>
          <cell r="AI509" t="str">
            <v>PURPLE</v>
          </cell>
          <cell r="AJ509" t="str">
            <v>Flat / PURPLE</v>
          </cell>
          <cell r="AK509">
            <v>1215000</v>
          </cell>
          <cell r="AL509">
            <v>15000</v>
          </cell>
          <cell r="AM509">
            <v>1650000</v>
          </cell>
          <cell r="AN509">
            <v>33000</v>
          </cell>
          <cell r="AO509">
            <v>150000</v>
          </cell>
          <cell r="AP509">
            <v>3015000</v>
          </cell>
          <cell r="AQ509"/>
          <cell r="AR509">
            <v>3015000</v>
          </cell>
          <cell r="AS509">
            <v>200000</v>
          </cell>
          <cell r="AT509">
            <v>2815000</v>
          </cell>
          <cell r="AU509">
            <v>100000</v>
          </cell>
          <cell r="AV509">
            <v>2715000</v>
          </cell>
          <cell r="AW509">
            <v>0</v>
          </cell>
          <cell r="AX509">
            <v>2715000</v>
          </cell>
        </row>
        <row r="510">
          <cell r="G510" t="str">
            <v>AGM-01-025-027</v>
          </cell>
          <cell r="H510" t="str">
            <v xml:space="preserve">Raemulan Lands, Inc. </v>
          </cell>
          <cell r="I510" t="str">
            <v>Agapeya</v>
          </cell>
          <cell r="J510" t="str">
            <v>AGM</v>
          </cell>
          <cell r="K510" t="str">
            <v>Eco-High</v>
          </cell>
          <cell r="L510" t="str">
            <v>West</v>
          </cell>
          <cell r="M510" t="str">
            <v>With LTS - 2024</v>
          </cell>
          <cell r="N510" t="str">
            <v>YES</v>
          </cell>
          <cell r="O510" t="str">
            <v>YES</v>
          </cell>
          <cell r="P510" t="str">
            <v>Unaffected lots</v>
          </cell>
          <cell r="Q510" t="str">
            <v>YES</v>
          </cell>
          <cell r="R510">
            <v>81</v>
          </cell>
          <cell r="S510" t="str">
            <v>PCS-04-276764</v>
          </cell>
          <cell r="T510" t="str">
            <v>TCT-060-2024018750</v>
          </cell>
          <cell r="U510" t="b">
            <v>1</v>
          </cell>
          <cell r="V510" t="str">
            <v>Done</v>
          </cell>
          <cell r="W510" t="str">
            <v>B2 2025</v>
          </cell>
          <cell r="X510" t="str">
            <v>2025 - Batch 5</v>
          </cell>
          <cell r="Y510">
            <v>25</v>
          </cell>
          <cell r="Z510">
            <v>27</v>
          </cell>
          <cell r="AA510" t="str">
            <v>H+L</v>
          </cell>
          <cell r="AB510">
            <v>81</v>
          </cell>
          <cell r="AC510">
            <v>50</v>
          </cell>
          <cell r="AD510" t="str">
            <v>Flat</v>
          </cell>
          <cell r="AE510" t="str">
            <v>Duplex</v>
          </cell>
          <cell r="AF510" t="str">
            <v>568 - Without Partition</v>
          </cell>
          <cell r="AG510" t="str">
            <v xml:space="preserve">Without Partition </v>
          </cell>
          <cell r="AH510" t="str">
            <v xml:space="preserve">Without Partition </v>
          </cell>
          <cell r="AI510" t="str">
            <v>PINK</v>
          </cell>
          <cell r="AJ510" t="str">
            <v>Flat / PINK</v>
          </cell>
          <cell r="AK510">
            <v>1215000</v>
          </cell>
          <cell r="AL510">
            <v>15000</v>
          </cell>
          <cell r="AM510">
            <v>1650000</v>
          </cell>
          <cell r="AN510">
            <v>33000</v>
          </cell>
          <cell r="AO510">
            <v>150000</v>
          </cell>
          <cell r="AP510">
            <v>3015000</v>
          </cell>
          <cell r="AQ510"/>
          <cell r="AR510">
            <v>3015000</v>
          </cell>
          <cell r="AS510">
            <v>200000</v>
          </cell>
          <cell r="AT510">
            <v>2815000</v>
          </cell>
          <cell r="AU510">
            <v>100000</v>
          </cell>
          <cell r="AV510">
            <v>2715000</v>
          </cell>
          <cell r="AW510">
            <v>0</v>
          </cell>
          <cell r="AX510">
            <v>2715000</v>
          </cell>
        </row>
        <row r="511">
          <cell r="G511" t="str">
            <v>AGM-01-025-028</v>
          </cell>
          <cell r="H511" t="str">
            <v xml:space="preserve">Raemulan Lands, Inc. </v>
          </cell>
          <cell r="I511" t="str">
            <v>Agapeya</v>
          </cell>
          <cell r="J511" t="str">
            <v>AGM</v>
          </cell>
          <cell r="K511" t="str">
            <v>Eco-High</v>
          </cell>
          <cell r="L511" t="str">
            <v>West</v>
          </cell>
          <cell r="M511" t="str">
            <v>With LTS - 2024</v>
          </cell>
          <cell r="N511" t="str">
            <v>YES</v>
          </cell>
          <cell r="O511" t="str">
            <v>YES</v>
          </cell>
          <cell r="P511" t="str">
            <v>Unaffected lots</v>
          </cell>
          <cell r="Q511" t="str">
            <v>YES</v>
          </cell>
          <cell r="R511">
            <v>70</v>
          </cell>
          <cell r="S511" t="str">
            <v>PCS-04-276764</v>
          </cell>
          <cell r="T511" t="str">
            <v>TCT-060-2024018751</v>
          </cell>
          <cell r="U511" t="b">
            <v>1</v>
          </cell>
          <cell r="V511" t="str">
            <v>Done</v>
          </cell>
          <cell r="W511" t="str">
            <v>B2 2025</v>
          </cell>
          <cell r="X511" t="str">
            <v>2025 - Batch 5</v>
          </cell>
          <cell r="Y511">
            <v>25</v>
          </cell>
          <cell r="Z511">
            <v>28</v>
          </cell>
          <cell r="AA511" t="str">
            <v>H+L</v>
          </cell>
          <cell r="AB511">
            <v>70</v>
          </cell>
          <cell r="AC511">
            <v>50</v>
          </cell>
          <cell r="AD511" t="str">
            <v>Slant</v>
          </cell>
          <cell r="AE511" t="str">
            <v>Duplex</v>
          </cell>
          <cell r="AF511" t="str">
            <v>568 - Without Partition</v>
          </cell>
          <cell r="AG511" t="str">
            <v xml:space="preserve">Without Partition </v>
          </cell>
          <cell r="AH511" t="str">
            <v xml:space="preserve">Without Partition </v>
          </cell>
          <cell r="AI511" t="str">
            <v>PINK</v>
          </cell>
          <cell r="AJ511" t="str">
            <v>Slant / PINK</v>
          </cell>
          <cell r="AK511">
            <v>1050000</v>
          </cell>
          <cell r="AL511">
            <v>15000</v>
          </cell>
          <cell r="AM511">
            <v>1650000</v>
          </cell>
          <cell r="AN511">
            <v>33000</v>
          </cell>
          <cell r="AO511">
            <v>150000</v>
          </cell>
          <cell r="AP511">
            <v>2850000</v>
          </cell>
          <cell r="AQ511"/>
          <cell r="AR511">
            <v>2850000</v>
          </cell>
          <cell r="AS511">
            <v>200000</v>
          </cell>
          <cell r="AT511">
            <v>2650000</v>
          </cell>
          <cell r="AU511">
            <v>100000</v>
          </cell>
          <cell r="AV511">
            <v>2550000</v>
          </cell>
          <cell r="AW511">
            <v>0</v>
          </cell>
          <cell r="AX511">
            <v>2550000</v>
          </cell>
        </row>
        <row r="512">
          <cell r="G512" t="str">
            <v>AGM-01-025-029</v>
          </cell>
          <cell r="H512" t="str">
            <v xml:space="preserve">Raemulan Lands, Inc. </v>
          </cell>
          <cell r="I512" t="str">
            <v>Agapeya</v>
          </cell>
          <cell r="J512" t="str">
            <v>AGM</v>
          </cell>
          <cell r="K512" t="str">
            <v>Eco-High</v>
          </cell>
          <cell r="L512" t="str">
            <v>West</v>
          </cell>
          <cell r="M512" t="str">
            <v>With LTS - 2024</v>
          </cell>
          <cell r="N512" t="str">
            <v>YES</v>
          </cell>
          <cell r="O512" t="str">
            <v>YES</v>
          </cell>
          <cell r="P512" t="str">
            <v>Unaffected lots</v>
          </cell>
          <cell r="Q512" t="str">
            <v>YES</v>
          </cell>
          <cell r="R512">
            <v>70</v>
          </cell>
          <cell r="S512" t="str">
            <v>PCS-04-276764</v>
          </cell>
          <cell r="T512" t="str">
            <v>TCT-060-2024018752</v>
          </cell>
          <cell r="U512" t="b">
            <v>1</v>
          </cell>
          <cell r="V512" t="str">
            <v>Done</v>
          </cell>
          <cell r="W512" t="str">
            <v>B2 2025</v>
          </cell>
          <cell r="X512" t="str">
            <v>2025 - Batch 5</v>
          </cell>
          <cell r="Y512">
            <v>25</v>
          </cell>
          <cell r="Z512">
            <v>29</v>
          </cell>
          <cell r="AA512" t="str">
            <v>H+L</v>
          </cell>
          <cell r="AB512">
            <v>70</v>
          </cell>
          <cell r="AC512">
            <v>50</v>
          </cell>
          <cell r="AD512" t="str">
            <v>Flat</v>
          </cell>
          <cell r="AE512" t="str">
            <v>Duplex</v>
          </cell>
          <cell r="AF512" t="str">
            <v>568 - Without Partition</v>
          </cell>
          <cell r="AG512" t="str">
            <v xml:space="preserve">Without Partition </v>
          </cell>
          <cell r="AH512" t="str">
            <v xml:space="preserve">Without Partition </v>
          </cell>
          <cell r="AI512" t="str">
            <v>PINK</v>
          </cell>
          <cell r="AJ512" t="str">
            <v>Flat / PINK</v>
          </cell>
          <cell r="AK512">
            <v>1050000</v>
          </cell>
          <cell r="AL512">
            <v>15000</v>
          </cell>
          <cell r="AM512">
            <v>1650000</v>
          </cell>
          <cell r="AN512">
            <v>33000</v>
          </cell>
          <cell r="AO512">
            <v>150000</v>
          </cell>
          <cell r="AP512">
            <v>2850000</v>
          </cell>
          <cell r="AQ512"/>
          <cell r="AR512">
            <v>2850000</v>
          </cell>
          <cell r="AS512">
            <v>200000</v>
          </cell>
          <cell r="AT512">
            <v>2650000</v>
          </cell>
          <cell r="AU512">
            <v>100000</v>
          </cell>
          <cell r="AV512">
            <v>2550000</v>
          </cell>
          <cell r="AW512">
            <v>0</v>
          </cell>
          <cell r="AX512">
            <v>2550000</v>
          </cell>
        </row>
        <row r="513">
          <cell r="G513" t="str">
            <v>AGM-01-025-030</v>
          </cell>
          <cell r="H513" t="str">
            <v xml:space="preserve">Raemulan Lands, Inc. </v>
          </cell>
          <cell r="I513" t="str">
            <v>Agapeya</v>
          </cell>
          <cell r="J513" t="str">
            <v>AGM</v>
          </cell>
          <cell r="K513" t="str">
            <v>Eco-High</v>
          </cell>
          <cell r="L513" t="str">
            <v>West</v>
          </cell>
          <cell r="M513" t="str">
            <v>With LTS - 2024</v>
          </cell>
          <cell r="N513" t="str">
            <v>YES</v>
          </cell>
          <cell r="O513" t="str">
            <v>YES</v>
          </cell>
          <cell r="P513" t="str">
            <v>Unaffected lots</v>
          </cell>
          <cell r="Q513" t="str">
            <v>YES</v>
          </cell>
          <cell r="R513">
            <v>70</v>
          </cell>
          <cell r="S513" t="str">
            <v>PCS-04-276764</v>
          </cell>
          <cell r="T513" t="str">
            <v>TCT-060-2024018753</v>
          </cell>
          <cell r="U513" t="b">
            <v>1</v>
          </cell>
          <cell r="V513" t="str">
            <v>Done</v>
          </cell>
          <cell r="W513" t="str">
            <v>B2 2025</v>
          </cell>
          <cell r="X513" t="str">
            <v>2025 - Batch 5</v>
          </cell>
          <cell r="Y513">
            <v>25</v>
          </cell>
          <cell r="Z513">
            <v>30</v>
          </cell>
          <cell r="AA513" t="str">
            <v>H+L</v>
          </cell>
          <cell r="AB513">
            <v>70</v>
          </cell>
          <cell r="AC513">
            <v>50</v>
          </cell>
          <cell r="AD513" t="str">
            <v>Slant</v>
          </cell>
          <cell r="AE513" t="str">
            <v>Duplex</v>
          </cell>
          <cell r="AF513" t="str">
            <v>568 - Without Partition</v>
          </cell>
          <cell r="AG513" t="str">
            <v xml:space="preserve">Without Partition </v>
          </cell>
          <cell r="AH513" t="str">
            <v xml:space="preserve">Without Partition </v>
          </cell>
          <cell r="AI513" t="str">
            <v>PINK</v>
          </cell>
          <cell r="AJ513" t="str">
            <v>Slant / PINK</v>
          </cell>
          <cell r="AK513">
            <v>1050000</v>
          </cell>
          <cell r="AL513">
            <v>15000</v>
          </cell>
          <cell r="AM513">
            <v>1650000</v>
          </cell>
          <cell r="AN513">
            <v>33000</v>
          </cell>
          <cell r="AO513">
            <v>150000</v>
          </cell>
          <cell r="AP513">
            <v>2850000</v>
          </cell>
          <cell r="AQ513"/>
          <cell r="AR513">
            <v>2850000</v>
          </cell>
          <cell r="AS513">
            <v>200000</v>
          </cell>
          <cell r="AT513">
            <v>2650000</v>
          </cell>
          <cell r="AU513">
            <v>100000</v>
          </cell>
          <cell r="AV513">
            <v>2550000</v>
          </cell>
          <cell r="AW513">
            <v>0</v>
          </cell>
          <cell r="AX513">
            <v>2550000</v>
          </cell>
        </row>
        <row r="514">
          <cell r="G514" t="str">
            <v>AGM-01-025-031</v>
          </cell>
          <cell r="H514" t="str">
            <v xml:space="preserve">Raemulan Lands, Inc. </v>
          </cell>
          <cell r="I514" t="str">
            <v>Agapeya</v>
          </cell>
          <cell r="J514" t="str">
            <v>AGM</v>
          </cell>
          <cell r="K514" t="str">
            <v>Eco-High</v>
          </cell>
          <cell r="L514" t="str">
            <v>West</v>
          </cell>
          <cell r="M514" t="str">
            <v>With LTS - 2024</v>
          </cell>
          <cell r="N514" t="str">
            <v>YES</v>
          </cell>
          <cell r="O514" t="str">
            <v>YES</v>
          </cell>
          <cell r="P514" t="str">
            <v>Unaffected lots</v>
          </cell>
          <cell r="Q514" t="str">
            <v>YES</v>
          </cell>
          <cell r="R514">
            <v>70</v>
          </cell>
          <cell r="S514" t="str">
            <v>PCS-04-276764</v>
          </cell>
          <cell r="T514" t="str">
            <v>TCT-060-2024018754</v>
          </cell>
          <cell r="U514" t="b">
            <v>1</v>
          </cell>
          <cell r="V514" t="str">
            <v>Done</v>
          </cell>
          <cell r="W514" t="str">
            <v>B2 2025</v>
          </cell>
          <cell r="X514" t="str">
            <v>2025 - Batch 5</v>
          </cell>
          <cell r="Y514">
            <v>25</v>
          </cell>
          <cell r="Z514">
            <v>31</v>
          </cell>
          <cell r="AA514" t="str">
            <v>H+L</v>
          </cell>
          <cell r="AB514">
            <v>70</v>
          </cell>
          <cell r="AC514">
            <v>50</v>
          </cell>
          <cell r="AD514" t="str">
            <v>Slant</v>
          </cell>
          <cell r="AE514" t="str">
            <v>Duplex</v>
          </cell>
          <cell r="AF514" t="str">
            <v>568 - Without Partition</v>
          </cell>
          <cell r="AG514" t="str">
            <v xml:space="preserve">Without Partition </v>
          </cell>
          <cell r="AH514" t="str">
            <v xml:space="preserve">Without Partition </v>
          </cell>
          <cell r="AI514" t="str">
            <v>PURPLE</v>
          </cell>
          <cell r="AJ514" t="str">
            <v>Slant / PURPLE</v>
          </cell>
          <cell r="AK514">
            <v>1050000</v>
          </cell>
          <cell r="AL514">
            <v>15000</v>
          </cell>
          <cell r="AM514">
            <v>1650000</v>
          </cell>
          <cell r="AN514">
            <v>33000</v>
          </cell>
          <cell r="AO514">
            <v>150000</v>
          </cell>
          <cell r="AP514">
            <v>2850000</v>
          </cell>
          <cell r="AQ514"/>
          <cell r="AR514">
            <v>2850000</v>
          </cell>
          <cell r="AS514">
            <v>200000</v>
          </cell>
          <cell r="AT514">
            <v>2650000</v>
          </cell>
          <cell r="AU514">
            <v>100000</v>
          </cell>
          <cell r="AV514">
            <v>2550000</v>
          </cell>
          <cell r="AW514">
            <v>0</v>
          </cell>
          <cell r="AX514">
            <v>2550000</v>
          </cell>
        </row>
        <row r="515">
          <cell r="G515" t="str">
            <v>AGM-01-025-032</v>
          </cell>
          <cell r="H515" t="str">
            <v xml:space="preserve">Raemulan Lands, Inc. </v>
          </cell>
          <cell r="I515" t="str">
            <v>Agapeya</v>
          </cell>
          <cell r="J515" t="str">
            <v>AGM</v>
          </cell>
          <cell r="K515" t="str">
            <v>Eco-High</v>
          </cell>
          <cell r="L515" t="str">
            <v>West</v>
          </cell>
          <cell r="M515" t="str">
            <v>With LTS - 2024</v>
          </cell>
          <cell r="N515" t="str">
            <v>YES</v>
          </cell>
          <cell r="O515" t="str">
            <v>YES</v>
          </cell>
          <cell r="P515" t="str">
            <v>Unaffected lots</v>
          </cell>
          <cell r="Q515" t="str">
            <v>YES</v>
          </cell>
          <cell r="R515">
            <v>70</v>
          </cell>
          <cell r="S515" t="str">
            <v>PCS-04-276764</v>
          </cell>
          <cell r="T515" t="str">
            <v>TCT-060-2024018755</v>
          </cell>
          <cell r="U515" t="b">
            <v>1</v>
          </cell>
          <cell r="V515" t="str">
            <v>Done</v>
          </cell>
          <cell r="W515" t="str">
            <v>B2 2025</v>
          </cell>
          <cell r="X515" t="str">
            <v>2025 - Batch 5</v>
          </cell>
          <cell r="Y515">
            <v>25</v>
          </cell>
          <cell r="Z515">
            <v>32</v>
          </cell>
          <cell r="AA515" t="str">
            <v>H+L</v>
          </cell>
          <cell r="AB515">
            <v>70</v>
          </cell>
          <cell r="AC515">
            <v>50</v>
          </cell>
          <cell r="AD515" t="str">
            <v>Flat</v>
          </cell>
          <cell r="AE515" t="str">
            <v>Duplex</v>
          </cell>
          <cell r="AF515" t="str">
            <v>568 - Without Partition</v>
          </cell>
          <cell r="AG515" t="str">
            <v xml:space="preserve">Without Partition </v>
          </cell>
          <cell r="AH515" t="str">
            <v xml:space="preserve">Without Partition </v>
          </cell>
          <cell r="AI515" t="str">
            <v>PURPLE</v>
          </cell>
          <cell r="AJ515" t="str">
            <v>Flat / PURPLE</v>
          </cell>
          <cell r="AK515">
            <v>1050000</v>
          </cell>
          <cell r="AL515">
            <v>15000</v>
          </cell>
          <cell r="AM515">
            <v>1650000</v>
          </cell>
          <cell r="AN515">
            <v>33000</v>
          </cell>
          <cell r="AO515">
            <v>150000</v>
          </cell>
          <cell r="AP515">
            <v>2850000</v>
          </cell>
          <cell r="AQ515"/>
          <cell r="AR515">
            <v>2850000</v>
          </cell>
          <cell r="AS515">
            <v>200000</v>
          </cell>
          <cell r="AT515">
            <v>2650000</v>
          </cell>
          <cell r="AU515">
            <v>100000</v>
          </cell>
          <cell r="AV515">
            <v>2550000</v>
          </cell>
          <cell r="AW515">
            <v>0</v>
          </cell>
          <cell r="AX515">
            <v>2550000</v>
          </cell>
        </row>
        <row r="516">
          <cell r="G516" t="str">
            <v>AGM-01-025-033</v>
          </cell>
          <cell r="H516" t="str">
            <v xml:space="preserve">Raemulan Lands, Inc. </v>
          </cell>
          <cell r="I516" t="str">
            <v>Agapeya</v>
          </cell>
          <cell r="J516" t="str">
            <v>AGM</v>
          </cell>
          <cell r="K516" t="str">
            <v>Eco-High</v>
          </cell>
          <cell r="L516" t="str">
            <v>West</v>
          </cell>
          <cell r="M516" t="str">
            <v>With LTS - 2024</v>
          </cell>
          <cell r="N516" t="str">
            <v>YES</v>
          </cell>
          <cell r="O516" t="str">
            <v>YES</v>
          </cell>
          <cell r="P516" t="str">
            <v>Unaffected lots</v>
          </cell>
          <cell r="Q516" t="str">
            <v>YES</v>
          </cell>
          <cell r="R516">
            <v>70</v>
          </cell>
          <cell r="S516" t="str">
            <v>PCS-04-276764</v>
          </cell>
          <cell r="T516" t="str">
            <v>TCT-060-2024018756</v>
          </cell>
          <cell r="U516" t="b">
            <v>1</v>
          </cell>
          <cell r="V516" t="str">
            <v>Done</v>
          </cell>
          <cell r="W516" t="str">
            <v>B2 2025</v>
          </cell>
          <cell r="X516" t="str">
            <v>2025 - Batch 2</v>
          </cell>
          <cell r="Y516">
            <v>25</v>
          </cell>
          <cell r="Z516">
            <v>33</v>
          </cell>
          <cell r="AA516" t="str">
            <v>H+L</v>
          </cell>
          <cell r="AB516">
            <v>70</v>
          </cell>
          <cell r="AC516">
            <v>50</v>
          </cell>
          <cell r="AD516" t="str">
            <v>Flat</v>
          </cell>
          <cell r="AE516" t="str">
            <v>Duplex</v>
          </cell>
          <cell r="AF516" t="str">
            <v>568 - Without Partition</v>
          </cell>
          <cell r="AG516" t="str">
            <v xml:space="preserve">Without Partition </v>
          </cell>
          <cell r="AH516" t="str">
            <v xml:space="preserve">Without Partition </v>
          </cell>
          <cell r="AI516" t="str">
            <v>PURPLE</v>
          </cell>
          <cell r="AJ516" t="str">
            <v>Flat / PURPLE</v>
          </cell>
          <cell r="AK516">
            <v>1050000</v>
          </cell>
          <cell r="AL516">
            <v>15000</v>
          </cell>
          <cell r="AM516">
            <v>1650000</v>
          </cell>
          <cell r="AN516">
            <v>33000</v>
          </cell>
          <cell r="AO516">
            <v>150000</v>
          </cell>
          <cell r="AP516">
            <v>2850000</v>
          </cell>
          <cell r="AQ516"/>
          <cell r="AR516">
            <v>2850000</v>
          </cell>
          <cell r="AS516">
            <v>200000</v>
          </cell>
          <cell r="AT516">
            <v>2650000</v>
          </cell>
          <cell r="AU516">
            <v>100000</v>
          </cell>
          <cell r="AV516">
            <v>2550000</v>
          </cell>
          <cell r="AW516">
            <v>0</v>
          </cell>
          <cell r="AX516">
            <v>2550000</v>
          </cell>
        </row>
        <row r="517">
          <cell r="G517" t="str">
            <v>AGM-01-025-034</v>
          </cell>
          <cell r="H517" t="str">
            <v xml:space="preserve">Raemulan Lands, Inc. </v>
          </cell>
          <cell r="I517" t="str">
            <v>Agapeya</v>
          </cell>
          <cell r="J517" t="str">
            <v>AGM</v>
          </cell>
          <cell r="K517" t="str">
            <v>Eco-High</v>
          </cell>
          <cell r="L517" t="str">
            <v>West</v>
          </cell>
          <cell r="M517" t="str">
            <v>With LTS - 2024</v>
          </cell>
          <cell r="N517" t="str">
            <v>YES</v>
          </cell>
          <cell r="O517" t="str">
            <v>YES</v>
          </cell>
          <cell r="P517" t="str">
            <v>Unaffected lots</v>
          </cell>
          <cell r="Q517" t="str">
            <v>YES</v>
          </cell>
          <cell r="R517">
            <v>70</v>
          </cell>
          <cell r="S517" t="str">
            <v>PCS-04-276764</v>
          </cell>
          <cell r="T517" t="str">
            <v>TCT-060-2024018757</v>
          </cell>
          <cell r="U517" t="b">
            <v>1</v>
          </cell>
          <cell r="V517" t="str">
            <v>Done</v>
          </cell>
          <cell r="W517" t="str">
            <v>B2 2025</v>
          </cell>
          <cell r="X517" t="str">
            <v>2025 - Batch 2</v>
          </cell>
          <cell r="Y517">
            <v>25</v>
          </cell>
          <cell r="Z517">
            <v>34</v>
          </cell>
          <cell r="AA517" t="str">
            <v>H+L</v>
          </cell>
          <cell r="AB517">
            <v>70</v>
          </cell>
          <cell r="AC517">
            <v>50</v>
          </cell>
          <cell r="AD517" t="str">
            <v>Slant</v>
          </cell>
          <cell r="AE517" t="str">
            <v>Duplex</v>
          </cell>
          <cell r="AF517" t="str">
            <v>568 - Without Partition</v>
          </cell>
          <cell r="AG517" t="str">
            <v xml:space="preserve">Without Partition </v>
          </cell>
          <cell r="AH517" t="str">
            <v xml:space="preserve">Without Partition </v>
          </cell>
          <cell r="AI517" t="str">
            <v>PURPLE</v>
          </cell>
          <cell r="AJ517" t="str">
            <v>Slant / PURPLE</v>
          </cell>
          <cell r="AK517">
            <v>1050000</v>
          </cell>
          <cell r="AL517">
            <v>15000</v>
          </cell>
          <cell r="AM517">
            <v>1650000</v>
          </cell>
          <cell r="AN517">
            <v>33000</v>
          </cell>
          <cell r="AO517">
            <v>150000</v>
          </cell>
          <cell r="AP517">
            <v>2850000</v>
          </cell>
          <cell r="AQ517"/>
          <cell r="AR517">
            <v>2850000</v>
          </cell>
          <cell r="AS517">
            <v>200000</v>
          </cell>
          <cell r="AT517">
            <v>2650000</v>
          </cell>
          <cell r="AU517">
            <v>100000</v>
          </cell>
          <cell r="AV517">
            <v>2550000</v>
          </cell>
          <cell r="AW517">
            <v>0</v>
          </cell>
          <cell r="AX517">
            <v>2550000</v>
          </cell>
        </row>
        <row r="518">
          <cell r="G518" t="str">
            <v>AGM-01-025-035</v>
          </cell>
          <cell r="H518" t="str">
            <v xml:space="preserve">Raemulan Lands, Inc. </v>
          </cell>
          <cell r="I518" t="str">
            <v>Agapeya</v>
          </cell>
          <cell r="J518" t="str">
            <v>AGM</v>
          </cell>
          <cell r="K518" t="str">
            <v>Eco-High</v>
          </cell>
          <cell r="L518" t="str">
            <v>West</v>
          </cell>
          <cell r="M518" t="str">
            <v>With LTS - 2024</v>
          </cell>
          <cell r="N518" t="str">
            <v>YES</v>
          </cell>
          <cell r="O518" t="str">
            <v>YES</v>
          </cell>
          <cell r="P518" t="str">
            <v>Unaffected lots</v>
          </cell>
          <cell r="Q518" t="str">
            <v>YES</v>
          </cell>
          <cell r="R518">
            <v>70</v>
          </cell>
          <cell r="S518" t="str">
            <v>PCS-04-276764</v>
          </cell>
          <cell r="T518" t="str">
            <v>TCT-060-2024018758</v>
          </cell>
          <cell r="U518" t="b">
            <v>1</v>
          </cell>
          <cell r="V518" t="str">
            <v>Done</v>
          </cell>
          <cell r="W518" t="str">
            <v>B2 2025</v>
          </cell>
          <cell r="X518" t="str">
            <v>2025 - Batch 2</v>
          </cell>
          <cell r="Y518">
            <v>25</v>
          </cell>
          <cell r="Z518">
            <v>35</v>
          </cell>
          <cell r="AA518" t="str">
            <v>H+L</v>
          </cell>
          <cell r="AB518">
            <v>70</v>
          </cell>
          <cell r="AC518">
            <v>50</v>
          </cell>
          <cell r="AD518" t="str">
            <v>Slant</v>
          </cell>
          <cell r="AE518" t="str">
            <v>Duplex</v>
          </cell>
          <cell r="AF518" t="str">
            <v>568 - Without Partition</v>
          </cell>
          <cell r="AG518" t="str">
            <v xml:space="preserve">Without Partition </v>
          </cell>
          <cell r="AH518" t="str">
            <v xml:space="preserve">Without Partition </v>
          </cell>
          <cell r="AI518" t="str">
            <v>GREEN</v>
          </cell>
          <cell r="AJ518" t="str">
            <v>Slant / GREEN</v>
          </cell>
          <cell r="AK518">
            <v>1050000</v>
          </cell>
          <cell r="AL518">
            <v>15000</v>
          </cell>
          <cell r="AM518">
            <v>1650000</v>
          </cell>
          <cell r="AN518">
            <v>33000</v>
          </cell>
          <cell r="AO518">
            <v>150000</v>
          </cell>
          <cell r="AP518">
            <v>2850000</v>
          </cell>
          <cell r="AQ518"/>
          <cell r="AR518">
            <v>2850000</v>
          </cell>
          <cell r="AS518">
            <v>200000</v>
          </cell>
          <cell r="AT518">
            <v>2650000</v>
          </cell>
          <cell r="AU518">
            <v>100000</v>
          </cell>
          <cell r="AV518">
            <v>2550000</v>
          </cell>
          <cell r="AW518">
            <v>0</v>
          </cell>
          <cell r="AX518">
            <v>2550000</v>
          </cell>
        </row>
        <row r="519">
          <cell r="G519" t="str">
            <v>AGM-01-025-036</v>
          </cell>
          <cell r="H519" t="str">
            <v xml:space="preserve">Raemulan Lands, Inc. </v>
          </cell>
          <cell r="I519" t="str">
            <v>Agapeya</v>
          </cell>
          <cell r="J519" t="str">
            <v>AGM</v>
          </cell>
          <cell r="K519" t="str">
            <v>Eco-High</v>
          </cell>
          <cell r="L519" t="str">
            <v>West</v>
          </cell>
          <cell r="M519" t="str">
            <v>With LTS - 2024</v>
          </cell>
          <cell r="N519" t="str">
            <v>YES</v>
          </cell>
          <cell r="O519" t="str">
            <v>YES</v>
          </cell>
          <cell r="P519" t="str">
            <v>Unaffected lots</v>
          </cell>
          <cell r="Q519" t="str">
            <v>YES</v>
          </cell>
          <cell r="R519">
            <v>70</v>
          </cell>
          <cell r="S519" t="str">
            <v>PCS-04-276764</v>
          </cell>
          <cell r="T519" t="str">
            <v>TCT-060-2024018759</v>
          </cell>
          <cell r="U519" t="b">
            <v>1</v>
          </cell>
          <cell r="V519" t="str">
            <v>Done</v>
          </cell>
          <cell r="W519" t="str">
            <v>B2 2025</v>
          </cell>
          <cell r="X519" t="str">
            <v>2025 - Batch 2</v>
          </cell>
          <cell r="Y519">
            <v>25</v>
          </cell>
          <cell r="Z519">
            <v>36</v>
          </cell>
          <cell r="AA519" t="str">
            <v>H+L</v>
          </cell>
          <cell r="AB519">
            <v>70</v>
          </cell>
          <cell r="AC519">
            <v>50</v>
          </cell>
          <cell r="AD519" t="str">
            <v>Flat</v>
          </cell>
          <cell r="AE519" t="str">
            <v>Duplex</v>
          </cell>
          <cell r="AF519" t="str">
            <v>568 - Without Partition</v>
          </cell>
          <cell r="AG519" t="str">
            <v xml:space="preserve">Without Partition </v>
          </cell>
          <cell r="AH519" t="str">
            <v xml:space="preserve">Without Partition </v>
          </cell>
          <cell r="AI519" t="str">
            <v>GREEN</v>
          </cell>
          <cell r="AJ519" t="str">
            <v>Flat / GREEN</v>
          </cell>
          <cell r="AK519">
            <v>1050000</v>
          </cell>
          <cell r="AL519">
            <v>15000</v>
          </cell>
          <cell r="AM519">
            <v>1650000</v>
          </cell>
          <cell r="AN519">
            <v>33000</v>
          </cell>
          <cell r="AO519">
            <v>150000</v>
          </cell>
          <cell r="AP519">
            <v>2850000</v>
          </cell>
          <cell r="AQ519"/>
          <cell r="AR519">
            <v>2850000</v>
          </cell>
          <cell r="AS519">
            <v>200000</v>
          </cell>
          <cell r="AT519">
            <v>2650000</v>
          </cell>
          <cell r="AU519">
            <v>100000</v>
          </cell>
          <cell r="AV519">
            <v>2550000</v>
          </cell>
          <cell r="AW519">
            <v>0</v>
          </cell>
          <cell r="AX519">
            <v>2550000</v>
          </cell>
        </row>
        <row r="520">
          <cell r="G520" t="str">
            <v>AGM-01-025-037</v>
          </cell>
          <cell r="H520" t="str">
            <v xml:space="preserve">Raemulan Lands, Inc. </v>
          </cell>
          <cell r="I520" t="str">
            <v>Agapeya</v>
          </cell>
          <cell r="J520" t="str">
            <v>AGM</v>
          </cell>
          <cell r="K520" t="str">
            <v>Eco-High</v>
          </cell>
          <cell r="L520" t="str">
            <v>West</v>
          </cell>
          <cell r="M520" t="str">
            <v>With LTS - 2024</v>
          </cell>
          <cell r="N520" t="str">
            <v>YES</v>
          </cell>
          <cell r="O520" t="str">
            <v>YES</v>
          </cell>
          <cell r="P520" t="str">
            <v>Unaffected lots</v>
          </cell>
          <cell r="Q520" t="str">
            <v>YES</v>
          </cell>
          <cell r="R520">
            <v>70</v>
          </cell>
          <cell r="S520" t="str">
            <v>PCS-04-276764</v>
          </cell>
          <cell r="T520" t="str">
            <v>TCT-060-2024018760</v>
          </cell>
          <cell r="U520" t="b">
            <v>1</v>
          </cell>
          <cell r="V520" t="str">
            <v>Done</v>
          </cell>
          <cell r="W520" t="str">
            <v>B2 2025</v>
          </cell>
          <cell r="X520" t="str">
            <v>2025 - Batch 2</v>
          </cell>
          <cell r="Y520">
            <v>25</v>
          </cell>
          <cell r="Z520">
            <v>37</v>
          </cell>
          <cell r="AA520" t="str">
            <v>H+L</v>
          </cell>
          <cell r="AB520">
            <v>70</v>
          </cell>
          <cell r="AC520">
            <v>50</v>
          </cell>
          <cell r="AD520" t="str">
            <v>Flat</v>
          </cell>
          <cell r="AE520" t="str">
            <v>Duplex</v>
          </cell>
          <cell r="AF520" t="str">
            <v>568 - Without Partition</v>
          </cell>
          <cell r="AG520" t="str">
            <v xml:space="preserve">Without Partition </v>
          </cell>
          <cell r="AH520" t="str">
            <v xml:space="preserve">Without Partition </v>
          </cell>
          <cell r="AI520" t="str">
            <v>GREEN</v>
          </cell>
          <cell r="AJ520" t="str">
            <v>Flat / GREEN</v>
          </cell>
          <cell r="AK520">
            <v>1050000</v>
          </cell>
          <cell r="AL520">
            <v>15000</v>
          </cell>
          <cell r="AM520">
            <v>1650000</v>
          </cell>
          <cell r="AN520">
            <v>33000</v>
          </cell>
          <cell r="AO520">
            <v>150000</v>
          </cell>
          <cell r="AP520">
            <v>2850000</v>
          </cell>
          <cell r="AQ520"/>
          <cell r="AR520">
            <v>2850000</v>
          </cell>
          <cell r="AS520">
            <v>200000</v>
          </cell>
          <cell r="AT520">
            <v>2650000</v>
          </cell>
          <cell r="AU520">
            <v>100000</v>
          </cell>
          <cell r="AV520">
            <v>2550000</v>
          </cell>
          <cell r="AW520">
            <v>0</v>
          </cell>
          <cell r="AX520">
            <v>2550000</v>
          </cell>
        </row>
        <row r="521">
          <cell r="G521" t="str">
            <v>AGM-01-025-038</v>
          </cell>
          <cell r="H521" t="str">
            <v xml:space="preserve">Raemulan Lands, Inc. </v>
          </cell>
          <cell r="I521" t="str">
            <v>Agapeya</v>
          </cell>
          <cell r="J521" t="str">
            <v>AGM</v>
          </cell>
          <cell r="K521" t="str">
            <v>Eco-High</v>
          </cell>
          <cell r="L521" t="str">
            <v>West</v>
          </cell>
          <cell r="M521" t="str">
            <v>With LTS - 2024</v>
          </cell>
          <cell r="N521" t="str">
            <v>YES</v>
          </cell>
          <cell r="O521" t="str">
            <v>YES</v>
          </cell>
          <cell r="P521" t="str">
            <v>Unaffected lots</v>
          </cell>
          <cell r="Q521" t="str">
            <v>YES</v>
          </cell>
          <cell r="R521">
            <v>70</v>
          </cell>
          <cell r="S521" t="str">
            <v>PCS-04-276764</v>
          </cell>
          <cell r="T521" t="str">
            <v>TCT-060-2024018761</v>
          </cell>
          <cell r="U521" t="b">
            <v>1</v>
          </cell>
          <cell r="V521" t="str">
            <v>Done</v>
          </cell>
          <cell r="W521" t="str">
            <v>B2 2025</v>
          </cell>
          <cell r="X521" t="str">
            <v>2025 - Batch 2</v>
          </cell>
          <cell r="Y521">
            <v>25</v>
          </cell>
          <cell r="Z521">
            <v>38</v>
          </cell>
          <cell r="AA521" t="str">
            <v>H+L</v>
          </cell>
          <cell r="AB521">
            <v>70</v>
          </cell>
          <cell r="AC521">
            <v>50</v>
          </cell>
          <cell r="AD521" t="str">
            <v>Slant</v>
          </cell>
          <cell r="AE521" t="str">
            <v>Duplex</v>
          </cell>
          <cell r="AF521" t="str">
            <v>568 - Without Partition</v>
          </cell>
          <cell r="AG521" t="str">
            <v xml:space="preserve">Without Partition </v>
          </cell>
          <cell r="AH521" t="str">
            <v xml:space="preserve">Without Partition </v>
          </cell>
          <cell r="AI521" t="str">
            <v>GREEN</v>
          </cell>
          <cell r="AJ521" t="str">
            <v>Slant / GREEN</v>
          </cell>
          <cell r="AK521">
            <v>1050000</v>
          </cell>
          <cell r="AL521">
            <v>15000</v>
          </cell>
          <cell r="AM521">
            <v>1650000</v>
          </cell>
          <cell r="AN521">
            <v>33000</v>
          </cell>
          <cell r="AO521">
            <v>150000</v>
          </cell>
          <cell r="AP521">
            <v>2850000</v>
          </cell>
          <cell r="AQ521"/>
          <cell r="AR521">
            <v>2850000</v>
          </cell>
          <cell r="AS521">
            <v>200000</v>
          </cell>
          <cell r="AT521">
            <v>2650000</v>
          </cell>
          <cell r="AU521">
            <v>100000</v>
          </cell>
          <cell r="AV521">
            <v>2550000</v>
          </cell>
          <cell r="AW521">
            <v>0</v>
          </cell>
          <cell r="AX521">
            <v>2550000</v>
          </cell>
        </row>
        <row r="522">
          <cell r="G522" t="str">
            <v>AGM-01-025-039</v>
          </cell>
          <cell r="H522" t="str">
            <v xml:space="preserve">Raemulan Lands, Inc. </v>
          </cell>
          <cell r="I522" t="str">
            <v>Agapeya</v>
          </cell>
          <cell r="J522" t="str">
            <v>AGM</v>
          </cell>
          <cell r="K522" t="str">
            <v>Eco-High</v>
          </cell>
          <cell r="L522" t="str">
            <v>West</v>
          </cell>
          <cell r="M522" t="str">
            <v>With LTS - 2024</v>
          </cell>
          <cell r="N522" t="str">
            <v>YES</v>
          </cell>
          <cell r="O522" t="str">
            <v>YES</v>
          </cell>
          <cell r="P522" t="str">
            <v>Unaffected lots</v>
          </cell>
          <cell r="Q522" t="str">
            <v>YES</v>
          </cell>
          <cell r="R522">
            <v>70</v>
          </cell>
          <cell r="S522" t="str">
            <v>PCS-04-035871</v>
          </cell>
          <cell r="T522" t="str">
            <v>TCT-060-2025015499</v>
          </cell>
          <cell r="U522" t="b">
            <v>1</v>
          </cell>
          <cell r="V522" t="str">
            <v>Done</v>
          </cell>
          <cell r="W522" t="str">
            <v>B2 2025</v>
          </cell>
          <cell r="X522" t="str">
            <v>2025 - Batch 5</v>
          </cell>
          <cell r="Y522">
            <v>25</v>
          </cell>
          <cell r="Z522">
            <v>39</v>
          </cell>
          <cell r="AA522" t="str">
            <v>H+L</v>
          </cell>
          <cell r="AB522">
            <v>70</v>
          </cell>
          <cell r="AC522">
            <v>50</v>
          </cell>
          <cell r="AD522" t="str">
            <v>Slant</v>
          </cell>
          <cell r="AE522" t="str">
            <v>Duplex</v>
          </cell>
          <cell r="AF522" t="str">
            <v>568 - Without Partition</v>
          </cell>
          <cell r="AG522" t="str">
            <v xml:space="preserve">Without Partition </v>
          </cell>
          <cell r="AH522" t="str">
            <v xml:space="preserve">Without Partition </v>
          </cell>
          <cell r="AI522" t="str">
            <v>YELLOW</v>
          </cell>
          <cell r="AJ522" t="str">
            <v>Slant / YELLOW</v>
          </cell>
          <cell r="AK522">
            <v>1050000</v>
          </cell>
          <cell r="AL522">
            <v>15000</v>
          </cell>
          <cell r="AM522">
            <v>1650000</v>
          </cell>
          <cell r="AN522">
            <v>33000</v>
          </cell>
          <cell r="AO522">
            <v>150000</v>
          </cell>
          <cell r="AP522">
            <v>2850000</v>
          </cell>
          <cell r="AQ522"/>
          <cell r="AR522">
            <v>2850000</v>
          </cell>
          <cell r="AS522">
            <v>200000</v>
          </cell>
          <cell r="AT522">
            <v>2650000</v>
          </cell>
          <cell r="AU522">
            <v>100000</v>
          </cell>
          <cell r="AV522">
            <v>2550000</v>
          </cell>
          <cell r="AW522">
            <v>0</v>
          </cell>
          <cell r="AX522">
            <v>2550000</v>
          </cell>
        </row>
        <row r="523">
          <cell r="G523" t="str">
            <v>AGM-01-025-040</v>
          </cell>
          <cell r="H523" t="str">
            <v xml:space="preserve">Raemulan Lands, Inc. </v>
          </cell>
          <cell r="I523" t="str">
            <v>Agapeya</v>
          </cell>
          <cell r="J523" t="str">
            <v>AGM</v>
          </cell>
          <cell r="K523" t="str">
            <v>Eco-High</v>
          </cell>
          <cell r="L523" t="str">
            <v>West</v>
          </cell>
          <cell r="M523" t="str">
            <v>With LTS - 2024</v>
          </cell>
          <cell r="N523" t="str">
            <v>YES</v>
          </cell>
          <cell r="O523" t="str">
            <v>YES</v>
          </cell>
          <cell r="P523" t="str">
            <v>Unaffected lots</v>
          </cell>
          <cell r="Q523" t="str">
            <v>YES</v>
          </cell>
          <cell r="R523">
            <v>70</v>
          </cell>
          <cell r="S523" t="str">
            <v>PCS-04-034298</v>
          </cell>
          <cell r="T523" t="str">
            <v>TCT-060-2024021646</v>
          </cell>
          <cell r="U523" t="b">
            <v>1</v>
          </cell>
          <cell r="V523" t="str">
            <v>Done</v>
          </cell>
          <cell r="W523" t="str">
            <v>B2 2025</v>
          </cell>
          <cell r="X523" t="str">
            <v>2025 - Batch 5</v>
          </cell>
          <cell r="Y523">
            <v>25</v>
          </cell>
          <cell r="Z523">
            <v>40</v>
          </cell>
          <cell r="AA523" t="str">
            <v>H+L</v>
          </cell>
          <cell r="AB523">
            <v>70</v>
          </cell>
          <cell r="AC523">
            <v>50</v>
          </cell>
          <cell r="AD523" t="str">
            <v>Flat</v>
          </cell>
          <cell r="AE523" t="str">
            <v>Duplex</v>
          </cell>
          <cell r="AF523" t="str">
            <v>568 - Without Partition</v>
          </cell>
          <cell r="AG523" t="str">
            <v xml:space="preserve">Without Partition </v>
          </cell>
          <cell r="AH523" t="str">
            <v xml:space="preserve">Without Partition </v>
          </cell>
          <cell r="AI523" t="str">
            <v>YELLOW</v>
          </cell>
          <cell r="AJ523" t="str">
            <v>Flat / YELLOW</v>
          </cell>
          <cell r="AK523">
            <v>1050000</v>
          </cell>
          <cell r="AL523">
            <v>15000</v>
          </cell>
          <cell r="AM523">
            <v>1650000</v>
          </cell>
          <cell r="AN523">
            <v>33000</v>
          </cell>
          <cell r="AO523">
            <v>150000</v>
          </cell>
          <cell r="AP523">
            <v>2850000</v>
          </cell>
          <cell r="AQ523"/>
          <cell r="AR523">
            <v>2850000</v>
          </cell>
          <cell r="AS523">
            <v>200000</v>
          </cell>
          <cell r="AT523">
            <v>2650000</v>
          </cell>
          <cell r="AU523">
            <v>100000</v>
          </cell>
          <cell r="AV523">
            <v>2550000</v>
          </cell>
          <cell r="AW523">
            <v>0</v>
          </cell>
          <cell r="AX523">
            <v>2550000</v>
          </cell>
        </row>
        <row r="524">
          <cell r="G524" t="str">
            <v>AGM-01-025-041</v>
          </cell>
          <cell r="H524" t="str">
            <v xml:space="preserve">Raemulan Lands, Inc. </v>
          </cell>
          <cell r="I524" t="str">
            <v>Agapeya</v>
          </cell>
          <cell r="J524" t="str">
            <v>AGM</v>
          </cell>
          <cell r="K524" t="str">
            <v>Eco-High</v>
          </cell>
          <cell r="L524" t="str">
            <v>West</v>
          </cell>
          <cell r="M524" t="str">
            <v>With LTS - 2024</v>
          </cell>
          <cell r="N524" t="str">
            <v>YES</v>
          </cell>
          <cell r="O524" t="str">
            <v>YES</v>
          </cell>
          <cell r="P524" t="str">
            <v>Unaffected lots</v>
          </cell>
          <cell r="Q524" t="str">
            <v>YES</v>
          </cell>
          <cell r="R524">
            <v>70</v>
          </cell>
          <cell r="S524" t="str">
            <v>PCS-04-034298</v>
          </cell>
          <cell r="T524" t="str">
            <v>TCT-060-2024021647</v>
          </cell>
          <cell r="U524" t="b">
            <v>1</v>
          </cell>
          <cell r="V524" t="str">
            <v>Done</v>
          </cell>
          <cell r="W524" t="str">
            <v>B2 2025</v>
          </cell>
          <cell r="X524" t="str">
            <v>2025 - Batch 5</v>
          </cell>
          <cell r="Y524">
            <v>25</v>
          </cell>
          <cell r="Z524">
            <v>41</v>
          </cell>
          <cell r="AA524" t="str">
            <v>H+L</v>
          </cell>
          <cell r="AB524">
            <v>70</v>
          </cell>
          <cell r="AC524">
            <v>50</v>
          </cell>
          <cell r="AD524" t="str">
            <v>Flat</v>
          </cell>
          <cell r="AE524" t="str">
            <v>Duplex</v>
          </cell>
          <cell r="AF524" t="str">
            <v>568 - Without Partition</v>
          </cell>
          <cell r="AG524" t="str">
            <v xml:space="preserve">Without Partition </v>
          </cell>
          <cell r="AH524" t="str">
            <v xml:space="preserve">Without Partition </v>
          </cell>
          <cell r="AI524" t="str">
            <v>YELLOW</v>
          </cell>
          <cell r="AJ524" t="str">
            <v>Flat / YELLOW</v>
          </cell>
          <cell r="AK524">
            <v>1050000</v>
          </cell>
          <cell r="AL524">
            <v>15000</v>
          </cell>
          <cell r="AM524">
            <v>1650000</v>
          </cell>
          <cell r="AN524">
            <v>33000</v>
          </cell>
          <cell r="AO524">
            <v>150000</v>
          </cell>
          <cell r="AP524">
            <v>2850000</v>
          </cell>
          <cell r="AQ524"/>
          <cell r="AR524">
            <v>2850000</v>
          </cell>
          <cell r="AS524">
            <v>200000</v>
          </cell>
          <cell r="AT524">
            <v>2650000</v>
          </cell>
          <cell r="AU524">
            <v>100000</v>
          </cell>
          <cell r="AV524">
            <v>2550000</v>
          </cell>
          <cell r="AW524">
            <v>0</v>
          </cell>
          <cell r="AX524">
            <v>2550000</v>
          </cell>
        </row>
        <row r="525">
          <cell r="G525" t="str">
            <v>AGM-01-025-042</v>
          </cell>
          <cell r="H525" t="str">
            <v xml:space="preserve">Raemulan Lands, Inc. </v>
          </cell>
          <cell r="I525" t="str">
            <v>Agapeya</v>
          </cell>
          <cell r="J525" t="str">
            <v>AGM</v>
          </cell>
          <cell r="K525" t="str">
            <v>Eco-High</v>
          </cell>
          <cell r="L525" t="str">
            <v>West</v>
          </cell>
          <cell r="M525" t="str">
            <v>With LTS - 2024</v>
          </cell>
          <cell r="N525" t="str">
            <v>YES</v>
          </cell>
          <cell r="O525" t="str">
            <v>YES</v>
          </cell>
          <cell r="P525" t="str">
            <v>Unaffected lots</v>
          </cell>
          <cell r="Q525" t="str">
            <v>YES</v>
          </cell>
          <cell r="R525">
            <v>70</v>
          </cell>
          <cell r="S525" t="str">
            <v>PCS-04-034298</v>
          </cell>
          <cell r="T525" t="str">
            <v>TCT-060-2024021648</v>
          </cell>
          <cell r="U525" t="b">
            <v>1</v>
          </cell>
          <cell r="V525" t="str">
            <v>Done</v>
          </cell>
          <cell r="W525" t="str">
            <v>B2 2025</v>
          </cell>
          <cell r="X525" t="str">
            <v>2025 - Batch 5</v>
          </cell>
          <cell r="Y525">
            <v>25</v>
          </cell>
          <cell r="Z525">
            <v>42</v>
          </cell>
          <cell r="AA525" t="str">
            <v>H+L</v>
          </cell>
          <cell r="AB525">
            <v>70</v>
          </cell>
          <cell r="AC525">
            <v>50</v>
          </cell>
          <cell r="AD525" t="str">
            <v>Slant</v>
          </cell>
          <cell r="AE525" t="str">
            <v>Duplex</v>
          </cell>
          <cell r="AF525" t="str">
            <v>568 - Without Partition</v>
          </cell>
          <cell r="AG525" t="str">
            <v xml:space="preserve">Without Partition </v>
          </cell>
          <cell r="AH525" t="str">
            <v xml:space="preserve">Without Partition </v>
          </cell>
          <cell r="AI525" t="str">
            <v>YELLOW</v>
          </cell>
          <cell r="AJ525" t="str">
            <v>Slant / YELLOW</v>
          </cell>
          <cell r="AK525">
            <v>1050000</v>
          </cell>
          <cell r="AL525">
            <v>15000</v>
          </cell>
          <cell r="AM525">
            <v>1650000</v>
          </cell>
          <cell r="AN525">
            <v>33000</v>
          </cell>
          <cell r="AO525">
            <v>150000</v>
          </cell>
          <cell r="AP525">
            <v>2850000</v>
          </cell>
          <cell r="AQ525"/>
          <cell r="AR525">
            <v>2850000</v>
          </cell>
          <cell r="AS525">
            <v>200000</v>
          </cell>
          <cell r="AT525">
            <v>2650000</v>
          </cell>
          <cell r="AU525">
            <v>100000</v>
          </cell>
          <cell r="AV525">
            <v>2550000</v>
          </cell>
          <cell r="AW525">
            <v>0</v>
          </cell>
          <cell r="AX525">
            <v>2550000</v>
          </cell>
        </row>
        <row r="526">
          <cell r="G526" t="str">
            <v>AGM-01-025-043</v>
          </cell>
          <cell r="H526" t="str">
            <v xml:space="preserve">Raemulan Lands, Inc. </v>
          </cell>
          <cell r="I526" t="str">
            <v>Agapeya</v>
          </cell>
          <cell r="J526" t="str">
            <v>AGM</v>
          </cell>
          <cell r="K526" t="str">
            <v>Eco-High</v>
          </cell>
          <cell r="L526" t="str">
            <v>West</v>
          </cell>
          <cell r="M526" t="str">
            <v>With LTS - 2024</v>
          </cell>
          <cell r="N526" t="str">
            <v>YES</v>
          </cell>
          <cell r="O526" t="str">
            <v>YES</v>
          </cell>
          <cell r="P526" t="str">
            <v>Unaffected lots</v>
          </cell>
          <cell r="Q526" t="str">
            <v>YES</v>
          </cell>
          <cell r="R526">
            <v>70</v>
          </cell>
          <cell r="S526" t="str">
            <v>PCS-04-034298</v>
          </cell>
          <cell r="T526" t="str">
            <v>TCT-060-2024021649</v>
          </cell>
          <cell r="U526" t="b">
            <v>1</v>
          </cell>
          <cell r="V526" t="str">
            <v>Done</v>
          </cell>
          <cell r="W526" t="str">
            <v>B2 2025</v>
          </cell>
          <cell r="X526" t="str">
            <v>2025 - Batch 5</v>
          </cell>
          <cell r="Y526">
            <v>25</v>
          </cell>
          <cell r="Z526">
            <v>43</v>
          </cell>
          <cell r="AA526" t="str">
            <v>H+L</v>
          </cell>
          <cell r="AB526">
            <v>70</v>
          </cell>
          <cell r="AC526">
            <v>50</v>
          </cell>
          <cell r="AD526" t="str">
            <v>Slant</v>
          </cell>
          <cell r="AE526" t="str">
            <v>Duplex</v>
          </cell>
          <cell r="AF526" t="str">
            <v>568 - Without Partition</v>
          </cell>
          <cell r="AG526" t="str">
            <v xml:space="preserve">Without Partition </v>
          </cell>
          <cell r="AH526" t="str">
            <v xml:space="preserve">Without Partition </v>
          </cell>
          <cell r="AI526" t="str">
            <v>PINK</v>
          </cell>
          <cell r="AJ526" t="str">
            <v>Slant / PINK</v>
          </cell>
          <cell r="AK526">
            <v>1050000</v>
          </cell>
          <cell r="AL526">
            <v>15000</v>
          </cell>
          <cell r="AM526">
            <v>1650000</v>
          </cell>
          <cell r="AN526">
            <v>33000</v>
          </cell>
          <cell r="AO526">
            <v>150000</v>
          </cell>
          <cell r="AP526">
            <v>2850000</v>
          </cell>
          <cell r="AQ526"/>
          <cell r="AR526">
            <v>2850000</v>
          </cell>
          <cell r="AS526">
            <v>200000</v>
          </cell>
          <cell r="AT526">
            <v>2650000</v>
          </cell>
          <cell r="AU526">
            <v>100000</v>
          </cell>
          <cell r="AV526">
            <v>2550000</v>
          </cell>
          <cell r="AW526">
            <v>0</v>
          </cell>
          <cell r="AX526">
            <v>2550000</v>
          </cell>
        </row>
        <row r="527">
          <cell r="G527" t="str">
            <v>AGM-01-025-044</v>
          </cell>
          <cell r="H527" t="str">
            <v xml:space="preserve">Raemulan Lands, Inc. </v>
          </cell>
          <cell r="I527" t="str">
            <v>Agapeya</v>
          </cell>
          <cell r="J527" t="str">
            <v>AGM</v>
          </cell>
          <cell r="K527" t="str">
            <v>Eco-High</v>
          </cell>
          <cell r="L527" t="str">
            <v>West</v>
          </cell>
          <cell r="M527" t="str">
            <v>With LTS - 2024</v>
          </cell>
          <cell r="N527" t="str">
            <v>YES</v>
          </cell>
          <cell r="O527" t="str">
            <v>YES</v>
          </cell>
          <cell r="P527" t="str">
            <v>Unaffected lots</v>
          </cell>
          <cell r="Q527" t="str">
            <v>YES</v>
          </cell>
          <cell r="R527">
            <v>70</v>
          </cell>
          <cell r="S527" t="str">
            <v>PCS-04-034298</v>
          </cell>
          <cell r="T527" t="str">
            <v>TCT-060-2024021650</v>
          </cell>
          <cell r="U527" t="b">
            <v>1</v>
          </cell>
          <cell r="V527" t="str">
            <v>Done</v>
          </cell>
          <cell r="W527" t="str">
            <v>B2 2025</v>
          </cell>
          <cell r="X527" t="str">
            <v>2025 - Batch 5</v>
          </cell>
          <cell r="Y527">
            <v>25</v>
          </cell>
          <cell r="Z527">
            <v>44</v>
          </cell>
          <cell r="AA527" t="str">
            <v>H+L</v>
          </cell>
          <cell r="AB527">
            <v>70</v>
          </cell>
          <cell r="AC527">
            <v>50</v>
          </cell>
          <cell r="AD527" t="str">
            <v>Flat</v>
          </cell>
          <cell r="AE527" t="str">
            <v>Duplex</v>
          </cell>
          <cell r="AF527" t="str">
            <v>568 - Without Partition</v>
          </cell>
          <cell r="AG527" t="str">
            <v xml:space="preserve">Without Partition </v>
          </cell>
          <cell r="AH527" t="str">
            <v xml:space="preserve">Without Partition </v>
          </cell>
          <cell r="AI527" t="str">
            <v>PINK</v>
          </cell>
          <cell r="AJ527" t="str">
            <v>Flat / PINK</v>
          </cell>
          <cell r="AK527">
            <v>1050000</v>
          </cell>
          <cell r="AL527">
            <v>15000</v>
          </cell>
          <cell r="AM527">
            <v>1650000</v>
          </cell>
          <cell r="AN527">
            <v>33000</v>
          </cell>
          <cell r="AO527">
            <v>150000</v>
          </cell>
          <cell r="AP527">
            <v>2850000</v>
          </cell>
          <cell r="AQ527"/>
          <cell r="AR527">
            <v>2850000</v>
          </cell>
          <cell r="AS527">
            <v>200000</v>
          </cell>
          <cell r="AT527">
            <v>2650000</v>
          </cell>
          <cell r="AU527">
            <v>100000</v>
          </cell>
          <cell r="AV527">
            <v>2550000</v>
          </cell>
          <cell r="AW527">
            <v>0</v>
          </cell>
          <cell r="AX527">
            <v>2550000</v>
          </cell>
        </row>
        <row r="528">
          <cell r="G528" t="str">
            <v>AGM-01-025-045</v>
          </cell>
          <cell r="H528" t="str">
            <v xml:space="preserve">Raemulan Lands, Inc. </v>
          </cell>
          <cell r="I528" t="str">
            <v>Agapeya</v>
          </cell>
          <cell r="J528" t="str">
            <v>AGM</v>
          </cell>
          <cell r="K528" t="str">
            <v>Eco-High</v>
          </cell>
          <cell r="L528" t="str">
            <v>West</v>
          </cell>
          <cell r="M528" t="str">
            <v>With LTS - 2024</v>
          </cell>
          <cell r="N528" t="str">
            <v>YES</v>
          </cell>
          <cell r="O528" t="str">
            <v>YES</v>
          </cell>
          <cell r="P528" t="str">
            <v>Unaffected lots</v>
          </cell>
          <cell r="Q528" t="str">
            <v>YES</v>
          </cell>
          <cell r="R528">
            <v>70</v>
          </cell>
          <cell r="S528" t="str">
            <v>PCS-04-034298</v>
          </cell>
          <cell r="T528" t="str">
            <v>TCT-060-2024021651</v>
          </cell>
          <cell r="U528" t="b">
            <v>1</v>
          </cell>
          <cell r="V528" t="str">
            <v>Done</v>
          </cell>
          <cell r="W528" t="str">
            <v>B2 2025</v>
          </cell>
          <cell r="X528" t="str">
            <v>2025 - Batch 2</v>
          </cell>
          <cell r="Y528">
            <v>25</v>
          </cell>
          <cell r="Z528">
            <v>45</v>
          </cell>
          <cell r="AA528" t="str">
            <v>H+L</v>
          </cell>
          <cell r="AB528">
            <v>70</v>
          </cell>
          <cell r="AC528">
            <v>50</v>
          </cell>
          <cell r="AD528" t="str">
            <v>Flat</v>
          </cell>
          <cell r="AE528" t="str">
            <v>Duplex</v>
          </cell>
          <cell r="AF528" t="str">
            <v>568 - Without Partition</v>
          </cell>
          <cell r="AG528" t="str">
            <v xml:space="preserve">Without Partition </v>
          </cell>
          <cell r="AH528" t="str">
            <v xml:space="preserve">Without Partition </v>
          </cell>
          <cell r="AI528" t="str">
            <v>PINK</v>
          </cell>
          <cell r="AJ528" t="str">
            <v>Flat / PINK</v>
          </cell>
          <cell r="AK528">
            <v>1050000</v>
          </cell>
          <cell r="AL528">
            <v>15000</v>
          </cell>
          <cell r="AM528">
            <v>1650000</v>
          </cell>
          <cell r="AN528">
            <v>33000</v>
          </cell>
          <cell r="AO528">
            <v>150000</v>
          </cell>
          <cell r="AP528">
            <v>2850000</v>
          </cell>
          <cell r="AQ528"/>
          <cell r="AR528">
            <v>2850000</v>
          </cell>
          <cell r="AS528">
            <v>200000</v>
          </cell>
          <cell r="AT528">
            <v>2650000</v>
          </cell>
          <cell r="AU528">
            <v>100000</v>
          </cell>
          <cell r="AV528">
            <v>2550000</v>
          </cell>
          <cell r="AW528">
            <v>0</v>
          </cell>
          <cell r="AX528">
            <v>2550000</v>
          </cell>
        </row>
        <row r="529">
          <cell r="G529" t="str">
            <v>AGM-01-025-046</v>
          </cell>
          <cell r="H529" t="str">
            <v xml:space="preserve">Raemulan Lands, Inc. </v>
          </cell>
          <cell r="I529" t="str">
            <v>Agapeya</v>
          </cell>
          <cell r="J529" t="str">
            <v>AGM</v>
          </cell>
          <cell r="K529" t="str">
            <v>Eco-High</v>
          </cell>
          <cell r="L529" t="str">
            <v>West</v>
          </cell>
          <cell r="M529" t="str">
            <v>With LTS - 2024</v>
          </cell>
          <cell r="N529" t="str">
            <v>YES</v>
          </cell>
          <cell r="O529" t="str">
            <v>YES</v>
          </cell>
          <cell r="P529" t="str">
            <v>Unaffected lots</v>
          </cell>
          <cell r="Q529" t="str">
            <v>YES</v>
          </cell>
          <cell r="R529">
            <v>70</v>
          </cell>
          <cell r="S529" t="str">
            <v>PCS-04-034298</v>
          </cell>
          <cell r="T529" t="str">
            <v>TCT-060-2024021652</v>
          </cell>
          <cell r="U529" t="b">
            <v>1</v>
          </cell>
          <cell r="V529" t="str">
            <v>Done</v>
          </cell>
          <cell r="W529" t="str">
            <v>B2 2025</v>
          </cell>
          <cell r="X529" t="str">
            <v>2025 - Batch 2</v>
          </cell>
          <cell r="Y529">
            <v>25</v>
          </cell>
          <cell r="Z529">
            <v>46</v>
          </cell>
          <cell r="AA529" t="str">
            <v>H+L</v>
          </cell>
          <cell r="AB529">
            <v>70</v>
          </cell>
          <cell r="AC529">
            <v>50</v>
          </cell>
          <cell r="AD529" t="str">
            <v>Slant</v>
          </cell>
          <cell r="AE529" t="str">
            <v>Duplex</v>
          </cell>
          <cell r="AF529" t="str">
            <v>568 - Without Partition</v>
          </cell>
          <cell r="AG529" t="str">
            <v xml:space="preserve">Without Partition </v>
          </cell>
          <cell r="AH529" t="str">
            <v xml:space="preserve">Without Partition </v>
          </cell>
          <cell r="AI529" t="str">
            <v>PINK</v>
          </cell>
          <cell r="AJ529" t="str">
            <v>Slant / PINK</v>
          </cell>
          <cell r="AK529">
            <v>1050000</v>
          </cell>
          <cell r="AL529">
            <v>15000</v>
          </cell>
          <cell r="AM529">
            <v>1650000</v>
          </cell>
          <cell r="AN529">
            <v>33000</v>
          </cell>
          <cell r="AO529">
            <v>150000</v>
          </cell>
          <cell r="AP529">
            <v>2850000</v>
          </cell>
          <cell r="AQ529"/>
          <cell r="AR529">
            <v>2850000</v>
          </cell>
          <cell r="AS529">
            <v>200000</v>
          </cell>
          <cell r="AT529">
            <v>2650000</v>
          </cell>
          <cell r="AU529">
            <v>100000</v>
          </cell>
          <cell r="AV529">
            <v>2550000</v>
          </cell>
          <cell r="AW529">
            <v>0</v>
          </cell>
          <cell r="AX529">
            <v>2550000</v>
          </cell>
        </row>
        <row r="530">
          <cell r="G530" t="str">
            <v>AGM-01-025-047</v>
          </cell>
          <cell r="H530" t="str">
            <v xml:space="preserve">Raemulan Lands, Inc. </v>
          </cell>
          <cell r="I530" t="str">
            <v>Agapeya</v>
          </cell>
          <cell r="J530" t="str">
            <v>AGM</v>
          </cell>
          <cell r="K530" t="str">
            <v>Eco-High</v>
          </cell>
          <cell r="L530" t="str">
            <v>West</v>
          </cell>
          <cell r="M530" t="str">
            <v>With LTS - 2024</v>
          </cell>
          <cell r="N530" t="str">
            <v>YES</v>
          </cell>
          <cell r="O530" t="str">
            <v>YES</v>
          </cell>
          <cell r="P530" t="str">
            <v>Unaffected lots</v>
          </cell>
          <cell r="Q530" t="str">
            <v>YES</v>
          </cell>
          <cell r="R530">
            <v>70</v>
          </cell>
          <cell r="S530" t="str">
            <v>PCS-04-034298</v>
          </cell>
          <cell r="T530" t="str">
            <v>TCT-060-2024021653</v>
          </cell>
          <cell r="U530" t="b">
            <v>1</v>
          </cell>
          <cell r="V530" t="str">
            <v>Done</v>
          </cell>
          <cell r="W530" t="str">
            <v>B2 2025</v>
          </cell>
          <cell r="X530" t="str">
            <v>2025 - Batch 2</v>
          </cell>
          <cell r="Y530">
            <v>25</v>
          </cell>
          <cell r="Z530">
            <v>47</v>
          </cell>
          <cell r="AA530" t="str">
            <v>H+L</v>
          </cell>
          <cell r="AB530">
            <v>70</v>
          </cell>
          <cell r="AC530">
            <v>50</v>
          </cell>
          <cell r="AD530" t="str">
            <v>Slant</v>
          </cell>
          <cell r="AE530" t="str">
            <v>Duplex</v>
          </cell>
          <cell r="AF530" t="str">
            <v>568 - Without Partition</v>
          </cell>
          <cell r="AG530" t="str">
            <v xml:space="preserve">Without Partition </v>
          </cell>
          <cell r="AH530" t="str">
            <v xml:space="preserve">Without Partition </v>
          </cell>
          <cell r="AI530" t="str">
            <v>PURPLE</v>
          </cell>
          <cell r="AJ530" t="str">
            <v>Slant / PURPLE</v>
          </cell>
          <cell r="AK530">
            <v>1050000</v>
          </cell>
          <cell r="AL530">
            <v>15000</v>
          </cell>
          <cell r="AM530">
            <v>1650000</v>
          </cell>
          <cell r="AN530">
            <v>33000</v>
          </cell>
          <cell r="AO530">
            <v>150000</v>
          </cell>
          <cell r="AP530">
            <v>2850000</v>
          </cell>
          <cell r="AQ530"/>
          <cell r="AR530">
            <v>2850000</v>
          </cell>
          <cell r="AS530">
            <v>200000</v>
          </cell>
          <cell r="AT530">
            <v>2650000</v>
          </cell>
          <cell r="AU530">
            <v>100000</v>
          </cell>
          <cell r="AV530">
            <v>2550000</v>
          </cell>
          <cell r="AW530">
            <v>0</v>
          </cell>
          <cell r="AX530">
            <v>2550000</v>
          </cell>
        </row>
        <row r="531">
          <cell r="G531" t="str">
            <v>AGM-01-025-048</v>
          </cell>
          <cell r="H531" t="str">
            <v xml:space="preserve">Raemulan Lands, Inc. </v>
          </cell>
          <cell r="I531" t="str">
            <v>Agapeya</v>
          </cell>
          <cell r="J531" t="str">
            <v>AGM</v>
          </cell>
          <cell r="K531" t="str">
            <v>Eco-High</v>
          </cell>
          <cell r="L531" t="str">
            <v>West</v>
          </cell>
          <cell r="M531" t="str">
            <v>With LTS - 2024</v>
          </cell>
          <cell r="N531" t="str">
            <v>YES</v>
          </cell>
          <cell r="O531" t="str">
            <v>YES</v>
          </cell>
          <cell r="P531" t="str">
            <v>Unaffected lots</v>
          </cell>
          <cell r="Q531" t="str">
            <v>YES</v>
          </cell>
          <cell r="R531">
            <v>80</v>
          </cell>
          <cell r="S531" t="str">
            <v>PCS-04-034298</v>
          </cell>
          <cell r="T531" t="str">
            <v>TCT-060-2024021654</v>
          </cell>
          <cell r="U531" t="b">
            <v>1</v>
          </cell>
          <cell r="V531" t="str">
            <v>Done</v>
          </cell>
          <cell r="W531" t="str">
            <v>B2 2025</v>
          </cell>
          <cell r="X531" t="str">
            <v>2025 - Batch 2</v>
          </cell>
          <cell r="Y531">
            <v>25</v>
          </cell>
          <cell r="Z531">
            <v>48</v>
          </cell>
          <cell r="AA531" t="str">
            <v>H+L</v>
          </cell>
          <cell r="AB531">
            <v>80</v>
          </cell>
          <cell r="AC531">
            <v>50</v>
          </cell>
          <cell r="AD531" t="str">
            <v>Flat</v>
          </cell>
          <cell r="AE531" t="str">
            <v>Duplex</v>
          </cell>
          <cell r="AF531" t="str">
            <v>568 - Without Partition</v>
          </cell>
          <cell r="AG531" t="str">
            <v xml:space="preserve">Without Partition </v>
          </cell>
          <cell r="AH531" t="str">
            <v xml:space="preserve">Without Partition </v>
          </cell>
          <cell r="AI531" t="str">
            <v>PURPLE</v>
          </cell>
          <cell r="AJ531" t="str">
            <v>Flat / PURPLE</v>
          </cell>
          <cell r="AK531">
            <v>1200000</v>
          </cell>
          <cell r="AL531">
            <v>15000</v>
          </cell>
          <cell r="AM531">
            <v>1650000</v>
          </cell>
          <cell r="AN531">
            <v>33000</v>
          </cell>
          <cell r="AO531">
            <v>150000</v>
          </cell>
          <cell r="AP531">
            <v>3000000</v>
          </cell>
          <cell r="AQ531"/>
          <cell r="AR531">
            <v>3000000</v>
          </cell>
          <cell r="AS531">
            <v>200000</v>
          </cell>
          <cell r="AT531">
            <v>2800000</v>
          </cell>
          <cell r="AU531">
            <v>100000</v>
          </cell>
          <cell r="AV531">
            <v>2700000</v>
          </cell>
          <cell r="AW531">
            <v>0</v>
          </cell>
          <cell r="AX531">
            <v>2700000</v>
          </cell>
        </row>
        <row r="532">
          <cell r="G532" t="str">
            <v>AGM-01-025-049</v>
          </cell>
          <cell r="H532" t="str">
            <v xml:space="preserve">Raemulan Lands, Inc. </v>
          </cell>
          <cell r="I532" t="str">
            <v>Agapeya</v>
          </cell>
          <cell r="J532" t="str">
            <v>AGM</v>
          </cell>
          <cell r="K532" t="str">
            <v>Eco-High</v>
          </cell>
          <cell r="L532" t="str">
            <v>West</v>
          </cell>
          <cell r="M532" t="str">
            <v>With LTS - 2024</v>
          </cell>
          <cell r="N532" t="str">
            <v>YES</v>
          </cell>
          <cell r="O532" t="str">
            <v>YES</v>
          </cell>
          <cell r="P532" t="str">
            <v>Unaffected lots</v>
          </cell>
          <cell r="Q532" t="str">
            <v>YES</v>
          </cell>
          <cell r="R532">
            <v>80</v>
          </cell>
          <cell r="S532" t="str">
            <v>PCS-04-034298</v>
          </cell>
          <cell r="T532" t="str">
            <v>TCT-060-2024021655</v>
          </cell>
          <cell r="U532" t="b">
            <v>1</v>
          </cell>
          <cell r="V532" t="str">
            <v>Done</v>
          </cell>
          <cell r="W532" t="str">
            <v>B2 2025</v>
          </cell>
          <cell r="X532" t="str">
            <v>2025 - Batch 2</v>
          </cell>
          <cell r="Y532">
            <v>25</v>
          </cell>
          <cell r="Z532">
            <v>49</v>
          </cell>
          <cell r="AA532" t="str">
            <v>H+L</v>
          </cell>
          <cell r="AB532">
            <v>80</v>
          </cell>
          <cell r="AC532">
            <v>50</v>
          </cell>
          <cell r="AD532" t="str">
            <v>Flat</v>
          </cell>
          <cell r="AE532" t="str">
            <v>Duplex</v>
          </cell>
          <cell r="AF532" t="str">
            <v>568 - Without Partition</v>
          </cell>
          <cell r="AG532" t="str">
            <v xml:space="preserve">Without Partition </v>
          </cell>
          <cell r="AH532" t="str">
            <v xml:space="preserve">Without Partition </v>
          </cell>
          <cell r="AI532" t="str">
            <v>PURPLE</v>
          </cell>
          <cell r="AJ532" t="str">
            <v>Flat / PURPLE</v>
          </cell>
          <cell r="AK532">
            <v>1200000</v>
          </cell>
          <cell r="AL532">
            <v>15000</v>
          </cell>
          <cell r="AM532">
            <v>1650000</v>
          </cell>
          <cell r="AN532">
            <v>33000</v>
          </cell>
          <cell r="AO532">
            <v>150000</v>
          </cell>
          <cell r="AP532">
            <v>3000000</v>
          </cell>
          <cell r="AQ532"/>
          <cell r="AR532">
            <v>3000000</v>
          </cell>
          <cell r="AS532">
            <v>200000</v>
          </cell>
          <cell r="AT532">
            <v>2800000</v>
          </cell>
          <cell r="AU532">
            <v>100000</v>
          </cell>
          <cell r="AV532">
            <v>2700000</v>
          </cell>
          <cell r="AW532">
            <v>0</v>
          </cell>
          <cell r="AX532">
            <v>2700000</v>
          </cell>
        </row>
        <row r="533">
          <cell r="G533" t="str">
            <v>AGM-01-025-050</v>
          </cell>
          <cell r="H533" t="str">
            <v xml:space="preserve">Raemulan Lands, Inc. </v>
          </cell>
          <cell r="I533" t="str">
            <v>Agapeya</v>
          </cell>
          <cell r="J533" t="str">
            <v>AGM</v>
          </cell>
          <cell r="K533" t="str">
            <v>Eco-High</v>
          </cell>
          <cell r="L533" t="str">
            <v>West</v>
          </cell>
          <cell r="M533" t="str">
            <v>With LTS - 2024</v>
          </cell>
          <cell r="N533" t="str">
            <v>YES</v>
          </cell>
          <cell r="O533" t="str">
            <v>YES</v>
          </cell>
          <cell r="P533" t="str">
            <v>Unaffected lots</v>
          </cell>
          <cell r="Q533" t="str">
            <v>YES</v>
          </cell>
          <cell r="R533">
            <v>80</v>
          </cell>
          <cell r="S533" t="str">
            <v>PCS-04-034298</v>
          </cell>
          <cell r="T533" t="str">
            <v>TCT-060-2024021656</v>
          </cell>
          <cell r="U533" t="b">
            <v>1</v>
          </cell>
          <cell r="V533" t="str">
            <v>Done</v>
          </cell>
          <cell r="W533" t="str">
            <v>B2 2025</v>
          </cell>
          <cell r="X533" t="str">
            <v>2025 - Batch 2</v>
          </cell>
          <cell r="Y533">
            <v>25</v>
          </cell>
          <cell r="Z533">
            <v>50</v>
          </cell>
          <cell r="AA533" t="str">
            <v>H+L</v>
          </cell>
          <cell r="AB533">
            <v>80</v>
          </cell>
          <cell r="AC533">
            <v>50</v>
          </cell>
          <cell r="AD533" t="str">
            <v>Slant</v>
          </cell>
          <cell r="AE533" t="str">
            <v>Duplex</v>
          </cell>
          <cell r="AF533" t="str">
            <v>568 - Without Partition</v>
          </cell>
          <cell r="AG533" t="str">
            <v xml:space="preserve">Without Partition </v>
          </cell>
          <cell r="AH533" t="str">
            <v xml:space="preserve">Without Partition </v>
          </cell>
          <cell r="AI533" t="str">
            <v>PURPLE</v>
          </cell>
          <cell r="AJ533" t="str">
            <v>Slant / PURPLE</v>
          </cell>
          <cell r="AK533">
            <v>1200000</v>
          </cell>
          <cell r="AL533">
            <v>15000</v>
          </cell>
          <cell r="AM533">
            <v>1650000</v>
          </cell>
          <cell r="AN533">
            <v>33000</v>
          </cell>
          <cell r="AO533">
            <v>150000</v>
          </cell>
          <cell r="AP533">
            <v>3000000</v>
          </cell>
          <cell r="AQ533"/>
          <cell r="AR533">
            <v>3000000</v>
          </cell>
          <cell r="AS533">
            <v>200000</v>
          </cell>
          <cell r="AT533">
            <v>2800000</v>
          </cell>
          <cell r="AU533">
            <v>100000</v>
          </cell>
          <cell r="AV533">
            <v>2700000</v>
          </cell>
          <cell r="AW533">
            <v>0</v>
          </cell>
          <cell r="AX533">
            <v>2700000</v>
          </cell>
        </row>
        <row r="534">
          <cell r="G534" t="str">
            <v>AGM-01-025-051</v>
          </cell>
          <cell r="H534" t="str">
            <v xml:space="preserve">Raemulan Lands, Inc. </v>
          </cell>
          <cell r="I534" t="str">
            <v>Agapeya</v>
          </cell>
          <cell r="J534" t="str">
            <v>AGM</v>
          </cell>
          <cell r="K534" t="str">
            <v>Eco-High</v>
          </cell>
          <cell r="L534" t="str">
            <v>West</v>
          </cell>
          <cell r="M534" t="str">
            <v>With LTS - 2024</v>
          </cell>
          <cell r="N534" t="str">
            <v>YES</v>
          </cell>
          <cell r="O534" t="str">
            <v>NO</v>
          </cell>
          <cell r="P534" t="str">
            <v>Unaffected lots</v>
          </cell>
          <cell r="Q534" t="str">
            <v>YES</v>
          </cell>
          <cell r="R534">
            <v>110</v>
          </cell>
          <cell r="S534" t="str">
            <v>PCS-04-034298</v>
          </cell>
          <cell r="T534" t="str">
            <v>TCT-060-2024021657</v>
          </cell>
          <cell r="U534" t="b">
            <v>1</v>
          </cell>
          <cell r="V534" t="str">
            <v>Done</v>
          </cell>
          <cell r="W534" t="str">
            <v>B2 - Lot Only</v>
          </cell>
          <cell r="X534" t="str">
            <v>Lot Only - N/A</v>
          </cell>
          <cell r="Y534">
            <v>25</v>
          </cell>
          <cell r="Z534">
            <v>51</v>
          </cell>
          <cell r="AA534" t="str">
            <v>LO</v>
          </cell>
          <cell r="AB534">
            <v>110</v>
          </cell>
          <cell r="AC534" t="str">
            <v>N/A</v>
          </cell>
          <cell r="AD534" t="str">
            <v>-</v>
          </cell>
          <cell r="AE534" t="str">
            <v>Lot Only</v>
          </cell>
          <cell r="AF534" t="str">
            <v>N/A</v>
          </cell>
          <cell r="AG534" t="str">
            <v>N/A - LOT ONLY</v>
          </cell>
          <cell r="AH534" t="str">
            <v>N/A - LOT ONLY</v>
          </cell>
          <cell r="AI534" t="str">
            <v>N/A - LOT ONLY</v>
          </cell>
          <cell r="AJ534" t="str">
            <v>- / N/A - LOT ONLY</v>
          </cell>
          <cell r="AK534">
            <v>1650000</v>
          </cell>
          <cell r="AL534">
            <v>15000</v>
          </cell>
          <cell r="AM534">
            <v>0</v>
          </cell>
          <cell r="AN534">
            <v>0</v>
          </cell>
          <cell r="AO534">
            <v>100000</v>
          </cell>
          <cell r="AP534">
            <v>1750000</v>
          </cell>
          <cell r="AQ534"/>
          <cell r="AR534">
            <v>1750000</v>
          </cell>
          <cell r="AS534">
            <v>0</v>
          </cell>
          <cell r="AT534">
            <v>1750000</v>
          </cell>
          <cell r="AU534">
            <v>100000</v>
          </cell>
          <cell r="AV534">
            <v>1650000</v>
          </cell>
          <cell r="AW534">
            <v>0</v>
          </cell>
          <cell r="AX534">
            <v>1650000</v>
          </cell>
        </row>
        <row r="535">
          <cell r="G535" t="str">
            <v>AGM-01-026-001</v>
          </cell>
          <cell r="H535" t="str">
            <v xml:space="preserve">Raemulan Lands, Inc. </v>
          </cell>
          <cell r="I535" t="str">
            <v>Agapeya</v>
          </cell>
          <cell r="J535" t="str">
            <v>AGM</v>
          </cell>
          <cell r="K535" t="str">
            <v>Eco-High</v>
          </cell>
          <cell r="L535" t="str">
            <v>West</v>
          </cell>
          <cell r="M535" t="str">
            <v>With LTS - 2024</v>
          </cell>
          <cell r="N535" t="str">
            <v>YES</v>
          </cell>
          <cell r="O535" t="str">
            <v>YES</v>
          </cell>
          <cell r="P535" t="str">
            <v>Unaffected lots</v>
          </cell>
          <cell r="Q535" t="str">
            <v>YES</v>
          </cell>
          <cell r="R535">
            <v>102</v>
          </cell>
          <cell r="S535" t="str">
            <v>PCS-04-034298</v>
          </cell>
          <cell r="T535" t="str">
            <v>TCT-060-2024021658</v>
          </cell>
          <cell r="U535" t="b">
            <v>1</v>
          </cell>
          <cell r="V535" t="str">
            <v>Done</v>
          </cell>
          <cell r="W535" t="str">
            <v>B1 2025</v>
          </cell>
          <cell r="X535" t="str">
            <v>2025 - Batch 2</v>
          </cell>
          <cell r="Y535">
            <v>26</v>
          </cell>
          <cell r="Z535">
            <v>1</v>
          </cell>
          <cell r="AA535" t="str">
            <v>H+L</v>
          </cell>
          <cell r="AB535">
            <v>102</v>
          </cell>
          <cell r="AC535">
            <v>50</v>
          </cell>
          <cell r="AD535" t="str">
            <v>Flat</v>
          </cell>
          <cell r="AE535" t="str">
            <v>Duplex</v>
          </cell>
          <cell r="AF535" t="str">
            <v>568 - Without Partition</v>
          </cell>
          <cell r="AG535" t="str">
            <v xml:space="preserve">Without Partition </v>
          </cell>
          <cell r="AH535" t="str">
            <v xml:space="preserve">Without Partition </v>
          </cell>
          <cell r="AI535" t="str">
            <v>PINK</v>
          </cell>
          <cell r="AJ535" t="str">
            <v>Flat / PINK</v>
          </cell>
          <cell r="AK535">
            <v>1530000</v>
          </cell>
          <cell r="AL535">
            <v>15000</v>
          </cell>
          <cell r="AM535">
            <v>1650000</v>
          </cell>
          <cell r="AN535">
            <v>33000</v>
          </cell>
          <cell r="AO535">
            <v>150000</v>
          </cell>
          <cell r="AP535">
            <v>3330000</v>
          </cell>
          <cell r="AQ535"/>
          <cell r="AR535">
            <v>3330000</v>
          </cell>
          <cell r="AS535">
            <v>200000</v>
          </cell>
          <cell r="AT535">
            <v>3130000</v>
          </cell>
          <cell r="AU535">
            <v>100000</v>
          </cell>
          <cell r="AV535">
            <v>3030000</v>
          </cell>
          <cell r="AW535">
            <v>0</v>
          </cell>
          <cell r="AX535">
            <v>3030000</v>
          </cell>
        </row>
        <row r="536">
          <cell r="G536" t="str">
            <v>AGM-01-026-002</v>
          </cell>
          <cell r="H536" t="str">
            <v xml:space="preserve">Raemulan Lands, Inc. </v>
          </cell>
          <cell r="I536" t="str">
            <v>Agapeya</v>
          </cell>
          <cell r="J536" t="str">
            <v>AGM</v>
          </cell>
          <cell r="K536" t="str">
            <v>Eco-High</v>
          </cell>
          <cell r="L536" t="str">
            <v>West</v>
          </cell>
          <cell r="M536" t="str">
            <v>With LTS - 2024</v>
          </cell>
          <cell r="N536" t="str">
            <v>YES</v>
          </cell>
          <cell r="O536" t="str">
            <v>YES</v>
          </cell>
          <cell r="P536" t="str">
            <v>Unaffected lots</v>
          </cell>
          <cell r="Q536" t="str">
            <v>YES</v>
          </cell>
          <cell r="R536">
            <v>80</v>
          </cell>
          <cell r="S536" t="str">
            <v>PCS-04-034298</v>
          </cell>
          <cell r="T536" t="str">
            <v>TCT-060-2024021659</v>
          </cell>
          <cell r="U536" t="b">
            <v>1</v>
          </cell>
          <cell r="V536" t="str">
            <v>Done</v>
          </cell>
          <cell r="W536" t="str">
            <v>B1 2025</v>
          </cell>
          <cell r="X536" t="str">
            <v>2025 - Batch 2</v>
          </cell>
          <cell r="Y536">
            <v>26</v>
          </cell>
          <cell r="Z536">
            <v>2</v>
          </cell>
          <cell r="AA536" t="str">
            <v>H+L</v>
          </cell>
          <cell r="AB536">
            <v>80</v>
          </cell>
          <cell r="AC536">
            <v>50</v>
          </cell>
          <cell r="AD536" t="str">
            <v>Slant</v>
          </cell>
          <cell r="AE536" t="str">
            <v>Duplex</v>
          </cell>
          <cell r="AF536" t="str">
            <v>568 - Without Partition</v>
          </cell>
          <cell r="AG536" t="str">
            <v xml:space="preserve">Without Partition </v>
          </cell>
          <cell r="AH536" t="str">
            <v xml:space="preserve">Without Partition </v>
          </cell>
          <cell r="AI536" t="str">
            <v>PINK</v>
          </cell>
          <cell r="AJ536" t="str">
            <v>Slant / PINK</v>
          </cell>
          <cell r="AK536">
            <v>1200000</v>
          </cell>
          <cell r="AL536">
            <v>15000</v>
          </cell>
          <cell r="AM536">
            <v>1650000</v>
          </cell>
          <cell r="AN536">
            <v>33000</v>
          </cell>
          <cell r="AO536">
            <v>150000</v>
          </cell>
          <cell r="AP536">
            <v>3000000</v>
          </cell>
          <cell r="AQ536"/>
          <cell r="AR536">
            <v>3000000</v>
          </cell>
          <cell r="AS536">
            <v>200000</v>
          </cell>
          <cell r="AT536">
            <v>2800000</v>
          </cell>
          <cell r="AU536">
            <v>100000</v>
          </cell>
          <cell r="AV536">
            <v>2700000</v>
          </cell>
          <cell r="AW536">
            <v>0</v>
          </cell>
          <cell r="AX536">
            <v>2700000</v>
          </cell>
        </row>
        <row r="537">
          <cell r="G537" t="str">
            <v>AGM-01-026-003</v>
          </cell>
          <cell r="H537" t="str">
            <v xml:space="preserve">Raemulan Lands, Inc. </v>
          </cell>
          <cell r="I537" t="str">
            <v>Agapeya</v>
          </cell>
          <cell r="J537" t="str">
            <v>AGM</v>
          </cell>
          <cell r="K537" t="str">
            <v>Eco-High</v>
          </cell>
          <cell r="L537" t="str">
            <v>West</v>
          </cell>
          <cell r="M537" t="str">
            <v>With LTS - 2024</v>
          </cell>
          <cell r="N537" t="str">
            <v>YES</v>
          </cell>
          <cell r="O537" t="str">
            <v>YES</v>
          </cell>
          <cell r="P537" t="str">
            <v>Unaffected lots</v>
          </cell>
          <cell r="Q537" t="str">
            <v>YES</v>
          </cell>
          <cell r="R537">
            <v>80</v>
          </cell>
          <cell r="S537" t="str">
            <v>PCS-04-034298</v>
          </cell>
          <cell r="T537" t="str">
            <v>TCT-060-2024021660</v>
          </cell>
          <cell r="U537" t="b">
            <v>1</v>
          </cell>
          <cell r="V537" t="str">
            <v>Done</v>
          </cell>
          <cell r="W537" t="str">
            <v>B1 2025</v>
          </cell>
          <cell r="X537" t="str">
            <v>2025 - Batch 2</v>
          </cell>
          <cell r="Y537">
            <v>26</v>
          </cell>
          <cell r="Z537">
            <v>3</v>
          </cell>
          <cell r="AA537" t="str">
            <v>H+L</v>
          </cell>
          <cell r="AB537">
            <v>80</v>
          </cell>
          <cell r="AC537">
            <v>50</v>
          </cell>
          <cell r="AD537" t="str">
            <v>Slant</v>
          </cell>
          <cell r="AE537" t="str">
            <v>Duplex</v>
          </cell>
          <cell r="AF537" t="str">
            <v>568 - Without Partition</v>
          </cell>
          <cell r="AG537" t="str">
            <v xml:space="preserve">Without Partition </v>
          </cell>
          <cell r="AH537" t="str">
            <v xml:space="preserve">Without Partition </v>
          </cell>
          <cell r="AI537" t="str">
            <v>PINK</v>
          </cell>
          <cell r="AJ537" t="str">
            <v>Slant / PINK</v>
          </cell>
          <cell r="AK537">
            <v>1200000</v>
          </cell>
          <cell r="AL537">
            <v>15000</v>
          </cell>
          <cell r="AM537">
            <v>1650000</v>
          </cell>
          <cell r="AN537">
            <v>33000</v>
          </cell>
          <cell r="AO537">
            <v>150000</v>
          </cell>
          <cell r="AP537">
            <v>3000000</v>
          </cell>
          <cell r="AQ537"/>
          <cell r="AR537">
            <v>3000000</v>
          </cell>
          <cell r="AS537">
            <v>200000</v>
          </cell>
          <cell r="AT537">
            <v>2800000</v>
          </cell>
          <cell r="AU537">
            <v>100000</v>
          </cell>
          <cell r="AV537">
            <v>2700000</v>
          </cell>
          <cell r="AW537">
            <v>0</v>
          </cell>
          <cell r="AX537">
            <v>2700000</v>
          </cell>
        </row>
        <row r="538">
          <cell r="G538" t="str">
            <v>AGM-01-026-004</v>
          </cell>
          <cell r="H538" t="str">
            <v xml:space="preserve">Raemulan Lands, Inc. </v>
          </cell>
          <cell r="I538" t="str">
            <v>Agapeya</v>
          </cell>
          <cell r="J538" t="str">
            <v>AGM</v>
          </cell>
          <cell r="K538" t="str">
            <v>Eco-High</v>
          </cell>
          <cell r="L538" t="str">
            <v>West</v>
          </cell>
          <cell r="M538" t="str">
            <v>With LTS - 2024</v>
          </cell>
          <cell r="N538" t="str">
            <v>YES</v>
          </cell>
          <cell r="O538" t="str">
            <v>YES</v>
          </cell>
          <cell r="P538" t="str">
            <v>Unaffected lots</v>
          </cell>
          <cell r="Q538" t="str">
            <v>YES</v>
          </cell>
          <cell r="R538">
            <v>70</v>
          </cell>
          <cell r="S538" t="str">
            <v>PCS-04-034298</v>
          </cell>
          <cell r="T538" t="str">
            <v>TCT-060-2024021661</v>
          </cell>
          <cell r="U538" t="b">
            <v>1</v>
          </cell>
          <cell r="V538" t="str">
            <v>Done</v>
          </cell>
          <cell r="W538" t="str">
            <v>B1 2025</v>
          </cell>
          <cell r="X538" t="str">
            <v>2025 - Batch 2</v>
          </cell>
          <cell r="Y538">
            <v>26</v>
          </cell>
          <cell r="Z538">
            <v>4</v>
          </cell>
          <cell r="AA538" t="str">
            <v>H+L</v>
          </cell>
          <cell r="AB538">
            <v>70</v>
          </cell>
          <cell r="AC538">
            <v>50</v>
          </cell>
          <cell r="AD538" t="str">
            <v>Flat</v>
          </cell>
          <cell r="AE538" t="str">
            <v>Duplex</v>
          </cell>
          <cell r="AF538" t="str">
            <v>568 - Without Partition</v>
          </cell>
          <cell r="AG538" t="str">
            <v xml:space="preserve">Without Partition </v>
          </cell>
          <cell r="AH538" t="str">
            <v xml:space="preserve">Without Partition </v>
          </cell>
          <cell r="AI538" t="str">
            <v>PINK</v>
          </cell>
          <cell r="AJ538" t="str">
            <v>Flat / PINK</v>
          </cell>
          <cell r="AK538">
            <v>1050000</v>
          </cell>
          <cell r="AL538">
            <v>15000</v>
          </cell>
          <cell r="AM538">
            <v>1650000</v>
          </cell>
          <cell r="AN538">
            <v>33000</v>
          </cell>
          <cell r="AO538">
            <v>150000</v>
          </cell>
          <cell r="AP538">
            <v>2850000</v>
          </cell>
          <cell r="AQ538"/>
          <cell r="AR538">
            <v>2850000</v>
          </cell>
          <cell r="AS538">
            <v>200000</v>
          </cell>
          <cell r="AT538">
            <v>2650000</v>
          </cell>
          <cell r="AU538">
            <v>100000</v>
          </cell>
          <cell r="AV538">
            <v>2550000</v>
          </cell>
          <cell r="AW538">
            <v>0</v>
          </cell>
          <cell r="AX538">
            <v>2550000</v>
          </cell>
        </row>
        <row r="539">
          <cell r="G539" t="str">
            <v>AGM-01-026-005</v>
          </cell>
          <cell r="H539" t="str">
            <v xml:space="preserve">Raemulan Lands, Inc. </v>
          </cell>
          <cell r="I539" t="str">
            <v>Agapeya</v>
          </cell>
          <cell r="J539" t="str">
            <v>AGM</v>
          </cell>
          <cell r="K539" t="str">
            <v>Eco-High</v>
          </cell>
          <cell r="L539" t="str">
            <v>West</v>
          </cell>
          <cell r="M539" t="str">
            <v>With LTS - 2024</v>
          </cell>
          <cell r="N539" t="str">
            <v>YES</v>
          </cell>
          <cell r="O539" t="str">
            <v>YES</v>
          </cell>
          <cell r="P539" t="str">
            <v>Unaffected lots</v>
          </cell>
          <cell r="Q539" t="str">
            <v>YES</v>
          </cell>
          <cell r="R539">
            <v>70</v>
          </cell>
          <cell r="S539" t="str">
            <v>PCS-04-034298</v>
          </cell>
          <cell r="T539" t="str">
            <v>TCT-060-2024021662</v>
          </cell>
          <cell r="U539" t="b">
            <v>1</v>
          </cell>
          <cell r="V539" t="str">
            <v>Done</v>
          </cell>
          <cell r="W539" t="str">
            <v>B1 2025</v>
          </cell>
          <cell r="X539" t="str">
            <v>2025 - Batch 1</v>
          </cell>
          <cell r="Y539">
            <v>26</v>
          </cell>
          <cell r="Z539">
            <v>5</v>
          </cell>
          <cell r="AA539" t="str">
            <v>H+L</v>
          </cell>
          <cell r="AB539">
            <v>70</v>
          </cell>
          <cell r="AC539">
            <v>50</v>
          </cell>
          <cell r="AD539" t="str">
            <v>Flat</v>
          </cell>
          <cell r="AE539" t="str">
            <v>Duplex</v>
          </cell>
          <cell r="AF539" t="str">
            <v>568 - Without Partition</v>
          </cell>
          <cell r="AG539" t="str">
            <v xml:space="preserve">Without Partition </v>
          </cell>
          <cell r="AH539" t="str">
            <v xml:space="preserve">Without Partition </v>
          </cell>
          <cell r="AI539" t="str">
            <v>YELLOW</v>
          </cell>
          <cell r="AJ539" t="str">
            <v>Flat / YELLOW</v>
          </cell>
          <cell r="AK539">
            <v>1050000</v>
          </cell>
          <cell r="AL539">
            <v>15000</v>
          </cell>
          <cell r="AM539">
            <v>1650000</v>
          </cell>
          <cell r="AN539">
            <v>33000</v>
          </cell>
          <cell r="AO539">
            <v>150000</v>
          </cell>
          <cell r="AP539">
            <v>2850000</v>
          </cell>
          <cell r="AQ539"/>
          <cell r="AR539">
            <v>2850000</v>
          </cell>
          <cell r="AS539">
            <v>200000</v>
          </cell>
          <cell r="AT539">
            <v>2650000</v>
          </cell>
          <cell r="AU539">
            <v>100000</v>
          </cell>
          <cell r="AV539">
            <v>2550000</v>
          </cell>
          <cell r="AW539">
            <v>0</v>
          </cell>
          <cell r="AX539">
            <v>2550000</v>
          </cell>
        </row>
        <row r="540">
          <cell r="G540" t="str">
            <v>AGM-01-026-006</v>
          </cell>
          <cell r="H540" t="str">
            <v xml:space="preserve">Raemulan Lands, Inc. </v>
          </cell>
          <cell r="I540" t="str">
            <v>Agapeya</v>
          </cell>
          <cell r="J540" t="str">
            <v>AGM</v>
          </cell>
          <cell r="K540" t="str">
            <v>Eco-High</v>
          </cell>
          <cell r="L540" t="str">
            <v>West</v>
          </cell>
          <cell r="M540" t="str">
            <v>With LTS - 2024</v>
          </cell>
          <cell r="N540" t="str">
            <v>YES</v>
          </cell>
          <cell r="O540" t="str">
            <v>YES</v>
          </cell>
          <cell r="P540" t="str">
            <v>Unaffected lots</v>
          </cell>
          <cell r="Q540" t="str">
            <v>YES</v>
          </cell>
          <cell r="R540">
            <v>70</v>
          </cell>
          <cell r="S540" t="str">
            <v>PCS-04-034298</v>
          </cell>
          <cell r="T540" t="str">
            <v>TCT-060-2024021663</v>
          </cell>
          <cell r="U540" t="b">
            <v>1</v>
          </cell>
          <cell r="V540" t="str">
            <v>Done</v>
          </cell>
          <cell r="W540" t="str">
            <v>B1 2025</v>
          </cell>
          <cell r="X540" t="str">
            <v>2025 - Batch 1</v>
          </cell>
          <cell r="Y540">
            <v>26</v>
          </cell>
          <cell r="Z540">
            <v>6</v>
          </cell>
          <cell r="AA540" t="str">
            <v>H+L</v>
          </cell>
          <cell r="AB540">
            <v>70</v>
          </cell>
          <cell r="AC540">
            <v>50</v>
          </cell>
          <cell r="AD540" t="str">
            <v>Slant</v>
          </cell>
          <cell r="AE540" t="str">
            <v>Duplex</v>
          </cell>
          <cell r="AF540" t="str">
            <v>568 - Without Partition</v>
          </cell>
          <cell r="AG540" t="str">
            <v xml:space="preserve">Without Partition </v>
          </cell>
          <cell r="AH540" t="str">
            <v xml:space="preserve">Without Partition </v>
          </cell>
          <cell r="AI540" t="str">
            <v>YELLOW</v>
          </cell>
          <cell r="AJ540" t="str">
            <v>Slant / YELLOW</v>
          </cell>
          <cell r="AK540">
            <v>1050000</v>
          </cell>
          <cell r="AL540">
            <v>15000</v>
          </cell>
          <cell r="AM540">
            <v>1650000</v>
          </cell>
          <cell r="AN540">
            <v>33000</v>
          </cell>
          <cell r="AO540">
            <v>150000</v>
          </cell>
          <cell r="AP540">
            <v>2850000</v>
          </cell>
          <cell r="AQ540"/>
          <cell r="AR540">
            <v>2850000</v>
          </cell>
          <cell r="AS540">
            <v>200000</v>
          </cell>
          <cell r="AT540">
            <v>2650000</v>
          </cell>
          <cell r="AU540">
            <v>100000</v>
          </cell>
          <cell r="AV540">
            <v>2550000</v>
          </cell>
          <cell r="AW540">
            <v>0</v>
          </cell>
          <cell r="AX540">
            <v>2550000</v>
          </cell>
        </row>
        <row r="541">
          <cell r="G541" t="str">
            <v>AGM-01-026-007</v>
          </cell>
          <cell r="H541" t="str">
            <v xml:space="preserve">Raemulan Lands, Inc. </v>
          </cell>
          <cell r="I541" t="str">
            <v>Agapeya</v>
          </cell>
          <cell r="J541" t="str">
            <v>AGM</v>
          </cell>
          <cell r="K541" t="str">
            <v>Eco-High</v>
          </cell>
          <cell r="L541" t="str">
            <v>West</v>
          </cell>
          <cell r="M541" t="str">
            <v>With LTS - 2024</v>
          </cell>
          <cell r="N541" t="str">
            <v>YES</v>
          </cell>
          <cell r="O541" t="str">
            <v>YES</v>
          </cell>
          <cell r="P541" t="str">
            <v>Unaffected lots</v>
          </cell>
          <cell r="Q541" t="str">
            <v>YES</v>
          </cell>
          <cell r="R541">
            <v>70</v>
          </cell>
          <cell r="S541" t="str">
            <v>PCS-04-034298</v>
          </cell>
          <cell r="T541" t="str">
            <v>TCT-060-2024021664</v>
          </cell>
          <cell r="U541" t="b">
            <v>1</v>
          </cell>
          <cell r="V541" t="str">
            <v>Done</v>
          </cell>
          <cell r="W541" t="str">
            <v>B1 2025</v>
          </cell>
          <cell r="X541" t="str">
            <v>2025 - Batch 1</v>
          </cell>
          <cell r="Y541">
            <v>26</v>
          </cell>
          <cell r="Z541">
            <v>7</v>
          </cell>
          <cell r="AA541" t="str">
            <v>H+L</v>
          </cell>
          <cell r="AB541">
            <v>70</v>
          </cell>
          <cell r="AC541">
            <v>50</v>
          </cell>
          <cell r="AD541" t="str">
            <v>Slant</v>
          </cell>
          <cell r="AE541" t="str">
            <v>Duplex</v>
          </cell>
          <cell r="AF541" t="str">
            <v>568 - Without Partition</v>
          </cell>
          <cell r="AG541" t="str">
            <v xml:space="preserve">Without Partition </v>
          </cell>
          <cell r="AH541" t="str">
            <v xml:space="preserve">Without Partition </v>
          </cell>
          <cell r="AI541" t="str">
            <v>YELLOW</v>
          </cell>
          <cell r="AJ541" t="str">
            <v>Slant / YELLOW</v>
          </cell>
          <cell r="AK541">
            <v>1050000</v>
          </cell>
          <cell r="AL541">
            <v>15000</v>
          </cell>
          <cell r="AM541">
            <v>1650000</v>
          </cell>
          <cell r="AN541">
            <v>33000</v>
          </cell>
          <cell r="AO541">
            <v>150000</v>
          </cell>
          <cell r="AP541">
            <v>2850000</v>
          </cell>
          <cell r="AQ541"/>
          <cell r="AR541">
            <v>2850000</v>
          </cell>
          <cell r="AS541">
            <v>200000</v>
          </cell>
          <cell r="AT541">
            <v>2650000</v>
          </cell>
          <cell r="AU541">
            <v>100000</v>
          </cell>
          <cell r="AV541">
            <v>2550000</v>
          </cell>
          <cell r="AW541">
            <v>0</v>
          </cell>
          <cell r="AX541">
            <v>2550000</v>
          </cell>
        </row>
        <row r="542">
          <cell r="G542" t="str">
            <v>AGM-01-026-008</v>
          </cell>
          <cell r="H542" t="str">
            <v xml:space="preserve">Raemulan Lands, Inc. </v>
          </cell>
          <cell r="I542" t="str">
            <v>Agapeya</v>
          </cell>
          <cell r="J542" t="str">
            <v>AGM</v>
          </cell>
          <cell r="K542" t="str">
            <v>Eco-High</v>
          </cell>
          <cell r="L542" t="str">
            <v>West</v>
          </cell>
          <cell r="M542" t="str">
            <v>With LTS - 2024</v>
          </cell>
          <cell r="N542" t="str">
            <v>YES</v>
          </cell>
          <cell r="O542" t="str">
            <v>YES</v>
          </cell>
          <cell r="P542" t="str">
            <v>Unaffected lots</v>
          </cell>
          <cell r="Q542" t="str">
            <v>YES</v>
          </cell>
          <cell r="R542">
            <v>70</v>
          </cell>
          <cell r="S542" t="str">
            <v>PCS-04-034298</v>
          </cell>
          <cell r="T542" t="str">
            <v>TCT-060-2024021665</v>
          </cell>
          <cell r="U542" t="b">
            <v>1</v>
          </cell>
          <cell r="V542" t="str">
            <v>Done</v>
          </cell>
          <cell r="W542" t="str">
            <v>B1 2025</v>
          </cell>
          <cell r="X542" t="str">
            <v>2025 - Batch 1</v>
          </cell>
          <cell r="Y542">
            <v>26</v>
          </cell>
          <cell r="Z542">
            <v>8</v>
          </cell>
          <cell r="AA542" t="str">
            <v>H+L</v>
          </cell>
          <cell r="AB542">
            <v>70</v>
          </cell>
          <cell r="AC542">
            <v>50</v>
          </cell>
          <cell r="AD542" t="str">
            <v>Flat</v>
          </cell>
          <cell r="AE542" t="str">
            <v>Duplex</v>
          </cell>
          <cell r="AF542" t="str">
            <v>568 - Without Partition</v>
          </cell>
          <cell r="AG542" t="str">
            <v xml:space="preserve">Without Partition </v>
          </cell>
          <cell r="AH542" t="str">
            <v xml:space="preserve">Without Partition </v>
          </cell>
          <cell r="AI542" t="str">
            <v>YELLOW</v>
          </cell>
          <cell r="AJ542" t="str">
            <v>Flat / YELLOW</v>
          </cell>
          <cell r="AK542">
            <v>1050000</v>
          </cell>
          <cell r="AL542">
            <v>15000</v>
          </cell>
          <cell r="AM542">
            <v>1650000</v>
          </cell>
          <cell r="AN542">
            <v>33000</v>
          </cell>
          <cell r="AO542">
            <v>150000</v>
          </cell>
          <cell r="AP542">
            <v>2850000</v>
          </cell>
          <cell r="AQ542"/>
          <cell r="AR542">
            <v>2850000</v>
          </cell>
          <cell r="AS542">
            <v>200000</v>
          </cell>
          <cell r="AT542">
            <v>2650000</v>
          </cell>
          <cell r="AU542">
            <v>100000</v>
          </cell>
          <cell r="AV542">
            <v>2550000</v>
          </cell>
          <cell r="AW542">
            <v>0</v>
          </cell>
          <cell r="AX542">
            <v>2550000</v>
          </cell>
        </row>
        <row r="543">
          <cell r="G543" t="str">
            <v>AGM-01-026-009</v>
          </cell>
          <cell r="H543" t="str">
            <v xml:space="preserve">Raemulan Lands, Inc. </v>
          </cell>
          <cell r="I543" t="str">
            <v>Agapeya</v>
          </cell>
          <cell r="J543" t="str">
            <v>AGM</v>
          </cell>
          <cell r="K543" t="str">
            <v>Eco-High</v>
          </cell>
          <cell r="L543" t="str">
            <v>West</v>
          </cell>
          <cell r="M543" t="str">
            <v>With LTS - 2024</v>
          </cell>
          <cell r="N543" t="str">
            <v>YES</v>
          </cell>
          <cell r="O543" t="str">
            <v>YES</v>
          </cell>
          <cell r="P543" t="str">
            <v>Unaffected lots</v>
          </cell>
          <cell r="Q543" t="str">
            <v>YES</v>
          </cell>
          <cell r="R543">
            <v>70</v>
          </cell>
          <cell r="S543" t="str">
            <v>PCS-04-034298</v>
          </cell>
          <cell r="T543" t="str">
            <v>TCT-060-2024021666</v>
          </cell>
          <cell r="U543" t="b">
            <v>1</v>
          </cell>
          <cell r="V543" t="str">
            <v>Done</v>
          </cell>
          <cell r="W543" t="str">
            <v>B1 2025</v>
          </cell>
          <cell r="X543" t="str">
            <v>2025 - Batch 1</v>
          </cell>
          <cell r="Y543">
            <v>26</v>
          </cell>
          <cell r="Z543">
            <v>9</v>
          </cell>
          <cell r="AA543" t="str">
            <v>H+L</v>
          </cell>
          <cell r="AB543">
            <v>70</v>
          </cell>
          <cell r="AC543">
            <v>50</v>
          </cell>
          <cell r="AD543" t="str">
            <v>Flat</v>
          </cell>
          <cell r="AE543" t="str">
            <v>Duplex</v>
          </cell>
          <cell r="AF543" t="str">
            <v>568 - Without Partition</v>
          </cell>
          <cell r="AG543" t="str">
            <v xml:space="preserve">Without Partition </v>
          </cell>
          <cell r="AH543" t="str">
            <v xml:space="preserve">Without Partition </v>
          </cell>
          <cell r="AI543" t="str">
            <v>GREEN</v>
          </cell>
          <cell r="AJ543" t="str">
            <v>Flat / GREEN</v>
          </cell>
          <cell r="AK543">
            <v>1050000</v>
          </cell>
          <cell r="AL543">
            <v>15000</v>
          </cell>
          <cell r="AM543">
            <v>1650000</v>
          </cell>
          <cell r="AN543">
            <v>33000</v>
          </cell>
          <cell r="AO543">
            <v>150000</v>
          </cell>
          <cell r="AP543">
            <v>2850000</v>
          </cell>
          <cell r="AQ543"/>
          <cell r="AR543">
            <v>2850000</v>
          </cell>
          <cell r="AS543">
            <v>200000</v>
          </cell>
          <cell r="AT543">
            <v>2650000</v>
          </cell>
          <cell r="AU543">
            <v>100000</v>
          </cell>
          <cell r="AV543">
            <v>2550000</v>
          </cell>
          <cell r="AW543">
            <v>0</v>
          </cell>
          <cell r="AX543">
            <v>2550000</v>
          </cell>
        </row>
        <row r="544">
          <cell r="G544" t="str">
            <v>AGM-01-026-010</v>
          </cell>
          <cell r="H544" t="str">
            <v xml:space="preserve">Raemulan Lands, Inc. </v>
          </cell>
          <cell r="I544" t="str">
            <v>Agapeya</v>
          </cell>
          <cell r="J544" t="str">
            <v>AGM</v>
          </cell>
          <cell r="K544" t="str">
            <v>Eco-High</v>
          </cell>
          <cell r="L544" t="str">
            <v>West</v>
          </cell>
          <cell r="M544" t="str">
            <v>With LTS - 2024</v>
          </cell>
          <cell r="N544" t="str">
            <v>YES</v>
          </cell>
          <cell r="O544" t="str">
            <v>YES</v>
          </cell>
          <cell r="P544" t="str">
            <v>Unaffected lots</v>
          </cell>
          <cell r="Q544" t="str">
            <v>YES</v>
          </cell>
          <cell r="R544">
            <v>70</v>
          </cell>
          <cell r="S544" t="str">
            <v>PCS-04-034298</v>
          </cell>
          <cell r="T544" t="str">
            <v>TCT-060-2024021667</v>
          </cell>
          <cell r="U544" t="b">
            <v>1</v>
          </cell>
          <cell r="V544" t="str">
            <v>Done</v>
          </cell>
          <cell r="W544" t="str">
            <v>B1 2025</v>
          </cell>
          <cell r="X544" t="str">
            <v>2025 - Batch 1</v>
          </cell>
          <cell r="Y544">
            <v>26</v>
          </cell>
          <cell r="Z544">
            <v>10</v>
          </cell>
          <cell r="AA544" t="str">
            <v>H+L</v>
          </cell>
          <cell r="AB544">
            <v>70</v>
          </cell>
          <cell r="AC544">
            <v>50</v>
          </cell>
          <cell r="AD544" t="str">
            <v>Slant</v>
          </cell>
          <cell r="AE544" t="str">
            <v>Duplex</v>
          </cell>
          <cell r="AF544" t="str">
            <v>568 - Without Partition</v>
          </cell>
          <cell r="AG544" t="str">
            <v xml:space="preserve">Without Partition </v>
          </cell>
          <cell r="AH544" t="str">
            <v xml:space="preserve">Without Partition </v>
          </cell>
          <cell r="AI544" t="str">
            <v>GREEN</v>
          </cell>
          <cell r="AJ544" t="str">
            <v>Slant / GREEN</v>
          </cell>
          <cell r="AK544">
            <v>1050000</v>
          </cell>
          <cell r="AL544">
            <v>15000</v>
          </cell>
          <cell r="AM544">
            <v>1650000</v>
          </cell>
          <cell r="AN544">
            <v>33000</v>
          </cell>
          <cell r="AO544">
            <v>150000</v>
          </cell>
          <cell r="AP544">
            <v>2850000</v>
          </cell>
          <cell r="AQ544"/>
          <cell r="AR544">
            <v>2850000</v>
          </cell>
          <cell r="AS544">
            <v>200000</v>
          </cell>
          <cell r="AT544">
            <v>2650000</v>
          </cell>
          <cell r="AU544">
            <v>100000</v>
          </cell>
          <cell r="AV544">
            <v>2550000</v>
          </cell>
          <cell r="AW544">
            <v>0</v>
          </cell>
          <cell r="AX544">
            <v>2550000</v>
          </cell>
        </row>
        <row r="545">
          <cell r="G545" t="str">
            <v>AGM-01-026-011</v>
          </cell>
          <cell r="H545" t="str">
            <v xml:space="preserve">Raemulan Lands, Inc. </v>
          </cell>
          <cell r="I545" t="str">
            <v>Agapeya</v>
          </cell>
          <cell r="J545" t="str">
            <v>AGM</v>
          </cell>
          <cell r="K545" t="str">
            <v>Eco-High</v>
          </cell>
          <cell r="L545" t="str">
            <v>West</v>
          </cell>
          <cell r="M545" t="str">
            <v>With LTS - 2024</v>
          </cell>
          <cell r="N545" t="str">
            <v>YES</v>
          </cell>
          <cell r="O545" t="str">
            <v>YES</v>
          </cell>
          <cell r="P545" t="str">
            <v>Unaffected lots</v>
          </cell>
          <cell r="Q545" t="str">
            <v>YES</v>
          </cell>
          <cell r="R545">
            <v>70</v>
          </cell>
          <cell r="S545" t="str">
            <v>PCS-04-034298</v>
          </cell>
          <cell r="T545" t="str">
            <v>TCT-060-2024021668</v>
          </cell>
          <cell r="U545" t="b">
            <v>1</v>
          </cell>
          <cell r="V545" t="str">
            <v>Done</v>
          </cell>
          <cell r="W545" t="str">
            <v>B1 2025</v>
          </cell>
          <cell r="X545" t="str">
            <v>2025 - Batch 1</v>
          </cell>
          <cell r="Y545">
            <v>26</v>
          </cell>
          <cell r="Z545">
            <v>11</v>
          </cell>
          <cell r="AA545" t="str">
            <v>H+L</v>
          </cell>
          <cell r="AB545">
            <v>70</v>
          </cell>
          <cell r="AC545">
            <v>50</v>
          </cell>
          <cell r="AD545" t="str">
            <v>Slant</v>
          </cell>
          <cell r="AE545" t="str">
            <v>Duplex</v>
          </cell>
          <cell r="AF545" t="str">
            <v>568 - Without Partition</v>
          </cell>
          <cell r="AG545" t="str">
            <v xml:space="preserve">Without Partition </v>
          </cell>
          <cell r="AH545" t="str">
            <v xml:space="preserve">Without Partition </v>
          </cell>
          <cell r="AI545" t="str">
            <v>GREEN</v>
          </cell>
          <cell r="AJ545" t="str">
            <v>Slant / GREEN</v>
          </cell>
          <cell r="AK545">
            <v>1050000</v>
          </cell>
          <cell r="AL545">
            <v>15000</v>
          </cell>
          <cell r="AM545">
            <v>1650000</v>
          </cell>
          <cell r="AN545">
            <v>33000</v>
          </cell>
          <cell r="AO545">
            <v>150000</v>
          </cell>
          <cell r="AP545">
            <v>2850000</v>
          </cell>
          <cell r="AQ545"/>
          <cell r="AR545">
            <v>2850000</v>
          </cell>
          <cell r="AS545">
            <v>200000</v>
          </cell>
          <cell r="AT545">
            <v>2650000</v>
          </cell>
          <cell r="AU545">
            <v>100000</v>
          </cell>
          <cell r="AV545">
            <v>2550000</v>
          </cell>
          <cell r="AW545">
            <v>0</v>
          </cell>
          <cell r="AX545">
            <v>2550000</v>
          </cell>
        </row>
        <row r="546">
          <cell r="G546" t="str">
            <v>AGM-01-026-012</v>
          </cell>
          <cell r="H546" t="str">
            <v xml:space="preserve">Raemulan Lands, Inc. </v>
          </cell>
          <cell r="I546" t="str">
            <v>Agapeya</v>
          </cell>
          <cell r="J546" t="str">
            <v>AGM</v>
          </cell>
          <cell r="K546" t="str">
            <v>Eco-High</v>
          </cell>
          <cell r="L546" t="str">
            <v>West</v>
          </cell>
          <cell r="M546" t="str">
            <v>With LTS - 2024</v>
          </cell>
          <cell r="N546" t="str">
            <v>YES</v>
          </cell>
          <cell r="O546" t="str">
            <v>YES</v>
          </cell>
          <cell r="P546" t="str">
            <v>Unaffected lots</v>
          </cell>
          <cell r="Q546" t="str">
            <v>YES</v>
          </cell>
          <cell r="R546">
            <v>70</v>
          </cell>
          <cell r="S546" t="str">
            <v>PCS-04-035874</v>
          </cell>
          <cell r="T546" t="str">
            <v>TCT-060-2025015512</v>
          </cell>
          <cell r="U546" t="b">
            <v>1</v>
          </cell>
          <cell r="V546" t="str">
            <v>Done</v>
          </cell>
          <cell r="W546" t="str">
            <v>B1 2025</v>
          </cell>
          <cell r="X546" t="str">
            <v>2025 - Batch 1</v>
          </cell>
          <cell r="Y546">
            <v>26</v>
          </cell>
          <cell r="Z546">
            <v>12</v>
          </cell>
          <cell r="AA546" t="str">
            <v>H+L</v>
          </cell>
          <cell r="AB546">
            <v>70</v>
          </cell>
          <cell r="AC546">
            <v>50</v>
          </cell>
          <cell r="AD546" t="str">
            <v>Flat</v>
          </cell>
          <cell r="AE546" t="str">
            <v>Duplex</v>
          </cell>
          <cell r="AF546" t="str">
            <v>568 - Without Partition</v>
          </cell>
          <cell r="AG546" t="str">
            <v xml:space="preserve">Without Partition </v>
          </cell>
          <cell r="AH546" t="str">
            <v xml:space="preserve">Without Partition </v>
          </cell>
          <cell r="AI546" t="str">
            <v>GREEN</v>
          </cell>
          <cell r="AJ546" t="str">
            <v>Flat / GREEN</v>
          </cell>
          <cell r="AK546">
            <v>1050000</v>
          </cell>
          <cell r="AL546">
            <v>15000</v>
          </cell>
          <cell r="AM546">
            <v>1650000</v>
          </cell>
          <cell r="AN546">
            <v>33000</v>
          </cell>
          <cell r="AO546">
            <v>150000</v>
          </cell>
          <cell r="AP546">
            <v>2850000</v>
          </cell>
          <cell r="AQ546"/>
          <cell r="AR546">
            <v>2850000</v>
          </cell>
          <cell r="AS546">
            <v>200000</v>
          </cell>
          <cell r="AT546">
            <v>2650000</v>
          </cell>
          <cell r="AU546">
            <v>100000</v>
          </cell>
          <cell r="AV546">
            <v>2550000</v>
          </cell>
          <cell r="AW546">
            <v>0</v>
          </cell>
          <cell r="AX546">
            <v>2550000</v>
          </cell>
        </row>
        <row r="547">
          <cell r="G547" t="str">
            <v>AGM-01-026-013</v>
          </cell>
          <cell r="H547" t="str">
            <v xml:space="preserve">Raemulan Lands, Inc. </v>
          </cell>
          <cell r="I547" t="str">
            <v>Agapeya</v>
          </cell>
          <cell r="J547" t="str">
            <v>AGM</v>
          </cell>
          <cell r="K547" t="str">
            <v>Eco-High</v>
          </cell>
          <cell r="L547" t="str">
            <v>West</v>
          </cell>
          <cell r="M547" t="str">
            <v>With LTS - 2024</v>
          </cell>
          <cell r="N547" t="str">
            <v>YES</v>
          </cell>
          <cell r="O547" t="str">
            <v>YES</v>
          </cell>
          <cell r="P547" t="str">
            <v>Unaffected lots</v>
          </cell>
          <cell r="Q547" t="str">
            <v>YES</v>
          </cell>
          <cell r="R547">
            <v>70</v>
          </cell>
          <cell r="S547" t="str">
            <v>PCS-04-276764</v>
          </cell>
          <cell r="T547" t="str">
            <v>TCT-060-2024018764</v>
          </cell>
          <cell r="U547" t="b">
            <v>1</v>
          </cell>
          <cell r="V547" t="str">
            <v>Done</v>
          </cell>
          <cell r="W547" t="str">
            <v>B1 2025</v>
          </cell>
          <cell r="X547" t="str">
            <v>2025 - Batch 1</v>
          </cell>
          <cell r="Y547">
            <v>26</v>
          </cell>
          <cell r="Z547">
            <v>13</v>
          </cell>
          <cell r="AA547" t="str">
            <v>H+L</v>
          </cell>
          <cell r="AB547">
            <v>70</v>
          </cell>
          <cell r="AC547">
            <v>50</v>
          </cell>
          <cell r="AD547" t="str">
            <v>Flat</v>
          </cell>
          <cell r="AE547" t="str">
            <v>Duplex</v>
          </cell>
          <cell r="AF547" t="str">
            <v>568 - Without Partition</v>
          </cell>
          <cell r="AG547" t="str">
            <v xml:space="preserve">Without Partition </v>
          </cell>
          <cell r="AH547" t="str">
            <v xml:space="preserve">Without Partition </v>
          </cell>
          <cell r="AI547" t="str">
            <v>PURPLE</v>
          </cell>
          <cell r="AJ547" t="str">
            <v>Flat / PURPLE</v>
          </cell>
          <cell r="AK547">
            <v>1050000</v>
          </cell>
          <cell r="AL547">
            <v>15000</v>
          </cell>
          <cell r="AM547">
            <v>1650000</v>
          </cell>
          <cell r="AN547">
            <v>33000</v>
          </cell>
          <cell r="AO547">
            <v>150000</v>
          </cell>
          <cell r="AP547">
            <v>2850000</v>
          </cell>
          <cell r="AQ547"/>
          <cell r="AR547">
            <v>2850000</v>
          </cell>
          <cell r="AS547">
            <v>200000</v>
          </cell>
          <cell r="AT547">
            <v>2650000</v>
          </cell>
          <cell r="AU547">
            <v>100000</v>
          </cell>
          <cell r="AV547">
            <v>2550000</v>
          </cell>
          <cell r="AW547">
            <v>0</v>
          </cell>
          <cell r="AX547">
            <v>2550000</v>
          </cell>
        </row>
        <row r="548">
          <cell r="G548" t="str">
            <v>AGM-01-026-014</v>
          </cell>
          <cell r="H548" t="str">
            <v xml:space="preserve">Raemulan Lands, Inc. </v>
          </cell>
          <cell r="I548" t="str">
            <v>Agapeya</v>
          </cell>
          <cell r="J548" t="str">
            <v>AGM</v>
          </cell>
          <cell r="K548" t="str">
            <v>Eco-High</v>
          </cell>
          <cell r="L548" t="str">
            <v>West</v>
          </cell>
          <cell r="M548" t="str">
            <v>With LTS - 2024</v>
          </cell>
          <cell r="N548" t="str">
            <v>YES</v>
          </cell>
          <cell r="O548" t="str">
            <v>YES</v>
          </cell>
          <cell r="P548" t="str">
            <v>Unaffected lots</v>
          </cell>
          <cell r="Q548" t="str">
            <v>YES</v>
          </cell>
          <cell r="R548">
            <v>70</v>
          </cell>
          <cell r="S548" t="str">
            <v>PCS-04-276764</v>
          </cell>
          <cell r="T548" t="str">
            <v>TCT-060-2024018765</v>
          </cell>
          <cell r="U548" t="b">
            <v>1</v>
          </cell>
          <cell r="V548" t="str">
            <v>Done</v>
          </cell>
          <cell r="W548" t="str">
            <v>B1 2025</v>
          </cell>
          <cell r="X548" t="str">
            <v>2025 - Batch 1</v>
          </cell>
          <cell r="Y548">
            <v>26</v>
          </cell>
          <cell r="Z548">
            <v>14</v>
          </cell>
          <cell r="AA548" t="str">
            <v>H+L</v>
          </cell>
          <cell r="AB548">
            <v>70</v>
          </cell>
          <cell r="AC548">
            <v>50</v>
          </cell>
          <cell r="AD548" t="str">
            <v>Slant</v>
          </cell>
          <cell r="AE548" t="str">
            <v>Duplex</v>
          </cell>
          <cell r="AF548" t="str">
            <v>568 - Without Partition</v>
          </cell>
          <cell r="AG548" t="str">
            <v xml:space="preserve">Without Partition </v>
          </cell>
          <cell r="AH548" t="str">
            <v xml:space="preserve">Without Partition </v>
          </cell>
          <cell r="AI548" t="str">
            <v>PURPLE</v>
          </cell>
          <cell r="AJ548" t="str">
            <v>Slant / PURPLE</v>
          </cell>
          <cell r="AK548">
            <v>1050000</v>
          </cell>
          <cell r="AL548">
            <v>15000</v>
          </cell>
          <cell r="AM548">
            <v>1650000</v>
          </cell>
          <cell r="AN548">
            <v>33000</v>
          </cell>
          <cell r="AO548">
            <v>150000</v>
          </cell>
          <cell r="AP548">
            <v>2850000</v>
          </cell>
          <cell r="AQ548"/>
          <cell r="AR548">
            <v>2850000</v>
          </cell>
          <cell r="AS548">
            <v>200000</v>
          </cell>
          <cell r="AT548">
            <v>2650000</v>
          </cell>
          <cell r="AU548">
            <v>100000</v>
          </cell>
          <cell r="AV548">
            <v>2550000</v>
          </cell>
          <cell r="AW548">
            <v>0</v>
          </cell>
          <cell r="AX548">
            <v>2550000</v>
          </cell>
        </row>
        <row r="549">
          <cell r="G549" t="str">
            <v>AGM-01-026-015</v>
          </cell>
          <cell r="H549" t="str">
            <v xml:space="preserve">Raemulan Lands, Inc. </v>
          </cell>
          <cell r="I549" t="str">
            <v>Agapeya</v>
          </cell>
          <cell r="J549" t="str">
            <v>AGM</v>
          </cell>
          <cell r="K549" t="str">
            <v>Eco-High</v>
          </cell>
          <cell r="L549" t="str">
            <v>West</v>
          </cell>
          <cell r="M549" t="str">
            <v>With LTS - 2024</v>
          </cell>
          <cell r="N549" t="str">
            <v>YES</v>
          </cell>
          <cell r="O549" t="str">
            <v>YES</v>
          </cell>
          <cell r="P549" t="str">
            <v>Unaffected lots</v>
          </cell>
          <cell r="Q549" t="str">
            <v>YES</v>
          </cell>
          <cell r="R549">
            <v>70</v>
          </cell>
          <cell r="S549" t="str">
            <v>PCS-04-276764</v>
          </cell>
          <cell r="T549" t="str">
            <v>TCT-060-2024018766</v>
          </cell>
          <cell r="U549" t="b">
            <v>1</v>
          </cell>
          <cell r="V549" t="str">
            <v>Done</v>
          </cell>
          <cell r="W549" t="str">
            <v>B1 2025</v>
          </cell>
          <cell r="X549" t="str">
            <v>2025 - Batch 1</v>
          </cell>
          <cell r="Y549">
            <v>26</v>
          </cell>
          <cell r="Z549">
            <v>15</v>
          </cell>
          <cell r="AA549" t="str">
            <v>H+L</v>
          </cell>
          <cell r="AB549">
            <v>70</v>
          </cell>
          <cell r="AC549">
            <v>50</v>
          </cell>
          <cell r="AD549" t="str">
            <v>Slant</v>
          </cell>
          <cell r="AE549" t="str">
            <v>Duplex</v>
          </cell>
          <cell r="AF549" t="str">
            <v>568 - Without Partition</v>
          </cell>
          <cell r="AG549" t="str">
            <v xml:space="preserve">Without Partition </v>
          </cell>
          <cell r="AH549" t="str">
            <v xml:space="preserve">Without Partition </v>
          </cell>
          <cell r="AI549" t="str">
            <v>PURPLE</v>
          </cell>
          <cell r="AJ549" t="str">
            <v>Slant / PURPLE</v>
          </cell>
          <cell r="AK549">
            <v>1050000</v>
          </cell>
          <cell r="AL549">
            <v>15000</v>
          </cell>
          <cell r="AM549">
            <v>1650000</v>
          </cell>
          <cell r="AN549">
            <v>33000</v>
          </cell>
          <cell r="AO549">
            <v>150000</v>
          </cell>
          <cell r="AP549">
            <v>2850000</v>
          </cell>
          <cell r="AQ549"/>
          <cell r="AR549">
            <v>2850000</v>
          </cell>
          <cell r="AS549">
            <v>200000</v>
          </cell>
          <cell r="AT549">
            <v>2650000</v>
          </cell>
          <cell r="AU549">
            <v>100000</v>
          </cell>
          <cell r="AV549">
            <v>2550000</v>
          </cell>
          <cell r="AW549">
            <v>0</v>
          </cell>
          <cell r="AX549">
            <v>2550000</v>
          </cell>
        </row>
        <row r="550">
          <cell r="G550" t="str">
            <v>AGM-01-026-016</v>
          </cell>
          <cell r="H550" t="str">
            <v xml:space="preserve">Raemulan Lands, Inc. </v>
          </cell>
          <cell r="I550" t="str">
            <v>Agapeya</v>
          </cell>
          <cell r="J550" t="str">
            <v>AGM</v>
          </cell>
          <cell r="K550" t="str">
            <v>Eco-High</v>
          </cell>
          <cell r="L550" t="str">
            <v>West</v>
          </cell>
          <cell r="M550" t="str">
            <v>With LTS - 2024</v>
          </cell>
          <cell r="N550" t="str">
            <v>YES</v>
          </cell>
          <cell r="O550" t="str">
            <v>YES</v>
          </cell>
          <cell r="P550" t="str">
            <v>Unaffected lots</v>
          </cell>
          <cell r="Q550" t="str">
            <v>YES</v>
          </cell>
          <cell r="R550">
            <v>70</v>
          </cell>
          <cell r="S550" t="str">
            <v>PCS-04-276764</v>
          </cell>
          <cell r="T550" t="str">
            <v>TCT-060-2024018767</v>
          </cell>
          <cell r="U550" t="b">
            <v>1</v>
          </cell>
          <cell r="V550" t="str">
            <v>Done</v>
          </cell>
          <cell r="W550" t="str">
            <v>B1 2025</v>
          </cell>
          <cell r="X550" t="str">
            <v>2025 - Batch 1</v>
          </cell>
          <cell r="Y550">
            <v>26</v>
          </cell>
          <cell r="Z550">
            <v>16</v>
          </cell>
          <cell r="AA550" t="str">
            <v>H+L</v>
          </cell>
          <cell r="AB550">
            <v>70</v>
          </cell>
          <cell r="AC550">
            <v>50</v>
          </cell>
          <cell r="AD550" t="str">
            <v>Flat</v>
          </cell>
          <cell r="AE550" t="str">
            <v>Duplex</v>
          </cell>
          <cell r="AF550" t="str">
            <v>568 - Without Partition</v>
          </cell>
          <cell r="AG550" t="str">
            <v xml:space="preserve">Without Partition </v>
          </cell>
          <cell r="AH550" t="str">
            <v xml:space="preserve">Without Partition </v>
          </cell>
          <cell r="AI550" t="str">
            <v>PURPLE</v>
          </cell>
          <cell r="AJ550" t="str">
            <v>Flat / PURPLE</v>
          </cell>
          <cell r="AK550">
            <v>1050000</v>
          </cell>
          <cell r="AL550">
            <v>15000</v>
          </cell>
          <cell r="AM550">
            <v>1650000</v>
          </cell>
          <cell r="AN550">
            <v>33000</v>
          </cell>
          <cell r="AO550">
            <v>150000</v>
          </cell>
          <cell r="AP550">
            <v>2850000</v>
          </cell>
          <cell r="AQ550"/>
          <cell r="AR550">
            <v>2850000</v>
          </cell>
          <cell r="AS550">
            <v>200000</v>
          </cell>
          <cell r="AT550">
            <v>2650000</v>
          </cell>
          <cell r="AU550">
            <v>100000</v>
          </cell>
          <cell r="AV550">
            <v>2550000</v>
          </cell>
          <cell r="AW550">
            <v>0</v>
          </cell>
          <cell r="AX550">
            <v>2550000</v>
          </cell>
        </row>
        <row r="551">
          <cell r="G551" t="str">
            <v>AGM-01-026-017</v>
          </cell>
          <cell r="H551" t="str">
            <v xml:space="preserve">Raemulan Lands, Inc. </v>
          </cell>
          <cell r="I551" t="str">
            <v>Agapeya</v>
          </cell>
          <cell r="J551" t="str">
            <v>AGM</v>
          </cell>
          <cell r="K551" t="str">
            <v>Eco-High</v>
          </cell>
          <cell r="L551" t="str">
            <v>West</v>
          </cell>
          <cell r="M551" t="str">
            <v>With LTS - 2024</v>
          </cell>
          <cell r="N551" t="str">
            <v>YES</v>
          </cell>
          <cell r="O551" t="str">
            <v>YES</v>
          </cell>
          <cell r="P551" t="str">
            <v>Unaffected lots</v>
          </cell>
          <cell r="Q551" t="str">
            <v>YES</v>
          </cell>
          <cell r="R551">
            <v>70</v>
          </cell>
          <cell r="S551" t="str">
            <v>PCS-04-276764</v>
          </cell>
          <cell r="T551" t="str">
            <v>TCT-060-2024018768</v>
          </cell>
          <cell r="U551" t="b">
            <v>1</v>
          </cell>
          <cell r="V551" t="str">
            <v>Done</v>
          </cell>
          <cell r="W551" t="str">
            <v>B1 2025</v>
          </cell>
          <cell r="X551" t="str">
            <v>2025 - Batch 1</v>
          </cell>
          <cell r="Y551">
            <v>26</v>
          </cell>
          <cell r="Z551">
            <v>17</v>
          </cell>
          <cell r="AA551" t="str">
            <v>H+L</v>
          </cell>
          <cell r="AB551">
            <v>70</v>
          </cell>
          <cell r="AC551">
            <v>50</v>
          </cell>
          <cell r="AD551" t="str">
            <v>Flat</v>
          </cell>
          <cell r="AE551" t="str">
            <v>Duplex</v>
          </cell>
          <cell r="AF551" t="str">
            <v>568 - Without Partition</v>
          </cell>
          <cell r="AG551" t="str">
            <v xml:space="preserve">Without Partition </v>
          </cell>
          <cell r="AH551" t="str">
            <v xml:space="preserve">Without Partition </v>
          </cell>
          <cell r="AI551" t="str">
            <v>PINK</v>
          </cell>
          <cell r="AJ551" t="str">
            <v>Flat / PINK</v>
          </cell>
          <cell r="AK551">
            <v>1050000</v>
          </cell>
          <cell r="AL551">
            <v>15000</v>
          </cell>
          <cell r="AM551">
            <v>1650000</v>
          </cell>
          <cell r="AN551">
            <v>33000</v>
          </cell>
          <cell r="AO551">
            <v>150000</v>
          </cell>
          <cell r="AP551">
            <v>2850000</v>
          </cell>
          <cell r="AQ551"/>
          <cell r="AR551">
            <v>2850000</v>
          </cell>
          <cell r="AS551">
            <v>200000</v>
          </cell>
          <cell r="AT551">
            <v>2650000</v>
          </cell>
          <cell r="AU551">
            <v>100000</v>
          </cell>
          <cell r="AV551">
            <v>2550000</v>
          </cell>
          <cell r="AW551">
            <v>0</v>
          </cell>
          <cell r="AX551">
            <v>2550000</v>
          </cell>
        </row>
        <row r="552">
          <cell r="G552" t="str">
            <v>AGM-01-026-018</v>
          </cell>
          <cell r="H552" t="str">
            <v xml:space="preserve">Raemulan Lands, Inc. </v>
          </cell>
          <cell r="I552" t="str">
            <v>Agapeya</v>
          </cell>
          <cell r="J552" t="str">
            <v>AGM</v>
          </cell>
          <cell r="K552" t="str">
            <v>Eco-High</v>
          </cell>
          <cell r="L552" t="str">
            <v>West</v>
          </cell>
          <cell r="M552" t="str">
            <v>With LTS - 2024</v>
          </cell>
          <cell r="N552" t="str">
            <v>YES</v>
          </cell>
          <cell r="O552" t="str">
            <v>YES</v>
          </cell>
          <cell r="P552" t="str">
            <v>Unaffected lots</v>
          </cell>
          <cell r="Q552" t="str">
            <v>YES</v>
          </cell>
          <cell r="R552">
            <v>70</v>
          </cell>
          <cell r="S552" t="str">
            <v>PCS-04-276764</v>
          </cell>
          <cell r="T552" t="str">
            <v>TCT-060-2024018769</v>
          </cell>
          <cell r="U552" t="b">
            <v>1</v>
          </cell>
          <cell r="V552" t="str">
            <v>Done</v>
          </cell>
          <cell r="W552" t="str">
            <v>B1 2025</v>
          </cell>
          <cell r="X552" t="str">
            <v>2025 - Batch 1</v>
          </cell>
          <cell r="Y552">
            <v>26</v>
          </cell>
          <cell r="Z552">
            <v>18</v>
          </cell>
          <cell r="AA552" t="str">
            <v>H+L</v>
          </cell>
          <cell r="AB552">
            <v>70</v>
          </cell>
          <cell r="AC552">
            <v>50</v>
          </cell>
          <cell r="AD552" t="str">
            <v>Slant</v>
          </cell>
          <cell r="AE552" t="str">
            <v>Duplex</v>
          </cell>
          <cell r="AF552" t="str">
            <v>568 - Without Partition</v>
          </cell>
          <cell r="AG552" t="str">
            <v xml:space="preserve">Without Partition </v>
          </cell>
          <cell r="AH552" t="str">
            <v xml:space="preserve">Without Partition </v>
          </cell>
          <cell r="AI552" t="str">
            <v>PINK</v>
          </cell>
          <cell r="AJ552" t="str">
            <v>Slant / PINK</v>
          </cell>
          <cell r="AK552">
            <v>1050000</v>
          </cell>
          <cell r="AL552">
            <v>15000</v>
          </cell>
          <cell r="AM552">
            <v>1650000</v>
          </cell>
          <cell r="AN552">
            <v>33000</v>
          </cell>
          <cell r="AO552">
            <v>150000</v>
          </cell>
          <cell r="AP552">
            <v>2850000</v>
          </cell>
          <cell r="AQ552"/>
          <cell r="AR552">
            <v>2850000</v>
          </cell>
          <cell r="AS552">
            <v>200000</v>
          </cell>
          <cell r="AT552">
            <v>2650000</v>
          </cell>
          <cell r="AU552">
            <v>100000</v>
          </cell>
          <cell r="AV552">
            <v>2550000</v>
          </cell>
          <cell r="AW552">
            <v>0</v>
          </cell>
          <cell r="AX552">
            <v>2550000</v>
          </cell>
        </row>
        <row r="553">
          <cell r="G553" t="str">
            <v>AGM-01-026-019</v>
          </cell>
          <cell r="H553" t="str">
            <v xml:space="preserve">Raemulan Lands, Inc. </v>
          </cell>
          <cell r="I553" t="str">
            <v>Agapeya</v>
          </cell>
          <cell r="J553" t="str">
            <v>AGM</v>
          </cell>
          <cell r="K553" t="str">
            <v>Eco-High</v>
          </cell>
          <cell r="L553" t="str">
            <v>West</v>
          </cell>
          <cell r="M553" t="str">
            <v>With LTS - 2024</v>
          </cell>
          <cell r="N553" t="str">
            <v>YES</v>
          </cell>
          <cell r="O553" t="str">
            <v>YES</v>
          </cell>
          <cell r="P553" t="str">
            <v>Unaffected lots</v>
          </cell>
          <cell r="Q553" t="str">
            <v>YES</v>
          </cell>
          <cell r="R553">
            <v>70</v>
          </cell>
          <cell r="S553" t="str">
            <v>PCS-04-276764</v>
          </cell>
          <cell r="T553" t="str">
            <v>TCT-060-2024018770</v>
          </cell>
          <cell r="U553" t="b">
            <v>1</v>
          </cell>
          <cell r="V553" t="str">
            <v>Done</v>
          </cell>
          <cell r="W553" t="str">
            <v>B1 2025</v>
          </cell>
          <cell r="X553" t="str">
            <v>2025 - Batch 1</v>
          </cell>
          <cell r="Y553">
            <v>26</v>
          </cell>
          <cell r="Z553">
            <v>19</v>
          </cell>
          <cell r="AA553" t="str">
            <v>H+L</v>
          </cell>
          <cell r="AB553">
            <v>70</v>
          </cell>
          <cell r="AC553">
            <v>50</v>
          </cell>
          <cell r="AD553" t="str">
            <v>Slant</v>
          </cell>
          <cell r="AE553" t="str">
            <v>Duplex</v>
          </cell>
          <cell r="AF553" t="str">
            <v>568 - Without Partition</v>
          </cell>
          <cell r="AG553" t="str">
            <v xml:space="preserve">Without Partition </v>
          </cell>
          <cell r="AH553" t="str">
            <v xml:space="preserve">Without Partition </v>
          </cell>
          <cell r="AI553" t="str">
            <v>PINK</v>
          </cell>
          <cell r="AJ553" t="str">
            <v>Slant / PINK</v>
          </cell>
          <cell r="AK553">
            <v>1050000</v>
          </cell>
          <cell r="AL553">
            <v>15000</v>
          </cell>
          <cell r="AM553">
            <v>1650000</v>
          </cell>
          <cell r="AN553">
            <v>33000</v>
          </cell>
          <cell r="AO553">
            <v>150000</v>
          </cell>
          <cell r="AP553">
            <v>2850000</v>
          </cell>
          <cell r="AQ553"/>
          <cell r="AR553">
            <v>2850000</v>
          </cell>
          <cell r="AS553">
            <v>200000</v>
          </cell>
          <cell r="AT553">
            <v>2650000</v>
          </cell>
          <cell r="AU553">
            <v>100000</v>
          </cell>
          <cell r="AV553">
            <v>2550000</v>
          </cell>
          <cell r="AW553">
            <v>0</v>
          </cell>
          <cell r="AX553">
            <v>2550000</v>
          </cell>
        </row>
        <row r="554">
          <cell r="G554" t="str">
            <v>AGM-01-026-020</v>
          </cell>
          <cell r="H554" t="str">
            <v xml:space="preserve">Raemulan Lands, Inc. </v>
          </cell>
          <cell r="I554" t="str">
            <v>Agapeya</v>
          </cell>
          <cell r="J554" t="str">
            <v>AGM</v>
          </cell>
          <cell r="K554" t="str">
            <v>Eco-High</v>
          </cell>
          <cell r="L554" t="str">
            <v>West</v>
          </cell>
          <cell r="M554" t="str">
            <v>With LTS - 2024</v>
          </cell>
          <cell r="N554" t="str">
            <v>YES</v>
          </cell>
          <cell r="O554" t="str">
            <v>YES</v>
          </cell>
          <cell r="P554" t="str">
            <v>Unaffected lots</v>
          </cell>
          <cell r="Q554" t="str">
            <v>YES</v>
          </cell>
          <cell r="R554">
            <v>70</v>
          </cell>
          <cell r="S554" t="str">
            <v>PCS-04-276764</v>
          </cell>
          <cell r="T554" t="str">
            <v>TCT-060-2024018771</v>
          </cell>
          <cell r="U554" t="b">
            <v>1</v>
          </cell>
          <cell r="V554" t="str">
            <v>Done</v>
          </cell>
          <cell r="W554" t="str">
            <v>B1 2025</v>
          </cell>
          <cell r="X554" t="str">
            <v>2025 - Batch 1</v>
          </cell>
          <cell r="Y554">
            <v>26</v>
          </cell>
          <cell r="Z554">
            <v>20</v>
          </cell>
          <cell r="AA554" t="str">
            <v>H+L</v>
          </cell>
          <cell r="AB554">
            <v>70</v>
          </cell>
          <cell r="AC554">
            <v>50</v>
          </cell>
          <cell r="AD554" t="str">
            <v>Flat</v>
          </cell>
          <cell r="AE554" t="str">
            <v>Duplex</v>
          </cell>
          <cell r="AF554" t="str">
            <v>568 - Without Partition</v>
          </cell>
          <cell r="AG554" t="str">
            <v xml:space="preserve">Without Partition </v>
          </cell>
          <cell r="AH554" t="str">
            <v xml:space="preserve">Without Partition </v>
          </cell>
          <cell r="AI554" t="str">
            <v>PINK</v>
          </cell>
          <cell r="AJ554" t="str">
            <v>Flat / PINK</v>
          </cell>
          <cell r="AK554">
            <v>1050000</v>
          </cell>
          <cell r="AL554">
            <v>15000</v>
          </cell>
          <cell r="AM554">
            <v>1650000</v>
          </cell>
          <cell r="AN554">
            <v>33000</v>
          </cell>
          <cell r="AO554">
            <v>150000</v>
          </cell>
          <cell r="AP554">
            <v>2850000</v>
          </cell>
          <cell r="AQ554"/>
          <cell r="AR554">
            <v>2850000</v>
          </cell>
          <cell r="AS554">
            <v>200000</v>
          </cell>
          <cell r="AT554">
            <v>2650000</v>
          </cell>
          <cell r="AU554">
            <v>100000</v>
          </cell>
          <cell r="AV554">
            <v>2550000</v>
          </cell>
          <cell r="AW554">
            <v>0</v>
          </cell>
          <cell r="AX554">
            <v>2550000</v>
          </cell>
        </row>
        <row r="555">
          <cell r="G555" t="str">
            <v>AGM-01-026-021</v>
          </cell>
          <cell r="H555" t="str">
            <v xml:space="preserve">Raemulan Lands, Inc. </v>
          </cell>
          <cell r="I555" t="str">
            <v>Agapeya</v>
          </cell>
          <cell r="J555" t="str">
            <v>AGM</v>
          </cell>
          <cell r="K555" t="str">
            <v>Eco-High</v>
          </cell>
          <cell r="L555" t="str">
            <v>West</v>
          </cell>
          <cell r="M555" t="str">
            <v>With LTS - 2024</v>
          </cell>
          <cell r="N555" t="str">
            <v>YES</v>
          </cell>
          <cell r="O555" t="str">
            <v>YES</v>
          </cell>
          <cell r="P555" t="str">
            <v>Unaffected lots</v>
          </cell>
          <cell r="Q555" t="str">
            <v>YES</v>
          </cell>
          <cell r="R555">
            <v>70</v>
          </cell>
          <cell r="S555" t="str">
            <v>PCS-04-276764</v>
          </cell>
          <cell r="T555" t="str">
            <v>TCT-060-2024018772</v>
          </cell>
          <cell r="U555" t="b">
            <v>1</v>
          </cell>
          <cell r="V555" t="str">
            <v>Done</v>
          </cell>
          <cell r="W555" t="str">
            <v>B1 2025</v>
          </cell>
          <cell r="X555" t="str">
            <v>2025 - Batch 1</v>
          </cell>
          <cell r="Y555">
            <v>26</v>
          </cell>
          <cell r="Z555">
            <v>21</v>
          </cell>
          <cell r="AA555" t="str">
            <v>H+L</v>
          </cell>
          <cell r="AB555">
            <v>70</v>
          </cell>
          <cell r="AC555">
            <v>50</v>
          </cell>
          <cell r="AD555" t="str">
            <v>Flat</v>
          </cell>
          <cell r="AE555" t="str">
            <v>Duplex</v>
          </cell>
          <cell r="AF555" t="str">
            <v>568 - Without Partition</v>
          </cell>
          <cell r="AG555" t="str">
            <v xml:space="preserve">Without Partition </v>
          </cell>
          <cell r="AH555" t="str">
            <v xml:space="preserve">Without Partition </v>
          </cell>
          <cell r="AI555" t="str">
            <v>YELLOW</v>
          </cell>
          <cell r="AJ555" t="str">
            <v>Flat / YELLOW</v>
          </cell>
          <cell r="AK555">
            <v>1050000</v>
          </cell>
          <cell r="AL555">
            <v>15000</v>
          </cell>
          <cell r="AM555">
            <v>1650000</v>
          </cell>
          <cell r="AN555">
            <v>33000</v>
          </cell>
          <cell r="AO555">
            <v>150000</v>
          </cell>
          <cell r="AP555">
            <v>2850000</v>
          </cell>
          <cell r="AQ555"/>
          <cell r="AR555">
            <v>2850000</v>
          </cell>
          <cell r="AS555">
            <v>200000</v>
          </cell>
          <cell r="AT555">
            <v>2650000</v>
          </cell>
          <cell r="AU555">
            <v>100000</v>
          </cell>
          <cell r="AV555">
            <v>2550000</v>
          </cell>
          <cell r="AW555">
            <v>0</v>
          </cell>
          <cell r="AX555">
            <v>2550000</v>
          </cell>
        </row>
        <row r="556">
          <cell r="G556" t="str">
            <v>AGM-01-026-022</v>
          </cell>
          <cell r="H556" t="str">
            <v xml:space="preserve">Raemulan Lands, Inc. </v>
          </cell>
          <cell r="I556" t="str">
            <v>Agapeya</v>
          </cell>
          <cell r="J556" t="str">
            <v>AGM</v>
          </cell>
          <cell r="K556" t="str">
            <v>Eco-High</v>
          </cell>
          <cell r="L556" t="str">
            <v>West</v>
          </cell>
          <cell r="M556" t="str">
            <v>With LTS - 2024</v>
          </cell>
          <cell r="N556" t="str">
            <v>YES</v>
          </cell>
          <cell r="O556" t="str">
            <v>YES</v>
          </cell>
          <cell r="P556" t="str">
            <v>Unaffected lots</v>
          </cell>
          <cell r="Q556" t="str">
            <v>YES</v>
          </cell>
          <cell r="R556">
            <v>70</v>
          </cell>
          <cell r="S556" t="str">
            <v>PCS-04-276764</v>
          </cell>
          <cell r="T556" t="str">
            <v>TCT-060-2024018773</v>
          </cell>
          <cell r="U556" t="b">
            <v>1</v>
          </cell>
          <cell r="V556" t="str">
            <v>Done</v>
          </cell>
          <cell r="W556" t="str">
            <v>B1 2025</v>
          </cell>
          <cell r="X556" t="str">
            <v>2025 - Batch 1</v>
          </cell>
          <cell r="Y556">
            <v>26</v>
          </cell>
          <cell r="Z556">
            <v>22</v>
          </cell>
          <cell r="AA556" t="str">
            <v>H+L</v>
          </cell>
          <cell r="AB556">
            <v>70</v>
          </cell>
          <cell r="AC556">
            <v>50</v>
          </cell>
          <cell r="AD556" t="str">
            <v>Slant</v>
          </cell>
          <cell r="AE556" t="str">
            <v>Duplex</v>
          </cell>
          <cell r="AF556" t="str">
            <v>568 - Without Partition</v>
          </cell>
          <cell r="AG556" t="str">
            <v xml:space="preserve">Without Partition </v>
          </cell>
          <cell r="AH556" t="str">
            <v xml:space="preserve">Without Partition </v>
          </cell>
          <cell r="AI556" t="str">
            <v>YELLOW</v>
          </cell>
          <cell r="AJ556" t="str">
            <v>Slant / YELLOW</v>
          </cell>
          <cell r="AK556">
            <v>1050000</v>
          </cell>
          <cell r="AL556">
            <v>15000</v>
          </cell>
          <cell r="AM556">
            <v>1650000</v>
          </cell>
          <cell r="AN556">
            <v>33000</v>
          </cell>
          <cell r="AO556">
            <v>150000</v>
          </cell>
          <cell r="AP556">
            <v>2850000</v>
          </cell>
          <cell r="AQ556"/>
          <cell r="AR556">
            <v>2850000</v>
          </cell>
          <cell r="AS556">
            <v>200000</v>
          </cell>
          <cell r="AT556">
            <v>2650000</v>
          </cell>
          <cell r="AU556">
            <v>100000</v>
          </cell>
          <cell r="AV556">
            <v>2550000</v>
          </cell>
          <cell r="AW556">
            <v>0</v>
          </cell>
          <cell r="AX556">
            <v>2550000</v>
          </cell>
        </row>
        <row r="557">
          <cell r="G557" t="str">
            <v>AGM-01-026-023</v>
          </cell>
          <cell r="H557" t="str">
            <v xml:space="preserve">Raemulan Lands, Inc. </v>
          </cell>
          <cell r="I557" t="str">
            <v>Agapeya</v>
          </cell>
          <cell r="J557" t="str">
            <v>AGM</v>
          </cell>
          <cell r="K557" t="str">
            <v>Eco-High</v>
          </cell>
          <cell r="L557" t="str">
            <v>West</v>
          </cell>
          <cell r="M557" t="str">
            <v>With LTS - 2024</v>
          </cell>
          <cell r="N557" t="str">
            <v>YES</v>
          </cell>
          <cell r="O557" t="str">
            <v>YES</v>
          </cell>
          <cell r="P557" t="str">
            <v>Unaffected lots</v>
          </cell>
          <cell r="Q557" t="str">
            <v>YES</v>
          </cell>
          <cell r="R557">
            <v>70</v>
          </cell>
          <cell r="S557" t="str">
            <v>PCS-04-276764</v>
          </cell>
          <cell r="T557" t="str">
            <v>TCT-060-2024018774</v>
          </cell>
          <cell r="U557" t="b">
            <v>1</v>
          </cell>
          <cell r="V557" t="str">
            <v>Done</v>
          </cell>
          <cell r="W557" t="str">
            <v>B1 2025</v>
          </cell>
          <cell r="X557" t="str">
            <v>2025 - Batch 1</v>
          </cell>
          <cell r="Y557">
            <v>26</v>
          </cell>
          <cell r="Z557">
            <v>23</v>
          </cell>
          <cell r="AA557" t="str">
            <v>H+L</v>
          </cell>
          <cell r="AB557">
            <v>70</v>
          </cell>
          <cell r="AC557">
            <v>50</v>
          </cell>
          <cell r="AD557" t="str">
            <v>Slant</v>
          </cell>
          <cell r="AE557" t="str">
            <v>Duplex</v>
          </cell>
          <cell r="AF557" t="str">
            <v>568 - Without Partition</v>
          </cell>
          <cell r="AG557" t="str">
            <v xml:space="preserve">Without Partition </v>
          </cell>
          <cell r="AH557" t="str">
            <v xml:space="preserve">Without Partition </v>
          </cell>
          <cell r="AI557" t="str">
            <v>YELLOW</v>
          </cell>
          <cell r="AJ557" t="str">
            <v>Slant / YELLOW</v>
          </cell>
          <cell r="AK557">
            <v>1050000</v>
          </cell>
          <cell r="AL557">
            <v>15000</v>
          </cell>
          <cell r="AM557">
            <v>1650000</v>
          </cell>
          <cell r="AN557">
            <v>33000</v>
          </cell>
          <cell r="AO557">
            <v>150000</v>
          </cell>
          <cell r="AP557">
            <v>2850000</v>
          </cell>
          <cell r="AQ557"/>
          <cell r="AR557">
            <v>2850000</v>
          </cell>
          <cell r="AS557">
            <v>200000</v>
          </cell>
          <cell r="AT557">
            <v>2650000</v>
          </cell>
          <cell r="AU557">
            <v>100000</v>
          </cell>
          <cell r="AV557">
            <v>2550000</v>
          </cell>
          <cell r="AW557">
            <v>0</v>
          </cell>
          <cell r="AX557">
            <v>2550000</v>
          </cell>
        </row>
        <row r="558">
          <cell r="G558" t="str">
            <v>AGM-01-026-024</v>
          </cell>
          <cell r="H558" t="str">
            <v xml:space="preserve">Raemulan Lands, Inc. </v>
          </cell>
          <cell r="I558" t="str">
            <v>Agapeya</v>
          </cell>
          <cell r="J558" t="str">
            <v>AGM</v>
          </cell>
          <cell r="K558" t="str">
            <v>Eco-High</v>
          </cell>
          <cell r="L558" t="str">
            <v>West</v>
          </cell>
          <cell r="M558" t="str">
            <v>With LTS - 2024</v>
          </cell>
          <cell r="N558" t="str">
            <v>YES</v>
          </cell>
          <cell r="O558" t="str">
            <v>YES</v>
          </cell>
          <cell r="P558" t="str">
            <v>Unaffected lots</v>
          </cell>
          <cell r="Q558" t="str">
            <v>YES</v>
          </cell>
          <cell r="R558">
            <v>81</v>
          </cell>
          <cell r="S558" t="str">
            <v>PCS-04-276764</v>
          </cell>
          <cell r="T558" t="str">
            <v>TCT-060-2024018775</v>
          </cell>
          <cell r="U558" t="b">
            <v>1</v>
          </cell>
          <cell r="V558" t="str">
            <v>Done</v>
          </cell>
          <cell r="W558" t="str">
            <v>B1 2025</v>
          </cell>
          <cell r="X558" t="str">
            <v>2025 - Batch 1</v>
          </cell>
          <cell r="Y558">
            <v>26</v>
          </cell>
          <cell r="Z558">
            <v>24</v>
          </cell>
          <cell r="AA558" t="str">
            <v>H+L</v>
          </cell>
          <cell r="AB558">
            <v>81</v>
          </cell>
          <cell r="AC558">
            <v>50</v>
          </cell>
          <cell r="AD558" t="str">
            <v>Flat</v>
          </cell>
          <cell r="AE558" t="str">
            <v>Duplex</v>
          </cell>
          <cell r="AF558" t="str">
            <v>568 - Without Partition</v>
          </cell>
          <cell r="AG558" t="str">
            <v xml:space="preserve">Without Partition </v>
          </cell>
          <cell r="AH558" t="str">
            <v xml:space="preserve">Without Partition </v>
          </cell>
          <cell r="AI558" t="str">
            <v>YELLOW</v>
          </cell>
          <cell r="AJ558" t="str">
            <v>Flat / YELLOW</v>
          </cell>
          <cell r="AK558">
            <v>1215000</v>
          </cell>
          <cell r="AL558">
            <v>15000</v>
          </cell>
          <cell r="AM558">
            <v>1650000</v>
          </cell>
          <cell r="AN558">
            <v>33000</v>
          </cell>
          <cell r="AO558">
            <v>150000</v>
          </cell>
          <cell r="AP558">
            <v>3015000</v>
          </cell>
          <cell r="AQ558"/>
          <cell r="AR558">
            <v>3015000</v>
          </cell>
          <cell r="AS558">
            <v>200000</v>
          </cell>
          <cell r="AT558">
            <v>2815000</v>
          </cell>
          <cell r="AU558">
            <v>100000</v>
          </cell>
          <cell r="AV558">
            <v>2715000</v>
          </cell>
          <cell r="AW558">
            <v>0</v>
          </cell>
          <cell r="AX558">
            <v>2715000</v>
          </cell>
        </row>
        <row r="559">
          <cell r="G559" t="str">
            <v>AGM-01-026-025</v>
          </cell>
          <cell r="H559" t="str">
            <v xml:space="preserve">Raemulan Lands, Inc. </v>
          </cell>
          <cell r="I559" t="str">
            <v>Agapeya</v>
          </cell>
          <cell r="J559" t="str">
            <v>AGM</v>
          </cell>
          <cell r="K559" t="str">
            <v>Eco-High</v>
          </cell>
          <cell r="L559" t="str">
            <v>West</v>
          </cell>
          <cell r="M559" t="str">
            <v>With LTS - 2024</v>
          </cell>
          <cell r="N559" t="str">
            <v>YES</v>
          </cell>
          <cell r="O559" t="str">
            <v>YES</v>
          </cell>
          <cell r="P559" t="str">
            <v>Unaffected lots</v>
          </cell>
          <cell r="Q559" t="str">
            <v>YES</v>
          </cell>
          <cell r="R559">
            <v>81</v>
          </cell>
          <cell r="S559" t="str">
            <v>PCS-04-035874</v>
          </cell>
          <cell r="T559" t="str">
            <v>TCT-060-2025015513</v>
          </cell>
          <cell r="U559" t="b">
            <v>1</v>
          </cell>
          <cell r="V559" t="str">
            <v>Done</v>
          </cell>
          <cell r="W559" t="str">
            <v>B2 2025</v>
          </cell>
          <cell r="X559" t="str">
            <v>2025 - Batch 1</v>
          </cell>
          <cell r="Y559">
            <v>26</v>
          </cell>
          <cell r="Z559">
            <v>25</v>
          </cell>
          <cell r="AA559" t="str">
            <v>H+L</v>
          </cell>
          <cell r="AB559">
            <v>81</v>
          </cell>
          <cell r="AC559">
            <v>50</v>
          </cell>
          <cell r="AD559" t="str">
            <v>Slant</v>
          </cell>
          <cell r="AE559" t="str">
            <v>Duplex</v>
          </cell>
          <cell r="AF559" t="str">
            <v>568 - Without Partition</v>
          </cell>
          <cell r="AG559" t="str">
            <v xml:space="preserve">Without Partition </v>
          </cell>
          <cell r="AH559" t="str">
            <v xml:space="preserve">Without Partition </v>
          </cell>
          <cell r="AI559" t="str">
            <v>GREEN</v>
          </cell>
          <cell r="AJ559" t="str">
            <v>Slant / GREEN</v>
          </cell>
          <cell r="AK559">
            <v>1215000</v>
          </cell>
          <cell r="AL559">
            <v>15000</v>
          </cell>
          <cell r="AM559">
            <v>1650000</v>
          </cell>
          <cell r="AN559">
            <v>33000</v>
          </cell>
          <cell r="AO559">
            <v>150000</v>
          </cell>
          <cell r="AP559">
            <v>3015000</v>
          </cell>
          <cell r="AQ559"/>
          <cell r="AR559">
            <v>3015000</v>
          </cell>
          <cell r="AS559">
            <v>200000</v>
          </cell>
          <cell r="AT559">
            <v>2815000</v>
          </cell>
          <cell r="AU559">
            <v>100000</v>
          </cell>
          <cell r="AV559">
            <v>2715000</v>
          </cell>
          <cell r="AW559">
            <v>0</v>
          </cell>
          <cell r="AX559">
            <v>2715000</v>
          </cell>
        </row>
        <row r="560">
          <cell r="G560" t="str">
            <v>AGM-01-026-026</v>
          </cell>
          <cell r="H560" t="str">
            <v xml:space="preserve">Raemulan Lands, Inc. </v>
          </cell>
          <cell r="I560" t="str">
            <v>Agapeya</v>
          </cell>
          <cell r="J560" t="str">
            <v>AGM</v>
          </cell>
          <cell r="K560" t="str">
            <v>Eco-High</v>
          </cell>
          <cell r="L560" t="str">
            <v>West</v>
          </cell>
          <cell r="M560" t="str">
            <v>With LTS - 2024</v>
          </cell>
          <cell r="N560" t="str">
            <v>YES</v>
          </cell>
          <cell r="O560" t="str">
            <v>YES</v>
          </cell>
          <cell r="P560" t="str">
            <v>Unaffected lots</v>
          </cell>
          <cell r="Q560" t="str">
            <v>YES</v>
          </cell>
          <cell r="R560">
            <v>70</v>
          </cell>
          <cell r="S560" t="str">
            <v>PCS-04-035874</v>
          </cell>
          <cell r="T560" t="str">
            <v>TCT-060-2025015514</v>
          </cell>
          <cell r="U560" t="b">
            <v>1</v>
          </cell>
          <cell r="V560" t="str">
            <v>Done</v>
          </cell>
          <cell r="W560" t="str">
            <v>B2 2025</v>
          </cell>
          <cell r="X560" t="str">
            <v>2025 - Batch 1</v>
          </cell>
          <cell r="Y560">
            <v>26</v>
          </cell>
          <cell r="Z560">
            <v>26</v>
          </cell>
          <cell r="AA560" t="str">
            <v>H+L</v>
          </cell>
          <cell r="AB560">
            <v>70</v>
          </cell>
          <cell r="AC560">
            <v>50</v>
          </cell>
          <cell r="AD560" t="str">
            <v>Flat</v>
          </cell>
          <cell r="AE560" t="str">
            <v>Duplex</v>
          </cell>
          <cell r="AF560" t="str">
            <v>568 - Without Partition</v>
          </cell>
          <cell r="AG560" t="str">
            <v xml:space="preserve">Without Partition </v>
          </cell>
          <cell r="AH560" t="str">
            <v xml:space="preserve">Without Partition </v>
          </cell>
          <cell r="AI560" t="str">
            <v>GREEN</v>
          </cell>
          <cell r="AJ560" t="str">
            <v>Flat / GREEN</v>
          </cell>
          <cell r="AK560">
            <v>1050000</v>
          </cell>
          <cell r="AL560">
            <v>15000</v>
          </cell>
          <cell r="AM560">
            <v>1650000</v>
          </cell>
          <cell r="AN560">
            <v>33000</v>
          </cell>
          <cell r="AO560">
            <v>150000</v>
          </cell>
          <cell r="AP560">
            <v>2850000</v>
          </cell>
          <cell r="AQ560"/>
          <cell r="AR560">
            <v>2850000</v>
          </cell>
          <cell r="AS560">
            <v>200000</v>
          </cell>
          <cell r="AT560">
            <v>2650000</v>
          </cell>
          <cell r="AU560">
            <v>100000</v>
          </cell>
          <cell r="AV560">
            <v>2550000</v>
          </cell>
          <cell r="AW560">
            <v>0</v>
          </cell>
          <cell r="AX560">
            <v>2550000</v>
          </cell>
        </row>
        <row r="561">
          <cell r="G561" t="str">
            <v>AGM-01-026-027</v>
          </cell>
          <cell r="H561" t="str">
            <v xml:space="preserve">Raemulan Lands, Inc. </v>
          </cell>
          <cell r="I561" t="str">
            <v>Agapeya</v>
          </cell>
          <cell r="J561" t="str">
            <v>AGM</v>
          </cell>
          <cell r="K561" t="str">
            <v>Eco-High</v>
          </cell>
          <cell r="L561" t="str">
            <v>West</v>
          </cell>
          <cell r="M561" t="str">
            <v>With LTS - 2024</v>
          </cell>
          <cell r="N561" t="str">
            <v>YES</v>
          </cell>
          <cell r="O561" t="str">
            <v>YES</v>
          </cell>
          <cell r="P561" t="str">
            <v>Unaffected lots</v>
          </cell>
          <cell r="Q561" t="str">
            <v>YES</v>
          </cell>
          <cell r="R561">
            <v>70</v>
          </cell>
          <cell r="S561" t="str">
            <v>PCS-04-035874</v>
          </cell>
          <cell r="T561" t="str">
            <v>TCT-060-2025015515</v>
          </cell>
          <cell r="U561" t="b">
            <v>1</v>
          </cell>
          <cell r="V561" t="str">
            <v>Done</v>
          </cell>
          <cell r="W561" t="str">
            <v>B2 2025</v>
          </cell>
          <cell r="X561" t="str">
            <v>2025 - Batch 1</v>
          </cell>
          <cell r="Y561">
            <v>26</v>
          </cell>
          <cell r="Z561">
            <v>27</v>
          </cell>
          <cell r="AA561" t="str">
            <v>H+L</v>
          </cell>
          <cell r="AB561">
            <v>70</v>
          </cell>
          <cell r="AC561">
            <v>50</v>
          </cell>
          <cell r="AD561" t="str">
            <v>Flat</v>
          </cell>
          <cell r="AE561" t="str">
            <v>Duplex</v>
          </cell>
          <cell r="AF561" t="str">
            <v>568 - Without Partition</v>
          </cell>
          <cell r="AG561" t="str">
            <v xml:space="preserve">Without Partition </v>
          </cell>
          <cell r="AH561" t="str">
            <v xml:space="preserve">Without Partition </v>
          </cell>
          <cell r="AI561" t="str">
            <v>GREEN</v>
          </cell>
          <cell r="AJ561" t="str">
            <v>Flat / GREEN</v>
          </cell>
          <cell r="AK561">
            <v>1050000</v>
          </cell>
          <cell r="AL561">
            <v>15000</v>
          </cell>
          <cell r="AM561">
            <v>1650000</v>
          </cell>
          <cell r="AN561">
            <v>33000</v>
          </cell>
          <cell r="AO561">
            <v>150000</v>
          </cell>
          <cell r="AP561">
            <v>2850000</v>
          </cell>
          <cell r="AQ561"/>
          <cell r="AR561">
            <v>2850000</v>
          </cell>
          <cell r="AS561">
            <v>200000</v>
          </cell>
          <cell r="AT561">
            <v>2650000</v>
          </cell>
          <cell r="AU561">
            <v>100000</v>
          </cell>
          <cell r="AV561">
            <v>2550000</v>
          </cell>
          <cell r="AW561">
            <v>0</v>
          </cell>
          <cell r="AX561">
            <v>2550000</v>
          </cell>
        </row>
        <row r="562">
          <cell r="G562" t="str">
            <v>AGM-01-026-028</v>
          </cell>
          <cell r="H562" t="str">
            <v xml:space="preserve">Raemulan Lands, Inc. </v>
          </cell>
          <cell r="I562" t="str">
            <v>Agapeya</v>
          </cell>
          <cell r="J562" t="str">
            <v>AGM</v>
          </cell>
          <cell r="K562" t="str">
            <v>Eco-High</v>
          </cell>
          <cell r="L562" t="str">
            <v>West</v>
          </cell>
          <cell r="M562" t="str">
            <v>With LTS - 2024</v>
          </cell>
          <cell r="N562" t="str">
            <v>YES</v>
          </cell>
          <cell r="O562" t="str">
            <v>YES</v>
          </cell>
          <cell r="P562" t="str">
            <v>Unaffected lots</v>
          </cell>
          <cell r="Q562" t="str">
            <v>YES</v>
          </cell>
          <cell r="R562">
            <v>70</v>
          </cell>
          <cell r="S562" t="str">
            <v>PCS-04-035874</v>
          </cell>
          <cell r="T562" t="str">
            <v>TCT-060-2025015516</v>
          </cell>
          <cell r="U562" t="b">
            <v>1</v>
          </cell>
          <cell r="V562" t="str">
            <v>Done</v>
          </cell>
          <cell r="W562" t="str">
            <v>B2 2025</v>
          </cell>
          <cell r="X562" t="str">
            <v>2025 - Batch 1</v>
          </cell>
          <cell r="Y562">
            <v>26</v>
          </cell>
          <cell r="Z562">
            <v>28</v>
          </cell>
          <cell r="AA562" t="str">
            <v>H+L</v>
          </cell>
          <cell r="AB562">
            <v>70</v>
          </cell>
          <cell r="AC562">
            <v>50</v>
          </cell>
          <cell r="AD562" t="str">
            <v>Slant</v>
          </cell>
          <cell r="AE562" t="str">
            <v>Duplex</v>
          </cell>
          <cell r="AF562" t="str">
            <v>568 - Without Partition</v>
          </cell>
          <cell r="AG562" t="str">
            <v xml:space="preserve">Without Partition </v>
          </cell>
          <cell r="AH562" t="str">
            <v xml:space="preserve">Without Partition </v>
          </cell>
          <cell r="AI562" t="str">
            <v>GREEN</v>
          </cell>
          <cell r="AJ562" t="str">
            <v>Slant / GREEN</v>
          </cell>
          <cell r="AK562">
            <v>1050000</v>
          </cell>
          <cell r="AL562">
            <v>15000</v>
          </cell>
          <cell r="AM562">
            <v>1650000</v>
          </cell>
          <cell r="AN562">
            <v>33000</v>
          </cell>
          <cell r="AO562">
            <v>150000</v>
          </cell>
          <cell r="AP562">
            <v>2850000</v>
          </cell>
          <cell r="AQ562"/>
          <cell r="AR562">
            <v>2850000</v>
          </cell>
          <cell r="AS562">
            <v>200000</v>
          </cell>
          <cell r="AT562">
            <v>2650000</v>
          </cell>
          <cell r="AU562">
            <v>100000</v>
          </cell>
          <cell r="AV562">
            <v>2550000</v>
          </cell>
          <cell r="AW562">
            <v>0</v>
          </cell>
          <cell r="AX562">
            <v>2550000</v>
          </cell>
        </row>
        <row r="563">
          <cell r="G563" t="str">
            <v>AGM-01-026-029</v>
          </cell>
          <cell r="H563" t="str">
            <v xml:space="preserve">Raemulan Lands, Inc. </v>
          </cell>
          <cell r="I563" t="str">
            <v>Agapeya</v>
          </cell>
          <cell r="J563" t="str">
            <v>AGM</v>
          </cell>
          <cell r="K563" t="str">
            <v>Eco-High</v>
          </cell>
          <cell r="L563" t="str">
            <v>West</v>
          </cell>
          <cell r="M563" t="str">
            <v>With LTS - 2024</v>
          </cell>
          <cell r="N563" t="str">
            <v>YES</v>
          </cell>
          <cell r="O563" t="str">
            <v>YES</v>
          </cell>
          <cell r="P563" t="str">
            <v>Unaffected lots</v>
          </cell>
          <cell r="Q563" t="str">
            <v>YES</v>
          </cell>
          <cell r="R563">
            <v>70</v>
          </cell>
          <cell r="S563" t="str">
            <v>PCS-04-035874</v>
          </cell>
          <cell r="T563" t="str">
            <v>TCT-060-2025015517</v>
          </cell>
          <cell r="U563" t="b">
            <v>1</v>
          </cell>
          <cell r="V563" t="str">
            <v>Done</v>
          </cell>
          <cell r="W563" t="str">
            <v>B2 2025</v>
          </cell>
          <cell r="X563" t="str">
            <v>2025 - Batch 1</v>
          </cell>
          <cell r="Y563">
            <v>26</v>
          </cell>
          <cell r="Z563">
            <v>29</v>
          </cell>
          <cell r="AA563" t="str">
            <v>H+L</v>
          </cell>
          <cell r="AB563">
            <v>70</v>
          </cell>
          <cell r="AC563">
            <v>50</v>
          </cell>
          <cell r="AD563" t="str">
            <v>Slant</v>
          </cell>
          <cell r="AE563" t="str">
            <v>Duplex</v>
          </cell>
          <cell r="AF563" t="str">
            <v>568 - Without Partition</v>
          </cell>
          <cell r="AG563" t="str">
            <v xml:space="preserve">Without Partition </v>
          </cell>
          <cell r="AH563" t="str">
            <v xml:space="preserve">Without Partition </v>
          </cell>
          <cell r="AI563" t="str">
            <v>YELLOW</v>
          </cell>
          <cell r="AJ563" t="str">
            <v>Slant / YELLOW</v>
          </cell>
          <cell r="AK563">
            <v>1050000</v>
          </cell>
          <cell r="AL563">
            <v>15000</v>
          </cell>
          <cell r="AM563">
            <v>1650000</v>
          </cell>
          <cell r="AN563">
            <v>33000</v>
          </cell>
          <cell r="AO563">
            <v>150000</v>
          </cell>
          <cell r="AP563">
            <v>2850000</v>
          </cell>
          <cell r="AQ563"/>
          <cell r="AR563">
            <v>2850000</v>
          </cell>
          <cell r="AS563">
            <v>200000</v>
          </cell>
          <cell r="AT563">
            <v>2650000</v>
          </cell>
          <cell r="AU563">
            <v>100000</v>
          </cell>
          <cell r="AV563">
            <v>2550000</v>
          </cell>
          <cell r="AW563">
            <v>0</v>
          </cell>
          <cell r="AX563">
            <v>2550000</v>
          </cell>
        </row>
        <row r="564">
          <cell r="G564" t="str">
            <v>AGM-01-026-030</v>
          </cell>
          <cell r="H564" t="str">
            <v xml:space="preserve">Raemulan Lands, Inc. </v>
          </cell>
          <cell r="I564" t="str">
            <v>Agapeya</v>
          </cell>
          <cell r="J564" t="str">
            <v>AGM</v>
          </cell>
          <cell r="K564" t="str">
            <v>Eco-High</v>
          </cell>
          <cell r="L564" t="str">
            <v>West</v>
          </cell>
          <cell r="M564" t="str">
            <v>With LTS - 2024</v>
          </cell>
          <cell r="N564" t="str">
            <v>YES</v>
          </cell>
          <cell r="O564" t="str">
            <v>YES</v>
          </cell>
          <cell r="P564" t="str">
            <v>Unaffected lots</v>
          </cell>
          <cell r="Q564" t="str">
            <v>YES</v>
          </cell>
          <cell r="R564">
            <v>70</v>
          </cell>
          <cell r="S564" t="str">
            <v>PCS-04-035874</v>
          </cell>
          <cell r="T564" t="str">
            <v>TCT-060-2025015518</v>
          </cell>
          <cell r="U564" t="b">
            <v>1</v>
          </cell>
          <cell r="V564" t="str">
            <v>Done</v>
          </cell>
          <cell r="W564" t="str">
            <v>B2 2025</v>
          </cell>
          <cell r="X564" t="str">
            <v>2025 - Batch 1</v>
          </cell>
          <cell r="Y564">
            <v>26</v>
          </cell>
          <cell r="Z564">
            <v>30</v>
          </cell>
          <cell r="AA564" t="str">
            <v>H+L</v>
          </cell>
          <cell r="AB564">
            <v>70</v>
          </cell>
          <cell r="AC564">
            <v>50</v>
          </cell>
          <cell r="AD564" t="str">
            <v>Flat</v>
          </cell>
          <cell r="AE564" t="str">
            <v>Duplex</v>
          </cell>
          <cell r="AF564" t="str">
            <v>568 - Without Partition</v>
          </cell>
          <cell r="AG564" t="str">
            <v xml:space="preserve">Without Partition </v>
          </cell>
          <cell r="AH564" t="str">
            <v xml:space="preserve">Without Partition </v>
          </cell>
          <cell r="AI564" t="str">
            <v>YELLOW</v>
          </cell>
          <cell r="AJ564" t="str">
            <v>Flat / YELLOW</v>
          </cell>
          <cell r="AK564">
            <v>1050000</v>
          </cell>
          <cell r="AL564">
            <v>15000</v>
          </cell>
          <cell r="AM564">
            <v>1650000</v>
          </cell>
          <cell r="AN564">
            <v>33000</v>
          </cell>
          <cell r="AO564">
            <v>150000</v>
          </cell>
          <cell r="AP564">
            <v>2850000</v>
          </cell>
          <cell r="AQ564"/>
          <cell r="AR564">
            <v>2850000</v>
          </cell>
          <cell r="AS564">
            <v>200000</v>
          </cell>
          <cell r="AT564">
            <v>2650000</v>
          </cell>
          <cell r="AU564">
            <v>100000</v>
          </cell>
          <cell r="AV564">
            <v>2550000</v>
          </cell>
          <cell r="AW564">
            <v>0</v>
          </cell>
          <cell r="AX564">
            <v>2550000</v>
          </cell>
        </row>
        <row r="565">
          <cell r="G565" t="str">
            <v>AGM-01-026-031</v>
          </cell>
          <cell r="H565" t="str">
            <v xml:space="preserve">Raemulan Lands, Inc. </v>
          </cell>
          <cell r="I565" t="str">
            <v>Agapeya</v>
          </cell>
          <cell r="J565" t="str">
            <v>AGM</v>
          </cell>
          <cell r="K565" t="str">
            <v>Eco-High</v>
          </cell>
          <cell r="L565" t="str">
            <v>West</v>
          </cell>
          <cell r="M565" t="str">
            <v>With LTS - 2024</v>
          </cell>
          <cell r="N565" t="str">
            <v>YES</v>
          </cell>
          <cell r="O565" t="str">
            <v>YES</v>
          </cell>
          <cell r="P565" t="str">
            <v>Unaffected lots</v>
          </cell>
          <cell r="Q565" t="str">
            <v>YES</v>
          </cell>
          <cell r="R565">
            <v>70</v>
          </cell>
          <cell r="S565" t="str">
            <v>PCS-04-035874</v>
          </cell>
          <cell r="T565" t="str">
            <v>TCT-060-2025015519</v>
          </cell>
          <cell r="U565" t="b">
            <v>1</v>
          </cell>
          <cell r="V565" t="str">
            <v>Done</v>
          </cell>
          <cell r="W565" t="str">
            <v>B2 2025</v>
          </cell>
          <cell r="X565" t="str">
            <v>2025 - Batch 1</v>
          </cell>
          <cell r="Y565">
            <v>26</v>
          </cell>
          <cell r="Z565">
            <v>31</v>
          </cell>
          <cell r="AA565" t="str">
            <v>H+L</v>
          </cell>
          <cell r="AB565">
            <v>70</v>
          </cell>
          <cell r="AC565">
            <v>50</v>
          </cell>
          <cell r="AD565" t="str">
            <v>Flat</v>
          </cell>
          <cell r="AE565" t="str">
            <v>Duplex</v>
          </cell>
          <cell r="AF565" t="str">
            <v>568 - Without Partition</v>
          </cell>
          <cell r="AG565" t="str">
            <v xml:space="preserve">Without Partition </v>
          </cell>
          <cell r="AH565" t="str">
            <v xml:space="preserve">Without Partition </v>
          </cell>
          <cell r="AI565" t="str">
            <v>YELLOW</v>
          </cell>
          <cell r="AJ565" t="str">
            <v>Flat / YELLOW</v>
          </cell>
          <cell r="AK565">
            <v>1050000</v>
          </cell>
          <cell r="AL565">
            <v>15000</v>
          </cell>
          <cell r="AM565">
            <v>1650000</v>
          </cell>
          <cell r="AN565">
            <v>33000</v>
          </cell>
          <cell r="AO565">
            <v>150000</v>
          </cell>
          <cell r="AP565">
            <v>2850000</v>
          </cell>
          <cell r="AQ565"/>
          <cell r="AR565">
            <v>2850000</v>
          </cell>
          <cell r="AS565">
            <v>200000</v>
          </cell>
          <cell r="AT565">
            <v>2650000</v>
          </cell>
          <cell r="AU565">
            <v>100000</v>
          </cell>
          <cell r="AV565">
            <v>2550000</v>
          </cell>
          <cell r="AW565">
            <v>0</v>
          </cell>
          <cell r="AX565">
            <v>2550000</v>
          </cell>
        </row>
        <row r="566">
          <cell r="G566" t="str">
            <v>AGM-01-026-032</v>
          </cell>
          <cell r="H566" t="str">
            <v xml:space="preserve">Raemulan Lands, Inc. </v>
          </cell>
          <cell r="I566" t="str">
            <v>Agapeya</v>
          </cell>
          <cell r="J566" t="str">
            <v>AGM</v>
          </cell>
          <cell r="K566" t="str">
            <v>Eco-High</v>
          </cell>
          <cell r="L566" t="str">
            <v>West</v>
          </cell>
          <cell r="M566" t="str">
            <v>With LTS - 2024</v>
          </cell>
          <cell r="N566" t="str">
            <v>YES</v>
          </cell>
          <cell r="O566" t="str">
            <v>YES</v>
          </cell>
          <cell r="P566" t="str">
            <v>Unaffected lots</v>
          </cell>
          <cell r="Q566" t="str">
            <v>YES</v>
          </cell>
          <cell r="R566">
            <v>70</v>
          </cell>
          <cell r="S566" t="str">
            <v>PCS-04-035874</v>
          </cell>
          <cell r="T566" t="str">
            <v>TCT-060-2025015520</v>
          </cell>
          <cell r="U566" t="b">
            <v>1</v>
          </cell>
          <cell r="V566" t="str">
            <v>Done</v>
          </cell>
          <cell r="W566" t="str">
            <v>B2 2025</v>
          </cell>
          <cell r="X566" t="str">
            <v>2025 - Batch 1</v>
          </cell>
          <cell r="Y566">
            <v>26</v>
          </cell>
          <cell r="Z566">
            <v>32</v>
          </cell>
          <cell r="AA566" t="str">
            <v>H+L</v>
          </cell>
          <cell r="AB566">
            <v>70</v>
          </cell>
          <cell r="AC566">
            <v>50</v>
          </cell>
          <cell r="AD566" t="str">
            <v>Slant</v>
          </cell>
          <cell r="AE566" t="str">
            <v>Duplex</v>
          </cell>
          <cell r="AF566" t="str">
            <v>568 - Without Partition</v>
          </cell>
          <cell r="AG566" t="str">
            <v xml:space="preserve">Without Partition </v>
          </cell>
          <cell r="AH566" t="str">
            <v xml:space="preserve">Without Partition </v>
          </cell>
          <cell r="AI566" t="str">
            <v>YELLOW</v>
          </cell>
          <cell r="AJ566" t="str">
            <v>Slant / YELLOW</v>
          </cell>
          <cell r="AK566">
            <v>1050000</v>
          </cell>
          <cell r="AL566">
            <v>15000</v>
          </cell>
          <cell r="AM566">
            <v>1650000</v>
          </cell>
          <cell r="AN566">
            <v>33000</v>
          </cell>
          <cell r="AO566">
            <v>150000</v>
          </cell>
          <cell r="AP566">
            <v>2850000</v>
          </cell>
          <cell r="AQ566"/>
          <cell r="AR566">
            <v>2850000</v>
          </cell>
          <cell r="AS566">
            <v>200000</v>
          </cell>
          <cell r="AT566">
            <v>2650000</v>
          </cell>
          <cell r="AU566">
            <v>100000</v>
          </cell>
          <cell r="AV566">
            <v>2550000</v>
          </cell>
          <cell r="AW566">
            <v>0</v>
          </cell>
          <cell r="AX566">
            <v>2550000</v>
          </cell>
        </row>
        <row r="567">
          <cell r="G567" t="str">
            <v>AGM-01-026-033</v>
          </cell>
          <cell r="H567" t="str">
            <v xml:space="preserve">Raemulan Lands, Inc. </v>
          </cell>
          <cell r="I567" t="str">
            <v>Agapeya</v>
          </cell>
          <cell r="J567" t="str">
            <v>AGM</v>
          </cell>
          <cell r="K567" t="str">
            <v>Eco-High</v>
          </cell>
          <cell r="L567" t="str">
            <v>West</v>
          </cell>
          <cell r="M567" t="str">
            <v>With LTS - 2024</v>
          </cell>
          <cell r="N567" t="str">
            <v>YES</v>
          </cell>
          <cell r="O567" t="str">
            <v>YES</v>
          </cell>
          <cell r="P567" t="str">
            <v>Unaffected lots</v>
          </cell>
          <cell r="Q567" t="str">
            <v>YES</v>
          </cell>
          <cell r="R567">
            <v>70</v>
          </cell>
          <cell r="S567" t="str">
            <v>PCS-04-035874</v>
          </cell>
          <cell r="T567" t="str">
            <v>TCT-060-2025015521</v>
          </cell>
          <cell r="U567" t="b">
            <v>1</v>
          </cell>
          <cell r="V567" t="str">
            <v>Done</v>
          </cell>
          <cell r="W567" t="str">
            <v>B2 2025</v>
          </cell>
          <cell r="X567" t="str">
            <v>2025 - Batch 1</v>
          </cell>
          <cell r="Y567">
            <v>26</v>
          </cell>
          <cell r="Z567">
            <v>33</v>
          </cell>
          <cell r="AA567" t="str">
            <v>H+L</v>
          </cell>
          <cell r="AB567">
            <v>70</v>
          </cell>
          <cell r="AC567">
            <v>50</v>
          </cell>
          <cell r="AD567" t="str">
            <v>Slant</v>
          </cell>
          <cell r="AE567" t="str">
            <v>Duplex</v>
          </cell>
          <cell r="AF567" t="str">
            <v>568 - Without Partition</v>
          </cell>
          <cell r="AG567" t="str">
            <v xml:space="preserve">Without Partition </v>
          </cell>
          <cell r="AH567" t="str">
            <v xml:space="preserve">Without Partition </v>
          </cell>
          <cell r="AI567" t="str">
            <v>PINK</v>
          </cell>
          <cell r="AJ567" t="str">
            <v>Slant / PINK</v>
          </cell>
          <cell r="AK567">
            <v>1050000</v>
          </cell>
          <cell r="AL567">
            <v>15000</v>
          </cell>
          <cell r="AM567">
            <v>1650000</v>
          </cell>
          <cell r="AN567">
            <v>33000</v>
          </cell>
          <cell r="AO567">
            <v>150000</v>
          </cell>
          <cell r="AP567">
            <v>2850000</v>
          </cell>
          <cell r="AQ567"/>
          <cell r="AR567">
            <v>2850000</v>
          </cell>
          <cell r="AS567">
            <v>200000</v>
          </cell>
          <cell r="AT567">
            <v>2650000</v>
          </cell>
          <cell r="AU567">
            <v>100000</v>
          </cell>
          <cell r="AV567">
            <v>2550000</v>
          </cell>
          <cell r="AW567">
            <v>0</v>
          </cell>
          <cell r="AX567">
            <v>2550000</v>
          </cell>
        </row>
        <row r="568">
          <cell r="G568" t="str">
            <v>AGM-01-026-034</v>
          </cell>
          <cell r="H568" t="str">
            <v xml:space="preserve">Raemulan Lands, Inc. </v>
          </cell>
          <cell r="I568" t="str">
            <v>Agapeya</v>
          </cell>
          <cell r="J568" t="str">
            <v>AGM</v>
          </cell>
          <cell r="K568" t="str">
            <v>Eco-High</v>
          </cell>
          <cell r="L568" t="str">
            <v>West</v>
          </cell>
          <cell r="M568" t="str">
            <v>With LTS - 2024</v>
          </cell>
          <cell r="N568" t="str">
            <v>YES</v>
          </cell>
          <cell r="O568" t="str">
            <v>YES</v>
          </cell>
          <cell r="P568" t="str">
            <v>Unaffected lots</v>
          </cell>
          <cell r="Q568" t="str">
            <v>YES</v>
          </cell>
          <cell r="R568">
            <v>70</v>
          </cell>
          <cell r="S568" t="str">
            <v>PCS-04-035874</v>
          </cell>
          <cell r="T568" t="str">
            <v>TCT-060-2025015522</v>
          </cell>
          <cell r="U568" t="b">
            <v>1</v>
          </cell>
          <cell r="V568" t="str">
            <v>Done</v>
          </cell>
          <cell r="W568" t="str">
            <v>B2 2025</v>
          </cell>
          <cell r="X568" t="str">
            <v>2025 - Batch 1</v>
          </cell>
          <cell r="Y568">
            <v>26</v>
          </cell>
          <cell r="Z568">
            <v>34</v>
          </cell>
          <cell r="AA568" t="str">
            <v>H+L</v>
          </cell>
          <cell r="AB568">
            <v>70</v>
          </cell>
          <cell r="AC568">
            <v>50</v>
          </cell>
          <cell r="AD568" t="str">
            <v>Flat</v>
          </cell>
          <cell r="AE568" t="str">
            <v>Duplex</v>
          </cell>
          <cell r="AF568" t="str">
            <v>568 - Without Partition</v>
          </cell>
          <cell r="AG568" t="str">
            <v xml:space="preserve">Without Partition </v>
          </cell>
          <cell r="AH568" t="str">
            <v xml:space="preserve">Without Partition </v>
          </cell>
          <cell r="AI568" t="str">
            <v>PINK</v>
          </cell>
          <cell r="AJ568" t="str">
            <v>Flat / PINK</v>
          </cell>
          <cell r="AK568">
            <v>1050000</v>
          </cell>
          <cell r="AL568">
            <v>15000</v>
          </cell>
          <cell r="AM568">
            <v>1650000</v>
          </cell>
          <cell r="AN568">
            <v>33000</v>
          </cell>
          <cell r="AO568">
            <v>150000</v>
          </cell>
          <cell r="AP568">
            <v>2850000</v>
          </cell>
          <cell r="AQ568"/>
          <cell r="AR568">
            <v>2850000</v>
          </cell>
          <cell r="AS568">
            <v>200000</v>
          </cell>
          <cell r="AT568">
            <v>2650000</v>
          </cell>
          <cell r="AU568">
            <v>100000</v>
          </cell>
          <cell r="AV568">
            <v>2550000</v>
          </cell>
          <cell r="AW568">
            <v>0</v>
          </cell>
          <cell r="AX568">
            <v>2550000</v>
          </cell>
        </row>
        <row r="569">
          <cell r="G569" t="str">
            <v>AGM-01-026-035</v>
          </cell>
          <cell r="H569" t="str">
            <v xml:space="preserve">Raemulan Lands, Inc. </v>
          </cell>
          <cell r="I569" t="str">
            <v>Agapeya</v>
          </cell>
          <cell r="J569" t="str">
            <v>AGM</v>
          </cell>
          <cell r="K569" t="str">
            <v>Eco-High</v>
          </cell>
          <cell r="L569" t="str">
            <v>West</v>
          </cell>
          <cell r="M569" t="str">
            <v>With LTS - 2024</v>
          </cell>
          <cell r="N569" t="str">
            <v>YES</v>
          </cell>
          <cell r="O569" t="str">
            <v>YES</v>
          </cell>
          <cell r="P569" t="str">
            <v>Unaffected lots</v>
          </cell>
          <cell r="Q569" t="str">
            <v>YES</v>
          </cell>
          <cell r="R569">
            <v>70</v>
          </cell>
          <cell r="S569" t="str">
            <v>PCS-04-035874</v>
          </cell>
          <cell r="T569" t="str">
            <v>TCT-060-2025015523</v>
          </cell>
          <cell r="U569" t="b">
            <v>1</v>
          </cell>
          <cell r="V569" t="str">
            <v>Done</v>
          </cell>
          <cell r="W569" t="str">
            <v>B2 2025</v>
          </cell>
          <cell r="X569" t="str">
            <v>2025 - Batch 1</v>
          </cell>
          <cell r="Y569">
            <v>26</v>
          </cell>
          <cell r="Z569">
            <v>35</v>
          </cell>
          <cell r="AA569" t="str">
            <v>H+L</v>
          </cell>
          <cell r="AB569">
            <v>70</v>
          </cell>
          <cell r="AC569">
            <v>50</v>
          </cell>
          <cell r="AD569" t="str">
            <v>Flat</v>
          </cell>
          <cell r="AE569" t="str">
            <v>Duplex</v>
          </cell>
          <cell r="AF569" t="str">
            <v>568 - Without Partition</v>
          </cell>
          <cell r="AG569" t="str">
            <v xml:space="preserve">Without Partition </v>
          </cell>
          <cell r="AH569" t="str">
            <v xml:space="preserve">Without Partition </v>
          </cell>
          <cell r="AI569" t="str">
            <v>PINK</v>
          </cell>
          <cell r="AJ569" t="str">
            <v>Flat / PINK</v>
          </cell>
          <cell r="AK569">
            <v>1050000</v>
          </cell>
          <cell r="AL569">
            <v>15000</v>
          </cell>
          <cell r="AM569">
            <v>1650000</v>
          </cell>
          <cell r="AN569">
            <v>33000</v>
          </cell>
          <cell r="AO569">
            <v>150000</v>
          </cell>
          <cell r="AP569">
            <v>2850000</v>
          </cell>
          <cell r="AQ569"/>
          <cell r="AR569">
            <v>2850000</v>
          </cell>
          <cell r="AS569">
            <v>200000</v>
          </cell>
          <cell r="AT569">
            <v>2650000</v>
          </cell>
          <cell r="AU569">
            <v>100000</v>
          </cell>
          <cell r="AV569">
            <v>2550000</v>
          </cell>
          <cell r="AW569">
            <v>0</v>
          </cell>
          <cell r="AX569">
            <v>2550000</v>
          </cell>
        </row>
        <row r="570">
          <cell r="G570" t="str">
            <v>AGM-01-026-036</v>
          </cell>
          <cell r="H570" t="str">
            <v xml:space="preserve">Raemulan Lands, Inc. </v>
          </cell>
          <cell r="I570" t="str">
            <v>Agapeya</v>
          </cell>
          <cell r="J570" t="str">
            <v>AGM</v>
          </cell>
          <cell r="K570" t="str">
            <v>Eco-High</v>
          </cell>
          <cell r="L570" t="str">
            <v>West</v>
          </cell>
          <cell r="M570" t="str">
            <v>With LTS - 2024</v>
          </cell>
          <cell r="N570" t="str">
            <v>YES</v>
          </cell>
          <cell r="O570" t="str">
            <v>YES</v>
          </cell>
          <cell r="P570" t="str">
            <v>Unaffected lots</v>
          </cell>
          <cell r="Q570" t="str">
            <v>YES</v>
          </cell>
          <cell r="R570">
            <v>70</v>
          </cell>
          <cell r="S570" t="str">
            <v>PCS-04-035874</v>
          </cell>
          <cell r="T570" t="str">
            <v>TCT-060-2025015524</v>
          </cell>
          <cell r="U570" t="b">
            <v>1</v>
          </cell>
          <cell r="V570" t="str">
            <v>Done</v>
          </cell>
          <cell r="W570" t="str">
            <v>B2 2025</v>
          </cell>
          <cell r="X570" t="str">
            <v>2025 - Batch 1</v>
          </cell>
          <cell r="Y570">
            <v>26</v>
          </cell>
          <cell r="Z570">
            <v>36</v>
          </cell>
          <cell r="AA570" t="str">
            <v>H+L</v>
          </cell>
          <cell r="AB570">
            <v>70</v>
          </cell>
          <cell r="AC570">
            <v>50</v>
          </cell>
          <cell r="AD570" t="str">
            <v>Slant</v>
          </cell>
          <cell r="AE570" t="str">
            <v>Duplex</v>
          </cell>
          <cell r="AF570" t="str">
            <v>568 - Without Partition</v>
          </cell>
          <cell r="AG570" t="str">
            <v xml:space="preserve">Without Partition </v>
          </cell>
          <cell r="AH570" t="str">
            <v xml:space="preserve">Without Partition </v>
          </cell>
          <cell r="AI570" t="str">
            <v>PINK</v>
          </cell>
          <cell r="AJ570" t="str">
            <v>Slant / PINK</v>
          </cell>
          <cell r="AK570">
            <v>1050000</v>
          </cell>
          <cell r="AL570">
            <v>15000</v>
          </cell>
          <cell r="AM570">
            <v>1650000</v>
          </cell>
          <cell r="AN570">
            <v>33000</v>
          </cell>
          <cell r="AO570">
            <v>150000</v>
          </cell>
          <cell r="AP570">
            <v>2850000</v>
          </cell>
          <cell r="AQ570"/>
          <cell r="AR570">
            <v>2850000</v>
          </cell>
          <cell r="AS570">
            <v>200000</v>
          </cell>
          <cell r="AT570">
            <v>2650000</v>
          </cell>
          <cell r="AU570">
            <v>100000</v>
          </cell>
          <cell r="AV570">
            <v>2550000</v>
          </cell>
          <cell r="AW570">
            <v>0</v>
          </cell>
          <cell r="AX570">
            <v>2550000</v>
          </cell>
        </row>
        <row r="571">
          <cell r="G571" t="str">
            <v>AGM-01-026-037</v>
          </cell>
          <cell r="H571" t="str">
            <v xml:space="preserve">Raemulan Lands, Inc. </v>
          </cell>
          <cell r="I571" t="str">
            <v>Agapeya</v>
          </cell>
          <cell r="J571" t="str">
            <v>AGM</v>
          </cell>
          <cell r="K571" t="str">
            <v>Eco-High</v>
          </cell>
          <cell r="L571" t="str">
            <v>West</v>
          </cell>
          <cell r="M571" t="str">
            <v>With LTS - 2024</v>
          </cell>
          <cell r="N571" t="str">
            <v>YES</v>
          </cell>
          <cell r="O571" t="str">
            <v>YES</v>
          </cell>
          <cell r="P571" t="str">
            <v>Unaffected lots</v>
          </cell>
          <cell r="Q571" t="str">
            <v>YES</v>
          </cell>
          <cell r="R571">
            <v>70</v>
          </cell>
          <cell r="S571" t="str">
            <v>PCS-04-035874</v>
          </cell>
          <cell r="T571" t="str">
            <v>TCT-060-2025015525</v>
          </cell>
          <cell r="U571" t="b">
            <v>1</v>
          </cell>
          <cell r="V571" t="str">
            <v>Done</v>
          </cell>
          <cell r="W571" t="str">
            <v>B2 2025</v>
          </cell>
          <cell r="X571" t="str">
            <v>2025 - Batch 1</v>
          </cell>
          <cell r="Y571">
            <v>26</v>
          </cell>
          <cell r="Z571">
            <v>37</v>
          </cell>
          <cell r="AA571" t="str">
            <v>H+L</v>
          </cell>
          <cell r="AB571">
            <v>70</v>
          </cell>
          <cell r="AC571">
            <v>50</v>
          </cell>
          <cell r="AD571" t="str">
            <v>Slant</v>
          </cell>
          <cell r="AE571" t="str">
            <v>Duplex</v>
          </cell>
          <cell r="AF571" t="str">
            <v>568 - Without Partition</v>
          </cell>
          <cell r="AG571" t="str">
            <v xml:space="preserve">Without Partition </v>
          </cell>
          <cell r="AH571" t="str">
            <v xml:space="preserve">Without Partition </v>
          </cell>
          <cell r="AI571" t="str">
            <v>PURPLE</v>
          </cell>
          <cell r="AJ571" t="str">
            <v>Slant / PURPLE</v>
          </cell>
          <cell r="AK571">
            <v>1050000</v>
          </cell>
          <cell r="AL571">
            <v>15000</v>
          </cell>
          <cell r="AM571">
            <v>1650000</v>
          </cell>
          <cell r="AN571">
            <v>33000</v>
          </cell>
          <cell r="AO571">
            <v>150000</v>
          </cell>
          <cell r="AP571">
            <v>2850000</v>
          </cell>
          <cell r="AQ571"/>
          <cell r="AR571">
            <v>2850000</v>
          </cell>
          <cell r="AS571">
            <v>200000</v>
          </cell>
          <cell r="AT571">
            <v>2650000</v>
          </cell>
          <cell r="AU571">
            <v>100000</v>
          </cell>
          <cell r="AV571">
            <v>2550000</v>
          </cell>
          <cell r="AW571">
            <v>0</v>
          </cell>
          <cell r="AX571">
            <v>2550000</v>
          </cell>
        </row>
        <row r="572">
          <cell r="G572" t="str">
            <v>AGM-01-026-038</v>
          </cell>
          <cell r="H572" t="str">
            <v xml:space="preserve">Raemulan Lands, Inc. </v>
          </cell>
          <cell r="I572" t="str">
            <v>Agapeya</v>
          </cell>
          <cell r="J572" t="str">
            <v>AGM</v>
          </cell>
          <cell r="K572" t="str">
            <v>Eco-High</v>
          </cell>
          <cell r="L572" t="str">
            <v>West</v>
          </cell>
          <cell r="M572" t="str">
            <v>With LTS - 2024</v>
          </cell>
          <cell r="N572" t="str">
            <v>YES</v>
          </cell>
          <cell r="O572" t="str">
            <v>YES</v>
          </cell>
          <cell r="P572" t="str">
            <v>Unaffected lots</v>
          </cell>
          <cell r="Q572" t="str">
            <v>YES</v>
          </cell>
          <cell r="R572">
            <v>70</v>
          </cell>
          <cell r="S572" t="str">
            <v>PCS-04-034298</v>
          </cell>
          <cell r="T572" t="str">
            <v>TCT-060-2024021683</v>
          </cell>
          <cell r="U572" t="b">
            <v>1</v>
          </cell>
          <cell r="V572" t="str">
            <v>Done</v>
          </cell>
          <cell r="W572" t="str">
            <v>B2 2025</v>
          </cell>
          <cell r="X572" t="str">
            <v>2025 - Batch 1</v>
          </cell>
          <cell r="Y572">
            <v>26</v>
          </cell>
          <cell r="Z572">
            <v>38</v>
          </cell>
          <cell r="AA572" t="str">
            <v>H+L</v>
          </cell>
          <cell r="AB572">
            <v>70</v>
          </cell>
          <cell r="AC572">
            <v>50</v>
          </cell>
          <cell r="AD572" t="str">
            <v>Flat</v>
          </cell>
          <cell r="AE572" t="str">
            <v>Duplex</v>
          </cell>
          <cell r="AF572" t="str">
            <v>568 - Without Partition</v>
          </cell>
          <cell r="AG572" t="str">
            <v xml:space="preserve">Without Partition </v>
          </cell>
          <cell r="AH572" t="str">
            <v xml:space="preserve">Without Partition </v>
          </cell>
          <cell r="AI572" t="str">
            <v>PURPLE</v>
          </cell>
          <cell r="AJ572" t="str">
            <v>Flat / PURPLE</v>
          </cell>
          <cell r="AK572">
            <v>1050000</v>
          </cell>
          <cell r="AL572">
            <v>15000</v>
          </cell>
          <cell r="AM572">
            <v>1650000</v>
          </cell>
          <cell r="AN572">
            <v>33000</v>
          </cell>
          <cell r="AO572">
            <v>150000</v>
          </cell>
          <cell r="AP572">
            <v>2850000</v>
          </cell>
          <cell r="AQ572"/>
          <cell r="AR572">
            <v>2850000</v>
          </cell>
          <cell r="AS572">
            <v>200000</v>
          </cell>
          <cell r="AT572">
            <v>2650000</v>
          </cell>
          <cell r="AU572">
            <v>100000</v>
          </cell>
          <cell r="AV572">
            <v>2550000</v>
          </cell>
          <cell r="AW572">
            <v>0</v>
          </cell>
          <cell r="AX572">
            <v>2550000</v>
          </cell>
        </row>
        <row r="573">
          <cell r="G573" t="str">
            <v>AGM-01-026-039</v>
          </cell>
          <cell r="H573" t="str">
            <v xml:space="preserve">Raemulan Lands, Inc. </v>
          </cell>
          <cell r="I573" t="str">
            <v>Agapeya</v>
          </cell>
          <cell r="J573" t="str">
            <v>AGM</v>
          </cell>
          <cell r="K573" t="str">
            <v>Eco-High</v>
          </cell>
          <cell r="L573" t="str">
            <v>West</v>
          </cell>
          <cell r="M573" t="str">
            <v>With LTS - 2024</v>
          </cell>
          <cell r="N573" t="str">
            <v>YES</v>
          </cell>
          <cell r="O573" t="str">
            <v>YES</v>
          </cell>
          <cell r="P573" t="str">
            <v>Unaffected lots</v>
          </cell>
          <cell r="Q573" t="str">
            <v>YES</v>
          </cell>
          <cell r="R573">
            <v>70</v>
          </cell>
          <cell r="S573" t="str">
            <v>PCS-04-034298</v>
          </cell>
          <cell r="T573" t="str">
            <v>TCT-060-2024021684</v>
          </cell>
          <cell r="U573" t="b">
            <v>1</v>
          </cell>
          <cell r="V573" t="str">
            <v>Done</v>
          </cell>
          <cell r="W573" t="str">
            <v>B2 2025</v>
          </cell>
          <cell r="X573" t="str">
            <v>2025 - Batch 2</v>
          </cell>
          <cell r="Y573">
            <v>26</v>
          </cell>
          <cell r="Z573">
            <v>39</v>
          </cell>
          <cell r="AA573" t="str">
            <v>H+L</v>
          </cell>
          <cell r="AB573">
            <v>70</v>
          </cell>
          <cell r="AC573">
            <v>50</v>
          </cell>
          <cell r="AD573" t="str">
            <v>Flat</v>
          </cell>
          <cell r="AE573" t="str">
            <v>Duplex</v>
          </cell>
          <cell r="AF573" t="str">
            <v>568 - Without Partition</v>
          </cell>
          <cell r="AG573" t="str">
            <v xml:space="preserve">Without Partition </v>
          </cell>
          <cell r="AH573" t="str">
            <v xml:space="preserve">Without Partition </v>
          </cell>
          <cell r="AI573" t="str">
            <v>PURPLE</v>
          </cell>
          <cell r="AJ573" t="str">
            <v>Flat / PURPLE</v>
          </cell>
          <cell r="AK573">
            <v>1050000</v>
          </cell>
          <cell r="AL573">
            <v>15000</v>
          </cell>
          <cell r="AM573">
            <v>1650000</v>
          </cell>
          <cell r="AN573">
            <v>33000</v>
          </cell>
          <cell r="AO573">
            <v>150000</v>
          </cell>
          <cell r="AP573">
            <v>2850000</v>
          </cell>
          <cell r="AQ573"/>
          <cell r="AR573">
            <v>2850000</v>
          </cell>
          <cell r="AS573">
            <v>200000</v>
          </cell>
          <cell r="AT573">
            <v>2650000</v>
          </cell>
          <cell r="AU573">
            <v>100000</v>
          </cell>
          <cell r="AV573">
            <v>2550000</v>
          </cell>
          <cell r="AW573">
            <v>0</v>
          </cell>
          <cell r="AX573">
            <v>2550000</v>
          </cell>
        </row>
        <row r="574">
          <cell r="G574" t="str">
            <v>AGM-01-026-040</v>
          </cell>
          <cell r="H574" t="str">
            <v xml:space="preserve">Raemulan Lands, Inc. </v>
          </cell>
          <cell r="I574" t="str">
            <v>Agapeya</v>
          </cell>
          <cell r="J574" t="str">
            <v>AGM</v>
          </cell>
          <cell r="K574" t="str">
            <v>Eco-High</v>
          </cell>
          <cell r="L574" t="str">
            <v>West</v>
          </cell>
          <cell r="M574" t="str">
            <v>With LTS - 2024</v>
          </cell>
          <cell r="N574" t="str">
            <v>YES</v>
          </cell>
          <cell r="O574" t="str">
            <v>YES</v>
          </cell>
          <cell r="P574" t="str">
            <v>Unaffected lots</v>
          </cell>
          <cell r="Q574" t="str">
            <v>YES</v>
          </cell>
          <cell r="R574">
            <v>70</v>
          </cell>
          <cell r="S574" t="str">
            <v>PCS-04-034298</v>
          </cell>
          <cell r="T574" t="str">
            <v>TCT-060-2024021685</v>
          </cell>
          <cell r="U574" t="b">
            <v>1</v>
          </cell>
          <cell r="V574" t="str">
            <v>Done</v>
          </cell>
          <cell r="W574" t="str">
            <v>B2 2025</v>
          </cell>
          <cell r="X574" t="str">
            <v>2025 - Batch 2</v>
          </cell>
          <cell r="Y574">
            <v>26</v>
          </cell>
          <cell r="Z574">
            <v>40</v>
          </cell>
          <cell r="AA574" t="str">
            <v>H+L</v>
          </cell>
          <cell r="AB574">
            <v>70</v>
          </cell>
          <cell r="AC574">
            <v>50</v>
          </cell>
          <cell r="AD574" t="str">
            <v>Slant</v>
          </cell>
          <cell r="AE574" t="str">
            <v>Duplex</v>
          </cell>
          <cell r="AF574" t="str">
            <v>568 - Without Partition</v>
          </cell>
          <cell r="AG574" t="str">
            <v xml:space="preserve">Without Partition </v>
          </cell>
          <cell r="AH574" t="str">
            <v xml:space="preserve">Without Partition </v>
          </cell>
          <cell r="AI574" t="str">
            <v>PURPLE</v>
          </cell>
          <cell r="AJ574" t="str">
            <v>Slant / PURPLE</v>
          </cell>
          <cell r="AK574">
            <v>1050000</v>
          </cell>
          <cell r="AL574">
            <v>15000</v>
          </cell>
          <cell r="AM574">
            <v>1650000</v>
          </cell>
          <cell r="AN574">
            <v>33000</v>
          </cell>
          <cell r="AO574">
            <v>150000</v>
          </cell>
          <cell r="AP574">
            <v>2850000</v>
          </cell>
          <cell r="AQ574"/>
          <cell r="AR574">
            <v>2850000</v>
          </cell>
          <cell r="AS574">
            <v>200000</v>
          </cell>
          <cell r="AT574">
            <v>2650000</v>
          </cell>
          <cell r="AU574">
            <v>100000</v>
          </cell>
          <cell r="AV574">
            <v>2550000</v>
          </cell>
          <cell r="AW574">
            <v>0</v>
          </cell>
          <cell r="AX574">
            <v>2550000</v>
          </cell>
        </row>
        <row r="575">
          <cell r="G575" t="str">
            <v>AGM-01-026-041</v>
          </cell>
          <cell r="H575" t="str">
            <v xml:space="preserve">Raemulan Lands, Inc. </v>
          </cell>
          <cell r="I575" t="str">
            <v>Agapeya</v>
          </cell>
          <cell r="J575" t="str">
            <v>AGM</v>
          </cell>
          <cell r="K575" t="str">
            <v>Eco-High</v>
          </cell>
          <cell r="L575" t="str">
            <v>West</v>
          </cell>
          <cell r="M575" t="str">
            <v>With LTS - 2024</v>
          </cell>
          <cell r="N575" t="str">
            <v>YES</v>
          </cell>
          <cell r="O575" t="str">
            <v>YES</v>
          </cell>
          <cell r="P575" t="str">
            <v>Unaffected lots</v>
          </cell>
          <cell r="Q575" t="str">
            <v>YES</v>
          </cell>
          <cell r="R575">
            <v>70</v>
          </cell>
          <cell r="S575" t="str">
            <v>PCS-04-034298</v>
          </cell>
          <cell r="T575" t="str">
            <v>TCT-060-2024021686</v>
          </cell>
          <cell r="U575" t="b">
            <v>1</v>
          </cell>
          <cell r="V575" t="str">
            <v>Done</v>
          </cell>
          <cell r="W575" t="str">
            <v>B2 2025</v>
          </cell>
          <cell r="X575" t="str">
            <v>2025 - Batch 2</v>
          </cell>
          <cell r="Y575">
            <v>26</v>
          </cell>
          <cell r="Z575">
            <v>41</v>
          </cell>
          <cell r="AA575" t="str">
            <v>H+L</v>
          </cell>
          <cell r="AB575">
            <v>70</v>
          </cell>
          <cell r="AC575">
            <v>50</v>
          </cell>
          <cell r="AD575" t="str">
            <v>Slant</v>
          </cell>
          <cell r="AE575" t="str">
            <v>Duplex</v>
          </cell>
          <cell r="AF575" t="str">
            <v>568 - Without Partition</v>
          </cell>
          <cell r="AG575" t="str">
            <v xml:space="preserve">Without Partition </v>
          </cell>
          <cell r="AH575" t="str">
            <v xml:space="preserve">Without Partition </v>
          </cell>
          <cell r="AI575" t="str">
            <v>GREEN</v>
          </cell>
          <cell r="AJ575" t="str">
            <v>Slant / GREEN</v>
          </cell>
          <cell r="AK575">
            <v>1050000</v>
          </cell>
          <cell r="AL575">
            <v>15000</v>
          </cell>
          <cell r="AM575">
            <v>1650000</v>
          </cell>
          <cell r="AN575">
            <v>33000</v>
          </cell>
          <cell r="AO575">
            <v>150000</v>
          </cell>
          <cell r="AP575">
            <v>2850000</v>
          </cell>
          <cell r="AQ575"/>
          <cell r="AR575">
            <v>2850000</v>
          </cell>
          <cell r="AS575">
            <v>200000</v>
          </cell>
          <cell r="AT575">
            <v>2650000</v>
          </cell>
          <cell r="AU575">
            <v>100000</v>
          </cell>
          <cell r="AV575">
            <v>2550000</v>
          </cell>
          <cell r="AW575">
            <v>0</v>
          </cell>
          <cell r="AX575">
            <v>2550000</v>
          </cell>
        </row>
        <row r="576">
          <cell r="G576" t="str">
            <v>AGM-01-026-042</v>
          </cell>
          <cell r="H576" t="str">
            <v xml:space="preserve">Raemulan Lands, Inc. </v>
          </cell>
          <cell r="I576" t="str">
            <v>Agapeya</v>
          </cell>
          <cell r="J576" t="str">
            <v>AGM</v>
          </cell>
          <cell r="K576" t="str">
            <v>Eco-High</v>
          </cell>
          <cell r="L576" t="str">
            <v>West</v>
          </cell>
          <cell r="M576" t="str">
            <v>With LTS - 2024</v>
          </cell>
          <cell r="N576" t="str">
            <v>YES</v>
          </cell>
          <cell r="O576" t="str">
            <v>YES</v>
          </cell>
          <cell r="P576" t="str">
            <v>Unaffected lots</v>
          </cell>
          <cell r="Q576" t="str">
            <v>YES</v>
          </cell>
          <cell r="R576">
            <v>70</v>
          </cell>
          <cell r="S576" t="str">
            <v>PCS-04-034298</v>
          </cell>
          <cell r="T576" t="str">
            <v>TCT-060-2024021687</v>
          </cell>
          <cell r="U576" t="b">
            <v>1</v>
          </cell>
          <cell r="V576" t="str">
            <v>Done</v>
          </cell>
          <cell r="W576" t="str">
            <v>B2 2025</v>
          </cell>
          <cell r="X576" t="str">
            <v>2025 - Batch 2</v>
          </cell>
          <cell r="Y576">
            <v>26</v>
          </cell>
          <cell r="Z576">
            <v>42</v>
          </cell>
          <cell r="AA576" t="str">
            <v>H+L</v>
          </cell>
          <cell r="AB576">
            <v>70</v>
          </cell>
          <cell r="AC576">
            <v>50</v>
          </cell>
          <cell r="AD576" t="str">
            <v>Flat</v>
          </cell>
          <cell r="AE576" t="str">
            <v>Duplex</v>
          </cell>
          <cell r="AF576" t="str">
            <v>568 - Without Partition</v>
          </cell>
          <cell r="AG576" t="str">
            <v xml:space="preserve">Without Partition </v>
          </cell>
          <cell r="AH576" t="str">
            <v xml:space="preserve">Without Partition </v>
          </cell>
          <cell r="AI576" t="str">
            <v>GREEN</v>
          </cell>
          <cell r="AJ576" t="str">
            <v>Flat / GREEN</v>
          </cell>
          <cell r="AK576">
            <v>1050000</v>
          </cell>
          <cell r="AL576">
            <v>15000</v>
          </cell>
          <cell r="AM576">
            <v>1650000</v>
          </cell>
          <cell r="AN576">
            <v>33000</v>
          </cell>
          <cell r="AO576">
            <v>150000</v>
          </cell>
          <cell r="AP576">
            <v>2850000</v>
          </cell>
          <cell r="AQ576"/>
          <cell r="AR576">
            <v>2850000</v>
          </cell>
          <cell r="AS576">
            <v>200000</v>
          </cell>
          <cell r="AT576">
            <v>2650000</v>
          </cell>
          <cell r="AU576">
            <v>100000</v>
          </cell>
          <cell r="AV576">
            <v>2550000</v>
          </cell>
          <cell r="AW576">
            <v>0</v>
          </cell>
          <cell r="AX576">
            <v>2550000</v>
          </cell>
        </row>
        <row r="577">
          <cell r="G577" t="str">
            <v>AGM-01-026-043</v>
          </cell>
          <cell r="H577" t="str">
            <v xml:space="preserve">Raemulan Lands, Inc. </v>
          </cell>
          <cell r="I577" t="str">
            <v>Agapeya</v>
          </cell>
          <cell r="J577" t="str">
            <v>AGM</v>
          </cell>
          <cell r="K577" t="str">
            <v>Eco-High</v>
          </cell>
          <cell r="L577" t="str">
            <v>West</v>
          </cell>
          <cell r="M577" t="str">
            <v>With LTS - 2024</v>
          </cell>
          <cell r="N577" t="str">
            <v>YES</v>
          </cell>
          <cell r="O577" t="str">
            <v>YES</v>
          </cell>
          <cell r="P577" t="str">
            <v>Unaffected lots</v>
          </cell>
          <cell r="Q577" t="str">
            <v>YES</v>
          </cell>
          <cell r="R577">
            <v>70</v>
          </cell>
          <cell r="S577" t="str">
            <v>PCS-04-034298</v>
          </cell>
          <cell r="T577" t="str">
            <v>TCT-060-2024021688</v>
          </cell>
          <cell r="U577" t="b">
            <v>1</v>
          </cell>
          <cell r="V577" t="str">
            <v>Done</v>
          </cell>
          <cell r="W577" t="str">
            <v>B2 2025</v>
          </cell>
          <cell r="X577" t="str">
            <v>2025 - Batch 2</v>
          </cell>
          <cell r="Y577">
            <v>26</v>
          </cell>
          <cell r="Z577">
            <v>43</v>
          </cell>
          <cell r="AA577" t="str">
            <v>H+L</v>
          </cell>
          <cell r="AB577">
            <v>70</v>
          </cell>
          <cell r="AC577">
            <v>50</v>
          </cell>
          <cell r="AD577" t="str">
            <v>Flat</v>
          </cell>
          <cell r="AE577" t="str">
            <v>Duplex</v>
          </cell>
          <cell r="AF577" t="str">
            <v>568 - Without Partition</v>
          </cell>
          <cell r="AG577" t="str">
            <v xml:space="preserve">Without Partition </v>
          </cell>
          <cell r="AH577" t="str">
            <v xml:space="preserve">Without Partition </v>
          </cell>
          <cell r="AI577" t="str">
            <v>GREEN</v>
          </cell>
          <cell r="AJ577" t="str">
            <v>Flat / GREEN</v>
          </cell>
          <cell r="AK577">
            <v>1050000</v>
          </cell>
          <cell r="AL577">
            <v>15000</v>
          </cell>
          <cell r="AM577">
            <v>1650000</v>
          </cell>
          <cell r="AN577">
            <v>33000</v>
          </cell>
          <cell r="AO577">
            <v>150000</v>
          </cell>
          <cell r="AP577">
            <v>2850000</v>
          </cell>
          <cell r="AQ577"/>
          <cell r="AR577">
            <v>2850000</v>
          </cell>
          <cell r="AS577">
            <v>200000</v>
          </cell>
          <cell r="AT577">
            <v>2650000</v>
          </cell>
          <cell r="AU577">
            <v>100000</v>
          </cell>
          <cell r="AV577">
            <v>2550000</v>
          </cell>
          <cell r="AW577">
            <v>0</v>
          </cell>
          <cell r="AX577">
            <v>2550000</v>
          </cell>
        </row>
        <row r="578">
          <cell r="G578" t="str">
            <v>AGM-01-026-044</v>
          </cell>
          <cell r="H578" t="str">
            <v xml:space="preserve">Raemulan Lands, Inc. </v>
          </cell>
          <cell r="I578" t="str">
            <v>Agapeya</v>
          </cell>
          <cell r="J578" t="str">
            <v>AGM</v>
          </cell>
          <cell r="K578" t="str">
            <v>Eco-High</v>
          </cell>
          <cell r="L578" t="str">
            <v>West</v>
          </cell>
          <cell r="M578" t="str">
            <v>With LTS - 2024</v>
          </cell>
          <cell r="N578" t="str">
            <v>YES</v>
          </cell>
          <cell r="O578" t="str">
            <v>YES</v>
          </cell>
          <cell r="P578" t="str">
            <v>Unaffected lots</v>
          </cell>
          <cell r="Q578" t="str">
            <v>YES</v>
          </cell>
          <cell r="R578">
            <v>80</v>
          </cell>
          <cell r="S578" t="str">
            <v>PCS-04-034298</v>
          </cell>
          <cell r="T578" t="str">
            <v>TCT-060-2024021689</v>
          </cell>
          <cell r="U578" t="b">
            <v>1</v>
          </cell>
          <cell r="V578" t="str">
            <v>Done</v>
          </cell>
          <cell r="W578" t="str">
            <v>B2 2025</v>
          </cell>
          <cell r="X578" t="str">
            <v>2025 - Batch 2</v>
          </cell>
          <cell r="Y578">
            <v>26</v>
          </cell>
          <cell r="Z578">
            <v>44</v>
          </cell>
          <cell r="AA578" t="str">
            <v>H+L</v>
          </cell>
          <cell r="AB578">
            <v>80</v>
          </cell>
          <cell r="AC578">
            <v>50</v>
          </cell>
          <cell r="AD578" t="str">
            <v>Slant</v>
          </cell>
          <cell r="AE578" t="str">
            <v>Duplex</v>
          </cell>
          <cell r="AF578" t="str">
            <v>568 - Without Partition</v>
          </cell>
          <cell r="AG578" t="str">
            <v xml:space="preserve">Without Partition </v>
          </cell>
          <cell r="AH578" t="str">
            <v xml:space="preserve">Without Partition </v>
          </cell>
          <cell r="AI578" t="str">
            <v>GREEN</v>
          </cell>
          <cell r="AJ578" t="str">
            <v>Slant / GREEN</v>
          </cell>
          <cell r="AK578">
            <v>1200000</v>
          </cell>
          <cell r="AL578">
            <v>15000</v>
          </cell>
          <cell r="AM578">
            <v>1650000</v>
          </cell>
          <cell r="AN578">
            <v>33000</v>
          </cell>
          <cell r="AO578">
            <v>150000</v>
          </cell>
          <cell r="AP578">
            <v>3000000</v>
          </cell>
          <cell r="AQ578"/>
          <cell r="AR578">
            <v>3000000</v>
          </cell>
          <cell r="AS578">
            <v>200000</v>
          </cell>
          <cell r="AT578">
            <v>2800000</v>
          </cell>
          <cell r="AU578">
            <v>100000</v>
          </cell>
          <cell r="AV578">
            <v>2700000</v>
          </cell>
          <cell r="AW578">
            <v>0</v>
          </cell>
          <cell r="AX578">
            <v>2700000</v>
          </cell>
        </row>
        <row r="579">
          <cell r="G579" t="str">
            <v>AGM-01-026-045</v>
          </cell>
          <cell r="H579" t="str">
            <v xml:space="preserve">Raemulan Lands, Inc. </v>
          </cell>
          <cell r="I579" t="str">
            <v>Agapeya</v>
          </cell>
          <cell r="J579" t="str">
            <v>AGM</v>
          </cell>
          <cell r="K579" t="str">
            <v>Eco-High</v>
          </cell>
          <cell r="L579" t="str">
            <v>West</v>
          </cell>
          <cell r="M579" t="str">
            <v>With LTS - 2024</v>
          </cell>
          <cell r="N579" t="str">
            <v>YES</v>
          </cell>
          <cell r="O579" t="str">
            <v>YES</v>
          </cell>
          <cell r="P579" t="str">
            <v>Unaffected lots</v>
          </cell>
          <cell r="Q579" t="str">
            <v>YES</v>
          </cell>
          <cell r="R579">
            <v>80</v>
          </cell>
          <cell r="S579" t="str">
            <v>PCS-04-034298</v>
          </cell>
          <cell r="T579" t="str">
            <v>TCT-060-2024021690</v>
          </cell>
          <cell r="U579" t="b">
            <v>1</v>
          </cell>
          <cell r="V579" t="str">
            <v>Done</v>
          </cell>
          <cell r="W579" t="str">
            <v>B2 2025</v>
          </cell>
          <cell r="X579" t="str">
            <v>2025 - Batch 2</v>
          </cell>
          <cell r="Y579">
            <v>26</v>
          </cell>
          <cell r="Z579">
            <v>45</v>
          </cell>
          <cell r="AA579" t="str">
            <v>H+L</v>
          </cell>
          <cell r="AB579">
            <v>80</v>
          </cell>
          <cell r="AC579">
            <v>50</v>
          </cell>
          <cell r="AD579" t="str">
            <v>Slant</v>
          </cell>
          <cell r="AE579" t="str">
            <v>Duplex</v>
          </cell>
          <cell r="AF579" t="str">
            <v>568 - Without Partition</v>
          </cell>
          <cell r="AG579" t="str">
            <v xml:space="preserve">Without Partition </v>
          </cell>
          <cell r="AH579" t="str">
            <v xml:space="preserve">Without Partition </v>
          </cell>
          <cell r="AI579" t="str">
            <v>YELLOW</v>
          </cell>
          <cell r="AJ579" t="str">
            <v>Slant / YELLOW</v>
          </cell>
          <cell r="AK579">
            <v>1200000</v>
          </cell>
          <cell r="AL579">
            <v>15000</v>
          </cell>
          <cell r="AM579">
            <v>1650000</v>
          </cell>
          <cell r="AN579">
            <v>33000</v>
          </cell>
          <cell r="AO579">
            <v>150000</v>
          </cell>
          <cell r="AP579">
            <v>3000000</v>
          </cell>
          <cell r="AQ579"/>
          <cell r="AR579">
            <v>3000000</v>
          </cell>
          <cell r="AS579">
            <v>200000</v>
          </cell>
          <cell r="AT579">
            <v>2800000</v>
          </cell>
          <cell r="AU579">
            <v>100000</v>
          </cell>
          <cell r="AV579">
            <v>2700000</v>
          </cell>
          <cell r="AW579">
            <v>0</v>
          </cell>
          <cell r="AX579">
            <v>2700000</v>
          </cell>
        </row>
        <row r="580">
          <cell r="G580" t="str">
            <v>AGM-01-026-046</v>
          </cell>
          <cell r="H580" t="str">
            <v xml:space="preserve">Raemulan Lands, Inc. </v>
          </cell>
          <cell r="I580" t="str">
            <v>Agapeya</v>
          </cell>
          <cell r="J580" t="str">
            <v>AGM</v>
          </cell>
          <cell r="K580" t="str">
            <v>Eco-High</v>
          </cell>
          <cell r="L580" t="str">
            <v>West</v>
          </cell>
          <cell r="M580" t="str">
            <v>With LTS - 2024</v>
          </cell>
          <cell r="N580" t="str">
            <v>YES</v>
          </cell>
          <cell r="O580" t="str">
            <v>YES</v>
          </cell>
          <cell r="P580" t="str">
            <v>Unaffected lots</v>
          </cell>
          <cell r="Q580" t="str">
            <v>YES</v>
          </cell>
          <cell r="R580">
            <v>80</v>
          </cell>
          <cell r="S580" t="str">
            <v>PCS-04-034298</v>
          </cell>
          <cell r="T580" t="str">
            <v>TCT-060-2024021691</v>
          </cell>
          <cell r="U580" t="b">
            <v>1</v>
          </cell>
          <cell r="V580" t="str">
            <v>Done</v>
          </cell>
          <cell r="W580" t="str">
            <v>B2 2025</v>
          </cell>
          <cell r="X580" t="str">
            <v>2025 - Batch 2</v>
          </cell>
          <cell r="Y580">
            <v>26</v>
          </cell>
          <cell r="Z580">
            <v>46</v>
          </cell>
          <cell r="AA580" t="str">
            <v>H+L</v>
          </cell>
          <cell r="AB580">
            <v>80</v>
          </cell>
          <cell r="AC580">
            <v>50</v>
          </cell>
          <cell r="AD580" t="str">
            <v>Flat</v>
          </cell>
          <cell r="AE580" t="str">
            <v>Duplex</v>
          </cell>
          <cell r="AF580" t="str">
            <v>568 - Without Partition</v>
          </cell>
          <cell r="AG580" t="str">
            <v xml:space="preserve">Without Partition </v>
          </cell>
          <cell r="AH580" t="str">
            <v xml:space="preserve">Without Partition </v>
          </cell>
          <cell r="AI580" t="str">
            <v>YELLOW</v>
          </cell>
          <cell r="AJ580" t="str">
            <v>Flat / YELLOW</v>
          </cell>
          <cell r="AK580">
            <v>1200000</v>
          </cell>
          <cell r="AL580">
            <v>15000</v>
          </cell>
          <cell r="AM580">
            <v>1650000</v>
          </cell>
          <cell r="AN580">
            <v>33000</v>
          </cell>
          <cell r="AO580">
            <v>150000</v>
          </cell>
          <cell r="AP580">
            <v>3000000</v>
          </cell>
          <cell r="AQ580"/>
          <cell r="AR580">
            <v>3000000</v>
          </cell>
          <cell r="AS580">
            <v>200000</v>
          </cell>
          <cell r="AT580">
            <v>2800000</v>
          </cell>
          <cell r="AU580">
            <v>100000</v>
          </cell>
          <cell r="AV580">
            <v>2700000</v>
          </cell>
          <cell r="AW580">
            <v>0</v>
          </cell>
          <cell r="AX580">
            <v>2700000</v>
          </cell>
        </row>
        <row r="581">
          <cell r="G581" t="str">
            <v>AGM-01-026-047</v>
          </cell>
          <cell r="H581" t="str">
            <v xml:space="preserve">Raemulan Lands, Inc. </v>
          </cell>
          <cell r="I581" t="str">
            <v>Agapeya</v>
          </cell>
          <cell r="J581" t="str">
            <v>AGM</v>
          </cell>
          <cell r="K581" t="str">
            <v>Eco-High</v>
          </cell>
          <cell r="L581" t="str">
            <v>West</v>
          </cell>
          <cell r="M581" t="str">
            <v>With LTS - 2024</v>
          </cell>
          <cell r="N581" t="str">
            <v>YES</v>
          </cell>
          <cell r="O581" t="str">
            <v>NO</v>
          </cell>
          <cell r="P581" t="str">
            <v>Unaffected lots</v>
          </cell>
          <cell r="Q581" t="str">
            <v>YES</v>
          </cell>
          <cell r="R581">
            <v>119</v>
          </cell>
          <cell r="S581" t="str">
            <v>PCS-04-034298</v>
          </cell>
          <cell r="T581" t="str">
            <v>TCT-060-2024021692</v>
          </cell>
          <cell r="U581" t="b">
            <v>1</v>
          </cell>
          <cell r="V581" t="str">
            <v>Done</v>
          </cell>
          <cell r="W581" t="str">
            <v>B2 - Lot Only</v>
          </cell>
          <cell r="X581" t="str">
            <v>Lot Only - N/A</v>
          </cell>
          <cell r="Y581">
            <v>26</v>
          </cell>
          <cell r="Z581">
            <v>47</v>
          </cell>
          <cell r="AA581" t="str">
            <v>LO</v>
          </cell>
          <cell r="AB581">
            <v>119</v>
          </cell>
          <cell r="AC581" t="str">
            <v>N/A</v>
          </cell>
          <cell r="AD581" t="str">
            <v>-</v>
          </cell>
          <cell r="AE581" t="str">
            <v>Lot Only</v>
          </cell>
          <cell r="AF581" t="str">
            <v>N/A</v>
          </cell>
          <cell r="AG581" t="str">
            <v>N/A - LOT ONLY</v>
          </cell>
          <cell r="AH581" t="str">
            <v>N/A - LOT ONLY</v>
          </cell>
          <cell r="AI581" t="str">
            <v>N/A - LOT ONLY</v>
          </cell>
          <cell r="AJ581" t="str">
            <v>- / N/A - LOT ONLY</v>
          </cell>
          <cell r="AK581">
            <v>1785000</v>
          </cell>
          <cell r="AL581">
            <v>15000</v>
          </cell>
          <cell r="AM581">
            <v>0</v>
          </cell>
          <cell r="AN581">
            <v>0</v>
          </cell>
          <cell r="AO581">
            <v>100000</v>
          </cell>
          <cell r="AP581">
            <v>1885000</v>
          </cell>
          <cell r="AQ581"/>
          <cell r="AR581">
            <v>1885000</v>
          </cell>
          <cell r="AS581">
            <v>0</v>
          </cell>
          <cell r="AT581">
            <v>1885000</v>
          </cell>
          <cell r="AU581">
            <v>100000</v>
          </cell>
          <cell r="AV581">
            <v>1785000</v>
          </cell>
          <cell r="AW581">
            <v>0</v>
          </cell>
          <cell r="AX581">
            <v>1785000</v>
          </cell>
        </row>
        <row r="582">
          <cell r="G582" t="str">
            <v>AGM-01-027-001</v>
          </cell>
          <cell r="H582" t="str">
            <v xml:space="preserve">Raemulan Lands, Inc. </v>
          </cell>
          <cell r="I582" t="str">
            <v>Agapeya</v>
          </cell>
          <cell r="J582" t="str">
            <v>AGM</v>
          </cell>
          <cell r="K582" t="str">
            <v>Eco-High</v>
          </cell>
          <cell r="L582" t="str">
            <v>West</v>
          </cell>
          <cell r="M582" t="str">
            <v>With LTS - 2024</v>
          </cell>
          <cell r="N582" t="str">
            <v>YES</v>
          </cell>
          <cell r="O582" t="str">
            <v>YES</v>
          </cell>
          <cell r="P582" t="str">
            <v>Unaffected lots</v>
          </cell>
          <cell r="Q582" t="str">
            <v>YES</v>
          </cell>
          <cell r="R582">
            <v>100</v>
          </cell>
          <cell r="S582" t="str">
            <v>PCS-04-034298</v>
          </cell>
          <cell r="T582" t="str">
            <v>TCT-060-2024021693</v>
          </cell>
          <cell r="U582" t="b">
            <v>1</v>
          </cell>
          <cell r="V582" t="str">
            <v>Done</v>
          </cell>
          <cell r="W582" t="str">
            <v>2024 Batch</v>
          </cell>
          <cell r="X582" t="str">
            <v>2024 Batch</v>
          </cell>
          <cell r="Y582">
            <v>27</v>
          </cell>
          <cell r="Z582">
            <v>1</v>
          </cell>
          <cell r="AA582" t="str">
            <v>H+L</v>
          </cell>
          <cell r="AB582">
            <v>100</v>
          </cell>
          <cell r="AC582">
            <v>50</v>
          </cell>
          <cell r="AD582" t="str">
            <v>Slant</v>
          </cell>
          <cell r="AE582" t="str">
            <v>Duplex</v>
          </cell>
          <cell r="AF582" t="str">
            <v>326 - With Partition</v>
          </cell>
          <cell r="AG582" t="str">
            <v xml:space="preserve">Without Partition </v>
          </cell>
          <cell r="AH582" t="str">
            <v>With Partition</v>
          </cell>
          <cell r="AI582" t="str">
            <v>GREEN</v>
          </cell>
          <cell r="AJ582" t="str">
            <v>Slant / GREEN</v>
          </cell>
          <cell r="AK582">
            <v>1500000</v>
          </cell>
          <cell r="AL582">
            <v>15000</v>
          </cell>
          <cell r="AM582">
            <v>1650000</v>
          </cell>
          <cell r="AN582">
            <v>33000</v>
          </cell>
          <cell r="AO582">
            <v>150000</v>
          </cell>
          <cell r="AP582">
            <v>3300000</v>
          </cell>
          <cell r="AQ582"/>
          <cell r="AR582">
            <v>3300000</v>
          </cell>
          <cell r="AS582">
            <v>0</v>
          </cell>
          <cell r="AT582">
            <v>3300000</v>
          </cell>
          <cell r="AU582">
            <v>100000</v>
          </cell>
          <cell r="AV582">
            <v>3200000</v>
          </cell>
          <cell r="AW582">
            <v>0</v>
          </cell>
          <cell r="AX582">
            <v>3200000</v>
          </cell>
        </row>
        <row r="583">
          <cell r="G583" t="str">
            <v>AGM-01-027-002</v>
          </cell>
          <cell r="H583" t="str">
            <v xml:space="preserve">Raemulan Lands, Inc. </v>
          </cell>
          <cell r="I583" t="str">
            <v>Agapeya</v>
          </cell>
          <cell r="J583" t="str">
            <v>AGM</v>
          </cell>
          <cell r="K583" t="str">
            <v>Eco-High</v>
          </cell>
          <cell r="L583" t="str">
            <v>West</v>
          </cell>
          <cell r="M583" t="str">
            <v>With LTS - 2024</v>
          </cell>
          <cell r="N583" t="str">
            <v>YES</v>
          </cell>
          <cell r="O583" t="str">
            <v>YES</v>
          </cell>
          <cell r="P583" t="str">
            <v>Unaffected lots</v>
          </cell>
          <cell r="Q583" t="str">
            <v>YES</v>
          </cell>
          <cell r="R583">
            <v>80</v>
          </cell>
          <cell r="S583" t="str">
            <v>PCS-04-034298</v>
          </cell>
          <cell r="T583" t="str">
            <v>TCT-060-2024021694</v>
          </cell>
          <cell r="U583" t="b">
            <v>1</v>
          </cell>
          <cell r="V583" t="str">
            <v>Done</v>
          </cell>
          <cell r="W583" t="str">
            <v>2024 Batch</v>
          </cell>
          <cell r="X583" t="str">
            <v>2024 Batch</v>
          </cell>
          <cell r="Y583">
            <v>27</v>
          </cell>
          <cell r="Z583">
            <v>2</v>
          </cell>
          <cell r="AA583" t="str">
            <v>H+L</v>
          </cell>
          <cell r="AB583">
            <v>80</v>
          </cell>
          <cell r="AC583">
            <v>50</v>
          </cell>
          <cell r="AD583" t="str">
            <v>Flat</v>
          </cell>
          <cell r="AE583" t="str">
            <v>Duplex</v>
          </cell>
          <cell r="AF583" t="str">
            <v>326 - With Partition</v>
          </cell>
          <cell r="AG583" t="str">
            <v>With Partition</v>
          </cell>
          <cell r="AH583" t="str">
            <v>With Partition</v>
          </cell>
          <cell r="AI583" t="str">
            <v>GREEN</v>
          </cell>
          <cell r="AJ583" t="str">
            <v>Flat / GREEN</v>
          </cell>
          <cell r="AK583">
            <v>1200000</v>
          </cell>
          <cell r="AL583">
            <v>15000</v>
          </cell>
          <cell r="AM583">
            <v>1650000</v>
          </cell>
          <cell r="AN583">
            <v>33000</v>
          </cell>
          <cell r="AO583">
            <v>150000</v>
          </cell>
          <cell r="AP583">
            <v>3000000</v>
          </cell>
          <cell r="AQ583"/>
          <cell r="AR583">
            <v>3000000</v>
          </cell>
          <cell r="AS583">
            <v>0</v>
          </cell>
          <cell r="AT583">
            <v>3000000</v>
          </cell>
          <cell r="AU583">
            <v>100000</v>
          </cell>
          <cell r="AV583">
            <v>2900000</v>
          </cell>
          <cell r="AW583">
            <v>0</v>
          </cell>
          <cell r="AX583">
            <v>2900000</v>
          </cell>
        </row>
        <row r="584">
          <cell r="G584" t="str">
            <v>AGM-01-027-003</v>
          </cell>
          <cell r="H584" t="str">
            <v xml:space="preserve">Raemulan Lands, Inc. </v>
          </cell>
          <cell r="I584" t="str">
            <v>Agapeya</v>
          </cell>
          <cell r="J584" t="str">
            <v>AGM</v>
          </cell>
          <cell r="K584" t="str">
            <v>Eco-High</v>
          </cell>
          <cell r="L584" t="str">
            <v>West</v>
          </cell>
          <cell r="M584" t="str">
            <v>With LTS - 2024</v>
          </cell>
          <cell r="N584" t="str">
            <v>YES</v>
          </cell>
          <cell r="O584" t="str">
            <v>YES</v>
          </cell>
          <cell r="P584" t="str">
            <v>Unaffected lots</v>
          </cell>
          <cell r="Q584" t="str">
            <v>YES</v>
          </cell>
          <cell r="R584">
            <v>80</v>
          </cell>
          <cell r="S584" t="str">
            <v>PCS-04-034298</v>
          </cell>
          <cell r="T584" t="str">
            <v>TCT-060-2024021695</v>
          </cell>
          <cell r="U584" t="b">
            <v>1</v>
          </cell>
          <cell r="V584" t="str">
            <v>Done</v>
          </cell>
          <cell r="W584" t="str">
            <v>2024 Batch</v>
          </cell>
          <cell r="X584" t="str">
            <v>2024 Batch</v>
          </cell>
          <cell r="Y584">
            <v>27</v>
          </cell>
          <cell r="Z584">
            <v>3</v>
          </cell>
          <cell r="AA584" t="str">
            <v>H+L</v>
          </cell>
          <cell r="AB584">
            <v>80</v>
          </cell>
          <cell r="AC584">
            <v>50</v>
          </cell>
          <cell r="AD584" t="str">
            <v>Flat</v>
          </cell>
          <cell r="AE584" t="str">
            <v>Duplex</v>
          </cell>
          <cell r="AF584" t="str">
            <v>326 - With Partition</v>
          </cell>
          <cell r="AG584" t="str">
            <v xml:space="preserve">Without Partition </v>
          </cell>
          <cell r="AH584" t="str">
            <v>With Partition</v>
          </cell>
          <cell r="AI584" t="str">
            <v>PURPLE</v>
          </cell>
          <cell r="AJ584" t="str">
            <v>Flat / PURPLE</v>
          </cell>
          <cell r="AK584">
            <v>1200000</v>
          </cell>
          <cell r="AL584">
            <v>15000</v>
          </cell>
          <cell r="AM584">
            <v>1650000</v>
          </cell>
          <cell r="AN584">
            <v>33000</v>
          </cell>
          <cell r="AO584">
            <v>150000</v>
          </cell>
          <cell r="AP584">
            <v>3000000</v>
          </cell>
          <cell r="AQ584"/>
          <cell r="AR584">
            <v>3000000</v>
          </cell>
          <cell r="AS584">
            <v>0</v>
          </cell>
          <cell r="AT584">
            <v>3000000</v>
          </cell>
          <cell r="AU584">
            <v>100000</v>
          </cell>
          <cell r="AV584">
            <v>2900000</v>
          </cell>
          <cell r="AW584">
            <v>0</v>
          </cell>
          <cell r="AX584">
            <v>2900000</v>
          </cell>
        </row>
        <row r="585">
          <cell r="G585" t="str">
            <v>AGM-01-027-004</v>
          </cell>
          <cell r="H585" t="str">
            <v xml:space="preserve">Raemulan Lands, Inc. </v>
          </cell>
          <cell r="I585" t="str">
            <v>Agapeya</v>
          </cell>
          <cell r="J585" t="str">
            <v>AGM</v>
          </cell>
          <cell r="K585" t="str">
            <v>Eco-High</v>
          </cell>
          <cell r="L585" t="str">
            <v>West</v>
          </cell>
          <cell r="M585" t="str">
            <v>With LTS - 2024</v>
          </cell>
          <cell r="N585" t="str">
            <v>YES</v>
          </cell>
          <cell r="O585" t="str">
            <v>YES</v>
          </cell>
          <cell r="P585" t="str">
            <v>Unaffected lots</v>
          </cell>
          <cell r="Q585" t="str">
            <v>YES</v>
          </cell>
          <cell r="R585">
            <v>80</v>
          </cell>
          <cell r="S585" t="str">
            <v>PCS-04-034298</v>
          </cell>
          <cell r="T585" t="str">
            <v>TCT-060-2024021696</v>
          </cell>
          <cell r="U585" t="b">
            <v>1</v>
          </cell>
          <cell r="V585" t="str">
            <v>Done</v>
          </cell>
          <cell r="W585" t="str">
            <v>2024 Batch</v>
          </cell>
          <cell r="X585" t="str">
            <v>2024 Batch</v>
          </cell>
          <cell r="Y585">
            <v>27</v>
          </cell>
          <cell r="Z585">
            <v>4</v>
          </cell>
          <cell r="AA585" t="str">
            <v>H+L</v>
          </cell>
          <cell r="AB585">
            <v>80</v>
          </cell>
          <cell r="AC585">
            <v>50</v>
          </cell>
          <cell r="AD585" t="str">
            <v>Slant</v>
          </cell>
          <cell r="AE585" t="str">
            <v>Duplex</v>
          </cell>
          <cell r="AF585" t="str">
            <v>326 - With Partition</v>
          </cell>
          <cell r="AG585" t="str">
            <v xml:space="preserve">Without Partition </v>
          </cell>
          <cell r="AH585" t="str">
            <v xml:space="preserve">Without Partition </v>
          </cell>
          <cell r="AI585" t="str">
            <v>PURPLE</v>
          </cell>
          <cell r="AJ585" t="str">
            <v>Slant / PURPLE</v>
          </cell>
          <cell r="AK585">
            <v>1200000</v>
          </cell>
          <cell r="AL585">
            <v>15000</v>
          </cell>
          <cell r="AM585">
            <v>1650000</v>
          </cell>
          <cell r="AN585">
            <v>33000</v>
          </cell>
          <cell r="AO585">
            <v>150000</v>
          </cell>
          <cell r="AP585">
            <v>3000000</v>
          </cell>
          <cell r="AQ585"/>
          <cell r="AR585">
            <v>3000000</v>
          </cell>
          <cell r="AS585">
            <v>200000</v>
          </cell>
          <cell r="AT585">
            <v>2800000</v>
          </cell>
          <cell r="AU585">
            <v>100000</v>
          </cell>
          <cell r="AV585">
            <v>2700000</v>
          </cell>
          <cell r="AW585">
            <v>0</v>
          </cell>
          <cell r="AX585">
            <v>2700000</v>
          </cell>
        </row>
        <row r="586">
          <cell r="G586" t="str">
            <v>AGM-01-027-005</v>
          </cell>
          <cell r="H586" t="str">
            <v xml:space="preserve">Raemulan Lands, Inc. </v>
          </cell>
          <cell r="I586" t="str">
            <v>Agapeya</v>
          </cell>
          <cell r="J586" t="str">
            <v>AGM</v>
          </cell>
          <cell r="K586" t="str">
            <v>Eco-High</v>
          </cell>
          <cell r="L586" t="str">
            <v>West</v>
          </cell>
          <cell r="M586" t="str">
            <v>With LTS - 2024</v>
          </cell>
          <cell r="N586" t="str">
            <v>YES</v>
          </cell>
          <cell r="O586" t="str">
            <v>YES</v>
          </cell>
          <cell r="P586" t="str">
            <v>Unaffected lots</v>
          </cell>
          <cell r="Q586" t="str">
            <v>YES</v>
          </cell>
          <cell r="R586">
            <v>70</v>
          </cell>
          <cell r="S586" t="str">
            <v>PCS-04-034298</v>
          </cell>
          <cell r="T586" t="str">
            <v>TCT-060-2024021697</v>
          </cell>
          <cell r="U586" t="b">
            <v>1</v>
          </cell>
          <cell r="V586" t="str">
            <v>Done</v>
          </cell>
          <cell r="W586" t="str">
            <v>2024 Batch</v>
          </cell>
          <cell r="X586" t="str">
            <v>2024 Batch</v>
          </cell>
          <cell r="Y586">
            <v>27</v>
          </cell>
          <cell r="Z586">
            <v>5</v>
          </cell>
          <cell r="AA586" t="str">
            <v>H+L</v>
          </cell>
          <cell r="AB586">
            <v>70</v>
          </cell>
          <cell r="AC586">
            <v>50</v>
          </cell>
          <cell r="AD586" t="str">
            <v>Slant</v>
          </cell>
          <cell r="AE586" t="str">
            <v>Duplex</v>
          </cell>
          <cell r="AF586" t="str">
            <v>326 - With Partition</v>
          </cell>
          <cell r="AG586" t="str">
            <v>With Partition</v>
          </cell>
          <cell r="AH586" t="str">
            <v>With Partition</v>
          </cell>
          <cell r="AI586" t="str">
            <v>PURPLE</v>
          </cell>
          <cell r="AJ586" t="str">
            <v>Slant / PURPLE</v>
          </cell>
          <cell r="AK586">
            <v>1050000</v>
          </cell>
          <cell r="AL586">
            <v>15000</v>
          </cell>
          <cell r="AM586">
            <v>1650000</v>
          </cell>
          <cell r="AN586">
            <v>33000</v>
          </cell>
          <cell r="AO586">
            <v>150000</v>
          </cell>
          <cell r="AP586">
            <v>2850000</v>
          </cell>
          <cell r="AQ586"/>
          <cell r="AR586">
            <v>2850000</v>
          </cell>
          <cell r="AS586">
            <v>0</v>
          </cell>
          <cell r="AT586">
            <v>2850000</v>
          </cell>
          <cell r="AU586">
            <v>100000</v>
          </cell>
          <cell r="AV586">
            <v>2750000</v>
          </cell>
          <cell r="AW586">
            <v>0</v>
          </cell>
          <cell r="AX586">
            <v>2750000</v>
          </cell>
        </row>
        <row r="587">
          <cell r="G587" t="str">
            <v>AGM-01-027-006</v>
          </cell>
          <cell r="H587" t="str">
            <v xml:space="preserve">Raemulan Lands, Inc. </v>
          </cell>
          <cell r="I587" t="str">
            <v>Agapeya</v>
          </cell>
          <cell r="J587" t="str">
            <v>AGM</v>
          </cell>
          <cell r="K587" t="str">
            <v>Eco-High</v>
          </cell>
          <cell r="L587" t="str">
            <v>West</v>
          </cell>
          <cell r="M587" t="str">
            <v>With LTS - 2024</v>
          </cell>
          <cell r="N587" t="str">
            <v>YES</v>
          </cell>
          <cell r="O587" t="str">
            <v>YES</v>
          </cell>
          <cell r="P587" t="str">
            <v>Unaffected lots</v>
          </cell>
          <cell r="Q587" t="str">
            <v>YES</v>
          </cell>
          <cell r="R587">
            <v>70</v>
          </cell>
          <cell r="S587" t="str">
            <v>PCS-04-034298</v>
          </cell>
          <cell r="T587" t="str">
            <v>TCT-060-2024021698</v>
          </cell>
          <cell r="U587" t="b">
            <v>1</v>
          </cell>
          <cell r="V587" t="str">
            <v>Done</v>
          </cell>
          <cell r="W587" t="str">
            <v>2024 Batch</v>
          </cell>
          <cell r="X587" t="str">
            <v>2024 Batch</v>
          </cell>
          <cell r="Y587">
            <v>27</v>
          </cell>
          <cell r="Z587">
            <v>6</v>
          </cell>
          <cell r="AA587" t="str">
            <v>H+L</v>
          </cell>
          <cell r="AB587">
            <v>70</v>
          </cell>
          <cell r="AC587">
            <v>50</v>
          </cell>
          <cell r="AD587" t="str">
            <v>Flat</v>
          </cell>
          <cell r="AE587" t="str">
            <v>Duplex</v>
          </cell>
          <cell r="AF587" t="str">
            <v>326 - With Partition</v>
          </cell>
          <cell r="AG587" t="str">
            <v>With Partition</v>
          </cell>
          <cell r="AH587" t="str">
            <v>With Partition</v>
          </cell>
          <cell r="AI587" t="str">
            <v>PURPLE</v>
          </cell>
          <cell r="AJ587" t="str">
            <v>Flat / PURPLE</v>
          </cell>
          <cell r="AK587">
            <v>1050000</v>
          </cell>
          <cell r="AL587">
            <v>15000</v>
          </cell>
          <cell r="AM587">
            <v>1650000</v>
          </cell>
          <cell r="AN587">
            <v>33000</v>
          </cell>
          <cell r="AO587">
            <v>150000</v>
          </cell>
          <cell r="AP587">
            <v>2850000</v>
          </cell>
          <cell r="AQ587"/>
          <cell r="AR587">
            <v>2850000</v>
          </cell>
          <cell r="AS587">
            <v>0</v>
          </cell>
          <cell r="AT587">
            <v>2850000</v>
          </cell>
          <cell r="AU587">
            <v>100000</v>
          </cell>
          <cell r="AV587">
            <v>2750000</v>
          </cell>
          <cell r="AW587">
            <v>0</v>
          </cell>
          <cell r="AX587">
            <v>2750000</v>
          </cell>
        </row>
        <row r="588">
          <cell r="G588" t="str">
            <v>AGM-01-027-007</v>
          </cell>
          <cell r="H588" t="str">
            <v xml:space="preserve">Raemulan Lands, Inc. </v>
          </cell>
          <cell r="I588" t="str">
            <v>Agapeya</v>
          </cell>
          <cell r="J588" t="str">
            <v>AGM</v>
          </cell>
          <cell r="K588" t="str">
            <v>Eco-High</v>
          </cell>
          <cell r="L588" t="str">
            <v>West</v>
          </cell>
          <cell r="M588" t="str">
            <v>With LTS - 2024</v>
          </cell>
          <cell r="N588" t="str">
            <v>YES</v>
          </cell>
          <cell r="O588" t="str">
            <v>YES</v>
          </cell>
          <cell r="P588" t="str">
            <v>Unaffected lots</v>
          </cell>
          <cell r="Q588" t="str">
            <v>YES</v>
          </cell>
          <cell r="R588">
            <v>70</v>
          </cell>
          <cell r="S588" t="str">
            <v>PCS-04-034298</v>
          </cell>
          <cell r="T588" t="str">
            <v>TCT-060-2024021699</v>
          </cell>
          <cell r="U588" t="b">
            <v>1</v>
          </cell>
          <cell r="V588" t="str">
            <v>Done</v>
          </cell>
          <cell r="W588" t="str">
            <v>2024 Batch</v>
          </cell>
          <cell r="X588" t="str">
            <v>2024 Batch</v>
          </cell>
          <cell r="Y588">
            <v>27</v>
          </cell>
          <cell r="Z588">
            <v>7</v>
          </cell>
          <cell r="AA588" t="str">
            <v>H+L</v>
          </cell>
          <cell r="AB588">
            <v>70</v>
          </cell>
          <cell r="AC588">
            <v>50</v>
          </cell>
          <cell r="AD588" t="str">
            <v>Flat</v>
          </cell>
          <cell r="AE588" t="str">
            <v>Duplex</v>
          </cell>
          <cell r="AF588" t="str">
            <v>326 - With Partition</v>
          </cell>
          <cell r="AG588" t="str">
            <v>With Partition</v>
          </cell>
          <cell r="AH588" t="str">
            <v>With Partition</v>
          </cell>
          <cell r="AI588" t="str">
            <v>PINK</v>
          </cell>
          <cell r="AJ588" t="str">
            <v>Flat / PINK</v>
          </cell>
          <cell r="AK588">
            <v>1050000</v>
          </cell>
          <cell r="AL588">
            <v>15000</v>
          </cell>
          <cell r="AM588">
            <v>1650000</v>
          </cell>
          <cell r="AN588">
            <v>33000</v>
          </cell>
          <cell r="AO588">
            <v>150000</v>
          </cell>
          <cell r="AP588">
            <v>2850000</v>
          </cell>
          <cell r="AQ588"/>
          <cell r="AR588">
            <v>2850000</v>
          </cell>
          <cell r="AS588">
            <v>0</v>
          </cell>
          <cell r="AT588">
            <v>2850000</v>
          </cell>
          <cell r="AU588">
            <v>100000</v>
          </cell>
          <cell r="AV588">
            <v>2750000</v>
          </cell>
          <cell r="AW588">
            <v>0</v>
          </cell>
          <cell r="AX588">
            <v>2750000</v>
          </cell>
        </row>
        <row r="589">
          <cell r="G589" t="str">
            <v>AGM-01-027-008</v>
          </cell>
          <cell r="H589" t="str">
            <v xml:space="preserve">Raemulan Lands, Inc. </v>
          </cell>
          <cell r="I589" t="str">
            <v>Agapeya</v>
          </cell>
          <cell r="J589" t="str">
            <v>AGM</v>
          </cell>
          <cell r="K589" t="str">
            <v>Eco-High</v>
          </cell>
          <cell r="L589" t="str">
            <v>West</v>
          </cell>
          <cell r="M589" t="str">
            <v>With LTS - 2024</v>
          </cell>
          <cell r="N589" t="str">
            <v>YES</v>
          </cell>
          <cell r="O589" t="str">
            <v>YES</v>
          </cell>
          <cell r="P589" t="str">
            <v>Unaffected lots</v>
          </cell>
          <cell r="Q589" t="str">
            <v>YES</v>
          </cell>
          <cell r="R589">
            <v>70</v>
          </cell>
          <cell r="S589" t="str">
            <v>PCS-04-034298</v>
          </cell>
          <cell r="T589" t="str">
            <v>TCT-060-2024021700</v>
          </cell>
          <cell r="U589" t="b">
            <v>1</v>
          </cell>
          <cell r="V589" t="str">
            <v>Done</v>
          </cell>
          <cell r="W589" t="str">
            <v>2024 Batch</v>
          </cell>
          <cell r="X589" t="str">
            <v>2024 Batch</v>
          </cell>
          <cell r="Y589">
            <v>27</v>
          </cell>
          <cell r="Z589">
            <v>8</v>
          </cell>
          <cell r="AA589" t="str">
            <v>H+L</v>
          </cell>
          <cell r="AB589">
            <v>70</v>
          </cell>
          <cell r="AC589">
            <v>50</v>
          </cell>
          <cell r="AD589" t="str">
            <v>Slant</v>
          </cell>
          <cell r="AE589" t="str">
            <v>Duplex</v>
          </cell>
          <cell r="AF589" t="str">
            <v>326 - With Partition</v>
          </cell>
          <cell r="AG589" t="str">
            <v>With Partition</v>
          </cell>
          <cell r="AH589" t="str">
            <v>With Partition</v>
          </cell>
          <cell r="AI589" t="str">
            <v>PINK</v>
          </cell>
          <cell r="AJ589" t="str">
            <v>Slant / PINK</v>
          </cell>
          <cell r="AK589">
            <v>1050000</v>
          </cell>
          <cell r="AL589">
            <v>15000</v>
          </cell>
          <cell r="AM589">
            <v>1650000</v>
          </cell>
          <cell r="AN589">
            <v>33000</v>
          </cell>
          <cell r="AO589">
            <v>150000</v>
          </cell>
          <cell r="AP589">
            <v>2850000</v>
          </cell>
          <cell r="AQ589"/>
          <cell r="AR589">
            <v>2850000</v>
          </cell>
          <cell r="AS589">
            <v>0</v>
          </cell>
          <cell r="AT589">
            <v>2850000</v>
          </cell>
          <cell r="AU589">
            <v>100000</v>
          </cell>
          <cell r="AV589">
            <v>2750000</v>
          </cell>
          <cell r="AW589">
            <v>0</v>
          </cell>
          <cell r="AX589">
            <v>2750000</v>
          </cell>
        </row>
        <row r="590">
          <cell r="G590" t="str">
            <v>AGM-01-027-009</v>
          </cell>
          <cell r="H590" t="str">
            <v xml:space="preserve">Raemulan Lands, Inc. </v>
          </cell>
          <cell r="I590" t="str">
            <v>Agapeya</v>
          </cell>
          <cell r="J590" t="str">
            <v>AGM</v>
          </cell>
          <cell r="K590" t="str">
            <v>Eco-High</v>
          </cell>
          <cell r="L590" t="str">
            <v>West</v>
          </cell>
          <cell r="M590" t="str">
            <v>With LTS - 2024</v>
          </cell>
          <cell r="N590" t="str">
            <v>YES</v>
          </cell>
          <cell r="O590" t="str">
            <v>YES</v>
          </cell>
          <cell r="P590" t="str">
            <v>Unaffected lots</v>
          </cell>
          <cell r="Q590" t="str">
            <v>YES</v>
          </cell>
          <cell r="R590">
            <v>70</v>
          </cell>
          <cell r="S590" t="str">
            <v>PCS-04-034298</v>
          </cell>
          <cell r="T590" t="str">
            <v>TCT-060-2024021701</v>
          </cell>
          <cell r="U590" t="b">
            <v>1</v>
          </cell>
          <cell r="V590" t="str">
            <v>Done</v>
          </cell>
          <cell r="W590" t="str">
            <v>2024 Batch</v>
          </cell>
          <cell r="X590" t="str">
            <v>2024 Batch</v>
          </cell>
          <cell r="Y590">
            <v>27</v>
          </cell>
          <cell r="Z590">
            <v>9</v>
          </cell>
          <cell r="AA590" t="str">
            <v>H+L</v>
          </cell>
          <cell r="AB590">
            <v>70</v>
          </cell>
          <cell r="AC590">
            <v>50</v>
          </cell>
          <cell r="AD590" t="str">
            <v>Slant</v>
          </cell>
          <cell r="AE590" t="str">
            <v>Duplex</v>
          </cell>
          <cell r="AF590" t="str">
            <v>326 - With Partition</v>
          </cell>
          <cell r="AG590" t="str">
            <v>With Partition</v>
          </cell>
          <cell r="AH590" t="str">
            <v>With Partition</v>
          </cell>
          <cell r="AI590" t="str">
            <v>PINK</v>
          </cell>
          <cell r="AJ590" t="str">
            <v>Slant / PINK</v>
          </cell>
          <cell r="AK590">
            <v>1050000</v>
          </cell>
          <cell r="AL590">
            <v>15000</v>
          </cell>
          <cell r="AM590">
            <v>1650000</v>
          </cell>
          <cell r="AN590">
            <v>33000</v>
          </cell>
          <cell r="AO590">
            <v>150000</v>
          </cell>
          <cell r="AP590">
            <v>2850000</v>
          </cell>
          <cell r="AQ590"/>
          <cell r="AR590">
            <v>2850000</v>
          </cell>
          <cell r="AS590">
            <v>0</v>
          </cell>
          <cell r="AT590">
            <v>2850000</v>
          </cell>
          <cell r="AU590">
            <v>100000</v>
          </cell>
          <cell r="AV590">
            <v>2750000</v>
          </cell>
          <cell r="AW590">
            <v>0</v>
          </cell>
          <cell r="AX590">
            <v>2750000</v>
          </cell>
        </row>
        <row r="591">
          <cell r="G591" t="str">
            <v>AGM-01-027-010</v>
          </cell>
          <cell r="H591" t="str">
            <v xml:space="preserve">Raemulan Lands, Inc. </v>
          </cell>
          <cell r="I591" t="str">
            <v>Agapeya</v>
          </cell>
          <cell r="J591" t="str">
            <v>AGM</v>
          </cell>
          <cell r="K591" t="str">
            <v>Eco-High</v>
          </cell>
          <cell r="L591" t="str">
            <v>West</v>
          </cell>
          <cell r="M591" t="str">
            <v>With LTS - 2024</v>
          </cell>
          <cell r="N591" t="str">
            <v>YES</v>
          </cell>
          <cell r="O591" t="str">
            <v>YES</v>
          </cell>
          <cell r="P591" t="str">
            <v>Unaffected lots</v>
          </cell>
          <cell r="Q591" t="str">
            <v>YES</v>
          </cell>
          <cell r="R591">
            <v>70</v>
          </cell>
          <cell r="S591" t="str">
            <v>PCS-04-034298</v>
          </cell>
          <cell r="T591" t="str">
            <v>TCT-060-2024021702</v>
          </cell>
          <cell r="U591" t="b">
            <v>1</v>
          </cell>
          <cell r="V591" t="str">
            <v>Done</v>
          </cell>
          <cell r="W591" t="str">
            <v>2024 Batch</v>
          </cell>
          <cell r="X591" t="str">
            <v>2024 Batch</v>
          </cell>
          <cell r="Y591">
            <v>27</v>
          </cell>
          <cell r="Z591">
            <v>10</v>
          </cell>
          <cell r="AA591" t="str">
            <v>H+L</v>
          </cell>
          <cell r="AB591">
            <v>70</v>
          </cell>
          <cell r="AC591">
            <v>50</v>
          </cell>
          <cell r="AD591" t="str">
            <v>Flat</v>
          </cell>
          <cell r="AE591" t="str">
            <v>Duplex</v>
          </cell>
          <cell r="AF591" t="str">
            <v>326 - With Partition</v>
          </cell>
          <cell r="AG591" t="str">
            <v>With Partition</v>
          </cell>
          <cell r="AH591" t="str">
            <v>With Partition</v>
          </cell>
          <cell r="AI591" t="str">
            <v>PINK</v>
          </cell>
          <cell r="AJ591" t="str">
            <v>Flat / PINK</v>
          </cell>
          <cell r="AK591">
            <v>1050000</v>
          </cell>
          <cell r="AL591">
            <v>15000</v>
          </cell>
          <cell r="AM591">
            <v>1650000</v>
          </cell>
          <cell r="AN591">
            <v>33000</v>
          </cell>
          <cell r="AO591">
            <v>150000</v>
          </cell>
          <cell r="AP591">
            <v>2850000</v>
          </cell>
          <cell r="AQ591"/>
          <cell r="AR591">
            <v>2850000</v>
          </cell>
          <cell r="AS591">
            <v>0</v>
          </cell>
          <cell r="AT591">
            <v>2850000</v>
          </cell>
          <cell r="AU591">
            <v>100000</v>
          </cell>
          <cell r="AV591">
            <v>2750000</v>
          </cell>
          <cell r="AW591">
            <v>0</v>
          </cell>
          <cell r="AX591">
            <v>2750000</v>
          </cell>
        </row>
        <row r="592">
          <cell r="G592" t="str">
            <v>AGM-01-027-011</v>
          </cell>
          <cell r="H592" t="str">
            <v xml:space="preserve">Raemulan Lands, Inc. </v>
          </cell>
          <cell r="I592" t="str">
            <v>Agapeya</v>
          </cell>
          <cell r="J592" t="str">
            <v>AGM</v>
          </cell>
          <cell r="K592" t="str">
            <v>Eco-High</v>
          </cell>
          <cell r="L592" t="str">
            <v>West</v>
          </cell>
          <cell r="M592" t="str">
            <v>With LTS - 2024</v>
          </cell>
          <cell r="N592" t="str">
            <v>YES</v>
          </cell>
          <cell r="O592" t="str">
            <v>YES</v>
          </cell>
          <cell r="P592" t="str">
            <v>Unaffected lots</v>
          </cell>
          <cell r="Q592" t="str">
            <v>YES</v>
          </cell>
          <cell r="R592">
            <v>70</v>
          </cell>
          <cell r="S592" t="str">
            <v>PCS-04-034298</v>
          </cell>
          <cell r="T592" t="str">
            <v>TCT-060-2024021703</v>
          </cell>
          <cell r="U592" t="b">
            <v>1</v>
          </cell>
          <cell r="V592" t="str">
            <v>Done</v>
          </cell>
          <cell r="W592" t="str">
            <v>2024 Batch</v>
          </cell>
          <cell r="X592" t="str">
            <v>2024 Batch</v>
          </cell>
          <cell r="Y592">
            <v>27</v>
          </cell>
          <cell r="Z592">
            <v>11</v>
          </cell>
          <cell r="AA592" t="str">
            <v>H+L</v>
          </cell>
          <cell r="AB592">
            <v>70</v>
          </cell>
          <cell r="AC592">
            <v>50</v>
          </cell>
          <cell r="AD592" t="str">
            <v>Flat</v>
          </cell>
          <cell r="AE592" t="str">
            <v>Duplex</v>
          </cell>
          <cell r="AF592" t="str">
            <v>326 - With Partition</v>
          </cell>
          <cell r="AG592" t="str">
            <v>With Partition</v>
          </cell>
          <cell r="AH592" t="str">
            <v>With Partition</v>
          </cell>
          <cell r="AI592" t="str">
            <v>YELLOW</v>
          </cell>
          <cell r="AJ592" t="str">
            <v>Flat / YELLOW</v>
          </cell>
          <cell r="AK592">
            <v>1050000</v>
          </cell>
          <cell r="AL592">
            <v>15000</v>
          </cell>
          <cell r="AM592">
            <v>1650000</v>
          </cell>
          <cell r="AN592">
            <v>33000</v>
          </cell>
          <cell r="AO592">
            <v>150000</v>
          </cell>
          <cell r="AP592">
            <v>2850000</v>
          </cell>
          <cell r="AQ592"/>
          <cell r="AR592">
            <v>2850000</v>
          </cell>
          <cell r="AS592">
            <v>0</v>
          </cell>
          <cell r="AT592">
            <v>2850000</v>
          </cell>
          <cell r="AU592">
            <v>100000</v>
          </cell>
          <cell r="AV592">
            <v>2750000</v>
          </cell>
          <cell r="AW592">
            <v>0</v>
          </cell>
          <cell r="AX592">
            <v>2750000</v>
          </cell>
        </row>
        <row r="593">
          <cell r="G593" t="str">
            <v>AGM-01-027-012</v>
          </cell>
          <cell r="H593" t="str">
            <v xml:space="preserve">Raemulan Lands, Inc. </v>
          </cell>
          <cell r="I593" t="str">
            <v>Agapeya</v>
          </cell>
          <cell r="J593" t="str">
            <v>AGM</v>
          </cell>
          <cell r="K593" t="str">
            <v>Eco-High</v>
          </cell>
          <cell r="L593" t="str">
            <v>West</v>
          </cell>
          <cell r="M593" t="str">
            <v>With LTS - 2024</v>
          </cell>
          <cell r="N593" t="str">
            <v>YES</v>
          </cell>
          <cell r="O593" t="str">
            <v>YES</v>
          </cell>
          <cell r="P593" t="str">
            <v>Unaffected lots</v>
          </cell>
          <cell r="Q593" t="str">
            <v>YES</v>
          </cell>
          <cell r="R593">
            <v>70</v>
          </cell>
          <cell r="S593" t="str">
            <v>PCS-04-034298</v>
          </cell>
          <cell r="T593" t="str">
            <v>TCT-060-2024021704</v>
          </cell>
          <cell r="U593" t="b">
            <v>1</v>
          </cell>
          <cell r="V593" t="str">
            <v>Done</v>
          </cell>
          <cell r="W593" t="str">
            <v>2024 Batch</v>
          </cell>
          <cell r="X593" t="str">
            <v>2024 Batch</v>
          </cell>
          <cell r="Y593">
            <v>27</v>
          </cell>
          <cell r="Z593">
            <v>12</v>
          </cell>
          <cell r="AA593" t="str">
            <v>H+L</v>
          </cell>
          <cell r="AB593">
            <v>70</v>
          </cell>
          <cell r="AC593">
            <v>50</v>
          </cell>
          <cell r="AD593" t="str">
            <v>Slant</v>
          </cell>
          <cell r="AE593" t="str">
            <v>Duplex</v>
          </cell>
          <cell r="AF593" t="str">
            <v>326 - With Partition</v>
          </cell>
          <cell r="AG593" t="str">
            <v>With Partition</v>
          </cell>
          <cell r="AH593" t="str">
            <v>With Partition</v>
          </cell>
          <cell r="AI593" t="str">
            <v>YELLOW</v>
          </cell>
          <cell r="AJ593" t="str">
            <v>Slant / YELLOW</v>
          </cell>
          <cell r="AK593">
            <v>1050000</v>
          </cell>
          <cell r="AL593">
            <v>15000</v>
          </cell>
          <cell r="AM593">
            <v>1650000</v>
          </cell>
          <cell r="AN593">
            <v>33000</v>
          </cell>
          <cell r="AO593">
            <v>150000</v>
          </cell>
          <cell r="AP593">
            <v>2850000</v>
          </cell>
          <cell r="AQ593"/>
          <cell r="AR593">
            <v>2850000</v>
          </cell>
          <cell r="AS593">
            <v>0</v>
          </cell>
          <cell r="AT593">
            <v>2850000</v>
          </cell>
          <cell r="AU593">
            <v>100000</v>
          </cell>
          <cell r="AV593">
            <v>2750000</v>
          </cell>
          <cell r="AW593">
            <v>0</v>
          </cell>
          <cell r="AX593">
            <v>2750000</v>
          </cell>
        </row>
        <row r="594">
          <cell r="G594" t="str">
            <v>AGM-01-027-013</v>
          </cell>
          <cell r="H594" t="str">
            <v xml:space="preserve">Raemulan Lands, Inc. </v>
          </cell>
          <cell r="I594" t="str">
            <v>Agapeya</v>
          </cell>
          <cell r="J594" t="str">
            <v>AGM</v>
          </cell>
          <cell r="K594" t="str">
            <v>Eco-High</v>
          </cell>
          <cell r="L594" t="str">
            <v>West</v>
          </cell>
          <cell r="M594" t="str">
            <v>With LTS - 2024</v>
          </cell>
          <cell r="N594" t="str">
            <v>YES</v>
          </cell>
          <cell r="O594" t="str">
            <v>YES</v>
          </cell>
          <cell r="P594" t="str">
            <v>Unaffected lots</v>
          </cell>
          <cell r="Q594" t="str">
            <v>YES</v>
          </cell>
          <cell r="R594">
            <v>70</v>
          </cell>
          <cell r="S594" t="str">
            <v>PCS-04-034298</v>
          </cell>
          <cell r="T594" t="str">
            <v>TCT-060-2024021705</v>
          </cell>
          <cell r="U594" t="b">
            <v>1</v>
          </cell>
          <cell r="V594" t="str">
            <v>Done</v>
          </cell>
          <cell r="W594" t="str">
            <v>2024 Batch</v>
          </cell>
          <cell r="X594" t="str">
            <v>2024 Batch</v>
          </cell>
          <cell r="Y594">
            <v>27</v>
          </cell>
          <cell r="Z594">
            <v>13</v>
          </cell>
          <cell r="AA594" t="str">
            <v>H+L</v>
          </cell>
          <cell r="AB594">
            <v>70</v>
          </cell>
          <cell r="AC594">
            <v>50</v>
          </cell>
          <cell r="AD594" t="str">
            <v>Slant</v>
          </cell>
          <cell r="AE594" t="str">
            <v>Duplex</v>
          </cell>
          <cell r="AF594" t="str">
            <v>326 - With Partition</v>
          </cell>
          <cell r="AG594" t="str">
            <v>With Partition</v>
          </cell>
          <cell r="AH594" t="str">
            <v>With Partition</v>
          </cell>
          <cell r="AI594" t="str">
            <v>YELLOW</v>
          </cell>
          <cell r="AJ594" t="str">
            <v>Slant / YELLOW</v>
          </cell>
          <cell r="AK594">
            <v>1050000</v>
          </cell>
          <cell r="AL594">
            <v>15000</v>
          </cell>
          <cell r="AM594">
            <v>1650000</v>
          </cell>
          <cell r="AN594">
            <v>33000</v>
          </cell>
          <cell r="AO594">
            <v>150000</v>
          </cell>
          <cell r="AP594">
            <v>2850000</v>
          </cell>
          <cell r="AQ594"/>
          <cell r="AR594">
            <v>2850000</v>
          </cell>
          <cell r="AS594">
            <v>0</v>
          </cell>
          <cell r="AT594">
            <v>2850000</v>
          </cell>
          <cell r="AU594">
            <v>100000</v>
          </cell>
          <cell r="AV594">
            <v>2750000</v>
          </cell>
          <cell r="AW594">
            <v>0</v>
          </cell>
          <cell r="AX594">
            <v>2750000</v>
          </cell>
        </row>
        <row r="595">
          <cell r="G595" t="str">
            <v>AGM-01-027-014</v>
          </cell>
          <cell r="H595" t="str">
            <v xml:space="preserve">Raemulan Lands, Inc. </v>
          </cell>
          <cell r="I595" t="str">
            <v>Agapeya</v>
          </cell>
          <cell r="J595" t="str">
            <v>AGM</v>
          </cell>
          <cell r="K595" t="str">
            <v>Eco-High</v>
          </cell>
          <cell r="L595" t="str">
            <v>West</v>
          </cell>
          <cell r="M595" t="str">
            <v>With LTS - 2024</v>
          </cell>
          <cell r="N595" t="str">
            <v>YES</v>
          </cell>
          <cell r="O595" t="str">
            <v>YES</v>
          </cell>
          <cell r="P595" t="str">
            <v>Unaffected lots</v>
          </cell>
          <cell r="Q595" t="str">
            <v>YES</v>
          </cell>
          <cell r="R595">
            <v>70</v>
          </cell>
          <cell r="S595" t="str">
            <v>PCS-04-034298</v>
          </cell>
          <cell r="T595" t="str">
            <v>TCT-060-2024021706</v>
          </cell>
          <cell r="U595" t="b">
            <v>1</v>
          </cell>
          <cell r="V595" t="str">
            <v>Done</v>
          </cell>
          <cell r="W595" t="str">
            <v>2024 Batch</v>
          </cell>
          <cell r="X595" t="str">
            <v>2024 Batch</v>
          </cell>
          <cell r="Y595">
            <v>27</v>
          </cell>
          <cell r="Z595">
            <v>14</v>
          </cell>
          <cell r="AA595" t="str">
            <v>H+L</v>
          </cell>
          <cell r="AB595">
            <v>70</v>
          </cell>
          <cell r="AC595">
            <v>50</v>
          </cell>
          <cell r="AD595" t="str">
            <v>Flat</v>
          </cell>
          <cell r="AE595" t="str">
            <v>Duplex</v>
          </cell>
          <cell r="AF595" t="str">
            <v>326 - With Partition</v>
          </cell>
          <cell r="AG595" t="str">
            <v xml:space="preserve">Without Partition </v>
          </cell>
          <cell r="AH595" t="str">
            <v xml:space="preserve">Without Partition </v>
          </cell>
          <cell r="AI595" t="str">
            <v>YELLOW</v>
          </cell>
          <cell r="AJ595" t="str">
            <v>Flat / YELLOW</v>
          </cell>
          <cell r="AK595">
            <v>1050000</v>
          </cell>
          <cell r="AL595">
            <v>15000</v>
          </cell>
          <cell r="AM595">
            <v>1650000</v>
          </cell>
          <cell r="AN595">
            <v>33000</v>
          </cell>
          <cell r="AO595">
            <v>150000</v>
          </cell>
          <cell r="AP595">
            <v>2850000</v>
          </cell>
          <cell r="AQ595"/>
          <cell r="AR595">
            <v>2850000</v>
          </cell>
          <cell r="AS595">
            <v>200000</v>
          </cell>
          <cell r="AT595">
            <v>2650000</v>
          </cell>
          <cell r="AU595">
            <v>100000</v>
          </cell>
          <cell r="AV595">
            <v>2550000</v>
          </cell>
          <cell r="AW595">
            <v>0</v>
          </cell>
          <cell r="AX595">
            <v>2550000</v>
          </cell>
        </row>
        <row r="596">
          <cell r="G596" t="str">
            <v>AGM-01-027-015</v>
          </cell>
          <cell r="H596" t="str">
            <v xml:space="preserve">Raemulan Lands, Inc. </v>
          </cell>
          <cell r="I596" t="str">
            <v>Agapeya</v>
          </cell>
          <cell r="J596" t="str">
            <v>AGM</v>
          </cell>
          <cell r="K596" t="str">
            <v>Eco-High</v>
          </cell>
          <cell r="L596" t="str">
            <v>West</v>
          </cell>
          <cell r="M596" t="str">
            <v>With LTS - 2024</v>
          </cell>
          <cell r="N596" t="str">
            <v>YES</v>
          </cell>
          <cell r="O596" t="str">
            <v>YES</v>
          </cell>
          <cell r="P596" t="str">
            <v>Unaffected lots</v>
          </cell>
          <cell r="Q596" t="str">
            <v>YES</v>
          </cell>
          <cell r="R596">
            <v>70</v>
          </cell>
          <cell r="S596" t="str">
            <v>PCS-04-034298</v>
          </cell>
          <cell r="T596" t="str">
            <v>TCT-060-2024021707</v>
          </cell>
          <cell r="U596" t="b">
            <v>1</v>
          </cell>
          <cell r="V596" t="str">
            <v>Done</v>
          </cell>
          <cell r="W596" t="str">
            <v>2024 Batch</v>
          </cell>
          <cell r="X596" t="str">
            <v>2024 Batch</v>
          </cell>
          <cell r="Y596">
            <v>27</v>
          </cell>
          <cell r="Z596">
            <v>15</v>
          </cell>
          <cell r="AA596" t="str">
            <v>H+L</v>
          </cell>
          <cell r="AB596">
            <v>70</v>
          </cell>
          <cell r="AC596">
            <v>50</v>
          </cell>
          <cell r="AD596" t="str">
            <v>Flat</v>
          </cell>
          <cell r="AE596" t="str">
            <v>Duplex</v>
          </cell>
          <cell r="AF596" t="str">
            <v>326 - With Partition</v>
          </cell>
          <cell r="AG596" t="str">
            <v>With Partition</v>
          </cell>
          <cell r="AH596" t="str">
            <v>With Partition</v>
          </cell>
          <cell r="AI596" t="str">
            <v>GREEN</v>
          </cell>
          <cell r="AJ596" t="str">
            <v>Flat / GREEN</v>
          </cell>
          <cell r="AK596">
            <v>1050000</v>
          </cell>
          <cell r="AL596">
            <v>15000</v>
          </cell>
          <cell r="AM596">
            <v>1650000</v>
          </cell>
          <cell r="AN596">
            <v>33000</v>
          </cell>
          <cell r="AO596">
            <v>150000</v>
          </cell>
          <cell r="AP596">
            <v>2850000</v>
          </cell>
          <cell r="AQ596"/>
          <cell r="AR596">
            <v>2850000</v>
          </cell>
          <cell r="AS596">
            <v>0</v>
          </cell>
          <cell r="AT596">
            <v>2850000</v>
          </cell>
          <cell r="AU596">
            <v>100000</v>
          </cell>
          <cell r="AV596">
            <v>2750000</v>
          </cell>
          <cell r="AW596">
            <v>0</v>
          </cell>
          <cell r="AX596">
            <v>2750000</v>
          </cell>
        </row>
        <row r="597">
          <cell r="G597" t="str">
            <v>AGM-01-027-016</v>
          </cell>
          <cell r="H597" t="str">
            <v xml:space="preserve">Raemulan Lands, Inc. </v>
          </cell>
          <cell r="I597" t="str">
            <v>Agapeya</v>
          </cell>
          <cell r="J597" t="str">
            <v>AGM</v>
          </cell>
          <cell r="K597" t="str">
            <v>Eco-High</v>
          </cell>
          <cell r="L597" t="str">
            <v>West</v>
          </cell>
          <cell r="M597" t="str">
            <v>With LTS - 2024</v>
          </cell>
          <cell r="N597" t="str">
            <v>YES</v>
          </cell>
          <cell r="O597" t="str">
            <v>YES</v>
          </cell>
          <cell r="P597" t="str">
            <v>Unaffected lots</v>
          </cell>
          <cell r="Q597" t="str">
            <v>YES</v>
          </cell>
          <cell r="R597">
            <v>70</v>
          </cell>
          <cell r="S597" t="str">
            <v>PCS-04-034298</v>
          </cell>
          <cell r="T597" t="str">
            <v>TCT-060-2024021708</v>
          </cell>
          <cell r="U597" t="b">
            <v>1</v>
          </cell>
          <cell r="V597" t="str">
            <v>Done</v>
          </cell>
          <cell r="W597" t="str">
            <v>2024 Batch</v>
          </cell>
          <cell r="X597" t="str">
            <v>2024 Batch</v>
          </cell>
          <cell r="Y597">
            <v>27</v>
          </cell>
          <cell r="Z597">
            <v>16</v>
          </cell>
          <cell r="AA597" t="str">
            <v>H+L</v>
          </cell>
          <cell r="AB597">
            <v>70</v>
          </cell>
          <cell r="AC597">
            <v>50</v>
          </cell>
          <cell r="AD597" t="str">
            <v>Slant</v>
          </cell>
          <cell r="AE597" t="str">
            <v>Duplex</v>
          </cell>
          <cell r="AF597" t="str">
            <v>326 - With Partition</v>
          </cell>
          <cell r="AG597" t="str">
            <v>With Partition</v>
          </cell>
          <cell r="AH597" t="str">
            <v>With Partition</v>
          </cell>
          <cell r="AI597" t="str">
            <v>GREEN</v>
          </cell>
          <cell r="AJ597" t="str">
            <v>Slant / GREEN</v>
          </cell>
          <cell r="AK597">
            <v>1050000</v>
          </cell>
          <cell r="AL597">
            <v>15000</v>
          </cell>
          <cell r="AM597">
            <v>1650000</v>
          </cell>
          <cell r="AN597">
            <v>33000</v>
          </cell>
          <cell r="AO597">
            <v>150000</v>
          </cell>
          <cell r="AP597">
            <v>2850000</v>
          </cell>
          <cell r="AQ597"/>
          <cell r="AR597">
            <v>2850000</v>
          </cell>
          <cell r="AS597">
            <v>0</v>
          </cell>
          <cell r="AT597">
            <v>2850000</v>
          </cell>
          <cell r="AU597">
            <v>100000</v>
          </cell>
          <cell r="AV597">
            <v>2750000</v>
          </cell>
          <cell r="AW597">
            <v>0</v>
          </cell>
          <cell r="AX597">
            <v>2750000</v>
          </cell>
        </row>
        <row r="598">
          <cell r="G598" t="str">
            <v>AGM-01-027-017</v>
          </cell>
          <cell r="H598" t="str">
            <v xml:space="preserve">Raemulan Lands, Inc. </v>
          </cell>
          <cell r="I598" t="str">
            <v>Agapeya</v>
          </cell>
          <cell r="J598" t="str">
            <v>AGM</v>
          </cell>
          <cell r="K598" t="str">
            <v>Eco-High</v>
          </cell>
          <cell r="L598" t="str">
            <v>West</v>
          </cell>
          <cell r="M598" t="str">
            <v>With LTS - 2024</v>
          </cell>
          <cell r="N598" t="str">
            <v>YES</v>
          </cell>
          <cell r="O598" t="str">
            <v>YES</v>
          </cell>
          <cell r="P598" t="str">
            <v>Unaffected lots</v>
          </cell>
          <cell r="Q598" t="str">
            <v>YES</v>
          </cell>
          <cell r="R598">
            <v>70</v>
          </cell>
          <cell r="S598" t="str">
            <v>PCS-04-034298</v>
          </cell>
          <cell r="T598" t="str">
            <v>TCT-060-2024021709</v>
          </cell>
          <cell r="U598" t="b">
            <v>1</v>
          </cell>
          <cell r="V598" t="str">
            <v>Done</v>
          </cell>
          <cell r="W598" t="str">
            <v>2024 Batch</v>
          </cell>
          <cell r="X598" t="str">
            <v>2024 Batch</v>
          </cell>
          <cell r="Y598">
            <v>27</v>
          </cell>
          <cell r="Z598">
            <v>17</v>
          </cell>
          <cell r="AA598" t="str">
            <v>H+L</v>
          </cell>
          <cell r="AB598">
            <v>70</v>
          </cell>
          <cell r="AC598">
            <v>50</v>
          </cell>
          <cell r="AD598" t="str">
            <v>Slant</v>
          </cell>
          <cell r="AE598" t="str">
            <v>Duplex</v>
          </cell>
          <cell r="AF598" t="str">
            <v>326 - With Partition</v>
          </cell>
          <cell r="AG598" t="str">
            <v>With Partition</v>
          </cell>
          <cell r="AH598" t="str">
            <v>With Partition</v>
          </cell>
          <cell r="AI598" t="str">
            <v>GREEN</v>
          </cell>
          <cell r="AJ598" t="str">
            <v>Slant / GREEN</v>
          </cell>
          <cell r="AK598">
            <v>1050000</v>
          </cell>
          <cell r="AL598">
            <v>15000</v>
          </cell>
          <cell r="AM598">
            <v>1650000</v>
          </cell>
          <cell r="AN598">
            <v>33000</v>
          </cell>
          <cell r="AO598">
            <v>150000</v>
          </cell>
          <cell r="AP598">
            <v>2850000</v>
          </cell>
          <cell r="AQ598"/>
          <cell r="AR598">
            <v>2850000</v>
          </cell>
          <cell r="AS598">
            <v>0</v>
          </cell>
          <cell r="AT598">
            <v>2850000</v>
          </cell>
          <cell r="AU598">
            <v>100000</v>
          </cell>
          <cell r="AV598">
            <v>2750000</v>
          </cell>
          <cell r="AW598">
            <v>0</v>
          </cell>
          <cell r="AX598">
            <v>2750000</v>
          </cell>
        </row>
        <row r="599">
          <cell r="G599" t="str">
            <v>AGM-01-027-018</v>
          </cell>
          <cell r="H599" t="str">
            <v xml:space="preserve">Raemulan Lands, Inc. </v>
          </cell>
          <cell r="I599" t="str">
            <v>Agapeya</v>
          </cell>
          <cell r="J599" t="str">
            <v>AGM</v>
          </cell>
          <cell r="K599" t="str">
            <v>Eco-High</v>
          </cell>
          <cell r="L599" t="str">
            <v>West</v>
          </cell>
          <cell r="M599" t="str">
            <v>With LTS - 2024</v>
          </cell>
          <cell r="N599" t="str">
            <v>YES</v>
          </cell>
          <cell r="O599" t="str">
            <v>YES</v>
          </cell>
          <cell r="P599" t="str">
            <v>Unaffected lots</v>
          </cell>
          <cell r="Q599" t="str">
            <v>YES</v>
          </cell>
          <cell r="R599">
            <v>70</v>
          </cell>
          <cell r="S599" t="str">
            <v>PCS-04-034298</v>
          </cell>
          <cell r="T599" t="str">
            <v>TCT-060-2024021710</v>
          </cell>
          <cell r="U599" t="b">
            <v>1</v>
          </cell>
          <cell r="V599" t="str">
            <v>Done</v>
          </cell>
          <cell r="W599" t="str">
            <v>2024 Batch</v>
          </cell>
          <cell r="X599" t="str">
            <v>2024 Batch</v>
          </cell>
          <cell r="Y599">
            <v>27</v>
          </cell>
          <cell r="Z599">
            <v>18</v>
          </cell>
          <cell r="AA599" t="str">
            <v>H+L</v>
          </cell>
          <cell r="AB599">
            <v>70</v>
          </cell>
          <cell r="AC599">
            <v>50</v>
          </cell>
          <cell r="AD599" t="str">
            <v>Flat</v>
          </cell>
          <cell r="AE599" t="str">
            <v>Duplex</v>
          </cell>
          <cell r="AF599" t="str">
            <v>326 - With Partition</v>
          </cell>
          <cell r="AG599" t="str">
            <v>With Partition</v>
          </cell>
          <cell r="AH599" t="str">
            <v>With Partition</v>
          </cell>
          <cell r="AI599" t="str">
            <v>GREEN</v>
          </cell>
          <cell r="AJ599" t="str">
            <v>Flat / GREEN</v>
          </cell>
          <cell r="AK599">
            <v>1050000</v>
          </cell>
          <cell r="AL599">
            <v>15000</v>
          </cell>
          <cell r="AM599">
            <v>1650000</v>
          </cell>
          <cell r="AN599">
            <v>33000</v>
          </cell>
          <cell r="AO599">
            <v>150000</v>
          </cell>
          <cell r="AP599">
            <v>2850000</v>
          </cell>
          <cell r="AQ599"/>
          <cell r="AR599">
            <v>2850000</v>
          </cell>
          <cell r="AS599">
            <v>0</v>
          </cell>
          <cell r="AT599">
            <v>2850000</v>
          </cell>
          <cell r="AU599">
            <v>100000</v>
          </cell>
          <cell r="AV599">
            <v>2750000</v>
          </cell>
          <cell r="AW599">
            <v>0</v>
          </cell>
          <cell r="AX599">
            <v>2750000</v>
          </cell>
        </row>
        <row r="600">
          <cell r="G600" t="str">
            <v>AGM-01-027-019</v>
          </cell>
          <cell r="H600" t="str">
            <v xml:space="preserve">Raemulan Lands, Inc. </v>
          </cell>
          <cell r="I600" t="str">
            <v>Agapeya</v>
          </cell>
          <cell r="J600" t="str">
            <v>AGM</v>
          </cell>
          <cell r="K600" t="str">
            <v>Eco-High</v>
          </cell>
          <cell r="L600" t="str">
            <v>West</v>
          </cell>
          <cell r="M600" t="str">
            <v>With LTS - 2024</v>
          </cell>
          <cell r="N600" t="str">
            <v>YES</v>
          </cell>
          <cell r="O600" t="str">
            <v>YES</v>
          </cell>
          <cell r="P600" t="str">
            <v>Unaffected lots</v>
          </cell>
          <cell r="Q600" t="str">
            <v>YES</v>
          </cell>
          <cell r="R600">
            <v>70</v>
          </cell>
          <cell r="S600" t="str">
            <v>PCS-04-034298</v>
          </cell>
          <cell r="T600" t="str">
            <v>TCT-060-2024021711</v>
          </cell>
          <cell r="U600" t="b">
            <v>1</v>
          </cell>
          <cell r="V600" t="str">
            <v>Done</v>
          </cell>
          <cell r="W600" t="str">
            <v>2024 Batch</v>
          </cell>
          <cell r="X600" t="str">
            <v>2024 Batch</v>
          </cell>
          <cell r="Y600">
            <v>27</v>
          </cell>
          <cell r="Z600">
            <v>19</v>
          </cell>
          <cell r="AA600" t="str">
            <v>H+L</v>
          </cell>
          <cell r="AB600">
            <v>70</v>
          </cell>
          <cell r="AC600">
            <v>50</v>
          </cell>
          <cell r="AD600" t="str">
            <v>Flat</v>
          </cell>
          <cell r="AE600" t="str">
            <v>Duplex</v>
          </cell>
          <cell r="AF600" t="str">
            <v>326 - With Partition</v>
          </cell>
          <cell r="AG600" t="str">
            <v>With Partition</v>
          </cell>
          <cell r="AH600" t="str">
            <v>With Partition</v>
          </cell>
          <cell r="AI600" t="str">
            <v>PURPLE</v>
          </cell>
          <cell r="AJ600" t="str">
            <v>Flat / PURPLE</v>
          </cell>
          <cell r="AK600">
            <v>1050000</v>
          </cell>
          <cell r="AL600">
            <v>15000</v>
          </cell>
          <cell r="AM600">
            <v>1650000</v>
          </cell>
          <cell r="AN600">
            <v>33000</v>
          </cell>
          <cell r="AO600">
            <v>150000</v>
          </cell>
          <cell r="AP600">
            <v>2850000</v>
          </cell>
          <cell r="AQ600"/>
          <cell r="AR600">
            <v>2850000</v>
          </cell>
          <cell r="AS600">
            <v>0</v>
          </cell>
          <cell r="AT600">
            <v>2850000</v>
          </cell>
          <cell r="AU600">
            <v>100000</v>
          </cell>
          <cell r="AV600">
            <v>2750000</v>
          </cell>
          <cell r="AW600">
            <v>0</v>
          </cell>
          <cell r="AX600">
            <v>2750000</v>
          </cell>
        </row>
        <row r="601">
          <cell r="G601" t="str">
            <v>AGM-01-027-020</v>
          </cell>
          <cell r="H601" t="str">
            <v xml:space="preserve">Raemulan Lands, Inc. </v>
          </cell>
          <cell r="I601" t="str">
            <v>Agapeya</v>
          </cell>
          <cell r="J601" t="str">
            <v>AGM</v>
          </cell>
          <cell r="K601" t="str">
            <v>Eco-High</v>
          </cell>
          <cell r="L601" t="str">
            <v>West</v>
          </cell>
          <cell r="M601" t="str">
            <v>With LTS - 2024</v>
          </cell>
          <cell r="N601" t="str">
            <v>YES</v>
          </cell>
          <cell r="O601" t="str">
            <v>YES</v>
          </cell>
          <cell r="P601" t="str">
            <v>Unaffected lots</v>
          </cell>
          <cell r="Q601" t="str">
            <v>YES</v>
          </cell>
          <cell r="R601">
            <v>70</v>
          </cell>
          <cell r="S601" t="str">
            <v>PCS-04-034298</v>
          </cell>
          <cell r="T601" t="str">
            <v>TCT-060-2024021712</v>
          </cell>
          <cell r="U601" t="b">
            <v>1</v>
          </cell>
          <cell r="V601" t="str">
            <v>Done</v>
          </cell>
          <cell r="W601" t="str">
            <v>2024 Batch</v>
          </cell>
          <cell r="X601" t="str">
            <v>2024 Batch</v>
          </cell>
          <cell r="Y601">
            <v>27</v>
          </cell>
          <cell r="Z601">
            <v>20</v>
          </cell>
          <cell r="AA601" t="str">
            <v>H+L</v>
          </cell>
          <cell r="AB601">
            <v>70</v>
          </cell>
          <cell r="AC601">
            <v>50</v>
          </cell>
          <cell r="AD601" t="str">
            <v>Slant</v>
          </cell>
          <cell r="AE601" t="str">
            <v>Duplex</v>
          </cell>
          <cell r="AF601" t="str">
            <v>326 - With Partition</v>
          </cell>
          <cell r="AG601" t="str">
            <v>With Partition</v>
          </cell>
          <cell r="AH601" t="str">
            <v>With Partition</v>
          </cell>
          <cell r="AI601" t="str">
            <v>PURPLE</v>
          </cell>
          <cell r="AJ601" t="str">
            <v>Slant / PURPLE</v>
          </cell>
          <cell r="AK601">
            <v>1050000</v>
          </cell>
          <cell r="AL601">
            <v>15000</v>
          </cell>
          <cell r="AM601">
            <v>1650000</v>
          </cell>
          <cell r="AN601">
            <v>33000</v>
          </cell>
          <cell r="AO601">
            <v>150000</v>
          </cell>
          <cell r="AP601">
            <v>2850000</v>
          </cell>
          <cell r="AQ601"/>
          <cell r="AR601">
            <v>2850000</v>
          </cell>
          <cell r="AS601">
            <v>0</v>
          </cell>
          <cell r="AT601">
            <v>2850000</v>
          </cell>
          <cell r="AU601">
            <v>100000</v>
          </cell>
          <cell r="AV601">
            <v>2750000</v>
          </cell>
          <cell r="AW601">
            <v>0</v>
          </cell>
          <cell r="AX601">
            <v>2750000</v>
          </cell>
        </row>
        <row r="602">
          <cell r="G602" t="str">
            <v>AGM-01-027-021</v>
          </cell>
          <cell r="H602" t="str">
            <v xml:space="preserve">Raemulan Lands, Inc. </v>
          </cell>
          <cell r="I602" t="str">
            <v>Agapeya</v>
          </cell>
          <cell r="J602" t="str">
            <v>AGM</v>
          </cell>
          <cell r="K602" t="str">
            <v>Eco-High</v>
          </cell>
          <cell r="L602" t="str">
            <v>West</v>
          </cell>
          <cell r="M602" t="str">
            <v>With LTS - 2024</v>
          </cell>
          <cell r="N602" t="str">
            <v>YES</v>
          </cell>
          <cell r="O602" t="str">
            <v>YES</v>
          </cell>
          <cell r="P602" t="str">
            <v>Unaffected lots</v>
          </cell>
          <cell r="Q602" t="str">
            <v>YES</v>
          </cell>
          <cell r="R602">
            <v>70</v>
          </cell>
          <cell r="S602" t="str">
            <v>PCS-04-034298</v>
          </cell>
          <cell r="T602" t="str">
            <v>TCT-060-2024021713</v>
          </cell>
          <cell r="U602" t="b">
            <v>1</v>
          </cell>
          <cell r="V602" t="str">
            <v>Done</v>
          </cell>
          <cell r="W602" t="str">
            <v>2024 Batch</v>
          </cell>
          <cell r="X602" t="str">
            <v>2024 Batch</v>
          </cell>
          <cell r="Y602">
            <v>27</v>
          </cell>
          <cell r="Z602">
            <v>21</v>
          </cell>
          <cell r="AA602" t="str">
            <v>H+L</v>
          </cell>
          <cell r="AB602">
            <v>70</v>
          </cell>
          <cell r="AC602">
            <v>50</v>
          </cell>
          <cell r="AD602" t="str">
            <v>Slant</v>
          </cell>
          <cell r="AE602" t="str">
            <v>Duplex</v>
          </cell>
          <cell r="AF602" t="str">
            <v>326 - With Partition</v>
          </cell>
          <cell r="AG602" t="str">
            <v>With Partition</v>
          </cell>
          <cell r="AH602" t="str">
            <v>With Partition</v>
          </cell>
          <cell r="AI602" t="str">
            <v>PURPLE</v>
          </cell>
          <cell r="AJ602" t="str">
            <v>Slant / PURPLE</v>
          </cell>
          <cell r="AK602">
            <v>1050000</v>
          </cell>
          <cell r="AL602">
            <v>15000</v>
          </cell>
          <cell r="AM602">
            <v>1650000</v>
          </cell>
          <cell r="AN602">
            <v>33000</v>
          </cell>
          <cell r="AO602">
            <v>150000</v>
          </cell>
          <cell r="AP602">
            <v>2850000</v>
          </cell>
          <cell r="AQ602"/>
          <cell r="AR602">
            <v>2850000</v>
          </cell>
          <cell r="AS602">
            <v>0</v>
          </cell>
          <cell r="AT602">
            <v>2850000</v>
          </cell>
          <cell r="AU602">
            <v>100000</v>
          </cell>
          <cell r="AV602">
            <v>2750000</v>
          </cell>
          <cell r="AW602">
            <v>0</v>
          </cell>
          <cell r="AX602">
            <v>2750000</v>
          </cell>
        </row>
        <row r="603">
          <cell r="G603" t="str">
            <v>AGM-01-027-022</v>
          </cell>
          <cell r="H603" t="str">
            <v xml:space="preserve">Raemulan Lands, Inc. </v>
          </cell>
          <cell r="I603" t="str">
            <v>Agapeya</v>
          </cell>
          <cell r="J603" t="str">
            <v>AGM</v>
          </cell>
          <cell r="K603" t="str">
            <v>Eco-High</v>
          </cell>
          <cell r="L603" t="str">
            <v>West</v>
          </cell>
          <cell r="M603" t="str">
            <v>With LTS - 2024</v>
          </cell>
          <cell r="N603" t="str">
            <v>YES</v>
          </cell>
          <cell r="O603" t="str">
            <v>YES</v>
          </cell>
          <cell r="P603" t="str">
            <v>Unaffected lots</v>
          </cell>
          <cell r="Q603" t="str">
            <v>YES</v>
          </cell>
          <cell r="R603">
            <v>81</v>
          </cell>
          <cell r="S603" t="str">
            <v>PCS-04-034298</v>
          </cell>
          <cell r="T603" t="str">
            <v>TCT-060-2024021714</v>
          </cell>
          <cell r="U603" t="b">
            <v>1</v>
          </cell>
          <cell r="V603" t="str">
            <v>Done</v>
          </cell>
          <cell r="W603" t="str">
            <v>2024 Batch</v>
          </cell>
          <cell r="X603" t="str">
            <v>2024 Batch</v>
          </cell>
          <cell r="Y603">
            <v>27</v>
          </cell>
          <cell r="Z603">
            <v>22</v>
          </cell>
          <cell r="AA603" t="str">
            <v>H+L</v>
          </cell>
          <cell r="AB603">
            <v>81</v>
          </cell>
          <cell r="AC603">
            <v>50</v>
          </cell>
          <cell r="AD603" t="str">
            <v>Flat</v>
          </cell>
          <cell r="AE603" t="str">
            <v>Duplex</v>
          </cell>
          <cell r="AF603" t="str">
            <v>326 - With Partition</v>
          </cell>
          <cell r="AG603" t="str">
            <v>With Partition</v>
          </cell>
          <cell r="AH603" t="str">
            <v>With Partition</v>
          </cell>
          <cell r="AI603" t="str">
            <v>PURPLE</v>
          </cell>
          <cell r="AJ603" t="str">
            <v>Flat / PURPLE</v>
          </cell>
          <cell r="AK603">
            <v>1215000</v>
          </cell>
          <cell r="AL603">
            <v>15000</v>
          </cell>
          <cell r="AM603">
            <v>1650000</v>
          </cell>
          <cell r="AN603">
            <v>33000</v>
          </cell>
          <cell r="AO603">
            <v>150000</v>
          </cell>
          <cell r="AP603">
            <v>3015000</v>
          </cell>
          <cell r="AQ603"/>
          <cell r="AR603">
            <v>3015000</v>
          </cell>
          <cell r="AS603">
            <v>0</v>
          </cell>
          <cell r="AT603">
            <v>3015000</v>
          </cell>
          <cell r="AU603">
            <v>100000</v>
          </cell>
          <cell r="AV603">
            <v>2915000</v>
          </cell>
          <cell r="AW603">
            <v>0</v>
          </cell>
          <cell r="AX603">
            <v>2915000</v>
          </cell>
        </row>
        <row r="604">
          <cell r="G604" t="str">
            <v>AGM-01-027-023</v>
          </cell>
          <cell r="H604" t="str">
            <v xml:space="preserve">Raemulan Lands, Inc. </v>
          </cell>
          <cell r="I604" t="str">
            <v>Agapeya</v>
          </cell>
          <cell r="J604" t="str">
            <v>AGM</v>
          </cell>
          <cell r="K604" t="str">
            <v>Eco-High</v>
          </cell>
          <cell r="L604" t="str">
            <v>West</v>
          </cell>
          <cell r="M604" t="str">
            <v>With LTS - 2024</v>
          </cell>
          <cell r="N604" t="str">
            <v>YES</v>
          </cell>
          <cell r="O604" t="str">
            <v>YES</v>
          </cell>
          <cell r="P604" t="str">
            <v>Unaffected lots</v>
          </cell>
          <cell r="Q604" t="str">
            <v>YES</v>
          </cell>
          <cell r="R604">
            <v>81</v>
          </cell>
          <cell r="S604" t="str">
            <v>PCS-04-034298</v>
          </cell>
          <cell r="T604" t="str">
            <v>TCT-060-2024021715</v>
          </cell>
          <cell r="U604" t="b">
            <v>1</v>
          </cell>
          <cell r="V604" t="str">
            <v>Done</v>
          </cell>
          <cell r="W604" t="str">
            <v>2024 Batch</v>
          </cell>
          <cell r="X604" t="str">
            <v>2024 Batch</v>
          </cell>
          <cell r="Y604">
            <v>27</v>
          </cell>
          <cell r="Z604">
            <v>23</v>
          </cell>
          <cell r="AA604" t="str">
            <v>H+L</v>
          </cell>
          <cell r="AB604">
            <v>81</v>
          </cell>
          <cell r="AC604">
            <v>50</v>
          </cell>
          <cell r="AD604" t="str">
            <v>Slant</v>
          </cell>
          <cell r="AE604" t="str">
            <v>Duplex</v>
          </cell>
          <cell r="AF604" t="str">
            <v>326 - With Partition</v>
          </cell>
          <cell r="AG604" t="str">
            <v>With Partition</v>
          </cell>
          <cell r="AH604" t="str">
            <v>With Partition</v>
          </cell>
          <cell r="AI604" t="str">
            <v>PINK</v>
          </cell>
          <cell r="AJ604" t="str">
            <v>Slant / PINK</v>
          </cell>
          <cell r="AK604">
            <v>1215000</v>
          </cell>
          <cell r="AL604">
            <v>15000</v>
          </cell>
          <cell r="AM604">
            <v>1650000</v>
          </cell>
          <cell r="AN604">
            <v>33000</v>
          </cell>
          <cell r="AO604">
            <v>150000</v>
          </cell>
          <cell r="AP604">
            <v>3015000</v>
          </cell>
          <cell r="AQ604"/>
          <cell r="AR604">
            <v>3015000</v>
          </cell>
          <cell r="AS604">
            <v>0</v>
          </cell>
          <cell r="AT604">
            <v>3015000</v>
          </cell>
          <cell r="AU604">
            <v>100000</v>
          </cell>
          <cell r="AV604">
            <v>2915000</v>
          </cell>
          <cell r="AW604">
            <v>0</v>
          </cell>
          <cell r="AX604">
            <v>2915000</v>
          </cell>
        </row>
        <row r="605">
          <cell r="G605" t="str">
            <v>AGM-01-027-024</v>
          </cell>
          <cell r="H605" t="str">
            <v xml:space="preserve">Raemulan Lands, Inc. </v>
          </cell>
          <cell r="I605" t="str">
            <v>Agapeya</v>
          </cell>
          <cell r="J605" t="str">
            <v>AGM</v>
          </cell>
          <cell r="K605" t="str">
            <v>Eco-High</v>
          </cell>
          <cell r="L605" t="str">
            <v>West</v>
          </cell>
          <cell r="M605" t="str">
            <v>With LTS - 2024</v>
          </cell>
          <cell r="N605" t="str">
            <v>YES</v>
          </cell>
          <cell r="O605" t="str">
            <v>YES</v>
          </cell>
          <cell r="P605" t="str">
            <v>Unaffected lots</v>
          </cell>
          <cell r="Q605" t="str">
            <v>YES</v>
          </cell>
          <cell r="R605">
            <v>70</v>
          </cell>
          <cell r="S605" t="str">
            <v>PCS-04-034298</v>
          </cell>
          <cell r="T605" t="str">
            <v>TCT-060-2024021716</v>
          </cell>
          <cell r="U605" t="b">
            <v>1</v>
          </cell>
          <cell r="V605" t="str">
            <v>Done</v>
          </cell>
          <cell r="W605" t="str">
            <v>2024 Batch</v>
          </cell>
          <cell r="X605" t="str">
            <v>2024 Batch</v>
          </cell>
          <cell r="Y605">
            <v>27</v>
          </cell>
          <cell r="Z605">
            <v>24</v>
          </cell>
          <cell r="AA605" t="str">
            <v>H+L</v>
          </cell>
          <cell r="AB605">
            <v>70</v>
          </cell>
          <cell r="AC605">
            <v>50</v>
          </cell>
          <cell r="AD605" t="str">
            <v>Flat</v>
          </cell>
          <cell r="AE605" t="str">
            <v>Duplex</v>
          </cell>
          <cell r="AF605" t="str">
            <v>326 - With Partition</v>
          </cell>
          <cell r="AG605" t="str">
            <v>With Partition</v>
          </cell>
          <cell r="AH605" t="str">
            <v>With Partition</v>
          </cell>
          <cell r="AI605" t="str">
            <v>PINK</v>
          </cell>
          <cell r="AJ605" t="str">
            <v>Flat / PINK</v>
          </cell>
          <cell r="AK605">
            <v>1050000</v>
          </cell>
          <cell r="AL605">
            <v>15000</v>
          </cell>
          <cell r="AM605">
            <v>1650000</v>
          </cell>
          <cell r="AN605">
            <v>33000</v>
          </cell>
          <cell r="AO605">
            <v>150000</v>
          </cell>
          <cell r="AP605">
            <v>2850000</v>
          </cell>
          <cell r="AQ605"/>
          <cell r="AR605">
            <v>2850000</v>
          </cell>
          <cell r="AS605">
            <v>0</v>
          </cell>
          <cell r="AT605">
            <v>2850000</v>
          </cell>
          <cell r="AU605">
            <v>100000</v>
          </cell>
          <cell r="AV605">
            <v>2750000</v>
          </cell>
          <cell r="AW605">
            <v>0</v>
          </cell>
          <cell r="AX605">
            <v>2750000</v>
          </cell>
        </row>
        <row r="606">
          <cell r="G606" t="str">
            <v>AGM-01-027-025</v>
          </cell>
          <cell r="H606" t="str">
            <v xml:space="preserve">Raemulan Lands, Inc. </v>
          </cell>
          <cell r="I606" t="str">
            <v>Agapeya</v>
          </cell>
          <cell r="J606" t="str">
            <v>AGM</v>
          </cell>
          <cell r="K606" t="str">
            <v>Eco-High</v>
          </cell>
          <cell r="L606" t="str">
            <v>West</v>
          </cell>
          <cell r="M606" t="str">
            <v>With LTS - 2024</v>
          </cell>
          <cell r="N606" t="str">
            <v>YES</v>
          </cell>
          <cell r="O606" t="str">
            <v>YES</v>
          </cell>
          <cell r="P606" t="str">
            <v>Unaffected lots</v>
          </cell>
          <cell r="Q606" t="str">
            <v>YES</v>
          </cell>
          <cell r="R606">
            <v>70</v>
          </cell>
          <cell r="S606" t="str">
            <v>PCS-04-034298</v>
          </cell>
          <cell r="T606" t="str">
            <v>TCT-060-2024021717</v>
          </cell>
          <cell r="U606" t="b">
            <v>1</v>
          </cell>
          <cell r="V606" t="str">
            <v>Done</v>
          </cell>
          <cell r="W606" t="str">
            <v>2024 Batch</v>
          </cell>
          <cell r="X606" t="str">
            <v>2024 Batch</v>
          </cell>
          <cell r="Y606">
            <v>27</v>
          </cell>
          <cell r="Z606">
            <v>25</v>
          </cell>
          <cell r="AA606" t="str">
            <v>H+L</v>
          </cell>
          <cell r="AB606">
            <v>70</v>
          </cell>
          <cell r="AC606">
            <v>50</v>
          </cell>
          <cell r="AD606" t="str">
            <v>Flat</v>
          </cell>
          <cell r="AE606" t="str">
            <v>Duplex</v>
          </cell>
          <cell r="AF606" t="str">
            <v>326 - With Partition</v>
          </cell>
          <cell r="AG606" t="str">
            <v>With Partition</v>
          </cell>
          <cell r="AH606" t="str">
            <v>With Partition</v>
          </cell>
          <cell r="AI606" t="str">
            <v>PINK</v>
          </cell>
          <cell r="AJ606" t="str">
            <v>Flat / PINK</v>
          </cell>
          <cell r="AK606">
            <v>1050000</v>
          </cell>
          <cell r="AL606">
            <v>15000</v>
          </cell>
          <cell r="AM606">
            <v>1650000</v>
          </cell>
          <cell r="AN606">
            <v>33000</v>
          </cell>
          <cell r="AO606">
            <v>150000</v>
          </cell>
          <cell r="AP606">
            <v>2850000</v>
          </cell>
          <cell r="AQ606"/>
          <cell r="AR606">
            <v>2850000</v>
          </cell>
          <cell r="AS606">
            <v>0</v>
          </cell>
          <cell r="AT606">
            <v>2850000</v>
          </cell>
          <cell r="AU606">
            <v>100000</v>
          </cell>
          <cell r="AV606">
            <v>2750000</v>
          </cell>
          <cell r="AW606">
            <v>0</v>
          </cell>
          <cell r="AX606">
            <v>2750000</v>
          </cell>
        </row>
        <row r="607">
          <cell r="G607" t="str">
            <v>AGM-01-027-026</v>
          </cell>
          <cell r="H607" t="str">
            <v xml:space="preserve">Raemulan Lands, Inc. </v>
          </cell>
          <cell r="I607" t="str">
            <v>Agapeya</v>
          </cell>
          <cell r="J607" t="str">
            <v>AGM</v>
          </cell>
          <cell r="K607" t="str">
            <v>Eco-High</v>
          </cell>
          <cell r="L607" t="str">
            <v>West</v>
          </cell>
          <cell r="M607" t="str">
            <v>With LTS - 2024</v>
          </cell>
          <cell r="N607" t="str">
            <v>YES</v>
          </cell>
          <cell r="O607" t="str">
            <v>YES</v>
          </cell>
          <cell r="P607" t="str">
            <v>Unaffected lots</v>
          </cell>
          <cell r="Q607" t="str">
            <v>YES</v>
          </cell>
          <cell r="R607">
            <v>70</v>
          </cell>
          <cell r="S607" t="str">
            <v>PCS-04-034298</v>
          </cell>
          <cell r="T607" t="str">
            <v>TCT-060-2024021718</v>
          </cell>
          <cell r="U607" t="b">
            <v>1</v>
          </cell>
          <cell r="V607" t="str">
            <v>Done</v>
          </cell>
          <cell r="W607" t="str">
            <v>2024 Batch</v>
          </cell>
          <cell r="X607" t="str">
            <v>2024 Batch</v>
          </cell>
          <cell r="Y607">
            <v>27</v>
          </cell>
          <cell r="Z607">
            <v>26</v>
          </cell>
          <cell r="AA607" t="str">
            <v>H+L</v>
          </cell>
          <cell r="AB607">
            <v>70</v>
          </cell>
          <cell r="AC607">
            <v>50</v>
          </cell>
          <cell r="AD607" t="str">
            <v>Slant</v>
          </cell>
          <cell r="AE607" t="str">
            <v>Duplex</v>
          </cell>
          <cell r="AF607" t="str">
            <v>326 - With Partition</v>
          </cell>
          <cell r="AG607" t="str">
            <v>With Partition</v>
          </cell>
          <cell r="AH607" t="str">
            <v>With Partition</v>
          </cell>
          <cell r="AI607" t="str">
            <v>PINK</v>
          </cell>
          <cell r="AJ607" t="str">
            <v>Slant / PINK</v>
          </cell>
          <cell r="AK607">
            <v>1050000</v>
          </cell>
          <cell r="AL607">
            <v>15000</v>
          </cell>
          <cell r="AM607">
            <v>1650000</v>
          </cell>
          <cell r="AN607">
            <v>33000</v>
          </cell>
          <cell r="AO607">
            <v>150000</v>
          </cell>
          <cell r="AP607">
            <v>2850000</v>
          </cell>
          <cell r="AQ607"/>
          <cell r="AR607">
            <v>2850000</v>
          </cell>
          <cell r="AS607">
            <v>0</v>
          </cell>
          <cell r="AT607">
            <v>2850000</v>
          </cell>
          <cell r="AU607">
            <v>100000</v>
          </cell>
          <cell r="AV607">
            <v>2750000</v>
          </cell>
          <cell r="AW607">
            <v>0</v>
          </cell>
          <cell r="AX607">
            <v>2750000</v>
          </cell>
        </row>
        <row r="608">
          <cell r="G608" t="str">
            <v>AGM-01-027-027</v>
          </cell>
          <cell r="H608" t="str">
            <v xml:space="preserve">Raemulan Lands, Inc. </v>
          </cell>
          <cell r="I608" t="str">
            <v>Agapeya</v>
          </cell>
          <cell r="J608" t="str">
            <v>AGM</v>
          </cell>
          <cell r="K608" t="str">
            <v>Eco-High</v>
          </cell>
          <cell r="L608" t="str">
            <v>West</v>
          </cell>
          <cell r="M608" t="str">
            <v>With LTS - 2024</v>
          </cell>
          <cell r="N608" t="str">
            <v>YES</v>
          </cell>
          <cell r="O608" t="str">
            <v>YES</v>
          </cell>
          <cell r="P608" t="str">
            <v>Unaffected lots</v>
          </cell>
          <cell r="Q608" t="str">
            <v>YES</v>
          </cell>
          <cell r="R608">
            <v>70</v>
          </cell>
          <cell r="S608" t="str">
            <v>PCS-04-034298</v>
          </cell>
          <cell r="T608" t="str">
            <v>TCT-060-2024021719</v>
          </cell>
          <cell r="U608" t="b">
            <v>1</v>
          </cell>
          <cell r="V608" t="str">
            <v>Done</v>
          </cell>
          <cell r="W608" t="str">
            <v>2024 Batch</v>
          </cell>
          <cell r="X608" t="str">
            <v>2024 Batch</v>
          </cell>
          <cell r="Y608">
            <v>27</v>
          </cell>
          <cell r="Z608">
            <v>27</v>
          </cell>
          <cell r="AA608" t="str">
            <v>H+L</v>
          </cell>
          <cell r="AB608">
            <v>70</v>
          </cell>
          <cell r="AC608">
            <v>50</v>
          </cell>
          <cell r="AD608" t="str">
            <v>Slant</v>
          </cell>
          <cell r="AE608" t="str">
            <v>Duplex</v>
          </cell>
          <cell r="AF608" t="str">
            <v>326 - With Partition</v>
          </cell>
          <cell r="AG608" t="str">
            <v>With Partition</v>
          </cell>
          <cell r="AH608" t="str">
            <v>With Partition</v>
          </cell>
          <cell r="AI608" t="str">
            <v>PURPLE</v>
          </cell>
          <cell r="AJ608" t="str">
            <v>Slant / PURPLE</v>
          </cell>
          <cell r="AK608">
            <v>1050000</v>
          </cell>
          <cell r="AL608">
            <v>15000</v>
          </cell>
          <cell r="AM608">
            <v>1650000</v>
          </cell>
          <cell r="AN608">
            <v>33000</v>
          </cell>
          <cell r="AO608">
            <v>150000</v>
          </cell>
          <cell r="AP608">
            <v>2850000</v>
          </cell>
          <cell r="AQ608"/>
          <cell r="AR608">
            <v>2850000</v>
          </cell>
          <cell r="AS608">
            <v>0</v>
          </cell>
          <cell r="AT608">
            <v>2850000</v>
          </cell>
          <cell r="AU608">
            <v>100000</v>
          </cell>
          <cell r="AV608">
            <v>2750000</v>
          </cell>
          <cell r="AW608">
            <v>0</v>
          </cell>
          <cell r="AX608">
            <v>2750000</v>
          </cell>
        </row>
        <row r="609">
          <cell r="G609" t="str">
            <v>AGM-01-027-028</v>
          </cell>
          <cell r="H609" t="str">
            <v xml:space="preserve">Raemulan Lands, Inc. </v>
          </cell>
          <cell r="I609" t="str">
            <v>Agapeya</v>
          </cell>
          <cell r="J609" t="str">
            <v>AGM</v>
          </cell>
          <cell r="K609" t="str">
            <v>Eco-High</v>
          </cell>
          <cell r="L609" t="str">
            <v>West</v>
          </cell>
          <cell r="M609" t="str">
            <v>With LTS - 2024</v>
          </cell>
          <cell r="N609" t="str">
            <v>YES</v>
          </cell>
          <cell r="O609" t="str">
            <v>YES</v>
          </cell>
          <cell r="P609" t="str">
            <v>Unaffected lots</v>
          </cell>
          <cell r="Q609" t="str">
            <v>YES</v>
          </cell>
          <cell r="R609">
            <v>70</v>
          </cell>
          <cell r="S609" t="str">
            <v>PCS-04-034298</v>
          </cell>
          <cell r="T609" t="str">
            <v>TCT-060-2024021720</v>
          </cell>
          <cell r="U609" t="b">
            <v>1</v>
          </cell>
          <cell r="V609" t="str">
            <v>Done</v>
          </cell>
          <cell r="W609" t="str">
            <v>2024 Batch</v>
          </cell>
          <cell r="X609" t="str">
            <v>2024 Batch</v>
          </cell>
          <cell r="Y609">
            <v>27</v>
          </cell>
          <cell r="Z609">
            <v>28</v>
          </cell>
          <cell r="AA609" t="str">
            <v>H+L</v>
          </cell>
          <cell r="AB609">
            <v>70</v>
          </cell>
          <cell r="AC609">
            <v>50</v>
          </cell>
          <cell r="AD609" t="str">
            <v>Flat</v>
          </cell>
          <cell r="AE609" t="str">
            <v>Duplex</v>
          </cell>
          <cell r="AF609" t="str">
            <v>326 - With Partition</v>
          </cell>
          <cell r="AG609" t="str">
            <v>With Partition</v>
          </cell>
          <cell r="AH609" t="str">
            <v>With Partition</v>
          </cell>
          <cell r="AI609" t="str">
            <v>PURPLE</v>
          </cell>
          <cell r="AJ609" t="str">
            <v>Flat / PURPLE</v>
          </cell>
          <cell r="AK609">
            <v>1050000</v>
          </cell>
          <cell r="AL609">
            <v>15000</v>
          </cell>
          <cell r="AM609">
            <v>1650000</v>
          </cell>
          <cell r="AN609">
            <v>33000</v>
          </cell>
          <cell r="AO609">
            <v>150000</v>
          </cell>
          <cell r="AP609">
            <v>2850000</v>
          </cell>
          <cell r="AQ609"/>
          <cell r="AR609">
            <v>2850000</v>
          </cell>
          <cell r="AS609">
            <v>0</v>
          </cell>
          <cell r="AT609">
            <v>2850000</v>
          </cell>
          <cell r="AU609">
            <v>100000</v>
          </cell>
          <cell r="AV609">
            <v>2750000</v>
          </cell>
          <cell r="AW609">
            <v>0</v>
          </cell>
          <cell r="AX609">
            <v>2750000</v>
          </cell>
        </row>
        <row r="610">
          <cell r="G610" t="str">
            <v>AGM-01-027-029</v>
          </cell>
          <cell r="H610" t="str">
            <v xml:space="preserve">Raemulan Lands, Inc. </v>
          </cell>
          <cell r="I610" t="str">
            <v>Agapeya</v>
          </cell>
          <cell r="J610" t="str">
            <v>AGM</v>
          </cell>
          <cell r="K610" t="str">
            <v>Eco-High</v>
          </cell>
          <cell r="L610" t="str">
            <v>West</v>
          </cell>
          <cell r="M610" t="str">
            <v>With LTS - 2024</v>
          </cell>
          <cell r="N610" t="str">
            <v>YES</v>
          </cell>
          <cell r="O610" t="str">
            <v>YES</v>
          </cell>
          <cell r="P610" t="str">
            <v>Unaffected lots</v>
          </cell>
          <cell r="Q610" t="str">
            <v>YES</v>
          </cell>
          <cell r="R610">
            <v>70</v>
          </cell>
          <cell r="S610" t="str">
            <v>PCS-04-034298</v>
          </cell>
          <cell r="T610" t="str">
            <v>TCT-060-2024021721</v>
          </cell>
          <cell r="U610" t="b">
            <v>1</v>
          </cell>
          <cell r="V610" t="str">
            <v>Done</v>
          </cell>
          <cell r="W610" t="str">
            <v>2024 Batch</v>
          </cell>
          <cell r="X610" t="str">
            <v>2024 Batch</v>
          </cell>
          <cell r="Y610">
            <v>27</v>
          </cell>
          <cell r="Z610">
            <v>29</v>
          </cell>
          <cell r="AA610" t="str">
            <v>H+L</v>
          </cell>
          <cell r="AB610">
            <v>70</v>
          </cell>
          <cell r="AC610">
            <v>50</v>
          </cell>
          <cell r="AD610" t="str">
            <v>Flat</v>
          </cell>
          <cell r="AE610" t="str">
            <v>Duplex</v>
          </cell>
          <cell r="AF610" t="str">
            <v>326 - With Partition</v>
          </cell>
          <cell r="AG610" t="str">
            <v>With Partition</v>
          </cell>
          <cell r="AH610" t="str">
            <v>With Partition</v>
          </cell>
          <cell r="AI610" t="str">
            <v>PURPLE</v>
          </cell>
          <cell r="AJ610" t="str">
            <v>Flat / PURPLE</v>
          </cell>
          <cell r="AK610">
            <v>1050000</v>
          </cell>
          <cell r="AL610">
            <v>15000</v>
          </cell>
          <cell r="AM610">
            <v>1650000</v>
          </cell>
          <cell r="AN610">
            <v>33000</v>
          </cell>
          <cell r="AO610">
            <v>150000</v>
          </cell>
          <cell r="AP610">
            <v>2850000</v>
          </cell>
          <cell r="AQ610"/>
          <cell r="AR610">
            <v>2850000</v>
          </cell>
          <cell r="AS610">
            <v>0</v>
          </cell>
          <cell r="AT610">
            <v>2850000</v>
          </cell>
          <cell r="AU610">
            <v>100000</v>
          </cell>
          <cell r="AV610">
            <v>2750000</v>
          </cell>
          <cell r="AW610">
            <v>0</v>
          </cell>
          <cell r="AX610">
            <v>2750000</v>
          </cell>
        </row>
        <row r="611">
          <cell r="G611" t="str">
            <v>AGM-01-027-030</v>
          </cell>
          <cell r="H611" t="str">
            <v xml:space="preserve">Raemulan Lands, Inc. </v>
          </cell>
          <cell r="I611" t="str">
            <v>Agapeya</v>
          </cell>
          <cell r="J611" t="str">
            <v>AGM</v>
          </cell>
          <cell r="K611" t="str">
            <v>Eco-High</v>
          </cell>
          <cell r="L611" t="str">
            <v>West</v>
          </cell>
          <cell r="M611" t="str">
            <v>With LTS - 2024</v>
          </cell>
          <cell r="N611" t="str">
            <v>YES</v>
          </cell>
          <cell r="O611" t="str">
            <v>YES</v>
          </cell>
          <cell r="P611" t="str">
            <v>Unaffected lots</v>
          </cell>
          <cell r="Q611" t="str">
            <v>YES</v>
          </cell>
          <cell r="R611">
            <v>70</v>
          </cell>
          <cell r="S611" t="str">
            <v>PCS-04-034298</v>
          </cell>
          <cell r="T611" t="str">
            <v>TCT-060-2024021722</v>
          </cell>
          <cell r="U611" t="b">
            <v>1</v>
          </cell>
          <cell r="V611" t="str">
            <v>Done</v>
          </cell>
          <cell r="W611" t="str">
            <v>2024 Batch</v>
          </cell>
          <cell r="X611" t="str">
            <v>2024 Batch</v>
          </cell>
          <cell r="Y611">
            <v>27</v>
          </cell>
          <cell r="Z611">
            <v>30</v>
          </cell>
          <cell r="AA611" t="str">
            <v>H+L</v>
          </cell>
          <cell r="AB611">
            <v>70</v>
          </cell>
          <cell r="AC611">
            <v>50</v>
          </cell>
          <cell r="AD611" t="str">
            <v>Slant</v>
          </cell>
          <cell r="AE611" t="str">
            <v>Duplex</v>
          </cell>
          <cell r="AF611" t="str">
            <v>326 - With Partition</v>
          </cell>
          <cell r="AG611" t="str">
            <v>With Partition</v>
          </cell>
          <cell r="AH611" t="str">
            <v>With Partition</v>
          </cell>
          <cell r="AI611" t="str">
            <v>PURPLE</v>
          </cell>
          <cell r="AJ611" t="str">
            <v>Slant / PURPLE</v>
          </cell>
          <cell r="AK611">
            <v>1050000</v>
          </cell>
          <cell r="AL611">
            <v>15000</v>
          </cell>
          <cell r="AM611">
            <v>1650000</v>
          </cell>
          <cell r="AN611">
            <v>33000</v>
          </cell>
          <cell r="AO611">
            <v>150000</v>
          </cell>
          <cell r="AP611">
            <v>2850000</v>
          </cell>
          <cell r="AQ611"/>
          <cell r="AR611">
            <v>2850000</v>
          </cell>
          <cell r="AS611">
            <v>0</v>
          </cell>
          <cell r="AT611">
            <v>2850000</v>
          </cell>
          <cell r="AU611">
            <v>100000</v>
          </cell>
          <cell r="AV611">
            <v>2750000</v>
          </cell>
          <cell r="AW611">
            <v>0</v>
          </cell>
          <cell r="AX611">
            <v>2750000</v>
          </cell>
        </row>
        <row r="612">
          <cell r="G612" t="str">
            <v>AGM-01-027-031</v>
          </cell>
          <cell r="H612" t="str">
            <v xml:space="preserve">Raemulan Lands, Inc. </v>
          </cell>
          <cell r="I612" t="str">
            <v>Agapeya</v>
          </cell>
          <cell r="J612" t="str">
            <v>AGM</v>
          </cell>
          <cell r="K612" t="str">
            <v>Eco-High</v>
          </cell>
          <cell r="L612" t="str">
            <v>West</v>
          </cell>
          <cell r="M612" t="str">
            <v>With LTS - 2024</v>
          </cell>
          <cell r="N612" t="str">
            <v>YES</v>
          </cell>
          <cell r="O612" t="str">
            <v>YES</v>
          </cell>
          <cell r="P612" t="str">
            <v>Unaffected lots</v>
          </cell>
          <cell r="Q612" t="str">
            <v>YES</v>
          </cell>
          <cell r="R612">
            <v>70</v>
          </cell>
          <cell r="S612" t="str">
            <v>PCS-04-034298</v>
          </cell>
          <cell r="T612" t="str">
            <v>TCT-060-2024021723</v>
          </cell>
          <cell r="U612" t="b">
            <v>1</v>
          </cell>
          <cell r="V612" t="str">
            <v>Done</v>
          </cell>
          <cell r="W612" t="str">
            <v>2024 Batch</v>
          </cell>
          <cell r="X612" t="str">
            <v>2024 Batch</v>
          </cell>
          <cell r="Y612">
            <v>27</v>
          </cell>
          <cell r="Z612">
            <v>31</v>
          </cell>
          <cell r="AA612" t="str">
            <v>H+L</v>
          </cell>
          <cell r="AB612">
            <v>70</v>
          </cell>
          <cell r="AC612">
            <v>50</v>
          </cell>
          <cell r="AD612" t="str">
            <v>Slant</v>
          </cell>
          <cell r="AE612" t="str">
            <v>Duplex</v>
          </cell>
          <cell r="AF612" t="str">
            <v>326 - With Partition</v>
          </cell>
          <cell r="AG612" t="str">
            <v>With Partition</v>
          </cell>
          <cell r="AH612" t="str">
            <v>With Partition</v>
          </cell>
          <cell r="AI612" t="str">
            <v>GREEN</v>
          </cell>
          <cell r="AJ612" t="str">
            <v>Slant / GREEN</v>
          </cell>
          <cell r="AK612">
            <v>1050000</v>
          </cell>
          <cell r="AL612">
            <v>15000</v>
          </cell>
          <cell r="AM612">
            <v>1650000</v>
          </cell>
          <cell r="AN612">
            <v>33000</v>
          </cell>
          <cell r="AO612">
            <v>150000</v>
          </cell>
          <cell r="AP612">
            <v>2850000</v>
          </cell>
          <cell r="AQ612"/>
          <cell r="AR612">
            <v>2850000</v>
          </cell>
          <cell r="AS612">
            <v>0</v>
          </cell>
          <cell r="AT612">
            <v>2850000</v>
          </cell>
          <cell r="AU612">
            <v>100000</v>
          </cell>
          <cell r="AV612">
            <v>2750000</v>
          </cell>
          <cell r="AW612">
            <v>0</v>
          </cell>
          <cell r="AX612">
            <v>2750000</v>
          </cell>
        </row>
        <row r="613">
          <cell r="G613" t="str">
            <v>AGM-01-027-032</v>
          </cell>
          <cell r="H613" t="str">
            <v xml:space="preserve">Raemulan Lands, Inc. </v>
          </cell>
          <cell r="I613" t="str">
            <v>Agapeya</v>
          </cell>
          <cell r="J613" t="str">
            <v>AGM</v>
          </cell>
          <cell r="K613" t="str">
            <v>Eco-High</v>
          </cell>
          <cell r="L613" t="str">
            <v>West</v>
          </cell>
          <cell r="M613" t="str">
            <v>With LTS - 2024</v>
          </cell>
          <cell r="N613" t="str">
            <v>YES</v>
          </cell>
          <cell r="O613" t="str">
            <v>YES</v>
          </cell>
          <cell r="P613" t="str">
            <v>Unaffected lots</v>
          </cell>
          <cell r="Q613" t="str">
            <v>YES</v>
          </cell>
          <cell r="R613">
            <v>70</v>
          </cell>
          <cell r="S613" t="str">
            <v>PCS-04-034298</v>
          </cell>
          <cell r="T613" t="str">
            <v>TCT-060-2024021724</v>
          </cell>
          <cell r="U613" t="b">
            <v>1</v>
          </cell>
          <cell r="V613" t="str">
            <v>Done</v>
          </cell>
          <cell r="W613" t="str">
            <v>2024 Batch</v>
          </cell>
          <cell r="X613" t="str">
            <v>2024 Batch</v>
          </cell>
          <cell r="Y613">
            <v>27</v>
          </cell>
          <cell r="Z613">
            <v>32</v>
          </cell>
          <cell r="AA613" t="str">
            <v>H+L</v>
          </cell>
          <cell r="AB613">
            <v>70</v>
          </cell>
          <cell r="AC613">
            <v>50</v>
          </cell>
          <cell r="AD613" t="str">
            <v>Flat</v>
          </cell>
          <cell r="AE613" t="str">
            <v>Duplex</v>
          </cell>
          <cell r="AF613" t="str">
            <v>326 - With Partition</v>
          </cell>
          <cell r="AG613" t="str">
            <v>With Partition</v>
          </cell>
          <cell r="AH613" t="str">
            <v>With Partition</v>
          </cell>
          <cell r="AI613" t="str">
            <v>GREEN</v>
          </cell>
          <cell r="AJ613" t="str">
            <v>Flat / GREEN</v>
          </cell>
          <cell r="AK613">
            <v>1050000</v>
          </cell>
          <cell r="AL613">
            <v>15000</v>
          </cell>
          <cell r="AM613">
            <v>1650000</v>
          </cell>
          <cell r="AN613">
            <v>33000</v>
          </cell>
          <cell r="AO613">
            <v>150000</v>
          </cell>
          <cell r="AP613">
            <v>2850000</v>
          </cell>
          <cell r="AQ613"/>
          <cell r="AR613">
            <v>2850000</v>
          </cell>
          <cell r="AS613">
            <v>0</v>
          </cell>
          <cell r="AT613">
            <v>2850000</v>
          </cell>
          <cell r="AU613">
            <v>100000</v>
          </cell>
          <cell r="AV613">
            <v>2750000</v>
          </cell>
          <cell r="AW613">
            <v>0</v>
          </cell>
          <cell r="AX613">
            <v>2750000</v>
          </cell>
        </row>
        <row r="614">
          <cell r="G614" t="str">
            <v>AGM-01-027-033</v>
          </cell>
          <cell r="H614" t="str">
            <v xml:space="preserve">Raemulan Lands, Inc. </v>
          </cell>
          <cell r="I614" t="str">
            <v>Agapeya</v>
          </cell>
          <cell r="J614" t="str">
            <v>AGM</v>
          </cell>
          <cell r="K614" t="str">
            <v>Eco-High</v>
          </cell>
          <cell r="L614" t="str">
            <v>West</v>
          </cell>
          <cell r="M614" t="str">
            <v>With LTS - 2024</v>
          </cell>
          <cell r="N614" t="str">
            <v>YES</v>
          </cell>
          <cell r="O614" t="str">
            <v>YES</v>
          </cell>
          <cell r="P614" t="str">
            <v>Unaffected lots</v>
          </cell>
          <cell r="Q614" t="str">
            <v>YES</v>
          </cell>
          <cell r="R614">
            <v>70</v>
          </cell>
          <cell r="S614" t="str">
            <v>PCS-04-034298</v>
          </cell>
          <cell r="T614" t="str">
            <v>TCT-060-2024021725</v>
          </cell>
          <cell r="U614" t="b">
            <v>1</v>
          </cell>
          <cell r="V614" t="str">
            <v>Done</v>
          </cell>
          <cell r="W614" t="str">
            <v>2024 Batch</v>
          </cell>
          <cell r="X614" t="str">
            <v>2024 Batch</v>
          </cell>
          <cell r="Y614">
            <v>27</v>
          </cell>
          <cell r="Z614">
            <v>33</v>
          </cell>
          <cell r="AA614" t="str">
            <v>H+L</v>
          </cell>
          <cell r="AB614">
            <v>70</v>
          </cell>
          <cell r="AC614">
            <v>50</v>
          </cell>
          <cell r="AD614" t="str">
            <v>Flat</v>
          </cell>
          <cell r="AE614" t="str">
            <v>Duplex</v>
          </cell>
          <cell r="AF614" t="str">
            <v>326 - With Partition</v>
          </cell>
          <cell r="AG614" t="str">
            <v>With Partition</v>
          </cell>
          <cell r="AH614" t="str">
            <v>With Partition</v>
          </cell>
          <cell r="AI614" t="str">
            <v>GREEN</v>
          </cell>
          <cell r="AJ614" t="str">
            <v>Flat / GREEN</v>
          </cell>
          <cell r="AK614">
            <v>1050000</v>
          </cell>
          <cell r="AL614">
            <v>15000</v>
          </cell>
          <cell r="AM614">
            <v>1650000</v>
          </cell>
          <cell r="AN614">
            <v>33000</v>
          </cell>
          <cell r="AO614">
            <v>150000</v>
          </cell>
          <cell r="AP614">
            <v>2850000</v>
          </cell>
          <cell r="AQ614"/>
          <cell r="AR614">
            <v>2850000</v>
          </cell>
          <cell r="AS614">
            <v>0</v>
          </cell>
          <cell r="AT614">
            <v>2850000</v>
          </cell>
          <cell r="AU614">
            <v>100000</v>
          </cell>
          <cell r="AV614">
            <v>2750000</v>
          </cell>
          <cell r="AW614">
            <v>0</v>
          </cell>
          <cell r="AX614">
            <v>2750000</v>
          </cell>
        </row>
        <row r="615">
          <cell r="G615" t="str">
            <v>AGM-01-027-034</v>
          </cell>
          <cell r="H615" t="str">
            <v xml:space="preserve">Raemulan Lands, Inc. </v>
          </cell>
          <cell r="I615" t="str">
            <v>Agapeya</v>
          </cell>
          <cell r="J615" t="str">
            <v>AGM</v>
          </cell>
          <cell r="K615" t="str">
            <v>Eco-High</v>
          </cell>
          <cell r="L615" t="str">
            <v>West</v>
          </cell>
          <cell r="M615" t="str">
            <v>With LTS - 2024</v>
          </cell>
          <cell r="N615" t="str">
            <v>YES</v>
          </cell>
          <cell r="O615" t="str">
            <v>YES</v>
          </cell>
          <cell r="P615" t="str">
            <v>Unaffected lots</v>
          </cell>
          <cell r="Q615" t="str">
            <v>YES</v>
          </cell>
          <cell r="R615">
            <v>70</v>
          </cell>
          <cell r="S615" t="str">
            <v>PCS-04-034298</v>
          </cell>
          <cell r="T615" t="str">
            <v>TCT-060-2024021726</v>
          </cell>
          <cell r="U615" t="b">
            <v>1</v>
          </cell>
          <cell r="V615" t="str">
            <v>Done</v>
          </cell>
          <cell r="W615" t="str">
            <v>2024 Batch</v>
          </cell>
          <cell r="X615" t="str">
            <v>2024 Batch</v>
          </cell>
          <cell r="Y615">
            <v>27</v>
          </cell>
          <cell r="Z615">
            <v>34</v>
          </cell>
          <cell r="AA615" t="str">
            <v>H+L</v>
          </cell>
          <cell r="AB615">
            <v>70</v>
          </cell>
          <cell r="AC615">
            <v>50</v>
          </cell>
          <cell r="AD615" t="str">
            <v>Slant</v>
          </cell>
          <cell r="AE615" t="str">
            <v>Duplex</v>
          </cell>
          <cell r="AF615" t="str">
            <v>326 - With Partition</v>
          </cell>
          <cell r="AG615" t="str">
            <v>With Partition</v>
          </cell>
          <cell r="AH615" t="str">
            <v>With Partition</v>
          </cell>
          <cell r="AI615" t="str">
            <v>GREEN</v>
          </cell>
          <cell r="AJ615" t="str">
            <v>Slant / GREEN</v>
          </cell>
          <cell r="AK615">
            <v>1050000</v>
          </cell>
          <cell r="AL615">
            <v>15000</v>
          </cell>
          <cell r="AM615">
            <v>1650000</v>
          </cell>
          <cell r="AN615">
            <v>33000</v>
          </cell>
          <cell r="AO615">
            <v>150000</v>
          </cell>
          <cell r="AP615">
            <v>2850000</v>
          </cell>
          <cell r="AQ615"/>
          <cell r="AR615">
            <v>2850000</v>
          </cell>
          <cell r="AS615">
            <v>0</v>
          </cell>
          <cell r="AT615">
            <v>2850000</v>
          </cell>
          <cell r="AU615">
            <v>100000</v>
          </cell>
          <cell r="AV615">
            <v>2750000</v>
          </cell>
          <cell r="AW615">
            <v>0</v>
          </cell>
          <cell r="AX615">
            <v>2750000</v>
          </cell>
        </row>
        <row r="616">
          <cell r="G616" t="str">
            <v>AGM-01-027-035</v>
          </cell>
          <cell r="H616" t="str">
            <v xml:space="preserve">Raemulan Lands, Inc. </v>
          </cell>
          <cell r="I616" t="str">
            <v>Agapeya</v>
          </cell>
          <cell r="J616" t="str">
            <v>AGM</v>
          </cell>
          <cell r="K616" t="str">
            <v>Eco-High</v>
          </cell>
          <cell r="L616" t="str">
            <v>West</v>
          </cell>
          <cell r="M616" t="str">
            <v>With LTS - 2024</v>
          </cell>
          <cell r="N616" t="str">
            <v>YES</v>
          </cell>
          <cell r="O616" t="str">
            <v>YES</v>
          </cell>
          <cell r="P616" t="str">
            <v>Unaffected lots</v>
          </cell>
          <cell r="Q616" t="str">
            <v>YES</v>
          </cell>
          <cell r="R616">
            <v>70</v>
          </cell>
          <cell r="S616" t="str">
            <v>PCS-04-034298</v>
          </cell>
          <cell r="T616" t="str">
            <v>TCT-060-2024021727</v>
          </cell>
          <cell r="U616" t="b">
            <v>1</v>
          </cell>
          <cell r="V616" t="str">
            <v>Done</v>
          </cell>
          <cell r="W616" t="str">
            <v>2024 Batch</v>
          </cell>
          <cell r="X616" t="str">
            <v>2024 Batch</v>
          </cell>
          <cell r="Y616">
            <v>27</v>
          </cell>
          <cell r="Z616">
            <v>35</v>
          </cell>
          <cell r="AA616" t="str">
            <v>H+L</v>
          </cell>
          <cell r="AB616">
            <v>70</v>
          </cell>
          <cell r="AC616">
            <v>50</v>
          </cell>
          <cell r="AD616" t="str">
            <v>Slant</v>
          </cell>
          <cell r="AE616" t="str">
            <v>Duplex</v>
          </cell>
          <cell r="AF616" t="str">
            <v>326 - With Partition</v>
          </cell>
          <cell r="AG616" t="str">
            <v>With Partition</v>
          </cell>
          <cell r="AH616" t="str">
            <v>With Partition</v>
          </cell>
          <cell r="AI616" t="str">
            <v>YELLOW</v>
          </cell>
          <cell r="AJ616" t="str">
            <v>Slant / YELLOW</v>
          </cell>
          <cell r="AK616">
            <v>1050000</v>
          </cell>
          <cell r="AL616">
            <v>15000</v>
          </cell>
          <cell r="AM616">
            <v>1650000</v>
          </cell>
          <cell r="AN616">
            <v>33000</v>
          </cell>
          <cell r="AO616">
            <v>150000</v>
          </cell>
          <cell r="AP616">
            <v>2850000</v>
          </cell>
          <cell r="AQ616"/>
          <cell r="AR616">
            <v>2850000</v>
          </cell>
          <cell r="AS616">
            <v>0</v>
          </cell>
          <cell r="AT616">
            <v>2850000</v>
          </cell>
          <cell r="AU616">
            <v>100000</v>
          </cell>
          <cell r="AV616">
            <v>2750000</v>
          </cell>
          <cell r="AW616">
            <v>0</v>
          </cell>
          <cell r="AX616">
            <v>2750000</v>
          </cell>
        </row>
        <row r="617">
          <cell r="G617" t="str">
            <v>AGM-01-027-036</v>
          </cell>
          <cell r="H617" t="str">
            <v xml:space="preserve">Raemulan Lands, Inc. </v>
          </cell>
          <cell r="I617" t="str">
            <v>Agapeya</v>
          </cell>
          <cell r="J617" t="str">
            <v>AGM</v>
          </cell>
          <cell r="K617" t="str">
            <v>Eco-High</v>
          </cell>
          <cell r="L617" t="str">
            <v>West</v>
          </cell>
          <cell r="M617" t="str">
            <v>With LTS - 2024</v>
          </cell>
          <cell r="N617" t="str">
            <v>YES</v>
          </cell>
          <cell r="O617" t="str">
            <v>YES</v>
          </cell>
          <cell r="P617" t="str">
            <v>Unaffected lots</v>
          </cell>
          <cell r="Q617" t="str">
            <v>YES</v>
          </cell>
          <cell r="R617">
            <v>70</v>
          </cell>
          <cell r="S617" t="str">
            <v>PCS-04-034298</v>
          </cell>
          <cell r="T617" t="str">
            <v>TCT-060-2024021728</v>
          </cell>
          <cell r="U617" t="b">
            <v>1</v>
          </cell>
          <cell r="V617" t="str">
            <v>Done</v>
          </cell>
          <cell r="W617" t="str">
            <v>2024 Batch</v>
          </cell>
          <cell r="X617" t="str">
            <v>2024 Batch</v>
          </cell>
          <cell r="Y617">
            <v>27</v>
          </cell>
          <cell r="Z617">
            <v>36</v>
          </cell>
          <cell r="AA617" t="str">
            <v>H+L</v>
          </cell>
          <cell r="AB617">
            <v>70</v>
          </cell>
          <cell r="AC617">
            <v>50</v>
          </cell>
          <cell r="AD617" t="str">
            <v>Flat</v>
          </cell>
          <cell r="AE617" t="str">
            <v>Duplex</v>
          </cell>
          <cell r="AF617" t="str">
            <v>326 - With Partition</v>
          </cell>
          <cell r="AG617" t="str">
            <v>With Partition</v>
          </cell>
          <cell r="AH617" t="str">
            <v>With Partition</v>
          </cell>
          <cell r="AI617" t="str">
            <v>YELLOW</v>
          </cell>
          <cell r="AJ617" t="str">
            <v>Flat / YELLOW</v>
          </cell>
          <cell r="AK617">
            <v>1050000</v>
          </cell>
          <cell r="AL617">
            <v>15000</v>
          </cell>
          <cell r="AM617">
            <v>1650000</v>
          </cell>
          <cell r="AN617">
            <v>33000</v>
          </cell>
          <cell r="AO617">
            <v>150000</v>
          </cell>
          <cell r="AP617">
            <v>2850000</v>
          </cell>
          <cell r="AQ617"/>
          <cell r="AR617">
            <v>2850000</v>
          </cell>
          <cell r="AS617">
            <v>0</v>
          </cell>
          <cell r="AT617">
            <v>2850000</v>
          </cell>
          <cell r="AU617">
            <v>100000</v>
          </cell>
          <cell r="AV617">
            <v>2750000</v>
          </cell>
          <cell r="AW617">
            <v>0</v>
          </cell>
          <cell r="AX617">
            <v>2750000</v>
          </cell>
        </row>
        <row r="618">
          <cell r="G618" t="str">
            <v>AGM-01-027-037</v>
          </cell>
          <cell r="H618" t="str">
            <v xml:space="preserve">Raemulan Lands, Inc. </v>
          </cell>
          <cell r="I618" t="str">
            <v>Agapeya</v>
          </cell>
          <cell r="J618" t="str">
            <v>AGM</v>
          </cell>
          <cell r="K618" t="str">
            <v>Eco-High</v>
          </cell>
          <cell r="L618" t="str">
            <v>West</v>
          </cell>
          <cell r="M618" t="str">
            <v>With LTS - 2024</v>
          </cell>
          <cell r="N618" t="str">
            <v>YES</v>
          </cell>
          <cell r="O618" t="str">
            <v>YES</v>
          </cell>
          <cell r="P618" t="str">
            <v>Unaffected lots</v>
          </cell>
          <cell r="Q618" t="str">
            <v>YES</v>
          </cell>
          <cell r="R618">
            <v>70</v>
          </cell>
          <cell r="S618" t="str">
            <v>PCS-04-034298</v>
          </cell>
          <cell r="T618" t="str">
            <v>TCT-060-2024021729</v>
          </cell>
          <cell r="U618" t="b">
            <v>1</v>
          </cell>
          <cell r="V618" t="str">
            <v>Done</v>
          </cell>
          <cell r="W618" t="str">
            <v>2024 Batch</v>
          </cell>
          <cell r="X618" t="str">
            <v>2024 Batch</v>
          </cell>
          <cell r="Y618">
            <v>27</v>
          </cell>
          <cell r="Z618">
            <v>37</v>
          </cell>
          <cell r="AA618" t="str">
            <v>H+L</v>
          </cell>
          <cell r="AB618">
            <v>70</v>
          </cell>
          <cell r="AC618">
            <v>50</v>
          </cell>
          <cell r="AD618" t="str">
            <v>Flat</v>
          </cell>
          <cell r="AE618" t="str">
            <v>Duplex</v>
          </cell>
          <cell r="AF618" t="str">
            <v>326 - With Partition</v>
          </cell>
          <cell r="AG618" t="str">
            <v>With Partition</v>
          </cell>
          <cell r="AH618" t="str">
            <v>With Partition</v>
          </cell>
          <cell r="AI618" t="str">
            <v>YELLOW</v>
          </cell>
          <cell r="AJ618" t="str">
            <v>Flat / YELLOW</v>
          </cell>
          <cell r="AK618">
            <v>1050000</v>
          </cell>
          <cell r="AL618">
            <v>15000</v>
          </cell>
          <cell r="AM618">
            <v>1650000</v>
          </cell>
          <cell r="AN618">
            <v>33000</v>
          </cell>
          <cell r="AO618">
            <v>150000</v>
          </cell>
          <cell r="AP618">
            <v>2850000</v>
          </cell>
          <cell r="AQ618"/>
          <cell r="AR618">
            <v>2850000</v>
          </cell>
          <cell r="AS618">
            <v>0</v>
          </cell>
          <cell r="AT618">
            <v>2850000</v>
          </cell>
          <cell r="AU618">
            <v>100000</v>
          </cell>
          <cell r="AV618">
            <v>2750000</v>
          </cell>
          <cell r="AW618">
            <v>0</v>
          </cell>
          <cell r="AX618">
            <v>2750000</v>
          </cell>
        </row>
        <row r="619">
          <cell r="G619" t="str">
            <v>AGM-01-027-038</v>
          </cell>
          <cell r="H619" t="str">
            <v xml:space="preserve">Raemulan Lands, Inc. </v>
          </cell>
          <cell r="I619" t="str">
            <v>Agapeya</v>
          </cell>
          <cell r="J619" t="str">
            <v>AGM</v>
          </cell>
          <cell r="K619" t="str">
            <v>Eco-High</v>
          </cell>
          <cell r="L619" t="str">
            <v>West</v>
          </cell>
          <cell r="M619" t="str">
            <v>With LTS - 2024</v>
          </cell>
          <cell r="N619" t="str">
            <v>YES</v>
          </cell>
          <cell r="O619" t="str">
            <v>YES</v>
          </cell>
          <cell r="P619" t="str">
            <v>Unaffected lots</v>
          </cell>
          <cell r="Q619" t="str">
            <v>YES</v>
          </cell>
          <cell r="R619">
            <v>70</v>
          </cell>
          <cell r="S619" t="str">
            <v>PCS-04-034298</v>
          </cell>
          <cell r="T619" t="str">
            <v>TCT-060-2024021730</v>
          </cell>
          <cell r="U619" t="b">
            <v>1</v>
          </cell>
          <cell r="V619" t="str">
            <v>Done</v>
          </cell>
          <cell r="W619" t="str">
            <v>2024 Batch</v>
          </cell>
          <cell r="X619" t="str">
            <v>2024 Batch</v>
          </cell>
          <cell r="Y619">
            <v>27</v>
          </cell>
          <cell r="Z619">
            <v>38</v>
          </cell>
          <cell r="AA619" t="str">
            <v>H+L</v>
          </cell>
          <cell r="AB619">
            <v>70</v>
          </cell>
          <cell r="AC619">
            <v>50</v>
          </cell>
          <cell r="AD619" t="str">
            <v>Slant</v>
          </cell>
          <cell r="AE619" t="str">
            <v>Duplex</v>
          </cell>
          <cell r="AF619" t="str">
            <v>326 - With Partition</v>
          </cell>
          <cell r="AG619" t="str">
            <v xml:space="preserve">Without Partition </v>
          </cell>
          <cell r="AH619" t="str">
            <v xml:space="preserve">Without Partition </v>
          </cell>
          <cell r="AI619" t="str">
            <v>YELLOW</v>
          </cell>
          <cell r="AJ619" t="str">
            <v>Slant / YELLOW</v>
          </cell>
          <cell r="AK619">
            <v>1050000</v>
          </cell>
          <cell r="AL619">
            <v>15000</v>
          </cell>
          <cell r="AM619">
            <v>1650000</v>
          </cell>
          <cell r="AN619">
            <v>33000</v>
          </cell>
          <cell r="AO619">
            <v>150000</v>
          </cell>
          <cell r="AP619">
            <v>2850000</v>
          </cell>
          <cell r="AQ619"/>
          <cell r="AR619">
            <v>2850000</v>
          </cell>
          <cell r="AS619">
            <v>200000</v>
          </cell>
          <cell r="AT619">
            <v>2650000</v>
          </cell>
          <cell r="AU619">
            <v>100000</v>
          </cell>
          <cell r="AV619">
            <v>2550000</v>
          </cell>
          <cell r="AW619">
            <v>0</v>
          </cell>
          <cell r="AX619">
            <v>2550000</v>
          </cell>
        </row>
        <row r="620">
          <cell r="G620" t="str">
            <v>AGM-01-027-039</v>
          </cell>
          <cell r="H620" t="str">
            <v xml:space="preserve">Raemulan Lands, Inc. </v>
          </cell>
          <cell r="I620" t="str">
            <v>Agapeya</v>
          </cell>
          <cell r="J620" t="str">
            <v>AGM</v>
          </cell>
          <cell r="K620" t="str">
            <v>Eco-High</v>
          </cell>
          <cell r="L620" t="str">
            <v>West</v>
          </cell>
          <cell r="M620" t="str">
            <v>With LTS - 2024</v>
          </cell>
          <cell r="N620" t="str">
            <v>YES</v>
          </cell>
          <cell r="O620" t="str">
            <v>YES</v>
          </cell>
          <cell r="P620" t="str">
            <v>Unaffected lots</v>
          </cell>
          <cell r="Q620" t="str">
            <v>YES</v>
          </cell>
          <cell r="R620">
            <v>80</v>
          </cell>
          <cell r="S620" t="str">
            <v>PCS-04-034298</v>
          </cell>
          <cell r="T620" t="str">
            <v>TCT-060-2024021731</v>
          </cell>
          <cell r="U620" t="b">
            <v>1</v>
          </cell>
          <cell r="V620" t="str">
            <v>Done</v>
          </cell>
          <cell r="W620" t="str">
            <v>2024 Batch</v>
          </cell>
          <cell r="X620" t="str">
            <v>2024 Batch</v>
          </cell>
          <cell r="Y620">
            <v>27</v>
          </cell>
          <cell r="Z620">
            <v>39</v>
          </cell>
          <cell r="AA620" t="str">
            <v>H+L</v>
          </cell>
          <cell r="AB620">
            <v>80</v>
          </cell>
          <cell r="AC620">
            <v>50</v>
          </cell>
          <cell r="AD620" t="str">
            <v>Slant</v>
          </cell>
          <cell r="AE620" t="str">
            <v>Duplex</v>
          </cell>
          <cell r="AF620" t="str">
            <v>326 - With Partition</v>
          </cell>
          <cell r="AG620" t="str">
            <v xml:space="preserve">Without Partition </v>
          </cell>
          <cell r="AH620" t="str">
            <v xml:space="preserve">Without Partition </v>
          </cell>
          <cell r="AI620" t="str">
            <v>PINK</v>
          </cell>
          <cell r="AJ620" t="str">
            <v>Slant / PINK</v>
          </cell>
          <cell r="AK620">
            <v>1200000</v>
          </cell>
          <cell r="AL620">
            <v>15000</v>
          </cell>
          <cell r="AM620">
            <v>1650000</v>
          </cell>
          <cell r="AN620">
            <v>33000</v>
          </cell>
          <cell r="AO620">
            <v>150000</v>
          </cell>
          <cell r="AP620">
            <v>3000000</v>
          </cell>
          <cell r="AQ620"/>
          <cell r="AR620">
            <v>3000000</v>
          </cell>
          <cell r="AS620">
            <v>200000</v>
          </cell>
          <cell r="AT620">
            <v>2800000</v>
          </cell>
          <cell r="AU620">
            <v>100000</v>
          </cell>
          <cell r="AV620">
            <v>2700000</v>
          </cell>
          <cell r="AW620">
            <v>0</v>
          </cell>
          <cell r="AX620">
            <v>2700000</v>
          </cell>
        </row>
        <row r="621">
          <cell r="G621" t="str">
            <v>AGM-01-027-040</v>
          </cell>
          <cell r="H621" t="str">
            <v xml:space="preserve">Raemulan Lands, Inc. </v>
          </cell>
          <cell r="I621" t="str">
            <v>Agapeya</v>
          </cell>
          <cell r="J621" t="str">
            <v>AGM</v>
          </cell>
          <cell r="K621" t="str">
            <v>Eco-High</v>
          </cell>
          <cell r="L621" t="str">
            <v>West</v>
          </cell>
          <cell r="M621" t="str">
            <v>With LTS - 2024</v>
          </cell>
          <cell r="N621" t="str">
            <v>YES</v>
          </cell>
          <cell r="O621" t="str">
            <v>YES</v>
          </cell>
          <cell r="P621" t="str">
            <v>Unaffected lots</v>
          </cell>
          <cell r="Q621" t="str">
            <v>YES</v>
          </cell>
          <cell r="R621">
            <v>80</v>
          </cell>
          <cell r="S621" t="str">
            <v>PCS-04-034298</v>
          </cell>
          <cell r="T621" t="str">
            <v>TCT-060-2024021732</v>
          </cell>
          <cell r="U621" t="b">
            <v>1</v>
          </cell>
          <cell r="V621" t="str">
            <v>Done</v>
          </cell>
          <cell r="W621" t="str">
            <v>2024 Batch</v>
          </cell>
          <cell r="X621" t="str">
            <v>2024 Batch</v>
          </cell>
          <cell r="Y621">
            <v>27</v>
          </cell>
          <cell r="Z621">
            <v>40</v>
          </cell>
          <cell r="AA621" t="str">
            <v>H+L</v>
          </cell>
          <cell r="AB621">
            <v>80</v>
          </cell>
          <cell r="AC621">
            <v>50</v>
          </cell>
          <cell r="AD621" t="str">
            <v>Flat</v>
          </cell>
          <cell r="AE621" t="str">
            <v>Duplex</v>
          </cell>
          <cell r="AF621" t="str">
            <v>326 - With Partition</v>
          </cell>
          <cell r="AG621" t="str">
            <v xml:space="preserve">Without Partition </v>
          </cell>
          <cell r="AH621" t="str">
            <v xml:space="preserve">Without Partition </v>
          </cell>
          <cell r="AI621" t="str">
            <v>PINK</v>
          </cell>
          <cell r="AJ621" t="str">
            <v>Flat / PINK</v>
          </cell>
          <cell r="AK621">
            <v>1200000</v>
          </cell>
          <cell r="AL621">
            <v>15000</v>
          </cell>
          <cell r="AM621">
            <v>1650000</v>
          </cell>
          <cell r="AN621">
            <v>33000</v>
          </cell>
          <cell r="AO621">
            <v>150000</v>
          </cell>
          <cell r="AP621">
            <v>3000000</v>
          </cell>
          <cell r="AQ621"/>
          <cell r="AR621">
            <v>3000000</v>
          </cell>
          <cell r="AS621">
            <v>200000</v>
          </cell>
          <cell r="AT621">
            <v>2800000</v>
          </cell>
          <cell r="AU621">
            <v>100000</v>
          </cell>
          <cell r="AV621">
            <v>2700000</v>
          </cell>
          <cell r="AW621">
            <v>0</v>
          </cell>
          <cell r="AX621">
            <v>2700000</v>
          </cell>
        </row>
        <row r="622">
          <cell r="G622" t="str">
            <v>AGM-01-027-041</v>
          </cell>
          <cell r="H622" t="str">
            <v xml:space="preserve">Raemulan Lands, Inc. </v>
          </cell>
          <cell r="I622" t="str">
            <v>Agapeya</v>
          </cell>
          <cell r="J622" t="str">
            <v>AGM</v>
          </cell>
          <cell r="K622" t="str">
            <v>Eco-High</v>
          </cell>
          <cell r="L622" t="str">
            <v>West</v>
          </cell>
          <cell r="M622" t="str">
            <v>With LTS - 2024</v>
          </cell>
          <cell r="N622" t="str">
            <v>YES</v>
          </cell>
          <cell r="O622" t="str">
            <v>YES</v>
          </cell>
          <cell r="P622" t="str">
            <v>Unaffected lots</v>
          </cell>
          <cell r="Q622" t="str">
            <v>YES</v>
          </cell>
          <cell r="R622">
            <v>80</v>
          </cell>
          <cell r="S622" t="str">
            <v>PCS-04-034298</v>
          </cell>
          <cell r="T622" t="str">
            <v>TCT-060-2024021733</v>
          </cell>
          <cell r="U622" t="b">
            <v>1</v>
          </cell>
          <cell r="V622" t="str">
            <v>Done</v>
          </cell>
          <cell r="W622" t="str">
            <v>2024 Batch</v>
          </cell>
          <cell r="X622" t="str">
            <v>2024 Batch</v>
          </cell>
          <cell r="Y622">
            <v>27</v>
          </cell>
          <cell r="Z622">
            <v>41</v>
          </cell>
          <cell r="AA622" t="str">
            <v>H+L</v>
          </cell>
          <cell r="AB622">
            <v>80</v>
          </cell>
          <cell r="AC622">
            <v>50</v>
          </cell>
          <cell r="AD622" t="str">
            <v>Flat</v>
          </cell>
          <cell r="AE622" t="str">
            <v>Duplex</v>
          </cell>
          <cell r="AF622" t="str">
            <v>326 - With Partition</v>
          </cell>
          <cell r="AG622" t="str">
            <v xml:space="preserve">Without Partition </v>
          </cell>
          <cell r="AH622" t="str">
            <v xml:space="preserve">Without Partition </v>
          </cell>
          <cell r="AI622" t="str">
            <v>PINK</v>
          </cell>
          <cell r="AJ622" t="str">
            <v>Flat / PINK</v>
          </cell>
          <cell r="AK622">
            <v>1200000</v>
          </cell>
          <cell r="AL622">
            <v>15000</v>
          </cell>
          <cell r="AM622">
            <v>1650000</v>
          </cell>
          <cell r="AN622">
            <v>33000</v>
          </cell>
          <cell r="AO622">
            <v>150000</v>
          </cell>
          <cell r="AP622">
            <v>3000000</v>
          </cell>
          <cell r="AQ622"/>
          <cell r="AR622">
            <v>3000000</v>
          </cell>
          <cell r="AS622">
            <v>200000</v>
          </cell>
          <cell r="AT622">
            <v>2800000</v>
          </cell>
          <cell r="AU622">
            <v>100000</v>
          </cell>
          <cell r="AV622">
            <v>2700000</v>
          </cell>
          <cell r="AW622">
            <v>0</v>
          </cell>
          <cell r="AX622">
            <v>2700000</v>
          </cell>
        </row>
        <row r="623">
          <cell r="G623" t="str">
            <v>AGM-01-027-042</v>
          </cell>
          <cell r="H623" t="str">
            <v xml:space="preserve">Raemulan Lands, Inc. </v>
          </cell>
          <cell r="I623" t="str">
            <v>Agapeya</v>
          </cell>
          <cell r="J623" t="str">
            <v>AGM</v>
          </cell>
          <cell r="K623" t="str">
            <v>Eco-High</v>
          </cell>
          <cell r="L623" t="str">
            <v>West</v>
          </cell>
          <cell r="M623" t="str">
            <v>With LTS - 2024</v>
          </cell>
          <cell r="N623" t="str">
            <v>YES</v>
          </cell>
          <cell r="O623" t="str">
            <v>YES</v>
          </cell>
          <cell r="P623" t="str">
            <v>Unaffected lots</v>
          </cell>
          <cell r="Q623" t="str">
            <v>YES</v>
          </cell>
          <cell r="R623">
            <v>80</v>
          </cell>
          <cell r="S623" t="str">
            <v>PCS-04-034298</v>
          </cell>
          <cell r="T623" t="str">
            <v>TCT-060-2024021734</v>
          </cell>
          <cell r="U623" t="b">
            <v>1</v>
          </cell>
          <cell r="V623" t="str">
            <v>Done</v>
          </cell>
          <cell r="W623" t="str">
            <v>2024 Batch</v>
          </cell>
          <cell r="X623" t="str">
            <v>2024 Batch</v>
          </cell>
          <cell r="Y623">
            <v>27</v>
          </cell>
          <cell r="Z623">
            <v>42</v>
          </cell>
          <cell r="AA623" t="str">
            <v>H+L</v>
          </cell>
          <cell r="AB623">
            <v>80</v>
          </cell>
          <cell r="AC623">
            <v>50</v>
          </cell>
          <cell r="AD623" t="str">
            <v>Slant</v>
          </cell>
          <cell r="AE623" t="str">
            <v>Duplex</v>
          </cell>
          <cell r="AF623" t="str">
            <v>326 - With Partition</v>
          </cell>
          <cell r="AG623" t="str">
            <v xml:space="preserve">Without Partition </v>
          </cell>
          <cell r="AH623" t="str">
            <v>With Partition</v>
          </cell>
          <cell r="AI623" t="str">
            <v>PINK</v>
          </cell>
          <cell r="AJ623" t="str">
            <v>Slant / PINK</v>
          </cell>
          <cell r="AK623">
            <v>1200000</v>
          </cell>
          <cell r="AL623">
            <v>15000</v>
          </cell>
          <cell r="AM623">
            <v>1650000</v>
          </cell>
          <cell r="AN623">
            <v>33000</v>
          </cell>
          <cell r="AO623">
            <v>150000</v>
          </cell>
          <cell r="AP623">
            <v>3000000</v>
          </cell>
          <cell r="AQ623"/>
          <cell r="AR623">
            <v>3000000</v>
          </cell>
          <cell r="AS623">
            <v>0</v>
          </cell>
          <cell r="AT623">
            <v>3000000</v>
          </cell>
          <cell r="AU623">
            <v>100000</v>
          </cell>
          <cell r="AV623">
            <v>2900000</v>
          </cell>
          <cell r="AW623">
            <v>0</v>
          </cell>
          <cell r="AX623">
            <v>2900000</v>
          </cell>
        </row>
        <row r="624">
          <cell r="G624" t="str">
            <v>AGM-01-027-043</v>
          </cell>
          <cell r="H624" t="str">
            <v xml:space="preserve">Raemulan Lands, Inc. </v>
          </cell>
          <cell r="I624" t="str">
            <v>Agapeya</v>
          </cell>
          <cell r="J624" t="str">
            <v>AGM</v>
          </cell>
          <cell r="K624" t="str">
            <v>Eco-High</v>
          </cell>
          <cell r="L624" t="str">
            <v>West</v>
          </cell>
          <cell r="M624" t="str">
            <v>With LTS - 2024</v>
          </cell>
          <cell r="N624" t="str">
            <v>YES</v>
          </cell>
          <cell r="O624" t="str">
            <v>NO</v>
          </cell>
          <cell r="P624" t="str">
            <v>Unaffected lots</v>
          </cell>
          <cell r="Q624" t="str">
            <v>YES</v>
          </cell>
          <cell r="R624">
            <v>117</v>
          </cell>
          <cell r="S624" t="str">
            <v>PCS-04-034298</v>
          </cell>
          <cell r="T624" t="str">
            <v>TCT-060-2024021735</v>
          </cell>
          <cell r="U624" t="b">
            <v>1</v>
          </cell>
          <cell r="V624" t="str">
            <v>Done</v>
          </cell>
          <cell r="W624" t="str">
            <v>B1 - Lot Only</v>
          </cell>
          <cell r="X624" t="str">
            <v>Lot Only - N/A</v>
          </cell>
          <cell r="Y624">
            <v>27</v>
          </cell>
          <cell r="Z624">
            <v>43</v>
          </cell>
          <cell r="AA624" t="str">
            <v>LO</v>
          </cell>
          <cell r="AB624">
            <v>117</v>
          </cell>
          <cell r="AC624" t="str">
            <v>N/A</v>
          </cell>
          <cell r="AD624" t="str">
            <v>-</v>
          </cell>
          <cell r="AE624" t="str">
            <v>Lot Only</v>
          </cell>
          <cell r="AF624" t="str">
            <v>N/A</v>
          </cell>
          <cell r="AG624" t="str">
            <v>N/A - LOT ONLY</v>
          </cell>
          <cell r="AH624" t="str">
            <v>N/A - LOT ONLY</v>
          </cell>
          <cell r="AI624" t="str">
            <v>N/A - LOT ONLY</v>
          </cell>
          <cell r="AJ624" t="str">
            <v>- / N/A - LOT ONLY</v>
          </cell>
          <cell r="AK624">
            <v>1755000</v>
          </cell>
          <cell r="AL624">
            <v>15000</v>
          </cell>
          <cell r="AM624">
            <v>0</v>
          </cell>
          <cell r="AN624">
            <v>0</v>
          </cell>
          <cell r="AO624">
            <v>100000</v>
          </cell>
          <cell r="AP624">
            <v>1855000</v>
          </cell>
          <cell r="AQ624"/>
          <cell r="AR624">
            <v>1855000</v>
          </cell>
          <cell r="AS624">
            <v>0</v>
          </cell>
          <cell r="AT624">
            <v>1855000</v>
          </cell>
          <cell r="AU624">
            <v>100000</v>
          </cell>
          <cell r="AV624">
            <v>1755000</v>
          </cell>
          <cell r="AW624">
            <v>0</v>
          </cell>
          <cell r="AX624">
            <v>1755000</v>
          </cell>
        </row>
        <row r="625">
          <cell r="G625" t="str">
            <v>AGM-01-028-001</v>
          </cell>
          <cell r="H625" t="str">
            <v xml:space="preserve">Raemulan Lands, Inc. </v>
          </cell>
          <cell r="I625" t="str">
            <v>Agapeya</v>
          </cell>
          <cell r="J625" t="str">
            <v>AGM</v>
          </cell>
          <cell r="K625" t="str">
            <v>Eco-High</v>
          </cell>
          <cell r="L625" t="str">
            <v>West</v>
          </cell>
          <cell r="M625" t="str">
            <v>With LTS - 2024</v>
          </cell>
          <cell r="N625" t="str">
            <v>YES</v>
          </cell>
          <cell r="O625" t="str">
            <v>YES</v>
          </cell>
          <cell r="P625" t="str">
            <v>Unaffected lots</v>
          </cell>
          <cell r="Q625" t="str">
            <v>YES</v>
          </cell>
          <cell r="R625">
            <v>109</v>
          </cell>
          <cell r="S625" t="str">
            <v>PCS-04-034298</v>
          </cell>
          <cell r="T625" t="str">
            <v>TCT-060-2024021736</v>
          </cell>
          <cell r="U625" t="b">
            <v>1</v>
          </cell>
          <cell r="V625" t="str">
            <v>Done</v>
          </cell>
          <cell r="W625" t="str">
            <v>2024 Batch</v>
          </cell>
          <cell r="X625" t="str">
            <v>2024 Batch</v>
          </cell>
          <cell r="Y625">
            <v>28</v>
          </cell>
          <cell r="Z625">
            <v>1</v>
          </cell>
          <cell r="AA625" t="str">
            <v>H+L</v>
          </cell>
          <cell r="AB625">
            <v>109</v>
          </cell>
          <cell r="AC625">
            <v>50</v>
          </cell>
          <cell r="AD625" t="str">
            <v>Flat</v>
          </cell>
          <cell r="AE625" t="str">
            <v>Duplex</v>
          </cell>
          <cell r="AF625" t="str">
            <v>326 - With Partition</v>
          </cell>
          <cell r="AG625" t="str">
            <v>With Partition</v>
          </cell>
          <cell r="AH625" t="str">
            <v>With Partition</v>
          </cell>
          <cell r="AI625" t="str">
            <v>YELLOW</v>
          </cell>
          <cell r="AJ625" t="str">
            <v>Flat / YELLOW</v>
          </cell>
          <cell r="AK625">
            <v>1635000</v>
          </cell>
          <cell r="AL625">
            <v>15000</v>
          </cell>
          <cell r="AM625">
            <v>1650000</v>
          </cell>
          <cell r="AN625">
            <v>33000</v>
          </cell>
          <cell r="AO625">
            <v>150000</v>
          </cell>
          <cell r="AP625">
            <v>3435000</v>
          </cell>
          <cell r="AQ625"/>
          <cell r="AR625">
            <v>3435000</v>
          </cell>
          <cell r="AS625">
            <v>0</v>
          </cell>
          <cell r="AT625">
            <v>3435000</v>
          </cell>
          <cell r="AU625">
            <v>100000</v>
          </cell>
          <cell r="AV625">
            <v>3335000</v>
          </cell>
          <cell r="AW625">
            <v>0</v>
          </cell>
          <cell r="AX625">
            <v>3335000</v>
          </cell>
        </row>
        <row r="626">
          <cell r="G626" t="str">
            <v>AGM-01-028-002</v>
          </cell>
          <cell r="H626" t="str">
            <v xml:space="preserve">Raemulan Lands, Inc. </v>
          </cell>
          <cell r="I626" t="str">
            <v>Agapeya</v>
          </cell>
          <cell r="J626" t="str">
            <v>AGM</v>
          </cell>
          <cell r="K626" t="str">
            <v>Eco-High</v>
          </cell>
          <cell r="L626" t="str">
            <v>West</v>
          </cell>
          <cell r="M626" t="str">
            <v>With LTS - 2024</v>
          </cell>
          <cell r="N626" t="str">
            <v>YES</v>
          </cell>
          <cell r="O626" t="str">
            <v>YES</v>
          </cell>
          <cell r="P626" t="str">
            <v>Unaffected lots</v>
          </cell>
          <cell r="Q626" t="str">
            <v>YES</v>
          </cell>
          <cell r="R626">
            <v>80</v>
          </cell>
          <cell r="S626" t="str">
            <v>PCS-04-034298</v>
          </cell>
          <cell r="T626" t="str">
            <v>TCT-060-2024021737</v>
          </cell>
          <cell r="U626" t="b">
            <v>1</v>
          </cell>
          <cell r="V626" t="str">
            <v>Done</v>
          </cell>
          <cell r="W626" t="str">
            <v>2024 Batch</v>
          </cell>
          <cell r="X626" t="str">
            <v>2024 Batch</v>
          </cell>
          <cell r="Y626">
            <v>28</v>
          </cell>
          <cell r="Z626">
            <v>2</v>
          </cell>
          <cell r="AA626" t="str">
            <v>H+L</v>
          </cell>
          <cell r="AB626">
            <v>80</v>
          </cell>
          <cell r="AC626">
            <v>50</v>
          </cell>
          <cell r="AD626" t="str">
            <v>Slant</v>
          </cell>
          <cell r="AE626" t="str">
            <v>Duplex</v>
          </cell>
          <cell r="AF626" t="str">
            <v>326 - With Partition</v>
          </cell>
          <cell r="AG626" t="str">
            <v xml:space="preserve">Without Partition </v>
          </cell>
          <cell r="AH626" t="str">
            <v xml:space="preserve">With Partition </v>
          </cell>
          <cell r="AI626" t="str">
            <v>YELLOW</v>
          </cell>
          <cell r="AJ626" t="str">
            <v>Slant / YELLOW</v>
          </cell>
          <cell r="AK626">
            <v>1200000</v>
          </cell>
          <cell r="AL626">
            <v>15000</v>
          </cell>
          <cell r="AM626">
            <v>1650000</v>
          </cell>
          <cell r="AN626">
            <v>33000</v>
          </cell>
          <cell r="AO626">
            <v>150000</v>
          </cell>
          <cell r="AP626">
            <v>3000000</v>
          </cell>
          <cell r="AQ626"/>
          <cell r="AR626">
            <v>3000000</v>
          </cell>
          <cell r="AS626">
            <v>200000</v>
          </cell>
          <cell r="AT626">
            <v>2800000</v>
          </cell>
          <cell r="AU626">
            <v>100000</v>
          </cell>
          <cell r="AV626">
            <v>2700000</v>
          </cell>
          <cell r="AW626">
            <v>0</v>
          </cell>
          <cell r="AX626">
            <v>2700000</v>
          </cell>
        </row>
        <row r="627">
          <cell r="G627" t="str">
            <v>AGM-01-028-003</v>
          </cell>
          <cell r="H627" t="str">
            <v xml:space="preserve">Raemulan Lands, Inc. </v>
          </cell>
          <cell r="I627" t="str">
            <v>Agapeya</v>
          </cell>
          <cell r="J627" t="str">
            <v>AGM</v>
          </cell>
          <cell r="K627" t="str">
            <v>Eco-High</v>
          </cell>
          <cell r="L627" t="str">
            <v>West</v>
          </cell>
          <cell r="M627" t="str">
            <v>With LTS - 2024</v>
          </cell>
          <cell r="N627" t="str">
            <v>YES</v>
          </cell>
          <cell r="O627" t="str">
            <v>YES</v>
          </cell>
          <cell r="P627" t="str">
            <v>Unaffected lots</v>
          </cell>
          <cell r="Q627" t="str">
            <v>YES</v>
          </cell>
          <cell r="R627">
            <v>80</v>
          </cell>
          <cell r="S627" t="str">
            <v>PCS-04-034298</v>
          </cell>
          <cell r="T627" t="str">
            <v>TCT-060-2024021738</v>
          </cell>
          <cell r="U627" t="b">
            <v>1</v>
          </cell>
          <cell r="V627" t="str">
            <v>Done</v>
          </cell>
          <cell r="W627" t="str">
            <v>2024 Batch</v>
          </cell>
          <cell r="X627" t="str">
            <v>2024 Batch</v>
          </cell>
          <cell r="Y627">
            <v>28</v>
          </cell>
          <cell r="Z627">
            <v>3</v>
          </cell>
          <cell r="AA627" t="str">
            <v>H+L</v>
          </cell>
          <cell r="AB627">
            <v>80</v>
          </cell>
          <cell r="AC627">
            <v>50</v>
          </cell>
          <cell r="AD627" t="str">
            <v>Slant</v>
          </cell>
          <cell r="AE627" t="str">
            <v>Duplex</v>
          </cell>
          <cell r="AF627" t="str">
            <v>326 - With Partition</v>
          </cell>
          <cell r="AG627" t="str">
            <v xml:space="preserve">Without Partition </v>
          </cell>
          <cell r="AH627" t="str">
            <v>With Partition</v>
          </cell>
          <cell r="AI627" t="str">
            <v>YELLOW</v>
          </cell>
          <cell r="AJ627" t="str">
            <v>Slant / YELLOW</v>
          </cell>
          <cell r="AK627">
            <v>1200000</v>
          </cell>
          <cell r="AL627">
            <v>15000</v>
          </cell>
          <cell r="AM627">
            <v>1650000</v>
          </cell>
          <cell r="AN627">
            <v>33000</v>
          </cell>
          <cell r="AO627">
            <v>150000</v>
          </cell>
          <cell r="AP627">
            <v>3000000</v>
          </cell>
          <cell r="AQ627"/>
          <cell r="AR627">
            <v>3000000</v>
          </cell>
          <cell r="AS627">
            <v>0</v>
          </cell>
          <cell r="AT627">
            <v>3000000</v>
          </cell>
          <cell r="AU627">
            <v>100000</v>
          </cell>
          <cell r="AV627">
            <v>2900000</v>
          </cell>
          <cell r="AW627">
            <v>0</v>
          </cell>
          <cell r="AX627">
            <v>2900000</v>
          </cell>
        </row>
        <row r="628">
          <cell r="G628" t="str">
            <v>AGM-01-028-004</v>
          </cell>
          <cell r="H628" t="str">
            <v xml:space="preserve">Raemulan Lands, Inc. </v>
          </cell>
          <cell r="I628" t="str">
            <v>Agapeya</v>
          </cell>
          <cell r="J628" t="str">
            <v>AGM</v>
          </cell>
          <cell r="K628" t="str">
            <v>Eco-High</v>
          </cell>
          <cell r="L628" t="str">
            <v>West</v>
          </cell>
          <cell r="M628" t="str">
            <v>With LTS - 2024</v>
          </cell>
          <cell r="N628" t="str">
            <v>YES</v>
          </cell>
          <cell r="O628" t="str">
            <v>YES</v>
          </cell>
          <cell r="P628" t="str">
            <v>Unaffected lots</v>
          </cell>
          <cell r="Q628" t="str">
            <v>YES</v>
          </cell>
          <cell r="R628">
            <v>80</v>
          </cell>
          <cell r="S628" t="str">
            <v>PCS-04-034298</v>
          </cell>
          <cell r="T628" t="str">
            <v>TCT-060-2024021739</v>
          </cell>
          <cell r="U628" t="b">
            <v>1</v>
          </cell>
          <cell r="V628" t="str">
            <v>Done</v>
          </cell>
          <cell r="W628" t="str">
            <v>2024 Batch</v>
          </cell>
          <cell r="X628" t="str">
            <v>2024 Batch</v>
          </cell>
          <cell r="Y628">
            <v>28</v>
          </cell>
          <cell r="Z628">
            <v>4</v>
          </cell>
          <cell r="AA628" t="str">
            <v>H+L</v>
          </cell>
          <cell r="AB628">
            <v>80</v>
          </cell>
          <cell r="AC628">
            <v>50</v>
          </cell>
          <cell r="AD628" t="str">
            <v>Flat</v>
          </cell>
          <cell r="AE628" t="str">
            <v>Duplex</v>
          </cell>
          <cell r="AF628" t="str">
            <v>326 - With Partition</v>
          </cell>
          <cell r="AG628" t="str">
            <v xml:space="preserve">Without Partition </v>
          </cell>
          <cell r="AH628" t="str">
            <v xml:space="preserve">Without Partition </v>
          </cell>
          <cell r="AI628" t="str">
            <v>YELLOW</v>
          </cell>
          <cell r="AJ628" t="str">
            <v>Flat / YELLOW</v>
          </cell>
          <cell r="AK628">
            <v>1200000</v>
          </cell>
          <cell r="AL628">
            <v>15000</v>
          </cell>
          <cell r="AM628">
            <v>1650000</v>
          </cell>
          <cell r="AN628">
            <v>33000</v>
          </cell>
          <cell r="AO628">
            <v>150000</v>
          </cell>
          <cell r="AP628">
            <v>3000000</v>
          </cell>
          <cell r="AQ628"/>
          <cell r="AR628">
            <v>3000000</v>
          </cell>
          <cell r="AS628">
            <v>200000</v>
          </cell>
          <cell r="AT628">
            <v>2800000</v>
          </cell>
          <cell r="AU628">
            <v>100000</v>
          </cell>
          <cell r="AV628">
            <v>2700000</v>
          </cell>
          <cell r="AW628">
            <v>0</v>
          </cell>
          <cell r="AX628">
            <v>2700000</v>
          </cell>
        </row>
        <row r="629">
          <cell r="G629" t="str">
            <v>AGM-01-028-005</v>
          </cell>
          <cell r="H629" t="str">
            <v xml:space="preserve">Raemulan Lands, Inc. </v>
          </cell>
          <cell r="I629" t="str">
            <v>Agapeya</v>
          </cell>
          <cell r="J629" t="str">
            <v>AGM</v>
          </cell>
          <cell r="K629" t="str">
            <v>Eco-High</v>
          </cell>
          <cell r="L629" t="str">
            <v>West</v>
          </cell>
          <cell r="M629" t="str">
            <v>With LTS - 2024</v>
          </cell>
          <cell r="N629" t="str">
            <v>YES</v>
          </cell>
          <cell r="O629" t="str">
            <v>YES</v>
          </cell>
          <cell r="P629" t="str">
            <v>Unaffected lots</v>
          </cell>
          <cell r="Q629" t="str">
            <v>YES</v>
          </cell>
          <cell r="R629">
            <v>70</v>
          </cell>
          <cell r="S629" t="str">
            <v>PCS-04-034298</v>
          </cell>
          <cell r="T629" t="str">
            <v>TCT-060-2024021740</v>
          </cell>
          <cell r="U629" t="b">
            <v>1</v>
          </cell>
          <cell r="V629" t="str">
            <v>Done</v>
          </cell>
          <cell r="W629" t="str">
            <v>2024 Batch</v>
          </cell>
          <cell r="X629" t="str">
            <v>2024 Batch</v>
          </cell>
          <cell r="Y629">
            <v>28</v>
          </cell>
          <cell r="Z629">
            <v>5</v>
          </cell>
          <cell r="AA629" t="str">
            <v>H+L</v>
          </cell>
          <cell r="AB629">
            <v>70</v>
          </cell>
          <cell r="AC629">
            <v>50</v>
          </cell>
          <cell r="AD629" t="str">
            <v>Flat</v>
          </cell>
          <cell r="AE629" t="str">
            <v>Duplex</v>
          </cell>
          <cell r="AF629" t="str">
            <v>326 - With Partition</v>
          </cell>
          <cell r="AG629" t="str">
            <v xml:space="preserve">Without Partition </v>
          </cell>
          <cell r="AH629" t="str">
            <v xml:space="preserve">Without Partition </v>
          </cell>
          <cell r="AI629" t="str">
            <v>GREEN</v>
          </cell>
          <cell r="AJ629" t="str">
            <v>Flat / GREEN</v>
          </cell>
          <cell r="AK629">
            <v>1050000</v>
          </cell>
          <cell r="AL629">
            <v>15000</v>
          </cell>
          <cell r="AM629">
            <v>1650000</v>
          </cell>
          <cell r="AN629">
            <v>33000</v>
          </cell>
          <cell r="AO629">
            <v>150000</v>
          </cell>
          <cell r="AP629">
            <v>2850000</v>
          </cell>
          <cell r="AQ629"/>
          <cell r="AR629">
            <v>2850000</v>
          </cell>
          <cell r="AS629">
            <v>200000</v>
          </cell>
          <cell r="AT629">
            <v>2650000</v>
          </cell>
          <cell r="AU629">
            <v>100000</v>
          </cell>
          <cell r="AV629">
            <v>2550000</v>
          </cell>
          <cell r="AW629">
            <v>0</v>
          </cell>
          <cell r="AX629">
            <v>2550000</v>
          </cell>
        </row>
        <row r="630">
          <cell r="G630" t="str">
            <v>AGM-01-028-006</v>
          </cell>
          <cell r="H630" t="str">
            <v xml:space="preserve">Raemulan Lands, Inc. </v>
          </cell>
          <cell r="I630" t="str">
            <v>Agapeya</v>
          </cell>
          <cell r="J630" t="str">
            <v>AGM</v>
          </cell>
          <cell r="K630" t="str">
            <v>Eco-High</v>
          </cell>
          <cell r="L630" t="str">
            <v>West</v>
          </cell>
          <cell r="M630" t="str">
            <v>With LTS - 2024</v>
          </cell>
          <cell r="N630" t="str">
            <v>YES</v>
          </cell>
          <cell r="O630" t="str">
            <v>YES</v>
          </cell>
          <cell r="P630" t="str">
            <v>Unaffected lots</v>
          </cell>
          <cell r="Q630" t="str">
            <v>YES</v>
          </cell>
          <cell r="R630">
            <v>70</v>
          </cell>
          <cell r="S630" t="str">
            <v>PCS-04-034298</v>
          </cell>
          <cell r="T630" t="str">
            <v>TCT-060-2024021741</v>
          </cell>
          <cell r="U630" t="b">
            <v>1</v>
          </cell>
          <cell r="V630" t="str">
            <v>Done</v>
          </cell>
          <cell r="W630" t="str">
            <v>2024 Batch</v>
          </cell>
          <cell r="X630" t="str">
            <v>2024 Batch</v>
          </cell>
          <cell r="Y630">
            <v>28</v>
          </cell>
          <cell r="Z630">
            <v>6</v>
          </cell>
          <cell r="AA630" t="str">
            <v>H+L</v>
          </cell>
          <cell r="AB630">
            <v>70</v>
          </cell>
          <cell r="AC630">
            <v>50</v>
          </cell>
          <cell r="AD630" t="str">
            <v>Slant</v>
          </cell>
          <cell r="AE630" t="str">
            <v>Duplex</v>
          </cell>
          <cell r="AF630" t="str">
            <v>326 - With Partition</v>
          </cell>
          <cell r="AG630" t="str">
            <v xml:space="preserve">Without Partition </v>
          </cell>
          <cell r="AH630" t="str">
            <v xml:space="preserve">Without Partition </v>
          </cell>
          <cell r="AI630" t="str">
            <v>GREEN</v>
          </cell>
          <cell r="AJ630" t="str">
            <v>Slant / GREEN</v>
          </cell>
          <cell r="AK630">
            <v>1050000</v>
          </cell>
          <cell r="AL630">
            <v>15000</v>
          </cell>
          <cell r="AM630">
            <v>1650000</v>
          </cell>
          <cell r="AN630">
            <v>33000</v>
          </cell>
          <cell r="AO630">
            <v>150000</v>
          </cell>
          <cell r="AP630">
            <v>2850000</v>
          </cell>
          <cell r="AQ630"/>
          <cell r="AR630">
            <v>2850000</v>
          </cell>
          <cell r="AS630">
            <v>200000</v>
          </cell>
          <cell r="AT630">
            <v>2650000</v>
          </cell>
          <cell r="AU630">
            <v>100000</v>
          </cell>
          <cell r="AV630">
            <v>2550000</v>
          </cell>
          <cell r="AW630">
            <v>0</v>
          </cell>
          <cell r="AX630">
            <v>2550000</v>
          </cell>
        </row>
        <row r="631">
          <cell r="G631" t="str">
            <v>AGM-01-028-007</v>
          </cell>
          <cell r="H631" t="str">
            <v xml:space="preserve">Raemulan Lands, Inc. </v>
          </cell>
          <cell r="I631" t="str">
            <v>Agapeya</v>
          </cell>
          <cell r="J631" t="str">
            <v>AGM</v>
          </cell>
          <cell r="K631" t="str">
            <v>Eco-High</v>
          </cell>
          <cell r="L631" t="str">
            <v>West</v>
          </cell>
          <cell r="M631" t="str">
            <v>With LTS - 2024</v>
          </cell>
          <cell r="N631" t="str">
            <v>YES</v>
          </cell>
          <cell r="O631" t="str">
            <v>YES</v>
          </cell>
          <cell r="P631" t="str">
            <v>Unaffected lots</v>
          </cell>
          <cell r="Q631" t="str">
            <v>YES</v>
          </cell>
          <cell r="R631">
            <v>70</v>
          </cell>
          <cell r="S631" t="str">
            <v>PCS-04-034298</v>
          </cell>
          <cell r="T631" t="str">
            <v>TCT-060-2024021742</v>
          </cell>
          <cell r="U631" t="b">
            <v>1</v>
          </cell>
          <cell r="V631" t="str">
            <v>Done</v>
          </cell>
          <cell r="W631" t="str">
            <v>2024 Batch</v>
          </cell>
          <cell r="X631" t="str">
            <v>2024 Batch</v>
          </cell>
          <cell r="Y631">
            <v>28</v>
          </cell>
          <cell r="Z631">
            <v>7</v>
          </cell>
          <cell r="AA631" t="str">
            <v>H+L</v>
          </cell>
          <cell r="AB631">
            <v>70</v>
          </cell>
          <cell r="AC631">
            <v>50</v>
          </cell>
          <cell r="AD631" t="str">
            <v>Slant</v>
          </cell>
          <cell r="AE631" t="str">
            <v>Duplex</v>
          </cell>
          <cell r="AF631" t="str">
            <v>326 - With Partition</v>
          </cell>
          <cell r="AG631" t="str">
            <v>With Partition</v>
          </cell>
          <cell r="AH631" t="str">
            <v>With Partition</v>
          </cell>
          <cell r="AI631" t="str">
            <v>GREEN</v>
          </cell>
          <cell r="AJ631" t="str">
            <v>Slant / GREEN</v>
          </cell>
          <cell r="AK631">
            <v>1050000</v>
          </cell>
          <cell r="AL631">
            <v>15000</v>
          </cell>
          <cell r="AM631">
            <v>1650000</v>
          </cell>
          <cell r="AN631">
            <v>33000</v>
          </cell>
          <cell r="AO631">
            <v>150000</v>
          </cell>
          <cell r="AP631">
            <v>2850000</v>
          </cell>
          <cell r="AQ631"/>
          <cell r="AR631">
            <v>2850000</v>
          </cell>
          <cell r="AS631">
            <v>0</v>
          </cell>
          <cell r="AT631">
            <v>2850000</v>
          </cell>
          <cell r="AU631">
            <v>100000</v>
          </cell>
          <cell r="AV631">
            <v>2750000</v>
          </cell>
          <cell r="AW631">
            <v>0</v>
          </cell>
          <cell r="AX631">
            <v>2750000</v>
          </cell>
        </row>
        <row r="632">
          <cell r="G632" t="str">
            <v>AGM-01-028-008</v>
          </cell>
          <cell r="H632" t="str">
            <v xml:space="preserve">Raemulan Lands, Inc. </v>
          </cell>
          <cell r="I632" t="str">
            <v>Agapeya</v>
          </cell>
          <cell r="J632" t="str">
            <v>AGM</v>
          </cell>
          <cell r="K632" t="str">
            <v>Eco-High</v>
          </cell>
          <cell r="L632" t="str">
            <v>West</v>
          </cell>
          <cell r="M632" t="str">
            <v>With LTS - 2024</v>
          </cell>
          <cell r="N632" t="str">
            <v>YES</v>
          </cell>
          <cell r="O632" t="str">
            <v>YES</v>
          </cell>
          <cell r="P632" t="str">
            <v>Unaffected lots</v>
          </cell>
          <cell r="Q632" t="str">
            <v>YES</v>
          </cell>
          <cell r="R632">
            <v>70</v>
          </cell>
          <cell r="S632" t="str">
            <v>PCS-04-034298</v>
          </cell>
          <cell r="T632" t="str">
            <v>TCT-060-2024021743</v>
          </cell>
          <cell r="U632" t="b">
            <v>1</v>
          </cell>
          <cell r="V632" t="str">
            <v>Done</v>
          </cell>
          <cell r="W632" t="str">
            <v>2024 Batch</v>
          </cell>
          <cell r="X632" t="str">
            <v>2024 Batch</v>
          </cell>
          <cell r="Y632">
            <v>28</v>
          </cell>
          <cell r="Z632">
            <v>8</v>
          </cell>
          <cell r="AA632" t="str">
            <v>H+L</v>
          </cell>
          <cell r="AB632">
            <v>70</v>
          </cell>
          <cell r="AC632">
            <v>50</v>
          </cell>
          <cell r="AD632" t="str">
            <v>Flat</v>
          </cell>
          <cell r="AE632" t="str">
            <v>Duplex</v>
          </cell>
          <cell r="AF632" t="str">
            <v>326 - With Partition</v>
          </cell>
          <cell r="AG632" t="str">
            <v>With Partition</v>
          </cell>
          <cell r="AH632" t="str">
            <v>With Partition</v>
          </cell>
          <cell r="AI632" t="str">
            <v>GREEN</v>
          </cell>
          <cell r="AJ632" t="str">
            <v>Flat / GREEN</v>
          </cell>
          <cell r="AK632">
            <v>1050000</v>
          </cell>
          <cell r="AL632">
            <v>15000</v>
          </cell>
          <cell r="AM632">
            <v>1650000</v>
          </cell>
          <cell r="AN632">
            <v>33000</v>
          </cell>
          <cell r="AO632">
            <v>150000</v>
          </cell>
          <cell r="AP632">
            <v>2850000</v>
          </cell>
          <cell r="AQ632"/>
          <cell r="AR632">
            <v>2850000</v>
          </cell>
          <cell r="AS632">
            <v>0</v>
          </cell>
          <cell r="AT632">
            <v>2850000</v>
          </cell>
          <cell r="AU632">
            <v>100000</v>
          </cell>
          <cell r="AV632">
            <v>2750000</v>
          </cell>
          <cell r="AW632">
            <v>0</v>
          </cell>
          <cell r="AX632">
            <v>2750000</v>
          </cell>
        </row>
        <row r="633">
          <cell r="G633" t="str">
            <v>AGM-01-028-009</v>
          </cell>
          <cell r="H633" t="str">
            <v xml:space="preserve">Raemulan Lands, Inc. </v>
          </cell>
          <cell r="I633" t="str">
            <v>Agapeya</v>
          </cell>
          <cell r="J633" t="str">
            <v>AGM</v>
          </cell>
          <cell r="K633" t="str">
            <v>Eco-High</v>
          </cell>
          <cell r="L633" t="str">
            <v>West</v>
          </cell>
          <cell r="M633" t="str">
            <v>With LTS - 2024</v>
          </cell>
          <cell r="N633" t="str">
            <v>YES</v>
          </cell>
          <cell r="O633" t="str">
            <v>YES</v>
          </cell>
          <cell r="P633" t="str">
            <v>Unaffected lots</v>
          </cell>
          <cell r="Q633" t="str">
            <v>YES</v>
          </cell>
          <cell r="R633">
            <v>70</v>
          </cell>
          <cell r="S633" t="str">
            <v>PCS-04-034298</v>
          </cell>
          <cell r="T633" t="str">
            <v>TCT-060-2024021744</v>
          </cell>
          <cell r="U633" t="b">
            <v>1</v>
          </cell>
          <cell r="V633" t="str">
            <v>Done</v>
          </cell>
          <cell r="W633" t="str">
            <v>2024 Batch</v>
          </cell>
          <cell r="X633" t="str">
            <v>2024 Batch</v>
          </cell>
          <cell r="Y633">
            <v>28</v>
          </cell>
          <cell r="Z633">
            <v>9</v>
          </cell>
          <cell r="AA633" t="str">
            <v>H+L</v>
          </cell>
          <cell r="AB633">
            <v>70</v>
          </cell>
          <cell r="AC633">
            <v>50</v>
          </cell>
          <cell r="AD633" t="str">
            <v>Flat</v>
          </cell>
          <cell r="AE633" t="str">
            <v>Duplex</v>
          </cell>
          <cell r="AF633" t="str">
            <v>326 - With Partition</v>
          </cell>
          <cell r="AG633" t="str">
            <v>With Partition</v>
          </cell>
          <cell r="AH633" t="str">
            <v>With Partition</v>
          </cell>
          <cell r="AI633" t="str">
            <v>PURPLE</v>
          </cell>
          <cell r="AJ633" t="str">
            <v>Flat / PURPLE</v>
          </cell>
          <cell r="AK633">
            <v>1050000</v>
          </cell>
          <cell r="AL633">
            <v>15000</v>
          </cell>
          <cell r="AM633">
            <v>1650000</v>
          </cell>
          <cell r="AN633">
            <v>33000</v>
          </cell>
          <cell r="AO633">
            <v>150000</v>
          </cell>
          <cell r="AP633">
            <v>2850000</v>
          </cell>
          <cell r="AQ633"/>
          <cell r="AR633">
            <v>2850000</v>
          </cell>
          <cell r="AS633">
            <v>0</v>
          </cell>
          <cell r="AT633">
            <v>2850000</v>
          </cell>
          <cell r="AU633">
            <v>100000</v>
          </cell>
          <cell r="AV633">
            <v>2750000</v>
          </cell>
          <cell r="AW633">
            <v>0</v>
          </cell>
          <cell r="AX633">
            <v>2750000</v>
          </cell>
        </row>
        <row r="634">
          <cell r="G634" t="str">
            <v>AGM-01-028-010</v>
          </cell>
          <cell r="H634" t="str">
            <v xml:space="preserve">Raemulan Lands, Inc. </v>
          </cell>
          <cell r="I634" t="str">
            <v>Agapeya</v>
          </cell>
          <cell r="J634" t="str">
            <v>AGM</v>
          </cell>
          <cell r="K634" t="str">
            <v>Eco-High</v>
          </cell>
          <cell r="L634" t="str">
            <v>West</v>
          </cell>
          <cell r="M634" t="str">
            <v>With LTS - 2024</v>
          </cell>
          <cell r="N634" t="str">
            <v>YES</v>
          </cell>
          <cell r="O634" t="str">
            <v>YES</v>
          </cell>
          <cell r="P634" t="str">
            <v>Unaffected lots</v>
          </cell>
          <cell r="Q634" t="str">
            <v>YES</v>
          </cell>
          <cell r="R634">
            <v>70</v>
          </cell>
          <cell r="S634" t="str">
            <v>PCS-04-034298</v>
          </cell>
          <cell r="T634" t="str">
            <v>TCT-060-2024021745</v>
          </cell>
          <cell r="U634" t="b">
            <v>1</v>
          </cell>
          <cell r="V634" t="str">
            <v>Done</v>
          </cell>
          <cell r="W634" t="str">
            <v>2024 Batch</v>
          </cell>
          <cell r="X634" t="str">
            <v>2024 Batch</v>
          </cell>
          <cell r="Y634">
            <v>28</v>
          </cell>
          <cell r="Z634">
            <v>10</v>
          </cell>
          <cell r="AA634" t="str">
            <v>H+L</v>
          </cell>
          <cell r="AB634">
            <v>70</v>
          </cell>
          <cell r="AC634">
            <v>50</v>
          </cell>
          <cell r="AD634" t="str">
            <v>Slant</v>
          </cell>
          <cell r="AE634" t="str">
            <v>Duplex</v>
          </cell>
          <cell r="AF634" t="str">
            <v>326 - With Partition</v>
          </cell>
          <cell r="AG634" t="str">
            <v>With Partition</v>
          </cell>
          <cell r="AH634" t="str">
            <v>With Partition</v>
          </cell>
          <cell r="AI634" t="str">
            <v>PURPLE</v>
          </cell>
          <cell r="AJ634" t="str">
            <v>Slant / PURPLE</v>
          </cell>
          <cell r="AK634">
            <v>1050000</v>
          </cell>
          <cell r="AL634">
            <v>15000</v>
          </cell>
          <cell r="AM634">
            <v>1650000</v>
          </cell>
          <cell r="AN634">
            <v>33000</v>
          </cell>
          <cell r="AO634">
            <v>150000</v>
          </cell>
          <cell r="AP634">
            <v>2850000</v>
          </cell>
          <cell r="AQ634"/>
          <cell r="AR634">
            <v>2850000</v>
          </cell>
          <cell r="AS634">
            <v>0</v>
          </cell>
          <cell r="AT634">
            <v>2850000</v>
          </cell>
          <cell r="AU634">
            <v>100000</v>
          </cell>
          <cell r="AV634">
            <v>2750000</v>
          </cell>
          <cell r="AW634">
            <v>0</v>
          </cell>
          <cell r="AX634">
            <v>2750000</v>
          </cell>
        </row>
        <row r="635">
          <cell r="G635" t="str">
            <v>AGM-01-028-011</v>
          </cell>
          <cell r="H635" t="str">
            <v xml:space="preserve">Raemulan Lands, Inc. </v>
          </cell>
          <cell r="I635" t="str">
            <v>Agapeya</v>
          </cell>
          <cell r="J635" t="str">
            <v>AGM</v>
          </cell>
          <cell r="K635" t="str">
            <v>Eco-High</v>
          </cell>
          <cell r="L635" t="str">
            <v>West</v>
          </cell>
          <cell r="M635" t="str">
            <v>With LTS - 2024</v>
          </cell>
          <cell r="N635" t="str">
            <v>YES</v>
          </cell>
          <cell r="O635" t="str">
            <v>YES</v>
          </cell>
          <cell r="P635" t="str">
            <v>Unaffected lots</v>
          </cell>
          <cell r="Q635" t="str">
            <v>YES</v>
          </cell>
          <cell r="R635">
            <v>70</v>
          </cell>
          <cell r="S635" t="str">
            <v>PCS-04-034298</v>
          </cell>
          <cell r="T635" t="str">
            <v>TCT-060-2024021746</v>
          </cell>
          <cell r="U635" t="b">
            <v>1</v>
          </cell>
          <cell r="V635" t="str">
            <v>Done</v>
          </cell>
          <cell r="W635" t="str">
            <v>2024 Batch</v>
          </cell>
          <cell r="X635" t="str">
            <v>2024 Batch</v>
          </cell>
          <cell r="Y635">
            <v>28</v>
          </cell>
          <cell r="Z635">
            <v>11</v>
          </cell>
          <cell r="AA635" t="str">
            <v>H+L</v>
          </cell>
          <cell r="AB635">
            <v>70</v>
          </cell>
          <cell r="AC635">
            <v>50</v>
          </cell>
          <cell r="AD635" t="str">
            <v>Slant</v>
          </cell>
          <cell r="AE635" t="str">
            <v>Duplex</v>
          </cell>
          <cell r="AF635" t="str">
            <v>326 - With Partition</v>
          </cell>
          <cell r="AG635" t="str">
            <v>With Partition</v>
          </cell>
          <cell r="AH635" t="str">
            <v>With Partition</v>
          </cell>
          <cell r="AI635" t="str">
            <v>PURPLE</v>
          </cell>
          <cell r="AJ635" t="str">
            <v>Slant / PURPLE</v>
          </cell>
          <cell r="AK635">
            <v>1050000</v>
          </cell>
          <cell r="AL635">
            <v>15000</v>
          </cell>
          <cell r="AM635">
            <v>1650000</v>
          </cell>
          <cell r="AN635">
            <v>33000</v>
          </cell>
          <cell r="AO635">
            <v>150000</v>
          </cell>
          <cell r="AP635">
            <v>2850000</v>
          </cell>
          <cell r="AQ635"/>
          <cell r="AR635">
            <v>2850000</v>
          </cell>
          <cell r="AS635">
            <v>0</v>
          </cell>
          <cell r="AT635">
            <v>2850000</v>
          </cell>
          <cell r="AU635">
            <v>100000</v>
          </cell>
          <cell r="AV635">
            <v>2750000</v>
          </cell>
          <cell r="AW635">
            <v>0</v>
          </cell>
          <cell r="AX635">
            <v>2750000</v>
          </cell>
        </row>
        <row r="636">
          <cell r="G636" t="str">
            <v>AGM-01-028-012</v>
          </cell>
          <cell r="H636" t="str">
            <v xml:space="preserve">Raemulan Lands, Inc. </v>
          </cell>
          <cell r="I636" t="str">
            <v>Agapeya</v>
          </cell>
          <cell r="J636" t="str">
            <v>AGM</v>
          </cell>
          <cell r="K636" t="str">
            <v>Eco-High</v>
          </cell>
          <cell r="L636" t="str">
            <v>West</v>
          </cell>
          <cell r="M636" t="str">
            <v>With LTS - 2024</v>
          </cell>
          <cell r="N636" t="str">
            <v>YES</v>
          </cell>
          <cell r="O636" t="str">
            <v>YES</v>
          </cell>
          <cell r="P636" t="str">
            <v>Unaffected lots</v>
          </cell>
          <cell r="Q636" t="str">
            <v>YES</v>
          </cell>
          <cell r="R636">
            <v>70</v>
          </cell>
          <cell r="S636" t="str">
            <v>PCS-04-034298</v>
          </cell>
          <cell r="T636" t="str">
            <v>TCT-060-2024021747</v>
          </cell>
          <cell r="U636" t="b">
            <v>1</v>
          </cell>
          <cell r="V636" t="str">
            <v>Done</v>
          </cell>
          <cell r="W636" t="str">
            <v>2024 Batch</v>
          </cell>
          <cell r="X636" t="str">
            <v>2024 Batch</v>
          </cell>
          <cell r="Y636">
            <v>28</v>
          </cell>
          <cell r="Z636">
            <v>12</v>
          </cell>
          <cell r="AA636" t="str">
            <v>H+L</v>
          </cell>
          <cell r="AB636">
            <v>70</v>
          </cell>
          <cell r="AC636">
            <v>50</v>
          </cell>
          <cell r="AD636" t="str">
            <v>Flat</v>
          </cell>
          <cell r="AE636" t="str">
            <v>Duplex</v>
          </cell>
          <cell r="AF636" t="str">
            <v>326 - With Partition</v>
          </cell>
          <cell r="AG636" t="str">
            <v>With Partition</v>
          </cell>
          <cell r="AH636" t="str">
            <v>With Partition</v>
          </cell>
          <cell r="AI636" t="str">
            <v>PURPLE</v>
          </cell>
          <cell r="AJ636" t="str">
            <v>Flat / PURPLE</v>
          </cell>
          <cell r="AK636">
            <v>1050000</v>
          </cell>
          <cell r="AL636">
            <v>15000</v>
          </cell>
          <cell r="AM636">
            <v>1650000</v>
          </cell>
          <cell r="AN636">
            <v>33000</v>
          </cell>
          <cell r="AO636">
            <v>150000</v>
          </cell>
          <cell r="AP636">
            <v>2850000</v>
          </cell>
          <cell r="AQ636"/>
          <cell r="AR636">
            <v>2850000</v>
          </cell>
          <cell r="AS636">
            <v>0</v>
          </cell>
          <cell r="AT636">
            <v>2850000</v>
          </cell>
          <cell r="AU636">
            <v>100000</v>
          </cell>
          <cell r="AV636">
            <v>2750000</v>
          </cell>
          <cell r="AW636">
            <v>0</v>
          </cell>
          <cell r="AX636">
            <v>2750000</v>
          </cell>
        </row>
        <row r="637">
          <cell r="G637" t="str">
            <v>AGM-01-028-013</v>
          </cell>
          <cell r="H637" t="str">
            <v xml:space="preserve">Raemulan Lands, Inc. </v>
          </cell>
          <cell r="I637" t="str">
            <v>Agapeya</v>
          </cell>
          <cell r="J637" t="str">
            <v>AGM</v>
          </cell>
          <cell r="K637" t="str">
            <v>Eco-High</v>
          </cell>
          <cell r="L637" t="str">
            <v>West</v>
          </cell>
          <cell r="M637" t="str">
            <v>With LTS - 2024</v>
          </cell>
          <cell r="N637" t="str">
            <v>YES</v>
          </cell>
          <cell r="O637" t="str">
            <v>YES</v>
          </cell>
          <cell r="P637" t="str">
            <v>Unaffected lots</v>
          </cell>
          <cell r="Q637" t="str">
            <v>YES</v>
          </cell>
          <cell r="R637">
            <v>70</v>
          </cell>
          <cell r="S637" t="str">
            <v>PCS-04-034298</v>
          </cell>
          <cell r="T637" t="str">
            <v>TCT-060-2024021748</v>
          </cell>
          <cell r="U637" t="b">
            <v>1</v>
          </cell>
          <cell r="V637" t="str">
            <v>Done</v>
          </cell>
          <cell r="W637" t="str">
            <v>2024 Batch</v>
          </cell>
          <cell r="X637" t="str">
            <v>2024 Batch</v>
          </cell>
          <cell r="Y637">
            <v>28</v>
          </cell>
          <cell r="Z637">
            <v>13</v>
          </cell>
          <cell r="AA637" t="str">
            <v>H+L</v>
          </cell>
          <cell r="AB637">
            <v>70</v>
          </cell>
          <cell r="AC637">
            <v>50</v>
          </cell>
          <cell r="AD637" t="str">
            <v>Flat</v>
          </cell>
          <cell r="AE637" t="str">
            <v>Duplex</v>
          </cell>
          <cell r="AF637" t="str">
            <v>326 - With Partition</v>
          </cell>
          <cell r="AG637" t="str">
            <v>With Partition</v>
          </cell>
          <cell r="AH637" t="str">
            <v>With Partition</v>
          </cell>
          <cell r="AI637" t="str">
            <v>PINK</v>
          </cell>
          <cell r="AJ637" t="str">
            <v>Flat / PINK</v>
          </cell>
          <cell r="AK637">
            <v>1050000</v>
          </cell>
          <cell r="AL637">
            <v>15000</v>
          </cell>
          <cell r="AM637">
            <v>1650000</v>
          </cell>
          <cell r="AN637">
            <v>33000</v>
          </cell>
          <cell r="AO637">
            <v>150000</v>
          </cell>
          <cell r="AP637">
            <v>2850000</v>
          </cell>
          <cell r="AQ637"/>
          <cell r="AR637">
            <v>2850000</v>
          </cell>
          <cell r="AS637">
            <v>0</v>
          </cell>
          <cell r="AT637">
            <v>2850000</v>
          </cell>
          <cell r="AU637">
            <v>100000</v>
          </cell>
          <cell r="AV637">
            <v>2750000</v>
          </cell>
          <cell r="AW637">
            <v>0</v>
          </cell>
          <cell r="AX637">
            <v>2750000</v>
          </cell>
        </row>
        <row r="638">
          <cell r="G638" t="str">
            <v>AGM-01-028-014</v>
          </cell>
          <cell r="H638" t="str">
            <v xml:space="preserve">Raemulan Lands, Inc. </v>
          </cell>
          <cell r="I638" t="str">
            <v>Agapeya</v>
          </cell>
          <cell r="J638" t="str">
            <v>AGM</v>
          </cell>
          <cell r="K638" t="str">
            <v>Eco-High</v>
          </cell>
          <cell r="L638" t="str">
            <v>West</v>
          </cell>
          <cell r="M638" t="str">
            <v>With LTS - 2024</v>
          </cell>
          <cell r="N638" t="str">
            <v>YES</v>
          </cell>
          <cell r="O638" t="str">
            <v>YES</v>
          </cell>
          <cell r="P638" t="str">
            <v>Unaffected lots</v>
          </cell>
          <cell r="Q638" t="str">
            <v>YES</v>
          </cell>
          <cell r="R638">
            <v>70</v>
          </cell>
          <cell r="S638" t="str">
            <v>PCS-04-034298</v>
          </cell>
          <cell r="T638" t="str">
            <v>TCT-060-2024021749</v>
          </cell>
          <cell r="U638" t="b">
            <v>1</v>
          </cell>
          <cell r="V638" t="str">
            <v>Done</v>
          </cell>
          <cell r="W638" t="str">
            <v>2024 Batch</v>
          </cell>
          <cell r="X638" t="str">
            <v>2024 Batch</v>
          </cell>
          <cell r="Y638">
            <v>28</v>
          </cell>
          <cell r="Z638">
            <v>14</v>
          </cell>
          <cell r="AA638" t="str">
            <v>H+L</v>
          </cell>
          <cell r="AB638">
            <v>70</v>
          </cell>
          <cell r="AC638">
            <v>50</v>
          </cell>
          <cell r="AD638" t="str">
            <v>Slant</v>
          </cell>
          <cell r="AE638" t="str">
            <v>Duplex</v>
          </cell>
          <cell r="AF638" t="str">
            <v>326 - With Partition</v>
          </cell>
          <cell r="AG638" t="str">
            <v>With Partition</v>
          </cell>
          <cell r="AH638" t="str">
            <v>With Partition</v>
          </cell>
          <cell r="AI638" t="str">
            <v>PINK</v>
          </cell>
          <cell r="AJ638" t="str">
            <v>Slant / PINK</v>
          </cell>
          <cell r="AK638">
            <v>1050000</v>
          </cell>
          <cell r="AL638">
            <v>15000</v>
          </cell>
          <cell r="AM638">
            <v>1650000</v>
          </cell>
          <cell r="AN638">
            <v>33000</v>
          </cell>
          <cell r="AO638">
            <v>150000</v>
          </cell>
          <cell r="AP638">
            <v>2850000</v>
          </cell>
          <cell r="AQ638"/>
          <cell r="AR638">
            <v>2850000</v>
          </cell>
          <cell r="AS638">
            <v>0</v>
          </cell>
          <cell r="AT638">
            <v>2850000</v>
          </cell>
          <cell r="AU638">
            <v>100000</v>
          </cell>
          <cell r="AV638">
            <v>2750000</v>
          </cell>
          <cell r="AW638">
            <v>0</v>
          </cell>
          <cell r="AX638">
            <v>2750000</v>
          </cell>
        </row>
        <row r="639">
          <cell r="G639" t="str">
            <v>AGM-01-028-015</v>
          </cell>
          <cell r="H639" t="str">
            <v xml:space="preserve">Raemulan Lands, Inc. </v>
          </cell>
          <cell r="I639" t="str">
            <v>Agapeya</v>
          </cell>
          <cell r="J639" t="str">
            <v>AGM</v>
          </cell>
          <cell r="K639" t="str">
            <v>Eco-High</v>
          </cell>
          <cell r="L639" t="str">
            <v>West</v>
          </cell>
          <cell r="M639" t="str">
            <v>With LTS - 2024</v>
          </cell>
          <cell r="N639" t="str">
            <v>YES</v>
          </cell>
          <cell r="O639" t="str">
            <v>YES</v>
          </cell>
          <cell r="P639" t="str">
            <v>Unaffected lots</v>
          </cell>
          <cell r="Q639" t="str">
            <v>YES</v>
          </cell>
          <cell r="R639">
            <v>70</v>
          </cell>
          <cell r="S639" t="str">
            <v>PCS-04-034298</v>
          </cell>
          <cell r="T639" t="str">
            <v>TCT-060-2024021750</v>
          </cell>
          <cell r="U639" t="b">
            <v>1</v>
          </cell>
          <cell r="V639" t="str">
            <v>Done</v>
          </cell>
          <cell r="W639" t="str">
            <v>2024 Batch</v>
          </cell>
          <cell r="X639" t="str">
            <v>2024 Batch</v>
          </cell>
          <cell r="Y639">
            <v>28</v>
          </cell>
          <cell r="Z639">
            <v>15</v>
          </cell>
          <cell r="AA639" t="str">
            <v>H+L</v>
          </cell>
          <cell r="AB639">
            <v>70</v>
          </cell>
          <cell r="AC639">
            <v>50</v>
          </cell>
          <cell r="AD639" t="str">
            <v>Slant</v>
          </cell>
          <cell r="AE639" t="str">
            <v>Duplex</v>
          </cell>
          <cell r="AF639" t="str">
            <v>326 - With Partition</v>
          </cell>
          <cell r="AG639" t="str">
            <v>With Partition</v>
          </cell>
          <cell r="AH639" t="str">
            <v>With Partition</v>
          </cell>
          <cell r="AI639" t="str">
            <v>PINK</v>
          </cell>
          <cell r="AJ639" t="str">
            <v>Slant / PINK</v>
          </cell>
          <cell r="AK639">
            <v>1050000</v>
          </cell>
          <cell r="AL639">
            <v>15000</v>
          </cell>
          <cell r="AM639">
            <v>1650000</v>
          </cell>
          <cell r="AN639">
            <v>33000</v>
          </cell>
          <cell r="AO639">
            <v>150000</v>
          </cell>
          <cell r="AP639">
            <v>2850000</v>
          </cell>
          <cell r="AQ639"/>
          <cell r="AR639">
            <v>2850000</v>
          </cell>
          <cell r="AS639">
            <v>0</v>
          </cell>
          <cell r="AT639">
            <v>2850000</v>
          </cell>
          <cell r="AU639">
            <v>100000</v>
          </cell>
          <cell r="AV639">
            <v>2750000</v>
          </cell>
          <cell r="AW639">
            <v>0</v>
          </cell>
          <cell r="AX639">
            <v>2750000</v>
          </cell>
        </row>
        <row r="640">
          <cell r="G640" t="str">
            <v>AGM-01-028-016</v>
          </cell>
          <cell r="H640" t="str">
            <v xml:space="preserve">Raemulan Lands, Inc. </v>
          </cell>
          <cell r="I640" t="str">
            <v>Agapeya</v>
          </cell>
          <cell r="J640" t="str">
            <v>AGM</v>
          </cell>
          <cell r="K640" t="str">
            <v>Eco-High</v>
          </cell>
          <cell r="L640" t="str">
            <v>West</v>
          </cell>
          <cell r="M640" t="str">
            <v>With LTS - 2024</v>
          </cell>
          <cell r="N640" t="str">
            <v>YES</v>
          </cell>
          <cell r="O640" t="str">
            <v>YES</v>
          </cell>
          <cell r="P640" t="str">
            <v>Unaffected lots</v>
          </cell>
          <cell r="Q640" t="str">
            <v>YES</v>
          </cell>
          <cell r="R640">
            <v>70</v>
          </cell>
          <cell r="S640" t="str">
            <v>PCS-04-034298</v>
          </cell>
          <cell r="T640" t="str">
            <v>TCT-060-2024021751</v>
          </cell>
          <cell r="U640" t="b">
            <v>1</v>
          </cell>
          <cell r="V640" t="str">
            <v>Done</v>
          </cell>
          <cell r="W640" t="str">
            <v>2024 Batch</v>
          </cell>
          <cell r="X640" t="str">
            <v>2024 Batch</v>
          </cell>
          <cell r="Y640">
            <v>28</v>
          </cell>
          <cell r="Z640">
            <v>16</v>
          </cell>
          <cell r="AA640" t="str">
            <v>H+L</v>
          </cell>
          <cell r="AB640">
            <v>70</v>
          </cell>
          <cell r="AC640">
            <v>50</v>
          </cell>
          <cell r="AD640" t="str">
            <v>Flat</v>
          </cell>
          <cell r="AE640" t="str">
            <v>Duplex</v>
          </cell>
          <cell r="AF640" t="str">
            <v>326 - With Partition</v>
          </cell>
          <cell r="AG640" t="str">
            <v xml:space="preserve">Without Partition </v>
          </cell>
          <cell r="AH640" t="str">
            <v xml:space="preserve">Without Partition </v>
          </cell>
          <cell r="AI640" t="str">
            <v>PINK</v>
          </cell>
          <cell r="AJ640" t="str">
            <v>Flat / PINK</v>
          </cell>
          <cell r="AK640">
            <v>1050000</v>
          </cell>
          <cell r="AL640">
            <v>15000</v>
          </cell>
          <cell r="AM640">
            <v>1650000</v>
          </cell>
          <cell r="AN640">
            <v>33000</v>
          </cell>
          <cell r="AO640">
            <v>150000</v>
          </cell>
          <cell r="AP640">
            <v>2850000</v>
          </cell>
          <cell r="AQ640"/>
          <cell r="AR640">
            <v>2850000</v>
          </cell>
          <cell r="AS640">
            <v>200000</v>
          </cell>
          <cell r="AT640">
            <v>2650000</v>
          </cell>
          <cell r="AU640">
            <v>100000</v>
          </cell>
          <cell r="AV640">
            <v>2550000</v>
          </cell>
          <cell r="AW640">
            <v>0</v>
          </cell>
          <cell r="AX640">
            <v>2550000</v>
          </cell>
        </row>
        <row r="641">
          <cell r="G641" t="str">
            <v>AGM-01-028-017</v>
          </cell>
          <cell r="H641" t="str">
            <v xml:space="preserve">Raemulan Lands, Inc. </v>
          </cell>
          <cell r="I641" t="str">
            <v>Agapeya</v>
          </cell>
          <cell r="J641" t="str">
            <v>AGM</v>
          </cell>
          <cell r="K641" t="str">
            <v>Eco-High</v>
          </cell>
          <cell r="L641" t="str">
            <v>West</v>
          </cell>
          <cell r="M641" t="str">
            <v>With LTS - 2024</v>
          </cell>
          <cell r="N641" t="str">
            <v>YES</v>
          </cell>
          <cell r="O641" t="str">
            <v>YES</v>
          </cell>
          <cell r="P641" t="str">
            <v>Unaffected lots</v>
          </cell>
          <cell r="Q641" t="str">
            <v>YES</v>
          </cell>
          <cell r="R641">
            <v>70</v>
          </cell>
          <cell r="S641" t="str">
            <v>PCS-04-034298</v>
          </cell>
          <cell r="T641" t="str">
            <v>TCT-060-2024021752</v>
          </cell>
          <cell r="U641" t="b">
            <v>1</v>
          </cell>
          <cell r="V641" t="str">
            <v>Done</v>
          </cell>
          <cell r="W641" t="str">
            <v>2024 Batch</v>
          </cell>
          <cell r="X641" t="str">
            <v>2024 Batch</v>
          </cell>
          <cell r="Y641">
            <v>28</v>
          </cell>
          <cell r="Z641">
            <v>17</v>
          </cell>
          <cell r="AA641" t="str">
            <v>H+L</v>
          </cell>
          <cell r="AB641">
            <v>70</v>
          </cell>
          <cell r="AC641">
            <v>50</v>
          </cell>
          <cell r="AD641" t="str">
            <v>Flat</v>
          </cell>
          <cell r="AE641" t="str">
            <v>Duplex</v>
          </cell>
          <cell r="AF641" t="str">
            <v>326 - With Partition</v>
          </cell>
          <cell r="AG641" t="str">
            <v>With Partition</v>
          </cell>
          <cell r="AH641" t="str">
            <v>With Partition</v>
          </cell>
          <cell r="AI641" t="str">
            <v>YELLOW</v>
          </cell>
          <cell r="AJ641" t="str">
            <v>Flat / YELLOW</v>
          </cell>
          <cell r="AK641">
            <v>1050000</v>
          </cell>
          <cell r="AL641">
            <v>15000</v>
          </cell>
          <cell r="AM641">
            <v>1650000</v>
          </cell>
          <cell r="AN641">
            <v>33000</v>
          </cell>
          <cell r="AO641">
            <v>150000</v>
          </cell>
          <cell r="AP641">
            <v>2850000</v>
          </cell>
          <cell r="AQ641"/>
          <cell r="AR641">
            <v>2850000</v>
          </cell>
          <cell r="AS641">
            <v>0</v>
          </cell>
          <cell r="AT641">
            <v>2850000</v>
          </cell>
          <cell r="AU641">
            <v>100000</v>
          </cell>
          <cell r="AV641">
            <v>2750000</v>
          </cell>
          <cell r="AW641">
            <v>0</v>
          </cell>
          <cell r="AX641">
            <v>2750000</v>
          </cell>
        </row>
        <row r="642">
          <cell r="G642" t="str">
            <v>AGM-01-028-018</v>
          </cell>
          <cell r="H642" t="str">
            <v xml:space="preserve">Raemulan Lands, Inc. </v>
          </cell>
          <cell r="I642" t="str">
            <v>Agapeya</v>
          </cell>
          <cell r="J642" t="str">
            <v>AGM</v>
          </cell>
          <cell r="K642" t="str">
            <v>Eco-High</v>
          </cell>
          <cell r="L642" t="str">
            <v>West</v>
          </cell>
          <cell r="M642" t="str">
            <v>With LTS - 2024</v>
          </cell>
          <cell r="N642" t="str">
            <v>YES</v>
          </cell>
          <cell r="O642" t="str">
            <v>YES</v>
          </cell>
          <cell r="P642" t="str">
            <v>Unaffected lots</v>
          </cell>
          <cell r="Q642" t="str">
            <v>YES</v>
          </cell>
          <cell r="R642">
            <v>70</v>
          </cell>
          <cell r="S642" t="str">
            <v>PCS-04-034298</v>
          </cell>
          <cell r="T642" t="str">
            <v>TCT-060-2024021753</v>
          </cell>
          <cell r="U642" t="b">
            <v>1</v>
          </cell>
          <cell r="V642" t="str">
            <v>Done</v>
          </cell>
          <cell r="W642" t="str">
            <v>2024 Batch</v>
          </cell>
          <cell r="X642" t="str">
            <v>2024 Batch</v>
          </cell>
          <cell r="Y642">
            <v>28</v>
          </cell>
          <cell r="Z642">
            <v>18</v>
          </cell>
          <cell r="AA642" t="str">
            <v>H+L</v>
          </cell>
          <cell r="AB642">
            <v>70</v>
          </cell>
          <cell r="AC642">
            <v>50</v>
          </cell>
          <cell r="AD642" t="str">
            <v>Slant</v>
          </cell>
          <cell r="AE642" t="str">
            <v>Duplex</v>
          </cell>
          <cell r="AF642" t="str">
            <v>326 - With Partition</v>
          </cell>
          <cell r="AG642" t="str">
            <v>With Partition</v>
          </cell>
          <cell r="AH642" t="str">
            <v>With Partition</v>
          </cell>
          <cell r="AI642" t="str">
            <v>YELLOW</v>
          </cell>
          <cell r="AJ642" t="str">
            <v>Slant / YELLOW</v>
          </cell>
          <cell r="AK642">
            <v>1050000</v>
          </cell>
          <cell r="AL642">
            <v>15000</v>
          </cell>
          <cell r="AM642">
            <v>1650000</v>
          </cell>
          <cell r="AN642">
            <v>33000</v>
          </cell>
          <cell r="AO642">
            <v>150000</v>
          </cell>
          <cell r="AP642">
            <v>2850000</v>
          </cell>
          <cell r="AQ642"/>
          <cell r="AR642">
            <v>2850000</v>
          </cell>
          <cell r="AS642">
            <v>0</v>
          </cell>
          <cell r="AT642">
            <v>2850000</v>
          </cell>
          <cell r="AU642">
            <v>100000</v>
          </cell>
          <cell r="AV642">
            <v>2750000</v>
          </cell>
          <cell r="AW642">
            <v>0</v>
          </cell>
          <cell r="AX642">
            <v>2750000</v>
          </cell>
        </row>
        <row r="643">
          <cell r="G643" t="str">
            <v>AGM-01-028-019</v>
          </cell>
          <cell r="H643" t="str">
            <v xml:space="preserve">Raemulan Lands, Inc. </v>
          </cell>
          <cell r="I643" t="str">
            <v>Agapeya</v>
          </cell>
          <cell r="J643" t="str">
            <v>AGM</v>
          </cell>
          <cell r="K643" t="str">
            <v>Eco-High</v>
          </cell>
          <cell r="L643" t="str">
            <v>West</v>
          </cell>
          <cell r="M643" t="str">
            <v>With LTS - 2024</v>
          </cell>
          <cell r="N643" t="str">
            <v>YES</v>
          </cell>
          <cell r="O643" t="str">
            <v>YES</v>
          </cell>
          <cell r="P643" t="str">
            <v>Unaffected lots</v>
          </cell>
          <cell r="Q643" t="str">
            <v>YES</v>
          </cell>
          <cell r="R643">
            <v>70</v>
          </cell>
          <cell r="S643" t="str">
            <v>PCS-04-034298</v>
          </cell>
          <cell r="T643" t="str">
            <v>TCT-060-2024021754</v>
          </cell>
          <cell r="U643" t="b">
            <v>1</v>
          </cell>
          <cell r="V643" t="str">
            <v>Done</v>
          </cell>
          <cell r="W643" t="str">
            <v>2024 Batch</v>
          </cell>
          <cell r="X643" t="str">
            <v>2024 Batch</v>
          </cell>
          <cell r="Y643">
            <v>28</v>
          </cell>
          <cell r="Z643">
            <v>19</v>
          </cell>
          <cell r="AA643" t="str">
            <v>H+L</v>
          </cell>
          <cell r="AB643">
            <v>70</v>
          </cell>
          <cell r="AC643">
            <v>50</v>
          </cell>
          <cell r="AD643" t="str">
            <v>Slant</v>
          </cell>
          <cell r="AE643" t="str">
            <v>Duplex</v>
          </cell>
          <cell r="AF643" t="str">
            <v>326 - With Partition</v>
          </cell>
          <cell r="AG643" t="str">
            <v>With Partition</v>
          </cell>
          <cell r="AH643" t="str">
            <v>With Partition</v>
          </cell>
          <cell r="AI643" t="str">
            <v>YELLOW</v>
          </cell>
          <cell r="AJ643" t="str">
            <v>Slant / YELLOW</v>
          </cell>
          <cell r="AK643">
            <v>1050000</v>
          </cell>
          <cell r="AL643">
            <v>15000</v>
          </cell>
          <cell r="AM643">
            <v>1650000</v>
          </cell>
          <cell r="AN643">
            <v>33000</v>
          </cell>
          <cell r="AO643">
            <v>150000</v>
          </cell>
          <cell r="AP643">
            <v>2850000</v>
          </cell>
          <cell r="AQ643"/>
          <cell r="AR643">
            <v>2850000</v>
          </cell>
          <cell r="AS643">
            <v>0</v>
          </cell>
          <cell r="AT643">
            <v>2850000</v>
          </cell>
          <cell r="AU643">
            <v>100000</v>
          </cell>
          <cell r="AV643">
            <v>2750000</v>
          </cell>
          <cell r="AW643">
            <v>0</v>
          </cell>
          <cell r="AX643">
            <v>2750000</v>
          </cell>
        </row>
        <row r="644">
          <cell r="G644" t="str">
            <v>AGM-01-028-020</v>
          </cell>
          <cell r="H644" t="str">
            <v xml:space="preserve">Raemulan Lands, Inc. </v>
          </cell>
          <cell r="I644" t="str">
            <v>Agapeya</v>
          </cell>
          <cell r="J644" t="str">
            <v>AGM</v>
          </cell>
          <cell r="K644" t="str">
            <v>Eco-High</v>
          </cell>
          <cell r="L644" t="str">
            <v>West</v>
          </cell>
          <cell r="M644" t="str">
            <v>With LTS - 2024</v>
          </cell>
          <cell r="N644" t="str">
            <v>YES</v>
          </cell>
          <cell r="O644" t="str">
            <v>YES</v>
          </cell>
          <cell r="P644" t="str">
            <v>Unaffected lots</v>
          </cell>
          <cell r="Q644" t="str">
            <v>YES</v>
          </cell>
          <cell r="R644">
            <v>81</v>
          </cell>
          <cell r="S644" t="str">
            <v>PCS-04-034298</v>
          </cell>
          <cell r="T644" t="str">
            <v>TCT-060-2024021755</v>
          </cell>
          <cell r="U644" t="b">
            <v>1</v>
          </cell>
          <cell r="V644" t="str">
            <v>Done</v>
          </cell>
          <cell r="W644" t="str">
            <v>2024 Batch</v>
          </cell>
          <cell r="X644" t="str">
            <v>2024 Batch</v>
          </cell>
          <cell r="Y644">
            <v>28</v>
          </cell>
          <cell r="Z644">
            <v>20</v>
          </cell>
          <cell r="AA644" t="str">
            <v>H+L</v>
          </cell>
          <cell r="AB644">
            <v>81</v>
          </cell>
          <cell r="AC644">
            <v>50</v>
          </cell>
          <cell r="AD644" t="str">
            <v>Flat</v>
          </cell>
          <cell r="AE644" t="str">
            <v>Duplex</v>
          </cell>
          <cell r="AF644" t="str">
            <v>326 - With Partition</v>
          </cell>
          <cell r="AG644" t="str">
            <v>With Partition</v>
          </cell>
          <cell r="AH644" t="str">
            <v>With Partition</v>
          </cell>
          <cell r="AI644" t="str">
            <v>YELLOW</v>
          </cell>
          <cell r="AJ644" t="str">
            <v>Flat / YELLOW</v>
          </cell>
          <cell r="AK644">
            <v>1215000</v>
          </cell>
          <cell r="AL644">
            <v>15000</v>
          </cell>
          <cell r="AM644">
            <v>1650000</v>
          </cell>
          <cell r="AN644">
            <v>33000</v>
          </cell>
          <cell r="AO644">
            <v>150000</v>
          </cell>
          <cell r="AP644">
            <v>3015000</v>
          </cell>
          <cell r="AQ644"/>
          <cell r="AR644">
            <v>3015000</v>
          </cell>
          <cell r="AS644">
            <v>0</v>
          </cell>
          <cell r="AT644">
            <v>3015000</v>
          </cell>
          <cell r="AU644">
            <v>100000</v>
          </cell>
          <cell r="AV644">
            <v>2915000</v>
          </cell>
          <cell r="AW644">
            <v>0</v>
          </cell>
          <cell r="AX644">
            <v>2915000</v>
          </cell>
        </row>
        <row r="645">
          <cell r="G645" t="str">
            <v>AGM-01-028-021</v>
          </cell>
          <cell r="H645" t="str">
            <v xml:space="preserve">Raemulan Lands, Inc. </v>
          </cell>
          <cell r="I645" t="str">
            <v>Agapeya</v>
          </cell>
          <cell r="J645" t="str">
            <v>AGM</v>
          </cell>
          <cell r="K645" t="str">
            <v>Eco-High</v>
          </cell>
          <cell r="L645" t="str">
            <v>West</v>
          </cell>
          <cell r="M645" t="str">
            <v>With LTS - 2024</v>
          </cell>
          <cell r="N645" t="str">
            <v>YES</v>
          </cell>
          <cell r="O645" t="str">
            <v>YES</v>
          </cell>
          <cell r="P645" t="str">
            <v>Unaffected lots</v>
          </cell>
          <cell r="Q645" t="str">
            <v>YES</v>
          </cell>
          <cell r="R645">
            <v>81</v>
          </cell>
          <cell r="S645" t="str">
            <v>PCS-04-034298</v>
          </cell>
          <cell r="T645" t="str">
            <v>TCT-060-2024021756</v>
          </cell>
          <cell r="U645" t="b">
            <v>1</v>
          </cell>
          <cell r="V645" t="str">
            <v>Done</v>
          </cell>
          <cell r="W645" t="str">
            <v>2024 Batch</v>
          </cell>
          <cell r="X645" t="str">
            <v>2024 Batch</v>
          </cell>
          <cell r="Y645">
            <v>28</v>
          </cell>
          <cell r="Z645">
            <v>21</v>
          </cell>
          <cell r="AA645" t="str">
            <v>H+L</v>
          </cell>
          <cell r="AB645">
            <v>81</v>
          </cell>
          <cell r="AC645">
            <v>50</v>
          </cell>
          <cell r="AD645" t="str">
            <v>Slant</v>
          </cell>
          <cell r="AE645" t="str">
            <v>Duplex</v>
          </cell>
          <cell r="AF645" t="str">
            <v>326 - With Partition</v>
          </cell>
          <cell r="AG645" t="str">
            <v xml:space="preserve">Without Partition </v>
          </cell>
          <cell r="AH645" t="str">
            <v xml:space="preserve">Without Partition </v>
          </cell>
          <cell r="AI645" t="str">
            <v>GREEN</v>
          </cell>
          <cell r="AJ645" t="str">
            <v>Slant / GREEN</v>
          </cell>
          <cell r="AK645">
            <v>1215000</v>
          </cell>
          <cell r="AL645">
            <v>15000</v>
          </cell>
          <cell r="AM645">
            <v>1650000</v>
          </cell>
          <cell r="AN645">
            <v>33000</v>
          </cell>
          <cell r="AO645">
            <v>150000</v>
          </cell>
          <cell r="AP645">
            <v>3015000</v>
          </cell>
          <cell r="AQ645"/>
          <cell r="AR645">
            <v>3015000</v>
          </cell>
          <cell r="AS645">
            <v>200000</v>
          </cell>
          <cell r="AT645">
            <v>2815000</v>
          </cell>
          <cell r="AU645">
            <v>100000</v>
          </cell>
          <cell r="AV645">
            <v>2715000</v>
          </cell>
          <cell r="AW645">
            <v>0</v>
          </cell>
          <cell r="AX645">
            <v>2715000</v>
          </cell>
        </row>
        <row r="646">
          <cell r="G646" t="str">
            <v>AGM-01-028-022</v>
          </cell>
          <cell r="H646" t="str">
            <v xml:space="preserve">Raemulan Lands, Inc. </v>
          </cell>
          <cell r="I646" t="str">
            <v>Agapeya</v>
          </cell>
          <cell r="J646" t="str">
            <v>AGM</v>
          </cell>
          <cell r="K646" t="str">
            <v>Eco-High</v>
          </cell>
          <cell r="L646" t="str">
            <v>West</v>
          </cell>
          <cell r="M646" t="str">
            <v>With LTS - 2024</v>
          </cell>
          <cell r="N646" t="str">
            <v>YES</v>
          </cell>
          <cell r="O646" t="str">
            <v>YES</v>
          </cell>
          <cell r="P646" t="str">
            <v>Unaffected lots</v>
          </cell>
          <cell r="Q646" t="str">
            <v>YES</v>
          </cell>
          <cell r="R646">
            <v>70</v>
          </cell>
          <cell r="S646" t="str">
            <v>PCS-04-034298</v>
          </cell>
          <cell r="T646" t="str">
            <v>TCT-060-2024021757</v>
          </cell>
          <cell r="U646" t="b">
            <v>1</v>
          </cell>
          <cell r="V646" t="str">
            <v>Done</v>
          </cell>
          <cell r="W646" t="str">
            <v>2024 Batch</v>
          </cell>
          <cell r="X646" t="str">
            <v>2024 Batch</v>
          </cell>
          <cell r="Y646">
            <v>28</v>
          </cell>
          <cell r="Z646">
            <v>22</v>
          </cell>
          <cell r="AA646" t="str">
            <v>H+L</v>
          </cell>
          <cell r="AB646">
            <v>70</v>
          </cell>
          <cell r="AC646">
            <v>50</v>
          </cell>
          <cell r="AD646" t="str">
            <v>Flat</v>
          </cell>
          <cell r="AE646" t="str">
            <v>Duplex</v>
          </cell>
          <cell r="AF646" t="str">
            <v>326 - With Partition</v>
          </cell>
          <cell r="AG646" t="str">
            <v>With Partition</v>
          </cell>
          <cell r="AH646" t="str">
            <v>With Partition</v>
          </cell>
          <cell r="AI646" t="str">
            <v>GREEN</v>
          </cell>
          <cell r="AJ646" t="str">
            <v>Flat / GREEN</v>
          </cell>
          <cell r="AK646">
            <v>1050000</v>
          </cell>
          <cell r="AL646">
            <v>15000</v>
          </cell>
          <cell r="AM646">
            <v>1650000</v>
          </cell>
          <cell r="AN646">
            <v>33000</v>
          </cell>
          <cell r="AO646">
            <v>150000</v>
          </cell>
          <cell r="AP646">
            <v>2850000</v>
          </cell>
          <cell r="AQ646"/>
          <cell r="AR646">
            <v>2850000</v>
          </cell>
          <cell r="AS646">
            <v>0</v>
          </cell>
          <cell r="AT646">
            <v>2850000</v>
          </cell>
          <cell r="AU646">
            <v>100000</v>
          </cell>
          <cell r="AV646">
            <v>2750000</v>
          </cell>
          <cell r="AW646">
            <v>0</v>
          </cell>
          <cell r="AX646">
            <v>2750000</v>
          </cell>
        </row>
        <row r="647">
          <cell r="G647" t="str">
            <v>AGM-01-028-023</v>
          </cell>
          <cell r="H647" t="str">
            <v xml:space="preserve">Raemulan Lands, Inc. </v>
          </cell>
          <cell r="I647" t="str">
            <v>Agapeya</v>
          </cell>
          <cell r="J647" t="str">
            <v>AGM</v>
          </cell>
          <cell r="K647" t="str">
            <v>Eco-High</v>
          </cell>
          <cell r="L647" t="str">
            <v>West</v>
          </cell>
          <cell r="M647" t="str">
            <v>With LTS - 2024</v>
          </cell>
          <cell r="N647" t="str">
            <v>YES</v>
          </cell>
          <cell r="O647" t="str">
            <v>YES</v>
          </cell>
          <cell r="P647" t="str">
            <v>Unaffected lots</v>
          </cell>
          <cell r="Q647" t="str">
            <v>YES</v>
          </cell>
          <cell r="R647">
            <v>70</v>
          </cell>
          <cell r="S647" t="str">
            <v>PCS-04-034298</v>
          </cell>
          <cell r="T647" t="str">
            <v>TCT-060-2024021758</v>
          </cell>
          <cell r="U647" t="b">
            <v>1</v>
          </cell>
          <cell r="V647" t="str">
            <v>Done</v>
          </cell>
          <cell r="W647" t="str">
            <v>2024 Batch</v>
          </cell>
          <cell r="X647" t="str">
            <v>2024 Batch</v>
          </cell>
          <cell r="Y647">
            <v>28</v>
          </cell>
          <cell r="Z647">
            <v>23</v>
          </cell>
          <cell r="AA647" t="str">
            <v>H+L</v>
          </cell>
          <cell r="AB647">
            <v>70</v>
          </cell>
          <cell r="AC647">
            <v>50</v>
          </cell>
          <cell r="AD647" t="str">
            <v>Flat</v>
          </cell>
          <cell r="AE647" t="str">
            <v>Duplex</v>
          </cell>
          <cell r="AF647" t="str">
            <v>326 - With Partition</v>
          </cell>
          <cell r="AG647" t="str">
            <v xml:space="preserve">Without Partition </v>
          </cell>
          <cell r="AH647" t="str">
            <v>With Partition</v>
          </cell>
          <cell r="AI647" t="str">
            <v>GREEN</v>
          </cell>
          <cell r="AJ647" t="str">
            <v>Flat / GREEN</v>
          </cell>
          <cell r="AK647">
            <v>1050000</v>
          </cell>
          <cell r="AL647">
            <v>15000</v>
          </cell>
          <cell r="AM647">
            <v>1650000</v>
          </cell>
          <cell r="AN647">
            <v>33000</v>
          </cell>
          <cell r="AO647">
            <v>150000</v>
          </cell>
          <cell r="AP647">
            <v>2850000</v>
          </cell>
          <cell r="AQ647"/>
          <cell r="AR647">
            <v>2850000</v>
          </cell>
          <cell r="AS647">
            <v>0</v>
          </cell>
          <cell r="AT647">
            <v>2850000</v>
          </cell>
          <cell r="AU647">
            <v>100000</v>
          </cell>
          <cell r="AV647">
            <v>2750000</v>
          </cell>
          <cell r="AW647">
            <v>0</v>
          </cell>
          <cell r="AX647">
            <v>2750000</v>
          </cell>
        </row>
        <row r="648">
          <cell r="G648" t="str">
            <v>AGM-01-028-024</v>
          </cell>
          <cell r="H648" t="str">
            <v xml:space="preserve">Raemulan Lands, Inc. </v>
          </cell>
          <cell r="I648" t="str">
            <v>Agapeya</v>
          </cell>
          <cell r="J648" t="str">
            <v>AGM</v>
          </cell>
          <cell r="K648" t="str">
            <v>Eco-High</v>
          </cell>
          <cell r="L648" t="str">
            <v>West</v>
          </cell>
          <cell r="M648" t="str">
            <v>With LTS - 2024</v>
          </cell>
          <cell r="N648" t="str">
            <v>YES</v>
          </cell>
          <cell r="O648" t="str">
            <v>YES</v>
          </cell>
          <cell r="P648" t="str">
            <v>Unaffected lots</v>
          </cell>
          <cell r="Q648" t="str">
            <v>YES</v>
          </cell>
          <cell r="R648">
            <v>70</v>
          </cell>
          <cell r="S648" t="str">
            <v>PCS-04-034298</v>
          </cell>
          <cell r="T648" t="str">
            <v>TCT-060-2024021759</v>
          </cell>
          <cell r="U648" t="b">
            <v>1</v>
          </cell>
          <cell r="V648" t="str">
            <v>Done</v>
          </cell>
          <cell r="W648" t="str">
            <v>2024 Batch</v>
          </cell>
          <cell r="X648" t="str">
            <v>2024 Batch</v>
          </cell>
          <cell r="Y648">
            <v>28</v>
          </cell>
          <cell r="Z648">
            <v>24</v>
          </cell>
          <cell r="AA648" t="str">
            <v>H+L</v>
          </cell>
          <cell r="AB648">
            <v>70</v>
          </cell>
          <cell r="AC648">
            <v>50</v>
          </cell>
          <cell r="AD648" t="str">
            <v>Slant</v>
          </cell>
          <cell r="AE648" t="str">
            <v>Duplex</v>
          </cell>
          <cell r="AF648" t="str">
            <v>326 - With Partition</v>
          </cell>
          <cell r="AG648" t="str">
            <v>With Partition</v>
          </cell>
          <cell r="AH648" t="str">
            <v>With Partition</v>
          </cell>
          <cell r="AI648" t="str">
            <v>GREEN</v>
          </cell>
          <cell r="AJ648" t="str">
            <v>Slant / GREEN</v>
          </cell>
          <cell r="AK648">
            <v>1050000</v>
          </cell>
          <cell r="AL648">
            <v>15000</v>
          </cell>
          <cell r="AM648">
            <v>1650000</v>
          </cell>
          <cell r="AN648">
            <v>33000</v>
          </cell>
          <cell r="AO648">
            <v>150000</v>
          </cell>
          <cell r="AP648">
            <v>2850000</v>
          </cell>
          <cell r="AQ648"/>
          <cell r="AR648">
            <v>2850000</v>
          </cell>
          <cell r="AS648">
            <v>0</v>
          </cell>
          <cell r="AT648">
            <v>2850000</v>
          </cell>
          <cell r="AU648">
            <v>100000</v>
          </cell>
          <cell r="AV648">
            <v>2750000</v>
          </cell>
          <cell r="AW648">
            <v>0</v>
          </cell>
          <cell r="AX648">
            <v>2750000</v>
          </cell>
        </row>
        <row r="649">
          <cell r="G649" t="str">
            <v>AGM-01-028-025</v>
          </cell>
          <cell r="H649" t="str">
            <v xml:space="preserve">Raemulan Lands, Inc. </v>
          </cell>
          <cell r="I649" t="str">
            <v>Agapeya</v>
          </cell>
          <cell r="J649" t="str">
            <v>AGM</v>
          </cell>
          <cell r="K649" t="str">
            <v>Eco-High</v>
          </cell>
          <cell r="L649" t="str">
            <v>West</v>
          </cell>
          <cell r="M649" t="str">
            <v>With LTS - 2024</v>
          </cell>
          <cell r="N649" t="str">
            <v>YES</v>
          </cell>
          <cell r="O649" t="str">
            <v>YES</v>
          </cell>
          <cell r="P649" t="str">
            <v>Unaffected lots</v>
          </cell>
          <cell r="Q649" t="str">
            <v>YES</v>
          </cell>
          <cell r="R649">
            <v>70</v>
          </cell>
          <cell r="S649" t="str">
            <v>PCS-04-034298</v>
          </cell>
          <cell r="T649" t="str">
            <v>TCT-060-2024021760</v>
          </cell>
          <cell r="U649" t="b">
            <v>1</v>
          </cell>
          <cell r="V649" t="str">
            <v>Done</v>
          </cell>
          <cell r="W649" t="str">
            <v>2024 Batch</v>
          </cell>
          <cell r="X649" t="str">
            <v>2024 Batch</v>
          </cell>
          <cell r="Y649">
            <v>28</v>
          </cell>
          <cell r="Z649">
            <v>25</v>
          </cell>
          <cell r="AA649" t="str">
            <v>H+L</v>
          </cell>
          <cell r="AB649">
            <v>70</v>
          </cell>
          <cell r="AC649">
            <v>50</v>
          </cell>
          <cell r="AD649" t="str">
            <v>Slant</v>
          </cell>
          <cell r="AE649" t="str">
            <v>Duplex</v>
          </cell>
          <cell r="AF649" t="str">
            <v>326 - With Partition</v>
          </cell>
          <cell r="AG649" t="str">
            <v xml:space="preserve">Without Partition </v>
          </cell>
          <cell r="AH649" t="str">
            <v>With Partition</v>
          </cell>
          <cell r="AI649" t="str">
            <v>YELLOW</v>
          </cell>
          <cell r="AJ649" t="str">
            <v>Slant / YELLOW</v>
          </cell>
          <cell r="AK649">
            <v>1050000</v>
          </cell>
          <cell r="AL649">
            <v>15000</v>
          </cell>
          <cell r="AM649">
            <v>1650000</v>
          </cell>
          <cell r="AN649">
            <v>33000</v>
          </cell>
          <cell r="AO649">
            <v>150000</v>
          </cell>
          <cell r="AP649">
            <v>2850000</v>
          </cell>
          <cell r="AQ649"/>
          <cell r="AR649">
            <v>2850000</v>
          </cell>
          <cell r="AS649">
            <v>0</v>
          </cell>
          <cell r="AT649">
            <v>2850000</v>
          </cell>
          <cell r="AU649">
            <v>100000</v>
          </cell>
          <cell r="AV649">
            <v>2750000</v>
          </cell>
          <cell r="AW649">
            <v>0</v>
          </cell>
          <cell r="AX649">
            <v>2750000</v>
          </cell>
        </row>
        <row r="650">
          <cell r="G650" t="str">
            <v>AGM-01-028-026</v>
          </cell>
          <cell r="H650" t="str">
            <v xml:space="preserve">Raemulan Lands, Inc. </v>
          </cell>
          <cell r="I650" t="str">
            <v>Agapeya</v>
          </cell>
          <cell r="J650" t="str">
            <v>AGM</v>
          </cell>
          <cell r="K650" t="str">
            <v>Eco-High</v>
          </cell>
          <cell r="L650" t="str">
            <v>West</v>
          </cell>
          <cell r="M650" t="str">
            <v>With LTS - 2024</v>
          </cell>
          <cell r="N650" t="str">
            <v>YES</v>
          </cell>
          <cell r="O650" t="str">
            <v>YES</v>
          </cell>
          <cell r="P650" t="str">
            <v>Unaffected lots</v>
          </cell>
          <cell r="Q650" t="str">
            <v>YES</v>
          </cell>
          <cell r="R650">
            <v>70</v>
          </cell>
          <cell r="S650" t="str">
            <v>PCS-04-034298</v>
          </cell>
          <cell r="T650" t="str">
            <v>TCT-060-2024021761</v>
          </cell>
          <cell r="U650" t="b">
            <v>1</v>
          </cell>
          <cell r="V650" t="str">
            <v>Done</v>
          </cell>
          <cell r="W650" t="str">
            <v>2024 Batch</v>
          </cell>
          <cell r="X650" t="str">
            <v>2024 Batch</v>
          </cell>
          <cell r="Y650">
            <v>28</v>
          </cell>
          <cell r="Z650">
            <v>26</v>
          </cell>
          <cell r="AA650" t="str">
            <v>H+L</v>
          </cell>
          <cell r="AB650">
            <v>70</v>
          </cell>
          <cell r="AC650">
            <v>50</v>
          </cell>
          <cell r="AD650" t="str">
            <v>Flat</v>
          </cell>
          <cell r="AE650" t="str">
            <v>Duplex</v>
          </cell>
          <cell r="AF650" t="str">
            <v>326 - With Partition</v>
          </cell>
          <cell r="AG650" t="str">
            <v xml:space="preserve">Without Partition </v>
          </cell>
          <cell r="AH650" t="str">
            <v xml:space="preserve">Without Partition </v>
          </cell>
          <cell r="AI650" t="str">
            <v>YELLOW</v>
          </cell>
          <cell r="AJ650" t="str">
            <v>Flat / YELLOW</v>
          </cell>
          <cell r="AK650">
            <v>1050000</v>
          </cell>
          <cell r="AL650">
            <v>15000</v>
          </cell>
          <cell r="AM650">
            <v>1650000</v>
          </cell>
          <cell r="AN650">
            <v>33000</v>
          </cell>
          <cell r="AO650">
            <v>150000</v>
          </cell>
          <cell r="AP650">
            <v>2850000</v>
          </cell>
          <cell r="AQ650"/>
          <cell r="AR650">
            <v>2850000</v>
          </cell>
          <cell r="AS650">
            <v>200000</v>
          </cell>
          <cell r="AT650">
            <v>2650000</v>
          </cell>
          <cell r="AU650">
            <v>100000</v>
          </cell>
          <cell r="AV650">
            <v>2550000</v>
          </cell>
          <cell r="AW650">
            <v>0</v>
          </cell>
          <cell r="AX650">
            <v>2550000</v>
          </cell>
        </row>
        <row r="651">
          <cell r="G651" t="str">
            <v>AGM-01-028-027</v>
          </cell>
          <cell r="H651" t="str">
            <v xml:space="preserve">Raemulan Lands, Inc. </v>
          </cell>
          <cell r="I651" t="str">
            <v>Agapeya</v>
          </cell>
          <cell r="J651" t="str">
            <v>AGM</v>
          </cell>
          <cell r="K651" t="str">
            <v>Eco-High</v>
          </cell>
          <cell r="L651" t="str">
            <v>West</v>
          </cell>
          <cell r="M651" t="str">
            <v>With LTS - 2024</v>
          </cell>
          <cell r="N651" t="str">
            <v>YES</v>
          </cell>
          <cell r="O651" t="str">
            <v>YES</v>
          </cell>
          <cell r="P651" t="str">
            <v>Unaffected lots</v>
          </cell>
          <cell r="Q651" t="str">
            <v>YES</v>
          </cell>
          <cell r="R651">
            <v>70</v>
          </cell>
          <cell r="S651" t="str">
            <v>PCS-04-034298</v>
          </cell>
          <cell r="T651" t="str">
            <v>TCT-060-2024021762</v>
          </cell>
          <cell r="U651" t="b">
            <v>1</v>
          </cell>
          <cell r="V651" t="str">
            <v>Done</v>
          </cell>
          <cell r="W651" t="str">
            <v>2024 Batch</v>
          </cell>
          <cell r="X651" t="str">
            <v>2024 Batch</v>
          </cell>
          <cell r="Y651">
            <v>28</v>
          </cell>
          <cell r="Z651">
            <v>27</v>
          </cell>
          <cell r="AA651" t="str">
            <v>H+L</v>
          </cell>
          <cell r="AB651">
            <v>70</v>
          </cell>
          <cell r="AC651">
            <v>50</v>
          </cell>
          <cell r="AD651" t="str">
            <v>Flat</v>
          </cell>
          <cell r="AE651" t="str">
            <v>Duplex</v>
          </cell>
          <cell r="AF651" t="str">
            <v>326 - With Partition</v>
          </cell>
          <cell r="AG651" t="str">
            <v>With Partition</v>
          </cell>
          <cell r="AH651" t="str">
            <v>With Partition</v>
          </cell>
          <cell r="AI651" t="str">
            <v>YELLOW</v>
          </cell>
          <cell r="AJ651" t="str">
            <v>Flat / YELLOW</v>
          </cell>
          <cell r="AK651">
            <v>1050000</v>
          </cell>
          <cell r="AL651">
            <v>15000</v>
          </cell>
          <cell r="AM651">
            <v>1650000</v>
          </cell>
          <cell r="AN651">
            <v>33000</v>
          </cell>
          <cell r="AO651">
            <v>150000</v>
          </cell>
          <cell r="AP651">
            <v>2850000</v>
          </cell>
          <cell r="AQ651"/>
          <cell r="AR651">
            <v>2850000</v>
          </cell>
          <cell r="AS651">
            <v>0</v>
          </cell>
          <cell r="AT651">
            <v>2850000</v>
          </cell>
          <cell r="AU651">
            <v>100000</v>
          </cell>
          <cell r="AV651">
            <v>2750000</v>
          </cell>
          <cell r="AW651">
            <v>0</v>
          </cell>
          <cell r="AX651">
            <v>2750000</v>
          </cell>
        </row>
        <row r="652">
          <cell r="G652" t="str">
            <v>AGM-01-028-028</v>
          </cell>
          <cell r="H652" t="str">
            <v xml:space="preserve">Raemulan Lands, Inc. </v>
          </cell>
          <cell r="I652" t="str">
            <v>Agapeya</v>
          </cell>
          <cell r="J652" t="str">
            <v>AGM</v>
          </cell>
          <cell r="K652" t="str">
            <v>Eco-High</v>
          </cell>
          <cell r="L652" t="str">
            <v>West</v>
          </cell>
          <cell r="M652" t="str">
            <v>With LTS - 2024</v>
          </cell>
          <cell r="N652" t="str">
            <v>YES</v>
          </cell>
          <cell r="O652" t="str">
            <v>YES</v>
          </cell>
          <cell r="P652" t="str">
            <v>Unaffected lots</v>
          </cell>
          <cell r="Q652" t="str">
            <v>YES</v>
          </cell>
          <cell r="R652">
            <v>70</v>
          </cell>
          <cell r="S652" t="str">
            <v>PCS-04-034298</v>
          </cell>
          <cell r="T652" t="str">
            <v>TCT-060-2024021763</v>
          </cell>
          <cell r="U652" t="b">
            <v>1</v>
          </cell>
          <cell r="V652" t="str">
            <v>Done</v>
          </cell>
          <cell r="W652" t="str">
            <v>2024 Batch</v>
          </cell>
          <cell r="X652" t="str">
            <v>2024 Batch</v>
          </cell>
          <cell r="Y652">
            <v>28</v>
          </cell>
          <cell r="Z652">
            <v>28</v>
          </cell>
          <cell r="AA652" t="str">
            <v>H+L</v>
          </cell>
          <cell r="AB652">
            <v>70</v>
          </cell>
          <cell r="AC652">
            <v>50</v>
          </cell>
          <cell r="AD652" t="str">
            <v>Slant</v>
          </cell>
          <cell r="AE652" t="str">
            <v>Duplex</v>
          </cell>
          <cell r="AF652" t="str">
            <v>326 - With Partition</v>
          </cell>
          <cell r="AG652" t="str">
            <v>With Partition</v>
          </cell>
          <cell r="AH652" t="str">
            <v>With Partition</v>
          </cell>
          <cell r="AI652" t="str">
            <v>YELLOW</v>
          </cell>
          <cell r="AJ652" t="str">
            <v>Slant / YELLOW</v>
          </cell>
          <cell r="AK652">
            <v>1050000</v>
          </cell>
          <cell r="AL652">
            <v>15000</v>
          </cell>
          <cell r="AM652">
            <v>1650000</v>
          </cell>
          <cell r="AN652">
            <v>33000</v>
          </cell>
          <cell r="AO652">
            <v>150000</v>
          </cell>
          <cell r="AP652">
            <v>2850000</v>
          </cell>
          <cell r="AQ652"/>
          <cell r="AR652">
            <v>2850000</v>
          </cell>
          <cell r="AS652">
            <v>0</v>
          </cell>
          <cell r="AT652">
            <v>2850000</v>
          </cell>
          <cell r="AU652">
            <v>100000</v>
          </cell>
          <cell r="AV652">
            <v>2750000</v>
          </cell>
          <cell r="AW652">
            <v>0</v>
          </cell>
          <cell r="AX652">
            <v>2750000</v>
          </cell>
        </row>
        <row r="653">
          <cell r="G653" t="str">
            <v>AGM-01-028-029</v>
          </cell>
          <cell r="H653" t="str">
            <v xml:space="preserve">Raemulan Lands, Inc. </v>
          </cell>
          <cell r="I653" t="str">
            <v>Agapeya</v>
          </cell>
          <cell r="J653" t="str">
            <v>AGM</v>
          </cell>
          <cell r="K653" t="str">
            <v>Eco-High</v>
          </cell>
          <cell r="L653" t="str">
            <v>West</v>
          </cell>
          <cell r="M653" t="str">
            <v>With LTS - 2024</v>
          </cell>
          <cell r="N653" t="str">
            <v>YES</v>
          </cell>
          <cell r="O653" t="str">
            <v>YES</v>
          </cell>
          <cell r="P653" t="str">
            <v>Unaffected lots</v>
          </cell>
          <cell r="Q653" t="str">
            <v>YES</v>
          </cell>
          <cell r="R653">
            <v>70</v>
          </cell>
          <cell r="S653" t="str">
            <v>PCS-04-034298</v>
          </cell>
          <cell r="T653" t="str">
            <v>TCT-060-2024021764</v>
          </cell>
          <cell r="U653" t="b">
            <v>1</v>
          </cell>
          <cell r="V653" t="str">
            <v>Done</v>
          </cell>
          <cell r="W653" t="str">
            <v>2024 Batch</v>
          </cell>
          <cell r="X653" t="str">
            <v>2024 Batch</v>
          </cell>
          <cell r="Y653">
            <v>28</v>
          </cell>
          <cell r="Z653">
            <v>29</v>
          </cell>
          <cell r="AA653" t="str">
            <v>H+L</v>
          </cell>
          <cell r="AB653">
            <v>70</v>
          </cell>
          <cell r="AC653">
            <v>50</v>
          </cell>
          <cell r="AD653" t="str">
            <v>Slant</v>
          </cell>
          <cell r="AE653" t="str">
            <v>Duplex</v>
          </cell>
          <cell r="AF653" t="str">
            <v>326 - With Partition</v>
          </cell>
          <cell r="AG653" t="str">
            <v>With Partition</v>
          </cell>
          <cell r="AH653" t="str">
            <v>With Partition</v>
          </cell>
          <cell r="AI653" t="str">
            <v>PINK</v>
          </cell>
          <cell r="AJ653" t="str">
            <v>Slant / PINK</v>
          </cell>
          <cell r="AK653">
            <v>1050000</v>
          </cell>
          <cell r="AL653">
            <v>15000</v>
          </cell>
          <cell r="AM653">
            <v>1650000</v>
          </cell>
          <cell r="AN653">
            <v>33000</v>
          </cell>
          <cell r="AO653">
            <v>150000</v>
          </cell>
          <cell r="AP653">
            <v>2850000</v>
          </cell>
          <cell r="AQ653"/>
          <cell r="AR653">
            <v>2850000</v>
          </cell>
          <cell r="AS653">
            <v>0</v>
          </cell>
          <cell r="AT653">
            <v>2850000</v>
          </cell>
          <cell r="AU653">
            <v>100000</v>
          </cell>
          <cell r="AV653">
            <v>2750000</v>
          </cell>
          <cell r="AW653">
            <v>0</v>
          </cell>
          <cell r="AX653">
            <v>2750000</v>
          </cell>
        </row>
        <row r="654">
          <cell r="G654" t="str">
            <v>AGM-01-028-030</v>
          </cell>
          <cell r="H654" t="str">
            <v xml:space="preserve">Raemulan Lands, Inc. </v>
          </cell>
          <cell r="I654" t="str">
            <v>Agapeya</v>
          </cell>
          <cell r="J654" t="str">
            <v>AGM</v>
          </cell>
          <cell r="K654" t="str">
            <v>Eco-High</v>
          </cell>
          <cell r="L654" t="str">
            <v>West</v>
          </cell>
          <cell r="M654" t="str">
            <v>With LTS - 2024</v>
          </cell>
          <cell r="N654" t="str">
            <v>YES</v>
          </cell>
          <cell r="O654" t="str">
            <v>YES</v>
          </cell>
          <cell r="P654" t="str">
            <v>Unaffected lots</v>
          </cell>
          <cell r="Q654" t="str">
            <v>YES</v>
          </cell>
          <cell r="R654">
            <v>70</v>
          </cell>
          <cell r="S654" t="str">
            <v>PCS-04-034298</v>
          </cell>
          <cell r="T654" t="str">
            <v>TCT-060-2024021765</v>
          </cell>
          <cell r="U654" t="b">
            <v>1</v>
          </cell>
          <cell r="V654" t="str">
            <v>Done</v>
          </cell>
          <cell r="W654" t="str">
            <v>2024 Batch</v>
          </cell>
          <cell r="X654" t="str">
            <v>2024 Batch</v>
          </cell>
          <cell r="Y654">
            <v>28</v>
          </cell>
          <cell r="Z654">
            <v>30</v>
          </cell>
          <cell r="AA654" t="str">
            <v>H+L</v>
          </cell>
          <cell r="AB654">
            <v>70</v>
          </cell>
          <cell r="AC654">
            <v>50</v>
          </cell>
          <cell r="AD654" t="str">
            <v>Flat</v>
          </cell>
          <cell r="AE654" t="str">
            <v>Duplex</v>
          </cell>
          <cell r="AF654" t="str">
            <v>326 - With Partition</v>
          </cell>
          <cell r="AG654" t="str">
            <v>With Partition</v>
          </cell>
          <cell r="AH654" t="str">
            <v>With Partition</v>
          </cell>
          <cell r="AI654" t="str">
            <v>PINK</v>
          </cell>
          <cell r="AJ654" t="str">
            <v>Flat / PINK</v>
          </cell>
          <cell r="AK654">
            <v>1050000</v>
          </cell>
          <cell r="AL654">
            <v>15000</v>
          </cell>
          <cell r="AM654">
            <v>1650000</v>
          </cell>
          <cell r="AN654">
            <v>33000</v>
          </cell>
          <cell r="AO654">
            <v>150000</v>
          </cell>
          <cell r="AP654">
            <v>2850000</v>
          </cell>
          <cell r="AQ654"/>
          <cell r="AR654">
            <v>2850000</v>
          </cell>
          <cell r="AS654">
            <v>0</v>
          </cell>
          <cell r="AT654">
            <v>2850000</v>
          </cell>
          <cell r="AU654">
            <v>100000</v>
          </cell>
          <cell r="AV654">
            <v>2750000</v>
          </cell>
          <cell r="AW654">
            <v>0</v>
          </cell>
          <cell r="AX654">
            <v>2750000</v>
          </cell>
        </row>
        <row r="655">
          <cell r="G655" t="str">
            <v>AGM-01-028-031</v>
          </cell>
          <cell r="H655" t="str">
            <v xml:space="preserve">Raemulan Lands, Inc. </v>
          </cell>
          <cell r="I655" t="str">
            <v>Agapeya</v>
          </cell>
          <cell r="J655" t="str">
            <v>AGM</v>
          </cell>
          <cell r="K655" t="str">
            <v>Eco-High</v>
          </cell>
          <cell r="L655" t="str">
            <v>West</v>
          </cell>
          <cell r="M655" t="str">
            <v>With LTS - 2024</v>
          </cell>
          <cell r="N655" t="str">
            <v>YES</v>
          </cell>
          <cell r="O655" t="str">
            <v>YES</v>
          </cell>
          <cell r="P655" t="str">
            <v>Unaffected lots</v>
          </cell>
          <cell r="Q655" t="str">
            <v>YES</v>
          </cell>
          <cell r="R655">
            <v>70</v>
          </cell>
          <cell r="S655" t="str">
            <v>PCS-04-034298</v>
          </cell>
          <cell r="T655" t="str">
            <v>TCT-060-2024021766</v>
          </cell>
          <cell r="U655" t="b">
            <v>1</v>
          </cell>
          <cell r="V655" t="str">
            <v>Done</v>
          </cell>
          <cell r="W655" t="str">
            <v>2024 Batch</v>
          </cell>
          <cell r="X655" t="str">
            <v>2024 Batch</v>
          </cell>
          <cell r="Y655">
            <v>28</v>
          </cell>
          <cell r="Z655">
            <v>31</v>
          </cell>
          <cell r="AA655" t="str">
            <v>H+L</v>
          </cell>
          <cell r="AB655">
            <v>70</v>
          </cell>
          <cell r="AC655">
            <v>50</v>
          </cell>
          <cell r="AD655" t="str">
            <v>Flat</v>
          </cell>
          <cell r="AE655" t="str">
            <v>Duplex</v>
          </cell>
          <cell r="AF655" t="str">
            <v>326 - With Partition</v>
          </cell>
          <cell r="AG655" t="str">
            <v>With Partition</v>
          </cell>
          <cell r="AH655" t="str">
            <v>With Partition</v>
          </cell>
          <cell r="AI655" t="str">
            <v>PINK</v>
          </cell>
          <cell r="AJ655" t="str">
            <v>Flat / PINK</v>
          </cell>
          <cell r="AK655">
            <v>1050000</v>
          </cell>
          <cell r="AL655">
            <v>15000</v>
          </cell>
          <cell r="AM655">
            <v>1650000</v>
          </cell>
          <cell r="AN655">
            <v>33000</v>
          </cell>
          <cell r="AO655">
            <v>150000</v>
          </cell>
          <cell r="AP655">
            <v>2850000</v>
          </cell>
          <cell r="AQ655"/>
          <cell r="AR655">
            <v>2850000</v>
          </cell>
          <cell r="AS655">
            <v>0</v>
          </cell>
          <cell r="AT655">
            <v>2850000</v>
          </cell>
          <cell r="AU655">
            <v>100000</v>
          </cell>
          <cell r="AV655">
            <v>2750000</v>
          </cell>
          <cell r="AW655">
            <v>0</v>
          </cell>
          <cell r="AX655">
            <v>2750000</v>
          </cell>
        </row>
        <row r="656">
          <cell r="G656" t="str">
            <v>AGM-01-028-032</v>
          </cell>
          <cell r="H656" t="str">
            <v xml:space="preserve">Raemulan Lands, Inc. </v>
          </cell>
          <cell r="I656" t="str">
            <v>Agapeya</v>
          </cell>
          <cell r="J656" t="str">
            <v>AGM</v>
          </cell>
          <cell r="K656" t="str">
            <v>Eco-High</v>
          </cell>
          <cell r="L656" t="str">
            <v>West</v>
          </cell>
          <cell r="M656" t="str">
            <v>With LTS - 2024</v>
          </cell>
          <cell r="N656" t="str">
            <v>YES</v>
          </cell>
          <cell r="O656" t="str">
            <v>YES</v>
          </cell>
          <cell r="P656" t="str">
            <v>Unaffected lots</v>
          </cell>
          <cell r="Q656" t="str">
            <v>YES</v>
          </cell>
          <cell r="R656">
            <v>70</v>
          </cell>
          <cell r="S656" t="str">
            <v>PCS-04-034298</v>
          </cell>
          <cell r="T656" t="str">
            <v>TCT-060-2024021767</v>
          </cell>
          <cell r="U656" t="b">
            <v>1</v>
          </cell>
          <cell r="V656" t="str">
            <v>Done</v>
          </cell>
          <cell r="W656" t="str">
            <v>2024 Batch</v>
          </cell>
          <cell r="X656" t="str">
            <v>2024 Batch</v>
          </cell>
          <cell r="Y656">
            <v>28</v>
          </cell>
          <cell r="Z656">
            <v>32</v>
          </cell>
          <cell r="AA656" t="str">
            <v>H+L</v>
          </cell>
          <cell r="AB656">
            <v>70</v>
          </cell>
          <cell r="AC656">
            <v>50</v>
          </cell>
          <cell r="AD656" t="str">
            <v>Slant</v>
          </cell>
          <cell r="AE656" t="str">
            <v>Duplex</v>
          </cell>
          <cell r="AF656" t="str">
            <v>326 - With Partition</v>
          </cell>
          <cell r="AG656" t="str">
            <v>With Partition</v>
          </cell>
          <cell r="AH656" t="str">
            <v>With Partition</v>
          </cell>
          <cell r="AI656" t="str">
            <v>PINK</v>
          </cell>
          <cell r="AJ656" t="str">
            <v>Slant / PINK</v>
          </cell>
          <cell r="AK656">
            <v>1050000</v>
          </cell>
          <cell r="AL656">
            <v>15000</v>
          </cell>
          <cell r="AM656">
            <v>1650000</v>
          </cell>
          <cell r="AN656">
            <v>33000</v>
          </cell>
          <cell r="AO656">
            <v>150000</v>
          </cell>
          <cell r="AP656">
            <v>2850000</v>
          </cell>
          <cell r="AQ656"/>
          <cell r="AR656">
            <v>2850000</v>
          </cell>
          <cell r="AS656">
            <v>0</v>
          </cell>
          <cell r="AT656">
            <v>2850000</v>
          </cell>
          <cell r="AU656">
            <v>100000</v>
          </cell>
          <cell r="AV656">
            <v>2750000</v>
          </cell>
          <cell r="AW656">
            <v>0</v>
          </cell>
          <cell r="AX656">
            <v>2750000</v>
          </cell>
        </row>
        <row r="657">
          <cell r="G657" t="str">
            <v>AGM-01-028-033</v>
          </cell>
          <cell r="H657" t="str">
            <v xml:space="preserve">Raemulan Lands, Inc. </v>
          </cell>
          <cell r="I657" t="str">
            <v>Agapeya</v>
          </cell>
          <cell r="J657" t="str">
            <v>AGM</v>
          </cell>
          <cell r="K657" t="str">
            <v>Eco-High</v>
          </cell>
          <cell r="L657" t="str">
            <v>West</v>
          </cell>
          <cell r="M657" t="str">
            <v>With LTS - 2024</v>
          </cell>
          <cell r="N657" t="str">
            <v>YES</v>
          </cell>
          <cell r="O657" t="str">
            <v>YES</v>
          </cell>
          <cell r="P657" t="str">
            <v>Unaffected lots</v>
          </cell>
          <cell r="Q657" t="str">
            <v>YES</v>
          </cell>
          <cell r="R657">
            <v>70</v>
          </cell>
          <cell r="S657" t="str">
            <v>PCS-04-034298</v>
          </cell>
          <cell r="T657" t="str">
            <v>TCT-060-2024021768</v>
          </cell>
          <cell r="U657" t="b">
            <v>1</v>
          </cell>
          <cell r="V657" t="str">
            <v>Done</v>
          </cell>
          <cell r="W657" t="str">
            <v>2024 Batch</v>
          </cell>
          <cell r="X657" t="str">
            <v>2024 Batch</v>
          </cell>
          <cell r="Y657">
            <v>28</v>
          </cell>
          <cell r="Z657">
            <v>33</v>
          </cell>
          <cell r="AA657" t="str">
            <v>H+L</v>
          </cell>
          <cell r="AB657">
            <v>70</v>
          </cell>
          <cell r="AC657">
            <v>50</v>
          </cell>
          <cell r="AD657" t="str">
            <v>Slant</v>
          </cell>
          <cell r="AE657" t="str">
            <v>Duplex</v>
          </cell>
          <cell r="AF657" t="str">
            <v>326 - With Partition</v>
          </cell>
          <cell r="AG657" t="str">
            <v xml:space="preserve">Without Partition </v>
          </cell>
          <cell r="AH657" t="str">
            <v>With Partition</v>
          </cell>
          <cell r="AI657" t="str">
            <v>PURPLE</v>
          </cell>
          <cell r="AJ657" t="str">
            <v>Slant / PURPLE</v>
          </cell>
          <cell r="AK657">
            <v>1050000</v>
          </cell>
          <cell r="AL657">
            <v>15000</v>
          </cell>
          <cell r="AM657">
            <v>1650000</v>
          </cell>
          <cell r="AN657">
            <v>33000</v>
          </cell>
          <cell r="AO657">
            <v>150000</v>
          </cell>
          <cell r="AP657">
            <v>2850000</v>
          </cell>
          <cell r="AQ657"/>
          <cell r="AR657">
            <v>2850000</v>
          </cell>
          <cell r="AS657">
            <v>0</v>
          </cell>
          <cell r="AT657">
            <v>2850000</v>
          </cell>
          <cell r="AU657">
            <v>100000</v>
          </cell>
          <cell r="AV657">
            <v>2750000</v>
          </cell>
          <cell r="AW657">
            <v>0</v>
          </cell>
          <cell r="AX657">
            <v>2750000</v>
          </cell>
        </row>
        <row r="658">
          <cell r="G658" t="str">
            <v>AGM-01-028-034</v>
          </cell>
          <cell r="H658" t="str">
            <v xml:space="preserve">Raemulan Lands, Inc. </v>
          </cell>
          <cell r="I658" t="str">
            <v>Agapeya</v>
          </cell>
          <cell r="J658" t="str">
            <v>AGM</v>
          </cell>
          <cell r="K658" t="str">
            <v>Eco-High</v>
          </cell>
          <cell r="L658" t="str">
            <v>West</v>
          </cell>
          <cell r="M658" t="str">
            <v>With LTS - 2024</v>
          </cell>
          <cell r="N658" t="str">
            <v>YES</v>
          </cell>
          <cell r="O658" t="str">
            <v>YES</v>
          </cell>
          <cell r="P658" t="str">
            <v>Unaffected lots</v>
          </cell>
          <cell r="Q658" t="str">
            <v>YES</v>
          </cell>
          <cell r="R658">
            <v>70</v>
          </cell>
          <cell r="S658" t="str">
            <v>PCS-04-034298</v>
          </cell>
          <cell r="T658" t="str">
            <v>TCT-060-2024021769</v>
          </cell>
          <cell r="U658" t="b">
            <v>1</v>
          </cell>
          <cell r="V658" t="str">
            <v>Done</v>
          </cell>
          <cell r="W658" t="str">
            <v>2024 Batch</v>
          </cell>
          <cell r="X658" t="str">
            <v>2024 Batch</v>
          </cell>
          <cell r="Y658">
            <v>28</v>
          </cell>
          <cell r="Z658">
            <v>34</v>
          </cell>
          <cell r="AA658" t="str">
            <v>H+L</v>
          </cell>
          <cell r="AB658">
            <v>70</v>
          </cell>
          <cell r="AC658">
            <v>50</v>
          </cell>
          <cell r="AD658" t="str">
            <v>Flat</v>
          </cell>
          <cell r="AE658" t="str">
            <v>Duplex</v>
          </cell>
          <cell r="AF658" t="str">
            <v>326 - With Partition</v>
          </cell>
          <cell r="AG658" t="str">
            <v xml:space="preserve">Without Partition </v>
          </cell>
          <cell r="AH658" t="str">
            <v xml:space="preserve">Without Partition </v>
          </cell>
          <cell r="AI658" t="str">
            <v>PURPLE</v>
          </cell>
          <cell r="AJ658" t="str">
            <v>Flat / PURPLE</v>
          </cell>
          <cell r="AK658">
            <v>1050000</v>
          </cell>
          <cell r="AL658">
            <v>15000</v>
          </cell>
          <cell r="AM658">
            <v>1650000</v>
          </cell>
          <cell r="AN658">
            <v>33000</v>
          </cell>
          <cell r="AO658">
            <v>150000</v>
          </cell>
          <cell r="AP658">
            <v>2850000</v>
          </cell>
          <cell r="AQ658"/>
          <cell r="AR658">
            <v>2850000</v>
          </cell>
          <cell r="AS658">
            <v>200000</v>
          </cell>
          <cell r="AT658">
            <v>2650000</v>
          </cell>
          <cell r="AU658">
            <v>100000</v>
          </cell>
          <cell r="AV658">
            <v>2550000</v>
          </cell>
          <cell r="AW658">
            <v>0</v>
          </cell>
          <cell r="AX658">
            <v>2550000</v>
          </cell>
        </row>
        <row r="659">
          <cell r="G659" t="str">
            <v>AGM-01-028-035</v>
          </cell>
          <cell r="H659" t="str">
            <v xml:space="preserve">Raemulan Lands, Inc. </v>
          </cell>
          <cell r="I659" t="str">
            <v>Agapeya</v>
          </cell>
          <cell r="J659" t="str">
            <v>AGM</v>
          </cell>
          <cell r="K659" t="str">
            <v>Eco-High</v>
          </cell>
          <cell r="L659" t="str">
            <v>West</v>
          </cell>
          <cell r="M659" t="str">
            <v>With LTS - 2024</v>
          </cell>
          <cell r="N659" t="str">
            <v>YES</v>
          </cell>
          <cell r="O659" t="str">
            <v>YES</v>
          </cell>
          <cell r="P659" t="str">
            <v>Unaffected lots</v>
          </cell>
          <cell r="Q659" t="str">
            <v>YES</v>
          </cell>
          <cell r="R659">
            <v>70</v>
          </cell>
          <cell r="S659" t="str">
            <v>PCS-04-034298</v>
          </cell>
          <cell r="T659" t="str">
            <v>TCT-060-2024021770</v>
          </cell>
          <cell r="U659" t="b">
            <v>1</v>
          </cell>
          <cell r="V659" t="str">
            <v>Done</v>
          </cell>
          <cell r="W659" t="str">
            <v>2024 Batch</v>
          </cell>
          <cell r="X659" t="str">
            <v>2024 Batch</v>
          </cell>
          <cell r="Y659">
            <v>28</v>
          </cell>
          <cell r="Z659">
            <v>35</v>
          </cell>
          <cell r="AA659" t="str">
            <v>H+L</v>
          </cell>
          <cell r="AB659">
            <v>70</v>
          </cell>
          <cell r="AC659">
            <v>50</v>
          </cell>
          <cell r="AD659" t="str">
            <v>Flat</v>
          </cell>
          <cell r="AE659" t="str">
            <v>Duplex</v>
          </cell>
          <cell r="AF659" t="str">
            <v>326 - With Partition</v>
          </cell>
          <cell r="AG659" t="str">
            <v xml:space="preserve">Without Partition </v>
          </cell>
          <cell r="AH659" t="str">
            <v xml:space="preserve">Without Partition </v>
          </cell>
          <cell r="AI659" t="str">
            <v>PURPLE</v>
          </cell>
          <cell r="AJ659" t="str">
            <v>Flat / PURPLE</v>
          </cell>
          <cell r="AK659">
            <v>1050000</v>
          </cell>
          <cell r="AL659">
            <v>15000</v>
          </cell>
          <cell r="AM659">
            <v>1650000</v>
          </cell>
          <cell r="AN659">
            <v>33000</v>
          </cell>
          <cell r="AO659">
            <v>150000</v>
          </cell>
          <cell r="AP659">
            <v>2850000</v>
          </cell>
          <cell r="AQ659"/>
          <cell r="AR659">
            <v>2850000</v>
          </cell>
          <cell r="AS659">
            <v>200000</v>
          </cell>
          <cell r="AT659">
            <v>2650000</v>
          </cell>
          <cell r="AU659">
            <v>100000</v>
          </cell>
          <cell r="AV659">
            <v>2550000</v>
          </cell>
          <cell r="AW659">
            <v>0</v>
          </cell>
          <cell r="AX659">
            <v>2550000</v>
          </cell>
        </row>
        <row r="660">
          <cell r="G660" t="str">
            <v>AGM-01-028-036</v>
          </cell>
          <cell r="H660" t="str">
            <v xml:space="preserve">Raemulan Lands, Inc. </v>
          </cell>
          <cell r="I660" t="str">
            <v>Agapeya</v>
          </cell>
          <cell r="J660" t="str">
            <v>AGM</v>
          </cell>
          <cell r="K660" t="str">
            <v>Eco-High</v>
          </cell>
          <cell r="L660" t="str">
            <v>West</v>
          </cell>
          <cell r="M660" t="str">
            <v>With LTS - 2024</v>
          </cell>
          <cell r="N660" t="str">
            <v>YES</v>
          </cell>
          <cell r="O660" t="str">
            <v>YES</v>
          </cell>
          <cell r="P660" t="str">
            <v>Unaffected lots</v>
          </cell>
          <cell r="Q660" t="str">
            <v>YES</v>
          </cell>
          <cell r="R660">
            <v>70</v>
          </cell>
          <cell r="S660" t="str">
            <v>PCS-04-034298</v>
          </cell>
          <cell r="T660" t="str">
            <v>TCT-060-2024021771</v>
          </cell>
          <cell r="U660" t="b">
            <v>1</v>
          </cell>
          <cell r="V660" t="str">
            <v>Done</v>
          </cell>
          <cell r="W660" t="str">
            <v>2024 Batch</v>
          </cell>
          <cell r="X660" t="str">
            <v>2024 Batch</v>
          </cell>
          <cell r="Y660">
            <v>28</v>
          </cell>
          <cell r="Z660">
            <v>36</v>
          </cell>
          <cell r="AA660" t="str">
            <v>H+L</v>
          </cell>
          <cell r="AB660">
            <v>70</v>
          </cell>
          <cell r="AC660">
            <v>50</v>
          </cell>
          <cell r="AD660" t="str">
            <v>Slant</v>
          </cell>
          <cell r="AE660" t="str">
            <v>Duplex</v>
          </cell>
          <cell r="AF660" t="str">
            <v>326 - With Partition</v>
          </cell>
          <cell r="AG660" t="str">
            <v>With Partition</v>
          </cell>
          <cell r="AH660" t="str">
            <v>With Partition</v>
          </cell>
          <cell r="AI660" t="str">
            <v>PURPLE</v>
          </cell>
          <cell r="AJ660" t="str">
            <v>Slant / PURPLE</v>
          </cell>
          <cell r="AK660">
            <v>1050000</v>
          </cell>
          <cell r="AL660">
            <v>15000</v>
          </cell>
          <cell r="AM660">
            <v>1650000</v>
          </cell>
          <cell r="AN660">
            <v>33000</v>
          </cell>
          <cell r="AO660">
            <v>150000</v>
          </cell>
          <cell r="AP660">
            <v>2850000</v>
          </cell>
          <cell r="AQ660"/>
          <cell r="AR660">
            <v>2850000</v>
          </cell>
          <cell r="AS660">
            <v>0</v>
          </cell>
          <cell r="AT660">
            <v>2850000</v>
          </cell>
          <cell r="AU660">
            <v>100000</v>
          </cell>
          <cell r="AV660">
            <v>2750000</v>
          </cell>
          <cell r="AW660">
            <v>0</v>
          </cell>
          <cell r="AX660">
            <v>2750000</v>
          </cell>
        </row>
        <row r="661">
          <cell r="G661" t="str">
            <v>AGM-01-028-037</v>
          </cell>
          <cell r="H661" t="str">
            <v xml:space="preserve">Raemulan Lands, Inc. </v>
          </cell>
          <cell r="I661" t="str">
            <v>Agapeya</v>
          </cell>
          <cell r="J661" t="str">
            <v>AGM</v>
          </cell>
          <cell r="K661" t="str">
            <v>Eco-High</v>
          </cell>
          <cell r="L661" t="str">
            <v>West</v>
          </cell>
          <cell r="M661" t="str">
            <v>With LTS - 2024</v>
          </cell>
          <cell r="N661" t="str">
            <v>YES</v>
          </cell>
          <cell r="O661" t="str">
            <v>YES</v>
          </cell>
          <cell r="P661" t="str">
            <v>Unaffected lots</v>
          </cell>
          <cell r="Q661" t="str">
            <v>YES</v>
          </cell>
          <cell r="R661">
            <v>70</v>
          </cell>
          <cell r="S661" t="str">
            <v>PCS-04-034298</v>
          </cell>
          <cell r="T661" t="str">
            <v>TCT-060-2024021772</v>
          </cell>
          <cell r="U661" t="b">
            <v>1</v>
          </cell>
          <cell r="V661" t="str">
            <v>Done</v>
          </cell>
          <cell r="W661" t="str">
            <v>2024 Batch</v>
          </cell>
          <cell r="X661" t="str">
            <v>2024 Batch</v>
          </cell>
          <cell r="Y661">
            <v>28</v>
          </cell>
          <cell r="Z661">
            <v>37</v>
          </cell>
          <cell r="AA661" t="str">
            <v>H+L</v>
          </cell>
          <cell r="AB661">
            <v>70</v>
          </cell>
          <cell r="AC661">
            <v>50</v>
          </cell>
          <cell r="AD661" t="str">
            <v>Slant</v>
          </cell>
          <cell r="AE661" t="str">
            <v>Duplex</v>
          </cell>
          <cell r="AF661" t="str">
            <v>326 - With Partition</v>
          </cell>
          <cell r="AG661" t="str">
            <v>With Partition</v>
          </cell>
          <cell r="AH661" t="str">
            <v>With Partition</v>
          </cell>
          <cell r="AI661" t="str">
            <v>GREEN</v>
          </cell>
          <cell r="AJ661" t="str">
            <v>Slant / GREEN</v>
          </cell>
          <cell r="AK661">
            <v>1050000</v>
          </cell>
          <cell r="AL661">
            <v>15000</v>
          </cell>
          <cell r="AM661">
            <v>1650000</v>
          </cell>
          <cell r="AN661">
            <v>33000</v>
          </cell>
          <cell r="AO661">
            <v>150000</v>
          </cell>
          <cell r="AP661">
            <v>2850000</v>
          </cell>
          <cell r="AQ661"/>
          <cell r="AR661">
            <v>2850000</v>
          </cell>
          <cell r="AS661">
            <v>0</v>
          </cell>
          <cell r="AT661">
            <v>2850000</v>
          </cell>
          <cell r="AU661">
            <v>100000</v>
          </cell>
          <cell r="AV661">
            <v>2750000</v>
          </cell>
          <cell r="AW661">
            <v>0</v>
          </cell>
          <cell r="AX661">
            <v>2750000</v>
          </cell>
        </row>
        <row r="662">
          <cell r="G662" t="str">
            <v>AGM-01-028-038</v>
          </cell>
          <cell r="H662" t="str">
            <v xml:space="preserve">Raemulan Lands, Inc. </v>
          </cell>
          <cell r="I662" t="str">
            <v>Agapeya</v>
          </cell>
          <cell r="J662" t="str">
            <v>AGM</v>
          </cell>
          <cell r="K662" t="str">
            <v>Eco-High</v>
          </cell>
          <cell r="L662" t="str">
            <v>West</v>
          </cell>
          <cell r="M662" t="str">
            <v>With LTS - 2024</v>
          </cell>
          <cell r="N662" t="str">
            <v>YES</v>
          </cell>
          <cell r="O662" t="str">
            <v>YES</v>
          </cell>
          <cell r="P662" t="str">
            <v>Unaffected lots</v>
          </cell>
          <cell r="Q662" t="str">
            <v>YES</v>
          </cell>
          <cell r="R662">
            <v>70</v>
          </cell>
          <cell r="S662" t="str">
            <v>PCS-04-034298</v>
          </cell>
          <cell r="T662" t="str">
            <v>TCT-060-2024021773</v>
          </cell>
          <cell r="U662" t="b">
            <v>1</v>
          </cell>
          <cell r="V662" t="str">
            <v>Done</v>
          </cell>
          <cell r="W662" t="str">
            <v>2024 Batch</v>
          </cell>
          <cell r="X662" t="str">
            <v>2024 Batch</v>
          </cell>
          <cell r="Y662">
            <v>28</v>
          </cell>
          <cell r="Z662">
            <v>38</v>
          </cell>
          <cell r="AA662" t="str">
            <v>H+L</v>
          </cell>
          <cell r="AB662">
            <v>70</v>
          </cell>
          <cell r="AC662">
            <v>50</v>
          </cell>
          <cell r="AD662" t="str">
            <v>Flat</v>
          </cell>
          <cell r="AE662" t="str">
            <v>Duplex</v>
          </cell>
          <cell r="AF662" t="str">
            <v>326 - With Partition</v>
          </cell>
          <cell r="AG662" t="str">
            <v>With Partition</v>
          </cell>
          <cell r="AH662" t="str">
            <v>With Partition</v>
          </cell>
          <cell r="AI662" t="str">
            <v>GREEN</v>
          </cell>
          <cell r="AJ662" t="str">
            <v>Flat / GREEN</v>
          </cell>
          <cell r="AK662">
            <v>1050000</v>
          </cell>
          <cell r="AL662">
            <v>15000</v>
          </cell>
          <cell r="AM662">
            <v>1650000</v>
          </cell>
          <cell r="AN662">
            <v>33000</v>
          </cell>
          <cell r="AO662">
            <v>150000</v>
          </cell>
          <cell r="AP662">
            <v>2850000</v>
          </cell>
          <cell r="AQ662"/>
          <cell r="AR662">
            <v>2850000</v>
          </cell>
          <cell r="AS662">
            <v>0</v>
          </cell>
          <cell r="AT662">
            <v>2850000</v>
          </cell>
          <cell r="AU662">
            <v>100000</v>
          </cell>
          <cell r="AV662">
            <v>2750000</v>
          </cell>
          <cell r="AW662">
            <v>0</v>
          </cell>
          <cell r="AX662">
            <v>2750000</v>
          </cell>
        </row>
        <row r="663">
          <cell r="G663" t="str">
            <v>AGM-01-028-039</v>
          </cell>
          <cell r="H663" t="str">
            <v xml:space="preserve">Raemulan Lands, Inc. </v>
          </cell>
          <cell r="I663" t="str">
            <v>Agapeya</v>
          </cell>
          <cell r="J663" t="str">
            <v>AGM</v>
          </cell>
          <cell r="K663" t="str">
            <v>Eco-High</v>
          </cell>
          <cell r="L663" t="str">
            <v>West</v>
          </cell>
          <cell r="M663" t="str">
            <v>With LTS - 2024</v>
          </cell>
          <cell r="N663" t="str">
            <v>YES</v>
          </cell>
          <cell r="O663" t="str">
            <v>YES</v>
          </cell>
          <cell r="P663" t="str">
            <v>Unaffected lots</v>
          </cell>
          <cell r="Q663" t="str">
            <v>YES</v>
          </cell>
          <cell r="R663">
            <v>70</v>
          </cell>
          <cell r="S663" t="str">
            <v>PCS-04-034298</v>
          </cell>
          <cell r="T663" t="str">
            <v>TCT-060-2024021774</v>
          </cell>
          <cell r="U663" t="b">
            <v>1</v>
          </cell>
          <cell r="V663" t="str">
            <v>Done</v>
          </cell>
          <cell r="W663" t="str">
            <v>2024 Batch</v>
          </cell>
          <cell r="X663" t="str">
            <v>2024 Batch</v>
          </cell>
          <cell r="Y663">
            <v>28</v>
          </cell>
          <cell r="Z663">
            <v>39</v>
          </cell>
          <cell r="AA663" t="str">
            <v>H+L</v>
          </cell>
          <cell r="AB663">
            <v>70</v>
          </cell>
          <cell r="AC663">
            <v>50</v>
          </cell>
          <cell r="AD663" t="str">
            <v>Flat</v>
          </cell>
          <cell r="AE663" t="str">
            <v>Duplex</v>
          </cell>
          <cell r="AF663" t="str">
            <v>326 - With Partition</v>
          </cell>
          <cell r="AG663" t="str">
            <v>With Partition</v>
          </cell>
          <cell r="AH663" t="str">
            <v>With Partition</v>
          </cell>
          <cell r="AI663" t="str">
            <v>GREEN</v>
          </cell>
          <cell r="AJ663" t="str">
            <v>Flat / GREEN</v>
          </cell>
          <cell r="AK663">
            <v>1050000</v>
          </cell>
          <cell r="AL663">
            <v>15000</v>
          </cell>
          <cell r="AM663">
            <v>1650000</v>
          </cell>
          <cell r="AN663">
            <v>33000</v>
          </cell>
          <cell r="AO663">
            <v>150000</v>
          </cell>
          <cell r="AP663">
            <v>2850000</v>
          </cell>
          <cell r="AQ663"/>
          <cell r="AR663">
            <v>2850000</v>
          </cell>
          <cell r="AS663">
            <v>0</v>
          </cell>
          <cell r="AT663">
            <v>2850000</v>
          </cell>
          <cell r="AU663">
            <v>100000</v>
          </cell>
          <cell r="AV663">
            <v>2750000</v>
          </cell>
          <cell r="AW663">
            <v>0</v>
          </cell>
          <cell r="AX663">
            <v>2750000</v>
          </cell>
        </row>
        <row r="664">
          <cell r="G664" t="str">
            <v>AGM-01-028-040</v>
          </cell>
          <cell r="H664" t="str">
            <v xml:space="preserve">Raemulan Lands, Inc. </v>
          </cell>
          <cell r="I664" t="str">
            <v>Agapeya</v>
          </cell>
          <cell r="J664" t="str">
            <v>AGM</v>
          </cell>
          <cell r="K664" t="str">
            <v>Eco-High</v>
          </cell>
          <cell r="L664" t="str">
            <v>West</v>
          </cell>
          <cell r="M664" t="str">
            <v>With LTS - 2024</v>
          </cell>
          <cell r="N664" t="str">
            <v>YES</v>
          </cell>
          <cell r="O664" t="str">
            <v>YES</v>
          </cell>
          <cell r="P664" t="str">
            <v>Unaffected lots</v>
          </cell>
          <cell r="Q664" t="str">
            <v>YES</v>
          </cell>
          <cell r="R664">
            <v>96</v>
          </cell>
          <cell r="S664" t="str">
            <v>PCS-04-034298</v>
          </cell>
          <cell r="T664" t="str">
            <v>TCT-060-2024021775</v>
          </cell>
          <cell r="U664" t="b">
            <v>1</v>
          </cell>
          <cell r="V664" t="str">
            <v>Done</v>
          </cell>
          <cell r="W664" t="str">
            <v>2024 Batch</v>
          </cell>
          <cell r="X664" t="str">
            <v>2024 Batch</v>
          </cell>
          <cell r="Y664">
            <v>28</v>
          </cell>
          <cell r="Z664">
            <v>40</v>
          </cell>
          <cell r="AA664" t="str">
            <v>H+L</v>
          </cell>
          <cell r="AB664">
            <v>96</v>
          </cell>
          <cell r="AC664">
            <v>50</v>
          </cell>
          <cell r="AD664" t="str">
            <v>Slant</v>
          </cell>
          <cell r="AE664" t="str">
            <v>Duplex</v>
          </cell>
          <cell r="AF664" t="str">
            <v>326 - With Partition</v>
          </cell>
          <cell r="AG664" t="str">
            <v>With Partition</v>
          </cell>
          <cell r="AH664" t="str">
            <v>With Partition</v>
          </cell>
          <cell r="AI664" t="str">
            <v>GREEN</v>
          </cell>
          <cell r="AJ664" t="str">
            <v>Slant / GREEN</v>
          </cell>
          <cell r="AK664">
            <v>1440000</v>
          </cell>
          <cell r="AL664">
            <v>15000</v>
          </cell>
          <cell r="AM664">
            <v>1650000</v>
          </cell>
          <cell r="AN664">
            <v>33000</v>
          </cell>
          <cell r="AO664">
            <v>150000</v>
          </cell>
          <cell r="AP664">
            <v>3240000</v>
          </cell>
          <cell r="AQ664"/>
          <cell r="AR664">
            <v>3240000</v>
          </cell>
          <cell r="AS664">
            <v>0</v>
          </cell>
          <cell r="AT664">
            <v>3240000</v>
          </cell>
          <cell r="AU664">
            <v>100000</v>
          </cell>
          <cell r="AV664">
            <v>3140000</v>
          </cell>
          <cell r="AW664">
            <v>0</v>
          </cell>
          <cell r="AX664">
            <v>3140000</v>
          </cell>
        </row>
        <row r="665">
          <cell r="G665" t="str">
            <v>AGM-01-029-001</v>
          </cell>
          <cell r="H665" t="str">
            <v xml:space="preserve">Raemulan Lands, Inc. </v>
          </cell>
          <cell r="I665" t="str">
            <v>Agapeya</v>
          </cell>
          <cell r="J665" t="str">
            <v>AGM</v>
          </cell>
          <cell r="K665" t="str">
            <v>Eco-High</v>
          </cell>
          <cell r="L665" t="str">
            <v>West</v>
          </cell>
          <cell r="M665" t="str">
            <v>With LTS - 2024</v>
          </cell>
          <cell r="N665" t="str">
            <v>YES</v>
          </cell>
          <cell r="O665" t="str">
            <v>YES</v>
          </cell>
          <cell r="P665" t="str">
            <v>Unaffected lots</v>
          </cell>
          <cell r="Q665" t="str">
            <v>YES</v>
          </cell>
          <cell r="R665">
            <v>118</v>
          </cell>
          <cell r="S665" t="str">
            <v>PCS-04-034298</v>
          </cell>
          <cell r="T665" t="str">
            <v>TCT-060-2024021776</v>
          </cell>
          <cell r="U665" t="b">
            <v>1</v>
          </cell>
          <cell r="V665" t="str">
            <v>Done</v>
          </cell>
          <cell r="W665" t="str">
            <v>2024 Batch</v>
          </cell>
          <cell r="X665" t="str">
            <v>2024 Batch</v>
          </cell>
          <cell r="Y665">
            <v>29</v>
          </cell>
          <cell r="Z665">
            <v>1</v>
          </cell>
          <cell r="AA665" t="str">
            <v>H+L</v>
          </cell>
          <cell r="AB665">
            <v>118</v>
          </cell>
          <cell r="AC665">
            <v>50</v>
          </cell>
          <cell r="AD665" t="str">
            <v>Slant</v>
          </cell>
          <cell r="AE665" t="str">
            <v>Duplex</v>
          </cell>
          <cell r="AF665" t="str">
            <v>326 - With Partition</v>
          </cell>
          <cell r="AG665" t="str">
            <v>With Partition</v>
          </cell>
          <cell r="AH665" t="str">
            <v>With Partition</v>
          </cell>
          <cell r="AI665" t="str">
            <v>PURPLE</v>
          </cell>
          <cell r="AJ665" t="str">
            <v>Slant / PURPLE</v>
          </cell>
          <cell r="AK665">
            <v>1770000</v>
          </cell>
          <cell r="AL665">
            <v>15000</v>
          </cell>
          <cell r="AM665">
            <v>1650000</v>
          </cell>
          <cell r="AN665">
            <v>33000</v>
          </cell>
          <cell r="AO665">
            <v>150000</v>
          </cell>
          <cell r="AP665">
            <v>3570000</v>
          </cell>
          <cell r="AQ665"/>
          <cell r="AR665">
            <v>3570000</v>
          </cell>
          <cell r="AS665">
            <v>0</v>
          </cell>
          <cell r="AT665">
            <v>3570000</v>
          </cell>
          <cell r="AU665">
            <v>100000</v>
          </cell>
          <cell r="AV665">
            <v>3470000</v>
          </cell>
          <cell r="AW665">
            <v>0</v>
          </cell>
          <cell r="AX665">
            <v>3470000</v>
          </cell>
        </row>
        <row r="666">
          <cell r="G666" t="str">
            <v>AGM-01-029-002</v>
          </cell>
          <cell r="H666" t="str">
            <v xml:space="preserve">Raemulan Lands, Inc. </v>
          </cell>
          <cell r="I666" t="str">
            <v>Agapeya</v>
          </cell>
          <cell r="J666" t="str">
            <v>AGM</v>
          </cell>
          <cell r="K666" t="str">
            <v>Eco-High</v>
          </cell>
          <cell r="L666" t="str">
            <v>West</v>
          </cell>
          <cell r="M666" t="str">
            <v>With LTS - 2024</v>
          </cell>
          <cell r="N666" t="str">
            <v>YES</v>
          </cell>
          <cell r="O666" t="str">
            <v>YES</v>
          </cell>
          <cell r="P666" t="str">
            <v>Unaffected lots</v>
          </cell>
          <cell r="Q666" t="str">
            <v>YES</v>
          </cell>
          <cell r="R666">
            <v>80</v>
          </cell>
          <cell r="S666" t="str">
            <v>PCS-04-034298</v>
          </cell>
          <cell r="T666" t="str">
            <v>TCT-060-2024021777</v>
          </cell>
          <cell r="U666" t="b">
            <v>1</v>
          </cell>
          <cell r="V666" t="str">
            <v>Done</v>
          </cell>
          <cell r="W666" t="str">
            <v>2024 Batch</v>
          </cell>
          <cell r="X666" t="str">
            <v>2024 Batch</v>
          </cell>
          <cell r="Y666">
            <v>29</v>
          </cell>
          <cell r="Z666">
            <v>2</v>
          </cell>
          <cell r="AA666" t="str">
            <v>H+L</v>
          </cell>
          <cell r="AB666">
            <v>80</v>
          </cell>
          <cell r="AC666">
            <v>50</v>
          </cell>
          <cell r="AD666" t="str">
            <v>Flat</v>
          </cell>
          <cell r="AE666" t="str">
            <v>Duplex</v>
          </cell>
          <cell r="AF666" t="str">
            <v>326 - With Partition</v>
          </cell>
          <cell r="AG666" t="str">
            <v>With Partition</v>
          </cell>
          <cell r="AH666" t="str">
            <v>With Partition</v>
          </cell>
          <cell r="AI666" t="str">
            <v>PURPLE</v>
          </cell>
          <cell r="AJ666" t="str">
            <v>Flat / PURPLE</v>
          </cell>
          <cell r="AK666">
            <v>1200000</v>
          </cell>
          <cell r="AL666">
            <v>15000</v>
          </cell>
          <cell r="AM666">
            <v>1650000</v>
          </cell>
          <cell r="AN666">
            <v>33000</v>
          </cell>
          <cell r="AO666">
            <v>150000</v>
          </cell>
          <cell r="AP666">
            <v>3000000</v>
          </cell>
          <cell r="AQ666"/>
          <cell r="AR666">
            <v>3000000</v>
          </cell>
          <cell r="AS666">
            <v>0</v>
          </cell>
          <cell r="AT666">
            <v>3000000</v>
          </cell>
          <cell r="AU666">
            <v>100000</v>
          </cell>
          <cell r="AV666">
            <v>2900000</v>
          </cell>
          <cell r="AW666">
            <v>0</v>
          </cell>
          <cell r="AX666">
            <v>2900000</v>
          </cell>
        </row>
        <row r="667">
          <cell r="G667" t="str">
            <v>AGM-01-029-003</v>
          </cell>
          <cell r="H667" t="str">
            <v xml:space="preserve">Raemulan Lands, Inc. </v>
          </cell>
          <cell r="I667" t="str">
            <v>Agapeya</v>
          </cell>
          <cell r="J667" t="str">
            <v>AGM</v>
          </cell>
          <cell r="K667" t="str">
            <v>Eco-High</v>
          </cell>
          <cell r="L667" t="str">
            <v>West</v>
          </cell>
          <cell r="M667" t="str">
            <v>With LTS - 2024</v>
          </cell>
          <cell r="N667" t="str">
            <v>YES</v>
          </cell>
          <cell r="O667" t="str">
            <v>YES</v>
          </cell>
          <cell r="P667" t="str">
            <v>Unaffected lots</v>
          </cell>
          <cell r="Q667" t="str">
            <v>YES</v>
          </cell>
          <cell r="R667">
            <v>80</v>
          </cell>
          <cell r="S667" t="str">
            <v>PCS-04-034298</v>
          </cell>
          <cell r="T667" t="str">
            <v>TCT-060-2024021778</v>
          </cell>
          <cell r="U667" t="b">
            <v>1</v>
          </cell>
          <cell r="V667" t="str">
            <v>Done</v>
          </cell>
          <cell r="W667" t="str">
            <v>2024 Batch</v>
          </cell>
          <cell r="X667" t="str">
            <v>2024 Batch</v>
          </cell>
          <cell r="Y667">
            <v>29</v>
          </cell>
          <cell r="Z667">
            <v>3</v>
          </cell>
          <cell r="AA667" t="str">
            <v>H+L</v>
          </cell>
          <cell r="AB667">
            <v>80</v>
          </cell>
          <cell r="AC667">
            <v>50</v>
          </cell>
          <cell r="AD667" t="str">
            <v>Flat</v>
          </cell>
          <cell r="AE667" t="str">
            <v>Duplex</v>
          </cell>
          <cell r="AF667" t="str">
            <v>326 - With Partition</v>
          </cell>
          <cell r="AG667" t="str">
            <v>With Partition</v>
          </cell>
          <cell r="AH667" t="str">
            <v>With Partition</v>
          </cell>
          <cell r="AI667" t="str">
            <v>PINK</v>
          </cell>
          <cell r="AJ667" t="str">
            <v>Flat / PINK</v>
          </cell>
          <cell r="AK667">
            <v>1200000</v>
          </cell>
          <cell r="AL667">
            <v>15000</v>
          </cell>
          <cell r="AM667">
            <v>1650000</v>
          </cell>
          <cell r="AN667">
            <v>33000</v>
          </cell>
          <cell r="AO667">
            <v>150000</v>
          </cell>
          <cell r="AP667">
            <v>3000000</v>
          </cell>
          <cell r="AQ667"/>
          <cell r="AR667">
            <v>3000000</v>
          </cell>
          <cell r="AS667">
            <v>0</v>
          </cell>
          <cell r="AT667">
            <v>3000000</v>
          </cell>
          <cell r="AU667">
            <v>100000</v>
          </cell>
          <cell r="AV667">
            <v>2900000</v>
          </cell>
          <cell r="AW667">
            <v>0</v>
          </cell>
          <cell r="AX667">
            <v>2900000</v>
          </cell>
        </row>
        <row r="668">
          <cell r="G668" t="str">
            <v>AGM-01-029-004</v>
          </cell>
          <cell r="H668" t="str">
            <v xml:space="preserve">Raemulan Lands, Inc. </v>
          </cell>
          <cell r="I668" t="str">
            <v>Agapeya</v>
          </cell>
          <cell r="J668" t="str">
            <v>AGM</v>
          </cell>
          <cell r="K668" t="str">
            <v>Eco-High</v>
          </cell>
          <cell r="L668" t="str">
            <v>West</v>
          </cell>
          <cell r="M668" t="str">
            <v>With LTS - 2024</v>
          </cell>
          <cell r="N668" t="str">
            <v>YES</v>
          </cell>
          <cell r="O668" t="str">
            <v>YES</v>
          </cell>
          <cell r="P668" t="str">
            <v>Unaffected lots</v>
          </cell>
          <cell r="Q668" t="str">
            <v>YES</v>
          </cell>
          <cell r="R668">
            <v>70</v>
          </cell>
          <cell r="S668" t="str">
            <v>PCS-04-034298</v>
          </cell>
          <cell r="T668" t="str">
            <v>TCT-060-2024021779</v>
          </cell>
          <cell r="U668" t="b">
            <v>1</v>
          </cell>
          <cell r="V668" t="str">
            <v>Done</v>
          </cell>
          <cell r="W668" t="str">
            <v>2024 Batch</v>
          </cell>
          <cell r="X668" t="str">
            <v>2024 Batch</v>
          </cell>
          <cell r="Y668">
            <v>29</v>
          </cell>
          <cell r="Z668">
            <v>4</v>
          </cell>
          <cell r="AA668" t="str">
            <v>H+L</v>
          </cell>
          <cell r="AB668">
            <v>70</v>
          </cell>
          <cell r="AC668">
            <v>50</v>
          </cell>
          <cell r="AD668" t="str">
            <v>Slant</v>
          </cell>
          <cell r="AE668" t="str">
            <v>Duplex</v>
          </cell>
          <cell r="AF668" t="str">
            <v>326 - With Partition</v>
          </cell>
          <cell r="AG668" t="str">
            <v>With Partition</v>
          </cell>
          <cell r="AH668" t="str">
            <v>With Partition</v>
          </cell>
          <cell r="AI668" t="str">
            <v>PINK</v>
          </cell>
          <cell r="AJ668" t="str">
            <v>Slant / PINK</v>
          </cell>
          <cell r="AK668">
            <v>1050000</v>
          </cell>
          <cell r="AL668">
            <v>15000</v>
          </cell>
          <cell r="AM668">
            <v>1650000</v>
          </cell>
          <cell r="AN668">
            <v>33000</v>
          </cell>
          <cell r="AO668">
            <v>150000</v>
          </cell>
          <cell r="AP668">
            <v>2850000</v>
          </cell>
          <cell r="AQ668"/>
          <cell r="AR668">
            <v>2850000</v>
          </cell>
          <cell r="AS668">
            <v>0</v>
          </cell>
          <cell r="AT668">
            <v>2850000</v>
          </cell>
          <cell r="AU668">
            <v>100000</v>
          </cell>
          <cell r="AV668">
            <v>2750000</v>
          </cell>
          <cell r="AW668">
            <v>0</v>
          </cell>
          <cell r="AX668">
            <v>2750000</v>
          </cell>
        </row>
        <row r="669">
          <cell r="G669" t="str">
            <v>AGM-01-029-005</v>
          </cell>
          <cell r="H669" t="str">
            <v xml:space="preserve">Raemulan Lands, Inc. </v>
          </cell>
          <cell r="I669" t="str">
            <v>Agapeya</v>
          </cell>
          <cell r="J669" t="str">
            <v>AGM</v>
          </cell>
          <cell r="K669" t="str">
            <v>Eco-High</v>
          </cell>
          <cell r="L669" t="str">
            <v>West</v>
          </cell>
          <cell r="M669" t="str">
            <v>With LTS - 2024</v>
          </cell>
          <cell r="N669" t="str">
            <v>YES</v>
          </cell>
          <cell r="O669" t="str">
            <v>YES</v>
          </cell>
          <cell r="P669" t="str">
            <v>Unaffected lots</v>
          </cell>
          <cell r="Q669" t="str">
            <v>YES</v>
          </cell>
          <cell r="R669">
            <v>70</v>
          </cell>
          <cell r="S669" t="str">
            <v>PCS-04-034298</v>
          </cell>
          <cell r="T669" t="str">
            <v>TCT-060-2024021780</v>
          </cell>
          <cell r="U669" t="b">
            <v>1</v>
          </cell>
          <cell r="V669" t="str">
            <v>Done</v>
          </cell>
          <cell r="W669" t="str">
            <v>2024 Batch</v>
          </cell>
          <cell r="X669" t="str">
            <v>2024 Batch</v>
          </cell>
          <cell r="Y669">
            <v>29</v>
          </cell>
          <cell r="Z669">
            <v>5</v>
          </cell>
          <cell r="AA669" t="str">
            <v>H+L</v>
          </cell>
          <cell r="AB669">
            <v>70</v>
          </cell>
          <cell r="AC669">
            <v>50</v>
          </cell>
          <cell r="AD669" t="str">
            <v>Slant</v>
          </cell>
          <cell r="AE669" t="str">
            <v>Duplex</v>
          </cell>
          <cell r="AF669" t="str">
            <v>326 - With Partition</v>
          </cell>
          <cell r="AG669" t="str">
            <v>With Partition</v>
          </cell>
          <cell r="AH669" t="str">
            <v>With Partition</v>
          </cell>
          <cell r="AI669" t="str">
            <v>PINK</v>
          </cell>
          <cell r="AJ669" t="str">
            <v>Slant / PINK</v>
          </cell>
          <cell r="AK669">
            <v>1050000</v>
          </cell>
          <cell r="AL669">
            <v>15000</v>
          </cell>
          <cell r="AM669">
            <v>1650000</v>
          </cell>
          <cell r="AN669">
            <v>33000</v>
          </cell>
          <cell r="AO669">
            <v>150000</v>
          </cell>
          <cell r="AP669">
            <v>2850000</v>
          </cell>
          <cell r="AQ669"/>
          <cell r="AR669">
            <v>2850000</v>
          </cell>
          <cell r="AS669">
            <v>0</v>
          </cell>
          <cell r="AT669">
            <v>2850000</v>
          </cell>
          <cell r="AU669">
            <v>100000</v>
          </cell>
          <cell r="AV669">
            <v>2750000</v>
          </cell>
          <cell r="AW669">
            <v>0</v>
          </cell>
          <cell r="AX669">
            <v>2750000</v>
          </cell>
        </row>
        <row r="670">
          <cell r="G670" t="str">
            <v>AGM-01-029-006</v>
          </cell>
          <cell r="H670" t="str">
            <v xml:space="preserve">Raemulan Lands, Inc. </v>
          </cell>
          <cell r="I670" t="str">
            <v>Agapeya</v>
          </cell>
          <cell r="J670" t="str">
            <v>AGM</v>
          </cell>
          <cell r="K670" t="str">
            <v>Eco-High</v>
          </cell>
          <cell r="L670" t="str">
            <v>West</v>
          </cell>
          <cell r="M670" t="str">
            <v>With LTS - 2024</v>
          </cell>
          <cell r="N670" t="str">
            <v>YES</v>
          </cell>
          <cell r="O670" t="str">
            <v>YES</v>
          </cell>
          <cell r="P670" t="str">
            <v>Unaffected lots</v>
          </cell>
          <cell r="Q670" t="str">
            <v>YES</v>
          </cell>
          <cell r="R670">
            <v>80</v>
          </cell>
          <cell r="S670" t="str">
            <v>PCS-04-034298</v>
          </cell>
          <cell r="T670" t="str">
            <v>TCT-060-2024021781</v>
          </cell>
          <cell r="U670" t="b">
            <v>1</v>
          </cell>
          <cell r="V670" t="str">
            <v>Done</v>
          </cell>
          <cell r="W670" t="str">
            <v>2024 Batch</v>
          </cell>
          <cell r="X670" t="str">
            <v>2024 Batch</v>
          </cell>
          <cell r="Y670">
            <v>29</v>
          </cell>
          <cell r="Z670">
            <v>6</v>
          </cell>
          <cell r="AA670" t="str">
            <v>H+L</v>
          </cell>
          <cell r="AB670">
            <v>80</v>
          </cell>
          <cell r="AC670">
            <v>50</v>
          </cell>
          <cell r="AD670" t="str">
            <v>Flat</v>
          </cell>
          <cell r="AE670" t="str">
            <v>Duplex</v>
          </cell>
          <cell r="AF670" t="str">
            <v>326 - With Partition</v>
          </cell>
          <cell r="AG670" t="str">
            <v>With Partition</v>
          </cell>
          <cell r="AH670" t="str">
            <v>With Partition</v>
          </cell>
          <cell r="AI670" t="str">
            <v>PINK</v>
          </cell>
          <cell r="AJ670" t="str">
            <v>Flat / PINK</v>
          </cell>
          <cell r="AK670">
            <v>1200000</v>
          </cell>
          <cell r="AL670">
            <v>15000</v>
          </cell>
          <cell r="AM670">
            <v>1650000</v>
          </cell>
          <cell r="AN670">
            <v>33000</v>
          </cell>
          <cell r="AO670">
            <v>150000</v>
          </cell>
          <cell r="AP670">
            <v>3000000</v>
          </cell>
          <cell r="AQ670"/>
          <cell r="AR670">
            <v>3000000</v>
          </cell>
          <cell r="AS670">
            <v>0</v>
          </cell>
          <cell r="AT670">
            <v>3000000</v>
          </cell>
          <cell r="AU670">
            <v>100000</v>
          </cell>
          <cell r="AV670">
            <v>2900000</v>
          </cell>
          <cell r="AW670">
            <v>0</v>
          </cell>
          <cell r="AX670">
            <v>2900000</v>
          </cell>
        </row>
        <row r="671">
          <cell r="G671" t="str">
            <v>AGM-01-029-007</v>
          </cell>
          <cell r="H671" t="str">
            <v xml:space="preserve">Raemulan Lands, Inc. </v>
          </cell>
          <cell r="I671" t="str">
            <v>Agapeya</v>
          </cell>
          <cell r="J671" t="str">
            <v>AGM</v>
          </cell>
          <cell r="K671" t="str">
            <v>Eco-High</v>
          </cell>
          <cell r="L671" t="str">
            <v>West</v>
          </cell>
          <cell r="M671" t="str">
            <v>With LTS - 2024</v>
          </cell>
          <cell r="N671" t="str">
            <v>YES</v>
          </cell>
          <cell r="O671" t="str">
            <v>YES</v>
          </cell>
          <cell r="P671" t="str">
            <v>Unaffected lots</v>
          </cell>
          <cell r="Q671" t="str">
            <v>YES</v>
          </cell>
          <cell r="R671">
            <v>70</v>
          </cell>
          <cell r="S671" t="str">
            <v>PCS-04-034298</v>
          </cell>
          <cell r="T671" t="str">
            <v>TCT-060-2024021782</v>
          </cell>
          <cell r="U671" t="b">
            <v>1</v>
          </cell>
          <cell r="V671" t="str">
            <v>Done</v>
          </cell>
          <cell r="W671" t="str">
            <v>2024 Batch</v>
          </cell>
          <cell r="X671" t="str">
            <v>2024 Batch</v>
          </cell>
          <cell r="Y671">
            <v>29</v>
          </cell>
          <cell r="Z671">
            <v>7</v>
          </cell>
          <cell r="AA671" t="str">
            <v>H+L</v>
          </cell>
          <cell r="AB671">
            <v>70</v>
          </cell>
          <cell r="AC671">
            <v>50</v>
          </cell>
          <cell r="AD671" t="str">
            <v>Slant</v>
          </cell>
          <cell r="AE671" t="str">
            <v>Duplex</v>
          </cell>
          <cell r="AF671" t="str">
            <v>326 - With Partition</v>
          </cell>
          <cell r="AG671" t="str">
            <v>With Partition</v>
          </cell>
          <cell r="AH671" t="str">
            <v>With Partition</v>
          </cell>
          <cell r="AI671" t="str">
            <v>YELLOW</v>
          </cell>
          <cell r="AJ671" t="str">
            <v>Slant / YELLOW</v>
          </cell>
          <cell r="AK671">
            <v>1050000</v>
          </cell>
          <cell r="AL671">
            <v>15000</v>
          </cell>
          <cell r="AM671">
            <v>1650000</v>
          </cell>
          <cell r="AN671">
            <v>33000</v>
          </cell>
          <cell r="AO671">
            <v>150000</v>
          </cell>
          <cell r="AP671">
            <v>2850000</v>
          </cell>
          <cell r="AQ671"/>
          <cell r="AR671">
            <v>2850000</v>
          </cell>
          <cell r="AS671">
            <v>0</v>
          </cell>
          <cell r="AT671">
            <v>2850000</v>
          </cell>
          <cell r="AU671">
            <v>100000</v>
          </cell>
          <cell r="AV671">
            <v>2750000</v>
          </cell>
          <cell r="AW671">
            <v>0</v>
          </cell>
          <cell r="AX671">
            <v>2750000</v>
          </cell>
        </row>
        <row r="672">
          <cell r="G672" t="str">
            <v>AGM-01-029-008</v>
          </cell>
          <cell r="H672" t="str">
            <v xml:space="preserve">Raemulan Lands, Inc. </v>
          </cell>
          <cell r="I672" t="str">
            <v>Agapeya</v>
          </cell>
          <cell r="J672" t="str">
            <v>AGM</v>
          </cell>
          <cell r="K672" t="str">
            <v>Eco-High</v>
          </cell>
          <cell r="L672" t="str">
            <v>West</v>
          </cell>
          <cell r="M672" t="str">
            <v>With LTS - 2024</v>
          </cell>
          <cell r="N672" t="str">
            <v>YES</v>
          </cell>
          <cell r="O672" t="str">
            <v>YES</v>
          </cell>
          <cell r="P672" t="str">
            <v>Unaffected lots</v>
          </cell>
          <cell r="Q672" t="str">
            <v>YES</v>
          </cell>
          <cell r="R672">
            <v>70</v>
          </cell>
          <cell r="S672" t="str">
            <v>PCS-04-034298</v>
          </cell>
          <cell r="T672" t="str">
            <v>TCT-060-2024021783</v>
          </cell>
          <cell r="U672" t="b">
            <v>1</v>
          </cell>
          <cell r="V672" t="str">
            <v>Done</v>
          </cell>
          <cell r="W672" t="str">
            <v>2024 Batch</v>
          </cell>
          <cell r="X672" t="str">
            <v>2024 Batch</v>
          </cell>
          <cell r="Y672">
            <v>29</v>
          </cell>
          <cell r="Z672">
            <v>8</v>
          </cell>
          <cell r="AA672" t="str">
            <v>H+L</v>
          </cell>
          <cell r="AB672">
            <v>70</v>
          </cell>
          <cell r="AC672">
            <v>50</v>
          </cell>
          <cell r="AD672" t="str">
            <v>Flat</v>
          </cell>
          <cell r="AE672" t="str">
            <v>Duplex</v>
          </cell>
          <cell r="AF672" t="str">
            <v>326 - With Partition</v>
          </cell>
          <cell r="AG672" t="str">
            <v>With Partition</v>
          </cell>
          <cell r="AH672" t="str">
            <v>With Partition</v>
          </cell>
          <cell r="AI672" t="str">
            <v>YELLOW</v>
          </cell>
          <cell r="AJ672" t="str">
            <v>Flat / YELLOW</v>
          </cell>
          <cell r="AK672">
            <v>1050000</v>
          </cell>
          <cell r="AL672">
            <v>15000</v>
          </cell>
          <cell r="AM672">
            <v>1650000</v>
          </cell>
          <cell r="AN672">
            <v>33000</v>
          </cell>
          <cell r="AO672">
            <v>150000</v>
          </cell>
          <cell r="AP672">
            <v>2850000</v>
          </cell>
          <cell r="AQ672"/>
          <cell r="AR672">
            <v>2850000</v>
          </cell>
          <cell r="AS672">
            <v>0</v>
          </cell>
          <cell r="AT672">
            <v>2850000</v>
          </cell>
          <cell r="AU672">
            <v>100000</v>
          </cell>
          <cell r="AV672">
            <v>2750000</v>
          </cell>
          <cell r="AW672">
            <v>0</v>
          </cell>
          <cell r="AX672">
            <v>2750000</v>
          </cell>
        </row>
        <row r="673">
          <cell r="G673" t="str">
            <v>AGM-01-029-009</v>
          </cell>
          <cell r="H673" t="str">
            <v xml:space="preserve">Raemulan Lands, Inc. </v>
          </cell>
          <cell r="I673" t="str">
            <v>Agapeya</v>
          </cell>
          <cell r="J673" t="str">
            <v>AGM</v>
          </cell>
          <cell r="K673" t="str">
            <v>Eco-High</v>
          </cell>
          <cell r="L673" t="str">
            <v>West</v>
          </cell>
          <cell r="M673" t="str">
            <v>With LTS - 2024</v>
          </cell>
          <cell r="N673" t="str">
            <v>YES</v>
          </cell>
          <cell r="O673" t="str">
            <v>YES</v>
          </cell>
          <cell r="P673" t="str">
            <v>Unaffected lots</v>
          </cell>
          <cell r="Q673" t="str">
            <v>YES</v>
          </cell>
          <cell r="R673">
            <v>70</v>
          </cell>
          <cell r="S673" t="str">
            <v>PCS-04-034298</v>
          </cell>
          <cell r="T673" t="str">
            <v>TCT-060-2024021784</v>
          </cell>
          <cell r="U673" t="b">
            <v>1</v>
          </cell>
          <cell r="V673" t="str">
            <v>Done</v>
          </cell>
          <cell r="W673" t="str">
            <v>2024 Batch</v>
          </cell>
          <cell r="X673" t="str">
            <v>2024 Batch</v>
          </cell>
          <cell r="Y673">
            <v>29</v>
          </cell>
          <cell r="Z673">
            <v>9</v>
          </cell>
          <cell r="AA673" t="str">
            <v>H+L</v>
          </cell>
          <cell r="AB673">
            <v>70</v>
          </cell>
          <cell r="AC673">
            <v>50</v>
          </cell>
          <cell r="AD673" t="str">
            <v>Flat</v>
          </cell>
          <cell r="AE673" t="str">
            <v>Duplex</v>
          </cell>
          <cell r="AF673" t="str">
            <v>326 - With Partition</v>
          </cell>
          <cell r="AG673" t="str">
            <v>With Partition</v>
          </cell>
          <cell r="AH673" t="str">
            <v>With Partition</v>
          </cell>
          <cell r="AI673" t="str">
            <v>YELLOW</v>
          </cell>
          <cell r="AJ673" t="str">
            <v>Flat / YELLOW</v>
          </cell>
          <cell r="AK673">
            <v>1050000</v>
          </cell>
          <cell r="AL673">
            <v>15000</v>
          </cell>
          <cell r="AM673">
            <v>1650000</v>
          </cell>
          <cell r="AN673">
            <v>33000</v>
          </cell>
          <cell r="AO673">
            <v>150000</v>
          </cell>
          <cell r="AP673">
            <v>2850000</v>
          </cell>
          <cell r="AQ673"/>
          <cell r="AR673">
            <v>2850000</v>
          </cell>
          <cell r="AS673">
            <v>0</v>
          </cell>
          <cell r="AT673">
            <v>2850000</v>
          </cell>
          <cell r="AU673">
            <v>100000</v>
          </cell>
          <cell r="AV673">
            <v>2750000</v>
          </cell>
          <cell r="AW673">
            <v>0</v>
          </cell>
          <cell r="AX673">
            <v>2750000</v>
          </cell>
        </row>
        <row r="674">
          <cell r="G674" t="str">
            <v>AGM-01-029-010</v>
          </cell>
          <cell r="H674" t="str">
            <v xml:space="preserve">Raemulan Lands, Inc. </v>
          </cell>
          <cell r="I674" t="str">
            <v>Agapeya</v>
          </cell>
          <cell r="J674" t="str">
            <v>AGM</v>
          </cell>
          <cell r="K674" t="str">
            <v>Eco-High</v>
          </cell>
          <cell r="L674" t="str">
            <v>West</v>
          </cell>
          <cell r="M674" t="str">
            <v>With LTS - 2024</v>
          </cell>
          <cell r="N674" t="str">
            <v>YES</v>
          </cell>
          <cell r="O674" t="str">
            <v>YES</v>
          </cell>
          <cell r="P674" t="str">
            <v>Unaffected lots</v>
          </cell>
          <cell r="Q674" t="str">
            <v>YES</v>
          </cell>
          <cell r="R674">
            <v>70</v>
          </cell>
          <cell r="S674" t="str">
            <v>PCS-04-034298</v>
          </cell>
          <cell r="T674" t="str">
            <v>TCT-060-2024021785</v>
          </cell>
          <cell r="U674" t="b">
            <v>1</v>
          </cell>
          <cell r="V674" t="str">
            <v>Done</v>
          </cell>
          <cell r="W674" t="str">
            <v>2024 Batch</v>
          </cell>
          <cell r="X674" t="str">
            <v>2024 Batch</v>
          </cell>
          <cell r="Y674">
            <v>29</v>
          </cell>
          <cell r="Z674">
            <v>10</v>
          </cell>
          <cell r="AA674" t="str">
            <v>H+L</v>
          </cell>
          <cell r="AB674">
            <v>70</v>
          </cell>
          <cell r="AC674">
            <v>50</v>
          </cell>
          <cell r="AD674" t="str">
            <v>Slant</v>
          </cell>
          <cell r="AE674" t="str">
            <v>Duplex</v>
          </cell>
          <cell r="AF674" t="str">
            <v>326 - With Partition</v>
          </cell>
          <cell r="AG674" t="str">
            <v>With Partition</v>
          </cell>
          <cell r="AH674" t="str">
            <v>With Partition</v>
          </cell>
          <cell r="AI674" t="str">
            <v>YELLOW</v>
          </cell>
          <cell r="AJ674" t="str">
            <v>Slant / YELLOW</v>
          </cell>
          <cell r="AK674">
            <v>1050000</v>
          </cell>
          <cell r="AL674">
            <v>15000</v>
          </cell>
          <cell r="AM674">
            <v>1650000</v>
          </cell>
          <cell r="AN674">
            <v>33000</v>
          </cell>
          <cell r="AO674">
            <v>150000</v>
          </cell>
          <cell r="AP674">
            <v>2850000</v>
          </cell>
          <cell r="AQ674"/>
          <cell r="AR674">
            <v>2850000</v>
          </cell>
          <cell r="AS674">
            <v>0</v>
          </cell>
          <cell r="AT674">
            <v>2850000</v>
          </cell>
          <cell r="AU674">
            <v>100000</v>
          </cell>
          <cell r="AV674">
            <v>2750000</v>
          </cell>
          <cell r="AW674">
            <v>0</v>
          </cell>
          <cell r="AX674">
            <v>2750000</v>
          </cell>
        </row>
        <row r="675">
          <cell r="G675" t="str">
            <v>AGM-01-029-011</v>
          </cell>
          <cell r="H675" t="str">
            <v xml:space="preserve">Raemulan Lands, Inc. </v>
          </cell>
          <cell r="I675" t="str">
            <v>Agapeya</v>
          </cell>
          <cell r="J675" t="str">
            <v>AGM</v>
          </cell>
          <cell r="K675" t="str">
            <v>Eco-High</v>
          </cell>
          <cell r="L675" t="str">
            <v>West</v>
          </cell>
          <cell r="M675" t="str">
            <v>With LTS - 2024</v>
          </cell>
          <cell r="N675" t="str">
            <v>YES</v>
          </cell>
          <cell r="O675" t="str">
            <v>YES</v>
          </cell>
          <cell r="P675" t="str">
            <v>Unaffected lots</v>
          </cell>
          <cell r="Q675" t="str">
            <v>YES</v>
          </cell>
          <cell r="R675">
            <v>70</v>
          </cell>
          <cell r="S675" t="str">
            <v>PCS-04-034298</v>
          </cell>
          <cell r="T675" t="str">
            <v>TCT-060-2024021786</v>
          </cell>
          <cell r="U675" t="b">
            <v>1</v>
          </cell>
          <cell r="V675" t="str">
            <v>Done</v>
          </cell>
          <cell r="W675" t="str">
            <v>2024 Batch</v>
          </cell>
          <cell r="X675" t="str">
            <v>2024 Batch</v>
          </cell>
          <cell r="Y675">
            <v>29</v>
          </cell>
          <cell r="Z675">
            <v>11</v>
          </cell>
          <cell r="AA675" t="str">
            <v>H+L</v>
          </cell>
          <cell r="AB675">
            <v>70</v>
          </cell>
          <cell r="AC675">
            <v>50</v>
          </cell>
          <cell r="AD675" t="str">
            <v>Slant</v>
          </cell>
          <cell r="AE675" t="str">
            <v>Duplex</v>
          </cell>
          <cell r="AF675" t="str">
            <v>326 - With Partition</v>
          </cell>
          <cell r="AG675" t="str">
            <v>With Partition</v>
          </cell>
          <cell r="AH675" t="str">
            <v>With Partition</v>
          </cell>
          <cell r="AI675" t="str">
            <v>GREEN</v>
          </cell>
          <cell r="AJ675" t="str">
            <v>Slant / GREEN</v>
          </cell>
          <cell r="AK675">
            <v>1050000</v>
          </cell>
          <cell r="AL675">
            <v>15000</v>
          </cell>
          <cell r="AM675">
            <v>1650000</v>
          </cell>
          <cell r="AN675">
            <v>33000</v>
          </cell>
          <cell r="AO675">
            <v>150000</v>
          </cell>
          <cell r="AP675">
            <v>2850000</v>
          </cell>
          <cell r="AQ675"/>
          <cell r="AR675">
            <v>2850000</v>
          </cell>
          <cell r="AS675">
            <v>0</v>
          </cell>
          <cell r="AT675">
            <v>2850000</v>
          </cell>
          <cell r="AU675">
            <v>100000</v>
          </cell>
          <cell r="AV675">
            <v>2750000</v>
          </cell>
          <cell r="AW675">
            <v>0</v>
          </cell>
          <cell r="AX675">
            <v>2750000</v>
          </cell>
        </row>
        <row r="676">
          <cell r="G676" t="str">
            <v>AGM-01-029-012</v>
          </cell>
          <cell r="H676" t="str">
            <v xml:space="preserve">Raemulan Lands, Inc. </v>
          </cell>
          <cell r="I676" t="str">
            <v>Agapeya</v>
          </cell>
          <cell r="J676" t="str">
            <v>AGM</v>
          </cell>
          <cell r="K676" t="str">
            <v>Eco-High</v>
          </cell>
          <cell r="L676" t="str">
            <v>West</v>
          </cell>
          <cell r="M676" t="str">
            <v>With LTS - 2024</v>
          </cell>
          <cell r="N676" t="str">
            <v>YES</v>
          </cell>
          <cell r="O676" t="str">
            <v>YES</v>
          </cell>
          <cell r="P676" t="str">
            <v>Unaffected lots</v>
          </cell>
          <cell r="Q676" t="str">
            <v>YES</v>
          </cell>
          <cell r="R676">
            <v>70</v>
          </cell>
          <cell r="S676" t="str">
            <v>PCS-04-034298</v>
          </cell>
          <cell r="T676" t="str">
            <v>TCT-060-2024021787</v>
          </cell>
          <cell r="U676" t="b">
            <v>1</v>
          </cell>
          <cell r="V676" t="str">
            <v>Done</v>
          </cell>
          <cell r="W676" t="str">
            <v>2024 Batch</v>
          </cell>
          <cell r="X676" t="str">
            <v>2024 Batch</v>
          </cell>
          <cell r="Y676">
            <v>29</v>
          </cell>
          <cell r="Z676">
            <v>12</v>
          </cell>
          <cell r="AA676" t="str">
            <v>H+L</v>
          </cell>
          <cell r="AB676">
            <v>70</v>
          </cell>
          <cell r="AC676">
            <v>50</v>
          </cell>
          <cell r="AD676" t="str">
            <v>Flat</v>
          </cell>
          <cell r="AE676" t="str">
            <v>Duplex</v>
          </cell>
          <cell r="AF676" t="str">
            <v>326 - With Partition</v>
          </cell>
          <cell r="AG676" t="str">
            <v>With Partition</v>
          </cell>
          <cell r="AH676" t="str">
            <v>With Partition</v>
          </cell>
          <cell r="AI676" t="str">
            <v>GREEN</v>
          </cell>
          <cell r="AJ676" t="str">
            <v>Flat / GREEN</v>
          </cell>
          <cell r="AK676">
            <v>1050000</v>
          </cell>
          <cell r="AL676">
            <v>15000</v>
          </cell>
          <cell r="AM676">
            <v>1650000</v>
          </cell>
          <cell r="AN676">
            <v>33000</v>
          </cell>
          <cell r="AO676">
            <v>150000</v>
          </cell>
          <cell r="AP676">
            <v>2850000</v>
          </cell>
          <cell r="AQ676"/>
          <cell r="AR676">
            <v>2850000</v>
          </cell>
          <cell r="AS676">
            <v>0</v>
          </cell>
          <cell r="AT676">
            <v>2850000</v>
          </cell>
          <cell r="AU676">
            <v>100000</v>
          </cell>
          <cell r="AV676">
            <v>2750000</v>
          </cell>
          <cell r="AW676">
            <v>0</v>
          </cell>
          <cell r="AX676">
            <v>2750000</v>
          </cell>
        </row>
        <row r="677">
          <cell r="G677" t="str">
            <v>AGM-01-029-013</v>
          </cell>
          <cell r="H677" t="str">
            <v xml:space="preserve">Raemulan Lands, Inc. </v>
          </cell>
          <cell r="I677" t="str">
            <v>Agapeya</v>
          </cell>
          <cell r="J677" t="str">
            <v>AGM</v>
          </cell>
          <cell r="K677" t="str">
            <v>Eco-High</v>
          </cell>
          <cell r="L677" t="str">
            <v>West</v>
          </cell>
          <cell r="M677" t="str">
            <v>With LTS - 2024</v>
          </cell>
          <cell r="N677" t="str">
            <v>YES</v>
          </cell>
          <cell r="O677" t="str">
            <v>YES</v>
          </cell>
          <cell r="P677" t="str">
            <v>Unaffected lots</v>
          </cell>
          <cell r="Q677" t="str">
            <v>YES</v>
          </cell>
          <cell r="R677">
            <v>70</v>
          </cell>
          <cell r="S677" t="str">
            <v>PCS-04-034298</v>
          </cell>
          <cell r="T677" t="str">
            <v>TCT-060-2024021788</v>
          </cell>
          <cell r="U677" t="b">
            <v>1</v>
          </cell>
          <cell r="V677" t="str">
            <v>Done</v>
          </cell>
          <cell r="W677" t="str">
            <v>2024 Batch</v>
          </cell>
          <cell r="X677" t="str">
            <v>2024 Batch</v>
          </cell>
          <cell r="Y677">
            <v>29</v>
          </cell>
          <cell r="Z677">
            <v>13</v>
          </cell>
          <cell r="AA677" t="str">
            <v>H+L</v>
          </cell>
          <cell r="AB677">
            <v>70</v>
          </cell>
          <cell r="AC677">
            <v>50</v>
          </cell>
          <cell r="AD677" t="str">
            <v>Flat</v>
          </cell>
          <cell r="AE677" t="str">
            <v>Duplex</v>
          </cell>
          <cell r="AF677" t="str">
            <v>326 - With Partition</v>
          </cell>
          <cell r="AG677" t="str">
            <v>With Partition</v>
          </cell>
          <cell r="AH677" t="str">
            <v>With Partition</v>
          </cell>
          <cell r="AI677" t="str">
            <v>GREEN</v>
          </cell>
          <cell r="AJ677" t="str">
            <v>Flat / GREEN</v>
          </cell>
          <cell r="AK677">
            <v>1050000</v>
          </cell>
          <cell r="AL677">
            <v>15000</v>
          </cell>
          <cell r="AM677">
            <v>1650000</v>
          </cell>
          <cell r="AN677">
            <v>33000</v>
          </cell>
          <cell r="AO677">
            <v>150000</v>
          </cell>
          <cell r="AP677">
            <v>2850000</v>
          </cell>
          <cell r="AQ677"/>
          <cell r="AR677">
            <v>2850000</v>
          </cell>
          <cell r="AS677">
            <v>0</v>
          </cell>
          <cell r="AT677">
            <v>2850000</v>
          </cell>
          <cell r="AU677">
            <v>100000</v>
          </cell>
          <cell r="AV677">
            <v>2750000</v>
          </cell>
          <cell r="AW677">
            <v>0</v>
          </cell>
          <cell r="AX677">
            <v>2750000</v>
          </cell>
        </row>
        <row r="678">
          <cell r="G678" t="str">
            <v>AGM-01-029-014</v>
          </cell>
          <cell r="H678" t="str">
            <v xml:space="preserve">Raemulan Lands, Inc. </v>
          </cell>
          <cell r="I678" t="str">
            <v>Agapeya</v>
          </cell>
          <cell r="J678" t="str">
            <v>AGM</v>
          </cell>
          <cell r="K678" t="str">
            <v>Eco-High</v>
          </cell>
          <cell r="L678" t="str">
            <v>West</v>
          </cell>
          <cell r="M678" t="str">
            <v>With LTS - 2024</v>
          </cell>
          <cell r="N678" t="str">
            <v>YES</v>
          </cell>
          <cell r="O678" t="str">
            <v>YES</v>
          </cell>
          <cell r="P678" t="str">
            <v>Unaffected lots</v>
          </cell>
          <cell r="Q678" t="str">
            <v>YES</v>
          </cell>
          <cell r="R678">
            <v>70</v>
          </cell>
          <cell r="S678" t="str">
            <v>PCS-04-034298</v>
          </cell>
          <cell r="T678" t="str">
            <v>TCT-060-2024021789</v>
          </cell>
          <cell r="U678" t="b">
            <v>1</v>
          </cell>
          <cell r="V678" t="str">
            <v>Done</v>
          </cell>
          <cell r="W678" t="str">
            <v>2024 Batch</v>
          </cell>
          <cell r="X678" t="str">
            <v>2024 Batch</v>
          </cell>
          <cell r="Y678">
            <v>29</v>
          </cell>
          <cell r="Z678">
            <v>14</v>
          </cell>
          <cell r="AA678" t="str">
            <v>H+L</v>
          </cell>
          <cell r="AB678">
            <v>70</v>
          </cell>
          <cell r="AC678">
            <v>50</v>
          </cell>
          <cell r="AD678" t="str">
            <v>Slant</v>
          </cell>
          <cell r="AE678" t="str">
            <v>Duplex</v>
          </cell>
          <cell r="AF678" t="str">
            <v>326 - With Partition</v>
          </cell>
          <cell r="AG678" t="str">
            <v>With Partition</v>
          </cell>
          <cell r="AH678" t="str">
            <v>With Partition</v>
          </cell>
          <cell r="AI678" t="str">
            <v>GREEN</v>
          </cell>
          <cell r="AJ678" t="str">
            <v>Slant / GREEN</v>
          </cell>
          <cell r="AK678">
            <v>1050000</v>
          </cell>
          <cell r="AL678">
            <v>15000</v>
          </cell>
          <cell r="AM678">
            <v>1650000</v>
          </cell>
          <cell r="AN678">
            <v>33000</v>
          </cell>
          <cell r="AO678">
            <v>150000</v>
          </cell>
          <cell r="AP678">
            <v>2850000</v>
          </cell>
          <cell r="AQ678"/>
          <cell r="AR678">
            <v>2850000</v>
          </cell>
          <cell r="AS678">
            <v>0</v>
          </cell>
          <cell r="AT678">
            <v>2850000</v>
          </cell>
          <cell r="AU678">
            <v>100000</v>
          </cell>
          <cell r="AV678">
            <v>2750000</v>
          </cell>
          <cell r="AW678">
            <v>0</v>
          </cell>
          <cell r="AX678">
            <v>2750000</v>
          </cell>
        </row>
        <row r="679">
          <cell r="G679" t="str">
            <v>AGM-01-029-015</v>
          </cell>
          <cell r="H679" t="str">
            <v xml:space="preserve">Raemulan Lands, Inc. </v>
          </cell>
          <cell r="I679" t="str">
            <v>Agapeya</v>
          </cell>
          <cell r="J679" t="str">
            <v>AGM</v>
          </cell>
          <cell r="K679" t="str">
            <v>Eco-High</v>
          </cell>
          <cell r="L679" t="str">
            <v>West</v>
          </cell>
          <cell r="M679" t="str">
            <v>With LTS - 2024</v>
          </cell>
          <cell r="N679" t="str">
            <v>YES</v>
          </cell>
          <cell r="O679" t="str">
            <v>YES</v>
          </cell>
          <cell r="P679" t="str">
            <v>Unaffected lots</v>
          </cell>
          <cell r="Q679" t="str">
            <v>YES</v>
          </cell>
          <cell r="R679">
            <v>70</v>
          </cell>
          <cell r="S679" t="str">
            <v>PCS-04-034298</v>
          </cell>
          <cell r="T679" t="str">
            <v>TCT-060-2024021790</v>
          </cell>
          <cell r="U679" t="b">
            <v>1</v>
          </cell>
          <cell r="V679" t="str">
            <v>Done</v>
          </cell>
          <cell r="W679" t="str">
            <v>2024 Batch</v>
          </cell>
          <cell r="X679" t="str">
            <v>2024 Batch</v>
          </cell>
          <cell r="Y679">
            <v>29</v>
          </cell>
          <cell r="Z679">
            <v>15</v>
          </cell>
          <cell r="AA679" t="str">
            <v>H+L</v>
          </cell>
          <cell r="AB679">
            <v>70</v>
          </cell>
          <cell r="AC679">
            <v>50</v>
          </cell>
          <cell r="AD679" t="str">
            <v>Slant</v>
          </cell>
          <cell r="AE679" t="str">
            <v>Duplex</v>
          </cell>
          <cell r="AF679" t="str">
            <v>326 - With Partition</v>
          </cell>
          <cell r="AG679" t="str">
            <v>With Partition</v>
          </cell>
          <cell r="AH679" t="str">
            <v>With Partition</v>
          </cell>
          <cell r="AI679" t="str">
            <v>PURPLE</v>
          </cell>
          <cell r="AJ679" t="str">
            <v>Slant / PURPLE</v>
          </cell>
          <cell r="AK679">
            <v>1050000</v>
          </cell>
          <cell r="AL679">
            <v>15000</v>
          </cell>
          <cell r="AM679">
            <v>1650000</v>
          </cell>
          <cell r="AN679">
            <v>33000</v>
          </cell>
          <cell r="AO679">
            <v>150000</v>
          </cell>
          <cell r="AP679">
            <v>2850000</v>
          </cell>
          <cell r="AQ679"/>
          <cell r="AR679">
            <v>2850000</v>
          </cell>
          <cell r="AS679"/>
          <cell r="AT679">
            <v>2850000</v>
          </cell>
          <cell r="AU679">
            <v>100000</v>
          </cell>
          <cell r="AV679">
            <v>2750000</v>
          </cell>
          <cell r="AW679">
            <v>0</v>
          </cell>
          <cell r="AX679">
            <v>2750000</v>
          </cell>
        </row>
        <row r="680">
          <cell r="G680" t="str">
            <v>AGM-01-029-016</v>
          </cell>
          <cell r="H680" t="str">
            <v xml:space="preserve">Raemulan Lands, Inc. </v>
          </cell>
          <cell r="I680" t="str">
            <v>Agapeya</v>
          </cell>
          <cell r="J680" t="str">
            <v>AGM</v>
          </cell>
          <cell r="K680" t="str">
            <v>Eco-High</v>
          </cell>
          <cell r="L680" t="str">
            <v>West</v>
          </cell>
          <cell r="M680" t="str">
            <v>With LTS - 2024</v>
          </cell>
          <cell r="N680" t="str">
            <v>YES</v>
          </cell>
          <cell r="O680" t="str">
            <v>YES</v>
          </cell>
          <cell r="P680" t="str">
            <v>Unaffected lots</v>
          </cell>
          <cell r="Q680" t="str">
            <v>YES</v>
          </cell>
          <cell r="R680">
            <v>70</v>
          </cell>
          <cell r="S680" t="str">
            <v>PCS-04-034298</v>
          </cell>
          <cell r="T680" t="str">
            <v>TCT-060-2024021791</v>
          </cell>
          <cell r="U680" t="b">
            <v>1</v>
          </cell>
          <cell r="V680" t="str">
            <v>Done</v>
          </cell>
          <cell r="W680" t="str">
            <v>2024 Batch</v>
          </cell>
          <cell r="X680" t="str">
            <v>2024 Batch</v>
          </cell>
          <cell r="Y680">
            <v>29</v>
          </cell>
          <cell r="Z680">
            <v>16</v>
          </cell>
          <cell r="AA680" t="str">
            <v>H+L</v>
          </cell>
          <cell r="AB680">
            <v>70</v>
          </cell>
          <cell r="AC680">
            <v>50</v>
          </cell>
          <cell r="AD680" t="str">
            <v>Flat</v>
          </cell>
          <cell r="AE680" t="str">
            <v>Duplex</v>
          </cell>
          <cell r="AF680" t="str">
            <v>326 - With Partition</v>
          </cell>
          <cell r="AG680" t="str">
            <v>With Partition</v>
          </cell>
          <cell r="AH680" t="str">
            <v>With Partition</v>
          </cell>
          <cell r="AI680" t="str">
            <v>PURPLE</v>
          </cell>
          <cell r="AJ680" t="str">
            <v>Flat / PURPLE</v>
          </cell>
          <cell r="AK680">
            <v>1050000</v>
          </cell>
          <cell r="AL680">
            <v>15000</v>
          </cell>
          <cell r="AM680">
            <v>1650000</v>
          </cell>
          <cell r="AN680">
            <v>33000</v>
          </cell>
          <cell r="AO680">
            <v>150000</v>
          </cell>
          <cell r="AP680">
            <v>2850000</v>
          </cell>
          <cell r="AQ680"/>
          <cell r="AR680">
            <v>2850000</v>
          </cell>
          <cell r="AS680">
            <v>0</v>
          </cell>
          <cell r="AT680">
            <v>2850000</v>
          </cell>
          <cell r="AU680">
            <v>100000</v>
          </cell>
          <cell r="AV680">
            <v>2750000</v>
          </cell>
          <cell r="AW680">
            <v>0</v>
          </cell>
          <cell r="AX680">
            <v>2750000</v>
          </cell>
        </row>
        <row r="681">
          <cell r="G681" t="str">
            <v>AGM-01-029-017</v>
          </cell>
          <cell r="H681" t="str">
            <v xml:space="preserve">Raemulan Lands, Inc. </v>
          </cell>
          <cell r="I681" t="str">
            <v>Agapeya</v>
          </cell>
          <cell r="J681" t="str">
            <v>AGM</v>
          </cell>
          <cell r="K681" t="str">
            <v>Eco-High</v>
          </cell>
          <cell r="L681" t="str">
            <v>West</v>
          </cell>
          <cell r="M681" t="str">
            <v>With LTS - 2024</v>
          </cell>
          <cell r="N681" t="str">
            <v>YES</v>
          </cell>
          <cell r="O681" t="str">
            <v>YES</v>
          </cell>
          <cell r="P681" t="str">
            <v>Unaffected lots</v>
          </cell>
          <cell r="Q681" t="str">
            <v>YES</v>
          </cell>
          <cell r="R681">
            <v>70</v>
          </cell>
          <cell r="S681" t="str">
            <v>PCS-04-034298</v>
          </cell>
          <cell r="T681" t="str">
            <v>TCT-060-2024021792</v>
          </cell>
          <cell r="U681" t="b">
            <v>1</v>
          </cell>
          <cell r="V681" t="str">
            <v>Done</v>
          </cell>
          <cell r="W681" t="str">
            <v>2024 Batch</v>
          </cell>
          <cell r="X681" t="str">
            <v>2024 Batch</v>
          </cell>
          <cell r="Y681">
            <v>29</v>
          </cell>
          <cell r="Z681">
            <v>17</v>
          </cell>
          <cell r="AA681" t="str">
            <v>H+L</v>
          </cell>
          <cell r="AB681">
            <v>70</v>
          </cell>
          <cell r="AC681">
            <v>50</v>
          </cell>
          <cell r="AD681" t="str">
            <v>Slant</v>
          </cell>
          <cell r="AE681" t="str">
            <v>Duplex</v>
          </cell>
          <cell r="AF681" t="str">
            <v>326 - With Partition</v>
          </cell>
          <cell r="AG681" t="str">
            <v>With Partition</v>
          </cell>
          <cell r="AH681" t="str">
            <v>With Partition</v>
          </cell>
          <cell r="AI681" t="str">
            <v>PURPLE</v>
          </cell>
          <cell r="AJ681" t="str">
            <v>Slant / PURPLE</v>
          </cell>
          <cell r="AK681">
            <v>1050000</v>
          </cell>
          <cell r="AL681">
            <v>15000</v>
          </cell>
          <cell r="AM681">
            <v>1650000</v>
          </cell>
          <cell r="AN681">
            <v>33000</v>
          </cell>
          <cell r="AO681">
            <v>150000</v>
          </cell>
          <cell r="AP681">
            <v>2850000</v>
          </cell>
          <cell r="AQ681"/>
          <cell r="AR681">
            <v>2850000</v>
          </cell>
          <cell r="AS681">
            <v>0</v>
          </cell>
          <cell r="AT681">
            <v>2850000</v>
          </cell>
          <cell r="AU681">
            <v>100000</v>
          </cell>
          <cell r="AV681">
            <v>2750000</v>
          </cell>
          <cell r="AW681">
            <v>0</v>
          </cell>
          <cell r="AX681">
            <v>2750000</v>
          </cell>
        </row>
        <row r="682">
          <cell r="G682" t="str">
            <v>AGM-01-029-018</v>
          </cell>
          <cell r="H682" t="str">
            <v xml:space="preserve">Raemulan Lands, Inc. </v>
          </cell>
          <cell r="I682" t="str">
            <v>Agapeya</v>
          </cell>
          <cell r="J682" t="str">
            <v>AGM</v>
          </cell>
          <cell r="K682" t="str">
            <v>Eco-High</v>
          </cell>
          <cell r="L682" t="str">
            <v>West</v>
          </cell>
          <cell r="M682" t="str">
            <v>With LTS - 2024</v>
          </cell>
          <cell r="N682" t="str">
            <v>YES</v>
          </cell>
          <cell r="O682" t="str">
            <v>YES</v>
          </cell>
          <cell r="P682" t="str">
            <v>Unaffected lots</v>
          </cell>
          <cell r="Q682" t="str">
            <v>YES</v>
          </cell>
          <cell r="R682">
            <v>81</v>
          </cell>
          <cell r="S682" t="str">
            <v>PCS-04-034298</v>
          </cell>
          <cell r="T682" t="str">
            <v>TCT-060-2024021793</v>
          </cell>
          <cell r="U682" t="b">
            <v>1</v>
          </cell>
          <cell r="V682" t="str">
            <v>Done</v>
          </cell>
          <cell r="W682" t="str">
            <v>2024 Batch</v>
          </cell>
          <cell r="X682" t="str">
            <v>2024 Batch</v>
          </cell>
          <cell r="Y682">
            <v>29</v>
          </cell>
          <cell r="Z682">
            <v>18</v>
          </cell>
          <cell r="AA682" t="str">
            <v>H+L</v>
          </cell>
          <cell r="AB682">
            <v>81</v>
          </cell>
          <cell r="AC682">
            <v>50</v>
          </cell>
          <cell r="AD682" t="str">
            <v>Flat</v>
          </cell>
          <cell r="AE682" t="str">
            <v>Duplex</v>
          </cell>
          <cell r="AF682" t="str">
            <v>326 - With Partition</v>
          </cell>
          <cell r="AG682" t="str">
            <v>With Partition</v>
          </cell>
          <cell r="AH682" t="str">
            <v>With Partition</v>
          </cell>
          <cell r="AI682" t="str">
            <v>PURPLE</v>
          </cell>
          <cell r="AJ682" t="str">
            <v>Flat / PURPLE</v>
          </cell>
          <cell r="AK682">
            <v>1215000</v>
          </cell>
          <cell r="AL682">
            <v>15000</v>
          </cell>
          <cell r="AM682">
            <v>1650000</v>
          </cell>
          <cell r="AN682">
            <v>33000</v>
          </cell>
          <cell r="AO682">
            <v>150000</v>
          </cell>
          <cell r="AP682">
            <v>3015000</v>
          </cell>
          <cell r="AQ682"/>
          <cell r="AR682">
            <v>3015000</v>
          </cell>
          <cell r="AS682">
            <v>0</v>
          </cell>
          <cell r="AT682">
            <v>3015000</v>
          </cell>
          <cell r="AU682">
            <v>100000</v>
          </cell>
          <cell r="AV682">
            <v>2915000</v>
          </cell>
          <cell r="AW682">
            <v>0</v>
          </cell>
          <cell r="AX682">
            <v>2915000</v>
          </cell>
        </row>
        <row r="683">
          <cell r="G683" t="str">
            <v>AGM-01-029-019</v>
          </cell>
          <cell r="H683" t="str">
            <v xml:space="preserve">Raemulan Lands, Inc. </v>
          </cell>
          <cell r="I683" t="str">
            <v>Agapeya</v>
          </cell>
          <cell r="J683" t="str">
            <v>AGM</v>
          </cell>
          <cell r="K683" t="str">
            <v>Eco-High</v>
          </cell>
          <cell r="L683" t="str">
            <v>West</v>
          </cell>
          <cell r="M683" t="str">
            <v>With LTS - 2024</v>
          </cell>
          <cell r="N683" t="str">
            <v>YES</v>
          </cell>
          <cell r="O683" t="str">
            <v>YES</v>
          </cell>
          <cell r="P683" t="str">
            <v>Unaffected lots</v>
          </cell>
          <cell r="Q683" t="str">
            <v>YES</v>
          </cell>
          <cell r="R683">
            <v>81</v>
          </cell>
          <cell r="S683" t="str">
            <v>PCS-04-034298</v>
          </cell>
          <cell r="T683" t="str">
            <v>TCT-060-2024021794</v>
          </cell>
          <cell r="U683" t="b">
            <v>1</v>
          </cell>
          <cell r="V683" t="str">
            <v>Done</v>
          </cell>
          <cell r="W683" t="str">
            <v>2024 Batch</v>
          </cell>
          <cell r="X683" t="str">
            <v>2024 Batch</v>
          </cell>
          <cell r="Y683">
            <v>29</v>
          </cell>
          <cell r="Z683">
            <v>19</v>
          </cell>
          <cell r="AA683" t="str">
            <v>H+L</v>
          </cell>
          <cell r="AB683">
            <v>81</v>
          </cell>
          <cell r="AC683">
            <v>50</v>
          </cell>
          <cell r="AD683" t="str">
            <v>Slant</v>
          </cell>
          <cell r="AE683" t="str">
            <v>Duplex</v>
          </cell>
          <cell r="AF683" t="str">
            <v>326 - With Partition</v>
          </cell>
          <cell r="AG683" t="str">
            <v>With Partition</v>
          </cell>
          <cell r="AH683" t="str">
            <v>With Partition</v>
          </cell>
          <cell r="AI683" t="str">
            <v>PINK</v>
          </cell>
          <cell r="AJ683" t="str">
            <v>Slant / PINK</v>
          </cell>
          <cell r="AK683">
            <v>1215000</v>
          </cell>
          <cell r="AL683">
            <v>15000</v>
          </cell>
          <cell r="AM683">
            <v>1650000</v>
          </cell>
          <cell r="AN683">
            <v>33000</v>
          </cell>
          <cell r="AO683">
            <v>150000</v>
          </cell>
          <cell r="AP683">
            <v>3015000</v>
          </cell>
          <cell r="AQ683"/>
          <cell r="AR683">
            <v>3015000</v>
          </cell>
          <cell r="AS683"/>
          <cell r="AT683">
            <v>3015000</v>
          </cell>
          <cell r="AU683">
            <v>100000</v>
          </cell>
          <cell r="AV683">
            <v>2915000</v>
          </cell>
          <cell r="AW683">
            <v>0</v>
          </cell>
          <cell r="AX683">
            <v>2915000</v>
          </cell>
        </row>
        <row r="684">
          <cell r="G684" t="str">
            <v>AGM-01-029-020</v>
          </cell>
          <cell r="H684" t="str">
            <v xml:space="preserve">Raemulan Lands, Inc. </v>
          </cell>
          <cell r="I684" t="str">
            <v>Agapeya</v>
          </cell>
          <cell r="J684" t="str">
            <v>AGM</v>
          </cell>
          <cell r="K684" t="str">
            <v>Eco-High</v>
          </cell>
          <cell r="L684" t="str">
            <v>West</v>
          </cell>
          <cell r="M684" t="str">
            <v>With LTS - 2024</v>
          </cell>
          <cell r="N684" t="str">
            <v>YES</v>
          </cell>
          <cell r="O684" t="str">
            <v>YES</v>
          </cell>
          <cell r="P684" t="str">
            <v>Unaffected lots</v>
          </cell>
          <cell r="Q684" t="str">
            <v>YES</v>
          </cell>
          <cell r="R684">
            <v>70</v>
          </cell>
          <cell r="S684" t="str">
            <v>PCS-04-034298</v>
          </cell>
          <cell r="T684" t="str">
            <v>TCT-060-2024021795</v>
          </cell>
          <cell r="U684" t="b">
            <v>1</v>
          </cell>
          <cell r="V684" t="str">
            <v>Done</v>
          </cell>
          <cell r="W684" t="str">
            <v>2024 Batch</v>
          </cell>
          <cell r="X684" t="str">
            <v>2024 Batch</v>
          </cell>
          <cell r="Y684">
            <v>29</v>
          </cell>
          <cell r="Z684">
            <v>20</v>
          </cell>
          <cell r="AA684" t="str">
            <v>H+L</v>
          </cell>
          <cell r="AB684">
            <v>70</v>
          </cell>
          <cell r="AC684">
            <v>50</v>
          </cell>
          <cell r="AD684" t="str">
            <v>Flat</v>
          </cell>
          <cell r="AE684" t="str">
            <v>Duplex</v>
          </cell>
          <cell r="AF684" t="str">
            <v>326 - With Partition</v>
          </cell>
          <cell r="AG684" t="str">
            <v>With Partition</v>
          </cell>
          <cell r="AH684" t="str">
            <v>With Partition</v>
          </cell>
          <cell r="AI684" t="str">
            <v>PINK</v>
          </cell>
          <cell r="AJ684" t="str">
            <v>Flat / PINK</v>
          </cell>
          <cell r="AK684">
            <v>1050000</v>
          </cell>
          <cell r="AL684">
            <v>15000</v>
          </cell>
          <cell r="AM684">
            <v>1650000</v>
          </cell>
          <cell r="AN684">
            <v>33000</v>
          </cell>
          <cell r="AO684">
            <v>150000</v>
          </cell>
          <cell r="AP684">
            <v>2850000</v>
          </cell>
          <cell r="AQ684"/>
          <cell r="AR684">
            <v>2850000</v>
          </cell>
          <cell r="AS684">
            <v>0</v>
          </cell>
          <cell r="AT684">
            <v>2850000</v>
          </cell>
          <cell r="AU684">
            <v>100000</v>
          </cell>
          <cell r="AV684">
            <v>2750000</v>
          </cell>
          <cell r="AW684">
            <v>0</v>
          </cell>
          <cell r="AX684">
            <v>2750000</v>
          </cell>
        </row>
        <row r="685">
          <cell r="G685" t="str">
            <v>AGM-01-029-021</v>
          </cell>
          <cell r="H685" t="str">
            <v xml:space="preserve">Raemulan Lands, Inc. </v>
          </cell>
          <cell r="I685" t="str">
            <v>Agapeya</v>
          </cell>
          <cell r="J685" t="str">
            <v>AGM</v>
          </cell>
          <cell r="K685" t="str">
            <v>Eco-High</v>
          </cell>
          <cell r="L685" t="str">
            <v>West</v>
          </cell>
          <cell r="M685" t="str">
            <v>With LTS - 2024</v>
          </cell>
          <cell r="N685" t="str">
            <v>YES</v>
          </cell>
          <cell r="O685" t="str">
            <v>YES</v>
          </cell>
          <cell r="P685" t="str">
            <v>Unaffected lots</v>
          </cell>
          <cell r="Q685" t="str">
            <v>YES</v>
          </cell>
          <cell r="R685">
            <v>70</v>
          </cell>
          <cell r="S685" t="str">
            <v>PCS-04-034298</v>
          </cell>
          <cell r="T685" t="str">
            <v>TCT-060-2024021796</v>
          </cell>
          <cell r="U685" t="b">
            <v>1</v>
          </cell>
          <cell r="V685" t="str">
            <v>Done</v>
          </cell>
          <cell r="W685" t="str">
            <v>2024 Batch</v>
          </cell>
          <cell r="X685" t="str">
            <v>2024 Batch</v>
          </cell>
          <cell r="Y685">
            <v>29</v>
          </cell>
          <cell r="Z685">
            <v>21</v>
          </cell>
          <cell r="AA685" t="str">
            <v>H+L</v>
          </cell>
          <cell r="AB685">
            <v>70</v>
          </cell>
          <cell r="AC685">
            <v>50</v>
          </cell>
          <cell r="AD685" t="str">
            <v>Flat</v>
          </cell>
          <cell r="AE685" t="str">
            <v>Duplex</v>
          </cell>
          <cell r="AF685" t="str">
            <v>326 - With Partition</v>
          </cell>
          <cell r="AG685" t="str">
            <v>With Partition</v>
          </cell>
          <cell r="AH685" t="str">
            <v>With Partition</v>
          </cell>
          <cell r="AI685" t="str">
            <v>PINK</v>
          </cell>
          <cell r="AJ685" t="str">
            <v>Flat / PINK</v>
          </cell>
          <cell r="AK685">
            <v>1050000</v>
          </cell>
          <cell r="AL685">
            <v>15000</v>
          </cell>
          <cell r="AM685">
            <v>1650000</v>
          </cell>
          <cell r="AN685">
            <v>33000</v>
          </cell>
          <cell r="AO685">
            <v>150000</v>
          </cell>
          <cell r="AP685">
            <v>2850000</v>
          </cell>
          <cell r="AQ685"/>
          <cell r="AR685">
            <v>2850000</v>
          </cell>
          <cell r="AS685">
            <v>0</v>
          </cell>
          <cell r="AT685">
            <v>2850000</v>
          </cell>
          <cell r="AU685">
            <v>100000</v>
          </cell>
          <cell r="AV685">
            <v>2750000</v>
          </cell>
          <cell r="AW685">
            <v>0</v>
          </cell>
          <cell r="AX685">
            <v>2750000</v>
          </cell>
        </row>
        <row r="686">
          <cell r="G686" t="str">
            <v>AGM-01-029-022</v>
          </cell>
          <cell r="H686" t="str">
            <v xml:space="preserve">Raemulan Lands, Inc. </v>
          </cell>
          <cell r="I686" t="str">
            <v>Agapeya</v>
          </cell>
          <cell r="J686" t="str">
            <v>AGM</v>
          </cell>
          <cell r="K686" t="str">
            <v>Eco-High</v>
          </cell>
          <cell r="L686" t="str">
            <v>West</v>
          </cell>
          <cell r="M686" t="str">
            <v>With LTS - 2024</v>
          </cell>
          <cell r="N686" t="str">
            <v>YES</v>
          </cell>
          <cell r="O686" t="str">
            <v>YES</v>
          </cell>
          <cell r="P686" t="str">
            <v>Unaffected lots</v>
          </cell>
          <cell r="Q686" t="str">
            <v>YES</v>
          </cell>
          <cell r="R686">
            <v>70</v>
          </cell>
          <cell r="S686" t="str">
            <v>PCS-04-034298</v>
          </cell>
          <cell r="T686" t="str">
            <v>TCT-060-2024021797</v>
          </cell>
          <cell r="U686" t="b">
            <v>1</v>
          </cell>
          <cell r="V686" t="str">
            <v>Done</v>
          </cell>
          <cell r="W686" t="str">
            <v>2024 Batch</v>
          </cell>
          <cell r="X686" t="str">
            <v>2024 Batch</v>
          </cell>
          <cell r="Y686">
            <v>29</v>
          </cell>
          <cell r="Z686">
            <v>22</v>
          </cell>
          <cell r="AA686" t="str">
            <v>H+L</v>
          </cell>
          <cell r="AB686">
            <v>70</v>
          </cell>
          <cell r="AC686">
            <v>50</v>
          </cell>
          <cell r="AD686" t="str">
            <v>Slant</v>
          </cell>
          <cell r="AE686" t="str">
            <v>Duplex</v>
          </cell>
          <cell r="AF686" t="str">
            <v>326 - With Partition</v>
          </cell>
          <cell r="AG686" t="str">
            <v>With Partition</v>
          </cell>
          <cell r="AH686" t="str">
            <v>With Partition</v>
          </cell>
          <cell r="AI686" t="str">
            <v>PINK</v>
          </cell>
          <cell r="AJ686" t="str">
            <v>Slant / PINK</v>
          </cell>
          <cell r="AK686">
            <v>1050000</v>
          </cell>
          <cell r="AL686">
            <v>15000</v>
          </cell>
          <cell r="AM686">
            <v>1650000</v>
          </cell>
          <cell r="AN686">
            <v>33000</v>
          </cell>
          <cell r="AO686">
            <v>150000</v>
          </cell>
          <cell r="AP686">
            <v>2850000</v>
          </cell>
          <cell r="AQ686"/>
          <cell r="AR686">
            <v>2850000</v>
          </cell>
          <cell r="AS686"/>
          <cell r="AT686">
            <v>2850000</v>
          </cell>
          <cell r="AU686">
            <v>100000</v>
          </cell>
          <cell r="AV686">
            <v>2750000</v>
          </cell>
          <cell r="AW686">
            <v>0</v>
          </cell>
          <cell r="AX686">
            <v>2750000</v>
          </cell>
        </row>
        <row r="687">
          <cell r="G687" t="str">
            <v>AGM-01-029-023</v>
          </cell>
          <cell r="H687" t="str">
            <v xml:space="preserve">Raemulan Lands, Inc. </v>
          </cell>
          <cell r="I687" t="str">
            <v>Agapeya</v>
          </cell>
          <cell r="J687" t="str">
            <v>AGM</v>
          </cell>
          <cell r="K687" t="str">
            <v>Eco-High</v>
          </cell>
          <cell r="L687" t="str">
            <v>West</v>
          </cell>
          <cell r="M687" t="str">
            <v>With LTS - 2024</v>
          </cell>
          <cell r="N687" t="str">
            <v>YES</v>
          </cell>
          <cell r="O687" t="str">
            <v>YES</v>
          </cell>
          <cell r="P687" t="str">
            <v>Unaffected lots</v>
          </cell>
          <cell r="Q687" t="str">
            <v>YES</v>
          </cell>
          <cell r="R687">
            <v>70</v>
          </cell>
          <cell r="S687" t="str">
            <v>PCS-04-034298</v>
          </cell>
          <cell r="T687" t="str">
            <v>TCT-060-2024021798</v>
          </cell>
          <cell r="U687" t="b">
            <v>1</v>
          </cell>
          <cell r="V687" t="str">
            <v>Done</v>
          </cell>
          <cell r="W687" t="str">
            <v>2024 Batch</v>
          </cell>
          <cell r="X687" t="str">
            <v>2024 Batch</v>
          </cell>
          <cell r="Y687">
            <v>29</v>
          </cell>
          <cell r="Z687">
            <v>23</v>
          </cell>
          <cell r="AA687" t="str">
            <v>H+L</v>
          </cell>
          <cell r="AB687">
            <v>70</v>
          </cell>
          <cell r="AC687">
            <v>50</v>
          </cell>
          <cell r="AD687" t="str">
            <v>Slant</v>
          </cell>
          <cell r="AE687" t="str">
            <v>Duplex</v>
          </cell>
          <cell r="AF687" t="str">
            <v>326 - With Partition</v>
          </cell>
          <cell r="AG687" t="str">
            <v>With Partition</v>
          </cell>
          <cell r="AH687" t="str">
            <v>With Partition</v>
          </cell>
          <cell r="AI687" t="str">
            <v>PURPLE</v>
          </cell>
          <cell r="AJ687" t="str">
            <v>Slant / PURPLE</v>
          </cell>
          <cell r="AK687">
            <v>1050000</v>
          </cell>
          <cell r="AL687">
            <v>15000</v>
          </cell>
          <cell r="AM687">
            <v>1650000</v>
          </cell>
          <cell r="AN687">
            <v>33000</v>
          </cell>
          <cell r="AO687">
            <v>150000</v>
          </cell>
          <cell r="AP687">
            <v>2850000</v>
          </cell>
          <cell r="AQ687"/>
          <cell r="AR687">
            <v>2850000</v>
          </cell>
          <cell r="AS687">
            <v>0</v>
          </cell>
          <cell r="AT687">
            <v>2850000</v>
          </cell>
          <cell r="AU687">
            <v>100000</v>
          </cell>
          <cell r="AV687">
            <v>2750000</v>
          </cell>
          <cell r="AW687">
            <v>0</v>
          </cell>
          <cell r="AX687">
            <v>2750000</v>
          </cell>
        </row>
        <row r="688">
          <cell r="G688" t="str">
            <v>AGM-01-029-024</v>
          </cell>
          <cell r="H688" t="str">
            <v xml:space="preserve">Raemulan Lands, Inc. </v>
          </cell>
          <cell r="I688" t="str">
            <v>Agapeya</v>
          </cell>
          <cell r="J688" t="str">
            <v>AGM</v>
          </cell>
          <cell r="K688" t="str">
            <v>Eco-High</v>
          </cell>
          <cell r="L688" t="str">
            <v>West</v>
          </cell>
          <cell r="M688" t="str">
            <v>With LTS - 2024</v>
          </cell>
          <cell r="N688" t="str">
            <v>YES</v>
          </cell>
          <cell r="O688" t="str">
            <v>YES</v>
          </cell>
          <cell r="P688" t="str">
            <v>Unaffected lots</v>
          </cell>
          <cell r="Q688" t="str">
            <v>YES</v>
          </cell>
          <cell r="R688">
            <v>70</v>
          </cell>
          <cell r="S688" t="str">
            <v>PCS-04-034298</v>
          </cell>
          <cell r="T688" t="str">
            <v>TCT-060-2024021799</v>
          </cell>
          <cell r="U688" t="b">
            <v>1</v>
          </cell>
          <cell r="V688" t="str">
            <v>Done</v>
          </cell>
          <cell r="W688" t="str">
            <v>2024 Batch</v>
          </cell>
          <cell r="X688" t="str">
            <v>2024 Batch</v>
          </cell>
          <cell r="Y688">
            <v>29</v>
          </cell>
          <cell r="Z688">
            <v>24</v>
          </cell>
          <cell r="AA688" t="str">
            <v>H+L</v>
          </cell>
          <cell r="AB688">
            <v>70</v>
          </cell>
          <cell r="AC688">
            <v>50</v>
          </cell>
          <cell r="AD688" t="str">
            <v>Flat</v>
          </cell>
          <cell r="AE688" t="str">
            <v>Duplex</v>
          </cell>
          <cell r="AF688" t="str">
            <v>326 - With Partition</v>
          </cell>
          <cell r="AG688" t="str">
            <v>With Partition</v>
          </cell>
          <cell r="AH688" t="str">
            <v>With Partition</v>
          </cell>
          <cell r="AI688" t="str">
            <v>PURPLE</v>
          </cell>
          <cell r="AJ688" t="str">
            <v>Flat / PURPLE</v>
          </cell>
          <cell r="AK688">
            <v>1050000</v>
          </cell>
          <cell r="AL688">
            <v>15000</v>
          </cell>
          <cell r="AM688">
            <v>1650000</v>
          </cell>
          <cell r="AN688">
            <v>33000</v>
          </cell>
          <cell r="AO688">
            <v>150000</v>
          </cell>
          <cell r="AP688">
            <v>2850000</v>
          </cell>
          <cell r="AQ688"/>
          <cell r="AR688">
            <v>2850000</v>
          </cell>
          <cell r="AS688"/>
          <cell r="AT688">
            <v>2850000</v>
          </cell>
          <cell r="AU688">
            <v>100000</v>
          </cell>
          <cell r="AV688">
            <v>2750000</v>
          </cell>
          <cell r="AW688">
            <v>0</v>
          </cell>
          <cell r="AX688">
            <v>2750000</v>
          </cell>
        </row>
        <row r="689">
          <cell r="G689" t="str">
            <v>AGM-01-029-025</v>
          </cell>
          <cell r="H689" t="str">
            <v xml:space="preserve">Raemulan Lands, Inc. </v>
          </cell>
          <cell r="I689" t="str">
            <v>Agapeya</v>
          </cell>
          <cell r="J689" t="str">
            <v>AGM</v>
          </cell>
          <cell r="K689" t="str">
            <v>Eco-High</v>
          </cell>
          <cell r="L689" t="str">
            <v>West</v>
          </cell>
          <cell r="M689" t="str">
            <v>With LTS - 2024</v>
          </cell>
          <cell r="N689" t="str">
            <v>YES</v>
          </cell>
          <cell r="O689" t="str">
            <v>YES</v>
          </cell>
          <cell r="P689" t="str">
            <v>Unaffected lots</v>
          </cell>
          <cell r="Q689" t="str">
            <v>YES</v>
          </cell>
          <cell r="R689">
            <v>70</v>
          </cell>
          <cell r="S689" t="str">
            <v>PCS-04-034298</v>
          </cell>
          <cell r="T689" t="str">
            <v>TCT-060-2024021800</v>
          </cell>
          <cell r="U689" t="b">
            <v>1</v>
          </cell>
          <cell r="V689" t="str">
            <v>Done</v>
          </cell>
          <cell r="W689" t="str">
            <v>2024 Batch</v>
          </cell>
          <cell r="X689" t="str">
            <v>2024 Batch</v>
          </cell>
          <cell r="Y689">
            <v>29</v>
          </cell>
          <cell r="Z689">
            <v>25</v>
          </cell>
          <cell r="AA689" t="str">
            <v>H+L</v>
          </cell>
          <cell r="AB689">
            <v>70</v>
          </cell>
          <cell r="AC689">
            <v>50</v>
          </cell>
          <cell r="AD689" t="str">
            <v>Flat</v>
          </cell>
          <cell r="AE689" t="str">
            <v>Duplex</v>
          </cell>
          <cell r="AF689" t="str">
            <v>326 - With Partition</v>
          </cell>
          <cell r="AG689" t="str">
            <v>With Partition</v>
          </cell>
          <cell r="AH689" t="str">
            <v>With Partition</v>
          </cell>
          <cell r="AI689" t="str">
            <v>PURPLE</v>
          </cell>
          <cell r="AJ689" t="str">
            <v>Flat / PURPLE</v>
          </cell>
          <cell r="AK689">
            <v>1050000</v>
          </cell>
          <cell r="AL689">
            <v>15000</v>
          </cell>
          <cell r="AM689">
            <v>1650000</v>
          </cell>
          <cell r="AN689">
            <v>33000</v>
          </cell>
          <cell r="AO689">
            <v>150000</v>
          </cell>
          <cell r="AP689">
            <v>2850000</v>
          </cell>
          <cell r="AQ689"/>
          <cell r="AR689">
            <v>2850000</v>
          </cell>
          <cell r="AS689">
            <v>0</v>
          </cell>
          <cell r="AT689">
            <v>2850000</v>
          </cell>
          <cell r="AU689">
            <v>100000</v>
          </cell>
          <cell r="AV689">
            <v>2750000</v>
          </cell>
          <cell r="AW689">
            <v>0</v>
          </cell>
          <cell r="AX689">
            <v>2750000</v>
          </cell>
        </row>
        <row r="690">
          <cell r="G690" t="str">
            <v>AGM-01-029-026</v>
          </cell>
          <cell r="H690" t="str">
            <v xml:space="preserve">Raemulan Lands, Inc. </v>
          </cell>
          <cell r="I690" t="str">
            <v>Agapeya</v>
          </cell>
          <cell r="J690" t="str">
            <v>AGM</v>
          </cell>
          <cell r="K690" t="str">
            <v>Eco-High</v>
          </cell>
          <cell r="L690" t="str">
            <v>West</v>
          </cell>
          <cell r="M690" t="str">
            <v>With LTS - 2024</v>
          </cell>
          <cell r="N690" t="str">
            <v>YES</v>
          </cell>
          <cell r="O690" t="str">
            <v>YES</v>
          </cell>
          <cell r="P690" t="str">
            <v>Unaffected lots</v>
          </cell>
          <cell r="Q690" t="str">
            <v>YES</v>
          </cell>
          <cell r="R690">
            <v>70</v>
          </cell>
          <cell r="S690" t="str">
            <v>PCS-04-034298</v>
          </cell>
          <cell r="T690" t="str">
            <v>TCT-060-2024021801</v>
          </cell>
          <cell r="U690" t="b">
            <v>1</v>
          </cell>
          <cell r="V690" t="str">
            <v>Done</v>
          </cell>
          <cell r="W690" t="str">
            <v>2024 Batch</v>
          </cell>
          <cell r="X690" t="str">
            <v>2024 Batch</v>
          </cell>
          <cell r="Y690">
            <v>29</v>
          </cell>
          <cell r="Z690">
            <v>26</v>
          </cell>
          <cell r="AA690" t="str">
            <v>H+L</v>
          </cell>
          <cell r="AB690">
            <v>70</v>
          </cell>
          <cell r="AC690">
            <v>50</v>
          </cell>
          <cell r="AD690" t="str">
            <v>Slant</v>
          </cell>
          <cell r="AE690" t="str">
            <v>Duplex</v>
          </cell>
          <cell r="AF690" t="str">
            <v>326 - With Partition</v>
          </cell>
          <cell r="AG690" t="str">
            <v>With Partition</v>
          </cell>
          <cell r="AH690" t="str">
            <v>With Partition</v>
          </cell>
          <cell r="AI690" t="str">
            <v>PURPLE</v>
          </cell>
          <cell r="AJ690" t="str">
            <v>Slant / PURPLE</v>
          </cell>
          <cell r="AK690">
            <v>1050000</v>
          </cell>
          <cell r="AL690">
            <v>15000</v>
          </cell>
          <cell r="AM690">
            <v>1650000</v>
          </cell>
          <cell r="AN690">
            <v>33000</v>
          </cell>
          <cell r="AO690">
            <v>150000</v>
          </cell>
          <cell r="AP690">
            <v>2850000</v>
          </cell>
          <cell r="AQ690"/>
          <cell r="AR690">
            <v>2850000</v>
          </cell>
          <cell r="AS690">
            <v>0</v>
          </cell>
          <cell r="AT690">
            <v>2850000</v>
          </cell>
          <cell r="AU690">
            <v>100000</v>
          </cell>
          <cell r="AV690">
            <v>2750000</v>
          </cell>
          <cell r="AW690">
            <v>0</v>
          </cell>
          <cell r="AX690">
            <v>2750000</v>
          </cell>
        </row>
        <row r="691">
          <cell r="G691" t="str">
            <v>AGM-01-029-027</v>
          </cell>
          <cell r="H691" t="str">
            <v xml:space="preserve">Raemulan Lands, Inc. </v>
          </cell>
          <cell r="I691" t="str">
            <v>Agapeya</v>
          </cell>
          <cell r="J691" t="str">
            <v>AGM</v>
          </cell>
          <cell r="K691" t="str">
            <v>Eco-High</v>
          </cell>
          <cell r="L691" t="str">
            <v>West</v>
          </cell>
          <cell r="M691" t="str">
            <v>With LTS - 2024</v>
          </cell>
          <cell r="N691" t="str">
            <v>YES</v>
          </cell>
          <cell r="O691" t="str">
            <v>YES</v>
          </cell>
          <cell r="P691" t="str">
            <v>Unaffected lots</v>
          </cell>
          <cell r="Q691" t="str">
            <v>YES</v>
          </cell>
          <cell r="R691">
            <v>70</v>
          </cell>
          <cell r="S691" t="str">
            <v>PCS-04-034298</v>
          </cell>
          <cell r="T691" t="str">
            <v>TCT-060-2024021802</v>
          </cell>
          <cell r="U691" t="b">
            <v>1</v>
          </cell>
          <cell r="V691" t="str">
            <v>Done</v>
          </cell>
          <cell r="W691" t="str">
            <v>2024 Batch</v>
          </cell>
          <cell r="X691" t="str">
            <v>2024 Batch</v>
          </cell>
          <cell r="Y691">
            <v>29</v>
          </cell>
          <cell r="Z691">
            <v>27</v>
          </cell>
          <cell r="AA691" t="str">
            <v>H+L</v>
          </cell>
          <cell r="AB691">
            <v>70</v>
          </cell>
          <cell r="AC691">
            <v>50</v>
          </cell>
          <cell r="AD691" t="str">
            <v>Slant</v>
          </cell>
          <cell r="AE691" t="str">
            <v>Duplex</v>
          </cell>
          <cell r="AF691" t="str">
            <v>326 - With Partition</v>
          </cell>
          <cell r="AG691" t="str">
            <v>With Partition</v>
          </cell>
          <cell r="AH691" t="str">
            <v>With Partition</v>
          </cell>
          <cell r="AI691" t="str">
            <v>GREEN</v>
          </cell>
          <cell r="AJ691" t="str">
            <v>Slant / GREEN</v>
          </cell>
          <cell r="AK691">
            <v>1050000</v>
          </cell>
          <cell r="AL691">
            <v>15000</v>
          </cell>
          <cell r="AM691">
            <v>1650000</v>
          </cell>
          <cell r="AN691">
            <v>33000</v>
          </cell>
          <cell r="AO691">
            <v>150000</v>
          </cell>
          <cell r="AP691">
            <v>2850000</v>
          </cell>
          <cell r="AQ691"/>
          <cell r="AR691">
            <v>2850000</v>
          </cell>
          <cell r="AS691">
            <v>0</v>
          </cell>
          <cell r="AT691">
            <v>2850000</v>
          </cell>
          <cell r="AU691">
            <v>100000</v>
          </cell>
          <cell r="AV691">
            <v>2750000</v>
          </cell>
          <cell r="AW691">
            <v>0</v>
          </cell>
          <cell r="AX691">
            <v>2750000</v>
          </cell>
        </row>
        <row r="692">
          <cell r="G692" t="str">
            <v>AGM-01-029-028</v>
          </cell>
          <cell r="H692" t="str">
            <v xml:space="preserve">Raemulan Lands, Inc. </v>
          </cell>
          <cell r="I692" t="str">
            <v>Agapeya</v>
          </cell>
          <cell r="J692" t="str">
            <v>AGM</v>
          </cell>
          <cell r="K692" t="str">
            <v>Eco-High</v>
          </cell>
          <cell r="L692" t="str">
            <v>West</v>
          </cell>
          <cell r="M692" t="str">
            <v>With LTS - 2024</v>
          </cell>
          <cell r="N692" t="str">
            <v>YES</v>
          </cell>
          <cell r="O692" t="str">
            <v>YES</v>
          </cell>
          <cell r="P692" t="str">
            <v>Unaffected lots</v>
          </cell>
          <cell r="Q692" t="str">
            <v>YES</v>
          </cell>
          <cell r="R692">
            <v>70</v>
          </cell>
          <cell r="S692" t="str">
            <v>PCS-04-034298</v>
          </cell>
          <cell r="T692" t="str">
            <v>TCT-060-2024021803</v>
          </cell>
          <cell r="U692" t="b">
            <v>1</v>
          </cell>
          <cell r="V692" t="str">
            <v>Done</v>
          </cell>
          <cell r="W692" t="str">
            <v>2024 Batch</v>
          </cell>
          <cell r="X692" t="str">
            <v>2024 Batch</v>
          </cell>
          <cell r="Y692">
            <v>29</v>
          </cell>
          <cell r="Z692">
            <v>28</v>
          </cell>
          <cell r="AA692" t="str">
            <v>H+L</v>
          </cell>
          <cell r="AB692">
            <v>70</v>
          </cell>
          <cell r="AC692">
            <v>50</v>
          </cell>
          <cell r="AD692" t="str">
            <v>Flat</v>
          </cell>
          <cell r="AE692" t="str">
            <v>Duplex</v>
          </cell>
          <cell r="AF692" t="str">
            <v>326 - With Partition</v>
          </cell>
          <cell r="AG692" t="str">
            <v>With Partition</v>
          </cell>
          <cell r="AH692" t="str">
            <v>With Partition</v>
          </cell>
          <cell r="AI692" t="str">
            <v>GREEN</v>
          </cell>
          <cell r="AJ692" t="str">
            <v>Flat / GREEN</v>
          </cell>
          <cell r="AK692">
            <v>1050000</v>
          </cell>
          <cell r="AL692">
            <v>15000</v>
          </cell>
          <cell r="AM692">
            <v>1650000</v>
          </cell>
          <cell r="AN692">
            <v>33000</v>
          </cell>
          <cell r="AO692">
            <v>150000</v>
          </cell>
          <cell r="AP692">
            <v>2850000</v>
          </cell>
          <cell r="AQ692"/>
          <cell r="AR692">
            <v>2850000</v>
          </cell>
          <cell r="AS692">
            <v>0</v>
          </cell>
          <cell r="AT692">
            <v>2850000</v>
          </cell>
          <cell r="AU692">
            <v>100000</v>
          </cell>
          <cell r="AV692">
            <v>2750000</v>
          </cell>
          <cell r="AW692">
            <v>0</v>
          </cell>
          <cell r="AX692">
            <v>2750000</v>
          </cell>
        </row>
        <row r="693">
          <cell r="G693" t="str">
            <v>AGM-01-029-029</v>
          </cell>
          <cell r="H693" t="str">
            <v xml:space="preserve">Raemulan Lands, Inc. </v>
          </cell>
          <cell r="I693" t="str">
            <v>Agapeya</v>
          </cell>
          <cell r="J693" t="str">
            <v>AGM</v>
          </cell>
          <cell r="K693" t="str">
            <v>Eco-High</v>
          </cell>
          <cell r="L693" t="str">
            <v>West</v>
          </cell>
          <cell r="M693" t="str">
            <v>With LTS - 2024</v>
          </cell>
          <cell r="N693" t="str">
            <v>YES</v>
          </cell>
          <cell r="O693" t="str">
            <v>YES</v>
          </cell>
          <cell r="P693" t="str">
            <v>Unaffected lots</v>
          </cell>
          <cell r="Q693" t="str">
            <v>YES</v>
          </cell>
          <cell r="R693">
            <v>70</v>
          </cell>
          <cell r="S693" t="str">
            <v>PCS-04-034298</v>
          </cell>
          <cell r="T693" t="str">
            <v>TCT-060-2024021804</v>
          </cell>
          <cell r="U693" t="b">
            <v>1</v>
          </cell>
          <cell r="V693" t="str">
            <v>Done</v>
          </cell>
          <cell r="W693" t="str">
            <v>2024 Batch</v>
          </cell>
          <cell r="X693" t="str">
            <v>2024 Batch</v>
          </cell>
          <cell r="Y693">
            <v>29</v>
          </cell>
          <cell r="Z693">
            <v>29</v>
          </cell>
          <cell r="AA693" t="str">
            <v>H+L</v>
          </cell>
          <cell r="AB693">
            <v>70</v>
          </cell>
          <cell r="AC693">
            <v>50</v>
          </cell>
          <cell r="AD693" t="str">
            <v>Flat</v>
          </cell>
          <cell r="AE693" t="str">
            <v>Duplex</v>
          </cell>
          <cell r="AF693" t="str">
            <v>326 - With Partition</v>
          </cell>
          <cell r="AG693" t="str">
            <v>With Partition</v>
          </cell>
          <cell r="AH693" t="str">
            <v>With Partition</v>
          </cell>
          <cell r="AI693" t="str">
            <v>GREEN</v>
          </cell>
          <cell r="AJ693" t="str">
            <v>Flat / GREEN</v>
          </cell>
          <cell r="AK693">
            <v>1050000</v>
          </cell>
          <cell r="AL693">
            <v>15000</v>
          </cell>
          <cell r="AM693">
            <v>1650000</v>
          </cell>
          <cell r="AN693">
            <v>33000</v>
          </cell>
          <cell r="AO693">
            <v>150000</v>
          </cell>
          <cell r="AP693">
            <v>2850000</v>
          </cell>
          <cell r="AQ693"/>
          <cell r="AR693">
            <v>2850000</v>
          </cell>
          <cell r="AS693">
            <v>0</v>
          </cell>
          <cell r="AT693">
            <v>2850000</v>
          </cell>
          <cell r="AU693">
            <v>100000</v>
          </cell>
          <cell r="AV693">
            <v>2750000</v>
          </cell>
          <cell r="AW693">
            <v>0</v>
          </cell>
          <cell r="AX693">
            <v>2750000</v>
          </cell>
        </row>
        <row r="694">
          <cell r="G694" t="str">
            <v>AGM-01-029-030</v>
          </cell>
          <cell r="H694" t="str">
            <v xml:space="preserve">Raemulan Lands, Inc. </v>
          </cell>
          <cell r="I694" t="str">
            <v>Agapeya</v>
          </cell>
          <cell r="J694" t="str">
            <v>AGM</v>
          </cell>
          <cell r="K694" t="str">
            <v>Eco-High</v>
          </cell>
          <cell r="L694" t="str">
            <v>West</v>
          </cell>
          <cell r="M694" t="str">
            <v>With LTS - 2024</v>
          </cell>
          <cell r="N694" t="str">
            <v>YES</v>
          </cell>
          <cell r="O694" t="str">
            <v>YES</v>
          </cell>
          <cell r="P694" t="str">
            <v>Unaffected lots</v>
          </cell>
          <cell r="Q694" t="str">
            <v>YES</v>
          </cell>
          <cell r="R694">
            <v>70</v>
          </cell>
          <cell r="S694" t="str">
            <v>PCS-04-034298</v>
          </cell>
          <cell r="T694" t="str">
            <v>TCT-060-2024021805</v>
          </cell>
          <cell r="U694" t="b">
            <v>1</v>
          </cell>
          <cell r="V694" t="str">
            <v>Done</v>
          </cell>
          <cell r="W694" t="str">
            <v>2024 Batch</v>
          </cell>
          <cell r="X694" t="str">
            <v>2024 Batch</v>
          </cell>
          <cell r="Y694">
            <v>29</v>
          </cell>
          <cell r="Z694">
            <v>30</v>
          </cell>
          <cell r="AA694" t="str">
            <v>H+L</v>
          </cell>
          <cell r="AB694">
            <v>70</v>
          </cell>
          <cell r="AC694">
            <v>50</v>
          </cell>
          <cell r="AD694" t="str">
            <v>Slant</v>
          </cell>
          <cell r="AE694" t="str">
            <v>Duplex</v>
          </cell>
          <cell r="AF694" t="str">
            <v>326 - With Partition</v>
          </cell>
          <cell r="AG694" t="str">
            <v>With Partition</v>
          </cell>
          <cell r="AH694" t="str">
            <v>With Partition</v>
          </cell>
          <cell r="AI694" t="str">
            <v>GREEN</v>
          </cell>
          <cell r="AJ694" t="str">
            <v>Slant / GREEN</v>
          </cell>
          <cell r="AK694">
            <v>1050000</v>
          </cell>
          <cell r="AL694">
            <v>15000</v>
          </cell>
          <cell r="AM694">
            <v>1650000</v>
          </cell>
          <cell r="AN694">
            <v>33000</v>
          </cell>
          <cell r="AO694">
            <v>150000</v>
          </cell>
          <cell r="AP694">
            <v>2850000</v>
          </cell>
          <cell r="AQ694"/>
          <cell r="AR694">
            <v>2850000</v>
          </cell>
          <cell r="AS694">
            <v>0</v>
          </cell>
          <cell r="AT694">
            <v>2850000</v>
          </cell>
          <cell r="AU694">
            <v>100000</v>
          </cell>
          <cell r="AV694">
            <v>2750000</v>
          </cell>
          <cell r="AW694">
            <v>0</v>
          </cell>
          <cell r="AX694">
            <v>2750000</v>
          </cell>
        </row>
        <row r="695">
          <cell r="G695" t="str">
            <v>AGM-01-029-031</v>
          </cell>
          <cell r="H695" t="str">
            <v xml:space="preserve">Raemulan Lands, Inc. </v>
          </cell>
          <cell r="I695" t="str">
            <v>Agapeya</v>
          </cell>
          <cell r="J695" t="str">
            <v>AGM</v>
          </cell>
          <cell r="K695" t="str">
            <v>Eco-High</v>
          </cell>
          <cell r="L695" t="str">
            <v>West</v>
          </cell>
          <cell r="M695" t="str">
            <v>With LTS - 2024</v>
          </cell>
          <cell r="N695" t="str">
            <v>YES</v>
          </cell>
          <cell r="O695" t="str">
            <v>YES</v>
          </cell>
          <cell r="P695" t="str">
            <v>Unaffected lots</v>
          </cell>
          <cell r="Q695" t="str">
            <v>YES</v>
          </cell>
          <cell r="R695">
            <v>70</v>
          </cell>
          <cell r="S695" t="str">
            <v>PCS-04-034298</v>
          </cell>
          <cell r="T695" t="str">
            <v>TCT-060-2024021806</v>
          </cell>
          <cell r="U695" t="b">
            <v>1</v>
          </cell>
          <cell r="V695" t="str">
            <v>Done</v>
          </cell>
          <cell r="W695" t="str">
            <v>2024 Batch</v>
          </cell>
          <cell r="X695" t="str">
            <v>2024 Batch</v>
          </cell>
          <cell r="Y695">
            <v>29</v>
          </cell>
          <cell r="Z695">
            <v>31</v>
          </cell>
          <cell r="AA695" t="str">
            <v>H+L</v>
          </cell>
          <cell r="AB695">
            <v>70</v>
          </cell>
          <cell r="AC695">
            <v>50</v>
          </cell>
          <cell r="AD695" t="str">
            <v>Slant</v>
          </cell>
          <cell r="AE695" t="str">
            <v>Duplex</v>
          </cell>
          <cell r="AF695" t="str">
            <v>326 - With Partition</v>
          </cell>
          <cell r="AG695" t="str">
            <v>With Partition</v>
          </cell>
          <cell r="AH695" t="str">
            <v>With Partition</v>
          </cell>
          <cell r="AI695" t="str">
            <v>YELLOW</v>
          </cell>
          <cell r="AJ695" t="str">
            <v>Slant / YELLOW</v>
          </cell>
          <cell r="AK695">
            <v>1050000</v>
          </cell>
          <cell r="AL695">
            <v>15000</v>
          </cell>
          <cell r="AM695">
            <v>1650000</v>
          </cell>
          <cell r="AN695">
            <v>33000</v>
          </cell>
          <cell r="AO695">
            <v>150000</v>
          </cell>
          <cell r="AP695">
            <v>2850000</v>
          </cell>
          <cell r="AQ695"/>
          <cell r="AR695">
            <v>2850000</v>
          </cell>
          <cell r="AS695">
            <v>0</v>
          </cell>
          <cell r="AT695">
            <v>2850000</v>
          </cell>
          <cell r="AU695">
            <v>100000</v>
          </cell>
          <cell r="AV695">
            <v>2750000</v>
          </cell>
          <cell r="AW695">
            <v>0</v>
          </cell>
          <cell r="AX695">
            <v>2750000</v>
          </cell>
        </row>
        <row r="696">
          <cell r="G696" t="str">
            <v>AGM-01-029-032</v>
          </cell>
          <cell r="H696" t="str">
            <v xml:space="preserve">Raemulan Lands, Inc. </v>
          </cell>
          <cell r="I696" t="str">
            <v>Agapeya</v>
          </cell>
          <cell r="J696" t="str">
            <v>AGM</v>
          </cell>
          <cell r="K696" t="str">
            <v>Eco-High</v>
          </cell>
          <cell r="L696" t="str">
            <v>West</v>
          </cell>
          <cell r="M696" t="str">
            <v>With LTS - 2024</v>
          </cell>
          <cell r="N696" t="str">
            <v>YES</v>
          </cell>
          <cell r="O696" t="str">
            <v>YES</v>
          </cell>
          <cell r="P696" t="str">
            <v>Unaffected lots</v>
          </cell>
          <cell r="Q696" t="str">
            <v>YES</v>
          </cell>
          <cell r="R696">
            <v>70</v>
          </cell>
          <cell r="S696" t="str">
            <v>PCS-04-034298</v>
          </cell>
          <cell r="T696" t="str">
            <v>TCT-060-2024021807</v>
          </cell>
          <cell r="U696" t="b">
            <v>1</v>
          </cell>
          <cell r="V696" t="str">
            <v>Done</v>
          </cell>
          <cell r="W696" t="str">
            <v>2024 Batch</v>
          </cell>
          <cell r="X696" t="str">
            <v>2024 Batch</v>
          </cell>
          <cell r="Y696">
            <v>29</v>
          </cell>
          <cell r="Z696">
            <v>32</v>
          </cell>
          <cell r="AA696" t="str">
            <v>H+L</v>
          </cell>
          <cell r="AB696">
            <v>70</v>
          </cell>
          <cell r="AC696">
            <v>50</v>
          </cell>
          <cell r="AD696" t="str">
            <v>Flat</v>
          </cell>
          <cell r="AE696" t="str">
            <v>Duplex</v>
          </cell>
          <cell r="AF696" t="str">
            <v>326 - With Partition</v>
          </cell>
          <cell r="AG696" t="str">
            <v>With Partition</v>
          </cell>
          <cell r="AH696" t="str">
            <v>With Partition</v>
          </cell>
          <cell r="AI696" t="str">
            <v>YELLOW</v>
          </cell>
          <cell r="AJ696" t="str">
            <v>Flat / YELLOW</v>
          </cell>
          <cell r="AK696">
            <v>1050000</v>
          </cell>
          <cell r="AL696">
            <v>15000</v>
          </cell>
          <cell r="AM696">
            <v>1650000</v>
          </cell>
          <cell r="AN696">
            <v>33000</v>
          </cell>
          <cell r="AO696">
            <v>150000</v>
          </cell>
          <cell r="AP696">
            <v>2850000</v>
          </cell>
          <cell r="AQ696"/>
          <cell r="AR696">
            <v>2850000</v>
          </cell>
          <cell r="AS696">
            <v>0</v>
          </cell>
          <cell r="AT696">
            <v>2850000</v>
          </cell>
          <cell r="AU696">
            <v>100000</v>
          </cell>
          <cell r="AV696">
            <v>2750000</v>
          </cell>
          <cell r="AW696">
            <v>0</v>
          </cell>
          <cell r="AX696">
            <v>2750000</v>
          </cell>
        </row>
        <row r="697">
          <cell r="G697" t="str">
            <v>AGM-01-029-033</v>
          </cell>
          <cell r="H697" t="str">
            <v xml:space="preserve">Raemulan Lands, Inc. </v>
          </cell>
          <cell r="I697" t="str">
            <v>Agapeya</v>
          </cell>
          <cell r="J697" t="str">
            <v>AGM</v>
          </cell>
          <cell r="K697" t="str">
            <v>Eco-High</v>
          </cell>
          <cell r="L697" t="str">
            <v>West</v>
          </cell>
          <cell r="M697" t="str">
            <v>With LTS - 2024</v>
          </cell>
          <cell r="N697" t="str">
            <v>YES</v>
          </cell>
          <cell r="O697" t="str">
            <v>YES</v>
          </cell>
          <cell r="P697" t="str">
            <v>Unaffected lots</v>
          </cell>
          <cell r="Q697" t="str">
            <v>YES</v>
          </cell>
          <cell r="R697">
            <v>70</v>
          </cell>
          <cell r="S697" t="str">
            <v>PCS-04-034298</v>
          </cell>
          <cell r="T697" t="str">
            <v>TCT-060-2024021808</v>
          </cell>
          <cell r="U697" t="b">
            <v>1</v>
          </cell>
          <cell r="V697" t="str">
            <v>Done</v>
          </cell>
          <cell r="W697" t="str">
            <v>2024 Batch</v>
          </cell>
          <cell r="X697" t="str">
            <v>2024 Batch</v>
          </cell>
          <cell r="Y697">
            <v>29</v>
          </cell>
          <cell r="Z697">
            <v>33</v>
          </cell>
          <cell r="AA697" t="str">
            <v>H+L</v>
          </cell>
          <cell r="AB697">
            <v>70</v>
          </cell>
          <cell r="AC697">
            <v>50</v>
          </cell>
          <cell r="AD697" t="str">
            <v>Flat</v>
          </cell>
          <cell r="AE697" t="str">
            <v>Duplex</v>
          </cell>
          <cell r="AF697" t="str">
            <v>326 - With Partition</v>
          </cell>
          <cell r="AG697" t="str">
            <v>With Partition</v>
          </cell>
          <cell r="AH697" t="str">
            <v>With Partition</v>
          </cell>
          <cell r="AI697" t="str">
            <v>YELLOW</v>
          </cell>
          <cell r="AJ697" t="str">
            <v>Flat / YELLOW</v>
          </cell>
          <cell r="AK697">
            <v>1050000</v>
          </cell>
          <cell r="AL697">
            <v>15000</v>
          </cell>
          <cell r="AM697">
            <v>1650000</v>
          </cell>
          <cell r="AN697">
            <v>33000</v>
          </cell>
          <cell r="AO697">
            <v>150000</v>
          </cell>
          <cell r="AP697">
            <v>2850000</v>
          </cell>
          <cell r="AQ697"/>
          <cell r="AR697">
            <v>2850000</v>
          </cell>
          <cell r="AS697">
            <v>0</v>
          </cell>
          <cell r="AT697">
            <v>2850000</v>
          </cell>
          <cell r="AU697">
            <v>100000</v>
          </cell>
          <cell r="AV697">
            <v>2750000</v>
          </cell>
          <cell r="AW697">
            <v>0</v>
          </cell>
          <cell r="AX697">
            <v>2750000</v>
          </cell>
        </row>
        <row r="698">
          <cell r="G698" t="str">
            <v>AGM-01-029-034</v>
          </cell>
          <cell r="H698" t="str">
            <v xml:space="preserve">Raemulan Lands, Inc. </v>
          </cell>
          <cell r="I698" t="str">
            <v>Agapeya</v>
          </cell>
          <cell r="J698" t="str">
            <v>AGM</v>
          </cell>
          <cell r="K698" t="str">
            <v>Eco-High</v>
          </cell>
          <cell r="L698" t="str">
            <v>West</v>
          </cell>
          <cell r="M698" t="str">
            <v>With LTS - 2024</v>
          </cell>
          <cell r="N698" t="str">
            <v>YES</v>
          </cell>
          <cell r="O698" t="str">
            <v>YES</v>
          </cell>
          <cell r="P698" t="str">
            <v>Unaffected lots</v>
          </cell>
          <cell r="Q698" t="str">
            <v>YES</v>
          </cell>
          <cell r="R698">
            <v>70</v>
          </cell>
          <cell r="S698" t="str">
            <v>PCS-04-034298</v>
          </cell>
          <cell r="T698" t="str">
            <v>TCT-060-2024021809</v>
          </cell>
          <cell r="U698" t="b">
            <v>1</v>
          </cell>
          <cell r="V698" t="str">
            <v>Done</v>
          </cell>
          <cell r="W698" t="str">
            <v>2024 Batch</v>
          </cell>
          <cell r="X698" t="str">
            <v>2024 Batch</v>
          </cell>
          <cell r="Y698">
            <v>29</v>
          </cell>
          <cell r="Z698">
            <v>34</v>
          </cell>
          <cell r="AA698" t="str">
            <v>H+L</v>
          </cell>
          <cell r="AB698">
            <v>70</v>
          </cell>
          <cell r="AC698">
            <v>50</v>
          </cell>
          <cell r="AD698" t="str">
            <v>Slant</v>
          </cell>
          <cell r="AE698" t="str">
            <v>Duplex</v>
          </cell>
          <cell r="AF698" t="str">
            <v>326 - With Partition</v>
          </cell>
          <cell r="AG698" t="str">
            <v>With Partition</v>
          </cell>
          <cell r="AH698" t="str">
            <v>With Partition</v>
          </cell>
          <cell r="AI698" t="str">
            <v>YELLOW</v>
          </cell>
          <cell r="AJ698" t="str">
            <v>Slant / YELLOW</v>
          </cell>
          <cell r="AK698">
            <v>1050000</v>
          </cell>
          <cell r="AL698">
            <v>15000</v>
          </cell>
          <cell r="AM698">
            <v>1650000</v>
          </cell>
          <cell r="AN698">
            <v>33000</v>
          </cell>
          <cell r="AO698">
            <v>150000</v>
          </cell>
          <cell r="AP698">
            <v>2850000</v>
          </cell>
          <cell r="AQ698"/>
          <cell r="AR698">
            <v>2850000</v>
          </cell>
          <cell r="AS698">
            <v>0</v>
          </cell>
          <cell r="AT698">
            <v>2850000</v>
          </cell>
          <cell r="AU698">
            <v>100000</v>
          </cell>
          <cell r="AV698">
            <v>2750000</v>
          </cell>
          <cell r="AW698">
            <v>0</v>
          </cell>
          <cell r="AX698">
            <v>2750000</v>
          </cell>
        </row>
        <row r="699">
          <cell r="G699" t="str">
            <v>AGM-01-029-035</v>
          </cell>
          <cell r="H699" t="str">
            <v xml:space="preserve">Raemulan Lands, Inc. </v>
          </cell>
          <cell r="I699" t="str">
            <v>Agapeya</v>
          </cell>
          <cell r="J699" t="str">
            <v>AGM</v>
          </cell>
          <cell r="K699" t="str">
            <v>Eco-High</v>
          </cell>
          <cell r="L699" t="str">
            <v>West</v>
          </cell>
          <cell r="M699" t="str">
            <v>With LTS - 2024</v>
          </cell>
          <cell r="N699" t="str">
            <v>YES</v>
          </cell>
          <cell r="O699" t="str">
            <v>YES</v>
          </cell>
          <cell r="P699" t="str">
            <v>Unaffected lots</v>
          </cell>
          <cell r="Q699" t="str">
            <v>YES</v>
          </cell>
          <cell r="R699">
            <v>70</v>
          </cell>
          <cell r="S699" t="str">
            <v>PCS-04-034298</v>
          </cell>
          <cell r="T699" t="str">
            <v>TCT-060-2024021810</v>
          </cell>
          <cell r="U699" t="b">
            <v>1</v>
          </cell>
          <cell r="V699" t="str">
            <v>Done</v>
          </cell>
          <cell r="W699" t="str">
            <v>2024 Batch</v>
          </cell>
          <cell r="X699" t="str">
            <v>2024 Batch</v>
          </cell>
          <cell r="Y699">
            <v>29</v>
          </cell>
          <cell r="Z699">
            <v>35</v>
          </cell>
          <cell r="AA699" t="str">
            <v>H+L</v>
          </cell>
          <cell r="AB699">
            <v>70</v>
          </cell>
          <cell r="AC699">
            <v>50</v>
          </cell>
          <cell r="AD699" t="str">
            <v>Slant</v>
          </cell>
          <cell r="AE699" t="str">
            <v>Duplex</v>
          </cell>
          <cell r="AF699" t="str">
            <v>326 - With Partition</v>
          </cell>
          <cell r="AG699" t="str">
            <v>With Partition</v>
          </cell>
          <cell r="AH699" t="str">
            <v>With Partition</v>
          </cell>
          <cell r="AI699" t="str">
            <v>PINK</v>
          </cell>
          <cell r="AJ699" t="str">
            <v>Slant / PINK</v>
          </cell>
          <cell r="AK699">
            <v>1050000</v>
          </cell>
          <cell r="AL699">
            <v>15000</v>
          </cell>
          <cell r="AM699">
            <v>1650000</v>
          </cell>
          <cell r="AN699">
            <v>33000</v>
          </cell>
          <cell r="AO699">
            <v>150000</v>
          </cell>
          <cell r="AP699">
            <v>2850000</v>
          </cell>
          <cell r="AQ699"/>
          <cell r="AR699">
            <v>2850000</v>
          </cell>
          <cell r="AS699">
            <v>0</v>
          </cell>
          <cell r="AT699">
            <v>2850000</v>
          </cell>
          <cell r="AU699">
            <v>100000</v>
          </cell>
          <cell r="AV699">
            <v>2750000</v>
          </cell>
          <cell r="AW699">
            <v>0</v>
          </cell>
          <cell r="AX699">
            <v>2750000</v>
          </cell>
        </row>
        <row r="700">
          <cell r="G700" t="str">
            <v>AGM-01-029-036</v>
          </cell>
          <cell r="H700" t="str">
            <v xml:space="preserve">Raemulan Lands, Inc. </v>
          </cell>
          <cell r="I700" t="str">
            <v>Agapeya</v>
          </cell>
          <cell r="J700" t="str">
            <v>AGM</v>
          </cell>
          <cell r="K700" t="str">
            <v>Eco-High</v>
          </cell>
          <cell r="L700" t="str">
            <v>West</v>
          </cell>
          <cell r="M700" t="str">
            <v>With LTS - 2024</v>
          </cell>
          <cell r="N700" t="str">
            <v>YES</v>
          </cell>
          <cell r="O700" t="str">
            <v>YES</v>
          </cell>
          <cell r="P700" t="str">
            <v>Unaffected lots</v>
          </cell>
          <cell r="Q700" t="str">
            <v>YES</v>
          </cell>
          <cell r="R700">
            <v>105</v>
          </cell>
          <cell r="S700" t="str">
            <v>PCS-04-034298</v>
          </cell>
          <cell r="T700" t="str">
            <v>TCT-060-2024021811</v>
          </cell>
          <cell r="U700" t="b">
            <v>1</v>
          </cell>
          <cell r="V700" t="str">
            <v>Done</v>
          </cell>
          <cell r="W700" t="str">
            <v>2024 Batch</v>
          </cell>
          <cell r="X700" t="str">
            <v>2024 Batch</v>
          </cell>
          <cell r="Y700">
            <v>29</v>
          </cell>
          <cell r="Z700">
            <v>36</v>
          </cell>
          <cell r="AA700" t="str">
            <v>H+L</v>
          </cell>
          <cell r="AB700">
            <v>105</v>
          </cell>
          <cell r="AC700">
            <v>50</v>
          </cell>
          <cell r="AD700" t="str">
            <v>Flat</v>
          </cell>
          <cell r="AE700" t="str">
            <v>Duplex</v>
          </cell>
          <cell r="AF700" t="str">
            <v>326 - With Partition</v>
          </cell>
          <cell r="AG700" t="str">
            <v>With Partition</v>
          </cell>
          <cell r="AH700" t="str">
            <v>With Partition</v>
          </cell>
          <cell r="AI700" t="str">
            <v>PINK</v>
          </cell>
          <cell r="AJ700" t="str">
            <v>Flat / PINK</v>
          </cell>
          <cell r="AK700">
            <v>1575000</v>
          </cell>
          <cell r="AL700">
            <v>15000</v>
          </cell>
          <cell r="AM700">
            <v>1650000</v>
          </cell>
          <cell r="AN700">
            <v>33000</v>
          </cell>
          <cell r="AO700">
            <v>150000</v>
          </cell>
          <cell r="AP700">
            <v>3375000</v>
          </cell>
          <cell r="AQ700"/>
          <cell r="AR700">
            <v>3375000</v>
          </cell>
          <cell r="AS700">
            <v>0</v>
          </cell>
          <cell r="AT700">
            <v>3375000</v>
          </cell>
          <cell r="AU700">
            <v>100000</v>
          </cell>
          <cell r="AV700">
            <v>3275000</v>
          </cell>
          <cell r="AW700">
            <v>0</v>
          </cell>
          <cell r="AX700">
            <v>3275000</v>
          </cell>
        </row>
        <row r="701">
          <cell r="G701" t="str">
            <v>AGM-01-030-001</v>
          </cell>
          <cell r="H701" t="str">
            <v xml:space="preserve">Raemulan Lands, Inc. </v>
          </cell>
          <cell r="I701" t="str">
            <v>Agapeya</v>
          </cell>
          <cell r="J701" t="str">
            <v>AGM</v>
          </cell>
          <cell r="K701" t="str">
            <v>Eco-High</v>
          </cell>
          <cell r="L701" t="str">
            <v>West</v>
          </cell>
          <cell r="M701" t="str">
            <v>With LTS - 2024</v>
          </cell>
          <cell r="N701" t="str">
            <v>YES</v>
          </cell>
          <cell r="O701" t="str">
            <v>YES</v>
          </cell>
          <cell r="P701" t="str">
            <v>Unaffected lots</v>
          </cell>
          <cell r="Q701" t="str">
            <v>YES</v>
          </cell>
          <cell r="R701">
            <v>70</v>
          </cell>
          <cell r="S701" t="str">
            <v>PCS-04-034298</v>
          </cell>
          <cell r="T701" t="str">
            <v>TCT-060-2024021812</v>
          </cell>
          <cell r="U701" t="b">
            <v>1</v>
          </cell>
          <cell r="V701" t="str">
            <v>Done</v>
          </cell>
          <cell r="W701" t="str">
            <v>B4 2025</v>
          </cell>
          <cell r="X701" t="str">
            <v>2025 - Batch 6</v>
          </cell>
          <cell r="Y701">
            <v>30</v>
          </cell>
          <cell r="Z701">
            <v>1</v>
          </cell>
          <cell r="AA701" t="str">
            <v>H+L</v>
          </cell>
          <cell r="AB701">
            <v>70</v>
          </cell>
          <cell r="AC701">
            <v>50</v>
          </cell>
          <cell r="AD701" t="str">
            <v>Slant</v>
          </cell>
          <cell r="AE701" t="str">
            <v>Duplex</v>
          </cell>
          <cell r="AF701" t="str">
            <v>568 - Without Partition</v>
          </cell>
          <cell r="AG701" t="str">
            <v xml:space="preserve">Without Partition </v>
          </cell>
          <cell r="AH701" t="str">
            <v xml:space="preserve">Without Partition </v>
          </cell>
          <cell r="AI701" t="str">
            <v>PINK</v>
          </cell>
          <cell r="AJ701" t="str">
            <v>Slant / PINK</v>
          </cell>
          <cell r="AK701">
            <v>1050000</v>
          </cell>
          <cell r="AL701">
            <v>15000</v>
          </cell>
          <cell r="AM701">
            <v>1650000</v>
          </cell>
          <cell r="AN701">
            <v>33000</v>
          </cell>
          <cell r="AO701">
            <v>150000</v>
          </cell>
          <cell r="AP701">
            <v>2850000</v>
          </cell>
          <cell r="AQ701"/>
          <cell r="AR701">
            <v>2850000</v>
          </cell>
          <cell r="AS701">
            <v>200000</v>
          </cell>
          <cell r="AT701">
            <v>2650000</v>
          </cell>
          <cell r="AU701">
            <v>100000</v>
          </cell>
          <cell r="AV701">
            <v>2550000</v>
          </cell>
          <cell r="AW701">
            <v>0</v>
          </cell>
          <cell r="AX701">
            <v>2550000</v>
          </cell>
        </row>
        <row r="702">
          <cell r="G702" t="str">
            <v>AGM-01-030-002</v>
          </cell>
          <cell r="H702" t="str">
            <v xml:space="preserve">Raemulan Lands, Inc. </v>
          </cell>
          <cell r="I702" t="str">
            <v>Agapeya</v>
          </cell>
          <cell r="J702" t="str">
            <v>AGM</v>
          </cell>
          <cell r="K702" t="str">
            <v>Eco-High</v>
          </cell>
          <cell r="L702" t="str">
            <v>West</v>
          </cell>
          <cell r="M702" t="str">
            <v>With LTS - 2024</v>
          </cell>
          <cell r="N702" t="str">
            <v>YES</v>
          </cell>
          <cell r="O702" t="str">
            <v>YES</v>
          </cell>
          <cell r="P702" t="str">
            <v>Unaffected lots</v>
          </cell>
          <cell r="Q702" t="str">
            <v>YES</v>
          </cell>
          <cell r="R702">
            <v>70</v>
          </cell>
          <cell r="S702" t="str">
            <v>PCS-04-034298</v>
          </cell>
          <cell r="T702" t="str">
            <v>TCT-060-2024021813</v>
          </cell>
          <cell r="U702" t="b">
            <v>1</v>
          </cell>
          <cell r="V702" t="str">
            <v>Done</v>
          </cell>
          <cell r="W702" t="str">
            <v>B4 2025</v>
          </cell>
          <cell r="X702" t="str">
            <v>2025 - Batch 6</v>
          </cell>
          <cell r="Y702">
            <v>30</v>
          </cell>
          <cell r="Z702">
            <v>2</v>
          </cell>
          <cell r="AA702" t="str">
            <v>H+L</v>
          </cell>
          <cell r="AB702">
            <v>70</v>
          </cell>
          <cell r="AC702">
            <v>50</v>
          </cell>
          <cell r="AD702" t="str">
            <v>Flat</v>
          </cell>
          <cell r="AE702" t="str">
            <v>Duplex</v>
          </cell>
          <cell r="AF702" t="str">
            <v>568 - Without Partition</v>
          </cell>
          <cell r="AG702" t="str">
            <v xml:space="preserve">Without Partition </v>
          </cell>
          <cell r="AH702" t="str">
            <v xml:space="preserve">Without Partition </v>
          </cell>
          <cell r="AI702" t="str">
            <v>PINK</v>
          </cell>
          <cell r="AJ702" t="str">
            <v>Flat / PINK</v>
          </cell>
          <cell r="AK702">
            <v>1050000</v>
          </cell>
          <cell r="AL702">
            <v>15000</v>
          </cell>
          <cell r="AM702">
            <v>1650000</v>
          </cell>
          <cell r="AN702">
            <v>33000</v>
          </cell>
          <cell r="AO702">
            <v>150000</v>
          </cell>
          <cell r="AP702">
            <v>2850000</v>
          </cell>
          <cell r="AQ702"/>
          <cell r="AR702">
            <v>2850000</v>
          </cell>
          <cell r="AS702">
            <v>200000</v>
          </cell>
          <cell r="AT702">
            <v>2650000</v>
          </cell>
          <cell r="AU702">
            <v>100000</v>
          </cell>
          <cell r="AV702">
            <v>2550000</v>
          </cell>
          <cell r="AW702">
            <v>0</v>
          </cell>
          <cell r="AX702">
            <v>2550000</v>
          </cell>
        </row>
        <row r="703">
          <cell r="G703" t="str">
            <v>AGM-01-030-003</v>
          </cell>
          <cell r="H703" t="str">
            <v xml:space="preserve">Raemulan Lands, Inc. </v>
          </cell>
          <cell r="I703" t="str">
            <v>Agapeya</v>
          </cell>
          <cell r="J703" t="str">
            <v>AGM</v>
          </cell>
          <cell r="K703" t="str">
            <v>Eco-High</v>
          </cell>
          <cell r="L703" t="str">
            <v>West</v>
          </cell>
          <cell r="M703" t="str">
            <v>With LTS - 2024</v>
          </cell>
          <cell r="N703" t="str">
            <v>YES</v>
          </cell>
          <cell r="O703" t="str">
            <v>YES</v>
          </cell>
          <cell r="P703" t="str">
            <v>Unaffected lots</v>
          </cell>
          <cell r="Q703" t="str">
            <v>YES</v>
          </cell>
          <cell r="R703">
            <v>70</v>
          </cell>
          <cell r="S703" t="str">
            <v>PCS-04-034298</v>
          </cell>
          <cell r="T703" t="str">
            <v>TCT-060-2024021814</v>
          </cell>
          <cell r="U703" t="b">
            <v>1</v>
          </cell>
          <cell r="V703" t="str">
            <v>Done</v>
          </cell>
          <cell r="W703" t="str">
            <v>B4 2025</v>
          </cell>
          <cell r="X703" t="str">
            <v>2025 - Batch 6</v>
          </cell>
          <cell r="Y703">
            <v>30</v>
          </cell>
          <cell r="Z703">
            <v>3</v>
          </cell>
          <cell r="AA703" t="str">
            <v>H+L</v>
          </cell>
          <cell r="AB703">
            <v>70</v>
          </cell>
          <cell r="AC703">
            <v>50</v>
          </cell>
          <cell r="AD703" t="str">
            <v>Flat</v>
          </cell>
          <cell r="AE703" t="str">
            <v>Duplex</v>
          </cell>
          <cell r="AF703" t="str">
            <v>568 - Without Partition</v>
          </cell>
          <cell r="AG703" t="str">
            <v xml:space="preserve">Without Partition </v>
          </cell>
          <cell r="AH703" t="str">
            <v xml:space="preserve">Without Partition </v>
          </cell>
          <cell r="AI703" t="str">
            <v>PINK</v>
          </cell>
          <cell r="AJ703" t="str">
            <v>Flat / PINK</v>
          </cell>
          <cell r="AK703">
            <v>1050000</v>
          </cell>
          <cell r="AL703">
            <v>15000</v>
          </cell>
          <cell r="AM703">
            <v>1650000</v>
          </cell>
          <cell r="AN703">
            <v>33000</v>
          </cell>
          <cell r="AO703">
            <v>150000</v>
          </cell>
          <cell r="AP703">
            <v>2850000</v>
          </cell>
          <cell r="AQ703"/>
          <cell r="AR703">
            <v>2850000</v>
          </cell>
          <cell r="AS703">
            <v>200000</v>
          </cell>
          <cell r="AT703">
            <v>2650000</v>
          </cell>
          <cell r="AU703">
            <v>100000</v>
          </cell>
          <cell r="AV703">
            <v>2550000</v>
          </cell>
          <cell r="AW703">
            <v>0</v>
          </cell>
          <cell r="AX703">
            <v>2550000</v>
          </cell>
        </row>
        <row r="704">
          <cell r="G704" t="str">
            <v>AGM-01-030-004</v>
          </cell>
          <cell r="H704" t="str">
            <v xml:space="preserve">Raemulan Lands, Inc. </v>
          </cell>
          <cell r="I704" t="str">
            <v>Agapeya</v>
          </cell>
          <cell r="J704" t="str">
            <v>AGM</v>
          </cell>
          <cell r="K704" t="str">
            <v>Eco-High</v>
          </cell>
          <cell r="L704" t="str">
            <v>West</v>
          </cell>
          <cell r="M704" t="str">
            <v>With LTS - 2024</v>
          </cell>
          <cell r="N704" t="str">
            <v>YES</v>
          </cell>
          <cell r="O704" t="str">
            <v>YES</v>
          </cell>
          <cell r="P704" t="str">
            <v>Unaffected lots</v>
          </cell>
          <cell r="Q704" t="str">
            <v>YES</v>
          </cell>
          <cell r="R704">
            <v>70</v>
          </cell>
          <cell r="S704" t="str">
            <v>PCS-04-034298</v>
          </cell>
          <cell r="T704" t="str">
            <v>TCT-060-2024021815</v>
          </cell>
          <cell r="U704" t="b">
            <v>1</v>
          </cell>
          <cell r="V704" t="str">
            <v>Done</v>
          </cell>
          <cell r="W704" t="str">
            <v>B4 2025</v>
          </cell>
          <cell r="X704" t="str">
            <v>2025 - Batch 6</v>
          </cell>
          <cell r="Y704">
            <v>30</v>
          </cell>
          <cell r="Z704">
            <v>4</v>
          </cell>
          <cell r="AA704" t="str">
            <v>H+L</v>
          </cell>
          <cell r="AB704">
            <v>70</v>
          </cell>
          <cell r="AC704">
            <v>50</v>
          </cell>
          <cell r="AD704" t="str">
            <v>Slant</v>
          </cell>
          <cell r="AE704" t="str">
            <v>Duplex</v>
          </cell>
          <cell r="AF704" t="str">
            <v>568 - Without Partition</v>
          </cell>
          <cell r="AG704" t="str">
            <v xml:space="preserve">Without Partition </v>
          </cell>
          <cell r="AH704" t="str">
            <v xml:space="preserve">Without Partition </v>
          </cell>
          <cell r="AI704" t="str">
            <v>PINK</v>
          </cell>
          <cell r="AJ704" t="str">
            <v>Slant / PINK</v>
          </cell>
          <cell r="AK704">
            <v>1050000</v>
          </cell>
          <cell r="AL704">
            <v>15000</v>
          </cell>
          <cell r="AM704">
            <v>1650000</v>
          </cell>
          <cell r="AN704">
            <v>33000</v>
          </cell>
          <cell r="AO704">
            <v>150000</v>
          </cell>
          <cell r="AP704">
            <v>2850000</v>
          </cell>
          <cell r="AQ704"/>
          <cell r="AR704">
            <v>2850000</v>
          </cell>
          <cell r="AS704">
            <v>200000</v>
          </cell>
          <cell r="AT704">
            <v>2650000</v>
          </cell>
          <cell r="AU704">
            <v>100000</v>
          </cell>
          <cell r="AV704">
            <v>2550000</v>
          </cell>
          <cell r="AW704">
            <v>0</v>
          </cell>
          <cell r="AX704">
            <v>2550000</v>
          </cell>
        </row>
        <row r="705">
          <cell r="G705" t="str">
            <v>AGM-01-030-005</v>
          </cell>
          <cell r="H705" t="str">
            <v xml:space="preserve">Raemulan Lands, Inc. </v>
          </cell>
          <cell r="I705" t="str">
            <v>Agapeya</v>
          </cell>
          <cell r="J705" t="str">
            <v>AGM</v>
          </cell>
          <cell r="K705" t="str">
            <v>Eco-High</v>
          </cell>
          <cell r="L705" t="str">
            <v>West</v>
          </cell>
          <cell r="M705" t="str">
            <v>With LTS - 2024</v>
          </cell>
          <cell r="N705" t="str">
            <v>YES</v>
          </cell>
          <cell r="O705" t="str">
            <v>YES</v>
          </cell>
          <cell r="P705" t="str">
            <v>Unaffected lots</v>
          </cell>
          <cell r="Q705" t="str">
            <v>YES</v>
          </cell>
          <cell r="R705">
            <v>70</v>
          </cell>
          <cell r="S705" t="str">
            <v>PCS-04-034298</v>
          </cell>
          <cell r="T705" t="str">
            <v>TCT-060-2024021816</v>
          </cell>
          <cell r="U705" t="b">
            <v>1</v>
          </cell>
          <cell r="V705" t="str">
            <v>Done</v>
          </cell>
          <cell r="W705" t="str">
            <v>B4 2025</v>
          </cell>
          <cell r="X705" t="str">
            <v>2025 - Batch 6</v>
          </cell>
          <cell r="Y705">
            <v>30</v>
          </cell>
          <cell r="Z705">
            <v>5</v>
          </cell>
          <cell r="AA705" t="str">
            <v>H+L</v>
          </cell>
          <cell r="AB705">
            <v>70</v>
          </cell>
          <cell r="AC705">
            <v>50</v>
          </cell>
          <cell r="AD705" t="str">
            <v>Slant</v>
          </cell>
          <cell r="AE705" t="str">
            <v>Duplex</v>
          </cell>
          <cell r="AF705" t="str">
            <v>568 - Without Partition</v>
          </cell>
          <cell r="AG705" t="str">
            <v xml:space="preserve">Without Partition </v>
          </cell>
          <cell r="AH705" t="str">
            <v xml:space="preserve">Without Partition </v>
          </cell>
          <cell r="AI705" t="str">
            <v>YELLOW</v>
          </cell>
          <cell r="AJ705" t="str">
            <v>Slant / YELLOW</v>
          </cell>
          <cell r="AK705">
            <v>1050000</v>
          </cell>
          <cell r="AL705">
            <v>15000</v>
          </cell>
          <cell r="AM705">
            <v>1650000</v>
          </cell>
          <cell r="AN705">
            <v>33000</v>
          </cell>
          <cell r="AO705">
            <v>150000</v>
          </cell>
          <cell r="AP705">
            <v>2850000</v>
          </cell>
          <cell r="AQ705"/>
          <cell r="AR705">
            <v>2850000</v>
          </cell>
          <cell r="AS705">
            <v>200000</v>
          </cell>
          <cell r="AT705">
            <v>2650000</v>
          </cell>
          <cell r="AU705">
            <v>100000</v>
          </cell>
          <cell r="AV705">
            <v>2550000</v>
          </cell>
          <cell r="AW705">
            <v>0</v>
          </cell>
          <cell r="AX705">
            <v>2550000</v>
          </cell>
        </row>
        <row r="706">
          <cell r="G706" t="str">
            <v>AGM-01-030-006</v>
          </cell>
          <cell r="H706" t="str">
            <v xml:space="preserve">Raemulan Lands, Inc. </v>
          </cell>
          <cell r="I706" t="str">
            <v>Agapeya</v>
          </cell>
          <cell r="J706" t="str">
            <v>AGM</v>
          </cell>
          <cell r="K706" t="str">
            <v>Eco-High</v>
          </cell>
          <cell r="L706" t="str">
            <v>West</v>
          </cell>
          <cell r="M706" t="str">
            <v>With LTS - 2024</v>
          </cell>
          <cell r="N706" t="str">
            <v>YES</v>
          </cell>
          <cell r="O706" t="str">
            <v>YES</v>
          </cell>
          <cell r="P706" t="str">
            <v>Unaffected lots</v>
          </cell>
          <cell r="Q706" t="str">
            <v>YES</v>
          </cell>
          <cell r="R706">
            <v>70</v>
          </cell>
          <cell r="S706" t="str">
            <v>PCS-04-034298</v>
          </cell>
          <cell r="T706" t="str">
            <v>TCT-060-2024021817</v>
          </cell>
          <cell r="U706" t="b">
            <v>1</v>
          </cell>
          <cell r="V706" t="str">
            <v>Done</v>
          </cell>
          <cell r="W706" t="str">
            <v>B4 2025</v>
          </cell>
          <cell r="X706" t="str">
            <v>2025 - Batch 6</v>
          </cell>
          <cell r="Y706">
            <v>30</v>
          </cell>
          <cell r="Z706">
            <v>6</v>
          </cell>
          <cell r="AA706" t="str">
            <v>H+L</v>
          </cell>
          <cell r="AB706">
            <v>70</v>
          </cell>
          <cell r="AC706">
            <v>50</v>
          </cell>
          <cell r="AD706" t="str">
            <v>Flat</v>
          </cell>
          <cell r="AE706" t="str">
            <v>Duplex</v>
          </cell>
          <cell r="AF706" t="str">
            <v>568 - Without Partition</v>
          </cell>
          <cell r="AG706" t="str">
            <v xml:space="preserve">Without Partition </v>
          </cell>
          <cell r="AH706" t="str">
            <v xml:space="preserve">Without Partition </v>
          </cell>
          <cell r="AI706" t="str">
            <v>YELLOW</v>
          </cell>
          <cell r="AJ706" t="str">
            <v>Flat / YELLOW</v>
          </cell>
          <cell r="AK706">
            <v>1050000</v>
          </cell>
          <cell r="AL706">
            <v>15000</v>
          </cell>
          <cell r="AM706">
            <v>1650000</v>
          </cell>
          <cell r="AN706">
            <v>33000</v>
          </cell>
          <cell r="AO706">
            <v>150000</v>
          </cell>
          <cell r="AP706">
            <v>2850000</v>
          </cell>
          <cell r="AQ706"/>
          <cell r="AR706">
            <v>2850000</v>
          </cell>
          <cell r="AS706">
            <v>200000</v>
          </cell>
          <cell r="AT706">
            <v>2650000</v>
          </cell>
          <cell r="AU706">
            <v>100000</v>
          </cell>
          <cell r="AV706">
            <v>2550000</v>
          </cell>
          <cell r="AW706">
            <v>0</v>
          </cell>
          <cell r="AX706">
            <v>2550000</v>
          </cell>
        </row>
        <row r="707">
          <cell r="G707" t="str">
            <v>AGM-01-030-007</v>
          </cell>
          <cell r="H707" t="str">
            <v xml:space="preserve">Raemulan Lands, Inc. </v>
          </cell>
          <cell r="I707" t="str">
            <v>Agapeya</v>
          </cell>
          <cell r="J707" t="str">
            <v>AGM</v>
          </cell>
          <cell r="K707" t="str">
            <v>Eco-High</v>
          </cell>
          <cell r="L707" t="str">
            <v>West</v>
          </cell>
          <cell r="M707" t="str">
            <v>With LTS - 2024</v>
          </cell>
          <cell r="N707" t="str">
            <v>YES</v>
          </cell>
          <cell r="O707" t="str">
            <v>YES</v>
          </cell>
          <cell r="P707" t="str">
            <v>Unaffected lots</v>
          </cell>
          <cell r="Q707" t="str">
            <v>YES</v>
          </cell>
          <cell r="R707">
            <v>90</v>
          </cell>
          <cell r="S707" t="str">
            <v>PCS-04-034298</v>
          </cell>
          <cell r="T707" t="str">
            <v>TCT-060-2024021818</v>
          </cell>
          <cell r="U707" t="b">
            <v>1</v>
          </cell>
          <cell r="V707" t="str">
            <v>Done</v>
          </cell>
          <cell r="W707" t="str">
            <v>B4 2025</v>
          </cell>
          <cell r="X707" t="str">
            <v>2025 - Batch 6</v>
          </cell>
          <cell r="Y707">
            <v>30</v>
          </cell>
          <cell r="Z707">
            <v>7</v>
          </cell>
          <cell r="AA707" t="str">
            <v>H+L</v>
          </cell>
          <cell r="AB707">
            <v>90</v>
          </cell>
          <cell r="AC707">
            <v>50</v>
          </cell>
          <cell r="AD707" t="str">
            <v>Flat</v>
          </cell>
          <cell r="AE707" t="str">
            <v>Duplex</v>
          </cell>
          <cell r="AF707" t="str">
            <v>568 - Without Partition</v>
          </cell>
          <cell r="AG707" t="str">
            <v xml:space="preserve">Without Partition </v>
          </cell>
          <cell r="AH707" t="str">
            <v xml:space="preserve">Without Partition </v>
          </cell>
          <cell r="AI707" t="str">
            <v>YELLOW</v>
          </cell>
          <cell r="AJ707" t="str">
            <v>Flat / YELLOW</v>
          </cell>
          <cell r="AK707">
            <v>1350000</v>
          </cell>
          <cell r="AL707">
            <v>15000</v>
          </cell>
          <cell r="AM707">
            <v>1650000</v>
          </cell>
          <cell r="AN707">
            <v>33000</v>
          </cell>
          <cell r="AO707">
            <v>150000</v>
          </cell>
          <cell r="AP707">
            <v>3150000</v>
          </cell>
          <cell r="AQ707"/>
          <cell r="AR707">
            <v>3150000</v>
          </cell>
          <cell r="AS707">
            <v>200000</v>
          </cell>
          <cell r="AT707">
            <v>2950000</v>
          </cell>
          <cell r="AU707">
            <v>100000</v>
          </cell>
          <cell r="AV707">
            <v>2850000</v>
          </cell>
          <cell r="AW707">
            <v>0</v>
          </cell>
          <cell r="AX707">
            <v>2850000</v>
          </cell>
        </row>
        <row r="708">
          <cell r="G708" t="str">
            <v>AGM-01-030-008</v>
          </cell>
          <cell r="H708" t="str">
            <v xml:space="preserve">Raemulan Lands, Inc. </v>
          </cell>
          <cell r="I708" t="str">
            <v>Agapeya</v>
          </cell>
          <cell r="J708" t="str">
            <v>AGM</v>
          </cell>
          <cell r="K708" t="str">
            <v>Eco-High</v>
          </cell>
          <cell r="L708" t="str">
            <v>West</v>
          </cell>
          <cell r="M708" t="str">
            <v>With LTS - 2024</v>
          </cell>
          <cell r="N708" t="str">
            <v>YES</v>
          </cell>
          <cell r="O708" t="str">
            <v>YES</v>
          </cell>
          <cell r="P708" t="str">
            <v>Unaffected lots</v>
          </cell>
          <cell r="Q708" t="str">
            <v>YES</v>
          </cell>
          <cell r="R708">
            <v>90</v>
          </cell>
          <cell r="S708" t="str">
            <v>PCS-04-034298</v>
          </cell>
          <cell r="T708" t="str">
            <v>TCT-060-2024021819</v>
          </cell>
          <cell r="U708" t="b">
            <v>1</v>
          </cell>
          <cell r="V708" t="str">
            <v>Done</v>
          </cell>
          <cell r="W708" t="str">
            <v>B4 2025</v>
          </cell>
          <cell r="X708" t="str">
            <v>2025 - Batch 6</v>
          </cell>
          <cell r="Y708">
            <v>30</v>
          </cell>
          <cell r="Z708">
            <v>8</v>
          </cell>
          <cell r="AA708" t="str">
            <v>H+L</v>
          </cell>
          <cell r="AB708">
            <v>90</v>
          </cell>
          <cell r="AC708">
            <v>50</v>
          </cell>
          <cell r="AD708" t="str">
            <v>Slant</v>
          </cell>
          <cell r="AE708" t="str">
            <v>Duplex</v>
          </cell>
          <cell r="AF708" t="str">
            <v>568 - Without Partition</v>
          </cell>
          <cell r="AG708" t="str">
            <v xml:space="preserve">Without Partition </v>
          </cell>
          <cell r="AH708" t="str">
            <v xml:space="preserve">Without Partition </v>
          </cell>
          <cell r="AI708" t="str">
            <v>YELLOW</v>
          </cell>
          <cell r="AJ708" t="str">
            <v>Slant / YELLOW</v>
          </cell>
          <cell r="AK708">
            <v>1350000</v>
          </cell>
          <cell r="AL708">
            <v>15000</v>
          </cell>
          <cell r="AM708">
            <v>1650000</v>
          </cell>
          <cell r="AN708">
            <v>33000</v>
          </cell>
          <cell r="AO708">
            <v>150000</v>
          </cell>
          <cell r="AP708">
            <v>3150000</v>
          </cell>
          <cell r="AQ708"/>
          <cell r="AR708">
            <v>3150000</v>
          </cell>
          <cell r="AS708">
            <v>200000</v>
          </cell>
          <cell r="AT708">
            <v>2950000</v>
          </cell>
          <cell r="AU708">
            <v>100000</v>
          </cell>
          <cell r="AV708">
            <v>2850000</v>
          </cell>
          <cell r="AW708">
            <v>0</v>
          </cell>
          <cell r="AX708">
            <v>2850000</v>
          </cell>
        </row>
        <row r="709">
          <cell r="G709" t="str">
            <v>AGM-01-031-001</v>
          </cell>
          <cell r="H709" t="str">
            <v xml:space="preserve">Raemulan Lands, Inc. </v>
          </cell>
          <cell r="I709" t="str">
            <v>Agapeya</v>
          </cell>
          <cell r="J709" t="str">
            <v>AGM</v>
          </cell>
          <cell r="K709" t="str">
            <v>Eco-High</v>
          </cell>
          <cell r="L709" t="str">
            <v>West</v>
          </cell>
          <cell r="M709" t="str">
            <v>With LTS - 2024</v>
          </cell>
          <cell r="N709" t="str">
            <v>YES</v>
          </cell>
          <cell r="O709" t="str">
            <v>YES</v>
          </cell>
          <cell r="P709" t="str">
            <v>Unaffected lots</v>
          </cell>
          <cell r="Q709" t="str">
            <v>YES</v>
          </cell>
          <cell r="R709">
            <v>70</v>
          </cell>
          <cell r="S709" t="str">
            <v>PCS-04-034298</v>
          </cell>
          <cell r="T709" t="str">
            <v>TCT-060-2024021820</v>
          </cell>
          <cell r="U709" t="b">
            <v>1</v>
          </cell>
          <cell r="V709" t="str">
            <v>Done</v>
          </cell>
          <cell r="W709" t="str">
            <v>B3 2025</v>
          </cell>
          <cell r="X709" t="str">
            <v>2025 - Batch 6</v>
          </cell>
          <cell r="Y709">
            <v>31</v>
          </cell>
          <cell r="Z709">
            <v>1</v>
          </cell>
          <cell r="AA709" t="str">
            <v>H+L</v>
          </cell>
          <cell r="AB709">
            <v>70</v>
          </cell>
          <cell r="AC709">
            <v>50</v>
          </cell>
          <cell r="AD709" t="str">
            <v>Flat</v>
          </cell>
          <cell r="AE709" t="str">
            <v>Duplex</v>
          </cell>
          <cell r="AF709" t="str">
            <v>568 - Without Partition</v>
          </cell>
          <cell r="AG709" t="str">
            <v xml:space="preserve">Without Partition </v>
          </cell>
          <cell r="AH709" t="str">
            <v xml:space="preserve">Without Partition </v>
          </cell>
          <cell r="AI709" t="str">
            <v>GREEN</v>
          </cell>
          <cell r="AJ709" t="str">
            <v>Flat / GREEN</v>
          </cell>
          <cell r="AK709">
            <v>1050000</v>
          </cell>
          <cell r="AL709">
            <v>15000</v>
          </cell>
          <cell r="AM709">
            <v>1650000</v>
          </cell>
          <cell r="AN709">
            <v>33000</v>
          </cell>
          <cell r="AO709">
            <v>150000</v>
          </cell>
          <cell r="AP709">
            <v>2850000</v>
          </cell>
          <cell r="AQ709"/>
          <cell r="AR709">
            <v>2850000</v>
          </cell>
          <cell r="AS709">
            <v>200000</v>
          </cell>
          <cell r="AT709">
            <v>2650000</v>
          </cell>
          <cell r="AU709">
            <v>100000</v>
          </cell>
          <cell r="AV709">
            <v>2550000</v>
          </cell>
          <cell r="AW709">
            <v>0</v>
          </cell>
          <cell r="AX709">
            <v>2550000</v>
          </cell>
        </row>
        <row r="710">
          <cell r="G710" t="str">
            <v>AGM-01-031-002</v>
          </cell>
          <cell r="H710" t="str">
            <v xml:space="preserve">Raemulan Lands, Inc. </v>
          </cell>
          <cell r="I710" t="str">
            <v>Agapeya</v>
          </cell>
          <cell r="J710" t="str">
            <v>AGM</v>
          </cell>
          <cell r="K710" t="str">
            <v>Eco-High</v>
          </cell>
          <cell r="L710" t="str">
            <v>West</v>
          </cell>
          <cell r="M710" t="str">
            <v>With LTS - 2024</v>
          </cell>
          <cell r="N710" t="str">
            <v>YES</v>
          </cell>
          <cell r="O710" t="str">
            <v>YES</v>
          </cell>
          <cell r="P710" t="str">
            <v>Unaffected lots</v>
          </cell>
          <cell r="Q710" t="str">
            <v>YES</v>
          </cell>
          <cell r="R710">
            <v>70</v>
          </cell>
          <cell r="S710" t="str">
            <v>PCS-04-034298</v>
          </cell>
          <cell r="T710" t="str">
            <v>TCT-060-2024021821</v>
          </cell>
          <cell r="U710" t="b">
            <v>1</v>
          </cell>
          <cell r="V710" t="str">
            <v>Done</v>
          </cell>
          <cell r="W710" t="str">
            <v>B3 2025</v>
          </cell>
          <cell r="X710" t="str">
            <v>2025 - Batch 6</v>
          </cell>
          <cell r="Y710">
            <v>31</v>
          </cell>
          <cell r="Z710">
            <v>2</v>
          </cell>
          <cell r="AA710" t="str">
            <v>H+L</v>
          </cell>
          <cell r="AB710">
            <v>70</v>
          </cell>
          <cell r="AC710">
            <v>50</v>
          </cell>
          <cell r="AD710" t="str">
            <v>Slant</v>
          </cell>
          <cell r="AE710" t="str">
            <v>Duplex</v>
          </cell>
          <cell r="AF710" t="str">
            <v>568 - Without Partition</v>
          </cell>
          <cell r="AG710" t="str">
            <v xml:space="preserve">Without Partition </v>
          </cell>
          <cell r="AH710" t="str">
            <v xml:space="preserve">Without Partition </v>
          </cell>
          <cell r="AI710" t="str">
            <v>GREEN</v>
          </cell>
          <cell r="AJ710" t="str">
            <v>Slant / GREEN</v>
          </cell>
          <cell r="AK710">
            <v>1050000</v>
          </cell>
          <cell r="AL710">
            <v>15000</v>
          </cell>
          <cell r="AM710">
            <v>1650000</v>
          </cell>
          <cell r="AN710">
            <v>33000</v>
          </cell>
          <cell r="AO710">
            <v>150000</v>
          </cell>
          <cell r="AP710">
            <v>2850000</v>
          </cell>
          <cell r="AQ710"/>
          <cell r="AR710">
            <v>2850000</v>
          </cell>
          <cell r="AS710">
            <v>200000</v>
          </cell>
          <cell r="AT710">
            <v>2650000</v>
          </cell>
          <cell r="AU710">
            <v>100000</v>
          </cell>
          <cell r="AV710">
            <v>2550000</v>
          </cell>
          <cell r="AW710">
            <v>0</v>
          </cell>
          <cell r="AX710">
            <v>2550000</v>
          </cell>
        </row>
        <row r="711">
          <cell r="G711" t="str">
            <v>AGM-01-031-003</v>
          </cell>
          <cell r="H711" t="str">
            <v xml:space="preserve">Raemulan Lands, Inc. </v>
          </cell>
          <cell r="I711" t="str">
            <v>Agapeya</v>
          </cell>
          <cell r="J711" t="str">
            <v>AGM</v>
          </cell>
          <cell r="K711" t="str">
            <v>Eco-High</v>
          </cell>
          <cell r="L711" t="str">
            <v>West</v>
          </cell>
          <cell r="M711" t="str">
            <v>With LTS - 2024</v>
          </cell>
          <cell r="N711" t="str">
            <v>YES</v>
          </cell>
          <cell r="O711" t="str">
            <v>YES</v>
          </cell>
          <cell r="P711" t="str">
            <v>Unaffected lots</v>
          </cell>
          <cell r="Q711" t="str">
            <v>YES</v>
          </cell>
          <cell r="R711">
            <v>70</v>
          </cell>
          <cell r="S711" t="str">
            <v>PCS-04-034298</v>
          </cell>
          <cell r="T711" t="str">
            <v>TCT-060-2024021822</v>
          </cell>
          <cell r="U711" t="b">
            <v>1</v>
          </cell>
          <cell r="V711" t="str">
            <v>Done</v>
          </cell>
          <cell r="W711" t="str">
            <v>B3 2025</v>
          </cell>
          <cell r="X711" t="str">
            <v>2025 - Batch 6</v>
          </cell>
          <cell r="Y711">
            <v>31</v>
          </cell>
          <cell r="Z711">
            <v>3</v>
          </cell>
          <cell r="AA711" t="str">
            <v>H+L</v>
          </cell>
          <cell r="AB711">
            <v>70</v>
          </cell>
          <cell r="AC711">
            <v>50</v>
          </cell>
          <cell r="AD711" t="str">
            <v>Slant</v>
          </cell>
          <cell r="AE711" t="str">
            <v>Duplex</v>
          </cell>
          <cell r="AF711" t="str">
            <v>568 - Without Partition</v>
          </cell>
          <cell r="AG711" t="str">
            <v xml:space="preserve">Without Partition </v>
          </cell>
          <cell r="AH711" t="str">
            <v xml:space="preserve">Without Partition </v>
          </cell>
          <cell r="AI711" t="str">
            <v>GREEN</v>
          </cell>
          <cell r="AJ711" t="str">
            <v>Slant / GREEN</v>
          </cell>
          <cell r="AK711">
            <v>1050000</v>
          </cell>
          <cell r="AL711">
            <v>15000</v>
          </cell>
          <cell r="AM711">
            <v>1650000</v>
          </cell>
          <cell r="AN711">
            <v>33000</v>
          </cell>
          <cell r="AO711">
            <v>150000</v>
          </cell>
          <cell r="AP711">
            <v>2850000</v>
          </cell>
          <cell r="AQ711"/>
          <cell r="AR711">
            <v>2850000</v>
          </cell>
          <cell r="AS711">
            <v>200000</v>
          </cell>
          <cell r="AT711">
            <v>2650000</v>
          </cell>
          <cell r="AU711">
            <v>100000</v>
          </cell>
          <cell r="AV711">
            <v>2550000</v>
          </cell>
          <cell r="AW711">
            <v>0</v>
          </cell>
          <cell r="AX711">
            <v>2550000</v>
          </cell>
        </row>
        <row r="712">
          <cell r="G712" t="str">
            <v>AGM-01-031-004</v>
          </cell>
          <cell r="H712" t="str">
            <v xml:space="preserve">Raemulan Lands, Inc. </v>
          </cell>
          <cell r="I712" t="str">
            <v>Agapeya</v>
          </cell>
          <cell r="J712" t="str">
            <v>AGM</v>
          </cell>
          <cell r="K712" t="str">
            <v>Eco-High</v>
          </cell>
          <cell r="L712" t="str">
            <v>West</v>
          </cell>
          <cell r="M712" t="str">
            <v>With LTS - 2024</v>
          </cell>
          <cell r="N712" t="str">
            <v>YES</v>
          </cell>
          <cell r="O712" t="str">
            <v>YES</v>
          </cell>
          <cell r="P712" t="str">
            <v>Unaffected lots</v>
          </cell>
          <cell r="Q712" t="str">
            <v>YES</v>
          </cell>
          <cell r="R712">
            <v>70</v>
          </cell>
          <cell r="S712" t="str">
            <v>PCS-04-034298</v>
          </cell>
          <cell r="T712" t="str">
            <v>TCT-060-2024021823</v>
          </cell>
          <cell r="U712" t="b">
            <v>1</v>
          </cell>
          <cell r="V712" t="str">
            <v>Done</v>
          </cell>
          <cell r="W712" t="str">
            <v>B3 2025</v>
          </cell>
          <cell r="X712" t="str">
            <v>2025 - Batch 6</v>
          </cell>
          <cell r="Y712">
            <v>31</v>
          </cell>
          <cell r="Z712">
            <v>4</v>
          </cell>
          <cell r="AA712" t="str">
            <v>H+L</v>
          </cell>
          <cell r="AB712">
            <v>70</v>
          </cell>
          <cell r="AC712">
            <v>50</v>
          </cell>
          <cell r="AD712" t="str">
            <v>Flat</v>
          </cell>
          <cell r="AE712" t="str">
            <v>Duplex</v>
          </cell>
          <cell r="AF712" t="str">
            <v>568 - Without Partition</v>
          </cell>
          <cell r="AG712" t="str">
            <v xml:space="preserve">Without Partition </v>
          </cell>
          <cell r="AH712" t="str">
            <v xml:space="preserve">Without Partition </v>
          </cell>
          <cell r="AI712" t="str">
            <v>GREEN</v>
          </cell>
          <cell r="AJ712" t="str">
            <v>Flat / GREEN</v>
          </cell>
          <cell r="AK712">
            <v>1050000</v>
          </cell>
          <cell r="AL712">
            <v>15000</v>
          </cell>
          <cell r="AM712">
            <v>1650000</v>
          </cell>
          <cell r="AN712">
            <v>33000</v>
          </cell>
          <cell r="AO712">
            <v>150000</v>
          </cell>
          <cell r="AP712">
            <v>2850000</v>
          </cell>
          <cell r="AQ712"/>
          <cell r="AR712">
            <v>2850000</v>
          </cell>
          <cell r="AS712">
            <v>200000</v>
          </cell>
          <cell r="AT712">
            <v>2650000</v>
          </cell>
          <cell r="AU712">
            <v>100000</v>
          </cell>
          <cell r="AV712">
            <v>2550000</v>
          </cell>
          <cell r="AW712">
            <v>0</v>
          </cell>
          <cell r="AX712">
            <v>2550000</v>
          </cell>
        </row>
        <row r="713">
          <cell r="G713" t="str">
            <v>AGM-01-031-005</v>
          </cell>
          <cell r="H713" t="str">
            <v xml:space="preserve">Raemulan Lands, Inc. </v>
          </cell>
          <cell r="I713" t="str">
            <v>Agapeya</v>
          </cell>
          <cell r="J713" t="str">
            <v>AGM</v>
          </cell>
          <cell r="K713" t="str">
            <v>Eco-High</v>
          </cell>
          <cell r="L713" t="str">
            <v>West</v>
          </cell>
          <cell r="M713" t="str">
            <v>With LTS - 2024</v>
          </cell>
          <cell r="N713" t="str">
            <v>YES</v>
          </cell>
          <cell r="O713" t="str">
            <v>YES</v>
          </cell>
          <cell r="P713" t="str">
            <v>Unaffected lots</v>
          </cell>
          <cell r="Q713" t="str">
            <v>YES</v>
          </cell>
          <cell r="R713">
            <v>70</v>
          </cell>
          <cell r="S713" t="str">
            <v>PCS-04-034298</v>
          </cell>
          <cell r="T713" t="str">
            <v>TCT-060-2024021824</v>
          </cell>
          <cell r="U713" t="b">
            <v>1</v>
          </cell>
          <cell r="V713" t="str">
            <v>Done</v>
          </cell>
          <cell r="W713" t="str">
            <v>B4 2025</v>
          </cell>
          <cell r="X713" t="str">
            <v>2025 - Batch 6</v>
          </cell>
          <cell r="Y713">
            <v>31</v>
          </cell>
          <cell r="Z713">
            <v>5</v>
          </cell>
          <cell r="AA713" t="str">
            <v>H+L</v>
          </cell>
          <cell r="AB713">
            <v>70</v>
          </cell>
          <cell r="AC713">
            <v>50</v>
          </cell>
          <cell r="AD713" t="str">
            <v>Slant</v>
          </cell>
          <cell r="AE713" t="str">
            <v>Duplex</v>
          </cell>
          <cell r="AF713" t="str">
            <v>568 - Without Partition</v>
          </cell>
          <cell r="AG713" t="str">
            <v xml:space="preserve">Without Partition </v>
          </cell>
          <cell r="AH713" t="str">
            <v xml:space="preserve">Without Partition </v>
          </cell>
          <cell r="AI713" t="str">
            <v>PURPLE</v>
          </cell>
          <cell r="AJ713" t="str">
            <v>Slant / PURPLE</v>
          </cell>
          <cell r="AK713">
            <v>1050000</v>
          </cell>
          <cell r="AL713">
            <v>15000</v>
          </cell>
          <cell r="AM713">
            <v>1650000</v>
          </cell>
          <cell r="AN713">
            <v>33000</v>
          </cell>
          <cell r="AO713">
            <v>150000</v>
          </cell>
          <cell r="AP713">
            <v>2850000</v>
          </cell>
          <cell r="AQ713"/>
          <cell r="AR713">
            <v>2850000</v>
          </cell>
          <cell r="AS713">
            <v>200000</v>
          </cell>
          <cell r="AT713">
            <v>2650000</v>
          </cell>
          <cell r="AU713">
            <v>100000</v>
          </cell>
          <cell r="AV713">
            <v>2550000</v>
          </cell>
          <cell r="AW713">
            <v>0</v>
          </cell>
          <cell r="AX713">
            <v>2550000</v>
          </cell>
        </row>
        <row r="714">
          <cell r="G714" t="str">
            <v>AGM-01-031-006</v>
          </cell>
          <cell r="H714" t="str">
            <v xml:space="preserve">Raemulan Lands, Inc. </v>
          </cell>
          <cell r="I714" t="str">
            <v>Agapeya</v>
          </cell>
          <cell r="J714" t="str">
            <v>AGM</v>
          </cell>
          <cell r="K714" t="str">
            <v>Eco-High</v>
          </cell>
          <cell r="L714" t="str">
            <v>West</v>
          </cell>
          <cell r="M714" t="str">
            <v>With LTS - 2024</v>
          </cell>
          <cell r="N714" t="str">
            <v>YES</v>
          </cell>
          <cell r="O714" t="str">
            <v>YES</v>
          </cell>
          <cell r="P714" t="str">
            <v>Unaffected lots</v>
          </cell>
          <cell r="Q714" t="str">
            <v>YES</v>
          </cell>
          <cell r="R714">
            <v>70</v>
          </cell>
          <cell r="S714" t="str">
            <v>PCS-04-034298</v>
          </cell>
          <cell r="T714" t="str">
            <v>TCT-060-2024021825</v>
          </cell>
          <cell r="U714" t="b">
            <v>1</v>
          </cell>
          <cell r="V714" t="str">
            <v>Done</v>
          </cell>
          <cell r="W714" t="str">
            <v>B4 2025</v>
          </cell>
          <cell r="X714" t="str">
            <v>2025 - Batch 6</v>
          </cell>
          <cell r="Y714">
            <v>31</v>
          </cell>
          <cell r="Z714">
            <v>6</v>
          </cell>
          <cell r="AA714" t="str">
            <v>H+L</v>
          </cell>
          <cell r="AB714">
            <v>70</v>
          </cell>
          <cell r="AC714">
            <v>50</v>
          </cell>
          <cell r="AD714" t="str">
            <v>Flat</v>
          </cell>
          <cell r="AE714" t="str">
            <v>Duplex</v>
          </cell>
          <cell r="AF714" t="str">
            <v>568 - Without Partition</v>
          </cell>
          <cell r="AG714" t="str">
            <v xml:space="preserve">Without Partition </v>
          </cell>
          <cell r="AH714" t="str">
            <v xml:space="preserve">Without Partition </v>
          </cell>
          <cell r="AI714" t="str">
            <v>PURPLE</v>
          </cell>
          <cell r="AJ714" t="str">
            <v>Flat / PURPLE</v>
          </cell>
          <cell r="AK714">
            <v>1050000</v>
          </cell>
          <cell r="AL714">
            <v>15000</v>
          </cell>
          <cell r="AM714">
            <v>1650000</v>
          </cell>
          <cell r="AN714">
            <v>33000</v>
          </cell>
          <cell r="AO714">
            <v>150000</v>
          </cell>
          <cell r="AP714">
            <v>2850000</v>
          </cell>
          <cell r="AQ714"/>
          <cell r="AR714">
            <v>2850000</v>
          </cell>
          <cell r="AS714">
            <v>200000</v>
          </cell>
          <cell r="AT714">
            <v>2650000</v>
          </cell>
          <cell r="AU714">
            <v>100000</v>
          </cell>
          <cell r="AV714">
            <v>2550000</v>
          </cell>
          <cell r="AW714">
            <v>0</v>
          </cell>
          <cell r="AX714">
            <v>2550000</v>
          </cell>
        </row>
        <row r="715">
          <cell r="G715" t="str">
            <v>AGM-01-031-007</v>
          </cell>
          <cell r="H715" t="str">
            <v xml:space="preserve">Raemulan Lands, Inc. </v>
          </cell>
          <cell r="I715" t="str">
            <v>Agapeya</v>
          </cell>
          <cell r="J715" t="str">
            <v>AGM</v>
          </cell>
          <cell r="K715" t="str">
            <v>Eco-High</v>
          </cell>
          <cell r="L715" t="str">
            <v>West</v>
          </cell>
          <cell r="M715" t="str">
            <v>With LTS - 2024</v>
          </cell>
          <cell r="N715" t="str">
            <v>YES</v>
          </cell>
          <cell r="O715" t="str">
            <v>YES</v>
          </cell>
          <cell r="P715" t="str">
            <v>Unaffected lots</v>
          </cell>
          <cell r="Q715" t="str">
            <v>YES</v>
          </cell>
          <cell r="R715">
            <v>70</v>
          </cell>
          <cell r="S715" t="str">
            <v>PCS-04-034298</v>
          </cell>
          <cell r="T715" t="str">
            <v>TCT-060-2024021826</v>
          </cell>
          <cell r="U715" t="b">
            <v>1</v>
          </cell>
          <cell r="V715" t="str">
            <v>Done</v>
          </cell>
          <cell r="W715" t="str">
            <v>B3 2025</v>
          </cell>
          <cell r="X715" t="str">
            <v>2025 - Batch 6</v>
          </cell>
          <cell r="Y715">
            <v>31</v>
          </cell>
          <cell r="Z715">
            <v>7</v>
          </cell>
          <cell r="AA715" t="str">
            <v>H+L</v>
          </cell>
          <cell r="AB715">
            <v>70</v>
          </cell>
          <cell r="AC715">
            <v>50</v>
          </cell>
          <cell r="AD715" t="str">
            <v>Flat</v>
          </cell>
          <cell r="AE715" t="str">
            <v>Duplex</v>
          </cell>
          <cell r="AF715" t="str">
            <v>568 - Without Partition</v>
          </cell>
          <cell r="AG715" t="str">
            <v xml:space="preserve">Without Partition </v>
          </cell>
          <cell r="AH715" t="str">
            <v xml:space="preserve">Without Partition </v>
          </cell>
          <cell r="AI715" t="str">
            <v>PURPLE</v>
          </cell>
          <cell r="AJ715" t="str">
            <v>Flat / PURPLE</v>
          </cell>
          <cell r="AK715">
            <v>1050000</v>
          </cell>
          <cell r="AL715">
            <v>15000</v>
          </cell>
          <cell r="AM715">
            <v>1650000</v>
          </cell>
          <cell r="AN715">
            <v>33000</v>
          </cell>
          <cell r="AO715">
            <v>150000</v>
          </cell>
          <cell r="AP715">
            <v>2850000</v>
          </cell>
          <cell r="AQ715"/>
          <cell r="AR715">
            <v>2850000</v>
          </cell>
          <cell r="AS715">
            <v>200000</v>
          </cell>
          <cell r="AT715">
            <v>2650000</v>
          </cell>
          <cell r="AU715">
            <v>100000</v>
          </cell>
          <cell r="AV715">
            <v>2550000</v>
          </cell>
          <cell r="AW715">
            <v>0</v>
          </cell>
          <cell r="AX715">
            <v>2550000</v>
          </cell>
        </row>
        <row r="716">
          <cell r="G716" t="str">
            <v>AGM-01-031-008</v>
          </cell>
          <cell r="H716" t="str">
            <v xml:space="preserve">Raemulan Lands, Inc. </v>
          </cell>
          <cell r="I716" t="str">
            <v>Agapeya</v>
          </cell>
          <cell r="J716" t="str">
            <v>AGM</v>
          </cell>
          <cell r="K716" t="str">
            <v>Eco-High</v>
          </cell>
          <cell r="L716" t="str">
            <v>West</v>
          </cell>
          <cell r="M716" t="str">
            <v>With LTS - 2024</v>
          </cell>
          <cell r="N716" t="str">
            <v>YES</v>
          </cell>
          <cell r="O716" t="str">
            <v>YES</v>
          </cell>
          <cell r="P716" t="str">
            <v>Unaffected lots</v>
          </cell>
          <cell r="Q716" t="str">
            <v>YES</v>
          </cell>
          <cell r="R716">
            <v>70</v>
          </cell>
          <cell r="S716" t="str">
            <v>PCS-04-034298</v>
          </cell>
          <cell r="T716" t="str">
            <v>TCT-060-2024021827</v>
          </cell>
          <cell r="U716" t="b">
            <v>1</v>
          </cell>
          <cell r="V716" t="str">
            <v>Done</v>
          </cell>
          <cell r="W716" t="str">
            <v>B3 2025</v>
          </cell>
          <cell r="X716" t="str">
            <v>2025 - Batch 6</v>
          </cell>
          <cell r="Y716">
            <v>31</v>
          </cell>
          <cell r="Z716">
            <v>8</v>
          </cell>
          <cell r="AA716" t="str">
            <v>H+L</v>
          </cell>
          <cell r="AB716">
            <v>70</v>
          </cell>
          <cell r="AC716">
            <v>50</v>
          </cell>
          <cell r="AD716" t="str">
            <v>Slant</v>
          </cell>
          <cell r="AE716" t="str">
            <v>Duplex</v>
          </cell>
          <cell r="AF716" t="str">
            <v>568 - Without Partition</v>
          </cell>
          <cell r="AG716" t="str">
            <v xml:space="preserve">Without Partition </v>
          </cell>
          <cell r="AH716" t="str">
            <v xml:space="preserve">Without Partition </v>
          </cell>
          <cell r="AI716" t="str">
            <v>PURPLE</v>
          </cell>
          <cell r="AJ716" t="str">
            <v>Slant / PURPLE</v>
          </cell>
          <cell r="AK716">
            <v>1050000</v>
          </cell>
          <cell r="AL716">
            <v>15000</v>
          </cell>
          <cell r="AM716">
            <v>1650000</v>
          </cell>
          <cell r="AN716">
            <v>33000</v>
          </cell>
          <cell r="AO716">
            <v>150000</v>
          </cell>
          <cell r="AP716">
            <v>2850000</v>
          </cell>
          <cell r="AQ716"/>
          <cell r="AR716">
            <v>2850000</v>
          </cell>
          <cell r="AS716">
            <v>200000</v>
          </cell>
          <cell r="AT716">
            <v>2650000</v>
          </cell>
          <cell r="AU716">
            <v>100000</v>
          </cell>
          <cell r="AV716">
            <v>2550000</v>
          </cell>
          <cell r="AW716">
            <v>0</v>
          </cell>
          <cell r="AX716">
            <v>2550000</v>
          </cell>
        </row>
        <row r="717">
          <cell r="G717" t="str">
            <v>AGM-01-032-001</v>
          </cell>
          <cell r="H717" t="str">
            <v xml:space="preserve">Raemulan Lands, Inc. </v>
          </cell>
          <cell r="I717" t="str">
            <v>Agapeya</v>
          </cell>
          <cell r="J717" t="str">
            <v>AGM</v>
          </cell>
          <cell r="K717" t="str">
            <v>Eco-High</v>
          </cell>
          <cell r="L717" t="str">
            <v>West</v>
          </cell>
          <cell r="M717" t="str">
            <v>With LTS - 2024</v>
          </cell>
          <cell r="N717" t="str">
            <v>YES</v>
          </cell>
          <cell r="O717" t="str">
            <v>YES</v>
          </cell>
          <cell r="P717" t="str">
            <v>Unaffected lots</v>
          </cell>
          <cell r="Q717" t="str">
            <v>YES</v>
          </cell>
          <cell r="R717">
            <v>70</v>
          </cell>
          <cell r="S717" t="str">
            <v>PCS-04-034298</v>
          </cell>
          <cell r="T717" t="str">
            <v>TCT-060-2024021828</v>
          </cell>
          <cell r="U717" t="b">
            <v>1</v>
          </cell>
          <cell r="V717" t="str">
            <v>Done</v>
          </cell>
          <cell r="W717" t="str">
            <v>B4 2025</v>
          </cell>
          <cell r="X717" t="str">
            <v>2025 - Batch 6</v>
          </cell>
          <cell r="Y717">
            <v>32</v>
          </cell>
          <cell r="Z717">
            <v>1</v>
          </cell>
          <cell r="AA717" t="str">
            <v>H+L</v>
          </cell>
          <cell r="AB717">
            <v>70</v>
          </cell>
          <cell r="AC717">
            <v>50</v>
          </cell>
          <cell r="AD717" t="str">
            <v>Flat</v>
          </cell>
          <cell r="AE717" t="str">
            <v>Duplex</v>
          </cell>
          <cell r="AF717" t="str">
            <v>568 - Without Partition</v>
          </cell>
          <cell r="AG717" t="str">
            <v xml:space="preserve">Without Partition </v>
          </cell>
          <cell r="AH717" t="str">
            <v xml:space="preserve">Without Partition </v>
          </cell>
          <cell r="AI717" t="str">
            <v>PINK</v>
          </cell>
          <cell r="AJ717" t="str">
            <v>Flat / PINK</v>
          </cell>
          <cell r="AK717">
            <v>1050000</v>
          </cell>
          <cell r="AL717">
            <v>15000</v>
          </cell>
          <cell r="AM717">
            <v>1650000</v>
          </cell>
          <cell r="AN717">
            <v>33000</v>
          </cell>
          <cell r="AO717">
            <v>150000</v>
          </cell>
          <cell r="AP717">
            <v>2850000</v>
          </cell>
          <cell r="AQ717"/>
          <cell r="AR717">
            <v>2850000</v>
          </cell>
          <cell r="AS717">
            <v>200000</v>
          </cell>
          <cell r="AT717">
            <v>2650000</v>
          </cell>
          <cell r="AU717">
            <v>100000</v>
          </cell>
          <cell r="AV717">
            <v>2550000</v>
          </cell>
          <cell r="AW717">
            <v>0</v>
          </cell>
          <cell r="AX717">
            <v>2550000</v>
          </cell>
        </row>
        <row r="718">
          <cell r="G718" t="str">
            <v>AGM-01-032-002</v>
          </cell>
          <cell r="H718" t="str">
            <v xml:space="preserve">Raemulan Lands, Inc. </v>
          </cell>
          <cell r="I718" t="str">
            <v>Agapeya</v>
          </cell>
          <cell r="J718" t="str">
            <v>AGM</v>
          </cell>
          <cell r="K718" t="str">
            <v>Eco-High</v>
          </cell>
          <cell r="L718" t="str">
            <v>West</v>
          </cell>
          <cell r="M718" t="str">
            <v>With LTS - 2024</v>
          </cell>
          <cell r="N718" t="str">
            <v>YES</v>
          </cell>
          <cell r="O718" t="str">
            <v>YES</v>
          </cell>
          <cell r="P718" t="str">
            <v>Unaffected lots</v>
          </cell>
          <cell r="Q718" t="str">
            <v>YES</v>
          </cell>
          <cell r="R718">
            <v>70</v>
          </cell>
          <cell r="S718" t="str">
            <v>PCS-04-034298</v>
          </cell>
          <cell r="T718" t="str">
            <v>TCT-060-2024021829</v>
          </cell>
          <cell r="U718" t="b">
            <v>1</v>
          </cell>
          <cell r="V718" t="str">
            <v>Done</v>
          </cell>
          <cell r="W718" t="str">
            <v>B4 2025</v>
          </cell>
          <cell r="X718" t="str">
            <v>2025 - Batch 6</v>
          </cell>
          <cell r="Y718">
            <v>32</v>
          </cell>
          <cell r="Z718">
            <v>2</v>
          </cell>
          <cell r="AA718" t="str">
            <v>H+L</v>
          </cell>
          <cell r="AB718">
            <v>70</v>
          </cell>
          <cell r="AC718">
            <v>50</v>
          </cell>
          <cell r="AD718" t="str">
            <v>Slant</v>
          </cell>
          <cell r="AE718" t="str">
            <v>Duplex</v>
          </cell>
          <cell r="AF718" t="str">
            <v>568 - Without Partition</v>
          </cell>
          <cell r="AG718" t="str">
            <v xml:space="preserve">Without Partition </v>
          </cell>
          <cell r="AH718" t="str">
            <v xml:space="preserve">Without Partition </v>
          </cell>
          <cell r="AI718" t="str">
            <v>PINK</v>
          </cell>
          <cell r="AJ718" t="str">
            <v>Slant / PINK</v>
          </cell>
          <cell r="AK718">
            <v>1050000</v>
          </cell>
          <cell r="AL718">
            <v>15000</v>
          </cell>
          <cell r="AM718">
            <v>1650000</v>
          </cell>
          <cell r="AN718">
            <v>33000</v>
          </cell>
          <cell r="AO718">
            <v>150000</v>
          </cell>
          <cell r="AP718">
            <v>2850000</v>
          </cell>
          <cell r="AQ718"/>
          <cell r="AR718">
            <v>2850000</v>
          </cell>
          <cell r="AS718">
            <v>200000</v>
          </cell>
          <cell r="AT718">
            <v>2650000</v>
          </cell>
          <cell r="AU718">
            <v>100000</v>
          </cell>
          <cell r="AV718">
            <v>2550000</v>
          </cell>
          <cell r="AW718">
            <v>0</v>
          </cell>
          <cell r="AX718">
            <v>2550000</v>
          </cell>
        </row>
        <row r="719">
          <cell r="G719" t="str">
            <v>AGM-01-032-003</v>
          </cell>
          <cell r="H719" t="str">
            <v xml:space="preserve">Raemulan Lands, Inc. </v>
          </cell>
          <cell r="I719" t="str">
            <v>Agapeya</v>
          </cell>
          <cell r="J719" t="str">
            <v>AGM</v>
          </cell>
          <cell r="K719" t="str">
            <v>Eco-High</v>
          </cell>
          <cell r="L719" t="str">
            <v>West</v>
          </cell>
          <cell r="M719" t="str">
            <v>With LTS - 2024</v>
          </cell>
          <cell r="N719" t="str">
            <v>YES</v>
          </cell>
          <cell r="O719" t="str">
            <v>YES</v>
          </cell>
          <cell r="P719" t="str">
            <v>Unaffected lots</v>
          </cell>
          <cell r="Q719" t="str">
            <v>YES</v>
          </cell>
          <cell r="R719">
            <v>70</v>
          </cell>
          <cell r="S719" t="str">
            <v>PCS-04-034298</v>
          </cell>
          <cell r="T719" t="str">
            <v>TCT-060-2024021830</v>
          </cell>
          <cell r="U719" t="b">
            <v>1</v>
          </cell>
          <cell r="V719" t="str">
            <v>Done</v>
          </cell>
          <cell r="W719" t="str">
            <v>B5 2025</v>
          </cell>
          <cell r="X719" t="str">
            <v>2025 - Batch 6</v>
          </cell>
          <cell r="Y719">
            <v>32</v>
          </cell>
          <cell r="Z719">
            <v>3</v>
          </cell>
          <cell r="AA719" t="str">
            <v>H+L</v>
          </cell>
          <cell r="AB719">
            <v>70</v>
          </cell>
          <cell r="AC719">
            <v>50</v>
          </cell>
          <cell r="AD719" t="str">
            <v>Slant</v>
          </cell>
          <cell r="AE719" t="str">
            <v>Duplex</v>
          </cell>
          <cell r="AF719" t="str">
            <v>568 - Without Partition</v>
          </cell>
          <cell r="AG719" t="str">
            <v xml:space="preserve">Without Partition </v>
          </cell>
          <cell r="AH719" t="str">
            <v xml:space="preserve">Without Partition </v>
          </cell>
          <cell r="AI719" t="str">
            <v>PINK</v>
          </cell>
          <cell r="AJ719" t="str">
            <v>Slant / PINK</v>
          </cell>
          <cell r="AK719">
            <v>1050000</v>
          </cell>
          <cell r="AL719">
            <v>15000</v>
          </cell>
          <cell r="AM719">
            <v>1650000</v>
          </cell>
          <cell r="AN719">
            <v>33000</v>
          </cell>
          <cell r="AO719">
            <v>150000</v>
          </cell>
          <cell r="AP719">
            <v>2850000</v>
          </cell>
          <cell r="AQ719"/>
          <cell r="AR719">
            <v>2850000</v>
          </cell>
          <cell r="AS719">
            <v>200000</v>
          </cell>
          <cell r="AT719">
            <v>2650000</v>
          </cell>
          <cell r="AU719">
            <v>100000</v>
          </cell>
          <cell r="AV719">
            <v>2550000</v>
          </cell>
          <cell r="AW719">
            <v>0</v>
          </cell>
          <cell r="AX719">
            <v>2550000</v>
          </cell>
        </row>
        <row r="720">
          <cell r="G720" t="str">
            <v>AGM-01-032-004</v>
          </cell>
          <cell r="H720" t="str">
            <v xml:space="preserve">Raemulan Lands, Inc. </v>
          </cell>
          <cell r="I720" t="str">
            <v>Agapeya</v>
          </cell>
          <cell r="J720" t="str">
            <v>AGM</v>
          </cell>
          <cell r="K720" t="str">
            <v>Eco-High</v>
          </cell>
          <cell r="L720" t="str">
            <v>West</v>
          </cell>
          <cell r="M720" t="str">
            <v>With LTS - 2024</v>
          </cell>
          <cell r="N720" t="str">
            <v>YES</v>
          </cell>
          <cell r="O720" t="str">
            <v>YES</v>
          </cell>
          <cell r="P720" t="str">
            <v>Unaffected lots</v>
          </cell>
          <cell r="Q720" t="str">
            <v>YES</v>
          </cell>
          <cell r="R720">
            <v>70</v>
          </cell>
          <cell r="S720" t="str">
            <v>PCS-04-034298</v>
          </cell>
          <cell r="T720" t="str">
            <v>TCT-060-2024021831</v>
          </cell>
          <cell r="U720" t="b">
            <v>1</v>
          </cell>
          <cell r="V720" t="str">
            <v>Done</v>
          </cell>
          <cell r="W720" t="str">
            <v>B5 2025</v>
          </cell>
          <cell r="X720" t="str">
            <v>2025 - Batch 6</v>
          </cell>
          <cell r="Y720">
            <v>32</v>
          </cell>
          <cell r="Z720">
            <v>4</v>
          </cell>
          <cell r="AA720" t="str">
            <v>H+L</v>
          </cell>
          <cell r="AB720">
            <v>70</v>
          </cell>
          <cell r="AC720">
            <v>50</v>
          </cell>
          <cell r="AD720" t="str">
            <v>Flat</v>
          </cell>
          <cell r="AE720" t="str">
            <v>Duplex</v>
          </cell>
          <cell r="AF720" t="str">
            <v>568 - Without Partition</v>
          </cell>
          <cell r="AG720" t="str">
            <v xml:space="preserve">Without Partition </v>
          </cell>
          <cell r="AH720" t="str">
            <v xml:space="preserve">Without Partition </v>
          </cell>
          <cell r="AI720" t="str">
            <v>PINK</v>
          </cell>
          <cell r="AJ720" t="str">
            <v>Flat / PINK</v>
          </cell>
          <cell r="AK720">
            <v>1050000</v>
          </cell>
          <cell r="AL720">
            <v>15000</v>
          </cell>
          <cell r="AM720">
            <v>1650000</v>
          </cell>
          <cell r="AN720">
            <v>33000</v>
          </cell>
          <cell r="AO720">
            <v>150000</v>
          </cell>
          <cell r="AP720">
            <v>2850000</v>
          </cell>
          <cell r="AQ720"/>
          <cell r="AR720">
            <v>2850000</v>
          </cell>
          <cell r="AS720">
            <v>200000</v>
          </cell>
          <cell r="AT720">
            <v>2650000</v>
          </cell>
          <cell r="AU720">
            <v>100000</v>
          </cell>
          <cell r="AV720">
            <v>2550000</v>
          </cell>
          <cell r="AW720">
            <v>0</v>
          </cell>
          <cell r="AX720">
            <v>2550000</v>
          </cell>
        </row>
        <row r="721">
          <cell r="G721" t="str">
            <v>AGM-01-032-005</v>
          </cell>
          <cell r="H721" t="str">
            <v xml:space="preserve">Raemulan Lands, Inc. </v>
          </cell>
          <cell r="I721" t="str">
            <v>Agapeya</v>
          </cell>
          <cell r="J721" t="str">
            <v>AGM</v>
          </cell>
          <cell r="K721" t="str">
            <v>Eco-High</v>
          </cell>
          <cell r="L721" t="str">
            <v>West</v>
          </cell>
          <cell r="M721" t="str">
            <v>With LTS - 2024</v>
          </cell>
          <cell r="N721" t="str">
            <v>YES</v>
          </cell>
          <cell r="O721" t="str">
            <v>YES</v>
          </cell>
          <cell r="P721" t="str">
            <v>Unaffected lots</v>
          </cell>
          <cell r="Q721" t="str">
            <v>YES</v>
          </cell>
          <cell r="R721">
            <v>70</v>
          </cell>
          <cell r="S721" t="str">
            <v>PCS-04-034298</v>
          </cell>
          <cell r="T721" t="str">
            <v>TCT-060-2024021832</v>
          </cell>
          <cell r="U721" t="b">
            <v>1</v>
          </cell>
          <cell r="V721" t="str">
            <v>Done</v>
          </cell>
          <cell r="W721" t="str">
            <v>B5 2025</v>
          </cell>
          <cell r="X721" t="str">
            <v>2025 - Batch 6</v>
          </cell>
          <cell r="Y721">
            <v>32</v>
          </cell>
          <cell r="Z721">
            <v>5</v>
          </cell>
          <cell r="AA721" t="str">
            <v>H+L</v>
          </cell>
          <cell r="AB721">
            <v>70</v>
          </cell>
          <cell r="AC721">
            <v>50</v>
          </cell>
          <cell r="AD721" t="str">
            <v>Slant</v>
          </cell>
          <cell r="AE721" t="str">
            <v>Duplex</v>
          </cell>
          <cell r="AF721" t="str">
            <v>568 - Without Partition</v>
          </cell>
          <cell r="AG721" t="str">
            <v xml:space="preserve">Without Partition </v>
          </cell>
          <cell r="AH721" t="str">
            <v xml:space="preserve">Without Partition </v>
          </cell>
          <cell r="AI721" t="str">
            <v>YELLOW</v>
          </cell>
          <cell r="AJ721" t="str">
            <v>Slant / YELLOW</v>
          </cell>
          <cell r="AK721">
            <v>1050000</v>
          </cell>
          <cell r="AL721">
            <v>15000</v>
          </cell>
          <cell r="AM721">
            <v>1650000</v>
          </cell>
          <cell r="AN721">
            <v>33000</v>
          </cell>
          <cell r="AO721">
            <v>150000</v>
          </cell>
          <cell r="AP721">
            <v>2850000</v>
          </cell>
          <cell r="AQ721"/>
          <cell r="AR721">
            <v>2850000</v>
          </cell>
          <cell r="AS721">
            <v>200000</v>
          </cell>
          <cell r="AT721">
            <v>2650000</v>
          </cell>
          <cell r="AU721">
            <v>100000</v>
          </cell>
          <cell r="AV721">
            <v>2550000</v>
          </cell>
          <cell r="AW721">
            <v>0</v>
          </cell>
          <cell r="AX721">
            <v>2550000</v>
          </cell>
        </row>
        <row r="722">
          <cell r="G722" t="str">
            <v>AGM-01-032-006</v>
          </cell>
          <cell r="H722" t="str">
            <v xml:space="preserve">Raemulan Lands, Inc. </v>
          </cell>
          <cell r="I722" t="str">
            <v>Agapeya</v>
          </cell>
          <cell r="J722" t="str">
            <v>AGM</v>
          </cell>
          <cell r="K722" t="str">
            <v>Eco-High</v>
          </cell>
          <cell r="L722" t="str">
            <v>West</v>
          </cell>
          <cell r="M722" t="str">
            <v>With LTS - 2024</v>
          </cell>
          <cell r="N722" t="str">
            <v>YES</v>
          </cell>
          <cell r="O722" t="str">
            <v>YES</v>
          </cell>
          <cell r="P722" t="str">
            <v>Unaffected lots</v>
          </cell>
          <cell r="Q722" t="str">
            <v>YES</v>
          </cell>
          <cell r="R722">
            <v>70</v>
          </cell>
          <cell r="S722" t="str">
            <v>PCS-04-034298</v>
          </cell>
          <cell r="T722" t="str">
            <v>TCT-060-2024021833</v>
          </cell>
          <cell r="U722" t="b">
            <v>1</v>
          </cell>
          <cell r="V722" t="str">
            <v>Done</v>
          </cell>
          <cell r="W722" t="str">
            <v>B5 2025</v>
          </cell>
          <cell r="X722" t="str">
            <v>2025 - Batch 6</v>
          </cell>
          <cell r="Y722">
            <v>32</v>
          </cell>
          <cell r="Z722">
            <v>6</v>
          </cell>
          <cell r="AA722" t="str">
            <v>H+L</v>
          </cell>
          <cell r="AB722">
            <v>70</v>
          </cell>
          <cell r="AC722">
            <v>50</v>
          </cell>
          <cell r="AD722" t="str">
            <v>Flat</v>
          </cell>
          <cell r="AE722" t="str">
            <v>Duplex</v>
          </cell>
          <cell r="AF722" t="str">
            <v>568 - Without Partition</v>
          </cell>
          <cell r="AG722" t="str">
            <v xml:space="preserve">Without Partition </v>
          </cell>
          <cell r="AH722" t="str">
            <v xml:space="preserve">Without Partition </v>
          </cell>
          <cell r="AI722" t="str">
            <v>YELLOW</v>
          </cell>
          <cell r="AJ722" t="str">
            <v>Flat / YELLOW</v>
          </cell>
          <cell r="AK722">
            <v>1050000</v>
          </cell>
          <cell r="AL722">
            <v>15000</v>
          </cell>
          <cell r="AM722">
            <v>1650000</v>
          </cell>
          <cell r="AN722">
            <v>33000</v>
          </cell>
          <cell r="AO722">
            <v>150000</v>
          </cell>
          <cell r="AP722">
            <v>2850000</v>
          </cell>
          <cell r="AQ722"/>
          <cell r="AR722">
            <v>2850000</v>
          </cell>
          <cell r="AS722">
            <v>200000</v>
          </cell>
          <cell r="AT722">
            <v>2650000</v>
          </cell>
          <cell r="AU722">
            <v>100000</v>
          </cell>
          <cell r="AV722">
            <v>2550000</v>
          </cell>
          <cell r="AW722">
            <v>0</v>
          </cell>
          <cell r="AX722">
            <v>2550000</v>
          </cell>
        </row>
        <row r="723">
          <cell r="G723" t="str">
            <v>AGM-01-032-007</v>
          </cell>
          <cell r="H723" t="str">
            <v xml:space="preserve">Raemulan Lands, Inc. </v>
          </cell>
          <cell r="I723" t="str">
            <v>Agapeya</v>
          </cell>
          <cell r="J723" t="str">
            <v>AGM</v>
          </cell>
          <cell r="K723" t="str">
            <v>Eco-High</v>
          </cell>
          <cell r="L723" t="str">
            <v>West</v>
          </cell>
          <cell r="M723" t="str">
            <v>With LTS - 2024</v>
          </cell>
          <cell r="N723" t="str">
            <v>YES</v>
          </cell>
          <cell r="O723" t="str">
            <v>YES</v>
          </cell>
          <cell r="P723" t="str">
            <v>Unaffected lots</v>
          </cell>
          <cell r="Q723" t="str">
            <v>YES</v>
          </cell>
          <cell r="R723">
            <v>70</v>
          </cell>
          <cell r="S723" t="str">
            <v>PCS-04-034298</v>
          </cell>
          <cell r="T723" t="str">
            <v>TCT-060-2024021834</v>
          </cell>
          <cell r="U723" t="b">
            <v>1</v>
          </cell>
          <cell r="V723" t="str">
            <v>Done</v>
          </cell>
          <cell r="W723" t="str">
            <v>B4 2025</v>
          </cell>
          <cell r="X723" t="str">
            <v>2025 - Batch 6</v>
          </cell>
          <cell r="Y723">
            <v>32</v>
          </cell>
          <cell r="Z723">
            <v>7</v>
          </cell>
          <cell r="AA723" t="str">
            <v>H+L</v>
          </cell>
          <cell r="AB723">
            <v>70</v>
          </cell>
          <cell r="AC723">
            <v>50</v>
          </cell>
          <cell r="AD723" t="str">
            <v>Flat</v>
          </cell>
          <cell r="AE723" t="str">
            <v>Duplex</v>
          </cell>
          <cell r="AF723" t="str">
            <v>568 - Without Partition</v>
          </cell>
          <cell r="AG723" t="str">
            <v xml:space="preserve">Without Partition </v>
          </cell>
          <cell r="AH723" t="str">
            <v xml:space="preserve">Without Partition </v>
          </cell>
          <cell r="AI723" t="str">
            <v>YELLOW</v>
          </cell>
          <cell r="AJ723" t="str">
            <v>Flat / YELLOW</v>
          </cell>
          <cell r="AK723">
            <v>1050000</v>
          </cell>
          <cell r="AL723">
            <v>15000</v>
          </cell>
          <cell r="AM723">
            <v>1650000</v>
          </cell>
          <cell r="AN723">
            <v>33000</v>
          </cell>
          <cell r="AO723">
            <v>150000</v>
          </cell>
          <cell r="AP723">
            <v>2850000</v>
          </cell>
          <cell r="AQ723"/>
          <cell r="AR723">
            <v>2850000</v>
          </cell>
          <cell r="AS723">
            <v>200000</v>
          </cell>
          <cell r="AT723">
            <v>2650000</v>
          </cell>
          <cell r="AU723">
            <v>100000</v>
          </cell>
          <cell r="AV723">
            <v>2550000</v>
          </cell>
          <cell r="AW723">
            <v>0</v>
          </cell>
          <cell r="AX723">
            <v>2550000</v>
          </cell>
        </row>
        <row r="724">
          <cell r="G724" t="str">
            <v>AGM-01-032-008</v>
          </cell>
          <cell r="H724" t="str">
            <v xml:space="preserve">Raemulan Lands, Inc. </v>
          </cell>
          <cell r="I724" t="str">
            <v>Agapeya</v>
          </cell>
          <cell r="J724" t="str">
            <v>AGM</v>
          </cell>
          <cell r="K724" t="str">
            <v>Eco-High</v>
          </cell>
          <cell r="L724" t="str">
            <v>West</v>
          </cell>
          <cell r="M724" t="str">
            <v>With LTS - 2024</v>
          </cell>
          <cell r="N724" t="str">
            <v>YES</v>
          </cell>
          <cell r="O724" t="str">
            <v>YES</v>
          </cell>
          <cell r="P724" t="str">
            <v>Unaffected lots</v>
          </cell>
          <cell r="Q724" t="str">
            <v>YES</v>
          </cell>
          <cell r="R724">
            <v>70</v>
          </cell>
          <cell r="S724" t="str">
            <v>PCS-04-034298</v>
          </cell>
          <cell r="T724" t="str">
            <v>TCT-060-2024021835</v>
          </cell>
          <cell r="U724" t="b">
            <v>1</v>
          </cell>
          <cell r="V724" t="str">
            <v>Done</v>
          </cell>
          <cell r="W724" t="str">
            <v>B4 2025</v>
          </cell>
          <cell r="X724" t="str">
            <v>2025 - Batch 6</v>
          </cell>
          <cell r="Y724">
            <v>32</v>
          </cell>
          <cell r="Z724">
            <v>8</v>
          </cell>
          <cell r="AA724" t="str">
            <v>H+L</v>
          </cell>
          <cell r="AB724">
            <v>70</v>
          </cell>
          <cell r="AC724">
            <v>50</v>
          </cell>
          <cell r="AD724" t="str">
            <v>Slant</v>
          </cell>
          <cell r="AE724" t="str">
            <v>Duplex</v>
          </cell>
          <cell r="AF724" t="str">
            <v>568 - Without Partition</v>
          </cell>
          <cell r="AG724" t="str">
            <v xml:space="preserve">Without Partition </v>
          </cell>
          <cell r="AH724" t="str">
            <v xml:space="preserve">Without Partition </v>
          </cell>
          <cell r="AI724" t="str">
            <v>YELLOW</v>
          </cell>
          <cell r="AJ724" t="str">
            <v>Slant / YELLOW</v>
          </cell>
          <cell r="AK724">
            <v>1050000</v>
          </cell>
          <cell r="AL724">
            <v>15000</v>
          </cell>
          <cell r="AM724">
            <v>1650000</v>
          </cell>
          <cell r="AN724">
            <v>33000</v>
          </cell>
          <cell r="AO724">
            <v>150000</v>
          </cell>
          <cell r="AP724">
            <v>2850000</v>
          </cell>
          <cell r="AQ724"/>
          <cell r="AR724">
            <v>2850000</v>
          </cell>
          <cell r="AS724">
            <v>200000</v>
          </cell>
          <cell r="AT724">
            <v>2650000</v>
          </cell>
          <cell r="AU724">
            <v>100000</v>
          </cell>
          <cell r="AV724">
            <v>2550000</v>
          </cell>
          <cell r="AW724">
            <v>0</v>
          </cell>
          <cell r="AX724">
            <v>2550000</v>
          </cell>
        </row>
        <row r="725">
          <cell r="G725" t="str">
            <v>AGM-01-033-001</v>
          </cell>
          <cell r="H725" t="str">
            <v xml:space="preserve">Raemulan Lands, Inc. </v>
          </cell>
          <cell r="I725" t="str">
            <v>Agapeya</v>
          </cell>
          <cell r="J725" t="str">
            <v>AGM</v>
          </cell>
          <cell r="K725" t="str">
            <v>Eco-High</v>
          </cell>
          <cell r="L725" t="str">
            <v>West</v>
          </cell>
          <cell r="M725" t="str">
            <v>With LTS - 2024</v>
          </cell>
          <cell r="N725" t="str">
            <v>YES</v>
          </cell>
          <cell r="O725" t="str">
            <v>YES</v>
          </cell>
          <cell r="P725" t="str">
            <v>Unaffected lots</v>
          </cell>
          <cell r="Q725" t="str">
            <v>YES</v>
          </cell>
          <cell r="R725">
            <v>70</v>
          </cell>
          <cell r="S725" t="str">
            <v>PCS-04-034298</v>
          </cell>
          <cell r="T725" t="str">
            <v>TCT-060-2024021836</v>
          </cell>
          <cell r="U725" t="b">
            <v>1</v>
          </cell>
          <cell r="V725" t="str">
            <v>Done</v>
          </cell>
          <cell r="W725" t="str">
            <v>B5 2025</v>
          </cell>
          <cell r="X725" t="str">
            <v>2025 - Batch 5</v>
          </cell>
          <cell r="Y725">
            <v>33</v>
          </cell>
          <cell r="Z725">
            <v>1</v>
          </cell>
          <cell r="AA725" t="str">
            <v>H+L</v>
          </cell>
          <cell r="AB725">
            <v>70</v>
          </cell>
          <cell r="AC725">
            <v>50</v>
          </cell>
          <cell r="AD725" t="str">
            <v>Slant</v>
          </cell>
          <cell r="AE725" t="str">
            <v>Duplex</v>
          </cell>
          <cell r="AF725" t="str">
            <v>568 - Without Partition</v>
          </cell>
          <cell r="AG725" t="str">
            <v xml:space="preserve">Without Partition </v>
          </cell>
          <cell r="AH725" t="str">
            <v xml:space="preserve">Without Partition </v>
          </cell>
          <cell r="AI725" t="str">
            <v>PURPLE</v>
          </cell>
          <cell r="AJ725" t="str">
            <v>Slant / PURPLE</v>
          </cell>
          <cell r="AK725">
            <v>1050000</v>
          </cell>
          <cell r="AL725">
            <v>15000</v>
          </cell>
          <cell r="AM725">
            <v>1650000</v>
          </cell>
          <cell r="AN725">
            <v>33000</v>
          </cell>
          <cell r="AO725">
            <v>150000</v>
          </cell>
          <cell r="AP725">
            <v>2850000</v>
          </cell>
          <cell r="AQ725"/>
          <cell r="AR725">
            <v>2850000</v>
          </cell>
          <cell r="AS725">
            <v>200000</v>
          </cell>
          <cell r="AT725">
            <v>2650000</v>
          </cell>
          <cell r="AU725">
            <v>100000</v>
          </cell>
          <cell r="AV725">
            <v>2550000</v>
          </cell>
          <cell r="AW725">
            <v>0</v>
          </cell>
          <cell r="AX725">
            <v>2550000</v>
          </cell>
        </row>
        <row r="726">
          <cell r="G726" t="str">
            <v>AGM-01-033-002</v>
          </cell>
          <cell r="H726" t="str">
            <v xml:space="preserve">Raemulan Lands, Inc. </v>
          </cell>
          <cell r="I726" t="str">
            <v>Agapeya</v>
          </cell>
          <cell r="J726" t="str">
            <v>AGM</v>
          </cell>
          <cell r="K726" t="str">
            <v>Eco-High</v>
          </cell>
          <cell r="L726" t="str">
            <v>West</v>
          </cell>
          <cell r="M726" t="str">
            <v>With LTS - 2024</v>
          </cell>
          <cell r="N726" t="str">
            <v>YES</v>
          </cell>
          <cell r="O726" t="str">
            <v>YES</v>
          </cell>
          <cell r="P726" t="str">
            <v>Unaffected lots</v>
          </cell>
          <cell r="Q726" t="str">
            <v>YES</v>
          </cell>
          <cell r="R726">
            <v>70</v>
          </cell>
          <cell r="S726" t="str">
            <v>PCS-04-034298</v>
          </cell>
          <cell r="T726" t="str">
            <v>TCT-060-2024021837</v>
          </cell>
          <cell r="U726" t="b">
            <v>1</v>
          </cell>
          <cell r="V726" t="str">
            <v>Done</v>
          </cell>
          <cell r="W726" t="str">
            <v>B5 2025</v>
          </cell>
          <cell r="X726" t="str">
            <v>2025 - Batch 5</v>
          </cell>
          <cell r="Y726">
            <v>33</v>
          </cell>
          <cell r="Z726">
            <v>2</v>
          </cell>
          <cell r="AA726" t="str">
            <v>H+L</v>
          </cell>
          <cell r="AB726">
            <v>70</v>
          </cell>
          <cell r="AC726">
            <v>50</v>
          </cell>
          <cell r="AD726" t="str">
            <v>Flat</v>
          </cell>
          <cell r="AE726" t="str">
            <v>Duplex</v>
          </cell>
          <cell r="AF726" t="str">
            <v>568 - Without Partition</v>
          </cell>
          <cell r="AG726" t="str">
            <v xml:space="preserve">Without Partition </v>
          </cell>
          <cell r="AH726" t="str">
            <v xml:space="preserve">Without Partition </v>
          </cell>
          <cell r="AI726" t="str">
            <v>PURPLE</v>
          </cell>
          <cell r="AJ726" t="str">
            <v>Flat / PURPLE</v>
          </cell>
          <cell r="AK726">
            <v>1050000</v>
          </cell>
          <cell r="AL726">
            <v>15000</v>
          </cell>
          <cell r="AM726">
            <v>1650000</v>
          </cell>
          <cell r="AN726">
            <v>33000</v>
          </cell>
          <cell r="AO726">
            <v>150000</v>
          </cell>
          <cell r="AP726">
            <v>2850000</v>
          </cell>
          <cell r="AQ726"/>
          <cell r="AR726">
            <v>2850000</v>
          </cell>
          <cell r="AS726">
            <v>200000</v>
          </cell>
          <cell r="AT726">
            <v>2650000</v>
          </cell>
          <cell r="AU726">
            <v>100000</v>
          </cell>
          <cell r="AV726">
            <v>2550000</v>
          </cell>
          <cell r="AW726">
            <v>0</v>
          </cell>
          <cell r="AX726">
            <v>2550000</v>
          </cell>
        </row>
        <row r="727">
          <cell r="G727" t="str">
            <v>AGM-01-033-003</v>
          </cell>
          <cell r="H727" t="str">
            <v xml:space="preserve">Raemulan Lands, Inc. </v>
          </cell>
          <cell r="I727" t="str">
            <v>Agapeya</v>
          </cell>
          <cell r="J727" t="str">
            <v>AGM</v>
          </cell>
          <cell r="K727" t="str">
            <v>Eco-High</v>
          </cell>
          <cell r="L727" t="str">
            <v>West</v>
          </cell>
          <cell r="M727" t="str">
            <v>With LTS - 2024</v>
          </cell>
          <cell r="N727" t="str">
            <v>YES</v>
          </cell>
          <cell r="O727" t="str">
            <v>YES</v>
          </cell>
          <cell r="P727" t="str">
            <v>Unaffected lots</v>
          </cell>
          <cell r="Q727" t="str">
            <v>YES</v>
          </cell>
          <cell r="R727">
            <v>70</v>
          </cell>
          <cell r="S727" t="str">
            <v>PCS-04-034298</v>
          </cell>
          <cell r="T727" t="str">
            <v>TCT-060-2024021838</v>
          </cell>
          <cell r="U727" t="b">
            <v>1</v>
          </cell>
          <cell r="V727" t="str">
            <v>Done</v>
          </cell>
          <cell r="W727" t="str">
            <v>B5 2025</v>
          </cell>
          <cell r="X727" t="str">
            <v>2025 - Batch 5</v>
          </cell>
          <cell r="Y727">
            <v>33</v>
          </cell>
          <cell r="Z727">
            <v>3</v>
          </cell>
          <cell r="AA727" t="str">
            <v>H+L</v>
          </cell>
          <cell r="AB727">
            <v>70</v>
          </cell>
          <cell r="AC727">
            <v>50</v>
          </cell>
          <cell r="AD727" t="str">
            <v>Flat</v>
          </cell>
          <cell r="AE727" t="str">
            <v>Duplex</v>
          </cell>
          <cell r="AF727" t="str">
            <v>568 - Without Partition</v>
          </cell>
          <cell r="AG727" t="str">
            <v xml:space="preserve">Without Partition </v>
          </cell>
          <cell r="AH727" t="str">
            <v xml:space="preserve">Without Partition </v>
          </cell>
          <cell r="AI727" t="str">
            <v>GREEN</v>
          </cell>
          <cell r="AJ727" t="str">
            <v>Flat / GREEN</v>
          </cell>
          <cell r="AK727">
            <v>1050000</v>
          </cell>
          <cell r="AL727">
            <v>15000</v>
          </cell>
          <cell r="AM727">
            <v>1650000</v>
          </cell>
          <cell r="AN727">
            <v>33000</v>
          </cell>
          <cell r="AO727">
            <v>150000</v>
          </cell>
          <cell r="AP727">
            <v>2850000</v>
          </cell>
          <cell r="AQ727"/>
          <cell r="AR727">
            <v>2850000</v>
          </cell>
          <cell r="AS727">
            <v>200000</v>
          </cell>
          <cell r="AT727">
            <v>2650000</v>
          </cell>
          <cell r="AU727">
            <v>100000</v>
          </cell>
          <cell r="AV727">
            <v>2550000</v>
          </cell>
          <cell r="AW727">
            <v>0</v>
          </cell>
          <cell r="AX727">
            <v>2550000</v>
          </cell>
        </row>
        <row r="728">
          <cell r="G728" t="str">
            <v>AGM-01-033-004</v>
          </cell>
          <cell r="H728" t="str">
            <v xml:space="preserve">Raemulan Lands, Inc. </v>
          </cell>
          <cell r="I728" t="str">
            <v>Agapeya</v>
          </cell>
          <cell r="J728" t="str">
            <v>AGM</v>
          </cell>
          <cell r="K728" t="str">
            <v>Eco-High</v>
          </cell>
          <cell r="L728" t="str">
            <v>West</v>
          </cell>
          <cell r="M728" t="str">
            <v>With LTS - 2024</v>
          </cell>
          <cell r="N728" t="str">
            <v>YES</v>
          </cell>
          <cell r="O728" t="str">
            <v>YES</v>
          </cell>
          <cell r="P728" t="str">
            <v>Unaffected lots</v>
          </cell>
          <cell r="Q728" t="str">
            <v>YES</v>
          </cell>
          <cell r="R728">
            <v>70</v>
          </cell>
          <cell r="S728" t="str">
            <v>PCS-04-034298</v>
          </cell>
          <cell r="T728" t="str">
            <v>TCT-060-2024021839</v>
          </cell>
          <cell r="U728" t="b">
            <v>1</v>
          </cell>
          <cell r="V728" t="str">
            <v>Done</v>
          </cell>
          <cell r="W728" t="str">
            <v>B5 2025</v>
          </cell>
          <cell r="X728" t="str">
            <v>2025 - Batch 5</v>
          </cell>
          <cell r="Y728">
            <v>33</v>
          </cell>
          <cell r="Z728">
            <v>4</v>
          </cell>
          <cell r="AA728" t="str">
            <v>H+L</v>
          </cell>
          <cell r="AB728">
            <v>70</v>
          </cell>
          <cell r="AC728">
            <v>50</v>
          </cell>
          <cell r="AD728" t="str">
            <v>Slant</v>
          </cell>
          <cell r="AE728" t="str">
            <v>Duplex</v>
          </cell>
          <cell r="AF728" t="str">
            <v>568 - Without Partition</v>
          </cell>
          <cell r="AG728" t="str">
            <v xml:space="preserve">Without Partition </v>
          </cell>
          <cell r="AH728" t="str">
            <v xml:space="preserve">Without Partition </v>
          </cell>
          <cell r="AI728" t="str">
            <v>GREEN</v>
          </cell>
          <cell r="AJ728" t="str">
            <v>Slant / GREEN</v>
          </cell>
          <cell r="AK728">
            <v>1050000</v>
          </cell>
          <cell r="AL728">
            <v>15000</v>
          </cell>
          <cell r="AM728">
            <v>1650000</v>
          </cell>
          <cell r="AN728">
            <v>33000</v>
          </cell>
          <cell r="AO728">
            <v>150000</v>
          </cell>
          <cell r="AP728">
            <v>2850000</v>
          </cell>
          <cell r="AQ728"/>
          <cell r="AR728">
            <v>2850000</v>
          </cell>
          <cell r="AS728">
            <v>200000</v>
          </cell>
          <cell r="AT728">
            <v>2650000</v>
          </cell>
          <cell r="AU728">
            <v>100000</v>
          </cell>
          <cell r="AV728">
            <v>2550000</v>
          </cell>
          <cell r="AW728">
            <v>0</v>
          </cell>
          <cell r="AX728">
            <v>2550000</v>
          </cell>
        </row>
        <row r="729">
          <cell r="G729" t="str">
            <v>AGM-01-033-005</v>
          </cell>
          <cell r="H729" t="str">
            <v xml:space="preserve">Raemulan Lands, Inc. </v>
          </cell>
          <cell r="I729" t="str">
            <v>Agapeya</v>
          </cell>
          <cell r="J729" t="str">
            <v>AGM</v>
          </cell>
          <cell r="K729" t="str">
            <v>Eco-High</v>
          </cell>
          <cell r="L729" t="str">
            <v>West</v>
          </cell>
          <cell r="M729" t="str">
            <v>With LTS - 2024</v>
          </cell>
          <cell r="N729" t="str">
            <v>YES</v>
          </cell>
          <cell r="O729" t="str">
            <v>YES</v>
          </cell>
          <cell r="P729" t="str">
            <v>Unaffected lots</v>
          </cell>
          <cell r="Q729" t="str">
            <v>YES</v>
          </cell>
          <cell r="R729">
            <v>70</v>
          </cell>
          <cell r="S729" t="str">
            <v>PCS-04-034298</v>
          </cell>
          <cell r="T729" t="str">
            <v>TCT-060-2024021840</v>
          </cell>
          <cell r="U729" t="b">
            <v>1</v>
          </cell>
          <cell r="V729" t="str">
            <v>Done</v>
          </cell>
          <cell r="W729" t="str">
            <v>B5 2025</v>
          </cell>
          <cell r="X729" t="str">
            <v>2025 - Batch 5</v>
          </cell>
          <cell r="Y729">
            <v>33</v>
          </cell>
          <cell r="Z729">
            <v>5</v>
          </cell>
          <cell r="AA729" t="str">
            <v>H+L</v>
          </cell>
          <cell r="AB729">
            <v>70</v>
          </cell>
          <cell r="AC729">
            <v>50</v>
          </cell>
          <cell r="AD729" t="str">
            <v>Slant</v>
          </cell>
          <cell r="AE729" t="str">
            <v>Duplex</v>
          </cell>
          <cell r="AF729" t="str">
            <v>568 - Without Partition</v>
          </cell>
          <cell r="AG729" t="str">
            <v xml:space="preserve">Without Partition </v>
          </cell>
          <cell r="AH729" t="str">
            <v xml:space="preserve">Without Partition </v>
          </cell>
          <cell r="AI729" t="str">
            <v>GREEN</v>
          </cell>
          <cell r="AJ729" t="str">
            <v>Slant / GREEN</v>
          </cell>
          <cell r="AK729">
            <v>1050000</v>
          </cell>
          <cell r="AL729">
            <v>15000</v>
          </cell>
          <cell r="AM729">
            <v>1650000</v>
          </cell>
          <cell r="AN729">
            <v>33000</v>
          </cell>
          <cell r="AO729">
            <v>150000</v>
          </cell>
          <cell r="AP729">
            <v>2850000</v>
          </cell>
          <cell r="AQ729"/>
          <cell r="AR729">
            <v>2850000</v>
          </cell>
          <cell r="AS729">
            <v>200000</v>
          </cell>
          <cell r="AT729">
            <v>2650000</v>
          </cell>
          <cell r="AU729">
            <v>100000</v>
          </cell>
          <cell r="AV729">
            <v>2550000</v>
          </cell>
          <cell r="AW729">
            <v>0</v>
          </cell>
          <cell r="AX729">
            <v>2550000</v>
          </cell>
        </row>
        <row r="730">
          <cell r="G730" t="str">
            <v>AGM-01-033-006</v>
          </cell>
          <cell r="H730" t="str">
            <v xml:space="preserve">Raemulan Lands, Inc. </v>
          </cell>
          <cell r="I730" t="str">
            <v>Agapeya</v>
          </cell>
          <cell r="J730" t="str">
            <v>AGM</v>
          </cell>
          <cell r="K730" t="str">
            <v>Eco-High</v>
          </cell>
          <cell r="L730" t="str">
            <v>West</v>
          </cell>
          <cell r="M730" t="str">
            <v>With LTS - 2024</v>
          </cell>
          <cell r="N730" t="str">
            <v>YES</v>
          </cell>
          <cell r="O730" t="str">
            <v>YES</v>
          </cell>
          <cell r="P730" t="str">
            <v>Unaffected lots</v>
          </cell>
          <cell r="Q730" t="str">
            <v>YES</v>
          </cell>
          <cell r="R730">
            <v>70</v>
          </cell>
          <cell r="S730" t="str">
            <v>PCS-04-034298</v>
          </cell>
          <cell r="T730" t="str">
            <v>TCT-060-2024021841</v>
          </cell>
          <cell r="U730" t="b">
            <v>1</v>
          </cell>
          <cell r="V730" t="str">
            <v>Done</v>
          </cell>
          <cell r="W730" t="str">
            <v>B5 2025</v>
          </cell>
          <cell r="X730" t="str">
            <v>2025 - Batch 5</v>
          </cell>
          <cell r="Y730">
            <v>33</v>
          </cell>
          <cell r="Z730">
            <v>6</v>
          </cell>
          <cell r="AA730" t="str">
            <v>H+L</v>
          </cell>
          <cell r="AB730">
            <v>70</v>
          </cell>
          <cell r="AC730">
            <v>50</v>
          </cell>
          <cell r="AD730" t="str">
            <v>Flat</v>
          </cell>
          <cell r="AE730" t="str">
            <v>Duplex</v>
          </cell>
          <cell r="AF730" t="str">
            <v>568 - Without Partition</v>
          </cell>
          <cell r="AG730" t="str">
            <v xml:space="preserve">Without Partition </v>
          </cell>
          <cell r="AH730" t="str">
            <v xml:space="preserve">Without Partition </v>
          </cell>
          <cell r="AI730" t="str">
            <v>GREEN</v>
          </cell>
          <cell r="AJ730" t="str">
            <v>Flat / GREEN</v>
          </cell>
          <cell r="AK730">
            <v>1050000</v>
          </cell>
          <cell r="AL730">
            <v>15000</v>
          </cell>
          <cell r="AM730">
            <v>1650000</v>
          </cell>
          <cell r="AN730">
            <v>33000</v>
          </cell>
          <cell r="AO730">
            <v>150000</v>
          </cell>
          <cell r="AP730">
            <v>2850000</v>
          </cell>
          <cell r="AQ730"/>
          <cell r="AR730">
            <v>2850000</v>
          </cell>
          <cell r="AS730">
            <v>200000</v>
          </cell>
          <cell r="AT730">
            <v>2650000</v>
          </cell>
          <cell r="AU730">
            <v>100000</v>
          </cell>
          <cell r="AV730">
            <v>2550000</v>
          </cell>
          <cell r="AW730">
            <v>0</v>
          </cell>
          <cell r="AX730">
            <v>2550000</v>
          </cell>
        </row>
        <row r="731">
          <cell r="G731" t="str">
            <v>AGM-01-033-007</v>
          </cell>
          <cell r="H731" t="str">
            <v xml:space="preserve">Raemulan Lands, Inc. </v>
          </cell>
          <cell r="I731" t="str">
            <v>Agapeya</v>
          </cell>
          <cell r="J731" t="str">
            <v>AGM</v>
          </cell>
          <cell r="K731" t="str">
            <v>Eco-High</v>
          </cell>
          <cell r="L731" t="str">
            <v>West</v>
          </cell>
          <cell r="M731" t="str">
            <v>With LTS - 2024</v>
          </cell>
          <cell r="N731" t="str">
            <v>YES</v>
          </cell>
          <cell r="O731" t="str">
            <v>YES</v>
          </cell>
          <cell r="P731" t="str">
            <v>Unaffected lots</v>
          </cell>
          <cell r="Q731" t="str">
            <v>YES</v>
          </cell>
          <cell r="R731">
            <v>70</v>
          </cell>
          <cell r="S731" t="str">
            <v>PCS-04-034298</v>
          </cell>
          <cell r="T731" t="str">
            <v>TCT-060-2024021842</v>
          </cell>
          <cell r="U731" t="b">
            <v>1</v>
          </cell>
          <cell r="V731" t="str">
            <v>Done</v>
          </cell>
          <cell r="W731" t="str">
            <v>B5 2025</v>
          </cell>
          <cell r="X731" t="str">
            <v>2025 - Batch 5</v>
          </cell>
          <cell r="Y731">
            <v>33</v>
          </cell>
          <cell r="Z731">
            <v>7</v>
          </cell>
          <cell r="AA731" t="str">
            <v>H+L</v>
          </cell>
          <cell r="AB731">
            <v>70</v>
          </cell>
          <cell r="AC731">
            <v>50</v>
          </cell>
          <cell r="AD731" t="str">
            <v>Slant</v>
          </cell>
          <cell r="AE731" t="str">
            <v>Duplex</v>
          </cell>
          <cell r="AF731" t="str">
            <v>568 - Without Partition</v>
          </cell>
          <cell r="AG731" t="str">
            <v xml:space="preserve">Without Partition </v>
          </cell>
          <cell r="AH731" t="str">
            <v xml:space="preserve">Without Partition </v>
          </cell>
          <cell r="AI731" t="str">
            <v>PINK</v>
          </cell>
          <cell r="AJ731" t="str">
            <v>Slant / PINK</v>
          </cell>
          <cell r="AK731">
            <v>1050000</v>
          </cell>
          <cell r="AL731">
            <v>15000</v>
          </cell>
          <cell r="AM731">
            <v>1650000</v>
          </cell>
          <cell r="AN731">
            <v>33000</v>
          </cell>
          <cell r="AO731">
            <v>150000</v>
          </cell>
          <cell r="AP731">
            <v>2850000</v>
          </cell>
          <cell r="AQ731"/>
          <cell r="AR731">
            <v>2850000</v>
          </cell>
          <cell r="AS731">
            <v>200000</v>
          </cell>
          <cell r="AT731">
            <v>2650000</v>
          </cell>
          <cell r="AU731">
            <v>100000</v>
          </cell>
          <cell r="AV731">
            <v>2550000</v>
          </cell>
          <cell r="AW731">
            <v>0</v>
          </cell>
          <cell r="AX731">
            <v>2550000</v>
          </cell>
        </row>
        <row r="732">
          <cell r="G732" t="str">
            <v>AGM-01-033-008</v>
          </cell>
          <cell r="H732" t="str">
            <v xml:space="preserve">Raemulan Lands, Inc. </v>
          </cell>
          <cell r="I732" t="str">
            <v>Agapeya</v>
          </cell>
          <cell r="J732" t="str">
            <v>AGM</v>
          </cell>
          <cell r="K732" t="str">
            <v>Eco-High</v>
          </cell>
          <cell r="L732" t="str">
            <v>West</v>
          </cell>
          <cell r="M732" t="str">
            <v>With LTS - 2024</v>
          </cell>
          <cell r="N732" t="str">
            <v>YES</v>
          </cell>
          <cell r="O732" t="str">
            <v>YES</v>
          </cell>
          <cell r="P732" t="str">
            <v>Unaffected lots</v>
          </cell>
          <cell r="Q732" t="str">
            <v>YES</v>
          </cell>
          <cell r="R732">
            <v>70</v>
          </cell>
          <cell r="S732" t="str">
            <v>PCS-04-034298</v>
          </cell>
          <cell r="T732" t="str">
            <v>TCT-060-2024021843</v>
          </cell>
          <cell r="U732" t="b">
            <v>1</v>
          </cell>
          <cell r="V732" t="str">
            <v>Done</v>
          </cell>
          <cell r="W732" t="str">
            <v>B5 2025</v>
          </cell>
          <cell r="X732" t="str">
            <v>2025 - Batch 5</v>
          </cell>
          <cell r="Y732">
            <v>33</v>
          </cell>
          <cell r="Z732">
            <v>8</v>
          </cell>
          <cell r="AA732" t="str">
            <v>H+L</v>
          </cell>
          <cell r="AB732">
            <v>70</v>
          </cell>
          <cell r="AC732">
            <v>50</v>
          </cell>
          <cell r="AD732" t="str">
            <v>Flat</v>
          </cell>
          <cell r="AE732" t="str">
            <v>Duplex</v>
          </cell>
          <cell r="AF732" t="str">
            <v>568 - Without Partition</v>
          </cell>
          <cell r="AG732" t="str">
            <v xml:space="preserve">Without Partition </v>
          </cell>
          <cell r="AH732" t="str">
            <v xml:space="preserve">Without Partition </v>
          </cell>
          <cell r="AI732" t="str">
            <v>PINK</v>
          </cell>
          <cell r="AJ732" t="str">
            <v>Flat / PINK</v>
          </cell>
          <cell r="AK732">
            <v>1050000</v>
          </cell>
          <cell r="AL732">
            <v>15000</v>
          </cell>
          <cell r="AM732">
            <v>1650000</v>
          </cell>
          <cell r="AN732">
            <v>33000</v>
          </cell>
          <cell r="AO732">
            <v>150000</v>
          </cell>
          <cell r="AP732">
            <v>2850000</v>
          </cell>
          <cell r="AQ732"/>
          <cell r="AR732">
            <v>2850000</v>
          </cell>
          <cell r="AS732">
            <v>200000</v>
          </cell>
          <cell r="AT732">
            <v>2650000</v>
          </cell>
          <cell r="AU732">
            <v>100000</v>
          </cell>
          <cell r="AV732">
            <v>2550000</v>
          </cell>
          <cell r="AW732">
            <v>0</v>
          </cell>
          <cell r="AX732">
            <v>2550000</v>
          </cell>
        </row>
        <row r="733">
          <cell r="G733" t="str">
            <v>AGM-01-033-009</v>
          </cell>
          <cell r="H733" t="str">
            <v xml:space="preserve">Raemulan Lands, Inc. </v>
          </cell>
          <cell r="I733" t="str">
            <v>Agapeya</v>
          </cell>
          <cell r="J733" t="str">
            <v>AGM</v>
          </cell>
          <cell r="K733" t="str">
            <v>Eco-High</v>
          </cell>
          <cell r="L733" t="str">
            <v>West</v>
          </cell>
          <cell r="M733" t="str">
            <v>With LTS - 2024</v>
          </cell>
          <cell r="N733" t="str">
            <v>YES</v>
          </cell>
          <cell r="O733" t="str">
            <v>YES</v>
          </cell>
          <cell r="P733" t="str">
            <v>Unaffected lots</v>
          </cell>
          <cell r="Q733" t="str">
            <v>YES</v>
          </cell>
          <cell r="R733">
            <v>70</v>
          </cell>
          <cell r="S733" t="str">
            <v>PCS-04-034298</v>
          </cell>
          <cell r="T733" t="str">
            <v>TCT-060-2024021844</v>
          </cell>
          <cell r="U733" t="b">
            <v>1</v>
          </cell>
          <cell r="V733" t="str">
            <v>Done</v>
          </cell>
          <cell r="W733" t="str">
            <v>B5 2025</v>
          </cell>
          <cell r="X733" t="str">
            <v>2025 - Batch 5</v>
          </cell>
          <cell r="Y733">
            <v>33</v>
          </cell>
          <cell r="Z733">
            <v>9</v>
          </cell>
          <cell r="AA733" t="str">
            <v>H+L</v>
          </cell>
          <cell r="AB733">
            <v>70</v>
          </cell>
          <cell r="AC733">
            <v>50</v>
          </cell>
          <cell r="AD733" t="str">
            <v>Flat</v>
          </cell>
          <cell r="AE733" t="str">
            <v>Duplex</v>
          </cell>
          <cell r="AF733" t="str">
            <v>568 - Without Partition</v>
          </cell>
          <cell r="AG733" t="str">
            <v xml:space="preserve">Without Partition </v>
          </cell>
          <cell r="AH733" t="str">
            <v xml:space="preserve">Without Partition </v>
          </cell>
          <cell r="AI733" t="str">
            <v>PINK</v>
          </cell>
          <cell r="AJ733" t="str">
            <v>Flat / PINK</v>
          </cell>
          <cell r="AK733">
            <v>1050000</v>
          </cell>
          <cell r="AL733">
            <v>15000</v>
          </cell>
          <cell r="AM733">
            <v>1650000</v>
          </cell>
          <cell r="AN733">
            <v>33000</v>
          </cell>
          <cell r="AO733">
            <v>150000</v>
          </cell>
          <cell r="AP733">
            <v>2850000</v>
          </cell>
          <cell r="AQ733"/>
          <cell r="AR733">
            <v>2850000</v>
          </cell>
          <cell r="AS733">
            <v>200000</v>
          </cell>
          <cell r="AT733">
            <v>2650000</v>
          </cell>
          <cell r="AU733">
            <v>100000</v>
          </cell>
          <cell r="AV733">
            <v>2550000</v>
          </cell>
          <cell r="AW733">
            <v>0</v>
          </cell>
          <cell r="AX733">
            <v>2550000</v>
          </cell>
        </row>
        <row r="734">
          <cell r="G734" t="str">
            <v>AGM-01-033-010</v>
          </cell>
          <cell r="H734" t="str">
            <v xml:space="preserve">Raemulan Lands, Inc. </v>
          </cell>
          <cell r="I734" t="str">
            <v>Agapeya</v>
          </cell>
          <cell r="J734" t="str">
            <v>AGM</v>
          </cell>
          <cell r="K734" t="str">
            <v>Eco-High</v>
          </cell>
          <cell r="L734" t="str">
            <v>West</v>
          </cell>
          <cell r="M734" t="str">
            <v>With LTS - 2024</v>
          </cell>
          <cell r="N734" t="str">
            <v>YES</v>
          </cell>
          <cell r="O734" t="str">
            <v>YES</v>
          </cell>
          <cell r="P734" t="str">
            <v>Unaffected lots</v>
          </cell>
          <cell r="Q734" t="str">
            <v>YES</v>
          </cell>
          <cell r="R734">
            <v>70</v>
          </cell>
          <cell r="S734" t="str">
            <v>PCS-04-034298</v>
          </cell>
          <cell r="T734" t="str">
            <v>TCT-060-2024021845</v>
          </cell>
          <cell r="U734" t="b">
            <v>1</v>
          </cell>
          <cell r="V734" t="str">
            <v>Done</v>
          </cell>
          <cell r="W734" t="str">
            <v>B5 2025</v>
          </cell>
          <cell r="X734" t="str">
            <v>2025 - Batch 5</v>
          </cell>
          <cell r="Y734">
            <v>33</v>
          </cell>
          <cell r="Z734">
            <v>10</v>
          </cell>
          <cell r="AA734" t="str">
            <v>H+L</v>
          </cell>
          <cell r="AB734">
            <v>70</v>
          </cell>
          <cell r="AC734">
            <v>50</v>
          </cell>
          <cell r="AD734" t="str">
            <v>Slant</v>
          </cell>
          <cell r="AE734" t="str">
            <v>Duplex</v>
          </cell>
          <cell r="AF734" t="str">
            <v>568 - Without Partition</v>
          </cell>
          <cell r="AG734" t="str">
            <v xml:space="preserve">Without Partition </v>
          </cell>
          <cell r="AH734" t="str">
            <v xml:space="preserve">Without Partition </v>
          </cell>
          <cell r="AI734" t="str">
            <v>PINK</v>
          </cell>
          <cell r="AJ734" t="str">
            <v>Slant / PINK</v>
          </cell>
          <cell r="AK734">
            <v>1050000</v>
          </cell>
          <cell r="AL734">
            <v>15000</v>
          </cell>
          <cell r="AM734">
            <v>1650000</v>
          </cell>
          <cell r="AN734">
            <v>33000</v>
          </cell>
          <cell r="AO734">
            <v>150000</v>
          </cell>
          <cell r="AP734">
            <v>2850000</v>
          </cell>
          <cell r="AQ734"/>
          <cell r="AR734">
            <v>2850000</v>
          </cell>
          <cell r="AS734">
            <v>200000</v>
          </cell>
          <cell r="AT734">
            <v>2650000</v>
          </cell>
          <cell r="AU734">
            <v>100000</v>
          </cell>
          <cell r="AV734">
            <v>2550000</v>
          </cell>
          <cell r="AW734">
            <v>0</v>
          </cell>
          <cell r="AX734">
            <v>2550000</v>
          </cell>
        </row>
        <row r="735">
          <cell r="G735" t="str">
            <v>AGM-01-033-011</v>
          </cell>
          <cell r="H735" t="str">
            <v xml:space="preserve">Raemulan Lands, Inc. </v>
          </cell>
          <cell r="I735" t="str">
            <v>Agapeya</v>
          </cell>
          <cell r="J735" t="str">
            <v>AGM</v>
          </cell>
          <cell r="K735" t="str">
            <v>Eco-High</v>
          </cell>
          <cell r="L735" t="str">
            <v>West</v>
          </cell>
          <cell r="M735" t="str">
            <v>With LTS - 2024</v>
          </cell>
          <cell r="N735" t="str">
            <v>YES</v>
          </cell>
          <cell r="O735" t="str">
            <v>NO</v>
          </cell>
          <cell r="P735" t="str">
            <v>Unaffected lots</v>
          </cell>
          <cell r="Q735" t="str">
            <v>YES</v>
          </cell>
          <cell r="R735">
            <v>100</v>
          </cell>
          <cell r="S735" t="str">
            <v>PCS-04-034298</v>
          </cell>
          <cell r="T735" t="str">
            <v>TCT-060-2024021846</v>
          </cell>
          <cell r="U735" t="b">
            <v>1</v>
          </cell>
          <cell r="V735" t="str">
            <v>Done</v>
          </cell>
          <cell r="W735" t="str">
            <v>B5 - Lot Only</v>
          </cell>
          <cell r="X735" t="str">
            <v>Lot Only - N/A</v>
          </cell>
          <cell r="Y735">
            <v>33</v>
          </cell>
          <cell r="Z735">
            <v>11</v>
          </cell>
          <cell r="AA735" t="str">
            <v>LO</v>
          </cell>
          <cell r="AB735">
            <v>100</v>
          </cell>
          <cell r="AC735" t="str">
            <v>N/A</v>
          </cell>
          <cell r="AD735" t="str">
            <v>-</v>
          </cell>
          <cell r="AE735" t="str">
            <v>Lot Only</v>
          </cell>
          <cell r="AF735" t="str">
            <v>N/A</v>
          </cell>
          <cell r="AG735" t="str">
            <v>N/A - LOT ONLY</v>
          </cell>
          <cell r="AH735" t="str">
            <v>N/A - LOT ONLY</v>
          </cell>
          <cell r="AI735" t="str">
            <v>N/A - LOT ONLY</v>
          </cell>
          <cell r="AJ735" t="str">
            <v>- / N/A - LOT ONLY</v>
          </cell>
          <cell r="AK735">
            <v>1500000</v>
          </cell>
          <cell r="AL735">
            <v>15000</v>
          </cell>
          <cell r="AM735">
            <v>0</v>
          </cell>
          <cell r="AN735">
            <v>0</v>
          </cell>
          <cell r="AO735">
            <v>100000</v>
          </cell>
          <cell r="AP735">
            <v>1600000</v>
          </cell>
          <cell r="AQ735"/>
          <cell r="AR735">
            <v>1600000</v>
          </cell>
          <cell r="AS735">
            <v>0</v>
          </cell>
          <cell r="AT735">
            <v>1600000</v>
          </cell>
          <cell r="AU735">
            <v>100000</v>
          </cell>
          <cell r="AV735">
            <v>1500000</v>
          </cell>
          <cell r="AW735">
            <v>0</v>
          </cell>
          <cell r="AX735">
            <v>1500000</v>
          </cell>
        </row>
        <row r="736">
          <cell r="G736" t="str">
            <v>AGM-01-034-001</v>
          </cell>
          <cell r="H736" t="str">
            <v xml:space="preserve">Raemulan Lands, Inc. </v>
          </cell>
          <cell r="I736" t="str">
            <v>Agapeya</v>
          </cell>
          <cell r="J736" t="str">
            <v>AGM</v>
          </cell>
          <cell r="K736" t="str">
            <v>Eco-High</v>
          </cell>
          <cell r="L736" t="str">
            <v>West</v>
          </cell>
          <cell r="M736" t="str">
            <v>With LTS - 2024</v>
          </cell>
          <cell r="N736" t="str">
            <v>YES</v>
          </cell>
          <cell r="O736" t="str">
            <v>NO</v>
          </cell>
          <cell r="P736" t="str">
            <v>Unaffected lots</v>
          </cell>
          <cell r="Q736" t="str">
            <v>YES</v>
          </cell>
          <cell r="R736">
            <v>100</v>
          </cell>
          <cell r="S736" t="str">
            <v>PCS-04-034298</v>
          </cell>
          <cell r="T736" t="str">
            <v>TCT-060-2024021847</v>
          </cell>
          <cell r="U736" t="b">
            <v>1</v>
          </cell>
          <cell r="V736" t="str">
            <v>Done</v>
          </cell>
          <cell r="W736" t="str">
            <v>B5 - Lot Only</v>
          </cell>
          <cell r="X736" t="str">
            <v>Lot Only - N/A</v>
          </cell>
          <cell r="Y736">
            <v>34</v>
          </cell>
          <cell r="Z736">
            <v>1</v>
          </cell>
          <cell r="AA736" t="str">
            <v>LO</v>
          </cell>
          <cell r="AB736">
            <v>100</v>
          </cell>
          <cell r="AC736" t="str">
            <v>N/A</v>
          </cell>
          <cell r="AD736" t="str">
            <v>-</v>
          </cell>
          <cell r="AE736" t="str">
            <v>Lot Only</v>
          </cell>
          <cell r="AF736" t="str">
            <v>N/A</v>
          </cell>
          <cell r="AG736" t="str">
            <v>N/A - LOT ONLY</v>
          </cell>
          <cell r="AH736" t="str">
            <v>N/A - LOT ONLY</v>
          </cell>
          <cell r="AI736" t="str">
            <v>N/A - LOT ONLY</v>
          </cell>
          <cell r="AJ736" t="str">
            <v>- / N/A - LOT ONLY</v>
          </cell>
          <cell r="AK736">
            <v>1500000</v>
          </cell>
          <cell r="AL736">
            <v>15000</v>
          </cell>
          <cell r="AM736">
            <v>0</v>
          </cell>
          <cell r="AN736">
            <v>0</v>
          </cell>
          <cell r="AO736">
            <v>100000</v>
          </cell>
          <cell r="AP736">
            <v>1600000</v>
          </cell>
          <cell r="AQ736"/>
          <cell r="AR736">
            <v>1600000</v>
          </cell>
          <cell r="AS736">
            <v>0</v>
          </cell>
          <cell r="AT736">
            <v>1600000</v>
          </cell>
          <cell r="AU736">
            <v>100000</v>
          </cell>
          <cell r="AV736">
            <v>1500000</v>
          </cell>
          <cell r="AW736">
            <v>0</v>
          </cell>
          <cell r="AX736">
            <v>1500000</v>
          </cell>
        </row>
        <row r="737">
          <cell r="G737" t="str">
            <v>AGM-01-034-002</v>
          </cell>
          <cell r="H737" t="str">
            <v xml:space="preserve">Raemulan Lands, Inc. </v>
          </cell>
          <cell r="I737" t="str">
            <v>Agapeya</v>
          </cell>
          <cell r="J737" t="str">
            <v>AGM</v>
          </cell>
          <cell r="K737" t="str">
            <v>Eco-High</v>
          </cell>
          <cell r="L737" t="str">
            <v>West</v>
          </cell>
          <cell r="M737" t="str">
            <v>With LTS - 2024</v>
          </cell>
          <cell r="N737" t="str">
            <v>YES</v>
          </cell>
          <cell r="O737" t="str">
            <v>YES</v>
          </cell>
          <cell r="P737" t="str">
            <v>Unaffected lots</v>
          </cell>
          <cell r="Q737" t="str">
            <v>YES</v>
          </cell>
          <cell r="R737">
            <v>70</v>
          </cell>
          <cell r="S737" t="str">
            <v>PCS-04-034298</v>
          </cell>
          <cell r="T737" t="str">
            <v>TCT-060-2024021848</v>
          </cell>
          <cell r="U737" t="b">
            <v>1</v>
          </cell>
          <cell r="V737" t="str">
            <v>Done</v>
          </cell>
          <cell r="W737" t="str">
            <v>B5 2025</v>
          </cell>
          <cell r="X737" t="str">
            <v>2025 - Batch 6</v>
          </cell>
          <cell r="Y737">
            <v>34</v>
          </cell>
          <cell r="Z737">
            <v>2</v>
          </cell>
          <cell r="AA737" t="str">
            <v>H+L</v>
          </cell>
          <cell r="AB737">
            <v>70</v>
          </cell>
          <cell r="AC737">
            <v>50</v>
          </cell>
          <cell r="AD737" t="str">
            <v>Flat</v>
          </cell>
          <cell r="AE737" t="str">
            <v>Duplex</v>
          </cell>
          <cell r="AF737" t="str">
            <v>568 - Without Partition</v>
          </cell>
          <cell r="AG737" t="str">
            <v xml:space="preserve">Without Partition </v>
          </cell>
          <cell r="AH737" t="str">
            <v xml:space="preserve">Without Partition </v>
          </cell>
          <cell r="AI737" t="str">
            <v>PURPLE</v>
          </cell>
          <cell r="AJ737" t="str">
            <v>Flat / PURPLE</v>
          </cell>
          <cell r="AK737">
            <v>1050000</v>
          </cell>
          <cell r="AL737">
            <v>15000</v>
          </cell>
          <cell r="AM737">
            <v>1650000</v>
          </cell>
          <cell r="AN737">
            <v>33000</v>
          </cell>
          <cell r="AO737">
            <v>150000</v>
          </cell>
          <cell r="AP737">
            <v>2850000</v>
          </cell>
          <cell r="AQ737"/>
          <cell r="AR737">
            <v>2850000</v>
          </cell>
          <cell r="AS737">
            <v>200000</v>
          </cell>
          <cell r="AT737">
            <v>2650000</v>
          </cell>
          <cell r="AU737">
            <v>100000</v>
          </cell>
          <cell r="AV737">
            <v>2550000</v>
          </cell>
          <cell r="AW737">
            <v>0</v>
          </cell>
          <cell r="AX737">
            <v>2550000</v>
          </cell>
        </row>
        <row r="738">
          <cell r="G738" t="str">
            <v>AGM-01-034-003</v>
          </cell>
          <cell r="H738" t="str">
            <v xml:space="preserve">Raemulan Lands, Inc. </v>
          </cell>
          <cell r="I738" t="str">
            <v>Agapeya</v>
          </cell>
          <cell r="J738" t="str">
            <v>AGM</v>
          </cell>
          <cell r="K738" t="str">
            <v>Eco-High</v>
          </cell>
          <cell r="L738" t="str">
            <v>West</v>
          </cell>
          <cell r="M738" t="str">
            <v>With LTS - 2024</v>
          </cell>
          <cell r="N738" t="str">
            <v>YES</v>
          </cell>
          <cell r="O738" t="str">
            <v>YES</v>
          </cell>
          <cell r="P738" t="str">
            <v>Unaffected lots</v>
          </cell>
          <cell r="Q738" t="str">
            <v>YES</v>
          </cell>
          <cell r="R738">
            <v>70</v>
          </cell>
          <cell r="S738" t="str">
            <v>PCS-04-034298</v>
          </cell>
          <cell r="T738" t="str">
            <v>TCT-060-2024021849</v>
          </cell>
          <cell r="U738" t="b">
            <v>1</v>
          </cell>
          <cell r="V738" t="str">
            <v>Done</v>
          </cell>
          <cell r="W738" t="str">
            <v>B5 2025</v>
          </cell>
          <cell r="X738" t="str">
            <v>2025 - Batch 6</v>
          </cell>
          <cell r="Y738">
            <v>34</v>
          </cell>
          <cell r="Z738">
            <v>3</v>
          </cell>
          <cell r="AA738" t="str">
            <v>H+L</v>
          </cell>
          <cell r="AB738">
            <v>70</v>
          </cell>
          <cell r="AC738">
            <v>50</v>
          </cell>
          <cell r="AD738" t="str">
            <v>Slant</v>
          </cell>
          <cell r="AE738" t="str">
            <v>Duplex</v>
          </cell>
          <cell r="AF738" t="str">
            <v>568 - Without Partition</v>
          </cell>
          <cell r="AG738" t="str">
            <v xml:space="preserve">Without Partition </v>
          </cell>
          <cell r="AH738" t="str">
            <v xml:space="preserve">Without Partition </v>
          </cell>
          <cell r="AI738" t="str">
            <v>PURPLE</v>
          </cell>
          <cell r="AJ738" t="str">
            <v>Slant / PURPLE</v>
          </cell>
          <cell r="AK738">
            <v>1050000</v>
          </cell>
          <cell r="AL738">
            <v>15000</v>
          </cell>
          <cell r="AM738">
            <v>1650000</v>
          </cell>
          <cell r="AN738">
            <v>33000</v>
          </cell>
          <cell r="AO738">
            <v>150000</v>
          </cell>
          <cell r="AP738">
            <v>2850000</v>
          </cell>
          <cell r="AQ738"/>
          <cell r="AR738">
            <v>2850000</v>
          </cell>
          <cell r="AS738">
            <v>200000</v>
          </cell>
          <cell r="AT738">
            <v>2650000</v>
          </cell>
          <cell r="AU738">
            <v>100000</v>
          </cell>
          <cell r="AV738">
            <v>2550000</v>
          </cell>
          <cell r="AW738">
            <v>0</v>
          </cell>
          <cell r="AX738">
            <v>2550000</v>
          </cell>
        </row>
        <row r="739">
          <cell r="G739" t="str">
            <v>AGM-01-034-004</v>
          </cell>
          <cell r="H739" t="str">
            <v xml:space="preserve">Raemulan Lands, Inc. </v>
          </cell>
          <cell r="I739" t="str">
            <v>Agapeya</v>
          </cell>
          <cell r="J739" t="str">
            <v>AGM</v>
          </cell>
          <cell r="K739" t="str">
            <v>Eco-High</v>
          </cell>
          <cell r="L739" t="str">
            <v>West</v>
          </cell>
          <cell r="M739" t="str">
            <v>With LTS - 2024</v>
          </cell>
          <cell r="N739" t="str">
            <v>YES</v>
          </cell>
          <cell r="O739" t="str">
            <v>YES</v>
          </cell>
          <cell r="P739" t="str">
            <v>Unaffected lots</v>
          </cell>
          <cell r="Q739" t="str">
            <v>YES</v>
          </cell>
          <cell r="R739">
            <v>100</v>
          </cell>
          <cell r="S739" t="str">
            <v>PCS-04-034298</v>
          </cell>
          <cell r="T739" t="str">
            <v>TCT-060-2024021850</v>
          </cell>
          <cell r="U739" t="b">
            <v>1</v>
          </cell>
          <cell r="V739" t="str">
            <v>Done</v>
          </cell>
          <cell r="W739" t="str">
            <v>B5 2025</v>
          </cell>
          <cell r="X739" t="str">
            <v>2025 - Batch 6</v>
          </cell>
          <cell r="Y739">
            <v>34</v>
          </cell>
          <cell r="Z739">
            <v>4</v>
          </cell>
          <cell r="AA739" t="str">
            <v>H+L</v>
          </cell>
          <cell r="AB739">
            <v>100</v>
          </cell>
          <cell r="AC739">
            <v>50</v>
          </cell>
          <cell r="AD739" t="str">
            <v>Slant</v>
          </cell>
          <cell r="AE739" t="str">
            <v>Duplex</v>
          </cell>
          <cell r="AF739" t="str">
            <v>568 - Without Partition</v>
          </cell>
          <cell r="AG739" t="str">
            <v xml:space="preserve">Without Partition </v>
          </cell>
          <cell r="AH739" t="str">
            <v xml:space="preserve">Without Partition </v>
          </cell>
          <cell r="AI739" t="str">
            <v>YELLOW</v>
          </cell>
          <cell r="AJ739" t="str">
            <v>Slant / YELLOW</v>
          </cell>
          <cell r="AK739">
            <v>1500000</v>
          </cell>
          <cell r="AL739">
            <v>15000</v>
          </cell>
          <cell r="AM739">
            <v>1650000</v>
          </cell>
          <cell r="AN739">
            <v>33000</v>
          </cell>
          <cell r="AO739">
            <v>150000</v>
          </cell>
          <cell r="AP739">
            <v>3300000</v>
          </cell>
          <cell r="AQ739"/>
          <cell r="AR739">
            <v>3300000</v>
          </cell>
          <cell r="AS739">
            <v>200000</v>
          </cell>
          <cell r="AT739">
            <v>3100000</v>
          </cell>
          <cell r="AU739">
            <v>100000</v>
          </cell>
          <cell r="AV739">
            <v>3000000</v>
          </cell>
          <cell r="AW739">
            <v>0</v>
          </cell>
          <cell r="AX739">
            <v>3000000</v>
          </cell>
        </row>
        <row r="740">
          <cell r="G740" t="str">
            <v>AGM-01-034-005</v>
          </cell>
          <cell r="H740" t="str">
            <v xml:space="preserve">Raemulan Lands, Inc. </v>
          </cell>
          <cell r="I740" t="str">
            <v>Agapeya</v>
          </cell>
          <cell r="J740" t="str">
            <v>AGM</v>
          </cell>
          <cell r="K740" t="str">
            <v>Eco-High</v>
          </cell>
          <cell r="L740" t="str">
            <v>West</v>
          </cell>
          <cell r="M740" t="str">
            <v>With LTS - 2024</v>
          </cell>
          <cell r="N740" t="str">
            <v>YES</v>
          </cell>
          <cell r="O740" t="str">
            <v>YES</v>
          </cell>
          <cell r="P740" t="str">
            <v>Unaffected lots</v>
          </cell>
          <cell r="Q740" t="str">
            <v>YES</v>
          </cell>
          <cell r="R740">
            <v>100</v>
          </cell>
          <cell r="S740" t="str">
            <v>PCS-04-034298</v>
          </cell>
          <cell r="T740" t="str">
            <v>TCT-060-2024021851</v>
          </cell>
          <cell r="U740" t="b">
            <v>1</v>
          </cell>
          <cell r="V740" t="str">
            <v>Done</v>
          </cell>
          <cell r="W740" t="str">
            <v>B5 2025</v>
          </cell>
          <cell r="X740" t="str">
            <v>2025 - Batch 6</v>
          </cell>
          <cell r="Y740">
            <v>34</v>
          </cell>
          <cell r="Z740">
            <v>5</v>
          </cell>
          <cell r="AA740" t="str">
            <v>H+L</v>
          </cell>
          <cell r="AB740">
            <v>100</v>
          </cell>
          <cell r="AC740">
            <v>50</v>
          </cell>
          <cell r="AD740" t="str">
            <v>Flat</v>
          </cell>
          <cell r="AE740" t="str">
            <v>Duplex</v>
          </cell>
          <cell r="AF740" t="str">
            <v>568 - Without Partition</v>
          </cell>
          <cell r="AG740" t="str">
            <v xml:space="preserve">Without Partition </v>
          </cell>
          <cell r="AH740" t="str">
            <v xml:space="preserve">Without Partition </v>
          </cell>
          <cell r="AI740" t="str">
            <v>YELLOW</v>
          </cell>
          <cell r="AJ740" t="str">
            <v>Flat / YELLOW</v>
          </cell>
          <cell r="AK740">
            <v>1500000</v>
          </cell>
          <cell r="AL740">
            <v>15000</v>
          </cell>
          <cell r="AM740">
            <v>1650000</v>
          </cell>
          <cell r="AN740">
            <v>33000</v>
          </cell>
          <cell r="AO740">
            <v>150000</v>
          </cell>
          <cell r="AP740">
            <v>3300000</v>
          </cell>
          <cell r="AQ740"/>
          <cell r="AR740">
            <v>3300000</v>
          </cell>
          <cell r="AS740">
            <v>200000</v>
          </cell>
          <cell r="AT740">
            <v>3100000</v>
          </cell>
          <cell r="AU740">
            <v>100000</v>
          </cell>
          <cell r="AV740">
            <v>3000000</v>
          </cell>
          <cell r="AW740">
            <v>0</v>
          </cell>
          <cell r="AX740">
            <v>3000000</v>
          </cell>
        </row>
        <row r="741">
          <cell r="G741" t="str">
            <v>AGM-01-034-006</v>
          </cell>
          <cell r="H741" t="str">
            <v xml:space="preserve">Raemulan Lands, Inc. </v>
          </cell>
          <cell r="I741" t="str">
            <v>Agapeya</v>
          </cell>
          <cell r="J741" t="str">
            <v>AGM</v>
          </cell>
          <cell r="K741" t="str">
            <v>Eco-High</v>
          </cell>
          <cell r="L741" t="str">
            <v>West</v>
          </cell>
          <cell r="M741" t="str">
            <v>With LTS - 2024</v>
          </cell>
          <cell r="N741" t="str">
            <v>YES</v>
          </cell>
          <cell r="O741" t="str">
            <v>YES</v>
          </cell>
          <cell r="P741" t="str">
            <v>Unaffected lots</v>
          </cell>
          <cell r="Q741" t="str">
            <v>YES</v>
          </cell>
          <cell r="R741">
            <v>70</v>
          </cell>
          <cell r="S741" t="str">
            <v>PCS-04-034298</v>
          </cell>
          <cell r="T741" t="str">
            <v>TCT-060-2024021852</v>
          </cell>
          <cell r="U741" t="b">
            <v>1</v>
          </cell>
          <cell r="V741" t="str">
            <v>Done</v>
          </cell>
          <cell r="W741" t="str">
            <v>B5 2025</v>
          </cell>
          <cell r="X741" t="str">
            <v>2025 - Batch 6</v>
          </cell>
          <cell r="Y741">
            <v>34</v>
          </cell>
          <cell r="Z741">
            <v>6</v>
          </cell>
          <cell r="AA741" t="str">
            <v>H+L</v>
          </cell>
          <cell r="AB741">
            <v>70</v>
          </cell>
          <cell r="AC741">
            <v>50</v>
          </cell>
          <cell r="AD741" t="str">
            <v>Flat</v>
          </cell>
          <cell r="AE741" t="str">
            <v>Duplex</v>
          </cell>
          <cell r="AF741" t="str">
            <v>568 - Without Partition</v>
          </cell>
          <cell r="AG741" t="str">
            <v xml:space="preserve">Without Partition </v>
          </cell>
          <cell r="AH741" t="str">
            <v xml:space="preserve">Without Partition </v>
          </cell>
          <cell r="AI741" t="str">
            <v>PURPLE</v>
          </cell>
          <cell r="AJ741" t="str">
            <v>Flat / PURPLE</v>
          </cell>
          <cell r="AK741">
            <v>1050000</v>
          </cell>
          <cell r="AL741">
            <v>15000</v>
          </cell>
          <cell r="AM741">
            <v>1650000</v>
          </cell>
          <cell r="AN741">
            <v>33000</v>
          </cell>
          <cell r="AO741">
            <v>150000</v>
          </cell>
          <cell r="AP741">
            <v>2850000</v>
          </cell>
          <cell r="AQ741"/>
          <cell r="AR741">
            <v>2850000</v>
          </cell>
          <cell r="AS741">
            <v>200000</v>
          </cell>
          <cell r="AT741">
            <v>2650000</v>
          </cell>
          <cell r="AU741">
            <v>100000</v>
          </cell>
          <cell r="AV741">
            <v>2550000</v>
          </cell>
          <cell r="AW741">
            <v>0</v>
          </cell>
          <cell r="AX741">
            <v>2550000</v>
          </cell>
        </row>
        <row r="742">
          <cell r="G742" t="str">
            <v>AGM-01-034-007</v>
          </cell>
          <cell r="H742" t="str">
            <v xml:space="preserve">Raemulan Lands, Inc. </v>
          </cell>
          <cell r="I742" t="str">
            <v>Agapeya</v>
          </cell>
          <cell r="J742" t="str">
            <v>AGM</v>
          </cell>
          <cell r="K742" t="str">
            <v>Eco-High</v>
          </cell>
          <cell r="L742" t="str">
            <v>West</v>
          </cell>
          <cell r="M742" t="str">
            <v>With LTS - 2024</v>
          </cell>
          <cell r="N742" t="str">
            <v>YES</v>
          </cell>
          <cell r="O742" t="str">
            <v>YES</v>
          </cell>
          <cell r="P742" t="str">
            <v>Unaffected lots</v>
          </cell>
          <cell r="Q742" t="str">
            <v>YES</v>
          </cell>
          <cell r="R742">
            <v>70</v>
          </cell>
          <cell r="S742" t="str">
            <v>PCS-04-034298</v>
          </cell>
          <cell r="T742" t="str">
            <v>TCT-060-2024021853</v>
          </cell>
          <cell r="U742" t="b">
            <v>1</v>
          </cell>
          <cell r="V742" t="str">
            <v>Done</v>
          </cell>
          <cell r="W742" t="str">
            <v>B5 2025</v>
          </cell>
          <cell r="X742" t="str">
            <v>2025 - Batch 6</v>
          </cell>
          <cell r="Y742">
            <v>34</v>
          </cell>
          <cell r="Z742">
            <v>7</v>
          </cell>
          <cell r="AA742" t="str">
            <v>H+L</v>
          </cell>
          <cell r="AB742">
            <v>70</v>
          </cell>
          <cell r="AC742">
            <v>50</v>
          </cell>
          <cell r="AD742" t="str">
            <v>Slant</v>
          </cell>
          <cell r="AE742" t="str">
            <v>Duplex</v>
          </cell>
          <cell r="AF742" t="str">
            <v>568 - Without Partition</v>
          </cell>
          <cell r="AG742" t="str">
            <v xml:space="preserve">Without Partition </v>
          </cell>
          <cell r="AH742" t="str">
            <v xml:space="preserve">Without Partition </v>
          </cell>
          <cell r="AI742" t="str">
            <v>PURPLE</v>
          </cell>
          <cell r="AJ742" t="str">
            <v>Slant / PURPLE</v>
          </cell>
          <cell r="AK742">
            <v>1050000</v>
          </cell>
          <cell r="AL742">
            <v>15000</v>
          </cell>
          <cell r="AM742">
            <v>1650000</v>
          </cell>
          <cell r="AN742">
            <v>33000</v>
          </cell>
          <cell r="AO742">
            <v>150000</v>
          </cell>
          <cell r="AP742">
            <v>2850000</v>
          </cell>
          <cell r="AQ742"/>
          <cell r="AR742">
            <v>2850000</v>
          </cell>
          <cell r="AS742">
            <v>200000</v>
          </cell>
          <cell r="AT742">
            <v>2650000</v>
          </cell>
          <cell r="AU742">
            <v>100000</v>
          </cell>
          <cell r="AV742">
            <v>2550000</v>
          </cell>
          <cell r="AW742">
            <v>0</v>
          </cell>
          <cell r="AX742">
            <v>2550000</v>
          </cell>
        </row>
        <row r="743">
          <cell r="G743" t="str">
            <v>AGM-01-035-001</v>
          </cell>
          <cell r="H743" t="str">
            <v xml:space="preserve">Raemulan Lands, Inc. </v>
          </cell>
          <cell r="I743" t="str">
            <v>Agapeya</v>
          </cell>
          <cell r="J743" t="str">
            <v>AGM</v>
          </cell>
          <cell r="K743" t="str">
            <v>Eco-High</v>
          </cell>
          <cell r="L743" t="str">
            <v>West</v>
          </cell>
          <cell r="M743" t="str">
            <v>With LTS - 2024</v>
          </cell>
          <cell r="N743" t="str">
            <v>YES</v>
          </cell>
          <cell r="O743" t="str">
            <v>YES</v>
          </cell>
          <cell r="P743" t="str">
            <v>Unaffected lots</v>
          </cell>
          <cell r="Q743" t="str">
            <v>YES</v>
          </cell>
          <cell r="R743">
            <v>70</v>
          </cell>
          <cell r="S743" t="str">
            <v>PCS-04-034298</v>
          </cell>
          <cell r="T743" t="str">
            <v>TCT-060-2024021854</v>
          </cell>
          <cell r="U743" t="b">
            <v>1</v>
          </cell>
          <cell r="V743" t="str">
            <v>Done</v>
          </cell>
          <cell r="W743" t="str">
            <v>B5 2025</v>
          </cell>
          <cell r="X743" t="str">
            <v>2025 - Batch 6</v>
          </cell>
          <cell r="Y743">
            <v>35</v>
          </cell>
          <cell r="Z743">
            <v>1</v>
          </cell>
          <cell r="AA743" t="str">
            <v>H+L</v>
          </cell>
          <cell r="AB743">
            <v>70</v>
          </cell>
          <cell r="AC743">
            <v>50</v>
          </cell>
          <cell r="AD743" t="str">
            <v>Flat</v>
          </cell>
          <cell r="AE743" t="str">
            <v>Duplex</v>
          </cell>
          <cell r="AF743" t="str">
            <v>568 - Without Partition</v>
          </cell>
          <cell r="AG743" t="str">
            <v xml:space="preserve">Without Partition </v>
          </cell>
          <cell r="AH743" t="str">
            <v xml:space="preserve">Without Partition </v>
          </cell>
          <cell r="AI743" t="str">
            <v>GREEN</v>
          </cell>
          <cell r="AJ743" t="str">
            <v>Flat / GREEN</v>
          </cell>
          <cell r="AK743">
            <v>1050000</v>
          </cell>
          <cell r="AL743">
            <v>15000</v>
          </cell>
          <cell r="AM743">
            <v>1650000</v>
          </cell>
          <cell r="AN743">
            <v>33000</v>
          </cell>
          <cell r="AO743">
            <v>150000</v>
          </cell>
          <cell r="AP743">
            <v>2850000</v>
          </cell>
          <cell r="AQ743"/>
          <cell r="AR743">
            <v>2850000</v>
          </cell>
          <cell r="AS743">
            <v>200000</v>
          </cell>
          <cell r="AT743">
            <v>2650000</v>
          </cell>
          <cell r="AU743">
            <v>100000</v>
          </cell>
          <cell r="AV743">
            <v>2550000</v>
          </cell>
          <cell r="AW743">
            <v>0</v>
          </cell>
          <cell r="AX743">
            <v>2550000</v>
          </cell>
        </row>
        <row r="744">
          <cell r="G744" t="str">
            <v>AGM-01-035-002</v>
          </cell>
          <cell r="H744" t="str">
            <v xml:space="preserve">Raemulan Lands, Inc. </v>
          </cell>
          <cell r="I744" t="str">
            <v>Agapeya</v>
          </cell>
          <cell r="J744" t="str">
            <v>AGM</v>
          </cell>
          <cell r="K744" t="str">
            <v>Eco-High</v>
          </cell>
          <cell r="L744" t="str">
            <v>West</v>
          </cell>
          <cell r="M744" t="str">
            <v>With LTS - 2024</v>
          </cell>
          <cell r="N744" t="str">
            <v>YES</v>
          </cell>
          <cell r="O744" t="str">
            <v>YES</v>
          </cell>
          <cell r="P744" t="str">
            <v>Unaffected lots</v>
          </cell>
          <cell r="Q744" t="str">
            <v>YES</v>
          </cell>
          <cell r="R744">
            <v>70</v>
          </cell>
          <cell r="S744" t="str">
            <v>PCS-04-034298</v>
          </cell>
          <cell r="T744" t="str">
            <v>TCT-060-2024021855</v>
          </cell>
          <cell r="U744" t="b">
            <v>1</v>
          </cell>
          <cell r="V744" t="str">
            <v>Done</v>
          </cell>
          <cell r="W744" t="str">
            <v>B5 2025</v>
          </cell>
          <cell r="X744" t="str">
            <v>2025 - Batch 6</v>
          </cell>
          <cell r="Y744">
            <v>35</v>
          </cell>
          <cell r="Z744">
            <v>2</v>
          </cell>
          <cell r="AA744" t="str">
            <v>H+L</v>
          </cell>
          <cell r="AB744">
            <v>70</v>
          </cell>
          <cell r="AC744">
            <v>50</v>
          </cell>
          <cell r="AD744" t="str">
            <v>Slant</v>
          </cell>
          <cell r="AE744" t="str">
            <v>Duplex</v>
          </cell>
          <cell r="AF744" t="str">
            <v>568 - Without Partition</v>
          </cell>
          <cell r="AG744" t="str">
            <v xml:space="preserve">Without Partition </v>
          </cell>
          <cell r="AH744" t="str">
            <v xml:space="preserve">Without Partition </v>
          </cell>
          <cell r="AI744" t="str">
            <v>GREEN</v>
          </cell>
          <cell r="AJ744" t="str">
            <v>Slant / GREEN</v>
          </cell>
          <cell r="AK744">
            <v>1050000</v>
          </cell>
          <cell r="AL744">
            <v>15000</v>
          </cell>
          <cell r="AM744">
            <v>1650000</v>
          </cell>
          <cell r="AN744">
            <v>33000</v>
          </cell>
          <cell r="AO744">
            <v>150000</v>
          </cell>
          <cell r="AP744">
            <v>2850000</v>
          </cell>
          <cell r="AQ744"/>
          <cell r="AR744">
            <v>2850000</v>
          </cell>
          <cell r="AS744">
            <v>200000</v>
          </cell>
          <cell r="AT744">
            <v>2650000</v>
          </cell>
          <cell r="AU744">
            <v>100000</v>
          </cell>
          <cell r="AV744">
            <v>2550000</v>
          </cell>
          <cell r="AW744">
            <v>0</v>
          </cell>
          <cell r="AX744">
            <v>2550000</v>
          </cell>
        </row>
        <row r="745">
          <cell r="G745" t="str">
            <v>AGM-01-035-003</v>
          </cell>
          <cell r="H745" t="str">
            <v xml:space="preserve">Raemulan Lands, Inc. </v>
          </cell>
          <cell r="I745" t="str">
            <v>Agapeya</v>
          </cell>
          <cell r="J745" t="str">
            <v>AGM</v>
          </cell>
          <cell r="K745" t="str">
            <v>Eco-High</v>
          </cell>
          <cell r="L745" t="str">
            <v>West</v>
          </cell>
          <cell r="M745" t="str">
            <v>With LTS - 2024</v>
          </cell>
          <cell r="N745" t="str">
            <v>YES</v>
          </cell>
          <cell r="O745" t="str">
            <v>YES</v>
          </cell>
          <cell r="P745" t="str">
            <v>Unaffected lots</v>
          </cell>
          <cell r="Q745" t="str">
            <v>YES</v>
          </cell>
          <cell r="R745">
            <v>70</v>
          </cell>
          <cell r="S745" t="str">
            <v>PCS-04-034298</v>
          </cell>
          <cell r="T745" t="str">
            <v>TCT-060-2024021856</v>
          </cell>
          <cell r="U745" t="b">
            <v>1</v>
          </cell>
          <cell r="V745" t="str">
            <v>Done</v>
          </cell>
          <cell r="W745" t="str">
            <v>B5 2025</v>
          </cell>
          <cell r="X745" t="str">
            <v>2025 - Batch 6</v>
          </cell>
          <cell r="Y745">
            <v>35</v>
          </cell>
          <cell r="Z745">
            <v>3</v>
          </cell>
          <cell r="AA745" t="str">
            <v>H+L</v>
          </cell>
          <cell r="AB745">
            <v>70</v>
          </cell>
          <cell r="AC745">
            <v>50</v>
          </cell>
          <cell r="AD745" t="str">
            <v>Flat</v>
          </cell>
          <cell r="AE745" t="str">
            <v>Duplex</v>
          </cell>
          <cell r="AF745" t="str">
            <v>568 - Without Partition</v>
          </cell>
          <cell r="AG745" t="str">
            <v xml:space="preserve">Without Partition </v>
          </cell>
          <cell r="AH745" t="str">
            <v xml:space="preserve">Without Partition </v>
          </cell>
          <cell r="AI745" t="str">
            <v>GREEN</v>
          </cell>
          <cell r="AJ745" t="str">
            <v>Flat / GREEN</v>
          </cell>
          <cell r="AK745">
            <v>1050000</v>
          </cell>
          <cell r="AL745">
            <v>15000</v>
          </cell>
          <cell r="AM745">
            <v>1650000</v>
          </cell>
          <cell r="AN745">
            <v>33000</v>
          </cell>
          <cell r="AO745">
            <v>150000</v>
          </cell>
          <cell r="AP745">
            <v>2850000</v>
          </cell>
          <cell r="AQ745"/>
          <cell r="AR745">
            <v>2850000</v>
          </cell>
          <cell r="AS745">
            <v>200000</v>
          </cell>
          <cell r="AT745">
            <v>2650000</v>
          </cell>
          <cell r="AU745">
            <v>100000</v>
          </cell>
          <cell r="AV745">
            <v>2550000</v>
          </cell>
          <cell r="AW745">
            <v>0</v>
          </cell>
          <cell r="AX745">
            <v>2550000</v>
          </cell>
        </row>
        <row r="746">
          <cell r="G746" t="str">
            <v>AGM-01-035-004</v>
          </cell>
          <cell r="H746" t="str">
            <v xml:space="preserve">Raemulan Lands, Inc. </v>
          </cell>
          <cell r="I746" t="str">
            <v>Agapeya</v>
          </cell>
          <cell r="J746" t="str">
            <v>AGM</v>
          </cell>
          <cell r="K746" t="str">
            <v>Eco-High</v>
          </cell>
          <cell r="L746" t="str">
            <v>West</v>
          </cell>
          <cell r="M746" t="str">
            <v>With LTS - 2024</v>
          </cell>
          <cell r="N746" t="str">
            <v>YES</v>
          </cell>
          <cell r="O746" t="str">
            <v>YES</v>
          </cell>
          <cell r="P746" t="str">
            <v>Unaffected lots</v>
          </cell>
          <cell r="Q746" t="str">
            <v>YES</v>
          </cell>
          <cell r="R746">
            <v>70</v>
          </cell>
          <cell r="S746" t="str">
            <v>PCS-04-034298</v>
          </cell>
          <cell r="T746" t="str">
            <v>TCT-060-2024021857</v>
          </cell>
          <cell r="U746" t="b">
            <v>1</v>
          </cell>
          <cell r="V746" t="str">
            <v>Done</v>
          </cell>
          <cell r="W746" t="str">
            <v>B5 2025</v>
          </cell>
          <cell r="X746" t="str">
            <v>2025 - Batch 6</v>
          </cell>
          <cell r="Y746">
            <v>35</v>
          </cell>
          <cell r="Z746">
            <v>4</v>
          </cell>
          <cell r="AA746" t="str">
            <v>H+L</v>
          </cell>
          <cell r="AB746">
            <v>70</v>
          </cell>
          <cell r="AC746">
            <v>50</v>
          </cell>
          <cell r="AD746" t="str">
            <v>Slant</v>
          </cell>
          <cell r="AE746" t="str">
            <v>Duplex</v>
          </cell>
          <cell r="AF746" t="str">
            <v>568 - Without Partition</v>
          </cell>
          <cell r="AG746" t="str">
            <v xml:space="preserve">Without Partition </v>
          </cell>
          <cell r="AH746" t="str">
            <v xml:space="preserve">Without Partition </v>
          </cell>
          <cell r="AI746" t="str">
            <v>GREEN</v>
          </cell>
          <cell r="AJ746" t="str">
            <v>Slant / GREEN</v>
          </cell>
          <cell r="AK746">
            <v>1050000</v>
          </cell>
          <cell r="AL746">
            <v>15000</v>
          </cell>
          <cell r="AM746">
            <v>1650000</v>
          </cell>
          <cell r="AN746">
            <v>33000</v>
          </cell>
          <cell r="AO746">
            <v>150000</v>
          </cell>
          <cell r="AP746">
            <v>2850000</v>
          </cell>
          <cell r="AQ746"/>
          <cell r="AR746">
            <v>2850000</v>
          </cell>
          <cell r="AS746">
            <v>200000</v>
          </cell>
          <cell r="AT746">
            <v>2650000</v>
          </cell>
          <cell r="AU746">
            <v>100000</v>
          </cell>
          <cell r="AV746">
            <v>2550000</v>
          </cell>
          <cell r="AW746">
            <v>0</v>
          </cell>
          <cell r="AX746">
            <v>2550000</v>
          </cell>
        </row>
        <row r="747">
          <cell r="G747" t="str">
            <v>AGM-01-036-001</v>
          </cell>
          <cell r="H747" t="str">
            <v xml:space="preserve">Raemulan Lands, Inc. </v>
          </cell>
          <cell r="I747" t="str">
            <v>Agapeya</v>
          </cell>
          <cell r="J747" t="str">
            <v>AGM</v>
          </cell>
          <cell r="K747" t="str">
            <v>Eco-High</v>
          </cell>
          <cell r="L747" t="str">
            <v>West</v>
          </cell>
          <cell r="M747" t="str">
            <v>With LTS - 2024</v>
          </cell>
          <cell r="N747" t="str">
            <v>YES</v>
          </cell>
          <cell r="O747" t="str">
            <v>YES</v>
          </cell>
          <cell r="P747" t="str">
            <v>Unaffected lots</v>
          </cell>
          <cell r="Q747" t="str">
            <v>YES</v>
          </cell>
          <cell r="R747">
            <v>95</v>
          </cell>
          <cell r="S747" t="str">
            <v>PCS-04-034298</v>
          </cell>
          <cell r="T747" t="str">
            <v>TCT-060-2024021858</v>
          </cell>
          <cell r="U747" t="b">
            <v>1</v>
          </cell>
          <cell r="V747" t="str">
            <v>Done</v>
          </cell>
          <cell r="W747" t="str">
            <v>B5 2025</v>
          </cell>
          <cell r="X747" t="str">
            <v>2025 - Batch 4</v>
          </cell>
          <cell r="Y747">
            <v>36</v>
          </cell>
          <cell r="Z747">
            <v>1</v>
          </cell>
          <cell r="AA747" t="str">
            <v>H+L</v>
          </cell>
          <cell r="AB747">
            <v>95</v>
          </cell>
          <cell r="AC747">
            <v>50</v>
          </cell>
          <cell r="AD747" t="str">
            <v>Slant</v>
          </cell>
          <cell r="AE747" t="str">
            <v>Duplex</v>
          </cell>
          <cell r="AF747" t="str">
            <v>568 - Without Partition</v>
          </cell>
          <cell r="AG747" t="str">
            <v xml:space="preserve">Without Partition </v>
          </cell>
          <cell r="AH747" t="str">
            <v xml:space="preserve">Without Partition </v>
          </cell>
          <cell r="AI747" t="str">
            <v>PINK</v>
          </cell>
          <cell r="AJ747" t="str">
            <v>Slant / PINK</v>
          </cell>
          <cell r="AK747">
            <v>1425000</v>
          </cell>
          <cell r="AL747">
            <v>15000</v>
          </cell>
          <cell r="AM747">
            <v>1650000</v>
          </cell>
          <cell r="AN747">
            <v>33000</v>
          </cell>
          <cell r="AO747">
            <v>150000</v>
          </cell>
          <cell r="AP747">
            <v>3225000</v>
          </cell>
          <cell r="AQ747"/>
          <cell r="AR747">
            <v>3225000</v>
          </cell>
          <cell r="AS747">
            <v>200000</v>
          </cell>
          <cell r="AT747">
            <v>3025000</v>
          </cell>
          <cell r="AU747">
            <v>100000</v>
          </cell>
          <cell r="AV747">
            <v>2925000</v>
          </cell>
          <cell r="AW747">
            <v>0</v>
          </cell>
          <cell r="AX747">
            <v>2925000</v>
          </cell>
        </row>
        <row r="748">
          <cell r="G748" t="str">
            <v>AGM-01-036-002</v>
          </cell>
          <cell r="H748" t="str">
            <v xml:space="preserve">Raemulan Lands, Inc. </v>
          </cell>
          <cell r="I748" t="str">
            <v>Agapeya</v>
          </cell>
          <cell r="J748" t="str">
            <v>AGM</v>
          </cell>
          <cell r="K748" t="str">
            <v>Eco-High</v>
          </cell>
          <cell r="L748" t="str">
            <v>West</v>
          </cell>
          <cell r="M748" t="str">
            <v>With LTS - 2024</v>
          </cell>
          <cell r="N748" t="str">
            <v>YES</v>
          </cell>
          <cell r="O748" t="str">
            <v>YES</v>
          </cell>
          <cell r="P748" t="str">
            <v>Unaffected lots</v>
          </cell>
          <cell r="Q748" t="str">
            <v>YES</v>
          </cell>
          <cell r="R748">
            <v>90</v>
          </cell>
          <cell r="S748" t="str">
            <v>PCS-04-034298</v>
          </cell>
          <cell r="T748" t="str">
            <v>TCT-060-2024021859</v>
          </cell>
          <cell r="U748" t="b">
            <v>1</v>
          </cell>
          <cell r="V748" t="str">
            <v>Done</v>
          </cell>
          <cell r="W748" t="str">
            <v>B5 2025</v>
          </cell>
          <cell r="X748" t="str">
            <v>2025 - Batch 4</v>
          </cell>
          <cell r="Y748">
            <v>36</v>
          </cell>
          <cell r="Z748">
            <v>2</v>
          </cell>
          <cell r="AA748" t="str">
            <v>H+L</v>
          </cell>
          <cell r="AB748">
            <v>90</v>
          </cell>
          <cell r="AC748">
            <v>50</v>
          </cell>
          <cell r="AD748" t="str">
            <v>Flat</v>
          </cell>
          <cell r="AE748" t="str">
            <v>Duplex</v>
          </cell>
          <cell r="AF748" t="str">
            <v>568 - Without Partition</v>
          </cell>
          <cell r="AG748" t="str">
            <v xml:space="preserve">Without Partition </v>
          </cell>
          <cell r="AH748" t="str">
            <v xml:space="preserve">Without Partition </v>
          </cell>
          <cell r="AI748" t="str">
            <v>PINK</v>
          </cell>
          <cell r="AJ748" t="str">
            <v>Flat / PINK</v>
          </cell>
          <cell r="AK748">
            <v>1350000</v>
          </cell>
          <cell r="AL748">
            <v>15000</v>
          </cell>
          <cell r="AM748">
            <v>1650000</v>
          </cell>
          <cell r="AN748">
            <v>33000</v>
          </cell>
          <cell r="AO748">
            <v>150000</v>
          </cell>
          <cell r="AP748">
            <v>3150000</v>
          </cell>
          <cell r="AQ748"/>
          <cell r="AR748">
            <v>3150000</v>
          </cell>
          <cell r="AS748">
            <v>200000</v>
          </cell>
          <cell r="AT748">
            <v>2950000</v>
          </cell>
          <cell r="AU748">
            <v>100000</v>
          </cell>
          <cell r="AV748">
            <v>2850000</v>
          </cell>
          <cell r="AW748">
            <v>0</v>
          </cell>
          <cell r="AX748">
            <v>2850000</v>
          </cell>
        </row>
        <row r="749">
          <cell r="G749" t="str">
            <v>AGM-01-036-003</v>
          </cell>
          <cell r="H749" t="str">
            <v xml:space="preserve">Raemulan Lands, Inc. </v>
          </cell>
          <cell r="I749" t="str">
            <v>Agapeya</v>
          </cell>
          <cell r="J749" t="str">
            <v>AGM</v>
          </cell>
          <cell r="K749" t="str">
            <v>Eco-High</v>
          </cell>
          <cell r="L749" t="str">
            <v>West</v>
          </cell>
          <cell r="M749" t="str">
            <v>With LTS - 2024</v>
          </cell>
          <cell r="N749" t="str">
            <v>YES</v>
          </cell>
          <cell r="O749" t="str">
            <v>YES</v>
          </cell>
          <cell r="P749" t="str">
            <v>Unaffected lots</v>
          </cell>
          <cell r="Q749" t="str">
            <v>YES</v>
          </cell>
          <cell r="R749">
            <v>90</v>
          </cell>
          <cell r="S749" t="str">
            <v>PCS-04-034298</v>
          </cell>
          <cell r="T749" t="str">
            <v>TCT-060-2024021860</v>
          </cell>
          <cell r="U749" t="b">
            <v>1</v>
          </cell>
          <cell r="V749" t="str">
            <v>Done</v>
          </cell>
          <cell r="W749" t="str">
            <v>B5 2025</v>
          </cell>
          <cell r="X749" t="str">
            <v>2025 - Batch 4</v>
          </cell>
          <cell r="Y749">
            <v>36</v>
          </cell>
          <cell r="Z749">
            <v>3</v>
          </cell>
          <cell r="AA749" t="str">
            <v>H+L</v>
          </cell>
          <cell r="AB749">
            <v>90</v>
          </cell>
          <cell r="AC749">
            <v>50</v>
          </cell>
          <cell r="AD749" t="str">
            <v>Flat</v>
          </cell>
          <cell r="AE749" t="str">
            <v>Duplex</v>
          </cell>
          <cell r="AF749" t="str">
            <v>568 - Without Partition</v>
          </cell>
          <cell r="AG749" t="str">
            <v xml:space="preserve">Without Partition </v>
          </cell>
          <cell r="AH749" t="str">
            <v xml:space="preserve">Without Partition </v>
          </cell>
          <cell r="AI749" t="str">
            <v>PINK</v>
          </cell>
          <cell r="AJ749" t="str">
            <v>Flat / PINK</v>
          </cell>
          <cell r="AK749">
            <v>1350000</v>
          </cell>
          <cell r="AL749">
            <v>15000</v>
          </cell>
          <cell r="AM749">
            <v>1650000</v>
          </cell>
          <cell r="AN749">
            <v>33000</v>
          </cell>
          <cell r="AO749">
            <v>150000</v>
          </cell>
          <cell r="AP749">
            <v>3150000</v>
          </cell>
          <cell r="AQ749"/>
          <cell r="AR749">
            <v>3150000</v>
          </cell>
          <cell r="AS749">
            <v>200000</v>
          </cell>
          <cell r="AT749">
            <v>2950000</v>
          </cell>
          <cell r="AU749">
            <v>100000</v>
          </cell>
          <cell r="AV749">
            <v>2850000</v>
          </cell>
          <cell r="AW749">
            <v>0</v>
          </cell>
          <cell r="AX749">
            <v>2850000</v>
          </cell>
        </row>
        <row r="750">
          <cell r="G750" t="str">
            <v>AGM-01-036-004</v>
          </cell>
          <cell r="H750" t="str">
            <v xml:space="preserve">Raemulan Lands, Inc. </v>
          </cell>
          <cell r="I750" t="str">
            <v>Agapeya</v>
          </cell>
          <cell r="J750" t="str">
            <v>AGM</v>
          </cell>
          <cell r="K750" t="str">
            <v>Eco-High</v>
          </cell>
          <cell r="L750" t="str">
            <v>West</v>
          </cell>
          <cell r="M750" t="str">
            <v>Without LTS</v>
          </cell>
          <cell r="N750"/>
          <cell r="O750"/>
          <cell r="P750" t="str">
            <v>Unaffected lots</v>
          </cell>
          <cell r="Q750" t="str">
            <v>NO</v>
          </cell>
          <cell r="R750">
            <v>90</v>
          </cell>
          <cell r="S750" t="str">
            <v>PCN-04-004518</v>
          </cell>
          <cell r="T750" t="str">
            <v>TCT-060-2026007145</v>
          </cell>
          <cell r="U750" t="b">
            <v>1</v>
          </cell>
          <cell r="V750" t="str">
            <v>Done</v>
          </cell>
          <cell r="W750" t="str">
            <v>B5 2025</v>
          </cell>
          <cell r="X750" t="str">
            <v>2025 - Batch 4</v>
          </cell>
          <cell r="Y750">
            <v>36</v>
          </cell>
          <cell r="Z750">
            <v>4</v>
          </cell>
          <cell r="AA750" t="str">
            <v>H+L</v>
          </cell>
          <cell r="AB750">
            <v>90</v>
          </cell>
          <cell r="AC750">
            <v>50</v>
          </cell>
          <cell r="AD750" t="str">
            <v>Slant</v>
          </cell>
          <cell r="AE750" t="str">
            <v>Duplex</v>
          </cell>
          <cell r="AF750" t="str">
            <v>568 - Without Partition</v>
          </cell>
          <cell r="AG750" t="str">
            <v xml:space="preserve">Without Partition </v>
          </cell>
          <cell r="AH750" t="str">
            <v xml:space="preserve">Without Partition </v>
          </cell>
          <cell r="AI750" t="str">
            <v>PINK</v>
          </cell>
          <cell r="AJ750" t="str">
            <v>Slant / PINK</v>
          </cell>
          <cell r="AK750">
            <v>1350000</v>
          </cell>
          <cell r="AL750">
            <v>15000</v>
          </cell>
          <cell r="AM750">
            <v>1650000</v>
          </cell>
          <cell r="AN750">
            <v>33000</v>
          </cell>
          <cell r="AO750">
            <v>150000</v>
          </cell>
          <cell r="AP750">
            <v>3150000</v>
          </cell>
          <cell r="AQ750"/>
          <cell r="AR750">
            <v>3150000</v>
          </cell>
          <cell r="AS750">
            <v>200000</v>
          </cell>
          <cell r="AT750">
            <v>2950000</v>
          </cell>
          <cell r="AU750">
            <v>100000</v>
          </cell>
          <cell r="AV750">
            <v>2850000</v>
          </cell>
          <cell r="AW750">
            <v>0</v>
          </cell>
          <cell r="AX750">
            <v>2850000</v>
          </cell>
        </row>
        <row r="751">
          <cell r="G751" t="str">
            <v>AGM-01-036-005</v>
          </cell>
          <cell r="H751" t="str">
            <v xml:space="preserve">Raemulan Lands, Inc. </v>
          </cell>
          <cell r="I751" t="str">
            <v>Agapeya</v>
          </cell>
          <cell r="J751" t="str">
            <v>AGM</v>
          </cell>
          <cell r="K751" t="str">
            <v>Eco-High</v>
          </cell>
          <cell r="L751" t="str">
            <v>West</v>
          </cell>
          <cell r="M751" t="str">
            <v>With LTS - 2026</v>
          </cell>
          <cell r="N751" t="str">
            <v>YES</v>
          </cell>
          <cell r="O751" t="str">
            <v>NO</v>
          </cell>
          <cell r="P751" t="str">
            <v>Unaffected lots</v>
          </cell>
          <cell r="Q751" t="str">
            <v>NO</v>
          </cell>
          <cell r="R751">
            <v>110</v>
          </cell>
          <cell r="S751" t="str">
            <v>PCS-04-034695</v>
          </cell>
          <cell r="T751" t="str">
            <v>TCT-060-2025019269</v>
          </cell>
          <cell r="U751" t="b">
            <v>1</v>
          </cell>
          <cell r="V751" t="str">
            <v>Done</v>
          </cell>
          <cell r="W751" t="str">
            <v>B5 2025</v>
          </cell>
          <cell r="X751" t="str">
            <v>2025 - Batch 4</v>
          </cell>
          <cell r="Y751">
            <v>36</v>
          </cell>
          <cell r="Z751">
            <v>5</v>
          </cell>
          <cell r="AA751" t="str">
            <v>H+L</v>
          </cell>
          <cell r="AB751">
            <v>110</v>
          </cell>
          <cell r="AC751">
            <v>50</v>
          </cell>
          <cell r="AD751" t="str">
            <v>Slant</v>
          </cell>
          <cell r="AE751" t="str">
            <v>Duplex</v>
          </cell>
          <cell r="AF751" t="str">
            <v>568 - Without Partition</v>
          </cell>
          <cell r="AG751" t="str">
            <v xml:space="preserve">Without Partition </v>
          </cell>
          <cell r="AH751" t="str">
            <v xml:space="preserve">Without Partition </v>
          </cell>
          <cell r="AI751" t="str">
            <v>YELLOW</v>
          </cell>
          <cell r="AJ751" t="str">
            <v>Slant / YELLOW</v>
          </cell>
          <cell r="AK751">
            <v>1650000</v>
          </cell>
          <cell r="AL751">
            <v>15000</v>
          </cell>
          <cell r="AM751">
            <v>1650000</v>
          </cell>
          <cell r="AN751">
            <v>33000</v>
          </cell>
          <cell r="AO751">
            <v>150000</v>
          </cell>
          <cell r="AP751">
            <v>3450000</v>
          </cell>
          <cell r="AQ751"/>
          <cell r="AR751">
            <v>3450000</v>
          </cell>
          <cell r="AS751">
            <v>200000</v>
          </cell>
          <cell r="AT751">
            <v>3250000</v>
          </cell>
          <cell r="AU751">
            <v>100000</v>
          </cell>
          <cell r="AV751">
            <v>3150000</v>
          </cell>
          <cell r="AW751">
            <v>0</v>
          </cell>
          <cell r="AX751">
            <v>3150000</v>
          </cell>
        </row>
        <row r="752">
          <cell r="G752" t="str">
            <v>AGM-01-036-006</v>
          </cell>
          <cell r="H752" t="str">
            <v xml:space="preserve">Raemulan Lands, Inc. </v>
          </cell>
          <cell r="I752" t="str">
            <v>Agapeya</v>
          </cell>
          <cell r="J752" t="str">
            <v>AGM</v>
          </cell>
          <cell r="K752" t="str">
            <v>Eco-High</v>
          </cell>
          <cell r="L752" t="str">
            <v>West</v>
          </cell>
          <cell r="M752" t="str">
            <v>With LTS - 2026</v>
          </cell>
          <cell r="N752" t="str">
            <v>YES</v>
          </cell>
          <cell r="O752" t="str">
            <v>NO</v>
          </cell>
          <cell r="P752" t="str">
            <v>Unaffected lots</v>
          </cell>
          <cell r="Q752" t="str">
            <v>NO</v>
          </cell>
          <cell r="R752">
            <v>100</v>
          </cell>
          <cell r="S752" t="str">
            <v>PCS-04-034695</v>
          </cell>
          <cell r="T752" t="str">
            <v>TCT-060-2025019270</v>
          </cell>
          <cell r="U752" t="b">
            <v>1</v>
          </cell>
          <cell r="V752" t="str">
            <v>Done</v>
          </cell>
          <cell r="W752" t="str">
            <v>B5 2025</v>
          </cell>
          <cell r="X752" t="str">
            <v>2025 - Batch 4</v>
          </cell>
          <cell r="Y752">
            <v>36</v>
          </cell>
          <cell r="Z752">
            <v>6</v>
          </cell>
          <cell r="AA752" t="str">
            <v>H+L</v>
          </cell>
          <cell r="AB752">
            <v>100</v>
          </cell>
          <cell r="AC752">
            <v>50</v>
          </cell>
          <cell r="AD752" t="str">
            <v>Flat</v>
          </cell>
          <cell r="AE752" t="str">
            <v>Duplex</v>
          </cell>
          <cell r="AF752" t="str">
            <v>568 - Without Partition</v>
          </cell>
          <cell r="AG752" t="str">
            <v xml:space="preserve">Without Partition </v>
          </cell>
          <cell r="AH752" t="str">
            <v xml:space="preserve">Without Partition </v>
          </cell>
          <cell r="AI752" t="str">
            <v>YELLOW</v>
          </cell>
          <cell r="AJ752" t="str">
            <v>Flat / YELLOW</v>
          </cell>
          <cell r="AK752">
            <v>1500000</v>
          </cell>
          <cell r="AL752">
            <v>15000</v>
          </cell>
          <cell r="AM752">
            <v>1650000</v>
          </cell>
          <cell r="AN752">
            <v>33000</v>
          </cell>
          <cell r="AO752">
            <v>150000</v>
          </cell>
          <cell r="AP752">
            <v>3300000</v>
          </cell>
          <cell r="AQ752"/>
          <cell r="AR752">
            <v>3300000</v>
          </cell>
          <cell r="AS752">
            <v>200000</v>
          </cell>
          <cell r="AT752">
            <v>3100000</v>
          </cell>
          <cell r="AU752">
            <v>100000</v>
          </cell>
          <cell r="AV752">
            <v>3000000</v>
          </cell>
          <cell r="AW752">
            <v>0</v>
          </cell>
          <cell r="AX752">
            <v>3000000</v>
          </cell>
        </row>
        <row r="753">
          <cell r="G753" t="str">
            <v>AGM-01-037-001</v>
          </cell>
          <cell r="H753" t="str">
            <v xml:space="preserve">Raemulan Lands, Inc. </v>
          </cell>
          <cell r="I753" t="str">
            <v>Agapeya</v>
          </cell>
          <cell r="J753" t="str">
            <v>AGM</v>
          </cell>
          <cell r="K753" t="str">
            <v>Eco-High</v>
          </cell>
          <cell r="L753" t="str">
            <v>West</v>
          </cell>
          <cell r="M753" t="str">
            <v>With LTS - 2026</v>
          </cell>
          <cell r="N753" t="str">
            <v>YES</v>
          </cell>
          <cell r="O753" t="str">
            <v>NO</v>
          </cell>
          <cell r="P753" t="str">
            <v>Unaffected lots</v>
          </cell>
          <cell r="Q753" t="str">
            <v>NO</v>
          </cell>
          <cell r="R753">
            <v>100</v>
          </cell>
          <cell r="S753" t="str">
            <v>PCS-04-034695</v>
          </cell>
          <cell r="T753" t="str">
            <v>TCT-060-2025019271</v>
          </cell>
          <cell r="U753" t="b">
            <v>1</v>
          </cell>
          <cell r="V753" t="str">
            <v>Done</v>
          </cell>
          <cell r="W753" t="str">
            <v>B5 2025</v>
          </cell>
          <cell r="X753" t="str">
            <v>2025 - Batch 4</v>
          </cell>
          <cell r="Y753">
            <v>37</v>
          </cell>
          <cell r="Z753">
            <v>1</v>
          </cell>
          <cell r="AA753" t="str">
            <v>H+L</v>
          </cell>
          <cell r="AB753">
            <v>100</v>
          </cell>
          <cell r="AC753">
            <v>50</v>
          </cell>
          <cell r="AD753" t="str">
            <v>Slant</v>
          </cell>
          <cell r="AE753" t="str">
            <v>Duplex</v>
          </cell>
          <cell r="AF753" t="str">
            <v>568 - Without Partition</v>
          </cell>
          <cell r="AG753" t="str">
            <v xml:space="preserve">Without Partition </v>
          </cell>
          <cell r="AH753" t="str">
            <v xml:space="preserve">Without Partition </v>
          </cell>
          <cell r="AI753" t="str">
            <v>YELLOW</v>
          </cell>
          <cell r="AJ753" t="str">
            <v>Slant / YELLOW</v>
          </cell>
          <cell r="AK753">
            <v>1500000</v>
          </cell>
          <cell r="AL753">
            <v>15000</v>
          </cell>
          <cell r="AM753">
            <v>1650000</v>
          </cell>
          <cell r="AN753">
            <v>33000</v>
          </cell>
          <cell r="AO753">
            <v>150000</v>
          </cell>
          <cell r="AP753">
            <v>3300000</v>
          </cell>
          <cell r="AQ753"/>
          <cell r="AR753">
            <v>3300000</v>
          </cell>
          <cell r="AS753">
            <v>200000</v>
          </cell>
          <cell r="AT753">
            <v>3100000</v>
          </cell>
          <cell r="AU753">
            <v>100000</v>
          </cell>
          <cell r="AV753">
            <v>3000000</v>
          </cell>
          <cell r="AW753">
            <v>0</v>
          </cell>
          <cell r="AX753">
            <v>3000000</v>
          </cell>
        </row>
        <row r="754">
          <cell r="G754" t="str">
            <v>AGM-01-037-002</v>
          </cell>
          <cell r="H754" t="str">
            <v xml:space="preserve">Raemulan Lands, Inc. </v>
          </cell>
          <cell r="I754" t="str">
            <v>Agapeya</v>
          </cell>
          <cell r="J754" t="str">
            <v>AGM</v>
          </cell>
          <cell r="K754" t="str">
            <v>Eco-High</v>
          </cell>
          <cell r="L754" t="str">
            <v>West</v>
          </cell>
          <cell r="M754" t="str">
            <v>With LTS - 2026</v>
          </cell>
          <cell r="N754" t="str">
            <v>YES</v>
          </cell>
          <cell r="O754" t="str">
            <v>NO</v>
          </cell>
          <cell r="P754" t="str">
            <v>Unaffected lots</v>
          </cell>
          <cell r="Q754" t="str">
            <v>NO</v>
          </cell>
          <cell r="R754">
            <v>110</v>
          </cell>
          <cell r="S754" t="str">
            <v>PCS-04-034695</v>
          </cell>
          <cell r="T754" t="str">
            <v>TCT-060-2025019272</v>
          </cell>
          <cell r="U754" t="b">
            <v>1</v>
          </cell>
          <cell r="V754" t="str">
            <v>Done</v>
          </cell>
          <cell r="W754" t="str">
            <v>B5 2025</v>
          </cell>
          <cell r="X754" t="str">
            <v>2025 - Batch 4</v>
          </cell>
          <cell r="Y754">
            <v>37</v>
          </cell>
          <cell r="Z754">
            <v>2</v>
          </cell>
          <cell r="AA754" t="str">
            <v>H+L</v>
          </cell>
          <cell r="AB754">
            <v>110</v>
          </cell>
          <cell r="AC754">
            <v>50</v>
          </cell>
          <cell r="AD754" t="str">
            <v>Flat</v>
          </cell>
          <cell r="AE754" t="str">
            <v>Duplex</v>
          </cell>
          <cell r="AF754" t="str">
            <v>568 - Without Partition</v>
          </cell>
          <cell r="AG754" t="str">
            <v xml:space="preserve">Without Partition </v>
          </cell>
          <cell r="AH754" t="str">
            <v xml:space="preserve">Without Partition </v>
          </cell>
          <cell r="AI754" t="str">
            <v>YELLOW</v>
          </cell>
          <cell r="AJ754" t="str">
            <v>Flat / YELLOW</v>
          </cell>
          <cell r="AK754">
            <v>1650000</v>
          </cell>
          <cell r="AL754">
            <v>15000</v>
          </cell>
          <cell r="AM754">
            <v>1650000</v>
          </cell>
          <cell r="AN754">
            <v>33000</v>
          </cell>
          <cell r="AO754">
            <v>150000</v>
          </cell>
          <cell r="AP754">
            <v>3450000</v>
          </cell>
          <cell r="AQ754"/>
          <cell r="AR754">
            <v>3450000</v>
          </cell>
          <cell r="AS754">
            <v>200000</v>
          </cell>
          <cell r="AT754">
            <v>3250000</v>
          </cell>
          <cell r="AU754">
            <v>100000</v>
          </cell>
          <cell r="AV754">
            <v>3150000</v>
          </cell>
          <cell r="AW754">
            <v>0</v>
          </cell>
          <cell r="AX754">
            <v>3150000</v>
          </cell>
        </row>
        <row r="755">
          <cell r="G755" t="str">
            <v>AGM-01-037-003</v>
          </cell>
          <cell r="H755" t="str">
            <v xml:space="preserve">Raemulan Lands, Inc. </v>
          </cell>
          <cell r="I755" t="str">
            <v>Agapeya</v>
          </cell>
          <cell r="J755" t="str">
            <v>AGM</v>
          </cell>
          <cell r="K755" t="str">
            <v>Eco-High</v>
          </cell>
          <cell r="L755" t="str">
            <v>West</v>
          </cell>
          <cell r="M755" t="str">
            <v>With LTS - 2026</v>
          </cell>
          <cell r="N755" t="str">
            <v>YES</v>
          </cell>
          <cell r="O755" t="str">
            <v>NO</v>
          </cell>
          <cell r="P755" t="str">
            <v>Unaffected lots</v>
          </cell>
          <cell r="Q755" t="str">
            <v>NO</v>
          </cell>
          <cell r="R755">
            <v>110</v>
          </cell>
          <cell r="S755" t="str">
            <v>PCS-04-034695</v>
          </cell>
          <cell r="T755" t="str">
            <v>TCT-060-2025019273</v>
          </cell>
          <cell r="U755" t="b">
            <v>1</v>
          </cell>
          <cell r="V755" t="str">
            <v>Done</v>
          </cell>
          <cell r="W755" t="str">
            <v>B5 2025</v>
          </cell>
          <cell r="X755" t="str">
            <v>2025 - Batch 4</v>
          </cell>
          <cell r="Y755">
            <v>37</v>
          </cell>
          <cell r="Z755">
            <v>3</v>
          </cell>
          <cell r="AA755" t="str">
            <v>H+L</v>
          </cell>
          <cell r="AB755">
            <v>110</v>
          </cell>
          <cell r="AC755">
            <v>50</v>
          </cell>
          <cell r="AD755" t="str">
            <v>Slant</v>
          </cell>
          <cell r="AE755" t="str">
            <v>Duplex</v>
          </cell>
          <cell r="AF755" t="str">
            <v>568 - Without Partition</v>
          </cell>
          <cell r="AG755" t="str">
            <v xml:space="preserve">Without Partition </v>
          </cell>
          <cell r="AH755" t="str">
            <v xml:space="preserve">Without Partition </v>
          </cell>
          <cell r="AI755" t="str">
            <v>PURPLE</v>
          </cell>
          <cell r="AJ755" t="str">
            <v>Slant / PURPLE</v>
          </cell>
          <cell r="AK755">
            <v>1650000</v>
          </cell>
          <cell r="AL755">
            <v>15000</v>
          </cell>
          <cell r="AM755">
            <v>1650000</v>
          </cell>
          <cell r="AN755">
            <v>33000</v>
          </cell>
          <cell r="AO755">
            <v>150000</v>
          </cell>
          <cell r="AP755">
            <v>3450000</v>
          </cell>
          <cell r="AQ755"/>
          <cell r="AR755">
            <v>3450000</v>
          </cell>
          <cell r="AS755">
            <v>200000</v>
          </cell>
          <cell r="AT755">
            <v>3250000</v>
          </cell>
          <cell r="AU755">
            <v>100000</v>
          </cell>
          <cell r="AV755">
            <v>3150000</v>
          </cell>
          <cell r="AW755">
            <v>0</v>
          </cell>
          <cell r="AX755">
            <v>3150000</v>
          </cell>
        </row>
        <row r="756">
          <cell r="G756" t="str">
            <v>AGM-01-037-004</v>
          </cell>
          <cell r="H756" t="str">
            <v xml:space="preserve">Raemulan Lands, Inc. </v>
          </cell>
          <cell r="I756" t="str">
            <v>Agapeya</v>
          </cell>
          <cell r="J756" t="str">
            <v>AGM</v>
          </cell>
          <cell r="K756" t="str">
            <v>Eco-High</v>
          </cell>
          <cell r="L756" t="str">
            <v>West</v>
          </cell>
          <cell r="M756" t="str">
            <v>With LTS - 2026</v>
          </cell>
          <cell r="N756" t="str">
            <v>YES</v>
          </cell>
          <cell r="O756" t="str">
            <v>NO</v>
          </cell>
          <cell r="P756" t="str">
            <v>Unaffected lots</v>
          </cell>
          <cell r="Q756" t="str">
            <v>NO</v>
          </cell>
          <cell r="R756">
            <v>100</v>
          </cell>
          <cell r="S756" t="str">
            <v>PCS-04-034695</v>
          </cell>
          <cell r="T756" t="str">
            <v>TCT-060-2025019274</v>
          </cell>
          <cell r="U756" t="b">
            <v>1</v>
          </cell>
          <cell r="V756" t="str">
            <v>Done</v>
          </cell>
          <cell r="W756" t="str">
            <v>B5 2025</v>
          </cell>
          <cell r="X756" t="str">
            <v>2025 - Batch 4</v>
          </cell>
          <cell r="Y756">
            <v>37</v>
          </cell>
          <cell r="Z756">
            <v>4</v>
          </cell>
          <cell r="AA756" t="str">
            <v>H+L</v>
          </cell>
          <cell r="AB756">
            <v>100</v>
          </cell>
          <cell r="AC756">
            <v>50</v>
          </cell>
          <cell r="AD756" t="str">
            <v>Flat</v>
          </cell>
          <cell r="AE756" t="str">
            <v>Duplex</v>
          </cell>
          <cell r="AF756" t="str">
            <v>568 - Without Partition</v>
          </cell>
          <cell r="AG756" t="str">
            <v xml:space="preserve">Without Partition </v>
          </cell>
          <cell r="AH756" t="str">
            <v xml:space="preserve">Without Partition </v>
          </cell>
          <cell r="AI756" t="str">
            <v>PURPLE</v>
          </cell>
          <cell r="AJ756" t="str">
            <v>Flat / PURPLE</v>
          </cell>
          <cell r="AK756">
            <v>1500000</v>
          </cell>
          <cell r="AL756">
            <v>15000</v>
          </cell>
          <cell r="AM756">
            <v>1650000</v>
          </cell>
          <cell r="AN756">
            <v>33000</v>
          </cell>
          <cell r="AO756">
            <v>150000</v>
          </cell>
          <cell r="AP756">
            <v>3300000</v>
          </cell>
          <cell r="AQ756"/>
          <cell r="AR756">
            <v>3300000</v>
          </cell>
          <cell r="AS756">
            <v>200000</v>
          </cell>
          <cell r="AT756">
            <v>3100000</v>
          </cell>
          <cell r="AU756">
            <v>100000</v>
          </cell>
          <cell r="AV756">
            <v>3000000</v>
          </cell>
          <cell r="AW756">
            <v>0</v>
          </cell>
          <cell r="AX756">
            <v>3000000</v>
          </cell>
        </row>
        <row r="757">
          <cell r="G757" t="str">
            <v>AGM-01-038-001</v>
          </cell>
          <cell r="H757" t="str">
            <v xml:space="preserve">Raemulan Lands, Inc. </v>
          </cell>
          <cell r="I757" t="str">
            <v>Agapeya</v>
          </cell>
          <cell r="J757" t="str">
            <v>AGM</v>
          </cell>
          <cell r="K757" t="str">
            <v>Eco-High</v>
          </cell>
          <cell r="L757" t="str">
            <v>West</v>
          </cell>
          <cell r="M757" t="str">
            <v>With LTS - 2024</v>
          </cell>
          <cell r="N757" t="str">
            <v>YES</v>
          </cell>
          <cell r="O757" t="str">
            <v>YES</v>
          </cell>
          <cell r="P757" t="str">
            <v>Unaffected lots</v>
          </cell>
          <cell r="Q757" t="str">
            <v>YES</v>
          </cell>
          <cell r="R757">
            <v>70</v>
          </cell>
          <cell r="S757" t="str">
            <v>PCS-04-034298</v>
          </cell>
          <cell r="T757" t="str">
            <v>TCT-060-2024021862</v>
          </cell>
          <cell r="U757" t="b">
            <v>1</v>
          </cell>
          <cell r="V757" t="str">
            <v>Done</v>
          </cell>
          <cell r="W757" t="str">
            <v>2024 Batch</v>
          </cell>
          <cell r="X757" t="str">
            <v>2024 Batch</v>
          </cell>
          <cell r="Y757">
            <v>38</v>
          </cell>
          <cell r="Z757">
            <v>1</v>
          </cell>
          <cell r="AA757" t="str">
            <v>H+L</v>
          </cell>
          <cell r="AB757">
            <v>70</v>
          </cell>
          <cell r="AC757">
            <v>50</v>
          </cell>
          <cell r="AD757" t="str">
            <v>Flat</v>
          </cell>
          <cell r="AE757" t="str">
            <v>Duplex</v>
          </cell>
          <cell r="AF757" t="str">
            <v>326 - With Partition</v>
          </cell>
          <cell r="AG757" t="str">
            <v xml:space="preserve">Without Partition </v>
          </cell>
          <cell r="AH757" t="str">
            <v xml:space="preserve">Without Partition </v>
          </cell>
          <cell r="AI757" t="str">
            <v>YELLOW</v>
          </cell>
          <cell r="AJ757" t="str">
            <v>Flat / YELLOW</v>
          </cell>
          <cell r="AK757">
            <v>1050000</v>
          </cell>
          <cell r="AL757">
            <v>15000</v>
          </cell>
          <cell r="AM757">
            <v>1650000</v>
          </cell>
          <cell r="AN757">
            <v>33000</v>
          </cell>
          <cell r="AO757">
            <v>150000</v>
          </cell>
          <cell r="AP757">
            <v>2850000</v>
          </cell>
          <cell r="AQ757"/>
          <cell r="AR757">
            <v>2850000</v>
          </cell>
          <cell r="AS757">
            <v>200000</v>
          </cell>
          <cell r="AT757">
            <v>2650000</v>
          </cell>
          <cell r="AU757">
            <v>100000</v>
          </cell>
          <cell r="AV757">
            <v>2550000</v>
          </cell>
          <cell r="AW757">
            <v>0</v>
          </cell>
          <cell r="AX757">
            <v>2550000</v>
          </cell>
        </row>
        <row r="758">
          <cell r="G758" t="str">
            <v>AGM-01-038-002</v>
          </cell>
          <cell r="H758" t="str">
            <v xml:space="preserve">Raemulan Lands, Inc. </v>
          </cell>
          <cell r="I758" t="str">
            <v>Agapeya</v>
          </cell>
          <cell r="J758" t="str">
            <v>AGM</v>
          </cell>
          <cell r="K758" t="str">
            <v>Eco-High</v>
          </cell>
          <cell r="L758" t="str">
            <v>West</v>
          </cell>
          <cell r="M758" t="str">
            <v>With LTS - 2024</v>
          </cell>
          <cell r="N758" t="str">
            <v>YES</v>
          </cell>
          <cell r="O758" t="str">
            <v>YES</v>
          </cell>
          <cell r="P758" t="str">
            <v>Unaffected lots</v>
          </cell>
          <cell r="Q758" t="str">
            <v>YES</v>
          </cell>
          <cell r="R758">
            <v>70</v>
          </cell>
          <cell r="S758" t="str">
            <v>PCS-04-034298</v>
          </cell>
          <cell r="T758" t="str">
            <v>TCT-060-2024021863</v>
          </cell>
          <cell r="U758" t="b">
            <v>1</v>
          </cell>
          <cell r="V758" t="str">
            <v>Done</v>
          </cell>
          <cell r="W758" t="str">
            <v>2024 Batch</v>
          </cell>
          <cell r="X758" t="str">
            <v>2024 Batch</v>
          </cell>
          <cell r="Y758">
            <v>38</v>
          </cell>
          <cell r="Z758">
            <v>2</v>
          </cell>
          <cell r="AA758" t="str">
            <v>H+L</v>
          </cell>
          <cell r="AB758">
            <v>70</v>
          </cell>
          <cell r="AC758">
            <v>50</v>
          </cell>
          <cell r="AD758" t="str">
            <v>Slant</v>
          </cell>
          <cell r="AE758" t="str">
            <v>Duplex</v>
          </cell>
          <cell r="AF758" t="str">
            <v>326 - With Partition</v>
          </cell>
          <cell r="AG758" t="str">
            <v>With Partition</v>
          </cell>
          <cell r="AH758" t="str">
            <v>With Partition</v>
          </cell>
          <cell r="AI758" t="str">
            <v>YELLOW</v>
          </cell>
          <cell r="AJ758" t="str">
            <v>Slant / YELLOW</v>
          </cell>
          <cell r="AK758">
            <v>1050000</v>
          </cell>
          <cell r="AL758">
            <v>15000</v>
          </cell>
          <cell r="AM758">
            <v>1650000</v>
          </cell>
          <cell r="AN758">
            <v>33000</v>
          </cell>
          <cell r="AO758">
            <v>150000</v>
          </cell>
          <cell r="AP758">
            <v>2850000</v>
          </cell>
          <cell r="AQ758"/>
          <cell r="AR758">
            <v>2850000</v>
          </cell>
          <cell r="AS758">
            <v>0</v>
          </cell>
          <cell r="AT758">
            <v>2850000</v>
          </cell>
          <cell r="AU758">
            <v>100000</v>
          </cell>
          <cell r="AV758">
            <v>2750000</v>
          </cell>
          <cell r="AW758">
            <v>0</v>
          </cell>
          <cell r="AX758">
            <v>2750000</v>
          </cell>
        </row>
        <row r="759">
          <cell r="G759" t="str">
            <v>AGM-01-038-003</v>
          </cell>
          <cell r="H759" t="str">
            <v xml:space="preserve">Raemulan Lands, Inc. </v>
          </cell>
          <cell r="I759" t="str">
            <v>Agapeya</v>
          </cell>
          <cell r="J759" t="str">
            <v>AGM</v>
          </cell>
          <cell r="K759" t="str">
            <v>Eco-High</v>
          </cell>
          <cell r="L759" t="str">
            <v>West</v>
          </cell>
          <cell r="M759" t="str">
            <v>With LTS - 2024</v>
          </cell>
          <cell r="N759" t="str">
            <v>YES</v>
          </cell>
          <cell r="O759" t="str">
            <v>YES</v>
          </cell>
          <cell r="P759" t="str">
            <v>Unaffected lots</v>
          </cell>
          <cell r="Q759" t="str">
            <v>YES</v>
          </cell>
          <cell r="R759">
            <v>70</v>
          </cell>
          <cell r="S759" t="str">
            <v>PCS-04-034298</v>
          </cell>
          <cell r="T759" t="str">
            <v>TCT-060-2024021864</v>
          </cell>
          <cell r="U759" t="b">
            <v>1</v>
          </cell>
          <cell r="V759" t="str">
            <v>Done</v>
          </cell>
          <cell r="W759" t="str">
            <v>B1 2025</v>
          </cell>
          <cell r="X759" t="str">
            <v>2025 - Batch 2</v>
          </cell>
          <cell r="Y759">
            <v>38</v>
          </cell>
          <cell r="Z759">
            <v>3</v>
          </cell>
          <cell r="AA759" t="str">
            <v>H+L</v>
          </cell>
          <cell r="AB759">
            <v>70</v>
          </cell>
          <cell r="AC759">
            <v>50</v>
          </cell>
          <cell r="AD759" t="str">
            <v>Slant</v>
          </cell>
          <cell r="AE759" t="str">
            <v>Duplex</v>
          </cell>
          <cell r="AF759" t="str">
            <v>568 - Without Partition</v>
          </cell>
          <cell r="AG759" t="str">
            <v xml:space="preserve">Without Partition </v>
          </cell>
          <cell r="AH759" t="str">
            <v xml:space="preserve">Without Partition </v>
          </cell>
          <cell r="AI759" t="str">
            <v>PINK</v>
          </cell>
          <cell r="AJ759" t="str">
            <v>Slant / PINK</v>
          </cell>
          <cell r="AK759">
            <v>1050000</v>
          </cell>
          <cell r="AL759">
            <v>15000</v>
          </cell>
          <cell r="AM759">
            <v>1650000</v>
          </cell>
          <cell r="AN759">
            <v>33000</v>
          </cell>
          <cell r="AO759">
            <v>150000</v>
          </cell>
          <cell r="AP759">
            <v>2850000</v>
          </cell>
          <cell r="AQ759"/>
          <cell r="AR759">
            <v>2850000</v>
          </cell>
          <cell r="AS759">
            <v>200000</v>
          </cell>
          <cell r="AT759">
            <v>2650000</v>
          </cell>
          <cell r="AU759">
            <v>100000</v>
          </cell>
          <cell r="AV759">
            <v>2550000</v>
          </cell>
          <cell r="AW759">
            <v>0</v>
          </cell>
          <cell r="AX759">
            <v>2550000</v>
          </cell>
        </row>
        <row r="760">
          <cell r="G760" t="str">
            <v>AGM-01-038-004</v>
          </cell>
          <cell r="H760" t="str">
            <v xml:space="preserve">Raemulan Lands, Inc. </v>
          </cell>
          <cell r="I760" t="str">
            <v>Agapeya</v>
          </cell>
          <cell r="J760" t="str">
            <v>AGM</v>
          </cell>
          <cell r="K760" t="str">
            <v>Eco-High</v>
          </cell>
          <cell r="L760" t="str">
            <v>West</v>
          </cell>
          <cell r="M760" t="str">
            <v>With LTS - 2024</v>
          </cell>
          <cell r="N760" t="str">
            <v>YES</v>
          </cell>
          <cell r="O760" t="str">
            <v>YES</v>
          </cell>
          <cell r="P760" t="str">
            <v>Unaffected lots</v>
          </cell>
          <cell r="Q760" t="str">
            <v>YES</v>
          </cell>
          <cell r="R760">
            <v>70</v>
          </cell>
          <cell r="S760" t="str">
            <v>PCS-04-034298</v>
          </cell>
          <cell r="T760" t="str">
            <v>TCT-060-2024021865</v>
          </cell>
          <cell r="U760" t="b">
            <v>1</v>
          </cell>
          <cell r="V760" t="str">
            <v>Done</v>
          </cell>
          <cell r="W760" t="str">
            <v>B1 2025</v>
          </cell>
          <cell r="X760" t="str">
            <v>2025 - Batch 2</v>
          </cell>
          <cell r="Y760">
            <v>38</v>
          </cell>
          <cell r="Z760">
            <v>4</v>
          </cell>
          <cell r="AA760" t="str">
            <v>H+L</v>
          </cell>
          <cell r="AB760">
            <v>70</v>
          </cell>
          <cell r="AC760">
            <v>50</v>
          </cell>
          <cell r="AD760" t="str">
            <v>Flat</v>
          </cell>
          <cell r="AE760" t="str">
            <v>Duplex</v>
          </cell>
          <cell r="AF760" t="str">
            <v>568 - Without Partition</v>
          </cell>
          <cell r="AG760" t="str">
            <v xml:space="preserve">Without Partition </v>
          </cell>
          <cell r="AH760" t="str">
            <v xml:space="preserve">Without Partition </v>
          </cell>
          <cell r="AI760" t="str">
            <v>PINK</v>
          </cell>
          <cell r="AJ760" t="str">
            <v>Flat / PINK</v>
          </cell>
          <cell r="AK760">
            <v>1050000</v>
          </cell>
          <cell r="AL760">
            <v>15000</v>
          </cell>
          <cell r="AM760">
            <v>1650000</v>
          </cell>
          <cell r="AN760">
            <v>33000</v>
          </cell>
          <cell r="AO760">
            <v>150000</v>
          </cell>
          <cell r="AP760">
            <v>2850000</v>
          </cell>
          <cell r="AQ760"/>
          <cell r="AR760">
            <v>2850000</v>
          </cell>
          <cell r="AS760">
            <v>200000</v>
          </cell>
          <cell r="AT760">
            <v>2650000</v>
          </cell>
          <cell r="AU760">
            <v>100000</v>
          </cell>
          <cell r="AV760">
            <v>2550000</v>
          </cell>
          <cell r="AW760">
            <v>0</v>
          </cell>
          <cell r="AX760">
            <v>2550000</v>
          </cell>
        </row>
        <row r="761">
          <cell r="G761" t="str">
            <v>AGM-01-038-005</v>
          </cell>
          <cell r="H761" t="str">
            <v xml:space="preserve">Raemulan Lands, Inc. </v>
          </cell>
          <cell r="I761" t="str">
            <v>Agapeya</v>
          </cell>
          <cell r="J761" t="str">
            <v>AGM</v>
          </cell>
          <cell r="K761" t="str">
            <v>Eco-High</v>
          </cell>
          <cell r="L761" t="str">
            <v>West</v>
          </cell>
          <cell r="M761" t="str">
            <v>With LTS - 2024</v>
          </cell>
          <cell r="N761" t="str">
            <v>YES</v>
          </cell>
          <cell r="O761" t="str">
            <v>YES</v>
          </cell>
          <cell r="P761" t="str">
            <v>Unaffected lots</v>
          </cell>
          <cell r="Q761" t="str">
            <v>YES</v>
          </cell>
          <cell r="R761">
            <v>70</v>
          </cell>
          <cell r="S761" t="str">
            <v>PCS-04-034298</v>
          </cell>
          <cell r="T761" t="str">
            <v>TCT-060-2024021866</v>
          </cell>
          <cell r="U761" t="b">
            <v>1</v>
          </cell>
          <cell r="V761" t="str">
            <v>Done</v>
          </cell>
          <cell r="W761" t="str">
            <v>B1 2025</v>
          </cell>
          <cell r="X761" t="str">
            <v>2025 - Batch 2</v>
          </cell>
          <cell r="Y761">
            <v>38</v>
          </cell>
          <cell r="Z761">
            <v>5</v>
          </cell>
          <cell r="AA761" t="str">
            <v>H+L</v>
          </cell>
          <cell r="AB761">
            <v>70</v>
          </cell>
          <cell r="AC761">
            <v>50</v>
          </cell>
          <cell r="AD761" t="str">
            <v>Slant</v>
          </cell>
          <cell r="AE761" t="str">
            <v>Duplex</v>
          </cell>
          <cell r="AF761" t="str">
            <v>568 - Without Partition</v>
          </cell>
          <cell r="AG761" t="str">
            <v xml:space="preserve">Without Partition </v>
          </cell>
          <cell r="AH761" t="str">
            <v xml:space="preserve">Without Partition </v>
          </cell>
          <cell r="AI761" t="str">
            <v>PINK</v>
          </cell>
          <cell r="AJ761" t="str">
            <v>Slant / PINK</v>
          </cell>
          <cell r="AK761">
            <v>1050000</v>
          </cell>
          <cell r="AL761">
            <v>15000</v>
          </cell>
          <cell r="AM761">
            <v>1650000</v>
          </cell>
          <cell r="AN761">
            <v>33000</v>
          </cell>
          <cell r="AO761">
            <v>150000</v>
          </cell>
          <cell r="AP761">
            <v>2850000</v>
          </cell>
          <cell r="AQ761"/>
          <cell r="AR761">
            <v>2850000</v>
          </cell>
          <cell r="AS761">
            <v>200000</v>
          </cell>
          <cell r="AT761">
            <v>2650000</v>
          </cell>
          <cell r="AU761">
            <v>100000</v>
          </cell>
          <cell r="AV761">
            <v>2550000</v>
          </cell>
          <cell r="AW761">
            <v>0</v>
          </cell>
          <cell r="AX761">
            <v>2550000</v>
          </cell>
        </row>
        <row r="762">
          <cell r="G762" t="str">
            <v>AGM-01-038-006</v>
          </cell>
          <cell r="H762" t="str">
            <v xml:space="preserve">Raemulan Lands, Inc. </v>
          </cell>
          <cell r="I762" t="str">
            <v>Agapeya</v>
          </cell>
          <cell r="J762" t="str">
            <v>AGM</v>
          </cell>
          <cell r="K762" t="str">
            <v>Eco-High</v>
          </cell>
          <cell r="L762" t="str">
            <v>West</v>
          </cell>
          <cell r="M762" t="str">
            <v>With LTS - 2024</v>
          </cell>
          <cell r="N762" t="str">
            <v>YES</v>
          </cell>
          <cell r="O762" t="str">
            <v>YES</v>
          </cell>
          <cell r="P762" t="str">
            <v>Unaffected lots</v>
          </cell>
          <cell r="Q762" t="str">
            <v>YES</v>
          </cell>
          <cell r="R762">
            <v>89</v>
          </cell>
          <cell r="S762" t="str">
            <v>PCS-04-034298</v>
          </cell>
          <cell r="T762" t="str">
            <v>TCT-060-2024021867</v>
          </cell>
          <cell r="U762" t="b">
            <v>1</v>
          </cell>
          <cell r="V762" t="str">
            <v>Done</v>
          </cell>
          <cell r="W762" t="str">
            <v>B1 2025</v>
          </cell>
          <cell r="X762" t="str">
            <v>2025 - Batch 2</v>
          </cell>
          <cell r="Y762">
            <v>38</v>
          </cell>
          <cell r="Z762">
            <v>6</v>
          </cell>
          <cell r="AA762" t="str">
            <v>H+L</v>
          </cell>
          <cell r="AB762">
            <v>89</v>
          </cell>
          <cell r="AC762">
            <v>50</v>
          </cell>
          <cell r="AD762" t="str">
            <v>Flat</v>
          </cell>
          <cell r="AE762" t="str">
            <v>Duplex</v>
          </cell>
          <cell r="AF762" t="str">
            <v>568 - Without Partition</v>
          </cell>
          <cell r="AG762" t="str">
            <v xml:space="preserve">Without Partition </v>
          </cell>
          <cell r="AH762" t="str">
            <v xml:space="preserve">Without Partition </v>
          </cell>
          <cell r="AI762" t="str">
            <v>PINK</v>
          </cell>
          <cell r="AJ762" t="str">
            <v>Flat / PINK</v>
          </cell>
          <cell r="AK762">
            <v>1335000</v>
          </cell>
          <cell r="AL762">
            <v>15000</v>
          </cell>
          <cell r="AM762">
            <v>1650000</v>
          </cell>
          <cell r="AN762">
            <v>33000</v>
          </cell>
          <cell r="AO762">
            <v>150000</v>
          </cell>
          <cell r="AP762">
            <v>3135000</v>
          </cell>
          <cell r="AQ762"/>
          <cell r="AR762">
            <v>3135000</v>
          </cell>
          <cell r="AS762">
            <v>200000</v>
          </cell>
          <cell r="AT762">
            <v>2935000</v>
          </cell>
          <cell r="AU762">
            <v>100000</v>
          </cell>
          <cell r="AV762">
            <v>2835000</v>
          </cell>
          <cell r="AW762">
            <v>0</v>
          </cell>
          <cell r="AX762">
            <v>2835000</v>
          </cell>
        </row>
        <row r="763">
          <cell r="G763" t="str">
            <v>AGM-01-038-007</v>
          </cell>
          <cell r="H763" t="str">
            <v xml:space="preserve">Raemulan Lands, Inc. </v>
          </cell>
          <cell r="I763" t="str">
            <v>Agapeya</v>
          </cell>
          <cell r="J763" t="str">
            <v>AGM</v>
          </cell>
          <cell r="K763" t="str">
            <v>Eco-High</v>
          </cell>
          <cell r="L763" t="str">
            <v>West</v>
          </cell>
          <cell r="M763" t="str">
            <v>With LTS - 2024</v>
          </cell>
          <cell r="N763" t="str">
            <v>YES</v>
          </cell>
          <cell r="O763" t="str">
            <v>YES</v>
          </cell>
          <cell r="P763" t="str">
            <v>Unaffected lots</v>
          </cell>
          <cell r="Q763" t="str">
            <v>YES</v>
          </cell>
          <cell r="R763">
            <v>88</v>
          </cell>
          <cell r="S763" t="str">
            <v>PCS-04-034298</v>
          </cell>
          <cell r="T763" t="str">
            <v>TCT-060-2024021868</v>
          </cell>
          <cell r="U763" t="b">
            <v>1</v>
          </cell>
          <cell r="V763" t="str">
            <v>Done</v>
          </cell>
          <cell r="W763" t="str">
            <v>B1 2025</v>
          </cell>
          <cell r="X763" t="str">
            <v>2025 - Batch 2</v>
          </cell>
          <cell r="Y763">
            <v>38</v>
          </cell>
          <cell r="Z763">
            <v>7</v>
          </cell>
          <cell r="AA763" t="str">
            <v>H+L</v>
          </cell>
          <cell r="AB763">
            <v>88</v>
          </cell>
          <cell r="AC763">
            <v>50</v>
          </cell>
          <cell r="AD763" t="str">
            <v>Slant</v>
          </cell>
          <cell r="AE763" t="str">
            <v>Duplex</v>
          </cell>
          <cell r="AF763" t="str">
            <v>568 - Without Partition</v>
          </cell>
          <cell r="AG763" t="str">
            <v xml:space="preserve">Without Partition </v>
          </cell>
          <cell r="AH763" t="str">
            <v xml:space="preserve">Without Partition </v>
          </cell>
          <cell r="AI763" t="str">
            <v>YELLOW</v>
          </cell>
          <cell r="AJ763" t="str">
            <v>Slant / YELLOW</v>
          </cell>
          <cell r="AK763">
            <v>1320000</v>
          </cell>
          <cell r="AL763">
            <v>15000</v>
          </cell>
          <cell r="AM763">
            <v>1650000</v>
          </cell>
          <cell r="AN763">
            <v>33000</v>
          </cell>
          <cell r="AO763">
            <v>150000</v>
          </cell>
          <cell r="AP763">
            <v>3120000</v>
          </cell>
          <cell r="AQ763"/>
          <cell r="AR763">
            <v>3120000</v>
          </cell>
          <cell r="AS763">
            <v>200000</v>
          </cell>
          <cell r="AT763">
            <v>2920000</v>
          </cell>
          <cell r="AU763">
            <v>100000</v>
          </cell>
          <cell r="AV763">
            <v>2820000</v>
          </cell>
          <cell r="AW763">
            <v>0</v>
          </cell>
          <cell r="AX763">
            <v>2820000</v>
          </cell>
        </row>
        <row r="764">
          <cell r="G764" t="str">
            <v>AGM-01-038-008</v>
          </cell>
          <cell r="H764" t="str">
            <v xml:space="preserve">Raemulan Lands, Inc. </v>
          </cell>
          <cell r="I764" t="str">
            <v>Agapeya</v>
          </cell>
          <cell r="J764" t="str">
            <v>AGM</v>
          </cell>
          <cell r="K764" t="str">
            <v>Eco-High</v>
          </cell>
          <cell r="L764" t="str">
            <v>West</v>
          </cell>
          <cell r="M764" t="str">
            <v>With LTS - 2024</v>
          </cell>
          <cell r="N764" t="str">
            <v>YES</v>
          </cell>
          <cell r="O764" t="str">
            <v>YES</v>
          </cell>
          <cell r="P764" t="str">
            <v>Unaffected lots</v>
          </cell>
          <cell r="Q764" t="str">
            <v>YES</v>
          </cell>
          <cell r="R764">
            <v>70</v>
          </cell>
          <cell r="S764" t="str">
            <v>PCS-04-034298</v>
          </cell>
          <cell r="T764" t="str">
            <v>TCT-060-2024021869</v>
          </cell>
          <cell r="U764" t="b">
            <v>1</v>
          </cell>
          <cell r="V764" t="str">
            <v>Done</v>
          </cell>
          <cell r="W764" t="str">
            <v>B1 2025</v>
          </cell>
          <cell r="X764" t="str">
            <v>2025 - Batch 2</v>
          </cell>
          <cell r="Y764">
            <v>38</v>
          </cell>
          <cell r="Z764">
            <v>8</v>
          </cell>
          <cell r="AA764" t="str">
            <v>H+L</v>
          </cell>
          <cell r="AB764">
            <v>70</v>
          </cell>
          <cell r="AC764">
            <v>50</v>
          </cell>
          <cell r="AD764" t="str">
            <v>Flat</v>
          </cell>
          <cell r="AE764" t="str">
            <v>Duplex</v>
          </cell>
          <cell r="AF764" t="str">
            <v>568 - Without Partition</v>
          </cell>
          <cell r="AG764" t="str">
            <v xml:space="preserve">Without Partition </v>
          </cell>
          <cell r="AH764" t="str">
            <v xml:space="preserve">Without Partition </v>
          </cell>
          <cell r="AI764" t="str">
            <v>YELLOW</v>
          </cell>
          <cell r="AJ764" t="str">
            <v>Flat / YELLOW</v>
          </cell>
          <cell r="AK764">
            <v>1050000</v>
          </cell>
          <cell r="AL764">
            <v>15000</v>
          </cell>
          <cell r="AM764">
            <v>1650000</v>
          </cell>
          <cell r="AN764">
            <v>33000</v>
          </cell>
          <cell r="AO764">
            <v>150000</v>
          </cell>
          <cell r="AP764">
            <v>2850000</v>
          </cell>
          <cell r="AQ764"/>
          <cell r="AR764">
            <v>2850000</v>
          </cell>
          <cell r="AS764">
            <v>200000</v>
          </cell>
          <cell r="AT764">
            <v>2650000</v>
          </cell>
          <cell r="AU764">
            <v>100000</v>
          </cell>
          <cell r="AV764">
            <v>2550000</v>
          </cell>
          <cell r="AW764">
            <v>0</v>
          </cell>
          <cell r="AX764">
            <v>2550000</v>
          </cell>
        </row>
        <row r="765">
          <cell r="G765" t="str">
            <v>AGM-01-038-009</v>
          </cell>
          <cell r="H765" t="str">
            <v xml:space="preserve">Raemulan Lands, Inc. </v>
          </cell>
          <cell r="I765" t="str">
            <v>Agapeya</v>
          </cell>
          <cell r="J765" t="str">
            <v>AGM</v>
          </cell>
          <cell r="K765" t="str">
            <v>Eco-High</v>
          </cell>
          <cell r="L765" t="str">
            <v>West</v>
          </cell>
          <cell r="M765" t="str">
            <v>With LTS - 2024</v>
          </cell>
          <cell r="N765" t="str">
            <v>YES</v>
          </cell>
          <cell r="O765" t="str">
            <v>YES</v>
          </cell>
          <cell r="P765" t="str">
            <v>Unaffected lots</v>
          </cell>
          <cell r="Q765" t="str">
            <v>YES</v>
          </cell>
          <cell r="R765">
            <v>70</v>
          </cell>
          <cell r="S765" t="str">
            <v>PCS-04-034298</v>
          </cell>
          <cell r="T765" t="str">
            <v>TCT-060-2024021870</v>
          </cell>
          <cell r="U765" t="b">
            <v>1</v>
          </cell>
          <cell r="V765" t="str">
            <v>Done</v>
          </cell>
          <cell r="W765" t="str">
            <v>2024 Batch</v>
          </cell>
          <cell r="X765" t="str">
            <v>2024 Batch</v>
          </cell>
          <cell r="Y765">
            <v>38</v>
          </cell>
          <cell r="Z765">
            <v>9</v>
          </cell>
          <cell r="AA765" t="str">
            <v>H+L</v>
          </cell>
          <cell r="AB765">
            <v>70</v>
          </cell>
          <cell r="AC765">
            <v>50</v>
          </cell>
          <cell r="AD765" t="str">
            <v>Flat</v>
          </cell>
          <cell r="AE765" t="str">
            <v>Duplex</v>
          </cell>
          <cell r="AF765" t="str">
            <v>326 - With Partition</v>
          </cell>
          <cell r="AG765" t="str">
            <v>With Partition</v>
          </cell>
          <cell r="AH765" t="str">
            <v>With Partition</v>
          </cell>
          <cell r="AI765" t="str">
            <v>YELLOW</v>
          </cell>
          <cell r="AJ765" t="str">
            <v>Flat / YELLOW</v>
          </cell>
          <cell r="AK765">
            <v>1050000</v>
          </cell>
          <cell r="AL765">
            <v>15000</v>
          </cell>
          <cell r="AM765">
            <v>1650000</v>
          </cell>
          <cell r="AN765">
            <v>33000</v>
          </cell>
          <cell r="AO765">
            <v>150000</v>
          </cell>
          <cell r="AP765">
            <v>2850000</v>
          </cell>
          <cell r="AQ765"/>
          <cell r="AR765">
            <v>2850000</v>
          </cell>
          <cell r="AS765">
            <v>0</v>
          </cell>
          <cell r="AT765">
            <v>2850000</v>
          </cell>
          <cell r="AU765">
            <v>100000</v>
          </cell>
          <cell r="AV765">
            <v>2750000</v>
          </cell>
          <cell r="AW765">
            <v>0</v>
          </cell>
          <cell r="AX765">
            <v>2750000</v>
          </cell>
        </row>
        <row r="766">
          <cell r="G766" t="str">
            <v>AGM-01-038-010</v>
          </cell>
          <cell r="H766" t="str">
            <v xml:space="preserve">Raemulan Lands, Inc. </v>
          </cell>
          <cell r="I766" t="str">
            <v>Agapeya</v>
          </cell>
          <cell r="J766" t="str">
            <v>AGM</v>
          </cell>
          <cell r="K766" t="str">
            <v>Eco-High</v>
          </cell>
          <cell r="L766" t="str">
            <v>West</v>
          </cell>
          <cell r="M766" t="str">
            <v>With LTS - 2024</v>
          </cell>
          <cell r="N766" t="str">
            <v>YES</v>
          </cell>
          <cell r="O766" t="str">
            <v>YES</v>
          </cell>
          <cell r="P766" t="str">
            <v>Unaffected lots</v>
          </cell>
          <cell r="Q766" t="str">
            <v>YES</v>
          </cell>
          <cell r="R766">
            <v>70</v>
          </cell>
          <cell r="S766" t="str">
            <v>PCS-04-034298</v>
          </cell>
          <cell r="T766" t="str">
            <v>TCT-060-2024021871</v>
          </cell>
          <cell r="U766" t="b">
            <v>1</v>
          </cell>
          <cell r="V766" t="str">
            <v>Done</v>
          </cell>
          <cell r="W766" t="str">
            <v>2024 Batch</v>
          </cell>
          <cell r="X766" t="str">
            <v>2024 Batch</v>
          </cell>
          <cell r="Y766">
            <v>38</v>
          </cell>
          <cell r="Z766">
            <v>10</v>
          </cell>
          <cell r="AA766" t="str">
            <v>H+L</v>
          </cell>
          <cell r="AB766">
            <v>70</v>
          </cell>
          <cell r="AC766">
            <v>50</v>
          </cell>
          <cell r="AD766" t="str">
            <v>Slant</v>
          </cell>
          <cell r="AE766" t="str">
            <v>Duplex</v>
          </cell>
          <cell r="AF766" t="str">
            <v>326 - With Partition</v>
          </cell>
          <cell r="AG766" t="str">
            <v xml:space="preserve">Without Partition </v>
          </cell>
          <cell r="AH766" t="str">
            <v xml:space="preserve">Without Partition </v>
          </cell>
          <cell r="AI766" t="str">
            <v>YELLOW</v>
          </cell>
          <cell r="AJ766" t="str">
            <v>Slant / YELLOW</v>
          </cell>
          <cell r="AK766">
            <v>1050000</v>
          </cell>
          <cell r="AL766">
            <v>15000</v>
          </cell>
          <cell r="AM766">
            <v>1650000</v>
          </cell>
          <cell r="AN766">
            <v>33000</v>
          </cell>
          <cell r="AO766">
            <v>150000</v>
          </cell>
          <cell r="AP766">
            <v>2850000</v>
          </cell>
          <cell r="AQ766"/>
          <cell r="AR766">
            <v>2850000</v>
          </cell>
          <cell r="AS766">
            <v>200000</v>
          </cell>
          <cell r="AT766">
            <v>2650000</v>
          </cell>
          <cell r="AU766">
            <v>100000</v>
          </cell>
          <cell r="AV766">
            <v>2550000</v>
          </cell>
          <cell r="AW766">
            <v>0</v>
          </cell>
          <cell r="AX766">
            <v>2550000</v>
          </cell>
        </row>
        <row r="767">
          <cell r="G767" t="str">
            <v>AGM-01-038-011</v>
          </cell>
          <cell r="H767" t="str">
            <v xml:space="preserve">Raemulan Lands, Inc. </v>
          </cell>
          <cell r="I767" t="str">
            <v>Agapeya</v>
          </cell>
          <cell r="J767" t="str">
            <v>AGM</v>
          </cell>
          <cell r="K767" t="str">
            <v>Eco-High</v>
          </cell>
          <cell r="L767" t="str">
            <v>West</v>
          </cell>
          <cell r="M767" t="str">
            <v>With LTS - 2024</v>
          </cell>
          <cell r="N767" t="str">
            <v>YES</v>
          </cell>
          <cell r="O767" t="str">
            <v>YES</v>
          </cell>
          <cell r="P767" t="str">
            <v>Unaffected lots</v>
          </cell>
          <cell r="Q767" t="str">
            <v>YES</v>
          </cell>
          <cell r="R767">
            <v>70</v>
          </cell>
          <cell r="S767" t="str">
            <v>PCS-04-034298</v>
          </cell>
          <cell r="T767" t="str">
            <v>TCT-060-2024021872</v>
          </cell>
          <cell r="U767" t="b">
            <v>1</v>
          </cell>
          <cell r="V767" t="str">
            <v>Done</v>
          </cell>
          <cell r="W767" t="str">
            <v>2024 Batch</v>
          </cell>
          <cell r="X767" t="str">
            <v>2024 Batch</v>
          </cell>
          <cell r="Y767">
            <v>38</v>
          </cell>
          <cell r="Z767">
            <v>11</v>
          </cell>
          <cell r="AA767" t="str">
            <v>H+L</v>
          </cell>
          <cell r="AB767">
            <v>70</v>
          </cell>
          <cell r="AC767">
            <v>50</v>
          </cell>
          <cell r="AD767" t="str">
            <v>Flat</v>
          </cell>
          <cell r="AE767" t="str">
            <v>Duplex</v>
          </cell>
          <cell r="AF767" t="str">
            <v>326 - With Partition</v>
          </cell>
          <cell r="AG767" t="str">
            <v>With Partition</v>
          </cell>
          <cell r="AH767" t="str">
            <v>With Partition</v>
          </cell>
          <cell r="AI767" t="str">
            <v>GREEN</v>
          </cell>
          <cell r="AJ767" t="str">
            <v>Flat / GREEN</v>
          </cell>
          <cell r="AK767">
            <v>1050000</v>
          </cell>
          <cell r="AL767">
            <v>15000</v>
          </cell>
          <cell r="AM767">
            <v>1650000</v>
          </cell>
          <cell r="AN767">
            <v>33000</v>
          </cell>
          <cell r="AO767">
            <v>150000</v>
          </cell>
          <cell r="AP767">
            <v>2850000</v>
          </cell>
          <cell r="AQ767"/>
          <cell r="AR767">
            <v>2850000</v>
          </cell>
          <cell r="AS767">
            <v>0</v>
          </cell>
          <cell r="AT767">
            <v>2850000</v>
          </cell>
          <cell r="AU767">
            <v>100000</v>
          </cell>
          <cell r="AV767">
            <v>2750000</v>
          </cell>
          <cell r="AW767">
            <v>0</v>
          </cell>
          <cell r="AX767">
            <v>2750000</v>
          </cell>
        </row>
        <row r="768">
          <cell r="G768" t="str">
            <v>AGM-01-038-012</v>
          </cell>
          <cell r="H768" t="str">
            <v xml:space="preserve">Raemulan Lands, Inc. </v>
          </cell>
          <cell r="I768" t="str">
            <v>Agapeya</v>
          </cell>
          <cell r="J768" t="str">
            <v>AGM</v>
          </cell>
          <cell r="K768" t="str">
            <v>Eco-High</v>
          </cell>
          <cell r="L768" t="str">
            <v>West</v>
          </cell>
          <cell r="M768" t="str">
            <v>With LTS - 2024</v>
          </cell>
          <cell r="N768" t="str">
            <v>YES</v>
          </cell>
          <cell r="O768" t="str">
            <v>YES</v>
          </cell>
          <cell r="P768" t="str">
            <v>Unaffected lots</v>
          </cell>
          <cell r="Q768" t="str">
            <v>YES</v>
          </cell>
          <cell r="R768">
            <v>70</v>
          </cell>
          <cell r="S768" t="str">
            <v>PCS-04-034298</v>
          </cell>
          <cell r="T768" t="str">
            <v>TCT-060-2024021873</v>
          </cell>
          <cell r="U768" t="b">
            <v>1</v>
          </cell>
          <cell r="V768" t="str">
            <v>Done</v>
          </cell>
          <cell r="W768" t="str">
            <v>2024 Batch</v>
          </cell>
          <cell r="X768" t="str">
            <v>2024 Batch</v>
          </cell>
          <cell r="Y768">
            <v>38</v>
          </cell>
          <cell r="Z768">
            <v>12</v>
          </cell>
          <cell r="AA768" t="str">
            <v>H+L</v>
          </cell>
          <cell r="AB768">
            <v>70</v>
          </cell>
          <cell r="AC768">
            <v>50</v>
          </cell>
          <cell r="AD768" t="str">
            <v>Slant</v>
          </cell>
          <cell r="AE768" t="str">
            <v>Duplex</v>
          </cell>
          <cell r="AF768" t="str">
            <v>326 - With Partition</v>
          </cell>
          <cell r="AG768" t="str">
            <v xml:space="preserve">Without Partition </v>
          </cell>
          <cell r="AH768" t="str">
            <v xml:space="preserve">Without Partition </v>
          </cell>
          <cell r="AI768" t="str">
            <v>GREEN</v>
          </cell>
          <cell r="AJ768" t="str">
            <v>Slant / GREEN</v>
          </cell>
          <cell r="AK768">
            <v>1050000</v>
          </cell>
          <cell r="AL768">
            <v>15000</v>
          </cell>
          <cell r="AM768">
            <v>1650000</v>
          </cell>
          <cell r="AN768">
            <v>33000</v>
          </cell>
          <cell r="AO768">
            <v>150000</v>
          </cell>
          <cell r="AP768">
            <v>2850000</v>
          </cell>
          <cell r="AQ768"/>
          <cell r="AR768">
            <v>2850000</v>
          </cell>
          <cell r="AS768">
            <v>200000</v>
          </cell>
          <cell r="AT768">
            <v>2650000</v>
          </cell>
          <cell r="AU768">
            <v>100000</v>
          </cell>
          <cell r="AV768">
            <v>2550000</v>
          </cell>
          <cell r="AW768">
            <v>0</v>
          </cell>
          <cell r="AX768">
            <v>2550000</v>
          </cell>
        </row>
        <row r="769">
          <cell r="G769" t="str">
            <v>AGM-01-039-001</v>
          </cell>
          <cell r="H769" t="str">
            <v xml:space="preserve">Raemulan Lands, Inc. </v>
          </cell>
          <cell r="I769" t="str">
            <v>Agapeya</v>
          </cell>
          <cell r="J769" t="str">
            <v>AGM</v>
          </cell>
          <cell r="K769" t="str">
            <v>Eco-High</v>
          </cell>
          <cell r="L769" t="str">
            <v>West</v>
          </cell>
          <cell r="M769" t="str">
            <v>With LTS - 2024</v>
          </cell>
          <cell r="N769" t="str">
            <v>YES</v>
          </cell>
          <cell r="O769" t="str">
            <v>YES</v>
          </cell>
          <cell r="P769" t="str">
            <v>Unaffected lots</v>
          </cell>
          <cell r="Q769" t="str">
            <v>YES</v>
          </cell>
          <cell r="R769">
            <v>70</v>
          </cell>
          <cell r="S769" t="str">
            <v>PCS-04-034298</v>
          </cell>
          <cell r="T769" t="str">
            <v>TCT-060-2024021874</v>
          </cell>
          <cell r="U769" t="b">
            <v>1</v>
          </cell>
          <cell r="V769" t="str">
            <v>Done</v>
          </cell>
          <cell r="W769" t="str">
            <v>2024 Batch</v>
          </cell>
          <cell r="X769" t="str">
            <v>2024 Batch</v>
          </cell>
          <cell r="Y769">
            <v>39</v>
          </cell>
          <cell r="Z769">
            <v>1</v>
          </cell>
          <cell r="AA769" t="str">
            <v>H+L</v>
          </cell>
          <cell r="AB769">
            <v>70</v>
          </cell>
          <cell r="AC769">
            <v>50</v>
          </cell>
          <cell r="AD769" t="str">
            <v>Slant</v>
          </cell>
          <cell r="AE769" t="str">
            <v>Duplex</v>
          </cell>
          <cell r="AF769" t="str">
            <v>326 - With Partition</v>
          </cell>
          <cell r="AG769" t="str">
            <v xml:space="preserve">Without Partition </v>
          </cell>
          <cell r="AH769" t="str">
            <v xml:space="preserve">Without Partition </v>
          </cell>
          <cell r="AI769" t="str">
            <v>PURPLE</v>
          </cell>
          <cell r="AJ769" t="str">
            <v>Slant / PURPLE</v>
          </cell>
          <cell r="AK769">
            <v>1050000</v>
          </cell>
          <cell r="AL769">
            <v>15000</v>
          </cell>
          <cell r="AM769">
            <v>1650000</v>
          </cell>
          <cell r="AN769">
            <v>33000</v>
          </cell>
          <cell r="AO769">
            <v>150000</v>
          </cell>
          <cell r="AP769">
            <v>2850000</v>
          </cell>
          <cell r="AQ769"/>
          <cell r="AR769">
            <v>2850000</v>
          </cell>
          <cell r="AS769">
            <v>200000</v>
          </cell>
          <cell r="AT769">
            <v>2650000</v>
          </cell>
          <cell r="AU769">
            <v>100000</v>
          </cell>
          <cell r="AV769">
            <v>2550000</v>
          </cell>
          <cell r="AW769">
            <v>0</v>
          </cell>
          <cell r="AX769">
            <v>2550000</v>
          </cell>
        </row>
        <row r="770">
          <cell r="G770" t="str">
            <v>AGM-01-039-002</v>
          </cell>
          <cell r="H770" t="str">
            <v xml:space="preserve">Raemulan Lands, Inc. </v>
          </cell>
          <cell r="I770" t="str">
            <v>Agapeya</v>
          </cell>
          <cell r="J770" t="str">
            <v>AGM</v>
          </cell>
          <cell r="K770" t="str">
            <v>Eco-High</v>
          </cell>
          <cell r="L770" t="str">
            <v>West</v>
          </cell>
          <cell r="M770" t="str">
            <v>With LTS - 2024</v>
          </cell>
          <cell r="N770" t="str">
            <v>YES</v>
          </cell>
          <cell r="O770" t="str">
            <v>YES</v>
          </cell>
          <cell r="P770" t="str">
            <v>Unaffected lots</v>
          </cell>
          <cell r="Q770" t="str">
            <v>YES</v>
          </cell>
          <cell r="R770">
            <v>70</v>
          </cell>
          <cell r="S770" t="str">
            <v>PCS-04-034298</v>
          </cell>
          <cell r="T770" t="str">
            <v>TCT-060-2024021875</v>
          </cell>
          <cell r="U770" t="b">
            <v>1</v>
          </cell>
          <cell r="V770" t="str">
            <v>Done</v>
          </cell>
          <cell r="W770" t="str">
            <v>2024 Batch</v>
          </cell>
          <cell r="X770" t="str">
            <v>2024 Batch</v>
          </cell>
          <cell r="Y770">
            <v>39</v>
          </cell>
          <cell r="Z770">
            <v>2</v>
          </cell>
          <cell r="AA770" t="str">
            <v>H+L</v>
          </cell>
          <cell r="AB770">
            <v>70</v>
          </cell>
          <cell r="AC770">
            <v>50</v>
          </cell>
          <cell r="AD770" t="str">
            <v>Flat</v>
          </cell>
          <cell r="AE770" t="str">
            <v>Duplex</v>
          </cell>
          <cell r="AF770" t="str">
            <v>326 - With Partition</v>
          </cell>
          <cell r="AG770" t="str">
            <v>With Partition</v>
          </cell>
          <cell r="AH770" t="str">
            <v>With Partition</v>
          </cell>
          <cell r="AI770" t="str">
            <v>PURPLE</v>
          </cell>
          <cell r="AJ770" t="str">
            <v>Flat / PURPLE</v>
          </cell>
          <cell r="AK770">
            <v>1050000</v>
          </cell>
          <cell r="AL770">
            <v>15000</v>
          </cell>
          <cell r="AM770">
            <v>1650000</v>
          </cell>
          <cell r="AN770">
            <v>33000</v>
          </cell>
          <cell r="AO770">
            <v>150000</v>
          </cell>
          <cell r="AP770">
            <v>2850000</v>
          </cell>
          <cell r="AQ770"/>
          <cell r="AR770">
            <v>2850000</v>
          </cell>
          <cell r="AS770">
            <v>0</v>
          </cell>
          <cell r="AT770">
            <v>2850000</v>
          </cell>
          <cell r="AU770">
            <v>100000</v>
          </cell>
          <cell r="AV770">
            <v>2750000</v>
          </cell>
          <cell r="AW770">
            <v>0</v>
          </cell>
          <cell r="AX770">
            <v>2750000</v>
          </cell>
        </row>
        <row r="771">
          <cell r="G771" t="str">
            <v>AGM-01-039-003</v>
          </cell>
          <cell r="H771" t="str">
            <v xml:space="preserve">Raemulan Lands, Inc. </v>
          </cell>
          <cell r="I771" t="str">
            <v>Agapeya</v>
          </cell>
          <cell r="J771" t="str">
            <v>AGM</v>
          </cell>
          <cell r="K771" t="str">
            <v>Eco-High</v>
          </cell>
          <cell r="L771" t="str">
            <v>West</v>
          </cell>
          <cell r="M771" t="str">
            <v>With LTS - 2024</v>
          </cell>
          <cell r="N771" t="str">
            <v>YES</v>
          </cell>
          <cell r="O771" t="str">
            <v>YES</v>
          </cell>
          <cell r="P771" t="str">
            <v>Unaffected lots</v>
          </cell>
          <cell r="Q771" t="str">
            <v>YES</v>
          </cell>
          <cell r="R771">
            <v>70</v>
          </cell>
          <cell r="S771" t="str">
            <v>PCS-04-034298</v>
          </cell>
          <cell r="T771" t="str">
            <v>TCT-060-2024021876</v>
          </cell>
          <cell r="U771" t="b">
            <v>1</v>
          </cell>
          <cell r="V771" t="str">
            <v>Done</v>
          </cell>
          <cell r="W771" t="str">
            <v>2024 Batch</v>
          </cell>
          <cell r="X771" t="str">
            <v>2024 Batch</v>
          </cell>
          <cell r="Y771">
            <v>39</v>
          </cell>
          <cell r="Z771">
            <v>3</v>
          </cell>
          <cell r="AA771" t="str">
            <v>H+L</v>
          </cell>
          <cell r="AB771">
            <v>70</v>
          </cell>
          <cell r="AC771">
            <v>50</v>
          </cell>
          <cell r="AD771" t="str">
            <v>Slant</v>
          </cell>
          <cell r="AE771" t="str">
            <v>Duplex</v>
          </cell>
          <cell r="AF771" t="str">
            <v>326 - With Partition</v>
          </cell>
          <cell r="AG771" t="str">
            <v>With Partition</v>
          </cell>
          <cell r="AH771" t="str">
            <v>With Partition</v>
          </cell>
          <cell r="AI771" t="str">
            <v>GREEN</v>
          </cell>
          <cell r="AJ771" t="str">
            <v>Slant / GREEN</v>
          </cell>
          <cell r="AK771">
            <v>1050000</v>
          </cell>
          <cell r="AL771">
            <v>15000</v>
          </cell>
          <cell r="AM771">
            <v>1650000</v>
          </cell>
          <cell r="AN771">
            <v>33000</v>
          </cell>
          <cell r="AO771">
            <v>150000</v>
          </cell>
          <cell r="AP771">
            <v>2850000</v>
          </cell>
          <cell r="AQ771"/>
          <cell r="AR771">
            <v>2850000</v>
          </cell>
          <cell r="AS771">
            <v>0</v>
          </cell>
          <cell r="AT771">
            <v>2850000</v>
          </cell>
          <cell r="AU771">
            <v>100000</v>
          </cell>
          <cell r="AV771">
            <v>2750000</v>
          </cell>
          <cell r="AW771">
            <v>0</v>
          </cell>
          <cell r="AX771">
            <v>2750000</v>
          </cell>
        </row>
        <row r="772">
          <cell r="G772" t="str">
            <v>AGM-01-039-004</v>
          </cell>
          <cell r="H772" t="str">
            <v xml:space="preserve">Raemulan Lands, Inc. </v>
          </cell>
          <cell r="I772" t="str">
            <v>Agapeya</v>
          </cell>
          <cell r="J772" t="str">
            <v>AGM</v>
          </cell>
          <cell r="K772" t="str">
            <v>Eco-High</v>
          </cell>
          <cell r="L772" t="str">
            <v>West</v>
          </cell>
          <cell r="M772" t="str">
            <v>With LTS - 2024</v>
          </cell>
          <cell r="N772" t="str">
            <v>YES</v>
          </cell>
          <cell r="O772" t="str">
            <v>YES</v>
          </cell>
          <cell r="P772" t="str">
            <v>Unaffected lots</v>
          </cell>
          <cell r="Q772" t="str">
            <v>YES</v>
          </cell>
          <cell r="R772">
            <v>70</v>
          </cell>
          <cell r="S772" t="str">
            <v>PCS-04-034298</v>
          </cell>
          <cell r="T772" t="str">
            <v>TCT-060-2024021877</v>
          </cell>
          <cell r="U772" t="b">
            <v>1</v>
          </cell>
          <cell r="V772" t="str">
            <v>Done</v>
          </cell>
          <cell r="W772" t="str">
            <v>2024 Batch</v>
          </cell>
          <cell r="X772" t="str">
            <v>2024 Batch</v>
          </cell>
          <cell r="Y772">
            <v>39</v>
          </cell>
          <cell r="Z772">
            <v>4</v>
          </cell>
          <cell r="AA772" t="str">
            <v>H+L</v>
          </cell>
          <cell r="AB772">
            <v>70</v>
          </cell>
          <cell r="AC772">
            <v>50</v>
          </cell>
          <cell r="AD772" t="str">
            <v>Flat</v>
          </cell>
          <cell r="AE772" t="str">
            <v>Duplex</v>
          </cell>
          <cell r="AF772" t="str">
            <v>326 - With Partition</v>
          </cell>
          <cell r="AG772" t="str">
            <v>With Partition</v>
          </cell>
          <cell r="AH772" t="str">
            <v>With Partition</v>
          </cell>
          <cell r="AI772" t="str">
            <v>GREEN</v>
          </cell>
          <cell r="AJ772" t="str">
            <v>Flat / GREEN</v>
          </cell>
          <cell r="AK772">
            <v>1050000</v>
          </cell>
          <cell r="AL772">
            <v>15000</v>
          </cell>
          <cell r="AM772">
            <v>1650000</v>
          </cell>
          <cell r="AN772">
            <v>33000</v>
          </cell>
          <cell r="AO772">
            <v>150000</v>
          </cell>
          <cell r="AP772">
            <v>2850000</v>
          </cell>
          <cell r="AQ772"/>
          <cell r="AR772">
            <v>2850000</v>
          </cell>
          <cell r="AS772">
            <v>0</v>
          </cell>
          <cell r="AT772">
            <v>2850000</v>
          </cell>
          <cell r="AU772">
            <v>100000</v>
          </cell>
          <cell r="AV772">
            <v>2750000</v>
          </cell>
          <cell r="AW772">
            <v>0</v>
          </cell>
          <cell r="AX772">
            <v>2750000</v>
          </cell>
        </row>
        <row r="773">
          <cell r="G773" t="str">
            <v>AGM-01-039-005</v>
          </cell>
          <cell r="H773" t="str">
            <v xml:space="preserve">Raemulan Lands, Inc. </v>
          </cell>
          <cell r="I773" t="str">
            <v>Agapeya</v>
          </cell>
          <cell r="J773" t="str">
            <v>AGM</v>
          </cell>
          <cell r="K773" t="str">
            <v>Eco-High</v>
          </cell>
          <cell r="L773" t="str">
            <v>West</v>
          </cell>
          <cell r="M773" t="str">
            <v>With LTS - 2024</v>
          </cell>
          <cell r="N773" t="str">
            <v>YES</v>
          </cell>
          <cell r="O773" t="str">
            <v>YES</v>
          </cell>
          <cell r="P773" t="str">
            <v>Unaffected lots</v>
          </cell>
          <cell r="Q773" t="str">
            <v>YES</v>
          </cell>
          <cell r="R773">
            <v>70</v>
          </cell>
          <cell r="S773" t="str">
            <v>PCS-04-034298</v>
          </cell>
          <cell r="T773" t="str">
            <v>TCT-060-2024021878</v>
          </cell>
          <cell r="U773" t="b">
            <v>1</v>
          </cell>
          <cell r="V773" t="str">
            <v>Done</v>
          </cell>
          <cell r="W773" t="str">
            <v>B3 2025</v>
          </cell>
          <cell r="X773" t="str">
            <v>2025 - Batch 2</v>
          </cell>
          <cell r="Y773">
            <v>39</v>
          </cell>
          <cell r="Z773">
            <v>5</v>
          </cell>
          <cell r="AA773" t="str">
            <v>H+L</v>
          </cell>
          <cell r="AB773">
            <v>70</v>
          </cell>
          <cell r="AC773">
            <v>50</v>
          </cell>
          <cell r="AD773" t="str">
            <v>Slant</v>
          </cell>
          <cell r="AE773" t="str">
            <v>Duplex</v>
          </cell>
          <cell r="AF773" t="str">
            <v>568 - Without Partition</v>
          </cell>
          <cell r="AG773" t="str">
            <v xml:space="preserve">Without Partition </v>
          </cell>
          <cell r="AH773" t="str">
            <v xml:space="preserve">Without Partition </v>
          </cell>
          <cell r="AI773" t="str">
            <v>GREEN</v>
          </cell>
          <cell r="AJ773" t="str">
            <v>Slant / GREEN</v>
          </cell>
          <cell r="AK773">
            <v>1050000</v>
          </cell>
          <cell r="AL773">
            <v>15000</v>
          </cell>
          <cell r="AM773">
            <v>1650000</v>
          </cell>
          <cell r="AN773">
            <v>33000</v>
          </cell>
          <cell r="AO773">
            <v>150000</v>
          </cell>
          <cell r="AP773">
            <v>2850000</v>
          </cell>
          <cell r="AQ773"/>
          <cell r="AR773">
            <v>2850000</v>
          </cell>
          <cell r="AS773">
            <v>200000</v>
          </cell>
          <cell r="AT773">
            <v>2650000</v>
          </cell>
          <cell r="AU773">
            <v>100000</v>
          </cell>
          <cell r="AV773">
            <v>2550000</v>
          </cell>
          <cell r="AW773">
            <v>0</v>
          </cell>
          <cell r="AX773">
            <v>2550000</v>
          </cell>
        </row>
        <row r="774">
          <cell r="G774" t="str">
            <v>AGM-01-039-006</v>
          </cell>
          <cell r="H774" t="str">
            <v xml:space="preserve">Raemulan Lands, Inc. </v>
          </cell>
          <cell r="I774" t="str">
            <v>Agapeya</v>
          </cell>
          <cell r="J774" t="str">
            <v>AGM</v>
          </cell>
          <cell r="K774" t="str">
            <v>Eco-High</v>
          </cell>
          <cell r="L774" t="str">
            <v>West</v>
          </cell>
          <cell r="M774" t="str">
            <v>With LTS - 2024</v>
          </cell>
          <cell r="N774" t="str">
            <v>YES</v>
          </cell>
          <cell r="O774" t="str">
            <v>YES</v>
          </cell>
          <cell r="P774" t="str">
            <v>Unaffected lots</v>
          </cell>
          <cell r="Q774" t="str">
            <v>YES</v>
          </cell>
          <cell r="R774">
            <v>89</v>
          </cell>
          <cell r="S774" t="str">
            <v>PCS-04-034298</v>
          </cell>
          <cell r="T774" t="str">
            <v>TCT-060-2024021879</v>
          </cell>
          <cell r="U774" t="b">
            <v>1</v>
          </cell>
          <cell r="V774" t="str">
            <v>Done</v>
          </cell>
          <cell r="W774" t="str">
            <v>B3 2025</v>
          </cell>
          <cell r="X774" t="str">
            <v>2025 - Batch 2</v>
          </cell>
          <cell r="Y774">
            <v>39</v>
          </cell>
          <cell r="Z774">
            <v>6</v>
          </cell>
          <cell r="AA774" t="str">
            <v>H+L</v>
          </cell>
          <cell r="AB774">
            <v>89</v>
          </cell>
          <cell r="AC774">
            <v>50</v>
          </cell>
          <cell r="AD774" t="str">
            <v>Flat</v>
          </cell>
          <cell r="AE774" t="str">
            <v>Duplex</v>
          </cell>
          <cell r="AF774" t="str">
            <v>568 - Without Partition</v>
          </cell>
          <cell r="AG774" t="str">
            <v xml:space="preserve">Without Partition </v>
          </cell>
          <cell r="AH774" t="str">
            <v xml:space="preserve">Without Partition </v>
          </cell>
          <cell r="AI774" t="str">
            <v>GREEN</v>
          </cell>
          <cell r="AJ774" t="str">
            <v>Flat / GREEN</v>
          </cell>
          <cell r="AK774">
            <v>1335000</v>
          </cell>
          <cell r="AL774">
            <v>15000</v>
          </cell>
          <cell r="AM774">
            <v>1650000</v>
          </cell>
          <cell r="AN774">
            <v>33000</v>
          </cell>
          <cell r="AO774">
            <v>150000</v>
          </cell>
          <cell r="AP774">
            <v>3135000</v>
          </cell>
          <cell r="AQ774"/>
          <cell r="AR774">
            <v>3135000</v>
          </cell>
          <cell r="AS774">
            <v>200000</v>
          </cell>
          <cell r="AT774">
            <v>2935000</v>
          </cell>
          <cell r="AU774">
            <v>100000</v>
          </cell>
          <cell r="AV774">
            <v>2835000</v>
          </cell>
          <cell r="AW774">
            <v>0</v>
          </cell>
          <cell r="AX774">
            <v>2835000</v>
          </cell>
        </row>
        <row r="775">
          <cell r="G775" t="str">
            <v>AGM-01-039-007</v>
          </cell>
          <cell r="H775" t="str">
            <v xml:space="preserve">Raemulan Lands, Inc. </v>
          </cell>
          <cell r="I775" t="str">
            <v>Agapeya</v>
          </cell>
          <cell r="J775" t="str">
            <v>AGM</v>
          </cell>
          <cell r="K775" t="str">
            <v>Eco-High</v>
          </cell>
          <cell r="L775" t="str">
            <v>West</v>
          </cell>
          <cell r="M775" t="str">
            <v>With LTS - 2024</v>
          </cell>
          <cell r="N775" t="str">
            <v>YES</v>
          </cell>
          <cell r="O775" t="str">
            <v>YES</v>
          </cell>
          <cell r="P775" t="str">
            <v>Unaffected lots</v>
          </cell>
          <cell r="Q775" t="str">
            <v>YES</v>
          </cell>
          <cell r="R775">
            <v>89</v>
          </cell>
          <cell r="S775" t="str">
            <v>PCS-04-034298</v>
          </cell>
          <cell r="T775" t="str">
            <v>TCT-060-2024021880</v>
          </cell>
          <cell r="U775" t="b">
            <v>1</v>
          </cell>
          <cell r="V775" t="str">
            <v>Done</v>
          </cell>
          <cell r="W775" t="str">
            <v>B3 2025</v>
          </cell>
          <cell r="X775" t="str">
            <v>2025 - Batch 2</v>
          </cell>
          <cell r="Y775">
            <v>39</v>
          </cell>
          <cell r="Z775">
            <v>7</v>
          </cell>
          <cell r="AA775" t="str">
            <v>H+L</v>
          </cell>
          <cell r="AB775">
            <v>89</v>
          </cell>
          <cell r="AC775">
            <v>50</v>
          </cell>
          <cell r="AD775" t="str">
            <v>Slant</v>
          </cell>
          <cell r="AE775" t="str">
            <v>Duplex</v>
          </cell>
          <cell r="AF775" t="str">
            <v>568 - Without Partition</v>
          </cell>
          <cell r="AG775" t="str">
            <v xml:space="preserve">Without Partition </v>
          </cell>
          <cell r="AH775" t="str">
            <v xml:space="preserve">Without Partition </v>
          </cell>
          <cell r="AI775" t="str">
            <v>PURPLE</v>
          </cell>
          <cell r="AJ775" t="str">
            <v>Slant / PURPLE</v>
          </cell>
          <cell r="AK775">
            <v>1335000</v>
          </cell>
          <cell r="AL775">
            <v>15000</v>
          </cell>
          <cell r="AM775">
            <v>1650000</v>
          </cell>
          <cell r="AN775">
            <v>33000</v>
          </cell>
          <cell r="AO775">
            <v>150000</v>
          </cell>
          <cell r="AP775">
            <v>3135000</v>
          </cell>
          <cell r="AQ775"/>
          <cell r="AR775">
            <v>3135000</v>
          </cell>
          <cell r="AS775">
            <v>200000</v>
          </cell>
          <cell r="AT775">
            <v>2935000</v>
          </cell>
          <cell r="AU775">
            <v>100000</v>
          </cell>
          <cell r="AV775">
            <v>2835000</v>
          </cell>
          <cell r="AW775">
            <v>0</v>
          </cell>
          <cell r="AX775">
            <v>2835000</v>
          </cell>
        </row>
        <row r="776">
          <cell r="G776" t="str">
            <v>AGM-01-039-008</v>
          </cell>
          <cell r="H776" t="str">
            <v xml:space="preserve">Raemulan Lands, Inc. </v>
          </cell>
          <cell r="I776" t="str">
            <v>Agapeya</v>
          </cell>
          <cell r="J776" t="str">
            <v>AGM</v>
          </cell>
          <cell r="K776" t="str">
            <v>Eco-High</v>
          </cell>
          <cell r="L776" t="str">
            <v>West</v>
          </cell>
          <cell r="M776" t="str">
            <v>With LTS - 2024</v>
          </cell>
          <cell r="N776" t="str">
            <v>YES</v>
          </cell>
          <cell r="O776" t="str">
            <v>YES</v>
          </cell>
          <cell r="P776" t="str">
            <v>Unaffected lots</v>
          </cell>
          <cell r="Q776" t="str">
            <v>YES</v>
          </cell>
          <cell r="R776">
            <v>70</v>
          </cell>
          <cell r="S776" t="str">
            <v>PCS-04-034298</v>
          </cell>
          <cell r="T776" t="str">
            <v>TCT-060-2024021881</v>
          </cell>
          <cell r="U776" t="b">
            <v>1</v>
          </cell>
          <cell r="V776" t="str">
            <v>Done</v>
          </cell>
          <cell r="W776" t="str">
            <v>B3 2025</v>
          </cell>
          <cell r="X776" t="str">
            <v>2025 - Batch 2</v>
          </cell>
          <cell r="Y776">
            <v>39</v>
          </cell>
          <cell r="Z776">
            <v>8</v>
          </cell>
          <cell r="AA776" t="str">
            <v>H+L</v>
          </cell>
          <cell r="AB776">
            <v>70</v>
          </cell>
          <cell r="AC776">
            <v>50</v>
          </cell>
          <cell r="AD776" t="str">
            <v>Flat</v>
          </cell>
          <cell r="AE776" t="str">
            <v>Duplex</v>
          </cell>
          <cell r="AF776" t="str">
            <v>568 - Without Partition</v>
          </cell>
          <cell r="AG776" t="str">
            <v xml:space="preserve">Without Partition </v>
          </cell>
          <cell r="AH776" t="str">
            <v xml:space="preserve">Without Partition </v>
          </cell>
          <cell r="AI776" t="str">
            <v>PURPLE</v>
          </cell>
          <cell r="AJ776" t="str">
            <v>Flat / PURPLE</v>
          </cell>
          <cell r="AK776">
            <v>1050000</v>
          </cell>
          <cell r="AL776">
            <v>15000</v>
          </cell>
          <cell r="AM776">
            <v>1650000</v>
          </cell>
          <cell r="AN776">
            <v>33000</v>
          </cell>
          <cell r="AO776">
            <v>150000</v>
          </cell>
          <cell r="AP776">
            <v>2850000</v>
          </cell>
          <cell r="AQ776"/>
          <cell r="AR776">
            <v>2850000</v>
          </cell>
          <cell r="AS776">
            <v>200000</v>
          </cell>
          <cell r="AT776">
            <v>2650000</v>
          </cell>
          <cell r="AU776">
            <v>100000</v>
          </cell>
          <cell r="AV776">
            <v>2550000</v>
          </cell>
          <cell r="AW776">
            <v>0</v>
          </cell>
          <cell r="AX776">
            <v>2550000</v>
          </cell>
        </row>
        <row r="777">
          <cell r="G777" t="str">
            <v>AGM-01-039-009</v>
          </cell>
          <cell r="H777" t="str">
            <v xml:space="preserve">Raemulan Lands, Inc. </v>
          </cell>
          <cell r="I777" t="str">
            <v>Agapeya</v>
          </cell>
          <cell r="J777" t="str">
            <v>AGM</v>
          </cell>
          <cell r="K777" t="str">
            <v>Eco-High</v>
          </cell>
          <cell r="L777" t="str">
            <v>West</v>
          </cell>
          <cell r="M777" t="str">
            <v>With LTS - 2024</v>
          </cell>
          <cell r="N777" t="str">
            <v>YES</v>
          </cell>
          <cell r="O777" t="str">
            <v>YES</v>
          </cell>
          <cell r="P777" t="str">
            <v>Unaffected lots</v>
          </cell>
          <cell r="Q777" t="str">
            <v>YES</v>
          </cell>
          <cell r="R777">
            <v>70</v>
          </cell>
          <cell r="S777" t="str">
            <v>PCS-04-034298</v>
          </cell>
          <cell r="T777" t="str">
            <v>TCT-060-2024021882</v>
          </cell>
          <cell r="U777" t="b">
            <v>1</v>
          </cell>
          <cell r="V777" t="str">
            <v>Done</v>
          </cell>
          <cell r="W777" t="str">
            <v>2024 Batch</v>
          </cell>
          <cell r="X777" t="str">
            <v>2024 Batch</v>
          </cell>
          <cell r="Y777">
            <v>39</v>
          </cell>
          <cell r="Z777">
            <v>9</v>
          </cell>
          <cell r="AA777" t="str">
            <v>H+L</v>
          </cell>
          <cell r="AB777">
            <v>70</v>
          </cell>
          <cell r="AC777">
            <v>50</v>
          </cell>
          <cell r="AD777" t="str">
            <v>Flat</v>
          </cell>
          <cell r="AE777" t="str">
            <v>Duplex</v>
          </cell>
          <cell r="AF777" t="str">
            <v>326 - With Partition</v>
          </cell>
          <cell r="AG777" t="str">
            <v xml:space="preserve">Without Partition </v>
          </cell>
          <cell r="AH777" t="str">
            <v xml:space="preserve">Without Partition </v>
          </cell>
          <cell r="AI777" t="str">
            <v>PURPLE</v>
          </cell>
          <cell r="AJ777" t="str">
            <v>Flat / PURPLE</v>
          </cell>
          <cell r="AK777">
            <v>1050000</v>
          </cell>
          <cell r="AL777">
            <v>15000</v>
          </cell>
          <cell r="AM777">
            <v>1650000</v>
          </cell>
          <cell r="AN777">
            <v>33000</v>
          </cell>
          <cell r="AO777">
            <v>150000</v>
          </cell>
          <cell r="AP777">
            <v>2850000</v>
          </cell>
          <cell r="AQ777"/>
          <cell r="AR777">
            <v>2850000</v>
          </cell>
          <cell r="AS777">
            <v>200000</v>
          </cell>
          <cell r="AT777">
            <v>2650000</v>
          </cell>
          <cell r="AU777">
            <v>100000</v>
          </cell>
          <cell r="AV777">
            <v>2550000</v>
          </cell>
          <cell r="AW777">
            <v>0</v>
          </cell>
          <cell r="AX777">
            <v>2550000</v>
          </cell>
        </row>
        <row r="778">
          <cell r="G778" t="str">
            <v>AGM-01-039-010</v>
          </cell>
          <cell r="H778" t="str">
            <v xml:space="preserve">Raemulan Lands, Inc. </v>
          </cell>
          <cell r="I778" t="str">
            <v>Agapeya</v>
          </cell>
          <cell r="J778" t="str">
            <v>AGM</v>
          </cell>
          <cell r="K778" t="str">
            <v>Eco-High</v>
          </cell>
          <cell r="L778" t="str">
            <v>West</v>
          </cell>
          <cell r="M778" t="str">
            <v>With LTS - 2024</v>
          </cell>
          <cell r="N778" t="str">
            <v>YES</v>
          </cell>
          <cell r="O778" t="str">
            <v>YES</v>
          </cell>
          <cell r="P778" t="str">
            <v>Unaffected lots</v>
          </cell>
          <cell r="Q778" t="str">
            <v>YES</v>
          </cell>
          <cell r="R778">
            <v>70</v>
          </cell>
          <cell r="S778" t="str">
            <v>PCS-04-034298</v>
          </cell>
          <cell r="T778" t="str">
            <v>TCT-060-2024021883</v>
          </cell>
          <cell r="U778" t="b">
            <v>1</v>
          </cell>
          <cell r="V778" t="str">
            <v>Done</v>
          </cell>
          <cell r="W778" t="str">
            <v>2024 Batch</v>
          </cell>
          <cell r="X778" t="str">
            <v>2024 Batch</v>
          </cell>
          <cell r="Y778">
            <v>39</v>
          </cell>
          <cell r="Z778">
            <v>10</v>
          </cell>
          <cell r="AA778" t="str">
            <v>H+L</v>
          </cell>
          <cell r="AB778">
            <v>70</v>
          </cell>
          <cell r="AC778">
            <v>50</v>
          </cell>
          <cell r="AD778" t="str">
            <v>Slant</v>
          </cell>
          <cell r="AE778" t="str">
            <v>Duplex</v>
          </cell>
          <cell r="AF778" t="str">
            <v>326 - With Partition</v>
          </cell>
          <cell r="AG778" t="str">
            <v>With Partition</v>
          </cell>
          <cell r="AH778" t="str">
            <v>With Partition</v>
          </cell>
          <cell r="AI778" t="str">
            <v>PURPLE</v>
          </cell>
          <cell r="AJ778" t="str">
            <v>Slant / PURPLE</v>
          </cell>
          <cell r="AK778">
            <v>1050000</v>
          </cell>
          <cell r="AL778">
            <v>15000</v>
          </cell>
          <cell r="AM778">
            <v>1650000</v>
          </cell>
          <cell r="AN778">
            <v>33000</v>
          </cell>
          <cell r="AO778">
            <v>150000</v>
          </cell>
          <cell r="AP778">
            <v>2850000</v>
          </cell>
          <cell r="AQ778"/>
          <cell r="AR778">
            <v>2850000</v>
          </cell>
          <cell r="AS778">
            <v>0</v>
          </cell>
          <cell r="AT778">
            <v>2850000</v>
          </cell>
          <cell r="AU778">
            <v>100000</v>
          </cell>
          <cell r="AV778">
            <v>2750000</v>
          </cell>
          <cell r="AW778">
            <v>0</v>
          </cell>
          <cell r="AX778">
            <v>2750000</v>
          </cell>
        </row>
        <row r="779">
          <cell r="G779" t="str">
            <v>AGM-01-039-011</v>
          </cell>
          <cell r="H779" t="str">
            <v xml:space="preserve">Raemulan Lands, Inc. </v>
          </cell>
          <cell r="I779" t="str">
            <v>Agapeya</v>
          </cell>
          <cell r="J779" t="str">
            <v>AGM</v>
          </cell>
          <cell r="K779" t="str">
            <v>Eco-High</v>
          </cell>
          <cell r="L779" t="str">
            <v>West</v>
          </cell>
          <cell r="M779" t="str">
            <v>With LTS - 2024</v>
          </cell>
          <cell r="N779" t="str">
            <v>YES</v>
          </cell>
          <cell r="O779" t="str">
            <v>YES</v>
          </cell>
          <cell r="P779" t="str">
            <v>Unaffected lots</v>
          </cell>
          <cell r="Q779" t="str">
            <v>YES</v>
          </cell>
          <cell r="R779">
            <v>70</v>
          </cell>
          <cell r="S779" t="str">
            <v>PCS-04-034298</v>
          </cell>
          <cell r="T779" t="str">
            <v>TCT-060-2024021884</v>
          </cell>
          <cell r="U779" t="b">
            <v>1</v>
          </cell>
          <cell r="V779" t="str">
            <v>Done</v>
          </cell>
          <cell r="W779" t="str">
            <v>B3 2025</v>
          </cell>
          <cell r="X779" t="str">
            <v>2025 - Batch 2</v>
          </cell>
          <cell r="Y779">
            <v>39</v>
          </cell>
          <cell r="Z779">
            <v>11</v>
          </cell>
          <cell r="AA779" t="str">
            <v>H+L</v>
          </cell>
          <cell r="AB779">
            <v>70</v>
          </cell>
          <cell r="AC779">
            <v>50</v>
          </cell>
          <cell r="AD779" t="str">
            <v>Flat</v>
          </cell>
          <cell r="AE779" t="str">
            <v>Duplex</v>
          </cell>
          <cell r="AF779" t="str">
            <v>568 - Without Partition</v>
          </cell>
          <cell r="AG779" t="str">
            <v xml:space="preserve">Without Partition </v>
          </cell>
          <cell r="AH779" t="str">
            <v xml:space="preserve">Without Partition </v>
          </cell>
          <cell r="AI779" t="str">
            <v>PINK</v>
          </cell>
          <cell r="AJ779" t="str">
            <v>Flat / PINK</v>
          </cell>
          <cell r="AK779">
            <v>1050000</v>
          </cell>
          <cell r="AL779">
            <v>15000</v>
          </cell>
          <cell r="AM779">
            <v>1650000</v>
          </cell>
          <cell r="AN779">
            <v>33000</v>
          </cell>
          <cell r="AO779">
            <v>150000</v>
          </cell>
          <cell r="AP779">
            <v>2850000</v>
          </cell>
          <cell r="AQ779"/>
          <cell r="AR779">
            <v>2850000</v>
          </cell>
          <cell r="AS779">
            <v>200000</v>
          </cell>
          <cell r="AT779">
            <v>2650000</v>
          </cell>
          <cell r="AU779">
            <v>100000</v>
          </cell>
          <cell r="AV779">
            <v>2550000</v>
          </cell>
          <cell r="AW779">
            <v>0</v>
          </cell>
          <cell r="AX779">
            <v>2550000</v>
          </cell>
        </row>
        <row r="780">
          <cell r="G780" t="str">
            <v>AGM-01-039-012</v>
          </cell>
          <cell r="H780" t="str">
            <v xml:space="preserve">Raemulan Lands, Inc. </v>
          </cell>
          <cell r="I780" t="str">
            <v>Agapeya</v>
          </cell>
          <cell r="J780" t="str">
            <v>AGM</v>
          </cell>
          <cell r="K780" t="str">
            <v>Eco-High</v>
          </cell>
          <cell r="L780" t="str">
            <v>West</v>
          </cell>
          <cell r="M780" t="str">
            <v>With LTS - 2024</v>
          </cell>
          <cell r="N780" t="str">
            <v>YES</v>
          </cell>
          <cell r="O780" t="str">
            <v>YES</v>
          </cell>
          <cell r="P780" t="str">
            <v>Unaffected lots</v>
          </cell>
          <cell r="Q780" t="str">
            <v>YES</v>
          </cell>
          <cell r="R780">
            <v>70</v>
          </cell>
          <cell r="S780" t="str">
            <v>PCS-04-034298</v>
          </cell>
          <cell r="T780" t="str">
            <v>TCT-060-2024021885</v>
          </cell>
          <cell r="U780" t="b">
            <v>1</v>
          </cell>
          <cell r="V780" t="str">
            <v>Done</v>
          </cell>
          <cell r="W780" t="str">
            <v>B3 2025</v>
          </cell>
          <cell r="X780" t="str">
            <v>2025 - Batch 2</v>
          </cell>
          <cell r="Y780">
            <v>39</v>
          </cell>
          <cell r="Z780">
            <v>12</v>
          </cell>
          <cell r="AA780" t="str">
            <v>H+L</v>
          </cell>
          <cell r="AB780">
            <v>70</v>
          </cell>
          <cell r="AC780">
            <v>50</v>
          </cell>
          <cell r="AD780" t="str">
            <v>Slant</v>
          </cell>
          <cell r="AE780" t="str">
            <v>Duplex</v>
          </cell>
          <cell r="AF780" t="str">
            <v>568 - Without Partition</v>
          </cell>
          <cell r="AG780" t="str">
            <v xml:space="preserve">Without Partition </v>
          </cell>
          <cell r="AH780" t="str">
            <v xml:space="preserve">Without Partition </v>
          </cell>
          <cell r="AI780" t="str">
            <v>PINK</v>
          </cell>
          <cell r="AJ780" t="str">
            <v>Slant / PINK</v>
          </cell>
          <cell r="AK780">
            <v>1050000</v>
          </cell>
          <cell r="AL780">
            <v>15000</v>
          </cell>
          <cell r="AM780">
            <v>1650000</v>
          </cell>
          <cell r="AN780">
            <v>33000</v>
          </cell>
          <cell r="AO780">
            <v>150000</v>
          </cell>
          <cell r="AP780">
            <v>2850000</v>
          </cell>
          <cell r="AQ780"/>
          <cell r="AR780">
            <v>2850000</v>
          </cell>
          <cell r="AS780">
            <v>200000</v>
          </cell>
          <cell r="AT780">
            <v>2650000</v>
          </cell>
          <cell r="AU780">
            <v>100000</v>
          </cell>
          <cell r="AV780">
            <v>2550000</v>
          </cell>
          <cell r="AW780">
            <v>0</v>
          </cell>
          <cell r="AX780">
            <v>2550000</v>
          </cell>
        </row>
        <row r="781">
          <cell r="G781" t="str">
            <v>AGM-01-040-001</v>
          </cell>
          <cell r="H781" t="str">
            <v xml:space="preserve">Raemulan Lands, Inc. </v>
          </cell>
          <cell r="I781" t="str">
            <v>Agapeya</v>
          </cell>
          <cell r="J781" t="str">
            <v>AGM</v>
          </cell>
          <cell r="K781" t="str">
            <v>Eco-High</v>
          </cell>
          <cell r="L781" t="str">
            <v>West</v>
          </cell>
          <cell r="M781" t="str">
            <v>With LTS - 2024</v>
          </cell>
          <cell r="N781" t="str">
            <v>YES</v>
          </cell>
          <cell r="O781" t="str">
            <v>YES</v>
          </cell>
          <cell r="P781" t="str">
            <v>Unaffected lots</v>
          </cell>
          <cell r="Q781" t="str">
            <v>YES</v>
          </cell>
          <cell r="R781">
            <v>70</v>
          </cell>
          <cell r="S781" t="str">
            <v>PCS-04-034298</v>
          </cell>
          <cell r="T781" t="str">
            <v>TCT-060-2024021886</v>
          </cell>
          <cell r="U781" t="b">
            <v>1</v>
          </cell>
          <cell r="V781" t="str">
            <v>Done</v>
          </cell>
          <cell r="W781" t="str">
            <v>2024 Batch</v>
          </cell>
          <cell r="X781" t="str">
            <v>2024 Batch</v>
          </cell>
          <cell r="Y781">
            <v>40</v>
          </cell>
          <cell r="Z781">
            <v>1</v>
          </cell>
          <cell r="AA781" t="str">
            <v>H+L</v>
          </cell>
          <cell r="AB781">
            <v>70</v>
          </cell>
          <cell r="AC781">
            <v>50</v>
          </cell>
          <cell r="AD781" t="str">
            <v>Slant</v>
          </cell>
          <cell r="AE781" t="str">
            <v>Duplex</v>
          </cell>
          <cell r="AF781" t="str">
            <v>326 - With Partition</v>
          </cell>
          <cell r="AG781" t="str">
            <v xml:space="preserve">Without Partition </v>
          </cell>
          <cell r="AH781" t="str">
            <v xml:space="preserve">Without Partition </v>
          </cell>
          <cell r="AI781" t="str">
            <v>YELLOW</v>
          </cell>
          <cell r="AJ781" t="str">
            <v>Slant / YELLOW</v>
          </cell>
          <cell r="AK781">
            <v>1050000</v>
          </cell>
          <cell r="AL781">
            <v>15000</v>
          </cell>
          <cell r="AM781">
            <v>1650000</v>
          </cell>
          <cell r="AN781">
            <v>33000</v>
          </cell>
          <cell r="AO781">
            <v>150000</v>
          </cell>
          <cell r="AP781">
            <v>2850000</v>
          </cell>
          <cell r="AQ781"/>
          <cell r="AR781">
            <v>2850000</v>
          </cell>
          <cell r="AS781">
            <v>200000</v>
          </cell>
          <cell r="AT781">
            <v>2650000</v>
          </cell>
          <cell r="AU781">
            <v>100000</v>
          </cell>
          <cell r="AV781">
            <v>2550000</v>
          </cell>
          <cell r="AW781">
            <v>0</v>
          </cell>
          <cell r="AX781">
            <v>2550000</v>
          </cell>
        </row>
        <row r="782">
          <cell r="G782" t="str">
            <v>AGM-01-040-002</v>
          </cell>
          <cell r="H782" t="str">
            <v xml:space="preserve">Raemulan Lands, Inc. </v>
          </cell>
          <cell r="I782" t="str">
            <v>Agapeya</v>
          </cell>
          <cell r="J782" t="str">
            <v>AGM</v>
          </cell>
          <cell r="K782" t="str">
            <v>Eco-High</v>
          </cell>
          <cell r="L782" t="str">
            <v>West</v>
          </cell>
          <cell r="M782" t="str">
            <v>With LTS - 2024</v>
          </cell>
          <cell r="N782" t="str">
            <v>YES</v>
          </cell>
          <cell r="O782" t="str">
            <v>YES</v>
          </cell>
          <cell r="P782" t="str">
            <v>Unaffected lots</v>
          </cell>
          <cell r="Q782" t="str">
            <v>YES</v>
          </cell>
          <cell r="R782">
            <v>70</v>
          </cell>
          <cell r="S782" t="str">
            <v>PCS-04-034298</v>
          </cell>
          <cell r="T782" t="str">
            <v>TCT-060-2024021887</v>
          </cell>
          <cell r="U782" t="b">
            <v>1</v>
          </cell>
          <cell r="V782" t="str">
            <v>Done</v>
          </cell>
          <cell r="W782" t="str">
            <v>2024 Batch</v>
          </cell>
          <cell r="X782" t="str">
            <v>2024 Batch</v>
          </cell>
          <cell r="Y782">
            <v>40</v>
          </cell>
          <cell r="Z782">
            <v>2</v>
          </cell>
          <cell r="AA782" t="str">
            <v>H+L</v>
          </cell>
          <cell r="AB782">
            <v>70</v>
          </cell>
          <cell r="AC782">
            <v>50</v>
          </cell>
          <cell r="AD782" t="str">
            <v>Flat</v>
          </cell>
          <cell r="AE782" t="str">
            <v>Duplex</v>
          </cell>
          <cell r="AF782" t="str">
            <v>326 - With Partition</v>
          </cell>
          <cell r="AG782" t="str">
            <v>With Partition</v>
          </cell>
          <cell r="AH782" t="str">
            <v>With Partition</v>
          </cell>
          <cell r="AI782" t="str">
            <v>YELLOW</v>
          </cell>
          <cell r="AJ782" t="str">
            <v>Flat / YELLOW</v>
          </cell>
          <cell r="AK782">
            <v>1050000</v>
          </cell>
          <cell r="AL782">
            <v>15000</v>
          </cell>
          <cell r="AM782">
            <v>1650000</v>
          </cell>
          <cell r="AN782">
            <v>33000</v>
          </cell>
          <cell r="AO782">
            <v>150000</v>
          </cell>
          <cell r="AP782">
            <v>2850000</v>
          </cell>
          <cell r="AQ782"/>
          <cell r="AR782">
            <v>2850000</v>
          </cell>
          <cell r="AS782">
            <v>0</v>
          </cell>
          <cell r="AT782">
            <v>2850000</v>
          </cell>
          <cell r="AU782">
            <v>100000</v>
          </cell>
          <cell r="AV782">
            <v>2750000</v>
          </cell>
          <cell r="AW782">
            <v>0</v>
          </cell>
          <cell r="AX782">
            <v>2750000</v>
          </cell>
        </row>
        <row r="783">
          <cell r="G783" t="str">
            <v>AGM-01-040-003</v>
          </cell>
          <cell r="H783" t="str">
            <v xml:space="preserve">Raemulan Lands, Inc. </v>
          </cell>
          <cell r="I783" t="str">
            <v>Agapeya</v>
          </cell>
          <cell r="J783" t="str">
            <v>AGM</v>
          </cell>
          <cell r="K783" t="str">
            <v>Eco-High</v>
          </cell>
          <cell r="L783" t="str">
            <v>West</v>
          </cell>
          <cell r="M783" t="str">
            <v>With LTS - 2024</v>
          </cell>
          <cell r="N783" t="str">
            <v>YES</v>
          </cell>
          <cell r="O783" t="str">
            <v>YES</v>
          </cell>
          <cell r="P783" t="str">
            <v>Unaffected lots</v>
          </cell>
          <cell r="Q783" t="str">
            <v>YES</v>
          </cell>
          <cell r="R783">
            <v>70</v>
          </cell>
          <cell r="S783" t="str">
            <v>PCS-04-034298</v>
          </cell>
          <cell r="T783" t="str">
            <v>TCT-060-2024021888</v>
          </cell>
          <cell r="U783" t="b">
            <v>1</v>
          </cell>
          <cell r="V783" t="str">
            <v>Done</v>
          </cell>
          <cell r="W783" t="str">
            <v>2024 Batch</v>
          </cell>
          <cell r="X783" t="str">
            <v>2024 Batch</v>
          </cell>
          <cell r="Y783">
            <v>40</v>
          </cell>
          <cell r="Z783">
            <v>3</v>
          </cell>
          <cell r="AA783" t="str">
            <v>H+L</v>
          </cell>
          <cell r="AB783">
            <v>70</v>
          </cell>
          <cell r="AC783">
            <v>50</v>
          </cell>
          <cell r="AD783" t="str">
            <v>Slant</v>
          </cell>
          <cell r="AE783" t="str">
            <v>Duplex</v>
          </cell>
          <cell r="AF783" t="str">
            <v>326 - With Partition</v>
          </cell>
          <cell r="AG783" t="str">
            <v>With Partition</v>
          </cell>
          <cell r="AH783" t="str">
            <v>With Partition</v>
          </cell>
          <cell r="AI783" t="str">
            <v>PINK</v>
          </cell>
          <cell r="AJ783" t="str">
            <v>Slant / PINK</v>
          </cell>
          <cell r="AK783">
            <v>1050000</v>
          </cell>
          <cell r="AL783">
            <v>15000</v>
          </cell>
          <cell r="AM783">
            <v>1650000</v>
          </cell>
          <cell r="AN783">
            <v>33000</v>
          </cell>
          <cell r="AO783">
            <v>150000</v>
          </cell>
          <cell r="AP783">
            <v>2850000</v>
          </cell>
          <cell r="AQ783"/>
          <cell r="AR783">
            <v>2850000</v>
          </cell>
          <cell r="AS783">
            <v>0</v>
          </cell>
          <cell r="AT783">
            <v>2850000</v>
          </cell>
          <cell r="AU783">
            <v>100000</v>
          </cell>
          <cell r="AV783">
            <v>2750000</v>
          </cell>
          <cell r="AW783">
            <v>0</v>
          </cell>
          <cell r="AX783">
            <v>2750000</v>
          </cell>
        </row>
        <row r="784">
          <cell r="G784" t="str">
            <v>AGM-01-040-004</v>
          </cell>
          <cell r="H784" t="str">
            <v xml:space="preserve">Raemulan Lands, Inc. </v>
          </cell>
          <cell r="I784" t="str">
            <v>Agapeya</v>
          </cell>
          <cell r="J784" t="str">
            <v>AGM</v>
          </cell>
          <cell r="K784" t="str">
            <v>Eco-High</v>
          </cell>
          <cell r="L784" t="str">
            <v>West</v>
          </cell>
          <cell r="M784" t="str">
            <v>With LTS - 2024</v>
          </cell>
          <cell r="N784" t="str">
            <v>YES</v>
          </cell>
          <cell r="O784" t="str">
            <v>YES</v>
          </cell>
          <cell r="P784" t="str">
            <v>Unaffected lots</v>
          </cell>
          <cell r="Q784" t="str">
            <v>YES</v>
          </cell>
          <cell r="R784">
            <v>70</v>
          </cell>
          <cell r="S784" t="str">
            <v>PCS-04-034298</v>
          </cell>
          <cell r="T784" t="str">
            <v>TCT-060-2024021889</v>
          </cell>
          <cell r="U784" t="b">
            <v>1</v>
          </cell>
          <cell r="V784" t="str">
            <v>Done</v>
          </cell>
          <cell r="W784" t="str">
            <v>2024 Batch</v>
          </cell>
          <cell r="X784" t="str">
            <v>2024 Batch</v>
          </cell>
          <cell r="Y784">
            <v>40</v>
          </cell>
          <cell r="Z784">
            <v>4</v>
          </cell>
          <cell r="AA784" t="str">
            <v>H+L</v>
          </cell>
          <cell r="AB784">
            <v>70</v>
          </cell>
          <cell r="AC784">
            <v>50</v>
          </cell>
          <cell r="AD784" t="str">
            <v>Flat</v>
          </cell>
          <cell r="AE784" t="str">
            <v>Duplex</v>
          </cell>
          <cell r="AF784" t="str">
            <v>326 - With Partition</v>
          </cell>
          <cell r="AG784" t="str">
            <v xml:space="preserve">Without Partition </v>
          </cell>
          <cell r="AH784" t="str">
            <v xml:space="preserve">Without Partition </v>
          </cell>
          <cell r="AI784" t="str">
            <v>PINK</v>
          </cell>
          <cell r="AJ784" t="str">
            <v>Flat / PINK</v>
          </cell>
          <cell r="AK784">
            <v>1050000</v>
          </cell>
          <cell r="AL784">
            <v>15000</v>
          </cell>
          <cell r="AM784">
            <v>1650000</v>
          </cell>
          <cell r="AN784">
            <v>33000</v>
          </cell>
          <cell r="AO784">
            <v>150000</v>
          </cell>
          <cell r="AP784">
            <v>2850000</v>
          </cell>
          <cell r="AQ784"/>
          <cell r="AR784">
            <v>2850000</v>
          </cell>
          <cell r="AS784">
            <v>200000</v>
          </cell>
          <cell r="AT784">
            <v>2650000</v>
          </cell>
          <cell r="AU784">
            <v>100000</v>
          </cell>
          <cell r="AV784">
            <v>2550000</v>
          </cell>
          <cell r="AW784">
            <v>0</v>
          </cell>
          <cell r="AX784">
            <v>2550000</v>
          </cell>
        </row>
        <row r="785">
          <cell r="G785" t="str">
            <v>AGM-01-040-005</v>
          </cell>
          <cell r="H785" t="str">
            <v xml:space="preserve">Raemulan Lands, Inc. </v>
          </cell>
          <cell r="I785" t="str">
            <v>Agapeya</v>
          </cell>
          <cell r="J785" t="str">
            <v>AGM</v>
          </cell>
          <cell r="K785" t="str">
            <v>Eco-High</v>
          </cell>
          <cell r="L785" t="str">
            <v>West</v>
          </cell>
          <cell r="M785" t="str">
            <v>With LTS - 2024</v>
          </cell>
          <cell r="N785" t="str">
            <v>YES</v>
          </cell>
          <cell r="O785" t="str">
            <v>YES</v>
          </cell>
          <cell r="P785" t="str">
            <v>Unaffected lots</v>
          </cell>
          <cell r="Q785" t="str">
            <v>YES</v>
          </cell>
          <cell r="R785">
            <v>70</v>
          </cell>
          <cell r="S785" t="str">
            <v>PCS-04-034298</v>
          </cell>
          <cell r="T785" t="str">
            <v>TCT-060-2024021890</v>
          </cell>
          <cell r="U785" t="b">
            <v>1</v>
          </cell>
          <cell r="V785" t="str">
            <v>Done</v>
          </cell>
          <cell r="W785" t="str">
            <v>B1 2025</v>
          </cell>
          <cell r="X785" t="str">
            <v>2025 - Batch 1</v>
          </cell>
          <cell r="Y785">
            <v>40</v>
          </cell>
          <cell r="Z785">
            <v>5</v>
          </cell>
          <cell r="AA785" t="str">
            <v>H+L</v>
          </cell>
          <cell r="AB785">
            <v>70</v>
          </cell>
          <cell r="AC785">
            <v>50</v>
          </cell>
          <cell r="AD785" t="str">
            <v>Slant</v>
          </cell>
          <cell r="AE785" t="str">
            <v>Duplex</v>
          </cell>
          <cell r="AF785" t="str">
            <v>568 - Without Partition</v>
          </cell>
          <cell r="AG785" t="str">
            <v xml:space="preserve">Without Partition </v>
          </cell>
          <cell r="AH785" t="str">
            <v xml:space="preserve">Without Partition </v>
          </cell>
          <cell r="AI785" t="str">
            <v>PINK</v>
          </cell>
          <cell r="AJ785" t="str">
            <v>Slant / PINK</v>
          </cell>
          <cell r="AK785">
            <v>1050000</v>
          </cell>
          <cell r="AL785">
            <v>15000</v>
          </cell>
          <cell r="AM785">
            <v>1650000</v>
          </cell>
          <cell r="AN785">
            <v>33000</v>
          </cell>
          <cell r="AO785">
            <v>150000</v>
          </cell>
          <cell r="AP785">
            <v>2850000</v>
          </cell>
          <cell r="AQ785"/>
          <cell r="AR785">
            <v>2850000</v>
          </cell>
          <cell r="AS785">
            <v>200000</v>
          </cell>
          <cell r="AT785">
            <v>2650000</v>
          </cell>
          <cell r="AU785">
            <v>100000</v>
          </cell>
          <cell r="AV785">
            <v>2550000</v>
          </cell>
          <cell r="AW785">
            <v>0</v>
          </cell>
          <cell r="AX785">
            <v>2550000</v>
          </cell>
        </row>
        <row r="786">
          <cell r="G786" t="str">
            <v>AGM-01-040-006</v>
          </cell>
          <cell r="H786" t="str">
            <v xml:space="preserve">Raemulan Lands, Inc. </v>
          </cell>
          <cell r="I786" t="str">
            <v>Agapeya</v>
          </cell>
          <cell r="J786" t="str">
            <v>AGM</v>
          </cell>
          <cell r="K786" t="str">
            <v>Eco-High</v>
          </cell>
          <cell r="L786" t="str">
            <v>West</v>
          </cell>
          <cell r="M786" t="str">
            <v>With LTS - 2024</v>
          </cell>
          <cell r="N786" t="str">
            <v>YES</v>
          </cell>
          <cell r="O786" t="str">
            <v>YES</v>
          </cell>
          <cell r="P786" t="str">
            <v>Unaffected lots</v>
          </cell>
          <cell r="Q786" t="str">
            <v>YES</v>
          </cell>
          <cell r="R786">
            <v>89</v>
          </cell>
          <cell r="S786" t="str">
            <v>PCS-04-034298</v>
          </cell>
          <cell r="T786" t="str">
            <v>TCT-060-2024021891</v>
          </cell>
          <cell r="U786" t="b">
            <v>1</v>
          </cell>
          <cell r="V786" t="str">
            <v>Done</v>
          </cell>
          <cell r="W786" t="str">
            <v>B1 2025</v>
          </cell>
          <cell r="X786" t="str">
            <v>2025 - Batch 1</v>
          </cell>
          <cell r="Y786">
            <v>40</v>
          </cell>
          <cell r="Z786">
            <v>6</v>
          </cell>
          <cell r="AA786" t="str">
            <v>H+L</v>
          </cell>
          <cell r="AB786">
            <v>89</v>
          </cell>
          <cell r="AC786">
            <v>50</v>
          </cell>
          <cell r="AD786" t="str">
            <v>Flat</v>
          </cell>
          <cell r="AE786" t="str">
            <v>Duplex</v>
          </cell>
          <cell r="AF786" t="str">
            <v>568 - Without Partition</v>
          </cell>
          <cell r="AG786" t="str">
            <v xml:space="preserve">Without Partition </v>
          </cell>
          <cell r="AH786" t="str">
            <v xml:space="preserve">Without Partition </v>
          </cell>
          <cell r="AI786" t="str">
            <v>PINK</v>
          </cell>
          <cell r="AJ786" t="str">
            <v>Flat / PINK</v>
          </cell>
          <cell r="AK786">
            <v>1335000</v>
          </cell>
          <cell r="AL786">
            <v>15000</v>
          </cell>
          <cell r="AM786">
            <v>1650000</v>
          </cell>
          <cell r="AN786">
            <v>33000</v>
          </cell>
          <cell r="AO786">
            <v>150000</v>
          </cell>
          <cell r="AP786">
            <v>3135000</v>
          </cell>
          <cell r="AQ786"/>
          <cell r="AR786">
            <v>3135000</v>
          </cell>
          <cell r="AS786">
            <v>200000</v>
          </cell>
          <cell r="AT786">
            <v>2935000</v>
          </cell>
          <cell r="AU786">
            <v>100000</v>
          </cell>
          <cell r="AV786">
            <v>2835000</v>
          </cell>
          <cell r="AW786">
            <v>0</v>
          </cell>
          <cell r="AX786">
            <v>2835000</v>
          </cell>
        </row>
        <row r="787">
          <cell r="G787" t="str">
            <v>AGM-01-040-007</v>
          </cell>
          <cell r="H787" t="str">
            <v xml:space="preserve">Raemulan Lands, Inc. </v>
          </cell>
          <cell r="I787" t="str">
            <v>Agapeya</v>
          </cell>
          <cell r="J787" t="str">
            <v>AGM</v>
          </cell>
          <cell r="K787" t="str">
            <v>Eco-High</v>
          </cell>
          <cell r="L787" t="str">
            <v>West</v>
          </cell>
          <cell r="M787" t="str">
            <v>With LTS - 2024</v>
          </cell>
          <cell r="N787" t="str">
            <v>YES</v>
          </cell>
          <cell r="O787" t="str">
            <v>YES</v>
          </cell>
          <cell r="P787" t="str">
            <v>Unaffected lots</v>
          </cell>
          <cell r="Q787" t="str">
            <v>YES</v>
          </cell>
          <cell r="R787">
            <v>89</v>
          </cell>
          <cell r="S787" t="str">
            <v>PCS-04-034298</v>
          </cell>
          <cell r="T787" t="str">
            <v>TCT-060-2024021892</v>
          </cell>
          <cell r="U787" t="b">
            <v>1</v>
          </cell>
          <cell r="V787" t="str">
            <v>Done</v>
          </cell>
          <cell r="W787" t="str">
            <v>B1 2025</v>
          </cell>
          <cell r="X787" t="str">
            <v>2025 - Batch 1</v>
          </cell>
          <cell r="Y787">
            <v>40</v>
          </cell>
          <cell r="Z787">
            <v>7</v>
          </cell>
          <cell r="AA787" t="str">
            <v>H+L</v>
          </cell>
          <cell r="AB787">
            <v>89</v>
          </cell>
          <cell r="AC787">
            <v>50</v>
          </cell>
          <cell r="AD787" t="str">
            <v>Slant</v>
          </cell>
          <cell r="AE787" t="str">
            <v>Duplex</v>
          </cell>
          <cell r="AF787" t="str">
            <v>568 - Without Partition</v>
          </cell>
          <cell r="AG787" t="str">
            <v xml:space="preserve">Without Partition </v>
          </cell>
          <cell r="AH787" t="str">
            <v xml:space="preserve">Without Partition </v>
          </cell>
          <cell r="AI787" t="str">
            <v>YELLOW</v>
          </cell>
          <cell r="AJ787" t="str">
            <v>Slant / YELLOW</v>
          </cell>
          <cell r="AK787">
            <v>1335000</v>
          </cell>
          <cell r="AL787">
            <v>15000</v>
          </cell>
          <cell r="AM787">
            <v>1650000</v>
          </cell>
          <cell r="AN787">
            <v>33000</v>
          </cell>
          <cell r="AO787">
            <v>150000</v>
          </cell>
          <cell r="AP787">
            <v>3135000</v>
          </cell>
          <cell r="AQ787"/>
          <cell r="AR787">
            <v>3135000</v>
          </cell>
          <cell r="AS787">
            <v>200000</v>
          </cell>
          <cell r="AT787">
            <v>2935000</v>
          </cell>
          <cell r="AU787">
            <v>100000</v>
          </cell>
          <cell r="AV787">
            <v>2835000</v>
          </cell>
          <cell r="AW787">
            <v>0</v>
          </cell>
          <cell r="AX787">
            <v>2835000</v>
          </cell>
        </row>
        <row r="788">
          <cell r="G788" t="str">
            <v>AGM-01-040-008</v>
          </cell>
          <cell r="H788" t="str">
            <v xml:space="preserve">Raemulan Lands, Inc. </v>
          </cell>
          <cell r="I788" t="str">
            <v>Agapeya</v>
          </cell>
          <cell r="J788" t="str">
            <v>AGM</v>
          </cell>
          <cell r="K788" t="str">
            <v>Eco-High</v>
          </cell>
          <cell r="L788" t="str">
            <v>West</v>
          </cell>
          <cell r="M788" t="str">
            <v>With LTS - 2024</v>
          </cell>
          <cell r="N788" t="str">
            <v>YES</v>
          </cell>
          <cell r="O788" t="str">
            <v>YES</v>
          </cell>
          <cell r="P788" t="str">
            <v>Unaffected lots</v>
          </cell>
          <cell r="Q788" t="str">
            <v>YES</v>
          </cell>
          <cell r="R788">
            <v>70</v>
          </cell>
          <cell r="S788" t="str">
            <v>PCS-04-034298</v>
          </cell>
          <cell r="T788" t="str">
            <v>TCT-060-2024021893</v>
          </cell>
          <cell r="U788" t="b">
            <v>1</v>
          </cell>
          <cell r="V788" t="str">
            <v>Done</v>
          </cell>
          <cell r="W788" t="str">
            <v>B1 2025</v>
          </cell>
          <cell r="X788" t="str">
            <v>2025 - Batch 1</v>
          </cell>
          <cell r="Y788">
            <v>40</v>
          </cell>
          <cell r="Z788">
            <v>8</v>
          </cell>
          <cell r="AA788" t="str">
            <v>H+L</v>
          </cell>
          <cell r="AB788">
            <v>70</v>
          </cell>
          <cell r="AC788">
            <v>50</v>
          </cell>
          <cell r="AD788" t="str">
            <v>Flat</v>
          </cell>
          <cell r="AE788" t="str">
            <v>Duplex</v>
          </cell>
          <cell r="AF788" t="str">
            <v>568 - Without Partition</v>
          </cell>
          <cell r="AG788" t="str">
            <v xml:space="preserve">Without Partition </v>
          </cell>
          <cell r="AH788" t="str">
            <v xml:space="preserve">Without Partition </v>
          </cell>
          <cell r="AI788" t="str">
            <v>YELLOW</v>
          </cell>
          <cell r="AJ788" t="str">
            <v>Flat / YELLOW</v>
          </cell>
          <cell r="AK788">
            <v>1050000</v>
          </cell>
          <cell r="AL788">
            <v>15000</v>
          </cell>
          <cell r="AM788">
            <v>1650000</v>
          </cell>
          <cell r="AN788">
            <v>33000</v>
          </cell>
          <cell r="AO788">
            <v>150000</v>
          </cell>
          <cell r="AP788">
            <v>2850000</v>
          </cell>
          <cell r="AQ788"/>
          <cell r="AR788">
            <v>2850000</v>
          </cell>
          <cell r="AS788">
            <v>200000</v>
          </cell>
          <cell r="AT788">
            <v>2650000</v>
          </cell>
          <cell r="AU788">
            <v>100000</v>
          </cell>
          <cell r="AV788">
            <v>2550000</v>
          </cell>
          <cell r="AW788">
            <v>0</v>
          </cell>
          <cell r="AX788">
            <v>2550000</v>
          </cell>
        </row>
        <row r="789">
          <cell r="G789" t="str">
            <v>AGM-01-040-009</v>
          </cell>
          <cell r="H789" t="str">
            <v xml:space="preserve">Raemulan Lands, Inc. </v>
          </cell>
          <cell r="I789" t="str">
            <v>Agapeya</v>
          </cell>
          <cell r="J789" t="str">
            <v>AGM</v>
          </cell>
          <cell r="K789" t="str">
            <v>Eco-High</v>
          </cell>
          <cell r="L789" t="str">
            <v>West</v>
          </cell>
          <cell r="M789" t="str">
            <v>With LTS - 2024</v>
          </cell>
          <cell r="N789" t="str">
            <v>YES</v>
          </cell>
          <cell r="O789" t="str">
            <v>YES</v>
          </cell>
          <cell r="P789" t="str">
            <v>Unaffected lots</v>
          </cell>
          <cell r="Q789" t="str">
            <v>YES</v>
          </cell>
          <cell r="R789">
            <v>70</v>
          </cell>
          <cell r="S789" t="str">
            <v>PCS-04-034298</v>
          </cell>
          <cell r="T789" t="str">
            <v>TCT-060-2024021894</v>
          </cell>
          <cell r="U789" t="b">
            <v>1</v>
          </cell>
          <cell r="V789" t="str">
            <v>Done</v>
          </cell>
          <cell r="W789" t="str">
            <v>2024 Batch</v>
          </cell>
          <cell r="X789" t="str">
            <v>2024 Batch</v>
          </cell>
          <cell r="Y789">
            <v>40</v>
          </cell>
          <cell r="Z789">
            <v>9</v>
          </cell>
          <cell r="AA789" t="str">
            <v>H+L</v>
          </cell>
          <cell r="AB789">
            <v>70</v>
          </cell>
          <cell r="AC789">
            <v>50</v>
          </cell>
          <cell r="AD789" t="str">
            <v>Flat</v>
          </cell>
          <cell r="AE789" t="str">
            <v>Duplex</v>
          </cell>
          <cell r="AF789" t="str">
            <v>326 - With Partition</v>
          </cell>
          <cell r="AG789" t="str">
            <v>With Partition</v>
          </cell>
          <cell r="AH789" t="str">
            <v>With Partition</v>
          </cell>
          <cell r="AI789" t="str">
            <v>YELLOW</v>
          </cell>
          <cell r="AJ789" t="str">
            <v>Flat / YELLOW</v>
          </cell>
          <cell r="AK789">
            <v>1050000</v>
          </cell>
          <cell r="AL789">
            <v>15000</v>
          </cell>
          <cell r="AM789">
            <v>1650000</v>
          </cell>
          <cell r="AN789">
            <v>33000</v>
          </cell>
          <cell r="AO789">
            <v>150000</v>
          </cell>
          <cell r="AP789">
            <v>2850000</v>
          </cell>
          <cell r="AQ789"/>
          <cell r="AR789">
            <v>2850000</v>
          </cell>
          <cell r="AS789">
            <v>0</v>
          </cell>
          <cell r="AT789">
            <v>2850000</v>
          </cell>
          <cell r="AU789">
            <v>100000</v>
          </cell>
          <cell r="AV789">
            <v>2750000</v>
          </cell>
          <cell r="AW789">
            <v>0</v>
          </cell>
          <cell r="AX789">
            <v>2750000</v>
          </cell>
        </row>
        <row r="790">
          <cell r="G790" t="str">
            <v>AGM-01-040-010</v>
          </cell>
          <cell r="H790" t="str">
            <v xml:space="preserve">Raemulan Lands, Inc. </v>
          </cell>
          <cell r="I790" t="str">
            <v>Agapeya</v>
          </cell>
          <cell r="J790" t="str">
            <v>AGM</v>
          </cell>
          <cell r="K790" t="str">
            <v>Eco-High</v>
          </cell>
          <cell r="L790" t="str">
            <v>West</v>
          </cell>
          <cell r="M790" t="str">
            <v>With LTS - 2024</v>
          </cell>
          <cell r="N790" t="str">
            <v>YES</v>
          </cell>
          <cell r="O790" t="str">
            <v>YES</v>
          </cell>
          <cell r="P790" t="str">
            <v>Unaffected lots</v>
          </cell>
          <cell r="Q790" t="str">
            <v>YES</v>
          </cell>
          <cell r="R790">
            <v>70</v>
          </cell>
          <cell r="S790" t="str">
            <v>PCS-04-034298</v>
          </cell>
          <cell r="T790" t="str">
            <v>TCT-060-2024021895</v>
          </cell>
          <cell r="U790" t="b">
            <v>1</v>
          </cell>
          <cell r="V790" t="str">
            <v>Done</v>
          </cell>
          <cell r="W790" t="str">
            <v>2024 Batch</v>
          </cell>
          <cell r="X790" t="str">
            <v>2024 Batch</v>
          </cell>
          <cell r="Y790">
            <v>40</v>
          </cell>
          <cell r="Z790">
            <v>10</v>
          </cell>
          <cell r="AA790" t="str">
            <v>H+L</v>
          </cell>
          <cell r="AB790">
            <v>70</v>
          </cell>
          <cell r="AC790">
            <v>50</v>
          </cell>
          <cell r="AD790" t="str">
            <v>Slant</v>
          </cell>
          <cell r="AE790" t="str">
            <v>Duplex</v>
          </cell>
          <cell r="AF790" t="str">
            <v>326 - With Partition</v>
          </cell>
          <cell r="AG790" t="str">
            <v>With Partition</v>
          </cell>
          <cell r="AH790" t="str">
            <v>With Partition</v>
          </cell>
          <cell r="AI790" t="str">
            <v>YELLOW</v>
          </cell>
          <cell r="AJ790" t="str">
            <v>Slant / YELLOW</v>
          </cell>
          <cell r="AK790">
            <v>1050000</v>
          </cell>
          <cell r="AL790">
            <v>15000</v>
          </cell>
          <cell r="AM790">
            <v>1650000</v>
          </cell>
          <cell r="AN790">
            <v>33000</v>
          </cell>
          <cell r="AO790">
            <v>150000</v>
          </cell>
          <cell r="AP790">
            <v>2850000</v>
          </cell>
          <cell r="AQ790"/>
          <cell r="AR790">
            <v>2850000</v>
          </cell>
          <cell r="AS790">
            <v>0</v>
          </cell>
          <cell r="AT790">
            <v>2850000</v>
          </cell>
          <cell r="AU790">
            <v>100000</v>
          </cell>
          <cell r="AV790">
            <v>2750000</v>
          </cell>
          <cell r="AW790">
            <v>0</v>
          </cell>
          <cell r="AX790">
            <v>2750000</v>
          </cell>
        </row>
        <row r="791">
          <cell r="G791" t="str">
            <v>AGM-01-040-011</v>
          </cell>
          <cell r="H791" t="str">
            <v xml:space="preserve">Raemulan Lands, Inc. </v>
          </cell>
          <cell r="I791" t="str">
            <v>Agapeya</v>
          </cell>
          <cell r="J791" t="str">
            <v>AGM</v>
          </cell>
          <cell r="K791" t="str">
            <v>Eco-High</v>
          </cell>
          <cell r="L791" t="str">
            <v>West</v>
          </cell>
          <cell r="M791" t="str">
            <v>With LTS - 2024</v>
          </cell>
          <cell r="N791" t="str">
            <v>YES</v>
          </cell>
          <cell r="O791" t="str">
            <v>YES</v>
          </cell>
          <cell r="P791" t="str">
            <v>Unaffected lots</v>
          </cell>
          <cell r="Q791" t="str">
            <v>YES</v>
          </cell>
          <cell r="R791">
            <v>70</v>
          </cell>
          <cell r="S791" t="str">
            <v>PCS-04-034298</v>
          </cell>
          <cell r="T791" t="str">
            <v>TCT-060-2024021896</v>
          </cell>
          <cell r="U791" t="b">
            <v>1</v>
          </cell>
          <cell r="V791" t="str">
            <v>Done</v>
          </cell>
          <cell r="W791" t="str">
            <v>B1 2025</v>
          </cell>
          <cell r="X791" t="str">
            <v>2025 - Batch 1</v>
          </cell>
          <cell r="Y791">
            <v>40</v>
          </cell>
          <cell r="Z791">
            <v>11</v>
          </cell>
          <cell r="AA791" t="str">
            <v>H+L</v>
          </cell>
          <cell r="AB791">
            <v>70</v>
          </cell>
          <cell r="AC791">
            <v>50</v>
          </cell>
          <cell r="AD791" t="str">
            <v>Flat</v>
          </cell>
          <cell r="AE791" t="str">
            <v>Duplex</v>
          </cell>
          <cell r="AF791" t="str">
            <v>568 - Without Partition</v>
          </cell>
          <cell r="AG791" t="str">
            <v xml:space="preserve">Without Partition </v>
          </cell>
          <cell r="AH791" t="str">
            <v xml:space="preserve">Without Partition </v>
          </cell>
          <cell r="AI791" t="str">
            <v>GREEN</v>
          </cell>
          <cell r="AJ791" t="str">
            <v>Flat / GREEN</v>
          </cell>
          <cell r="AK791">
            <v>1050000</v>
          </cell>
          <cell r="AL791">
            <v>15000</v>
          </cell>
          <cell r="AM791">
            <v>1650000</v>
          </cell>
          <cell r="AN791">
            <v>33000</v>
          </cell>
          <cell r="AO791">
            <v>150000</v>
          </cell>
          <cell r="AP791">
            <v>2850000</v>
          </cell>
          <cell r="AQ791"/>
          <cell r="AR791">
            <v>2850000</v>
          </cell>
          <cell r="AS791">
            <v>200000</v>
          </cell>
          <cell r="AT791">
            <v>2650000</v>
          </cell>
          <cell r="AU791">
            <v>100000</v>
          </cell>
          <cell r="AV791">
            <v>2550000</v>
          </cell>
          <cell r="AW791">
            <v>0</v>
          </cell>
          <cell r="AX791">
            <v>2550000</v>
          </cell>
        </row>
        <row r="792">
          <cell r="G792" t="str">
            <v>AGM-01-040-012</v>
          </cell>
          <cell r="H792" t="str">
            <v xml:space="preserve">Raemulan Lands, Inc. </v>
          </cell>
          <cell r="I792" t="str">
            <v>Agapeya</v>
          </cell>
          <cell r="J792" t="str">
            <v>AGM</v>
          </cell>
          <cell r="K792" t="str">
            <v>Eco-High</v>
          </cell>
          <cell r="L792" t="str">
            <v>West</v>
          </cell>
          <cell r="M792" t="str">
            <v>With LTS - 2024</v>
          </cell>
          <cell r="N792" t="str">
            <v>YES</v>
          </cell>
          <cell r="O792" t="str">
            <v>YES</v>
          </cell>
          <cell r="P792" t="str">
            <v>Unaffected lots</v>
          </cell>
          <cell r="Q792" t="str">
            <v>YES</v>
          </cell>
          <cell r="R792">
            <v>70</v>
          </cell>
          <cell r="S792" t="str">
            <v>PCS-04-034298</v>
          </cell>
          <cell r="T792" t="str">
            <v>TCT-060-2024021897</v>
          </cell>
          <cell r="U792" t="b">
            <v>1</v>
          </cell>
          <cell r="V792" t="str">
            <v>Done</v>
          </cell>
          <cell r="W792" t="str">
            <v>B1 2025</v>
          </cell>
          <cell r="X792" t="str">
            <v>2025 - Batch 1</v>
          </cell>
          <cell r="Y792">
            <v>40</v>
          </cell>
          <cell r="Z792">
            <v>12</v>
          </cell>
          <cell r="AA792" t="str">
            <v>H+L</v>
          </cell>
          <cell r="AB792">
            <v>70</v>
          </cell>
          <cell r="AC792">
            <v>50</v>
          </cell>
          <cell r="AD792" t="str">
            <v>Slant</v>
          </cell>
          <cell r="AE792" t="str">
            <v>Duplex</v>
          </cell>
          <cell r="AF792" t="str">
            <v>568 - Without Partition</v>
          </cell>
          <cell r="AG792" t="str">
            <v xml:space="preserve">Without Partition </v>
          </cell>
          <cell r="AH792" t="str">
            <v xml:space="preserve">Without Partition </v>
          </cell>
          <cell r="AI792" t="str">
            <v>GREEN</v>
          </cell>
          <cell r="AJ792" t="str">
            <v>Slant / GREEN</v>
          </cell>
          <cell r="AK792">
            <v>1050000</v>
          </cell>
          <cell r="AL792">
            <v>15000</v>
          </cell>
          <cell r="AM792">
            <v>1650000</v>
          </cell>
          <cell r="AN792">
            <v>33000</v>
          </cell>
          <cell r="AO792">
            <v>150000</v>
          </cell>
          <cell r="AP792">
            <v>2850000</v>
          </cell>
          <cell r="AQ792"/>
          <cell r="AR792">
            <v>2850000</v>
          </cell>
          <cell r="AS792">
            <v>200000</v>
          </cell>
          <cell r="AT792">
            <v>2650000</v>
          </cell>
          <cell r="AU792">
            <v>100000</v>
          </cell>
          <cell r="AV792">
            <v>2550000</v>
          </cell>
          <cell r="AW792">
            <v>0</v>
          </cell>
          <cell r="AX792">
            <v>2550000</v>
          </cell>
        </row>
        <row r="793">
          <cell r="G793" t="str">
            <v>AGM-01-041-001</v>
          </cell>
          <cell r="H793" t="str">
            <v xml:space="preserve">Raemulan Lands, Inc. </v>
          </cell>
          <cell r="I793" t="str">
            <v>Agapeya</v>
          </cell>
          <cell r="J793" t="str">
            <v>AGM</v>
          </cell>
          <cell r="K793" t="str">
            <v>Eco-High</v>
          </cell>
          <cell r="L793" t="str">
            <v>West</v>
          </cell>
          <cell r="M793" t="str">
            <v>With LTS - 2024</v>
          </cell>
          <cell r="N793" t="str">
            <v>YES</v>
          </cell>
          <cell r="O793" t="str">
            <v>YES</v>
          </cell>
          <cell r="P793" t="str">
            <v>Unaffected lots</v>
          </cell>
          <cell r="Q793" t="str">
            <v>YES</v>
          </cell>
          <cell r="R793" t="str">
            <v>1/87</v>
          </cell>
          <cell r="S793" t="str">
            <v>PCS-04-034298/PCS-04-276764</v>
          </cell>
          <cell r="T793" t="str">
            <v>TCT-060-2024018789/TCT-060-2024021898</v>
          </cell>
          <cell r="U793" t="b">
            <v>0</v>
          </cell>
          <cell r="V793" t="str">
            <v>Ongoing</v>
          </cell>
          <cell r="W793" t="str">
            <v>B2 2025</v>
          </cell>
          <cell r="X793" t="str">
            <v>2025 - Batch 1</v>
          </cell>
          <cell r="Y793">
            <v>41</v>
          </cell>
          <cell r="Z793">
            <v>1</v>
          </cell>
          <cell r="AA793" t="str">
            <v>H+L</v>
          </cell>
          <cell r="AB793">
            <v>89</v>
          </cell>
          <cell r="AC793">
            <v>50</v>
          </cell>
          <cell r="AD793" t="str">
            <v>Slant</v>
          </cell>
          <cell r="AE793" t="str">
            <v>Duplex</v>
          </cell>
          <cell r="AF793" t="str">
            <v>568 - Without Partition</v>
          </cell>
          <cell r="AG793" t="str">
            <v xml:space="preserve">Without Partition </v>
          </cell>
          <cell r="AH793" t="str">
            <v xml:space="preserve">Without Partition </v>
          </cell>
          <cell r="AI793" t="str">
            <v>PURPLE</v>
          </cell>
          <cell r="AJ793" t="str">
            <v>Slant / PURPLE</v>
          </cell>
          <cell r="AK793">
            <v>1335000</v>
          </cell>
          <cell r="AL793">
            <v>15000</v>
          </cell>
          <cell r="AM793">
            <v>1650000</v>
          </cell>
          <cell r="AN793">
            <v>33000</v>
          </cell>
          <cell r="AO793">
            <v>150000</v>
          </cell>
          <cell r="AP793">
            <v>3135000</v>
          </cell>
          <cell r="AQ793"/>
          <cell r="AR793">
            <v>3135000</v>
          </cell>
          <cell r="AS793">
            <v>200000</v>
          </cell>
          <cell r="AT793">
            <v>2935000</v>
          </cell>
          <cell r="AU793">
            <v>100000</v>
          </cell>
          <cell r="AV793">
            <v>2835000</v>
          </cell>
          <cell r="AW793">
            <v>0</v>
          </cell>
          <cell r="AX793">
            <v>2835000</v>
          </cell>
        </row>
        <row r="794">
          <cell r="G794" t="str">
            <v>AGM-01-041-002</v>
          </cell>
          <cell r="H794" t="str">
            <v xml:space="preserve">Raemulan Lands, Inc. </v>
          </cell>
          <cell r="I794" t="str">
            <v>Agapeya</v>
          </cell>
          <cell r="J794" t="str">
            <v>AGM</v>
          </cell>
          <cell r="K794" t="str">
            <v>Eco-High</v>
          </cell>
          <cell r="L794" t="str">
            <v>West</v>
          </cell>
          <cell r="M794" t="str">
            <v>With LTS - 2024</v>
          </cell>
          <cell r="N794" t="str">
            <v>YES</v>
          </cell>
          <cell r="O794" t="str">
            <v>YES</v>
          </cell>
          <cell r="P794" t="str">
            <v>Unaffected lots</v>
          </cell>
          <cell r="Q794" t="str">
            <v>YES</v>
          </cell>
          <cell r="R794">
            <v>69</v>
          </cell>
          <cell r="S794" t="str">
            <v>PCS-04-276764</v>
          </cell>
          <cell r="T794" t="str">
            <v>TCT-060-2024018790</v>
          </cell>
          <cell r="U794" t="b">
            <v>0</v>
          </cell>
          <cell r="V794" t="str">
            <v>Ongoing</v>
          </cell>
          <cell r="W794" t="str">
            <v>B2 2025</v>
          </cell>
          <cell r="X794" t="str">
            <v>2025 - Batch 1</v>
          </cell>
          <cell r="Y794">
            <v>41</v>
          </cell>
          <cell r="Z794">
            <v>2</v>
          </cell>
          <cell r="AA794" t="str">
            <v>H+L</v>
          </cell>
          <cell r="AB794">
            <v>70</v>
          </cell>
          <cell r="AC794">
            <v>50</v>
          </cell>
          <cell r="AD794" t="str">
            <v>Flat</v>
          </cell>
          <cell r="AE794" t="str">
            <v>Duplex</v>
          </cell>
          <cell r="AF794" t="str">
            <v>568 - Without Partition</v>
          </cell>
          <cell r="AG794" t="str">
            <v xml:space="preserve">Without Partition </v>
          </cell>
          <cell r="AH794" t="str">
            <v xml:space="preserve">Without Partition </v>
          </cell>
          <cell r="AI794" t="str">
            <v>PURPLE</v>
          </cell>
          <cell r="AJ794" t="str">
            <v>Flat / PURPLE</v>
          </cell>
          <cell r="AK794">
            <v>1050000</v>
          </cell>
          <cell r="AL794">
            <v>15000</v>
          </cell>
          <cell r="AM794">
            <v>1650000</v>
          </cell>
          <cell r="AN794">
            <v>33000</v>
          </cell>
          <cell r="AO794">
            <v>150000</v>
          </cell>
          <cell r="AP794">
            <v>2850000</v>
          </cell>
          <cell r="AQ794"/>
          <cell r="AR794">
            <v>2850000</v>
          </cell>
          <cell r="AS794">
            <v>200000</v>
          </cell>
          <cell r="AT794">
            <v>2650000</v>
          </cell>
          <cell r="AU794">
            <v>100000</v>
          </cell>
          <cell r="AV794">
            <v>2550000</v>
          </cell>
          <cell r="AW794">
            <v>0</v>
          </cell>
          <cell r="AX794">
            <v>2550000</v>
          </cell>
        </row>
        <row r="795">
          <cell r="G795" t="str">
            <v>AGM-01-041-003</v>
          </cell>
          <cell r="H795" t="str">
            <v xml:space="preserve">Raemulan Lands, Inc. </v>
          </cell>
          <cell r="I795" t="str">
            <v>Agapeya</v>
          </cell>
          <cell r="J795" t="str">
            <v>AGM</v>
          </cell>
          <cell r="K795" t="str">
            <v>Eco-High</v>
          </cell>
          <cell r="L795" t="str">
            <v>West</v>
          </cell>
          <cell r="M795" t="str">
            <v>With LTS - 2024</v>
          </cell>
          <cell r="N795" t="str">
            <v>YES</v>
          </cell>
          <cell r="O795" t="str">
            <v>YES</v>
          </cell>
          <cell r="P795" t="str">
            <v>Unaffected lots</v>
          </cell>
          <cell r="Q795" t="str">
            <v>YES</v>
          </cell>
          <cell r="R795">
            <v>70</v>
          </cell>
          <cell r="S795" t="str">
            <v>PCS-04-276764</v>
          </cell>
          <cell r="T795" t="str">
            <v>TCT-060-2024018791</v>
          </cell>
          <cell r="U795" t="b">
            <v>1</v>
          </cell>
          <cell r="V795" t="str">
            <v>Done</v>
          </cell>
          <cell r="W795" t="str">
            <v>B2 2025</v>
          </cell>
          <cell r="X795" t="str">
            <v>2025 - Batch 1</v>
          </cell>
          <cell r="Y795">
            <v>41</v>
          </cell>
          <cell r="Z795">
            <v>3</v>
          </cell>
          <cell r="AA795" t="str">
            <v>H+L</v>
          </cell>
          <cell r="AB795">
            <v>70</v>
          </cell>
          <cell r="AC795">
            <v>50</v>
          </cell>
          <cell r="AD795" t="str">
            <v>Slant</v>
          </cell>
          <cell r="AE795" t="str">
            <v>Duplex</v>
          </cell>
          <cell r="AF795" t="str">
            <v>568 - Without Partition</v>
          </cell>
          <cell r="AG795" t="str">
            <v xml:space="preserve">Without Partition </v>
          </cell>
          <cell r="AH795" t="str">
            <v xml:space="preserve">Without Partition </v>
          </cell>
          <cell r="AI795" t="str">
            <v>GREEN</v>
          </cell>
          <cell r="AJ795" t="str">
            <v>Slant / GREEN</v>
          </cell>
          <cell r="AK795">
            <v>1050000</v>
          </cell>
          <cell r="AL795">
            <v>15000</v>
          </cell>
          <cell r="AM795">
            <v>1650000</v>
          </cell>
          <cell r="AN795">
            <v>33000</v>
          </cell>
          <cell r="AO795">
            <v>150000</v>
          </cell>
          <cell r="AP795">
            <v>2850000</v>
          </cell>
          <cell r="AQ795"/>
          <cell r="AR795">
            <v>2850000</v>
          </cell>
          <cell r="AS795">
            <v>200000</v>
          </cell>
          <cell r="AT795">
            <v>2650000</v>
          </cell>
          <cell r="AU795">
            <v>100000</v>
          </cell>
          <cell r="AV795">
            <v>2550000</v>
          </cell>
          <cell r="AW795">
            <v>0</v>
          </cell>
          <cell r="AX795">
            <v>2550000</v>
          </cell>
        </row>
        <row r="796">
          <cell r="G796" t="str">
            <v>AGM-01-041-004</v>
          </cell>
          <cell r="H796" t="str">
            <v xml:space="preserve">Raemulan Lands, Inc. </v>
          </cell>
          <cell r="I796" t="str">
            <v>Agapeya</v>
          </cell>
          <cell r="J796" t="str">
            <v>AGM</v>
          </cell>
          <cell r="K796" t="str">
            <v>Eco-High</v>
          </cell>
          <cell r="L796" t="str">
            <v>West</v>
          </cell>
          <cell r="M796" t="str">
            <v>With LTS - 2024</v>
          </cell>
          <cell r="N796" t="str">
            <v>YES</v>
          </cell>
          <cell r="O796" t="str">
            <v>YES</v>
          </cell>
          <cell r="P796" t="str">
            <v>Unaffected lots</v>
          </cell>
          <cell r="Q796" t="str">
            <v>YES</v>
          </cell>
          <cell r="R796">
            <v>70</v>
          </cell>
          <cell r="S796" t="str">
            <v>PCS-04-276764</v>
          </cell>
          <cell r="T796" t="str">
            <v>TCT-060-2024018792</v>
          </cell>
          <cell r="U796" t="b">
            <v>1</v>
          </cell>
          <cell r="V796" t="str">
            <v>Done</v>
          </cell>
          <cell r="W796" t="str">
            <v>B2 2025</v>
          </cell>
          <cell r="X796" t="str">
            <v>2025 - Batch 1</v>
          </cell>
          <cell r="Y796">
            <v>41</v>
          </cell>
          <cell r="Z796">
            <v>4</v>
          </cell>
          <cell r="AA796" t="str">
            <v>H+L</v>
          </cell>
          <cell r="AB796">
            <v>70</v>
          </cell>
          <cell r="AC796">
            <v>50</v>
          </cell>
          <cell r="AD796" t="str">
            <v>Flat</v>
          </cell>
          <cell r="AE796" t="str">
            <v>Duplex</v>
          </cell>
          <cell r="AF796" t="str">
            <v>568 - Without Partition</v>
          </cell>
          <cell r="AG796" t="str">
            <v xml:space="preserve">Without Partition </v>
          </cell>
          <cell r="AH796" t="str">
            <v xml:space="preserve">Without Partition </v>
          </cell>
          <cell r="AI796" t="str">
            <v>GREEN</v>
          </cell>
          <cell r="AJ796" t="str">
            <v>Flat / GREEN</v>
          </cell>
          <cell r="AK796">
            <v>1050000</v>
          </cell>
          <cell r="AL796">
            <v>15000</v>
          </cell>
          <cell r="AM796">
            <v>1650000</v>
          </cell>
          <cell r="AN796">
            <v>33000</v>
          </cell>
          <cell r="AO796">
            <v>150000</v>
          </cell>
          <cell r="AP796">
            <v>2850000</v>
          </cell>
          <cell r="AQ796"/>
          <cell r="AR796">
            <v>2850000</v>
          </cell>
          <cell r="AS796">
            <v>200000</v>
          </cell>
          <cell r="AT796">
            <v>2650000</v>
          </cell>
          <cell r="AU796">
            <v>100000</v>
          </cell>
          <cell r="AV796">
            <v>2550000</v>
          </cell>
          <cell r="AW796">
            <v>0</v>
          </cell>
          <cell r="AX796">
            <v>2550000</v>
          </cell>
        </row>
        <row r="797">
          <cell r="G797" t="str">
            <v>AGM-01-041-005</v>
          </cell>
          <cell r="H797" t="str">
            <v xml:space="preserve">Raemulan Lands, Inc. </v>
          </cell>
          <cell r="I797" t="str">
            <v>Agapeya</v>
          </cell>
          <cell r="J797" t="str">
            <v>AGM</v>
          </cell>
          <cell r="K797" t="str">
            <v>Eco-High</v>
          </cell>
          <cell r="L797" t="str">
            <v>West</v>
          </cell>
          <cell r="M797" t="str">
            <v>With LTS - 2024</v>
          </cell>
          <cell r="N797" t="str">
            <v>YES</v>
          </cell>
          <cell r="O797" t="str">
            <v>YES</v>
          </cell>
          <cell r="P797" t="str">
            <v>Unaffected lots</v>
          </cell>
          <cell r="Q797" t="str">
            <v>YES</v>
          </cell>
          <cell r="R797">
            <v>70</v>
          </cell>
          <cell r="S797" t="str">
            <v>PCS-04-276764</v>
          </cell>
          <cell r="T797" t="str">
            <v>TCT-060-2024018793</v>
          </cell>
          <cell r="U797" t="b">
            <v>1</v>
          </cell>
          <cell r="V797" t="str">
            <v>Done</v>
          </cell>
          <cell r="W797" t="str">
            <v>B2 2025</v>
          </cell>
          <cell r="X797" t="str">
            <v>2025 - Batch 1</v>
          </cell>
          <cell r="Y797">
            <v>41</v>
          </cell>
          <cell r="Z797">
            <v>5</v>
          </cell>
          <cell r="AA797" t="str">
            <v>H+L</v>
          </cell>
          <cell r="AB797">
            <v>70</v>
          </cell>
          <cell r="AC797">
            <v>50</v>
          </cell>
          <cell r="AD797" t="str">
            <v>Slant</v>
          </cell>
          <cell r="AE797" t="str">
            <v>Duplex</v>
          </cell>
          <cell r="AF797" t="str">
            <v>568 - Without Partition</v>
          </cell>
          <cell r="AG797" t="str">
            <v xml:space="preserve">Without Partition </v>
          </cell>
          <cell r="AH797" t="str">
            <v xml:space="preserve">Without Partition </v>
          </cell>
          <cell r="AI797" t="str">
            <v>GREEN</v>
          </cell>
          <cell r="AJ797" t="str">
            <v>Slant / GREEN</v>
          </cell>
          <cell r="AK797">
            <v>1050000</v>
          </cell>
          <cell r="AL797">
            <v>15000</v>
          </cell>
          <cell r="AM797">
            <v>1650000</v>
          </cell>
          <cell r="AN797">
            <v>33000</v>
          </cell>
          <cell r="AO797">
            <v>150000</v>
          </cell>
          <cell r="AP797">
            <v>2850000</v>
          </cell>
          <cell r="AQ797"/>
          <cell r="AR797">
            <v>2850000</v>
          </cell>
          <cell r="AS797">
            <v>200000</v>
          </cell>
          <cell r="AT797">
            <v>2650000</v>
          </cell>
          <cell r="AU797">
            <v>100000</v>
          </cell>
          <cell r="AV797">
            <v>2550000</v>
          </cell>
          <cell r="AW797">
            <v>0</v>
          </cell>
          <cell r="AX797">
            <v>2550000</v>
          </cell>
        </row>
        <row r="798">
          <cell r="G798" t="str">
            <v>AGM-01-041-006</v>
          </cell>
          <cell r="H798" t="str">
            <v xml:space="preserve">Raemulan Lands, Inc. </v>
          </cell>
          <cell r="I798" t="str">
            <v>Agapeya</v>
          </cell>
          <cell r="J798" t="str">
            <v>AGM</v>
          </cell>
          <cell r="K798" t="str">
            <v>Eco-High</v>
          </cell>
          <cell r="L798" t="str">
            <v>West</v>
          </cell>
          <cell r="M798" t="str">
            <v>With LTS - 2024</v>
          </cell>
          <cell r="N798" t="str">
            <v>YES</v>
          </cell>
          <cell r="O798" t="str">
            <v>YES</v>
          </cell>
          <cell r="P798" t="str">
            <v>Unaffected lots</v>
          </cell>
          <cell r="Q798" t="str">
            <v>YES</v>
          </cell>
          <cell r="R798">
            <v>70</v>
          </cell>
          <cell r="S798" t="str">
            <v>PCS-04-276764</v>
          </cell>
          <cell r="T798" t="str">
            <v>TCT-060-2024018794</v>
          </cell>
          <cell r="U798" t="b">
            <v>1</v>
          </cell>
          <cell r="V798" t="str">
            <v>Done</v>
          </cell>
          <cell r="W798" t="str">
            <v>B2 2025</v>
          </cell>
          <cell r="X798" t="str">
            <v>2025 - Batch 1</v>
          </cell>
          <cell r="Y798">
            <v>41</v>
          </cell>
          <cell r="Z798">
            <v>6</v>
          </cell>
          <cell r="AA798" t="str">
            <v>H+L</v>
          </cell>
          <cell r="AB798">
            <v>70</v>
          </cell>
          <cell r="AC798">
            <v>50</v>
          </cell>
          <cell r="AD798" t="str">
            <v>Flat</v>
          </cell>
          <cell r="AE798" t="str">
            <v>Duplex</v>
          </cell>
          <cell r="AF798" t="str">
            <v>568 - Without Partition</v>
          </cell>
          <cell r="AG798" t="str">
            <v xml:space="preserve">Without Partition </v>
          </cell>
          <cell r="AH798" t="str">
            <v xml:space="preserve">Without Partition </v>
          </cell>
          <cell r="AI798" t="str">
            <v>GREEN</v>
          </cell>
          <cell r="AJ798" t="str">
            <v>Flat / GREEN</v>
          </cell>
          <cell r="AK798">
            <v>1050000</v>
          </cell>
          <cell r="AL798">
            <v>15000</v>
          </cell>
          <cell r="AM798">
            <v>1650000</v>
          </cell>
          <cell r="AN798">
            <v>33000</v>
          </cell>
          <cell r="AO798">
            <v>150000</v>
          </cell>
          <cell r="AP798">
            <v>2850000</v>
          </cell>
          <cell r="AQ798"/>
          <cell r="AR798">
            <v>2850000</v>
          </cell>
          <cell r="AS798">
            <v>200000</v>
          </cell>
          <cell r="AT798">
            <v>2650000</v>
          </cell>
          <cell r="AU798">
            <v>100000</v>
          </cell>
          <cell r="AV798">
            <v>2550000</v>
          </cell>
          <cell r="AW798">
            <v>0</v>
          </cell>
          <cell r="AX798">
            <v>2550000</v>
          </cell>
        </row>
        <row r="799">
          <cell r="G799" t="str">
            <v>AGM-01-041-007</v>
          </cell>
          <cell r="H799" t="str">
            <v xml:space="preserve">Raemulan Lands, Inc. </v>
          </cell>
          <cell r="I799" t="str">
            <v>Agapeya</v>
          </cell>
          <cell r="J799" t="str">
            <v>AGM</v>
          </cell>
          <cell r="K799" t="str">
            <v>Eco-High</v>
          </cell>
          <cell r="L799" t="str">
            <v>West</v>
          </cell>
          <cell r="M799" t="str">
            <v>With LTS - 2024</v>
          </cell>
          <cell r="N799" t="str">
            <v>YES</v>
          </cell>
          <cell r="O799" t="str">
            <v>YES</v>
          </cell>
          <cell r="P799" t="str">
            <v>Unaffected lots</v>
          </cell>
          <cell r="Q799" t="str">
            <v>YES</v>
          </cell>
          <cell r="R799">
            <v>70</v>
          </cell>
          <cell r="S799" t="str">
            <v>PSD-04-036354</v>
          </cell>
          <cell r="T799" t="str">
            <v>TCT-060-2026007152</v>
          </cell>
          <cell r="U799" t="b">
            <v>1</v>
          </cell>
          <cell r="V799" t="str">
            <v>Done</v>
          </cell>
          <cell r="W799" t="str">
            <v>B1 2025</v>
          </cell>
          <cell r="X799" t="str">
            <v>2025 - Batch 1</v>
          </cell>
          <cell r="Y799">
            <v>41</v>
          </cell>
          <cell r="Z799">
            <v>7</v>
          </cell>
          <cell r="AA799" t="str">
            <v>H+L</v>
          </cell>
          <cell r="AB799">
            <v>70</v>
          </cell>
          <cell r="AC799">
            <v>50</v>
          </cell>
          <cell r="AD799" t="str">
            <v>Slant</v>
          </cell>
          <cell r="AE799" t="str">
            <v>Duplex</v>
          </cell>
          <cell r="AF799" t="str">
            <v>568 - Without Partition</v>
          </cell>
          <cell r="AG799" t="str">
            <v xml:space="preserve">Without Partition </v>
          </cell>
          <cell r="AH799" t="str">
            <v xml:space="preserve">Without Partition </v>
          </cell>
          <cell r="AI799" t="str">
            <v>PURPLE</v>
          </cell>
          <cell r="AJ799" t="str">
            <v>Slant / PURPLE</v>
          </cell>
          <cell r="AK799">
            <v>1050000</v>
          </cell>
          <cell r="AL799">
            <v>15000</v>
          </cell>
          <cell r="AM799">
            <v>1650000</v>
          </cell>
          <cell r="AN799">
            <v>33000</v>
          </cell>
          <cell r="AO799">
            <v>150000</v>
          </cell>
          <cell r="AP799">
            <v>2850000</v>
          </cell>
          <cell r="AQ799"/>
          <cell r="AR799">
            <v>2850000</v>
          </cell>
          <cell r="AS799">
            <v>200000</v>
          </cell>
          <cell r="AT799">
            <v>2650000</v>
          </cell>
          <cell r="AU799">
            <v>100000</v>
          </cell>
          <cell r="AV799">
            <v>2550000</v>
          </cell>
          <cell r="AW799">
            <v>0</v>
          </cell>
          <cell r="AX799">
            <v>2550000</v>
          </cell>
        </row>
        <row r="800">
          <cell r="G800" t="str">
            <v>AGM-01-041-008</v>
          </cell>
          <cell r="H800" t="str">
            <v xml:space="preserve">Raemulan Lands, Inc. </v>
          </cell>
          <cell r="I800" t="str">
            <v>Agapeya</v>
          </cell>
          <cell r="J800" t="str">
            <v>AGM</v>
          </cell>
          <cell r="K800" t="str">
            <v>Eco-High</v>
          </cell>
          <cell r="L800" t="str">
            <v>West</v>
          </cell>
          <cell r="M800" t="str">
            <v>With LTS - 2024</v>
          </cell>
          <cell r="N800" t="str">
            <v>YES</v>
          </cell>
          <cell r="O800" t="str">
            <v>YES</v>
          </cell>
          <cell r="P800" t="str">
            <v>Unaffected lots</v>
          </cell>
          <cell r="Q800" t="str">
            <v>YES</v>
          </cell>
          <cell r="R800">
            <v>70</v>
          </cell>
          <cell r="S800" t="str">
            <v>PSD-04-036354</v>
          </cell>
          <cell r="T800" t="str">
            <v>TCT-060-2026007153</v>
          </cell>
          <cell r="U800" t="b">
            <v>1</v>
          </cell>
          <cell r="V800" t="str">
            <v>Done</v>
          </cell>
          <cell r="W800" t="str">
            <v>B1 2025</v>
          </cell>
          <cell r="X800" t="str">
            <v>2025 - Batch 1</v>
          </cell>
          <cell r="Y800">
            <v>41</v>
          </cell>
          <cell r="Z800">
            <v>8</v>
          </cell>
          <cell r="AA800" t="str">
            <v>H+L</v>
          </cell>
          <cell r="AB800">
            <v>70</v>
          </cell>
          <cell r="AC800">
            <v>50</v>
          </cell>
          <cell r="AD800" t="str">
            <v>Flat</v>
          </cell>
          <cell r="AE800" t="str">
            <v>Duplex</v>
          </cell>
          <cell r="AF800" t="str">
            <v>568 - Without Partition</v>
          </cell>
          <cell r="AG800" t="str">
            <v xml:space="preserve">Without Partition </v>
          </cell>
          <cell r="AH800" t="str">
            <v xml:space="preserve">Without Partition </v>
          </cell>
          <cell r="AI800" t="str">
            <v>PURPLE</v>
          </cell>
          <cell r="AJ800" t="str">
            <v>Flat / PURPLE</v>
          </cell>
          <cell r="AK800">
            <v>1050000</v>
          </cell>
          <cell r="AL800">
            <v>15000</v>
          </cell>
          <cell r="AM800">
            <v>1650000</v>
          </cell>
          <cell r="AN800">
            <v>33000</v>
          </cell>
          <cell r="AO800">
            <v>150000</v>
          </cell>
          <cell r="AP800">
            <v>2850000</v>
          </cell>
          <cell r="AQ800"/>
          <cell r="AR800">
            <v>2850000</v>
          </cell>
          <cell r="AS800">
            <v>200000</v>
          </cell>
          <cell r="AT800">
            <v>2650000</v>
          </cell>
          <cell r="AU800">
            <v>100000</v>
          </cell>
          <cell r="AV800">
            <v>2550000</v>
          </cell>
          <cell r="AW800">
            <v>0</v>
          </cell>
          <cell r="AX800">
            <v>2550000</v>
          </cell>
        </row>
        <row r="801">
          <cell r="G801" t="str">
            <v>AGM-01-041-009</v>
          </cell>
          <cell r="H801" t="str">
            <v xml:space="preserve">Raemulan Lands, Inc. </v>
          </cell>
          <cell r="I801" t="str">
            <v>Agapeya</v>
          </cell>
          <cell r="J801" t="str">
            <v>AGM</v>
          </cell>
          <cell r="K801" t="str">
            <v>Eco-High</v>
          </cell>
          <cell r="L801" t="str">
            <v>West</v>
          </cell>
          <cell r="M801" t="str">
            <v>With LTS - 2024</v>
          </cell>
          <cell r="N801" t="str">
            <v>YES</v>
          </cell>
          <cell r="O801" t="str">
            <v>YES</v>
          </cell>
          <cell r="P801" t="str">
            <v>Unaffected lots</v>
          </cell>
          <cell r="Q801" t="str">
            <v>YES</v>
          </cell>
          <cell r="R801">
            <v>70</v>
          </cell>
          <cell r="S801" t="str">
            <v>PCS-04-034298</v>
          </cell>
          <cell r="T801" t="str">
            <v>TCT-060-2024021901</v>
          </cell>
          <cell r="U801" t="b">
            <v>1</v>
          </cell>
          <cell r="V801" t="str">
            <v>Done</v>
          </cell>
          <cell r="W801" t="str">
            <v>B1 2025</v>
          </cell>
          <cell r="X801" t="str">
            <v>2025 - Batch 1</v>
          </cell>
          <cell r="Y801">
            <v>41</v>
          </cell>
          <cell r="Z801">
            <v>9</v>
          </cell>
          <cell r="AA801" t="str">
            <v>H+L</v>
          </cell>
          <cell r="AB801">
            <v>70</v>
          </cell>
          <cell r="AC801">
            <v>50</v>
          </cell>
          <cell r="AD801" t="str">
            <v>Flat</v>
          </cell>
          <cell r="AE801" t="str">
            <v>Duplex</v>
          </cell>
          <cell r="AF801" t="str">
            <v>568 - Without Partition</v>
          </cell>
          <cell r="AG801" t="str">
            <v xml:space="preserve">Without Partition </v>
          </cell>
          <cell r="AH801" t="str">
            <v xml:space="preserve">Without Partition </v>
          </cell>
          <cell r="AI801" t="str">
            <v>PURPLE</v>
          </cell>
          <cell r="AJ801" t="str">
            <v>Flat / PURPLE</v>
          </cell>
          <cell r="AK801">
            <v>1050000</v>
          </cell>
          <cell r="AL801">
            <v>15000</v>
          </cell>
          <cell r="AM801">
            <v>1650000</v>
          </cell>
          <cell r="AN801">
            <v>33000</v>
          </cell>
          <cell r="AO801">
            <v>150000</v>
          </cell>
          <cell r="AP801">
            <v>2850000</v>
          </cell>
          <cell r="AQ801"/>
          <cell r="AR801">
            <v>2850000</v>
          </cell>
          <cell r="AS801">
            <v>200000</v>
          </cell>
          <cell r="AT801">
            <v>2650000</v>
          </cell>
          <cell r="AU801">
            <v>100000</v>
          </cell>
          <cell r="AV801">
            <v>2550000</v>
          </cell>
          <cell r="AW801">
            <v>0</v>
          </cell>
          <cell r="AX801">
            <v>2550000</v>
          </cell>
        </row>
        <row r="802">
          <cell r="G802" t="str">
            <v>AGM-01-041-010</v>
          </cell>
          <cell r="H802" t="str">
            <v xml:space="preserve">Raemulan Lands, Inc. </v>
          </cell>
          <cell r="I802" t="str">
            <v>Agapeya</v>
          </cell>
          <cell r="J802" t="str">
            <v>AGM</v>
          </cell>
          <cell r="K802" t="str">
            <v>Eco-High</v>
          </cell>
          <cell r="L802" t="str">
            <v>West</v>
          </cell>
          <cell r="M802" t="str">
            <v>With LTS - 2024</v>
          </cell>
          <cell r="N802" t="str">
            <v>YES</v>
          </cell>
          <cell r="O802" t="str">
            <v>YES</v>
          </cell>
          <cell r="P802" t="str">
            <v>Unaffected lots</v>
          </cell>
          <cell r="Q802" t="str">
            <v>YES</v>
          </cell>
          <cell r="R802">
            <v>70</v>
          </cell>
          <cell r="S802" t="str">
            <v>PCS-04-034298</v>
          </cell>
          <cell r="T802" t="str">
            <v>TCT-060-2024021902</v>
          </cell>
          <cell r="U802" t="b">
            <v>1</v>
          </cell>
          <cell r="V802" t="str">
            <v>Done</v>
          </cell>
          <cell r="W802" t="str">
            <v>B1 2025</v>
          </cell>
          <cell r="X802" t="str">
            <v>2025 - Batch 1</v>
          </cell>
          <cell r="Y802">
            <v>41</v>
          </cell>
          <cell r="Z802">
            <v>10</v>
          </cell>
          <cell r="AA802" t="str">
            <v>H+L</v>
          </cell>
          <cell r="AB802">
            <v>70</v>
          </cell>
          <cell r="AC802">
            <v>50</v>
          </cell>
          <cell r="AD802" t="str">
            <v>Slant</v>
          </cell>
          <cell r="AE802" t="str">
            <v>Duplex</v>
          </cell>
          <cell r="AF802" t="str">
            <v>568 - Without Partition</v>
          </cell>
          <cell r="AG802" t="str">
            <v xml:space="preserve">Without Partition </v>
          </cell>
          <cell r="AH802" t="str">
            <v xml:space="preserve">Without Partition </v>
          </cell>
          <cell r="AI802" t="str">
            <v>PURPLE</v>
          </cell>
          <cell r="AJ802" t="str">
            <v>Slant / PURPLE</v>
          </cell>
          <cell r="AK802">
            <v>1050000</v>
          </cell>
          <cell r="AL802">
            <v>15000</v>
          </cell>
          <cell r="AM802">
            <v>1650000</v>
          </cell>
          <cell r="AN802">
            <v>33000</v>
          </cell>
          <cell r="AO802">
            <v>150000</v>
          </cell>
          <cell r="AP802">
            <v>2850000</v>
          </cell>
          <cell r="AQ802"/>
          <cell r="AR802">
            <v>2850000</v>
          </cell>
          <cell r="AS802">
            <v>200000</v>
          </cell>
          <cell r="AT802">
            <v>2650000</v>
          </cell>
          <cell r="AU802">
            <v>100000</v>
          </cell>
          <cell r="AV802">
            <v>2550000</v>
          </cell>
          <cell r="AW802">
            <v>0</v>
          </cell>
          <cell r="AX802">
            <v>2550000</v>
          </cell>
        </row>
        <row r="803">
          <cell r="G803" t="str">
            <v>AGM-01-041-011</v>
          </cell>
          <cell r="H803" t="str">
            <v xml:space="preserve">Raemulan Lands, Inc. </v>
          </cell>
          <cell r="I803" t="str">
            <v>Agapeya</v>
          </cell>
          <cell r="J803" t="str">
            <v>AGM</v>
          </cell>
          <cell r="K803" t="str">
            <v>Eco-High</v>
          </cell>
          <cell r="L803" t="str">
            <v>West</v>
          </cell>
          <cell r="M803" t="str">
            <v>With LTS - 2024</v>
          </cell>
          <cell r="N803" t="str">
            <v>YES</v>
          </cell>
          <cell r="O803" t="str">
            <v>YES</v>
          </cell>
          <cell r="P803" t="str">
            <v>Unaffected lots</v>
          </cell>
          <cell r="Q803" t="str">
            <v>YES</v>
          </cell>
          <cell r="R803">
            <v>71</v>
          </cell>
          <cell r="S803" t="str">
            <v>PCS-04-034298</v>
          </cell>
          <cell r="T803" t="str">
            <v>TCT-060-2024021903</v>
          </cell>
          <cell r="U803" t="b">
            <v>1</v>
          </cell>
          <cell r="V803" t="str">
            <v>Done</v>
          </cell>
          <cell r="W803" t="str">
            <v>B1 2025</v>
          </cell>
          <cell r="X803" t="str">
            <v>2025 - Batch 1</v>
          </cell>
          <cell r="Y803">
            <v>41</v>
          </cell>
          <cell r="Z803">
            <v>11</v>
          </cell>
          <cell r="AA803" t="str">
            <v>H+L</v>
          </cell>
          <cell r="AB803">
            <v>71</v>
          </cell>
          <cell r="AC803">
            <v>50</v>
          </cell>
          <cell r="AD803" t="str">
            <v>Flat</v>
          </cell>
          <cell r="AE803" t="str">
            <v>Duplex</v>
          </cell>
          <cell r="AF803" t="str">
            <v>568 - Without Partition</v>
          </cell>
          <cell r="AG803" t="str">
            <v xml:space="preserve">Without Partition </v>
          </cell>
          <cell r="AH803" t="str">
            <v xml:space="preserve">Without Partition </v>
          </cell>
          <cell r="AI803" t="str">
            <v>PINK</v>
          </cell>
          <cell r="AJ803" t="str">
            <v>Flat / PINK</v>
          </cell>
          <cell r="AK803">
            <v>1065000</v>
          </cell>
          <cell r="AL803">
            <v>15000</v>
          </cell>
          <cell r="AM803">
            <v>1650000</v>
          </cell>
          <cell r="AN803">
            <v>33000</v>
          </cell>
          <cell r="AO803">
            <v>150000</v>
          </cell>
          <cell r="AP803">
            <v>2865000</v>
          </cell>
          <cell r="AQ803"/>
          <cell r="AR803">
            <v>2865000</v>
          </cell>
          <cell r="AS803">
            <v>200000</v>
          </cell>
          <cell r="AT803">
            <v>2665000</v>
          </cell>
          <cell r="AU803">
            <v>100000</v>
          </cell>
          <cell r="AV803">
            <v>2565000</v>
          </cell>
          <cell r="AW803">
            <v>0</v>
          </cell>
          <cell r="AX803">
            <v>2565000</v>
          </cell>
        </row>
        <row r="804">
          <cell r="G804" t="str">
            <v>AGM-01-041-012</v>
          </cell>
          <cell r="H804" t="str">
            <v xml:space="preserve">Raemulan Lands, Inc. </v>
          </cell>
          <cell r="I804" t="str">
            <v>Agapeya</v>
          </cell>
          <cell r="J804" t="str">
            <v>AGM</v>
          </cell>
          <cell r="K804" t="str">
            <v>Eco-High</v>
          </cell>
          <cell r="L804" t="str">
            <v>West</v>
          </cell>
          <cell r="M804" t="str">
            <v>With LTS - 2024</v>
          </cell>
          <cell r="N804" t="str">
            <v>YES</v>
          </cell>
          <cell r="O804" t="str">
            <v>YES</v>
          </cell>
          <cell r="P804" t="str">
            <v>Unaffected lots</v>
          </cell>
          <cell r="Q804" t="str">
            <v>YES</v>
          </cell>
          <cell r="R804">
            <v>89</v>
          </cell>
          <cell r="S804" t="str">
            <v>PCS-04-034298</v>
          </cell>
          <cell r="T804" t="str">
            <v>TCT-060-2024021904</v>
          </cell>
          <cell r="U804" t="b">
            <v>1</v>
          </cell>
          <cell r="V804" t="str">
            <v>Done</v>
          </cell>
          <cell r="W804" t="str">
            <v>B1 2025</v>
          </cell>
          <cell r="X804" t="str">
            <v>2025 - Batch 1</v>
          </cell>
          <cell r="Y804">
            <v>41</v>
          </cell>
          <cell r="Z804">
            <v>12</v>
          </cell>
          <cell r="AA804" t="str">
            <v>H+L</v>
          </cell>
          <cell r="AB804">
            <v>89</v>
          </cell>
          <cell r="AC804">
            <v>50</v>
          </cell>
          <cell r="AD804" t="str">
            <v>Flat</v>
          </cell>
          <cell r="AE804" t="str">
            <v>Duplex</v>
          </cell>
          <cell r="AF804" t="str">
            <v>568 - Without Partition</v>
          </cell>
          <cell r="AG804" t="str">
            <v xml:space="preserve">Without Partition </v>
          </cell>
          <cell r="AH804" t="str">
            <v xml:space="preserve">Without Partition </v>
          </cell>
          <cell r="AI804" t="str">
            <v>PINK</v>
          </cell>
          <cell r="AJ804" t="str">
            <v>Flat / PINK</v>
          </cell>
          <cell r="AK804">
            <v>1335000</v>
          </cell>
          <cell r="AL804">
            <v>15000</v>
          </cell>
          <cell r="AM804">
            <v>1650000</v>
          </cell>
          <cell r="AN804">
            <v>33000</v>
          </cell>
          <cell r="AO804">
            <v>150000</v>
          </cell>
          <cell r="AP804">
            <v>3135000</v>
          </cell>
          <cell r="AQ804"/>
          <cell r="AR804">
            <v>3135000</v>
          </cell>
          <cell r="AS804">
            <v>200000</v>
          </cell>
          <cell r="AT804">
            <v>2935000</v>
          </cell>
          <cell r="AU804">
            <v>100000</v>
          </cell>
          <cell r="AV804">
            <v>2835000</v>
          </cell>
          <cell r="AW804">
            <v>0</v>
          </cell>
          <cell r="AX804">
            <v>2835000</v>
          </cell>
        </row>
        <row r="805">
          <cell r="G805" t="str">
            <v>AGM-01-042-001</v>
          </cell>
          <cell r="H805" t="str">
            <v xml:space="preserve">Raemulan Lands, Inc. </v>
          </cell>
          <cell r="I805" t="str">
            <v>Agapeya</v>
          </cell>
          <cell r="J805" t="str">
            <v>AGM</v>
          </cell>
          <cell r="K805" t="str">
            <v>Eco-High</v>
          </cell>
          <cell r="L805" t="str">
            <v>West</v>
          </cell>
          <cell r="M805" t="str">
            <v>With LTS - 2024</v>
          </cell>
          <cell r="N805" t="str">
            <v>YES</v>
          </cell>
          <cell r="O805" t="str">
            <v>YES</v>
          </cell>
          <cell r="P805" t="str">
            <v>Unaffected lots</v>
          </cell>
          <cell r="Q805" t="str">
            <v>YES</v>
          </cell>
          <cell r="R805">
            <v>89</v>
          </cell>
          <cell r="S805" t="str">
            <v>PCS-04-276764</v>
          </cell>
          <cell r="T805" t="str">
            <v>TCT-060-2024018797</v>
          </cell>
          <cell r="U805" t="b">
            <v>1</v>
          </cell>
          <cell r="V805" t="str">
            <v>Done</v>
          </cell>
          <cell r="W805" t="str">
            <v>B2 2025</v>
          </cell>
          <cell r="X805" t="str">
            <v>2025 - Batch 6</v>
          </cell>
          <cell r="Y805">
            <v>42</v>
          </cell>
          <cell r="Z805">
            <v>1</v>
          </cell>
          <cell r="AA805" t="str">
            <v>H+L</v>
          </cell>
          <cell r="AB805">
            <v>89</v>
          </cell>
          <cell r="AC805">
            <v>50</v>
          </cell>
          <cell r="AD805" t="str">
            <v>Slant</v>
          </cell>
          <cell r="AE805" t="str">
            <v>Duplex</v>
          </cell>
          <cell r="AF805" t="str">
            <v>568 - Without Partition</v>
          </cell>
          <cell r="AG805" t="str">
            <v xml:space="preserve">Without Partition </v>
          </cell>
          <cell r="AH805" t="str">
            <v xml:space="preserve">Without Partition </v>
          </cell>
          <cell r="AI805" t="str">
            <v>YELLOW</v>
          </cell>
          <cell r="AJ805" t="str">
            <v>Slant / YELLOW</v>
          </cell>
          <cell r="AK805">
            <v>1335000</v>
          </cell>
          <cell r="AL805">
            <v>15000</v>
          </cell>
          <cell r="AM805">
            <v>1650000</v>
          </cell>
          <cell r="AN805">
            <v>33000</v>
          </cell>
          <cell r="AO805">
            <v>150000</v>
          </cell>
          <cell r="AP805">
            <v>3135000</v>
          </cell>
          <cell r="AQ805"/>
          <cell r="AR805">
            <v>3135000</v>
          </cell>
          <cell r="AS805">
            <v>200000</v>
          </cell>
          <cell r="AT805">
            <v>2935000</v>
          </cell>
          <cell r="AU805">
            <v>100000</v>
          </cell>
          <cell r="AV805">
            <v>2835000</v>
          </cell>
          <cell r="AW805">
            <v>0</v>
          </cell>
          <cell r="AX805">
            <v>2835000</v>
          </cell>
        </row>
        <row r="806">
          <cell r="G806" t="str">
            <v>AGM-01-042-002</v>
          </cell>
          <cell r="H806" t="str">
            <v xml:space="preserve">Raemulan Lands, Inc. </v>
          </cell>
          <cell r="I806" t="str">
            <v>Agapeya</v>
          </cell>
          <cell r="J806" t="str">
            <v>AGM</v>
          </cell>
          <cell r="K806" t="str">
            <v>Eco-High</v>
          </cell>
          <cell r="L806" t="str">
            <v>West</v>
          </cell>
          <cell r="M806" t="str">
            <v>With LTS - 2024</v>
          </cell>
          <cell r="N806" t="str">
            <v>YES</v>
          </cell>
          <cell r="O806" t="str">
            <v>YES</v>
          </cell>
          <cell r="P806" t="str">
            <v>Unaffected lots</v>
          </cell>
          <cell r="Q806" t="str">
            <v>YES</v>
          </cell>
          <cell r="R806">
            <v>70</v>
          </cell>
          <cell r="S806" t="str">
            <v>PCS-04-276764</v>
          </cell>
          <cell r="T806" t="str">
            <v>TCT-060-2024018798</v>
          </cell>
          <cell r="U806" t="b">
            <v>1</v>
          </cell>
          <cell r="V806" t="str">
            <v>Done</v>
          </cell>
          <cell r="W806" t="str">
            <v>B2 2025</v>
          </cell>
          <cell r="X806" t="str">
            <v>2025 - Batch 6</v>
          </cell>
          <cell r="Y806">
            <v>42</v>
          </cell>
          <cell r="Z806">
            <v>2</v>
          </cell>
          <cell r="AA806" t="str">
            <v>H+L</v>
          </cell>
          <cell r="AB806">
            <v>70</v>
          </cell>
          <cell r="AC806">
            <v>50</v>
          </cell>
          <cell r="AD806" t="str">
            <v>Flat</v>
          </cell>
          <cell r="AE806" t="str">
            <v>Duplex</v>
          </cell>
          <cell r="AF806" t="str">
            <v>568 - Without Partition</v>
          </cell>
          <cell r="AG806" t="str">
            <v xml:space="preserve">Without Partition </v>
          </cell>
          <cell r="AH806" t="str">
            <v xml:space="preserve">Without Partition </v>
          </cell>
          <cell r="AI806" t="str">
            <v>YELLOW</v>
          </cell>
          <cell r="AJ806" t="str">
            <v>Flat / YELLOW</v>
          </cell>
          <cell r="AK806">
            <v>1050000</v>
          </cell>
          <cell r="AL806">
            <v>15000</v>
          </cell>
          <cell r="AM806">
            <v>1650000</v>
          </cell>
          <cell r="AN806">
            <v>33000</v>
          </cell>
          <cell r="AO806">
            <v>150000</v>
          </cell>
          <cell r="AP806">
            <v>2850000</v>
          </cell>
          <cell r="AQ806"/>
          <cell r="AR806">
            <v>2850000</v>
          </cell>
          <cell r="AS806">
            <v>200000</v>
          </cell>
          <cell r="AT806">
            <v>2650000</v>
          </cell>
          <cell r="AU806">
            <v>100000</v>
          </cell>
          <cell r="AV806">
            <v>2550000</v>
          </cell>
          <cell r="AW806">
            <v>0</v>
          </cell>
          <cell r="AX806">
            <v>2550000</v>
          </cell>
        </row>
        <row r="807">
          <cell r="G807" t="str">
            <v>AGM-01-042-003</v>
          </cell>
          <cell r="H807" t="str">
            <v xml:space="preserve">Raemulan Lands, Inc. </v>
          </cell>
          <cell r="I807" t="str">
            <v>Agapeya</v>
          </cell>
          <cell r="J807" t="str">
            <v>AGM</v>
          </cell>
          <cell r="K807" t="str">
            <v>Eco-High</v>
          </cell>
          <cell r="L807" t="str">
            <v>West</v>
          </cell>
          <cell r="M807" t="str">
            <v>With LTS - 2024</v>
          </cell>
          <cell r="N807" t="str">
            <v>YES</v>
          </cell>
          <cell r="O807" t="str">
            <v>YES</v>
          </cell>
          <cell r="P807" t="str">
            <v>Unaffected lots</v>
          </cell>
          <cell r="Q807" t="str">
            <v>YES</v>
          </cell>
          <cell r="R807">
            <v>70</v>
          </cell>
          <cell r="S807" t="str">
            <v>PCS-04-276764</v>
          </cell>
          <cell r="T807" t="str">
            <v>TCT-060-2024018799</v>
          </cell>
          <cell r="U807" t="b">
            <v>1</v>
          </cell>
          <cell r="V807" t="str">
            <v>Done</v>
          </cell>
          <cell r="W807" t="str">
            <v>B2 2025</v>
          </cell>
          <cell r="X807" t="str">
            <v>2025 - Batch 6</v>
          </cell>
          <cell r="Y807">
            <v>42</v>
          </cell>
          <cell r="Z807">
            <v>3</v>
          </cell>
          <cell r="AA807" t="str">
            <v>H+L</v>
          </cell>
          <cell r="AB807">
            <v>70</v>
          </cell>
          <cell r="AC807">
            <v>50</v>
          </cell>
          <cell r="AD807" t="str">
            <v>Slant</v>
          </cell>
          <cell r="AE807" t="str">
            <v>Duplex</v>
          </cell>
          <cell r="AF807" t="str">
            <v>568 - Without Partition</v>
          </cell>
          <cell r="AG807" t="str">
            <v xml:space="preserve">Without Partition </v>
          </cell>
          <cell r="AH807" t="str">
            <v xml:space="preserve">Without Partition </v>
          </cell>
          <cell r="AI807" t="str">
            <v>PINK</v>
          </cell>
          <cell r="AJ807" t="str">
            <v>Slant / PINK</v>
          </cell>
          <cell r="AK807">
            <v>1050000</v>
          </cell>
          <cell r="AL807">
            <v>15000</v>
          </cell>
          <cell r="AM807">
            <v>1650000</v>
          </cell>
          <cell r="AN807">
            <v>33000</v>
          </cell>
          <cell r="AO807">
            <v>150000</v>
          </cell>
          <cell r="AP807">
            <v>2850000</v>
          </cell>
          <cell r="AQ807"/>
          <cell r="AR807">
            <v>2850000</v>
          </cell>
          <cell r="AS807">
            <v>200000</v>
          </cell>
          <cell r="AT807">
            <v>2650000</v>
          </cell>
          <cell r="AU807">
            <v>100000</v>
          </cell>
          <cell r="AV807">
            <v>2550000</v>
          </cell>
          <cell r="AW807">
            <v>0</v>
          </cell>
          <cell r="AX807">
            <v>2550000</v>
          </cell>
        </row>
        <row r="808">
          <cell r="G808" t="str">
            <v>AGM-01-042-004</v>
          </cell>
          <cell r="H808" t="str">
            <v xml:space="preserve">Raemulan Lands, Inc. </v>
          </cell>
          <cell r="I808" t="str">
            <v>Agapeya</v>
          </cell>
          <cell r="J808" t="str">
            <v>AGM</v>
          </cell>
          <cell r="K808" t="str">
            <v>Eco-High</v>
          </cell>
          <cell r="L808" t="str">
            <v>West</v>
          </cell>
          <cell r="M808" t="str">
            <v>With LTS - 2024</v>
          </cell>
          <cell r="N808" t="str">
            <v>YES</v>
          </cell>
          <cell r="O808" t="str">
            <v>YES</v>
          </cell>
          <cell r="P808" t="str">
            <v>Unaffected lots</v>
          </cell>
          <cell r="Q808" t="str">
            <v>YES</v>
          </cell>
          <cell r="R808">
            <v>70</v>
          </cell>
          <cell r="S808" t="str">
            <v>PCS-04-276764</v>
          </cell>
          <cell r="T808" t="str">
            <v>TCT-060-2024018800</v>
          </cell>
          <cell r="U808" t="b">
            <v>1</v>
          </cell>
          <cell r="V808" t="str">
            <v>Done</v>
          </cell>
          <cell r="W808" t="str">
            <v>B2 2025</v>
          </cell>
          <cell r="X808" t="str">
            <v>2025 - Batch 6</v>
          </cell>
          <cell r="Y808">
            <v>42</v>
          </cell>
          <cell r="Z808">
            <v>4</v>
          </cell>
          <cell r="AA808" t="str">
            <v>H+L</v>
          </cell>
          <cell r="AB808">
            <v>70</v>
          </cell>
          <cell r="AC808">
            <v>50</v>
          </cell>
          <cell r="AD808" t="str">
            <v>Flat</v>
          </cell>
          <cell r="AE808" t="str">
            <v>Duplex</v>
          </cell>
          <cell r="AF808" t="str">
            <v>568 - Without Partition</v>
          </cell>
          <cell r="AG808" t="str">
            <v xml:space="preserve">Without Partition </v>
          </cell>
          <cell r="AH808" t="str">
            <v xml:space="preserve">Without Partition </v>
          </cell>
          <cell r="AI808" t="str">
            <v>PINK</v>
          </cell>
          <cell r="AJ808" t="str">
            <v>Flat / PINK</v>
          </cell>
          <cell r="AK808">
            <v>1050000</v>
          </cell>
          <cell r="AL808">
            <v>15000</v>
          </cell>
          <cell r="AM808">
            <v>1650000</v>
          </cell>
          <cell r="AN808">
            <v>33000</v>
          </cell>
          <cell r="AO808">
            <v>150000</v>
          </cell>
          <cell r="AP808">
            <v>2850000</v>
          </cell>
          <cell r="AQ808"/>
          <cell r="AR808">
            <v>2850000</v>
          </cell>
          <cell r="AS808">
            <v>200000</v>
          </cell>
          <cell r="AT808">
            <v>2650000</v>
          </cell>
          <cell r="AU808">
            <v>100000</v>
          </cell>
          <cell r="AV808">
            <v>2550000</v>
          </cell>
          <cell r="AW808">
            <v>0</v>
          </cell>
          <cell r="AX808">
            <v>2550000</v>
          </cell>
        </row>
        <row r="809">
          <cell r="G809" t="str">
            <v>AGM-01-042-005</v>
          </cell>
          <cell r="H809" t="str">
            <v xml:space="preserve">Raemulan Lands, Inc. </v>
          </cell>
          <cell r="I809" t="str">
            <v>Agapeya</v>
          </cell>
          <cell r="J809" t="str">
            <v>AGM</v>
          </cell>
          <cell r="K809" t="str">
            <v>Eco-High</v>
          </cell>
          <cell r="L809" t="str">
            <v>West</v>
          </cell>
          <cell r="M809" t="str">
            <v>With LTS - 2024</v>
          </cell>
          <cell r="N809" t="str">
            <v>YES</v>
          </cell>
          <cell r="O809" t="str">
            <v>YES</v>
          </cell>
          <cell r="P809" t="str">
            <v>Unaffected lots</v>
          </cell>
          <cell r="Q809" t="str">
            <v>YES</v>
          </cell>
          <cell r="R809">
            <v>70</v>
          </cell>
          <cell r="S809" t="str">
            <v>PCS-04-276764</v>
          </cell>
          <cell r="T809" t="str">
            <v>TCT-060-2024018801</v>
          </cell>
          <cell r="U809" t="b">
            <v>1</v>
          </cell>
          <cell r="V809" t="str">
            <v>Done</v>
          </cell>
          <cell r="W809" t="str">
            <v>B2 2025</v>
          </cell>
          <cell r="X809" t="str">
            <v>2025 - Batch 6</v>
          </cell>
          <cell r="Y809">
            <v>42</v>
          </cell>
          <cell r="Z809">
            <v>5</v>
          </cell>
          <cell r="AA809" t="str">
            <v>H+L</v>
          </cell>
          <cell r="AB809">
            <v>70</v>
          </cell>
          <cell r="AC809">
            <v>50</v>
          </cell>
          <cell r="AD809" t="str">
            <v>Slant</v>
          </cell>
          <cell r="AE809" t="str">
            <v>Duplex</v>
          </cell>
          <cell r="AF809" t="str">
            <v>568 - Without Partition</v>
          </cell>
          <cell r="AG809" t="str">
            <v xml:space="preserve">Without Partition </v>
          </cell>
          <cell r="AH809" t="str">
            <v xml:space="preserve">Without Partition </v>
          </cell>
          <cell r="AI809" t="str">
            <v>PINK</v>
          </cell>
          <cell r="AJ809" t="str">
            <v>Slant / PINK</v>
          </cell>
          <cell r="AK809">
            <v>1050000</v>
          </cell>
          <cell r="AL809">
            <v>15000</v>
          </cell>
          <cell r="AM809">
            <v>1650000</v>
          </cell>
          <cell r="AN809">
            <v>33000</v>
          </cell>
          <cell r="AO809">
            <v>150000</v>
          </cell>
          <cell r="AP809">
            <v>2850000</v>
          </cell>
          <cell r="AQ809"/>
          <cell r="AR809">
            <v>2850000</v>
          </cell>
          <cell r="AS809">
            <v>200000</v>
          </cell>
          <cell r="AT809">
            <v>2650000</v>
          </cell>
          <cell r="AU809">
            <v>100000</v>
          </cell>
          <cell r="AV809">
            <v>2550000</v>
          </cell>
          <cell r="AW809">
            <v>0</v>
          </cell>
          <cell r="AX809">
            <v>2550000</v>
          </cell>
        </row>
        <row r="810">
          <cell r="G810" t="str">
            <v>AGM-01-042-006</v>
          </cell>
          <cell r="H810" t="str">
            <v xml:space="preserve">Raemulan Lands, Inc. </v>
          </cell>
          <cell r="I810" t="str">
            <v>Agapeya</v>
          </cell>
          <cell r="J810" t="str">
            <v>AGM</v>
          </cell>
          <cell r="K810" t="str">
            <v>Eco-High</v>
          </cell>
          <cell r="L810" t="str">
            <v>West</v>
          </cell>
          <cell r="M810" t="str">
            <v>With LTS - 2024</v>
          </cell>
          <cell r="N810" t="str">
            <v>YES</v>
          </cell>
          <cell r="O810" t="str">
            <v>YES</v>
          </cell>
          <cell r="P810" t="str">
            <v>Unaffected lots</v>
          </cell>
          <cell r="Q810" t="str">
            <v>YES</v>
          </cell>
          <cell r="R810">
            <v>70</v>
          </cell>
          <cell r="S810" t="str">
            <v>PCS-04-276764</v>
          </cell>
          <cell r="T810" t="str">
            <v>TCT-060-2024018802</v>
          </cell>
          <cell r="U810" t="b">
            <v>1</v>
          </cell>
          <cell r="V810" t="str">
            <v>Done</v>
          </cell>
          <cell r="W810" t="str">
            <v>B2 2025</v>
          </cell>
          <cell r="X810" t="str">
            <v>2025 - Batch 6</v>
          </cell>
          <cell r="Y810">
            <v>42</v>
          </cell>
          <cell r="Z810">
            <v>6</v>
          </cell>
          <cell r="AA810" t="str">
            <v>H+L</v>
          </cell>
          <cell r="AB810">
            <v>70</v>
          </cell>
          <cell r="AC810">
            <v>50</v>
          </cell>
          <cell r="AD810" t="str">
            <v>Flat</v>
          </cell>
          <cell r="AE810" t="str">
            <v>Duplex</v>
          </cell>
          <cell r="AF810" t="str">
            <v>568 - Without Partition</v>
          </cell>
          <cell r="AG810" t="str">
            <v xml:space="preserve">Without Partition </v>
          </cell>
          <cell r="AH810" t="str">
            <v xml:space="preserve">Without Partition </v>
          </cell>
          <cell r="AI810" t="str">
            <v>PINK</v>
          </cell>
          <cell r="AJ810" t="str">
            <v>Flat / PINK</v>
          </cell>
          <cell r="AK810">
            <v>1050000</v>
          </cell>
          <cell r="AL810">
            <v>15000</v>
          </cell>
          <cell r="AM810">
            <v>1650000</v>
          </cell>
          <cell r="AN810">
            <v>33000</v>
          </cell>
          <cell r="AO810">
            <v>150000</v>
          </cell>
          <cell r="AP810">
            <v>2850000</v>
          </cell>
          <cell r="AQ810"/>
          <cell r="AR810">
            <v>2850000</v>
          </cell>
          <cell r="AS810">
            <v>200000</v>
          </cell>
          <cell r="AT810">
            <v>2650000</v>
          </cell>
          <cell r="AU810">
            <v>100000</v>
          </cell>
          <cell r="AV810">
            <v>2550000</v>
          </cell>
          <cell r="AW810">
            <v>0</v>
          </cell>
          <cell r="AX810">
            <v>2550000</v>
          </cell>
        </row>
        <row r="811">
          <cell r="G811" t="str">
            <v>AGM-01-042-007</v>
          </cell>
          <cell r="H811" t="str">
            <v xml:space="preserve">Raemulan Lands, Inc. </v>
          </cell>
          <cell r="I811" t="str">
            <v>Agapeya</v>
          </cell>
          <cell r="J811" t="str">
            <v>AGM</v>
          </cell>
          <cell r="K811" t="str">
            <v>Eco-High</v>
          </cell>
          <cell r="L811" t="str">
            <v>West</v>
          </cell>
          <cell r="M811" t="str">
            <v>With LTS - 2024</v>
          </cell>
          <cell r="N811" t="str">
            <v>YES</v>
          </cell>
          <cell r="O811" t="str">
            <v>YES</v>
          </cell>
          <cell r="P811" t="str">
            <v>Unaffected lots</v>
          </cell>
          <cell r="Q811" t="str">
            <v>YES</v>
          </cell>
          <cell r="R811">
            <v>70</v>
          </cell>
          <cell r="S811" t="str">
            <v>PCS-04-276764</v>
          </cell>
          <cell r="T811" t="str">
            <v>TCT-060-2024018803</v>
          </cell>
          <cell r="U811" t="b">
            <v>1</v>
          </cell>
          <cell r="V811" t="str">
            <v>Done</v>
          </cell>
          <cell r="W811" t="str">
            <v>B1 2025</v>
          </cell>
          <cell r="X811" t="str">
            <v>2025 - Batch 2</v>
          </cell>
          <cell r="Y811">
            <v>42</v>
          </cell>
          <cell r="Z811">
            <v>7</v>
          </cell>
          <cell r="AA811" t="str">
            <v>H+L</v>
          </cell>
          <cell r="AB811">
            <v>70</v>
          </cell>
          <cell r="AC811">
            <v>50</v>
          </cell>
          <cell r="AD811" t="str">
            <v>Slant</v>
          </cell>
          <cell r="AE811" t="str">
            <v>Duplex</v>
          </cell>
          <cell r="AF811" t="str">
            <v>568 - Without Partition</v>
          </cell>
          <cell r="AG811" t="str">
            <v xml:space="preserve">Without Partition </v>
          </cell>
          <cell r="AH811" t="str">
            <v xml:space="preserve">Without Partition </v>
          </cell>
          <cell r="AI811" t="str">
            <v>YELLOW</v>
          </cell>
          <cell r="AJ811" t="str">
            <v>Slant / YELLOW</v>
          </cell>
          <cell r="AK811">
            <v>1050000</v>
          </cell>
          <cell r="AL811">
            <v>15000</v>
          </cell>
          <cell r="AM811">
            <v>1650000</v>
          </cell>
          <cell r="AN811">
            <v>33000</v>
          </cell>
          <cell r="AO811">
            <v>150000</v>
          </cell>
          <cell r="AP811">
            <v>2850000</v>
          </cell>
          <cell r="AQ811"/>
          <cell r="AR811">
            <v>2850000</v>
          </cell>
          <cell r="AS811">
            <v>200000</v>
          </cell>
          <cell r="AT811">
            <v>2650000</v>
          </cell>
          <cell r="AU811">
            <v>100000</v>
          </cell>
          <cell r="AV811">
            <v>2550000</v>
          </cell>
          <cell r="AW811">
            <v>0</v>
          </cell>
          <cell r="AX811">
            <v>2550000</v>
          </cell>
        </row>
        <row r="812">
          <cell r="G812" t="str">
            <v>AGM-01-042-008</v>
          </cell>
          <cell r="H812" t="str">
            <v xml:space="preserve">Raemulan Lands, Inc. </v>
          </cell>
          <cell r="I812" t="str">
            <v>Agapeya</v>
          </cell>
          <cell r="J812" t="str">
            <v>AGM</v>
          </cell>
          <cell r="K812" t="str">
            <v>Eco-High</v>
          </cell>
          <cell r="L812" t="str">
            <v>West</v>
          </cell>
          <cell r="M812" t="str">
            <v>With LTS - 2024</v>
          </cell>
          <cell r="N812" t="str">
            <v>YES</v>
          </cell>
          <cell r="O812" t="str">
            <v>YES</v>
          </cell>
          <cell r="P812" t="str">
            <v>Unaffected lots</v>
          </cell>
          <cell r="Q812" t="str">
            <v>YES</v>
          </cell>
          <cell r="R812">
            <v>70</v>
          </cell>
          <cell r="S812" t="str">
            <v>PCS-04-276764</v>
          </cell>
          <cell r="T812" t="str">
            <v>TCT-060-2024018804</v>
          </cell>
          <cell r="U812" t="b">
            <v>1</v>
          </cell>
          <cell r="V812" t="str">
            <v>Done</v>
          </cell>
          <cell r="W812" t="str">
            <v>B1 2025</v>
          </cell>
          <cell r="X812" t="str">
            <v>2025 - Batch 2</v>
          </cell>
          <cell r="Y812">
            <v>42</v>
          </cell>
          <cell r="Z812">
            <v>8</v>
          </cell>
          <cell r="AA812" t="str">
            <v>H+L</v>
          </cell>
          <cell r="AB812">
            <v>70</v>
          </cell>
          <cell r="AC812">
            <v>50</v>
          </cell>
          <cell r="AD812" t="str">
            <v>Flat</v>
          </cell>
          <cell r="AE812" t="str">
            <v>Duplex</v>
          </cell>
          <cell r="AF812" t="str">
            <v>568 - Without Partition</v>
          </cell>
          <cell r="AG812" t="str">
            <v xml:space="preserve">Without Partition </v>
          </cell>
          <cell r="AH812" t="str">
            <v xml:space="preserve">Without Partition </v>
          </cell>
          <cell r="AI812" t="str">
            <v>YELLOW</v>
          </cell>
          <cell r="AJ812" t="str">
            <v>Flat / YELLOW</v>
          </cell>
          <cell r="AK812">
            <v>1050000</v>
          </cell>
          <cell r="AL812">
            <v>15000</v>
          </cell>
          <cell r="AM812">
            <v>1650000</v>
          </cell>
          <cell r="AN812">
            <v>33000</v>
          </cell>
          <cell r="AO812">
            <v>150000</v>
          </cell>
          <cell r="AP812">
            <v>2850000</v>
          </cell>
          <cell r="AQ812"/>
          <cell r="AR812">
            <v>2850000</v>
          </cell>
          <cell r="AS812">
            <v>200000</v>
          </cell>
          <cell r="AT812">
            <v>2650000</v>
          </cell>
          <cell r="AU812">
            <v>100000</v>
          </cell>
          <cell r="AV812">
            <v>2550000</v>
          </cell>
          <cell r="AW812">
            <v>0</v>
          </cell>
          <cell r="AX812">
            <v>2550000</v>
          </cell>
        </row>
        <row r="813">
          <cell r="G813" t="str">
            <v>AGM-01-042-009</v>
          </cell>
          <cell r="H813" t="str">
            <v xml:space="preserve">Raemulan Lands, Inc. </v>
          </cell>
          <cell r="I813" t="str">
            <v>Agapeya</v>
          </cell>
          <cell r="J813" t="str">
            <v>AGM</v>
          </cell>
          <cell r="K813" t="str">
            <v>Eco-High</v>
          </cell>
          <cell r="L813" t="str">
            <v>West</v>
          </cell>
          <cell r="M813" t="str">
            <v>With LTS - 2024</v>
          </cell>
          <cell r="N813" t="str">
            <v>YES</v>
          </cell>
          <cell r="O813" t="str">
            <v>YES</v>
          </cell>
          <cell r="P813" t="str">
            <v>Unaffected lots</v>
          </cell>
          <cell r="Q813" t="str">
            <v>YES</v>
          </cell>
          <cell r="R813">
            <v>70</v>
          </cell>
          <cell r="S813" t="str">
            <v>PCS-04-276764</v>
          </cell>
          <cell r="T813" t="str">
            <v>TCT-060-2024018805</v>
          </cell>
          <cell r="U813" t="b">
            <v>1</v>
          </cell>
          <cell r="V813" t="str">
            <v>Done</v>
          </cell>
          <cell r="W813" t="str">
            <v>B1 2025</v>
          </cell>
          <cell r="X813" t="str">
            <v>2025 - Batch 2</v>
          </cell>
          <cell r="Y813">
            <v>42</v>
          </cell>
          <cell r="Z813">
            <v>9</v>
          </cell>
          <cell r="AA813" t="str">
            <v>H+L</v>
          </cell>
          <cell r="AB813">
            <v>70</v>
          </cell>
          <cell r="AC813">
            <v>50</v>
          </cell>
          <cell r="AD813" t="str">
            <v>Flat</v>
          </cell>
          <cell r="AE813" t="str">
            <v>Duplex</v>
          </cell>
          <cell r="AF813" t="str">
            <v>568 - Without Partition</v>
          </cell>
          <cell r="AG813" t="str">
            <v xml:space="preserve">Without Partition </v>
          </cell>
          <cell r="AH813" t="str">
            <v xml:space="preserve">Without Partition </v>
          </cell>
          <cell r="AI813" t="str">
            <v>YELLOW</v>
          </cell>
          <cell r="AJ813" t="str">
            <v>Flat / YELLOW</v>
          </cell>
          <cell r="AK813">
            <v>1050000</v>
          </cell>
          <cell r="AL813">
            <v>15000</v>
          </cell>
          <cell r="AM813">
            <v>1650000</v>
          </cell>
          <cell r="AN813">
            <v>33000</v>
          </cell>
          <cell r="AO813">
            <v>150000</v>
          </cell>
          <cell r="AP813">
            <v>2850000</v>
          </cell>
          <cell r="AQ813"/>
          <cell r="AR813">
            <v>2850000</v>
          </cell>
          <cell r="AS813">
            <v>200000</v>
          </cell>
          <cell r="AT813">
            <v>2650000</v>
          </cell>
          <cell r="AU813">
            <v>100000</v>
          </cell>
          <cell r="AV813">
            <v>2550000</v>
          </cell>
          <cell r="AW813">
            <v>0</v>
          </cell>
          <cell r="AX813">
            <v>2550000</v>
          </cell>
        </row>
        <row r="814">
          <cell r="G814" t="str">
            <v>AGM-01-042-010</v>
          </cell>
          <cell r="H814" t="str">
            <v xml:space="preserve">Raemulan Lands, Inc. </v>
          </cell>
          <cell r="I814" t="str">
            <v>Agapeya</v>
          </cell>
          <cell r="J814" t="str">
            <v>AGM</v>
          </cell>
          <cell r="K814" t="str">
            <v>Eco-High</v>
          </cell>
          <cell r="L814" t="str">
            <v>West</v>
          </cell>
          <cell r="M814" t="str">
            <v>With LTS - 2024</v>
          </cell>
          <cell r="N814" t="str">
            <v>YES</v>
          </cell>
          <cell r="O814" t="str">
            <v>YES</v>
          </cell>
          <cell r="P814" t="str">
            <v>Unaffected lots</v>
          </cell>
          <cell r="Q814" t="str">
            <v>YES</v>
          </cell>
          <cell r="R814">
            <v>70</v>
          </cell>
          <cell r="S814" t="str">
            <v>PCS-04-276764</v>
          </cell>
          <cell r="T814" t="str">
            <v>TCT-060-2024018806</v>
          </cell>
          <cell r="U814" t="b">
            <v>1</v>
          </cell>
          <cell r="V814" t="str">
            <v>Done</v>
          </cell>
          <cell r="W814" t="str">
            <v>B1 2025</v>
          </cell>
          <cell r="X814" t="str">
            <v>2025 - Batch 2</v>
          </cell>
          <cell r="Y814">
            <v>42</v>
          </cell>
          <cell r="Z814">
            <v>10</v>
          </cell>
          <cell r="AA814" t="str">
            <v>H+L</v>
          </cell>
          <cell r="AB814">
            <v>70</v>
          </cell>
          <cell r="AC814">
            <v>50</v>
          </cell>
          <cell r="AD814" t="str">
            <v>Slant</v>
          </cell>
          <cell r="AE814" t="str">
            <v>Duplex</v>
          </cell>
          <cell r="AF814" t="str">
            <v>568 - Without Partition</v>
          </cell>
          <cell r="AG814" t="str">
            <v xml:space="preserve">Without Partition </v>
          </cell>
          <cell r="AH814" t="str">
            <v xml:space="preserve">Without Partition </v>
          </cell>
          <cell r="AI814" t="str">
            <v>YELLOW</v>
          </cell>
          <cell r="AJ814" t="str">
            <v>Slant / YELLOW</v>
          </cell>
          <cell r="AK814">
            <v>1050000</v>
          </cell>
          <cell r="AL814">
            <v>15000</v>
          </cell>
          <cell r="AM814">
            <v>1650000</v>
          </cell>
          <cell r="AN814">
            <v>33000</v>
          </cell>
          <cell r="AO814">
            <v>150000</v>
          </cell>
          <cell r="AP814">
            <v>2850000</v>
          </cell>
          <cell r="AQ814"/>
          <cell r="AR814">
            <v>2850000</v>
          </cell>
          <cell r="AS814">
            <v>200000</v>
          </cell>
          <cell r="AT814">
            <v>2650000</v>
          </cell>
          <cell r="AU814">
            <v>100000</v>
          </cell>
          <cell r="AV814">
            <v>2550000</v>
          </cell>
          <cell r="AW814">
            <v>0</v>
          </cell>
          <cell r="AX814">
            <v>2550000</v>
          </cell>
        </row>
        <row r="815">
          <cell r="G815" t="str">
            <v>AGM-01-042-011</v>
          </cell>
          <cell r="H815" t="str">
            <v xml:space="preserve">Raemulan Lands, Inc. </v>
          </cell>
          <cell r="I815" t="str">
            <v>Agapeya</v>
          </cell>
          <cell r="J815" t="str">
            <v>AGM</v>
          </cell>
          <cell r="K815" t="str">
            <v>Eco-High</v>
          </cell>
          <cell r="L815" t="str">
            <v>West</v>
          </cell>
          <cell r="M815" t="str">
            <v>With LTS - 2024</v>
          </cell>
          <cell r="N815" t="str">
            <v>YES</v>
          </cell>
          <cell r="O815" t="str">
            <v>YES</v>
          </cell>
          <cell r="P815" t="str">
            <v>Unaffected lots</v>
          </cell>
          <cell r="Q815" t="str">
            <v>YES</v>
          </cell>
          <cell r="R815">
            <v>70</v>
          </cell>
          <cell r="S815" t="str">
            <v>PCS-04-276764</v>
          </cell>
          <cell r="T815" t="str">
            <v>TCT-060-2024018807</v>
          </cell>
          <cell r="U815" t="b">
            <v>1</v>
          </cell>
          <cell r="V815" t="str">
            <v>Done</v>
          </cell>
          <cell r="W815" t="str">
            <v>B1 2025</v>
          </cell>
          <cell r="X815" t="str">
            <v>2025 - Batch 2</v>
          </cell>
          <cell r="Y815">
            <v>42</v>
          </cell>
          <cell r="Z815">
            <v>11</v>
          </cell>
          <cell r="AA815" t="str">
            <v>H+L</v>
          </cell>
          <cell r="AB815">
            <v>70</v>
          </cell>
          <cell r="AC815">
            <v>50</v>
          </cell>
          <cell r="AD815" t="str">
            <v>Flat</v>
          </cell>
          <cell r="AE815" t="str">
            <v>Duplex</v>
          </cell>
          <cell r="AF815" t="str">
            <v>568 - Without Partition</v>
          </cell>
          <cell r="AG815" t="str">
            <v xml:space="preserve">Without Partition </v>
          </cell>
          <cell r="AH815" t="str">
            <v xml:space="preserve">Without Partition </v>
          </cell>
          <cell r="AI815" t="str">
            <v>GREEN</v>
          </cell>
          <cell r="AJ815" t="str">
            <v>Flat / GREEN</v>
          </cell>
          <cell r="AK815">
            <v>1050000</v>
          </cell>
          <cell r="AL815">
            <v>15000</v>
          </cell>
          <cell r="AM815">
            <v>1650000</v>
          </cell>
          <cell r="AN815">
            <v>33000</v>
          </cell>
          <cell r="AO815">
            <v>150000</v>
          </cell>
          <cell r="AP815">
            <v>2850000</v>
          </cell>
          <cell r="AQ815"/>
          <cell r="AR815">
            <v>2850000</v>
          </cell>
          <cell r="AS815">
            <v>200000</v>
          </cell>
          <cell r="AT815">
            <v>2650000</v>
          </cell>
          <cell r="AU815">
            <v>100000</v>
          </cell>
          <cell r="AV815">
            <v>2550000</v>
          </cell>
          <cell r="AW815">
            <v>0</v>
          </cell>
          <cell r="AX815">
            <v>2550000</v>
          </cell>
        </row>
        <row r="816">
          <cell r="G816" t="str">
            <v>AGM-01-042-012</v>
          </cell>
          <cell r="H816" t="str">
            <v xml:space="preserve">Raemulan Lands, Inc. </v>
          </cell>
          <cell r="I816" t="str">
            <v>Agapeya</v>
          </cell>
          <cell r="J816" t="str">
            <v>AGM</v>
          </cell>
          <cell r="K816" t="str">
            <v>Eco-High</v>
          </cell>
          <cell r="L816" t="str">
            <v>West</v>
          </cell>
          <cell r="M816" t="str">
            <v>With LTS - 2024</v>
          </cell>
          <cell r="N816" t="str">
            <v>YES</v>
          </cell>
          <cell r="O816" t="str">
            <v>YES</v>
          </cell>
          <cell r="P816" t="str">
            <v>Unaffected lots</v>
          </cell>
          <cell r="Q816" t="str">
            <v>YES</v>
          </cell>
          <cell r="R816">
            <v>89</v>
          </cell>
          <cell r="S816" t="str">
            <v>PCS-04-276764</v>
          </cell>
          <cell r="T816" t="str">
            <v>TCT-060-2024018808</v>
          </cell>
          <cell r="U816" t="b">
            <v>1</v>
          </cell>
          <cell r="V816" t="str">
            <v>Done</v>
          </cell>
          <cell r="W816" t="str">
            <v>B1 2025</v>
          </cell>
          <cell r="X816" t="str">
            <v>2025 - Batch 2</v>
          </cell>
          <cell r="Y816">
            <v>42</v>
          </cell>
          <cell r="Z816">
            <v>12</v>
          </cell>
          <cell r="AA816" t="str">
            <v>H+L</v>
          </cell>
          <cell r="AB816">
            <v>89</v>
          </cell>
          <cell r="AC816">
            <v>50</v>
          </cell>
          <cell r="AD816" t="str">
            <v>Flat</v>
          </cell>
          <cell r="AE816" t="str">
            <v>Duplex</v>
          </cell>
          <cell r="AF816" t="str">
            <v>568 - Without Partition</v>
          </cell>
          <cell r="AG816" t="str">
            <v xml:space="preserve">Without Partition </v>
          </cell>
          <cell r="AH816" t="str">
            <v xml:space="preserve">Without Partition </v>
          </cell>
          <cell r="AI816" t="str">
            <v>GREEN</v>
          </cell>
          <cell r="AJ816" t="str">
            <v>Flat / GREEN</v>
          </cell>
          <cell r="AK816">
            <v>1335000</v>
          </cell>
          <cell r="AL816">
            <v>15000</v>
          </cell>
          <cell r="AM816">
            <v>1650000</v>
          </cell>
          <cell r="AN816">
            <v>33000</v>
          </cell>
          <cell r="AO816">
            <v>150000</v>
          </cell>
          <cell r="AP816">
            <v>3135000</v>
          </cell>
          <cell r="AQ816"/>
          <cell r="AR816">
            <v>3135000</v>
          </cell>
          <cell r="AS816">
            <v>200000</v>
          </cell>
          <cell r="AT816">
            <v>2935000</v>
          </cell>
          <cell r="AU816">
            <v>100000</v>
          </cell>
          <cell r="AV816">
            <v>2835000</v>
          </cell>
          <cell r="AW816">
            <v>0</v>
          </cell>
          <cell r="AX816">
            <v>2835000</v>
          </cell>
        </row>
        <row r="817">
          <cell r="G817" t="str">
            <v>AGM-01-043-001</v>
          </cell>
          <cell r="H817" t="str">
            <v xml:space="preserve">Raemulan Lands, Inc. </v>
          </cell>
          <cell r="I817" t="str">
            <v>Agapeya</v>
          </cell>
          <cell r="J817" t="str">
            <v>AGM</v>
          </cell>
          <cell r="K817" t="str">
            <v>Eco-High</v>
          </cell>
          <cell r="L817" t="str">
            <v>West</v>
          </cell>
          <cell r="M817" t="str">
            <v>With LTS - 2024</v>
          </cell>
          <cell r="N817" t="str">
            <v>YES</v>
          </cell>
          <cell r="O817" t="str">
            <v>YES</v>
          </cell>
          <cell r="P817" t="str">
            <v>Unaffected lots</v>
          </cell>
          <cell r="Q817" t="str">
            <v>YES</v>
          </cell>
          <cell r="R817">
            <v>89</v>
          </cell>
          <cell r="S817" t="str">
            <v>PCS-04-276764</v>
          </cell>
          <cell r="T817" t="str">
            <v>TCT-060-2024018809</v>
          </cell>
          <cell r="U817" t="b">
            <v>1</v>
          </cell>
          <cell r="V817" t="str">
            <v>Done</v>
          </cell>
          <cell r="W817" t="str">
            <v>B2 2025</v>
          </cell>
          <cell r="X817" t="str">
            <v>2025 - Batch 4</v>
          </cell>
          <cell r="Y817">
            <v>43</v>
          </cell>
          <cell r="Z817">
            <v>1</v>
          </cell>
          <cell r="AA817" t="str">
            <v>H+L</v>
          </cell>
          <cell r="AB817">
            <v>89</v>
          </cell>
          <cell r="AC817">
            <v>50</v>
          </cell>
          <cell r="AD817" t="str">
            <v>Slant</v>
          </cell>
          <cell r="AE817" t="str">
            <v>Duplex</v>
          </cell>
          <cell r="AF817" t="str">
            <v>568 - Without Partition</v>
          </cell>
          <cell r="AG817" t="str">
            <v xml:space="preserve">Without Partition </v>
          </cell>
          <cell r="AH817" t="str">
            <v xml:space="preserve">Without Partition </v>
          </cell>
          <cell r="AI817" t="str">
            <v>PURPLE</v>
          </cell>
          <cell r="AJ817" t="str">
            <v>Slant / PURPLE</v>
          </cell>
          <cell r="AK817">
            <v>1335000</v>
          </cell>
          <cell r="AL817">
            <v>15000</v>
          </cell>
          <cell r="AM817">
            <v>1650000</v>
          </cell>
          <cell r="AN817">
            <v>33000</v>
          </cell>
          <cell r="AO817">
            <v>150000</v>
          </cell>
          <cell r="AP817">
            <v>3135000</v>
          </cell>
          <cell r="AQ817"/>
          <cell r="AR817">
            <v>3135000</v>
          </cell>
          <cell r="AS817">
            <v>200000</v>
          </cell>
          <cell r="AT817">
            <v>2935000</v>
          </cell>
          <cell r="AU817">
            <v>100000</v>
          </cell>
          <cell r="AV817">
            <v>2835000</v>
          </cell>
          <cell r="AW817">
            <v>0</v>
          </cell>
          <cell r="AX817">
            <v>2835000</v>
          </cell>
        </row>
        <row r="818">
          <cell r="G818" t="str">
            <v>AGM-01-043-002</v>
          </cell>
          <cell r="H818" t="str">
            <v xml:space="preserve">Raemulan Lands, Inc. </v>
          </cell>
          <cell r="I818" t="str">
            <v>Agapeya</v>
          </cell>
          <cell r="J818" t="str">
            <v>AGM</v>
          </cell>
          <cell r="K818" t="str">
            <v>Eco-High</v>
          </cell>
          <cell r="L818" t="str">
            <v>West</v>
          </cell>
          <cell r="M818" t="str">
            <v>With LTS - 2024</v>
          </cell>
          <cell r="N818" t="str">
            <v>YES</v>
          </cell>
          <cell r="O818" t="str">
            <v>YES</v>
          </cell>
          <cell r="P818" t="str">
            <v>Unaffected lots</v>
          </cell>
          <cell r="Q818" t="str">
            <v>YES</v>
          </cell>
          <cell r="R818">
            <v>70</v>
          </cell>
          <cell r="S818" t="str">
            <v>PCS-04-276764</v>
          </cell>
          <cell r="T818" t="str">
            <v>TCT-060-2024018810</v>
          </cell>
          <cell r="U818" t="b">
            <v>1</v>
          </cell>
          <cell r="V818" t="str">
            <v>Done</v>
          </cell>
          <cell r="W818" t="str">
            <v>B2 2025</v>
          </cell>
          <cell r="X818" t="str">
            <v>2025 - Batch 4</v>
          </cell>
          <cell r="Y818">
            <v>43</v>
          </cell>
          <cell r="Z818">
            <v>2</v>
          </cell>
          <cell r="AA818" t="str">
            <v>H+L</v>
          </cell>
          <cell r="AB818">
            <v>70</v>
          </cell>
          <cell r="AC818">
            <v>50</v>
          </cell>
          <cell r="AD818" t="str">
            <v>Flat</v>
          </cell>
          <cell r="AE818" t="str">
            <v>Duplex</v>
          </cell>
          <cell r="AF818" t="str">
            <v>568 - Without Partition</v>
          </cell>
          <cell r="AG818" t="str">
            <v xml:space="preserve">Without Partition </v>
          </cell>
          <cell r="AH818" t="str">
            <v xml:space="preserve">Without Partition </v>
          </cell>
          <cell r="AI818" t="str">
            <v>PURPLE</v>
          </cell>
          <cell r="AJ818" t="str">
            <v>Flat / PURPLE</v>
          </cell>
          <cell r="AK818">
            <v>1050000</v>
          </cell>
          <cell r="AL818">
            <v>15000</v>
          </cell>
          <cell r="AM818">
            <v>1650000</v>
          </cell>
          <cell r="AN818">
            <v>33000</v>
          </cell>
          <cell r="AO818">
            <v>150000</v>
          </cell>
          <cell r="AP818">
            <v>2850000</v>
          </cell>
          <cell r="AQ818"/>
          <cell r="AR818">
            <v>2850000</v>
          </cell>
          <cell r="AS818">
            <v>200000</v>
          </cell>
          <cell r="AT818">
            <v>2650000</v>
          </cell>
          <cell r="AU818">
            <v>100000</v>
          </cell>
          <cell r="AV818">
            <v>2550000</v>
          </cell>
          <cell r="AW818">
            <v>0</v>
          </cell>
          <cell r="AX818">
            <v>2550000</v>
          </cell>
        </row>
        <row r="819">
          <cell r="G819" t="str">
            <v>AGM-01-043-003</v>
          </cell>
          <cell r="H819" t="str">
            <v xml:space="preserve">Raemulan Lands, Inc. </v>
          </cell>
          <cell r="I819" t="str">
            <v>Agapeya</v>
          </cell>
          <cell r="J819" t="str">
            <v>AGM</v>
          </cell>
          <cell r="K819" t="str">
            <v>Eco-High</v>
          </cell>
          <cell r="L819" t="str">
            <v>West</v>
          </cell>
          <cell r="M819" t="str">
            <v>With LTS - 2024</v>
          </cell>
          <cell r="N819" t="str">
            <v>YES</v>
          </cell>
          <cell r="O819" t="str">
            <v>YES</v>
          </cell>
          <cell r="P819" t="str">
            <v>Unaffected lots</v>
          </cell>
          <cell r="Q819" t="str">
            <v>YES</v>
          </cell>
          <cell r="R819">
            <v>70</v>
          </cell>
          <cell r="S819" t="str">
            <v>PCS-04-276764</v>
          </cell>
          <cell r="T819" t="str">
            <v>TCT-060-2024018811</v>
          </cell>
          <cell r="U819" t="b">
            <v>1</v>
          </cell>
          <cell r="V819" t="str">
            <v>Done</v>
          </cell>
          <cell r="W819" t="str">
            <v>B2 2025</v>
          </cell>
          <cell r="X819" t="str">
            <v>2025 - Batch 4</v>
          </cell>
          <cell r="Y819">
            <v>43</v>
          </cell>
          <cell r="Z819">
            <v>3</v>
          </cell>
          <cell r="AA819" t="str">
            <v>H+L</v>
          </cell>
          <cell r="AB819">
            <v>70</v>
          </cell>
          <cell r="AC819">
            <v>50</v>
          </cell>
          <cell r="AD819" t="str">
            <v>Flat</v>
          </cell>
          <cell r="AE819" t="str">
            <v>Duplex</v>
          </cell>
          <cell r="AF819" t="str">
            <v>568 - Without Partition</v>
          </cell>
          <cell r="AG819" t="str">
            <v xml:space="preserve">Without Partition </v>
          </cell>
          <cell r="AH819" t="str">
            <v xml:space="preserve">Without Partition </v>
          </cell>
          <cell r="AI819" t="str">
            <v>GREEN</v>
          </cell>
          <cell r="AJ819" t="str">
            <v>Flat / GREEN</v>
          </cell>
          <cell r="AK819">
            <v>1050000</v>
          </cell>
          <cell r="AL819">
            <v>15000</v>
          </cell>
          <cell r="AM819">
            <v>1650000</v>
          </cell>
          <cell r="AN819">
            <v>33000</v>
          </cell>
          <cell r="AO819">
            <v>150000</v>
          </cell>
          <cell r="AP819">
            <v>2850000</v>
          </cell>
          <cell r="AQ819"/>
          <cell r="AR819">
            <v>2850000</v>
          </cell>
          <cell r="AS819">
            <v>200000</v>
          </cell>
          <cell r="AT819">
            <v>2650000</v>
          </cell>
          <cell r="AU819">
            <v>100000</v>
          </cell>
          <cell r="AV819">
            <v>2550000</v>
          </cell>
          <cell r="AW819">
            <v>0</v>
          </cell>
          <cell r="AX819">
            <v>2550000</v>
          </cell>
        </row>
        <row r="820">
          <cell r="G820" t="str">
            <v>AGM-01-043-004</v>
          </cell>
          <cell r="H820" t="str">
            <v xml:space="preserve">Raemulan Lands, Inc. </v>
          </cell>
          <cell r="I820" t="str">
            <v>Agapeya</v>
          </cell>
          <cell r="J820" t="str">
            <v>AGM</v>
          </cell>
          <cell r="K820" t="str">
            <v>Eco-High</v>
          </cell>
          <cell r="L820" t="str">
            <v>West</v>
          </cell>
          <cell r="M820" t="str">
            <v>With LTS - 2024</v>
          </cell>
          <cell r="N820" t="str">
            <v>YES</v>
          </cell>
          <cell r="O820" t="str">
            <v>YES</v>
          </cell>
          <cell r="P820" t="str">
            <v>Unaffected lots</v>
          </cell>
          <cell r="Q820" t="str">
            <v>YES</v>
          </cell>
          <cell r="R820">
            <v>70</v>
          </cell>
          <cell r="S820" t="str">
            <v>PCS-04-276764</v>
          </cell>
          <cell r="T820" t="str">
            <v>TCT-060-2024018812</v>
          </cell>
          <cell r="U820" t="b">
            <v>1</v>
          </cell>
          <cell r="V820" t="str">
            <v>Done</v>
          </cell>
          <cell r="W820" t="str">
            <v>B2 2025</v>
          </cell>
          <cell r="X820" t="str">
            <v>2025 - Batch 4</v>
          </cell>
          <cell r="Y820">
            <v>43</v>
          </cell>
          <cell r="Z820">
            <v>4</v>
          </cell>
          <cell r="AA820" t="str">
            <v>H+L</v>
          </cell>
          <cell r="AB820">
            <v>70</v>
          </cell>
          <cell r="AC820">
            <v>50</v>
          </cell>
          <cell r="AD820" t="str">
            <v>Slant</v>
          </cell>
          <cell r="AE820" t="str">
            <v>Duplex</v>
          </cell>
          <cell r="AF820" t="str">
            <v>568 - Without Partition</v>
          </cell>
          <cell r="AG820" t="str">
            <v xml:space="preserve">Without Partition </v>
          </cell>
          <cell r="AH820" t="str">
            <v xml:space="preserve">Without Partition </v>
          </cell>
          <cell r="AI820" t="str">
            <v>GREEN</v>
          </cell>
          <cell r="AJ820" t="str">
            <v>Slant / GREEN</v>
          </cell>
          <cell r="AK820">
            <v>1050000</v>
          </cell>
          <cell r="AL820">
            <v>15000</v>
          </cell>
          <cell r="AM820">
            <v>1650000</v>
          </cell>
          <cell r="AN820">
            <v>33000</v>
          </cell>
          <cell r="AO820">
            <v>150000</v>
          </cell>
          <cell r="AP820">
            <v>2850000</v>
          </cell>
          <cell r="AQ820"/>
          <cell r="AR820">
            <v>2850000</v>
          </cell>
          <cell r="AS820">
            <v>200000</v>
          </cell>
          <cell r="AT820">
            <v>2650000</v>
          </cell>
          <cell r="AU820">
            <v>100000</v>
          </cell>
          <cell r="AV820">
            <v>2550000</v>
          </cell>
          <cell r="AW820">
            <v>0</v>
          </cell>
          <cell r="AX820">
            <v>2550000</v>
          </cell>
        </row>
        <row r="821">
          <cell r="G821" t="str">
            <v>AGM-01-043-005</v>
          </cell>
          <cell r="H821" t="str">
            <v xml:space="preserve">Raemulan Lands, Inc. </v>
          </cell>
          <cell r="I821" t="str">
            <v>Agapeya</v>
          </cell>
          <cell r="J821" t="str">
            <v>AGM</v>
          </cell>
          <cell r="K821" t="str">
            <v>Eco-High</v>
          </cell>
          <cell r="L821" t="str">
            <v>West</v>
          </cell>
          <cell r="M821" t="str">
            <v>With LTS - 2024</v>
          </cell>
          <cell r="N821" t="str">
            <v>YES</v>
          </cell>
          <cell r="O821" t="str">
            <v>YES</v>
          </cell>
          <cell r="P821" t="str">
            <v>Unaffected lots</v>
          </cell>
          <cell r="Q821" t="str">
            <v>YES</v>
          </cell>
          <cell r="R821">
            <v>70</v>
          </cell>
          <cell r="S821" t="str">
            <v>PCS-04-276764</v>
          </cell>
          <cell r="T821" t="str">
            <v>TCT-060-2024018813</v>
          </cell>
          <cell r="U821" t="b">
            <v>1</v>
          </cell>
          <cell r="V821" t="str">
            <v>Done</v>
          </cell>
          <cell r="W821" t="str">
            <v>B2 2025</v>
          </cell>
          <cell r="X821" t="str">
            <v>2025 - Batch 4</v>
          </cell>
          <cell r="Y821">
            <v>43</v>
          </cell>
          <cell r="Z821">
            <v>5</v>
          </cell>
          <cell r="AA821" t="str">
            <v>H+L</v>
          </cell>
          <cell r="AB821">
            <v>70</v>
          </cell>
          <cell r="AC821">
            <v>50</v>
          </cell>
          <cell r="AD821" t="str">
            <v>Slant</v>
          </cell>
          <cell r="AE821" t="str">
            <v>Duplex</v>
          </cell>
          <cell r="AF821" t="str">
            <v>568 - Without Partition</v>
          </cell>
          <cell r="AG821" t="str">
            <v xml:space="preserve">Without Partition </v>
          </cell>
          <cell r="AH821" t="str">
            <v xml:space="preserve">Without Partition </v>
          </cell>
          <cell r="AI821" t="str">
            <v>GREEN</v>
          </cell>
          <cell r="AJ821" t="str">
            <v>Slant / GREEN</v>
          </cell>
          <cell r="AK821">
            <v>1050000</v>
          </cell>
          <cell r="AL821">
            <v>15000</v>
          </cell>
          <cell r="AM821">
            <v>1650000</v>
          </cell>
          <cell r="AN821">
            <v>33000</v>
          </cell>
          <cell r="AO821">
            <v>150000</v>
          </cell>
          <cell r="AP821">
            <v>2850000</v>
          </cell>
          <cell r="AQ821"/>
          <cell r="AR821">
            <v>2850000</v>
          </cell>
          <cell r="AS821">
            <v>200000</v>
          </cell>
          <cell r="AT821">
            <v>2650000</v>
          </cell>
          <cell r="AU821">
            <v>100000</v>
          </cell>
          <cell r="AV821">
            <v>2550000</v>
          </cell>
          <cell r="AW821">
            <v>0</v>
          </cell>
          <cell r="AX821">
            <v>2550000</v>
          </cell>
        </row>
        <row r="822">
          <cell r="G822" t="str">
            <v>AGM-01-043-006</v>
          </cell>
          <cell r="H822" t="str">
            <v xml:space="preserve">Raemulan Lands, Inc. </v>
          </cell>
          <cell r="I822" t="str">
            <v>Agapeya</v>
          </cell>
          <cell r="J822" t="str">
            <v>AGM</v>
          </cell>
          <cell r="K822" t="str">
            <v>Eco-High</v>
          </cell>
          <cell r="L822" t="str">
            <v>West</v>
          </cell>
          <cell r="M822" t="str">
            <v>With LTS - 2024</v>
          </cell>
          <cell r="N822" t="str">
            <v>YES</v>
          </cell>
          <cell r="O822" t="str">
            <v>YES</v>
          </cell>
          <cell r="P822" t="str">
            <v>Unaffected lots</v>
          </cell>
          <cell r="Q822" t="str">
            <v>YES</v>
          </cell>
          <cell r="R822">
            <v>70</v>
          </cell>
          <cell r="S822" t="str">
            <v>PCS-04-276764</v>
          </cell>
          <cell r="T822" t="str">
            <v>TCT-060-2024018814</v>
          </cell>
          <cell r="U822" t="b">
            <v>1</v>
          </cell>
          <cell r="V822" t="str">
            <v>Done</v>
          </cell>
          <cell r="W822" t="str">
            <v>B2 2025</v>
          </cell>
          <cell r="X822" t="str">
            <v>2025 - Batch 4</v>
          </cell>
          <cell r="Y822">
            <v>43</v>
          </cell>
          <cell r="Z822">
            <v>6</v>
          </cell>
          <cell r="AA822" t="str">
            <v>H+L</v>
          </cell>
          <cell r="AB822">
            <v>70</v>
          </cell>
          <cell r="AC822">
            <v>50</v>
          </cell>
          <cell r="AD822" t="str">
            <v>Flat</v>
          </cell>
          <cell r="AE822" t="str">
            <v>Duplex</v>
          </cell>
          <cell r="AF822" t="str">
            <v>568 - Without Partition</v>
          </cell>
          <cell r="AG822" t="str">
            <v xml:space="preserve">Without Partition </v>
          </cell>
          <cell r="AH822" t="str">
            <v xml:space="preserve">Without Partition </v>
          </cell>
          <cell r="AI822" t="str">
            <v>GREEN</v>
          </cell>
          <cell r="AJ822" t="str">
            <v>Flat / GREEN</v>
          </cell>
          <cell r="AK822">
            <v>1050000</v>
          </cell>
          <cell r="AL822">
            <v>15000</v>
          </cell>
          <cell r="AM822">
            <v>1650000</v>
          </cell>
          <cell r="AN822">
            <v>33000</v>
          </cell>
          <cell r="AO822">
            <v>150000</v>
          </cell>
          <cell r="AP822">
            <v>2850000</v>
          </cell>
          <cell r="AQ822"/>
          <cell r="AR822">
            <v>2850000</v>
          </cell>
          <cell r="AS822">
            <v>200000</v>
          </cell>
          <cell r="AT822">
            <v>2650000</v>
          </cell>
          <cell r="AU822">
            <v>100000</v>
          </cell>
          <cell r="AV822">
            <v>2550000</v>
          </cell>
          <cell r="AW822">
            <v>0</v>
          </cell>
          <cell r="AX822">
            <v>2550000</v>
          </cell>
        </row>
        <row r="823">
          <cell r="G823" t="str">
            <v>AGM-01-043-007</v>
          </cell>
          <cell r="H823" t="str">
            <v xml:space="preserve">Raemulan Lands, Inc. </v>
          </cell>
          <cell r="I823" t="str">
            <v>Agapeya</v>
          </cell>
          <cell r="J823" t="str">
            <v>AGM</v>
          </cell>
          <cell r="K823" t="str">
            <v>Eco-High</v>
          </cell>
          <cell r="L823" t="str">
            <v>West</v>
          </cell>
          <cell r="M823" t="str">
            <v>With LTS - 2024</v>
          </cell>
          <cell r="N823" t="str">
            <v>YES</v>
          </cell>
          <cell r="O823" t="str">
            <v>YES</v>
          </cell>
          <cell r="P823" t="str">
            <v>Unaffected lots</v>
          </cell>
          <cell r="Q823" t="str">
            <v>YES</v>
          </cell>
          <cell r="R823">
            <v>70</v>
          </cell>
          <cell r="S823" t="str">
            <v>PCS-04-276764</v>
          </cell>
          <cell r="T823" t="str">
            <v>TCT-060-2024018815</v>
          </cell>
          <cell r="U823" t="b">
            <v>1</v>
          </cell>
          <cell r="V823" t="str">
            <v>Done</v>
          </cell>
          <cell r="W823" t="str">
            <v>B1 2025</v>
          </cell>
          <cell r="X823" t="str">
            <v>2025 - Batch 1</v>
          </cell>
          <cell r="Y823">
            <v>43</v>
          </cell>
          <cell r="Z823">
            <v>7</v>
          </cell>
          <cell r="AA823" t="str">
            <v>H+L</v>
          </cell>
          <cell r="AB823">
            <v>70</v>
          </cell>
          <cell r="AC823">
            <v>50</v>
          </cell>
          <cell r="AD823" t="str">
            <v>Slant</v>
          </cell>
          <cell r="AE823" t="str">
            <v>Duplex</v>
          </cell>
          <cell r="AF823" t="str">
            <v>568 - Without Partition</v>
          </cell>
          <cell r="AG823" t="str">
            <v xml:space="preserve">Without Partition </v>
          </cell>
          <cell r="AH823" t="str">
            <v xml:space="preserve">Without Partition </v>
          </cell>
          <cell r="AI823" t="str">
            <v>PURPLE</v>
          </cell>
          <cell r="AJ823" t="str">
            <v>Slant / PURPLE</v>
          </cell>
          <cell r="AK823">
            <v>1050000</v>
          </cell>
          <cell r="AL823">
            <v>15000</v>
          </cell>
          <cell r="AM823">
            <v>1650000</v>
          </cell>
          <cell r="AN823">
            <v>33000</v>
          </cell>
          <cell r="AO823">
            <v>150000</v>
          </cell>
          <cell r="AP823">
            <v>2850000</v>
          </cell>
          <cell r="AQ823"/>
          <cell r="AR823">
            <v>2850000</v>
          </cell>
          <cell r="AS823">
            <v>200000</v>
          </cell>
          <cell r="AT823">
            <v>2650000</v>
          </cell>
          <cell r="AU823">
            <v>100000</v>
          </cell>
          <cell r="AV823">
            <v>2550000</v>
          </cell>
          <cell r="AW823">
            <v>0</v>
          </cell>
          <cell r="AX823">
            <v>2550000</v>
          </cell>
        </row>
        <row r="824">
          <cell r="G824" t="str">
            <v>AGM-01-043-008</v>
          </cell>
          <cell r="H824" t="str">
            <v xml:space="preserve">Raemulan Lands, Inc. </v>
          </cell>
          <cell r="I824" t="str">
            <v>Agapeya</v>
          </cell>
          <cell r="J824" t="str">
            <v>AGM</v>
          </cell>
          <cell r="K824" t="str">
            <v>Eco-High</v>
          </cell>
          <cell r="L824" t="str">
            <v>West</v>
          </cell>
          <cell r="M824" t="str">
            <v>With LTS - 2024</v>
          </cell>
          <cell r="N824" t="str">
            <v>YES</v>
          </cell>
          <cell r="O824" t="str">
            <v>YES</v>
          </cell>
          <cell r="P824" t="str">
            <v>Unaffected lots</v>
          </cell>
          <cell r="Q824" t="str">
            <v>YES</v>
          </cell>
          <cell r="R824">
            <v>70</v>
          </cell>
          <cell r="S824" t="str">
            <v>PCS-04-276764</v>
          </cell>
          <cell r="T824" t="str">
            <v>TCT-060-2024018816</v>
          </cell>
          <cell r="U824" t="b">
            <v>1</v>
          </cell>
          <cell r="V824" t="str">
            <v>Done</v>
          </cell>
          <cell r="W824" t="str">
            <v>B1 2025</v>
          </cell>
          <cell r="X824" t="str">
            <v>2025 - Batch 1</v>
          </cell>
          <cell r="Y824">
            <v>43</v>
          </cell>
          <cell r="Z824">
            <v>8</v>
          </cell>
          <cell r="AA824" t="str">
            <v>H+L</v>
          </cell>
          <cell r="AB824">
            <v>70</v>
          </cell>
          <cell r="AC824">
            <v>50</v>
          </cell>
          <cell r="AD824" t="str">
            <v>Flat</v>
          </cell>
          <cell r="AE824" t="str">
            <v>Duplex</v>
          </cell>
          <cell r="AF824" t="str">
            <v>568 - Without Partition</v>
          </cell>
          <cell r="AG824" t="str">
            <v xml:space="preserve">Without Partition </v>
          </cell>
          <cell r="AH824" t="str">
            <v xml:space="preserve">Without Partition </v>
          </cell>
          <cell r="AI824" t="str">
            <v>PURPLE</v>
          </cell>
          <cell r="AJ824" t="str">
            <v>Flat / PURPLE</v>
          </cell>
          <cell r="AK824">
            <v>1050000</v>
          </cell>
          <cell r="AL824">
            <v>15000</v>
          </cell>
          <cell r="AM824">
            <v>1650000</v>
          </cell>
          <cell r="AN824">
            <v>33000</v>
          </cell>
          <cell r="AO824">
            <v>150000</v>
          </cell>
          <cell r="AP824">
            <v>2850000</v>
          </cell>
          <cell r="AQ824"/>
          <cell r="AR824">
            <v>2850000</v>
          </cell>
          <cell r="AS824">
            <v>200000</v>
          </cell>
          <cell r="AT824">
            <v>2650000</v>
          </cell>
          <cell r="AU824">
            <v>100000</v>
          </cell>
          <cell r="AV824">
            <v>2550000</v>
          </cell>
          <cell r="AW824">
            <v>0</v>
          </cell>
          <cell r="AX824">
            <v>2550000</v>
          </cell>
        </row>
        <row r="825">
          <cell r="G825" t="str">
            <v>AGM-01-043-009</v>
          </cell>
          <cell r="H825" t="str">
            <v xml:space="preserve">Raemulan Lands, Inc. </v>
          </cell>
          <cell r="I825" t="str">
            <v>Agapeya</v>
          </cell>
          <cell r="J825" t="str">
            <v>AGM</v>
          </cell>
          <cell r="K825" t="str">
            <v>Eco-High</v>
          </cell>
          <cell r="L825" t="str">
            <v>West</v>
          </cell>
          <cell r="M825" t="str">
            <v>With LTS - 2024</v>
          </cell>
          <cell r="N825" t="str">
            <v>YES</v>
          </cell>
          <cell r="O825" t="str">
            <v>YES</v>
          </cell>
          <cell r="P825" t="str">
            <v>Unaffected lots</v>
          </cell>
          <cell r="Q825" t="str">
            <v>YES</v>
          </cell>
          <cell r="R825">
            <v>70</v>
          </cell>
          <cell r="S825" t="str">
            <v>PCS-04-276764</v>
          </cell>
          <cell r="T825" t="str">
            <v>TCT-060-2024018817</v>
          </cell>
          <cell r="U825" t="b">
            <v>1</v>
          </cell>
          <cell r="V825" t="str">
            <v>Done</v>
          </cell>
          <cell r="W825" t="str">
            <v>B1 2025</v>
          </cell>
          <cell r="X825" t="str">
            <v>2025 - Batch 1</v>
          </cell>
          <cell r="Y825">
            <v>43</v>
          </cell>
          <cell r="Z825">
            <v>9</v>
          </cell>
          <cell r="AA825" t="str">
            <v>H+L</v>
          </cell>
          <cell r="AB825">
            <v>70</v>
          </cell>
          <cell r="AC825">
            <v>50</v>
          </cell>
          <cell r="AD825" t="str">
            <v>Flat</v>
          </cell>
          <cell r="AE825" t="str">
            <v>Duplex</v>
          </cell>
          <cell r="AF825" t="str">
            <v>568 - Without Partition</v>
          </cell>
          <cell r="AG825" t="str">
            <v xml:space="preserve">Without Partition </v>
          </cell>
          <cell r="AH825" t="str">
            <v xml:space="preserve">Without Partition </v>
          </cell>
          <cell r="AI825" t="str">
            <v>PURPLE</v>
          </cell>
          <cell r="AJ825" t="str">
            <v>Flat / PURPLE</v>
          </cell>
          <cell r="AK825">
            <v>1050000</v>
          </cell>
          <cell r="AL825">
            <v>15000</v>
          </cell>
          <cell r="AM825">
            <v>1650000</v>
          </cell>
          <cell r="AN825">
            <v>33000</v>
          </cell>
          <cell r="AO825">
            <v>150000</v>
          </cell>
          <cell r="AP825">
            <v>2850000</v>
          </cell>
          <cell r="AQ825"/>
          <cell r="AR825">
            <v>2850000</v>
          </cell>
          <cell r="AS825">
            <v>200000</v>
          </cell>
          <cell r="AT825">
            <v>2650000</v>
          </cell>
          <cell r="AU825">
            <v>100000</v>
          </cell>
          <cell r="AV825">
            <v>2550000</v>
          </cell>
          <cell r="AW825">
            <v>0</v>
          </cell>
          <cell r="AX825">
            <v>2550000</v>
          </cell>
        </row>
        <row r="826">
          <cell r="G826" t="str">
            <v>AGM-01-043-010</v>
          </cell>
          <cell r="H826" t="str">
            <v xml:space="preserve">Raemulan Lands, Inc. </v>
          </cell>
          <cell r="I826" t="str">
            <v>Agapeya</v>
          </cell>
          <cell r="J826" t="str">
            <v>AGM</v>
          </cell>
          <cell r="K826" t="str">
            <v>Eco-High</v>
          </cell>
          <cell r="L826" t="str">
            <v>West</v>
          </cell>
          <cell r="M826" t="str">
            <v>With LTS - 2024</v>
          </cell>
          <cell r="N826" t="str">
            <v>YES</v>
          </cell>
          <cell r="O826" t="str">
            <v>YES</v>
          </cell>
          <cell r="P826" t="str">
            <v>Unaffected lots</v>
          </cell>
          <cell r="Q826" t="str">
            <v>YES</v>
          </cell>
          <cell r="R826">
            <v>70</v>
          </cell>
          <cell r="S826" t="str">
            <v>PCS-04-276764</v>
          </cell>
          <cell r="T826" t="str">
            <v>TCT-060-2024018818</v>
          </cell>
          <cell r="U826" t="b">
            <v>1</v>
          </cell>
          <cell r="V826" t="str">
            <v>Done</v>
          </cell>
          <cell r="W826" t="str">
            <v>B1 2025</v>
          </cell>
          <cell r="X826" t="str">
            <v>2025 - Batch 1</v>
          </cell>
          <cell r="Y826">
            <v>43</v>
          </cell>
          <cell r="Z826">
            <v>10</v>
          </cell>
          <cell r="AA826" t="str">
            <v>H+L</v>
          </cell>
          <cell r="AB826">
            <v>70</v>
          </cell>
          <cell r="AC826">
            <v>50</v>
          </cell>
          <cell r="AD826" t="str">
            <v>Slant</v>
          </cell>
          <cell r="AE826" t="str">
            <v>Duplex</v>
          </cell>
          <cell r="AF826" t="str">
            <v>568 - Without Partition</v>
          </cell>
          <cell r="AG826" t="str">
            <v xml:space="preserve">Without Partition </v>
          </cell>
          <cell r="AH826" t="str">
            <v xml:space="preserve">Without Partition </v>
          </cell>
          <cell r="AI826" t="str">
            <v>PURPLE</v>
          </cell>
          <cell r="AJ826" t="str">
            <v>Slant / PURPLE</v>
          </cell>
          <cell r="AK826">
            <v>1050000</v>
          </cell>
          <cell r="AL826">
            <v>15000</v>
          </cell>
          <cell r="AM826">
            <v>1650000</v>
          </cell>
          <cell r="AN826">
            <v>33000</v>
          </cell>
          <cell r="AO826">
            <v>150000</v>
          </cell>
          <cell r="AP826">
            <v>2850000</v>
          </cell>
          <cell r="AQ826"/>
          <cell r="AR826">
            <v>2850000</v>
          </cell>
          <cell r="AS826">
            <v>200000</v>
          </cell>
          <cell r="AT826">
            <v>2650000</v>
          </cell>
          <cell r="AU826">
            <v>100000</v>
          </cell>
          <cell r="AV826">
            <v>2550000</v>
          </cell>
          <cell r="AW826">
            <v>0</v>
          </cell>
          <cell r="AX826">
            <v>2550000</v>
          </cell>
        </row>
        <row r="827">
          <cell r="G827" t="str">
            <v>AGM-01-043-011</v>
          </cell>
          <cell r="H827" t="str">
            <v xml:space="preserve">Raemulan Lands, Inc. </v>
          </cell>
          <cell r="I827" t="str">
            <v>Agapeya</v>
          </cell>
          <cell r="J827" t="str">
            <v>AGM</v>
          </cell>
          <cell r="K827" t="str">
            <v>Eco-High</v>
          </cell>
          <cell r="L827" t="str">
            <v>West</v>
          </cell>
          <cell r="M827" t="str">
            <v>With LTS - 2024</v>
          </cell>
          <cell r="N827" t="str">
            <v>YES</v>
          </cell>
          <cell r="O827" t="str">
            <v>YES</v>
          </cell>
          <cell r="P827" t="str">
            <v>Unaffected lots</v>
          </cell>
          <cell r="Q827" t="str">
            <v>YES</v>
          </cell>
          <cell r="R827">
            <v>70</v>
          </cell>
          <cell r="S827" t="str">
            <v>PCS-04-276764</v>
          </cell>
          <cell r="T827" t="str">
            <v>TCT-060-2024018819</v>
          </cell>
          <cell r="U827" t="b">
            <v>1</v>
          </cell>
          <cell r="V827" t="str">
            <v>Done</v>
          </cell>
          <cell r="W827" t="str">
            <v>B1 2025</v>
          </cell>
          <cell r="X827" t="str">
            <v>2025 - Batch 1</v>
          </cell>
          <cell r="Y827">
            <v>43</v>
          </cell>
          <cell r="Z827">
            <v>11</v>
          </cell>
          <cell r="AA827" t="str">
            <v>H+L</v>
          </cell>
          <cell r="AB827">
            <v>70</v>
          </cell>
          <cell r="AC827">
            <v>50</v>
          </cell>
          <cell r="AD827" t="str">
            <v>Slant</v>
          </cell>
          <cell r="AE827" t="str">
            <v>Duplex</v>
          </cell>
          <cell r="AF827" t="str">
            <v>568 - Without Partition</v>
          </cell>
          <cell r="AG827" t="str">
            <v xml:space="preserve">Without Partition </v>
          </cell>
          <cell r="AH827" t="str">
            <v xml:space="preserve">Without Partition </v>
          </cell>
          <cell r="AI827" t="str">
            <v>PINK</v>
          </cell>
          <cell r="AJ827" t="str">
            <v>Slant / PINK</v>
          </cell>
          <cell r="AK827">
            <v>1050000</v>
          </cell>
          <cell r="AL827">
            <v>15000</v>
          </cell>
          <cell r="AM827">
            <v>1650000</v>
          </cell>
          <cell r="AN827">
            <v>33000</v>
          </cell>
          <cell r="AO827">
            <v>150000</v>
          </cell>
          <cell r="AP827">
            <v>2850000</v>
          </cell>
          <cell r="AQ827"/>
          <cell r="AR827">
            <v>2850000</v>
          </cell>
          <cell r="AS827">
            <v>200000</v>
          </cell>
          <cell r="AT827">
            <v>2650000</v>
          </cell>
          <cell r="AU827">
            <v>100000</v>
          </cell>
          <cell r="AV827">
            <v>2550000</v>
          </cell>
          <cell r="AW827">
            <v>0</v>
          </cell>
          <cell r="AX827">
            <v>2550000</v>
          </cell>
        </row>
        <row r="828">
          <cell r="G828" t="str">
            <v>AGM-01-043-012</v>
          </cell>
          <cell r="H828" t="str">
            <v xml:space="preserve">Raemulan Lands, Inc. </v>
          </cell>
          <cell r="I828" t="str">
            <v>Agapeya</v>
          </cell>
          <cell r="J828" t="str">
            <v>AGM</v>
          </cell>
          <cell r="K828" t="str">
            <v>Eco-High</v>
          </cell>
          <cell r="L828" t="str">
            <v>West</v>
          </cell>
          <cell r="M828" t="str">
            <v>With LTS - 2024</v>
          </cell>
          <cell r="N828" t="str">
            <v>YES</v>
          </cell>
          <cell r="O828" t="str">
            <v>YES</v>
          </cell>
          <cell r="P828" t="str">
            <v>Unaffected lots</v>
          </cell>
          <cell r="Q828" t="str">
            <v>YES</v>
          </cell>
          <cell r="R828">
            <v>89</v>
          </cell>
          <cell r="S828" t="str">
            <v>PCS-04-276764</v>
          </cell>
          <cell r="T828" t="str">
            <v>TCT-060-2024018820</v>
          </cell>
          <cell r="U828" t="b">
            <v>1</v>
          </cell>
          <cell r="V828" t="str">
            <v>Done</v>
          </cell>
          <cell r="W828" t="str">
            <v>B1 2025</v>
          </cell>
          <cell r="X828" t="str">
            <v>2025 - Batch 1</v>
          </cell>
          <cell r="Y828">
            <v>43</v>
          </cell>
          <cell r="Z828">
            <v>12</v>
          </cell>
          <cell r="AA828" t="str">
            <v>H+L</v>
          </cell>
          <cell r="AB828">
            <v>89</v>
          </cell>
          <cell r="AC828">
            <v>50</v>
          </cell>
          <cell r="AD828" t="str">
            <v>Flat</v>
          </cell>
          <cell r="AE828" t="str">
            <v>Duplex</v>
          </cell>
          <cell r="AF828" t="str">
            <v>568 - Without Partition</v>
          </cell>
          <cell r="AG828" t="str">
            <v xml:space="preserve">Without Partition </v>
          </cell>
          <cell r="AH828" t="str">
            <v xml:space="preserve">Without Partition </v>
          </cell>
          <cell r="AI828" t="str">
            <v>PINK</v>
          </cell>
          <cell r="AJ828" t="str">
            <v>Flat / PINK</v>
          </cell>
          <cell r="AK828">
            <v>1335000</v>
          </cell>
          <cell r="AL828">
            <v>15000</v>
          </cell>
          <cell r="AM828">
            <v>1650000</v>
          </cell>
          <cell r="AN828">
            <v>33000</v>
          </cell>
          <cell r="AO828">
            <v>150000</v>
          </cell>
          <cell r="AP828">
            <v>3135000</v>
          </cell>
          <cell r="AQ828"/>
          <cell r="AR828">
            <v>3135000</v>
          </cell>
          <cell r="AS828">
            <v>200000</v>
          </cell>
          <cell r="AT828">
            <v>2935000</v>
          </cell>
          <cell r="AU828">
            <v>100000</v>
          </cell>
          <cell r="AV828">
            <v>2835000</v>
          </cell>
          <cell r="AW828">
            <v>0</v>
          </cell>
          <cell r="AX828">
            <v>2835000</v>
          </cell>
        </row>
        <row r="829">
          <cell r="G829" t="str">
            <v>AGM-01-045-001</v>
          </cell>
          <cell r="H829" t="str">
            <v xml:space="preserve">Raemulan Lands, Inc. </v>
          </cell>
          <cell r="I829" t="str">
            <v>Agapeya</v>
          </cell>
          <cell r="J829" t="str">
            <v>AGM</v>
          </cell>
          <cell r="K829" t="str">
            <v>Eco-High</v>
          </cell>
          <cell r="L829" t="str">
            <v>West</v>
          </cell>
          <cell r="M829" t="str">
            <v>With LTS - 2024</v>
          </cell>
          <cell r="N829" t="str">
            <v>YES</v>
          </cell>
          <cell r="O829" t="str">
            <v>YES</v>
          </cell>
          <cell r="P829" t="str">
            <v>Unaffected lots</v>
          </cell>
          <cell r="Q829" t="str">
            <v>YES</v>
          </cell>
          <cell r="R829">
            <v>70</v>
          </cell>
          <cell r="S829" t="str">
            <v>PCS-04-276764</v>
          </cell>
          <cell r="T829" t="str">
            <v>TCT-060-2024018821</v>
          </cell>
          <cell r="U829" t="b">
            <v>1</v>
          </cell>
          <cell r="V829" t="str">
            <v>Done</v>
          </cell>
          <cell r="W829" t="str">
            <v>B2 2025</v>
          </cell>
          <cell r="X829" t="str">
            <v>2025 - Batch 4</v>
          </cell>
          <cell r="Y829">
            <v>45</v>
          </cell>
          <cell r="Z829">
            <v>1</v>
          </cell>
          <cell r="AA829" t="str">
            <v>H+L</v>
          </cell>
          <cell r="AB829">
            <v>70</v>
          </cell>
          <cell r="AC829">
            <v>50</v>
          </cell>
          <cell r="AD829" t="str">
            <v>Slant</v>
          </cell>
          <cell r="AE829" t="str">
            <v>Duplex</v>
          </cell>
          <cell r="AF829" t="str">
            <v>568 - Without Partition</v>
          </cell>
          <cell r="AG829" t="str">
            <v xml:space="preserve">Without Partition </v>
          </cell>
          <cell r="AH829" t="str">
            <v xml:space="preserve">Without Partition </v>
          </cell>
          <cell r="AI829" t="str">
            <v>YELLOW</v>
          </cell>
          <cell r="AJ829" t="str">
            <v>Slant / YELLOW</v>
          </cell>
          <cell r="AK829">
            <v>1050000</v>
          </cell>
          <cell r="AL829">
            <v>15000</v>
          </cell>
          <cell r="AM829">
            <v>1650000</v>
          </cell>
          <cell r="AN829">
            <v>33000</v>
          </cell>
          <cell r="AO829">
            <v>150000</v>
          </cell>
          <cell r="AP829">
            <v>2850000</v>
          </cell>
          <cell r="AQ829"/>
          <cell r="AR829">
            <v>2850000</v>
          </cell>
          <cell r="AS829">
            <v>200000</v>
          </cell>
          <cell r="AT829">
            <v>2650000</v>
          </cell>
          <cell r="AU829">
            <v>100000</v>
          </cell>
          <cell r="AV829">
            <v>2550000</v>
          </cell>
          <cell r="AW829">
            <v>0</v>
          </cell>
          <cell r="AX829">
            <v>2550000</v>
          </cell>
        </row>
        <row r="830">
          <cell r="G830" t="str">
            <v>AGM-01-045-002</v>
          </cell>
          <cell r="H830" t="str">
            <v xml:space="preserve">Raemulan Lands, Inc. </v>
          </cell>
          <cell r="I830" t="str">
            <v>Agapeya</v>
          </cell>
          <cell r="J830" t="str">
            <v>AGM</v>
          </cell>
          <cell r="K830" t="str">
            <v>Eco-High</v>
          </cell>
          <cell r="L830" t="str">
            <v>West</v>
          </cell>
          <cell r="M830" t="str">
            <v>With LTS - 2024</v>
          </cell>
          <cell r="N830" t="str">
            <v>YES</v>
          </cell>
          <cell r="O830" t="str">
            <v>YES</v>
          </cell>
          <cell r="P830" t="str">
            <v>Unaffected lots</v>
          </cell>
          <cell r="Q830" t="str">
            <v>YES</v>
          </cell>
          <cell r="R830">
            <v>70</v>
          </cell>
          <cell r="S830" t="str">
            <v>PCS-04-276764</v>
          </cell>
          <cell r="T830" t="str">
            <v>TCT-060-2024018822</v>
          </cell>
          <cell r="U830" t="b">
            <v>1</v>
          </cell>
          <cell r="V830" t="str">
            <v>Done</v>
          </cell>
          <cell r="W830" t="str">
            <v>B2 2025</v>
          </cell>
          <cell r="X830" t="str">
            <v>2025 - Batch 4</v>
          </cell>
          <cell r="Y830">
            <v>45</v>
          </cell>
          <cell r="Z830">
            <v>2</v>
          </cell>
          <cell r="AA830" t="str">
            <v>H+L</v>
          </cell>
          <cell r="AB830">
            <v>70</v>
          </cell>
          <cell r="AC830">
            <v>50</v>
          </cell>
          <cell r="AD830" t="str">
            <v>Flat</v>
          </cell>
          <cell r="AE830" t="str">
            <v>Duplex</v>
          </cell>
          <cell r="AF830" t="str">
            <v>568 - Without Partition</v>
          </cell>
          <cell r="AG830" t="str">
            <v xml:space="preserve">Without Partition </v>
          </cell>
          <cell r="AH830" t="str">
            <v xml:space="preserve">Without Partition </v>
          </cell>
          <cell r="AI830" t="str">
            <v>YELLOW</v>
          </cell>
          <cell r="AJ830" t="str">
            <v>Flat / YELLOW</v>
          </cell>
          <cell r="AK830">
            <v>1050000</v>
          </cell>
          <cell r="AL830">
            <v>15000</v>
          </cell>
          <cell r="AM830">
            <v>1650000</v>
          </cell>
          <cell r="AN830">
            <v>33000</v>
          </cell>
          <cell r="AO830">
            <v>150000</v>
          </cell>
          <cell r="AP830">
            <v>2850000</v>
          </cell>
          <cell r="AQ830"/>
          <cell r="AR830">
            <v>2850000</v>
          </cell>
          <cell r="AS830">
            <v>200000</v>
          </cell>
          <cell r="AT830">
            <v>2650000</v>
          </cell>
          <cell r="AU830">
            <v>100000</v>
          </cell>
          <cell r="AV830">
            <v>2550000</v>
          </cell>
          <cell r="AW830">
            <v>0</v>
          </cell>
          <cell r="AX830">
            <v>2550000</v>
          </cell>
        </row>
        <row r="831">
          <cell r="G831" t="str">
            <v>AGM-01-045-003</v>
          </cell>
          <cell r="H831" t="str">
            <v xml:space="preserve">Raemulan Lands, Inc. </v>
          </cell>
          <cell r="I831" t="str">
            <v>Agapeya</v>
          </cell>
          <cell r="J831" t="str">
            <v>AGM</v>
          </cell>
          <cell r="K831" t="str">
            <v>Eco-High</v>
          </cell>
          <cell r="L831" t="str">
            <v>West</v>
          </cell>
          <cell r="M831" t="str">
            <v>With LTS - 2024</v>
          </cell>
          <cell r="N831" t="str">
            <v>YES</v>
          </cell>
          <cell r="O831" t="str">
            <v>YES</v>
          </cell>
          <cell r="P831" t="str">
            <v>Unaffected lots</v>
          </cell>
          <cell r="Q831" t="str">
            <v>YES</v>
          </cell>
          <cell r="R831">
            <v>70</v>
          </cell>
          <cell r="S831" t="str">
            <v>PCS-04-276764</v>
          </cell>
          <cell r="T831" t="str">
            <v>TCT-060-2024018823</v>
          </cell>
          <cell r="U831" t="b">
            <v>1</v>
          </cell>
          <cell r="V831" t="str">
            <v>Done</v>
          </cell>
          <cell r="W831" t="str">
            <v>B2 2025</v>
          </cell>
          <cell r="X831" t="str">
            <v>2025 - Batch 4</v>
          </cell>
          <cell r="Y831">
            <v>45</v>
          </cell>
          <cell r="Z831">
            <v>3</v>
          </cell>
          <cell r="AA831" t="str">
            <v>H+L</v>
          </cell>
          <cell r="AB831">
            <v>70</v>
          </cell>
          <cell r="AC831">
            <v>50</v>
          </cell>
          <cell r="AD831" t="str">
            <v>Flat</v>
          </cell>
          <cell r="AE831" t="str">
            <v>Duplex</v>
          </cell>
          <cell r="AF831" t="str">
            <v>568 - Without Partition</v>
          </cell>
          <cell r="AG831" t="str">
            <v xml:space="preserve">Without Partition </v>
          </cell>
          <cell r="AH831" t="str">
            <v xml:space="preserve">Without Partition </v>
          </cell>
          <cell r="AI831" t="str">
            <v>PINK</v>
          </cell>
          <cell r="AJ831" t="str">
            <v>Flat / PINK</v>
          </cell>
          <cell r="AK831">
            <v>1050000</v>
          </cell>
          <cell r="AL831">
            <v>15000</v>
          </cell>
          <cell r="AM831">
            <v>1650000</v>
          </cell>
          <cell r="AN831">
            <v>33000</v>
          </cell>
          <cell r="AO831">
            <v>150000</v>
          </cell>
          <cell r="AP831">
            <v>2850000</v>
          </cell>
          <cell r="AQ831"/>
          <cell r="AR831">
            <v>2850000</v>
          </cell>
          <cell r="AS831">
            <v>200000</v>
          </cell>
          <cell r="AT831">
            <v>2650000</v>
          </cell>
          <cell r="AU831">
            <v>100000</v>
          </cell>
          <cell r="AV831">
            <v>2550000</v>
          </cell>
          <cell r="AW831">
            <v>0</v>
          </cell>
          <cell r="AX831">
            <v>2550000</v>
          </cell>
        </row>
        <row r="832">
          <cell r="G832" t="str">
            <v>AGM-01-045-004</v>
          </cell>
          <cell r="H832" t="str">
            <v xml:space="preserve">Raemulan Lands, Inc. </v>
          </cell>
          <cell r="I832" t="str">
            <v>Agapeya</v>
          </cell>
          <cell r="J832" t="str">
            <v>AGM</v>
          </cell>
          <cell r="K832" t="str">
            <v>Eco-High</v>
          </cell>
          <cell r="L832" t="str">
            <v>West</v>
          </cell>
          <cell r="M832" t="str">
            <v>With LTS - 2024</v>
          </cell>
          <cell r="N832" t="str">
            <v>YES</v>
          </cell>
          <cell r="O832" t="str">
            <v>YES</v>
          </cell>
          <cell r="P832" t="str">
            <v>Unaffected lots</v>
          </cell>
          <cell r="Q832" t="str">
            <v>YES</v>
          </cell>
          <cell r="R832">
            <v>70</v>
          </cell>
          <cell r="S832" t="str">
            <v>PCS-04-276764</v>
          </cell>
          <cell r="T832" t="str">
            <v>TCT-060-2024018824</v>
          </cell>
          <cell r="U832" t="b">
            <v>1</v>
          </cell>
          <cell r="V832" t="str">
            <v>Done</v>
          </cell>
          <cell r="W832" t="str">
            <v>B2 2025</v>
          </cell>
          <cell r="X832" t="str">
            <v>2025 - Batch 4</v>
          </cell>
          <cell r="Y832">
            <v>45</v>
          </cell>
          <cell r="Z832">
            <v>4</v>
          </cell>
          <cell r="AA832" t="str">
            <v>H+L</v>
          </cell>
          <cell r="AB832">
            <v>70</v>
          </cell>
          <cell r="AC832">
            <v>50</v>
          </cell>
          <cell r="AD832" t="str">
            <v>Slant</v>
          </cell>
          <cell r="AE832" t="str">
            <v>Duplex</v>
          </cell>
          <cell r="AF832" t="str">
            <v>568 - Without Partition</v>
          </cell>
          <cell r="AG832" t="str">
            <v xml:space="preserve">Without Partition </v>
          </cell>
          <cell r="AH832" t="str">
            <v xml:space="preserve">Without Partition </v>
          </cell>
          <cell r="AI832" t="str">
            <v>PINK</v>
          </cell>
          <cell r="AJ832" t="str">
            <v>Slant / PINK</v>
          </cell>
          <cell r="AK832">
            <v>1050000</v>
          </cell>
          <cell r="AL832">
            <v>15000</v>
          </cell>
          <cell r="AM832">
            <v>1650000</v>
          </cell>
          <cell r="AN832">
            <v>33000</v>
          </cell>
          <cell r="AO832">
            <v>150000</v>
          </cell>
          <cell r="AP832">
            <v>2850000</v>
          </cell>
          <cell r="AQ832"/>
          <cell r="AR832">
            <v>2850000</v>
          </cell>
          <cell r="AS832">
            <v>200000</v>
          </cell>
          <cell r="AT832">
            <v>2650000</v>
          </cell>
          <cell r="AU832">
            <v>100000</v>
          </cell>
          <cell r="AV832">
            <v>2550000</v>
          </cell>
          <cell r="AW832">
            <v>0</v>
          </cell>
          <cell r="AX832">
            <v>2550000</v>
          </cell>
        </row>
        <row r="833">
          <cell r="G833" t="str">
            <v>AGM-01-045-005</v>
          </cell>
          <cell r="H833" t="str">
            <v xml:space="preserve">Raemulan Lands, Inc. </v>
          </cell>
          <cell r="I833" t="str">
            <v>Agapeya</v>
          </cell>
          <cell r="J833" t="str">
            <v>AGM</v>
          </cell>
          <cell r="K833" t="str">
            <v>Eco-High</v>
          </cell>
          <cell r="L833" t="str">
            <v>West</v>
          </cell>
          <cell r="M833" t="str">
            <v>With LTS - 2024</v>
          </cell>
          <cell r="N833" t="str">
            <v>YES</v>
          </cell>
          <cell r="O833" t="str">
            <v>YES</v>
          </cell>
          <cell r="P833" t="str">
            <v>Unaffected lots</v>
          </cell>
          <cell r="Q833" t="str">
            <v>YES</v>
          </cell>
          <cell r="R833">
            <v>70</v>
          </cell>
          <cell r="S833" t="str">
            <v>PCS-04-276764</v>
          </cell>
          <cell r="T833" t="str">
            <v>TCT-060-2024018825</v>
          </cell>
          <cell r="U833" t="b">
            <v>1</v>
          </cell>
          <cell r="V833" t="str">
            <v>Done</v>
          </cell>
          <cell r="W833" t="str">
            <v>B2 2025</v>
          </cell>
          <cell r="X833" t="str">
            <v>2025 - Batch 4</v>
          </cell>
          <cell r="Y833">
            <v>45</v>
          </cell>
          <cell r="Z833">
            <v>5</v>
          </cell>
          <cell r="AA833" t="str">
            <v>H+L</v>
          </cell>
          <cell r="AB833">
            <v>70</v>
          </cell>
          <cell r="AC833">
            <v>50</v>
          </cell>
          <cell r="AD833" t="str">
            <v>Slant</v>
          </cell>
          <cell r="AE833" t="str">
            <v>Duplex</v>
          </cell>
          <cell r="AF833" t="str">
            <v>568 - Without Partition</v>
          </cell>
          <cell r="AG833" t="str">
            <v xml:space="preserve">Without Partition </v>
          </cell>
          <cell r="AH833" t="str">
            <v xml:space="preserve">Without Partition </v>
          </cell>
          <cell r="AI833" t="str">
            <v>PINK</v>
          </cell>
          <cell r="AJ833" t="str">
            <v>Slant / PINK</v>
          </cell>
          <cell r="AK833">
            <v>1050000</v>
          </cell>
          <cell r="AL833">
            <v>15000</v>
          </cell>
          <cell r="AM833">
            <v>1650000</v>
          </cell>
          <cell r="AN833">
            <v>33000</v>
          </cell>
          <cell r="AO833">
            <v>150000</v>
          </cell>
          <cell r="AP833">
            <v>2850000</v>
          </cell>
          <cell r="AQ833"/>
          <cell r="AR833">
            <v>2850000</v>
          </cell>
          <cell r="AS833">
            <v>200000</v>
          </cell>
          <cell r="AT833">
            <v>2650000</v>
          </cell>
          <cell r="AU833">
            <v>100000</v>
          </cell>
          <cell r="AV833">
            <v>2550000</v>
          </cell>
          <cell r="AW833">
            <v>0</v>
          </cell>
          <cell r="AX833">
            <v>2550000</v>
          </cell>
        </row>
        <row r="834">
          <cell r="G834" t="str">
            <v>AGM-01-045-006</v>
          </cell>
          <cell r="H834" t="str">
            <v xml:space="preserve">Raemulan Lands, Inc. </v>
          </cell>
          <cell r="I834" t="str">
            <v>Agapeya</v>
          </cell>
          <cell r="J834" t="str">
            <v>AGM</v>
          </cell>
          <cell r="K834" t="str">
            <v>Eco-High</v>
          </cell>
          <cell r="L834" t="str">
            <v>West</v>
          </cell>
          <cell r="M834" t="str">
            <v>With LTS - 2024</v>
          </cell>
          <cell r="N834" t="str">
            <v>YES</v>
          </cell>
          <cell r="O834" t="str">
            <v>YES</v>
          </cell>
          <cell r="P834" t="str">
            <v>Unaffected lots</v>
          </cell>
          <cell r="Q834" t="str">
            <v>YES</v>
          </cell>
          <cell r="R834">
            <v>70</v>
          </cell>
          <cell r="S834" t="str">
            <v>PCS-04-276764</v>
          </cell>
          <cell r="T834" t="str">
            <v>TCT-060-2024018826</v>
          </cell>
          <cell r="U834" t="b">
            <v>1</v>
          </cell>
          <cell r="V834" t="str">
            <v>Done</v>
          </cell>
          <cell r="W834" t="str">
            <v>B2 2025</v>
          </cell>
          <cell r="X834" t="str">
            <v>2025 - Batch 4</v>
          </cell>
          <cell r="Y834">
            <v>45</v>
          </cell>
          <cell r="Z834">
            <v>6</v>
          </cell>
          <cell r="AA834" t="str">
            <v>H+L</v>
          </cell>
          <cell r="AB834">
            <v>70</v>
          </cell>
          <cell r="AC834">
            <v>50</v>
          </cell>
          <cell r="AD834" t="str">
            <v>Flat</v>
          </cell>
          <cell r="AE834" t="str">
            <v>Duplex</v>
          </cell>
          <cell r="AF834" t="str">
            <v>568 - Without Partition</v>
          </cell>
          <cell r="AG834" t="str">
            <v xml:space="preserve">Without Partition </v>
          </cell>
          <cell r="AH834" t="str">
            <v xml:space="preserve">Without Partition </v>
          </cell>
          <cell r="AI834" t="str">
            <v>PINK</v>
          </cell>
          <cell r="AJ834" t="str">
            <v>Flat / PINK</v>
          </cell>
          <cell r="AK834">
            <v>1050000</v>
          </cell>
          <cell r="AL834">
            <v>15000</v>
          </cell>
          <cell r="AM834">
            <v>1650000</v>
          </cell>
          <cell r="AN834">
            <v>33000</v>
          </cell>
          <cell r="AO834">
            <v>150000</v>
          </cell>
          <cell r="AP834">
            <v>2850000</v>
          </cell>
          <cell r="AQ834"/>
          <cell r="AR834">
            <v>2850000</v>
          </cell>
          <cell r="AS834">
            <v>200000</v>
          </cell>
          <cell r="AT834">
            <v>2650000</v>
          </cell>
          <cell r="AU834">
            <v>100000</v>
          </cell>
          <cell r="AV834">
            <v>2550000</v>
          </cell>
          <cell r="AW834">
            <v>0</v>
          </cell>
          <cell r="AX834">
            <v>2550000</v>
          </cell>
        </row>
        <row r="835">
          <cell r="G835" t="str">
            <v>AGM-01-045-007</v>
          </cell>
          <cell r="H835" t="str">
            <v xml:space="preserve">Raemulan Lands, Inc. </v>
          </cell>
          <cell r="I835" t="str">
            <v>Agapeya</v>
          </cell>
          <cell r="J835" t="str">
            <v>AGM</v>
          </cell>
          <cell r="K835" t="str">
            <v>Eco-High</v>
          </cell>
          <cell r="L835" t="str">
            <v>West</v>
          </cell>
          <cell r="M835" t="str">
            <v>With LTS - 2024</v>
          </cell>
          <cell r="N835" t="str">
            <v>YES</v>
          </cell>
          <cell r="O835" t="str">
            <v>YES</v>
          </cell>
          <cell r="P835" t="str">
            <v>Unaffected lots</v>
          </cell>
          <cell r="Q835" t="str">
            <v>YES</v>
          </cell>
          <cell r="R835">
            <v>70</v>
          </cell>
          <cell r="S835" t="str">
            <v>PCS-04-276764</v>
          </cell>
          <cell r="T835" t="str">
            <v>TCT-060-2024018827</v>
          </cell>
          <cell r="U835" t="b">
            <v>1</v>
          </cell>
          <cell r="V835" t="str">
            <v>Done</v>
          </cell>
          <cell r="W835" t="str">
            <v>B1 2025</v>
          </cell>
          <cell r="X835" t="str">
            <v>2025 - Batch 2</v>
          </cell>
          <cell r="Y835">
            <v>45</v>
          </cell>
          <cell r="Z835">
            <v>7</v>
          </cell>
          <cell r="AA835" t="str">
            <v>H+L</v>
          </cell>
          <cell r="AB835">
            <v>70</v>
          </cell>
          <cell r="AC835">
            <v>50</v>
          </cell>
          <cell r="AD835" t="str">
            <v>Slant</v>
          </cell>
          <cell r="AE835" t="str">
            <v>Duplex</v>
          </cell>
          <cell r="AF835" t="str">
            <v>568 - Without Partition</v>
          </cell>
          <cell r="AG835" t="str">
            <v xml:space="preserve">Without Partition </v>
          </cell>
          <cell r="AH835" t="str">
            <v xml:space="preserve">Without Partition </v>
          </cell>
          <cell r="AI835" t="str">
            <v>YELLOW</v>
          </cell>
          <cell r="AJ835" t="str">
            <v>Slant / YELLOW</v>
          </cell>
          <cell r="AK835">
            <v>1050000</v>
          </cell>
          <cell r="AL835">
            <v>15000</v>
          </cell>
          <cell r="AM835">
            <v>1650000</v>
          </cell>
          <cell r="AN835">
            <v>33000</v>
          </cell>
          <cell r="AO835">
            <v>150000</v>
          </cell>
          <cell r="AP835">
            <v>2850000</v>
          </cell>
          <cell r="AQ835"/>
          <cell r="AR835">
            <v>2850000</v>
          </cell>
          <cell r="AS835">
            <v>200000</v>
          </cell>
          <cell r="AT835">
            <v>2650000</v>
          </cell>
          <cell r="AU835">
            <v>100000</v>
          </cell>
          <cell r="AV835">
            <v>2550000</v>
          </cell>
          <cell r="AW835">
            <v>0</v>
          </cell>
          <cell r="AX835">
            <v>2550000</v>
          </cell>
        </row>
        <row r="836">
          <cell r="G836" t="str">
            <v>AGM-01-045-008</v>
          </cell>
          <cell r="H836" t="str">
            <v xml:space="preserve">Raemulan Lands, Inc. </v>
          </cell>
          <cell r="I836" t="str">
            <v>Agapeya</v>
          </cell>
          <cell r="J836" t="str">
            <v>AGM</v>
          </cell>
          <cell r="K836" t="str">
            <v>Eco-High</v>
          </cell>
          <cell r="L836" t="str">
            <v>West</v>
          </cell>
          <cell r="M836" t="str">
            <v>With LTS - 2024</v>
          </cell>
          <cell r="N836" t="str">
            <v>YES</v>
          </cell>
          <cell r="O836" t="str">
            <v>YES</v>
          </cell>
          <cell r="P836" t="str">
            <v>Unaffected lots</v>
          </cell>
          <cell r="Q836" t="str">
            <v>YES</v>
          </cell>
          <cell r="R836">
            <v>70</v>
          </cell>
          <cell r="S836" t="str">
            <v>PCS-04-276764</v>
          </cell>
          <cell r="T836" t="str">
            <v>TCT-060-2024018828</v>
          </cell>
          <cell r="U836" t="b">
            <v>1</v>
          </cell>
          <cell r="V836" t="str">
            <v>Done</v>
          </cell>
          <cell r="W836" t="str">
            <v>B1 2025</v>
          </cell>
          <cell r="X836" t="str">
            <v>2025 - Batch 2</v>
          </cell>
          <cell r="Y836">
            <v>45</v>
          </cell>
          <cell r="Z836">
            <v>8</v>
          </cell>
          <cell r="AA836" t="str">
            <v>H+L</v>
          </cell>
          <cell r="AB836">
            <v>70</v>
          </cell>
          <cell r="AC836">
            <v>50</v>
          </cell>
          <cell r="AD836" t="str">
            <v>Flat</v>
          </cell>
          <cell r="AE836" t="str">
            <v>Duplex</v>
          </cell>
          <cell r="AF836" t="str">
            <v>568 - Without Partition</v>
          </cell>
          <cell r="AG836" t="str">
            <v xml:space="preserve">Without Partition </v>
          </cell>
          <cell r="AH836" t="str">
            <v xml:space="preserve">Without Partition </v>
          </cell>
          <cell r="AI836" t="str">
            <v>YELLOW</v>
          </cell>
          <cell r="AJ836" t="str">
            <v>Flat / YELLOW</v>
          </cell>
          <cell r="AK836">
            <v>1050000</v>
          </cell>
          <cell r="AL836">
            <v>15000</v>
          </cell>
          <cell r="AM836">
            <v>1650000</v>
          </cell>
          <cell r="AN836">
            <v>33000</v>
          </cell>
          <cell r="AO836">
            <v>150000</v>
          </cell>
          <cell r="AP836">
            <v>2850000</v>
          </cell>
          <cell r="AQ836"/>
          <cell r="AR836">
            <v>2850000</v>
          </cell>
          <cell r="AS836">
            <v>200000</v>
          </cell>
          <cell r="AT836">
            <v>2650000</v>
          </cell>
          <cell r="AU836">
            <v>100000</v>
          </cell>
          <cell r="AV836">
            <v>2550000</v>
          </cell>
          <cell r="AW836">
            <v>0</v>
          </cell>
          <cell r="AX836">
            <v>2550000</v>
          </cell>
        </row>
        <row r="837">
          <cell r="G837" t="str">
            <v>AGM-01-045-009</v>
          </cell>
          <cell r="H837" t="str">
            <v xml:space="preserve">Raemulan Lands, Inc. </v>
          </cell>
          <cell r="I837" t="str">
            <v>Agapeya</v>
          </cell>
          <cell r="J837" t="str">
            <v>AGM</v>
          </cell>
          <cell r="K837" t="str">
            <v>Eco-High</v>
          </cell>
          <cell r="L837" t="str">
            <v>West</v>
          </cell>
          <cell r="M837" t="str">
            <v>With LTS - 2024</v>
          </cell>
          <cell r="N837" t="str">
            <v>YES</v>
          </cell>
          <cell r="O837" t="str">
            <v>YES</v>
          </cell>
          <cell r="P837" t="str">
            <v>Unaffected lots</v>
          </cell>
          <cell r="Q837" t="str">
            <v>YES</v>
          </cell>
          <cell r="R837">
            <v>70</v>
          </cell>
          <cell r="S837" t="str">
            <v>PCS-04-276764</v>
          </cell>
          <cell r="T837" t="str">
            <v>TCT-060-2024018829</v>
          </cell>
          <cell r="U837" t="b">
            <v>1</v>
          </cell>
          <cell r="V837" t="str">
            <v>Done</v>
          </cell>
          <cell r="W837" t="str">
            <v>B1 2025</v>
          </cell>
          <cell r="X837" t="str">
            <v>2025 - Batch 2</v>
          </cell>
          <cell r="Y837">
            <v>45</v>
          </cell>
          <cell r="Z837">
            <v>9</v>
          </cell>
          <cell r="AA837" t="str">
            <v>H+L</v>
          </cell>
          <cell r="AB837">
            <v>70</v>
          </cell>
          <cell r="AC837">
            <v>50</v>
          </cell>
          <cell r="AD837" t="str">
            <v>Flat</v>
          </cell>
          <cell r="AE837" t="str">
            <v>Duplex</v>
          </cell>
          <cell r="AF837" t="str">
            <v>568 - Without Partition</v>
          </cell>
          <cell r="AG837" t="str">
            <v xml:space="preserve">Without Partition </v>
          </cell>
          <cell r="AH837" t="str">
            <v xml:space="preserve">Without Partition </v>
          </cell>
          <cell r="AI837" t="str">
            <v>YELLOW</v>
          </cell>
          <cell r="AJ837" t="str">
            <v>Flat / YELLOW</v>
          </cell>
          <cell r="AK837">
            <v>1050000</v>
          </cell>
          <cell r="AL837">
            <v>15000</v>
          </cell>
          <cell r="AM837">
            <v>1650000</v>
          </cell>
          <cell r="AN837">
            <v>33000</v>
          </cell>
          <cell r="AO837">
            <v>150000</v>
          </cell>
          <cell r="AP837">
            <v>2850000</v>
          </cell>
          <cell r="AQ837"/>
          <cell r="AR837">
            <v>2850000</v>
          </cell>
          <cell r="AS837">
            <v>200000</v>
          </cell>
          <cell r="AT837">
            <v>2650000</v>
          </cell>
          <cell r="AU837">
            <v>100000</v>
          </cell>
          <cell r="AV837">
            <v>2550000</v>
          </cell>
          <cell r="AW837">
            <v>0</v>
          </cell>
          <cell r="AX837">
            <v>2550000</v>
          </cell>
        </row>
        <row r="838">
          <cell r="G838" t="str">
            <v>AGM-01-045-010</v>
          </cell>
          <cell r="H838" t="str">
            <v xml:space="preserve">Raemulan Lands, Inc. </v>
          </cell>
          <cell r="I838" t="str">
            <v>Agapeya</v>
          </cell>
          <cell r="J838" t="str">
            <v>AGM</v>
          </cell>
          <cell r="K838" t="str">
            <v>Eco-High</v>
          </cell>
          <cell r="L838" t="str">
            <v>West</v>
          </cell>
          <cell r="M838" t="str">
            <v>With LTS - 2024</v>
          </cell>
          <cell r="N838" t="str">
            <v>YES</v>
          </cell>
          <cell r="O838" t="str">
            <v>YES</v>
          </cell>
          <cell r="P838" t="str">
            <v>Unaffected lots</v>
          </cell>
          <cell r="Q838" t="str">
            <v>YES</v>
          </cell>
          <cell r="R838">
            <v>70</v>
          </cell>
          <cell r="S838" t="str">
            <v>PCS-04-276764</v>
          </cell>
          <cell r="T838" t="str">
            <v>TCT-060-2024018830</v>
          </cell>
          <cell r="U838" t="b">
            <v>1</v>
          </cell>
          <cell r="V838" t="str">
            <v>Done</v>
          </cell>
          <cell r="W838" t="str">
            <v>B1 2025</v>
          </cell>
          <cell r="X838" t="str">
            <v>2025 - Batch 2</v>
          </cell>
          <cell r="Y838">
            <v>45</v>
          </cell>
          <cell r="Z838">
            <v>10</v>
          </cell>
          <cell r="AA838" t="str">
            <v>H+L</v>
          </cell>
          <cell r="AB838">
            <v>70</v>
          </cell>
          <cell r="AC838">
            <v>50</v>
          </cell>
          <cell r="AD838" t="str">
            <v>Slant</v>
          </cell>
          <cell r="AE838" t="str">
            <v>Duplex</v>
          </cell>
          <cell r="AF838" t="str">
            <v>568 - Without Partition</v>
          </cell>
          <cell r="AG838" t="str">
            <v xml:space="preserve">Without Partition </v>
          </cell>
          <cell r="AH838" t="str">
            <v xml:space="preserve">Without Partition </v>
          </cell>
          <cell r="AI838" t="str">
            <v>YELLOW</v>
          </cell>
          <cell r="AJ838" t="str">
            <v>Slant / YELLOW</v>
          </cell>
          <cell r="AK838">
            <v>1050000</v>
          </cell>
          <cell r="AL838">
            <v>15000</v>
          </cell>
          <cell r="AM838">
            <v>1650000</v>
          </cell>
          <cell r="AN838">
            <v>33000</v>
          </cell>
          <cell r="AO838">
            <v>150000</v>
          </cell>
          <cell r="AP838">
            <v>2850000</v>
          </cell>
          <cell r="AQ838"/>
          <cell r="AR838">
            <v>2850000</v>
          </cell>
          <cell r="AS838">
            <v>200000</v>
          </cell>
          <cell r="AT838">
            <v>2650000</v>
          </cell>
          <cell r="AU838">
            <v>100000</v>
          </cell>
          <cell r="AV838">
            <v>2550000</v>
          </cell>
          <cell r="AW838">
            <v>0</v>
          </cell>
          <cell r="AX838">
            <v>2550000</v>
          </cell>
        </row>
        <row r="839">
          <cell r="G839" t="str">
            <v>AGM-01-045-011</v>
          </cell>
          <cell r="H839" t="str">
            <v xml:space="preserve">Raemulan Lands, Inc. </v>
          </cell>
          <cell r="I839" t="str">
            <v>Agapeya</v>
          </cell>
          <cell r="J839" t="str">
            <v>AGM</v>
          </cell>
          <cell r="K839" t="str">
            <v>Eco-High</v>
          </cell>
          <cell r="L839" t="str">
            <v>West</v>
          </cell>
          <cell r="M839" t="str">
            <v>With LTS - 2024</v>
          </cell>
          <cell r="N839" t="str">
            <v>YES</v>
          </cell>
          <cell r="O839" t="str">
            <v>YES</v>
          </cell>
          <cell r="P839" t="str">
            <v>Unaffected lots</v>
          </cell>
          <cell r="Q839" t="str">
            <v>YES</v>
          </cell>
          <cell r="R839">
            <v>70</v>
          </cell>
          <cell r="S839" t="str">
            <v>PCS-04-276764</v>
          </cell>
          <cell r="T839" t="str">
            <v>TCT-060-2024018831</v>
          </cell>
          <cell r="U839" t="b">
            <v>1</v>
          </cell>
          <cell r="V839" t="str">
            <v>Done</v>
          </cell>
          <cell r="W839" t="str">
            <v>B1 2025</v>
          </cell>
          <cell r="X839" t="str">
            <v>2025 - Batch 2</v>
          </cell>
          <cell r="Y839">
            <v>45</v>
          </cell>
          <cell r="Z839">
            <v>11</v>
          </cell>
          <cell r="AA839" t="str">
            <v>H+L</v>
          </cell>
          <cell r="AB839">
            <v>70</v>
          </cell>
          <cell r="AC839">
            <v>50</v>
          </cell>
          <cell r="AD839" t="str">
            <v>Slant</v>
          </cell>
          <cell r="AE839" t="str">
            <v>Duplex</v>
          </cell>
          <cell r="AF839" t="str">
            <v>568 - Without Partition</v>
          </cell>
          <cell r="AG839" t="str">
            <v xml:space="preserve">Without Partition </v>
          </cell>
          <cell r="AH839" t="str">
            <v xml:space="preserve">Without Partition </v>
          </cell>
          <cell r="AI839" t="str">
            <v>GREEN</v>
          </cell>
          <cell r="AJ839" t="str">
            <v>Slant / GREEN</v>
          </cell>
          <cell r="AK839">
            <v>1050000</v>
          </cell>
          <cell r="AL839">
            <v>15000</v>
          </cell>
          <cell r="AM839">
            <v>1650000</v>
          </cell>
          <cell r="AN839">
            <v>33000</v>
          </cell>
          <cell r="AO839">
            <v>150000</v>
          </cell>
          <cell r="AP839">
            <v>2850000</v>
          </cell>
          <cell r="AQ839"/>
          <cell r="AR839">
            <v>2850000</v>
          </cell>
          <cell r="AS839">
            <v>200000</v>
          </cell>
          <cell r="AT839">
            <v>2650000</v>
          </cell>
          <cell r="AU839">
            <v>100000</v>
          </cell>
          <cell r="AV839">
            <v>2550000</v>
          </cell>
          <cell r="AW839">
            <v>0</v>
          </cell>
          <cell r="AX839">
            <v>2550000</v>
          </cell>
        </row>
        <row r="840">
          <cell r="G840" t="str">
            <v>AGM-01-045-012</v>
          </cell>
          <cell r="H840" t="str">
            <v xml:space="preserve">Raemulan Lands, Inc. </v>
          </cell>
          <cell r="I840" t="str">
            <v>Agapeya</v>
          </cell>
          <cell r="J840" t="str">
            <v>AGM</v>
          </cell>
          <cell r="K840" t="str">
            <v>Eco-High</v>
          </cell>
          <cell r="L840" t="str">
            <v>West</v>
          </cell>
          <cell r="M840" t="str">
            <v>With LTS - 2024</v>
          </cell>
          <cell r="N840" t="str">
            <v>YES</v>
          </cell>
          <cell r="O840" t="str">
            <v>YES</v>
          </cell>
          <cell r="P840" t="str">
            <v>Unaffected lots</v>
          </cell>
          <cell r="Q840" t="str">
            <v>YES</v>
          </cell>
          <cell r="R840">
            <v>70</v>
          </cell>
          <cell r="S840" t="str">
            <v>PCS-04-276764</v>
          </cell>
          <cell r="T840" t="str">
            <v>TCT-060-2024018832</v>
          </cell>
          <cell r="U840" t="b">
            <v>1</v>
          </cell>
          <cell r="V840" t="str">
            <v>Done</v>
          </cell>
          <cell r="W840" t="str">
            <v>B1 2025</v>
          </cell>
          <cell r="X840" t="str">
            <v>2025 - Batch 2</v>
          </cell>
          <cell r="Y840">
            <v>45</v>
          </cell>
          <cell r="Z840">
            <v>12</v>
          </cell>
          <cell r="AA840" t="str">
            <v>H+L</v>
          </cell>
          <cell r="AB840">
            <v>70</v>
          </cell>
          <cell r="AC840">
            <v>50</v>
          </cell>
          <cell r="AD840" t="str">
            <v>Flat</v>
          </cell>
          <cell r="AE840" t="str">
            <v>Duplex</v>
          </cell>
          <cell r="AF840" t="str">
            <v>568 - Without Partition</v>
          </cell>
          <cell r="AG840" t="str">
            <v xml:space="preserve">Without Partition </v>
          </cell>
          <cell r="AH840" t="str">
            <v xml:space="preserve">Without Partition </v>
          </cell>
          <cell r="AI840" t="str">
            <v>GREEN</v>
          </cell>
          <cell r="AJ840" t="str">
            <v>Flat / GREEN</v>
          </cell>
          <cell r="AK840">
            <v>1050000</v>
          </cell>
          <cell r="AL840">
            <v>15000</v>
          </cell>
          <cell r="AM840">
            <v>1650000</v>
          </cell>
          <cell r="AN840">
            <v>33000</v>
          </cell>
          <cell r="AO840">
            <v>150000</v>
          </cell>
          <cell r="AP840">
            <v>2850000</v>
          </cell>
          <cell r="AQ840"/>
          <cell r="AR840">
            <v>2850000</v>
          </cell>
          <cell r="AS840">
            <v>200000</v>
          </cell>
          <cell r="AT840">
            <v>2650000</v>
          </cell>
          <cell r="AU840">
            <v>100000</v>
          </cell>
          <cell r="AV840">
            <v>2550000</v>
          </cell>
          <cell r="AW840">
            <v>0</v>
          </cell>
          <cell r="AX840">
            <v>2550000</v>
          </cell>
        </row>
        <row r="841">
          <cell r="G841" t="str">
            <v>AGM-01-046-001</v>
          </cell>
          <cell r="H841" t="str">
            <v xml:space="preserve">Raemulan Lands, Inc. </v>
          </cell>
          <cell r="I841" t="str">
            <v>Agapeya</v>
          </cell>
          <cell r="J841" t="str">
            <v>AGM</v>
          </cell>
          <cell r="K841" t="str">
            <v>Eco-High</v>
          </cell>
          <cell r="L841" t="str">
            <v>West</v>
          </cell>
          <cell r="M841" t="str">
            <v>With LTS - 2024</v>
          </cell>
          <cell r="N841" t="str">
            <v>YES</v>
          </cell>
          <cell r="O841" t="str">
            <v>YES</v>
          </cell>
          <cell r="P841" t="str">
            <v>Unaffected lots</v>
          </cell>
          <cell r="Q841" t="str">
            <v>YES</v>
          </cell>
          <cell r="R841">
            <v>70</v>
          </cell>
          <cell r="S841" t="str">
            <v>PCS-04-276764</v>
          </cell>
          <cell r="T841" t="str">
            <v>TCT-060-2024018833</v>
          </cell>
          <cell r="U841" t="b">
            <v>1</v>
          </cell>
          <cell r="V841" t="str">
            <v>Done</v>
          </cell>
          <cell r="W841" t="str">
            <v>B1 2025</v>
          </cell>
          <cell r="X841" t="str">
            <v>2025 - Batch 2</v>
          </cell>
          <cell r="Y841">
            <v>46</v>
          </cell>
          <cell r="Z841">
            <v>1</v>
          </cell>
          <cell r="AA841" t="str">
            <v>H+L</v>
          </cell>
          <cell r="AB841">
            <v>70</v>
          </cell>
          <cell r="AC841">
            <v>50</v>
          </cell>
          <cell r="AD841" t="str">
            <v>Flat</v>
          </cell>
          <cell r="AE841" t="str">
            <v>Duplex</v>
          </cell>
          <cell r="AF841" t="str">
            <v>568 - Without Partition</v>
          </cell>
          <cell r="AG841" t="str">
            <v xml:space="preserve">Without Partition </v>
          </cell>
          <cell r="AH841" t="str">
            <v xml:space="preserve">Without Partition </v>
          </cell>
          <cell r="AI841" t="str">
            <v>YELLOW</v>
          </cell>
          <cell r="AJ841" t="str">
            <v>Flat / YELLOW</v>
          </cell>
          <cell r="AK841">
            <v>1050000</v>
          </cell>
          <cell r="AL841">
            <v>15000</v>
          </cell>
          <cell r="AM841">
            <v>1650000</v>
          </cell>
          <cell r="AN841">
            <v>33000</v>
          </cell>
          <cell r="AO841">
            <v>150000</v>
          </cell>
          <cell r="AP841">
            <v>2850000</v>
          </cell>
          <cell r="AQ841"/>
          <cell r="AR841">
            <v>2850000</v>
          </cell>
          <cell r="AS841">
            <v>200000</v>
          </cell>
          <cell r="AT841">
            <v>2650000</v>
          </cell>
          <cell r="AU841">
            <v>100000</v>
          </cell>
          <cell r="AV841">
            <v>2550000</v>
          </cell>
          <cell r="AW841">
            <v>0</v>
          </cell>
          <cell r="AX841">
            <v>2550000</v>
          </cell>
        </row>
        <row r="842">
          <cell r="G842" t="str">
            <v>AGM-01-046-002</v>
          </cell>
          <cell r="H842" t="str">
            <v xml:space="preserve">Raemulan Lands, Inc. </v>
          </cell>
          <cell r="I842" t="str">
            <v>Agapeya</v>
          </cell>
          <cell r="J842" t="str">
            <v>AGM</v>
          </cell>
          <cell r="K842" t="str">
            <v>Eco-High</v>
          </cell>
          <cell r="L842" t="str">
            <v>West</v>
          </cell>
          <cell r="M842" t="str">
            <v>With LTS - 2024</v>
          </cell>
          <cell r="N842" t="str">
            <v>YES</v>
          </cell>
          <cell r="O842" t="str">
            <v>YES</v>
          </cell>
          <cell r="P842" t="str">
            <v>Unaffected lots</v>
          </cell>
          <cell r="Q842" t="str">
            <v>YES</v>
          </cell>
          <cell r="R842">
            <v>70</v>
          </cell>
          <cell r="S842" t="str">
            <v>PCS-04-276764</v>
          </cell>
          <cell r="T842" t="str">
            <v>TCT-060-2024018834</v>
          </cell>
          <cell r="U842" t="b">
            <v>1</v>
          </cell>
          <cell r="V842" t="str">
            <v>Done</v>
          </cell>
          <cell r="W842" t="str">
            <v>B1 2025</v>
          </cell>
          <cell r="X842" t="str">
            <v>2025 - Batch 2</v>
          </cell>
          <cell r="Y842">
            <v>46</v>
          </cell>
          <cell r="Z842">
            <v>2</v>
          </cell>
          <cell r="AA842" t="str">
            <v>H+L</v>
          </cell>
          <cell r="AB842">
            <v>70</v>
          </cell>
          <cell r="AC842">
            <v>50</v>
          </cell>
          <cell r="AD842" t="str">
            <v>Slant</v>
          </cell>
          <cell r="AE842" t="str">
            <v>Duplex</v>
          </cell>
          <cell r="AF842" t="str">
            <v>568 - Without Partition</v>
          </cell>
          <cell r="AG842" t="str">
            <v xml:space="preserve">Without Partition </v>
          </cell>
          <cell r="AH842" t="str">
            <v xml:space="preserve">Without Partition </v>
          </cell>
          <cell r="AI842" t="str">
            <v>YELLOW</v>
          </cell>
          <cell r="AJ842" t="str">
            <v>Slant / YELLOW</v>
          </cell>
          <cell r="AK842">
            <v>1050000</v>
          </cell>
          <cell r="AL842">
            <v>15000</v>
          </cell>
          <cell r="AM842">
            <v>1650000</v>
          </cell>
          <cell r="AN842">
            <v>33000</v>
          </cell>
          <cell r="AO842">
            <v>150000</v>
          </cell>
          <cell r="AP842">
            <v>2850000</v>
          </cell>
          <cell r="AQ842"/>
          <cell r="AR842">
            <v>2850000</v>
          </cell>
          <cell r="AS842">
            <v>200000</v>
          </cell>
          <cell r="AT842">
            <v>2650000</v>
          </cell>
          <cell r="AU842">
            <v>100000</v>
          </cell>
          <cell r="AV842">
            <v>2550000</v>
          </cell>
          <cell r="AW842">
            <v>0</v>
          </cell>
          <cell r="AX842">
            <v>2550000</v>
          </cell>
        </row>
        <row r="843">
          <cell r="G843" t="str">
            <v>AGM-01-046-003</v>
          </cell>
          <cell r="H843" t="str">
            <v xml:space="preserve">Raemulan Lands, Inc. </v>
          </cell>
          <cell r="I843" t="str">
            <v>Agapeya</v>
          </cell>
          <cell r="J843" t="str">
            <v>AGM</v>
          </cell>
          <cell r="K843" t="str">
            <v>Eco-High</v>
          </cell>
          <cell r="L843" t="str">
            <v>West</v>
          </cell>
          <cell r="M843" t="str">
            <v>With LTS - 2024</v>
          </cell>
          <cell r="N843" t="str">
            <v>YES</v>
          </cell>
          <cell r="O843" t="str">
            <v>YES</v>
          </cell>
          <cell r="P843" t="str">
            <v>Unaffected lots</v>
          </cell>
          <cell r="Q843" t="str">
            <v>YES</v>
          </cell>
          <cell r="R843">
            <v>70</v>
          </cell>
          <cell r="S843" t="str">
            <v>PCS-04-276764</v>
          </cell>
          <cell r="T843" t="str">
            <v>TCT-060-2024018835</v>
          </cell>
          <cell r="U843" t="b">
            <v>1</v>
          </cell>
          <cell r="V843" t="str">
            <v>Done</v>
          </cell>
          <cell r="W843" t="str">
            <v>B1 2025</v>
          </cell>
          <cell r="X843" t="str">
            <v>2025 - Batch 2</v>
          </cell>
          <cell r="Y843">
            <v>46</v>
          </cell>
          <cell r="Z843">
            <v>3</v>
          </cell>
          <cell r="AA843" t="str">
            <v>H+L</v>
          </cell>
          <cell r="AB843">
            <v>70</v>
          </cell>
          <cell r="AC843">
            <v>50</v>
          </cell>
          <cell r="AD843" t="str">
            <v>Slant</v>
          </cell>
          <cell r="AE843" t="str">
            <v>Duplex</v>
          </cell>
          <cell r="AF843" t="str">
            <v>568 - Without Partition</v>
          </cell>
          <cell r="AG843" t="str">
            <v xml:space="preserve">Without Partition </v>
          </cell>
          <cell r="AH843" t="str">
            <v xml:space="preserve">Without Partition </v>
          </cell>
          <cell r="AI843" t="str">
            <v>YELLOW</v>
          </cell>
          <cell r="AJ843" t="str">
            <v>Slant / YELLOW</v>
          </cell>
          <cell r="AK843">
            <v>1050000</v>
          </cell>
          <cell r="AL843">
            <v>15000</v>
          </cell>
          <cell r="AM843">
            <v>1650000</v>
          </cell>
          <cell r="AN843">
            <v>33000</v>
          </cell>
          <cell r="AO843">
            <v>150000</v>
          </cell>
          <cell r="AP843">
            <v>2850000</v>
          </cell>
          <cell r="AQ843"/>
          <cell r="AR843">
            <v>2850000</v>
          </cell>
          <cell r="AS843">
            <v>200000</v>
          </cell>
          <cell r="AT843">
            <v>2650000</v>
          </cell>
          <cell r="AU843">
            <v>100000</v>
          </cell>
          <cell r="AV843">
            <v>2550000</v>
          </cell>
          <cell r="AW843">
            <v>0</v>
          </cell>
          <cell r="AX843">
            <v>2550000</v>
          </cell>
        </row>
        <row r="844">
          <cell r="G844" t="str">
            <v>AGM-01-046-004</v>
          </cell>
          <cell r="H844" t="str">
            <v xml:space="preserve">Raemulan Lands, Inc. </v>
          </cell>
          <cell r="I844" t="str">
            <v>Agapeya</v>
          </cell>
          <cell r="J844" t="str">
            <v>AGM</v>
          </cell>
          <cell r="K844" t="str">
            <v>Eco-High</v>
          </cell>
          <cell r="L844" t="str">
            <v>West</v>
          </cell>
          <cell r="M844" t="str">
            <v>With LTS - 2024</v>
          </cell>
          <cell r="N844" t="str">
            <v>YES</v>
          </cell>
          <cell r="O844" t="str">
            <v>YES</v>
          </cell>
          <cell r="P844" t="str">
            <v>Unaffected lots</v>
          </cell>
          <cell r="Q844" t="str">
            <v>YES</v>
          </cell>
          <cell r="R844">
            <v>70</v>
          </cell>
          <cell r="S844" t="str">
            <v>PCS-04-276764</v>
          </cell>
          <cell r="T844" t="str">
            <v>TCT-060-2024018836</v>
          </cell>
          <cell r="U844" t="b">
            <v>1</v>
          </cell>
          <cell r="V844" t="str">
            <v>Done</v>
          </cell>
          <cell r="W844" t="str">
            <v>B1 2025</v>
          </cell>
          <cell r="X844" t="str">
            <v>2025 - Batch 2</v>
          </cell>
          <cell r="Y844">
            <v>46</v>
          </cell>
          <cell r="Z844">
            <v>4</v>
          </cell>
          <cell r="AA844" t="str">
            <v>H+L</v>
          </cell>
          <cell r="AB844">
            <v>70</v>
          </cell>
          <cell r="AC844">
            <v>50</v>
          </cell>
          <cell r="AD844" t="str">
            <v>Flat</v>
          </cell>
          <cell r="AE844" t="str">
            <v>Duplex</v>
          </cell>
          <cell r="AF844" t="str">
            <v>568 - Without Partition</v>
          </cell>
          <cell r="AG844" t="str">
            <v xml:space="preserve">Without Partition </v>
          </cell>
          <cell r="AH844" t="str">
            <v xml:space="preserve">Without Partition </v>
          </cell>
          <cell r="AI844" t="str">
            <v>YELLOW</v>
          </cell>
          <cell r="AJ844" t="str">
            <v>Flat / YELLOW</v>
          </cell>
          <cell r="AK844">
            <v>1050000</v>
          </cell>
          <cell r="AL844">
            <v>15000</v>
          </cell>
          <cell r="AM844">
            <v>1650000</v>
          </cell>
          <cell r="AN844">
            <v>33000</v>
          </cell>
          <cell r="AO844">
            <v>150000</v>
          </cell>
          <cell r="AP844">
            <v>2850000</v>
          </cell>
          <cell r="AQ844"/>
          <cell r="AR844">
            <v>2850000</v>
          </cell>
          <cell r="AS844">
            <v>200000</v>
          </cell>
          <cell r="AT844">
            <v>2650000</v>
          </cell>
          <cell r="AU844">
            <v>100000</v>
          </cell>
          <cell r="AV844">
            <v>2550000</v>
          </cell>
          <cell r="AW844">
            <v>0</v>
          </cell>
          <cell r="AX844">
            <v>2550000</v>
          </cell>
        </row>
        <row r="845">
          <cell r="G845" t="str">
            <v>AGM-01-046-005</v>
          </cell>
          <cell r="H845" t="str">
            <v xml:space="preserve">Raemulan Lands, Inc. </v>
          </cell>
          <cell r="I845" t="str">
            <v>Agapeya</v>
          </cell>
          <cell r="J845" t="str">
            <v>AGM</v>
          </cell>
          <cell r="K845" t="str">
            <v>Eco-High</v>
          </cell>
          <cell r="L845" t="str">
            <v>West</v>
          </cell>
          <cell r="M845" t="str">
            <v>With LTS - 2024</v>
          </cell>
          <cell r="N845" t="str">
            <v>YES</v>
          </cell>
          <cell r="O845" t="str">
            <v>YES</v>
          </cell>
          <cell r="P845" t="str">
            <v>Unaffected lots</v>
          </cell>
          <cell r="Q845" t="str">
            <v>YES</v>
          </cell>
          <cell r="R845">
            <v>70</v>
          </cell>
          <cell r="S845" t="str">
            <v>PCS-04-276764</v>
          </cell>
          <cell r="T845" t="str">
            <v>TCT-060-2024018837</v>
          </cell>
          <cell r="U845" t="b">
            <v>1</v>
          </cell>
          <cell r="V845" t="str">
            <v>Done</v>
          </cell>
          <cell r="W845" t="str">
            <v>B2 2025</v>
          </cell>
          <cell r="X845" t="str">
            <v>2025 - Batch 2</v>
          </cell>
          <cell r="Y845">
            <v>46</v>
          </cell>
          <cell r="Z845">
            <v>5</v>
          </cell>
          <cell r="AA845" t="str">
            <v>H+L</v>
          </cell>
          <cell r="AB845">
            <v>70</v>
          </cell>
          <cell r="AC845">
            <v>50</v>
          </cell>
          <cell r="AD845" t="str">
            <v>Slant</v>
          </cell>
          <cell r="AE845" t="str">
            <v>Duplex</v>
          </cell>
          <cell r="AF845" t="str">
            <v>568 - Without Partition</v>
          </cell>
          <cell r="AG845" t="str">
            <v xml:space="preserve">Without Partition </v>
          </cell>
          <cell r="AH845" t="str">
            <v xml:space="preserve">Without Partition </v>
          </cell>
          <cell r="AI845" t="str">
            <v>PURPLE</v>
          </cell>
          <cell r="AJ845" t="str">
            <v>Slant / PURPLE</v>
          </cell>
          <cell r="AK845">
            <v>1050000</v>
          </cell>
          <cell r="AL845">
            <v>15000</v>
          </cell>
          <cell r="AM845">
            <v>1650000</v>
          </cell>
          <cell r="AN845">
            <v>33000</v>
          </cell>
          <cell r="AO845">
            <v>150000</v>
          </cell>
          <cell r="AP845">
            <v>2850000</v>
          </cell>
          <cell r="AQ845"/>
          <cell r="AR845">
            <v>2850000</v>
          </cell>
          <cell r="AS845">
            <v>200000</v>
          </cell>
          <cell r="AT845">
            <v>2650000</v>
          </cell>
          <cell r="AU845">
            <v>100000</v>
          </cell>
          <cell r="AV845">
            <v>2550000</v>
          </cell>
          <cell r="AW845">
            <v>0</v>
          </cell>
          <cell r="AX845">
            <v>2550000</v>
          </cell>
        </row>
        <row r="846">
          <cell r="G846" t="str">
            <v>AGM-01-046-006</v>
          </cell>
          <cell r="H846" t="str">
            <v xml:space="preserve">Raemulan Lands, Inc. </v>
          </cell>
          <cell r="I846" t="str">
            <v>Agapeya</v>
          </cell>
          <cell r="J846" t="str">
            <v>AGM</v>
          </cell>
          <cell r="K846" t="str">
            <v>Eco-High</v>
          </cell>
          <cell r="L846" t="str">
            <v>West</v>
          </cell>
          <cell r="M846" t="str">
            <v>With LTS - 2024</v>
          </cell>
          <cell r="N846" t="str">
            <v>YES</v>
          </cell>
          <cell r="O846" t="str">
            <v>YES</v>
          </cell>
          <cell r="P846" t="str">
            <v>Unaffected lots</v>
          </cell>
          <cell r="Q846" t="str">
            <v>YES</v>
          </cell>
          <cell r="R846">
            <v>70</v>
          </cell>
          <cell r="S846" t="str">
            <v>PCS-04-276764</v>
          </cell>
          <cell r="T846" t="str">
            <v>TCT-060-2024018838</v>
          </cell>
          <cell r="U846" t="b">
            <v>1</v>
          </cell>
          <cell r="V846" t="str">
            <v>Done</v>
          </cell>
          <cell r="W846" t="str">
            <v>B2 2025</v>
          </cell>
          <cell r="X846" t="str">
            <v>2025 - Batch 2</v>
          </cell>
          <cell r="Y846">
            <v>46</v>
          </cell>
          <cell r="Z846">
            <v>6</v>
          </cell>
          <cell r="AA846" t="str">
            <v>H+L</v>
          </cell>
          <cell r="AB846">
            <v>70</v>
          </cell>
          <cell r="AC846">
            <v>50</v>
          </cell>
          <cell r="AD846" t="str">
            <v>Flat</v>
          </cell>
          <cell r="AE846" t="str">
            <v>Duplex</v>
          </cell>
          <cell r="AF846" t="str">
            <v>568 - Without Partition</v>
          </cell>
          <cell r="AG846" t="str">
            <v xml:space="preserve">Without Partition </v>
          </cell>
          <cell r="AH846" t="str">
            <v xml:space="preserve">Without Partition </v>
          </cell>
          <cell r="AI846" t="str">
            <v>PURPLE</v>
          </cell>
          <cell r="AJ846" t="str">
            <v>Flat / PURPLE</v>
          </cell>
          <cell r="AK846">
            <v>1050000</v>
          </cell>
          <cell r="AL846">
            <v>15000</v>
          </cell>
          <cell r="AM846">
            <v>1650000</v>
          </cell>
          <cell r="AN846">
            <v>33000</v>
          </cell>
          <cell r="AO846">
            <v>150000</v>
          </cell>
          <cell r="AP846">
            <v>2850000</v>
          </cell>
          <cell r="AQ846"/>
          <cell r="AR846">
            <v>2850000</v>
          </cell>
          <cell r="AS846">
            <v>200000</v>
          </cell>
          <cell r="AT846">
            <v>2650000</v>
          </cell>
          <cell r="AU846">
            <v>100000</v>
          </cell>
          <cell r="AV846">
            <v>2550000</v>
          </cell>
          <cell r="AW846">
            <v>0</v>
          </cell>
          <cell r="AX846">
            <v>2550000</v>
          </cell>
        </row>
        <row r="847">
          <cell r="G847" t="str">
            <v>AGM-01-046-007</v>
          </cell>
          <cell r="H847" t="str">
            <v xml:space="preserve">Raemulan Lands, Inc. </v>
          </cell>
          <cell r="I847" t="str">
            <v>Agapeya</v>
          </cell>
          <cell r="J847" t="str">
            <v>AGM</v>
          </cell>
          <cell r="K847" t="str">
            <v>Eco-High</v>
          </cell>
          <cell r="L847" t="str">
            <v>West</v>
          </cell>
          <cell r="M847" t="str">
            <v>With LTS - 2024</v>
          </cell>
          <cell r="N847" t="str">
            <v>YES</v>
          </cell>
          <cell r="O847" t="str">
            <v>YES</v>
          </cell>
          <cell r="P847" t="str">
            <v>Unaffected lots</v>
          </cell>
          <cell r="Q847" t="str">
            <v>YES</v>
          </cell>
          <cell r="R847">
            <v>70</v>
          </cell>
          <cell r="S847" t="str">
            <v>PCS-04-276764</v>
          </cell>
          <cell r="T847" t="str">
            <v>TCT-060-2024018839</v>
          </cell>
          <cell r="U847" t="b">
            <v>1</v>
          </cell>
          <cell r="V847" t="str">
            <v>Done</v>
          </cell>
          <cell r="W847" t="str">
            <v>B2 2025</v>
          </cell>
          <cell r="X847" t="str">
            <v>2025 - Batch 2</v>
          </cell>
          <cell r="Y847">
            <v>46</v>
          </cell>
          <cell r="Z847">
            <v>7</v>
          </cell>
          <cell r="AA847" t="str">
            <v>H+L</v>
          </cell>
          <cell r="AB847">
            <v>70</v>
          </cell>
          <cell r="AC847">
            <v>50</v>
          </cell>
          <cell r="AD847" t="str">
            <v>Flat</v>
          </cell>
          <cell r="AE847" t="str">
            <v>Duplex</v>
          </cell>
          <cell r="AF847" t="str">
            <v>568 - Without Partition</v>
          </cell>
          <cell r="AG847" t="str">
            <v xml:space="preserve">Without Partition </v>
          </cell>
          <cell r="AH847" t="str">
            <v xml:space="preserve">Without Partition </v>
          </cell>
          <cell r="AI847" t="str">
            <v>PURPLE</v>
          </cell>
          <cell r="AJ847" t="str">
            <v>Flat / PURPLE</v>
          </cell>
          <cell r="AK847">
            <v>1050000</v>
          </cell>
          <cell r="AL847">
            <v>15000</v>
          </cell>
          <cell r="AM847">
            <v>1650000</v>
          </cell>
          <cell r="AN847">
            <v>33000</v>
          </cell>
          <cell r="AO847">
            <v>150000</v>
          </cell>
          <cell r="AP847">
            <v>2850000</v>
          </cell>
          <cell r="AQ847"/>
          <cell r="AR847">
            <v>2850000</v>
          </cell>
          <cell r="AS847">
            <v>200000</v>
          </cell>
          <cell r="AT847">
            <v>2650000</v>
          </cell>
          <cell r="AU847">
            <v>100000</v>
          </cell>
          <cell r="AV847">
            <v>2550000</v>
          </cell>
          <cell r="AW847">
            <v>0</v>
          </cell>
          <cell r="AX847">
            <v>2550000</v>
          </cell>
        </row>
        <row r="848">
          <cell r="G848" t="str">
            <v>AGM-01-046-008</v>
          </cell>
          <cell r="H848" t="str">
            <v xml:space="preserve">Raemulan Lands, Inc. </v>
          </cell>
          <cell r="I848" t="str">
            <v>Agapeya</v>
          </cell>
          <cell r="J848" t="str">
            <v>AGM</v>
          </cell>
          <cell r="K848" t="str">
            <v>Eco-High</v>
          </cell>
          <cell r="L848" t="str">
            <v>West</v>
          </cell>
          <cell r="M848" t="str">
            <v>With LTS - 2024</v>
          </cell>
          <cell r="N848" t="str">
            <v>YES</v>
          </cell>
          <cell r="O848" t="str">
            <v>YES</v>
          </cell>
          <cell r="P848" t="str">
            <v>Unaffected lots</v>
          </cell>
          <cell r="Q848" t="str">
            <v>YES</v>
          </cell>
          <cell r="R848">
            <v>70</v>
          </cell>
          <cell r="S848" t="str">
            <v>PCS-04-276764</v>
          </cell>
          <cell r="T848" t="str">
            <v>TCT-060-2024018840</v>
          </cell>
          <cell r="U848" t="b">
            <v>1</v>
          </cell>
          <cell r="V848" t="str">
            <v>Done</v>
          </cell>
          <cell r="W848" t="str">
            <v>B2 2025</v>
          </cell>
          <cell r="X848" t="str">
            <v>2025 - Batch 2</v>
          </cell>
          <cell r="Y848">
            <v>46</v>
          </cell>
          <cell r="Z848">
            <v>8</v>
          </cell>
          <cell r="AA848" t="str">
            <v>H+L</v>
          </cell>
          <cell r="AB848">
            <v>70</v>
          </cell>
          <cell r="AC848">
            <v>50</v>
          </cell>
          <cell r="AD848" t="str">
            <v>Slant</v>
          </cell>
          <cell r="AE848" t="str">
            <v>Duplex</v>
          </cell>
          <cell r="AF848" t="str">
            <v>568 - Without Partition</v>
          </cell>
          <cell r="AG848" t="str">
            <v xml:space="preserve">Without Partition </v>
          </cell>
          <cell r="AH848" t="str">
            <v xml:space="preserve">Without Partition </v>
          </cell>
          <cell r="AI848" t="str">
            <v>PURPLE</v>
          </cell>
          <cell r="AJ848" t="str">
            <v>Slant / PURPLE</v>
          </cell>
          <cell r="AK848">
            <v>1050000</v>
          </cell>
          <cell r="AL848">
            <v>15000</v>
          </cell>
          <cell r="AM848">
            <v>1650000</v>
          </cell>
          <cell r="AN848">
            <v>33000</v>
          </cell>
          <cell r="AO848">
            <v>150000</v>
          </cell>
          <cell r="AP848">
            <v>2850000</v>
          </cell>
          <cell r="AQ848"/>
          <cell r="AR848">
            <v>2850000</v>
          </cell>
          <cell r="AS848">
            <v>200000</v>
          </cell>
          <cell r="AT848">
            <v>2650000</v>
          </cell>
          <cell r="AU848">
            <v>100000</v>
          </cell>
          <cell r="AV848">
            <v>2550000</v>
          </cell>
          <cell r="AW848">
            <v>0</v>
          </cell>
          <cell r="AX848">
            <v>2550000</v>
          </cell>
        </row>
        <row r="849">
          <cell r="G849" t="str">
            <v>AGM-01-046-009</v>
          </cell>
          <cell r="H849" t="str">
            <v xml:space="preserve">Raemulan Lands, Inc. </v>
          </cell>
          <cell r="I849" t="str">
            <v>Agapeya</v>
          </cell>
          <cell r="J849" t="str">
            <v>AGM</v>
          </cell>
          <cell r="K849" t="str">
            <v>Eco-High</v>
          </cell>
          <cell r="L849" t="str">
            <v>West</v>
          </cell>
          <cell r="M849" t="str">
            <v>With LTS - 2024</v>
          </cell>
          <cell r="N849" t="str">
            <v>YES</v>
          </cell>
          <cell r="O849" t="str">
            <v>YES</v>
          </cell>
          <cell r="P849" t="str">
            <v>Unaffected lots</v>
          </cell>
          <cell r="Q849" t="str">
            <v>YES</v>
          </cell>
          <cell r="R849">
            <v>70</v>
          </cell>
          <cell r="S849" t="str">
            <v>PCS-04-276764</v>
          </cell>
          <cell r="T849" t="str">
            <v>TCT-060-2024018841</v>
          </cell>
          <cell r="U849" t="b">
            <v>1</v>
          </cell>
          <cell r="V849" t="str">
            <v>Done</v>
          </cell>
          <cell r="W849" t="str">
            <v>B2 2025</v>
          </cell>
          <cell r="X849" t="str">
            <v>2025 - Batch 2</v>
          </cell>
          <cell r="Y849">
            <v>46</v>
          </cell>
          <cell r="Z849">
            <v>9</v>
          </cell>
          <cell r="AA849" t="str">
            <v>H+L</v>
          </cell>
          <cell r="AB849">
            <v>70</v>
          </cell>
          <cell r="AC849">
            <v>50</v>
          </cell>
          <cell r="AD849" t="str">
            <v>Slant</v>
          </cell>
          <cell r="AE849" t="str">
            <v>Duplex</v>
          </cell>
          <cell r="AF849" t="str">
            <v>568 - Without Partition</v>
          </cell>
          <cell r="AG849" t="str">
            <v xml:space="preserve">Without Partition </v>
          </cell>
          <cell r="AH849" t="str">
            <v xml:space="preserve">Without Partition </v>
          </cell>
          <cell r="AI849" t="str">
            <v>PINK</v>
          </cell>
          <cell r="AJ849" t="str">
            <v>Slant / PINK</v>
          </cell>
          <cell r="AK849">
            <v>1050000</v>
          </cell>
          <cell r="AL849">
            <v>15000</v>
          </cell>
          <cell r="AM849">
            <v>1650000</v>
          </cell>
          <cell r="AN849">
            <v>33000</v>
          </cell>
          <cell r="AO849">
            <v>150000</v>
          </cell>
          <cell r="AP849">
            <v>2850000</v>
          </cell>
          <cell r="AQ849"/>
          <cell r="AR849">
            <v>2850000</v>
          </cell>
          <cell r="AS849">
            <v>200000</v>
          </cell>
          <cell r="AT849">
            <v>2650000</v>
          </cell>
          <cell r="AU849">
            <v>100000</v>
          </cell>
          <cell r="AV849">
            <v>2550000</v>
          </cell>
          <cell r="AW849">
            <v>0</v>
          </cell>
          <cell r="AX849">
            <v>2550000</v>
          </cell>
        </row>
        <row r="850">
          <cell r="G850" t="str">
            <v>AGM-01-046-010</v>
          </cell>
          <cell r="H850" t="str">
            <v xml:space="preserve">Raemulan Lands, Inc. </v>
          </cell>
          <cell r="I850" t="str">
            <v>Agapeya</v>
          </cell>
          <cell r="J850" t="str">
            <v>AGM</v>
          </cell>
          <cell r="K850" t="str">
            <v>Eco-High</v>
          </cell>
          <cell r="L850" t="str">
            <v>West</v>
          </cell>
          <cell r="M850" t="str">
            <v>With LTS - 2024</v>
          </cell>
          <cell r="N850" t="str">
            <v>YES</v>
          </cell>
          <cell r="O850" t="str">
            <v>YES</v>
          </cell>
          <cell r="P850" t="str">
            <v>Unaffected lots</v>
          </cell>
          <cell r="Q850" t="str">
            <v>YES</v>
          </cell>
          <cell r="R850">
            <v>70</v>
          </cell>
          <cell r="S850" t="str">
            <v>PCS-04-276764</v>
          </cell>
          <cell r="T850" t="str">
            <v>TCT-060-2024018842</v>
          </cell>
          <cell r="U850" t="b">
            <v>1</v>
          </cell>
          <cell r="V850" t="str">
            <v>Done</v>
          </cell>
          <cell r="W850" t="str">
            <v>B2 2025</v>
          </cell>
          <cell r="X850" t="str">
            <v>2025 - Batch 2</v>
          </cell>
          <cell r="Y850">
            <v>46</v>
          </cell>
          <cell r="Z850">
            <v>10</v>
          </cell>
          <cell r="AA850" t="str">
            <v>H+L</v>
          </cell>
          <cell r="AB850">
            <v>70</v>
          </cell>
          <cell r="AC850">
            <v>50</v>
          </cell>
          <cell r="AD850" t="str">
            <v>Flat</v>
          </cell>
          <cell r="AE850" t="str">
            <v>Duplex</v>
          </cell>
          <cell r="AF850" t="str">
            <v>568 - Without Partition</v>
          </cell>
          <cell r="AG850" t="str">
            <v xml:space="preserve">Without Partition </v>
          </cell>
          <cell r="AH850" t="str">
            <v xml:space="preserve">Without Partition </v>
          </cell>
          <cell r="AI850" t="str">
            <v>PINK</v>
          </cell>
          <cell r="AJ850" t="str">
            <v>Flat / PINK</v>
          </cell>
          <cell r="AK850">
            <v>1050000</v>
          </cell>
          <cell r="AL850">
            <v>15000</v>
          </cell>
          <cell r="AM850">
            <v>1650000</v>
          </cell>
          <cell r="AN850">
            <v>33000</v>
          </cell>
          <cell r="AO850">
            <v>150000</v>
          </cell>
          <cell r="AP850">
            <v>2850000</v>
          </cell>
          <cell r="AQ850"/>
          <cell r="AR850">
            <v>2850000</v>
          </cell>
          <cell r="AS850">
            <v>200000</v>
          </cell>
          <cell r="AT850">
            <v>2650000</v>
          </cell>
          <cell r="AU850">
            <v>100000</v>
          </cell>
          <cell r="AV850">
            <v>2550000</v>
          </cell>
          <cell r="AW850">
            <v>0</v>
          </cell>
          <cell r="AX850">
            <v>2550000</v>
          </cell>
        </row>
        <row r="851">
          <cell r="G851" t="str">
            <v>AGM-01-047-001</v>
          </cell>
          <cell r="H851" t="str">
            <v xml:space="preserve">Raemulan Lands, Inc. </v>
          </cell>
          <cell r="I851" t="str">
            <v>Agapeya</v>
          </cell>
          <cell r="J851" t="str">
            <v>AGM</v>
          </cell>
          <cell r="K851" t="str">
            <v>Eco-High</v>
          </cell>
          <cell r="L851" t="str">
            <v>West</v>
          </cell>
          <cell r="M851" t="str">
            <v>With LTS - 2024</v>
          </cell>
          <cell r="N851" t="str">
            <v>YES</v>
          </cell>
          <cell r="O851" t="str">
            <v>YES</v>
          </cell>
          <cell r="P851" t="str">
            <v>Unaffected lots</v>
          </cell>
          <cell r="Q851" t="str">
            <v>YES</v>
          </cell>
          <cell r="R851">
            <v>70</v>
          </cell>
          <cell r="S851" t="str">
            <v>PCS-04-034298</v>
          </cell>
          <cell r="T851" t="str">
            <v>TCT-060-2024021908</v>
          </cell>
          <cell r="U851" t="b">
            <v>1</v>
          </cell>
          <cell r="V851" t="str">
            <v>Done</v>
          </cell>
          <cell r="W851" t="str">
            <v>B2 2025</v>
          </cell>
          <cell r="X851" t="str">
            <v>2025 - Batch 1</v>
          </cell>
          <cell r="Y851">
            <v>47</v>
          </cell>
          <cell r="Z851">
            <v>1</v>
          </cell>
          <cell r="AA851" t="str">
            <v>H+L</v>
          </cell>
          <cell r="AB851">
            <v>70</v>
          </cell>
          <cell r="AC851">
            <v>50</v>
          </cell>
          <cell r="AD851" t="str">
            <v>Slant</v>
          </cell>
          <cell r="AE851" t="str">
            <v>Duplex</v>
          </cell>
          <cell r="AF851" t="str">
            <v>568 - Without Partition</v>
          </cell>
          <cell r="AG851" t="str">
            <v xml:space="preserve">Without Partition </v>
          </cell>
          <cell r="AH851" t="str">
            <v xml:space="preserve">Without Partition </v>
          </cell>
          <cell r="AI851" t="str">
            <v>PINK</v>
          </cell>
          <cell r="AJ851" t="str">
            <v>Slant / PINK</v>
          </cell>
          <cell r="AK851">
            <v>1050000</v>
          </cell>
          <cell r="AL851">
            <v>15000</v>
          </cell>
          <cell r="AM851">
            <v>1650000</v>
          </cell>
          <cell r="AN851">
            <v>33000</v>
          </cell>
          <cell r="AO851">
            <v>150000</v>
          </cell>
          <cell r="AP851">
            <v>2850000</v>
          </cell>
          <cell r="AQ851"/>
          <cell r="AR851">
            <v>2850000</v>
          </cell>
          <cell r="AS851">
            <v>200000</v>
          </cell>
          <cell r="AT851">
            <v>2650000</v>
          </cell>
          <cell r="AU851">
            <v>100000</v>
          </cell>
          <cell r="AV851">
            <v>2550000</v>
          </cell>
          <cell r="AW851">
            <v>0</v>
          </cell>
          <cell r="AX851">
            <v>2550000</v>
          </cell>
        </row>
        <row r="852">
          <cell r="G852" t="str">
            <v>AGM-01-047-002</v>
          </cell>
          <cell r="H852" t="str">
            <v xml:space="preserve">Raemulan Lands, Inc. </v>
          </cell>
          <cell r="I852" t="str">
            <v>Agapeya</v>
          </cell>
          <cell r="J852" t="str">
            <v>AGM</v>
          </cell>
          <cell r="K852" t="str">
            <v>Eco-High</v>
          </cell>
          <cell r="L852" t="str">
            <v>West</v>
          </cell>
          <cell r="M852" t="str">
            <v>With LTS - 2024</v>
          </cell>
          <cell r="N852" t="str">
            <v>YES</v>
          </cell>
          <cell r="O852" t="str">
            <v>YES</v>
          </cell>
          <cell r="P852" t="str">
            <v>Unaffected lots</v>
          </cell>
          <cell r="Q852" t="str">
            <v>YES</v>
          </cell>
          <cell r="R852">
            <v>70</v>
          </cell>
          <cell r="S852" t="str">
            <v>PCS-04-034298</v>
          </cell>
          <cell r="T852" t="str">
            <v>TCT-060-2024021909</v>
          </cell>
          <cell r="U852" t="b">
            <v>1</v>
          </cell>
          <cell r="V852" t="str">
            <v>Done</v>
          </cell>
          <cell r="W852" t="str">
            <v>B2 2025</v>
          </cell>
          <cell r="X852" t="str">
            <v>2025 - Batch 1</v>
          </cell>
          <cell r="Y852">
            <v>47</v>
          </cell>
          <cell r="Z852">
            <v>2</v>
          </cell>
          <cell r="AA852" t="str">
            <v>H+L</v>
          </cell>
          <cell r="AB852">
            <v>70</v>
          </cell>
          <cell r="AC852">
            <v>50</v>
          </cell>
          <cell r="AD852" t="str">
            <v>Flat</v>
          </cell>
          <cell r="AE852" t="str">
            <v>Duplex</v>
          </cell>
          <cell r="AF852" t="str">
            <v>568 - Without Partition</v>
          </cell>
          <cell r="AG852" t="str">
            <v xml:space="preserve">Without Partition </v>
          </cell>
          <cell r="AH852" t="str">
            <v xml:space="preserve">Without Partition </v>
          </cell>
          <cell r="AI852" t="str">
            <v>PINK</v>
          </cell>
          <cell r="AJ852" t="str">
            <v>Flat / PINK</v>
          </cell>
          <cell r="AK852">
            <v>1050000</v>
          </cell>
          <cell r="AL852">
            <v>15000</v>
          </cell>
          <cell r="AM852">
            <v>1650000</v>
          </cell>
          <cell r="AN852">
            <v>33000</v>
          </cell>
          <cell r="AO852">
            <v>150000</v>
          </cell>
          <cell r="AP852">
            <v>2850000</v>
          </cell>
          <cell r="AQ852"/>
          <cell r="AR852">
            <v>2850000</v>
          </cell>
          <cell r="AS852">
            <v>200000</v>
          </cell>
          <cell r="AT852">
            <v>2650000</v>
          </cell>
          <cell r="AU852">
            <v>100000</v>
          </cell>
          <cell r="AV852">
            <v>2550000</v>
          </cell>
          <cell r="AW852">
            <v>0</v>
          </cell>
          <cell r="AX852">
            <v>2550000</v>
          </cell>
        </row>
        <row r="853">
          <cell r="G853" t="str">
            <v>AGM-01-047-003</v>
          </cell>
          <cell r="H853" t="str">
            <v xml:space="preserve">Raemulan Lands, Inc. </v>
          </cell>
          <cell r="I853" t="str">
            <v>Agapeya</v>
          </cell>
          <cell r="J853" t="str">
            <v>AGM</v>
          </cell>
          <cell r="K853" t="str">
            <v>Eco-High</v>
          </cell>
          <cell r="L853" t="str">
            <v>West</v>
          </cell>
          <cell r="M853" t="str">
            <v>With LTS - 2024</v>
          </cell>
          <cell r="N853" t="str">
            <v>YES</v>
          </cell>
          <cell r="O853" t="str">
            <v>YES</v>
          </cell>
          <cell r="P853" t="str">
            <v>Unaffected lots</v>
          </cell>
          <cell r="Q853" t="str">
            <v>YES</v>
          </cell>
          <cell r="R853">
            <v>70</v>
          </cell>
          <cell r="S853" t="str">
            <v>PCS-04-034298</v>
          </cell>
          <cell r="T853" t="str">
            <v>TCT-060-2024021910</v>
          </cell>
          <cell r="U853" t="b">
            <v>1</v>
          </cell>
          <cell r="V853" t="str">
            <v>Done</v>
          </cell>
          <cell r="W853" t="str">
            <v>B2 2025</v>
          </cell>
          <cell r="X853" t="str">
            <v>2025 - Batch 1</v>
          </cell>
          <cell r="Y853">
            <v>47</v>
          </cell>
          <cell r="Z853">
            <v>3</v>
          </cell>
          <cell r="AA853" t="str">
            <v>H+L</v>
          </cell>
          <cell r="AB853">
            <v>70</v>
          </cell>
          <cell r="AC853">
            <v>50</v>
          </cell>
          <cell r="AD853" t="str">
            <v>Flat</v>
          </cell>
          <cell r="AE853" t="str">
            <v>Duplex</v>
          </cell>
          <cell r="AF853" t="str">
            <v>568 - Without Partition</v>
          </cell>
          <cell r="AG853" t="str">
            <v xml:space="preserve">Without Partition </v>
          </cell>
          <cell r="AH853" t="str">
            <v xml:space="preserve">Without Partition </v>
          </cell>
          <cell r="AI853" t="str">
            <v>PURPLE</v>
          </cell>
          <cell r="AJ853" t="str">
            <v>Flat / PURPLE</v>
          </cell>
          <cell r="AK853">
            <v>1050000</v>
          </cell>
          <cell r="AL853">
            <v>15000</v>
          </cell>
          <cell r="AM853">
            <v>1650000</v>
          </cell>
          <cell r="AN853">
            <v>33000</v>
          </cell>
          <cell r="AO853">
            <v>150000</v>
          </cell>
          <cell r="AP853">
            <v>2850000</v>
          </cell>
          <cell r="AQ853"/>
          <cell r="AR853">
            <v>2850000</v>
          </cell>
          <cell r="AS853">
            <v>200000</v>
          </cell>
          <cell r="AT853">
            <v>2650000</v>
          </cell>
          <cell r="AU853">
            <v>100000</v>
          </cell>
          <cell r="AV853">
            <v>2550000</v>
          </cell>
          <cell r="AW853">
            <v>0</v>
          </cell>
          <cell r="AX853">
            <v>2550000</v>
          </cell>
        </row>
        <row r="854">
          <cell r="G854" t="str">
            <v>AGM-01-047-004</v>
          </cell>
          <cell r="H854" t="str">
            <v xml:space="preserve">Raemulan Lands, Inc. </v>
          </cell>
          <cell r="I854" t="str">
            <v>Agapeya</v>
          </cell>
          <cell r="J854" t="str">
            <v>AGM</v>
          </cell>
          <cell r="K854" t="str">
            <v>Eco-High</v>
          </cell>
          <cell r="L854" t="str">
            <v>West</v>
          </cell>
          <cell r="M854" t="str">
            <v>With LTS - 2024</v>
          </cell>
          <cell r="N854" t="str">
            <v>YES</v>
          </cell>
          <cell r="O854" t="str">
            <v>YES</v>
          </cell>
          <cell r="P854" t="str">
            <v>Unaffected lots</v>
          </cell>
          <cell r="Q854" t="str">
            <v>YES</v>
          </cell>
          <cell r="R854">
            <v>70</v>
          </cell>
          <cell r="S854" t="str">
            <v>PCS-04-034298</v>
          </cell>
          <cell r="T854" t="str">
            <v>TCT-060-2024021911</v>
          </cell>
          <cell r="U854" t="b">
            <v>1</v>
          </cell>
          <cell r="V854" t="str">
            <v>Done</v>
          </cell>
          <cell r="W854" t="str">
            <v>B2 2025</v>
          </cell>
          <cell r="X854" t="str">
            <v>2025 - Batch 1</v>
          </cell>
          <cell r="Y854">
            <v>47</v>
          </cell>
          <cell r="Z854">
            <v>4</v>
          </cell>
          <cell r="AA854" t="str">
            <v>H+L</v>
          </cell>
          <cell r="AB854">
            <v>70</v>
          </cell>
          <cell r="AC854">
            <v>50</v>
          </cell>
          <cell r="AD854" t="str">
            <v>Slant</v>
          </cell>
          <cell r="AE854" t="str">
            <v>Duplex</v>
          </cell>
          <cell r="AF854" t="str">
            <v>568 - Without Partition</v>
          </cell>
          <cell r="AG854" t="str">
            <v xml:space="preserve">Without Partition </v>
          </cell>
          <cell r="AH854" t="str">
            <v xml:space="preserve">Without Partition </v>
          </cell>
          <cell r="AI854" t="str">
            <v>PURPLE</v>
          </cell>
          <cell r="AJ854" t="str">
            <v>Slant / PURPLE</v>
          </cell>
          <cell r="AK854">
            <v>1050000</v>
          </cell>
          <cell r="AL854">
            <v>15000</v>
          </cell>
          <cell r="AM854">
            <v>1650000</v>
          </cell>
          <cell r="AN854">
            <v>33000</v>
          </cell>
          <cell r="AO854">
            <v>150000</v>
          </cell>
          <cell r="AP854">
            <v>2850000</v>
          </cell>
          <cell r="AQ854"/>
          <cell r="AR854">
            <v>2850000</v>
          </cell>
          <cell r="AS854">
            <v>200000</v>
          </cell>
          <cell r="AT854">
            <v>2650000</v>
          </cell>
          <cell r="AU854">
            <v>100000</v>
          </cell>
          <cell r="AV854">
            <v>2550000</v>
          </cell>
          <cell r="AW854">
            <v>0</v>
          </cell>
          <cell r="AX854">
            <v>2550000</v>
          </cell>
        </row>
        <row r="855">
          <cell r="G855" t="str">
            <v>AGM-01-047-005</v>
          </cell>
          <cell r="H855" t="str">
            <v xml:space="preserve">Raemulan Lands, Inc. </v>
          </cell>
          <cell r="I855" t="str">
            <v>Agapeya</v>
          </cell>
          <cell r="J855" t="str">
            <v>AGM</v>
          </cell>
          <cell r="K855" t="str">
            <v>Eco-High</v>
          </cell>
          <cell r="L855" t="str">
            <v>West</v>
          </cell>
          <cell r="M855" t="str">
            <v>With LTS - 2024</v>
          </cell>
          <cell r="N855" t="str">
            <v>YES</v>
          </cell>
          <cell r="O855" t="str">
            <v>YES</v>
          </cell>
          <cell r="P855" t="str">
            <v>Unaffected lots</v>
          </cell>
          <cell r="Q855" t="str">
            <v>YES</v>
          </cell>
          <cell r="R855">
            <v>70</v>
          </cell>
          <cell r="S855" t="str">
            <v>PCS-04-034298</v>
          </cell>
          <cell r="T855" t="str">
            <v>TCT-060-2024021912</v>
          </cell>
          <cell r="U855" t="b">
            <v>1</v>
          </cell>
          <cell r="V855" t="str">
            <v>Done</v>
          </cell>
          <cell r="W855" t="str">
            <v>B2 2025</v>
          </cell>
          <cell r="X855" t="str">
            <v>2025 - Batch 1</v>
          </cell>
          <cell r="Y855">
            <v>47</v>
          </cell>
          <cell r="Z855">
            <v>5</v>
          </cell>
          <cell r="AA855" t="str">
            <v>H+L</v>
          </cell>
          <cell r="AB855">
            <v>70</v>
          </cell>
          <cell r="AC855">
            <v>50</v>
          </cell>
          <cell r="AD855" t="str">
            <v>Slant</v>
          </cell>
          <cell r="AE855" t="str">
            <v>Duplex</v>
          </cell>
          <cell r="AF855" t="str">
            <v>568 - Without Partition</v>
          </cell>
          <cell r="AG855" t="str">
            <v xml:space="preserve">Without Partition </v>
          </cell>
          <cell r="AH855" t="str">
            <v xml:space="preserve">Without Partition </v>
          </cell>
          <cell r="AI855" t="str">
            <v>PURPLE</v>
          </cell>
          <cell r="AJ855" t="str">
            <v>Slant / PURPLE</v>
          </cell>
          <cell r="AK855">
            <v>1050000</v>
          </cell>
          <cell r="AL855">
            <v>15000</v>
          </cell>
          <cell r="AM855">
            <v>1650000</v>
          </cell>
          <cell r="AN855">
            <v>33000</v>
          </cell>
          <cell r="AO855">
            <v>150000</v>
          </cell>
          <cell r="AP855">
            <v>2850000</v>
          </cell>
          <cell r="AQ855"/>
          <cell r="AR855">
            <v>2850000</v>
          </cell>
          <cell r="AS855">
            <v>200000</v>
          </cell>
          <cell r="AT855">
            <v>2650000</v>
          </cell>
          <cell r="AU855">
            <v>100000</v>
          </cell>
          <cell r="AV855">
            <v>2550000</v>
          </cell>
          <cell r="AW855">
            <v>0</v>
          </cell>
          <cell r="AX855">
            <v>2550000</v>
          </cell>
        </row>
        <row r="856">
          <cell r="G856" t="str">
            <v>AGM-01-047-006</v>
          </cell>
          <cell r="H856" t="str">
            <v xml:space="preserve">Raemulan Lands, Inc. </v>
          </cell>
          <cell r="I856" t="str">
            <v>Agapeya</v>
          </cell>
          <cell r="J856" t="str">
            <v>AGM</v>
          </cell>
          <cell r="K856" t="str">
            <v>Eco-High</v>
          </cell>
          <cell r="L856" t="str">
            <v>West</v>
          </cell>
          <cell r="M856" t="str">
            <v>With LTS - 2024</v>
          </cell>
          <cell r="N856" t="str">
            <v>YES</v>
          </cell>
          <cell r="O856" t="str">
            <v>YES</v>
          </cell>
          <cell r="P856" t="str">
            <v>Unaffected lots</v>
          </cell>
          <cell r="Q856" t="str">
            <v>YES</v>
          </cell>
          <cell r="R856">
            <v>70</v>
          </cell>
          <cell r="S856" t="str">
            <v>PCS-04-034298</v>
          </cell>
          <cell r="T856" t="str">
            <v>TCT-060-2024021913</v>
          </cell>
          <cell r="U856" t="b">
            <v>1</v>
          </cell>
          <cell r="V856" t="str">
            <v>Done</v>
          </cell>
          <cell r="W856" t="str">
            <v>B2 2025</v>
          </cell>
          <cell r="X856" t="str">
            <v>2025 - Batch 1</v>
          </cell>
          <cell r="Y856">
            <v>47</v>
          </cell>
          <cell r="Z856">
            <v>6</v>
          </cell>
          <cell r="AA856" t="str">
            <v>H+L</v>
          </cell>
          <cell r="AB856">
            <v>70</v>
          </cell>
          <cell r="AC856">
            <v>50</v>
          </cell>
          <cell r="AD856" t="str">
            <v>Flat</v>
          </cell>
          <cell r="AE856" t="str">
            <v>Duplex</v>
          </cell>
          <cell r="AF856" t="str">
            <v>568 - Without Partition</v>
          </cell>
          <cell r="AG856" t="str">
            <v xml:space="preserve">Without Partition </v>
          </cell>
          <cell r="AH856" t="str">
            <v xml:space="preserve">Without Partition </v>
          </cell>
          <cell r="AI856" t="str">
            <v>PURPLE</v>
          </cell>
          <cell r="AJ856" t="str">
            <v>Flat / PURPLE</v>
          </cell>
          <cell r="AK856">
            <v>1050000</v>
          </cell>
          <cell r="AL856">
            <v>15000</v>
          </cell>
          <cell r="AM856">
            <v>1650000</v>
          </cell>
          <cell r="AN856">
            <v>33000</v>
          </cell>
          <cell r="AO856">
            <v>150000</v>
          </cell>
          <cell r="AP856">
            <v>2850000</v>
          </cell>
          <cell r="AQ856"/>
          <cell r="AR856">
            <v>2850000</v>
          </cell>
          <cell r="AS856">
            <v>200000</v>
          </cell>
          <cell r="AT856">
            <v>2650000</v>
          </cell>
          <cell r="AU856">
            <v>100000</v>
          </cell>
          <cell r="AV856">
            <v>2550000</v>
          </cell>
          <cell r="AW856">
            <v>0</v>
          </cell>
          <cell r="AX856">
            <v>2550000</v>
          </cell>
        </row>
        <row r="857">
          <cell r="G857" t="str">
            <v>AGM-01-047-007</v>
          </cell>
          <cell r="H857" t="str">
            <v xml:space="preserve">Raemulan Lands, Inc. </v>
          </cell>
          <cell r="I857" t="str">
            <v>Agapeya</v>
          </cell>
          <cell r="J857" t="str">
            <v>AGM</v>
          </cell>
          <cell r="K857" t="str">
            <v>Eco-High</v>
          </cell>
          <cell r="L857" t="str">
            <v>West</v>
          </cell>
          <cell r="M857" t="str">
            <v>With LTS - 2024</v>
          </cell>
          <cell r="N857" t="str">
            <v>YES</v>
          </cell>
          <cell r="O857" t="str">
            <v>YES</v>
          </cell>
          <cell r="P857" t="str">
            <v>Unaffected lots</v>
          </cell>
          <cell r="Q857" t="str">
            <v>YES</v>
          </cell>
          <cell r="R857">
            <v>70</v>
          </cell>
          <cell r="S857" t="str">
            <v>PCS-04-034298</v>
          </cell>
          <cell r="T857" t="str">
            <v>TCT-060-2024021914</v>
          </cell>
          <cell r="U857" t="b">
            <v>1</v>
          </cell>
          <cell r="V857" t="str">
            <v>Done</v>
          </cell>
          <cell r="W857" t="str">
            <v>B2 2025</v>
          </cell>
          <cell r="X857" t="str">
            <v>2025 - Batch 1</v>
          </cell>
          <cell r="Y857">
            <v>47</v>
          </cell>
          <cell r="Z857">
            <v>7</v>
          </cell>
          <cell r="AA857" t="str">
            <v>H+L</v>
          </cell>
          <cell r="AB857">
            <v>70</v>
          </cell>
          <cell r="AC857">
            <v>50</v>
          </cell>
          <cell r="AD857" t="str">
            <v>Flat</v>
          </cell>
          <cell r="AE857" t="str">
            <v>Duplex</v>
          </cell>
          <cell r="AF857" t="str">
            <v>568 - Without Partition</v>
          </cell>
          <cell r="AG857" t="str">
            <v xml:space="preserve">Without Partition </v>
          </cell>
          <cell r="AH857" t="str">
            <v xml:space="preserve">Without Partition </v>
          </cell>
          <cell r="AI857" t="str">
            <v>YELLOW</v>
          </cell>
          <cell r="AJ857" t="str">
            <v>Flat / YELLOW</v>
          </cell>
          <cell r="AK857">
            <v>1050000</v>
          </cell>
          <cell r="AL857">
            <v>15000</v>
          </cell>
          <cell r="AM857">
            <v>1650000</v>
          </cell>
          <cell r="AN857">
            <v>33000</v>
          </cell>
          <cell r="AO857">
            <v>150000</v>
          </cell>
          <cell r="AP857">
            <v>2850000</v>
          </cell>
          <cell r="AQ857"/>
          <cell r="AR857">
            <v>2850000</v>
          </cell>
          <cell r="AS857">
            <v>200000</v>
          </cell>
          <cell r="AT857">
            <v>2650000</v>
          </cell>
          <cell r="AU857">
            <v>100000</v>
          </cell>
          <cell r="AV857">
            <v>2550000</v>
          </cell>
          <cell r="AW857">
            <v>0</v>
          </cell>
          <cell r="AX857">
            <v>2550000</v>
          </cell>
        </row>
        <row r="858">
          <cell r="G858" t="str">
            <v>AGM-01-047-008</v>
          </cell>
          <cell r="H858" t="str">
            <v xml:space="preserve">Raemulan Lands, Inc. </v>
          </cell>
          <cell r="I858" t="str">
            <v>Agapeya</v>
          </cell>
          <cell r="J858" t="str">
            <v>AGM</v>
          </cell>
          <cell r="K858" t="str">
            <v>Eco-High</v>
          </cell>
          <cell r="L858" t="str">
            <v>West</v>
          </cell>
          <cell r="M858" t="str">
            <v>With LTS - 2024</v>
          </cell>
          <cell r="N858" t="str">
            <v>YES</v>
          </cell>
          <cell r="O858" t="str">
            <v>YES</v>
          </cell>
          <cell r="P858" t="str">
            <v>Unaffected lots</v>
          </cell>
          <cell r="Q858" t="str">
            <v>YES</v>
          </cell>
          <cell r="R858">
            <v>70</v>
          </cell>
          <cell r="S858" t="str">
            <v>PCS-04-034298</v>
          </cell>
          <cell r="T858" t="str">
            <v>TCT-060-2024021915</v>
          </cell>
          <cell r="U858" t="b">
            <v>1</v>
          </cell>
          <cell r="V858" t="str">
            <v>Done</v>
          </cell>
          <cell r="W858" t="str">
            <v>B2 2025</v>
          </cell>
          <cell r="X858" t="str">
            <v>2025 - Batch 1</v>
          </cell>
          <cell r="Y858">
            <v>47</v>
          </cell>
          <cell r="Z858">
            <v>8</v>
          </cell>
          <cell r="AA858" t="str">
            <v>H+L</v>
          </cell>
          <cell r="AB858">
            <v>70</v>
          </cell>
          <cell r="AC858">
            <v>50</v>
          </cell>
          <cell r="AD858" t="str">
            <v>Slant</v>
          </cell>
          <cell r="AE858" t="str">
            <v>Duplex</v>
          </cell>
          <cell r="AF858" t="str">
            <v>568 - Without Partition</v>
          </cell>
          <cell r="AG858" t="str">
            <v xml:space="preserve">Without Partition </v>
          </cell>
          <cell r="AH858" t="str">
            <v xml:space="preserve">Without Partition </v>
          </cell>
          <cell r="AI858" t="str">
            <v>YELLOW</v>
          </cell>
          <cell r="AJ858" t="str">
            <v>Slant / YELLOW</v>
          </cell>
          <cell r="AK858">
            <v>1050000</v>
          </cell>
          <cell r="AL858">
            <v>15000</v>
          </cell>
          <cell r="AM858">
            <v>1650000</v>
          </cell>
          <cell r="AN858">
            <v>33000</v>
          </cell>
          <cell r="AO858">
            <v>150000</v>
          </cell>
          <cell r="AP858">
            <v>2850000</v>
          </cell>
          <cell r="AQ858"/>
          <cell r="AR858">
            <v>2850000</v>
          </cell>
          <cell r="AS858">
            <v>200000</v>
          </cell>
          <cell r="AT858">
            <v>2650000</v>
          </cell>
          <cell r="AU858">
            <v>100000</v>
          </cell>
          <cell r="AV858">
            <v>2550000</v>
          </cell>
          <cell r="AW858">
            <v>0</v>
          </cell>
          <cell r="AX858">
            <v>2550000</v>
          </cell>
        </row>
        <row r="859">
          <cell r="G859" t="str">
            <v>AGM-01-047-009</v>
          </cell>
          <cell r="H859" t="str">
            <v xml:space="preserve">Raemulan Lands, Inc. </v>
          </cell>
          <cell r="I859" t="str">
            <v>Agapeya</v>
          </cell>
          <cell r="J859" t="str">
            <v>AGM</v>
          </cell>
          <cell r="K859" t="str">
            <v>Eco-High</v>
          </cell>
          <cell r="L859" t="str">
            <v>West</v>
          </cell>
          <cell r="M859" t="str">
            <v>With LTS - 2024</v>
          </cell>
          <cell r="N859" t="str">
            <v>YES</v>
          </cell>
          <cell r="O859" t="str">
            <v>YES</v>
          </cell>
          <cell r="P859" t="str">
            <v>Unaffected lots</v>
          </cell>
          <cell r="Q859" t="str">
            <v>YES</v>
          </cell>
          <cell r="R859">
            <v>70</v>
          </cell>
          <cell r="S859" t="str">
            <v>PCS-04-034298</v>
          </cell>
          <cell r="T859" t="str">
            <v>TCT-060-2024021916</v>
          </cell>
          <cell r="U859" t="b">
            <v>1</v>
          </cell>
          <cell r="V859" t="str">
            <v>Done</v>
          </cell>
          <cell r="W859" t="str">
            <v>2024 Batch</v>
          </cell>
          <cell r="X859" t="str">
            <v>2024 Batch</v>
          </cell>
          <cell r="Y859">
            <v>47</v>
          </cell>
          <cell r="Z859">
            <v>9</v>
          </cell>
          <cell r="AA859" t="str">
            <v>H+L</v>
          </cell>
          <cell r="AB859">
            <v>70</v>
          </cell>
          <cell r="AC859">
            <v>50</v>
          </cell>
          <cell r="AD859" t="str">
            <v>Slant</v>
          </cell>
          <cell r="AE859" t="str">
            <v>Duplex</v>
          </cell>
          <cell r="AF859" t="str">
            <v>326 - With Partition</v>
          </cell>
          <cell r="AG859" t="str">
            <v>With Partition</v>
          </cell>
          <cell r="AH859" t="str">
            <v>With Partition</v>
          </cell>
          <cell r="AI859" t="str">
            <v>YELLOW</v>
          </cell>
          <cell r="AJ859" t="str">
            <v>Slant / YELLOW</v>
          </cell>
          <cell r="AK859">
            <v>1050000</v>
          </cell>
          <cell r="AL859">
            <v>15000</v>
          </cell>
          <cell r="AM859">
            <v>1650000</v>
          </cell>
          <cell r="AN859">
            <v>33000</v>
          </cell>
          <cell r="AO859">
            <v>150000</v>
          </cell>
          <cell r="AP859">
            <v>2850000</v>
          </cell>
          <cell r="AQ859"/>
          <cell r="AR859">
            <v>2850000</v>
          </cell>
          <cell r="AS859">
            <v>0</v>
          </cell>
          <cell r="AT859">
            <v>2850000</v>
          </cell>
          <cell r="AU859">
            <v>100000</v>
          </cell>
          <cell r="AV859">
            <v>2750000</v>
          </cell>
          <cell r="AW859">
            <v>0</v>
          </cell>
          <cell r="AX859">
            <v>2750000</v>
          </cell>
        </row>
        <row r="860">
          <cell r="G860" t="str">
            <v>AGM-01-047-010</v>
          </cell>
          <cell r="H860" t="str">
            <v xml:space="preserve">Raemulan Lands, Inc. </v>
          </cell>
          <cell r="I860" t="str">
            <v>Agapeya</v>
          </cell>
          <cell r="J860" t="str">
            <v>AGM</v>
          </cell>
          <cell r="K860" t="str">
            <v>Eco-High</v>
          </cell>
          <cell r="L860" t="str">
            <v>West</v>
          </cell>
          <cell r="M860" t="str">
            <v>With LTS - 2024</v>
          </cell>
          <cell r="N860" t="str">
            <v>YES</v>
          </cell>
          <cell r="O860" t="str">
            <v>YES</v>
          </cell>
          <cell r="P860" t="str">
            <v>Unaffected lots</v>
          </cell>
          <cell r="Q860" t="str">
            <v>YES</v>
          </cell>
          <cell r="R860">
            <v>70</v>
          </cell>
          <cell r="S860" t="str">
            <v>PCS-04-034298</v>
          </cell>
          <cell r="T860" t="str">
            <v>TCT-060-2024021917</v>
          </cell>
          <cell r="U860" t="b">
            <v>1</v>
          </cell>
          <cell r="V860" t="str">
            <v>Done</v>
          </cell>
          <cell r="W860" t="str">
            <v>2024 Batch</v>
          </cell>
          <cell r="X860" t="str">
            <v>2024 Batch</v>
          </cell>
          <cell r="Y860">
            <v>47</v>
          </cell>
          <cell r="Z860">
            <v>10</v>
          </cell>
          <cell r="AA860" t="str">
            <v>H+L</v>
          </cell>
          <cell r="AB860">
            <v>70</v>
          </cell>
          <cell r="AC860">
            <v>50</v>
          </cell>
          <cell r="AD860" t="str">
            <v>Flat</v>
          </cell>
          <cell r="AE860" t="str">
            <v>Duplex</v>
          </cell>
          <cell r="AF860" t="str">
            <v>326 - With Partition</v>
          </cell>
          <cell r="AG860" t="str">
            <v xml:space="preserve">Without Partition </v>
          </cell>
          <cell r="AH860" t="str">
            <v xml:space="preserve">Without Partition </v>
          </cell>
          <cell r="AI860" t="str">
            <v>YELLOW</v>
          </cell>
          <cell r="AJ860" t="str">
            <v>Flat / YELLOW</v>
          </cell>
          <cell r="AK860">
            <v>1050000</v>
          </cell>
          <cell r="AL860">
            <v>15000</v>
          </cell>
          <cell r="AM860">
            <v>1650000</v>
          </cell>
          <cell r="AN860">
            <v>33000</v>
          </cell>
          <cell r="AO860">
            <v>150000</v>
          </cell>
          <cell r="AP860">
            <v>2850000</v>
          </cell>
          <cell r="AQ860"/>
          <cell r="AR860">
            <v>2850000</v>
          </cell>
          <cell r="AS860">
            <v>200000</v>
          </cell>
          <cell r="AT860">
            <v>2650000</v>
          </cell>
          <cell r="AU860">
            <v>100000</v>
          </cell>
          <cell r="AV860">
            <v>2550000</v>
          </cell>
          <cell r="AW860">
            <v>0</v>
          </cell>
          <cell r="AX860">
            <v>2550000</v>
          </cell>
        </row>
        <row r="861">
          <cell r="G861" t="str">
            <v>AGM-01-048-001</v>
          </cell>
          <cell r="H861" t="str">
            <v xml:space="preserve">Raemulan Lands, Inc. </v>
          </cell>
          <cell r="I861" t="str">
            <v>Agapeya</v>
          </cell>
          <cell r="J861" t="str">
            <v>AGM</v>
          </cell>
          <cell r="K861" t="str">
            <v>Eco-High</v>
          </cell>
          <cell r="L861" t="str">
            <v>West</v>
          </cell>
          <cell r="M861" t="str">
            <v>Without LTS</v>
          </cell>
          <cell r="N861"/>
          <cell r="O861"/>
          <cell r="P861" t="str">
            <v>Unaffected lots</v>
          </cell>
          <cell r="Q861" t="str">
            <v>NO</v>
          </cell>
          <cell r="R861">
            <v>100</v>
          </cell>
          <cell r="S861" t="str">
            <v>PSD-04-036366</v>
          </cell>
          <cell r="T861" t="str">
            <v>TCT-060-2026007169</v>
          </cell>
          <cell r="U861" t="b">
            <v>1</v>
          </cell>
          <cell r="V861" t="str">
            <v>Done</v>
          </cell>
          <cell r="W861" t="str">
            <v>2024 Batch</v>
          </cell>
          <cell r="X861" t="str">
            <v>2024 Batch</v>
          </cell>
          <cell r="Y861">
            <v>48</v>
          </cell>
          <cell r="Z861">
            <v>1</v>
          </cell>
          <cell r="AA861" t="str">
            <v>H+L</v>
          </cell>
          <cell r="AB861">
            <v>100</v>
          </cell>
          <cell r="AC861">
            <v>50</v>
          </cell>
          <cell r="AD861" t="str">
            <v>Slant</v>
          </cell>
          <cell r="AE861" t="str">
            <v>Duplex</v>
          </cell>
          <cell r="AF861" t="str">
            <v>326 - With Partition</v>
          </cell>
          <cell r="AG861" t="str">
            <v>With Partition</v>
          </cell>
          <cell r="AH861" t="str">
            <v>With Partition</v>
          </cell>
          <cell r="AI861" t="str">
            <v>YELLOW</v>
          </cell>
          <cell r="AJ861" t="str">
            <v>Slant / YELLOW</v>
          </cell>
          <cell r="AK861">
            <v>1500000</v>
          </cell>
          <cell r="AL861">
            <v>15000</v>
          </cell>
          <cell r="AM861">
            <v>1650000</v>
          </cell>
          <cell r="AN861">
            <v>33000</v>
          </cell>
          <cell r="AO861">
            <v>150000</v>
          </cell>
          <cell r="AP861">
            <v>3300000</v>
          </cell>
          <cell r="AQ861"/>
          <cell r="AR861">
            <v>3300000</v>
          </cell>
          <cell r="AS861">
            <v>0</v>
          </cell>
          <cell r="AT861">
            <v>3300000</v>
          </cell>
          <cell r="AU861">
            <v>100000</v>
          </cell>
          <cell r="AV861">
            <v>3200000</v>
          </cell>
          <cell r="AW861">
            <v>0</v>
          </cell>
          <cell r="AX861">
            <v>3200000</v>
          </cell>
        </row>
        <row r="862">
          <cell r="G862" t="str">
            <v>AGM-01-048-002</v>
          </cell>
          <cell r="H862" t="str">
            <v xml:space="preserve">Raemulan Lands, Inc. </v>
          </cell>
          <cell r="I862" t="str">
            <v>Agapeya</v>
          </cell>
          <cell r="J862" t="str">
            <v>AGM</v>
          </cell>
          <cell r="K862" t="str">
            <v>Eco-High</v>
          </cell>
          <cell r="L862" t="str">
            <v>West</v>
          </cell>
          <cell r="M862" t="str">
            <v>Without LTS</v>
          </cell>
          <cell r="N862"/>
          <cell r="O862"/>
          <cell r="P862" t="str">
            <v>Unaffected lots</v>
          </cell>
          <cell r="Q862" t="str">
            <v>NO</v>
          </cell>
          <cell r="R862">
            <v>70</v>
          </cell>
          <cell r="S862" t="str">
            <v>PSD-04-036366</v>
          </cell>
          <cell r="T862" t="str">
            <v>TCT-060-2026007170</v>
          </cell>
          <cell r="U862" t="b">
            <v>1</v>
          </cell>
          <cell r="V862" t="str">
            <v>Done</v>
          </cell>
          <cell r="W862" t="str">
            <v>2024 Batch</v>
          </cell>
          <cell r="X862" t="str">
            <v>2024 Batch</v>
          </cell>
          <cell r="Y862">
            <v>48</v>
          </cell>
          <cell r="Z862">
            <v>2</v>
          </cell>
          <cell r="AA862" t="str">
            <v>H+L</v>
          </cell>
          <cell r="AB862">
            <v>70</v>
          </cell>
          <cell r="AC862">
            <v>50</v>
          </cell>
          <cell r="AD862" t="str">
            <v>Flat</v>
          </cell>
          <cell r="AE862" t="str">
            <v>Duplex</v>
          </cell>
          <cell r="AF862" t="str">
            <v>326 - With Partition</v>
          </cell>
          <cell r="AG862" t="str">
            <v>With Partition</v>
          </cell>
          <cell r="AH862" t="str">
            <v>With Partition</v>
          </cell>
          <cell r="AI862" t="str">
            <v>YELLOW</v>
          </cell>
          <cell r="AJ862" t="str">
            <v>Flat / YELLOW</v>
          </cell>
          <cell r="AK862">
            <v>1050000</v>
          </cell>
          <cell r="AL862">
            <v>15000</v>
          </cell>
          <cell r="AM862">
            <v>1650000</v>
          </cell>
          <cell r="AN862">
            <v>33000</v>
          </cell>
          <cell r="AO862">
            <v>150000</v>
          </cell>
          <cell r="AP862">
            <v>2850000</v>
          </cell>
          <cell r="AQ862"/>
          <cell r="AR862">
            <v>2850000</v>
          </cell>
          <cell r="AS862">
            <v>0</v>
          </cell>
          <cell r="AT862">
            <v>2850000</v>
          </cell>
          <cell r="AU862">
            <v>100000</v>
          </cell>
          <cell r="AV862">
            <v>2750000</v>
          </cell>
          <cell r="AW862">
            <v>0</v>
          </cell>
          <cell r="AX862">
            <v>2750000</v>
          </cell>
        </row>
        <row r="863">
          <cell r="G863" t="str">
            <v>AGM-01-048-003</v>
          </cell>
          <cell r="H863" t="str">
            <v xml:space="preserve">Raemulan Lands, Inc. </v>
          </cell>
          <cell r="I863" t="str">
            <v>Agapeya</v>
          </cell>
          <cell r="J863" t="str">
            <v>AGM</v>
          </cell>
          <cell r="K863" t="str">
            <v>Eco-High</v>
          </cell>
          <cell r="L863" t="str">
            <v>West</v>
          </cell>
          <cell r="M863" t="str">
            <v>Without LTS</v>
          </cell>
          <cell r="N863"/>
          <cell r="O863"/>
          <cell r="P863" t="str">
            <v>Unaffected lots</v>
          </cell>
          <cell r="Q863" t="str">
            <v>NO</v>
          </cell>
          <cell r="R863">
            <v>70</v>
          </cell>
          <cell r="S863" t="str">
            <v>PSD-04-036366</v>
          </cell>
          <cell r="T863" t="str">
            <v>TCT-060-2026007171</v>
          </cell>
          <cell r="U863" t="b">
            <v>1</v>
          </cell>
          <cell r="V863" t="str">
            <v>Done</v>
          </cell>
          <cell r="W863" t="str">
            <v>B2 2025</v>
          </cell>
          <cell r="X863" t="str">
            <v>2025 - Batch 1</v>
          </cell>
          <cell r="Y863">
            <v>48</v>
          </cell>
          <cell r="Z863">
            <v>3</v>
          </cell>
          <cell r="AA863" t="str">
            <v>H+L</v>
          </cell>
          <cell r="AB863">
            <v>70</v>
          </cell>
          <cell r="AC863">
            <v>50</v>
          </cell>
          <cell r="AD863" t="str">
            <v>Flat</v>
          </cell>
          <cell r="AE863" t="str">
            <v>Duplex</v>
          </cell>
          <cell r="AF863" t="str">
            <v>568 - Without Partition</v>
          </cell>
          <cell r="AG863" t="str">
            <v xml:space="preserve">Without Partition </v>
          </cell>
          <cell r="AH863" t="str">
            <v xml:space="preserve">Without Partition </v>
          </cell>
          <cell r="AI863" t="str">
            <v>YELLOW</v>
          </cell>
          <cell r="AJ863" t="str">
            <v>Flat / YELLOW</v>
          </cell>
          <cell r="AK863">
            <v>1050000</v>
          </cell>
          <cell r="AL863">
            <v>15000</v>
          </cell>
          <cell r="AM863">
            <v>1650000</v>
          </cell>
          <cell r="AN863">
            <v>33000</v>
          </cell>
          <cell r="AO863">
            <v>150000</v>
          </cell>
          <cell r="AP863">
            <v>2850000</v>
          </cell>
          <cell r="AQ863"/>
          <cell r="AR863">
            <v>2850000</v>
          </cell>
          <cell r="AS863">
            <v>200000</v>
          </cell>
          <cell r="AT863">
            <v>2650000</v>
          </cell>
          <cell r="AU863">
            <v>100000</v>
          </cell>
          <cell r="AV863">
            <v>2550000</v>
          </cell>
          <cell r="AW863">
            <v>0</v>
          </cell>
          <cell r="AX863">
            <v>2550000</v>
          </cell>
        </row>
        <row r="864">
          <cell r="G864" t="str">
            <v>AGM-01-048-004</v>
          </cell>
          <cell r="H864" t="str">
            <v xml:space="preserve">Raemulan Lands, Inc. </v>
          </cell>
          <cell r="I864" t="str">
            <v>Agapeya</v>
          </cell>
          <cell r="J864" t="str">
            <v>AGM</v>
          </cell>
          <cell r="K864" t="str">
            <v>Eco-High</v>
          </cell>
          <cell r="L864" t="str">
            <v>West</v>
          </cell>
          <cell r="M864" t="str">
            <v>Without LTS</v>
          </cell>
          <cell r="N864"/>
          <cell r="O864"/>
          <cell r="P864" t="str">
            <v>Unaffected lots</v>
          </cell>
          <cell r="Q864" t="str">
            <v>NO</v>
          </cell>
          <cell r="R864">
            <v>70</v>
          </cell>
          <cell r="S864" t="str">
            <v>PSD-04-036366</v>
          </cell>
          <cell r="T864" t="str">
            <v>TCT-060-2026007172</v>
          </cell>
          <cell r="U864" t="b">
            <v>1</v>
          </cell>
          <cell r="V864" t="str">
            <v>Done</v>
          </cell>
          <cell r="W864" t="str">
            <v>B2 2025</v>
          </cell>
          <cell r="X864" t="str">
            <v>2025 - Batch 1</v>
          </cell>
          <cell r="Y864">
            <v>48</v>
          </cell>
          <cell r="Z864">
            <v>4</v>
          </cell>
          <cell r="AA864" t="str">
            <v>H+L</v>
          </cell>
          <cell r="AB864">
            <v>70</v>
          </cell>
          <cell r="AC864">
            <v>50</v>
          </cell>
          <cell r="AD864" t="str">
            <v>Slant</v>
          </cell>
          <cell r="AE864" t="str">
            <v>Duplex</v>
          </cell>
          <cell r="AF864" t="str">
            <v>568 - Without Partition</v>
          </cell>
          <cell r="AG864" t="str">
            <v xml:space="preserve">Without Partition </v>
          </cell>
          <cell r="AH864" t="str">
            <v xml:space="preserve">Without Partition </v>
          </cell>
          <cell r="AI864" t="str">
            <v>YELLOW</v>
          </cell>
          <cell r="AJ864" t="str">
            <v>Slant / YELLOW</v>
          </cell>
          <cell r="AK864">
            <v>1050000</v>
          </cell>
          <cell r="AL864">
            <v>15000</v>
          </cell>
          <cell r="AM864">
            <v>1650000</v>
          </cell>
          <cell r="AN864">
            <v>33000</v>
          </cell>
          <cell r="AO864">
            <v>150000</v>
          </cell>
          <cell r="AP864">
            <v>2850000</v>
          </cell>
          <cell r="AQ864"/>
          <cell r="AR864">
            <v>2850000</v>
          </cell>
          <cell r="AS864">
            <v>200000</v>
          </cell>
          <cell r="AT864">
            <v>2650000</v>
          </cell>
          <cell r="AU864">
            <v>100000</v>
          </cell>
          <cell r="AV864">
            <v>2550000</v>
          </cell>
          <cell r="AW864">
            <v>0</v>
          </cell>
          <cell r="AX864">
            <v>2550000</v>
          </cell>
        </row>
        <row r="865">
          <cell r="G865" t="str">
            <v>AGM-01-048-005</v>
          </cell>
          <cell r="H865" t="str">
            <v xml:space="preserve">Raemulan Lands, Inc. </v>
          </cell>
          <cell r="I865" t="str">
            <v>Agapeya</v>
          </cell>
          <cell r="J865" t="str">
            <v>AGM</v>
          </cell>
          <cell r="K865" t="str">
            <v>Eco-High</v>
          </cell>
          <cell r="L865" t="str">
            <v>West</v>
          </cell>
          <cell r="M865" t="str">
            <v>Without LTS</v>
          </cell>
          <cell r="N865"/>
          <cell r="O865"/>
          <cell r="P865" t="str">
            <v>Unaffected lots</v>
          </cell>
          <cell r="Q865" t="str">
            <v>NO</v>
          </cell>
          <cell r="R865">
            <v>70</v>
          </cell>
          <cell r="S865" t="str">
            <v>PSD-04-036366</v>
          </cell>
          <cell r="T865" t="str">
            <v>TCT-060-2026007173</v>
          </cell>
          <cell r="U865" t="b">
            <v>1</v>
          </cell>
          <cell r="V865" t="str">
            <v>Done</v>
          </cell>
          <cell r="W865" t="str">
            <v>B2 2025</v>
          </cell>
          <cell r="X865" t="str">
            <v>2025 - Batch 1</v>
          </cell>
          <cell r="Y865">
            <v>48</v>
          </cell>
          <cell r="Z865">
            <v>5</v>
          </cell>
          <cell r="AA865" t="str">
            <v>H+L</v>
          </cell>
          <cell r="AB865">
            <v>70</v>
          </cell>
          <cell r="AC865">
            <v>50</v>
          </cell>
          <cell r="AD865" t="str">
            <v>Slant</v>
          </cell>
          <cell r="AE865" t="str">
            <v>Duplex</v>
          </cell>
          <cell r="AF865" t="str">
            <v>568 - Without Partition</v>
          </cell>
          <cell r="AG865" t="str">
            <v xml:space="preserve">Without Partition </v>
          </cell>
          <cell r="AH865" t="str">
            <v xml:space="preserve">Without Partition </v>
          </cell>
          <cell r="AI865" t="str">
            <v>PURPLE</v>
          </cell>
          <cell r="AJ865" t="str">
            <v>Slant / PURPLE</v>
          </cell>
          <cell r="AK865">
            <v>1050000</v>
          </cell>
          <cell r="AL865">
            <v>15000</v>
          </cell>
          <cell r="AM865">
            <v>1650000</v>
          </cell>
          <cell r="AN865">
            <v>33000</v>
          </cell>
          <cell r="AO865">
            <v>150000</v>
          </cell>
          <cell r="AP865">
            <v>2850000</v>
          </cell>
          <cell r="AQ865"/>
          <cell r="AR865">
            <v>2850000</v>
          </cell>
          <cell r="AS865">
            <v>200000</v>
          </cell>
          <cell r="AT865">
            <v>2650000</v>
          </cell>
          <cell r="AU865">
            <v>100000</v>
          </cell>
          <cell r="AV865">
            <v>2550000</v>
          </cell>
          <cell r="AW865">
            <v>0</v>
          </cell>
          <cell r="AX865">
            <v>2550000</v>
          </cell>
        </row>
        <row r="866">
          <cell r="G866" t="str">
            <v>AGM-01-048-006</v>
          </cell>
          <cell r="H866" t="str">
            <v xml:space="preserve">Raemulan Lands, Inc. </v>
          </cell>
          <cell r="I866" t="str">
            <v>Agapeya</v>
          </cell>
          <cell r="J866" t="str">
            <v>AGM</v>
          </cell>
          <cell r="K866" t="str">
            <v>Eco-High</v>
          </cell>
          <cell r="L866" t="str">
            <v>West</v>
          </cell>
          <cell r="M866" t="str">
            <v>Without LTS</v>
          </cell>
          <cell r="N866"/>
          <cell r="O866"/>
          <cell r="P866" t="str">
            <v>Unaffected lots</v>
          </cell>
          <cell r="Q866" t="str">
            <v>NO</v>
          </cell>
          <cell r="R866">
            <v>70</v>
          </cell>
          <cell r="S866" t="str">
            <v>PSD-04-036366</v>
          </cell>
          <cell r="T866" t="str">
            <v>TCT-060-2026007174</v>
          </cell>
          <cell r="U866" t="b">
            <v>1</v>
          </cell>
          <cell r="V866" t="str">
            <v>Done</v>
          </cell>
          <cell r="W866" t="str">
            <v>B2 2025</v>
          </cell>
          <cell r="X866" t="str">
            <v>2025 - Batch 1</v>
          </cell>
          <cell r="Y866">
            <v>48</v>
          </cell>
          <cell r="Z866">
            <v>6</v>
          </cell>
          <cell r="AA866" t="str">
            <v>H+L</v>
          </cell>
          <cell r="AB866">
            <v>70</v>
          </cell>
          <cell r="AC866">
            <v>50</v>
          </cell>
          <cell r="AD866" t="str">
            <v>Flat</v>
          </cell>
          <cell r="AE866" t="str">
            <v>Duplex</v>
          </cell>
          <cell r="AF866" t="str">
            <v>568 - Without Partition</v>
          </cell>
          <cell r="AG866" t="str">
            <v xml:space="preserve">Without Partition </v>
          </cell>
          <cell r="AH866" t="str">
            <v xml:space="preserve">Without Partition </v>
          </cell>
          <cell r="AI866" t="str">
            <v>PURPLE</v>
          </cell>
          <cell r="AJ866" t="str">
            <v>Flat / PURPLE</v>
          </cell>
          <cell r="AK866">
            <v>1050000</v>
          </cell>
          <cell r="AL866">
            <v>15000</v>
          </cell>
          <cell r="AM866">
            <v>1650000</v>
          </cell>
          <cell r="AN866">
            <v>33000</v>
          </cell>
          <cell r="AO866">
            <v>150000</v>
          </cell>
          <cell r="AP866">
            <v>2850000</v>
          </cell>
          <cell r="AQ866"/>
          <cell r="AR866">
            <v>2850000</v>
          </cell>
          <cell r="AS866">
            <v>200000</v>
          </cell>
          <cell r="AT866">
            <v>2650000</v>
          </cell>
          <cell r="AU866">
            <v>100000</v>
          </cell>
          <cell r="AV866">
            <v>2550000</v>
          </cell>
          <cell r="AW866">
            <v>0</v>
          </cell>
          <cell r="AX866">
            <v>2550000</v>
          </cell>
        </row>
        <row r="867">
          <cell r="G867" t="str">
            <v>AGM-01-048-007</v>
          </cell>
          <cell r="H867" t="str">
            <v xml:space="preserve">Raemulan Lands, Inc. </v>
          </cell>
          <cell r="I867" t="str">
            <v>Agapeya</v>
          </cell>
          <cell r="J867" t="str">
            <v>AGM</v>
          </cell>
          <cell r="K867" t="str">
            <v>Eco-High</v>
          </cell>
          <cell r="L867" t="str">
            <v>West</v>
          </cell>
          <cell r="M867" t="str">
            <v>Without LTS</v>
          </cell>
          <cell r="N867"/>
          <cell r="O867"/>
          <cell r="P867" t="str">
            <v>Unaffected lots</v>
          </cell>
          <cell r="Q867" t="str">
            <v>NO</v>
          </cell>
          <cell r="R867">
            <v>70</v>
          </cell>
          <cell r="S867" t="str">
            <v>PSD-04-036366</v>
          </cell>
          <cell r="T867" t="str">
            <v>TCT-060-2026007175</v>
          </cell>
          <cell r="U867" t="b">
            <v>1</v>
          </cell>
          <cell r="V867" t="str">
            <v>Done</v>
          </cell>
          <cell r="W867" t="str">
            <v>2024 Batch</v>
          </cell>
          <cell r="X867" t="str">
            <v>2024 Batch</v>
          </cell>
          <cell r="Y867">
            <v>48</v>
          </cell>
          <cell r="Z867">
            <v>7</v>
          </cell>
          <cell r="AA867" t="str">
            <v>H+L</v>
          </cell>
          <cell r="AB867">
            <v>70</v>
          </cell>
          <cell r="AC867">
            <v>50</v>
          </cell>
          <cell r="AD867" t="str">
            <v>Flat</v>
          </cell>
          <cell r="AE867" t="str">
            <v>Duplex</v>
          </cell>
          <cell r="AF867" t="str">
            <v>326 - With Partition</v>
          </cell>
          <cell r="AG867" t="str">
            <v xml:space="preserve">Without Partition </v>
          </cell>
          <cell r="AH867" t="str">
            <v xml:space="preserve">With Partition </v>
          </cell>
          <cell r="AI867" t="str">
            <v>PURPLE</v>
          </cell>
          <cell r="AJ867" t="str">
            <v>Flat / PURPLE</v>
          </cell>
          <cell r="AK867">
            <v>1050000</v>
          </cell>
          <cell r="AL867">
            <v>15000</v>
          </cell>
          <cell r="AM867">
            <v>1650000</v>
          </cell>
          <cell r="AN867">
            <v>33000</v>
          </cell>
          <cell r="AO867">
            <v>150000</v>
          </cell>
          <cell r="AP867">
            <v>2850000</v>
          </cell>
          <cell r="AQ867"/>
          <cell r="AR867">
            <v>2850000</v>
          </cell>
          <cell r="AS867">
            <v>200000</v>
          </cell>
          <cell r="AT867">
            <v>2650000</v>
          </cell>
          <cell r="AU867">
            <v>100000</v>
          </cell>
          <cell r="AV867">
            <v>2550000</v>
          </cell>
          <cell r="AW867">
            <v>0</v>
          </cell>
          <cell r="AX867">
            <v>2550000</v>
          </cell>
        </row>
        <row r="868">
          <cell r="G868" t="str">
            <v>AGM-01-048-008</v>
          </cell>
          <cell r="H868" t="str">
            <v xml:space="preserve">Raemulan Lands, Inc. </v>
          </cell>
          <cell r="I868" t="str">
            <v>Agapeya</v>
          </cell>
          <cell r="J868" t="str">
            <v>AGM</v>
          </cell>
          <cell r="K868" t="str">
            <v>Eco-High</v>
          </cell>
          <cell r="L868" t="str">
            <v>West</v>
          </cell>
          <cell r="M868" t="str">
            <v>Without LTS</v>
          </cell>
          <cell r="N868"/>
          <cell r="O868"/>
          <cell r="P868" t="str">
            <v>Unaffected lots</v>
          </cell>
          <cell r="Q868" t="str">
            <v>NO</v>
          </cell>
          <cell r="R868">
            <v>80</v>
          </cell>
          <cell r="S868" t="str">
            <v>PSD-04-036366</v>
          </cell>
          <cell r="T868" t="str">
            <v>TCT-060-2026007176</v>
          </cell>
          <cell r="U868" t="b">
            <v>1</v>
          </cell>
          <cell r="V868" t="str">
            <v>Done</v>
          </cell>
          <cell r="W868" t="str">
            <v>2024 Batch</v>
          </cell>
          <cell r="X868" t="str">
            <v>2024 Batch</v>
          </cell>
          <cell r="Y868">
            <v>48</v>
          </cell>
          <cell r="Z868">
            <v>8</v>
          </cell>
          <cell r="AA868" t="str">
            <v>H+L</v>
          </cell>
          <cell r="AB868">
            <v>80</v>
          </cell>
          <cell r="AC868">
            <v>50</v>
          </cell>
          <cell r="AD868" t="str">
            <v>Slant</v>
          </cell>
          <cell r="AE868" t="str">
            <v>Duplex</v>
          </cell>
          <cell r="AF868" t="str">
            <v>326 - With Partition</v>
          </cell>
          <cell r="AG868" t="str">
            <v xml:space="preserve">Without Partition </v>
          </cell>
          <cell r="AH868" t="str">
            <v xml:space="preserve">Without Partition </v>
          </cell>
          <cell r="AI868" t="str">
            <v>PURPLE</v>
          </cell>
          <cell r="AJ868" t="str">
            <v>Slant / PURPLE</v>
          </cell>
          <cell r="AK868">
            <v>1200000</v>
          </cell>
          <cell r="AL868">
            <v>15000</v>
          </cell>
          <cell r="AM868">
            <v>1650000</v>
          </cell>
          <cell r="AN868">
            <v>33000</v>
          </cell>
          <cell r="AO868">
            <v>150000</v>
          </cell>
          <cell r="AP868">
            <v>3000000</v>
          </cell>
          <cell r="AQ868"/>
          <cell r="AR868">
            <v>3000000</v>
          </cell>
          <cell r="AS868">
            <v>200000</v>
          </cell>
          <cell r="AT868">
            <v>2800000</v>
          </cell>
          <cell r="AU868">
            <v>100000</v>
          </cell>
          <cell r="AV868">
            <v>2700000</v>
          </cell>
          <cell r="AW868">
            <v>0</v>
          </cell>
          <cell r="AX868">
            <v>2700000</v>
          </cell>
        </row>
        <row r="869">
          <cell r="G869" t="str">
            <v>AGM-01-048-009</v>
          </cell>
          <cell r="H869" t="str">
            <v xml:space="preserve">Raemulan Lands, Inc. </v>
          </cell>
          <cell r="I869" t="str">
            <v>Agapeya</v>
          </cell>
          <cell r="J869" t="str">
            <v>AGM</v>
          </cell>
          <cell r="K869" t="str">
            <v>Eco-High</v>
          </cell>
          <cell r="L869" t="str">
            <v>West</v>
          </cell>
          <cell r="M869" t="str">
            <v>With LTS - 2026</v>
          </cell>
          <cell r="N869" t="str">
            <v>YES</v>
          </cell>
          <cell r="O869" t="str">
            <v>NO</v>
          </cell>
          <cell r="P869" t="str">
            <v>Unaffected lots</v>
          </cell>
          <cell r="Q869" t="str">
            <v>NO</v>
          </cell>
          <cell r="R869">
            <v>80</v>
          </cell>
          <cell r="S869" t="str">
            <v>PCS-04-034695</v>
          </cell>
          <cell r="T869" t="str">
            <v>TCT-060-2025019287</v>
          </cell>
          <cell r="U869" t="b">
            <v>1</v>
          </cell>
          <cell r="V869" t="str">
            <v>Done</v>
          </cell>
          <cell r="W869" t="str">
            <v>2024 Batch</v>
          </cell>
          <cell r="X869" t="str">
            <v>2024 Batch</v>
          </cell>
          <cell r="Y869">
            <v>48</v>
          </cell>
          <cell r="Z869">
            <v>9</v>
          </cell>
          <cell r="AA869" t="str">
            <v>H+L</v>
          </cell>
          <cell r="AB869">
            <v>80</v>
          </cell>
          <cell r="AC869">
            <v>50</v>
          </cell>
          <cell r="AD869" t="str">
            <v>Flat</v>
          </cell>
          <cell r="AE869" t="str">
            <v>Duplex</v>
          </cell>
          <cell r="AF869" t="str">
            <v>326 - With Partition</v>
          </cell>
          <cell r="AG869" t="str">
            <v>With Partition</v>
          </cell>
          <cell r="AH869" t="str">
            <v>With Partition</v>
          </cell>
          <cell r="AI869" t="str">
            <v>PINK</v>
          </cell>
          <cell r="AJ869" t="str">
            <v>Flat / PINK</v>
          </cell>
          <cell r="AK869">
            <v>1200000</v>
          </cell>
          <cell r="AL869">
            <v>15000</v>
          </cell>
          <cell r="AM869">
            <v>1650000</v>
          </cell>
          <cell r="AN869">
            <v>33000</v>
          </cell>
          <cell r="AO869">
            <v>150000</v>
          </cell>
          <cell r="AP869">
            <v>3000000</v>
          </cell>
          <cell r="AQ869"/>
          <cell r="AR869">
            <v>3000000</v>
          </cell>
          <cell r="AS869">
            <v>0</v>
          </cell>
          <cell r="AT869">
            <v>3000000</v>
          </cell>
          <cell r="AU869">
            <v>100000</v>
          </cell>
          <cell r="AV869">
            <v>2900000</v>
          </cell>
          <cell r="AW869">
            <v>0</v>
          </cell>
          <cell r="AX869">
            <v>2900000</v>
          </cell>
        </row>
        <row r="870">
          <cell r="G870" t="str">
            <v>AGM-01-048-010</v>
          </cell>
          <cell r="H870" t="str">
            <v xml:space="preserve">Raemulan Lands, Inc. </v>
          </cell>
          <cell r="I870" t="str">
            <v>Agapeya</v>
          </cell>
          <cell r="J870" t="str">
            <v>AGM</v>
          </cell>
          <cell r="K870" t="str">
            <v>Eco-High</v>
          </cell>
          <cell r="L870" t="str">
            <v>West</v>
          </cell>
          <cell r="M870" t="str">
            <v>With LTS - 2026</v>
          </cell>
          <cell r="N870" t="str">
            <v>YES</v>
          </cell>
          <cell r="O870" t="str">
            <v>NO</v>
          </cell>
          <cell r="P870" t="str">
            <v>Unaffected lots</v>
          </cell>
          <cell r="Q870" t="str">
            <v>NO</v>
          </cell>
          <cell r="R870">
            <v>70</v>
          </cell>
          <cell r="S870" t="str">
            <v>PCS-04-034695</v>
          </cell>
          <cell r="T870" t="str">
            <v>TCT-060-2025019288</v>
          </cell>
          <cell r="U870" t="b">
            <v>1</v>
          </cell>
          <cell r="V870" t="str">
            <v>Done</v>
          </cell>
          <cell r="W870" t="str">
            <v>2024 Batch</v>
          </cell>
          <cell r="X870" t="str">
            <v>2024 Batch</v>
          </cell>
          <cell r="Y870">
            <v>48</v>
          </cell>
          <cell r="Z870">
            <v>10</v>
          </cell>
          <cell r="AA870" t="str">
            <v>H+L</v>
          </cell>
          <cell r="AB870">
            <v>70</v>
          </cell>
          <cell r="AC870">
            <v>50</v>
          </cell>
          <cell r="AD870" t="str">
            <v>Slant</v>
          </cell>
          <cell r="AE870" t="str">
            <v>Duplex</v>
          </cell>
          <cell r="AF870" t="str">
            <v>326 - With Partition</v>
          </cell>
          <cell r="AG870" t="str">
            <v>With Partition</v>
          </cell>
          <cell r="AH870" t="str">
            <v>With Partition</v>
          </cell>
          <cell r="AI870" t="str">
            <v>PINK</v>
          </cell>
          <cell r="AJ870" t="str">
            <v>Slant / PINK</v>
          </cell>
          <cell r="AK870">
            <v>1050000</v>
          </cell>
          <cell r="AL870">
            <v>15000</v>
          </cell>
          <cell r="AM870">
            <v>1650000</v>
          </cell>
          <cell r="AN870">
            <v>33000</v>
          </cell>
          <cell r="AO870">
            <v>150000</v>
          </cell>
          <cell r="AP870">
            <v>2850000</v>
          </cell>
          <cell r="AQ870"/>
          <cell r="AR870">
            <v>2850000</v>
          </cell>
          <cell r="AS870">
            <v>0</v>
          </cell>
          <cell r="AT870">
            <v>2850000</v>
          </cell>
          <cell r="AU870">
            <v>100000</v>
          </cell>
          <cell r="AV870">
            <v>2750000</v>
          </cell>
          <cell r="AW870">
            <v>0</v>
          </cell>
          <cell r="AX870">
            <v>2750000</v>
          </cell>
        </row>
        <row r="871">
          <cell r="G871" t="str">
            <v>AGM-01-048-011</v>
          </cell>
          <cell r="H871" t="str">
            <v xml:space="preserve">Raemulan Lands, Inc. </v>
          </cell>
          <cell r="I871" t="str">
            <v>Agapeya</v>
          </cell>
          <cell r="J871" t="str">
            <v>AGM</v>
          </cell>
          <cell r="K871" t="str">
            <v>Eco-High</v>
          </cell>
          <cell r="L871" t="str">
            <v>West</v>
          </cell>
          <cell r="M871" t="str">
            <v>With LTS - 2026</v>
          </cell>
          <cell r="N871" t="str">
            <v>YES</v>
          </cell>
          <cell r="O871" t="str">
            <v>NO</v>
          </cell>
          <cell r="P871" t="str">
            <v>Unaffected lots</v>
          </cell>
          <cell r="Q871" t="str">
            <v>NO</v>
          </cell>
          <cell r="R871">
            <v>70</v>
          </cell>
          <cell r="S871" t="str">
            <v>PCS-04-034695</v>
          </cell>
          <cell r="T871" t="str">
            <v>TCT-060-2025019289</v>
          </cell>
          <cell r="U871" t="b">
            <v>1</v>
          </cell>
          <cell r="V871" t="str">
            <v>Done</v>
          </cell>
          <cell r="W871" t="str">
            <v>B2 2025</v>
          </cell>
          <cell r="X871" t="str">
            <v>2025 - Batch 1</v>
          </cell>
          <cell r="Y871">
            <v>48</v>
          </cell>
          <cell r="Z871">
            <v>11</v>
          </cell>
          <cell r="AA871" t="str">
            <v>H+L</v>
          </cell>
          <cell r="AB871">
            <v>70</v>
          </cell>
          <cell r="AC871">
            <v>50</v>
          </cell>
          <cell r="AD871" t="str">
            <v>Slant</v>
          </cell>
          <cell r="AE871" t="str">
            <v>Duplex</v>
          </cell>
          <cell r="AF871" t="str">
            <v>568 - Without Partition</v>
          </cell>
          <cell r="AG871" t="str">
            <v xml:space="preserve">Without Partition </v>
          </cell>
          <cell r="AH871" t="str">
            <v xml:space="preserve">Without Partition </v>
          </cell>
          <cell r="AI871" t="str">
            <v>PINK</v>
          </cell>
          <cell r="AJ871" t="str">
            <v>Slant / PINK</v>
          </cell>
          <cell r="AK871">
            <v>1050000</v>
          </cell>
          <cell r="AL871">
            <v>15000</v>
          </cell>
          <cell r="AM871">
            <v>1650000</v>
          </cell>
          <cell r="AN871">
            <v>33000</v>
          </cell>
          <cell r="AO871">
            <v>150000</v>
          </cell>
          <cell r="AP871">
            <v>2850000</v>
          </cell>
          <cell r="AQ871"/>
          <cell r="AR871">
            <v>2850000</v>
          </cell>
          <cell r="AS871">
            <v>200000</v>
          </cell>
          <cell r="AT871">
            <v>2650000</v>
          </cell>
          <cell r="AU871">
            <v>100000</v>
          </cell>
          <cell r="AV871">
            <v>2550000</v>
          </cell>
          <cell r="AW871">
            <v>0</v>
          </cell>
          <cell r="AX871">
            <v>2550000</v>
          </cell>
        </row>
        <row r="872">
          <cell r="G872" t="str">
            <v>AGM-01-048-012</v>
          </cell>
          <cell r="H872" t="str">
            <v xml:space="preserve">Raemulan Lands, Inc. </v>
          </cell>
          <cell r="I872" t="str">
            <v>Agapeya</v>
          </cell>
          <cell r="J872" t="str">
            <v>AGM</v>
          </cell>
          <cell r="K872" t="str">
            <v>Eco-High</v>
          </cell>
          <cell r="L872" t="str">
            <v>West</v>
          </cell>
          <cell r="M872" t="str">
            <v>With LTS - 2026</v>
          </cell>
          <cell r="N872" t="str">
            <v>YES</v>
          </cell>
          <cell r="O872" t="str">
            <v>NO</v>
          </cell>
          <cell r="P872" t="str">
            <v>Unaffected lots</v>
          </cell>
          <cell r="Q872" t="str">
            <v>NO</v>
          </cell>
          <cell r="R872">
            <v>70</v>
          </cell>
          <cell r="S872" t="str">
            <v>PCS-04-034695</v>
          </cell>
          <cell r="T872" t="str">
            <v>TCT-060-2025019290</v>
          </cell>
          <cell r="U872" t="b">
            <v>1</v>
          </cell>
          <cell r="V872" t="str">
            <v>Done</v>
          </cell>
          <cell r="W872" t="str">
            <v>B2 2025</v>
          </cell>
          <cell r="X872" t="str">
            <v>2025 - Batch 1</v>
          </cell>
          <cell r="Y872">
            <v>48</v>
          </cell>
          <cell r="Z872">
            <v>12</v>
          </cell>
          <cell r="AA872" t="str">
            <v>H+L</v>
          </cell>
          <cell r="AB872">
            <v>70</v>
          </cell>
          <cell r="AC872">
            <v>50</v>
          </cell>
          <cell r="AD872" t="str">
            <v>Flat</v>
          </cell>
          <cell r="AE872" t="str">
            <v>Duplex</v>
          </cell>
          <cell r="AF872" t="str">
            <v>568 - Without Partition</v>
          </cell>
          <cell r="AG872" t="str">
            <v xml:space="preserve">Without Partition </v>
          </cell>
          <cell r="AH872" t="str">
            <v xml:space="preserve">Without Partition </v>
          </cell>
          <cell r="AI872" t="str">
            <v>PINK</v>
          </cell>
          <cell r="AJ872" t="str">
            <v>Flat / PINK</v>
          </cell>
          <cell r="AK872">
            <v>1050000</v>
          </cell>
          <cell r="AL872">
            <v>15000</v>
          </cell>
          <cell r="AM872">
            <v>1650000</v>
          </cell>
          <cell r="AN872">
            <v>33000</v>
          </cell>
          <cell r="AO872">
            <v>150000</v>
          </cell>
          <cell r="AP872">
            <v>2850000</v>
          </cell>
          <cell r="AQ872"/>
          <cell r="AR872">
            <v>2850000</v>
          </cell>
          <cell r="AS872">
            <v>200000</v>
          </cell>
          <cell r="AT872">
            <v>2650000</v>
          </cell>
          <cell r="AU872">
            <v>100000</v>
          </cell>
          <cell r="AV872">
            <v>2550000</v>
          </cell>
          <cell r="AW872">
            <v>0</v>
          </cell>
          <cell r="AX872">
            <v>2550000</v>
          </cell>
        </row>
        <row r="873">
          <cell r="G873" t="str">
            <v>AGM-01-048-013</v>
          </cell>
          <cell r="H873" t="str">
            <v xml:space="preserve">Raemulan Lands, Inc. </v>
          </cell>
          <cell r="I873" t="str">
            <v>Agapeya</v>
          </cell>
          <cell r="J873" t="str">
            <v>AGM</v>
          </cell>
          <cell r="K873" t="str">
            <v>Eco-High</v>
          </cell>
          <cell r="L873" t="str">
            <v>West</v>
          </cell>
          <cell r="M873" t="str">
            <v>With LTS - 2026</v>
          </cell>
          <cell r="N873" t="str">
            <v>YES</v>
          </cell>
          <cell r="O873" t="str">
            <v>NO</v>
          </cell>
          <cell r="P873" t="str">
            <v>Unaffected lots</v>
          </cell>
          <cell r="Q873" t="str">
            <v>NO</v>
          </cell>
          <cell r="R873">
            <v>70</v>
          </cell>
          <cell r="S873" t="str">
            <v>PCS-04-034695</v>
          </cell>
          <cell r="T873" t="str">
            <v>TCT-060-2025019291</v>
          </cell>
          <cell r="U873" t="b">
            <v>1</v>
          </cell>
          <cell r="V873" t="str">
            <v>Done</v>
          </cell>
          <cell r="W873" t="str">
            <v>B2 2025</v>
          </cell>
          <cell r="X873" t="str">
            <v>2025 - Batch 1</v>
          </cell>
          <cell r="Y873">
            <v>48</v>
          </cell>
          <cell r="Z873">
            <v>13</v>
          </cell>
          <cell r="AA873" t="str">
            <v>H+L</v>
          </cell>
          <cell r="AB873">
            <v>70</v>
          </cell>
          <cell r="AC873">
            <v>50</v>
          </cell>
          <cell r="AD873" t="str">
            <v>Flat</v>
          </cell>
          <cell r="AE873" t="str">
            <v>Duplex</v>
          </cell>
          <cell r="AF873" t="str">
            <v>568 - Without Partition</v>
          </cell>
          <cell r="AG873" t="str">
            <v xml:space="preserve">Without Partition </v>
          </cell>
          <cell r="AH873" t="str">
            <v xml:space="preserve">Without Partition </v>
          </cell>
          <cell r="AI873" t="str">
            <v>YELLOW</v>
          </cell>
          <cell r="AJ873" t="str">
            <v>Flat / YELLOW</v>
          </cell>
          <cell r="AK873">
            <v>1050000</v>
          </cell>
          <cell r="AL873">
            <v>15000</v>
          </cell>
          <cell r="AM873">
            <v>1650000</v>
          </cell>
          <cell r="AN873">
            <v>33000</v>
          </cell>
          <cell r="AO873">
            <v>150000</v>
          </cell>
          <cell r="AP873">
            <v>2850000</v>
          </cell>
          <cell r="AQ873"/>
          <cell r="AR873">
            <v>2850000</v>
          </cell>
          <cell r="AS873">
            <v>200000</v>
          </cell>
          <cell r="AT873">
            <v>2650000</v>
          </cell>
          <cell r="AU873">
            <v>100000</v>
          </cell>
          <cell r="AV873">
            <v>2550000</v>
          </cell>
          <cell r="AW873">
            <v>0</v>
          </cell>
          <cell r="AX873">
            <v>2550000</v>
          </cell>
        </row>
        <row r="874">
          <cell r="G874" t="str">
            <v>AGM-01-048-014</v>
          </cell>
          <cell r="H874" t="str">
            <v xml:space="preserve">Raemulan Lands, Inc. </v>
          </cell>
          <cell r="I874" t="str">
            <v>Agapeya</v>
          </cell>
          <cell r="J874" t="str">
            <v>AGM</v>
          </cell>
          <cell r="K874" t="str">
            <v>Eco-High</v>
          </cell>
          <cell r="L874" t="str">
            <v>West</v>
          </cell>
          <cell r="M874" t="str">
            <v>With LTS - 2026</v>
          </cell>
          <cell r="N874" t="str">
            <v>YES</v>
          </cell>
          <cell r="O874" t="str">
            <v>NO</v>
          </cell>
          <cell r="P874" t="str">
            <v>Unaffected lots</v>
          </cell>
          <cell r="Q874" t="str">
            <v>NO</v>
          </cell>
          <cell r="R874">
            <v>70</v>
          </cell>
          <cell r="S874" t="str">
            <v>PCS-04-034695</v>
          </cell>
          <cell r="T874" t="str">
            <v>TCT-060-2025019292</v>
          </cell>
          <cell r="U874" t="b">
            <v>1</v>
          </cell>
          <cell r="V874" t="str">
            <v>Done</v>
          </cell>
          <cell r="W874" t="str">
            <v>B2 2025</v>
          </cell>
          <cell r="X874" t="str">
            <v>2025 - Batch 1</v>
          </cell>
          <cell r="Y874">
            <v>48</v>
          </cell>
          <cell r="Z874">
            <v>14</v>
          </cell>
          <cell r="AA874" t="str">
            <v>H+L</v>
          </cell>
          <cell r="AB874">
            <v>70</v>
          </cell>
          <cell r="AC874">
            <v>50</v>
          </cell>
          <cell r="AD874" t="str">
            <v>Slant</v>
          </cell>
          <cell r="AE874" t="str">
            <v>Duplex</v>
          </cell>
          <cell r="AF874" t="str">
            <v>568 - Without Partition</v>
          </cell>
          <cell r="AG874" t="str">
            <v xml:space="preserve">Without Partition </v>
          </cell>
          <cell r="AH874" t="str">
            <v xml:space="preserve">Without Partition </v>
          </cell>
          <cell r="AI874" t="str">
            <v>YELLOW</v>
          </cell>
          <cell r="AJ874" t="str">
            <v>Slant / YELLOW</v>
          </cell>
          <cell r="AK874">
            <v>1050000</v>
          </cell>
          <cell r="AL874">
            <v>15000</v>
          </cell>
          <cell r="AM874">
            <v>1650000</v>
          </cell>
          <cell r="AN874">
            <v>33000</v>
          </cell>
          <cell r="AO874">
            <v>150000</v>
          </cell>
          <cell r="AP874">
            <v>2850000</v>
          </cell>
          <cell r="AQ874"/>
          <cell r="AR874">
            <v>2850000</v>
          </cell>
          <cell r="AS874">
            <v>200000</v>
          </cell>
          <cell r="AT874">
            <v>2650000</v>
          </cell>
          <cell r="AU874">
            <v>100000</v>
          </cell>
          <cell r="AV874">
            <v>2550000</v>
          </cell>
          <cell r="AW874">
            <v>0</v>
          </cell>
          <cell r="AX874">
            <v>2550000</v>
          </cell>
        </row>
        <row r="875">
          <cell r="G875" t="str">
            <v>AGM-01-048-015</v>
          </cell>
          <cell r="H875" t="str">
            <v xml:space="preserve">Raemulan Lands, Inc. </v>
          </cell>
          <cell r="I875" t="str">
            <v>Agapeya</v>
          </cell>
          <cell r="J875" t="str">
            <v>AGM</v>
          </cell>
          <cell r="K875" t="str">
            <v>Eco-High</v>
          </cell>
          <cell r="L875" t="str">
            <v>West</v>
          </cell>
          <cell r="M875" t="str">
            <v>With LTS - 2026</v>
          </cell>
          <cell r="N875" t="str">
            <v>YES</v>
          </cell>
          <cell r="O875" t="str">
            <v>NO</v>
          </cell>
          <cell r="P875" t="str">
            <v>Unaffected lots</v>
          </cell>
          <cell r="Q875" t="str">
            <v>NO</v>
          </cell>
          <cell r="R875">
            <v>70</v>
          </cell>
          <cell r="S875" t="str">
            <v>PCS-04-034695</v>
          </cell>
          <cell r="T875" t="str">
            <v>TCT-060-2025019293</v>
          </cell>
          <cell r="U875" t="b">
            <v>1</v>
          </cell>
          <cell r="V875" t="str">
            <v>Done</v>
          </cell>
          <cell r="W875" t="str">
            <v>2024 Batch</v>
          </cell>
          <cell r="X875" t="str">
            <v>2024 Batch</v>
          </cell>
          <cell r="Y875">
            <v>48</v>
          </cell>
          <cell r="Z875">
            <v>15</v>
          </cell>
          <cell r="AA875" t="str">
            <v>H+L</v>
          </cell>
          <cell r="AB875">
            <v>70</v>
          </cell>
          <cell r="AC875">
            <v>50</v>
          </cell>
          <cell r="AD875" t="str">
            <v>Slant</v>
          </cell>
          <cell r="AE875" t="str">
            <v>Duplex</v>
          </cell>
          <cell r="AF875" t="str">
            <v>326 - With Partition</v>
          </cell>
          <cell r="AG875" t="str">
            <v>With Partition</v>
          </cell>
          <cell r="AH875" t="str">
            <v>With Partition</v>
          </cell>
          <cell r="AI875" t="str">
            <v>YELLOW</v>
          </cell>
          <cell r="AJ875" t="str">
            <v>Slant / YELLOW</v>
          </cell>
          <cell r="AK875">
            <v>1050000</v>
          </cell>
          <cell r="AL875">
            <v>15000</v>
          </cell>
          <cell r="AM875">
            <v>1650000</v>
          </cell>
          <cell r="AN875">
            <v>33000</v>
          </cell>
          <cell r="AO875">
            <v>150000</v>
          </cell>
          <cell r="AP875">
            <v>2850000</v>
          </cell>
          <cell r="AQ875"/>
          <cell r="AR875">
            <v>2850000</v>
          </cell>
          <cell r="AS875">
            <v>0</v>
          </cell>
          <cell r="AT875">
            <v>2850000</v>
          </cell>
          <cell r="AU875">
            <v>100000</v>
          </cell>
          <cell r="AV875">
            <v>2750000</v>
          </cell>
          <cell r="AW875">
            <v>0</v>
          </cell>
          <cell r="AX875">
            <v>2750000</v>
          </cell>
        </row>
        <row r="876">
          <cell r="G876" t="str">
            <v>AGM-01-048-016</v>
          </cell>
          <cell r="H876" t="str">
            <v xml:space="preserve">Raemulan Lands, Inc. </v>
          </cell>
          <cell r="I876" t="str">
            <v>Agapeya</v>
          </cell>
          <cell r="J876" t="str">
            <v>AGM</v>
          </cell>
          <cell r="K876" t="str">
            <v>Eco-High</v>
          </cell>
          <cell r="L876" t="str">
            <v>West</v>
          </cell>
          <cell r="M876" t="str">
            <v>With LTS - 2026</v>
          </cell>
          <cell r="N876" t="str">
            <v>YES</v>
          </cell>
          <cell r="O876" t="str">
            <v>NO</v>
          </cell>
          <cell r="P876" t="str">
            <v>Unaffected lots</v>
          </cell>
          <cell r="Q876" t="str">
            <v>NO</v>
          </cell>
          <cell r="R876">
            <v>100</v>
          </cell>
          <cell r="S876" t="str">
            <v>PCS-04-034695</v>
          </cell>
          <cell r="T876" t="str">
            <v>TCT-060-2025019294</v>
          </cell>
          <cell r="U876" t="b">
            <v>1</v>
          </cell>
          <cell r="V876" t="str">
            <v>Done</v>
          </cell>
          <cell r="W876" t="str">
            <v>2024 Batch</v>
          </cell>
          <cell r="X876" t="str">
            <v>2024 Batch</v>
          </cell>
          <cell r="Y876">
            <v>48</v>
          </cell>
          <cell r="Z876">
            <v>16</v>
          </cell>
          <cell r="AA876" t="str">
            <v>H+L</v>
          </cell>
          <cell r="AB876">
            <v>100</v>
          </cell>
          <cell r="AC876">
            <v>50</v>
          </cell>
          <cell r="AD876" t="str">
            <v>Flat</v>
          </cell>
          <cell r="AE876" t="str">
            <v>Duplex</v>
          </cell>
          <cell r="AF876" t="str">
            <v>326 - With Partition</v>
          </cell>
          <cell r="AG876" t="str">
            <v>With Partition</v>
          </cell>
          <cell r="AH876" t="str">
            <v>With Partition</v>
          </cell>
          <cell r="AI876" t="str">
            <v>YELLOW</v>
          </cell>
          <cell r="AJ876" t="str">
            <v>Flat / YELLOW</v>
          </cell>
          <cell r="AK876">
            <v>1500000</v>
          </cell>
          <cell r="AL876">
            <v>15000</v>
          </cell>
          <cell r="AM876">
            <v>1650000</v>
          </cell>
          <cell r="AN876">
            <v>33000</v>
          </cell>
          <cell r="AO876">
            <v>150000</v>
          </cell>
          <cell r="AP876">
            <v>3300000</v>
          </cell>
          <cell r="AQ876"/>
          <cell r="AR876">
            <v>3300000</v>
          </cell>
          <cell r="AS876">
            <v>0</v>
          </cell>
          <cell r="AT876">
            <v>3300000</v>
          </cell>
          <cell r="AU876">
            <v>100000</v>
          </cell>
          <cell r="AV876">
            <v>3200000</v>
          </cell>
          <cell r="AW876">
            <v>0</v>
          </cell>
          <cell r="AX876">
            <v>3200000</v>
          </cell>
        </row>
        <row r="877">
          <cell r="G877" t="str">
            <v>AGM-01-049-001</v>
          </cell>
          <cell r="H877" t="str">
            <v xml:space="preserve">Raemulan Lands, Inc. </v>
          </cell>
          <cell r="I877" t="str">
            <v>Agapeya</v>
          </cell>
          <cell r="J877" t="str">
            <v>AGM</v>
          </cell>
          <cell r="K877" t="str">
            <v>Eco-High</v>
          </cell>
          <cell r="L877" t="str">
            <v>West</v>
          </cell>
          <cell r="M877" t="str">
            <v>With LTS - 2026</v>
          </cell>
          <cell r="N877" t="str">
            <v>YES</v>
          </cell>
          <cell r="O877" t="str">
            <v>NO</v>
          </cell>
          <cell r="P877" t="str">
            <v>Unaffected lots</v>
          </cell>
          <cell r="Q877" t="str">
            <v>NO</v>
          </cell>
          <cell r="R877">
            <v>100</v>
          </cell>
          <cell r="S877" t="str">
            <v>PCS-04-034695</v>
          </cell>
          <cell r="T877" t="str">
            <v>TCT-060-2025019295</v>
          </cell>
          <cell r="U877" t="b">
            <v>1</v>
          </cell>
          <cell r="V877" t="str">
            <v>Done</v>
          </cell>
          <cell r="W877" t="str">
            <v>B3 2025</v>
          </cell>
          <cell r="X877" t="str">
            <v>2025 - Batch 2</v>
          </cell>
          <cell r="Y877">
            <v>49</v>
          </cell>
          <cell r="Z877">
            <v>1</v>
          </cell>
          <cell r="AA877" t="str">
            <v>H+L</v>
          </cell>
          <cell r="AB877">
            <v>100</v>
          </cell>
          <cell r="AC877">
            <v>50</v>
          </cell>
          <cell r="AD877" t="str">
            <v>Flat</v>
          </cell>
          <cell r="AE877" t="str">
            <v>Duplex</v>
          </cell>
          <cell r="AF877" t="str">
            <v>568 - Without Partition</v>
          </cell>
          <cell r="AG877" t="str">
            <v xml:space="preserve">Without Partition </v>
          </cell>
          <cell r="AH877" t="str">
            <v xml:space="preserve">Without Partition </v>
          </cell>
          <cell r="AI877" t="str">
            <v>GREEN</v>
          </cell>
          <cell r="AJ877" t="str">
            <v>Flat / GREEN</v>
          </cell>
          <cell r="AK877">
            <v>1500000</v>
          </cell>
          <cell r="AL877">
            <v>15000</v>
          </cell>
          <cell r="AM877">
            <v>1650000</v>
          </cell>
          <cell r="AN877">
            <v>33000</v>
          </cell>
          <cell r="AO877">
            <v>150000</v>
          </cell>
          <cell r="AP877">
            <v>3300000</v>
          </cell>
          <cell r="AQ877"/>
          <cell r="AR877">
            <v>3300000</v>
          </cell>
          <cell r="AS877">
            <v>200000</v>
          </cell>
          <cell r="AT877">
            <v>3100000</v>
          </cell>
          <cell r="AU877">
            <v>100000</v>
          </cell>
          <cell r="AV877">
            <v>3000000</v>
          </cell>
          <cell r="AW877">
            <v>0</v>
          </cell>
          <cell r="AX877">
            <v>3000000</v>
          </cell>
        </row>
        <row r="878">
          <cell r="G878" t="str">
            <v>AGM-01-049-002</v>
          </cell>
          <cell r="H878" t="str">
            <v xml:space="preserve">Raemulan Lands, Inc. </v>
          </cell>
          <cell r="I878" t="str">
            <v>Agapeya</v>
          </cell>
          <cell r="J878" t="str">
            <v>AGM</v>
          </cell>
          <cell r="K878" t="str">
            <v>Eco-High</v>
          </cell>
          <cell r="L878" t="str">
            <v>West</v>
          </cell>
          <cell r="M878" t="str">
            <v>With LTS - 2026</v>
          </cell>
          <cell r="N878" t="str">
            <v>YES</v>
          </cell>
          <cell r="O878" t="str">
            <v>NO</v>
          </cell>
          <cell r="P878" t="str">
            <v>Unaffected lots</v>
          </cell>
          <cell r="Q878" t="str">
            <v>NO</v>
          </cell>
          <cell r="R878">
            <v>70</v>
          </cell>
          <cell r="S878" t="str">
            <v>PCS-04-034695</v>
          </cell>
          <cell r="T878" t="str">
            <v>TCT-060-2025019296</v>
          </cell>
          <cell r="U878" t="b">
            <v>1</v>
          </cell>
          <cell r="V878" t="str">
            <v>Done</v>
          </cell>
          <cell r="W878" t="str">
            <v>2024 Batch</v>
          </cell>
          <cell r="X878" t="str">
            <v>2024 Batch</v>
          </cell>
          <cell r="Y878">
            <v>49</v>
          </cell>
          <cell r="Z878">
            <v>2</v>
          </cell>
          <cell r="AA878" t="str">
            <v>H+L</v>
          </cell>
          <cell r="AB878">
            <v>70</v>
          </cell>
          <cell r="AC878">
            <v>50</v>
          </cell>
          <cell r="AD878" t="str">
            <v>Flat</v>
          </cell>
          <cell r="AE878" t="str">
            <v>Duplex</v>
          </cell>
          <cell r="AF878" t="str">
            <v>326 - With Partition</v>
          </cell>
          <cell r="AG878" t="str">
            <v xml:space="preserve">Without Partition </v>
          </cell>
          <cell r="AH878" t="str">
            <v xml:space="preserve">Without Partition </v>
          </cell>
          <cell r="AI878" t="str">
            <v>PINK</v>
          </cell>
          <cell r="AJ878" t="str">
            <v>Flat / PINK</v>
          </cell>
          <cell r="AK878">
            <v>1050000</v>
          </cell>
          <cell r="AL878">
            <v>15000</v>
          </cell>
          <cell r="AM878">
            <v>1650000</v>
          </cell>
          <cell r="AN878">
            <v>33000</v>
          </cell>
          <cell r="AO878">
            <v>150000</v>
          </cell>
          <cell r="AP878">
            <v>2850000</v>
          </cell>
          <cell r="AQ878"/>
          <cell r="AR878">
            <v>2850000</v>
          </cell>
          <cell r="AS878">
            <v>200000</v>
          </cell>
          <cell r="AT878">
            <v>2650000</v>
          </cell>
          <cell r="AU878">
            <v>100000</v>
          </cell>
          <cell r="AV878">
            <v>2550000</v>
          </cell>
          <cell r="AW878">
            <v>0</v>
          </cell>
          <cell r="AX878">
            <v>2550000</v>
          </cell>
        </row>
        <row r="879">
          <cell r="G879" t="str">
            <v>AGM-01-049-003</v>
          </cell>
          <cell r="H879" t="str">
            <v xml:space="preserve">Raemulan Lands, Inc. </v>
          </cell>
          <cell r="I879" t="str">
            <v>Agapeya</v>
          </cell>
          <cell r="J879" t="str">
            <v>AGM</v>
          </cell>
          <cell r="K879" t="str">
            <v>Eco-High</v>
          </cell>
          <cell r="L879" t="str">
            <v>West</v>
          </cell>
          <cell r="M879" t="str">
            <v>With LTS - 2026</v>
          </cell>
          <cell r="N879" t="str">
            <v>YES</v>
          </cell>
          <cell r="O879" t="str">
            <v>NO</v>
          </cell>
          <cell r="P879" t="str">
            <v>Unaffected lots</v>
          </cell>
          <cell r="Q879" t="str">
            <v>NO</v>
          </cell>
          <cell r="R879">
            <v>70</v>
          </cell>
          <cell r="S879" t="str">
            <v>PCS-04-034695</v>
          </cell>
          <cell r="T879" t="str">
            <v>TCT-060-2025019297</v>
          </cell>
          <cell r="U879" t="b">
            <v>1</v>
          </cell>
          <cell r="V879" t="str">
            <v>Done</v>
          </cell>
          <cell r="W879" t="str">
            <v>2024 Batch</v>
          </cell>
          <cell r="X879" t="str">
            <v>2024 Batch</v>
          </cell>
          <cell r="Y879">
            <v>49</v>
          </cell>
          <cell r="Z879">
            <v>3</v>
          </cell>
          <cell r="AA879" t="str">
            <v>H+L</v>
          </cell>
          <cell r="AB879">
            <v>70</v>
          </cell>
          <cell r="AC879">
            <v>50</v>
          </cell>
          <cell r="AD879" t="str">
            <v>Slant</v>
          </cell>
          <cell r="AE879" t="str">
            <v>Duplex</v>
          </cell>
          <cell r="AF879" t="str">
            <v>326 - With Partition</v>
          </cell>
          <cell r="AG879" t="str">
            <v>With Partition</v>
          </cell>
          <cell r="AH879" t="str">
            <v>With Partition</v>
          </cell>
          <cell r="AI879" t="str">
            <v>PINK</v>
          </cell>
          <cell r="AJ879" t="str">
            <v>Slant / PINK</v>
          </cell>
          <cell r="AK879">
            <v>1050000</v>
          </cell>
          <cell r="AL879">
            <v>15000</v>
          </cell>
          <cell r="AM879">
            <v>1650000</v>
          </cell>
          <cell r="AN879">
            <v>33000</v>
          </cell>
          <cell r="AO879">
            <v>150000</v>
          </cell>
          <cell r="AP879">
            <v>2850000</v>
          </cell>
          <cell r="AQ879"/>
          <cell r="AR879">
            <v>2850000</v>
          </cell>
          <cell r="AS879">
            <v>0</v>
          </cell>
          <cell r="AT879">
            <v>2850000</v>
          </cell>
          <cell r="AU879">
            <v>100000</v>
          </cell>
          <cell r="AV879">
            <v>2750000</v>
          </cell>
          <cell r="AW879">
            <v>0</v>
          </cell>
          <cell r="AX879">
            <v>2750000</v>
          </cell>
        </row>
        <row r="880">
          <cell r="G880" t="str">
            <v>AGM-01-049-004</v>
          </cell>
          <cell r="H880" t="str">
            <v xml:space="preserve">Raemulan Lands, Inc. </v>
          </cell>
          <cell r="I880" t="str">
            <v>Agapeya</v>
          </cell>
          <cell r="J880" t="str">
            <v>AGM</v>
          </cell>
          <cell r="K880" t="str">
            <v>Eco-High</v>
          </cell>
          <cell r="L880" t="str">
            <v>West</v>
          </cell>
          <cell r="M880" t="str">
            <v>With LTS - 2026</v>
          </cell>
          <cell r="N880" t="str">
            <v>YES</v>
          </cell>
          <cell r="O880" t="str">
            <v>NO</v>
          </cell>
          <cell r="P880" t="str">
            <v>Unaffected lots</v>
          </cell>
          <cell r="Q880" t="str">
            <v>NO</v>
          </cell>
          <cell r="R880">
            <v>70</v>
          </cell>
          <cell r="S880" t="str">
            <v>PCS-04-034695</v>
          </cell>
          <cell r="T880" t="str">
            <v>TCT-060-2025019298</v>
          </cell>
          <cell r="U880" t="b">
            <v>1</v>
          </cell>
          <cell r="V880" t="str">
            <v>Done</v>
          </cell>
          <cell r="W880" t="str">
            <v>B3 2025</v>
          </cell>
          <cell r="X880" t="str">
            <v>2025 - Batch 2</v>
          </cell>
          <cell r="Y880">
            <v>49</v>
          </cell>
          <cell r="Z880">
            <v>4</v>
          </cell>
          <cell r="AA880" t="str">
            <v>H+L</v>
          </cell>
          <cell r="AB880">
            <v>70</v>
          </cell>
          <cell r="AC880">
            <v>50</v>
          </cell>
          <cell r="AD880" t="str">
            <v>Slant</v>
          </cell>
          <cell r="AE880" t="str">
            <v>Duplex</v>
          </cell>
          <cell r="AF880" t="str">
            <v>568 - Without Partition</v>
          </cell>
          <cell r="AG880" t="str">
            <v xml:space="preserve">Without Partition </v>
          </cell>
          <cell r="AH880" t="str">
            <v xml:space="preserve">Without Partition </v>
          </cell>
          <cell r="AI880" t="str">
            <v>PINK</v>
          </cell>
          <cell r="AJ880" t="str">
            <v>Slant / PINK</v>
          </cell>
          <cell r="AK880">
            <v>1050000</v>
          </cell>
          <cell r="AL880">
            <v>15000</v>
          </cell>
          <cell r="AM880">
            <v>1650000</v>
          </cell>
          <cell r="AN880">
            <v>33000</v>
          </cell>
          <cell r="AO880">
            <v>150000</v>
          </cell>
          <cell r="AP880">
            <v>2850000</v>
          </cell>
          <cell r="AQ880"/>
          <cell r="AR880">
            <v>2850000</v>
          </cell>
          <cell r="AS880">
            <v>200000</v>
          </cell>
          <cell r="AT880">
            <v>2650000</v>
          </cell>
          <cell r="AU880">
            <v>100000</v>
          </cell>
          <cell r="AV880">
            <v>2550000</v>
          </cell>
          <cell r="AW880">
            <v>0</v>
          </cell>
          <cell r="AX880">
            <v>2550000</v>
          </cell>
        </row>
        <row r="881">
          <cell r="G881" t="str">
            <v>AGM-01-049-005</v>
          </cell>
          <cell r="H881" t="str">
            <v xml:space="preserve">Raemulan Lands, Inc. </v>
          </cell>
          <cell r="I881" t="str">
            <v>Agapeya</v>
          </cell>
          <cell r="J881" t="str">
            <v>AGM</v>
          </cell>
          <cell r="K881" t="str">
            <v>Eco-High</v>
          </cell>
          <cell r="L881" t="str">
            <v>West</v>
          </cell>
          <cell r="M881" t="str">
            <v>With LTS - 2026</v>
          </cell>
          <cell r="N881" t="str">
            <v>YES</v>
          </cell>
          <cell r="O881" t="str">
            <v>NO</v>
          </cell>
          <cell r="P881" t="str">
            <v>Unaffected lots</v>
          </cell>
          <cell r="Q881" t="str">
            <v>NO</v>
          </cell>
          <cell r="R881">
            <v>70</v>
          </cell>
          <cell r="S881" t="str">
            <v>PCS-04-034695</v>
          </cell>
          <cell r="T881" t="str">
            <v>TCT-060-2025019299</v>
          </cell>
          <cell r="U881" t="b">
            <v>1</v>
          </cell>
          <cell r="V881" t="str">
            <v>Done</v>
          </cell>
          <cell r="W881" t="str">
            <v>B3 2025</v>
          </cell>
          <cell r="X881" t="str">
            <v>2025 - Batch 2</v>
          </cell>
          <cell r="Y881">
            <v>49</v>
          </cell>
          <cell r="Z881">
            <v>5</v>
          </cell>
          <cell r="AA881" t="str">
            <v>H+L</v>
          </cell>
          <cell r="AB881">
            <v>70</v>
          </cell>
          <cell r="AC881">
            <v>50</v>
          </cell>
          <cell r="AD881" t="str">
            <v>Flat</v>
          </cell>
          <cell r="AE881" t="str">
            <v>Duplex</v>
          </cell>
          <cell r="AF881" t="str">
            <v>568 - Without Partition</v>
          </cell>
          <cell r="AG881" t="str">
            <v xml:space="preserve">Without Partition </v>
          </cell>
          <cell r="AH881" t="str">
            <v xml:space="preserve">Without Partition </v>
          </cell>
          <cell r="AI881" t="str">
            <v>PINK</v>
          </cell>
          <cell r="AJ881" t="str">
            <v>Flat / PINK</v>
          </cell>
          <cell r="AK881">
            <v>1050000</v>
          </cell>
          <cell r="AL881">
            <v>15000</v>
          </cell>
          <cell r="AM881">
            <v>1650000</v>
          </cell>
          <cell r="AN881">
            <v>33000</v>
          </cell>
          <cell r="AO881">
            <v>150000</v>
          </cell>
          <cell r="AP881">
            <v>2850000</v>
          </cell>
          <cell r="AQ881"/>
          <cell r="AR881">
            <v>2850000</v>
          </cell>
          <cell r="AS881">
            <v>200000</v>
          </cell>
          <cell r="AT881">
            <v>2650000</v>
          </cell>
          <cell r="AU881">
            <v>100000</v>
          </cell>
          <cell r="AV881">
            <v>2550000</v>
          </cell>
          <cell r="AW881">
            <v>0</v>
          </cell>
          <cell r="AX881">
            <v>2550000</v>
          </cell>
        </row>
        <row r="882">
          <cell r="G882" t="str">
            <v>AGM-01-049-006</v>
          </cell>
          <cell r="H882" t="str">
            <v xml:space="preserve">Raemulan Lands, Inc. </v>
          </cell>
          <cell r="I882" t="str">
            <v>Agapeya</v>
          </cell>
          <cell r="J882" t="str">
            <v>AGM</v>
          </cell>
          <cell r="K882" t="str">
            <v>Eco-High</v>
          </cell>
          <cell r="L882" t="str">
            <v>West</v>
          </cell>
          <cell r="M882" t="str">
            <v>With LTS - 2026</v>
          </cell>
          <cell r="N882" t="str">
            <v>YES</v>
          </cell>
          <cell r="O882" t="str">
            <v>NO</v>
          </cell>
          <cell r="P882" t="str">
            <v>Unaffected lots</v>
          </cell>
          <cell r="Q882" t="str">
            <v>NO</v>
          </cell>
          <cell r="R882">
            <v>70</v>
          </cell>
          <cell r="S882" t="str">
            <v>PCS-04-034695</v>
          </cell>
          <cell r="T882" t="str">
            <v>TCT-060-2025019300</v>
          </cell>
          <cell r="U882" t="b">
            <v>1</v>
          </cell>
          <cell r="V882" t="str">
            <v>Done</v>
          </cell>
          <cell r="W882" t="str">
            <v>B2 2025</v>
          </cell>
          <cell r="X882" t="str">
            <v>2025 - Batch 2</v>
          </cell>
          <cell r="Y882">
            <v>49</v>
          </cell>
          <cell r="Z882">
            <v>6</v>
          </cell>
          <cell r="AA882" t="str">
            <v>H+L</v>
          </cell>
          <cell r="AB882">
            <v>70</v>
          </cell>
          <cell r="AC882">
            <v>50</v>
          </cell>
          <cell r="AD882" t="str">
            <v>Flat</v>
          </cell>
          <cell r="AE882" t="str">
            <v>Duplex</v>
          </cell>
          <cell r="AF882" t="str">
            <v>568 - Without Partition</v>
          </cell>
          <cell r="AG882" t="str">
            <v xml:space="preserve">Without Partition </v>
          </cell>
          <cell r="AH882" t="str">
            <v xml:space="preserve">Without Partition </v>
          </cell>
          <cell r="AI882" t="str">
            <v>GREEN</v>
          </cell>
          <cell r="AJ882" t="str">
            <v>Flat / GREEN</v>
          </cell>
          <cell r="AK882">
            <v>1050000</v>
          </cell>
          <cell r="AL882">
            <v>15000</v>
          </cell>
          <cell r="AM882">
            <v>1650000</v>
          </cell>
          <cell r="AN882">
            <v>33000</v>
          </cell>
          <cell r="AO882">
            <v>150000</v>
          </cell>
          <cell r="AP882">
            <v>2850000</v>
          </cell>
          <cell r="AQ882"/>
          <cell r="AR882">
            <v>2850000</v>
          </cell>
          <cell r="AS882">
            <v>200000</v>
          </cell>
          <cell r="AT882">
            <v>2650000</v>
          </cell>
          <cell r="AU882">
            <v>100000</v>
          </cell>
          <cell r="AV882">
            <v>2550000</v>
          </cell>
          <cell r="AW882">
            <v>0</v>
          </cell>
          <cell r="AX882">
            <v>2550000</v>
          </cell>
        </row>
        <row r="883">
          <cell r="G883" t="str">
            <v>AGM-01-049-007</v>
          </cell>
          <cell r="H883" t="str">
            <v xml:space="preserve">Raemulan Lands, Inc. </v>
          </cell>
          <cell r="I883" t="str">
            <v>Agapeya</v>
          </cell>
          <cell r="J883" t="str">
            <v>AGM</v>
          </cell>
          <cell r="K883" t="str">
            <v>Eco-High</v>
          </cell>
          <cell r="L883" t="str">
            <v>West</v>
          </cell>
          <cell r="M883" t="str">
            <v>With LTS - 2026</v>
          </cell>
          <cell r="N883" t="str">
            <v>YES</v>
          </cell>
          <cell r="O883" t="str">
            <v>NO</v>
          </cell>
          <cell r="P883" t="str">
            <v>Unaffected lots</v>
          </cell>
          <cell r="Q883" t="str">
            <v>NO</v>
          </cell>
          <cell r="R883">
            <v>70</v>
          </cell>
          <cell r="S883" t="str">
            <v>PCS-04-034695</v>
          </cell>
          <cell r="T883" t="str">
            <v>TCT-060-2025019301</v>
          </cell>
          <cell r="U883" t="b">
            <v>1</v>
          </cell>
          <cell r="V883" t="str">
            <v>Done</v>
          </cell>
          <cell r="W883" t="str">
            <v>B2 2025</v>
          </cell>
          <cell r="X883" t="str">
            <v>2025 - Batch 2</v>
          </cell>
          <cell r="Y883">
            <v>49</v>
          </cell>
          <cell r="Z883">
            <v>7</v>
          </cell>
          <cell r="AA883" t="str">
            <v>H+L</v>
          </cell>
          <cell r="AB883">
            <v>70</v>
          </cell>
          <cell r="AC883">
            <v>50</v>
          </cell>
          <cell r="AD883" t="str">
            <v>Slant</v>
          </cell>
          <cell r="AE883" t="str">
            <v>Duplex</v>
          </cell>
          <cell r="AF883" t="str">
            <v>568 - Without Partition</v>
          </cell>
          <cell r="AG883" t="str">
            <v xml:space="preserve">Without Partition </v>
          </cell>
          <cell r="AH883" t="str">
            <v xml:space="preserve">Without Partition </v>
          </cell>
          <cell r="AI883" t="str">
            <v>GREEN</v>
          </cell>
          <cell r="AJ883" t="str">
            <v>Slant / GREEN</v>
          </cell>
          <cell r="AK883">
            <v>1050000</v>
          </cell>
          <cell r="AL883">
            <v>15000</v>
          </cell>
          <cell r="AM883">
            <v>1650000</v>
          </cell>
          <cell r="AN883">
            <v>33000</v>
          </cell>
          <cell r="AO883">
            <v>150000</v>
          </cell>
          <cell r="AP883">
            <v>2850000</v>
          </cell>
          <cell r="AQ883"/>
          <cell r="AR883">
            <v>2850000</v>
          </cell>
          <cell r="AS883">
            <v>200000</v>
          </cell>
          <cell r="AT883">
            <v>2650000</v>
          </cell>
          <cell r="AU883">
            <v>100000</v>
          </cell>
          <cell r="AV883">
            <v>2550000</v>
          </cell>
          <cell r="AW883">
            <v>0</v>
          </cell>
          <cell r="AX883">
            <v>2550000</v>
          </cell>
        </row>
        <row r="884">
          <cell r="G884" t="str">
            <v>AGM-01-049-008</v>
          </cell>
          <cell r="H884" t="str">
            <v xml:space="preserve">Raemulan Lands, Inc. </v>
          </cell>
          <cell r="I884" t="str">
            <v>Agapeya</v>
          </cell>
          <cell r="J884" t="str">
            <v>AGM</v>
          </cell>
          <cell r="K884" t="str">
            <v>Eco-High</v>
          </cell>
          <cell r="L884" t="str">
            <v>West</v>
          </cell>
          <cell r="M884" t="str">
            <v>With LTS - 2026</v>
          </cell>
          <cell r="N884" t="str">
            <v>YES</v>
          </cell>
          <cell r="O884" t="str">
            <v>NO</v>
          </cell>
          <cell r="P884" t="str">
            <v>Unaffected lots</v>
          </cell>
          <cell r="Q884" t="str">
            <v>NO</v>
          </cell>
          <cell r="R884">
            <v>70</v>
          </cell>
          <cell r="S884" t="str">
            <v>PCS-04-034695</v>
          </cell>
          <cell r="T884" t="str">
            <v>TCT-060-2025019302</v>
          </cell>
          <cell r="U884" t="b">
            <v>1</v>
          </cell>
          <cell r="V884" t="str">
            <v>Done</v>
          </cell>
          <cell r="W884" t="str">
            <v>2024 Batch</v>
          </cell>
          <cell r="X884" t="str">
            <v>2024 Batch</v>
          </cell>
          <cell r="Y884">
            <v>49</v>
          </cell>
          <cell r="Z884">
            <v>8</v>
          </cell>
          <cell r="AA884" t="str">
            <v>H+L</v>
          </cell>
          <cell r="AB884">
            <v>70</v>
          </cell>
          <cell r="AC884">
            <v>50</v>
          </cell>
          <cell r="AD884" t="str">
            <v>Slant</v>
          </cell>
          <cell r="AE884" t="str">
            <v>Duplex</v>
          </cell>
          <cell r="AF884" t="str">
            <v>326 - With Partition</v>
          </cell>
          <cell r="AG884" t="str">
            <v>With Partition</v>
          </cell>
          <cell r="AH884" t="str">
            <v>With Partition</v>
          </cell>
          <cell r="AI884" t="str">
            <v>GREEN</v>
          </cell>
          <cell r="AJ884" t="str">
            <v>Slant / GREEN</v>
          </cell>
          <cell r="AK884">
            <v>1050000</v>
          </cell>
          <cell r="AL884">
            <v>15000</v>
          </cell>
          <cell r="AM884">
            <v>1650000</v>
          </cell>
          <cell r="AN884">
            <v>33000</v>
          </cell>
          <cell r="AO884">
            <v>150000</v>
          </cell>
          <cell r="AP884">
            <v>2850000</v>
          </cell>
          <cell r="AQ884"/>
          <cell r="AR884">
            <v>2850000</v>
          </cell>
          <cell r="AS884">
            <v>0</v>
          </cell>
          <cell r="AT884">
            <v>2850000</v>
          </cell>
          <cell r="AU884">
            <v>100000</v>
          </cell>
          <cell r="AV884">
            <v>2750000</v>
          </cell>
          <cell r="AW884">
            <v>0</v>
          </cell>
          <cell r="AX884">
            <v>2750000</v>
          </cell>
        </row>
        <row r="885">
          <cell r="G885" t="str">
            <v>AGM-01-049-009</v>
          </cell>
          <cell r="H885" t="str">
            <v xml:space="preserve">Raemulan Lands, Inc. </v>
          </cell>
          <cell r="I885" t="str">
            <v>Agapeya</v>
          </cell>
          <cell r="J885" t="str">
            <v>AGM</v>
          </cell>
          <cell r="K885" t="str">
            <v>Eco-High</v>
          </cell>
          <cell r="L885" t="str">
            <v>West</v>
          </cell>
          <cell r="M885" t="str">
            <v>With LTS - 2026</v>
          </cell>
          <cell r="N885" t="str">
            <v>YES</v>
          </cell>
          <cell r="O885" t="str">
            <v>NO</v>
          </cell>
          <cell r="P885" t="str">
            <v>Unaffected lots</v>
          </cell>
          <cell r="Q885" t="str">
            <v>NO</v>
          </cell>
          <cell r="R885">
            <v>70</v>
          </cell>
          <cell r="S885" t="str">
            <v>PCS-04-034695</v>
          </cell>
          <cell r="T885" t="str">
            <v>TCT-060-2025019303</v>
          </cell>
          <cell r="U885" t="b">
            <v>1</v>
          </cell>
          <cell r="V885" t="str">
            <v>Done</v>
          </cell>
          <cell r="W885" t="str">
            <v>2024 Batch</v>
          </cell>
          <cell r="X885" t="str">
            <v>2024 Batch</v>
          </cell>
          <cell r="Y885">
            <v>49</v>
          </cell>
          <cell r="Z885">
            <v>9</v>
          </cell>
          <cell r="AA885" t="str">
            <v>H+L</v>
          </cell>
          <cell r="AB885">
            <v>70</v>
          </cell>
          <cell r="AC885">
            <v>50</v>
          </cell>
          <cell r="AD885" t="str">
            <v>Flat</v>
          </cell>
          <cell r="AE885" t="str">
            <v>Duplex</v>
          </cell>
          <cell r="AF885" t="str">
            <v>326 - With Partition</v>
          </cell>
          <cell r="AG885" t="str">
            <v>With Partition</v>
          </cell>
          <cell r="AH885" t="str">
            <v>With Partition</v>
          </cell>
          <cell r="AI885" t="str">
            <v>GREEN</v>
          </cell>
          <cell r="AJ885" t="str">
            <v>Flat / GREEN</v>
          </cell>
          <cell r="AK885">
            <v>1050000</v>
          </cell>
          <cell r="AL885">
            <v>15000</v>
          </cell>
          <cell r="AM885">
            <v>1650000</v>
          </cell>
          <cell r="AN885">
            <v>33000</v>
          </cell>
          <cell r="AO885">
            <v>150000</v>
          </cell>
          <cell r="AP885">
            <v>2850000</v>
          </cell>
          <cell r="AQ885"/>
          <cell r="AR885">
            <v>2850000</v>
          </cell>
          <cell r="AS885">
            <v>0</v>
          </cell>
          <cell r="AT885">
            <v>2850000</v>
          </cell>
          <cell r="AU885">
            <v>100000</v>
          </cell>
          <cell r="AV885">
            <v>2750000</v>
          </cell>
          <cell r="AW885">
            <v>0</v>
          </cell>
          <cell r="AX885">
            <v>2750000</v>
          </cell>
        </row>
        <row r="886">
          <cell r="G886" t="str">
            <v>AGM-01-049-010</v>
          </cell>
          <cell r="H886" t="str">
            <v xml:space="preserve">Raemulan Lands, Inc. </v>
          </cell>
          <cell r="I886" t="str">
            <v>Agapeya</v>
          </cell>
          <cell r="J886" t="str">
            <v>AGM</v>
          </cell>
          <cell r="K886" t="str">
            <v>Eco-High</v>
          </cell>
          <cell r="L886" t="str">
            <v>West</v>
          </cell>
          <cell r="M886" t="str">
            <v>With LTS - 2026</v>
          </cell>
          <cell r="N886" t="str">
            <v>YES</v>
          </cell>
          <cell r="O886" t="str">
            <v>NO</v>
          </cell>
          <cell r="P886" t="str">
            <v>Unaffected lots</v>
          </cell>
          <cell r="Q886" t="str">
            <v>NO</v>
          </cell>
          <cell r="R886">
            <v>69</v>
          </cell>
          <cell r="S886" t="str">
            <v>PCS-04-034695</v>
          </cell>
          <cell r="T886" t="str">
            <v>TCT-060-2025019304</v>
          </cell>
          <cell r="U886" t="b">
            <v>1</v>
          </cell>
          <cell r="V886" t="str">
            <v>Done</v>
          </cell>
          <cell r="W886" t="str">
            <v>2024 Batch</v>
          </cell>
          <cell r="X886" t="str">
            <v>2024 Batch</v>
          </cell>
          <cell r="Y886">
            <v>49</v>
          </cell>
          <cell r="Z886">
            <v>10</v>
          </cell>
          <cell r="AA886" t="str">
            <v>H+L</v>
          </cell>
          <cell r="AB886">
            <v>69</v>
          </cell>
          <cell r="AC886">
            <v>50</v>
          </cell>
          <cell r="AD886" t="str">
            <v>Slant</v>
          </cell>
          <cell r="AE886" t="str">
            <v>Duplex</v>
          </cell>
          <cell r="AF886" t="str">
            <v>326 - With Partition</v>
          </cell>
          <cell r="AG886" t="str">
            <v>With Partition</v>
          </cell>
          <cell r="AH886" t="str">
            <v>With Partition</v>
          </cell>
          <cell r="AI886" t="str">
            <v>YELLOW</v>
          </cell>
          <cell r="AJ886" t="str">
            <v>Slant / YELLOW</v>
          </cell>
          <cell r="AK886">
            <v>1050000</v>
          </cell>
          <cell r="AL886">
            <v>15000</v>
          </cell>
          <cell r="AM886">
            <v>1650000</v>
          </cell>
          <cell r="AN886">
            <v>33000</v>
          </cell>
          <cell r="AO886">
            <v>150000</v>
          </cell>
          <cell r="AP886">
            <v>2850000</v>
          </cell>
          <cell r="AQ886"/>
          <cell r="AR886">
            <v>2850000</v>
          </cell>
          <cell r="AS886">
            <v>0</v>
          </cell>
          <cell r="AT886">
            <v>2850000</v>
          </cell>
          <cell r="AU886">
            <v>100000</v>
          </cell>
          <cell r="AV886">
            <v>2750000</v>
          </cell>
          <cell r="AW886">
            <v>0</v>
          </cell>
          <cell r="AX886">
            <v>2750000</v>
          </cell>
        </row>
        <row r="887">
          <cell r="G887" t="str">
            <v>AGM-01-049-011</v>
          </cell>
          <cell r="H887" t="str">
            <v xml:space="preserve">Raemulan Lands, Inc. </v>
          </cell>
          <cell r="I887" t="str">
            <v>Agapeya</v>
          </cell>
          <cell r="J887" t="str">
            <v>AGM</v>
          </cell>
          <cell r="K887" t="str">
            <v>Eco-High</v>
          </cell>
          <cell r="L887" t="str">
            <v>West</v>
          </cell>
          <cell r="M887" t="str">
            <v>With LTS - 2026</v>
          </cell>
          <cell r="N887" t="str">
            <v>YES</v>
          </cell>
          <cell r="O887" t="str">
            <v>NO</v>
          </cell>
          <cell r="P887" t="str">
            <v>Unaffected lots</v>
          </cell>
          <cell r="Q887" t="str">
            <v>NO</v>
          </cell>
          <cell r="R887">
            <v>69</v>
          </cell>
          <cell r="S887" t="str">
            <v>PCS-04-034695</v>
          </cell>
          <cell r="T887" t="str">
            <v>TCT-060-2025019305</v>
          </cell>
          <cell r="U887" t="b">
            <v>1</v>
          </cell>
          <cell r="V887" t="str">
            <v>Done</v>
          </cell>
          <cell r="W887" t="str">
            <v>2024 Batch</v>
          </cell>
          <cell r="X887" t="str">
            <v>2024 Batch</v>
          </cell>
          <cell r="Y887">
            <v>49</v>
          </cell>
          <cell r="Z887">
            <v>11</v>
          </cell>
          <cell r="AA887" t="str">
            <v>H+L</v>
          </cell>
          <cell r="AB887">
            <v>69</v>
          </cell>
          <cell r="AC887">
            <v>50</v>
          </cell>
          <cell r="AD887" t="str">
            <v>Flat</v>
          </cell>
          <cell r="AE887" t="str">
            <v>Duplex</v>
          </cell>
          <cell r="AF887" t="str">
            <v>326 - With Partition</v>
          </cell>
          <cell r="AG887" t="str">
            <v>With Partition</v>
          </cell>
          <cell r="AH887" t="str">
            <v>With Partition</v>
          </cell>
          <cell r="AI887" t="str">
            <v>YELLOW</v>
          </cell>
          <cell r="AJ887" t="str">
            <v>Flat / YELLOW</v>
          </cell>
          <cell r="AK887">
            <v>1050000</v>
          </cell>
          <cell r="AL887">
            <v>15000</v>
          </cell>
          <cell r="AM887">
            <v>1650000</v>
          </cell>
          <cell r="AN887">
            <v>33000</v>
          </cell>
          <cell r="AO887">
            <v>150000</v>
          </cell>
          <cell r="AP887">
            <v>2850000</v>
          </cell>
          <cell r="AQ887"/>
          <cell r="AR887">
            <v>2850000</v>
          </cell>
          <cell r="AS887">
            <v>0</v>
          </cell>
          <cell r="AT887">
            <v>2850000</v>
          </cell>
          <cell r="AU887">
            <v>100000</v>
          </cell>
          <cell r="AV887">
            <v>2750000</v>
          </cell>
          <cell r="AW887">
            <v>0</v>
          </cell>
          <cell r="AX887">
            <v>2750000</v>
          </cell>
        </row>
        <row r="888">
          <cell r="G888" t="str">
            <v>AGM-01-049-012</v>
          </cell>
          <cell r="H888" t="str">
            <v xml:space="preserve">Raemulan Lands, Inc. </v>
          </cell>
          <cell r="I888" t="str">
            <v>Agapeya</v>
          </cell>
          <cell r="J888" t="str">
            <v>AGM</v>
          </cell>
          <cell r="K888" t="str">
            <v>Eco-High</v>
          </cell>
          <cell r="L888" t="str">
            <v>West</v>
          </cell>
          <cell r="M888" t="str">
            <v>With LTS - 2026</v>
          </cell>
          <cell r="N888" t="str">
            <v>YES</v>
          </cell>
          <cell r="O888" t="str">
            <v>NO</v>
          </cell>
          <cell r="P888" t="str">
            <v>Unaffected lots</v>
          </cell>
          <cell r="Q888" t="str">
            <v>NO</v>
          </cell>
          <cell r="R888">
            <v>70</v>
          </cell>
          <cell r="S888" t="str">
            <v>PCS-04-034695</v>
          </cell>
          <cell r="T888" t="str">
            <v>TCT-060-2025019306</v>
          </cell>
          <cell r="U888" t="b">
            <v>1</v>
          </cell>
          <cell r="V888" t="str">
            <v>Done</v>
          </cell>
          <cell r="W888" t="str">
            <v>B2 2025</v>
          </cell>
          <cell r="X888" t="str">
            <v>2025 - Batch 2</v>
          </cell>
          <cell r="Y888">
            <v>49</v>
          </cell>
          <cell r="Z888">
            <v>12</v>
          </cell>
          <cell r="AA888" t="str">
            <v>H+L</v>
          </cell>
          <cell r="AB888">
            <v>70</v>
          </cell>
          <cell r="AC888">
            <v>50</v>
          </cell>
          <cell r="AD888" t="str">
            <v>Flat</v>
          </cell>
          <cell r="AE888" t="str">
            <v>Duplex</v>
          </cell>
          <cell r="AF888" t="str">
            <v>568 - Without Partition</v>
          </cell>
          <cell r="AG888" t="str">
            <v xml:space="preserve">Without Partition </v>
          </cell>
          <cell r="AH888" t="str">
            <v xml:space="preserve">Without Partition </v>
          </cell>
          <cell r="AI888" t="str">
            <v>YELLOW</v>
          </cell>
          <cell r="AJ888" t="str">
            <v>Flat / YELLOW</v>
          </cell>
          <cell r="AK888">
            <v>1050000</v>
          </cell>
          <cell r="AL888">
            <v>15000</v>
          </cell>
          <cell r="AM888">
            <v>1650000</v>
          </cell>
          <cell r="AN888">
            <v>33000</v>
          </cell>
          <cell r="AO888">
            <v>150000</v>
          </cell>
          <cell r="AP888">
            <v>2850000</v>
          </cell>
          <cell r="AQ888"/>
          <cell r="AR888">
            <v>2850000</v>
          </cell>
          <cell r="AS888">
            <v>200000</v>
          </cell>
          <cell r="AT888">
            <v>2650000</v>
          </cell>
          <cell r="AU888">
            <v>100000</v>
          </cell>
          <cell r="AV888">
            <v>2550000</v>
          </cell>
          <cell r="AW888">
            <v>0</v>
          </cell>
          <cell r="AX888">
            <v>2550000</v>
          </cell>
        </row>
        <row r="889">
          <cell r="G889" t="str">
            <v>AGM-01-049-013</v>
          </cell>
          <cell r="H889" t="str">
            <v xml:space="preserve">Raemulan Lands, Inc. </v>
          </cell>
          <cell r="I889" t="str">
            <v>Agapeya</v>
          </cell>
          <cell r="J889" t="str">
            <v>AGM</v>
          </cell>
          <cell r="K889" t="str">
            <v>Eco-High</v>
          </cell>
          <cell r="L889" t="str">
            <v>West</v>
          </cell>
          <cell r="M889" t="str">
            <v>With LTS - 2026</v>
          </cell>
          <cell r="N889" t="str">
            <v>YES</v>
          </cell>
          <cell r="O889" t="str">
            <v>NO</v>
          </cell>
          <cell r="P889" t="str">
            <v>Unaffected lots</v>
          </cell>
          <cell r="Q889" t="str">
            <v>NO</v>
          </cell>
          <cell r="R889">
            <v>70</v>
          </cell>
          <cell r="S889" t="str">
            <v>PCS-04-034695</v>
          </cell>
          <cell r="T889" t="str">
            <v>TCT-060-2025019307</v>
          </cell>
          <cell r="U889" t="b">
            <v>1</v>
          </cell>
          <cell r="V889" t="str">
            <v>Done</v>
          </cell>
          <cell r="W889" t="str">
            <v>B2 2025</v>
          </cell>
          <cell r="X889" t="str">
            <v>2025 - Batch 2</v>
          </cell>
          <cell r="Y889">
            <v>49</v>
          </cell>
          <cell r="Z889">
            <v>13</v>
          </cell>
          <cell r="AA889" t="str">
            <v>H+L</v>
          </cell>
          <cell r="AB889">
            <v>70</v>
          </cell>
          <cell r="AC889">
            <v>50</v>
          </cell>
          <cell r="AD889" t="str">
            <v>Slant</v>
          </cell>
          <cell r="AE889" t="str">
            <v>Duplex</v>
          </cell>
          <cell r="AF889" t="str">
            <v>568 - Without Partition</v>
          </cell>
          <cell r="AG889" t="str">
            <v xml:space="preserve">Without Partition </v>
          </cell>
          <cell r="AH889" t="str">
            <v xml:space="preserve">Without Partition </v>
          </cell>
          <cell r="AI889" t="str">
            <v>YELLOW</v>
          </cell>
          <cell r="AJ889" t="str">
            <v>Slant / YELLOW</v>
          </cell>
          <cell r="AK889">
            <v>1050000</v>
          </cell>
          <cell r="AL889">
            <v>15000</v>
          </cell>
          <cell r="AM889">
            <v>1650000</v>
          </cell>
          <cell r="AN889">
            <v>33000</v>
          </cell>
          <cell r="AO889">
            <v>150000</v>
          </cell>
          <cell r="AP889">
            <v>2850000</v>
          </cell>
          <cell r="AQ889"/>
          <cell r="AR889">
            <v>2850000</v>
          </cell>
          <cell r="AS889">
            <v>200000</v>
          </cell>
          <cell r="AT889">
            <v>2650000</v>
          </cell>
          <cell r="AU889">
            <v>100000</v>
          </cell>
          <cell r="AV889">
            <v>2550000</v>
          </cell>
          <cell r="AW889">
            <v>0</v>
          </cell>
          <cell r="AX889">
            <v>2550000</v>
          </cell>
        </row>
        <row r="890">
          <cell r="G890" t="str">
            <v>AGM-01-049-014</v>
          </cell>
          <cell r="H890" t="str">
            <v xml:space="preserve">Raemulan Lands, Inc. </v>
          </cell>
          <cell r="I890" t="str">
            <v>Agapeya</v>
          </cell>
          <cell r="J890" t="str">
            <v>AGM</v>
          </cell>
          <cell r="K890" t="str">
            <v>Eco-High</v>
          </cell>
          <cell r="L890" t="str">
            <v>West</v>
          </cell>
          <cell r="M890" t="str">
            <v>With LTS - 2026</v>
          </cell>
          <cell r="N890" t="str">
            <v>YES</v>
          </cell>
          <cell r="O890" t="str">
            <v>NO</v>
          </cell>
          <cell r="P890" t="str">
            <v>Unaffected lots</v>
          </cell>
          <cell r="Q890" t="str">
            <v>NO</v>
          </cell>
          <cell r="R890">
            <v>70</v>
          </cell>
          <cell r="S890" t="str">
            <v>PCS-04-034695</v>
          </cell>
          <cell r="T890" t="str">
            <v>TCT-060-2025019308</v>
          </cell>
          <cell r="U890" t="b">
            <v>1</v>
          </cell>
          <cell r="V890" t="str">
            <v>Done</v>
          </cell>
          <cell r="W890" t="str">
            <v>B2 2025</v>
          </cell>
          <cell r="X890" t="str">
            <v>2025 - Batch 2</v>
          </cell>
          <cell r="Y890">
            <v>49</v>
          </cell>
          <cell r="Z890">
            <v>14</v>
          </cell>
          <cell r="AA890" t="str">
            <v>H+L</v>
          </cell>
          <cell r="AB890">
            <v>70</v>
          </cell>
          <cell r="AC890">
            <v>50</v>
          </cell>
          <cell r="AD890" t="str">
            <v>Slant</v>
          </cell>
          <cell r="AE890" t="str">
            <v>Duplex</v>
          </cell>
          <cell r="AF890" t="str">
            <v>568 - Without Partition</v>
          </cell>
          <cell r="AG890" t="str">
            <v xml:space="preserve">Without Partition </v>
          </cell>
          <cell r="AH890" t="str">
            <v xml:space="preserve">Without Partition </v>
          </cell>
          <cell r="AI890" t="str">
            <v>PURPLE</v>
          </cell>
          <cell r="AJ890" t="str">
            <v>Slant / PURPLE</v>
          </cell>
          <cell r="AK890">
            <v>1050000</v>
          </cell>
          <cell r="AL890">
            <v>15000</v>
          </cell>
          <cell r="AM890">
            <v>1650000</v>
          </cell>
          <cell r="AN890">
            <v>33000</v>
          </cell>
          <cell r="AO890">
            <v>150000</v>
          </cell>
          <cell r="AP890">
            <v>2850000</v>
          </cell>
          <cell r="AQ890"/>
          <cell r="AR890">
            <v>2850000</v>
          </cell>
          <cell r="AS890">
            <v>200000</v>
          </cell>
          <cell r="AT890">
            <v>2650000</v>
          </cell>
          <cell r="AU890">
            <v>100000</v>
          </cell>
          <cell r="AV890">
            <v>2550000</v>
          </cell>
          <cell r="AW890">
            <v>0</v>
          </cell>
          <cell r="AX890">
            <v>2550000</v>
          </cell>
        </row>
        <row r="891">
          <cell r="G891" t="str">
            <v>AGM-01-049-015</v>
          </cell>
          <cell r="H891" t="str">
            <v xml:space="preserve">Raemulan Lands, Inc. </v>
          </cell>
          <cell r="I891" t="str">
            <v>Agapeya</v>
          </cell>
          <cell r="J891" t="str">
            <v>AGM</v>
          </cell>
          <cell r="K891" t="str">
            <v>Eco-High</v>
          </cell>
          <cell r="L891" t="str">
            <v>West</v>
          </cell>
          <cell r="M891" t="str">
            <v>With LTS - 2026</v>
          </cell>
          <cell r="N891" t="str">
            <v>YES</v>
          </cell>
          <cell r="O891" t="str">
            <v>NO</v>
          </cell>
          <cell r="P891" t="str">
            <v>Unaffected lots</v>
          </cell>
          <cell r="Q891" t="str">
            <v>NO</v>
          </cell>
          <cell r="R891">
            <v>70</v>
          </cell>
          <cell r="S891" t="str">
            <v>PCS-04-034695</v>
          </cell>
          <cell r="T891" t="str">
            <v>TCT-060-2025019309</v>
          </cell>
          <cell r="U891" t="b">
            <v>1</v>
          </cell>
          <cell r="V891" t="str">
            <v>Done</v>
          </cell>
          <cell r="W891" t="str">
            <v>B2 2025</v>
          </cell>
          <cell r="X891" t="str">
            <v>2025 - Batch 2</v>
          </cell>
          <cell r="Y891">
            <v>49</v>
          </cell>
          <cell r="Z891">
            <v>15</v>
          </cell>
          <cell r="AA891" t="str">
            <v>H+L</v>
          </cell>
          <cell r="AB891">
            <v>70</v>
          </cell>
          <cell r="AC891">
            <v>50</v>
          </cell>
          <cell r="AD891" t="str">
            <v>Flat</v>
          </cell>
          <cell r="AE891" t="str">
            <v>Duplex</v>
          </cell>
          <cell r="AF891" t="str">
            <v>568 - Without Partition</v>
          </cell>
          <cell r="AG891" t="str">
            <v xml:space="preserve">Without Partition </v>
          </cell>
          <cell r="AH891" t="str">
            <v xml:space="preserve">Without Partition </v>
          </cell>
          <cell r="AI891" t="str">
            <v>PURPLE</v>
          </cell>
          <cell r="AJ891" t="str">
            <v>Flat / PURPLE</v>
          </cell>
          <cell r="AK891">
            <v>1050000</v>
          </cell>
          <cell r="AL891">
            <v>15000</v>
          </cell>
          <cell r="AM891">
            <v>1650000</v>
          </cell>
          <cell r="AN891">
            <v>33000</v>
          </cell>
          <cell r="AO891">
            <v>150000</v>
          </cell>
          <cell r="AP891">
            <v>2850000</v>
          </cell>
          <cell r="AQ891"/>
          <cell r="AR891">
            <v>2850000</v>
          </cell>
          <cell r="AS891">
            <v>200000</v>
          </cell>
          <cell r="AT891">
            <v>2650000</v>
          </cell>
          <cell r="AU891">
            <v>100000</v>
          </cell>
          <cell r="AV891">
            <v>2550000</v>
          </cell>
          <cell r="AW891">
            <v>0</v>
          </cell>
          <cell r="AX891">
            <v>2550000</v>
          </cell>
        </row>
        <row r="892">
          <cell r="G892" t="str">
            <v>AGM-01-049-016</v>
          </cell>
          <cell r="H892" t="str">
            <v xml:space="preserve">Raemulan Lands, Inc. </v>
          </cell>
          <cell r="I892" t="str">
            <v>Agapeya</v>
          </cell>
          <cell r="J892" t="str">
            <v>AGM</v>
          </cell>
          <cell r="K892" t="str">
            <v>Eco-High</v>
          </cell>
          <cell r="L892" t="str">
            <v>West</v>
          </cell>
          <cell r="M892" t="str">
            <v>With LTS - 2026</v>
          </cell>
          <cell r="N892" t="str">
            <v>YES</v>
          </cell>
          <cell r="O892" t="str">
            <v>NO</v>
          </cell>
          <cell r="P892" t="str">
            <v>Unaffected lots</v>
          </cell>
          <cell r="Q892" t="str">
            <v>NO</v>
          </cell>
          <cell r="R892">
            <v>70</v>
          </cell>
          <cell r="S892" t="str">
            <v>PCS-04-034695</v>
          </cell>
          <cell r="T892" t="str">
            <v>TCT-060-2025019310</v>
          </cell>
          <cell r="U892" t="b">
            <v>1</v>
          </cell>
          <cell r="V892" t="str">
            <v>Done</v>
          </cell>
          <cell r="W892" t="str">
            <v>2024 Batch</v>
          </cell>
          <cell r="X892" t="str">
            <v>2024 Batch</v>
          </cell>
          <cell r="Y892">
            <v>49</v>
          </cell>
          <cell r="Z892">
            <v>16</v>
          </cell>
          <cell r="AA892" t="str">
            <v>H+L</v>
          </cell>
          <cell r="AB892">
            <v>70</v>
          </cell>
          <cell r="AC892">
            <v>50</v>
          </cell>
          <cell r="AD892" t="str">
            <v>Flat</v>
          </cell>
          <cell r="AE892" t="str">
            <v>Duplex</v>
          </cell>
          <cell r="AF892" t="str">
            <v>326 - With Partition</v>
          </cell>
          <cell r="AG892" t="str">
            <v xml:space="preserve">Without Partition </v>
          </cell>
          <cell r="AH892" t="str">
            <v>With Partition</v>
          </cell>
          <cell r="AI892" t="str">
            <v>PURPLE</v>
          </cell>
          <cell r="AJ892" t="str">
            <v>Flat / PURPLE</v>
          </cell>
          <cell r="AK892">
            <v>1050000</v>
          </cell>
          <cell r="AL892">
            <v>15000</v>
          </cell>
          <cell r="AM892">
            <v>1650000</v>
          </cell>
          <cell r="AN892">
            <v>33000</v>
          </cell>
          <cell r="AO892">
            <v>150000</v>
          </cell>
          <cell r="AP892">
            <v>2850000</v>
          </cell>
          <cell r="AQ892"/>
          <cell r="AR892">
            <v>2850000</v>
          </cell>
          <cell r="AS892">
            <v>0</v>
          </cell>
          <cell r="AT892">
            <v>2850000</v>
          </cell>
          <cell r="AU892">
            <v>100000</v>
          </cell>
          <cell r="AV892">
            <v>2750000</v>
          </cell>
          <cell r="AW892">
            <v>0</v>
          </cell>
          <cell r="AX892">
            <v>2750000</v>
          </cell>
        </row>
        <row r="893">
          <cell r="G893" t="str">
            <v>AGM-01-049-017</v>
          </cell>
          <cell r="H893" t="str">
            <v xml:space="preserve">Raemulan Lands, Inc. </v>
          </cell>
          <cell r="I893" t="str">
            <v>Agapeya</v>
          </cell>
          <cell r="J893" t="str">
            <v>AGM</v>
          </cell>
          <cell r="K893" t="str">
            <v>Eco-High</v>
          </cell>
          <cell r="L893" t="str">
            <v>West</v>
          </cell>
          <cell r="M893" t="str">
            <v>With LTS - 2026</v>
          </cell>
          <cell r="N893" t="str">
            <v>YES</v>
          </cell>
          <cell r="O893" t="str">
            <v>NO</v>
          </cell>
          <cell r="P893" t="str">
            <v>Unaffected lots</v>
          </cell>
          <cell r="Q893" t="str">
            <v>NO</v>
          </cell>
          <cell r="R893">
            <v>70</v>
          </cell>
          <cell r="S893" t="str">
            <v>PCS-04-034695</v>
          </cell>
          <cell r="T893" t="str">
            <v>TCT-060-2025019311</v>
          </cell>
          <cell r="U893" t="b">
            <v>1</v>
          </cell>
          <cell r="V893" t="str">
            <v>Done</v>
          </cell>
          <cell r="W893" t="str">
            <v>2024 Batch</v>
          </cell>
          <cell r="X893" t="str">
            <v>2024 Batch</v>
          </cell>
          <cell r="Y893">
            <v>49</v>
          </cell>
          <cell r="Z893">
            <v>17</v>
          </cell>
          <cell r="AA893" t="str">
            <v>H+L</v>
          </cell>
          <cell r="AB893">
            <v>70</v>
          </cell>
          <cell r="AC893">
            <v>50</v>
          </cell>
          <cell r="AD893" t="str">
            <v>Slant</v>
          </cell>
          <cell r="AE893" t="str">
            <v>Duplex</v>
          </cell>
          <cell r="AF893" t="str">
            <v>326 - With Partition</v>
          </cell>
          <cell r="AG893" t="str">
            <v>With Partition</v>
          </cell>
          <cell r="AH893" t="str">
            <v>With Partition</v>
          </cell>
          <cell r="AI893" t="str">
            <v>PURPLE</v>
          </cell>
          <cell r="AJ893" t="str">
            <v>Slant / PURPLE</v>
          </cell>
          <cell r="AK893">
            <v>1050000</v>
          </cell>
          <cell r="AL893">
            <v>15000</v>
          </cell>
          <cell r="AM893">
            <v>1650000</v>
          </cell>
          <cell r="AN893">
            <v>33000</v>
          </cell>
          <cell r="AO893">
            <v>150000</v>
          </cell>
          <cell r="AP893">
            <v>2850000</v>
          </cell>
          <cell r="AQ893"/>
          <cell r="AR893">
            <v>2850000</v>
          </cell>
          <cell r="AS893">
            <v>0</v>
          </cell>
          <cell r="AT893">
            <v>2850000</v>
          </cell>
          <cell r="AU893">
            <v>100000</v>
          </cell>
          <cell r="AV893">
            <v>2750000</v>
          </cell>
          <cell r="AW893">
            <v>0</v>
          </cell>
          <cell r="AX893">
            <v>2750000</v>
          </cell>
        </row>
        <row r="894">
          <cell r="G894" t="str">
            <v>AGM-01-049-018</v>
          </cell>
          <cell r="H894" t="str">
            <v xml:space="preserve">Raemulan Lands, Inc. </v>
          </cell>
          <cell r="I894" t="str">
            <v>Agapeya</v>
          </cell>
          <cell r="J894" t="str">
            <v>AGM</v>
          </cell>
          <cell r="K894" t="str">
            <v>Eco-High</v>
          </cell>
          <cell r="L894" t="str">
            <v>West</v>
          </cell>
          <cell r="M894" t="str">
            <v>With LTS - 2026</v>
          </cell>
          <cell r="N894" t="str">
            <v>YES</v>
          </cell>
          <cell r="O894" t="str">
            <v>NO</v>
          </cell>
          <cell r="P894" t="str">
            <v>Unaffected lots</v>
          </cell>
          <cell r="Q894" t="str">
            <v>NO</v>
          </cell>
          <cell r="R894">
            <v>101</v>
          </cell>
          <cell r="S894" t="str">
            <v>PCS-04-034695</v>
          </cell>
          <cell r="T894" t="str">
            <v>TCT-060-2025019312</v>
          </cell>
          <cell r="U894" t="b">
            <v>1</v>
          </cell>
          <cell r="V894" t="str">
            <v>Done</v>
          </cell>
          <cell r="W894" t="str">
            <v>B3 2025</v>
          </cell>
          <cell r="X894" t="str">
            <v>2025 - Batch 2</v>
          </cell>
          <cell r="Y894">
            <v>49</v>
          </cell>
          <cell r="Z894">
            <v>18</v>
          </cell>
          <cell r="AA894" t="str">
            <v>H+L</v>
          </cell>
          <cell r="AB894">
            <v>101</v>
          </cell>
          <cell r="AC894">
            <v>50</v>
          </cell>
          <cell r="AD894" t="str">
            <v>Slant</v>
          </cell>
          <cell r="AE894" t="str">
            <v>Duplex</v>
          </cell>
          <cell r="AF894" t="str">
            <v>568 - Without Partition</v>
          </cell>
          <cell r="AG894" t="str">
            <v xml:space="preserve">Without Partition </v>
          </cell>
          <cell r="AH894" t="str">
            <v xml:space="preserve">Without Partition </v>
          </cell>
          <cell r="AI894" t="str">
            <v>GREEN</v>
          </cell>
          <cell r="AJ894" t="str">
            <v>Slant / GREEN</v>
          </cell>
          <cell r="AK894">
            <v>1515000</v>
          </cell>
          <cell r="AL894">
            <v>15000</v>
          </cell>
          <cell r="AM894">
            <v>1650000</v>
          </cell>
          <cell r="AN894">
            <v>33000</v>
          </cell>
          <cell r="AO894">
            <v>150000</v>
          </cell>
          <cell r="AP894">
            <v>3315000</v>
          </cell>
          <cell r="AQ894"/>
          <cell r="AR894">
            <v>3315000</v>
          </cell>
          <cell r="AS894">
            <v>200000</v>
          </cell>
          <cell r="AT894">
            <v>3115000</v>
          </cell>
          <cell r="AU894">
            <v>100000</v>
          </cell>
          <cell r="AV894">
            <v>3015000</v>
          </cell>
          <cell r="AW894">
            <v>0</v>
          </cell>
          <cell r="AX894">
            <v>3015000</v>
          </cell>
        </row>
        <row r="895">
          <cell r="G895" t="str">
            <v>AGM-01-050-001</v>
          </cell>
          <cell r="H895" t="str">
            <v xml:space="preserve">Raemulan Lands, Inc. </v>
          </cell>
          <cell r="I895" t="str">
            <v>Agapeya</v>
          </cell>
          <cell r="J895" t="str">
            <v>AGM</v>
          </cell>
          <cell r="K895" t="str">
            <v>Eco-High</v>
          </cell>
          <cell r="L895" t="str">
            <v>West</v>
          </cell>
          <cell r="M895" t="str">
            <v>With LTS - 2024</v>
          </cell>
          <cell r="N895" t="str">
            <v>YES</v>
          </cell>
          <cell r="O895" t="str">
            <v>YES</v>
          </cell>
          <cell r="P895" t="str">
            <v>Unaffected lots</v>
          </cell>
          <cell r="Q895" t="str">
            <v>YES</v>
          </cell>
          <cell r="R895">
            <v>100</v>
          </cell>
          <cell r="S895" t="str">
            <v>PSD-04-276567</v>
          </cell>
          <cell r="T895" t="str">
            <v>TCT-060-2024019643</v>
          </cell>
          <cell r="U895" t="b">
            <v>1</v>
          </cell>
          <cell r="V895" t="str">
            <v>Done</v>
          </cell>
          <cell r="W895" t="str">
            <v>B2 2025</v>
          </cell>
          <cell r="X895" t="str">
            <v>2025 - Batch 1</v>
          </cell>
          <cell r="Y895">
            <v>50</v>
          </cell>
          <cell r="Z895">
            <v>1</v>
          </cell>
          <cell r="AA895" t="str">
            <v>H+L</v>
          </cell>
          <cell r="AB895">
            <v>100</v>
          </cell>
          <cell r="AC895">
            <v>50</v>
          </cell>
          <cell r="AD895" t="str">
            <v>Slant</v>
          </cell>
          <cell r="AE895" t="str">
            <v>Duplex</v>
          </cell>
          <cell r="AF895" t="str">
            <v>568 - Without Partition</v>
          </cell>
          <cell r="AG895" t="str">
            <v xml:space="preserve">Without Partition </v>
          </cell>
          <cell r="AH895" t="str">
            <v>With Partition</v>
          </cell>
          <cell r="AI895" t="str">
            <v>GREEN</v>
          </cell>
          <cell r="AJ895" t="str">
            <v>Slant / GREEN</v>
          </cell>
          <cell r="AK895">
            <v>1500000</v>
          </cell>
          <cell r="AL895">
            <v>15000</v>
          </cell>
          <cell r="AM895">
            <v>1650000</v>
          </cell>
          <cell r="AN895">
            <v>33000</v>
          </cell>
          <cell r="AO895">
            <v>150000</v>
          </cell>
          <cell r="AP895">
            <v>3300000</v>
          </cell>
          <cell r="AQ895"/>
          <cell r="AR895">
            <v>3300000</v>
          </cell>
          <cell r="AS895">
            <v>0</v>
          </cell>
          <cell r="AT895">
            <v>3300000</v>
          </cell>
          <cell r="AU895">
            <v>100000</v>
          </cell>
          <cell r="AV895">
            <v>3200000</v>
          </cell>
          <cell r="AW895">
            <v>0</v>
          </cell>
          <cell r="AX895">
            <v>3200000</v>
          </cell>
        </row>
        <row r="896">
          <cell r="G896" t="str">
            <v>AGM-01-050-002</v>
          </cell>
          <cell r="H896" t="str">
            <v xml:space="preserve">Raemulan Lands, Inc. </v>
          </cell>
          <cell r="I896" t="str">
            <v>Agapeya</v>
          </cell>
          <cell r="J896" t="str">
            <v>AGM</v>
          </cell>
          <cell r="K896" t="str">
            <v>Eco-High</v>
          </cell>
          <cell r="L896" t="str">
            <v>West</v>
          </cell>
          <cell r="M896" t="str">
            <v>With LTS - 2024</v>
          </cell>
          <cell r="N896" t="str">
            <v>YES</v>
          </cell>
          <cell r="O896" t="str">
            <v>YES</v>
          </cell>
          <cell r="P896" t="str">
            <v>Unaffected lots</v>
          </cell>
          <cell r="Q896" t="str">
            <v>YES</v>
          </cell>
          <cell r="R896">
            <v>70</v>
          </cell>
          <cell r="S896" t="str">
            <v>PSD-04-276567</v>
          </cell>
          <cell r="T896" t="str">
            <v>TCT-060-2024019644</v>
          </cell>
          <cell r="U896" t="b">
            <v>1</v>
          </cell>
          <cell r="V896" t="str">
            <v>Done</v>
          </cell>
          <cell r="W896" t="str">
            <v>B2 2025</v>
          </cell>
          <cell r="X896" t="str">
            <v>2025 - Batch 1</v>
          </cell>
          <cell r="Y896">
            <v>50</v>
          </cell>
          <cell r="Z896">
            <v>2</v>
          </cell>
          <cell r="AA896" t="str">
            <v>H+L</v>
          </cell>
          <cell r="AB896">
            <v>70</v>
          </cell>
          <cell r="AC896">
            <v>50</v>
          </cell>
          <cell r="AD896" t="str">
            <v>Flat</v>
          </cell>
          <cell r="AE896" t="str">
            <v>Duplex</v>
          </cell>
          <cell r="AF896" t="str">
            <v>568 - Without Partition</v>
          </cell>
          <cell r="AG896" t="str">
            <v xml:space="preserve">Without Partition </v>
          </cell>
          <cell r="AH896" t="str">
            <v xml:space="preserve">Without Partition </v>
          </cell>
          <cell r="AI896" t="str">
            <v>GREEN</v>
          </cell>
          <cell r="AJ896" t="str">
            <v>Flat / GREEN</v>
          </cell>
          <cell r="AK896">
            <v>1050000</v>
          </cell>
          <cell r="AL896">
            <v>15000</v>
          </cell>
          <cell r="AM896">
            <v>1650000</v>
          </cell>
          <cell r="AN896">
            <v>33000</v>
          </cell>
          <cell r="AO896">
            <v>150000</v>
          </cell>
          <cell r="AP896">
            <v>2850000</v>
          </cell>
          <cell r="AQ896"/>
          <cell r="AR896">
            <v>2850000</v>
          </cell>
          <cell r="AS896">
            <v>200000</v>
          </cell>
          <cell r="AT896">
            <v>2650000</v>
          </cell>
          <cell r="AU896">
            <v>100000</v>
          </cell>
          <cell r="AV896">
            <v>2550000</v>
          </cell>
          <cell r="AW896">
            <v>0</v>
          </cell>
          <cell r="AX896">
            <v>2550000</v>
          </cell>
        </row>
        <row r="897">
          <cell r="G897" t="str">
            <v>AGM-01-050-003</v>
          </cell>
          <cell r="H897" t="str">
            <v xml:space="preserve">Raemulan Lands, Inc. </v>
          </cell>
          <cell r="I897" t="str">
            <v>Agapeya</v>
          </cell>
          <cell r="J897" t="str">
            <v>AGM</v>
          </cell>
          <cell r="K897" t="str">
            <v>Eco-High</v>
          </cell>
          <cell r="L897" t="str">
            <v>West</v>
          </cell>
          <cell r="M897" t="str">
            <v>With LTS - 2024</v>
          </cell>
          <cell r="N897" t="str">
            <v>YES</v>
          </cell>
          <cell r="O897" t="str">
            <v>YES</v>
          </cell>
          <cell r="P897" t="str">
            <v>Unaffected lots</v>
          </cell>
          <cell r="Q897" t="str">
            <v>YES</v>
          </cell>
          <cell r="R897">
            <v>70</v>
          </cell>
          <cell r="S897" t="str">
            <v>PSD-04-276567</v>
          </cell>
          <cell r="T897" t="str">
            <v>TCT-060-2024019645</v>
          </cell>
          <cell r="U897" t="b">
            <v>1</v>
          </cell>
          <cell r="V897" t="str">
            <v>Done</v>
          </cell>
          <cell r="W897" t="str">
            <v>B1 2025</v>
          </cell>
          <cell r="X897" t="str">
            <v>2025 - Batch 1</v>
          </cell>
          <cell r="Y897">
            <v>50</v>
          </cell>
          <cell r="Z897">
            <v>3</v>
          </cell>
          <cell r="AA897" t="str">
            <v>H+L</v>
          </cell>
          <cell r="AB897">
            <v>70</v>
          </cell>
          <cell r="AC897">
            <v>50</v>
          </cell>
          <cell r="AD897" t="str">
            <v>Flat</v>
          </cell>
          <cell r="AE897" t="str">
            <v>Duplex</v>
          </cell>
          <cell r="AF897" t="str">
            <v>568 - Without Partition</v>
          </cell>
          <cell r="AG897" t="str">
            <v xml:space="preserve">Without Partition </v>
          </cell>
          <cell r="AH897" t="str">
            <v xml:space="preserve">Without Partition </v>
          </cell>
          <cell r="AI897" t="str">
            <v>GREEN</v>
          </cell>
          <cell r="AJ897" t="str">
            <v>Flat / GREEN</v>
          </cell>
          <cell r="AK897">
            <v>1050000</v>
          </cell>
          <cell r="AL897">
            <v>15000</v>
          </cell>
          <cell r="AM897">
            <v>1650000</v>
          </cell>
          <cell r="AN897">
            <v>33000</v>
          </cell>
          <cell r="AO897">
            <v>150000</v>
          </cell>
          <cell r="AP897">
            <v>2850000</v>
          </cell>
          <cell r="AQ897"/>
          <cell r="AR897">
            <v>2850000</v>
          </cell>
          <cell r="AS897">
            <v>200000</v>
          </cell>
          <cell r="AT897">
            <v>2650000</v>
          </cell>
          <cell r="AU897">
            <v>100000</v>
          </cell>
          <cell r="AV897">
            <v>2550000</v>
          </cell>
          <cell r="AW897">
            <v>0</v>
          </cell>
          <cell r="AX897">
            <v>2550000</v>
          </cell>
        </row>
        <row r="898">
          <cell r="G898" t="str">
            <v>AGM-01-050-004</v>
          </cell>
          <cell r="H898" t="str">
            <v xml:space="preserve">Raemulan Lands, Inc. </v>
          </cell>
          <cell r="I898" t="str">
            <v>Agapeya</v>
          </cell>
          <cell r="J898" t="str">
            <v>AGM</v>
          </cell>
          <cell r="K898" t="str">
            <v>Eco-High</v>
          </cell>
          <cell r="L898" t="str">
            <v>West</v>
          </cell>
          <cell r="M898" t="str">
            <v>With LTS - 2024</v>
          </cell>
          <cell r="N898" t="str">
            <v>YES</v>
          </cell>
          <cell r="O898" t="str">
            <v>YES</v>
          </cell>
          <cell r="P898" t="str">
            <v>Unaffected lots</v>
          </cell>
          <cell r="Q898" t="str">
            <v>YES</v>
          </cell>
          <cell r="R898">
            <v>70</v>
          </cell>
          <cell r="S898" t="str">
            <v>PSD-04-276567</v>
          </cell>
          <cell r="T898" t="str">
            <v>TCT-060-2024019646</v>
          </cell>
          <cell r="U898" t="b">
            <v>1</v>
          </cell>
          <cell r="V898" t="str">
            <v>Done</v>
          </cell>
          <cell r="W898" t="str">
            <v>B1 2025</v>
          </cell>
          <cell r="X898" t="str">
            <v>2025 - Batch 1</v>
          </cell>
          <cell r="Y898">
            <v>50</v>
          </cell>
          <cell r="Z898">
            <v>4</v>
          </cell>
          <cell r="AA898" t="str">
            <v>H+L</v>
          </cell>
          <cell r="AB898">
            <v>70</v>
          </cell>
          <cell r="AC898">
            <v>50</v>
          </cell>
          <cell r="AD898" t="str">
            <v>Slant</v>
          </cell>
          <cell r="AE898" t="str">
            <v>Duplex</v>
          </cell>
          <cell r="AF898" t="str">
            <v>568 - Without Partition</v>
          </cell>
          <cell r="AG898" t="str">
            <v xml:space="preserve">Without Partition </v>
          </cell>
          <cell r="AH898" t="str">
            <v xml:space="preserve">Without Partition </v>
          </cell>
          <cell r="AI898" t="str">
            <v>GREEN</v>
          </cell>
          <cell r="AJ898" t="str">
            <v>Slant / GREEN</v>
          </cell>
          <cell r="AK898">
            <v>1050000</v>
          </cell>
          <cell r="AL898">
            <v>15000</v>
          </cell>
          <cell r="AM898">
            <v>1650000</v>
          </cell>
          <cell r="AN898">
            <v>33000</v>
          </cell>
          <cell r="AO898">
            <v>150000</v>
          </cell>
          <cell r="AP898">
            <v>2850000</v>
          </cell>
          <cell r="AQ898"/>
          <cell r="AR898">
            <v>2850000</v>
          </cell>
          <cell r="AS898">
            <v>200000</v>
          </cell>
          <cell r="AT898">
            <v>2650000</v>
          </cell>
          <cell r="AU898">
            <v>100000</v>
          </cell>
          <cell r="AV898">
            <v>2550000</v>
          </cell>
          <cell r="AW898">
            <v>0</v>
          </cell>
          <cell r="AX898">
            <v>2550000</v>
          </cell>
        </row>
        <row r="899">
          <cell r="G899" t="str">
            <v>AGM-01-050-005</v>
          </cell>
          <cell r="H899" t="str">
            <v xml:space="preserve">Raemulan Lands, Inc. </v>
          </cell>
          <cell r="I899" t="str">
            <v>Agapeya</v>
          </cell>
          <cell r="J899" t="str">
            <v>AGM</v>
          </cell>
          <cell r="K899" t="str">
            <v>Eco-High</v>
          </cell>
          <cell r="L899" t="str">
            <v>West</v>
          </cell>
          <cell r="M899" t="str">
            <v>With LTS - 2024</v>
          </cell>
          <cell r="N899" t="str">
            <v>YES</v>
          </cell>
          <cell r="O899" t="str">
            <v>YES</v>
          </cell>
          <cell r="P899" t="str">
            <v>Unaffected lots</v>
          </cell>
          <cell r="Q899" t="str">
            <v>YES</v>
          </cell>
          <cell r="R899">
            <v>70</v>
          </cell>
          <cell r="S899" t="str">
            <v>PSD-04-276567</v>
          </cell>
          <cell r="T899" t="str">
            <v>TCT-060-2024019647</v>
          </cell>
          <cell r="U899" t="b">
            <v>1</v>
          </cell>
          <cell r="V899" t="str">
            <v>Done</v>
          </cell>
          <cell r="W899" t="str">
            <v>B1 2025</v>
          </cell>
          <cell r="X899" t="str">
            <v>2025 - Batch 1</v>
          </cell>
          <cell r="Y899">
            <v>50</v>
          </cell>
          <cell r="Z899">
            <v>5</v>
          </cell>
          <cell r="AA899" t="str">
            <v>H+L</v>
          </cell>
          <cell r="AB899">
            <v>70</v>
          </cell>
          <cell r="AC899">
            <v>50</v>
          </cell>
          <cell r="AD899" t="str">
            <v>Slant</v>
          </cell>
          <cell r="AE899" t="str">
            <v>Duplex</v>
          </cell>
          <cell r="AF899" t="str">
            <v>568 - Without Partition</v>
          </cell>
          <cell r="AG899" t="str">
            <v xml:space="preserve">Without Partition </v>
          </cell>
          <cell r="AH899" t="str">
            <v xml:space="preserve">Without Partition </v>
          </cell>
          <cell r="AI899" t="str">
            <v>PINK</v>
          </cell>
          <cell r="AJ899" t="str">
            <v>Slant / PINK</v>
          </cell>
          <cell r="AK899">
            <v>1050000</v>
          </cell>
          <cell r="AL899">
            <v>15000</v>
          </cell>
          <cell r="AM899">
            <v>1650000</v>
          </cell>
          <cell r="AN899">
            <v>33000</v>
          </cell>
          <cell r="AO899">
            <v>150000</v>
          </cell>
          <cell r="AP899">
            <v>2850000</v>
          </cell>
          <cell r="AQ899"/>
          <cell r="AR899">
            <v>2850000</v>
          </cell>
          <cell r="AS899">
            <v>200000</v>
          </cell>
          <cell r="AT899">
            <v>2650000</v>
          </cell>
          <cell r="AU899">
            <v>100000</v>
          </cell>
          <cell r="AV899">
            <v>2550000</v>
          </cell>
          <cell r="AW899">
            <v>0</v>
          </cell>
          <cell r="AX899">
            <v>2550000</v>
          </cell>
        </row>
        <row r="900">
          <cell r="G900" t="str">
            <v>AGM-01-050-006</v>
          </cell>
          <cell r="H900" t="str">
            <v xml:space="preserve">Raemulan Lands, Inc. </v>
          </cell>
          <cell r="I900" t="str">
            <v>Agapeya</v>
          </cell>
          <cell r="J900" t="str">
            <v>AGM</v>
          </cell>
          <cell r="K900" t="str">
            <v>Eco-High</v>
          </cell>
          <cell r="L900" t="str">
            <v>West</v>
          </cell>
          <cell r="M900" t="str">
            <v>With LTS - 2024</v>
          </cell>
          <cell r="N900" t="str">
            <v>YES</v>
          </cell>
          <cell r="O900" t="str">
            <v>YES</v>
          </cell>
          <cell r="P900" t="str">
            <v>Unaffected lots</v>
          </cell>
          <cell r="Q900" t="str">
            <v>YES</v>
          </cell>
          <cell r="R900">
            <v>70</v>
          </cell>
          <cell r="S900" t="str">
            <v>PSD-04-276567</v>
          </cell>
          <cell r="T900" t="str">
            <v>TCT-060-2024019648</v>
          </cell>
          <cell r="U900" t="b">
            <v>1</v>
          </cell>
          <cell r="V900" t="str">
            <v>Done</v>
          </cell>
          <cell r="W900" t="str">
            <v>B1 2025</v>
          </cell>
          <cell r="X900" t="str">
            <v>2025 - Batch 1</v>
          </cell>
          <cell r="Y900">
            <v>50</v>
          </cell>
          <cell r="Z900">
            <v>6</v>
          </cell>
          <cell r="AA900" t="str">
            <v>H+L</v>
          </cell>
          <cell r="AB900">
            <v>70</v>
          </cell>
          <cell r="AC900">
            <v>50</v>
          </cell>
          <cell r="AD900" t="str">
            <v>Flat</v>
          </cell>
          <cell r="AE900" t="str">
            <v>Duplex</v>
          </cell>
          <cell r="AF900" t="str">
            <v>568 - Without Partition</v>
          </cell>
          <cell r="AG900" t="str">
            <v xml:space="preserve">Without Partition </v>
          </cell>
          <cell r="AH900" t="str">
            <v xml:space="preserve">Without Partition </v>
          </cell>
          <cell r="AI900" t="str">
            <v>PINK</v>
          </cell>
          <cell r="AJ900" t="str">
            <v>Flat / PINK</v>
          </cell>
          <cell r="AK900">
            <v>1050000</v>
          </cell>
          <cell r="AL900">
            <v>15000</v>
          </cell>
          <cell r="AM900">
            <v>1650000</v>
          </cell>
          <cell r="AN900">
            <v>33000</v>
          </cell>
          <cell r="AO900">
            <v>150000</v>
          </cell>
          <cell r="AP900">
            <v>2850000</v>
          </cell>
          <cell r="AQ900"/>
          <cell r="AR900">
            <v>2850000</v>
          </cell>
          <cell r="AS900">
            <v>200000</v>
          </cell>
          <cell r="AT900">
            <v>2650000</v>
          </cell>
          <cell r="AU900">
            <v>100000</v>
          </cell>
          <cell r="AV900">
            <v>2550000</v>
          </cell>
          <cell r="AW900">
            <v>0</v>
          </cell>
          <cell r="AX900">
            <v>2550000</v>
          </cell>
        </row>
        <row r="901">
          <cell r="G901" t="str">
            <v>AGM-01-050-007</v>
          </cell>
          <cell r="H901" t="str">
            <v xml:space="preserve">Raemulan Lands, Inc. </v>
          </cell>
          <cell r="I901" t="str">
            <v>Agapeya</v>
          </cell>
          <cell r="J901" t="str">
            <v>AGM</v>
          </cell>
          <cell r="K901" t="str">
            <v>Eco-High</v>
          </cell>
          <cell r="L901" t="str">
            <v>West</v>
          </cell>
          <cell r="M901" t="str">
            <v>With LTS - 2024</v>
          </cell>
          <cell r="N901" t="str">
            <v>YES</v>
          </cell>
          <cell r="O901" t="str">
            <v>YES</v>
          </cell>
          <cell r="P901" t="str">
            <v>Unaffected lots</v>
          </cell>
          <cell r="Q901" t="str">
            <v>YES</v>
          </cell>
          <cell r="R901">
            <v>70</v>
          </cell>
          <cell r="S901" t="str">
            <v>PSD-04-276567</v>
          </cell>
          <cell r="T901" t="str">
            <v>TCT-060-2024019649</v>
          </cell>
          <cell r="U901" t="b">
            <v>1</v>
          </cell>
          <cell r="V901" t="str">
            <v>Done</v>
          </cell>
          <cell r="W901" t="str">
            <v>B1 2025</v>
          </cell>
          <cell r="X901" t="str">
            <v>2025 - Batch 2</v>
          </cell>
          <cell r="Y901">
            <v>50</v>
          </cell>
          <cell r="Z901">
            <v>7</v>
          </cell>
          <cell r="AA901" t="str">
            <v>H+L</v>
          </cell>
          <cell r="AB901">
            <v>70</v>
          </cell>
          <cell r="AC901">
            <v>50</v>
          </cell>
          <cell r="AD901" t="str">
            <v>Flat</v>
          </cell>
          <cell r="AE901" t="str">
            <v>Duplex</v>
          </cell>
          <cell r="AF901" t="str">
            <v>568 - Without Partition</v>
          </cell>
          <cell r="AG901" t="str">
            <v xml:space="preserve">Without Partition </v>
          </cell>
          <cell r="AH901" t="str">
            <v>With Partition</v>
          </cell>
          <cell r="AI901" t="str">
            <v>PINK</v>
          </cell>
          <cell r="AJ901" t="str">
            <v>Flat / PINK</v>
          </cell>
          <cell r="AK901">
            <v>1050000</v>
          </cell>
          <cell r="AL901">
            <v>15000</v>
          </cell>
          <cell r="AM901">
            <v>1650000</v>
          </cell>
          <cell r="AN901">
            <v>33000</v>
          </cell>
          <cell r="AO901">
            <v>150000</v>
          </cell>
          <cell r="AP901">
            <v>2850000</v>
          </cell>
          <cell r="AQ901"/>
          <cell r="AR901">
            <v>2850000</v>
          </cell>
          <cell r="AS901">
            <v>0</v>
          </cell>
          <cell r="AT901">
            <v>2850000</v>
          </cell>
          <cell r="AU901">
            <v>100000</v>
          </cell>
          <cell r="AV901">
            <v>2750000</v>
          </cell>
          <cell r="AW901">
            <v>0</v>
          </cell>
          <cell r="AX901">
            <v>2750000</v>
          </cell>
        </row>
        <row r="902">
          <cell r="G902" t="str">
            <v>AGM-01-050-008</v>
          </cell>
          <cell r="H902" t="str">
            <v xml:space="preserve">Raemulan Lands, Inc. </v>
          </cell>
          <cell r="I902" t="str">
            <v>Agapeya</v>
          </cell>
          <cell r="J902" t="str">
            <v>AGM</v>
          </cell>
          <cell r="K902" t="str">
            <v>Eco-High</v>
          </cell>
          <cell r="L902" t="str">
            <v>West</v>
          </cell>
          <cell r="M902" t="str">
            <v>With LTS - 2024</v>
          </cell>
          <cell r="N902" t="str">
            <v>YES</v>
          </cell>
          <cell r="O902" t="str">
            <v>YES</v>
          </cell>
          <cell r="P902" t="str">
            <v>Unaffected lots</v>
          </cell>
          <cell r="Q902" t="str">
            <v>YES</v>
          </cell>
          <cell r="R902">
            <v>80</v>
          </cell>
          <cell r="S902" t="str">
            <v>PSD-04-276567</v>
          </cell>
          <cell r="T902" t="str">
            <v>TCT-060-2024019650</v>
          </cell>
          <cell r="U902" t="b">
            <v>1</v>
          </cell>
          <cell r="V902" t="str">
            <v>Done</v>
          </cell>
          <cell r="W902" t="str">
            <v>B1 2025</v>
          </cell>
          <cell r="X902" t="str">
            <v>2025 - Batch 2</v>
          </cell>
          <cell r="Y902">
            <v>50</v>
          </cell>
          <cell r="Z902">
            <v>8</v>
          </cell>
          <cell r="AA902" t="str">
            <v>H+L</v>
          </cell>
          <cell r="AB902">
            <v>80</v>
          </cell>
          <cell r="AC902">
            <v>50</v>
          </cell>
          <cell r="AD902" t="str">
            <v>Slant</v>
          </cell>
          <cell r="AE902" t="str">
            <v>Duplex</v>
          </cell>
          <cell r="AF902" t="str">
            <v>568 - Without Partition</v>
          </cell>
          <cell r="AG902" t="str">
            <v xml:space="preserve">Without Partition </v>
          </cell>
          <cell r="AH902" t="str">
            <v xml:space="preserve">Without Partition </v>
          </cell>
          <cell r="AI902" t="str">
            <v>PINK</v>
          </cell>
          <cell r="AJ902" t="str">
            <v>Slant / PINK</v>
          </cell>
          <cell r="AK902">
            <v>1200000</v>
          </cell>
          <cell r="AL902">
            <v>15000</v>
          </cell>
          <cell r="AM902">
            <v>1650000</v>
          </cell>
          <cell r="AN902">
            <v>33000</v>
          </cell>
          <cell r="AO902">
            <v>150000</v>
          </cell>
          <cell r="AP902">
            <v>3000000</v>
          </cell>
          <cell r="AQ902"/>
          <cell r="AR902">
            <v>3000000</v>
          </cell>
          <cell r="AS902">
            <v>200000</v>
          </cell>
          <cell r="AT902">
            <v>2800000</v>
          </cell>
          <cell r="AU902">
            <v>100000</v>
          </cell>
          <cell r="AV902">
            <v>2700000</v>
          </cell>
          <cell r="AW902">
            <v>0</v>
          </cell>
          <cell r="AX902">
            <v>2700000</v>
          </cell>
        </row>
        <row r="903">
          <cell r="G903" t="str">
            <v>AGM-01-050-009</v>
          </cell>
          <cell r="H903" t="str">
            <v xml:space="preserve">Raemulan Lands, Inc. </v>
          </cell>
          <cell r="I903" t="str">
            <v>Agapeya</v>
          </cell>
          <cell r="J903" t="str">
            <v>AGM</v>
          </cell>
          <cell r="K903" t="str">
            <v>Eco-High</v>
          </cell>
          <cell r="L903" t="str">
            <v>West</v>
          </cell>
          <cell r="M903" t="str">
            <v>With LTS - 2024</v>
          </cell>
          <cell r="N903" t="str">
            <v>YES</v>
          </cell>
          <cell r="O903" t="str">
            <v>YES</v>
          </cell>
          <cell r="P903" t="str">
            <v>Unaffected lots</v>
          </cell>
          <cell r="Q903" t="str">
            <v>YES</v>
          </cell>
          <cell r="R903">
            <v>80</v>
          </cell>
          <cell r="S903" t="str">
            <v>PSD-04-276567</v>
          </cell>
          <cell r="T903" t="str">
            <v>TCT-060-2024019651</v>
          </cell>
          <cell r="U903" t="b">
            <v>1</v>
          </cell>
          <cell r="V903" t="str">
            <v>Done</v>
          </cell>
          <cell r="W903" t="str">
            <v>B2 2025</v>
          </cell>
          <cell r="X903" t="str">
            <v>2025 - Batch 2</v>
          </cell>
          <cell r="Y903">
            <v>50</v>
          </cell>
          <cell r="Z903">
            <v>9</v>
          </cell>
          <cell r="AA903" t="str">
            <v>H+L</v>
          </cell>
          <cell r="AB903">
            <v>80</v>
          </cell>
          <cell r="AC903">
            <v>50</v>
          </cell>
          <cell r="AD903" t="str">
            <v>Flat</v>
          </cell>
          <cell r="AE903" t="str">
            <v>Duplex</v>
          </cell>
          <cell r="AF903" t="str">
            <v>568 - Without Partition</v>
          </cell>
          <cell r="AG903" t="str">
            <v xml:space="preserve">Without Partition </v>
          </cell>
          <cell r="AH903" t="str">
            <v>With Partition</v>
          </cell>
          <cell r="AI903" t="str">
            <v>PURPLE</v>
          </cell>
          <cell r="AJ903" t="str">
            <v>Flat / PURPLE</v>
          </cell>
          <cell r="AK903">
            <v>1200000</v>
          </cell>
          <cell r="AL903">
            <v>15000</v>
          </cell>
          <cell r="AM903">
            <v>1650000</v>
          </cell>
          <cell r="AN903">
            <v>33000</v>
          </cell>
          <cell r="AO903">
            <v>150000</v>
          </cell>
          <cell r="AP903">
            <v>3000000</v>
          </cell>
          <cell r="AQ903"/>
          <cell r="AR903">
            <v>3000000</v>
          </cell>
          <cell r="AS903">
            <v>0</v>
          </cell>
          <cell r="AT903">
            <v>3000000</v>
          </cell>
          <cell r="AU903">
            <v>100000</v>
          </cell>
          <cell r="AV903">
            <v>2900000</v>
          </cell>
          <cell r="AW903">
            <v>0</v>
          </cell>
          <cell r="AX903">
            <v>2900000</v>
          </cell>
        </row>
        <row r="904">
          <cell r="G904" t="str">
            <v>AGM-01-050-010</v>
          </cell>
          <cell r="H904" t="str">
            <v xml:space="preserve">Raemulan Lands, Inc. </v>
          </cell>
          <cell r="I904" t="str">
            <v>Agapeya</v>
          </cell>
          <cell r="J904" t="str">
            <v>AGM</v>
          </cell>
          <cell r="K904" t="str">
            <v>Eco-High</v>
          </cell>
          <cell r="L904" t="str">
            <v>West</v>
          </cell>
          <cell r="M904" t="str">
            <v>With LTS - 2024</v>
          </cell>
          <cell r="N904" t="str">
            <v>YES</v>
          </cell>
          <cell r="O904" t="str">
            <v>YES</v>
          </cell>
          <cell r="P904" t="str">
            <v>Unaffected lots</v>
          </cell>
          <cell r="Q904" t="str">
            <v>YES</v>
          </cell>
          <cell r="R904">
            <v>70</v>
          </cell>
          <cell r="S904" t="str">
            <v>PSD-04-276567</v>
          </cell>
          <cell r="T904" t="str">
            <v>TCT-060-2024019652</v>
          </cell>
          <cell r="U904" t="b">
            <v>1</v>
          </cell>
          <cell r="V904" t="str">
            <v>Done</v>
          </cell>
          <cell r="W904" t="str">
            <v>B2 2025</v>
          </cell>
          <cell r="X904" t="str">
            <v>2025 - Batch 2</v>
          </cell>
          <cell r="Y904">
            <v>50</v>
          </cell>
          <cell r="Z904">
            <v>10</v>
          </cell>
          <cell r="AA904" t="str">
            <v>H+L</v>
          </cell>
          <cell r="AB904">
            <v>70</v>
          </cell>
          <cell r="AC904">
            <v>50</v>
          </cell>
          <cell r="AD904" t="str">
            <v>Slant</v>
          </cell>
          <cell r="AE904" t="str">
            <v>Duplex</v>
          </cell>
          <cell r="AF904" t="str">
            <v>568 - Without Partition</v>
          </cell>
          <cell r="AG904" t="str">
            <v xml:space="preserve">Without Partition </v>
          </cell>
          <cell r="AH904" t="str">
            <v>With Partition</v>
          </cell>
          <cell r="AI904" t="str">
            <v>PURPLE</v>
          </cell>
          <cell r="AJ904" t="str">
            <v>Slant / PURPLE</v>
          </cell>
          <cell r="AK904">
            <v>1050000</v>
          </cell>
          <cell r="AL904">
            <v>15000</v>
          </cell>
          <cell r="AM904">
            <v>1650000</v>
          </cell>
          <cell r="AN904">
            <v>33000</v>
          </cell>
          <cell r="AO904">
            <v>150000</v>
          </cell>
          <cell r="AP904">
            <v>2850000</v>
          </cell>
          <cell r="AQ904"/>
          <cell r="AR904">
            <v>2850000</v>
          </cell>
          <cell r="AS904">
            <v>0</v>
          </cell>
          <cell r="AT904">
            <v>2850000</v>
          </cell>
          <cell r="AU904">
            <v>100000</v>
          </cell>
          <cell r="AV904">
            <v>2750000</v>
          </cell>
          <cell r="AW904">
            <v>0</v>
          </cell>
          <cell r="AX904">
            <v>2750000</v>
          </cell>
        </row>
        <row r="905">
          <cell r="G905" t="str">
            <v>AGM-01-050-011</v>
          </cell>
          <cell r="H905" t="str">
            <v xml:space="preserve">Raemulan Lands, Inc. </v>
          </cell>
          <cell r="I905" t="str">
            <v>Agapeya</v>
          </cell>
          <cell r="J905" t="str">
            <v>AGM</v>
          </cell>
          <cell r="K905" t="str">
            <v>Eco-High</v>
          </cell>
          <cell r="L905" t="str">
            <v>West</v>
          </cell>
          <cell r="M905" t="str">
            <v>With LTS - 2024</v>
          </cell>
          <cell r="N905" t="str">
            <v>YES</v>
          </cell>
          <cell r="O905" t="str">
            <v>YES</v>
          </cell>
          <cell r="P905" t="str">
            <v>Unaffected lots</v>
          </cell>
          <cell r="Q905" t="str">
            <v>YES</v>
          </cell>
          <cell r="R905">
            <v>70</v>
          </cell>
          <cell r="S905" t="str">
            <v>PSD-04-276567</v>
          </cell>
          <cell r="T905" t="str">
            <v>TCT-060-2024019653</v>
          </cell>
          <cell r="U905" t="b">
            <v>1</v>
          </cell>
          <cell r="V905" t="str">
            <v>Done</v>
          </cell>
          <cell r="W905" t="str">
            <v>B2 2025</v>
          </cell>
          <cell r="X905" t="str">
            <v>2025 - Batch 2</v>
          </cell>
          <cell r="Y905">
            <v>50</v>
          </cell>
          <cell r="Z905">
            <v>11</v>
          </cell>
          <cell r="AA905" t="str">
            <v>H+L</v>
          </cell>
          <cell r="AB905">
            <v>70</v>
          </cell>
          <cell r="AC905">
            <v>50</v>
          </cell>
          <cell r="AD905" t="str">
            <v>Slant</v>
          </cell>
          <cell r="AE905" t="str">
            <v>Duplex</v>
          </cell>
          <cell r="AF905" t="str">
            <v>568 - Without Partition</v>
          </cell>
          <cell r="AG905" t="str">
            <v xml:space="preserve">Without Partition </v>
          </cell>
          <cell r="AH905" t="str">
            <v>With Partition</v>
          </cell>
          <cell r="AI905" t="str">
            <v>PURPLE</v>
          </cell>
          <cell r="AJ905" t="str">
            <v>Slant / PURPLE</v>
          </cell>
          <cell r="AK905">
            <v>1050000</v>
          </cell>
          <cell r="AL905">
            <v>15000</v>
          </cell>
          <cell r="AM905">
            <v>1650000</v>
          </cell>
          <cell r="AN905">
            <v>33000</v>
          </cell>
          <cell r="AO905">
            <v>150000</v>
          </cell>
          <cell r="AP905">
            <v>2850000</v>
          </cell>
          <cell r="AQ905"/>
          <cell r="AR905">
            <v>2850000</v>
          </cell>
          <cell r="AS905">
            <v>0</v>
          </cell>
          <cell r="AT905">
            <v>2850000</v>
          </cell>
          <cell r="AU905">
            <v>100000</v>
          </cell>
          <cell r="AV905">
            <v>2750000</v>
          </cell>
          <cell r="AW905">
            <v>0</v>
          </cell>
          <cell r="AX905">
            <v>2750000</v>
          </cell>
        </row>
        <row r="906">
          <cell r="G906" t="str">
            <v>AGM-01-050-012</v>
          </cell>
          <cell r="H906" t="str">
            <v xml:space="preserve">Raemulan Lands, Inc. </v>
          </cell>
          <cell r="I906" t="str">
            <v>Agapeya</v>
          </cell>
          <cell r="J906" t="str">
            <v>AGM</v>
          </cell>
          <cell r="K906" t="str">
            <v>Eco-High</v>
          </cell>
          <cell r="L906" t="str">
            <v>West</v>
          </cell>
          <cell r="M906" t="str">
            <v>With LTS - 2024</v>
          </cell>
          <cell r="N906" t="str">
            <v>YES</v>
          </cell>
          <cell r="O906" t="str">
            <v>YES</v>
          </cell>
          <cell r="P906" t="str">
            <v>Unaffected lots</v>
          </cell>
          <cell r="Q906" t="str">
            <v>YES</v>
          </cell>
          <cell r="R906">
            <v>70</v>
          </cell>
          <cell r="S906" t="str">
            <v>PSD-04-276567</v>
          </cell>
          <cell r="T906" t="str">
            <v>TCT-060-2024019654</v>
          </cell>
          <cell r="U906" t="b">
            <v>1</v>
          </cell>
          <cell r="V906" t="str">
            <v>Done</v>
          </cell>
          <cell r="W906" t="str">
            <v>B2 2025</v>
          </cell>
          <cell r="X906" t="str">
            <v>2025 - Batch 2</v>
          </cell>
          <cell r="Y906">
            <v>50</v>
          </cell>
          <cell r="Z906">
            <v>12</v>
          </cell>
          <cell r="AA906" t="str">
            <v>H+L</v>
          </cell>
          <cell r="AB906">
            <v>70</v>
          </cell>
          <cell r="AC906">
            <v>50</v>
          </cell>
          <cell r="AD906" t="str">
            <v>Flat</v>
          </cell>
          <cell r="AE906" t="str">
            <v>Duplex</v>
          </cell>
          <cell r="AF906" t="str">
            <v>568 - Without Partition</v>
          </cell>
          <cell r="AG906" t="str">
            <v xml:space="preserve">Without Partition </v>
          </cell>
          <cell r="AH906" t="str">
            <v xml:space="preserve">Without Partition </v>
          </cell>
          <cell r="AI906" t="str">
            <v>PURPLE</v>
          </cell>
          <cell r="AJ906" t="str">
            <v>Flat / PURPLE</v>
          </cell>
          <cell r="AK906">
            <v>1050000</v>
          </cell>
          <cell r="AL906">
            <v>15000</v>
          </cell>
          <cell r="AM906">
            <v>1650000</v>
          </cell>
          <cell r="AN906">
            <v>33000</v>
          </cell>
          <cell r="AO906">
            <v>150000</v>
          </cell>
          <cell r="AP906">
            <v>2850000</v>
          </cell>
          <cell r="AQ906"/>
          <cell r="AR906">
            <v>2850000</v>
          </cell>
          <cell r="AS906">
            <v>200000</v>
          </cell>
          <cell r="AT906">
            <v>2650000</v>
          </cell>
          <cell r="AU906">
            <v>100000</v>
          </cell>
          <cell r="AV906">
            <v>2550000</v>
          </cell>
          <cell r="AW906">
            <v>0</v>
          </cell>
          <cell r="AX906">
            <v>2550000</v>
          </cell>
        </row>
        <row r="907">
          <cell r="G907" t="str">
            <v>AGM-01-050-013</v>
          </cell>
          <cell r="H907" t="str">
            <v xml:space="preserve">Raemulan Lands, Inc. </v>
          </cell>
          <cell r="I907" t="str">
            <v>Agapeya</v>
          </cell>
          <cell r="J907" t="str">
            <v>AGM</v>
          </cell>
          <cell r="K907" t="str">
            <v>Eco-High</v>
          </cell>
          <cell r="L907" t="str">
            <v>West</v>
          </cell>
          <cell r="M907" t="str">
            <v>With LTS - 2024</v>
          </cell>
          <cell r="N907" t="str">
            <v>YES</v>
          </cell>
          <cell r="O907" t="str">
            <v>YES</v>
          </cell>
          <cell r="P907" t="str">
            <v>Unaffected lots</v>
          </cell>
          <cell r="Q907" t="str">
            <v>YES</v>
          </cell>
          <cell r="R907">
            <v>70</v>
          </cell>
          <cell r="S907" t="str">
            <v>PSD-04-276567</v>
          </cell>
          <cell r="T907" t="str">
            <v>TCT-060-2024019655</v>
          </cell>
          <cell r="U907" t="b">
            <v>1</v>
          </cell>
          <cell r="V907" t="str">
            <v>Done</v>
          </cell>
          <cell r="W907" t="str">
            <v>2024 Batch</v>
          </cell>
          <cell r="X907" t="str">
            <v>2024 Batch</v>
          </cell>
          <cell r="Y907">
            <v>50</v>
          </cell>
          <cell r="Z907">
            <v>13</v>
          </cell>
          <cell r="AA907" t="str">
            <v>H+L</v>
          </cell>
          <cell r="AB907">
            <v>70</v>
          </cell>
          <cell r="AC907">
            <v>50</v>
          </cell>
          <cell r="AD907" t="str">
            <v>Flat</v>
          </cell>
          <cell r="AE907" t="str">
            <v>Duplex</v>
          </cell>
          <cell r="AF907" t="str">
            <v>326 - With Partition</v>
          </cell>
          <cell r="AG907" t="str">
            <v>With Partition</v>
          </cell>
          <cell r="AH907" t="str">
            <v>With Partition</v>
          </cell>
          <cell r="AI907" t="str">
            <v>YELLOW</v>
          </cell>
          <cell r="AJ907" t="str">
            <v>Flat / YELLOW</v>
          </cell>
          <cell r="AK907">
            <v>1050000</v>
          </cell>
          <cell r="AL907">
            <v>15000</v>
          </cell>
          <cell r="AM907">
            <v>1650000</v>
          </cell>
          <cell r="AN907">
            <v>33000</v>
          </cell>
          <cell r="AO907">
            <v>150000</v>
          </cell>
          <cell r="AP907">
            <v>2850000</v>
          </cell>
          <cell r="AQ907"/>
          <cell r="AR907">
            <v>2850000</v>
          </cell>
          <cell r="AS907">
            <v>0</v>
          </cell>
          <cell r="AT907">
            <v>2850000</v>
          </cell>
          <cell r="AU907">
            <v>100000</v>
          </cell>
          <cell r="AV907">
            <v>2750000</v>
          </cell>
          <cell r="AW907">
            <v>0</v>
          </cell>
          <cell r="AX907">
            <v>2750000</v>
          </cell>
        </row>
        <row r="908">
          <cell r="G908" t="str">
            <v>AGM-01-050-014</v>
          </cell>
          <cell r="H908" t="str">
            <v xml:space="preserve">Raemulan Lands, Inc. </v>
          </cell>
          <cell r="I908" t="str">
            <v>Agapeya</v>
          </cell>
          <cell r="J908" t="str">
            <v>AGM</v>
          </cell>
          <cell r="K908" t="str">
            <v>Eco-High</v>
          </cell>
          <cell r="L908" t="str">
            <v>West</v>
          </cell>
          <cell r="M908" t="str">
            <v>With LTS - 2024</v>
          </cell>
          <cell r="N908" t="str">
            <v>YES</v>
          </cell>
          <cell r="O908" t="str">
            <v>YES</v>
          </cell>
          <cell r="P908" t="str">
            <v>Unaffected lots</v>
          </cell>
          <cell r="Q908" t="str">
            <v>YES</v>
          </cell>
          <cell r="R908">
            <v>70</v>
          </cell>
          <cell r="S908" t="str">
            <v>PSD-04-276567</v>
          </cell>
          <cell r="T908" t="str">
            <v>TCT-060-2024019656</v>
          </cell>
          <cell r="U908" t="b">
            <v>1</v>
          </cell>
          <cell r="V908" t="str">
            <v>Done</v>
          </cell>
          <cell r="W908" t="str">
            <v>2024 Batch</v>
          </cell>
          <cell r="X908" t="str">
            <v>2024 Batch</v>
          </cell>
          <cell r="Y908">
            <v>50</v>
          </cell>
          <cell r="Z908">
            <v>14</v>
          </cell>
          <cell r="AA908" t="str">
            <v>H+L</v>
          </cell>
          <cell r="AB908">
            <v>70</v>
          </cell>
          <cell r="AC908">
            <v>50</v>
          </cell>
          <cell r="AD908" t="str">
            <v>Slant</v>
          </cell>
          <cell r="AE908" t="str">
            <v>Duplex</v>
          </cell>
          <cell r="AF908" t="str">
            <v>326 - With Partition</v>
          </cell>
          <cell r="AG908" t="str">
            <v>With Partition</v>
          </cell>
          <cell r="AH908" t="str">
            <v>With Partition</v>
          </cell>
          <cell r="AI908" t="str">
            <v>YELLOW</v>
          </cell>
          <cell r="AJ908" t="str">
            <v>Slant / YELLOW</v>
          </cell>
          <cell r="AK908">
            <v>1050000</v>
          </cell>
          <cell r="AL908">
            <v>15000</v>
          </cell>
          <cell r="AM908">
            <v>1650000</v>
          </cell>
          <cell r="AN908">
            <v>33000</v>
          </cell>
          <cell r="AO908">
            <v>150000</v>
          </cell>
          <cell r="AP908">
            <v>2850000</v>
          </cell>
          <cell r="AQ908"/>
          <cell r="AR908">
            <v>2850000</v>
          </cell>
          <cell r="AS908">
            <v>0</v>
          </cell>
          <cell r="AT908">
            <v>2850000</v>
          </cell>
          <cell r="AU908">
            <v>100000</v>
          </cell>
          <cell r="AV908">
            <v>2750000</v>
          </cell>
          <cell r="AW908">
            <v>0</v>
          </cell>
          <cell r="AX908">
            <v>2750000</v>
          </cell>
        </row>
        <row r="909">
          <cell r="G909" t="str">
            <v>AGM-01-050-015</v>
          </cell>
          <cell r="H909" t="str">
            <v xml:space="preserve">Raemulan Lands, Inc. </v>
          </cell>
          <cell r="I909" t="str">
            <v>Agapeya</v>
          </cell>
          <cell r="J909" t="str">
            <v>AGM</v>
          </cell>
          <cell r="K909" t="str">
            <v>Eco-High</v>
          </cell>
          <cell r="L909" t="str">
            <v>West</v>
          </cell>
          <cell r="M909" t="str">
            <v>With LTS - 2024</v>
          </cell>
          <cell r="N909" t="str">
            <v>YES</v>
          </cell>
          <cell r="O909" t="str">
            <v>YES</v>
          </cell>
          <cell r="P909" t="str">
            <v>Unaffected lots</v>
          </cell>
          <cell r="Q909" t="str">
            <v>YES</v>
          </cell>
          <cell r="R909">
            <v>70</v>
          </cell>
          <cell r="S909" t="str">
            <v>PSD-04-276567</v>
          </cell>
          <cell r="T909" t="str">
            <v>TCT-060-2024019657</v>
          </cell>
          <cell r="U909" t="b">
            <v>1</v>
          </cell>
          <cell r="V909" t="str">
            <v>Done</v>
          </cell>
          <cell r="W909" t="str">
            <v>2024 Batch</v>
          </cell>
          <cell r="X909" t="str">
            <v>2024 Batch</v>
          </cell>
          <cell r="Y909">
            <v>50</v>
          </cell>
          <cell r="Z909">
            <v>15</v>
          </cell>
          <cell r="AA909" t="str">
            <v>H+L</v>
          </cell>
          <cell r="AB909">
            <v>70</v>
          </cell>
          <cell r="AC909">
            <v>50</v>
          </cell>
          <cell r="AD909" t="str">
            <v>Slant</v>
          </cell>
          <cell r="AE909" t="str">
            <v>Duplex</v>
          </cell>
          <cell r="AF909" t="str">
            <v>326 - With Partition</v>
          </cell>
          <cell r="AG909" t="str">
            <v>With Partition</v>
          </cell>
          <cell r="AH909" t="str">
            <v>With Partition</v>
          </cell>
          <cell r="AI909" t="str">
            <v>YELLOW</v>
          </cell>
          <cell r="AJ909" t="str">
            <v>Slant / YELLOW</v>
          </cell>
          <cell r="AK909">
            <v>1050000</v>
          </cell>
          <cell r="AL909">
            <v>15000</v>
          </cell>
          <cell r="AM909">
            <v>1650000</v>
          </cell>
          <cell r="AN909">
            <v>33000</v>
          </cell>
          <cell r="AO909">
            <v>150000</v>
          </cell>
          <cell r="AP909">
            <v>2850000</v>
          </cell>
          <cell r="AQ909"/>
          <cell r="AR909">
            <v>2850000</v>
          </cell>
          <cell r="AS909">
            <v>0</v>
          </cell>
          <cell r="AT909">
            <v>2850000</v>
          </cell>
          <cell r="AU909">
            <v>100000</v>
          </cell>
          <cell r="AV909">
            <v>2750000</v>
          </cell>
          <cell r="AW909">
            <v>0</v>
          </cell>
          <cell r="AX909">
            <v>2750000</v>
          </cell>
        </row>
        <row r="910">
          <cell r="G910" t="str">
            <v>AGM-01-050-016</v>
          </cell>
          <cell r="H910" t="str">
            <v xml:space="preserve">Raemulan Lands, Inc. </v>
          </cell>
          <cell r="I910" t="str">
            <v>Agapeya</v>
          </cell>
          <cell r="J910" t="str">
            <v>AGM</v>
          </cell>
          <cell r="K910" t="str">
            <v>Eco-High</v>
          </cell>
          <cell r="L910" t="str">
            <v>West</v>
          </cell>
          <cell r="M910" t="str">
            <v>With LTS - 2024</v>
          </cell>
          <cell r="N910" t="str">
            <v>YES</v>
          </cell>
          <cell r="O910" t="str">
            <v>YES</v>
          </cell>
          <cell r="P910" t="str">
            <v>Unaffected lots</v>
          </cell>
          <cell r="Q910" t="str">
            <v>YES</v>
          </cell>
          <cell r="R910">
            <v>100</v>
          </cell>
          <cell r="S910" t="str">
            <v>PSD-04-276567</v>
          </cell>
          <cell r="T910" t="str">
            <v>TCT-060-2024019658</v>
          </cell>
          <cell r="U910" t="b">
            <v>1</v>
          </cell>
          <cell r="V910" t="str">
            <v>Done</v>
          </cell>
          <cell r="W910" t="str">
            <v>2024 Batch</v>
          </cell>
          <cell r="X910" t="str">
            <v>2024 Batch</v>
          </cell>
          <cell r="Y910">
            <v>50</v>
          </cell>
          <cell r="Z910">
            <v>16</v>
          </cell>
          <cell r="AA910" t="str">
            <v>H+L</v>
          </cell>
          <cell r="AB910">
            <v>100</v>
          </cell>
          <cell r="AC910">
            <v>50</v>
          </cell>
          <cell r="AD910" t="str">
            <v>Flat</v>
          </cell>
          <cell r="AE910" t="str">
            <v>Duplex</v>
          </cell>
          <cell r="AF910" t="str">
            <v>326 - With Partition</v>
          </cell>
          <cell r="AG910" t="str">
            <v>With Partition</v>
          </cell>
          <cell r="AH910" t="str">
            <v>With Partition</v>
          </cell>
          <cell r="AI910" t="str">
            <v>YELLOW</v>
          </cell>
          <cell r="AJ910" t="str">
            <v>Flat / YELLOW</v>
          </cell>
          <cell r="AK910">
            <v>1500000</v>
          </cell>
          <cell r="AL910">
            <v>15000</v>
          </cell>
          <cell r="AM910">
            <v>1650000</v>
          </cell>
          <cell r="AN910">
            <v>33000</v>
          </cell>
          <cell r="AO910">
            <v>150000</v>
          </cell>
          <cell r="AP910">
            <v>3300000</v>
          </cell>
          <cell r="AQ910"/>
          <cell r="AR910">
            <v>3300000</v>
          </cell>
          <cell r="AS910">
            <v>0</v>
          </cell>
          <cell r="AT910">
            <v>3300000</v>
          </cell>
          <cell r="AU910">
            <v>100000</v>
          </cell>
          <cell r="AV910">
            <v>3200000</v>
          </cell>
          <cell r="AW910">
            <v>0</v>
          </cell>
          <cell r="AX910">
            <v>3200000</v>
          </cell>
        </row>
        <row r="911">
          <cell r="G911" t="str">
            <v>AGM-01-051-001</v>
          </cell>
          <cell r="H911" t="str">
            <v xml:space="preserve">Raemulan Lands, Inc. </v>
          </cell>
          <cell r="I911" t="str">
            <v>Agapeya</v>
          </cell>
          <cell r="J911" t="str">
            <v>AGM</v>
          </cell>
          <cell r="K911" t="str">
            <v>Eco-High</v>
          </cell>
          <cell r="L911" t="str">
            <v>West</v>
          </cell>
          <cell r="M911" t="str">
            <v>With LTS - 2024</v>
          </cell>
          <cell r="N911" t="str">
            <v>YES</v>
          </cell>
          <cell r="O911" t="str">
            <v>YES</v>
          </cell>
          <cell r="P911" t="str">
            <v>Unaffected lots</v>
          </cell>
          <cell r="Q911" t="str">
            <v>YES</v>
          </cell>
          <cell r="R911">
            <v>100</v>
          </cell>
          <cell r="S911" t="str">
            <v>PSD-04-276567</v>
          </cell>
          <cell r="T911" t="str">
            <v>TCT-060-2024019659</v>
          </cell>
          <cell r="U911" t="b">
            <v>1</v>
          </cell>
          <cell r="V911" t="str">
            <v>Done</v>
          </cell>
          <cell r="W911" t="str">
            <v>B5 2025</v>
          </cell>
          <cell r="X911" t="str">
            <v>2025 - Batch 4</v>
          </cell>
          <cell r="Y911">
            <v>51</v>
          </cell>
          <cell r="Z911">
            <v>1</v>
          </cell>
          <cell r="AA911" t="str">
            <v>H+L</v>
          </cell>
          <cell r="AB911">
            <v>100</v>
          </cell>
          <cell r="AC911">
            <v>50</v>
          </cell>
          <cell r="AD911" t="str">
            <v>Slant</v>
          </cell>
          <cell r="AE911" t="str">
            <v>Duplex</v>
          </cell>
          <cell r="AF911" t="str">
            <v>568 - Without Partition</v>
          </cell>
          <cell r="AG911" t="str">
            <v xml:space="preserve">Without Partition </v>
          </cell>
          <cell r="AH911" t="str">
            <v xml:space="preserve">Without Partition </v>
          </cell>
          <cell r="AI911" t="str">
            <v>PURPLE</v>
          </cell>
          <cell r="AJ911" t="str">
            <v>Slant / PURPLE</v>
          </cell>
          <cell r="AK911">
            <v>1500000</v>
          </cell>
          <cell r="AL911">
            <v>15000</v>
          </cell>
          <cell r="AM911">
            <v>1650000</v>
          </cell>
          <cell r="AN911">
            <v>33000</v>
          </cell>
          <cell r="AO911">
            <v>150000</v>
          </cell>
          <cell r="AP911">
            <v>3300000</v>
          </cell>
          <cell r="AQ911"/>
          <cell r="AR911">
            <v>3300000</v>
          </cell>
          <cell r="AS911">
            <v>200000</v>
          </cell>
          <cell r="AT911">
            <v>3100000</v>
          </cell>
          <cell r="AU911">
            <v>100000</v>
          </cell>
          <cell r="AV911">
            <v>3000000</v>
          </cell>
          <cell r="AW911">
            <v>0</v>
          </cell>
          <cell r="AX911">
            <v>3000000</v>
          </cell>
        </row>
        <row r="912">
          <cell r="G912" t="str">
            <v>AGM-01-051-002</v>
          </cell>
          <cell r="H912" t="str">
            <v xml:space="preserve">Raemulan Lands, Inc. </v>
          </cell>
          <cell r="I912" t="str">
            <v>Agapeya</v>
          </cell>
          <cell r="J912" t="str">
            <v>AGM</v>
          </cell>
          <cell r="K912" t="str">
            <v>Eco-High</v>
          </cell>
          <cell r="L912" t="str">
            <v>West</v>
          </cell>
          <cell r="M912" t="str">
            <v>With LTS - 2024</v>
          </cell>
          <cell r="N912" t="str">
            <v>YES</v>
          </cell>
          <cell r="O912" t="str">
            <v>YES</v>
          </cell>
          <cell r="P912" t="str">
            <v>Unaffected lots</v>
          </cell>
          <cell r="Q912" t="str">
            <v>YES</v>
          </cell>
          <cell r="R912">
            <v>110</v>
          </cell>
          <cell r="S912" t="str">
            <v>PSD-04-276567</v>
          </cell>
          <cell r="T912" t="str">
            <v>TCT-060-2024019660</v>
          </cell>
          <cell r="U912" t="b">
            <v>1</v>
          </cell>
          <cell r="V912" t="str">
            <v>Done</v>
          </cell>
          <cell r="W912" t="str">
            <v>B5 2025</v>
          </cell>
          <cell r="X912" t="str">
            <v>2025 - Batch 4</v>
          </cell>
          <cell r="Y912">
            <v>51</v>
          </cell>
          <cell r="Z912">
            <v>2</v>
          </cell>
          <cell r="AA912" t="str">
            <v>H+L</v>
          </cell>
          <cell r="AB912">
            <v>110</v>
          </cell>
          <cell r="AC912">
            <v>50</v>
          </cell>
          <cell r="AD912" t="str">
            <v>Flat</v>
          </cell>
          <cell r="AE912" t="str">
            <v>Duplex</v>
          </cell>
          <cell r="AF912" t="str">
            <v>568 - Without Partition</v>
          </cell>
          <cell r="AG912" t="str">
            <v xml:space="preserve">Without Partition </v>
          </cell>
          <cell r="AH912" t="str">
            <v xml:space="preserve">Without Partition </v>
          </cell>
          <cell r="AI912" t="str">
            <v>PURPLE</v>
          </cell>
          <cell r="AJ912" t="str">
            <v>Flat / PURPLE</v>
          </cell>
          <cell r="AK912">
            <v>1650000</v>
          </cell>
          <cell r="AL912">
            <v>15000</v>
          </cell>
          <cell r="AM912">
            <v>1650000</v>
          </cell>
          <cell r="AN912">
            <v>33000</v>
          </cell>
          <cell r="AO912">
            <v>150000</v>
          </cell>
          <cell r="AP912">
            <v>3450000</v>
          </cell>
          <cell r="AQ912"/>
          <cell r="AR912">
            <v>3450000</v>
          </cell>
          <cell r="AS912">
            <v>200000</v>
          </cell>
          <cell r="AT912">
            <v>3250000</v>
          </cell>
          <cell r="AU912">
            <v>100000</v>
          </cell>
          <cell r="AV912">
            <v>3150000</v>
          </cell>
          <cell r="AW912">
            <v>0</v>
          </cell>
          <cell r="AX912">
            <v>3150000</v>
          </cell>
        </row>
        <row r="913">
          <cell r="G913" t="str">
            <v>AGM-01-051-003</v>
          </cell>
          <cell r="H913" t="str">
            <v xml:space="preserve">Raemulan Lands, Inc. </v>
          </cell>
          <cell r="I913" t="str">
            <v>Agapeya</v>
          </cell>
          <cell r="J913" t="str">
            <v>AGM</v>
          </cell>
          <cell r="K913" t="str">
            <v>Eco-High</v>
          </cell>
          <cell r="L913" t="str">
            <v>West</v>
          </cell>
          <cell r="M913" t="str">
            <v>With LTS - 2024</v>
          </cell>
          <cell r="N913" t="str">
            <v>YES</v>
          </cell>
          <cell r="O913" t="str">
            <v>YES</v>
          </cell>
          <cell r="P913" t="str">
            <v>Unaffected lots</v>
          </cell>
          <cell r="Q913" t="str">
            <v>YES</v>
          </cell>
          <cell r="R913">
            <v>110</v>
          </cell>
          <cell r="S913" t="str">
            <v>PSD-04-276567</v>
          </cell>
          <cell r="T913" t="str">
            <v>TCT-060-2024019661</v>
          </cell>
          <cell r="U913" t="b">
            <v>0</v>
          </cell>
          <cell r="V913" t="str">
            <v>Done</v>
          </cell>
          <cell r="W913" t="str">
            <v>B5 2025</v>
          </cell>
          <cell r="X913" t="str">
            <v>2025 - Batch 4</v>
          </cell>
          <cell r="Y913">
            <v>51</v>
          </cell>
          <cell r="Z913">
            <v>3</v>
          </cell>
          <cell r="AA913" t="str">
            <v>H+L</v>
          </cell>
          <cell r="AB913">
            <v>100</v>
          </cell>
          <cell r="AC913">
            <v>50</v>
          </cell>
          <cell r="AD913" t="str">
            <v>Slant</v>
          </cell>
          <cell r="AE913" t="str">
            <v>Duplex</v>
          </cell>
          <cell r="AF913" t="str">
            <v>568 - Without Partition</v>
          </cell>
          <cell r="AG913" t="str">
            <v xml:space="preserve">Without Partition </v>
          </cell>
          <cell r="AH913" t="str">
            <v xml:space="preserve">Without Partition </v>
          </cell>
          <cell r="AI913" t="str">
            <v>GREEN</v>
          </cell>
          <cell r="AJ913" t="str">
            <v>Slant / GREEN</v>
          </cell>
          <cell r="AK913">
            <v>1500000</v>
          </cell>
          <cell r="AL913">
            <v>15000</v>
          </cell>
          <cell r="AM913">
            <v>1650000</v>
          </cell>
          <cell r="AN913">
            <v>33000</v>
          </cell>
          <cell r="AO913">
            <v>150000</v>
          </cell>
          <cell r="AP913">
            <v>3300000</v>
          </cell>
          <cell r="AQ913"/>
          <cell r="AR913">
            <v>3300000</v>
          </cell>
          <cell r="AS913">
            <v>200000</v>
          </cell>
          <cell r="AT913">
            <v>3100000</v>
          </cell>
          <cell r="AU913">
            <v>100000</v>
          </cell>
          <cell r="AV913">
            <v>3000000</v>
          </cell>
          <cell r="AW913">
            <v>0</v>
          </cell>
          <cell r="AX913">
            <v>3000000</v>
          </cell>
        </row>
        <row r="914">
          <cell r="G914" t="str">
            <v>AGM-01-051-004</v>
          </cell>
          <cell r="H914" t="str">
            <v xml:space="preserve">Raemulan Lands, Inc. </v>
          </cell>
          <cell r="I914" t="str">
            <v>Agapeya</v>
          </cell>
          <cell r="J914" t="str">
            <v>AGM</v>
          </cell>
          <cell r="K914" t="str">
            <v>Eco-High</v>
          </cell>
          <cell r="L914" t="str">
            <v>West</v>
          </cell>
          <cell r="M914" t="str">
            <v>With LTS - 2024</v>
          </cell>
          <cell r="N914" t="str">
            <v>YES</v>
          </cell>
          <cell r="O914" t="str">
            <v>YES</v>
          </cell>
          <cell r="P914" t="str">
            <v>Unaffected lots</v>
          </cell>
          <cell r="Q914" t="str">
            <v>YES</v>
          </cell>
          <cell r="R914">
            <v>100</v>
          </cell>
          <cell r="S914" t="str">
            <v>PSD-04-276567</v>
          </cell>
          <cell r="T914" t="str">
            <v>TCT-060-2024019662</v>
          </cell>
          <cell r="U914" t="b">
            <v>1</v>
          </cell>
          <cell r="V914" t="str">
            <v>Done</v>
          </cell>
          <cell r="W914" t="str">
            <v>B5 2025</v>
          </cell>
          <cell r="X914" t="str">
            <v>2025 - Batch 4</v>
          </cell>
          <cell r="Y914">
            <v>51</v>
          </cell>
          <cell r="Z914">
            <v>4</v>
          </cell>
          <cell r="AA914" t="str">
            <v>H+L</v>
          </cell>
          <cell r="AB914">
            <v>100</v>
          </cell>
          <cell r="AC914">
            <v>50</v>
          </cell>
          <cell r="AD914" t="str">
            <v>Flat</v>
          </cell>
          <cell r="AE914" t="str">
            <v>Duplex</v>
          </cell>
          <cell r="AF914" t="str">
            <v>568 - Without Partition</v>
          </cell>
          <cell r="AG914" t="str">
            <v xml:space="preserve">Without Partition </v>
          </cell>
          <cell r="AH914" t="str">
            <v xml:space="preserve">Without Partition </v>
          </cell>
          <cell r="AI914" t="str">
            <v>GREEN</v>
          </cell>
          <cell r="AJ914" t="str">
            <v>Flat / GREEN</v>
          </cell>
          <cell r="AK914">
            <v>1500000</v>
          </cell>
          <cell r="AL914">
            <v>15000</v>
          </cell>
          <cell r="AM914">
            <v>1650000</v>
          </cell>
          <cell r="AN914">
            <v>33000</v>
          </cell>
          <cell r="AO914">
            <v>150000</v>
          </cell>
          <cell r="AP914">
            <v>3300000</v>
          </cell>
          <cell r="AQ914"/>
          <cell r="AR914">
            <v>3300000</v>
          </cell>
          <cell r="AS914">
            <v>200000</v>
          </cell>
          <cell r="AT914">
            <v>3100000</v>
          </cell>
          <cell r="AU914">
            <v>100000</v>
          </cell>
          <cell r="AV914">
            <v>3000000</v>
          </cell>
          <cell r="AW914">
            <v>0</v>
          </cell>
          <cell r="AX914">
            <v>3000000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 Product (2)"/>
      <sheetName val="Guide"/>
      <sheetName val="VEP"/>
      <sheetName val="TEP"/>
      <sheetName val="NEP"/>
      <sheetName val="JEP"/>
      <sheetName val="JEN"/>
      <sheetName val="VAENE"/>
      <sheetName val="VAP"/>
      <sheetName val="JPH"/>
      <sheetName val="ESW"/>
      <sheetName val="ESE"/>
      <sheetName val="AGM"/>
      <sheetName val="AGM-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22">
          <cell r="AD22" t="str">
            <v>ESE-01-021-001</v>
          </cell>
          <cell r="AE22" t="str">
            <v xml:space="preserve">Raemulan Lands, Inc. </v>
          </cell>
          <cell r="AF22" t="str">
            <v>Estanzia Enclave</v>
          </cell>
          <cell r="AG22" t="str">
            <v>ESE</v>
          </cell>
          <cell r="AH22" t="str">
            <v>Middle Income</v>
          </cell>
          <cell r="AI22" t="str">
            <v>01</v>
          </cell>
          <cell r="AJ22" t="str">
            <v>Batch 4 2025</v>
          </cell>
          <cell r="AK22">
            <v>95</v>
          </cell>
          <cell r="AL22" t="str">
            <v>PCS-04-032688</v>
          </cell>
          <cell r="AM22" t="b">
            <v>1</v>
          </cell>
          <cell r="AN22" t="str">
            <v xml:space="preserve">Done </v>
          </cell>
          <cell r="AO22">
            <v>21</v>
          </cell>
          <cell r="AP22">
            <v>1</v>
          </cell>
          <cell r="AQ22" t="str">
            <v>H+L</v>
          </cell>
          <cell r="AR22" t="str">
            <v>NA</v>
          </cell>
          <cell r="AS22">
            <v>95</v>
          </cell>
          <cell r="AT22">
            <v>55</v>
          </cell>
          <cell r="AU22" t="str">
            <v>SLANT</v>
          </cell>
          <cell r="AV22" t="str">
            <v>SLANT / BEACHSIDE SUN</v>
          </cell>
          <cell r="AW22" t="str">
            <v>DU-EXE</v>
          </cell>
          <cell r="AX22" t="str">
            <v>BEACHSIDE SUN</v>
          </cell>
          <cell r="AY22">
            <v>3746428.5714285709</v>
          </cell>
          <cell r="AZ22">
            <v>3925000</v>
          </cell>
          <cell r="BA22">
            <v>200000</v>
          </cell>
          <cell r="BB22">
            <v>3725000</v>
          </cell>
          <cell r="BC22">
            <v>399107.14285714284</v>
          </cell>
          <cell r="BD22">
            <v>3325892.8571428573</v>
          </cell>
        </row>
        <row r="23">
          <cell r="AD23" t="str">
            <v>ESE-01-021-002</v>
          </cell>
          <cell r="AE23" t="str">
            <v xml:space="preserve">Raemulan Lands, Inc. </v>
          </cell>
          <cell r="AF23" t="str">
            <v>Estanzia Enclave</v>
          </cell>
          <cell r="AG23" t="str">
            <v>ESE</v>
          </cell>
          <cell r="AH23" t="str">
            <v>Middle Income</v>
          </cell>
          <cell r="AI23" t="str">
            <v>01</v>
          </cell>
          <cell r="AJ23" t="str">
            <v>Batch 4 2025</v>
          </cell>
          <cell r="AK23">
            <v>120</v>
          </cell>
          <cell r="AL23" t="str">
            <v>PCS-04-032688</v>
          </cell>
          <cell r="AM23" t="b">
            <v>1</v>
          </cell>
          <cell r="AN23" t="str">
            <v xml:space="preserve">Done </v>
          </cell>
          <cell r="AO23">
            <v>21</v>
          </cell>
          <cell r="AP23">
            <v>2</v>
          </cell>
          <cell r="AQ23" t="str">
            <v>H+L</v>
          </cell>
          <cell r="AR23" t="str">
            <v>NA</v>
          </cell>
          <cell r="AS23">
            <v>120</v>
          </cell>
          <cell r="AT23">
            <v>55</v>
          </cell>
          <cell r="AU23" t="str">
            <v>FLAT</v>
          </cell>
          <cell r="AV23" t="str">
            <v>FLAT / BEACHSIDE SUN</v>
          </cell>
          <cell r="AW23" t="str">
            <v>DU-EXE</v>
          </cell>
          <cell r="AX23" t="str">
            <v>BEACHSIDE SUN</v>
          </cell>
          <cell r="AY23">
            <v>3420000</v>
          </cell>
          <cell r="AZ23">
            <v>4290000</v>
          </cell>
          <cell r="BA23">
            <v>0</v>
          </cell>
          <cell r="BB23">
            <v>4290000</v>
          </cell>
          <cell r="BC23">
            <v>459642.85714285716</v>
          </cell>
          <cell r="BD23">
            <v>3830357.1428571427</v>
          </cell>
        </row>
        <row r="24">
          <cell r="AD24" t="str">
            <v>ESE-01-021-003</v>
          </cell>
          <cell r="AE24" t="str">
            <v xml:space="preserve">Raemulan Lands, Inc. </v>
          </cell>
          <cell r="AF24" t="str">
            <v>Estanzia Enclave</v>
          </cell>
          <cell r="AG24" t="str">
            <v>ESE</v>
          </cell>
          <cell r="AH24" t="str">
            <v>Middle Income</v>
          </cell>
          <cell r="AI24" t="str">
            <v>01</v>
          </cell>
          <cell r="AJ24" t="str">
            <v>Batch 4 2025</v>
          </cell>
          <cell r="AK24">
            <v>84</v>
          </cell>
          <cell r="AL24" t="str">
            <v>PCS-04-032688</v>
          </cell>
          <cell r="AM24" t="b">
            <v>1</v>
          </cell>
          <cell r="AN24" t="str">
            <v xml:space="preserve">Done </v>
          </cell>
          <cell r="AO24">
            <v>21</v>
          </cell>
          <cell r="AP24">
            <v>3</v>
          </cell>
          <cell r="AQ24" t="str">
            <v>H+L</v>
          </cell>
          <cell r="AR24">
            <v>0.98410000000000009</v>
          </cell>
          <cell r="AS24">
            <v>84</v>
          </cell>
          <cell r="AT24">
            <v>55</v>
          </cell>
          <cell r="AU24" t="str">
            <v>FLAT</v>
          </cell>
          <cell r="AV24" t="str">
            <v>FLAT / BEACHSIDE SUN</v>
          </cell>
          <cell r="AW24" t="str">
            <v>DU-EXE</v>
          </cell>
          <cell r="AX24" t="str">
            <v>BEACHSIDE SUN</v>
          </cell>
          <cell r="AY24">
            <v>3600000</v>
          </cell>
          <cell r="AZ24">
            <v>3660000</v>
          </cell>
          <cell r="BA24">
            <v>500000</v>
          </cell>
          <cell r="BB24">
            <v>3160000</v>
          </cell>
          <cell r="BC24">
            <v>0</v>
          </cell>
          <cell r="BD24">
            <v>3160000</v>
          </cell>
        </row>
        <row r="25">
          <cell r="AD25" t="str">
            <v>ESE-01-021-004</v>
          </cell>
          <cell r="AE25" t="str">
            <v xml:space="preserve">Raemulan Lands, Inc. </v>
          </cell>
          <cell r="AF25" t="str">
            <v>Estanzia Enclave</v>
          </cell>
          <cell r="AG25" t="str">
            <v>ESE</v>
          </cell>
          <cell r="AH25" t="str">
            <v>Middle Income</v>
          </cell>
          <cell r="AI25" t="str">
            <v>01</v>
          </cell>
          <cell r="AJ25" t="str">
            <v>Batch 4 2025</v>
          </cell>
          <cell r="AK25">
            <v>110</v>
          </cell>
          <cell r="AL25" t="str">
            <v>PCS-04-032688</v>
          </cell>
          <cell r="AM25" t="b">
            <v>1</v>
          </cell>
          <cell r="AN25" t="str">
            <v xml:space="preserve">Done </v>
          </cell>
          <cell r="AO25">
            <v>21</v>
          </cell>
          <cell r="AP25">
            <v>4</v>
          </cell>
          <cell r="AQ25" t="str">
            <v>H+L</v>
          </cell>
          <cell r="AR25" t="str">
            <v>NA</v>
          </cell>
          <cell r="AS25">
            <v>110</v>
          </cell>
          <cell r="AT25">
            <v>55</v>
          </cell>
          <cell r="AU25" t="str">
            <v>SLANT</v>
          </cell>
          <cell r="AV25" t="str">
            <v>SLANT / BEACHSIDE SUN</v>
          </cell>
          <cell r="AW25" t="str">
            <v>DU-EXE</v>
          </cell>
          <cell r="AX25" t="str">
            <v>BEACHSIDE SUN</v>
          </cell>
          <cell r="AY25">
            <v>3420000</v>
          </cell>
          <cell r="AZ25">
            <v>4050000</v>
          </cell>
          <cell r="BA25">
            <v>0</v>
          </cell>
          <cell r="BB25">
            <v>4050000</v>
          </cell>
          <cell r="BC25">
            <v>433928.57142857142</v>
          </cell>
          <cell r="BD25">
            <v>3616071.4285714286</v>
          </cell>
        </row>
        <row r="26">
          <cell r="AD26" t="str">
            <v>ESE-01-021-005</v>
          </cell>
          <cell r="AE26" t="str">
            <v xml:space="preserve">Raemulan Lands, Inc. </v>
          </cell>
          <cell r="AF26" t="str">
            <v>Estanzia Enclave</v>
          </cell>
          <cell r="AG26" t="str">
            <v>ESE</v>
          </cell>
          <cell r="AH26" t="str">
            <v>Middle Income</v>
          </cell>
          <cell r="AI26" t="str">
            <v>01</v>
          </cell>
          <cell r="AJ26" t="str">
            <v>Batch 4 2025</v>
          </cell>
          <cell r="AK26">
            <v>111</v>
          </cell>
          <cell r="AL26" t="str">
            <v>PCS-04-032688</v>
          </cell>
          <cell r="AM26" t="b">
            <v>1</v>
          </cell>
          <cell r="AN26" t="str">
            <v xml:space="preserve">Done </v>
          </cell>
          <cell r="AO26">
            <v>21</v>
          </cell>
          <cell r="AP26">
            <v>5</v>
          </cell>
          <cell r="AQ26" t="str">
            <v>H+L</v>
          </cell>
          <cell r="AR26" t="str">
            <v>NA</v>
          </cell>
          <cell r="AS26">
            <v>111</v>
          </cell>
          <cell r="AT26">
            <v>55</v>
          </cell>
          <cell r="AU26" t="str">
            <v>SLANT</v>
          </cell>
          <cell r="AV26" t="str">
            <v>SLANT / HORIZON SUN</v>
          </cell>
          <cell r="AW26" t="str">
            <v>DU-EXE</v>
          </cell>
          <cell r="AX26" t="str">
            <v>HORIZON SUN</v>
          </cell>
          <cell r="AY26">
            <v>3420000</v>
          </cell>
          <cell r="AZ26">
            <v>4065000</v>
          </cell>
          <cell r="BA26">
            <v>0</v>
          </cell>
          <cell r="BB26">
            <v>4065000</v>
          </cell>
          <cell r="BC26">
            <v>435535.71428571426</v>
          </cell>
          <cell r="BD26">
            <v>3629464.2857142859</v>
          </cell>
        </row>
        <row r="27">
          <cell r="AD27" t="str">
            <v>ESE-01-021-006</v>
          </cell>
          <cell r="AE27" t="str">
            <v xml:space="preserve">Raemulan Lands, Inc. </v>
          </cell>
          <cell r="AF27" t="str">
            <v>Estanzia Enclave</v>
          </cell>
          <cell r="AG27" t="str">
            <v>ESE</v>
          </cell>
          <cell r="AH27" t="str">
            <v>Middle Income</v>
          </cell>
          <cell r="AI27" t="str">
            <v>01</v>
          </cell>
          <cell r="AJ27" t="str">
            <v>Batch 4 2025</v>
          </cell>
          <cell r="AK27">
            <v>87</v>
          </cell>
          <cell r="AL27" t="str">
            <v>PCS-04-032688</v>
          </cell>
          <cell r="AM27" t="b">
            <v>1</v>
          </cell>
          <cell r="AN27" t="str">
            <v xml:space="preserve">Done </v>
          </cell>
          <cell r="AO27">
            <v>21</v>
          </cell>
          <cell r="AP27">
            <v>6</v>
          </cell>
          <cell r="AQ27" t="str">
            <v>H+L</v>
          </cell>
          <cell r="AR27" t="str">
            <v>NA</v>
          </cell>
          <cell r="AS27">
            <v>87</v>
          </cell>
          <cell r="AT27">
            <v>55</v>
          </cell>
          <cell r="AU27" t="str">
            <v>FLAT</v>
          </cell>
          <cell r="AV27" t="str">
            <v>FLAT / HORIZON SUN</v>
          </cell>
          <cell r="AW27" t="str">
            <v>DU-EXE</v>
          </cell>
          <cell r="AX27" t="str">
            <v>HORIZON SUN</v>
          </cell>
          <cell r="AY27">
            <v>3420000</v>
          </cell>
          <cell r="AZ27">
            <v>3705000</v>
          </cell>
          <cell r="BA27">
            <v>0</v>
          </cell>
          <cell r="BB27">
            <v>3705000</v>
          </cell>
          <cell r="BC27">
            <v>396964.28571428574</v>
          </cell>
          <cell r="BD27">
            <v>3308035.7142857141</v>
          </cell>
        </row>
        <row r="28">
          <cell r="AD28" t="str">
            <v>ESE-01-021-007</v>
          </cell>
          <cell r="AE28" t="str">
            <v xml:space="preserve">Raemulan Lands, Inc. </v>
          </cell>
          <cell r="AF28" t="str">
            <v>Estanzia Enclave</v>
          </cell>
          <cell r="AG28" t="str">
            <v>ESE</v>
          </cell>
          <cell r="AH28" t="str">
            <v>Middle Income</v>
          </cell>
          <cell r="AI28" t="str">
            <v>01</v>
          </cell>
          <cell r="AJ28" t="str">
            <v>Batch 5 2025</v>
          </cell>
          <cell r="AK28">
            <v>86</v>
          </cell>
          <cell r="AL28" t="str">
            <v>PCS-04-032688</v>
          </cell>
          <cell r="AM28" t="b">
            <v>1</v>
          </cell>
          <cell r="AN28" t="str">
            <v xml:space="preserve">Done </v>
          </cell>
          <cell r="AO28">
            <v>21</v>
          </cell>
          <cell r="AP28">
            <v>7</v>
          </cell>
          <cell r="AQ28" t="str">
            <v>H+L</v>
          </cell>
          <cell r="AR28" t="str">
            <v>NA</v>
          </cell>
          <cell r="AS28">
            <v>86</v>
          </cell>
          <cell r="AT28">
            <v>55</v>
          </cell>
          <cell r="AU28" t="str">
            <v>FLAT</v>
          </cell>
          <cell r="AV28" t="str">
            <v>FLAT / HORIZON SUN</v>
          </cell>
          <cell r="AW28" t="str">
            <v>DU-EXE</v>
          </cell>
          <cell r="AX28" t="str">
            <v>HORIZON SUN</v>
          </cell>
          <cell r="AY28">
            <v>3420000</v>
          </cell>
          <cell r="AZ28">
            <v>3600000</v>
          </cell>
          <cell r="BA28">
            <v>0</v>
          </cell>
          <cell r="BB28">
            <v>3600000</v>
          </cell>
          <cell r="BC28">
            <v>0</v>
          </cell>
          <cell r="BD28">
            <v>3600000</v>
          </cell>
        </row>
        <row r="29">
          <cell r="AD29" t="str">
            <v>ESE-01-021-008</v>
          </cell>
          <cell r="AE29" t="str">
            <v xml:space="preserve">Raemulan Lands, Inc. </v>
          </cell>
          <cell r="AF29" t="str">
            <v>Estanzia Enclave</v>
          </cell>
          <cell r="AG29" t="str">
            <v>ESE</v>
          </cell>
          <cell r="AH29" t="str">
            <v>Middle Income</v>
          </cell>
          <cell r="AI29" t="str">
            <v>01</v>
          </cell>
          <cell r="AJ29" t="str">
            <v>Batch 5 2025</v>
          </cell>
          <cell r="AK29">
            <v>86</v>
          </cell>
          <cell r="AL29" t="str">
            <v>PCS-04-032688</v>
          </cell>
          <cell r="AM29" t="b">
            <v>1</v>
          </cell>
          <cell r="AN29" t="str">
            <v xml:space="preserve">Done </v>
          </cell>
          <cell r="AO29">
            <v>21</v>
          </cell>
          <cell r="AP29">
            <v>8</v>
          </cell>
          <cell r="AQ29" t="str">
            <v>H+L</v>
          </cell>
          <cell r="AR29" t="str">
            <v>NA</v>
          </cell>
          <cell r="AS29">
            <v>86</v>
          </cell>
          <cell r="AT29">
            <v>55</v>
          </cell>
          <cell r="AU29" t="str">
            <v>SLANT</v>
          </cell>
          <cell r="AV29" t="str">
            <v>SLANT / HORIZON SUN</v>
          </cell>
          <cell r="AW29" t="str">
            <v>DU-EXE</v>
          </cell>
          <cell r="AX29" t="str">
            <v>HORIZON SUN</v>
          </cell>
          <cell r="AY29">
            <v>3420000</v>
          </cell>
          <cell r="AZ29">
            <v>3690000</v>
          </cell>
          <cell r="BA29">
            <v>0</v>
          </cell>
          <cell r="BB29">
            <v>3690000</v>
          </cell>
          <cell r="BC29">
            <v>395357.14285714284</v>
          </cell>
          <cell r="BD29">
            <v>3294642.8571428573</v>
          </cell>
        </row>
        <row r="30">
          <cell r="AD30" t="str">
            <v>ESE-01-021-009</v>
          </cell>
          <cell r="AE30" t="str">
            <v xml:space="preserve">Raemulan Lands, Inc. </v>
          </cell>
          <cell r="AF30" t="str">
            <v>Estanzia Enclave</v>
          </cell>
          <cell r="AG30" t="str">
            <v>ESE</v>
          </cell>
          <cell r="AH30" t="str">
            <v>Middle Income</v>
          </cell>
          <cell r="AI30" t="str">
            <v>01</v>
          </cell>
          <cell r="AJ30" t="str">
            <v>Batch 5 2025</v>
          </cell>
          <cell r="AK30">
            <v>85</v>
          </cell>
          <cell r="AL30" t="str">
            <v>PCS-04-032688</v>
          </cell>
          <cell r="AM30" t="b">
            <v>1</v>
          </cell>
          <cell r="AN30" t="str">
            <v xml:space="preserve">Done </v>
          </cell>
          <cell r="AO30">
            <v>21</v>
          </cell>
          <cell r="AP30">
            <v>9</v>
          </cell>
          <cell r="AQ30" t="str">
            <v>H+L</v>
          </cell>
          <cell r="AR30" t="str">
            <v>NA</v>
          </cell>
          <cell r="AS30">
            <v>85</v>
          </cell>
          <cell r="AT30">
            <v>55</v>
          </cell>
          <cell r="AU30" t="str">
            <v>SLANT</v>
          </cell>
          <cell r="AV30" t="str">
            <v>SLANT / BEACHSIDE SUN</v>
          </cell>
          <cell r="AW30" t="str">
            <v>DU-EXE</v>
          </cell>
          <cell r="AX30" t="str">
            <v>BEACHSIDE SUN</v>
          </cell>
          <cell r="AY30">
            <v>3420000</v>
          </cell>
          <cell r="AZ30">
            <v>3675000</v>
          </cell>
          <cell r="BA30">
            <v>0</v>
          </cell>
          <cell r="BB30">
            <v>3675000</v>
          </cell>
          <cell r="BC30">
            <v>393750</v>
          </cell>
          <cell r="BD30">
            <v>3281250</v>
          </cell>
        </row>
        <row r="31">
          <cell r="AD31" t="str">
            <v>ESE-01-021-010</v>
          </cell>
          <cell r="AE31" t="str">
            <v xml:space="preserve">Raemulan Lands, Inc. </v>
          </cell>
          <cell r="AF31" t="str">
            <v>Estanzia Enclave</v>
          </cell>
          <cell r="AG31" t="str">
            <v>ESE</v>
          </cell>
          <cell r="AH31" t="str">
            <v>Middle Income</v>
          </cell>
          <cell r="AI31" t="str">
            <v>01</v>
          </cell>
          <cell r="AJ31" t="str">
            <v>Batch 5 2025</v>
          </cell>
          <cell r="AK31">
            <v>85</v>
          </cell>
          <cell r="AL31" t="str">
            <v>PCS-04-032688</v>
          </cell>
          <cell r="AM31" t="b">
            <v>1</v>
          </cell>
          <cell r="AN31" t="str">
            <v xml:space="preserve">Done </v>
          </cell>
          <cell r="AO31">
            <v>21</v>
          </cell>
          <cell r="AP31">
            <v>10</v>
          </cell>
          <cell r="AQ31" t="str">
            <v>H+L</v>
          </cell>
          <cell r="AR31" t="str">
            <v>NA</v>
          </cell>
          <cell r="AS31">
            <v>85</v>
          </cell>
          <cell r="AT31">
            <v>55</v>
          </cell>
          <cell r="AU31" t="str">
            <v>FLAT</v>
          </cell>
          <cell r="AV31" t="str">
            <v>FLAT / BEACHSIDE SUN</v>
          </cell>
          <cell r="AW31" t="str">
            <v>DU-EXE</v>
          </cell>
          <cell r="AX31" t="str">
            <v>BEACHSIDE SUN</v>
          </cell>
          <cell r="AY31">
            <v>3420000</v>
          </cell>
          <cell r="AZ31">
            <v>3675000</v>
          </cell>
          <cell r="BA31">
            <v>0</v>
          </cell>
          <cell r="BB31">
            <v>3675000</v>
          </cell>
          <cell r="BC31">
            <v>393750</v>
          </cell>
          <cell r="BD31">
            <v>3281250</v>
          </cell>
        </row>
        <row r="32">
          <cell r="AD32" t="str">
            <v>ESE-01-021-011</v>
          </cell>
          <cell r="AE32" t="str">
            <v xml:space="preserve">Raemulan Lands, Inc. </v>
          </cell>
          <cell r="AF32" t="str">
            <v>Estanzia Enclave</v>
          </cell>
          <cell r="AG32" t="str">
            <v>ESE</v>
          </cell>
          <cell r="AH32" t="str">
            <v>Middle Income</v>
          </cell>
          <cell r="AI32" t="str">
            <v>01</v>
          </cell>
          <cell r="AJ32" t="str">
            <v>Batch 5 2025</v>
          </cell>
          <cell r="AK32">
            <v>85</v>
          </cell>
          <cell r="AL32" t="str">
            <v>PCS-04-032688</v>
          </cell>
          <cell r="AM32" t="b">
            <v>1</v>
          </cell>
          <cell r="AN32" t="str">
            <v xml:space="preserve">Done </v>
          </cell>
          <cell r="AO32">
            <v>21</v>
          </cell>
          <cell r="AP32">
            <v>11</v>
          </cell>
          <cell r="AQ32" t="str">
            <v>H+L</v>
          </cell>
          <cell r="AR32" t="str">
            <v>NA</v>
          </cell>
          <cell r="AS32">
            <v>85</v>
          </cell>
          <cell r="AT32">
            <v>55</v>
          </cell>
          <cell r="AU32" t="str">
            <v>FLAT</v>
          </cell>
          <cell r="AV32" t="str">
            <v>FLAT / BEACHSIDE SUN</v>
          </cell>
          <cell r="AW32" t="str">
            <v>DU-EXE</v>
          </cell>
          <cell r="AX32" t="str">
            <v>BEACHSIDE SUN</v>
          </cell>
          <cell r="AY32">
            <v>3420000</v>
          </cell>
          <cell r="AZ32">
            <v>3675000</v>
          </cell>
          <cell r="BA32">
            <v>0</v>
          </cell>
          <cell r="BB32">
            <v>3675000</v>
          </cell>
          <cell r="BC32">
            <v>393750</v>
          </cell>
          <cell r="BD32">
            <v>3281250</v>
          </cell>
        </row>
        <row r="33">
          <cell r="AD33" t="str">
            <v>ESE-01-021-012</v>
          </cell>
          <cell r="AE33" t="str">
            <v xml:space="preserve">Raemulan Lands, Inc. </v>
          </cell>
          <cell r="AF33" t="str">
            <v>Estanzia Enclave</v>
          </cell>
          <cell r="AG33" t="str">
            <v>ESE</v>
          </cell>
          <cell r="AH33" t="str">
            <v>Middle Income</v>
          </cell>
          <cell r="AI33" t="str">
            <v>01</v>
          </cell>
          <cell r="AJ33" t="str">
            <v>Batch 5 2025</v>
          </cell>
          <cell r="AK33">
            <v>85</v>
          </cell>
          <cell r="AL33" t="str">
            <v>PCS-04-032688</v>
          </cell>
          <cell r="AM33" t="b">
            <v>1</v>
          </cell>
          <cell r="AN33" t="str">
            <v xml:space="preserve">Done </v>
          </cell>
          <cell r="AO33">
            <v>21</v>
          </cell>
          <cell r="AP33">
            <v>12</v>
          </cell>
          <cell r="AQ33" t="str">
            <v>H+L</v>
          </cell>
          <cell r="AR33" t="str">
            <v>NA</v>
          </cell>
          <cell r="AS33">
            <v>85</v>
          </cell>
          <cell r="AT33">
            <v>55</v>
          </cell>
          <cell r="AU33" t="str">
            <v>SLANT</v>
          </cell>
          <cell r="AV33" t="str">
            <v>SLANT / BEACHSIDE SUN</v>
          </cell>
          <cell r="AW33" t="str">
            <v>DU-EXE</v>
          </cell>
          <cell r="AX33" t="str">
            <v>BEACHSIDE SUN</v>
          </cell>
          <cell r="AY33">
            <v>3420000</v>
          </cell>
          <cell r="AZ33">
            <v>3675000</v>
          </cell>
          <cell r="BA33">
            <v>0</v>
          </cell>
          <cell r="BB33">
            <v>3675000</v>
          </cell>
          <cell r="BC33">
            <v>393750</v>
          </cell>
          <cell r="BD33">
            <v>3281250</v>
          </cell>
        </row>
        <row r="34">
          <cell r="AD34" t="str">
            <v>ESE-01-021-013</v>
          </cell>
          <cell r="AE34" t="str">
            <v xml:space="preserve">Raemulan Lands, Inc. </v>
          </cell>
          <cell r="AF34" t="str">
            <v>Estanzia Enclave</v>
          </cell>
          <cell r="AG34" t="str">
            <v>ESE</v>
          </cell>
          <cell r="AH34" t="str">
            <v>Middle Income</v>
          </cell>
          <cell r="AI34" t="str">
            <v>01</v>
          </cell>
          <cell r="AJ34" t="str">
            <v>Batch 4 2025</v>
          </cell>
          <cell r="AK34">
            <v>84</v>
          </cell>
          <cell r="AL34" t="str">
            <v>PCS-04-032688</v>
          </cell>
          <cell r="AM34" t="b">
            <v>1</v>
          </cell>
          <cell r="AN34" t="str">
            <v xml:space="preserve">Done </v>
          </cell>
          <cell r="AO34">
            <v>21</v>
          </cell>
          <cell r="AP34">
            <v>13</v>
          </cell>
          <cell r="AQ34" t="str">
            <v>H+L</v>
          </cell>
          <cell r="AR34" t="str">
            <v>NA</v>
          </cell>
          <cell r="AS34">
            <v>84</v>
          </cell>
          <cell r="AT34">
            <v>55</v>
          </cell>
          <cell r="AU34" t="str">
            <v>SLANT</v>
          </cell>
          <cell r="AV34" t="str">
            <v>SLANT / HORIZON SUN</v>
          </cell>
          <cell r="AW34" t="str">
            <v>DU-EXE</v>
          </cell>
          <cell r="AX34" t="str">
            <v>HORIZON SUN</v>
          </cell>
          <cell r="AY34">
            <v>3420000</v>
          </cell>
          <cell r="AZ34">
            <v>3660000</v>
          </cell>
          <cell r="BA34">
            <v>0</v>
          </cell>
          <cell r="BB34">
            <v>3660000</v>
          </cell>
          <cell r="BC34">
            <v>392142.85714285716</v>
          </cell>
          <cell r="BD34">
            <v>3267857.1428571427</v>
          </cell>
        </row>
        <row r="35">
          <cell r="AD35" t="str">
            <v>ESE-01-021-014</v>
          </cell>
          <cell r="AE35" t="str">
            <v xml:space="preserve">Raemulan Lands, Inc. </v>
          </cell>
          <cell r="AF35" t="str">
            <v>Estanzia Enclave</v>
          </cell>
          <cell r="AG35" t="str">
            <v>ESE</v>
          </cell>
          <cell r="AH35" t="str">
            <v>Middle Income</v>
          </cell>
          <cell r="AI35" t="str">
            <v>01</v>
          </cell>
          <cell r="AJ35" t="str">
            <v>Batch 4 2025</v>
          </cell>
          <cell r="AK35">
            <v>84</v>
          </cell>
          <cell r="AL35" t="str">
            <v>PCS-04-032688</v>
          </cell>
          <cell r="AM35" t="b">
            <v>1</v>
          </cell>
          <cell r="AN35" t="str">
            <v xml:space="preserve">Done </v>
          </cell>
          <cell r="AO35">
            <v>21</v>
          </cell>
          <cell r="AP35">
            <v>14</v>
          </cell>
          <cell r="AQ35" t="str">
            <v>H+L</v>
          </cell>
          <cell r="AR35">
            <v>0.90141000000000027</v>
          </cell>
          <cell r="AS35">
            <v>84</v>
          </cell>
          <cell r="AT35">
            <v>55</v>
          </cell>
          <cell r="AU35" t="str">
            <v>FLAT</v>
          </cell>
          <cell r="AV35" t="str">
            <v>FLAT / HORIZON SUN</v>
          </cell>
          <cell r="AW35" t="str">
            <v>DU-EXE</v>
          </cell>
          <cell r="AX35" t="str">
            <v>HORIZON SUN</v>
          </cell>
          <cell r="AY35">
            <v>3600000</v>
          </cell>
          <cell r="AZ35">
            <v>3660000</v>
          </cell>
          <cell r="BA35">
            <v>500000</v>
          </cell>
          <cell r="BB35">
            <v>3160000</v>
          </cell>
          <cell r="BC35">
            <v>0</v>
          </cell>
          <cell r="BD35">
            <v>3160000</v>
          </cell>
        </row>
        <row r="36">
          <cell r="AD36" t="str">
            <v>ESE-01-021-015</v>
          </cell>
          <cell r="AE36" t="str">
            <v xml:space="preserve">Raemulan Lands, Inc. </v>
          </cell>
          <cell r="AF36" t="str">
            <v>Estanzia Enclave</v>
          </cell>
          <cell r="AG36" t="str">
            <v>ESE</v>
          </cell>
          <cell r="AH36" t="str">
            <v>Middle Income</v>
          </cell>
          <cell r="AI36" t="str">
            <v>01</v>
          </cell>
          <cell r="AJ36" t="str">
            <v>Batch 4 2025</v>
          </cell>
          <cell r="AK36">
            <v>83</v>
          </cell>
          <cell r="AL36" t="str">
            <v>PCS-04-032688</v>
          </cell>
          <cell r="AM36" t="b">
            <v>1</v>
          </cell>
          <cell r="AN36" t="str">
            <v xml:space="preserve">Done </v>
          </cell>
          <cell r="AO36">
            <v>21</v>
          </cell>
          <cell r="AP36">
            <v>15</v>
          </cell>
          <cell r="AQ36" t="str">
            <v>H+L</v>
          </cell>
          <cell r="AR36">
            <v>0.90105000000000013</v>
          </cell>
          <cell r="AS36">
            <v>83</v>
          </cell>
          <cell r="AT36">
            <v>55</v>
          </cell>
          <cell r="AU36" t="str">
            <v>FLAT</v>
          </cell>
          <cell r="AV36" t="str">
            <v>FLAT / HORIZON SUN</v>
          </cell>
          <cell r="AW36" t="str">
            <v>DU-EXE</v>
          </cell>
          <cell r="AX36" t="str">
            <v>HORIZON SUN</v>
          </cell>
          <cell r="AY36">
            <v>3600000</v>
          </cell>
          <cell r="AZ36">
            <v>3645000</v>
          </cell>
          <cell r="BA36">
            <v>483000</v>
          </cell>
          <cell r="BB36">
            <v>3162000</v>
          </cell>
          <cell r="BC36">
            <v>0</v>
          </cell>
          <cell r="BD36">
            <v>3162000</v>
          </cell>
        </row>
        <row r="37">
          <cell r="AD37" t="str">
            <v>ESE-01-021-016</v>
          </cell>
          <cell r="AE37" t="str">
            <v xml:space="preserve">Raemulan Lands, Inc. </v>
          </cell>
          <cell r="AF37" t="str">
            <v>Estanzia Enclave</v>
          </cell>
          <cell r="AG37" t="str">
            <v>ESE</v>
          </cell>
          <cell r="AH37" t="str">
            <v>Middle Income</v>
          </cell>
          <cell r="AI37" t="str">
            <v>01</v>
          </cell>
          <cell r="AJ37" t="str">
            <v>Batch 4 2025</v>
          </cell>
          <cell r="AK37">
            <v>83</v>
          </cell>
          <cell r="AL37" t="str">
            <v>PCS-04-032688</v>
          </cell>
          <cell r="AM37" t="b">
            <v>1</v>
          </cell>
          <cell r="AN37" t="str">
            <v xml:space="preserve">Done </v>
          </cell>
          <cell r="AO37">
            <v>21</v>
          </cell>
          <cell r="AP37">
            <v>16</v>
          </cell>
          <cell r="AQ37" t="str">
            <v>H+L</v>
          </cell>
          <cell r="AR37" t="str">
            <v>NA</v>
          </cell>
          <cell r="AS37">
            <v>83</v>
          </cell>
          <cell r="AT37">
            <v>55</v>
          </cell>
          <cell r="AU37" t="str">
            <v>SLANT</v>
          </cell>
          <cell r="AV37" t="str">
            <v>SLANT / HORIZON SUN</v>
          </cell>
          <cell r="AW37" t="str">
            <v>DU-EXE</v>
          </cell>
          <cell r="AX37" t="str">
            <v>HORIZON SUN</v>
          </cell>
          <cell r="AY37">
            <v>3420000</v>
          </cell>
          <cell r="AZ37">
            <v>3645000</v>
          </cell>
          <cell r="BA37">
            <v>0</v>
          </cell>
          <cell r="BB37">
            <v>3645000</v>
          </cell>
          <cell r="BC37">
            <v>390535.71428571426</v>
          </cell>
          <cell r="BD37">
            <v>3254464.2857142859</v>
          </cell>
        </row>
        <row r="38">
          <cell r="AD38" t="str">
            <v>ESE-01-021-017</v>
          </cell>
          <cell r="AE38" t="str">
            <v xml:space="preserve">Raemulan Lands, Inc. </v>
          </cell>
          <cell r="AF38" t="str">
            <v>Estanzia Enclave</v>
          </cell>
          <cell r="AG38" t="str">
            <v>ESE</v>
          </cell>
          <cell r="AH38" t="str">
            <v>Middle Income</v>
          </cell>
          <cell r="AI38" t="str">
            <v>01</v>
          </cell>
          <cell r="AJ38" t="str">
            <v>Batch 4 2025</v>
          </cell>
          <cell r="AK38">
            <v>82</v>
          </cell>
          <cell r="AL38" t="str">
            <v>PCS-04-032688</v>
          </cell>
          <cell r="AM38" t="b">
            <v>1</v>
          </cell>
          <cell r="AN38" t="str">
            <v xml:space="preserve">Done </v>
          </cell>
          <cell r="AO38">
            <v>21</v>
          </cell>
          <cell r="AP38">
            <v>17</v>
          </cell>
          <cell r="AQ38" t="str">
            <v>H+L</v>
          </cell>
          <cell r="AR38" t="str">
            <v>NA</v>
          </cell>
          <cell r="AS38">
            <v>82</v>
          </cell>
          <cell r="AT38">
            <v>55</v>
          </cell>
          <cell r="AU38" t="str">
            <v>SLANT</v>
          </cell>
          <cell r="AV38" t="str">
            <v>SLANT / BEACHSIDE SUN</v>
          </cell>
          <cell r="AW38" t="str">
            <v>DU-EXE</v>
          </cell>
          <cell r="AX38" t="str">
            <v>BEACHSIDE SUN</v>
          </cell>
          <cell r="AY38">
            <v>3420000</v>
          </cell>
          <cell r="AZ38">
            <v>3630000</v>
          </cell>
          <cell r="BA38">
            <v>0</v>
          </cell>
          <cell r="BB38">
            <v>3630000</v>
          </cell>
          <cell r="BC38">
            <v>388928.57142857142</v>
          </cell>
          <cell r="BD38">
            <v>3241071.4285714286</v>
          </cell>
        </row>
        <row r="39">
          <cell r="AD39" t="str">
            <v>ESE-01-021-018</v>
          </cell>
          <cell r="AE39" t="str">
            <v xml:space="preserve">Raemulan Lands, Inc. </v>
          </cell>
          <cell r="AF39" t="str">
            <v>Estanzia Enclave</v>
          </cell>
          <cell r="AG39" t="str">
            <v>ESE</v>
          </cell>
          <cell r="AH39" t="str">
            <v>Middle Income</v>
          </cell>
          <cell r="AI39" t="str">
            <v>01</v>
          </cell>
          <cell r="AJ39" t="str">
            <v>Batch 4 2025</v>
          </cell>
          <cell r="AK39">
            <v>81</v>
          </cell>
          <cell r="AL39" t="str">
            <v>PCS-04-032688</v>
          </cell>
          <cell r="AM39" t="b">
            <v>1</v>
          </cell>
          <cell r="AN39" t="str">
            <v xml:space="preserve">Done </v>
          </cell>
          <cell r="AO39">
            <v>21</v>
          </cell>
          <cell r="AP39">
            <v>18</v>
          </cell>
          <cell r="AQ39" t="str">
            <v>H+L</v>
          </cell>
          <cell r="AR39">
            <v>0.89473000000000047</v>
          </cell>
          <cell r="AS39">
            <v>81</v>
          </cell>
          <cell r="AT39">
            <v>55</v>
          </cell>
          <cell r="AU39" t="str">
            <v>FLAT</v>
          </cell>
          <cell r="AV39" t="str">
            <v>FLAT / BEACHSIDE SUN</v>
          </cell>
          <cell r="AW39" t="str">
            <v>DU-EXE</v>
          </cell>
          <cell r="AX39" t="str">
            <v>BEACHSIDE SUN</v>
          </cell>
          <cell r="AY39">
            <v>3600000</v>
          </cell>
          <cell r="AZ39">
            <v>3615000</v>
          </cell>
          <cell r="BA39">
            <v>449000</v>
          </cell>
          <cell r="BB39">
            <v>3166000</v>
          </cell>
          <cell r="BC39">
            <v>0</v>
          </cell>
          <cell r="BD39">
            <v>3166000</v>
          </cell>
        </row>
        <row r="40">
          <cell r="AD40" t="str">
            <v>ESE-01-021-019</v>
          </cell>
          <cell r="AE40" t="str">
            <v xml:space="preserve">Raemulan Lands, Inc. </v>
          </cell>
          <cell r="AF40" t="str">
            <v>Estanzia Enclave</v>
          </cell>
          <cell r="AG40" t="str">
            <v>ESE</v>
          </cell>
          <cell r="AH40" t="str">
            <v>Middle Income</v>
          </cell>
          <cell r="AI40" t="str">
            <v>01</v>
          </cell>
          <cell r="AJ40" t="str">
            <v>HOLD</v>
          </cell>
          <cell r="AK40">
            <v>80</v>
          </cell>
          <cell r="AL40" t="str">
            <v>PCS-04-032688</v>
          </cell>
          <cell r="AM40" t="b">
            <v>1</v>
          </cell>
          <cell r="AN40" t="str">
            <v xml:space="preserve">Done </v>
          </cell>
          <cell r="AO40">
            <v>21</v>
          </cell>
          <cell r="AP40">
            <v>19</v>
          </cell>
          <cell r="AQ40" t="str">
            <v>H+L</v>
          </cell>
          <cell r="AR40" t="str">
            <v>NA</v>
          </cell>
          <cell r="AS40">
            <v>80</v>
          </cell>
          <cell r="AT40">
            <v>55</v>
          </cell>
          <cell r="AU40" t="str">
            <v>FLAT</v>
          </cell>
          <cell r="AV40" t="str">
            <v>FLAT / BEACHSIDE SUN</v>
          </cell>
          <cell r="AW40" t="str">
            <v>DU-EXE</v>
          </cell>
          <cell r="AX40" t="str">
            <v>BEACHSIDE SUN</v>
          </cell>
          <cell r="AY40">
            <v>3420000</v>
          </cell>
          <cell r="AZ40">
            <v>3600000</v>
          </cell>
          <cell r="BA40">
            <v>0</v>
          </cell>
          <cell r="BB40">
            <v>3600000</v>
          </cell>
          <cell r="BC40">
            <v>0</v>
          </cell>
          <cell r="BD40">
            <v>3600000</v>
          </cell>
        </row>
        <row r="41">
          <cell r="AD41" t="str">
            <v>ESE-01-021-020</v>
          </cell>
          <cell r="AE41" t="str">
            <v xml:space="preserve">Raemulan Lands, Inc. </v>
          </cell>
          <cell r="AF41" t="str">
            <v>Estanzia Enclave</v>
          </cell>
          <cell r="AG41" t="str">
            <v>ESE</v>
          </cell>
          <cell r="AH41" t="str">
            <v>Middle Income</v>
          </cell>
          <cell r="AI41" t="str">
            <v>01</v>
          </cell>
          <cell r="AJ41" t="str">
            <v>HOLD</v>
          </cell>
          <cell r="AK41">
            <v>81</v>
          </cell>
          <cell r="AL41" t="str">
            <v>PCS-04-032688</v>
          </cell>
          <cell r="AM41" t="b">
            <v>1</v>
          </cell>
          <cell r="AN41" t="str">
            <v xml:space="preserve">Done </v>
          </cell>
          <cell r="AO41">
            <v>21</v>
          </cell>
          <cell r="AP41">
            <v>20</v>
          </cell>
          <cell r="AQ41" t="str">
            <v>H+L</v>
          </cell>
          <cell r="AR41" t="str">
            <v>NA</v>
          </cell>
          <cell r="AS41">
            <v>81</v>
          </cell>
          <cell r="AT41">
            <v>55</v>
          </cell>
          <cell r="AU41" t="str">
            <v>SLANT</v>
          </cell>
          <cell r="AV41" t="str">
            <v>SLANT / BEACHSIDE SUN</v>
          </cell>
          <cell r="AW41" t="str">
            <v>DU-EXE</v>
          </cell>
          <cell r="AX41" t="str">
            <v>BEACHSIDE SUN</v>
          </cell>
          <cell r="AY41">
            <v>3420000</v>
          </cell>
          <cell r="AZ41">
            <v>3615000</v>
          </cell>
          <cell r="BA41">
            <v>0</v>
          </cell>
          <cell r="BB41">
            <v>3615000</v>
          </cell>
          <cell r="BC41">
            <v>387321.42857142858</v>
          </cell>
          <cell r="BD41">
            <v>3227678.5714285714</v>
          </cell>
        </row>
        <row r="42">
          <cell r="AD42" t="str">
            <v>ESE-01-021-021</v>
          </cell>
          <cell r="AE42" t="str">
            <v xml:space="preserve">Raemulan Lands, Inc. </v>
          </cell>
          <cell r="AF42" t="str">
            <v>Estanzia Enclave</v>
          </cell>
          <cell r="AG42" t="str">
            <v>ESE</v>
          </cell>
          <cell r="AH42" t="str">
            <v>Middle Income</v>
          </cell>
          <cell r="AI42" t="str">
            <v>01</v>
          </cell>
          <cell r="AJ42" t="str">
            <v>HOLD</v>
          </cell>
          <cell r="AK42">
            <v>82</v>
          </cell>
          <cell r="AL42" t="str">
            <v>PCS-04-032688</v>
          </cell>
          <cell r="AM42" t="b">
            <v>1</v>
          </cell>
          <cell r="AN42" t="str">
            <v xml:space="preserve">Done </v>
          </cell>
          <cell r="AO42">
            <v>21</v>
          </cell>
          <cell r="AP42">
            <v>21</v>
          </cell>
          <cell r="AQ42" t="str">
            <v>H+L</v>
          </cell>
          <cell r="AR42" t="str">
            <v>NA</v>
          </cell>
          <cell r="AS42">
            <v>82</v>
          </cell>
          <cell r="AT42">
            <v>55</v>
          </cell>
          <cell r="AU42" t="str">
            <v>SLANT</v>
          </cell>
          <cell r="AV42" t="str">
            <v>SLANT / HORIZON SUN</v>
          </cell>
          <cell r="AW42" t="str">
            <v>DU-EXE</v>
          </cell>
          <cell r="AX42" t="str">
            <v>HORIZON SUN</v>
          </cell>
          <cell r="AY42">
            <v>3420000</v>
          </cell>
          <cell r="AZ42">
            <v>3600000</v>
          </cell>
          <cell r="BA42">
            <v>0</v>
          </cell>
          <cell r="BB42">
            <v>3600000</v>
          </cell>
          <cell r="BC42">
            <v>0</v>
          </cell>
          <cell r="BD42">
            <v>3600000</v>
          </cell>
        </row>
        <row r="43">
          <cell r="AD43" t="str">
            <v>ESE-01-021-022</v>
          </cell>
          <cell r="AE43" t="str">
            <v xml:space="preserve">Raemulan Lands, Inc. </v>
          </cell>
          <cell r="AF43" t="str">
            <v>Estanzia Enclave</v>
          </cell>
          <cell r="AG43" t="str">
            <v>ESE</v>
          </cell>
          <cell r="AH43" t="str">
            <v>Middle Income</v>
          </cell>
          <cell r="AI43" t="str">
            <v>01</v>
          </cell>
          <cell r="AJ43" t="str">
            <v>HOLD</v>
          </cell>
          <cell r="AK43">
            <v>83</v>
          </cell>
          <cell r="AL43" t="str">
            <v>PCS-04-032688</v>
          </cell>
          <cell r="AM43" t="b">
            <v>1</v>
          </cell>
          <cell r="AN43" t="str">
            <v xml:space="preserve">Done </v>
          </cell>
          <cell r="AO43">
            <v>21</v>
          </cell>
          <cell r="AP43">
            <v>22</v>
          </cell>
          <cell r="AQ43" t="str">
            <v>H+L</v>
          </cell>
          <cell r="AR43" t="str">
            <v>NA</v>
          </cell>
          <cell r="AS43">
            <v>83</v>
          </cell>
          <cell r="AT43">
            <v>55</v>
          </cell>
          <cell r="AU43" t="str">
            <v>FLAT</v>
          </cell>
          <cell r="AV43" t="str">
            <v>FLAT / HORIZON SUN</v>
          </cell>
          <cell r="AW43" t="str">
            <v>DU-EXE</v>
          </cell>
          <cell r="AX43" t="str">
            <v>HORIZON SUN</v>
          </cell>
          <cell r="AY43">
            <v>3420000</v>
          </cell>
          <cell r="AZ43">
            <v>3615000</v>
          </cell>
          <cell r="BA43">
            <v>0</v>
          </cell>
          <cell r="BB43">
            <v>3615000</v>
          </cell>
          <cell r="BC43">
            <v>387321.42857142858</v>
          </cell>
          <cell r="BD43">
            <v>3227678.5714285714</v>
          </cell>
        </row>
        <row r="44">
          <cell r="AD44" t="str">
            <v>ESE-01-021-023</v>
          </cell>
          <cell r="AE44" t="str">
            <v xml:space="preserve">Raemulan Lands, Inc. </v>
          </cell>
          <cell r="AF44" t="str">
            <v>Estanzia Enclave</v>
          </cell>
          <cell r="AG44" t="str">
            <v>ESE</v>
          </cell>
          <cell r="AH44" t="str">
            <v>Middle Income</v>
          </cell>
          <cell r="AI44" t="str">
            <v>01</v>
          </cell>
          <cell r="AJ44" t="str">
            <v>HOLD</v>
          </cell>
          <cell r="AK44">
            <v>84</v>
          </cell>
          <cell r="AL44" t="str">
            <v>PCS-04-032688</v>
          </cell>
          <cell r="AM44" t="b">
            <v>1</v>
          </cell>
          <cell r="AN44" t="str">
            <v xml:space="preserve">Done </v>
          </cell>
          <cell r="AO44">
            <v>21</v>
          </cell>
          <cell r="AP44">
            <v>23</v>
          </cell>
          <cell r="AQ44" t="str">
            <v>H+L</v>
          </cell>
          <cell r="AR44" t="str">
            <v>NA</v>
          </cell>
          <cell r="AS44">
            <v>84</v>
          </cell>
          <cell r="AT44">
            <v>55</v>
          </cell>
          <cell r="AU44" t="str">
            <v>FLAT</v>
          </cell>
          <cell r="AV44" t="str">
            <v>FLAT / HORIZON SUN</v>
          </cell>
          <cell r="AW44" t="str">
            <v>DU-EXE-MU</v>
          </cell>
          <cell r="AX44" t="str">
            <v>HORIZON SUN</v>
          </cell>
          <cell r="AY44">
            <v>3420000</v>
          </cell>
          <cell r="AZ44">
            <v>3660000</v>
          </cell>
          <cell r="BA44">
            <v>0</v>
          </cell>
          <cell r="BB44">
            <v>3660000</v>
          </cell>
          <cell r="BC44">
            <v>392142.85714285716</v>
          </cell>
          <cell r="BD44">
            <v>3267857.1428571427</v>
          </cell>
        </row>
        <row r="45">
          <cell r="AD45" t="str">
            <v>ESE-01-021-024</v>
          </cell>
          <cell r="AE45" t="str">
            <v xml:space="preserve">Raemulan Lands, Inc. </v>
          </cell>
          <cell r="AF45" t="str">
            <v>Estanzia Enclave</v>
          </cell>
          <cell r="AG45" t="str">
            <v>ESE</v>
          </cell>
          <cell r="AH45" t="str">
            <v>Middle Income</v>
          </cell>
          <cell r="AI45" t="str">
            <v>01</v>
          </cell>
          <cell r="AJ45" t="str">
            <v>HOLD</v>
          </cell>
          <cell r="AK45">
            <v>85</v>
          </cell>
          <cell r="AL45" t="str">
            <v>PCS-04-032688</v>
          </cell>
          <cell r="AM45" t="b">
            <v>1</v>
          </cell>
          <cell r="AN45" t="str">
            <v xml:space="preserve">Done </v>
          </cell>
          <cell r="AO45">
            <v>21</v>
          </cell>
          <cell r="AP45">
            <v>24</v>
          </cell>
          <cell r="AQ45" t="str">
            <v>H+L</v>
          </cell>
          <cell r="AR45" t="str">
            <v>NA</v>
          </cell>
          <cell r="AS45">
            <v>85</v>
          </cell>
          <cell r="AT45">
            <v>55</v>
          </cell>
          <cell r="AU45" t="str">
            <v>SLANT</v>
          </cell>
          <cell r="AV45" t="str">
            <v>SLANT / HORIZON SUN</v>
          </cell>
          <cell r="AW45" t="str">
            <v>DU-EXE-MU</v>
          </cell>
          <cell r="AX45" t="str">
            <v>HORIZON SUN</v>
          </cell>
          <cell r="AY45">
            <v>3420000</v>
          </cell>
          <cell r="AZ45">
            <v>3675000</v>
          </cell>
          <cell r="BA45">
            <v>0</v>
          </cell>
          <cell r="BB45">
            <v>3675000</v>
          </cell>
          <cell r="BC45">
            <v>393750</v>
          </cell>
          <cell r="BD45">
            <v>3281250</v>
          </cell>
        </row>
        <row r="46">
          <cell r="AD46" t="str">
            <v>ESE-01-021-025</v>
          </cell>
          <cell r="AE46" t="str">
            <v xml:space="preserve">Raemulan Lands, Inc. </v>
          </cell>
          <cell r="AF46" t="str">
            <v>Estanzia Enclave</v>
          </cell>
          <cell r="AG46" t="str">
            <v>ESE</v>
          </cell>
          <cell r="AH46" t="str">
            <v>Middle Income</v>
          </cell>
          <cell r="AI46" t="str">
            <v>01</v>
          </cell>
          <cell r="AJ46" t="str">
            <v>HOLD</v>
          </cell>
          <cell r="AK46">
            <v>86</v>
          </cell>
          <cell r="AL46" t="str">
            <v>PCS-04-032688</v>
          </cell>
          <cell r="AM46" t="b">
            <v>1</v>
          </cell>
          <cell r="AN46" t="str">
            <v xml:space="preserve">Done </v>
          </cell>
          <cell r="AO46">
            <v>21</v>
          </cell>
          <cell r="AP46">
            <v>25</v>
          </cell>
          <cell r="AQ46" t="str">
            <v>H+L</v>
          </cell>
          <cell r="AR46">
            <v>0</v>
          </cell>
          <cell r="AS46">
            <v>86</v>
          </cell>
          <cell r="AT46">
            <v>55</v>
          </cell>
          <cell r="AU46" t="str">
            <v>SLANT</v>
          </cell>
          <cell r="AV46" t="str">
            <v>SLANT / BEACHSIDE SUN</v>
          </cell>
          <cell r="AW46" t="str">
            <v>DU-EXE</v>
          </cell>
          <cell r="AX46" t="str">
            <v>BEACHSIDE SUN</v>
          </cell>
          <cell r="AY46">
            <v>3420000</v>
          </cell>
          <cell r="AZ46">
            <v>3690000</v>
          </cell>
          <cell r="BA46">
            <v>0</v>
          </cell>
          <cell r="BB46">
            <v>3690000</v>
          </cell>
          <cell r="BC46">
            <v>395357.14285714284</v>
          </cell>
          <cell r="BD46">
            <v>3294642.8571428573</v>
          </cell>
        </row>
        <row r="47">
          <cell r="AD47" t="str">
            <v>ESE-01-021-026</v>
          </cell>
          <cell r="AE47" t="str">
            <v xml:space="preserve">Raemulan Lands, Inc. </v>
          </cell>
          <cell r="AF47" t="str">
            <v>Estanzia Enclave</v>
          </cell>
          <cell r="AG47" t="str">
            <v>ESE</v>
          </cell>
          <cell r="AH47" t="str">
            <v>Middle Income</v>
          </cell>
          <cell r="AI47" t="str">
            <v>01</v>
          </cell>
          <cell r="AJ47" t="str">
            <v>HOLD</v>
          </cell>
          <cell r="AK47">
            <v>86</v>
          </cell>
          <cell r="AL47" t="str">
            <v>PCS-04-032688</v>
          </cell>
          <cell r="AM47" t="b">
            <v>1</v>
          </cell>
          <cell r="AN47" t="str">
            <v xml:space="preserve">Done </v>
          </cell>
          <cell r="AO47">
            <v>21</v>
          </cell>
          <cell r="AP47">
            <v>26</v>
          </cell>
          <cell r="AQ47" t="str">
            <v>H+L</v>
          </cell>
          <cell r="AR47">
            <v>0</v>
          </cell>
          <cell r="AS47">
            <v>86</v>
          </cell>
          <cell r="AT47">
            <v>55</v>
          </cell>
          <cell r="AU47" t="str">
            <v>FLAT</v>
          </cell>
          <cell r="AV47" t="str">
            <v>FLAT / BEACHSIDE SUN</v>
          </cell>
          <cell r="AW47" t="str">
            <v>DU-EXE</v>
          </cell>
          <cell r="AX47" t="str">
            <v>BEACHSIDE SUN</v>
          </cell>
          <cell r="AY47">
            <v>3420000</v>
          </cell>
          <cell r="AZ47">
            <v>3690000</v>
          </cell>
          <cell r="BA47">
            <v>0</v>
          </cell>
          <cell r="BB47">
            <v>3690000</v>
          </cell>
          <cell r="BC47">
            <v>395357.14285714284</v>
          </cell>
          <cell r="BD47">
            <v>3294642.8571428573</v>
          </cell>
        </row>
        <row r="48">
          <cell r="AD48" t="str">
            <v>ESE-01-021-027</v>
          </cell>
          <cell r="AE48" t="str">
            <v xml:space="preserve">Raemulan Lands, Inc. </v>
          </cell>
          <cell r="AF48" t="str">
            <v>Estanzia Enclave</v>
          </cell>
          <cell r="AG48" t="str">
            <v>ESE</v>
          </cell>
          <cell r="AH48" t="str">
            <v>Middle Income</v>
          </cell>
          <cell r="AI48" t="str">
            <v>01</v>
          </cell>
          <cell r="AJ48" t="str">
            <v>HOLD</v>
          </cell>
          <cell r="AK48">
            <v>139</v>
          </cell>
          <cell r="AL48" t="str">
            <v>PCS-04-032688</v>
          </cell>
          <cell r="AM48" t="b">
            <v>1</v>
          </cell>
          <cell r="AN48" t="str">
            <v xml:space="preserve">Done </v>
          </cell>
          <cell r="AO48">
            <v>21</v>
          </cell>
          <cell r="AP48">
            <v>27</v>
          </cell>
          <cell r="AQ48" t="str">
            <v>LO</v>
          </cell>
          <cell r="AR48" t="str">
            <v>NA</v>
          </cell>
          <cell r="AS48">
            <v>139</v>
          </cell>
          <cell r="AT48" t="str">
            <v>N/A</v>
          </cell>
          <cell r="AU48" t="str">
            <v>NA</v>
          </cell>
          <cell r="AV48" t="str">
            <v>NA / NA</v>
          </cell>
          <cell r="AW48" t="str">
            <v>LO</v>
          </cell>
          <cell r="AX48" t="str">
            <v>NA</v>
          </cell>
          <cell r="AY48">
            <v>3420000</v>
          </cell>
          <cell r="AZ48">
            <v>2502000</v>
          </cell>
          <cell r="BA48">
            <v>0</v>
          </cell>
          <cell r="BB48">
            <v>2502000</v>
          </cell>
          <cell r="BC48">
            <v>268071.42857142858</v>
          </cell>
          <cell r="BD48">
            <v>2233928.5714285714</v>
          </cell>
        </row>
        <row r="49">
          <cell r="AD49" t="str">
            <v>ESE-01-022-001</v>
          </cell>
          <cell r="AE49" t="str">
            <v xml:space="preserve">Raemulan Lands, Inc. </v>
          </cell>
          <cell r="AF49" t="str">
            <v>Estanzia Enclave</v>
          </cell>
          <cell r="AG49" t="str">
            <v>ESE</v>
          </cell>
          <cell r="AH49" t="str">
            <v>Middle Income</v>
          </cell>
          <cell r="AI49" t="str">
            <v>01</v>
          </cell>
          <cell r="AJ49" t="str">
            <v>LOT ONLY</v>
          </cell>
          <cell r="AK49">
            <v>117</v>
          </cell>
          <cell r="AL49" t="str">
            <v>PCS-04-032688</v>
          </cell>
          <cell r="AM49" t="b">
            <v>1</v>
          </cell>
          <cell r="AN49" t="str">
            <v xml:space="preserve">Done </v>
          </cell>
          <cell r="AO49">
            <v>22</v>
          </cell>
          <cell r="AP49">
            <v>1</v>
          </cell>
          <cell r="AQ49" t="str">
            <v>LO</v>
          </cell>
          <cell r="AR49" t="str">
            <v>NA</v>
          </cell>
          <cell r="AS49">
            <v>117</v>
          </cell>
          <cell r="AT49" t="str">
            <v>N/A</v>
          </cell>
          <cell r="AU49" t="str">
            <v>NA</v>
          </cell>
          <cell r="AV49" t="str">
            <v>NA / NA</v>
          </cell>
          <cell r="AW49" t="str">
            <v>LO</v>
          </cell>
          <cell r="AX49" t="str">
            <v>NA</v>
          </cell>
          <cell r="AY49">
            <v>3420000</v>
          </cell>
          <cell r="AZ49">
            <v>2106000</v>
          </cell>
          <cell r="BA49">
            <v>0</v>
          </cell>
          <cell r="BB49">
            <v>2106000</v>
          </cell>
          <cell r="BC49">
            <v>225642.85714285713</v>
          </cell>
          <cell r="BD49">
            <v>1880357.142857143</v>
          </cell>
        </row>
        <row r="50">
          <cell r="AD50" t="str">
            <v>ESE-01-022-002</v>
          </cell>
          <cell r="AE50" t="str">
            <v xml:space="preserve">Raemulan Lands, Inc. </v>
          </cell>
          <cell r="AF50" t="str">
            <v>Estanzia Enclave</v>
          </cell>
          <cell r="AG50" t="str">
            <v>ESE</v>
          </cell>
          <cell r="AH50" t="str">
            <v>Middle Income</v>
          </cell>
          <cell r="AI50" t="str">
            <v>01</v>
          </cell>
          <cell r="AJ50" t="str">
            <v>Batch 1 2025</v>
          </cell>
          <cell r="AK50">
            <v>80</v>
          </cell>
          <cell r="AL50" t="str">
            <v>PCS-04-032688</v>
          </cell>
          <cell r="AM50" t="b">
            <v>1</v>
          </cell>
          <cell r="AN50" t="str">
            <v xml:space="preserve">Done </v>
          </cell>
          <cell r="AO50">
            <v>22</v>
          </cell>
          <cell r="AP50">
            <v>2</v>
          </cell>
          <cell r="AQ50" t="str">
            <v>H+L</v>
          </cell>
          <cell r="AR50" t="str">
            <v>NA</v>
          </cell>
          <cell r="AS50">
            <v>80</v>
          </cell>
          <cell r="AT50">
            <v>55</v>
          </cell>
          <cell r="AU50" t="str">
            <v>FLAT</v>
          </cell>
          <cell r="AV50" t="str">
            <v>FLAT / HORIZON SUN</v>
          </cell>
          <cell r="AW50" t="str">
            <v>DU-EXE</v>
          </cell>
          <cell r="AX50" t="str">
            <v>HORIZON SUN</v>
          </cell>
          <cell r="AY50">
            <v>3600000</v>
          </cell>
          <cell r="AZ50">
            <v>3600000</v>
          </cell>
          <cell r="BA50">
            <v>432000</v>
          </cell>
          <cell r="BB50">
            <v>3168000</v>
          </cell>
          <cell r="BC50">
            <v>0</v>
          </cell>
          <cell r="BD50">
            <v>3168000</v>
          </cell>
        </row>
        <row r="51">
          <cell r="AD51" t="str">
            <v>ESE-01-022-003</v>
          </cell>
          <cell r="AE51" t="str">
            <v xml:space="preserve">Raemulan Lands, Inc. </v>
          </cell>
          <cell r="AF51" t="str">
            <v>Estanzia Enclave</v>
          </cell>
          <cell r="AG51" t="str">
            <v>ESE</v>
          </cell>
          <cell r="AH51" t="str">
            <v>Middle Income</v>
          </cell>
          <cell r="AI51" t="str">
            <v>01</v>
          </cell>
          <cell r="AJ51" t="str">
            <v>Batch 1 2025</v>
          </cell>
          <cell r="AK51">
            <v>80</v>
          </cell>
          <cell r="AL51" t="str">
            <v>PCS-04-032688</v>
          </cell>
          <cell r="AM51" t="b">
            <v>1</v>
          </cell>
          <cell r="AN51" t="str">
            <v xml:space="preserve">Done </v>
          </cell>
          <cell r="AO51">
            <v>22</v>
          </cell>
          <cell r="AP51">
            <v>3</v>
          </cell>
          <cell r="AQ51" t="str">
            <v>H+L</v>
          </cell>
          <cell r="AR51" t="str">
            <v>NA</v>
          </cell>
          <cell r="AS51">
            <v>80</v>
          </cell>
          <cell r="AT51">
            <v>55</v>
          </cell>
          <cell r="AU51" t="str">
            <v>SLANT</v>
          </cell>
          <cell r="AV51" t="str">
            <v>SLANT / HORIZON SUN</v>
          </cell>
          <cell r="AW51" t="str">
            <v>DU-EXE</v>
          </cell>
          <cell r="AX51" t="str">
            <v>HORIZON SUN</v>
          </cell>
          <cell r="AY51">
            <v>3600000</v>
          </cell>
          <cell r="AZ51">
            <v>3600000</v>
          </cell>
          <cell r="BA51">
            <v>432000</v>
          </cell>
          <cell r="BB51">
            <v>3168000</v>
          </cell>
          <cell r="BC51">
            <v>0</v>
          </cell>
          <cell r="BD51">
            <v>3168000</v>
          </cell>
        </row>
        <row r="52">
          <cell r="AD52" t="str">
            <v>ESE-01-022-004</v>
          </cell>
          <cell r="AE52" t="str">
            <v xml:space="preserve">Raemulan Lands, Inc. </v>
          </cell>
          <cell r="AF52" t="str">
            <v>Estanzia Enclave</v>
          </cell>
          <cell r="AG52" t="str">
            <v>ESE</v>
          </cell>
          <cell r="AH52" t="str">
            <v>Middle Income</v>
          </cell>
          <cell r="AI52" t="str">
            <v>01</v>
          </cell>
          <cell r="AJ52" t="str">
            <v>Batch 1 2025</v>
          </cell>
          <cell r="AK52">
            <v>80</v>
          </cell>
          <cell r="AL52" t="str">
            <v>PCS-04-032688</v>
          </cell>
          <cell r="AM52" t="b">
            <v>1</v>
          </cell>
          <cell r="AN52" t="str">
            <v xml:space="preserve">Done </v>
          </cell>
          <cell r="AO52">
            <v>22</v>
          </cell>
          <cell r="AP52">
            <v>4</v>
          </cell>
          <cell r="AQ52" t="str">
            <v>H+L</v>
          </cell>
          <cell r="AR52" t="str">
            <v>NA</v>
          </cell>
          <cell r="AS52">
            <v>80</v>
          </cell>
          <cell r="AT52">
            <v>55</v>
          </cell>
          <cell r="AU52" t="str">
            <v>SLANT</v>
          </cell>
          <cell r="AV52" t="str">
            <v>SLANT / HORIZON SUN</v>
          </cell>
          <cell r="AW52" t="str">
            <v>DU-EXE</v>
          </cell>
          <cell r="AX52" t="str">
            <v>HORIZON SUN</v>
          </cell>
          <cell r="AY52">
            <v>3600000</v>
          </cell>
          <cell r="AZ52">
            <v>3600000</v>
          </cell>
          <cell r="BA52">
            <v>432000</v>
          </cell>
          <cell r="BB52">
            <v>3168000</v>
          </cell>
          <cell r="BC52">
            <v>0</v>
          </cell>
          <cell r="BD52">
            <v>3168000</v>
          </cell>
        </row>
        <row r="53">
          <cell r="AD53" t="str">
            <v>ESE-01-022-005</v>
          </cell>
          <cell r="AE53" t="str">
            <v xml:space="preserve">Raemulan Lands, Inc. </v>
          </cell>
          <cell r="AF53" t="str">
            <v>Estanzia Enclave</v>
          </cell>
          <cell r="AG53" t="str">
            <v>ESE</v>
          </cell>
          <cell r="AH53" t="str">
            <v>Middle Income</v>
          </cell>
          <cell r="AI53" t="str">
            <v>01</v>
          </cell>
          <cell r="AJ53" t="str">
            <v>Batch 1 2025</v>
          </cell>
          <cell r="AK53">
            <v>80</v>
          </cell>
          <cell r="AL53" t="str">
            <v>PCS-04-032688</v>
          </cell>
          <cell r="AM53" t="b">
            <v>1</v>
          </cell>
          <cell r="AN53" t="str">
            <v xml:space="preserve">Done </v>
          </cell>
          <cell r="AO53">
            <v>22</v>
          </cell>
          <cell r="AP53">
            <v>5</v>
          </cell>
          <cell r="AQ53" t="str">
            <v>H+L</v>
          </cell>
          <cell r="AR53" t="str">
            <v>NA</v>
          </cell>
          <cell r="AS53">
            <v>80</v>
          </cell>
          <cell r="AT53">
            <v>55</v>
          </cell>
          <cell r="AU53" t="str">
            <v>FLAT</v>
          </cell>
          <cell r="AV53" t="str">
            <v>FLAT / HORIZON SUN</v>
          </cell>
          <cell r="AW53" t="str">
            <v>DU-EXE</v>
          </cell>
          <cell r="AX53" t="str">
            <v>HORIZON SUN</v>
          </cell>
          <cell r="AY53">
            <v>3528000</v>
          </cell>
          <cell r="AZ53">
            <v>3600000</v>
          </cell>
          <cell r="BA53">
            <v>504000</v>
          </cell>
          <cell r="BB53">
            <v>3096000</v>
          </cell>
          <cell r="BC53">
            <v>0</v>
          </cell>
          <cell r="BD53">
            <v>3096000</v>
          </cell>
        </row>
        <row r="54">
          <cell r="AD54" t="str">
            <v>ESE-01-022-006</v>
          </cell>
          <cell r="AE54" t="str">
            <v xml:space="preserve">Raemulan Lands, Inc. </v>
          </cell>
          <cell r="AF54" t="str">
            <v>Estanzia Enclave</v>
          </cell>
          <cell r="AG54" t="str">
            <v>ESE</v>
          </cell>
          <cell r="AH54" t="str">
            <v>Middle Income</v>
          </cell>
          <cell r="AI54" t="str">
            <v>01</v>
          </cell>
          <cell r="AJ54" t="str">
            <v>Batch 2 2025</v>
          </cell>
          <cell r="AK54">
            <v>80</v>
          </cell>
          <cell r="AL54" t="str">
            <v>PCS-04-032688</v>
          </cell>
          <cell r="AM54" t="b">
            <v>1</v>
          </cell>
          <cell r="AN54" t="str">
            <v xml:space="preserve">Done </v>
          </cell>
          <cell r="AO54">
            <v>22</v>
          </cell>
          <cell r="AP54">
            <v>6</v>
          </cell>
          <cell r="AQ54" t="str">
            <v>H+L</v>
          </cell>
          <cell r="AR54" t="str">
            <v>NA</v>
          </cell>
          <cell r="AS54">
            <v>80</v>
          </cell>
          <cell r="AT54">
            <v>55</v>
          </cell>
          <cell r="AU54" t="str">
            <v>FLAT</v>
          </cell>
          <cell r="AV54" t="str">
            <v>FLAT / BEACHSIDE SUN</v>
          </cell>
          <cell r="AW54" t="str">
            <v>DU-EXE</v>
          </cell>
          <cell r="AX54" t="str">
            <v>BEACHSIDE SUN</v>
          </cell>
          <cell r="AY54">
            <v>3420000</v>
          </cell>
          <cell r="AZ54">
            <v>3600000</v>
          </cell>
          <cell r="BA54">
            <v>0</v>
          </cell>
          <cell r="BB54">
            <v>3600000</v>
          </cell>
          <cell r="BC54">
            <v>0</v>
          </cell>
          <cell r="BD54">
            <v>3600000</v>
          </cell>
        </row>
        <row r="55">
          <cell r="AD55" t="str">
            <v>ESE-01-022-007</v>
          </cell>
          <cell r="AE55" t="str">
            <v xml:space="preserve">Raemulan Lands, Inc. </v>
          </cell>
          <cell r="AF55" t="str">
            <v>Estanzia Enclave</v>
          </cell>
          <cell r="AG55" t="str">
            <v>ESE</v>
          </cell>
          <cell r="AH55" t="str">
            <v>Middle Income</v>
          </cell>
          <cell r="AI55" t="str">
            <v>01</v>
          </cell>
          <cell r="AJ55" t="str">
            <v>Batch 2 2025</v>
          </cell>
          <cell r="AK55">
            <v>80</v>
          </cell>
          <cell r="AL55" t="str">
            <v>PCS-04-032688</v>
          </cell>
          <cell r="AM55" t="b">
            <v>1</v>
          </cell>
          <cell r="AN55" t="str">
            <v xml:space="preserve">Done </v>
          </cell>
          <cell r="AO55">
            <v>22</v>
          </cell>
          <cell r="AP55">
            <v>7</v>
          </cell>
          <cell r="AQ55" t="str">
            <v>H+L</v>
          </cell>
          <cell r="AR55" t="str">
            <v>NA</v>
          </cell>
          <cell r="AS55">
            <v>80</v>
          </cell>
          <cell r="AT55">
            <v>55</v>
          </cell>
          <cell r="AU55" t="str">
            <v>SLANT</v>
          </cell>
          <cell r="AV55" t="str">
            <v>SLANT / BEACHSIDE SUN</v>
          </cell>
          <cell r="AW55" t="str">
            <v>DU-EXE</v>
          </cell>
          <cell r="AX55" t="str">
            <v>BEACHSIDE SUN</v>
          </cell>
          <cell r="AY55">
            <v>3600000</v>
          </cell>
          <cell r="AZ55">
            <v>3600000</v>
          </cell>
          <cell r="BA55">
            <v>432000</v>
          </cell>
          <cell r="BB55">
            <v>3168000</v>
          </cell>
          <cell r="BC55">
            <v>0</v>
          </cell>
          <cell r="BD55">
            <v>3168000</v>
          </cell>
        </row>
        <row r="56">
          <cell r="AD56" t="str">
            <v>ESE-01-022-008</v>
          </cell>
          <cell r="AE56" t="str">
            <v xml:space="preserve">Raemulan Lands, Inc. </v>
          </cell>
          <cell r="AF56" t="str">
            <v>Estanzia Enclave</v>
          </cell>
          <cell r="AG56" t="str">
            <v>ESE</v>
          </cell>
          <cell r="AH56" t="str">
            <v>Middle Income</v>
          </cell>
          <cell r="AI56" t="str">
            <v>01</v>
          </cell>
          <cell r="AJ56" t="str">
            <v>Batch 2 2025</v>
          </cell>
          <cell r="AK56">
            <v>80</v>
          </cell>
          <cell r="AL56" t="str">
            <v>PCS-04-032688</v>
          </cell>
          <cell r="AM56" t="b">
            <v>1</v>
          </cell>
          <cell r="AN56" t="str">
            <v xml:space="preserve">Done </v>
          </cell>
          <cell r="AO56">
            <v>22</v>
          </cell>
          <cell r="AP56">
            <v>8</v>
          </cell>
          <cell r="AQ56" t="str">
            <v>H+L</v>
          </cell>
          <cell r="AR56" t="str">
            <v>NA</v>
          </cell>
          <cell r="AS56">
            <v>80</v>
          </cell>
          <cell r="AT56">
            <v>55</v>
          </cell>
          <cell r="AU56" t="str">
            <v>SLANT</v>
          </cell>
          <cell r="AV56" t="str">
            <v>SLANT / BEACHSIDE SUN</v>
          </cell>
          <cell r="AW56" t="str">
            <v>DU-EXE</v>
          </cell>
          <cell r="AX56" t="str">
            <v>BEACHSIDE SUN</v>
          </cell>
          <cell r="AY56">
            <v>3600000</v>
          </cell>
          <cell r="AZ56">
            <v>3600000</v>
          </cell>
          <cell r="BA56">
            <v>432000</v>
          </cell>
          <cell r="BB56">
            <v>3168000</v>
          </cell>
          <cell r="BC56">
            <v>0</v>
          </cell>
          <cell r="BD56">
            <v>3168000</v>
          </cell>
        </row>
        <row r="57">
          <cell r="AD57" t="str">
            <v>ESE-01-022-009</v>
          </cell>
          <cell r="AE57" t="str">
            <v xml:space="preserve">Raemulan Lands, Inc. </v>
          </cell>
          <cell r="AF57" t="str">
            <v>Estanzia Enclave</v>
          </cell>
          <cell r="AG57" t="str">
            <v>ESE</v>
          </cell>
          <cell r="AH57" t="str">
            <v>Middle Income</v>
          </cell>
          <cell r="AI57" t="str">
            <v>01</v>
          </cell>
          <cell r="AJ57" t="str">
            <v>Batch 2 2025</v>
          </cell>
          <cell r="AK57">
            <v>80</v>
          </cell>
          <cell r="AL57" t="str">
            <v>PCS-04-032688</v>
          </cell>
          <cell r="AM57" t="b">
            <v>1</v>
          </cell>
          <cell r="AN57" t="str">
            <v xml:space="preserve">Done </v>
          </cell>
          <cell r="AO57">
            <v>22</v>
          </cell>
          <cell r="AP57">
            <v>9</v>
          </cell>
          <cell r="AQ57" t="str">
            <v>H+L</v>
          </cell>
          <cell r="AR57" t="str">
            <v>NA</v>
          </cell>
          <cell r="AS57">
            <v>80</v>
          </cell>
          <cell r="AT57">
            <v>55</v>
          </cell>
          <cell r="AU57" t="str">
            <v>FLAT</v>
          </cell>
          <cell r="AV57" t="str">
            <v>FLAT / BEACHSIDE SUN</v>
          </cell>
          <cell r="AW57" t="str">
            <v>DU-EXE</v>
          </cell>
          <cell r="AX57" t="str">
            <v>BEACHSIDE SUN</v>
          </cell>
          <cell r="AY57">
            <v>3420000</v>
          </cell>
          <cell r="AZ57">
            <v>3600000</v>
          </cell>
          <cell r="BA57">
            <v>0</v>
          </cell>
          <cell r="BB57">
            <v>3600000</v>
          </cell>
          <cell r="BC57">
            <v>0</v>
          </cell>
          <cell r="BD57">
            <v>3600000</v>
          </cell>
        </row>
        <row r="58">
          <cell r="AD58" t="str">
            <v>ESE-01-022-010</v>
          </cell>
          <cell r="AE58" t="str">
            <v xml:space="preserve">Raemulan Lands, Inc. </v>
          </cell>
          <cell r="AF58" t="str">
            <v>Estanzia Enclave</v>
          </cell>
          <cell r="AG58" t="str">
            <v>ESE</v>
          </cell>
          <cell r="AH58" t="str">
            <v>Middle Income</v>
          </cell>
          <cell r="AI58" t="str">
            <v>01</v>
          </cell>
          <cell r="AJ58" t="str">
            <v>Batch 2 2025</v>
          </cell>
          <cell r="AK58">
            <v>80</v>
          </cell>
          <cell r="AL58" t="str">
            <v>PCS-04-032688</v>
          </cell>
          <cell r="AM58" t="b">
            <v>1</v>
          </cell>
          <cell r="AN58" t="str">
            <v xml:space="preserve">Done </v>
          </cell>
          <cell r="AO58">
            <v>22</v>
          </cell>
          <cell r="AP58">
            <v>10</v>
          </cell>
          <cell r="AQ58" t="str">
            <v>H+L</v>
          </cell>
          <cell r="AR58" t="str">
            <v>NA</v>
          </cell>
          <cell r="AS58">
            <v>80</v>
          </cell>
          <cell r="AT58">
            <v>55</v>
          </cell>
          <cell r="AU58" t="str">
            <v>FLAT</v>
          </cell>
          <cell r="AV58" t="str">
            <v>FLAT / HORIZON SUN</v>
          </cell>
          <cell r="AW58" t="str">
            <v>DU-EXE</v>
          </cell>
          <cell r="AX58" t="str">
            <v>HORIZON SUN</v>
          </cell>
          <cell r="AY58">
            <v>3600000</v>
          </cell>
          <cell r="AZ58">
            <v>3600000</v>
          </cell>
          <cell r="BA58">
            <v>432000</v>
          </cell>
          <cell r="BB58">
            <v>3168000</v>
          </cell>
          <cell r="BC58">
            <v>0</v>
          </cell>
          <cell r="BD58">
            <v>3168000</v>
          </cell>
        </row>
        <row r="59">
          <cell r="AD59" t="str">
            <v>ESE-01-022-011</v>
          </cell>
          <cell r="AE59" t="str">
            <v xml:space="preserve">Raemulan Lands, Inc. </v>
          </cell>
          <cell r="AF59" t="str">
            <v>Estanzia Enclave</v>
          </cell>
          <cell r="AG59" t="str">
            <v>ESE</v>
          </cell>
          <cell r="AH59" t="str">
            <v>Middle Income</v>
          </cell>
          <cell r="AI59" t="str">
            <v>01</v>
          </cell>
          <cell r="AJ59" t="str">
            <v>Batch 2 2025</v>
          </cell>
          <cell r="AK59">
            <v>80</v>
          </cell>
          <cell r="AL59" t="str">
            <v>PCS-04-032688</v>
          </cell>
          <cell r="AM59" t="b">
            <v>1</v>
          </cell>
          <cell r="AN59" t="str">
            <v xml:space="preserve">Done </v>
          </cell>
          <cell r="AO59">
            <v>22</v>
          </cell>
          <cell r="AP59">
            <v>11</v>
          </cell>
          <cell r="AQ59" t="str">
            <v>H+L</v>
          </cell>
          <cell r="AR59" t="str">
            <v>NA</v>
          </cell>
          <cell r="AS59">
            <v>80</v>
          </cell>
          <cell r="AT59">
            <v>55</v>
          </cell>
          <cell r="AU59" t="str">
            <v>SLANT</v>
          </cell>
          <cell r="AV59" t="str">
            <v>SLANT / HORIZON SUN</v>
          </cell>
          <cell r="AW59" t="str">
            <v>DU-EXE</v>
          </cell>
          <cell r="AX59" t="str">
            <v>HORIZON SUN</v>
          </cell>
          <cell r="AY59">
            <v>3600000</v>
          </cell>
          <cell r="AZ59">
            <v>3600000</v>
          </cell>
          <cell r="BA59">
            <v>432000</v>
          </cell>
          <cell r="BB59">
            <v>3168000</v>
          </cell>
          <cell r="BC59">
            <v>0</v>
          </cell>
          <cell r="BD59">
            <v>3168000</v>
          </cell>
        </row>
        <row r="60">
          <cell r="AD60" t="str">
            <v>ESE-01-022-012</v>
          </cell>
          <cell r="AE60" t="str">
            <v xml:space="preserve">Raemulan Lands, Inc. </v>
          </cell>
          <cell r="AF60" t="str">
            <v>Estanzia Enclave</v>
          </cell>
          <cell r="AG60" t="str">
            <v>ESE</v>
          </cell>
          <cell r="AH60" t="str">
            <v>Middle Income</v>
          </cell>
          <cell r="AI60" t="str">
            <v>01</v>
          </cell>
          <cell r="AJ60" t="str">
            <v>Batch 2 2025</v>
          </cell>
          <cell r="AK60">
            <v>80</v>
          </cell>
          <cell r="AL60" t="str">
            <v>PCS-04-032688</v>
          </cell>
          <cell r="AM60" t="b">
            <v>1</v>
          </cell>
          <cell r="AN60" t="str">
            <v xml:space="preserve">Done </v>
          </cell>
          <cell r="AO60">
            <v>22</v>
          </cell>
          <cell r="AP60">
            <v>12</v>
          </cell>
          <cell r="AQ60" t="str">
            <v>H+L</v>
          </cell>
          <cell r="AR60" t="str">
            <v>NA</v>
          </cell>
          <cell r="AS60">
            <v>80</v>
          </cell>
          <cell r="AT60">
            <v>55</v>
          </cell>
          <cell r="AU60" t="str">
            <v>SLANT</v>
          </cell>
          <cell r="AV60" t="str">
            <v>SLANT / HORIZON SUN</v>
          </cell>
          <cell r="AW60" t="str">
            <v>DU-EXE</v>
          </cell>
          <cell r="AX60" t="str">
            <v>HORIZON SUN</v>
          </cell>
          <cell r="AY60">
            <v>3600000</v>
          </cell>
          <cell r="AZ60">
            <v>3600000</v>
          </cell>
          <cell r="BA60">
            <v>432000</v>
          </cell>
          <cell r="BB60">
            <v>3168000</v>
          </cell>
          <cell r="BC60">
            <v>0</v>
          </cell>
          <cell r="BD60">
            <v>3168000</v>
          </cell>
        </row>
        <row r="61">
          <cell r="AD61" t="str">
            <v>ESE-01-022-013</v>
          </cell>
          <cell r="AE61" t="str">
            <v xml:space="preserve">Raemulan Lands, Inc. </v>
          </cell>
          <cell r="AF61" t="str">
            <v>Estanzia Enclave</v>
          </cell>
          <cell r="AG61" t="str">
            <v>ESE</v>
          </cell>
          <cell r="AH61" t="str">
            <v>Middle Income</v>
          </cell>
          <cell r="AI61" t="str">
            <v>01</v>
          </cell>
          <cell r="AJ61" t="str">
            <v>Batch 2 2025</v>
          </cell>
          <cell r="AK61">
            <v>80</v>
          </cell>
          <cell r="AL61" t="str">
            <v>PCS-04-032688</v>
          </cell>
          <cell r="AM61" t="b">
            <v>1</v>
          </cell>
          <cell r="AN61" t="str">
            <v xml:space="preserve">Done </v>
          </cell>
          <cell r="AO61">
            <v>22</v>
          </cell>
          <cell r="AP61">
            <v>13</v>
          </cell>
          <cell r="AQ61" t="str">
            <v>H+L</v>
          </cell>
          <cell r="AR61" t="str">
            <v>NA</v>
          </cell>
          <cell r="AS61">
            <v>80</v>
          </cell>
          <cell r="AT61">
            <v>55</v>
          </cell>
          <cell r="AU61" t="str">
            <v>FLAT</v>
          </cell>
          <cell r="AV61" t="str">
            <v>FLAT / HORIZON SUN</v>
          </cell>
          <cell r="AW61" t="str">
            <v>DU-EXE</v>
          </cell>
          <cell r="AX61" t="str">
            <v>HORIZON SUN</v>
          </cell>
          <cell r="AY61">
            <v>3420000</v>
          </cell>
          <cell r="AZ61">
            <v>3600000</v>
          </cell>
          <cell r="BA61">
            <v>0</v>
          </cell>
          <cell r="BB61">
            <v>3600000</v>
          </cell>
          <cell r="BC61">
            <v>0</v>
          </cell>
          <cell r="BD61">
            <v>3600000</v>
          </cell>
        </row>
        <row r="62">
          <cell r="AD62" t="str">
            <v>ESE-01-022-014</v>
          </cell>
          <cell r="AE62" t="str">
            <v xml:space="preserve">Raemulan Lands, Inc. </v>
          </cell>
          <cell r="AF62" t="str">
            <v>Estanzia Enclave</v>
          </cell>
          <cell r="AG62" t="str">
            <v>ESE</v>
          </cell>
          <cell r="AH62" t="str">
            <v>Middle Income</v>
          </cell>
          <cell r="AI62" t="str">
            <v>01</v>
          </cell>
          <cell r="AJ62" t="str">
            <v>Batch 3 2025</v>
          </cell>
          <cell r="AK62">
            <v>80</v>
          </cell>
          <cell r="AL62" t="str">
            <v>PCS-04-032688</v>
          </cell>
          <cell r="AM62" t="b">
            <v>1</v>
          </cell>
          <cell r="AN62" t="str">
            <v xml:space="preserve">Done </v>
          </cell>
          <cell r="AO62">
            <v>22</v>
          </cell>
          <cell r="AP62">
            <v>14</v>
          </cell>
          <cell r="AQ62" t="str">
            <v>H+L</v>
          </cell>
          <cell r="AR62" t="str">
            <v>NA</v>
          </cell>
          <cell r="AS62">
            <v>80</v>
          </cell>
          <cell r="AT62">
            <v>55</v>
          </cell>
          <cell r="AU62" t="str">
            <v>FLAT</v>
          </cell>
          <cell r="AV62" t="str">
            <v>FLAT / BEACHSIDE SUN</v>
          </cell>
          <cell r="AW62" t="str">
            <v>DU-EXE</v>
          </cell>
          <cell r="AX62" t="str">
            <v>BEACHSIDE SUN</v>
          </cell>
          <cell r="AY62">
            <v>3420000</v>
          </cell>
          <cell r="AZ62">
            <v>3600000</v>
          </cell>
          <cell r="BA62">
            <v>0</v>
          </cell>
          <cell r="BB62">
            <v>3600000</v>
          </cell>
          <cell r="BC62">
            <v>0</v>
          </cell>
          <cell r="BD62">
            <v>3600000</v>
          </cell>
        </row>
        <row r="63">
          <cell r="AD63" t="str">
            <v>ESE-01-022-015</v>
          </cell>
          <cell r="AE63" t="str">
            <v xml:space="preserve">Raemulan Lands, Inc. </v>
          </cell>
          <cell r="AF63" t="str">
            <v>Estanzia Enclave</v>
          </cell>
          <cell r="AG63" t="str">
            <v>ESE</v>
          </cell>
          <cell r="AH63" t="str">
            <v>Middle Income</v>
          </cell>
          <cell r="AI63" t="str">
            <v>01</v>
          </cell>
          <cell r="AJ63" t="str">
            <v>Batch 3 2025</v>
          </cell>
          <cell r="AK63">
            <v>80</v>
          </cell>
          <cell r="AL63" t="str">
            <v>PCS-04-032688</v>
          </cell>
          <cell r="AM63" t="b">
            <v>1</v>
          </cell>
          <cell r="AN63" t="str">
            <v xml:space="preserve">Done </v>
          </cell>
          <cell r="AO63">
            <v>22</v>
          </cell>
          <cell r="AP63">
            <v>15</v>
          </cell>
          <cell r="AQ63" t="str">
            <v>H+L</v>
          </cell>
          <cell r="AR63" t="str">
            <v>NA</v>
          </cell>
          <cell r="AS63">
            <v>80</v>
          </cell>
          <cell r="AT63">
            <v>55</v>
          </cell>
          <cell r="AU63" t="str">
            <v>SLANT</v>
          </cell>
          <cell r="AV63" t="str">
            <v>SLANT / BEACHSIDE SUN</v>
          </cell>
          <cell r="AW63" t="str">
            <v>DU-EXE</v>
          </cell>
          <cell r="AX63" t="str">
            <v>BEACHSIDE SUN</v>
          </cell>
          <cell r="AY63">
            <v>3420000</v>
          </cell>
          <cell r="AZ63">
            <v>3600000</v>
          </cell>
          <cell r="BA63">
            <v>0</v>
          </cell>
          <cell r="BB63">
            <v>3600000</v>
          </cell>
          <cell r="BC63">
            <v>0</v>
          </cell>
          <cell r="BD63">
            <v>3600000</v>
          </cell>
        </row>
        <row r="64">
          <cell r="AD64" t="str">
            <v>ESE-01-022-016</v>
          </cell>
          <cell r="AE64" t="str">
            <v xml:space="preserve">Raemulan Lands, Inc. </v>
          </cell>
          <cell r="AF64" t="str">
            <v>Estanzia Enclave</v>
          </cell>
          <cell r="AG64" t="str">
            <v>ESE</v>
          </cell>
          <cell r="AH64" t="str">
            <v>Middle Income</v>
          </cell>
          <cell r="AI64" t="str">
            <v>01</v>
          </cell>
          <cell r="AJ64" t="str">
            <v>Batch 3 2025</v>
          </cell>
          <cell r="AK64">
            <v>80</v>
          </cell>
          <cell r="AL64" t="str">
            <v>PCS-04-032688</v>
          </cell>
          <cell r="AM64" t="b">
            <v>1</v>
          </cell>
          <cell r="AN64" t="str">
            <v xml:space="preserve">Done </v>
          </cell>
          <cell r="AO64">
            <v>22</v>
          </cell>
          <cell r="AP64">
            <v>16</v>
          </cell>
          <cell r="AQ64" t="str">
            <v>H+L</v>
          </cell>
          <cell r="AR64" t="str">
            <v>NA</v>
          </cell>
          <cell r="AS64">
            <v>80</v>
          </cell>
          <cell r="AT64">
            <v>55</v>
          </cell>
          <cell r="AU64" t="str">
            <v>SLANT</v>
          </cell>
          <cell r="AV64" t="str">
            <v>SLANT / BEACHSIDE SUN</v>
          </cell>
          <cell r="AW64" t="str">
            <v>DU-EXE</v>
          </cell>
          <cell r="AX64" t="str">
            <v>BEACHSIDE SUN</v>
          </cell>
          <cell r="AY64">
            <v>3420000</v>
          </cell>
          <cell r="AZ64">
            <v>3600000</v>
          </cell>
          <cell r="BA64">
            <v>432000</v>
          </cell>
          <cell r="BB64">
            <v>3168000</v>
          </cell>
          <cell r="BC64">
            <v>0</v>
          </cell>
          <cell r="BD64">
            <v>3168000</v>
          </cell>
        </row>
        <row r="65">
          <cell r="AD65" t="str">
            <v>ESE-01-022-017</v>
          </cell>
          <cell r="AE65" t="str">
            <v xml:space="preserve">Raemulan Lands, Inc. </v>
          </cell>
          <cell r="AF65" t="str">
            <v>Estanzia Enclave</v>
          </cell>
          <cell r="AG65" t="str">
            <v>ESE</v>
          </cell>
          <cell r="AH65" t="str">
            <v>Middle Income</v>
          </cell>
          <cell r="AI65" t="str">
            <v>01</v>
          </cell>
          <cell r="AJ65" t="str">
            <v>Batch 3 2025</v>
          </cell>
          <cell r="AK65">
            <v>80</v>
          </cell>
          <cell r="AL65" t="str">
            <v>PCS-04-032688</v>
          </cell>
          <cell r="AM65" t="b">
            <v>1</v>
          </cell>
          <cell r="AN65" t="str">
            <v xml:space="preserve">Done </v>
          </cell>
          <cell r="AO65">
            <v>22</v>
          </cell>
          <cell r="AP65">
            <v>17</v>
          </cell>
          <cell r="AQ65" t="str">
            <v>H+L</v>
          </cell>
          <cell r="AR65" t="str">
            <v>NA</v>
          </cell>
          <cell r="AS65">
            <v>80</v>
          </cell>
          <cell r="AT65">
            <v>55</v>
          </cell>
          <cell r="AU65" t="str">
            <v>FLAT</v>
          </cell>
          <cell r="AV65" t="str">
            <v>FLAT / BEACHSIDE SUN</v>
          </cell>
          <cell r="AW65" t="str">
            <v>DU-EXE</v>
          </cell>
          <cell r="AX65" t="str">
            <v>BEACHSIDE SUN</v>
          </cell>
          <cell r="AY65">
            <v>3600000</v>
          </cell>
          <cell r="AZ65">
            <v>3600000</v>
          </cell>
          <cell r="BA65">
            <v>432000</v>
          </cell>
          <cell r="BB65">
            <v>3168000</v>
          </cell>
          <cell r="BC65">
            <v>0</v>
          </cell>
          <cell r="BD65">
            <v>3168000</v>
          </cell>
        </row>
        <row r="66">
          <cell r="AD66" t="str">
            <v>ESE-01-022-018</v>
          </cell>
          <cell r="AE66" t="str">
            <v xml:space="preserve">Raemulan Lands, Inc. </v>
          </cell>
          <cell r="AF66" t="str">
            <v>Estanzia Enclave</v>
          </cell>
          <cell r="AG66" t="str">
            <v>ESE</v>
          </cell>
          <cell r="AH66" t="str">
            <v>Middle Income</v>
          </cell>
          <cell r="AI66" t="str">
            <v>01</v>
          </cell>
          <cell r="AJ66" t="str">
            <v>HOLD</v>
          </cell>
          <cell r="AK66">
            <v>80</v>
          </cell>
          <cell r="AL66" t="str">
            <v>PCS-04-032688</v>
          </cell>
          <cell r="AM66" t="b">
            <v>1</v>
          </cell>
          <cell r="AN66" t="str">
            <v xml:space="preserve">Done </v>
          </cell>
          <cell r="AO66">
            <v>22</v>
          </cell>
          <cell r="AP66">
            <v>18</v>
          </cell>
          <cell r="AQ66" t="str">
            <v>H+L</v>
          </cell>
          <cell r="AR66" t="str">
            <v>NA</v>
          </cell>
          <cell r="AS66">
            <v>80</v>
          </cell>
          <cell r="AT66">
            <v>55</v>
          </cell>
          <cell r="AU66" t="str">
            <v>FLAT</v>
          </cell>
          <cell r="AV66" t="str">
            <v>FLAT / HORIZON SUN</v>
          </cell>
          <cell r="AW66" t="str">
            <v>DU-EXE</v>
          </cell>
          <cell r="AX66" t="str">
            <v>HORIZON SUN</v>
          </cell>
          <cell r="AY66">
            <v>3420000</v>
          </cell>
          <cell r="AZ66">
            <v>3600000</v>
          </cell>
          <cell r="BA66">
            <v>0</v>
          </cell>
          <cell r="BB66">
            <v>3600000</v>
          </cell>
          <cell r="BC66">
            <v>0</v>
          </cell>
          <cell r="BD66">
            <v>3600000</v>
          </cell>
        </row>
        <row r="67">
          <cell r="AD67" t="str">
            <v>ESE-01-022-019</v>
          </cell>
          <cell r="AE67" t="str">
            <v xml:space="preserve">Raemulan Lands, Inc. </v>
          </cell>
          <cell r="AF67" t="str">
            <v>Estanzia Enclave</v>
          </cell>
          <cell r="AG67" t="str">
            <v>ESE</v>
          </cell>
          <cell r="AH67" t="str">
            <v>Middle Income</v>
          </cell>
          <cell r="AI67" t="str">
            <v>01</v>
          </cell>
          <cell r="AJ67" t="str">
            <v>HOLD</v>
          </cell>
          <cell r="AK67">
            <v>103</v>
          </cell>
          <cell r="AL67" t="str">
            <v>PCS-04-032688</v>
          </cell>
          <cell r="AM67" t="b">
            <v>1</v>
          </cell>
          <cell r="AN67" t="str">
            <v xml:space="preserve">Done </v>
          </cell>
          <cell r="AO67">
            <v>22</v>
          </cell>
          <cell r="AP67">
            <v>19</v>
          </cell>
          <cell r="AQ67" t="str">
            <v>H+L</v>
          </cell>
          <cell r="AR67" t="str">
            <v>NA</v>
          </cell>
          <cell r="AS67">
            <v>103</v>
          </cell>
          <cell r="AT67">
            <v>55</v>
          </cell>
          <cell r="AU67" t="str">
            <v>SLANT</v>
          </cell>
          <cell r="AV67" t="str">
            <v>SLANT / HORIZON SUN</v>
          </cell>
          <cell r="AW67" t="str">
            <v>DU-EXE</v>
          </cell>
          <cell r="AX67" t="str">
            <v>HORIZON SUN</v>
          </cell>
          <cell r="AY67">
            <v>3420000</v>
          </cell>
          <cell r="AZ67">
            <v>3945000</v>
          </cell>
          <cell r="BA67">
            <v>0</v>
          </cell>
          <cell r="BB67">
            <v>3945000</v>
          </cell>
          <cell r="BC67">
            <v>422678.57142857142</v>
          </cell>
          <cell r="BD67">
            <v>3522321.4285714286</v>
          </cell>
        </row>
        <row r="68">
          <cell r="AD68" t="str">
            <v>ESE-01-022-020</v>
          </cell>
          <cell r="AE68" t="str">
            <v xml:space="preserve">Raemulan Lands, Inc. </v>
          </cell>
          <cell r="AF68" t="str">
            <v>Estanzia Enclave</v>
          </cell>
          <cell r="AG68" t="str">
            <v>ESE</v>
          </cell>
          <cell r="AH68" t="str">
            <v>Middle Income</v>
          </cell>
          <cell r="AI68" t="str">
            <v>01</v>
          </cell>
          <cell r="AJ68" t="str">
            <v>LOT ONLY</v>
          </cell>
          <cell r="AK68">
            <v>109</v>
          </cell>
          <cell r="AL68" t="str">
            <v>PCS-04-032688</v>
          </cell>
          <cell r="AM68" t="b">
            <v>1</v>
          </cell>
          <cell r="AN68" t="str">
            <v xml:space="preserve">Done </v>
          </cell>
          <cell r="AO68">
            <v>22</v>
          </cell>
          <cell r="AP68">
            <v>20</v>
          </cell>
          <cell r="AQ68" t="str">
            <v>LO</v>
          </cell>
          <cell r="AR68" t="str">
            <v>NA</v>
          </cell>
          <cell r="AS68">
            <v>109</v>
          </cell>
          <cell r="AT68" t="str">
            <v>N/A</v>
          </cell>
          <cell r="AU68" t="str">
            <v>NA</v>
          </cell>
          <cell r="AV68" t="str">
            <v>NA / NA</v>
          </cell>
          <cell r="AW68" t="str">
            <v>LO</v>
          </cell>
          <cell r="AX68" t="str">
            <v>NA</v>
          </cell>
          <cell r="AY68">
            <v>3420000</v>
          </cell>
          <cell r="AZ68">
            <v>1635000</v>
          </cell>
          <cell r="BA68">
            <v>0</v>
          </cell>
          <cell r="BB68">
            <v>1635000</v>
          </cell>
          <cell r="BC68">
            <v>175178.57142857142</v>
          </cell>
          <cell r="BD68">
            <v>1459821.4285714286</v>
          </cell>
        </row>
        <row r="69">
          <cell r="AD69" t="str">
            <v>ESE-01-022-021</v>
          </cell>
          <cell r="AE69" t="str">
            <v xml:space="preserve">Raemulan Lands, Inc. </v>
          </cell>
          <cell r="AF69" t="str">
            <v>Estanzia Enclave</v>
          </cell>
          <cell r="AG69" t="str">
            <v>ESE</v>
          </cell>
          <cell r="AH69" t="str">
            <v>Middle Income</v>
          </cell>
          <cell r="AI69" t="str">
            <v>01</v>
          </cell>
          <cell r="AJ69" t="str">
            <v>HOLD</v>
          </cell>
          <cell r="AK69">
            <v>80</v>
          </cell>
          <cell r="AL69" t="str">
            <v>PCS-04-032688</v>
          </cell>
          <cell r="AM69" t="b">
            <v>1</v>
          </cell>
          <cell r="AN69" t="str">
            <v xml:space="preserve">Done </v>
          </cell>
          <cell r="AO69">
            <v>22</v>
          </cell>
          <cell r="AP69">
            <v>21</v>
          </cell>
          <cell r="AQ69" t="str">
            <v>H+L</v>
          </cell>
          <cell r="AR69" t="str">
            <v>NA</v>
          </cell>
          <cell r="AS69">
            <v>80</v>
          </cell>
          <cell r="AT69">
            <v>55</v>
          </cell>
          <cell r="AU69" t="str">
            <v>SLANT</v>
          </cell>
          <cell r="AV69" t="str">
            <v>SLANT / BEACHSIDE SUN</v>
          </cell>
          <cell r="AW69" t="str">
            <v>DU-EXE</v>
          </cell>
          <cell r="AX69" t="str">
            <v>BEACHSIDE SUN</v>
          </cell>
          <cell r="AY69">
            <v>3420000</v>
          </cell>
          <cell r="AZ69">
            <v>3600000</v>
          </cell>
          <cell r="BA69">
            <v>0</v>
          </cell>
          <cell r="BB69">
            <v>3600000</v>
          </cell>
          <cell r="BC69">
            <v>0</v>
          </cell>
          <cell r="BD69">
            <v>3600000</v>
          </cell>
        </row>
        <row r="70">
          <cell r="AD70" t="str">
            <v>ESE-01-022-022</v>
          </cell>
          <cell r="AE70" t="str">
            <v xml:space="preserve">Raemulan Lands, Inc. </v>
          </cell>
          <cell r="AF70" t="str">
            <v>Estanzia Enclave</v>
          </cell>
          <cell r="AG70" t="str">
            <v>ESE</v>
          </cell>
          <cell r="AH70" t="str">
            <v>Middle Income</v>
          </cell>
          <cell r="AI70" t="str">
            <v>01</v>
          </cell>
          <cell r="AJ70" t="str">
            <v>HOLD</v>
          </cell>
          <cell r="AK70">
            <v>80</v>
          </cell>
          <cell r="AL70" t="str">
            <v>PCS-04-032688</v>
          </cell>
          <cell r="AM70" t="b">
            <v>1</v>
          </cell>
          <cell r="AN70" t="str">
            <v xml:space="preserve">Done </v>
          </cell>
          <cell r="AO70">
            <v>22</v>
          </cell>
          <cell r="AP70">
            <v>22</v>
          </cell>
          <cell r="AQ70" t="str">
            <v>H+L</v>
          </cell>
          <cell r="AR70" t="str">
            <v>NA</v>
          </cell>
          <cell r="AS70">
            <v>80</v>
          </cell>
          <cell r="AT70">
            <v>55</v>
          </cell>
          <cell r="AU70" t="str">
            <v>FLAT</v>
          </cell>
          <cell r="AV70" t="str">
            <v>FLAT / BEACHSIDE SUN</v>
          </cell>
          <cell r="AW70" t="str">
            <v>DU-EXE</v>
          </cell>
          <cell r="AX70" t="str">
            <v>BEACHSIDE SUN</v>
          </cell>
          <cell r="AY70">
            <v>3420000</v>
          </cell>
          <cell r="AZ70">
            <v>3600000</v>
          </cell>
          <cell r="BA70">
            <v>0</v>
          </cell>
          <cell r="BB70">
            <v>3600000</v>
          </cell>
          <cell r="BC70">
            <v>0</v>
          </cell>
          <cell r="BD70">
            <v>3600000</v>
          </cell>
        </row>
        <row r="71">
          <cell r="AD71" t="str">
            <v>ESE-01-022-023</v>
          </cell>
          <cell r="AE71" t="str">
            <v xml:space="preserve">Raemulan Lands, Inc. </v>
          </cell>
          <cell r="AF71" t="str">
            <v>Estanzia Enclave</v>
          </cell>
          <cell r="AG71" t="str">
            <v>ESE</v>
          </cell>
          <cell r="AH71" t="str">
            <v>Middle Income</v>
          </cell>
          <cell r="AI71" t="str">
            <v>01</v>
          </cell>
          <cell r="AJ71" t="str">
            <v>Batch 3 2025</v>
          </cell>
          <cell r="AK71">
            <v>80</v>
          </cell>
          <cell r="AL71" t="str">
            <v>PCS-04-032688</v>
          </cell>
          <cell r="AM71" t="b">
            <v>1</v>
          </cell>
          <cell r="AN71" t="str">
            <v xml:space="preserve">Done </v>
          </cell>
          <cell r="AO71">
            <v>22</v>
          </cell>
          <cell r="AP71">
            <v>23</v>
          </cell>
          <cell r="AQ71" t="str">
            <v>H+L</v>
          </cell>
          <cell r="AR71" t="str">
            <v>NA</v>
          </cell>
          <cell r="AS71">
            <v>80</v>
          </cell>
          <cell r="AT71">
            <v>55</v>
          </cell>
          <cell r="AU71" t="str">
            <v>FLAT</v>
          </cell>
          <cell r="AV71" t="str">
            <v>FLAT / BEACHSIDE SUN</v>
          </cell>
          <cell r="AW71" t="str">
            <v>DU-EXE</v>
          </cell>
          <cell r="AX71" t="str">
            <v>BEACHSIDE SUN</v>
          </cell>
          <cell r="AY71">
            <v>3420000</v>
          </cell>
          <cell r="AZ71">
            <v>3600000</v>
          </cell>
          <cell r="BA71">
            <v>0</v>
          </cell>
          <cell r="BB71">
            <v>3600000</v>
          </cell>
          <cell r="BC71">
            <v>0</v>
          </cell>
          <cell r="BD71">
            <v>3600000</v>
          </cell>
        </row>
        <row r="72">
          <cell r="AD72" t="str">
            <v>ESE-01-022-024</v>
          </cell>
          <cell r="AE72" t="str">
            <v xml:space="preserve">Raemulan Lands, Inc. </v>
          </cell>
          <cell r="AF72" t="str">
            <v>Estanzia Enclave</v>
          </cell>
          <cell r="AG72" t="str">
            <v>ESE</v>
          </cell>
          <cell r="AH72" t="str">
            <v>Middle Income</v>
          </cell>
          <cell r="AI72" t="str">
            <v>01</v>
          </cell>
          <cell r="AJ72" t="str">
            <v>Batch 3 2025</v>
          </cell>
          <cell r="AK72">
            <v>80</v>
          </cell>
          <cell r="AL72" t="str">
            <v>PCS-04-032688</v>
          </cell>
          <cell r="AM72" t="b">
            <v>1</v>
          </cell>
          <cell r="AN72" t="str">
            <v xml:space="preserve">Done </v>
          </cell>
          <cell r="AO72">
            <v>22</v>
          </cell>
          <cell r="AP72">
            <v>24</v>
          </cell>
          <cell r="AQ72" t="str">
            <v>H+L</v>
          </cell>
          <cell r="AR72" t="str">
            <v>NA</v>
          </cell>
          <cell r="AS72">
            <v>80</v>
          </cell>
          <cell r="AT72">
            <v>55</v>
          </cell>
          <cell r="AU72" t="str">
            <v>SLANT</v>
          </cell>
          <cell r="AV72" t="str">
            <v>SLANT / BEACHSIDE SUN</v>
          </cell>
          <cell r="AW72" t="str">
            <v>DU-EXE</v>
          </cell>
          <cell r="AX72" t="str">
            <v>BEACHSIDE SUN</v>
          </cell>
          <cell r="AY72">
            <v>3600000</v>
          </cell>
          <cell r="AZ72">
            <v>3600000</v>
          </cell>
          <cell r="BA72">
            <v>432000</v>
          </cell>
          <cell r="BB72">
            <v>3168000</v>
          </cell>
          <cell r="BC72">
            <v>0</v>
          </cell>
          <cell r="BD72">
            <v>3168000</v>
          </cell>
        </row>
        <row r="73">
          <cell r="AD73" t="str">
            <v>ESE-01-022-025</v>
          </cell>
          <cell r="AE73" t="str">
            <v xml:space="preserve">Raemulan Lands, Inc. </v>
          </cell>
          <cell r="AF73" t="str">
            <v>Estanzia Enclave</v>
          </cell>
          <cell r="AG73" t="str">
            <v>ESE</v>
          </cell>
          <cell r="AH73" t="str">
            <v>Middle Income</v>
          </cell>
          <cell r="AI73" t="str">
            <v>01</v>
          </cell>
          <cell r="AJ73" t="str">
            <v>Batch 2 2025</v>
          </cell>
          <cell r="AK73">
            <v>80</v>
          </cell>
          <cell r="AL73" t="str">
            <v>PCS-04-032688</v>
          </cell>
          <cell r="AM73" t="b">
            <v>1</v>
          </cell>
          <cell r="AN73" t="str">
            <v xml:space="preserve">Done </v>
          </cell>
          <cell r="AO73">
            <v>22</v>
          </cell>
          <cell r="AP73">
            <v>25</v>
          </cell>
          <cell r="AQ73" t="str">
            <v>H+L</v>
          </cell>
          <cell r="AR73" t="str">
            <v>NA</v>
          </cell>
          <cell r="AS73">
            <v>80</v>
          </cell>
          <cell r="AT73">
            <v>55</v>
          </cell>
          <cell r="AU73" t="str">
            <v>SLANT</v>
          </cell>
          <cell r="AV73" t="str">
            <v>SLANT / HORIZON SUN</v>
          </cell>
          <cell r="AW73" t="str">
            <v>DU-EXE</v>
          </cell>
          <cell r="AX73" t="str">
            <v>HORIZON SUN</v>
          </cell>
          <cell r="AY73">
            <v>3420000</v>
          </cell>
          <cell r="AZ73">
            <v>3600000</v>
          </cell>
          <cell r="BA73">
            <v>0</v>
          </cell>
          <cell r="BB73">
            <v>3600000</v>
          </cell>
          <cell r="BC73">
            <v>0</v>
          </cell>
          <cell r="BD73">
            <v>3600000</v>
          </cell>
        </row>
        <row r="74">
          <cell r="AD74" t="str">
            <v>ESE-01-022-026</v>
          </cell>
          <cell r="AE74" t="str">
            <v xml:space="preserve">Raemulan Lands, Inc. </v>
          </cell>
          <cell r="AF74" t="str">
            <v>Estanzia Enclave</v>
          </cell>
          <cell r="AG74" t="str">
            <v>ESE</v>
          </cell>
          <cell r="AH74" t="str">
            <v>Middle Income</v>
          </cell>
          <cell r="AI74" t="str">
            <v>01</v>
          </cell>
          <cell r="AJ74" t="str">
            <v>Batch 2 2025</v>
          </cell>
          <cell r="AK74">
            <v>80</v>
          </cell>
          <cell r="AL74" t="str">
            <v>PCS-04-032688</v>
          </cell>
          <cell r="AM74" t="b">
            <v>1</v>
          </cell>
          <cell r="AN74" t="str">
            <v xml:space="preserve">Done </v>
          </cell>
          <cell r="AO74">
            <v>22</v>
          </cell>
          <cell r="AP74">
            <v>26</v>
          </cell>
          <cell r="AQ74" t="str">
            <v>H+L</v>
          </cell>
          <cell r="AR74" t="str">
            <v>NA</v>
          </cell>
          <cell r="AS74">
            <v>80</v>
          </cell>
          <cell r="AT74">
            <v>55</v>
          </cell>
          <cell r="AU74" t="str">
            <v>FLAT</v>
          </cell>
          <cell r="AV74" t="str">
            <v>FLAT / HORIZON SUN</v>
          </cell>
          <cell r="AW74" t="str">
            <v>DU-EXE</v>
          </cell>
          <cell r="AX74" t="str">
            <v>HORIZON SUN</v>
          </cell>
          <cell r="AY74">
            <v>3420000</v>
          </cell>
          <cell r="AZ74">
            <v>3600000</v>
          </cell>
          <cell r="BA74">
            <v>0</v>
          </cell>
          <cell r="BB74">
            <v>3600000</v>
          </cell>
          <cell r="BC74">
            <v>0</v>
          </cell>
          <cell r="BD74">
            <v>3600000</v>
          </cell>
        </row>
        <row r="75">
          <cell r="AD75" t="str">
            <v>ESE-01-022-027</v>
          </cell>
          <cell r="AE75" t="str">
            <v xml:space="preserve">Raemulan Lands, Inc. </v>
          </cell>
          <cell r="AF75" t="str">
            <v>Estanzia Enclave</v>
          </cell>
          <cell r="AG75" t="str">
            <v>ESE</v>
          </cell>
          <cell r="AH75" t="str">
            <v>Middle Income</v>
          </cell>
          <cell r="AI75" t="str">
            <v>01</v>
          </cell>
          <cell r="AJ75" t="str">
            <v>Batch 2 2025</v>
          </cell>
          <cell r="AK75">
            <v>80</v>
          </cell>
          <cell r="AL75" t="str">
            <v>PCS-04-032688</v>
          </cell>
          <cell r="AM75" t="b">
            <v>1</v>
          </cell>
          <cell r="AN75" t="str">
            <v xml:space="preserve">Done </v>
          </cell>
          <cell r="AO75">
            <v>22</v>
          </cell>
          <cell r="AP75">
            <v>27</v>
          </cell>
          <cell r="AQ75" t="str">
            <v>H+L</v>
          </cell>
          <cell r="AR75" t="str">
            <v>NA</v>
          </cell>
          <cell r="AS75">
            <v>80</v>
          </cell>
          <cell r="AT75">
            <v>55</v>
          </cell>
          <cell r="AU75" t="str">
            <v>FLAT</v>
          </cell>
          <cell r="AV75" t="str">
            <v>FLAT / HORIZON SUN</v>
          </cell>
          <cell r="AW75" t="str">
            <v>DU-EXE</v>
          </cell>
          <cell r="AX75" t="str">
            <v>HORIZON SUN</v>
          </cell>
          <cell r="AY75">
            <v>3420000</v>
          </cell>
          <cell r="AZ75">
            <v>3600000</v>
          </cell>
          <cell r="BA75">
            <v>0</v>
          </cell>
          <cell r="BB75">
            <v>3600000</v>
          </cell>
          <cell r="BC75">
            <v>0</v>
          </cell>
          <cell r="BD75">
            <v>3600000</v>
          </cell>
        </row>
        <row r="76">
          <cell r="AD76" t="str">
            <v>ESE-01-022-028</v>
          </cell>
          <cell r="AE76" t="str">
            <v xml:space="preserve">Raemulan Lands, Inc. </v>
          </cell>
          <cell r="AF76" t="str">
            <v>Estanzia Enclave</v>
          </cell>
          <cell r="AG76" t="str">
            <v>ESE</v>
          </cell>
          <cell r="AH76" t="str">
            <v>Middle Income</v>
          </cell>
          <cell r="AI76" t="str">
            <v>01</v>
          </cell>
          <cell r="AJ76" t="str">
            <v>Batch 2 2025</v>
          </cell>
          <cell r="AK76">
            <v>80</v>
          </cell>
          <cell r="AL76" t="str">
            <v>PCS-04-032688</v>
          </cell>
          <cell r="AM76" t="b">
            <v>1</v>
          </cell>
          <cell r="AN76" t="str">
            <v xml:space="preserve">Done </v>
          </cell>
          <cell r="AO76">
            <v>22</v>
          </cell>
          <cell r="AP76">
            <v>28</v>
          </cell>
          <cell r="AQ76" t="str">
            <v>H+L</v>
          </cell>
          <cell r="AR76" t="str">
            <v>NA</v>
          </cell>
          <cell r="AS76">
            <v>80</v>
          </cell>
          <cell r="AT76">
            <v>55</v>
          </cell>
          <cell r="AU76" t="str">
            <v>SLANT</v>
          </cell>
          <cell r="AV76" t="str">
            <v>SLANT / HORIZON SUN</v>
          </cell>
          <cell r="AW76" t="str">
            <v>DU-EXE</v>
          </cell>
          <cell r="AX76" t="str">
            <v>HORIZON SUN</v>
          </cell>
          <cell r="AY76">
            <v>3420000</v>
          </cell>
          <cell r="AZ76">
            <v>3600000</v>
          </cell>
          <cell r="BA76">
            <v>0</v>
          </cell>
          <cell r="BB76">
            <v>3600000</v>
          </cell>
          <cell r="BC76">
            <v>0</v>
          </cell>
          <cell r="BD76">
            <v>3600000</v>
          </cell>
        </row>
        <row r="77">
          <cell r="AD77" t="str">
            <v>ESE-01-022-029</v>
          </cell>
          <cell r="AE77" t="str">
            <v xml:space="preserve">Raemulan Lands, Inc. </v>
          </cell>
          <cell r="AF77" t="str">
            <v>Estanzia Enclave</v>
          </cell>
          <cell r="AG77" t="str">
            <v>ESE</v>
          </cell>
          <cell r="AH77" t="str">
            <v>Middle Income</v>
          </cell>
          <cell r="AI77" t="str">
            <v>01</v>
          </cell>
          <cell r="AJ77" t="str">
            <v>Batch 2 2025</v>
          </cell>
          <cell r="AK77">
            <v>80</v>
          </cell>
          <cell r="AL77" t="str">
            <v>PCS-04-032688</v>
          </cell>
          <cell r="AM77" t="b">
            <v>1</v>
          </cell>
          <cell r="AN77" t="str">
            <v xml:space="preserve">Done </v>
          </cell>
          <cell r="AO77">
            <v>22</v>
          </cell>
          <cell r="AP77">
            <v>29</v>
          </cell>
          <cell r="AQ77" t="str">
            <v>H+L</v>
          </cell>
          <cell r="AR77" t="str">
            <v>NA</v>
          </cell>
          <cell r="AS77">
            <v>80</v>
          </cell>
          <cell r="AT77">
            <v>55</v>
          </cell>
          <cell r="AU77" t="str">
            <v>SLANT</v>
          </cell>
          <cell r="AV77" t="str">
            <v>SLANT / NA</v>
          </cell>
          <cell r="AW77" t="str">
            <v>DU-EXE</v>
          </cell>
          <cell r="AX77" t="str">
            <v>NA</v>
          </cell>
          <cell r="AY77">
            <v>3420000</v>
          </cell>
          <cell r="AZ77">
            <v>3840000</v>
          </cell>
          <cell r="BA77">
            <v>0</v>
          </cell>
          <cell r="BB77">
            <v>3840000</v>
          </cell>
          <cell r="BC77">
            <v>411428.57142857142</v>
          </cell>
          <cell r="BD77">
            <v>3428571.4285714286</v>
          </cell>
        </row>
        <row r="78">
          <cell r="AD78" t="str">
            <v>ESE-01-022-030</v>
          </cell>
          <cell r="AE78" t="str">
            <v xml:space="preserve">Raemulan Lands, Inc. </v>
          </cell>
          <cell r="AF78" t="str">
            <v>Estanzia Enclave</v>
          </cell>
          <cell r="AG78" t="str">
            <v>ESE</v>
          </cell>
          <cell r="AH78" t="str">
            <v>Middle Income</v>
          </cell>
          <cell r="AI78" t="str">
            <v>01</v>
          </cell>
          <cell r="AJ78" t="str">
            <v>Batch 2 2025</v>
          </cell>
          <cell r="AK78">
            <v>80</v>
          </cell>
          <cell r="AL78" t="str">
            <v>PCS-04-032688</v>
          </cell>
          <cell r="AM78" t="b">
            <v>1</v>
          </cell>
          <cell r="AN78" t="str">
            <v xml:space="preserve">Done </v>
          </cell>
          <cell r="AO78">
            <v>22</v>
          </cell>
          <cell r="AP78">
            <v>30</v>
          </cell>
          <cell r="AQ78" t="str">
            <v>H+L</v>
          </cell>
          <cell r="AR78" t="str">
            <v>NA</v>
          </cell>
          <cell r="AS78">
            <v>80</v>
          </cell>
          <cell r="AT78">
            <v>55</v>
          </cell>
          <cell r="AU78" t="str">
            <v>FLAT</v>
          </cell>
          <cell r="AV78" t="str">
            <v>FLAT / BEACHSIDE SUN</v>
          </cell>
          <cell r="AW78" t="str">
            <v>DU-EXE</v>
          </cell>
          <cell r="AX78" t="str">
            <v>BEACHSIDE SUN</v>
          </cell>
          <cell r="AY78">
            <v>3420000</v>
          </cell>
          <cell r="AZ78">
            <v>3600000</v>
          </cell>
          <cell r="BA78">
            <v>0</v>
          </cell>
          <cell r="BB78">
            <v>3600000</v>
          </cell>
          <cell r="BC78">
            <v>0</v>
          </cell>
          <cell r="BD78">
            <v>3600000</v>
          </cell>
        </row>
        <row r="79">
          <cell r="AD79" t="str">
            <v>ESE-01-022-031</v>
          </cell>
          <cell r="AE79" t="str">
            <v xml:space="preserve">Raemulan Lands, Inc. </v>
          </cell>
          <cell r="AF79" t="str">
            <v>Estanzia Enclave</v>
          </cell>
          <cell r="AG79" t="str">
            <v>ESE</v>
          </cell>
          <cell r="AH79" t="str">
            <v>Middle Income</v>
          </cell>
          <cell r="AI79" t="str">
            <v>01</v>
          </cell>
          <cell r="AJ79" t="str">
            <v>Batch 2 2025</v>
          </cell>
          <cell r="AK79">
            <v>80</v>
          </cell>
          <cell r="AL79" t="str">
            <v>PCS-04-032688</v>
          </cell>
          <cell r="AM79" t="b">
            <v>1</v>
          </cell>
          <cell r="AN79" t="str">
            <v xml:space="preserve">Done </v>
          </cell>
          <cell r="AO79">
            <v>22</v>
          </cell>
          <cell r="AP79">
            <v>31</v>
          </cell>
          <cell r="AQ79" t="str">
            <v>H+L</v>
          </cell>
          <cell r="AR79" t="str">
            <v>NA</v>
          </cell>
          <cell r="AS79">
            <v>80</v>
          </cell>
          <cell r="AT79">
            <v>55</v>
          </cell>
          <cell r="AU79" t="str">
            <v>FLAT</v>
          </cell>
          <cell r="AV79" t="str">
            <v>FLAT / BEACHSIDE SUN</v>
          </cell>
          <cell r="AW79" t="str">
            <v>DU-EXE</v>
          </cell>
          <cell r="AX79" t="str">
            <v>BEACHSIDE SUN</v>
          </cell>
          <cell r="AY79">
            <v>3600000</v>
          </cell>
          <cell r="AZ79">
            <v>3600000</v>
          </cell>
          <cell r="BA79">
            <v>432000</v>
          </cell>
          <cell r="BB79">
            <v>3168000</v>
          </cell>
          <cell r="BC79">
            <v>0</v>
          </cell>
          <cell r="BD79">
            <v>3168000</v>
          </cell>
        </row>
        <row r="80">
          <cell r="AD80" t="str">
            <v>ESE-01-022-032</v>
          </cell>
          <cell r="AE80" t="str">
            <v xml:space="preserve">Raemulan Lands, Inc. </v>
          </cell>
          <cell r="AF80" t="str">
            <v>Estanzia Enclave</v>
          </cell>
          <cell r="AG80" t="str">
            <v>ESE</v>
          </cell>
          <cell r="AH80" t="str">
            <v>Middle Income</v>
          </cell>
          <cell r="AI80" t="str">
            <v>01</v>
          </cell>
          <cell r="AJ80" t="str">
            <v>Batch 2 2025</v>
          </cell>
          <cell r="AK80">
            <v>80</v>
          </cell>
          <cell r="AL80" t="str">
            <v>PCS-04-032688</v>
          </cell>
          <cell r="AM80" t="b">
            <v>1</v>
          </cell>
          <cell r="AN80" t="str">
            <v xml:space="preserve">Done </v>
          </cell>
          <cell r="AO80">
            <v>22</v>
          </cell>
          <cell r="AP80">
            <v>32</v>
          </cell>
          <cell r="AQ80" t="str">
            <v>H+L</v>
          </cell>
          <cell r="AR80" t="str">
            <v>NA</v>
          </cell>
          <cell r="AS80">
            <v>80</v>
          </cell>
          <cell r="AT80">
            <v>55</v>
          </cell>
          <cell r="AU80" t="str">
            <v>SLANT</v>
          </cell>
          <cell r="AV80" t="str">
            <v>SLANT / BEACHSIDE SUN</v>
          </cell>
          <cell r="AW80" t="str">
            <v>DU-EXE</v>
          </cell>
          <cell r="AX80" t="str">
            <v>BEACHSIDE SUN</v>
          </cell>
          <cell r="AY80">
            <v>3600000</v>
          </cell>
          <cell r="AZ80">
            <v>3600000</v>
          </cell>
          <cell r="BA80">
            <v>432000</v>
          </cell>
          <cell r="BB80">
            <v>3168000</v>
          </cell>
          <cell r="BC80">
            <v>0</v>
          </cell>
          <cell r="BD80">
            <v>3168000</v>
          </cell>
        </row>
        <row r="81">
          <cell r="AD81" t="str">
            <v>ESE-01-022-033</v>
          </cell>
          <cell r="AE81" t="str">
            <v xml:space="preserve">Raemulan Lands, Inc. </v>
          </cell>
          <cell r="AF81" t="str">
            <v>Estanzia Enclave</v>
          </cell>
          <cell r="AG81" t="str">
            <v>ESE</v>
          </cell>
          <cell r="AH81" t="str">
            <v>Middle Income</v>
          </cell>
          <cell r="AI81" t="str">
            <v>01</v>
          </cell>
          <cell r="AJ81" t="str">
            <v>Batch 1 2025</v>
          </cell>
          <cell r="AK81">
            <v>80</v>
          </cell>
          <cell r="AL81" t="str">
            <v>PCS-04-032688</v>
          </cell>
          <cell r="AM81" t="b">
            <v>1</v>
          </cell>
          <cell r="AN81" t="str">
            <v xml:space="preserve">Done </v>
          </cell>
          <cell r="AO81">
            <v>22</v>
          </cell>
          <cell r="AP81">
            <v>33</v>
          </cell>
          <cell r="AQ81" t="str">
            <v>H+L</v>
          </cell>
          <cell r="AR81" t="str">
            <v>NA</v>
          </cell>
          <cell r="AS81">
            <v>80</v>
          </cell>
          <cell r="AT81">
            <v>55</v>
          </cell>
          <cell r="AU81" t="str">
            <v>SLANT</v>
          </cell>
          <cell r="AV81" t="str">
            <v>SLANT / HORIZON SUN</v>
          </cell>
          <cell r="AW81" t="str">
            <v>DU-EXE</v>
          </cell>
          <cell r="AX81" t="str">
            <v>HORIZON SUN</v>
          </cell>
          <cell r="AY81">
            <v>3420000</v>
          </cell>
          <cell r="AZ81">
            <v>3600000</v>
          </cell>
          <cell r="BA81">
            <v>0</v>
          </cell>
          <cell r="BB81">
            <v>3600000</v>
          </cell>
          <cell r="BC81">
            <v>0</v>
          </cell>
          <cell r="BD81">
            <v>3600000</v>
          </cell>
        </row>
        <row r="82">
          <cell r="AD82" t="str">
            <v>ESE-01-022-034</v>
          </cell>
          <cell r="AE82" t="str">
            <v xml:space="preserve">Raemulan Lands, Inc. </v>
          </cell>
          <cell r="AF82" t="str">
            <v>Estanzia Enclave</v>
          </cell>
          <cell r="AG82" t="str">
            <v>ESE</v>
          </cell>
          <cell r="AH82" t="str">
            <v>Middle Income</v>
          </cell>
          <cell r="AI82" t="str">
            <v>01</v>
          </cell>
          <cell r="AJ82" t="str">
            <v>Batch 1 2025</v>
          </cell>
          <cell r="AK82">
            <v>80</v>
          </cell>
          <cell r="AL82" t="str">
            <v>PCS-04-032688</v>
          </cell>
          <cell r="AM82" t="b">
            <v>1</v>
          </cell>
          <cell r="AN82" t="str">
            <v xml:space="preserve">Done </v>
          </cell>
          <cell r="AO82">
            <v>22</v>
          </cell>
          <cell r="AP82">
            <v>34</v>
          </cell>
          <cell r="AQ82" t="str">
            <v>H+L</v>
          </cell>
          <cell r="AR82" t="str">
            <v>NA</v>
          </cell>
          <cell r="AS82">
            <v>80</v>
          </cell>
          <cell r="AT82">
            <v>55</v>
          </cell>
          <cell r="AU82" t="str">
            <v>FLAT</v>
          </cell>
          <cell r="AV82" t="str">
            <v>FLAT / HORIZON SUN</v>
          </cell>
          <cell r="AW82" t="str">
            <v>DU-EXE</v>
          </cell>
          <cell r="AX82" t="str">
            <v>HORIZON SUN</v>
          </cell>
          <cell r="AY82">
            <v>3420000</v>
          </cell>
          <cell r="AZ82">
            <v>3600000</v>
          </cell>
          <cell r="BA82">
            <v>0</v>
          </cell>
          <cell r="BB82">
            <v>3600000</v>
          </cell>
          <cell r="BC82">
            <v>0</v>
          </cell>
          <cell r="BD82">
            <v>3600000</v>
          </cell>
        </row>
        <row r="83">
          <cell r="AD83" t="str">
            <v>ESE-01-022-035</v>
          </cell>
          <cell r="AE83" t="str">
            <v xml:space="preserve">Raemulan Lands, Inc. </v>
          </cell>
          <cell r="AF83" t="str">
            <v>Estanzia Enclave</v>
          </cell>
          <cell r="AG83" t="str">
            <v>ESE</v>
          </cell>
          <cell r="AH83" t="str">
            <v>Middle Income</v>
          </cell>
          <cell r="AI83" t="str">
            <v>01</v>
          </cell>
          <cell r="AJ83" t="str">
            <v>Batch 2 2025</v>
          </cell>
          <cell r="AK83">
            <v>80</v>
          </cell>
          <cell r="AL83" t="str">
            <v>PCS-04-032688</v>
          </cell>
          <cell r="AM83" t="b">
            <v>1</v>
          </cell>
          <cell r="AN83" t="str">
            <v xml:space="preserve">Done </v>
          </cell>
          <cell r="AO83">
            <v>22</v>
          </cell>
          <cell r="AP83">
            <v>35</v>
          </cell>
          <cell r="AQ83" t="str">
            <v>H+L</v>
          </cell>
          <cell r="AR83" t="str">
            <v>NA</v>
          </cell>
          <cell r="AS83">
            <v>80</v>
          </cell>
          <cell r="AT83">
            <v>55</v>
          </cell>
          <cell r="AU83" t="str">
            <v>FLAT</v>
          </cell>
          <cell r="AV83" t="str">
            <v>FLAT / HORIZON SUN</v>
          </cell>
          <cell r="AW83" t="str">
            <v>DU-EXE</v>
          </cell>
          <cell r="AX83" t="str">
            <v>HORIZON SUN</v>
          </cell>
          <cell r="AY83">
            <v>3600000</v>
          </cell>
          <cell r="AZ83">
            <v>3600000</v>
          </cell>
          <cell r="BA83">
            <v>432000</v>
          </cell>
          <cell r="BB83">
            <v>3168000</v>
          </cell>
          <cell r="BC83">
            <v>0</v>
          </cell>
          <cell r="BD83">
            <v>3168000</v>
          </cell>
        </row>
        <row r="84">
          <cell r="AD84" t="str">
            <v>ESE-01-022-036</v>
          </cell>
          <cell r="AE84" t="str">
            <v xml:space="preserve">Raemulan Lands, Inc. </v>
          </cell>
          <cell r="AF84" t="str">
            <v>Estanzia Enclave</v>
          </cell>
          <cell r="AG84" t="str">
            <v>ESE</v>
          </cell>
          <cell r="AH84" t="str">
            <v>Middle Income</v>
          </cell>
          <cell r="AI84" t="str">
            <v>01</v>
          </cell>
          <cell r="AJ84" t="str">
            <v>Batch 2 2025</v>
          </cell>
          <cell r="AK84">
            <v>80</v>
          </cell>
          <cell r="AL84" t="str">
            <v>PCS-04-032688</v>
          </cell>
          <cell r="AM84" t="b">
            <v>1</v>
          </cell>
          <cell r="AN84" t="str">
            <v xml:space="preserve">Done </v>
          </cell>
          <cell r="AO84">
            <v>22</v>
          </cell>
          <cell r="AP84">
            <v>36</v>
          </cell>
          <cell r="AQ84" t="str">
            <v>H+L</v>
          </cell>
          <cell r="AR84" t="str">
            <v>NA</v>
          </cell>
          <cell r="AS84">
            <v>80</v>
          </cell>
          <cell r="AT84">
            <v>55</v>
          </cell>
          <cell r="AU84" t="str">
            <v>SLANT</v>
          </cell>
          <cell r="AV84" t="str">
            <v>SLANT / HORIZON SUN</v>
          </cell>
          <cell r="AW84" t="str">
            <v>DU-EXE</v>
          </cell>
          <cell r="AX84" t="str">
            <v>HORIZON SUN</v>
          </cell>
          <cell r="AY84">
            <v>3600000</v>
          </cell>
          <cell r="AZ84">
            <v>3600000</v>
          </cell>
          <cell r="BA84">
            <v>432000</v>
          </cell>
          <cell r="BB84">
            <v>3168000</v>
          </cell>
          <cell r="BC84">
            <v>0</v>
          </cell>
          <cell r="BD84">
            <v>3168000</v>
          </cell>
        </row>
        <row r="85">
          <cell r="AD85" t="str">
            <v>ESE-01-022-043</v>
          </cell>
          <cell r="AE85" t="str">
            <v xml:space="preserve">Raemulan Lands, Inc. </v>
          </cell>
          <cell r="AF85" t="str">
            <v>Estanzia Enclave</v>
          </cell>
          <cell r="AG85" t="str">
            <v>ESE</v>
          </cell>
          <cell r="AH85" t="str">
            <v>Middle Income</v>
          </cell>
          <cell r="AI85" t="str">
            <v>01</v>
          </cell>
          <cell r="AJ85" t="str">
            <v>Batch 1 2025</v>
          </cell>
          <cell r="AK85">
            <v>80</v>
          </cell>
          <cell r="AL85" t="str">
            <v>PCS-04-032688</v>
          </cell>
          <cell r="AM85" t="b">
            <v>1</v>
          </cell>
          <cell r="AN85" t="str">
            <v xml:space="preserve">Done </v>
          </cell>
          <cell r="AO85">
            <v>22</v>
          </cell>
          <cell r="AP85">
            <v>43</v>
          </cell>
          <cell r="AQ85" t="str">
            <v>H+L</v>
          </cell>
          <cell r="AR85" t="str">
            <v>NA</v>
          </cell>
          <cell r="AS85">
            <v>80</v>
          </cell>
          <cell r="AT85">
            <v>55</v>
          </cell>
          <cell r="AU85" t="str">
            <v>SLANT</v>
          </cell>
          <cell r="AV85" t="str">
            <v>SLANT / BEACHSIDE SUN</v>
          </cell>
          <cell r="AW85" t="str">
            <v>DU-EXE</v>
          </cell>
          <cell r="AX85" t="str">
            <v>BEACHSIDE SUN</v>
          </cell>
          <cell r="AY85">
            <v>3600000</v>
          </cell>
          <cell r="AZ85">
            <v>3600000</v>
          </cell>
          <cell r="BA85">
            <v>432000</v>
          </cell>
          <cell r="BB85">
            <v>3168000</v>
          </cell>
          <cell r="BC85">
            <v>0</v>
          </cell>
          <cell r="BD85">
            <v>3168000</v>
          </cell>
        </row>
        <row r="86">
          <cell r="AD86" t="str">
            <v>ESE-01-022-044</v>
          </cell>
          <cell r="AE86" t="str">
            <v xml:space="preserve">Raemulan Lands, Inc. </v>
          </cell>
          <cell r="AF86" t="str">
            <v>Estanzia Enclave</v>
          </cell>
          <cell r="AG86" t="str">
            <v>ESE</v>
          </cell>
          <cell r="AH86" t="str">
            <v>Middle Income</v>
          </cell>
          <cell r="AI86" t="str">
            <v>01</v>
          </cell>
          <cell r="AJ86" t="str">
            <v>Batch 1 2025</v>
          </cell>
          <cell r="AK86">
            <v>130</v>
          </cell>
          <cell r="AL86" t="str">
            <v>PCS-04-032688</v>
          </cell>
          <cell r="AM86" t="b">
            <v>1</v>
          </cell>
          <cell r="AN86" t="str">
            <v xml:space="preserve">Done </v>
          </cell>
          <cell r="AO86">
            <v>22</v>
          </cell>
          <cell r="AP86">
            <v>44</v>
          </cell>
          <cell r="AQ86" t="str">
            <v>H+L</v>
          </cell>
          <cell r="AR86" t="str">
            <v>NA</v>
          </cell>
          <cell r="AS86">
            <v>130</v>
          </cell>
          <cell r="AT86">
            <v>55</v>
          </cell>
          <cell r="AU86" t="str">
            <v>FLAT</v>
          </cell>
          <cell r="AV86" t="str">
            <v>FLAT / BEACHSIDE SUN</v>
          </cell>
          <cell r="AW86" t="str">
            <v>DU-EXE</v>
          </cell>
          <cell r="AX86" t="str">
            <v>BEACHSIDE SUN</v>
          </cell>
          <cell r="AY86">
            <v>3420000</v>
          </cell>
          <cell r="AZ86">
            <v>4350000</v>
          </cell>
          <cell r="BA86">
            <v>0</v>
          </cell>
          <cell r="BB86">
            <v>4350000</v>
          </cell>
          <cell r="BC86">
            <v>466071.42857142858</v>
          </cell>
          <cell r="BD86">
            <v>3883928.5714285714</v>
          </cell>
        </row>
        <row r="87">
          <cell r="AD87" t="str">
            <v>ESE-01-023-001</v>
          </cell>
          <cell r="AE87" t="str">
            <v xml:space="preserve">Raemulan Lands, Inc. </v>
          </cell>
          <cell r="AF87" t="str">
            <v>Estanzia Enclave</v>
          </cell>
          <cell r="AG87" t="str">
            <v>ESE</v>
          </cell>
          <cell r="AH87" t="str">
            <v>Middle Income</v>
          </cell>
          <cell r="AI87" t="str">
            <v>01</v>
          </cell>
          <cell r="AJ87" t="str">
            <v>LOT ONLY</v>
          </cell>
          <cell r="AK87">
            <v>160</v>
          </cell>
          <cell r="AL87" t="str">
            <v>PCS-04-032688</v>
          </cell>
          <cell r="AM87" t="b">
            <v>1</v>
          </cell>
          <cell r="AN87" t="str">
            <v xml:space="preserve">Done </v>
          </cell>
          <cell r="AO87">
            <v>23</v>
          </cell>
          <cell r="AP87">
            <v>1</v>
          </cell>
          <cell r="AQ87" t="str">
            <v>LO</v>
          </cell>
          <cell r="AR87" t="str">
            <v>NA</v>
          </cell>
          <cell r="AS87">
            <v>160</v>
          </cell>
          <cell r="AT87" t="str">
            <v>N/A</v>
          </cell>
          <cell r="AU87" t="str">
            <v>NA</v>
          </cell>
          <cell r="AV87" t="str">
            <v>NA / NA</v>
          </cell>
          <cell r="AW87" t="str">
            <v>LO</v>
          </cell>
          <cell r="AX87" t="str">
            <v>NA</v>
          </cell>
          <cell r="AY87">
            <v>3420000</v>
          </cell>
          <cell r="AZ87">
            <v>2880000</v>
          </cell>
          <cell r="BA87">
            <v>0</v>
          </cell>
          <cell r="BB87">
            <v>2880000</v>
          </cell>
          <cell r="BC87">
            <v>308571.42857142858</v>
          </cell>
          <cell r="BD87">
            <v>2571428.5714285714</v>
          </cell>
        </row>
        <row r="88">
          <cell r="AD88" t="str">
            <v>ESE-01-023-002</v>
          </cell>
          <cell r="AE88" t="str">
            <v xml:space="preserve">Raemulan Lands, Inc. </v>
          </cell>
          <cell r="AF88" t="str">
            <v>Estanzia Enclave</v>
          </cell>
          <cell r="AG88" t="str">
            <v>ESE</v>
          </cell>
          <cell r="AH88" t="str">
            <v>Middle Income</v>
          </cell>
          <cell r="AI88" t="str">
            <v>01</v>
          </cell>
          <cell r="AJ88" t="str">
            <v>Batch 2 2025</v>
          </cell>
          <cell r="AK88">
            <v>90</v>
          </cell>
          <cell r="AL88" t="str">
            <v>PCS-04-032688</v>
          </cell>
          <cell r="AM88" t="b">
            <v>1</v>
          </cell>
          <cell r="AN88" t="str">
            <v xml:space="preserve">Done </v>
          </cell>
          <cell r="AO88">
            <v>23</v>
          </cell>
          <cell r="AP88">
            <v>2</v>
          </cell>
          <cell r="AQ88" t="str">
            <v>H+L</v>
          </cell>
          <cell r="AR88" t="str">
            <v>NA</v>
          </cell>
          <cell r="AS88">
            <v>90</v>
          </cell>
          <cell r="AT88">
            <v>55</v>
          </cell>
          <cell r="AU88" t="str">
            <v>FLAT</v>
          </cell>
          <cell r="AV88" t="str">
            <v>FLAT / HORIZON SUN</v>
          </cell>
          <cell r="AW88" t="str">
            <v>DU-EXE</v>
          </cell>
          <cell r="AX88" t="str">
            <v>HORIZON SUN</v>
          </cell>
          <cell r="AY88">
            <v>3420000</v>
          </cell>
          <cell r="AZ88">
            <v>3750000</v>
          </cell>
          <cell r="BA88">
            <v>0</v>
          </cell>
          <cell r="BB88">
            <v>3750000</v>
          </cell>
          <cell r="BC88">
            <v>401785.71428571426</v>
          </cell>
          <cell r="BD88">
            <v>3348214.2857142859</v>
          </cell>
        </row>
        <row r="89">
          <cell r="AD89" t="str">
            <v>ESE-01-023-003</v>
          </cell>
          <cell r="AE89" t="str">
            <v xml:space="preserve">Raemulan Lands, Inc. </v>
          </cell>
          <cell r="AF89" t="str">
            <v>Estanzia Enclave</v>
          </cell>
          <cell r="AG89" t="str">
            <v>ESE</v>
          </cell>
          <cell r="AH89" t="str">
            <v>Middle Income</v>
          </cell>
          <cell r="AI89" t="str">
            <v>01</v>
          </cell>
          <cell r="AJ89" t="str">
            <v>Batch 2 2025</v>
          </cell>
          <cell r="AK89">
            <v>90</v>
          </cell>
          <cell r="AL89" t="str">
            <v>PCS-04-032688</v>
          </cell>
          <cell r="AM89" t="b">
            <v>1</v>
          </cell>
          <cell r="AN89" t="str">
            <v xml:space="preserve">Done </v>
          </cell>
          <cell r="AO89">
            <v>23</v>
          </cell>
          <cell r="AP89">
            <v>3</v>
          </cell>
          <cell r="AQ89" t="str">
            <v>H+L</v>
          </cell>
          <cell r="AR89" t="str">
            <v>NA</v>
          </cell>
          <cell r="AS89">
            <v>90</v>
          </cell>
          <cell r="AT89">
            <v>55</v>
          </cell>
          <cell r="AU89" t="str">
            <v>SLANT</v>
          </cell>
          <cell r="AV89" t="str">
            <v>SLANT / HORIZON SUN</v>
          </cell>
          <cell r="AW89" t="str">
            <v>DU-EXE</v>
          </cell>
          <cell r="AX89" t="str">
            <v>HORIZON SUN</v>
          </cell>
          <cell r="AY89">
            <v>3420000</v>
          </cell>
          <cell r="AZ89">
            <v>3750000</v>
          </cell>
          <cell r="BA89">
            <v>0</v>
          </cell>
          <cell r="BB89">
            <v>3750000</v>
          </cell>
          <cell r="BC89">
            <v>401785.71428571426</v>
          </cell>
          <cell r="BD89">
            <v>3348214.2857142859</v>
          </cell>
        </row>
        <row r="90">
          <cell r="AD90" t="str">
            <v>ESE-01-023-004</v>
          </cell>
          <cell r="AE90" t="str">
            <v xml:space="preserve">Raemulan Lands, Inc. </v>
          </cell>
          <cell r="AF90" t="str">
            <v>Estanzia Enclave</v>
          </cell>
          <cell r="AG90" t="str">
            <v>ESE</v>
          </cell>
          <cell r="AH90" t="str">
            <v>Middle Income</v>
          </cell>
          <cell r="AI90" t="str">
            <v>01</v>
          </cell>
          <cell r="AJ90" t="str">
            <v>Batch 2 2025</v>
          </cell>
          <cell r="AK90">
            <v>80</v>
          </cell>
          <cell r="AL90" t="str">
            <v>PCS-04-032688</v>
          </cell>
          <cell r="AM90" t="b">
            <v>1</v>
          </cell>
          <cell r="AN90" t="str">
            <v xml:space="preserve">Done </v>
          </cell>
          <cell r="AO90">
            <v>23</v>
          </cell>
          <cell r="AP90">
            <v>4</v>
          </cell>
          <cell r="AQ90" t="str">
            <v>H+L</v>
          </cell>
          <cell r="AR90" t="str">
            <v>NA</v>
          </cell>
          <cell r="AS90">
            <v>80</v>
          </cell>
          <cell r="AT90">
            <v>55</v>
          </cell>
          <cell r="AU90" t="str">
            <v>SLANT</v>
          </cell>
          <cell r="AV90" t="str">
            <v>SLANT / HORIZON SUN</v>
          </cell>
          <cell r="AW90" t="str">
            <v>DU-EXE</v>
          </cell>
          <cell r="AX90" t="str">
            <v>HORIZON SUN</v>
          </cell>
          <cell r="AY90">
            <v>3600000</v>
          </cell>
          <cell r="AZ90">
            <v>3600000</v>
          </cell>
          <cell r="BA90">
            <v>432000</v>
          </cell>
          <cell r="BB90">
            <v>3168000</v>
          </cell>
          <cell r="BC90">
            <v>0</v>
          </cell>
          <cell r="BD90">
            <v>3168000</v>
          </cell>
        </row>
        <row r="91">
          <cell r="AD91" t="str">
            <v>ESE-01-023-005</v>
          </cell>
          <cell r="AE91" t="str">
            <v xml:space="preserve">Raemulan Lands, Inc. </v>
          </cell>
          <cell r="AF91" t="str">
            <v>Estanzia Enclave</v>
          </cell>
          <cell r="AG91" t="str">
            <v>ESE</v>
          </cell>
          <cell r="AH91" t="str">
            <v>Middle Income</v>
          </cell>
          <cell r="AI91" t="str">
            <v>01</v>
          </cell>
          <cell r="AJ91" t="str">
            <v>Batch 2 2025</v>
          </cell>
          <cell r="AK91">
            <v>80</v>
          </cell>
          <cell r="AL91" t="str">
            <v>PCS-04-032688</v>
          </cell>
          <cell r="AM91" t="b">
            <v>1</v>
          </cell>
          <cell r="AN91" t="str">
            <v xml:space="preserve">Done </v>
          </cell>
          <cell r="AO91">
            <v>23</v>
          </cell>
          <cell r="AP91">
            <v>5</v>
          </cell>
          <cell r="AQ91" t="str">
            <v>H+L</v>
          </cell>
          <cell r="AR91" t="str">
            <v>NA</v>
          </cell>
          <cell r="AS91">
            <v>80</v>
          </cell>
          <cell r="AT91">
            <v>55</v>
          </cell>
          <cell r="AU91" t="str">
            <v>FLAT</v>
          </cell>
          <cell r="AV91" t="str">
            <v>FLAT / HORIZON SUN</v>
          </cell>
          <cell r="AW91" t="str">
            <v>DU-EXE</v>
          </cell>
          <cell r="AX91" t="str">
            <v>HORIZON SUN</v>
          </cell>
          <cell r="AY91">
            <v>3420000</v>
          </cell>
          <cell r="AZ91">
            <v>3600000</v>
          </cell>
          <cell r="BA91">
            <v>432000</v>
          </cell>
          <cell r="BB91">
            <v>3168000</v>
          </cell>
          <cell r="BC91">
            <v>0</v>
          </cell>
          <cell r="BD91">
            <v>3168000</v>
          </cell>
        </row>
        <row r="92">
          <cell r="AD92" t="str">
            <v>ESE-01-023-006</v>
          </cell>
          <cell r="AE92" t="str">
            <v xml:space="preserve">Raemulan Lands, Inc. </v>
          </cell>
          <cell r="AF92" t="str">
            <v>Estanzia Enclave</v>
          </cell>
          <cell r="AG92" t="str">
            <v>ESE</v>
          </cell>
          <cell r="AH92" t="str">
            <v>Middle Income</v>
          </cell>
          <cell r="AI92" t="str">
            <v>01</v>
          </cell>
          <cell r="AJ92" t="str">
            <v>Batch 2 2025</v>
          </cell>
          <cell r="AK92">
            <v>80</v>
          </cell>
          <cell r="AL92" t="str">
            <v>PCS-04-032688</v>
          </cell>
          <cell r="AM92" t="b">
            <v>1</v>
          </cell>
          <cell r="AN92" t="str">
            <v xml:space="preserve">Done </v>
          </cell>
          <cell r="AO92">
            <v>23</v>
          </cell>
          <cell r="AP92">
            <v>6</v>
          </cell>
          <cell r="AQ92" t="str">
            <v>H+L</v>
          </cell>
          <cell r="AR92" t="str">
            <v>NA</v>
          </cell>
          <cell r="AS92">
            <v>80</v>
          </cell>
          <cell r="AT92">
            <v>55</v>
          </cell>
          <cell r="AU92" t="str">
            <v>FLAT</v>
          </cell>
          <cell r="AV92" t="str">
            <v>FLAT / BEACHSIDE SUN</v>
          </cell>
          <cell r="AW92" t="str">
            <v>DU-EXE</v>
          </cell>
          <cell r="AX92" t="str">
            <v>BEACHSIDE SUN</v>
          </cell>
          <cell r="AY92">
            <v>3420000</v>
          </cell>
          <cell r="AZ92">
            <v>3600000</v>
          </cell>
          <cell r="BA92">
            <v>0</v>
          </cell>
          <cell r="BB92">
            <v>3600000</v>
          </cell>
          <cell r="BC92">
            <v>0</v>
          </cell>
          <cell r="BD92">
            <v>3600000</v>
          </cell>
        </row>
        <row r="93">
          <cell r="AD93" t="str">
            <v>ESE-01-023-007</v>
          </cell>
          <cell r="AE93" t="str">
            <v xml:space="preserve">Raemulan Lands, Inc. </v>
          </cell>
          <cell r="AF93" t="str">
            <v>Estanzia Enclave</v>
          </cell>
          <cell r="AG93" t="str">
            <v>ESE</v>
          </cell>
          <cell r="AH93" t="str">
            <v>Middle Income</v>
          </cell>
          <cell r="AI93" t="str">
            <v>01</v>
          </cell>
          <cell r="AJ93" t="str">
            <v>Batch 2 2025</v>
          </cell>
          <cell r="AK93">
            <v>80</v>
          </cell>
          <cell r="AL93" t="str">
            <v>PCS-04-032688</v>
          </cell>
          <cell r="AM93" t="b">
            <v>1</v>
          </cell>
          <cell r="AN93" t="str">
            <v xml:space="preserve">Done </v>
          </cell>
          <cell r="AO93">
            <v>23</v>
          </cell>
          <cell r="AP93">
            <v>7</v>
          </cell>
          <cell r="AQ93" t="str">
            <v>H+L</v>
          </cell>
          <cell r="AR93" t="str">
            <v>NA</v>
          </cell>
          <cell r="AS93">
            <v>80</v>
          </cell>
          <cell r="AT93">
            <v>55</v>
          </cell>
          <cell r="AU93" t="str">
            <v>SLANT</v>
          </cell>
          <cell r="AV93" t="str">
            <v>SLANT / BEACHSIDE SUN</v>
          </cell>
          <cell r="AW93" t="str">
            <v>DU-EXE</v>
          </cell>
          <cell r="AX93" t="str">
            <v>BEACHSIDE SUN</v>
          </cell>
          <cell r="AY93">
            <v>3420000</v>
          </cell>
          <cell r="AZ93">
            <v>3600000</v>
          </cell>
          <cell r="BA93">
            <v>432000</v>
          </cell>
          <cell r="BB93">
            <v>3168000</v>
          </cell>
          <cell r="BC93">
            <v>0</v>
          </cell>
          <cell r="BD93">
            <v>3168000</v>
          </cell>
        </row>
        <row r="94">
          <cell r="AD94" t="str">
            <v>ESE-01-023-008</v>
          </cell>
          <cell r="AE94" t="str">
            <v xml:space="preserve">Raemulan Lands, Inc. </v>
          </cell>
          <cell r="AF94" t="str">
            <v>Estanzia Enclave</v>
          </cell>
          <cell r="AG94" t="str">
            <v>ESE</v>
          </cell>
          <cell r="AH94" t="str">
            <v>Middle Income</v>
          </cell>
          <cell r="AI94" t="str">
            <v>01</v>
          </cell>
          <cell r="AJ94" t="str">
            <v>Batch 2 2025</v>
          </cell>
          <cell r="AK94">
            <v>80</v>
          </cell>
          <cell r="AL94" t="str">
            <v>PCS-04-032688</v>
          </cell>
          <cell r="AM94" t="b">
            <v>1</v>
          </cell>
          <cell r="AN94" t="str">
            <v xml:space="preserve">Done </v>
          </cell>
          <cell r="AO94">
            <v>23</v>
          </cell>
          <cell r="AP94">
            <v>8</v>
          </cell>
          <cell r="AQ94" t="str">
            <v>H+L</v>
          </cell>
          <cell r="AR94" t="str">
            <v>NA</v>
          </cell>
          <cell r="AS94">
            <v>80</v>
          </cell>
          <cell r="AT94">
            <v>55</v>
          </cell>
          <cell r="AU94" t="str">
            <v>SLANT</v>
          </cell>
          <cell r="AV94" t="str">
            <v>SLANT / BEACHSIDE SUN</v>
          </cell>
          <cell r="AW94" t="str">
            <v>DU-EXE</v>
          </cell>
          <cell r="AX94" t="str">
            <v>BEACHSIDE SUN</v>
          </cell>
          <cell r="AY94">
            <v>3420000</v>
          </cell>
          <cell r="AZ94">
            <v>3600000</v>
          </cell>
          <cell r="BA94">
            <v>0</v>
          </cell>
          <cell r="BB94">
            <v>3600000</v>
          </cell>
          <cell r="BC94">
            <v>0</v>
          </cell>
          <cell r="BD94">
            <v>3600000</v>
          </cell>
        </row>
        <row r="95">
          <cell r="AD95" t="str">
            <v>ESE-01-023-009</v>
          </cell>
          <cell r="AE95" t="str">
            <v xml:space="preserve">Raemulan Lands, Inc. </v>
          </cell>
          <cell r="AF95" t="str">
            <v>Estanzia Enclave</v>
          </cell>
          <cell r="AG95" t="str">
            <v>ESE</v>
          </cell>
          <cell r="AH95" t="str">
            <v>Middle Income</v>
          </cell>
          <cell r="AI95" t="str">
            <v>01</v>
          </cell>
          <cell r="AJ95" t="str">
            <v>Batch 2 2025</v>
          </cell>
          <cell r="AK95">
            <v>80</v>
          </cell>
          <cell r="AL95" t="str">
            <v>PCS-04-032688</v>
          </cell>
          <cell r="AM95" t="b">
            <v>1</v>
          </cell>
          <cell r="AN95" t="str">
            <v xml:space="preserve">Done </v>
          </cell>
          <cell r="AO95">
            <v>23</v>
          </cell>
          <cell r="AP95">
            <v>9</v>
          </cell>
          <cell r="AQ95" t="str">
            <v>H+L</v>
          </cell>
          <cell r="AR95" t="str">
            <v>NA</v>
          </cell>
          <cell r="AS95">
            <v>80</v>
          </cell>
          <cell r="AT95">
            <v>55</v>
          </cell>
          <cell r="AU95" t="str">
            <v>FLAT</v>
          </cell>
          <cell r="AV95" t="str">
            <v>FLAT / BEACHSIDE SUN</v>
          </cell>
          <cell r="AW95" t="str">
            <v>DU-EXE</v>
          </cell>
          <cell r="AX95" t="str">
            <v>BEACHSIDE SUN</v>
          </cell>
          <cell r="AY95">
            <v>3600000</v>
          </cell>
          <cell r="AZ95">
            <v>3600000</v>
          </cell>
          <cell r="BA95">
            <v>432000</v>
          </cell>
          <cell r="BB95">
            <v>3168000</v>
          </cell>
          <cell r="BC95">
            <v>0</v>
          </cell>
          <cell r="BD95">
            <v>3168000</v>
          </cell>
        </row>
        <row r="96">
          <cell r="AD96" t="str">
            <v>ESE-01-023-010</v>
          </cell>
          <cell r="AE96" t="str">
            <v xml:space="preserve">Raemulan Lands, Inc. </v>
          </cell>
          <cell r="AF96" t="str">
            <v>Estanzia Enclave</v>
          </cell>
          <cell r="AG96" t="str">
            <v>ESE</v>
          </cell>
          <cell r="AH96" t="str">
            <v>Middle Income</v>
          </cell>
          <cell r="AI96" t="str">
            <v>01</v>
          </cell>
          <cell r="AJ96" t="str">
            <v>Batch 2 2025</v>
          </cell>
          <cell r="AK96">
            <v>80</v>
          </cell>
          <cell r="AL96" t="str">
            <v>PCS-04-032688</v>
          </cell>
          <cell r="AM96" t="b">
            <v>1</v>
          </cell>
          <cell r="AN96" t="str">
            <v xml:space="preserve">Done </v>
          </cell>
          <cell r="AO96">
            <v>23</v>
          </cell>
          <cell r="AP96">
            <v>10</v>
          </cell>
          <cell r="AQ96" t="str">
            <v>H+L</v>
          </cell>
          <cell r="AR96" t="str">
            <v>NA</v>
          </cell>
          <cell r="AS96">
            <v>80</v>
          </cell>
          <cell r="AT96">
            <v>55</v>
          </cell>
          <cell r="AU96" t="str">
            <v>FLAT</v>
          </cell>
          <cell r="AV96" t="str">
            <v>FLAT / HORIZON SUN</v>
          </cell>
          <cell r="AW96" t="str">
            <v>DU-EXE</v>
          </cell>
          <cell r="AX96" t="str">
            <v>HORIZON SUN</v>
          </cell>
          <cell r="AY96">
            <v>3420000</v>
          </cell>
          <cell r="AZ96">
            <v>3600000</v>
          </cell>
          <cell r="BA96">
            <v>0</v>
          </cell>
          <cell r="BB96">
            <v>3600000</v>
          </cell>
          <cell r="BC96">
            <v>0</v>
          </cell>
          <cell r="BD96">
            <v>3600000</v>
          </cell>
        </row>
        <row r="97">
          <cell r="AD97" t="str">
            <v>ESE-01-023-011</v>
          </cell>
          <cell r="AE97" t="str">
            <v xml:space="preserve">Raemulan Lands, Inc. </v>
          </cell>
          <cell r="AF97" t="str">
            <v>Estanzia Enclave</v>
          </cell>
          <cell r="AG97" t="str">
            <v>ESE</v>
          </cell>
          <cell r="AH97" t="str">
            <v>Middle Income</v>
          </cell>
          <cell r="AI97" t="str">
            <v>01</v>
          </cell>
          <cell r="AJ97" t="str">
            <v>Batch 2 2025</v>
          </cell>
          <cell r="AK97">
            <v>80</v>
          </cell>
          <cell r="AL97" t="str">
            <v>PCS-04-032688</v>
          </cell>
          <cell r="AM97" t="b">
            <v>1</v>
          </cell>
          <cell r="AN97" t="str">
            <v xml:space="preserve">Done </v>
          </cell>
          <cell r="AO97">
            <v>23</v>
          </cell>
          <cell r="AP97">
            <v>11</v>
          </cell>
          <cell r="AQ97" t="str">
            <v>H+L</v>
          </cell>
          <cell r="AR97" t="str">
            <v>NA</v>
          </cell>
          <cell r="AS97">
            <v>80</v>
          </cell>
          <cell r="AT97">
            <v>55</v>
          </cell>
          <cell r="AU97" t="str">
            <v>SLANT</v>
          </cell>
          <cell r="AV97" t="str">
            <v>SLANT / HORIZON SUN</v>
          </cell>
          <cell r="AW97" t="str">
            <v>DU-EXE</v>
          </cell>
          <cell r="AX97" t="str">
            <v>HORIZON SUN</v>
          </cell>
          <cell r="AY97">
            <v>3420000</v>
          </cell>
          <cell r="AZ97">
            <v>3600000</v>
          </cell>
          <cell r="BA97">
            <v>0</v>
          </cell>
          <cell r="BB97">
            <v>3600000</v>
          </cell>
          <cell r="BC97">
            <v>0</v>
          </cell>
          <cell r="BD97">
            <v>3600000</v>
          </cell>
        </row>
        <row r="98">
          <cell r="AD98" t="str">
            <v>ESE-01-023-012</v>
          </cell>
          <cell r="AE98" t="str">
            <v xml:space="preserve">Raemulan Lands, Inc. </v>
          </cell>
          <cell r="AF98" t="str">
            <v>Estanzia Enclave</v>
          </cell>
          <cell r="AG98" t="str">
            <v>ESE</v>
          </cell>
          <cell r="AH98" t="str">
            <v>Middle Income</v>
          </cell>
          <cell r="AI98" t="str">
            <v>01</v>
          </cell>
          <cell r="AJ98" t="str">
            <v>Batch 2 2025</v>
          </cell>
          <cell r="AK98">
            <v>80</v>
          </cell>
          <cell r="AL98" t="str">
            <v>PCS-04-032688</v>
          </cell>
          <cell r="AM98" t="b">
            <v>1</v>
          </cell>
          <cell r="AN98" t="str">
            <v xml:space="preserve">Done </v>
          </cell>
          <cell r="AO98">
            <v>23</v>
          </cell>
          <cell r="AP98">
            <v>12</v>
          </cell>
          <cell r="AQ98" t="str">
            <v>H+L</v>
          </cell>
          <cell r="AR98" t="str">
            <v>NA</v>
          </cell>
          <cell r="AS98">
            <v>80</v>
          </cell>
          <cell r="AT98">
            <v>55</v>
          </cell>
          <cell r="AU98" t="str">
            <v>SLANT</v>
          </cell>
          <cell r="AV98" t="str">
            <v>SLANT / HORIZON SUN</v>
          </cell>
          <cell r="AW98" t="str">
            <v>DU-EXE</v>
          </cell>
          <cell r="AX98" t="str">
            <v>HORIZON SUN</v>
          </cell>
          <cell r="AY98">
            <v>3420000</v>
          </cell>
          <cell r="AZ98">
            <v>3600000</v>
          </cell>
          <cell r="BA98">
            <v>0</v>
          </cell>
          <cell r="BB98">
            <v>3600000</v>
          </cell>
          <cell r="BC98">
            <v>0</v>
          </cell>
          <cell r="BD98">
            <v>3600000</v>
          </cell>
        </row>
        <row r="99">
          <cell r="AD99" t="str">
            <v>ESE-01-023-013</v>
          </cell>
          <cell r="AE99" t="str">
            <v xml:space="preserve">Raemulan Lands, Inc. </v>
          </cell>
          <cell r="AF99" t="str">
            <v>Estanzia Enclave</v>
          </cell>
          <cell r="AG99" t="str">
            <v>ESE</v>
          </cell>
          <cell r="AH99" t="str">
            <v>Middle Income</v>
          </cell>
          <cell r="AI99" t="str">
            <v>01</v>
          </cell>
          <cell r="AJ99" t="str">
            <v>Batch 2 2025</v>
          </cell>
          <cell r="AK99">
            <v>80</v>
          </cell>
          <cell r="AL99" t="str">
            <v>PCS-04-032688</v>
          </cell>
          <cell r="AM99" t="b">
            <v>1</v>
          </cell>
          <cell r="AN99" t="str">
            <v xml:space="preserve">Done </v>
          </cell>
          <cell r="AO99">
            <v>23</v>
          </cell>
          <cell r="AP99">
            <v>13</v>
          </cell>
          <cell r="AQ99" t="str">
            <v>H+L</v>
          </cell>
          <cell r="AR99" t="str">
            <v>NA</v>
          </cell>
          <cell r="AS99">
            <v>80</v>
          </cell>
          <cell r="AT99">
            <v>55</v>
          </cell>
          <cell r="AU99" t="str">
            <v>FLAT</v>
          </cell>
          <cell r="AV99" t="str">
            <v>FLAT / HORIZON SUN</v>
          </cell>
          <cell r="AW99" t="str">
            <v>DU-EXE</v>
          </cell>
          <cell r="AX99" t="str">
            <v>HORIZON SUN</v>
          </cell>
          <cell r="AY99">
            <v>3600000</v>
          </cell>
          <cell r="AZ99">
            <v>3600000</v>
          </cell>
          <cell r="BA99">
            <v>432000</v>
          </cell>
          <cell r="BB99">
            <v>3168000</v>
          </cell>
          <cell r="BC99">
            <v>0</v>
          </cell>
          <cell r="BD99">
            <v>3168000</v>
          </cell>
        </row>
        <row r="100">
          <cell r="AD100" t="str">
            <v>ESE-01-023-014</v>
          </cell>
          <cell r="AE100" t="str">
            <v xml:space="preserve">Raemulan Lands, Inc. </v>
          </cell>
          <cell r="AF100" t="str">
            <v>Estanzia Enclave</v>
          </cell>
          <cell r="AG100" t="str">
            <v>ESE</v>
          </cell>
          <cell r="AH100" t="str">
            <v>Middle Income</v>
          </cell>
          <cell r="AI100" t="str">
            <v>01</v>
          </cell>
          <cell r="AJ100" t="str">
            <v>Batch 2 2025</v>
          </cell>
          <cell r="AK100">
            <v>80</v>
          </cell>
          <cell r="AL100" t="str">
            <v>PCS-04-032688</v>
          </cell>
          <cell r="AM100" t="b">
            <v>1</v>
          </cell>
          <cell r="AN100" t="str">
            <v xml:space="preserve">Done </v>
          </cell>
          <cell r="AO100">
            <v>23</v>
          </cell>
          <cell r="AP100">
            <v>14</v>
          </cell>
          <cell r="AQ100" t="str">
            <v>H+L</v>
          </cell>
          <cell r="AR100" t="str">
            <v>NA</v>
          </cell>
          <cell r="AS100">
            <v>80</v>
          </cell>
          <cell r="AT100">
            <v>55</v>
          </cell>
          <cell r="AU100" t="str">
            <v>FLAT</v>
          </cell>
          <cell r="AV100" t="str">
            <v>FLAT / BEACHSIDE SUN</v>
          </cell>
          <cell r="AW100" t="str">
            <v>DU-EXE</v>
          </cell>
          <cell r="AX100" t="str">
            <v>BEACHSIDE SUN</v>
          </cell>
          <cell r="AY100">
            <v>3420000</v>
          </cell>
          <cell r="AZ100">
            <v>3600000</v>
          </cell>
          <cell r="BA100">
            <v>0</v>
          </cell>
          <cell r="BB100">
            <v>3600000</v>
          </cell>
          <cell r="BC100">
            <v>0</v>
          </cell>
          <cell r="BD100">
            <v>3600000</v>
          </cell>
        </row>
        <row r="101">
          <cell r="AD101" t="str">
            <v>ESE-01-023-015</v>
          </cell>
          <cell r="AE101" t="str">
            <v xml:space="preserve">Raemulan Lands, Inc. </v>
          </cell>
          <cell r="AF101" t="str">
            <v>Estanzia Enclave</v>
          </cell>
          <cell r="AG101" t="str">
            <v>ESE</v>
          </cell>
          <cell r="AH101" t="str">
            <v>Middle Income</v>
          </cell>
          <cell r="AI101" t="str">
            <v>01</v>
          </cell>
          <cell r="AJ101" t="str">
            <v>Batch 2 2025</v>
          </cell>
          <cell r="AK101">
            <v>80</v>
          </cell>
          <cell r="AL101" t="str">
            <v>PCS-04-032688</v>
          </cell>
          <cell r="AM101" t="b">
            <v>1</v>
          </cell>
          <cell r="AN101" t="str">
            <v xml:space="preserve">Done </v>
          </cell>
          <cell r="AO101">
            <v>23</v>
          </cell>
          <cell r="AP101">
            <v>15</v>
          </cell>
          <cell r="AQ101" t="str">
            <v>H+L</v>
          </cell>
          <cell r="AR101" t="str">
            <v>NA</v>
          </cell>
          <cell r="AS101">
            <v>80</v>
          </cell>
          <cell r="AT101">
            <v>55</v>
          </cell>
          <cell r="AU101" t="str">
            <v>SLANT</v>
          </cell>
          <cell r="AV101" t="str">
            <v>SLANT / BEACHSIDE SUN</v>
          </cell>
          <cell r="AW101" t="str">
            <v>DU-EXE</v>
          </cell>
          <cell r="AX101" t="str">
            <v>BEACHSIDE SUN</v>
          </cell>
          <cell r="AY101">
            <v>3420000</v>
          </cell>
          <cell r="AZ101">
            <v>3600000</v>
          </cell>
          <cell r="BA101">
            <v>0</v>
          </cell>
          <cell r="BB101">
            <v>3600000</v>
          </cell>
          <cell r="BC101">
            <v>0</v>
          </cell>
          <cell r="BD101">
            <v>3600000</v>
          </cell>
        </row>
        <row r="102">
          <cell r="AD102" t="str">
            <v>ESE-01-023-016</v>
          </cell>
          <cell r="AE102" t="str">
            <v xml:space="preserve">Raemulan Lands, Inc. </v>
          </cell>
          <cell r="AF102" t="str">
            <v>Estanzia Enclave</v>
          </cell>
          <cell r="AG102" t="str">
            <v>ESE</v>
          </cell>
          <cell r="AH102" t="str">
            <v>Middle Income</v>
          </cell>
          <cell r="AI102" t="str">
            <v>01</v>
          </cell>
          <cell r="AJ102" t="str">
            <v>Batch 2 2025</v>
          </cell>
          <cell r="AK102">
            <v>80</v>
          </cell>
          <cell r="AL102" t="str">
            <v>PCS-04-032688</v>
          </cell>
          <cell r="AM102" t="b">
            <v>1</v>
          </cell>
          <cell r="AN102" t="str">
            <v xml:space="preserve">Done </v>
          </cell>
          <cell r="AO102">
            <v>23</v>
          </cell>
          <cell r="AP102">
            <v>16</v>
          </cell>
          <cell r="AQ102" t="str">
            <v>H+L</v>
          </cell>
          <cell r="AR102" t="str">
            <v>NA</v>
          </cell>
          <cell r="AS102">
            <v>80</v>
          </cell>
          <cell r="AT102">
            <v>55</v>
          </cell>
          <cell r="AU102" t="str">
            <v>SLANT</v>
          </cell>
          <cell r="AV102" t="str">
            <v>SLANT / BEACHSIDE SUN</v>
          </cell>
          <cell r="AW102" t="str">
            <v>DU-EXE</v>
          </cell>
          <cell r="AX102" t="str">
            <v>BEACHSIDE SUN</v>
          </cell>
          <cell r="AY102">
            <v>3420000</v>
          </cell>
          <cell r="AZ102">
            <v>3600000</v>
          </cell>
          <cell r="BA102">
            <v>0</v>
          </cell>
          <cell r="BB102">
            <v>3600000</v>
          </cell>
          <cell r="BC102">
            <v>0</v>
          </cell>
          <cell r="BD102">
            <v>3600000</v>
          </cell>
        </row>
        <row r="103">
          <cell r="AD103" t="str">
            <v>ESE-01-023-017</v>
          </cell>
          <cell r="AE103" t="str">
            <v xml:space="preserve">Raemulan Lands, Inc. </v>
          </cell>
          <cell r="AF103" t="str">
            <v>Estanzia Enclave</v>
          </cell>
          <cell r="AG103" t="str">
            <v>ESE</v>
          </cell>
          <cell r="AH103" t="str">
            <v>Middle Income</v>
          </cell>
          <cell r="AI103" t="str">
            <v>01</v>
          </cell>
          <cell r="AJ103" t="str">
            <v>Batch 2 2025</v>
          </cell>
          <cell r="AK103">
            <v>110</v>
          </cell>
          <cell r="AL103" t="str">
            <v>PCS-04-032688</v>
          </cell>
          <cell r="AM103" t="b">
            <v>1</v>
          </cell>
          <cell r="AN103" t="str">
            <v xml:space="preserve">Done </v>
          </cell>
          <cell r="AO103">
            <v>23</v>
          </cell>
          <cell r="AP103">
            <v>17</v>
          </cell>
          <cell r="AQ103" t="str">
            <v>H+L</v>
          </cell>
          <cell r="AR103" t="str">
            <v>NA</v>
          </cell>
          <cell r="AS103">
            <v>110</v>
          </cell>
          <cell r="AT103">
            <v>55</v>
          </cell>
          <cell r="AU103" t="str">
            <v>FLAT</v>
          </cell>
          <cell r="AV103" t="str">
            <v>FLAT / BEACHSIDE SUN</v>
          </cell>
          <cell r="AW103" t="str">
            <v>DU-EXE</v>
          </cell>
          <cell r="AX103" t="str">
            <v>BEACHSIDE SUN</v>
          </cell>
          <cell r="AY103">
            <v>3960714.2857142859</v>
          </cell>
          <cell r="AZ103">
            <v>4050000</v>
          </cell>
          <cell r="BA103">
            <v>100000</v>
          </cell>
          <cell r="BB103">
            <v>3950000</v>
          </cell>
          <cell r="BC103">
            <v>423214.28571428574</v>
          </cell>
          <cell r="BD103">
            <v>3526785.7142857141</v>
          </cell>
        </row>
        <row r="104">
          <cell r="AD104" t="str">
            <v>ESE-01-023-018</v>
          </cell>
          <cell r="AE104" t="str">
            <v xml:space="preserve">Raemulan Lands, Inc. </v>
          </cell>
          <cell r="AF104" t="str">
            <v>Estanzia Enclave</v>
          </cell>
          <cell r="AG104" t="str">
            <v>ESE</v>
          </cell>
          <cell r="AH104" t="str">
            <v>Middle Income</v>
          </cell>
          <cell r="AI104" t="str">
            <v>01</v>
          </cell>
          <cell r="AJ104" t="str">
            <v>Batch 2 2025</v>
          </cell>
          <cell r="AK104">
            <v>104</v>
          </cell>
          <cell r="AL104" t="str">
            <v>PCS-04-032688</v>
          </cell>
          <cell r="AM104" t="b">
            <v>1</v>
          </cell>
          <cell r="AN104" t="str">
            <v xml:space="preserve">Done </v>
          </cell>
          <cell r="AO104">
            <v>23</v>
          </cell>
          <cell r="AP104">
            <v>18</v>
          </cell>
          <cell r="AQ104" t="str">
            <v>H+L</v>
          </cell>
          <cell r="AR104" t="str">
            <v>NA</v>
          </cell>
          <cell r="AS104">
            <v>104</v>
          </cell>
          <cell r="AT104">
            <v>55</v>
          </cell>
          <cell r="AU104" t="str">
            <v>FLAT</v>
          </cell>
          <cell r="AV104" t="str">
            <v>FLAT / HORIZON SUN</v>
          </cell>
          <cell r="AW104" t="str">
            <v>DU-EXE</v>
          </cell>
          <cell r="AX104" t="str">
            <v>HORIZON SUN</v>
          </cell>
          <cell r="AY104">
            <v>3871428.5714285714</v>
          </cell>
          <cell r="AZ104">
            <v>3960000</v>
          </cell>
          <cell r="BA104">
            <v>100000</v>
          </cell>
          <cell r="BB104">
            <v>3860000</v>
          </cell>
          <cell r="BC104">
            <v>413571.42857142858</v>
          </cell>
          <cell r="BD104">
            <v>3446428.5714285714</v>
          </cell>
        </row>
        <row r="105">
          <cell r="AD105" t="str">
            <v>ESE-01-023-019</v>
          </cell>
          <cell r="AE105" t="str">
            <v xml:space="preserve">Raemulan Lands, Inc. </v>
          </cell>
          <cell r="AF105" t="str">
            <v>Estanzia Enclave</v>
          </cell>
          <cell r="AG105" t="str">
            <v>ESE</v>
          </cell>
          <cell r="AH105" t="str">
            <v>Middle Income</v>
          </cell>
          <cell r="AI105" t="str">
            <v>01</v>
          </cell>
          <cell r="AJ105" t="str">
            <v>Batch 2 2025</v>
          </cell>
          <cell r="AK105">
            <v>80</v>
          </cell>
          <cell r="AL105" t="str">
            <v>PCS-04-032688</v>
          </cell>
          <cell r="AM105" t="b">
            <v>1</v>
          </cell>
          <cell r="AN105" t="str">
            <v xml:space="preserve">Done </v>
          </cell>
          <cell r="AO105">
            <v>23</v>
          </cell>
          <cell r="AP105">
            <v>19</v>
          </cell>
          <cell r="AQ105" t="str">
            <v>H+L</v>
          </cell>
          <cell r="AR105" t="str">
            <v>NA</v>
          </cell>
          <cell r="AS105">
            <v>80</v>
          </cell>
          <cell r="AT105">
            <v>55</v>
          </cell>
          <cell r="AU105" t="str">
            <v>SLANT</v>
          </cell>
          <cell r="AV105" t="str">
            <v>SLANT / HORIZON SUN</v>
          </cell>
          <cell r="AW105" t="str">
            <v>DU-EXE</v>
          </cell>
          <cell r="AX105" t="str">
            <v>HORIZON SUN</v>
          </cell>
          <cell r="AY105">
            <v>3420000</v>
          </cell>
          <cell r="AZ105">
            <v>3600000</v>
          </cell>
          <cell r="BA105">
            <v>0</v>
          </cell>
          <cell r="BB105">
            <v>3600000</v>
          </cell>
          <cell r="BC105">
            <v>0</v>
          </cell>
          <cell r="BD105">
            <v>3600000</v>
          </cell>
        </row>
        <row r="106">
          <cell r="AD106" t="str">
            <v>ESE-01-023-020</v>
          </cell>
          <cell r="AE106" t="str">
            <v xml:space="preserve">Raemulan Lands, Inc. </v>
          </cell>
          <cell r="AF106" t="str">
            <v>Estanzia Enclave</v>
          </cell>
          <cell r="AG106" t="str">
            <v>ESE</v>
          </cell>
          <cell r="AH106" t="str">
            <v>Middle Income</v>
          </cell>
          <cell r="AI106" t="str">
            <v>01</v>
          </cell>
          <cell r="AJ106" t="str">
            <v>Batch 2 2025</v>
          </cell>
          <cell r="AK106">
            <v>80</v>
          </cell>
          <cell r="AL106" t="str">
            <v>PCS-04-032688</v>
          </cell>
          <cell r="AM106" t="b">
            <v>1</v>
          </cell>
          <cell r="AN106" t="str">
            <v xml:space="preserve">Done </v>
          </cell>
          <cell r="AO106">
            <v>23</v>
          </cell>
          <cell r="AP106">
            <v>20</v>
          </cell>
          <cell r="AQ106" t="str">
            <v>H+L</v>
          </cell>
          <cell r="AR106" t="str">
            <v>NA</v>
          </cell>
          <cell r="AS106">
            <v>80</v>
          </cell>
          <cell r="AT106">
            <v>55</v>
          </cell>
          <cell r="AU106" t="str">
            <v>SLANT</v>
          </cell>
          <cell r="AV106" t="str">
            <v>SLANT / HORIZON SUN</v>
          </cell>
          <cell r="AW106" t="str">
            <v>DU-EXE</v>
          </cell>
          <cell r="AX106" t="str">
            <v>HORIZON SUN</v>
          </cell>
          <cell r="AY106">
            <v>3600000</v>
          </cell>
          <cell r="AZ106">
            <v>3600000</v>
          </cell>
          <cell r="BA106">
            <v>432000</v>
          </cell>
          <cell r="BB106">
            <v>3168000</v>
          </cell>
          <cell r="BC106">
            <v>0</v>
          </cell>
          <cell r="BD106">
            <v>3168000</v>
          </cell>
        </row>
        <row r="107">
          <cell r="AD107" t="str">
            <v>ESE-01-023-021</v>
          </cell>
          <cell r="AE107" t="str">
            <v xml:space="preserve">Raemulan Lands, Inc. </v>
          </cell>
          <cell r="AF107" t="str">
            <v>Estanzia Enclave</v>
          </cell>
          <cell r="AG107" t="str">
            <v>ESE</v>
          </cell>
          <cell r="AH107" t="str">
            <v>Middle Income</v>
          </cell>
          <cell r="AI107" t="str">
            <v>01</v>
          </cell>
          <cell r="AJ107" t="str">
            <v>Batch 2 2025</v>
          </cell>
          <cell r="AK107">
            <v>80</v>
          </cell>
          <cell r="AL107" t="str">
            <v>PCS-04-032688</v>
          </cell>
          <cell r="AM107" t="b">
            <v>1</v>
          </cell>
          <cell r="AN107" t="str">
            <v xml:space="preserve">Done </v>
          </cell>
          <cell r="AO107">
            <v>23</v>
          </cell>
          <cell r="AP107">
            <v>21</v>
          </cell>
          <cell r="AQ107" t="str">
            <v>H+L</v>
          </cell>
          <cell r="AR107" t="str">
            <v>NA</v>
          </cell>
          <cell r="AS107">
            <v>80</v>
          </cell>
          <cell r="AT107">
            <v>55</v>
          </cell>
          <cell r="AU107" t="str">
            <v>FLAT</v>
          </cell>
          <cell r="AV107" t="str">
            <v>FLAT / HORIZON SUN</v>
          </cell>
          <cell r="AW107" t="str">
            <v>DU-EXE</v>
          </cell>
          <cell r="AX107" t="str">
            <v>HORIZON SUN</v>
          </cell>
          <cell r="AY107">
            <v>3600000</v>
          </cell>
          <cell r="AZ107">
            <v>3600000</v>
          </cell>
          <cell r="BA107">
            <v>432000</v>
          </cell>
          <cell r="BB107">
            <v>3168000</v>
          </cell>
          <cell r="BC107">
            <v>0</v>
          </cell>
          <cell r="BD107">
            <v>3168000</v>
          </cell>
        </row>
        <row r="108">
          <cell r="AD108" t="str">
            <v>ESE-01-023-022</v>
          </cell>
          <cell r="AE108" t="str">
            <v xml:space="preserve">Raemulan Lands, Inc. </v>
          </cell>
          <cell r="AF108" t="str">
            <v>Estanzia Enclave</v>
          </cell>
          <cell r="AG108" t="str">
            <v>ESE</v>
          </cell>
          <cell r="AH108" t="str">
            <v>Middle Income</v>
          </cell>
          <cell r="AI108" t="str">
            <v>01</v>
          </cell>
          <cell r="AJ108" t="str">
            <v>Batch 2 2025</v>
          </cell>
          <cell r="AK108">
            <v>80</v>
          </cell>
          <cell r="AL108" t="str">
            <v>PCS-04-032688</v>
          </cell>
          <cell r="AM108" t="b">
            <v>1</v>
          </cell>
          <cell r="AN108" t="str">
            <v xml:space="preserve">Done </v>
          </cell>
          <cell r="AO108">
            <v>23</v>
          </cell>
          <cell r="AP108">
            <v>22</v>
          </cell>
          <cell r="AQ108" t="str">
            <v>H+L</v>
          </cell>
          <cell r="AR108" t="str">
            <v>NA</v>
          </cell>
          <cell r="AS108">
            <v>80</v>
          </cell>
          <cell r="AT108">
            <v>55</v>
          </cell>
          <cell r="AU108" t="str">
            <v>FLAT</v>
          </cell>
          <cell r="AV108" t="str">
            <v>FLAT / BEACHSIDE SUN</v>
          </cell>
          <cell r="AW108" t="str">
            <v>DU-EXE</v>
          </cell>
          <cell r="AX108" t="str">
            <v>BEACHSIDE SUN</v>
          </cell>
          <cell r="AY108">
            <v>3600000</v>
          </cell>
          <cell r="AZ108">
            <v>3600000</v>
          </cell>
          <cell r="BA108">
            <v>432000</v>
          </cell>
          <cell r="BB108">
            <v>3168000</v>
          </cell>
          <cell r="BC108">
            <v>0</v>
          </cell>
          <cell r="BD108">
            <v>3168000</v>
          </cell>
        </row>
        <row r="109">
          <cell r="AD109" t="str">
            <v>ESE-01-023-023</v>
          </cell>
          <cell r="AE109" t="str">
            <v xml:space="preserve">Raemulan Lands, Inc. </v>
          </cell>
          <cell r="AF109" t="str">
            <v>Estanzia Enclave</v>
          </cell>
          <cell r="AG109" t="str">
            <v>ESE</v>
          </cell>
          <cell r="AH109" t="str">
            <v>Middle Income</v>
          </cell>
          <cell r="AI109" t="str">
            <v>01</v>
          </cell>
          <cell r="AJ109" t="str">
            <v>Batch 2 2025</v>
          </cell>
          <cell r="AK109">
            <v>80</v>
          </cell>
          <cell r="AL109" t="str">
            <v>PCS-04-032688</v>
          </cell>
          <cell r="AM109" t="b">
            <v>1</v>
          </cell>
          <cell r="AN109" t="str">
            <v xml:space="preserve">Done </v>
          </cell>
          <cell r="AO109">
            <v>23</v>
          </cell>
          <cell r="AP109">
            <v>23</v>
          </cell>
          <cell r="AQ109" t="str">
            <v>H+L</v>
          </cell>
          <cell r="AR109" t="str">
            <v>NA</v>
          </cell>
          <cell r="AS109">
            <v>80</v>
          </cell>
          <cell r="AT109">
            <v>55</v>
          </cell>
          <cell r="AU109" t="str">
            <v>SLANT</v>
          </cell>
          <cell r="AV109" t="str">
            <v>SLANT / BEACHSIDE SUN</v>
          </cell>
          <cell r="AW109" t="str">
            <v>DU-EXE</v>
          </cell>
          <cell r="AX109" t="str">
            <v>BEACHSIDE SUN</v>
          </cell>
          <cell r="AY109">
            <v>3600000</v>
          </cell>
          <cell r="AZ109">
            <v>3600000</v>
          </cell>
          <cell r="BA109">
            <v>432000</v>
          </cell>
          <cell r="BB109">
            <v>3168000</v>
          </cell>
          <cell r="BC109">
            <v>0</v>
          </cell>
          <cell r="BD109">
            <v>3168000</v>
          </cell>
        </row>
        <row r="110">
          <cell r="AD110" t="str">
            <v>ESE-01-023-024</v>
          </cell>
          <cell r="AE110" t="str">
            <v xml:space="preserve">Raemulan Lands, Inc. </v>
          </cell>
          <cell r="AF110" t="str">
            <v>Estanzia Enclave</v>
          </cell>
          <cell r="AG110" t="str">
            <v>ESE</v>
          </cell>
          <cell r="AH110" t="str">
            <v>Middle Income</v>
          </cell>
          <cell r="AI110" t="str">
            <v>01</v>
          </cell>
          <cell r="AJ110" t="str">
            <v>Batch 2 2025</v>
          </cell>
          <cell r="AK110">
            <v>80</v>
          </cell>
          <cell r="AL110" t="str">
            <v>PCS-04-032688</v>
          </cell>
          <cell r="AM110" t="b">
            <v>1</v>
          </cell>
          <cell r="AN110" t="str">
            <v xml:space="preserve">Done </v>
          </cell>
          <cell r="AO110">
            <v>23</v>
          </cell>
          <cell r="AP110">
            <v>24</v>
          </cell>
          <cell r="AQ110" t="str">
            <v>H+L</v>
          </cell>
          <cell r="AR110" t="str">
            <v>NA</v>
          </cell>
          <cell r="AS110">
            <v>80</v>
          </cell>
          <cell r="AT110">
            <v>55</v>
          </cell>
          <cell r="AU110" t="str">
            <v>SLANT</v>
          </cell>
          <cell r="AV110" t="str">
            <v>SLANT / BEACHSIDE SUN</v>
          </cell>
          <cell r="AW110" t="str">
            <v>DU-EXE</v>
          </cell>
          <cell r="AX110" t="str">
            <v>BEACHSIDE SUN</v>
          </cell>
          <cell r="AY110">
            <v>3600000</v>
          </cell>
          <cell r="AZ110">
            <v>3600000</v>
          </cell>
          <cell r="BA110">
            <v>432000</v>
          </cell>
          <cell r="BB110">
            <v>3168000</v>
          </cell>
          <cell r="BC110">
            <v>0</v>
          </cell>
          <cell r="BD110">
            <v>3168000</v>
          </cell>
        </row>
        <row r="111">
          <cell r="AD111" t="str">
            <v>ESE-01-023-025</v>
          </cell>
          <cell r="AE111" t="str">
            <v xml:space="preserve">Raemulan Lands, Inc. </v>
          </cell>
          <cell r="AF111" t="str">
            <v>Estanzia Enclave</v>
          </cell>
          <cell r="AG111" t="str">
            <v>ESE</v>
          </cell>
          <cell r="AH111" t="str">
            <v>Middle Income</v>
          </cell>
          <cell r="AI111" t="str">
            <v>01</v>
          </cell>
          <cell r="AJ111" t="str">
            <v>Batch 2 2025</v>
          </cell>
          <cell r="AK111">
            <v>80</v>
          </cell>
          <cell r="AL111" t="str">
            <v>PCS-04-032688</v>
          </cell>
          <cell r="AM111" t="b">
            <v>1</v>
          </cell>
          <cell r="AN111" t="str">
            <v xml:space="preserve">Done </v>
          </cell>
          <cell r="AO111">
            <v>23</v>
          </cell>
          <cell r="AP111">
            <v>25</v>
          </cell>
          <cell r="AQ111" t="str">
            <v>H+L</v>
          </cell>
          <cell r="AR111" t="str">
            <v>NA</v>
          </cell>
          <cell r="AS111">
            <v>80</v>
          </cell>
          <cell r="AT111">
            <v>55</v>
          </cell>
          <cell r="AU111" t="str">
            <v>FLAT</v>
          </cell>
          <cell r="AV111" t="str">
            <v>FLAT / BEACHSIDE SUN</v>
          </cell>
          <cell r="AW111" t="str">
            <v>DU-EXE</v>
          </cell>
          <cell r="AX111" t="str">
            <v>BEACHSIDE SUN</v>
          </cell>
          <cell r="AY111">
            <v>3600000</v>
          </cell>
          <cell r="AZ111">
            <v>3600000</v>
          </cell>
          <cell r="BA111">
            <v>432000</v>
          </cell>
          <cell r="BB111">
            <v>3168000</v>
          </cell>
          <cell r="BC111">
            <v>0</v>
          </cell>
          <cell r="BD111">
            <v>3168000</v>
          </cell>
        </row>
        <row r="112">
          <cell r="AD112" t="str">
            <v>ESE-01-023-026</v>
          </cell>
          <cell r="AE112" t="str">
            <v xml:space="preserve">Raemulan Lands, Inc. </v>
          </cell>
          <cell r="AF112" t="str">
            <v>Estanzia Enclave</v>
          </cell>
          <cell r="AG112" t="str">
            <v>ESE</v>
          </cell>
          <cell r="AH112" t="str">
            <v>Middle Income</v>
          </cell>
          <cell r="AI112" t="str">
            <v>01</v>
          </cell>
          <cell r="AJ112" t="str">
            <v>Batch 2 2025</v>
          </cell>
          <cell r="AK112">
            <v>80</v>
          </cell>
          <cell r="AL112" t="str">
            <v>PCS-04-032688</v>
          </cell>
          <cell r="AM112" t="b">
            <v>1</v>
          </cell>
          <cell r="AN112" t="str">
            <v xml:space="preserve">Done </v>
          </cell>
          <cell r="AO112">
            <v>23</v>
          </cell>
          <cell r="AP112">
            <v>26</v>
          </cell>
          <cell r="AQ112" t="str">
            <v>H+L</v>
          </cell>
          <cell r="AR112" t="str">
            <v>NA</v>
          </cell>
          <cell r="AS112">
            <v>80</v>
          </cell>
          <cell r="AT112">
            <v>55</v>
          </cell>
          <cell r="AU112" t="str">
            <v>FLAT</v>
          </cell>
          <cell r="AV112" t="str">
            <v>FLAT / HORIZON SUN</v>
          </cell>
          <cell r="AW112" t="str">
            <v>DU-EXE</v>
          </cell>
          <cell r="AX112" t="str">
            <v>HORIZON SUN</v>
          </cell>
          <cell r="AY112">
            <v>3600000</v>
          </cell>
          <cell r="AZ112">
            <v>3600000</v>
          </cell>
          <cell r="BA112">
            <v>432000</v>
          </cell>
          <cell r="BB112">
            <v>3168000</v>
          </cell>
          <cell r="BC112">
            <v>0</v>
          </cell>
          <cell r="BD112">
            <v>3168000</v>
          </cell>
        </row>
        <row r="113">
          <cell r="AD113" t="str">
            <v>ESE-01-023-027</v>
          </cell>
          <cell r="AE113" t="str">
            <v xml:space="preserve">Raemulan Lands, Inc. </v>
          </cell>
          <cell r="AF113" t="str">
            <v>Estanzia Enclave</v>
          </cell>
          <cell r="AG113" t="str">
            <v>ESE</v>
          </cell>
          <cell r="AH113" t="str">
            <v>Middle Income</v>
          </cell>
          <cell r="AI113" t="str">
            <v>01</v>
          </cell>
          <cell r="AJ113" t="str">
            <v>Batch 2 2025</v>
          </cell>
          <cell r="AK113">
            <v>80</v>
          </cell>
          <cell r="AL113" t="str">
            <v>PCS-04-032688</v>
          </cell>
          <cell r="AM113" t="b">
            <v>1</v>
          </cell>
          <cell r="AN113" t="str">
            <v xml:space="preserve">Done </v>
          </cell>
          <cell r="AO113">
            <v>23</v>
          </cell>
          <cell r="AP113">
            <v>27</v>
          </cell>
          <cell r="AQ113" t="str">
            <v>H+L</v>
          </cell>
          <cell r="AR113" t="str">
            <v>NA</v>
          </cell>
          <cell r="AS113">
            <v>80</v>
          </cell>
          <cell r="AT113">
            <v>55</v>
          </cell>
          <cell r="AU113" t="str">
            <v>SLANT</v>
          </cell>
          <cell r="AV113" t="str">
            <v>SLANT / HORIZON SUN</v>
          </cell>
          <cell r="AW113" t="str">
            <v>DU-EXE</v>
          </cell>
          <cell r="AX113" t="str">
            <v>HORIZON SUN</v>
          </cell>
          <cell r="AY113">
            <v>3420000</v>
          </cell>
          <cell r="AZ113">
            <v>3600000</v>
          </cell>
          <cell r="BA113">
            <v>432000</v>
          </cell>
          <cell r="BB113">
            <v>3168000</v>
          </cell>
          <cell r="BC113">
            <v>0</v>
          </cell>
          <cell r="BD113">
            <v>3168000</v>
          </cell>
        </row>
        <row r="114">
          <cell r="AD114" t="str">
            <v>ESE-01-023-028</v>
          </cell>
          <cell r="AE114" t="str">
            <v xml:space="preserve">Raemulan Lands, Inc. </v>
          </cell>
          <cell r="AF114" t="str">
            <v>Estanzia Enclave</v>
          </cell>
          <cell r="AG114" t="str">
            <v>ESE</v>
          </cell>
          <cell r="AH114" t="str">
            <v>Middle Income</v>
          </cell>
          <cell r="AI114" t="str">
            <v>01</v>
          </cell>
          <cell r="AJ114" t="str">
            <v>Batch 2 2025</v>
          </cell>
          <cell r="AK114">
            <v>80</v>
          </cell>
          <cell r="AL114" t="str">
            <v>PCS-04-032688</v>
          </cell>
          <cell r="AM114" t="b">
            <v>1</v>
          </cell>
          <cell r="AN114" t="str">
            <v xml:space="preserve">Done </v>
          </cell>
          <cell r="AO114">
            <v>23</v>
          </cell>
          <cell r="AP114">
            <v>28</v>
          </cell>
          <cell r="AQ114" t="str">
            <v>H+L</v>
          </cell>
          <cell r="AR114" t="str">
            <v>NA</v>
          </cell>
          <cell r="AS114">
            <v>80</v>
          </cell>
          <cell r="AT114">
            <v>55</v>
          </cell>
          <cell r="AU114" t="str">
            <v>SLANT</v>
          </cell>
          <cell r="AV114" t="str">
            <v>SLANT / HORIZON SUN</v>
          </cell>
          <cell r="AW114" t="str">
            <v>DU-EXE</v>
          </cell>
          <cell r="AX114" t="str">
            <v>HORIZON SUN</v>
          </cell>
          <cell r="AY114">
            <v>3600000</v>
          </cell>
          <cell r="AZ114">
            <v>3600000</v>
          </cell>
          <cell r="BA114">
            <v>432000</v>
          </cell>
          <cell r="BB114">
            <v>3168000</v>
          </cell>
          <cell r="BC114">
            <v>0</v>
          </cell>
          <cell r="BD114">
            <v>3168000</v>
          </cell>
        </row>
        <row r="115">
          <cell r="AD115" t="str">
            <v>ESE-01-023-029</v>
          </cell>
          <cell r="AE115" t="str">
            <v xml:space="preserve">Raemulan Lands, Inc. </v>
          </cell>
          <cell r="AF115" t="str">
            <v>Estanzia Enclave</v>
          </cell>
          <cell r="AG115" t="str">
            <v>ESE</v>
          </cell>
          <cell r="AH115" t="str">
            <v>Middle Income</v>
          </cell>
          <cell r="AI115" t="str">
            <v>01</v>
          </cell>
          <cell r="AJ115" t="str">
            <v>Batch 2 2025</v>
          </cell>
          <cell r="AK115">
            <v>80</v>
          </cell>
          <cell r="AL115" t="str">
            <v>PCS-04-032688</v>
          </cell>
          <cell r="AM115" t="b">
            <v>1</v>
          </cell>
          <cell r="AN115" t="str">
            <v xml:space="preserve">Done </v>
          </cell>
          <cell r="AO115">
            <v>23</v>
          </cell>
          <cell r="AP115">
            <v>29</v>
          </cell>
          <cell r="AQ115" t="str">
            <v>H+L</v>
          </cell>
          <cell r="AR115" t="str">
            <v>NA</v>
          </cell>
          <cell r="AS115">
            <v>80</v>
          </cell>
          <cell r="AT115">
            <v>55</v>
          </cell>
          <cell r="AU115" t="str">
            <v>FLAT</v>
          </cell>
          <cell r="AV115" t="str">
            <v>FLAT / HORIZON SUN</v>
          </cell>
          <cell r="AW115" t="str">
            <v>DU-EXE</v>
          </cell>
          <cell r="AX115" t="str">
            <v>HORIZON SUN</v>
          </cell>
          <cell r="AY115">
            <v>3600000</v>
          </cell>
          <cell r="AZ115">
            <v>3600000</v>
          </cell>
          <cell r="BA115">
            <v>432000</v>
          </cell>
          <cell r="BB115">
            <v>3168000</v>
          </cell>
          <cell r="BC115">
            <v>0</v>
          </cell>
          <cell r="BD115">
            <v>3168000</v>
          </cell>
        </row>
        <row r="116">
          <cell r="AD116" t="str">
            <v>ESE-01-023-030</v>
          </cell>
          <cell r="AE116" t="str">
            <v xml:space="preserve">Raemulan Lands, Inc. </v>
          </cell>
          <cell r="AF116" t="str">
            <v>Estanzia Enclave</v>
          </cell>
          <cell r="AG116" t="str">
            <v>ESE</v>
          </cell>
          <cell r="AH116" t="str">
            <v>Middle Income</v>
          </cell>
          <cell r="AI116" t="str">
            <v>01</v>
          </cell>
          <cell r="AJ116" t="str">
            <v>Batch 2 2025</v>
          </cell>
          <cell r="AK116">
            <v>80</v>
          </cell>
          <cell r="AL116" t="str">
            <v>PCS-04-032688</v>
          </cell>
          <cell r="AM116" t="b">
            <v>1</v>
          </cell>
          <cell r="AN116" t="str">
            <v xml:space="preserve">Done </v>
          </cell>
          <cell r="AO116">
            <v>23</v>
          </cell>
          <cell r="AP116">
            <v>30</v>
          </cell>
          <cell r="AQ116" t="str">
            <v>H+L</v>
          </cell>
          <cell r="AR116" t="str">
            <v>NA</v>
          </cell>
          <cell r="AS116">
            <v>80</v>
          </cell>
          <cell r="AT116">
            <v>55</v>
          </cell>
          <cell r="AU116" t="str">
            <v>FLAT</v>
          </cell>
          <cell r="AV116" t="str">
            <v>FLAT / BEACHSIDE SUN</v>
          </cell>
          <cell r="AW116" t="str">
            <v>DU-EXE</v>
          </cell>
          <cell r="AX116" t="str">
            <v>BEACHSIDE SUN</v>
          </cell>
          <cell r="AY116">
            <v>3600000</v>
          </cell>
          <cell r="AZ116">
            <v>3600000</v>
          </cell>
          <cell r="BA116">
            <v>432000</v>
          </cell>
          <cell r="BB116">
            <v>3168000</v>
          </cell>
          <cell r="BC116">
            <v>0</v>
          </cell>
          <cell r="BD116">
            <v>3168000</v>
          </cell>
        </row>
        <row r="117">
          <cell r="AD117" t="str">
            <v>ESE-01-023-031</v>
          </cell>
          <cell r="AE117" t="str">
            <v xml:space="preserve">Raemulan Lands, Inc. </v>
          </cell>
          <cell r="AF117" t="str">
            <v>Estanzia Enclave</v>
          </cell>
          <cell r="AG117" t="str">
            <v>ESE</v>
          </cell>
          <cell r="AH117" t="str">
            <v>Middle Income</v>
          </cell>
          <cell r="AI117" t="str">
            <v>01</v>
          </cell>
          <cell r="AJ117" t="str">
            <v>Batch 2 2025</v>
          </cell>
          <cell r="AK117">
            <v>100</v>
          </cell>
          <cell r="AL117" t="str">
            <v>PCS-04-032688</v>
          </cell>
          <cell r="AM117" t="b">
            <v>1</v>
          </cell>
          <cell r="AN117" t="str">
            <v xml:space="preserve">Done </v>
          </cell>
          <cell r="AO117">
            <v>23</v>
          </cell>
          <cell r="AP117">
            <v>31</v>
          </cell>
          <cell r="AQ117" t="str">
            <v>H+L</v>
          </cell>
          <cell r="AR117" t="str">
            <v>NA</v>
          </cell>
          <cell r="AS117">
            <v>100</v>
          </cell>
          <cell r="AT117">
            <v>55</v>
          </cell>
          <cell r="AU117" t="str">
            <v>SLANT</v>
          </cell>
          <cell r="AV117" t="str">
            <v>SLANT / BEACHSIDE SUN</v>
          </cell>
          <cell r="AW117" t="str">
            <v>DU-EXE</v>
          </cell>
          <cell r="AX117" t="str">
            <v>BEACHSIDE SUN</v>
          </cell>
          <cell r="AY117">
            <v>3810714.2857142859</v>
          </cell>
          <cell r="AZ117">
            <v>3900000</v>
          </cell>
          <cell r="BA117">
            <v>100000</v>
          </cell>
          <cell r="BB117">
            <v>3800000</v>
          </cell>
          <cell r="BC117">
            <v>407142.85714285716</v>
          </cell>
          <cell r="BD117">
            <v>3392857.1428571427</v>
          </cell>
        </row>
        <row r="118">
          <cell r="AD118" t="str">
            <v>ESE-01-023-032</v>
          </cell>
          <cell r="AE118" t="str">
            <v xml:space="preserve">Raemulan Lands, Inc. </v>
          </cell>
          <cell r="AF118" t="str">
            <v>Estanzia Enclave</v>
          </cell>
          <cell r="AG118" t="str">
            <v>ESE</v>
          </cell>
          <cell r="AH118" t="str">
            <v>Middle Income</v>
          </cell>
          <cell r="AI118" t="str">
            <v>01</v>
          </cell>
          <cell r="AJ118" t="str">
            <v>LOT ONLY</v>
          </cell>
          <cell r="AK118">
            <v>128</v>
          </cell>
          <cell r="AL118" t="str">
            <v>PCS-04-032688</v>
          </cell>
          <cell r="AM118" t="b">
            <v>1</v>
          </cell>
          <cell r="AN118" t="str">
            <v xml:space="preserve">Done </v>
          </cell>
          <cell r="AO118">
            <v>23</v>
          </cell>
          <cell r="AP118">
            <v>32</v>
          </cell>
          <cell r="AQ118" t="str">
            <v>LO</v>
          </cell>
          <cell r="AR118" t="str">
            <v>NA</v>
          </cell>
          <cell r="AS118">
            <v>128</v>
          </cell>
          <cell r="AT118" t="str">
            <v>N/A</v>
          </cell>
          <cell r="AU118" t="str">
            <v>NA</v>
          </cell>
          <cell r="AV118" t="str">
            <v>NA / NA</v>
          </cell>
          <cell r="AW118" t="str">
            <v>LO</v>
          </cell>
          <cell r="AX118" t="str">
            <v>NA</v>
          </cell>
          <cell r="AY118">
            <v>3420000</v>
          </cell>
          <cell r="AZ118">
            <v>2304000</v>
          </cell>
          <cell r="BA118">
            <v>0</v>
          </cell>
          <cell r="BB118">
            <v>2304000</v>
          </cell>
          <cell r="BC118">
            <v>246857.14285714287</v>
          </cell>
          <cell r="BD118">
            <v>2057142.857142857</v>
          </cell>
        </row>
        <row r="119">
          <cell r="AD119" t="str">
            <v>ESE-01-024-001</v>
          </cell>
          <cell r="AE119" t="str">
            <v xml:space="preserve">Raemulan Lands, Inc. </v>
          </cell>
          <cell r="AF119" t="str">
            <v>Estanzia Enclave</v>
          </cell>
          <cell r="AG119" t="str">
            <v>ESE</v>
          </cell>
          <cell r="AH119" t="str">
            <v>Middle Income</v>
          </cell>
          <cell r="AI119" t="str">
            <v>01</v>
          </cell>
          <cell r="AJ119" t="str">
            <v>LOT ONLY</v>
          </cell>
          <cell r="AK119">
            <v>150</v>
          </cell>
          <cell r="AL119" t="str">
            <v>PCS-04-032688</v>
          </cell>
          <cell r="AM119" t="b">
            <v>1</v>
          </cell>
          <cell r="AN119" t="str">
            <v xml:space="preserve">Done </v>
          </cell>
          <cell r="AO119">
            <v>24</v>
          </cell>
          <cell r="AP119">
            <v>1</v>
          </cell>
          <cell r="AQ119" t="str">
            <v>LO</v>
          </cell>
          <cell r="AR119" t="str">
            <v>NA</v>
          </cell>
          <cell r="AS119">
            <v>150</v>
          </cell>
          <cell r="AT119" t="str">
            <v>N/A</v>
          </cell>
          <cell r="AU119" t="str">
            <v>NA</v>
          </cell>
          <cell r="AV119" t="str">
            <v>NA / NA</v>
          </cell>
          <cell r="AW119" t="str">
            <v>LO</v>
          </cell>
          <cell r="AX119" t="str">
            <v>NA</v>
          </cell>
          <cell r="AY119">
            <v>3420000</v>
          </cell>
          <cell r="AZ119">
            <v>2700000</v>
          </cell>
          <cell r="BA119">
            <v>0</v>
          </cell>
          <cell r="BB119">
            <v>2700000</v>
          </cell>
          <cell r="BC119">
            <v>289285.71428571426</v>
          </cell>
          <cell r="BD119">
            <v>2410714.2857142859</v>
          </cell>
        </row>
        <row r="120">
          <cell r="AD120" t="str">
            <v>ESE-01-024-002</v>
          </cell>
          <cell r="AE120" t="str">
            <v xml:space="preserve">Raemulan Lands, Inc. </v>
          </cell>
          <cell r="AF120" t="str">
            <v>Estanzia Enclave</v>
          </cell>
          <cell r="AG120" t="str">
            <v>ESE</v>
          </cell>
          <cell r="AH120" t="str">
            <v>Middle Income</v>
          </cell>
          <cell r="AI120" t="str">
            <v>01</v>
          </cell>
          <cell r="AJ120" t="str">
            <v>Batch 2 2025</v>
          </cell>
          <cell r="AK120">
            <v>80</v>
          </cell>
          <cell r="AL120" t="str">
            <v>PCS-04-032688</v>
          </cell>
          <cell r="AM120" t="b">
            <v>1</v>
          </cell>
          <cell r="AN120" t="str">
            <v xml:space="preserve">Done </v>
          </cell>
          <cell r="AO120">
            <v>24</v>
          </cell>
          <cell r="AP120">
            <v>2</v>
          </cell>
          <cell r="AQ120" t="str">
            <v>H+L</v>
          </cell>
          <cell r="AR120" t="str">
            <v>NA</v>
          </cell>
          <cell r="AS120">
            <v>80</v>
          </cell>
          <cell r="AT120">
            <v>55</v>
          </cell>
          <cell r="AU120" t="str">
            <v>SLANT</v>
          </cell>
          <cell r="AV120" t="str">
            <v>SLANT / BEACHSIDE SUN</v>
          </cell>
          <cell r="AW120" t="str">
            <v>DU-EXE</v>
          </cell>
          <cell r="AX120" t="str">
            <v>BEACHSIDE SUN</v>
          </cell>
          <cell r="AY120">
            <v>3420000</v>
          </cell>
          <cell r="AZ120">
            <v>3600000</v>
          </cell>
          <cell r="BA120">
            <v>0</v>
          </cell>
          <cell r="BB120">
            <v>3600000</v>
          </cell>
          <cell r="BC120">
            <v>0</v>
          </cell>
          <cell r="BD120">
            <v>3600000</v>
          </cell>
        </row>
        <row r="121">
          <cell r="AD121" t="str">
            <v>ESE-01-024-003</v>
          </cell>
          <cell r="AE121" t="str">
            <v xml:space="preserve">Raemulan Lands, Inc. </v>
          </cell>
          <cell r="AF121" t="str">
            <v>Estanzia Enclave</v>
          </cell>
          <cell r="AG121" t="str">
            <v>ESE</v>
          </cell>
          <cell r="AH121" t="str">
            <v>Middle Income</v>
          </cell>
          <cell r="AI121" t="str">
            <v>01</v>
          </cell>
          <cell r="AJ121" t="str">
            <v>Batch 2 2025</v>
          </cell>
          <cell r="AK121">
            <v>80</v>
          </cell>
          <cell r="AL121" t="str">
            <v>PCS-04-032688</v>
          </cell>
          <cell r="AM121" t="b">
            <v>1</v>
          </cell>
          <cell r="AN121" t="str">
            <v xml:space="preserve">Done </v>
          </cell>
          <cell r="AO121">
            <v>24</v>
          </cell>
          <cell r="AP121">
            <v>3</v>
          </cell>
          <cell r="AQ121" t="str">
            <v>H+L</v>
          </cell>
          <cell r="AR121" t="str">
            <v>NA</v>
          </cell>
          <cell r="AS121">
            <v>80</v>
          </cell>
          <cell r="AT121">
            <v>55</v>
          </cell>
          <cell r="AU121" t="str">
            <v>FLAT</v>
          </cell>
          <cell r="AV121" t="str">
            <v>FLAT / BEACHSIDE SUN</v>
          </cell>
          <cell r="AW121" t="str">
            <v>DU-EXE</v>
          </cell>
          <cell r="AX121" t="str">
            <v>BEACHSIDE SUN</v>
          </cell>
          <cell r="AY121">
            <v>3420000</v>
          </cell>
          <cell r="AZ121">
            <v>3600000</v>
          </cell>
          <cell r="BA121">
            <v>0</v>
          </cell>
          <cell r="BB121">
            <v>3600000</v>
          </cell>
          <cell r="BC121">
            <v>0</v>
          </cell>
          <cell r="BD121">
            <v>3600000</v>
          </cell>
        </row>
        <row r="122">
          <cell r="AD122" t="str">
            <v>ESE-01-024-004</v>
          </cell>
          <cell r="AE122" t="str">
            <v xml:space="preserve">Raemulan Lands, Inc. </v>
          </cell>
          <cell r="AF122" t="str">
            <v>Estanzia Enclave</v>
          </cell>
          <cell r="AG122" t="str">
            <v>ESE</v>
          </cell>
          <cell r="AH122" t="str">
            <v>Middle Income</v>
          </cell>
          <cell r="AI122" t="str">
            <v>01</v>
          </cell>
          <cell r="AJ122" t="str">
            <v>Batch 1 2025</v>
          </cell>
          <cell r="AK122">
            <v>80</v>
          </cell>
          <cell r="AL122" t="str">
            <v>PCS-04-032688</v>
          </cell>
          <cell r="AM122" t="b">
            <v>1</v>
          </cell>
          <cell r="AN122" t="str">
            <v xml:space="preserve">Done </v>
          </cell>
          <cell r="AO122">
            <v>24</v>
          </cell>
          <cell r="AP122">
            <v>4</v>
          </cell>
          <cell r="AQ122" t="str">
            <v>H+L</v>
          </cell>
          <cell r="AR122" t="str">
            <v>NA</v>
          </cell>
          <cell r="AS122">
            <v>80</v>
          </cell>
          <cell r="AT122">
            <v>55</v>
          </cell>
          <cell r="AU122" t="str">
            <v>FLAT</v>
          </cell>
          <cell r="AV122" t="str">
            <v>FLAT / BEACHSIDE SUN</v>
          </cell>
          <cell r="AW122" t="str">
            <v>DU-EXE</v>
          </cell>
          <cell r="AX122" t="str">
            <v>BEACHSIDE SUN</v>
          </cell>
          <cell r="AY122">
            <v>3420000</v>
          </cell>
          <cell r="AZ122">
            <v>3600000</v>
          </cell>
          <cell r="BA122">
            <v>0</v>
          </cell>
          <cell r="BB122">
            <v>3600000</v>
          </cell>
          <cell r="BC122">
            <v>0</v>
          </cell>
          <cell r="BD122">
            <v>3600000</v>
          </cell>
        </row>
        <row r="123">
          <cell r="AD123" t="str">
            <v>ESE-01-024-005</v>
          </cell>
          <cell r="AE123" t="str">
            <v xml:space="preserve">Raemulan Lands, Inc. </v>
          </cell>
          <cell r="AF123" t="str">
            <v>Estanzia Enclave</v>
          </cell>
          <cell r="AG123" t="str">
            <v>ESE</v>
          </cell>
          <cell r="AH123" t="str">
            <v>Middle Income</v>
          </cell>
          <cell r="AI123" t="str">
            <v>01</v>
          </cell>
          <cell r="AJ123" t="str">
            <v>Batch 1 2025</v>
          </cell>
          <cell r="AK123">
            <v>80</v>
          </cell>
          <cell r="AL123" t="str">
            <v>PCS-04-032688</v>
          </cell>
          <cell r="AM123" t="b">
            <v>1</v>
          </cell>
          <cell r="AN123" t="str">
            <v xml:space="preserve">Done </v>
          </cell>
          <cell r="AO123">
            <v>24</v>
          </cell>
          <cell r="AP123">
            <v>5</v>
          </cell>
          <cell r="AQ123" t="str">
            <v>H+L</v>
          </cell>
          <cell r="AR123" t="str">
            <v>NA</v>
          </cell>
          <cell r="AS123">
            <v>80</v>
          </cell>
          <cell r="AT123">
            <v>55</v>
          </cell>
          <cell r="AU123" t="str">
            <v>SLANT</v>
          </cell>
          <cell r="AV123" t="str">
            <v>SLANT / BEACHSIDE SUN</v>
          </cell>
          <cell r="AW123" t="str">
            <v>DU-EXE</v>
          </cell>
          <cell r="AX123" t="str">
            <v>BEACHSIDE SUN</v>
          </cell>
          <cell r="AY123">
            <v>3420000</v>
          </cell>
          <cell r="AZ123">
            <v>3600000</v>
          </cell>
          <cell r="BA123">
            <v>0</v>
          </cell>
          <cell r="BB123">
            <v>3600000</v>
          </cell>
          <cell r="BC123">
            <v>0</v>
          </cell>
          <cell r="BD123">
            <v>3600000</v>
          </cell>
        </row>
        <row r="124">
          <cell r="AD124" t="str">
            <v>ESE-01-024-006</v>
          </cell>
          <cell r="AE124" t="str">
            <v xml:space="preserve">Raemulan Lands, Inc. </v>
          </cell>
          <cell r="AF124" t="str">
            <v>Estanzia Enclave</v>
          </cell>
          <cell r="AG124" t="str">
            <v>ESE</v>
          </cell>
          <cell r="AH124" t="str">
            <v>Middle Income</v>
          </cell>
          <cell r="AI124" t="str">
            <v>01</v>
          </cell>
          <cell r="AJ124" t="str">
            <v>Batch 1 2025</v>
          </cell>
          <cell r="AK124">
            <v>80</v>
          </cell>
          <cell r="AL124" t="str">
            <v>PCS-04-032688</v>
          </cell>
          <cell r="AM124" t="b">
            <v>1</v>
          </cell>
          <cell r="AN124" t="str">
            <v xml:space="preserve">Done </v>
          </cell>
          <cell r="AO124">
            <v>24</v>
          </cell>
          <cell r="AP124">
            <v>6</v>
          </cell>
          <cell r="AQ124" t="str">
            <v>H+L</v>
          </cell>
          <cell r="AR124" t="str">
            <v>NA</v>
          </cell>
          <cell r="AS124">
            <v>80</v>
          </cell>
          <cell r="AT124">
            <v>55</v>
          </cell>
          <cell r="AU124" t="str">
            <v>SLANT</v>
          </cell>
          <cell r="AV124" t="str">
            <v>SLANT / HORIZON SUN</v>
          </cell>
          <cell r="AW124" t="str">
            <v>DU-EXE</v>
          </cell>
          <cell r="AX124" t="str">
            <v>HORIZON SUN</v>
          </cell>
          <cell r="AY124">
            <v>3420000</v>
          </cell>
          <cell r="AZ124">
            <v>3600000</v>
          </cell>
          <cell r="BA124">
            <v>0</v>
          </cell>
          <cell r="BB124">
            <v>3600000</v>
          </cell>
          <cell r="BC124">
            <v>0</v>
          </cell>
          <cell r="BD124">
            <v>3600000</v>
          </cell>
        </row>
        <row r="125">
          <cell r="AD125" t="str">
            <v>ESE-01-024-007</v>
          </cell>
          <cell r="AE125" t="str">
            <v xml:space="preserve">Raemulan Lands, Inc. </v>
          </cell>
          <cell r="AF125" t="str">
            <v>Estanzia Enclave</v>
          </cell>
          <cell r="AG125" t="str">
            <v>ESE</v>
          </cell>
          <cell r="AH125" t="str">
            <v>Middle Income</v>
          </cell>
          <cell r="AI125" t="str">
            <v>01</v>
          </cell>
          <cell r="AJ125" t="str">
            <v>Batch 1 2025</v>
          </cell>
          <cell r="AK125">
            <v>80</v>
          </cell>
          <cell r="AL125" t="str">
            <v>PCS-04-032688</v>
          </cell>
          <cell r="AM125" t="b">
            <v>1</v>
          </cell>
          <cell r="AN125" t="str">
            <v xml:space="preserve">Done </v>
          </cell>
          <cell r="AO125">
            <v>24</v>
          </cell>
          <cell r="AP125">
            <v>7</v>
          </cell>
          <cell r="AQ125" t="str">
            <v>H+L</v>
          </cell>
          <cell r="AR125" t="str">
            <v>NA</v>
          </cell>
          <cell r="AS125">
            <v>80</v>
          </cell>
          <cell r="AT125">
            <v>55</v>
          </cell>
          <cell r="AU125" t="str">
            <v>FLAT</v>
          </cell>
          <cell r="AV125" t="str">
            <v>FLAT / HORIZON SUN</v>
          </cell>
          <cell r="AW125" t="str">
            <v>DU-EXE</v>
          </cell>
          <cell r="AX125" t="str">
            <v>HORIZON SUN</v>
          </cell>
          <cell r="AY125">
            <v>3420000</v>
          </cell>
          <cell r="AZ125">
            <v>3600000</v>
          </cell>
          <cell r="BA125">
            <v>0</v>
          </cell>
          <cell r="BB125">
            <v>3600000</v>
          </cell>
          <cell r="BC125">
            <v>0</v>
          </cell>
          <cell r="BD125">
            <v>3600000</v>
          </cell>
        </row>
        <row r="126">
          <cell r="AD126" t="str">
            <v>ESE-01-024-008</v>
          </cell>
          <cell r="AE126" t="str">
            <v xml:space="preserve">Raemulan Lands, Inc. </v>
          </cell>
          <cell r="AF126" t="str">
            <v>Estanzia Enclave</v>
          </cell>
          <cell r="AG126" t="str">
            <v>ESE</v>
          </cell>
          <cell r="AH126" t="str">
            <v>Middle Income</v>
          </cell>
          <cell r="AI126" t="str">
            <v>01</v>
          </cell>
          <cell r="AJ126" t="str">
            <v>Batch 1 2025</v>
          </cell>
          <cell r="AK126">
            <v>80</v>
          </cell>
          <cell r="AL126" t="str">
            <v>PCS-04-032688</v>
          </cell>
          <cell r="AM126" t="b">
            <v>1</v>
          </cell>
          <cell r="AN126" t="str">
            <v xml:space="preserve">Done </v>
          </cell>
          <cell r="AO126">
            <v>24</v>
          </cell>
          <cell r="AP126">
            <v>8</v>
          </cell>
          <cell r="AQ126" t="str">
            <v>H+L</v>
          </cell>
          <cell r="AR126" t="str">
            <v>NA</v>
          </cell>
          <cell r="AS126">
            <v>80</v>
          </cell>
          <cell r="AT126">
            <v>55</v>
          </cell>
          <cell r="AU126" t="str">
            <v>FLAT</v>
          </cell>
          <cell r="AV126" t="str">
            <v>FLAT / HORIZON SUN</v>
          </cell>
          <cell r="AW126" t="str">
            <v>DU-EXE</v>
          </cell>
          <cell r="AX126" t="str">
            <v>HORIZON SUN</v>
          </cell>
          <cell r="AY126">
            <v>3600000</v>
          </cell>
          <cell r="AZ126">
            <v>3600000</v>
          </cell>
          <cell r="BA126">
            <v>432000</v>
          </cell>
          <cell r="BB126">
            <v>3168000</v>
          </cell>
          <cell r="BC126">
            <v>0</v>
          </cell>
          <cell r="BD126">
            <v>3168000</v>
          </cell>
        </row>
        <row r="127">
          <cell r="AD127" t="str">
            <v>ESE-01-024-009</v>
          </cell>
          <cell r="AE127" t="str">
            <v xml:space="preserve">Raemulan Lands, Inc. </v>
          </cell>
          <cell r="AF127" t="str">
            <v>Estanzia Enclave</v>
          </cell>
          <cell r="AG127" t="str">
            <v>ESE</v>
          </cell>
          <cell r="AH127" t="str">
            <v>Middle Income</v>
          </cell>
          <cell r="AI127" t="str">
            <v>01</v>
          </cell>
          <cell r="AJ127" t="str">
            <v>Batch 1 2025</v>
          </cell>
          <cell r="AK127">
            <v>80</v>
          </cell>
          <cell r="AL127" t="str">
            <v>PCS-04-032688</v>
          </cell>
          <cell r="AM127" t="b">
            <v>1</v>
          </cell>
          <cell r="AN127" t="str">
            <v xml:space="preserve">Done </v>
          </cell>
          <cell r="AO127">
            <v>24</v>
          </cell>
          <cell r="AP127">
            <v>9</v>
          </cell>
          <cell r="AQ127" t="str">
            <v>H+L</v>
          </cell>
          <cell r="AR127" t="str">
            <v>NA</v>
          </cell>
          <cell r="AS127">
            <v>80</v>
          </cell>
          <cell r="AT127">
            <v>55</v>
          </cell>
          <cell r="AU127" t="str">
            <v>SLANT</v>
          </cell>
          <cell r="AV127" t="str">
            <v>SLANT / HORIZON SUN</v>
          </cell>
          <cell r="AW127" t="str">
            <v>DU-EXE</v>
          </cell>
          <cell r="AX127" t="str">
            <v>HORIZON SUN</v>
          </cell>
          <cell r="AY127">
            <v>3600000</v>
          </cell>
          <cell r="AZ127">
            <v>3600000</v>
          </cell>
          <cell r="BA127">
            <v>432000</v>
          </cell>
          <cell r="BB127">
            <v>3168000</v>
          </cell>
          <cell r="BC127">
            <v>0</v>
          </cell>
          <cell r="BD127">
            <v>3168000</v>
          </cell>
        </row>
        <row r="128">
          <cell r="AD128" t="str">
            <v>ESE-01-024-010</v>
          </cell>
          <cell r="AE128" t="str">
            <v xml:space="preserve">Raemulan Lands, Inc. </v>
          </cell>
          <cell r="AF128" t="str">
            <v>Estanzia Enclave</v>
          </cell>
          <cell r="AG128" t="str">
            <v>ESE</v>
          </cell>
          <cell r="AH128" t="str">
            <v>Middle Income</v>
          </cell>
          <cell r="AI128" t="str">
            <v>01</v>
          </cell>
          <cell r="AJ128" t="str">
            <v>Batch 1 2025</v>
          </cell>
          <cell r="AK128">
            <v>80</v>
          </cell>
          <cell r="AL128" t="str">
            <v>PCS-04-032688</v>
          </cell>
          <cell r="AM128" t="b">
            <v>1</v>
          </cell>
          <cell r="AN128" t="str">
            <v xml:space="preserve">Done </v>
          </cell>
          <cell r="AO128">
            <v>24</v>
          </cell>
          <cell r="AP128">
            <v>10</v>
          </cell>
          <cell r="AQ128" t="str">
            <v>H+L</v>
          </cell>
          <cell r="AR128" t="str">
            <v>NA</v>
          </cell>
          <cell r="AS128">
            <v>80</v>
          </cell>
          <cell r="AT128">
            <v>55</v>
          </cell>
          <cell r="AU128" t="str">
            <v>SLANT</v>
          </cell>
          <cell r="AV128" t="str">
            <v>SLANT / BEACHSIDE SUN</v>
          </cell>
          <cell r="AW128" t="str">
            <v>DU-EXE</v>
          </cell>
          <cell r="AX128" t="str">
            <v>BEACHSIDE SUN</v>
          </cell>
          <cell r="AY128">
            <v>3600000</v>
          </cell>
          <cell r="AZ128">
            <v>3600000</v>
          </cell>
          <cell r="BA128">
            <v>432000</v>
          </cell>
          <cell r="BB128">
            <v>3168000</v>
          </cell>
          <cell r="BC128">
            <v>0</v>
          </cell>
          <cell r="BD128">
            <v>3168000</v>
          </cell>
        </row>
        <row r="129">
          <cell r="AD129" t="str">
            <v>ESE-01-024-011</v>
          </cell>
          <cell r="AE129" t="str">
            <v xml:space="preserve">Raemulan Lands, Inc. </v>
          </cell>
          <cell r="AF129" t="str">
            <v>Estanzia Enclave</v>
          </cell>
          <cell r="AG129" t="str">
            <v>ESE</v>
          </cell>
          <cell r="AH129" t="str">
            <v>Middle Income</v>
          </cell>
          <cell r="AI129" t="str">
            <v>01</v>
          </cell>
          <cell r="AJ129" t="str">
            <v>Batch 1 2025</v>
          </cell>
          <cell r="AK129">
            <v>90</v>
          </cell>
          <cell r="AL129" t="str">
            <v>PCS-04-032688</v>
          </cell>
          <cell r="AM129" t="b">
            <v>1</v>
          </cell>
          <cell r="AN129" t="str">
            <v xml:space="preserve">Done </v>
          </cell>
          <cell r="AO129">
            <v>24</v>
          </cell>
          <cell r="AP129">
            <v>11</v>
          </cell>
          <cell r="AQ129" t="str">
            <v>H+L</v>
          </cell>
          <cell r="AR129" t="str">
            <v>NA</v>
          </cell>
          <cell r="AS129">
            <v>90</v>
          </cell>
          <cell r="AT129">
            <v>55</v>
          </cell>
          <cell r="AU129" t="str">
            <v>FLAT</v>
          </cell>
          <cell r="AV129" t="str">
            <v>FLAT / BEACHSIDE SUN</v>
          </cell>
          <cell r="AW129" t="str">
            <v>DU-EXE</v>
          </cell>
          <cell r="AX129" t="str">
            <v>BEACHSIDE SUN</v>
          </cell>
          <cell r="AY129">
            <v>3420000</v>
          </cell>
          <cell r="AZ129">
            <v>3945000</v>
          </cell>
          <cell r="BA129">
            <v>0</v>
          </cell>
          <cell r="BB129">
            <v>3945000</v>
          </cell>
          <cell r="BC129">
            <v>422678.57142857142</v>
          </cell>
          <cell r="BD129">
            <v>3522321.4285714286</v>
          </cell>
        </row>
        <row r="130">
          <cell r="AD130" t="str">
            <v>ESE-01-024-015</v>
          </cell>
          <cell r="AE130" t="str">
            <v xml:space="preserve">Raemulan Lands, Inc. </v>
          </cell>
          <cell r="AF130" t="str">
            <v>Estanzia Enclave</v>
          </cell>
          <cell r="AG130" t="str">
            <v>ESE</v>
          </cell>
          <cell r="AH130" t="str">
            <v>Middle Income</v>
          </cell>
          <cell r="AI130" t="str">
            <v>01</v>
          </cell>
          <cell r="AJ130" t="str">
            <v>Batch 1 2025</v>
          </cell>
          <cell r="AK130">
            <v>107</v>
          </cell>
          <cell r="AL130" t="str">
            <v>PCS-04-032688</v>
          </cell>
          <cell r="AM130" t="b">
            <v>1</v>
          </cell>
          <cell r="AN130" t="str">
            <v xml:space="preserve">Done </v>
          </cell>
          <cell r="AO130">
            <v>24</v>
          </cell>
          <cell r="AP130">
            <v>15</v>
          </cell>
          <cell r="AQ130" t="str">
            <v>H+L</v>
          </cell>
          <cell r="AR130" t="str">
            <v>NA</v>
          </cell>
          <cell r="AS130">
            <v>107</v>
          </cell>
          <cell r="AT130">
            <v>55</v>
          </cell>
          <cell r="AU130" t="str">
            <v>FLAT</v>
          </cell>
          <cell r="AV130" t="str">
            <v>FLAT / HORIZON SUN</v>
          </cell>
          <cell r="AW130" t="str">
            <v>DU-EXE</v>
          </cell>
          <cell r="AX130" t="str">
            <v>HORIZON SUN</v>
          </cell>
          <cell r="AY130">
            <v>3916071.4285714286</v>
          </cell>
          <cell r="AZ130">
            <v>4005000</v>
          </cell>
          <cell r="BA130">
            <v>100000</v>
          </cell>
          <cell r="BB130">
            <v>3905000</v>
          </cell>
          <cell r="BC130">
            <v>418392.85714285716</v>
          </cell>
          <cell r="BD130">
            <v>3486607.1428571427</v>
          </cell>
        </row>
        <row r="131">
          <cell r="AD131" t="str">
            <v>ESE-01-024-016</v>
          </cell>
          <cell r="AE131" t="str">
            <v xml:space="preserve">Raemulan Lands, Inc. </v>
          </cell>
          <cell r="AF131" t="str">
            <v>Estanzia Enclave</v>
          </cell>
          <cell r="AG131" t="str">
            <v>ESE</v>
          </cell>
          <cell r="AH131" t="str">
            <v>Middle Income</v>
          </cell>
          <cell r="AI131" t="str">
            <v>01</v>
          </cell>
          <cell r="AJ131" t="str">
            <v>Batch 1 2025</v>
          </cell>
          <cell r="AK131">
            <v>80</v>
          </cell>
          <cell r="AL131" t="str">
            <v>PCS-04-032688</v>
          </cell>
          <cell r="AM131" t="b">
            <v>1</v>
          </cell>
          <cell r="AN131" t="str">
            <v xml:space="preserve">Done </v>
          </cell>
          <cell r="AO131">
            <v>24</v>
          </cell>
          <cell r="AP131">
            <v>16</v>
          </cell>
          <cell r="AQ131" t="str">
            <v>H+L</v>
          </cell>
          <cell r="AR131" t="str">
            <v>NA</v>
          </cell>
          <cell r="AS131">
            <v>80</v>
          </cell>
          <cell r="AT131">
            <v>55</v>
          </cell>
          <cell r="AU131" t="str">
            <v>SLANT</v>
          </cell>
          <cell r="AV131" t="str">
            <v>SLANT / HORIZON SUN</v>
          </cell>
          <cell r="AW131" t="str">
            <v>DU-EXE</v>
          </cell>
          <cell r="AX131" t="str">
            <v>HORIZON SUN</v>
          </cell>
          <cell r="AY131">
            <v>3600000</v>
          </cell>
          <cell r="AZ131">
            <v>3600000</v>
          </cell>
          <cell r="BA131">
            <v>432000</v>
          </cell>
          <cell r="BB131">
            <v>3168000</v>
          </cell>
          <cell r="BC131">
            <v>0</v>
          </cell>
          <cell r="BD131">
            <v>3168000</v>
          </cell>
        </row>
        <row r="132">
          <cell r="AD132" t="str">
            <v>ESE-01-024-017</v>
          </cell>
          <cell r="AE132" t="str">
            <v xml:space="preserve">Raemulan Lands, Inc. </v>
          </cell>
          <cell r="AF132" t="str">
            <v>Estanzia Enclave</v>
          </cell>
          <cell r="AG132" t="str">
            <v>ESE</v>
          </cell>
          <cell r="AH132" t="str">
            <v>Middle Income</v>
          </cell>
          <cell r="AI132" t="str">
            <v>01</v>
          </cell>
          <cell r="AJ132" t="str">
            <v>Batch 1 2025</v>
          </cell>
          <cell r="AK132">
            <v>80</v>
          </cell>
          <cell r="AL132" t="str">
            <v>PCS-04-032688</v>
          </cell>
          <cell r="AM132" t="b">
            <v>1</v>
          </cell>
          <cell r="AN132" t="str">
            <v xml:space="preserve">Done </v>
          </cell>
          <cell r="AO132">
            <v>24</v>
          </cell>
          <cell r="AP132">
            <v>17</v>
          </cell>
          <cell r="AQ132" t="str">
            <v>H+L</v>
          </cell>
          <cell r="AR132" t="str">
            <v>NA</v>
          </cell>
          <cell r="AS132">
            <v>80</v>
          </cell>
          <cell r="AT132">
            <v>55</v>
          </cell>
          <cell r="AU132" t="str">
            <v>SLANT</v>
          </cell>
          <cell r="AV132" t="str">
            <v>SLANT / BEACHSIDE SUN</v>
          </cell>
          <cell r="AW132" t="str">
            <v>DU-EXE</v>
          </cell>
          <cell r="AX132" t="str">
            <v>BEACHSIDE SUN</v>
          </cell>
          <cell r="AY132">
            <v>3600000</v>
          </cell>
          <cell r="AZ132">
            <v>3600000</v>
          </cell>
          <cell r="BA132">
            <v>432000</v>
          </cell>
          <cell r="BB132">
            <v>3168000</v>
          </cell>
          <cell r="BC132">
            <v>0</v>
          </cell>
          <cell r="BD132">
            <v>3168000</v>
          </cell>
        </row>
        <row r="133">
          <cell r="AD133" t="str">
            <v>ESE-01-024-018</v>
          </cell>
          <cell r="AE133" t="str">
            <v xml:space="preserve">Raemulan Lands, Inc. </v>
          </cell>
          <cell r="AF133" t="str">
            <v>Estanzia Enclave</v>
          </cell>
          <cell r="AG133" t="str">
            <v>ESE</v>
          </cell>
          <cell r="AH133" t="str">
            <v>Middle Income</v>
          </cell>
          <cell r="AI133" t="str">
            <v>01</v>
          </cell>
          <cell r="AJ133" t="str">
            <v>Batch 1 2025</v>
          </cell>
          <cell r="AK133">
            <v>80</v>
          </cell>
          <cell r="AL133" t="str">
            <v>PCS-04-032688</v>
          </cell>
          <cell r="AM133" t="b">
            <v>1</v>
          </cell>
          <cell r="AN133" t="str">
            <v xml:space="preserve">Done </v>
          </cell>
          <cell r="AO133">
            <v>24</v>
          </cell>
          <cell r="AP133">
            <v>18</v>
          </cell>
          <cell r="AQ133" t="str">
            <v>H+L</v>
          </cell>
          <cell r="AR133" t="str">
            <v>NA</v>
          </cell>
          <cell r="AS133">
            <v>80</v>
          </cell>
          <cell r="AT133">
            <v>55</v>
          </cell>
          <cell r="AU133" t="str">
            <v>FLAT</v>
          </cell>
          <cell r="AV133" t="str">
            <v>FLAT / BEACHSIDE SUN</v>
          </cell>
          <cell r="AW133" t="str">
            <v>DU-EXE</v>
          </cell>
          <cell r="AX133" t="str">
            <v>BEACHSIDE SUN</v>
          </cell>
          <cell r="AY133">
            <v>3600000</v>
          </cell>
          <cell r="AZ133">
            <v>3600000</v>
          </cell>
          <cell r="BA133">
            <v>432000</v>
          </cell>
          <cell r="BB133">
            <v>3168000</v>
          </cell>
          <cell r="BC133">
            <v>0</v>
          </cell>
          <cell r="BD133">
            <v>3168000</v>
          </cell>
        </row>
        <row r="134">
          <cell r="AD134" t="str">
            <v>ESE-01-024-019</v>
          </cell>
          <cell r="AE134" t="str">
            <v xml:space="preserve">Raemulan Lands, Inc. </v>
          </cell>
          <cell r="AF134" t="str">
            <v>Estanzia Enclave</v>
          </cell>
          <cell r="AG134" t="str">
            <v>ESE</v>
          </cell>
          <cell r="AH134" t="str">
            <v>Middle Income</v>
          </cell>
          <cell r="AI134" t="str">
            <v>01</v>
          </cell>
          <cell r="AJ134" t="str">
            <v>Batch 1 2025</v>
          </cell>
          <cell r="AK134">
            <v>80</v>
          </cell>
          <cell r="AL134" t="str">
            <v>PCS-04-032688</v>
          </cell>
          <cell r="AM134" t="b">
            <v>1</v>
          </cell>
          <cell r="AN134" t="str">
            <v xml:space="preserve">Done </v>
          </cell>
          <cell r="AO134">
            <v>24</v>
          </cell>
          <cell r="AP134">
            <v>19</v>
          </cell>
          <cell r="AQ134" t="str">
            <v>H+L</v>
          </cell>
          <cell r="AR134" t="str">
            <v>NA</v>
          </cell>
          <cell r="AS134">
            <v>80</v>
          </cell>
          <cell r="AT134">
            <v>55</v>
          </cell>
          <cell r="AU134" t="str">
            <v>FLAT</v>
          </cell>
          <cell r="AV134" t="str">
            <v>FLAT / BEACHSIDE SUN</v>
          </cell>
          <cell r="AW134" t="str">
            <v>DU-EXE</v>
          </cell>
          <cell r="AX134" t="str">
            <v>BEACHSIDE SUN</v>
          </cell>
          <cell r="AY134">
            <v>3600000</v>
          </cell>
          <cell r="AZ134">
            <v>3600000</v>
          </cell>
          <cell r="BA134">
            <v>432000</v>
          </cell>
          <cell r="BB134">
            <v>3168000</v>
          </cell>
          <cell r="BC134">
            <v>0</v>
          </cell>
          <cell r="BD134">
            <v>3168000</v>
          </cell>
        </row>
        <row r="135">
          <cell r="AD135" t="str">
            <v>ESE-01-024-020</v>
          </cell>
          <cell r="AE135" t="str">
            <v xml:space="preserve">Raemulan Lands, Inc. </v>
          </cell>
          <cell r="AF135" t="str">
            <v>Estanzia Enclave</v>
          </cell>
          <cell r="AG135" t="str">
            <v>ESE</v>
          </cell>
          <cell r="AH135" t="str">
            <v>Middle Income</v>
          </cell>
          <cell r="AI135" t="str">
            <v>01</v>
          </cell>
          <cell r="AJ135" t="str">
            <v>Batch 1 2025</v>
          </cell>
          <cell r="AK135">
            <v>80</v>
          </cell>
          <cell r="AL135" t="str">
            <v>PCS-04-032688</v>
          </cell>
          <cell r="AM135" t="b">
            <v>1</v>
          </cell>
          <cell r="AN135" t="str">
            <v xml:space="preserve">Done </v>
          </cell>
          <cell r="AO135">
            <v>24</v>
          </cell>
          <cell r="AP135">
            <v>20</v>
          </cell>
          <cell r="AQ135" t="str">
            <v>H+L</v>
          </cell>
          <cell r="AR135" t="str">
            <v>NA</v>
          </cell>
          <cell r="AS135">
            <v>80</v>
          </cell>
          <cell r="AT135">
            <v>55</v>
          </cell>
          <cell r="AU135" t="str">
            <v>SLANT</v>
          </cell>
          <cell r="AV135" t="str">
            <v>SLANT / BEACHSIDE SUN</v>
          </cell>
          <cell r="AW135" t="str">
            <v>DU-EXE</v>
          </cell>
          <cell r="AX135" t="str">
            <v>BEACHSIDE SUN</v>
          </cell>
          <cell r="AY135">
            <v>3600000</v>
          </cell>
          <cell r="AZ135">
            <v>3600000</v>
          </cell>
          <cell r="BA135">
            <v>432000</v>
          </cell>
          <cell r="BB135">
            <v>3168000</v>
          </cell>
          <cell r="BC135">
            <v>0</v>
          </cell>
          <cell r="BD135">
            <v>3168000</v>
          </cell>
        </row>
        <row r="136">
          <cell r="AD136" t="str">
            <v>ESE-01-024-021</v>
          </cell>
          <cell r="AE136" t="str">
            <v xml:space="preserve">Raemulan Lands, Inc. </v>
          </cell>
          <cell r="AF136" t="str">
            <v>Estanzia Enclave</v>
          </cell>
          <cell r="AG136" t="str">
            <v>ESE</v>
          </cell>
          <cell r="AH136" t="str">
            <v>Middle Income</v>
          </cell>
          <cell r="AI136" t="str">
            <v>01</v>
          </cell>
          <cell r="AJ136" t="str">
            <v>Batch 2 2025</v>
          </cell>
          <cell r="AK136">
            <v>80</v>
          </cell>
          <cell r="AL136" t="str">
            <v>PCS-04-032688</v>
          </cell>
          <cell r="AM136" t="b">
            <v>1</v>
          </cell>
          <cell r="AN136" t="str">
            <v xml:space="preserve">Done </v>
          </cell>
          <cell r="AO136">
            <v>24</v>
          </cell>
          <cell r="AP136">
            <v>21</v>
          </cell>
          <cell r="AQ136" t="str">
            <v>H+L</v>
          </cell>
          <cell r="AR136" t="str">
            <v>NA</v>
          </cell>
          <cell r="AS136">
            <v>80</v>
          </cell>
          <cell r="AT136">
            <v>55</v>
          </cell>
          <cell r="AU136" t="str">
            <v>SLANT</v>
          </cell>
          <cell r="AV136" t="str">
            <v>SLANT / HORIZON SUN</v>
          </cell>
          <cell r="AW136" t="str">
            <v>DU-EXE</v>
          </cell>
          <cell r="AX136" t="str">
            <v>HORIZON SUN</v>
          </cell>
          <cell r="AY136">
            <v>3600000</v>
          </cell>
          <cell r="AZ136">
            <v>3600000</v>
          </cell>
          <cell r="BA136">
            <v>432000</v>
          </cell>
          <cell r="BB136">
            <v>3168000</v>
          </cell>
          <cell r="BC136">
            <v>0</v>
          </cell>
          <cell r="BD136">
            <v>3168000</v>
          </cell>
        </row>
        <row r="137">
          <cell r="AD137" t="str">
            <v>ESE-01-024-022</v>
          </cell>
          <cell r="AE137" t="str">
            <v xml:space="preserve">Raemulan Lands, Inc. </v>
          </cell>
          <cell r="AF137" t="str">
            <v>Estanzia Enclave</v>
          </cell>
          <cell r="AG137" t="str">
            <v>ESE</v>
          </cell>
          <cell r="AH137" t="str">
            <v>Middle Income</v>
          </cell>
          <cell r="AI137" t="str">
            <v>01</v>
          </cell>
          <cell r="AJ137" t="str">
            <v>Batch 2 2025</v>
          </cell>
          <cell r="AK137">
            <v>80</v>
          </cell>
          <cell r="AL137" t="str">
            <v>PCS-04-032688</v>
          </cell>
          <cell r="AM137" t="b">
            <v>1</v>
          </cell>
          <cell r="AN137" t="str">
            <v xml:space="preserve">Done </v>
          </cell>
          <cell r="AO137">
            <v>24</v>
          </cell>
          <cell r="AP137">
            <v>22</v>
          </cell>
          <cell r="AQ137" t="str">
            <v>H+L</v>
          </cell>
          <cell r="AR137" t="str">
            <v>NA</v>
          </cell>
          <cell r="AS137">
            <v>80</v>
          </cell>
          <cell r="AT137">
            <v>55</v>
          </cell>
          <cell r="AU137" t="str">
            <v>FLAT</v>
          </cell>
          <cell r="AV137" t="str">
            <v>FLAT / HORIZON SUN</v>
          </cell>
          <cell r="AW137" t="str">
            <v>DU-EXE</v>
          </cell>
          <cell r="AX137" t="str">
            <v>HORIZON SUN</v>
          </cell>
          <cell r="AY137">
            <v>3600000</v>
          </cell>
          <cell r="AZ137">
            <v>3600000</v>
          </cell>
          <cell r="BA137">
            <v>432000</v>
          </cell>
          <cell r="BB137">
            <v>3168000</v>
          </cell>
          <cell r="BC137">
            <v>0</v>
          </cell>
          <cell r="BD137">
            <v>3168000</v>
          </cell>
        </row>
        <row r="138">
          <cell r="AD138" t="str">
            <v>ESE-01-024-023</v>
          </cell>
          <cell r="AE138" t="str">
            <v xml:space="preserve">Raemulan Lands, Inc. </v>
          </cell>
          <cell r="AF138" t="str">
            <v>Estanzia Enclave</v>
          </cell>
          <cell r="AG138" t="str">
            <v>ESE</v>
          </cell>
          <cell r="AH138" t="str">
            <v>Middle Income</v>
          </cell>
          <cell r="AI138" t="str">
            <v>01</v>
          </cell>
          <cell r="AJ138" t="str">
            <v>LOT ONLY</v>
          </cell>
          <cell r="AK138">
            <v>149</v>
          </cell>
          <cell r="AL138" t="str">
            <v>PCS-04-032688</v>
          </cell>
          <cell r="AM138" t="b">
            <v>1</v>
          </cell>
          <cell r="AN138" t="str">
            <v xml:space="preserve">Done </v>
          </cell>
          <cell r="AO138">
            <v>24</v>
          </cell>
          <cell r="AP138">
            <v>23</v>
          </cell>
          <cell r="AQ138" t="str">
            <v>LO</v>
          </cell>
          <cell r="AR138" t="str">
            <v>NA</v>
          </cell>
          <cell r="AS138">
            <v>149</v>
          </cell>
          <cell r="AT138" t="str">
            <v>N/A</v>
          </cell>
          <cell r="AU138" t="str">
            <v>NA</v>
          </cell>
          <cell r="AV138" t="str">
            <v>NA / NA</v>
          </cell>
          <cell r="AW138" t="str">
            <v>LO</v>
          </cell>
          <cell r="AX138" t="str">
            <v>NA</v>
          </cell>
          <cell r="AY138">
            <v>3420000</v>
          </cell>
          <cell r="AZ138">
            <v>2682000</v>
          </cell>
          <cell r="BA138">
            <v>0</v>
          </cell>
          <cell r="BB138">
            <v>2682000</v>
          </cell>
          <cell r="BC138">
            <v>287357.14285714284</v>
          </cell>
          <cell r="BD138">
            <v>2394642.8571428573</v>
          </cell>
        </row>
        <row r="139">
          <cell r="AD139" t="str">
            <v>ESE-01-026-001</v>
          </cell>
          <cell r="AE139" t="str">
            <v xml:space="preserve">Raemulan Lands, Inc. </v>
          </cell>
          <cell r="AF139" t="str">
            <v>Estanzia Enclave</v>
          </cell>
          <cell r="AG139" t="str">
            <v>ESE</v>
          </cell>
          <cell r="AH139" t="str">
            <v>Middle Income</v>
          </cell>
          <cell r="AI139" t="str">
            <v>01</v>
          </cell>
          <cell r="AJ139" t="str">
            <v>HOLD</v>
          </cell>
          <cell r="AK139">
            <v>111</v>
          </cell>
          <cell r="AL139" t="str">
            <v>PCS-04-032688</v>
          </cell>
          <cell r="AM139" t="b">
            <v>1</v>
          </cell>
          <cell r="AN139" t="str">
            <v xml:space="preserve">Done </v>
          </cell>
          <cell r="AO139">
            <v>26</v>
          </cell>
          <cell r="AP139">
            <v>1</v>
          </cell>
          <cell r="AQ139" t="str">
            <v>H+L</v>
          </cell>
          <cell r="AR139">
            <v>1</v>
          </cell>
          <cell r="AS139">
            <v>111</v>
          </cell>
          <cell r="AT139">
            <v>55</v>
          </cell>
          <cell r="AU139">
            <v>0</v>
          </cell>
          <cell r="AV139" t="str">
            <v>0 / 0</v>
          </cell>
          <cell r="AW139" t="str">
            <v>TH-END - MU</v>
          </cell>
          <cell r="AX139">
            <v>0</v>
          </cell>
          <cell r="AY139">
            <v>2500000</v>
          </cell>
          <cell r="AZ139">
            <v>4065000</v>
          </cell>
          <cell r="BA139">
            <v>0</v>
          </cell>
          <cell r="BB139">
            <v>4065000</v>
          </cell>
          <cell r="BC139">
            <v>435535.71428571426</v>
          </cell>
          <cell r="BD139">
            <v>3629464.2857142859</v>
          </cell>
        </row>
        <row r="140">
          <cell r="AD140" t="str">
            <v>ESE-01-026-002</v>
          </cell>
          <cell r="AE140" t="str">
            <v xml:space="preserve">Raemulan Lands, Inc. </v>
          </cell>
          <cell r="AF140" t="str">
            <v>Estanzia Enclave</v>
          </cell>
          <cell r="AG140" t="str">
            <v>ESE</v>
          </cell>
          <cell r="AH140" t="str">
            <v>Middle Income</v>
          </cell>
          <cell r="AI140" t="str">
            <v>01</v>
          </cell>
          <cell r="AJ140" t="str">
            <v>HOLD</v>
          </cell>
          <cell r="AK140">
            <v>50</v>
          </cell>
          <cell r="AL140" t="str">
            <v>PCS-04-032688</v>
          </cell>
          <cell r="AM140" t="b">
            <v>1</v>
          </cell>
          <cell r="AN140" t="str">
            <v xml:space="preserve">Done </v>
          </cell>
          <cell r="AO140">
            <v>26</v>
          </cell>
          <cell r="AP140">
            <v>2</v>
          </cell>
          <cell r="AQ140" t="str">
            <v>H+L</v>
          </cell>
          <cell r="AR140">
            <v>1</v>
          </cell>
          <cell r="AS140">
            <v>50</v>
          </cell>
          <cell r="AT140">
            <v>55</v>
          </cell>
          <cell r="AU140">
            <v>0</v>
          </cell>
          <cell r="AV140" t="str">
            <v>0 / 0</v>
          </cell>
          <cell r="AW140" t="str">
            <v>TH-INNER - MU</v>
          </cell>
          <cell r="AX140">
            <v>0</v>
          </cell>
          <cell r="AY140">
            <v>2500000</v>
          </cell>
          <cell r="AZ140">
            <v>3150000</v>
          </cell>
          <cell r="BA140">
            <v>0</v>
          </cell>
          <cell r="BB140">
            <v>3150000</v>
          </cell>
          <cell r="BC140">
            <v>0</v>
          </cell>
          <cell r="BD140">
            <v>3150000</v>
          </cell>
        </row>
        <row r="141">
          <cell r="AD141" t="str">
            <v>ESE-01-026-003</v>
          </cell>
          <cell r="AE141" t="str">
            <v xml:space="preserve">Raemulan Lands, Inc. </v>
          </cell>
          <cell r="AF141" t="str">
            <v>Estanzia Enclave</v>
          </cell>
          <cell r="AG141" t="str">
            <v>ESE</v>
          </cell>
          <cell r="AH141" t="str">
            <v>Middle Income</v>
          </cell>
          <cell r="AI141" t="str">
            <v>01</v>
          </cell>
          <cell r="AJ141" t="str">
            <v>HOLD</v>
          </cell>
          <cell r="AK141">
            <v>50</v>
          </cell>
          <cell r="AL141" t="str">
            <v>PCS-04-032688</v>
          </cell>
          <cell r="AM141" t="b">
            <v>1</v>
          </cell>
          <cell r="AN141" t="str">
            <v xml:space="preserve">Done </v>
          </cell>
          <cell r="AO141">
            <v>26</v>
          </cell>
          <cell r="AP141">
            <v>3</v>
          </cell>
          <cell r="AQ141" t="str">
            <v>H+L</v>
          </cell>
          <cell r="AR141">
            <v>1</v>
          </cell>
          <cell r="AS141">
            <v>50</v>
          </cell>
          <cell r="AT141">
            <v>55</v>
          </cell>
          <cell r="AU141">
            <v>0</v>
          </cell>
          <cell r="AV141" t="str">
            <v>0 / 0</v>
          </cell>
          <cell r="AW141" t="str">
            <v>TH-INNER - MU</v>
          </cell>
          <cell r="AX141">
            <v>0</v>
          </cell>
          <cell r="AY141">
            <v>2500000</v>
          </cell>
          <cell r="AZ141">
            <v>3150000</v>
          </cell>
          <cell r="BA141">
            <v>0</v>
          </cell>
          <cell r="BB141">
            <v>3150000</v>
          </cell>
          <cell r="BC141">
            <v>0</v>
          </cell>
          <cell r="BD141">
            <v>3150000</v>
          </cell>
        </row>
        <row r="142">
          <cell r="AD142" t="str">
            <v>ESE-01-026-004</v>
          </cell>
          <cell r="AE142" t="str">
            <v xml:space="preserve">Raemulan Lands, Inc. </v>
          </cell>
          <cell r="AF142" t="str">
            <v>Estanzia Enclave</v>
          </cell>
          <cell r="AG142" t="str">
            <v>ESE</v>
          </cell>
          <cell r="AH142" t="str">
            <v>Middle Income</v>
          </cell>
          <cell r="AI142" t="str">
            <v>01</v>
          </cell>
          <cell r="AJ142" t="str">
            <v>HOLD</v>
          </cell>
          <cell r="AK142">
            <v>92</v>
          </cell>
          <cell r="AL142" t="str">
            <v>PCS-04-032688</v>
          </cell>
          <cell r="AM142" t="b">
            <v>1</v>
          </cell>
          <cell r="AN142" t="str">
            <v xml:space="preserve">Done </v>
          </cell>
          <cell r="AO142">
            <v>26</v>
          </cell>
          <cell r="AP142">
            <v>4</v>
          </cell>
          <cell r="AQ142" t="str">
            <v>H+L</v>
          </cell>
          <cell r="AR142">
            <v>1</v>
          </cell>
          <cell r="AS142">
            <v>92</v>
          </cell>
          <cell r="AT142">
            <v>55</v>
          </cell>
          <cell r="AU142">
            <v>0</v>
          </cell>
          <cell r="AV142" t="str">
            <v>0 / 0</v>
          </cell>
          <cell r="AW142" t="str">
            <v>TH-END - MU</v>
          </cell>
          <cell r="AX142">
            <v>0</v>
          </cell>
          <cell r="AY142">
            <v>2500000</v>
          </cell>
          <cell r="AZ142">
            <v>3780000</v>
          </cell>
          <cell r="BA142">
            <v>0</v>
          </cell>
          <cell r="BB142">
            <v>3780000</v>
          </cell>
          <cell r="BC142">
            <v>405000</v>
          </cell>
          <cell r="BD142">
            <v>3375000</v>
          </cell>
        </row>
        <row r="143">
          <cell r="AD143" t="str">
            <v>ESE-01-026-005</v>
          </cell>
          <cell r="AE143" t="str">
            <v xml:space="preserve">Raemulan Lands, Inc. </v>
          </cell>
          <cell r="AF143" t="str">
            <v>Estanzia Enclave</v>
          </cell>
          <cell r="AG143" t="str">
            <v>ESE</v>
          </cell>
          <cell r="AH143" t="str">
            <v>Middle Income</v>
          </cell>
          <cell r="AI143" t="str">
            <v>01</v>
          </cell>
          <cell r="AJ143" t="str">
            <v>Batch 3 2025</v>
          </cell>
          <cell r="AK143">
            <v>90</v>
          </cell>
          <cell r="AL143" t="str">
            <v>PCS-04-032688</v>
          </cell>
          <cell r="AM143" t="b">
            <v>1</v>
          </cell>
          <cell r="AN143" t="str">
            <v xml:space="preserve">Done </v>
          </cell>
          <cell r="AO143">
            <v>26</v>
          </cell>
          <cell r="AP143">
            <v>5</v>
          </cell>
          <cell r="AQ143" t="str">
            <v>H+L</v>
          </cell>
          <cell r="AR143" t="str">
            <v>NA</v>
          </cell>
          <cell r="AS143">
            <v>90</v>
          </cell>
          <cell r="AT143">
            <v>55</v>
          </cell>
          <cell r="AU143" t="str">
            <v>FLAT</v>
          </cell>
          <cell r="AV143" t="str">
            <v>FLAT / BEACHSIDE SUN</v>
          </cell>
          <cell r="AW143" t="str">
            <v>DU-EXE</v>
          </cell>
          <cell r="AX143" t="str">
            <v>BEACHSIDE SUN</v>
          </cell>
          <cell r="AY143">
            <v>3420000</v>
          </cell>
          <cell r="AZ143">
            <v>3750000</v>
          </cell>
          <cell r="BA143">
            <v>100000</v>
          </cell>
          <cell r="BB143">
            <v>3650000</v>
          </cell>
          <cell r="BC143">
            <v>391071.42857142858</v>
          </cell>
          <cell r="BD143">
            <v>3258928.5714285714</v>
          </cell>
        </row>
        <row r="144">
          <cell r="AD144" t="str">
            <v>ESE-01-026-006</v>
          </cell>
          <cell r="AE144" t="str">
            <v xml:space="preserve">Raemulan Lands, Inc. </v>
          </cell>
          <cell r="AF144" t="str">
            <v>Estanzia Enclave</v>
          </cell>
          <cell r="AG144" t="str">
            <v>ESE</v>
          </cell>
          <cell r="AH144" t="str">
            <v>Middle Income</v>
          </cell>
          <cell r="AI144" t="str">
            <v>01</v>
          </cell>
          <cell r="AJ144" t="str">
            <v>Batch 3 2025</v>
          </cell>
          <cell r="AK144">
            <v>80</v>
          </cell>
          <cell r="AL144" t="str">
            <v>PCS-04-032688</v>
          </cell>
          <cell r="AM144" t="b">
            <v>1</v>
          </cell>
          <cell r="AN144" t="str">
            <v xml:space="preserve">Done </v>
          </cell>
          <cell r="AO144">
            <v>26</v>
          </cell>
          <cell r="AP144">
            <v>6</v>
          </cell>
          <cell r="AQ144" t="str">
            <v>H+L</v>
          </cell>
          <cell r="AR144" t="str">
            <v>NA</v>
          </cell>
          <cell r="AS144">
            <v>80</v>
          </cell>
          <cell r="AT144">
            <v>55</v>
          </cell>
          <cell r="AU144" t="str">
            <v>SLANT</v>
          </cell>
          <cell r="AV144" t="str">
            <v>SLANT / BEACHSIDE SUN</v>
          </cell>
          <cell r="AW144" t="str">
            <v>DU-EXE</v>
          </cell>
          <cell r="AX144" t="str">
            <v>BEACHSIDE SUN</v>
          </cell>
          <cell r="AY144">
            <v>3600000</v>
          </cell>
          <cell r="AZ144">
            <v>3600000</v>
          </cell>
          <cell r="BA144">
            <v>432000</v>
          </cell>
          <cell r="BB144">
            <v>3168000</v>
          </cell>
          <cell r="BC144">
            <v>0</v>
          </cell>
          <cell r="BD144">
            <v>3168000</v>
          </cell>
        </row>
        <row r="145">
          <cell r="AD145" t="str">
            <v>ESE-01-026-007</v>
          </cell>
          <cell r="AE145" t="str">
            <v xml:space="preserve">Raemulan Lands, Inc. </v>
          </cell>
          <cell r="AF145" t="str">
            <v>Estanzia Enclave</v>
          </cell>
          <cell r="AG145" t="str">
            <v>ESE</v>
          </cell>
          <cell r="AH145" t="str">
            <v>Middle Income</v>
          </cell>
          <cell r="AI145" t="str">
            <v>01</v>
          </cell>
          <cell r="AJ145" t="str">
            <v>Batch 3 2025</v>
          </cell>
          <cell r="AK145">
            <v>80</v>
          </cell>
          <cell r="AL145" t="str">
            <v>PCS-04-032688</v>
          </cell>
          <cell r="AM145" t="b">
            <v>1</v>
          </cell>
          <cell r="AN145" t="str">
            <v xml:space="preserve">Done </v>
          </cell>
          <cell r="AO145">
            <v>26</v>
          </cell>
          <cell r="AP145">
            <v>7</v>
          </cell>
          <cell r="AQ145" t="str">
            <v>H+L</v>
          </cell>
          <cell r="AR145" t="str">
            <v>NA</v>
          </cell>
          <cell r="AS145">
            <v>80</v>
          </cell>
          <cell r="AT145">
            <v>55</v>
          </cell>
          <cell r="AU145" t="str">
            <v>SLANT</v>
          </cell>
          <cell r="AV145" t="str">
            <v>SLANT / BEACHSIDE SUN</v>
          </cell>
          <cell r="AW145" t="str">
            <v>DU-EXE</v>
          </cell>
          <cell r="AX145" t="str">
            <v>BEACHSIDE SUN</v>
          </cell>
          <cell r="AY145">
            <v>3600000</v>
          </cell>
          <cell r="AZ145">
            <v>3600000</v>
          </cell>
          <cell r="BA145">
            <v>432000</v>
          </cell>
          <cell r="BB145">
            <v>3168000</v>
          </cell>
          <cell r="BC145">
            <v>0</v>
          </cell>
          <cell r="BD145">
            <v>3168000</v>
          </cell>
        </row>
        <row r="146">
          <cell r="AD146" t="str">
            <v>ESE-01-026-008</v>
          </cell>
          <cell r="AE146" t="str">
            <v xml:space="preserve">Raemulan Lands, Inc. </v>
          </cell>
          <cell r="AF146" t="str">
            <v>Estanzia Enclave</v>
          </cell>
          <cell r="AG146" t="str">
            <v>ESE</v>
          </cell>
          <cell r="AH146" t="str">
            <v>Middle Income</v>
          </cell>
          <cell r="AI146" t="str">
            <v>01</v>
          </cell>
          <cell r="AJ146" t="str">
            <v>Batch 3 2025</v>
          </cell>
          <cell r="AK146">
            <v>80</v>
          </cell>
          <cell r="AL146" t="str">
            <v>PCS-04-032688</v>
          </cell>
          <cell r="AM146" t="b">
            <v>1</v>
          </cell>
          <cell r="AN146" t="str">
            <v xml:space="preserve">Done </v>
          </cell>
          <cell r="AO146">
            <v>26</v>
          </cell>
          <cell r="AP146">
            <v>8</v>
          </cell>
          <cell r="AQ146" t="str">
            <v>H+L</v>
          </cell>
          <cell r="AR146" t="str">
            <v>NA</v>
          </cell>
          <cell r="AS146">
            <v>80</v>
          </cell>
          <cell r="AT146">
            <v>55</v>
          </cell>
          <cell r="AU146" t="str">
            <v>FLAT</v>
          </cell>
          <cell r="AV146" t="str">
            <v>FLAT / BEACHSIDE SUN</v>
          </cell>
          <cell r="AW146" t="str">
            <v>DU-EXE</v>
          </cell>
          <cell r="AX146" t="str">
            <v>BEACHSIDE SUN</v>
          </cell>
          <cell r="AY146">
            <v>3600000</v>
          </cell>
          <cell r="AZ146">
            <v>3600000</v>
          </cell>
          <cell r="BA146">
            <v>432000</v>
          </cell>
          <cell r="BB146">
            <v>3168000</v>
          </cell>
          <cell r="BC146">
            <v>0</v>
          </cell>
          <cell r="BD146">
            <v>3168000</v>
          </cell>
        </row>
        <row r="147">
          <cell r="AD147" t="str">
            <v>ESE-01-026-009</v>
          </cell>
          <cell r="AE147" t="str">
            <v xml:space="preserve">Raemulan Lands, Inc. </v>
          </cell>
          <cell r="AF147" t="str">
            <v>Estanzia Enclave</v>
          </cell>
          <cell r="AG147" t="str">
            <v>ESE</v>
          </cell>
          <cell r="AH147" t="str">
            <v>Middle Income</v>
          </cell>
          <cell r="AI147" t="str">
            <v>01</v>
          </cell>
          <cell r="AJ147" t="str">
            <v>Batch 3 2025</v>
          </cell>
          <cell r="AK147">
            <v>80</v>
          </cell>
          <cell r="AL147" t="str">
            <v>PCS-04-032688</v>
          </cell>
          <cell r="AM147" t="b">
            <v>1</v>
          </cell>
          <cell r="AN147" t="str">
            <v xml:space="preserve">Done </v>
          </cell>
          <cell r="AO147">
            <v>26</v>
          </cell>
          <cell r="AP147">
            <v>9</v>
          </cell>
          <cell r="AQ147" t="str">
            <v>H+L</v>
          </cell>
          <cell r="AR147" t="str">
            <v>NA</v>
          </cell>
          <cell r="AS147">
            <v>80</v>
          </cell>
          <cell r="AT147">
            <v>55</v>
          </cell>
          <cell r="AU147" t="str">
            <v>FLAT</v>
          </cell>
          <cell r="AV147" t="str">
            <v>FLAT / HORIZON SUN</v>
          </cell>
          <cell r="AW147" t="str">
            <v>DU-EXE</v>
          </cell>
          <cell r="AX147" t="str">
            <v>HORIZON SUN</v>
          </cell>
          <cell r="AY147">
            <v>3420000</v>
          </cell>
          <cell r="AZ147">
            <v>3600000</v>
          </cell>
          <cell r="BA147">
            <v>0</v>
          </cell>
          <cell r="BB147">
            <v>3600000</v>
          </cell>
          <cell r="BC147">
            <v>0</v>
          </cell>
          <cell r="BD147">
            <v>3600000</v>
          </cell>
        </row>
        <row r="148">
          <cell r="AD148" t="str">
            <v>ESE-01-026-010</v>
          </cell>
          <cell r="AE148" t="str">
            <v xml:space="preserve">Raemulan Lands, Inc. </v>
          </cell>
          <cell r="AF148" t="str">
            <v>Estanzia Enclave</v>
          </cell>
          <cell r="AG148" t="str">
            <v>ESE</v>
          </cell>
          <cell r="AH148" t="str">
            <v>Middle Income</v>
          </cell>
          <cell r="AI148" t="str">
            <v>01</v>
          </cell>
          <cell r="AJ148" t="str">
            <v>Batch 3 2025</v>
          </cell>
          <cell r="AK148">
            <v>80</v>
          </cell>
          <cell r="AL148" t="str">
            <v>PCS-04-032688</v>
          </cell>
          <cell r="AM148" t="b">
            <v>1</v>
          </cell>
          <cell r="AN148" t="str">
            <v xml:space="preserve">Done </v>
          </cell>
          <cell r="AO148">
            <v>26</v>
          </cell>
          <cell r="AP148">
            <v>10</v>
          </cell>
          <cell r="AQ148" t="str">
            <v>H+L</v>
          </cell>
          <cell r="AR148" t="str">
            <v>NA</v>
          </cell>
          <cell r="AS148">
            <v>80</v>
          </cell>
          <cell r="AT148">
            <v>55</v>
          </cell>
          <cell r="AU148" t="str">
            <v>SLANT</v>
          </cell>
          <cell r="AV148" t="str">
            <v>SLANT / HORIZON SUN</v>
          </cell>
          <cell r="AW148" t="str">
            <v>DU-EXE</v>
          </cell>
          <cell r="AX148" t="str">
            <v>HORIZON SUN</v>
          </cell>
          <cell r="AY148">
            <v>3420000</v>
          </cell>
          <cell r="AZ148">
            <v>3600000</v>
          </cell>
          <cell r="BA148">
            <v>432000</v>
          </cell>
          <cell r="BB148">
            <v>3168000</v>
          </cell>
          <cell r="BC148">
            <v>0</v>
          </cell>
          <cell r="BD148">
            <v>3168000</v>
          </cell>
        </row>
        <row r="149">
          <cell r="AD149" t="str">
            <v>ESE-01-026-011</v>
          </cell>
          <cell r="AE149" t="str">
            <v xml:space="preserve">Raemulan Lands, Inc. </v>
          </cell>
          <cell r="AF149" t="str">
            <v>Estanzia Enclave</v>
          </cell>
          <cell r="AG149" t="str">
            <v>ESE</v>
          </cell>
          <cell r="AH149" t="str">
            <v>Middle Income</v>
          </cell>
          <cell r="AI149" t="str">
            <v>01</v>
          </cell>
          <cell r="AJ149" t="str">
            <v>Batch 3 2025</v>
          </cell>
          <cell r="AK149">
            <v>98</v>
          </cell>
          <cell r="AL149" t="str">
            <v>PCS-04-032688</v>
          </cell>
          <cell r="AM149" t="b">
            <v>1</v>
          </cell>
          <cell r="AN149" t="str">
            <v xml:space="preserve">Done </v>
          </cell>
          <cell r="AO149">
            <v>26</v>
          </cell>
          <cell r="AP149">
            <v>11</v>
          </cell>
          <cell r="AQ149" t="str">
            <v>H+L</v>
          </cell>
          <cell r="AR149" t="str">
            <v>NA</v>
          </cell>
          <cell r="AS149">
            <v>98</v>
          </cell>
          <cell r="AT149">
            <v>55</v>
          </cell>
          <cell r="AU149" t="str">
            <v>SLANT</v>
          </cell>
          <cell r="AV149" t="str">
            <v>SLANT / HORIZON SUN</v>
          </cell>
          <cell r="AW149" t="str">
            <v>DU-EXE</v>
          </cell>
          <cell r="AX149" t="str">
            <v>HORIZON SUN</v>
          </cell>
          <cell r="AY149">
            <v>3420000</v>
          </cell>
          <cell r="AZ149">
            <v>3870000</v>
          </cell>
          <cell r="BA149">
            <v>0</v>
          </cell>
          <cell r="BB149">
            <v>3870000</v>
          </cell>
          <cell r="BC149">
            <v>414642.85714285716</v>
          </cell>
          <cell r="BD149">
            <v>3455357.1428571427</v>
          </cell>
        </row>
        <row r="150">
          <cell r="AD150" t="str">
            <v>ESE-01-026-012</v>
          </cell>
          <cell r="AE150" t="str">
            <v xml:space="preserve">Raemulan Lands, Inc. </v>
          </cell>
          <cell r="AF150" t="str">
            <v>Estanzia Enclave</v>
          </cell>
          <cell r="AG150" t="str">
            <v>ESE</v>
          </cell>
          <cell r="AH150" t="str">
            <v>Middle Income</v>
          </cell>
          <cell r="AI150" t="str">
            <v>01</v>
          </cell>
          <cell r="AJ150" t="str">
            <v>Batch 3 2025</v>
          </cell>
          <cell r="AK150">
            <v>90</v>
          </cell>
          <cell r="AL150" t="str">
            <v>PCS-04-032688</v>
          </cell>
          <cell r="AM150" t="b">
            <v>1</v>
          </cell>
          <cell r="AN150" t="str">
            <v xml:space="preserve">Done </v>
          </cell>
          <cell r="AO150">
            <v>26</v>
          </cell>
          <cell r="AP150">
            <v>12</v>
          </cell>
          <cell r="AQ150" t="str">
            <v>H+L</v>
          </cell>
          <cell r="AR150" t="str">
            <v>NA</v>
          </cell>
          <cell r="AS150">
            <v>90</v>
          </cell>
          <cell r="AT150">
            <v>55</v>
          </cell>
          <cell r="AU150" t="str">
            <v>FLAT</v>
          </cell>
          <cell r="AV150" t="str">
            <v>FLAT / HORIZON SUN</v>
          </cell>
          <cell r="AW150" t="str">
            <v>DU-EXE</v>
          </cell>
          <cell r="AX150" t="str">
            <v>HORIZON SUN</v>
          </cell>
          <cell r="AY150">
            <v>3420000</v>
          </cell>
          <cell r="AZ150">
            <v>3750000</v>
          </cell>
          <cell r="BA150">
            <v>0</v>
          </cell>
          <cell r="BB150">
            <v>3750000</v>
          </cell>
          <cell r="BC150">
            <v>401785.71428571426</v>
          </cell>
          <cell r="BD150">
            <v>3348214.2857142859</v>
          </cell>
        </row>
        <row r="151">
          <cell r="AD151" t="str">
            <v>ESE-01-026-013</v>
          </cell>
          <cell r="AE151" t="str">
            <v xml:space="preserve">Raemulan Lands, Inc. </v>
          </cell>
          <cell r="AF151" t="str">
            <v>Estanzia Enclave</v>
          </cell>
          <cell r="AG151" t="str">
            <v>ESE</v>
          </cell>
          <cell r="AH151" t="str">
            <v>Middle Income</v>
          </cell>
          <cell r="AI151" t="str">
            <v>01</v>
          </cell>
          <cell r="AJ151" t="str">
            <v>Batch 3 2025</v>
          </cell>
          <cell r="AK151">
            <v>90</v>
          </cell>
          <cell r="AL151" t="str">
            <v>PCS-04-032688</v>
          </cell>
          <cell r="AM151" t="b">
            <v>1</v>
          </cell>
          <cell r="AN151" t="str">
            <v xml:space="preserve">Done </v>
          </cell>
          <cell r="AO151">
            <v>26</v>
          </cell>
          <cell r="AP151">
            <v>13</v>
          </cell>
          <cell r="AQ151" t="str">
            <v>H+L</v>
          </cell>
          <cell r="AR151" t="str">
            <v>NA</v>
          </cell>
          <cell r="AS151">
            <v>90</v>
          </cell>
          <cell r="AT151">
            <v>55</v>
          </cell>
          <cell r="AU151" t="str">
            <v>FLAT</v>
          </cell>
          <cell r="AV151" t="str">
            <v>FLAT / BEACHSIDE SUN</v>
          </cell>
          <cell r="AW151" t="str">
            <v>DU-EXE</v>
          </cell>
          <cell r="AX151" t="str">
            <v>BEACHSIDE SUN</v>
          </cell>
          <cell r="AY151">
            <v>3420000</v>
          </cell>
          <cell r="AZ151">
            <v>3750000</v>
          </cell>
          <cell r="BA151">
            <v>0</v>
          </cell>
          <cell r="BB151">
            <v>3750000</v>
          </cell>
          <cell r="BC151">
            <v>401785.71428571426</v>
          </cell>
          <cell r="BD151">
            <v>3348214.2857142859</v>
          </cell>
        </row>
        <row r="152">
          <cell r="AD152" t="str">
            <v>ESE-01-026-014</v>
          </cell>
          <cell r="AE152" t="str">
            <v xml:space="preserve">Raemulan Lands, Inc. </v>
          </cell>
          <cell r="AF152" t="str">
            <v>Estanzia Enclave</v>
          </cell>
          <cell r="AG152" t="str">
            <v>ESE</v>
          </cell>
          <cell r="AH152" t="str">
            <v>Middle Income</v>
          </cell>
          <cell r="AI152" t="str">
            <v>01</v>
          </cell>
          <cell r="AJ152" t="str">
            <v>Batch 3 2025</v>
          </cell>
          <cell r="AK152">
            <v>90</v>
          </cell>
          <cell r="AL152" t="str">
            <v>PCS-04-032688</v>
          </cell>
          <cell r="AM152" t="b">
            <v>1</v>
          </cell>
          <cell r="AN152" t="str">
            <v xml:space="preserve">Done </v>
          </cell>
          <cell r="AO152">
            <v>26</v>
          </cell>
          <cell r="AP152">
            <v>14</v>
          </cell>
          <cell r="AQ152" t="str">
            <v>H+L</v>
          </cell>
          <cell r="AR152" t="str">
            <v>NA</v>
          </cell>
          <cell r="AS152">
            <v>90</v>
          </cell>
          <cell r="AT152">
            <v>55</v>
          </cell>
          <cell r="AU152" t="str">
            <v>SLANT</v>
          </cell>
          <cell r="AV152" t="str">
            <v>SLANT / BEACHSIDE SUN</v>
          </cell>
          <cell r="AW152" t="str">
            <v>DU-EXE</v>
          </cell>
          <cell r="AX152" t="str">
            <v>BEACHSIDE SUN</v>
          </cell>
          <cell r="AY152">
            <v>3600000</v>
          </cell>
          <cell r="AZ152">
            <v>3750000</v>
          </cell>
          <cell r="BA152">
            <v>432000</v>
          </cell>
          <cell r="BB152">
            <v>3318000</v>
          </cell>
          <cell r="BC152">
            <v>0</v>
          </cell>
          <cell r="BD152">
            <v>3318000</v>
          </cell>
        </row>
        <row r="153">
          <cell r="AD153" t="str">
            <v>ESE-01-026-015</v>
          </cell>
          <cell r="AE153" t="str">
            <v xml:space="preserve">Raemulan Lands, Inc. </v>
          </cell>
          <cell r="AF153" t="str">
            <v>Estanzia Enclave</v>
          </cell>
          <cell r="AG153" t="str">
            <v>ESE</v>
          </cell>
          <cell r="AH153" t="str">
            <v>Middle Income</v>
          </cell>
          <cell r="AI153" t="str">
            <v>01</v>
          </cell>
          <cell r="AJ153" t="str">
            <v>Batch 3 2025</v>
          </cell>
          <cell r="AK153">
            <v>90</v>
          </cell>
          <cell r="AL153" t="str">
            <v>PCS-04-032688</v>
          </cell>
          <cell r="AM153" t="b">
            <v>1</v>
          </cell>
          <cell r="AN153" t="str">
            <v xml:space="preserve">Done </v>
          </cell>
          <cell r="AO153">
            <v>26</v>
          </cell>
          <cell r="AP153">
            <v>15</v>
          </cell>
          <cell r="AQ153" t="str">
            <v>H+L</v>
          </cell>
          <cell r="AR153" t="str">
            <v>NA</v>
          </cell>
          <cell r="AS153">
            <v>90</v>
          </cell>
          <cell r="AT153">
            <v>55</v>
          </cell>
          <cell r="AU153" t="str">
            <v>SLANT</v>
          </cell>
          <cell r="AV153" t="str">
            <v>SLANT / BEACHSIDE SUN</v>
          </cell>
          <cell r="AW153" t="str">
            <v>DU-EXE</v>
          </cell>
          <cell r="AX153" t="str">
            <v>BEACHSIDE SUN</v>
          </cell>
          <cell r="AY153">
            <v>3420000</v>
          </cell>
          <cell r="AZ153">
            <v>3750000</v>
          </cell>
          <cell r="BA153">
            <v>600000</v>
          </cell>
          <cell r="BB153">
            <v>3150000</v>
          </cell>
          <cell r="BC153">
            <v>0</v>
          </cell>
          <cell r="BD153">
            <v>3150000</v>
          </cell>
        </row>
        <row r="154">
          <cell r="AD154" t="str">
            <v>ESE-01-026-020</v>
          </cell>
          <cell r="AE154" t="str">
            <v xml:space="preserve">Raemulan Lands, Inc. </v>
          </cell>
          <cell r="AF154" t="str">
            <v>Estanzia Enclave</v>
          </cell>
          <cell r="AG154" t="str">
            <v>ESE</v>
          </cell>
          <cell r="AH154" t="str">
            <v>Middle Income</v>
          </cell>
          <cell r="AI154" t="str">
            <v>01</v>
          </cell>
          <cell r="AJ154" t="str">
            <v>Batch 3 2025</v>
          </cell>
          <cell r="AK154">
            <v>92</v>
          </cell>
          <cell r="AL154" t="str">
            <v>PCS-04-032688</v>
          </cell>
          <cell r="AM154" t="b">
            <v>1</v>
          </cell>
          <cell r="AN154" t="str">
            <v xml:space="preserve">Done </v>
          </cell>
          <cell r="AO154">
            <v>26</v>
          </cell>
          <cell r="AP154">
            <v>20</v>
          </cell>
          <cell r="AQ154" t="str">
            <v>H+L</v>
          </cell>
          <cell r="AR154" t="str">
            <v>NA</v>
          </cell>
          <cell r="AS154">
            <v>92</v>
          </cell>
          <cell r="AT154">
            <v>55</v>
          </cell>
          <cell r="AU154" t="str">
            <v>FLAT</v>
          </cell>
          <cell r="AV154" t="str">
            <v>FLAT / BEACHSIDE SUN</v>
          </cell>
          <cell r="AW154" t="str">
            <v>DU-EXE</v>
          </cell>
          <cell r="AX154" t="str">
            <v>BEACHSIDE SUN</v>
          </cell>
          <cell r="AY154">
            <v>3420000</v>
          </cell>
          <cell r="AZ154">
            <v>3780000</v>
          </cell>
          <cell r="BA154">
            <v>0</v>
          </cell>
          <cell r="BB154">
            <v>3780000</v>
          </cell>
          <cell r="BC154">
            <v>405000</v>
          </cell>
          <cell r="BD154">
            <v>3375000</v>
          </cell>
        </row>
        <row r="155">
          <cell r="AD155" t="str">
            <v>ESE-01-027-001</v>
          </cell>
          <cell r="AE155" t="str">
            <v xml:space="preserve">Raemulan Lands, Inc. </v>
          </cell>
          <cell r="AF155" t="str">
            <v>Estanzia Enclave</v>
          </cell>
          <cell r="AG155" t="str">
            <v>ESE</v>
          </cell>
          <cell r="AH155" t="str">
            <v>Middle Income</v>
          </cell>
          <cell r="AI155" t="str">
            <v>01</v>
          </cell>
          <cell r="AJ155" t="str">
            <v>LOT ONLY</v>
          </cell>
          <cell r="AK155">
            <v>167</v>
          </cell>
          <cell r="AL155" t="str">
            <v>PCS-04-032688</v>
          </cell>
          <cell r="AM155" t="b">
            <v>1</v>
          </cell>
          <cell r="AN155" t="str">
            <v xml:space="preserve">Done </v>
          </cell>
          <cell r="AO155">
            <v>27</v>
          </cell>
          <cell r="AP155">
            <v>1</v>
          </cell>
          <cell r="AQ155" t="str">
            <v>LO</v>
          </cell>
          <cell r="AR155" t="str">
            <v>NA</v>
          </cell>
          <cell r="AS155">
            <v>167</v>
          </cell>
          <cell r="AT155" t="str">
            <v>N/A</v>
          </cell>
          <cell r="AU155" t="str">
            <v>NA</v>
          </cell>
          <cell r="AV155" t="str">
            <v>NA / NA</v>
          </cell>
          <cell r="AW155" t="str">
            <v>LO</v>
          </cell>
          <cell r="AX155" t="str">
            <v>NA</v>
          </cell>
          <cell r="AY155">
            <v>3420000</v>
          </cell>
          <cell r="AZ155">
            <v>3006000</v>
          </cell>
          <cell r="BA155">
            <v>0</v>
          </cell>
          <cell r="BB155">
            <v>3006000</v>
          </cell>
          <cell r="BC155">
            <v>322071.42857142858</v>
          </cell>
          <cell r="BD155">
            <v>2683928.5714285714</v>
          </cell>
        </row>
        <row r="156">
          <cell r="AD156" t="str">
            <v>ESE-01-027-002</v>
          </cell>
          <cell r="AE156" t="str">
            <v xml:space="preserve">Raemulan Lands, Inc. </v>
          </cell>
          <cell r="AF156" t="str">
            <v>Estanzia Enclave</v>
          </cell>
          <cell r="AG156" t="str">
            <v>ESE</v>
          </cell>
          <cell r="AH156" t="str">
            <v>Middle Income</v>
          </cell>
          <cell r="AI156" t="str">
            <v>01</v>
          </cell>
          <cell r="AJ156" t="str">
            <v>Batch 4 2025</v>
          </cell>
          <cell r="AK156">
            <v>108</v>
          </cell>
          <cell r="AL156" t="str">
            <v>PCS-04-032688</v>
          </cell>
          <cell r="AM156" t="b">
            <v>1</v>
          </cell>
          <cell r="AN156" t="str">
            <v xml:space="preserve">Done </v>
          </cell>
          <cell r="AO156">
            <v>27</v>
          </cell>
          <cell r="AP156">
            <v>2</v>
          </cell>
          <cell r="AQ156" t="str">
            <v>H+L</v>
          </cell>
          <cell r="AR156" t="str">
            <v>NA</v>
          </cell>
          <cell r="AS156">
            <v>108</v>
          </cell>
          <cell r="AT156">
            <v>55</v>
          </cell>
          <cell r="AU156" t="str">
            <v>FLAT</v>
          </cell>
          <cell r="AV156" t="str">
            <v>FLAT / HORIZON SUN</v>
          </cell>
          <cell r="AW156" t="str">
            <v>DU-EXE</v>
          </cell>
          <cell r="AX156" t="str">
            <v>HORIZON SUN</v>
          </cell>
          <cell r="AY156">
            <v>3420000</v>
          </cell>
          <cell r="AZ156">
            <v>4020000</v>
          </cell>
          <cell r="BA156">
            <v>0</v>
          </cell>
          <cell r="BB156">
            <v>4020000</v>
          </cell>
          <cell r="BC156">
            <v>430714.28571428574</v>
          </cell>
          <cell r="BD156">
            <v>3589285.7142857141</v>
          </cell>
        </row>
        <row r="157">
          <cell r="AD157" t="str">
            <v>ESE-01-027-003</v>
          </cell>
          <cell r="AE157" t="str">
            <v xml:space="preserve">Raemulan Lands, Inc. </v>
          </cell>
          <cell r="AF157" t="str">
            <v>Estanzia Enclave</v>
          </cell>
          <cell r="AG157" t="str">
            <v>ESE</v>
          </cell>
          <cell r="AH157" t="str">
            <v>Middle Income</v>
          </cell>
          <cell r="AI157" t="str">
            <v>01</v>
          </cell>
          <cell r="AJ157" t="str">
            <v>Batch 4 2025</v>
          </cell>
          <cell r="AK157">
            <v>80</v>
          </cell>
          <cell r="AL157" t="str">
            <v>PCS-04-032688</v>
          </cell>
          <cell r="AM157" t="b">
            <v>1</v>
          </cell>
          <cell r="AN157" t="str">
            <v xml:space="preserve">Done </v>
          </cell>
          <cell r="AO157">
            <v>27</v>
          </cell>
          <cell r="AP157">
            <v>3</v>
          </cell>
          <cell r="AQ157" t="str">
            <v>H+L</v>
          </cell>
          <cell r="AR157" t="str">
            <v>NA</v>
          </cell>
          <cell r="AS157">
            <v>80</v>
          </cell>
          <cell r="AT157">
            <v>55</v>
          </cell>
          <cell r="AU157" t="str">
            <v>SLANT</v>
          </cell>
          <cell r="AV157" t="str">
            <v>SLANT / HORIZON SUN</v>
          </cell>
          <cell r="AW157" t="str">
            <v>DU-EXE</v>
          </cell>
          <cell r="AX157" t="str">
            <v>HORIZON SUN</v>
          </cell>
          <cell r="AY157">
            <v>3528000</v>
          </cell>
          <cell r="AZ157">
            <v>3600000</v>
          </cell>
          <cell r="BA157">
            <v>504000</v>
          </cell>
          <cell r="BB157">
            <v>3096000</v>
          </cell>
          <cell r="BC157">
            <v>0</v>
          </cell>
          <cell r="BD157">
            <v>3096000</v>
          </cell>
        </row>
        <row r="158">
          <cell r="AD158" t="str">
            <v>ESE-01-027-004</v>
          </cell>
          <cell r="AE158" t="str">
            <v xml:space="preserve">Raemulan Lands, Inc. </v>
          </cell>
          <cell r="AF158" t="str">
            <v>Estanzia Enclave</v>
          </cell>
          <cell r="AG158" t="str">
            <v>ESE</v>
          </cell>
          <cell r="AH158" t="str">
            <v>Middle Income</v>
          </cell>
          <cell r="AI158" t="str">
            <v>01</v>
          </cell>
          <cell r="AJ158" t="str">
            <v>Batch 4 2025</v>
          </cell>
          <cell r="AK158">
            <v>80</v>
          </cell>
          <cell r="AL158" t="str">
            <v>PCS-04-032688</v>
          </cell>
          <cell r="AM158" t="b">
            <v>1</v>
          </cell>
          <cell r="AN158" t="str">
            <v xml:space="preserve">Done </v>
          </cell>
          <cell r="AO158">
            <v>27</v>
          </cell>
          <cell r="AP158">
            <v>4</v>
          </cell>
          <cell r="AQ158" t="str">
            <v>H+L</v>
          </cell>
          <cell r="AR158" t="str">
            <v>NA</v>
          </cell>
          <cell r="AS158">
            <v>80</v>
          </cell>
          <cell r="AT158">
            <v>55</v>
          </cell>
          <cell r="AU158" t="str">
            <v>SLANT</v>
          </cell>
          <cell r="AV158" t="str">
            <v>SLANT / BEACHSIDE SUN</v>
          </cell>
          <cell r="AW158" t="str">
            <v>DU-EXE</v>
          </cell>
          <cell r="AX158" t="str">
            <v>BEACHSIDE SUN</v>
          </cell>
          <cell r="AY158">
            <v>3420000</v>
          </cell>
          <cell r="AZ158">
            <v>3600000</v>
          </cell>
          <cell r="BA158">
            <v>0</v>
          </cell>
          <cell r="BB158">
            <v>3600000</v>
          </cell>
          <cell r="BC158">
            <v>0</v>
          </cell>
          <cell r="BD158">
            <v>3600000</v>
          </cell>
        </row>
        <row r="159">
          <cell r="AD159" t="str">
            <v>ESE-01-027-005</v>
          </cell>
          <cell r="AE159" t="str">
            <v xml:space="preserve">Raemulan Lands, Inc. </v>
          </cell>
          <cell r="AF159" t="str">
            <v>Estanzia Enclave</v>
          </cell>
          <cell r="AG159" t="str">
            <v>ESE</v>
          </cell>
          <cell r="AH159" t="str">
            <v>Middle Income</v>
          </cell>
          <cell r="AI159" t="str">
            <v>01</v>
          </cell>
          <cell r="AJ159" t="str">
            <v>Batch 4 2025</v>
          </cell>
          <cell r="AK159">
            <v>80</v>
          </cell>
          <cell r="AL159" t="str">
            <v>PCS-04-032688</v>
          </cell>
          <cell r="AM159" t="b">
            <v>1</v>
          </cell>
          <cell r="AN159" t="str">
            <v xml:space="preserve">Done </v>
          </cell>
          <cell r="AO159">
            <v>27</v>
          </cell>
          <cell r="AP159">
            <v>5</v>
          </cell>
          <cell r="AQ159" t="str">
            <v>H+L</v>
          </cell>
          <cell r="AR159" t="str">
            <v>NA</v>
          </cell>
          <cell r="AS159">
            <v>80</v>
          </cell>
          <cell r="AT159">
            <v>55</v>
          </cell>
          <cell r="AU159" t="str">
            <v>FLAT</v>
          </cell>
          <cell r="AV159" t="str">
            <v>FLAT / BEACHSIDE SUN</v>
          </cell>
          <cell r="AW159" t="str">
            <v>DU-EXE</v>
          </cell>
          <cell r="AX159" t="str">
            <v>BEACHSIDE SUN</v>
          </cell>
          <cell r="AY159">
            <v>3420000</v>
          </cell>
          <cell r="AZ159">
            <v>3600000</v>
          </cell>
          <cell r="BA159">
            <v>0</v>
          </cell>
          <cell r="BB159">
            <v>3600000</v>
          </cell>
          <cell r="BC159">
            <v>0</v>
          </cell>
          <cell r="BD159">
            <v>3600000</v>
          </cell>
        </row>
        <row r="160">
          <cell r="AD160" t="str">
            <v>ESE-01-027-006</v>
          </cell>
          <cell r="AE160" t="str">
            <v xml:space="preserve">Raemulan Lands, Inc. </v>
          </cell>
          <cell r="AF160" t="str">
            <v>Estanzia Enclave</v>
          </cell>
          <cell r="AG160" t="str">
            <v>ESE</v>
          </cell>
          <cell r="AH160" t="str">
            <v>Middle Income</v>
          </cell>
          <cell r="AI160" t="str">
            <v>01</v>
          </cell>
          <cell r="AJ160" t="str">
            <v>Batch 4 2025</v>
          </cell>
          <cell r="AK160">
            <v>80</v>
          </cell>
          <cell r="AL160" t="str">
            <v>PCS-04-032688</v>
          </cell>
          <cell r="AM160" t="b">
            <v>1</v>
          </cell>
          <cell r="AN160" t="str">
            <v xml:space="preserve">Done </v>
          </cell>
          <cell r="AO160">
            <v>27</v>
          </cell>
          <cell r="AP160">
            <v>6</v>
          </cell>
          <cell r="AQ160" t="str">
            <v>H+L</v>
          </cell>
          <cell r="AR160" t="str">
            <v>NA</v>
          </cell>
          <cell r="AS160">
            <v>80</v>
          </cell>
          <cell r="AT160">
            <v>55</v>
          </cell>
          <cell r="AU160" t="str">
            <v>FLAT</v>
          </cell>
          <cell r="AV160" t="str">
            <v>FLAT / BEACHSIDE SUN</v>
          </cell>
          <cell r="AW160" t="str">
            <v>DU-EXE</v>
          </cell>
          <cell r="AX160" t="str">
            <v>BEACHSIDE SUN</v>
          </cell>
          <cell r="AY160">
            <v>3420000</v>
          </cell>
          <cell r="AZ160">
            <v>3600000</v>
          </cell>
          <cell r="BA160">
            <v>0</v>
          </cell>
          <cell r="BB160">
            <v>3600000</v>
          </cell>
          <cell r="BC160">
            <v>0</v>
          </cell>
          <cell r="BD160">
            <v>3600000</v>
          </cell>
        </row>
        <row r="161">
          <cell r="AD161" t="str">
            <v>ESE-01-027-007</v>
          </cell>
          <cell r="AE161" t="str">
            <v xml:space="preserve">Raemulan Lands, Inc. </v>
          </cell>
          <cell r="AF161" t="str">
            <v>Estanzia Enclave</v>
          </cell>
          <cell r="AG161" t="str">
            <v>ESE</v>
          </cell>
          <cell r="AH161" t="str">
            <v>Middle Income</v>
          </cell>
          <cell r="AI161" t="str">
            <v>01</v>
          </cell>
          <cell r="AJ161" t="str">
            <v>Batch 4 2025</v>
          </cell>
          <cell r="AK161">
            <v>80</v>
          </cell>
          <cell r="AL161" t="str">
            <v>PCS-04-032688</v>
          </cell>
          <cell r="AM161" t="b">
            <v>1</v>
          </cell>
          <cell r="AN161" t="str">
            <v xml:space="preserve">Done </v>
          </cell>
          <cell r="AO161">
            <v>27</v>
          </cell>
          <cell r="AP161">
            <v>7</v>
          </cell>
          <cell r="AQ161" t="str">
            <v>H+L</v>
          </cell>
          <cell r="AR161" t="str">
            <v>NA</v>
          </cell>
          <cell r="AS161">
            <v>80</v>
          </cell>
          <cell r="AT161">
            <v>55</v>
          </cell>
          <cell r="AU161" t="str">
            <v>SLANT</v>
          </cell>
          <cell r="AV161" t="str">
            <v>SLANT / BEACHSIDE SUN</v>
          </cell>
          <cell r="AW161" t="str">
            <v>DU-EXE</v>
          </cell>
          <cell r="AX161" t="str">
            <v>BEACHSIDE SUN</v>
          </cell>
          <cell r="AY161">
            <v>3420000</v>
          </cell>
          <cell r="AZ161">
            <v>3600000</v>
          </cell>
          <cell r="BA161">
            <v>0</v>
          </cell>
          <cell r="BB161">
            <v>3600000</v>
          </cell>
          <cell r="BC161">
            <v>0</v>
          </cell>
          <cell r="BD161">
            <v>3600000</v>
          </cell>
        </row>
        <row r="162">
          <cell r="AD162" t="str">
            <v>ESE-01-027-008</v>
          </cell>
          <cell r="AE162" t="str">
            <v xml:space="preserve">Raemulan Lands, Inc. </v>
          </cell>
          <cell r="AF162" t="str">
            <v>Estanzia Enclave</v>
          </cell>
          <cell r="AG162" t="str">
            <v>ESE</v>
          </cell>
          <cell r="AH162" t="str">
            <v>Middle Income</v>
          </cell>
          <cell r="AI162" t="str">
            <v>01</v>
          </cell>
          <cell r="AJ162" t="str">
            <v>Batch 5 2025</v>
          </cell>
          <cell r="AK162">
            <v>80</v>
          </cell>
          <cell r="AL162" t="str">
            <v>PCS-04-032688</v>
          </cell>
          <cell r="AM162" t="b">
            <v>1</v>
          </cell>
          <cell r="AN162" t="str">
            <v xml:space="preserve">Done </v>
          </cell>
          <cell r="AO162">
            <v>27</v>
          </cell>
          <cell r="AP162">
            <v>8</v>
          </cell>
          <cell r="AQ162" t="str">
            <v>H+L</v>
          </cell>
          <cell r="AR162" t="str">
            <v>NA</v>
          </cell>
          <cell r="AS162">
            <v>80</v>
          </cell>
          <cell r="AT162">
            <v>55</v>
          </cell>
          <cell r="AU162" t="str">
            <v>SLANT</v>
          </cell>
          <cell r="AV162" t="str">
            <v>SLANT / HORIZON SUN</v>
          </cell>
          <cell r="AW162" t="str">
            <v>DU-EXE</v>
          </cell>
          <cell r="AX162" t="str">
            <v>HORIZON SUN</v>
          </cell>
          <cell r="AY162">
            <v>3420000</v>
          </cell>
          <cell r="AZ162">
            <v>3600000</v>
          </cell>
          <cell r="BA162">
            <v>0</v>
          </cell>
          <cell r="BB162">
            <v>3600000</v>
          </cell>
          <cell r="BC162">
            <v>0</v>
          </cell>
          <cell r="BD162">
            <v>3600000</v>
          </cell>
        </row>
        <row r="163">
          <cell r="AD163" t="str">
            <v>ESE-01-027-009</v>
          </cell>
          <cell r="AE163" t="str">
            <v xml:space="preserve">Raemulan Lands, Inc. </v>
          </cell>
          <cell r="AF163" t="str">
            <v>Estanzia Enclave</v>
          </cell>
          <cell r="AG163" t="str">
            <v>ESE</v>
          </cell>
          <cell r="AH163" t="str">
            <v>Middle Income</v>
          </cell>
          <cell r="AI163" t="str">
            <v>01</v>
          </cell>
          <cell r="AJ163" t="str">
            <v>Batch 5 2025</v>
          </cell>
          <cell r="AK163">
            <v>80</v>
          </cell>
          <cell r="AL163" t="str">
            <v>PCS-04-032688</v>
          </cell>
          <cell r="AM163" t="b">
            <v>1</v>
          </cell>
          <cell r="AN163" t="str">
            <v xml:space="preserve">Done </v>
          </cell>
          <cell r="AO163">
            <v>27</v>
          </cell>
          <cell r="AP163">
            <v>9</v>
          </cell>
          <cell r="AQ163" t="str">
            <v>H+L</v>
          </cell>
          <cell r="AR163" t="str">
            <v>NA</v>
          </cell>
          <cell r="AS163">
            <v>80</v>
          </cell>
          <cell r="AT163">
            <v>55</v>
          </cell>
          <cell r="AU163" t="str">
            <v>FLAT</v>
          </cell>
          <cell r="AV163" t="str">
            <v>FLAT / HORIZON SUN</v>
          </cell>
          <cell r="AW163" t="str">
            <v>DU-EXE</v>
          </cell>
          <cell r="AX163" t="str">
            <v>HORIZON SUN</v>
          </cell>
          <cell r="AY163">
            <v>3420000</v>
          </cell>
          <cell r="AZ163">
            <v>3600000</v>
          </cell>
          <cell r="BA163">
            <v>0</v>
          </cell>
          <cell r="BB163">
            <v>3600000</v>
          </cell>
          <cell r="BC163">
            <v>0</v>
          </cell>
          <cell r="BD163">
            <v>3600000</v>
          </cell>
        </row>
        <row r="164">
          <cell r="AD164" t="str">
            <v>ESE-01-027-010</v>
          </cell>
          <cell r="AE164" t="str">
            <v xml:space="preserve">Raemulan Lands, Inc. </v>
          </cell>
          <cell r="AF164" t="str">
            <v>Estanzia Enclave</v>
          </cell>
          <cell r="AG164" t="str">
            <v>ESE</v>
          </cell>
          <cell r="AH164" t="str">
            <v>Middle Income</v>
          </cell>
          <cell r="AI164" t="str">
            <v>01</v>
          </cell>
          <cell r="AJ164" t="str">
            <v>Batch 5 2025</v>
          </cell>
          <cell r="AK164">
            <v>80</v>
          </cell>
          <cell r="AL164" t="str">
            <v>PCS-04-032688</v>
          </cell>
          <cell r="AM164" t="b">
            <v>1</v>
          </cell>
          <cell r="AN164" t="str">
            <v xml:space="preserve">Done </v>
          </cell>
          <cell r="AO164">
            <v>27</v>
          </cell>
          <cell r="AP164">
            <v>10</v>
          </cell>
          <cell r="AQ164" t="str">
            <v>H+L</v>
          </cell>
          <cell r="AR164" t="str">
            <v>NA</v>
          </cell>
          <cell r="AS164">
            <v>80</v>
          </cell>
          <cell r="AT164">
            <v>55</v>
          </cell>
          <cell r="AU164" t="str">
            <v>FLAT</v>
          </cell>
          <cell r="AV164" t="str">
            <v>FLAT / HORIZON SUN</v>
          </cell>
          <cell r="AW164" t="str">
            <v>DU-EXE</v>
          </cell>
          <cell r="AX164" t="str">
            <v>HORIZON SUN</v>
          </cell>
          <cell r="AY164">
            <v>3420000</v>
          </cell>
          <cell r="AZ164">
            <v>3600000</v>
          </cell>
          <cell r="BA164">
            <v>0</v>
          </cell>
          <cell r="BB164">
            <v>3600000</v>
          </cell>
          <cell r="BC164">
            <v>0</v>
          </cell>
          <cell r="BD164">
            <v>3600000</v>
          </cell>
        </row>
        <row r="165">
          <cell r="AD165" t="str">
            <v>ESE-01-027-011</v>
          </cell>
          <cell r="AE165" t="str">
            <v xml:space="preserve">Raemulan Lands, Inc. </v>
          </cell>
          <cell r="AF165" t="str">
            <v>Estanzia Enclave</v>
          </cell>
          <cell r="AG165" t="str">
            <v>ESE</v>
          </cell>
          <cell r="AH165" t="str">
            <v>Middle Income</v>
          </cell>
          <cell r="AI165" t="str">
            <v>01</v>
          </cell>
          <cell r="AJ165" t="str">
            <v>Batch 5 2025</v>
          </cell>
          <cell r="AK165">
            <v>80</v>
          </cell>
          <cell r="AL165" t="str">
            <v>PCS-04-032688</v>
          </cell>
          <cell r="AM165" t="b">
            <v>1</v>
          </cell>
          <cell r="AN165" t="str">
            <v xml:space="preserve">Done </v>
          </cell>
          <cell r="AO165">
            <v>27</v>
          </cell>
          <cell r="AP165">
            <v>11</v>
          </cell>
          <cell r="AQ165" t="str">
            <v>H+L</v>
          </cell>
          <cell r="AR165" t="str">
            <v>NA</v>
          </cell>
          <cell r="AS165">
            <v>80</v>
          </cell>
          <cell r="AT165">
            <v>55</v>
          </cell>
          <cell r="AU165" t="str">
            <v>SLANT</v>
          </cell>
          <cell r="AV165" t="str">
            <v>SLANT / HORIZON SUN</v>
          </cell>
          <cell r="AW165" t="str">
            <v>DU-EXE</v>
          </cell>
          <cell r="AX165" t="str">
            <v>HORIZON SUN</v>
          </cell>
          <cell r="AY165">
            <v>3420000</v>
          </cell>
          <cell r="AZ165">
            <v>3600000</v>
          </cell>
          <cell r="BA165">
            <v>0</v>
          </cell>
          <cell r="BB165">
            <v>3600000</v>
          </cell>
          <cell r="BC165">
            <v>0</v>
          </cell>
          <cell r="BD165">
            <v>3600000</v>
          </cell>
        </row>
        <row r="166">
          <cell r="AD166" t="str">
            <v>ESE-01-027-015</v>
          </cell>
          <cell r="AE166" t="str">
            <v xml:space="preserve">Raemulan Lands, Inc. </v>
          </cell>
          <cell r="AF166" t="str">
            <v>Estanzia Enclave</v>
          </cell>
          <cell r="AG166" t="str">
            <v>ESE</v>
          </cell>
          <cell r="AH166" t="str">
            <v>Middle Income</v>
          </cell>
          <cell r="AI166" t="str">
            <v>01</v>
          </cell>
          <cell r="AJ166" t="str">
            <v>Batch 5 2025</v>
          </cell>
          <cell r="AK166">
            <v>80</v>
          </cell>
          <cell r="AL166" t="str">
            <v>PCS-04-032688</v>
          </cell>
          <cell r="AM166" t="b">
            <v>1</v>
          </cell>
          <cell r="AN166" t="str">
            <v xml:space="preserve">Done </v>
          </cell>
          <cell r="AO166">
            <v>27</v>
          </cell>
          <cell r="AP166">
            <v>15</v>
          </cell>
          <cell r="AQ166" t="str">
            <v>H+L</v>
          </cell>
          <cell r="AR166" t="str">
            <v>NA</v>
          </cell>
          <cell r="AS166">
            <v>80</v>
          </cell>
          <cell r="AT166">
            <v>55</v>
          </cell>
          <cell r="AU166" t="str">
            <v>SLANT</v>
          </cell>
          <cell r="AV166" t="str">
            <v>SLANT / BEACHSIDE SUN</v>
          </cell>
          <cell r="AW166" t="str">
            <v>DU-EXE</v>
          </cell>
          <cell r="AX166" t="str">
            <v>BEACHSIDE SUN</v>
          </cell>
          <cell r="AY166">
            <v>3420000</v>
          </cell>
          <cell r="AZ166">
            <v>3600000</v>
          </cell>
          <cell r="BA166">
            <v>0</v>
          </cell>
          <cell r="BB166">
            <v>3600000</v>
          </cell>
          <cell r="BC166">
            <v>0</v>
          </cell>
          <cell r="BD166">
            <v>3600000</v>
          </cell>
        </row>
        <row r="167">
          <cell r="AD167" t="str">
            <v>ESE-01-027-016</v>
          </cell>
          <cell r="AE167" t="str">
            <v xml:space="preserve">Raemulan Lands, Inc. </v>
          </cell>
          <cell r="AF167" t="str">
            <v>Estanzia Enclave</v>
          </cell>
          <cell r="AG167" t="str">
            <v>ESE</v>
          </cell>
          <cell r="AH167" t="str">
            <v>Middle Income</v>
          </cell>
          <cell r="AI167" t="str">
            <v>01</v>
          </cell>
          <cell r="AJ167" t="str">
            <v>Batch 5 2025</v>
          </cell>
          <cell r="AK167">
            <v>90</v>
          </cell>
          <cell r="AL167" t="str">
            <v>PCS-04-032688</v>
          </cell>
          <cell r="AM167" t="b">
            <v>1</v>
          </cell>
          <cell r="AN167" t="str">
            <v xml:space="preserve">Done </v>
          </cell>
          <cell r="AO167">
            <v>27</v>
          </cell>
          <cell r="AP167">
            <v>16</v>
          </cell>
          <cell r="AQ167" t="str">
            <v>H+L</v>
          </cell>
          <cell r="AR167" t="str">
            <v>NA</v>
          </cell>
          <cell r="AS167">
            <v>90</v>
          </cell>
          <cell r="AT167">
            <v>55</v>
          </cell>
          <cell r="AU167" t="str">
            <v>FLAT</v>
          </cell>
          <cell r="AV167" t="str">
            <v>FLAT / BEACHSIDE SUN</v>
          </cell>
          <cell r="AW167" t="str">
            <v>DU-EXE</v>
          </cell>
          <cell r="AX167" t="str">
            <v>BEACHSIDE SUN</v>
          </cell>
          <cell r="AY167">
            <v>3420000</v>
          </cell>
          <cell r="AZ167">
            <v>3600000</v>
          </cell>
          <cell r="BA167">
            <v>0</v>
          </cell>
          <cell r="BB167">
            <v>3600000</v>
          </cell>
          <cell r="BC167">
            <v>0</v>
          </cell>
          <cell r="BD167">
            <v>3600000</v>
          </cell>
        </row>
        <row r="168">
          <cell r="AD168" t="str">
            <v>ESE-01-027-017</v>
          </cell>
          <cell r="AE168" t="str">
            <v xml:space="preserve">Raemulan Lands, Inc. </v>
          </cell>
          <cell r="AF168" t="str">
            <v>Estanzia Enclave</v>
          </cell>
          <cell r="AG168" t="str">
            <v>ESE</v>
          </cell>
          <cell r="AH168" t="str">
            <v>Middle Income</v>
          </cell>
          <cell r="AI168" t="str">
            <v>01</v>
          </cell>
          <cell r="AJ168" t="str">
            <v>Batch 5 2025</v>
          </cell>
          <cell r="AK168">
            <v>90</v>
          </cell>
          <cell r="AL168" t="str">
            <v>PCS-04-032688</v>
          </cell>
          <cell r="AM168" t="b">
            <v>1</v>
          </cell>
          <cell r="AN168" t="str">
            <v xml:space="preserve">Done </v>
          </cell>
          <cell r="AO168">
            <v>27</v>
          </cell>
          <cell r="AP168">
            <v>17</v>
          </cell>
          <cell r="AQ168" t="str">
            <v>H+L</v>
          </cell>
          <cell r="AR168" t="str">
            <v>NA</v>
          </cell>
          <cell r="AS168">
            <v>90</v>
          </cell>
          <cell r="AT168">
            <v>55</v>
          </cell>
          <cell r="AU168" t="str">
            <v>FLAT</v>
          </cell>
          <cell r="AV168" t="str">
            <v>FLAT / BEACHSIDE SUN</v>
          </cell>
          <cell r="AW168" t="str">
            <v>DU-EXE</v>
          </cell>
          <cell r="AX168" t="str">
            <v>BEACHSIDE SUN</v>
          </cell>
          <cell r="AY168">
            <v>3420000</v>
          </cell>
          <cell r="AZ168">
            <v>3600000</v>
          </cell>
          <cell r="BA168">
            <v>0</v>
          </cell>
          <cell r="BB168">
            <v>3600000</v>
          </cell>
          <cell r="BC168">
            <v>0</v>
          </cell>
          <cell r="BD168">
            <v>3600000</v>
          </cell>
        </row>
        <row r="169">
          <cell r="AD169" t="str">
            <v>ESE-01-027-018</v>
          </cell>
          <cell r="AE169" t="str">
            <v xml:space="preserve">Raemulan Lands, Inc. </v>
          </cell>
          <cell r="AF169" t="str">
            <v>Estanzia Enclave</v>
          </cell>
          <cell r="AG169" t="str">
            <v>ESE</v>
          </cell>
          <cell r="AH169" t="str">
            <v>Middle Income</v>
          </cell>
          <cell r="AI169" t="str">
            <v>01</v>
          </cell>
          <cell r="AJ169" t="str">
            <v>Batch 5 2025</v>
          </cell>
          <cell r="AK169">
            <v>80</v>
          </cell>
          <cell r="AL169" t="str">
            <v>PCS-04-032688</v>
          </cell>
          <cell r="AM169" t="b">
            <v>1</v>
          </cell>
          <cell r="AN169" t="str">
            <v xml:space="preserve">Done </v>
          </cell>
          <cell r="AO169">
            <v>27</v>
          </cell>
          <cell r="AP169">
            <v>18</v>
          </cell>
          <cell r="AQ169" t="str">
            <v>H+L</v>
          </cell>
          <cell r="AR169" t="str">
            <v>NA</v>
          </cell>
          <cell r="AS169">
            <v>80</v>
          </cell>
          <cell r="AT169">
            <v>55</v>
          </cell>
          <cell r="AU169" t="str">
            <v>SLANT</v>
          </cell>
          <cell r="AV169" t="str">
            <v>SLANT / BEACHSIDE SUN</v>
          </cell>
          <cell r="AW169" t="str">
            <v>DU-EXE</v>
          </cell>
          <cell r="AX169" t="str">
            <v>BEACHSIDE SUN</v>
          </cell>
          <cell r="AY169">
            <v>3420000</v>
          </cell>
          <cell r="AZ169">
            <v>3600000</v>
          </cell>
          <cell r="BA169">
            <v>0</v>
          </cell>
          <cell r="BB169">
            <v>3600000</v>
          </cell>
          <cell r="BC169">
            <v>0</v>
          </cell>
          <cell r="BD169">
            <v>3600000</v>
          </cell>
        </row>
        <row r="170">
          <cell r="AD170" t="str">
            <v>ESE-01-027-019</v>
          </cell>
          <cell r="AE170" t="str">
            <v xml:space="preserve">Raemulan Lands, Inc. </v>
          </cell>
          <cell r="AF170" t="str">
            <v>Estanzia Enclave</v>
          </cell>
          <cell r="AG170" t="str">
            <v>ESE</v>
          </cell>
          <cell r="AH170" t="str">
            <v>Middle Income</v>
          </cell>
          <cell r="AI170" t="str">
            <v>01</v>
          </cell>
          <cell r="AJ170" t="str">
            <v>Batch 5 2025</v>
          </cell>
          <cell r="AK170">
            <v>80</v>
          </cell>
          <cell r="AL170" t="str">
            <v>PCS-04-032688</v>
          </cell>
          <cell r="AM170" t="b">
            <v>1</v>
          </cell>
          <cell r="AN170" t="str">
            <v xml:space="preserve">Done </v>
          </cell>
          <cell r="AO170">
            <v>27</v>
          </cell>
          <cell r="AP170">
            <v>19</v>
          </cell>
          <cell r="AQ170" t="str">
            <v>H+L</v>
          </cell>
          <cell r="AR170" t="str">
            <v>NA</v>
          </cell>
          <cell r="AS170">
            <v>80</v>
          </cell>
          <cell r="AT170">
            <v>55</v>
          </cell>
          <cell r="AU170" t="str">
            <v>SLANT</v>
          </cell>
          <cell r="AV170" t="str">
            <v>SLANT / HORIZON SUN</v>
          </cell>
          <cell r="AW170" t="str">
            <v>DU-EXE</v>
          </cell>
          <cell r="AX170" t="str">
            <v>HORIZON SUN</v>
          </cell>
          <cell r="AY170">
            <v>3420000</v>
          </cell>
          <cell r="AZ170">
            <v>3600000</v>
          </cell>
          <cell r="BA170">
            <v>0</v>
          </cell>
          <cell r="BB170">
            <v>3600000</v>
          </cell>
          <cell r="BC170">
            <v>0</v>
          </cell>
          <cell r="BD170">
            <v>3600000</v>
          </cell>
        </row>
        <row r="171">
          <cell r="AD171" t="str">
            <v>ESE-01-027-020</v>
          </cell>
          <cell r="AE171" t="str">
            <v xml:space="preserve">Raemulan Lands, Inc. </v>
          </cell>
          <cell r="AF171" t="str">
            <v>Estanzia Enclave</v>
          </cell>
          <cell r="AG171" t="str">
            <v>ESE</v>
          </cell>
          <cell r="AH171" t="str">
            <v>Middle Income</v>
          </cell>
          <cell r="AI171" t="str">
            <v>01</v>
          </cell>
          <cell r="AJ171" t="str">
            <v>Batch 5 2025</v>
          </cell>
          <cell r="AK171">
            <v>80</v>
          </cell>
          <cell r="AL171" t="str">
            <v>PCS-04-032688</v>
          </cell>
          <cell r="AM171" t="b">
            <v>1</v>
          </cell>
          <cell r="AN171" t="str">
            <v xml:space="preserve">Done </v>
          </cell>
          <cell r="AO171">
            <v>27</v>
          </cell>
          <cell r="AP171">
            <v>20</v>
          </cell>
          <cell r="AQ171" t="str">
            <v>H+L</v>
          </cell>
          <cell r="AR171" t="str">
            <v>NA</v>
          </cell>
          <cell r="AS171">
            <v>80</v>
          </cell>
          <cell r="AT171">
            <v>55</v>
          </cell>
          <cell r="AU171" t="str">
            <v>FLAT</v>
          </cell>
          <cell r="AV171" t="str">
            <v>FLAT / HORIZON SUN</v>
          </cell>
          <cell r="AW171" t="str">
            <v>DU-EXE</v>
          </cell>
          <cell r="AX171" t="str">
            <v>HORIZON SUN</v>
          </cell>
          <cell r="AY171">
            <v>3420000</v>
          </cell>
          <cell r="AZ171">
            <v>3600000</v>
          </cell>
          <cell r="BA171">
            <v>0</v>
          </cell>
          <cell r="BB171">
            <v>3600000</v>
          </cell>
          <cell r="BC171">
            <v>0</v>
          </cell>
          <cell r="BD171">
            <v>3600000</v>
          </cell>
        </row>
        <row r="172">
          <cell r="AD172" t="str">
            <v>ESE-01-027-021</v>
          </cell>
          <cell r="AE172" t="str">
            <v xml:space="preserve">Raemulan Lands, Inc. </v>
          </cell>
          <cell r="AF172" t="str">
            <v>Estanzia Enclave</v>
          </cell>
          <cell r="AG172" t="str">
            <v>ESE</v>
          </cell>
          <cell r="AH172" t="str">
            <v>Middle Income</v>
          </cell>
          <cell r="AI172" t="str">
            <v>01</v>
          </cell>
          <cell r="AJ172" t="str">
            <v>LOT ONLY</v>
          </cell>
          <cell r="AK172">
            <v>101</v>
          </cell>
          <cell r="AL172" t="str">
            <v>PCS-04-032688</v>
          </cell>
          <cell r="AM172" t="b">
            <v>1</v>
          </cell>
          <cell r="AN172" t="str">
            <v xml:space="preserve">Done </v>
          </cell>
          <cell r="AO172">
            <v>27</v>
          </cell>
          <cell r="AP172">
            <v>21</v>
          </cell>
          <cell r="AQ172" t="str">
            <v>LO</v>
          </cell>
          <cell r="AR172" t="str">
            <v>NA</v>
          </cell>
          <cell r="AS172">
            <v>101</v>
          </cell>
          <cell r="AT172" t="str">
            <v>N/A</v>
          </cell>
          <cell r="AU172" t="str">
            <v>NA</v>
          </cell>
          <cell r="AV172" t="str">
            <v>NA / NA</v>
          </cell>
          <cell r="AW172" t="str">
            <v>LO</v>
          </cell>
          <cell r="AX172" t="str">
            <v>NA</v>
          </cell>
          <cell r="AY172">
            <v>3420000</v>
          </cell>
          <cell r="AZ172">
            <v>1818000</v>
          </cell>
          <cell r="BA172">
            <v>0</v>
          </cell>
          <cell r="BB172">
            <v>1818000</v>
          </cell>
          <cell r="BC172">
            <v>194785.71428571429</v>
          </cell>
          <cell r="BD172">
            <v>1623214.2857142857</v>
          </cell>
        </row>
        <row r="173">
          <cell r="AD173" t="str">
            <v>ESE-01-028-001</v>
          </cell>
          <cell r="AE173" t="str">
            <v xml:space="preserve">Raemulan Lands, Inc. </v>
          </cell>
          <cell r="AF173" t="str">
            <v>Estanzia Enclave</v>
          </cell>
          <cell r="AG173" t="str">
            <v>ESE</v>
          </cell>
          <cell r="AH173" t="str">
            <v>Middle Income</v>
          </cell>
          <cell r="AI173" t="str">
            <v>01</v>
          </cell>
          <cell r="AJ173" t="str">
            <v>LOT ONLY</v>
          </cell>
          <cell r="AK173">
            <v>105</v>
          </cell>
          <cell r="AL173" t="str">
            <v>PCS-04-032688</v>
          </cell>
          <cell r="AM173" t="b">
            <v>1</v>
          </cell>
          <cell r="AN173" t="str">
            <v xml:space="preserve">Done </v>
          </cell>
          <cell r="AO173">
            <v>28</v>
          </cell>
          <cell r="AP173">
            <v>1</v>
          </cell>
          <cell r="AQ173" t="str">
            <v>LO</v>
          </cell>
          <cell r="AR173" t="str">
            <v>NA</v>
          </cell>
          <cell r="AS173">
            <v>105</v>
          </cell>
          <cell r="AT173" t="str">
            <v>N/A</v>
          </cell>
          <cell r="AU173" t="str">
            <v>NA</v>
          </cell>
          <cell r="AV173" t="str">
            <v>NA / NA</v>
          </cell>
          <cell r="AW173" t="str">
            <v>LO</v>
          </cell>
          <cell r="AX173" t="str">
            <v>NA</v>
          </cell>
          <cell r="AY173">
            <v>3420000</v>
          </cell>
          <cell r="AZ173">
            <v>1890000</v>
          </cell>
          <cell r="BA173">
            <v>0</v>
          </cell>
          <cell r="BB173">
            <v>1890000</v>
          </cell>
          <cell r="BC173">
            <v>202500</v>
          </cell>
          <cell r="BD173">
            <v>1687500</v>
          </cell>
        </row>
        <row r="174">
          <cell r="AD174" t="str">
            <v>ESE-01-028-002</v>
          </cell>
          <cell r="AE174" t="str">
            <v xml:space="preserve">Raemulan Lands, Inc. </v>
          </cell>
          <cell r="AF174" t="str">
            <v>Estanzia Enclave</v>
          </cell>
          <cell r="AG174" t="str">
            <v>ESE</v>
          </cell>
          <cell r="AH174" t="str">
            <v>Middle Income</v>
          </cell>
          <cell r="AI174" t="str">
            <v>01</v>
          </cell>
          <cell r="AJ174" t="str">
            <v>Batch 5 2025</v>
          </cell>
          <cell r="AK174">
            <v>80</v>
          </cell>
          <cell r="AL174" t="str">
            <v>PCS-04-032688</v>
          </cell>
          <cell r="AM174" t="b">
            <v>1</v>
          </cell>
          <cell r="AN174" t="str">
            <v xml:space="preserve">Done </v>
          </cell>
          <cell r="AO174">
            <v>28</v>
          </cell>
          <cell r="AP174">
            <v>2</v>
          </cell>
          <cell r="AQ174" t="str">
            <v>H+L</v>
          </cell>
          <cell r="AR174" t="str">
            <v>NA</v>
          </cell>
          <cell r="AS174">
            <v>80</v>
          </cell>
          <cell r="AT174">
            <v>55</v>
          </cell>
          <cell r="AU174" t="str">
            <v>SLANT</v>
          </cell>
          <cell r="AV174" t="str">
            <v>SLANT / HORIZON SUN</v>
          </cell>
          <cell r="AW174" t="str">
            <v>DU-EXE</v>
          </cell>
          <cell r="AX174" t="str">
            <v>HORIZON SUN</v>
          </cell>
          <cell r="AY174">
            <v>3420000</v>
          </cell>
          <cell r="AZ174">
            <v>3600000</v>
          </cell>
          <cell r="BA174">
            <v>0</v>
          </cell>
          <cell r="BB174">
            <v>3600000</v>
          </cell>
          <cell r="BC174">
            <v>0</v>
          </cell>
          <cell r="BD174">
            <v>3600000</v>
          </cell>
        </row>
        <row r="175">
          <cell r="AD175" t="str">
            <v>ESE-01-028-003</v>
          </cell>
          <cell r="AE175" t="str">
            <v xml:space="preserve">Raemulan Lands, Inc. </v>
          </cell>
          <cell r="AF175" t="str">
            <v>Estanzia Enclave</v>
          </cell>
          <cell r="AG175" t="str">
            <v>ESE</v>
          </cell>
          <cell r="AH175" t="str">
            <v>Middle Income</v>
          </cell>
          <cell r="AI175" t="str">
            <v>01</v>
          </cell>
          <cell r="AJ175" t="str">
            <v>Batch 5 2025</v>
          </cell>
          <cell r="AK175">
            <v>97</v>
          </cell>
          <cell r="AL175" t="str">
            <v>PCS-04-032688</v>
          </cell>
          <cell r="AM175" t="b">
            <v>1</v>
          </cell>
          <cell r="AN175" t="str">
            <v xml:space="preserve">Done </v>
          </cell>
          <cell r="AO175">
            <v>28</v>
          </cell>
          <cell r="AP175">
            <v>3</v>
          </cell>
          <cell r="AQ175" t="str">
            <v>H+L</v>
          </cell>
          <cell r="AR175" t="str">
            <v>NA</v>
          </cell>
          <cell r="AS175">
            <v>97</v>
          </cell>
          <cell r="AT175">
            <v>55</v>
          </cell>
          <cell r="AU175" t="str">
            <v>FLAT</v>
          </cell>
          <cell r="AV175" t="str">
            <v>FLAT / HORIZON SUN</v>
          </cell>
          <cell r="AW175" t="str">
            <v>DU-EXE</v>
          </cell>
          <cell r="AX175" t="str">
            <v>HORIZON SUN</v>
          </cell>
          <cell r="AY175">
            <v>3420000</v>
          </cell>
          <cell r="AZ175">
            <v>3600000</v>
          </cell>
          <cell r="BA175">
            <v>0</v>
          </cell>
          <cell r="BB175">
            <v>3600000</v>
          </cell>
          <cell r="BC175">
            <v>0</v>
          </cell>
          <cell r="BD175">
            <v>3600000</v>
          </cell>
        </row>
        <row r="176">
          <cell r="AD176" t="str">
            <v>ESE-01-029-001</v>
          </cell>
          <cell r="AE176" t="str">
            <v xml:space="preserve">Raemulan Lands, Inc. </v>
          </cell>
          <cell r="AF176" t="str">
            <v>Estanzia Enclave</v>
          </cell>
          <cell r="AG176" t="str">
            <v>ESE</v>
          </cell>
          <cell r="AH176" t="str">
            <v>Middle Income</v>
          </cell>
          <cell r="AI176" t="str">
            <v>01</v>
          </cell>
          <cell r="AJ176" t="str">
            <v>LOT ONLY</v>
          </cell>
          <cell r="AK176">
            <v>114</v>
          </cell>
          <cell r="AL176" t="str">
            <v>PCS-04-032688</v>
          </cell>
          <cell r="AM176" t="b">
            <v>1</v>
          </cell>
          <cell r="AN176" t="str">
            <v xml:space="preserve">Done </v>
          </cell>
          <cell r="AO176">
            <v>29</v>
          </cell>
          <cell r="AP176">
            <v>1</v>
          </cell>
          <cell r="AQ176" t="str">
            <v>LO</v>
          </cell>
          <cell r="AR176" t="str">
            <v>NA</v>
          </cell>
          <cell r="AS176">
            <v>114</v>
          </cell>
          <cell r="AT176" t="str">
            <v>N/A</v>
          </cell>
          <cell r="AU176" t="str">
            <v>NA</v>
          </cell>
          <cell r="AV176" t="str">
            <v>NA / NA</v>
          </cell>
          <cell r="AW176" t="str">
            <v>LO</v>
          </cell>
          <cell r="AX176" t="str">
            <v>NA</v>
          </cell>
          <cell r="AY176">
            <v>3420000</v>
          </cell>
          <cell r="AZ176">
            <v>2052000</v>
          </cell>
          <cell r="BA176">
            <v>0</v>
          </cell>
          <cell r="BB176">
            <v>2052000</v>
          </cell>
          <cell r="BC176">
            <v>219857.14285714287</v>
          </cell>
          <cell r="BD176">
            <v>1832142.857142857</v>
          </cell>
        </row>
        <row r="177">
          <cell r="AD177" t="str">
            <v>ESE-01-029-002</v>
          </cell>
          <cell r="AE177" t="str">
            <v xml:space="preserve">Raemulan Lands, Inc. </v>
          </cell>
          <cell r="AF177" t="str">
            <v>Estanzia Enclave</v>
          </cell>
          <cell r="AG177" t="str">
            <v>ESE</v>
          </cell>
          <cell r="AH177" t="str">
            <v>Middle Income</v>
          </cell>
          <cell r="AI177" t="str">
            <v>01</v>
          </cell>
          <cell r="AJ177" t="str">
            <v>Batch 5 2025</v>
          </cell>
          <cell r="AK177">
            <v>80</v>
          </cell>
          <cell r="AL177" t="str">
            <v>PCS-04-032688</v>
          </cell>
          <cell r="AM177" t="b">
            <v>1</v>
          </cell>
          <cell r="AN177" t="str">
            <v xml:space="preserve">Done </v>
          </cell>
          <cell r="AO177">
            <v>29</v>
          </cell>
          <cell r="AP177">
            <v>2</v>
          </cell>
          <cell r="AQ177" t="str">
            <v>H+L</v>
          </cell>
          <cell r="AR177" t="str">
            <v>NA</v>
          </cell>
          <cell r="AS177">
            <v>80</v>
          </cell>
          <cell r="AT177">
            <v>55</v>
          </cell>
          <cell r="AU177" t="str">
            <v>SLANT</v>
          </cell>
          <cell r="AV177" t="str">
            <v>SLANT / HORIZON SUN</v>
          </cell>
          <cell r="AW177" t="str">
            <v>DU-EXE</v>
          </cell>
          <cell r="AX177" t="str">
            <v>HORIZON SUN</v>
          </cell>
          <cell r="AY177">
            <v>3420000</v>
          </cell>
          <cell r="AZ177">
            <v>3600000</v>
          </cell>
          <cell r="BA177">
            <v>0</v>
          </cell>
          <cell r="BB177">
            <v>3600000</v>
          </cell>
          <cell r="BC177">
            <v>0</v>
          </cell>
          <cell r="BD177">
            <v>3600000</v>
          </cell>
        </row>
        <row r="178">
          <cell r="AD178" t="str">
            <v>ESE-01-029-004</v>
          </cell>
          <cell r="AE178" t="str">
            <v xml:space="preserve">Raemulan Lands, Inc. </v>
          </cell>
          <cell r="AF178" t="str">
            <v>Estanzia Enclave</v>
          </cell>
          <cell r="AG178" t="str">
            <v>ESE</v>
          </cell>
          <cell r="AH178" t="str">
            <v>Middle Income</v>
          </cell>
          <cell r="AI178" t="str">
            <v>01</v>
          </cell>
          <cell r="AJ178" t="str">
            <v>Batch 5 2025</v>
          </cell>
          <cell r="AK178">
            <v>80</v>
          </cell>
          <cell r="AL178" t="str">
            <v>PCS-04-032688</v>
          </cell>
          <cell r="AM178" t="b">
            <v>1</v>
          </cell>
          <cell r="AN178" t="str">
            <v xml:space="preserve">Done </v>
          </cell>
          <cell r="AO178">
            <v>29</v>
          </cell>
          <cell r="AP178">
            <v>4</v>
          </cell>
          <cell r="AQ178" t="str">
            <v>H+L</v>
          </cell>
          <cell r="AR178" t="str">
            <v>NA</v>
          </cell>
          <cell r="AS178">
            <v>80</v>
          </cell>
          <cell r="AT178">
            <v>55</v>
          </cell>
          <cell r="AU178" t="str">
            <v>FLAT</v>
          </cell>
          <cell r="AV178" t="str">
            <v>FLAT / HORIZON SUN</v>
          </cell>
          <cell r="AW178" t="str">
            <v>DU-EXE</v>
          </cell>
          <cell r="AX178" t="str">
            <v>HORIZON SUN</v>
          </cell>
          <cell r="AY178">
            <v>3600000</v>
          </cell>
          <cell r="AZ178">
            <v>3600000</v>
          </cell>
          <cell r="BA178">
            <v>432000</v>
          </cell>
          <cell r="BB178">
            <v>3168000</v>
          </cell>
          <cell r="BC178">
            <v>0</v>
          </cell>
          <cell r="BD178">
            <v>3168000</v>
          </cell>
        </row>
        <row r="179">
          <cell r="AD179" t="str">
            <v>ESE-01-029-005</v>
          </cell>
          <cell r="AE179" t="str">
            <v xml:space="preserve">Raemulan Lands, Inc. </v>
          </cell>
          <cell r="AF179" t="str">
            <v>Estanzia Enclave</v>
          </cell>
          <cell r="AG179" t="str">
            <v>ESE</v>
          </cell>
          <cell r="AH179" t="str">
            <v>Middle Income</v>
          </cell>
          <cell r="AI179" t="str">
            <v>01</v>
          </cell>
          <cell r="AJ179" t="str">
            <v>Batch 5 2025</v>
          </cell>
          <cell r="AK179">
            <v>88</v>
          </cell>
          <cell r="AL179" t="str">
            <v>PCS-04-032688</v>
          </cell>
          <cell r="AM179" t="b">
            <v>1</v>
          </cell>
          <cell r="AN179" t="str">
            <v xml:space="preserve">Done </v>
          </cell>
          <cell r="AO179">
            <v>29</v>
          </cell>
          <cell r="AP179">
            <v>5</v>
          </cell>
          <cell r="AQ179" t="str">
            <v>H+L</v>
          </cell>
          <cell r="AR179" t="str">
            <v>NA</v>
          </cell>
          <cell r="AS179">
            <v>88</v>
          </cell>
          <cell r="AT179">
            <v>55</v>
          </cell>
          <cell r="AU179" t="str">
            <v>FLAT</v>
          </cell>
          <cell r="AV179" t="str">
            <v>FLAT / BEACHSIDE SUN</v>
          </cell>
          <cell r="AW179" t="str">
            <v>DU-EXE</v>
          </cell>
          <cell r="AX179" t="str">
            <v>BEACHSIDE SUN</v>
          </cell>
          <cell r="AY179">
            <v>3420000</v>
          </cell>
          <cell r="AZ179">
            <v>3720000</v>
          </cell>
          <cell r="BA179">
            <v>0</v>
          </cell>
          <cell r="BB179">
            <v>3720000</v>
          </cell>
          <cell r="BC179">
            <v>398571.42857142858</v>
          </cell>
          <cell r="BD179">
            <v>3321428.5714285714</v>
          </cell>
        </row>
        <row r="180">
          <cell r="AD180" t="str">
            <v>ESE-01-029-006</v>
          </cell>
          <cell r="AE180" t="str">
            <v xml:space="preserve">Raemulan Lands, Inc. </v>
          </cell>
          <cell r="AF180" t="str">
            <v>Estanzia Enclave</v>
          </cell>
          <cell r="AG180" t="str">
            <v>ESE</v>
          </cell>
          <cell r="AH180" t="str">
            <v>Middle Income</v>
          </cell>
          <cell r="AI180" t="str">
            <v>01</v>
          </cell>
          <cell r="AJ180" t="str">
            <v>Batch 5 2025</v>
          </cell>
          <cell r="AK180">
            <v>101</v>
          </cell>
          <cell r="AL180" t="str">
            <v>PCS-04-032688</v>
          </cell>
          <cell r="AM180" t="b">
            <v>1</v>
          </cell>
          <cell r="AN180" t="str">
            <v xml:space="preserve">Done </v>
          </cell>
          <cell r="AO180">
            <v>29</v>
          </cell>
          <cell r="AP180">
            <v>6</v>
          </cell>
          <cell r="AQ180" t="str">
            <v>H+L</v>
          </cell>
          <cell r="AR180" t="str">
            <v>NA</v>
          </cell>
          <cell r="AS180">
            <v>101</v>
          </cell>
          <cell r="AT180">
            <v>55</v>
          </cell>
          <cell r="AU180" t="str">
            <v>SLANT</v>
          </cell>
          <cell r="AV180" t="str">
            <v>SLANT / BEACHSIDE SUN</v>
          </cell>
          <cell r="AW180" t="str">
            <v>DU-EXE</v>
          </cell>
          <cell r="AX180" t="str">
            <v>BEACHSIDE SUN</v>
          </cell>
          <cell r="AY180">
            <v>3420000</v>
          </cell>
          <cell r="AZ180">
            <v>3915000</v>
          </cell>
          <cell r="BA180">
            <v>0</v>
          </cell>
          <cell r="BB180">
            <v>3915000</v>
          </cell>
          <cell r="BC180">
            <v>419464.28571428574</v>
          </cell>
          <cell r="BD180">
            <v>3495535.7142857141</v>
          </cell>
        </row>
        <row r="181">
          <cell r="AD181" t="str">
            <v>ESE-01-029-007</v>
          </cell>
          <cell r="AE181" t="str">
            <v xml:space="preserve">Raemulan Lands, Inc. </v>
          </cell>
          <cell r="AF181" t="str">
            <v>Estanzia Enclave</v>
          </cell>
          <cell r="AG181" t="str">
            <v>ESE</v>
          </cell>
          <cell r="AH181" t="str">
            <v>Middle Income</v>
          </cell>
          <cell r="AI181" t="str">
            <v>01</v>
          </cell>
          <cell r="AJ181" t="str">
            <v>Batch 5 2025</v>
          </cell>
          <cell r="AK181">
            <v>92</v>
          </cell>
          <cell r="AL181" t="str">
            <v>PCS-04-032688</v>
          </cell>
          <cell r="AM181" t="b">
            <v>1</v>
          </cell>
          <cell r="AN181" t="str">
            <v xml:space="preserve">Done </v>
          </cell>
          <cell r="AO181">
            <v>29</v>
          </cell>
          <cell r="AP181">
            <v>7</v>
          </cell>
          <cell r="AQ181" t="str">
            <v>H+L</v>
          </cell>
          <cell r="AR181" t="str">
            <v>NA</v>
          </cell>
          <cell r="AS181">
            <v>92</v>
          </cell>
          <cell r="AT181">
            <v>55</v>
          </cell>
          <cell r="AU181" t="str">
            <v>SLANT</v>
          </cell>
          <cell r="AV181" t="str">
            <v>SLANT / HORIZON SUN</v>
          </cell>
          <cell r="AW181" t="str">
            <v>DU-EXE</v>
          </cell>
          <cell r="AX181" t="str">
            <v>HORIZON SUN</v>
          </cell>
          <cell r="AY181">
            <v>3420000</v>
          </cell>
          <cell r="AZ181">
            <v>3780000</v>
          </cell>
          <cell r="BA181">
            <v>0</v>
          </cell>
          <cell r="BB181">
            <v>3780000</v>
          </cell>
          <cell r="BC181">
            <v>405000</v>
          </cell>
          <cell r="BD181">
            <v>3375000</v>
          </cell>
        </row>
        <row r="182">
          <cell r="AD182" t="str">
            <v>ESE-01-029-008</v>
          </cell>
          <cell r="AE182" t="str">
            <v xml:space="preserve">Raemulan Lands, Inc. </v>
          </cell>
          <cell r="AF182" t="str">
            <v>Estanzia Enclave</v>
          </cell>
          <cell r="AG182" t="str">
            <v>ESE</v>
          </cell>
          <cell r="AH182" t="str">
            <v>Middle Income</v>
          </cell>
          <cell r="AI182" t="str">
            <v>01</v>
          </cell>
          <cell r="AJ182" t="str">
            <v>Batch 5 2025</v>
          </cell>
          <cell r="AK182">
            <v>84</v>
          </cell>
          <cell r="AL182" t="str">
            <v>PCS-04-032688</v>
          </cell>
          <cell r="AM182" t="b">
            <v>1</v>
          </cell>
          <cell r="AN182" t="str">
            <v xml:space="preserve">Done </v>
          </cell>
          <cell r="AO182">
            <v>29</v>
          </cell>
          <cell r="AP182">
            <v>8</v>
          </cell>
          <cell r="AQ182" t="str">
            <v>H+L</v>
          </cell>
          <cell r="AR182" t="str">
            <v>NA</v>
          </cell>
          <cell r="AS182">
            <v>84</v>
          </cell>
          <cell r="AT182">
            <v>55</v>
          </cell>
          <cell r="AU182" t="str">
            <v>FLAT</v>
          </cell>
          <cell r="AV182" t="str">
            <v>FLAT / HORIZON SUN</v>
          </cell>
          <cell r="AW182" t="str">
            <v>DU-EXE</v>
          </cell>
          <cell r="AX182" t="str">
            <v>HORIZON SUN</v>
          </cell>
          <cell r="AY182">
            <v>3420000</v>
          </cell>
          <cell r="AZ182">
            <v>3660000</v>
          </cell>
          <cell r="BA182">
            <v>0</v>
          </cell>
          <cell r="BB182">
            <v>3660000</v>
          </cell>
          <cell r="BC182">
            <v>392142.85714285716</v>
          </cell>
          <cell r="BD182">
            <v>3267857.1428571427</v>
          </cell>
        </row>
        <row r="183">
          <cell r="AD183" t="str">
            <v>ESE-01-030-001</v>
          </cell>
          <cell r="AE183" t="str">
            <v xml:space="preserve">Raemulan Lands, Inc. </v>
          </cell>
          <cell r="AF183" t="str">
            <v>Estanzia Enclave</v>
          </cell>
          <cell r="AG183" t="str">
            <v>ESE</v>
          </cell>
          <cell r="AH183" t="str">
            <v>Middle Income</v>
          </cell>
          <cell r="AI183" t="str">
            <v>01</v>
          </cell>
          <cell r="AJ183" t="str">
            <v>LOT ONLY</v>
          </cell>
          <cell r="AK183">
            <v>156</v>
          </cell>
          <cell r="AL183" t="str">
            <v>PCS-04-032688</v>
          </cell>
          <cell r="AM183" t="b">
            <v>1</v>
          </cell>
          <cell r="AN183" t="str">
            <v xml:space="preserve">Done </v>
          </cell>
          <cell r="AO183">
            <v>30</v>
          </cell>
          <cell r="AP183">
            <v>1</v>
          </cell>
          <cell r="AQ183" t="str">
            <v>LO</v>
          </cell>
          <cell r="AR183" t="str">
            <v>NA</v>
          </cell>
          <cell r="AS183">
            <v>156</v>
          </cell>
          <cell r="AT183" t="str">
            <v>N/A</v>
          </cell>
          <cell r="AU183" t="str">
            <v>NA</v>
          </cell>
          <cell r="AV183" t="str">
            <v>NA / NA</v>
          </cell>
          <cell r="AW183" t="str">
            <v>LO</v>
          </cell>
          <cell r="AX183" t="str">
            <v>NA</v>
          </cell>
          <cell r="AY183">
            <v>3420000</v>
          </cell>
          <cell r="AZ183">
            <v>2808000</v>
          </cell>
          <cell r="BA183">
            <v>0</v>
          </cell>
          <cell r="BB183">
            <v>2808000</v>
          </cell>
          <cell r="BC183">
            <v>300857.14285714284</v>
          </cell>
          <cell r="BD183">
            <v>2507142.8571428573</v>
          </cell>
        </row>
        <row r="184">
          <cell r="AD184" t="str">
            <v>ESE-01-030-002</v>
          </cell>
          <cell r="AE184" t="str">
            <v xml:space="preserve">Raemulan Lands, Inc. </v>
          </cell>
          <cell r="AF184" t="str">
            <v>Estanzia Enclave</v>
          </cell>
          <cell r="AG184" t="str">
            <v>ESE</v>
          </cell>
          <cell r="AH184" t="str">
            <v>Middle Income</v>
          </cell>
          <cell r="AI184" t="str">
            <v>01</v>
          </cell>
          <cell r="AJ184" t="str">
            <v>LOT ONLY</v>
          </cell>
          <cell r="AK184">
            <v>156</v>
          </cell>
          <cell r="AL184" t="str">
            <v>PCS-04-032688</v>
          </cell>
          <cell r="AM184" t="b">
            <v>1</v>
          </cell>
          <cell r="AN184" t="str">
            <v xml:space="preserve">Done </v>
          </cell>
          <cell r="AO184">
            <v>30</v>
          </cell>
          <cell r="AP184">
            <v>2</v>
          </cell>
          <cell r="AQ184" t="str">
            <v>LO</v>
          </cell>
          <cell r="AR184" t="str">
            <v>NA</v>
          </cell>
          <cell r="AS184">
            <v>156</v>
          </cell>
          <cell r="AT184" t="str">
            <v>N/A</v>
          </cell>
          <cell r="AU184" t="str">
            <v>NA</v>
          </cell>
          <cell r="AV184" t="str">
            <v>NA / NA</v>
          </cell>
          <cell r="AW184" t="str">
            <v>LO</v>
          </cell>
          <cell r="AX184" t="str">
            <v>NA</v>
          </cell>
          <cell r="AY184">
            <v>3420000</v>
          </cell>
          <cell r="AZ184">
            <v>2808000</v>
          </cell>
          <cell r="BA184">
            <v>0</v>
          </cell>
          <cell r="BB184">
            <v>2808000</v>
          </cell>
          <cell r="BC184">
            <v>300857.14285714284</v>
          </cell>
          <cell r="BD184">
            <v>2507142.8571428573</v>
          </cell>
        </row>
        <row r="185">
          <cell r="AD185" t="str">
            <v>ESE-01-030-003</v>
          </cell>
          <cell r="AE185" t="str">
            <v xml:space="preserve">Raemulan Lands, Inc. </v>
          </cell>
          <cell r="AF185" t="str">
            <v>Estanzia Enclave</v>
          </cell>
          <cell r="AG185" t="str">
            <v>ESE</v>
          </cell>
          <cell r="AH185" t="str">
            <v>Middle Income</v>
          </cell>
          <cell r="AI185" t="str">
            <v>01</v>
          </cell>
          <cell r="AJ185" t="str">
            <v>LOT ONLY</v>
          </cell>
          <cell r="AK185">
            <v>160</v>
          </cell>
          <cell r="AL185" t="str">
            <v>PCS-04-032688</v>
          </cell>
          <cell r="AM185" t="b">
            <v>1</v>
          </cell>
          <cell r="AN185" t="str">
            <v xml:space="preserve">Done </v>
          </cell>
          <cell r="AO185">
            <v>30</v>
          </cell>
          <cell r="AP185">
            <v>3</v>
          </cell>
          <cell r="AQ185" t="str">
            <v>LO</v>
          </cell>
          <cell r="AR185" t="str">
            <v>NA</v>
          </cell>
          <cell r="AS185">
            <v>160</v>
          </cell>
          <cell r="AT185" t="str">
            <v>N/A</v>
          </cell>
          <cell r="AU185" t="str">
            <v>NA</v>
          </cell>
          <cell r="AV185" t="str">
            <v>NA / NA</v>
          </cell>
          <cell r="AW185" t="str">
            <v>LO</v>
          </cell>
          <cell r="AX185" t="str">
            <v>NA</v>
          </cell>
          <cell r="AY185">
            <v>3420000</v>
          </cell>
          <cell r="AZ185">
            <v>2880000</v>
          </cell>
          <cell r="BA185">
            <v>0</v>
          </cell>
          <cell r="BB185">
            <v>2880000</v>
          </cell>
          <cell r="BC185">
            <v>308571.42857142858</v>
          </cell>
          <cell r="BD185">
            <v>2571428.5714285714</v>
          </cell>
        </row>
        <row r="186">
          <cell r="AD186" t="str">
            <v>ESE-01-030-004</v>
          </cell>
          <cell r="AE186" t="str">
            <v xml:space="preserve">Raemulan Lands, Inc. </v>
          </cell>
          <cell r="AF186" t="str">
            <v>Estanzia Enclave</v>
          </cell>
          <cell r="AG186" t="str">
            <v>ESE</v>
          </cell>
          <cell r="AH186" t="str">
            <v>Middle Income</v>
          </cell>
          <cell r="AI186" t="str">
            <v>01</v>
          </cell>
          <cell r="AJ186" t="str">
            <v>Batch 3 2025</v>
          </cell>
          <cell r="AK186">
            <v>80</v>
          </cell>
          <cell r="AL186" t="str">
            <v>PCS-04-032688</v>
          </cell>
          <cell r="AM186" t="b">
            <v>1</v>
          </cell>
          <cell r="AN186" t="str">
            <v xml:space="preserve">Done </v>
          </cell>
          <cell r="AO186">
            <v>30</v>
          </cell>
          <cell r="AP186">
            <v>4</v>
          </cell>
          <cell r="AQ186" t="str">
            <v>H+L</v>
          </cell>
          <cell r="AR186" t="str">
            <v>NA</v>
          </cell>
          <cell r="AS186">
            <v>80</v>
          </cell>
          <cell r="AT186">
            <v>55</v>
          </cell>
          <cell r="AU186" t="str">
            <v>SLANT</v>
          </cell>
          <cell r="AV186" t="str">
            <v>SLANT / HORIZON SUN</v>
          </cell>
          <cell r="AW186" t="str">
            <v>DU-EXE</v>
          </cell>
          <cell r="AX186" t="str">
            <v>HORIZON SUN</v>
          </cell>
          <cell r="AY186">
            <v>3420000</v>
          </cell>
          <cell r="AZ186">
            <v>3600000</v>
          </cell>
          <cell r="BA186">
            <v>612000</v>
          </cell>
          <cell r="BB186">
            <v>2988000</v>
          </cell>
          <cell r="BC186">
            <v>0</v>
          </cell>
          <cell r="BD186">
            <v>2988000</v>
          </cell>
        </row>
        <row r="187">
          <cell r="AD187" t="str">
            <v>ESE-01-030-005</v>
          </cell>
          <cell r="AE187" t="str">
            <v xml:space="preserve">Raemulan Lands, Inc. </v>
          </cell>
          <cell r="AF187" t="str">
            <v>Estanzia Enclave</v>
          </cell>
          <cell r="AG187" t="str">
            <v>ESE</v>
          </cell>
          <cell r="AH187" t="str">
            <v>Middle Income</v>
          </cell>
          <cell r="AI187" t="str">
            <v>01</v>
          </cell>
          <cell r="AJ187" t="str">
            <v>Batch 3 2025</v>
          </cell>
          <cell r="AK187">
            <v>100</v>
          </cell>
          <cell r="AL187" t="str">
            <v>PCS-04-032688</v>
          </cell>
          <cell r="AM187" t="b">
            <v>1</v>
          </cell>
          <cell r="AN187" t="str">
            <v xml:space="preserve">Done </v>
          </cell>
          <cell r="AO187">
            <v>30</v>
          </cell>
          <cell r="AP187">
            <v>5</v>
          </cell>
          <cell r="AQ187" t="str">
            <v>H+L</v>
          </cell>
          <cell r="AR187" t="str">
            <v>NA</v>
          </cell>
          <cell r="AS187">
            <v>100</v>
          </cell>
          <cell r="AT187">
            <v>55</v>
          </cell>
          <cell r="AU187" t="str">
            <v>FLAT</v>
          </cell>
          <cell r="AV187" t="str">
            <v>FLAT / HORIZON SUN</v>
          </cell>
          <cell r="AW187" t="str">
            <v>DU-EXE</v>
          </cell>
          <cell r="AX187" t="str">
            <v>HORIZON SUN</v>
          </cell>
          <cell r="AY187">
            <v>3420000</v>
          </cell>
          <cell r="AZ187">
            <v>3900000</v>
          </cell>
          <cell r="BA187">
            <v>0</v>
          </cell>
          <cell r="BB187">
            <v>3900000</v>
          </cell>
          <cell r="BC187">
            <v>417857.14285714284</v>
          </cell>
          <cell r="BD187">
            <v>3482142.8571428573</v>
          </cell>
        </row>
        <row r="188">
          <cell r="AD188" t="str">
            <v>ESE-01-030-007</v>
          </cell>
          <cell r="AE188" t="str">
            <v xml:space="preserve">Raemulan Lands, Inc. </v>
          </cell>
          <cell r="AF188" t="str">
            <v>Estanzia Enclave</v>
          </cell>
          <cell r="AG188" t="str">
            <v>ESE</v>
          </cell>
          <cell r="AH188" t="str">
            <v>Middle Income</v>
          </cell>
          <cell r="AI188" t="str">
            <v>01</v>
          </cell>
          <cell r="AJ188" t="str">
            <v>Batch 2 2025</v>
          </cell>
          <cell r="AK188">
            <v>80</v>
          </cell>
          <cell r="AL188" t="str">
            <v>PCS-04-032688</v>
          </cell>
          <cell r="AM188" t="b">
            <v>1</v>
          </cell>
          <cell r="AN188" t="str">
            <v xml:space="preserve">Done </v>
          </cell>
          <cell r="AO188">
            <v>30</v>
          </cell>
          <cell r="AP188">
            <v>7</v>
          </cell>
          <cell r="AQ188" t="str">
            <v>H+L</v>
          </cell>
          <cell r="AR188" t="str">
            <v>NA</v>
          </cell>
          <cell r="AS188">
            <v>80</v>
          </cell>
          <cell r="AT188">
            <v>55</v>
          </cell>
          <cell r="AU188" t="str">
            <v>FLAT</v>
          </cell>
          <cell r="AV188" t="str">
            <v>FLAT / HORIZON SUN</v>
          </cell>
          <cell r="AW188" t="str">
            <v>DU-EXE</v>
          </cell>
          <cell r="AX188" t="str">
            <v>HORIZON SUN</v>
          </cell>
          <cell r="AY188">
            <v>3600000</v>
          </cell>
          <cell r="AZ188">
            <v>3600000</v>
          </cell>
          <cell r="BA188">
            <v>432000</v>
          </cell>
          <cell r="BB188">
            <v>3168000</v>
          </cell>
          <cell r="BC188">
            <v>0</v>
          </cell>
          <cell r="BD188">
            <v>3168000</v>
          </cell>
        </row>
        <row r="189">
          <cell r="AD189" t="str">
            <v>ESE-01-030-008</v>
          </cell>
          <cell r="AE189" t="str">
            <v xml:space="preserve">Raemulan Lands, Inc. </v>
          </cell>
          <cell r="AF189" t="str">
            <v>Estanzia Enclave</v>
          </cell>
          <cell r="AG189" t="str">
            <v>ESE</v>
          </cell>
          <cell r="AH189" t="str">
            <v>Middle Income</v>
          </cell>
          <cell r="AI189" t="str">
            <v>01</v>
          </cell>
          <cell r="AJ189" t="str">
            <v>Batch 2 2025</v>
          </cell>
          <cell r="AK189">
            <v>100</v>
          </cell>
          <cell r="AL189" t="str">
            <v>PCS-04-032688</v>
          </cell>
          <cell r="AM189" t="b">
            <v>1</v>
          </cell>
          <cell r="AN189" t="str">
            <v xml:space="preserve">Done </v>
          </cell>
          <cell r="AO189">
            <v>30</v>
          </cell>
          <cell r="AP189">
            <v>8</v>
          </cell>
          <cell r="AQ189" t="str">
            <v>H+L</v>
          </cell>
          <cell r="AR189" t="str">
            <v>NA</v>
          </cell>
          <cell r="AS189">
            <v>100</v>
          </cell>
          <cell r="AT189">
            <v>55</v>
          </cell>
          <cell r="AU189" t="str">
            <v>SLANT</v>
          </cell>
          <cell r="AV189" t="str">
            <v>SLANT / HORIZON SUN</v>
          </cell>
          <cell r="AW189" t="str">
            <v>DU-EXE</v>
          </cell>
          <cell r="AX189" t="str">
            <v>HORIZON SUN</v>
          </cell>
          <cell r="AY189">
            <v>3821428.5714285714</v>
          </cell>
          <cell r="AZ189">
            <v>4000000</v>
          </cell>
          <cell r="BA189">
            <v>200000</v>
          </cell>
          <cell r="BB189">
            <v>3800000</v>
          </cell>
          <cell r="BC189">
            <v>407142.85714285716</v>
          </cell>
          <cell r="BD189">
            <v>3392857.1428571427</v>
          </cell>
        </row>
        <row r="190">
          <cell r="AD190" t="str">
            <v>ESE-01-030-009</v>
          </cell>
          <cell r="AE190" t="str">
            <v xml:space="preserve">Raemulan Lands, Inc. </v>
          </cell>
          <cell r="AF190" t="str">
            <v>Estanzia Enclave</v>
          </cell>
          <cell r="AG190" t="str">
            <v>ESE</v>
          </cell>
          <cell r="AH190" t="str">
            <v>Middle Income</v>
          </cell>
          <cell r="AI190" t="str">
            <v>01</v>
          </cell>
          <cell r="AJ190" t="str">
            <v>Batch 2 2025</v>
          </cell>
          <cell r="AK190">
            <v>100</v>
          </cell>
          <cell r="AL190" t="str">
            <v>PCS-04-032688</v>
          </cell>
          <cell r="AM190" t="b">
            <v>1</v>
          </cell>
          <cell r="AN190" t="str">
            <v xml:space="preserve">Done </v>
          </cell>
          <cell r="AO190">
            <v>30</v>
          </cell>
          <cell r="AP190">
            <v>9</v>
          </cell>
          <cell r="AQ190" t="str">
            <v>H+L</v>
          </cell>
          <cell r="AR190" t="str">
            <v>NA</v>
          </cell>
          <cell r="AS190">
            <v>100</v>
          </cell>
          <cell r="AT190">
            <v>55</v>
          </cell>
          <cell r="AU190" t="str">
            <v>SLANT</v>
          </cell>
          <cell r="AV190" t="str">
            <v>SLANT / BEACHSIDE SUN</v>
          </cell>
          <cell r="AW190" t="str">
            <v>DU-EXE</v>
          </cell>
          <cell r="AX190" t="str">
            <v>BEACHSIDE SUN</v>
          </cell>
          <cell r="AY190">
            <v>3821428.5714285714</v>
          </cell>
          <cell r="AZ190">
            <v>4000000</v>
          </cell>
          <cell r="BA190">
            <v>200000</v>
          </cell>
          <cell r="BB190">
            <v>3800000</v>
          </cell>
          <cell r="BC190">
            <v>407142.85714285716</v>
          </cell>
          <cell r="BD190">
            <v>3392857.1428571427</v>
          </cell>
        </row>
        <row r="191">
          <cell r="AD191" t="str">
            <v>ESE-01-030-010</v>
          </cell>
          <cell r="AE191" t="str">
            <v xml:space="preserve">Raemulan Lands, Inc. </v>
          </cell>
          <cell r="AF191" t="str">
            <v>Estanzia Enclave</v>
          </cell>
          <cell r="AG191" t="str">
            <v>ESE</v>
          </cell>
          <cell r="AH191" t="str">
            <v>Middle Income</v>
          </cell>
          <cell r="AI191" t="str">
            <v>01</v>
          </cell>
          <cell r="AJ191" t="str">
            <v>Batch 2 2025</v>
          </cell>
          <cell r="AK191">
            <v>80</v>
          </cell>
          <cell r="AL191" t="str">
            <v>PCS-04-032688</v>
          </cell>
          <cell r="AM191" t="b">
            <v>1</v>
          </cell>
          <cell r="AN191" t="str">
            <v xml:space="preserve">Done </v>
          </cell>
          <cell r="AO191">
            <v>30</v>
          </cell>
          <cell r="AP191">
            <v>10</v>
          </cell>
          <cell r="AQ191" t="str">
            <v>H+L</v>
          </cell>
          <cell r="AR191" t="str">
            <v>NA</v>
          </cell>
          <cell r="AS191">
            <v>80</v>
          </cell>
          <cell r="AT191">
            <v>55</v>
          </cell>
          <cell r="AU191" t="str">
            <v>FLAT</v>
          </cell>
          <cell r="AV191" t="str">
            <v>FLAT / BEACHSIDE SUN</v>
          </cell>
          <cell r="AW191" t="str">
            <v>DU-EXE</v>
          </cell>
          <cell r="AX191" t="str">
            <v>BEACHSIDE SUN</v>
          </cell>
          <cell r="AY191">
            <v>3600000</v>
          </cell>
          <cell r="AZ191">
            <v>3600000</v>
          </cell>
          <cell r="BA191">
            <v>432000</v>
          </cell>
          <cell r="BB191">
            <v>3168000</v>
          </cell>
          <cell r="BC191">
            <v>0</v>
          </cell>
          <cell r="BD191">
            <v>3168000</v>
          </cell>
        </row>
        <row r="192">
          <cell r="AD192" t="str">
            <v>ESE-01-030-011</v>
          </cell>
          <cell r="AE192" t="str">
            <v xml:space="preserve">Raemulan Lands, Inc. </v>
          </cell>
          <cell r="AF192" t="str">
            <v>Estanzia Enclave</v>
          </cell>
          <cell r="AG192" t="str">
            <v>ESE</v>
          </cell>
          <cell r="AH192" t="str">
            <v>Middle Income</v>
          </cell>
          <cell r="AI192" t="str">
            <v>01</v>
          </cell>
          <cell r="AJ192" t="str">
            <v>Batch 3 2025</v>
          </cell>
          <cell r="AK192">
            <v>100</v>
          </cell>
          <cell r="AL192" t="str">
            <v>PCS-04-032688</v>
          </cell>
          <cell r="AM192" t="b">
            <v>1</v>
          </cell>
          <cell r="AN192" t="str">
            <v xml:space="preserve">Done </v>
          </cell>
          <cell r="AO192">
            <v>30</v>
          </cell>
          <cell r="AP192">
            <v>11</v>
          </cell>
          <cell r="AQ192" t="str">
            <v>H+L</v>
          </cell>
          <cell r="AR192" t="str">
            <v>NA</v>
          </cell>
          <cell r="AS192">
            <v>100</v>
          </cell>
          <cell r="AT192">
            <v>55</v>
          </cell>
          <cell r="AU192" t="str">
            <v>FLAT</v>
          </cell>
          <cell r="AV192" t="str">
            <v>FLAT / BEACHSIDE SUN</v>
          </cell>
          <cell r="AW192" t="str">
            <v>DU-EXE</v>
          </cell>
          <cell r="AX192" t="str">
            <v>BEACHSIDE SUN</v>
          </cell>
          <cell r="AY192">
            <v>3420000</v>
          </cell>
          <cell r="AZ192">
            <v>3900000</v>
          </cell>
          <cell r="BA192">
            <v>0</v>
          </cell>
          <cell r="BB192">
            <v>3900000</v>
          </cell>
          <cell r="BC192">
            <v>417857.14285714284</v>
          </cell>
          <cell r="BD192">
            <v>3482142.8571428573</v>
          </cell>
        </row>
        <row r="193">
          <cell r="AD193" t="str">
            <v>ESE-01-030-013</v>
          </cell>
          <cell r="AE193" t="str">
            <v xml:space="preserve">Raemulan Lands, Inc. </v>
          </cell>
          <cell r="AF193" t="str">
            <v>Estanzia Enclave</v>
          </cell>
          <cell r="AG193" t="str">
            <v>ESE</v>
          </cell>
          <cell r="AH193" t="str">
            <v>Middle Income</v>
          </cell>
          <cell r="AI193" t="str">
            <v>01</v>
          </cell>
          <cell r="AJ193" t="str">
            <v>Batch 3 2025</v>
          </cell>
          <cell r="AK193">
            <v>80</v>
          </cell>
          <cell r="AL193" t="str">
            <v>PCS-04-032688</v>
          </cell>
          <cell r="AM193" t="b">
            <v>1</v>
          </cell>
          <cell r="AN193" t="str">
            <v xml:space="preserve">Done </v>
          </cell>
          <cell r="AO193">
            <v>30</v>
          </cell>
          <cell r="AP193">
            <v>13</v>
          </cell>
          <cell r="AQ193" t="str">
            <v>H+L</v>
          </cell>
          <cell r="AR193" t="str">
            <v>NA</v>
          </cell>
          <cell r="AS193">
            <v>80</v>
          </cell>
          <cell r="AT193">
            <v>55</v>
          </cell>
          <cell r="AU193" t="str">
            <v>SLANT</v>
          </cell>
          <cell r="AV193" t="str">
            <v>SLANT / BEACHSIDE SUN</v>
          </cell>
          <cell r="AW193" t="str">
            <v>DU-EXE</v>
          </cell>
          <cell r="AX193" t="str">
            <v>BEACHSIDE SUN</v>
          </cell>
          <cell r="AY193">
            <v>3600000</v>
          </cell>
          <cell r="AZ193">
            <v>3600000</v>
          </cell>
          <cell r="BA193">
            <v>432000</v>
          </cell>
          <cell r="BB193">
            <v>3168000</v>
          </cell>
          <cell r="BC193">
            <v>0</v>
          </cell>
          <cell r="BD193">
            <v>3168000</v>
          </cell>
        </row>
        <row r="194">
          <cell r="AD194" t="str">
            <v>ESE-01-031-001</v>
          </cell>
          <cell r="AE194" t="str">
            <v xml:space="preserve">Raemulan Lands, Inc. </v>
          </cell>
          <cell r="AF194" t="str">
            <v>Estanzia Enclave</v>
          </cell>
          <cell r="AG194" t="str">
            <v>ESE</v>
          </cell>
          <cell r="AH194" t="str">
            <v>Middle Income</v>
          </cell>
          <cell r="AI194" t="str">
            <v>01</v>
          </cell>
          <cell r="AJ194" t="str">
            <v>LOT ONLY</v>
          </cell>
          <cell r="AK194">
            <v>122</v>
          </cell>
          <cell r="AL194" t="str">
            <v>PCS-04-032688</v>
          </cell>
          <cell r="AM194" t="b">
            <v>1</v>
          </cell>
          <cell r="AN194" t="str">
            <v xml:space="preserve">Done </v>
          </cell>
          <cell r="AO194">
            <v>31</v>
          </cell>
          <cell r="AP194">
            <v>1</v>
          </cell>
          <cell r="AQ194" t="str">
            <v>LO</v>
          </cell>
          <cell r="AR194" t="str">
            <v>NA</v>
          </cell>
          <cell r="AS194">
            <v>122</v>
          </cell>
          <cell r="AT194" t="str">
            <v>N/A</v>
          </cell>
          <cell r="AU194" t="str">
            <v>NA</v>
          </cell>
          <cell r="AV194" t="str">
            <v>NA / NA</v>
          </cell>
          <cell r="AW194" t="str">
            <v>LO</v>
          </cell>
          <cell r="AX194" t="str">
            <v>NA</v>
          </cell>
          <cell r="AY194">
            <v>2500000</v>
          </cell>
          <cell r="AZ194">
            <v>2196000</v>
          </cell>
          <cell r="BA194">
            <v>0</v>
          </cell>
          <cell r="BB194">
            <v>2196000</v>
          </cell>
          <cell r="BC194">
            <v>235285.71428571429</v>
          </cell>
          <cell r="BD194">
            <v>1960714.2857142857</v>
          </cell>
        </row>
        <row r="195">
          <cell r="AD195" t="str">
            <v>ESE-01-031-002</v>
          </cell>
          <cell r="AE195" t="str">
            <v xml:space="preserve">Raemulan Lands, Inc. </v>
          </cell>
          <cell r="AF195" t="str">
            <v>Estanzia Enclave</v>
          </cell>
          <cell r="AG195" t="str">
            <v>ESE</v>
          </cell>
          <cell r="AH195" t="str">
            <v>Middle Income</v>
          </cell>
          <cell r="AI195" t="str">
            <v>01</v>
          </cell>
          <cell r="AJ195" t="str">
            <v>2024 Batch</v>
          </cell>
          <cell r="AK195">
            <v>90</v>
          </cell>
          <cell r="AL195" t="str">
            <v>PCS-04-032688</v>
          </cell>
          <cell r="AM195" t="b">
            <v>1</v>
          </cell>
          <cell r="AN195" t="str">
            <v xml:space="preserve">Done </v>
          </cell>
          <cell r="AO195">
            <v>31</v>
          </cell>
          <cell r="AP195">
            <v>2</v>
          </cell>
          <cell r="AQ195" t="str">
            <v>H+L</v>
          </cell>
          <cell r="AR195">
            <v>0.99060000000000015</v>
          </cell>
          <cell r="AS195">
            <v>90</v>
          </cell>
          <cell r="AT195">
            <v>55</v>
          </cell>
          <cell r="AU195" t="str">
            <v>FLAT</v>
          </cell>
          <cell r="AV195" t="str">
            <v>FLAT / BEACHSIDE SUN</v>
          </cell>
          <cell r="AW195" t="str">
            <v>DU-EXE</v>
          </cell>
          <cell r="AX195" t="str">
            <v>BEACHSIDE SUN</v>
          </cell>
          <cell r="AY195">
            <v>3750803.5714285714</v>
          </cell>
          <cell r="AZ195">
            <v>3750000</v>
          </cell>
          <cell r="BA195">
            <v>0</v>
          </cell>
          <cell r="BB195">
            <v>3750000</v>
          </cell>
          <cell r="BC195">
            <v>401785.71428571426</v>
          </cell>
          <cell r="BD195">
            <v>3348214.2857142859</v>
          </cell>
        </row>
        <row r="196">
          <cell r="AD196" t="str">
            <v>ESE-01-031-003</v>
          </cell>
          <cell r="AE196" t="str">
            <v xml:space="preserve">Raemulan Lands, Inc. </v>
          </cell>
          <cell r="AF196" t="str">
            <v>Estanzia Enclave</v>
          </cell>
          <cell r="AG196" t="str">
            <v>ESE</v>
          </cell>
          <cell r="AH196" t="str">
            <v>Middle Income</v>
          </cell>
          <cell r="AI196" t="str">
            <v>01</v>
          </cell>
          <cell r="AJ196" t="str">
            <v>2024 Batch</v>
          </cell>
          <cell r="AK196">
            <v>80</v>
          </cell>
          <cell r="AL196" t="str">
            <v>PCS-04-032688</v>
          </cell>
          <cell r="AM196" t="b">
            <v>1</v>
          </cell>
          <cell r="AN196" t="str">
            <v xml:space="preserve">Done </v>
          </cell>
          <cell r="AO196">
            <v>31</v>
          </cell>
          <cell r="AP196">
            <v>3</v>
          </cell>
          <cell r="AQ196" t="str">
            <v>H+L</v>
          </cell>
          <cell r="AR196">
            <v>0.99060000000000015</v>
          </cell>
          <cell r="AS196">
            <v>80</v>
          </cell>
          <cell r="AT196">
            <v>55</v>
          </cell>
          <cell r="AU196" t="str">
            <v>SLANT</v>
          </cell>
          <cell r="AV196" t="str">
            <v>SLANT / BEACHSIDE SUN</v>
          </cell>
          <cell r="AW196" t="str">
            <v>DU-EXE</v>
          </cell>
          <cell r="AX196" t="str">
            <v>BEACHSIDE SUN</v>
          </cell>
          <cell r="AY196">
            <v>3600000</v>
          </cell>
          <cell r="AZ196">
            <v>3600000</v>
          </cell>
          <cell r="BA196">
            <v>432000</v>
          </cell>
          <cell r="BB196">
            <v>3168000</v>
          </cell>
          <cell r="BC196">
            <v>0</v>
          </cell>
          <cell r="BD196">
            <v>3168000</v>
          </cell>
        </row>
        <row r="197">
          <cell r="AD197" t="str">
            <v>ESE-01-031-004</v>
          </cell>
          <cell r="AE197" t="str">
            <v xml:space="preserve">Raemulan Lands, Inc. </v>
          </cell>
          <cell r="AF197" t="str">
            <v>Estanzia Enclave</v>
          </cell>
          <cell r="AG197" t="str">
            <v>ESE</v>
          </cell>
          <cell r="AH197" t="str">
            <v>Middle Income</v>
          </cell>
          <cell r="AI197" t="str">
            <v>01</v>
          </cell>
          <cell r="AJ197" t="str">
            <v>2024 Batch</v>
          </cell>
          <cell r="AK197">
            <v>80</v>
          </cell>
          <cell r="AL197" t="str">
            <v>PCS-04-032688</v>
          </cell>
          <cell r="AM197" t="b">
            <v>1</v>
          </cell>
          <cell r="AN197" t="str">
            <v xml:space="preserve">Done </v>
          </cell>
          <cell r="AO197">
            <v>31</v>
          </cell>
          <cell r="AP197">
            <v>4</v>
          </cell>
          <cell r="AQ197" t="str">
            <v>H+L</v>
          </cell>
          <cell r="AR197">
            <v>1.0000000000000002</v>
          </cell>
          <cell r="AS197">
            <v>80</v>
          </cell>
          <cell r="AT197">
            <v>55</v>
          </cell>
          <cell r="AU197" t="str">
            <v>SLANT</v>
          </cell>
          <cell r="AV197" t="str">
            <v>SLANT / BEACHSIDE SUN</v>
          </cell>
          <cell r="AW197" t="str">
            <v>DU-EXE</v>
          </cell>
          <cell r="AX197" t="str">
            <v>BEACHSIDE SUN</v>
          </cell>
          <cell r="AY197">
            <v>3600000</v>
          </cell>
          <cell r="AZ197">
            <v>3600000</v>
          </cell>
          <cell r="BA197">
            <v>432000</v>
          </cell>
          <cell r="BB197">
            <v>3168000</v>
          </cell>
          <cell r="BC197">
            <v>0</v>
          </cell>
          <cell r="BD197">
            <v>3168000</v>
          </cell>
        </row>
        <row r="198">
          <cell r="AD198" t="str">
            <v>ESE-01-031-005</v>
          </cell>
          <cell r="AE198" t="str">
            <v xml:space="preserve">Raemulan Lands, Inc. </v>
          </cell>
          <cell r="AF198" t="str">
            <v>Estanzia Enclave</v>
          </cell>
          <cell r="AG198" t="str">
            <v>ESE</v>
          </cell>
          <cell r="AH198" t="str">
            <v>Middle Income</v>
          </cell>
          <cell r="AI198" t="str">
            <v>01</v>
          </cell>
          <cell r="AJ198" t="str">
            <v>2024 Batch</v>
          </cell>
          <cell r="AK198">
            <v>80</v>
          </cell>
          <cell r="AL198" t="str">
            <v>PCS-04-032688</v>
          </cell>
          <cell r="AM198" t="b">
            <v>1</v>
          </cell>
          <cell r="AN198" t="str">
            <v xml:space="preserve">Done </v>
          </cell>
          <cell r="AO198">
            <v>31</v>
          </cell>
          <cell r="AP198">
            <v>5</v>
          </cell>
          <cell r="AQ198" t="str">
            <v>H+L</v>
          </cell>
          <cell r="AR198">
            <v>1.0000000000000002</v>
          </cell>
          <cell r="AS198">
            <v>80</v>
          </cell>
          <cell r="AT198">
            <v>55</v>
          </cell>
          <cell r="AU198" t="str">
            <v>FLAT</v>
          </cell>
          <cell r="AV198" t="str">
            <v>FLAT / BEACHSIDE SUN</v>
          </cell>
          <cell r="AW198" t="str">
            <v>DU-EXE</v>
          </cell>
          <cell r="AX198" t="str">
            <v>BEACHSIDE SUN</v>
          </cell>
          <cell r="AY198">
            <v>3420000</v>
          </cell>
          <cell r="AZ198">
            <v>3600000</v>
          </cell>
          <cell r="BA198">
            <v>612000</v>
          </cell>
          <cell r="BB198">
            <v>2988000</v>
          </cell>
          <cell r="BC198">
            <v>0</v>
          </cell>
          <cell r="BD198">
            <v>2988000</v>
          </cell>
        </row>
        <row r="199">
          <cell r="AD199" t="str">
            <v>ESE-01-031-006</v>
          </cell>
          <cell r="AE199" t="str">
            <v xml:space="preserve">Raemulan Lands, Inc. </v>
          </cell>
          <cell r="AF199" t="str">
            <v>Estanzia Enclave</v>
          </cell>
          <cell r="AG199" t="str">
            <v>ESE</v>
          </cell>
          <cell r="AH199" t="str">
            <v>Middle Income</v>
          </cell>
          <cell r="AI199" t="str">
            <v>01</v>
          </cell>
          <cell r="AJ199" t="str">
            <v>2024 Batch</v>
          </cell>
          <cell r="AK199">
            <v>80</v>
          </cell>
          <cell r="AL199" t="str">
            <v>PCS-04-032688</v>
          </cell>
          <cell r="AM199" t="b">
            <v>1</v>
          </cell>
          <cell r="AN199" t="str">
            <v xml:space="preserve">Done </v>
          </cell>
          <cell r="AO199">
            <v>31</v>
          </cell>
          <cell r="AP199">
            <v>6</v>
          </cell>
          <cell r="AQ199" t="str">
            <v>H+L</v>
          </cell>
          <cell r="AR199">
            <v>0.99060000000000015</v>
          </cell>
          <cell r="AS199">
            <v>80</v>
          </cell>
          <cell r="AT199">
            <v>55</v>
          </cell>
          <cell r="AU199" t="str">
            <v>FLAT</v>
          </cell>
          <cell r="AV199" t="str">
            <v>FLAT / HORIZON SUN</v>
          </cell>
          <cell r="AW199" t="str">
            <v>DU-EXE</v>
          </cell>
          <cell r="AX199" t="str">
            <v>HORIZON SUN</v>
          </cell>
          <cell r="AY199">
            <v>3420000</v>
          </cell>
          <cell r="AZ199">
            <v>3600000</v>
          </cell>
          <cell r="BA199">
            <v>612000</v>
          </cell>
          <cell r="BB199">
            <v>2988000</v>
          </cell>
          <cell r="BC199">
            <v>0</v>
          </cell>
          <cell r="BD199">
            <v>2988000</v>
          </cell>
        </row>
        <row r="200">
          <cell r="AD200" t="str">
            <v>ESE-01-031-009</v>
          </cell>
          <cell r="AE200" t="str">
            <v xml:space="preserve">Raemulan Lands, Inc. </v>
          </cell>
          <cell r="AF200" t="str">
            <v>Estanzia Enclave</v>
          </cell>
          <cell r="AG200" t="str">
            <v>ESE</v>
          </cell>
          <cell r="AH200" t="str">
            <v>Middle Income</v>
          </cell>
          <cell r="AI200" t="str">
            <v>01</v>
          </cell>
          <cell r="AJ200" t="str">
            <v>2024 Batch</v>
          </cell>
          <cell r="AK200">
            <v>80</v>
          </cell>
          <cell r="AL200" t="str">
            <v>PCS-04-032688</v>
          </cell>
          <cell r="AM200" t="b">
            <v>1</v>
          </cell>
          <cell r="AN200" t="str">
            <v xml:space="preserve">Done </v>
          </cell>
          <cell r="AO200">
            <v>31</v>
          </cell>
          <cell r="AP200">
            <v>9</v>
          </cell>
          <cell r="AQ200" t="str">
            <v>H+L</v>
          </cell>
          <cell r="AR200">
            <v>0.99060000000000015</v>
          </cell>
          <cell r="AS200">
            <v>80</v>
          </cell>
          <cell r="AT200">
            <v>55</v>
          </cell>
          <cell r="AU200" t="str">
            <v>SLANT</v>
          </cell>
          <cell r="AV200" t="str">
            <v>SLANT / HORIZON SUN</v>
          </cell>
          <cell r="AW200" t="str">
            <v>DU-EXE</v>
          </cell>
          <cell r="AX200" t="str">
            <v>HORIZON SUN</v>
          </cell>
          <cell r="AY200">
            <v>3600000</v>
          </cell>
          <cell r="AZ200">
            <v>3600000</v>
          </cell>
          <cell r="BA200">
            <v>432000</v>
          </cell>
          <cell r="BB200">
            <v>3168000</v>
          </cell>
          <cell r="BC200">
            <v>0</v>
          </cell>
          <cell r="BD200">
            <v>3168000</v>
          </cell>
        </row>
        <row r="201">
          <cell r="AD201" t="str">
            <v>ESE-01-031-010</v>
          </cell>
          <cell r="AE201" t="str">
            <v xml:space="preserve">Raemulan Lands, Inc. </v>
          </cell>
          <cell r="AF201" t="str">
            <v>Estanzia Enclave</v>
          </cell>
          <cell r="AG201" t="str">
            <v>ESE</v>
          </cell>
          <cell r="AH201" t="str">
            <v>Middle Income</v>
          </cell>
          <cell r="AI201" t="str">
            <v>01</v>
          </cell>
          <cell r="AJ201" t="str">
            <v>2024 Batch</v>
          </cell>
          <cell r="AK201">
            <v>80</v>
          </cell>
          <cell r="AL201" t="str">
            <v>PCS-04-032688</v>
          </cell>
          <cell r="AM201" t="b">
            <v>1</v>
          </cell>
          <cell r="AN201" t="str">
            <v xml:space="preserve">Done </v>
          </cell>
          <cell r="AO201">
            <v>31</v>
          </cell>
          <cell r="AP201">
            <v>10</v>
          </cell>
          <cell r="AQ201" t="str">
            <v>H+L</v>
          </cell>
          <cell r="AR201">
            <v>0.96540000000000015</v>
          </cell>
          <cell r="AS201">
            <v>80</v>
          </cell>
          <cell r="AT201">
            <v>55</v>
          </cell>
          <cell r="AU201" t="str">
            <v>SLANT</v>
          </cell>
          <cell r="AV201" t="str">
            <v>SLANT / HORIZON SUN</v>
          </cell>
          <cell r="AW201" t="str">
            <v>DU-EXE</v>
          </cell>
          <cell r="AX201" t="str">
            <v>HORIZON SUN</v>
          </cell>
          <cell r="AY201">
            <v>3600000</v>
          </cell>
          <cell r="AZ201">
            <v>3600000</v>
          </cell>
          <cell r="BA201">
            <v>0</v>
          </cell>
          <cell r="BB201">
            <v>3600000</v>
          </cell>
          <cell r="BC201">
            <v>0</v>
          </cell>
          <cell r="BD201">
            <v>3600000</v>
          </cell>
        </row>
        <row r="202">
          <cell r="AD202" t="str">
            <v>ESE-01-031-011</v>
          </cell>
          <cell r="AE202" t="str">
            <v xml:space="preserve">Raemulan Lands, Inc. </v>
          </cell>
          <cell r="AF202" t="str">
            <v>Estanzia Enclave</v>
          </cell>
          <cell r="AG202" t="str">
            <v>ESE</v>
          </cell>
          <cell r="AH202" t="str">
            <v>Middle Income</v>
          </cell>
          <cell r="AI202" t="str">
            <v>01</v>
          </cell>
          <cell r="AJ202" t="str">
            <v>2024 Batch</v>
          </cell>
          <cell r="AK202">
            <v>100</v>
          </cell>
          <cell r="AL202" t="str">
            <v>PCS-04-032688</v>
          </cell>
          <cell r="AM202" t="b">
            <v>1</v>
          </cell>
          <cell r="AN202" t="str">
            <v xml:space="preserve">Done </v>
          </cell>
          <cell r="AO202">
            <v>31</v>
          </cell>
          <cell r="AP202">
            <v>11</v>
          </cell>
          <cell r="AQ202" t="str">
            <v>H+L</v>
          </cell>
          <cell r="AR202">
            <v>0.96540000000000015</v>
          </cell>
          <cell r="AS202">
            <v>100</v>
          </cell>
          <cell r="AT202">
            <v>55</v>
          </cell>
          <cell r="AU202" t="str">
            <v>FLAT</v>
          </cell>
          <cell r="AV202" t="str">
            <v>FLAT / HORIZON SUN</v>
          </cell>
          <cell r="AW202" t="str">
            <v>DU-EXE</v>
          </cell>
          <cell r="AX202" t="str">
            <v>HORIZON SUN</v>
          </cell>
          <cell r="AY202">
            <v>3721428.5714285714</v>
          </cell>
          <cell r="AZ202">
            <v>3900000</v>
          </cell>
          <cell r="BA202">
            <v>200000</v>
          </cell>
          <cell r="BB202">
            <v>3700000</v>
          </cell>
          <cell r="BC202">
            <v>396428.57142857142</v>
          </cell>
          <cell r="BD202">
            <v>3303571.4285714286</v>
          </cell>
        </row>
        <row r="203">
          <cell r="AD203" t="str">
            <v>ESE-01-031-013</v>
          </cell>
          <cell r="AE203" t="str">
            <v xml:space="preserve">Raemulan Lands, Inc. </v>
          </cell>
          <cell r="AF203" t="str">
            <v>Estanzia Enclave</v>
          </cell>
          <cell r="AG203" t="str">
            <v>ESE</v>
          </cell>
          <cell r="AH203" t="str">
            <v>Middle Income</v>
          </cell>
          <cell r="AI203" t="str">
            <v>01</v>
          </cell>
          <cell r="AJ203" t="str">
            <v>LOT ONLY</v>
          </cell>
          <cell r="AK203">
            <v>100</v>
          </cell>
          <cell r="AL203" t="str">
            <v>PCS-04-032688</v>
          </cell>
          <cell r="AM203" t="b">
            <v>1</v>
          </cell>
          <cell r="AN203" t="str">
            <v xml:space="preserve">Done </v>
          </cell>
          <cell r="AO203">
            <v>31</v>
          </cell>
          <cell r="AP203">
            <v>13</v>
          </cell>
          <cell r="AQ203" t="str">
            <v>LO</v>
          </cell>
          <cell r="AR203" t="str">
            <v>NA</v>
          </cell>
          <cell r="AS203">
            <v>100</v>
          </cell>
          <cell r="AT203" t="str">
            <v>N/A</v>
          </cell>
          <cell r="AU203" t="str">
            <v>NA</v>
          </cell>
          <cell r="AV203" t="str">
            <v>NA / NA</v>
          </cell>
          <cell r="AW203" t="str">
            <v>LO</v>
          </cell>
          <cell r="AX203" t="str">
            <v>NA</v>
          </cell>
          <cell r="AY203">
            <v>2500000</v>
          </cell>
          <cell r="AZ203">
            <v>1800000</v>
          </cell>
          <cell r="BA203">
            <v>0</v>
          </cell>
          <cell r="BB203">
            <v>1800000</v>
          </cell>
          <cell r="BC203">
            <v>192857.14285714287</v>
          </cell>
          <cell r="BD203">
            <v>1607142.857142857</v>
          </cell>
        </row>
        <row r="204">
          <cell r="AD204" t="str">
            <v>ESE-01-031-015</v>
          </cell>
          <cell r="AE204" t="str">
            <v xml:space="preserve">Raemulan Lands, Inc. </v>
          </cell>
          <cell r="AF204" t="str">
            <v>Estanzia Enclave</v>
          </cell>
          <cell r="AG204" t="str">
            <v>ESE</v>
          </cell>
          <cell r="AH204" t="str">
            <v>Middle Income</v>
          </cell>
          <cell r="AI204" t="str">
            <v>01</v>
          </cell>
          <cell r="AJ204" t="str">
            <v>2024 Batch</v>
          </cell>
          <cell r="AK204">
            <v>80</v>
          </cell>
          <cell r="AL204" t="str">
            <v>PCS-04-032688</v>
          </cell>
          <cell r="AM204" t="b">
            <v>1</v>
          </cell>
          <cell r="AN204" t="str">
            <v xml:space="preserve">Done </v>
          </cell>
          <cell r="AO204">
            <v>31</v>
          </cell>
          <cell r="AP204">
            <v>15</v>
          </cell>
          <cell r="AQ204" t="str">
            <v>H+L</v>
          </cell>
          <cell r="AR204">
            <v>1.0000000000000002</v>
          </cell>
          <cell r="AS204">
            <v>80</v>
          </cell>
          <cell r="AT204">
            <v>55</v>
          </cell>
          <cell r="AU204" t="str">
            <v>FLAT</v>
          </cell>
          <cell r="AV204" t="str">
            <v>FLAT / HORIZON SUN</v>
          </cell>
          <cell r="AW204" t="str">
            <v>DU-EXE</v>
          </cell>
          <cell r="AX204" t="str">
            <v>HORIZON SUN</v>
          </cell>
          <cell r="AY204">
            <v>3420000</v>
          </cell>
          <cell r="AZ204">
            <v>3600000</v>
          </cell>
          <cell r="BA204">
            <v>612000</v>
          </cell>
          <cell r="BB204">
            <v>2988000</v>
          </cell>
          <cell r="BC204">
            <v>0</v>
          </cell>
          <cell r="BD204">
            <v>2988000</v>
          </cell>
        </row>
        <row r="205">
          <cell r="AD205" t="str">
            <v>ESE-01-031-016</v>
          </cell>
          <cell r="AE205" t="str">
            <v xml:space="preserve">Raemulan Lands, Inc. </v>
          </cell>
          <cell r="AF205" t="str">
            <v>Estanzia Enclave</v>
          </cell>
          <cell r="AG205" t="str">
            <v>ESE</v>
          </cell>
          <cell r="AH205" t="str">
            <v>Middle Income</v>
          </cell>
          <cell r="AI205" t="str">
            <v>01</v>
          </cell>
          <cell r="AJ205" t="str">
            <v>2024 Batch</v>
          </cell>
          <cell r="AK205">
            <v>80</v>
          </cell>
          <cell r="AL205" t="str">
            <v>PCS-04-032688</v>
          </cell>
          <cell r="AM205" t="b">
            <v>1</v>
          </cell>
          <cell r="AN205" t="str">
            <v xml:space="preserve">Done </v>
          </cell>
          <cell r="AO205">
            <v>31</v>
          </cell>
          <cell r="AP205">
            <v>16</v>
          </cell>
          <cell r="AQ205" t="str">
            <v>H+L</v>
          </cell>
          <cell r="AR205">
            <v>1.0000000000000002</v>
          </cell>
          <cell r="AS205">
            <v>80</v>
          </cell>
          <cell r="AT205">
            <v>55</v>
          </cell>
          <cell r="AU205" t="str">
            <v>SLANT</v>
          </cell>
          <cell r="AV205" t="str">
            <v>SLANT / HORIZON SUN</v>
          </cell>
          <cell r="AW205" t="str">
            <v>DU-EXE</v>
          </cell>
          <cell r="AX205" t="str">
            <v>HORIZON SUN</v>
          </cell>
          <cell r="AY205">
            <v>3420000</v>
          </cell>
          <cell r="AZ205">
            <v>3600000</v>
          </cell>
          <cell r="BA205">
            <v>612000</v>
          </cell>
          <cell r="BB205">
            <v>2988000</v>
          </cell>
          <cell r="BC205">
            <v>0</v>
          </cell>
          <cell r="BD205">
            <v>2988000</v>
          </cell>
        </row>
        <row r="206">
          <cell r="AD206" t="str">
            <v>ESE-01-031-017</v>
          </cell>
          <cell r="AE206" t="str">
            <v xml:space="preserve">Raemulan Lands, Inc. </v>
          </cell>
          <cell r="AF206" t="str">
            <v>Estanzia Enclave</v>
          </cell>
          <cell r="AG206" t="str">
            <v>ESE</v>
          </cell>
          <cell r="AH206" t="str">
            <v>Middle Income</v>
          </cell>
          <cell r="AI206" t="str">
            <v>01</v>
          </cell>
          <cell r="AJ206" t="str">
            <v>2024 Batch</v>
          </cell>
          <cell r="AK206">
            <v>100</v>
          </cell>
          <cell r="AL206" t="str">
            <v>PCS-04-032688</v>
          </cell>
          <cell r="AM206" t="b">
            <v>1</v>
          </cell>
          <cell r="AN206" t="str">
            <v xml:space="preserve">Done </v>
          </cell>
          <cell r="AO206">
            <v>31</v>
          </cell>
          <cell r="AP206">
            <v>17</v>
          </cell>
          <cell r="AQ206" t="str">
            <v>H+L</v>
          </cell>
          <cell r="AR206">
            <v>0.96540000000000015</v>
          </cell>
          <cell r="AS206">
            <v>100</v>
          </cell>
          <cell r="AT206">
            <v>55</v>
          </cell>
          <cell r="AU206" t="str">
            <v>SLANT</v>
          </cell>
          <cell r="AV206" t="str">
            <v>SLANT / BEACHSIDE SUN</v>
          </cell>
          <cell r="AW206" t="str">
            <v>DU-EXE</v>
          </cell>
          <cell r="AX206" t="str">
            <v>BEACHSIDE SUN</v>
          </cell>
          <cell r="AY206">
            <v>3721428.5714285714</v>
          </cell>
          <cell r="AZ206">
            <v>3900000</v>
          </cell>
          <cell r="BA206">
            <v>200000</v>
          </cell>
          <cell r="BB206">
            <v>3700000</v>
          </cell>
          <cell r="BC206">
            <v>396428.57142857142</v>
          </cell>
          <cell r="BD206">
            <v>3303571.4285714286</v>
          </cell>
        </row>
        <row r="207">
          <cell r="AD207" t="str">
            <v>ESE-01-031-019</v>
          </cell>
          <cell r="AE207" t="str">
            <v xml:space="preserve">Raemulan Lands, Inc. </v>
          </cell>
          <cell r="AF207" t="str">
            <v>Estanzia Enclave</v>
          </cell>
          <cell r="AG207" t="str">
            <v>ESE</v>
          </cell>
          <cell r="AH207" t="str">
            <v>Middle Income</v>
          </cell>
          <cell r="AI207" t="str">
            <v>01</v>
          </cell>
          <cell r="AJ207" t="str">
            <v>2024 Batch</v>
          </cell>
          <cell r="AK207">
            <v>80</v>
          </cell>
          <cell r="AL207" t="str">
            <v>PCS-04-032688</v>
          </cell>
          <cell r="AM207" t="b">
            <v>1</v>
          </cell>
          <cell r="AN207" t="str">
            <v xml:space="preserve">Done </v>
          </cell>
          <cell r="AO207">
            <v>31</v>
          </cell>
          <cell r="AP207">
            <v>19</v>
          </cell>
          <cell r="AQ207" t="str">
            <v>H+L</v>
          </cell>
          <cell r="AR207">
            <v>0.95610000000000017</v>
          </cell>
          <cell r="AS207">
            <v>80</v>
          </cell>
          <cell r="AT207">
            <v>55</v>
          </cell>
          <cell r="AU207" t="str">
            <v>FLAT</v>
          </cell>
          <cell r="AV207" t="str">
            <v>FLAT / BEACHSIDE SUN</v>
          </cell>
          <cell r="AW207" t="str">
            <v>DU-EXE</v>
          </cell>
          <cell r="AX207" t="str">
            <v>BEACHSIDE SUN</v>
          </cell>
          <cell r="AY207">
            <v>3600000</v>
          </cell>
          <cell r="AZ207">
            <v>3600000</v>
          </cell>
          <cell r="BA207">
            <v>432000</v>
          </cell>
          <cell r="BB207">
            <v>3168000</v>
          </cell>
          <cell r="BC207">
            <v>0</v>
          </cell>
          <cell r="BD207">
            <v>3168000</v>
          </cell>
        </row>
        <row r="208">
          <cell r="AD208" t="str">
            <v>ESE-01-032-001</v>
          </cell>
          <cell r="AE208" t="str">
            <v xml:space="preserve">Raemulan Lands, Inc. </v>
          </cell>
          <cell r="AF208" t="str">
            <v>Estanzia Enclave</v>
          </cell>
          <cell r="AG208" t="str">
            <v>ESE</v>
          </cell>
          <cell r="AH208" t="str">
            <v>Middle Income</v>
          </cell>
          <cell r="AI208" t="str">
            <v>01</v>
          </cell>
          <cell r="AJ208" t="str">
            <v>2024 Batch</v>
          </cell>
          <cell r="AK208">
            <v>80</v>
          </cell>
          <cell r="AL208" t="str">
            <v>PCS-04-032688</v>
          </cell>
          <cell r="AM208" t="b">
            <v>1</v>
          </cell>
          <cell r="AN208" t="str">
            <v xml:space="preserve">Done </v>
          </cell>
          <cell r="AO208">
            <v>32</v>
          </cell>
          <cell r="AP208">
            <v>1</v>
          </cell>
          <cell r="AQ208" t="str">
            <v>H+L</v>
          </cell>
          <cell r="AR208">
            <v>0.92810000000000026</v>
          </cell>
          <cell r="AS208">
            <v>80</v>
          </cell>
          <cell r="AT208">
            <v>55</v>
          </cell>
          <cell r="AU208" t="str">
            <v>SLANT</v>
          </cell>
          <cell r="AV208" t="str">
            <v>SLANT / HORIZON SUN</v>
          </cell>
          <cell r="AW208" t="str">
            <v>DU-EXE</v>
          </cell>
          <cell r="AX208" t="str">
            <v>HORIZON SUN</v>
          </cell>
          <cell r="AY208">
            <v>3600000</v>
          </cell>
          <cell r="AZ208">
            <v>3600000</v>
          </cell>
          <cell r="BA208">
            <v>432000</v>
          </cell>
          <cell r="BB208">
            <v>3168000</v>
          </cell>
          <cell r="BC208">
            <v>0</v>
          </cell>
          <cell r="BD208">
            <v>3168000</v>
          </cell>
        </row>
        <row r="209">
          <cell r="AD209" t="str">
            <v>ESE-01-032-002</v>
          </cell>
          <cell r="AE209" t="str">
            <v xml:space="preserve">Raemulan Lands, Inc. </v>
          </cell>
          <cell r="AF209" t="str">
            <v>Estanzia Enclave</v>
          </cell>
          <cell r="AG209" t="str">
            <v>ESE</v>
          </cell>
          <cell r="AH209" t="str">
            <v>Middle Income</v>
          </cell>
          <cell r="AI209" t="str">
            <v>01</v>
          </cell>
          <cell r="AJ209" t="str">
            <v>2024 Batch</v>
          </cell>
          <cell r="AK209">
            <v>100</v>
          </cell>
          <cell r="AL209" t="str">
            <v>PCS-04-032688</v>
          </cell>
          <cell r="AM209" t="b">
            <v>1</v>
          </cell>
          <cell r="AN209" t="str">
            <v xml:space="preserve">Done </v>
          </cell>
          <cell r="AO209">
            <v>32</v>
          </cell>
          <cell r="AP209">
            <v>2</v>
          </cell>
          <cell r="AQ209" t="str">
            <v>H+L</v>
          </cell>
          <cell r="AR209">
            <v>0.92810000000000026</v>
          </cell>
          <cell r="AS209">
            <v>100</v>
          </cell>
          <cell r="AT209">
            <v>55</v>
          </cell>
          <cell r="AU209" t="str">
            <v>FLAT</v>
          </cell>
          <cell r="AV209" t="str">
            <v>FLAT / HORIZON SUN</v>
          </cell>
          <cell r="AW209" t="str">
            <v>DU-EXE</v>
          </cell>
          <cell r="AX209" t="str">
            <v>HORIZON SUN</v>
          </cell>
          <cell r="AY209">
            <v>3815267.8571428573</v>
          </cell>
          <cell r="AZ209">
            <v>3900000</v>
          </cell>
          <cell r="BA209">
            <v>0</v>
          </cell>
          <cell r="BB209">
            <v>3900000</v>
          </cell>
          <cell r="BC209">
            <v>417857.14285714284</v>
          </cell>
          <cell r="BD209">
            <v>3482142.8571428573</v>
          </cell>
        </row>
        <row r="210">
          <cell r="AD210" t="str">
            <v>ESE-01-032-004</v>
          </cell>
          <cell r="AE210" t="str">
            <v xml:space="preserve">Raemulan Lands, Inc. </v>
          </cell>
          <cell r="AF210" t="str">
            <v>Estanzia Enclave</v>
          </cell>
          <cell r="AG210" t="str">
            <v>ESE</v>
          </cell>
          <cell r="AH210" t="str">
            <v>Middle Income</v>
          </cell>
          <cell r="AI210" t="str">
            <v>01</v>
          </cell>
          <cell r="AJ210" t="str">
            <v>2024 Batch</v>
          </cell>
          <cell r="AK210">
            <v>80</v>
          </cell>
          <cell r="AL210" t="str">
            <v>PCS-04-032688</v>
          </cell>
          <cell r="AM210" t="b">
            <v>1</v>
          </cell>
          <cell r="AN210" t="str">
            <v xml:space="preserve">Done </v>
          </cell>
          <cell r="AO210">
            <v>32</v>
          </cell>
          <cell r="AP210">
            <v>4</v>
          </cell>
          <cell r="AQ210" t="str">
            <v>H+L</v>
          </cell>
          <cell r="AR210">
            <v>0.93740000000000023</v>
          </cell>
          <cell r="AS210">
            <v>80</v>
          </cell>
          <cell r="AT210">
            <v>55</v>
          </cell>
          <cell r="AU210" t="str">
            <v>FLAT</v>
          </cell>
          <cell r="AV210" t="str">
            <v>FLAT / HORIZON SUN</v>
          </cell>
          <cell r="AW210" t="str">
            <v>DU-EXE</v>
          </cell>
          <cell r="AX210" t="str">
            <v>HORIZON SUN</v>
          </cell>
          <cell r="AY210">
            <v>3420000</v>
          </cell>
          <cell r="AZ210">
            <v>3600000</v>
          </cell>
          <cell r="BA210">
            <v>612000</v>
          </cell>
          <cell r="BB210">
            <v>2988000</v>
          </cell>
          <cell r="BC210">
            <v>0</v>
          </cell>
          <cell r="BD210">
            <v>2988000</v>
          </cell>
        </row>
        <row r="211">
          <cell r="AD211" t="str">
            <v>ESE-01-032-005</v>
          </cell>
          <cell r="AE211" t="str">
            <v xml:space="preserve">Raemulan Lands, Inc. </v>
          </cell>
          <cell r="AF211" t="str">
            <v>Estanzia Enclave</v>
          </cell>
          <cell r="AG211" t="str">
            <v>ESE</v>
          </cell>
          <cell r="AH211" t="str">
            <v>Middle Income</v>
          </cell>
          <cell r="AI211" t="str">
            <v>01</v>
          </cell>
          <cell r="AJ211" t="str">
            <v>2024 Batch</v>
          </cell>
          <cell r="AK211">
            <v>80</v>
          </cell>
          <cell r="AL211" t="str">
            <v>PCS-04-032688</v>
          </cell>
          <cell r="AM211" t="b">
            <v>1</v>
          </cell>
          <cell r="AN211" t="str">
            <v xml:space="preserve">Done </v>
          </cell>
          <cell r="AO211">
            <v>32</v>
          </cell>
          <cell r="AP211">
            <v>5</v>
          </cell>
          <cell r="AQ211" t="str">
            <v>H+L</v>
          </cell>
          <cell r="AR211">
            <v>0.93740000000000023</v>
          </cell>
          <cell r="AS211">
            <v>80</v>
          </cell>
          <cell r="AT211">
            <v>55</v>
          </cell>
          <cell r="AU211" t="str">
            <v>SLANT</v>
          </cell>
          <cell r="AV211" t="str">
            <v>SLANT / HORIZON SUN</v>
          </cell>
          <cell r="AW211" t="str">
            <v>DU-EXE</v>
          </cell>
          <cell r="AX211" t="str">
            <v>HORIZON SUN</v>
          </cell>
          <cell r="AY211">
            <v>3600000</v>
          </cell>
          <cell r="AZ211">
            <v>3600000</v>
          </cell>
          <cell r="BA211">
            <v>432000</v>
          </cell>
          <cell r="BB211">
            <v>3168000</v>
          </cell>
          <cell r="BC211">
            <v>0</v>
          </cell>
          <cell r="BD211">
            <v>3168000</v>
          </cell>
        </row>
        <row r="212">
          <cell r="AD212" t="str">
            <v>ESE-01-032-006</v>
          </cell>
          <cell r="AE212" t="str">
            <v xml:space="preserve">Raemulan Lands, Inc. </v>
          </cell>
          <cell r="AF212" t="str">
            <v>Estanzia Enclave</v>
          </cell>
          <cell r="AG212" t="str">
            <v>ESE</v>
          </cell>
          <cell r="AH212" t="str">
            <v>Middle Income</v>
          </cell>
          <cell r="AI212" t="str">
            <v>01</v>
          </cell>
          <cell r="AJ212" t="str">
            <v>LOT ONLY</v>
          </cell>
          <cell r="AK212">
            <v>100</v>
          </cell>
          <cell r="AL212" t="str">
            <v>PCS-04-032688</v>
          </cell>
          <cell r="AM212" t="b">
            <v>1</v>
          </cell>
          <cell r="AN212" t="str">
            <v xml:space="preserve">Done </v>
          </cell>
          <cell r="AO212">
            <v>32</v>
          </cell>
          <cell r="AP212">
            <v>6</v>
          </cell>
          <cell r="AQ212" t="str">
            <v>LO</v>
          </cell>
          <cell r="AR212" t="str">
            <v>NA</v>
          </cell>
          <cell r="AS212">
            <v>100</v>
          </cell>
          <cell r="AT212" t="str">
            <v>N/A</v>
          </cell>
          <cell r="AU212" t="str">
            <v>NA</v>
          </cell>
          <cell r="AV212" t="str">
            <v>NA / NA</v>
          </cell>
          <cell r="AW212" t="str">
            <v>LO</v>
          </cell>
          <cell r="AX212" t="str">
            <v>NA</v>
          </cell>
          <cell r="AY212">
            <v>2500000</v>
          </cell>
          <cell r="AZ212">
            <v>1800000</v>
          </cell>
          <cell r="BA212">
            <v>0</v>
          </cell>
          <cell r="BB212">
            <v>1800000</v>
          </cell>
          <cell r="BC212">
            <v>192857.14285714287</v>
          </cell>
          <cell r="BD212">
            <v>1607142.857142857</v>
          </cell>
        </row>
        <row r="213">
          <cell r="AD213" t="str">
            <v>ESE-01-032-007</v>
          </cell>
          <cell r="AE213" t="str">
            <v xml:space="preserve">Raemulan Lands, Inc. </v>
          </cell>
          <cell r="AF213" t="str">
            <v>Estanzia Enclave</v>
          </cell>
          <cell r="AG213" t="str">
            <v>ESE</v>
          </cell>
          <cell r="AH213" t="str">
            <v>Middle Income</v>
          </cell>
          <cell r="AI213" t="str">
            <v>01</v>
          </cell>
          <cell r="AJ213" t="str">
            <v>2024 Batch</v>
          </cell>
          <cell r="AK213">
            <v>100</v>
          </cell>
          <cell r="AL213" t="str">
            <v>PCS-04-032688</v>
          </cell>
          <cell r="AM213" t="b">
            <v>1</v>
          </cell>
          <cell r="AN213" t="str">
            <v xml:space="preserve">Done </v>
          </cell>
          <cell r="AO213">
            <v>32</v>
          </cell>
          <cell r="AP213">
            <v>7</v>
          </cell>
          <cell r="AQ213" t="str">
            <v>H+L</v>
          </cell>
          <cell r="AR213">
            <v>0.93680000000000019</v>
          </cell>
          <cell r="AS213">
            <v>100</v>
          </cell>
          <cell r="AT213">
            <v>55</v>
          </cell>
          <cell r="AU213" t="str">
            <v>SLANT</v>
          </cell>
          <cell r="AV213" t="str">
            <v>SLANT / BEACHSIDE SUN</v>
          </cell>
          <cell r="AW213" t="str">
            <v>DU-EXE</v>
          </cell>
          <cell r="AX213" t="str">
            <v>BEACHSIDE SUN</v>
          </cell>
          <cell r="AY213">
            <v>3721428.5714285714</v>
          </cell>
          <cell r="AZ213">
            <v>3900000</v>
          </cell>
          <cell r="BA213">
            <v>200000</v>
          </cell>
          <cell r="BB213">
            <v>3700000</v>
          </cell>
          <cell r="BC213">
            <v>396428.57142857142</v>
          </cell>
          <cell r="BD213">
            <v>3303571.4285714286</v>
          </cell>
        </row>
        <row r="214">
          <cell r="AD214" t="str">
            <v>ESE-01-032-010</v>
          </cell>
          <cell r="AE214" t="str">
            <v xml:space="preserve">Raemulan Lands, Inc. </v>
          </cell>
          <cell r="AF214" t="str">
            <v>Estanzia Enclave</v>
          </cell>
          <cell r="AG214" t="str">
            <v>ESE</v>
          </cell>
          <cell r="AH214" t="str">
            <v>Middle Income</v>
          </cell>
          <cell r="AI214" t="str">
            <v>01</v>
          </cell>
          <cell r="AJ214" t="str">
            <v>2024 Batch</v>
          </cell>
          <cell r="AK214">
            <v>80</v>
          </cell>
          <cell r="AL214" t="str">
            <v>PCS-04-032688</v>
          </cell>
          <cell r="AM214" t="b">
            <v>1</v>
          </cell>
          <cell r="AN214" t="str">
            <v xml:space="preserve">Done </v>
          </cell>
          <cell r="AO214">
            <v>32</v>
          </cell>
          <cell r="AP214">
            <v>10</v>
          </cell>
          <cell r="AQ214" t="str">
            <v>H+L</v>
          </cell>
          <cell r="AR214">
            <v>0.93680000000000019</v>
          </cell>
          <cell r="AS214">
            <v>80</v>
          </cell>
          <cell r="AT214">
            <v>55</v>
          </cell>
          <cell r="AU214" t="str">
            <v>FLAT</v>
          </cell>
          <cell r="AV214" t="str">
            <v>FLAT / BEACHSIDE SUN</v>
          </cell>
          <cell r="AW214" t="str">
            <v>DU-EXE</v>
          </cell>
          <cell r="AX214" t="str">
            <v>BEACHSIDE SUN</v>
          </cell>
          <cell r="AY214">
            <v>3420000</v>
          </cell>
          <cell r="AZ214">
            <v>3600000</v>
          </cell>
          <cell r="BA214">
            <v>612000</v>
          </cell>
          <cell r="BB214">
            <v>2988000</v>
          </cell>
          <cell r="BC214">
            <v>0</v>
          </cell>
          <cell r="BD214">
            <v>2988000</v>
          </cell>
        </row>
        <row r="215">
          <cell r="AD215" t="str">
            <v>ESE-01-032-011</v>
          </cell>
          <cell r="AE215" t="str">
            <v xml:space="preserve">Raemulan Lands, Inc. </v>
          </cell>
          <cell r="AF215" t="str">
            <v>Estanzia Enclave</v>
          </cell>
          <cell r="AG215" t="str">
            <v>ESE</v>
          </cell>
          <cell r="AH215" t="str">
            <v>Middle Income</v>
          </cell>
          <cell r="AI215" t="str">
            <v>01</v>
          </cell>
          <cell r="AJ215" t="str">
            <v>2024 Batch</v>
          </cell>
          <cell r="AK215">
            <v>80</v>
          </cell>
          <cell r="AL215" t="str">
            <v>PCS-04-032688</v>
          </cell>
          <cell r="AM215" t="b">
            <v>1</v>
          </cell>
          <cell r="AN215" t="str">
            <v xml:space="preserve">Done </v>
          </cell>
          <cell r="AO215">
            <v>32</v>
          </cell>
          <cell r="AP215">
            <v>11</v>
          </cell>
          <cell r="AQ215" t="str">
            <v>H+L</v>
          </cell>
          <cell r="AR215">
            <v>0.93680000000000019</v>
          </cell>
          <cell r="AS215">
            <v>80</v>
          </cell>
          <cell r="AT215">
            <v>55</v>
          </cell>
          <cell r="AU215" t="str">
            <v>FLAT</v>
          </cell>
          <cell r="AV215" t="str">
            <v>FLAT / BEACHSIDE SUN</v>
          </cell>
          <cell r="AW215" t="str">
            <v>DU-EXE</v>
          </cell>
          <cell r="AX215" t="str">
            <v>BEACHSIDE SUN</v>
          </cell>
          <cell r="AY215">
            <v>3600000</v>
          </cell>
          <cell r="AZ215">
            <v>3600000</v>
          </cell>
          <cell r="BA215">
            <v>432000</v>
          </cell>
          <cell r="BB215">
            <v>3168000</v>
          </cell>
          <cell r="BC215">
            <v>0</v>
          </cell>
          <cell r="BD215">
            <v>3168000</v>
          </cell>
        </row>
        <row r="216">
          <cell r="AD216" t="str">
            <v>ESE-01-032-012</v>
          </cell>
          <cell r="AE216" t="str">
            <v xml:space="preserve">Raemulan Lands, Inc. </v>
          </cell>
          <cell r="AF216" t="str">
            <v>Estanzia Enclave</v>
          </cell>
          <cell r="AG216" t="str">
            <v>ESE</v>
          </cell>
          <cell r="AH216" t="str">
            <v>Middle Income</v>
          </cell>
          <cell r="AI216" t="str">
            <v>01</v>
          </cell>
          <cell r="AJ216" t="str">
            <v>2024 Batch</v>
          </cell>
          <cell r="AK216">
            <v>100</v>
          </cell>
          <cell r="AL216" t="str">
            <v>PCS-04-032688</v>
          </cell>
          <cell r="AM216" t="b">
            <v>1</v>
          </cell>
          <cell r="AN216" t="str">
            <v xml:space="preserve">Done </v>
          </cell>
          <cell r="AO216">
            <v>32</v>
          </cell>
          <cell r="AP216">
            <v>12</v>
          </cell>
          <cell r="AQ216" t="str">
            <v>H+L</v>
          </cell>
          <cell r="AR216">
            <v>0.93680000000000019</v>
          </cell>
          <cell r="AS216">
            <v>100</v>
          </cell>
          <cell r="AT216">
            <v>55</v>
          </cell>
          <cell r="AU216" t="str">
            <v>SLANT</v>
          </cell>
          <cell r="AV216" t="str">
            <v>SLANT / BEACHSIDE SUN</v>
          </cell>
          <cell r="AW216" t="str">
            <v>DU-EXE</v>
          </cell>
          <cell r="AX216" t="str">
            <v>BEACHSIDE SUN</v>
          </cell>
          <cell r="AY216">
            <v>3600000</v>
          </cell>
          <cell r="AZ216">
            <v>3900000</v>
          </cell>
          <cell r="BA216">
            <v>215267.85999999987</v>
          </cell>
          <cell r="BB216">
            <v>3684732.14</v>
          </cell>
          <cell r="BC216">
            <v>394792.72928571427</v>
          </cell>
          <cell r="BD216">
            <v>3289939.4107142859</v>
          </cell>
        </row>
        <row r="217">
          <cell r="AD217" t="str">
            <v>ESE-01-032-013</v>
          </cell>
          <cell r="AE217" t="str">
            <v xml:space="preserve">Raemulan Lands, Inc. </v>
          </cell>
          <cell r="AF217" t="str">
            <v>Estanzia Enclave</v>
          </cell>
          <cell r="AG217" t="str">
            <v>ESE</v>
          </cell>
          <cell r="AH217" t="str">
            <v>Middle Income</v>
          </cell>
          <cell r="AI217" t="str">
            <v>01</v>
          </cell>
          <cell r="AJ217" t="str">
            <v>LOT ONLY</v>
          </cell>
          <cell r="AK217">
            <v>100</v>
          </cell>
          <cell r="AL217" t="str">
            <v>PCS-04-032688</v>
          </cell>
          <cell r="AM217" t="b">
            <v>1</v>
          </cell>
          <cell r="AN217" t="str">
            <v xml:space="preserve">Done </v>
          </cell>
          <cell r="AO217">
            <v>32</v>
          </cell>
          <cell r="AP217">
            <v>13</v>
          </cell>
          <cell r="AQ217" t="str">
            <v>LO</v>
          </cell>
          <cell r="AR217" t="str">
            <v>NA</v>
          </cell>
          <cell r="AS217">
            <v>100</v>
          </cell>
          <cell r="AT217" t="str">
            <v>N/A</v>
          </cell>
          <cell r="AU217" t="str">
            <v>NA</v>
          </cell>
          <cell r="AV217" t="str">
            <v>NA / NA</v>
          </cell>
          <cell r="AW217" t="str">
            <v>LO</v>
          </cell>
          <cell r="AX217" t="str">
            <v>NA</v>
          </cell>
          <cell r="AY217">
            <v>2500000</v>
          </cell>
          <cell r="AZ217">
            <v>1800000</v>
          </cell>
          <cell r="BA217">
            <v>0</v>
          </cell>
          <cell r="BB217">
            <v>1800000</v>
          </cell>
          <cell r="BC217">
            <v>192857.14285714287</v>
          </cell>
          <cell r="BD217">
            <v>1607142.857142857</v>
          </cell>
        </row>
        <row r="218">
          <cell r="AD218" t="str">
            <v>ESE-01-032-016</v>
          </cell>
          <cell r="AE218" t="str">
            <v xml:space="preserve">Raemulan Lands, Inc. </v>
          </cell>
          <cell r="AF218" t="str">
            <v>Estanzia Enclave</v>
          </cell>
          <cell r="AG218" t="str">
            <v>ESE</v>
          </cell>
          <cell r="AH218" t="str">
            <v>Middle Income</v>
          </cell>
          <cell r="AI218" t="str">
            <v>01</v>
          </cell>
          <cell r="AJ218" t="str">
            <v>2024 Batch</v>
          </cell>
          <cell r="AK218">
            <v>80</v>
          </cell>
          <cell r="AL218" t="str">
            <v>PCS-04-032688</v>
          </cell>
          <cell r="AM218" t="b">
            <v>1</v>
          </cell>
          <cell r="AN218" t="str">
            <v xml:space="preserve">Done </v>
          </cell>
          <cell r="AO218">
            <v>32</v>
          </cell>
          <cell r="AP218">
            <v>16</v>
          </cell>
          <cell r="AQ218" t="str">
            <v>H+L</v>
          </cell>
          <cell r="AR218">
            <v>0.92810000000000026</v>
          </cell>
          <cell r="AS218">
            <v>80</v>
          </cell>
          <cell r="AT218">
            <v>55</v>
          </cell>
          <cell r="AU218" t="str">
            <v>SLANT</v>
          </cell>
          <cell r="AV218" t="str">
            <v>SLANT / BEACHSIDE SUN</v>
          </cell>
          <cell r="AW218" t="str">
            <v>DU-EXE</v>
          </cell>
          <cell r="AX218" t="str">
            <v>BEACHSIDE SUN</v>
          </cell>
          <cell r="AY218">
            <v>3600000</v>
          </cell>
          <cell r="AZ218">
            <v>3600000</v>
          </cell>
          <cell r="BA218">
            <v>432000</v>
          </cell>
          <cell r="BB218">
            <v>3168000</v>
          </cell>
          <cell r="BC218">
            <v>0</v>
          </cell>
          <cell r="BD218">
            <v>3168000</v>
          </cell>
        </row>
        <row r="219">
          <cell r="AD219" t="str">
            <v>ESE-01-032-017</v>
          </cell>
          <cell r="AE219" t="str">
            <v xml:space="preserve">Raemulan Lands, Inc. </v>
          </cell>
          <cell r="AF219" t="str">
            <v>Estanzia Enclave</v>
          </cell>
          <cell r="AG219" t="str">
            <v>ESE</v>
          </cell>
          <cell r="AH219" t="str">
            <v>Middle Income</v>
          </cell>
          <cell r="AI219" t="str">
            <v>01</v>
          </cell>
          <cell r="AJ219" t="str">
            <v>2024 Batch</v>
          </cell>
          <cell r="AK219">
            <v>80</v>
          </cell>
          <cell r="AL219" t="str">
            <v>PCS-04-032688</v>
          </cell>
          <cell r="AM219" t="b">
            <v>1</v>
          </cell>
          <cell r="AN219" t="str">
            <v xml:space="preserve">Done </v>
          </cell>
          <cell r="AO219">
            <v>32</v>
          </cell>
          <cell r="AP219">
            <v>17</v>
          </cell>
          <cell r="AQ219" t="str">
            <v>H+L</v>
          </cell>
          <cell r="AR219">
            <v>0.92747000000000024</v>
          </cell>
          <cell r="AS219">
            <v>80</v>
          </cell>
          <cell r="AT219">
            <v>55</v>
          </cell>
          <cell r="AU219" t="str">
            <v>FLAT</v>
          </cell>
          <cell r="AV219" t="str">
            <v>FLAT / BEACHSIDE SUN</v>
          </cell>
          <cell r="AW219" t="str">
            <v>DU-EXE</v>
          </cell>
          <cell r="AX219" t="str">
            <v>BEACHSIDE SUN</v>
          </cell>
          <cell r="AY219">
            <v>3420000</v>
          </cell>
          <cell r="AZ219">
            <v>3600000</v>
          </cell>
          <cell r="BA219">
            <v>612000</v>
          </cell>
          <cell r="BB219">
            <v>2988000</v>
          </cell>
          <cell r="BC219">
            <v>0</v>
          </cell>
          <cell r="BD219">
            <v>2988000</v>
          </cell>
        </row>
        <row r="220">
          <cell r="AD220" t="str">
            <v>ESE-01-032-018</v>
          </cell>
          <cell r="AE220" t="str">
            <v xml:space="preserve">Raemulan Lands, Inc. </v>
          </cell>
          <cell r="AF220" t="str">
            <v>Estanzia Enclave</v>
          </cell>
          <cell r="AG220" t="str">
            <v>ESE</v>
          </cell>
          <cell r="AH220" t="str">
            <v>Middle Income</v>
          </cell>
          <cell r="AI220" t="str">
            <v>01</v>
          </cell>
          <cell r="AJ220" t="str">
            <v>2024 Batch</v>
          </cell>
          <cell r="AK220">
            <v>100</v>
          </cell>
          <cell r="AL220" t="str">
            <v>PCS-04-032688</v>
          </cell>
          <cell r="AM220" t="b">
            <v>1</v>
          </cell>
          <cell r="AN220" t="str">
            <v xml:space="preserve">Done </v>
          </cell>
          <cell r="AO220">
            <v>32</v>
          </cell>
          <cell r="AP220">
            <v>18</v>
          </cell>
          <cell r="AQ220" t="str">
            <v>H+L</v>
          </cell>
          <cell r="AR220">
            <v>0.92810000000000026</v>
          </cell>
          <cell r="AS220">
            <v>100</v>
          </cell>
          <cell r="AT220">
            <v>55</v>
          </cell>
          <cell r="AU220" t="str">
            <v>FLAT</v>
          </cell>
          <cell r="AV220" t="str">
            <v>FLAT / HORIZON SUN</v>
          </cell>
          <cell r="AW220" t="str">
            <v>DU-EXE</v>
          </cell>
          <cell r="AX220" t="str">
            <v>HORIZON SUN</v>
          </cell>
          <cell r="AY220">
            <v>3600000</v>
          </cell>
          <cell r="AZ220">
            <v>3900000</v>
          </cell>
          <cell r="BA220">
            <v>215267.86</v>
          </cell>
          <cell r="BB220">
            <v>3684732.14</v>
          </cell>
          <cell r="BC220">
            <v>394792.72928571427</v>
          </cell>
          <cell r="BD220">
            <v>3289939.4107142859</v>
          </cell>
        </row>
        <row r="221">
          <cell r="AD221" t="str">
            <v>ESE-01-032-020</v>
          </cell>
          <cell r="AE221" t="str">
            <v xml:space="preserve">Raemulan Lands, Inc. </v>
          </cell>
          <cell r="AF221" t="str">
            <v>Estanzia Enclave</v>
          </cell>
          <cell r="AG221" t="str">
            <v>ESE</v>
          </cell>
          <cell r="AH221" t="str">
            <v>Middle Income</v>
          </cell>
          <cell r="AI221" t="str">
            <v>01</v>
          </cell>
          <cell r="AJ221" t="str">
            <v>2024 Batch</v>
          </cell>
          <cell r="AK221">
            <v>80</v>
          </cell>
          <cell r="AL221" t="str">
            <v>PCS-04-032688</v>
          </cell>
          <cell r="AM221" t="b">
            <v>1</v>
          </cell>
          <cell r="AN221" t="str">
            <v xml:space="preserve">Done </v>
          </cell>
          <cell r="AO221">
            <v>32</v>
          </cell>
          <cell r="AP221">
            <v>20</v>
          </cell>
          <cell r="AQ221" t="str">
            <v>H+L</v>
          </cell>
          <cell r="AR221">
            <v>0.92810000000000026</v>
          </cell>
          <cell r="AS221">
            <v>80</v>
          </cell>
          <cell r="AT221">
            <v>55</v>
          </cell>
          <cell r="AU221" t="str">
            <v>SLANT</v>
          </cell>
          <cell r="AV221" t="str">
            <v>SLANT / HORIZON SUN</v>
          </cell>
          <cell r="AW221" t="str">
            <v>DU-EXE</v>
          </cell>
          <cell r="AX221" t="str">
            <v>HORIZON SUN</v>
          </cell>
          <cell r="AY221">
            <v>3600000</v>
          </cell>
          <cell r="AZ221">
            <v>3600000</v>
          </cell>
          <cell r="BA221">
            <v>432000</v>
          </cell>
          <cell r="BB221">
            <v>3168000</v>
          </cell>
          <cell r="BC221">
            <v>0</v>
          </cell>
          <cell r="BD221">
            <v>3168000</v>
          </cell>
        </row>
        <row r="222">
          <cell r="AD222" t="str">
            <v>ESE-01-033-001</v>
          </cell>
          <cell r="AE222" t="str">
            <v xml:space="preserve">Raemulan Lands, Inc. </v>
          </cell>
          <cell r="AF222" t="str">
            <v>Estanzia Enclave</v>
          </cell>
          <cell r="AG222" t="str">
            <v>ESE</v>
          </cell>
          <cell r="AH222" t="str">
            <v>Middle Income</v>
          </cell>
          <cell r="AI222" t="str">
            <v>01</v>
          </cell>
          <cell r="AJ222" t="str">
            <v>2024 Batch</v>
          </cell>
          <cell r="AK222">
            <v>80</v>
          </cell>
          <cell r="AL222" t="str">
            <v>PCS-04-032688</v>
          </cell>
          <cell r="AM222" t="b">
            <v>1</v>
          </cell>
          <cell r="AN222" t="str">
            <v xml:space="preserve">Done </v>
          </cell>
          <cell r="AO222">
            <v>33</v>
          </cell>
          <cell r="AP222">
            <v>1</v>
          </cell>
          <cell r="AQ222" t="str">
            <v>H+L</v>
          </cell>
          <cell r="AR222">
            <v>1.0000000000000002</v>
          </cell>
          <cell r="AS222">
            <v>80</v>
          </cell>
          <cell r="AT222">
            <v>55</v>
          </cell>
          <cell r="AU222" t="str">
            <v>FLAT</v>
          </cell>
          <cell r="AV222" t="str">
            <v>FLAT / BEACHSIDE SUN</v>
          </cell>
          <cell r="AW222" t="str">
            <v>DU-EXE</v>
          </cell>
          <cell r="AX222" t="str">
            <v>BEACHSIDE SUN</v>
          </cell>
          <cell r="AY222">
            <v>3600000</v>
          </cell>
          <cell r="AZ222">
            <v>3600000</v>
          </cell>
          <cell r="BA222">
            <v>432000</v>
          </cell>
          <cell r="BB222">
            <v>3168000</v>
          </cell>
          <cell r="BC222">
            <v>0</v>
          </cell>
          <cell r="BD222">
            <v>3168000</v>
          </cell>
        </row>
        <row r="223">
          <cell r="AD223" t="str">
            <v>ESE-01-033-002</v>
          </cell>
          <cell r="AE223" t="str">
            <v xml:space="preserve">Raemulan Lands, Inc. </v>
          </cell>
          <cell r="AF223" t="str">
            <v>Estanzia Enclave</v>
          </cell>
          <cell r="AG223" t="str">
            <v>ESE</v>
          </cell>
          <cell r="AH223" t="str">
            <v>Middle Income</v>
          </cell>
          <cell r="AI223" t="str">
            <v>01</v>
          </cell>
          <cell r="AJ223" t="str">
            <v>2024 Batch</v>
          </cell>
          <cell r="AK223">
            <v>100</v>
          </cell>
          <cell r="AL223" t="str">
            <v>PCS-04-032688</v>
          </cell>
          <cell r="AM223" t="b">
            <v>1</v>
          </cell>
          <cell r="AN223" t="str">
            <v xml:space="preserve">Done </v>
          </cell>
          <cell r="AO223">
            <v>33</v>
          </cell>
          <cell r="AP223">
            <v>2</v>
          </cell>
          <cell r="AQ223" t="str">
            <v>H+L</v>
          </cell>
          <cell r="AR223">
            <v>1.0000000000000002</v>
          </cell>
          <cell r="AS223">
            <v>100</v>
          </cell>
          <cell r="AT223">
            <v>55</v>
          </cell>
          <cell r="AU223" t="str">
            <v>SLANT</v>
          </cell>
          <cell r="AV223" t="str">
            <v>SLANT / BEACHSIDE SUN</v>
          </cell>
          <cell r="AW223" t="str">
            <v>DU-EXE</v>
          </cell>
          <cell r="AX223" t="str">
            <v>BEACHSIDE SUN</v>
          </cell>
          <cell r="AY223">
            <v>3900089.2857142859</v>
          </cell>
          <cell r="AZ223">
            <v>3900000</v>
          </cell>
          <cell r="BA223">
            <v>229900</v>
          </cell>
          <cell r="BB223">
            <v>3670100</v>
          </cell>
          <cell r="BC223">
            <v>393225</v>
          </cell>
          <cell r="BD223">
            <v>3276875</v>
          </cell>
        </row>
        <row r="224">
          <cell r="AD224" t="str">
            <v>ESE-01-033-004</v>
          </cell>
          <cell r="AE224" t="str">
            <v xml:space="preserve">Raemulan Lands, Inc. </v>
          </cell>
          <cell r="AF224" t="str">
            <v>Estanzia Enclave</v>
          </cell>
          <cell r="AG224" t="str">
            <v>ESE</v>
          </cell>
          <cell r="AH224" t="str">
            <v>Middle Income</v>
          </cell>
          <cell r="AI224" t="str">
            <v>01</v>
          </cell>
          <cell r="AJ224" t="str">
            <v>2024 Batch</v>
          </cell>
          <cell r="AK224">
            <v>80</v>
          </cell>
          <cell r="AL224" t="str">
            <v>PCS-04-032688</v>
          </cell>
          <cell r="AM224" t="b">
            <v>1</v>
          </cell>
          <cell r="AN224" t="str">
            <v xml:space="preserve">Done </v>
          </cell>
          <cell r="AO224">
            <v>33</v>
          </cell>
          <cell r="AP224">
            <v>4</v>
          </cell>
          <cell r="AQ224" t="str">
            <v>H+L</v>
          </cell>
          <cell r="AR224">
            <v>0.99060000000000015</v>
          </cell>
          <cell r="AS224">
            <v>80</v>
          </cell>
          <cell r="AT224">
            <v>55</v>
          </cell>
          <cell r="AU224" t="str">
            <v>SLANT</v>
          </cell>
          <cell r="AV224" t="str">
            <v>SLANT / HORIZON SUN</v>
          </cell>
          <cell r="AW224" t="str">
            <v>DU-EXE</v>
          </cell>
          <cell r="AX224" t="str">
            <v>HORIZON SUN</v>
          </cell>
          <cell r="AY224">
            <v>3420000</v>
          </cell>
          <cell r="AZ224">
            <v>3600000</v>
          </cell>
          <cell r="BA224">
            <v>612000</v>
          </cell>
          <cell r="BB224">
            <v>2988000</v>
          </cell>
          <cell r="BC224">
            <v>0</v>
          </cell>
          <cell r="BD224">
            <v>2988000</v>
          </cell>
        </row>
        <row r="225">
          <cell r="AD225" t="str">
            <v>ESE-01-033-005</v>
          </cell>
          <cell r="AE225" t="str">
            <v xml:space="preserve">Raemulan Lands, Inc. </v>
          </cell>
          <cell r="AF225" t="str">
            <v>Estanzia Enclave</v>
          </cell>
          <cell r="AG225" t="str">
            <v>ESE</v>
          </cell>
          <cell r="AH225" t="str">
            <v>Middle Income</v>
          </cell>
          <cell r="AI225" t="str">
            <v>01</v>
          </cell>
          <cell r="AJ225" t="str">
            <v>2024 Batch</v>
          </cell>
          <cell r="AK225">
            <v>80</v>
          </cell>
          <cell r="AL225" t="str">
            <v>PCS-04-032688</v>
          </cell>
          <cell r="AM225" t="b">
            <v>1</v>
          </cell>
          <cell r="AN225" t="str">
            <v xml:space="preserve">Done </v>
          </cell>
          <cell r="AO225">
            <v>33</v>
          </cell>
          <cell r="AP225">
            <v>5</v>
          </cell>
          <cell r="AQ225" t="str">
            <v>H+L</v>
          </cell>
          <cell r="AR225">
            <v>0.99060000000000015</v>
          </cell>
          <cell r="AS225">
            <v>80</v>
          </cell>
          <cell r="AT225">
            <v>55</v>
          </cell>
          <cell r="AU225" t="str">
            <v>FLAT</v>
          </cell>
          <cell r="AV225" t="str">
            <v>FLAT / HORIZON SUN</v>
          </cell>
          <cell r="AW225" t="str">
            <v>DU-EXE</v>
          </cell>
          <cell r="AX225" t="str">
            <v>HORIZON SUN</v>
          </cell>
          <cell r="AY225">
            <v>3420000</v>
          </cell>
          <cell r="AZ225">
            <v>3600000</v>
          </cell>
          <cell r="BA225">
            <v>612000</v>
          </cell>
          <cell r="BB225">
            <v>2988000</v>
          </cell>
          <cell r="BC225">
            <v>0</v>
          </cell>
          <cell r="BD225">
            <v>2988000</v>
          </cell>
        </row>
        <row r="226">
          <cell r="AD226" t="str">
            <v>ESE-01-033-006</v>
          </cell>
          <cell r="AE226" t="str">
            <v xml:space="preserve">Raemulan Lands, Inc. </v>
          </cell>
          <cell r="AF226" t="str">
            <v>Estanzia Enclave</v>
          </cell>
          <cell r="AG226" t="str">
            <v>ESE</v>
          </cell>
          <cell r="AH226" t="str">
            <v>Middle Income</v>
          </cell>
          <cell r="AI226" t="str">
            <v>01</v>
          </cell>
          <cell r="AJ226" t="str">
            <v>LOT ONLY</v>
          </cell>
          <cell r="AK226">
            <v>100</v>
          </cell>
          <cell r="AL226" t="str">
            <v>PCS-04-032688</v>
          </cell>
          <cell r="AM226" t="b">
            <v>1</v>
          </cell>
          <cell r="AN226" t="str">
            <v xml:space="preserve">Done </v>
          </cell>
          <cell r="AO226">
            <v>33</v>
          </cell>
          <cell r="AP226">
            <v>6</v>
          </cell>
          <cell r="AQ226" t="str">
            <v>LO</v>
          </cell>
          <cell r="AR226" t="str">
            <v>NA</v>
          </cell>
          <cell r="AS226">
            <v>100</v>
          </cell>
          <cell r="AT226" t="str">
            <v>N/A</v>
          </cell>
          <cell r="AU226" t="str">
            <v>NA</v>
          </cell>
          <cell r="AV226" t="str">
            <v>NA / NA</v>
          </cell>
          <cell r="AW226" t="str">
            <v>LO</v>
          </cell>
          <cell r="AX226" t="str">
            <v>NA</v>
          </cell>
          <cell r="AY226">
            <v>2500000</v>
          </cell>
          <cell r="AZ226">
            <v>1800000</v>
          </cell>
          <cell r="BA226">
            <v>0</v>
          </cell>
          <cell r="BB226">
            <v>1800000</v>
          </cell>
          <cell r="BC226">
            <v>192857.14285714287</v>
          </cell>
          <cell r="BD226">
            <v>1607142.857142857</v>
          </cell>
        </row>
        <row r="227">
          <cell r="AD227" t="str">
            <v>ESE-01-033-007</v>
          </cell>
          <cell r="AE227" t="str">
            <v xml:space="preserve">Raemulan Lands, Inc. </v>
          </cell>
          <cell r="AF227" t="str">
            <v>Estanzia Enclave</v>
          </cell>
          <cell r="AG227" t="str">
            <v>ESE</v>
          </cell>
          <cell r="AH227" t="str">
            <v>Middle Income</v>
          </cell>
          <cell r="AI227" t="str">
            <v>01</v>
          </cell>
          <cell r="AJ227" t="str">
            <v>2024 Batch</v>
          </cell>
          <cell r="AK227">
            <v>100</v>
          </cell>
          <cell r="AL227" t="str">
            <v>PCS-04-032688</v>
          </cell>
          <cell r="AM227" t="b">
            <v>1</v>
          </cell>
          <cell r="AN227" t="str">
            <v xml:space="preserve">Done </v>
          </cell>
          <cell r="AO227">
            <v>33</v>
          </cell>
          <cell r="AP227">
            <v>7</v>
          </cell>
          <cell r="AQ227" t="str">
            <v>H+L</v>
          </cell>
          <cell r="AR227">
            <v>0.98088000000000009</v>
          </cell>
          <cell r="AS227">
            <v>100</v>
          </cell>
          <cell r="AT227">
            <v>55</v>
          </cell>
          <cell r="AU227" t="str">
            <v>FLAT</v>
          </cell>
          <cell r="AV227" t="str">
            <v>FLAT / HORIZON SUN</v>
          </cell>
          <cell r="AW227" t="str">
            <v>DU-EXE</v>
          </cell>
          <cell r="AX227" t="str">
            <v>HORIZON SUN</v>
          </cell>
          <cell r="AY227">
            <v>3600000</v>
          </cell>
          <cell r="AZ227">
            <v>3900000</v>
          </cell>
          <cell r="BA227">
            <v>215267.85999999987</v>
          </cell>
          <cell r="BB227">
            <v>3684732.14</v>
          </cell>
          <cell r="BC227">
            <v>394792.72928571427</v>
          </cell>
          <cell r="BD227">
            <v>3289939.4107142859</v>
          </cell>
        </row>
        <row r="228">
          <cell r="AD228" t="str">
            <v>ESE-01-033-010</v>
          </cell>
          <cell r="AE228" t="str">
            <v xml:space="preserve">Raemulan Lands, Inc. </v>
          </cell>
          <cell r="AF228" t="str">
            <v>Estanzia Enclave</v>
          </cell>
          <cell r="AG228" t="str">
            <v>ESE</v>
          </cell>
          <cell r="AH228" t="str">
            <v>Middle Income</v>
          </cell>
          <cell r="AI228" t="str">
            <v>01</v>
          </cell>
          <cell r="AJ228" t="str">
            <v>2024 Batch</v>
          </cell>
          <cell r="AK228">
            <v>80</v>
          </cell>
          <cell r="AL228" t="str">
            <v>PCS-04-032688</v>
          </cell>
          <cell r="AM228" t="b">
            <v>1</v>
          </cell>
          <cell r="AN228" t="str">
            <v xml:space="preserve">Done </v>
          </cell>
          <cell r="AO228">
            <v>33</v>
          </cell>
          <cell r="AP228">
            <v>10</v>
          </cell>
          <cell r="AQ228" t="str">
            <v>H+L</v>
          </cell>
          <cell r="AR228">
            <v>0.98088000000000009</v>
          </cell>
          <cell r="AS228">
            <v>80</v>
          </cell>
          <cell r="AT228">
            <v>55</v>
          </cell>
          <cell r="AU228" t="str">
            <v>SLANT</v>
          </cell>
          <cell r="AV228" t="str">
            <v>SLANT / HORIZON SUN</v>
          </cell>
          <cell r="AW228" t="str">
            <v>DU-EXE</v>
          </cell>
          <cell r="AX228" t="str">
            <v>HORIZON SUN</v>
          </cell>
          <cell r="AY228">
            <v>3600000</v>
          </cell>
          <cell r="AZ228">
            <v>3600000</v>
          </cell>
          <cell r="BA228">
            <v>432000</v>
          </cell>
          <cell r="BB228">
            <v>3168000</v>
          </cell>
          <cell r="BC228">
            <v>0</v>
          </cell>
          <cell r="BD228">
            <v>3168000</v>
          </cell>
        </row>
        <row r="229">
          <cell r="AD229" t="str">
            <v>ESE-01-033-011</v>
          </cell>
          <cell r="AE229" t="str">
            <v xml:space="preserve">Raemulan Lands, Inc. </v>
          </cell>
          <cell r="AF229" t="str">
            <v>Estanzia Enclave</v>
          </cell>
          <cell r="AG229" t="str">
            <v>ESE</v>
          </cell>
          <cell r="AH229" t="str">
            <v>Middle Income</v>
          </cell>
          <cell r="AI229" t="str">
            <v>01</v>
          </cell>
          <cell r="AJ229" t="str">
            <v>2024 Batch</v>
          </cell>
          <cell r="AK229">
            <v>80</v>
          </cell>
          <cell r="AL229" t="str">
            <v>PCS-04-032688</v>
          </cell>
          <cell r="AM229" t="b">
            <v>1</v>
          </cell>
          <cell r="AN229" t="str">
            <v xml:space="preserve">Done </v>
          </cell>
          <cell r="AO229">
            <v>33</v>
          </cell>
          <cell r="AP229">
            <v>11</v>
          </cell>
          <cell r="AQ229" t="str">
            <v>H+L</v>
          </cell>
          <cell r="AR229">
            <v>0.98088000000000009</v>
          </cell>
          <cell r="AS229">
            <v>80</v>
          </cell>
          <cell r="AT229">
            <v>55</v>
          </cell>
          <cell r="AU229" t="str">
            <v>SLANT</v>
          </cell>
          <cell r="AV229" t="str">
            <v>SLANT / HORIZON SUN</v>
          </cell>
          <cell r="AW229" t="str">
            <v>DU-EXE</v>
          </cell>
          <cell r="AX229" t="str">
            <v>HORIZON SUN</v>
          </cell>
          <cell r="AY229">
            <v>3600000</v>
          </cell>
          <cell r="AZ229">
            <v>3600000</v>
          </cell>
          <cell r="BA229">
            <v>432000</v>
          </cell>
          <cell r="BB229">
            <v>3168000</v>
          </cell>
          <cell r="BC229">
            <v>0</v>
          </cell>
          <cell r="BD229">
            <v>3168000</v>
          </cell>
        </row>
        <row r="230">
          <cell r="AD230" t="str">
            <v>ESE-01-033-012</v>
          </cell>
          <cell r="AE230" t="str">
            <v xml:space="preserve">Raemulan Lands, Inc. </v>
          </cell>
          <cell r="AF230" t="str">
            <v>Estanzia Enclave</v>
          </cell>
          <cell r="AG230" t="str">
            <v>ESE</v>
          </cell>
          <cell r="AH230" t="str">
            <v>Middle Income</v>
          </cell>
          <cell r="AI230" t="str">
            <v>01</v>
          </cell>
          <cell r="AJ230" t="str">
            <v>2024 Batch</v>
          </cell>
          <cell r="AK230">
            <v>100</v>
          </cell>
          <cell r="AL230" t="str">
            <v>PCS-04-032688</v>
          </cell>
          <cell r="AM230" t="b">
            <v>1</v>
          </cell>
          <cell r="AN230" t="str">
            <v xml:space="preserve">Done </v>
          </cell>
          <cell r="AO230">
            <v>33</v>
          </cell>
          <cell r="AP230">
            <v>12</v>
          </cell>
          <cell r="AQ230" t="str">
            <v>H+L</v>
          </cell>
          <cell r="AR230">
            <v>0.98088000000000009</v>
          </cell>
          <cell r="AS230">
            <v>100</v>
          </cell>
          <cell r="AT230">
            <v>55</v>
          </cell>
          <cell r="AU230" t="str">
            <v>FLAT</v>
          </cell>
          <cell r="AV230" t="str">
            <v>FLAT / HORIZON SUN</v>
          </cell>
          <cell r="AW230" t="str">
            <v>DU-EXE</v>
          </cell>
          <cell r="AX230" t="str">
            <v>HORIZON SUN</v>
          </cell>
          <cell r="AY230">
            <v>3815267.8571428573</v>
          </cell>
          <cell r="AZ230">
            <v>3900000</v>
          </cell>
          <cell r="BA230">
            <v>324900</v>
          </cell>
          <cell r="BB230">
            <v>3575100</v>
          </cell>
          <cell r="BC230">
            <v>457832.14285714278</v>
          </cell>
          <cell r="BD230">
            <v>3117267.8571428573</v>
          </cell>
        </row>
        <row r="231">
          <cell r="AD231" t="str">
            <v>ESE-01-033-013</v>
          </cell>
          <cell r="AE231" t="str">
            <v xml:space="preserve">Raemulan Lands, Inc. </v>
          </cell>
          <cell r="AF231" t="str">
            <v>Estanzia Enclave</v>
          </cell>
          <cell r="AG231" t="str">
            <v>ESE</v>
          </cell>
          <cell r="AH231" t="str">
            <v>Middle Income</v>
          </cell>
          <cell r="AI231" t="str">
            <v>01</v>
          </cell>
          <cell r="AJ231" t="str">
            <v>LOT ONLY</v>
          </cell>
          <cell r="AK231">
            <v>100</v>
          </cell>
          <cell r="AL231" t="str">
            <v>PCS-04-032688</v>
          </cell>
          <cell r="AM231" t="b">
            <v>1</v>
          </cell>
          <cell r="AN231" t="str">
            <v xml:space="preserve">Done </v>
          </cell>
          <cell r="AO231">
            <v>33</v>
          </cell>
          <cell r="AP231">
            <v>13</v>
          </cell>
          <cell r="AQ231" t="str">
            <v>LO</v>
          </cell>
          <cell r="AR231" t="str">
            <v>NA</v>
          </cell>
          <cell r="AS231">
            <v>100</v>
          </cell>
          <cell r="AT231" t="str">
            <v>N/A</v>
          </cell>
          <cell r="AU231" t="str">
            <v>NA</v>
          </cell>
          <cell r="AV231" t="str">
            <v>NA / NA</v>
          </cell>
          <cell r="AW231" t="str">
            <v>LO</v>
          </cell>
          <cell r="AX231" t="str">
            <v>NA</v>
          </cell>
          <cell r="AY231">
            <v>2500000</v>
          </cell>
          <cell r="AZ231">
            <v>1800000</v>
          </cell>
          <cell r="BA231">
            <v>0</v>
          </cell>
          <cell r="BB231">
            <v>1800000</v>
          </cell>
          <cell r="BC231">
            <v>192857.14285714287</v>
          </cell>
          <cell r="BD231">
            <v>1607142.857142857</v>
          </cell>
        </row>
        <row r="232">
          <cell r="AD232" t="str">
            <v>ESE-01-033-016</v>
          </cell>
          <cell r="AE232" t="str">
            <v xml:space="preserve">Raemulan Lands, Inc. </v>
          </cell>
          <cell r="AF232" t="str">
            <v>Estanzia Enclave</v>
          </cell>
          <cell r="AG232" t="str">
            <v>ESE</v>
          </cell>
          <cell r="AH232" t="str">
            <v>Middle Income</v>
          </cell>
          <cell r="AI232" t="str">
            <v>01</v>
          </cell>
          <cell r="AJ232" t="str">
            <v>2024 Batch</v>
          </cell>
          <cell r="AK232">
            <v>80</v>
          </cell>
          <cell r="AL232" t="str">
            <v>PCS-04-032688</v>
          </cell>
          <cell r="AM232" t="b">
            <v>1</v>
          </cell>
          <cell r="AN232" t="str">
            <v xml:space="preserve">Done </v>
          </cell>
          <cell r="AO232">
            <v>33</v>
          </cell>
          <cell r="AP232">
            <v>16</v>
          </cell>
          <cell r="AQ232" t="str">
            <v>H+L</v>
          </cell>
          <cell r="AR232">
            <v>0.99060000000000015</v>
          </cell>
          <cell r="AS232">
            <v>80</v>
          </cell>
          <cell r="AT232">
            <v>55</v>
          </cell>
          <cell r="AU232" t="str">
            <v>FLAT</v>
          </cell>
          <cell r="AV232" t="str">
            <v>FLAT / BEACHSIDE SUN</v>
          </cell>
          <cell r="AW232" t="str">
            <v>DU-EXE</v>
          </cell>
          <cell r="AX232" t="str">
            <v>BEACHSIDE SUN</v>
          </cell>
          <cell r="AY232">
            <v>3420000</v>
          </cell>
          <cell r="AZ232">
            <v>3600000</v>
          </cell>
          <cell r="BA232">
            <v>612000</v>
          </cell>
          <cell r="BB232">
            <v>2988000</v>
          </cell>
          <cell r="BC232">
            <v>0</v>
          </cell>
          <cell r="BD232">
            <v>2988000</v>
          </cell>
        </row>
        <row r="233">
          <cell r="AD233" t="str">
            <v>ESE-01-033-017</v>
          </cell>
          <cell r="AE233" t="str">
            <v xml:space="preserve">Raemulan Lands, Inc. </v>
          </cell>
          <cell r="AF233" t="str">
            <v>Estanzia Enclave</v>
          </cell>
          <cell r="AG233" t="str">
            <v>ESE</v>
          </cell>
          <cell r="AH233" t="str">
            <v>Middle Income</v>
          </cell>
          <cell r="AI233" t="str">
            <v>01</v>
          </cell>
          <cell r="AJ233" t="str">
            <v>2024 Batch</v>
          </cell>
          <cell r="AK233">
            <v>80</v>
          </cell>
          <cell r="AL233" t="str">
            <v>PCS-04-032688</v>
          </cell>
          <cell r="AM233" t="b">
            <v>1</v>
          </cell>
          <cell r="AN233" t="str">
            <v xml:space="preserve">Done </v>
          </cell>
          <cell r="AO233">
            <v>33</v>
          </cell>
          <cell r="AP233">
            <v>17</v>
          </cell>
          <cell r="AQ233" t="str">
            <v>H+L</v>
          </cell>
          <cell r="AR233">
            <v>0.99060000000000015</v>
          </cell>
          <cell r="AS233">
            <v>80</v>
          </cell>
          <cell r="AT233">
            <v>55</v>
          </cell>
          <cell r="AU233" t="str">
            <v>SLANT</v>
          </cell>
          <cell r="AV233" t="str">
            <v>SLANT / BEACHSIDE SUN</v>
          </cell>
          <cell r="AW233" t="str">
            <v>DU-EXE</v>
          </cell>
          <cell r="AX233" t="str">
            <v>BEACHSIDE SUN</v>
          </cell>
          <cell r="AY233">
            <v>3600000</v>
          </cell>
          <cell r="AZ233">
            <v>3600000</v>
          </cell>
          <cell r="BA233">
            <v>432000</v>
          </cell>
          <cell r="BB233">
            <v>3168000</v>
          </cell>
          <cell r="BC233">
            <v>0</v>
          </cell>
          <cell r="BD233">
            <v>3168000</v>
          </cell>
        </row>
        <row r="234">
          <cell r="AD234" t="str">
            <v>ESE-01-033-018</v>
          </cell>
          <cell r="AE234" t="str">
            <v xml:space="preserve">Raemulan Lands, Inc. </v>
          </cell>
          <cell r="AF234" t="str">
            <v>Estanzia Enclave</v>
          </cell>
          <cell r="AG234" t="str">
            <v>ESE</v>
          </cell>
          <cell r="AH234" t="str">
            <v>Middle Income</v>
          </cell>
          <cell r="AI234" t="str">
            <v>01</v>
          </cell>
          <cell r="AJ234" t="str">
            <v>2024 Batch</v>
          </cell>
          <cell r="AK234">
            <v>100</v>
          </cell>
          <cell r="AL234" t="str">
            <v>PCS-04-032688</v>
          </cell>
          <cell r="AM234" t="b">
            <v>1</v>
          </cell>
          <cell r="AN234" t="str">
            <v xml:space="preserve">Done </v>
          </cell>
          <cell r="AO234">
            <v>33</v>
          </cell>
          <cell r="AP234">
            <v>18</v>
          </cell>
          <cell r="AQ234" t="str">
            <v>H+L</v>
          </cell>
          <cell r="AR234">
            <v>1.0000000000000002</v>
          </cell>
          <cell r="AS234">
            <v>100</v>
          </cell>
          <cell r="AT234">
            <v>55</v>
          </cell>
          <cell r="AU234" t="str">
            <v>SLANT</v>
          </cell>
          <cell r="AV234" t="str">
            <v>SLANT / BEACHSIDE SUN</v>
          </cell>
          <cell r="AW234" t="str">
            <v>DU-EXE</v>
          </cell>
          <cell r="AX234" t="str">
            <v>BEACHSIDE SUN</v>
          </cell>
          <cell r="AY234">
            <v>3772857.1428571427</v>
          </cell>
          <cell r="AZ234">
            <v>3900000</v>
          </cell>
          <cell r="BA234">
            <v>372400</v>
          </cell>
          <cell r="BB234">
            <v>3527600</v>
          </cell>
          <cell r="BC234">
            <v>452742.8571428571</v>
          </cell>
          <cell r="BD234">
            <v>3074857.1428571427</v>
          </cell>
        </row>
        <row r="235">
          <cell r="AD235" t="str">
            <v>ESE-01-033-020</v>
          </cell>
          <cell r="AE235" t="str">
            <v xml:space="preserve">Raemulan Lands, Inc. </v>
          </cell>
          <cell r="AF235" t="str">
            <v>Estanzia Enclave</v>
          </cell>
          <cell r="AG235" t="str">
            <v>ESE</v>
          </cell>
          <cell r="AH235" t="str">
            <v>Middle Income</v>
          </cell>
          <cell r="AI235" t="str">
            <v>01</v>
          </cell>
          <cell r="AJ235" t="str">
            <v>2024 Batch</v>
          </cell>
          <cell r="AK235">
            <v>80</v>
          </cell>
          <cell r="AL235" t="str">
            <v>PCS-04-032688</v>
          </cell>
          <cell r="AM235" t="b">
            <v>1</v>
          </cell>
          <cell r="AN235" t="str">
            <v xml:space="preserve">Done </v>
          </cell>
          <cell r="AO235">
            <v>33</v>
          </cell>
          <cell r="AP235">
            <v>20</v>
          </cell>
          <cell r="AQ235" t="str">
            <v>H+L</v>
          </cell>
          <cell r="AR235">
            <v>1.0000000000000002</v>
          </cell>
          <cell r="AS235">
            <v>80</v>
          </cell>
          <cell r="AT235">
            <v>55</v>
          </cell>
          <cell r="AU235" t="str">
            <v>FLAT</v>
          </cell>
          <cell r="AV235" t="str">
            <v>FLAT / BEACHSIDE SUN</v>
          </cell>
          <cell r="AW235" t="str">
            <v>DU-EXE</v>
          </cell>
          <cell r="AX235" t="str">
            <v>BEACHSIDE SUN</v>
          </cell>
          <cell r="AY235">
            <v>3600000</v>
          </cell>
          <cell r="AZ235">
            <v>3600000</v>
          </cell>
          <cell r="BA235">
            <v>432000</v>
          </cell>
          <cell r="BB235">
            <v>3168000</v>
          </cell>
          <cell r="BC235">
            <v>0</v>
          </cell>
          <cell r="BD235">
            <v>3168000</v>
          </cell>
        </row>
        <row r="236">
          <cell r="AD236" t="str">
            <v>ESE-01-034-001</v>
          </cell>
          <cell r="AE236" t="str">
            <v xml:space="preserve">Raemulan Lands, Inc. </v>
          </cell>
          <cell r="AF236" t="str">
            <v>Estanzia Enclave</v>
          </cell>
          <cell r="AG236" t="str">
            <v>ESE</v>
          </cell>
          <cell r="AH236" t="str">
            <v>Middle Income</v>
          </cell>
          <cell r="AI236" t="str">
            <v>01</v>
          </cell>
          <cell r="AJ236" t="str">
            <v>2024 Batch</v>
          </cell>
          <cell r="AK236">
            <v>80</v>
          </cell>
          <cell r="AL236" t="str">
            <v>PCS-04-032688</v>
          </cell>
          <cell r="AM236" t="b">
            <v>1</v>
          </cell>
          <cell r="AN236" t="str">
            <v xml:space="preserve">Done </v>
          </cell>
          <cell r="AO236">
            <v>34</v>
          </cell>
          <cell r="AP236">
            <v>1</v>
          </cell>
          <cell r="AQ236" t="str">
            <v>H+L</v>
          </cell>
          <cell r="AR236">
            <v>0.92810000000000026</v>
          </cell>
          <cell r="AS236">
            <v>80</v>
          </cell>
          <cell r="AT236">
            <v>55</v>
          </cell>
          <cell r="AU236" t="str">
            <v>SLANT</v>
          </cell>
          <cell r="AV236" t="str">
            <v>SLANT / HORIZON SUN</v>
          </cell>
          <cell r="AW236" t="str">
            <v>DU-EXE</v>
          </cell>
          <cell r="AX236" t="str">
            <v>HORIZON SUN</v>
          </cell>
          <cell r="AY236">
            <v>3600000</v>
          </cell>
          <cell r="AZ236">
            <v>3600000</v>
          </cell>
          <cell r="BA236">
            <v>432000</v>
          </cell>
          <cell r="BB236">
            <v>3168000</v>
          </cell>
          <cell r="BC236">
            <v>0</v>
          </cell>
          <cell r="BD236">
            <v>3168000</v>
          </cell>
        </row>
        <row r="237">
          <cell r="AD237" t="str">
            <v>ESE-01-034-002</v>
          </cell>
          <cell r="AE237" t="str">
            <v xml:space="preserve">Raemulan Lands, Inc. </v>
          </cell>
          <cell r="AF237" t="str">
            <v>Estanzia Enclave</v>
          </cell>
          <cell r="AG237" t="str">
            <v>ESE</v>
          </cell>
          <cell r="AH237" t="str">
            <v>Middle Income</v>
          </cell>
          <cell r="AI237" t="str">
            <v>01</v>
          </cell>
          <cell r="AJ237" t="str">
            <v>2024 Batch</v>
          </cell>
          <cell r="AK237">
            <v>100</v>
          </cell>
          <cell r="AL237" t="str">
            <v>PCS-04-032688</v>
          </cell>
          <cell r="AM237" t="b">
            <v>1</v>
          </cell>
          <cell r="AN237" t="str">
            <v xml:space="preserve">Done </v>
          </cell>
          <cell r="AO237">
            <v>34</v>
          </cell>
          <cell r="AP237">
            <v>2</v>
          </cell>
          <cell r="AQ237" t="str">
            <v>H+L</v>
          </cell>
          <cell r="AR237">
            <v>0.92810000000000026</v>
          </cell>
          <cell r="AS237">
            <v>100</v>
          </cell>
          <cell r="AT237">
            <v>55</v>
          </cell>
          <cell r="AU237" t="str">
            <v>FLAT</v>
          </cell>
          <cell r="AV237" t="str">
            <v>FLAT / HORIZON SUN</v>
          </cell>
          <cell r="AW237" t="str">
            <v>DU-EXE</v>
          </cell>
          <cell r="AX237" t="str">
            <v>HORIZON SUN</v>
          </cell>
          <cell r="AY237">
            <v>3420000</v>
          </cell>
          <cell r="AZ237">
            <v>3900000</v>
          </cell>
          <cell r="BA237">
            <v>0</v>
          </cell>
          <cell r="BB237">
            <v>3900000</v>
          </cell>
          <cell r="BC237">
            <v>417857.14285714284</v>
          </cell>
          <cell r="BD237">
            <v>3482142.8571428573</v>
          </cell>
        </row>
        <row r="238">
          <cell r="AD238" t="str">
            <v>ESE-01-034-004</v>
          </cell>
          <cell r="AE238" t="str">
            <v xml:space="preserve">Raemulan Lands, Inc. </v>
          </cell>
          <cell r="AF238" t="str">
            <v>Estanzia Enclave</v>
          </cell>
          <cell r="AG238" t="str">
            <v>ESE</v>
          </cell>
          <cell r="AH238" t="str">
            <v>Middle Income</v>
          </cell>
          <cell r="AI238" t="str">
            <v>01</v>
          </cell>
          <cell r="AJ238" t="str">
            <v>2024 Batch</v>
          </cell>
          <cell r="AK238">
            <v>80</v>
          </cell>
          <cell r="AL238" t="str">
            <v>PCS-04-032688</v>
          </cell>
          <cell r="AM238" t="b">
            <v>1</v>
          </cell>
          <cell r="AN238" t="str">
            <v xml:space="preserve">Done </v>
          </cell>
          <cell r="AO238">
            <v>34</v>
          </cell>
          <cell r="AP238">
            <v>4</v>
          </cell>
          <cell r="AQ238" t="str">
            <v>H+L</v>
          </cell>
          <cell r="AR238">
            <v>0.92810000000000026</v>
          </cell>
          <cell r="AS238">
            <v>80</v>
          </cell>
          <cell r="AT238">
            <v>55</v>
          </cell>
          <cell r="AU238" t="str">
            <v>FLAT</v>
          </cell>
          <cell r="AV238" t="str">
            <v>FLAT / BEACHSIDE SUN</v>
          </cell>
          <cell r="AW238" t="str">
            <v>DU-EXE</v>
          </cell>
          <cell r="AX238" t="str">
            <v>BEACHSIDE SUN</v>
          </cell>
          <cell r="AY238">
            <v>3420000</v>
          </cell>
          <cell r="AZ238">
            <v>3600000</v>
          </cell>
          <cell r="BA238">
            <v>612000</v>
          </cell>
          <cell r="BB238">
            <v>2988000</v>
          </cell>
          <cell r="BC238">
            <v>0</v>
          </cell>
          <cell r="BD238">
            <v>2988000</v>
          </cell>
        </row>
        <row r="239">
          <cell r="AD239" t="str">
            <v>ESE-01-034-005</v>
          </cell>
          <cell r="AE239" t="str">
            <v xml:space="preserve">Raemulan Lands, Inc. </v>
          </cell>
          <cell r="AF239" t="str">
            <v>Estanzia Enclave</v>
          </cell>
          <cell r="AG239" t="str">
            <v>ESE</v>
          </cell>
          <cell r="AH239" t="str">
            <v>Middle Income</v>
          </cell>
          <cell r="AI239" t="str">
            <v>01</v>
          </cell>
          <cell r="AJ239" t="str">
            <v>2024 Batch</v>
          </cell>
          <cell r="AK239">
            <v>80</v>
          </cell>
          <cell r="AL239" t="str">
            <v>PCS-04-032688</v>
          </cell>
          <cell r="AM239" t="b">
            <v>1</v>
          </cell>
          <cell r="AN239" t="str">
            <v xml:space="preserve">Done </v>
          </cell>
          <cell r="AO239">
            <v>34</v>
          </cell>
          <cell r="AP239">
            <v>5</v>
          </cell>
          <cell r="AQ239" t="str">
            <v>H+L</v>
          </cell>
          <cell r="AR239">
            <v>0.92810000000000026</v>
          </cell>
          <cell r="AS239">
            <v>80</v>
          </cell>
          <cell r="AT239">
            <v>55</v>
          </cell>
          <cell r="AU239" t="str">
            <v>SLANT</v>
          </cell>
          <cell r="AV239" t="str">
            <v>SLANT / BEACHSIDE SUN</v>
          </cell>
          <cell r="AW239" t="str">
            <v>DU-EXE</v>
          </cell>
          <cell r="AX239" t="str">
            <v>BEACHSIDE SUN</v>
          </cell>
          <cell r="AY239">
            <v>3420000</v>
          </cell>
          <cell r="AZ239">
            <v>3600000</v>
          </cell>
          <cell r="BA239">
            <v>612000</v>
          </cell>
          <cell r="BB239">
            <v>2988000</v>
          </cell>
          <cell r="BC239">
            <v>0</v>
          </cell>
          <cell r="BD239">
            <v>2988000</v>
          </cell>
        </row>
        <row r="240">
          <cell r="AD240" t="str">
            <v>ESE-01-034-006</v>
          </cell>
          <cell r="AE240" t="str">
            <v xml:space="preserve">Raemulan Lands, Inc. </v>
          </cell>
          <cell r="AF240" t="str">
            <v>Estanzia Enclave</v>
          </cell>
          <cell r="AG240" t="str">
            <v>ESE</v>
          </cell>
          <cell r="AH240" t="str">
            <v>Middle Income</v>
          </cell>
          <cell r="AI240" t="str">
            <v>01</v>
          </cell>
          <cell r="AJ240" t="str">
            <v>LOT ONLY</v>
          </cell>
          <cell r="AK240">
            <v>100</v>
          </cell>
          <cell r="AL240" t="str">
            <v>PCS-04-032688</v>
          </cell>
          <cell r="AM240" t="b">
            <v>1</v>
          </cell>
          <cell r="AN240" t="str">
            <v xml:space="preserve">Done </v>
          </cell>
          <cell r="AO240">
            <v>34</v>
          </cell>
          <cell r="AP240">
            <v>6</v>
          </cell>
          <cell r="AQ240" t="str">
            <v>LO</v>
          </cell>
          <cell r="AR240" t="str">
            <v>NA</v>
          </cell>
          <cell r="AS240">
            <v>100</v>
          </cell>
          <cell r="AT240" t="str">
            <v>N/A</v>
          </cell>
          <cell r="AU240" t="str">
            <v>NA</v>
          </cell>
          <cell r="AV240" t="str">
            <v>NA / NA</v>
          </cell>
          <cell r="AW240" t="str">
            <v>LO</v>
          </cell>
          <cell r="AX240" t="str">
            <v>NA</v>
          </cell>
          <cell r="AY240">
            <v>2500000</v>
          </cell>
          <cell r="AZ240">
            <v>1800000</v>
          </cell>
          <cell r="BA240">
            <v>0</v>
          </cell>
          <cell r="BB240">
            <v>1800000</v>
          </cell>
          <cell r="BC240">
            <v>192857.14285714287</v>
          </cell>
          <cell r="BD240">
            <v>1607142.857142857</v>
          </cell>
        </row>
        <row r="241">
          <cell r="AD241" t="str">
            <v>ESE-01-034-007</v>
          </cell>
          <cell r="AE241" t="str">
            <v xml:space="preserve">Raemulan Lands, Inc. </v>
          </cell>
          <cell r="AF241" t="str">
            <v>Estanzia Enclave</v>
          </cell>
          <cell r="AG241" t="str">
            <v>ESE</v>
          </cell>
          <cell r="AH241" t="str">
            <v>Middle Income</v>
          </cell>
          <cell r="AI241" t="str">
            <v>01</v>
          </cell>
          <cell r="AJ241" t="str">
            <v>2024 Batch</v>
          </cell>
          <cell r="AK241">
            <v>100</v>
          </cell>
          <cell r="AL241" t="str">
            <v>PCS-04-032688</v>
          </cell>
          <cell r="AM241" t="b">
            <v>1</v>
          </cell>
          <cell r="AN241" t="str">
            <v xml:space="preserve">Done </v>
          </cell>
          <cell r="AO241">
            <v>34</v>
          </cell>
          <cell r="AP241">
            <v>7</v>
          </cell>
          <cell r="AQ241" t="str">
            <v>H+L</v>
          </cell>
          <cell r="AR241">
            <v>0.91170000000000029</v>
          </cell>
          <cell r="AS241">
            <v>100</v>
          </cell>
          <cell r="AT241">
            <v>55</v>
          </cell>
          <cell r="AU241" t="str">
            <v>SLANT</v>
          </cell>
          <cell r="AV241" t="str">
            <v>SLANT / BEACHSIDE SUN</v>
          </cell>
          <cell r="AW241" t="str">
            <v>DU-EXE</v>
          </cell>
          <cell r="AX241" t="str">
            <v>BEACHSIDE SUN</v>
          </cell>
          <cell r="AY241">
            <v>3531514.4867376299</v>
          </cell>
          <cell r="AZ241">
            <v>3900000</v>
          </cell>
          <cell r="BA241">
            <v>0</v>
          </cell>
          <cell r="BB241">
            <v>3900000</v>
          </cell>
          <cell r="BC241">
            <v>417857.14285714284</v>
          </cell>
          <cell r="BD241">
            <v>3482142.8571428573</v>
          </cell>
        </row>
        <row r="242">
          <cell r="AD242" t="str">
            <v>ESE-01-034-010</v>
          </cell>
          <cell r="AE242" t="str">
            <v xml:space="preserve">Raemulan Lands, Inc. </v>
          </cell>
          <cell r="AF242" t="str">
            <v>Estanzia Enclave</v>
          </cell>
          <cell r="AG242" t="str">
            <v>ESE</v>
          </cell>
          <cell r="AH242" t="str">
            <v>Middle Income</v>
          </cell>
          <cell r="AI242" t="str">
            <v>01</v>
          </cell>
          <cell r="AJ242" t="str">
            <v>2024 Batch</v>
          </cell>
          <cell r="AK242">
            <v>80</v>
          </cell>
          <cell r="AL242" t="str">
            <v>PCS-04-032688</v>
          </cell>
          <cell r="AM242" t="b">
            <v>1</v>
          </cell>
          <cell r="AN242" t="str">
            <v xml:space="preserve">Done </v>
          </cell>
          <cell r="AO242">
            <v>34</v>
          </cell>
          <cell r="AP242">
            <v>10</v>
          </cell>
          <cell r="AQ242" t="str">
            <v>H+L</v>
          </cell>
          <cell r="AR242">
            <v>0.91170000000000029</v>
          </cell>
          <cell r="AS242">
            <v>80</v>
          </cell>
          <cell r="AT242">
            <v>55</v>
          </cell>
          <cell r="AU242" t="str">
            <v>FLAT</v>
          </cell>
          <cell r="AV242" t="str">
            <v>FLAT / BEACHSIDE SUN</v>
          </cell>
          <cell r="AW242" t="str">
            <v>DU-EXE</v>
          </cell>
          <cell r="AX242" t="str">
            <v>BEACHSIDE SUN</v>
          </cell>
          <cell r="AY242">
            <v>3600000</v>
          </cell>
          <cell r="AZ242">
            <v>3600000</v>
          </cell>
          <cell r="BA242">
            <v>432000</v>
          </cell>
          <cell r="BB242">
            <v>3168000</v>
          </cell>
          <cell r="BC242">
            <v>0</v>
          </cell>
          <cell r="BD242">
            <v>3168000</v>
          </cell>
        </row>
        <row r="243">
          <cell r="AD243" t="str">
            <v>ESE-01-034-011</v>
          </cell>
          <cell r="AE243" t="str">
            <v xml:space="preserve">Raemulan Lands, Inc. </v>
          </cell>
          <cell r="AF243" t="str">
            <v>Estanzia Enclave</v>
          </cell>
          <cell r="AG243" t="str">
            <v>ESE</v>
          </cell>
          <cell r="AH243" t="str">
            <v>Middle Income</v>
          </cell>
          <cell r="AI243" t="str">
            <v>01</v>
          </cell>
          <cell r="AJ243" t="str">
            <v>2024 Batch</v>
          </cell>
          <cell r="AK243">
            <v>80</v>
          </cell>
          <cell r="AL243" t="str">
            <v>PCS-04-032688</v>
          </cell>
          <cell r="AM243" t="b">
            <v>1</v>
          </cell>
          <cell r="AN243" t="str">
            <v xml:space="preserve">Done </v>
          </cell>
          <cell r="AO243">
            <v>34</v>
          </cell>
          <cell r="AP243">
            <v>11</v>
          </cell>
          <cell r="AQ243" t="str">
            <v>H+L</v>
          </cell>
          <cell r="AR243">
            <v>0.91170000000000029</v>
          </cell>
          <cell r="AS243">
            <v>80</v>
          </cell>
          <cell r="AT243">
            <v>55</v>
          </cell>
          <cell r="AU243" t="str">
            <v>FLAT</v>
          </cell>
          <cell r="AV243" t="str">
            <v>FLAT / BEACHSIDE SUN</v>
          </cell>
          <cell r="AW243" t="str">
            <v>DU-EXE</v>
          </cell>
          <cell r="AX243" t="str">
            <v>BEACHSIDE SUN</v>
          </cell>
          <cell r="AY243">
            <v>3600000</v>
          </cell>
          <cell r="AZ243">
            <v>3600000</v>
          </cell>
          <cell r="BA243">
            <v>432000</v>
          </cell>
          <cell r="BB243">
            <v>3168000</v>
          </cell>
          <cell r="BC243">
            <v>0</v>
          </cell>
          <cell r="BD243">
            <v>3168000</v>
          </cell>
        </row>
        <row r="244">
          <cell r="AD244" t="str">
            <v>ESE-01-034-012</v>
          </cell>
          <cell r="AE244" t="str">
            <v xml:space="preserve">Raemulan Lands, Inc. </v>
          </cell>
          <cell r="AF244" t="str">
            <v>Estanzia Enclave</v>
          </cell>
          <cell r="AG244" t="str">
            <v>ESE</v>
          </cell>
          <cell r="AH244" t="str">
            <v>Middle Income</v>
          </cell>
          <cell r="AI244" t="str">
            <v>01</v>
          </cell>
          <cell r="AJ244" t="str">
            <v>2024 Batch</v>
          </cell>
          <cell r="AK244">
            <v>100</v>
          </cell>
          <cell r="AL244" t="str">
            <v>PCS-04-032688</v>
          </cell>
          <cell r="AM244" t="b">
            <v>1</v>
          </cell>
          <cell r="AN244" t="str">
            <v xml:space="preserve">Done </v>
          </cell>
          <cell r="AO244">
            <v>34</v>
          </cell>
          <cell r="AP244">
            <v>12</v>
          </cell>
          <cell r="AQ244" t="str">
            <v>H+L</v>
          </cell>
          <cell r="AR244">
            <v>0.91170000000000029</v>
          </cell>
          <cell r="AS244">
            <v>100</v>
          </cell>
          <cell r="AT244">
            <v>55</v>
          </cell>
          <cell r="AU244" t="str">
            <v>SLANT</v>
          </cell>
          <cell r="AV244" t="str">
            <v>SLANT / BEACHSIDE SUN</v>
          </cell>
          <cell r="AW244" t="str">
            <v>DU-EXE</v>
          </cell>
          <cell r="AX244" t="str">
            <v>BEACHSIDE SUN</v>
          </cell>
          <cell r="AY244">
            <v>3420000</v>
          </cell>
          <cell r="AZ244">
            <v>3900000</v>
          </cell>
          <cell r="BA244">
            <v>0</v>
          </cell>
          <cell r="BB244">
            <v>3900000</v>
          </cell>
          <cell r="BC244">
            <v>417857.14285714284</v>
          </cell>
          <cell r="BD244">
            <v>3482142.8571428573</v>
          </cell>
        </row>
        <row r="245">
          <cell r="AD245" t="str">
            <v>ESE-01-034-013</v>
          </cell>
          <cell r="AE245" t="str">
            <v xml:space="preserve">Raemulan Lands, Inc. </v>
          </cell>
          <cell r="AF245" t="str">
            <v>Estanzia Enclave</v>
          </cell>
          <cell r="AG245" t="str">
            <v>ESE</v>
          </cell>
          <cell r="AH245" t="str">
            <v>Middle Income</v>
          </cell>
          <cell r="AI245" t="str">
            <v>01</v>
          </cell>
          <cell r="AJ245" t="str">
            <v>LOT ONLY</v>
          </cell>
          <cell r="AK245">
            <v>100</v>
          </cell>
          <cell r="AL245" t="str">
            <v>PCS-04-032688</v>
          </cell>
          <cell r="AM245" t="b">
            <v>1</v>
          </cell>
          <cell r="AN245" t="str">
            <v xml:space="preserve">Done </v>
          </cell>
          <cell r="AO245">
            <v>34</v>
          </cell>
          <cell r="AP245">
            <v>13</v>
          </cell>
          <cell r="AQ245" t="str">
            <v>LO</v>
          </cell>
          <cell r="AR245" t="str">
            <v>NA</v>
          </cell>
          <cell r="AS245">
            <v>100</v>
          </cell>
          <cell r="AT245" t="str">
            <v>N/A</v>
          </cell>
          <cell r="AU245" t="str">
            <v>NA</v>
          </cell>
          <cell r="AV245" t="str">
            <v>NA / NA</v>
          </cell>
          <cell r="AW245" t="str">
            <v>LO</v>
          </cell>
          <cell r="AX245" t="str">
            <v>NA</v>
          </cell>
          <cell r="AY245">
            <v>2500000</v>
          </cell>
          <cell r="AZ245">
            <v>1800000</v>
          </cell>
          <cell r="BA245">
            <v>0</v>
          </cell>
          <cell r="BB245">
            <v>1800000</v>
          </cell>
          <cell r="BC245">
            <v>192857.14285714287</v>
          </cell>
          <cell r="BD245">
            <v>1607142.857142857</v>
          </cell>
        </row>
        <row r="246">
          <cell r="AD246" t="str">
            <v>ESE-01-034-016</v>
          </cell>
          <cell r="AE246" t="str">
            <v xml:space="preserve">Raemulan Lands, Inc. </v>
          </cell>
          <cell r="AF246" t="str">
            <v>Estanzia Enclave</v>
          </cell>
          <cell r="AG246" t="str">
            <v>ESE</v>
          </cell>
          <cell r="AH246" t="str">
            <v>Middle Income</v>
          </cell>
          <cell r="AI246" t="str">
            <v>01</v>
          </cell>
          <cell r="AJ246" t="str">
            <v>2024 Batch</v>
          </cell>
          <cell r="AK246">
            <v>80</v>
          </cell>
          <cell r="AL246" t="str">
            <v>PCS-04-032688</v>
          </cell>
          <cell r="AM246" t="b">
            <v>1</v>
          </cell>
          <cell r="AN246" t="str">
            <v xml:space="preserve">Done </v>
          </cell>
          <cell r="AO246">
            <v>34</v>
          </cell>
          <cell r="AP246">
            <v>16</v>
          </cell>
          <cell r="AQ246" t="str">
            <v>H+L</v>
          </cell>
          <cell r="AR246">
            <v>0.92750000000000021</v>
          </cell>
          <cell r="AS246">
            <v>80</v>
          </cell>
          <cell r="AT246">
            <v>55</v>
          </cell>
          <cell r="AU246" t="str">
            <v>SLANT</v>
          </cell>
          <cell r="AV246" t="str">
            <v>SLANT / HORIZON SUN</v>
          </cell>
          <cell r="AW246" t="str">
            <v>DU-EXE</v>
          </cell>
          <cell r="AX246" t="str">
            <v>HORIZON SUN</v>
          </cell>
          <cell r="AY246">
            <v>3420000</v>
          </cell>
          <cell r="AZ246">
            <v>3600000</v>
          </cell>
          <cell r="BA246">
            <v>612000</v>
          </cell>
          <cell r="BB246">
            <v>2988000</v>
          </cell>
          <cell r="BC246">
            <v>0</v>
          </cell>
          <cell r="BD246">
            <v>2988000</v>
          </cell>
        </row>
        <row r="247">
          <cell r="AD247" t="str">
            <v>ESE-01-034-017</v>
          </cell>
          <cell r="AE247" t="str">
            <v xml:space="preserve">Raemulan Lands, Inc. </v>
          </cell>
          <cell r="AF247" t="str">
            <v>Estanzia Enclave</v>
          </cell>
          <cell r="AG247" t="str">
            <v>ESE</v>
          </cell>
          <cell r="AH247" t="str">
            <v>Middle Income</v>
          </cell>
          <cell r="AI247" t="str">
            <v>01</v>
          </cell>
          <cell r="AJ247" t="str">
            <v>2024 Batch</v>
          </cell>
          <cell r="AK247">
            <v>80</v>
          </cell>
          <cell r="AL247" t="str">
            <v>PCS-04-032688</v>
          </cell>
          <cell r="AM247" t="b">
            <v>1</v>
          </cell>
          <cell r="AN247" t="str">
            <v xml:space="preserve">Done </v>
          </cell>
          <cell r="AO247">
            <v>34</v>
          </cell>
          <cell r="AP247">
            <v>17</v>
          </cell>
          <cell r="AQ247" t="str">
            <v>H+L</v>
          </cell>
          <cell r="AR247">
            <v>0.92750000000000021</v>
          </cell>
          <cell r="AS247">
            <v>80</v>
          </cell>
          <cell r="AT247">
            <v>55</v>
          </cell>
          <cell r="AU247" t="str">
            <v>FLAT</v>
          </cell>
          <cell r="AV247" t="str">
            <v>FLAT / HORIZON SUN</v>
          </cell>
          <cell r="AW247" t="str">
            <v>DU-EXE</v>
          </cell>
          <cell r="AX247" t="str">
            <v>HORIZON SUN</v>
          </cell>
          <cell r="AY247">
            <v>3420000</v>
          </cell>
          <cell r="AZ247">
            <v>3600000</v>
          </cell>
          <cell r="BA247">
            <v>0</v>
          </cell>
          <cell r="BB247">
            <v>3600000</v>
          </cell>
          <cell r="BC247">
            <v>0</v>
          </cell>
          <cell r="BD247">
            <v>3600000</v>
          </cell>
        </row>
        <row r="248">
          <cell r="AD248" t="str">
            <v>ESE-01-034-018</v>
          </cell>
          <cell r="AE248" t="str">
            <v xml:space="preserve">Raemulan Lands, Inc. </v>
          </cell>
          <cell r="AF248" t="str">
            <v>Estanzia Enclave</v>
          </cell>
          <cell r="AG248" t="str">
            <v>ESE</v>
          </cell>
          <cell r="AH248" t="str">
            <v>Middle Income</v>
          </cell>
          <cell r="AI248" t="str">
            <v>01</v>
          </cell>
          <cell r="AJ248" t="str">
            <v>2024 Batch</v>
          </cell>
          <cell r="AK248">
            <v>100</v>
          </cell>
          <cell r="AL248" t="str">
            <v>PCS-04-032688</v>
          </cell>
          <cell r="AM248" t="b">
            <v>1</v>
          </cell>
          <cell r="AN248" t="str">
            <v xml:space="preserve">Done </v>
          </cell>
          <cell r="AO248">
            <v>34</v>
          </cell>
          <cell r="AP248">
            <v>18</v>
          </cell>
          <cell r="AQ248" t="str">
            <v>H+L</v>
          </cell>
          <cell r="AR248">
            <v>0.92750000000000021</v>
          </cell>
          <cell r="AS248">
            <v>100</v>
          </cell>
          <cell r="AT248">
            <v>55</v>
          </cell>
          <cell r="AU248" t="str">
            <v>FLAT</v>
          </cell>
          <cell r="AV248" t="str">
            <v>FLAT / HORIZON SUN</v>
          </cell>
          <cell r="AW248" t="str">
            <v>DU-EXE</v>
          </cell>
          <cell r="AX248" t="str">
            <v>HORIZON SUN</v>
          </cell>
          <cell r="AY248">
            <v>3420000</v>
          </cell>
          <cell r="AZ248">
            <v>3900000</v>
          </cell>
          <cell r="BA248">
            <v>200000</v>
          </cell>
          <cell r="BB248">
            <v>3700000</v>
          </cell>
          <cell r="BC248">
            <v>396428.57142857142</v>
          </cell>
          <cell r="BD248">
            <v>3303571.4285714286</v>
          </cell>
        </row>
        <row r="249">
          <cell r="AD249" t="str">
            <v>ESE-01-034-020</v>
          </cell>
          <cell r="AE249" t="str">
            <v xml:space="preserve">Raemulan Lands, Inc. </v>
          </cell>
          <cell r="AF249" t="str">
            <v>Estanzia Enclave</v>
          </cell>
          <cell r="AG249" t="str">
            <v>ESE</v>
          </cell>
          <cell r="AH249" t="str">
            <v>Middle Income</v>
          </cell>
          <cell r="AI249" t="str">
            <v>01</v>
          </cell>
          <cell r="AJ249" t="str">
            <v>2024 Batch</v>
          </cell>
          <cell r="AK249">
            <v>80</v>
          </cell>
          <cell r="AL249" t="str">
            <v>PCS-04-032688</v>
          </cell>
          <cell r="AM249" t="b">
            <v>1</v>
          </cell>
          <cell r="AN249" t="str">
            <v xml:space="preserve">Done </v>
          </cell>
          <cell r="AO249">
            <v>34</v>
          </cell>
          <cell r="AP249">
            <v>20</v>
          </cell>
          <cell r="AQ249" t="str">
            <v>H+L</v>
          </cell>
          <cell r="AR249">
            <v>0.92750000000000021</v>
          </cell>
          <cell r="AS249">
            <v>80</v>
          </cell>
          <cell r="AT249">
            <v>55</v>
          </cell>
          <cell r="AU249" t="str">
            <v>SLANT</v>
          </cell>
          <cell r="AV249" t="str">
            <v>SLANT / HORIZON SUN</v>
          </cell>
          <cell r="AW249" t="str">
            <v>DU-EXE</v>
          </cell>
          <cell r="AX249" t="str">
            <v>HORIZON SUN</v>
          </cell>
          <cell r="AY249">
            <v>3600000</v>
          </cell>
          <cell r="AZ249">
            <v>3600000</v>
          </cell>
          <cell r="BA249">
            <v>432000</v>
          </cell>
          <cell r="BB249">
            <v>3168000</v>
          </cell>
          <cell r="BC249">
            <v>0</v>
          </cell>
          <cell r="BD249">
            <v>3168000</v>
          </cell>
        </row>
        <row r="250">
          <cell r="AD250" t="str">
            <v>ESE-01-035-001</v>
          </cell>
          <cell r="AE250" t="str">
            <v xml:space="preserve">Raemulan Lands, Inc. </v>
          </cell>
          <cell r="AF250" t="str">
            <v>Estanzia Enclave</v>
          </cell>
          <cell r="AG250" t="str">
            <v>ESE</v>
          </cell>
          <cell r="AH250" t="str">
            <v>Middle Income</v>
          </cell>
          <cell r="AI250" t="str">
            <v>01</v>
          </cell>
          <cell r="AJ250" t="str">
            <v>2024 Batch</v>
          </cell>
          <cell r="AK250">
            <v>80</v>
          </cell>
          <cell r="AL250" t="str">
            <v>PCS-04-032688</v>
          </cell>
          <cell r="AM250" t="b">
            <v>1</v>
          </cell>
          <cell r="AN250" t="str">
            <v xml:space="preserve">Done </v>
          </cell>
          <cell r="AO250">
            <v>35</v>
          </cell>
          <cell r="AP250">
            <v>1</v>
          </cell>
          <cell r="AQ250" t="str">
            <v>H+L</v>
          </cell>
          <cell r="AR250">
            <v>1.0000000000000002</v>
          </cell>
          <cell r="AS250">
            <v>80</v>
          </cell>
          <cell r="AT250">
            <v>55</v>
          </cell>
          <cell r="AU250" t="str">
            <v>FLAT</v>
          </cell>
          <cell r="AV250" t="str">
            <v>FLAT / BEACHSIDE SUN</v>
          </cell>
          <cell r="AW250" t="str">
            <v>DU-EXE</v>
          </cell>
          <cell r="AX250" t="str">
            <v>BEACHSIDE SUN</v>
          </cell>
          <cell r="AY250">
            <v>3600000</v>
          </cell>
          <cell r="AZ250">
            <v>3600000</v>
          </cell>
          <cell r="BA250">
            <v>432000</v>
          </cell>
          <cell r="BB250">
            <v>3168000</v>
          </cell>
          <cell r="BC250">
            <v>0</v>
          </cell>
          <cell r="BD250">
            <v>3168000</v>
          </cell>
        </row>
        <row r="251">
          <cell r="AD251" t="str">
            <v>ESE-01-035-002</v>
          </cell>
          <cell r="AE251" t="str">
            <v xml:space="preserve">Raemulan Lands, Inc. </v>
          </cell>
          <cell r="AF251" t="str">
            <v>Estanzia Enclave</v>
          </cell>
          <cell r="AG251" t="str">
            <v>ESE</v>
          </cell>
          <cell r="AH251" t="str">
            <v>Middle Income</v>
          </cell>
          <cell r="AI251" t="str">
            <v>01</v>
          </cell>
          <cell r="AJ251" t="str">
            <v>2024 Batch</v>
          </cell>
          <cell r="AK251">
            <v>100</v>
          </cell>
          <cell r="AL251" t="str">
            <v>PCS-04-032688</v>
          </cell>
          <cell r="AM251" t="b">
            <v>1</v>
          </cell>
          <cell r="AN251" t="str">
            <v xml:space="preserve">Done </v>
          </cell>
          <cell r="AO251">
            <v>35</v>
          </cell>
          <cell r="AP251">
            <v>2</v>
          </cell>
          <cell r="AQ251" t="str">
            <v>H+L</v>
          </cell>
          <cell r="AR251">
            <v>1.0000000000000002</v>
          </cell>
          <cell r="AS251">
            <v>100</v>
          </cell>
          <cell r="AT251">
            <v>55</v>
          </cell>
          <cell r="AU251" t="str">
            <v>SLANT</v>
          </cell>
          <cell r="AV251" t="str">
            <v>SLANT / BEACHSIDE SUN</v>
          </cell>
          <cell r="AW251" t="str">
            <v>DU-EXE</v>
          </cell>
          <cell r="AX251" t="str">
            <v>BEACHSIDE SUN</v>
          </cell>
          <cell r="AY251">
            <v>3420000</v>
          </cell>
          <cell r="AZ251">
            <v>3900000</v>
          </cell>
          <cell r="BA251">
            <v>0</v>
          </cell>
          <cell r="BB251">
            <v>3900000</v>
          </cell>
          <cell r="BC251">
            <v>417857.14285714284</v>
          </cell>
          <cell r="BD251">
            <v>3482142.8571428573</v>
          </cell>
        </row>
        <row r="252">
          <cell r="AD252" t="str">
            <v>ESE-01-035-004</v>
          </cell>
          <cell r="AE252" t="str">
            <v xml:space="preserve">Raemulan Lands, Inc. </v>
          </cell>
          <cell r="AF252" t="str">
            <v>Estanzia Enclave</v>
          </cell>
          <cell r="AG252" t="str">
            <v>ESE</v>
          </cell>
          <cell r="AH252" t="str">
            <v>Middle Income</v>
          </cell>
          <cell r="AI252" t="str">
            <v>01</v>
          </cell>
          <cell r="AJ252" t="str">
            <v>2024 Batch</v>
          </cell>
          <cell r="AK252">
            <v>80</v>
          </cell>
          <cell r="AL252" t="str">
            <v>PCS-04-032688</v>
          </cell>
          <cell r="AM252" t="b">
            <v>1</v>
          </cell>
          <cell r="AN252" t="str">
            <v xml:space="preserve">Done </v>
          </cell>
          <cell r="AO252">
            <v>35</v>
          </cell>
          <cell r="AP252">
            <v>4</v>
          </cell>
          <cell r="AQ252" t="str">
            <v>H+L</v>
          </cell>
          <cell r="AR252">
            <v>1.0000000000000002</v>
          </cell>
          <cell r="AS252">
            <v>80</v>
          </cell>
          <cell r="AT252">
            <v>55</v>
          </cell>
          <cell r="AU252" t="str">
            <v>SLANT</v>
          </cell>
          <cell r="AV252" t="str">
            <v>SLANT / HORIZON SUN</v>
          </cell>
          <cell r="AW252" t="str">
            <v>DU-EXE</v>
          </cell>
          <cell r="AX252" t="str">
            <v>HORIZON SUN</v>
          </cell>
          <cell r="AY252">
            <v>3600000</v>
          </cell>
          <cell r="AZ252">
            <v>3600000</v>
          </cell>
          <cell r="BA252">
            <v>432000</v>
          </cell>
          <cell r="BB252">
            <v>3168000</v>
          </cell>
          <cell r="BC252">
            <v>0</v>
          </cell>
          <cell r="BD252">
            <v>3168000</v>
          </cell>
        </row>
        <row r="253">
          <cell r="AD253" t="str">
            <v>ESE-01-035-005</v>
          </cell>
          <cell r="AE253" t="str">
            <v xml:space="preserve">Raemulan Lands, Inc. </v>
          </cell>
          <cell r="AF253" t="str">
            <v>Estanzia Enclave</v>
          </cell>
          <cell r="AG253" t="str">
            <v>ESE</v>
          </cell>
          <cell r="AH253" t="str">
            <v>Middle Income</v>
          </cell>
          <cell r="AI253" t="str">
            <v>01</v>
          </cell>
          <cell r="AJ253" t="str">
            <v>2024 Batch</v>
          </cell>
          <cell r="AK253">
            <v>80</v>
          </cell>
          <cell r="AL253" t="str">
            <v>PCS-04-032688</v>
          </cell>
          <cell r="AM253" t="b">
            <v>1</v>
          </cell>
          <cell r="AN253" t="str">
            <v xml:space="preserve">Done </v>
          </cell>
          <cell r="AO253">
            <v>35</v>
          </cell>
          <cell r="AP253">
            <v>5</v>
          </cell>
          <cell r="AQ253" t="str">
            <v>H+L</v>
          </cell>
          <cell r="AR253">
            <v>1.0000000000000002</v>
          </cell>
          <cell r="AS253">
            <v>80</v>
          </cell>
          <cell r="AT253">
            <v>55</v>
          </cell>
          <cell r="AU253" t="str">
            <v>FLAT</v>
          </cell>
          <cell r="AV253" t="str">
            <v>FLAT / HORIZON SUN</v>
          </cell>
          <cell r="AW253" t="str">
            <v>DU-EXE</v>
          </cell>
          <cell r="AX253" t="str">
            <v>HORIZON SUN</v>
          </cell>
          <cell r="AY253">
            <v>3600000</v>
          </cell>
          <cell r="AZ253">
            <v>3600000</v>
          </cell>
          <cell r="BA253">
            <v>432000</v>
          </cell>
          <cell r="BB253">
            <v>3168000</v>
          </cell>
          <cell r="BC253">
            <v>0</v>
          </cell>
          <cell r="BD253">
            <v>3168000</v>
          </cell>
        </row>
        <row r="254">
          <cell r="AD254" t="str">
            <v>ESE-01-035-006</v>
          </cell>
          <cell r="AE254" t="str">
            <v xml:space="preserve">Raemulan Lands, Inc. </v>
          </cell>
          <cell r="AF254" t="str">
            <v>Estanzia Enclave</v>
          </cell>
          <cell r="AG254" t="str">
            <v>ESE</v>
          </cell>
          <cell r="AH254" t="str">
            <v>Middle Income</v>
          </cell>
          <cell r="AI254" t="str">
            <v>01</v>
          </cell>
          <cell r="AJ254" t="str">
            <v>LOT ONLY</v>
          </cell>
          <cell r="AK254">
            <v>100</v>
          </cell>
          <cell r="AL254" t="str">
            <v>PCS-04-032688</v>
          </cell>
          <cell r="AM254" t="b">
            <v>1</v>
          </cell>
          <cell r="AN254" t="str">
            <v xml:space="preserve">Done </v>
          </cell>
          <cell r="AO254">
            <v>35</v>
          </cell>
          <cell r="AP254">
            <v>6</v>
          </cell>
          <cell r="AQ254" t="str">
            <v>LO</v>
          </cell>
          <cell r="AR254" t="str">
            <v>NA</v>
          </cell>
          <cell r="AS254">
            <v>100</v>
          </cell>
          <cell r="AT254" t="str">
            <v>N/A</v>
          </cell>
          <cell r="AU254" t="str">
            <v>NA</v>
          </cell>
          <cell r="AV254" t="str">
            <v>NA / NA</v>
          </cell>
          <cell r="AW254" t="str">
            <v>LO</v>
          </cell>
          <cell r="AX254" t="str">
            <v>NA</v>
          </cell>
          <cell r="AY254">
            <v>3420000</v>
          </cell>
          <cell r="AZ254">
            <v>1800000</v>
          </cell>
          <cell r="BA254">
            <v>0</v>
          </cell>
          <cell r="BB254">
            <v>1800000</v>
          </cell>
          <cell r="BC254">
            <v>192857.14285714287</v>
          </cell>
          <cell r="BD254">
            <v>1607142.857142857</v>
          </cell>
        </row>
        <row r="255">
          <cell r="AD255" t="str">
            <v>ESE-01-035-007</v>
          </cell>
          <cell r="AE255" t="str">
            <v xml:space="preserve">Raemulan Lands, Inc. </v>
          </cell>
          <cell r="AF255" t="str">
            <v>Estanzia Enclave</v>
          </cell>
          <cell r="AG255" t="str">
            <v>ESE</v>
          </cell>
          <cell r="AH255" t="str">
            <v>Middle Income</v>
          </cell>
          <cell r="AI255" t="str">
            <v>01</v>
          </cell>
          <cell r="AJ255" t="str">
            <v>2024 Batch</v>
          </cell>
          <cell r="AK255">
            <v>100</v>
          </cell>
          <cell r="AL255" t="str">
            <v>PCS-04-032688</v>
          </cell>
          <cell r="AM255" t="b">
            <v>1</v>
          </cell>
          <cell r="AN255" t="str">
            <v xml:space="preserve">Done </v>
          </cell>
          <cell r="AO255">
            <v>35</v>
          </cell>
          <cell r="AP255">
            <v>7</v>
          </cell>
          <cell r="AQ255" t="str">
            <v>H+L</v>
          </cell>
          <cell r="AR255">
            <v>1.0000000000000002</v>
          </cell>
          <cell r="AS255">
            <v>100</v>
          </cell>
          <cell r="AT255">
            <v>55</v>
          </cell>
          <cell r="AU255" t="str">
            <v>FLAT</v>
          </cell>
          <cell r="AV255" t="str">
            <v>FLAT / HORIZON SUN</v>
          </cell>
          <cell r="AW255" t="str">
            <v>DU-EXE</v>
          </cell>
          <cell r="AX255" t="str">
            <v>HORIZON SUN</v>
          </cell>
          <cell r="AY255">
            <v>3721428.5714285714</v>
          </cell>
          <cell r="AZ255">
            <v>3900000</v>
          </cell>
          <cell r="BA255">
            <v>200000</v>
          </cell>
          <cell r="BB255">
            <v>3700000</v>
          </cell>
          <cell r="BC255">
            <v>396428.57142857142</v>
          </cell>
          <cell r="BD255">
            <v>3303571.4285714286</v>
          </cell>
        </row>
        <row r="256">
          <cell r="AD256" t="str">
            <v>ESE-01-035-010</v>
          </cell>
          <cell r="AE256" t="str">
            <v xml:space="preserve">Raemulan Lands, Inc. </v>
          </cell>
          <cell r="AF256" t="str">
            <v>Estanzia Enclave</v>
          </cell>
          <cell r="AG256" t="str">
            <v>ESE</v>
          </cell>
          <cell r="AH256" t="str">
            <v>Middle Income</v>
          </cell>
          <cell r="AI256" t="str">
            <v>01</v>
          </cell>
          <cell r="AJ256" t="str">
            <v>2024 Batch</v>
          </cell>
          <cell r="AK256">
            <v>80</v>
          </cell>
          <cell r="AL256" t="str">
            <v>PCS-04-032688</v>
          </cell>
          <cell r="AM256" t="b">
            <v>1</v>
          </cell>
          <cell r="AN256" t="str">
            <v xml:space="preserve">Done </v>
          </cell>
          <cell r="AO256">
            <v>35</v>
          </cell>
          <cell r="AP256">
            <v>10</v>
          </cell>
          <cell r="AQ256" t="str">
            <v>H+L</v>
          </cell>
          <cell r="AR256">
            <v>1.0000000000000002</v>
          </cell>
          <cell r="AS256">
            <v>80</v>
          </cell>
          <cell r="AT256">
            <v>55</v>
          </cell>
          <cell r="AU256" t="str">
            <v>SLANT</v>
          </cell>
          <cell r="AV256" t="str">
            <v>SLANT / HORIZON SUN</v>
          </cell>
          <cell r="AW256" t="str">
            <v>DU-EXE</v>
          </cell>
          <cell r="AX256" t="str">
            <v>HORIZON SUN</v>
          </cell>
          <cell r="AY256">
            <v>3600000</v>
          </cell>
          <cell r="AZ256">
            <v>3600000</v>
          </cell>
          <cell r="BA256">
            <v>432000</v>
          </cell>
          <cell r="BB256">
            <v>3168000</v>
          </cell>
          <cell r="BC256">
            <v>0</v>
          </cell>
          <cell r="BD256">
            <v>3168000</v>
          </cell>
        </row>
        <row r="257">
          <cell r="AD257" t="str">
            <v>ESE-01-035-011</v>
          </cell>
          <cell r="AE257" t="str">
            <v xml:space="preserve">Raemulan Lands, Inc. </v>
          </cell>
          <cell r="AF257" t="str">
            <v>Estanzia Enclave</v>
          </cell>
          <cell r="AG257" t="str">
            <v>ESE</v>
          </cell>
          <cell r="AH257" t="str">
            <v>Middle Income</v>
          </cell>
          <cell r="AI257" t="str">
            <v>01</v>
          </cell>
          <cell r="AJ257" t="str">
            <v>2024 Batch</v>
          </cell>
          <cell r="AK257">
            <v>80</v>
          </cell>
          <cell r="AL257" t="str">
            <v>PCS-04-032688</v>
          </cell>
          <cell r="AM257" t="b">
            <v>1</v>
          </cell>
          <cell r="AN257" t="str">
            <v xml:space="preserve">Done </v>
          </cell>
          <cell r="AO257">
            <v>35</v>
          </cell>
          <cell r="AP257">
            <v>11</v>
          </cell>
          <cell r="AQ257" t="str">
            <v>H+L</v>
          </cell>
          <cell r="AR257">
            <v>1.0000000000000002</v>
          </cell>
          <cell r="AS257">
            <v>80</v>
          </cell>
          <cell r="AT257">
            <v>55</v>
          </cell>
          <cell r="AU257" t="str">
            <v>SLANT</v>
          </cell>
          <cell r="AV257" t="str">
            <v>SLANT / HORIZON SUN</v>
          </cell>
          <cell r="AW257" t="str">
            <v>DU-EXE</v>
          </cell>
          <cell r="AX257" t="str">
            <v>HORIZON SUN</v>
          </cell>
          <cell r="AY257">
            <v>3600000</v>
          </cell>
          <cell r="AZ257">
            <v>3600000</v>
          </cell>
          <cell r="BA257">
            <v>432000</v>
          </cell>
          <cell r="BB257">
            <v>3168000</v>
          </cell>
          <cell r="BC257">
            <v>0</v>
          </cell>
          <cell r="BD257">
            <v>3168000</v>
          </cell>
        </row>
        <row r="258">
          <cell r="AD258" t="str">
            <v>ESE-01-035-012</v>
          </cell>
          <cell r="AE258" t="str">
            <v xml:space="preserve">Raemulan Lands, Inc. </v>
          </cell>
          <cell r="AF258" t="str">
            <v>Estanzia Enclave</v>
          </cell>
          <cell r="AG258" t="str">
            <v>ESE</v>
          </cell>
          <cell r="AH258" t="str">
            <v>Middle Income</v>
          </cell>
          <cell r="AI258" t="str">
            <v>01</v>
          </cell>
          <cell r="AJ258" t="str">
            <v>2024 Batch</v>
          </cell>
          <cell r="AK258">
            <v>100</v>
          </cell>
          <cell r="AL258" t="str">
            <v>PCS-04-032688</v>
          </cell>
          <cell r="AM258" t="b">
            <v>1</v>
          </cell>
          <cell r="AN258" t="str">
            <v xml:space="preserve">Done </v>
          </cell>
          <cell r="AO258">
            <v>35</v>
          </cell>
          <cell r="AP258">
            <v>12</v>
          </cell>
          <cell r="AQ258" t="str">
            <v>H+L</v>
          </cell>
          <cell r="AR258">
            <v>1.0000000000000002</v>
          </cell>
          <cell r="AS258">
            <v>100</v>
          </cell>
          <cell r="AT258">
            <v>55</v>
          </cell>
          <cell r="AU258" t="str">
            <v>FLAT</v>
          </cell>
          <cell r="AV258" t="str">
            <v>FLAT / HORIZON SUN</v>
          </cell>
          <cell r="AW258" t="str">
            <v>DU-EXE</v>
          </cell>
          <cell r="AX258" t="str">
            <v>HORIZON SUN</v>
          </cell>
          <cell r="AY258">
            <v>3420000</v>
          </cell>
          <cell r="AZ258">
            <v>3900000</v>
          </cell>
          <cell r="BA258">
            <v>200000</v>
          </cell>
          <cell r="BB258">
            <v>3700000</v>
          </cell>
          <cell r="BC258">
            <v>396428.57142857142</v>
          </cell>
          <cell r="BD258">
            <v>3303571.4285714286</v>
          </cell>
        </row>
        <row r="259">
          <cell r="AD259" t="str">
            <v>ESE-01-035-013</v>
          </cell>
          <cell r="AE259" t="str">
            <v xml:space="preserve">Raemulan Lands, Inc. </v>
          </cell>
          <cell r="AF259" t="str">
            <v>Estanzia Enclave</v>
          </cell>
          <cell r="AG259" t="str">
            <v>ESE</v>
          </cell>
          <cell r="AH259" t="str">
            <v>Middle Income</v>
          </cell>
          <cell r="AI259" t="str">
            <v>01</v>
          </cell>
          <cell r="AJ259" t="str">
            <v>LOT ONLY</v>
          </cell>
          <cell r="AK259">
            <v>100</v>
          </cell>
          <cell r="AL259" t="str">
            <v>PCS-04-032688</v>
          </cell>
          <cell r="AM259" t="b">
            <v>1</v>
          </cell>
          <cell r="AN259" t="str">
            <v xml:space="preserve">Done </v>
          </cell>
          <cell r="AO259">
            <v>35</v>
          </cell>
          <cell r="AP259">
            <v>13</v>
          </cell>
          <cell r="AQ259" t="str">
            <v>LO</v>
          </cell>
          <cell r="AR259" t="str">
            <v>NA</v>
          </cell>
          <cell r="AS259">
            <v>100</v>
          </cell>
          <cell r="AT259" t="str">
            <v>N/A</v>
          </cell>
          <cell r="AU259" t="str">
            <v>NA</v>
          </cell>
          <cell r="AV259" t="str">
            <v>NA / NA</v>
          </cell>
          <cell r="AW259" t="str">
            <v>LO</v>
          </cell>
          <cell r="AX259" t="str">
            <v>NA</v>
          </cell>
          <cell r="AY259">
            <v>3420000</v>
          </cell>
          <cell r="AZ259">
            <v>1800000</v>
          </cell>
          <cell r="BA259">
            <v>0</v>
          </cell>
          <cell r="BB259">
            <v>1800000</v>
          </cell>
          <cell r="BC259">
            <v>192857.14285714287</v>
          </cell>
          <cell r="BD259">
            <v>1607142.857142857</v>
          </cell>
        </row>
        <row r="260">
          <cell r="AD260" t="str">
            <v>ESE-01-035-016</v>
          </cell>
          <cell r="AE260" t="str">
            <v xml:space="preserve">Raemulan Lands, Inc. </v>
          </cell>
          <cell r="AF260" t="str">
            <v>Estanzia Enclave</v>
          </cell>
          <cell r="AG260" t="str">
            <v>ESE</v>
          </cell>
          <cell r="AH260" t="str">
            <v>Middle Income</v>
          </cell>
          <cell r="AI260" t="str">
            <v>01</v>
          </cell>
          <cell r="AJ260" t="str">
            <v>2024 Batch</v>
          </cell>
          <cell r="AK260">
            <v>80</v>
          </cell>
          <cell r="AL260" t="str">
            <v>PCS-04-032688</v>
          </cell>
          <cell r="AM260" t="b">
            <v>1</v>
          </cell>
          <cell r="AN260" t="str">
            <v xml:space="preserve">Done </v>
          </cell>
          <cell r="AO260">
            <v>35</v>
          </cell>
          <cell r="AP260">
            <v>16</v>
          </cell>
          <cell r="AQ260" t="str">
            <v>H+L</v>
          </cell>
          <cell r="AR260">
            <v>1.0000000000000002</v>
          </cell>
          <cell r="AS260">
            <v>80</v>
          </cell>
          <cell r="AT260">
            <v>55</v>
          </cell>
          <cell r="AU260" t="str">
            <v>FLAT</v>
          </cell>
          <cell r="AV260" t="str">
            <v>FLAT / BEACHSIDE SUN</v>
          </cell>
          <cell r="AW260" t="str">
            <v>DU-EXE</v>
          </cell>
          <cell r="AX260" t="str">
            <v>BEACHSIDE SUN</v>
          </cell>
          <cell r="AY260">
            <v>3600000</v>
          </cell>
          <cell r="AZ260">
            <v>3600000</v>
          </cell>
          <cell r="BA260">
            <v>432000</v>
          </cell>
          <cell r="BB260">
            <v>3168000</v>
          </cell>
          <cell r="BC260">
            <v>0</v>
          </cell>
          <cell r="BD260">
            <v>3168000</v>
          </cell>
        </row>
        <row r="261">
          <cell r="AD261" t="str">
            <v>ESE-01-035-017</v>
          </cell>
          <cell r="AE261" t="str">
            <v xml:space="preserve">Raemulan Lands, Inc. </v>
          </cell>
          <cell r="AF261" t="str">
            <v>Estanzia Enclave</v>
          </cell>
          <cell r="AG261" t="str">
            <v>ESE</v>
          </cell>
          <cell r="AH261" t="str">
            <v>Middle Income</v>
          </cell>
          <cell r="AI261" t="str">
            <v>01</v>
          </cell>
          <cell r="AJ261" t="str">
            <v>2024 Batch</v>
          </cell>
          <cell r="AK261">
            <v>80</v>
          </cell>
          <cell r="AL261" t="str">
            <v>PCS-04-032688</v>
          </cell>
          <cell r="AM261" t="b">
            <v>1</v>
          </cell>
          <cell r="AN261" t="str">
            <v xml:space="preserve">Done </v>
          </cell>
          <cell r="AO261">
            <v>35</v>
          </cell>
          <cell r="AP261">
            <v>17</v>
          </cell>
          <cell r="AQ261" t="str">
            <v>H+L</v>
          </cell>
          <cell r="AR261">
            <v>1.0000000000000002</v>
          </cell>
          <cell r="AS261">
            <v>80</v>
          </cell>
          <cell r="AT261">
            <v>55</v>
          </cell>
          <cell r="AU261" t="str">
            <v>SLANT</v>
          </cell>
          <cell r="AV261" t="str">
            <v>SLANT / BEACHSIDE SUN</v>
          </cell>
          <cell r="AW261" t="str">
            <v>DU-EXE</v>
          </cell>
          <cell r="AX261" t="str">
            <v>BEACHSIDE SUN</v>
          </cell>
          <cell r="AY261">
            <v>3600000</v>
          </cell>
          <cell r="AZ261">
            <v>3600000</v>
          </cell>
          <cell r="BA261">
            <v>432000</v>
          </cell>
          <cell r="BB261">
            <v>3168000</v>
          </cell>
          <cell r="BC261">
            <v>0</v>
          </cell>
          <cell r="BD261">
            <v>3168000</v>
          </cell>
        </row>
        <row r="262">
          <cell r="AD262" t="str">
            <v>ESE-01-035-018</v>
          </cell>
          <cell r="AE262" t="str">
            <v xml:space="preserve">Raemulan Lands, Inc. </v>
          </cell>
          <cell r="AF262" t="str">
            <v>Estanzia Enclave</v>
          </cell>
          <cell r="AG262" t="str">
            <v>ESE</v>
          </cell>
          <cell r="AH262" t="str">
            <v>Middle Income</v>
          </cell>
          <cell r="AI262" t="str">
            <v>01</v>
          </cell>
          <cell r="AJ262" t="str">
            <v>2024 Batch</v>
          </cell>
          <cell r="AK262">
            <v>100</v>
          </cell>
          <cell r="AL262" t="str">
            <v>PCS-04-032688</v>
          </cell>
          <cell r="AM262" t="b">
            <v>1</v>
          </cell>
          <cell r="AN262" t="str">
            <v xml:space="preserve">Done </v>
          </cell>
          <cell r="AO262">
            <v>35</v>
          </cell>
          <cell r="AP262">
            <v>18</v>
          </cell>
          <cell r="AQ262" t="str">
            <v>H+L</v>
          </cell>
          <cell r="AR262">
            <v>1.0000000000000002</v>
          </cell>
          <cell r="AS262">
            <v>100</v>
          </cell>
          <cell r="AT262">
            <v>55</v>
          </cell>
          <cell r="AU262" t="str">
            <v>SLANT</v>
          </cell>
          <cell r="AV262" t="str">
            <v>SLANT / BEACHSIDE SUN</v>
          </cell>
          <cell r="AW262" t="str">
            <v>DU-EXE</v>
          </cell>
          <cell r="AX262" t="str">
            <v>BEACHSIDE SUN</v>
          </cell>
          <cell r="AY262">
            <v>3420000</v>
          </cell>
          <cell r="AZ262">
            <v>3900000</v>
          </cell>
          <cell r="BA262">
            <v>0</v>
          </cell>
          <cell r="BB262">
            <v>3900000</v>
          </cell>
          <cell r="BC262">
            <v>417857.14285714284</v>
          </cell>
          <cell r="BD262">
            <v>3482142.8571428573</v>
          </cell>
        </row>
        <row r="263">
          <cell r="AD263" t="str">
            <v>ESE-01-035-020</v>
          </cell>
          <cell r="AE263" t="str">
            <v xml:space="preserve">Raemulan Lands, Inc. </v>
          </cell>
          <cell r="AF263" t="str">
            <v>Estanzia Enclave</v>
          </cell>
          <cell r="AG263" t="str">
            <v>ESE</v>
          </cell>
          <cell r="AH263" t="str">
            <v>Middle Income</v>
          </cell>
          <cell r="AI263" t="str">
            <v>01</v>
          </cell>
          <cell r="AJ263" t="str">
            <v>2024 Batch</v>
          </cell>
          <cell r="AK263">
            <v>80</v>
          </cell>
          <cell r="AL263" t="str">
            <v>PCS-04-032688</v>
          </cell>
          <cell r="AM263" t="b">
            <v>1</v>
          </cell>
          <cell r="AN263" t="str">
            <v xml:space="preserve">Done </v>
          </cell>
          <cell r="AO263">
            <v>35</v>
          </cell>
          <cell r="AP263">
            <v>20</v>
          </cell>
          <cell r="AQ263" t="str">
            <v>H+L</v>
          </cell>
          <cell r="AR263">
            <v>1.0000000000000002</v>
          </cell>
          <cell r="AS263">
            <v>80</v>
          </cell>
          <cell r="AT263">
            <v>55</v>
          </cell>
          <cell r="AU263" t="str">
            <v>FLAT</v>
          </cell>
          <cell r="AV263" t="str">
            <v>FLAT / BEACHSIDE SUN</v>
          </cell>
          <cell r="AW263" t="str">
            <v>DU-EXE</v>
          </cell>
          <cell r="AX263" t="str">
            <v>BEACHSIDE SUN</v>
          </cell>
          <cell r="AY263">
            <v>3600000</v>
          </cell>
          <cell r="AZ263">
            <v>3600000</v>
          </cell>
          <cell r="BA263">
            <v>432000</v>
          </cell>
          <cell r="BB263">
            <v>3168000</v>
          </cell>
          <cell r="BC263">
            <v>0</v>
          </cell>
          <cell r="BD263">
            <v>3168000</v>
          </cell>
        </row>
        <row r="264">
          <cell r="AD264" t="str">
            <v>ESE-01-036-001</v>
          </cell>
          <cell r="AE264" t="str">
            <v xml:space="preserve">Raemulan Lands, Inc. </v>
          </cell>
          <cell r="AF264" t="str">
            <v>Estanzia Enclave</v>
          </cell>
          <cell r="AG264" t="str">
            <v>ESE</v>
          </cell>
          <cell r="AH264" t="str">
            <v>Middle Income</v>
          </cell>
          <cell r="AI264" t="str">
            <v>01</v>
          </cell>
          <cell r="AJ264" t="str">
            <v>Batch 1 2025</v>
          </cell>
          <cell r="AK264">
            <v>80</v>
          </cell>
          <cell r="AL264" t="str">
            <v>PCS-04-032688</v>
          </cell>
          <cell r="AM264" t="b">
            <v>1</v>
          </cell>
          <cell r="AN264" t="str">
            <v xml:space="preserve">Done </v>
          </cell>
          <cell r="AO264">
            <v>36</v>
          </cell>
          <cell r="AP264">
            <v>1</v>
          </cell>
          <cell r="AQ264" t="str">
            <v>H+L</v>
          </cell>
          <cell r="AR264" t="str">
            <v>NA</v>
          </cell>
          <cell r="AS264">
            <v>80</v>
          </cell>
          <cell r="AT264">
            <v>55</v>
          </cell>
          <cell r="AU264" t="str">
            <v>SLANT</v>
          </cell>
          <cell r="AV264" t="str">
            <v>SLANT / HORIZON SUN</v>
          </cell>
          <cell r="AW264" t="str">
            <v>DU-EXE</v>
          </cell>
          <cell r="AX264" t="str">
            <v>HORIZON SUN</v>
          </cell>
          <cell r="AY264">
            <v>3600000</v>
          </cell>
          <cell r="AZ264">
            <v>3600000</v>
          </cell>
          <cell r="BA264">
            <v>432000</v>
          </cell>
          <cell r="BB264">
            <v>3168000</v>
          </cell>
          <cell r="BC264">
            <v>0</v>
          </cell>
          <cell r="BD264">
            <v>3168000</v>
          </cell>
        </row>
        <row r="265">
          <cell r="AD265" t="str">
            <v>ESE-01-036-002</v>
          </cell>
          <cell r="AE265" t="str">
            <v xml:space="preserve">Raemulan Lands, Inc. </v>
          </cell>
          <cell r="AF265" t="str">
            <v>Estanzia Enclave</v>
          </cell>
          <cell r="AG265" t="str">
            <v>ESE</v>
          </cell>
          <cell r="AH265" t="str">
            <v>Middle Income</v>
          </cell>
          <cell r="AI265" t="str">
            <v>01</v>
          </cell>
          <cell r="AJ265" t="str">
            <v>Batch 1 2025</v>
          </cell>
          <cell r="AK265">
            <v>100</v>
          </cell>
          <cell r="AL265" t="str">
            <v>PCS-04-032688</v>
          </cell>
          <cell r="AM265" t="b">
            <v>1</v>
          </cell>
          <cell r="AN265" t="str">
            <v xml:space="preserve">Done </v>
          </cell>
          <cell r="AO265">
            <v>36</v>
          </cell>
          <cell r="AP265">
            <v>2</v>
          </cell>
          <cell r="AQ265" t="str">
            <v>H+L</v>
          </cell>
          <cell r="AR265" t="str">
            <v>NA</v>
          </cell>
          <cell r="AS265">
            <v>100</v>
          </cell>
          <cell r="AT265">
            <v>55</v>
          </cell>
          <cell r="AU265" t="str">
            <v>FLAT</v>
          </cell>
          <cell r="AV265" t="str">
            <v>FLAT / HORIZON SUN</v>
          </cell>
          <cell r="AW265" t="str">
            <v>DU-EXE</v>
          </cell>
          <cell r="AX265" t="str">
            <v>HORIZON SUN</v>
          </cell>
          <cell r="AY265">
            <v>3420000</v>
          </cell>
          <cell r="AZ265">
            <v>3900000</v>
          </cell>
          <cell r="BA265">
            <v>0</v>
          </cell>
          <cell r="BB265">
            <v>3900000</v>
          </cell>
          <cell r="BC265">
            <v>417857.14285714284</v>
          </cell>
          <cell r="BD265">
            <v>3482142.8571428573</v>
          </cell>
        </row>
        <row r="266">
          <cell r="AD266" t="str">
            <v>ESE-01-036-004</v>
          </cell>
          <cell r="AE266" t="str">
            <v xml:space="preserve">Raemulan Lands, Inc. </v>
          </cell>
          <cell r="AF266" t="str">
            <v>Estanzia Enclave</v>
          </cell>
          <cell r="AG266" t="str">
            <v>ESE</v>
          </cell>
          <cell r="AH266" t="str">
            <v>Middle Income</v>
          </cell>
          <cell r="AI266" t="str">
            <v>01</v>
          </cell>
          <cell r="AJ266" t="str">
            <v>Batch 1 2025</v>
          </cell>
          <cell r="AK266">
            <v>80</v>
          </cell>
          <cell r="AL266" t="str">
            <v>PCS-04-032688</v>
          </cell>
          <cell r="AM266" t="b">
            <v>1</v>
          </cell>
          <cell r="AN266" t="str">
            <v xml:space="preserve">Done </v>
          </cell>
          <cell r="AO266">
            <v>36</v>
          </cell>
          <cell r="AP266">
            <v>4</v>
          </cell>
          <cell r="AQ266" t="str">
            <v>H+L</v>
          </cell>
          <cell r="AR266" t="str">
            <v>NA</v>
          </cell>
          <cell r="AS266">
            <v>80</v>
          </cell>
          <cell r="AT266">
            <v>55</v>
          </cell>
          <cell r="AU266" t="str">
            <v>FLAT</v>
          </cell>
          <cell r="AV266" t="str">
            <v>FLAT / BEACHSIDE SUN</v>
          </cell>
          <cell r="AW266" t="str">
            <v>DU-EXE</v>
          </cell>
          <cell r="AX266" t="str">
            <v>BEACHSIDE SUN</v>
          </cell>
          <cell r="AY266">
            <v>3420000</v>
          </cell>
          <cell r="AZ266">
            <v>3600000</v>
          </cell>
          <cell r="BA266">
            <v>0</v>
          </cell>
          <cell r="BB266">
            <v>3600000</v>
          </cell>
          <cell r="BC266">
            <v>0</v>
          </cell>
          <cell r="BD266">
            <v>3600000</v>
          </cell>
        </row>
        <row r="267">
          <cell r="AD267" t="str">
            <v>ESE-01-036-005</v>
          </cell>
          <cell r="AE267" t="str">
            <v xml:space="preserve">Raemulan Lands, Inc. </v>
          </cell>
          <cell r="AF267" t="str">
            <v>Estanzia Enclave</v>
          </cell>
          <cell r="AG267" t="str">
            <v>ESE</v>
          </cell>
          <cell r="AH267" t="str">
            <v>Middle Income</v>
          </cell>
          <cell r="AI267" t="str">
            <v>01</v>
          </cell>
          <cell r="AJ267" t="str">
            <v>Batch 1 2025</v>
          </cell>
          <cell r="AK267">
            <v>80</v>
          </cell>
          <cell r="AL267" t="str">
            <v>PCS-04-032688</v>
          </cell>
          <cell r="AM267" t="b">
            <v>1</v>
          </cell>
          <cell r="AN267" t="str">
            <v xml:space="preserve">Done </v>
          </cell>
          <cell r="AO267">
            <v>36</v>
          </cell>
          <cell r="AP267">
            <v>5</v>
          </cell>
          <cell r="AQ267" t="str">
            <v>H+L</v>
          </cell>
          <cell r="AR267" t="str">
            <v>NA</v>
          </cell>
          <cell r="AS267">
            <v>80</v>
          </cell>
          <cell r="AT267">
            <v>55</v>
          </cell>
          <cell r="AU267" t="str">
            <v>SLANT</v>
          </cell>
          <cell r="AV267" t="str">
            <v>SLANT / BEACHSIDE SUN</v>
          </cell>
          <cell r="AW267" t="str">
            <v>DU-EXE</v>
          </cell>
          <cell r="AX267" t="str">
            <v>BEACHSIDE SUN</v>
          </cell>
          <cell r="AY267">
            <v>3420000</v>
          </cell>
          <cell r="AZ267">
            <v>3600000</v>
          </cell>
          <cell r="BA267">
            <v>0</v>
          </cell>
          <cell r="BB267">
            <v>3600000</v>
          </cell>
          <cell r="BC267">
            <v>0</v>
          </cell>
          <cell r="BD267">
            <v>3600000</v>
          </cell>
        </row>
        <row r="268">
          <cell r="AD268" t="str">
            <v>ESE-01-036-006</v>
          </cell>
          <cell r="AE268" t="str">
            <v xml:space="preserve">Raemulan Lands, Inc. </v>
          </cell>
          <cell r="AF268" t="str">
            <v>Estanzia Enclave</v>
          </cell>
          <cell r="AG268" t="str">
            <v>ESE</v>
          </cell>
          <cell r="AH268" t="str">
            <v>Middle Income</v>
          </cell>
          <cell r="AI268" t="str">
            <v>01</v>
          </cell>
          <cell r="AJ268" t="str">
            <v>LOT ONLY</v>
          </cell>
          <cell r="AK268">
            <v>100</v>
          </cell>
          <cell r="AL268" t="str">
            <v>PCS-04-032688</v>
          </cell>
          <cell r="AM268" t="b">
            <v>1</v>
          </cell>
          <cell r="AN268" t="str">
            <v xml:space="preserve">Done </v>
          </cell>
          <cell r="AO268">
            <v>36</v>
          </cell>
          <cell r="AP268">
            <v>6</v>
          </cell>
          <cell r="AQ268" t="str">
            <v>LO</v>
          </cell>
          <cell r="AR268" t="str">
            <v>NA</v>
          </cell>
          <cell r="AS268">
            <v>100</v>
          </cell>
          <cell r="AT268" t="str">
            <v>N/A</v>
          </cell>
          <cell r="AU268" t="str">
            <v>NA</v>
          </cell>
          <cell r="AV268" t="str">
            <v>NA / NA</v>
          </cell>
          <cell r="AW268" t="str">
            <v>LO</v>
          </cell>
          <cell r="AX268" t="str">
            <v>NA</v>
          </cell>
          <cell r="AY268">
            <v>3420000</v>
          </cell>
          <cell r="AZ268">
            <v>1800000</v>
          </cell>
          <cell r="BA268">
            <v>0</v>
          </cell>
          <cell r="BB268">
            <v>1800000</v>
          </cell>
          <cell r="BC268">
            <v>192857.14285714287</v>
          </cell>
          <cell r="BD268">
            <v>1607142.857142857</v>
          </cell>
        </row>
        <row r="269">
          <cell r="AD269" t="str">
            <v>ESE-01-036-007</v>
          </cell>
          <cell r="AE269" t="str">
            <v xml:space="preserve">Raemulan Lands, Inc. </v>
          </cell>
          <cell r="AF269" t="str">
            <v>Estanzia Enclave</v>
          </cell>
          <cell r="AG269" t="str">
            <v>ESE</v>
          </cell>
          <cell r="AH269" t="str">
            <v>Middle Income</v>
          </cell>
          <cell r="AI269" t="str">
            <v>01</v>
          </cell>
          <cell r="AJ269" t="str">
            <v>Batch 3 2025</v>
          </cell>
          <cell r="AK269">
            <v>100</v>
          </cell>
          <cell r="AL269" t="str">
            <v>PCS-04-032688</v>
          </cell>
          <cell r="AM269" t="b">
            <v>1</v>
          </cell>
          <cell r="AN269" t="str">
            <v xml:space="preserve">Done </v>
          </cell>
          <cell r="AO269">
            <v>36</v>
          </cell>
          <cell r="AP269">
            <v>7</v>
          </cell>
          <cell r="AQ269" t="str">
            <v>H+L</v>
          </cell>
          <cell r="AR269" t="str">
            <v>NA</v>
          </cell>
          <cell r="AS269">
            <v>100</v>
          </cell>
          <cell r="AT269">
            <v>55</v>
          </cell>
          <cell r="AU269" t="str">
            <v>SLANT</v>
          </cell>
          <cell r="AV269" t="str">
            <v>SLANT / BEACHSIDE SUN</v>
          </cell>
          <cell r="AW269" t="str">
            <v>DU-EXE</v>
          </cell>
          <cell r="AX269" t="str">
            <v>BEACHSIDE SUN</v>
          </cell>
          <cell r="AY269">
            <v>3420000</v>
          </cell>
          <cell r="AZ269">
            <v>3900000</v>
          </cell>
          <cell r="BA269">
            <v>200000</v>
          </cell>
          <cell r="BB269">
            <v>3700000</v>
          </cell>
          <cell r="BC269">
            <v>396428.57142857142</v>
          </cell>
          <cell r="BD269">
            <v>3303571.4285714286</v>
          </cell>
        </row>
        <row r="270">
          <cell r="AD270" t="str">
            <v>ESE-01-036-010</v>
          </cell>
          <cell r="AE270" t="str">
            <v xml:space="preserve">Raemulan Lands, Inc. </v>
          </cell>
          <cell r="AF270" t="str">
            <v>Estanzia Enclave</v>
          </cell>
          <cell r="AG270" t="str">
            <v>ESE</v>
          </cell>
          <cell r="AH270" t="str">
            <v>Middle Income</v>
          </cell>
          <cell r="AI270" t="str">
            <v>01</v>
          </cell>
          <cell r="AJ270" t="str">
            <v>Batch 3 2025</v>
          </cell>
          <cell r="AK270">
            <v>80</v>
          </cell>
          <cell r="AL270" t="str">
            <v>PCS-04-032688</v>
          </cell>
          <cell r="AM270" t="b">
            <v>1</v>
          </cell>
          <cell r="AN270" t="str">
            <v xml:space="preserve">Done </v>
          </cell>
          <cell r="AO270">
            <v>36</v>
          </cell>
          <cell r="AP270">
            <v>10</v>
          </cell>
          <cell r="AQ270" t="str">
            <v>H+L</v>
          </cell>
          <cell r="AR270" t="str">
            <v>NA</v>
          </cell>
          <cell r="AS270">
            <v>80</v>
          </cell>
          <cell r="AT270">
            <v>55</v>
          </cell>
          <cell r="AU270" t="str">
            <v>FLAT</v>
          </cell>
          <cell r="AV270" t="str">
            <v>FLAT / BEACHSIDE SUN</v>
          </cell>
          <cell r="AW270" t="str">
            <v>DU-EXE</v>
          </cell>
          <cell r="AX270" t="str">
            <v>BEACHSIDE SUN</v>
          </cell>
          <cell r="AY270">
            <v>3600000</v>
          </cell>
          <cell r="AZ270">
            <v>3600000</v>
          </cell>
          <cell r="BA270">
            <v>432000</v>
          </cell>
          <cell r="BB270">
            <v>3168000</v>
          </cell>
          <cell r="BC270">
            <v>0</v>
          </cell>
          <cell r="BD270">
            <v>3168000</v>
          </cell>
        </row>
        <row r="271">
          <cell r="AD271" t="str">
            <v>ESE-01-036-011</v>
          </cell>
          <cell r="AE271" t="str">
            <v xml:space="preserve">Raemulan Lands, Inc. </v>
          </cell>
          <cell r="AF271" t="str">
            <v>Estanzia Enclave</v>
          </cell>
          <cell r="AG271" t="str">
            <v>ESE</v>
          </cell>
          <cell r="AH271" t="str">
            <v>Middle Income</v>
          </cell>
          <cell r="AI271" t="str">
            <v>01</v>
          </cell>
          <cell r="AJ271" t="str">
            <v>Batch 3 2025</v>
          </cell>
          <cell r="AK271">
            <v>80</v>
          </cell>
          <cell r="AL271" t="str">
            <v>PCS-04-032688</v>
          </cell>
          <cell r="AM271" t="b">
            <v>1</v>
          </cell>
          <cell r="AN271" t="str">
            <v xml:space="preserve">Done </v>
          </cell>
          <cell r="AO271">
            <v>36</v>
          </cell>
          <cell r="AP271">
            <v>11</v>
          </cell>
          <cell r="AQ271" t="str">
            <v>H+L</v>
          </cell>
          <cell r="AR271" t="str">
            <v>NA</v>
          </cell>
          <cell r="AS271">
            <v>80</v>
          </cell>
          <cell r="AT271">
            <v>55</v>
          </cell>
          <cell r="AU271" t="str">
            <v>FLAT</v>
          </cell>
          <cell r="AV271" t="str">
            <v>FLAT / BEACHSIDE SUN</v>
          </cell>
          <cell r="AW271" t="str">
            <v>DU-EXE</v>
          </cell>
          <cell r="AX271" t="str">
            <v>BEACHSIDE SUN</v>
          </cell>
          <cell r="AY271">
            <v>3600000</v>
          </cell>
          <cell r="AZ271">
            <v>3600000</v>
          </cell>
          <cell r="BA271">
            <v>432000</v>
          </cell>
          <cell r="BB271">
            <v>3168000</v>
          </cell>
          <cell r="BC271">
            <v>0</v>
          </cell>
          <cell r="BD271">
            <v>3168000</v>
          </cell>
        </row>
        <row r="272">
          <cell r="AD272" t="str">
            <v>ESE-01-036-012</v>
          </cell>
          <cell r="AE272" t="str">
            <v xml:space="preserve">Raemulan Lands, Inc. </v>
          </cell>
          <cell r="AF272" t="str">
            <v>Estanzia Enclave</v>
          </cell>
          <cell r="AG272" t="str">
            <v>ESE</v>
          </cell>
          <cell r="AH272" t="str">
            <v>Middle Income</v>
          </cell>
          <cell r="AI272" t="str">
            <v>01</v>
          </cell>
          <cell r="AJ272" t="str">
            <v>Batch 3 2025</v>
          </cell>
          <cell r="AK272">
            <v>100</v>
          </cell>
          <cell r="AL272" t="str">
            <v>PCS-04-032688</v>
          </cell>
          <cell r="AM272" t="b">
            <v>1</v>
          </cell>
          <cell r="AN272" t="str">
            <v xml:space="preserve">Done </v>
          </cell>
          <cell r="AO272">
            <v>36</v>
          </cell>
          <cell r="AP272">
            <v>12</v>
          </cell>
          <cell r="AQ272" t="str">
            <v>H+L</v>
          </cell>
          <cell r="AR272" t="str">
            <v>NA</v>
          </cell>
          <cell r="AS272">
            <v>100</v>
          </cell>
          <cell r="AT272">
            <v>55</v>
          </cell>
          <cell r="AU272" t="str">
            <v>SLANT</v>
          </cell>
          <cell r="AV272" t="str">
            <v>SLANT / BEACHSIDE SUN</v>
          </cell>
          <cell r="AW272" t="str">
            <v>DU-EXE</v>
          </cell>
          <cell r="AX272" t="str">
            <v>BEACHSIDE SUN</v>
          </cell>
          <cell r="AY272">
            <v>3420000</v>
          </cell>
          <cell r="AZ272">
            <v>3900000</v>
          </cell>
          <cell r="BA272">
            <v>0</v>
          </cell>
          <cell r="BB272">
            <v>3900000</v>
          </cell>
          <cell r="BC272">
            <v>417857.14285714284</v>
          </cell>
          <cell r="BD272">
            <v>3482142.8571428573</v>
          </cell>
        </row>
        <row r="273">
          <cell r="AD273" t="str">
            <v>ESE-01-036-013</v>
          </cell>
          <cell r="AE273" t="str">
            <v xml:space="preserve">Raemulan Lands, Inc. </v>
          </cell>
          <cell r="AF273" t="str">
            <v>Estanzia Enclave</v>
          </cell>
          <cell r="AG273" t="str">
            <v>ESE</v>
          </cell>
          <cell r="AH273" t="str">
            <v>Middle Income</v>
          </cell>
          <cell r="AI273" t="str">
            <v>01</v>
          </cell>
          <cell r="AJ273" t="str">
            <v>LOT ONLY</v>
          </cell>
          <cell r="AK273">
            <v>100</v>
          </cell>
          <cell r="AL273" t="str">
            <v>PCS-04-032688</v>
          </cell>
          <cell r="AM273" t="b">
            <v>1</v>
          </cell>
          <cell r="AN273" t="str">
            <v xml:space="preserve">Done </v>
          </cell>
          <cell r="AO273">
            <v>36</v>
          </cell>
          <cell r="AP273">
            <v>13</v>
          </cell>
          <cell r="AQ273" t="str">
            <v>LO</v>
          </cell>
          <cell r="AR273" t="str">
            <v>NA</v>
          </cell>
          <cell r="AS273">
            <v>100</v>
          </cell>
          <cell r="AT273" t="str">
            <v>N/A</v>
          </cell>
          <cell r="AU273" t="str">
            <v>NA</v>
          </cell>
          <cell r="AV273" t="str">
            <v>NA / NA</v>
          </cell>
          <cell r="AW273" t="str">
            <v>LO</v>
          </cell>
          <cell r="AX273" t="str">
            <v>NA</v>
          </cell>
          <cell r="AY273">
            <v>3420000</v>
          </cell>
          <cell r="AZ273">
            <v>1800000</v>
          </cell>
          <cell r="BA273">
            <v>0</v>
          </cell>
          <cell r="BB273">
            <v>1800000</v>
          </cell>
          <cell r="BC273">
            <v>192857.14285714287</v>
          </cell>
          <cell r="BD273">
            <v>1607142.857142857</v>
          </cell>
        </row>
        <row r="274">
          <cell r="AD274" t="str">
            <v>ESE-01-036-016</v>
          </cell>
          <cell r="AE274" t="str">
            <v xml:space="preserve">Raemulan Lands, Inc. </v>
          </cell>
          <cell r="AF274" t="str">
            <v>Estanzia Enclave</v>
          </cell>
          <cell r="AG274" t="str">
            <v>ESE</v>
          </cell>
          <cell r="AH274" t="str">
            <v>Middle Income</v>
          </cell>
          <cell r="AI274" t="str">
            <v>01</v>
          </cell>
          <cell r="AJ274" t="str">
            <v>Batch 1 2025</v>
          </cell>
          <cell r="AK274">
            <v>80</v>
          </cell>
          <cell r="AL274" t="str">
            <v>PCS-04-032688</v>
          </cell>
          <cell r="AM274" t="b">
            <v>1</v>
          </cell>
          <cell r="AN274" t="str">
            <v xml:space="preserve">Done </v>
          </cell>
          <cell r="AO274">
            <v>36</v>
          </cell>
          <cell r="AP274">
            <v>16</v>
          </cell>
          <cell r="AQ274" t="str">
            <v>H+L</v>
          </cell>
          <cell r="AR274" t="str">
            <v>NA</v>
          </cell>
          <cell r="AS274">
            <v>80</v>
          </cell>
          <cell r="AT274">
            <v>55</v>
          </cell>
          <cell r="AU274" t="str">
            <v>SLANT</v>
          </cell>
          <cell r="AV274" t="str">
            <v>SLANT / HORIZON SUN</v>
          </cell>
          <cell r="AW274" t="str">
            <v>DU-EXE</v>
          </cell>
          <cell r="AX274" t="str">
            <v>HORIZON SUN</v>
          </cell>
          <cell r="AY274">
            <v>3600000</v>
          </cell>
          <cell r="AZ274">
            <v>3600000</v>
          </cell>
          <cell r="BA274">
            <v>432000</v>
          </cell>
          <cell r="BB274">
            <v>3168000</v>
          </cell>
          <cell r="BC274">
            <v>0</v>
          </cell>
          <cell r="BD274">
            <v>3168000</v>
          </cell>
        </row>
        <row r="275">
          <cell r="AD275" t="str">
            <v>ESE-01-036-017</v>
          </cell>
          <cell r="AE275" t="str">
            <v xml:space="preserve">Raemulan Lands, Inc. </v>
          </cell>
          <cell r="AF275" t="str">
            <v>Estanzia Enclave</v>
          </cell>
          <cell r="AG275" t="str">
            <v>ESE</v>
          </cell>
          <cell r="AH275" t="str">
            <v>Middle Income</v>
          </cell>
          <cell r="AI275" t="str">
            <v>01</v>
          </cell>
          <cell r="AJ275" t="str">
            <v>Batch 1 2025</v>
          </cell>
          <cell r="AK275">
            <v>80</v>
          </cell>
          <cell r="AL275" t="str">
            <v>PCS-04-032688</v>
          </cell>
          <cell r="AM275" t="b">
            <v>1</v>
          </cell>
          <cell r="AN275" t="str">
            <v xml:space="preserve">Done </v>
          </cell>
          <cell r="AO275">
            <v>36</v>
          </cell>
          <cell r="AP275">
            <v>17</v>
          </cell>
          <cell r="AQ275" t="str">
            <v>H+L</v>
          </cell>
          <cell r="AR275" t="str">
            <v>NA</v>
          </cell>
          <cell r="AS275">
            <v>80</v>
          </cell>
          <cell r="AT275">
            <v>55</v>
          </cell>
          <cell r="AU275" t="str">
            <v>FLAT</v>
          </cell>
          <cell r="AV275" t="str">
            <v>FLAT / HORIZON SUN</v>
          </cell>
          <cell r="AW275" t="str">
            <v>DU-EXE</v>
          </cell>
          <cell r="AX275" t="str">
            <v>HORIZON SUN</v>
          </cell>
          <cell r="AY275">
            <v>3420000</v>
          </cell>
          <cell r="AZ275">
            <v>3600000</v>
          </cell>
          <cell r="BA275">
            <v>0</v>
          </cell>
          <cell r="BB275">
            <v>3600000</v>
          </cell>
          <cell r="BC275">
            <v>0</v>
          </cell>
          <cell r="BD275">
            <v>3600000</v>
          </cell>
        </row>
        <row r="276">
          <cell r="AD276" t="str">
            <v>ESE-01-036-018</v>
          </cell>
          <cell r="AE276" t="str">
            <v xml:space="preserve">Raemulan Lands, Inc. </v>
          </cell>
          <cell r="AF276" t="str">
            <v>Estanzia Enclave</v>
          </cell>
          <cell r="AG276" t="str">
            <v>ESE</v>
          </cell>
          <cell r="AH276" t="str">
            <v>Middle Income</v>
          </cell>
          <cell r="AI276" t="str">
            <v>01</v>
          </cell>
          <cell r="AJ276" t="str">
            <v>Batch 1 2025</v>
          </cell>
          <cell r="AK276">
            <v>100</v>
          </cell>
          <cell r="AL276" t="str">
            <v>PCS-04-032688</v>
          </cell>
          <cell r="AM276" t="b">
            <v>1</v>
          </cell>
          <cell r="AN276" t="str">
            <v xml:space="preserve">Done </v>
          </cell>
          <cell r="AO276">
            <v>36</v>
          </cell>
          <cell r="AP276">
            <v>18</v>
          </cell>
          <cell r="AQ276" t="str">
            <v>H+L</v>
          </cell>
          <cell r="AR276">
            <v>1.0000000000000002</v>
          </cell>
          <cell r="AS276">
            <v>100</v>
          </cell>
          <cell r="AT276">
            <v>55</v>
          </cell>
          <cell r="AU276" t="str">
            <v>FLAT</v>
          </cell>
          <cell r="AV276" t="str">
            <v>FLAT / HORIZON SUN</v>
          </cell>
          <cell r="AW276" t="str">
            <v>DU-EXE</v>
          </cell>
          <cell r="AX276" t="str">
            <v>HORIZON SUN</v>
          </cell>
          <cell r="AY276">
            <v>3721428.5714285714</v>
          </cell>
          <cell r="AZ276">
            <v>3900000</v>
          </cell>
          <cell r="BA276">
            <v>200000</v>
          </cell>
          <cell r="BB276">
            <v>3700000</v>
          </cell>
          <cell r="BC276">
            <v>396428.57142857142</v>
          </cell>
          <cell r="BD276">
            <v>3303571.4285714286</v>
          </cell>
        </row>
        <row r="277">
          <cell r="AD277" t="str">
            <v>ESE-01-036-020</v>
          </cell>
          <cell r="AE277" t="str">
            <v xml:space="preserve">Raemulan Lands, Inc. </v>
          </cell>
          <cell r="AF277" t="str">
            <v>Estanzia Enclave</v>
          </cell>
          <cell r="AG277" t="str">
            <v>ESE</v>
          </cell>
          <cell r="AH277" t="str">
            <v>Middle Income</v>
          </cell>
          <cell r="AI277" t="str">
            <v>01</v>
          </cell>
          <cell r="AJ277" t="str">
            <v>Batch 1 2025</v>
          </cell>
          <cell r="AK277">
            <v>80</v>
          </cell>
          <cell r="AL277" t="str">
            <v>PCS-04-032688</v>
          </cell>
          <cell r="AM277" t="b">
            <v>1</v>
          </cell>
          <cell r="AN277" t="str">
            <v xml:space="preserve">Done </v>
          </cell>
          <cell r="AO277">
            <v>36</v>
          </cell>
          <cell r="AP277">
            <v>20</v>
          </cell>
          <cell r="AQ277" t="str">
            <v>H+L</v>
          </cell>
          <cell r="AR277">
            <v>1.0000000000000002</v>
          </cell>
          <cell r="AS277">
            <v>80</v>
          </cell>
          <cell r="AT277">
            <v>55</v>
          </cell>
          <cell r="AU277" t="str">
            <v>SLANT</v>
          </cell>
          <cell r="AV277" t="str">
            <v>SLANT / HORIZON SUN</v>
          </cell>
          <cell r="AW277" t="str">
            <v>DU-EXE</v>
          </cell>
          <cell r="AX277" t="str">
            <v>HORIZON SUN</v>
          </cell>
          <cell r="AY277">
            <v>3600000</v>
          </cell>
          <cell r="AZ277">
            <v>3600000</v>
          </cell>
          <cell r="BA277">
            <v>432000</v>
          </cell>
          <cell r="BB277">
            <v>3168000</v>
          </cell>
          <cell r="BC277">
            <v>0</v>
          </cell>
          <cell r="BD277">
            <v>3168000</v>
          </cell>
        </row>
        <row r="278">
          <cell r="AD278" t="str">
            <v>ESE-01-037-001</v>
          </cell>
          <cell r="AE278" t="str">
            <v xml:space="preserve">Raemulan Lands, Inc. </v>
          </cell>
          <cell r="AF278" t="str">
            <v>Estanzia Enclave</v>
          </cell>
          <cell r="AG278" t="str">
            <v>ESE</v>
          </cell>
          <cell r="AH278" t="str">
            <v>Middle Income</v>
          </cell>
          <cell r="AI278" t="str">
            <v>01</v>
          </cell>
          <cell r="AJ278" t="str">
            <v>LOT ONLY</v>
          </cell>
          <cell r="AK278">
            <v>100</v>
          </cell>
          <cell r="AL278" t="str">
            <v>PCS-04-032688</v>
          </cell>
          <cell r="AM278" t="b">
            <v>1</v>
          </cell>
          <cell r="AN278" t="str">
            <v xml:space="preserve">Done </v>
          </cell>
          <cell r="AO278">
            <v>37</v>
          </cell>
          <cell r="AP278">
            <v>1</v>
          </cell>
          <cell r="AQ278" t="str">
            <v>LO</v>
          </cell>
          <cell r="AR278" t="str">
            <v>NA</v>
          </cell>
          <cell r="AS278">
            <v>100</v>
          </cell>
          <cell r="AT278" t="str">
            <v>N/A</v>
          </cell>
          <cell r="AU278" t="str">
            <v>NA</v>
          </cell>
          <cell r="AV278" t="str">
            <v>NA / NA</v>
          </cell>
          <cell r="AW278" t="str">
            <v>LO</v>
          </cell>
          <cell r="AX278" t="str">
            <v>NA</v>
          </cell>
          <cell r="AY278">
            <v>3420000</v>
          </cell>
          <cell r="AZ278">
            <v>1800000</v>
          </cell>
          <cell r="BA278">
            <v>0</v>
          </cell>
          <cell r="BB278">
            <v>1800000</v>
          </cell>
          <cell r="BC278">
            <v>192857.14285714287</v>
          </cell>
          <cell r="BD278">
            <v>1607142.857142857</v>
          </cell>
        </row>
        <row r="279">
          <cell r="AD279" t="str">
            <v>ESE-01-037-002</v>
          </cell>
          <cell r="AE279" t="str">
            <v xml:space="preserve">Raemulan Lands, Inc. </v>
          </cell>
          <cell r="AF279" t="str">
            <v>Estanzia Enclave</v>
          </cell>
          <cell r="AG279" t="str">
            <v>ESE</v>
          </cell>
          <cell r="AH279" t="str">
            <v>Middle Income</v>
          </cell>
          <cell r="AI279" t="str">
            <v>01</v>
          </cell>
          <cell r="AJ279" t="str">
            <v>Batch 3 2025</v>
          </cell>
          <cell r="AK279">
            <v>80</v>
          </cell>
          <cell r="AL279" t="str">
            <v>PCS-04-032688</v>
          </cell>
          <cell r="AM279" t="b">
            <v>1</v>
          </cell>
          <cell r="AN279" t="str">
            <v xml:space="preserve">Done </v>
          </cell>
          <cell r="AO279">
            <v>37</v>
          </cell>
          <cell r="AP279">
            <v>2</v>
          </cell>
          <cell r="AQ279" t="str">
            <v>H+L</v>
          </cell>
          <cell r="AR279">
            <v>0.92830000000000024</v>
          </cell>
          <cell r="AS279">
            <v>80</v>
          </cell>
          <cell r="AT279">
            <v>55</v>
          </cell>
          <cell r="AU279" t="str">
            <v>FLAT</v>
          </cell>
          <cell r="AV279" t="str">
            <v>FLAT / HORIZON SUN</v>
          </cell>
          <cell r="AW279" t="str">
            <v>DU-EXE</v>
          </cell>
          <cell r="AX279" t="str">
            <v>HORIZON SUN</v>
          </cell>
          <cell r="AY279">
            <v>3420000</v>
          </cell>
          <cell r="AZ279">
            <v>3600000</v>
          </cell>
          <cell r="BA279">
            <v>0</v>
          </cell>
          <cell r="BB279">
            <v>3600000</v>
          </cell>
          <cell r="BC279">
            <v>0</v>
          </cell>
          <cell r="BD279">
            <v>3600000</v>
          </cell>
        </row>
        <row r="280">
          <cell r="AD280" t="str">
            <v>ESE-01-037-004</v>
          </cell>
          <cell r="AE280" t="str">
            <v xml:space="preserve">Raemulan Lands, Inc. </v>
          </cell>
          <cell r="AF280" t="str">
            <v>Estanzia Enclave</v>
          </cell>
          <cell r="AG280" t="str">
            <v>ESE</v>
          </cell>
          <cell r="AH280" t="str">
            <v>Middle Income</v>
          </cell>
          <cell r="AI280" t="str">
            <v>01</v>
          </cell>
          <cell r="AJ280" t="str">
            <v>Batch 3 2025</v>
          </cell>
          <cell r="AK280">
            <v>80</v>
          </cell>
          <cell r="AL280" t="str">
            <v>PCS-04-032688</v>
          </cell>
          <cell r="AM280" t="b">
            <v>1</v>
          </cell>
          <cell r="AN280" t="str">
            <v xml:space="preserve">Done </v>
          </cell>
          <cell r="AO280">
            <v>37</v>
          </cell>
          <cell r="AP280">
            <v>4</v>
          </cell>
          <cell r="AQ280" t="str">
            <v>H+L</v>
          </cell>
          <cell r="AR280">
            <v>0.92830000000000024</v>
          </cell>
          <cell r="AS280">
            <v>80</v>
          </cell>
          <cell r="AT280">
            <v>55</v>
          </cell>
          <cell r="AU280" t="str">
            <v>SLANT</v>
          </cell>
          <cell r="AV280" t="str">
            <v>SLANT / HORIZON SUN</v>
          </cell>
          <cell r="AW280" t="str">
            <v>DU-EXE</v>
          </cell>
          <cell r="AX280" t="str">
            <v>HORIZON SUN</v>
          </cell>
          <cell r="AY280">
            <v>3600000</v>
          </cell>
          <cell r="AZ280">
            <v>3600000</v>
          </cell>
          <cell r="BA280">
            <v>432000</v>
          </cell>
          <cell r="BB280">
            <v>3168000</v>
          </cell>
          <cell r="BC280">
            <v>0</v>
          </cell>
          <cell r="BD280">
            <v>3168000</v>
          </cell>
        </row>
        <row r="281">
          <cell r="AD281" t="str">
            <v>ESE-01-037-005</v>
          </cell>
          <cell r="AE281" t="str">
            <v xml:space="preserve">Raemulan Lands, Inc. </v>
          </cell>
          <cell r="AF281" t="str">
            <v>Estanzia Enclave</v>
          </cell>
          <cell r="AG281" t="str">
            <v>ESE</v>
          </cell>
          <cell r="AH281" t="str">
            <v>Middle Income</v>
          </cell>
          <cell r="AI281" t="str">
            <v>01</v>
          </cell>
          <cell r="AJ281" t="str">
            <v>Batch 3 2025</v>
          </cell>
          <cell r="AK281">
            <v>80</v>
          </cell>
          <cell r="AL281" t="str">
            <v>PCS-04-032688</v>
          </cell>
          <cell r="AM281" t="b">
            <v>1</v>
          </cell>
          <cell r="AN281" t="str">
            <v xml:space="preserve">Done </v>
          </cell>
          <cell r="AO281">
            <v>37</v>
          </cell>
          <cell r="AP281">
            <v>5</v>
          </cell>
          <cell r="AQ281" t="str">
            <v>H+L</v>
          </cell>
          <cell r="AR281">
            <v>0.92830000000000024</v>
          </cell>
          <cell r="AS281">
            <v>80</v>
          </cell>
          <cell r="AT281">
            <v>55</v>
          </cell>
          <cell r="AU281" t="str">
            <v>FLAT</v>
          </cell>
          <cell r="AV281" t="str">
            <v>FLAT / BEACHSIDE SUN</v>
          </cell>
          <cell r="AW281" t="str">
            <v>DU-EXE</v>
          </cell>
          <cell r="AX281" t="str">
            <v>BEACHSIDE SUN</v>
          </cell>
          <cell r="AY281">
            <v>3420000</v>
          </cell>
          <cell r="AZ281">
            <v>3600000</v>
          </cell>
          <cell r="BA281">
            <v>0</v>
          </cell>
          <cell r="BB281">
            <v>3600000</v>
          </cell>
          <cell r="BC281">
            <v>0</v>
          </cell>
          <cell r="BD281">
            <v>3600000</v>
          </cell>
        </row>
        <row r="282">
          <cell r="AD282" t="str">
            <v>ESE-01-037-006</v>
          </cell>
          <cell r="AE282" t="str">
            <v xml:space="preserve">Raemulan Lands, Inc. </v>
          </cell>
          <cell r="AF282" t="str">
            <v>Estanzia Enclave</v>
          </cell>
          <cell r="AG282" t="str">
            <v>ESE</v>
          </cell>
          <cell r="AH282" t="str">
            <v>Middle Income</v>
          </cell>
          <cell r="AI282" t="str">
            <v>01</v>
          </cell>
          <cell r="AJ282" t="str">
            <v>Batch 3 2025</v>
          </cell>
          <cell r="AK282">
            <v>100</v>
          </cell>
          <cell r="AL282" t="str">
            <v>PCS-04-032688</v>
          </cell>
          <cell r="AM282" t="b">
            <v>1</v>
          </cell>
          <cell r="AN282" t="str">
            <v xml:space="preserve">Done </v>
          </cell>
          <cell r="AO282">
            <v>37</v>
          </cell>
          <cell r="AP282">
            <v>6</v>
          </cell>
          <cell r="AQ282" t="str">
            <v>H+L</v>
          </cell>
          <cell r="AR282">
            <v>0.92830000000000024</v>
          </cell>
          <cell r="AS282">
            <v>100</v>
          </cell>
          <cell r="AT282">
            <v>55</v>
          </cell>
          <cell r="AU282" t="str">
            <v>SLANT</v>
          </cell>
          <cell r="AV282" t="str">
            <v>SLANT / BEACHSIDE SUN</v>
          </cell>
          <cell r="AW282" t="str">
            <v>DU-EXE</v>
          </cell>
          <cell r="AX282" t="str">
            <v>BEACHSIDE SUN</v>
          </cell>
          <cell r="AY282">
            <v>3420000</v>
          </cell>
          <cell r="AZ282">
            <v>3900000</v>
          </cell>
          <cell r="BA282">
            <v>0</v>
          </cell>
          <cell r="BB282">
            <v>3900000</v>
          </cell>
          <cell r="BC282">
            <v>417857.14285714284</v>
          </cell>
          <cell r="BD282">
            <v>3482142.8571428573</v>
          </cell>
        </row>
        <row r="283">
          <cell r="AD283" t="str">
            <v>ESE-01-037-008</v>
          </cell>
          <cell r="AE283" t="str">
            <v xml:space="preserve">Raemulan Lands, Inc. </v>
          </cell>
          <cell r="AF283" t="str">
            <v>Estanzia Enclave</v>
          </cell>
          <cell r="AG283" t="str">
            <v>ESE</v>
          </cell>
          <cell r="AH283" t="str">
            <v>Middle Income</v>
          </cell>
          <cell r="AI283" t="str">
            <v>01</v>
          </cell>
          <cell r="AJ283" t="str">
            <v>Batch 3 2025</v>
          </cell>
          <cell r="AK283">
            <v>80</v>
          </cell>
          <cell r="AL283" t="str">
            <v>PCS-04-032688</v>
          </cell>
          <cell r="AM283" t="b">
            <v>1</v>
          </cell>
          <cell r="AN283" t="str">
            <v xml:space="preserve">Done </v>
          </cell>
          <cell r="AO283">
            <v>37</v>
          </cell>
          <cell r="AP283">
            <v>8</v>
          </cell>
          <cell r="AQ283" t="str">
            <v>H+L</v>
          </cell>
          <cell r="AR283">
            <v>0.98038000000000014</v>
          </cell>
          <cell r="AS283">
            <v>80</v>
          </cell>
          <cell r="AT283">
            <v>55</v>
          </cell>
          <cell r="AU283" t="str">
            <v>SLANT</v>
          </cell>
          <cell r="AV283" t="str">
            <v>SLANT / HORIZON SUN</v>
          </cell>
          <cell r="AW283" t="str">
            <v>DU-EXE</v>
          </cell>
          <cell r="AX283" t="str">
            <v>HORIZON SUN</v>
          </cell>
          <cell r="AY283">
            <v>3420000</v>
          </cell>
          <cell r="AZ283">
            <v>3600000</v>
          </cell>
          <cell r="BA283">
            <v>0</v>
          </cell>
          <cell r="BB283">
            <v>3600000</v>
          </cell>
          <cell r="BC283">
            <v>0</v>
          </cell>
          <cell r="BD283">
            <v>3600000</v>
          </cell>
        </row>
        <row r="284">
          <cell r="AD284" t="str">
            <v>ESE-01-037-009</v>
          </cell>
          <cell r="AE284" t="str">
            <v xml:space="preserve">Raemulan Lands, Inc. </v>
          </cell>
          <cell r="AF284" t="str">
            <v>Estanzia Enclave</v>
          </cell>
          <cell r="AG284" t="str">
            <v>ESE</v>
          </cell>
          <cell r="AH284" t="str">
            <v>Middle Income</v>
          </cell>
          <cell r="AI284" t="str">
            <v>01</v>
          </cell>
          <cell r="AJ284" t="str">
            <v>Batch 3 2025</v>
          </cell>
          <cell r="AK284">
            <v>80</v>
          </cell>
          <cell r="AL284" t="str">
            <v>PCS-04-032688</v>
          </cell>
          <cell r="AM284" t="b">
            <v>1</v>
          </cell>
          <cell r="AN284" t="str">
            <v xml:space="preserve">Done </v>
          </cell>
          <cell r="AO284">
            <v>37</v>
          </cell>
          <cell r="AP284">
            <v>9</v>
          </cell>
          <cell r="AQ284" t="str">
            <v>H+L</v>
          </cell>
          <cell r="AR284">
            <v>0.98038000000000014</v>
          </cell>
          <cell r="AS284">
            <v>80</v>
          </cell>
          <cell r="AT284">
            <v>55</v>
          </cell>
          <cell r="AU284" t="str">
            <v>FLAT</v>
          </cell>
          <cell r="AV284" t="str">
            <v>FLAT / HORIZON SUN</v>
          </cell>
          <cell r="AW284" t="str">
            <v>DU-EXE</v>
          </cell>
          <cell r="AX284" t="str">
            <v>HORIZON SUN</v>
          </cell>
          <cell r="AY284">
            <v>3420000</v>
          </cell>
          <cell r="AZ284">
            <v>3600000</v>
          </cell>
          <cell r="BA284">
            <v>0</v>
          </cell>
          <cell r="BB284">
            <v>3600000</v>
          </cell>
          <cell r="BC284">
            <v>0</v>
          </cell>
          <cell r="BD284">
            <v>3600000</v>
          </cell>
        </row>
        <row r="285">
          <cell r="AD285" t="str">
            <v>ESE-01-037-010</v>
          </cell>
          <cell r="AE285" t="str">
            <v xml:space="preserve">Raemulan Lands, Inc. </v>
          </cell>
          <cell r="AF285" t="str">
            <v>Estanzia Enclave</v>
          </cell>
          <cell r="AG285" t="str">
            <v>ESE</v>
          </cell>
          <cell r="AH285" t="str">
            <v>Middle Income</v>
          </cell>
          <cell r="AI285" t="str">
            <v>01</v>
          </cell>
          <cell r="AJ285" t="str">
            <v>Batch 3 2025</v>
          </cell>
          <cell r="AK285">
            <v>100</v>
          </cell>
          <cell r="AL285" t="str">
            <v>PCS-04-032688</v>
          </cell>
          <cell r="AM285" t="b">
            <v>1</v>
          </cell>
          <cell r="AN285" t="str">
            <v xml:space="preserve">Done </v>
          </cell>
          <cell r="AO285">
            <v>37</v>
          </cell>
          <cell r="AP285">
            <v>10</v>
          </cell>
          <cell r="AQ285" t="str">
            <v>H+L</v>
          </cell>
          <cell r="AR285">
            <v>0.98038000000000014</v>
          </cell>
          <cell r="AS285">
            <v>100</v>
          </cell>
          <cell r="AT285">
            <v>55</v>
          </cell>
          <cell r="AU285" t="str">
            <v>FLAT</v>
          </cell>
          <cell r="AV285" t="str">
            <v>FLAT / HORIZON SUN</v>
          </cell>
          <cell r="AW285" t="str">
            <v>DU-EXE</v>
          </cell>
          <cell r="AX285" t="str">
            <v>HORIZON SUN</v>
          </cell>
          <cell r="AY285">
            <v>3420000</v>
          </cell>
          <cell r="AZ285">
            <v>3900000</v>
          </cell>
          <cell r="BA285">
            <v>0</v>
          </cell>
          <cell r="BB285">
            <v>3900000</v>
          </cell>
          <cell r="BC285">
            <v>417857.14285714284</v>
          </cell>
          <cell r="BD285">
            <v>3482142.8571428573</v>
          </cell>
        </row>
        <row r="286">
          <cell r="AD286" t="str">
            <v>ESE-01-037-012</v>
          </cell>
          <cell r="AE286" t="str">
            <v xml:space="preserve">Raemulan Lands, Inc. </v>
          </cell>
          <cell r="AF286" t="str">
            <v>Estanzia Enclave</v>
          </cell>
          <cell r="AG286" t="str">
            <v>ESE</v>
          </cell>
          <cell r="AH286" t="str">
            <v>Middle Income</v>
          </cell>
          <cell r="AI286" t="str">
            <v>01</v>
          </cell>
          <cell r="AJ286" t="str">
            <v>Batch 3 2025</v>
          </cell>
          <cell r="AK286">
            <v>80</v>
          </cell>
          <cell r="AL286" t="str">
            <v>PCS-04-032688</v>
          </cell>
          <cell r="AM286" t="b">
            <v>1</v>
          </cell>
          <cell r="AN286" t="str">
            <v xml:space="preserve">Done </v>
          </cell>
          <cell r="AO286">
            <v>37</v>
          </cell>
          <cell r="AP286">
            <v>12</v>
          </cell>
          <cell r="AQ286" t="str">
            <v>H+L</v>
          </cell>
          <cell r="AR286">
            <v>0.98038000000000014</v>
          </cell>
          <cell r="AS286">
            <v>80</v>
          </cell>
          <cell r="AT286">
            <v>55</v>
          </cell>
          <cell r="AU286" t="str">
            <v>SLANT</v>
          </cell>
          <cell r="AV286" t="str">
            <v>SLANT / HORIZON SUN</v>
          </cell>
          <cell r="AW286" t="str">
            <v>DU-EXE</v>
          </cell>
          <cell r="AX286" t="str">
            <v>HORIZON SUN</v>
          </cell>
          <cell r="AY286">
            <v>3420000</v>
          </cell>
          <cell r="AZ286">
            <v>3600000</v>
          </cell>
          <cell r="BA286">
            <v>0</v>
          </cell>
          <cell r="BB286">
            <v>3600000</v>
          </cell>
          <cell r="BC286">
            <v>0</v>
          </cell>
          <cell r="BD286">
            <v>3600000</v>
          </cell>
        </row>
        <row r="287">
          <cell r="AD287" t="str">
            <v>ESE-01-037-013</v>
          </cell>
          <cell r="AE287" t="str">
            <v xml:space="preserve">Raemulan Lands, Inc. </v>
          </cell>
          <cell r="AF287" t="str">
            <v>Estanzia Enclave</v>
          </cell>
          <cell r="AG287" t="str">
            <v>ESE</v>
          </cell>
          <cell r="AH287" t="str">
            <v>Middle Income</v>
          </cell>
          <cell r="AI287" t="str">
            <v>01</v>
          </cell>
          <cell r="AJ287" t="str">
            <v>Batch 3 2025</v>
          </cell>
          <cell r="AK287">
            <v>80</v>
          </cell>
          <cell r="AL287" t="str">
            <v>PCS-04-032688</v>
          </cell>
          <cell r="AM287" t="b">
            <v>1</v>
          </cell>
          <cell r="AN287" t="str">
            <v xml:space="preserve">Done </v>
          </cell>
          <cell r="AO287">
            <v>37</v>
          </cell>
          <cell r="AP287">
            <v>13</v>
          </cell>
          <cell r="AQ287" t="str">
            <v>H+L</v>
          </cell>
          <cell r="AR287">
            <v>0.71540000000000015</v>
          </cell>
          <cell r="AS287">
            <v>80</v>
          </cell>
          <cell r="AT287">
            <v>55</v>
          </cell>
          <cell r="AU287" t="str">
            <v>SLANT</v>
          </cell>
          <cell r="AV287" t="str">
            <v>SLANT / HORIZON SUN</v>
          </cell>
          <cell r="AW287" t="str">
            <v>DU-EXE</v>
          </cell>
          <cell r="AX287" t="str">
            <v>HORIZON SUN</v>
          </cell>
          <cell r="AY287">
            <v>3420000</v>
          </cell>
          <cell r="AZ287">
            <v>3600000</v>
          </cell>
          <cell r="BA287">
            <v>432000</v>
          </cell>
          <cell r="BB287">
            <v>3168000</v>
          </cell>
          <cell r="BC287">
            <v>0</v>
          </cell>
          <cell r="BD287">
            <v>3168000</v>
          </cell>
        </row>
        <row r="288">
          <cell r="AD288" t="str">
            <v>ESE-01-037-014</v>
          </cell>
          <cell r="AE288" t="str">
            <v xml:space="preserve">Raemulan Lands, Inc. </v>
          </cell>
          <cell r="AF288" t="str">
            <v>Estanzia Enclave</v>
          </cell>
          <cell r="AG288" t="str">
            <v>ESE</v>
          </cell>
          <cell r="AH288" t="str">
            <v>Middle Income</v>
          </cell>
          <cell r="AI288" t="str">
            <v>01</v>
          </cell>
          <cell r="AJ288" t="str">
            <v>Batch 3 2025</v>
          </cell>
          <cell r="AK288">
            <v>100</v>
          </cell>
          <cell r="AL288" t="str">
            <v>PCS-04-032688</v>
          </cell>
          <cell r="AM288" t="b">
            <v>1</v>
          </cell>
          <cell r="AN288" t="str">
            <v xml:space="preserve">Done </v>
          </cell>
          <cell r="AO288">
            <v>37</v>
          </cell>
          <cell r="AP288">
            <v>14</v>
          </cell>
          <cell r="AQ288" t="str">
            <v>H+L</v>
          </cell>
          <cell r="AR288">
            <v>0.75770000000000037</v>
          </cell>
          <cell r="AS288">
            <v>100</v>
          </cell>
          <cell r="AT288">
            <v>55</v>
          </cell>
          <cell r="AU288" t="str">
            <v>FLAT</v>
          </cell>
          <cell r="AV288" t="str">
            <v>FLAT / HORIZON SUN</v>
          </cell>
          <cell r="AW288" t="str">
            <v>DU-EXE</v>
          </cell>
          <cell r="AX288" t="str">
            <v>HORIZON SUN</v>
          </cell>
          <cell r="AY288">
            <v>3420000</v>
          </cell>
          <cell r="AZ288">
            <v>3900000</v>
          </cell>
          <cell r="BA288">
            <v>0</v>
          </cell>
          <cell r="BB288">
            <v>3900000</v>
          </cell>
          <cell r="BC288">
            <v>417857.14285714284</v>
          </cell>
          <cell r="BD288">
            <v>3482142.8571428573</v>
          </cell>
        </row>
        <row r="289">
          <cell r="AD289" t="str">
            <v>ESE-01-037-016</v>
          </cell>
          <cell r="AE289" t="str">
            <v xml:space="preserve">Raemulan Lands, Inc. </v>
          </cell>
          <cell r="AF289" t="str">
            <v>Estanzia Enclave</v>
          </cell>
          <cell r="AG289" t="str">
            <v>ESE</v>
          </cell>
          <cell r="AH289" t="str">
            <v>Middle Income</v>
          </cell>
          <cell r="AI289" t="str">
            <v>01</v>
          </cell>
          <cell r="AJ289" t="str">
            <v>Batch 3 2025</v>
          </cell>
          <cell r="AK289">
            <v>83</v>
          </cell>
          <cell r="AL289" t="str">
            <v>PCS-04-032688</v>
          </cell>
          <cell r="AM289" t="b">
            <v>1</v>
          </cell>
          <cell r="AN289" t="str">
            <v xml:space="preserve">Done </v>
          </cell>
          <cell r="AO289">
            <v>37</v>
          </cell>
          <cell r="AP289">
            <v>16</v>
          </cell>
          <cell r="AQ289" t="str">
            <v>H+L</v>
          </cell>
          <cell r="AR289">
            <v>0.71540000000000015</v>
          </cell>
          <cell r="AS289">
            <v>83</v>
          </cell>
          <cell r="AT289">
            <v>55</v>
          </cell>
          <cell r="AU289" t="str">
            <v>FLAT</v>
          </cell>
          <cell r="AV289" t="str">
            <v>FLAT / BEACHSIDE SUN</v>
          </cell>
          <cell r="AW289" t="str">
            <v>DU-EXE</v>
          </cell>
          <cell r="AX289" t="str">
            <v>BEACHSIDE SUN</v>
          </cell>
          <cell r="AY289">
            <v>3420000</v>
          </cell>
          <cell r="AZ289">
            <v>3645000</v>
          </cell>
          <cell r="BA289">
            <v>0</v>
          </cell>
          <cell r="BB289">
            <v>3645000</v>
          </cell>
          <cell r="BC289">
            <v>390535.71428571426</v>
          </cell>
          <cell r="BD289">
            <v>3254464.2857142859</v>
          </cell>
        </row>
        <row r="290">
          <cell r="AD290" t="str">
            <v>ESE-01-037-017</v>
          </cell>
          <cell r="AE290" t="str">
            <v xml:space="preserve">Raemulan Lands, Inc. </v>
          </cell>
          <cell r="AF290" t="str">
            <v>Estanzia Enclave</v>
          </cell>
          <cell r="AG290" t="str">
            <v>ESE</v>
          </cell>
          <cell r="AH290" t="str">
            <v>Middle Income</v>
          </cell>
          <cell r="AI290" t="str">
            <v>01</v>
          </cell>
          <cell r="AJ290" t="str">
            <v>Batch 3 2025</v>
          </cell>
          <cell r="AK290">
            <v>93</v>
          </cell>
          <cell r="AL290" t="str">
            <v>PCS-04-032688</v>
          </cell>
          <cell r="AM290" t="b">
            <v>1</v>
          </cell>
          <cell r="AN290" t="str">
            <v xml:space="preserve">Done </v>
          </cell>
          <cell r="AO290">
            <v>37</v>
          </cell>
          <cell r="AP290">
            <v>17</v>
          </cell>
          <cell r="AQ290" t="str">
            <v>H+L</v>
          </cell>
          <cell r="AR290">
            <v>0.71540000000000015</v>
          </cell>
          <cell r="AS290">
            <v>93</v>
          </cell>
          <cell r="AT290">
            <v>55</v>
          </cell>
          <cell r="AU290" t="str">
            <v>SLANT</v>
          </cell>
          <cell r="AV290" t="str">
            <v>SLANT / BEACHSIDE SUN</v>
          </cell>
          <cell r="AW290" t="str">
            <v>DU-EXE</v>
          </cell>
          <cell r="AX290" t="str">
            <v>BEACHSIDE SUN</v>
          </cell>
          <cell r="AY290">
            <v>3420000</v>
          </cell>
          <cell r="AZ290">
            <v>3795000</v>
          </cell>
          <cell r="BA290">
            <v>0</v>
          </cell>
          <cell r="BB290">
            <v>3795000</v>
          </cell>
          <cell r="BC290">
            <v>406607.14285714284</v>
          </cell>
          <cell r="BD290">
            <v>3388392.8571428573</v>
          </cell>
        </row>
        <row r="291">
          <cell r="AD291" t="str">
            <v>ESE-01-037-018</v>
          </cell>
          <cell r="AE291" t="str">
            <v xml:space="preserve">Raemulan Lands, Inc. </v>
          </cell>
          <cell r="AF291" t="str">
            <v>Estanzia Enclave</v>
          </cell>
          <cell r="AG291" t="str">
            <v>ESE</v>
          </cell>
          <cell r="AH291" t="str">
            <v>Middle Income</v>
          </cell>
          <cell r="AI291" t="str">
            <v>01</v>
          </cell>
          <cell r="AJ291" t="str">
            <v>Batch 3 2025</v>
          </cell>
          <cell r="AK291">
            <v>130</v>
          </cell>
          <cell r="AL291" t="str">
            <v>PCS-04-032688</v>
          </cell>
          <cell r="AM291" t="b">
            <v>1</v>
          </cell>
          <cell r="AN291" t="str">
            <v xml:space="preserve">Done </v>
          </cell>
          <cell r="AO291">
            <v>37</v>
          </cell>
          <cell r="AP291">
            <v>18</v>
          </cell>
          <cell r="AQ291" t="str">
            <v>H+L</v>
          </cell>
          <cell r="AR291">
            <v>0.92830000000000024</v>
          </cell>
          <cell r="AS291">
            <v>130</v>
          </cell>
          <cell r="AT291">
            <v>55</v>
          </cell>
          <cell r="AU291" t="str">
            <v>SLANT</v>
          </cell>
          <cell r="AV291" t="str">
            <v>SLANT / BEACHSIDE SUN</v>
          </cell>
          <cell r="AW291" t="str">
            <v>DU-EXE</v>
          </cell>
          <cell r="AX291" t="str">
            <v>BEACHSIDE SUN</v>
          </cell>
          <cell r="AY291">
            <v>3420000</v>
          </cell>
          <cell r="AZ291">
            <v>4350000</v>
          </cell>
          <cell r="BA291">
            <v>0</v>
          </cell>
          <cell r="BB291">
            <v>4350000</v>
          </cell>
          <cell r="BC291">
            <v>466071.42857142858</v>
          </cell>
          <cell r="BD291">
            <v>3883928.5714285714</v>
          </cell>
        </row>
        <row r="292">
          <cell r="AD292" t="str">
            <v>ESE-01-037-020</v>
          </cell>
          <cell r="AE292" t="str">
            <v xml:space="preserve">Raemulan Lands, Inc. </v>
          </cell>
          <cell r="AF292" t="str">
            <v>Estanzia Enclave</v>
          </cell>
          <cell r="AG292" t="str">
            <v>ESE</v>
          </cell>
          <cell r="AH292" t="str">
            <v>Middle Income</v>
          </cell>
          <cell r="AI292" t="str">
            <v>01</v>
          </cell>
          <cell r="AJ292" t="str">
            <v>Batch 3 2025</v>
          </cell>
          <cell r="AK292">
            <v>114</v>
          </cell>
          <cell r="AL292" t="str">
            <v>PCS-04-032688</v>
          </cell>
          <cell r="AM292" t="b">
            <v>1</v>
          </cell>
          <cell r="AN292" t="str">
            <v xml:space="preserve">Done </v>
          </cell>
          <cell r="AO292">
            <v>37</v>
          </cell>
          <cell r="AP292">
            <v>20</v>
          </cell>
          <cell r="AQ292" t="str">
            <v>H+L</v>
          </cell>
          <cell r="AR292">
            <v>0.92830000000000024</v>
          </cell>
          <cell r="AS292">
            <v>114</v>
          </cell>
          <cell r="AT292">
            <v>55</v>
          </cell>
          <cell r="AU292" t="str">
            <v>FLAT</v>
          </cell>
          <cell r="AV292" t="str">
            <v>FLAT / BEACHSIDE SUN</v>
          </cell>
          <cell r="AW292" t="str">
            <v>DU-EXE</v>
          </cell>
          <cell r="AX292" t="str">
            <v>BEACHSIDE SUN</v>
          </cell>
          <cell r="AY292">
            <v>3420000</v>
          </cell>
          <cell r="AZ292">
            <v>4110000</v>
          </cell>
          <cell r="BA292">
            <v>0</v>
          </cell>
          <cell r="BB292">
            <v>4110000</v>
          </cell>
          <cell r="BC292">
            <v>440357.14285714284</v>
          </cell>
          <cell r="BD292">
            <v>3669642.8571428573</v>
          </cell>
        </row>
        <row r="293">
          <cell r="AD293" t="str">
            <v>ESE-01-038-001</v>
          </cell>
          <cell r="AE293" t="str">
            <v xml:space="preserve">Raemulan Lands, Inc. </v>
          </cell>
          <cell r="AF293" t="str">
            <v>Estanzia Enclave</v>
          </cell>
          <cell r="AG293" t="str">
            <v>ESE</v>
          </cell>
          <cell r="AH293" t="str">
            <v>Middle Income</v>
          </cell>
          <cell r="AI293" t="str">
            <v>01</v>
          </cell>
          <cell r="AJ293" t="str">
            <v>Batch 5 2025</v>
          </cell>
          <cell r="AK293">
            <v>100</v>
          </cell>
          <cell r="AL293" t="str">
            <v>PCS-04-032688</v>
          </cell>
          <cell r="AM293" t="b">
            <v>1</v>
          </cell>
          <cell r="AN293" t="str">
            <v xml:space="preserve">Done </v>
          </cell>
          <cell r="AO293">
            <v>38</v>
          </cell>
          <cell r="AP293">
            <v>1</v>
          </cell>
          <cell r="AQ293" t="str">
            <v>H+L</v>
          </cell>
          <cell r="AR293">
            <v>0.80115500000000006</v>
          </cell>
          <cell r="AS293">
            <v>100</v>
          </cell>
          <cell r="AT293">
            <v>55</v>
          </cell>
          <cell r="AU293" t="str">
            <v>SLANT</v>
          </cell>
          <cell r="AV293" t="str">
            <v>SLANT / HORIZON SUN</v>
          </cell>
          <cell r="AW293" t="str">
            <v>DU-EXE</v>
          </cell>
          <cell r="AX293" t="str">
            <v>HORIZON SUN</v>
          </cell>
          <cell r="AY293">
            <v>3810714.2857142859</v>
          </cell>
          <cell r="AZ293">
            <v>3900000</v>
          </cell>
          <cell r="BA293">
            <v>100000</v>
          </cell>
          <cell r="BB293">
            <v>3800000</v>
          </cell>
          <cell r="BC293">
            <v>407142.85714285716</v>
          </cell>
          <cell r="BD293">
            <v>3392857.1428571427</v>
          </cell>
        </row>
        <row r="294">
          <cell r="AD294" t="str">
            <v>ESE-01-038-002</v>
          </cell>
          <cell r="AE294" t="str">
            <v xml:space="preserve">Raemulan Lands, Inc. </v>
          </cell>
          <cell r="AF294" t="str">
            <v>Estanzia Enclave</v>
          </cell>
          <cell r="AG294" t="str">
            <v>ESE</v>
          </cell>
          <cell r="AH294" t="str">
            <v>Middle Income</v>
          </cell>
          <cell r="AI294" t="str">
            <v>01</v>
          </cell>
          <cell r="AJ294" t="str">
            <v>Batch 5 2025</v>
          </cell>
          <cell r="AK294">
            <v>91</v>
          </cell>
          <cell r="AL294" t="str">
            <v>PCS-04-032688</v>
          </cell>
          <cell r="AM294" t="b">
            <v>1</v>
          </cell>
          <cell r="AN294" t="str">
            <v xml:space="preserve">Done </v>
          </cell>
          <cell r="AO294">
            <v>38</v>
          </cell>
          <cell r="AP294">
            <v>2</v>
          </cell>
          <cell r="AQ294" t="str">
            <v>H+L</v>
          </cell>
          <cell r="AR294" t="str">
            <v>NA</v>
          </cell>
          <cell r="AS294">
            <v>91</v>
          </cell>
          <cell r="AT294">
            <v>55</v>
          </cell>
          <cell r="AU294" t="str">
            <v>FLAT</v>
          </cell>
          <cell r="AV294" t="str">
            <v>FLAT / HORIZON SUN</v>
          </cell>
          <cell r="AW294" t="str">
            <v>DU-EXE</v>
          </cell>
          <cell r="AX294" t="str">
            <v>HORIZON SUN</v>
          </cell>
          <cell r="AY294">
            <v>3420000</v>
          </cell>
          <cell r="AZ294">
            <v>3765000</v>
          </cell>
          <cell r="BA294">
            <v>0</v>
          </cell>
          <cell r="BB294">
            <v>3765000</v>
          </cell>
          <cell r="BC294">
            <v>403392.85714285716</v>
          </cell>
          <cell r="BD294">
            <v>3361607.1428571427</v>
          </cell>
        </row>
        <row r="295">
          <cell r="AD295" t="str">
            <v>ESE-01-038-003</v>
          </cell>
          <cell r="AE295" t="str">
            <v xml:space="preserve">Raemulan Lands, Inc. </v>
          </cell>
          <cell r="AF295" t="str">
            <v>Estanzia Enclave</v>
          </cell>
          <cell r="AG295" t="str">
            <v>ESE</v>
          </cell>
          <cell r="AH295" t="str">
            <v>Middle Income</v>
          </cell>
          <cell r="AI295" t="str">
            <v>01</v>
          </cell>
          <cell r="AJ295" t="str">
            <v>Batch 5 2025</v>
          </cell>
          <cell r="AK295">
            <v>80</v>
          </cell>
          <cell r="AL295" t="str">
            <v>PCS-04-032688</v>
          </cell>
          <cell r="AM295" t="b">
            <v>1</v>
          </cell>
          <cell r="AN295" t="str">
            <v xml:space="preserve">Done </v>
          </cell>
          <cell r="AO295">
            <v>38</v>
          </cell>
          <cell r="AP295">
            <v>3</v>
          </cell>
          <cell r="AQ295" t="str">
            <v>H+L</v>
          </cell>
          <cell r="AR295" t="str">
            <v>NA</v>
          </cell>
          <cell r="AS295">
            <v>80</v>
          </cell>
          <cell r="AT295">
            <v>55</v>
          </cell>
          <cell r="AU295" t="str">
            <v>FLAT</v>
          </cell>
          <cell r="AV295" t="str">
            <v>FLAT / BEACHSIDE SUN</v>
          </cell>
          <cell r="AW295" t="str">
            <v>DU-EXE</v>
          </cell>
          <cell r="AX295" t="str">
            <v>BEACHSIDE SUN</v>
          </cell>
          <cell r="AY295">
            <v>3420000</v>
          </cell>
          <cell r="AZ295">
            <v>3600000</v>
          </cell>
          <cell r="BA295">
            <v>0</v>
          </cell>
          <cell r="BB295">
            <v>3600000</v>
          </cell>
          <cell r="BC295">
            <v>0</v>
          </cell>
          <cell r="BD295">
            <v>3600000</v>
          </cell>
        </row>
        <row r="296">
          <cell r="AD296" t="str">
            <v>ESE-01-038-004</v>
          </cell>
          <cell r="AE296" t="str">
            <v xml:space="preserve">Raemulan Lands, Inc. </v>
          </cell>
          <cell r="AF296" t="str">
            <v>Estanzia Enclave</v>
          </cell>
          <cell r="AG296" t="str">
            <v>ESE</v>
          </cell>
          <cell r="AH296" t="str">
            <v>Middle Income</v>
          </cell>
          <cell r="AI296" t="str">
            <v>01</v>
          </cell>
          <cell r="AJ296" t="str">
            <v>Batch 5 2025</v>
          </cell>
          <cell r="AK296">
            <v>100</v>
          </cell>
          <cell r="AL296" t="str">
            <v>PCS-04-032688</v>
          </cell>
          <cell r="AM296" t="b">
            <v>1</v>
          </cell>
          <cell r="AN296" t="str">
            <v xml:space="preserve">Done </v>
          </cell>
          <cell r="AO296">
            <v>38</v>
          </cell>
          <cell r="AP296">
            <v>4</v>
          </cell>
          <cell r="AQ296" t="str">
            <v>H+L</v>
          </cell>
          <cell r="AR296" t="str">
            <v>NA</v>
          </cell>
          <cell r="AS296">
            <v>100</v>
          </cell>
          <cell r="AT296">
            <v>55</v>
          </cell>
          <cell r="AU296" t="str">
            <v>SLANT</v>
          </cell>
          <cell r="AV296" t="str">
            <v>SLANT / BEACHSIDE SUN</v>
          </cell>
          <cell r="AW296" t="str">
            <v>DU-EXE</v>
          </cell>
          <cell r="AX296" t="str">
            <v>BEACHSIDE SUN</v>
          </cell>
          <cell r="AY296">
            <v>3420000</v>
          </cell>
          <cell r="AZ296">
            <v>3900000</v>
          </cell>
          <cell r="BA296">
            <v>0</v>
          </cell>
          <cell r="BB296">
            <v>3900000</v>
          </cell>
          <cell r="BC296">
            <v>417857.14285714284</v>
          </cell>
          <cell r="BD296">
            <v>3482142.8571428573</v>
          </cell>
        </row>
        <row r="297">
          <cell r="AD297" t="str">
            <v>ESE-01-038-006</v>
          </cell>
          <cell r="AE297" t="str">
            <v xml:space="preserve">Raemulan Lands, Inc. </v>
          </cell>
          <cell r="AF297" t="str">
            <v>Estanzia Enclave</v>
          </cell>
          <cell r="AG297" t="str">
            <v>ESE</v>
          </cell>
          <cell r="AH297" t="str">
            <v>Middle Income</v>
          </cell>
          <cell r="AI297" t="str">
            <v>01</v>
          </cell>
          <cell r="AJ297" t="str">
            <v>Batch 5 2025</v>
          </cell>
          <cell r="AK297">
            <v>80</v>
          </cell>
          <cell r="AL297" t="str">
            <v>PCS-04-032688</v>
          </cell>
          <cell r="AM297" t="b">
            <v>1</v>
          </cell>
          <cell r="AN297" t="str">
            <v xml:space="preserve">Done </v>
          </cell>
          <cell r="AO297">
            <v>38</v>
          </cell>
          <cell r="AP297">
            <v>6</v>
          </cell>
          <cell r="AQ297" t="str">
            <v>H+L</v>
          </cell>
          <cell r="AR297" t="str">
            <v>NA</v>
          </cell>
          <cell r="AS297">
            <v>80</v>
          </cell>
          <cell r="AT297">
            <v>55</v>
          </cell>
          <cell r="AU297" t="str">
            <v>SLANT</v>
          </cell>
          <cell r="AV297" t="str">
            <v>SLANT / BEACHSIDE SUN</v>
          </cell>
          <cell r="AW297" t="str">
            <v>DU-EXE</v>
          </cell>
          <cell r="AX297" t="str">
            <v>BEACHSIDE SUN</v>
          </cell>
          <cell r="AY297">
            <v>3420000</v>
          </cell>
          <cell r="AZ297">
            <v>3600000</v>
          </cell>
          <cell r="BA297">
            <v>0</v>
          </cell>
          <cell r="BB297">
            <v>3600000</v>
          </cell>
          <cell r="BC297">
            <v>0</v>
          </cell>
          <cell r="BD297">
            <v>3600000</v>
          </cell>
        </row>
        <row r="298">
          <cell r="AD298" t="str">
            <v>ESE-01-038-007</v>
          </cell>
          <cell r="AE298" t="str">
            <v xml:space="preserve">Raemulan Lands, Inc. </v>
          </cell>
          <cell r="AF298" t="str">
            <v>Estanzia Enclave</v>
          </cell>
          <cell r="AG298" t="str">
            <v>ESE</v>
          </cell>
          <cell r="AH298" t="str">
            <v>Middle Income</v>
          </cell>
          <cell r="AI298" t="str">
            <v>01</v>
          </cell>
          <cell r="AJ298" t="str">
            <v>Batch 5 2025</v>
          </cell>
          <cell r="AK298">
            <v>80</v>
          </cell>
          <cell r="AL298" t="str">
            <v>PCS-04-032688</v>
          </cell>
          <cell r="AM298" t="b">
            <v>1</v>
          </cell>
          <cell r="AN298" t="str">
            <v xml:space="preserve">Done </v>
          </cell>
          <cell r="AO298">
            <v>38</v>
          </cell>
          <cell r="AP298">
            <v>7</v>
          </cell>
          <cell r="AQ298" t="str">
            <v>H+L</v>
          </cell>
          <cell r="AR298" t="str">
            <v>NA</v>
          </cell>
          <cell r="AS298">
            <v>80</v>
          </cell>
          <cell r="AT298">
            <v>55</v>
          </cell>
          <cell r="AU298" t="str">
            <v>FLAT</v>
          </cell>
          <cell r="AV298" t="str">
            <v>FLAT / BEACHSIDE SUN</v>
          </cell>
          <cell r="AW298" t="str">
            <v>DU-EXE</v>
          </cell>
          <cell r="AX298" t="str">
            <v>BEACHSIDE SUN</v>
          </cell>
          <cell r="AY298">
            <v>3420000</v>
          </cell>
          <cell r="AZ298">
            <v>3600000</v>
          </cell>
          <cell r="BA298">
            <v>0</v>
          </cell>
          <cell r="BB298">
            <v>3600000</v>
          </cell>
          <cell r="BC298">
            <v>0</v>
          </cell>
          <cell r="BD298">
            <v>3600000</v>
          </cell>
        </row>
        <row r="299">
          <cell r="AD299" t="str">
            <v>ESE-01-038-008</v>
          </cell>
          <cell r="AE299" t="str">
            <v xml:space="preserve">Raemulan Lands, Inc. </v>
          </cell>
          <cell r="AF299" t="str">
            <v>Estanzia Enclave</v>
          </cell>
          <cell r="AG299" t="str">
            <v>ESE</v>
          </cell>
          <cell r="AH299" t="str">
            <v>Middle Income</v>
          </cell>
          <cell r="AI299" t="str">
            <v>01</v>
          </cell>
          <cell r="AJ299" t="str">
            <v>Batch 5 2025</v>
          </cell>
          <cell r="AK299">
            <v>100</v>
          </cell>
          <cell r="AL299" t="str">
            <v>PCS-04-032688</v>
          </cell>
          <cell r="AM299" t="b">
            <v>1</v>
          </cell>
          <cell r="AN299" t="str">
            <v xml:space="preserve">Done </v>
          </cell>
          <cell r="AO299">
            <v>38</v>
          </cell>
          <cell r="AP299">
            <v>8</v>
          </cell>
          <cell r="AQ299" t="str">
            <v>H+L</v>
          </cell>
          <cell r="AR299" t="str">
            <v>NA</v>
          </cell>
          <cell r="AS299">
            <v>100</v>
          </cell>
          <cell r="AT299">
            <v>55</v>
          </cell>
          <cell r="AU299" t="str">
            <v>FLAT</v>
          </cell>
          <cell r="AV299" t="str">
            <v>FLAT / HORIZON SUN</v>
          </cell>
          <cell r="AW299" t="str">
            <v>DU-EXE</v>
          </cell>
          <cell r="AX299" t="str">
            <v>HORIZON SUN</v>
          </cell>
          <cell r="AY299">
            <v>3420000</v>
          </cell>
          <cell r="AZ299">
            <v>3900000</v>
          </cell>
          <cell r="BA299">
            <v>0</v>
          </cell>
          <cell r="BB299">
            <v>3900000</v>
          </cell>
          <cell r="BC299">
            <v>417857.14285714284</v>
          </cell>
          <cell r="BD299">
            <v>3482142.8571428573</v>
          </cell>
        </row>
        <row r="300">
          <cell r="AD300" t="str">
            <v>ESE-01-038-010</v>
          </cell>
          <cell r="AE300" t="str">
            <v xml:space="preserve">Raemulan Lands, Inc. </v>
          </cell>
          <cell r="AF300" t="str">
            <v>Estanzia Enclave</v>
          </cell>
          <cell r="AG300" t="str">
            <v>ESE</v>
          </cell>
          <cell r="AH300" t="str">
            <v>Middle Income</v>
          </cell>
          <cell r="AI300" t="str">
            <v>01</v>
          </cell>
          <cell r="AJ300" t="str">
            <v>Batch 5 2025</v>
          </cell>
          <cell r="AK300">
            <v>80</v>
          </cell>
          <cell r="AL300" t="str">
            <v>PCS-04-032688</v>
          </cell>
          <cell r="AM300" t="b">
            <v>1</v>
          </cell>
          <cell r="AN300" t="str">
            <v xml:space="preserve">Done </v>
          </cell>
          <cell r="AO300">
            <v>38</v>
          </cell>
          <cell r="AP300">
            <v>10</v>
          </cell>
          <cell r="AQ300" t="str">
            <v>H+L</v>
          </cell>
          <cell r="AR300" t="str">
            <v>NA</v>
          </cell>
          <cell r="AS300">
            <v>80</v>
          </cell>
          <cell r="AT300">
            <v>55</v>
          </cell>
          <cell r="AU300" t="str">
            <v>SLANT</v>
          </cell>
          <cell r="AV300" t="str">
            <v>SLANT / HORIZON SUN</v>
          </cell>
          <cell r="AW300" t="str">
            <v>DU-EXE</v>
          </cell>
          <cell r="AX300" t="str">
            <v>HORIZON SUN</v>
          </cell>
          <cell r="AY300">
            <v>3420000</v>
          </cell>
          <cell r="AZ300">
            <v>3600000</v>
          </cell>
          <cell r="BA300">
            <v>0</v>
          </cell>
          <cell r="BB300">
            <v>3600000</v>
          </cell>
          <cell r="BC300">
            <v>0</v>
          </cell>
          <cell r="BD300">
            <v>3600000</v>
          </cell>
        </row>
        <row r="301">
          <cell r="AD301" t="str">
            <v>ESE-01-038-011</v>
          </cell>
          <cell r="AE301" t="str">
            <v xml:space="preserve">Raemulan Lands, Inc. </v>
          </cell>
          <cell r="AF301" t="str">
            <v>Estanzia Enclave</v>
          </cell>
          <cell r="AG301" t="str">
            <v>ESE</v>
          </cell>
          <cell r="AH301" t="str">
            <v>Middle Income</v>
          </cell>
          <cell r="AI301" t="str">
            <v>01</v>
          </cell>
          <cell r="AJ301" t="str">
            <v>Batch 5 2025</v>
          </cell>
          <cell r="AK301">
            <v>98</v>
          </cell>
          <cell r="AL301" t="str">
            <v>PCS-04-032688</v>
          </cell>
          <cell r="AM301" t="b">
            <v>1</v>
          </cell>
          <cell r="AN301" t="str">
            <v xml:space="preserve">Done </v>
          </cell>
          <cell r="AO301">
            <v>38</v>
          </cell>
          <cell r="AP301">
            <v>11</v>
          </cell>
          <cell r="AQ301" t="str">
            <v>H+L</v>
          </cell>
          <cell r="AR301" t="str">
            <v>NA</v>
          </cell>
          <cell r="AS301">
            <v>98</v>
          </cell>
          <cell r="AT301">
            <v>55</v>
          </cell>
          <cell r="AU301" t="str">
            <v>SLANT</v>
          </cell>
          <cell r="AV301" t="str">
            <v>SLANT / HORIZON SUN</v>
          </cell>
          <cell r="AW301" t="str">
            <v>DU-EXE</v>
          </cell>
          <cell r="AX301" t="str">
            <v>HORIZON SUN</v>
          </cell>
          <cell r="AY301">
            <v>3420000</v>
          </cell>
          <cell r="AZ301">
            <v>3870000</v>
          </cell>
          <cell r="BA301">
            <v>0</v>
          </cell>
          <cell r="BB301">
            <v>3870000</v>
          </cell>
          <cell r="BC301">
            <v>414642.85714285716</v>
          </cell>
          <cell r="BD301">
            <v>3455357.1428571427</v>
          </cell>
        </row>
        <row r="302">
          <cell r="AD302" t="str">
            <v>ESE-01-038-012</v>
          </cell>
          <cell r="AE302" t="str">
            <v xml:space="preserve">Raemulan Lands, Inc. </v>
          </cell>
          <cell r="AF302" t="str">
            <v>Estanzia Enclave</v>
          </cell>
          <cell r="AG302" t="str">
            <v>ESE</v>
          </cell>
          <cell r="AH302" t="str">
            <v>Middle Income</v>
          </cell>
          <cell r="AI302" t="str">
            <v>01</v>
          </cell>
          <cell r="AJ302" t="str">
            <v>Batch 5 2025</v>
          </cell>
          <cell r="AK302">
            <v>98</v>
          </cell>
          <cell r="AL302" t="str">
            <v>PCS-04-032688</v>
          </cell>
          <cell r="AM302" t="b">
            <v>1</v>
          </cell>
          <cell r="AN302" t="str">
            <v xml:space="preserve">Done </v>
          </cell>
          <cell r="AO302">
            <v>38</v>
          </cell>
          <cell r="AP302">
            <v>12</v>
          </cell>
          <cell r="AQ302" t="str">
            <v>H+L</v>
          </cell>
          <cell r="AR302" t="str">
            <v>NA</v>
          </cell>
          <cell r="AS302">
            <v>98</v>
          </cell>
          <cell r="AT302">
            <v>55</v>
          </cell>
          <cell r="AU302" t="str">
            <v>FLAT</v>
          </cell>
          <cell r="AV302" t="str">
            <v>FLAT / HORIZON SUN</v>
          </cell>
          <cell r="AW302" t="str">
            <v>DU-EXE</v>
          </cell>
          <cell r="AX302" t="str">
            <v>HORIZON SUN</v>
          </cell>
          <cell r="AY302">
            <v>3420000</v>
          </cell>
          <cell r="AZ302">
            <v>3870000</v>
          </cell>
          <cell r="BA302">
            <v>0</v>
          </cell>
          <cell r="BB302">
            <v>3870000</v>
          </cell>
          <cell r="BC302">
            <v>414642.85714285716</v>
          </cell>
          <cell r="BD302">
            <v>3455357.1428571427</v>
          </cell>
        </row>
        <row r="303">
          <cell r="AD303" t="str">
            <v>ESE-01-039-001</v>
          </cell>
          <cell r="AE303" t="str">
            <v xml:space="preserve">Raemulan Lands, Inc. </v>
          </cell>
          <cell r="AF303" t="str">
            <v>Estanzia Enclave</v>
          </cell>
          <cell r="AG303" t="str">
            <v>ESE</v>
          </cell>
          <cell r="AH303" t="str">
            <v>Middle Income</v>
          </cell>
          <cell r="AI303" t="str">
            <v>01</v>
          </cell>
          <cell r="AJ303" t="str">
            <v>Batch 1 2025</v>
          </cell>
          <cell r="AK303">
            <v>91</v>
          </cell>
          <cell r="AL303" t="str">
            <v>PCS-04-032688</v>
          </cell>
          <cell r="AM303" t="b">
            <v>1</v>
          </cell>
          <cell r="AN303" t="str">
            <v xml:space="preserve">Done </v>
          </cell>
          <cell r="AO303">
            <v>39</v>
          </cell>
          <cell r="AP303">
            <v>1</v>
          </cell>
          <cell r="AQ303" t="str">
            <v>H+L</v>
          </cell>
          <cell r="AR303" t="str">
            <v>NA</v>
          </cell>
          <cell r="AS303">
            <v>91</v>
          </cell>
          <cell r="AT303">
            <v>55</v>
          </cell>
          <cell r="AU303" t="str">
            <v>FLAT</v>
          </cell>
          <cell r="AV303" t="str">
            <v>FLAT / BEACHSIDE SUN</v>
          </cell>
          <cell r="AW303" t="str">
            <v>DU-EXE</v>
          </cell>
          <cell r="AX303" t="str">
            <v>BEACHSIDE SUN</v>
          </cell>
          <cell r="AY303">
            <v>3586607.1428571427</v>
          </cell>
          <cell r="AZ303">
            <v>3765000</v>
          </cell>
          <cell r="BA303">
            <v>200000</v>
          </cell>
          <cell r="BB303">
            <v>3565000</v>
          </cell>
          <cell r="BC303">
            <v>430392.8571428571</v>
          </cell>
          <cell r="BD303">
            <v>3134607.1428571427</v>
          </cell>
        </row>
        <row r="304">
          <cell r="AD304" t="str">
            <v>ESE-01-039-002</v>
          </cell>
          <cell r="AE304" t="str">
            <v xml:space="preserve">Raemulan Lands, Inc. </v>
          </cell>
          <cell r="AF304" t="str">
            <v>Estanzia Enclave</v>
          </cell>
          <cell r="AG304" t="str">
            <v>ESE</v>
          </cell>
          <cell r="AH304" t="str">
            <v>Middle Income</v>
          </cell>
          <cell r="AI304" t="str">
            <v>01</v>
          </cell>
          <cell r="AJ304" t="str">
            <v>Batch 1 2025</v>
          </cell>
          <cell r="AK304">
            <v>80</v>
          </cell>
          <cell r="AL304" t="str">
            <v>PCS-04-032688</v>
          </cell>
          <cell r="AM304" t="b">
            <v>1</v>
          </cell>
          <cell r="AN304" t="str">
            <v xml:space="preserve">Done </v>
          </cell>
          <cell r="AO304">
            <v>39</v>
          </cell>
          <cell r="AP304">
            <v>2</v>
          </cell>
          <cell r="AQ304" t="str">
            <v>H+L</v>
          </cell>
          <cell r="AR304" t="str">
            <v>NA</v>
          </cell>
          <cell r="AS304">
            <v>80</v>
          </cell>
          <cell r="AT304">
            <v>55</v>
          </cell>
          <cell r="AU304" t="str">
            <v>SLANT</v>
          </cell>
          <cell r="AV304" t="str">
            <v>SLANT / BEACHSIDE SUN</v>
          </cell>
          <cell r="AW304" t="str">
            <v>DU-EXE</v>
          </cell>
          <cell r="AX304" t="str">
            <v>BEACHSIDE SUN</v>
          </cell>
          <cell r="AY304">
            <v>3600000</v>
          </cell>
          <cell r="AZ304">
            <v>3600000</v>
          </cell>
          <cell r="BA304">
            <v>432000</v>
          </cell>
          <cell r="BB304">
            <v>3168000</v>
          </cell>
          <cell r="BC304">
            <v>0</v>
          </cell>
          <cell r="BD304">
            <v>3168000</v>
          </cell>
        </row>
        <row r="305">
          <cell r="AD305" t="str">
            <v>ESE-01-039-003</v>
          </cell>
          <cell r="AE305" t="str">
            <v xml:space="preserve">Raemulan Lands, Inc. </v>
          </cell>
          <cell r="AF305" t="str">
            <v>Estanzia Enclave</v>
          </cell>
          <cell r="AG305" t="str">
            <v>ESE</v>
          </cell>
          <cell r="AH305" t="str">
            <v>Middle Income</v>
          </cell>
          <cell r="AI305" t="str">
            <v>01</v>
          </cell>
          <cell r="AJ305" t="str">
            <v>Batch 1 2025</v>
          </cell>
          <cell r="AK305">
            <v>80</v>
          </cell>
          <cell r="AL305" t="str">
            <v>PCS-04-032688</v>
          </cell>
          <cell r="AM305" t="b">
            <v>1</v>
          </cell>
          <cell r="AN305" t="str">
            <v xml:space="preserve">Done </v>
          </cell>
          <cell r="AO305">
            <v>39</v>
          </cell>
          <cell r="AP305">
            <v>3</v>
          </cell>
          <cell r="AQ305" t="str">
            <v>H+L</v>
          </cell>
          <cell r="AR305">
            <v>1</v>
          </cell>
          <cell r="AS305">
            <v>80</v>
          </cell>
          <cell r="AT305">
            <v>55</v>
          </cell>
          <cell r="AU305" t="str">
            <v>FLAT</v>
          </cell>
          <cell r="AV305" t="str">
            <v>FLAT / BEACHSIDE SUN</v>
          </cell>
          <cell r="AW305" t="str">
            <v>DU-EXE</v>
          </cell>
          <cell r="AX305" t="str">
            <v>BEACHSIDE SUN</v>
          </cell>
          <cell r="AY305">
            <v>3600000</v>
          </cell>
          <cell r="AZ305">
            <v>3600000</v>
          </cell>
          <cell r="BA305">
            <v>432000</v>
          </cell>
          <cell r="BB305">
            <v>3168000</v>
          </cell>
          <cell r="BC305">
            <v>0</v>
          </cell>
          <cell r="BD305">
            <v>3168000</v>
          </cell>
        </row>
        <row r="306">
          <cell r="AD306" t="str">
            <v>ESE-01-039-004</v>
          </cell>
          <cell r="AE306" t="str">
            <v xml:space="preserve">Raemulan Lands, Inc. </v>
          </cell>
          <cell r="AF306" t="str">
            <v>Estanzia Enclave</v>
          </cell>
          <cell r="AG306" t="str">
            <v>ESE</v>
          </cell>
          <cell r="AH306" t="str">
            <v>Middle Income</v>
          </cell>
          <cell r="AI306" t="str">
            <v>01</v>
          </cell>
          <cell r="AJ306" t="str">
            <v>Batch 1 2025</v>
          </cell>
          <cell r="AK306">
            <v>80</v>
          </cell>
          <cell r="AL306" t="str">
            <v>PCS-04-032688</v>
          </cell>
          <cell r="AM306" t="b">
            <v>1</v>
          </cell>
          <cell r="AN306" t="str">
            <v xml:space="preserve">Done </v>
          </cell>
          <cell r="AO306">
            <v>39</v>
          </cell>
          <cell r="AP306">
            <v>4</v>
          </cell>
          <cell r="AQ306" t="str">
            <v>H+L</v>
          </cell>
          <cell r="AR306" t="str">
            <v>NA</v>
          </cell>
          <cell r="AS306">
            <v>80</v>
          </cell>
          <cell r="AT306">
            <v>55</v>
          </cell>
          <cell r="AU306" t="str">
            <v>SLANT</v>
          </cell>
          <cell r="AV306" t="str">
            <v>SLANT / BEACHSIDE SUN</v>
          </cell>
          <cell r="AW306" t="str">
            <v>DU-EXE</v>
          </cell>
          <cell r="AX306" t="str">
            <v>BEACHSIDE SUN</v>
          </cell>
          <cell r="AY306">
            <v>3600000</v>
          </cell>
          <cell r="AZ306">
            <v>3600000</v>
          </cell>
          <cell r="BA306">
            <v>432000</v>
          </cell>
          <cell r="BB306">
            <v>3168000</v>
          </cell>
          <cell r="BC306">
            <v>0</v>
          </cell>
          <cell r="BD306">
            <v>3168000</v>
          </cell>
        </row>
        <row r="307">
          <cell r="AD307" t="str">
            <v>ESE-01-039-005</v>
          </cell>
          <cell r="AE307" t="str">
            <v xml:space="preserve">Raemulan Lands, Inc. </v>
          </cell>
          <cell r="AF307" t="str">
            <v>Estanzia Enclave</v>
          </cell>
          <cell r="AG307" t="str">
            <v>ESE</v>
          </cell>
          <cell r="AH307" t="str">
            <v>Middle Income</v>
          </cell>
          <cell r="AI307" t="str">
            <v>01</v>
          </cell>
          <cell r="AJ307" t="str">
            <v>2024 Batch</v>
          </cell>
          <cell r="AK307">
            <v>80</v>
          </cell>
          <cell r="AL307" t="str">
            <v>PCS-04-032688</v>
          </cell>
          <cell r="AM307" t="b">
            <v>1</v>
          </cell>
          <cell r="AN307" t="str">
            <v xml:space="preserve">Done </v>
          </cell>
          <cell r="AO307">
            <v>39</v>
          </cell>
          <cell r="AP307">
            <v>5</v>
          </cell>
          <cell r="AQ307" t="str">
            <v>H+L</v>
          </cell>
          <cell r="AR307">
            <v>1.0000000000000002</v>
          </cell>
          <cell r="AS307">
            <v>80</v>
          </cell>
          <cell r="AT307">
            <v>55</v>
          </cell>
          <cell r="AU307" t="str">
            <v>SLANT</v>
          </cell>
          <cell r="AV307" t="str">
            <v>SLANT / HORIZON SUN</v>
          </cell>
          <cell r="AW307" t="str">
            <v>DU-EXE</v>
          </cell>
          <cell r="AX307" t="str">
            <v>HORIZON SUN</v>
          </cell>
          <cell r="AY307">
            <v>3600000</v>
          </cell>
          <cell r="AZ307">
            <v>3600000</v>
          </cell>
          <cell r="BA307">
            <v>432000</v>
          </cell>
          <cell r="BB307">
            <v>3168000</v>
          </cell>
          <cell r="BC307">
            <v>0</v>
          </cell>
          <cell r="BD307">
            <v>3168000</v>
          </cell>
        </row>
        <row r="308">
          <cell r="AD308" t="str">
            <v>ESE-01-039-006</v>
          </cell>
          <cell r="AE308" t="str">
            <v xml:space="preserve">Raemulan Lands, Inc. </v>
          </cell>
          <cell r="AF308" t="str">
            <v>Estanzia Enclave</v>
          </cell>
          <cell r="AG308" t="str">
            <v>ESE</v>
          </cell>
          <cell r="AH308" t="str">
            <v>Middle Income</v>
          </cell>
          <cell r="AI308" t="str">
            <v>01</v>
          </cell>
          <cell r="AJ308" t="str">
            <v>2024 Batch</v>
          </cell>
          <cell r="AK308">
            <v>80</v>
          </cell>
          <cell r="AL308" t="str">
            <v>PCS-04-032688</v>
          </cell>
          <cell r="AM308" t="b">
            <v>1</v>
          </cell>
          <cell r="AN308" t="str">
            <v xml:space="preserve">Done </v>
          </cell>
          <cell r="AO308">
            <v>39</v>
          </cell>
          <cell r="AP308">
            <v>6</v>
          </cell>
          <cell r="AQ308" t="str">
            <v>H+L</v>
          </cell>
          <cell r="AR308">
            <v>1.0000000000000002</v>
          </cell>
          <cell r="AS308">
            <v>80</v>
          </cell>
          <cell r="AT308">
            <v>55</v>
          </cell>
          <cell r="AU308" t="str">
            <v>FLAT</v>
          </cell>
          <cell r="AV308" t="str">
            <v>FLAT / HORIZON SUN</v>
          </cell>
          <cell r="AW308" t="str">
            <v>DU-EXE</v>
          </cell>
          <cell r="AX308" t="str">
            <v>HORIZON SUN</v>
          </cell>
          <cell r="AY308">
            <v>3600000</v>
          </cell>
          <cell r="AZ308">
            <v>3600000</v>
          </cell>
          <cell r="BA308">
            <v>432000</v>
          </cell>
          <cell r="BB308">
            <v>3168000</v>
          </cell>
          <cell r="BC308">
            <v>0</v>
          </cell>
          <cell r="BD308">
            <v>3168000</v>
          </cell>
        </row>
        <row r="309">
          <cell r="AD309" t="str">
            <v>ESE-01-039-007</v>
          </cell>
          <cell r="AE309" t="str">
            <v xml:space="preserve">Raemulan Lands, Inc. </v>
          </cell>
          <cell r="AF309" t="str">
            <v>Estanzia Enclave</v>
          </cell>
          <cell r="AG309" t="str">
            <v>ESE</v>
          </cell>
          <cell r="AH309" t="str">
            <v>Middle Income</v>
          </cell>
          <cell r="AI309" t="str">
            <v>01</v>
          </cell>
          <cell r="AJ309" t="str">
            <v>2024 Batch</v>
          </cell>
          <cell r="AK309">
            <v>80</v>
          </cell>
          <cell r="AL309" t="str">
            <v>PCS-04-032688</v>
          </cell>
          <cell r="AM309" t="b">
            <v>1</v>
          </cell>
          <cell r="AN309" t="str">
            <v xml:space="preserve">Done </v>
          </cell>
          <cell r="AO309">
            <v>39</v>
          </cell>
          <cell r="AP309">
            <v>7</v>
          </cell>
          <cell r="AQ309" t="str">
            <v>H+L</v>
          </cell>
          <cell r="AR309">
            <v>1.0000000000000002</v>
          </cell>
          <cell r="AS309">
            <v>80</v>
          </cell>
          <cell r="AT309">
            <v>55</v>
          </cell>
          <cell r="AU309" t="str">
            <v>SLANT</v>
          </cell>
          <cell r="AV309" t="str">
            <v>SLANT / HORIZON SUN</v>
          </cell>
          <cell r="AW309" t="str">
            <v>DU-EXE</v>
          </cell>
          <cell r="AX309" t="str">
            <v>HORIZON SUN</v>
          </cell>
          <cell r="AY309">
            <v>3420000</v>
          </cell>
          <cell r="AZ309">
            <v>3600000</v>
          </cell>
          <cell r="BA309">
            <v>612000</v>
          </cell>
          <cell r="BB309">
            <v>2988000</v>
          </cell>
          <cell r="BC309">
            <v>0</v>
          </cell>
          <cell r="BD309">
            <v>2988000</v>
          </cell>
        </row>
        <row r="310">
          <cell r="AD310" t="str">
            <v>ESE-01-039-008</v>
          </cell>
          <cell r="AE310" t="str">
            <v xml:space="preserve">Raemulan Lands, Inc. </v>
          </cell>
          <cell r="AF310" t="str">
            <v>Estanzia Enclave</v>
          </cell>
          <cell r="AG310" t="str">
            <v>ESE</v>
          </cell>
          <cell r="AH310" t="str">
            <v>Middle Income</v>
          </cell>
          <cell r="AI310" t="str">
            <v>01</v>
          </cell>
          <cell r="AJ310" t="str">
            <v>2024 Batch</v>
          </cell>
          <cell r="AK310">
            <v>80</v>
          </cell>
          <cell r="AL310" t="str">
            <v>PCS-04-032688</v>
          </cell>
          <cell r="AM310" t="b">
            <v>1</v>
          </cell>
          <cell r="AN310" t="str">
            <v xml:space="preserve">Done </v>
          </cell>
          <cell r="AO310">
            <v>39</v>
          </cell>
          <cell r="AP310">
            <v>8</v>
          </cell>
          <cell r="AQ310" t="str">
            <v>H+L</v>
          </cell>
          <cell r="AR310">
            <v>1.0000000000000002</v>
          </cell>
          <cell r="AS310">
            <v>80</v>
          </cell>
          <cell r="AT310">
            <v>55</v>
          </cell>
          <cell r="AU310" t="str">
            <v>FLAT</v>
          </cell>
          <cell r="AV310" t="str">
            <v>FLAT / HORIZON SUN</v>
          </cell>
          <cell r="AW310" t="str">
            <v>DU-EXE</v>
          </cell>
          <cell r="AX310" t="str">
            <v>HORIZON SUN</v>
          </cell>
          <cell r="AY310">
            <v>3600000</v>
          </cell>
          <cell r="AZ310">
            <v>3600000</v>
          </cell>
          <cell r="BA310">
            <v>432000</v>
          </cell>
          <cell r="BB310">
            <v>3168000</v>
          </cell>
          <cell r="BC310">
            <v>0</v>
          </cell>
          <cell r="BD310">
            <v>3168000</v>
          </cell>
        </row>
        <row r="311">
          <cell r="AD311" t="str">
            <v>ESE-01-039-009</v>
          </cell>
          <cell r="AE311" t="str">
            <v xml:space="preserve">Raemulan Lands, Inc. </v>
          </cell>
          <cell r="AF311" t="str">
            <v>Estanzia Enclave</v>
          </cell>
          <cell r="AG311" t="str">
            <v>ESE</v>
          </cell>
          <cell r="AH311" t="str">
            <v>Middle Income</v>
          </cell>
          <cell r="AI311" t="str">
            <v>01</v>
          </cell>
          <cell r="AJ311" t="str">
            <v>Batch 1 2025</v>
          </cell>
          <cell r="AK311">
            <v>80</v>
          </cell>
          <cell r="AL311" t="str">
            <v>PCS-04-032688</v>
          </cell>
          <cell r="AM311" t="b">
            <v>1</v>
          </cell>
          <cell r="AN311" t="str">
            <v xml:space="preserve">Done </v>
          </cell>
          <cell r="AO311">
            <v>39</v>
          </cell>
          <cell r="AP311">
            <v>9</v>
          </cell>
          <cell r="AQ311" t="str">
            <v>H+L</v>
          </cell>
          <cell r="AR311" t="str">
            <v>NA</v>
          </cell>
          <cell r="AS311">
            <v>80</v>
          </cell>
          <cell r="AT311">
            <v>55</v>
          </cell>
          <cell r="AU311" t="str">
            <v>FLAT</v>
          </cell>
          <cell r="AV311" t="str">
            <v>FLAT / BEACHSIDE SUN</v>
          </cell>
          <cell r="AW311" t="str">
            <v>DU-EXE</v>
          </cell>
          <cell r="AX311" t="str">
            <v>BEACHSIDE SUN</v>
          </cell>
          <cell r="AY311">
            <v>3600000</v>
          </cell>
          <cell r="AZ311">
            <v>3600000</v>
          </cell>
          <cell r="BA311">
            <v>432000</v>
          </cell>
          <cell r="BB311">
            <v>3168000</v>
          </cell>
          <cell r="BC311">
            <v>0</v>
          </cell>
          <cell r="BD311">
            <v>3168000</v>
          </cell>
        </row>
        <row r="312">
          <cell r="AD312" t="str">
            <v>ESE-01-039-010</v>
          </cell>
          <cell r="AE312" t="str">
            <v xml:space="preserve">Raemulan Lands, Inc. </v>
          </cell>
          <cell r="AF312" t="str">
            <v>Estanzia Enclave</v>
          </cell>
          <cell r="AG312" t="str">
            <v>ESE</v>
          </cell>
          <cell r="AH312" t="str">
            <v>Middle Income</v>
          </cell>
          <cell r="AI312" t="str">
            <v>01</v>
          </cell>
          <cell r="AJ312" t="str">
            <v>Batch 1 2025</v>
          </cell>
          <cell r="AK312">
            <v>80</v>
          </cell>
          <cell r="AL312" t="str">
            <v>PCS-04-032688</v>
          </cell>
          <cell r="AM312" t="b">
            <v>1</v>
          </cell>
          <cell r="AN312" t="str">
            <v xml:space="preserve">Done </v>
          </cell>
          <cell r="AO312">
            <v>39</v>
          </cell>
          <cell r="AP312">
            <v>10</v>
          </cell>
          <cell r="AQ312" t="str">
            <v>H+L</v>
          </cell>
          <cell r="AR312" t="str">
            <v>NA</v>
          </cell>
          <cell r="AS312">
            <v>80</v>
          </cell>
          <cell r="AT312">
            <v>55</v>
          </cell>
          <cell r="AU312" t="str">
            <v>SLANT</v>
          </cell>
          <cell r="AV312" t="str">
            <v>SLANT / BEACHSIDE SUN</v>
          </cell>
          <cell r="AW312" t="str">
            <v>DU-EXE</v>
          </cell>
          <cell r="AX312" t="str">
            <v>BEACHSIDE SUN</v>
          </cell>
          <cell r="AY312">
            <v>3600000</v>
          </cell>
          <cell r="AZ312">
            <v>3600000</v>
          </cell>
          <cell r="BA312">
            <v>432000</v>
          </cell>
          <cell r="BB312">
            <v>3168000</v>
          </cell>
          <cell r="BC312">
            <v>0</v>
          </cell>
          <cell r="BD312">
            <v>3168000</v>
          </cell>
        </row>
        <row r="313">
          <cell r="AD313" t="str">
            <v>ESE-01-039-011</v>
          </cell>
          <cell r="AE313" t="str">
            <v xml:space="preserve">Raemulan Lands, Inc. </v>
          </cell>
          <cell r="AF313" t="str">
            <v>Estanzia Enclave</v>
          </cell>
          <cell r="AG313" t="str">
            <v>ESE</v>
          </cell>
          <cell r="AH313" t="str">
            <v>Middle Income</v>
          </cell>
          <cell r="AI313" t="str">
            <v>01</v>
          </cell>
          <cell r="AJ313" t="str">
            <v>Batch 1 2025</v>
          </cell>
          <cell r="AK313">
            <v>80</v>
          </cell>
          <cell r="AL313" t="str">
            <v>PCS-04-032688</v>
          </cell>
          <cell r="AM313" t="b">
            <v>1</v>
          </cell>
          <cell r="AN313" t="str">
            <v xml:space="preserve">Done </v>
          </cell>
          <cell r="AO313">
            <v>39</v>
          </cell>
          <cell r="AP313">
            <v>11</v>
          </cell>
          <cell r="AQ313" t="str">
            <v>H+L</v>
          </cell>
          <cell r="AR313" t="str">
            <v>NA</v>
          </cell>
          <cell r="AS313">
            <v>80</v>
          </cell>
          <cell r="AT313">
            <v>55</v>
          </cell>
          <cell r="AU313" t="str">
            <v>FLAT</v>
          </cell>
          <cell r="AV313" t="str">
            <v>FLAT / BEACHSIDE SUN</v>
          </cell>
          <cell r="AW313" t="str">
            <v>DU-EXE</v>
          </cell>
          <cell r="AX313" t="str">
            <v>BEACHSIDE SUN</v>
          </cell>
          <cell r="AY313">
            <v>3600000</v>
          </cell>
          <cell r="AZ313">
            <v>3600000</v>
          </cell>
          <cell r="BA313">
            <v>432000</v>
          </cell>
          <cell r="BB313">
            <v>3168000</v>
          </cell>
          <cell r="BC313">
            <v>0</v>
          </cell>
          <cell r="BD313">
            <v>3168000</v>
          </cell>
        </row>
        <row r="314">
          <cell r="AD314" t="str">
            <v>ESE-01-039-012</v>
          </cell>
          <cell r="AE314" t="str">
            <v xml:space="preserve">Raemulan Lands, Inc. </v>
          </cell>
          <cell r="AF314" t="str">
            <v>Estanzia Enclave</v>
          </cell>
          <cell r="AG314" t="str">
            <v>ESE</v>
          </cell>
          <cell r="AH314" t="str">
            <v>Middle Income</v>
          </cell>
          <cell r="AI314" t="str">
            <v>01</v>
          </cell>
          <cell r="AJ314" t="str">
            <v>Batch 1 2025</v>
          </cell>
          <cell r="AK314">
            <v>80</v>
          </cell>
          <cell r="AL314" t="str">
            <v>PCS-04-032688</v>
          </cell>
          <cell r="AM314" t="b">
            <v>1</v>
          </cell>
          <cell r="AN314" t="str">
            <v xml:space="preserve">Done </v>
          </cell>
          <cell r="AO314">
            <v>39</v>
          </cell>
          <cell r="AP314">
            <v>12</v>
          </cell>
          <cell r="AQ314" t="str">
            <v>H+L</v>
          </cell>
          <cell r="AR314" t="str">
            <v>NA</v>
          </cell>
          <cell r="AS314">
            <v>80</v>
          </cell>
          <cell r="AT314">
            <v>55</v>
          </cell>
          <cell r="AU314" t="str">
            <v>SLANT</v>
          </cell>
          <cell r="AV314" t="str">
            <v>SLANT / BEACHSIDE SUN</v>
          </cell>
          <cell r="AW314" t="str">
            <v>DU-EXE</v>
          </cell>
          <cell r="AX314" t="str">
            <v>BEACHSIDE SUN</v>
          </cell>
          <cell r="AY314">
            <v>3420000</v>
          </cell>
          <cell r="AZ314">
            <v>3600000</v>
          </cell>
          <cell r="BA314">
            <v>612000</v>
          </cell>
          <cell r="BB314">
            <v>2988000</v>
          </cell>
          <cell r="BC314">
            <v>0</v>
          </cell>
          <cell r="BD314">
            <v>2988000</v>
          </cell>
        </row>
        <row r="315">
          <cell r="AD315" t="str">
            <v>ESE-01-039-013</v>
          </cell>
          <cell r="AE315" t="str">
            <v xml:space="preserve">Raemulan Lands, Inc. </v>
          </cell>
          <cell r="AF315" t="str">
            <v>Estanzia Enclave</v>
          </cell>
          <cell r="AG315" t="str">
            <v>ESE</v>
          </cell>
          <cell r="AH315" t="str">
            <v>Middle Income</v>
          </cell>
          <cell r="AI315" t="str">
            <v>01</v>
          </cell>
          <cell r="AJ315" t="str">
            <v>2024 Batch</v>
          </cell>
          <cell r="AK315">
            <v>80</v>
          </cell>
          <cell r="AL315" t="str">
            <v>PCS-04-032688</v>
          </cell>
          <cell r="AM315" t="b">
            <v>1</v>
          </cell>
          <cell r="AN315" t="str">
            <v xml:space="preserve">Done </v>
          </cell>
          <cell r="AO315">
            <v>39</v>
          </cell>
          <cell r="AP315">
            <v>13</v>
          </cell>
          <cell r="AQ315" t="str">
            <v>H+L</v>
          </cell>
          <cell r="AR315">
            <v>1</v>
          </cell>
          <cell r="AS315">
            <v>80</v>
          </cell>
          <cell r="AT315">
            <v>55</v>
          </cell>
          <cell r="AU315" t="str">
            <v>SLANT</v>
          </cell>
          <cell r="AV315" t="str">
            <v>SLANT / HORIZON SUN</v>
          </cell>
          <cell r="AW315" t="str">
            <v>DU-EXE</v>
          </cell>
          <cell r="AX315" t="str">
            <v>HORIZON SUN</v>
          </cell>
          <cell r="AY315">
            <v>3600000</v>
          </cell>
          <cell r="AZ315">
            <v>3600000</v>
          </cell>
          <cell r="BA315">
            <v>432000</v>
          </cell>
          <cell r="BB315">
            <v>3168000</v>
          </cell>
          <cell r="BC315">
            <v>0</v>
          </cell>
          <cell r="BD315">
            <v>3168000</v>
          </cell>
        </row>
        <row r="316">
          <cell r="AD316" t="str">
            <v>ESE-01-039-014</v>
          </cell>
          <cell r="AE316" t="str">
            <v xml:space="preserve">Raemulan Lands, Inc. </v>
          </cell>
          <cell r="AF316" t="str">
            <v>Estanzia Enclave</v>
          </cell>
          <cell r="AG316" t="str">
            <v>ESE</v>
          </cell>
          <cell r="AH316" t="str">
            <v>Middle Income</v>
          </cell>
          <cell r="AI316" t="str">
            <v>01</v>
          </cell>
          <cell r="AJ316" t="str">
            <v>2024 Batch</v>
          </cell>
          <cell r="AK316">
            <v>80</v>
          </cell>
          <cell r="AL316" t="str">
            <v>PCS-04-032688</v>
          </cell>
          <cell r="AM316" t="b">
            <v>1</v>
          </cell>
          <cell r="AN316" t="str">
            <v xml:space="preserve">Done </v>
          </cell>
          <cell r="AO316">
            <v>39</v>
          </cell>
          <cell r="AP316">
            <v>14</v>
          </cell>
          <cell r="AQ316" t="str">
            <v>H+L</v>
          </cell>
          <cell r="AR316">
            <v>1</v>
          </cell>
          <cell r="AS316">
            <v>80</v>
          </cell>
          <cell r="AT316">
            <v>55</v>
          </cell>
          <cell r="AU316" t="str">
            <v>FLAT</v>
          </cell>
          <cell r="AV316" t="str">
            <v>FLAT / HORIZON SUN</v>
          </cell>
          <cell r="AW316" t="str">
            <v>DU-EXE</v>
          </cell>
          <cell r="AX316" t="str">
            <v>HORIZON SUN</v>
          </cell>
          <cell r="AY316">
            <v>3600000</v>
          </cell>
          <cell r="AZ316">
            <v>3600000</v>
          </cell>
          <cell r="BA316">
            <v>432000</v>
          </cell>
          <cell r="BB316">
            <v>3168000</v>
          </cell>
          <cell r="BC316">
            <v>0</v>
          </cell>
          <cell r="BD316">
            <v>3168000</v>
          </cell>
        </row>
        <row r="317">
          <cell r="AD317" t="str">
            <v>ESE-01-039-015</v>
          </cell>
          <cell r="AE317" t="str">
            <v xml:space="preserve">Raemulan Lands, Inc. </v>
          </cell>
          <cell r="AF317" t="str">
            <v>Estanzia Enclave</v>
          </cell>
          <cell r="AG317" t="str">
            <v>ESE</v>
          </cell>
          <cell r="AH317" t="str">
            <v>Middle Income</v>
          </cell>
          <cell r="AI317" t="str">
            <v>01</v>
          </cell>
          <cell r="AJ317" t="str">
            <v>Batch 1 2025</v>
          </cell>
          <cell r="AK317">
            <v>80</v>
          </cell>
          <cell r="AL317" t="str">
            <v>PCS-04-032688</v>
          </cell>
          <cell r="AM317" t="b">
            <v>1</v>
          </cell>
          <cell r="AN317" t="str">
            <v xml:space="preserve">Done </v>
          </cell>
          <cell r="AO317">
            <v>39</v>
          </cell>
          <cell r="AP317">
            <v>15</v>
          </cell>
          <cell r="AQ317" t="str">
            <v>H+L</v>
          </cell>
          <cell r="AR317" t="str">
            <v>NA</v>
          </cell>
          <cell r="AS317">
            <v>80</v>
          </cell>
          <cell r="AT317">
            <v>55</v>
          </cell>
          <cell r="AU317" t="str">
            <v>SLANT</v>
          </cell>
          <cell r="AV317" t="str">
            <v>SLANT / HORIZON SUN</v>
          </cell>
          <cell r="AW317" t="str">
            <v>DU-EXE</v>
          </cell>
          <cell r="AX317" t="str">
            <v>HORIZON SUN</v>
          </cell>
          <cell r="AY317">
            <v>3600000</v>
          </cell>
          <cell r="AZ317">
            <v>3600000</v>
          </cell>
          <cell r="BA317">
            <v>432000</v>
          </cell>
          <cell r="BB317">
            <v>3168000</v>
          </cell>
          <cell r="BC317">
            <v>0</v>
          </cell>
          <cell r="BD317">
            <v>3168000</v>
          </cell>
        </row>
        <row r="318">
          <cell r="AD318" t="str">
            <v>ESE-01-039-016</v>
          </cell>
          <cell r="AE318" t="str">
            <v xml:space="preserve">Raemulan Lands, Inc. </v>
          </cell>
          <cell r="AF318" t="str">
            <v>Estanzia Enclave</v>
          </cell>
          <cell r="AG318" t="str">
            <v>ESE</v>
          </cell>
          <cell r="AH318" t="str">
            <v>Middle Income</v>
          </cell>
          <cell r="AI318" t="str">
            <v>01</v>
          </cell>
          <cell r="AJ318" t="str">
            <v>Batch 1 2025</v>
          </cell>
          <cell r="AK318">
            <v>80</v>
          </cell>
          <cell r="AL318" t="str">
            <v>PCS-04-032688</v>
          </cell>
          <cell r="AM318" t="b">
            <v>1</v>
          </cell>
          <cell r="AN318" t="str">
            <v xml:space="preserve">Done </v>
          </cell>
          <cell r="AO318">
            <v>39</v>
          </cell>
          <cell r="AP318">
            <v>16</v>
          </cell>
          <cell r="AQ318" t="str">
            <v>H+L</v>
          </cell>
          <cell r="AR318" t="str">
            <v>NA</v>
          </cell>
          <cell r="AS318">
            <v>80</v>
          </cell>
          <cell r="AT318">
            <v>55</v>
          </cell>
          <cell r="AU318" t="str">
            <v>FLAT</v>
          </cell>
          <cell r="AV318" t="str">
            <v>FLAT / HORIZON SUN</v>
          </cell>
          <cell r="AW318" t="str">
            <v>DU-EXE</v>
          </cell>
          <cell r="AX318" t="str">
            <v>HORIZON SUN</v>
          </cell>
          <cell r="AY318">
            <v>3600000</v>
          </cell>
          <cell r="AZ318">
            <v>3600000</v>
          </cell>
          <cell r="BA318">
            <v>432000</v>
          </cell>
          <cell r="BB318">
            <v>3168000</v>
          </cell>
          <cell r="BC318">
            <v>0</v>
          </cell>
          <cell r="BD318">
            <v>3168000</v>
          </cell>
        </row>
        <row r="319">
          <cell r="AD319" t="str">
            <v>ESE-01-039-017</v>
          </cell>
          <cell r="AE319" t="str">
            <v xml:space="preserve">Raemulan Lands, Inc. </v>
          </cell>
          <cell r="AF319" t="str">
            <v>Estanzia Enclave</v>
          </cell>
          <cell r="AG319" t="str">
            <v>ESE</v>
          </cell>
          <cell r="AH319" t="str">
            <v>Middle Income</v>
          </cell>
          <cell r="AI319" t="str">
            <v>01</v>
          </cell>
          <cell r="AJ319" t="str">
            <v>2024 Batch</v>
          </cell>
          <cell r="AK319">
            <v>80</v>
          </cell>
          <cell r="AL319" t="str">
            <v>PCS-04-032688</v>
          </cell>
          <cell r="AM319" t="b">
            <v>1</v>
          </cell>
          <cell r="AN319" t="str">
            <v xml:space="preserve">Done </v>
          </cell>
          <cell r="AO319">
            <v>39</v>
          </cell>
          <cell r="AP319">
            <v>17</v>
          </cell>
          <cell r="AQ319" t="str">
            <v>H+L</v>
          </cell>
          <cell r="AR319">
            <v>1.0000000000000002</v>
          </cell>
          <cell r="AS319">
            <v>80</v>
          </cell>
          <cell r="AT319">
            <v>55</v>
          </cell>
          <cell r="AU319" t="str">
            <v>FLAT</v>
          </cell>
          <cell r="AV319" t="str">
            <v>FLAT / BEACHSIDE SUN</v>
          </cell>
          <cell r="AW319" t="str">
            <v>DU-EXE</v>
          </cell>
          <cell r="AX319" t="str">
            <v>BEACHSIDE SUN</v>
          </cell>
          <cell r="AY319">
            <v>3420000</v>
          </cell>
          <cell r="AZ319">
            <v>3600000</v>
          </cell>
          <cell r="BA319">
            <v>612000</v>
          </cell>
          <cell r="BB319">
            <v>2988000</v>
          </cell>
          <cell r="BC319">
            <v>0</v>
          </cell>
          <cell r="BD319">
            <v>2988000</v>
          </cell>
        </row>
        <row r="320">
          <cell r="AD320" t="str">
            <v>ESE-01-039-018</v>
          </cell>
          <cell r="AE320" t="str">
            <v xml:space="preserve">Raemulan Lands, Inc. </v>
          </cell>
          <cell r="AF320" t="str">
            <v>Estanzia Enclave</v>
          </cell>
          <cell r="AG320" t="str">
            <v>ESE</v>
          </cell>
          <cell r="AH320" t="str">
            <v>Middle Income</v>
          </cell>
          <cell r="AI320" t="str">
            <v>01</v>
          </cell>
          <cell r="AJ320" t="str">
            <v>2024 Batch</v>
          </cell>
          <cell r="AK320">
            <v>80</v>
          </cell>
          <cell r="AL320" t="str">
            <v>PCS-04-032688</v>
          </cell>
          <cell r="AM320" t="b">
            <v>1</v>
          </cell>
          <cell r="AN320" t="str">
            <v xml:space="preserve">Done </v>
          </cell>
          <cell r="AO320">
            <v>39</v>
          </cell>
          <cell r="AP320">
            <v>18</v>
          </cell>
          <cell r="AQ320" t="str">
            <v>H+L</v>
          </cell>
          <cell r="AR320">
            <v>1.0000000000000002</v>
          </cell>
          <cell r="AS320">
            <v>80</v>
          </cell>
          <cell r="AT320">
            <v>55</v>
          </cell>
          <cell r="AU320" t="str">
            <v>SLANT</v>
          </cell>
          <cell r="AV320" t="str">
            <v>SLANT / BEACHSIDE SUN</v>
          </cell>
          <cell r="AW320" t="str">
            <v>DU-EXE</v>
          </cell>
          <cell r="AX320" t="str">
            <v>BEACHSIDE SUN</v>
          </cell>
          <cell r="AY320">
            <v>3420000</v>
          </cell>
          <cell r="AZ320">
            <v>3600000</v>
          </cell>
          <cell r="BA320">
            <v>612000</v>
          </cell>
          <cell r="BB320">
            <v>2988000</v>
          </cell>
          <cell r="BC320">
            <v>0</v>
          </cell>
          <cell r="BD320">
            <v>2988000</v>
          </cell>
        </row>
        <row r="321">
          <cell r="AD321" t="str">
            <v>ESE-01-039-019</v>
          </cell>
          <cell r="AE321" t="str">
            <v xml:space="preserve">Raemulan Lands, Inc. </v>
          </cell>
          <cell r="AF321" t="str">
            <v>Estanzia Enclave</v>
          </cell>
          <cell r="AG321" t="str">
            <v>ESE</v>
          </cell>
          <cell r="AH321" t="str">
            <v>Middle Income</v>
          </cell>
          <cell r="AI321" t="str">
            <v>01</v>
          </cell>
          <cell r="AJ321" t="str">
            <v>Batch 1 2025</v>
          </cell>
          <cell r="AK321">
            <v>80</v>
          </cell>
          <cell r="AL321" t="str">
            <v>PCS-04-032688</v>
          </cell>
          <cell r="AM321" t="b">
            <v>1</v>
          </cell>
          <cell r="AN321" t="str">
            <v xml:space="preserve">Done </v>
          </cell>
          <cell r="AO321">
            <v>39</v>
          </cell>
          <cell r="AP321">
            <v>19</v>
          </cell>
          <cell r="AQ321" t="str">
            <v>H+L</v>
          </cell>
          <cell r="AR321" t="str">
            <v>NA</v>
          </cell>
          <cell r="AS321">
            <v>80</v>
          </cell>
          <cell r="AT321">
            <v>55</v>
          </cell>
          <cell r="AU321" t="str">
            <v>FLAT</v>
          </cell>
          <cell r="AV321" t="str">
            <v>FLAT / BEACHSIDE SUN</v>
          </cell>
          <cell r="AW321" t="str">
            <v>DU-EXE</v>
          </cell>
          <cell r="AX321" t="str">
            <v>BEACHSIDE SUN</v>
          </cell>
          <cell r="AY321">
            <v>3600000</v>
          </cell>
          <cell r="AZ321">
            <v>3750000</v>
          </cell>
          <cell r="BA321">
            <v>600000</v>
          </cell>
          <cell r="BB321">
            <v>3150000</v>
          </cell>
          <cell r="BC321">
            <v>0</v>
          </cell>
          <cell r="BD321">
            <v>3150000</v>
          </cell>
        </row>
        <row r="322">
          <cell r="AD322" t="str">
            <v>ESE-01-039-020</v>
          </cell>
          <cell r="AE322" t="str">
            <v xml:space="preserve">Raemulan Lands, Inc. </v>
          </cell>
          <cell r="AF322" t="str">
            <v>Estanzia Enclave</v>
          </cell>
          <cell r="AG322" t="str">
            <v>ESE</v>
          </cell>
          <cell r="AH322" t="str">
            <v>Middle Income</v>
          </cell>
          <cell r="AI322" t="str">
            <v>01</v>
          </cell>
          <cell r="AJ322" t="str">
            <v>Batch 1 2025</v>
          </cell>
          <cell r="AK322">
            <v>90</v>
          </cell>
          <cell r="AL322" t="str">
            <v>PCS-04-032688</v>
          </cell>
          <cell r="AM322" t="b">
            <v>1</v>
          </cell>
          <cell r="AN322" t="str">
            <v xml:space="preserve">Done </v>
          </cell>
          <cell r="AO322">
            <v>39</v>
          </cell>
          <cell r="AP322">
            <v>20</v>
          </cell>
          <cell r="AQ322" t="str">
            <v>H+L</v>
          </cell>
          <cell r="AR322" t="str">
            <v>NA</v>
          </cell>
          <cell r="AS322">
            <v>90</v>
          </cell>
          <cell r="AT322">
            <v>55</v>
          </cell>
          <cell r="AU322" t="str">
            <v>SLANT</v>
          </cell>
          <cell r="AV322" t="str">
            <v>SLANT / BEACHSIDE SUN</v>
          </cell>
          <cell r="AW322" t="str">
            <v>DU-EXE</v>
          </cell>
          <cell r="AX322" t="str">
            <v>BEACHSIDE SUN</v>
          </cell>
          <cell r="AY322">
            <v>3348214.2857142859</v>
          </cell>
          <cell r="AZ322">
            <v>3750000</v>
          </cell>
          <cell r="BA322">
            <v>450000</v>
          </cell>
          <cell r="BB322">
            <v>3300000</v>
          </cell>
          <cell r="BC322">
            <v>401785.71428571426</v>
          </cell>
          <cell r="BD322">
            <v>2898214.2857142859</v>
          </cell>
        </row>
        <row r="323">
          <cell r="AD323" t="str">
            <v>ESE-01-039-021</v>
          </cell>
          <cell r="AE323" t="str">
            <v xml:space="preserve">Raemulan Lands, Inc. </v>
          </cell>
          <cell r="AF323" t="str">
            <v>Estanzia Enclave</v>
          </cell>
          <cell r="AG323" t="str">
            <v>ESE</v>
          </cell>
          <cell r="AH323" t="str">
            <v>Middle Income</v>
          </cell>
          <cell r="AI323" t="str">
            <v>01</v>
          </cell>
          <cell r="AJ323" t="str">
            <v>LOT ONLY</v>
          </cell>
          <cell r="AK323">
            <v>102</v>
          </cell>
          <cell r="AL323" t="str">
            <v>PCS-04-032688</v>
          </cell>
          <cell r="AM323" t="b">
            <v>1</v>
          </cell>
          <cell r="AN323" t="str">
            <v xml:space="preserve">Done </v>
          </cell>
          <cell r="AO323">
            <v>39</v>
          </cell>
          <cell r="AP323">
            <v>21</v>
          </cell>
          <cell r="AQ323" t="str">
            <v>LO</v>
          </cell>
          <cell r="AR323" t="str">
            <v>NA</v>
          </cell>
          <cell r="AS323">
            <v>102</v>
          </cell>
          <cell r="AT323" t="str">
            <v>N/A</v>
          </cell>
          <cell r="AU323" t="str">
            <v>NA</v>
          </cell>
          <cell r="AV323" t="str">
            <v>NA / NA</v>
          </cell>
          <cell r="AW323" t="str">
            <v>LO</v>
          </cell>
          <cell r="AX323" t="str">
            <v>NA</v>
          </cell>
          <cell r="AY323">
            <v>3420000</v>
          </cell>
          <cell r="AZ323">
            <v>1836000</v>
          </cell>
          <cell r="BA323">
            <v>0</v>
          </cell>
          <cell r="BB323">
            <v>1836000</v>
          </cell>
          <cell r="BC323">
            <v>196714.28571428571</v>
          </cell>
          <cell r="BD323">
            <v>1639285.7142857143</v>
          </cell>
        </row>
        <row r="324">
          <cell r="AD324" t="str">
            <v>ESE-01-039-022</v>
          </cell>
          <cell r="AE324" t="str">
            <v xml:space="preserve">Raemulan Lands, Inc. </v>
          </cell>
          <cell r="AF324" t="str">
            <v>Estanzia Enclave</v>
          </cell>
          <cell r="AG324" t="str">
            <v>ESE</v>
          </cell>
          <cell r="AH324" t="str">
            <v>Middle Income</v>
          </cell>
          <cell r="AI324" t="str">
            <v>01</v>
          </cell>
          <cell r="AJ324" t="str">
            <v>Batch 1 2025</v>
          </cell>
          <cell r="AK324">
            <v>87</v>
          </cell>
          <cell r="AL324" t="str">
            <v>PCS-04-032688</v>
          </cell>
          <cell r="AM324" t="b">
            <v>1</v>
          </cell>
          <cell r="AN324" t="str">
            <v xml:space="preserve">Done </v>
          </cell>
          <cell r="AO324">
            <v>39</v>
          </cell>
          <cell r="AP324">
            <v>22</v>
          </cell>
          <cell r="AQ324" t="str">
            <v>H+L</v>
          </cell>
          <cell r="AR324" t="str">
            <v>NA</v>
          </cell>
          <cell r="AS324">
            <v>87</v>
          </cell>
          <cell r="AT324">
            <v>55</v>
          </cell>
          <cell r="AU324" t="str">
            <v>SLANT</v>
          </cell>
          <cell r="AV324" t="str">
            <v>SLANT / HORIZON SUN</v>
          </cell>
          <cell r="AW324" t="str">
            <v>DU-EXE</v>
          </cell>
          <cell r="AX324" t="str">
            <v>HORIZON SUN</v>
          </cell>
          <cell r="AY324">
            <v>3726428.5714285714</v>
          </cell>
          <cell r="AZ324">
            <v>3905000</v>
          </cell>
          <cell r="BA324">
            <v>200000</v>
          </cell>
          <cell r="BB324">
            <v>3705000</v>
          </cell>
          <cell r="BC324">
            <v>396964.28571428574</v>
          </cell>
          <cell r="BD324">
            <v>3308035.7142857141</v>
          </cell>
        </row>
        <row r="325">
          <cell r="AD325" t="str">
            <v>ESE-01-039-023</v>
          </cell>
          <cell r="AE325" t="str">
            <v xml:space="preserve">Raemulan Lands, Inc. </v>
          </cell>
          <cell r="AF325" t="str">
            <v>Estanzia Enclave</v>
          </cell>
          <cell r="AG325" t="str">
            <v>ESE</v>
          </cell>
          <cell r="AH325" t="str">
            <v>Middle Income</v>
          </cell>
          <cell r="AI325" t="str">
            <v>01</v>
          </cell>
          <cell r="AJ325" t="str">
            <v>Batch 1 2025</v>
          </cell>
          <cell r="AK325">
            <v>90</v>
          </cell>
          <cell r="AL325" t="str">
            <v>PCS-04-032688</v>
          </cell>
          <cell r="AM325" t="b">
            <v>1</v>
          </cell>
          <cell r="AN325" t="str">
            <v xml:space="preserve">Done </v>
          </cell>
          <cell r="AO325">
            <v>39</v>
          </cell>
          <cell r="AP325">
            <v>23</v>
          </cell>
          <cell r="AQ325" t="str">
            <v>H+L</v>
          </cell>
          <cell r="AR325" t="str">
            <v>NA</v>
          </cell>
          <cell r="AS325">
            <v>90</v>
          </cell>
          <cell r="AT325">
            <v>55</v>
          </cell>
          <cell r="AU325" t="str">
            <v>FLAT</v>
          </cell>
          <cell r="AV325" t="str">
            <v>FLAT / HORIZON SUN</v>
          </cell>
          <cell r="AW325" t="str">
            <v>DU-EXE</v>
          </cell>
          <cell r="AX325" t="str">
            <v>HORIZON SUN</v>
          </cell>
          <cell r="AY325">
            <v>3600000</v>
          </cell>
          <cell r="AZ325">
            <v>3750000</v>
          </cell>
          <cell r="BA325">
            <v>432000</v>
          </cell>
          <cell r="BB325">
            <v>3318000</v>
          </cell>
          <cell r="BC325">
            <v>0</v>
          </cell>
          <cell r="BD325">
            <v>3318000</v>
          </cell>
        </row>
        <row r="326">
          <cell r="AD326" t="str">
            <v>ESE-01-039-024</v>
          </cell>
          <cell r="AE326" t="str">
            <v xml:space="preserve">Raemulan Lands, Inc. </v>
          </cell>
          <cell r="AF326" t="str">
            <v>Estanzia Enclave</v>
          </cell>
          <cell r="AG326" t="str">
            <v>ESE</v>
          </cell>
          <cell r="AH326" t="str">
            <v>Middle Income</v>
          </cell>
          <cell r="AI326" t="str">
            <v>01</v>
          </cell>
          <cell r="AJ326" t="str">
            <v>Batch 1 2025</v>
          </cell>
          <cell r="AK326">
            <v>80</v>
          </cell>
          <cell r="AL326" t="str">
            <v>PCS-04-032688</v>
          </cell>
          <cell r="AM326" t="b">
            <v>1</v>
          </cell>
          <cell r="AN326" t="str">
            <v xml:space="preserve">Done </v>
          </cell>
          <cell r="AO326">
            <v>39</v>
          </cell>
          <cell r="AP326">
            <v>24</v>
          </cell>
          <cell r="AQ326" t="str">
            <v>H+L</v>
          </cell>
          <cell r="AR326" t="str">
            <v>NA</v>
          </cell>
          <cell r="AS326">
            <v>80</v>
          </cell>
          <cell r="AT326">
            <v>55</v>
          </cell>
          <cell r="AU326" t="str">
            <v>SLANT</v>
          </cell>
          <cell r="AV326" t="str">
            <v>SLANT / HORIZON SUN</v>
          </cell>
          <cell r="AW326" t="str">
            <v>DU-EXE</v>
          </cell>
          <cell r="AX326" t="str">
            <v>HORIZON SUN</v>
          </cell>
          <cell r="AY326">
            <v>3420000</v>
          </cell>
          <cell r="AZ326">
            <v>3600000</v>
          </cell>
          <cell r="BA326">
            <v>0</v>
          </cell>
          <cell r="BB326">
            <v>3600000</v>
          </cell>
          <cell r="BC326">
            <v>0</v>
          </cell>
          <cell r="BD326">
            <v>3600000</v>
          </cell>
        </row>
        <row r="327">
          <cell r="AD327" t="str">
            <v>ESE-01-039-025</v>
          </cell>
          <cell r="AE327" t="str">
            <v xml:space="preserve">Raemulan Lands, Inc. </v>
          </cell>
          <cell r="AF327" t="str">
            <v>Estanzia Enclave</v>
          </cell>
          <cell r="AG327" t="str">
            <v>ESE</v>
          </cell>
          <cell r="AH327" t="str">
            <v>Middle Income</v>
          </cell>
          <cell r="AI327" t="str">
            <v>01</v>
          </cell>
          <cell r="AJ327" t="str">
            <v>Batch 1 2025</v>
          </cell>
          <cell r="AK327">
            <v>80</v>
          </cell>
          <cell r="AL327" t="str">
            <v>PCS-04-032688</v>
          </cell>
          <cell r="AM327" t="b">
            <v>1</v>
          </cell>
          <cell r="AN327" t="str">
            <v xml:space="preserve">Done </v>
          </cell>
          <cell r="AO327">
            <v>39</v>
          </cell>
          <cell r="AP327">
            <v>25</v>
          </cell>
          <cell r="AQ327" t="str">
            <v>H+L</v>
          </cell>
          <cell r="AR327" t="str">
            <v>NA</v>
          </cell>
          <cell r="AS327">
            <v>80</v>
          </cell>
          <cell r="AT327">
            <v>55</v>
          </cell>
          <cell r="AU327" t="str">
            <v>FLAT</v>
          </cell>
          <cell r="AV327" t="str">
            <v>FLAT / HORIZON SUN</v>
          </cell>
          <cell r="AW327" t="str">
            <v>DU-EXE</v>
          </cell>
          <cell r="AX327" t="str">
            <v>HORIZON SUN</v>
          </cell>
          <cell r="AY327">
            <v>3420000</v>
          </cell>
          <cell r="AZ327">
            <v>3600000</v>
          </cell>
          <cell r="BA327">
            <v>0</v>
          </cell>
          <cell r="BB327">
            <v>3600000</v>
          </cell>
          <cell r="BC327">
            <v>0</v>
          </cell>
          <cell r="BD327">
            <v>3600000</v>
          </cell>
        </row>
        <row r="328">
          <cell r="AD328" t="str">
            <v>ESE-01-039-026</v>
          </cell>
          <cell r="AE328" t="str">
            <v xml:space="preserve">Raemulan Lands, Inc. </v>
          </cell>
          <cell r="AF328" t="str">
            <v>Estanzia Enclave</v>
          </cell>
          <cell r="AG328" t="str">
            <v>ESE</v>
          </cell>
          <cell r="AH328" t="str">
            <v>Middle Income</v>
          </cell>
          <cell r="AI328" t="str">
            <v>01</v>
          </cell>
          <cell r="AJ328" t="str">
            <v>2024 Batch</v>
          </cell>
          <cell r="AK328">
            <v>80</v>
          </cell>
          <cell r="AL328" t="str">
            <v>PCS-04-032688</v>
          </cell>
          <cell r="AM328" t="b">
            <v>1</v>
          </cell>
          <cell r="AN328" t="str">
            <v xml:space="preserve">Done </v>
          </cell>
          <cell r="AO328">
            <v>39</v>
          </cell>
          <cell r="AP328">
            <v>26</v>
          </cell>
          <cell r="AQ328" t="str">
            <v>H+L</v>
          </cell>
          <cell r="AR328">
            <v>1.0000000000000002</v>
          </cell>
          <cell r="AS328">
            <v>80</v>
          </cell>
          <cell r="AT328">
            <v>55</v>
          </cell>
          <cell r="AU328" t="str">
            <v>FLAT</v>
          </cell>
          <cell r="AV328" t="str">
            <v>FLAT / BEACHSIDE SUN</v>
          </cell>
          <cell r="AW328" t="str">
            <v>DU-EXE</v>
          </cell>
          <cell r="AX328" t="str">
            <v>BEACHSIDE SUN</v>
          </cell>
          <cell r="AY328">
            <v>3420000</v>
          </cell>
          <cell r="AZ328">
            <v>3600000</v>
          </cell>
          <cell r="BA328">
            <v>612000</v>
          </cell>
          <cell r="BB328">
            <v>2988000</v>
          </cell>
          <cell r="BC328">
            <v>0</v>
          </cell>
          <cell r="BD328">
            <v>2988000</v>
          </cell>
        </row>
        <row r="329">
          <cell r="AD329" t="str">
            <v>ESE-01-039-027</v>
          </cell>
          <cell r="AE329" t="str">
            <v xml:space="preserve">Raemulan Lands, Inc. </v>
          </cell>
          <cell r="AF329" t="str">
            <v>Estanzia Enclave</v>
          </cell>
          <cell r="AG329" t="str">
            <v>ESE</v>
          </cell>
          <cell r="AH329" t="str">
            <v>Middle Income</v>
          </cell>
          <cell r="AI329" t="str">
            <v>01</v>
          </cell>
          <cell r="AJ329" t="str">
            <v>2024 Batch</v>
          </cell>
          <cell r="AK329">
            <v>80</v>
          </cell>
          <cell r="AL329" t="str">
            <v>PCS-04-032688</v>
          </cell>
          <cell r="AM329" t="b">
            <v>1</v>
          </cell>
          <cell r="AN329" t="str">
            <v xml:space="preserve">Done </v>
          </cell>
          <cell r="AO329">
            <v>39</v>
          </cell>
          <cell r="AP329">
            <v>27</v>
          </cell>
          <cell r="AQ329" t="str">
            <v>H+L</v>
          </cell>
          <cell r="AR329">
            <v>1.0000000000000002</v>
          </cell>
          <cell r="AS329">
            <v>80</v>
          </cell>
          <cell r="AT329">
            <v>55</v>
          </cell>
          <cell r="AU329" t="str">
            <v>SLANT</v>
          </cell>
          <cell r="AV329" t="str">
            <v>SLANT / BEACHSIDE SUN</v>
          </cell>
          <cell r="AW329" t="str">
            <v>DU-EXE</v>
          </cell>
          <cell r="AX329" t="str">
            <v>BEACHSIDE SUN</v>
          </cell>
          <cell r="AY329">
            <v>3420000</v>
          </cell>
          <cell r="AZ329">
            <v>3600000</v>
          </cell>
          <cell r="BA329">
            <v>612000</v>
          </cell>
          <cell r="BB329">
            <v>2988000</v>
          </cell>
          <cell r="BC329">
            <v>0</v>
          </cell>
          <cell r="BD329">
            <v>2988000</v>
          </cell>
        </row>
        <row r="330">
          <cell r="AD330" t="str">
            <v>ESE-01-039-028</v>
          </cell>
          <cell r="AE330" t="str">
            <v xml:space="preserve">Raemulan Lands, Inc. </v>
          </cell>
          <cell r="AF330" t="str">
            <v>Estanzia Enclave</v>
          </cell>
          <cell r="AG330" t="str">
            <v>ESE</v>
          </cell>
          <cell r="AH330" t="str">
            <v>Middle Income</v>
          </cell>
          <cell r="AI330" t="str">
            <v>01</v>
          </cell>
          <cell r="AJ330" t="str">
            <v>Batch 1 2025</v>
          </cell>
          <cell r="AK330">
            <v>80</v>
          </cell>
          <cell r="AL330" t="str">
            <v>PCS-04-032688</v>
          </cell>
          <cell r="AM330" t="b">
            <v>1</v>
          </cell>
          <cell r="AN330" t="str">
            <v xml:space="preserve">Done </v>
          </cell>
          <cell r="AO330">
            <v>39</v>
          </cell>
          <cell r="AP330">
            <v>28</v>
          </cell>
          <cell r="AQ330" t="str">
            <v>H+L</v>
          </cell>
          <cell r="AR330" t="str">
            <v>NA</v>
          </cell>
          <cell r="AS330">
            <v>80</v>
          </cell>
          <cell r="AT330">
            <v>55</v>
          </cell>
          <cell r="AU330" t="str">
            <v>FLAT</v>
          </cell>
          <cell r="AV330" t="str">
            <v>FLAT / BEACHSIDE SUN</v>
          </cell>
          <cell r="AW330" t="str">
            <v>DU-EXE</v>
          </cell>
          <cell r="AX330" t="str">
            <v>BEACHSIDE SUN</v>
          </cell>
          <cell r="AY330">
            <v>3600000</v>
          </cell>
          <cell r="AZ330">
            <v>3600000</v>
          </cell>
          <cell r="BA330">
            <v>432000</v>
          </cell>
          <cell r="BB330">
            <v>3168000</v>
          </cell>
          <cell r="BC330">
            <v>0</v>
          </cell>
          <cell r="BD330">
            <v>3168000</v>
          </cell>
        </row>
        <row r="331">
          <cell r="AD331" t="str">
            <v>ESE-01-039-029</v>
          </cell>
          <cell r="AE331" t="str">
            <v xml:space="preserve">Raemulan Lands, Inc. </v>
          </cell>
          <cell r="AF331" t="str">
            <v>Estanzia Enclave</v>
          </cell>
          <cell r="AG331" t="str">
            <v>ESE</v>
          </cell>
          <cell r="AH331" t="str">
            <v>Middle Income</v>
          </cell>
          <cell r="AI331" t="str">
            <v>01</v>
          </cell>
          <cell r="AJ331" t="str">
            <v>Batch 1 2025</v>
          </cell>
          <cell r="AK331">
            <v>80</v>
          </cell>
          <cell r="AL331" t="str">
            <v>PCS-04-032688</v>
          </cell>
          <cell r="AM331" t="b">
            <v>1</v>
          </cell>
          <cell r="AN331" t="str">
            <v xml:space="preserve">Done </v>
          </cell>
          <cell r="AO331">
            <v>39</v>
          </cell>
          <cell r="AP331">
            <v>29</v>
          </cell>
          <cell r="AQ331" t="str">
            <v>H+L</v>
          </cell>
          <cell r="AR331" t="str">
            <v>NA</v>
          </cell>
          <cell r="AS331">
            <v>80</v>
          </cell>
          <cell r="AT331">
            <v>55</v>
          </cell>
          <cell r="AU331" t="str">
            <v>SLANT</v>
          </cell>
          <cell r="AV331" t="str">
            <v>SLANT / BEACHSIDE SUN</v>
          </cell>
          <cell r="AW331" t="str">
            <v>DU-EXE</v>
          </cell>
          <cell r="AX331" t="str">
            <v>BEACHSIDE SUN</v>
          </cell>
          <cell r="AY331">
            <v>3420000</v>
          </cell>
          <cell r="AZ331">
            <v>3600000</v>
          </cell>
          <cell r="BA331">
            <v>612000</v>
          </cell>
          <cell r="BB331">
            <v>2988000</v>
          </cell>
          <cell r="BC331">
            <v>0</v>
          </cell>
          <cell r="BD331">
            <v>2988000</v>
          </cell>
        </row>
        <row r="332">
          <cell r="AD332" t="str">
            <v>ESE-01-039-030</v>
          </cell>
          <cell r="AE332" t="str">
            <v xml:space="preserve">Raemulan Lands, Inc. </v>
          </cell>
          <cell r="AF332" t="str">
            <v>Estanzia Enclave</v>
          </cell>
          <cell r="AG332" t="str">
            <v>ESE</v>
          </cell>
          <cell r="AH332" t="str">
            <v>Middle Income</v>
          </cell>
          <cell r="AI332" t="str">
            <v>01</v>
          </cell>
          <cell r="AJ332" t="str">
            <v>Batch 1 2025</v>
          </cell>
          <cell r="AK332">
            <v>80</v>
          </cell>
          <cell r="AL332" t="str">
            <v>PCS-04-032688</v>
          </cell>
          <cell r="AM332" t="b">
            <v>1</v>
          </cell>
          <cell r="AN332" t="str">
            <v xml:space="preserve">Done </v>
          </cell>
          <cell r="AO332">
            <v>39</v>
          </cell>
          <cell r="AP332">
            <v>30</v>
          </cell>
          <cell r="AQ332" t="str">
            <v>H+L</v>
          </cell>
          <cell r="AR332" t="str">
            <v>NA</v>
          </cell>
          <cell r="AS332">
            <v>80</v>
          </cell>
          <cell r="AT332">
            <v>55</v>
          </cell>
          <cell r="AU332" t="str">
            <v>SLANT</v>
          </cell>
          <cell r="AV332" t="str">
            <v>SLANT / HORIZON SUN</v>
          </cell>
          <cell r="AW332" t="str">
            <v>DU-EXE</v>
          </cell>
          <cell r="AX332" t="str">
            <v>HORIZON SUN</v>
          </cell>
          <cell r="AY332">
            <v>3600000</v>
          </cell>
          <cell r="AZ332">
            <v>3600000</v>
          </cell>
          <cell r="BA332">
            <v>432000</v>
          </cell>
          <cell r="BB332">
            <v>3168000</v>
          </cell>
          <cell r="BC332">
            <v>0</v>
          </cell>
          <cell r="BD332">
            <v>3168000</v>
          </cell>
        </row>
        <row r="333">
          <cell r="AD333" t="str">
            <v>ESE-01-039-031</v>
          </cell>
          <cell r="AE333" t="str">
            <v xml:space="preserve">Raemulan Lands, Inc. </v>
          </cell>
          <cell r="AF333" t="str">
            <v>Estanzia Enclave</v>
          </cell>
          <cell r="AG333" t="str">
            <v>ESE</v>
          </cell>
          <cell r="AH333" t="str">
            <v>Middle Income</v>
          </cell>
          <cell r="AI333" t="str">
            <v>01</v>
          </cell>
          <cell r="AJ333" t="str">
            <v>Batch 1 2025</v>
          </cell>
          <cell r="AK333">
            <v>80</v>
          </cell>
          <cell r="AL333" t="str">
            <v>PCS-04-032688</v>
          </cell>
          <cell r="AM333" t="b">
            <v>1</v>
          </cell>
          <cell r="AN333" t="str">
            <v xml:space="preserve">Done </v>
          </cell>
          <cell r="AO333">
            <v>39</v>
          </cell>
          <cell r="AP333">
            <v>31</v>
          </cell>
          <cell r="AQ333" t="str">
            <v>H+L</v>
          </cell>
          <cell r="AR333" t="str">
            <v>NA</v>
          </cell>
          <cell r="AS333">
            <v>80</v>
          </cell>
          <cell r="AT333">
            <v>55</v>
          </cell>
          <cell r="AU333" t="str">
            <v>FLAT</v>
          </cell>
          <cell r="AV333" t="str">
            <v>FLAT / HORIZON SUN</v>
          </cell>
          <cell r="AW333" t="str">
            <v>DU-EXE</v>
          </cell>
          <cell r="AX333" t="str">
            <v>HORIZON SUN</v>
          </cell>
          <cell r="AY333">
            <v>3600000</v>
          </cell>
          <cell r="AZ333">
            <v>3600000</v>
          </cell>
          <cell r="BA333">
            <v>432000</v>
          </cell>
          <cell r="BB333">
            <v>3168000</v>
          </cell>
          <cell r="BC333">
            <v>0</v>
          </cell>
          <cell r="BD333">
            <v>3168000</v>
          </cell>
        </row>
        <row r="334">
          <cell r="AD334" t="str">
            <v>ESE-01-039-032</v>
          </cell>
          <cell r="AE334" t="str">
            <v xml:space="preserve">Raemulan Lands, Inc. </v>
          </cell>
          <cell r="AF334" t="str">
            <v>Estanzia Enclave</v>
          </cell>
          <cell r="AG334" t="str">
            <v>ESE</v>
          </cell>
          <cell r="AH334" t="str">
            <v>Middle Income</v>
          </cell>
          <cell r="AI334" t="str">
            <v>01</v>
          </cell>
          <cell r="AJ334" t="str">
            <v>Batch 1 2025</v>
          </cell>
          <cell r="AK334">
            <v>80</v>
          </cell>
          <cell r="AL334" t="str">
            <v>PCS-04-032688</v>
          </cell>
          <cell r="AM334" t="b">
            <v>1</v>
          </cell>
          <cell r="AN334" t="str">
            <v xml:space="preserve">Done </v>
          </cell>
          <cell r="AO334">
            <v>39</v>
          </cell>
          <cell r="AP334">
            <v>32</v>
          </cell>
          <cell r="AQ334" t="str">
            <v>H+L</v>
          </cell>
          <cell r="AR334" t="str">
            <v>NA</v>
          </cell>
          <cell r="AS334">
            <v>80</v>
          </cell>
          <cell r="AT334">
            <v>55</v>
          </cell>
          <cell r="AU334" t="str">
            <v>SLANT</v>
          </cell>
          <cell r="AV334" t="str">
            <v>SLANT / HORIZON SUN</v>
          </cell>
          <cell r="AW334" t="str">
            <v>DU-EXE</v>
          </cell>
          <cell r="AX334" t="str">
            <v>HORIZON SUN</v>
          </cell>
          <cell r="AY334">
            <v>3600000</v>
          </cell>
          <cell r="AZ334">
            <v>3600000</v>
          </cell>
          <cell r="BA334">
            <v>432000</v>
          </cell>
          <cell r="BB334">
            <v>3168000</v>
          </cell>
          <cell r="BC334">
            <v>0</v>
          </cell>
          <cell r="BD334">
            <v>3168000</v>
          </cell>
        </row>
        <row r="335">
          <cell r="AD335" t="str">
            <v>ESE-01-039-033</v>
          </cell>
          <cell r="AE335" t="str">
            <v xml:space="preserve">Raemulan Lands, Inc. </v>
          </cell>
          <cell r="AF335" t="str">
            <v>Estanzia Enclave</v>
          </cell>
          <cell r="AG335" t="str">
            <v>ESE</v>
          </cell>
          <cell r="AH335" t="str">
            <v>Middle Income</v>
          </cell>
          <cell r="AI335" t="str">
            <v>01</v>
          </cell>
          <cell r="AJ335" t="str">
            <v>Batch 1 2025</v>
          </cell>
          <cell r="AK335">
            <v>80</v>
          </cell>
          <cell r="AL335" t="str">
            <v>PCS-04-032688</v>
          </cell>
          <cell r="AM335" t="b">
            <v>1</v>
          </cell>
          <cell r="AN335" t="str">
            <v xml:space="preserve">Done </v>
          </cell>
          <cell r="AO335">
            <v>39</v>
          </cell>
          <cell r="AP335">
            <v>33</v>
          </cell>
          <cell r="AQ335" t="str">
            <v>H+L</v>
          </cell>
          <cell r="AR335" t="str">
            <v>NA</v>
          </cell>
          <cell r="AS335">
            <v>80</v>
          </cell>
          <cell r="AT335">
            <v>55</v>
          </cell>
          <cell r="AU335" t="str">
            <v>FLAT</v>
          </cell>
          <cell r="AV335" t="str">
            <v>FLAT / HORIZON SUN</v>
          </cell>
          <cell r="AW335" t="str">
            <v>DU-EXE</v>
          </cell>
          <cell r="AX335" t="str">
            <v>HORIZON SUN</v>
          </cell>
          <cell r="AY335">
            <v>3600000</v>
          </cell>
          <cell r="AZ335">
            <v>3600000</v>
          </cell>
          <cell r="BA335">
            <v>432000</v>
          </cell>
          <cell r="BB335">
            <v>3168000</v>
          </cell>
          <cell r="BC335">
            <v>0</v>
          </cell>
          <cell r="BD335">
            <v>3168000</v>
          </cell>
        </row>
        <row r="336">
          <cell r="AD336" t="str">
            <v>ESE-01-039-034</v>
          </cell>
          <cell r="AE336" t="str">
            <v xml:space="preserve">Raemulan Lands, Inc. </v>
          </cell>
          <cell r="AF336" t="str">
            <v>Estanzia Enclave</v>
          </cell>
          <cell r="AG336" t="str">
            <v>ESE</v>
          </cell>
          <cell r="AH336" t="str">
            <v>Middle Income</v>
          </cell>
          <cell r="AI336" t="str">
            <v>01</v>
          </cell>
          <cell r="AJ336" t="str">
            <v>Batch 1 2025</v>
          </cell>
          <cell r="AK336">
            <v>80</v>
          </cell>
          <cell r="AL336" t="str">
            <v>PCS-04-032688</v>
          </cell>
          <cell r="AM336" t="b">
            <v>1</v>
          </cell>
          <cell r="AN336" t="str">
            <v xml:space="preserve">Done </v>
          </cell>
          <cell r="AO336">
            <v>39</v>
          </cell>
          <cell r="AP336">
            <v>34</v>
          </cell>
          <cell r="AQ336" t="str">
            <v>H+L</v>
          </cell>
          <cell r="AR336" t="str">
            <v>NA</v>
          </cell>
          <cell r="AS336">
            <v>80</v>
          </cell>
          <cell r="AT336">
            <v>55</v>
          </cell>
          <cell r="AU336" t="str">
            <v>FLAT</v>
          </cell>
          <cell r="AV336" t="str">
            <v>FLAT / BEACHSIDE SUN</v>
          </cell>
          <cell r="AW336" t="str">
            <v>DU-EXE</v>
          </cell>
          <cell r="AX336" t="str">
            <v>BEACHSIDE SUN</v>
          </cell>
          <cell r="AY336">
            <v>3600000</v>
          </cell>
          <cell r="AZ336">
            <v>3600000</v>
          </cell>
          <cell r="BA336">
            <v>432000</v>
          </cell>
          <cell r="BB336">
            <v>3168000</v>
          </cell>
          <cell r="BC336">
            <v>0</v>
          </cell>
          <cell r="BD336">
            <v>3168000</v>
          </cell>
        </row>
        <row r="337">
          <cell r="AD337" t="str">
            <v>ESE-01-039-035</v>
          </cell>
          <cell r="AE337" t="str">
            <v xml:space="preserve">Raemulan Lands, Inc. </v>
          </cell>
          <cell r="AF337" t="str">
            <v>Estanzia Enclave</v>
          </cell>
          <cell r="AG337" t="str">
            <v>ESE</v>
          </cell>
          <cell r="AH337" t="str">
            <v>Middle Income</v>
          </cell>
          <cell r="AI337" t="str">
            <v>01</v>
          </cell>
          <cell r="AJ337" t="str">
            <v>Batch 1 2025</v>
          </cell>
          <cell r="AK337">
            <v>80</v>
          </cell>
          <cell r="AL337" t="str">
            <v>PCS-04-032688</v>
          </cell>
          <cell r="AM337" t="b">
            <v>1</v>
          </cell>
          <cell r="AN337" t="str">
            <v xml:space="preserve">Done </v>
          </cell>
          <cell r="AO337">
            <v>39</v>
          </cell>
          <cell r="AP337">
            <v>35</v>
          </cell>
          <cell r="AQ337" t="str">
            <v>H+L</v>
          </cell>
          <cell r="AR337" t="str">
            <v>NA</v>
          </cell>
          <cell r="AS337">
            <v>80</v>
          </cell>
          <cell r="AT337">
            <v>55</v>
          </cell>
          <cell r="AU337" t="str">
            <v>SLANT</v>
          </cell>
          <cell r="AV337" t="str">
            <v>SLANT / BEACHSIDE SUN</v>
          </cell>
          <cell r="AW337" t="str">
            <v>DU-EXE</v>
          </cell>
          <cell r="AX337" t="str">
            <v>BEACHSIDE SUN</v>
          </cell>
          <cell r="AY337">
            <v>3600000</v>
          </cell>
          <cell r="AZ337">
            <v>3600000</v>
          </cell>
          <cell r="BA337">
            <v>432000</v>
          </cell>
          <cell r="BB337">
            <v>3168000</v>
          </cell>
          <cell r="BC337">
            <v>0</v>
          </cell>
          <cell r="BD337">
            <v>3168000</v>
          </cell>
        </row>
        <row r="338">
          <cell r="AD338" t="str">
            <v>ESE-01-039-036</v>
          </cell>
          <cell r="AE338" t="str">
            <v xml:space="preserve">Raemulan Lands, Inc. </v>
          </cell>
          <cell r="AF338" t="str">
            <v>Estanzia Enclave</v>
          </cell>
          <cell r="AG338" t="str">
            <v>ESE</v>
          </cell>
          <cell r="AH338" t="str">
            <v>Middle Income</v>
          </cell>
          <cell r="AI338" t="str">
            <v>01</v>
          </cell>
          <cell r="AJ338" t="str">
            <v>Batch 1 2025</v>
          </cell>
          <cell r="AK338">
            <v>80</v>
          </cell>
          <cell r="AL338" t="str">
            <v>PCS-04-032688</v>
          </cell>
          <cell r="AM338" t="b">
            <v>1</v>
          </cell>
          <cell r="AN338" t="str">
            <v xml:space="preserve">Done </v>
          </cell>
          <cell r="AO338">
            <v>39</v>
          </cell>
          <cell r="AP338">
            <v>36</v>
          </cell>
          <cell r="AQ338" t="str">
            <v>H+L</v>
          </cell>
          <cell r="AR338" t="str">
            <v>NA</v>
          </cell>
          <cell r="AS338">
            <v>80</v>
          </cell>
          <cell r="AT338">
            <v>55</v>
          </cell>
          <cell r="AU338" t="str">
            <v>FLAT</v>
          </cell>
          <cell r="AV338" t="str">
            <v>FLAT / BEACHSIDE SUN</v>
          </cell>
          <cell r="AW338" t="str">
            <v>DU-EXE</v>
          </cell>
          <cell r="AX338" t="str">
            <v>BEACHSIDE SUN</v>
          </cell>
          <cell r="AY338">
            <v>3600000</v>
          </cell>
          <cell r="AZ338">
            <v>3600000</v>
          </cell>
          <cell r="BA338">
            <v>432000</v>
          </cell>
          <cell r="BB338">
            <v>3168000</v>
          </cell>
          <cell r="BC338">
            <v>0</v>
          </cell>
          <cell r="BD338">
            <v>3168000</v>
          </cell>
        </row>
        <row r="339">
          <cell r="AD339" t="str">
            <v>ESE-01-039-037</v>
          </cell>
          <cell r="AE339" t="str">
            <v xml:space="preserve">Raemulan Lands, Inc. </v>
          </cell>
          <cell r="AF339" t="str">
            <v>Estanzia Enclave</v>
          </cell>
          <cell r="AG339" t="str">
            <v>ESE</v>
          </cell>
          <cell r="AH339" t="str">
            <v>Middle Income</v>
          </cell>
          <cell r="AI339" t="str">
            <v>01</v>
          </cell>
          <cell r="AJ339" t="str">
            <v>Batch 1 2025</v>
          </cell>
          <cell r="AK339">
            <v>80</v>
          </cell>
          <cell r="AL339" t="str">
            <v>PCS-04-032688</v>
          </cell>
          <cell r="AM339" t="b">
            <v>1</v>
          </cell>
          <cell r="AN339" t="str">
            <v xml:space="preserve">Done </v>
          </cell>
          <cell r="AO339">
            <v>39</v>
          </cell>
          <cell r="AP339">
            <v>37</v>
          </cell>
          <cell r="AQ339" t="str">
            <v>H+L</v>
          </cell>
          <cell r="AR339" t="str">
            <v>NA</v>
          </cell>
          <cell r="AS339">
            <v>80</v>
          </cell>
          <cell r="AT339">
            <v>55</v>
          </cell>
          <cell r="AU339" t="str">
            <v>SLANT</v>
          </cell>
          <cell r="AV339" t="str">
            <v>SLANT / BEACHSIDE SUN</v>
          </cell>
          <cell r="AW339" t="str">
            <v>DU-EXE</v>
          </cell>
          <cell r="AX339" t="str">
            <v>BEACHSIDE SUN</v>
          </cell>
          <cell r="AY339">
            <v>3600000</v>
          </cell>
          <cell r="AZ339">
            <v>3600000</v>
          </cell>
          <cell r="BA339">
            <v>432000</v>
          </cell>
          <cell r="BB339">
            <v>3168000</v>
          </cell>
          <cell r="BC339">
            <v>0</v>
          </cell>
          <cell r="BD339">
            <v>3168000</v>
          </cell>
        </row>
        <row r="340">
          <cell r="AD340" t="str">
            <v>ESE-01-039-038</v>
          </cell>
          <cell r="AE340" t="str">
            <v xml:space="preserve">Raemulan Lands, Inc. </v>
          </cell>
          <cell r="AF340" t="str">
            <v>Estanzia Enclave</v>
          </cell>
          <cell r="AG340" t="str">
            <v>ESE</v>
          </cell>
          <cell r="AH340" t="str">
            <v>Middle Income</v>
          </cell>
          <cell r="AI340" t="str">
            <v>01</v>
          </cell>
          <cell r="AJ340" t="str">
            <v>2024 Batch</v>
          </cell>
          <cell r="AK340">
            <v>80</v>
          </cell>
          <cell r="AL340" t="str">
            <v>PCS-04-032688</v>
          </cell>
          <cell r="AM340" t="b">
            <v>1</v>
          </cell>
          <cell r="AN340" t="str">
            <v xml:space="preserve">Done </v>
          </cell>
          <cell r="AO340">
            <v>39</v>
          </cell>
          <cell r="AP340">
            <v>38</v>
          </cell>
          <cell r="AQ340" t="str">
            <v>H+L</v>
          </cell>
          <cell r="AR340">
            <v>1.0000000000000002</v>
          </cell>
          <cell r="AS340">
            <v>80</v>
          </cell>
          <cell r="AT340">
            <v>55</v>
          </cell>
          <cell r="AU340" t="str">
            <v>SLANT</v>
          </cell>
          <cell r="AV340" t="str">
            <v>SLANT / HORIZON SUN</v>
          </cell>
          <cell r="AW340" t="str">
            <v>DU-EXE</v>
          </cell>
          <cell r="AX340" t="str">
            <v>HORIZON SUN</v>
          </cell>
          <cell r="AY340">
            <v>3420000</v>
          </cell>
          <cell r="AZ340">
            <v>3600000</v>
          </cell>
          <cell r="BA340">
            <v>612000</v>
          </cell>
          <cell r="BB340">
            <v>2988000</v>
          </cell>
          <cell r="BC340">
            <v>0</v>
          </cell>
          <cell r="BD340">
            <v>2988000</v>
          </cell>
        </row>
        <row r="341">
          <cell r="AD341" t="str">
            <v>ESE-01-039-039</v>
          </cell>
          <cell r="AE341" t="str">
            <v xml:space="preserve">Raemulan Lands, Inc. </v>
          </cell>
          <cell r="AF341" t="str">
            <v>Estanzia Enclave</v>
          </cell>
          <cell r="AG341" t="str">
            <v>ESE</v>
          </cell>
          <cell r="AH341" t="str">
            <v>Middle Income</v>
          </cell>
          <cell r="AI341" t="str">
            <v>01</v>
          </cell>
          <cell r="AJ341" t="str">
            <v>2024 Batch</v>
          </cell>
          <cell r="AK341">
            <v>80</v>
          </cell>
          <cell r="AL341" t="str">
            <v>PCS-04-032688</v>
          </cell>
          <cell r="AM341" t="b">
            <v>1</v>
          </cell>
          <cell r="AN341" t="str">
            <v xml:space="preserve">Done </v>
          </cell>
          <cell r="AO341">
            <v>39</v>
          </cell>
          <cell r="AP341">
            <v>39</v>
          </cell>
          <cell r="AQ341" t="str">
            <v>H+L</v>
          </cell>
          <cell r="AR341">
            <v>1.0000000000000002</v>
          </cell>
          <cell r="AS341">
            <v>80</v>
          </cell>
          <cell r="AT341">
            <v>55</v>
          </cell>
          <cell r="AU341" t="str">
            <v>FLAT</v>
          </cell>
          <cell r="AV341" t="str">
            <v>FLAT / HORIZON SUN</v>
          </cell>
          <cell r="AW341" t="str">
            <v>DU-EXE</v>
          </cell>
          <cell r="AX341" t="str">
            <v>HORIZON SUN</v>
          </cell>
          <cell r="AY341">
            <v>3600000</v>
          </cell>
          <cell r="AZ341">
            <v>3600000</v>
          </cell>
          <cell r="BA341">
            <v>432000</v>
          </cell>
          <cell r="BB341">
            <v>3168000</v>
          </cell>
          <cell r="BC341">
            <v>0</v>
          </cell>
          <cell r="BD341">
            <v>3168000</v>
          </cell>
        </row>
        <row r="342">
          <cell r="AD342" t="str">
            <v>ESE-01-039-040</v>
          </cell>
          <cell r="AE342" t="str">
            <v xml:space="preserve">Raemulan Lands, Inc. </v>
          </cell>
          <cell r="AF342" t="str">
            <v>Estanzia Enclave</v>
          </cell>
          <cell r="AG342" t="str">
            <v>ESE</v>
          </cell>
          <cell r="AH342" t="str">
            <v>Middle Income</v>
          </cell>
          <cell r="AI342" t="str">
            <v>01</v>
          </cell>
          <cell r="AJ342" t="str">
            <v>LOT ONLY</v>
          </cell>
          <cell r="AK342">
            <v>100</v>
          </cell>
          <cell r="AL342" t="str">
            <v>PCS-04-032688</v>
          </cell>
          <cell r="AM342" t="b">
            <v>1</v>
          </cell>
          <cell r="AN342" t="str">
            <v xml:space="preserve">Done </v>
          </cell>
          <cell r="AO342">
            <v>39</v>
          </cell>
          <cell r="AP342">
            <v>40</v>
          </cell>
          <cell r="AQ342" t="str">
            <v>LO</v>
          </cell>
          <cell r="AR342" t="str">
            <v>NA</v>
          </cell>
          <cell r="AS342">
            <v>100</v>
          </cell>
          <cell r="AT342" t="str">
            <v>N/A</v>
          </cell>
          <cell r="AU342" t="str">
            <v>NA</v>
          </cell>
          <cell r="AV342" t="str">
            <v>NA / NA</v>
          </cell>
          <cell r="AW342" t="str">
            <v>LO</v>
          </cell>
          <cell r="AX342" t="str">
            <v>NA</v>
          </cell>
          <cell r="AY342">
            <v>2500000</v>
          </cell>
          <cell r="AZ342">
            <v>1800000</v>
          </cell>
          <cell r="BA342">
            <v>0</v>
          </cell>
          <cell r="BB342">
            <v>1800000</v>
          </cell>
          <cell r="BC342">
            <v>192857.14285714287</v>
          </cell>
          <cell r="BD342">
            <v>1607142.857142857</v>
          </cell>
        </row>
        <row r="343">
          <cell r="AD343" t="str">
            <v>ESE-01-039-041</v>
          </cell>
          <cell r="AE343" t="str">
            <v xml:space="preserve">Raemulan Lands, Inc. </v>
          </cell>
          <cell r="AF343" t="str">
            <v>Estanzia Enclave</v>
          </cell>
          <cell r="AG343" t="str">
            <v>ESE</v>
          </cell>
          <cell r="AH343" t="str">
            <v>Middle Income</v>
          </cell>
          <cell r="AI343" t="str">
            <v>01</v>
          </cell>
          <cell r="AJ343" t="str">
            <v>2024 Batch</v>
          </cell>
          <cell r="AK343">
            <v>90</v>
          </cell>
          <cell r="AL343" t="str">
            <v>PCS-04-032688</v>
          </cell>
          <cell r="AM343" t="b">
            <v>1</v>
          </cell>
          <cell r="AN343" t="str">
            <v xml:space="preserve">Done </v>
          </cell>
          <cell r="AO343">
            <v>39</v>
          </cell>
          <cell r="AP343">
            <v>41</v>
          </cell>
          <cell r="AQ343" t="str">
            <v>H+L</v>
          </cell>
          <cell r="AR343">
            <v>1</v>
          </cell>
          <cell r="AS343">
            <v>90</v>
          </cell>
          <cell r="AT343">
            <v>55</v>
          </cell>
          <cell r="AU343" t="str">
            <v>SLANT</v>
          </cell>
          <cell r="AV343" t="str">
            <v>SLANT / HORIZON SUN</v>
          </cell>
          <cell r="AW343" t="str">
            <v>DU-EXE</v>
          </cell>
          <cell r="AX343" t="str">
            <v>HORIZON SUN</v>
          </cell>
          <cell r="AY343">
            <v>3749999.9999999995</v>
          </cell>
          <cell r="AZ343">
            <v>3750000</v>
          </cell>
          <cell r="BA343">
            <v>0</v>
          </cell>
          <cell r="BB343">
            <v>3750000</v>
          </cell>
          <cell r="BC343">
            <v>401785.71428571426</v>
          </cell>
          <cell r="BD343">
            <v>3348214.2857142859</v>
          </cell>
        </row>
        <row r="344">
          <cell r="AD344" t="str">
            <v>ESE-01-039-049</v>
          </cell>
          <cell r="AE344" t="str">
            <v xml:space="preserve">Raemulan Lands, Inc. </v>
          </cell>
          <cell r="AF344" t="str">
            <v>Estanzia Enclave</v>
          </cell>
          <cell r="AG344" t="str">
            <v>ESE</v>
          </cell>
          <cell r="AH344" t="str">
            <v>Middle Income</v>
          </cell>
          <cell r="AI344" t="str">
            <v>01</v>
          </cell>
          <cell r="AJ344" t="str">
            <v>2024 Batch</v>
          </cell>
          <cell r="AK344">
            <v>97</v>
          </cell>
          <cell r="AL344" t="str">
            <v>PCS-04-032688</v>
          </cell>
          <cell r="AM344" t="b">
            <v>1</v>
          </cell>
          <cell r="AN344" t="str">
            <v xml:space="preserve">Done </v>
          </cell>
          <cell r="AO344">
            <v>39</v>
          </cell>
          <cell r="AP344">
            <v>49</v>
          </cell>
          <cell r="AQ344" t="str">
            <v>H+L</v>
          </cell>
          <cell r="AR344">
            <v>1</v>
          </cell>
          <cell r="AS344">
            <v>97</v>
          </cell>
          <cell r="AT344">
            <v>55</v>
          </cell>
          <cell r="AU344" t="str">
            <v>FLAT</v>
          </cell>
          <cell r="AV344" t="str">
            <v>FLAT / HORIZON SUN</v>
          </cell>
          <cell r="AW344" t="str">
            <v>DU-EXE</v>
          </cell>
          <cell r="AX344" t="str">
            <v>HORIZON SUN</v>
          </cell>
          <cell r="AY344">
            <v>3855357.1428571423</v>
          </cell>
          <cell r="AZ344">
            <v>3855000</v>
          </cell>
          <cell r="BA344">
            <v>0</v>
          </cell>
          <cell r="BB344">
            <v>3855000</v>
          </cell>
          <cell r="BC344">
            <v>413035.71428571426</v>
          </cell>
          <cell r="BD344">
            <v>3441964.2857142859</v>
          </cell>
        </row>
        <row r="345">
          <cell r="AD345" t="str">
            <v>ESE-01-040-001</v>
          </cell>
          <cell r="AE345" t="str">
            <v xml:space="preserve">Raemulan Lands, Inc. </v>
          </cell>
          <cell r="AF345" t="str">
            <v>Estanzia Enclave</v>
          </cell>
          <cell r="AG345" t="str">
            <v>ESE</v>
          </cell>
          <cell r="AH345" t="str">
            <v>Middle Income</v>
          </cell>
          <cell r="AI345" t="str">
            <v>01</v>
          </cell>
          <cell r="AJ345" t="str">
            <v>2024 Batch</v>
          </cell>
          <cell r="AK345">
            <v>126</v>
          </cell>
          <cell r="AL345" t="str">
            <v>PCS-04-032688</v>
          </cell>
          <cell r="AM345" t="b">
            <v>1</v>
          </cell>
          <cell r="AN345" t="str">
            <v xml:space="preserve">Done </v>
          </cell>
          <cell r="AO345">
            <v>40</v>
          </cell>
          <cell r="AP345">
            <v>1</v>
          </cell>
          <cell r="AQ345" t="str">
            <v>H+L</v>
          </cell>
          <cell r="AR345">
            <v>0.97470000000000012</v>
          </cell>
          <cell r="AS345">
            <v>126</v>
          </cell>
          <cell r="AT345">
            <v>55</v>
          </cell>
          <cell r="AU345" t="str">
            <v>FLAT</v>
          </cell>
          <cell r="AV345" t="str">
            <v>FLAT / HORIZON SUN</v>
          </cell>
          <cell r="AW345" t="str">
            <v>DU-EXE</v>
          </cell>
          <cell r="AX345" t="str">
            <v>HORIZON SUN</v>
          </cell>
          <cell r="AY345">
            <v>4200892.8571428573</v>
          </cell>
          <cell r="AZ345">
            <v>4290000</v>
          </cell>
          <cell r="BA345">
            <v>100000</v>
          </cell>
          <cell r="BB345">
            <v>4190000</v>
          </cell>
          <cell r="BC345">
            <v>448928.57142857142</v>
          </cell>
          <cell r="BD345">
            <v>3741071.4285714286</v>
          </cell>
        </row>
        <row r="346">
          <cell r="AD346" t="str">
            <v>ESE-01-040-002</v>
          </cell>
          <cell r="AE346" t="str">
            <v xml:space="preserve">Raemulan Lands, Inc. </v>
          </cell>
          <cell r="AF346" t="str">
            <v>Estanzia Enclave</v>
          </cell>
          <cell r="AG346" t="str">
            <v>ESE</v>
          </cell>
          <cell r="AH346" t="str">
            <v>Middle Income</v>
          </cell>
          <cell r="AI346" t="str">
            <v>01</v>
          </cell>
          <cell r="AJ346" t="str">
            <v>2024 Batch</v>
          </cell>
          <cell r="AK346">
            <v>80</v>
          </cell>
          <cell r="AL346" t="str">
            <v>PCS-04-032688</v>
          </cell>
          <cell r="AM346" t="b">
            <v>1</v>
          </cell>
          <cell r="AN346" t="str">
            <v xml:space="preserve">Done </v>
          </cell>
          <cell r="AO346">
            <v>40</v>
          </cell>
          <cell r="AP346">
            <v>2</v>
          </cell>
          <cell r="AQ346" t="str">
            <v>H+L</v>
          </cell>
          <cell r="AR346">
            <v>1.0000000000000002</v>
          </cell>
          <cell r="AS346">
            <v>80</v>
          </cell>
          <cell r="AT346">
            <v>55</v>
          </cell>
          <cell r="AU346" t="str">
            <v>SLANT</v>
          </cell>
          <cell r="AV346" t="str">
            <v>SLANT / HORIZON SUN</v>
          </cell>
          <cell r="AW346" t="str">
            <v>DU-EXE</v>
          </cell>
          <cell r="AX346" t="str">
            <v>HORIZON SUN</v>
          </cell>
          <cell r="AY346">
            <v>3420000</v>
          </cell>
          <cell r="AZ346">
            <v>3600000</v>
          </cell>
          <cell r="BA346">
            <v>612000</v>
          </cell>
          <cell r="BB346">
            <v>2988000</v>
          </cell>
          <cell r="BC346">
            <v>0</v>
          </cell>
          <cell r="BD346">
            <v>2988000</v>
          </cell>
        </row>
        <row r="347">
          <cell r="AD347" t="str">
            <v>ESE-01-040-003</v>
          </cell>
          <cell r="AE347" t="str">
            <v xml:space="preserve">Raemulan Lands, Inc. </v>
          </cell>
          <cell r="AF347" t="str">
            <v>Estanzia Enclave</v>
          </cell>
          <cell r="AG347" t="str">
            <v>ESE</v>
          </cell>
          <cell r="AH347" t="str">
            <v>Middle Income</v>
          </cell>
          <cell r="AI347" t="str">
            <v>01</v>
          </cell>
          <cell r="AJ347" t="str">
            <v>2024 Batch</v>
          </cell>
          <cell r="AK347">
            <v>80</v>
          </cell>
          <cell r="AL347" t="str">
            <v>PCS-04-032688</v>
          </cell>
          <cell r="AM347" t="b">
            <v>1</v>
          </cell>
          <cell r="AN347" t="str">
            <v xml:space="preserve">Done </v>
          </cell>
          <cell r="AO347">
            <v>40</v>
          </cell>
          <cell r="AP347">
            <v>3</v>
          </cell>
          <cell r="AQ347" t="str">
            <v>H+L</v>
          </cell>
          <cell r="AR347">
            <v>0.94391000000000025</v>
          </cell>
          <cell r="AS347">
            <v>80</v>
          </cell>
          <cell r="AT347">
            <v>55</v>
          </cell>
          <cell r="AU347" t="str">
            <v>FLAT</v>
          </cell>
          <cell r="AV347" t="str">
            <v>FLAT / HORIZON SUN</v>
          </cell>
          <cell r="AW347" t="str">
            <v>DU-EXE</v>
          </cell>
          <cell r="AX347" t="str">
            <v>HORIZON SUN</v>
          </cell>
          <cell r="AY347">
            <v>3600000</v>
          </cell>
          <cell r="AZ347">
            <v>3600000</v>
          </cell>
          <cell r="BA347">
            <v>432000</v>
          </cell>
          <cell r="BB347">
            <v>3168000</v>
          </cell>
          <cell r="BC347">
            <v>0</v>
          </cell>
          <cell r="BD347">
            <v>3168000</v>
          </cell>
        </row>
        <row r="348">
          <cell r="AD348" t="str">
            <v>ESE-01-040-004</v>
          </cell>
          <cell r="AE348" t="str">
            <v xml:space="preserve">Raemulan Lands, Inc. </v>
          </cell>
          <cell r="AF348" t="str">
            <v>Estanzia Enclave</v>
          </cell>
          <cell r="AG348" t="str">
            <v>ESE</v>
          </cell>
          <cell r="AH348" t="str">
            <v>Middle Income</v>
          </cell>
          <cell r="AI348" t="str">
            <v>01</v>
          </cell>
          <cell r="AJ348" t="str">
            <v>2024 Batch</v>
          </cell>
          <cell r="AK348">
            <v>80</v>
          </cell>
          <cell r="AL348" t="str">
            <v>PCS-04-032688</v>
          </cell>
          <cell r="AM348" t="b">
            <v>1</v>
          </cell>
          <cell r="AN348" t="str">
            <v xml:space="preserve">Done </v>
          </cell>
          <cell r="AO348">
            <v>40</v>
          </cell>
          <cell r="AP348">
            <v>4</v>
          </cell>
          <cell r="AQ348" t="str">
            <v>H+L</v>
          </cell>
          <cell r="AR348">
            <v>0.94391000000000025</v>
          </cell>
          <cell r="AS348">
            <v>80</v>
          </cell>
          <cell r="AT348">
            <v>55</v>
          </cell>
          <cell r="AU348" t="str">
            <v>SLANT</v>
          </cell>
          <cell r="AV348" t="str">
            <v>SLANT / HORIZON SUN</v>
          </cell>
          <cell r="AW348" t="str">
            <v>DU-EXE</v>
          </cell>
          <cell r="AX348" t="str">
            <v>HORIZON SUN</v>
          </cell>
          <cell r="AY348">
            <v>3600000</v>
          </cell>
          <cell r="AZ348">
            <v>3600000</v>
          </cell>
          <cell r="BA348">
            <v>432000</v>
          </cell>
          <cell r="BB348">
            <v>3168000</v>
          </cell>
          <cell r="BC348">
            <v>0</v>
          </cell>
          <cell r="BD348">
            <v>3168000</v>
          </cell>
        </row>
        <row r="349">
          <cell r="AD349" t="str">
            <v>ESE-01-040-005</v>
          </cell>
          <cell r="AE349" t="str">
            <v xml:space="preserve">Raemulan Lands, Inc. </v>
          </cell>
          <cell r="AF349" t="str">
            <v>Estanzia Enclave</v>
          </cell>
          <cell r="AG349" t="str">
            <v>ESE</v>
          </cell>
          <cell r="AH349" t="str">
            <v>Middle Income</v>
          </cell>
          <cell r="AI349" t="str">
            <v>01</v>
          </cell>
          <cell r="AJ349" t="str">
            <v>2024 Batch</v>
          </cell>
          <cell r="AK349">
            <v>80</v>
          </cell>
          <cell r="AL349" t="str">
            <v>PCS-04-032688</v>
          </cell>
          <cell r="AM349" t="b">
            <v>1</v>
          </cell>
          <cell r="AN349" t="str">
            <v xml:space="preserve">Done </v>
          </cell>
          <cell r="AO349">
            <v>40</v>
          </cell>
          <cell r="AP349">
            <v>5</v>
          </cell>
          <cell r="AQ349" t="str">
            <v>H+L</v>
          </cell>
          <cell r="AR349">
            <v>1.0000000000000002</v>
          </cell>
          <cell r="AS349">
            <v>80</v>
          </cell>
          <cell r="AT349">
            <v>55</v>
          </cell>
          <cell r="AU349" t="str">
            <v>SLANT</v>
          </cell>
          <cell r="AV349" t="str">
            <v>SLANT / BEACHSIDE SUN</v>
          </cell>
          <cell r="AW349" t="str">
            <v>DU-EXE</v>
          </cell>
          <cell r="AX349" t="str">
            <v>BEACHSIDE SUN</v>
          </cell>
          <cell r="AY349">
            <v>3600000</v>
          </cell>
          <cell r="AZ349">
            <v>3600000</v>
          </cell>
          <cell r="BA349">
            <v>432000</v>
          </cell>
          <cell r="BB349">
            <v>3168000</v>
          </cell>
          <cell r="BC349">
            <v>0</v>
          </cell>
          <cell r="BD349">
            <v>3168000</v>
          </cell>
        </row>
        <row r="350">
          <cell r="AD350" t="str">
            <v>ESE-01-040-006</v>
          </cell>
          <cell r="AE350" t="str">
            <v xml:space="preserve">Raemulan Lands, Inc. </v>
          </cell>
          <cell r="AF350" t="str">
            <v>Estanzia Enclave</v>
          </cell>
          <cell r="AG350" t="str">
            <v>ESE</v>
          </cell>
          <cell r="AH350" t="str">
            <v>Middle Income</v>
          </cell>
          <cell r="AI350" t="str">
            <v>01</v>
          </cell>
          <cell r="AJ350" t="str">
            <v>2024 Batch</v>
          </cell>
          <cell r="AK350">
            <v>80</v>
          </cell>
          <cell r="AL350" t="str">
            <v>PCS-04-032688</v>
          </cell>
          <cell r="AM350" t="b">
            <v>1</v>
          </cell>
          <cell r="AN350" t="str">
            <v xml:space="preserve">Done </v>
          </cell>
          <cell r="AO350">
            <v>40</v>
          </cell>
          <cell r="AP350">
            <v>6</v>
          </cell>
          <cell r="AQ350" t="str">
            <v>H+L</v>
          </cell>
          <cell r="AR350">
            <v>1.0000000000000002</v>
          </cell>
          <cell r="AS350">
            <v>80</v>
          </cell>
          <cell r="AT350">
            <v>55</v>
          </cell>
          <cell r="AU350" t="str">
            <v>FLAT</v>
          </cell>
          <cell r="AV350" t="str">
            <v>FLAT / BEACHSIDE SUN</v>
          </cell>
          <cell r="AW350" t="str">
            <v>DU-EXE</v>
          </cell>
          <cell r="AX350" t="str">
            <v>BEACHSIDE SUN</v>
          </cell>
          <cell r="AY350">
            <v>3420000</v>
          </cell>
          <cell r="AZ350">
            <v>3600000</v>
          </cell>
          <cell r="BA350">
            <v>612000</v>
          </cell>
          <cell r="BB350">
            <v>2988000</v>
          </cell>
          <cell r="BC350">
            <v>0</v>
          </cell>
          <cell r="BD350">
            <v>2988000</v>
          </cell>
        </row>
        <row r="351">
          <cell r="AD351" t="str">
            <v>ESE-01-040-007</v>
          </cell>
          <cell r="AE351" t="str">
            <v xml:space="preserve">Raemulan Lands, Inc. </v>
          </cell>
          <cell r="AF351" t="str">
            <v>Estanzia Enclave</v>
          </cell>
          <cell r="AG351" t="str">
            <v>ESE</v>
          </cell>
          <cell r="AH351" t="str">
            <v>Middle Income</v>
          </cell>
          <cell r="AI351" t="str">
            <v>01</v>
          </cell>
          <cell r="AJ351" t="str">
            <v>2024 Batch</v>
          </cell>
          <cell r="AK351">
            <v>80</v>
          </cell>
          <cell r="AL351" t="str">
            <v>PCS-04-032688</v>
          </cell>
          <cell r="AM351" t="b">
            <v>1</v>
          </cell>
          <cell r="AN351" t="str">
            <v xml:space="preserve">Done </v>
          </cell>
          <cell r="AO351">
            <v>40</v>
          </cell>
          <cell r="AP351">
            <v>7</v>
          </cell>
          <cell r="AQ351" t="str">
            <v>H+L</v>
          </cell>
          <cell r="AR351">
            <v>1.0000000000000002</v>
          </cell>
          <cell r="AS351">
            <v>80</v>
          </cell>
          <cell r="AT351">
            <v>55</v>
          </cell>
          <cell r="AU351" t="str">
            <v>SLANT</v>
          </cell>
          <cell r="AV351" t="str">
            <v>SLANT / BEACHSIDE SUN</v>
          </cell>
          <cell r="AW351" t="str">
            <v>DU-EXE</v>
          </cell>
          <cell r="AX351" t="str">
            <v>BEACHSIDE SUN</v>
          </cell>
          <cell r="AY351">
            <v>3600000</v>
          </cell>
          <cell r="AZ351">
            <v>3600000</v>
          </cell>
          <cell r="BA351">
            <v>432000</v>
          </cell>
          <cell r="BB351">
            <v>3168000</v>
          </cell>
          <cell r="BC351">
            <v>0</v>
          </cell>
          <cell r="BD351">
            <v>3168000</v>
          </cell>
        </row>
        <row r="352">
          <cell r="AD352" t="str">
            <v>ESE-01-040-008</v>
          </cell>
          <cell r="AE352" t="str">
            <v xml:space="preserve">Raemulan Lands, Inc. </v>
          </cell>
          <cell r="AF352" t="str">
            <v>Estanzia Enclave</v>
          </cell>
          <cell r="AG352" t="str">
            <v>ESE</v>
          </cell>
          <cell r="AH352" t="str">
            <v>Middle Income</v>
          </cell>
          <cell r="AI352" t="str">
            <v>01</v>
          </cell>
          <cell r="AJ352" t="str">
            <v>2024 Batch</v>
          </cell>
          <cell r="AK352">
            <v>80</v>
          </cell>
          <cell r="AL352" t="str">
            <v>PCS-04-032688</v>
          </cell>
          <cell r="AM352" t="b">
            <v>1</v>
          </cell>
          <cell r="AN352" t="str">
            <v xml:space="preserve">Done </v>
          </cell>
          <cell r="AO352">
            <v>40</v>
          </cell>
          <cell r="AP352">
            <v>8</v>
          </cell>
          <cell r="AQ352" t="str">
            <v>H+L</v>
          </cell>
          <cell r="AR352">
            <v>1.0000000000000002</v>
          </cell>
          <cell r="AS352">
            <v>80</v>
          </cell>
          <cell r="AT352">
            <v>55</v>
          </cell>
          <cell r="AU352" t="str">
            <v>FLAT</v>
          </cell>
          <cell r="AV352" t="str">
            <v>FLAT / BEACHSIDE SUN</v>
          </cell>
          <cell r="AW352" t="str">
            <v>DU-EXE</v>
          </cell>
          <cell r="AX352" t="str">
            <v>BEACHSIDE SUN</v>
          </cell>
          <cell r="AY352">
            <v>3600000</v>
          </cell>
          <cell r="AZ352">
            <v>3600000</v>
          </cell>
          <cell r="BA352">
            <v>432000</v>
          </cell>
          <cell r="BB352">
            <v>3168000</v>
          </cell>
          <cell r="BC352">
            <v>0</v>
          </cell>
          <cell r="BD352">
            <v>3168000</v>
          </cell>
        </row>
        <row r="353">
          <cell r="AD353" t="str">
            <v>ESE-01-040-009</v>
          </cell>
          <cell r="AE353" t="str">
            <v xml:space="preserve">Raemulan Lands, Inc. </v>
          </cell>
          <cell r="AF353" t="str">
            <v>Estanzia Enclave</v>
          </cell>
          <cell r="AG353" t="str">
            <v>ESE</v>
          </cell>
          <cell r="AH353" t="str">
            <v>Middle Income</v>
          </cell>
          <cell r="AI353" t="str">
            <v>01</v>
          </cell>
          <cell r="AJ353" t="str">
            <v>2024 Batch</v>
          </cell>
          <cell r="AK353">
            <v>80</v>
          </cell>
          <cell r="AL353" t="str">
            <v>PCS-04-032688</v>
          </cell>
          <cell r="AM353" t="b">
            <v>1</v>
          </cell>
          <cell r="AN353" t="str">
            <v xml:space="preserve">Done </v>
          </cell>
          <cell r="AO353">
            <v>40</v>
          </cell>
          <cell r="AP353">
            <v>9</v>
          </cell>
          <cell r="AQ353" t="str">
            <v>H+L</v>
          </cell>
          <cell r="AR353">
            <v>1.0000000000000002</v>
          </cell>
          <cell r="AS353">
            <v>80</v>
          </cell>
          <cell r="AT353">
            <v>55</v>
          </cell>
          <cell r="AU353" t="str">
            <v>FLAT</v>
          </cell>
          <cell r="AV353" t="str">
            <v>FLAT / HORIZON SUN</v>
          </cell>
          <cell r="AW353" t="str">
            <v>DU-EXE</v>
          </cell>
          <cell r="AX353" t="str">
            <v>HORIZON SUN</v>
          </cell>
          <cell r="AY353">
            <v>3600000</v>
          </cell>
          <cell r="AZ353">
            <v>3600000</v>
          </cell>
          <cell r="BA353">
            <v>432000</v>
          </cell>
          <cell r="BB353">
            <v>3168000</v>
          </cell>
          <cell r="BC353">
            <v>0</v>
          </cell>
          <cell r="BD353">
            <v>3168000</v>
          </cell>
        </row>
        <row r="354">
          <cell r="AD354" t="str">
            <v>ESE-01-040-010</v>
          </cell>
          <cell r="AE354" t="str">
            <v xml:space="preserve">Raemulan Lands, Inc. </v>
          </cell>
          <cell r="AF354" t="str">
            <v>Estanzia Enclave</v>
          </cell>
          <cell r="AG354" t="str">
            <v>ESE</v>
          </cell>
          <cell r="AH354" t="str">
            <v>Middle Income</v>
          </cell>
          <cell r="AI354" t="str">
            <v>01</v>
          </cell>
          <cell r="AJ354" t="str">
            <v>2024 Batch</v>
          </cell>
          <cell r="AK354">
            <v>80</v>
          </cell>
          <cell r="AL354" t="str">
            <v>PCS-04-032688</v>
          </cell>
          <cell r="AM354" t="b">
            <v>1</v>
          </cell>
          <cell r="AN354" t="str">
            <v xml:space="preserve">Done </v>
          </cell>
          <cell r="AO354">
            <v>40</v>
          </cell>
          <cell r="AP354">
            <v>10</v>
          </cell>
          <cell r="AQ354" t="str">
            <v>H+L</v>
          </cell>
          <cell r="AR354">
            <v>1.0000000000000002</v>
          </cell>
          <cell r="AS354">
            <v>80</v>
          </cell>
          <cell r="AT354">
            <v>55</v>
          </cell>
          <cell r="AU354" t="str">
            <v>SLANT</v>
          </cell>
          <cell r="AV354" t="str">
            <v>SLANT / HORIZON SUN</v>
          </cell>
          <cell r="AW354" t="str">
            <v>DU-EXE</v>
          </cell>
          <cell r="AX354" t="str">
            <v>HORIZON SUN</v>
          </cell>
          <cell r="AY354">
            <v>3600000</v>
          </cell>
          <cell r="AZ354">
            <v>3600000</v>
          </cell>
          <cell r="BA354">
            <v>432000</v>
          </cell>
          <cell r="BB354">
            <v>3168000</v>
          </cell>
          <cell r="BC354">
            <v>0</v>
          </cell>
          <cell r="BD354">
            <v>3168000</v>
          </cell>
        </row>
        <row r="355">
          <cell r="AD355" t="str">
            <v>ESE-01-040-011</v>
          </cell>
          <cell r="AE355" t="str">
            <v xml:space="preserve">Raemulan Lands, Inc. </v>
          </cell>
          <cell r="AF355" t="str">
            <v>Estanzia Enclave</v>
          </cell>
          <cell r="AG355" t="str">
            <v>ESE</v>
          </cell>
          <cell r="AH355" t="str">
            <v>Middle Income</v>
          </cell>
          <cell r="AI355" t="str">
            <v>01</v>
          </cell>
          <cell r="AJ355" t="str">
            <v>2024 Batch</v>
          </cell>
          <cell r="AK355">
            <v>80</v>
          </cell>
          <cell r="AL355" t="str">
            <v>PCS-04-032688</v>
          </cell>
          <cell r="AM355" t="b">
            <v>1</v>
          </cell>
          <cell r="AN355" t="str">
            <v xml:space="preserve">Done </v>
          </cell>
          <cell r="AO355">
            <v>40</v>
          </cell>
          <cell r="AP355">
            <v>11</v>
          </cell>
          <cell r="AQ355" t="str">
            <v>H+L</v>
          </cell>
          <cell r="AR355">
            <v>1.0000000000000002</v>
          </cell>
          <cell r="AS355">
            <v>80</v>
          </cell>
          <cell r="AT355">
            <v>55</v>
          </cell>
          <cell r="AU355" t="str">
            <v>FLAT</v>
          </cell>
          <cell r="AV355" t="str">
            <v>FLAT / HORIZON SUN</v>
          </cell>
          <cell r="AW355" t="str">
            <v>DU-EXE</v>
          </cell>
          <cell r="AX355" t="str">
            <v>HORIZON SUN</v>
          </cell>
          <cell r="AY355">
            <v>3600000</v>
          </cell>
          <cell r="AZ355">
            <v>3600000</v>
          </cell>
          <cell r="BA355">
            <v>432000</v>
          </cell>
          <cell r="BB355">
            <v>3168000</v>
          </cell>
          <cell r="BC355">
            <v>0</v>
          </cell>
          <cell r="BD355">
            <v>3168000</v>
          </cell>
        </row>
        <row r="356">
          <cell r="AD356" t="str">
            <v>ESE-01-040-012</v>
          </cell>
          <cell r="AE356" t="str">
            <v xml:space="preserve">Raemulan Lands, Inc. </v>
          </cell>
          <cell r="AF356" t="str">
            <v>Estanzia Enclave</v>
          </cell>
          <cell r="AG356" t="str">
            <v>ESE</v>
          </cell>
          <cell r="AH356" t="str">
            <v>Middle Income</v>
          </cell>
          <cell r="AI356" t="str">
            <v>01</v>
          </cell>
          <cell r="AJ356" t="str">
            <v>2024 Batch</v>
          </cell>
          <cell r="AK356">
            <v>80</v>
          </cell>
          <cell r="AL356" t="str">
            <v>PCS-04-032688</v>
          </cell>
          <cell r="AM356" t="b">
            <v>1</v>
          </cell>
          <cell r="AN356" t="str">
            <v xml:space="preserve">Done </v>
          </cell>
          <cell r="AO356">
            <v>40</v>
          </cell>
          <cell r="AP356">
            <v>12</v>
          </cell>
          <cell r="AQ356" t="str">
            <v>H+L</v>
          </cell>
          <cell r="AR356">
            <v>1.0000000000000002</v>
          </cell>
          <cell r="AS356">
            <v>80</v>
          </cell>
          <cell r="AT356">
            <v>55</v>
          </cell>
          <cell r="AU356" t="str">
            <v>SLANT</v>
          </cell>
          <cell r="AV356" t="str">
            <v>SLANT / HORIZON SUN</v>
          </cell>
          <cell r="AW356" t="str">
            <v>DU-EXE</v>
          </cell>
          <cell r="AX356" t="str">
            <v>HORIZON SUN</v>
          </cell>
          <cell r="AY356">
            <v>3420000</v>
          </cell>
          <cell r="AZ356">
            <v>3600000</v>
          </cell>
          <cell r="BA356">
            <v>612000</v>
          </cell>
          <cell r="BB356">
            <v>2988000</v>
          </cell>
          <cell r="BC356">
            <v>0</v>
          </cell>
          <cell r="BD356">
            <v>2988000</v>
          </cell>
        </row>
        <row r="357">
          <cell r="AD357" t="str">
            <v>ESE-01-040-013</v>
          </cell>
          <cell r="AE357" t="str">
            <v xml:space="preserve">Raemulan Lands, Inc. </v>
          </cell>
          <cell r="AF357" t="str">
            <v>Estanzia Enclave</v>
          </cell>
          <cell r="AG357" t="str">
            <v>ESE</v>
          </cell>
          <cell r="AH357" t="str">
            <v>Middle Income</v>
          </cell>
          <cell r="AI357" t="str">
            <v>01</v>
          </cell>
          <cell r="AJ357" t="str">
            <v>2024 Batch</v>
          </cell>
          <cell r="AK357">
            <v>80</v>
          </cell>
          <cell r="AL357" t="str">
            <v>PCS-04-032688</v>
          </cell>
          <cell r="AM357" t="b">
            <v>1</v>
          </cell>
          <cell r="AN357" t="str">
            <v xml:space="preserve">Done </v>
          </cell>
          <cell r="AO357">
            <v>40</v>
          </cell>
          <cell r="AP357">
            <v>13</v>
          </cell>
          <cell r="AQ357" t="str">
            <v>H+L</v>
          </cell>
          <cell r="AR357">
            <v>1.0000000000000002</v>
          </cell>
          <cell r="AS357">
            <v>80</v>
          </cell>
          <cell r="AT357">
            <v>55</v>
          </cell>
          <cell r="AU357" t="str">
            <v>SLANT</v>
          </cell>
          <cell r="AV357" t="str">
            <v>SLANT / BEACHSIDE SUN</v>
          </cell>
          <cell r="AW357" t="str">
            <v>DU-EXE</v>
          </cell>
          <cell r="AX357" t="str">
            <v>BEACHSIDE SUN</v>
          </cell>
          <cell r="AY357">
            <v>3600000</v>
          </cell>
          <cell r="AZ357">
            <v>3600000</v>
          </cell>
          <cell r="BA357">
            <v>432000</v>
          </cell>
          <cell r="BB357">
            <v>3168000</v>
          </cell>
          <cell r="BC357">
            <v>0</v>
          </cell>
          <cell r="BD357">
            <v>3168000</v>
          </cell>
        </row>
        <row r="358">
          <cell r="AD358" t="str">
            <v>ESE-01-040-014</v>
          </cell>
          <cell r="AE358" t="str">
            <v xml:space="preserve">Raemulan Lands, Inc. </v>
          </cell>
          <cell r="AF358" t="str">
            <v>Estanzia Enclave</v>
          </cell>
          <cell r="AG358" t="str">
            <v>ESE</v>
          </cell>
          <cell r="AH358" t="str">
            <v>Middle Income</v>
          </cell>
          <cell r="AI358" t="str">
            <v>01</v>
          </cell>
          <cell r="AJ358" t="str">
            <v>2024 Batch</v>
          </cell>
          <cell r="AK358">
            <v>80</v>
          </cell>
          <cell r="AL358" t="str">
            <v>PCS-04-032688</v>
          </cell>
          <cell r="AM358" t="b">
            <v>1</v>
          </cell>
          <cell r="AN358" t="str">
            <v xml:space="preserve">Done </v>
          </cell>
          <cell r="AO358">
            <v>40</v>
          </cell>
          <cell r="AP358">
            <v>14</v>
          </cell>
          <cell r="AQ358" t="str">
            <v>H+L</v>
          </cell>
          <cell r="AR358">
            <v>1.0000000000000002</v>
          </cell>
          <cell r="AS358">
            <v>80</v>
          </cell>
          <cell r="AT358">
            <v>55</v>
          </cell>
          <cell r="AU358" t="str">
            <v>FLAT</v>
          </cell>
          <cell r="AV358" t="str">
            <v>FLAT / BEACHSIDE SUN</v>
          </cell>
          <cell r="AW358" t="str">
            <v>DU-EXE</v>
          </cell>
          <cell r="AX358" t="str">
            <v>BEACHSIDE SUN</v>
          </cell>
          <cell r="AY358">
            <v>3600000</v>
          </cell>
          <cell r="AZ358">
            <v>3600000</v>
          </cell>
          <cell r="BA358">
            <v>432000</v>
          </cell>
          <cell r="BB358">
            <v>3168000</v>
          </cell>
          <cell r="BC358">
            <v>0</v>
          </cell>
          <cell r="BD358">
            <v>3168000</v>
          </cell>
        </row>
        <row r="359">
          <cell r="AD359" t="str">
            <v>ESE-01-040-015</v>
          </cell>
          <cell r="AE359" t="str">
            <v xml:space="preserve">Raemulan Lands, Inc. </v>
          </cell>
          <cell r="AF359" t="str">
            <v>Estanzia Enclave</v>
          </cell>
          <cell r="AG359" t="str">
            <v>ESE</v>
          </cell>
          <cell r="AH359" t="str">
            <v>Middle Income</v>
          </cell>
          <cell r="AI359" t="str">
            <v>01</v>
          </cell>
          <cell r="AJ359" t="str">
            <v>2024 Batch</v>
          </cell>
          <cell r="AK359">
            <v>80</v>
          </cell>
          <cell r="AL359" t="str">
            <v>PCS-04-032688</v>
          </cell>
          <cell r="AM359" t="b">
            <v>1</v>
          </cell>
          <cell r="AN359" t="str">
            <v xml:space="preserve">Done </v>
          </cell>
          <cell r="AO359">
            <v>40</v>
          </cell>
          <cell r="AP359">
            <v>15</v>
          </cell>
          <cell r="AQ359" t="str">
            <v>H+L</v>
          </cell>
          <cell r="AR359">
            <v>1.0000000000000002</v>
          </cell>
          <cell r="AS359">
            <v>80</v>
          </cell>
          <cell r="AT359">
            <v>55</v>
          </cell>
          <cell r="AU359" t="str">
            <v>SLANT</v>
          </cell>
          <cell r="AV359" t="str">
            <v>SLANT / BEACHSIDE SUN</v>
          </cell>
          <cell r="AW359" t="str">
            <v>DU-EXE</v>
          </cell>
          <cell r="AX359" t="str">
            <v>BEACHSIDE SUN</v>
          </cell>
          <cell r="AY359">
            <v>3420000</v>
          </cell>
          <cell r="AZ359">
            <v>3600000</v>
          </cell>
          <cell r="BA359">
            <v>612000</v>
          </cell>
          <cell r="BB359">
            <v>2988000</v>
          </cell>
          <cell r="BC359">
            <v>0</v>
          </cell>
          <cell r="BD359">
            <v>2988000</v>
          </cell>
        </row>
        <row r="360">
          <cell r="AD360" t="str">
            <v>ESE-01-040-016</v>
          </cell>
          <cell r="AE360" t="str">
            <v xml:space="preserve">Raemulan Lands, Inc. </v>
          </cell>
          <cell r="AF360" t="str">
            <v>Estanzia Enclave</v>
          </cell>
          <cell r="AG360" t="str">
            <v>ESE</v>
          </cell>
          <cell r="AH360" t="str">
            <v>Middle Income</v>
          </cell>
          <cell r="AI360" t="str">
            <v>01</v>
          </cell>
          <cell r="AJ360" t="str">
            <v>2024 Batch</v>
          </cell>
          <cell r="AK360">
            <v>80</v>
          </cell>
          <cell r="AL360" t="str">
            <v>PCS-04-032688</v>
          </cell>
          <cell r="AM360" t="b">
            <v>1</v>
          </cell>
          <cell r="AN360" t="str">
            <v xml:space="preserve">Done </v>
          </cell>
          <cell r="AO360">
            <v>40</v>
          </cell>
          <cell r="AP360">
            <v>16</v>
          </cell>
          <cell r="AQ360" t="str">
            <v>H+L</v>
          </cell>
          <cell r="AR360">
            <v>1.0000000000000002</v>
          </cell>
          <cell r="AS360">
            <v>80</v>
          </cell>
          <cell r="AT360">
            <v>55</v>
          </cell>
          <cell r="AU360" t="str">
            <v>FLAT</v>
          </cell>
          <cell r="AV360" t="str">
            <v>FLAT / BEACHSIDE SUN</v>
          </cell>
          <cell r="AW360" t="str">
            <v>DU-EXE</v>
          </cell>
          <cell r="AX360" t="str">
            <v>BEACHSIDE SUN</v>
          </cell>
          <cell r="AY360">
            <v>3600000</v>
          </cell>
          <cell r="AZ360">
            <v>3600000</v>
          </cell>
          <cell r="BA360">
            <v>432000</v>
          </cell>
          <cell r="BB360">
            <v>3168000</v>
          </cell>
          <cell r="BC360">
            <v>0</v>
          </cell>
          <cell r="BD360">
            <v>3168000</v>
          </cell>
        </row>
        <row r="361">
          <cell r="AD361" t="str">
            <v>ESE-01-040-017</v>
          </cell>
          <cell r="AE361" t="str">
            <v xml:space="preserve">Raemulan Lands, Inc. </v>
          </cell>
          <cell r="AF361" t="str">
            <v>Estanzia Enclave</v>
          </cell>
          <cell r="AG361" t="str">
            <v>ESE</v>
          </cell>
          <cell r="AH361" t="str">
            <v>Middle Income</v>
          </cell>
          <cell r="AI361" t="str">
            <v>01</v>
          </cell>
          <cell r="AJ361" t="str">
            <v>2024 Batch</v>
          </cell>
          <cell r="AK361">
            <v>80</v>
          </cell>
          <cell r="AL361" t="str">
            <v>PCS-04-032688</v>
          </cell>
          <cell r="AM361" t="b">
            <v>1</v>
          </cell>
          <cell r="AN361" t="str">
            <v xml:space="preserve">Done </v>
          </cell>
          <cell r="AO361">
            <v>40</v>
          </cell>
          <cell r="AP361">
            <v>17</v>
          </cell>
          <cell r="AQ361" t="str">
            <v>H+L</v>
          </cell>
          <cell r="AR361">
            <v>1.0000000000000002</v>
          </cell>
          <cell r="AS361">
            <v>80</v>
          </cell>
          <cell r="AT361">
            <v>55</v>
          </cell>
          <cell r="AU361" t="str">
            <v>FLAT</v>
          </cell>
          <cell r="AV361" t="str">
            <v>FLAT / HORIZON SUN</v>
          </cell>
          <cell r="AW361" t="str">
            <v>DU-EXE</v>
          </cell>
          <cell r="AX361" t="str">
            <v>HORIZON SUN</v>
          </cell>
          <cell r="AY361">
            <v>3420000</v>
          </cell>
          <cell r="AZ361">
            <v>3600000</v>
          </cell>
          <cell r="BA361">
            <v>612000</v>
          </cell>
          <cell r="BB361">
            <v>2988000</v>
          </cell>
          <cell r="BC361">
            <v>0</v>
          </cell>
          <cell r="BD361">
            <v>2988000</v>
          </cell>
        </row>
        <row r="362">
          <cell r="AD362" t="str">
            <v>ESE-01-040-018</v>
          </cell>
          <cell r="AE362" t="str">
            <v xml:space="preserve">Raemulan Lands, Inc. </v>
          </cell>
          <cell r="AF362" t="str">
            <v>Estanzia Enclave</v>
          </cell>
          <cell r="AG362" t="str">
            <v>ESE</v>
          </cell>
          <cell r="AH362" t="str">
            <v>Middle Income</v>
          </cell>
          <cell r="AI362" t="str">
            <v>01</v>
          </cell>
          <cell r="AJ362" t="str">
            <v>2024 Batch</v>
          </cell>
          <cell r="AK362">
            <v>80</v>
          </cell>
          <cell r="AL362" t="str">
            <v>PCS-04-032688</v>
          </cell>
          <cell r="AM362" t="b">
            <v>1</v>
          </cell>
          <cell r="AN362" t="str">
            <v xml:space="preserve">Done </v>
          </cell>
          <cell r="AO362">
            <v>40</v>
          </cell>
          <cell r="AP362">
            <v>18</v>
          </cell>
          <cell r="AQ362" t="str">
            <v>H+L</v>
          </cell>
          <cell r="AR362">
            <v>1.0000000000000002</v>
          </cell>
          <cell r="AS362">
            <v>80</v>
          </cell>
          <cell r="AT362">
            <v>55</v>
          </cell>
          <cell r="AU362" t="str">
            <v>SLANT</v>
          </cell>
          <cell r="AV362" t="str">
            <v>SLANT / HORIZON SUN</v>
          </cell>
          <cell r="AW362" t="str">
            <v>DU-EXE</v>
          </cell>
          <cell r="AX362" t="str">
            <v>HORIZON SUN</v>
          </cell>
          <cell r="AY362">
            <v>3420000</v>
          </cell>
          <cell r="AZ362">
            <v>3600000</v>
          </cell>
          <cell r="BA362">
            <v>612000</v>
          </cell>
          <cell r="BB362">
            <v>2988000</v>
          </cell>
          <cell r="BC362">
            <v>0</v>
          </cell>
          <cell r="BD362">
            <v>2988000</v>
          </cell>
        </row>
        <row r="363">
          <cell r="AD363" t="str">
            <v>ESE-01-040-019</v>
          </cell>
          <cell r="AE363" t="str">
            <v xml:space="preserve">Raemulan Lands, Inc. </v>
          </cell>
          <cell r="AF363" t="str">
            <v>Estanzia Enclave</v>
          </cell>
          <cell r="AG363" t="str">
            <v>ESE</v>
          </cell>
          <cell r="AH363" t="str">
            <v>Middle Income</v>
          </cell>
          <cell r="AI363" t="str">
            <v>01</v>
          </cell>
          <cell r="AJ363" t="str">
            <v>2024 Batch</v>
          </cell>
          <cell r="AK363">
            <v>80</v>
          </cell>
          <cell r="AL363" t="str">
            <v>PCS-04-032688</v>
          </cell>
          <cell r="AM363" t="b">
            <v>1</v>
          </cell>
          <cell r="AN363" t="str">
            <v xml:space="preserve">Done </v>
          </cell>
          <cell r="AO363">
            <v>40</v>
          </cell>
          <cell r="AP363">
            <v>19</v>
          </cell>
          <cell r="AQ363" t="str">
            <v>H+L</v>
          </cell>
          <cell r="AR363">
            <v>1.0000000000000002</v>
          </cell>
          <cell r="AS363">
            <v>80</v>
          </cell>
          <cell r="AT363">
            <v>55</v>
          </cell>
          <cell r="AU363" t="str">
            <v>FLAT</v>
          </cell>
          <cell r="AV363" t="str">
            <v>FLAT / HORIZON SUN</v>
          </cell>
          <cell r="AW363" t="str">
            <v>DU-EXE</v>
          </cell>
          <cell r="AX363" t="str">
            <v>HORIZON SUN</v>
          </cell>
          <cell r="AY363">
            <v>3420000</v>
          </cell>
          <cell r="AZ363">
            <v>3600000</v>
          </cell>
          <cell r="BA363">
            <v>612000</v>
          </cell>
          <cell r="BB363">
            <v>2988000</v>
          </cell>
          <cell r="BC363">
            <v>0</v>
          </cell>
          <cell r="BD363">
            <v>2988000</v>
          </cell>
        </row>
        <row r="364">
          <cell r="AD364" t="str">
            <v>ESE-01-040-020</v>
          </cell>
          <cell r="AE364" t="str">
            <v xml:space="preserve">Raemulan Lands, Inc. </v>
          </cell>
          <cell r="AF364" t="str">
            <v>Estanzia Enclave</v>
          </cell>
          <cell r="AG364" t="str">
            <v>ESE</v>
          </cell>
          <cell r="AH364" t="str">
            <v>Middle Income</v>
          </cell>
          <cell r="AI364" t="str">
            <v>01</v>
          </cell>
          <cell r="AJ364" t="str">
            <v>2024 Batch</v>
          </cell>
          <cell r="AK364">
            <v>83</v>
          </cell>
          <cell r="AL364" t="str">
            <v>PCS-04-032688</v>
          </cell>
          <cell r="AM364" t="b">
            <v>1</v>
          </cell>
          <cell r="AN364" t="str">
            <v xml:space="preserve">Done </v>
          </cell>
          <cell r="AO364">
            <v>40</v>
          </cell>
          <cell r="AP364">
            <v>20</v>
          </cell>
          <cell r="AQ364" t="str">
            <v>H+L</v>
          </cell>
          <cell r="AR364">
            <v>1.0000000000000002</v>
          </cell>
          <cell r="AS364">
            <v>83</v>
          </cell>
          <cell r="AT364">
            <v>55</v>
          </cell>
          <cell r="AU364" t="str">
            <v>SLANT</v>
          </cell>
          <cell r="AV364" t="str">
            <v>SLANT / HORIZON SUN</v>
          </cell>
          <cell r="AW364" t="str">
            <v>DU-EXE</v>
          </cell>
          <cell r="AX364" t="str">
            <v>HORIZON SUN</v>
          </cell>
          <cell r="AY364">
            <v>3771428.5714285714</v>
          </cell>
          <cell r="AZ364">
            <v>3950000</v>
          </cell>
          <cell r="BA364">
            <v>200000</v>
          </cell>
          <cell r="BB364">
            <v>3750000</v>
          </cell>
          <cell r="BC364">
            <v>401785.71428571426</v>
          </cell>
          <cell r="BD364">
            <v>3348214.2857142859</v>
          </cell>
        </row>
        <row r="365">
          <cell r="AD365" t="str">
            <v>ESE-01-040-021</v>
          </cell>
          <cell r="AE365" t="str">
            <v xml:space="preserve">Raemulan Lands, Inc. </v>
          </cell>
          <cell r="AF365" t="str">
            <v>Estanzia Enclave</v>
          </cell>
          <cell r="AG365" t="str">
            <v>ESE</v>
          </cell>
          <cell r="AH365" t="str">
            <v>Middle Income</v>
          </cell>
          <cell r="AI365" t="str">
            <v>01</v>
          </cell>
          <cell r="AJ365" t="str">
            <v>2024 Batch</v>
          </cell>
          <cell r="AK365">
            <v>80</v>
          </cell>
          <cell r="AL365" t="str">
            <v>PCS-04-032688</v>
          </cell>
          <cell r="AM365" t="b">
            <v>1</v>
          </cell>
          <cell r="AN365" t="str">
            <v xml:space="preserve">Done </v>
          </cell>
          <cell r="AO365">
            <v>40</v>
          </cell>
          <cell r="AP365">
            <v>21</v>
          </cell>
          <cell r="AQ365" t="str">
            <v>H+L</v>
          </cell>
          <cell r="AR365">
            <v>1.0000000000000002</v>
          </cell>
          <cell r="AS365">
            <v>80</v>
          </cell>
          <cell r="AT365">
            <v>55</v>
          </cell>
          <cell r="AU365" t="str">
            <v>SLANT</v>
          </cell>
          <cell r="AV365" t="str">
            <v>SLANT / BEACHSIDE SUN</v>
          </cell>
          <cell r="AW365" t="str">
            <v>DU-EXE</v>
          </cell>
          <cell r="AX365" t="str">
            <v>BEACHSIDE SUN</v>
          </cell>
          <cell r="AY365">
            <v>3420000</v>
          </cell>
          <cell r="AZ365">
            <v>3600000</v>
          </cell>
          <cell r="BA365">
            <v>612000</v>
          </cell>
          <cell r="BB365">
            <v>2988000</v>
          </cell>
          <cell r="BC365">
            <v>0</v>
          </cell>
          <cell r="BD365">
            <v>2988000</v>
          </cell>
        </row>
        <row r="366">
          <cell r="AD366" t="str">
            <v>ESE-01-040-022</v>
          </cell>
          <cell r="AE366" t="str">
            <v xml:space="preserve">Raemulan Lands, Inc. </v>
          </cell>
          <cell r="AF366" t="str">
            <v>Estanzia Enclave</v>
          </cell>
          <cell r="AG366" t="str">
            <v>ESE</v>
          </cell>
          <cell r="AH366" t="str">
            <v>Middle Income</v>
          </cell>
          <cell r="AI366" t="str">
            <v>01</v>
          </cell>
          <cell r="AJ366" t="str">
            <v>2024 Batch</v>
          </cell>
          <cell r="AK366">
            <v>80</v>
          </cell>
          <cell r="AL366" t="str">
            <v>PCS-04-032688</v>
          </cell>
          <cell r="AM366" t="b">
            <v>1</v>
          </cell>
          <cell r="AN366" t="str">
            <v xml:space="preserve">Done </v>
          </cell>
          <cell r="AO366">
            <v>40</v>
          </cell>
          <cell r="AP366">
            <v>22</v>
          </cell>
          <cell r="AQ366" t="str">
            <v>H+L</v>
          </cell>
          <cell r="AR366">
            <v>1.0000000000000002</v>
          </cell>
          <cell r="AS366">
            <v>80</v>
          </cell>
          <cell r="AT366">
            <v>55</v>
          </cell>
          <cell r="AU366" t="str">
            <v>FLAT</v>
          </cell>
          <cell r="AV366" t="str">
            <v>FLAT / BEACHSIDE SUN</v>
          </cell>
          <cell r="AW366" t="str">
            <v>DU-EXE</v>
          </cell>
          <cell r="AX366" t="str">
            <v>BEACHSIDE SUN</v>
          </cell>
          <cell r="AY366">
            <v>3600000</v>
          </cell>
          <cell r="AZ366">
            <v>3600000</v>
          </cell>
          <cell r="BA366">
            <v>432000</v>
          </cell>
          <cell r="BB366">
            <v>3168000</v>
          </cell>
          <cell r="BC366">
            <v>0</v>
          </cell>
          <cell r="BD366">
            <v>3168000</v>
          </cell>
        </row>
        <row r="367">
          <cell r="AD367" t="str">
            <v>ESE-01-040-023</v>
          </cell>
          <cell r="AE367" t="str">
            <v xml:space="preserve">Raemulan Lands, Inc. </v>
          </cell>
          <cell r="AF367" t="str">
            <v>Estanzia Enclave</v>
          </cell>
          <cell r="AG367" t="str">
            <v>ESE</v>
          </cell>
          <cell r="AH367" t="str">
            <v>Middle Income</v>
          </cell>
          <cell r="AI367" t="str">
            <v>01</v>
          </cell>
          <cell r="AJ367" t="str">
            <v>2024 Batch</v>
          </cell>
          <cell r="AK367">
            <v>80</v>
          </cell>
          <cell r="AL367" t="str">
            <v>PCS-04-032688</v>
          </cell>
          <cell r="AM367" t="b">
            <v>1</v>
          </cell>
          <cell r="AN367" t="str">
            <v xml:space="preserve">Done </v>
          </cell>
          <cell r="AO367">
            <v>40</v>
          </cell>
          <cell r="AP367">
            <v>23</v>
          </cell>
          <cell r="AQ367" t="str">
            <v>H+L</v>
          </cell>
          <cell r="AR367">
            <v>1.0000000000000002</v>
          </cell>
          <cell r="AS367">
            <v>80</v>
          </cell>
          <cell r="AT367">
            <v>55</v>
          </cell>
          <cell r="AU367" t="str">
            <v>FLAT</v>
          </cell>
          <cell r="AV367" t="str">
            <v>FLAT / BEACHSIDE SUN</v>
          </cell>
          <cell r="AW367" t="str">
            <v>DU-EXE</v>
          </cell>
          <cell r="AX367" t="str">
            <v>BEACHSIDE SUN</v>
          </cell>
          <cell r="AY367">
            <v>3420000</v>
          </cell>
          <cell r="AZ367">
            <v>3600000</v>
          </cell>
          <cell r="BA367">
            <v>612000</v>
          </cell>
          <cell r="BB367">
            <v>2988000</v>
          </cell>
          <cell r="BC367">
            <v>0</v>
          </cell>
          <cell r="BD367">
            <v>2988000</v>
          </cell>
        </row>
        <row r="368">
          <cell r="AD368" t="str">
            <v>ESE-01-040-024</v>
          </cell>
          <cell r="AE368" t="str">
            <v xml:space="preserve">Raemulan Lands, Inc. </v>
          </cell>
          <cell r="AF368" t="str">
            <v>Estanzia Enclave</v>
          </cell>
          <cell r="AG368" t="str">
            <v>ESE</v>
          </cell>
          <cell r="AH368" t="str">
            <v>Middle Income</v>
          </cell>
          <cell r="AI368" t="str">
            <v>01</v>
          </cell>
          <cell r="AJ368" t="str">
            <v>2024 Batch</v>
          </cell>
          <cell r="AK368">
            <v>80</v>
          </cell>
          <cell r="AL368" t="str">
            <v>PCS-04-032688</v>
          </cell>
          <cell r="AM368" t="b">
            <v>1</v>
          </cell>
          <cell r="AN368" t="str">
            <v xml:space="preserve">Done </v>
          </cell>
          <cell r="AO368">
            <v>40</v>
          </cell>
          <cell r="AP368">
            <v>24</v>
          </cell>
          <cell r="AQ368" t="str">
            <v>H+L</v>
          </cell>
          <cell r="AR368">
            <v>1.0000000000000002</v>
          </cell>
          <cell r="AS368">
            <v>80</v>
          </cell>
          <cell r="AT368">
            <v>55</v>
          </cell>
          <cell r="AU368" t="str">
            <v>SLANT</v>
          </cell>
          <cell r="AV368" t="str">
            <v>SLANT / BEACHSIDE SUN</v>
          </cell>
          <cell r="AW368" t="str">
            <v>DU-EXE</v>
          </cell>
          <cell r="AX368" t="str">
            <v>BEACHSIDE SUN</v>
          </cell>
          <cell r="AY368">
            <v>3600000</v>
          </cell>
          <cell r="AZ368">
            <v>3600000</v>
          </cell>
          <cell r="BA368">
            <v>432000</v>
          </cell>
          <cell r="BB368">
            <v>3168000</v>
          </cell>
          <cell r="BC368">
            <v>0</v>
          </cell>
          <cell r="BD368">
            <v>3168000</v>
          </cell>
        </row>
        <row r="369">
          <cell r="AD369" t="str">
            <v>ESE-01-040-025</v>
          </cell>
          <cell r="AE369" t="str">
            <v xml:space="preserve">Raemulan Lands, Inc. </v>
          </cell>
          <cell r="AF369" t="str">
            <v>Estanzia Enclave</v>
          </cell>
          <cell r="AG369" t="str">
            <v>ESE</v>
          </cell>
          <cell r="AH369" t="str">
            <v>Middle Income</v>
          </cell>
          <cell r="AI369" t="str">
            <v>01</v>
          </cell>
          <cell r="AJ369" t="str">
            <v>2024 Batch</v>
          </cell>
          <cell r="AK369">
            <v>80</v>
          </cell>
          <cell r="AL369" t="str">
            <v>PCS-04-032688</v>
          </cell>
          <cell r="AM369" t="b">
            <v>1</v>
          </cell>
          <cell r="AN369" t="str">
            <v xml:space="preserve">Done </v>
          </cell>
          <cell r="AO369">
            <v>40</v>
          </cell>
          <cell r="AP369">
            <v>25</v>
          </cell>
          <cell r="AQ369" t="str">
            <v>H+L</v>
          </cell>
          <cell r="AR369">
            <v>1.0000000000000002</v>
          </cell>
          <cell r="AS369">
            <v>80</v>
          </cell>
          <cell r="AT369">
            <v>55</v>
          </cell>
          <cell r="AU369" t="str">
            <v>FLAT</v>
          </cell>
          <cell r="AV369" t="str">
            <v>FLAT / HORIZON SUN</v>
          </cell>
          <cell r="AW369" t="str">
            <v>DU-EXE</v>
          </cell>
          <cell r="AX369" t="str">
            <v>HORIZON SUN</v>
          </cell>
          <cell r="AY369">
            <v>3600000</v>
          </cell>
          <cell r="AZ369">
            <v>3600000</v>
          </cell>
          <cell r="BA369">
            <v>432000</v>
          </cell>
          <cell r="BB369">
            <v>3168000</v>
          </cell>
          <cell r="BC369">
            <v>0</v>
          </cell>
          <cell r="BD369">
            <v>3168000</v>
          </cell>
        </row>
        <row r="370">
          <cell r="AD370" t="str">
            <v>ESE-01-040-026</v>
          </cell>
          <cell r="AE370" t="str">
            <v xml:space="preserve">Raemulan Lands, Inc. </v>
          </cell>
          <cell r="AF370" t="str">
            <v>Estanzia Enclave</v>
          </cell>
          <cell r="AG370" t="str">
            <v>ESE</v>
          </cell>
          <cell r="AH370" t="str">
            <v>Middle Income</v>
          </cell>
          <cell r="AI370" t="str">
            <v>01</v>
          </cell>
          <cell r="AJ370" t="str">
            <v>2024 Batch</v>
          </cell>
          <cell r="AK370">
            <v>80</v>
          </cell>
          <cell r="AL370" t="str">
            <v>PCS-04-032688</v>
          </cell>
          <cell r="AM370" t="b">
            <v>1</v>
          </cell>
          <cell r="AN370" t="str">
            <v xml:space="preserve">Done </v>
          </cell>
          <cell r="AO370">
            <v>40</v>
          </cell>
          <cell r="AP370">
            <v>26</v>
          </cell>
          <cell r="AQ370" t="str">
            <v>H+L</v>
          </cell>
          <cell r="AR370">
            <v>1.0000000000000002</v>
          </cell>
          <cell r="AS370">
            <v>80</v>
          </cell>
          <cell r="AT370">
            <v>55</v>
          </cell>
          <cell r="AU370" t="str">
            <v>SLANT</v>
          </cell>
          <cell r="AV370" t="str">
            <v>SLANT / HORIZON SUN</v>
          </cell>
          <cell r="AW370" t="str">
            <v>DU-EXE</v>
          </cell>
          <cell r="AX370" t="str">
            <v>HORIZON SUN</v>
          </cell>
          <cell r="AY370">
            <v>3420000</v>
          </cell>
          <cell r="AZ370">
            <v>3600000</v>
          </cell>
          <cell r="BA370">
            <v>612000</v>
          </cell>
          <cell r="BB370">
            <v>2988000</v>
          </cell>
          <cell r="BC370">
            <v>0</v>
          </cell>
          <cell r="BD370">
            <v>2988000</v>
          </cell>
        </row>
        <row r="371">
          <cell r="AD371" t="str">
            <v>ESE-01-040-027</v>
          </cell>
          <cell r="AE371" t="str">
            <v xml:space="preserve">Raemulan Lands, Inc. </v>
          </cell>
          <cell r="AF371" t="str">
            <v>Estanzia Enclave</v>
          </cell>
          <cell r="AG371" t="str">
            <v>ESE</v>
          </cell>
          <cell r="AH371" t="str">
            <v>Middle Income</v>
          </cell>
          <cell r="AI371" t="str">
            <v>01</v>
          </cell>
          <cell r="AJ371" t="str">
            <v>2024 Batch</v>
          </cell>
          <cell r="AK371">
            <v>80</v>
          </cell>
          <cell r="AL371" t="str">
            <v>PCS-04-032688</v>
          </cell>
          <cell r="AM371" t="b">
            <v>1</v>
          </cell>
          <cell r="AN371" t="str">
            <v xml:space="preserve">Done </v>
          </cell>
          <cell r="AO371">
            <v>40</v>
          </cell>
          <cell r="AP371">
            <v>27</v>
          </cell>
          <cell r="AQ371" t="str">
            <v>H+L</v>
          </cell>
          <cell r="AR371">
            <v>1.0000000000000002</v>
          </cell>
          <cell r="AS371">
            <v>80</v>
          </cell>
          <cell r="AT371">
            <v>55</v>
          </cell>
          <cell r="AU371" t="str">
            <v>FLAT</v>
          </cell>
          <cell r="AV371" t="str">
            <v>FLAT / HORIZON SUN</v>
          </cell>
          <cell r="AW371" t="str">
            <v>DU-EXE</v>
          </cell>
          <cell r="AX371" t="str">
            <v>HORIZON SUN</v>
          </cell>
          <cell r="AY371">
            <v>3600000</v>
          </cell>
          <cell r="AZ371">
            <v>3600000</v>
          </cell>
          <cell r="BA371">
            <v>432000</v>
          </cell>
          <cell r="BB371">
            <v>3168000</v>
          </cell>
          <cell r="BC371">
            <v>0</v>
          </cell>
          <cell r="BD371">
            <v>3168000</v>
          </cell>
        </row>
        <row r="372">
          <cell r="AD372" t="str">
            <v>ESE-01-040-028</v>
          </cell>
          <cell r="AE372" t="str">
            <v xml:space="preserve">Raemulan Lands, Inc. </v>
          </cell>
          <cell r="AF372" t="str">
            <v>Estanzia Enclave</v>
          </cell>
          <cell r="AG372" t="str">
            <v>ESE</v>
          </cell>
          <cell r="AH372" t="str">
            <v>Middle Income</v>
          </cell>
          <cell r="AI372" t="str">
            <v>01</v>
          </cell>
          <cell r="AJ372" t="str">
            <v>2024 Batch</v>
          </cell>
          <cell r="AK372">
            <v>80</v>
          </cell>
          <cell r="AL372" t="str">
            <v>PCS-04-032688</v>
          </cell>
          <cell r="AM372" t="b">
            <v>1</v>
          </cell>
          <cell r="AN372" t="str">
            <v xml:space="preserve">Done </v>
          </cell>
          <cell r="AO372">
            <v>40</v>
          </cell>
          <cell r="AP372">
            <v>28</v>
          </cell>
          <cell r="AQ372" t="str">
            <v>H+L</v>
          </cell>
          <cell r="AR372">
            <v>1.0000000000000002</v>
          </cell>
          <cell r="AS372">
            <v>80</v>
          </cell>
          <cell r="AT372">
            <v>55</v>
          </cell>
          <cell r="AU372" t="str">
            <v>SLANT</v>
          </cell>
          <cell r="AV372" t="str">
            <v>SLANT / HORIZON SUN</v>
          </cell>
          <cell r="AW372" t="str">
            <v>DU-EXE</v>
          </cell>
          <cell r="AX372" t="str">
            <v>HORIZON SUN</v>
          </cell>
          <cell r="AY372">
            <v>3600000</v>
          </cell>
          <cell r="AZ372">
            <v>3600000</v>
          </cell>
          <cell r="BA372">
            <v>432000</v>
          </cell>
          <cell r="BB372">
            <v>3168000</v>
          </cell>
          <cell r="BC372">
            <v>0</v>
          </cell>
          <cell r="BD372">
            <v>3168000</v>
          </cell>
        </row>
        <row r="373">
          <cell r="AD373" t="str">
            <v>ESE-01-040-029</v>
          </cell>
          <cell r="AE373" t="str">
            <v xml:space="preserve">Raemulan Lands, Inc. </v>
          </cell>
          <cell r="AF373" t="str">
            <v>Estanzia Enclave</v>
          </cell>
          <cell r="AG373" t="str">
            <v>ESE</v>
          </cell>
          <cell r="AH373" t="str">
            <v>Middle Income</v>
          </cell>
          <cell r="AI373" t="str">
            <v>01</v>
          </cell>
          <cell r="AJ373" t="str">
            <v>2024 Batch</v>
          </cell>
          <cell r="AK373">
            <v>80</v>
          </cell>
          <cell r="AL373" t="str">
            <v>PCS-04-032688</v>
          </cell>
          <cell r="AM373" t="b">
            <v>1</v>
          </cell>
          <cell r="AN373" t="str">
            <v xml:space="preserve">Done </v>
          </cell>
          <cell r="AO373">
            <v>40</v>
          </cell>
          <cell r="AP373">
            <v>29</v>
          </cell>
          <cell r="AQ373" t="str">
            <v>H+L</v>
          </cell>
          <cell r="AR373">
            <v>1.0000000000000002</v>
          </cell>
          <cell r="AS373">
            <v>80</v>
          </cell>
          <cell r="AT373">
            <v>55</v>
          </cell>
          <cell r="AU373" t="str">
            <v>SLANT</v>
          </cell>
          <cell r="AV373" t="str">
            <v>SLANT / BEACHSIDE SUN</v>
          </cell>
          <cell r="AW373" t="str">
            <v>DU-EXE</v>
          </cell>
          <cell r="AX373" t="str">
            <v>BEACHSIDE SUN</v>
          </cell>
          <cell r="AY373">
            <v>3600000</v>
          </cell>
          <cell r="AZ373">
            <v>3600000</v>
          </cell>
          <cell r="BA373">
            <v>432000</v>
          </cell>
          <cell r="BB373">
            <v>3168000</v>
          </cell>
          <cell r="BC373">
            <v>0</v>
          </cell>
          <cell r="BD373">
            <v>3168000</v>
          </cell>
        </row>
        <row r="374">
          <cell r="AD374" t="str">
            <v>ESE-01-040-030</v>
          </cell>
          <cell r="AE374" t="str">
            <v xml:space="preserve">Raemulan Lands, Inc. </v>
          </cell>
          <cell r="AF374" t="str">
            <v>Estanzia Enclave</v>
          </cell>
          <cell r="AG374" t="str">
            <v>ESE</v>
          </cell>
          <cell r="AH374" t="str">
            <v>Middle Income</v>
          </cell>
          <cell r="AI374" t="str">
            <v>01</v>
          </cell>
          <cell r="AJ374" t="str">
            <v>2024 Batch</v>
          </cell>
          <cell r="AK374">
            <v>80</v>
          </cell>
          <cell r="AL374" t="str">
            <v>PCS-04-032688</v>
          </cell>
          <cell r="AM374" t="b">
            <v>1</v>
          </cell>
          <cell r="AN374" t="str">
            <v xml:space="preserve">Done </v>
          </cell>
          <cell r="AO374">
            <v>40</v>
          </cell>
          <cell r="AP374">
            <v>30</v>
          </cell>
          <cell r="AQ374" t="str">
            <v>H+L</v>
          </cell>
          <cell r="AR374">
            <v>1.0000000000000002</v>
          </cell>
          <cell r="AS374">
            <v>80</v>
          </cell>
          <cell r="AT374">
            <v>55</v>
          </cell>
          <cell r="AU374" t="str">
            <v>FLAT</v>
          </cell>
          <cell r="AV374" t="str">
            <v>FLAT / BEACHSIDE SUN</v>
          </cell>
          <cell r="AW374" t="str">
            <v>DU-EXE</v>
          </cell>
          <cell r="AX374" t="str">
            <v>BEACHSIDE SUN</v>
          </cell>
          <cell r="AY374">
            <v>3600000</v>
          </cell>
          <cell r="AZ374">
            <v>3600000</v>
          </cell>
          <cell r="BA374">
            <v>432000</v>
          </cell>
          <cell r="BB374">
            <v>3168000</v>
          </cell>
          <cell r="BC374">
            <v>0</v>
          </cell>
          <cell r="BD374">
            <v>3168000</v>
          </cell>
        </row>
        <row r="375">
          <cell r="AD375" t="str">
            <v>ESE-01-040-031</v>
          </cell>
          <cell r="AE375" t="str">
            <v xml:space="preserve">Raemulan Lands, Inc. </v>
          </cell>
          <cell r="AF375" t="str">
            <v>Estanzia Enclave</v>
          </cell>
          <cell r="AG375" t="str">
            <v>ESE</v>
          </cell>
          <cell r="AH375" t="str">
            <v>Middle Income</v>
          </cell>
          <cell r="AI375" t="str">
            <v>01</v>
          </cell>
          <cell r="AJ375" t="str">
            <v>2024 Batch</v>
          </cell>
          <cell r="AK375">
            <v>80</v>
          </cell>
          <cell r="AL375" t="str">
            <v>PCS-04-032688</v>
          </cell>
          <cell r="AM375" t="b">
            <v>1</v>
          </cell>
          <cell r="AN375" t="str">
            <v xml:space="preserve">Done </v>
          </cell>
          <cell r="AO375">
            <v>40</v>
          </cell>
          <cell r="AP375">
            <v>31</v>
          </cell>
          <cell r="AQ375" t="str">
            <v>H+L</v>
          </cell>
          <cell r="AR375">
            <v>1.0000000000000002</v>
          </cell>
          <cell r="AS375">
            <v>80</v>
          </cell>
          <cell r="AT375">
            <v>55</v>
          </cell>
          <cell r="AU375" t="str">
            <v>FLAT</v>
          </cell>
          <cell r="AV375" t="str">
            <v>FLAT / BEACHSIDE SUN</v>
          </cell>
          <cell r="AW375" t="str">
            <v>DU-EXE</v>
          </cell>
          <cell r="AX375" t="str">
            <v>BEACHSIDE SUN</v>
          </cell>
          <cell r="AY375">
            <v>3600000</v>
          </cell>
          <cell r="AZ375">
            <v>3600000</v>
          </cell>
          <cell r="BA375">
            <v>432000</v>
          </cell>
          <cell r="BB375">
            <v>3168000</v>
          </cell>
          <cell r="BC375">
            <v>0</v>
          </cell>
          <cell r="BD375">
            <v>3168000</v>
          </cell>
        </row>
        <row r="376">
          <cell r="AD376" t="str">
            <v>ESE-01-040-032</v>
          </cell>
          <cell r="AE376" t="str">
            <v xml:space="preserve">Raemulan Lands, Inc. </v>
          </cell>
          <cell r="AF376" t="str">
            <v>Estanzia Enclave</v>
          </cell>
          <cell r="AG376" t="str">
            <v>ESE</v>
          </cell>
          <cell r="AH376" t="str">
            <v>Middle Income</v>
          </cell>
          <cell r="AI376" t="str">
            <v>01</v>
          </cell>
          <cell r="AJ376" t="str">
            <v>2024 Batch</v>
          </cell>
          <cell r="AK376">
            <v>80</v>
          </cell>
          <cell r="AL376" t="str">
            <v>PCS-04-032688</v>
          </cell>
          <cell r="AM376" t="b">
            <v>1</v>
          </cell>
          <cell r="AN376" t="str">
            <v xml:space="preserve">Done </v>
          </cell>
          <cell r="AO376">
            <v>40</v>
          </cell>
          <cell r="AP376">
            <v>32</v>
          </cell>
          <cell r="AQ376" t="str">
            <v>H+L</v>
          </cell>
          <cell r="AR376">
            <v>1.0000000000000002</v>
          </cell>
          <cell r="AS376">
            <v>80</v>
          </cell>
          <cell r="AT376">
            <v>55</v>
          </cell>
          <cell r="AU376" t="str">
            <v>SLANT</v>
          </cell>
          <cell r="AV376" t="str">
            <v>SLANT / BEACHSIDE SUN</v>
          </cell>
          <cell r="AW376" t="str">
            <v>DU-EXE</v>
          </cell>
          <cell r="AX376" t="str">
            <v>BEACHSIDE SUN</v>
          </cell>
          <cell r="AY376">
            <v>3600000</v>
          </cell>
          <cell r="AZ376">
            <v>3600000</v>
          </cell>
          <cell r="BA376">
            <v>432000</v>
          </cell>
          <cell r="BB376">
            <v>3168000</v>
          </cell>
          <cell r="BC376">
            <v>0</v>
          </cell>
          <cell r="BD376">
            <v>3168000</v>
          </cell>
        </row>
        <row r="377">
          <cell r="AD377" t="str">
            <v>ESE-01-040-033</v>
          </cell>
          <cell r="AE377" t="str">
            <v xml:space="preserve">Raemulan Lands, Inc. </v>
          </cell>
          <cell r="AF377" t="str">
            <v>Estanzia Enclave</v>
          </cell>
          <cell r="AG377" t="str">
            <v>ESE</v>
          </cell>
          <cell r="AH377" t="str">
            <v>Middle Income</v>
          </cell>
          <cell r="AI377" t="str">
            <v>01</v>
          </cell>
          <cell r="AJ377" t="str">
            <v>2024 Batch</v>
          </cell>
          <cell r="AK377">
            <v>80</v>
          </cell>
          <cell r="AL377" t="str">
            <v>PCS-04-032688</v>
          </cell>
          <cell r="AM377" t="b">
            <v>1</v>
          </cell>
          <cell r="AN377" t="str">
            <v xml:space="preserve">Done </v>
          </cell>
          <cell r="AO377">
            <v>40</v>
          </cell>
          <cell r="AP377">
            <v>33</v>
          </cell>
          <cell r="AQ377" t="str">
            <v>H+L</v>
          </cell>
          <cell r="AR377">
            <v>1.0000000000000002</v>
          </cell>
          <cell r="AS377">
            <v>80</v>
          </cell>
          <cell r="AT377">
            <v>55</v>
          </cell>
          <cell r="AU377" t="str">
            <v>FLAT</v>
          </cell>
          <cell r="AV377" t="str">
            <v>FLAT / HORIZON SUN</v>
          </cell>
          <cell r="AW377" t="str">
            <v>DU-EXE</v>
          </cell>
          <cell r="AX377" t="str">
            <v>HORIZON SUN</v>
          </cell>
          <cell r="AY377">
            <v>3420000</v>
          </cell>
          <cell r="AZ377">
            <v>3600000</v>
          </cell>
          <cell r="BA377">
            <v>612000</v>
          </cell>
          <cell r="BB377">
            <v>2988000</v>
          </cell>
          <cell r="BC377">
            <v>0</v>
          </cell>
          <cell r="BD377">
            <v>2988000</v>
          </cell>
        </row>
        <row r="378">
          <cell r="AD378" t="str">
            <v>ESE-01-040-034</v>
          </cell>
          <cell r="AE378" t="str">
            <v xml:space="preserve">Raemulan Lands, Inc. </v>
          </cell>
          <cell r="AF378" t="str">
            <v>Estanzia Enclave</v>
          </cell>
          <cell r="AG378" t="str">
            <v>ESE</v>
          </cell>
          <cell r="AH378" t="str">
            <v>Middle Income</v>
          </cell>
          <cell r="AI378" t="str">
            <v>01</v>
          </cell>
          <cell r="AJ378" t="str">
            <v>2024 Batch</v>
          </cell>
          <cell r="AK378">
            <v>80</v>
          </cell>
          <cell r="AL378" t="str">
            <v>PCS-04-032688</v>
          </cell>
          <cell r="AM378" t="b">
            <v>1</v>
          </cell>
          <cell r="AN378" t="str">
            <v xml:space="preserve">Done </v>
          </cell>
          <cell r="AO378">
            <v>40</v>
          </cell>
          <cell r="AP378">
            <v>34</v>
          </cell>
          <cell r="AQ378" t="str">
            <v>H+L</v>
          </cell>
          <cell r="AR378">
            <v>1.0000000000000002</v>
          </cell>
          <cell r="AS378">
            <v>80</v>
          </cell>
          <cell r="AT378">
            <v>55</v>
          </cell>
          <cell r="AU378" t="str">
            <v>SLANT</v>
          </cell>
          <cell r="AV378" t="str">
            <v>SLANT / HORIZON SUN</v>
          </cell>
          <cell r="AW378" t="str">
            <v>DU-EXE</v>
          </cell>
          <cell r="AX378" t="str">
            <v>HORIZON SUN</v>
          </cell>
          <cell r="AY378">
            <v>3600000</v>
          </cell>
          <cell r="AZ378">
            <v>3600000</v>
          </cell>
          <cell r="BA378">
            <v>432000</v>
          </cell>
          <cell r="BB378">
            <v>3168000</v>
          </cell>
          <cell r="BC378">
            <v>0</v>
          </cell>
          <cell r="BD378">
            <v>3168000</v>
          </cell>
        </row>
        <row r="379">
          <cell r="AD379" t="str">
            <v>ESE-01-040-035</v>
          </cell>
          <cell r="AE379" t="str">
            <v xml:space="preserve">Raemulan Lands, Inc. </v>
          </cell>
          <cell r="AF379" t="str">
            <v>Estanzia Enclave</v>
          </cell>
          <cell r="AG379" t="str">
            <v>ESE</v>
          </cell>
          <cell r="AH379" t="str">
            <v>Middle Income</v>
          </cell>
          <cell r="AI379" t="str">
            <v>01</v>
          </cell>
          <cell r="AJ379" t="str">
            <v>2024 Batch</v>
          </cell>
          <cell r="AK379">
            <v>80</v>
          </cell>
          <cell r="AL379" t="str">
            <v>PCS-04-032688</v>
          </cell>
          <cell r="AM379" t="b">
            <v>1</v>
          </cell>
          <cell r="AN379" t="str">
            <v xml:space="preserve">Done </v>
          </cell>
          <cell r="AO379">
            <v>40</v>
          </cell>
          <cell r="AP379">
            <v>35</v>
          </cell>
          <cell r="AQ379" t="str">
            <v>H+L</v>
          </cell>
          <cell r="AR379">
            <v>1.0000000000000002</v>
          </cell>
          <cell r="AS379">
            <v>80</v>
          </cell>
          <cell r="AT379">
            <v>55</v>
          </cell>
          <cell r="AU379" t="str">
            <v>FLAT</v>
          </cell>
          <cell r="AV379" t="str">
            <v>FLAT / HORIZON SUN</v>
          </cell>
          <cell r="AW379" t="str">
            <v>DU-EXE</v>
          </cell>
          <cell r="AX379" t="str">
            <v>HORIZON SUN</v>
          </cell>
          <cell r="AY379">
            <v>3420000</v>
          </cell>
          <cell r="AZ379">
            <v>3600000</v>
          </cell>
          <cell r="BA379">
            <v>612000</v>
          </cell>
          <cell r="BB379">
            <v>2988000</v>
          </cell>
          <cell r="BC379">
            <v>0</v>
          </cell>
          <cell r="BD379">
            <v>2988000</v>
          </cell>
        </row>
        <row r="380">
          <cell r="AD380" t="str">
            <v>ESE-01-040-036</v>
          </cell>
          <cell r="AE380" t="str">
            <v xml:space="preserve">Raemulan Lands, Inc. </v>
          </cell>
          <cell r="AF380" t="str">
            <v>Estanzia Enclave</v>
          </cell>
          <cell r="AG380" t="str">
            <v>ESE</v>
          </cell>
          <cell r="AH380" t="str">
            <v>Middle Income</v>
          </cell>
          <cell r="AI380" t="str">
            <v>01</v>
          </cell>
          <cell r="AJ380" t="str">
            <v>2024 Batch</v>
          </cell>
          <cell r="AK380">
            <v>80</v>
          </cell>
          <cell r="AL380" t="str">
            <v>PCS-04-032688</v>
          </cell>
          <cell r="AM380" t="b">
            <v>1</v>
          </cell>
          <cell r="AN380" t="str">
            <v xml:space="preserve">Done </v>
          </cell>
          <cell r="AO380">
            <v>40</v>
          </cell>
          <cell r="AP380">
            <v>36</v>
          </cell>
          <cell r="AQ380" t="str">
            <v>H+L</v>
          </cell>
          <cell r="AR380">
            <v>1.0000000000000002</v>
          </cell>
          <cell r="AS380">
            <v>80</v>
          </cell>
          <cell r="AT380">
            <v>55</v>
          </cell>
          <cell r="AU380" t="str">
            <v>SLANT</v>
          </cell>
          <cell r="AV380" t="str">
            <v>SLANT / HORIZON SUN</v>
          </cell>
          <cell r="AW380" t="str">
            <v>DU-EXE</v>
          </cell>
          <cell r="AX380" t="str">
            <v>HORIZON SUN</v>
          </cell>
          <cell r="AY380">
            <v>3420000</v>
          </cell>
          <cell r="AZ380">
            <v>3600000</v>
          </cell>
          <cell r="BA380">
            <v>612000</v>
          </cell>
          <cell r="BB380">
            <v>2988000</v>
          </cell>
          <cell r="BC380">
            <v>0</v>
          </cell>
          <cell r="BD380">
            <v>2988000</v>
          </cell>
        </row>
        <row r="381">
          <cell r="AD381" t="str">
            <v>ESE-01-040-037</v>
          </cell>
          <cell r="AE381" t="str">
            <v xml:space="preserve">Raemulan Lands, Inc. </v>
          </cell>
          <cell r="AF381" t="str">
            <v>Estanzia Enclave</v>
          </cell>
          <cell r="AG381" t="str">
            <v>ESE</v>
          </cell>
          <cell r="AH381" t="str">
            <v>Middle Income</v>
          </cell>
          <cell r="AI381" t="str">
            <v>01</v>
          </cell>
          <cell r="AJ381" t="str">
            <v>2024 Batch</v>
          </cell>
          <cell r="AK381">
            <v>80</v>
          </cell>
          <cell r="AL381" t="str">
            <v>PCS-04-032688</v>
          </cell>
          <cell r="AM381" t="b">
            <v>1</v>
          </cell>
          <cell r="AN381" t="str">
            <v xml:space="preserve">Done </v>
          </cell>
          <cell r="AO381">
            <v>40</v>
          </cell>
          <cell r="AP381">
            <v>37</v>
          </cell>
          <cell r="AQ381" t="str">
            <v>H+L</v>
          </cell>
          <cell r="AR381">
            <v>1.0000000000000002</v>
          </cell>
          <cell r="AS381">
            <v>80</v>
          </cell>
          <cell r="AT381">
            <v>55</v>
          </cell>
          <cell r="AU381" t="str">
            <v>SLANT</v>
          </cell>
          <cell r="AV381" t="str">
            <v>SLANT / BEACHSIDE SUN</v>
          </cell>
          <cell r="AW381" t="str">
            <v>DU-EXE</v>
          </cell>
          <cell r="AX381" t="str">
            <v>BEACHSIDE SUN</v>
          </cell>
          <cell r="AY381">
            <v>3420000</v>
          </cell>
          <cell r="AZ381">
            <v>3600000</v>
          </cell>
          <cell r="BA381">
            <v>612000</v>
          </cell>
          <cell r="BB381">
            <v>2988000</v>
          </cell>
          <cell r="BC381">
            <v>0</v>
          </cell>
          <cell r="BD381">
            <v>2988000</v>
          </cell>
        </row>
        <row r="382">
          <cell r="AD382" t="str">
            <v>ESE-01-040-038</v>
          </cell>
          <cell r="AE382" t="str">
            <v xml:space="preserve">Raemulan Lands, Inc. </v>
          </cell>
          <cell r="AF382" t="str">
            <v>Estanzia Enclave</v>
          </cell>
          <cell r="AG382" t="str">
            <v>ESE</v>
          </cell>
          <cell r="AH382" t="str">
            <v>Middle Income</v>
          </cell>
          <cell r="AI382" t="str">
            <v>01</v>
          </cell>
          <cell r="AJ382" t="str">
            <v>2024 Batch</v>
          </cell>
          <cell r="AK382">
            <v>80</v>
          </cell>
          <cell r="AL382" t="str">
            <v>PCS-04-032688</v>
          </cell>
          <cell r="AM382" t="b">
            <v>1</v>
          </cell>
          <cell r="AN382" t="str">
            <v xml:space="preserve">Done </v>
          </cell>
          <cell r="AO382">
            <v>40</v>
          </cell>
          <cell r="AP382">
            <v>38</v>
          </cell>
          <cell r="AQ382" t="str">
            <v>H+L</v>
          </cell>
          <cell r="AR382">
            <v>0.93015000000000014</v>
          </cell>
          <cell r="AS382">
            <v>80</v>
          </cell>
          <cell r="AT382">
            <v>55</v>
          </cell>
          <cell r="AU382" t="str">
            <v>FLAT</v>
          </cell>
          <cell r="AV382" t="str">
            <v>FLAT / BEACHSIDE SUN</v>
          </cell>
          <cell r="AW382" t="str">
            <v>DU-EXE</v>
          </cell>
          <cell r="AX382" t="str">
            <v>BEACHSIDE SUN</v>
          </cell>
          <cell r="AY382">
            <v>3420000</v>
          </cell>
          <cell r="AZ382">
            <v>3600000</v>
          </cell>
          <cell r="BA382">
            <v>612000</v>
          </cell>
          <cell r="BB382">
            <v>2988000</v>
          </cell>
          <cell r="BC382">
            <v>0</v>
          </cell>
          <cell r="BD382">
            <v>2988000</v>
          </cell>
        </row>
        <row r="383">
          <cell r="AD383" t="str">
            <v>ESE-01-040-039</v>
          </cell>
          <cell r="AE383" t="str">
            <v xml:space="preserve">Raemulan Lands, Inc. </v>
          </cell>
          <cell r="AF383" t="str">
            <v>Estanzia Enclave</v>
          </cell>
          <cell r="AG383" t="str">
            <v>ESE</v>
          </cell>
          <cell r="AH383" t="str">
            <v>Middle Income</v>
          </cell>
          <cell r="AI383" t="str">
            <v>01</v>
          </cell>
          <cell r="AJ383" t="str">
            <v>2024 Batch</v>
          </cell>
          <cell r="AK383">
            <v>80</v>
          </cell>
          <cell r="AL383" t="str">
            <v>PCS-04-032688</v>
          </cell>
          <cell r="AM383" t="b">
            <v>1</v>
          </cell>
          <cell r="AN383" t="str">
            <v xml:space="preserve">Done </v>
          </cell>
          <cell r="AO383">
            <v>40</v>
          </cell>
          <cell r="AP383">
            <v>39</v>
          </cell>
          <cell r="AQ383" t="str">
            <v>H+L</v>
          </cell>
          <cell r="AR383">
            <v>0.92810000000000026</v>
          </cell>
          <cell r="AS383">
            <v>80</v>
          </cell>
          <cell r="AT383">
            <v>55</v>
          </cell>
          <cell r="AU383" t="str">
            <v>SLANT</v>
          </cell>
          <cell r="AV383" t="str">
            <v>SLANT / BEACHSIDE SUN</v>
          </cell>
          <cell r="AW383" t="str">
            <v>DU-EXE</v>
          </cell>
          <cell r="AX383" t="str">
            <v>BEACHSIDE SUN</v>
          </cell>
          <cell r="AY383">
            <v>3420000</v>
          </cell>
          <cell r="AZ383">
            <v>3600000</v>
          </cell>
          <cell r="BA383">
            <v>612000</v>
          </cell>
          <cell r="BB383">
            <v>2988000</v>
          </cell>
          <cell r="BC383">
            <v>0</v>
          </cell>
          <cell r="BD383">
            <v>2988000</v>
          </cell>
        </row>
        <row r="384">
          <cell r="AD384" t="str">
            <v>ESE-01-040-046</v>
          </cell>
          <cell r="AE384" t="str">
            <v xml:space="preserve">Raemulan Lands, Inc. </v>
          </cell>
          <cell r="AF384" t="str">
            <v>Estanzia Enclave</v>
          </cell>
          <cell r="AG384" t="str">
            <v>ESE</v>
          </cell>
          <cell r="AH384" t="str">
            <v>Middle Income</v>
          </cell>
          <cell r="AI384" t="str">
            <v>01</v>
          </cell>
          <cell r="AJ384" t="str">
            <v>2024 Batch</v>
          </cell>
          <cell r="AK384">
            <v>90</v>
          </cell>
          <cell r="AL384" t="str">
            <v>PCS-04-032688</v>
          </cell>
          <cell r="AM384" t="b">
            <v>1</v>
          </cell>
          <cell r="AN384" t="str">
            <v xml:space="preserve">Done </v>
          </cell>
          <cell r="AO384">
            <v>40</v>
          </cell>
          <cell r="AP384">
            <v>46</v>
          </cell>
          <cell r="AQ384" t="str">
            <v>H+L</v>
          </cell>
          <cell r="AR384">
            <v>0.92810000000000026</v>
          </cell>
          <cell r="AS384">
            <v>90</v>
          </cell>
          <cell r="AT384">
            <v>55</v>
          </cell>
          <cell r="AU384" t="str">
            <v>FLAT</v>
          </cell>
          <cell r="AV384" t="str">
            <v>FLAT / BEACHSIDE SUN</v>
          </cell>
          <cell r="AW384" t="str">
            <v>DU-EXE</v>
          </cell>
          <cell r="AX384" t="str">
            <v>BEACHSIDE SUN</v>
          </cell>
          <cell r="AY384">
            <v>3860714.2857142859</v>
          </cell>
          <cell r="AZ384">
            <v>3950000</v>
          </cell>
          <cell r="BA384">
            <v>100000</v>
          </cell>
          <cell r="BB384">
            <v>3850000</v>
          </cell>
          <cell r="BC384">
            <v>412500</v>
          </cell>
          <cell r="BD384">
            <v>3437500</v>
          </cell>
        </row>
        <row r="385">
          <cell r="AD385" t="str">
            <v>ESE-01-041-001</v>
          </cell>
          <cell r="AE385" t="str">
            <v xml:space="preserve">Raemulan Lands, Inc. </v>
          </cell>
          <cell r="AF385" t="str">
            <v>Estanzia Enclave</v>
          </cell>
          <cell r="AG385" t="str">
            <v>ESE</v>
          </cell>
          <cell r="AH385" t="str">
            <v>Middle Income</v>
          </cell>
          <cell r="AI385" t="str">
            <v>01</v>
          </cell>
          <cell r="AJ385" t="str">
            <v>2024 Batch</v>
          </cell>
          <cell r="AK385">
            <v>103</v>
          </cell>
          <cell r="AL385" t="str">
            <v>PCS-04-032688</v>
          </cell>
          <cell r="AM385" t="b">
            <v>1</v>
          </cell>
          <cell r="AN385" t="str">
            <v xml:space="preserve">Done </v>
          </cell>
          <cell r="AO385">
            <v>41</v>
          </cell>
          <cell r="AP385">
            <v>1</v>
          </cell>
          <cell r="AQ385" t="str">
            <v>H+L</v>
          </cell>
          <cell r="AR385">
            <v>1.0000000000000002</v>
          </cell>
          <cell r="AS385">
            <v>103</v>
          </cell>
          <cell r="AT385">
            <v>55</v>
          </cell>
          <cell r="AU385" t="str">
            <v>FLAT</v>
          </cell>
          <cell r="AV385" t="str">
            <v>FLAT / HORIZON SUN</v>
          </cell>
          <cell r="AW385" t="str">
            <v>DU-EXE</v>
          </cell>
          <cell r="AX385" t="str">
            <v>HORIZON SUN</v>
          </cell>
          <cell r="AY385">
            <v>3366071.4285714286</v>
          </cell>
          <cell r="AZ385">
            <v>3893500</v>
          </cell>
          <cell r="BA385">
            <v>200000</v>
          </cell>
          <cell r="BB385">
            <v>3693500</v>
          </cell>
          <cell r="BC385">
            <v>395732.14285714284</v>
          </cell>
          <cell r="BD385">
            <v>3297767.8571428573</v>
          </cell>
        </row>
        <row r="386">
          <cell r="AD386" t="str">
            <v>ESE-01-041-002</v>
          </cell>
          <cell r="AE386" t="str">
            <v xml:space="preserve">Raemulan Lands, Inc. </v>
          </cell>
          <cell r="AF386" t="str">
            <v>Estanzia Enclave</v>
          </cell>
          <cell r="AG386" t="str">
            <v>ESE</v>
          </cell>
          <cell r="AH386" t="str">
            <v>Middle Income</v>
          </cell>
          <cell r="AI386" t="str">
            <v>01</v>
          </cell>
          <cell r="AJ386" t="str">
            <v>2024 Batch</v>
          </cell>
          <cell r="AK386">
            <v>90</v>
          </cell>
          <cell r="AL386" t="str">
            <v>PCS-04-032688</v>
          </cell>
          <cell r="AM386" t="b">
            <v>1</v>
          </cell>
          <cell r="AN386" t="str">
            <v xml:space="preserve">Done </v>
          </cell>
          <cell r="AO386">
            <v>41</v>
          </cell>
          <cell r="AP386">
            <v>2</v>
          </cell>
          <cell r="AQ386" t="str">
            <v>H+L</v>
          </cell>
          <cell r="AR386">
            <v>1.0000000000000002</v>
          </cell>
          <cell r="AS386">
            <v>90</v>
          </cell>
          <cell r="AT386">
            <v>55</v>
          </cell>
          <cell r="AU386" t="str">
            <v>SLANT</v>
          </cell>
          <cell r="AV386" t="str">
            <v>SLANT / HORIZON SUN</v>
          </cell>
          <cell r="AW386" t="str">
            <v>DU-EXE</v>
          </cell>
          <cell r="AX386" t="str">
            <v>HORIZON SUN</v>
          </cell>
          <cell r="AY386">
            <v>3526428.5714285714</v>
          </cell>
          <cell r="AZ386">
            <v>3705000</v>
          </cell>
          <cell r="BA386">
            <v>200000</v>
          </cell>
          <cell r="BB386">
            <v>3505000</v>
          </cell>
          <cell r="BC386">
            <v>423171.42857142846</v>
          </cell>
          <cell r="BD386">
            <v>3081828.5714285714</v>
          </cell>
        </row>
        <row r="387">
          <cell r="AD387" t="str">
            <v>ESE-01-041-003</v>
          </cell>
          <cell r="AE387" t="str">
            <v xml:space="preserve">Raemulan Lands, Inc. </v>
          </cell>
          <cell r="AF387" t="str">
            <v>Estanzia Enclave</v>
          </cell>
          <cell r="AG387" t="str">
            <v>ESE</v>
          </cell>
          <cell r="AH387" t="str">
            <v>Middle Income</v>
          </cell>
          <cell r="AI387" t="str">
            <v>01</v>
          </cell>
          <cell r="AJ387" t="str">
            <v>2024 Batch</v>
          </cell>
          <cell r="AK387">
            <v>90</v>
          </cell>
          <cell r="AL387" t="str">
            <v>PCS-04-032688</v>
          </cell>
          <cell r="AM387" t="b">
            <v>1</v>
          </cell>
          <cell r="AN387" t="str">
            <v xml:space="preserve">Done </v>
          </cell>
          <cell r="AO387">
            <v>41</v>
          </cell>
          <cell r="AP387">
            <v>3</v>
          </cell>
          <cell r="AQ387" t="str">
            <v>H+L</v>
          </cell>
          <cell r="AR387">
            <v>1.0000000000000002</v>
          </cell>
          <cell r="AS387">
            <v>90</v>
          </cell>
          <cell r="AT387">
            <v>55</v>
          </cell>
          <cell r="AU387" t="str">
            <v>FLAT</v>
          </cell>
          <cell r="AV387" t="str">
            <v>FLAT / HORIZON SUN</v>
          </cell>
          <cell r="AW387" t="str">
            <v>DU-EXE</v>
          </cell>
          <cell r="AX387" t="str">
            <v>HORIZON SUN</v>
          </cell>
          <cell r="AY387">
            <v>3600000</v>
          </cell>
          <cell r="AZ387">
            <v>3705000</v>
          </cell>
          <cell r="BA387">
            <v>110089.29000000004</v>
          </cell>
          <cell r="BB387">
            <v>3594910.71</v>
          </cell>
          <cell r="BC387">
            <v>0</v>
          </cell>
          <cell r="BD387">
            <v>3594910.71</v>
          </cell>
        </row>
        <row r="388">
          <cell r="AD388" t="str">
            <v>ESE-01-041-004</v>
          </cell>
          <cell r="AE388" t="str">
            <v xml:space="preserve">Raemulan Lands, Inc. </v>
          </cell>
          <cell r="AF388" t="str">
            <v>Estanzia Enclave</v>
          </cell>
          <cell r="AG388" t="str">
            <v>ESE</v>
          </cell>
          <cell r="AH388" t="str">
            <v>Middle Income</v>
          </cell>
          <cell r="AI388" t="str">
            <v>01</v>
          </cell>
          <cell r="AJ388" t="str">
            <v>2024 Batch</v>
          </cell>
          <cell r="AK388">
            <v>90</v>
          </cell>
          <cell r="AL388" t="str">
            <v>PCS-04-032688</v>
          </cell>
          <cell r="AM388" t="b">
            <v>1</v>
          </cell>
          <cell r="AN388" t="str">
            <v xml:space="preserve">Done </v>
          </cell>
          <cell r="AO388">
            <v>41</v>
          </cell>
          <cell r="AP388">
            <v>4</v>
          </cell>
          <cell r="AQ388" t="str">
            <v>H+L</v>
          </cell>
          <cell r="AR388">
            <v>1.0000000000000002</v>
          </cell>
          <cell r="AS388">
            <v>90</v>
          </cell>
          <cell r="AT388">
            <v>55</v>
          </cell>
          <cell r="AU388" t="str">
            <v>SLANT</v>
          </cell>
          <cell r="AV388" t="str">
            <v>SLANT / HORIZON SUN</v>
          </cell>
          <cell r="AW388" t="str">
            <v>DU-EXE</v>
          </cell>
          <cell r="AX388" t="str">
            <v>HORIZON SUN</v>
          </cell>
          <cell r="AY388">
            <v>3600000</v>
          </cell>
          <cell r="AZ388">
            <v>3705000</v>
          </cell>
          <cell r="BA388">
            <v>110089.29000000004</v>
          </cell>
          <cell r="BB388">
            <v>3594910.71</v>
          </cell>
          <cell r="BC388">
            <v>0</v>
          </cell>
          <cell r="BD388">
            <v>3594910.71</v>
          </cell>
        </row>
        <row r="389">
          <cell r="AD389" t="str">
            <v>ESE-01-041-005</v>
          </cell>
          <cell r="AE389" t="str">
            <v xml:space="preserve">Raemulan Lands, Inc. </v>
          </cell>
          <cell r="AF389" t="str">
            <v>Estanzia Enclave</v>
          </cell>
          <cell r="AG389" t="str">
            <v>ESE</v>
          </cell>
          <cell r="AH389" t="str">
            <v>Middle Income</v>
          </cell>
          <cell r="AI389" t="str">
            <v>01</v>
          </cell>
          <cell r="AJ389" t="str">
            <v>2024 Batch</v>
          </cell>
          <cell r="AK389">
            <v>90</v>
          </cell>
          <cell r="AL389" t="str">
            <v>PCS-04-032688</v>
          </cell>
          <cell r="AM389" t="b">
            <v>1</v>
          </cell>
          <cell r="AN389" t="str">
            <v xml:space="preserve">Done </v>
          </cell>
          <cell r="AO389">
            <v>41</v>
          </cell>
          <cell r="AP389">
            <v>5</v>
          </cell>
          <cell r="AQ389" t="str">
            <v>H+L</v>
          </cell>
          <cell r="AR389">
            <v>1.0000000000000002</v>
          </cell>
          <cell r="AS389">
            <v>90</v>
          </cell>
          <cell r="AT389">
            <v>55</v>
          </cell>
          <cell r="AU389" t="str">
            <v>SLANT</v>
          </cell>
          <cell r="AV389" t="str">
            <v>SLANT / BEACHSIDE SUN</v>
          </cell>
          <cell r="AW389" t="str">
            <v>DU-EXE</v>
          </cell>
          <cell r="AX389" t="str">
            <v>BEACHSIDE SUN</v>
          </cell>
          <cell r="AY389">
            <v>3710089.2857142859</v>
          </cell>
          <cell r="AZ389">
            <v>3705000</v>
          </cell>
          <cell r="BA389">
            <v>318700</v>
          </cell>
          <cell r="BB389">
            <v>3386300</v>
          </cell>
          <cell r="BC389">
            <v>445210.71428571426</v>
          </cell>
          <cell r="BD389">
            <v>2941089.2857142859</v>
          </cell>
        </row>
        <row r="390">
          <cell r="AD390" t="str">
            <v>ESE-01-041-006</v>
          </cell>
          <cell r="AE390" t="str">
            <v xml:space="preserve">Raemulan Lands, Inc. </v>
          </cell>
          <cell r="AF390" t="str">
            <v>Estanzia Enclave</v>
          </cell>
          <cell r="AG390" t="str">
            <v>ESE</v>
          </cell>
          <cell r="AH390" t="str">
            <v>Middle Income</v>
          </cell>
          <cell r="AI390" t="str">
            <v>01</v>
          </cell>
          <cell r="AJ390" t="str">
            <v>2024 Batch</v>
          </cell>
          <cell r="AK390">
            <v>90</v>
          </cell>
          <cell r="AL390" t="str">
            <v>PCS-04-032688</v>
          </cell>
          <cell r="AM390" t="b">
            <v>1</v>
          </cell>
          <cell r="AN390" t="str">
            <v xml:space="preserve">Done </v>
          </cell>
          <cell r="AO390">
            <v>41</v>
          </cell>
          <cell r="AP390">
            <v>6</v>
          </cell>
          <cell r="AQ390" t="str">
            <v>H+L</v>
          </cell>
          <cell r="AR390">
            <v>1.0000000000000002</v>
          </cell>
          <cell r="AS390">
            <v>90</v>
          </cell>
          <cell r="AT390">
            <v>55</v>
          </cell>
          <cell r="AU390" t="str">
            <v>FLAT</v>
          </cell>
          <cell r="AV390" t="str">
            <v>FLAT / BEACHSIDE SUN</v>
          </cell>
          <cell r="AW390" t="str">
            <v>DU-EXE</v>
          </cell>
          <cell r="AX390" t="str">
            <v>BEACHSIDE SUN</v>
          </cell>
          <cell r="AY390">
            <v>3710089.2857142859</v>
          </cell>
          <cell r="AZ390">
            <v>3705000</v>
          </cell>
          <cell r="BA390">
            <v>318700</v>
          </cell>
          <cell r="BB390">
            <v>3386300</v>
          </cell>
          <cell r="BC390">
            <v>445210.71428571426</v>
          </cell>
          <cell r="BD390">
            <v>2941089.2857142859</v>
          </cell>
        </row>
        <row r="391">
          <cell r="AD391" t="str">
            <v>ESE-01-041-007</v>
          </cell>
          <cell r="AE391" t="str">
            <v xml:space="preserve">Raemulan Lands, Inc. </v>
          </cell>
          <cell r="AF391" t="str">
            <v>Estanzia Enclave</v>
          </cell>
          <cell r="AG391" t="str">
            <v>ESE</v>
          </cell>
          <cell r="AH391" t="str">
            <v>Middle Income</v>
          </cell>
          <cell r="AI391" t="str">
            <v>01</v>
          </cell>
          <cell r="AJ391" t="str">
            <v>2024 Batch</v>
          </cell>
          <cell r="AK391">
            <v>90</v>
          </cell>
          <cell r="AL391" t="str">
            <v>PCS-04-032688</v>
          </cell>
          <cell r="AM391" t="b">
            <v>1</v>
          </cell>
          <cell r="AN391" t="str">
            <v xml:space="preserve">Done </v>
          </cell>
          <cell r="AO391">
            <v>41</v>
          </cell>
          <cell r="AP391">
            <v>7</v>
          </cell>
          <cell r="AQ391" t="str">
            <v>H+L</v>
          </cell>
          <cell r="AR391">
            <v>1.0000000000000002</v>
          </cell>
          <cell r="AS391">
            <v>90</v>
          </cell>
          <cell r="AT391">
            <v>55</v>
          </cell>
          <cell r="AU391" t="str">
            <v>SLANT</v>
          </cell>
          <cell r="AV391" t="str">
            <v>SLANT / BEACHSIDE SUN</v>
          </cell>
          <cell r="AW391" t="str">
            <v>DU-EXE</v>
          </cell>
          <cell r="AX391" t="str">
            <v>BEACHSIDE SUN</v>
          </cell>
          <cell r="AY391">
            <v>3420000</v>
          </cell>
          <cell r="AZ391">
            <v>3705000</v>
          </cell>
          <cell r="BA391">
            <v>0</v>
          </cell>
          <cell r="BB391">
            <v>3705000</v>
          </cell>
          <cell r="BC391">
            <v>396964.28571428574</v>
          </cell>
          <cell r="BD391">
            <v>3308035.7142857141</v>
          </cell>
        </row>
        <row r="392">
          <cell r="AD392" t="str">
            <v>ESE-01-041-008</v>
          </cell>
          <cell r="AE392" t="str">
            <v xml:space="preserve">Raemulan Lands, Inc. </v>
          </cell>
          <cell r="AF392" t="str">
            <v>Estanzia Enclave</v>
          </cell>
          <cell r="AG392" t="str">
            <v>ESE</v>
          </cell>
          <cell r="AH392" t="str">
            <v>Middle Income</v>
          </cell>
          <cell r="AI392" t="str">
            <v>01</v>
          </cell>
          <cell r="AJ392" t="str">
            <v>2024 Batch</v>
          </cell>
          <cell r="AK392">
            <v>80</v>
          </cell>
          <cell r="AL392" t="str">
            <v>PCS-04-032688</v>
          </cell>
          <cell r="AM392" t="b">
            <v>1</v>
          </cell>
          <cell r="AN392" t="str">
            <v xml:space="preserve">Done </v>
          </cell>
          <cell r="AO392">
            <v>41</v>
          </cell>
          <cell r="AP392">
            <v>8</v>
          </cell>
          <cell r="AQ392" t="str">
            <v>H+L</v>
          </cell>
          <cell r="AR392">
            <v>1.0000000000000002</v>
          </cell>
          <cell r="AS392">
            <v>80</v>
          </cell>
          <cell r="AT392">
            <v>55</v>
          </cell>
          <cell r="AU392" t="str">
            <v>FLAT</v>
          </cell>
          <cell r="AV392" t="str">
            <v>FLAT / BEACHSIDE SUN</v>
          </cell>
          <cell r="AW392" t="str">
            <v>DU-EXE</v>
          </cell>
          <cell r="AX392" t="str">
            <v>BEACHSIDE SUN</v>
          </cell>
          <cell r="AY392">
            <v>3600000</v>
          </cell>
          <cell r="AZ392">
            <v>3600000</v>
          </cell>
          <cell r="BA392">
            <v>0</v>
          </cell>
          <cell r="BB392">
            <v>3600000</v>
          </cell>
          <cell r="BC392">
            <v>0</v>
          </cell>
          <cell r="BD392">
            <v>3600000</v>
          </cell>
        </row>
        <row r="393">
          <cell r="AD393" t="str">
            <v>ESE-01-041-009</v>
          </cell>
          <cell r="AE393" t="str">
            <v xml:space="preserve">Raemulan Lands, Inc. </v>
          </cell>
          <cell r="AF393" t="str">
            <v>Estanzia Enclave</v>
          </cell>
          <cell r="AG393" t="str">
            <v>ESE</v>
          </cell>
          <cell r="AH393" t="str">
            <v>Middle Income</v>
          </cell>
          <cell r="AI393" t="str">
            <v>01</v>
          </cell>
          <cell r="AJ393" t="str">
            <v>2024 Batch</v>
          </cell>
          <cell r="AK393">
            <v>80</v>
          </cell>
          <cell r="AL393" t="str">
            <v>PCS-04-032688</v>
          </cell>
          <cell r="AM393" t="b">
            <v>1</v>
          </cell>
          <cell r="AN393" t="str">
            <v xml:space="preserve">Done </v>
          </cell>
          <cell r="AO393">
            <v>41</v>
          </cell>
          <cell r="AP393">
            <v>9</v>
          </cell>
          <cell r="AQ393" t="str">
            <v>H+L</v>
          </cell>
          <cell r="AR393">
            <v>1.0000000000000002</v>
          </cell>
          <cell r="AS393">
            <v>80</v>
          </cell>
          <cell r="AT393">
            <v>55</v>
          </cell>
          <cell r="AU393" t="str">
            <v>FLAT</v>
          </cell>
          <cell r="AV393" t="str">
            <v>FLAT / HORIZON SUN</v>
          </cell>
          <cell r="AW393" t="str">
            <v>DU-EXE</v>
          </cell>
          <cell r="AX393" t="str">
            <v>HORIZON SUN</v>
          </cell>
          <cell r="AY393">
            <v>3420000</v>
          </cell>
          <cell r="AZ393">
            <v>3600000</v>
          </cell>
          <cell r="BA393">
            <v>612000</v>
          </cell>
          <cell r="BB393">
            <v>2988000</v>
          </cell>
          <cell r="BC393">
            <v>0</v>
          </cell>
          <cell r="BD393">
            <v>2988000</v>
          </cell>
        </row>
        <row r="394">
          <cell r="AD394" t="str">
            <v>ESE-01-041-010</v>
          </cell>
          <cell r="AE394" t="str">
            <v xml:space="preserve">Raemulan Lands, Inc. </v>
          </cell>
          <cell r="AF394" t="str">
            <v>Estanzia Enclave</v>
          </cell>
          <cell r="AG394" t="str">
            <v>ESE</v>
          </cell>
          <cell r="AH394" t="str">
            <v>Middle Income</v>
          </cell>
          <cell r="AI394" t="str">
            <v>01</v>
          </cell>
          <cell r="AJ394" t="str">
            <v>2024 Batch</v>
          </cell>
          <cell r="AK394">
            <v>80</v>
          </cell>
          <cell r="AL394" t="str">
            <v>PCS-04-032688</v>
          </cell>
          <cell r="AM394" t="b">
            <v>1</v>
          </cell>
          <cell r="AN394" t="str">
            <v xml:space="preserve">Done </v>
          </cell>
          <cell r="AO394">
            <v>41</v>
          </cell>
          <cell r="AP394">
            <v>10</v>
          </cell>
          <cell r="AQ394" t="str">
            <v>H+L</v>
          </cell>
          <cell r="AR394">
            <v>1.0000000000000002</v>
          </cell>
          <cell r="AS394">
            <v>80</v>
          </cell>
          <cell r="AT394">
            <v>55</v>
          </cell>
          <cell r="AU394" t="str">
            <v>SLANT</v>
          </cell>
          <cell r="AV394" t="str">
            <v>SLANT / HORIZON SUN</v>
          </cell>
          <cell r="AW394" t="str">
            <v>DU-EXE</v>
          </cell>
          <cell r="AX394" t="str">
            <v>HORIZON SUN</v>
          </cell>
          <cell r="AY394">
            <v>3420000</v>
          </cell>
          <cell r="AZ394">
            <v>3600000</v>
          </cell>
          <cell r="BA394">
            <v>612000</v>
          </cell>
          <cell r="BB394">
            <v>2988000</v>
          </cell>
          <cell r="BC394">
            <v>0</v>
          </cell>
          <cell r="BD394">
            <v>2988000</v>
          </cell>
        </row>
        <row r="395">
          <cell r="AD395" t="str">
            <v>ESE-01-041-011</v>
          </cell>
          <cell r="AE395" t="str">
            <v xml:space="preserve">Raemulan Lands, Inc. </v>
          </cell>
          <cell r="AF395" t="str">
            <v>Estanzia Enclave</v>
          </cell>
          <cell r="AG395" t="str">
            <v>ESE</v>
          </cell>
          <cell r="AH395" t="str">
            <v>Middle Income</v>
          </cell>
          <cell r="AI395" t="str">
            <v>01</v>
          </cell>
          <cell r="AJ395" t="str">
            <v>2024 Batch</v>
          </cell>
          <cell r="AK395">
            <v>80</v>
          </cell>
          <cell r="AL395" t="str">
            <v>PCS-04-032688</v>
          </cell>
          <cell r="AM395" t="b">
            <v>1</v>
          </cell>
          <cell r="AN395" t="str">
            <v xml:space="preserve">Done </v>
          </cell>
          <cell r="AO395">
            <v>41</v>
          </cell>
          <cell r="AP395">
            <v>11</v>
          </cell>
          <cell r="AQ395" t="str">
            <v>H+L</v>
          </cell>
          <cell r="AR395">
            <v>1.0000000000000002</v>
          </cell>
          <cell r="AS395">
            <v>80</v>
          </cell>
          <cell r="AT395">
            <v>55</v>
          </cell>
          <cell r="AU395" t="str">
            <v>FLAT</v>
          </cell>
          <cell r="AV395" t="str">
            <v>FLAT / HORIZON SUN</v>
          </cell>
          <cell r="AW395" t="str">
            <v>DU-EXE</v>
          </cell>
          <cell r="AX395" t="str">
            <v>HORIZON SUN</v>
          </cell>
          <cell r="AY395">
            <v>3420000</v>
          </cell>
          <cell r="AZ395">
            <v>3600000</v>
          </cell>
          <cell r="BA395">
            <v>612000</v>
          </cell>
          <cell r="BB395">
            <v>2988000</v>
          </cell>
          <cell r="BC395">
            <v>0</v>
          </cell>
          <cell r="BD395">
            <v>2988000</v>
          </cell>
        </row>
        <row r="396">
          <cell r="AD396" t="str">
            <v>ESE-01-041-012</v>
          </cell>
          <cell r="AE396" t="str">
            <v xml:space="preserve">Raemulan Lands, Inc. </v>
          </cell>
          <cell r="AF396" t="str">
            <v>Estanzia Enclave</v>
          </cell>
          <cell r="AG396" t="str">
            <v>ESE</v>
          </cell>
          <cell r="AH396" t="str">
            <v>Middle Income</v>
          </cell>
          <cell r="AI396" t="str">
            <v>01</v>
          </cell>
          <cell r="AJ396" t="str">
            <v>2024 Batch</v>
          </cell>
          <cell r="AK396">
            <v>80</v>
          </cell>
          <cell r="AL396" t="str">
            <v>PCS-04-032688</v>
          </cell>
          <cell r="AM396" t="b">
            <v>1</v>
          </cell>
          <cell r="AN396" t="str">
            <v xml:space="preserve">Done </v>
          </cell>
          <cell r="AO396">
            <v>41</v>
          </cell>
          <cell r="AP396">
            <v>12</v>
          </cell>
          <cell r="AQ396" t="str">
            <v>H+L</v>
          </cell>
          <cell r="AR396">
            <v>1.0000000000000002</v>
          </cell>
          <cell r="AS396">
            <v>80</v>
          </cell>
          <cell r="AT396">
            <v>55</v>
          </cell>
          <cell r="AU396" t="str">
            <v>SLANT</v>
          </cell>
          <cell r="AV396" t="str">
            <v>SLANT / HORIZON SUN</v>
          </cell>
          <cell r="AW396" t="str">
            <v>DU-EXE</v>
          </cell>
          <cell r="AX396" t="str">
            <v>HORIZON SUN</v>
          </cell>
          <cell r="AY396">
            <v>3420000</v>
          </cell>
          <cell r="AZ396">
            <v>3600000</v>
          </cell>
          <cell r="BA396">
            <v>612000</v>
          </cell>
          <cell r="BB396">
            <v>2988000</v>
          </cell>
          <cell r="BC396">
            <v>0</v>
          </cell>
          <cell r="BD396">
            <v>2988000</v>
          </cell>
        </row>
        <row r="397">
          <cell r="AD397" t="str">
            <v>ESE-01-041-013</v>
          </cell>
          <cell r="AE397" t="str">
            <v xml:space="preserve">Raemulan Lands, Inc. </v>
          </cell>
          <cell r="AF397" t="str">
            <v>Estanzia Enclave</v>
          </cell>
          <cell r="AG397" t="str">
            <v>ESE</v>
          </cell>
          <cell r="AH397" t="str">
            <v>Middle Income</v>
          </cell>
          <cell r="AI397" t="str">
            <v>01</v>
          </cell>
          <cell r="AJ397" t="str">
            <v>2024 Batch</v>
          </cell>
          <cell r="AK397">
            <v>80</v>
          </cell>
          <cell r="AL397" t="str">
            <v>PCS-04-032688</v>
          </cell>
          <cell r="AM397" t="b">
            <v>1</v>
          </cell>
          <cell r="AN397" t="str">
            <v xml:space="preserve">Done </v>
          </cell>
          <cell r="AO397">
            <v>41</v>
          </cell>
          <cell r="AP397">
            <v>13</v>
          </cell>
          <cell r="AQ397" t="str">
            <v>H+L</v>
          </cell>
          <cell r="AR397">
            <v>1.0000000000000002</v>
          </cell>
          <cell r="AS397">
            <v>80</v>
          </cell>
          <cell r="AT397">
            <v>55</v>
          </cell>
          <cell r="AU397" t="str">
            <v>SLANT</v>
          </cell>
          <cell r="AV397" t="str">
            <v>SLANT / BEACHSIDE SUN</v>
          </cell>
          <cell r="AW397" t="str">
            <v>DU-EXE</v>
          </cell>
          <cell r="AX397" t="str">
            <v>BEACHSIDE SUN</v>
          </cell>
          <cell r="AY397">
            <v>3531514.4867376299</v>
          </cell>
          <cell r="AZ397">
            <v>3600000</v>
          </cell>
          <cell r="BA397">
            <v>0</v>
          </cell>
          <cell r="BB397">
            <v>3600000</v>
          </cell>
          <cell r="BC397">
            <v>0</v>
          </cell>
          <cell r="BD397">
            <v>3600000</v>
          </cell>
        </row>
        <row r="398">
          <cell r="AD398" t="str">
            <v>ESE-01-041-014</v>
          </cell>
          <cell r="AE398" t="str">
            <v xml:space="preserve">Raemulan Lands, Inc. </v>
          </cell>
          <cell r="AF398" t="str">
            <v>Estanzia Enclave</v>
          </cell>
          <cell r="AG398" t="str">
            <v>ESE</v>
          </cell>
          <cell r="AH398" t="str">
            <v>Middle Income</v>
          </cell>
          <cell r="AI398" t="str">
            <v>01</v>
          </cell>
          <cell r="AJ398" t="str">
            <v>2024 Batch</v>
          </cell>
          <cell r="AK398">
            <v>80</v>
          </cell>
          <cell r="AL398" t="str">
            <v>PCS-04-032688</v>
          </cell>
          <cell r="AM398" t="b">
            <v>1</v>
          </cell>
          <cell r="AN398" t="str">
            <v xml:space="preserve">Done </v>
          </cell>
          <cell r="AO398">
            <v>41</v>
          </cell>
          <cell r="AP398">
            <v>14</v>
          </cell>
          <cell r="AQ398" t="str">
            <v>H+L</v>
          </cell>
          <cell r="AR398">
            <v>1.0000000000000002</v>
          </cell>
          <cell r="AS398">
            <v>80</v>
          </cell>
          <cell r="AT398">
            <v>55</v>
          </cell>
          <cell r="AU398" t="str">
            <v>FLAT</v>
          </cell>
          <cell r="AV398" t="str">
            <v>FLAT / BEACHSIDE SUN</v>
          </cell>
          <cell r="AW398" t="str">
            <v>DU-EXE</v>
          </cell>
          <cell r="AX398" t="str">
            <v>BEACHSIDE SUN</v>
          </cell>
          <cell r="AY398">
            <v>3420000</v>
          </cell>
          <cell r="AZ398">
            <v>3600000</v>
          </cell>
          <cell r="BA398">
            <v>612000</v>
          </cell>
          <cell r="BB398">
            <v>2988000</v>
          </cell>
          <cell r="BC398">
            <v>0</v>
          </cell>
          <cell r="BD398">
            <v>2988000</v>
          </cell>
        </row>
        <row r="399">
          <cell r="AD399" t="str">
            <v>ESE-01-041-015</v>
          </cell>
          <cell r="AE399" t="str">
            <v xml:space="preserve">Raemulan Lands, Inc. </v>
          </cell>
          <cell r="AF399" t="str">
            <v>Estanzia Enclave</v>
          </cell>
          <cell r="AG399" t="str">
            <v>ESE</v>
          </cell>
          <cell r="AH399" t="str">
            <v>Middle Income</v>
          </cell>
          <cell r="AI399" t="str">
            <v>01</v>
          </cell>
          <cell r="AJ399" t="str">
            <v>2024 Batch</v>
          </cell>
          <cell r="AK399">
            <v>80</v>
          </cell>
          <cell r="AL399" t="str">
            <v>PCS-04-032688</v>
          </cell>
          <cell r="AM399" t="b">
            <v>1</v>
          </cell>
          <cell r="AN399" t="str">
            <v xml:space="preserve">Done </v>
          </cell>
          <cell r="AO399">
            <v>41</v>
          </cell>
          <cell r="AP399">
            <v>15</v>
          </cell>
          <cell r="AQ399" t="str">
            <v>H+L</v>
          </cell>
          <cell r="AR399">
            <v>1.0000000000000002</v>
          </cell>
          <cell r="AS399">
            <v>80</v>
          </cell>
          <cell r="AT399">
            <v>55</v>
          </cell>
          <cell r="AU399" t="str">
            <v>SLANT</v>
          </cell>
          <cell r="AV399" t="str">
            <v>SLANT / BEACHSIDE SUN</v>
          </cell>
          <cell r="AW399" t="str">
            <v>DU-EXE</v>
          </cell>
          <cell r="AX399" t="str">
            <v>BEACHSIDE SUN</v>
          </cell>
          <cell r="AY399">
            <v>3600000</v>
          </cell>
          <cell r="AZ399">
            <v>3600000</v>
          </cell>
          <cell r="BA399">
            <v>432000</v>
          </cell>
          <cell r="BB399">
            <v>3168000</v>
          </cell>
          <cell r="BC399">
            <v>0</v>
          </cell>
          <cell r="BD399">
            <v>3168000</v>
          </cell>
        </row>
        <row r="400">
          <cell r="AD400" t="str">
            <v>ESE-01-041-016</v>
          </cell>
          <cell r="AE400" t="str">
            <v xml:space="preserve">Raemulan Lands, Inc. </v>
          </cell>
          <cell r="AF400" t="str">
            <v>Estanzia Enclave</v>
          </cell>
          <cell r="AG400" t="str">
            <v>ESE</v>
          </cell>
          <cell r="AH400" t="str">
            <v>Middle Income</v>
          </cell>
          <cell r="AI400" t="str">
            <v>01</v>
          </cell>
          <cell r="AJ400" t="str">
            <v>2024 Batch</v>
          </cell>
          <cell r="AK400">
            <v>80</v>
          </cell>
          <cell r="AL400" t="str">
            <v>PCS-04-032688</v>
          </cell>
          <cell r="AM400" t="b">
            <v>1</v>
          </cell>
          <cell r="AN400" t="str">
            <v xml:space="preserve">Done </v>
          </cell>
          <cell r="AO400">
            <v>41</v>
          </cell>
          <cell r="AP400">
            <v>16</v>
          </cell>
          <cell r="AQ400" t="str">
            <v>H+L</v>
          </cell>
          <cell r="AR400">
            <v>1.0000000000000002</v>
          </cell>
          <cell r="AS400">
            <v>80</v>
          </cell>
          <cell r="AT400">
            <v>55</v>
          </cell>
          <cell r="AU400" t="str">
            <v>FLAT</v>
          </cell>
          <cell r="AV400" t="str">
            <v>FLAT / BEACHSIDE SUN</v>
          </cell>
          <cell r="AW400" t="str">
            <v>DU-EXE</v>
          </cell>
          <cell r="AX400" t="str">
            <v>BEACHSIDE SUN</v>
          </cell>
          <cell r="AY400">
            <v>3600000</v>
          </cell>
          <cell r="AZ400">
            <v>3600000</v>
          </cell>
          <cell r="BA400">
            <v>0</v>
          </cell>
          <cell r="BB400">
            <v>3600000</v>
          </cell>
          <cell r="BC400">
            <v>0</v>
          </cell>
          <cell r="BD400">
            <v>3600000</v>
          </cell>
        </row>
        <row r="401">
          <cell r="AD401" t="str">
            <v>ESE-01-041-017</v>
          </cell>
          <cell r="AE401" t="str">
            <v xml:space="preserve">Raemulan Lands, Inc. </v>
          </cell>
          <cell r="AF401" t="str">
            <v>Estanzia Enclave</v>
          </cell>
          <cell r="AG401" t="str">
            <v>ESE</v>
          </cell>
          <cell r="AH401" t="str">
            <v>Middle Income</v>
          </cell>
          <cell r="AI401" t="str">
            <v>01</v>
          </cell>
          <cell r="AJ401" t="str">
            <v>2024 Batch</v>
          </cell>
          <cell r="AK401">
            <v>80</v>
          </cell>
          <cell r="AL401" t="str">
            <v>PCS-04-032688</v>
          </cell>
          <cell r="AM401" t="b">
            <v>1</v>
          </cell>
          <cell r="AN401" t="str">
            <v xml:space="preserve">Done </v>
          </cell>
          <cell r="AO401">
            <v>41</v>
          </cell>
          <cell r="AP401">
            <v>17</v>
          </cell>
          <cell r="AQ401" t="str">
            <v>H+L</v>
          </cell>
          <cell r="AR401">
            <v>1.0000000000000002</v>
          </cell>
          <cell r="AS401">
            <v>80</v>
          </cell>
          <cell r="AT401">
            <v>55</v>
          </cell>
          <cell r="AU401" t="str">
            <v>FLAT</v>
          </cell>
          <cell r="AV401" t="str">
            <v>FLAT / HORIZON SUN</v>
          </cell>
          <cell r="AW401" t="str">
            <v>DU-EXE</v>
          </cell>
          <cell r="AX401" t="str">
            <v>HORIZON SUN</v>
          </cell>
          <cell r="AY401">
            <v>3420000</v>
          </cell>
          <cell r="AZ401">
            <v>3600000</v>
          </cell>
          <cell r="BA401">
            <v>432000</v>
          </cell>
          <cell r="BB401">
            <v>3168000</v>
          </cell>
          <cell r="BC401">
            <v>0</v>
          </cell>
          <cell r="BD401">
            <v>3168000</v>
          </cell>
        </row>
        <row r="402">
          <cell r="AD402" t="str">
            <v>ESE-01-041-024</v>
          </cell>
          <cell r="AE402" t="str">
            <v xml:space="preserve">Raemulan Lands, Inc. </v>
          </cell>
          <cell r="AF402" t="str">
            <v>Estanzia Enclave</v>
          </cell>
          <cell r="AG402" t="str">
            <v>ESE</v>
          </cell>
          <cell r="AH402" t="str">
            <v>Middle Income</v>
          </cell>
          <cell r="AI402" t="str">
            <v>01</v>
          </cell>
          <cell r="AJ402" t="str">
            <v>2024 Batch</v>
          </cell>
          <cell r="AK402">
            <v>87</v>
          </cell>
          <cell r="AL402" t="str">
            <v>PCS-04-032688</v>
          </cell>
          <cell r="AM402" t="b">
            <v>1</v>
          </cell>
          <cell r="AN402" t="str">
            <v xml:space="preserve">Done </v>
          </cell>
          <cell r="AO402">
            <v>41</v>
          </cell>
          <cell r="AP402">
            <v>24</v>
          </cell>
          <cell r="AQ402" t="str">
            <v>H+L</v>
          </cell>
          <cell r="AR402">
            <v>1.0000000000000002</v>
          </cell>
          <cell r="AS402">
            <v>87</v>
          </cell>
          <cell r="AT402">
            <v>55</v>
          </cell>
          <cell r="AU402" t="str">
            <v>SLANT</v>
          </cell>
          <cell r="AV402" t="str">
            <v>SLANT / HORIZON SUN</v>
          </cell>
          <cell r="AW402" t="str">
            <v>DU-EXE</v>
          </cell>
          <cell r="AX402" t="str">
            <v>HORIZON SUN</v>
          </cell>
          <cell r="AY402">
            <v>3510000</v>
          </cell>
          <cell r="AZ402">
            <v>3661500</v>
          </cell>
          <cell r="BA402">
            <v>200000</v>
          </cell>
          <cell r="BB402">
            <v>3461500</v>
          </cell>
          <cell r="BC402">
            <v>0</v>
          </cell>
          <cell r="BD402">
            <v>3461500</v>
          </cell>
        </row>
        <row r="403">
          <cell r="AD403" t="str">
            <v>ESE-01-041-025</v>
          </cell>
          <cell r="AE403" t="str">
            <v xml:space="preserve">Raemulan Lands, Inc. </v>
          </cell>
          <cell r="AF403" t="str">
            <v>Estanzia Enclave</v>
          </cell>
          <cell r="AG403" t="str">
            <v>ESE</v>
          </cell>
          <cell r="AH403" t="str">
            <v>Middle Income</v>
          </cell>
          <cell r="AI403" t="str">
            <v>01</v>
          </cell>
          <cell r="AJ403" t="str">
            <v>2024 Batch</v>
          </cell>
          <cell r="AK403">
            <v>85</v>
          </cell>
          <cell r="AL403" t="str">
            <v>PCS-04-032688</v>
          </cell>
          <cell r="AM403" t="b">
            <v>1</v>
          </cell>
          <cell r="AN403" t="str">
            <v xml:space="preserve">Done </v>
          </cell>
          <cell r="AO403">
            <v>41</v>
          </cell>
          <cell r="AP403">
            <v>25</v>
          </cell>
          <cell r="AQ403" t="str">
            <v>H+L</v>
          </cell>
          <cell r="AR403">
            <v>1.0000000000000002</v>
          </cell>
          <cell r="AS403">
            <v>85</v>
          </cell>
          <cell r="AT403">
            <v>55</v>
          </cell>
          <cell r="AU403" t="str">
            <v>FLAT</v>
          </cell>
          <cell r="AV403" t="str">
            <v>FLAT / HORIZON SUN</v>
          </cell>
          <cell r="AW403" t="str">
            <v>DU-EXE</v>
          </cell>
          <cell r="AX403" t="str">
            <v>HORIZON SUN</v>
          </cell>
          <cell r="AY403">
            <v>3600000</v>
          </cell>
          <cell r="AZ403">
            <v>3632500</v>
          </cell>
          <cell r="BA403">
            <v>432000</v>
          </cell>
          <cell r="BB403">
            <v>3200500</v>
          </cell>
          <cell r="BC403">
            <v>0</v>
          </cell>
          <cell r="BD403">
            <v>3200500</v>
          </cell>
        </row>
        <row r="404">
          <cell r="AD404" t="str">
            <v>ESE-01-041-026</v>
          </cell>
          <cell r="AE404" t="str">
            <v xml:space="preserve">Raemulan Lands, Inc. </v>
          </cell>
          <cell r="AF404" t="str">
            <v>Estanzia Enclave</v>
          </cell>
          <cell r="AG404" t="str">
            <v>ESE</v>
          </cell>
          <cell r="AH404" t="str">
            <v>Middle Income</v>
          </cell>
          <cell r="AI404" t="str">
            <v>01</v>
          </cell>
          <cell r="AJ404" t="str">
            <v>2024 Batch</v>
          </cell>
          <cell r="AK404">
            <v>80</v>
          </cell>
          <cell r="AL404" t="str">
            <v>PCS-04-032688</v>
          </cell>
          <cell r="AM404" t="b">
            <v>1</v>
          </cell>
          <cell r="AN404" t="str">
            <v xml:space="preserve">Done </v>
          </cell>
          <cell r="AO404">
            <v>41</v>
          </cell>
          <cell r="AP404">
            <v>26</v>
          </cell>
          <cell r="AQ404" t="str">
            <v>H+L</v>
          </cell>
          <cell r="AR404">
            <v>1.0000000000000002</v>
          </cell>
          <cell r="AS404">
            <v>80</v>
          </cell>
          <cell r="AT404">
            <v>55</v>
          </cell>
          <cell r="AU404" t="str">
            <v>SLANT</v>
          </cell>
          <cell r="AV404" t="str">
            <v>SLANT / HORIZON SUN</v>
          </cell>
          <cell r="AW404" t="str">
            <v>DU-EXE</v>
          </cell>
          <cell r="AX404" t="str">
            <v>HORIZON SUN</v>
          </cell>
          <cell r="AY404">
            <v>3400000</v>
          </cell>
          <cell r="AZ404">
            <v>3600000</v>
          </cell>
          <cell r="BA404">
            <v>200000</v>
          </cell>
          <cell r="BB404">
            <v>3400000</v>
          </cell>
          <cell r="BC404">
            <v>0</v>
          </cell>
          <cell r="BD404">
            <v>3400000</v>
          </cell>
        </row>
        <row r="405">
          <cell r="AD405" t="str">
            <v>ESE-01-041-027</v>
          </cell>
          <cell r="AE405" t="str">
            <v xml:space="preserve">Raemulan Lands, Inc. </v>
          </cell>
          <cell r="AF405" t="str">
            <v>Estanzia Enclave</v>
          </cell>
          <cell r="AG405" t="str">
            <v>ESE</v>
          </cell>
          <cell r="AH405" t="str">
            <v>Middle Income</v>
          </cell>
          <cell r="AI405" t="str">
            <v>01</v>
          </cell>
          <cell r="AJ405" t="str">
            <v>2024 Batch</v>
          </cell>
          <cell r="AK405">
            <v>80</v>
          </cell>
          <cell r="AL405" t="str">
            <v>PCS-04-032688</v>
          </cell>
          <cell r="AM405" t="b">
            <v>1</v>
          </cell>
          <cell r="AN405" t="str">
            <v xml:space="preserve">Done </v>
          </cell>
          <cell r="AO405">
            <v>41</v>
          </cell>
          <cell r="AP405">
            <v>27</v>
          </cell>
          <cell r="AQ405" t="str">
            <v>H+L</v>
          </cell>
          <cell r="AR405">
            <v>1.0000000000000002</v>
          </cell>
          <cell r="AS405">
            <v>80</v>
          </cell>
          <cell r="AT405">
            <v>55</v>
          </cell>
          <cell r="AU405" t="str">
            <v>SLANT</v>
          </cell>
          <cell r="AV405" t="str">
            <v>SLANT / BEACHSIDE SUN</v>
          </cell>
          <cell r="AW405" t="str">
            <v>DU-EXE</v>
          </cell>
          <cell r="AX405" t="str">
            <v>BEACHSIDE SUN</v>
          </cell>
          <cell r="AY405">
            <v>3600000</v>
          </cell>
          <cell r="AZ405">
            <v>3600000</v>
          </cell>
          <cell r="BA405">
            <v>432000</v>
          </cell>
          <cell r="BB405">
            <v>3168000</v>
          </cell>
          <cell r="BC405">
            <v>0</v>
          </cell>
          <cell r="BD405">
            <v>3168000</v>
          </cell>
        </row>
        <row r="406">
          <cell r="AD406" t="str">
            <v>ESE-01-041-028</v>
          </cell>
          <cell r="AE406" t="str">
            <v xml:space="preserve">Raemulan Lands, Inc. </v>
          </cell>
          <cell r="AF406" t="str">
            <v>Estanzia Enclave</v>
          </cell>
          <cell r="AG406" t="str">
            <v>ESE</v>
          </cell>
          <cell r="AH406" t="str">
            <v>Middle Income</v>
          </cell>
          <cell r="AI406" t="str">
            <v>01</v>
          </cell>
          <cell r="AJ406" t="str">
            <v>2024 Batch</v>
          </cell>
          <cell r="AK406">
            <v>80</v>
          </cell>
          <cell r="AL406" t="str">
            <v>PCS-04-032688</v>
          </cell>
          <cell r="AM406" t="b">
            <v>1</v>
          </cell>
          <cell r="AN406" t="str">
            <v xml:space="preserve">Done </v>
          </cell>
          <cell r="AO406">
            <v>41</v>
          </cell>
          <cell r="AP406">
            <v>28</v>
          </cell>
          <cell r="AQ406" t="str">
            <v>H+L</v>
          </cell>
          <cell r="AR406">
            <v>1.0000000000000002</v>
          </cell>
          <cell r="AS406">
            <v>80</v>
          </cell>
          <cell r="AT406">
            <v>55</v>
          </cell>
          <cell r="AU406" t="str">
            <v>FLAT</v>
          </cell>
          <cell r="AV406" t="str">
            <v>FLAT / BEACHSIDE SUN</v>
          </cell>
          <cell r="AW406" t="str">
            <v>DU-EXE</v>
          </cell>
          <cell r="AX406" t="str">
            <v>BEACHSIDE SUN</v>
          </cell>
          <cell r="AY406">
            <v>3600000</v>
          </cell>
          <cell r="AZ406">
            <v>3600000</v>
          </cell>
          <cell r="BA406">
            <v>432000</v>
          </cell>
          <cell r="BB406">
            <v>3168000</v>
          </cell>
          <cell r="BC406">
            <v>0</v>
          </cell>
          <cell r="BD406">
            <v>3168000</v>
          </cell>
        </row>
        <row r="407">
          <cell r="AD407" t="str">
            <v>ESE-01-041-029</v>
          </cell>
          <cell r="AE407" t="str">
            <v xml:space="preserve">Raemulan Lands, Inc. </v>
          </cell>
          <cell r="AF407" t="str">
            <v>Estanzia Enclave</v>
          </cell>
          <cell r="AG407" t="str">
            <v>ESE</v>
          </cell>
          <cell r="AH407" t="str">
            <v>Middle Income</v>
          </cell>
          <cell r="AI407" t="str">
            <v>01</v>
          </cell>
          <cell r="AJ407" t="str">
            <v>2024 Batch</v>
          </cell>
          <cell r="AK407">
            <v>80</v>
          </cell>
          <cell r="AL407" t="str">
            <v>PCS-04-032688</v>
          </cell>
          <cell r="AM407" t="b">
            <v>1</v>
          </cell>
          <cell r="AN407" t="str">
            <v xml:space="preserve">Done </v>
          </cell>
          <cell r="AO407">
            <v>41</v>
          </cell>
          <cell r="AP407">
            <v>29</v>
          </cell>
          <cell r="AQ407" t="str">
            <v>H+L</v>
          </cell>
          <cell r="AR407">
            <v>1.0000000000000002</v>
          </cell>
          <cell r="AS407">
            <v>80</v>
          </cell>
          <cell r="AT407">
            <v>55</v>
          </cell>
          <cell r="AU407" t="str">
            <v>FLAT</v>
          </cell>
          <cell r="AV407" t="str">
            <v>FLAT / BEACHSIDE SUN</v>
          </cell>
          <cell r="AW407" t="str">
            <v>DU-EXE</v>
          </cell>
          <cell r="AX407" t="str">
            <v>BEACHSIDE SUN</v>
          </cell>
          <cell r="AY407">
            <v>3420000</v>
          </cell>
          <cell r="AZ407">
            <v>3600000</v>
          </cell>
          <cell r="BA407">
            <v>612000</v>
          </cell>
          <cell r="BB407">
            <v>2988000</v>
          </cell>
          <cell r="BC407">
            <v>0</v>
          </cell>
          <cell r="BD407">
            <v>2988000</v>
          </cell>
        </row>
        <row r="408">
          <cell r="AD408" t="str">
            <v>ESE-01-041-030</v>
          </cell>
          <cell r="AE408" t="str">
            <v xml:space="preserve">Raemulan Lands, Inc. </v>
          </cell>
          <cell r="AF408" t="str">
            <v>Estanzia Enclave</v>
          </cell>
          <cell r="AG408" t="str">
            <v>ESE</v>
          </cell>
          <cell r="AH408" t="str">
            <v>Middle Income</v>
          </cell>
          <cell r="AI408" t="str">
            <v>01</v>
          </cell>
          <cell r="AJ408" t="str">
            <v>2024 Batch</v>
          </cell>
          <cell r="AK408">
            <v>80</v>
          </cell>
          <cell r="AL408" t="str">
            <v>PCS-04-032688</v>
          </cell>
          <cell r="AM408" t="b">
            <v>1</v>
          </cell>
          <cell r="AN408" t="str">
            <v xml:space="preserve">Done </v>
          </cell>
          <cell r="AO408">
            <v>41</v>
          </cell>
          <cell r="AP408">
            <v>30</v>
          </cell>
          <cell r="AQ408" t="str">
            <v>H+L</v>
          </cell>
          <cell r="AR408">
            <v>1.0000000000000002</v>
          </cell>
          <cell r="AS408">
            <v>80</v>
          </cell>
          <cell r="AT408">
            <v>55</v>
          </cell>
          <cell r="AU408" t="str">
            <v>SLANT</v>
          </cell>
          <cell r="AV408" t="str">
            <v>SLANT / BEACHSIDE SUN</v>
          </cell>
          <cell r="AW408" t="str">
            <v>DU-EXE</v>
          </cell>
          <cell r="AX408" t="str">
            <v>BEACHSIDE SUN</v>
          </cell>
          <cell r="AY408">
            <v>3600000</v>
          </cell>
          <cell r="AZ408">
            <v>3600000</v>
          </cell>
          <cell r="BA408">
            <v>432000</v>
          </cell>
          <cell r="BB408">
            <v>3168000</v>
          </cell>
          <cell r="BC408">
            <v>0</v>
          </cell>
          <cell r="BD408">
            <v>3168000</v>
          </cell>
        </row>
        <row r="409">
          <cell r="AD409" t="str">
            <v>ESE-01-041-031</v>
          </cell>
          <cell r="AE409" t="str">
            <v xml:space="preserve">Raemulan Lands, Inc. </v>
          </cell>
          <cell r="AF409" t="str">
            <v>Estanzia Enclave</v>
          </cell>
          <cell r="AG409" t="str">
            <v>ESE</v>
          </cell>
          <cell r="AH409" t="str">
            <v>Middle Income</v>
          </cell>
          <cell r="AI409" t="str">
            <v>01</v>
          </cell>
          <cell r="AJ409" t="str">
            <v>2024 Batch</v>
          </cell>
          <cell r="AK409">
            <v>80</v>
          </cell>
          <cell r="AL409" t="str">
            <v>PCS-04-032688</v>
          </cell>
          <cell r="AM409" t="b">
            <v>1</v>
          </cell>
          <cell r="AN409" t="str">
            <v xml:space="preserve">Done </v>
          </cell>
          <cell r="AO409">
            <v>41</v>
          </cell>
          <cell r="AP409">
            <v>31</v>
          </cell>
          <cell r="AQ409" t="str">
            <v>H+L</v>
          </cell>
          <cell r="AR409">
            <v>1</v>
          </cell>
          <cell r="AS409">
            <v>80</v>
          </cell>
          <cell r="AT409">
            <v>55</v>
          </cell>
          <cell r="AU409" t="str">
            <v>SLANT</v>
          </cell>
          <cell r="AV409" t="str">
            <v>SLANT / HORIZON SUN</v>
          </cell>
          <cell r="AW409" t="str">
            <v>DU-EXE</v>
          </cell>
          <cell r="AX409" t="str">
            <v>HORIZON SUN</v>
          </cell>
          <cell r="AY409">
            <v>3420000</v>
          </cell>
          <cell r="AZ409">
            <v>3600000</v>
          </cell>
          <cell r="BA409">
            <v>612000</v>
          </cell>
          <cell r="BB409">
            <v>2988000</v>
          </cell>
          <cell r="BC409">
            <v>0</v>
          </cell>
          <cell r="BD409">
            <v>2988000</v>
          </cell>
        </row>
        <row r="410">
          <cell r="AD410" t="str">
            <v>ESE-01-041-032</v>
          </cell>
          <cell r="AE410" t="str">
            <v xml:space="preserve">Raemulan Lands, Inc. </v>
          </cell>
          <cell r="AF410" t="str">
            <v>Estanzia Enclave</v>
          </cell>
          <cell r="AG410" t="str">
            <v>ESE</v>
          </cell>
          <cell r="AH410" t="str">
            <v>Middle Income</v>
          </cell>
          <cell r="AI410" t="str">
            <v>01</v>
          </cell>
          <cell r="AJ410" t="str">
            <v>2024 Batch</v>
          </cell>
          <cell r="AK410">
            <v>80</v>
          </cell>
          <cell r="AL410" t="str">
            <v>PCS-04-032688</v>
          </cell>
          <cell r="AM410" t="b">
            <v>1</v>
          </cell>
          <cell r="AN410" t="str">
            <v xml:space="preserve">Done </v>
          </cell>
          <cell r="AO410">
            <v>41</v>
          </cell>
          <cell r="AP410">
            <v>32</v>
          </cell>
          <cell r="AQ410" t="str">
            <v>H+L</v>
          </cell>
          <cell r="AR410">
            <v>1</v>
          </cell>
          <cell r="AS410">
            <v>80</v>
          </cell>
          <cell r="AT410">
            <v>55</v>
          </cell>
          <cell r="AU410" t="str">
            <v>FLAT</v>
          </cell>
          <cell r="AV410" t="str">
            <v>FLAT / HORIZON SUN</v>
          </cell>
          <cell r="AW410" t="str">
            <v>DU-EXE</v>
          </cell>
          <cell r="AX410" t="str">
            <v>HORIZON SUN</v>
          </cell>
          <cell r="AY410">
            <v>3420000</v>
          </cell>
          <cell r="AZ410">
            <v>3600000</v>
          </cell>
          <cell r="BA410">
            <v>612000</v>
          </cell>
          <cell r="BB410">
            <v>2988000</v>
          </cell>
          <cell r="BC410">
            <v>0</v>
          </cell>
          <cell r="BD410">
            <v>2988000</v>
          </cell>
        </row>
        <row r="411">
          <cell r="AD411" t="str">
            <v>ESE-01-041-033</v>
          </cell>
          <cell r="AE411" t="str">
            <v xml:space="preserve">Raemulan Lands, Inc. </v>
          </cell>
          <cell r="AF411" t="str">
            <v>Estanzia Enclave</v>
          </cell>
          <cell r="AG411" t="str">
            <v>ESE</v>
          </cell>
          <cell r="AH411" t="str">
            <v>Middle Income</v>
          </cell>
          <cell r="AI411" t="str">
            <v>01</v>
          </cell>
          <cell r="AJ411" t="str">
            <v>2024 Batch</v>
          </cell>
          <cell r="AK411">
            <v>80</v>
          </cell>
          <cell r="AL411" t="str">
            <v>PCS-04-032688</v>
          </cell>
          <cell r="AM411" t="b">
            <v>1</v>
          </cell>
          <cell r="AN411" t="str">
            <v xml:space="preserve">Done </v>
          </cell>
          <cell r="AO411">
            <v>41</v>
          </cell>
          <cell r="AP411">
            <v>33</v>
          </cell>
          <cell r="AQ411" t="str">
            <v>H+L</v>
          </cell>
          <cell r="AR411">
            <v>1</v>
          </cell>
          <cell r="AS411">
            <v>80</v>
          </cell>
          <cell r="AT411">
            <v>55</v>
          </cell>
          <cell r="AU411" t="str">
            <v>FLAT</v>
          </cell>
          <cell r="AV411" t="str">
            <v>FLAT / HORIZON SUN</v>
          </cell>
          <cell r="AW411" t="str">
            <v>DU-EXE</v>
          </cell>
          <cell r="AX411" t="str">
            <v>HORIZON SUN</v>
          </cell>
          <cell r="AY411">
            <v>3600000</v>
          </cell>
          <cell r="AZ411">
            <v>3600000</v>
          </cell>
          <cell r="BA411">
            <v>432000</v>
          </cell>
          <cell r="BB411">
            <v>3168000</v>
          </cell>
          <cell r="BC411">
            <v>0</v>
          </cell>
          <cell r="BD411">
            <v>3168000</v>
          </cell>
        </row>
        <row r="412">
          <cell r="AD412" t="str">
            <v>ESE-01-041-034</v>
          </cell>
          <cell r="AE412" t="str">
            <v xml:space="preserve">Raemulan Lands, Inc. </v>
          </cell>
          <cell r="AF412" t="str">
            <v>Estanzia Enclave</v>
          </cell>
          <cell r="AG412" t="str">
            <v>ESE</v>
          </cell>
          <cell r="AH412" t="str">
            <v>Middle Income</v>
          </cell>
          <cell r="AI412" t="str">
            <v>01</v>
          </cell>
          <cell r="AJ412" t="str">
            <v>2024 Batch</v>
          </cell>
          <cell r="AK412">
            <v>80</v>
          </cell>
          <cell r="AL412" t="str">
            <v>PCS-04-032688</v>
          </cell>
          <cell r="AM412" t="b">
            <v>1</v>
          </cell>
          <cell r="AN412" t="str">
            <v xml:space="preserve">Done </v>
          </cell>
          <cell r="AO412">
            <v>41</v>
          </cell>
          <cell r="AP412">
            <v>34</v>
          </cell>
          <cell r="AQ412" t="str">
            <v>H+L</v>
          </cell>
          <cell r="AR412">
            <v>1</v>
          </cell>
          <cell r="AS412">
            <v>80</v>
          </cell>
          <cell r="AT412">
            <v>55</v>
          </cell>
          <cell r="AU412" t="str">
            <v>SLANT</v>
          </cell>
          <cell r="AV412" t="str">
            <v>SLANT / HORIZON SUN</v>
          </cell>
          <cell r="AW412" t="str">
            <v>DU-EXE</v>
          </cell>
          <cell r="AX412" t="str">
            <v>HORIZON SUN</v>
          </cell>
          <cell r="AY412">
            <v>3600000</v>
          </cell>
          <cell r="AZ412">
            <v>3600000</v>
          </cell>
          <cell r="BA412">
            <v>432000</v>
          </cell>
          <cell r="BB412">
            <v>3168000</v>
          </cell>
          <cell r="BC412">
            <v>0</v>
          </cell>
          <cell r="BD412">
            <v>3168000</v>
          </cell>
        </row>
        <row r="413">
          <cell r="AD413" t="str">
            <v>ESE-01-041-035</v>
          </cell>
          <cell r="AE413" t="str">
            <v xml:space="preserve">Raemulan Lands, Inc. </v>
          </cell>
          <cell r="AF413" t="str">
            <v>Estanzia Enclave</v>
          </cell>
          <cell r="AG413" t="str">
            <v>ESE</v>
          </cell>
          <cell r="AH413" t="str">
            <v>Middle Income</v>
          </cell>
          <cell r="AI413" t="str">
            <v>01</v>
          </cell>
          <cell r="AJ413" t="str">
            <v>2024 Batch</v>
          </cell>
          <cell r="AK413">
            <v>80</v>
          </cell>
          <cell r="AL413" t="str">
            <v>PCS-04-032688</v>
          </cell>
          <cell r="AM413" t="b">
            <v>1</v>
          </cell>
          <cell r="AN413" t="str">
            <v xml:space="preserve">Done </v>
          </cell>
          <cell r="AO413">
            <v>41</v>
          </cell>
          <cell r="AP413">
            <v>35</v>
          </cell>
          <cell r="AQ413" t="str">
            <v>H+L</v>
          </cell>
          <cell r="AR413">
            <v>1.0000000000000002</v>
          </cell>
          <cell r="AS413">
            <v>80</v>
          </cell>
          <cell r="AT413">
            <v>55</v>
          </cell>
          <cell r="AU413" t="str">
            <v>SLANT</v>
          </cell>
          <cell r="AV413" t="str">
            <v>SLANT / BEACHSIDE SUN</v>
          </cell>
          <cell r="AW413" t="str">
            <v>DU-EXE</v>
          </cell>
          <cell r="AX413" t="str">
            <v>BEACHSIDE SUN</v>
          </cell>
          <cell r="AY413">
            <v>3420000</v>
          </cell>
          <cell r="AZ413">
            <v>3600000</v>
          </cell>
          <cell r="BA413">
            <v>612000</v>
          </cell>
          <cell r="BB413">
            <v>2988000</v>
          </cell>
          <cell r="BC413">
            <v>0</v>
          </cell>
          <cell r="BD413">
            <v>2988000</v>
          </cell>
        </row>
        <row r="414">
          <cell r="AD414" t="str">
            <v>ESE-01-041-036</v>
          </cell>
          <cell r="AE414" t="str">
            <v xml:space="preserve">Raemulan Lands, Inc. </v>
          </cell>
          <cell r="AF414" t="str">
            <v>Estanzia Enclave</v>
          </cell>
          <cell r="AG414" t="str">
            <v>ESE</v>
          </cell>
          <cell r="AH414" t="str">
            <v>Middle Income</v>
          </cell>
          <cell r="AI414" t="str">
            <v>01</v>
          </cell>
          <cell r="AJ414" t="str">
            <v>2024 Batch</v>
          </cell>
          <cell r="AK414">
            <v>80</v>
          </cell>
          <cell r="AL414" t="str">
            <v>PCS-04-032688</v>
          </cell>
          <cell r="AM414" t="b">
            <v>1</v>
          </cell>
          <cell r="AN414" t="str">
            <v xml:space="preserve">Done </v>
          </cell>
          <cell r="AO414">
            <v>41</v>
          </cell>
          <cell r="AP414">
            <v>36</v>
          </cell>
          <cell r="AQ414" t="str">
            <v>H+L</v>
          </cell>
          <cell r="AR414">
            <v>1.0000000000000002</v>
          </cell>
          <cell r="AS414">
            <v>80</v>
          </cell>
          <cell r="AT414">
            <v>55</v>
          </cell>
          <cell r="AU414" t="str">
            <v>FLAT</v>
          </cell>
          <cell r="AV414" t="str">
            <v>FLAT / BEACHSIDE SUN</v>
          </cell>
          <cell r="AW414" t="str">
            <v>DU-EXE</v>
          </cell>
          <cell r="AX414" t="str">
            <v>BEACHSIDE SUN</v>
          </cell>
          <cell r="AY414">
            <v>3600000</v>
          </cell>
          <cell r="AZ414">
            <v>3600000</v>
          </cell>
          <cell r="BA414">
            <v>432000</v>
          </cell>
          <cell r="BB414">
            <v>3168000</v>
          </cell>
          <cell r="BC414">
            <v>0</v>
          </cell>
          <cell r="BD414">
            <v>3168000</v>
          </cell>
        </row>
        <row r="415">
          <cell r="AD415" t="str">
            <v>ESE-01-041-037</v>
          </cell>
          <cell r="AE415" t="str">
            <v xml:space="preserve">Raemulan Lands, Inc. </v>
          </cell>
          <cell r="AF415" t="str">
            <v>Estanzia Enclave</v>
          </cell>
          <cell r="AG415" t="str">
            <v>ESE</v>
          </cell>
          <cell r="AH415" t="str">
            <v>Middle Income</v>
          </cell>
          <cell r="AI415" t="str">
            <v>01</v>
          </cell>
          <cell r="AJ415" t="str">
            <v>2024 Batch</v>
          </cell>
          <cell r="AK415">
            <v>80</v>
          </cell>
          <cell r="AL415" t="str">
            <v>PCS-04-032688</v>
          </cell>
          <cell r="AM415" t="b">
            <v>1</v>
          </cell>
          <cell r="AN415" t="str">
            <v xml:space="preserve">Done </v>
          </cell>
          <cell r="AO415">
            <v>41</v>
          </cell>
          <cell r="AP415">
            <v>37</v>
          </cell>
          <cell r="AQ415" t="str">
            <v>H+L</v>
          </cell>
          <cell r="AR415">
            <v>1.0000000000000002</v>
          </cell>
          <cell r="AS415">
            <v>80</v>
          </cell>
          <cell r="AT415">
            <v>55</v>
          </cell>
          <cell r="AU415" t="str">
            <v>FLAT</v>
          </cell>
          <cell r="AV415" t="str">
            <v>FLAT / BEACHSIDE SUN</v>
          </cell>
          <cell r="AW415" t="str">
            <v>DU-EXE</v>
          </cell>
          <cell r="AX415" t="str">
            <v>BEACHSIDE SUN</v>
          </cell>
          <cell r="AY415">
            <v>3420000</v>
          </cell>
          <cell r="AZ415">
            <v>3600000</v>
          </cell>
          <cell r="BA415">
            <v>612000</v>
          </cell>
          <cell r="BB415">
            <v>2988000</v>
          </cell>
          <cell r="BC415">
            <v>0</v>
          </cell>
          <cell r="BD415">
            <v>2988000</v>
          </cell>
        </row>
        <row r="416">
          <cell r="AD416" t="str">
            <v>ESE-01-041-038</v>
          </cell>
          <cell r="AE416" t="str">
            <v xml:space="preserve">Raemulan Lands, Inc. </v>
          </cell>
          <cell r="AF416" t="str">
            <v>Estanzia Enclave</v>
          </cell>
          <cell r="AG416" t="str">
            <v>ESE</v>
          </cell>
          <cell r="AH416" t="str">
            <v>Middle Income</v>
          </cell>
          <cell r="AI416" t="str">
            <v>01</v>
          </cell>
          <cell r="AJ416" t="str">
            <v>2024 Batch</v>
          </cell>
          <cell r="AK416">
            <v>80</v>
          </cell>
          <cell r="AL416" t="str">
            <v>PCS-04-032688</v>
          </cell>
          <cell r="AM416" t="b">
            <v>1</v>
          </cell>
          <cell r="AN416" t="str">
            <v xml:space="preserve">Done </v>
          </cell>
          <cell r="AO416">
            <v>41</v>
          </cell>
          <cell r="AP416">
            <v>38</v>
          </cell>
          <cell r="AQ416" t="str">
            <v>H+L</v>
          </cell>
          <cell r="AR416">
            <v>1.0000000000000002</v>
          </cell>
          <cell r="AS416">
            <v>80</v>
          </cell>
          <cell r="AT416">
            <v>55</v>
          </cell>
          <cell r="AU416" t="str">
            <v>SLANT</v>
          </cell>
          <cell r="AV416" t="str">
            <v>SLANT / BEACHSIDE SUN</v>
          </cell>
          <cell r="AW416" t="str">
            <v>DU-EXE</v>
          </cell>
          <cell r="AX416" t="str">
            <v>BEACHSIDE SUN</v>
          </cell>
          <cell r="AY416">
            <v>3420000</v>
          </cell>
          <cell r="AZ416">
            <v>3600000</v>
          </cell>
          <cell r="BA416">
            <v>612000</v>
          </cell>
          <cell r="BB416">
            <v>2988000</v>
          </cell>
          <cell r="BC416">
            <v>0</v>
          </cell>
          <cell r="BD416">
            <v>2988000</v>
          </cell>
        </row>
        <row r="417">
          <cell r="AD417" t="str">
            <v>ESE-01-041-039</v>
          </cell>
          <cell r="AE417" t="str">
            <v xml:space="preserve">Raemulan Lands, Inc. </v>
          </cell>
          <cell r="AF417" t="str">
            <v>Estanzia Enclave</v>
          </cell>
          <cell r="AG417" t="str">
            <v>ESE</v>
          </cell>
          <cell r="AH417" t="str">
            <v>Middle Income</v>
          </cell>
          <cell r="AI417" t="str">
            <v>01</v>
          </cell>
          <cell r="AJ417" t="str">
            <v>2024 Batch</v>
          </cell>
          <cell r="AK417">
            <v>80</v>
          </cell>
          <cell r="AL417" t="str">
            <v>PCS-04-032688</v>
          </cell>
          <cell r="AM417" t="b">
            <v>1</v>
          </cell>
          <cell r="AN417" t="str">
            <v xml:space="preserve">Done </v>
          </cell>
          <cell r="AO417">
            <v>41</v>
          </cell>
          <cell r="AP417">
            <v>39</v>
          </cell>
          <cell r="AQ417" t="str">
            <v>H+L</v>
          </cell>
          <cell r="AR417">
            <v>1.0000000000000002</v>
          </cell>
          <cell r="AS417">
            <v>80</v>
          </cell>
          <cell r="AT417">
            <v>55</v>
          </cell>
          <cell r="AU417" t="str">
            <v>SLANT</v>
          </cell>
          <cell r="AV417" t="str">
            <v>SLANT / HORIZON SUN</v>
          </cell>
          <cell r="AW417" t="str">
            <v>DU-EXE</v>
          </cell>
          <cell r="AX417" t="str">
            <v>HORIZON SUN</v>
          </cell>
          <cell r="AY417">
            <v>3420000</v>
          </cell>
          <cell r="AZ417">
            <v>3600000</v>
          </cell>
          <cell r="BA417">
            <v>612000</v>
          </cell>
          <cell r="BB417">
            <v>2988000</v>
          </cell>
          <cell r="BC417">
            <v>0</v>
          </cell>
          <cell r="BD417">
            <v>2988000</v>
          </cell>
        </row>
        <row r="418">
          <cell r="AD418" t="str">
            <v>ESE-01-041-040</v>
          </cell>
          <cell r="AE418" t="str">
            <v xml:space="preserve">Raemulan Lands, Inc. </v>
          </cell>
          <cell r="AF418" t="str">
            <v>Estanzia Enclave</v>
          </cell>
          <cell r="AG418" t="str">
            <v>ESE</v>
          </cell>
          <cell r="AH418" t="str">
            <v>Middle Income</v>
          </cell>
          <cell r="AI418" t="str">
            <v>01</v>
          </cell>
          <cell r="AJ418" t="str">
            <v>2024 Batch</v>
          </cell>
          <cell r="AK418">
            <v>90</v>
          </cell>
          <cell r="AL418" t="str">
            <v>PCS-04-032688</v>
          </cell>
          <cell r="AM418" t="b">
            <v>1</v>
          </cell>
          <cell r="AN418" t="str">
            <v xml:space="preserve">Done </v>
          </cell>
          <cell r="AO418">
            <v>41</v>
          </cell>
          <cell r="AP418">
            <v>40</v>
          </cell>
          <cell r="AQ418" t="str">
            <v>H+L</v>
          </cell>
          <cell r="AR418">
            <v>1.0000000000000002</v>
          </cell>
          <cell r="AS418">
            <v>90</v>
          </cell>
          <cell r="AT418">
            <v>55</v>
          </cell>
          <cell r="AU418" t="str">
            <v>FLAT</v>
          </cell>
          <cell r="AV418" t="str">
            <v>FLAT / HORIZON SUN</v>
          </cell>
          <cell r="AW418" t="str">
            <v>DU-EXE</v>
          </cell>
          <cell r="AX418" t="str">
            <v>HORIZON SUN</v>
          </cell>
          <cell r="AY418">
            <v>3616071.4285714286</v>
          </cell>
          <cell r="AZ418">
            <v>3705000</v>
          </cell>
          <cell r="BA418">
            <v>200000</v>
          </cell>
          <cell r="BB418">
            <v>3505000</v>
          </cell>
          <cell r="BC418">
            <v>433928.57142857136</v>
          </cell>
          <cell r="BD418">
            <v>3071071.4285714286</v>
          </cell>
        </row>
        <row r="419">
          <cell r="AD419" t="str">
            <v>ESE-01-041-041</v>
          </cell>
          <cell r="AE419" t="str">
            <v xml:space="preserve">Raemulan Lands, Inc. </v>
          </cell>
          <cell r="AF419" t="str">
            <v>Estanzia Enclave</v>
          </cell>
          <cell r="AG419" t="str">
            <v>ESE</v>
          </cell>
          <cell r="AH419" t="str">
            <v>Middle Income</v>
          </cell>
          <cell r="AI419" t="str">
            <v>01</v>
          </cell>
          <cell r="AJ419" t="str">
            <v>2024 Batch</v>
          </cell>
          <cell r="AK419">
            <v>90</v>
          </cell>
          <cell r="AL419" t="str">
            <v>PCS-04-032688</v>
          </cell>
          <cell r="AM419" t="b">
            <v>1</v>
          </cell>
          <cell r="AN419" t="str">
            <v xml:space="preserve">Done </v>
          </cell>
          <cell r="AO419">
            <v>41</v>
          </cell>
          <cell r="AP419">
            <v>41</v>
          </cell>
          <cell r="AQ419" t="str">
            <v>H+L</v>
          </cell>
          <cell r="AR419">
            <v>1.0000000000000002</v>
          </cell>
          <cell r="AS419">
            <v>90</v>
          </cell>
          <cell r="AT419">
            <v>55</v>
          </cell>
          <cell r="AU419" t="str">
            <v>FLAT</v>
          </cell>
          <cell r="AV419" t="str">
            <v>FLAT / HORIZON SUN</v>
          </cell>
          <cell r="AW419" t="str">
            <v>DU-EXE</v>
          </cell>
          <cell r="AX419" t="str">
            <v>HORIZON SUN</v>
          </cell>
          <cell r="AY419">
            <v>3901785.7142857141</v>
          </cell>
          <cell r="AZ419">
            <v>3805000</v>
          </cell>
          <cell r="BA419">
            <v>0</v>
          </cell>
          <cell r="BB419">
            <v>3805000</v>
          </cell>
          <cell r="BC419">
            <v>407678.57142857142</v>
          </cell>
          <cell r="BD419">
            <v>3397321.4285714286</v>
          </cell>
        </row>
        <row r="420">
          <cell r="AD420" t="str">
            <v>ESE-01-041-043</v>
          </cell>
          <cell r="AE420" t="str">
            <v xml:space="preserve">Raemulan Lands, Inc. </v>
          </cell>
          <cell r="AF420" t="str">
            <v>Estanzia Enclave</v>
          </cell>
          <cell r="AG420" t="str">
            <v>ESE</v>
          </cell>
          <cell r="AH420" t="str">
            <v>Middle Income</v>
          </cell>
          <cell r="AI420" t="str">
            <v>01</v>
          </cell>
          <cell r="AJ420" t="str">
            <v>2024 Batch</v>
          </cell>
          <cell r="AK420">
            <v>107</v>
          </cell>
          <cell r="AL420" t="str">
            <v>PCS-04-032688</v>
          </cell>
          <cell r="AM420" t="b">
            <v>1</v>
          </cell>
          <cell r="AN420" t="str">
            <v xml:space="preserve">Done </v>
          </cell>
          <cell r="AO420">
            <v>41</v>
          </cell>
          <cell r="AP420">
            <v>43</v>
          </cell>
          <cell r="AQ420" t="str">
            <v>H+L</v>
          </cell>
          <cell r="AR420">
            <v>1.0000000000000002</v>
          </cell>
          <cell r="AS420">
            <v>107</v>
          </cell>
          <cell r="AT420">
            <v>55</v>
          </cell>
          <cell r="AU420" t="str">
            <v>SLANT</v>
          </cell>
          <cell r="AV420" t="str">
            <v>SLANT / HORIZON SUN</v>
          </cell>
          <cell r="AW420" t="str">
            <v>DU-EXE</v>
          </cell>
          <cell r="AX420" t="str">
            <v>HORIZON SUN</v>
          </cell>
          <cell r="AY420">
            <v>3866071.4285714286</v>
          </cell>
          <cell r="AZ420">
            <v>3951500</v>
          </cell>
          <cell r="BA420">
            <v>200000</v>
          </cell>
          <cell r="BB420">
            <v>3751500</v>
          </cell>
          <cell r="BC420">
            <v>401946.42857142858</v>
          </cell>
          <cell r="BD420">
            <v>3349553.5714285714</v>
          </cell>
        </row>
        <row r="421">
          <cell r="AD421" t="str">
            <v>ESE-01-042-001</v>
          </cell>
          <cell r="AE421" t="str">
            <v xml:space="preserve">Raemulan Lands, Inc. </v>
          </cell>
          <cell r="AF421" t="str">
            <v>Estanzia Enclave</v>
          </cell>
          <cell r="AG421" t="str">
            <v>ESE</v>
          </cell>
          <cell r="AH421" t="str">
            <v>Middle Income</v>
          </cell>
          <cell r="AI421" t="str">
            <v>01</v>
          </cell>
          <cell r="AJ421" t="str">
            <v>Batch 5 2025</v>
          </cell>
          <cell r="AK421">
            <v>108</v>
          </cell>
          <cell r="AL421" t="str">
            <v>PCS-04-032688</v>
          </cell>
          <cell r="AM421" t="b">
            <v>1</v>
          </cell>
          <cell r="AN421" t="str">
            <v xml:space="preserve">Done </v>
          </cell>
          <cell r="AO421">
            <v>42</v>
          </cell>
          <cell r="AP421">
            <v>1</v>
          </cell>
          <cell r="AQ421" t="str">
            <v>H+L</v>
          </cell>
          <cell r="AR421" t="str">
            <v>NA</v>
          </cell>
          <cell r="AS421">
            <v>108</v>
          </cell>
          <cell r="AT421">
            <v>55</v>
          </cell>
          <cell r="AU421" t="str">
            <v>SLANT</v>
          </cell>
          <cell r="AV421" t="str">
            <v>SLANT / BEACHSIDE SUN</v>
          </cell>
          <cell r="AW421" t="str">
            <v>DU-EXE</v>
          </cell>
          <cell r="AX421" t="str">
            <v>BEACHSIDE SUN</v>
          </cell>
          <cell r="AY421">
            <v>3973214.2857142859</v>
          </cell>
          <cell r="AZ421">
            <v>3966000</v>
          </cell>
          <cell r="BA421">
            <v>0</v>
          </cell>
          <cell r="BB421">
            <v>3966000</v>
          </cell>
          <cell r="BC421">
            <v>424928.57142857142</v>
          </cell>
          <cell r="BD421">
            <v>3541071.4285714286</v>
          </cell>
        </row>
        <row r="422">
          <cell r="AD422" t="str">
            <v>ESE-01-042-002</v>
          </cell>
          <cell r="AE422" t="str">
            <v xml:space="preserve">Raemulan Lands, Inc. </v>
          </cell>
          <cell r="AF422" t="str">
            <v>Estanzia Enclave</v>
          </cell>
          <cell r="AG422" t="str">
            <v>ESE</v>
          </cell>
          <cell r="AH422" t="str">
            <v>Middle Income</v>
          </cell>
          <cell r="AI422" t="str">
            <v>01</v>
          </cell>
          <cell r="AJ422" t="str">
            <v>Batch 5 2025</v>
          </cell>
          <cell r="AK422">
            <v>80</v>
          </cell>
          <cell r="AL422" t="str">
            <v>PCS-04-032688</v>
          </cell>
          <cell r="AM422" t="b">
            <v>1</v>
          </cell>
          <cell r="AN422" t="str">
            <v xml:space="preserve">Done </v>
          </cell>
          <cell r="AO422">
            <v>42</v>
          </cell>
          <cell r="AP422">
            <v>2</v>
          </cell>
          <cell r="AQ422" t="str">
            <v>H+L</v>
          </cell>
          <cell r="AR422" t="str">
            <v>NA</v>
          </cell>
          <cell r="AS422">
            <v>80</v>
          </cell>
          <cell r="AT422">
            <v>55</v>
          </cell>
          <cell r="AU422" t="str">
            <v>FLAT</v>
          </cell>
          <cell r="AV422" t="str">
            <v>FLAT / BEACHSIDE SUN</v>
          </cell>
          <cell r="AW422" t="str">
            <v>DU-EXE</v>
          </cell>
          <cell r="AX422" t="str">
            <v>BEACHSIDE SUN</v>
          </cell>
          <cell r="AY422">
            <v>3600000</v>
          </cell>
          <cell r="AZ422">
            <v>3560000</v>
          </cell>
          <cell r="BA422">
            <v>432000</v>
          </cell>
          <cell r="BB422">
            <v>3128000</v>
          </cell>
          <cell r="BC422">
            <v>0</v>
          </cell>
          <cell r="BD422">
            <v>3128000</v>
          </cell>
        </row>
        <row r="423">
          <cell r="AD423" t="str">
            <v>ESE-01-042-003</v>
          </cell>
          <cell r="AE423" t="str">
            <v xml:space="preserve">Raemulan Lands, Inc. </v>
          </cell>
          <cell r="AF423" t="str">
            <v>Estanzia Enclave</v>
          </cell>
          <cell r="AG423" t="str">
            <v>ESE</v>
          </cell>
          <cell r="AH423" t="str">
            <v>Middle Income</v>
          </cell>
          <cell r="AI423" t="str">
            <v>01</v>
          </cell>
          <cell r="AJ423" t="str">
            <v>Batch 5 2025</v>
          </cell>
          <cell r="AK423">
            <v>80</v>
          </cell>
          <cell r="AL423" t="str">
            <v>PCS-04-032688</v>
          </cell>
          <cell r="AM423" t="b">
            <v>1</v>
          </cell>
          <cell r="AN423" t="str">
            <v xml:space="preserve">Done </v>
          </cell>
          <cell r="AO423">
            <v>42</v>
          </cell>
          <cell r="AP423">
            <v>3</v>
          </cell>
          <cell r="AQ423" t="str">
            <v>H+L</v>
          </cell>
          <cell r="AR423" t="str">
            <v>NA</v>
          </cell>
          <cell r="AS423">
            <v>80</v>
          </cell>
          <cell r="AT423">
            <v>55</v>
          </cell>
          <cell r="AU423" t="str">
            <v>FLAT</v>
          </cell>
          <cell r="AV423" t="str">
            <v>FLAT / HORIZON SUN</v>
          </cell>
          <cell r="AW423" t="str">
            <v>DU-EXE</v>
          </cell>
          <cell r="AX423" t="str">
            <v>HORIZON SUN</v>
          </cell>
          <cell r="AY423">
            <v>3600000</v>
          </cell>
          <cell r="AZ423">
            <v>3560000</v>
          </cell>
          <cell r="BA423">
            <v>432000</v>
          </cell>
          <cell r="BB423">
            <v>3128000</v>
          </cell>
          <cell r="BC423">
            <v>0</v>
          </cell>
          <cell r="BD423">
            <v>3128000</v>
          </cell>
        </row>
        <row r="424">
          <cell r="AD424" t="str">
            <v>ESE-01-042-004</v>
          </cell>
          <cell r="AE424" t="str">
            <v xml:space="preserve">Raemulan Lands, Inc. </v>
          </cell>
          <cell r="AF424" t="str">
            <v>Estanzia Enclave</v>
          </cell>
          <cell r="AG424" t="str">
            <v>ESE</v>
          </cell>
          <cell r="AH424" t="str">
            <v>Middle Income</v>
          </cell>
          <cell r="AI424" t="str">
            <v>01</v>
          </cell>
          <cell r="AJ424" t="str">
            <v>Batch 5 2025</v>
          </cell>
          <cell r="AK424">
            <v>100</v>
          </cell>
          <cell r="AL424" t="str">
            <v>PCS-04-032688</v>
          </cell>
          <cell r="AM424" t="b">
            <v>1</v>
          </cell>
          <cell r="AN424" t="str">
            <v xml:space="preserve">Done </v>
          </cell>
          <cell r="AO424">
            <v>42</v>
          </cell>
          <cell r="AP424">
            <v>4</v>
          </cell>
          <cell r="AQ424" t="str">
            <v>H+L</v>
          </cell>
          <cell r="AR424" t="str">
            <v>NA</v>
          </cell>
          <cell r="AS424">
            <v>100</v>
          </cell>
          <cell r="AT424">
            <v>55</v>
          </cell>
          <cell r="AU424" t="str">
            <v>SLANT</v>
          </cell>
          <cell r="AV424" t="str">
            <v>SLANT / HORIZON SUN</v>
          </cell>
          <cell r="AW424" t="str">
            <v>DU-EXE</v>
          </cell>
          <cell r="AX424" t="str">
            <v>HORIZON SUN</v>
          </cell>
          <cell r="AY424">
            <v>3600000</v>
          </cell>
          <cell r="AZ424">
            <v>3850000</v>
          </cell>
          <cell r="BA424">
            <v>432000</v>
          </cell>
          <cell r="BB424">
            <v>3418000</v>
          </cell>
          <cell r="BC424">
            <v>0</v>
          </cell>
          <cell r="BD424">
            <v>3418000</v>
          </cell>
        </row>
        <row r="425">
          <cell r="AD425" t="str">
            <v>ESE-01-042-005</v>
          </cell>
          <cell r="AE425" t="str">
            <v xml:space="preserve">Raemulan Lands, Inc. </v>
          </cell>
          <cell r="AF425" t="str">
            <v>Estanzia Enclave</v>
          </cell>
          <cell r="AG425" t="str">
            <v>ESE</v>
          </cell>
          <cell r="AH425" t="str">
            <v>Middle Income</v>
          </cell>
          <cell r="AI425" t="str">
            <v>01</v>
          </cell>
          <cell r="AJ425" t="str">
            <v>Batch 5 2025</v>
          </cell>
          <cell r="AK425">
            <v>100</v>
          </cell>
          <cell r="AL425" t="str">
            <v>PCS-04-032688</v>
          </cell>
          <cell r="AM425" t="b">
            <v>1</v>
          </cell>
          <cell r="AN425" t="str">
            <v xml:space="preserve">Done </v>
          </cell>
          <cell r="AO425">
            <v>42</v>
          </cell>
          <cell r="AP425">
            <v>5</v>
          </cell>
          <cell r="AQ425" t="str">
            <v>H+L</v>
          </cell>
          <cell r="AR425" t="str">
            <v>NA</v>
          </cell>
          <cell r="AS425">
            <v>100</v>
          </cell>
          <cell r="AT425">
            <v>55</v>
          </cell>
          <cell r="AU425" t="str">
            <v>SLANT</v>
          </cell>
          <cell r="AV425" t="str">
            <v>SLANT / NA</v>
          </cell>
          <cell r="AW425" t="str">
            <v>DU-EXE</v>
          </cell>
          <cell r="AX425" t="str">
            <v>NA</v>
          </cell>
          <cell r="AY425">
            <v>3420000</v>
          </cell>
          <cell r="AZ425">
            <v>3850000</v>
          </cell>
          <cell r="BA425">
            <v>0</v>
          </cell>
          <cell r="BB425">
            <v>3850000</v>
          </cell>
          <cell r="BC425">
            <v>412500</v>
          </cell>
          <cell r="BD425">
            <v>3437500</v>
          </cell>
        </row>
        <row r="426">
          <cell r="AD426" t="str">
            <v>ESE-01-042-008</v>
          </cell>
          <cell r="AE426" t="str">
            <v xml:space="preserve">Raemulan Lands, Inc. </v>
          </cell>
          <cell r="AF426" t="str">
            <v>Estanzia Enclave</v>
          </cell>
          <cell r="AG426" t="str">
            <v>ESE</v>
          </cell>
          <cell r="AH426" t="str">
            <v>Middle Income</v>
          </cell>
          <cell r="AI426" t="str">
            <v>01</v>
          </cell>
          <cell r="AJ426" t="str">
            <v>Batch 5 2025</v>
          </cell>
          <cell r="AK426">
            <v>80</v>
          </cell>
          <cell r="AL426" t="str">
            <v>PCS-04-032688</v>
          </cell>
          <cell r="AM426" t="b">
            <v>1</v>
          </cell>
          <cell r="AN426" t="str">
            <v xml:space="preserve">Done </v>
          </cell>
          <cell r="AO426">
            <v>42</v>
          </cell>
          <cell r="AP426">
            <v>8</v>
          </cell>
          <cell r="AQ426" t="str">
            <v>H+L</v>
          </cell>
          <cell r="AR426" t="str">
            <v>NA</v>
          </cell>
          <cell r="AS426">
            <v>80</v>
          </cell>
          <cell r="AT426">
            <v>55</v>
          </cell>
          <cell r="AU426" t="str">
            <v>FLAT</v>
          </cell>
          <cell r="AV426" t="str">
            <v>FLAT / BEACHSIDE SUN</v>
          </cell>
          <cell r="AW426" t="str">
            <v>DU-EXE</v>
          </cell>
          <cell r="AX426" t="str">
            <v>BEACHSIDE SUN</v>
          </cell>
          <cell r="AY426">
            <v>3600000</v>
          </cell>
          <cell r="AZ426">
            <v>3560000</v>
          </cell>
          <cell r="BA426">
            <v>432000</v>
          </cell>
          <cell r="BB426">
            <v>3128000</v>
          </cell>
          <cell r="BC426">
            <v>0</v>
          </cell>
          <cell r="BD426">
            <v>3128000</v>
          </cell>
        </row>
        <row r="427">
          <cell r="AD427" t="str">
            <v>ESE-01-042-009</v>
          </cell>
          <cell r="AE427" t="str">
            <v xml:space="preserve">Raemulan Lands, Inc. </v>
          </cell>
          <cell r="AF427" t="str">
            <v>Estanzia Enclave</v>
          </cell>
          <cell r="AG427" t="str">
            <v>ESE</v>
          </cell>
          <cell r="AH427" t="str">
            <v>Middle Income</v>
          </cell>
          <cell r="AI427" t="str">
            <v>01</v>
          </cell>
          <cell r="AJ427" t="str">
            <v>Batch 5 2025</v>
          </cell>
          <cell r="AK427">
            <v>80</v>
          </cell>
          <cell r="AL427" t="str">
            <v>PCS-04-032688</v>
          </cell>
          <cell r="AM427" t="b">
            <v>1</v>
          </cell>
          <cell r="AN427" t="str">
            <v xml:space="preserve">Done </v>
          </cell>
          <cell r="AO427">
            <v>42</v>
          </cell>
          <cell r="AP427">
            <v>9</v>
          </cell>
          <cell r="AQ427" t="str">
            <v>H+L</v>
          </cell>
          <cell r="AR427" t="str">
            <v>NA</v>
          </cell>
          <cell r="AS427">
            <v>80</v>
          </cell>
          <cell r="AT427">
            <v>55</v>
          </cell>
          <cell r="AU427" t="str">
            <v>FLAT</v>
          </cell>
          <cell r="AV427" t="str">
            <v>FLAT / HORIZON SUN</v>
          </cell>
          <cell r="AW427" t="str">
            <v>DU-EXE</v>
          </cell>
          <cell r="AX427" t="str">
            <v>HORIZON SUN</v>
          </cell>
          <cell r="AY427">
            <v>3600000</v>
          </cell>
          <cell r="AZ427">
            <v>3560000</v>
          </cell>
          <cell r="BA427">
            <v>432000</v>
          </cell>
          <cell r="BB427">
            <v>3128000</v>
          </cell>
          <cell r="BC427">
            <v>0</v>
          </cell>
          <cell r="BD427">
            <v>3128000</v>
          </cell>
        </row>
        <row r="428">
          <cell r="AD428" t="str">
            <v>ESE-01-042-010</v>
          </cell>
          <cell r="AE428" t="str">
            <v xml:space="preserve">Raemulan Lands, Inc. </v>
          </cell>
          <cell r="AF428" t="str">
            <v>Estanzia Enclave</v>
          </cell>
          <cell r="AG428" t="str">
            <v>ESE</v>
          </cell>
          <cell r="AH428" t="str">
            <v>Middle Income</v>
          </cell>
          <cell r="AI428" t="str">
            <v>01</v>
          </cell>
          <cell r="AJ428" t="str">
            <v>Batch 5 2025</v>
          </cell>
          <cell r="AK428">
            <v>80</v>
          </cell>
          <cell r="AL428" t="str">
            <v>PCS-04-032688</v>
          </cell>
          <cell r="AM428" t="b">
            <v>1</v>
          </cell>
          <cell r="AN428" t="str">
            <v xml:space="preserve">Done </v>
          </cell>
          <cell r="AO428">
            <v>42</v>
          </cell>
          <cell r="AP428">
            <v>10</v>
          </cell>
          <cell r="AQ428" t="str">
            <v>H+L</v>
          </cell>
          <cell r="AR428" t="str">
            <v>NA</v>
          </cell>
          <cell r="AS428">
            <v>80</v>
          </cell>
          <cell r="AT428">
            <v>55</v>
          </cell>
          <cell r="AU428" t="str">
            <v>SLANT</v>
          </cell>
          <cell r="AV428" t="str">
            <v>SLANT / HORIZON SUN</v>
          </cell>
          <cell r="AW428" t="str">
            <v>DU-EXE</v>
          </cell>
          <cell r="AX428" t="str">
            <v>HORIZON SUN</v>
          </cell>
          <cell r="AY428">
            <v>3420000</v>
          </cell>
          <cell r="AZ428">
            <v>3560000</v>
          </cell>
          <cell r="BA428">
            <v>0</v>
          </cell>
          <cell r="BB428">
            <v>3560000</v>
          </cell>
          <cell r="BC428">
            <v>0</v>
          </cell>
          <cell r="BD428">
            <v>3560000</v>
          </cell>
        </row>
        <row r="429">
          <cell r="AD429" t="str">
            <v>ESE-01-042-011</v>
          </cell>
          <cell r="AE429" t="str">
            <v xml:space="preserve">Raemulan Lands, Inc. </v>
          </cell>
          <cell r="AF429" t="str">
            <v>Estanzia Enclave</v>
          </cell>
          <cell r="AG429" t="str">
            <v>ESE</v>
          </cell>
          <cell r="AH429" t="str">
            <v>Middle Income</v>
          </cell>
          <cell r="AI429" t="str">
            <v>01</v>
          </cell>
          <cell r="AJ429" t="str">
            <v>Batch 5 2025</v>
          </cell>
          <cell r="AK429">
            <v>80</v>
          </cell>
          <cell r="AL429" t="str">
            <v>PCS-04-032688</v>
          </cell>
          <cell r="AM429" t="b">
            <v>1</v>
          </cell>
          <cell r="AN429" t="str">
            <v xml:space="preserve">Done </v>
          </cell>
          <cell r="AO429">
            <v>42</v>
          </cell>
          <cell r="AP429">
            <v>11</v>
          </cell>
          <cell r="AQ429" t="str">
            <v>H+L</v>
          </cell>
          <cell r="AR429" t="str">
            <v>NA</v>
          </cell>
          <cell r="AS429">
            <v>80</v>
          </cell>
          <cell r="AT429">
            <v>55</v>
          </cell>
          <cell r="AU429" t="str">
            <v>SLANT</v>
          </cell>
          <cell r="AV429" t="str">
            <v>SLANT / BEACHSIDE SUN</v>
          </cell>
          <cell r="AW429" t="str">
            <v>DU-EXE</v>
          </cell>
          <cell r="AX429" t="str">
            <v>BEACHSIDE SUN</v>
          </cell>
          <cell r="AY429">
            <v>3600000</v>
          </cell>
          <cell r="AZ429">
            <v>3560000</v>
          </cell>
          <cell r="BA429">
            <v>490000</v>
          </cell>
          <cell r="BB429">
            <v>3070000</v>
          </cell>
          <cell r="BC429">
            <v>0</v>
          </cell>
          <cell r="BD429">
            <v>3070000</v>
          </cell>
        </row>
        <row r="430">
          <cell r="AD430" t="str">
            <v>ESE-01-042-012</v>
          </cell>
          <cell r="AE430" t="str">
            <v xml:space="preserve">Raemulan Lands, Inc. </v>
          </cell>
          <cell r="AF430" t="str">
            <v>Estanzia Enclave</v>
          </cell>
          <cell r="AG430" t="str">
            <v>ESE</v>
          </cell>
          <cell r="AH430" t="str">
            <v>Middle Income</v>
          </cell>
          <cell r="AI430" t="str">
            <v>01</v>
          </cell>
          <cell r="AJ430" t="str">
            <v>Batch 5 2025</v>
          </cell>
          <cell r="AK430">
            <v>80</v>
          </cell>
          <cell r="AL430" t="str">
            <v>PCS-04-032688</v>
          </cell>
          <cell r="AM430" t="b">
            <v>1</v>
          </cell>
          <cell r="AN430" t="str">
            <v xml:space="preserve">Done </v>
          </cell>
          <cell r="AO430">
            <v>42</v>
          </cell>
          <cell r="AP430">
            <v>12</v>
          </cell>
          <cell r="AQ430" t="str">
            <v>H+L</v>
          </cell>
          <cell r="AR430" t="str">
            <v>NA</v>
          </cell>
          <cell r="AS430">
            <v>80</v>
          </cell>
          <cell r="AT430">
            <v>55</v>
          </cell>
          <cell r="AU430" t="str">
            <v>FLAT</v>
          </cell>
          <cell r="AV430" t="str">
            <v>FLAT / BEACHSIDE SUN</v>
          </cell>
          <cell r="AW430" t="str">
            <v>DU-EXE</v>
          </cell>
          <cell r="AX430" t="str">
            <v>BEACHSIDE SUN</v>
          </cell>
          <cell r="AY430">
            <v>3600000</v>
          </cell>
          <cell r="AZ430">
            <v>3560000</v>
          </cell>
          <cell r="BA430">
            <v>490000</v>
          </cell>
          <cell r="BB430">
            <v>3070000</v>
          </cell>
          <cell r="BC430">
            <v>0</v>
          </cell>
          <cell r="BD430">
            <v>3070000</v>
          </cell>
        </row>
        <row r="431">
          <cell r="AD431" t="str">
            <v>ESE-01-042-013</v>
          </cell>
          <cell r="AE431" t="str">
            <v xml:space="preserve">Raemulan Lands, Inc. </v>
          </cell>
          <cell r="AF431" t="str">
            <v>Estanzia Enclave</v>
          </cell>
          <cell r="AG431" t="str">
            <v>ESE</v>
          </cell>
          <cell r="AH431" t="str">
            <v>Middle Income</v>
          </cell>
          <cell r="AI431" t="str">
            <v>01</v>
          </cell>
          <cell r="AJ431" t="str">
            <v>Batch 5 2025</v>
          </cell>
          <cell r="AK431">
            <v>80</v>
          </cell>
          <cell r="AL431" t="str">
            <v>PCS-04-032688</v>
          </cell>
          <cell r="AM431" t="b">
            <v>1</v>
          </cell>
          <cell r="AN431" t="str">
            <v xml:space="preserve">Done </v>
          </cell>
          <cell r="AO431">
            <v>42</v>
          </cell>
          <cell r="AP431">
            <v>13</v>
          </cell>
          <cell r="AQ431" t="str">
            <v>H+L</v>
          </cell>
          <cell r="AR431" t="str">
            <v>NA</v>
          </cell>
          <cell r="AS431">
            <v>80</v>
          </cell>
          <cell r="AT431">
            <v>55</v>
          </cell>
          <cell r="AU431" t="str">
            <v>FLAT</v>
          </cell>
          <cell r="AV431" t="str">
            <v>FLAT / HORIZON SUN</v>
          </cell>
          <cell r="AW431" t="str">
            <v>DU-EXE</v>
          </cell>
          <cell r="AX431" t="str">
            <v>HORIZON SUN</v>
          </cell>
          <cell r="AY431">
            <v>3600000</v>
          </cell>
          <cell r="AZ431">
            <v>3560000</v>
          </cell>
          <cell r="BA431">
            <v>490000</v>
          </cell>
          <cell r="BB431">
            <v>3070000</v>
          </cell>
          <cell r="BC431">
            <v>0</v>
          </cell>
          <cell r="BD431">
            <v>3070000</v>
          </cell>
        </row>
        <row r="432">
          <cell r="AD432" t="str">
            <v>ESE-01-042-014</v>
          </cell>
          <cell r="AE432" t="str">
            <v xml:space="preserve">Raemulan Lands, Inc. </v>
          </cell>
          <cell r="AF432" t="str">
            <v>Estanzia Enclave</v>
          </cell>
          <cell r="AG432" t="str">
            <v>ESE</v>
          </cell>
          <cell r="AH432" t="str">
            <v>Middle Income</v>
          </cell>
          <cell r="AI432" t="str">
            <v>01</v>
          </cell>
          <cell r="AJ432" t="str">
            <v>Batch 5 2025</v>
          </cell>
          <cell r="AK432">
            <v>80</v>
          </cell>
          <cell r="AL432" t="str">
            <v>PCS-04-032688</v>
          </cell>
          <cell r="AM432" t="b">
            <v>1</v>
          </cell>
          <cell r="AN432" t="str">
            <v xml:space="preserve">Done </v>
          </cell>
          <cell r="AO432">
            <v>42</v>
          </cell>
          <cell r="AP432">
            <v>14</v>
          </cell>
          <cell r="AQ432" t="str">
            <v>H+L</v>
          </cell>
          <cell r="AR432" t="str">
            <v>NA</v>
          </cell>
          <cell r="AS432">
            <v>80</v>
          </cell>
          <cell r="AT432">
            <v>55</v>
          </cell>
          <cell r="AU432" t="str">
            <v>SLANT</v>
          </cell>
          <cell r="AV432" t="str">
            <v>SLANT / HORIZON SUN</v>
          </cell>
          <cell r="AW432" t="str">
            <v>DU-EXE</v>
          </cell>
          <cell r="AX432" t="str">
            <v>HORIZON SUN</v>
          </cell>
          <cell r="AY432">
            <v>3420000</v>
          </cell>
          <cell r="AZ432">
            <v>3560000</v>
          </cell>
          <cell r="BA432">
            <v>0</v>
          </cell>
          <cell r="BB432">
            <v>3560000</v>
          </cell>
          <cell r="BC432">
            <v>0</v>
          </cell>
          <cell r="BD432">
            <v>3560000</v>
          </cell>
        </row>
        <row r="433">
          <cell r="AD433" t="str">
            <v>ESE-01-042-015</v>
          </cell>
          <cell r="AE433" t="str">
            <v xml:space="preserve">Raemulan Lands, Inc. </v>
          </cell>
          <cell r="AF433" t="str">
            <v>Estanzia Enclave</v>
          </cell>
          <cell r="AG433" t="str">
            <v>ESE</v>
          </cell>
          <cell r="AH433" t="str">
            <v>Middle Income</v>
          </cell>
          <cell r="AI433" t="str">
            <v>01</v>
          </cell>
          <cell r="AJ433" t="str">
            <v>Batch 5 2025</v>
          </cell>
          <cell r="AK433">
            <v>80</v>
          </cell>
          <cell r="AL433" t="str">
            <v>PCS-04-032688</v>
          </cell>
          <cell r="AM433" t="b">
            <v>1</v>
          </cell>
          <cell r="AN433" t="str">
            <v xml:space="preserve">Done </v>
          </cell>
          <cell r="AO433">
            <v>42</v>
          </cell>
          <cell r="AP433">
            <v>15</v>
          </cell>
          <cell r="AQ433" t="str">
            <v>H+L</v>
          </cell>
          <cell r="AR433" t="str">
            <v>NA</v>
          </cell>
          <cell r="AS433">
            <v>80</v>
          </cell>
          <cell r="AT433">
            <v>55</v>
          </cell>
          <cell r="AU433" t="str">
            <v>SLANT</v>
          </cell>
          <cell r="AV433" t="str">
            <v>SLANT / BEACHSIDE SUN</v>
          </cell>
          <cell r="AW433" t="str">
            <v>DU-EXE</v>
          </cell>
          <cell r="AX433" t="str">
            <v>BEACHSIDE SUN</v>
          </cell>
          <cell r="AY433">
            <v>3600000</v>
          </cell>
          <cell r="AZ433">
            <v>3560000</v>
          </cell>
          <cell r="BA433">
            <v>0</v>
          </cell>
          <cell r="BB433">
            <v>3560000</v>
          </cell>
          <cell r="BC433">
            <v>0</v>
          </cell>
          <cell r="BD433">
            <v>3560000</v>
          </cell>
        </row>
        <row r="434">
          <cell r="AD434" t="str">
            <v>ESE-01-042-016</v>
          </cell>
          <cell r="AE434" t="str">
            <v xml:space="preserve">Raemulan Lands, Inc. </v>
          </cell>
          <cell r="AF434" t="str">
            <v>Estanzia Enclave</v>
          </cell>
          <cell r="AG434" t="str">
            <v>ESE</v>
          </cell>
          <cell r="AH434" t="str">
            <v>Middle Income</v>
          </cell>
          <cell r="AI434" t="str">
            <v>01</v>
          </cell>
          <cell r="AJ434" t="str">
            <v>Batch 5 2025</v>
          </cell>
          <cell r="AK434">
            <v>80</v>
          </cell>
          <cell r="AL434" t="str">
            <v>PCS-04-032688</v>
          </cell>
          <cell r="AM434" t="b">
            <v>1</v>
          </cell>
          <cell r="AN434" t="str">
            <v xml:space="preserve">Done </v>
          </cell>
          <cell r="AO434">
            <v>42</v>
          </cell>
          <cell r="AP434">
            <v>16</v>
          </cell>
          <cell r="AQ434" t="str">
            <v>H+L</v>
          </cell>
          <cell r="AR434" t="str">
            <v>NA</v>
          </cell>
          <cell r="AS434">
            <v>80</v>
          </cell>
          <cell r="AT434">
            <v>55</v>
          </cell>
          <cell r="AU434" t="str">
            <v>FLAT</v>
          </cell>
          <cell r="AV434" t="str">
            <v>FLAT / BEACHSIDE SUN</v>
          </cell>
          <cell r="AW434" t="str">
            <v>DU-EXE</v>
          </cell>
          <cell r="AX434" t="str">
            <v>BEACHSIDE SUN</v>
          </cell>
          <cell r="AY434">
            <v>3420000</v>
          </cell>
          <cell r="AZ434">
            <v>3560000</v>
          </cell>
          <cell r="BA434">
            <v>0</v>
          </cell>
          <cell r="BB434">
            <v>3560000</v>
          </cell>
          <cell r="BC434">
            <v>0</v>
          </cell>
          <cell r="BD434">
            <v>3560000</v>
          </cell>
        </row>
        <row r="435">
          <cell r="AD435" t="str">
            <v>ESE-01-042-017</v>
          </cell>
          <cell r="AE435" t="str">
            <v xml:space="preserve">Raemulan Lands, Inc. </v>
          </cell>
          <cell r="AF435" t="str">
            <v>Estanzia Enclave</v>
          </cell>
          <cell r="AG435" t="str">
            <v>ESE</v>
          </cell>
          <cell r="AH435" t="str">
            <v>Middle Income</v>
          </cell>
          <cell r="AI435" t="str">
            <v>01</v>
          </cell>
          <cell r="AJ435" t="str">
            <v>Batch 5 2025</v>
          </cell>
          <cell r="AK435">
            <v>85</v>
          </cell>
          <cell r="AL435" t="str">
            <v>PCS-04-032688</v>
          </cell>
          <cell r="AM435" t="b">
            <v>1</v>
          </cell>
          <cell r="AN435" t="str">
            <v xml:space="preserve">Done </v>
          </cell>
          <cell r="AO435">
            <v>42</v>
          </cell>
          <cell r="AP435">
            <v>17</v>
          </cell>
          <cell r="AQ435" t="str">
            <v>H+L</v>
          </cell>
          <cell r="AR435" t="str">
            <v>NA</v>
          </cell>
          <cell r="AS435">
            <v>85</v>
          </cell>
          <cell r="AT435">
            <v>55</v>
          </cell>
          <cell r="AU435" t="str">
            <v>FLAT</v>
          </cell>
          <cell r="AV435" t="str">
            <v>FLAT / HORIZON SUN</v>
          </cell>
          <cell r="AW435" t="str">
            <v>DU-EXE</v>
          </cell>
          <cell r="AX435" t="str">
            <v>HORIZON SUN</v>
          </cell>
          <cell r="AY435">
            <v>3420000</v>
          </cell>
          <cell r="AZ435">
            <v>3632500</v>
          </cell>
          <cell r="BA435">
            <v>0</v>
          </cell>
          <cell r="BB435">
            <v>3632500</v>
          </cell>
          <cell r="BC435">
            <v>389196.42857142858</v>
          </cell>
          <cell r="BD435">
            <v>3243303.5714285714</v>
          </cell>
        </row>
        <row r="436">
          <cell r="AD436" t="str">
            <v>ESE-01-042-018</v>
          </cell>
          <cell r="AE436" t="str">
            <v xml:space="preserve">Raemulan Lands, Inc. </v>
          </cell>
          <cell r="AF436" t="str">
            <v>Estanzia Enclave</v>
          </cell>
          <cell r="AG436" t="str">
            <v>ESE</v>
          </cell>
          <cell r="AH436" t="str">
            <v>Middle Income</v>
          </cell>
          <cell r="AI436" t="str">
            <v>01</v>
          </cell>
          <cell r="AJ436" t="str">
            <v>Batch 5 2025</v>
          </cell>
          <cell r="AK436">
            <v>127</v>
          </cell>
          <cell r="AL436" t="str">
            <v>PCS-04-032688</v>
          </cell>
          <cell r="AM436" t="b">
            <v>1</v>
          </cell>
          <cell r="AN436" t="str">
            <v xml:space="preserve">Done </v>
          </cell>
          <cell r="AO436">
            <v>42</v>
          </cell>
          <cell r="AP436">
            <v>18</v>
          </cell>
          <cell r="AQ436" t="str">
            <v>H+L</v>
          </cell>
          <cell r="AR436" t="str">
            <v>NA</v>
          </cell>
          <cell r="AS436">
            <v>127</v>
          </cell>
          <cell r="AT436">
            <v>55</v>
          </cell>
          <cell r="AU436" t="str">
            <v>SLANT</v>
          </cell>
          <cell r="AV436" t="str">
            <v>SLANT / HORIZON SUN</v>
          </cell>
          <cell r="AW436" t="str">
            <v>DU-EXE</v>
          </cell>
          <cell r="AX436" t="str">
            <v>HORIZON SUN</v>
          </cell>
          <cell r="AY436">
            <v>3420000</v>
          </cell>
          <cell r="AZ436">
            <v>4241500</v>
          </cell>
          <cell r="BA436">
            <v>0</v>
          </cell>
          <cell r="BB436">
            <v>4241500</v>
          </cell>
          <cell r="BC436">
            <v>454446.42857142858</v>
          </cell>
          <cell r="BD436">
            <v>3787053.5714285714</v>
          </cell>
        </row>
        <row r="437">
          <cell r="AD437" t="str">
            <v>ESE-01-043-001</v>
          </cell>
          <cell r="AE437" t="str">
            <v xml:space="preserve">Raemulan Lands, Inc. </v>
          </cell>
          <cell r="AF437" t="str">
            <v>Estanzia Enclave</v>
          </cell>
          <cell r="AG437" t="str">
            <v>ESE</v>
          </cell>
          <cell r="AH437" t="str">
            <v>Middle Income</v>
          </cell>
          <cell r="AI437" t="str">
            <v>01</v>
          </cell>
          <cell r="AJ437" t="str">
            <v>Batch 1 2025</v>
          </cell>
          <cell r="AK437">
            <v>126</v>
          </cell>
          <cell r="AL437" t="str">
            <v>PCS-04-032688</v>
          </cell>
          <cell r="AM437" t="b">
            <v>1</v>
          </cell>
          <cell r="AN437" t="str">
            <v xml:space="preserve">Done </v>
          </cell>
          <cell r="AO437">
            <v>43</v>
          </cell>
          <cell r="AP437">
            <v>1</v>
          </cell>
          <cell r="AQ437" t="str">
            <v>H+L</v>
          </cell>
          <cell r="AR437" t="str">
            <v>NA</v>
          </cell>
          <cell r="AS437">
            <v>126</v>
          </cell>
          <cell r="AT437">
            <v>55</v>
          </cell>
          <cell r="AU437" t="str">
            <v>SLANT</v>
          </cell>
          <cell r="AV437" t="str">
            <v>SLANT / BEACHSIDE SUN</v>
          </cell>
          <cell r="AW437" t="str">
            <v>DU-EXE</v>
          </cell>
          <cell r="AX437" t="str">
            <v>BEACHSIDE SUN</v>
          </cell>
          <cell r="AY437">
            <v>4026294.6428571427</v>
          </cell>
          <cell r="AZ437">
            <v>4290000</v>
          </cell>
          <cell r="BA437">
            <v>295550</v>
          </cell>
          <cell r="BB437">
            <v>3994450</v>
          </cell>
          <cell r="BC437">
            <v>427976.78571428574</v>
          </cell>
          <cell r="BD437">
            <v>3566473.2142857141</v>
          </cell>
        </row>
        <row r="438">
          <cell r="AD438" t="str">
            <v>ESE-01-043-002</v>
          </cell>
          <cell r="AE438" t="str">
            <v xml:space="preserve">Raemulan Lands, Inc. </v>
          </cell>
          <cell r="AF438" t="str">
            <v>Estanzia Enclave</v>
          </cell>
          <cell r="AG438" t="str">
            <v>ESE</v>
          </cell>
          <cell r="AH438" t="str">
            <v>Middle Income</v>
          </cell>
          <cell r="AI438" t="str">
            <v>01</v>
          </cell>
          <cell r="AJ438" t="str">
            <v>Batch 1 2025</v>
          </cell>
          <cell r="AK438">
            <v>80</v>
          </cell>
          <cell r="AL438" t="str">
            <v>PCS-04-032688</v>
          </cell>
          <cell r="AM438" t="b">
            <v>1</v>
          </cell>
          <cell r="AN438" t="str">
            <v xml:space="preserve">Done </v>
          </cell>
          <cell r="AO438">
            <v>43</v>
          </cell>
          <cell r="AP438">
            <v>2</v>
          </cell>
          <cell r="AQ438" t="str">
            <v>H+L</v>
          </cell>
          <cell r="AR438" t="str">
            <v>NA</v>
          </cell>
          <cell r="AS438">
            <v>80</v>
          </cell>
          <cell r="AT438">
            <v>55</v>
          </cell>
          <cell r="AU438" t="str">
            <v>FLAT</v>
          </cell>
          <cell r="AV438" t="str">
            <v>FLAT / BEACHSIDE SUN</v>
          </cell>
          <cell r="AW438" t="str">
            <v>DU-EXE</v>
          </cell>
          <cell r="AX438" t="str">
            <v>BEACHSIDE SUN</v>
          </cell>
          <cell r="AY438">
            <v>3600000</v>
          </cell>
          <cell r="AZ438">
            <v>3600000</v>
          </cell>
          <cell r="BA438">
            <v>432000</v>
          </cell>
          <cell r="BB438">
            <v>3168000</v>
          </cell>
          <cell r="BC438">
            <v>0</v>
          </cell>
          <cell r="BD438">
            <v>3168000</v>
          </cell>
        </row>
        <row r="439">
          <cell r="AD439" t="str">
            <v>ESE-01-043-003</v>
          </cell>
          <cell r="AE439" t="str">
            <v xml:space="preserve">Raemulan Lands, Inc. </v>
          </cell>
          <cell r="AF439" t="str">
            <v>Estanzia Enclave</v>
          </cell>
          <cell r="AG439" t="str">
            <v>ESE</v>
          </cell>
          <cell r="AH439" t="str">
            <v>Middle Income</v>
          </cell>
          <cell r="AI439" t="str">
            <v>01</v>
          </cell>
          <cell r="AJ439" t="str">
            <v>Batch 1 2025</v>
          </cell>
          <cell r="AK439">
            <v>80</v>
          </cell>
          <cell r="AL439" t="str">
            <v>PCS-04-032688</v>
          </cell>
          <cell r="AM439" t="b">
            <v>1</v>
          </cell>
          <cell r="AN439" t="str">
            <v xml:space="preserve">Done </v>
          </cell>
          <cell r="AO439">
            <v>43</v>
          </cell>
          <cell r="AP439">
            <v>3</v>
          </cell>
          <cell r="AQ439" t="str">
            <v>H+L</v>
          </cell>
          <cell r="AR439" t="str">
            <v>NA</v>
          </cell>
          <cell r="AS439">
            <v>80</v>
          </cell>
          <cell r="AT439">
            <v>55</v>
          </cell>
          <cell r="AU439" t="str">
            <v>FLAT</v>
          </cell>
          <cell r="AV439" t="str">
            <v>FLAT / BEACHSIDE SUN</v>
          </cell>
          <cell r="AW439" t="str">
            <v>DU-EXE</v>
          </cell>
          <cell r="AX439" t="str">
            <v>BEACHSIDE SUN</v>
          </cell>
          <cell r="AY439">
            <v>3600000</v>
          </cell>
          <cell r="AZ439">
            <v>3600000</v>
          </cell>
          <cell r="BA439">
            <v>432000</v>
          </cell>
          <cell r="BB439">
            <v>3168000</v>
          </cell>
          <cell r="BC439">
            <v>0</v>
          </cell>
          <cell r="BD439">
            <v>3168000</v>
          </cell>
        </row>
        <row r="440">
          <cell r="AD440" t="str">
            <v>ESE-01-043-004</v>
          </cell>
          <cell r="AE440" t="str">
            <v xml:space="preserve">Raemulan Lands, Inc. </v>
          </cell>
          <cell r="AF440" t="str">
            <v>Estanzia Enclave</v>
          </cell>
          <cell r="AG440" t="str">
            <v>ESE</v>
          </cell>
          <cell r="AH440" t="str">
            <v>Middle Income</v>
          </cell>
          <cell r="AI440" t="str">
            <v>01</v>
          </cell>
          <cell r="AJ440" t="str">
            <v>Batch 1 2025</v>
          </cell>
          <cell r="AK440">
            <v>80</v>
          </cell>
          <cell r="AL440" t="str">
            <v>PCS-04-032688</v>
          </cell>
          <cell r="AM440" t="b">
            <v>1</v>
          </cell>
          <cell r="AN440" t="str">
            <v xml:space="preserve">Done </v>
          </cell>
          <cell r="AO440">
            <v>43</v>
          </cell>
          <cell r="AP440">
            <v>4</v>
          </cell>
          <cell r="AQ440" t="str">
            <v>H+L</v>
          </cell>
          <cell r="AR440" t="str">
            <v>NA</v>
          </cell>
          <cell r="AS440">
            <v>80</v>
          </cell>
          <cell r="AT440">
            <v>55</v>
          </cell>
          <cell r="AU440" t="str">
            <v>SLANT</v>
          </cell>
          <cell r="AV440" t="str">
            <v>SLANT / BEACHSIDE SUN</v>
          </cell>
          <cell r="AW440" t="str">
            <v>DU-EXE</v>
          </cell>
          <cell r="AX440" t="str">
            <v>BEACHSIDE SUN</v>
          </cell>
          <cell r="AY440">
            <v>3600000</v>
          </cell>
          <cell r="AZ440">
            <v>3600000</v>
          </cell>
          <cell r="BA440">
            <v>432000</v>
          </cell>
          <cell r="BB440">
            <v>3168000</v>
          </cell>
          <cell r="BC440">
            <v>0</v>
          </cell>
          <cell r="BD440">
            <v>3168000</v>
          </cell>
        </row>
        <row r="441">
          <cell r="AD441" t="str">
            <v>ESE-01-043-005</v>
          </cell>
          <cell r="AE441" t="str">
            <v xml:space="preserve">Raemulan Lands, Inc. </v>
          </cell>
          <cell r="AF441" t="str">
            <v>Estanzia Enclave</v>
          </cell>
          <cell r="AG441" t="str">
            <v>ESE</v>
          </cell>
          <cell r="AH441" t="str">
            <v>Middle Income</v>
          </cell>
          <cell r="AI441" t="str">
            <v>01</v>
          </cell>
          <cell r="AJ441" t="str">
            <v>Batch 3 2025</v>
          </cell>
          <cell r="AK441">
            <v>80</v>
          </cell>
          <cell r="AL441" t="str">
            <v>PCS-04-032688</v>
          </cell>
          <cell r="AM441" t="b">
            <v>1</v>
          </cell>
          <cell r="AN441" t="str">
            <v xml:space="preserve">Done </v>
          </cell>
          <cell r="AO441">
            <v>43</v>
          </cell>
          <cell r="AP441">
            <v>5</v>
          </cell>
          <cell r="AQ441" t="str">
            <v>H+L</v>
          </cell>
          <cell r="AR441" t="str">
            <v>NA</v>
          </cell>
          <cell r="AS441">
            <v>80</v>
          </cell>
          <cell r="AT441">
            <v>55</v>
          </cell>
          <cell r="AU441" t="str">
            <v>SLANT</v>
          </cell>
          <cell r="AV441" t="str">
            <v>SLANT / HORIZON SUN</v>
          </cell>
          <cell r="AW441" t="str">
            <v>DU-EXE</v>
          </cell>
          <cell r="AX441" t="str">
            <v>HORIZON SUN</v>
          </cell>
          <cell r="AY441">
            <v>3600000</v>
          </cell>
          <cell r="AZ441">
            <v>3600000</v>
          </cell>
          <cell r="BA441">
            <v>432000</v>
          </cell>
          <cell r="BB441">
            <v>3168000</v>
          </cell>
          <cell r="BC441">
            <v>0</v>
          </cell>
          <cell r="BD441">
            <v>3168000</v>
          </cell>
        </row>
        <row r="442">
          <cell r="AD442" t="str">
            <v>ESE-01-043-006</v>
          </cell>
          <cell r="AE442" t="str">
            <v xml:space="preserve">Raemulan Lands, Inc. </v>
          </cell>
          <cell r="AF442" t="str">
            <v>Estanzia Enclave</v>
          </cell>
          <cell r="AG442" t="str">
            <v>ESE</v>
          </cell>
          <cell r="AH442" t="str">
            <v>Middle Income</v>
          </cell>
          <cell r="AI442" t="str">
            <v>01</v>
          </cell>
          <cell r="AJ442" t="str">
            <v>Batch 3 2025</v>
          </cell>
          <cell r="AK442">
            <v>80</v>
          </cell>
          <cell r="AL442" t="str">
            <v>PCS-04-032688</v>
          </cell>
          <cell r="AM442" t="b">
            <v>1</v>
          </cell>
          <cell r="AN442" t="str">
            <v xml:space="preserve">Done </v>
          </cell>
          <cell r="AO442">
            <v>43</v>
          </cell>
          <cell r="AP442">
            <v>6</v>
          </cell>
          <cell r="AQ442" t="str">
            <v>H+L</v>
          </cell>
          <cell r="AR442" t="str">
            <v>NA</v>
          </cell>
          <cell r="AS442">
            <v>80</v>
          </cell>
          <cell r="AT442">
            <v>55</v>
          </cell>
          <cell r="AU442" t="str">
            <v>FLAT</v>
          </cell>
          <cell r="AV442" t="str">
            <v>FLAT / HORIZON SUN</v>
          </cell>
          <cell r="AW442" t="str">
            <v>DU-EXE</v>
          </cell>
          <cell r="AX442" t="str">
            <v>HORIZON SUN</v>
          </cell>
          <cell r="AY442">
            <v>3600000</v>
          </cell>
          <cell r="AZ442">
            <v>3600000</v>
          </cell>
          <cell r="BA442">
            <v>432000</v>
          </cell>
          <cell r="BB442">
            <v>3168000</v>
          </cell>
          <cell r="BC442">
            <v>0</v>
          </cell>
          <cell r="BD442">
            <v>3168000</v>
          </cell>
        </row>
        <row r="443">
          <cell r="AD443" t="str">
            <v>ESE-01-043-007</v>
          </cell>
          <cell r="AE443" t="str">
            <v xml:space="preserve">Raemulan Lands, Inc. </v>
          </cell>
          <cell r="AF443" t="str">
            <v>Estanzia Enclave</v>
          </cell>
          <cell r="AG443" t="str">
            <v>ESE</v>
          </cell>
          <cell r="AH443" t="str">
            <v>Middle Income</v>
          </cell>
          <cell r="AI443" t="str">
            <v>01</v>
          </cell>
          <cell r="AJ443" t="str">
            <v>Batch 3 2025</v>
          </cell>
          <cell r="AK443">
            <v>90</v>
          </cell>
          <cell r="AL443" t="str">
            <v>PCS-04-032688</v>
          </cell>
          <cell r="AM443" t="b">
            <v>1</v>
          </cell>
          <cell r="AN443" t="str">
            <v xml:space="preserve">Done </v>
          </cell>
          <cell r="AO443">
            <v>43</v>
          </cell>
          <cell r="AP443">
            <v>7</v>
          </cell>
          <cell r="AQ443" t="str">
            <v>H+L</v>
          </cell>
          <cell r="AR443" t="str">
            <v>NA</v>
          </cell>
          <cell r="AS443">
            <v>90</v>
          </cell>
          <cell r="AT443">
            <v>55</v>
          </cell>
          <cell r="AU443" t="str">
            <v>FLAT</v>
          </cell>
          <cell r="AV443" t="str">
            <v>FLAT / HORIZON SUN</v>
          </cell>
          <cell r="AW443" t="str">
            <v>DU-EXE</v>
          </cell>
          <cell r="AX443" t="str">
            <v>HORIZON SUN</v>
          </cell>
          <cell r="AY443">
            <v>3420000</v>
          </cell>
          <cell r="AZ443">
            <v>3600000</v>
          </cell>
          <cell r="BA443">
            <v>432000</v>
          </cell>
          <cell r="BB443">
            <v>3168000</v>
          </cell>
          <cell r="BC443">
            <v>0</v>
          </cell>
          <cell r="BD443">
            <v>3168000</v>
          </cell>
        </row>
        <row r="444">
          <cell r="AD444" t="str">
            <v>ESE-01-043-008</v>
          </cell>
          <cell r="AE444" t="str">
            <v xml:space="preserve">Raemulan Lands, Inc. </v>
          </cell>
          <cell r="AF444" t="str">
            <v>Estanzia Enclave</v>
          </cell>
          <cell r="AG444" t="str">
            <v>ESE</v>
          </cell>
          <cell r="AH444" t="str">
            <v>Middle Income</v>
          </cell>
          <cell r="AI444" t="str">
            <v>01</v>
          </cell>
          <cell r="AJ444" t="str">
            <v>Batch 3 2025</v>
          </cell>
          <cell r="AK444">
            <v>104</v>
          </cell>
          <cell r="AL444" t="str">
            <v>PCS-04-032688</v>
          </cell>
          <cell r="AM444" t="b">
            <v>1</v>
          </cell>
          <cell r="AN444" t="str">
            <v xml:space="preserve">Done </v>
          </cell>
          <cell r="AO444">
            <v>43</v>
          </cell>
          <cell r="AP444">
            <v>8</v>
          </cell>
          <cell r="AQ444" t="str">
            <v>H+L</v>
          </cell>
          <cell r="AR444">
            <v>0.9116000000000003</v>
          </cell>
          <cell r="AS444">
            <v>104</v>
          </cell>
          <cell r="AT444">
            <v>55</v>
          </cell>
          <cell r="AU444" t="str">
            <v>SLANT</v>
          </cell>
          <cell r="AV444" t="str">
            <v>SLANT / HORIZON SUN</v>
          </cell>
          <cell r="AW444" t="str">
            <v>DU-EXE</v>
          </cell>
          <cell r="AX444" t="str">
            <v>HORIZON SUN</v>
          </cell>
          <cell r="AY444">
            <v>3871428.5714285714</v>
          </cell>
          <cell r="AZ444">
            <v>3960000</v>
          </cell>
          <cell r="BA444">
            <v>100000</v>
          </cell>
          <cell r="BB444">
            <v>3860000</v>
          </cell>
          <cell r="BC444">
            <v>413571.42857142858</v>
          </cell>
          <cell r="BD444">
            <v>3446428.5714285714</v>
          </cell>
        </row>
        <row r="445">
          <cell r="AD445" t="str">
            <v>ESE-01-045-001</v>
          </cell>
          <cell r="AE445" t="str">
            <v xml:space="preserve">Raemulan Lands, Inc. </v>
          </cell>
          <cell r="AF445" t="str">
            <v>Estanzia Enclave</v>
          </cell>
          <cell r="AG445" t="str">
            <v>ESE</v>
          </cell>
          <cell r="AH445" t="str">
            <v>Middle Income</v>
          </cell>
          <cell r="AI445" t="str">
            <v>01</v>
          </cell>
          <cell r="AJ445" t="str">
            <v>Batch 4 2025</v>
          </cell>
          <cell r="AK445">
            <v>81</v>
          </cell>
          <cell r="AL445" t="str">
            <v>PCS-04-032688</v>
          </cell>
          <cell r="AM445" t="b">
            <v>1</v>
          </cell>
          <cell r="AN445" t="str">
            <v xml:space="preserve">Done </v>
          </cell>
          <cell r="AO445">
            <v>45</v>
          </cell>
          <cell r="AP445">
            <v>1</v>
          </cell>
          <cell r="AQ445" t="str">
            <v>H+L</v>
          </cell>
          <cell r="AR445" t="str">
            <v>NA</v>
          </cell>
          <cell r="AS445">
            <v>81</v>
          </cell>
          <cell r="AT445">
            <v>55</v>
          </cell>
          <cell r="AU445" t="str">
            <v>SLANT</v>
          </cell>
          <cell r="AV445" t="str">
            <v>SLANT / HORIZON SUN</v>
          </cell>
          <cell r="AW445" t="str">
            <v>DU-EXE</v>
          </cell>
          <cell r="AX445" t="str">
            <v>HORIZON SUN</v>
          </cell>
          <cell r="AY445">
            <v>3420000</v>
          </cell>
          <cell r="AZ445">
            <v>3615000</v>
          </cell>
          <cell r="BA445">
            <v>0</v>
          </cell>
          <cell r="BB445">
            <v>3615000</v>
          </cell>
          <cell r="BC445">
            <v>387321.42857142858</v>
          </cell>
          <cell r="BD445">
            <v>3227678.5714285714</v>
          </cell>
        </row>
        <row r="446">
          <cell r="AD446" t="str">
            <v>ESE-01-045-002</v>
          </cell>
          <cell r="AE446" t="str">
            <v xml:space="preserve">Raemulan Lands, Inc. </v>
          </cell>
          <cell r="AF446" t="str">
            <v>Estanzia Enclave</v>
          </cell>
          <cell r="AG446" t="str">
            <v>ESE</v>
          </cell>
          <cell r="AH446" t="str">
            <v>Middle Income</v>
          </cell>
          <cell r="AI446" t="str">
            <v>01</v>
          </cell>
          <cell r="AJ446" t="str">
            <v>Batch 4 2025</v>
          </cell>
          <cell r="AK446">
            <v>100</v>
          </cell>
          <cell r="AL446" t="str">
            <v>PCS-04-032688</v>
          </cell>
          <cell r="AM446" t="b">
            <v>1</v>
          </cell>
          <cell r="AN446" t="str">
            <v xml:space="preserve">Done </v>
          </cell>
          <cell r="AO446">
            <v>45</v>
          </cell>
          <cell r="AP446">
            <v>2</v>
          </cell>
          <cell r="AQ446" t="str">
            <v>H+L</v>
          </cell>
          <cell r="AR446" t="str">
            <v>NA</v>
          </cell>
          <cell r="AS446">
            <v>100</v>
          </cell>
          <cell r="AT446">
            <v>55</v>
          </cell>
          <cell r="AU446" t="str">
            <v>FLAT</v>
          </cell>
          <cell r="AV446" t="str">
            <v>FLAT / HORIZON SUN</v>
          </cell>
          <cell r="AW446" t="str">
            <v>DU-EXE</v>
          </cell>
          <cell r="AX446" t="str">
            <v>HORIZON SUN</v>
          </cell>
          <cell r="AY446">
            <v>3420000</v>
          </cell>
          <cell r="AZ446">
            <v>3900000</v>
          </cell>
          <cell r="BA446">
            <v>0</v>
          </cell>
          <cell r="BB446">
            <v>3900000</v>
          </cell>
          <cell r="BC446">
            <v>417857.14285714284</v>
          </cell>
          <cell r="BD446">
            <v>3482142.8571428573</v>
          </cell>
        </row>
        <row r="447">
          <cell r="AD447" t="str">
            <v>ESE-01-045-004</v>
          </cell>
          <cell r="AE447" t="str">
            <v xml:space="preserve">Raemulan Lands, Inc. </v>
          </cell>
          <cell r="AF447" t="str">
            <v>Estanzia Enclave</v>
          </cell>
          <cell r="AG447" t="str">
            <v>ESE</v>
          </cell>
          <cell r="AH447" t="str">
            <v>Middle Income</v>
          </cell>
          <cell r="AI447" t="str">
            <v>01</v>
          </cell>
          <cell r="AJ447" t="str">
            <v>Batch 4 2025</v>
          </cell>
          <cell r="AK447">
            <v>80</v>
          </cell>
          <cell r="AL447" t="str">
            <v>PCS-04-032688</v>
          </cell>
          <cell r="AM447" t="b">
            <v>1</v>
          </cell>
          <cell r="AN447" t="str">
            <v xml:space="preserve">Done </v>
          </cell>
          <cell r="AO447">
            <v>45</v>
          </cell>
          <cell r="AP447">
            <v>4</v>
          </cell>
          <cell r="AQ447" t="str">
            <v>H+L</v>
          </cell>
          <cell r="AR447" t="str">
            <v>NA</v>
          </cell>
          <cell r="AS447">
            <v>80</v>
          </cell>
          <cell r="AT447">
            <v>55</v>
          </cell>
          <cell r="AU447" t="str">
            <v>FLAT</v>
          </cell>
          <cell r="AV447" t="str">
            <v>FLAT / HORIZON SUN</v>
          </cell>
          <cell r="AW447" t="str">
            <v>DU-EXE</v>
          </cell>
          <cell r="AX447" t="str">
            <v>HORIZON SUN</v>
          </cell>
          <cell r="AY447">
            <v>3420000</v>
          </cell>
          <cell r="AZ447">
            <v>3600000</v>
          </cell>
          <cell r="BA447">
            <v>0</v>
          </cell>
          <cell r="BB447">
            <v>3600000</v>
          </cell>
          <cell r="BC447">
            <v>0</v>
          </cell>
          <cell r="BD447">
            <v>3600000</v>
          </cell>
        </row>
        <row r="448">
          <cell r="AD448" t="str">
            <v>ESE-01-045-005</v>
          </cell>
          <cell r="AE448" t="str">
            <v xml:space="preserve">Raemulan Lands, Inc. </v>
          </cell>
          <cell r="AF448" t="str">
            <v>Estanzia Enclave</v>
          </cell>
          <cell r="AG448" t="str">
            <v>ESE</v>
          </cell>
          <cell r="AH448" t="str">
            <v>Middle Income</v>
          </cell>
          <cell r="AI448" t="str">
            <v>01</v>
          </cell>
          <cell r="AJ448" t="str">
            <v>Batch 4 2025</v>
          </cell>
          <cell r="AK448">
            <v>80</v>
          </cell>
          <cell r="AL448" t="str">
            <v>PCS-04-032688</v>
          </cell>
          <cell r="AM448" t="b">
            <v>1</v>
          </cell>
          <cell r="AN448" t="str">
            <v xml:space="preserve">Done </v>
          </cell>
          <cell r="AO448">
            <v>45</v>
          </cell>
          <cell r="AP448">
            <v>5</v>
          </cell>
          <cell r="AQ448" t="str">
            <v>H+L</v>
          </cell>
          <cell r="AR448" t="str">
            <v>NA</v>
          </cell>
          <cell r="AS448">
            <v>80</v>
          </cell>
          <cell r="AT448">
            <v>55</v>
          </cell>
          <cell r="AU448" t="str">
            <v>SLANT</v>
          </cell>
          <cell r="AV448" t="str">
            <v>SLANT / HORIZON SUN</v>
          </cell>
          <cell r="AW448" t="str">
            <v>DU-EXE</v>
          </cell>
          <cell r="AX448" t="str">
            <v>HORIZON SUN</v>
          </cell>
          <cell r="AY448">
            <v>3600000</v>
          </cell>
          <cell r="AZ448">
            <v>3600000</v>
          </cell>
          <cell r="BA448">
            <v>432000</v>
          </cell>
          <cell r="BB448">
            <v>3168000</v>
          </cell>
          <cell r="BC448">
            <v>0</v>
          </cell>
          <cell r="BD448">
            <v>3168000</v>
          </cell>
        </row>
        <row r="449">
          <cell r="AD449" t="str">
            <v>ESE-01-045-006</v>
          </cell>
          <cell r="AE449" t="str">
            <v xml:space="preserve">Raemulan Lands, Inc. </v>
          </cell>
          <cell r="AF449" t="str">
            <v>Estanzia Enclave</v>
          </cell>
          <cell r="AG449" t="str">
            <v>ESE</v>
          </cell>
          <cell r="AH449" t="str">
            <v>Middle Income</v>
          </cell>
          <cell r="AI449" t="str">
            <v>01</v>
          </cell>
          <cell r="AJ449" t="str">
            <v>LOT ONLY</v>
          </cell>
          <cell r="AK449">
            <v>100</v>
          </cell>
          <cell r="AL449" t="str">
            <v>PCS-04-032688</v>
          </cell>
          <cell r="AM449" t="b">
            <v>1</v>
          </cell>
          <cell r="AN449" t="str">
            <v xml:space="preserve">Done </v>
          </cell>
          <cell r="AO449">
            <v>45</v>
          </cell>
          <cell r="AP449">
            <v>6</v>
          </cell>
          <cell r="AQ449" t="str">
            <v>LO</v>
          </cell>
          <cell r="AR449" t="str">
            <v>NA</v>
          </cell>
          <cell r="AS449">
            <v>100</v>
          </cell>
          <cell r="AT449" t="str">
            <v>N/A</v>
          </cell>
          <cell r="AU449" t="str">
            <v>NA</v>
          </cell>
          <cell r="AV449" t="str">
            <v>NA / NA</v>
          </cell>
          <cell r="AW449" t="str">
            <v>LO</v>
          </cell>
          <cell r="AX449" t="str">
            <v>NA</v>
          </cell>
          <cell r="AY449">
            <v>3420000</v>
          </cell>
          <cell r="AZ449">
            <v>1800000</v>
          </cell>
          <cell r="BA449">
            <v>0</v>
          </cell>
          <cell r="BB449">
            <v>1800000</v>
          </cell>
          <cell r="BC449">
            <v>192857.14285714287</v>
          </cell>
          <cell r="BD449">
            <v>1607142.857142857</v>
          </cell>
        </row>
        <row r="450">
          <cell r="AD450" t="str">
            <v>ESE-01-045-008</v>
          </cell>
          <cell r="AE450" t="str">
            <v xml:space="preserve">Raemulan Lands, Inc. </v>
          </cell>
          <cell r="AF450" t="str">
            <v>Estanzia Enclave</v>
          </cell>
          <cell r="AG450" t="str">
            <v>ESE</v>
          </cell>
          <cell r="AH450" t="str">
            <v>Middle Income</v>
          </cell>
          <cell r="AI450" t="str">
            <v>01</v>
          </cell>
          <cell r="AJ450" t="str">
            <v>Batch 4 2025</v>
          </cell>
          <cell r="AK450">
            <v>80</v>
          </cell>
          <cell r="AL450" t="str">
            <v>PCS-04-032688</v>
          </cell>
          <cell r="AM450" t="b">
            <v>1</v>
          </cell>
          <cell r="AN450" t="str">
            <v xml:space="preserve">Done </v>
          </cell>
          <cell r="AO450">
            <v>45</v>
          </cell>
          <cell r="AP450">
            <v>8</v>
          </cell>
          <cell r="AQ450" t="str">
            <v>H+L</v>
          </cell>
          <cell r="AR450" t="str">
            <v>NA</v>
          </cell>
          <cell r="AS450">
            <v>80</v>
          </cell>
          <cell r="AT450">
            <v>55</v>
          </cell>
          <cell r="AU450" t="str">
            <v>SLANT</v>
          </cell>
          <cell r="AV450" t="str">
            <v>SLANT / BEACHSIDE SUN</v>
          </cell>
          <cell r="AW450" t="str">
            <v>DU-EXE</v>
          </cell>
          <cell r="AX450" t="str">
            <v>BEACHSIDE SUN</v>
          </cell>
          <cell r="AY450">
            <v>3600000</v>
          </cell>
          <cell r="AZ450">
            <v>3600000</v>
          </cell>
          <cell r="BA450">
            <v>432000</v>
          </cell>
          <cell r="BB450">
            <v>3168000</v>
          </cell>
          <cell r="BC450">
            <v>0</v>
          </cell>
          <cell r="BD450">
            <v>3168000</v>
          </cell>
        </row>
        <row r="451">
          <cell r="AD451" t="str">
            <v>ESE-01-045-009</v>
          </cell>
          <cell r="AE451" t="str">
            <v xml:space="preserve">Raemulan Lands, Inc. </v>
          </cell>
          <cell r="AF451" t="str">
            <v>Estanzia Enclave</v>
          </cell>
          <cell r="AG451" t="str">
            <v>ESE</v>
          </cell>
          <cell r="AH451" t="str">
            <v>Middle Income</v>
          </cell>
          <cell r="AI451" t="str">
            <v>01</v>
          </cell>
          <cell r="AJ451" t="str">
            <v>Batch 4 2025</v>
          </cell>
          <cell r="AK451">
            <v>80</v>
          </cell>
          <cell r="AL451" t="str">
            <v>PCS-04-032688</v>
          </cell>
          <cell r="AM451" t="b">
            <v>1</v>
          </cell>
          <cell r="AN451" t="str">
            <v xml:space="preserve">Done </v>
          </cell>
          <cell r="AO451">
            <v>45</v>
          </cell>
          <cell r="AP451">
            <v>9</v>
          </cell>
          <cell r="AQ451" t="str">
            <v>H+L</v>
          </cell>
          <cell r="AR451" t="str">
            <v>NA</v>
          </cell>
          <cell r="AS451">
            <v>80</v>
          </cell>
          <cell r="AT451">
            <v>55</v>
          </cell>
          <cell r="AU451" t="str">
            <v>FLAT</v>
          </cell>
          <cell r="AV451" t="str">
            <v>FLAT / BEACHSIDE SUN</v>
          </cell>
          <cell r="AW451" t="str">
            <v>DU-EXE</v>
          </cell>
          <cell r="AX451" t="str">
            <v>BEACHSIDE SUN</v>
          </cell>
          <cell r="AY451">
            <v>3420000</v>
          </cell>
          <cell r="AZ451">
            <v>3600000</v>
          </cell>
          <cell r="BA451">
            <v>0</v>
          </cell>
          <cell r="BB451">
            <v>3600000</v>
          </cell>
          <cell r="BC451">
            <v>0</v>
          </cell>
          <cell r="BD451">
            <v>3600000</v>
          </cell>
        </row>
        <row r="452">
          <cell r="AD452" t="str">
            <v>ESE-01-045-010</v>
          </cell>
          <cell r="AE452" t="str">
            <v xml:space="preserve">Raemulan Lands, Inc. </v>
          </cell>
          <cell r="AF452" t="str">
            <v>Estanzia Enclave</v>
          </cell>
          <cell r="AG452" t="str">
            <v>ESE</v>
          </cell>
          <cell r="AH452" t="str">
            <v>Middle Income</v>
          </cell>
          <cell r="AI452" t="str">
            <v>01</v>
          </cell>
          <cell r="AJ452" t="str">
            <v>Batch 4 2025</v>
          </cell>
          <cell r="AK452">
            <v>100</v>
          </cell>
          <cell r="AL452" t="str">
            <v>PCS-04-032688</v>
          </cell>
          <cell r="AM452" t="b">
            <v>1</v>
          </cell>
          <cell r="AN452" t="str">
            <v xml:space="preserve">Done </v>
          </cell>
          <cell r="AO452">
            <v>45</v>
          </cell>
          <cell r="AP452">
            <v>10</v>
          </cell>
          <cell r="AQ452" t="str">
            <v>H+L</v>
          </cell>
          <cell r="AR452" t="str">
            <v>NA</v>
          </cell>
          <cell r="AS452">
            <v>100</v>
          </cell>
          <cell r="AT452">
            <v>55</v>
          </cell>
          <cell r="AU452" t="str">
            <v>FLAT</v>
          </cell>
          <cell r="AV452" t="str">
            <v>FLAT / BEACHSIDE SUN</v>
          </cell>
          <cell r="AW452" t="str">
            <v>DU-EXE</v>
          </cell>
          <cell r="AX452" t="str">
            <v>BEACHSIDE SUN</v>
          </cell>
          <cell r="AY452">
            <v>3420000</v>
          </cell>
          <cell r="AZ452">
            <v>3900000</v>
          </cell>
          <cell r="BA452">
            <v>0</v>
          </cell>
          <cell r="BB452">
            <v>3900000</v>
          </cell>
          <cell r="BC452">
            <v>417857.14285714284</v>
          </cell>
          <cell r="BD452">
            <v>3482142.8571428573</v>
          </cell>
        </row>
        <row r="453">
          <cell r="AD453" t="str">
            <v>ESE-01-045-012</v>
          </cell>
          <cell r="AE453" t="str">
            <v xml:space="preserve">Raemulan Lands, Inc. </v>
          </cell>
          <cell r="AF453" t="str">
            <v>Estanzia Enclave</v>
          </cell>
          <cell r="AG453" t="str">
            <v>ESE</v>
          </cell>
          <cell r="AH453" t="str">
            <v>Middle Income</v>
          </cell>
          <cell r="AI453" t="str">
            <v>01</v>
          </cell>
          <cell r="AJ453" t="str">
            <v>Batch 4 2025</v>
          </cell>
          <cell r="AK453">
            <v>80</v>
          </cell>
          <cell r="AL453" t="str">
            <v>PCS-04-032688</v>
          </cell>
          <cell r="AM453" t="b">
            <v>1</v>
          </cell>
          <cell r="AN453" t="str">
            <v xml:space="preserve">Done </v>
          </cell>
          <cell r="AO453">
            <v>45</v>
          </cell>
          <cell r="AP453">
            <v>12</v>
          </cell>
          <cell r="AQ453" t="str">
            <v>H+L</v>
          </cell>
          <cell r="AR453" t="str">
            <v>NA</v>
          </cell>
          <cell r="AS453">
            <v>80</v>
          </cell>
          <cell r="AT453">
            <v>55</v>
          </cell>
          <cell r="AU453" t="str">
            <v>SLANT</v>
          </cell>
          <cell r="AV453" t="str">
            <v>SLANT / BEACHSIDE SUN</v>
          </cell>
          <cell r="AW453" t="str">
            <v>DU-EXE</v>
          </cell>
          <cell r="AX453" t="str">
            <v>BEACHSIDE SUN</v>
          </cell>
          <cell r="AY453">
            <v>3600000</v>
          </cell>
          <cell r="AZ453">
            <v>3600000</v>
          </cell>
          <cell r="BA453">
            <v>432000</v>
          </cell>
          <cell r="BB453">
            <v>3168000</v>
          </cell>
          <cell r="BC453">
            <v>0</v>
          </cell>
          <cell r="BD453">
            <v>3168000</v>
          </cell>
        </row>
      </sheetData>
      <sheetData sheetId="12">
        <row r="21">
          <cell r="D21" t="str">
            <v>CLOSED</v>
          </cell>
          <cell r="E21"/>
          <cell r="F21">
            <v>1</v>
          </cell>
          <cell r="G21" t="str">
            <v>HOLD (MU)</v>
          </cell>
          <cell r="H21" t="str">
            <v>HOLD - MODEL UNIT</v>
          </cell>
          <cell r="I21" t="str">
            <v>HOLD - MODEL UNIT</v>
          </cell>
          <cell r="J21" t="str">
            <v>HOLD - MODEL UNIT</v>
          </cell>
          <cell r="K21" t="str">
            <v>HOLD - MODEL UNIT</v>
          </cell>
          <cell r="L21" t="str">
            <v>HOLD - MODEL UNIT</v>
          </cell>
          <cell r="M21" t="str">
            <v>HOLD - MODEL UNIT</v>
          </cell>
          <cell r="N21" t="str">
            <v>HOLD - MODEL UNIT</v>
          </cell>
          <cell r="O21" t="str">
            <v>HOLD - MODEL UNIT</v>
          </cell>
          <cell r="P21" t="str">
            <v>HOLD - MODEL UNIT</v>
          </cell>
          <cell r="Q21" t="str">
            <v>HOLD - MODEL UNIT</v>
          </cell>
          <cell r="R21" t="str">
            <v>CLOSED</v>
          </cell>
          <cell r="S21" t="str">
            <v>HOLD - MODEL UNIT</v>
          </cell>
          <cell r="T21" t="str">
            <v>HOLD - MODEL UNIT</v>
          </cell>
          <cell r="U21" t="str">
            <v>HOLD - MODEL UNIT</v>
          </cell>
          <cell r="V21" t="str">
            <v>HOLD - MODEL UNIT</v>
          </cell>
          <cell r="W21" t="str">
            <v>HOLD - MODEL UNIT</v>
          </cell>
          <cell r="X21" t="str">
            <v>HOLD - MODEL UNIT</v>
          </cell>
          <cell r="Y21" t="str">
            <v>HOLD - MODEL UNIT</v>
          </cell>
          <cell r="Z21" t="str">
            <v>HOLD - MODEL UNIT</v>
          </cell>
          <cell r="AA21" t="str">
            <v>HOLD - MODEL UNIT</v>
          </cell>
          <cell r="AB21" t="str">
            <v>HOLD - MODEL UNIT</v>
          </cell>
          <cell r="AC21" t="str">
            <v>HOLD - MODEL UNIT</v>
          </cell>
          <cell r="AD21" t="str">
            <v>AGM-01-001-001</v>
          </cell>
          <cell r="AE21" t="str">
            <v xml:space="preserve">Raemulan Lands, Inc. </v>
          </cell>
          <cell r="AF21" t="str">
            <v>Agapeya</v>
          </cell>
          <cell r="AG21" t="str">
            <v>AGM</v>
          </cell>
          <cell r="AH21" t="str">
            <v>Eco-High</v>
          </cell>
          <cell r="AI21" t="str">
            <v>West</v>
          </cell>
          <cell r="AJ21" t="str">
            <v>With LTS</v>
          </cell>
          <cell r="AK21" t="str">
            <v>Unaffected lots</v>
          </cell>
          <cell r="AL21" t="str">
            <v>Unaffected lots</v>
          </cell>
          <cell r="AM21" t="b">
            <v>1</v>
          </cell>
          <cell r="AN21" t="str">
            <v>YES</v>
          </cell>
          <cell r="AO21" t="str">
            <v>2024 - Hold</v>
          </cell>
          <cell r="AP21">
            <v>70</v>
          </cell>
          <cell r="AQ21" t="str">
            <v>PCS-04-034407</v>
          </cell>
          <cell r="AR21" t="b">
            <v>1</v>
          </cell>
          <cell r="AS21" t="str">
            <v xml:space="preserve">Done </v>
          </cell>
          <cell r="AT21" t="str">
            <v>2024 Batch</v>
          </cell>
          <cell r="AU21">
            <v>1</v>
          </cell>
          <cell r="AV21">
            <v>1</v>
          </cell>
          <cell r="AW21" t="str">
            <v>H+L</v>
          </cell>
          <cell r="AX21">
            <v>70</v>
          </cell>
          <cell r="AY21">
            <v>50</v>
          </cell>
          <cell r="AZ21" t="str">
            <v>Duplex</v>
          </cell>
          <cell r="BA21">
            <v>1</v>
          </cell>
          <cell r="BB21" t="str">
            <v>326 - With Partition</v>
          </cell>
          <cell r="BC21" t="str">
            <v>With Partition</v>
          </cell>
          <cell r="BD21" t="str">
            <v>Flat</v>
          </cell>
          <cell r="BE21" t="str">
            <v>With Partition</v>
          </cell>
          <cell r="BF21" t="str">
            <v>GREEN</v>
          </cell>
          <cell r="BG21">
            <v>2500000</v>
          </cell>
          <cell r="BH21">
            <v>2850000</v>
          </cell>
          <cell r="BI21">
            <v>100000</v>
          </cell>
          <cell r="BJ21">
            <v>2750000</v>
          </cell>
          <cell r="BK21">
            <v>0</v>
          </cell>
          <cell r="BL21">
            <v>2750000</v>
          </cell>
        </row>
        <row r="22">
          <cell r="D22" t="str">
            <v>CLOSED</v>
          </cell>
          <cell r="E22"/>
          <cell r="F22">
            <v>2</v>
          </cell>
          <cell r="G22" t="str">
            <v>HOLD (MU)</v>
          </cell>
          <cell r="H22" t="str">
            <v>HOLD - MODEL UNIT</v>
          </cell>
          <cell r="I22" t="str">
            <v>HOLD - MODEL UNIT</v>
          </cell>
          <cell r="J22" t="str">
            <v>HOLD - MODEL UNIT</v>
          </cell>
          <cell r="K22" t="str">
            <v>HOLD - MODEL UNIT</v>
          </cell>
          <cell r="L22" t="str">
            <v>HOLD - MODEL UNIT</v>
          </cell>
          <cell r="M22" t="str">
            <v>HOLD - MODEL UNIT</v>
          </cell>
          <cell r="N22" t="str">
            <v>HOLD - MODEL UNIT</v>
          </cell>
          <cell r="O22" t="str">
            <v>HOLD - MODEL UNIT</v>
          </cell>
          <cell r="P22" t="str">
            <v>HOLD - MODEL UNIT</v>
          </cell>
          <cell r="Q22" t="str">
            <v>HOLD - MODEL UNIT</v>
          </cell>
          <cell r="R22" t="str">
            <v>CLOSED</v>
          </cell>
          <cell r="S22" t="str">
            <v>HOLD - MODEL UNIT</v>
          </cell>
          <cell r="T22" t="str">
            <v>HOLD - MODEL UNIT</v>
          </cell>
          <cell r="U22" t="str">
            <v>HOLD - MODEL UNIT</v>
          </cell>
          <cell r="V22" t="str">
            <v>HOLD - MODEL UNIT</v>
          </cell>
          <cell r="W22" t="str">
            <v>HOLD - MODEL UNIT</v>
          </cell>
          <cell r="X22" t="str">
            <v>HOLD - MODEL UNIT</v>
          </cell>
          <cell r="Y22" t="str">
            <v>HOLD - MODEL UNIT</v>
          </cell>
          <cell r="Z22" t="str">
            <v>HOLD - MODEL UNIT</v>
          </cell>
          <cell r="AA22" t="str">
            <v>HOLD - MODEL UNIT</v>
          </cell>
          <cell r="AB22" t="str">
            <v>HOLD - MODEL UNIT</v>
          </cell>
          <cell r="AC22" t="str">
            <v>HOLD - MODEL UNIT</v>
          </cell>
          <cell r="AD22" t="str">
            <v>AGM-01-001-002</v>
          </cell>
          <cell r="AE22" t="str">
            <v xml:space="preserve">Raemulan Lands, Inc. </v>
          </cell>
          <cell r="AF22" t="str">
            <v>Agapeya</v>
          </cell>
          <cell r="AG22" t="str">
            <v>AGM</v>
          </cell>
          <cell r="AH22" t="str">
            <v>Eco-High</v>
          </cell>
          <cell r="AI22" t="str">
            <v>West</v>
          </cell>
          <cell r="AJ22" t="str">
            <v>With LTS</v>
          </cell>
          <cell r="AK22" t="str">
            <v>Unaffected lots</v>
          </cell>
          <cell r="AL22" t="str">
            <v>Unaffected lots</v>
          </cell>
          <cell r="AM22" t="b">
            <v>1</v>
          </cell>
          <cell r="AN22" t="str">
            <v>YES</v>
          </cell>
          <cell r="AO22" t="str">
            <v>2024 - Hold</v>
          </cell>
          <cell r="AP22">
            <v>70</v>
          </cell>
          <cell r="AQ22" t="str">
            <v>PCS-04-034407</v>
          </cell>
          <cell r="AR22" t="b">
            <v>1</v>
          </cell>
          <cell r="AS22" t="str">
            <v>Done</v>
          </cell>
          <cell r="AT22" t="str">
            <v>2024 Batch</v>
          </cell>
          <cell r="AU22">
            <v>1</v>
          </cell>
          <cell r="AV22">
            <v>2</v>
          </cell>
          <cell r="AW22" t="str">
            <v>H+L</v>
          </cell>
          <cell r="AX22">
            <v>70</v>
          </cell>
          <cell r="AY22">
            <v>50</v>
          </cell>
          <cell r="AZ22" t="str">
            <v>Duplex</v>
          </cell>
          <cell r="BA22">
            <v>1</v>
          </cell>
          <cell r="BB22" t="str">
            <v>326 - With Partition</v>
          </cell>
          <cell r="BC22" t="str">
            <v xml:space="preserve">Without Partition </v>
          </cell>
          <cell r="BD22" t="str">
            <v>Slant</v>
          </cell>
          <cell r="BE22" t="str">
            <v xml:space="preserve">Without Partition </v>
          </cell>
          <cell r="BF22" t="str">
            <v>GREEN</v>
          </cell>
          <cell r="BG22">
            <v>2500000</v>
          </cell>
          <cell r="BH22">
            <v>2650000</v>
          </cell>
          <cell r="BI22">
            <v>100000</v>
          </cell>
          <cell r="BJ22">
            <v>2550000</v>
          </cell>
          <cell r="BK22">
            <v>0</v>
          </cell>
          <cell r="BL22">
            <v>2550000</v>
          </cell>
        </row>
        <row r="23">
          <cell r="D23" t="str">
            <v>CLOSED</v>
          </cell>
          <cell r="E23"/>
          <cell r="F23">
            <v>3</v>
          </cell>
          <cell r="G23" t="str">
            <v>HOLD (MU)</v>
          </cell>
          <cell r="H23" t="str">
            <v>HOLD - MODEL UNIT</v>
          </cell>
          <cell r="I23" t="str">
            <v>HOLD - MODEL UNIT</v>
          </cell>
          <cell r="J23" t="str">
            <v>HOLD - MODEL UNIT</v>
          </cell>
          <cell r="K23" t="str">
            <v>HOLD - MODEL UNIT</v>
          </cell>
          <cell r="L23" t="str">
            <v>HOLD - MODEL UNIT</v>
          </cell>
          <cell r="M23" t="str">
            <v>HOLD - MODEL UNIT</v>
          </cell>
          <cell r="N23" t="str">
            <v>HOLD - MODEL UNIT</v>
          </cell>
          <cell r="O23" t="str">
            <v>HOLD - MODEL UNIT</v>
          </cell>
          <cell r="P23" t="str">
            <v>HOLD - MODEL UNIT</v>
          </cell>
          <cell r="Q23" t="str">
            <v>HOLD - MODEL UNIT</v>
          </cell>
          <cell r="R23" t="str">
            <v>CLOSED</v>
          </cell>
          <cell r="S23" t="str">
            <v>HOLD - MODEL UNIT</v>
          </cell>
          <cell r="T23" t="str">
            <v>HOLD - MODEL UNIT</v>
          </cell>
          <cell r="U23" t="str">
            <v>HOLD - MODEL UNIT</v>
          </cell>
          <cell r="V23" t="str">
            <v>HOLD - MODEL UNIT</v>
          </cell>
          <cell r="W23" t="str">
            <v>HOLD - MODEL UNIT</v>
          </cell>
          <cell r="X23" t="str">
            <v>HOLD - MODEL UNIT</v>
          </cell>
          <cell r="Y23" t="str">
            <v>HOLD - MODEL UNIT</v>
          </cell>
          <cell r="Z23" t="str">
            <v>HOLD - MODEL UNIT</v>
          </cell>
          <cell r="AA23" t="str">
            <v>HOLD - MODEL UNIT</v>
          </cell>
          <cell r="AB23" t="str">
            <v>HOLD - MODEL UNIT</v>
          </cell>
          <cell r="AC23" t="str">
            <v>HOLD - MODEL UNIT</v>
          </cell>
          <cell r="AD23" t="str">
            <v>AGM-01-001-003</v>
          </cell>
          <cell r="AE23" t="str">
            <v xml:space="preserve">Raemulan Lands, Inc. </v>
          </cell>
          <cell r="AF23" t="str">
            <v>Agapeya</v>
          </cell>
          <cell r="AG23" t="str">
            <v>AGM</v>
          </cell>
          <cell r="AH23" t="str">
            <v>Eco-High</v>
          </cell>
          <cell r="AI23" t="str">
            <v>West</v>
          </cell>
          <cell r="AJ23" t="str">
            <v>With LTS</v>
          </cell>
          <cell r="AK23" t="str">
            <v>Unaffected lots</v>
          </cell>
          <cell r="AL23" t="str">
            <v>Unaffected lots</v>
          </cell>
          <cell r="AM23" t="b">
            <v>1</v>
          </cell>
          <cell r="AN23" t="str">
            <v>YES</v>
          </cell>
          <cell r="AO23" t="str">
            <v>B3 2025 - Hold</v>
          </cell>
          <cell r="AP23">
            <v>70</v>
          </cell>
          <cell r="AQ23" t="str">
            <v>PCS-04-034407</v>
          </cell>
          <cell r="AR23" t="b">
            <v>1</v>
          </cell>
          <cell r="AS23" t="str">
            <v>Done</v>
          </cell>
          <cell r="AT23" t="str">
            <v>2025 - Batch 6</v>
          </cell>
          <cell r="AU23">
            <v>1</v>
          </cell>
          <cell r="AV23">
            <v>3</v>
          </cell>
          <cell r="AW23" t="str">
            <v>H+L</v>
          </cell>
          <cell r="AX23">
            <v>70</v>
          </cell>
          <cell r="AY23">
            <v>50</v>
          </cell>
          <cell r="AZ23" t="str">
            <v>Duplex</v>
          </cell>
          <cell r="BA23" t="str">
            <v>NA</v>
          </cell>
          <cell r="BB23" t="str">
            <v>568 - Without Partition</v>
          </cell>
          <cell r="BC23" t="str">
            <v xml:space="preserve">Without Partition </v>
          </cell>
          <cell r="BD23" t="str">
            <v>Slant</v>
          </cell>
          <cell r="BE23" t="str">
            <v>N/A - Model Home Park</v>
          </cell>
          <cell r="BF23" t="str">
            <v>GREEN</v>
          </cell>
          <cell r="BG23">
            <v>2650000</v>
          </cell>
          <cell r="BH23">
            <v>2650000</v>
          </cell>
          <cell r="BI23">
            <v>100000</v>
          </cell>
          <cell r="BJ23">
            <v>2550000</v>
          </cell>
          <cell r="BK23">
            <v>0</v>
          </cell>
          <cell r="BL23">
            <v>2550000</v>
          </cell>
        </row>
        <row r="24">
          <cell r="D24" t="str">
            <v>CLOSED</v>
          </cell>
          <cell r="E24"/>
          <cell r="F24">
            <v>4</v>
          </cell>
          <cell r="G24" t="str">
            <v>HOLD (MU)</v>
          </cell>
          <cell r="H24" t="str">
            <v>HOLD - MODEL UNIT</v>
          </cell>
          <cell r="I24" t="str">
            <v>HOLD - MODEL UNIT</v>
          </cell>
          <cell r="J24" t="str">
            <v>HOLD - MODEL UNIT</v>
          </cell>
          <cell r="K24" t="str">
            <v>HOLD - MODEL UNIT</v>
          </cell>
          <cell r="L24" t="str">
            <v>HOLD - MODEL UNIT</v>
          </cell>
          <cell r="M24" t="str">
            <v>HOLD - MODEL UNIT</v>
          </cell>
          <cell r="N24" t="str">
            <v>HOLD - MODEL UNIT</v>
          </cell>
          <cell r="O24" t="str">
            <v>HOLD - MODEL UNIT</v>
          </cell>
          <cell r="P24" t="str">
            <v>HOLD - MODEL UNIT</v>
          </cell>
          <cell r="Q24" t="str">
            <v>HOLD - MODEL UNIT</v>
          </cell>
          <cell r="R24" t="str">
            <v>CLOSED</v>
          </cell>
          <cell r="S24" t="str">
            <v>HOLD - MODEL UNIT</v>
          </cell>
          <cell r="T24" t="str">
            <v>HOLD - MODEL UNIT</v>
          </cell>
          <cell r="U24" t="str">
            <v>HOLD - MODEL UNIT</v>
          </cell>
          <cell r="V24" t="str">
            <v>HOLD - MODEL UNIT</v>
          </cell>
          <cell r="W24" t="str">
            <v>HOLD - MODEL UNIT</v>
          </cell>
          <cell r="X24" t="str">
            <v>HOLD - MODEL UNIT</v>
          </cell>
          <cell r="Y24" t="str">
            <v>HOLD - MODEL UNIT</v>
          </cell>
          <cell r="Z24" t="str">
            <v>HOLD - MODEL UNIT</v>
          </cell>
          <cell r="AA24" t="str">
            <v>HOLD - MODEL UNIT</v>
          </cell>
          <cell r="AB24" t="str">
            <v>HOLD - MODEL UNIT</v>
          </cell>
          <cell r="AC24" t="str">
            <v>HOLD - MODEL UNIT</v>
          </cell>
          <cell r="AD24" t="str">
            <v>AGM-01-001-004</v>
          </cell>
          <cell r="AE24" t="str">
            <v xml:space="preserve">Raemulan Lands, Inc. </v>
          </cell>
          <cell r="AF24" t="str">
            <v>Agapeya</v>
          </cell>
          <cell r="AG24" t="str">
            <v>AGM</v>
          </cell>
          <cell r="AH24" t="str">
            <v>Eco-High</v>
          </cell>
          <cell r="AI24" t="str">
            <v>West</v>
          </cell>
          <cell r="AJ24" t="str">
            <v>With LTS</v>
          </cell>
          <cell r="AK24" t="str">
            <v>Unaffected lots</v>
          </cell>
          <cell r="AL24" t="str">
            <v>Unaffected lots</v>
          </cell>
          <cell r="AM24" t="b">
            <v>1</v>
          </cell>
          <cell r="AN24" t="str">
            <v>YES</v>
          </cell>
          <cell r="AO24" t="str">
            <v>B3 2025 - Hold</v>
          </cell>
          <cell r="AP24">
            <v>70</v>
          </cell>
          <cell r="AQ24" t="str">
            <v>PCS-04-034407</v>
          </cell>
          <cell r="AR24" t="b">
            <v>1</v>
          </cell>
          <cell r="AS24" t="str">
            <v>Done</v>
          </cell>
          <cell r="AT24" t="str">
            <v>2025 - Batch 6</v>
          </cell>
          <cell r="AU24">
            <v>1</v>
          </cell>
          <cell r="AV24">
            <v>4</v>
          </cell>
          <cell r="AW24" t="str">
            <v>H+L</v>
          </cell>
          <cell r="AX24">
            <v>70</v>
          </cell>
          <cell r="AY24">
            <v>50</v>
          </cell>
          <cell r="AZ24" t="str">
            <v>Duplex</v>
          </cell>
          <cell r="BA24" t="str">
            <v>NA</v>
          </cell>
          <cell r="BB24" t="str">
            <v>568 - Without Partition</v>
          </cell>
          <cell r="BC24" t="str">
            <v xml:space="preserve">Without Partition </v>
          </cell>
          <cell r="BD24" t="str">
            <v>Flat</v>
          </cell>
          <cell r="BE24" t="str">
            <v>N/A - Model Home Park</v>
          </cell>
          <cell r="BF24" t="str">
            <v>GREEN</v>
          </cell>
          <cell r="BG24">
            <v>2650000</v>
          </cell>
          <cell r="BH24">
            <v>2650000</v>
          </cell>
          <cell r="BI24">
            <v>100000</v>
          </cell>
          <cell r="BJ24">
            <v>2550000</v>
          </cell>
          <cell r="BK24">
            <v>0</v>
          </cell>
          <cell r="BL24">
            <v>2550000</v>
          </cell>
        </row>
        <row r="25">
          <cell r="D25" t="str">
            <v>CLOSED</v>
          </cell>
          <cell r="E25"/>
          <cell r="F25">
            <v>5</v>
          </cell>
          <cell r="G25" t="str">
            <v>HOLD (MU)</v>
          </cell>
          <cell r="H25" t="str">
            <v>HOLD - MODEL UNIT</v>
          </cell>
          <cell r="I25" t="str">
            <v>HOLD - MODEL UNIT</v>
          </cell>
          <cell r="J25" t="str">
            <v>HOLD - MODEL UNIT</v>
          </cell>
          <cell r="K25" t="str">
            <v>HOLD - MODEL UNIT</v>
          </cell>
          <cell r="L25" t="str">
            <v>HOLD - MODEL UNIT</v>
          </cell>
          <cell r="M25" t="str">
            <v>HOLD - MODEL UNIT</v>
          </cell>
          <cell r="N25" t="str">
            <v>HOLD - MODEL UNIT</v>
          </cell>
          <cell r="O25" t="str">
            <v>HOLD - MODEL UNIT</v>
          </cell>
          <cell r="P25" t="str">
            <v>HOLD - MODEL UNIT</v>
          </cell>
          <cell r="Q25" t="str">
            <v>HOLD - MODEL UNIT</v>
          </cell>
          <cell r="R25" t="str">
            <v>CLOSED</v>
          </cell>
          <cell r="S25" t="str">
            <v>HOLD - MODEL UNIT</v>
          </cell>
          <cell r="T25" t="str">
            <v>HOLD - MODEL UNIT</v>
          </cell>
          <cell r="U25" t="str">
            <v>HOLD - MODEL UNIT</v>
          </cell>
          <cell r="V25" t="str">
            <v>HOLD - MODEL UNIT</v>
          </cell>
          <cell r="W25" t="str">
            <v>HOLD - MODEL UNIT</v>
          </cell>
          <cell r="X25" t="str">
            <v>HOLD - MODEL UNIT</v>
          </cell>
          <cell r="Y25" t="str">
            <v>HOLD - MODEL UNIT</v>
          </cell>
          <cell r="Z25" t="str">
            <v>HOLD - MODEL UNIT</v>
          </cell>
          <cell r="AA25" t="str">
            <v>HOLD - MODEL UNIT</v>
          </cell>
          <cell r="AB25" t="str">
            <v>HOLD - MODEL UNIT</v>
          </cell>
          <cell r="AC25" t="str">
            <v>HOLD - MODEL UNIT</v>
          </cell>
          <cell r="AD25" t="str">
            <v>AGM-01-001-005</v>
          </cell>
          <cell r="AE25" t="str">
            <v xml:space="preserve">Raemulan Lands, Inc. </v>
          </cell>
          <cell r="AF25" t="str">
            <v>Agapeya</v>
          </cell>
          <cell r="AG25" t="str">
            <v>AGM</v>
          </cell>
          <cell r="AH25" t="str">
            <v>Eco-High</v>
          </cell>
          <cell r="AI25" t="str">
            <v>West</v>
          </cell>
          <cell r="AJ25" t="str">
            <v>With LTS</v>
          </cell>
          <cell r="AK25" t="str">
            <v>Unaffected lots</v>
          </cell>
          <cell r="AL25" t="str">
            <v>Unaffected lots</v>
          </cell>
          <cell r="AM25" t="b">
            <v>1</v>
          </cell>
          <cell r="AN25" t="str">
            <v>YES</v>
          </cell>
          <cell r="AO25" t="str">
            <v>B3 2025 - Hold</v>
          </cell>
          <cell r="AP25">
            <v>70</v>
          </cell>
          <cell r="AQ25" t="str">
            <v>PCS-04-034407</v>
          </cell>
          <cell r="AR25" t="b">
            <v>1</v>
          </cell>
          <cell r="AS25" t="str">
            <v>Done</v>
          </cell>
          <cell r="AT25" t="str">
            <v>2025 - Batch 6</v>
          </cell>
          <cell r="AU25">
            <v>1</v>
          </cell>
          <cell r="AV25">
            <v>5</v>
          </cell>
          <cell r="AW25" t="str">
            <v>H+L</v>
          </cell>
          <cell r="AX25">
            <v>70</v>
          </cell>
          <cell r="AY25">
            <v>50</v>
          </cell>
          <cell r="AZ25" t="str">
            <v>Duplex</v>
          </cell>
          <cell r="BA25" t="str">
            <v>NA</v>
          </cell>
          <cell r="BB25" t="str">
            <v>568 - Without Partition</v>
          </cell>
          <cell r="BC25" t="str">
            <v xml:space="preserve">Without Partition </v>
          </cell>
          <cell r="BD25" t="str">
            <v>Flat</v>
          </cell>
          <cell r="BE25" t="str">
            <v>N/A - Model Home Park</v>
          </cell>
          <cell r="BF25" t="str">
            <v>PURPLE</v>
          </cell>
          <cell r="BG25">
            <v>2650000</v>
          </cell>
          <cell r="BH25">
            <v>2650000</v>
          </cell>
          <cell r="BI25">
            <v>100000</v>
          </cell>
          <cell r="BJ25">
            <v>2550000</v>
          </cell>
          <cell r="BK25">
            <v>0</v>
          </cell>
          <cell r="BL25">
            <v>2550000</v>
          </cell>
        </row>
        <row r="26">
          <cell r="D26" t="str">
            <v>CLOSED</v>
          </cell>
          <cell r="E26"/>
          <cell r="F26">
            <v>6</v>
          </cell>
          <cell r="G26" t="str">
            <v>HOLD (MU)</v>
          </cell>
          <cell r="H26" t="str">
            <v>HOLD - MODEL UNIT</v>
          </cell>
          <cell r="I26" t="str">
            <v>HOLD - MODEL UNIT</v>
          </cell>
          <cell r="J26" t="str">
            <v>HOLD - MODEL UNIT</v>
          </cell>
          <cell r="K26" t="str">
            <v>HOLD - MODEL UNIT</v>
          </cell>
          <cell r="L26" t="str">
            <v>HOLD - MODEL UNIT</v>
          </cell>
          <cell r="M26" t="str">
            <v>HOLD - MODEL UNIT</v>
          </cell>
          <cell r="N26" t="str">
            <v>HOLD - MODEL UNIT</v>
          </cell>
          <cell r="O26" t="str">
            <v>HOLD - MODEL UNIT</v>
          </cell>
          <cell r="P26" t="str">
            <v>HOLD - MODEL UNIT</v>
          </cell>
          <cell r="Q26" t="str">
            <v>HOLD - MODEL UNIT</v>
          </cell>
          <cell r="R26" t="str">
            <v>CLOSED</v>
          </cell>
          <cell r="S26" t="str">
            <v>HOLD - MODEL UNIT</v>
          </cell>
          <cell r="T26" t="str">
            <v>HOLD - MODEL UNIT</v>
          </cell>
          <cell r="U26" t="str">
            <v>HOLD - MODEL UNIT</v>
          </cell>
          <cell r="V26" t="str">
            <v>HOLD - MODEL UNIT</v>
          </cell>
          <cell r="W26" t="str">
            <v>HOLD - MODEL UNIT</v>
          </cell>
          <cell r="X26" t="str">
            <v>HOLD - MODEL UNIT</v>
          </cell>
          <cell r="Y26" t="str">
            <v>HOLD - MODEL UNIT</v>
          </cell>
          <cell r="Z26" t="str">
            <v>HOLD - MODEL UNIT</v>
          </cell>
          <cell r="AA26" t="str">
            <v>HOLD - MODEL UNIT</v>
          </cell>
          <cell r="AB26" t="str">
            <v>HOLD - MODEL UNIT</v>
          </cell>
          <cell r="AC26" t="str">
            <v>HOLD - MODEL UNIT</v>
          </cell>
          <cell r="AD26" t="str">
            <v>AGM-01-001-006</v>
          </cell>
          <cell r="AE26" t="str">
            <v xml:space="preserve">Raemulan Lands, Inc. </v>
          </cell>
          <cell r="AF26" t="str">
            <v>Agapeya</v>
          </cell>
          <cell r="AG26" t="str">
            <v>AGM</v>
          </cell>
          <cell r="AH26" t="str">
            <v>Eco-High</v>
          </cell>
          <cell r="AI26" t="str">
            <v>West</v>
          </cell>
          <cell r="AJ26" t="str">
            <v>With LTS</v>
          </cell>
          <cell r="AK26" t="str">
            <v>Unaffected lots</v>
          </cell>
          <cell r="AL26" t="str">
            <v>Unaffected lots</v>
          </cell>
          <cell r="AM26" t="b">
            <v>1</v>
          </cell>
          <cell r="AN26" t="str">
            <v>YES</v>
          </cell>
          <cell r="AO26" t="str">
            <v>B3 2025 - Hold</v>
          </cell>
          <cell r="AP26">
            <v>70</v>
          </cell>
          <cell r="AQ26" t="str">
            <v>PCS-04-034407</v>
          </cell>
          <cell r="AR26" t="b">
            <v>1</v>
          </cell>
          <cell r="AS26" t="str">
            <v>Done</v>
          </cell>
          <cell r="AT26" t="str">
            <v>2025 - Batch 6</v>
          </cell>
          <cell r="AU26">
            <v>1</v>
          </cell>
          <cell r="AV26">
            <v>6</v>
          </cell>
          <cell r="AW26" t="str">
            <v>H+L</v>
          </cell>
          <cell r="AX26">
            <v>70</v>
          </cell>
          <cell r="AY26">
            <v>50</v>
          </cell>
          <cell r="AZ26" t="str">
            <v>Duplex</v>
          </cell>
          <cell r="BA26" t="str">
            <v>NA</v>
          </cell>
          <cell r="BB26" t="str">
            <v>568 - Without Partition</v>
          </cell>
          <cell r="BC26" t="str">
            <v xml:space="preserve">Without Partition </v>
          </cell>
          <cell r="BD26" t="str">
            <v>Slant</v>
          </cell>
          <cell r="BE26" t="str">
            <v>N/A - Model Home Park</v>
          </cell>
          <cell r="BF26" t="str">
            <v>PURPLE</v>
          </cell>
          <cell r="BG26">
            <v>2650000</v>
          </cell>
          <cell r="BH26">
            <v>2650000</v>
          </cell>
          <cell r="BI26">
            <v>100000</v>
          </cell>
          <cell r="BJ26">
            <v>2550000</v>
          </cell>
          <cell r="BK26">
            <v>0</v>
          </cell>
          <cell r="BL26">
            <v>2550000</v>
          </cell>
        </row>
        <row r="27">
          <cell r="D27" t="str">
            <v>CLOSED</v>
          </cell>
          <cell r="E27"/>
          <cell r="F27">
            <v>7</v>
          </cell>
          <cell r="G27" t="str">
            <v>HOLD (MU)</v>
          </cell>
          <cell r="H27" t="str">
            <v>HOLD - MODEL UNIT</v>
          </cell>
          <cell r="I27" t="str">
            <v>HOLD - MODEL UNIT</v>
          </cell>
          <cell r="J27" t="str">
            <v>HOLD - MODEL UNIT</v>
          </cell>
          <cell r="K27" t="str">
            <v>HOLD - MODEL UNIT</v>
          </cell>
          <cell r="L27" t="str">
            <v>HOLD - MODEL UNIT</v>
          </cell>
          <cell r="M27" t="str">
            <v>HOLD - MODEL UNIT</v>
          </cell>
          <cell r="N27" t="str">
            <v>HOLD - MODEL UNIT</v>
          </cell>
          <cell r="O27" t="str">
            <v>HOLD - MODEL UNIT</v>
          </cell>
          <cell r="P27" t="str">
            <v>HOLD - MODEL UNIT</v>
          </cell>
          <cell r="Q27" t="str">
            <v>HOLD - MODEL UNIT</v>
          </cell>
          <cell r="R27" t="str">
            <v>CLOSED</v>
          </cell>
          <cell r="S27" t="str">
            <v>HOLD - MODEL UNIT</v>
          </cell>
          <cell r="T27" t="str">
            <v>HOLD - MODEL UNIT</v>
          </cell>
          <cell r="U27" t="str">
            <v>HOLD - MODEL UNIT</v>
          </cell>
          <cell r="V27" t="str">
            <v>HOLD - MODEL UNIT</v>
          </cell>
          <cell r="W27" t="str">
            <v>HOLD - MODEL UNIT</v>
          </cell>
          <cell r="X27" t="str">
            <v>HOLD - MODEL UNIT</v>
          </cell>
          <cell r="Y27" t="str">
            <v>HOLD - MODEL UNIT</v>
          </cell>
          <cell r="Z27" t="str">
            <v>HOLD - MODEL UNIT</v>
          </cell>
          <cell r="AA27" t="str">
            <v>HOLD - MODEL UNIT</v>
          </cell>
          <cell r="AB27" t="str">
            <v>HOLD - MODEL UNIT</v>
          </cell>
          <cell r="AC27" t="str">
            <v>HOLD - MODEL UNIT</v>
          </cell>
          <cell r="AD27" t="str">
            <v>AGM-01-001-007</v>
          </cell>
          <cell r="AE27" t="str">
            <v xml:space="preserve">Raemulan Lands, Inc. </v>
          </cell>
          <cell r="AF27" t="str">
            <v>Agapeya</v>
          </cell>
          <cell r="AG27" t="str">
            <v>AGM</v>
          </cell>
          <cell r="AH27" t="str">
            <v>Eco-High</v>
          </cell>
          <cell r="AI27" t="str">
            <v>West</v>
          </cell>
          <cell r="AJ27" t="str">
            <v>With LTS</v>
          </cell>
          <cell r="AK27" t="str">
            <v>Unaffected lots</v>
          </cell>
          <cell r="AL27" t="str">
            <v>Unaffected lots</v>
          </cell>
          <cell r="AM27" t="b">
            <v>1</v>
          </cell>
          <cell r="AN27" t="str">
            <v>YES</v>
          </cell>
          <cell r="AO27" t="str">
            <v>B3 2025 - Hold</v>
          </cell>
          <cell r="AP27">
            <v>70</v>
          </cell>
          <cell r="AQ27" t="str">
            <v>PCS-04-034407</v>
          </cell>
          <cell r="AR27" t="b">
            <v>1</v>
          </cell>
          <cell r="AS27" t="str">
            <v>Done</v>
          </cell>
          <cell r="AT27" t="str">
            <v>2025 - Batch 6</v>
          </cell>
          <cell r="AU27">
            <v>1</v>
          </cell>
          <cell r="AV27">
            <v>7</v>
          </cell>
          <cell r="AW27" t="str">
            <v>H+L</v>
          </cell>
          <cell r="AX27">
            <v>70</v>
          </cell>
          <cell r="AY27">
            <v>50</v>
          </cell>
          <cell r="AZ27" t="str">
            <v>Duplex</v>
          </cell>
          <cell r="BA27" t="str">
            <v>NA</v>
          </cell>
          <cell r="BB27" t="str">
            <v>568 - Without Partition</v>
          </cell>
          <cell r="BC27" t="str">
            <v xml:space="preserve">Without Partition </v>
          </cell>
          <cell r="BD27" t="str">
            <v>Slant</v>
          </cell>
          <cell r="BE27" t="str">
            <v>N/A - Model Home Park</v>
          </cell>
          <cell r="BF27" t="str">
            <v>PURPLE</v>
          </cell>
          <cell r="BG27">
            <v>2650000</v>
          </cell>
          <cell r="BH27">
            <v>2650000</v>
          </cell>
          <cell r="BI27">
            <v>100000</v>
          </cell>
          <cell r="BJ27">
            <v>2550000</v>
          </cell>
          <cell r="BK27">
            <v>0</v>
          </cell>
          <cell r="BL27">
            <v>2550000</v>
          </cell>
        </row>
        <row r="28">
          <cell r="D28" t="str">
            <v>CLOSED</v>
          </cell>
          <cell r="E28"/>
          <cell r="F28">
            <v>8</v>
          </cell>
          <cell r="G28" t="str">
            <v>HOLD (MU)</v>
          </cell>
          <cell r="H28" t="str">
            <v>HOLD - MODEL UNIT</v>
          </cell>
          <cell r="I28" t="str">
            <v>HOLD - MODEL UNIT</v>
          </cell>
          <cell r="J28" t="str">
            <v>HOLD - MODEL UNIT</v>
          </cell>
          <cell r="K28" t="str">
            <v>HOLD - MODEL UNIT</v>
          </cell>
          <cell r="L28" t="str">
            <v>HOLD - MODEL UNIT</v>
          </cell>
          <cell r="M28" t="str">
            <v>HOLD - MODEL UNIT</v>
          </cell>
          <cell r="N28" t="str">
            <v>HOLD - MODEL UNIT</v>
          </cell>
          <cell r="O28" t="str">
            <v>HOLD - MODEL UNIT</v>
          </cell>
          <cell r="P28" t="str">
            <v>HOLD - MODEL UNIT</v>
          </cell>
          <cell r="Q28" t="str">
            <v>HOLD - MODEL UNIT</v>
          </cell>
          <cell r="R28" t="str">
            <v>CLOSED</v>
          </cell>
          <cell r="S28" t="str">
            <v>HOLD - MODEL UNIT</v>
          </cell>
          <cell r="T28" t="str">
            <v>HOLD - MODEL UNIT</v>
          </cell>
          <cell r="U28" t="str">
            <v>HOLD - MODEL UNIT</v>
          </cell>
          <cell r="V28" t="str">
            <v>HOLD - MODEL UNIT</v>
          </cell>
          <cell r="W28" t="str">
            <v>HOLD - MODEL UNIT</v>
          </cell>
          <cell r="X28" t="str">
            <v>HOLD - MODEL UNIT</v>
          </cell>
          <cell r="Y28" t="str">
            <v>HOLD - MODEL UNIT</v>
          </cell>
          <cell r="Z28" t="str">
            <v>HOLD - MODEL UNIT</v>
          </cell>
          <cell r="AA28" t="str">
            <v>HOLD - MODEL UNIT</v>
          </cell>
          <cell r="AB28" t="str">
            <v>HOLD - MODEL UNIT</v>
          </cell>
          <cell r="AC28" t="str">
            <v>HOLD - MODEL UNIT</v>
          </cell>
          <cell r="AD28" t="str">
            <v>AGM-01-001-008</v>
          </cell>
          <cell r="AE28" t="str">
            <v xml:space="preserve">Raemulan Lands, Inc. </v>
          </cell>
          <cell r="AF28" t="str">
            <v>Agapeya</v>
          </cell>
          <cell r="AG28" t="str">
            <v>AGM</v>
          </cell>
          <cell r="AH28" t="str">
            <v>Eco-High</v>
          </cell>
          <cell r="AI28" t="str">
            <v>West</v>
          </cell>
          <cell r="AJ28" t="str">
            <v>With LTS</v>
          </cell>
          <cell r="AK28" t="str">
            <v>Unaffected lots</v>
          </cell>
          <cell r="AL28" t="str">
            <v>Unaffected lots</v>
          </cell>
          <cell r="AM28" t="b">
            <v>1</v>
          </cell>
          <cell r="AN28" t="str">
            <v>YES</v>
          </cell>
          <cell r="AO28" t="str">
            <v>B3 2025 - Hold</v>
          </cell>
          <cell r="AP28">
            <v>70</v>
          </cell>
          <cell r="AQ28" t="str">
            <v>PCS-04-034407</v>
          </cell>
          <cell r="AR28" t="b">
            <v>1</v>
          </cell>
          <cell r="AS28" t="str">
            <v>Done</v>
          </cell>
          <cell r="AT28" t="str">
            <v>2025 - Batch 6</v>
          </cell>
          <cell r="AU28">
            <v>1</v>
          </cell>
          <cell r="AV28">
            <v>8</v>
          </cell>
          <cell r="AW28" t="str">
            <v>H+L</v>
          </cell>
          <cell r="AX28">
            <v>70</v>
          </cell>
          <cell r="AY28">
            <v>50</v>
          </cell>
          <cell r="AZ28" t="str">
            <v>Duplex</v>
          </cell>
          <cell r="BA28" t="str">
            <v>NA</v>
          </cell>
          <cell r="BB28" t="str">
            <v>568 - Without Partition</v>
          </cell>
          <cell r="BC28" t="str">
            <v xml:space="preserve">Without Partition </v>
          </cell>
          <cell r="BD28" t="str">
            <v>Flat</v>
          </cell>
          <cell r="BE28" t="str">
            <v>N/A - Model Home Park</v>
          </cell>
          <cell r="BF28" t="str">
            <v>PURPLE</v>
          </cell>
          <cell r="BG28">
            <v>2650000</v>
          </cell>
          <cell r="BH28">
            <v>2650000</v>
          </cell>
          <cell r="BI28">
            <v>100000</v>
          </cell>
          <cell r="BJ28">
            <v>2550000</v>
          </cell>
          <cell r="BK28">
            <v>0</v>
          </cell>
          <cell r="BL28">
            <v>2550000</v>
          </cell>
        </row>
        <row r="29">
          <cell r="D29" t="str">
            <v>CLOSED</v>
          </cell>
          <cell r="E29"/>
          <cell r="F29">
            <v>9</v>
          </cell>
          <cell r="G29" t="str">
            <v>HOLD (MU)</v>
          </cell>
          <cell r="H29" t="str">
            <v>HOLD - MODEL UNIT</v>
          </cell>
          <cell r="I29" t="str">
            <v>HOLD - MODEL UNIT</v>
          </cell>
          <cell r="J29" t="str">
            <v>HOLD - MODEL UNIT</v>
          </cell>
          <cell r="K29" t="str">
            <v>HOLD - MODEL UNIT</v>
          </cell>
          <cell r="L29" t="str">
            <v>HOLD - MODEL UNIT</v>
          </cell>
          <cell r="M29" t="str">
            <v>HOLD - MODEL UNIT</v>
          </cell>
          <cell r="N29" t="str">
            <v>HOLD - MODEL UNIT</v>
          </cell>
          <cell r="O29" t="str">
            <v>HOLD - MODEL UNIT</v>
          </cell>
          <cell r="P29" t="str">
            <v>HOLD - MODEL UNIT</v>
          </cell>
          <cell r="Q29" t="str">
            <v>HOLD - MODEL UNIT</v>
          </cell>
          <cell r="R29" t="str">
            <v>CLOSED</v>
          </cell>
          <cell r="S29" t="str">
            <v>HOLD - MODEL UNIT</v>
          </cell>
          <cell r="T29" t="str">
            <v>HOLD - MODEL UNIT</v>
          </cell>
          <cell r="U29" t="str">
            <v>HOLD - MODEL UNIT</v>
          </cell>
          <cell r="V29" t="str">
            <v>HOLD - MODEL UNIT</v>
          </cell>
          <cell r="W29" t="str">
            <v>HOLD - MODEL UNIT</v>
          </cell>
          <cell r="X29" t="str">
            <v>HOLD - MODEL UNIT</v>
          </cell>
          <cell r="Y29" t="str">
            <v>HOLD - MODEL UNIT</v>
          </cell>
          <cell r="Z29" t="str">
            <v>HOLD - MODEL UNIT</v>
          </cell>
          <cell r="AA29" t="str">
            <v>HOLD - MODEL UNIT</v>
          </cell>
          <cell r="AB29" t="str">
            <v>HOLD - MODEL UNIT</v>
          </cell>
          <cell r="AC29" t="str">
            <v>HOLD - MODEL UNIT</v>
          </cell>
          <cell r="AD29" t="str">
            <v>AGM-01-001-009</v>
          </cell>
          <cell r="AE29" t="str">
            <v xml:space="preserve">Raemulan Lands, Inc. </v>
          </cell>
          <cell r="AF29" t="str">
            <v>Agapeya</v>
          </cell>
          <cell r="AG29" t="str">
            <v>AGM</v>
          </cell>
          <cell r="AH29" t="str">
            <v>Eco-High</v>
          </cell>
          <cell r="AI29" t="str">
            <v>West</v>
          </cell>
          <cell r="AJ29" t="str">
            <v>With LTS</v>
          </cell>
          <cell r="AK29" t="str">
            <v>Unaffected lots</v>
          </cell>
          <cell r="AL29" t="str">
            <v>Unaffected lots</v>
          </cell>
          <cell r="AM29" t="b">
            <v>1</v>
          </cell>
          <cell r="AN29" t="str">
            <v>YES</v>
          </cell>
          <cell r="AO29" t="str">
            <v>B3 2025 - Hold</v>
          </cell>
          <cell r="AP29">
            <v>70</v>
          </cell>
          <cell r="AQ29" t="str">
            <v>PCS-04-034407</v>
          </cell>
          <cell r="AR29" t="b">
            <v>1</v>
          </cell>
          <cell r="AS29" t="str">
            <v>Done</v>
          </cell>
          <cell r="AT29" t="str">
            <v>2025 - Batch 6</v>
          </cell>
          <cell r="AU29">
            <v>1</v>
          </cell>
          <cell r="AV29">
            <v>9</v>
          </cell>
          <cell r="AW29" t="str">
            <v>H+L</v>
          </cell>
          <cell r="AX29">
            <v>70</v>
          </cell>
          <cell r="AY29">
            <v>50</v>
          </cell>
          <cell r="AZ29" t="str">
            <v>Duplex</v>
          </cell>
          <cell r="BA29" t="str">
            <v>NA</v>
          </cell>
          <cell r="BB29" t="str">
            <v>568 - Without Partition</v>
          </cell>
          <cell r="BC29" t="str">
            <v xml:space="preserve">Without Partition </v>
          </cell>
          <cell r="BD29" t="str">
            <v>Flat</v>
          </cell>
          <cell r="BE29" t="str">
            <v>N/A - Model Home Park</v>
          </cell>
          <cell r="BF29" t="str">
            <v>PINK</v>
          </cell>
          <cell r="BG29">
            <v>2650000</v>
          </cell>
          <cell r="BH29">
            <v>2650000</v>
          </cell>
          <cell r="BI29">
            <v>100000</v>
          </cell>
          <cell r="BJ29">
            <v>2550000</v>
          </cell>
          <cell r="BK29">
            <v>0</v>
          </cell>
          <cell r="BL29">
            <v>2550000</v>
          </cell>
        </row>
        <row r="30">
          <cell r="D30" t="str">
            <v>CLOSED</v>
          </cell>
          <cell r="E30"/>
          <cell r="F30">
            <v>10</v>
          </cell>
          <cell r="G30" t="str">
            <v>HOLD (MU)</v>
          </cell>
          <cell r="H30" t="str">
            <v>HOLD - MODEL UNIT</v>
          </cell>
          <cell r="I30" t="str">
            <v>HOLD - MODEL UNIT</v>
          </cell>
          <cell r="J30" t="str">
            <v>HOLD - MODEL UNIT</v>
          </cell>
          <cell r="K30" t="str">
            <v>HOLD - MODEL UNIT</v>
          </cell>
          <cell r="L30" t="str">
            <v>HOLD - MODEL UNIT</v>
          </cell>
          <cell r="M30" t="str">
            <v>HOLD - MODEL UNIT</v>
          </cell>
          <cell r="N30" t="str">
            <v>HOLD - MODEL UNIT</v>
          </cell>
          <cell r="O30" t="str">
            <v>HOLD - MODEL UNIT</v>
          </cell>
          <cell r="P30" t="str">
            <v>HOLD - MODEL UNIT</v>
          </cell>
          <cell r="Q30" t="str">
            <v>HOLD - MODEL UNIT</v>
          </cell>
          <cell r="R30" t="str">
            <v>CLOSED</v>
          </cell>
          <cell r="S30" t="str">
            <v>HOLD - MODEL UNIT</v>
          </cell>
          <cell r="T30" t="str">
            <v>HOLD - MODEL UNIT</v>
          </cell>
          <cell r="U30" t="str">
            <v>HOLD - MODEL UNIT</v>
          </cell>
          <cell r="V30" t="str">
            <v>HOLD - MODEL UNIT</v>
          </cell>
          <cell r="W30" t="str">
            <v>HOLD - MODEL UNIT</v>
          </cell>
          <cell r="X30" t="str">
            <v>HOLD - MODEL UNIT</v>
          </cell>
          <cell r="Y30" t="str">
            <v>HOLD - MODEL UNIT</v>
          </cell>
          <cell r="Z30" t="str">
            <v>HOLD - MODEL UNIT</v>
          </cell>
          <cell r="AA30" t="str">
            <v>HOLD - MODEL UNIT</v>
          </cell>
          <cell r="AB30" t="str">
            <v>HOLD - MODEL UNIT</v>
          </cell>
          <cell r="AC30" t="str">
            <v>HOLD - MODEL UNIT</v>
          </cell>
          <cell r="AD30" t="str">
            <v>AGM-01-001-010</v>
          </cell>
          <cell r="AE30" t="str">
            <v xml:space="preserve">Raemulan Lands, Inc. </v>
          </cell>
          <cell r="AF30" t="str">
            <v>Agapeya</v>
          </cell>
          <cell r="AG30" t="str">
            <v>AGM</v>
          </cell>
          <cell r="AH30" t="str">
            <v>Eco-High</v>
          </cell>
          <cell r="AI30" t="str">
            <v>West</v>
          </cell>
          <cell r="AJ30" t="str">
            <v>With LTS</v>
          </cell>
          <cell r="AK30" t="str">
            <v>Unaffected lots</v>
          </cell>
          <cell r="AL30" t="str">
            <v>Unaffected lots</v>
          </cell>
          <cell r="AM30" t="b">
            <v>1</v>
          </cell>
          <cell r="AN30" t="str">
            <v>YES</v>
          </cell>
          <cell r="AO30" t="str">
            <v>B3 2025 - Hold</v>
          </cell>
          <cell r="AP30">
            <v>119</v>
          </cell>
          <cell r="AQ30" t="str">
            <v>PCS-04-034407</v>
          </cell>
          <cell r="AR30" t="b">
            <v>1</v>
          </cell>
          <cell r="AS30" t="str">
            <v>Done</v>
          </cell>
          <cell r="AT30" t="str">
            <v>2025 - Batch 6</v>
          </cell>
          <cell r="AU30">
            <v>1</v>
          </cell>
          <cell r="AV30">
            <v>10</v>
          </cell>
          <cell r="AW30" t="str">
            <v>H+L</v>
          </cell>
          <cell r="AX30">
            <v>119</v>
          </cell>
          <cell r="AY30">
            <v>50</v>
          </cell>
          <cell r="AZ30" t="str">
            <v>Duplex</v>
          </cell>
          <cell r="BA30" t="str">
            <v>NA</v>
          </cell>
          <cell r="BB30" t="str">
            <v>568 - Without Partition</v>
          </cell>
          <cell r="BC30" t="str">
            <v xml:space="preserve">Without Partition </v>
          </cell>
          <cell r="BD30" t="str">
            <v>Slant</v>
          </cell>
          <cell r="BE30" t="str">
            <v>N/A - Model Home Park</v>
          </cell>
          <cell r="BF30" t="str">
            <v>PINK</v>
          </cell>
          <cell r="BG30">
            <v>2500000</v>
          </cell>
          <cell r="BH30">
            <v>3400000</v>
          </cell>
          <cell r="BI30">
            <v>100000</v>
          </cell>
          <cell r="BJ30">
            <v>3300000</v>
          </cell>
          <cell r="BK30">
            <v>0</v>
          </cell>
          <cell r="BL30">
            <v>3300000</v>
          </cell>
        </row>
        <row r="31">
          <cell r="D31" t="str">
            <v>OS</v>
          </cell>
          <cell r="E31"/>
          <cell r="F31">
            <v>11</v>
          </cell>
          <cell r="G31" t="str">
            <v>HOLD (MU)</v>
          </cell>
          <cell r="H31" t="str">
            <v>TS</v>
          </cell>
          <cell r="I31" t="str">
            <v>TS</v>
          </cell>
          <cell r="J31" t="str">
            <v>TS</v>
          </cell>
          <cell r="K31" t="str">
            <v>TS</v>
          </cell>
          <cell r="L31" t="str">
            <v>TS</v>
          </cell>
          <cell r="M31" t="str">
            <v>TS</v>
          </cell>
          <cell r="N31" t="str">
            <v>TS</v>
          </cell>
          <cell r="O31" t="str">
            <v>TS</v>
          </cell>
          <cell r="P31" t="str">
            <v>OS</v>
          </cell>
          <cell r="Q31" t="str">
            <v>OS</v>
          </cell>
          <cell r="R31" t="str">
            <v>OS</v>
          </cell>
          <cell r="S31" t="str">
            <v>OS</v>
          </cell>
          <cell r="T31" t="str">
            <v>OS</v>
          </cell>
          <cell r="U31" t="str">
            <v>OS</v>
          </cell>
          <cell r="V31" t="str">
            <v>OS</v>
          </cell>
          <cell r="W31" t="str">
            <v>OS</v>
          </cell>
          <cell r="X31" t="str">
            <v>OS</v>
          </cell>
          <cell r="Y31" t="str">
            <v>OS</v>
          </cell>
          <cell r="Z31" t="str">
            <v>OS</v>
          </cell>
          <cell r="AA31" t="str">
            <v>OS</v>
          </cell>
          <cell r="AB31" t="str">
            <v>OS</v>
          </cell>
          <cell r="AC31" t="str">
            <v>OS</v>
          </cell>
          <cell r="AD31" t="str">
            <v>AGM-01-002-001</v>
          </cell>
          <cell r="AE31" t="str">
            <v xml:space="preserve">Raemulan Lands, Inc. </v>
          </cell>
          <cell r="AF31" t="str">
            <v>Agapeya</v>
          </cell>
          <cell r="AG31" t="str">
            <v>AGM</v>
          </cell>
          <cell r="AH31" t="str">
            <v>Eco-High</v>
          </cell>
          <cell r="AI31" t="str">
            <v>West</v>
          </cell>
          <cell r="AJ31" t="str">
            <v>With LTS</v>
          </cell>
          <cell r="AK31" t="str">
            <v>Unaffected lots</v>
          </cell>
          <cell r="AL31" t="str">
            <v>Unaffected lots</v>
          </cell>
          <cell r="AM31" t="b">
            <v>1</v>
          </cell>
          <cell r="AN31" t="str">
            <v>YES</v>
          </cell>
          <cell r="AO31" t="str">
            <v>B3 2025</v>
          </cell>
          <cell r="AP31">
            <v>70</v>
          </cell>
          <cell r="AQ31" t="str">
            <v>PCS-04-034407</v>
          </cell>
          <cell r="AR31" t="b">
            <v>1</v>
          </cell>
          <cell r="AS31" t="str">
            <v>Done</v>
          </cell>
          <cell r="AT31" t="str">
            <v>2025 - Batch 6</v>
          </cell>
          <cell r="AU31">
            <v>2</v>
          </cell>
          <cell r="AV31">
            <v>1</v>
          </cell>
          <cell r="AW31" t="str">
            <v>H+L</v>
          </cell>
          <cell r="AX31">
            <v>70</v>
          </cell>
          <cell r="AY31">
            <v>50</v>
          </cell>
          <cell r="AZ31" t="str">
            <v>Duplex</v>
          </cell>
          <cell r="BA31">
            <v>1</v>
          </cell>
          <cell r="BB31" t="str">
            <v>568 - Without Partition</v>
          </cell>
          <cell r="BC31" t="str">
            <v xml:space="preserve">Without Partition </v>
          </cell>
          <cell r="BD31" t="str">
            <v>Slant</v>
          </cell>
          <cell r="BE31" t="str">
            <v xml:space="preserve">Without Partition </v>
          </cell>
          <cell r="BF31" t="str">
            <v>PURPLE</v>
          </cell>
          <cell r="BG31">
            <v>2500000</v>
          </cell>
          <cell r="BH31">
            <v>2650000</v>
          </cell>
          <cell r="BI31">
            <v>100000</v>
          </cell>
          <cell r="BJ31">
            <v>2550000</v>
          </cell>
          <cell r="BK31">
            <v>0</v>
          </cell>
          <cell r="BL31">
            <v>2550000</v>
          </cell>
        </row>
        <row r="32">
          <cell r="D32" t="str">
            <v>OS</v>
          </cell>
          <cell r="E32"/>
          <cell r="F32">
            <v>12</v>
          </cell>
          <cell r="G32" t="str">
            <v>HOLD (MU)</v>
          </cell>
          <cell r="H32" t="str">
            <v>TS</v>
          </cell>
          <cell r="I32" t="str">
            <v>TS</v>
          </cell>
          <cell r="J32" t="str">
            <v>TS</v>
          </cell>
          <cell r="K32" t="str">
            <v>TS</v>
          </cell>
          <cell r="L32" t="str">
            <v>TS</v>
          </cell>
          <cell r="M32" t="str">
            <v>TS</v>
          </cell>
          <cell r="N32" t="str">
            <v>OS</v>
          </cell>
          <cell r="O32" t="str">
            <v>OS</v>
          </cell>
          <cell r="P32" t="str">
            <v>OS</v>
          </cell>
          <cell r="Q32" t="str">
            <v>OS</v>
          </cell>
          <cell r="R32" t="str">
            <v>OS</v>
          </cell>
          <cell r="S32" t="str">
            <v>OS</v>
          </cell>
          <cell r="T32" t="str">
            <v>OS</v>
          </cell>
          <cell r="U32" t="str">
            <v>OS</v>
          </cell>
          <cell r="V32" t="str">
            <v>OS</v>
          </cell>
          <cell r="W32" t="str">
            <v>OS</v>
          </cell>
          <cell r="X32" t="str">
            <v>OS</v>
          </cell>
          <cell r="Y32" t="str">
            <v>OS</v>
          </cell>
          <cell r="Z32" t="str">
            <v>OS</v>
          </cell>
          <cell r="AA32" t="str">
            <v>OS</v>
          </cell>
          <cell r="AB32" t="str">
            <v>OS</v>
          </cell>
          <cell r="AC32" t="str">
            <v>OS</v>
          </cell>
          <cell r="AD32" t="str">
            <v>AGM-01-002-002</v>
          </cell>
          <cell r="AE32" t="str">
            <v xml:space="preserve">Raemulan Lands, Inc. </v>
          </cell>
          <cell r="AF32" t="str">
            <v>Agapeya</v>
          </cell>
          <cell r="AG32" t="str">
            <v>AGM</v>
          </cell>
          <cell r="AH32" t="str">
            <v>Eco-High</v>
          </cell>
          <cell r="AI32" t="str">
            <v>West</v>
          </cell>
          <cell r="AJ32" t="str">
            <v>With LTS</v>
          </cell>
          <cell r="AK32" t="str">
            <v>Unaffected lots</v>
          </cell>
          <cell r="AL32" t="str">
            <v>Unaffected lots</v>
          </cell>
          <cell r="AM32" t="b">
            <v>1</v>
          </cell>
          <cell r="AN32" t="str">
            <v>YES</v>
          </cell>
          <cell r="AO32" t="str">
            <v>B3 2025</v>
          </cell>
          <cell r="AP32">
            <v>70</v>
          </cell>
          <cell r="AQ32" t="str">
            <v>PCS-04-034407</v>
          </cell>
          <cell r="AR32" t="b">
            <v>1</v>
          </cell>
          <cell r="AS32" t="str">
            <v>Done</v>
          </cell>
          <cell r="AT32" t="str">
            <v>2025 - Batch 6</v>
          </cell>
          <cell r="AU32">
            <v>2</v>
          </cell>
          <cell r="AV32">
            <v>2</v>
          </cell>
          <cell r="AW32" t="str">
            <v>H+L</v>
          </cell>
          <cell r="AX32">
            <v>70</v>
          </cell>
          <cell r="AY32">
            <v>50</v>
          </cell>
          <cell r="AZ32" t="str">
            <v>Duplex</v>
          </cell>
          <cell r="BA32">
            <v>1</v>
          </cell>
          <cell r="BB32" t="str">
            <v>568 - Without Partition</v>
          </cell>
          <cell r="BC32" t="str">
            <v xml:space="preserve">Without Partition </v>
          </cell>
          <cell r="BD32" t="str">
            <v>Flat</v>
          </cell>
          <cell r="BE32" t="str">
            <v xml:space="preserve">Without Partition </v>
          </cell>
          <cell r="BF32" t="str">
            <v>PURPLE</v>
          </cell>
          <cell r="BG32">
            <v>2500000</v>
          </cell>
          <cell r="BH32">
            <v>2650000</v>
          </cell>
          <cell r="BI32">
            <v>100000</v>
          </cell>
          <cell r="BJ32">
            <v>2550000</v>
          </cell>
          <cell r="BK32">
            <v>0</v>
          </cell>
          <cell r="BL32">
            <v>2550000</v>
          </cell>
        </row>
        <row r="33">
          <cell r="D33" t="str">
            <v>OS</v>
          </cell>
          <cell r="E33"/>
          <cell r="F33">
            <v>13</v>
          </cell>
          <cell r="G33" t="str">
            <v>HOLD (MU)</v>
          </cell>
          <cell r="H33" t="str">
            <v>TS</v>
          </cell>
          <cell r="I33" t="str">
            <v>TS</v>
          </cell>
          <cell r="J33" t="str">
            <v>WITH BRN</v>
          </cell>
          <cell r="K33" t="str">
            <v>TS</v>
          </cell>
          <cell r="L33" t="str">
            <v>TS</v>
          </cell>
          <cell r="M33" t="str">
            <v>OS</v>
          </cell>
          <cell r="N33" t="str">
            <v>OS</v>
          </cell>
          <cell r="O33" t="str">
            <v>OS</v>
          </cell>
          <cell r="P33" t="str">
            <v>OS</v>
          </cell>
          <cell r="Q33" t="str">
            <v>OS</v>
          </cell>
          <cell r="R33" t="str">
            <v>OS</v>
          </cell>
          <cell r="S33" t="str">
            <v>OS</v>
          </cell>
          <cell r="T33" t="str">
            <v>OS</v>
          </cell>
          <cell r="U33" t="str">
            <v>OS</v>
          </cell>
          <cell r="V33" t="str">
            <v>OS</v>
          </cell>
          <cell r="W33" t="str">
            <v>OS</v>
          </cell>
          <cell r="X33" t="str">
            <v>OS</v>
          </cell>
          <cell r="Y33" t="str">
            <v>OS</v>
          </cell>
          <cell r="Z33" t="str">
            <v>OS</v>
          </cell>
          <cell r="AA33" t="str">
            <v>OS</v>
          </cell>
          <cell r="AB33" t="str">
            <v>OS</v>
          </cell>
          <cell r="AC33" t="str">
            <v>OS</v>
          </cell>
          <cell r="AD33" t="str">
            <v>AGM-01-002-003</v>
          </cell>
          <cell r="AE33" t="str">
            <v xml:space="preserve">Raemulan Lands, Inc. </v>
          </cell>
          <cell r="AF33" t="str">
            <v>Agapeya</v>
          </cell>
          <cell r="AG33" t="str">
            <v>AGM</v>
          </cell>
          <cell r="AH33" t="str">
            <v>Eco-High</v>
          </cell>
          <cell r="AI33" t="str">
            <v>West</v>
          </cell>
          <cell r="AJ33" t="str">
            <v>With LTS</v>
          </cell>
          <cell r="AK33" t="str">
            <v>Unaffected lots</v>
          </cell>
          <cell r="AL33" t="str">
            <v>Unaffected lots</v>
          </cell>
          <cell r="AM33" t="b">
            <v>1</v>
          </cell>
          <cell r="AN33" t="str">
            <v>YES</v>
          </cell>
          <cell r="AO33" t="str">
            <v>B3 2025</v>
          </cell>
          <cell r="AP33">
            <v>70</v>
          </cell>
          <cell r="AQ33" t="str">
            <v>PCS-04-034407</v>
          </cell>
          <cell r="AR33" t="b">
            <v>1</v>
          </cell>
          <cell r="AS33" t="str">
            <v>Done</v>
          </cell>
          <cell r="AT33" t="str">
            <v>2025 - Batch 6</v>
          </cell>
          <cell r="AU33">
            <v>2</v>
          </cell>
          <cell r="AV33">
            <v>3</v>
          </cell>
          <cell r="AW33" t="str">
            <v>H+L</v>
          </cell>
          <cell r="AX33">
            <v>70</v>
          </cell>
          <cell r="AY33">
            <v>50</v>
          </cell>
          <cell r="AZ33" t="str">
            <v>Duplex</v>
          </cell>
          <cell r="BA33">
            <v>1</v>
          </cell>
          <cell r="BB33" t="str">
            <v>568 - Without Partition</v>
          </cell>
          <cell r="BC33" t="str">
            <v xml:space="preserve">Without Partition </v>
          </cell>
          <cell r="BD33" t="str">
            <v>Flat</v>
          </cell>
          <cell r="BE33" t="str">
            <v xml:space="preserve">Without Partition </v>
          </cell>
          <cell r="BF33" t="str">
            <v>PURPLE</v>
          </cell>
          <cell r="BG33">
            <v>2500000</v>
          </cell>
          <cell r="BH33">
            <v>2650000</v>
          </cell>
          <cell r="BI33">
            <v>100000</v>
          </cell>
          <cell r="BJ33">
            <v>2550000</v>
          </cell>
          <cell r="BK33">
            <v>0</v>
          </cell>
          <cell r="BL33">
            <v>2550000</v>
          </cell>
        </row>
        <row r="34">
          <cell r="D34" t="str">
            <v>OS</v>
          </cell>
          <cell r="E34"/>
          <cell r="F34">
            <v>14</v>
          </cell>
          <cell r="G34" t="str">
            <v>HOLD (MU)</v>
          </cell>
          <cell r="H34" t="str">
            <v>TS</v>
          </cell>
          <cell r="I34" t="str">
            <v>TS</v>
          </cell>
          <cell r="J34" t="str">
            <v>WITH BRN</v>
          </cell>
          <cell r="K34" t="str">
            <v>TS</v>
          </cell>
          <cell r="L34" t="str">
            <v>TS</v>
          </cell>
          <cell r="M34" t="str">
            <v>OS</v>
          </cell>
          <cell r="N34" t="str">
            <v>OS</v>
          </cell>
          <cell r="O34" t="str">
            <v>OS</v>
          </cell>
          <cell r="P34" t="str">
            <v>OS</v>
          </cell>
          <cell r="Q34" t="str">
            <v>OS</v>
          </cell>
          <cell r="R34" t="str">
            <v>OS</v>
          </cell>
          <cell r="S34" t="str">
            <v>OS</v>
          </cell>
          <cell r="T34" t="str">
            <v>OS</v>
          </cell>
          <cell r="U34" t="str">
            <v>OS</v>
          </cell>
          <cell r="V34" t="str">
            <v>OS</v>
          </cell>
          <cell r="W34" t="str">
            <v>OS</v>
          </cell>
          <cell r="X34" t="str">
            <v>OS</v>
          </cell>
          <cell r="Y34" t="str">
            <v>OS</v>
          </cell>
          <cell r="Z34" t="str">
            <v>OS</v>
          </cell>
          <cell r="AA34" t="str">
            <v>OS</v>
          </cell>
          <cell r="AB34" t="str">
            <v>OS</v>
          </cell>
          <cell r="AC34" t="str">
            <v>OS</v>
          </cell>
          <cell r="AD34" t="str">
            <v>AGM-01-002-004</v>
          </cell>
          <cell r="AE34" t="str">
            <v xml:space="preserve">Raemulan Lands, Inc. </v>
          </cell>
          <cell r="AF34" t="str">
            <v>Agapeya</v>
          </cell>
          <cell r="AG34" t="str">
            <v>AGM</v>
          </cell>
          <cell r="AH34" t="str">
            <v>Eco-High</v>
          </cell>
          <cell r="AI34" t="str">
            <v>West</v>
          </cell>
          <cell r="AJ34" t="str">
            <v>With LTS</v>
          </cell>
          <cell r="AK34" t="str">
            <v>Unaffected lots</v>
          </cell>
          <cell r="AL34" t="str">
            <v>Unaffected lots</v>
          </cell>
          <cell r="AM34" t="b">
            <v>1</v>
          </cell>
          <cell r="AN34" t="str">
            <v>YES</v>
          </cell>
          <cell r="AO34" t="str">
            <v>B3 2025</v>
          </cell>
          <cell r="AP34">
            <v>70</v>
          </cell>
          <cell r="AQ34" t="str">
            <v>PCS-04-034407</v>
          </cell>
          <cell r="AR34" t="b">
            <v>1</v>
          </cell>
          <cell r="AS34" t="str">
            <v>Done</v>
          </cell>
          <cell r="AT34" t="str">
            <v>2025 - Batch 6</v>
          </cell>
          <cell r="AU34">
            <v>2</v>
          </cell>
          <cell r="AV34">
            <v>4</v>
          </cell>
          <cell r="AW34" t="str">
            <v>H+L</v>
          </cell>
          <cell r="AX34">
            <v>70</v>
          </cell>
          <cell r="AY34">
            <v>50</v>
          </cell>
          <cell r="AZ34" t="str">
            <v>Duplex</v>
          </cell>
          <cell r="BA34">
            <v>1</v>
          </cell>
          <cell r="BB34" t="str">
            <v>568 - Without Partition</v>
          </cell>
          <cell r="BC34" t="str">
            <v xml:space="preserve">Without Partition </v>
          </cell>
          <cell r="BD34" t="str">
            <v>Slant</v>
          </cell>
          <cell r="BE34" t="str">
            <v xml:space="preserve">Without Partition </v>
          </cell>
          <cell r="BF34" t="str">
            <v>PURPLE</v>
          </cell>
          <cell r="BG34">
            <v>2500000</v>
          </cell>
          <cell r="BH34">
            <v>2650000</v>
          </cell>
          <cell r="BI34">
            <v>100000</v>
          </cell>
          <cell r="BJ34">
            <v>2550000</v>
          </cell>
          <cell r="BK34">
            <v>0</v>
          </cell>
          <cell r="BL34">
            <v>2550000</v>
          </cell>
        </row>
        <row r="35">
          <cell r="D35" t="str">
            <v>OS</v>
          </cell>
          <cell r="E35"/>
          <cell r="F35">
            <v>15</v>
          </cell>
          <cell r="G35" t="str">
            <v>UNSOLD</v>
          </cell>
          <cell r="H35" t="str">
            <v>TS</v>
          </cell>
          <cell r="I35" t="str">
            <v>TS</v>
          </cell>
          <cell r="J35" t="str">
            <v>OS</v>
          </cell>
          <cell r="K35" t="str">
            <v>OS</v>
          </cell>
          <cell r="L35" t="str">
            <v>OS</v>
          </cell>
          <cell r="M35" t="str">
            <v>OS</v>
          </cell>
          <cell r="N35" t="str">
            <v>OS</v>
          </cell>
          <cell r="O35" t="str">
            <v>OS</v>
          </cell>
          <cell r="P35" t="str">
            <v>OS</v>
          </cell>
          <cell r="Q35" t="str">
            <v>OS</v>
          </cell>
          <cell r="R35" t="str">
            <v>OS</v>
          </cell>
          <cell r="S35" t="str">
            <v>OS</v>
          </cell>
          <cell r="T35" t="str">
            <v>OS</v>
          </cell>
          <cell r="U35" t="str">
            <v>OS</v>
          </cell>
          <cell r="V35" t="str">
            <v>OS</v>
          </cell>
          <cell r="W35" t="str">
            <v>OS</v>
          </cell>
          <cell r="X35" t="str">
            <v>OS</v>
          </cell>
          <cell r="Y35" t="str">
            <v>OS</v>
          </cell>
          <cell r="Z35" t="str">
            <v>OS</v>
          </cell>
          <cell r="AA35" t="str">
            <v>OS</v>
          </cell>
          <cell r="AB35" t="str">
            <v>OS</v>
          </cell>
          <cell r="AC35" t="str">
            <v>OS</v>
          </cell>
          <cell r="AD35" t="str">
            <v>AGM-01-002-005</v>
          </cell>
          <cell r="AE35" t="str">
            <v xml:space="preserve">Raemulan Lands, Inc. </v>
          </cell>
          <cell r="AF35" t="str">
            <v>Agapeya</v>
          </cell>
          <cell r="AG35" t="str">
            <v>AGM</v>
          </cell>
          <cell r="AH35" t="str">
            <v>Eco-High</v>
          </cell>
          <cell r="AI35" t="str">
            <v>West</v>
          </cell>
          <cell r="AJ35" t="str">
            <v>With LTS</v>
          </cell>
          <cell r="AK35" t="str">
            <v>Unaffected lots</v>
          </cell>
          <cell r="AL35" t="str">
            <v>Unaffected lots</v>
          </cell>
          <cell r="AM35" t="b">
            <v>1</v>
          </cell>
          <cell r="AN35" t="str">
            <v>YES</v>
          </cell>
          <cell r="AO35" t="str">
            <v>B3 2025</v>
          </cell>
          <cell r="AP35">
            <v>70</v>
          </cell>
          <cell r="AQ35" t="str">
            <v>PCS-04-034407</v>
          </cell>
          <cell r="AR35" t="b">
            <v>1</v>
          </cell>
          <cell r="AS35" t="str">
            <v>Done</v>
          </cell>
          <cell r="AT35" t="str">
            <v>2025 - Batch 6</v>
          </cell>
          <cell r="AU35">
            <v>2</v>
          </cell>
          <cell r="AV35">
            <v>5</v>
          </cell>
          <cell r="AW35" t="str">
            <v>H+L</v>
          </cell>
          <cell r="AX35">
            <v>70</v>
          </cell>
          <cell r="AY35">
            <v>50</v>
          </cell>
          <cell r="AZ35" t="str">
            <v>Duplex</v>
          </cell>
          <cell r="BA35">
            <v>1</v>
          </cell>
          <cell r="BB35" t="str">
            <v>568 - Without Partition</v>
          </cell>
          <cell r="BC35" t="str">
            <v xml:space="preserve">Without Partition </v>
          </cell>
          <cell r="BD35" t="str">
            <v>Slant</v>
          </cell>
          <cell r="BE35" t="str">
            <v xml:space="preserve">Without Partition </v>
          </cell>
          <cell r="BF35" t="str">
            <v>PINK</v>
          </cell>
          <cell r="BG35">
            <v>2500000</v>
          </cell>
          <cell r="BH35">
            <v>2650000</v>
          </cell>
          <cell r="BI35">
            <v>100000</v>
          </cell>
          <cell r="BJ35">
            <v>2550000</v>
          </cell>
          <cell r="BK35">
            <v>0</v>
          </cell>
          <cell r="BL35">
            <v>2550000</v>
          </cell>
        </row>
        <row r="36">
          <cell r="D36" t="str">
            <v>OS</v>
          </cell>
          <cell r="E36"/>
          <cell r="F36">
            <v>16</v>
          </cell>
          <cell r="G36" t="str">
            <v>CLOSED</v>
          </cell>
          <cell r="H36" t="str">
            <v>TS</v>
          </cell>
          <cell r="I36" t="str">
            <v>TS</v>
          </cell>
          <cell r="J36" t="str">
            <v>TS</v>
          </cell>
          <cell r="K36" t="str">
            <v>TS</v>
          </cell>
          <cell r="L36" t="str">
            <v>TS</v>
          </cell>
          <cell r="M36" t="str">
            <v>TS</v>
          </cell>
          <cell r="N36" t="str">
            <v>OS</v>
          </cell>
          <cell r="O36" t="str">
            <v>OS</v>
          </cell>
          <cell r="P36" t="str">
            <v>OS</v>
          </cell>
          <cell r="Q36" t="str">
            <v>OS</v>
          </cell>
          <cell r="R36" t="str">
            <v>OS</v>
          </cell>
          <cell r="S36" t="str">
            <v>OS</v>
          </cell>
          <cell r="T36" t="str">
            <v>OS</v>
          </cell>
          <cell r="U36" t="str">
            <v>OS</v>
          </cell>
          <cell r="V36" t="str">
            <v>OS</v>
          </cell>
          <cell r="W36" t="str">
            <v>OS</v>
          </cell>
          <cell r="X36" t="str">
            <v>OS</v>
          </cell>
          <cell r="Y36" t="str">
            <v>OS</v>
          </cell>
          <cell r="Z36" t="str">
            <v>OS</v>
          </cell>
          <cell r="AA36" t="str">
            <v>OS</v>
          </cell>
          <cell r="AB36" t="str">
            <v>OS</v>
          </cell>
          <cell r="AC36" t="str">
            <v>OS</v>
          </cell>
          <cell r="AD36" t="str">
            <v>AGM-01-002-006</v>
          </cell>
          <cell r="AE36" t="str">
            <v xml:space="preserve">Raemulan Lands, Inc. </v>
          </cell>
          <cell r="AF36" t="str">
            <v>Agapeya</v>
          </cell>
          <cell r="AG36" t="str">
            <v>AGM</v>
          </cell>
          <cell r="AH36" t="str">
            <v>Eco-High</v>
          </cell>
          <cell r="AI36" t="str">
            <v>West</v>
          </cell>
          <cell r="AJ36" t="str">
            <v>With LTS</v>
          </cell>
          <cell r="AK36" t="str">
            <v>Unaffected lots</v>
          </cell>
          <cell r="AL36" t="str">
            <v>Unaffected lots</v>
          </cell>
          <cell r="AM36" t="b">
            <v>1</v>
          </cell>
          <cell r="AN36" t="str">
            <v>YES</v>
          </cell>
          <cell r="AO36" t="str">
            <v>B3 2025</v>
          </cell>
          <cell r="AP36">
            <v>70</v>
          </cell>
          <cell r="AQ36" t="str">
            <v>PCS-04-034407</v>
          </cell>
          <cell r="AR36" t="b">
            <v>1</v>
          </cell>
          <cell r="AS36" t="str">
            <v>Done</v>
          </cell>
          <cell r="AT36" t="str">
            <v>2025 - Batch 6</v>
          </cell>
          <cell r="AU36">
            <v>2</v>
          </cell>
          <cell r="AV36">
            <v>6</v>
          </cell>
          <cell r="AW36" t="str">
            <v>H+L</v>
          </cell>
          <cell r="AX36">
            <v>70</v>
          </cell>
          <cell r="AY36">
            <v>50</v>
          </cell>
          <cell r="AZ36" t="str">
            <v>Duplex</v>
          </cell>
          <cell r="BA36">
            <v>1</v>
          </cell>
          <cell r="BB36" t="str">
            <v>568 - Without Partition</v>
          </cell>
          <cell r="BC36" t="str">
            <v xml:space="preserve">Without Partition </v>
          </cell>
          <cell r="BD36" t="str">
            <v>Flat</v>
          </cell>
          <cell r="BE36" t="str">
            <v xml:space="preserve">Without Partition </v>
          </cell>
          <cell r="BF36" t="str">
            <v>PINK</v>
          </cell>
          <cell r="BG36">
            <v>2500000</v>
          </cell>
          <cell r="BH36">
            <v>2650000</v>
          </cell>
          <cell r="BI36">
            <v>100000</v>
          </cell>
          <cell r="BJ36">
            <v>2550000</v>
          </cell>
          <cell r="BK36">
            <v>0</v>
          </cell>
          <cell r="BL36">
            <v>2550000</v>
          </cell>
        </row>
        <row r="37">
          <cell r="D37" t="str">
            <v>OS</v>
          </cell>
          <cell r="E37"/>
          <cell r="F37">
            <v>17</v>
          </cell>
          <cell r="G37" t="str">
            <v>CLOSED</v>
          </cell>
          <cell r="H37" t="str">
            <v>TS</v>
          </cell>
          <cell r="I37" t="str">
            <v>TS</v>
          </cell>
          <cell r="J37" t="str">
            <v>TS</v>
          </cell>
          <cell r="K37" t="str">
            <v>TS</v>
          </cell>
          <cell r="L37" t="str">
            <v>TS</v>
          </cell>
          <cell r="M37" t="str">
            <v>TS</v>
          </cell>
          <cell r="N37" t="str">
            <v>OS</v>
          </cell>
          <cell r="O37" t="str">
            <v>OS</v>
          </cell>
          <cell r="P37" t="str">
            <v>OS</v>
          </cell>
          <cell r="Q37" t="str">
            <v>OS</v>
          </cell>
          <cell r="R37" t="str">
            <v>OS</v>
          </cell>
          <cell r="S37" t="str">
            <v>OS</v>
          </cell>
          <cell r="T37" t="str">
            <v>OS</v>
          </cell>
          <cell r="U37" t="str">
            <v>OS</v>
          </cell>
          <cell r="V37" t="str">
            <v>OS</v>
          </cell>
          <cell r="W37" t="str">
            <v>OS</v>
          </cell>
          <cell r="X37" t="str">
            <v>OS</v>
          </cell>
          <cell r="Y37" t="str">
            <v>OS</v>
          </cell>
          <cell r="Z37" t="str">
            <v>OS</v>
          </cell>
          <cell r="AA37" t="str">
            <v>OS</v>
          </cell>
          <cell r="AB37" t="str">
            <v>OS</v>
          </cell>
          <cell r="AC37" t="str">
            <v>OS</v>
          </cell>
          <cell r="AD37" t="str">
            <v>AGM-01-002-007</v>
          </cell>
          <cell r="AE37" t="str">
            <v xml:space="preserve">Raemulan Lands, Inc. </v>
          </cell>
          <cell r="AF37" t="str">
            <v>Agapeya</v>
          </cell>
          <cell r="AG37" t="str">
            <v>AGM</v>
          </cell>
          <cell r="AH37" t="str">
            <v>Eco-High</v>
          </cell>
          <cell r="AI37" t="str">
            <v>West</v>
          </cell>
          <cell r="AJ37" t="str">
            <v>With LTS</v>
          </cell>
          <cell r="AK37" t="str">
            <v>Unaffected lots</v>
          </cell>
          <cell r="AL37" t="str">
            <v>Unaffected lots</v>
          </cell>
          <cell r="AM37" t="b">
            <v>1</v>
          </cell>
          <cell r="AN37" t="str">
            <v>YES</v>
          </cell>
          <cell r="AO37" t="str">
            <v>B4 2025</v>
          </cell>
          <cell r="AP37">
            <v>70</v>
          </cell>
          <cell r="AQ37" t="str">
            <v>PCS-04-034407</v>
          </cell>
          <cell r="AR37" t="b">
            <v>1</v>
          </cell>
          <cell r="AS37" t="str">
            <v>Done</v>
          </cell>
          <cell r="AT37" t="str">
            <v>2025 - Batch 6</v>
          </cell>
          <cell r="AU37">
            <v>2</v>
          </cell>
          <cell r="AV37">
            <v>7</v>
          </cell>
          <cell r="AW37" t="str">
            <v>H+L</v>
          </cell>
          <cell r="AX37">
            <v>70</v>
          </cell>
          <cell r="AY37">
            <v>50</v>
          </cell>
          <cell r="AZ37" t="str">
            <v>Duplex</v>
          </cell>
          <cell r="BA37">
            <v>1</v>
          </cell>
          <cell r="BB37" t="str">
            <v>568 - Without Partition</v>
          </cell>
          <cell r="BC37" t="str">
            <v xml:space="preserve">Without Partition </v>
          </cell>
          <cell r="BD37" t="str">
            <v>Flat</v>
          </cell>
          <cell r="BE37" t="str">
            <v xml:space="preserve">Without Partition </v>
          </cell>
          <cell r="BF37" t="str">
            <v>PINK</v>
          </cell>
          <cell r="BG37">
            <v>2500000</v>
          </cell>
          <cell r="BH37">
            <v>2650000</v>
          </cell>
          <cell r="BI37">
            <v>100000</v>
          </cell>
          <cell r="BJ37">
            <v>2550000</v>
          </cell>
          <cell r="BK37">
            <v>0</v>
          </cell>
          <cell r="BL37">
            <v>2550000</v>
          </cell>
        </row>
        <row r="38">
          <cell r="D38" t="str">
            <v>OS</v>
          </cell>
          <cell r="E38"/>
          <cell r="F38">
            <v>18</v>
          </cell>
          <cell r="G38" t="str">
            <v>UNSOLD</v>
          </cell>
          <cell r="H38" t="str">
            <v>TS</v>
          </cell>
          <cell r="I38" t="str">
            <v>TS</v>
          </cell>
          <cell r="J38" t="str">
            <v>OS</v>
          </cell>
          <cell r="K38" t="str">
            <v>OS</v>
          </cell>
          <cell r="L38" t="str">
            <v>OS</v>
          </cell>
          <cell r="M38" t="str">
            <v>OS</v>
          </cell>
          <cell r="N38" t="str">
            <v>OS</v>
          </cell>
          <cell r="O38" t="str">
            <v>OS</v>
          </cell>
          <cell r="P38" t="str">
            <v>OS</v>
          </cell>
          <cell r="Q38" t="str">
            <v>OS</v>
          </cell>
          <cell r="R38" t="str">
            <v>OS</v>
          </cell>
          <cell r="S38" t="str">
            <v>OS</v>
          </cell>
          <cell r="T38" t="str">
            <v>OS</v>
          </cell>
          <cell r="U38" t="str">
            <v>OS</v>
          </cell>
          <cell r="V38" t="str">
            <v>OS</v>
          </cell>
          <cell r="W38" t="str">
            <v>OS</v>
          </cell>
          <cell r="X38" t="str">
            <v>OS</v>
          </cell>
          <cell r="Y38" t="str">
            <v>OS</v>
          </cell>
          <cell r="Z38" t="str">
            <v>OS</v>
          </cell>
          <cell r="AA38" t="str">
            <v>OS</v>
          </cell>
          <cell r="AB38" t="str">
            <v>OS</v>
          </cell>
          <cell r="AC38" t="str">
            <v>OS</v>
          </cell>
          <cell r="AD38" t="str">
            <v>AGM-01-002-008</v>
          </cell>
          <cell r="AE38" t="str">
            <v xml:space="preserve">Raemulan Lands, Inc. </v>
          </cell>
          <cell r="AF38" t="str">
            <v>Agapeya</v>
          </cell>
          <cell r="AG38" t="str">
            <v>AGM</v>
          </cell>
          <cell r="AH38" t="str">
            <v>Eco-High</v>
          </cell>
          <cell r="AI38" t="str">
            <v>West</v>
          </cell>
          <cell r="AJ38" t="str">
            <v>With LTS</v>
          </cell>
          <cell r="AK38" t="str">
            <v>Unaffected lots</v>
          </cell>
          <cell r="AL38" t="str">
            <v>Unaffected lots</v>
          </cell>
          <cell r="AM38" t="b">
            <v>1</v>
          </cell>
          <cell r="AN38" t="str">
            <v>YES</v>
          </cell>
          <cell r="AO38" t="str">
            <v>B4 2025</v>
          </cell>
          <cell r="AP38">
            <v>70</v>
          </cell>
          <cell r="AQ38" t="str">
            <v>PCS-04-034407</v>
          </cell>
          <cell r="AR38" t="b">
            <v>1</v>
          </cell>
          <cell r="AS38" t="str">
            <v>Done</v>
          </cell>
          <cell r="AT38" t="str">
            <v>2025 - Batch 6</v>
          </cell>
          <cell r="AU38">
            <v>2</v>
          </cell>
          <cell r="AV38">
            <v>8</v>
          </cell>
          <cell r="AW38" t="str">
            <v>H+L</v>
          </cell>
          <cell r="AX38">
            <v>70</v>
          </cell>
          <cell r="AY38">
            <v>50</v>
          </cell>
          <cell r="AZ38" t="str">
            <v>Duplex</v>
          </cell>
          <cell r="BA38">
            <v>1</v>
          </cell>
          <cell r="BB38" t="str">
            <v>568 - Without Partition</v>
          </cell>
          <cell r="BC38" t="str">
            <v xml:space="preserve">Without Partition </v>
          </cell>
          <cell r="BD38" t="str">
            <v>Slant</v>
          </cell>
          <cell r="BE38" t="str">
            <v xml:space="preserve">Without Partition </v>
          </cell>
          <cell r="BF38" t="str">
            <v>PINK</v>
          </cell>
          <cell r="BG38">
            <v>2500000</v>
          </cell>
          <cell r="BH38">
            <v>2650000</v>
          </cell>
          <cell r="BI38">
            <v>100000</v>
          </cell>
          <cell r="BJ38">
            <v>2550000</v>
          </cell>
          <cell r="BK38">
            <v>0</v>
          </cell>
          <cell r="BL38">
            <v>2550000</v>
          </cell>
        </row>
        <row r="39">
          <cell r="D39" t="str">
            <v>OS</v>
          </cell>
          <cell r="E39"/>
          <cell r="F39">
            <v>19</v>
          </cell>
          <cell r="G39" t="str">
            <v>CLOSED</v>
          </cell>
          <cell r="H39" t="str">
            <v>OPEN</v>
          </cell>
          <cell r="I39" t="str">
            <v>OPEN</v>
          </cell>
          <cell r="J39" t="str">
            <v>FOR CMAP/BRN</v>
          </cell>
          <cell r="K39" t="str">
            <v>TS</v>
          </cell>
          <cell r="L39" t="str">
            <v>TS</v>
          </cell>
          <cell r="M39" t="str">
            <v>OS</v>
          </cell>
          <cell r="N39" t="str">
            <v>OS</v>
          </cell>
          <cell r="O39" t="str">
            <v>OS</v>
          </cell>
          <cell r="P39" t="str">
            <v>OS</v>
          </cell>
          <cell r="Q39" t="str">
            <v>OS</v>
          </cell>
          <cell r="R39" t="str">
            <v>OS</v>
          </cell>
          <cell r="S39" t="str">
            <v>OS</v>
          </cell>
          <cell r="T39" t="str">
            <v>OS</v>
          </cell>
          <cell r="U39" t="str">
            <v>OS</v>
          </cell>
          <cell r="V39" t="str">
            <v>OS</v>
          </cell>
          <cell r="W39" t="str">
            <v>OS</v>
          </cell>
          <cell r="X39" t="str">
            <v>OS</v>
          </cell>
          <cell r="Y39" t="str">
            <v>OS</v>
          </cell>
          <cell r="Z39" t="str">
            <v>OS</v>
          </cell>
          <cell r="AA39" t="str">
            <v>OS</v>
          </cell>
          <cell r="AB39" t="str">
            <v>OS</v>
          </cell>
          <cell r="AC39" t="str">
            <v>OS</v>
          </cell>
          <cell r="AD39" t="str">
            <v>AGM-01-002-009</v>
          </cell>
          <cell r="AE39" t="str">
            <v xml:space="preserve">Raemulan Lands, Inc. </v>
          </cell>
          <cell r="AF39" t="str">
            <v>Agapeya</v>
          </cell>
          <cell r="AG39" t="str">
            <v>AGM</v>
          </cell>
          <cell r="AH39" t="str">
            <v>Eco-High</v>
          </cell>
          <cell r="AI39" t="str">
            <v>West</v>
          </cell>
          <cell r="AJ39" t="str">
            <v>With LTS</v>
          </cell>
          <cell r="AK39" t="str">
            <v>Unaffected lots</v>
          </cell>
          <cell r="AL39" t="str">
            <v>Unaffected lots</v>
          </cell>
          <cell r="AM39" t="b">
            <v>1</v>
          </cell>
          <cell r="AN39" t="str">
            <v>YES</v>
          </cell>
          <cell r="AO39" t="str">
            <v>B4 - Lot Only</v>
          </cell>
          <cell r="AP39">
            <v>115</v>
          </cell>
          <cell r="AQ39" t="str">
            <v>PCS-04-034407</v>
          </cell>
          <cell r="AR39" t="b">
            <v>1</v>
          </cell>
          <cell r="AS39" t="str">
            <v>Done</v>
          </cell>
          <cell r="AT39" t="str">
            <v>Lot Only - N/A</v>
          </cell>
          <cell r="AU39">
            <v>2</v>
          </cell>
          <cell r="AV39">
            <v>9</v>
          </cell>
          <cell r="AW39" t="str">
            <v>LO</v>
          </cell>
          <cell r="AX39">
            <v>115</v>
          </cell>
          <cell r="AY39" t="str">
            <v>N/A</v>
          </cell>
          <cell r="AZ39" t="str">
            <v>Lot Only</v>
          </cell>
          <cell r="BA39" t="str">
            <v>NA</v>
          </cell>
          <cell r="BB39" t="str">
            <v>N/A</v>
          </cell>
          <cell r="BC39" t="str">
            <v>N/A - LOT ONLY</v>
          </cell>
          <cell r="BD39" t="str">
            <v>-</v>
          </cell>
          <cell r="BE39" t="str">
            <v>N/A - LOT ONLY</v>
          </cell>
          <cell r="BF39" t="str">
            <v>N/A - LOT ONLY</v>
          </cell>
          <cell r="BG39">
            <v>2500000</v>
          </cell>
          <cell r="BH39">
            <v>1825000</v>
          </cell>
          <cell r="BI39">
            <v>100000</v>
          </cell>
          <cell r="BJ39">
            <v>1725000</v>
          </cell>
          <cell r="BK39">
            <v>184821.42857142858</v>
          </cell>
          <cell r="BL39">
            <v>1540178.5714285714</v>
          </cell>
        </row>
        <row r="40">
          <cell r="D40" t="str">
            <v>OS</v>
          </cell>
          <cell r="E40"/>
          <cell r="F40">
            <v>20</v>
          </cell>
          <cell r="G40" t="str">
            <v>CLOSED</v>
          </cell>
          <cell r="H40" t="str">
            <v>OPEN</v>
          </cell>
          <cell r="I40" t="str">
            <v>OPEN</v>
          </cell>
          <cell r="J40" t="str">
            <v>TS</v>
          </cell>
          <cell r="K40" t="str">
            <v>TS</v>
          </cell>
          <cell r="L40" t="str">
            <v>TS</v>
          </cell>
          <cell r="M40" t="str">
            <v>TS</v>
          </cell>
          <cell r="N40" t="str">
            <v>TS</v>
          </cell>
          <cell r="O40" t="str">
            <v>TS</v>
          </cell>
          <cell r="P40" t="str">
            <v>OS</v>
          </cell>
          <cell r="Q40" t="str">
            <v>OS</v>
          </cell>
          <cell r="R40" t="str">
            <v>OS</v>
          </cell>
          <cell r="S40" t="str">
            <v>OS</v>
          </cell>
          <cell r="T40" t="str">
            <v>OS</v>
          </cell>
          <cell r="U40" t="str">
            <v>OS</v>
          </cell>
          <cell r="V40" t="str">
            <v>OS</v>
          </cell>
          <cell r="W40" t="str">
            <v>OS</v>
          </cell>
          <cell r="X40" t="str">
            <v>OS</v>
          </cell>
          <cell r="Y40" t="str">
            <v>OS</v>
          </cell>
          <cell r="Z40" t="str">
            <v>OS</v>
          </cell>
          <cell r="AA40" t="str">
            <v>OS</v>
          </cell>
          <cell r="AB40" t="str">
            <v>OS</v>
          </cell>
          <cell r="AC40" t="str">
            <v>OS</v>
          </cell>
          <cell r="AD40" t="str">
            <v>AGM-01-002-010</v>
          </cell>
          <cell r="AE40" t="str">
            <v xml:space="preserve">Raemulan Lands, Inc. </v>
          </cell>
          <cell r="AF40" t="str">
            <v>Agapeya</v>
          </cell>
          <cell r="AG40" t="str">
            <v>AGM</v>
          </cell>
          <cell r="AH40" t="str">
            <v>Eco-High</v>
          </cell>
          <cell r="AI40" t="str">
            <v>West</v>
          </cell>
          <cell r="AJ40" t="str">
            <v>With LTS</v>
          </cell>
          <cell r="AK40" t="str">
            <v>Unaffected lots</v>
          </cell>
          <cell r="AL40" t="str">
            <v>Unaffected lots</v>
          </cell>
          <cell r="AM40" t="b">
            <v>1</v>
          </cell>
          <cell r="AN40" t="str">
            <v>YES</v>
          </cell>
          <cell r="AO40" t="str">
            <v>B4 2025</v>
          </cell>
          <cell r="AP40">
            <v>97</v>
          </cell>
          <cell r="AQ40" t="str">
            <v>PCS-04-034407</v>
          </cell>
          <cell r="AR40" t="b">
            <v>1</v>
          </cell>
          <cell r="AS40" t="str">
            <v>Done</v>
          </cell>
          <cell r="AT40" t="str">
            <v>2025 - Batch 6</v>
          </cell>
          <cell r="AU40">
            <v>2</v>
          </cell>
          <cell r="AV40">
            <v>10</v>
          </cell>
          <cell r="AW40" t="str">
            <v>H+L</v>
          </cell>
          <cell r="AX40">
            <v>97</v>
          </cell>
          <cell r="AY40">
            <v>50</v>
          </cell>
          <cell r="AZ40" t="str">
            <v>Duplex</v>
          </cell>
          <cell r="BA40">
            <v>1</v>
          </cell>
          <cell r="BB40" t="str">
            <v>568 - Without Partition</v>
          </cell>
          <cell r="BC40" t="str">
            <v xml:space="preserve">Without Partition </v>
          </cell>
          <cell r="BD40" t="str">
            <v>Slant</v>
          </cell>
          <cell r="BE40" t="str">
            <v xml:space="preserve">Without Partition </v>
          </cell>
          <cell r="BF40" t="str">
            <v>YELLOW</v>
          </cell>
          <cell r="BG40">
            <v>2500000</v>
          </cell>
          <cell r="BH40">
            <v>3055000</v>
          </cell>
          <cell r="BI40">
            <v>100000</v>
          </cell>
          <cell r="BJ40">
            <v>2955000</v>
          </cell>
          <cell r="BK40">
            <v>0</v>
          </cell>
          <cell r="BL40">
            <v>2955000</v>
          </cell>
        </row>
        <row r="41">
          <cell r="D41" t="str">
            <v>OS</v>
          </cell>
          <cell r="E41"/>
          <cell r="F41">
            <v>21</v>
          </cell>
          <cell r="G41" t="str">
            <v>CLOSED</v>
          </cell>
          <cell r="H41" t="str">
            <v>TS</v>
          </cell>
          <cell r="I41" t="str">
            <v>TS</v>
          </cell>
          <cell r="J41" t="str">
            <v>TS</v>
          </cell>
          <cell r="K41" t="str">
            <v>TS</v>
          </cell>
          <cell r="L41" t="str">
            <v>TS</v>
          </cell>
          <cell r="M41" t="str">
            <v>TS</v>
          </cell>
          <cell r="N41" t="str">
            <v>TS</v>
          </cell>
          <cell r="O41" t="str">
            <v>TS</v>
          </cell>
          <cell r="P41" t="str">
            <v>OS</v>
          </cell>
          <cell r="Q41" t="str">
            <v>OS</v>
          </cell>
          <cell r="R41" t="str">
            <v>OS</v>
          </cell>
          <cell r="S41" t="str">
            <v>OS</v>
          </cell>
          <cell r="T41" t="str">
            <v>OS</v>
          </cell>
          <cell r="U41" t="str">
            <v>OS</v>
          </cell>
          <cell r="V41" t="str">
            <v>OS</v>
          </cell>
          <cell r="W41" t="str">
            <v>OS</v>
          </cell>
          <cell r="X41" t="str">
            <v>OS</v>
          </cell>
          <cell r="Y41" t="str">
            <v>OS</v>
          </cell>
          <cell r="Z41" t="str">
            <v>OS</v>
          </cell>
          <cell r="AA41" t="str">
            <v>OS</v>
          </cell>
          <cell r="AB41" t="str">
            <v>OS</v>
          </cell>
          <cell r="AC41" t="str">
            <v>OS</v>
          </cell>
          <cell r="AD41" t="str">
            <v>AGM-01-002-011</v>
          </cell>
          <cell r="AE41" t="str">
            <v xml:space="preserve">Raemulan Lands, Inc. </v>
          </cell>
          <cell r="AF41" t="str">
            <v>Agapeya</v>
          </cell>
          <cell r="AG41" t="str">
            <v>AGM</v>
          </cell>
          <cell r="AH41" t="str">
            <v>Eco-High</v>
          </cell>
          <cell r="AI41" t="str">
            <v>West</v>
          </cell>
          <cell r="AJ41" t="str">
            <v>With LTS</v>
          </cell>
          <cell r="AK41" t="str">
            <v>Unaffected lots</v>
          </cell>
          <cell r="AL41" t="str">
            <v>Unaffected lots</v>
          </cell>
          <cell r="AM41" t="b">
            <v>1</v>
          </cell>
          <cell r="AN41" t="str">
            <v>YES</v>
          </cell>
          <cell r="AO41" t="str">
            <v>B4 2025</v>
          </cell>
          <cell r="AP41">
            <v>83</v>
          </cell>
          <cell r="AQ41" t="str">
            <v>PCS-04-034407</v>
          </cell>
          <cell r="AR41" t="b">
            <v>1</v>
          </cell>
          <cell r="AS41" t="str">
            <v>Done</v>
          </cell>
          <cell r="AT41" t="str">
            <v>2025 - Batch 6</v>
          </cell>
          <cell r="AU41">
            <v>2</v>
          </cell>
          <cell r="AV41">
            <v>11</v>
          </cell>
          <cell r="AW41" t="str">
            <v>H+L</v>
          </cell>
          <cell r="AX41">
            <v>83</v>
          </cell>
          <cell r="AY41">
            <v>50</v>
          </cell>
          <cell r="AZ41" t="str">
            <v>Duplex</v>
          </cell>
          <cell r="BA41">
            <v>1</v>
          </cell>
          <cell r="BB41" t="str">
            <v>568 - Without Partition</v>
          </cell>
          <cell r="BC41" t="str">
            <v xml:space="preserve">Without Partition </v>
          </cell>
          <cell r="BD41" t="str">
            <v>Flat</v>
          </cell>
          <cell r="BE41" t="str">
            <v xml:space="preserve">Without Partition </v>
          </cell>
          <cell r="BF41" t="str">
            <v>YELLOW</v>
          </cell>
          <cell r="BG41">
            <v>2500000</v>
          </cell>
          <cell r="BH41">
            <v>2845000</v>
          </cell>
          <cell r="BI41">
            <v>100000</v>
          </cell>
          <cell r="BJ41">
            <v>2745000</v>
          </cell>
          <cell r="BK41">
            <v>0</v>
          </cell>
          <cell r="BL41">
            <v>2745000</v>
          </cell>
        </row>
        <row r="42">
          <cell r="D42" t="str">
            <v>OS</v>
          </cell>
          <cell r="E42"/>
          <cell r="F42">
            <v>22</v>
          </cell>
          <cell r="G42" t="str">
            <v>CLOSED</v>
          </cell>
          <cell r="H42" t="str">
            <v>OPEN</v>
          </cell>
          <cell r="I42" t="str">
            <v>OPEN</v>
          </cell>
          <cell r="J42" t="str">
            <v>FOR CMAP/BRN</v>
          </cell>
          <cell r="K42" t="str">
            <v>TS</v>
          </cell>
          <cell r="L42" t="str">
            <v>TS</v>
          </cell>
          <cell r="M42" t="str">
            <v>OS</v>
          </cell>
          <cell r="N42" t="str">
            <v>OS</v>
          </cell>
          <cell r="O42" t="str">
            <v>OS</v>
          </cell>
          <cell r="P42" t="str">
            <v>OS</v>
          </cell>
          <cell r="Q42" t="str">
            <v>OS</v>
          </cell>
          <cell r="R42" t="str">
            <v>OS</v>
          </cell>
          <cell r="S42" t="str">
            <v>OS</v>
          </cell>
          <cell r="T42" t="str">
            <v>OS</v>
          </cell>
          <cell r="U42" t="str">
            <v>OS</v>
          </cell>
          <cell r="V42" t="str">
            <v>OS</v>
          </cell>
          <cell r="W42" t="str">
            <v>OS</v>
          </cell>
          <cell r="X42" t="str">
            <v>OS</v>
          </cell>
          <cell r="Y42" t="str">
            <v>OS</v>
          </cell>
          <cell r="Z42" t="str">
            <v>OS</v>
          </cell>
          <cell r="AA42" t="str">
            <v>OS</v>
          </cell>
          <cell r="AB42" t="str">
            <v>OS</v>
          </cell>
          <cell r="AC42" t="str">
            <v>OS</v>
          </cell>
          <cell r="AD42" t="str">
            <v>AGM-01-002-012</v>
          </cell>
          <cell r="AE42" t="str">
            <v xml:space="preserve">Raemulan Lands, Inc. </v>
          </cell>
          <cell r="AF42" t="str">
            <v>Agapeya</v>
          </cell>
          <cell r="AG42" t="str">
            <v>AGM</v>
          </cell>
          <cell r="AH42" t="str">
            <v>Eco-High</v>
          </cell>
          <cell r="AI42" t="str">
            <v>West</v>
          </cell>
          <cell r="AJ42" t="str">
            <v>With LTS</v>
          </cell>
          <cell r="AK42" t="str">
            <v>Unaffected lots</v>
          </cell>
          <cell r="AL42" t="str">
            <v>Unaffected lots</v>
          </cell>
          <cell r="AM42" t="b">
            <v>1</v>
          </cell>
          <cell r="AN42" t="str">
            <v>YES</v>
          </cell>
          <cell r="AO42" t="str">
            <v>B4 2025</v>
          </cell>
          <cell r="AP42">
            <v>128</v>
          </cell>
          <cell r="AQ42" t="str">
            <v>PCS-04-034407</v>
          </cell>
          <cell r="AR42" t="b">
            <v>1</v>
          </cell>
          <cell r="AS42" t="str">
            <v>Done</v>
          </cell>
          <cell r="AT42" t="str">
            <v>2025 - Batch 6</v>
          </cell>
          <cell r="AU42">
            <v>2</v>
          </cell>
          <cell r="AV42">
            <v>12</v>
          </cell>
          <cell r="AW42" t="str">
            <v>H+L</v>
          </cell>
          <cell r="AX42">
            <v>128</v>
          </cell>
          <cell r="AY42">
            <v>50</v>
          </cell>
          <cell r="AZ42" t="str">
            <v>Duplex</v>
          </cell>
          <cell r="BA42">
            <v>1</v>
          </cell>
          <cell r="BB42" t="str">
            <v>568 - Without Partition</v>
          </cell>
          <cell r="BC42" t="str">
            <v xml:space="preserve">Without Partition </v>
          </cell>
          <cell r="BD42" t="str">
            <v>Slant</v>
          </cell>
          <cell r="BE42" t="str">
            <v xml:space="preserve">Without Partition </v>
          </cell>
          <cell r="BF42" t="str">
            <v>YELLOW</v>
          </cell>
          <cell r="BG42">
            <v>2500000</v>
          </cell>
          <cell r="BH42">
            <v>3520000</v>
          </cell>
          <cell r="BI42">
            <v>150000</v>
          </cell>
          <cell r="BJ42">
            <v>3370000</v>
          </cell>
          <cell r="BK42">
            <v>0</v>
          </cell>
          <cell r="BL42">
            <v>3370000</v>
          </cell>
        </row>
        <row r="43">
          <cell r="D43" t="str">
            <v>OS</v>
          </cell>
          <cell r="E43"/>
          <cell r="F43">
            <v>23</v>
          </cell>
          <cell r="G43" t="str">
            <v>CLOSED</v>
          </cell>
          <cell r="H43" t="str">
            <v>OPEN</v>
          </cell>
          <cell r="I43" t="str">
            <v>OPEN</v>
          </cell>
          <cell r="J43" t="str">
            <v>OPEN</v>
          </cell>
          <cell r="K43" t="str">
            <v>OPEN - NO RF</v>
          </cell>
          <cell r="L43" t="str">
            <v>OPEN - NO RF</v>
          </cell>
          <cell r="M43" t="str">
            <v>OPEN</v>
          </cell>
          <cell r="N43" t="str">
            <v>OPEN</v>
          </cell>
          <cell r="O43" t="str">
            <v>OPEN</v>
          </cell>
          <cell r="P43" t="str">
            <v>OPEN</v>
          </cell>
          <cell r="Q43" t="str">
            <v>OPEN</v>
          </cell>
          <cell r="R43" t="str">
            <v>OPEN</v>
          </cell>
          <cell r="S43" t="str">
            <v>TS</v>
          </cell>
          <cell r="T43" t="str">
            <v>OPEN</v>
          </cell>
          <cell r="U43" t="str">
            <v>OS</v>
          </cell>
          <cell r="V43" t="str">
            <v>OS</v>
          </cell>
          <cell r="W43" t="str">
            <v>OS</v>
          </cell>
          <cell r="X43" t="str">
            <v>OS</v>
          </cell>
          <cell r="Y43" t="str">
            <v>OS</v>
          </cell>
          <cell r="Z43" t="str">
            <v>OS</v>
          </cell>
          <cell r="AA43" t="str">
            <v>OS</v>
          </cell>
          <cell r="AB43" t="str">
            <v>OS</v>
          </cell>
          <cell r="AC43" t="str">
            <v>OS</v>
          </cell>
          <cell r="AD43" t="str">
            <v>AGM-01-002-013</v>
          </cell>
          <cell r="AE43" t="str">
            <v xml:space="preserve">Raemulan Lands, Inc. </v>
          </cell>
          <cell r="AF43" t="str">
            <v>Agapeya</v>
          </cell>
          <cell r="AG43" t="str">
            <v>AGM</v>
          </cell>
          <cell r="AH43" t="str">
            <v>Eco-High</v>
          </cell>
          <cell r="AI43" t="str">
            <v>West</v>
          </cell>
          <cell r="AJ43" t="str">
            <v>With LTS</v>
          </cell>
          <cell r="AK43" t="str">
            <v>Unaffected lots</v>
          </cell>
          <cell r="AL43" t="str">
            <v>Unaffected lots</v>
          </cell>
          <cell r="AM43" t="b">
            <v>1</v>
          </cell>
          <cell r="AN43" t="str">
            <v>YES</v>
          </cell>
          <cell r="AO43" t="str">
            <v>B4 2025</v>
          </cell>
          <cell r="AP43">
            <v>99</v>
          </cell>
          <cell r="AQ43" t="str">
            <v>PCS-04-034407</v>
          </cell>
          <cell r="AR43" t="b">
            <v>1</v>
          </cell>
          <cell r="AS43" t="str">
            <v>Done</v>
          </cell>
          <cell r="AT43" t="str">
            <v>2025 - Batch 6</v>
          </cell>
          <cell r="AU43">
            <v>2</v>
          </cell>
          <cell r="AV43">
            <v>13</v>
          </cell>
          <cell r="AW43" t="str">
            <v>H+L</v>
          </cell>
          <cell r="AX43">
            <v>99</v>
          </cell>
          <cell r="AY43">
            <v>50</v>
          </cell>
          <cell r="AZ43" t="str">
            <v>Duplex</v>
          </cell>
          <cell r="BA43">
            <v>1</v>
          </cell>
          <cell r="BB43" t="str">
            <v>568 - Without Partition</v>
          </cell>
          <cell r="BC43" t="str">
            <v xml:space="preserve">Without Partition </v>
          </cell>
          <cell r="BD43" t="str">
            <v>Flat</v>
          </cell>
          <cell r="BE43" t="str">
            <v xml:space="preserve">Without Partition </v>
          </cell>
          <cell r="BF43" t="str">
            <v>YELLOW</v>
          </cell>
          <cell r="BG43">
            <v>2500000</v>
          </cell>
          <cell r="BH43">
            <v>3085000</v>
          </cell>
          <cell r="BI43">
            <v>100000</v>
          </cell>
          <cell r="BJ43">
            <v>2985000</v>
          </cell>
          <cell r="BK43">
            <v>0</v>
          </cell>
          <cell r="BL43">
            <v>2985000</v>
          </cell>
        </row>
        <row r="44">
          <cell r="D44" t="str">
            <v>OS</v>
          </cell>
          <cell r="E44"/>
          <cell r="F44">
            <v>24</v>
          </cell>
          <cell r="G44" t="str">
            <v>CLOSED</v>
          </cell>
          <cell r="H44" t="str">
            <v>OPEN</v>
          </cell>
          <cell r="I44" t="str">
            <v>TS</v>
          </cell>
          <cell r="J44" t="str">
            <v>TS</v>
          </cell>
          <cell r="K44" t="str">
            <v>TS</v>
          </cell>
          <cell r="L44" t="str">
            <v>TS</v>
          </cell>
          <cell r="M44" t="str">
            <v>TS</v>
          </cell>
          <cell r="N44" t="str">
            <v>OS</v>
          </cell>
          <cell r="O44" t="str">
            <v>OS</v>
          </cell>
          <cell r="P44" t="str">
            <v>OS</v>
          </cell>
          <cell r="Q44" t="str">
            <v>OS</v>
          </cell>
          <cell r="R44" t="str">
            <v>OS</v>
          </cell>
          <cell r="S44" t="str">
            <v>OS</v>
          </cell>
          <cell r="T44" t="str">
            <v>OS</v>
          </cell>
          <cell r="U44" t="str">
            <v>OS</v>
          </cell>
          <cell r="V44" t="str">
            <v>OS</v>
          </cell>
          <cell r="W44" t="str">
            <v>OS</v>
          </cell>
          <cell r="X44" t="str">
            <v>OS</v>
          </cell>
          <cell r="Y44" t="str">
            <v>OS</v>
          </cell>
          <cell r="Z44" t="str">
            <v>OS</v>
          </cell>
          <cell r="AA44" t="str">
            <v>OS</v>
          </cell>
          <cell r="AB44" t="str">
            <v>OS</v>
          </cell>
          <cell r="AC44" t="str">
            <v>OS</v>
          </cell>
          <cell r="AD44" t="str">
            <v>AGM-01-002-014</v>
          </cell>
          <cell r="AE44" t="str">
            <v xml:space="preserve">Raemulan Lands, Inc. </v>
          </cell>
          <cell r="AF44" t="str">
            <v>Agapeya</v>
          </cell>
          <cell r="AG44" t="str">
            <v>AGM</v>
          </cell>
          <cell r="AH44" t="str">
            <v>Eco-High</v>
          </cell>
          <cell r="AI44" t="str">
            <v>West</v>
          </cell>
          <cell r="AJ44" t="str">
            <v>With LTS</v>
          </cell>
          <cell r="AK44" t="str">
            <v>Unaffected lots</v>
          </cell>
          <cell r="AL44" t="str">
            <v>Unaffected lots</v>
          </cell>
          <cell r="AM44" t="b">
            <v>1</v>
          </cell>
          <cell r="AN44" t="str">
            <v>YES</v>
          </cell>
          <cell r="AO44" t="str">
            <v>B4 2025</v>
          </cell>
          <cell r="AP44">
            <v>70</v>
          </cell>
          <cell r="AQ44" t="str">
            <v>PCS-04-034407</v>
          </cell>
          <cell r="AR44" t="b">
            <v>1</v>
          </cell>
          <cell r="AS44" t="str">
            <v>Done</v>
          </cell>
          <cell r="AT44" t="str">
            <v>2025 - Batch 6</v>
          </cell>
          <cell r="AU44">
            <v>2</v>
          </cell>
          <cell r="AV44">
            <v>14</v>
          </cell>
          <cell r="AW44" t="str">
            <v>H+L</v>
          </cell>
          <cell r="AX44">
            <v>70</v>
          </cell>
          <cell r="AY44">
            <v>50</v>
          </cell>
          <cell r="AZ44" t="str">
            <v>Duplex</v>
          </cell>
          <cell r="BA44">
            <v>1</v>
          </cell>
          <cell r="BB44" t="str">
            <v>568 - Without Partition</v>
          </cell>
          <cell r="BC44" t="str">
            <v xml:space="preserve">Without Partition </v>
          </cell>
          <cell r="BD44" t="str">
            <v>Flat</v>
          </cell>
          <cell r="BE44" t="str">
            <v xml:space="preserve">Without Partition </v>
          </cell>
          <cell r="BF44" t="str">
            <v>GREEN</v>
          </cell>
          <cell r="BG44">
            <v>2500000</v>
          </cell>
          <cell r="BH44">
            <v>2650000</v>
          </cell>
          <cell r="BI44">
            <v>100000</v>
          </cell>
          <cell r="BJ44">
            <v>2550000</v>
          </cell>
          <cell r="BK44">
            <v>0</v>
          </cell>
          <cell r="BL44">
            <v>2550000</v>
          </cell>
        </row>
        <row r="45">
          <cell r="D45" t="str">
            <v>OS</v>
          </cell>
          <cell r="E45"/>
          <cell r="F45">
            <v>25</v>
          </cell>
          <cell r="G45" t="str">
            <v>CLOSED</v>
          </cell>
          <cell r="H45" t="str">
            <v>OPEN</v>
          </cell>
          <cell r="I45" t="str">
            <v>OPEN</v>
          </cell>
          <cell r="J45" t="str">
            <v>OPEN</v>
          </cell>
          <cell r="K45" t="str">
            <v>OPEN</v>
          </cell>
          <cell r="L45" t="str">
            <v>TS</v>
          </cell>
          <cell r="M45" t="str">
            <v>OPEN</v>
          </cell>
          <cell r="N45" t="str">
            <v>TS</v>
          </cell>
          <cell r="O45" t="str">
            <v>TS</v>
          </cell>
          <cell r="P45" t="str">
            <v>TS</v>
          </cell>
          <cell r="Q45" t="str">
            <v>TS</v>
          </cell>
          <cell r="R45" t="str">
            <v>TS</v>
          </cell>
          <cell r="S45" t="str">
            <v>TS</v>
          </cell>
          <cell r="T45" t="str">
            <v>TS</v>
          </cell>
          <cell r="U45" t="str">
            <v>OS</v>
          </cell>
          <cell r="V45" t="str">
            <v>OS</v>
          </cell>
          <cell r="W45" t="str">
            <v>OS</v>
          </cell>
          <cell r="X45" t="str">
            <v>OS</v>
          </cell>
          <cell r="Y45" t="str">
            <v>OS</v>
          </cell>
          <cell r="Z45" t="str">
            <v>OS</v>
          </cell>
          <cell r="AA45" t="str">
            <v>OS</v>
          </cell>
          <cell r="AB45" t="str">
            <v>OS</v>
          </cell>
          <cell r="AC45" t="str">
            <v>OS</v>
          </cell>
          <cell r="AD45" t="str">
            <v>AGM-01-002-015</v>
          </cell>
          <cell r="AE45" t="str">
            <v xml:space="preserve">Raemulan Lands, Inc. </v>
          </cell>
          <cell r="AF45" t="str">
            <v>Agapeya</v>
          </cell>
          <cell r="AG45" t="str">
            <v>AGM</v>
          </cell>
          <cell r="AH45" t="str">
            <v>Eco-High</v>
          </cell>
          <cell r="AI45" t="str">
            <v>West</v>
          </cell>
          <cell r="AJ45" t="str">
            <v>With LTS</v>
          </cell>
          <cell r="AK45" t="str">
            <v>Unaffected lots</v>
          </cell>
          <cell r="AL45" t="str">
            <v>Unaffected lots</v>
          </cell>
          <cell r="AM45" t="b">
            <v>1</v>
          </cell>
          <cell r="AN45" t="str">
            <v>YES</v>
          </cell>
          <cell r="AO45" t="str">
            <v>B4 2025</v>
          </cell>
          <cell r="AP45">
            <v>70</v>
          </cell>
          <cell r="AQ45" t="str">
            <v>PCS-04-034407</v>
          </cell>
          <cell r="AR45" t="b">
            <v>1</v>
          </cell>
          <cell r="AS45" t="str">
            <v>Done</v>
          </cell>
          <cell r="AT45" t="str">
            <v>2025 - Batch 6</v>
          </cell>
          <cell r="AU45">
            <v>2</v>
          </cell>
          <cell r="AV45">
            <v>15</v>
          </cell>
          <cell r="AW45" t="str">
            <v>H+L</v>
          </cell>
          <cell r="AX45">
            <v>70</v>
          </cell>
          <cell r="AY45">
            <v>50</v>
          </cell>
          <cell r="AZ45" t="str">
            <v>Duplex</v>
          </cell>
          <cell r="BA45">
            <v>1</v>
          </cell>
          <cell r="BB45" t="str">
            <v>568 - Without Partition</v>
          </cell>
          <cell r="BC45" t="str">
            <v xml:space="preserve">Without Partition </v>
          </cell>
          <cell r="BD45" t="str">
            <v>Slant</v>
          </cell>
          <cell r="BE45" t="str">
            <v xml:space="preserve">Without Partition </v>
          </cell>
          <cell r="BF45" t="str">
            <v>GREEN</v>
          </cell>
          <cell r="BG45">
            <v>2500000</v>
          </cell>
          <cell r="BH45">
            <v>2650000</v>
          </cell>
          <cell r="BI45">
            <v>100000</v>
          </cell>
          <cell r="BJ45">
            <v>2550000</v>
          </cell>
          <cell r="BK45">
            <v>0</v>
          </cell>
          <cell r="BL45">
            <v>2550000</v>
          </cell>
        </row>
        <row r="46">
          <cell r="D46" t="str">
            <v>OS</v>
          </cell>
          <cell r="E46"/>
          <cell r="F46">
            <v>26</v>
          </cell>
          <cell r="G46" t="str">
            <v>CLOSED</v>
          </cell>
          <cell r="H46" t="str">
            <v>TS</v>
          </cell>
          <cell r="I46" t="str">
            <v>TS</v>
          </cell>
          <cell r="J46" t="str">
            <v>TS</v>
          </cell>
          <cell r="K46" t="str">
            <v>TS</v>
          </cell>
          <cell r="L46" t="str">
            <v>TS</v>
          </cell>
          <cell r="M46" t="str">
            <v>TS</v>
          </cell>
          <cell r="N46" t="str">
            <v>TS</v>
          </cell>
          <cell r="O46" t="str">
            <v>TS</v>
          </cell>
          <cell r="P46" t="str">
            <v>OS</v>
          </cell>
          <cell r="Q46" t="str">
            <v>OS</v>
          </cell>
          <cell r="R46" t="str">
            <v>OS</v>
          </cell>
          <cell r="S46" t="str">
            <v>OS</v>
          </cell>
          <cell r="T46" t="str">
            <v>OS</v>
          </cell>
          <cell r="U46" t="str">
            <v>OS</v>
          </cell>
          <cell r="V46" t="str">
            <v>OS</v>
          </cell>
          <cell r="W46" t="str">
            <v>OS</v>
          </cell>
          <cell r="X46" t="str">
            <v>OS</v>
          </cell>
          <cell r="Y46" t="str">
            <v>OS</v>
          </cell>
          <cell r="Z46" t="str">
            <v>OS</v>
          </cell>
          <cell r="AA46" t="str">
            <v>OS</v>
          </cell>
          <cell r="AB46" t="str">
            <v>OS</v>
          </cell>
          <cell r="AC46" t="str">
            <v>OS</v>
          </cell>
          <cell r="AD46" t="str">
            <v>AGM-01-002-016</v>
          </cell>
          <cell r="AE46" t="str">
            <v xml:space="preserve">Raemulan Lands, Inc. </v>
          </cell>
          <cell r="AF46" t="str">
            <v>Agapeya</v>
          </cell>
          <cell r="AG46" t="str">
            <v>AGM</v>
          </cell>
          <cell r="AH46" t="str">
            <v>Eco-High</v>
          </cell>
          <cell r="AI46" t="str">
            <v>West</v>
          </cell>
          <cell r="AJ46" t="str">
            <v>With LTS</v>
          </cell>
          <cell r="AK46" t="str">
            <v>Unaffected lots</v>
          </cell>
          <cell r="AL46" t="str">
            <v>Unaffected lots</v>
          </cell>
          <cell r="AM46" t="b">
            <v>1</v>
          </cell>
          <cell r="AN46" t="str">
            <v>YES</v>
          </cell>
          <cell r="AO46" t="str">
            <v>B4 2025</v>
          </cell>
          <cell r="AP46">
            <v>70</v>
          </cell>
          <cell r="AQ46" t="str">
            <v>PCS-04-034407</v>
          </cell>
          <cell r="AR46" t="b">
            <v>1</v>
          </cell>
          <cell r="AS46" t="str">
            <v>Done</v>
          </cell>
          <cell r="AT46" t="str">
            <v>2025 - Batch 6</v>
          </cell>
          <cell r="AU46">
            <v>2</v>
          </cell>
          <cell r="AV46">
            <v>16</v>
          </cell>
          <cell r="AW46" t="str">
            <v>H+L</v>
          </cell>
          <cell r="AX46">
            <v>70</v>
          </cell>
          <cell r="AY46">
            <v>50</v>
          </cell>
          <cell r="AZ46" t="str">
            <v>Duplex</v>
          </cell>
          <cell r="BA46">
            <v>1</v>
          </cell>
          <cell r="BB46" t="str">
            <v>568 - Without Partition</v>
          </cell>
          <cell r="BC46" t="str">
            <v xml:space="preserve">Without Partition </v>
          </cell>
          <cell r="BD46" t="str">
            <v>Slant</v>
          </cell>
          <cell r="BE46" t="str">
            <v xml:space="preserve">Without Partition </v>
          </cell>
          <cell r="BF46" t="str">
            <v>GREEN</v>
          </cell>
          <cell r="BG46">
            <v>2500000</v>
          </cell>
          <cell r="BH46">
            <v>2650000</v>
          </cell>
          <cell r="BI46">
            <v>100000</v>
          </cell>
          <cell r="BJ46">
            <v>2550000</v>
          </cell>
          <cell r="BK46">
            <v>0</v>
          </cell>
          <cell r="BL46">
            <v>2550000</v>
          </cell>
        </row>
        <row r="47">
          <cell r="D47" t="str">
            <v>OS</v>
          </cell>
          <cell r="E47"/>
          <cell r="F47">
            <v>27</v>
          </cell>
          <cell r="G47" t="str">
            <v>CLOSED</v>
          </cell>
          <cell r="H47" t="str">
            <v>TS</v>
          </cell>
          <cell r="I47" t="str">
            <v>TS</v>
          </cell>
          <cell r="J47" t="str">
            <v>OS</v>
          </cell>
          <cell r="K47" t="str">
            <v>OS</v>
          </cell>
          <cell r="L47" t="str">
            <v>OS</v>
          </cell>
          <cell r="M47" t="str">
            <v>OS</v>
          </cell>
          <cell r="N47" t="str">
            <v>OS</v>
          </cell>
          <cell r="O47" t="str">
            <v>OS</v>
          </cell>
          <cell r="P47" t="str">
            <v>OS</v>
          </cell>
          <cell r="Q47" t="str">
            <v>OS</v>
          </cell>
          <cell r="R47" t="str">
            <v>OS</v>
          </cell>
          <cell r="S47" t="str">
            <v>OS</v>
          </cell>
          <cell r="T47" t="str">
            <v>OS</v>
          </cell>
          <cell r="U47" t="str">
            <v>OS</v>
          </cell>
          <cell r="V47" t="str">
            <v>OS</v>
          </cell>
          <cell r="W47" t="str">
            <v>OS</v>
          </cell>
          <cell r="X47" t="str">
            <v>OS</v>
          </cell>
          <cell r="Y47" t="str">
            <v>OS</v>
          </cell>
          <cell r="Z47" t="str">
            <v>OS</v>
          </cell>
          <cell r="AA47" t="str">
            <v>OS</v>
          </cell>
          <cell r="AB47" t="str">
            <v>OS</v>
          </cell>
          <cell r="AC47" t="str">
            <v>OS</v>
          </cell>
          <cell r="AD47" t="str">
            <v>AGM-01-002-017</v>
          </cell>
          <cell r="AE47" t="str">
            <v xml:space="preserve">Raemulan Lands, Inc. </v>
          </cell>
          <cell r="AF47" t="str">
            <v>Agapeya</v>
          </cell>
          <cell r="AG47" t="str">
            <v>AGM</v>
          </cell>
          <cell r="AH47" t="str">
            <v>Eco-High</v>
          </cell>
          <cell r="AI47" t="str">
            <v>West</v>
          </cell>
          <cell r="AJ47" t="str">
            <v>With LTS</v>
          </cell>
          <cell r="AK47" t="str">
            <v>Unaffected lots</v>
          </cell>
          <cell r="AL47" t="str">
            <v>Unaffected lots</v>
          </cell>
          <cell r="AM47" t="b">
            <v>1</v>
          </cell>
          <cell r="AN47" t="str">
            <v>YES</v>
          </cell>
          <cell r="AO47" t="str">
            <v>B4 2025</v>
          </cell>
          <cell r="AP47">
            <v>70</v>
          </cell>
          <cell r="AQ47" t="str">
            <v>PCS-04-034407</v>
          </cell>
          <cell r="AR47" t="b">
            <v>1</v>
          </cell>
          <cell r="AS47" t="str">
            <v>Done</v>
          </cell>
          <cell r="AT47" t="str">
            <v>2025 - Batch 6</v>
          </cell>
          <cell r="AU47">
            <v>2</v>
          </cell>
          <cell r="AV47">
            <v>17</v>
          </cell>
          <cell r="AW47" t="str">
            <v>H+L</v>
          </cell>
          <cell r="AX47">
            <v>70</v>
          </cell>
          <cell r="AY47">
            <v>50</v>
          </cell>
          <cell r="AZ47" t="str">
            <v>Duplex</v>
          </cell>
          <cell r="BA47">
            <v>1</v>
          </cell>
          <cell r="BB47" t="str">
            <v>568 - Without Partition</v>
          </cell>
          <cell r="BC47" t="str">
            <v xml:space="preserve">Without Partition </v>
          </cell>
          <cell r="BD47" t="str">
            <v>Flat</v>
          </cell>
          <cell r="BE47" t="str">
            <v xml:space="preserve">Without Partition </v>
          </cell>
          <cell r="BF47" t="str">
            <v>GREEN</v>
          </cell>
          <cell r="BG47">
            <v>2500000</v>
          </cell>
          <cell r="BH47">
            <v>2650000</v>
          </cell>
          <cell r="BI47">
            <v>100000</v>
          </cell>
          <cell r="BJ47">
            <v>2550000</v>
          </cell>
          <cell r="BK47">
            <v>0</v>
          </cell>
          <cell r="BL47">
            <v>2550000</v>
          </cell>
        </row>
        <row r="48">
          <cell r="D48" t="str">
            <v>OS</v>
          </cell>
          <cell r="E48"/>
          <cell r="F48">
            <v>28</v>
          </cell>
          <cell r="G48" t="str">
            <v>CLOSED</v>
          </cell>
          <cell r="H48" t="str">
            <v>OPEN</v>
          </cell>
          <cell r="I48" t="str">
            <v>WITH BRN</v>
          </cell>
          <cell r="J48" t="str">
            <v>TS</v>
          </cell>
          <cell r="K48" t="str">
            <v>TS</v>
          </cell>
          <cell r="L48" t="str">
            <v>TS</v>
          </cell>
          <cell r="M48" t="str">
            <v>TS</v>
          </cell>
          <cell r="N48" t="str">
            <v>TS</v>
          </cell>
          <cell r="O48" t="str">
            <v>TS</v>
          </cell>
          <cell r="P48" t="str">
            <v>OS</v>
          </cell>
          <cell r="Q48" t="str">
            <v>OS</v>
          </cell>
          <cell r="R48" t="str">
            <v>OS</v>
          </cell>
          <cell r="S48" t="str">
            <v>OS</v>
          </cell>
          <cell r="T48" t="str">
            <v>OS</v>
          </cell>
          <cell r="U48" t="str">
            <v>OS</v>
          </cell>
          <cell r="V48" t="str">
            <v>OS</v>
          </cell>
          <cell r="W48" t="str">
            <v>OS</v>
          </cell>
          <cell r="X48" t="str">
            <v>OS</v>
          </cell>
          <cell r="Y48" t="str">
            <v>OS</v>
          </cell>
          <cell r="Z48" t="str">
            <v>OS</v>
          </cell>
          <cell r="AA48" t="str">
            <v>OS</v>
          </cell>
          <cell r="AB48" t="str">
            <v>OS</v>
          </cell>
          <cell r="AC48" t="str">
            <v>OS</v>
          </cell>
          <cell r="AD48" t="str">
            <v>AGM-01-002-018</v>
          </cell>
          <cell r="AE48" t="str">
            <v xml:space="preserve">Raemulan Lands, Inc. </v>
          </cell>
          <cell r="AF48" t="str">
            <v>Agapeya</v>
          </cell>
          <cell r="AG48" t="str">
            <v>AGM</v>
          </cell>
          <cell r="AH48" t="str">
            <v>Eco-High</v>
          </cell>
          <cell r="AI48" t="str">
            <v>West</v>
          </cell>
          <cell r="AJ48" t="str">
            <v>With LTS</v>
          </cell>
          <cell r="AK48" t="str">
            <v>Unaffected lots</v>
          </cell>
          <cell r="AL48" t="str">
            <v>Unaffected lots</v>
          </cell>
          <cell r="AM48" t="b">
            <v>1</v>
          </cell>
          <cell r="AN48" t="str">
            <v>YES</v>
          </cell>
          <cell r="AO48" t="str">
            <v>B4 2025</v>
          </cell>
          <cell r="AP48">
            <v>70</v>
          </cell>
          <cell r="AQ48" t="str">
            <v>PCS-04-034407</v>
          </cell>
          <cell r="AR48" t="b">
            <v>1</v>
          </cell>
          <cell r="AS48" t="str">
            <v>Done</v>
          </cell>
          <cell r="AT48" t="str">
            <v>2025 - Batch 6</v>
          </cell>
          <cell r="AU48">
            <v>2</v>
          </cell>
          <cell r="AV48">
            <v>18</v>
          </cell>
          <cell r="AW48" t="str">
            <v>H+L</v>
          </cell>
          <cell r="AX48">
            <v>70</v>
          </cell>
          <cell r="AY48">
            <v>50</v>
          </cell>
          <cell r="AZ48" t="str">
            <v>Duplex</v>
          </cell>
          <cell r="BA48">
            <v>1</v>
          </cell>
          <cell r="BB48" t="str">
            <v>568 - Without Partition</v>
          </cell>
          <cell r="BC48" t="str">
            <v xml:space="preserve">Without Partition </v>
          </cell>
          <cell r="BD48" t="str">
            <v>Flat</v>
          </cell>
          <cell r="BE48" t="str">
            <v xml:space="preserve">Without Partition </v>
          </cell>
          <cell r="BF48" t="str">
            <v>PINK</v>
          </cell>
          <cell r="BG48">
            <v>2500000</v>
          </cell>
          <cell r="BH48">
            <v>2650000</v>
          </cell>
          <cell r="BI48">
            <v>100000</v>
          </cell>
          <cell r="BJ48">
            <v>2550000</v>
          </cell>
          <cell r="BK48">
            <v>0</v>
          </cell>
          <cell r="BL48">
            <v>2550000</v>
          </cell>
        </row>
        <row r="49">
          <cell r="D49" t="str">
            <v>OS</v>
          </cell>
          <cell r="E49"/>
          <cell r="F49">
            <v>29</v>
          </cell>
          <cell r="G49" t="str">
            <v>CLOSED</v>
          </cell>
          <cell r="H49" t="str">
            <v>TS</v>
          </cell>
          <cell r="I49" t="str">
            <v>TS</v>
          </cell>
          <cell r="J49" t="str">
            <v>OS</v>
          </cell>
          <cell r="K49" t="str">
            <v>OS</v>
          </cell>
          <cell r="L49" t="str">
            <v>OS</v>
          </cell>
          <cell r="M49" t="str">
            <v>OS</v>
          </cell>
          <cell r="N49" t="str">
            <v>OS</v>
          </cell>
          <cell r="O49" t="str">
            <v>OS</v>
          </cell>
          <cell r="P49" t="str">
            <v>OS</v>
          </cell>
          <cell r="Q49" t="str">
            <v>OS</v>
          </cell>
          <cell r="R49" t="str">
            <v>OS</v>
          </cell>
          <cell r="S49" t="str">
            <v>OS</v>
          </cell>
          <cell r="T49" t="str">
            <v>OS</v>
          </cell>
          <cell r="U49" t="str">
            <v>OS</v>
          </cell>
          <cell r="V49" t="str">
            <v>OS</v>
          </cell>
          <cell r="W49" t="str">
            <v>OS</v>
          </cell>
          <cell r="X49" t="str">
            <v>OS</v>
          </cell>
          <cell r="Y49" t="str">
            <v>OS</v>
          </cell>
          <cell r="Z49" t="str">
            <v>OS</v>
          </cell>
          <cell r="AA49" t="str">
            <v>OS</v>
          </cell>
          <cell r="AB49" t="str">
            <v>OS</v>
          </cell>
          <cell r="AC49" t="str">
            <v>OS</v>
          </cell>
          <cell r="AD49" t="str">
            <v>AGM-01-002-019</v>
          </cell>
          <cell r="AE49" t="str">
            <v xml:space="preserve">Raemulan Lands, Inc. </v>
          </cell>
          <cell r="AF49" t="str">
            <v>Agapeya</v>
          </cell>
          <cell r="AG49" t="str">
            <v>AGM</v>
          </cell>
          <cell r="AH49" t="str">
            <v>Eco-High</v>
          </cell>
          <cell r="AI49" t="str">
            <v>West</v>
          </cell>
          <cell r="AJ49" t="str">
            <v>With LTS</v>
          </cell>
          <cell r="AK49" t="str">
            <v>Unaffected lots</v>
          </cell>
          <cell r="AL49" t="str">
            <v>Unaffected lots</v>
          </cell>
          <cell r="AM49" t="b">
            <v>1</v>
          </cell>
          <cell r="AN49" t="str">
            <v>YES</v>
          </cell>
          <cell r="AO49" t="str">
            <v>B4 2025</v>
          </cell>
          <cell r="AP49">
            <v>70</v>
          </cell>
          <cell r="AQ49" t="str">
            <v>PCS-04-034407</v>
          </cell>
          <cell r="AR49" t="b">
            <v>1</v>
          </cell>
          <cell r="AS49" t="str">
            <v>Done</v>
          </cell>
          <cell r="AT49" t="str">
            <v>2025 - Batch 6</v>
          </cell>
          <cell r="AU49">
            <v>2</v>
          </cell>
          <cell r="AV49">
            <v>19</v>
          </cell>
          <cell r="AW49" t="str">
            <v>H+L</v>
          </cell>
          <cell r="AX49">
            <v>70</v>
          </cell>
          <cell r="AY49">
            <v>50</v>
          </cell>
          <cell r="AZ49" t="str">
            <v>Duplex</v>
          </cell>
          <cell r="BA49">
            <v>1</v>
          </cell>
          <cell r="BB49" t="str">
            <v>568 - Without Partition</v>
          </cell>
          <cell r="BC49" t="str">
            <v xml:space="preserve">Without Partition </v>
          </cell>
          <cell r="BD49" t="str">
            <v>Slant</v>
          </cell>
          <cell r="BE49" t="str">
            <v xml:space="preserve">Without Partition </v>
          </cell>
          <cell r="BF49" t="str">
            <v>PINK</v>
          </cell>
          <cell r="BG49">
            <v>2500000</v>
          </cell>
          <cell r="BH49">
            <v>2650000</v>
          </cell>
          <cell r="BI49">
            <v>100000</v>
          </cell>
          <cell r="BJ49">
            <v>2550000</v>
          </cell>
          <cell r="BK49">
            <v>0</v>
          </cell>
          <cell r="BL49">
            <v>2550000</v>
          </cell>
        </row>
        <row r="50">
          <cell r="D50" t="str">
            <v>OS</v>
          </cell>
          <cell r="E50"/>
          <cell r="F50">
            <v>30</v>
          </cell>
          <cell r="G50" t="str">
            <v>CLOSED</v>
          </cell>
          <cell r="H50" t="str">
            <v>TS</v>
          </cell>
          <cell r="I50" t="str">
            <v>TS</v>
          </cell>
          <cell r="J50" t="str">
            <v>TS</v>
          </cell>
          <cell r="K50" t="str">
            <v>TS</v>
          </cell>
          <cell r="L50" t="str">
            <v>TS</v>
          </cell>
          <cell r="M50" t="str">
            <v>TS</v>
          </cell>
          <cell r="N50" t="str">
            <v>TS</v>
          </cell>
          <cell r="O50" t="str">
            <v>TS</v>
          </cell>
          <cell r="P50" t="str">
            <v>OS</v>
          </cell>
          <cell r="Q50" t="str">
            <v>OS</v>
          </cell>
          <cell r="R50" t="str">
            <v>OS</v>
          </cell>
          <cell r="S50" t="str">
            <v>OS</v>
          </cell>
          <cell r="T50" t="str">
            <v>OS</v>
          </cell>
          <cell r="U50" t="str">
            <v>OS</v>
          </cell>
          <cell r="V50" t="str">
            <v>OS</v>
          </cell>
          <cell r="W50" t="str">
            <v>OS</v>
          </cell>
          <cell r="X50" t="str">
            <v>OS</v>
          </cell>
          <cell r="Y50" t="str">
            <v>OS</v>
          </cell>
          <cell r="Z50" t="str">
            <v>OS</v>
          </cell>
          <cell r="AA50" t="str">
            <v>OS</v>
          </cell>
          <cell r="AB50" t="str">
            <v>OS</v>
          </cell>
          <cell r="AC50" t="str">
            <v>OS</v>
          </cell>
          <cell r="AD50" t="str">
            <v>AGM-01-002-020</v>
          </cell>
          <cell r="AE50" t="str">
            <v xml:space="preserve">Raemulan Lands, Inc. </v>
          </cell>
          <cell r="AF50" t="str">
            <v>Agapeya</v>
          </cell>
          <cell r="AG50" t="str">
            <v>AGM</v>
          </cell>
          <cell r="AH50" t="str">
            <v>Eco-High</v>
          </cell>
          <cell r="AI50" t="str">
            <v>West</v>
          </cell>
          <cell r="AJ50" t="str">
            <v>With LTS</v>
          </cell>
          <cell r="AK50" t="str">
            <v>Unaffected lots</v>
          </cell>
          <cell r="AL50" t="str">
            <v>Unaffected lots</v>
          </cell>
          <cell r="AM50" t="b">
            <v>1</v>
          </cell>
          <cell r="AN50" t="str">
            <v>YES</v>
          </cell>
          <cell r="AO50" t="str">
            <v>B4 2025</v>
          </cell>
          <cell r="AP50">
            <v>70</v>
          </cell>
          <cell r="AQ50" t="str">
            <v>PCS-04-034407</v>
          </cell>
          <cell r="AR50" t="b">
            <v>1</v>
          </cell>
          <cell r="AS50" t="str">
            <v>Done</v>
          </cell>
          <cell r="AT50" t="str">
            <v>2025 - Batch 6</v>
          </cell>
          <cell r="AU50">
            <v>2</v>
          </cell>
          <cell r="AV50">
            <v>20</v>
          </cell>
          <cell r="AW50" t="str">
            <v>H+L</v>
          </cell>
          <cell r="AX50">
            <v>70</v>
          </cell>
          <cell r="AY50">
            <v>50</v>
          </cell>
          <cell r="AZ50" t="str">
            <v>Duplex</v>
          </cell>
          <cell r="BA50">
            <v>1</v>
          </cell>
          <cell r="BB50" t="str">
            <v>568 - Without Partition</v>
          </cell>
          <cell r="BC50" t="str">
            <v xml:space="preserve">Without Partition </v>
          </cell>
          <cell r="BD50" t="str">
            <v>Slant</v>
          </cell>
          <cell r="BE50" t="str">
            <v xml:space="preserve">Without Partition </v>
          </cell>
          <cell r="BF50" t="str">
            <v>PINK</v>
          </cell>
          <cell r="BG50">
            <v>2500000</v>
          </cell>
          <cell r="BH50">
            <v>2650000</v>
          </cell>
          <cell r="BI50">
            <v>100000</v>
          </cell>
          <cell r="BJ50">
            <v>2550000</v>
          </cell>
          <cell r="BK50">
            <v>0</v>
          </cell>
          <cell r="BL50">
            <v>2550000</v>
          </cell>
        </row>
        <row r="51">
          <cell r="D51" t="str">
            <v>OS</v>
          </cell>
          <cell r="E51"/>
          <cell r="F51">
            <v>31</v>
          </cell>
          <cell r="G51" t="str">
            <v>CLOSED</v>
          </cell>
          <cell r="H51" t="str">
            <v>OPEN</v>
          </cell>
          <cell r="I51" t="str">
            <v>OPEN</v>
          </cell>
          <cell r="J51" t="str">
            <v>TS</v>
          </cell>
          <cell r="K51" t="str">
            <v>TS</v>
          </cell>
          <cell r="L51" t="str">
            <v>TS</v>
          </cell>
          <cell r="M51" t="str">
            <v>TS</v>
          </cell>
          <cell r="N51" t="str">
            <v>OS</v>
          </cell>
          <cell r="O51" t="str">
            <v>OS</v>
          </cell>
          <cell r="P51" t="str">
            <v>OS</v>
          </cell>
          <cell r="Q51" t="str">
            <v>OS</v>
          </cell>
          <cell r="R51" t="str">
            <v>OS</v>
          </cell>
          <cell r="S51" t="str">
            <v>OS</v>
          </cell>
          <cell r="T51" t="str">
            <v>OS</v>
          </cell>
          <cell r="U51" t="str">
            <v>OS</v>
          </cell>
          <cell r="V51" t="str">
            <v>OS</v>
          </cell>
          <cell r="W51" t="str">
            <v>OS</v>
          </cell>
          <cell r="X51" t="str">
            <v>OS</v>
          </cell>
          <cell r="Y51" t="str">
            <v>OS</v>
          </cell>
          <cell r="Z51" t="str">
            <v>OS</v>
          </cell>
          <cell r="AA51" t="str">
            <v>OS</v>
          </cell>
          <cell r="AB51" t="str">
            <v>OS</v>
          </cell>
          <cell r="AC51" t="str">
            <v>OS</v>
          </cell>
          <cell r="AD51" t="str">
            <v>AGM-01-002-021</v>
          </cell>
          <cell r="AE51" t="str">
            <v xml:space="preserve">Raemulan Lands, Inc. </v>
          </cell>
          <cell r="AF51" t="str">
            <v>Agapeya</v>
          </cell>
          <cell r="AG51" t="str">
            <v>AGM</v>
          </cell>
          <cell r="AH51" t="str">
            <v>Eco-High</v>
          </cell>
          <cell r="AI51" t="str">
            <v>West</v>
          </cell>
          <cell r="AJ51" t="str">
            <v>With LTS</v>
          </cell>
          <cell r="AK51" t="str">
            <v>Unaffected lots</v>
          </cell>
          <cell r="AL51" t="str">
            <v>Unaffected lots</v>
          </cell>
          <cell r="AM51" t="b">
            <v>1</v>
          </cell>
          <cell r="AN51" t="str">
            <v>YES</v>
          </cell>
          <cell r="AO51" t="str">
            <v>B4 2025</v>
          </cell>
          <cell r="AP51">
            <v>96</v>
          </cell>
          <cell r="AQ51" t="str">
            <v>PCS-04-034407</v>
          </cell>
          <cell r="AR51" t="b">
            <v>1</v>
          </cell>
          <cell r="AS51" t="str">
            <v>Done</v>
          </cell>
          <cell r="AT51" t="str">
            <v>2025 - Batch 6</v>
          </cell>
          <cell r="AU51">
            <v>2</v>
          </cell>
          <cell r="AV51">
            <v>21</v>
          </cell>
          <cell r="AW51" t="str">
            <v>H+L</v>
          </cell>
          <cell r="AX51">
            <v>96</v>
          </cell>
          <cell r="AY51">
            <v>50</v>
          </cell>
          <cell r="AZ51" t="str">
            <v>Duplex</v>
          </cell>
          <cell r="BA51">
            <v>1</v>
          </cell>
          <cell r="BB51" t="str">
            <v>568 - Without Partition</v>
          </cell>
          <cell r="BC51" t="str">
            <v xml:space="preserve">Without Partition </v>
          </cell>
          <cell r="BD51" t="str">
            <v>Flat</v>
          </cell>
          <cell r="BE51" t="str">
            <v xml:space="preserve">Without Partition </v>
          </cell>
          <cell r="BF51" t="str">
            <v>PINK</v>
          </cell>
          <cell r="BG51">
            <v>2500000</v>
          </cell>
          <cell r="BH51">
            <v>3040000</v>
          </cell>
          <cell r="BI51">
            <v>100000</v>
          </cell>
          <cell r="BJ51">
            <v>2940000</v>
          </cell>
          <cell r="BK51">
            <v>0</v>
          </cell>
          <cell r="BL51">
            <v>2940000</v>
          </cell>
        </row>
        <row r="52">
          <cell r="D52" t="str">
            <v>OS</v>
          </cell>
          <cell r="E52"/>
          <cell r="F52">
            <v>32</v>
          </cell>
          <cell r="G52" t="str">
            <v>CLOSED</v>
          </cell>
          <cell r="H52" t="str">
            <v>OPEN</v>
          </cell>
          <cell r="I52" t="str">
            <v>OPEN</v>
          </cell>
          <cell r="J52" t="str">
            <v>TS</v>
          </cell>
          <cell r="K52" t="str">
            <v>TS</v>
          </cell>
          <cell r="L52" t="str">
            <v>TS</v>
          </cell>
          <cell r="M52" t="str">
            <v>TS</v>
          </cell>
          <cell r="N52" t="str">
            <v>TS</v>
          </cell>
          <cell r="O52" t="str">
            <v>TS</v>
          </cell>
          <cell r="P52" t="str">
            <v>OS</v>
          </cell>
          <cell r="Q52" t="str">
            <v>OS</v>
          </cell>
          <cell r="R52" t="str">
            <v>OS</v>
          </cell>
          <cell r="S52" t="str">
            <v>OS</v>
          </cell>
          <cell r="T52" t="str">
            <v>OS</v>
          </cell>
          <cell r="U52" t="str">
            <v>OS</v>
          </cell>
          <cell r="V52" t="str">
            <v>OS</v>
          </cell>
          <cell r="W52" t="str">
            <v>OS</v>
          </cell>
          <cell r="X52" t="str">
            <v>OS</v>
          </cell>
          <cell r="Y52" t="str">
            <v>OS</v>
          </cell>
          <cell r="Z52" t="str">
            <v>OS</v>
          </cell>
          <cell r="AA52" t="str">
            <v>OS</v>
          </cell>
          <cell r="AB52" t="str">
            <v>OS</v>
          </cell>
          <cell r="AC52" t="str">
            <v>OS</v>
          </cell>
          <cell r="AD52" t="str">
            <v>AGM-01-003-001</v>
          </cell>
          <cell r="AE52" t="str">
            <v xml:space="preserve">Raemulan Lands, Inc. </v>
          </cell>
          <cell r="AF52" t="str">
            <v>Agapeya</v>
          </cell>
          <cell r="AG52" t="str">
            <v>AGM</v>
          </cell>
          <cell r="AH52" t="str">
            <v>Eco-High</v>
          </cell>
          <cell r="AI52" t="str">
            <v>West</v>
          </cell>
          <cell r="AJ52" t="str">
            <v>With LTS</v>
          </cell>
          <cell r="AK52" t="str">
            <v>Unaffected lots</v>
          </cell>
          <cell r="AL52" t="str">
            <v>Unaffected lots</v>
          </cell>
          <cell r="AM52" t="b">
            <v>1</v>
          </cell>
          <cell r="AN52" t="str">
            <v>YES</v>
          </cell>
          <cell r="AO52" t="str">
            <v>B4 2025</v>
          </cell>
          <cell r="AP52">
            <v>88</v>
          </cell>
          <cell r="AQ52" t="str">
            <v>PCS-04-034407</v>
          </cell>
          <cell r="AR52" t="b">
            <v>1</v>
          </cell>
          <cell r="AS52" t="str">
            <v>Done</v>
          </cell>
          <cell r="AT52" t="str">
            <v>2025 - Batch 5</v>
          </cell>
          <cell r="AU52">
            <v>3</v>
          </cell>
          <cell r="AV52">
            <v>1</v>
          </cell>
          <cell r="AW52" t="str">
            <v>H+L</v>
          </cell>
          <cell r="AX52">
            <v>88</v>
          </cell>
          <cell r="AY52">
            <v>50</v>
          </cell>
          <cell r="AZ52" t="str">
            <v>Duplex</v>
          </cell>
          <cell r="BA52">
            <v>1</v>
          </cell>
          <cell r="BB52" t="str">
            <v>568 - Without Partition</v>
          </cell>
          <cell r="BC52" t="str">
            <v xml:space="preserve">Without Partition </v>
          </cell>
          <cell r="BD52" t="str">
            <v>Slant</v>
          </cell>
          <cell r="BE52" t="str">
            <v xml:space="preserve">Without Partition </v>
          </cell>
          <cell r="BF52" t="str">
            <v>YELLOW</v>
          </cell>
          <cell r="BG52">
            <v>2500000</v>
          </cell>
          <cell r="BH52">
            <v>2920000</v>
          </cell>
          <cell r="BI52">
            <v>100000</v>
          </cell>
          <cell r="BJ52">
            <v>2820000</v>
          </cell>
          <cell r="BK52">
            <v>0</v>
          </cell>
          <cell r="BL52">
            <v>2820000</v>
          </cell>
        </row>
        <row r="53">
          <cell r="D53" t="str">
            <v>OS</v>
          </cell>
          <cell r="E53"/>
          <cell r="F53">
            <v>33</v>
          </cell>
          <cell r="G53" t="str">
            <v>UNSOLD</v>
          </cell>
          <cell r="H53" t="str">
            <v>TS</v>
          </cell>
          <cell r="I53" t="str">
            <v>TS</v>
          </cell>
          <cell r="J53" t="str">
            <v>OS</v>
          </cell>
          <cell r="K53" t="str">
            <v>OS</v>
          </cell>
          <cell r="L53" t="str">
            <v>OS</v>
          </cell>
          <cell r="M53" t="str">
            <v>OS</v>
          </cell>
          <cell r="N53" t="str">
            <v>OS</v>
          </cell>
          <cell r="O53" t="str">
            <v>OS</v>
          </cell>
          <cell r="P53" t="str">
            <v>OS</v>
          </cell>
          <cell r="Q53" t="str">
            <v>OS</v>
          </cell>
          <cell r="R53" t="str">
            <v>OS</v>
          </cell>
          <cell r="S53" t="str">
            <v>OS</v>
          </cell>
          <cell r="T53" t="str">
            <v>OS</v>
          </cell>
          <cell r="U53" t="str">
            <v>OS</v>
          </cell>
          <cell r="V53" t="str">
            <v>OS</v>
          </cell>
          <cell r="W53" t="str">
            <v>OS</v>
          </cell>
          <cell r="X53" t="str">
            <v>OS</v>
          </cell>
          <cell r="Y53" t="str">
            <v>OS</v>
          </cell>
          <cell r="Z53" t="str">
            <v>OS</v>
          </cell>
          <cell r="AA53" t="str">
            <v>OS</v>
          </cell>
          <cell r="AB53" t="str">
            <v>OS</v>
          </cell>
          <cell r="AC53" t="str">
            <v>OS</v>
          </cell>
          <cell r="AD53" t="str">
            <v>AGM-01-003-002</v>
          </cell>
          <cell r="AE53" t="str">
            <v xml:space="preserve">Raemulan Lands, Inc. </v>
          </cell>
          <cell r="AF53" t="str">
            <v>Agapeya</v>
          </cell>
          <cell r="AG53" t="str">
            <v>AGM</v>
          </cell>
          <cell r="AH53" t="str">
            <v>Eco-High</v>
          </cell>
          <cell r="AI53" t="str">
            <v>West</v>
          </cell>
          <cell r="AJ53" t="str">
            <v>With LTS</v>
          </cell>
          <cell r="AK53" t="str">
            <v>Unaffected lots</v>
          </cell>
          <cell r="AL53" t="str">
            <v>Unaffected lots</v>
          </cell>
          <cell r="AM53" t="b">
            <v>1</v>
          </cell>
          <cell r="AN53" t="str">
            <v>YES</v>
          </cell>
          <cell r="AO53" t="str">
            <v>B4 2025</v>
          </cell>
          <cell r="AP53">
            <v>70</v>
          </cell>
          <cell r="AQ53" t="str">
            <v>PCS-04-034407</v>
          </cell>
          <cell r="AR53" t="b">
            <v>1</v>
          </cell>
          <cell r="AS53" t="str">
            <v>Done</v>
          </cell>
          <cell r="AT53" t="str">
            <v>2025 - Batch 5</v>
          </cell>
          <cell r="AU53">
            <v>3</v>
          </cell>
          <cell r="AV53">
            <v>2</v>
          </cell>
          <cell r="AW53" t="str">
            <v>H+L</v>
          </cell>
          <cell r="AX53">
            <v>70</v>
          </cell>
          <cell r="AY53">
            <v>50</v>
          </cell>
          <cell r="AZ53" t="str">
            <v>Duplex</v>
          </cell>
          <cell r="BA53">
            <v>1</v>
          </cell>
          <cell r="BB53" t="str">
            <v>568 - Without Partition</v>
          </cell>
          <cell r="BC53" t="str">
            <v xml:space="preserve">Without Partition </v>
          </cell>
          <cell r="BD53" t="str">
            <v>Flat</v>
          </cell>
          <cell r="BE53" t="str">
            <v xml:space="preserve">Without Partition </v>
          </cell>
          <cell r="BF53" t="str">
            <v>YELLOW</v>
          </cell>
          <cell r="BG53">
            <v>2500000</v>
          </cell>
          <cell r="BH53">
            <v>2650000</v>
          </cell>
          <cell r="BI53">
            <v>100000</v>
          </cell>
          <cell r="BJ53">
            <v>2550000</v>
          </cell>
          <cell r="BK53">
            <v>0</v>
          </cell>
          <cell r="BL53">
            <v>2550000</v>
          </cell>
        </row>
        <row r="54">
          <cell r="D54" t="str">
            <v>OS</v>
          </cell>
          <cell r="E54"/>
          <cell r="F54">
            <v>34</v>
          </cell>
          <cell r="G54" t="str">
            <v>UNSOLD</v>
          </cell>
          <cell r="H54" t="str">
            <v>OS</v>
          </cell>
          <cell r="I54" t="str">
            <v>OS</v>
          </cell>
          <cell r="J54" t="str">
            <v>OS</v>
          </cell>
          <cell r="K54" t="str">
            <v>OS</v>
          </cell>
          <cell r="L54" t="str">
            <v>OS</v>
          </cell>
          <cell r="M54" t="str">
            <v>OS</v>
          </cell>
          <cell r="N54" t="str">
            <v>OS</v>
          </cell>
          <cell r="O54" t="str">
            <v>OS</v>
          </cell>
          <cell r="P54" t="str">
            <v>OS</v>
          </cell>
          <cell r="Q54" t="str">
            <v>OS</v>
          </cell>
          <cell r="R54" t="str">
            <v>OS</v>
          </cell>
          <cell r="S54" t="str">
            <v>OS</v>
          </cell>
          <cell r="T54" t="str">
            <v>OS</v>
          </cell>
          <cell r="U54" t="str">
            <v>OS</v>
          </cell>
          <cell r="V54" t="str">
            <v>OS</v>
          </cell>
          <cell r="W54" t="str">
            <v>OS</v>
          </cell>
          <cell r="X54" t="str">
            <v>OS</v>
          </cell>
          <cell r="Y54" t="str">
            <v>OS</v>
          </cell>
          <cell r="Z54" t="str">
            <v>OS</v>
          </cell>
          <cell r="AA54" t="str">
            <v>OS</v>
          </cell>
          <cell r="AB54" t="str">
            <v>OS</v>
          </cell>
          <cell r="AC54" t="str">
            <v>OS</v>
          </cell>
          <cell r="AD54" t="str">
            <v>AGM-01-003-003</v>
          </cell>
          <cell r="AE54" t="str">
            <v xml:space="preserve">Raemulan Lands, Inc. </v>
          </cell>
          <cell r="AF54" t="str">
            <v>Agapeya</v>
          </cell>
          <cell r="AG54" t="str">
            <v>AGM</v>
          </cell>
          <cell r="AH54" t="str">
            <v>Eco-High</v>
          </cell>
          <cell r="AI54" t="str">
            <v>West</v>
          </cell>
          <cell r="AJ54" t="str">
            <v>With LTS</v>
          </cell>
          <cell r="AK54" t="str">
            <v>Unaffected lots</v>
          </cell>
          <cell r="AL54" t="str">
            <v>Unaffected lots</v>
          </cell>
          <cell r="AM54" t="b">
            <v>1</v>
          </cell>
          <cell r="AN54" t="str">
            <v>YES</v>
          </cell>
          <cell r="AO54" t="str">
            <v>B4 2025</v>
          </cell>
          <cell r="AP54">
            <v>70</v>
          </cell>
          <cell r="AQ54" t="str">
            <v>PCS-04-034407</v>
          </cell>
          <cell r="AR54" t="b">
            <v>1</v>
          </cell>
          <cell r="AS54" t="str">
            <v>Done</v>
          </cell>
          <cell r="AT54" t="str">
            <v>2025 - Batch 5</v>
          </cell>
          <cell r="AU54">
            <v>3</v>
          </cell>
          <cell r="AV54">
            <v>3</v>
          </cell>
          <cell r="AW54" t="str">
            <v>H+L</v>
          </cell>
          <cell r="AX54">
            <v>70</v>
          </cell>
          <cell r="AY54">
            <v>50</v>
          </cell>
          <cell r="AZ54" t="str">
            <v>Duplex</v>
          </cell>
          <cell r="BA54">
            <v>1</v>
          </cell>
          <cell r="BB54" t="str">
            <v>568 - Without Partition</v>
          </cell>
          <cell r="BC54" t="str">
            <v xml:space="preserve">Without Partition </v>
          </cell>
          <cell r="BD54" t="str">
            <v>Flat</v>
          </cell>
          <cell r="BE54" t="str">
            <v xml:space="preserve">Without Partition </v>
          </cell>
          <cell r="BF54" t="str">
            <v>YELLOW</v>
          </cell>
          <cell r="BG54">
            <v>2500000</v>
          </cell>
          <cell r="BH54">
            <v>2650000</v>
          </cell>
          <cell r="BI54">
            <v>100000</v>
          </cell>
          <cell r="BJ54">
            <v>2550000</v>
          </cell>
          <cell r="BK54">
            <v>0</v>
          </cell>
          <cell r="BL54">
            <v>2550000</v>
          </cell>
        </row>
        <row r="55">
          <cell r="D55" t="str">
            <v>OS</v>
          </cell>
          <cell r="E55"/>
          <cell r="F55">
            <v>35</v>
          </cell>
          <cell r="G55" t="str">
            <v>UNSOLD</v>
          </cell>
          <cell r="H55" t="str">
            <v>OS</v>
          </cell>
          <cell r="I55" t="str">
            <v>OS</v>
          </cell>
          <cell r="J55" t="str">
            <v>OS</v>
          </cell>
          <cell r="K55" t="str">
            <v>OS</v>
          </cell>
          <cell r="L55" t="str">
            <v>OS</v>
          </cell>
          <cell r="M55" t="str">
            <v>OS</v>
          </cell>
          <cell r="N55" t="str">
            <v>OS</v>
          </cell>
          <cell r="O55" t="str">
            <v>OS</v>
          </cell>
          <cell r="P55" t="str">
            <v>OS</v>
          </cell>
          <cell r="Q55" t="str">
            <v>OS</v>
          </cell>
          <cell r="R55" t="str">
            <v>OS</v>
          </cell>
          <cell r="S55" t="str">
            <v>OS</v>
          </cell>
          <cell r="T55" t="str">
            <v>OS</v>
          </cell>
          <cell r="U55" t="str">
            <v>OS</v>
          </cell>
          <cell r="V55" t="str">
            <v>OS</v>
          </cell>
          <cell r="W55" t="str">
            <v>OS</v>
          </cell>
          <cell r="X55" t="str">
            <v>OS</v>
          </cell>
          <cell r="Y55" t="str">
            <v>OS</v>
          </cell>
          <cell r="Z55" t="str">
            <v>OS</v>
          </cell>
          <cell r="AA55" t="str">
            <v>OS</v>
          </cell>
          <cell r="AB55" t="str">
            <v>OS</v>
          </cell>
          <cell r="AC55" t="str">
            <v>OS</v>
          </cell>
          <cell r="AD55" t="str">
            <v>AGM-01-003-004</v>
          </cell>
          <cell r="AE55" t="str">
            <v xml:space="preserve">Raemulan Lands, Inc. </v>
          </cell>
          <cell r="AF55" t="str">
            <v>Agapeya</v>
          </cell>
          <cell r="AG55" t="str">
            <v>AGM</v>
          </cell>
          <cell r="AH55" t="str">
            <v>Eco-High</v>
          </cell>
          <cell r="AI55" t="str">
            <v>West</v>
          </cell>
          <cell r="AJ55" t="str">
            <v>With LTS</v>
          </cell>
          <cell r="AK55" t="str">
            <v>Unaffected lots</v>
          </cell>
          <cell r="AL55" t="str">
            <v>Unaffected lots</v>
          </cell>
          <cell r="AM55" t="b">
            <v>1</v>
          </cell>
          <cell r="AN55" t="str">
            <v>YES</v>
          </cell>
          <cell r="AO55" t="str">
            <v>B4 2025</v>
          </cell>
          <cell r="AP55">
            <v>70</v>
          </cell>
          <cell r="AQ55" t="str">
            <v>PCS-04-034407</v>
          </cell>
          <cell r="AR55" t="b">
            <v>1</v>
          </cell>
          <cell r="AS55" t="str">
            <v>Done</v>
          </cell>
          <cell r="AT55" t="str">
            <v>2025 - Batch 5</v>
          </cell>
          <cell r="AU55">
            <v>3</v>
          </cell>
          <cell r="AV55">
            <v>4</v>
          </cell>
          <cell r="AW55" t="str">
            <v>H+L</v>
          </cell>
          <cell r="AX55">
            <v>70</v>
          </cell>
          <cell r="AY55">
            <v>50</v>
          </cell>
          <cell r="AZ55" t="str">
            <v>Duplex</v>
          </cell>
          <cell r="BA55">
            <v>1</v>
          </cell>
          <cell r="BB55" t="str">
            <v>568 - Without Partition</v>
          </cell>
          <cell r="BC55" t="str">
            <v xml:space="preserve">Without Partition </v>
          </cell>
          <cell r="BD55" t="str">
            <v>Slant</v>
          </cell>
          <cell r="BE55" t="str">
            <v xml:space="preserve">Without Partition </v>
          </cell>
          <cell r="BF55" t="str">
            <v>YELLOW</v>
          </cell>
          <cell r="BG55">
            <v>2500000</v>
          </cell>
          <cell r="BH55">
            <v>2650000</v>
          </cell>
          <cell r="BI55">
            <v>100000</v>
          </cell>
          <cell r="BJ55">
            <v>2550000</v>
          </cell>
          <cell r="BK55">
            <v>0</v>
          </cell>
          <cell r="BL55">
            <v>2550000</v>
          </cell>
        </row>
        <row r="56">
          <cell r="D56" t="str">
            <v>OS</v>
          </cell>
          <cell r="E56"/>
          <cell r="F56">
            <v>36</v>
          </cell>
          <cell r="G56" t="str">
            <v>UNSOLD</v>
          </cell>
          <cell r="H56" t="str">
            <v>TS</v>
          </cell>
          <cell r="I56" t="str">
            <v>TS</v>
          </cell>
          <cell r="J56" t="str">
            <v>OS</v>
          </cell>
          <cell r="K56" t="str">
            <v>OS</v>
          </cell>
          <cell r="L56" t="str">
            <v>OS</v>
          </cell>
          <cell r="M56" t="str">
            <v>OS</v>
          </cell>
          <cell r="N56" t="str">
            <v>OS</v>
          </cell>
          <cell r="O56" t="str">
            <v>OS</v>
          </cell>
          <cell r="P56" t="str">
            <v>OS</v>
          </cell>
          <cell r="Q56" t="str">
            <v>OS</v>
          </cell>
          <cell r="R56" t="str">
            <v>OS</v>
          </cell>
          <cell r="S56" t="str">
            <v>OS</v>
          </cell>
          <cell r="T56" t="str">
            <v>OS</v>
          </cell>
          <cell r="U56" t="str">
            <v>OS</v>
          </cell>
          <cell r="V56" t="str">
            <v>OS</v>
          </cell>
          <cell r="W56" t="str">
            <v>OS</v>
          </cell>
          <cell r="X56" t="str">
            <v>OS</v>
          </cell>
          <cell r="Y56" t="str">
            <v>OS</v>
          </cell>
          <cell r="Z56" t="str">
            <v>OS</v>
          </cell>
          <cell r="AA56" t="str">
            <v>OS</v>
          </cell>
          <cell r="AB56" t="str">
            <v>OS</v>
          </cell>
          <cell r="AC56" t="str">
            <v>OS</v>
          </cell>
          <cell r="AD56" t="str">
            <v>AGM-01-003-005</v>
          </cell>
          <cell r="AE56" t="str">
            <v xml:space="preserve">Raemulan Lands, Inc. </v>
          </cell>
          <cell r="AF56" t="str">
            <v>Agapeya</v>
          </cell>
          <cell r="AG56" t="str">
            <v>AGM</v>
          </cell>
          <cell r="AH56" t="str">
            <v>Eco-High</v>
          </cell>
          <cell r="AI56" t="str">
            <v>West</v>
          </cell>
          <cell r="AJ56" t="str">
            <v>With LTS</v>
          </cell>
          <cell r="AK56" t="str">
            <v>Unaffected lots</v>
          </cell>
          <cell r="AL56" t="str">
            <v>Unaffected lots</v>
          </cell>
          <cell r="AM56" t="b">
            <v>1</v>
          </cell>
          <cell r="AN56" t="str">
            <v>YES</v>
          </cell>
          <cell r="AO56" t="str">
            <v>B4 2025</v>
          </cell>
          <cell r="AP56">
            <v>70</v>
          </cell>
          <cell r="AQ56" t="str">
            <v>PCS-04-034407</v>
          </cell>
          <cell r="AR56" t="b">
            <v>1</v>
          </cell>
          <cell r="AS56" t="str">
            <v>Done</v>
          </cell>
          <cell r="AT56" t="str">
            <v>2025 - Batch 5</v>
          </cell>
          <cell r="AU56">
            <v>3</v>
          </cell>
          <cell r="AV56">
            <v>5</v>
          </cell>
          <cell r="AW56" t="str">
            <v>H+L</v>
          </cell>
          <cell r="AX56">
            <v>70</v>
          </cell>
          <cell r="AY56">
            <v>50</v>
          </cell>
          <cell r="AZ56" t="str">
            <v>Duplex</v>
          </cell>
          <cell r="BA56">
            <v>1</v>
          </cell>
          <cell r="BB56" t="str">
            <v>568 - Without Partition</v>
          </cell>
          <cell r="BC56" t="str">
            <v xml:space="preserve">Without Partition </v>
          </cell>
          <cell r="BD56" t="str">
            <v>Slant</v>
          </cell>
          <cell r="BE56" t="str">
            <v xml:space="preserve">Without Partition </v>
          </cell>
          <cell r="BF56" t="str">
            <v>PURPLE</v>
          </cell>
          <cell r="BG56">
            <v>2500000</v>
          </cell>
          <cell r="BH56">
            <v>2650000</v>
          </cell>
          <cell r="BI56">
            <v>100000</v>
          </cell>
          <cell r="BJ56">
            <v>2550000</v>
          </cell>
          <cell r="BK56">
            <v>0</v>
          </cell>
          <cell r="BL56">
            <v>2550000</v>
          </cell>
        </row>
        <row r="57">
          <cell r="D57" t="str">
            <v>TS</v>
          </cell>
          <cell r="E57"/>
          <cell r="F57">
            <v>37</v>
          </cell>
          <cell r="G57" t="str">
            <v>UNSOLD</v>
          </cell>
          <cell r="H57" t="str">
            <v>TS</v>
          </cell>
          <cell r="I57" t="str">
            <v>TS</v>
          </cell>
          <cell r="J57" t="str">
            <v>OS</v>
          </cell>
          <cell r="K57" t="str">
            <v>OS</v>
          </cell>
          <cell r="L57" t="str">
            <v>OS</v>
          </cell>
          <cell r="M57" t="str">
            <v>OS</v>
          </cell>
          <cell r="N57" t="str">
            <v>OS</v>
          </cell>
          <cell r="O57" t="str">
            <v>OS</v>
          </cell>
          <cell r="P57" t="str">
            <v>OS</v>
          </cell>
          <cell r="Q57" t="str">
            <v>OS</v>
          </cell>
          <cell r="R57" t="str">
            <v>OS</v>
          </cell>
          <cell r="S57" t="str">
            <v>OS</v>
          </cell>
          <cell r="T57" t="str">
            <v>OS</v>
          </cell>
          <cell r="U57" t="str">
            <v>OS</v>
          </cell>
          <cell r="V57" t="str">
            <v>OS</v>
          </cell>
          <cell r="W57" t="str">
            <v>OS</v>
          </cell>
          <cell r="X57" t="str">
            <v>OS</v>
          </cell>
          <cell r="Y57" t="str">
            <v>OS</v>
          </cell>
          <cell r="Z57" t="str">
            <v>TS</v>
          </cell>
          <cell r="AA57" t="str">
            <v>OS</v>
          </cell>
          <cell r="AB57" t="str">
            <v>OS</v>
          </cell>
          <cell r="AC57" t="str">
            <v>OS</v>
          </cell>
          <cell r="AD57" t="str">
            <v>AGM-01-003-006</v>
          </cell>
          <cell r="AE57" t="str">
            <v xml:space="preserve">Raemulan Lands, Inc. </v>
          </cell>
          <cell r="AF57" t="str">
            <v>Agapeya</v>
          </cell>
          <cell r="AG57" t="str">
            <v>AGM</v>
          </cell>
          <cell r="AH57" t="str">
            <v>Eco-High</v>
          </cell>
          <cell r="AI57" t="str">
            <v>West</v>
          </cell>
          <cell r="AJ57" t="str">
            <v>With LTS</v>
          </cell>
          <cell r="AK57" t="str">
            <v>Unaffected lots</v>
          </cell>
          <cell r="AL57" t="str">
            <v>Unaffected lots</v>
          </cell>
          <cell r="AM57" t="b">
            <v>1</v>
          </cell>
          <cell r="AN57" t="str">
            <v>YES</v>
          </cell>
          <cell r="AO57" t="str">
            <v>B4 2025</v>
          </cell>
          <cell r="AP57">
            <v>70</v>
          </cell>
          <cell r="AQ57" t="str">
            <v>PCS-04-034407</v>
          </cell>
          <cell r="AR57" t="b">
            <v>1</v>
          </cell>
          <cell r="AS57" t="str">
            <v>Done</v>
          </cell>
          <cell r="AT57" t="str">
            <v>2025 - Batch 5</v>
          </cell>
          <cell r="AU57">
            <v>3</v>
          </cell>
          <cell r="AV57">
            <v>6</v>
          </cell>
          <cell r="AW57" t="str">
            <v>H+L</v>
          </cell>
          <cell r="AX57">
            <v>70</v>
          </cell>
          <cell r="AY57">
            <v>50</v>
          </cell>
          <cell r="AZ57" t="str">
            <v>Duplex</v>
          </cell>
          <cell r="BA57">
            <v>1</v>
          </cell>
          <cell r="BB57" t="str">
            <v>568 - Without Partition</v>
          </cell>
          <cell r="BC57" t="str">
            <v xml:space="preserve">Without Partition </v>
          </cell>
          <cell r="BD57" t="str">
            <v>Flat</v>
          </cell>
          <cell r="BE57" t="str">
            <v xml:space="preserve">Without Partition </v>
          </cell>
          <cell r="BF57" t="str">
            <v>PURPLE</v>
          </cell>
          <cell r="BG57">
            <v>2500000</v>
          </cell>
          <cell r="BH57">
            <v>2650000</v>
          </cell>
          <cell r="BI57">
            <v>100000</v>
          </cell>
          <cell r="BJ57">
            <v>2550000</v>
          </cell>
          <cell r="BK57">
            <v>0</v>
          </cell>
          <cell r="BL57">
            <v>2550000</v>
          </cell>
        </row>
        <row r="58">
          <cell r="D58" t="str">
            <v>OPEN</v>
          </cell>
          <cell r="E58"/>
          <cell r="F58">
            <v>38</v>
          </cell>
          <cell r="G58" t="str">
            <v>CLOSED</v>
          </cell>
          <cell r="H58" t="str">
            <v>OPEN</v>
          </cell>
          <cell r="I58" t="str">
            <v>OPEN</v>
          </cell>
          <cell r="J58" t="str">
            <v>OPEN</v>
          </cell>
          <cell r="K58" t="str">
            <v>OPEN</v>
          </cell>
          <cell r="L58" t="str">
            <v>OPEN</v>
          </cell>
          <cell r="M58" t="str">
            <v>OPEN</v>
          </cell>
          <cell r="N58" t="str">
            <v>OPEN</v>
          </cell>
          <cell r="O58" t="str">
            <v>OPEN</v>
          </cell>
          <cell r="P58" t="str">
            <v>OPEN</v>
          </cell>
          <cell r="Q58" t="str">
            <v>OPEN</v>
          </cell>
          <cell r="R58" t="str">
            <v>OPEN</v>
          </cell>
          <cell r="S58" t="str">
            <v>OPEN</v>
          </cell>
          <cell r="T58" t="str">
            <v>OPEN</v>
          </cell>
          <cell r="U58" t="str">
            <v>OPEN</v>
          </cell>
          <cell r="V58" t="str">
            <v>OPEN</v>
          </cell>
          <cell r="W58" t="str">
            <v>OPEN</v>
          </cell>
          <cell r="X58" t="str">
            <v>OPEN</v>
          </cell>
          <cell r="Y58" t="str">
            <v>OPEN</v>
          </cell>
          <cell r="Z58" t="str">
            <v>OPEN</v>
          </cell>
          <cell r="AA58" t="str">
            <v>OPEN</v>
          </cell>
          <cell r="AB58" t="str">
            <v>OPEN</v>
          </cell>
          <cell r="AC58" t="str">
            <v>OPEN</v>
          </cell>
          <cell r="AD58" t="str">
            <v>AGM-01-003-007</v>
          </cell>
          <cell r="AE58" t="str">
            <v xml:space="preserve">Raemulan Lands, Inc. </v>
          </cell>
          <cell r="AF58" t="str">
            <v>Agapeya</v>
          </cell>
          <cell r="AG58" t="str">
            <v>AGM</v>
          </cell>
          <cell r="AH58" t="str">
            <v>Eco-High</v>
          </cell>
          <cell r="AI58" t="str">
            <v>West</v>
          </cell>
          <cell r="AJ58" t="str">
            <v>With LTS</v>
          </cell>
          <cell r="AK58" t="str">
            <v>Unaffected lots</v>
          </cell>
          <cell r="AL58" t="str">
            <v>Unaffected lots</v>
          </cell>
          <cell r="AM58" t="b">
            <v>1</v>
          </cell>
          <cell r="AN58" t="str">
            <v>YES</v>
          </cell>
          <cell r="AO58" t="str">
            <v>B4 - Lot Only</v>
          </cell>
          <cell r="AP58">
            <v>111</v>
          </cell>
          <cell r="AQ58" t="str">
            <v>PCS-04-034407</v>
          </cell>
          <cell r="AR58" t="b">
            <v>1</v>
          </cell>
          <cell r="AS58" t="str">
            <v>Done</v>
          </cell>
          <cell r="AT58" t="str">
            <v>Lot Only - N/A</v>
          </cell>
          <cell r="AU58">
            <v>3</v>
          </cell>
          <cell r="AV58">
            <v>7</v>
          </cell>
          <cell r="AW58" t="str">
            <v>LO</v>
          </cell>
          <cell r="AX58">
            <v>111</v>
          </cell>
          <cell r="AY58" t="str">
            <v>N/A</v>
          </cell>
          <cell r="AZ58" t="str">
            <v>Lot Only</v>
          </cell>
          <cell r="BA58" t="str">
            <v>NA</v>
          </cell>
          <cell r="BB58" t="str">
            <v>N/A</v>
          </cell>
          <cell r="BC58" t="str">
            <v>N/A - LOT ONLY</v>
          </cell>
          <cell r="BD58" t="str">
            <v>-</v>
          </cell>
          <cell r="BE58" t="str">
            <v>N/A - LOT ONLY</v>
          </cell>
          <cell r="BF58" t="str">
            <v>N/A - LOT ONLY</v>
          </cell>
          <cell r="BG58">
            <v>2500000</v>
          </cell>
          <cell r="BH58">
            <v>1765000</v>
          </cell>
          <cell r="BI58">
            <v>100000</v>
          </cell>
          <cell r="BJ58">
            <v>1665000</v>
          </cell>
          <cell r="BK58">
            <v>178392.85714285713</v>
          </cell>
          <cell r="BL58">
            <v>1486607.142857143</v>
          </cell>
        </row>
        <row r="59">
          <cell r="D59" t="str">
            <v>OS</v>
          </cell>
          <cell r="E59"/>
          <cell r="F59">
            <v>39</v>
          </cell>
          <cell r="G59" t="str">
            <v>SOLD</v>
          </cell>
          <cell r="H59" t="str">
            <v>OS</v>
          </cell>
          <cell r="I59" t="str">
            <v>OS</v>
          </cell>
          <cell r="J59" t="str">
            <v>OS</v>
          </cell>
          <cell r="K59" t="str">
            <v>OS</v>
          </cell>
          <cell r="L59" t="str">
            <v>OS</v>
          </cell>
          <cell r="M59" t="str">
            <v>OS</v>
          </cell>
          <cell r="N59" t="str">
            <v>OS</v>
          </cell>
          <cell r="O59" t="str">
            <v>OS</v>
          </cell>
          <cell r="P59" t="str">
            <v>OS</v>
          </cell>
          <cell r="Q59" t="str">
            <v>OS</v>
          </cell>
          <cell r="R59" t="str">
            <v>OS</v>
          </cell>
          <cell r="S59" t="str">
            <v>OS</v>
          </cell>
          <cell r="T59" t="str">
            <v>OS</v>
          </cell>
          <cell r="U59" t="str">
            <v>OS</v>
          </cell>
          <cell r="V59" t="str">
            <v>OS</v>
          </cell>
          <cell r="W59" t="str">
            <v>OS</v>
          </cell>
          <cell r="X59" t="str">
            <v>OS</v>
          </cell>
          <cell r="Y59" t="str">
            <v>OS</v>
          </cell>
          <cell r="Z59" t="str">
            <v>OS</v>
          </cell>
          <cell r="AA59" t="str">
            <v>OS</v>
          </cell>
          <cell r="AB59" t="str">
            <v>OS</v>
          </cell>
          <cell r="AC59" t="str">
            <v>OS</v>
          </cell>
          <cell r="AD59" t="str">
            <v>AGM-01-005-001</v>
          </cell>
          <cell r="AE59" t="str">
            <v xml:space="preserve">Raemulan Lands, Inc. </v>
          </cell>
          <cell r="AF59" t="str">
            <v>Agapeya</v>
          </cell>
          <cell r="AG59" t="str">
            <v>AGM</v>
          </cell>
          <cell r="AH59" t="str">
            <v>Eco-High</v>
          </cell>
          <cell r="AI59" t="str">
            <v>West</v>
          </cell>
          <cell r="AJ59" t="str">
            <v>With LTS</v>
          </cell>
          <cell r="AK59" t="str">
            <v>Unaffected lots</v>
          </cell>
          <cell r="AL59" t="str">
            <v>Unaffected lots</v>
          </cell>
          <cell r="AM59" t="b">
            <v>1</v>
          </cell>
          <cell r="AN59" t="str">
            <v>YES</v>
          </cell>
          <cell r="AO59" t="str">
            <v>B3 2025</v>
          </cell>
          <cell r="AP59">
            <v>95</v>
          </cell>
          <cell r="AQ59" t="str">
            <v>PCS-04-034407</v>
          </cell>
          <cell r="AR59" t="b">
            <v>1</v>
          </cell>
          <cell r="AS59" t="str">
            <v>Done</v>
          </cell>
          <cell r="AT59" t="str">
            <v>2025 - Batch 5</v>
          </cell>
          <cell r="AU59">
            <v>5</v>
          </cell>
          <cell r="AV59">
            <v>1</v>
          </cell>
          <cell r="AW59" t="str">
            <v>H+L</v>
          </cell>
          <cell r="AX59">
            <v>95</v>
          </cell>
          <cell r="AY59">
            <v>50</v>
          </cell>
          <cell r="AZ59" t="str">
            <v>Duplex</v>
          </cell>
          <cell r="BA59">
            <v>1</v>
          </cell>
          <cell r="BB59" t="str">
            <v>568 - Without Partition</v>
          </cell>
          <cell r="BC59" t="str">
            <v xml:space="preserve">Without Partition </v>
          </cell>
          <cell r="BD59" t="str">
            <v>Flat</v>
          </cell>
          <cell r="BE59" t="str">
            <v xml:space="preserve">Without Partition </v>
          </cell>
          <cell r="BF59" t="str">
            <v>GREEN</v>
          </cell>
          <cell r="BG59">
            <v>2875000</v>
          </cell>
          <cell r="BH59">
            <v>3025000</v>
          </cell>
          <cell r="BI59">
            <v>100000</v>
          </cell>
          <cell r="BJ59">
            <v>2925000</v>
          </cell>
          <cell r="BK59">
            <v>0</v>
          </cell>
          <cell r="BL59">
            <v>2925000</v>
          </cell>
        </row>
        <row r="60">
          <cell r="D60" t="str">
            <v>OS</v>
          </cell>
          <cell r="E60"/>
          <cell r="F60">
            <v>40</v>
          </cell>
          <cell r="G60" t="str">
            <v>SOLD</v>
          </cell>
          <cell r="H60" t="str">
            <v>OS</v>
          </cell>
          <cell r="I60" t="str">
            <v>OS</v>
          </cell>
          <cell r="J60" t="str">
            <v>OS</v>
          </cell>
          <cell r="K60" t="str">
            <v>OS</v>
          </cell>
          <cell r="L60" t="str">
            <v>OS</v>
          </cell>
          <cell r="M60" t="str">
            <v>OS</v>
          </cell>
          <cell r="N60" t="str">
            <v>OS</v>
          </cell>
          <cell r="O60" t="str">
            <v>OS</v>
          </cell>
          <cell r="P60" t="str">
            <v>OS</v>
          </cell>
          <cell r="Q60" t="str">
            <v>OS</v>
          </cell>
          <cell r="R60" t="str">
            <v>OS</v>
          </cell>
          <cell r="S60" t="str">
            <v>OS</v>
          </cell>
          <cell r="T60" t="str">
            <v>OS</v>
          </cell>
          <cell r="U60" t="str">
            <v>OS</v>
          </cell>
          <cell r="V60" t="str">
            <v>OS</v>
          </cell>
          <cell r="W60" t="str">
            <v>OS</v>
          </cell>
          <cell r="X60" t="str">
            <v>OS</v>
          </cell>
          <cell r="Y60" t="str">
            <v>OS</v>
          </cell>
          <cell r="Z60" t="str">
            <v>OS</v>
          </cell>
          <cell r="AA60" t="str">
            <v>OS</v>
          </cell>
          <cell r="AB60" t="str">
            <v>OS</v>
          </cell>
          <cell r="AC60" t="str">
            <v>OS</v>
          </cell>
          <cell r="AD60" t="str">
            <v>AGM-01-005-002</v>
          </cell>
          <cell r="AE60" t="str">
            <v xml:space="preserve">Raemulan Lands, Inc. </v>
          </cell>
          <cell r="AF60" t="str">
            <v>Agapeya</v>
          </cell>
          <cell r="AG60" t="str">
            <v>AGM</v>
          </cell>
          <cell r="AH60" t="str">
            <v>Eco-High</v>
          </cell>
          <cell r="AI60" t="str">
            <v>West</v>
          </cell>
          <cell r="AJ60" t="str">
            <v>With LTS</v>
          </cell>
          <cell r="AK60" t="str">
            <v>Unaffected lots</v>
          </cell>
          <cell r="AL60" t="str">
            <v>Unaffected lots</v>
          </cell>
          <cell r="AM60" t="b">
            <v>1</v>
          </cell>
          <cell r="AN60" t="str">
            <v>YES</v>
          </cell>
          <cell r="AO60" t="str">
            <v>B3 2025</v>
          </cell>
          <cell r="AP60">
            <v>80</v>
          </cell>
          <cell r="AQ60" t="str">
            <v>PCS-04-034407</v>
          </cell>
          <cell r="AR60" t="b">
            <v>1</v>
          </cell>
          <cell r="AS60" t="str">
            <v xml:space="preserve">Done </v>
          </cell>
          <cell r="AT60" t="str">
            <v>2025 - Batch 5</v>
          </cell>
          <cell r="AU60">
            <v>5</v>
          </cell>
          <cell r="AV60">
            <v>2</v>
          </cell>
          <cell r="AW60" t="str">
            <v>H+L</v>
          </cell>
          <cell r="AX60">
            <v>80</v>
          </cell>
          <cell r="AY60">
            <v>50</v>
          </cell>
          <cell r="AZ60" t="str">
            <v>Duplex</v>
          </cell>
          <cell r="BA60">
            <v>1</v>
          </cell>
          <cell r="BB60" t="str">
            <v>568 - Without Partition</v>
          </cell>
          <cell r="BC60" t="str">
            <v xml:space="preserve">Without Partition </v>
          </cell>
          <cell r="BD60" t="str">
            <v>Slant</v>
          </cell>
          <cell r="BE60" t="str">
            <v xml:space="preserve">Without Partition </v>
          </cell>
          <cell r="BF60" t="str">
            <v>GREEN</v>
          </cell>
          <cell r="BG60">
            <v>2650000</v>
          </cell>
          <cell r="BH60">
            <v>2800000</v>
          </cell>
          <cell r="BI60">
            <v>100000</v>
          </cell>
          <cell r="BJ60">
            <v>2700000</v>
          </cell>
          <cell r="BK60">
            <v>0</v>
          </cell>
          <cell r="BL60">
            <v>2700000</v>
          </cell>
        </row>
        <row r="61">
          <cell r="D61" t="str">
            <v>OS</v>
          </cell>
          <cell r="E61"/>
          <cell r="F61">
            <v>41</v>
          </cell>
          <cell r="G61" t="str">
            <v>CLOSED</v>
          </cell>
          <cell r="H61" t="str">
            <v>OPEN</v>
          </cell>
          <cell r="I61" t="str">
            <v>OPEN</v>
          </cell>
          <cell r="J61" t="str">
            <v>OPEN</v>
          </cell>
          <cell r="K61" t="str">
            <v>TS</v>
          </cell>
          <cell r="L61" t="str">
            <v>TS</v>
          </cell>
          <cell r="M61" t="str">
            <v>OS</v>
          </cell>
          <cell r="N61" t="str">
            <v>TS</v>
          </cell>
          <cell r="O61" t="str">
            <v>TS</v>
          </cell>
          <cell r="P61" t="str">
            <v>OS</v>
          </cell>
          <cell r="Q61" t="str">
            <v>OS</v>
          </cell>
          <cell r="R61" t="str">
            <v>OS</v>
          </cell>
          <cell r="S61" t="str">
            <v>OS</v>
          </cell>
          <cell r="T61" t="str">
            <v>OS</v>
          </cell>
          <cell r="U61" t="str">
            <v>OS</v>
          </cell>
          <cell r="V61" t="str">
            <v>OS</v>
          </cell>
          <cell r="W61" t="str">
            <v>OS</v>
          </cell>
          <cell r="X61" t="str">
            <v>OS</v>
          </cell>
          <cell r="Y61" t="str">
            <v>OS</v>
          </cell>
          <cell r="Z61" t="str">
            <v>OS</v>
          </cell>
          <cell r="AA61" t="str">
            <v>OS</v>
          </cell>
          <cell r="AB61" t="str">
            <v>OS</v>
          </cell>
          <cell r="AC61" t="str">
            <v>OS</v>
          </cell>
          <cell r="AD61" t="str">
            <v>AGM-01-005-003</v>
          </cell>
          <cell r="AE61" t="str">
            <v xml:space="preserve">Raemulan Lands, Inc. </v>
          </cell>
          <cell r="AF61" t="str">
            <v>Agapeya</v>
          </cell>
          <cell r="AG61" t="str">
            <v>AGM</v>
          </cell>
          <cell r="AH61" t="str">
            <v>Eco-High</v>
          </cell>
          <cell r="AI61" t="str">
            <v>West</v>
          </cell>
          <cell r="AJ61" t="str">
            <v>With LTS</v>
          </cell>
          <cell r="AK61" t="str">
            <v>Unaffected lots</v>
          </cell>
          <cell r="AL61" t="str">
            <v>Unaffected lots</v>
          </cell>
          <cell r="AM61" t="b">
            <v>1</v>
          </cell>
          <cell r="AN61" t="str">
            <v>YES</v>
          </cell>
          <cell r="AO61" t="str">
            <v>B3 2025</v>
          </cell>
          <cell r="AP61">
            <v>80</v>
          </cell>
          <cell r="AQ61" t="str">
            <v>PCS-04-034407</v>
          </cell>
          <cell r="AR61" t="b">
            <v>1</v>
          </cell>
          <cell r="AS61" t="str">
            <v>Done</v>
          </cell>
          <cell r="AT61" t="str">
            <v>2025 - Batch 6</v>
          </cell>
          <cell r="AU61">
            <v>5</v>
          </cell>
          <cell r="AV61">
            <v>3</v>
          </cell>
          <cell r="AW61" t="str">
            <v>H+L</v>
          </cell>
          <cell r="AX61">
            <v>80</v>
          </cell>
          <cell r="AY61">
            <v>50</v>
          </cell>
          <cell r="AZ61" t="str">
            <v>Duplex</v>
          </cell>
          <cell r="BA61">
            <v>1</v>
          </cell>
          <cell r="BB61" t="str">
            <v>568 - Without Partition</v>
          </cell>
          <cell r="BC61" t="str">
            <v xml:space="preserve">Without Partition </v>
          </cell>
          <cell r="BD61" t="str">
            <v>Slant</v>
          </cell>
          <cell r="BE61" t="str">
            <v xml:space="preserve">Without Partition </v>
          </cell>
          <cell r="BF61" t="str">
            <v>GREEN</v>
          </cell>
          <cell r="BG61">
            <v>2500000</v>
          </cell>
          <cell r="BH61">
            <v>2800000</v>
          </cell>
          <cell r="BI61">
            <v>100000</v>
          </cell>
          <cell r="BJ61">
            <v>2700000</v>
          </cell>
          <cell r="BK61">
            <v>0</v>
          </cell>
          <cell r="BL61">
            <v>2700000</v>
          </cell>
        </row>
        <row r="62">
          <cell r="D62" t="str">
            <v>OS</v>
          </cell>
          <cell r="E62"/>
          <cell r="F62">
            <v>42</v>
          </cell>
          <cell r="G62" t="str">
            <v>CLOSED</v>
          </cell>
          <cell r="H62" t="str">
            <v>OPEN</v>
          </cell>
          <cell r="I62" t="str">
            <v>TS</v>
          </cell>
          <cell r="J62" t="str">
            <v>TS</v>
          </cell>
          <cell r="K62" t="str">
            <v>TS</v>
          </cell>
          <cell r="L62" t="str">
            <v>TS</v>
          </cell>
          <cell r="M62" t="str">
            <v>TS</v>
          </cell>
          <cell r="N62" t="str">
            <v>OS</v>
          </cell>
          <cell r="O62" t="str">
            <v>OS</v>
          </cell>
          <cell r="P62" t="str">
            <v>OS</v>
          </cell>
          <cell r="Q62" t="str">
            <v>OS</v>
          </cell>
          <cell r="R62" t="str">
            <v>OS</v>
          </cell>
          <cell r="S62" t="str">
            <v>OS</v>
          </cell>
          <cell r="T62" t="str">
            <v>OS</v>
          </cell>
          <cell r="U62" t="str">
            <v>OS</v>
          </cell>
          <cell r="V62" t="str">
            <v>OS</v>
          </cell>
          <cell r="W62" t="str">
            <v>OS</v>
          </cell>
          <cell r="X62" t="str">
            <v>OS</v>
          </cell>
          <cell r="Y62" t="str">
            <v>OS</v>
          </cell>
          <cell r="Z62" t="str">
            <v>OS</v>
          </cell>
          <cell r="AA62" t="str">
            <v>OS</v>
          </cell>
          <cell r="AB62" t="str">
            <v>OS</v>
          </cell>
          <cell r="AC62" t="str">
            <v>OS</v>
          </cell>
          <cell r="AD62" t="str">
            <v>AGM-01-005-004</v>
          </cell>
          <cell r="AE62" t="str">
            <v xml:space="preserve">Raemulan Lands, Inc. </v>
          </cell>
          <cell r="AF62" t="str">
            <v>Agapeya</v>
          </cell>
          <cell r="AG62" t="str">
            <v>AGM</v>
          </cell>
          <cell r="AH62" t="str">
            <v>Eco-High</v>
          </cell>
          <cell r="AI62" t="str">
            <v>West</v>
          </cell>
          <cell r="AJ62" t="str">
            <v>With LTS</v>
          </cell>
          <cell r="AK62" t="str">
            <v>Unaffected lots</v>
          </cell>
          <cell r="AL62" t="str">
            <v>Unaffected lots</v>
          </cell>
          <cell r="AM62" t="b">
            <v>1</v>
          </cell>
          <cell r="AN62" t="str">
            <v>YES</v>
          </cell>
          <cell r="AO62" t="str">
            <v>B3 2025</v>
          </cell>
          <cell r="AP62">
            <v>70</v>
          </cell>
          <cell r="AQ62" t="str">
            <v>PCS-04-034407</v>
          </cell>
          <cell r="AR62" t="b">
            <v>1</v>
          </cell>
          <cell r="AS62" t="str">
            <v>Done</v>
          </cell>
          <cell r="AT62" t="str">
            <v>2025 - Batch 6</v>
          </cell>
          <cell r="AU62">
            <v>5</v>
          </cell>
          <cell r="AV62">
            <v>4</v>
          </cell>
          <cell r="AW62" t="str">
            <v>H+L</v>
          </cell>
          <cell r="AX62">
            <v>70</v>
          </cell>
          <cell r="AY62">
            <v>50</v>
          </cell>
          <cell r="AZ62" t="str">
            <v>Duplex</v>
          </cell>
          <cell r="BA62">
            <v>1</v>
          </cell>
          <cell r="BB62" t="str">
            <v>568 - Without Partition</v>
          </cell>
          <cell r="BC62" t="str">
            <v xml:space="preserve">Without Partition </v>
          </cell>
          <cell r="BD62" t="str">
            <v>Flat</v>
          </cell>
          <cell r="BE62" t="str">
            <v xml:space="preserve">Without Partition </v>
          </cell>
          <cell r="BF62" t="str">
            <v>GREEN</v>
          </cell>
          <cell r="BG62">
            <v>2500000</v>
          </cell>
          <cell r="BH62">
            <v>2650000</v>
          </cell>
          <cell r="BI62">
            <v>100000</v>
          </cell>
          <cell r="BJ62">
            <v>2550000</v>
          </cell>
          <cell r="BK62">
            <v>0</v>
          </cell>
          <cell r="BL62">
            <v>2550000</v>
          </cell>
        </row>
        <row r="63">
          <cell r="D63" t="str">
            <v>OS</v>
          </cell>
          <cell r="E63"/>
          <cell r="F63">
            <v>43</v>
          </cell>
          <cell r="G63" t="str">
            <v>CLOSED</v>
          </cell>
          <cell r="H63" t="str">
            <v>TS</v>
          </cell>
          <cell r="I63" t="str">
            <v>TS</v>
          </cell>
          <cell r="J63" t="str">
            <v>OS</v>
          </cell>
          <cell r="K63" t="str">
            <v>OS</v>
          </cell>
          <cell r="L63" t="str">
            <v>OS</v>
          </cell>
          <cell r="M63" t="str">
            <v>OS</v>
          </cell>
          <cell r="N63" t="str">
            <v>OS</v>
          </cell>
          <cell r="O63" t="str">
            <v>OS</v>
          </cell>
          <cell r="P63" t="str">
            <v>OS</v>
          </cell>
          <cell r="Q63" t="str">
            <v>OS</v>
          </cell>
          <cell r="R63" t="str">
            <v>OS</v>
          </cell>
          <cell r="S63" t="str">
            <v>OS</v>
          </cell>
          <cell r="T63" t="str">
            <v>OS</v>
          </cell>
          <cell r="U63" t="str">
            <v>OS</v>
          </cell>
          <cell r="V63" t="str">
            <v>OS</v>
          </cell>
          <cell r="W63" t="str">
            <v>OS</v>
          </cell>
          <cell r="X63" t="str">
            <v>OS</v>
          </cell>
          <cell r="Y63" t="str">
            <v>OS</v>
          </cell>
          <cell r="Z63" t="str">
            <v>OS</v>
          </cell>
          <cell r="AA63" t="str">
            <v>OS</v>
          </cell>
          <cell r="AB63" t="str">
            <v>OS</v>
          </cell>
          <cell r="AC63" t="str">
            <v>OS</v>
          </cell>
          <cell r="AD63" t="str">
            <v>AGM-01-005-005</v>
          </cell>
          <cell r="AE63" t="str">
            <v xml:space="preserve">Raemulan Lands, Inc. </v>
          </cell>
          <cell r="AF63" t="str">
            <v>Agapeya</v>
          </cell>
          <cell r="AG63" t="str">
            <v>AGM</v>
          </cell>
          <cell r="AH63" t="str">
            <v>Eco-High</v>
          </cell>
          <cell r="AI63" t="str">
            <v>West</v>
          </cell>
          <cell r="AJ63" t="str">
            <v>With LTS</v>
          </cell>
          <cell r="AK63" t="str">
            <v>Unaffected lots</v>
          </cell>
          <cell r="AL63" t="str">
            <v>Unaffected lots</v>
          </cell>
          <cell r="AM63" t="b">
            <v>1</v>
          </cell>
          <cell r="AN63" t="str">
            <v>YES</v>
          </cell>
          <cell r="AO63" t="str">
            <v>B3 2025</v>
          </cell>
          <cell r="AP63">
            <v>70</v>
          </cell>
          <cell r="AQ63" t="str">
            <v>PCS-04-034407</v>
          </cell>
          <cell r="AR63" t="b">
            <v>1</v>
          </cell>
          <cell r="AS63" t="str">
            <v>Done</v>
          </cell>
          <cell r="AT63" t="str">
            <v>2025 - Batch 6</v>
          </cell>
          <cell r="AU63">
            <v>5</v>
          </cell>
          <cell r="AV63">
            <v>5</v>
          </cell>
          <cell r="AW63" t="str">
            <v>H+L</v>
          </cell>
          <cell r="AX63">
            <v>70</v>
          </cell>
          <cell r="AY63">
            <v>50</v>
          </cell>
          <cell r="AZ63" t="str">
            <v>Duplex</v>
          </cell>
          <cell r="BA63">
            <v>1</v>
          </cell>
          <cell r="BB63" t="str">
            <v>568 - Without Partition</v>
          </cell>
          <cell r="BC63" t="str">
            <v xml:space="preserve">Without Partition </v>
          </cell>
          <cell r="BD63" t="str">
            <v>Flat</v>
          </cell>
          <cell r="BE63" t="str">
            <v xml:space="preserve">Without Partition </v>
          </cell>
          <cell r="BF63" t="str">
            <v>PINK</v>
          </cell>
          <cell r="BG63">
            <v>2500000</v>
          </cell>
          <cell r="BH63">
            <v>2650000</v>
          </cell>
          <cell r="BI63">
            <v>100000</v>
          </cell>
          <cell r="BJ63">
            <v>2550000</v>
          </cell>
          <cell r="BK63">
            <v>0</v>
          </cell>
          <cell r="BL63">
            <v>2550000</v>
          </cell>
        </row>
        <row r="64">
          <cell r="D64" t="str">
            <v>OS</v>
          </cell>
          <cell r="E64"/>
          <cell r="F64">
            <v>44</v>
          </cell>
          <cell r="G64" t="str">
            <v>CLOSED</v>
          </cell>
          <cell r="H64" t="str">
            <v>TS</v>
          </cell>
          <cell r="I64" t="str">
            <v>TS</v>
          </cell>
          <cell r="J64" t="str">
            <v>TS</v>
          </cell>
          <cell r="K64" t="str">
            <v>TS</v>
          </cell>
          <cell r="L64" t="str">
            <v>TS</v>
          </cell>
          <cell r="M64" t="str">
            <v>TS</v>
          </cell>
          <cell r="N64" t="str">
            <v>TS</v>
          </cell>
          <cell r="O64" t="str">
            <v>TS</v>
          </cell>
          <cell r="P64" t="str">
            <v>OS</v>
          </cell>
          <cell r="Q64" t="str">
            <v>OS</v>
          </cell>
          <cell r="R64" t="str">
            <v>OS</v>
          </cell>
          <cell r="S64" t="str">
            <v>OS</v>
          </cell>
          <cell r="T64" t="str">
            <v>OS</v>
          </cell>
          <cell r="U64" t="str">
            <v>OS</v>
          </cell>
          <cell r="V64" t="str">
            <v>OS</v>
          </cell>
          <cell r="W64" t="str">
            <v>OS</v>
          </cell>
          <cell r="X64" t="str">
            <v>OS</v>
          </cell>
          <cell r="Y64" t="str">
            <v>OS</v>
          </cell>
          <cell r="Z64" t="str">
            <v>OS</v>
          </cell>
          <cell r="AA64" t="str">
            <v>OS</v>
          </cell>
          <cell r="AB64" t="str">
            <v>OS</v>
          </cell>
          <cell r="AC64" t="str">
            <v>OS</v>
          </cell>
          <cell r="AD64" t="str">
            <v>AGM-01-005-006</v>
          </cell>
          <cell r="AE64" t="str">
            <v xml:space="preserve">Raemulan Lands, Inc. </v>
          </cell>
          <cell r="AF64" t="str">
            <v>Agapeya</v>
          </cell>
          <cell r="AG64" t="str">
            <v>AGM</v>
          </cell>
          <cell r="AH64" t="str">
            <v>Eco-High</v>
          </cell>
          <cell r="AI64" t="str">
            <v>West</v>
          </cell>
          <cell r="AJ64" t="str">
            <v>With LTS</v>
          </cell>
          <cell r="AK64" t="str">
            <v>Unaffected lots</v>
          </cell>
          <cell r="AL64" t="str">
            <v>Unaffected lots</v>
          </cell>
          <cell r="AM64" t="b">
            <v>1</v>
          </cell>
          <cell r="AN64" t="str">
            <v>YES</v>
          </cell>
          <cell r="AO64" t="str">
            <v>B3 2025</v>
          </cell>
          <cell r="AP64">
            <v>70</v>
          </cell>
          <cell r="AQ64" t="str">
            <v>PCS-04-034407</v>
          </cell>
          <cell r="AR64" t="b">
            <v>1</v>
          </cell>
          <cell r="AS64" t="str">
            <v>Done</v>
          </cell>
          <cell r="AT64" t="str">
            <v>2025 - Batch 6</v>
          </cell>
          <cell r="AU64">
            <v>5</v>
          </cell>
          <cell r="AV64">
            <v>6</v>
          </cell>
          <cell r="AW64" t="str">
            <v>H+L</v>
          </cell>
          <cell r="AX64">
            <v>70</v>
          </cell>
          <cell r="AY64">
            <v>50</v>
          </cell>
          <cell r="AZ64" t="str">
            <v>Duplex</v>
          </cell>
          <cell r="BA64">
            <v>1</v>
          </cell>
          <cell r="BB64" t="str">
            <v>568 - Without Partition</v>
          </cell>
          <cell r="BC64" t="str">
            <v xml:space="preserve">Without Partition </v>
          </cell>
          <cell r="BD64" t="str">
            <v>Slant</v>
          </cell>
          <cell r="BE64" t="str">
            <v xml:space="preserve">Without Partition </v>
          </cell>
          <cell r="BF64" t="str">
            <v>PINK</v>
          </cell>
          <cell r="BG64">
            <v>2500000</v>
          </cell>
          <cell r="BH64">
            <v>2650000</v>
          </cell>
          <cell r="BI64">
            <v>100000</v>
          </cell>
          <cell r="BJ64">
            <v>2550000</v>
          </cell>
          <cell r="BK64">
            <v>0</v>
          </cell>
          <cell r="BL64">
            <v>2550000</v>
          </cell>
        </row>
        <row r="65">
          <cell r="D65" t="str">
            <v>OS</v>
          </cell>
          <cell r="E65"/>
          <cell r="F65">
            <v>45</v>
          </cell>
          <cell r="G65" t="str">
            <v>CLOSED</v>
          </cell>
          <cell r="H65" t="str">
            <v>TS</v>
          </cell>
          <cell r="I65" t="str">
            <v>TS</v>
          </cell>
          <cell r="J65" t="str">
            <v>TS</v>
          </cell>
          <cell r="K65" t="str">
            <v>TS</v>
          </cell>
          <cell r="L65" t="str">
            <v>TS</v>
          </cell>
          <cell r="M65" t="str">
            <v>TS</v>
          </cell>
          <cell r="N65" t="str">
            <v>OS</v>
          </cell>
          <cell r="O65" t="str">
            <v>OS</v>
          </cell>
          <cell r="P65" t="str">
            <v>OS</v>
          </cell>
          <cell r="Q65" t="str">
            <v>OS</v>
          </cell>
          <cell r="R65" t="str">
            <v>OS</v>
          </cell>
          <cell r="S65" t="str">
            <v>OS</v>
          </cell>
          <cell r="T65" t="str">
            <v>OS</v>
          </cell>
          <cell r="U65" t="str">
            <v>OS</v>
          </cell>
          <cell r="V65" t="str">
            <v>OS</v>
          </cell>
          <cell r="W65" t="str">
            <v>OS</v>
          </cell>
          <cell r="X65" t="str">
            <v>OS</v>
          </cell>
          <cell r="Y65" t="str">
            <v>OS</v>
          </cell>
          <cell r="Z65" t="str">
            <v>OS</v>
          </cell>
          <cell r="AA65" t="str">
            <v>OS</v>
          </cell>
          <cell r="AB65" t="str">
            <v>OS</v>
          </cell>
          <cell r="AC65" t="str">
            <v>OS</v>
          </cell>
          <cell r="AD65" t="str">
            <v>AGM-01-005-007</v>
          </cell>
          <cell r="AE65" t="str">
            <v xml:space="preserve">Raemulan Lands, Inc. </v>
          </cell>
          <cell r="AF65" t="str">
            <v>Agapeya</v>
          </cell>
          <cell r="AG65" t="str">
            <v>AGM</v>
          </cell>
          <cell r="AH65" t="str">
            <v>Eco-High</v>
          </cell>
          <cell r="AI65" t="str">
            <v>West</v>
          </cell>
          <cell r="AJ65" t="str">
            <v>With LTS</v>
          </cell>
          <cell r="AK65" t="str">
            <v>Unaffected lots</v>
          </cell>
          <cell r="AL65" t="str">
            <v>Unaffected lots</v>
          </cell>
          <cell r="AM65" t="b">
            <v>1</v>
          </cell>
          <cell r="AN65" t="str">
            <v>YES</v>
          </cell>
          <cell r="AO65" t="str">
            <v>B3 2025</v>
          </cell>
          <cell r="AP65">
            <v>70</v>
          </cell>
          <cell r="AQ65" t="str">
            <v>PCS-04-034407</v>
          </cell>
          <cell r="AR65" t="b">
            <v>1</v>
          </cell>
          <cell r="AS65" t="str">
            <v>Done</v>
          </cell>
          <cell r="AT65" t="str">
            <v>2025 - Batch 6</v>
          </cell>
          <cell r="AU65">
            <v>5</v>
          </cell>
          <cell r="AV65">
            <v>7</v>
          </cell>
          <cell r="AW65" t="str">
            <v>H+L</v>
          </cell>
          <cell r="AX65">
            <v>70</v>
          </cell>
          <cell r="AY65">
            <v>50</v>
          </cell>
          <cell r="AZ65" t="str">
            <v>Duplex</v>
          </cell>
          <cell r="BA65">
            <v>1</v>
          </cell>
          <cell r="BB65" t="str">
            <v>568 - Without Partition</v>
          </cell>
          <cell r="BC65" t="str">
            <v xml:space="preserve">Without Partition </v>
          </cell>
          <cell r="BD65" t="str">
            <v>Slant</v>
          </cell>
          <cell r="BE65" t="str">
            <v xml:space="preserve">Without Partition </v>
          </cell>
          <cell r="BF65" t="str">
            <v>PINK</v>
          </cell>
          <cell r="BG65">
            <v>2500000</v>
          </cell>
          <cell r="BH65">
            <v>2650000</v>
          </cell>
          <cell r="BI65">
            <v>100000</v>
          </cell>
          <cell r="BJ65">
            <v>2550000</v>
          </cell>
          <cell r="BK65">
            <v>0</v>
          </cell>
          <cell r="BL65">
            <v>2550000</v>
          </cell>
        </row>
        <row r="66">
          <cell r="D66" t="str">
            <v>OS</v>
          </cell>
          <cell r="E66"/>
          <cell r="F66">
            <v>46</v>
          </cell>
          <cell r="G66" t="str">
            <v>SOLD</v>
          </cell>
          <cell r="H66" t="str">
            <v>OS</v>
          </cell>
          <cell r="I66" t="str">
            <v>OS</v>
          </cell>
          <cell r="J66" t="str">
            <v>OS</v>
          </cell>
          <cell r="K66" t="str">
            <v>OS</v>
          </cell>
          <cell r="L66" t="str">
            <v>OS</v>
          </cell>
          <cell r="M66" t="str">
            <v>OS</v>
          </cell>
          <cell r="N66" t="str">
            <v>OS</v>
          </cell>
          <cell r="O66" t="str">
            <v>OS</v>
          </cell>
          <cell r="P66" t="str">
            <v>OS</v>
          </cell>
          <cell r="Q66" t="str">
            <v>OS</v>
          </cell>
          <cell r="R66" t="str">
            <v>OS</v>
          </cell>
          <cell r="S66" t="str">
            <v>OS</v>
          </cell>
          <cell r="T66" t="str">
            <v>OS</v>
          </cell>
          <cell r="U66" t="str">
            <v>OS</v>
          </cell>
          <cell r="V66" t="str">
            <v>OS</v>
          </cell>
          <cell r="W66" t="str">
            <v>OS</v>
          </cell>
          <cell r="X66" t="str">
            <v>OS</v>
          </cell>
          <cell r="Y66" t="str">
            <v>OS</v>
          </cell>
          <cell r="Z66" t="str">
            <v>OS</v>
          </cell>
          <cell r="AA66" t="str">
            <v>OS</v>
          </cell>
          <cell r="AB66" t="str">
            <v>OS</v>
          </cell>
          <cell r="AC66" t="str">
            <v>OS</v>
          </cell>
          <cell r="AD66" t="str">
            <v>AGM-01-005-008</v>
          </cell>
          <cell r="AE66" t="str">
            <v xml:space="preserve">Raemulan Lands, Inc. </v>
          </cell>
          <cell r="AF66" t="str">
            <v>Agapeya</v>
          </cell>
          <cell r="AG66" t="str">
            <v>AGM</v>
          </cell>
          <cell r="AH66" t="str">
            <v>Eco-High</v>
          </cell>
          <cell r="AI66" t="str">
            <v>West</v>
          </cell>
          <cell r="AJ66" t="str">
            <v>With LTS</v>
          </cell>
          <cell r="AK66" t="str">
            <v>Unaffected lots</v>
          </cell>
          <cell r="AL66" t="str">
            <v>Unaffected lots</v>
          </cell>
          <cell r="AM66" t="b">
            <v>1</v>
          </cell>
          <cell r="AN66" t="str">
            <v>YES</v>
          </cell>
          <cell r="AO66" t="str">
            <v>B3 2025</v>
          </cell>
          <cell r="AP66">
            <v>70</v>
          </cell>
          <cell r="AQ66" t="str">
            <v>PCS-04-034407</v>
          </cell>
          <cell r="AR66" t="b">
            <v>1</v>
          </cell>
          <cell r="AS66" t="str">
            <v>Done</v>
          </cell>
          <cell r="AT66" t="str">
            <v>2025 - Batch 6</v>
          </cell>
          <cell r="AU66">
            <v>5</v>
          </cell>
          <cell r="AV66">
            <v>8</v>
          </cell>
          <cell r="AW66" t="str">
            <v>H+L</v>
          </cell>
          <cell r="AX66">
            <v>70</v>
          </cell>
          <cell r="AY66">
            <v>50</v>
          </cell>
          <cell r="AZ66" t="str">
            <v>Duplex</v>
          </cell>
          <cell r="BA66">
            <v>1</v>
          </cell>
          <cell r="BB66" t="str">
            <v>568 - Without Partition</v>
          </cell>
          <cell r="BC66" t="str">
            <v xml:space="preserve">Without Partition </v>
          </cell>
          <cell r="BD66" t="str">
            <v>Flat</v>
          </cell>
          <cell r="BE66" t="str">
            <v xml:space="preserve">Without Partition </v>
          </cell>
          <cell r="BF66" t="str">
            <v>PINK</v>
          </cell>
          <cell r="BG66">
            <v>2500000</v>
          </cell>
          <cell r="BH66">
            <v>2650000</v>
          </cell>
          <cell r="BI66">
            <v>100000</v>
          </cell>
          <cell r="BJ66">
            <v>2550000</v>
          </cell>
          <cell r="BK66">
            <v>0</v>
          </cell>
          <cell r="BL66">
            <v>2550000</v>
          </cell>
        </row>
        <row r="67">
          <cell r="D67" t="str">
            <v>OS</v>
          </cell>
          <cell r="E67"/>
          <cell r="F67">
            <v>47</v>
          </cell>
          <cell r="G67" t="str">
            <v>SOLD</v>
          </cell>
          <cell r="H67" t="str">
            <v>OS</v>
          </cell>
          <cell r="I67" t="str">
            <v>OS</v>
          </cell>
          <cell r="J67" t="str">
            <v>OS</v>
          </cell>
          <cell r="K67" t="str">
            <v>OS</v>
          </cell>
          <cell r="L67" t="str">
            <v>TS</v>
          </cell>
          <cell r="M67" t="str">
            <v>OS</v>
          </cell>
          <cell r="N67" t="str">
            <v>OS</v>
          </cell>
          <cell r="O67" t="str">
            <v>OS</v>
          </cell>
          <cell r="P67" t="str">
            <v>OS</v>
          </cell>
          <cell r="Q67" t="str">
            <v>OS</v>
          </cell>
          <cell r="R67" t="str">
            <v>OS</v>
          </cell>
          <cell r="S67" t="str">
            <v>OS</v>
          </cell>
          <cell r="T67" t="str">
            <v>OS</v>
          </cell>
          <cell r="U67" t="str">
            <v>OS</v>
          </cell>
          <cell r="V67" t="str">
            <v>OS</v>
          </cell>
          <cell r="W67" t="str">
            <v>OS</v>
          </cell>
          <cell r="X67" t="str">
            <v>OS</v>
          </cell>
          <cell r="Y67" t="str">
            <v>OS</v>
          </cell>
          <cell r="Z67" t="str">
            <v>OS</v>
          </cell>
          <cell r="AA67" t="str">
            <v>OS</v>
          </cell>
          <cell r="AB67" t="str">
            <v>OS</v>
          </cell>
          <cell r="AC67" t="str">
            <v>OS</v>
          </cell>
          <cell r="AD67" t="str">
            <v>AGM-01-005-009</v>
          </cell>
          <cell r="AE67" t="str">
            <v xml:space="preserve">Raemulan Lands, Inc. </v>
          </cell>
          <cell r="AF67" t="str">
            <v>Agapeya</v>
          </cell>
          <cell r="AG67" t="str">
            <v>AGM</v>
          </cell>
          <cell r="AH67" t="str">
            <v>Eco-High</v>
          </cell>
          <cell r="AI67" t="str">
            <v>West</v>
          </cell>
          <cell r="AJ67" t="str">
            <v>With LTS</v>
          </cell>
          <cell r="AK67" t="str">
            <v>Unaffected lots</v>
          </cell>
          <cell r="AL67" t="str">
            <v>Unaffected lots</v>
          </cell>
          <cell r="AM67" t="b">
            <v>1</v>
          </cell>
          <cell r="AN67" t="str">
            <v>YES</v>
          </cell>
          <cell r="AO67" t="str">
            <v>B3 2025</v>
          </cell>
          <cell r="AP67">
            <v>70</v>
          </cell>
          <cell r="AQ67" t="str">
            <v>PCS-04-034407</v>
          </cell>
          <cell r="AR67" t="b">
            <v>1</v>
          </cell>
          <cell r="AS67" t="str">
            <v>Done</v>
          </cell>
          <cell r="AT67" t="str">
            <v>2025 - Batch 6</v>
          </cell>
          <cell r="AU67">
            <v>5</v>
          </cell>
          <cell r="AV67">
            <v>9</v>
          </cell>
          <cell r="AW67" t="str">
            <v>H+L</v>
          </cell>
          <cell r="AX67">
            <v>70</v>
          </cell>
          <cell r="AY67">
            <v>50</v>
          </cell>
          <cell r="AZ67" t="str">
            <v>Duplex</v>
          </cell>
          <cell r="BA67">
            <v>1</v>
          </cell>
          <cell r="BB67" t="str">
            <v>568 - Without Partition</v>
          </cell>
          <cell r="BC67" t="str">
            <v xml:space="preserve">Without Partition </v>
          </cell>
          <cell r="BD67" t="str">
            <v>Flat</v>
          </cell>
          <cell r="BE67" t="str">
            <v xml:space="preserve">Without Partition </v>
          </cell>
          <cell r="BF67" t="str">
            <v>PURPLE</v>
          </cell>
          <cell r="BG67">
            <v>2500000</v>
          </cell>
          <cell r="BH67">
            <v>2650000</v>
          </cell>
          <cell r="BI67">
            <v>100000</v>
          </cell>
          <cell r="BJ67">
            <v>2550000</v>
          </cell>
          <cell r="BK67">
            <v>0</v>
          </cell>
          <cell r="BL67">
            <v>2550000</v>
          </cell>
        </row>
        <row r="68">
          <cell r="D68" t="str">
            <v>OS</v>
          </cell>
          <cell r="E68"/>
          <cell r="F68">
            <v>48</v>
          </cell>
          <cell r="G68" t="str">
            <v>CLOSED</v>
          </cell>
          <cell r="H68" t="str">
            <v>TS</v>
          </cell>
          <cell r="I68" t="str">
            <v>TS</v>
          </cell>
          <cell r="J68" t="str">
            <v>TS</v>
          </cell>
          <cell r="K68" t="str">
            <v>TS</v>
          </cell>
          <cell r="L68" t="str">
            <v>TS</v>
          </cell>
          <cell r="M68" t="str">
            <v>TS</v>
          </cell>
          <cell r="N68" t="str">
            <v>OS</v>
          </cell>
          <cell r="O68" t="str">
            <v>OS</v>
          </cell>
          <cell r="P68" t="str">
            <v>OS</v>
          </cell>
          <cell r="Q68" t="str">
            <v>OS</v>
          </cell>
          <cell r="R68" t="str">
            <v>OS</v>
          </cell>
          <cell r="S68" t="str">
            <v>OS</v>
          </cell>
          <cell r="T68" t="str">
            <v>OS</v>
          </cell>
          <cell r="U68" t="str">
            <v>OS</v>
          </cell>
          <cell r="V68" t="str">
            <v>OS</v>
          </cell>
          <cell r="W68" t="str">
            <v>OS</v>
          </cell>
          <cell r="X68" t="str">
            <v>OS</v>
          </cell>
          <cell r="Y68" t="str">
            <v>OS</v>
          </cell>
          <cell r="Z68" t="str">
            <v>OS</v>
          </cell>
          <cell r="AA68" t="str">
            <v>OS</v>
          </cell>
          <cell r="AB68" t="str">
            <v>OS</v>
          </cell>
          <cell r="AC68" t="str">
            <v>OS</v>
          </cell>
          <cell r="AD68" t="str">
            <v>AGM-01-005-010</v>
          </cell>
          <cell r="AE68" t="str">
            <v xml:space="preserve">Raemulan Lands, Inc. </v>
          </cell>
          <cell r="AF68" t="str">
            <v>Agapeya</v>
          </cell>
          <cell r="AG68" t="str">
            <v>AGM</v>
          </cell>
          <cell r="AH68" t="str">
            <v>Eco-High</v>
          </cell>
          <cell r="AI68" t="str">
            <v>West</v>
          </cell>
          <cell r="AJ68" t="str">
            <v>With LTS</v>
          </cell>
          <cell r="AK68" t="str">
            <v>Unaffected lots</v>
          </cell>
          <cell r="AL68" t="str">
            <v>Unaffected lots</v>
          </cell>
          <cell r="AM68" t="b">
            <v>1</v>
          </cell>
          <cell r="AN68" t="str">
            <v>YES</v>
          </cell>
          <cell r="AO68" t="str">
            <v>B4 2025</v>
          </cell>
          <cell r="AP68">
            <v>70</v>
          </cell>
          <cell r="AQ68" t="str">
            <v>PCS-04-034407</v>
          </cell>
          <cell r="AR68" t="b">
            <v>1</v>
          </cell>
          <cell r="AS68" t="str">
            <v>Done</v>
          </cell>
          <cell r="AT68" t="str">
            <v>2025 - Batch 6</v>
          </cell>
          <cell r="AU68">
            <v>5</v>
          </cell>
          <cell r="AV68">
            <v>10</v>
          </cell>
          <cell r="AW68" t="str">
            <v>H+L</v>
          </cell>
          <cell r="AX68">
            <v>70</v>
          </cell>
          <cell r="AY68">
            <v>50</v>
          </cell>
          <cell r="AZ68" t="str">
            <v>Duplex</v>
          </cell>
          <cell r="BA68">
            <v>1</v>
          </cell>
          <cell r="BB68" t="str">
            <v>568 - Without Partition</v>
          </cell>
          <cell r="BC68" t="str">
            <v xml:space="preserve">Without Partition </v>
          </cell>
          <cell r="BD68" t="str">
            <v>Slant</v>
          </cell>
          <cell r="BE68" t="str">
            <v xml:space="preserve">Without Partition </v>
          </cell>
          <cell r="BF68" t="str">
            <v>PURPLE</v>
          </cell>
          <cell r="BG68">
            <v>2500000</v>
          </cell>
          <cell r="BH68">
            <v>2650000</v>
          </cell>
          <cell r="BI68">
            <v>100000</v>
          </cell>
          <cell r="BJ68">
            <v>2550000</v>
          </cell>
          <cell r="BK68">
            <v>0</v>
          </cell>
          <cell r="BL68">
            <v>2550000</v>
          </cell>
        </row>
        <row r="69">
          <cell r="D69" t="str">
            <v>OS</v>
          </cell>
          <cell r="E69"/>
          <cell r="F69">
            <v>49</v>
          </cell>
          <cell r="G69" t="str">
            <v>CLOSED</v>
          </cell>
          <cell r="H69" t="str">
            <v>TS</v>
          </cell>
          <cell r="I69" t="str">
            <v>TS</v>
          </cell>
          <cell r="J69" t="str">
            <v>TS</v>
          </cell>
          <cell r="K69" t="str">
            <v>TS</v>
          </cell>
          <cell r="L69" t="str">
            <v>TS</v>
          </cell>
          <cell r="M69" t="str">
            <v>TS</v>
          </cell>
          <cell r="N69" t="str">
            <v>TS</v>
          </cell>
          <cell r="O69" t="str">
            <v>TS</v>
          </cell>
          <cell r="P69" t="str">
            <v>OS</v>
          </cell>
          <cell r="Q69" t="str">
            <v>OS</v>
          </cell>
          <cell r="R69" t="str">
            <v>OS</v>
          </cell>
          <cell r="S69" t="str">
            <v>OS</v>
          </cell>
          <cell r="T69" t="str">
            <v>OS</v>
          </cell>
          <cell r="U69" t="str">
            <v>OS</v>
          </cell>
          <cell r="V69" t="str">
            <v>OS</v>
          </cell>
          <cell r="W69" t="str">
            <v>OS</v>
          </cell>
          <cell r="X69" t="str">
            <v>OS</v>
          </cell>
          <cell r="Y69" t="str">
            <v>OS</v>
          </cell>
          <cell r="Z69" t="str">
            <v>OS</v>
          </cell>
          <cell r="AA69" t="str">
            <v>OS</v>
          </cell>
          <cell r="AB69" t="str">
            <v>OS</v>
          </cell>
          <cell r="AC69" t="str">
            <v>OS</v>
          </cell>
          <cell r="AD69" t="str">
            <v>AGM-01-005-011</v>
          </cell>
          <cell r="AE69" t="str">
            <v xml:space="preserve">Raemulan Lands, Inc. </v>
          </cell>
          <cell r="AF69" t="str">
            <v>Agapeya</v>
          </cell>
          <cell r="AG69" t="str">
            <v>AGM</v>
          </cell>
          <cell r="AH69" t="str">
            <v>Eco-High</v>
          </cell>
          <cell r="AI69" t="str">
            <v>West</v>
          </cell>
          <cell r="AJ69" t="str">
            <v>With LTS</v>
          </cell>
          <cell r="AK69" t="str">
            <v>Unaffected lots</v>
          </cell>
          <cell r="AL69" t="str">
            <v>Unaffected lots</v>
          </cell>
          <cell r="AM69" t="b">
            <v>1</v>
          </cell>
          <cell r="AN69" t="str">
            <v>YES</v>
          </cell>
          <cell r="AO69" t="str">
            <v>B4 2025</v>
          </cell>
          <cell r="AP69">
            <v>107</v>
          </cell>
          <cell r="AQ69" t="str">
            <v>PCS-04-034407</v>
          </cell>
          <cell r="AR69" t="b">
            <v>1</v>
          </cell>
          <cell r="AS69" t="str">
            <v>Done</v>
          </cell>
          <cell r="AT69" t="str">
            <v>2025 - Batch 6</v>
          </cell>
          <cell r="AU69">
            <v>5</v>
          </cell>
          <cell r="AV69">
            <v>11</v>
          </cell>
          <cell r="AW69" t="str">
            <v>H+L</v>
          </cell>
          <cell r="AX69">
            <v>107</v>
          </cell>
          <cell r="AY69">
            <v>50</v>
          </cell>
          <cell r="AZ69" t="str">
            <v>Duplex</v>
          </cell>
          <cell r="BA69">
            <v>1</v>
          </cell>
          <cell r="BB69" t="str">
            <v>568 - Without Partition</v>
          </cell>
          <cell r="BC69" t="str">
            <v xml:space="preserve">Without Partition </v>
          </cell>
          <cell r="BD69" t="str">
            <v>Slant</v>
          </cell>
          <cell r="BE69" t="str">
            <v xml:space="preserve">Without Partition </v>
          </cell>
          <cell r="BF69" t="str">
            <v>PURPLE</v>
          </cell>
          <cell r="BG69">
            <v>2500000</v>
          </cell>
          <cell r="BH69">
            <v>3205000</v>
          </cell>
          <cell r="BI69">
            <v>100000</v>
          </cell>
          <cell r="BJ69">
            <v>3105000</v>
          </cell>
          <cell r="BK69">
            <v>0</v>
          </cell>
          <cell r="BL69">
            <v>3105000</v>
          </cell>
        </row>
        <row r="70">
          <cell r="D70" t="str">
            <v>OS</v>
          </cell>
          <cell r="E70"/>
          <cell r="F70">
            <v>50</v>
          </cell>
          <cell r="G70" t="str">
            <v>CLOSED</v>
          </cell>
          <cell r="H70" t="str">
            <v>TS</v>
          </cell>
          <cell r="I70" t="str">
            <v>TS</v>
          </cell>
          <cell r="J70" t="str">
            <v>TS</v>
          </cell>
          <cell r="K70" t="str">
            <v>TS</v>
          </cell>
          <cell r="L70" t="str">
            <v>TS</v>
          </cell>
          <cell r="M70" t="str">
            <v>TS</v>
          </cell>
          <cell r="N70" t="str">
            <v>TS</v>
          </cell>
          <cell r="O70" t="str">
            <v>TS</v>
          </cell>
          <cell r="P70" t="str">
            <v>OS</v>
          </cell>
          <cell r="Q70" t="str">
            <v>OS</v>
          </cell>
          <cell r="R70" t="str">
            <v>OS</v>
          </cell>
          <cell r="S70" t="str">
            <v>OS</v>
          </cell>
          <cell r="T70" t="str">
            <v>OS</v>
          </cell>
          <cell r="U70" t="str">
            <v>OS</v>
          </cell>
          <cell r="V70" t="str">
            <v>OS</v>
          </cell>
          <cell r="W70" t="str">
            <v>OS</v>
          </cell>
          <cell r="X70" t="str">
            <v>OS</v>
          </cell>
          <cell r="Y70" t="str">
            <v>OS</v>
          </cell>
          <cell r="Z70" t="str">
            <v>OS</v>
          </cell>
          <cell r="AA70" t="str">
            <v>OS</v>
          </cell>
          <cell r="AB70" t="str">
            <v>OS</v>
          </cell>
          <cell r="AC70" t="str">
            <v>OS</v>
          </cell>
          <cell r="AD70" t="str">
            <v>AGM-01-005-012</v>
          </cell>
          <cell r="AE70" t="str">
            <v xml:space="preserve">Raemulan Lands, Inc. </v>
          </cell>
          <cell r="AF70" t="str">
            <v>Agapeya</v>
          </cell>
          <cell r="AG70" t="str">
            <v>AGM</v>
          </cell>
          <cell r="AH70" t="str">
            <v>Eco-High</v>
          </cell>
          <cell r="AI70" t="str">
            <v>West</v>
          </cell>
          <cell r="AJ70" t="str">
            <v>With LTS</v>
          </cell>
          <cell r="AK70" t="str">
            <v>Unaffected lots</v>
          </cell>
          <cell r="AL70" t="str">
            <v>Unaffected lots</v>
          </cell>
          <cell r="AM70" t="b">
            <v>1</v>
          </cell>
          <cell r="AN70" t="str">
            <v>YES</v>
          </cell>
          <cell r="AO70" t="str">
            <v>B4 2025</v>
          </cell>
          <cell r="AP70">
            <v>107</v>
          </cell>
          <cell r="AQ70" t="str">
            <v>PCS-04-034407</v>
          </cell>
          <cell r="AR70" t="b">
            <v>1</v>
          </cell>
          <cell r="AS70" t="str">
            <v>Done</v>
          </cell>
          <cell r="AT70" t="str">
            <v>2025 - Batch 6</v>
          </cell>
          <cell r="AU70">
            <v>5</v>
          </cell>
          <cell r="AV70">
            <v>12</v>
          </cell>
          <cell r="AW70" t="str">
            <v>H+L</v>
          </cell>
          <cell r="AX70">
            <v>107</v>
          </cell>
          <cell r="AY70">
            <v>50</v>
          </cell>
          <cell r="AZ70" t="str">
            <v>Duplex</v>
          </cell>
          <cell r="BA70">
            <v>1</v>
          </cell>
          <cell r="BB70" t="str">
            <v>568 - Without Partition</v>
          </cell>
          <cell r="BC70" t="str">
            <v xml:space="preserve">Without Partition </v>
          </cell>
          <cell r="BD70" t="str">
            <v>Flat</v>
          </cell>
          <cell r="BE70" t="str">
            <v xml:space="preserve">Without Partition </v>
          </cell>
          <cell r="BF70" t="str">
            <v>PURPLE</v>
          </cell>
          <cell r="BG70">
            <v>2500000</v>
          </cell>
          <cell r="BH70">
            <v>3205000</v>
          </cell>
          <cell r="BI70">
            <v>100000</v>
          </cell>
          <cell r="BJ70">
            <v>3105000</v>
          </cell>
          <cell r="BK70">
            <v>0</v>
          </cell>
          <cell r="BL70">
            <v>3105000</v>
          </cell>
        </row>
        <row r="71">
          <cell r="D71" t="str">
            <v>OS</v>
          </cell>
          <cell r="E71"/>
          <cell r="F71">
            <v>51</v>
          </cell>
          <cell r="G71" t="str">
            <v>CLOSED</v>
          </cell>
          <cell r="H71" t="str">
            <v>TS</v>
          </cell>
          <cell r="I71" t="str">
            <v>TS</v>
          </cell>
          <cell r="J71" t="str">
            <v>TS</v>
          </cell>
          <cell r="K71" t="str">
            <v>TS</v>
          </cell>
          <cell r="L71" t="str">
            <v>TS</v>
          </cell>
          <cell r="M71" t="str">
            <v>TS</v>
          </cell>
          <cell r="N71" t="str">
            <v>TS</v>
          </cell>
          <cell r="O71" t="str">
            <v>TS</v>
          </cell>
          <cell r="P71" t="str">
            <v>OS</v>
          </cell>
          <cell r="Q71" t="str">
            <v>OS</v>
          </cell>
          <cell r="R71" t="str">
            <v>OS</v>
          </cell>
          <cell r="S71" t="str">
            <v>OS</v>
          </cell>
          <cell r="T71" t="str">
            <v>OS</v>
          </cell>
          <cell r="U71" t="str">
            <v>OS</v>
          </cell>
          <cell r="V71" t="str">
            <v>OS</v>
          </cell>
          <cell r="W71" t="str">
            <v>OS</v>
          </cell>
          <cell r="X71" t="str">
            <v>OS</v>
          </cell>
          <cell r="Y71" t="str">
            <v>OS</v>
          </cell>
          <cell r="Z71" t="str">
            <v>OS</v>
          </cell>
          <cell r="AA71" t="str">
            <v>OS</v>
          </cell>
          <cell r="AB71" t="str">
            <v>OS</v>
          </cell>
          <cell r="AC71" t="str">
            <v>OS</v>
          </cell>
          <cell r="AD71" t="str">
            <v>AGM-01-005-013</v>
          </cell>
          <cell r="AE71" t="str">
            <v xml:space="preserve">Raemulan Lands, Inc. </v>
          </cell>
          <cell r="AF71" t="str">
            <v>Agapeya</v>
          </cell>
          <cell r="AG71" t="str">
            <v>AGM</v>
          </cell>
          <cell r="AH71" t="str">
            <v>Eco-High</v>
          </cell>
          <cell r="AI71" t="str">
            <v>West</v>
          </cell>
          <cell r="AJ71" t="str">
            <v>With LTS</v>
          </cell>
          <cell r="AK71" t="str">
            <v>Unaffected lots</v>
          </cell>
          <cell r="AL71" t="str">
            <v>Unaffected lots</v>
          </cell>
          <cell r="AM71" t="b">
            <v>1</v>
          </cell>
          <cell r="AN71" t="str">
            <v>YES</v>
          </cell>
          <cell r="AO71" t="str">
            <v>B4 2025</v>
          </cell>
          <cell r="AP71">
            <v>70</v>
          </cell>
          <cell r="AQ71" t="str">
            <v>PCS-04-034407</v>
          </cell>
          <cell r="AR71" t="b">
            <v>1</v>
          </cell>
          <cell r="AS71" t="str">
            <v>Done</v>
          </cell>
          <cell r="AT71" t="str">
            <v>2025 - Batch 6</v>
          </cell>
          <cell r="AU71">
            <v>5</v>
          </cell>
          <cell r="AV71">
            <v>13</v>
          </cell>
          <cell r="AW71" t="str">
            <v>H+L</v>
          </cell>
          <cell r="AX71">
            <v>70</v>
          </cell>
          <cell r="AY71">
            <v>50</v>
          </cell>
          <cell r="AZ71" t="str">
            <v>Duplex</v>
          </cell>
          <cell r="BA71">
            <v>1</v>
          </cell>
          <cell r="BB71" t="str">
            <v>568 - Without Partition</v>
          </cell>
          <cell r="BC71" t="str">
            <v xml:space="preserve">Without Partition </v>
          </cell>
          <cell r="BD71" t="str">
            <v>Flat</v>
          </cell>
          <cell r="BE71" t="str">
            <v xml:space="preserve">Without Partition </v>
          </cell>
          <cell r="BF71" t="str">
            <v>YELLOW</v>
          </cell>
          <cell r="BG71">
            <v>2500000</v>
          </cell>
          <cell r="BH71">
            <v>2650000</v>
          </cell>
          <cell r="BI71">
            <v>100000</v>
          </cell>
          <cell r="BJ71">
            <v>2550000</v>
          </cell>
          <cell r="BK71">
            <v>0</v>
          </cell>
          <cell r="BL71">
            <v>2550000</v>
          </cell>
        </row>
        <row r="72">
          <cell r="D72" t="str">
            <v>OS</v>
          </cell>
          <cell r="E72"/>
          <cell r="F72">
            <v>52</v>
          </cell>
          <cell r="G72" t="str">
            <v>CLOSED</v>
          </cell>
          <cell r="H72" t="str">
            <v>TS</v>
          </cell>
          <cell r="I72" t="str">
            <v>TS</v>
          </cell>
          <cell r="J72" t="str">
            <v>OS</v>
          </cell>
          <cell r="K72" t="str">
            <v>OS</v>
          </cell>
          <cell r="L72" t="str">
            <v>OS</v>
          </cell>
          <cell r="M72" t="str">
            <v>OS</v>
          </cell>
          <cell r="N72" t="str">
            <v>OS</v>
          </cell>
          <cell r="O72" t="str">
            <v>OS</v>
          </cell>
          <cell r="P72" t="str">
            <v>OS</v>
          </cell>
          <cell r="Q72" t="str">
            <v>OS</v>
          </cell>
          <cell r="R72" t="str">
            <v>OS</v>
          </cell>
          <cell r="S72" t="str">
            <v>OS</v>
          </cell>
          <cell r="T72" t="str">
            <v>OS</v>
          </cell>
          <cell r="U72" t="str">
            <v>OS</v>
          </cell>
          <cell r="V72" t="str">
            <v>OS</v>
          </cell>
          <cell r="W72" t="str">
            <v>OS</v>
          </cell>
          <cell r="X72" t="str">
            <v>OS</v>
          </cell>
          <cell r="Y72" t="str">
            <v>OS</v>
          </cell>
          <cell r="Z72" t="str">
            <v>OS</v>
          </cell>
          <cell r="AA72" t="str">
            <v>OS</v>
          </cell>
          <cell r="AB72" t="str">
            <v>OS</v>
          </cell>
          <cell r="AC72" t="str">
            <v>OS</v>
          </cell>
          <cell r="AD72" t="str">
            <v>AGM-01-005-014</v>
          </cell>
          <cell r="AE72" t="str">
            <v xml:space="preserve">Raemulan Lands, Inc. </v>
          </cell>
          <cell r="AF72" t="str">
            <v>Agapeya</v>
          </cell>
          <cell r="AG72" t="str">
            <v>AGM</v>
          </cell>
          <cell r="AH72" t="str">
            <v>Eco-High</v>
          </cell>
          <cell r="AI72" t="str">
            <v>West</v>
          </cell>
          <cell r="AJ72" t="str">
            <v>With LTS</v>
          </cell>
          <cell r="AK72" t="str">
            <v>Unaffected lots</v>
          </cell>
          <cell r="AL72" t="str">
            <v>Unaffected lots</v>
          </cell>
          <cell r="AM72" t="b">
            <v>1</v>
          </cell>
          <cell r="AN72" t="str">
            <v>YES</v>
          </cell>
          <cell r="AO72" t="str">
            <v>B4 2025</v>
          </cell>
          <cell r="AP72">
            <v>70</v>
          </cell>
          <cell r="AQ72" t="str">
            <v>PCS-04-034407</v>
          </cell>
          <cell r="AR72" t="b">
            <v>1</v>
          </cell>
          <cell r="AS72" t="str">
            <v>Done</v>
          </cell>
          <cell r="AT72" t="str">
            <v>2025 - Batch 6</v>
          </cell>
          <cell r="AU72">
            <v>5</v>
          </cell>
          <cell r="AV72">
            <v>14</v>
          </cell>
          <cell r="AW72" t="str">
            <v>H+L</v>
          </cell>
          <cell r="AX72">
            <v>70</v>
          </cell>
          <cell r="AY72">
            <v>50</v>
          </cell>
          <cell r="AZ72" t="str">
            <v>Duplex</v>
          </cell>
          <cell r="BA72">
            <v>1</v>
          </cell>
          <cell r="BB72" t="str">
            <v>568 - Without Partition</v>
          </cell>
          <cell r="BC72" t="str">
            <v xml:space="preserve">Without Partition </v>
          </cell>
          <cell r="BD72" t="str">
            <v>Slant</v>
          </cell>
          <cell r="BE72" t="str">
            <v xml:space="preserve">Without Partition </v>
          </cell>
          <cell r="BF72" t="str">
            <v>YELLOW</v>
          </cell>
          <cell r="BG72">
            <v>2500000</v>
          </cell>
          <cell r="BH72">
            <v>2650000</v>
          </cell>
          <cell r="BI72">
            <v>100000</v>
          </cell>
          <cell r="BJ72">
            <v>2550000</v>
          </cell>
          <cell r="BK72">
            <v>0</v>
          </cell>
          <cell r="BL72">
            <v>2550000</v>
          </cell>
        </row>
        <row r="73">
          <cell r="D73" t="str">
            <v>OS</v>
          </cell>
          <cell r="E73"/>
          <cell r="F73">
            <v>53</v>
          </cell>
          <cell r="G73" t="str">
            <v>CLOSED</v>
          </cell>
          <cell r="H73" t="str">
            <v>TS</v>
          </cell>
          <cell r="I73" t="str">
            <v>TS</v>
          </cell>
          <cell r="J73" t="str">
            <v>OS</v>
          </cell>
          <cell r="K73" t="str">
            <v>OS</v>
          </cell>
          <cell r="L73" t="str">
            <v>OS</v>
          </cell>
          <cell r="M73" t="str">
            <v>OS</v>
          </cell>
          <cell r="N73" t="str">
            <v>OS</v>
          </cell>
          <cell r="O73" t="str">
            <v>TS</v>
          </cell>
          <cell r="P73" t="str">
            <v>TS</v>
          </cell>
          <cell r="Q73" t="str">
            <v>TS</v>
          </cell>
          <cell r="R73" t="str">
            <v>TS</v>
          </cell>
          <cell r="S73" t="str">
            <v>TS</v>
          </cell>
          <cell r="T73" t="str">
            <v>TS</v>
          </cell>
          <cell r="U73" t="str">
            <v>OS</v>
          </cell>
          <cell r="V73" t="str">
            <v>OS</v>
          </cell>
          <cell r="W73" t="str">
            <v>OS</v>
          </cell>
          <cell r="X73" t="str">
            <v>OS</v>
          </cell>
          <cell r="Y73" t="str">
            <v>OS</v>
          </cell>
          <cell r="Z73" t="str">
            <v>OS</v>
          </cell>
          <cell r="AA73" t="str">
            <v>OS</v>
          </cell>
          <cell r="AB73" t="str">
            <v>OS</v>
          </cell>
          <cell r="AC73" t="str">
            <v>OS</v>
          </cell>
          <cell r="AD73" t="str">
            <v>AGM-01-005-015</v>
          </cell>
          <cell r="AE73" t="str">
            <v xml:space="preserve">Raemulan Lands, Inc. </v>
          </cell>
          <cell r="AF73" t="str">
            <v>Agapeya</v>
          </cell>
          <cell r="AG73" t="str">
            <v>AGM</v>
          </cell>
          <cell r="AH73" t="str">
            <v>Eco-High</v>
          </cell>
          <cell r="AI73" t="str">
            <v>West</v>
          </cell>
          <cell r="AJ73" t="str">
            <v>With LTS</v>
          </cell>
          <cell r="AK73" t="str">
            <v>Unaffected lots</v>
          </cell>
          <cell r="AL73" t="str">
            <v>Unaffected lots</v>
          </cell>
          <cell r="AM73" t="b">
            <v>1</v>
          </cell>
          <cell r="AN73" t="str">
            <v>YES</v>
          </cell>
          <cell r="AO73" t="str">
            <v>B4 2025</v>
          </cell>
          <cell r="AP73">
            <v>70</v>
          </cell>
          <cell r="AQ73" t="str">
            <v>PCS-04-034407</v>
          </cell>
          <cell r="AR73" t="b">
            <v>1</v>
          </cell>
          <cell r="AS73" t="str">
            <v>Done</v>
          </cell>
          <cell r="AT73" t="str">
            <v>2025 - Batch 6</v>
          </cell>
          <cell r="AU73">
            <v>5</v>
          </cell>
          <cell r="AV73">
            <v>15</v>
          </cell>
          <cell r="AW73" t="str">
            <v>H+L</v>
          </cell>
          <cell r="AX73">
            <v>70</v>
          </cell>
          <cell r="AY73">
            <v>50</v>
          </cell>
          <cell r="AZ73" t="str">
            <v>Duplex</v>
          </cell>
          <cell r="BA73">
            <v>1</v>
          </cell>
          <cell r="BB73" t="str">
            <v>568 - Without Partition</v>
          </cell>
          <cell r="BC73" t="str">
            <v xml:space="preserve">Without Partition </v>
          </cell>
          <cell r="BD73" t="str">
            <v>Slant</v>
          </cell>
          <cell r="BE73" t="str">
            <v xml:space="preserve">Without Partition </v>
          </cell>
          <cell r="BF73" t="str">
            <v>YELLOW</v>
          </cell>
          <cell r="BG73">
            <v>2500000</v>
          </cell>
          <cell r="BH73">
            <v>2650000</v>
          </cell>
          <cell r="BI73">
            <v>100000</v>
          </cell>
          <cell r="BJ73">
            <v>2550000</v>
          </cell>
          <cell r="BK73">
            <v>0</v>
          </cell>
          <cell r="BL73">
            <v>2550000</v>
          </cell>
        </row>
        <row r="74">
          <cell r="D74" t="str">
            <v>OS</v>
          </cell>
          <cell r="E74"/>
          <cell r="F74">
            <v>54</v>
          </cell>
          <cell r="G74" t="str">
            <v>CLOSED</v>
          </cell>
          <cell r="H74" t="str">
            <v>TS</v>
          </cell>
          <cell r="I74" t="str">
            <v>TS</v>
          </cell>
          <cell r="J74" t="str">
            <v>TS</v>
          </cell>
          <cell r="K74" t="str">
            <v>TS</v>
          </cell>
          <cell r="L74" t="str">
            <v>TS</v>
          </cell>
          <cell r="M74" t="str">
            <v>TS</v>
          </cell>
          <cell r="N74" t="str">
            <v>OS</v>
          </cell>
          <cell r="O74" t="str">
            <v>OS</v>
          </cell>
          <cell r="P74" t="str">
            <v>OS</v>
          </cell>
          <cell r="Q74" t="str">
            <v>OS</v>
          </cell>
          <cell r="R74" t="str">
            <v>OS</v>
          </cell>
          <cell r="S74" t="str">
            <v>OS</v>
          </cell>
          <cell r="T74" t="str">
            <v>OS</v>
          </cell>
          <cell r="U74" t="str">
            <v>OS</v>
          </cell>
          <cell r="V74" t="str">
            <v>OS</v>
          </cell>
          <cell r="W74" t="str">
            <v>OS</v>
          </cell>
          <cell r="X74" t="str">
            <v>OS</v>
          </cell>
          <cell r="Y74" t="str">
            <v>OS</v>
          </cell>
          <cell r="Z74" t="str">
            <v>OS</v>
          </cell>
          <cell r="AA74" t="str">
            <v>OS</v>
          </cell>
          <cell r="AB74" t="str">
            <v>OS</v>
          </cell>
          <cell r="AC74" t="str">
            <v>OS</v>
          </cell>
          <cell r="AD74" t="str">
            <v>AGM-01-005-016</v>
          </cell>
          <cell r="AE74" t="str">
            <v xml:space="preserve">Raemulan Lands, Inc. </v>
          </cell>
          <cell r="AF74" t="str">
            <v>Agapeya</v>
          </cell>
          <cell r="AG74" t="str">
            <v>AGM</v>
          </cell>
          <cell r="AH74" t="str">
            <v>Eco-High</v>
          </cell>
          <cell r="AI74" t="str">
            <v>West</v>
          </cell>
          <cell r="AJ74" t="str">
            <v>With LTS</v>
          </cell>
          <cell r="AK74" t="str">
            <v>Unaffected lots</v>
          </cell>
          <cell r="AL74" t="str">
            <v>Unaffected lots</v>
          </cell>
          <cell r="AM74" t="b">
            <v>1</v>
          </cell>
          <cell r="AN74" t="str">
            <v>YES</v>
          </cell>
          <cell r="AO74" t="str">
            <v>B4 2025</v>
          </cell>
          <cell r="AP74">
            <v>70</v>
          </cell>
          <cell r="AQ74" t="str">
            <v>PCS-04-034407</v>
          </cell>
          <cell r="AR74" t="b">
            <v>1</v>
          </cell>
          <cell r="AS74" t="str">
            <v>Done</v>
          </cell>
          <cell r="AT74" t="str">
            <v>2025 - Batch 6</v>
          </cell>
          <cell r="AU74">
            <v>5</v>
          </cell>
          <cell r="AV74">
            <v>16</v>
          </cell>
          <cell r="AW74" t="str">
            <v>H+L</v>
          </cell>
          <cell r="AX74">
            <v>70</v>
          </cell>
          <cell r="AY74">
            <v>50</v>
          </cell>
          <cell r="AZ74" t="str">
            <v>Duplex</v>
          </cell>
          <cell r="BA74">
            <v>1</v>
          </cell>
          <cell r="BB74" t="str">
            <v>568 - Without Partition</v>
          </cell>
          <cell r="BC74" t="str">
            <v xml:space="preserve">Without Partition </v>
          </cell>
          <cell r="BD74" t="str">
            <v>Flat</v>
          </cell>
          <cell r="BE74" t="str">
            <v xml:space="preserve">Without Partition </v>
          </cell>
          <cell r="BF74" t="str">
            <v>YELLOW</v>
          </cell>
          <cell r="BG74">
            <v>2500000</v>
          </cell>
          <cell r="BH74">
            <v>2650000</v>
          </cell>
          <cell r="BI74">
            <v>100000</v>
          </cell>
          <cell r="BJ74">
            <v>2550000</v>
          </cell>
          <cell r="BK74">
            <v>0</v>
          </cell>
          <cell r="BL74">
            <v>2550000</v>
          </cell>
        </row>
        <row r="75">
          <cell r="D75" t="str">
            <v>OS</v>
          </cell>
          <cell r="E75"/>
          <cell r="F75">
            <v>55</v>
          </cell>
          <cell r="G75" t="str">
            <v>CLOSED</v>
          </cell>
          <cell r="H75" t="str">
            <v>TS</v>
          </cell>
          <cell r="I75" t="str">
            <v>TS</v>
          </cell>
          <cell r="J75" t="str">
            <v>TS</v>
          </cell>
          <cell r="K75" t="str">
            <v>TS</v>
          </cell>
          <cell r="L75" t="str">
            <v>TS</v>
          </cell>
          <cell r="M75" t="str">
            <v>TS</v>
          </cell>
          <cell r="N75" t="str">
            <v>TS</v>
          </cell>
          <cell r="O75" t="str">
            <v>TS</v>
          </cell>
          <cell r="P75" t="str">
            <v>OS</v>
          </cell>
          <cell r="Q75" t="str">
            <v>OS</v>
          </cell>
          <cell r="R75" t="str">
            <v>OS</v>
          </cell>
          <cell r="S75" t="str">
            <v>OS</v>
          </cell>
          <cell r="T75" t="str">
            <v>OS</v>
          </cell>
          <cell r="U75" t="str">
            <v>OS</v>
          </cell>
          <cell r="V75" t="str">
            <v>OS</v>
          </cell>
          <cell r="W75" t="str">
            <v>OS</v>
          </cell>
          <cell r="X75" t="str">
            <v>OS</v>
          </cell>
          <cell r="Y75" t="str">
            <v>OS</v>
          </cell>
          <cell r="Z75" t="str">
            <v>OS</v>
          </cell>
          <cell r="AA75" t="str">
            <v>OS</v>
          </cell>
          <cell r="AB75" t="str">
            <v>OS</v>
          </cell>
          <cell r="AC75" t="str">
            <v>OS</v>
          </cell>
          <cell r="AD75" t="str">
            <v>AGM-01-005-017</v>
          </cell>
          <cell r="AE75" t="str">
            <v xml:space="preserve">Raemulan Lands, Inc. </v>
          </cell>
          <cell r="AF75" t="str">
            <v>Agapeya</v>
          </cell>
          <cell r="AG75" t="str">
            <v>AGM</v>
          </cell>
          <cell r="AH75" t="str">
            <v>Eco-High</v>
          </cell>
          <cell r="AI75" t="str">
            <v>West</v>
          </cell>
          <cell r="AJ75" t="str">
            <v>With LTS</v>
          </cell>
          <cell r="AK75" t="str">
            <v>Unaffected lots</v>
          </cell>
          <cell r="AL75" t="str">
            <v>Unaffected lots</v>
          </cell>
          <cell r="AM75" t="b">
            <v>1</v>
          </cell>
          <cell r="AN75" t="str">
            <v>YES</v>
          </cell>
          <cell r="AO75" t="str">
            <v>B4 2025</v>
          </cell>
          <cell r="AP75">
            <v>70</v>
          </cell>
          <cell r="AQ75" t="str">
            <v>PCS-04-034407</v>
          </cell>
          <cell r="AR75" t="b">
            <v>1</v>
          </cell>
          <cell r="AS75" t="str">
            <v>Done</v>
          </cell>
          <cell r="AT75" t="str">
            <v>2025 - Batch 6</v>
          </cell>
          <cell r="AU75">
            <v>5</v>
          </cell>
          <cell r="AV75">
            <v>17</v>
          </cell>
          <cell r="AW75" t="str">
            <v>H+L</v>
          </cell>
          <cell r="AX75">
            <v>70</v>
          </cell>
          <cell r="AY75">
            <v>50</v>
          </cell>
          <cell r="AZ75" t="str">
            <v>Duplex</v>
          </cell>
          <cell r="BA75">
            <v>1</v>
          </cell>
          <cell r="BB75" t="str">
            <v>568 - Without Partition</v>
          </cell>
          <cell r="BC75" t="str">
            <v xml:space="preserve">Without Partition </v>
          </cell>
          <cell r="BD75" t="str">
            <v>Flat</v>
          </cell>
          <cell r="BE75" t="str">
            <v xml:space="preserve">Without Partition </v>
          </cell>
          <cell r="BF75" t="str">
            <v>PURPLE</v>
          </cell>
          <cell r="BG75">
            <v>2500000</v>
          </cell>
          <cell r="BH75">
            <v>2650000</v>
          </cell>
          <cell r="BI75">
            <v>100000</v>
          </cell>
          <cell r="BJ75">
            <v>2550000</v>
          </cell>
          <cell r="BK75">
            <v>0</v>
          </cell>
          <cell r="BL75">
            <v>2550000</v>
          </cell>
        </row>
        <row r="76">
          <cell r="D76" t="str">
            <v>OS</v>
          </cell>
          <cell r="E76"/>
          <cell r="F76">
            <v>56</v>
          </cell>
          <cell r="G76" t="str">
            <v>CLOSED</v>
          </cell>
          <cell r="H76" t="str">
            <v>TS</v>
          </cell>
          <cell r="I76" t="str">
            <v>TS</v>
          </cell>
          <cell r="J76" t="str">
            <v>TS</v>
          </cell>
          <cell r="K76" t="str">
            <v>TS</v>
          </cell>
          <cell r="L76" t="str">
            <v>TS</v>
          </cell>
          <cell r="M76" t="str">
            <v>TS</v>
          </cell>
          <cell r="N76" t="str">
            <v>TS</v>
          </cell>
          <cell r="O76" t="str">
            <v>TS</v>
          </cell>
          <cell r="P76" t="str">
            <v>OS</v>
          </cell>
          <cell r="Q76" t="str">
            <v>OS</v>
          </cell>
          <cell r="R76" t="str">
            <v>OS</v>
          </cell>
          <cell r="S76" t="str">
            <v>OS</v>
          </cell>
          <cell r="T76" t="str">
            <v>OS</v>
          </cell>
          <cell r="U76" t="str">
            <v>OS</v>
          </cell>
          <cell r="V76" t="str">
            <v>OS</v>
          </cell>
          <cell r="W76" t="str">
            <v>OS</v>
          </cell>
          <cell r="X76" t="str">
            <v>OS</v>
          </cell>
          <cell r="Y76" t="str">
            <v>OS</v>
          </cell>
          <cell r="Z76" t="str">
            <v>OS</v>
          </cell>
          <cell r="AA76" t="str">
            <v>OS</v>
          </cell>
          <cell r="AB76" t="str">
            <v>OS</v>
          </cell>
          <cell r="AC76" t="str">
            <v>OS</v>
          </cell>
          <cell r="AD76" t="str">
            <v>AGM-01-005-018</v>
          </cell>
          <cell r="AE76" t="str">
            <v xml:space="preserve">Raemulan Lands, Inc. </v>
          </cell>
          <cell r="AF76" t="str">
            <v>Agapeya</v>
          </cell>
          <cell r="AG76" t="str">
            <v>AGM</v>
          </cell>
          <cell r="AH76" t="str">
            <v>Eco-High</v>
          </cell>
          <cell r="AI76" t="str">
            <v>West</v>
          </cell>
          <cell r="AJ76" t="str">
            <v>With LTS</v>
          </cell>
          <cell r="AK76" t="str">
            <v>Unaffected lots</v>
          </cell>
          <cell r="AL76" t="str">
            <v>Unaffected lots</v>
          </cell>
          <cell r="AM76" t="b">
            <v>1</v>
          </cell>
          <cell r="AN76" t="str">
            <v>YES</v>
          </cell>
          <cell r="AO76" t="str">
            <v>B4 2025</v>
          </cell>
          <cell r="AP76">
            <v>70</v>
          </cell>
          <cell r="AQ76" t="str">
            <v>PCS-04-034407</v>
          </cell>
          <cell r="AR76" t="b">
            <v>1</v>
          </cell>
          <cell r="AS76" t="str">
            <v>Done</v>
          </cell>
          <cell r="AT76" t="str">
            <v>2025 - Batch 6</v>
          </cell>
          <cell r="AU76">
            <v>5</v>
          </cell>
          <cell r="AV76">
            <v>18</v>
          </cell>
          <cell r="AW76" t="str">
            <v>H+L</v>
          </cell>
          <cell r="AX76">
            <v>70</v>
          </cell>
          <cell r="AY76">
            <v>50</v>
          </cell>
          <cell r="AZ76" t="str">
            <v>Duplex</v>
          </cell>
          <cell r="BA76">
            <v>1</v>
          </cell>
          <cell r="BB76" t="str">
            <v>568 - Without Partition</v>
          </cell>
          <cell r="BC76" t="str">
            <v xml:space="preserve">Without Partition </v>
          </cell>
          <cell r="BD76" t="str">
            <v>Slant</v>
          </cell>
          <cell r="BE76" t="str">
            <v xml:space="preserve">Without Partition </v>
          </cell>
          <cell r="BF76" t="str">
            <v>PURPLE</v>
          </cell>
          <cell r="BG76">
            <v>2500000</v>
          </cell>
          <cell r="BH76">
            <v>2650000</v>
          </cell>
          <cell r="BI76">
            <v>100000</v>
          </cell>
          <cell r="BJ76">
            <v>2550000</v>
          </cell>
          <cell r="BK76">
            <v>0</v>
          </cell>
          <cell r="BL76">
            <v>2550000</v>
          </cell>
        </row>
        <row r="77">
          <cell r="D77" t="str">
            <v>OS</v>
          </cell>
          <cell r="E77"/>
          <cell r="F77">
            <v>57</v>
          </cell>
          <cell r="G77" t="str">
            <v>UNSOLD</v>
          </cell>
          <cell r="H77" t="str">
            <v>OS</v>
          </cell>
          <cell r="I77" t="str">
            <v>OS</v>
          </cell>
          <cell r="J77" t="str">
            <v>OS</v>
          </cell>
          <cell r="K77" t="str">
            <v>OS</v>
          </cell>
          <cell r="L77" t="str">
            <v>OS</v>
          </cell>
          <cell r="M77" t="str">
            <v>OS</v>
          </cell>
          <cell r="N77" t="str">
            <v>OS</v>
          </cell>
          <cell r="O77" t="str">
            <v>OS</v>
          </cell>
          <cell r="P77" t="str">
            <v>OS</v>
          </cell>
          <cell r="Q77" t="str">
            <v>OS</v>
          </cell>
          <cell r="R77" t="str">
            <v>OS</v>
          </cell>
          <cell r="S77" t="str">
            <v>OS</v>
          </cell>
          <cell r="T77" t="str">
            <v>OS</v>
          </cell>
          <cell r="U77" t="str">
            <v>OS</v>
          </cell>
          <cell r="V77" t="str">
            <v>OS</v>
          </cell>
          <cell r="W77" t="str">
            <v>OS</v>
          </cell>
          <cell r="X77" t="str">
            <v>OS</v>
          </cell>
          <cell r="Y77" t="str">
            <v>OS</v>
          </cell>
          <cell r="Z77" t="str">
            <v>OS</v>
          </cell>
          <cell r="AA77" t="str">
            <v>OS</v>
          </cell>
          <cell r="AB77" t="str">
            <v>OS</v>
          </cell>
          <cell r="AC77" t="str">
            <v>OS</v>
          </cell>
          <cell r="AD77" t="str">
            <v>AGM-01-005-019</v>
          </cell>
          <cell r="AE77" t="str">
            <v xml:space="preserve">Raemulan Lands, Inc. </v>
          </cell>
          <cell r="AF77" t="str">
            <v>Agapeya</v>
          </cell>
          <cell r="AG77" t="str">
            <v>AGM</v>
          </cell>
          <cell r="AH77" t="str">
            <v>Eco-High</v>
          </cell>
          <cell r="AI77" t="str">
            <v>West</v>
          </cell>
          <cell r="AJ77" t="str">
            <v>With LTS</v>
          </cell>
          <cell r="AK77" t="str">
            <v>Unaffected lots</v>
          </cell>
          <cell r="AL77" t="str">
            <v>Unaffected lots</v>
          </cell>
          <cell r="AM77" t="b">
            <v>1</v>
          </cell>
          <cell r="AN77" t="str">
            <v>YES</v>
          </cell>
          <cell r="AO77" t="str">
            <v>B4 2025</v>
          </cell>
          <cell r="AP77">
            <v>70</v>
          </cell>
          <cell r="AQ77" t="str">
            <v>PCS-04-034407</v>
          </cell>
          <cell r="AR77" t="b">
            <v>1</v>
          </cell>
          <cell r="AS77" t="str">
            <v>Done</v>
          </cell>
          <cell r="AT77" t="str">
            <v>2025 - Batch 5</v>
          </cell>
          <cell r="AU77">
            <v>5</v>
          </cell>
          <cell r="AV77">
            <v>19</v>
          </cell>
          <cell r="AW77" t="str">
            <v>H+L</v>
          </cell>
          <cell r="AX77">
            <v>70</v>
          </cell>
          <cell r="AY77">
            <v>50</v>
          </cell>
          <cell r="AZ77" t="str">
            <v>Duplex</v>
          </cell>
          <cell r="BA77">
            <v>1</v>
          </cell>
          <cell r="BB77" t="str">
            <v>568 - Without Partition</v>
          </cell>
          <cell r="BC77" t="str">
            <v xml:space="preserve">Without Partition </v>
          </cell>
          <cell r="BD77" t="str">
            <v>Slant</v>
          </cell>
          <cell r="BE77" t="str">
            <v xml:space="preserve">Without Partition </v>
          </cell>
          <cell r="BF77" t="str">
            <v>PURPLE</v>
          </cell>
          <cell r="BG77">
            <v>2500000</v>
          </cell>
          <cell r="BH77">
            <v>2650000</v>
          </cell>
          <cell r="BI77">
            <v>100000</v>
          </cell>
          <cell r="BJ77">
            <v>2550000</v>
          </cell>
          <cell r="BK77">
            <v>0</v>
          </cell>
          <cell r="BL77">
            <v>2550000</v>
          </cell>
        </row>
        <row r="78">
          <cell r="D78" t="str">
            <v>OS</v>
          </cell>
          <cell r="E78"/>
          <cell r="F78">
            <v>58</v>
          </cell>
          <cell r="G78" t="str">
            <v>CLOSED</v>
          </cell>
          <cell r="H78" t="str">
            <v>TS</v>
          </cell>
          <cell r="I78" t="str">
            <v>TS</v>
          </cell>
          <cell r="J78" t="str">
            <v>TS</v>
          </cell>
          <cell r="K78" t="str">
            <v>TS</v>
          </cell>
          <cell r="L78" t="str">
            <v>TS</v>
          </cell>
          <cell r="M78" t="str">
            <v>TS</v>
          </cell>
          <cell r="N78" t="str">
            <v>OS</v>
          </cell>
          <cell r="O78" t="str">
            <v>OS</v>
          </cell>
          <cell r="P78" t="str">
            <v>OS</v>
          </cell>
          <cell r="Q78" t="str">
            <v>OS</v>
          </cell>
          <cell r="R78" t="str">
            <v>OS</v>
          </cell>
          <cell r="S78" t="str">
            <v>OS</v>
          </cell>
          <cell r="T78" t="str">
            <v>OS</v>
          </cell>
          <cell r="U78" t="str">
            <v>OS</v>
          </cell>
          <cell r="V78" t="str">
            <v>OS</v>
          </cell>
          <cell r="W78" t="str">
            <v>OS</v>
          </cell>
          <cell r="X78" t="str">
            <v>OS</v>
          </cell>
          <cell r="Y78" t="str">
            <v>OS</v>
          </cell>
          <cell r="Z78" t="str">
            <v>OS</v>
          </cell>
          <cell r="AA78" t="str">
            <v>OS</v>
          </cell>
          <cell r="AB78" t="str">
            <v>OS</v>
          </cell>
          <cell r="AC78" t="str">
            <v>OS</v>
          </cell>
          <cell r="AD78" t="str">
            <v>AGM-01-005-020</v>
          </cell>
          <cell r="AE78" t="str">
            <v xml:space="preserve">Raemulan Lands, Inc. </v>
          </cell>
          <cell r="AF78" t="str">
            <v>Agapeya</v>
          </cell>
          <cell r="AG78" t="str">
            <v>AGM</v>
          </cell>
          <cell r="AH78" t="str">
            <v>Eco-High</v>
          </cell>
          <cell r="AI78" t="str">
            <v>West</v>
          </cell>
          <cell r="AJ78" t="str">
            <v>With LTS</v>
          </cell>
          <cell r="AK78" t="str">
            <v>Unaffected lots</v>
          </cell>
          <cell r="AL78" t="str">
            <v>Unaffected lots</v>
          </cell>
          <cell r="AM78" t="b">
            <v>1</v>
          </cell>
          <cell r="AN78" t="str">
            <v>YES</v>
          </cell>
          <cell r="AO78" t="str">
            <v>B3 2025</v>
          </cell>
          <cell r="AP78">
            <v>80</v>
          </cell>
          <cell r="AQ78" t="str">
            <v>PCS-04-034407</v>
          </cell>
          <cell r="AR78" t="b">
            <v>1</v>
          </cell>
          <cell r="AS78" t="str">
            <v>Done</v>
          </cell>
          <cell r="AT78" t="str">
            <v>2025 - Batch 5</v>
          </cell>
          <cell r="AU78">
            <v>5</v>
          </cell>
          <cell r="AV78">
            <v>20</v>
          </cell>
          <cell r="AW78" t="str">
            <v>H+L</v>
          </cell>
          <cell r="AX78">
            <v>80</v>
          </cell>
          <cell r="AY78">
            <v>50</v>
          </cell>
          <cell r="AZ78" t="str">
            <v>Duplex</v>
          </cell>
          <cell r="BA78">
            <v>1</v>
          </cell>
          <cell r="BB78" t="str">
            <v>568 - Without Partition</v>
          </cell>
          <cell r="BC78" t="str">
            <v xml:space="preserve">Without Partition </v>
          </cell>
          <cell r="BD78" t="str">
            <v>Flat</v>
          </cell>
          <cell r="BE78" t="str">
            <v xml:space="preserve">Without Partition </v>
          </cell>
          <cell r="BF78" t="str">
            <v>PURPLE</v>
          </cell>
          <cell r="BG78">
            <v>2500000</v>
          </cell>
          <cell r="BH78">
            <v>2800000</v>
          </cell>
          <cell r="BI78">
            <v>100000</v>
          </cell>
          <cell r="BJ78">
            <v>2700000</v>
          </cell>
          <cell r="BK78">
            <v>0</v>
          </cell>
          <cell r="BL78">
            <v>2700000</v>
          </cell>
        </row>
        <row r="79">
          <cell r="D79" t="str">
            <v>OS</v>
          </cell>
          <cell r="E79"/>
          <cell r="F79">
            <v>59</v>
          </cell>
          <cell r="G79" t="str">
            <v>SOLD</v>
          </cell>
          <cell r="H79" t="str">
            <v>OS</v>
          </cell>
          <cell r="I79" t="str">
            <v>OS</v>
          </cell>
          <cell r="J79" t="str">
            <v>OS</v>
          </cell>
          <cell r="K79" t="str">
            <v>OS</v>
          </cell>
          <cell r="L79" t="str">
            <v>OS</v>
          </cell>
          <cell r="M79" t="str">
            <v>OS</v>
          </cell>
          <cell r="N79" t="str">
            <v>OS</v>
          </cell>
          <cell r="O79" t="str">
            <v>OS</v>
          </cell>
          <cell r="P79" t="str">
            <v>OS</v>
          </cell>
          <cell r="Q79" t="str">
            <v>OS</v>
          </cell>
          <cell r="R79" t="str">
            <v>OS</v>
          </cell>
          <cell r="S79" t="str">
            <v>OS</v>
          </cell>
          <cell r="T79" t="str">
            <v>OS</v>
          </cell>
          <cell r="U79" t="str">
            <v>OS</v>
          </cell>
          <cell r="V79" t="str">
            <v>OS</v>
          </cell>
          <cell r="W79" t="str">
            <v>OS</v>
          </cell>
          <cell r="X79" t="str">
            <v>OS</v>
          </cell>
          <cell r="Y79" t="str">
            <v>OS</v>
          </cell>
          <cell r="Z79" t="str">
            <v>OS</v>
          </cell>
          <cell r="AA79" t="str">
            <v>OS</v>
          </cell>
          <cell r="AB79" t="str">
            <v>OS</v>
          </cell>
          <cell r="AC79" t="str">
            <v>OS</v>
          </cell>
          <cell r="AD79" t="str">
            <v>AGM-01-005-021</v>
          </cell>
          <cell r="AE79" t="str">
            <v xml:space="preserve">Raemulan Lands, Inc. </v>
          </cell>
          <cell r="AF79" t="str">
            <v>Agapeya</v>
          </cell>
          <cell r="AG79" t="str">
            <v>AGM</v>
          </cell>
          <cell r="AH79" t="str">
            <v>Eco-High</v>
          </cell>
          <cell r="AI79" t="str">
            <v>West</v>
          </cell>
          <cell r="AJ79" t="str">
            <v>With LTS</v>
          </cell>
          <cell r="AK79" t="str">
            <v>Unaffected lots</v>
          </cell>
          <cell r="AL79" t="str">
            <v>Unaffected lots</v>
          </cell>
          <cell r="AM79" t="b">
            <v>1</v>
          </cell>
          <cell r="AN79" t="str">
            <v>YES</v>
          </cell>
          <cell r="AO79" t="str">
            <v>B3 2025</v>
          </cell>
          <cell r="AP79">
            <v>80</v>
          </cell>
          <cell r="AQ79" t="str">
            <v>PCS-04-034407</v>
          </cell>
          <cell r="AR79" t="b">
            <v>1</v>
          </cell>
          <cell r="AS79" t="str">
            <v>Done</v>
          </cell>
          <cell r="AT79" t="str">
            <v>2025 - Batch 5</v>
          </cell>
          <cell r="AU79">
            <v>5</v>
          </cell>
          <cell r="AV79">
            <v>21</v>
          </cell>
          <cell r="AW79" t="str">
            <v>H+L</v>
          </cell>
          <cell r="AX79">
            <v>80</v>
          </cell>
          <cell r="AY79">
            <v>50</v>
          </cell>
          <cell r="AZ79" t="str">
            <v>Duplex</v>
          </cell>
          <cell r="BA79">
            <v>1</v>
          </cell>
          <cell r="BB79" t="str">
            <v>568 - Without Partition</v>
          </cell>
          <cell r="BC79" t="str">
            <v xml:space="preserve">Without Partition </v>
          </cell>
          <cell r="BD79" t="str">
            <v>Flat</v>
          </cell>
          <cell r="BE79" t="str">
            <v xml:space="preserve">Without Partition </v>
          </cell>
          <cell r="BF79" t="str">
            <v>PINK</v>
          </cell>
          <cell r="BG79">
            <v>2650000</v>
          </cell>
          <cell r="BH79">
            <v>2800000</v>
          </cell>
          <cell r="BI79">
            <v>100000</v>
          </cell>
          <cell r="BJ79">
            <v>2700000</v>
          </cell>
          <cell r="BK79">
            <v>0</v>
          </cell>
          <cell r="BL79">
            <v>2700000</v>
          </cell>
        </row>
        <row r="80">
          <cell r="D80" t="str">
            <v>OS</v>
          </cell>
          <cell r="E80"/>
          <cell r="F80">
            <v>60</v>
          </cell>
          <cell r="G80" t="str">
            <v>SOLD</v>
          </cell>
          <cell r="H80" t="str">
            <v>OS</v>
          </cell>
          <cell r="I80" t="str">
            <v>OS</v>
          </cell>
          <cell r="J80" t="str">
            <v>OS</v>
          </cell>
          <cell r="K80" t="str">
            <v>OS</v>
          </cell>
          <cell r="L80" t="str">
            <v>OS</v>
          </cell>
          <cell r="M80" t="str">
            <v>OS</v>
          </cell>
          <cell r="N80" t="str">
            <v>OS</v>
          </cell>
          <cell r="O80" t="str">
            <v>OS</v>
          </cell>
          <cell r="P80" t="str">
            <v>OS</v>
          </cell>
          <cell r="Q80" t="str">
            <v>OS</v>
          </cell>
          <cell r="R80" t="str">
            <v>OS</v>
          </cell>
          <cell r="S80" t="str">
            <v>OS</v>
          </cell>
          <cell r="T80" t="str">
            <v>OS</v>
          </cell>
          <cell r="U80" t="str">
            <v>OS</v>
          </cell>
          <cell r="V80" t="str">
            <v>OS</v>
          </cell>
          <cell r="W80" t="str">
            <v>OS</v>
          </cell>
          <cell r="X80" t="str">
            <v>OS</v>
          </cell>
          <cell r="Y80" t="str">
            <v>OS</v>
          </cell>
          <cell r="Z80" t="str">
            <v>OS</v>
          </cell>
          <cell r="AA80" t="str">
            <v>OS</v>
          </cell>
          <cell r="AB80" t="str">
            <v>OS</v>
          </cell>
          <cell r="AC80" t="str">
            <v>OS</v>
          </cell>
          <cell r="AD80" t="str">
            <v>AGM-01-005-022</v>
          </cell>
          <cell r="AE80" t="str">
            <v xml:space="preserve">Raemulan Lands, Inc. </v>
          </cell>
          <cell r="AF80" t="str">
            <v>Agapeya</v>
          </cell>
          <cell r="AG80" t="str">
            <v>AGM</v>
          </cell>
          <cell r="AH80" t="str">
            <v>Eco-High</v>
          </cell>
          <cell r="AI80" t="str">
            <v>West</v>
          </cell>
          <cell r="AJ80" t="str">
            <v>With LTS</v>
          </cell>
          <cell r="AK80" t="str">
            <v>Unaffected lots</v>
          </cell>
          <cell r="AL80" t="str">
            <v>Unaffected lots</v>
          </cell>
          <cell r="AM80" t="b">
            <v>1</v>
          </cell>
          <cell r="AN80" t="str">
            <v>YES</v>
          </cell>
          <cell r="AO80" t="str">
            <v>B3 2025</v>
          </cell>
          <cell r="AP80">
            <v>95</v>
          </cell>
          <cell r="AQ80" t="str">
            <v>PCS-04-034407</v>
          </cell>
          <cell r="AR80" t="b">
            <v>1</v>
          </cell>
          <cell r="AS80" t="str">
            <v>Done</v>
          </cell>
          <cell r="AT80" t="str">
            <v>2025 - Batch 5</v>
          </cell>
          <cell r="AU80">
            <v>5</v>
          </cell>
          <cell r="AV80">
            <v>22</v>
          </cell>
          <cell r="AW80" t="str">
            <v>H+L</v>
          </cell>
          <cell r="AX80">
            <v>95</v>
          </cell>
          <cell r="AY80">
            <v>50</v>
          </cell>
          <cell r="AZ80" t="str">
            <v>Duplex</v>
          </cell>
          <cell r="BA80">
            <v>1</v>
          </cell>
          <cell r="BB80" t="str">
            <v>568 - Without Partition</v>
          </cell>
          <cell r="BC80" t="str">
            <v xml:space="preserve">Without Partition </v>
          </cell>
          <cell r="BD80" t="str">
            <v>Slant</v>
          </cell>
          <cell r="BE80" t="str">
            <v xml:space="preserve">Without Partition </v>
          </cell>
          <cell r="BF80" t="str">
            <v>PINK</v>
          </cell>
          <cell r="BG80">
            <v>2875000</v>
          </cell>
          <cell r="BH80">
            <v>3025000</v>
          </cell>
          <cell r="BI80">
            <v>100000</v>
          </cell>
          <cell r="BJ80">
            <v>2925000</v>
          </cell>
          <cell r="BK80">
            <v>0</v>
          </cell>
          <cell r="BL80">
            <v>2925000</v>
          </cell>
        </row>
        <row r="81">
          <cell r="D81" t="str">
            <v>OS</v>
          </cell>
          <cell r="E81"/>
          <cell r="F81">
            <v>61</v>
          </cell>
          <cell r="G81" t="str">
            <v>SOLD</v>
          </cell>
          <cell r="H81" t="str">
            <v>OS</v>
          </cell>
          <cell r="I81" t="str">
            <v>OS</v>
          </cell>
          <cell r="J81" t="str">
            <v>OS</v>
          </cell>
          <cell r="K81" t="str">
            <v>OS</v>
          </cell>
          <cell r="L81" t="str">
            <v>OS</v>
          </cell>
          <cell r="M81" t="str">
            <v>OS</v>
          </cell>
          <cell r="N81" t="str">
            <v>OS</v>
          </cell>
          <cell r="O81" t="str">
            <v>OS</v>
          </cell>
          <cell r="P81" t="str">
            <v>OS</v>
          </cell>
          <cell r="Q81" t="str">
            <v>OS</v>
          </cell>
          <cell r="R81" t="str">
            <v>OS</v>
          </cell>
          <cell r="S81" t="str">
            <v>OS</v>
          </cell>
          <cell r="T81" t="str">
            <v>OS</v>
          </cell>
          <cell r="U81" t="str">
            <v>OS</v>
          </cell>
          <cell r="V81" t="str">
            <v>OS</v>
          </cell>
          <cell r="W81" t="str">
            <v>OS</v>
          </cell>
          <cell r="X81" t="str">
            <v>OS</v>
          </cell>
          <cell r="Y81" t="str">
            <v>OS</v>
          </cell>
          <cell r="Z81" t="str">
            <v>OS</v>
          </cell>
          <cell r="AA81" t="str">
            <v>OS</v>
          </cell>
          <cell r="AB81" t="str">
            <v>OS</v>
          </cell>
          <cell r="AC81" t="str">
            <v>OS</v>
          </cell>
          <cell r="AD81" t="str">
            <v>AGM-01-006-001</v>
          </cell>
          <cell r="AE81" t="str">
            <v xml:space="preserve">Raemulan Lands, Inc. </v>
          </cell>
          <cell r="AF81" t="str">
            <v>Agapeya</v>
          </cell>
          <cell r="AG81" t="str">
            <v>AGM</v>
          </cell>
          <cell r="AH81" t="str">
            <v>Eco-High</v>
          </cell>
          <cell r="AI81" t="str">
            <v>West</v>
          </cell>
          <cell r="AJ81" t="str">
            <v>With LTS</v>
          </cell>
          <cell r="AK81" t="str">
            <v>Unaffected lots</v>
          </cell>
          <cell r="AL81" t="str">
            <v>Unaffected lots</v>
          </cell>
          <cell r="AM81" t="b">
            <v>1</v>
          </cell>
          <cell r="AN81" t="str">
            <v>YES</v>
          </cell>
          <cell r="AO81" t="str">
            <v>2024 Batch</v>
          </cell>
          <cell r="AP81">
            <v>100</v>
          </cell>
          <cell r="AQ81" t="str">
            <v>PCS-04-034407</v>
          </cell>
          <cell r="AR81" t="b">
            <v>1</v>
          </cell>
          <cell r="AS81" t="str">
            <v xml:space="preserve">Done </v>
          </cell>
          <cell r="AT81" t="str">
            <v>2024 Batch</v>
          </cell>
          <cell r="AU81">
            <v>6</v>
          </cell>
          <cell r="AV81">
            <v>1</v>
          </cell>
          <cell r="AW81" t="str">
            <v>H+L</v>
          </cell>
          <cell r="AX81">
            <v>100</v>
          </cell>
          <cell r="AY81">
            <v>50</v>
          </cell>
          <cell r="AZ81" t="str">
            <v>Duplex</v>
          </cell>
          <cell r="BA81">
            <v>1</v>
          </cell>
          <cell r="BB81" t="str">
            <v>326 - With Partition</v>
          </cell>
          <cell r="BC81" t="str">
            <v xml:space="preserve">Without Partition </v>
          </cell>
          <cell r="BD81" t="str">
            <v>Slant</v>
          </cell>
          <cell r="BE81" t="str">
            <v xml:space="preserve">Without Partition </v>
          </cell>
          <cell r="BF81" t="str">
            <v>PINK</v>
          </cell>
          <cell r="BG81">
            <v>3201500</v>
          </cell>
          <cell r="BH81">
            <v>3100000</v>
          </cell>
          <cell r="BI81">
            <v>100000</v>
          </cell>
          <cell r="BJ81">
            <v>3000000</v>
          </cell>
          <cell r="BK81">
            <v>0</v>
          </cell>
          <cell r="BL81">
            <v>3000000</v>
          </cell>
        </row>
        <row r="82">
          <cell r="D82" t="str">
            <v>OS</v>
          </cell>
          <cell r="E82"/>
          <cell r="F82">
            <v>62</v>
          </cell>
          <cell r="G82" t="str">
            <v>SOLD</v>
          </cell>
          <cell r="H82" t="str">
            <v>OS</v>
          </cell>
          <cell r="I82" t="str">
            <v>OS</v>
          </cell>
          <cell r="J82" t="str">
            <v>OS</v>
          </cell>
          <cell r="K82" t="str">
            <v>OS</v>
          </cell>
          <cell r="L82" t="str">
            <v>OS</v>
          </cell>
          <cell r="M82" t="str">
            <v>OS</v>
          </cell>
          <cell r="N82" t="str">
            <v>OS</v>
          </cell>
          <cell r="O82" t="str">
            <v>OS</v>
          </cell>
          <cell r="P82" t="str">
            <v>OS</v>
          </cell>
          <cell r="Q82" t="str">
            <v>OS</v>
          </cell>
          <cell r="R82" t="str">
            <v>OS</v>
          </cell>
          <cell r="S82" t="str">
            <v>OS</v>
          </cell>
          <cell r="T82" t="str">
            <v>OS</v>
          </cell>
          <cell r="U82" t="str">
            <v>OS</v>
          </cell>
          <cell r="V82" t="str">
            <v>OS</v>
          </cell>
          <cell r="W82" t="str">
            <v>OS</v>
          </cell>
          <cell r="X82" t="str">
            <v>OS</v>
          </cell>
          <cell r="Y82" t="str">
            <v>OS</v>
          </cell>
          <cell r="Z82" t="str">
            <v>OS</v>
          </cell>
          <cell r="AA82" t="str">
            <v>OS</v>
          </cell>
          <cell r="AB82" t="str">
            <v>OS</v>
          </cell>
          <cell r="AC82" t="str">
            <v>OS</v>
          </cell>
          <cell r="AD82" t="str">
            <v>AGM-01-006-002</v>
          </cell>
          <cell r="AE82" t="str">
            <v xml:space="preserve">Raemulan Lands, Inc. </v>
          </cell>
          <cell r="AF82" t="str">
            <v>Agapeya</v>
          </cell>
          <cell r="AG82" t="str">
            <v>AGM</v>
          </cell>
          <cell r="AH82" t="str">
            <v>Eco-High</v>
          </cell>
          <cell r="AI82" t="str">
            <v>West</v>
          </cell>
          <cell r="AJ82" t="str">
            <v>With LTS</v>
          </cell>
          <cell r="AK82" t="str">
            <v>Unaffected lots</v>
          </cell>
          <cell r="AL82" t="str">
            <v>Unaffected lots</v>
          </cell>
          <cell r="AM82" t="b">
            <v>1</v>
          </cell>
          <cell r="AN82" t="str">
            <v>YES</v>
          </cell>
          <cell r="AO82" t="str">
            <v>2024 Batch</v>
          </cell>
          <cell r="AP82">
            <v>70</v>
          </cell>
          <cell r="AQ82" t="str">
            <v>PCS-04-034407</v>
          </cell>
          <cell r="AR82" t="b">
            <v>1</v>
          </cell>
          <cell r="AS82" t="str">
            <v>Done</v>
          </cell>
          <cell r="AT82" t="str">
            <v>2024 Batch</v>
          </cell>
          <cell r="AU82">
            <v>6</v>
          </cell>
          <cell r="AV82">
            <v>2</v>
          </cell>
          <cell r="AW82" t="str">
            <v>H+L</v>
          </cell>
          <cell r="AX82">
            <v>70</v>
          </cell>
          <cell r="AY82">
            <v>50</v>
          </cell>
          <cell r="AZ82" t="str">
            <v>Duplex</v>
          </cell>
          <cell r="BA82">
            <v>1</v>
          </cell>
          <cell r="BB82" t="str">
            <v>326 - With Partition</v>
          </cell>
          <cell r="BC82" t="str">
            <v>With Partition</v>
          </cell>
          <cell r="BD82" t="str">
            <v>Flat</v>
          </cell>
          <cell r="BE82" t="str">
            <v>With Partition</v>
          </cell>
          <cell r="BF82" t="str">
            <v>YELLOW</v>
          </cell>
          <cell r="BG82">
            <v>2707500</v>
          </cell>
          <cell r="BH82">
            <v>2850000</v>
          </cell>
          <cell r="BI82">
            <v>100000</v>
          </cell>
          <cell r="BJ82">
            <v>2750000</v>
          </cell>
          <cell r="BK82">
            <v>0</v>
          </cell>
          <cell r="BL82">
            <v>2750000</v>
          </cell>
        </row>
        <row r="83">
          <cell r="D83" t="str">
            <v>OS</v>
          </cell>
          <cell r="E83"/>
          <cell r="F83">
            <v>63</v>
          </cell>
          <cell r="G83" t="str">
            <v>SOLD</v>
          </cell>
          <cell r="H83" t="str">
            <v>HOLD</v>
          </cell>
          <cell r="I83" t="str">
            <v>HOLD</v>
          </cell>
          <cell r="J83" t="str">
            <v>HOLD</v>
          </cell>
          <cell r="K83" t="str">
            <v>HOLD</v>
          </cell>
          <cell r="L83" t="str">
            <v>HOLD</v>
          </cell>
          <cell r="M83" t="str">
            <v>HOLD BY CAD</v>
          </cell>
          <cell r="N83" t="str">
            <v>HOLD</v>
          </cell>
          <cell r="O83" t="str">
            <v>TS</v>
          </cell>
          <cell r="P83" t="str">
            <v>OS</v>
          </cell>
          <cell r="Q83" t="str">
            <v>OS</v>
          </cell>
          <cell r="R83" t="str">
            <v>OS</v>
          </cell>
          <cell r="S83" t="str">
            <v>OS</v>
          </cell>
          <cell r="T83" t="str">
            <v>OS</v>
          </cell>
          <cell r="U83" t="str">
            <v>OS</v>
          </cell>
          <cell r="V83" t="str">
            <v>OS</v>
          </cell>
          <cell r="W83" t="str">
            <v>OS</v>
          </cell>
          <cell r="X83" t="str">
            <v>OS</v>
          </cell>
          <cell r="Y83" t="str">
            <v>OS</v>
          </cell>
          <cell r="Z83" t="str">
            <v>OS</v>
          </cell>
          <cell r="AA83" t="str">
            <v>OS</v>
          </cell>
          <cell r="AB83" t="str">
            <v>OS</v>
          </cell>
          <cell r="AC83" t="str">
            <v>OS</v>
          </cell>
          <cell r="AD83" t="str">
            <v>AGM-01-006-003</v>
          </cell>
          <cell r="AE83" t="str">
            <v xml:space="preserve">Raemulan Lands, Inc. </v>
          </cell>
          <cell r="AF83" t="str">
            <v>Agapeya</v>
          </cell>
          <cell r="AG83" t="str">
            <v>AGM</v>
          </cell>
          <cell r="AH83" t="str">
            <v>Eco-High</v>
          </cell>
          <cell r="AI83" t="str">
            <v>West</v>
          </cell>
          <cell r="AJ83" t="str">
            <v>With LTS</v>
          </cell>
          <cell r="AK83" t="str">
            <v>Unaffected lots</v>
          </cell>
          <cell r="AL83" t="str">
            <v>Unaffected lots</v>
          </cell>
          <cell r="AM83" t="b">
            <v>1</v>
          </cell>
          <cell r="AN83" t="str">
            <v>YES</v>
          </cell>
          <cell r="AO83" t="str">
            <v>2024 Batch</v>
          </cell>
          <cell r="AP83">
            <v>70</v>
          </cell>
          <cell r="AQ83" t="str">
            <v>PCS-04-034407</v>
          </cell>
          <cell r="AR83" t="b">
            <v>1</v>
          </cell>
          <cell r="AS83" t="str">
            <v>Done</v>
          </cell>
          <cell r="AT83" t="str">
            <v>2024 Batch</v>
          </cell>
          <cell r="AU83">
            <v>6</v>
          </cell>
          <cell r="AV83">
            <v>3</v>
          </cell>
          <cell r="AW83" t="str">
            <v>H+L</v>
          </cell>
          <cell r="AX83">
            <v>70</v>
          </cell>
          <cell r="AY83">
            <v>50</v>
          </cell>
          <cell r="AZ83" t="str">
            <v>Duplex</v>
          </cell>
          <cell r="BA83">
            <v>1</v>
          </cell>
          <cell r="BB83" t="str">
            <v>326 - With Partition</v>
          </cell>
          <cell r="BC83" t="str">
            <v xml:space="preserve">Without Partition </v>
          </cell>
          <cell r="BD83" t="str">
            <v>Slant</v>
          </cell>
          <cell r="BE83" t="str">
            <v xml:space="preserve">Without Partition </v>
          </cell>
          <cell r="BF83" t="str">
            <v>YELLOW</v>
          </cell>
          <cell r="BG83">
            <v>2650000</v>
          </cell>
          <cell r="BH83">
            <v>2650000</v>
          </cell>
          <cell r="BI83">
            <v>100000</v>
          </cell>
          <cell r="BJ83">
            <v>2550000</v>
          </cell>
          <cell r="BK83">
            <v>0</v>
          </cell>
          <cell r="BL83">
            <v>2550000</v>
          </cell>
        </row>
        <row r="84">
          <cell r="D84" t="str">
            <v>OS</v>
          </cell>
          <cell r="E84"/>
          <cell r="F84">
            <v>64</v>
          </cell>
          <cell r="G84" t="str">
            <v>SOLD</v>
          </cell>
          <cell r="H84" t="str">
            <v>OS</v>
          </cell>
          <cell r="I84" t="str">
            <v>OS</v>
          </cell>
          <cell r="J84" t="str">
            <v>OS</v>
          </cell>
          <cell r="K84" t="str">
            <v>OS</v>
          </cell>
          <cell r="L84" t="str">
            <v>OS</v>
          </cell>
          <cell r="M84" t="str">
            <v>OS</v>
          </cell>
          <cell r="N84" t="str">
            <v>OS</v>
          </cell>
          <cell r="O84" t="str">
            <v>OS</v>
          </cell>
          <cell r="P84" t="str">
            <v>OS</v>
          </cell>
          <cell r="Q84" t="str">
            <v>OS</v>
          </cell>
          <cell r="R84" t="str">
            <v>OS</v>
          </cell>
          <cell r="S84" t="str">
            <v>OS</v>
          </cell>
          <cell r="T84" t="str">
            <v>OS</v>
          </cell>
          <cell r="U84" t="str">
            <v>OS</v>
          </cell>
          <cell r="V84" t="str">
            <v>OS</v>
          </cell>
          <cell r="W84" t="str">
            <v>OS</v>
          </cell>
          <cell r="X84" t="str">
            <v>OS</v>
          </cell>
          <cell r="Y84" t="str">
            <v>OS</v>
          </cell>
          <cell r="Z84" t="str">
            <v>OS</v>
          </cell>
          <cell r="AA84" t="str">
            <v>OS</v>
          </cell>
          <cell r="AB84" t="str">
            <v>OS</v>
          </cell>
          <cell r="AC84" t="str">
            <v>OS</v>
          </cell>
          <cell r="AD84" t="str">
            <v>AGM-01-006-004</v>
          </cell>
          <cell r="AE84" t="str">
            <v xml:space="preserve">Raemulan Lands, Inc. </v>
          </cell>
          <cell r="AF84" t="str">
            <v>Agapeya</v>
          </cell>
          <cell r="AG84" t="str">
            <v>AGM</v>
          </cell>
          <cell r="AH84" t="str">
            <v>Eco-High</v>
          </cell>
          <cell r="AI84" t="str">
            <v>West</v>
          </cell>
          <cell r="AJ84" t="str">
            <v>With LTS</v>
          </cell>
          <cell r="AK84" t="str">
            <v>Unaffected lots</v>
          </cell>
          <cell r="AL84" t="str">
            <v>Unaffected lots</v>
          </cell>
          <cell r="AM84" t="b">
            <v>1</v>
          </cell>
          <cell r="AN84" t="str">
            <v>YES</v>
          </cell>
          <cell r="AO84" t="str">
            <v>2024 Batch</v>
          </cell>
          <cell r="AP84">
            <v>70</v>
          </cell>
          <cell r="AQ84" t="str">
            <v>PCS-04-034407</v>
          </cell>
          <cell r="AR84" t="b">
            <v>1</v>
          </cell>
          <cell r="AS84" t="str">
            <v>Done</v>
          </cell>
          <cell r="AT84" t="str">
            <v>2024 Batch</v>
          </cell>
          <cell r="AU84">
            <v>6</v>
          </cell>
          <cell r="AV84">
            <v>4</v>
          </cell>
          <cell r="AW84" t="str">
            <v>H+L</v>
          </cell>
          <cell r="AX84">
            <v>70</v>
          </cell>
          <cell r="AY84">
            <v>50</v>
          </cell>
          <cell r="AZ84" t="str">
            <v>Duplex</v>
          </cell>
          <cell r="BA84">
            <v>1</v>
          </cell>
          <cell r="BB84" t="str">
            <v>326 - With Partition</v>
          </cell>
          <cell r="BC84" t="str">
            <v>With Partition</v>
          </cell>
          <cell r="BD84" t="str">
            <v>Slant</v>
          </cell>
          <cell r="BE84" t="str">
            <v>With Partition</v>
          </cell>
          <cell r="BF84" t="str">
            <v>YELLOW</v>
          </cell>
          <cell r="BG84">
            <v>2650000</v>
          </cell>
          <cell r="BH84">
            <v>2850000</v>
          </cell>
          <cell r="BI84">
            <v>100000</v>
          </cell>
          <cell r="BJ84">
            <v>2750000</v>
          </cell>
          <cell r="BK84">
            <v>0</v>
          </cell>
          <cell r="BL84">
            <v>2750000</v>
          </cell>
        </row>
        <row r="85">
          <cell r="D85" t="str">
            <v>OS</v>
          </cell>
          <cell r="E85"/>
          <cell r="F85">
            <v>65</v>
          </cell>
          <cell r="G85" t="str">
            <v>SOLD</v>
          </cell>
          <cell r="H85" t="str">
            <v>OS</v>
          </cell>
          <cell r="I85" t="str">
            <v>OS</v>
          </cell>
          <cell r="J85" t="str">
            <v>OS</v>
          </cell>
          <cell r="K85" t="str">
            <v>OS</v>
          </cell>
          <cell r="L85" t="str">
            <v>OS</v>
          </cell>
          <cell r="M85" t="str">
            <v>OS</v>
          </cell>
          <cell r="N85" t="str">
            <v>OS</v>
          </cell>
          <cell r="O85" t="str">
            <v>OS</v>
          </cell>
          <cell r="P85" t="str">
            <v>OS</v>
          </cell>
          <cell r="Q85" t="str">
            <v>OS</v>
          </cell>
          <cell r="R85" t="str">
            <v>OS</v>
          </cell>
          <cell r="S85" t="str">
            <v>OS</v>
          </cell>
          <cell r="T85" t="str">
            <v>OS</v>
          </cell>
          <cell r="U85" t="str">
            <v>OS</v>
          </cell>
          <cell r="V85" t="str">
            <v>OS</v>
          </cell>
          <cell r="W85" t="str">
            <v>OS</v>
          </cell>
          <cell r="X85" t="str">
            <v>OS</v>
          </cell>
          <cell r="Y85" t="str">
            <v>OS</v>
          </cell>
          <cell r="Z85" t="str">
            <v>OS</v>
          </cell>
          <cell r="AA85" t="str">
            <v>OS</v>
          </cell>
          <cell r="AB85" t="str">
            <v>OS</v>
          </cell>
          <cell r="AC85" t="str">
            <v>OS</v>
          </cell>
          <cell r="AD85" t="str">
            <v>AGM-01-006-005</v>
          </cell>
          <cell r="AE85" t="str">
            <v xml:space="preserve">Raemulan Lands, Inc. </v>
          </cell>
          <cell r="AF85" t="str">
            <v>Agapeya</v>
          </cell>
          <cell r="AG85" t="str">
            <v>AGM</v>
          </cell>
          <cell r="AH85" t="str">
            <v>Eco-High</v>
          </cell>
          <cell r="AI85" t="str">
            <v>West</v>
          </cell>
          <cell r="AJ85" t="str">
            <v>With LTS</v>
          </cell>
          <cell r="AK85" t="str">
            <v>Unaffected lots</v>
          </cell>
          <cell r="AL85" t="str">
            <v>Unaffected lots</v>
          </cell>
          <cell r="AM85" t="b">
            <v>1</v>
          </cell>
          <cell r="AN85" t="str">
            <v>YES</v>
          </cell>
          <cell r="AO85" t="str">
            <v>2024 Batch</v>
          </cell>
          <cell r="AP85">
            <v>70</v>
          </cell>
          <cell r="AQ85" t="str">
            <v>PCS-04-034407</v>
          </cell>
          <cell r="AR85" t="b">
            <v>1</v>
          </cell>
          <cell r="AS85" t="str">
            <v>Done</v>
          </cell>
          <cell r="AT85" t="str">
            <v>2024 Batch</v>
          </cell>
          <cell r="AU85">
            <v>6</v>
          </cell>
          <cell r="AV85">
            <v>5</v>
          </cell>
          <cell r="AW85" t="str">
            <v>H+L</v>
          </cell>
          <cell r="AX85">
            <v>70</v>
          </cell>
          <cell r="AY85">
            <v>50</v>
          </cell>
          <cell r="AZ85" t="str">
            <v>Duplex</v>
          </cell>
          <cell r="BA85">
            <v>1</v>
          </cell>
          <cell r="BB85" t="str">
            <v>326 - With Partition</v>
          </cell>
          <cell r="BC85" t="str">
            <v>With Partition</v>
          </cell>
          <cell r="BD85" t="str">
            <v>Flat</v>
          </cell>
          <cell r="BE85" t="str">
            <v>With Partition</v>
          </cell>
          <cell r="BF85" t="str">
            <v>YELLOW</v>
          </cell>
          <cell r="BG85">
            <v>2821500</v>
          </cell>
          <cell r="BH85">
            <v>2850000</v>
          </cell>
          <cell r="BI85">
            <v>100000</v>
          </cell>
          <cell r="BJ85">
            <v>2750000</v>
          </cell>
          <cell r="BK85">
            <v>0</v>
          </cell>
          <cell r="BL85">
            <v>2750000</v>
          </cell>
        </row>
        <row r="86">
          <cell r="D86" t="str">
            <v>OS</v>
          </cell>
          <cell r="E86"/>
          <cell r="F86">
            <v>66</v>
          </cell>
          <cell r="G86" t="str">
            <v>SOLD</v>
          </cell>
          <cell r="H86" t="str">
            <v>OS</v>
          </cell>
          <cell r="I86" t="str">
            <v>OS</v>
          </cell>
          <cell r="J86" t="str">
            <v>OS</v>
          </cell>
          <cell r="K86" t="str">
            <v>OS</v>
          </cell>
          <cell r="L86" t="str">
            <v>OS</v>
          </cell>
          <cell r="M86" t="str">
            <v>OS</v>
          </cell>
          <cell r="N86" t="str">
            <v>OS</v>
          </cell>
          <cell r="O86" t="str">
            <v>OS</v>
          </cell>
          <cell r="P86" t="str">
            <v>OS</v>
          </cell>
          <cell r="Q86" t="str">
            <v>OS</v>
          </cell>
          <cell r="R86" t="str">
            <v>OS</v>
          </cell>
          <cell r="S86" t="str">
            <v>OS</v>
          </cell>
          <cell r="T86" t="str">
            <v>OS</v>
          </cell>
          <cell r="U86" t="str">
            <v>OS</v>
          </cell>
          <cell r="V86" t="str">
            <v>OS</v>
          </cell>
          <cell r="W86" t="str">
            <v>OS</v>
          </cell>
          <cell r="X86" t="str">
            <v>OS</v>
          </cell>
          <cell r="Y86" t="str">
            <v>OS</v>
          </cell>
          <cell r="Z86" t="str">
            <v>OS</v>
          </cell>
          <cell r="AA86" t="str">
            <v>OS</v>
          </cell>
          <cell r="AB86" t="str">
            <v>OS</v>
          </cell>
          <cell r="AC86" t="str">
            <v>OS</v>
          </cell>
          <cell r="AD86" t="str">
            <v>AGM-01-006-006</v>
          </cell>
          <cell r="AE86" t="str">
            <v xml:space="preserve">Raemulan Lands, Inc. </v>
          </cell>
          <cell r="AF86" t="str">
            <v>Agapeya</v>
          </cell>
          <cell r="AG86" t="str">
            <v>AGM</v>
          </cell>
          <cell r="AH86" t="str">
            <v>Eco-High</v>
          </cell>
          <cell r="AI86" t="str">
            <v>West</v>
          </cell>
          <cell r="AJ86" t="str">
            <v>With LTS</v>
          </cell>
          <cell r="AK86" t="str">
            <v>Unaffected lots</v>
          </cell>
          <cell r="AL86" t="str">
            <v>Unaffected lots</v>
          </cell>
          <cell r="AM86" t="b">
            <v>1</v>
          </cell>
          <cell r="AN86" t="str">
            <v>YES</v>
          </cell>
          <cell r="AO86" t="str">
            <v>2024 Batch</v>
          </cell>
          <cell r="AP86">
            <v>70</v>
          </cell>
          <cell r="AQ86" t="str">
            <v>PCS-04-034407</v>
          </cell>
          <cell r="AR86" t="b">
            <v>1</v>
          </cell>
          <cell r="AS86" t="str">
            <v>Done</v>
          </cell>
          <cell r="AT86" t="str">
            <v>2024 Batch</v>
          </cell>
          <cell r="AU86">
            <v>6</v>
          </cell>
          <cell r="AV86">
            <v>6</v>
          </cell>
          <cell r="AW86" t="str">
            <v>H+L</v>
          </cell>
          <cell r="AX86">
            <v>70</v>
          </cell>
          <cell r="AY86">
            <v>50</v>
          </cell>
          <cell r="AZ86" t="str">
            <v>Duplex</v>
          </cell>
          <cell r="BA86">
            <v>1</v>
          </cell>
          <cell r="BB86" t="str">
            <v>326 - With Partition</v>
          </cell>
          <cell r="BC86" t="str">
            <v>With Partition</v>
          </cell>
          <cell r="BD86" t="str">
            <v>Flat</v>
          </cell>
          <cell r="BE86" t="str">
            <v>With Partition</v>
          </cell>
          <cell r="BF86" t="str">
            <v>GREEN</v>
          </cell>
          <cell r="BG86">
            <v>2821500</v>
          </cell>
          <cell r="BH86">
            <v>2850000</v>
          </cell>
          <cell r="BI86">
            <v>100000</v>
          </cell>
          <cell r="BJ86">
            <v>2750000</v>
          </cell>
          <cell r="BK86">
            <v>0</v>
          </cell>
          <cell r="BL86">
            <v>2750000</v>
          </cell>
        </row>
        <row r="87">
          <cell r="D87" t="str">
            <v>OS</v>
          </cell>
          <cell r="E87"/>
          <cell r="F87">
            <v>67</v>
          </cell>
          <cell r="G87" t="str">
            <v>SOLD</v>
          </cell>
          <cell r="H87" t="str">
            <v>OS</v>
          </cell>
          <cell r="I87" t="str">
            <v>OS</v>
          </cell>
          <cell r="J87" t="str">
            <v>OS</v>
          </cell>
          <cell r="K87" t="str">
            <v>OS</v>
          </cell>
          <cell r="L87" t="str">
            <v>OS</v>
          </cell>
          <cell r="M87" t="str">
            <v>OS</v>
          </cell>
          <cell r="N87" t="str">
            <v>OS</v>
          </cell>
          <cell r="O87" t="str">
            <v>OS</v>
          </cell>
          <cell r="P87" t="str">
            <v>OS</v>
          </cell>
          <cell r="Q87" t="str">
            <v>OS</v>
          </cell>
          <cell r="R87" t="str">
            <v>OS</v>
          </cell>
          <cell r="S87" t="str">
            <v>OS</v>
          </cell>
          <cell r="T87" t="str">
            <v>OS</v>
          </cell>
          <cell r="U87" t="str">
            <v>OS</v>
          </cell>
          <cell r="V87" t="str">
            <v>OS</v>
          </cell>
          <cell r="W87" t="str">
            <v>OS</v>
          </cell>
          <cell r="X87" t="str">
            <v>FOR CANCELLATION</v>
          </cell>
          <cell r="Y87" t="str">
            <v>FOR CANCELLATION</v>
          </cell>
          <cell r="Z87" t="str">
            <v>OS</v>
          </cell>
          <cell r="AA87" t="str">
            <v>OS</v>
          </cell>
          <cell r="AB87" t="str">
            <v>TS</v>
          </cell>
          <cell r="AC87" t="str">
            <v>TS</v>
          </cell>
          <cell r="AD87" t="str">
            <v>AGM-01-006-007</v>
          </cell>
          <cell r="AE87" t="str">
            <v xml:space="preserve">Raemulan Lands, Inc. </v>
          </cell>
          <cell r="AF87" t="str">
            <v>Agapeya</v>
          </cell>
          <cell r="AG87" t="str">
            <v>AGM</v>
          </cell>
          <cell r="AH87" t="str">
            <v>Eco-High</v>
          </cell>
          <cell r="AI87" t="str">
            <v>West</v>
          </cell>
          <cell r="AJ87" t="str">
            <v>With LTS</v>
          </cell>
          <cell r="AK87" t="str">
            <v>Unaffected lots</v>
          </cell>
          <cell r="AL87" t="str">
            <v>Unaffected lots</v>
          </cell>
          <cell r="AM87" t="b">
            <v>1</v>
          </cell>
          <cell r="AN87" t="str">
            <v>YES</v>
          </cell>
          <cell r="AO87" t="str">
            <v>2024 Batch</v>
          </cell>
          <cell r="AP87">
            <v>70</v>
          </cell>
          <cell r="AQ87" t="str">
            <v>PCS-04-034407</v>
          </cell>
          <cell r="AR87" t="b">
            <v>1</v>
          </cell>
          <cell r="AS87" t="str">
            <v>Done</v>
          </cell>
          <cell r="AT87" t="str">
            <v>2024 Batch</v>
          </cell>
          <cell r="AU87">
            <v>6</v>
          </cell>
          <cell r="AV87">
            <v>7</v>
          </cell>
          <cell r="AW87" t="str">
            <v>H+L</v>
          </cell>
          <cell r="AX87">
            <v>70</v>
          </cell>
          <cell r="AY87">
            <v>50</v>
          </cell>
          <cell r="AZ87" t="str">
            <v>Duplex</v>
          </cell>
          <cell r="BA87">
            <v>1</v>
          </cell>
          <cell r="BB87" t="str">
            <v>326 - With Partition</v>
          </cell>
          <cell r="BC87" t="str">
            <v>With Partition</v>
          </cell>
          <cell r="BD87" t="str">
            <v>Slant</v>
          </cell>
          <cell r="BE87" t="str">
            <v>With Partition</v>
          </cell>
          <cell r="BF87" t="str">
            <v>GREEN</v>
          </cell>
          <cell r="BG87">
            <v>2707500</v>
          </cell>
          <cell r="BH87">
            <v>2850000</v>
          </cell>
          <cell r="BI87">
            <v>100000</v>
          </cell>
          <cell r="BJ87">
            <v>2750000</v>
          </cell>
          <cell r="BK87">
            <v>0</v>
          </cell>
          <cell r="BL87">
            <v>2750000</v>
          </cell>
        </row>
        <row r="88">
          <cell r="D88" t="str">
            <v>TS</v>
          </cell>
          <cell r="E88"/>
          <cell r="F88">
            <v>68</v>
          </cell>
          <cell r="G88" t="str">
            <v>SOLD</v>
          </cell>
          <cell r="H88" t="str">
            <v>OS</v>
          </cell>
          <cell r="I88" t="str">
            <v>OS</v>
          </cell>
          <cell r="J88" t="str">
            <v>OS</v>
          </cell>
          <cell r="K88" t="str">
            <v>OS</v>
          </cell>
          <cell r="L88" t="str">
            <v>OS</v>
          </cell>
          <cell r="M88" t="str">
            <v>OS</v>
          </cell>
          <cell r="N88" t="str">
            <v>OS</v>
          </cell>
          <cell r="O88" t="str">
            <v>OS</v>
          </cell>
          <cell r="P88" t="str">
            <v>OS</v>
          </cell>
          <cell r="Q88" t="str">
            <v>OS</v>
          </cell>
          <cell r="R88" t="str">
            <v>OS</v>
          </cell>
          <cell r="S88" t="str">
            <v>OS</v>
          </cell>
          <cell r="T88" t="str">
            <v>OS</v>
          </cell>
          <cell r="U88" t="str">
            <v>OS</v>
          </cell>
          <cell r="V88" t="str">
            <v>OS</v>
          </cell>
          <cell r="W88" t="str">
            <v>OS</v>
          </cell>
          <cell r="X88" t="str">
            <v>OS</v>
          </cell>
          <cell r="Y88" t="str">
            <v>OS</v>
          </cell>
          <cell r="Z88" t="str">
            <v>TS</v>
          </cell>
          <cell r="AA88" t="str">
            <v>TS</v>
          </cell>
          <cell r="AB88" t="str">
            <v>OS</v>
          </cell>
          <cell r="AC88" t="str">
            <v>OS</v>
          </cell>
          <cell r="AD88" t="str">
            <v>AGM-01-006-008</v>
          </cell>
          <cell r="AE88" t="str">
            <v xml:space="preserve">Raemulan Lands, Inc. </v>
          </cell>
          <cell r="AF88" t="str">
            <v>Agapeya</v>
          </cell>
          <cell r="AG88" t="str">
            <v>AGM</v>
          </cell>
          <cell r="AH88" t="str">
            <v>Eco-High</v>
          </cell>
          <cell r="AI88" t="str">
            <v>West</v>
          </cell>
          <cell r="AJ88" t="str">
            <v>With LTS</v>
          </cell>
          <cell r="AK88" t="str">
            <v>Unaffected lots</v>
          </cell>
          <cell r="AL88" t="str">
            <v>Unaffected lots</v>
          </cell>
          <cell r="AM88" t="b">
            <v>1</v>
          </cell>
          <cell r="AN88" t="str">
            <v>YES</v>
          </cell>
          <cell r="AO88" t="str">
            <v>2024 Batch</v>
          </cell>
          <cell r="AP88">
            <v>70</v>
          </cell>
          <cell r="AQ88" t="str">
            <v>PCS-04-034407</v>
          </cell>
          <cell r="AR88" t="b">
            <v>1</v>
          </cell>
          <cell r="AS88" t="str">
            <v>Done</v>
          </cell>
          <cell r="AT88" t="str">
            <v>2024 Batch</v>
          </cell>
          <cell r="AU88">
            <v>6</v>
          </cell>
          <cell r="AV88">
            <v>8</v>
          </cell>
          <cell r="AW88" t="str">
            <v>H+L</v>
          </cell>
          <cell r="AX88">
            <v>70</v>
          </cell>
          <cell r="AY88">
            <v>50</v>
          </cell>
          <cell r="AZ88" t="str">
            <v>Duplex</v>
          </cell>
          <cell r="BA88">
            <v>1</v>
          </cell>
          <cell r="BB88" t="str">
            <v>326 - With Partition</v>
          </cell>
          <cell r="BC88" t="str">
            <v xml:space="preserve">Without Partition </v>
          </cell>
          <cell r="BD88" t="str">
            <v>Slant</v>
          </cell>
          <cell r="BE88" t="str">
            <v xml:space="preserve">Without Partition </v>
          </cell>
          <cell r="BF88" t="str">
            <v>GREEN</v>
          </cell>
          <cell r="BG88">
            <v>2650000</v>
          </cell>
          <cell r="BH88">
            <v>2650000</v>
          </cell>
          <cell r="BI88">
            <v>100000</v>
          </cell>
          <cell r="BJ88">
            <v>2550000</v>
          </cell>
          <cell r="BK88">
            <v>0</v>
          </cell>
          <cell r="BL88">
            <v>2550000</v>
          </cell>
        </row>
        <row r="89">
          <cell r="D89" t="str">
            <v>OS</v>
          </cell>
          <cell r="E89"/>
          <cell r="F89">
            <v>69</v>
          </cell>
          <cell r="G89" t="str">
            <v>SOLD</v>
          </cell>
          <cell r="H89" t="str">
            <v>OS</v>
          </cell>
          <cell r="I89" t="str">
            <v>OS</v>
          </cell>
          <cell r="J89" t="str">
            <v>OS</v>
          </cell>
          <cell r="K89" t="str">
            <v>OS</v>
          </cell>
          <cell r="L89" t="str">
            <v>OS</v>
          </cell>
          <cell r="M89" t="str">
            <v>OS</v>
          </cell>
          <cell r="N89" t="str">
            <v>OS</v>
          </cell>
          <cell r="O89" t="str">
            <v>OS</v>
          </cell>
          <cell r="P89" t="str">
            <v>OS</v>
          </cell>
          <cell r="Q89" t="str">
            <v>OS</v>
          </cell>
          <cell r="R89" t="str">
            <v>OS</v>
          </cell>
          <cell r="S89" t="str">
            <v>OS</v>
          </cell>
          <cell r="T89" t="str">
            <v>OS</v>
          </cell>
          <cell r="U89" t="str">
            <v>OS</v>
          </cell>
          <cell r="V89" t="str">
            <v>OS</v>
          </cell>
          <cell r="W89" t="str">
            <v>OS</v>
          </cell>
          <cell r="X89" t="str">
            <v>OS</v>
          </cell>
          <cell r="Y89" t="str">
            <v>OS</v>
          </cell>
          <cell r="Z89" t="str">
            <v>OS</v>
          </cell>
          <cell r="AA89" t="str">
            <v>OS</v>
          </cell>
          <cell r="AB89" t="str">
            <v>OS</v>
          </cell>
          <cell r="AC89" t="str">
            <v>OS</v>
          </cell>
          <cell r="AD89" t="str">
            <v>AGM-01-006-009</v>
          </cell>
          <cell r="AE89" t="str">
            <v xml:space="preserve">Raemulan Lands, Inc. </v>
          </cell>
          <cell r="AF89" t="str">
            <v>Agapeya</v>
          </cell>
          <cell r="AG89" t="str">
            <v>AGM</v>
          </cell>
          <cell r="AH89" t="str">
            <v>Eco-High</v>
          </cell>
          <cell r="AI89" t="str">
            <v>West</v>
          </cell>
          <cell r="AJ89" t="str">
            <v>With LTS</v>
          </cell>
          <cell r="AK89" t="str">
            <v>Unaffected lots</v>
          </cell>
          <cell r="AL89" t="str">
            <v>Unaffected lots</v>
          </cell>
          <cell r="AM89" t="b">
            <v>1</v>
          </cell>
          <cell r="AN89" t="str">
            <v>YES</v>
          </cell>
          <cell r="AO89" t="str">
            <v>2024 Batch</v>
          </cell>
          <cell r="AP89">
            <v>70</v>
          </cell>
          <cell r="AQ89" t="str">
            <v>PCS-04-034407</v>
          </cell>
          <cell r="AR89" t="b">
            <v>1</v>
          </cell>
          <cell r="AS89" t="str">
            <v>Done</v>
          </cell>
          <cell r="AT89" t="str">
            <v>2024 Batch</v>
          </cell>
          <cell r="AU89">
            <v>6</v>
          </cell>
          <cell r="AV89">
            <v>9</v>
          </cell>
          <cell r="AW89" t="str">
            <v>H+L</v>
          </cell>
          <cell r="AX89">
            <v>70</v>
          </cell>
          <cell r="AY89">
            <v>50</v>
          </cell>
          <cell r="AZ89" t="str">
            <v>Duplex</v>
          </cell>
          <cell r="BA89">
            <v>1</v>
          </cell>
          <cell r="BB89" t="str">
            <v>326 - With Partition</v>
          </cell>
          <cell r="BC89" t="str">
            <v xml:space="preserve">Without Partition </v>
          </cell>
          <cell r="BD89" t="str">
            <v>Flat</v>
          </cell>
          <cell r="BE89" t="str">
            <v xml:space="preserve">Without Partition </v>
          </cell>
          <cell r="BF89" t="str">
            <v>GREEN</v>
          </cell>
          <cell r="BG89">
            <v>2600000</v>
          </cell>
          <cell r="BH89">
            <v>2650000</v>
          </cell>
          <cell r="BI89">
            <v>100000</v>
          </cell>
          <cell r="BJ89">
            <v>2550000</v>
          </cell>
          <cell r="BK89">
            <v>0</v>
          </cell>
          <cell r="BL89">
            <v>2550000</v>
          </cell>
        </row>
        <row r="90">
          <cell r="D90" t="str">
            <v>OS</v>
          </cell>
          <cell r="E90"/>
          <cell r="F90">
            <v>70</v>
          </cell>
          <cell r="G90" t="str">
            <v>SOLD</v>
          </cell>
          <cell r="H90" t="str">
            <v>OS</v>
          </cell>
          <cell r="I90" t="str">
            <v>OS</v>
          </cell>
          <cell r="J90" t="str">
            <v>OS</v>
          </cell>
          <cell r="K90" t="str">
            <v>OS</v>
          </cell>
          <cell r="L90" t="str">
            <v>OS</v>
          </cell>
          <cell r="M90" t="str">
            <v>OS</v>
          </cell>
          <cell r="N90" t="str">
            <v>OS</v>
          </cell>
          <cell r="O90" t="str">
            <v>OS</v>
          </cell>
          <cell r="P90" t="str">
            <v>OS</v>
          </cell>
          <cell r="Q90" t="str">
            <v>OS</v>
          </cell>
          <cell r="R90" t="str">
            <v>OS</v>
          </cell>
          <cell r="S90" t="str">
            <v>OS</v>
          </cell>
          <cell r="T90" t="str">
            <v>OS</v>
          </cell>
          <cell r="U90" t="str">
            <v>OS</v>
          </cell>
          <cell r="V90" t="str">
            <v>OS</v>
          </cell>
          <cell r="W90" t="str">
            <v>OS</v>
          </cell>
          <cell r="X90" t="str">
            <v>OS</v>
          </cell>
          <cell r="Y90" t="str">
            <v>OS</v>
          </cell>
          <cell r="Z90" t="str">
            <v>OS</v>
          </cell>
          <cell r="AA90" t="str">
            <v>OS</v>
          </cell>
          <cell r="AB90" t="str">
            <v>OS</v>
          </cell>
          <cell r="AC90" t="str">
            <v>OS</v>
          </cell>
          <cell r="AD90" t="str">
            <v>AGM-01-006-010</v>
          </cell>
          <cell r="AE90" t="str">
            <v xml:space="preserve">Raemulan Lands, Inc. </v>
          </cell>
          <cell r="AF90" t="str">
            <v>Agapeya</v>
          </cell>
          <cell r="AG90" t="str">
            <v>AGM</v>
          </cell>
          <cell r="AH90" t="str">
            <v>Eco-High</v>
          </cell>
          <cell r="AI90" t="str">
            <v>West</v>
          </cell>
          <cell r="AJ90" t="str">
            <v>With LTS</v>
          </cell>
          <cell r="AK90" t="str">
            <v>Unaffected lots</v>
          </cell>
          <cell r="AL90" t="str">
            <v>Unaffected lots</v>
          </cell>
          <cell r="AM90" t="b">
            <v>1</v>
          </cell>
          <cell r="AN90" t="str">
            <v>YES</v>
          </cell>
          <cell r="AO90" t="str">
            <v>2024 Batch</v>
          </cell>
          <cell r="AP90">
            <v>70</v>
          </cell>
          <cell r="AQ90" t="str">
            <v>PCS-04-034407</v>
          </cell>
          <cell r="AR90" t="b">
            <v>1</v>
          </cell>
          <cell r="AS90" t="str">
            <v>Done</v>
          </cell>
          <cell r="AT90" t="str">
            <v>2024 Batch</v>
          </cell>
          <cell r="AU90">
            <v>6</v>
          </cell>
          <cell r="AV90">
            <v>10</v>
          </cell>
          <cell r="AW90" t="str">
            <v>H+L</v>
          </cell>
          <cell r="AX90">
            <v>70</v>
          </cell>
          <cell r="AY90">
            <v>50</v>
          </cell>
          <cell r="AZ90" t="str">
            <v>Duplex</v>
          </cell>
          <cell r="BA90">
            <v>1</v>
          </cell>
          <cell r="BB90" t="str">
            <v>326 - With Partition</v>
          </cell>
          <cell r="BC90" t="str">
            <v>With Partition</v>
          </cell>
          <cell r="BD90" t="str">
            <v>Flat</v>
          </cell>
          <cell r="BE90" t="str">
            <v>With Partition</v>
          </cell>
          <cell r="BF90" t="str">
            <v>PURPLE</v>
          </cell>
          <cell r="BG90">
            <v>2750000</v>
          </cell>
          <cell r="BH90">
            <v>2850000</v>
          </cell>
          <cell r="BI90">
            <v>100000</v>
          </cell>
          <cell r="BJ90">
            <v>2750000</v>
          </cell>
          <cell r="BK90">
            <v>0</v>
          </cell>
          <cell r="BL90">
            <v>2750000</v>
          </cell>
        </row>
        <row r="91">
          <cell r="D91" t="str">
            <v>OS</v>
          </cell>
          <cell r="E91"/>
          <cell r="F91">
            <v>71</v>
          </cell>
          <cell r="G91" t="str">
            <v>SOLD</v>
          </cell>
          <cell r="H91" t="str">
            <v>OS</v>
          </cell>
          <cell r="I91" t="str">
            <v>OS</v>
          </cell>
          <cell r="J91" t="str">
            <v>OS</v>
          </cell>
          <cell r="K91" t="str">
            <v>OS</v>
          </cell>
          <cell r="L91" t="str">
            <v>OS</v>
          </cell>
          <cell r="M91" t="str">
            <v>OS</v>
          </cell>
          <cell r="N91" t="str">
            <v>OS</v>
          </cell>
          <cell r="O91" t="str">
            <v>OS</v>
          </cell>
          <cell r="P91" t="str">
            <v>OS</v>
          </cell>
          <cell r="Q91" t="str">
            <v>OS</v>
          </cell>
          <cell r="R91" t="str">
            <v>OS</v>
          </cell>
          <cell r="S91" t="str">
            <v>OS</v>
          </cell>
          <cell r="T91" t="str">
            <v>OS</v>
          </cell>
          <cell r="U91" t="str">
            <v>OS</v>
          </cell>
          <cell r="V91" t="str">
            <v>OS</v>
          </cell>
          <cell r="W91" t="str">
            <v>OS</v>
          </cell>
          <cell r="X91" t="str">
            <v>OS</v>
          </cell>
          <cell r="Y91" t="str">
            <v>OS</v>
          </cell>
          <cell r="Z91" t="str">
            <v>OS</v>
          </cell>
          <cell r="AA91" t="str">
            <v>OS</v>
          </cell>
          <cell r="AB91" t="str">
            <v>OS</v>
          </cell>
          <cell r="AC91" t="str">
            <v>OS</v>
          </cell>
          <cell r="AD91" t="str">
            <v>AGM-01-006-011</v>
          </cell>
          <cell r="AE91" t="str">
            <v xml:space="preserve">Raemulan Lands, Inc. </v>
          </cell>
          <cell r="AF91" t="str">
            <v>Agapeya</v>
          </cell>
          <cell r="AG91" t="str">
            <v>AGM</v>
          </cell>
          <cell r="AH91" t="str">
            <v>Eco-High</v>
          </cell>
          <cell r="AI91" t="str">
            <v>West</v>
          </cell>
          <cell r="AJ91" t="str">
            <v>With LTS</v>
          </cell>
          <cell r="AK91" t="str">
            <v>Unaffected lots</v>
          </cell>
          <cell r="AL91" t="str">
            <v>Unaffected lots</v>
          </cell>
          <cell r="AM91" t="b">
            <v>1</v>
          </cell>
          <cell r="AN91" t="str">
            <v>YES</v>
          </cell>
          <cell r="AO91" t="str">
            <v>2024 Batch</v>
          </cell>
          <cell r="AP91">
            <v>70</v>
          </cell>
          <cell r="AQ91" t="str">
            <v>PCS-04-034407</v>
          </cell>
          <cell r="AR91" t="b">
            <v>1</v>
          </cell>
          <cell r="AS91" t="str">
            <v>Done</v>
          </cell>
          <cell r="AT91" t="str">
            <v>2024 Batch</v>
          </cell>
          <cell r="AU91">
            <v>6</v>
          </cell>
          <cell r="AV91">
            <v>11</v>
          </cell>
          <cell r="AW91" t="str">
            <v>H+L</v>
          </cell>
          <cell r="AX91">
            <v>70</v>
          </cell>
          <cell r="AY91">
            <v>50</v>
          </cell>
          <cell r="AZ91" t="str">
            <v>Duplex</v>
          </cell>
          <cell r="BA91">
            <v>1</v>
          </cell>
          <cell r="BB91" t="str">
            <v>326 - With Partition</v>
          </cell>
          <cell r="BC91" t="str">
            <v>With Partition</v>
          </cell>
          <cell r="BD91" t="str">
            <v>Slant</v>
          </cell>
          <cell r="BE91" t="str">
            <v>With Partition</v>
          </cell>
          <cell r="BF91" t="str">
            <v>PURPLE</v>
          </cell>
          <cell r="BG91">
            <v>2707500</v>
          </cell>
          <cell r="BH91">
            <v>2850000</v>
          </cell>
          <cell r="BI91">
            <v>100000</v>
          </cell>
          <cell r="BJ91">
            <v>2750000</v>
          </cell>
          <cell r="BK91">
            <v>0</v>
          </cell>
          <cell r="BL91">
            <v>2750000</v>
          </cell>
        </row>
        <row r="92">
          <cell r="D92" t="str">
            <v>OS</v>
          </cell>
          <cell r="E92"/>
          <cell r="F92">
            <v>72</v>
          </cell>
          <cell r="G92" t="str">
            <v>SOLD</v>
          </cell>
          <cell r="H92" t="str">
            <v>OS</v>
          </cell>
          <cell r="I92" t="str">
            <v>OS</v>
          </cell>
          <cell r="J92" t="str">
            <v>OS</v>
          </cell>
          <cell r="K92" t="str">
            <v>OS</v>
          </cell>
          <cell r="L92" t="str">
            <v>OS</v>
          </cell>
          <cell r="M92" t="str">
            <v>OS</v>
          </cell>
          <cell r="N92" t="str">
            <v>OS</v>
          </cell>
          <cell r="O92" t="str">
            <v>OS</v>
          </cell>
          <cell r="P92" t="str">
            <v>OS</v>
          </cell>
          <cell r="Q92" t="str">
            <v>OS</v>
          </cell>
          <cell r="R92" t="str">
            <v>OS</v>
          </cell>
          <cell r="S92" t="str">
            <v>OS</v>
          </cell>
          <cell r="T92" t="str">
            <v>OS</v>
          </cell>
          <cell r="U92" t="str">
            <v>OS</v>
          </cell>
          <cell r="V92" t="str">
            <v>OS</v>
          </cell>
          <cell r="W92" t="str">
            <v>OS</v>
          </cell>
          <cell r="X92" t="str">
            <v>OS</v>
          </cell>
          <cell r="Y92" t="str">
            <v>OS</v>
          </cell>
          <cell r="Z92" t="str">
            <v>OS</v>
          </cell>
          <cell r="AA92" t="str">
            <v>OS</v>
          </cell>
          <cell r="AB92" t="str">
            <v>OS</v>
          </cell>
          <cell r="AC92" t="str">
            <v>OS</v>
          </cell>
          <cell r="AD92" t="str">
            <v>AGM-01-006-012</v>
          </cell>
          <cell r="AE92" t="str">
            <v xml:space="preserve">Raemulan Lands, Inc. </v>
          </cell>
          <cell r="AF92" t="str">
            <v>Agapeya</v>
          </cell>
          <cell r="AG92" t="str">
            <v>AGM</v>
          </cell>
          <cell r="AH92" t="str">
            <v>Eco-High</v>
          </cell>
          <cell r="AI92" t="str">
            <v>West</v>
          </cell>
          <cell r="AJ92" t="str">
            <v>With LTS</v>
          </cell>
          <cell r="AK92" t="str">
            <v>Unaffected lots</v>
          </cell>
          <cell r="AL92" t="str">
            <v>Unaffected lots</v>
          </cell>
          <cell r="AM92" t="b">
            <v>1</v>
          </cell>
          <cell r="AN92" t="str">
            <v>YES</v>
          </cell>
          <cell r="AO92" t="str">
            <v>2024 Batch</v>
          </cell>
          <cell r="AP92">
            <v>70</v>
          </cell>
          <cell r="AQ92" t="str">
            <v>PCS-04-034407</v>
          </cell>
          <cell r="AR92" t="b">
            <v>1</v>
          </cell>
          <cell r="AS92" t="str">
            <v>Done</v>
          </cell>
          <cell r="AT92" t="str">
            <v>2024 Batch</v>
          </cell>
          <cell r="AU92">
            <v>6</v>
          </cell>
          <cell r="AV92">
            <v>12</v>
          </cell>
          <cell r="AW92" t="str">
            <v>H+L</v>
          </cell>
          <cell r="AX92">
            <v>70</v>
          </cell>
          <cell r="AY92">
            <v>50</v>
          </cell>
          <cell r="AZ92" t="str">
            <v>Duplex</v>
          </cell>
          <cell r="BA92">
            <v>1</v>
          </cell>
          <cell r="BB92" t="str">
            <v>326 - With Partition</v>
          </cell>
          <cell r="BC92" t="str">
            <v>With Partition</v>
          </cell>
          <cell r="BD92" t="str">
            <v>Slant</v>
          </cell>
          <cell r="BE92" t="str">
            <v>With Partition</v>
          </cell>
          <cell r="BF92" t="str">
            <v>PURPLE</v>
          </cell>
          <cell r="BG92">
            <v>2500000</v>
          </cell>
          <cell r="BH92">
            <v>2850000</v>
          </cell>
          <cell r="BI92">
            <v>100000</v>
          </cell>
          <cell r="BJ92">
            <v>2750000</v>
          </cell>
          <cell r="BK92">
            <v>0</v>
          </cell>
          <cell r="BL92">
            <v>2750000</v>
          </cell>
        </row>
        <row r="93">
          <cell r="D93" t="str">
            <v>OS</v>
          </cell>
          <cell r="E93"/>
          <cell r="F93">
            <v>73</v>
          </cell>
          <cell r="G93" t="str">
            <v>SOLD</v>
          </cell>
          <cell r="H93" t="str">
            <v>OS</v>
          </cell>
          <cell r="I93" t="str">
            <v>OS</v>
          </cell>
          <cell r="J93" t="str">
            <v>OS</v>
          </cell>
          <cell r="K93" t="str">
            <v>OS</v>
          </cell>
          <cell r="L93" t="str">
            <v>OS</v>
          </cell>
          <cell r="M93" t="str">
            <v>OS</v>
          </cell>
          <cell r="N93" t="str">
            <v>OS</v>
          </cell>
          <cell r="O93" t="str">
            <v>OS</v>
          </cell>
          <cell r="P93" t="str">
            <v>OS</v>
          </cell>
          <cell r="Q93" t="str">
            <v>OS</v>
          </cell>
          <cell r="R93" t="str">
            <v>OS</v>
          </cell>
          <cell r="S93" t="str">
            <v>OS</v>
          </cell>
          <cell r="T93" t="str">
            <v>OS</v>
          </cell>
          <cell r="U93" t="str">
            <v>OS</v>
          </cell>
          <cell r="V93" t="str">
            <v>OS</v>
          </cell>
          <cell r="W93" t="str">
            <v>OS</v>
          </cell>
          <cell r="X93" t="str">
            <v>OS</v>
          </cell>
          <cell r="Y93" t="str">
            <v>OS</v>
          </cell>
          <cell r="Z93" t="str">
            <v>OS</v>
          </cell>
          <cell r="AA93" t="str">
            <v>OS</v>
          </cell>
          <cell r="AB93" t="str">
            <v>OS</v>
          </cell>
          <cell r="AC93" t="str">
            <v>OS</v>
          </cell>
          <cell r="AD93" t="str">
            <v>AGM-01-006-013</v>
          </cell>
          <cell r="AE93" t="str">
            <v xml:space="preserve">Raemulan Lands, Inc. </v>
          </cell>
          <cell r="AF93" t="str">
            <v>Agapeya</v>
          </cell>
          <cell r="AG93" t="str">
            <v>AGM</v>
          </cell>
          <cell r="AH93" t="str">
            <v>Eco-High</v>
          </cell>
          <cell r="AI93" t="str">
            <v>West</v>
          </cell>
          <cell r="AJ93" t="str">
            <v>With LTS</v>
          </cell>
          <cell r="AK93" t="str">
            <v>Unaffected lots</v>
          </cell>
          <cell r="AL93" t="str">
            <v>Unaffected lots</v>
          </cell>
          <cell r="AM93" t="b">
            <v>1</v>
          </cell>
          <cell r="AN93" t="str">
            <v>YES</v>
          </cell>
          <cell r="AO93" t="str">
            <v>2024 Batch</v>
          </cell>
          <cell r="AP93">
            <v>70</v>
          </cell>
          <cell r="AQ93" t="str">
            <v>PCS-04-034407</v>
          </cell>
          <cell r="AR93" t="b">
            <v>1</v>
          </cell>
          <cell r="AS93" t="str">
            <v>Done</v>
          </cell>
          <cell r="AT93" t="str">
            <v>2024 Batch</v>
          </cell>
          <cell r="AU93">
            <v>6</v>
          </cell>
          <cell r="AV93">
            <v>13</v>
          </cell>
          <cell r="AW93" t="str">
            <v>H+L</v>
          </cell>
          <cell r="AX93">
            <v>70</v>
          </cell>
          <cell r="AY93">
            <v>50</v>
          </cell>
          <cell r="AZ93" t="str">
            <v>Duplex</v>
          </cell>
          <cell r="BA93">
            <v>1</v>
          </cell>
          <cell r="BB93" t="str">
            <v>326 - With Partition</v>
          </cell>
          <cell r="BC93" t="str">
            <v>With Partition</v>
          </cell>
          <cell r="BD93" t="str">
            <v>Flat</v>
          </cell>
          <cell r="BE93" t="str">
            <v>With Partition</v>
          </cell>
          <cell r="BF93" t="str">
            <v>PURPLE</v>
          </cell>
          <cell r="BG93">
            <v>2600000</v>
          </cell>
          <cell r="BH93">
            <v>2850000</v>
          </cell>
          <cell r="BI93">
            <v>100000</v>
          </cell>
          <cell r="BJ93">
            <v>2750000</v>
          </cell>
          <cell r="BK93">
            <v>0</v>
          </cell>
          <cell r="BL93">
            <v>2750000</v>
          </cell>
        </row>
        <row r="94">
          <cell r="D94" t="str">
            <v>OS</v>
          </cell>
          <cell r="E94"/>
          <cell r="F94">
            <v>74</v>
          </cell>
          <cell r="G94" t="str">
            <v>SOLD</v>
          </cell>
          <cell r="H94" t="str">
            <v>OS</v>
          </cell>
          <cell r="I94" t="str">
            <v>OS</v>
          </cell>
          <cell r="J94" t="str">
            <v>OS</v>
          </cell>
          <cell r="K94" t="str">
            <v>OS</v>
          </cell>
          <cell r="L94" t="str">
            <v>OS</v>
          </cell>
          <cell r="M94" t="str">
            <v>OS</v>
          </cell>
          <cell r="N94" t="str">
            <v>OS</v>
          </cell>
          <cell r="O94" t="str">
            <v>OS</v>
          </cell>
          <cell r="P94" t="str">
            <v>OS</v>
          </cell>
          <cell r="Q94" t="str">
            <v>OS</v>
          </cell>
          <cell r="R94" t="str">
            <v>OS</v>
          </cell>
          <cell r="S94" t="str">
            <v>OS</v>
          </cell>
          <cell r="T94" t="str">
            <v>OS</v>
          </cell>
          <cell r="U94" t="str">
            <v>OS</v>
          </cell>
          <cell r="V94" t="str">
            <v>OS</v>
          </cell>
          <cell r="W94" t="str">
            <v>OS</v>
          </cell>
          <cell r="X94" t="str">
            <v>OS</v>
          </cell>
          <cell r="Y94" t="str">
            <v>OS</v>
          </cell>
          <cell r="Z94" t="str">
            <v>OS</v>
          </cell>
          <cell r="AA94" t="str">
            <v>OS</v>
          </cell>
          <cell r="AB94" t="str">
            <v>OS</v>
          </cell>
          <cell r="AC94" t="str">
            <v>OS</v>
          </cell>
          <cell r="AD94" t="str">
            <v>AGM-01-006-014</v>
          </cell>
          <cell r="AE94" t="str">
            <v xml:space="preserve">Raemulan Lands, Inc. </v>
          </cell>
          <cell r="AF94" t="str">
            <v>Agapeya</v>
          </cell>
          <cell r="AG94" t="str">
            <v>AGM</v>
          </cell>
          <cell r="AH94" t="str">
            <v>Eco-High</v>
          </cell>
          <cell r="AI94" t="str">
            <v>West</v>
          </cell>
          <cell r="AJ94" t="str">
            <v>With LTS</v>
          </cell>
          <cell r="AK94" t="str">
            <v>Unaffected lots</v>
          </cell>
          <cell r="AL94" t="str">
            <v>Unaffected lots</v>
          </cell>
          <cell r="AM94" t="b">
            <v>1</v>
          </cell>
          <cell r="AN94" t="str">
            <v>YES</v>
          </cell>
          <cell r="AO94" t="str">
            <v>2024 Batch</v>
          </cell>
          <cell r="AP94">
            <v>70</v>
          </cell>
          <cell r="AQ94" t="str">
            <v>PCS-04-034407</v>
          </cell>
          <cell r="AR94" t="b">
            <v>1</v>
          </cell>
          <cell r="AS94" t="str">
            <v>Done</v>
          </cell>
          <cell r="AT94" t="str">
            <v>2024 Batch</v>
          </cell>
          <cell r="AU94">
            <v>6</v>
          </cell>
          <cell r="AV94">
            <v>14</v>
          </cell>
          <cell r="AW94" t="str">
            <v>H+L</v>
          </cell>
          <cell r="AX94">
            <v>70</v>
          </cell>
          <cell r="AY94">
            <v>50</v>
          </cell>
          <cell r="AZ94" t="str">
            <v>Duplex</v>
          </cell>
          <cell r="BA94">
            <v>1</v>
          </cell>
          <cell r="BB94" t="str">
            <v>326 - With Partition</v>
          </cell>
          <cell r="BC94" t="str">
            <v>With Partition</v>
          </cell>
          <cell r="BD94" t="str">
            <v>Flat</v>
          </cell>
          <cell r="BE94" t="str">
            <v>With Partition</v>
          </cell>
          <cell r="BF94" t="str">
            <v>PINK</v>
          </cell>
          <cell r="BG94">
            <v>2707500</v>
          </cell>
          <cell r="BH94">
            <v>2850000</v>
          </cell>
          <cell r="BI94">
            <v>100000</v>
          </cell>
          <cell r="BJ94">
            <v>2750000</v>
          </cell>
          <cell r="BK94">
            <v>0</v>
          </cell>
          <cell r="BL94">
            <v>2750000</v>
          </cell>
        </row>
        <row r="95">
          <cell r="D95" t="str">
            <v>OS</v>
          </cell>
          <cell r="E95"/>
          <cell r="F95">
            <v>75</v>
          </cell>
          <cell r="G95" t="str">
            <v>SOLD</v>
          </cell>
          <cell r="H95" t="str">
            <v>OS</v>
          </cell>
          <cell r="I95" t="str">
            <v>OS</v>
          </cell>
          <cell r="J95" t="str">
            <v>OS</v>
          </cell>
          <cell r="K95" t="str">
            <v>OS</v>
          </cell>
          <cell r="L95" t="str">
            <v>OS</v>
          </cell>
          <cell r="M95" t="str">
            <v>OS</v>
          </cell>
          <cell r="N95" t="str">
            <v>OS</v>
          </cell>
          <cell r="O95" t="str">
            <v>OS</v>
          </cell>
          <cell r="P95" t="str">
            <v>OS</v>
          </cell>
          <cell r="Q95" t="str">
            <v>OS</v>
          </cell>
          <cell r="R95" t="str">
            <v>OS</v>
          </cell>
          <cell r="S95" t="str">
            <v>OS</v>
          </cell>
          <cell r="T95" t="str">
            <v>OS</v>
          </cell>
          <cell r="U95" t="str">
            <v>OS</v>
          </cell>
          <cell r="V95" t="str">
            <v>OS</v>
          </cell>
          <cell r="W95" t="str">
            <v>OS</v>
          </cell>
          <cell r="X95" t="str">
            <v>OS</v>
          </cell>
          <cell r="Y95" t="str">
            <v>OS</v>
          </cell>
          <cell r="Z95" t="str">
            <v>OS</v>
          </cell>
          <cell r="AA95" t="str">
            <v>OS</v>
          </cell>
          <cell r="AB95" t="str">
            <v>OS</v>
          </cell>
          <cell r="AC95" t="str">
            <v>OS</v>
          </cell>
          <cell r="AD95" t="str">
            <v>AGM-01-006-015</v>
          </cell>
          <cell r="AE95" t="str">
            <v xml:space="preserve">Raemulan Lands, Inc. </v>
          </cell>
          <cell r="AF95" t="str">
            <v>Agapeya</v>
          </cell>
          <cell r="AG95" t="str">
            <v>AGM</v>
          </cell>
          <cell r="AH95" t="str">
            <v>Eco-High</v>
          </cell>
          <cell r="AI95" t="str">
            <v>West</v>
          </cell>
          <cell r="AJ95" t="str">
            <v>With LTS</v>
          </cell>
          <cell r="AK95" t="str">
            <v>Unaffected lots</v>
          </cell>
          <cell r="AL95" t="str">
            <v>Unaffected lots</v>
          </cell>
          <cell r="AM95" t="b">
            <v>1</v>
          </cell>
          <cell r="AN95" t="str">
            <v>YES</v>
          </cell>
          <cell r="AO95" t="str">
            <v>2024 Batch</v>
          </cell>
          <cell r="AP95">
            <v>70</v>
          </cell>
          <cell r="AQ95" t="str">
            <v>PCS-04-034407</v>
          </cell>
          <cell r="AR95" t="b">
            <v>1</v>
          </cell>
          <cell r="AS95" t="str">
            <v>Done</v>
          </cell>
          <cell r="AT95" t="str">
            <v>2024 Batch</v>
          </cell>
          <cell r="AU95">
            <v>6</v>
          </cell>
          <cell r="AV95">
            <v>15</v>
          </cell>
          <cell r="AW95" t="str">
            <v>H+L</v>
          </cell>
          <cell r="AX95">
            <v>70</v>
          </cell>
          <cell r="AY95">
            <v>50</v>
          </cell>
          <cell r="AZ95" t="str">
            <v>Duplex</v>
          </cell>
          <cell r="BA95">
            <v>1</v>
          </cell>
          <cell r="BB95" t="str">
            <v>326 - With Partition</v>
          </cell>
          <cell r="BC95" t="str">
            <v xml:space="preserve">Without Partition </v>
          </cell>
          <cell r="BD95" t="str">
            <v>Slant</v>
          </cell>
          <cell r="BE95" t="str">
            <v>With Partition</v>
          </cell>
          <cell r="BF95" t="str">
            <v>PINK</v>
          </cell>
          <cell r="BG95">
            <v>2600000</v>
          </cell>
          <cell r="BH95">
            <v>2850000</v>
          </cell>
          <cell r="BI95">
            <v>100000</v>
          </cell>
          <cell r="BJ95">
            <v>2750000</v>
          </cell>
          <cell r="BK95">
            <v>0</v>
          </cell>
          <cell r="BL95">
            <v>2750000</v>
          </cell>
        </row>
        <row r="96">
          <cell r="D96" t="str">
            <v>OS</v>
          </cell>
          <cell r="E96"/>
          <cell r="F96">
            <v>76</v>
          </cell>
          <cell r="G96" t="str">
            <v>SOLD</v>
          </cell>
          <cell r="H96" t="str">
            <v>OS</v>
          </cell>
          <cell r="I96" t="str">
            <v>OS</v>
          </cell>
          <cell r="J96" t="str">
            <v>OS</v>
          </cell>
          <cell r="K96" t="str">
            <v>OS</v>
          </cell>
          <cell r="L96" t="str">
            <v>OS</v>
          </cell>
          <cell r="M96" t="str">
            <v>OS</v>
          </cell>
          <cell r="N96" t="str">
            <v>OS</v>
          </cell>
          <cell r="O96" t="str">
            <v>OS</v>
          </cell>
          <cell r="P96" t="str">
            <v>OS</v>
          </cell>
          <cell r="Q96" t="str">
            <v>OS</v>
          </cell>
          <cell r="R96" t="str">
            <v>OS</v>
          </cell>
          <cell r="S96" t="str">
            <v>OS</v>
          </cell>
          <cell r="T96" t="str">
            <v>OS</v>
          </cell>
          <cell r="U96" t="str">
            <v>OS</v>
          </cell>
          <cell r="V96" t="str">
            <v>OS</v>
          </cell>
          <cell r="W96" t="str">
            <v>OS</v>
          </cell>
          <cell r="X96" t="str">
            <v>OS</v>
          </cell>
          <cell r="Y96" t="str">
            <v>OS</v>
          </cell>
          <cell r="Z96" t="str">
            <v>OS</v>
          </cell>
          <cell r="AA96" t="str">
            <v>OS</v>
          </cell>
          <cell r="AB96" t="str">
            <v>OS</v>
          </cell>
          <cell r="AC96" t="str">
            <v>OS</v>
          </cell>
          <cell r="AD96" t="str">
            <v>AGM-01-006-016</v>
          </cell>
          <cell r="AE96" t="str">
            <v xml:space="preserve">Raemulan Lands, Inc. </v>
          </cell>
          <cell r="AF96" t="str">
            <v>Agapeya</v>
          </cell>
          <cell r="AG96" t="str">
            <v>AGM</v>
          </cell>
          <cell r="AH96" t="str">
            <v>Eco-High</v>
          </cell>
          <cell r="AI96" t="str">
            <v>West</v>
          </cell>
          <cell r="AJ96" t="str">
            <v>With LTS</v>
          </cell>
          <cell r="AK96" t="str">
            <v>Unaffected lots</v>
          </cell>
          <cell r="AL96" t="str">
            <v>Unaffected lots</v>
          </cell>
          <cell r="AM96" t="b">
            <v>1</v>
          </cell>
          <cell r="AN96" t="str">
            <v>YES</v>
          </cell>
          <cell r="AO96" t="str">
            <v>2024 Batch</v>
          </cell>
          <cell r="AP96">
            <v>70</v>
          </cell>
          <cell r="AQ96" t="str">
            <v>PCS-04-034407</v>
          </cell>
          <cell r="AR96" t="b">
            <v>1</v>
          </cell>
          <cell r="AS96" t="str">
            <v>Done</v>
          </cell>
          <cell r="AT96" t="str">
            <v>2024 Batch</v>
          </cell>
          <cell r="AU96">
            <v>6</v>
          </cell>
          <cell r="AV96">
            <v>16</v>
          </cell>
          <cell r="AW96" t="str">
            <v>H+L</v>
          </cell>
          <cell r="AX96">
            <v>70</v>
          </cell>
          <cell r="AY96">
            <v>50</v>
          </cell>
          <cell r="AZ96" t="str">
            <v>Duplex</v>
          </cell>
          <cell r="BA96">
            <v>1</v>
          </cell>
          <cell r="BB96" t="str">
            <v>326 - With Partition</v>
          </cell>
          <cell r="BC96" t="str">
            <v xml:space="preserve">Without Partition </v>
          </cell>
          <cell r="BD96" t="str">
            <v>Slant</v>
          </cell>
          <cell r="BE96" t="str">
            <v xml:space="preserve">Without Partition </v>
          </cell>
          <cell r="BF96" t="str">
            <v>PINK</v>
          </cell>
          <cell r="BG96">
            <v>2500000</v>
          </cell>
          <cell r="BH96">
            <v>2650000</v>
          </cell>
          <cell r="BI96">
            <v>100000</v>
          </cell>
          <cell r="BJ96">
            <v>2550000</v>
          </cell>
          <cell r="BK96">
            <v>0</v>
          </cell>
          <cell r="BL96">
            <v>2550000</v>
          </cell>
        </row>
        <row r="97">
          <cell r="D97" t="str">
            <v>OS</v>
          </cell>
          <cell r="E97"/>
          <cell r="F97">
            <v>77</v>
          </cell>
          <cell r="G97" t="str">
            <v>SOLD</v>
          </cell>
          <cell r="H97" t="str">
            <v>OS</v>
          </cell>
          <cell r="I97" t="str">
            <v>OS</v>
          </cell>
          <cell r="J97" t="str">
            <v>OS</v>
          </cell>
          <cell r="K97" t="str">
            <v>OS</v>
          </cell>
          <cell r="L97" t="str">
            <v>OS</v>
          </cell>
          <cell r="M97" t="str">
            <v>OS</v>
          </cell>
          <cell r="N97" t="str">
            <v>OS</v>
          </cell>
          <cell r="O97" t="str">
            <v>OS</v>
          </cell>
          <cell r="P97" t="str">
            <v>OS</v>
          </cell>
          <cell r="Q97" t="str">
            <v>OS</v>
          </cell>
          <cell r="R97" t="str">
            <v>OS</v>
          </cell>
          <cell r="S97" t="str">
            <v>OS</v>
          </cell>
          <cell r="T97" t="str">
            <v>OS</v>
          </cell>
          <cell r="U97" t="str">
            <v>OS</v>
          </cell>
          <cell r="V97" t="str">
            <v>OS</v>
          </cell>
          <cell r="W97" t="str">
            <v>OS</v>
          </cell>
          <cell r="X97" t="str">
            <v>OS</v>
          </cell>
          <cell r="Y97" t="str">
            <v>OS</v>
          </cell>
          <cell r="Z97" t="str">
            <v>OS</v>
          </cell>
          <cell r="AA97" t="str">
            <v>OS</v>
          </cell>
          <cell r="AB97" t="str">
            <v>OS</v>
          </cell>
          <cell r="AC97" t="str">
            <v>OS</v>
          </cell>
          <cell r="AD97" t="str">
            <v>AGM-01-006-017</v>
          </cell>
          <cell r="AE97" t="str">
            <v xml:space="preserve">Raemulan Lands, Inc. </v>
          </cell>
          <cell r="AF97" t="str">
            <v>Agapeya</v>
          </cell>
          <cell r="AG97" t="str">
            <v>AGM</v>
          </cell>
          <cell r="AH97" t="str">
            <v>Eco-High</v>
          </cell>
          <cell r="AI97" t="str">
            <v>West</v>
          </cell>
          <cell r="AJ97" t="str">
            <v>With LTS</v>
          </cell>
          <cell r="AK97" t="str">
            <v>Unaffected lots</v>
          </cell>
          <cell r="AL97" t="str">
            <v>Unaffected lots</v>
          </cell>
          <cell r="AM97" t="b">
            <v>1</v>
          </cell>
          <cell r="AN97" t="str">
            <v>YES</v>
          </cell>
          <cell r="AO97" t="str">
            <v>2024 Batch</v>
          </cell>
          <cell r="AP97">
            <v>70</v>
          </cell>
          <cell r="AQ97" t="str">
            <v>PCS-04-034407</v>
          </cell>
          <cell r="AR97" t="b">
            <v>1</v>
          </cell>
          <cell r="AS97" t="str">
            <v>Done</v>
          </cell>
          <cell r="AT97" t="str">
            <v>2024 Batch</v>
          </cell>
          <cell r="AU97">
            <v>6</v>
          </cell>
          <cell r="AV97">
            <v>17</v>
          </cell>
          <cell r="AW97" t="str">
            <v>H+L</v>
          </cell>
          <cell r="AX97">
            <v>70</v>
          </cell>
          <cell r="AY97">
            <v>50</v>
          </cell>
          <cell r="AZ97" t="str">
            <v>Duplex</v>
          </cell>
          <cell r="BA97">
            <v>1</v>
          </cell>
          <cell r="BB97" t="str">
            <v>326 - With Partition</v>
          </cell>
          <cell r="BC97" t="str">
            <v xml:space="preserve">Without Partition </v>
          </cell>
          <cell r="BD97" t="str">
            <v>Flat</v>
          </cell>
          <cell r="BE97" t="str">
            <v xml:space="preserve">Without Partition </v>
          </cell>
          <cell r="BF97" t="str">
            <v>PINK</v>
          </cell>
          <cell r="BG97">
            <v>2500000</v>
          </cell>
          <cell r="BH97">
            <v>2650000</v>
          </cell>
          <cell r="BI97">
            <v>100000</v>
          </cell>
          <cell r="BJ97">
            <v>2550000</v>
          </cell>
          <cell r="BK97">
            <v>0</v>
          </cell>
          <cell r="BL97">
            <v>2550000</v>
          </cell>
        </row>
        <row r="98">
          <cell r="D98" t="str">
            <v>OS</v>
          </cell>
          <cell r="E98"/>
          <cell r="F98">
            <v>78</v>
          </cell>
          <cell r="G98" t="str">
            <v>SOLD</v>
          </cell>
          <cell r="H98" t="str">
            <v>OS</v>
          </cell>
          <cell r="I98" t="str">
            <v>OS</v>
          </cell>
          <cell r="J98" t="str">
            <v>OS</v>
          </cell>
          <cell r="K98" t="str">
            <v>OS</v>
          </cell>
          <cell r="L98" t="str">
            <v>OS</v>
          </cell>
          <cell r="M98" t="str">
            <v>OS</v>
          </cell>
          <cell r="N98" t="str">
            <v>OS</v>
          </cell>
          <cell r="O98" t="str">
            <v>OS</v>
          </cell>
          <cell r="P98" t="str">
            <v>OS</v>
          </cell>
          <cell r="Q98" t="str">
            <v>OS</v>
          </cell>
          <cell r="R98" t="str">
            <v>OS</v>
          </cell>
          <cell r="S98" t="str">
            <v>OS</v>
          </cell>
          <cell r="T98" t="str">
            <v>OS</v>
          </cell>
          <cell r="U98" t="str">
            <v>OS</v>
          </cell>
          <cell r="V98" t="str">
            <v>OS</v>
          </cell>
          <cell r="W98" t="str">
            <v>OS</v>
          </cell>
          <cell r="X98" t="str">
            <v>OS</v>
          </cell>
          <cell r="Y98" t="str">
            <v>OS</v>
          </cell>
          <cell r="Z98" t="str">
            <v>OS</v>
          </cell>
          <cell r="AA98" t="str">
            <v>OS</v>
          </cell>
          <cell r="AB98" t="str">
            <v>OS</v>
          </cell>
          <cell r="AC98" t="str">
            <v>OS</v>
          </cell>
          <cell r="AD98" t="str">
            <v>AGM-01-006-018</v>
          </cell>
          <cell r="AE98" t="str">
            <v xml:space="preserve">Raemulan Lands, Inc. </v>
          </cell>
          <cell r="AF98" t="str">
            <v>Agapeya</v>
          </cell>
          <cell r="AG98" t="str">
            <v>AGM</v>
          </cell>
          <cell r="AH98" t="str">
            <v>Eco-High</v>
          </cell>
          <cell r="AI98" t="str">
            <v>West</v>
          </cell>
          <cell r="AJ98" t="str">
            <v>With LTS</v>
          </cell>
          <cell r="AK98" t="str">
            <v>Unaffected lots</v>
          </cell>
          <cell r="AL98" t="str">
            <v>Unaffected lots</v>
          </cell>
          <cell r="AM98" t="b">
            <v>1</v>
          </cell>
          <cell r="AN98" t="str">
            <v>YES</v>
          </cell>
          <cell r="AO98" t="str">
            <v>2024 Batch</v>
          </cell>
          <cell r="AP98">
            <v>70</v>
          </cell>
          <cell r="AQ98" t="str">
            <v>PCS-04-034407</v>
          </cell>
          <cell r="AR98" t="b">
            <v>1</v>
          </cell>
          <cell r="AS98" t="str">
            <v>Done</v>
          </cell>
          <cell r="AT98" t="str">
            <v>2024 Batch</v>
          </cell>
          <cell r="AU98">
            <v>6</v>
          </cell>
          <cell r="AV98">
            <v>18</v>
          </cell>
          <cell r="AW98" t="str">
            <v>H+L</v>
          </cell>
          <cell r="AX98">
            <v>70</v>
          </cell>
          <cell r="AY98">
            <v>50</v>
          </cell>
          <cell r="AZ98" t="str">
            <v>Duplex</v>
          </cell>
          <cell r="BA98">
            <v>1</v>
          </cell>
          <cell r="BB98" t="str">
            <v>326 - With Partition</v>
          </cell>
          <cell r="BC98" t="str">
            <v xml:space="preserve">Without Partition </v>
          </cell>
          <cell r="BD98" t="str">
            <v>Flat</v>
          </cell>
          <cell r="BE98" t="str">
            <v xml:space="preserve">Without Partition </v>
          </cell>
          <cell r="BF98" t="str">
            <v>YELLOW</v>
          </cell>
          <cell r="BG98">
            <v>2600000</v>
          </cell>
          <cell r="BH98">
            <v>2650000</v>
          </cell>
          <cell r="BI98">
            <v>100000</v>
          </cell>
          <cell r="BJ98">
            <v>2550000</v>
          </cell>
          <cell r="BK98">
            <v>0</v>
          </cell>
          <cell r="BL98">
            <v>2550000</v>
          </cell>
        </row>
        <row r="99">
          <cell r="D99" t="str">
            <v>OS</v>
          </cell>
          <cell r="E99"/>
          <cell r="F99">
            <v>79</v>
          </cell>
          <cell r="G99" t="str">
            <v>SOLD</v>
          </cell>
          <cell r="H99" t="str">
            <v>OS</v>
          </cell>
          <cell r="I99" t="str">
            <v>OS</v>
          </cell>
          <cell r="J99" t="str">
            <v>OS</v>
          </cell>
          <cell r="K99" t="str">
            <v>OS</v>
          </cell>
          <cell r="L99" t="str">
            <v>OS</v>
          </cell>
          <cell r="M99" t="str">
            <v>OS</v>
          </cell>
          <cell r="N99" t="str">
            <v>OS</v>
          </cell>
          <cell r="O99" t="str">
            <v>OS</v>
          </cell>
          <cell r="P99" t="str">
            <v>OS</v>
          </cell>
          <cell r="Q99" t="str">
            <v>OS</v>
          </cell>
          <cell r="R99" t="str">
            <v>OS</v>
          </cell>
          <cell r="S99" t="str">
            <v>OS</v>
          </cell>
          <cell r="T99" t="str">
            <v>OS</v>
          </cell>
          <cell r="U99" t="str">
            <v>OS</v>
          </cell>
          <cell r="V99" t="str">
            <v>OS</v>
          </cell>
          <cell r="W99" t="str">
            <v>OS</v>
          </cell>
          <cell r="X99" t="str">
            <v>OS</v>
          </cell>
          <cell r="Y99" t="str">
            <v>OS</v>
          </cell>
          <cell r="Z99" t="str">
            <v>OS</v>
          </cell>
          <cell r="AA99" t="str">
            <v>OS</v>
          </cell>
          <cell r="AB99" t="str">
            <v>OS</v>
          </cell>
          <cell r="AC99" t="str">
            <v>OS</v>
          </cell>
          <cell r="AD99" t="str">
            <v>AGM-01-006-019</v>
          </cell>
          <cell r="AE99" t="str">
            <v xml:space="preserve">Raemulan Lands, Inc. </v>
          </cell>
          <cell r="AF99" t="str">
            <v>Agapeya</v>
          </cell>
          <cell r="AG99" t="str">
            <v>AGM</v>
          </cell>
          <cell r="AH99" t="str">
            <v>Eco-High</v>
          </cell>
          <cell r="AI99" t="str">
            <v>West</v>
          </cell>
          <cell r="AJ99" t="str">
            <v>With LTS</v>
          </cell>
          <cell r="AK99" t="str">
            <v>Unaffected lots</v>
          </cell>
          <cell r="AL99" t="str">
            <v>Unaffected lots</v>
          </cell>
          <cell r="AM99" t="b">
            <v>1</v>
          </cell>
          <cell r="AN99" t="str">
            <v>YES</v>
          </cell>
          <cell r="AO99" t="str">
            <v>2024 Batch</v>
          </cell>
          <cell r="AP99">
            <v>70</v>
          </cell>
          <cell r="AQ99" t="str">
            <v>PCS-04-034407</v>
          </cell>
          <cell r="AR99" t="b">
            <v>1</v>
          </cell>
          <cell r="AS99" t="str">
            <v>Done</v>
          </cell>
          <cell r="AT99" t="str">
            <v>2024 Batch</v>
          </cell>
          <cell r="AU99">
            <v>6</v>
          </cell>
          <cell r="AV99">
            <v>19</v>
          </cell>
          <cell r="AW99" t="str">
            <v>H+L</v>
          </cell>
          <cell r="AX99">
            <v>70</v>
          </cell>
          <cell r="AY99">
            <v>50</v>
          </cell>
          <cell r="AZ99" t="str">
            <v>Duplex</v>
          </cell>
          <cell r="BA99">
            <v>1</v>
          </cell>
          <cell r="BB99" t="str">
            <v>326 - With Partition</v>
          </cell>
          <cell r="BC99" t="str">
            <v>With Partition</v>
          </cell>
          <cell r="BD99" t="str">
            <v>Slant</v>
          </cell>
          <cell r="BE99" t="str">
            <v>With Partition</v>
          </cell>
          <cell r="BF99" t="str">
            <v>YELLOW</v>
          </cell>
          <cell r="BG99">
            <v>2750000</v>
          </cell>
          <cell r="BH99">
            <v>2850000</v>
          </cell>
          <cell r="BI99">
            <v>100000</v>
          </cell>
          <cell r="BJ99">
            <v>2750000</v>
          </cell>
          <cell r="BK99">
            <v>0</v>
          </cell>
          <cell r="BL99">
            <v>2750000</v>
          </cell>
        </row>
        <row r="100">
          <cell r="D100" t="str">
            <v>OS</v>
          </cell>
          <cell r="E100"/>
          <cell r="F100">
            <v>80</v>
          </cell>
          <cell r="G100" t="str">
            <v>SOLD</v>
          </cell>
          <cell r="H100" t="str">
            <v>OS</v>
          </cell>
          <cell r="I100" t="str">
            <v>OS</v>
          </cell>
          <cell r="J100" t="str">
            <v>OS</v>
          </cell>
          <cell r="K100" t="str">
            <v>OS</v>
          </cell>
          <cell r="L100" t="str">
            <v>OS</v>
          </cell>
          <cell r="M100" t="str">
            <v>OS</v>
          </cell>
          <cell r="N100" t="str">
            <v>OS</v>
          </cell>
          <cell r="O100" t="str">
            <v>OS</v>
          </cell>
          <cell r="P100" t="str">
            <v>OS</v>
          </cell>
          <cell r="Q100" t="str">
            <v>OS</v>
          </cell>
          <cell r="R100" t="str">
            <v>OS</v>
          </cell>
          <cell r="S100" t="str">
            <v>OS</v>
          </cell>
          <cell r="T100" t="str">
            <v>OS</v>
          </cell>
          <cell r="U100" t="str">
            <v>OS</v>
          </cell>
          <cell r="V100" t="str">
            <v>OS</v>
          </cell>
          <cell r="W100" t="str">
            <v>OS</v>
          </cell>
          <cell r="X100" t="str">
            <v>OS</v>
          </cell>
          <cell r="Y100" t="str">
            <v>OS</v>
          </cell>
          <cell r="Z100" t="str">
            <v>OS</v>
          </cell>
          <cell r="AA100" t="str">
            <v>OS</v>
          </cell>
          <cell r="AB100" t="str">
            <v>OS</v>
          </cell>
          <cell r="AC100" t="str">
            <v>OS</v>
          </cell>
          <cell r="AD100" t="str">
            <v>AGM-01-006-020</v>
          </cell>
          <cell r="AE100" t="str">
            <v xml:space="preserve">Raemulan Lands, Inc. </v>
          </cell>
          <cell r="AF100" t="str">
            <v>Agapeya</v>
          </cell>
          <cell r="AG100" t="str">
            <v>AGM</v>
          </cell>
          <cell r="AH100" t="str">
            <v>Eco-High</v>
          </cell>
          <cell r="AI100" t="str">
            <v>West</v>
          </cell>
          <cell r="AJ100" t="str">
            <v>With LTS</v>
          </cell>
          <cell r="AK100" t="str">
            <v>Unaffected lots</v>
          </cell>
          <cell r="AL100" t="str">
            <v>Unaffected lots</v>
          </cell>
          <cell r="AM100" t="b">
            <v>1</v>
          </cell>
          <cell r="AN100" t="str">
            <v>YES</v>
          </cell>
          <cell r="AO100" t="str">
            <v>2024 Batch</v>
          </cell>
          <cell r="AP100">
            <v>70</v>
          </cell>
          <cell r="AQ100" t="str">
            <v>PCS-04-034407</v>
          </cell>
          <cell r="AR100" t="b">
            <v>1</v>
          </cell>
          <cell r="AS100" t="str">
            <v>Done</v>
          </cell>
          <cell r="AT100" t="str">
            <v>2024 Batch</v>
          </cell>
          <cell r="AU100">
            <v>6</v>
          </cell>
          <cell r="AV100">
            <v>20</v>
          </cell>
          <cell r="AW100" t="str">
            <v>H+L</v>
          </cell>
          <cell r="AX100">
            <v>70</v>
          </cell>
          <cell r="AY100">
            <v>50</v>
          </cell>
          <cell r="AZ100" t="str">
            <v>Duplex</v>
          </cell>
          <cell r="BA100">
            <v>1</v>
          </cell>
          <cell r="BB100" t="str">
            <v>326 - With Partition</v>
          </cell>
          <cell r="BC100" t="str">
            <v>With Partition</v>
          </cell>
          <cell r="BD100" t="str">
            <v>Slant</v>
          </cell>
          <cell r="BE100" t="str">
            <v>With Partition</v>
          </cell>
          <cell r="BF100" t="str">
            <v>YELLOW</v>
          </cell>
          <cell r="BG100">
            <v>2707500</v>
          </cell>
          <cell r="BH100">
            <v>2850000</v>
          </cell>
          <cell r="BI100">
            <v>100000</v>
          </cell>
          <cell r="BJ100">
            <v>2750000</v>
          </cell>
          <cell r="BK100">
            <v>0</v>
          </cell>
          <cell r="BL100">
            <v>2750000</v>
          </cell>
        </row>
        <row r="101">
          <cell r="D101" t="str">
            <v>OS</v>
          </cell>
          <cell r="E101"/>
          <cell r="F101">
            <v>81</v>
          </cell>
          <cell r="G101" t="str">
            <v>SOLD</v>
          </cell>
          <cell r="H101" t="str">
            <v>OS</v>
          </cell>
          <cell r="I101" t="str">
            <v>OS</v>
          </cell>
          <cell r="J101" t="str">
            <v>OS</v>
          </cell>
          <cell r="K101" t="str">
            <v>OS</v>
          </cell>
          <cell r="L101" t="str">
            <v>OS</v>
          </cell>
          <cell r="M101" t="str">
            <v>OS</v>
          </cell>
          <cell r="N101" t="str">
            <v>OS</v>
          </cell>
          <cell r="O101" t="str">
            <v>OS</v>
          </cell>
          <cell r="P101" t="str">
            <v>OS</v>
          </cell>
          <cell r="Q101" t="str">
            <v>OS</v>
          </cell>
          <cell r="R101" t="str">
            <v>OS</v>
          </cell>
          <cell r="S101" t="str">
            <v>OS</v>
          </cell>
          <cell r="T101" t="str">
            <v>OS</v>
          </cell>
          <cell r="U101" t="str">
            <v>OS</v>
          </cell>
          <cell r="V101" t="str">
            <v>OS</v>
          </cell>
          <cell r="W101" t="str">
            <v>OS</v>
          </cell>
          <cell r="X101" t="str">
            <v>OS</v>
          </cell>
          <cell r="Y101" t="str">
            <v>OS</v>
          </cell>
          <cell r="Z101" t="str">
            <v>OS</v>
          </cell>
          <cell r="AA101" t="str">
            <v>OS</v>
          </cell>
          <cell r="AB101" t="str">
            <v>OS</v>
          </cell>
          <cell r="AC101" t="str">
            <v>OS</v>
          </cell>
          <cell r="AD101" t="str">
            <v>AGM-01-006-021</v>
          </cell>
          <cell r="AE101" t="str">
            <v xml:space="preserve">Raemulan Lands, Inc. </v>
          </cell>
          <cell r="AF101" t="str">
            <v>Agapeya</v>
          </cell>
          <cell r="AG101" t="str">
            <v>AGM</v>
          </cell>
          <cell r="AH101" t="str">
            <v>Eco-High</v>
          </cell>
          <cell r="AI101" t="str">
            <v>West</v>
          </cell>
          <cell r="AJ101" t="str">
            <v>With LTS</v>
          </cell>
          <cell r="AK101" t="str">
            <v>Unaffected lots</v>
          </cell>
          <cell r="AL101" t="str">
            <v>Unaffected lots</v>
          </cell>
          <cell r="AM101" t="b">
            <v>1</v>
          </cell>
          <cell r="AN101" t="str">
            <v>YES</v>
          </cell>
          <cell r="AO101" t="str">
            <v>2024 Batch</v>
          </cell>
          <cell r="AP101">
            <v>78</v>
          </cell>
          <cell r="AQ101" t="str">
            <v>PCS-04-034407</v>
          </cell>
          <cell r="AR101" t="b">
            <v>1</v>
          </cell>
          <cell r="AS101" t="str">
            <v>Done</v>
          </cell>
          <cell r="AT101" t="str">
            <v>2024 Batch</v>
          </cell>
          <cell r="AU101">
            <v>6</v>
          </cell>
          <cell r="AV101">
            <v>21</v>
          </cell>
          <cell r="AW101" t="str">
            <v>H+L</v>
          </cell>
          <cell r="AX101">
            <v>78</v>
          </cell>
          <cell r="AY101">
            <v>50</v>
          </cell>
          <cell r="AZ101" t="str">
            <v>Duplex</v>
          </cell>
          <cell r="BA101">
            <v>1</v>
          </cell>
          <cell r="BB101" t="str">
            <v>326 - With Partition</v>
          </cell>
          <cell r="BC101" t="str">
            <v xml:space="preserve">Without Partition </v>
          </cell>
          <cell r="BD101" t="str">
            <v>Flat</v>
          </cell>
          <cell r="BE101" t="str">
            <v xml:space="preserve">Without Partition </v>
          </cell>
          <cell r="BF101" t="str">
            <v>YELLOW</v>
          </cell>
          <cell r="BG101">
            <v>2720000</v>
          </cell>
          <cell r="BH101">
            <v>2770000</v>
          </cell>
          <cell r="BI101">
            <v>100000</v>
          </cell>
          <cell r="BJ101">
            <v>2670000</v>
          </cell>
          <cell r="BK101">
            <v>0</v>
          </cell>
          <cell r="BL101">
            <v>2670000</v>
          </cell>
        </row>
        <row r="102">
          <cell r="D102" t="str">
            <v>OS</v>
          </cell>
          <cell r="E102"/>
          <cell r="F102">
            <v>82</v>
          </cell>
          <cell r="G102" t="str">
            <v>SOLD</v>
          </cell>
          <cell r="H102" t="str">
            <v>OS</v>
          </cell>
          <cell r="I102" t="str">
            <v>OS</v>
          </cell>
          <cell r="J102" t="str">
            <v>OS</v>
          </cell>
          <cell r="K102" t="str">
            <v>OS</v>
          </cell>
          <cell r="L102" t="str">
            <v>OS</v>
          </cell>
          <cell r="M102" t="str">
            <v>OS</v>
          </cell>
          <cell r="N102" t="str">
            <v>OS</v>
          </cell>
          <cell r="O102" t="str">
            <v>OS</v>
          </cell>
          <cell r="P102" t="str">
            <v>OS</v>
          </cell>
          <cell r="Q102" t="str">
            <v>OS</v>
          </cell>
          <cell r="R102" t="str">
            <v>OS</v>
          </cell>
          <cell r="S102" t="str">
            <v>OS</v>
          </cell>
          <cell r="T102" t="str">
            <v>OS</v>
          </cell>
          <cell r="U102" t="str">
            <v>OS</v>
          </cell>
          <cell r="V102" t="str">
            <v>OS</v>
          </cell>
          <cell r="W102" t="str">
            <v>OS</v>
          </cell>
          <cell r="X102" t="str">
            <v>OS</v>
          </cell>
          <cell r="Y102" t="str">
            <v>OS</v>
          </cell>
          <cell r="Z102" t="str">
            <v>OS</v>
          </cell>
          <cell r="AA102" t="str">
            <v>OS</v>
          </cell>
          <cell r="AB102" t="str">
            <v>OS</v>
          </cell>
          <cell r="AC102" t="str">
            <v>OS</v>
          </cell>
          <cell r="AD102" t="str">
            <v>AGM-01-006-022</v>
          </cell>
          <cell r="AE102" t="str">
            <v xml:space="preserve">Raemulan Lands, Inc. </v>
          </cell>
          <cell r="AF102" t="str">
            <v>Agapeya</v>
          </cell>
          <cell r="AG102" t="str">
            <v>AGM</v>
          </cell>
          <cell r="AH102" t="str">
            <v>Eco-High</v>
          </cell>
          <cell r="AI102" t="str">
            <v>West</v>
          </cell>
          <cell r="AJ102" t="str">
            <v>With LTS</v>
          </cell>
          <cell r="AK102" t="str">
            <v>Unaffected lots</v>
          </cell>
          <cell r="AL102" t="str">
            <v>Unaffected lots</v>
          </cell>
          <cell r="AM102" t="b">
            <v>1</v>
          </cell>
          <cell r="AN102" t="str">
            <v>YES</v>
          </cell>
          <cell r="AO102" t="str">
            <v>2024 Batch</v>
          </cell>
          <cell r="AP102">
            <v>78</v>
          </cell>
          <cell r="AQ102" t="str">
            <v>PCS-04-034407</v>
          </cell>
          <cell r="AR102" t="b">
            <v>1</v>
          </cell>
          <cell r="AS102" t="str">
            <v>Done</v>
          </cell>
          <cell r="AT102" t="str">
            <v>2024 Batch</v>
          </cell>
          <cell r="AU102">
            <v>6</v>
          </cell>
          <cell r="AV102">
            <v>22</v>
          </cell>
          <cell r="AW102" t="str">
            <v>H+L</v>
          </cell>
          <cell r="AX102">
            <v>78</v>
          </cell>
          <cell r="AY102">
            <v>50</v>
          </cell>
          <cell r="AZ102" t="str">
            <v>Duplex</v>
          </cell>
          <cell r="BA102">
            <v>1</v>
          </cell>
          <cell r="BB102" t="str">
            <v>326 - With Partition</v>
          </cell>
          <cell r="BC102" t="str">
            <v xml:space="preserve">Without Partition </v>
          </cell>
          <cell r="BD102" t="str">
            <v>Slant</v>
          </cell>
          <cell r="BE102" t="str">
            <v xml:space="preserve">With Partition </v>
          </cell>
          <cell r="BF102" t="str">
            <v>GREEN</v>
          </cell>
          <cell r="BG102">
            <v>2720000</v>
          </cell>
          <cell r="BH102">
            <v>2770000</v>
          </cell>
          <cell r="BI102">
            <v>100000</v>
          </cell>
          <cell r="BJ102">
            <v>2670000</v>
          </cell>
          <cell r="BK102">
            <v>0</v>
          </cell>
          <cell r="BL102">
            <v>2670000</v>
          </cell>
        </row>
        <row r="103">
          <cell r="D103" t="str">
            <v>OS</v>
          </cell>
          <cell r="E103"/>
          <cell r="F103">
            <v>83</v>
          </cell>
          <cell r="G103" t="str">
            <v>SOLD</v>
          </cell>
          <cell r="H103" t="str">
            <v>OS</v>
          </cell>
          <cell r="I103" t="str">
            <v>OS</v>
          </cell>
          <cell r="J103" t="str">
            <v>OS</v>
          </cell>
          <cell r="K103" t="str">
            <v>OS</v>
          </cell>
          <cell r="L103" t="str">
            <v>OS</v>
          </cell>
          <cell r="M103" t="str">
            <v>OS</v>
          </cell>
          <cell r="N103" t="str">
            <v>OS</v>
          </cell>
          <cell r="O103" t="str">
            <v>OS</v>
          </cell>
          <cell r="P103" t="str">
            <v>OS</v>
          </cell>
          <cell r="Q103" t="str">
            <v>OS</v>
          </cell>
          <cell r="R103" t="str">
            <v>OS</v>
          </cell>
          <cell r="S103" t="str">
            <v>OS</v>
          </cell>
          <cell r="T103" t="str">
            <v>OS</v>
          </cell>
          <cell r="U103" t="str">
            <v>OS</v>
          </cell>
          <cell r="V103" t="str">
            <v>OS</v>
          </cell>
          <cell r="W103" t="str">
            <v>OS</v>
          </cell>
          <cell r="X103" t="str">
            <v>OS</v>
          </cell>
          <cell r="Y103" t="str">
            <v>OS</v>
          </cell>
          <cell r="Z103" t="str">
            <v>OS</v>
          </cell>
          <cell r="AA103" t="str">
            <v>OS</v>
          </cell>
          <cell r="AB103" t="str">
            <v>OS</v>
          </cell>
          <cell r="AC103" t="str">
            <v>OS</v>
          </cell>
          <cell r="AD103" t="str">
            <v>AGM-01-006-023</v>
          </cell>
          <cell r="AE103" t="str">
            <v xml:space="preserve">Raemulan Lands, Inc. </v>
          </cell>
          <cell r="AF103" t="str">
            <v>Agapeya</v>
          </cell>
          <cell r="AG103" t="str">
            <v>AGM</v>
          </cell>
          <cell r="AH103" t="str">
            <v>Eco-High</v>
          </cell>
          <cell r="AI103" t="str">
            <v>West</v>
          </cell>
          <cell r="AJ103" t="str">
            <v>With LTS</v>
          </cell>
          <cell r="AK103" t="str">
            <v>Unaffected lots</v>
          </cell>
          <cell r="AL103" t="str">
            <v>Unaffected lots</v>
          </cell>
          <cell r="AM103" t="b">
            <v>1</v>
          </cell>
          <cell r="AN103" t="str">
            <v>YES</v>
          </cell>
          <cell r="AO103" t="str">
            <v>2024 Batch</v>
          </cell>
          <cell r="AP103">
            <v>70</v>
          </cell>
          <cell r="AQ103" t="str">
            <v>PCS-04-034407</v>
          </cell>
          <cell r="AR103" t="b">
            <v>1</v>
          </cell>
          <cell r="AS103" t="str">
            <v>Done</v>
          </cell>
          <cell r="AT103" t="str">
            <v>2024 Batch</v>
          </cell>
          <cell r="AU103">
            <v>6</v>
          </cell>
          <cell r="AV103">
            <v>23</v>
          </cell>
          <cell r="AW103" t="str">
            <v>H+L</v>
          </cell>
          <cell r="AX103">
            <v>70</v>
          </cell>
          <cell r="AY103">
            <v>50</v>
          </cell>
          <cell r="AZ103" t="str">
            <v>Duplex</v>
          </cell>
          <cell r="BA103">
            <v>1</v>
          </cell>
          <cell r="BB103" t="str">
            <v>326 - With Partition</v>
          </cell>
          <cell r="BC103" t="str">
            <v>With Partition</v>
          </cell>
          <cell r="BD103" t="str">
            <v>Flat</v>
          </cell>
          <cell r="BE103" t="str">
            <v>With Partition</v>
          </cell>
          <cell r="BF103" t="str">
            <v>GREEN</v>
          </cell>
          <cell r="BG103">
            <v>2707500</v>
          </cell>
          <cell r="BH103">
            <v>2850000</v>
          </cell>
          <cell r="BI103">
            <v>100000</v>
          </cell>
          <cell r="BJ103">
            <v>2750000</v>
          </cell>
          <cell r="BK103">
            <v>0</v>
          </cell>
          <cell r="BL103">
            <v>2750000</v>
          </cell>
        </row>
        <row r="104">
          <cell r="D104" t="str">
            <v>OS</v>
          </cell>
          <cell r="E104"/>
          <cell r="F104">
            <v>84</v>
          </cell>
          <cell r="G104" t="str">
            <v>SOLD</v>
          </cell>
          <cell r="H104" t="str">
            <v>OS</v>
          </cell>
          <cell r="I104" t="str">
            <v>OS</v>
          </cell>
          <cell r="J104" t="str">
            <v>OS</v>
          </cell>
          <cell r="K104" t="str">
            <v>OS</v>
          </cell>
          <cell r="L104" t="str">
            <v>OS</v>
          </cell>
          <cell r="M104" t="str">
            <v>OS</v>
          </cell>
          <cell r="N104" t="str">
            <v>OS</v>
          </cell>
          <cell r="O104" t="str">
            <v>OS</v>
          </cell>
          <cell r="P104" t="str">
            <v>OS</v>
          </cell>
          <cell r="Q104" t="str">
            <v>OS</v>
          </cell>
          <cell r="R104" t="str">
            <v>OS</v>
          </cell>
          <cell r="S104" t="str">
            <v>OS</v>
          </cell>
          <cell r="T104" t="str">
            <v>OS</v>
          </cell>
          <cell r="U104" t="str">
            <v>OS</v>
          </cell>
          <cell r="V104" t="str">
            <v>OS</v>
          </cell>
          <cell r="W104" t="str">
            <v>OS</v>
          </cell>
          <cell r="X104" t="str">
            <v>OS</v>
          </cell>
          <cell r="Y104" t="str">
            <v>OS</v>
          </cell>
          <cell r="Z104" t="str">
            <v>OS</v>
          </cell>
          <cell r="AA104" t="str">
            <v>OS</v>
          </cell>
          <cell r="AB104" t="str">
            <v>OS</v>
          </cell>
          <cell r="AC104" t="str">
            <v>OS</v>
          </cell>
          <cell r="AD104" t="str">
            <v>AGM-01-006-024</v>
          </cell>
          <cell r="AE104" t="str">
            <v xml:space="preserve">Raemulan Lands, Inc. </v>
          </cell>
          <cell r="AF104" t="str">
            <v>Agapeya</v>
          </cell>
          <cell r="AG104" t="str">
            <v>AGM</v>
          </cell>
          <cell r="AH104" t="str">
            <v>Eco-High</v>
          </cell>
          <cell r="AI104" t="str">
            <v>West</v>
          </cell>
          <cell r="AJ104" t="str">
            <v>With LTS</v>
          </cell>
          <cell r="AK104" t="str">
            <v>Unaffected lots</v>
          </cell>
          <cell r="AL104" t="str">
            <v>Unaffected lots</v>
          </cell>
          <cell r="AM104" t="b">
            <v>1</v>
          </cell>
          <cell r="AN104" t="str">
            <v>YES</v>
          </cell>
          <cell r="AO104" t="str">
            <v>2024 Batch</v>
          </cell>
          <cell r="AP104">
            <v>70</v>
          </cell>
          <cell r="AQ104" t="str">
            <v>PCS-04-034407</v>
          </cell>
          <cell r="AR104" t="b">
            <v>1</v>
          </cell>
          <cell r="AS104" t="str">
            <v>Done</v>
          </cell>
          <cell r="AT104" t="str">
            <v>2024 Batch</v>
          </cell>
          <cell r="AU104">
            <v>6</v>
          </cell>
          <cell r="AV104">
            <v>24</v>
          </cell>
          <cell r="AW104" t="str">
            <v>H+L</v>
          </cell>
          <cell r="AX104">
            <v>70</v>
          </cell>
          <cell r="AY104">
            <v>50</v>
          </cell>
          <cell r="AZ104" t="str">
            <v>Duplex</v>
          </cell>
          <cell r="BA104">
            <v>1</v>
          </cell>
          <cell r="BB104" t="str">
            <v>326 - With Partition</v>
          </cell>
          <cell r="BC104" t="str">
            <v>With Partition</v>
          </cell>
          <cell r="BD104" t="str">
            <v>Flat</v>
          </cell>
          <cell r="BE104" t="str">
            <v>With Partition</v>
          </cell>
          <cell r="BF104" t="str">
            <v>GREEN</v>
          </cell>
          <cell r="BG104">
            <v>2650000</v>
          </cell>
          <cell r="BH104">
            <v>2850000</v>
          </cell>
          <cell r="BI104">
            <v>100000</v>
          </cell>
          <cell r="BJ104">
            <v>2750000</v>
          </cell>
          <cell r="BK104">
            <v>0</v>
          </cell>
          <cell r="BL104">
            <v>2750000</v>
          </cell>
        </row>
        <row r="105">
          <cell r="D105" t="str">
            <v>OS</v>
          </cell>
          <cell r="E105"/>
          <cell r="F105">
            <v>85</v>
          </cell>
          <cell r="G105" t="str">
            <v>SOLD</v>
          </cell>
          <cell r="H105" t="str">
            <v>OS</v>
          </cell>
          <cell r="I105" t="str">
            <v>OS</v>
          </cell>
          <cell r="J105" t="str">
            <v>OS</v>
          </cell>
          <cell r="K105" t="str">
            <v>OS</v>
          </cell>
          <cell r="L105" t="str">
            <v>OS</v>
          </cell>
          <cell r="M105" t="str">
            <v>OS</v>
          </cell>
          <cell r="N105" t="str">
            <v>OS</v>
          </cell>
          <cell r="O105" t="str">
            <v>OS</v>
          </cell>
          <cell r="P105" t="str">
            <v>OS</v>
          </cell>
          <cell r="Q105" t="str">
            <v>OS</v>
          </cell>
          <cell r="R105" t="str">
            <v>OS</v>
          </cell>
          <cell r="S105" t="str">
            <v>OS</v>
          </cell>
          <cell r="T105" t="str">
            <v>OS</v>
          </cell>
          <cell r="U105" t="str">
            <v>OS</v>
          </cell>
          <cell r="V105" t="str">
            <v>OS</v>
          </cell>
          <cell r="W105" t="str">
            <v>OS</v>
          </cell>
          <cell r="X105" t="str">
            <v>OS</v>
          </cell>
          <cell r="Y105" t="str">
            <v>OS</v>
          </cell>
          <cell r="Z105" t="str">
            <v>OS</v>
          </cell>
          <cell r="AA105" t="str">
            <v>OS</v>
          </cell>
          <cell r="AB105" t="str">
            <v>OS</v>
          </cell>
          <cell r="AC105" t="str">
            <v>OS</v>
          </cell>
          <cell r="AD105" t="str">
            <v>AGM-01-006-025</v>
          </cell>
          <cell r="AE105" t="str">
            <v xml:space="preserve">Raemulan Lands, Inc. </v>
          </cell>
          <cell r="AF105" t="str">
            <v>Agapeya</v>
          </cell>
          <cell r="AG105" t="str">
            <v>AGM</v>
          </cell>
          <cell r="AH105" t="str">
            <v>Eco-High</v>
          </cell>
          <cell r="AI105" t="str">
            <v>West</v>
          </cell>
          <cell r="AJ105" t="str">
            <v>With LTS</v>
          </cell>
          <cell r="AK105" t="str">
            <v>Unaffected lots</v>
          </cell>
          <cell r="AL105" t="str">
            <v>Unaffected lots</v>
          </cell>
          <cell r="AM105" t="b">
            <v>1</v>
          </cell>
          <cell r="AN105" t="str">
            <v>YES</v>
          </cell>
          <cell r="AO105" t="str">
            <v>2024 Batch</v>
          </cell>
          <cell r="AP105">
            <v>70</v>
          </cell>
          <cell r="AQ105" t="str">
            <v>PCS-04-034407</v>
          </cell>
          <cell r="AR105" t="b">
            <v>1</v>
          </cell>
          <cell r="AS105" t="str">
            <v>Done</v>
          </cell>
          <cell r="AT105" t="str">
            <v>2024 Batch</v>
          </cell>
          <cell r="AU105">
            <v>6</v>
          </cell>
          <cell r="AV105">
            <v>25</v>
          </cell>
          <cell r="AW105" t="str">
            <v>H+L</v>
          </cell>
          <cell r="AX105">
            <v>70</v>
          </cell>
          <cell r="AY105">
            <v>50</v>
          </cell>
          <cell r="AZ105" t="str">
            <v>Duplex</v>
          </cell>
          <cell r="BA105">
            <v>1</v>
          </cell>
          <cell r="BB105" t="str">
            <v>326 - With Partition</v>
          </cell>
          <cell r="BC105" t="str">
            <v xml:space="preserve">Without Partition </v>
          </cell>
          <cell r="BD105" t="str">
            <v>Slant</v>
          </cell>
          <cell r="BE105" t="str">
            <v xml:space="preserve">Without Partition </v>
          </cell>
          <cell r="BF105" t="str">
            <v>GREEN</v>
          </cell>
          <cell r="BG105">
            <v>2600000</v>
          </cell>
          <cell r="BH105">
            <v>2650000</v>
          </cell>
          <cell r="BI105">
            <v>100000</v>
          </cell>
          <cell r="BJ105">
            <v>2550000</v>
          </cell>
          <cell r="BK105">
            <v>0</v>
          </cell>
          <cell r="BL105">
            <v>2550000</v>
          </cell>
        </row>
        <row r="106">
          <cell r="D106" t="str">
            <v>OS</v>
          </cell>
          <cell r="E106"/>
          <cell r="F106">
            <v>86</v>
          </cell>
          <cell r="G106" t="str">
            <v>SOLD</v>
          </cell>
          <cell r="H106" t="str">
            <v>OS</v>
          </cell>
          <cell r="I106" t="str">
            <v>OS</v>
          </cell>
          <cell r="J106" t="str">
            <v>OS</v>
          </cell>
          <cell r="K106" t="str">
            <v>OS</v>
          </cell>
          <cell r="L106" t="str">
            <v>OS</v>
          </cell>
          <cell r="M106" t="str">
            <v>OS</v>
          </cell>
          <cell r="N106" t="str">
            <v>OS</v>
          </cell>
          <cell r="O106" t="str">
            <v>TS</v>
          </cell>
          <cell r="P106" t="str">
            <v>OS</v>
          </cell>
          <cell r="Q106" t="str">
            <v>OS</v>
          </cell>
          <cell r="R106" t="str">
            <v>OS</v>
          </cell>
          <cell r="S106" t="str">
            <v>OS</v>
          </cell>
          <cell r="T106" t="str">
            <v>OS</v>
          </cell>
          <cell r="U106" t="str">
            <v>OS</v>
          </cell>
          <cell r="V106" t="str">
            <v>OS</v>
          </cell>
          <cell r="W106" t="str">
            <v>OS</v>
          </cell>
          <cell r="X106" t="str">
            <v>OS</v>
          </cell>
          <cell r="Y106" t="str">
            <v>OS</v>
          </cell>
          <cell r="Z106" t="str">
            <v>OS</v>
          </cell>
          <cell r="AA106" t="str">
            <v>OS</v>
          </cell>
          <cell r="AB106" t="str">
            <v>OS</v>
          </cell>
          <cell r="AC106" t="str">
            <v>OS</v>
          </cell>
          <cell r="AD106" t="str">
            <v>AGM-01-006-026</v>
          </cell>
          <cell r="AE106" t="str">
            <v xml:space="preserve">Raemulan Lands, Inc. </v>
          </cell>
          <cell r="AF106" t="str">
            <v>Agapeya</v>
          </cell>
          <cell r="AG106" t="str">
            <v>AGM</v>
          </cell>
          <cell r="AH106" t="str">
            <v>Eco-High</v>
          </cell>
          <cell r="AI106" t="str">
            <v>West</v>
          </cell>
          <cell r="AJ106" t="str">
            <v>With LTS</v>
          </cell>
          <cell r="AK106" t="str">
            <v>Unaffected lots</v>
          </cell>
          <cell r="AL106" t="str">
            <v>Unaffected lots</v>
          </cell>
          <cell r="AM106" t="b">
            <v>1</v>
          </cell>
          <cell r="AN106" t="str">
            <v>YES</v>
          </cell>
          <cell r="AO106" t="str">
            <v>2024 Batch</v>
          </cell>
          <cell r="AP106">
            <v>70</v>
          </cell>
          <cell r="AQ106" t="str">
            <v>PCS-04-034407</v>
          </cell>
          <cell r="AR106" t="b">
            <v>1</v>
          </cell>
          <cell r="AS106" t="str">
            <v>Done</v>
          </cell>
          <cell r="AT106" t="str">
            <v>2024 Batch</v>
          </cell>
          <cell r="AU106">
            <v>6</v>
          </cell>
          <cell r="AV106">
            <v>26</v>
          </cell>
          <cell r="AW106" t="str">
            <v>H+L</v>
          </cell>
          <cell r="AX106">
            <v>70</v>
          </cell>
          <cell r="AY106">
            <v>50</v>
          </cell>
          <cell r="AZ106" t="str">
            <v>Duplex</v>
          </cell>
          <cell r="BA106">
            <v>1</v>
          </cell>
          <cell r="BB106" t="str">
            <v>326 - With Partition</v>
          </cell>
          <cell r="BC106" t="str">
            <v xml:space="preserve">Without Partition </v>
          </cell>
          <cell r="BD106" t="str">
            <v>Slant</v>
          </cell>
          <cell r="BE106" t="str">
            <v xml:space="preserve">Without Partition </v>
          </cell>
          <cell r="BF106" t="str">
            <v>YELLOW</v>
          </cell>
          <cell r="BG106">
            <v>2707500</v>
          </cell>
          <cell r="BH106">
            <v>2650000</v>
          </cell>
          <cell r="BI106">
            <v>100000</v>
          </cell>
          <cell r="BJ106">
            <v>2550000</v>
          </cell>
          <cell r="BK106">
            <v>0</v>
          </cell>
          <cell r="BL106">
            <v>2550000</v>
          </cell>
        </row>
        <row r="107">
          <cell r="D107" t="str">
            <v>OS</v>
          </cell>
          <cell r="E107"/>
          <cell r="F107">
            <v>87</v>
          </cell>
          <cell r="G107" t="str">
            <v>SOLD</v>
          </cell>
          <cell r="H107" t="str">
            <v>OS</v>
          </cell>
          <cell r="I107" t="str">
            <v>OS</v>
          </cell>
          <cell r="J107" t="str">
            <v>OS</v>
          </cell>
          <cell r="K107" t="str">
            <v>OS</v>
          </cell>
          <cell r="L107" t="str">
            <v>OS</v>
          </cell>
          <cell r="M107" t="str">
            <v>OS</v>
          </cell>
          <cell r="N107" t="str">
            <v>OS</v>
          </cell>
          <cell r="O107" t="str">
            <v>OS</v>
          </cell>
          <cell r="P107" t="str">
            <v>OS</v>
          </cell>
          <cell r="Q107" t="str">
            <v>OS</v>
          </cell>
          <cell r="R107" t="str">
            <v>OS</v>
          </cell>
          <cell r="S107" t="str">
            <v>OS</v>
          </cell>
          <cell r="T107" t="str">
            <v>OS</v>
          </cell>
          <cell r="U107" t="str">
            <v>OS</v>
          </cell>
          <cell r="V107" t="str">
            <v>OS</v>
          </cell>
          <cell r="W107" t="str">
            <v>OS</v>
          </cell>
          <cell r="X107" t="str">
            <v>OS</v>
          </cell>
          <cell r="Y107" t="str">
            <v>OS</v>
          </cell>
          <cell r="Z107" t="str">
            <v>OS</v>
          </cell>
          <cell r="AA107" t="str">
            <v>OS</v>
          </cell>
          <cell r="AB107" t="str">
            <v>OS</v>
          </cell>
          <cell r="AC107" t="str">
            <v>OS</v>
          </cell>
          <cell r="AD107" t="str">
            <v>AGM-01-006-027</v>
          </cell>
          <cell r="AE107" t="str">
            <v xml:space="preserve">Raemulan Lands, Inc. </v>
          </cell>
          <cell r="AF107" t="str">
            <v>Agapeya</v>
          </cell>
          <cell r="AG107" t="str">
            <v>AGM</v>
          </cell>
          <cell r="AH107" t="str">
            <v>Eco-High</v>
          </cell>
          <cell r="AI107" t="str">
            <v>West</v>
          </cell>
          <cell r="AJ107" t="str">
            <v>With LTS</v>
          </cell>
          <cell r="AK107" t="str">
            <v>Unaffected lots</v>
          </cell>
          <cell r="AL107" t="str">
            <v>Unaffected lots</v>
          </cell>
          <cell r="AM107" t="b">
            <v>1</v>
          </cell>
          <cell r="AN107" t="str">
            <v>YES</v>
          </cell>
          <cell r="AO107" t="str">
            <v>2024 Batch</v>
          </cell>
          <cell r="AP107">
            <v>70</v>
          </cell>
          <cell r="AQ107" t="str">
            <v>PCS-04-034407</v>
          </cell>
          <cell r="AR107" t="b">
            <v>1</v>
          </cell>
          <cell r="AS107" t="str">
            <v>Done</v>
          </cell>
          <cell r="AT107" t="str">
            <v>2024 Batch</v>
          </cell>
          <cell r="AU107">
            <v>6</v>
          </cell>
          <cell r="AV107">
            <v>27</v>
          </cell>
          <cell r="AW107" t="str">
            <v>H+L</v>
          </cell>
          <cell r="AX107">
            <v>70</v>
          </cell>
          <cell r="AY107">
            <v>50</v>
          </cell>
          <cell r="AZ107" t="str">
            <v>Duplex</v>
          </cell>
          <cell r="BA107">
            <v>1</v>
          </cell>
          <cell r="BB107" t="str">
            <v>326 - With Partition</v>
          </cell>
          <cell r="BC107" t="str">
            <v xml:space="preserve">Without Partition </v>
          </cell>
          <cell r="BD107" t="str">
            <v>Flat</v>
          </cell>
          <cell r="BE107" t="str">
            <v xml:space="preserve">Without Partition </v>
          </cell>
          <cell r="BF107" t="str">
            <v>YELLOW</v>
          </cell>
          <cell r="BG107">
            <v>2500000</v>
          </cell>
          <cell r="BH107">
            <v>2650000</v>
          </cell>
          <cell r="BI107">
            <v>100000</v>
          </cell>
          <cell r="BJ107">
            <v>2550000</v>
          </cell>
          <cell r="BK107">
            <v>0</v>
          </cell>
          <cell r="BL107">
            <v>2550000</v>
          </cell>
        </row>
        <row r="108">
          <cell r="D108" t="str">
            <v>OS</v>
          </cell>
          <cell r="E108"/>
          <cell r="F108">
            <v>88</v>
          </cell>
          <cell r="G108" t="str">
            <v>SOLD</v>
          </cell>
          <cell r="H108" t="str">
            <v>OS</v>
          </cell>
          <cell r="I108" t="str">
            <v>OS</v>
          </cell>
          <cell r="J108" t="str">
            <v>OS</v>
          </cell>
          <cell r="K108" t="str">
            <v>OS</v>
          </cell>
          <cell r="L108" t="str">
            <v>OS</v>
          </cell>
          <cell r="M108" t="str">
            <v>OS</v>
          </cell>
          <cell r="N108" t="str">
            <v>OS</v>
          </cell>
          <cell r="O108" t="str">
            <v>OS</v>
          </cell>
          <cell r="P108" t="str">
            <v>OS</v>
          </cell>
          <cell r="Q108" t="str">
            <v>OS</v>
          </cell>
          <cell r="R108" t="str">
            <v>OS</v>
          </cell>
          <cell r="S108" t="str">
            <v>OS</v>
          </cell>
          <cell r="T108" t="str">
            <v>OS</v>
          </cell>
          <cell r="U108" t="str">
            <v>OS</v>
          </cell>
          <cell r="V108" t="str">
            <v>OS</v>
          </cell>
          <cell r="W108" t="str">
            <v>OS</v>
          </cell>
          <cell r="X108" t="str">
            <v>OS</v>
          </cell>
          <cell r="Y108" t="str">
            <v>OS</v>
          </cell>
          <cell r="Z108" t="str">
            <v>OS</v>
          </cell>
          <cell r="AA108" t="str">
            <v>OS</v>
          </cell>
          <cell r="AB108" t="str">
            <v>OS</v>
          </cell>
          <cell r="AC108" t="str">
            <v>OS</v>
          </cell>
          <cell r="AD108" t="str">
            <v>AGM-01-006-028</v>
          </cell>
          <cell r="AE108" t="str">
            <v xml:space="preserve">Raemulan Lands, Inc. </v>
          </cell>
          <cell r="AF108" t="str">
            <v>Agapeya</v>
          </cell>
          <cell r="AG108" t="str">
            <v>AGM</v>
          </cell>
          <cell r="AH108" t="str">
            <v>Eco-High</v>
          </cell>
          <cell r="AI108" t="str">
            <v>West</v>
          </cell>
          <cell r="AJ108" t="str">
            <v>With LTS</v>
          </cell>
          <cell r="AK108" t="str">
            <v>Unaffected lots</v>
          </cell>
          <cell r="AL108" t="str">
            <v>Unaffected lots</v>
          </cell>
          <cell r="AM108" t="b">
            <v>1</v>
          </cell>
          <cell r="AN108" t="str">
            <v>YES</v>
          </cell>
          <cell r="AO108" t="str">
            <v>2024 Batch</v>
          </cell>
          <cell r="AP108">
            <v>70</v>
          </cell>
          <cell r="AQ108" t="str">
            <v>PCS-04-034407</v>
          </cell>
          <cell r="AR108" t="b">
            <v>1</v>
          </cell>
          <cell r="AS108" t="str">
            <v>Done</v>
          </cell>
          <cell r="AT108" t="str">
            <v>2024 Batch</v>
          </cell>
          <cell r="AU108">
            <v>6</v>
          </cell>
          <cell r="AV108">
            <v>28</v>
          </cell>
          <cell r="AW108" t="str">
            <v>H+L</v>
          </cell>
          <cell r="AX108">
            <v>70</v>
          </cell>
          <cell r="AY108">
            <v>50</v>
          </cell>
          <cell r="AZ108" t="str">
            <v>Duplex</v>
          </cell>
          <cell r="BA108">
            <v>1</v>
          </cell>
          <cell r="BB108" t="str">
            <v>326 - With Partition</v>
          </cell>
          <cell r="BC108" t="str">
            <v xml:space="preserve">Without Partition </v>
          </cell>
          <cell r="BD108" t="str">
            <v>Flat</v>
          </cell>
          <cell r="BE108" t="str">
            <v xml:space="preserve">Without Partition </v>
          </cell>
          <cell r="BF108" t="str">
            <v>YELLOW</v>
          </cell>
          <cell r="BG108">
            <v>2500000</v>
          </cell>
          <cell r="BH108">
            <v>2650000</v>
          </cell>
          <cell r="BI108">
            <v>100000</v>
          </cell>
          <cell r="BJ108">
            <v>2550000</v>
          </cell>
          <cell r="BK108">
            <v>0</v>
          </cell>
          <cell r="BL108">
            <v>2550000</v>
          </cell>
        </row>
        <row r="109">
          <cell r="D109" t="str">
            <v>OS</v>
          </cell>
          <cell r="E109"/>
          <cell r="F109">
            <v>89</v>
          </cell>
          <cell r="G109" t="str">
            <v>SOLD</v>
          </cell>
          <cell r="H109" t="str">
            <v>OS</v>
          </cell>
          <cell r="I109" t="str">
            <v>OS</v>
          </cell>
          <cell r="J109" t="str">
            <v>OS</v>
          </cell>
          <cell r="K109" t="str">
            <v>OS</v>
          </cell>
          <cell r="L109" t="str">
            <v>OS</v>
          </cell>
          <cell r="M109" t="str">
            <v>OS</v>
          </cell>
          <cell r="N109" t="str">
            <v>OS</v>
          </cell>
          <cell r="O109" t="str">
            <v>OS</v>
          </cell>
          <cell r="P109" t="str">
            <v>OS</v>
          </cell>
          <cell r="Q109" t="str">
            <v>OS</v>
          </cell>
          <cell r="R109" t="str">
            <v>OS</v>
          </cell>
          <cell r="S109" t="str">
            <v>OS</v>
          </cell>
          <cell r="T109" t="str">
            <v>OS</v>
          </cell>
          <cell r="U109" t="str">
            <v>OS</v>
          </cell>
          <cell r="V109" t="str">
            <v>OS</v>
          </cell>
          <cell r="W109" t="str">
            <v>OS</v>
          </cell>
          <cell r="X109" t="str">
            <v>OS</v>
          </cell>
          <cell r="Y109" t="str">
            <v>OS</v>
          </cell>
          <cell r="Z109" t="str">
            <v>OS</v>
          </cell>
          <cell r="AA109" t="str">
            <v>OS</v>
          </cell>
          <cell r="AB109" t="str">
            <v>OS</v>
          </cell>
          <cell r="AC109" t="str">
            <v>OS</v>
          </cell>
          <cell r="AD109" t="str">
            <v>AGM-01-006-029</v>
          </cell>
          <cell r="AE109" t="str">
            <v xml:space="preserve">Raemulan Lands, Inc. </v>
          </cell>
          <cell r="AF109" t="str">
            <v>Agapeya</v>
          </cell>
          <cell r="AG109" t="str">
            <v>AGM</v>
          </cell>
          <cell r="AH109" t="str">
            <v>Eco-High</v>
          </cell>
          <cell r="AI109" t="str">
            <v>West</v>
          </cell>
          <cell r="AJ109" t="str">
            <v>With LTS</v>
          </cell>
          <cell r="AK109" t="str">
            <v>Unaffected lots</v>
          </cell>
          <cell r="AL109" t="str">
            <v>Unaffected lots</v>
          </cell>
          <cell r="AM109" t="b">
            <v>1</v>
          </cell>
          <cell r="AN109" t="str">
            <v>YES</v>
          </cell>
          <cell r="AO109" t="str">
            <v>2024 Batch</v>
          </cell>
          <cell r="AP109">
            <v>70</v>
          </cell>
          <cell r="AQ109" t="str">
            <v>PCS-04-034407</v>
          </cell>
          <cell r="AR109" t="b">
            <v>1</v>
          </cell>
          <cell r="AS109" t="str">
            <v>Done</v>
          </cell>
          <cell r="AT109" t="str">
            <v>2024 Batch</v>
          </cell>
          <cell r="AU109">
            <v>6</v>
          </cell>
          <cell r="AV109">
            <v>29</v>
          </cell>
          <cell r="AW109" t="str">
            <v>H+L</v>
          </cell>
          <cell r="AX109">
            <v>70</v>
          </cell>
          <cell r="AY109">
            <v>50</v>
          </cell>
          <cell r="AZ109" t="str">
            <v>Duplex</v>
          </cell>
          <cell r="BA109">
            <v>1</v>
          </cell>
          <cell r="BB109" t="str">
            <v>326 - With Partition</v>
          </cell>
          <cell r="BC109" t="str">
            <v>With Partition</v>
          </cell>
          <cell r="BD109" t="str">
            <v>Slant</v>
          </cell>
          <cell r="BE109" t="str">
            <v>With Partition</v>
          </cell>
          <cell r="BF109" t="str">
            <v>YELLOW</v>
          </cell>
          <cell r="BG109">
            <v>2600000</v>
          </cell>
          <cell r="BH109">
            <v>2850000</v>
          </cell>
          <cell r="BI109">
            <v>100000</v>
          </cell>
          <cell r="BJ109">
            <v>2750000</v>
          </cell>
          <cell r="BK109">
            <v>0</v>
          </cell>
          <cell r="BL109">
            <v>2750000</v>
          </cell>
        </row>
        <row r="110">
          <cell r="D110" t="str">
            <v>OS</v>
          </cell>
          <cell r="E110"/>
          <cell r="F110">
            <v>90</v>
          </cell>
          <cell r="G110" t="str">
            <v>SOLD</v>
          </cell>
          <cell r="H110" t="str">
            <v>OS</v>
          </cell>
          <cell r="I110" t="str">
            <v>OS</v>
          </cell>
          <cell r="J110" t="str">
            <v>OS</v>
          </cell>
          <cell r="K110" t="str">
            <v>OS</v>
          </cell>
          <cell r="L110" t="str">
            <v>OS</v>
          </cell>
          <cell r="M110" t="str">
            <v>OS</v>
          </cell>
          <cell r="N110" t="str">
            <v>OS</v>
          </cell>
          <cell r="O110" t="str">
            <v>OS</v>
          </cell>
          <cell r="P110" t="str">
            <v>OS</v>
          </cell>
          <cell r="Q110" t="str">
            <v>OS</v>
          </cell>
          <cell r="R110" t="str">
            <v>OS</v>
          </cell>
          <cell r="S110" t="str">
            <v>OS</v>
          </cell>
          <cell r="T110" t="str">
            <v>OS</v>
          </cell>
          <cell r="U110" t="str">
            <v>OS</v>
          </cell>
          <cell r="V110" t="str">
            <v>OS</v>
          </cell>
          <cell r="W110" t="str">
            <v>OS</v>
          </cell>
          <cell r="X110" t="str">
            <v>OS</v>
          </cell>
          <cell r="Y110" t="str">
            <v>OS</v>
          </cell>
          <cell r="Z110" t="str">
            <v>OS</v>
          </cell>
          <cell r="AA110" t="str">
            <v>OS</v>
          </cell>
          <cell r="AB110" t="str">
            <v>OS</v>
          </cell>
          <cell r="AC110" t="str">
            <v>OS</v>
          </cell>
          <cell r="AD110" t="str">
            <v>AGM-01-006-030</v>
          </cell>
          <cell r="AE110" t="str">
            <v xml:space="preserve">Raemulan Lands, Inc. </v>
          </cell>
          <cell r="AF110" t="str">
            <v>Agapeya</v>
          </cell>
          <cell r="AG110" t="str">
            <v>AGM</v>
          </cell>
          <cell r="AH110" t="str">
            <v>Eco-High</v>
          </cell>
          <cell r="AI110" t="str">
            <v>West</v>
          </cell>
          <cell r="AJ110" t="str">
            <v>With LTS</v>
          </cell>
          <cell r="AK110" t="str">
            <v>Unaffected lots</v>
          </cell>
          <cell r="AL110" t="str">
            <v>Unaffected lots</v>
          </cell>
          <cell r="AM110" t="b">
            <v>1</v>
          </cell>
          <cell r="AN110" t="str">
            <v>YES</v>
          </cell>
          <cell r="AO110" t="str">
            <v>2024 Batch</v>
          </cell>
          <cell r="AP110">
            <v>70</v>
          </cell>
          <cell r="AQ110" t="str">
            <v>PCS-04-034407</v>
          </cell>
          <cell r="AR110" t="b">
            <v>1</v>
          </cell>
          <cell r="AS110" t="str">
            <v>Done</v>
          </cell>
          <cell r="AT110" t="str">
            <v>2024 Batch</v>
          </cell>
          <cell r="AU110">
            <v>6</v>
          </cell>
          <cell r="AV110">
            <v>30</v>
          </cell>
          <cell r="AW110" t="str">
            <v>H+L</v>
          </cell>
          <cell r="AX110">
            <v>70</v>
          </cell>
          <cell r="AY110">
            <v>50</v>
          </cell>
          <cell r="AZ110" t="str">
            <v>Duplex</v>
          </cell>
          <cell r="BA110">
            <v>1</v>
          </cell>
          <cell r="BB110" t="str">
            <v>326 - With Partition</v>
          </cell>
          <cell r="BC110" t="str">
            <v xml:space="preserve">Without Partition </v>
          </cell>
          <cell r="BD110" t="str">
            <v>Slant</v>
          </cell>
          <cell r="BE110" t="str">
            <v>With Partition</v>
          </cell>
          <cell r="BF110" t="str">
            <v>PINK</v>
          </cell>
          <cell r="BG110">
            <v>2600000</v>
          </cell>
          <cell r="BH110">
            <v>2850000</v>
          </cell>
          <cell r="BI110">
            <v>100000</v>
          </cell>
          <cell r="BJ110">
            <v>2750000</v>
          </cell>
          <cell r="BK110">
            <v>0</v>
          </cell>
          <cell r="BL110">
            <v>2750000</v>
          </cell>
        </row>
        <row r="111">
          <cell r="D111" t="str">
            <v>OS</v>
          </cell>
          <cell r="E111"/>
          <cell r="F111">
            <v>91</v>
          </cell>
          <cell r="G111" t="str">
            <v>SOLD</v>
          </cell>
          <cell r="H111" t="str">
            <v>OS</v>
          </cell>
          <cell r="I111" t="str">
            <v>OS</v>
          </cell>
          <cell r="J111" t="str">
            <v>OS</v>
          </cell>
          <cell r="K111" t="str">
            <v>OS</v>
          </cell>
          <cell r="L111" t="str">
            <v>OS</v>
          </cell>
          <cell r="M111" t="str">
            <v>OS</v>
          </cell>
          <cell r="N111" t="str">
            <v>OS</v>
          </cell>
          <cell r="O111" t="str">
            <v>OS</v>
          </cell>
          <cell r="P111" t="str">
            <v>OS</v>
          </cell>
          <cell r="Q111" t="str">
            <v>OS</v>
          </cell>
          <cell r="R111" t="str">
            <v>OS</v>
          </cell>
          <cell r="S111" t="str">
            <v>OS</v>
          </cell>
          <cell r="T111" t="str">
            <v>OS</v>
          </cell>
          <cell r="U111" t="str">
            <v>OS</v>
          </cell>
          <cell r="V111" t="str">
            <v>OS</v>
          </cell>
          <cell r="W111" t="str">
            <v>OS</v>
          </cell>
          <cell r="X111" t="str">
            <v>OS</v>
          </cell>
          <cell r="Y111" t="str">
            <v>OS</v>
          </cell>
          <cell r="Z111" t="str">
            <v>OS</v>
          </cell>
          <cell r="AA111" t="str">
            <v>OS</v>
          </cell>
          <cell r="AB111" t="str">
            <v>OS</v>
          </cell>
          <cell r="AC111" t="str">
            <v>OS</v>
          </cell>
          <cell r="AD111" t="str">
            <v>AGM-01-006-031</v>
          </cell>
          <cell r="AE111" t="str">
            <v xml:space="preserve">Raemulan Lands, Inc. </v>
          </cell>
          <cell r="AF111" t="str">
            <v>Agapeya</v>
          </cell>
          <cell r="AG111" t="str">
            <v>AGM</v>
          </cell>
          <cell r="AH111" t="str">
            <v>Eco-High</v>
          </cell>
          <cell r="AI111" t="str">
            <v>West</v>
          </cell>
          <cell r="AJ111" t="str">
            <v>With LTS</v>
          </cell>
          <cell r="AK111" t="str">
            <v>Unaffected lots</v>
          </cell>
          <cell r="AL111" t="str">
            <v>Unaffected lots</v>
          </cell>
          <cell r="AM111" t="b">
            <v>1</v>
          </cell>
          <cell r="AN111" t="str">
            <v>YES</v>
          </cell>
          <cell r="AO111" t="str">
            <v>2024 Batch</v>
          </cell>
          <cell r="AP111">
            <v>70</v>
          </cell>
          <cell r="AQ111" t="str">
            <v>PCS-04-034407</v>
          </cell>
          <cell r="AR111" t="b">
            <v>1</v>
          </cell>
          <cell r="AS111" t="str">
            <v>Done</v>
          </cell>
          <cell r="AT111" t="str">
            <v>2024 Batch</v>
          </cell>
          <cell r="AU111">
            <v>6</v>
          </cell>
          <cell r="AV111">
            <v>31</v>
          </cell>
          <cell r="AW111" t="str">
            <v>H+L</v>
          </cell>
          <cell r="AX111">
            <v>70</v>
          </cell>
          <cell r="AY111">
            <v>50</v>
          </cell>
          <cell r="AZ111" t="str">
            <v>Duplex</v>
          </cell>
          <cell r="BA111">
            <v>1</v>
          </cell>
          <cell r="BB111" t="str">
            <v>326 - With Partition</v>
          </cell>
          <cell r="BC111" t="str">
            <v xml:space="preserve">Without Partition </v>
          </cell>
          <cell r="BD111" t="str">
            <v>Flat</v>
          </cell>
          <cell r="BE111" t="str">
            <v xml:space="preserve">Without Partition </v>
          </cell>
          <cell r="BF111" t="str">
            <v>PINK</v>
          </cell>
          <cell r="BG111">
            <v>2500000</v>
          </cell>
          <cell r="BH111">
            <v>2650000</v>
          </cell>
          <cell r="BI111">
            <v>100000</v>
          </cell>
          <cell r="BJ111">
            <v>2550000</v>
          </cell>
          <cell r="BK111">
            <v>0</v>
          </cell>
          <cell r="BL111">
            <v>2550000</v>
          </cell>
        </row>
        <row r="112">
          <cell r="D112" t="str">
            <v>OS</v>
          </cell>
          <cell r="E112"/>
          <cell r="F112">
            <v>92</v>
          </cell>
          <cell r="G112" t="str">
            <v>SOLD</v>
          </cell>
          <cell r="H112" t="str">
            <v>OS</v>
          </cell>
          <cell r="I112" t="str">
            <v>OS</v>
          </cell>
          <cell r="J112" t="str">
            <v>OS</v>
          </cell>
          <cell r="K112" t="str">
            <v>OS</v>
          </cell>
          <cell r="L112" t="str">
            <v>OS</v>
          </cell>
          <cell r="M112" t="str">
            <v>OS</v>
          </cell>
          <cell r="N112" t="str">
            <v>OS</v>
          </cell>
          <cell r="O112" t="str">
            <v>OS</v>
          </cell>
          <cell r="P112" t="str">
            <v>OS</v>
          </cell>
          <cell r="Q112" t="str">
            <v>OS</v>
          </cell>
          <cell r="R112" t="str">
            <v>OS</v>
          </cell>
          <cell r="S112" t="str">
            <v>OS</v>
          </cell>
          <cell r="T112" t="str">
            <v>OS</v>
          </cell>
          <cell r="U112" t="str">
            <v>OS</v>
          </cell>
          <cell r="V112" t="str">
            <v>OS</v>
          </cell>
          <cell r="W112" t="str">
            <v>OS</v>
          </cell>
          <cell r="X112" t="str">
            <v>OS</v>
          </cell>
          <cell r="Y112" t="str">
            <v>OS</v>
          </cell>
          <cell r="Z112" t="str">
            <v>OS</v>
          </cell>
          <cell r="AA112" t="str">
            <v>OS</v>
          </cell>
          <cell r="AB112" t="str">
            <v>OS</v>
          </cell>
          <cell r="AC112" t="str">
            <v>OS</v>
          </cell>
          <cell r="AD112" t="str">
            <v>AGM-01-006-032</v>
          </cell>
          <cell r="AE112" t="str">
            <v xml:space="preserve">Raemulan Lands, Inc. </v>
          </cell>
          <cell r="AF112" t="str">
            <v>Agapeya</v>
          </cell>
          <cell r="AG112" t="str">
            <v>AGM</v>
          </cell>
          <cell r="AH112" t="str">
            <v>Eco-High</v>
          </cell>
          <cell r="AI112" t="str">
            <v>West</v>
          </cell>
          <cell r="AJ112" t="str">
            <v>With LTS</v>
          </cell>
          <cell r="AK112" t="str">
            <v>Unaffected lots</v>
          </cell>
          <cell r="AL112" t="str">
            <v>Unaffected lots</v>
          </cell>
          <cell r="AM112" t="b">
            <v>1</v>
          </cell>
          <cell r="AN112" t="str">
            <v>YES</v>
          </cell>
          <cell r="AO112" t="str">
            <v>2024 Batch</v>
          </cell>
          <cell r="AP112">
            <v>70</v>
          </cell>
          <cell r="AQ112" t="str">
            <v>PCS-04-034407</v>
          </cell>
          <cell r="AR112" t="b">
            <v>1</v>
          </cell>
          <cell r="AS112" t="str">
            <v>Done</v>
          </cell>
          <cell r="AT112" t="str">
            <v>2024 Batch</v>
          </cell>
          <cell r="AU112">
            <v>6</v>
          </cell>
          <cell r="AV112">
            <v>32</v>
          </cell>
          <cell r="AW112" t="str">
            <v>H+L</v>
          </cell>
          <cell r="AX112">
            <v>70</v>
          </cell>
          <cell r="AY112">
            <v>50</v>
          </cell>
          <cell r="AZ112" t="str">
            <v>Duplex</v>
          </cell>
          <cell r="BA112">
            <v>1</v>
          </cell>
          <cell r="BB112" t="str">
            <v>326 - With Partition</v>
          </cell>
          <cell r="BC112" t="str">
            <v>With Partition</v>
          </cell>
          <cell r="BD112" t="str">
            <v>Flat</v>
          </cell>
          <cell r="BE112" t="str">
            <v>With Partition</v>
          </cell>
          <cell r="BF112" t="str">
            <v>PINK</v>
          </cell>
          <cell r="BG112">
            <v>2707500</v>
          </cell>
          <cell r="BH112">
            <v>2850000</v>
          </cell>
          <cell r="BI112">
            <v>100000</v>
          </cell>
          <cell r="BJ112">
            <v>2750000</v>
          </cell>
          <cell r="BK112">
            <v>0</v>
          </cell>
          <cell r="BL112">
            <v>2750000</v>
          </cell>
        </row>
        <row r="113">
          <cell r="D113" t="str">
            <v>OS</v>
          </cell>
          <cell r="E113"/>
          <cell r="F113">
            <v>93</v>
          </cell>
          <cell r="G113" t="str">
            <v>SOLD</v>
          </cell>
          <cell r="H113" t="str">
            <v>OS</v>
          </cell>
          <cell r="I113" t="str">
            <v>OS</v>
          </cell>
          <cell r="J113" t="str">
            <v>OS</v>
          </cell>
          <cell r="K113" t="str">
            <v>OS</v>
          </cell>
          <cell r="L113" t="str">
            <v>OS</v>
          </cell>
          <cell r="M113" t="str">
            <v>OS</v>
          </cell>
          <cell r="N113" t="str">
            <v>OS</v>
          </cell>
          <cell r="O113" t="str">
            <v>OS</v>
          </cell>
          <cell r="P113" t="str">
            <v>OS</v>
          </cell>
          <cell r="Q113" t="str">
            <v>OS</v>
          </cell>
          <cell r="R113" t="str">
            <v>OS</v>
          </cell>
          <cell r="S113" t="str">
            <v>OS</v>
          </cell>
          <cell r="T113" t="str">
            <v>OS</v>
          </cell>
          <cell r="U113" t="str">
            <v>OS</v>
          </cell>
          <cell r="V113" t="str">
            <v>OS</v>
          </cell>
          <cell r="W113" t="str">
            <v>OS</v>
          </cell>
          <cell r="X113" t="str">
            <v>OS</v>
          </cell>
          <cell r="Y113" t="str">
            <v>OS</v>
          </cell>
          <cell r="Z113" t="str">
            <v>OS</v>
          </cell>
          <cell r="AA113" t="str">
            <v>OS</v>
          </cell>
          <cell r="AB113" t="str">
            <v>OS</v>
          </cell>
          <cell r="AC113" t="str">
            <v>OS</v>
          </cell>
          <cell r="AD113" t="str">
            <v>AGM-01-006-033</v>
          </cell>
          <cell r="AE113" t="str">
            <v xml:space="preserve">Raemulan Lands, Inc. </v>
          </cell>
          <cell r="AF113" t="str">
            <v>Agapeya</v>
          </cell>
          <cell r="AG113" t="str">
            <v>AGM</v>
          </cell>
          <cell r="AH113" t="str">
            <v>Eco-High</v>
          </cell>
          <cell r="AI113" t="str">
            <v>West</v>
          </cell>
          <cell r="AJ113" t="str">
            <v>With LTS</v>
          </cell>
          <cell r="AK113" t="str">
            <v>Unaffected lots</v>
          </cell>
          <cell r="AL113" t="str">
            <v>Unaffected lots</v>
          </cell>
          <cell r="AM113" t="b">
            <v>1</v>
          </cell>
          <cell r="AN113" t="str">
            <v>YES</v>
          </cell>
          <cell r="AO113" t="str">
            <v>2024 Batch</v>
          </cell>
          <cell r="AP113">
            <v>70</v>
          </cell>
          <cell r="AQ113" t="str">
            <v>PCS-04-034407</v>
          </cell>
          <cell r="AR113" t="b">
            <v>1</v>
          </cell>
          <cell r="AS113" t="str">
            <v>Done</v>
          </cell>
          <cell r="AT113" t="str">
            <v>2024 Batch</v>
          </cell>
          <cell r="AU113">
            <v>6</v>
          </cell>
          <cell r="AV113">
            <v>33</v>
          </cell>
          <cell r="AW113" t="str">
            <v>H+L</v>
          </cell>
          <cell r="AX113">
            <v>70</v>
          </cell>
          <cell r="AY113">
            <v>50</v>
          </cell>
          <cell r="AZ113" t="str">
            <v>Duplex</v>
          </cell>
          <cell r="BA113">
            <v>1</v>
          </cell>
          <cell r="BB113" t="str">
            <v>326 - With Partition</v>
          </cell>
          <cell r="BC113" t="str">
            <v>With Partition</v>
          </cell>
          <cell r="BD113" t="str">
            <v>Slant</v>
          </cell>
          <cell r="BE113" t="str">
            <v>With Partition</v>
          </cell>
          <cell r="BF113" t="str">
            <v>PINK</v>
          </cell>
          <cell r="BG113">
            <v>2600000</v>
          </cell>
          <cell r="BH113">
            <v>2850000</v>
          </cell>
          <cell r="BI113">
            <v>100000</v>
          </cell>
          <cell r="BJ113">
            <v>2750000</v>
          </cell>
          <cell r="BK113">
            <v>0</v>
          </cell>
          <cell r="BL113">
            <v>2750000</v>
          </cell>
        </row>
        <row r="114">
          <cell r="D114" t="str">
            <v>OS</v>
          </cell>
          <cell r="E114"/>
          <cell r="F114">
            <v>94</v>
          </cell>
          <cell r="G114" t="str">
            <v>SOLD</v>
          </cell>
          <cell r="H114" t="str">
            <v>OS</v>
          </cell>
          <cell r="I114" t="str">
            <v>OS</v>
          </cell>
          <cell r="J114" t="str">
            <v>OS</v>
          </cell>
          <cell r="K114" t="str">
            <v>OS</v>
          </cell>
          <cell r="L114" t="str">
            <v>OS</v>
          </cell>
          <cell r="M114" t="str">
            <v>OS</v>
          </cell>
          <cell r="N114" t="str">
            <v>OS</v>
          </cell>
          <cell r="O114" t="str">
            <v>OS</v>
          </cell>
          <cell r="P114" t="str">
            <v>OS</v>
          </cell>
          <cell r="Q114" t="str">
            <v>OS</v>
          </cell>
          <cell r="R114" t="str">
            <v>OS</v>
          </cell>
          <cell r="S114" t="str">
            <v>OS</v>
          </cell>
          <cell r="T114" t="str">
            <v>OS</v>
          </cell>
          <cell r="U114" t="str">
            <v>OS</v>
          </cell>
          <cell r="V114" t="str">
            <v>OS</v>
          </cell>
          <cell r="W114" t="str">
            <v>OS</v>
          </cell>
          <cell r="X114" t="str">
            <v>OS</v>
          </cell>
          <cell r="Y114" t="str">
            <v>OS</v>
          </cell>
          <cell r="Z114" t="str">
            <v>OS</v>
          </cell>
          <cell r="AA114" t="str">
            <v>OS</v>
          </cell>
          <cell r="AB114" t="str">
            <v>OS</v>
          </cell>
          <cell r="AC114" t="str">
            <v>OS</v>
          </cell>
          <cell r="AD114" t="str">
            <v>AGM-01-006-034</v>
          </cell>
          <cell r="AE114" t="str">
            <v xml:space="preserve">Raemulan Lands, Inc. </v>
          </cell>
          <cell r="AF114" t="str">
            <v>Agapeya</v>
          </cell>
          <cell r="AG114" t="str">
            <v>AGM</v>
          </cell>
          <cell r="AH114" t="str">
            <v>Eco-High</v>
          </cell>
          <cell r="AI114" t="str">
            <v>West</v>
          </cell>
          <cell r="AJ114" t="str">
            <v>With LTS</v>
          </cell>
          <cell r="AK114" t="str">
            <v>Unaffected lots</v>
          </cell>
          <cell r="AL114" t="str">
            <v>Unaffected lots</v>
          </cell>
          <cell r="AM114" t="b">
            <v>1</v>
          </cell>
          <cell r="AN114" t="str">
            <v>YES</v>
          </cell>
          <cell r="AO114" t="str">
            <v>2024 Batch</v>
          </cell>
          <cell r="AP114">
            <v>70</v>
          </cell>
          <cell r="AQ114" t="str">
            <v>PCS-04-034407</v>
          </cell>
          <cell r="AR114" t="b">
            <v>1</v>
          </cell>
          <cell r="AS114" t="str">
            <v>Done</v>
          </cell>
          <cell r="AT114" t="str">
            <v>2024 Batch</v>
          </cell>
          <cell r="AU114">
            <v>6</v>
          </cell>
          <cell r="AV114">
            <v>34</v>
          </cell>
          <cell r="AW114" t="str">
            <v>H+L</v>
          </cell>
          <cell r="AX114">
            <v>70</v>
          </cell>
          <cell r="AY114">
            <v>50</v>
          </cell>
          <cell r="AZ114" t="str">
            <v>Duplex</v>
          </cell>
          <cell r="BA114">
            <v>1</v>
          </cell>
          <cell r="BB114" t="str">
            <v>326 - With Partition</v>
          </cell>
          <cell r="BC114" t="str">
            <v>With Partition</v>
          </cell>
          <cell r="BD114" t="str">
            <v>Slant</v>
          </cell>
          <cell r="BE114" t="str">
            <v>With Partition</v>
          </cell>
          <cell r="BF114" t="str">
            <v>PURPLE</v>
          </cell>
          <cell r="BG114">
            <v>2600000</v>
          </cell>
          <cell r="BH114">
            <v>2850000</v>
          </cell>
          <cell r="BI114">
            <v>100000</v>
          </cell>
          <cell r="BJ114">
            <v>2750000</v>
          </cell>
          <cell r="BK114">
            <v>0</v>
          </cell>
          <cell r="BL114">
            <v>2750000</v>
          </cell>
        </row>
        <row r="115">
          <cell r="D115" t="str">
            <v>OS</v>
          </cell>
          <cell r="E115"/>
          <cell r="F115">
            <v>95</v>
          </cell>
          <cell r="G115" t="str">
            <v>SOLD</v>
          </cell>
          <cell r="H115" t="str">
            <v>OS</v>
          </cell>
          <cell r="I115" t="str">
            <v>OS</v>
          </cell>
          <cell r="J115" t="str">
            <v>OS</v>
          </cell>
          <cell r="K115" t="str">
            <v>OS</v>
          </cell>
          <cell r="L115" t="str">
            <v>OS</v>
          </cell>
          <cell r="M115" t="str">
            <v>OS</v>
          </cell>
          <cell r="N115" t="str">
            <v>OS</v>
          </cell>
          <cell r="O115" t="str">
            <v>OS</v>
          </cell>
          <cell r="P115" t="str">
            <v>OS</v>
          </cell>
          <cell r="Q115" t="str">
            <v>OS</v>
          </cell>
          <cell r="R115" t="str">
            <v>OS</v>
          </cell>
          <cell r="S115" t="str">
            <v>OS</v>
          </cell>
          <cell r="T115" t="str">
            <v>OS</v>
          </cell>
          <cell r="U115" t="str">
            <v>OS</v>
          </cell>
          <cell r="V115" t="str">
            <v>OS</v>
          </cell>
          <cell r="W115" t="str">
            <v>OS</v>
          </cell>
          <cell r="X115" t="str">
            <v>OS</v>
          </cell>
          <cell r="Y115" t="str">
            <v>OS</v>
          </cell>
          <cell r="Z115" t="str">
            <v>OS</v>
          </cell>
          <cell r="AA115" t="str">
            <v>OS</v>
          </cell>
          <cell r="AB115" t="str">
            <v>OS</v>
          </cell>
          <cell r="AC115" t="str">
            <v>OS</v>
          </cell>
          <cell r="AD115" t="str">
            <v>AGM-01-006-035</v>
          </cell>
          <cell r="AE115" t="str">
            <v xml:space="preserve">Raemulan Lands, Inc. </v>
          </cell>
          <cell r="AF115" t="str">
            <v>Agapeya</v>
          </cell>
          <cell r="AG115" t="str">
            <v>AGM</v>
          </cell>
          <cell r="AH115" t="str">
            <v>Eco-High</v>
          </cell>
          <cell r="AI115" t="str">
            <v>West</v>
          </cell>
          <cell r="AJ115" t="str">
            <v>With LTS</v>
          </cell>
          <cell r="AK115" t="str">
            <v>Unaffected lots</v>
          </cell>
          <cell r="AL115" t="str">
            <v>Unaffected lots</v>
          </cell>
          <cell r="AM115" t="b">
            <v>1</v>
          </cell>
          <cell r="AN115" t="str">
            <v>YES</v>
          </cell>
          <cell r="AO115" t="str">
            <v>2024 Batch</v>
          </cell>
          <cell r="AP115">
            <v>70</v>
          </cell>
          <cell r="AQ115" t="str">
            <v>PCS-04-034407</v>
          </cell>
          <cell r="AR115" t="b">
            <v>1</v>
          </cell>
          <cell r="AS115" t="str">
            <v>Done</v>
          </cell>
          <cell r="AT115" t="str">
            <v>2024 Batch</v>
          </cell>
          <cell r="AU115">
            <v>6</v>
          </cell>
          <cell r="AV115">
            <v>35</v>
          </cell>
          <cell r="AW115" t="str">
            <v>H+L</v>
          </cell>
          <cell r="AX115">
            <v>70</v>
          </cell>
          <cell r="AY115">
            <v>50</v>
          </cell>
          <cell r="AZ115" t="str">
            <v>Duplex</v>
          </cell>
          <cell r="BA115">
            <v>1</v>
          </cell>
          <cell r="BB115" t="str">
            <v>326 - With Partition</v>
          </cell>
          <cell r="BC115" t="str">
            <v xml:space="preserve">Without Partition </v>
          </cell>
          <cell r="BD115" t="str">
            <v>Flat</v>
          </cell>
          <cell r="BE115" t="str">
            <v xml:space="preserve">Without Partition </v>
          </cell>
          <cell r="BF115" t="str">
            <v>PURPLE</v>
          </cell>
          <cell r="BG115">
            <v>2600000</v>
          </cell>
          <cell r="BH115">
            <v>2650000</v>
          </cell>
          <cell r="BI115">
            <v>100000</v>
          </cell>
          <cell r="BJ115">
            <v>2550000</v>
          </cell>
          <cell r="BK115">
            <v>0</v>
          </cell>
          <cell r="BL115">
            <v>2550000</v>
          </cell>
        </row>
        <row r="116">
          <cell r="D116" t="str">
            <v>OS</v>
          </cell>
          <cell r="E116"/>
          <cell r="F116">
            <v>96</v>
          </cell>
          <cell r="G116" t="str">
            <v>SOLD</v>
          </cell>
          <cell r="H116" t="str">
            <v>OS</v>
          </cell>
          <cell r="I116" t="str">
            <v>OS</v>
          </cell>
          <cell r="J116" t="str">
            <v>OS</v>
          </cell>
          <cell r="K116" t="str">
            <v>OS</v>
          </cell>
          <cell r="L116" t="str">
            <v>OS</v>
          </cell>
          <cell r="M116" t="str">
            <v>OS</v>
          </cell>
          <cell r="N116" t="str">
            <v>TS</v>
          </cell>
          <cell r="O116" t="str">
            <v>TS</v>
          </cell>
          <cell r="P116" t="str">
            <v>TS</v>
          </cell>
          <cell r="Q116" t="str">
            <v>TS</v>
          </cell>
          <cell r="R116" t="str">
            <v>TS</v>
          </cell>
          <cell r="S116" t="str">
            <v>TS</v>
          </cell>
          <cell r="T116" t="str">
            <v>TS</v>
          </cell>
          <cell r="U116" t="str">
            <v>OS</v>
          </cell>
          <cell r="V116" t="str">
            <v>OS</v>
          </cell>
          <cell r="W116" t="str">
            <v>OS</v>
          </cell>
          <cell r="X116" t="str">
            <v>OS</v>
          </cell>
          <cell r="Y116" t="str">
            <v>OS</v>
          </cell>
          <cell r="Z116" t="str">
            <v>OS</v>
          </cell>
          <cell r="AA116" t="str">
            <v>OS</v>
          </cell>
          <cell r="AB116" t="str">
            <v>OS</v>
          </cell>
          <cell r="AC116" t="str">
            <v>OS</v>
          </cell>
          <cell r="AD116" t="str">
            <v>AGM-01-006-036</v>
          </cell>
          <cell r="AE116" t="str">
            <v xml:space="preserve">Raemulan Lands, Inc. </v>
          </cell>
          <cell r="AF116" t="str">
            <v>Agapeya</v>
          </cell>
          <cell r="AG116" t="str">
            <v>AGM</v>
          </cell>
          <cell r="AH116" t="str">
            <v>Eco-High</v>
          </cell>
          <cell r="AI116" t="str">
            <v>West</v>
          </cell>
          <cell r="AJ116" t="str">
            <v>With LTS</v>
          </cell>
          <cell r="AK116" t="str">
            <v>Unaffected lots</v>
          </cell>
          <cell r="AL116" t="str">
            <v>Unaffected lots</v>
          </cell>
          <cell r="AM116" t="b">
            <v>1</v>
          </cell>
          <cell r="AN116" t="str">
            <v>YES</v>
          </cell>
          <cell r="AO116" t="str">
            <v>2024 Batch</v>
          </cell>
          <cell r="AP116">
            <v>70</v>
          </cell>
          <cell r="AQ116" t="str">
            <v>PCS-04-034407</v>
          </cell>
          <cell r="AR116" t="b">
            <v>1</v>
          </cell>
          <cell r="AS116" t="str">
            <v>Done</v>
          </cell>
          <cell r="AT116" t="str">
            <v>2024 Batch</v>
          </cell>
          <cell r="AU116">
            <v>6</v>
          </cell>
          <cell r="AV116">
            <v>36</v>
          </cell>
          <cell r="AW116" t="str">
            <v>H+L</v>
          </cell>
          <cell r="AX116">
            <v>70</v>
          </cell>
          <cell r="AY116">
            <v>50</v>
          </cell>
          <cell r="AZ116" t="str">
            <v>Duplex</v>
          </cell>
          <cell r="BA116">
            <v>1</v>
          </cell>
          <cell r="BB116" t="str">
            <v>326 - With Partition</v>
          </cell>
          <cell r="BC116" t="str">
            <v xml:space="preserve">Without Partition </v>
          </cell>
          <cell r="BD116" t="str">
            <v>Flat</v>
          </cell>
          <cell r="BE116" t="str">
            <v xml:space="preserve">Without Partition </v>
          </cell>
          <cell r="BF116" t="str">
            <v>PURPLE</v>
          </cell>
          <cell r="BG116">
            <v>2707500</v>
          </cell>
          <cell r="BH116">
            <v>2650000</v>
          </cell>
          <cell r="BI116">
            <v>100000</v>
          </cell>
          <cell r="BJ116">
            <v>2550000</v>
          </cell>
          <cell r="BK116">
            <v>0</v>
          </cell>
          <cell r="BL116">
            <v>2550000</v>
          </cell>
        </row>
        <row r="117">
          <cell r="D117" t="str">
            <v>OS</v>
          </cell>
          <cell r="E117"/>
          <cell r="F117">
            <v>97</v>
          </cell>
          <cell r="G117" t="str">
            <v>SOLD</v>
          </cell>
          <cell r="H117" t="str">
            <v>OS</v>
          </cell>
          <cell r="I117" t="str">
            <v>OS</v>
          </cell>
          <cell r="J117" t="str">
            <v>OS</v>
          </cell>
          <cell r="K117" t="str">
            <v>OS</v>
          </cell>
          <cell r="L117" t="str">
            <v>OS</v>
          </cell>
          <cell r="M117" t="str">
            <v>OS</v>
          </cell>
          <cell r="N117" t="str">
            <v>OS</v>
          </cell>
          <cell r="O117" t="str">
            <v>OS</v>
          </cell>
          <cell r="P117" t="str">
            <v>OS</v>
          </cell>
          <cell r="Q117" t="str">
            <v>OS</v>
          </cell>
          <cell r="R117" t="str">
            <v>OS</v>
          </cell>
          <cell r="S117" t="str">
            <v>OS</v>
          </cell>
          <cell r="T117" t="str">
            <v>OS</v>
          </cell>
          <cell r="U117" t="str">
            <v>OS</v>
          </cell>
          <cell r="V117" t="str">
            <v>OS</v>
          </cell>
          <cell r="W117" t="str">
            <v>OS</v>
          </cell>
          <cell r="X117" t="str">
            <v>OS</v>
          </cell>
          <cell r="Y117" t="str">
            <v>OS</v>
          </cell>
          <cell r="Z117" t="str">
            <v>OS</v>
          </cell>
          <cell r="AA117" t="str">
            <v>OS</v>
          </cell>
          <cell r="AB117" t="str">
            <v>OS</v>
          </cell>
          <cell r="AC117" t="str">
            <v>OS</v>
          </cell>
          <cell r="AD117" t="str">
            <v>AGM-01-006-037</v>
          </cell>
          <cell r="AE117" t="str">
            <v xml:space="preserve">Raemulan Lands, Inc. </v>
          </cell>
          <cell r="AF117" t="str">
            <v>Agapeya</v>
          </cell>
          <cell r="AG117" t="str">
            <v>AGM</v>
          </cell>
          <cell r="AH117" t="str">
            <v>Eco-High</v>
          </cell>
          <cell r="AI117" t="str">
            <v>West</v>
          </cell>
          <cell r="AJ117" t="str">
            <v>With LTS</v>
          </cell>
          <cell r="AK117" t="str">
            <v>Unaffected lots</v>
          </cell>
          <cell r="AL117" t="str">
            <v>Unaffected lots</v>
          </cell>
          <cell r="AM117" t="b">
            <v>1</v>
          </cell>
          <cell r="AN117" t="str">
            <v>YES</v>
          </cell>
          <cell r="AO117" t="str">
            <v>2024 Batch</v>
          </cell>
          <cell r="AP117">
            <v>70</v>
          </cell>
          <cell r="AQ117" t="str">
            <v>PCS-04-034407</v>
          </cell>
          <cell r="AR117" t="b">
            <v>1</v>
          </cell>
          <cell r="AS117" t="str">
            <v>Done</v>
          </cell>
          <cell r="AT117" t="str">
            <v>2024 Batch</v>
          </cell>
          <cell r="AU117">
            <v>6</v>
          </cell>
          <cell r="AV117">
            <v>37</v>
          </cell>
          <cell r="AW117" t="str">
            <v>H+L</v>
          </cell>
          <cell r="AX117">
            <v>70</v>
          </cell>
          <cell r="AY117">
            <v>50</v>
          </cell>
          <cell r="AZ117" t="str">
            <v>Duplex</v>
          </cell>
          <cell r="BA117">
            <v>1</v>
          </cell>
          <cell r="BB117" t="str">
            <v>326 - With Partition</v>
          </cell>
          <cell r="BC117" t="str">
            <v>With Partition</v>
          </cell>
          <cell r="BD117" t="str">
            <v>Slant</v>
          </cell>
          <cell r="BE117" t="str">
            <v>With Partition</v>
          </cell>
          <cell r="BF117" t="str">
            <v>PURPLE</v>
          </cell>
          <cell r="BG117">
            <v>2707500</v>
          </cell>
          <cell r="BH117">
            <v>2850000</v>
          </cell>
          <cell r="BI117">
            <v>100000</v>
          </cell>
          <cell r="BJ117">
            <v>2750000</v>
          </cell>
          <cell r="BK117">
            <v>0</v>
          </cell>
          <cell r="BL117">
            <v>2750000</v>
          </cell>
        </row>
        <row r="118">
          <cell r="D118" t="str">
            <v>OS</v>
          </cell>
          <cell r="E118"/>
          <cell r="F118">
            <v>98</v>
          </cell>
          <cell r="G118" t="str">
            <v>SOLD</v>
          </cell>
          <cell r="H118" t="str">
            <v>OS</v>
          </cell>
          <cell r="I118" t="str">
            <v>OS</v>
          </cell>
          <cell r="J118" t="str">
            <v>OS</v>
          </cell>
          <cell r="K118" t="str">
            <v>OS</v>
          </cell>
          <cell r="L118" t="str">
            <v>OS</v>
          </cell>
          <cell r="M118" t="str">
            <v>OS</v>
          </cell>
          <cell r="N118" t="str">
            <v>OS</v>
          </cell>
          <cell r="O118" t="str">
            <v>OS</v>
          </cell>
          <cell r="P118" t="str">
            <v>OS</v>
          </cell>
          <cell r="Q118" t="str">
            <v>OS</v>
          </cell>
          <cell r="R118" t="str">
            <v>OS</v>
          </cell>
          <cell r="S118" t="str">
            <v>OS</v>
          </cell>
          <cell r="T118" t="str">
            <v>OS</v>
          </cell>
          <cell r="U118" t="str">
            <v>OS</v>
          </cell>
          <cell r="V118" t="str">
            <v>OS</v>
          </cell>
          <cell r="W118" t="str">
            <v>OS</v>
          </cell>
          <cell r="X118" t="str">
            <v>OS</v>
          </cell>
          <cell r="Y118" t="str">
            <v>OS</v>
          </cell>
          <cell r="Z118" t="str">
            <v>OS</v>
          </cell>
          <cell r="AA118" t="str">
            <v>OS</v>
          </cell>
          <cell r="AB118" t="str">
            <v>OS</v>
          </cell>
          <cell r="AC118" t="str">
            <v>OS</v>
          </cell>
          <cell r="AD118" t="str">
            <v>AGM-01-006-038</v>
          </cell>
          <cell r="AE118" t="str">
            <v xml:space="preserve">Raemulan Lands, Inc. </v>
          </cell>
          <cell r="AF118" t="str">
            <v>Agapeya</v>
          </cell>
          <cell r="AG118" t="str">
            <v>AGM</v>
          </cell>
          <cell r="AH118" t="str">
            <v>Eco-High</v>
          </cell>
          <cell r="AI118" t="str">
            <v>West</v>
          </cell>
          <cell r="AJ118" t="str">
            <v>With LTS</v>
          </cell>
          <cell r="AK118" t="str">
            <v>Unaffected lots</v>
          </cell>
          <cell r="AL118" t="str">
            <v>Unaffected lots</v>
          </cell>
          <cell r="AM118" t="b">
            <v>1</v>
          </cell>
          <cell r="AN118" t="str">
            <v>YES</v>
          </cell>
          <cell r="AO118" t="str">
            <v>2024 Batch</v>
          </cell>
          <cell r="AP118">
            <v>70</v>
          </cell>
          <cell r="AQ118" t="str">
            <v>PCS-04-034407</v>
          </cell>
          <cell r="AR118" t="b">
            <v>1</v>
          </cell>
          <cell r="AS118" t="str">
            <v>Done</v>
          </cell>
          <cell r="AT118" t="str">
            <v>2024 Batch</v>
          </cell>
          <cell r="AU118">
            <v>6</v>
          </cell>
          <cell r="AV118">
            <v>38</v>
          </cell>
          <cell r="AW118" t="str">
            <v>H+L</v>
          </cell>
          <cell r="AX118">
            <v>70</v>
          </cell>
          <cell r="AY118">
            <v>50</v>
          </cell>
          <cell r="AZ118" t="str">
            <v>Duplex</v>
          </cell>
          <cell r="BA118">
            <v>1</v>
          </cell>
          <cell r="BB118" t="str">
            <v>326 - With Partition</v>
          </cell>
          <cell r="BC118" t="str">
            <v xml:space="preserve">Without Partition </v>
          </cell>
          <cell r="BD118" t="str">
            <v>Slant</v>
          </cell>
          <cell r="BE118" t="str">
            <v xml:space="preserve">Without Partition </v>
          </cell>
          <cell r="BF118" t="str">
            <v>GREEN</v>
          </cell>
          <cell r="BG118">
            <v>2500000</v>
          </cell>
          <cell r="BH118">
            <v>2650000</v>
          </cell>
          <cell r="BI118">
            <v>100000</v>
          </cell>
          <cell r="BJ118">
            <v>2550000</v>
          </cell>
          <cell r="BK118">
            <v>0</v>
          </cell>
          <cell r="BL118">
            <v>2550000</v>
          </cell>
        </row>
        <row r="119">
          <cell r="D119" t="str">
            <v>OS</v>
          </cell>
          <cell r="E119"/>
          <cell r="F119">
            <v>99</v>
          </cell>
          <cell r="G119" t="str">
            <v>SOLD</v>
          </cell>
          <cell r="H119" t="str">
            <v>OS</v>
          </cell>
          <cell r="I119" t="str">
            <v>OS</v>
          </cell>
          <cell r="J119" t="str">
            <v>OS</v>
          </cell>
          <cell r="K119" t="str">
            <v>OS</v>
          </cell>
          <cell r="L119" t="str">
            <v>OS</v>
          </cell>
          <cell r="M119" t="str">
            <v>OS</v>
          </cell>
          <cell r="N119" t="str">
            <v>OS</v>
          </cell>
          <cell r="O119" t="str">
            <v>OS</v>
          </cell>
          <cell r="P119" t="str">
            <v>OS</v>
          </cell>
          <cell r="Q119" t="str">
            <v>OS</v>
          </cell>
          <cell r="R119" t="str">
            <v>OS</v>
          </cell>
          <cell r="S119" t="str">
            <v>OS</v>
          </cell>
          <cell r="T119" t="str">
            <v>OS</v>
          </cell>
          <cell r="U119" t="str">
            <v>OS</v>
          </cell>
          <cell r="V119" t="str">
            <v>OS</v>
          </cell>
          <cell r="W119" t="str">
            <v>OS</v>
          </cell>
          <cell r="X119" t="str">
            <v>OS</v>
          </cell>
          <cell r="Y119" t="str">
            <v>OS</v>
          </cell>
          <cell r="Z119" t="str">
            <v>OS</v>
          </cell>
          <cell r="AA119" t="str">
            <v>OS</v>
          </cell>
          <cell r="AB119" t="str">
            <v>OS</v>
          </cell>
          <cell r="AC119" t="str">
            <v>OS</v>
          </cell>
          <cell r="AD119" t="str">
            <v>AGM-01-006-039</v>
          </cell>
          <cell r="AE119" t="str">
            <v xml:space="preserve">Raemulan Lands, Inc. </v>
          </cell>
          <cell r="AF119" t="str">
            <v>Agapeya</v>
          </cell>
          <cell r="AG119" t="str">
            <v>AGM</v>
          </cell>
          <cell r="AH119" t="str">
            <v>Eco-High</v>
          </cell>
          <cell r="AI119" t="str">
            <v>West</v>
          </cell>
          <cell r="AJ119" t="str">
            <v>With LTS</v>
          </cell>
          <cell r="AK119" t="str">
            <v>Unaffected lots</v>
          </cell>
          <cell r="AL119" t="str">
            <v>Unaffected lots</v>
          </cell>
          <cell r="AM119" t="b">
            <v>1</v>
          </cell>
          <cell r="AN119" t="str">
            <v>YES</v>
          </cell>
          <cell r="AO119" t="str">
            <v>2024 Batch</v>
          </cell>
          <cell r="AP119">
            <v>70</v>
          </cell>
          <cell r="AQ119" t="str">
            <v>PCS-04-034407</v>
          </cell>
          <cell r="AR119" t="b">
            <v>1</v>
          </cell>
          <cell r="AS119" t="str">
            <v>Done</v>
          </cell>
          <cell r="AT119" t="str">
            <v>2024 Batch</v>
          </cell>
          <cell r="AU119">
            <v>6</v>
          </cell>
          <cell r="AV119">
            <v>39</v>
          </cell>
          <cell r="AW119" t="str">
            <v>H+L</v>
          </cell>
          <cell r="AX119">
            <v>70</v>
          </cell>
          <cell r="AY119">
            <v>50</v>
          </cell>
          <cell r="AZ119" t="str">
            <v>Duplex</v>
          </cell>
          <cell r="BA119">
            <v>1</v>
          </cell>
          <cell r="BB119" t="str">
            <v>326 - With Partition</v>
          </cell>
          <cell r="BC119" t="str">
            <v>With Partition</v>
          </cell>
          <cell r="BD119" t="str">
            <v>Flat</v>
          </cell>
          <cell r="BE119" t="str">
            <v>With Partition</v>
          </cell>
          <cell r="BF119" t="str">
            <v>GREEN</v>
          </cell>
          <cell r="BG119">
            <v>2707500</v>
          </cell>
          <cell r="BH119">
            <v>2850000</v>
          </cell>
          <cell r="BI119">
            <v>100000</v>
          </cell>
          <cell r="BJ119">
            <v>2750000</v>
          </cell>
          <cell r="BK119">
            <v>0</v>
          </cell>
          <cell r="BL119">
            <v>2750000</v>
          </cell>
        </row>
        <row r="120">
          <cell r="D120" t="str">
            <v>OS</v>
          </cell>
          <cell r="E120"/>
          <cell r="F120">
            <v>100</v>
          </cell>
          <cell r="G120" t="str">
            <v>SOLD</v>
          </cell>
          <cell r="H120" t="str">
            <v>OS</v>
          </cell>
          <cell r="I120" t="str">
            <v>OS</v>
          </cell>
          <cell r="J120" t="str">
            <v>OS</v>
          </cell>
          <cell r="K120" t="str">
            <v>OS</v>
          </cell>
          <cell r="L120" t="str">
            <v>OS</v>
          </cell>
          <cell r="M120" t="str">
            <v>OS</v>
          </cell>
          <cell r="N120" t="str">
            <v>OS</v>
          </cell>
          <cell r="O120" t="str">
            <v>OS</v>
          </cell>
          <cell r="P120" t="str">
            <v>OS</v>
          </cell>
          <cell r="Q120" t="str">
            <v>OS</v>
          </cell>
          <cell r="R120" t="str">
            <v>OS</v>
          </cell>
          <cell r="S120" t="str">
            <v>OS</v>
          </cell>
          <cell r="T120" t="str">
            <v>OS</v>
          </cell>
          <cell r="U120" t="str">
            <v>OS</v>
          </cell>
          <cell r="V120" t="str">
            <v>OS</v>
          </cell>
          <cell r="W120" t="str">
            <v>OS</v>
          </cell>
          <cell r="X120" t="str">
            <v>OS</v>
          </cell>
          <cell r="Y120" t="str">
            <v>OS</v>
          </cell>
          <cell r="Z120" t="str">
            <v>OS</v>
          </cell>
          <cell r="AA120" t="str">
            <v>OS</v>
          </cell>
          <cell r="AB120" t="str">
            <v>OS</v>
          </cell>
          <cell r="AC120" t="str">
            <v>OS</v>
          </cell>
          <cell r="AD120" t="str">
            <v>AGM-01-006-040</v>
          </cell>
          <cell r="AE120" t="str">
            <v xml:space="preserve">Raemulan Lands, Inc. </v>
          </cell>
          <cell r="AF120" t="str">
            <v>Agapeya</v>
          </cell>
          <cell r="AG120" t="str">
            <v>AGM</v>
          </cell>
          <cell r="AH120" t="str">
            <v>Eco-High</v>
          </cell>
          <cell r="AI120" t="str">
            <v>West</v>
          </cell>
          <cell r="AJ120" t="str">
            <v>With LTS</v>
          </cell>
          <cell r="AK120" t="str">
            <v>Unaffected lots</v>
          </cell>
          <cell r="AL120" t="str">
            <v>Unaffected lots</v>
          </cell>
          <cell r="AM120" t="b">
            <v>1</v>
          </cell>
          <cell r="AN120" t="str">
            <v>YES</v>
          </cell>
          <cell r="AO120" t="str">
            <v>2024 Batch</v>
          </cell>
          <cell r="AP120">
            <v>70</v>
          </cell>
          <cell r="AQ120" t="str">
            <v>PCS-04-034407</v>
          </cell>
          <cell r="AR120" t="b">
            <v>1</v>
          </cell>
          <cell r="AS120" t="str">
            <v>Done</v>
          </cell>
          <cell r="AT120" t="str">
            <v>2024 Batch</v>
          </cell>
          <cell r="AU120">
            <v>6</v>
          </cell>
          <cell r="AV120">
            <v>40</v>
          </cell>
          <cell r="AW120" t="str">
            <v>H+L</v>
          </cell>
          <cell r="AX120">
            <v>70</v>
          </cell>
          <cell r="AY120">
            <v>50</v>
          </cell>
          <cell r="AZ120" t="str">
            <v>Duplex</v>
          </cell>
          <cell r="BA120">
            <v>1</v>
          </cell>
          <cell r="BB120" t="str">
            <v>326 - With Partition</v>
          </cell>
          <cell r="BC120" t="str">
            <v>With Partition</v>
          </cell>
          <cell r="BD120" t="str">
            <v>Flat</v>
          </cell>
          <cell r="BE120" t="str">
            <v>With Partition</v>
          </cell>
          <cell r="BF120" t="str">
            <v>GREEN</v>
          </cell>
          <cell r="BG120">
            <v>2650000</v>
          </cell>
          <cell r="BH120">
            <v>2850000</v>
          </cell>
          <cell r="BI120">
            <v>100000</v>
          </cell>
          <cell r="BJ120">
            <v>2750000</v>
          </cell>
          <cell r="BK120">
            <v>0</v>
          </cell>
          <cell r="BL120">
            <v>2750000</v>
          </cell>
        </row>
        <row r="121">
          <cell r="D121" t="str">
            <v>OS</v>
          </cell>
          <cell r="E121"/>
          <cell r="F121">
            <v>101</v>
          </cell>
          <cell r="G121" t="str">
            <v>SOLD</v>
          </cell>
          <cell r="H121" t="str">
            <v>OS</v>
          </cell>
          <cell r="I121" t="str">
            <v>OS</v>
          </cell>
          <cell r="J121" t="str">
            <v>OS</v>
          </cell>
          <cell r="K121" t="str">
            <v>OS</v>
          </cell>
          <cell r="L121" t="str">
            <v>OS</v>
          </cell>
          <cell r="M121" t="str">
            <v>OS</v>
          </cell>
          <cell r="N121" t="str">
            <v>OS</v>
          </cell>
          <cell r="O121" t="str">
            <v>OS</v>
          </cell>
          <cell r="P121" t="str">
            <v>OS</v>
          </cell>
          <cell r="Q121" t="str">
            <v>OS</v>
          </cell>
          <cell r="R121" t="str">
            <v>OS</v>
          </cell>
          <cell r="S121" t="str">
            <v>OS</v>
          </cell>
          <cell r="T121" t="str">
            <v>OS</v>
          </cell>
          <cell r="U121" t="str">
            <v>OS</v>
          </cell>
          <cell r="V121" t="str">
            <v>OS</v>
          </cell>
          <cell r="W121" t="str">
            <v>OS</v>
          </cell>
          <cell r="X121" t="str">
            <v>OS</v>
          </cell>
          <cell r="Y121" t="str">
            <v>OS</v>
          </cell>
          <cell r="Z121" t="str">
            <v>OS</v>
          </cell>
          <cell r="AA121" t="str">
            <v>OS</v>
          </cell>
          <cell r="AB121" t="str">
            <v>OS</v>
          </cell>
          <cell r="AC121" t="str">
            <v>OS</v>
          </cell>
          <cell r="AD121" t="str">
            <v>AGM-01-006-041</v>
          </cell>
          <cell r="AE121" t="str">
            <v xml:space="preserve">Raemulan Lands, Inc. </v>
          </cell>
          <cell r="AF121" t="str">
            <v>Agapeya</v>
          </cell>
          <cell r="AG121" t="str">
            <v>AGM</v>
          </cell>
          <cell r="AH121" t="str">
            <v>Eco-High</v>
          </cell>
          <cell r="AI121" t="str">
            <v>West</v>
          </cell>
          <cell r="AJ121" t="str">
            <v>With LTS</v>
          </cell>
          <cell r="AK121" t="str">
            <v>Unaffected lots</v>
          </cell>
          <cell r="AL121" t="str">
            <v>Unaffected lots</v>
          </cell>
          <cell r="AM121" t="b">
            <v>1</v>
          </cell>
          <cell r="AN121" t="str">
            <v>YES</v>
          </cell>
          <cell r="AO121" t="str">
            <v>2024 Batch</v>
          </cell>
          <cell r="AP121">
            <v>70</v>
          </cell>
          <cell r="AQ121" t="str">
            <v>PCS-04-034407</v>
          </cell>
          <cell r="AR121" t="b">
            <v>1</v>
          </cell>
          <cell r="AS121" t="str">
            <v>Done</v>
          </cell>
          <cell r="AT121" t="str">
            <v>2024 Batch</v>
          </cell>
          <cell r="AU121">
            <v>6</v>
          </cell>
          <cell r="AV121">
            <v>41</v>
          </cell>
          <cell r="AW121" t="str">
            <v>H+L</v>
          </cell>
          <cell r="AX121">
            <v>70</v>
          </cell>
          <cell r="AY121">
            <v>50</v>
          </cell>
          <cell r="AZ121" t="str">
            <v>Duplex</v>
          </cell>
          <cell r="BA121">
            <v>1</v>
          </cell>
          <cell r="BB121" t="str">
            <v>326 - With Partition</v>
          </cell>
          <cell r="BC121" t="str">
            <v>With Partition</v>
          </cell>
          <cell r="BD121" t="str">
            <v>Slant</v>
          </cell>
          <cell r="BE121" t="str">
            <v>With Partition</v>
          </cell>
          <cell r="BF121" t="str">
            <v>GREEN</v>
          </cell>
          <cell r="BG121">
            <v>2750000</v>
          </cell>
          <cell r="BH121">
            <v>2850000</v>
          </cell>
          <cell r="BI121">
            <v>100000</v>
          </cell>
          <cell r="BJ121">
            <v>2750000</v>
          </cell>
          <cell r="BK121">
            <v>0</v>
          </cell>
          <cell r="BL121">
            <v>2750000</v>
          </cell>
        </row>
        <row r="122">
          <cell r="D122" t="str">
            <v>OS</v>
          </cell>
          <cell r="E122"/>
          <cell r="F122">
            <v>102</v>
          </cell>
          <cell r="G122" t="str">
            <v>SOLD</v>
          </cell>
          <cell r="H122" t="str">
            <v>OS</v>
          </cell>
          <cell r="I122" t="str">
            <v>OS</v>
          </cell>
          <cell r="J122" t="str">
            <v>OS</v>
          </cell>
          <cell r="K122" t="str">
            <v>OS</v>
          </cell>
          <cell r="L122" t="str">
            <v>OS</v>
          </cell>
          <cell r="M122" t="str">
            <v>OS</v>
          </cell>
          <cell r="N122" t="str">
            <v>OS</v>
          </cell>
          <cell r="O122" t="str">
            <v>OS</v>
          </cell>
          <cell r="P122" t="str">
            <v>OS</v>
          </cell>
          <cell r="Q122" t="str">
            <v>OS</v>
          </cell>
          <cell r="R122" t="str">
            <v>OS</v>
          </cell>
          <cell r="S122" t="str">
            <v>OS</v>
          </cell>
          <cell r="T122" t="str">
            <v>OS</v>
          </cell>
          <cell r="U122" t="str">
            <v>OS</v>
          </cell>
          <cell r="V122" t="str">
            <v>OS</v>
          </cell>
          <cell r="W122" t="str">
            <v>OS</v>
          </cell>
          <cell r="X122" t="str">
            <v>OS</v>
          </cell>
          <cell r="Y122" t="str">
            <v>OS</v>
          </cell>
          <cell r="Z122" t="str">
            <v>OS</v>
          </cell>
          <cell r="AA122" t="str">
            <v>OS</v>
          </cell>
          <cell r="AB122" t="str">
            <v>OS</v>
          </cell>
          <cell r="AC122" t="str">
            <v>OS</v>
          </cell>
          <cell r="AD122" t="str">
            <v>AGM-01-006-042</v>
          </cell>
          <cell r="AE122" t="str">
            <v xml:space="preserve">Raemulan Lands, Inc. </v>
          </cell>
          <cell r="AF122" t="str">
            <v>Agapeya</v>
          </cell>
          <cell r="AG122" t="str">
            <v>AGM</v>
          </cell>
          <cell r="AH122" t="str">
            <v>Eco-High</v>
          </cell>
          <cell r="AI122" t="str">
            <v>West</v>
          </cell>
          <cell r="AJ122" t="str">
            <v>With LTS</v>
          </cell>
          <cell r="AK122" t="str">
            <v>Unaffected lots</v>
          </cell>
          <cell r="AL122" t="str">
            <v>Unaffected lots</v>
          </cell>
          <cell r="AM122" t="b">
            <v>1</v>
          </cell>
          <cell r="AN122" t="str">
            <v>YES</v>
          </cell>
          <cell r="AO122" t="str">
            <v>2024 Batch</v>
          </cell>
          <cell r="AP122">
            <v>100</v>
          </cell>
          <cell r="AQ122" t="str">
            <v>PCS-04-034407</v>
          </cell>
          <cell r="AR122" t="b">
            <v>1</v>
          </cell>
          <cell r="AS122" t="str">
            <v>Done</v>
          </cell>
          <cell r="AT122" t="str">
            <v>2024 Batch</v>
          </cell>
          <cell r="AU122">
            <v>6</v>
          </cell>
          <cell r="AV122">
            <v>42</v>
          </cell>
          <cell r="AW122" t="str">
            <v>H+L</v>
          </cell>
          <cell r="AX122">
            <v>100</v>
          </cell>
          <cell r="AY122">
            <v>50</v>
          </cell>
          <cell r="AZ122" t="str">
            <v>Duplex</v>
          </cell>
          <cell r="BA122">
            <v>1</v>
          </cell>
          <cell r="BB122" t="str">
            <v>326 - With Partition</v>
          </cell>
          <cell r="BC122" t="str">
            <v>With Partition</v>
          </cell>
          <cell r="BD122" t="str">
            <v>Flat</v>
          </cell>
          <cell r="BE122" t="str">
            <v>With Partition</v>
          </cell>
          <cell r="BF122" t="str">
            <v>PINK</v>
          </cell>
          <cell r="BG122">
            <v>3201500</v>
          </cell>
          <cell r="BH122">
            <v>3300000</v>
          </cell>
          <cell r="BI122">
            <v>100000</v>
          </cell>
          <cell r="BJ122">
            <v>3200000</v>
          </cell>
          <cell r="BK122">
            <v>0</v>
          </cell>
          <cell r="BL122">
            <v>3200000</v>
          </cell>
        </row>
        <row r="123">
          <cell r="D123" t="str">
            <v>OS</v>
          </cell>
          <cell r="E123"/>
          <cell r="F123">
            <v>103</v>
          </cell>
          <cell r="G123" t="str">
            <v>SOLD</v>
          </cell>
          <cell r="H123" t="str">
            <v>OS</v>
          </cell>
          <cell r="I123" t="str">
            <v>OS</v>
          </cell>
          <cell r="J123" t="str">
            <v>OS</v>
          </cell>
          <cell r="K123" t="str">
            <v>OS</v>
          </cell>
          <cell r="L123" t="str">
            <v>OS</v>
          </cell>
          <cell r="M123" t="str">
            <v>OS</v>
          </cell>
          <cell r="N123" t="str">
            <v>OS</v>
          </cell>
          <cell r="O123" t="str">
            <v>OS</v>
          </cell>
          <cell r="P123" t="str">
            <v>OS</v>
          </cell>
          <cell r="Q123" t="str">
            <v>OS</v>
          </cell>
          <cell r="R123" t="str">
            <v>OS</v>
          </cell>
          <cell r="S123" t="str">
            <v>OS</v>
          </cell>
          <cell r="T123" t="str">
            <v>OS</v>
          </cell>
          <cell r="U123" t="str">
            <v>OS</v>
          </cell>
          <cell r="V123" t="str">
            <v>OS</v>
          </cell>
          <cell r="W123" t="str">
            <v>OS</v>
          </cell>
          <cell r="X123" t="str">
            <v>OS</v>
          </cell>
          <cell r="Y123" t="str">
            <v>OS</v>
          </cell>
          <cell r="Z123" t="str">
            <v>OS</v>
          </cell>
          <cell r="AA123" t="str">
            <v>OS</v>
          </cell>
          <cell r="AB123" t="str">
            <v>OS</v>
          </cell>
          <cell r="AC123" t="str">
            <v>OS</v>
          </cell>
          <cell r="AD123" t="str">
            <v>AGM-01-007-001</v>
          </cell>
          <cell r="AE123" t="str">
            <v xml:space="preserve">Raemulan Lands, Inc. </v>
          </cell>
          <cell r="AF123" t="str">
            <v>Agapeya</v>
          </cell>
          <cell r="AG123" t="str">
            <v>AGM</v>
          </cell>
          <cell r="AH123" t="str">
            <v>Eco-High</v>
          </cell>
          <cell r="AI123" t="str">
            <v>West</v>
          </cell>
          <cell r="AJ123" t="str">
            <v>With LTS</v>
          </cell>
          <cell r="AK123" t="str">
            <v>Unaffected lots</v>
          </cell>
          <cell r="AL123" t="str">
            <v>Unaffected lots</v>
          </cell>
          <cell r="AM123" t="b">
            <v>1</v>
          </cell>
          <cell r="AN123" t="str">
            <v>YES</v>
          </cell>
          <cell r="AO123" t="str">
            <v>2024 Batch</v>
          </cell>
          <cell r="AP123">
            <v>100</v>
          </cell>
          <cell r="AQ123" t="str">
            <v>PCS-04-034407</v>
          </cell>
          <cell r="AR123" t="b">
            <v>1</v>
          </cell>
          <cell r="AS123" t="str">
            <v>Done</v>
          </cell>
          <cell r="AT123" t="str">
            <v>2024 Batch</v>
          </cell>
          <cell r="AU123">
            <v>7</v>
          </cell>
          <cell r="AV123">
            <v>1</v>
          </cell>
          <cell r="AW123" t="str">
            <v>H+L</v>
          </cell>
          <cell r="AX123">
            <v>100</v>
          </cell>
          <cell r="AY123">
            <v>50</v>
          </cell>
          <cell r="AZ123" t="str">
            <v>Duplex</v>
          </cell>
          <cell r="BA123">
            <v>1</v>
          </cell>
          <cell r="BB123" t="str">
            <v>326 - With Partition</v>
          </cell>
          <cell r="BC123" t="str">
            <v>With Partition</v>
          </cell>
          <cell r="BD123" t="str">
            <v>Flat</v>
          </cell>
          <cell r="BE123" t="str">
            <v>With Partition</v>
          </cell>
          <cell r="BF123" t="str">
            <v>PINK</v>
          </cell>
          <cell r="BG123">
            <v>3000000</v>
          </cell>
          <cell r="BH123">
            <v>3300000</v>
          </cell>
          <cell r="BI123">
            <v>100000</v>
          </cell>
          <cell r="BJ123">
            <v>3200000</v>
          </cell>
          <cell r="BK123">
            <v>0</v>
          </cell>
          <cell r="BL123">
            <v>3200000</v>
          </cell>
        </row>
        <row r="124">
          <cell r="D124" t="str">
            <v>OS</v>
          </cell>
          <cell r="E124"/>
          <cell r="F124">
            <v>104</v>
          </cell>
          <cell r="G124" t="str">
            <v>SOLD</v>
          </cell>
          <cell r="H124" t="str">
            <v>OS</v>
          </cell>
          <cell r="I124" t="str">
            <v>OS</v>
          </cell>
          <cell r="J124" t="str">
            <v>OS</v>
          </cell>
          <cell r="K124" t="str">
            <v>OS</v>
          </cell>
          <cell r="L124" t="str">
            <v>OS</v>
          </cell>
          <cell r="M124" t="str">
            <v>OS</v>
          </cell>
          <cell r="N124" t="str">
            <v>OS</v>
          </cell>
          <cell r="O124" t="str">
            <v>OS</v>
          </cell>
          <cell r="P124" t="str">
            <v>OS</v>
          </cell>
          <cell r="Q124" t="str">
            <v>OS</v>
          </cell>
          <cell r="R124" t="str">
            <v>OS</v>
          </cell>
          <cell r="S124" t="str">
            <v>OS</v>
          </cell>
          <cell r="T124" t="str">
            <v>OS</v>
          </cell>
          <cell r="U124" t="str">
            <v>OS</v>
          </cell>
          <cell r="V124" t="str">
            <v>OS</v>
          </cell>
          <cell r="W124" t="str">
            <v>OS</v>
          </cell>
          <cell r="X124" t="str">
            <v>OS</v>
          </cell>
          <cell r="Y124" t="str">
            <v>OS</v>
          </cell>
          <cell r="Z124" t="str">
            <v>OS</v>
          </cell>
          <cell r="AA124" t="str">
            <v>OS</v>
          </cell>
          <cell r="AB124" t="str">
            <v>OS</v>
          </cell>
          <cell r="AC124" t="str">
            <v>OS</v>
          </cell>
          <cell r="AD124" t="str">
            <v>AGM-01-007-002</v>
          </cell>
          <cell r="AE124" t="str">
            <v xml:space="preserve">Raemulan Lands, Inc. </v>
          </cell>
          <cell r="AF124" t="str">
            <v>Agapeya</v>
          </cell>
          <cell r="AG124" t="str">
            <v>AGM</v>
          </cell>
          <cell r="AH124" t="str">
            <v>Eco-High</v>
          </cell>
          <cell r="AI124" t="str">
            <v>West</v>
          </cell>
          <cell r="AJ124" t="str">
            <v>With LTS</v>
          </cell>
          <cell r="AK124" t="str">
            <v>Unaffected lots</v>
          </cell>
          <cell r="AL124" t="str">
            <v>Unaffected lots</v>
          </cell>
          <cell r="AM124" t="b">
            <v>1</v>
          </cell>
          <cell r="AN124" t="str">
            <v>YES</v>
          </cell>
          <cell r="AO124" t="str">
            <v>2024 Batch</v>
          </cell>
          <cell r="AP124">
            <v>70</v>
          </cell>
          <cell r="AQ124" t="str">
            <v>PCS-04-034407</v>
          </cell>
          <cell r="AR124" t="b">
            <v>1</v>
          </cell>
          <cell r="AS124" t="str">
            <v>Done</v>
          </cell>
          <cell r="AT124" t="str">
            <v>2024 Batch</v>
          </cell>
          <cell r="AU124">
            <v>7</v>
          </cell>
          <cell r="AV124">
            <v>2</v>
          </cell>
          <cell r="AW124" t="str">
            <v>H+L</v>
          </cell>
          <cell r="AX124">
            <v>70</v>
          </cell>
          <cell r="AY124">
            <v>50</v>
          </cell>
          <cell r="AZ124" t="str">
            <v>Duplex</v>
          </cell>
          <cell r="BA124">
            <v>1</v>
          </cell>
          <cell r="BB124" t="str">
            <v>326 - With Partition</v>
          </cell>
          <cell r="BC124" t="str">
            <v xml:space="preserve">Without Partition </v>
          </cell>
          <cell r="BD124" t="str">
            <v>Flat</v>
          </cell>
          <cell r="BE124" t="str">
            <v xml:space="preserve">Without Partition </v>
          </cell>
          <cell r="BF124" t="str">
            <v>YELLOW</v>
          </cell>
          <cell r="BG124">
            <v>2707500</v>
          </cell>
          <cell r="BH124">
            <v>2650000</v>
          </cell>
          <cell r="BI124">
            <v>100000</v>
          </cell>
          <cell r="BJ124">
            <v>2550000</v>
          </cell>
          <cell r="BK124">
            <v>0</v>
          </cell>
          <cell r="BL124">
            <v>2550000</v>
          </cell>
        </row>
        <row r="125">
          <cell r="D125" t="str">
            <v>OS</v>
          </cell>
          <cell r="E125"/>
          <cell r="F125">
            <v>105</v>
          </cell>
          <cell r="G125" t="str">
            <v>SOLD</v>
          </cell>
          <cell r="H125" t="str">
            <v>OS</v>
          </cell>
          <cell r="I125" t="str">
            <v>OS</v>
          </cell>
          <cell r="J125" t="str">
            <v>OS</v>
          </cell>
          <cell r="K125" t="str">
            <v>OS</v>
          </cell>
          <cell r="L125" t="str">
            <v>OS</v>
          </cell>
          <cell r="M125" t="str">
            <v>OS</v>
          </cell>
          <cell r="N125" t="str">
            <v>OS</v>
          </cell>
          <cell r="O125" t="str">
            <v>OS</v>
          </cell>
          <cell r="P125" t="str">
            <v>OS</v>
          </cell>
          <cell r="Q125" t="str">
            <v>OS</v>
          </cell>
          <cell r="R125" t="str">
            <v>OS</v>
          </cell>
          <cell r="S125" t="str">
            <v>OS</v>
          </cell>
          <cell r="T125" t="str">
            <v>OS</v>
          </cell>
          <cell r="U125" t="str">
            <v>OS</v>
          </cell>
          <cell r="V125" t="str">
            <v>OS</v>
          </cell>
          <cell r="W125" t="str">
            <v>OS</v>
          </cell>
          <cell r="X125" t="str">
            <v>OS</v>
          </cell>
          <cell r="Y125" t="str">
            <v>OS</v>
          </cell>
          <cell r="Z125" t="str">
            <v>OS</v>
          </cell>
          <cell r="AA125" t="str">
            <v>OS</v>
          </cell>
          <cell r="AB125" t="str">
            <v>OS</v>
          </cell>
          <cell r="AC125" t="str">
            <v>OS</v>
          </cell>
          <cell r="AD125" t="str">
            <v>AGM-01-007-003</v>
          </cell>
          <cell r="AE125" t="str">
            <v xml:space="preserve">Raemulan Lands, Inc. </v>
          </cell>
          <cell r="AF125" t="str">
            <v>Agapeya</v>
          </cell>
          <cell r="AG125" t="str">
            <v>AGM</v>
          </cell>
          <cell r="AH125" t="str">
            <v>Eco-High</v>
          </cell>
          <cell r="AI125" t="str">
            <v>West</v>
          </cell>
          <cell r="AJ125" t="str">
            <v>With LTS</v>
          </cell>
          <cell r="AK125" t="str">
            <v>Unaffected lots</v>
          </cell>
          <cell r="AL125" t="str">
            <v>Unaffected lots</v>
          </cell>
          <cell r="AM125" t="b">
            <v>1</v>
          </cell>
          <cell r="AN125" t="str">
            <v>YES</v>
          </cell>
          <cell r="AO125" t="str">
            <v>2024 Batch</v>
          </cell>
          <cell r="AP125">
            <v>70</v>
          </cell>
          <cell r="AQ125" t="str">
            <v>PCS-04-034407</v>
          </cell>
          <cell r="AR125" t="b">
            <v>1</v>
          </cell>
          <cell r="AS125" t="str">
            <v>Done</v>
          </cell>
          <cell r="AT125" t="str">
            <v>2024 Batch</v>
          </cell>
          <cell r="AU125">
            <v>7</v>
          </cell>
          <cell r="AV125">
            <v>3</v>
          </cell>
          <cell r="AW125" t="str">
            <v>H+L</v>
          </cell>
          <cell r="AX125">
            <v>70</v>
          </cell>
          <cell r="AY125">
            <v>50</v>
          </cell>
          <cell r="AZ125" t="str">
            <v>Duplex</v>
          </cell>
          <cell r="BA125">
            <v>1</v>
          </cell>
          <cell r="BB125" t="str">
            <v>326 - With Partition</v>
          </cell>
          <cell r="BC125" t="str">
            <v>With Partition</v>
          </cell>
          <cell r="BD125" t="str">
            <v>Slant</v>
          </cell>
          <cell r="BE125" t="str">
            <v>With Partition</v>
          </cell>
          <cell r="BF125" t="str">
            <v>YELLOW</v>
          </cell>
          <cell r="BG125">
            <v>2750000</v>
          </cell>
          <cell r="BH125">
            <v>2850000</v>
          </cell>
          <cell r="BI125">
            <v>100000</v>
          </cell>
          <cell r="BJ125">
            <v>2750000</v>
          </cell>
          <cell r="BK125">
            <v>0</v>
          </cell>
          <cell r="BL125">
            <v>2750000</v>
          </cell>
        </row>
        <row r="126">
          <cell r="D126" t="str">
            <v>OS</v>
          </cell>
          <cell r="E126"/>
          <cell r="F126">
            <v>106</v>
          </cell>
          <cell r="G126" t="str">
            <v>SOLD</v>
          </cell>
          <cell r="H126" t="str">
            <v>OS</v>
          </cell>
          <cell r="I126" t="str">
            <v>OS</v>
          </cell>
          <cell r="J126" t="str">
            <v>OS</v>
          </cell>
          <cell r="K126" t="str">
            <v>OS</v>
          </cell>
          <cell r="L126" t="str">
            <v>OS</v>
          </cell>
          <cell r="M126" t="str">
            <v>OS</v>
          </cell>
          <cell r="N126" t="str">
            <v>OS</v>
          </cell>
          <cell r="O126" t="str">
            <v>OS</v>
          </cell>
          <cell r="P126" t="str">
            <v>OS</v>
          </cell>
          <cell r="Q126" t="str">
            <v>OS</v>
          </cell>
          <cell r="R126" t="str">
            <v>OS</v>
          </cell>
          <cell r="S126" t="str">
            <v>OS</v>
          </cell>
          <cell r="T126" t="str">
            <v>OS</v>
          </cell>
          <cell r="U126" t="str">
            <v>OS</v>
          </cell>
          <cell r="V126" t="str">
            <v>OS</v>
          </cell>
          <cell r="W126" t="str">
            <v>OS</v>
          </cell>
          <cell r="X126" t="str">
            <v>OS</v>
          </cell>
          <cell r="Y126" t="str">
            <v>OS</v>
          </cell>
          <cell r="Z126" t="str">
            <v>OS</v>
          </cell>
          <cell r="AA126" t="str">
            <v>OS</v>
          </cell>
          <cell r="AB126" t="str">
            <v>OS</v>
          </cell>
          <cell r="AC126" t="str">
            <v>OS</v>
          </cell>
          <cell r="AD126" t="str">
            <v>AGM-01-007-004</v>
          </cell>
          <cell r="AE126" t="str">
            <v xml:space="preserve">Raemulan Lands, Inc. </v>
          </cell>
          <cell r="AF126" t="str">
            <v>Agapeya</v>
          </cell>
          <cell r="AG126" t="str">
            <v>AGM</v>
          </cell>
          <cell r="AH126" t="str">
            <v>Eco-High</v>
          </cell>
          <cell r="AI126" t="str">
            <v>West</v>
          </cell>
          <cell r="AJ126" t="str">
            <v>With LTS</v>
          </cell>
          <cell r="AK126" t="str">
            <v>Unaffected lots</v>
          </cell>
          <cell r="AL126" t="str">
            <v>Unaffected lots</v>
          </cell>
          <cell r="AM126" t="b">
            <v>1</v>
          </cell>
          <cell r="AN126" t="str">
            <v>YES</v>
          </cell>
          <cell r="AO126" t="str">
            <v>2024 Batch</v>
          </cell>
          <cell r="AP126">
            <v>70</v>
          </cell>
          <cell r="AQ126" t="str">
            <v>PCS-04-034407</v>
          </cell>
          <cell r="AR126" t="b">
            <v>1</v>
          </cell>
          <cell r="AS126" t="str">
            <v>Done</v>
          </cell>
          <cell r="AT126" t="str">
            <v>2024 Batch</v>
          </cell>
          <cell r="AU126">
            <v>7</v>
          </cell>
          <cell r="AV126">
            <v>4</v>
          </cell>
          <cell r="AW126" t="str">
            <v>H+L</v>
          </cell>
          <cell r="AX126">
            <v>70</v>
          </cell>
          <cell r="AY126">
            <v>50</v>
          </cell>
          <cell r="AZ126" t="str">
            <v>Duplex</v>
          </cell>
          <cell r="BA126">
            <v>1</v>
          </cell>
          <cell r="BB126" t="str">
            <v>326 - With Partition</v>
          </cell>
          <cell r="BC126" t="str">
            <v xml:space="preserve">Without Partition </v>
          </cell>
          <cell r="BD126" t="str">
            <v>Slant</v>
          </cell>
          <cell r="BE126" t="str">
            <v xml:space="preserve">Without Partition </v>
          </cell>
          <cell r="BF126" t="str">
            <v>YELLOW</v>
          </cell>
          <cell r="BG126">
            <v>2700000</v>
          </cell>
          <cell r="BH126">
            <v>2650000</v>
          </cell>
          <cell r="BI126">
            <v>100000</v>
          </cell>
          <cell r="BJ126">
            <v>2550000</v>
          </cell>
          <cell r="BK126">
            <v>0</v>
          </cell>
          <cell r="BL126">
            <v>2550000</v>
          </cell>
        </row>
        <row r="127">
          <cell r="D127" t="str">
            <v>OS</v>
          </cell>
          <cell r="E127"/>
          <cell r="F127">
            <v>107</v>
          </cell>
          <cell r="G127" t="str">
            <v>SOLD</v>
          </cell>
          <cell r="H127" t="str">
            <v>OS</v>
          </cell>
          <cell r="I127" t="str">
            <v>OS</v>
          </cell>
          <cell r="J127" t="str">
            <v>OS</v>
          </cell>
          <cell r="K127" t="str">
            <v>OS</v>
          </cell>
          <cell r="L127" t="str">
            <v>OS</v>
          </cell>
          <cell r="M127" t="str">
            <v>OS</v>
          </cell>
          <cell r="N127" t="str">
            <v>OS</v>
          </cell>
          <cell r="O127" t="str">
            <v>OS</v>
          </cell>
          <cell r="P127" t="str">
            <v>OS</v>
          </cell>
          <cell r="Q127" t="str">
            <v>OS</v>
          </cell>
          <cell r="R127" t="str">
            <v>OS</v>
          </cell>
          <cell r="S127" t="str">
            <v>OS</v>
          </cell>
          <cell r="T127" t="str">
            <v>OS</v>
          </cell>
          <cell r="U127" t="str">
            <v>OS</v>
          </cell>
          <cell r="V127" t="str">
            <v>OS</v>
          </cell>
          <cell r="W127" t="str">
            <v>OS</v>
          </cell>
          <cell r="X127" t="str">
            <v>OS</v>
          </cell>
          <cell r="Y127" t="str">
            <v>OS</v>
          </cell>
          <cell r="Z127" t="str">
            <v>OS</v>
          </cell>
          <cell r="AA127" t="str">
            <v>OS</v>
          </cell>
          <cell r="AB127" t="str">
            <v>OS</v>
          </cell>
          <cell r="AC127" t="str">
            <v>OS</v>
          </cell>
          <cell r="AD127" t="str">
            <v>AGM-01-007-005</v>
          </cell>
          <cell r="AE127" t="str">
            <v xml:space="preserve">Raemulan Lands, Inc. </v>
          </cell>
          <cell r="AF127" t="str">
            <v>Agapeya</v>
          </cell>
          <cell r="AG127" t="str">
            <v>AGM</v>
          </cell>
          <cell r="AH127" t="str">
            <v>Eco-High</v>
          </cell>
          <cell r="AI127" t="str">
            <v>West</v>
          </cell>
          <cell r="AJ127" t="str">
            <v>With LTS</v>
          </cell>
          <cell r="AK127" t="str">
            <v>Unaffected lots</v>
          </cell>
          <cell r="AL127" t="str">
            <v>Unaffected lots</v>
          </cell>
          <cell r="AM127" t="b">
            <v>1</v>
          </cell>
          <cell r="AN127" t="str">
            <v>YES</v>
          </cell>
          <cell r="AO127" t="str">
            <v>2024 Batch</v>
          </cell>
          <cell r="AP127">
            <v>70</v>
          </cell>
          <cell r="AQ127" t="str">
            <v>PCS-04-034407</v>
          </cell>
          <cell r="AR127" t="b">
            <v>1</v>
          </cell>
          <cell r="AS127" t="str">
            <v>Done</v>
          </cell>
          <cell r="AT127" t="str">
            <v>2024 Batch</v>
          </cell>
          <cell r="AU127">
            <v>7</v>
          </cell>
          <cell r="AV127">
            <v>5</v>
          </cell>
          <cell r="AW127" t="str">
            <v>H+L</v>
          </cell>
          <cell r="AX127">
            <v>70</v>
          </cell>
          <cell r="AY127">
            <v>50</v>
          </cell>
          <cell r="AZ127" t="str">
            <v>Duplex</v>
          </cell>
          <cell r="BA127">
            <v>1</v>
          </cell>
          <cell r="BB127" t="str">
            <v>326 - With Partition</v>
          </cell>
          <cell r="BC127" t="str">
            <v xml:space="preserve">Without Partition </v>
          </cell>
          <cell r="BD127" t="str">
            <v>Flat</v>
          </cell>
          <cell r="BE127" t="str">
            <v xml:space="preserve">Without Partition </v>
          </cell>
          <cell r="BF127" t="str">
            <v>YELLOW</v>
          </cell>
          <cell r="BG127">
            <v>2707500</v>
          </cell>
          <cell r="BH127">
            <v>2650000</v>
          </cell>
          <cell r="BI127">
            <v>100000</v>
          </cell>
          <cell r="BJ127">
            <v>2550000</v>
          </cell>
          <cell r="BK127">
            <v>0</v>
          </cell>
          <cell r="BL127">
            <v>2550000</v>
          </cell>
        </row>
        <row r="128">
          <cell r="D128" t="str">
            <v>OS</v>
          </cell>
          <cell r="E128"/>
          <cell r="F128">
            <v>108</v>
          </cell>
          <cell r="G128" t="str">
            <v>SOLD</v>
          </cell>
          <cell r="H128" t="str">
            <v>OS</v>
          </cell>
          <cell r="I128" t="str">
            <v>OS</v>
          </cell>
          <cell r="J128" t="str">
            <v>OS</v>
          </cell>
          <cell r="K128" t="str">
            <v>OS</v>
          </cell>
          <cell r="L128" t="str">
            <v>OS</v>
          </cell>
          <cell r="M128" t="str">
            <v>OS</v>
          </cell>
          <cell r="N128" t="str">
            <v>OS</v>
          </cell>
          <cell r="O128" t="str">
            <v>OS</v>
          </cell>
          <cell r="P128" t="str">
            <v>OS</v>
          </cell>
          <cell r="Q128" t="str">
            <v>OS</v>
          </cell>
          <cell r="R128" t="str">
            <v>OS</v>
          </cell>
          <cell r="S128" t="str">
            <v>OS</v>
          </cell>
          <cell r="T128" t="str">
            <v>OS</v>
          </cell>
          <cell r="U128" t="str">
            <v>OS</v>
          </cell>
          <cell r="V128" t="str">
            <v>OS</v>
          </cell>
          <cell r="W128" t="str">
            <v>OS</v>
          </cell>
          <cell r="X128" t="str">
            <v>OS</v>
          </cell>
          <cell r="Y128" t="str">
            <v>OS</v>
          </cell>
          <cell r="Z128" t="str">
            <v>OS</v>
          </cell>
          <cell r="AA128" t="str">
            <v>OS</v>
          </cell>
          <cell r="AB128" t="str">
            <v>OS</v>
          </cell>
          <cell r="AC128" t="str">
            <v>OS</v>
          </cell>
          <cell r="AD128" t="str">
            <v>AGM-01-007-006</v>
          </cell>
          <cell r="AE128" t="str">
            <v xml:space="preserve">Raemulan Lands, Inc. </v>
          </cell>
          <cell r="AF128" t="str">
            <v>Agapeya</v>
          </cell>
          <cell r="AG128" t="str">
            <v>AGM</v>
          </cell>
          <cell r="AH128" t="str">
            <v>Eco-High</v>
          </cell>
          <cell r="AI128" t="str">
            <v>West</v>
          </cell>
          <cell r="AJ128" t="str">
            <v>With LTS</v>
          </cell>
          <cell r="AK128" t="str">
            <v>Unaffected lots</v>
          </cell>
          <cell r="AL128" t="str">
            <v>Unaffected lots</v>
          </cell>
          <cell r="AM128" t="b">
            <v>1</v>
          </cell>
          <cell r="AN128" t="str">
            <v>YES</v>
          </cell>
          <cell r="AO128" t="str">
            <v>2024 Batch</v>
          </cell>
          <cell r="AP128">
            <v>70</v>
          </cell>
          <cell r="AQ128" t="str">
            <v>PCS-04-034407</v>
          </cell>
          <cell r="AR128" t="b">
            <v>1</v>
          </cell>
          <cell r="AS128" t="str">
            <v>Done</v>
          </cell>
          <cell r="AT128" t="str">
            <v>2024 Batch</v>
          </cell>
          <cell r="AU128">
            <v>7</v>
          </cell>
          <cell r="AV128">
            <v>6</v>
          </cell>
          <cell r="AW128" t="str">
            <v>H+L</v>
          </cell>
          <cell r="AX128">
            <v>70</v>
          </cell>
          <cell r="AY128">
            <v>50</v>
          </cell>
          <cell r="AZ128" t="str">
            <v>Duplex</v>
          </cell>
          <cell r="BA128">
            <v>1</v>
          </cell>
          <cell r="BB128" t="str">
            <v>326 - With Partition</v>
          </cell>
          <cell r="BC128" t="str">
            <v>With Partition</v>
          </cell>
          <cell r="BD128" t="str">
            <v>Flat</v>
          </cell>
          <cell r="BE128" t="str">
            <v>With Partition</v>
          </cell>
          <cell r="BF128" t="str">
            <v>GREEN</v>
          </cell>
          <cell r="BG128">
            <v>2707500</v>
          </cell>
          <cell r="BH128">
            <v>2850000</v>
          </cell>
          <cell r="BI128">
            <v>100000</v>
          </cell>
          <cell r="BJ128">
            <v>2750000</v>
          </cell>
          <cell r="BK128">
            <v>0</v>
          </cell>
          <cell r="BL128">
            <v>2750000</v>
          </cell>
        </row>
        <row r="129">
          <cell r="D129" t="str">
            <v>OS</v>
          </cell>
          <cell r="E129"/>
          <cell r="F129">
            <v>109</v>
          </cell>
          <cell r="G129" t="str">
            <v>SOLD</v>
          </cell>
          <cell r="H129" t="str">
            <v>OS</v>
          </cell>
          <cell r="I129" t="str">
            <v>OS</v>
          </cell>
          <cell r="J129" t="str">
            <v>OS</v>
          </cell>
          <cell r="K129" t="str">
            <v>OS</v>
          </cell>
          <cell r="L129" t="str">
            <v>OS</v>
          </cell>
          <cell r="M129" t="str">
            <v>OS</v>
          </cell>
          <cell r="N129" t="str">
            <v>OS</v>
          </cell>
          <cell r="O129" t="str">
            <v>OS</v>
          </cell>
          <cell r="P129" t="str">
            <v>OS</v>
          </cell>
          <cell r="Q129" t="str">
            <v>OS</v>
          </cell>
          <cell r="R129" t="str">
            <v>OS</v>
          </cell>
          <cell r="S129" t="str">
            <v>OS</v>
          </cell>
          <cell r="T129" t="str">
            <v>OS</v>
          </cell>
          <cell r="U129" t="str">
            <v>OS</v>
          </cell>
          <cell r="V129" t="str">
            <v>OS</v>
          </cell>
          <cell r="W129" t="str">
            <v>OS</v>
          </cell>
          <cell r="X129" t="str">
            <v>OS</v>
          </cell>
          <cell r="Y129" t="str">
            <v>OS</v>
          </cell>
          <cell r="Z129" t="str">
            <v>OS</v>
          </cell>
          <cell r="AA129" t="str">
            <v>OS</v>
          </cell>
          <cell r="AB129" t="str">
            <v>OS</v>
          </cell>
          <cell r="AC129" t="str">
            <v>OS</v>
          </cell>
          <cell r="AD129" t="str">
            <v>AGM-01-007-007</v>
          </cell>
          <cell r="AE129" t="str">
            <v xml:space="preserve">Raemulan Lands, Inc. </v>
          </cell>
          <cell r="AF129" t="str">
            <v>Agapeya</v>
          </cell>
          <cell r="AG129" t="str">
            <v>AGM</v>
          </cell>
          <cell r="AH129" t="str">
            <v>Eco-High</v>
          </cell>
          <cell r="AI129" t="str">
            <v>West</v>
          </cell>
          <cell r="AJ129" t="str">
            <v>With LTS</v>
          </cell>
          <cell r="AK129" t="str">
            <v>Unaffected lots</v>
          </cell>
          <cell r="AL129" t="str">
            <v>Unaffected lots</v>
          </cell>
          <cell r="AM129" t="b">
            <v>1</v>
          </cell>
          <cell r="AN129" t="str">
            <v>YES</v>
          </cell>
          <cell r="AO129" t="str">
            <v>2024 Batch</v>
          </cell>
          <cell r="AP129">
            <v>70</v>
          </cell>
          <cell r="AQ129" t="str">
            <v>PCS-04-034407</v>
          </cell>
          <cell r="AR129" t="b">
            <v>1</v>
          </cell>
          <cell r="AS129" t="str">
            <v>Done</v>
          </cell>
          <cell r="AT129" t="str">
            <v>2024 Batch</v>
          </cell>
          <cell r="AU129">
            <v>7</v>
          </cell>
          <cell r="AV129">
            <v>7</v>
          </cell>
          <cell r="AW129" t="str">
            <v>H+L</v>
          </cell>
          <cell r="AX129">
            <v>70</v>
          </cell>
          <cell r="AY129">
            <v>50</v>
          </cell>
          <cell r="AZ129" t="str">
            <v>Duplex</v>
          </cell>
          <cell r="BA129">
            <v>1</v>
          </cell>
          <cell r="BB129" t="str">
            <v>326 - With Partition</v>
          </cell>
          <cell r="BC129" t="str">
            <v>With Partition</v>
          </cell>
          <cell r="BD129" t="str">
            <v>Slant</v>
          </cell>
          <cell r="BE129" t="str">
            <v>With Partition</v>
          </cell>
          <cell r="BF129" t="str">
            <v>GREEN</v>
          </cell>
          <cell r="BG129">
            <v>2650000</v>
          </cell>
          <cell r="BH129">
            <v>2850000</v>
          </cell>
          <cell r="BI129">
            <v>100000</v>
          </cell>
          <cell r="BJ129">
            <v>2750000</v>
          </cell>
          <cell r="BK129">
            <v>0</v>
          </cell>
          <cell r="BL129">
            <v>2750000</v>
          </cell>
        </row>
        <row r="130">
          <cell r="D130" t="str">
            <v>OS</v>
          </cell>
          <cell r="E130"/>
          <cell r="F130">
            <v>110</v>
          </cell>
          <cell r="G130" t="str">
            <v>SOLD</v>
          </cell>
          <cell r="H130" t="str">
            <v>OS</v>
          </cell>
          <cell r="I130" t="str">
            <v>OS</v>
          </cell>
          <cell r="J130" t="str">
            <v>OS</v>
          </cell>
          <cell r="K130" t="str">
            <v>OS</v>
          </cell>
          <cell r="L130" t="str">
            <v>OS</v>
          </cell>
          <cell r="M130" t="str">
            <v>OS</v>
          </cell>
          <cell r="N130" t="str">
            <v>OS</v>
          </cell>
          <cell r="O130" t="str">
            <v>OS</v>
          </cell>
          <cell r="P130" t="str">
            <v>OS</v>
          </cell>
          <cell r="Q130" t="str">
            <v>OS</v>
          </cell>
          <cell r="R130" t="str">
            <v>OS</v>
          </cell>
          <cell r="S130" t="str">
            <v>OS</v>
          </cell>
          <cell r="T130" t="str">
            <v>OS</v>
          </cell>
          <cell r="U130" t="str">
            <v>OS</v>
          </cell>
          <cell r="V130" t="str">
            <v>OS</v>
          </cell>
          <cell r="W130" t="str">
            <v>OS</v>
          </cell>
          <cell r="X130" t="str">
            <v>OS</v>
          </cell>
          <cell r="Y130" t="str">
            <v>OS</v>
          </cell>
          <cell r="Z130" t="str">
            <v>OS</v>
          </cell>
          <cell r="AA130" t="str">
            <v>OS</v>
          </cell>
          <cell r="AB130" t="str">
            <v>OS</v>
          </cell>
          <cell r="AC130" t="str">
            <v>OS</v>
          </cell>
          <cell r="AD130" t="str">
            <v>AGM-01-007-008</v>
          </cell>
          <cell r="AE130" t="str">
            <v xml:space="preserve">Raemulan Lands, Inc. </v>
          </cell>
          <cell r="AF130" t="str">
            <v>Agapeya</v>
          </cell>
          <cell r="AG130" t="str">
            <v>AGM</v>
          </cell>
          <cell r="AH130" t="str">
            <v>Eco-High</v>
          </cell>
          <cell r="AI130" t="str">
            <v>West</v>
          </cell>
          <cell r="AJ130" t="str">
            <v>With LTS</v>
          </cell>
          <cell r="AK130" t="str">
            <v>Unaffected lots</v>
          </cell>
          <cell r="AL130" t="str">
            <v>Unaffected lots</v>
          </cell>
          <cell r="AM130" t="b">
            <v>1</v>
          </cell>
          <cell r="AN130" t="str">
            <v>YES</v>
          </cell>
          <cell r="AO130" t="str">
            <v>2024 Batch</v>
          </cell>
          <cell r="AP130">
            <v>70</v>
          </cell>
          <cell r="AQ130" t="str">
            <v>PCS-04-034407</v>
          </cell>
          <cell r="AR130" t="b">
            <v>1</v>
          </cell>
          <cell r="AS130" t="str">
            <v>Done</v>
          </cell>
          <cell r="AT130" t="str">
            <v>2024 Batch</v>
          </cell>
          <cell r="AU130">
            <v>7</v>
          </cell>
          <cell r="AV130">
            <v>8</v>
          </cell>
          <cell r="AW130" t="str">
            <v>H+L</v>
          </cell>
          <cell r="AX130">
            <v>70</v>
          </cell>
          <cell r="AY130">
            <v>50</v>
          </cell>
          <cell r="AZ130" t="str">
            <v>Duplex</v>
          </cell>
          <cell r="BA130">
            <v>1</v>
          </cell>
          <cell r="BB130" t="str">
            <v>326 - With Partition</v>
          </cell>
          <cell r="BC130" t="str">
            <v>With Partition</v>
          </cell>
          <cell r="BD130" t="str">
            <v>Slant</v>
          </cell>
          <cell r="BE130" t="str">
            <v>With Partition</v>
          </cell>
          <cell r="BF130" t="str">
            <v>GREEN</v>
          </cell>
          <cell r="BG130">
            <v>2707500</v>
          </cell>
          <cell r="BH130">
            <v>2850000</v>
          </cell>
          <cell r="BI130">
            <v>100000</v>
          </cell>
          <cell r="BJ130">
            <v>2750000</v>
          </cell>
          <cell r="BK130">
            <v>0</v>
          </cell>
          <cell r="BL130">
            <v>2750000</v>
          </cell>
        </row>
        <row r="131">
          <cell r="D131" t="str">
            <v>OS</v>
          </cell>
          <cell r="E131"/>
          <cell r="F131">
            <v>111</v>
          </cell>
          <cell r="G131" t="str">
            <v>SOLD</v>
          </cell>
          <cell r="H131" t="str">
            <v>OS</v>
          </cell>
          <cell r="I131" t="str">
            <v>OS</v>
          </cell>
          <cell r="J131" t="str">
            <v>OS</v>
          </cell>
          <cell r="K131" t="str">
            <v>OS</v>
          </cell>
          <cell r="L131" t="str">
            <v>OS</v>
          </cell>
          <cell r="M131" t="str">
            <v>OS</v>
          </cell>
          <cell r="N131" t="str">
            <v>OS</v>
          </cell>
          <cell r="O131" t="str">
            <v>OS</v>
          </cell>
          <cell r="P131" t="str">
            <v>OS</v>
          </cell>
          <cell r="Q131" t="str">
            <v>OS</v>
          </cell>
          <cell r="R131" t="str">
            <v>OS</v>
          </cell>
          <cell r="S131" t="str">
            <v>OS</v>
          </cell>
          <cell r="T131" t="str">
            <v>OS</v>
          </cell>
          <cell r="U131" t="str">
            <v>OS</v>
          </cell>
          <cell r="V131" t="str">
            <v>OS</v>
          </cell>
          <cell r="W131" t="str">
            <v>OS</v>
          </cell>
          <cell r="X131" t="str">
            <v>OS</v>
          </cell>
          <cell r="Y131" t="str">
            <v>OS</v>
          </cell>
          <cell r="Z131" t="str">
            <v>OS</v>
          </cell>
          <cell r="AA131" t="str">
            <v>OS</v>
          </cell>
          <cell r="AB131" t="str">
            <v>OS</v>
          </cell>
          <cell r="AC131" t="str">
            <v>OS</v>
          </cell>
          <cell r="AD131" t="str">
            <v>AGM-01-007-009</v>
          </cell>
          <cell r="AE131" t="str">
            <v xml:space="preserve">Raemulan Lands, Inc. </v>
          </cell>
          <cell r="AF131" t="str">
            <v>Agapeya</v>
          </cell>
          <cell r="AG131" t="str">
            <v>AGM</v>
          </cell>
          <cell r="AH131" t="str">
            <v>Eco-High</v>
          </cell>
          <cell r="AI131" t="str">
            <v>West</v>
          </cell>
          <cell r="AJ131" t="str">
            <v>With LTS</v>
          </cell>
          <cell r="AK131" t="str">
            <v>Unaffected lots</v>
          </cell>
          <cell r="AL131" t="str">
            <v>Unaffected lots</v>
          </cell>
          <cell r="AM131" t="b">
            <v>1</v>
          </cell>
          <cell r="AN131" t="str">
            <v>YES</v>
          </cell>
          <cell r="AO131" t="str">
            <v>2024 Batch</v>
          </cell>
          <cell r="AP131">
            <v>70</v>
          </cell>
          <cell r="AQ131" t="str">
            <v>PCS-04-034407</v>
          </cell>
          <cell r="AR131" t="b">
            <v>1</v>
          </cell>
          <cell r="AS131" t="str">
            <v>Done</v>
          </cell>
          <cell r="AT131" t="str">
            <v>2024 Batch</v>
          </cell>
          <cell r="AU131">
            <v>7</v>
          </cell>
          <cell r="AV131">
            <v>9</v>
          </cell>
          <cell r="AW131" t="str">
            <v>H+L</v>
          </cell>
          <cell r="AX131">
            <v>70</v>
          </cell>
          <cell r="AY131">
            <v>50</v>
          </cell>
          <cell r="AZ131" t="str">
            <v>Duplex</v>
          </cell>
          <cell r="BA131">
            <v>1</v>
          </cell>
          <cell r="BB131" t="str">
            <v>326 - With Partition</v>
          </cell>
          <cell r="BC131" t="str">
            <v>With Partition</v>
          </cell>
          <cell r="BD131" t="str">
            <v>Flat</v>
          </cell>
          <cell r="BE131" t="str">
            <v>With Partition</v>
          </cell>
          <cell r="BF131" t="str">
            <v>GREEN</v>
          </cell>
          <cell r="BG131">
            <v>2700000</v>
          </cell>
          <cell r="BH131">
            <v>2850000</v>
          </cell>
          <cell r="BI131">
            <v>100000</v>
          </cell>
          <cell r="BJ131">
            <v>2750000</v>
          </cell>
          <cell r="BK131">
            <v>0</v>
          </cell>
          <cell r="BL131">
            <v>2750000</v>
          </cell>
        </row>
        <row r="132">
          <cell r="D132" t="str">
            <v>OS</v>
          </cell>
          <cell r="E132"/>
          <cell r="F132">
            <v>112</v>
          </cell>
          <cell r="G132" t="str">
            <v>SOLD</v>
          </cell>
          <cell r="H132" t="str">
            <v>OS</v>
          </cell>
          <cell r="I132" t="str">
            <v>OS</v>
          </cell>
          <cell r="J132" t="str">
            <v>OS</v>
          </cell>
          <cell r="K132" t="str">
            <v>OS</v>
          </cell>
          <cell r="L132" t="str">
            <v>OS</v>
          </cell>
          <cell r="M132" t="str">
            <v>OS</v>
          </cell>
          <cell r="N132" t="str">
            <v>OS</v>
          </cell>
          <cell r="O132" t="str">
            <v>OS</v>
          </cell>
          <cell r="P132" t="str">
            <v>OS</v>
          </cell>
          <cell r="Q132" t="str">
            <v>OS</v>
          </cell>
          <cell r="R132" t="str">
            <v>OS</v>
          </cell>
          <cell r="S132" t="str">
            <v>OS</v>
          </cell>
          <cell r="T132" t="str">
            <v>OS</v>
          </cell>
          <cell r="U132" t="str">
            <v>OS</v>
          </cell>
          <cell r="V132" t="str">
            <v>OS</v>
          </cell>
          <cell r="W132" t="str">
            <v>OS</v>
          </cell>
          <cell r="X132" t="str">
            <v>OS</v>
          </cell>
          <cell r="Y132" t="str">
            <v>OS</v>
          </cell>
          <cell r="Z132" t="str">
            <v>OS</v>
          </cell>
          <cell r="AA132" t="str">
            <v>OS</v>
          </cell>
          <cell r="AB132" t="str">
            <v>OS</v>
          </cell>
          <cell r="AC132" t="str">
            <v>OS</v>
          </cell>
          <cell r="AD132" t="str">
            <v>AGM-01-007-010</v>
          </cell>
          <cell r="AE132" t="str">
            <v xml:space="preserve">Raemulan Lands, Inc. </v>
          </cell>
          <cell r="AF132" t="str">
            <v>Agapeya</v>
          </cell>
          <cell r="AG132" t="str">
            <v>AGM</v>
          </cell>
          <cell r="AH132" t="str">
            <v>Eco-High</v>
          </cell>
          <cell r="AI132" t="str">
            <v>West</v>
          </cell>
          <cell r="AJ132" t="str">
            <v>With LTS</v>
          </cell>
          <cell r="AK132" t="str">
            <v>Unaffected lots</v>
          </cell>
          <cell r="AL132" t="str">
            <v>Unaffected lots</v>
          </cell>
          <cell r="AM132" t="b">
            <v>1</v>
          </cell>
          <cell r="AN132" t="str">
            <v>YES</v>
          </cell>
          <cell r="AO132" t="str">
            <v>2024 Batch</v>
          </cell>
          <cell r="AP132">
            <v>70</v>
          </cell>
          <cell r="AQ132" t="str">
            <v>PCS-04-034407</v>
          </cell>
          <cell r="AR132" t="b">
            <v>1</v>
          </cell>
          <cell r="AS132" t="str">
            <v>Done</v>
          </cell>
          <cell r="AT132" t="str">
            <v>2024 Batch</v>
          </cell>
          <cell r="AU132">
            <v>7</v>
          </cell>
          <cell r="AV132">
            <v>10</v>
          </cell>
          <cell r="AW132" t="str">
            <v>H+L</v>
          </cell>
          <cell r="AX132">
            <v>70</v>
          </cell>
          <cell r="AY132">
            <v>50</v>
          </cell>
          <cell r="AZ132" t="str">
            <v>Duplex</v>
          </cell>
          <cell r="BA132">
            <v>1</v>
          </cell>
          <cell r="BB132" t="str">
            <v>326 - With Partition</v>
          </cell>
          <cell r="BC132" t="str">
            <v>With Partition</v>
          </cell>
          <cell r="BD132" t="str">
            <v>Flat</v>
          </cell>
          <cell r="BE132" t="str">
            <v>With Partition</v>
          </cell>
          <cell r="BF132" t="str">
            <v>PURPLE</v>
          </cell>
          <cell r="BG132">
            <v>2750000</v>
          </cell>
          <cell r="BH132">
            <v>2850000</v>
          </cell>
          <cell r="BI132">
            <v>100000</v>
          </cell>
          <cell r="BJ132">
            <v>2750000</v>
          </cell>
          <cell r="BK132">
            <v>0</v>
          </cell>
          <cell r="BL132">
            <v>2750000</v>
          </cell>
        </row>
        <row r="133">
          <cell r="D133" t="str">
            <v>OS</v>
          </cell>
          <cell r="E133"/>
          <cell r="F133">
            <v>113</v>
          </cell>
          <cell r="G133" t="str">
            <v>SOLD</v>
          </cell>
          <cell r="H133" t="str">
            <v>OS</v>
          </cell>
          <cell r="I133" t="str">
            <v>OS</v>
          </cell>
          <cell r="J133" t="str">
            <v>OS</v>
          </cell>
          <cell r="K133" t="str">
            <v>OS</v>
          </cell>
          <cell r="L133" t="str">
            <v>OS</v>
          </cell>
          <cell r="M133" t="str">
            <v>OS</v>
          </cell>
          <cell r="N133" t="str">
            <v>OS</v>
          </cell>
          <cell r="O133" t="str">
            <v>OS</v>
          </cell>
          <cell r="P133" t="str">
            <v>OS</v>
          </cell>
          <cell r="Q133" t="str">
            <v>OS</v>
          </cell>
          <cell r="R133" t="str">
            <v>OS</v>
          </cell>
          <cell r="S133" t="str">
            <v>OS</v>
          </cell>
          <cell r="T133" t="str">
            <v>OS</v>
          </cell>
          <cell r="U133" t="str">
            <v>OS</v>
          </cell>
          <cell r="V133" t="str">
            <v>OS</v>
          </cell>
          <cell r="W133" t="str">
            <v>OS</v>
          </cell>
          <cell r="X133" t="str">
            <v>OS</v>
          </cell>
          <cell r="Y133" t="str">
            <v>OS</v>
          </cell>
          <cell r="Z133" t="str">
            <v>OS</v>
          </cell>
          <cell r="AA133" t="str">
            <v>OS</v>
          </cell>
          <cell r="AB133" t="str">
            <v>OS</v>
          </cell>
          <cell r="AC133" t="str">
            <v>OS</v>
          </cell>
          <cell r="AD133" t="str">
            <v>AGM-01-007-011</v>
          </cell>
          <cell r="AE133" t="str">
            <v xml:space="preserve">Raemulan Lands, Inc. </v>
          </cell>
          <cell r="AF133" t="str">
            <v>Agapeya</v>
          </cell>
          <cell r="AG133" t="str">
            <v>AGM</v>
          </cell>
          <cell r="AH133" t="str">
            <v>Eco-High</v>
          </cell>
          <cell r="AI133" t="str">
            <v>West</v>
          </cell>
          <cell r="AJ133" t="str">
            <v>With LTS</v>
          </cell>
          <cell r="AK133" t="str">
            <v>Unaffected lots</v>
          </cell>
          <cell r="AL133" t="str">
            <v>Unaffected lots</v>
          </cell>
          <cell r="AM133" t="b">
            <v>1</v>
          </cell>
          <cell r="AN133" t="str">
            <v>YES</v>
          </cell>
          <cell r="AO133" t="str">
            <v>2024 Batch</v>
          </cell>
          <cell r="AP133">
            <v>70</v>
          </cell>
          <cell r="AQ133" t="str">
            <v>PCS-04-034407</v>
          </cell>
          <cell r="AR133" t="b">
            <v>1</v>
          </cell>
          <cell r="AS133" t="str">
            <v>Done</v>
          </cell>
          <cell r="AT133" t="str">
            <v>2024 Batch</v>
          </cell>
          <cell r="AU133">
            <v>7</v>
          </cell>
          <cell r="AV133">
            <v>11</v>
          </cell>
          <cell r="AW133" t="str">
            <v>H+L</v>
          </cell>
          <cell r="AX133">
            <v>70</v>
          </cell>
          <cell r="AY133">
            <v>50</v>
          </cell>
          <cell r="AZ133" t="str">
            <v>Duplex</v>
          </cell>
          <cell r="BA133">
            <v>1</v>
          </cell>
          <cell r="BB133" t="str">
            <v>326 - With Partition</v>
          </cell>
          <cell r="BC133" t="str">
            <v>With Partition</v>
          </cell>
          <cell r="BD133" t="str">
            <v>Slant</v>
          </cell>
          <cell r="BE133" t="str">
            <v>With Partition</v>
          </cell>
          <cell r="BF133" t="str">
            <v>PURPLE</v>
          </cell>
          <cell r="BG133">
            <v>2750000</v>
          </cell>
          <cell r="BH133">
            <v>2850000</v>
          </cell>
          <cell r="BI133">
            <v>100000</v>
          </cell>
          <cell r="BJ133">
            <v>2750000</v>
          </cell>
          <cell r="BK133">
            <v>0</v>
          </cell>
          <cell r="BL133">
            <v>2750000</v>
          </cell>
        </row>
        <row r="134">
          <cell r="D134" t="str">
            <v>OS</v>
          </cell>
          <cell r="E134"/>
          <cell r="F134">
            <v>114</v>
          </cell>
          <cell r="G134" t="str">
            <v>SOLD</v>
          </cell>
          <cell r="H134" t="str">
            <v>OS</v>
          </cell>
          <cell r="I134" t="str">
            <v>OS</v>
          </cell>
          <cell r="J134" t="str">
            <v>OS</v>
          </cell>
          <cell r="K134" t="str">
            <v>OS</v>
          </cell>
          <cell r="L134" t="str">
            <v>OS</v>
          </cell>
          <cell r="M134" t="str">
            <v>OS</v>
          </cell>
          <cell r="N134" t="str">
            <v>OS</v>
          </cell>
          <cell r="O134" t="str">
            <v>OS</v>
          </cell>
          <cell r="P134" t="str">
            <v>OS</v>
          </cell>
          <cell r="Q134" t="str">
            <v>OS</v>
          </cell>
          <cell r="R134" t="str">
            <v>OS</v>
          </cell>
          <cell r="S134" t="str">
            <v>OS</v>
          </cell>
          <cell r="T134" t="str">
            <v>OS</v>
          </cell>
          <cell r="U134" t="str">
            <v>OS</v>
          </cell>
          <cell r="V134" t="str">
            <v>OS</v>
          </cell>
          <cell r="W134" t="str">
            <v>OS</v>
          </cell>
          <cell r="X134" t="str">
            <v>OS</v>
          </cell>
          <cell r="Y134" t="str">
            <v>OS</v>
          </cell>
          <cell r="Z134" t="str">
            <v>OS</v>
          </cell>
          <cell r="AA134" t="str">
            <v>OS</v>
          </cell>
          <cell r="AB134" t="str">
            <v>OS</v>
          </cell>
          <cell r="AC134" t="str">
            <v>OS</v>
          </cell>
          <cell r="AD134" t="str">
            <v>AGM-01-007-012</v>
          </cell>
          <cell r="AE134" t="str">
            <v xml:space="preserve">Raemulan Lands, Inc. </v>
          </cell>
          <cell r="AF134" t="str">
            <v>Agapeya</v>
          </cell>
          <cell r="AG134" t="str">
            <v>AGM</v>
          </cell>
          <cell r="AH134" t="str">
            <v>Eco-High</v>
          </cell>
          <cell r="AI134" t="str">
            <v>West</v>
          </cell>
          <cell r="AJ134" t="str">
            <v>With LTS</v>
          </cell>
          <cell r="AK134" t="str">
            <v>Unaffected lots</v>
          </cell>
          <cell r="AL134" t="str">
            <v>Unaffected lots</v>
          </cell>
          <cell r="AM134" t="b">
            <v>1</v>
          </cell>
          <cell r="AN134" t="str">
            <v>YES</v>
          </cell>
          <cell r="AO134" t="str">
            <v>2024 Batch</v>
          </cell>
          <cell r="AP134">
            <v>70</v>
          </cell>
          <cell r="AQ134" t="str">
            <v>PCS-04-034407</v>
          </cell>
          <cell r="AR134" t="b">
            <v>1</v>
          </cell>
          <cell r="AS134" t="str">
            <v>Done</v>
          </cell>
          <cell r="AT134" t="str">
            <v>2024 Batch</v>
          </cell>
          <cell r="AU134">
            <v>7</v>
          </cell>
          <cell r="AV134">
            <v>12</v>
          </cell>
          <cell r="AW134" t="str">
            <v>H+L</v>
          </cell>
          <cell r="AX134">
            <v>70</v>
          </cell>
          <cell r="AY134">
            <v>50</v>
          </cell>
          <cell r="AZ134" t="str">
            <v>Duplex</v>
          </cell>
          <cell r="BA134">
            <v>1</v>
          </cell>
          <cell r="BB134" t="str">
            <v>326 - With Partition</v>
          </cell>
          <cell r="BC134" t="str">
            <v>With Partition</v>
          </cell>
          <cell r="BD134" t="str">
            <v>Slant</v>
          </cell>
          <cell r="BE134" t="str">
            <v>With Partition</v>
          </cell>
          <cell r="BF134" t="str">
            <v>PURPLE</v>
          </cell>
          <cell r="BG134">
            <v>2750000</v>
          </cell>
          <cell r="BH134">
            <v>2850000</v>
          </cell>
          <cell r="BI134">
            <v>100000</v>
          </cell>
          <cell r="BJ134">
            <v>2750000</v>
          </cell>
          <cell r="BK134">
            <v>0</v>
          </cell>
          <cell r="BL134">
            <v>2750000</v>
          </cell>
        </row>
        <row r="135">
          <cell r="D135" t="str">
            <v>OS</v>
          </cell>
          <cell r="E135"/>
          <cell r="F135">
            <v>115</v>
          </cell>
          <cell r="G135" t="str">
            <v>SOLD</v>
          </cell>
          <cell r="H135" t="str">
            <v>OS</v>
          </cell>
          <cell r="I135" t="str">
            <v>OS</v>
          </cell>
          <cell r="J135" t="str">
            <v>OS</v>
          </cell>
          <cell r="K135" t="str">
            <v>OS</v>
          </cell>
          <cell r="L135" t="str">
            <v>OS</v>
          </cell>
          <cell r="M135" t="str">
            <v>OS</v>
          </cell>
          <cell r="N135" t="str">
            <v>OS</v>
          </cell>
          <cell r="O135" t="str">
            <v>OS</v>
          </cell>
          <cell r="P135" t="str">
            <v>OS</v>
          </cell>
          <cell r="Q135" t="str">
            <v>OS</v>
          </cell>
          <cell r="R135" t="str">
            <v>OS</v>
          </cell>
          <cell r="S135" t="str">
            <v>OS</v>
          </cell>
          <cell r="T135" t="str">
            <v>OS</v>
          </cell>
          <cell r="U135" t="str">
            <v>OS</v>
          </cell>
          <cell r="V135" t="str">
            <v>OS</v>
          </cell>
          <cell r="W135" t="str">
            <v>OS</v>
          </cell>
          <cell r="X135" t="str">
            <v>OS</v>
          </cell>
          <cell r="Y135" t="str">
            <v>OS</v>
          </cell>
          <cell r="Z135" t="str">
            <v>OS</v>
          </cell>
          <cell r="AA135" t="str">
            <v>OS</v>
          </cell>
          <cell r="AB135" t="str">
            <v>OS</v>
          </cell>
          <cell r="AC135" t="str">
            <v>OS</v>
          </cell>
          <cell r="AD135" t="str">
            <v>AGM-01-007-013</v>
          </cell>
          <cell r="AE135" t="str">
            <v xml:space="preserve">Raemulan Lands, Inc. </v>
          </cell>
          <cell r="AF135" t="str">
            <v>Agapeya</v>
          </cell>
          <cell r="AG135" t="str">
            <v>AGM</v>
          </cell>
          <cell r="AH135" t="str">
            <v>Eco-High</v>
          </cell>
          <cell r="AI135" t="str">
            <v>West</v>
          </cell>
          <cell r="AJ135" t="str">
            <v>With LTS</v>
          </cell>
          <cell r="AK135" t="str">
            <v>Unaffected lots</v>
          </cell>
          <cell r="AL135" t="str">
            <v>Unaffected lots</v>
          </cell>
          <cell r="AM135" t="b">
            <v>1</v>
          </cell>
          <cell r="AN135" t="str">
            <v>YES</v>
          </cell>
          <cell r="AO135" t="str">
            <v>2024 Batch</v>
          </cell>
          <cell r="AP135">
            <v>70</v>
          </cell>
          <cell r="AQ135" t="str">
            <v>PCS-04-034407</v>
          </cell>
          <cell r="AR135" t="b">
            <v>1</v>
          </cell>
          <cell r="AS135" t="str">
            <v>Done</v>
          </cell>
          <cell r="AT135" t="str">
            <v>2024 Batch</v>
          </cell>
          <cell r="AU135">
            <v>7</v>
          </cell>
          <cell r="AV135">
            <v>13</v>
          </cell>
          <cell r="AW135" t="str">
            <v>H+L</v>
          </cell>
          <cell r="AX135">
            <v>70</v>
          </cell>
          <cell r="AY135">
            <v>50</v>
          </cell>
          <cell r="AZ135" t="str">
            <v>Duplex</v>
          </cell>
          <cell r="BA135">
            <v>1</v>
          </cell>
          <cell r="BB135" t="str">
            <v>326 - With Partition</v>
          </cell>
          <cell r="BC135" t="str">
            <v>With Partition</v>
          </cell>
          <cell r="BD135" t="str">
            <v>Flat</v>
          </cell>
          <cell r="BE135" t="str">
            <v>With Partition</v>
          </cell>
          <cell r="BF135" t="str">
            <v>PURPLE</v>
          </cell>
          <cell r="BG135">
            <v>2750000</v>
          </cell>
          <cell r="BH135">
            <v>2850000</v>
          </cell>
          <cell r="BI135">
            <v>100000</v>
          </cell>
          <cell r="BJ135">
            <v>2750000</v>
          </cell>
          <cell r="BK135">
            <v>0</v>
          </cell>
          <cell r="BL135">
            <v>2750000</v>
          </cell>
        </row>
        <row r="136">
          <cell r="D136" t="str">
            <v>OS</v>
          </cell>
          <cell r="E136"/>
          <cell r="F136">
            <v>116</v>
          </cell>
          <cell r="G136" t="str">
            <v>SOLD</v>
          </cell>
          <cell r="H136" t="str">
            <v>OS</v>
          </cell>
          <cell r="I136" t="str">
            <v>OS</v>
          </cell>
          <cell r="J136" t="str">
            <v>OS</v>
          </cell>
          <cell r="K136" t="str">
            <v>OS</v>
          </cell>
          <cell r="L136" t="str">
            <v>OS</v>
          </cell>
          <cell r="M136" t="str">
            <v>OS</v>
          </cell>
          <cell r="N136" t="str">
            <v>OS</v>
          </cell>
          <cell r="O136" t="str">
            <v>OS</v>
          </cell>
          <cell r="P136" t="str">
            <v>OS</v>
          </cell>
          <cell r="Q136" t="str">
            <v>OS</v>
          </cell>
          <cell r="R136" t="str">
            <v>OS</v>
          </cell>
          <cell r="S136" t="str">
            <v>OS</v>
          </cell>
          <cell r="T136" t="str">
            <v>OS</v>
          </cell>
          <cell r="U136" t="str">
            <v>OS</v>
          </cell>
          <cell r="V136" t="str">
            <v>OS</v>
          </cell>
          <cell r="W136" t="str">
            <v>OS</v>
          </cell>
          <cell r="X136" t="str">
            <v>OS</v>
          </cell>
          <cell r="Y136" t="str">
            <v>OS</v>
          </cell>
          <cell r="Z136" t="str">
            <v>OS</v>
          </cell>
          <cell r="AA136" t="str">
            <v>OS</v>
          </cell>
          <cell r="AB136" t="str">
            <v>OS</v>
          </cell>
          <cell r="AC136" t="str">
            <v>OS</v>
          </cell>
          <cell r="AD136" t="str">
            <v>AGM-01-007-014</v>
          </cell>
          <cell r="AE136" t="str">
            <v xml:space="preserve">Raemulan Lands, Inc. </v>
          </cell>
          <cell r="AF136" t="str">
            <v>Agapeya</v>
          </cell>
          <cell r="AG136" t="str">
            <v>AGM</v>
          </cell>
          <cell r="AH136" t="str">
            <v>Eco-High</v>
          </cell>
          <cell r="AI136" t="str">
            <v>West</v>
          </cell>
          <cell r="AJ136" t="str">
            <v>With LTS</v>
          </cell>
          <cell r="AK136" t="str">
            <v>Unaffected lots</v>
          </cell>
          <cell r="AL136" t="str">
            <v>Unaffected lots</v>
          </cell>
          <cell r="AM136" t="b">
            <v>1</v>
          </cell>
          <cell r="AN136" t="str">
            <v>YES</v>
          </cell>
          <cell r="AO136" t="str">
            <v>2024 Batch</v>
          </cell>
          <cell r="AP136">
            <v>70</v>
          </cell>
          <cell r="AQ136" t="str">
            <v>PCS-04-034407</v>
          </cell>
          <cell r="AR136" t="b">
            <v>1</v>
          </cell>
          <cell r="AS136" t="str">
            <v>Done</v>
          </cell>
          <cell r="AT136" t="str">
            <v>2024 Batch</v>
          </cell>
          <cell r="AU136">
            <v>7</v>
          </cell>
          <cell r="AV136">
            <v>14</v>
          </cell>
          <cell r="AW136" t="str">
            <v>H+L</v>
          </cell>
          <cell r="AX136">
            <v>70</v>
          </cell>
          <cell r="AY136">
            <v>50</v>
          </cell>
          <cell r="AZ136" t="str">
            <v>Duplex</v>
          </cell>
          <cell r="BA136">
            <v>1</v>
          </cell>
          <cell r="BB136" t="str">
            <v>326 - With Partition</v>
          </cell>
          <cell r="BC136" t="str">
            <v>With Partition</v>
          </cell>
          <cell r="BD136" t="str">
            <v>Flat</v>
          </cell>
          <cell r="BE136" t="str">
            <v>With Partition</v>
          </cell>
          <cell r="BF136" t="str">
            <v>PINK</v>
          </cell>
          <cell r="BG136">
            <v>2750000</v>
          </cell>
          <cell r="BH136">
            <v>2850000</v>
          </cell>
          <cell r="BI136">
            <v>100000</v>
          </cell>
          <cell r="BJ136">
            <v>2750000</v>
          </cell>
          <cell r="BK136">
            <v>0</v>
          </cell>
          <cell r="BL136">
            <v>2750000</v>
          </cell>
        </row>
        <row r="137">
          <cell r="D137" t="str">
            <v>OS</v>
          </cell>
          <cell r="E137"/>
          <cell r="F137">
            <v>117</v>
          </cell>
          <cell r="G137" t="str">
            <v>SOLD</v>
          </cell>
          <cell r="H137" t="str">
            <v>OS</v>
          </cell>
          <cell r="I137" t="str">
            <v>OS</v>
          </cell>
          <cell r="J137" t="str">
            <v>OS</v>
          </cell>
          <cell r="K137" t="str">
            <v>OS</v>
          </cell>
          <cell r="L137" t="str">
            <v>OS</v>
          </cell>
          <cell r="M137" t="str">
            <v>OS</v>
          </cell>
          <cell r="N137" t="str">
            <v>OS</v>
          </cell>
          <cell r="O137" t="str">
            <v>OS</v>
          </cell>
          <cell r="P137" t="str">
            <v>OS</v>
          </cell>
          <cell r="Q137" t="str">
            <v>OS</v>
          </cell>
          <cell r="R137" t="str">
            <v>OS</v>
          </cell>
          <cell r="S137" t="str">
            <v>OS</v>
          </cell>
          <cell r="T137" t="str">
            <v>OS</v>
          </cell>
          <cell r="U137" t="str">
            <v>OS</v>
          </cell>
          <cell r="V137" t="str">
            <v>OS</v>
          </cell>
          <cell r="W137" t="str">
            <v>OS</v>
          </cell>
          <cell r="X137" t="str">
            <v>OS</v>
          </cell>
          <cell r="Y137" t="str">
            <v>OS</v>
          </cell>
          <cell r="Z137" t="str">
            <v>OS</v>
          </cell>
          <cell r="AA137" t="str">
            <v>OS</v>
          </cell>
          <cell r="AB137" t="str">
            <v>OS</v>
          </cell>
          <cell r="AC137" t="str">
            <v>OS</v>
          </cell>
          <cell r="AD137" t="str">
            <v>AGM-01-007-015</v>
          </cell>
          <cell r="AE137" t="str">
            <v xml:space="preserve">Raemulan Lands, Inc. </v>
          </cell>
          <cell r="AF137" t="str">
            <v>Agapeya</v>
          </cell>
          <cell r="AG137" t="str">
            <v>AGM</v>
          </cell>
          <cell r="AH137" t="str">
            <v>Eco-High</v>
          </cell>
          <cell r="AI137" t="str">
            <v>West</v>
          </cell>
          <cell r="AJ137" t="str">
            <v>With LTS</v>
          </cell>
          <cell r="AK137" t="str">
            <v>Unaffected lots</v>
          </cell>
          <cell r="AL137" t="str">
            <v>Unaffected lots</v>
          </cell>
          <cell r="AM137" t="b">
            <v>1</v>
          </cell>
          <cell r="AN137" t="str">
            <v>YES</v>
          </cell>
          <cell r="AO137" t="str">
            <v>2024 Batch</v>
          </cell>
          <cell r="AP137">
            <v>70</v>
          </cell>
          <cell r="AQ137" t="str">
            <v>PCS-04-034407</v>
          </cell>
          <cell r="AR137" t="b">
            <v>1</v>
          </cell>
          <cell r="AS137" t="str">
            <v>Done</v>
          </cell>
          <cell r="AT137" t="str">
            <v>2024 Batch</v>
          </cell>
          <cell r="AU137">
            <v>7</v>
          </cell>
          <cell r="AV137">
            <v>15</v>
          </cell>
          <cell r="AW137" t="str">
            <v>H+L</v>
          </cell>
          <cell r="AX137">
            <v>70</v>
          </cell>
          <cell r="AY137">
            <v>50</v>
          </cell>
          <cell r="AZ137" t="str">
            <v>Duplex</v>
          </cell>
          <cell r="BA137">
            <v>1</v>
          </cell>
          <cell r="BB137" t="str">
            <v>326 - With Partition</v>
          </cell>
          <cell r="BC137" t="str">
            <v>With Partition</v>
          </cell>
          <cell r="BD137" t="str">
            <v>Slant</v>
          </cell>
          <cell r="BE137" t="str">
            <v>With Partition</v>
          </cell>
          <cell r="BF137" t="str">
            <v>PINK</v>
          </cell>
          <cell r="BG137">
            <v>2707500</v>
          </cell>
          <cell r="BH137">
            <v>2850000</v>
          </cell>
          <cell r="BI137">
            <v>100000</v>
          </cell>
          <cell r="BJ137">
            <v>2750000</v>
          </cell>
          <cell r="BK137">
            <v>0</v>
          </cell>
          <cell r="BL137">
            <v>2750000</v>
          </cell>
        </row>
        <row r="138">
          <cell r="D138" t="str">
            <v>OS</v>
          </cell>
          <cell r="E138"/>
          <cell r="F138">
            <v>118</v>
          </cell>
          <cell r="G138" t="str">
            <v>SOLD</v>
          </cell>
          <cell r="H138" t="str">
            <v>OS</v>
          </cell>
          <cell r="I138" t="str">
            <v>OS</v>
          </cell>
          <cell r="J138" t="str">
            <v>OS</v>
          </cell>
          <cell r="K138" t="str">
            <v>OS</v>
          </cell>
          <cell r="L138" t="str">
            <v>OS</v>
          </cell>
          <cell r="M138" t="str">
            <v>OS</v>
          </cell>
          <cell r="N138" t="str">
            <v>OS</v>
          </cell>
          <cell r="O138" t="str">
            <v>OS</v>
          </cell>
          <cell r="P138" t="str">
            <v>OS</v>
          </cell>
          <cell r="Q138" t="str">
            <v>OS</v>
          </cell>
          <cell r="R138" t="str">
            <v>OS</v>
          </cell>
          <cell r="S138" t="str">
            <v>OS</v>
          </cell>
          <cell r="T138" t="str">
            <v>OS</v>
          </cell>
          <cell r="U138" t="str">
            <v>OS</v>
          </cell>
          <cell r="V138" t="str">
            <v>OS</v>
          </cell>
          <cell r="W138" t="str">
            <v>OS</v>
          </cell>
          <cell r="X138" t="str">
            <v>OS</v>
          </cell>
          <cell r="Y138" t="str">
            <v>OS</v>
          </cell>
          <cell r="Z138" t="str">
            <v>OS</v>
          </cell>
          <cell r="AA138" t="str">
            <v>OS</v>
          </cell>
          <cell r="AB138" t="str">
            <v>OS</v>
          </cell>
          <cell r="AC138" t="str">
            <v>OS</v>
          </cell>
          <cell r="AD138" t="str">
            <v>AGM-01-007-016</v>
          </cell>
          <cell r="AE138" t="str">
            <v xml:space="preserve">Raemulan Lands, Inc. </v>
          </cell>
          <cell r="AF138" t="str">
            <v>Agapeya</v>
          </cell>
          <cell r="AG138" t="str">
            <v>AGM</v>
          </cell>
          <cell r="AH138" t="str">
            <v>Eco-High</v>
          </cell>
          <cell r="AI138" t="str">
            <v>West</v>
          </cell>
          <cell r="AJ138" t="str">
            <v>With LTS</v>
          </cell>
          <cell r="AK138" t="str">
            <v>Unaffected lots</v>
          </cell>
          <cell r="AL138" t="str">
            <v>Unaffected lots</v>
          </cell>
          <cell r="AM138" t="b">
            <v>1</v>
          </cell>
          <cell r="AN138" t="str">
            <v>YES</v>
          </cell>
          <cell r="AO138" t="str">
            <v>2024 Batch</v>
          </cell>
          <cell r="AP138">
            <v>70</v>
          </cell>
          <cell r="AQ138" t="str">
            <v>PCS-04-034407</v>
          </cell>
          <cell r="AR138" t="b">
            <v>1</v>
          </cell>
          <cell r="AS138" t="str">
            <v>Done</v>
          </cell>
          <cell r="AT138" t="str">
            <v>2024 Batch</v>
          </cell>
          <cell r="AU138">
            <v>7</v>
          </cell>
          <cell r="AV138">
            <v>16</v>
          </cell>
          <cell r="AW138" t="str">
            <v>H+L</v>
          </cell>
          <cell r="AX138">
            <v>70</v>
          </cell>
          <cell r="AY138">
            <v>50</v>
          </cell>
          <cell r="AZ138" t="str">
            <v>Duplex</v>
          </cell>
          <cell r="BA138">
            <v>1</v>
          </cell>
          <cell r="BB138" t="str">
            <v>326 - With Partition</v>
          </cell>
          <cell r="BC138" t="str">
            <v>With Partition</v>
          </cell>
          <cell r="BD138" t="str">
            <v>Slant</v>
          </cell>
          <cell r="BE138" t="str">
            <v>With Partition</v>
          </cell>
          <cell r="BF138" t="str">
            <v>PINK</v>
          </cell>
          <cell r="BG138">
            <v>2700000</v>
          </cell>
          <cell r="BH138">
            <v>2850000</v>
          </cell>
          <cell r="BI138">
            <v>100000</v>
          </cell>
          <cell r="BJ138">
            <v>2750000</v>
          </cell>
          <cell r="BK138">
            <v>0</v>
          </cell>
          <cell r="BL138">
            <v>2750000</v>
          </cell>
        </row>
        <row r="139">
          <cell r="D139" t="str">
            <v>OS</v>
          </cell>
          <cell r="E139"/>
          <cell r="F139">
            <v>119</v>
          </cell>
          <cell r="G139" t="str">
            <v>SOLD</v>
          </cell>
          <cell r="H139" t="str">
            <v>OS</v>
          </cell>
          <cell r="I139" t="str">
            <v>OS</v>
          </cell>
          <cell r="J139" t="str">
            <v>OS</v>
          </cell>
          <cell r="K139" t="str">
            <v>OS</v>
          </cell>
          <cell r="L139" t="str">
            <v>OS</v>
          </cell>
          <cell r="M139" t="str">
            <v>OS</v>
          </cell>
          <cell r="N139" t="str">
            <v>OS</v>
          </cell>
          <cell r="O139" t="str">
            <v>OS</v>
          </cell>
          <cell r="P139" t="str">
            <v>OS</v>
          </cell>
          <cell r="Q139" t="str">
            <v>OS</v>
          </cell>
          <cell r="R139" t="str">
            <v>OS</v>
          </cell>
          <cell r="S139" t="str">
            <v>OS</v>
          </cell>
          <cell r="T139" t="str">
            <v>OS</v>
          </cell>
          <cell r="U139" t="str">
            <v>OS</v>
          </cell>
          <cell r="V139" t="str">
            <v>OS</v>
          </cell>
          <cell r="W139" t="str">
            <v>OS</v>
          </cell>
          <cell r="X139" t="str">
            <v>OS</v>
          </cell>
          <cell r="Y139" t="str">
            <v>OS</v>
          </cell>
          <cell r="Z139" t="str">
            <v>OS</v>
          </cell>
          <cell r="AA139" t="str">
            <v>OS</v>
          </cell>
          <cell r="AB139" t="str">
            <v>OS</v>
          </cell>
          <cell r="AC139" t="str">
            <v>OS</v>
          </cell>
          <cell r="AD139" t="str">
            <v>AGM-01-007-017</v>
          </cell>
          <cell r="AE139" t="str">
            <v xml:space="preserve">Raemulan Lands, Inc. </v>
          </cell>
          <cell r="AF139" t="str">
            <v>Agapeya</v>
          </cell>
          <cell r="AG139" t="str">
            <v>AGM</v>
          </cell>
          <cell r="AH139" t="str">
            <v>Eco-High</v>
          </cell>
          <cell r="AI139" t="str">
            <v>West</v>
          </cell>
          <cell r="AJ139" t="str">
            <v>With LTS</v>
          </cell>
          <cell r="AK139" t="str">
            <v>Unaffected lots</v>
          </cell>
          <cell r="AL139" t="str">
            <v>Unaffected lots</v>
          </cell>
          <cell r="AM139" t="b">
            <v>1</v>
          </cell>
          <cell r="AN139" t="str">
            <v>YES</v>
          </cell>
          <cell r="AO139" t="str">
            <v>2024 Batch</v>
          </cell>
          <cell r="AP139">
            <v>70</v>
          </cell>
          <cell r="AQ139" t="str">
            <v>PCS-04-034407</v>
          </cell>
          <cell r="AR139" t="b">
            <v>1</v>
          </cell>
          <cell r="AS139" t="str">
            <v>Done</v>
          </cell>
          <cell r="AT139" t="str">
            <v>2024 Batch</v>
          </cell>
          <cell r="AU139">
            <v>7</v>
          </cell>
          <cell r="AV139">
            <v>17</v>
          </cell>
          <cell r="AW139" t="str">
            <v>H+L</v>
          </cell>
          <cell r="AX139">
            <v>70</v>
          </cell>
          <cell r="AY139">
            <v>50</v>
          </cell>
          <cell r="AZ139" t="str">
            <v>Duplex</v>
          </cell>
          <cell r="BA139">
            <v>1</v>
          </cell>
          <cell r="BB139" t="str">
            <v>326 - With Partition</v>
          </cell>
          <cell r="BC139" t="str">
            <v>With Partition</v>
          </cell>
          <cell r="BD139" t="str">
            <v>Flat</v>
          </cell>
          <cell r="BE139" t="str">
            <v>With Partition</v>
          </cell>
          <cell r="BF139" t="str">
            <v>PINK</v>
          </cell>
          <cell r="BG139">
            <v>2707500</v>
          </cell>
          <cell r="BH139">
            <v>2850000</v>
          </cell>
          <cell r="BI139">
            <v>100000</v>
          </cell>
          <cell r="BJ139">
            <v>2750000</v>
          </cell>
          <cell r="BK139">
            <v>0</v>
          </cell>
          <cell r="BL139">
            <v>2750000</v>
          </cell>
        </row>
        <row r="140">
          <cell r="D140" t="str">
            <v>OS</v>
          </cell>
          <cell r="E140"/>
          <cell r="F140">
            <v>120</v>
          </cell>
          <cell r="G140" t="str">
            <v>SOLD</v>
          </cell>
          <cell r="H140" t="str">
            <v>OS</v>
          </cell>
          <cell r="I140" t="str">
            <v>OS</v>
          </cell>
          <cell r="J140" t="str">
            <v>OS</v>
          </cell>
          <cell r="K140" t="str">
            <v>OS</v>
          </cell>
          <cell r="L140" t="str">
            <v>OS</v>
          </cell>
          <cell r="M140" t="str">
            <v>OS</v>
          </cell>
          <cell r="N140" t="str">
            <v>OS</v>
          </cell>
          <cell r="O140" t="str">
            <v>OS</v>
          </cell>
          <cell r="P140" t="str">
            <v>OS</v>
          </cell>
          <cell r="Q140" t="str">
            <v>OS</v>
          </cell>
          <cell r="R140" t="str">
            <v>OS</v>
          </cell>
          <cell r="S140" t="str">
            <v>OS</v>
          </cell>
          <cell r="T140" t="str">
            <v>OS</v>
          </cell>
          <cell r="U140" t="str">
            <v>OS</v>
          </cell>
          <cell r="V140" t="str">
            <v>OS</v>
          </cell>
          <cell r="W140" t="str">
            <v>OS</v>
          </cell>
          <cell r="X140" t="str">
            <v>OS</v>
          </cell>
          <cell r="Y140" t="str">
            <v>OS</v>
          </cell>
          <cell r="Z140" t="str">
            <v>OS</v>
          </cell>
          <cell r="AA140" t="str">
            <v>OS</v>
          </cell>
          <cell r="AB140" t="str">
            <v>OS</v>
          </cell>
          <cell r="AC140" t="str">
            <v>OS</v>
          </cell>
          <cell r="AD140" t="str">
            <v>AGM-01-007-018</v>
          </cell>
          <cell r="AE140" t="str">
            <v xml:space="preserve">Raemulan Lands, Inc. </v>
          </cell>
          <cell r="AF140" t="str">
            <v>Agapeya</v>
          </cell>
          <cell r="AG140" t="str">
            <v>AGM</v>
          </cell>
          <cell r="AH140" t="str">
            <v>Eco-High</v>
          </cell>
          <cell r="AI140" t="str">
            <v>West</v>
          </cell>
          <cell r="AJ140" t="str">
            <v>With LTS</v>
          </cell>
          <cell r="AK140" t="str">
            <v>Unaffected lots</v>
          </cell>
          <cell r="AL140" t="str">
            <v>Unaffected lots</v>
          </cell>
          <cell r="AM140" t="b">
            <v>1</v>
          </cell>
          <cell r="AN140" t="str">
            <v>YES</v>
          </cell>
          <cell r="AO140" t="str">
            <v>2024 Batch</v>
          </cell>
          <cell r="AP140">
            <v>70</v>
          </cell>
          <cell r="AQ140" t="str">
            <v>PCS-04-034407</v>
          </cell>
          <cell r="AR140" t="b">
            <v>1</v>
          </cell>
          <cell r="AS140" t="str">
            <v>Done</v>
          </cell>
          <cell r="AT140" t="str">
            <v>2024 Batch</v>
          </cell>
          <cell r="AU140">
            <v>7</v>
          </cell>
          <cell r="AV140">
            <v>18</v>
          </cell>
          <cell r="AW140" t="str">
            <v>H+L</v>
          </cell>
          <cell r="AX140">
            <v>70</v>
          </cell>
          <cell r="AY140">
            <v>50</v>
          </cell>
          <cell r="AZ140" t="str">
            <v>Duplex</v>
          </cell>
          <cell r="BA140">
            <v>1</v>
          </cell>
          <cell r="BB140" t="str">
            <v>326 - With Partition</v>
          </cell>
          <cell r="BC140" t="str">
            <v>With Partition</v>
          </cell>
          <cell r="BD140" t="str">
            <v>Flat</v>
          </cell>
          <cell r="BE140" t="str">
            <v>With Partition</v>
          </cell>
          <cell r="BF140" t="str">
            <v>YELLOW</v>
          </cell>
          <cell r="BG140">
            <v>2707500</v>
          </cell>
          <cell r="BH140">
            <v>2850000</v>
          </cell>
          <cell r="BI140">
            <v>100000</v>
          </cell>
          <cell r="BJ140">
            <v>2750000</v>
          </cell>
          <cell r="BK140">
            <v>0</v>
          </cell>
          <cell r="BL140">
            <v>2750000</v>
          </cell>
        </row>
        <row r="141">
          <cell r="D141" t="str">
            <v>OS</v>
          </cell>
          <cell r="E141"/>
          <cell r="F141">
            <v>121</v>
          </cell>
          <cell r="G141" t="str">
            <v>SOLD</v>
          </cell>
          <cell r="H141" t="str">
            <v>OS</v>
          </cell>
          <cell r="I141" t="str">
            <v>OS</v>
          </cell>
          <cell r="J141" t="str">
            <v>OS</v>
          </cell>
          <cell r="K141" t="str">
            <v>OS</v>
          </cell>
          <cell r="L141" t="str">
            <v>OS</v>
          </cell>
          <cell r="M141" t="str">
            <v>OS</v>
          </cell>
          <cell r="N141" t="str">
            <v>OS</v>
          </cell>
          <cell r="O141" t="str">
            <v>OS</v>
          </cell>
          <cell r="P141" t="str">
            <v>OS</v>
          </cell>
          <cell r="Q141" t="str">
            <v>OS</v>
          </cell>
          <cell r="R141" t="str">
            <v>OS</v>
          </cell>
          <cell r="S141" t="str">
            <v>OS</v>
          </cell>
          <cell r="T141" t="str">
            <v>OS</v>
          </cell>
          <cell r="U141" t="str">
            <v>OS</v>
          </cell>
          <cell r="V141" t="str">
            <v>OS</v>
          </cell>
          <cell r="W141" t="str">
            <v>OS</v>
          </cell>
          <cell r="X141" t="str">
            <v>OS</v>
          </cell>
          <cell r="Y141" t="str">
            <v>OS</v>
          </cell>
          <cell r="Z141" t="str">
            <v>OS</v>
          </cell>
          <cell r="AA141" t="str">
            <v>OS</v>
          </cell>
          <cell r="AB141" t="str">
            <v>OS</v>
          </cell>
          <cell r="AC141" t="str">
            <v>OS</v>
          </cell>
          <cell r="AD141" t="str">
            <v>AGM-01-007-019</v>
          </cell>
          <cell r="AE141" t="str">
            <v xml:space="preserve">Raemulan Lands, Inc. </v>
          </cell>
          <cell r="AF141" t="str">
            <v>Agapeya</v>
          </cell>
          <cell r="AG141" t="str">
            <v>AGM</v>
          </cell>
          <cell r="AH141" t="str">
            <v>Eco-High</v>
          </cell>
          <cell r="AI141" t="str">
            <v>West</v>
          </cell>
          <cell r="AJ141" t="str">
            <v>With LTS</v>
          </cell>
          <cell r="AK141" t="str">
            <v>Unaffected lots</v>
          </cell>
          <cell r="AL141" t="str">
            <v>Unaffected lots</v>
          </cell>
          <cell r="AM141" t="b">
            <v>1</v>
          </cell>
          <cell r="AN141" t="str">
            <v>YES</v>
          </cell>
          <cell r="AO141" t="str">
            <v>2024 Batch</v>
          </cell>
          <cell r="AP141">
            <v>70</v>
          </cell>
          <cell r="AQ141" t="str">
            <v>PCS-04-034407</v>
          </cell>
          <cell r="AR141" t="b">
            <v>1</v>
          </cell>
          <cell r="AS141" t="str">
            <v>Done</v>
          </cell>
          <cell r="AT141" t="str">
            <v>2024 Batch</v>
          </cell>
          <cell r="AU141">
            <v>7</v>
          </cell>
          <cell r="AV141">
            <v>19</v>
          </cell>
          <cell r="AW141" t="str">
            <v>H+L</v>
          </cell>
          <cell r="AX141">
            <v>70</v>
          </cell>
          <cell r="AY141">
            <v>50</v>
          </cell>
          <cell r="AZ141" t="str">
            <v>Duplex</v>
          </cell>
          <cell r="BA141">
            <v>1</v>
          </cell>
          <cell r="BB141" t="str">
            <v>326 - With Partition</v>
          </cell>
          <cell r="BC141" t="str">
            <v>With Partition</v>
          </cell>
          <cell r="BD141" t="str">
            <v>Slant</v>
          </cell>
          <cell r="BE141" t="str">
            <v>With Partition</v>
          </cell>
          <cell r="BF141" t="str">
            <v>YELLOW</v>
          </cell>
          <cell r="BG141">
            <v>2700000</v>
          </cell>
          <cell r="BH141">
            <v>2850000</v>
          </cell>
          <cell r="BI141">
            <v>100000</v>
          </cell>
          <cell r="BJ141">
            <v>2750000</v>
          </cell>
          <cell r="BK141">
            <v>0</v>
          </cell>
          <cell r="BL141">
            <v>2750000</v>
          </cell>
        </row>
        <row r="142">
          <cell r="D142" t="str">
            <v>OS</v>
          </cell>
          <cell r="E142"/>
          <cell r="F142">
            <v>122</v>
          </cell>
          <cell r="G142" t="str">
            <v>SOLD</v>
          </cell>
          <cell r="H142" t="str">
            <v>OS</v>
          </cell>
          <cell r="I142" t="str">
            <v>OS</v>
          </cell>
          <cell r="J142" t="str">
            <v>OS</v>
          </cell>
          <cell r="K142" t="str">
            <v>TS</v>
          </cell>
          <cell r="L142" t="str">
            <v>TS</v>
          </cell>
          <cell r="M142" t="str">
            <v>OS</v>
          </cell>
          <cell r="N142" t="str">
            <v>OS</v>
          </cell>
          <cell r="O142" t="str">
            <v>OS</v>
          </cell>
          <cell r="P142" t="str">
            <v>OS</v>
          </cell>
          <cell r="Q142" t="str">
            <v>OS</v>
          </cell>
          <cell r="R142" t="str">
            <v>OS</v>
          </cell>
          <cell r="S142" t="str">
            <v>OS</v>
          </cell>
          <cell r="T142" t="str">
            <v>OS</v>
          </cell>
          <cell r="U142" t="str">
            <v>OS</v>
          </cell>
          <cell r="V142" t="str">
            <v>OS</v>
          </cell>
          <cell r="W142" t="str">
            <v>OS</v>
          </cell>
          <cell r="X142" t="str">
            <v>OS</v>
          </cell>
          <cell r="Y142" t="str">
            <v>OS</v>
          </cell>
          <cell r="Z142" t="str">
            <v>OS</v>
          </cell>
          <cell r="AA142" t="str">
            <v>OS</v>
          </cell>
          <cell r="AB142" t="str">
            <v>OS</v>
          </cell>
          <cell r="AC142" t="str">
            <v>OS</v>
          </cell>
          <cell r="AD142" t="str">
            <v>AGM-01-007-020</v>
          </cell>
          <cell r="AE142" t="str">
            <v xml:space="preserve">Raemulan Lands, Inc. </v>
          </cell>
          <cell r="AF142" t="str">
            <v>Agapeya</v>
          </cell>
          <cell r="AG142" t="str">
            <v>AGM</v>
          </cell>
          <cell r="AH142" t="str">
            <v>Eco-High</v>
          </cell>
          <cell r="AI142" t="str">
            <v>West</v>
          </cell>
          <cell r="AJ142" t="str">
            <v>With LTS</v>
          </cell>
          <cell r="AK142" t="str">
            <v>Unaffected lots</v>
          </cell>
          <cell r="AL142" t="str">
            <v>Unaffected lots</v>
          </cell>
          <cell r="AM142" t="b">
            <v>1</v>
          </cell>
          <cell r="AN142" t="str">
            <v>YES</v>
          </cell>
          <cell r="AO142" t="str">
            <v>2024 Batch</v>
          </cell>
          <cell r="AP142">
            <v>70</v>
          </cell>
          <cell r="AQ142" t="str">
            <v>PCS-04-034407</v>
          </cell>
          <cell r="AR142" t="b">
            <v>1</v>
          </cell>
          <cell r="AS142" t="str">
            <v>Done</v>
          </cell>
          <cell r="AT142" t="str">
            <v>2024 Batch</v>
          </cell>
          <cell r="AU142">
            <v>7</v>
          </cell>
          <cell r="AV142">
            <v>20</v>
          </cell>
          <cell r="AW142" t="str">
            <v>H+L</v>
          </cell>
          <cell r="AX142">
            <v>70</v>
          </cell>
          <cell r="AY142">
            <v>50</v>
          </cell>
          <cell r="AZ142" t="str">
            <v>Duplex</v>
          </cell>
          <cell r="BA142">
            <v>1</v>
          </cell>
          <cell r="BB142" t="str">
            <v>326 - With Partition</v>
          </cell>
          <cell r="BC142" t="str">
            <v>With Partition</v>
          </cell>
          <cell r="BD142" t="str">
            <v>Slant</v>
          </cell>
          <cell r="BE142" t="str">
            <v>With Partition</v>
          </cell>
          <cell r="BF142" t="str">
            <v>YELLOW</v>
          </cell>
          <cell r="BG142">
            <v>2707500</v>
          </cell>
          <cell r="BH142">
            <v>2850000</v>
          </cell>
          <cell r="BI142">
            <v>100000</v>
          </cell>
          <cell r="BJ142">
            <v>2750000</v>
          </cell>
          <cell r="BK142">
            <v>0</v>
          </cell>
          <cell r="BL142">
            <v>2750000</v>
          </cell>
        </row>
        <row r="143">
          <cell r="D143" t="str">
            <v>OS</v>
          </cell>
          <cell r="E143"/>
          <cell r="F143">
            <v>123</v>
          </cell>
          <cell r="G143" t="str">
            <v>SOLD</v>
          </cell>
          <cell r="H143" t="str">
            <v>OS</v>
          </cell>
          <cell r="I143" t="str">
            <v>OS</v>
          </cell>
          <cell r="J143" t="str">
            <v>OS</v>
          </cell>
          <cell r="K143" t="str">
            <v>OS</v>
          </cell>
          <cell r="L143" t="str">
            <v>OS</v>
          </cell>
          <cell r="M143" t="str">
            <v>OS</v>
          </cell>
          <cell r="N143" t="str">
            <v>OS</v>
          </cell>
          <cell r="O143" t="str">
            <v>OS</v>
          </cell>
          <cell r="P143" t="str">
            <v>OS</v>
          </cell>
          <cell r="Q143" t="str">
            <v>OS</v>
          </cell>
          <cell r="R143" t="str">
            <v>OS</v>
          </cell>
          <cell r="S143" t="str">
            <v>OS</v>
          </cell>
          <cell r="T143" t="str">
            <v>OS</v>
          </cell>
          <cell r="U143" t="str">
            <v>OS</v>
          </cell>
          <cell r="V143" t="str">
            <v>OS</v>
          </cell>
          <cell r="W143" t="str">
            <v>OS</v>
          </cell>
          <cell r="X143" t="str">
            <v>OS</v>
          </cell>
          <cell r="Y143" t="str">
            <v>OS</v>
          </cell>
          <cell r="Z143" t="str">
            <v>OS</v>
          </cell>
          <cell r="AA143" t="str">
            <v>OS</v>
          </cell>
          <cell r="AB143" t="str">
            <v>OS</v>
          </cell>
          <cell r="AC143" t="str">
            <v>OS</v>
          </cell>
          <cell r="AD143" t="str">
            <v>AGM-01-007-021</v>
          </cell>
          <cell r="AE143" t="str">
            <v xml:space="preserve">Raemulan Lands, Inc. </v>
          </cell>
          <cell r="AF143" t="str">
            <v>Agapeya</v>
          </cell>
          <cell r="AG143" t="str">
            <v>AGM</v>
          </cell>
          <cell r="AH143" t="str">
            <v>Eco-High</v>
          </cell>
          <cell r="AI143" t="str">
            <v>West</v>
          </cell>
          <cell r="AJ143" t="str">
            <v>With LTS</v>
          </cell>
          <cell r="AK143" t="str">
            <v>Unaffected lots</v>
          </cell>
          <cell r="AL143" t="str">
            <v>Unaffected lots</v>
          </cell>
          <cell r="AM143" t="b">
            <v>1</v>
          </cell>
          <cell r="AN143" t="str">
            <v>YES</v>
          </cell>
          <cell r="AO143" t="str">
            <v>2024 Batch</v>
          </cell>
          <cell r="AP143">
            <v>78</v>
          </cell>
          <cell r="AQ143" t="str">
            <v>PCS-04-034407</v>
          </cell>
          <cell r="AR143" t="b">
            <v>1</v>
          </cell>
          <cell r="AS143" t="str">
            <v>Done</v>
          </cell>
          <cell r="AT143" t="str">
            <v>2024 Batch</v>
          </cell>
          <cell r="AU143">
            <v>7</v>
          </cell>
          <cell r="AV143">
            <v>21</v>
          </cell>
          <cell r="AW143" t="str">
            <v>H+L</v>
          </cell>
          <cell r="AX143">
            <v>78</v>
          </cell>
          <cell r="AY143">
            <v>50</v>
          </cell>
          <cell r="AZ143" t="str">
            <v>Duplex</v>
          </cell>
          <cell r="BA143">
            <v>1</v>
          </cell>
          <cell r="BB143" t="str">
            <v>326 - With Partition</v>
          </cell>
          <cell r="BC143" t="str">
            <v>With Partition</v>
          </cell>
          <cell r="BD143" t="str">
            <v>Flat</v>
          </cell>
          <cell r="BE143" t="str">
            <v>With Partition</v>
          </cell>
          <cell r="BF143" t="str">
            <v>YELLOW</v>
          </cell>
          <cell r="BG143">
            <v>2973500</v>
          </cell>
          <cell r="BH143">
            <v>2970000</v>
          </cell>
          <cell r="BI143">
            <v>100000</v>
          </cell>
          <cell r="BJ143">
            <v>2870000</v>
          </cell>
          <cell r="BK143">
            <v>0</v>
          </cell>
          <cell r="BL143">
            <v>2870000</v>
          </cell>
        </row>
        <row r="144">
          <cell r="D144" t="str">
            <v>OS</v>
          </cell>
          <cell r="E144"/>
          <cell r="F144">
            <v>124</v>
          </cell>
          <cell r="G144" t="str">
            <v>SOLD</v>
          </cell>
          <cell r="H144" t="str">
            <v>OS</v>
          </cell>
          <cell r="I144" t="str">
            <v>OS</v>
          </cell>
          <cell r="J144" t="str">
            <v>OS</v>
          </cell>
          <cell r="K144" t="str">
            <v>OS</v>
          </cell>
          <cell r="L144" t="str">
            <v>OS</v>
          </cell>
          <cell r="M144" t="str">
            <v>OS</v>
          </cell>
          <cell r="N144" t="str">
            <v>OS</v>
          </cell>
          <cell r="O144" t="str">
            <v>OS</v>
          </cell>
          <cell r="P144" t="str">
            <v>OS</v>
          </cell>
          <cell r="Q144" t="str">
            <v>OS</v>
          </cell>
          <cell r="R144" t="str">
            <v>OS</v>
          </cell>
          <cell r="S144" t="str">
            <v>OS</v>
          </cell>
          <cell r="T144" t="str">
            <v>OS</v>
          </cell>
          <cell r="U144" t="str">
            <v>OS</v>
          </cell>
          <cell r="V144" t="str">
            <v>OS</v>
          </cell>
          <cell r="W144" t="str">
            <v>OS</v>
          </cell>
          <cell r="X144" t="str">
            <v>OS</v>
          </cell>
          <cell r="Y144" t="str">
            <v>OS</v>
          </cell>
          <cell r="Z144" t="str">
            <v>OS</v>
          </cell>
          <cell r="AA144" t="str">
            <v>OS</v>
          </cell>
          <cell r="AB144" t="str">
            <v>OS</v>
          </cell>
          <cell r="AC144" t="str">
            <v>OS</v>
          </cell>
          <cell r="AD144" t="str">
            <v>AGM-01-007-022</v>
          </cell>
          <cell r="AE144" t="str">
            <v xml:space="preserve">Raemulan Lands, Inc. </v>
          </cell>
          <cell r="AF144" t="str">
            <v>Agapeya</v>
          </cell>
          <cell r="AG144" t="str">
            <v>AGM</v>
          </cell>
          <cell r="AH144" t="str">
            <v>Eco-High</v>
          </cell>
          <cell r="AI144" t="str">
            <v>West</v>
          </cell>
          <cell r="AJ144" t="str">
            <v>With LTS</v>
          </cell>
          <cell r="AK144" t="str">
            <v>Unaffected lots</v>
          </cell>
          <cell r="AL144" t="str">
            <v>Unaffected lots</v>
          </cell>
          <cell r="AM144" t="b">
            <v>1</v>
          </cell>
          <cell r="AN144" t="str">
            <v>YES</v>
          </cell>
          <cell r="AO144" t="str">
            <v>2024 Batch</v>
          </cell>
          <cell r="AP144">
            <v>78</v>
          </cell>
          <cell r="AQ144" t="str">
            <v>PCS-04-034407</v>
          </cell>
          <cell r="AR144" t="b">
            <v>1</v>
          </cell>
          <cell r="AS144" t="str">
            <v>Done</v>
          </cell>
          <cell r="AT144" t="str">
            <v>2024 Batch</v>
          </cell>
          <cell r="AU144">
            <v>7</v>
          </cell>
          <cell r="AV144">
            <v>22</v>
          </cell>
          <cell r="AW144" t="str">
            <v>H+L</v>
          </cell>
          <cell r="AX144">
            <v>78</v>
          </cell>
          <cell r="AY144">
            <v>50</v>
          </cell>
          <cell r="AZ144" t="str">
            <v>Duplex</v>
          </cell>
          <cell r="BA144">
            <v>1</v>
          </cell>
          <cell r="BB144" t="str">
            <v>326 - With Partition</v>
          </cell>
          <cell r="BC144" t="str">
            <v>With Partition</v>
          </cell>
          <cell r="BD144" t="str">
            <v>Slant</v>
          </cell>
          <cell r="BE144" t="str">
            <v>With Partition</v>
          </cell>
          <cell r="BF144" t="str">
            <v>GREEN</v>
          </cell>
          <cell r="BG144">
            <v>2870000</v>
          </cell>
          <cell r="BH144">
            <v>2970000</v>
          </cell>
          <cell r="BI144">
            <v>100000</v>
          </cell>
          <cell r="BJ144">
            <v>2870000</v>
          </cell>
          <cell r="BK144">
            <v>0</v>
          </cell>
          <cell r="BL144">
            <v>2870000</v>
          </cell>
        </row>
        <row r="145">
          <cell r="D145" t="str">
            <v>OS</v>
          </cell>
          <cell r="E145"/>
          <cell r="F145">
            <v>125</v>
          </cell>
          <cell r="G145" t="str">
            <v>SOLD</v>
          </cell>
          <cell r="H145" t="str">
            <v>OS</v>
          </cell>
          <cell r="I145" t="str">
            <v>OS</v>
          </cell>
          <cell r="J145" t="str">
            <v>OS</v>
          </cell>
          <cell r="K145" t="str">
            <v>OS</v>
          </cell>
          <cell r="L145" t="str">
            <v>OS</v>
          </cell>
          <cell r="M145" t="str">
            <v>OS</v>
          </cell>
          <cell r="N145" t="str">
            <v>OS</v>
          </cell>
          <cell r="O145" t="str">
            <v>OS</v>
          </cell>
          <cell r="P145" t="str">
            <v>OS</v>
          </cell>
          <cell r="Q145" t="str">
            <v>OS</v>
          </cell>
          <cell r="R145" t="str">
            <v>OS</v>
          </cell>
          <cell r="S145" t="str">
            <v>OS</v>
          </cell>
          <cell r="T145" t="str">
            <v>OS</v>
          </cell>
          <cell r="U145" t="str">
            <v>OS</v>
          </cell>
          <cell r="V145" t="str">
            <v>OS</v>
          </cell>
          <cell r="W145" t="str">
            <v>OS</v>
          </cell>
          <cell r="X145" t="str">
            <v>OS</v>
          </cell>
          <cell r="Y145" t="str">
            <v>OS</v>
          </cell>
          <cell r="Z145" t="str">
            <v>OS</v>
          </cell>
          <cell r="AA145" t="str">
            <v>OS</v>
          </cell>
          <cell r="AB145" t="str">
            <v>OS</v>
          </cell>
          <cell r="AC145" t="str">
            <v>OS</v>
          </cell>
          <cell r="AD145" t="str">
            <v>AGM-01-007-023</v>
          </cell>
          <cell r="AE145" t="str">
            <v xml:space="preserve">Raemulan Lands, Inc. </v>
          </cell>
          <cell r="AF145" t="str">
            <v>Agapeya</v>
          </cell>
          <cell r="AG145" t="str">
            <v>AGM</v>
          </cell>
          <cell r="AH145" t="str">
            <v>Eco-High</v>
          </cell>
          <cell r="AI145" t="str">
            <v>West</v>
          </cell>
          <cell r="AJ145" t="str">
            <v>With LTS</v>
          </cell>
          <cell r="AK145" t="str">
            <v>Unaffected lots</v>
          </cell>
          <cell r="AL145" t="str">
            <v>Unaffected lots</v>
          </cell>
          <cell r="AM145" t="b">
            <v>1</v>
          </cell>
          <cell r="AN145" t="str">
            <v>YES</v>
          </cell>
          <cell r="AO145" t="str">
            <v>2024 Batch</v>
          </cell>
          <cell r="AP145">
            <v>70</v>
          </cell>
          <cell r="AQ145" t="str">
            <v>PCS-04-034407</v>
          </cell>
          <cell r="AR145" t="b">
            <v>1</v>
          </cell>
          <cell r="AS145" t="str">
            <v>Done</v>
          </cell>
          <cell r="AT145" t="str">
            <v>2024 Batch</v>
          </cell>
          <cell r="AU145">
            <v>7</v>
          </cell>
          <cell r="AV145">
            <v>23</v>
          </cell>
          <cell r="AW145" t="str">
            <v>H+L</v>
          </cell>
          <cell r="AX145">
            <v>70</v>
          </cell>
          <cell r="AY145">
            <v>50</v>
          </cell>
          <cell r="AZ145" t="str">
            <v>Duplex</v>
          </cell>
          <cell r="BA145">
            <v>1</v>
          </cell>
          <cell r="BB145" t="str">
            <v>326 - With Partition</v>
          </cell>
          <cell r="BC145" t="str">
            <v>With Partition</v>
          </cell>
          <cell r="BD145" t="str">
            <v>Flat</v>
          </cell>
          <cell r="BE145" t="str">
            <v>With Partition</v>
          </cell>
          <cell r="BF145" t="str">
            <v>GREEN</v>
          </cell>
          <cell r="BG145">
            <v>2574000</v>
          </cell>
          <cell r="BH145">
            <v>2850000</v>
          </cell>
          <cell r="BI145">
            <v>100000</v>
          </cell>
          <cell r="BJ145">
            <v>2750000</v>
          </cell>
          <cell r="BK145">
            <v>0</v>
          </cell>
          <cell r="BL145">
            <v>2750000</v>
          </cell>
        </row>
        <row r="146">
          <cell r="D146" t="str">
            <v>OS</v>
          </cell>
          <cell r="E146"/>
          <cell r="F146">
            <v>126</v>
          </cell>
          <cell r="G146" t="str">
            <v>SOLD</v>
          </cell>
          <cell r="H146" t="str">
            <v>OS</v>
          </cell>
          <cell r="I146" t="str">
            <v>OS</v>
          </cell>
          <cell r="J146" t="str">
            <v>OS</v>
          </cell>
          <cell r="K146" t="str">
            <v>OS</v>
          </cell>
          <cell r="L146" t="str">
            <v>OS</v>
          </cell>
          <cell r="M146" t="str">
            <v>OS</v>
          </cell>
          <cell r="N146" t="str">
            <v>OS</v>
          </cell>
          <cell r="O146" t="str">
            <v>OS</v>
          </cell>
          <cell r="P146" t="str">
            <v>OS</v>
          </cell>
          <cell r="Q146" t="str">
            <v>OS</v>
          </cell>
          <cell r="R146" t="str">
            <v>OS</v>
          </cell>
          <cell r="S146" t="str">
            <v>OS</v>
          </cell>
          <cell r="T146" t="str">
            <v>OS</v>
          </cell>
          <cell r="U146" t="str">
            <v>OS</v>
          </cell>
          <cell r="V146" t="str">
            <v>OS</v>
          </cell>
          <cell r="W146" t="str">
            <v>OS</v>
          </cell>
          <cell r="X146" t="str">
            <v>OS</v>
          </cell>
          <cell r="Y146" t="str">
            <v>OS</v>
          </cell>
          <cell r="Z146" t="str">
            <v>OS</v>
          </cell>
          <cell r="AA146" t="str">
            <v>OS</v>
          </cell>
          <cell r="AB146" t="str">
            <v>OS</v>
          </cell>
          <cell r="AC146" t="str">
            <v>OS</v>
          </cell>
          <cell r="AD146" t="str">
            <v>AGM-01-007-024</v>
          </cell>
          <cell r="AE146" t="str">
            <v xml:space="preserve">Raemulan Lands, Inc. </v>
          </cell>
          <cell r="AF146" t="str">
            <v>Agapeya</v>
          </cell>
          <cell r="AG146" t="str">
            <v>AGM</v>
          </cell>
          <cell r="AH146" t="str">
            <v>Eco-High</v>
          </cell>
          <cell r="AI146" t="str">
            <v>West</v>
          </cell>
          <cell r="AJ146" t="str">
            <v>With LTS</v>
          </cell>
          <cell r="AK146" t="str">
            <v>Unaffected lots</v>
          </cell>
          <cell r="AL146" t="str">
            <v>Unaffected lots</v>
          </cell>
          <cell r="AM146" t="b">
            <v>1</v>
          </cell>
          <cell r="AN146" t="str">
            <v>YES</v>
          </cell>
          <cell r="AO146" t="str">
            <v>2024 Batch</v>
          </cell>
          <cell r="AP146">
            <v>70</v>
          </cell>
          <cell r="AQ146" t="str">
            <v>PCS-04-034407</v>
          </cell>
          <cell r="AR146" t="b">
            <v>1</v>
          </cell>
          <cell r="AS146" t="str">
            <v>Done</v>
          </cell>
          <cell r="AT146" t="str">
            <v>2024 Batch</v>
          </cell>
          <cell r="AU146">
            <v>7</v>
          </cell>
          <cell r="AV146">
            <v>24</v>
          </cell>
          <cell r="AW146" t="str">
            <v>H+L</v>
          </cell>
          <cell r="AX146">
            <v>70</v>
          </cell>
          <cell r="AY146">
            <v>50</v>
          </cell>
          <cell r="AZ146" t="str">
            <v>Duplex</v>
          </cell>
          <cell r="BA146">
            <v>1</v>
          </cell>
          <cell r="BB146" t="str">
            <v>326 - With Partition</v>
          </cell>
          <cell r="BC146" t="str">
            <v>With Partition</v>
          </cell>
          <cell r="BD146" t="str">
            <v>Flat</v>
          </cell>
          <cell r="BE146" t="str">
            <v>With Partition</v>
          </cell>
          <cell r="BF146" t="str">
            <v>GREEN</v>
          </cell>
          <cell r="BG146">
            <v>2707500</v>
          </cell>
          <cell r="BH146">
            <v>2850000</v>
          </cell>
          <cell r="BI146">
            <v>100000</v>
          </cell>
          <cell r="BJ146">
            <v>2750000</v>
          </cell>
          <cell r="BK146">
            <v>0</v>
          </cell>
          <cell r="BL146">
            <v>2750000</v>
          </cell>
        </row>
        <row r="147">
          <cell r="D147" t="str">
            <v>OS</v>
          </cell>
          <cell r="E147"/>
          <cell r="F147">
            <v>127</v>
          </cell>
          <cell r="G147" t="str">
            <v>SOLD</v>
          </cell>
          <cell r="H147" t="str">
            <v>OS</v>
          </cell>
          <cell r="I147" t="str">
            <v>OS</v>
          </cell>
          <cell r="J147" t="str">
            <v>OS</v>
          </cell>
          <cell r="K147" t="str">
            <v>OS</v>
          </cell>
          <cell r="L147" t="str">
            <v>OS</v>
          </cell>
          <cell r="M147" t="str">
            <v>OS</v>
          </cell>
          <cell r="N147" t="str">
            <v>OS</v>
          </cell>
          <cell r="O147" t="str">
            <v>OS</v>
          </cell>
          <cell r="P147" t="str">
            <v>OS</v>
          </cell>
          <cell r="Q147" t="str">
            <v>OS</v>
          </cell>
          <cell r="R147" t="str">
            <v>OS</v>
          </cell>
          <cell r="S147" t="str">
            <v>OS</v>
          </cell>
          <cell r="T147" t="str">
            <v>OS</v>
          </cell>
          <cell r="U147" t="str">
            <v>OS</v>
          </cell>
          <cell r="V147" t="str">
            <v>OS</v>
          </cell>
          <cell r="W147" t="str">
            <v>OS</v>
          </cell>
          <cell r="X147" t="str">
            <v>OS</v>
          </cell>
          <cell r="Y147" t="str">
            <v>OS</v>
          </cell>
          <cell r="Z147" t="str">
            <v>OS</v>
          </cell>
          <cell r="AA147" t="str">
            <v>OS</v>
          </cell>
          <cell r="AB147" t="str">
            <v>OS</v>
          </cell>
          <cell r="AC147" t="str">
            <v>OS</v>
          </cell>
          <cell r="AD147" t="str">
            <v>AGM-01-007-025</v>
          </cell>
          <cell r="AE147" t="str">
            <v xml:space="preserve">Raemulan Lands, Inc. </v>
          </cell>
          <cell r="AF147" t="str">
            <v>Agapeya</v>
          </cell>
          <cell r="AG147" t="str">
            <v>AGM</v>
          </cell>
          <cell r="AH147" t="str">
            <v>Eco-High</v>
          </cell>
          <cell r="AI147" t="str">
            <v>West</v>
          </cell>
          <cell r="AJ147" t="str">
            <v>With LTS</v>
          </cell>
          <cell r="AK147" t="str">
            <v>Unaffected lots</v>
          </cell>
          <cell r="AL147" t="str">
            <v>Unaffected lots</v>
          </cell>
          <cell r="AM147" t="b">
            <v>1</v>
          </cell>
          <cell r="AN147" t="str">
            <v>YES</v>
          </cell>
          <cell r="AO147" t="str">
            <v>2024 Batch</v>
          </cell>
          <cell r="AP147">
            <v>70</v>
          </cell>
          <cell r="AQ147" t="str">
            <v>PCS-04-034407</v>
          </cell>
          <cell r="AR147" t="b">
            <v>1</v>
          </cell>
          <cell r="AS147" t="str">
            <v>Done</v>
          </cell>
          <cell r="AT147" t="str">
            <v>2024 Batch</v>
          </cell>
          <cell r="AU147">
            <v>7</v>
          </cell>
          <cell r="AV147">
            <v>25</v>
          </cell>
          <cell r="AW147" t="str">
            <v>H+L</v>
          </cell>
          <cell r="AX147">
            <v>70</v>
          </cell>
          <cell r="AY147">
            <v>50</v>
          </cell>
          <cell r="AZ147" t="str">
            <v>Duplex</v>
          </cell>
          <cell r="BA147">
            <v>1</v>
          </cell>
          <cell r="BB147" t="str">
            <v>326 - With Partition</v>
          </cell>
          <cell r="BC147" t="str">
            <v>With Partition</v>
          </cell>
          <cell r="BD147" t="str">
            <v>Slant</v>
          </cell>
          <cell r="BE147" t="str">
            <v>With Partition</v>
          </cell>
          <cell r="BF147" t="str">
            <v>GREEN</v>
          </cell>
          <cell r="BG147">
            <v>2707500</v>
          </cell>
          <cell r="BH147">
            <v>2850000</v>
          </cell>
          <cell r="BI147">
            <v>100000</v>
          </cell>
          <cell r="BJ147">
            <v>2750000</v>
          </cell>
          <cell r="BK147">
            <v>0</v>
          </cell>
          <cell r="BL147">
            <v>2750000</v>
          </cell>
        </row>
        <row r="148">
          <cell r="D148" t="str">
            <v>OS</v>
          </cell>
          <cell r="E148"/>
          <cell r="F148">
            <v>128</v>
          </cell>
          <cell r="G148" t="str">
            <v>SOLD</v>
          </cell>
          <cell r="H148" t="str">
            <v>OS</v>
          </cell>
          <cell r="I148" t="str">
            <v>OS</v>
          </cell>
          <cell r="J148" t="str">
            <v>OS</v>
          </cell>
          <cell r="K148" t="str">
            <v>OS</v>
          </cell>
          <cell r="L148" t="str">
            <v>OS</v>
          </cell>
          <cell r="M148" t="str">
            <v>OS</v>
          </cell>
          <cell r="N148" t="str">
            <v>OS</v>
          </cell>
          <cell r="O148" t="str">
            <v>OS</v>
          </cell>
          <cell r="P148" t="str">
            <v>OS</v>
          </cell>
          <cell r="Q148" t="str">
            <v>OS</v>
          </cell>
          <cell r="R148" t="str">
            <v>OS</v>
          </cell>
          <cell r="S148" t="str">
            <v>OS</v>
          </cell>
          <cell r="T148" t="str">
            <v>OS</v>
          </cell>
          <cell r="U148" t="str">
            <v>OS</v>
          </cell>
          <cell r="V148" t="str">
            <v>OS</v>
          </cell>
          <cell r="W148" t="str">
            <v>OS</v>
          </cell>
          <cell r="X148" t="str">
            <v>OS</v>
          </cell>
          <cell r="Y148" t="str">
            <v>OS</v>
          </cell>
          <cell r="Z148" t="str">
            <v>OS</v>
          </cell>
          <cell r="AA148" t="str">
            <v>OS</v>
          </cell>
          <cell r="AB148" t="str">
            <v>OS</v>
          </cell>
          <cell r="AC148" t="str">
            <v>OS</v>
          </cell>
          <cell r="AD148" t="str">
            <v>AGM-01-007-026</v>
          </cell>
          <cell r="AE148" t="str">
            <v xml:space="preserve">Raemulan Lands, Inc. </v>
          </cell>
          <cell r="AF148" t="str">
            <v>Agapeya</v>
          </cell>
          <cell r="AG148" t="str">
            <v>AGM</v>
          </cell>
          <cell r="AH148" t="str">
            <v>Eco-High</v>
          </cell>
          <cell r="AI148" t="str">
            <v>West</v>
          </cell>
          <cell r="AJ148" t="str">
            <v>With LTS</v>
          </cell>
          <cell r="AK148" t="str">
            <v>Unaffected lots</v>
          </cell>
          <cell r="AL148" t="str">
            <v>Unaffected lots</v>
          </cell>
          <cell r="AM148" t="b">
            <v>1</v>
          </cell>
          <cell r="AN148" t="str">
            <v>YES</v>
          </cell>
          <cell r="AO148" t="str">
            <v>2024 Batch</v>
          </cell>
          <cell r="AP148">
            <v>70</v>
          </cell>
          <cell r="AQ148" t="str">
            <v>PCS-04-034407</v>
          </cell>
          <cell r="AR148" t="b">
            <v>1</v>
          </cell>
          <cell r="AS148" t="str">
            <v>Done</v>
          </cell>
          <cell r="AT148" t="str">
            <v>2024 Batch</v>
          </cell>
          <cell r="AU148">
            <v>7</v>
          </cell>
          <cell r="AV148">
            <v>26</v>
          </cell>
          <cell r="AW148" t="str">
            <v>H+L</v>
          </cell>
          <cell r="AX148">
            <v>70</v>
          </cell>
          <cell r="AY148">
            <v>50</v>
          </cell>
          <cell r="AZ148" t="str">
            <v>Duplex</v>
          </cell>
          <cell r="BA148">
            <v>1</v>
          </cell>
          <cell r="BB148" t="str">
            <v>326 - With Partition</v>
          </cell>
          <cell r="BC148" t="str">
            <v>With Partition</v>
          </cell>
          <cell r="BD148" t="str">
            <v>Slant</v>
          </cell>
          <cell r="BE148" t="str">
            <v>With Partition</v>
          </cell>
          <cell r="BF148" t="str">
            <v>YELLOW</v>
          </cell>
          <cell r="BG148">
            <v>2707500</v>
          </cell>
          <cell r="BH148">
            <v>2850000</v>
          </cell>
          <cell r="BI148">
            <v>100000</v>
          </cell>
          <cell r="BJ148">
            <v>2750000</v>
          </cell>
          <cell r="BK148">
            <v>0</v>
          </cell>
          <cell r="BL148">
            <v>2750000</v>
          </cell>
        </row>
        <row r="149">
          <cell r="D149" t="str">
            <v>OS</v>
          </cell>
          <cell r="E149"/>
          <cell r="F149">
            <v>129</v>
          </cell>
          <cell r="G149" t="str">
            <v>SOLD</v>
          </cell>
          <cell r="H149" t="str">
            <v>OS</v>
          </cell>
          <cell r="I149" t="str">
            <v>OS</v>
          </cell>
          <cell r="J149" t="str">
            <v>OS</v>
          </cell>
          <cell r="K149" t="str">
            <v>OS</v>
          </cell>
          <cell r="L149" t="str">
            <v>OS</v>
          </cell>
          <cell r="M149" t="str">
            <v>OS</v>
          </cell>
          <cell r="N149" t="str">
            <v>OS</v>
          </cell>
          <cell r="O149" t="str">
            <v>OS</v>
          </cell>
          <cell r="P149" t="str">
            <v>OS</v>
          </cell>
          <cell r="Q149" t="str">
            <v>OS</v>
          </cell>
          <cell r="R149" t="str">
            <v>OS</v>
          </cell>
          <cell r="S149" t="str">
            <v>OS</v>
          </cell>
          <cell r="T149" t="str">
            <v>OS</v>
          </cell>
          <cell r="U149" t="str">
            <v>OS</v>
          </cell>
          <cell r="V149" t="str">
            <v>OS</v>
          </cell>
          <cell r="W149" t="str">
            <v>OS</v>
          </cell>
          <cell r="X149" t="str">
            <v>OS</v>
          </cell>
          <cell r="Y149" t="str">
            <v>OS</v>
          </cell>
          <cell r="Z149" t="str">
            <v>OS</v>
          </cell>
          <cell r="AA149" t="str">
            <v>OS</v>
          </cell>
          <cell r="AB149" t="str">
            <v>OS</v>
          </cell>
          <cell r="AC149" t="str">
            <v>OS</v>
          </cell>
          <cell r="AD149" t="str">
            <v>AGM-01-007-027</v>
          </cell>
          <cell r="AE149" t="str">
            <v xml:space="preserve">Raemulan Lands, Inc. </v>
          </cell>
          <cell r="AF149" t="str">
            <v>Agapeya</v>
          </cell>
          <cell r="AG149" t="str">
            <v>AGM</v>
          </cell>
          <cell r="AH149" t="str">
            <v>Eco-High</v>
          </cell>
          <cell r="AI149" t="str">
            <v>West</v>
          </cell>
          <cell r="AJ149" t="str">
            <v>With LTS</v>
          </cell>
          <cell r="AK149" t="str">
            <v>Unaffected lots</v>
          </cell>
          <cell r="AL149" t="str">
            <v>Unaffected lots</v>
          </cell>
          <cell r="AM149" t="b">
            <v>1</v>
          </cell>
          <cell r="AN149" t="str">
            <v>YES</v>
          </cell>
          <cell r="AO149" t="str">
            <v>2024 Batch</v>
          </cell>
          <cell r="AP149">
            <v>70</v>
          </cell>
          <cell r="AQ149" t="str">
            <v>PCS-04-034407</v>
          </cell>
          <cell r="AR149" t="b">
            <v>1</v>
          </cell>
          <cell r="AS149" t="str">
            <v>Done</v>
          </cell>
          <cell r="AT149" t="str">
            <v>2024 Batch</v>
          </cell>
          <cell r="AU149">
            <v>7</v>
          </cell>
          <cell r="AV149">
            <v>27</v>
          </cell>
          <cell r="AW149" t="str">
            <v>H+L</v>
          </cell>
          <cell r="AX149">
            <v>70</v>
          </cell>
          <cell r="AY149">
            <v>50</v>
          </cell>
          <cell r="AZ149" t="str">
            <v>Duplex</v>
          </cell>
          <cell r="BA149">
            <v>1</v>
          </cell>
          <cell r="BB149" t="str">
            <v>326 - With Partition</v>
          </cell>
          <cell r="BC149" t="str">
            <v>With Partition</v>
          </cell>
          <cell r="BD149" t="str">
            <v>Flat</v>
          </cell>
          <cell r="BE149" t="str">
            <v>With Partition</v>
          </cell>
          <cell r="BF149" t="str">
            <v>YELLOW</v>
          </cell>
          <cell r="BG149">
            <v>2707500</v>
          </cell>
          <cell r="BH149">
            <v>2850000</v>
          </cell>
          <cell r="BI149">
            <v>100000</v>
          </cell>
          <cell r="BJ149">
            <v>2750000</v>
          </cell>
          <cell r="BK149">
            <v>0</v>
          </cell>
          <cell r="BL149">
            <v>2750000</v>
          </cell>
        </row>
        <row r="150">
          <cell r="D150" t="str">
            <v>OS</v>
          </cell>
          <cell r="E150"/>
          <cell r="F150">
            <v>130</v>
          </cell>
          <cell r="G150" t="str">
            <v>SOLD</v>
          </cell>
          <cell r="H150" t="str">
            <v>OS</v>
          </cell>
          <cell r="I150" t="str">
            <v>OS</v>
          </cell>
          <cell r="J150" t="str">
            <v>OS</v>
          </cell>
          <cell r="K150" t="str">
            <v>OS</v>
          </cell>
          <cell r="L150" t="str">
            <v>OS</v>
          </cell>
          <cell r="M150" t="str">
            <v>OS</v>
          </cell>
          <cell r="N150" t="str">
            <v>OS</v>
          </cell>
          <cell r="O150" t="str">
            <v>OS</v>
          </cell>
          <cell r="P150" t="str">
            <v>OS</v>
          </cell>
          <cell r="Q150" t="str">
            <v>OS</v>
          </cell>
          <cell r="R150" t="str">
            <v>OS</v>
          </cell>
          <cell r="S150" t="str">
            <v>OS</v>
          </cell>
          <cell r="T150" t="str">
            <v>OS</v>
          </cell>
          <cell r="U150" t="str">
            <v>OS</v>
          </cell>
          <cell r="V150" t="str">
            <v>OS</v>
          </cell>
          <cell r="W150" t="str">
            <v>OS</v>
          </cell>
          <cell r="X150" t="str">
            <v>OS</v>
          </cell>
          <cell r="Y150" t="str">
            <v>OS</v>
          </cell>
          <cell r="Z150" t="str">
            <v>OS</v>
          </cell>
          <cell r="AA150" t="str">
            <v>OS</v>
          </cell>
          <cell r="AB150" t="str">
            <v>OS</v>
          </cell>
          <cell r="AC150" t="str">
            <v>OS</v>
          </cell>
          <cell r="AD150" t="str">
            <v>AGM-01-007-028</v>
          </cell>
          <cell r="AE150" t="str">
            <v xml:space="preserve">Raemulan Lands, Inc. </v>
          </cell>
          <cell r="AF150" t="str">
            <v>Agapeya</v>
          </cell>
          <cell r="AG150" t="str">
            <v>AGM</v>
          </cell>
          <cell r="AH150" t="str">
            <v>Eco-High</v>
          </cell>
          <cell r="AI150" t="str">
            <v>West</v>
          </cell>
          <cell r="AJ150" t="str">
            <v>With LTS</v>
          </cell>
          <cell r="AK150" t="str">
            <v>Unaffected lots</v>
          </cell>
          <cell r="AL150" t="str">
            <v>Unaffected lots</v>
          </cell>
          <cell r="AM150" t="b">
            <v>1</v>
          </cell>
          <cell r="AN150" t="str">
            <v>YES</v>
          </cell>
          <cell r="AO150" t="str">
            <v>2024 Batch</v>
          </cell>
          <cell r="AP150">
            <v>70</v>
          </cell>
          <cell r="AQ150" t="str">
            <v>PCS-04-034407</v>
          </cell>
          <cell r="AR150" t="b">
            <v>1</v>
          </cell>
          <cell r="AS150" t="str">
            <v>Done</v>
          </cell>
          <cell r="AT150" t="str">
            <v>2024 Batch</v>
          </cell>
          <cell r="AU150">
            <v>7</v>
          </cell>
          <cell r="AV150">
            <v>28</v>
          </cell>
          <cell r="AW150" t="str">
            <v>H+L</v>
          </cell>
          <cell r="AX150">
            <v>70</v>
          </cell>
          <cell r="AY150">
            <v>50</v>
          </cell>
          <cell r="AZ150" t="str">
            <v>Duplex</v>
          </cell>
          <cell r="BA150">
            <v>1</v>
          </cell>
          <cell r="BB150" t="str">
            <v>326 - With Partition</v>
          </cell>
          <cell r="BC150" t="str">
            <v>With Partition</v>
          </cell>
          <cell r="BD150" t="str">
            <v>Flat</v>
          </cell>
          <cell r="BE150" t="str">
            <v>With Partition</v>
          </cell>
          <cell r="BF150" t="str">
            <v>YELLOW</v>
          </cell>
          <cell r="BG150">
            <v>2750000</v>
          </cell>
          <cell r="BH150">
            <v>2850000</v>
          </cell>
          <cell r="BI150">
            <v>100000</v>
          </cell>
          <cell r="BJ150">
            <v>2750000</v>
          </cell>
          <cell r="BK150">
            <v>0</v>
          </cell>
          <cell r="BL150">
            <v>2750000</v>
          </cell>
        </row>
        <row r="151">
          <cell r="D151" t="str">
            <v>OS</v>
          </cell>
          <cell r="E151"/>
          <cell r="F151">
            <v>131</v>
          </cell>
          <cell r="G151" t="str">
            <v>FOR CANCELLATION</v>
          </cell>
          <cell r="H151" t="str">
            <v>FOR CANCELLATION</v>
          </cell>
          <cell r="I151" t="str">
            <v>FOR CANCELLATION</v>
          </cell>
          <cell r="J151" t="str">
            <v>FOR CANCELLATION</v>
          </cell>
          <cell r="K151" t="str">
            <v>TS</v>
          </cell>
          <cell r="L151" t="str">
            <v>TS</v>
          </cell>
          <cell r="M151" t="str">
            <v>OS</v>
          </cell>
          <cell r="N151" t="str">
            <v>OS</v>
          </cell>
          <cell r="O151" t="str">
            <v>OS</v>
          </cell>
          <cell r="P151" t="str">
            <v>OS</v>
          </cell>
          <cell r="Q151" t="str">
            <v>OS</v>
          </cell>
          <cell r="R151" t="str">
            <v>OS</v>
          </cell>
          <cell r="S151" t="str">
            <v>OS</v>
          </cell>
          <cell r="T151" t="str">
            <v>OS</v>
          </cell>
          <cell r="U151" t="str">
            <v>OS</v>
          </cell>
          <cell r="V151" t="str">
            <v>OS</v>
          </cell>
          <cell r="W151" t="str">
            <v>OS</v>
          </cell>
          <cell r="X151" t="str">
            <v>OS</v>
          </cell>
          <cell r="Y151" t="str">
            <v>OS</v>
          </cell>
          <cell r="Z151" t="str">
            <v>OS</v>
          </cell>
          <cell r="AA151" t="str">
            <v>OS</v>
          </cell>
          <cell r="AB151" t="str">
            <v>OS</v>
          </cell>
          <cell r="AC151" t="str">
            <v>OS</v>
          </cell>
          <cell r="AD151" t="str">
            <v>AGM-01-007-029</v>
          </cell>
          <cell r="AE151" t="str">
            <v xml:space="preserve">Raemulan Lands, Inc. </v>
          </cell>
          <cell r="AF151" t="str">
            <v>Agapeya</v>
          </cell>
          <cell r="AG151" t="str">
            <v>AGM</v>
          </cell>
          <cell r="AH151" t="str">
            <v>Eco-High</v>
          </cell>
          <cell r="AI151" t="str">
            <v>West</v>
          </cell>
          <cell r="AJ151" t="str">
            <v>With LTS</v>
          </cell>
          <cell r="AK151" t="str">
            <v>Unaffected lots</v>
          </cell>
          <cell r="AL151" t="str">
            <v>Unaffected lots</v>
          </cell>
          <cell r="AM151" t="b">
            <v>1</v>
          </cell>
          <cell r="AN151" t="str">
            <v>YES</v>
          </cell>
          <cell r="AO151" t="str">
            <v>2024 Batch</v>
          </cell>
          <cell r="AP151">
            <v>70</v>
          </cell>
          <cell r="AQ151" t="str">
            <v>PCS-04-034407</v>
          </cell>
          <cell r="AR151" t="b">
            <v>1</v>
          </cell>
          <cell r="AS151" t="str">
            <v>Done</v>
          </cell>
          <cell r="AT151" t="str">
            <v>2024 Batch</v>
          </cell>
          <cell r="AU151">
            <v>7</v>
          </cell>
          <cell r="AV151">
            <v>29</v>
          </cell>
          <cell r="AW151" t="str">
            <v>H+L</v>
          </cell>
          <cell r="AX151">
            <v>70</v>
          </cell>
          <cell r="AY151">
            <v>50</v>
          </cell>
          <cell r="AZ151" t="str">
            <v>Duplex</v>
          </cell>
          <cell r="BA151">
            <v>1</v>
          </cell>
          <cell r="BB151" t="str">
            <v>326 - With Partition</v>
          </cell>
          <cell r="BC151" t="str">
            <v>With Partition</v>
          </cell>
          <cell r="BD151" t="str">
            <v>Slant</v>
          </cell>
          <cell r="BE151" t="str">
            <v>With Partition</v>
          </cell>
          <cell r="BF151" t="str">
            <v>YELLOW</v>
          </cell>
          <cell r="BG151">
            <v>2707500</v>
          </cell>
          <cell r="BH151">
            <v>2850000</v>
          </cell>
          <cell r="BI151">
            <v>100000</v>
          </cell>
          <cell r="BJ151">
            <v>2750000</v>
          </cell>
          <cell r="BK151">
            <v>0</v>
          </cell>
          <cell r="BL151">
            <v>2750000</v>
          </cell>
        </row>
        <row r="152">
          <cell r="D152" t="str">
            <v>OS</v>
          </cell>
          <cell r="E152"/>
          <cell r="F152">
            <v>132</v>
          </cell>
          <cell r="G152" t="str">
            <v>SOLD</v>
          </cell>
          <cell r="H152" t="str">
            <v>OS</v>
          </cell>
          <cell r="I152" t="str">
            <v>OS</v>
          </cell>
          <cell r="J152" t="str">
            <v>OS</v>
          </cell>
          <cell r="K152" t="str">
            <v>OS</v>
          </cell>
          <cell r="L152" t="str">
            <v>OS</v>
          </cell>
          <cell r="M152" t="str">
            <v>OS</v>
          </cell>
          <cell r="N152" t="str">
            <v>OS</v>
          </cell>
          <cell r="O152" t="str">
            <v>OS</v>
          </cell>
          <cell r="P152" t="str">
            <v>OS</v>
          </cell>
          <cell r="Q152" t="str">
            <v>OS</v>
          </cell>
          <cell r="R152" t="str">
            <v>OS</v>
          </cell>
          <cell r="S152" t="str">
            <v>OS</v>
          </cell>
          <cell r="T152" t="str">
            <v>OS</v>
          </cell>
          <cell r="U152" t="str">
            <v>OS</v>
          </cell>
          <cell r="V152" t="str">
            <v>OS</v>
          </cell>
          <cell r="W152" t="str">
            <v>OS</v>
          </cell>
          <cell r="X152" t="str">
            <v>OS</v>
          </cell>
          <cell r="Y152" t="str">
            <v>OS</v>
          </cell>
          <cell r="Z152" t="str">
            <v>OS</v>
          </cell>
          <cell r="AA152" t="str">
            <v>OS</v>
          </cell>
          <cell r="AB152" t="str">
            <v>OS</v>
          </cell>
          <cell r="AC152" t="str">
            <v>OS</v>
          </cell>
          <cell r="AD152" t="str">
            <v>AGM-01-007-030</v>
          </cell>
          <cell r="AE152" t="str">
            <v xml:space="preserve">Raemulan Lands, Inc. </v>
          </cell>
          <cell r="AF152" t="str">
            <v>Agapeya</v>
          </cell>
          <cell r="AG152" t="str">
            <v>AGM</v>
          </cell>
          <cell r="AH152" t="str">
            <v>Eco-High</v>
          </cell>
          <cell r="AI152" t="str">
            <v>West</v>
          </cell>
          <cell r="AJ152" t="str">
            <v>With LTS</v>
          </cell>
          <cell r="AK152" t="str">
            <v>Unaffected lots</v>
          </cell>
          <cell r="AL152" t="str">
            <v>Unaffected lots</v>
          </cell>
          <cell r="AM152" t="b">
            <v>1</v>
          </cell>
          <cell r="AN152" t="str">
            <v>YES</v>
          </cell>
          <cell r="AO152" t="str">
            <v>2024 Batch</v>
          </cell>
          <cell r="AP152">
            <v>70</v>
          </cell>
          <cell r="AQ152" t="str">
            <v>PCS-04-034407</v>
          </cell>
          <cell r="AR152" t="b">
            <v>1</v>
          </cell>
          <cell r="AS152" t="str">
            <v>Done</v>
          </cell>
          <cell r="AT152" t="str">
            <v>2024 Batch</v>
          </cell>
          <cell r="AU152">
            <v>7</v>
          </cell>
          <cell r="AV152">
            <v>30</v>
          </cell>
          <cell r="AW152" t="str">
            <v>H+L</v>
          </cell>
          <cell r="AX152">
            <v>70</v>
          </cell>
          <cell r="AY152">
            <v>50</v>
          </cell>
          <cell r="AZ152" t="str">
            <v>Duplex</v>
          </cell>
          <cell r="BA152">
            <v>1</v>
          </cell>
          <cell r="BB152" t="str">
            <v>326 - With Partition</v>
          </cell>
          <cell r="BC152" t="str">
            <v>With Partition</v>
          </cell>
          <cell r="BD152" t="str">
            <v>Slant</v>
          </cell>
          <cell r="BE152" t="str">
            <v>With Partition</v>
          </cell>
          <cell r="BF152" t="str">
            <v>PINK</v>
          </cell>
          <cell r="BG152">
            <v>2707500</v>
          </cell>
          <cell r="BH152">
            <v>2850000</v>
          </cell>
          <cell r="BI152">
            <v>100000</v>
          </cell>
          <cell r="BJ152">
            <v>2750000</v>
          </cell>
          <cell r="BK152">
            <v>0</v>
          </cell>
          <cell r="BL152">
            <v>2750000</v>
          </cell>
        </row>
        <row r="153">
          <cell r="D153" t="str">
            <v>OS</v>
          </cell>
          <cell r="E153"/>
          <cell r="F153">
            <v>133</v>
          </cell>
          <cell r="G153" t="str">
            <v>SOLD</v>
          </cell>
          <cell r="H153" t="str">
            <v>OS</v>
          </cell>
          <cell r="I153" t="str">
            <v>OS</v>
          </cell>
          <cell r="J153" t="str">
            <v>OS</v>
          </cell>
          <cell r="K153" t="str">
            <v>OS</v>
          </cell>
          <cell r="L153" t="str">
            <v>OS</v>
          </cell>
          <cell r="M153" t="str">
            <v>OS</v>
          </cell>
          <cell r="N153" t="str">
            <v>OS</v>
          </cell>
          <cell r="O153" t="str">
            <v>OS</v>
          </cell>
          <cell r="P153" t="str">
            <v>OS</v>
          </cell>
          <cell r="Q153" t="str">
            <v>OS</v>
          </cell>
          <cell r="R153" t="str">
            <v>OS</v>
          </cell>
          <cell r="S153" t="str">
            <v>OS</v>
          </cell>
          <cell r="T153" t="str">
            <v>OS</v>
          </cell>
          <cell r="U153" t="str">
            <v>OS</v>
          </cell>
          <cell r="V153" t="str">
            <v>OS</v>
          </cell>
          <cell r="W153" t="str">
            <v>OS</v>
          </cell>
          <cell r="X153" t="str">
            <v>OS</v>
          </cell>
          <cell r="Y153" t="str">
            <v>OS</v>
          </cell>
          <cell r="Z153" t="str">
            <v>OS</v>
          </cell>
          <cell r="AA153" t="str">
            <v>OS</v>
          </cell>
          <cell r="AB153" t="str">
            <v>OS</v>
          </cell>
          <cell r="AC153" t="str">
            <v>OS</v>
          </cell>
          <cell r="AD153" t="str">
            <v>AGM-01-007-031</v>
          </cell>
          <cell r="AE153" t="str">
            <v xml:space="preserve">Raemulan Lands, Inc. </v>
          </cell>
          <cell r="AF153" t="str">
            <v>Agapeya</v>
          </cell>
          <cell r="AG153" t="str">
            <v>AGM</v>
          </cell>
          <cell r="AH153" t="str">
            <v>Eco-High</v>
          </cell>
          <cell r="AI153" t="str">
            <v>West</v>
          </cell>
          <cell r="AJ153" t="str">
            <v>With LTS</v>
          </cell>
          <cell r="AK153" t="str">
            <v>Unaffected lots</v>
          </cell>
          <cell r="AL153" t="str">
            <v>Unaffected lots</v>
          </cell>
          <cell r="AM153" t="b">
            <v>1</v>
          </cell>
          <cell r="AN153" t="str">
            <v>YES</v>
          </cell>
          <cell r="AO153" t="str">
            <v>2024 Batch</v>
          </cell>
          <cell r="AP153">
            <v>70</v>
          </cell>
          <cell r="AQ153" t="str">
            <v>PCS-04-034407</v>
          </cell>
          <cell r="AR153" t="b">
            <v>1</v>
          </cell>
          <cell r="AS153" t="str">
            <v>Done</v>
          </cell>
          <cell r="AT153" t="str">
            <v>2024 Batch</v>
          </cell>
          <cell r="AU153">
            <v>7</v>
          </cell>
          <cell r="AV153">
            <v>31</v>
          </cell>
          <cell r="AW153" t="str">
            <v>H+L</v>
          </cell>
          <cell r="AX153">
            <v>70</v>
          </cell>
          <cell r="AY153">
            <v>50</v>
          </cell>
          <cell r="AZ153" t="str">
            <v>Duplex</v>
          </cell>
          <cell r="BA153">
            <v>1</v>
          </cell>
          <cell r="BB153" t="str">
            <v>326 - With Partition</v>
          </cell>
          <cell r="BC153" t="str">
            <v>With Partition</v>
          </cell>
          <cell r="BD153" t="str">
            <v>Flat</v>
          </cell>
          <cell r="BE153" t="str">
            <v>With Partition</v>
          </cell>
          <cell r="BF153" t="str">
            <v>PINK</v>
          </cell>
          <cell r="BG153">
            <v>2707500</v>
          </cell>
          <cell r="BH153">
            <v>2850000</v>
          </cell>
          <cell r="BI153">
            <v>100000</v>
          </cell>
          <cell r="BJ153">
            <v>2750000</v>
          </cell>
          <cell r="BK153">
            <v>0</v>
          </cell>
          <cell r="BL153">
            <v>2750000</v>
          </cell>
        </row>
        <row r="154">
          <cell r="D154" t="str">
            <v>OS</v>
          </cell>
          <cell r="E154"/>
          <cell r="F154">
            <v>134</v>
          </cell>
          <cell r="G154" t="str">
            <v>SOLD</v>
          </cell>
          <cell r="H154" t="str">
            <v>TS</v>
          </cell>
          <cell r="I154" t="str">
            <v>TS</v>
          </cell>
          <cell r="J154" t="str">
            <v>TS</v>
          </cell>
          <cell r="K154" t="str">
            <v>TS</v>
          </cell>
          <cell r="L154" t="str">
            <v>TS</v>
          </cell>
          <cell r="M154" t="str">
            <v>TS</v>
          </cell>
          <cell r="N154" t="str">
            <v>TS</v>
          </cell>
          <cell r="O154" t="str">
            <v>TS</v>
          </cell>
          <cell r="P154" t="str">
            <v>OS</v>
          </cell>
          <cell r="Q154" t="str">
            <v>OS</v>
          </cell>
          <cell r="R154" t="str">
            <v>OS</v>
          </cell>
          <cell r="S154" t="str">
            <v>OS</v>
          </cell>
          <cell r="T154" t="str">
            <v>OS</v>
          </cell>
          <cell r="U154" t="str">
            <v>OS</v>
          </cell>
          <cell r="V154" t="str">
            <v>OS</v>
          </cell>
          <cell r="W154" t="str">
            <v>OS</v>
          </cell>
          <cell r="X154" t="str">
            <v>OS</v>
          </cell>
          <cell r="Y154" t="str">
            <v>OS</v>
          </cell>
          <cell r="Z154" t="str">
            <v>OS</v>
          </cell>
          <cell r="AA154" t="str">
            <v>OS</v>
          </cell>
          <cell r="AB154" t="str">
            <v>OS</v>
          </cell>
          <cell r="AC154" t="str">
            <v>OS</v>
          </cell>
          <cell r="AD154" t="str">
            <v>AGM-01-007-032</v>
          </cell>
          <cell r="AE154" t="str">
            <v xml:space="preserve">Raemulan Lands, Inc. </v>
          </cell>
          <cell r="AF154" t="str">
            <v>Agapeya</v>
          </cell>
          <cell r="AG154" t="str">
            <v>AGM</v>
          </cell>
          <cell r="AH154" t="str">
            <v>Eco-High</v>
          </cell>
          <cell r="AI154" t="str">
            <v>West</v>
          </cell>
          <cell r="AJ154" t="str">
            <v>With LTS</v>
          </cell>
          <cell r="AK154" t="str">
            <v>Unaffected lots</v>
          </cell>
          <cell r="AL154" t="str">
            <v>Unaffected lots</v>
          </cell>
          <cell r="AM154" t="b">
            <v>1</v>
          </cell>
          <cell r="AN154" t="str">
            <v>YES</v>
          </cell>
          <cell r="AO154" t="str">
            <v>2024 Batch</v>
          </cell>
          <cell r="AP154">
            <v>70</v>
          </cell>
          <cell r="AQ154" t="str">
            <v>PCS-04-034407</v>
          </cell>
          <cell r="AR154" t="b">
            <v>1</v>
          </cell>
          <cell r="AS154" t="str">
            <v>Done</v>
          </cell>
          <cell r="AT154" t="str">
            <v>2024 Batch</v>
          </cell>
          <cell r="AU154">
            <v>7</v>
          </cell>
          <cell r="AV154">
            <v>32</v>
          </cell>
          <cell r="AW154" t="str">
            <v>H+L</v>
          </cell>
          <cell r="AX154">
            <v>70</v>
          </cell>
          <cell r="AY154">
            <v>50</v>
          </cell>
          <cell r="AZ154" t="str">
            <v>Duplex</v>
          </cell>
          <cell r="BA154">
            <v>1</v>
          </cell>
          <cell r="BB154" t="str">
            <v>326 - With Partition</v>
          </cell>
          <cell r="BC154" t="str">
            <v>With Partition</v>
          </cell>
          <cell r="BD154" t="str">
            <v>Flat</v>
          </cell>
          <cell r="BE154" t="str">
            <v>With Partition</v>
          </cell>
          <cell r="BF154" t="str">
            <v>PINK</v>
          </cell>
          <cell r="BG154">
            <v>2707500</v>
          </cell>
          <cell r="BH154">
            <v>2850000</v>
          </cell>
          <cell r="BI154">
            <v>100000</v>
          </cell>
          <cell r="BJ154">
            <v>2750000</v>
          </cell>
          <cell r="BK154">
            <v>0</v>
          </cell>
          <cell r="BL154">
            <v>2750000</v>
          </cell>
        </row>
        <row r="155">
          <cell r="D155" t="str">
            <v>OS</v>
          </cell>
          <cell r="E155"/>
          <cell r="F155">
            <v>135</v>
          </cell>
          <cell r="G155" t="str">
            <v>SOLD</v>
          </cell>
          <cell r="H155" t="str">
            <v>OS</v>
          </cell>
          <cell r="I155" t="str">
            <v>OS</v>
          </cell>
          <cell r="J155" t="str">
            <v>OS</v>
          </cell>
          <cell r="K155" t="str">
            <v>OS</v>
          </cell>
          <cell r="L155" t="str">
            <v>OS</v>
          </cell>
          <cell r="M155" t="str">
            <v>OS</v>
          </cell>
          <cell r="N155" t="str">
            <v>OS</v>
          </cell>
          <cell r="O155" t="str">
            <v>OS</v>
          </cell>
          <cell r="P155" t="str">
            <v>OS</v>
          </cell>
          <cell r="Q155" t="str">
            <v>OS</v>
          </cell>
          <cell r="R155" t="str">
            <v>OS</v>
          </cell>
          <cell r="S155" t="str">
            <v>OS</v>
          </cell>
          <cell r="T155" t="str">
            <v>OS</v>
          </cell>
          <cell r="U155" t="str">
            <v>OS</v>
          </cell>
          <cell r="V155" t="str">
            <v>OS</v>
          </cell>
          <cell r="W155" t="str">
            <v>OS</v>
          </cell>
          <cell r="X155" t="str">
            <v>OS</v>
          </cell>
          <cell r="Y155" t="str">
            <v>OS</v>
          </cell>
          <cell r="Z155" t="str">
            <v>OS</v>
          </cell>
          <cell r="AA155" t="str">
            <v>OS</v>
          </cell>
          <cell r="AB155" t="str">
            <v>OS</v>
          </cell>
          <cell r="AC155" t="str">
            <v>OS</v>
          </cell>
          <cell r="AD155" t="str">
            <v>AGM-01-007-033</v>
          </cell>
          <cell r="AE155" t="str">
            <v xml:space="preserve">Raemulan Lands, Inc. </v>
          </cell>
          <cell r="AF155" t="str">
            <v>Agapeya</v>
          </cell>
          <cell r="AG155" t="str">
            <v>AGM</v>
          </cell>
          <cell r="AH155" t="str">
            <v>Eco-High</v>
          </cell>
          <cell r="AI155" t="str">
            <v>West</v>
          </cell>
          <cell r="AJ155" t="str">
            <v>With LTS</v>
          </cell>
          <cell r="AK155" t="str">
            <v>Unaffected lots</v>
          </cell>
          <cell r="AL155" t="str">
            <v>Unaffected lots</v>
          </cell>
          <cell r="AM155" t="b">
            <v>1</v>
          </cell>
          <cell r="AN155" t="str">
            <v>YES</v>
          </cell>
          <cell r="AO155" t="str">
            <v>2024 Batch</v>
          </cell>
          <cell r="AP155">
            <v>70</v>
          </cell>
          <cell r="AQ155" t="str">
            <v>PCS-04-034407</v>
          </cell>
          <cell r="AR155" t="b">
            <v>1</v>
          </cell>
          <cell r="AS155" t="str">
            <v>Done</v>
          </cell>
          <cell r="AT155" t="str">
            <v>2024 Batch</v>
          </cell>
          <cell r="AU155">
            <v>7</v>
          </cell>
          <cell r="AV155">
            <v>33</v>
          </cell>
          <cell r="AW155" t="str">
            <v>H+L</v>
          </cell>
          <cell r="AX155">
            <v>70</v>
          </cell>
          <cell r="AY155">
            <v>50</v>
          </cell>
          <cell r="AZ155" t="str">
            <v>Duplex</v>
          </cell>
          <cell r="BA155">
            <v>1</v>
          </cell>
          <cell r="BB155" t="str">
            <v>326 - With Partition</v>
          </cell>
          <cell r="BC155" t="str">
            <v>With Partition</v>
          </cell>
          <cell r="BD155" t="str">
            <v>Slant</v>
          </cell>
          <cell r="BE155" t="str">
            <v>With Partition</v>
          </cell>
          <cell r="BF155" t="str">
            <v>PINK</v>
          </cell>
          <cell r="BG155">
            <v>2707500</v>
          </cell>
          <cell r="BH155">
            <v>2850000</v>
          </cell>
          <cell r="BI155">
            <v>100000</v>
          </cell>
          <cell r="BJ155">
            <v>2750000</v>
          </cell>
          <cell r="BK155">
            <v>0</v>
          </cell>
          <cell r="BL155">
            <v>2750000</v>
          </cell>
        </row>
        <row r="156">
          <cell r="D156" t="str">
            <v>OS</v>
          </cell>
          <cell r="E156"/>
          <cell r="F156">
            <v>136</v>
          </cell>
          <cell r="G156" t="str">
            <v>SOLD</v>
          </cell>
          <cell r="H156" t="str">
            <v>OS</v>
          </cell>
          <cell r="I156" t="str">
            <v>OS</v>
          </cell>
          <cell r="J156" t="str">
            <v>OS</v>
          </cell>
          <cell r="K156" t="str">
            <v>OS</v>
          </cell>
          <cell r="L156" t="str">
            <v>OS</v>
          </cell>
          <cell r="M156" t="str">
            <v>OS</v>
          </cell>
          <cell r="N156" t="str">
            <v>OS</v>
          </cell>
          <cell r="O156" t="str">
            <v>OS</v>
          </cell>
          <cell r="P156" t="str">
            <v>OS</v>
          </cell>
          <cell r="Q156" t="str">
            <v>OS</v>
          </cell>
          <cell r="R156" t="str">
            <v>OS</v>
          </cell>
          <cell r="S156" t="str">
            <v>OS</v>
          </cell>
          <cell r="T156" t="str">
            <v>OS</v>
          </cell>
          <cell r="U156" t="str">
            <v>OS</v>
          </cell>
          <cell r="V156" t="str">
            <v>OS</v>
          </cell>
          <cell r="W156" t="str">
            <v>OS</v>
          </cell>
          <cell r="X156" t="str">
            <v>OS</v>
          </cell>
          <cell r="Y156" t="str">
            <v>OS</v>
          </cell>
          <cell r="Z156" t="str">
            <v>OS</v>
          </cell>
          <cell r="AA156" t="str">
            <v>OS</v>
          </cell>
          <cell r="AB156" t="str">
            <v>OS</v>
          </cell>
          <cell r="AC156" t="str">
            <v>OS</v>
          </cell>
          <cell r="AD156" t="str">
            <v>AGM-01-007-034</v>
          </cell>
          <cell r="AE156" t="str">
            <v xml:space="preserve">Raemulan Lands, Inc. </v>
          </cell>
          <cell r="AF156" t="str">
            <v>Agapeya</v>
          </cell>
          <cell r="AG156" t="str">
            <v>AGM</v>
          </cell>
          <cell r="AH156" t="str">
            <v>Eco-High</v>
          </cell>
          <cell r="AI156" t="str">
            <v>West</v>
          </cell>
          <cell r="AJ156" t="str">
            <v>With LTS</v>
          </cell>
          <cell r="AK156" t="str">
            <v>Unaffected lots</v>
          </cell>
          <cell r="AL156" t="str">
            <v>Unaffected lots</v>
          </cell>
          <cell r="AM156" t="b">
            <v>1</v>
          </cell>
          <cell r="AN156" t="str">
            <v>YES</v>
          </cell>
          <cell r="AO156" t="str">
            <v>2024 Batch</v>
          </cell>
          <cell r="AP156">
            <v>70</v>
          </cell>
          <cell r="AQ156" t="str">
            <v>PCS-04-034407</v>
          </cell>
          <cell r="AR156" t="b">
            <v>1</v>
          </cell>
          <cell r="AS156" t="str">
            <v>Done</v>
          </cell>
          <cell r="AT156" t="str">
            <v>2024 Batch</v>
          </cell>
          <cell r="AU156">
            <v>7</v>
          </cell>
          <cell r="AV156">
            <v>34</v>
          </cell>
          <cell r="AW156" t="str">
            <v>H+L</v>
          </cell>
          <cell r="AX156">
            <v>70</v>
          </cell>
          <cell r="AY156">
            <v>50</v>
          </cell>
          <cell r="AZ156" t="str">
            <v>Duplex</v>
          </cell>
          <cell r="BA156">
            <v>1</v>
          </cell>
          <cell r="BB156" t="str">
            <v>326 - With Partition</v>
          </cell>
          <cell r="BC156" t="str">
            <v>With Partition</v>
          </cell>
          <cell r="BD156" t="str">
            <v>Slant</v>
          </cell>
          <cell r="BE156" t="str">
            <v>With Partition</v>
          </cell>
          <cell r="BF156" t="str">
            <v>PURPLE</v>
          </cell>
          <cell r="BG156">
            <v>2707500</v>
          </cell>
          <cell r="BH156">
            <v>2850000</v>
          </cell>
          <cell r="BI156">
            <v>100000</v>
          </cell>
          <cell r="BJ156">
            <v>2750000</v>
          </cell>
          <cell r="BK156">
            <v>0</v>
          </cell>
          <cell r="BL156">
            <v>2750000</v>
          </cell>
        </row>
        <row r="157">
          <cell r="D157" t="str">
            <v>OS</v>
          </cell>
          <cell r="E157"/>
          <cell r="F157">
            <v>137</v>
          </cell>
          <cell r="G157" t="str">
            <v>UNSOLD</v>
          </cell>
          <cell r="H157" t="str">
            <v>OS</v>
          </cell>
          <cell r="I157" t="str">
            <v>OS</v>
          </cell>
          <cell r="J157" t="str">
            <v>OS</v>
          </cell>
          <cell r="K157" t="str">
            <v>OS</v>
          </cell>
          <cell r="L157" t="str">
            <v>OS</v>
          </cell>
          <cell r="M157" t="str">
            <v>OS</v>
          </cell>
          <cell r="N157" t="str">
            <v>OS</v>
          </cell>
          <cell r="O157" t="str">
            <v>OS</v>
          </cell>
          <cell r="P157" t="str">
            <v>OS</v>
          </cell>
          <cell r="Q157" t="str">
            <v>OS</v>
          </cell>
          <cell r="R157" t="str">
            <v>OS</v>
          </cell>
          <cell r="S157" t="str">
            <v>OS</v>
          </cell>
          <cell r="T157" t="str">
            <v>OS</v>
          </cell>
          <cell r="U157" t="str">
            <v>OS</v>
          </cell>
          <cell r="V157" t="str">
            <v>OS</v>
          </cell>
          <cell r="W157" t="str">
            <v>OS</v>
          </cell>
          <cell r="X157" t="str">
            <v>OS</v>
          </cell>
          <cell r="Y157" t="str">
            <v>OS</v>
          </cell>
          <cell r="Z157" t="str">
            <v>OS</v>
          </cell>
          <cell r="AA157" t="str">
            <v>OS</v>
          </cell>
          <cell r="AB157" t="str">
            <v>OS</v>
          </cell>
          <cell r="AC157" t="str">
            <v>OS</v>
          </cell>
          <cell r="AD157" t="str">
            <v>AGM-01-007-035</v>
          </cell>
          <cell r="AE157" t="str">
            <v xml:space="preserve">Raemulan Lands, Inc. </v>
          </cell>
          <cell r="AF157" t="str">
            <v>Agapeya</v>
          </cell>
          <cell r="AG157" t="str">
            <v>AGM</v>
          </cell>
          <cell r="AH157" t="str">
            <v>Eco-High</v>
          </cell>
          <cell r="AI157" t="str">
            <v>West</v>
          </cell>
          <cell r="AJ157" t="str">
            <v>With LTS</v>
          </cell>
          <cell r="AK157" t="str">
            <v>Unaffected lots</v>
          </cell>
          <cell r="AL157" t="str">
            <v>Unaffected lots</v>
          </cell>
          <cell r="AM157" t="b">
            <v>1</v>
          </cell>
          <cell r="AN157" t="str">
            <v>YES</v>
          </cell>
          <cell r="AO157" t="str">
            <v>2024 Batch</v>
          </cell>
          <cell r="AP157">
            <v>70</v>
          </cell>
          <cell r="AQ157" t="str">
            <v>PCS-04-034407</v>
          </cell>
          <cell r="AR157" t="b">
            <v>1</v>
          </cell>
          <cell r="AS157" t="str">
            <v>Done</v>
          </cell>
          <cell r="AT157" t="str">
            <v>2024 Batch</v>
          </cell>
          <cell r="AU157">
            <v>7</v>
          </cell>
          <cell r="AV157">
            <v>35</v>
          </cell>
          <cell r="AW157" t="str">
            <v>H+L</v>
          </cell>
          <cell r="AX157">
            <v>70</v>
          </cell>
          <cell r="AY157">
            <v>50</v>
          </cell>
          <cell r="AZ157" t="str">
            <v>Duplex</v>
          </cell>
          <cell r="BA157">
            <v>1</v>
          </cell>
          <cell r="BB157" t="str">
            <v>326 - With Partition</v>
          </cell>
          <cell r="BC157" t="str">
            <v xml:space="preserve">Without Partition </v>
          </cell>
          <cell r="BD157" t="str">
            <v>Flat</v>
          </cell>
          <cell r="BE157" t="str">
            <v xml:space="preserve">Without Partition </v>
          </cell>
          <cell r="BF157" t="str">
            <v>PURPLE</v>
          </cell>
          <cell r="BG157">
            <v>2707500</v>
          </cell>
          <cell r="BH157">
            <v>2650000</v>
          </cell>
          <cell r="BI157">
            <v>100000</v>
          </cell>
          <cell r="BJ157">
            <v>2550000</v>
          </cell>
          <cell r="BK157">
            <v>0</v>
          </cell>
          <cell r="BL157">
            <v>2550000</v>
          </cell>
        </row>
        <row r="158">
          <cell r="D158" t="str">
            <v>TS</v>
          </cell>
          <cell r="E158"/>
          <cell r="F158">
            <v>138</v>
          </cell>
          <cell r="G158" t="str">
            <v>SOLD</v>
          </cell>
          <cell r="H158" t="str">
            <v>OS</v>
          </cell>
          <cell r="I158" t="str">
            <v>OS</v>
          </cell>
          <cell r="J158" t="str">
            <v>OS</v>
          </cell>
          <cell r="K158" t="str">
            <v>OS</v>
          </cell>
          <cell r="L158" t="str">
            <v>OS</v>
          </cell>
          <cell r="M158" t="str">
            <v>OS</v>
          </cell>
          <cell r="N158" t="str">
            <v>OS</v>
          </cell>
          <cell r="O158" t="str">
            <v>OS</v>
          </cell>
          <cell r="P158" t="str">
            <v>OS</v>
          </cell>
          <cell r="Q158" t="str">
            <v>OS</v>
          </cell>
          <cell r="R158" t="str">
            <v>OS</v>
          </cell>
          <cell r="S158" t="str">
            <v>OS</v>
          </cell>
          <cell r="T158" t="str">
            <v>OS</v>
          </cell>
          <cell r="U158" t="str">
            <v>OS</v>
          </cell>
          <cell r="V158" t="str">
            <v>OS</v>
          </cell>
          <cell r="W158" t="str">
            <v>OS</v>
          </cell>
          <cell r="X158" t="str">
            <v>OS</v>
          </cell>
          <cell r="Y158" t="str">
            <v>OS</v>
          </cell>
          <cell r="Z158" t="str">
            <v>TS</v>
          </cell>
          <cell r="AA158" t="str">
            <v>TS</v>
          </cell>
          <cell r="AB158" t="str">
            <v>OS</v>
          </cell>
          <cell r="AC158" t="str">
            <v>OS</v>
          </cell>
          <cell r="AD158" t="str">
            <v>AGM-01-007-036</v>
          </cell>
          <cell r="AE158" t="str">
            <v xml:space="preserve">Raemulan Lands, Inc. </v>
          </cell>
          <cell r="AF158" t="str">
            <v>Agapeya</v>
          </cell>
          <cell r="AG158" t="str">
            <v>AGM</v>
          </cell>
          <cell r="AH158" t="str">
            <v>Eco-High</v>
          </cell>
          <cell r="AI158" t="str">
            <v>West</v>
          </cell>
          <cell r="AJ158" t="str">
            <v>With LTS</v>
          </cell>
          <cell r="AK158" t="str">
            <v>Unaffected lots</v>
          </cell>
          <cell r="AL158" t="str">
            <v>Unaffected lots</v>
          </cell>
          <cell r="AM158" t="b">
            <v>1</v>
          </cell>
          <cell r="AN158" t="str">
            <v>YES</v>
          </cell>
          <cell r="AO158" t="str">
            <v>2024 Batch</v>
          </cell>
          <cell r="AP158">
            <v>70</v>
          </cell>
          <cell r="AQ158" t="str">
            <v>PCS-04-034407</v>
          </cell>
          <cell r="AR158" t="b">
            <v>1</v>
          </cell>
          <cell r="AS158" t="str">
            <v>Done</v>
          </cell>
          <cell r="AT158" t="str">
            <v>2024 Batch</v>
          </cell>
          <cell r="AU158">
            <v>7</v>
          </cell>
          <cell r="AV158">
            <v>36</v>
          </cell>
          <cell r="AW158" t="str">
            <v>H+L</v>
          </cell>
          <cell r="AX158">
            <v>70</v>
          </cell>
          <cell r="AY158">
            <v>50</v>
          </cell>
          <cell r="AZ158" t="str">
            <v>Duplex</v>
          </cell>
          <cell r="BA158">
            <v>1</v>
          </cell>
          <cell r="BB158" t="str">
            <v>326 - With Partition</v>
          </cell>
          <cell r="BC158" t="str">
            <v xml:space="preserve">Without Partition </v>
          </cell>
          <cell r="BD158" t="str">
            <v>Flat</v>
          </cell>
          <cell r="BE158" t="str">
            <v xml:space="preserve">Without Partition </v>
          </cell>
          <cell r="BF158" t="str">
            <v>PURPLE</v>
          </cell>
          <cell r="BG158">
            <v>2500000</v>
          </cell>
          <cell r="BH158">
            <v>2650000</v>
          </cell>
          <cell r="BI158">
            <v>100000</v>
          </cell>
          <cell r="BJ158">
            <v>2550000</v>
          </cell>
          <cell r="BK158">
            <v>0</v>
          </cell>
          <cell r="BL158">
            <v>2550000</v>
          </cell>
        </row>
        <row r="159">
          <cell r="D159" t="str">
            <v>OS</v>
          </cell>
          <cell r="E159"/>
          <cell r="F159">
            <v>139</v>
          </cell>
          <cell r="G159" t="str">
            <v>SOLD</v>
          </cell>
          <cell r="H159" t="str">
            <v>OS</v>
          </cell>
          <cell r="I159" t="str">
            <v>OS</v>
          </cell>
          <cell r="J159" t="str">
            <v>OS</v>
          </cell>
          <cell r="K159" t="str">
            <v>OS</v>
          </cell>
          <cell r="L159" t="str">
            <v>OS</v>
          </cell>
          <cell r="M159" t="str">
            <v>OS</v>
          </cell>
          <cell r="N159" t="str">
            <v>OS</v>
          </cell>
          <cell r="O159" t="str">
            <v>OS</v>
          </cell>
          <cell r="P159" t="str">
            <v>OS</v>
          </cell>
          <cell r="Q159" t="str">
            <v>OS</v>
          </cell>
          <cell r="R159" t="str">
            <v>OS</v>
          </cell>
          <cell r="S159" t="str">
            <v>OS</v>
          </cell>
          <cell r="T159" t="str">
            <v>OS</v>
          </cell>
          <cell r="U159" t="str">
            <v>OS</v>
          </cell>
          <cell r="V159" t="str">
            <v>OS</v>
          </cell>
          <cell r="W159" t="str">
            <v>OS</v>
          </cell>
          <cell r="X159" t="str">
            <v>OS</v>
          </cell>
          <cell r="Y159" t="str">
            <v>OS</v>
          </cell>
          <cell r="Z159" t="str">
            <v>OS</v>
          </cell>
          <cell r="AA159" t="str">
            <v>OS</v>
          </cell>
          <cell r="AB159" t="str">
            <v>OS</v>
          </cell>
          <cell r="AC159" t="str">
            <v>OS</v>
          </cell>
          <cell r="AD159" t="str">
            <v>AGM-01-007-037</v>
          </cell>
          <cell r="AE159" t="str">
            <v xml:space="preserve">Raemulan Lands, Inc. </v>
          </cell>
          <cell r="AF159" t="str">
            <v>Agapeya</v>
          </cell>
          <cell r="AG159" t="str">
            <v>AGM</v>
          </cell>
          <cell r="AH159" t="str">
            <v>Eco-High</v>
          </cell>
          <cell r="AI159" t="str">
            <v>West</v>
          </cell>
          <cell r="AJ159" t="str">
            <v>With LTS</v>
          </cell>
          <cell r="AK159" t="str">
            <v>Unaffected lots</v>
          </cell>
          <cell r="AL159" t="str">
            <v>Unaffected lots</v>
          </cell>
          <cell r="AM159" t="b">
            <v>1</v>
          </cell>
          <cell r="AN159" t="str">
            <v>YES</v>
          </cell>
          <cell r="AO159" t="str">
            <v>2024 Batch</v>
          </cell>
          <cell r="AP159">
            <v>70</v>
          </cell>
          <cell r="AQ159" t="str">
            <v>PCS-04-034407</v>
          </cell>
          <cell r="AR159" t="b">
            <v>1</v>
          </cell>
          <cell r="AS159" t="str">
            <v>Done</v>
          </cell>
          <cell r="AT159" t="str">
            <v>2024 Batch</v>
          </cell>
          <cell r="AU159">
            <v>7</v>
          </cell>
          <cell r="AV159">
            <v>37</v>
          </cell>
          <cell r="AW159" t="str">
            <v>H+L</v>
          </cell>
          <cell r="AX159">
            <v>70</v>
          </cell>
          <cell r="AY159">
            <v>50</v>
          </cell>
          <cell r="AZ159" t="str">
            <v>Duplex</v>
          </cell>
          <cell r="BA159">
            <v>1</v>
          </cell>
          <cell r="BB159" t="str">
            <v>326 - With Partition</v>
          </cell>
          <cell r="BC159" t="str">
            <v>With Partition</v>
          </cell>
          <cell r="BD159" t="str">
            <v>Slant</v>
          </cell>
          <cell r="BE159" t="str">
            <v>With Partition</v>
          </cell>
          <cell r="BF159" t="str">
            <v>PURPLE</v>
          </cell>
          <cell r="BG159">
            <v>2707500</v>
          </cell>
          <cell r="BH159">
            <v>2850000</v>
          </cell>
          <cell r="BI159">
            <v>100000</v>
          </cell>
          <cell r="BJ159">
            <v>2750000</v>
          </cell>
          <cell r="BK159">
            <v>0</v>
          </cell>
          <cell r="BL159">
            <v>2750000</v>
          </cell>
        </row>
        <row r="160">
          <cell r="D160" t="str">
            <v>OS</v>
          </cell>
          <cell r="E160"/>
          <cell r="F160">
            <v>140</v>
          </cell>
          <cell r="G160" t="str">
            <v>SOLD</v>
          </cell>
          <cell r="H160" t="str">
            <v>OS</v>
          </cell>
          <cell r="I160" t="str">
            <v>OS</v>
          </cell>
          <cell r="J160" t="str">
            <v>OS</v>
          </cell>
          <cell r="K160" t="str">
            <v>OS</v>
          </cell>
          <cell r="L160" t="str">
            <v>OS</v>
          </cell>
          <cell r="M160" t="str">
            <v>OS</v>
          </cell>
          <cell r="N160" t="str">
            <v>OS</v>
          </cell>
          <cell r="O160" t="str">
            <v>OS</v>
          </cell>
          <cell r="P160" t="str">
            <v>OS</v>
          </cell>
          <cell r="Q160" t="str">
            <v>OS</v>
          </cell>
          <cell r="R160" t="str">
            <v>OS</v>
          </cell>
          <cell r="S160" t="str">
            <v>OS</v>
          </cell>
          <cell r="T160" t="str">
            <v>OS</v>
          </cell>
          <cell r="U160" t="str">
            <v>OS</v>
          </cell>
          <cell r="V160" t="str">
            <v>OS</v>
          </cell>
          <cell r="W160" t="str">
            <v>OS</v>
          </cell>
          <cell r="X160" t="str">
            <v>OS</v>
          </cell>
          <cell r="Y160" t="str">
            <v>OS</v>
          </cell>
          <cell r="Z160" t="str">
            <v>OS</v>
          </cell>
          <cell r="AA160" t="str">
            <v>OS</v>
          </cell>
          <cell r="AB160" t="str">
            <v>OS</v>
          </cell>
          <cell r="AC160" t="str">
            <v>OS</v>
          </cell>
          <cell r="AD160" t="str">
            <v>AGM-01-007-038</v>
          </cell>
          <cell r="AE160" t="str">
            <v xml:space="preserve">Raemulan Lands, Inc. </v>
          </cell>
          <cell r="AF160" t="str">
            <v>Agapeya</v>
          </cell>
          <cell r="AG160" t="str">
            <v>AGM</v>
          </cell>
          <cell r="AH160" t="str">
            <v>Eco-High</v>
          </cell>
          <cell r="AI160" t="str">
            <v>West</v>
          </cell>
          <cell r="AJ160" t="str">
            <v>With LTS</v>
          </cell>
          <cell r="AK160" t="str">
            <v>Unaffected lots</v>
          </cell>
          <cell r="AL160" t="str">
            <v>Unaffected lots</v>
          </cell>
          <cell r="AM160" t="b">
            <v>1</v>
          </cell>
          <cell r="AN160" t="str">
            <v>YES</v>
          </cell>
          <cell r="AO160" t="str">
            <v>2024 Batch</v>
          </cell>
          <cell r="AP160">
            <v>70</v>
          </cell>
          <cell r="AQ160" t="str">
            <v>PCS-04-034407</v>
          </cell>
          <cell r="AR160" t="b">
            <v>1</v>
          </cell>
          <cell r="AS160" t="str">
            <v>Done</v>
          </cell>
          <cell r="AT160" t="str">
            <v>2024 Batch</v>
          </cell>
          <cell r="AU160">
            <v>7</v>
          </cell>
          <cell r="AV160">
            <v>38</v>
          </cell>
          <cell r="AW160" t="str">
            <v>H+L</v>
          </cell>
          <cell r="AX160">
            <v>70</v>
          </cell>
          <cell r="AY160">
            <v>50</v>
          </cell>
          <cell r="AZ160" t="str">
            <v>Duplex</v>
          </cell>
          <cell r="BA160">
            <v>1</v>
          </cell>
          <cell r="BB160" t="str">
            <v>326 - With Partition</v>
          </cell>
          <cell r="BC160" t="str">
            <v xml:space="preserve">Without Partition </v>
          </cell>
          <cell r="BD160" t="str">
            <v>Slant</v>
          </cell>
          <cell r="BE160" t="str">
            <v xml:space="preserve">Without Partition </v>
          </cell>
          <cell r="BF160" t="str">
            <v>GREEN</v>
          </cell>
          <cell r="BG160">
            <v>2707500</v>
          </cell>
          <cell r="BH160">
            <v>2650000</v>
          </cell>
          <cell r="BI160">
            <v>100000</v>
          </cell>
          <cell r="BJ160">
            <v>2550000</v>
          </cell>
          <cell r="BK160">
            <v>0</v>
          </cell>
          <cell r="BL160">
            <v>2550000</v>
          </cell>
        </row>
        <row r="161">
          <cell r="D161" t="str">
            <v>OS</v>
          </cell>
          <cell r="E161"/>
          <cell r="F161">
            <v>141</v>
          </cell>
          <cell r="G161" t="str">
            <v>SOLD</v>
          </cell>
          <cell r="H161" t="str">
            <v>OS</v>
          </cell>
          <cell r="I161" t="str">
            <v>OS</v>
          </cell>
          <cell r="J161" t="str">
            <v>OS</v>
          </cell>
          <cell r="K161" t="str">
            <v>OS</v>
          </cell>
          <cell r="L161" t="str">
            <v>OS</v>
          </cell>
          <cell r="M161" t="str">
            <v>OS</v>
          </cell>
          <cell r="N161" t="str">
            <v>OS</v>
          </cell>
          <cell r="O161" t="str">
            <v>OS</v>
          </cell>
          <cell r="P161" t="str">
            <v>OS</v>
          </cell>
          <cell r="Q161" t="str">
            <v>OS</v>
          </cell>
          <cell r="R161" t="str">
            <v>OS</v>
          </cell>
          <cell r="S161" t="str">
            <v>OS</v>
          </cell>
          <cell r="T161" t="str">
            <v>OS</v>
          </cell>
          <cell r="U161" t="str">
            <v>OS</v>
          </cell>
          <cell r="V161" t="str">
            <v>OS</v>
          </cell>
          <cell r="W161" t="str">
            <v>OS</v>
          </cell>
          <cell r="X161" t="str">
            <v>OS</v>
          </cell>
          <cell r="Y161" t="str">
            <v>OS</v>
          </cell>
          <cell r="Z161" t="str">
            <v>OS</v>
          </cell>
          <cell r="AA161" t="str">
            <v>OS</v>
          </cell>
          <cell r="AB161" t="str">
            <v>OS</v>
          </cell>
          <cell r="AC161" t="str">
            <v>OS</v>
          </cell>
          <cell r="AD161" t="str">
            <v>AGM-01-007-039</v>
          </cell>
          <cell r="AE161" t="str">
            <v xml:space="preserve">Raemulan Lands, Inc. </v>
          </cell>
          <cell r="AF161" t="str">
            <v>Agapeya</v>
          </cell>
          <cell r="AG161" t="str">
            <v>AGM</v>
          </cell>
          <cell r="AH161" t="str">
            <v>Eco-High</v>
          </cell>
          <cell r="AI161" t="str">
            <v>West</v>
          </cell>
          <cell r="AJ161" t="str">
            <v>With LTS</v>
          </cell>
          <cell r="AK161" t="str">
            <v>Unaffected lots</v>
          </cell>
          <cell r="AL161" t="str">
            <v>Unaffected lots</v>
          </cell>
          <cell r="AM161" t="b">
            <v>1</v>
          </cell>
          <cell r="AN161" t="str">
            <v>YES</v>
          </cell>
          <cell r="AO161" t="str">
            <v>2024 Batch</v>
          </cell>
          <cell r="AP161">
            <v>70</v>
          </cell>
          <cell r="AQ161" t="str">
            <v>PCS-04-034407</v>
          </cell>
          <cell r="AR161" t="b">
            <v>1</v>
          </cell>
          <cell r="AS161" t="str">
            <v>Done</v>
          </cell>
          <cell r="AT161" t="str">
            <v>2024 Batch</v>
          </cell>
          <cell r="AU161">
            <v>7</v>
          </cell>
          <cell r="AV161">
            <v>39</v>
          </cell>
          <cell r="AW161" t="str">
            <v>H+L</v>
          </cell>
          <cell r="AX161">
            <v>70</v>
          </cell>
          <cell r="AY161">
            <v>50</v>
          </cell>
          <cell r="AZ161" t="str">
            <v>Duplex</v>
          </cell>
          <cell r="BA161">
            <v>1</v>
          </cell>
          <cell r="BB161" t="str">
            <v>326 - With Partition</v>
          </cell>
          <cell r="BC161" t="str">
            <v xml:space="preserve">Without Partition </v>
          </cell>
          <cell r="BD161" t="str">
            <v>Flat</v>
          </cell>
          <cell r="BE161" t="str">
            <v xml:space="preserve">Without Partition </v>
          </cell>
          <cell r="BF161" t="str">
            <v>GREEN</v>
          </cell>
          <cell r="BG161">
            <v>2500000</v>
          </cell>
          <cell r="BH161">
            <v>2650000</v>
          </cell>
          <cell r="BI161">
            <v>100000</v>
          </cell>
          <cell r="BJ161">
            <v>2550000</v>
          </cell>
          <cell r="BK161">
            <v>0</v>
          </cell>
          <cell r="BL161">
            <v>2550000</v>
          </cell>
        </row>
        <row r="162">
          <cell r="D162" t="str">
            <v>OS</v>
          </cell>
          <cell r="E162"/>
          <cell r="F162">
            <v>142</v>
          </cell>
          <cell r="G162" t="str">
            <v>FOR CANCELLATION</v>
          </cell>
          <cell r="H162" t="str">
            <v>FOR CANCELLATION</v>
          </cell>
          <cell r="I162" t="str">
            <v>FOR CANCELLATION</v>
          </cell>
          <cell r="J162" t="str">
            <v>FOR CANCELLATION</v>
          </cell>
          <cell r="K162" t="str">
            <v>FOR CANCELLATION</v>
          </cell>
          <cell r="L162" t="str">
            <v>FOR CANCELLATION</v>
          </cell>
          <cell r="M162" t="str">
            <v>FOR CANCELLATION</v>
          </cell>
          <cell r="N162" t="str">
            <v>FOR CANCELLATION</v>
          </cell>
          <cell r="O162" t="str">
            <v>FOR CANCELLATION</v>
          </cell>
          <cell r="P162" t="str">
            <v>FOR CANCELLATION</v>
          </cell>
          <cell r="Q162" t="str">
            <v>FOR CANCELLATION</v>
          </cell>
          <cell r="R162" t="str">
            <v>FOR CANCELLATION</v>
          </cell>
          <cell r="S162" t="str">
            <v>FOR CANCELLATION</v>
          </cell>
          <cell r="T162" t="str">
            <v>FOR CANCELLATION</v>
          </cell>
          <cell r="U162" t="str">
            <v>OS</v>
          </cell>
          <cell r="V162" t="str">
            <v>OS</v>
          </cell>
          <cell r="W162" t="str">
            <v>OS</v>
          </cell>
          <cell r="X162" t="str">
            <v>OS</v>
          </cell>
          <cell r="Y162" t="str">
            <v>OS</v>
          </cell>
          <cell r="Z162" t="str">
            <v>OS</v>
          </cell>
          <cell r="AA162" t="str">
            <v>OS</v>
          </cell>
          <cell r="AB162" t="str">
            <v>OS</v>
          </cell>
          <cell r="AC162" t="str">
            <v>OS</v>
          </cell>
          <cell r="AD162" t="str">
            <v>AGM-01-007-040</v>
          </cell>
          <cell r="AE162" t="str">
            <v xml:space="preserve">Raemulan Lands, Inc. </v>
          </cell>
          <cell r="AF162" t="str">
            <v>Agapeya</v>
          </cell>
          <cell r="AG162" t="str">
            <v>AGM</v>
          </cell>
          <cell r="AH162" t="str">
            <v>Eco-High</v>
          </cell>
          <cell r="AI162" t="str">
            <v>West</v>
          </cell>
          <cell r="AJ162" t="str">
            <v>With LTS</v>
          </cell>
          <cell r="AK162" t="str">
            <v>Unaffected lots</v>
          </cell>
          <cell r="AL162" t="str">
            <v>Unaffected lots</v>
          </cell>
          <cell r="AM162" t="b">
            <v>1</v>
          </cell>
          <cell r="AN162" t="str">
            <v>YES</v>
          </cell>
          <cell r="AO162" t="str">
            <v>2024 Batch</v>
          </cell>
          <cell r="AP162">
            <v>70</v>
          </cell>
          <cell r="AQ162" t="str">
            <v>PCS-04-034407</v>
          </cell>
          <cell r="AR162" t="b">
            <v>1</v>
          </cell>
          <cell r="AS162" t="str">
            <v>Done</v>
          </cell>
          <cell r="AT162" t="str">
            <v>2024 Batch</v>
          </cell>
          <cell r="AU162">
            <v>7</v>
          </cell>
          <cell r="AV162">
            <v>40</v>
          </cell>
          <cell r="AW162" t="str">
            <v>H+L</v>
          </cell>
          <cell r="AX162">
            <v>70</v>
          </cell>
          <cell r="AY162">
            <v>50</v>
          </cell>
          <cell r="AZ162" t="str">
            <v>Duplex</v>
          </cell>
          <cell r="BA162">
            <v>1</v>
          </cell>
          <cell r="BB162" t="str">
            <v>326 - With Partition</v>
          </cell>
          <cell r="BC162" t="str">
            <v>With Partition</v>
          </cell>
          <cell r="BD162" t="str">
            <v>Flat</v>
          </cell>
          <cell r="BE162" t="str">
            <v>With Partition</v>
          </cell>
          <cell r="BF162" t="str">
            <v>GREEN</v>
          </cell>
          <cell r="BG162">
            <v>2650000</v>
          </cell>
          <cell r="BH162">
            <v>2850000</v>
          </cell>
          <cell r="BI162">
            <v>100000</v>
          </cell>
          <cell r="BJ162">
            <v>2750000</v>
          </cell>
          <cell r="BK162">
            <v>0</v>
          </cell>
          <cell r="BL162">
            <v>2750000</v>
          </cell>
        </row>
        <row r="163">
          <cell r="D163" t="str">
            <v>OS</v>
          </cell>
          <cell r="E163"/>
          <cell r="F163">
            <v>143</v>
          </cell>
          <cell r="G163" t="str">
            <v>SOLD</v>
          </cell>
          <cell r="H163" t="str">
            <v>OS</v>
          </cell>
          <cell r="I163" t="str">
            <v>OS</v>
          </cell>
          <cell r="J163" t="str">
            <v>OS</v>
          </cell>
          <cell r="K163" t="str">
            <v>OS</v>
          </cell>
          <cell r="L163" t="str">
            <v>OS</v>
          </cell>
          <cell r="M163" t="str">
            <v>OS</v>
          </cell>
          <cell r="N163" t="str">
            <v>OS</v>
          </cell>
          <cell r="O163" t="str">
            <v>OS</v>
          </cell>
          <cell r="P163" t="str">
            <v>OS</v>
          </cell>
          <cell r="Q163" t="str">
            <v>OS</v>
          </cell>
          <cell r="R163" t="str">
            <v>OS</v>
          </cell>
          <cell r="S163" t="str">
            <v>OS</v>
          </cell>
          <cell r="T163" t="str">
            <v>OS</v>
          </cell>
          <cell r="U163" t="str">
            <v>OS</v>
          </cell>
          <cell r="V163" t="str">
            <v>OS</v>
          </cell>
          <cell r="W163" t="str">
            <v>OS</v>
          </cell>
          <cell r="X163" t="str">
            <v>OS</v>
          </cell>
          <cell r="Y163" t="str">
            <v>OS</v>
          </cell>
          <cell r="Z163" t="str">
            <v>OS</v>
          </cell>
          <cell r="AA163" t="str">
            <v>OS</v>
          </cell>
          <cell r="AB163" t="str">
            <v>OS</v>
          </cell>
          <cell r="AC163" t="str">
            <v>OS</v>
          </cell>
          <cell r="AD163" t="str">
            <v>AGM-01-007-041</v>
          </cell>
          <cell r="AE163" t="str">
            <v xml:space="preserve">Raemulan Lands, Inc. </v>
          </cell>
          <cell r="AF163" t="str">
            <v>Agapeya</v>
          </cell>
          <cell r="AG163" t="str">
            <v>AGM</v>
          </cell>
          <cell r="AH163" t="str">
            <v>Eco-High</v>
          </cell>
          <cell r="AI163" t="str">
            <v>West</v>
          </cell>
          <cell r="AJ163" t="str">
            <v>With LTS</v>
          </cell>
          <cell r="AK163" t="str">
            <v>Unaffected lots</v>
          </cell>
          <cell r="AL163" t="str">
            <v>Unaffected lots</v>
          </cell>
          <cell r="AM163" t="b">
            <v>1</v>
          </cell>
          <cell r="AN163" t="str">
            <v>YES</v>
          </cell>
          <cell r="AO163" t="str">
            <v>2024 Batch</v>
          </cell>
          <cell r="AP163">
            <v>70</v>
          </cell>
          <cell r="AQ163" t="str">
            <v>PCS-04-034407</v>
          </cell>
          <cell r="AR163" t="b">
            <v>1</v>
          </cell>
          <cell r="AS163" t="str">
            <v>Done</v>
          </cell>
          <cell r="AT163" t="str">
            <v>2024 Batch</v>
          </cell>
          <cell r="AU163">
            <v>7</v>
          </cell>
          <cell r="AV163">
            <v>41</v>
          </cell>
          <cell r="AW163" t="str">
            <v>H+L</v>
          </cell>
          <cell r="AX163">
            <v>70</v>
          </cell>
          <cell r="AY163">
            <v>50</v>
          </cell>
          <cell r="AZ163" t="str">
            <v>Duplex</v>
          </cell>
          <cell r="BA163">
            <v>1</v>
          </cell>
          <cell r="BB163" t="str">
            <v>326 - With Partition</v>
          </cell>
          <cell r="BC163" t="str">
            <v xml:space="preserve">Without Partition </v>
          </cell>
          <cell r="BD163" t="str">
            <v>Slant</v>
          </cell>
          <cell r="BE163" t="str">
            <v xml:space="preserve">Without Partition </v>
          </cell>
          <cell r="BF163" t="str">
            <v>GREEN</v>
          </cell>
          <cell r="BG163">
            <v>2707500</v>
          </cell>
          <cell r="BH163">
            <v>2650000</v>
          </cell>
          <cell r="BI163">
            <v>100000</v>
          </cell>
          <cell r="BJ163">
            <v>2550000</v>
          </cell>
          <cell r="BK163">
            <v>0</v>
          </cell>
          <cell r="BL163">
            <v>2550000</v>
          </cell>
        </row>
        <row r="164">
          <cell r="D164" t="str">
            <v>OS</v>
          </cell>
          <cell r="E164"/>
          <cell r="F164">
            <v>144</v>
          </cell>
          <cell r="G164" t="str">
            <v>SOLD</v>
          </cell>
          <cell r="H164" t="str">
            <v>OS</v>
          </cell>
          <cell r="I164" t="str">
            <v>OS</v>
          </cell>
          <cell r="J164" t="str">
            <v>OS</v>
          </cell>
          <cell r="K164" t="str">
            <v>OS</v>
          </cell>
          <cell r="L164" t="str">
            <v>OS</v>
          </cell>
          <cell r="M164" t="str">
            <v>OS</v>
          </cell>
          <cell r="N164" t="str">
            <v>OS</v>
          </cell>
          <cell r="O164" t="str">
            <v>OS</v>
          </cell>
          <cell r="P164" t="str">
            <v>OS</v>
          </cell>
          <cell r="Q164" t="str">
            <v>OS</v>
          </cell>
          <cell r="R164" t="str">
            <v>OS</v>
          </cell>
          <cell r="S164" t="str">
            <v>OS</v>
          </cell>
          <cell r="T164" t="str">
            <v>OS</v>
          </cell>
          <cell r="U164" t="str">
            <v>OS</v>
          </cell>
          <cell r="V164" t="str">
            <v>OS</v>
          </cell>
          <cell r="W164" t="str">
            <v>OS</v>
          </cell>
          <cell r="X164" t="str">
            <v>OS</v>
          </cell>
          <cell r="Y164" t="str">
            <v>OS</v>
          </cell>
          <cell r="Z164" t="str">
            <v>OS</v>
          </cell>
          <cell r="AA164" t="str">
            <v>OS</v>
          </cell>
          <cell r="AB164" t="str">
            <v>OS</v>
          </cell>
          <cell r="AC164" t="str">
            <v>OS</v>
          </cell>
          <cell r="AD164" t="str">
            <v>AGM-01-007-042</v>
          </cell>
          <cell r="AE164" t="str">
            <v xml:space="preserve">Raemulan Lands, Inc. </v>
          </cell>
          <cell r="AF164" t="str">
            <v>Agapeya</v>
          </cell>
          <cell r="AG164" t="str">
            <v>AGM</v>
          </cell>
          <cell r="AH164" t="str">
            <v>Eco-High</v>
          </cell>
          <cell r="AI164" t="str">
            <v>West</v>
          </cell>
          <cell r="AJ164" t="str">
            <v>With LTS</v>
          </cell>
          <cell r="AK164" t="str">
            <v>Unaffected lots</v>
          </cell>
          <cell r="AL164" t="str">
            <v>Unaffected lots</v>
          </cell>
          <cell r="AM164" t="b">
            <v>1</v>
          </cell>
          <cell r="AN164" t="str">
            <v>YES</v>
          </cell>
          <cell r="AO164" t="str">
            <v>2024 Batch</v>
          </cell>
          <cell r="AP164">
            <v>100</v>
          </cell>
          <cell r="AQ164" t="str">
            <v>PCS-04-034407</v>
          </cell>
          <cell r="AR164" t="b">
            <v>1</v>
          </cell>
          <cell r="AS164" t="str">
            <v>Done</v>
          </cell>
          <cell r="AT164" t="str">
            <v>2024 Batch</v>
          </cell>
          <cell r="AU164">
            <v>7</v>
          </cell>
          <cell r="AV164">
            <v>42</v>
          </cell>
          <cell r="AW164" t="str">
            <v>H+L</v>
          </cell>
          <cell r="AX164">
            <v>100</v>
          </cell>
          <cell r="AY164">
            <v>50</v>
          </cell>
          <cell r="AZ164" t="str">
            <v>Duplex</v>
          </cell>
          <cell r="BA164">
            <v>1</v>
          </cell>
          <cell r="BB164" t="str">
            <v>326 - With Partition</v>
          </cell>
          <cell r="BC164" t="str">
            <v>With Partition</v>
          </cell>
          <cell r="BD164" t="str">
            <v>Slant</v>
          </cell>
          <cell r="BE164" t="str">
            <v>With Partition</v>
          </cell>
          <cell r="BF164" t="str">
            <v>PINK</v>
          </cell>
          <cell r="BG164">
            <v>3200000</v>
          </cell>
          <cell r="BH164">
            <v>3300000</v>
          </cell>
          <cell r="BI164">
            <v>100000</v>
          </cell>
          <cell r="BJ164">
            <v>3200000</v>
          </cell>
          <cell r="BK164">
            <v>0</v>
          </cell>
          <cell r="BL164">
            <v>3200000</v>
          </cell>
        </row>
        <row r="165">
          <cell r="D165" t="str">
            <v>OS</v>
          </cell>
          <cell r="E165"/>
          <cell r="F165">
            <v>145</v>
          </cell>
          <cell r="G165" t="str">
            <v>SOLD</v>
          </cell>
          <cell r="H165" t="str">
            <v>OS</v>
          </cell>
          <cell r="I165" t="str">
            <v>OS</v>
          </cell>
          <cell r="J165" t="str">
            <v>OS</v>
          </cell>
          <cell r="K165" t="str">
            <v>OS</v>
          </cell>
          <cell r="L165" t="str">
            <v>OS</v>
          </cell>
          <cell r="M165" t="str">
            <v>OS</v>
          </cell>
          <cell r="N165" t="str">
            <v>OS</v>
          </cell>
          <cell r="O165" t="str">
            <v>OS</v>
          </cell>
          <cell r="P165" t="str">
            <v>OS</v>
          </cell>
          <cell r="Q165" t="str">
            <v>OS</v>
          </cell>
          <cell r="R165" t="str">
            <v>OS</v>
          </cell>
          <cell r="S165" t="str">
            <v>OS</v>
          </cell>
          <cell r="T165" t="str">
            <v>OS</v>
          </cell>
          <cell r="U165" t="str">
            <v>OS</v>
          </cell>
          <cell r="V165" t="str">
            <v>OS</v>
          </cell>
          <cell r="W165" t="str">
            <v>OS</v>
          </cell>
          <cell r="X165" t="str">
            <v>OS</v>
          </cell>
          <cell r="Y165" t="str">
            <v>OS</v>
          </cell>
          <cell r="Z165" t="str">
            <v>OS</v>
          </cell>
          <cell r="AA165" t="str">
            <v>OS</v>
          </cell>
          <cell r="AB165" t="str">
            <v>OS</v>
          </cell>
          <cell r="AC165" t="str">
            <v>OS</v>
          </cell>
          <cell r="AD165" t="str">
            <v>AGM-01-008-001</v>
          </cell>
          <cell r="AE165" t="str">
            <v xml:space="preserve">Raemulan Lands, Inc. </v>
          </cell>
          <cell r="AF165" t="str">
            <v>Agapeya</v>
          </cell>
          <cell r="AG165" t="str">
            <v>AGM</v>
          </cell>
          <cell r="AH165" t="str">
            <v>Eco-High</v>
          </cell>
          <cell r="AI165" t="str">
            <v>West</v>
          </cell>
          <cell r="AJ165" t="str">
            <v>With LTS</v>
          </cell>
          <cell r="AK165" t="str">
            <v>Unaffected lots</v>
          </cell>
          <cell r="AL165" t="str">
            <v>Unaffected lots</v>
          </cell>
          <cell r="AM165" t="b">
            <v>1</v>
          </cell>
          <cell r="AN165" t="str">
            <v>YES</v>
          </cell>
          <cell r="AO165" t="str">
            <v>2024 Batch</v>
          </cell>
          <cell r="AP165">
            <v>89</v>
          </cell>
          <cell r="AQ165" t="str">
            <v>PCS-04-034407</v>
          </cell>
          <cell r="AR165" t="b">
            <v>1</v>
          </cell>
          <cell r="AS165" t="str">
            <v>Done</v>
          </cell>
          <cell r="AT165" t="str">
            <v>2024 Batch</v>
          </cell>
          <cell r="AU165">
            <v>8</v>
          </cell>
          <cell r="AV165">
            <v>1</v>
          </cell>
          <cell r="AW165" t="str">
            <v>H+L</v>
          </cell>
          <cell r="AX165">
            <v>89</v>
          </cell>
          <cell r="AY165">
            <v>50</v>
          </cell>
          <cell r="AZ165" t="str">
            <v>Duplex</v>
          </cell>
          <cell r="BA165">
            <v>1</v>
          </cell>
          <cell r="BB165" t="str">
            <v>326 - With Partition</v>
          </cell>
          <cell r="BC165" t="str">
            <v>With Partition</v>
          </cell>
          <cell r="BD165" t="str">
            <v>Flat</v>
          </cell>
          <cell r="BE165" t="str">
            <v>With Partition</v>
          </cell>
          <cell r="BF165" t="str">
            <v>PURPLE</v>
          </cell>
          <cell r="BG165">
            <v>2992500</v>
          </cell>
          <cell r="BH165">
            <v>3135000</v>
          </cell>
          <cell r="BI165">
            <v>100000</v>
          </cell>
          <cell r="BJ165">
            <v>3035000</v>
          </cell>
          <cell r="BK165">
            <v>0</v>
          </cell>
          <cell r="BL165">
            <v>3035000</v>
          </cell>
        </row>
        <row r="166">
          <cell r="D166" t="str">
            <v>OS</v>
          </cell>
          <cell r="E166"/>
          <cell r="F166">
            <v>146</v>
          </cell>
          <cell r="G166" t="str">
            <v>SOLD</v>
          </cell>
          <cell r="H166" t="str">
            <v>OS</v>
          </cell>
          <cell r="I166" t="str">
            <v>OS</v>
          </cell>
          <cell r="J166" t="str">
            <v>OS</v>
          </cell>
          <cell r="K166" t="str">
            <v>OS</v>
          </cell>
          <cell r="L166" t="str">
            <v>OS</v>
          </cell>
          <cell r="M166" t="str">
            <v>OS</v>
          </cell>
          <cell r="N166" t="str">
            <v>OS</v>
          </cell>
          <cell r="O166" t="str">
            <v>OS</v>
          </cell>
          <cell r="P166" t="str">
            <v>OS</v>
          </cell>
          <cell r="Q166" t="str">
            <v>OS</v>
          </cell>
          <cell r="R166" t="str">
            <v>OS</v>
          </cell>
          <cell r="S166" t="str">
            <v>OS</v>
          </cell>
          <cell r="T166" t="str">
            <v>OS</v>
          </cell>
          <cell r="U166" t="str">
            <v>OS</v>
          </cell>
          <cell r="V166" t="str">
            <v>OS</v>
          </cell>
          <cell r="W166" t="str">
            <v>OS</v>
          </cell>
          <cell r="X166" t="str">
            <v>OS</v>
          </cell>
          <cell r="Y166" t="str">
            <v>OS</v>
          </cell>
          <cell r="Z166" t="str">
            <v>OS</v>
          </cell>
          <cell r="AA166" t="str">
            <v>OS</v>
          </cell>
          <cell r="AB166" t="str">
            <v>OS</v>
          </cell>
          <cell r="AC166" t="str">
            <v>OS</v>
          </cell>
          <cell r="AD166" t="str">
            <v>AGM-01-008-002</v>
          </cell>
          <cell r="AE166" t="str">
            <v xml:space="preserve">Raemulan Lands, Inc. </v>
          </cell>
          <cell r="AF166" t="str">
            <v>Agapeya</v>
          </cell>
          <cell r="AG166" t="str">
            <v>AGM</v>
          </cell>
          <cell r="AH166" t="str">
            <v>Eco-High</v>
          </cell>
          <cell r="AI166" t="str">
            <v>West</v>
          </cell>
          <cell r="AJ166" t="str">
            <v>With LTS</v>
          </cell>
          <cell r="AK166" t="str">
            <v>Unaffected lots</v>
          </cell>
          <cell r="AL166" t="str">
            <v>Unaffected lots</v>
          </cell>
          <cell r="AM166" t="b">
            <v>1</v>
          </cell>
          <cell r="AN166" t="str">
            <v>YES</v>
          </cell>
          <cell r="AO166" t="str">
            <v>2024 Batch</v>
          </cell>
          <cell r="AP166">
            <v>70</v>
          </cell>
          <cell r="AQ166" t="str">
            <v>PCS-04-034407</v>
          </cell>
          <cell r="AR166" t="b">
            <v>1</v>
          </cell>
          <cell r="AS166" t="str">
            <v>Done</v>
          </cell>
          <cell r="AT166" t="str">
            <v>2024 Batch</v>
          </cell>
          <cell r="AU166">
            <v>8</v>
          </cell>
          <cell r="AV166">
            <v>2</v>
          </cell>
          <cell r="AW166" t="str">
            <v>H+L</v>
          </cell>
          <cell r="AX166">
            <v>70</v>
          </cell>
          <cell r="AY166">
            <v>50</v>
          </cell>
          <cell r="AZ166" t="str">
            <v>Duplex</v>
          </cell>
          <cell r="BA166">
            <v>1</v>
          </cell>
          <cell r="BB166" t="str">
            <v>326 - With Partition</v>
          </cell>
          <cell r="BC166" t="str">
            <v xml:space="preserve">Without Partition </v>
          </cell>
          <cell r="BD166" t="str">
            <v>Slant</v>
          </cell>
          <cell r="BE166" t="str">
            <v xml:space="preserve">Without Partition </v>
          </cell>
          <cell r="BF166" t="str">
            <v>PURPLE</v>
          </cell>
          <cell r="BG166">
            <v>2500000</v>
          </cell>
          <cell r="BH166">
            <v>2650000</v>
          </cell>
          <cell r="BI166">
            <v>100000</v>
          </cell>
          <cell r="BJ166">
            <v>2550000</v>
          </cell>
          <cell r="BK166">
            <v>0</v>
          </cell>
          <cell r="BL166">
            <v>2550000</v>
          </cell>
        </row>
        <row r="167">
          <cell r="D167" t="str">
            <v>OS</v>
          </cell>
          <cell r="E167"/>
          <cell r="F167">
            <v>147</v>
          </cell>
          <cell r="G167" t="str">
            <v>SOLD</v>
          </cell>
          <cell r="H167" t="str">
            <v>OS</v>
          </cell>
          <cell r="I167" t="str">
            <v>OS</v>
          </cell>
          <cell r="J167" t="str">
            <v>OS</v>
          </cell>
          <cell r="K167" t="str">
            <v>OS</v>
          </cell>
          <cell r="L167" t="str">
            <v>OS</v>
          </cell>
          <cell r="M167" t="str">
            <v>OS</v>
          </cell>
          <cell r="N167" t="str">
            <v>OS</v>
          </cell>
          <cell r="O167" t="str">
            <v>OS</v>
          </cell>
          <cell r="P167" t="str">
            <v>OS</v>
          </cell>
          <cell r="Q167" t="str">
            <v>OS</v>
          </cell>
          <cell r="R167" t="str">
            <v>OS</v>
          </cell>
          <cell r="S167" t="str">
            <v>OS</v>
          </cell>
          <cell r="T167" t="str">
            <v>OS</v>
          </cell>
          <cell r="U167" t="str">
            <v>OS</v>
          </cell>
          <cell r="V167" t="str">
            <v>OS</v>
          </cell>
          <cell r="W167" t="str">
            <v>OS</v>
          </cell>
          <cell r="X167" t="str">
            <v>OS</v>
          </cell>
          <cell r="Y167" t="str">
            <v>OS</v>
          </cell>
          <cell r="Z167" t="str">
            <v>OS</v>
          </cell>
          <cell r="AA167" t="str">
            <v>OS</v>
          </cell>
          <cell r="AB167" t="str">
            <v>OS</v>
          </cell>
          <cell r="AC167" t="str">
            <v>OS</v>
          </cell>
          <cell r="AD167" t="str">
            <v>AGM-01-008-003</v>
          </cell>
          <cell r="AE167" t="str">
            <v xml:space="preserve">Raemulan Lands, Inc. </v>
          </cell>
          <cell r="AF167" t="str">
            <v>Agapeya</v>
          </cell>
          <cell r="AG167" t="str">
            <v>AGM</v>
          </cell>
          <cell r="AH167" t="str">
            <v>Eco-High</v>
          </cell>
          <cell r="AI167" t="str">
            <v>West</v>
          </cell>
          <cell r="AJ167" t="str">
            <v>With LTS</v>
          </cell>
          <cell r="AK167" t="str">
            <v>for conso</v>
          </cell>
          <cell r="AL167" t="str">
            <v>for conso</v>
          </cell>
          <cell r="AM167" t="b">
            <v>1</v>
          </cell>
          <cell r="AN167" t="str">
            <v>NO</v>
          </cell>
          <cell r="AO167" t="str">
            <v>2024 Batch</v>
          </cell>
          <cell r="AP167" t="str">
            <v>24/46</v>
          </cell>
          <cell r="AQ167" t="str">
            <v>PCS-04-034407/PCS-04-034298</v>
          </cell>
          <cell r="AR167" t="b">
            <v>0</v>
          </cell>
          <cell r="AS167" t="str">
            <v>For Conso</v>
          </cell>
          <cell r="AT167" t="str">
            <v>2024 Batch</v>
          </cell>
          <cell r="AU167">
            <v>8</v>
          </cell>
          <cell r="AV167">
            <v>3</v>
          </cell>
          <cell r="AW167" t="str">
            <v>H+L</v>
          </cell>
          <cell r="AX167">
            <v>70</v>
          </cell>
          <cell r="AY167">
            <v>50</v>
          </cell>
          <cell r="AZ167" t="str">
            <v>Duplex</v>
          </cell>
          <cell r="BA167">
            <v>1</v>
          </cell>
          <cell r="BB167" t="str">
            <v>326 - With Partition</v>
          </cell>
          <cell r="BC167" t="str">
            <v>With Partition</v>
          </cell>
          <cell r="BD167" t="str">
            <v>Slant</v>
          </cell>
          <cell r="BE167" t="str">
            <v>With Partition</v>
          </cell>
          <cell r="BF167" t="str">
            <v>PURPLE</v>
          </cell>
          <cell r="BG167">
            <v>2600000</v>
          </cell>
          <cell r="BH167">
            <v>2850000</v>
          </cell>
          <cell r="BI167">
            <v>100000</v>
          </cell>
          <cell r="BJ167">
            <v>2750000</v>
          </cell>
          <cell r="BK167">
            <v>0</v>
          </cell>
          <cell r="BL167">
            <v>2750000</v>
          </cell>
        </row>
        <row r="168">
          <cell r="D168" t="str">
            <v>OS</v>
          </cell>
          <cell r="E168"/>
          <cell r="F168">
            <v>148</v>
          </cell>
          <cell r="G168" t="str">
            <v>SOLD</v>
          </cell>
          <cell r="H168" t="str">
            <v>OS</v>
          </cell>
          <cell r="I168" t="str">
            <v>OS</v>
          </cell>
          <cell r="J168" t="str">
            <v>OS</v>
          </cell>
          <cell r="K168" t="str">
            <v>OS</v>
          </cell>
          <cell r="L168" t="str">
            <v>OS</v>
          </cell>
          <cell r="M168" t="str">
            <v>OS</v>
          </cell>
          <cell r="N168" t="str">
            <v>OS</v>
          </cell>
          <cell r="O168" t="str">
            <v>OS</v>
          </cell>
          <cell r="P168" t="str">
            <v>OS</v>
          </cell>
          <cell r="Q168" t="str">
            <v>OS</v>
          </cell>
          <cell r="R168" t="str">
            <v>OS</v>
          </cell>
          <cell r="S168" t="str">
            <v>OS</v>
          </cell>
          <cell r="T168" t="str">
            <v>OS</v>
          </cell>
          <cell r="U168" t="str">
            <v>OS</v>
          </cell>
          <cell r="V168" t="str">
            <v>OS</v>
          </cell>
          <cell r="W168" t="str">
            <v>OS</v>
          </cell>
          <cell r="X168" t="str">
            <v>OS</v>
          </cell>
          <cell r="Y168" t="str">
            <v>OS</v>
          </cell>
          <cell r="Z168" t="str">
            <v>OS</v>
          </cell>
          <cell r="AA168" t="str">
            <v>OS</v>
          </cell>
          <cell r="AB168" t="str">
            <v>OS</v>
          </cell>
          <cell r="AC168" t="str">
            <v>OS</v>
          </cell>
          <cell r="AD168" t="str">
            <v>AGM-01-008-004</v>
          </cell>
          <cell r="AE168" t="str">
            <v xml:space="preserve">Raemulan Lands, Inc. </v>
          </cell>
          <cell r="AF168" t="str">
            <v>Agapeya</v>
          </cell>
          <cell r="AG168" t="str">
            <v>AGM</v>
          </cell>
          <cell r="AH168" t="str">
            <v>Eco-High</v>
          </cell>
          <cell r="AI168" t="str">
            <v>West</v>
          </cell>
          <cell r="AJ168" t="str">
            <v>With LTS</v>
          </cell>
          <cell r="AK168" t="str">
            <v>Unaffected lots</v>
          </cell>
          <cell r="AL168" t="str">
            <v>Unaffected lots</v>
          </cell>
          <cell r="AM168" t="b">
            <v>1</v>
          </cell>
          <cell r="AN168" t="str">
            <v>YES</v>
          </cell>
          <cell r="AO168" t="str">
            <v>2024 Batch</v>
          </cell>
          <cell r="AP168">
            <v>70</v>
          </cell>
          <cell r="AQ168" t="str">
            <v>PCS-04-034298</v>
          </cell>
          <cell r="AR168" t="b">
            <v>1</v>
          </cell>
          <cell r="AS168" t="str">
            <v>Done</v>
          </cell>
          <cell r="AT168" t="str">
            <v>2024 Batch</v>
          </cell>
          <cell r="AU168">
            <v>8</v>
          </cell>
          <cell r="AV168">
            <v>4</v>
          </cell>
          <cell r="AW168" t="str">
            <v>H+L</v>
          </cell>
          <cell r="AX168">
            <v>70</v>
          </cell>
          <cell r="AY168">
            <v>50</v>
          </cell>
          <cell r="AZ168" t="str">
            <v>Duplex</v>
          </cell>
          <cell r="BA168">
            <v>1</v>
          </cell>
          <cell r="BB168" t="str">
            <v>326 - With Partition</v>
          </cell>
          <cell r="BC168" t="str">
            <v>With Partition</v>
          </cell>
          <cell r="BD168" t="str">
            <v>Flat</v>
          </cell>
          <cell r="BE168" t="str">
            <v>With Partition</v>
          </cell>
          <cell r="BF168" t="str">
            <v>PURPLE</v>
          </cell>
          <cell r="BG168">
            <v>2707500</v>
          </cell>
          <cell r="BH168">
            <v>2850000</v>
          </cell>
          <cell r="BI168">
            <v>100000</v>
          </cell>
          <cell r="BJ168">
            <v>2750000</v>
          </cell>
          <cell r="BK168">
            <v>0</v>
          </cell>
          <cell r="BL168">
            <v>2750000</v>
          </cell>
        </row>
        <row r="169">
          <cell r="D169" t="str">
            <v>OS</v>
          </cell>
          <cell r="E169"/>
          <cell r="F169">
            <v>149</v>
          </cell>
          <cell r="G169" t="str">
            <v>SOLD</v>
          </cell>
          <cell r="H169" t="str">
            <v>OS</v>
          </cell>
          <cell r="I169" t="str">
            <v>OS</v>
          </cell>
          <cell r="J169" t="str">
            <v>OS</v>
          </cell>
          <cell r="K169" t="str">
            <v>OS</v>
          </cell>
          <cell r="L169" t="str">
            <v>OS</v>
          </cell>
          <cell r="M169" t="str">
            <v>OS</v>
          </cell>
          <cell r="N169" t="str">
            <v>OS</v>
          </cell>
          <cell r="O169" t="str">
            <v>OS</v>
          </cell>
          <cell r="P169" t="str">
            <v>OS</v>
          </cell>
          <cell r="Q169" t="str">
            <v>OS</v>
          </cell>
          <cell r="R169" t="str">
            <v>OS</v>
          </cell>
          <cell r="S169" t="str">
            <v>OS</v>
          </cell>
          <cell r="T169" t="str">
            <v>OS</v>
          </cell>
          <cell r="U169" t="str">
            <v>OS</v>
          </cell>
          <cell r="V169" t="str">
            <v>OS</v>
          </cell>
          <cell r="W169" t="str">
            <v>OS</v>
          </cell>
          <cell r="X169" t="str">
            <v>OS</v>
          </cell>
          <cell r="Y169" t="str">
            <v>OS</v>
          </cell>
          <cell r="Z169" t="str">
            <v>OS</v>
          </cell>
          <cell r="AA169" t="str">
            <v>OS</v>
          </cell>
          <cell r="AB169" t="str">
            <v>OS</v>
          </cell>
          <cell r="AC169" t="str">
            <v>OS</v>
          </cell>
          <cell r="AD169" t="str">
            <v>AGM-01-008-005</v>
          </cell>
          <cell r="AE169" t="str">
            <v xml:space="preserve">Raemulan Lands, Inc. </v>
          </cell>
          <cell r="AF169" t="str">
            <v>Agapeya</v>
          </cell>
          <cell r="AG169" t="str">
            <v>AGM</v>
          </cell>
          <cell r="AH169" t="str">
            <v>Eco-High</v>
          </cell>
          <cell r="AI169" t="str">
            <v>West</v>
          </cell>
          <cell r="AJ169" t="str">
            <v>With LTS</v>
          </cell>
          <cell r="AK169" t="str">
            <v>Unaffected lots</v>
          </cell>
          <cell r="AL169" t="str">
            <v>Unaffected lots</v>
          </cell>
          <cell r="AM169" t="b">
            <v>1</v>
          </cell>
          <cell r="AN169" t="str">
            <v>YES</v>
          </cell>
          <cell r="AO169" t="str">
            <v>2024 Batch</v>
          </cell>
          <cell r="AP169">
            <v>70</v>
          </cell>
          <cell r="AQ169" t="str">
            <v>PCS-04-034298</v>
          </cell>
          <cell r="AR169" t="b">
            <v>1</v>
          </cell>
          <cell r="AS169" t="str">
            <v>Done</v>
          </cell>
          <cell r="AT169" t="str">
            <v>2024 Batch</v>
          </cell>
          <cell r="AU169">
            <v>8</v>
          </cell>
          <cell r="AV169">
            <v>5</v>
          </cell>
          <cell r="AW169" t="str">
            <v>H+L</v>
          </cell>
          <cell r="AX169">
            <v>70</v>
          </cell>
          <cell r="AY169">
            <v>50</v>
          </cell>
          <cell r="AZ169" t="str">
            <v>Duplex</v>
          </cell>
          <cell r="BA169">
            <v>1</v>
          </cell>
          <cell r="BB169" t="str">
            <v>326 - With Partition</v>
          </cell>
          <cell r="BC169" t="str">
            <v xml:space="preserve">Without Partition </v>
          </cell>
          <cell r="BD169" t="str">
            <v>Flat</v>
          </cell>
          <cell r="BE169" t="str">
            <v xml:space="preserve">Without Partition </v>
          </cell>
          <cell r="BF169" t="str">
            <v>PINK</v>
          </cell>
          <cell r="BG169">
            <v>2500000</v>
          </cell>
          <cell r="BH169">
            <v>2650000</v>
          </cell>
          <cell r="BI169">
            <v>100000</v>
          </cell>
          <cell r="BJ169">
            <v>2550000</v>
          </cell>
          <cell r="BK169">
            <v>0</v>
          </cell>
          <cell r="BL169">
            <v>2550000</v>
          </cell>
        </row>
        <row r="170">
          <cell r="D170" t="str">
            <v>OS</v>
          </cell>
          <cell r="E170"/>
          <cell r="F170">
            <v>150</v>
          </cell>
          <cell r="G170" t="str">
            <v>SOLD</v>
          </cell>
          <cell r="H170" t="str">
            <v>OS</v>
          </cell>
          <cell r="I170" t="str">
            <v>OS</v>
          </cell>
          <cell r="J170" t="str">
            <v>OS</v>
          </cell>
          <cell r="K170" t="str">
            <v>OS</v>
          </cell>
          <cell r="L170" t="str">
            <v>OS</v>
          </cell>
          <cell r="M170" t="str">
            <v>OS</v>
          </cell>
          <cell r="N170" t="str">
            <v>OS</v>
          </cell>
          <cell r="O170" t="str">
            <v>OS</v>
          </cell>
          <cell r="P170" t="str">
            <v>OS</v>
          </cell>
          <cell r="Q170" t="str">
            <v>OS</v>
          </cell>
          <cell r="R170" t="str">
            <v>OS</v>
          </cell>
          <cell r="S170" t="str">
            <v>OS</v>
          </cell>
          <cell r="T170" t="str">
            <v>OS</v>
          </cell>
          <cell r="U170" t="str">
            <v>OS</v>
          </cell>
          <cell r="V170" t="str">
            <v>OS</v>
          </cell>
          <cell r="W170" t="str">
            <v>OS</v>
          </cell>
          <cell r="X170" t="str">
            <v>OS</v>
          </cell>
          <cell r="Y170" t="str">
            <v>OS</v>
          </cell>
          <cell r="Z170" t="str">
            <v>OS</v>
          </cell>
          <cell r="AA170" t="str">
            <v>OS</v>
          </cell>
          <cell r="AB170" t="str">
            <v>OS</v>
          </cell>
          <cell r="AC170" t="str">
            <v>OS</v>
          </cell>
          <cell r="AD170" t="str">
            <v>AGM-01-008-006</v>
          </cell>
          <cell r="AE170" t="str">
            <v xml:space="preserve">Raemulan Lands, Inc. </v>
          </cell>
          <cell r="AF170" t="str">
            <v>Agapeya</v>
          </cell>
          <cell r="AG170" t="str">
            <v>AGM</v>
          </cell>
          <cell r="AH170" t="str">
            <v>Eco-High</v>
          </cell>
          <cell r="AI170" t="str">
            <v>West</v>
          </cell>
          <cell r="AJ170" t="str">
            <v>With LTS</v>
          </cell>
          <cell r="AK170" t="str">
            <v>Unaffected lots</v>
          </cell>
          <cell r="AL170" t="str">
            <v>Unaffected lots</v>
          </cell>
          <cell r="AM170" t="b">
            <v>1</v>
          </cell>
          <cell r="AN170" t="str">
            <v>YES</v>
          </cell>
          <cell r="AO170" t="str">
            <v>2024 Batch</v>
          </cell>
          <cell r="AP170">
            <v>70</v>
          </cell>
          <cell r="AQ170" t="str">
            <v>PCS-04-034298</v>
          </cell>
          <cell r="AR170" t="b">
            <v>1</v>
          </cell>
          <cell r="AS170" t="str">
            <v>Done</v>
          </cell>
          <cell r="AT170" t="str">
            <v>2024 Batch</v>
          </cell>
          <cell r="AU170">
            <v>8</v>
          </cell>
          <cell r="AV170">
            <v>6</v>
          </cell>
          <cell r="AW170" t="str">
            <v>H+L</v>
          </cell>
          <cell r="AX170">
            <v>70</v>
          </cell>
          <cell r="AY170">
            <v>50</v>
          </cell>
          <cell r="AZ170" t="str">
            <v>Duplex</v>
          </cell>
          <cell r="BA170">
            <v>1</v>
          </cell>
          <cell r="BB170" t="str">
            <v>326 - With Partition</v>
          </cell>
          <cell r="BC170" t="str">
            <v>With Partition</v>
          </cell>
          <cell r="BD170" t="str">
            <v>Slant</v>
          </cell>
          <cell r="BE170" t="str">
            <v>With Partition</v>
          </cell>
          <cell r="BF170" t="str">
            <v>PINK</v>
          </cell>
          <cell r="BG170">
            <v>2600000</v>
          </cell>
          <cell r="BH170">
            <v>2850000</v>
          </cell>
          <cell r="BI170">
            <v>100000</v>
          </cell>
          <cell r="BJ170">
            <v>2750000</v>
          </cell>
          <cell r="BK170">
            <v>0</v>
          </cell>
          <cell r="BL170">
            <v>2750000</v>
          </cell>
        </row>
        <row r="171">
          <cell r="D171" t="str">
            <v>OS</v>
          </cell>
          <cell r="E171"/>
          <cell r="F171">
            <v>151</v>
          </cell>
          <cell r="G171" t="str">
            <v>SOLD</v>
          </cell>
          <cell r="H171" t="str">
            <v>OS</v>
          </cell>
          <cell r="I171" t="str">
            <v>OS</v>
          </cell>
          <cell r="J171" t="str">
            <v>OS</v>
          </cell>
          <cell r="K171" t="str">
            <v>OS</v>
          </cell>
          <cell r="L171" t="str">
            <v>OS</v>
          </cell>
          <cell r="M171" t="str">
            <v>OS</v>
          </cell>
          <cell r="N171" t="str">
            <v>OS</v>
          </cell>
          <cell r="O171" t="str">
            <v>OS</v>
          </cell>
          <cell r="P171" t="str">
            <v>OS</v>
          </cell>
          <cell r="Q171" t="str">
            <v>OS</v>
          </cell>
          <cell r="R171" t="str">
            <v>OS</v>
          </cell>
          <cell r="S171" t="str">
            <v>OS</v>
          </cell>
          <cell r="T171" t="str">
            <v>OS</v>
          </cell>
          <cell r="U171" t="str">
            <v>OS</v>
          </cell>
          <cell r="V171" t="str">
            <v>OS</v>
          </cell>
          <cell r="W171" t="str">
            <v>OS</v>
          </cell>
          <cell r="X171" t="str">
            <v>OS</v>
          </cell>
          <cell r="Y171" t="str">
            <v>OS</v>
          </cell>
          <cell r="Z171" t="str">
            <v>OS</v>
          </cell>
          <cell r="AA171" t="str">
            <v>OS</v>
          </cell>
          <cell r="AB171" t="str">
            <v>OS</v>
          </cell>
          <cell r="AC171" t="str">
            <v>OS</v>
          </cell>
          <cell r="AD171" t="str">
            <v>AGM-01-008-007</v>
          </cell>
          <cell r="AE171" t="str">
            <v xml:space="preserve">Raemulan Lands, Inc. </v>
          </cell>
          <cell r="AF171" t="str">
            <v>Agapeya</v>
          </cell>
          <cell r="AG171" t="str">
            <v>AGM</v>
          </cell>
          <cell r="AH171" t="str">
            <v>Eco-High</v>
          </cell>
          <cell r="AI171" t="str">
            <v>West</v>
          </cell>
          <cell r="AJ171" t="str">
            <v>With LTS</v>
          </cell>
          <cell r="AK171" t="str">
            <v>Unaffected lots</v>
          </cell>
          <cell r="AL171" t="str">
            <v>Unaffected lots</v>
          </cell>
          <cell r="AM171" t="b">
            <v>1</v>
          </cell>
          <cell r="AN171" t="str">
            <v>YES</v>
          </cell>
          <cell r="AO171" t="str">
            <v>2024 Batch</v>
          </cell>
          <cell r="AP171">
            <v>70</v>
          </cell>
          <cell r="AQ171" t="str">
            <v>PCS-04-034298</v>
          </cell>
          <cell r="AR171" t="b">
            <v>1</v>
          </cell>
          <cell r="AS171" t="str">
            <v>Done</v>
          </cell>
          <cell r="AT171" t="str">
            <v>2024 Batch</v>
          </cell>
          <cell r="AU171">
            <v>8</v>
          </cell>
          <cell r="AV171">
            <v>7</v>
          </cell>
          <cell r="AW171" t="str">
            <v>H+L</v>
          </cell>
          <cell r="AX171">
            <v>70</v>
          </cell>
          <cell r="AY171">
            <v>50</v>
          </cell>
          <cell r="AZ171" t="str">
            <v>Duplex</v>
          </cell>
          <cell r="BA171">
            <v>1</v>
          </cell>
          <cell r="BB171" t="str">
            <v>326 - With Partition</v>
          </cell>
          <cell r="BC171" t="str">
            <v>With Partition</v>
          </cell>
          <cell r="BD171" t="str">
            <v>Slant</v>
          </cell>
          <cell r="BE171" t="str">
            <v>With Partition</v>
          </cell>
          <cell r="BF171" t="str">
            <v>PINK</v>
          </cell>
          <cell r="BG171">
            <v>2707500</v>
          </cell>
          <cell r="BH171">
            <v>2850000</v>
          </cell>
          <cell r="BI171">
            <v>100000</v>
          </cell>
          <cell r="BJ171">
            <v>2750000</v>
          </cell>
          <cell r="BK171">
            <v>0</v>
          </cell>
          <cell r="BL171">
            <v>2750000</v>
          </cell>
        </row>
        <row r="172">
          <cell r="D172" t="str">
            <v>OS</v>
          </cell>
          <cell r="E172"/>
          <cell r="F172">
            <v>152</v>
          </cell>
          <cell r="G172" t="str">
            <v>SOLD</v>
          </cell>
          <cell r="H172" t="str">
            <v>OS</v>
          </cell>
          <cell r="I172" t="str">
            <v>OS</v>
          </cell>
          <cell r="J172" t="str">
            <v>OS</v>
          </cell>
          <cell r="K172" t="str">
            <v>OS</v>
          </cell>
          <cell r="L172" t="str">
            <v>OS</v>
          </cell>
          <cell r="M172" t="str">
            <v>OS</v>
          </cell>
          <cell r="N172" t="str">
            <v>OS</v>
          </cell>
          <cell r="O172" t="str">
            <v>OS</v>
          </cell>
          <cell r="P172" t="str">
            <v>OS</v>
          </cell>
          <cell r="Q172" t="str">
            <v>OS</v>
          </cell>
          <cell r="R172" t="str">
            <v>OS</v>
          </cell>
          <cell r="S172" t="str">
            <v>OS</v>
          </cell>
          <cell r="T172" t="str">
            <v>OS</v>
          </cell>
          <cell r="U172" t="str">
            <v>OS</v>
          </cell>
          <cell r="V172" t="str">
            <v>OS</v>
          </cell>
          <cell r="W172" t="str">
            <v>OS</v>
          </cell>
          <cell r="X172" t="str">
            <v>OS</v>
          </cell>
          <cell r="Y172" t="str">
            <v>OS</v>
          </cell>
          <cell r="Z172" t="str">
            <v>OS</v>
          </cell>
          <cell r="AA172" t="str">
            <v>OS</v>
          </cell>
          <cell r="AB172" t="str">
            <v>OS</v>
          </cell>
          <cell r="AC172" t="str">
            <v>OS</v>
          </cell>
          <cell r="AD172" t="str">
            <v>AGM-01-008-008</v>
          </cell>
          <cell r="AE172" t="str">
            <v xml:space="preserve">Raemulan Lands, Inc. </v>
          </cell>
          <cell r="AF172" t="str">
            <v>Agapeya</v>
          </cell>
          <cell r="AG172" t="str">
            <v>AGM</v>
          </cell>
          <cell r="AH172" t="str">
            <v>Eco-High</v>
          </cell>
          <cell r="AI172" t="str">
            <v>West</v>
          </cell>
          <cell r="AJ172" t="str">
            <v>With LTS</v>
          </cell>
          <cell r="AK172" t="str">
            <v>Unaffected lots</v>
          </cell>
          <cell r="AL172" t="str">
            <v>Unaffected lots</v>
          </cell>
          <cell r="AM172" t="b">
            <v>1</v>
          </cell>
          <cell r="AN172" t="str">
            <v>YES</v>
          </cell>
          <cell r="AO172" t="str">
            <v>2024 Batch</v>
          </cell>
          <cell r="AP172">
            <v>70</v>
          </cell>
          <cell r="AQ172" t="str">
            <v>PCS-04-034298</v>
          </cell>
          <cell r="AR172" t="b">
            <v>1</v>
          </cell>
          <cell r="AS172" t="str">
            <v>Done</v>
          </cell>
          <cell r="AT172" t="str">
            <v>2024 Batch</v>
          </cell>
          <cell r="AU172">
            <v>8</v>
          </cell>
          <cell r="AV172">
            <v>8</v>
          </cell>
          <cell r="AW172" t="str">
            <v>H+L</v>
          </cell>
          <cell r="AX172">
            <v>70</v>
          </cell>
          <cell r="AY172">
            <v>50</v>
          </cell>
          <cell r="AZ172" t="str">
            <v>Duplex</v>
          </cell>
          <cell r="BA172">
            <v>1</v>
          </cell>
          <cell r="BB172" t="str">
            <v>326 - With Partition</v>
          </cell>
          <cell r="BC172" t="str">
            <v>With Partition</v>
          </cell>
          <cell r="BD172" t="str">
            <v>Flat</v>
          </cell>
          <cell r="BE172" t="str">
            <v>With Partition</v>
          </cell>
          <cell r="BF172" t="str">
            <v>PINK</v>
          </cell>
          <cell r="BG172">
            <v>2707500</v>
          </cell>
          <cell r="BH172">
            <v>2850000</v>
          </cell>
          <cell r="BI172">
            <v>100000</v>
          </cell>
          <cell r="BJ172">
            <v>2750000</v>
          </cell>
          <cell r="BK172">
            <v>0</v>
          </cell>
          <cell r="BL172">
            <v>2750000</v>
          </cell>
        </row>
        <row r="173">
          <cell r="D173" t="str">
            <v>OS</v>
          </cell>
          <cell r="E173"/>
          <cell r="F173">
            <v>153</v>
          </cell>
          <cell r="G173" t="str">
            <v>SOLD</v>
          </cell>
          <cell r="H173" t="str">
            <v>OS</v>
          </cell>
          <cell r="I173" t="str">
            <v>OS</v>
          </cell>
          <cell r="J173" t="str">
            <v>OS</v>
          </cell>
          <cell r="K173" t="str">
            <v>OS</v>
          </cell>
          <cell r="L173" t="str">
            <v>OS</v>
          </cell>
          <cell r="M173" t="str">
            <v>OS</v>
          </cell>
          <cell r="N173" t="str">
            <v>OS</v>
          </cell>
          <cell r="O173" t="str">
            <v>OS</v>
          </cell>
          <cell r="P173" t="str">
            <v>OS</v>
          </cell>
          <cell r="Q173" t="str">
            <v>OS</v>
          </cell>
          <cell r="R173" t="str">
            <v>OS</v>
          </cell>
          <cell r="S173" t="str">
            <v>OS</v>
          </cell>
          <cell r="T173" t="str">
            <v>OS</v>
          </cell>
          <cell r="U173" t="str">
            <v>OS</v>
          </cell>
          <cell r="V173" t="str">
            <v>FOR CANCELLATION</v>
          </cell>
          <cell r="W173" t="str">
            <v>FOR CANCELLATION</v>
          </cell>
          <cell r="X173" t="str">
            <v>FOR CANCELLATION</v>
          </cell>
          <cell r="Y173" t="str">
            <v>OS</v>
          </cell>
          <cell r="Z173" t="str">
            <v>OS</v>
          </cell>
          <cell r="AA173" t="str">
            <v>OS</v>
          </cell>
          <cell r="AB173" t="str">
            <v>OS</v>
          </cell>
          <cell r="AC173" t="str">
            <v>OS</v>
          </cell>
          <cell r="AD173" t="str">
            <v>AGM-01-008-009</v>
          </cell>
          <cell r="AE173" t="str">
            <v xml:space="preserve">Raemulan Lands, Inc. </v>
          </cell>
          <cell r="AF173" t="str">
            <v>Agapeya</v>
          </cell>
          <cell r="AG173" t="str">
            <v>AGM</v>
          </cell>
          <cell r="AH173" t="str">
            <v>Eco-High</v>
          </cell>
          <cell r="AI173" t="str">
            <v>West</v>
          </cell>
          <cell r="AJ173" t="str">
            <v>With LTS</v>
          </cell>
          <cell r="AK173" t="str">
            <v>Unaffected lots</v>
          </cell>
          <cell r="AL173" t="str">
            <v>Unaffected lots</v>
          </cell>
          <cell r="AM173" t="b">
            <v>1</v>
          </cell>
          <cell r="AN173" t="str">
            <v>YES</v>
          </cell>
          <cell r="AO173" t="str">
            <v>2024 Batch</v>
          </cell>
          <cell r="AP173">
            <v>70</v>
          </cell>
          <cell r="AQ173" t="str">
            <v>PCS-04-034298</v>
          </cell>
          <cell r="AR173" t="b">
            <v>1</v>
          </cell>
          <cell r="AS173" t="str">
            <v>Done</v>
          </cell>
          <cell r="AT173" t="str">
            <v>2024 Batch</v>
          </cell>
          <cell r="AU173">
            <v>8</v>
          </cell>
          <cell r="AV173">
            <v>9</v>
          </cell>
          <cell r="AW173" t="str">
            <v>H+L</v>
          </cell>
          <cell r="AX173">
            <v>70</v>
          </cell>
          <cell r="AY173">
            <v>50</v>
          </cell>
          <cell r="AZ173" t="str">
            <v>Duplex</v>
          </cell>
          <cell r="BA173">
            <v>1</v>
          </cell>
          <cell r="BB173" t="str">
            <v>326 - With Partition</v>
          </cell>
          <cell r="BC173" t="str">
            <v>With Partition</v>
          </cell>
          <cell r="BD173" t="str">
            <v>Flat</v>
          </cell>
          <cell r="BE173" t="str">
            <v>With Partition</v>
          </cell>
          <cell r="BF173" t="str">
            <v>YELLOW</v>
          </cell>
          <cell r="BG173">
            <v>2707500</v>
          </cell>
          <cell r="BH173">
            <v>2850000</v>
          </cell>
          <cell r="BI173">
            <v>100000</v>
          </cell>
          <cell r="BJ173">
            <v>2750000</v>
          </cell>
          <cell r="BK173">
            <v>0</v>
          </cell>
          <cell r="BL173">
            <v>2750000</v>
          </cell>
        </row>
        <row r="174">
          <cell r="D174" t="str">
            <v>OS</v>
          </cell>
          <cell r="E174"/>
          <cell r="F174">
            <v>154</v>
          </cell>
          <cell r="G174" t="str">
            <v>UNSOLD</v>
          </cell>
          <cell r="H174" t="str">
            <v>VOLUNTARY</v>
          </cell>
          <cell r="I174" t="str">
            <v>FOR CANCELLATION</v>
          </cell>
          <cell r="J174" t="str">
            <v>FOR CANCELLATION</v>
          </cell>
          <cell r="K174" t="str">
            <v>FOR CANCELLATION</v>
          </cell>
          <cell r="L174" t="str">
            <v>FOR CANCELLATION</v>
          </cell>
          <cell r="M174" t="str">
            <v>FOR CANCELLATION</v>
          </cell>
          <cell r="N174" t="str">
            <v>FOR CANCELLATION</v>
          </cell>
          <cell r="O174" t="str">
            <v>FOR CANCELLATION</v>
          </cell>
          <cell r="P174" t="str">
            <v>FOR CANCELLATION</v>
          </cell>
          <cell r="Q174" t="str">
            <v>TS</v>
          </cell>
          <cell r="R174" t="str">
            <v>TS</v>
          </cell>
          <cell r="S174" t="str">
            <v>TS</v>
          </cell>
          <cell r="T174" t="str">
            <v>TS</v>
          </cell>
          <cell r="U174" t="str">
            <v>TS</v>
          </cell>
          <cell r="V174" t="str">
            <v>OS</v>
          </cell>
          <cell r="W174" t="str">
            <v>TS</v>
          </cell>
          <cell r="X174" t="str">
            <v>OS</v>
          </cell>
          <cell r="Y174" t="str">
            <v>OS</v>
          </cell>
          <cell r="Z174" t="str">
            <v>OS</v>
          </cell>
          <cell r="AA174" t="str">
            <v>OS</v>
          </cell>
          <cell r="AB174" t="str">
            <v>OS</v>
          </cell>
          <cell r="AC174" t="str">
            <v>OS</v>
          </cell>
          <cell r="AD174" t="str">
            <v>AGM-01-008-010</v>
          </cell>
          <cell r="AE174" t="str">
            <v xml:space="preserve">Raemulan Lands, Inc. </v>
          </cell>
          <cell r="AF174" t="str">
            <v>Agapeya</v>
          </cell>
          <cell r="AG174" t="str">
            <v>AGM</v>
          </cell>
          <cell r="AH174" t="str">
            <v>Eco-High</v>
          </cell>
          <cell r="AI174" t="str">
            <v>West</v>
          </cell>
          <cell r="AJ174" t="str">
            <v>With LTS</v>
          </cell>
          <cell r="AK174" t="str">
            <v>Unaffected lots</v>
          </cell>
          <cell r="AL174" t="str">
            <v>Unaffected lots</v>
          </cell>
          <cell r="AM174" t="b">
            <v>1</v>
          </cell>
          <cell r="AN174" t="str">
            <v>YES</v>
          </cell>
          <cell r="AO174" t="str">
            <v>2024 Batch</v>
          </cell>
          <cell r="AP174">
            <v>70</v>
          </cell>
          <cell r="AQ174" t="str">
            <v>PCS-04-034298</v>
          </cell>
          <cell r="AR174" t="b">
            <v>1</v>
          </cell>
          <cell r="AS174" t="str">
            <v>Done</v>
          </cell>
          <cell r="AT174" t="str">
            <v>2024 Batch</v>
          </cell>
          <cell r="AU174">
            <v>8</v>
          </cell>
          <cell r="AV174">
            <v>10</v>
          </cell>
          <cell r="AW174" t="str">
            <v>H+L</v>
          </cell>
          <cell r="AX174">
            <v>70</v>
          </cell>
          <cell r="AY174">
            <v>50</v>
          </cell>
          <cell r="AZ174" t="str">
            <v>Duplex</v>
          </cell>
          <cell r="BA174">
            <v>1</v>
          </cell>
          <cell r="BB174" t="str">
            <v>326 - With Partition</v>
          </cell>
          <cell r="BC174" t="str">
            <v>With Partition</v>
          </cell>
          <cell r="BD174" t="str">
            <v>Slant</v>
          </cell>
          <cell r="BE174" t="str">
            <v>With Partition</v>
          </cell>
          <cell r="BF174" t="str">
            <v>YELLOW</v>
          </cell>
          <cell r="BG174">
            <v>2707500</v>
          </cell>
          <cell r="BH174">
            <v>2850000</v>
          </cell>
          <cell r="BI174">
            <v>100000</v>
          </cell>
          <cell r="BJ174">
            <v>2750000</v>
          </cell>
          <cell r="BK174">
            <v>0</v>
          </cell>
          <cell r="BL174">
            <v>2750000</v>
          </cell>
        </row>
        <row r="175">
          <cell r="D175" t="str">
            <v>OS</v>
          </cell>
          <cell r="E175"/>
          <cell r="F175">
            <v>155</v>
          </cell>
          <cell r="G175" t="str">
            <v>SOLD</v>
          </cell>
          <cell r="H175" t="str">
            <v>OS</v>
          </cell>
          <cell r="I175" t="str">
            <v>OS</v>
          </cell>
          <cell r="J175" t="str">
            <v>OS</v>
          </cell>
          <cell r="K175" t="str">
            <v>OS</v>
          </cell>
          <cell r="L175" t="str">
            <v>OS</v>
          </cell>
          <cell r="M175" t="str">
            <v>OS</v>
          </cell>
          <cell r="N175" t="str">
            <v>OS</v>
          </cell>
          <cell r="O175" t="str">
            <v>OS</v>
          </cell>
          <cell r="P175" t="str">
            <v>OS</v>
          </cell>
          <cell r="Q175" t="str">
            <v>OS</v>
          </cell>
          <cell r="R175" t="str">
            <v>OS</v>
          </cell>
          <cell r="S175" t="str">
            <v>OS</v>
          </cell>
          <cell r="T175" t="str">
            <v>OS</v>
          </cell>
          <cell r="U175" t="str">
            <v>OS</v>
          </cell>
          <cell r="V175" t="str">
            <v>OS</v>
          </cell>
          <cell r="W175" t="str">
            <v>OS</v>
          </cell>
          <cell r="X175" t="str">
            <v>OS</v>
          </cell>
          <cell r="Y175" t="str">
            <v>OS</v>
          </cell>
          <cell r="Z175" t="str">
            <v>OS</v>
          </cell>
          <cell r="AA175" t="str">
            <v>OS</v>
          </cell>
          <cell r="AB175" t="str">
            <v>OS</v>
          </cell>
          <cell r="AC175" t="str">
            <v>OS</v>
          </cell>
          <cell r="AD175" t="str">
            <v>AGM-01-008-011</v>
          </cell>
          <cell r="AE175" t="str">
            <v xml:space="preserve">Raemulan Lands, Inc. </v>
          </cell>
          <cell r="AF175" t="str">
            <v>Agapeya</v>
          </cell>
          <cell r="AG175" t="str">
            <v>AGM</v>
          </cell>
          <cell r="AH175" t="str">
            <v>Eco-High</v>
          </cell>
          <cell r="AI175" t="str">
            <v>West</v>
          </cell>
          <cell r="AJ175" t="str">
            <v>With LTS</v>
          </cell>
          <cell r="AK175" t="str">
            <v>Unaffected lots</v>
          </cell>
          <cell r="AL175" t="str">
            <v>Unaffected lots</v>
          </cell>
          <cell r="AM175" t="b">
            <v>1</v>
          </cell>
          <cell r="AN175" t="str">
            <v>YES</v>
          </cell>
          <cell r="AO175" t="str">
            <v>2024 Batch</v>
          </cell>
          <cell r="AP175">
            <v>70</v>
          </cell>
          <cell r="AQ175" t="str">
            <v>PCS-04-034298</v>
          </cell>
          <cell r="AR175" t="b">
            <v>1</v>
          </cell>
          <cell r="AS175" t="str">
            <v>Done</v>
          </cell>
          <cell r="AT175" t="str">
            <v>2024 Batch</v>
          </cell>
          <cell r="AU175">
            <v>8</v>
          </cell>
          <cell r="AV175">
            <v>11</v>
          </cell>
          <cell r="AW175" t="str">
            <v>H+L</v>
          </cell>
          <cell r="AX175">
            <v>70</v>
          </cell>
          <cell r="AY175">
            <v>50</v>
          </cell>
          <cell r="AZ175" t="str">
            <v>Duplex</v>
          </cell>
          <cell r="BA175">
            <v>1</v>
          </cell>
          <cell r="BB175" t="str">
            <v>326 - With Partition</v>
          </cell>
          <cell r="BC175" t="str">
            <v>With Partition</v>
          </cell>
          <cell r="BD175" t="str">
            <v>Slant</v>
          </cell>
          <cell r="BE175" t="str">
            <v>With Partition</v>
          </cell>
          <cell r="BF175" t="str">
            <v>YELLOW</v>
          </cell>
          <cell r="BG175">
            <v>2707500</v>
          </cell>
          <cell r="BH175">
            <v>2850000</v>
          </cell>
          <cell r="BI175">
            <v>100000</v>
          </cell>
          <cell r="BJ175">
            <v>2750000</v>
          </cell>
          <cell r="BK175">
            <v>0</v>
          </cell>
          <cell r="BL175">
            <v>2750000</v>
          </cell>
        </row>
        <row r="176">
          <cell r="D176" t="str">
            <v>OS</v>
          </cell>
          <cell r="E176"/>
          <cell r="F176">
            <v>156</v>
          </cell>
          <cell r="G176" t="str">
            <v>SOLD</v>
          </cell>
          <cell r="H176" t="str">
            <v>OS</v>
          </cell>
          <cell r="I176" t="str">
            <v>OS</v>
          </cell>
          <cell r="J176" t="str">
            <v>OS</v>
          </cell>
          <cell r="K176" t="str">
            <v>OS</v>
          </cell>
          <cell r="L176" t="str">
            <v>OS</v>
          </cell>
          <cell r="M176" t="str">
            <v>OS</v>
          </cell>
          <cell r="N176" t="str">
            <v>OS</v>
          </cell>
          <cell r="O176" t="str">
            <v>OS</v>
          </cell>
          <cell r="P176" t="str">
            <v>OS</v>
          </cell>
          <cell r="Q176" t="str">
            <v>OS</v>
          </cell>
          <cell r="R176" t="str">
            <v>OS</v>
          </cell>
          <cell r="S176" t="str">
            <v>OS</v>
          </cell>
          <cell r="T176" t="str">
            <v>OS</v>
          </cell>
          <cell r="U176" t="str">
            <v>OS</v>
          </cell>
          <cell r="V176" t="str">
            <v>OS</v>
          </cell>
          <cell r="W176" t="str">
            <v>OS</v>
          </cell>
          <cell r="X176" t="str">
            <v>OS</v>
          </cell>
          <cell r="Y176" t="str">
            <v>OS</v>
          </cell>
          <cell r="Z176" t="str">
            <v>OS</v>
          </cell>
          <cell r="AA176" t="str">
            <v>OS</v>
          </cell>
          <cell r="AB176" t="str">
            <v>OS</v>
          </cell>
          <cell r="AC176" t="str">
            <v>OS</v>
          </cell>
          <cell r="AD176" t="str">
            <v>AGM-01-008-012</v>
          </cell>
          <cell r="AE176" t="str">
            <v xml:space="preserve">Raemulan Lands, Inc. </v>
          </cell>
          <cell r="AF176" t="str">
            <v>Agapeya</v>
          </cell>
          <cell r="AG176" t="str">
            <v>AGM</v>
          </cell>
          <cell r="AH176" t="str">
            <v>Eco-High</v>
          </cell>
          <cell r="AI176" t="str">
            <v>West</v>
          </cell>
          <cell r="AJ176" t="str">
            <v>With LTS</v>
          </cell>
          <cell r="AK176" t="str">
            <v>Unaffected lots</v>
          </cell>
          <cell r="AL176" t="str">
            <v>Unaffected lots</v>
          </cell>
          <cell r="AM176" t="b">
            <v>1</v>
          </cell>
          <cell r="AN176" t="str">
            <v>YES</v>
          </cell>
          <cell r="AO176" t="str">
            <v>2024 Batch</v>
          </cell>
          <cell r="AP176">
            <v>70</v>
          </cell>
          <cell r="AQ176" t="str">
            <v>PCS-04-034298</v>
          </cell>
          <cell r="AR176" t="b">
            <v>1</v>
          </cell>
          <cell r="AS176" t="str">
            <v>Done</v>
          </cell>
          <cell r="AT176" t="str">
            <v>2024 Batch</v>
          </cell>
          <cell r="AU176">
            <v>8</v>
          </cell>
          <cell r="AV176">
            <v>12</v>
          </cell>
          <cell r="AW176" t="str">
            <v>H+L</v>
          </cell>
          <cell r="AX176">
            <v>70</v>
          </cell>
          <cell r="AY176">
            <v>50</v>
          </cell>
          <cell r="AZ176" t="str">
            <v>Duplex</v>
          </cell>
          <cell r="BA176">
            <v>1</v>
          </cell>
          <cell r="BB176" t="str">
            <v>326 - With Partition</v>
          </cell>
          <cell r="BC176" t="str">
            <v>With Partition</v>
          </cell>
          <cell r="BD176" t="str">
            <v>Flat</v>
          </cell>
          <cell r="BE176" t="str">
            <v>With Partition</v>
          </cell>
          <cell r="BF176" t="str">
            <v>YELLOW</v>
          </cell>
          <cell r="BG176">
            <v>2707500</v>
          </cell>
          <cell r="BH176">
            <v>2850000</v>
          </cell>
          <cell r="BI176">
            <v>100000</v>
          </cell>
          <cell r="BJ176">
            <v>2750000</v>
          </cell>
          <cell r="BK176">
            <v>0</v>
          </cell>
          <cell r="BL176">
            <v>2750000</v>
          </cell>
        </row>
        <row r="177">
          <cell r="D177" t="str">
            <v>OS</v>
          </cell>
          <cell r="E177"/>
          <cell r="F177">
            <v>157</v>
          </cell>
          <cell r="G177" t="str">
            <v>SOLD</v>
          </cell>
          <cell r="H177" t="str">
            <v>OS</v>
          </cell>
          <cell r="I177" t="str">
            <v>OS</v>
          </cell>
          <cell r="J177" t="str">
            <v>OS</v>
          </cell>
          <cell r="K177" t="str">
            <v>OS</v>
          </cell>
          <cell r="L177" t="str">
            <v>OS</v>
          </cell>
          <cell r="M177" t="str">
            <v>OS</v>
          </cell>
          <cell r="N177" t="str">
            <v>TS</v>
          </cell>
          <cell r="O177" t="str">
            <v>TS</v>
          </cell>
          <cell r="P177" t="str">
            <v>TS</v>
          </cell>
          <cell r="Q177" t="str">
            <v>TS</v>
          </cell>
          <cell r="R177" t="str">
            <v>TS</v>
          </cell>
          <cell r="S177" t="str">
            <v>TS</v>
          </cell>
          <cell r="T177" t="str">
            <v>TS</v>
          </cell>
          <cell r="U177" t="str">
            <v>OS</v>
          </cell>
          <cell r="V177" t="str">
            <v>OS</v>
          </cell>
          <cell r="W177" t="str">
            <v>OS</v>
          </cell>
          <cell r="X177" t="str">
            <v>OS</v>
          </cell>
          <cell r="Y177" t="str">
            <v>OS</v>
          </cell>
          <cell r="Z177" t="str">
            <v>OS</v>
          </cell>
          <cell r="AA177" t="str">
            <v>OS</v>
          </cell>
          <cell r="AB177" t="str">
            <v>OS</v>
          </cell>
          <cell r="AC177" t="str">
            <v>OS</v>
          </cell>
          <cell r="AD177" t="str">
            <v>AGM-01-008-013</v>
          </cell>
          <cell r="AE177" t="str">
            <v xml:space="preserve">Raemulan Lands, Inc. </v>
          </cell>
          <cell r="AF177" t="str">
            <v>Agapeya</v>
          </cell>
          <cell r="AG177" t="str">
            <v>AGM</v>
          </cell>
          <cell r="AH177" t="str">
            <v>Eco-High</v>
          </cell>
          <cell r="AI177" t="str">
            <v>West</v>
          </cell>
          <cell r="AJ177" t="str">
            <v>With LTS</v>
          </cell>
          <cell r="AK177" t="str">
            <v>Unaffected lots</v>
          </cell>
          <cell r="AL177" t="str">
            <v>Unaffected lots</v>
          </cell>
          <cell r="AM177" t="b">
            <v>1</v>
          </cell>
          <cell r="AN177" t="str">
            <v>YES</v>
          </cell>
          <cell r="AO177" t="str">
            <v>2024 Batch</v>
          </cell>
          <cell r="AP177">
            <v>70</v>
          </cell>
          <cell r="AQ177" t="str">
            <v>PCS-04-034298</v>
          </cell>
          <cell r="AR177" t="b">
            <v>1</v>
          </cell>
          <cell r="AS177" t="str">
            <v>Done</v>
          </cell>
          <cell r="AT177" t="str">
            <v>2024 Batch</v>
          </cell>
          <cell r="AU177">
            <v>8</v>
          </cell>
          <cell r="AV177">
            <v>13</v>
          </cell>
          <cell r="AW177" t="str">
            <v>H+L</v>
          </cell>
          <cell r="AX177">
            <v>70</v>
          </cell>
          <cell r="AY177">
            <v>50</v>
          </cell>
          <cell r="AZ177" t="str">
            <v>Duplex</v>
          </cell>
          <cell r="BA177">
            <v>1</v>
          </cell>
          <cell r="BB177" t="str">
            <v>326 - With Partition</v>
          </cell>
          <cell r="BC177" t="str">
            <v xml:space="preserve">Without Partition </v>
          </cell>
          <cell r="BD177" t="str">
            <v>Flat</v>
          </cell>
          <cell r="BE177" t="str">
            <v xml:space="preserve">Without Partition </v>
          </cell>
          <cell r="BF177" t="str">
            <v>GREEN</v>
          </cell>
          <cell r="BG177">
            <v>2707500</v>
          </cell>
          <cell r="BH177">
            <v>2650000</v>
          </cell>
          <cell r="BI177">
            <v>100000</v>
          </cell>
          <cell r="BJ177">
            <v>2550000</v>
          </cell>
          <cell r="BK177">
            <v>0</v>
          </cell>
          <cell r="BL177">
            <v>2550000</v>
          </cell>
        </row>
        <row r="178">
          <cell r="D178" t="str">
            <v>OS</v>
          </cell>
          <cell r="E178"/>
          <cell r="F178">
            <v>158</v>
          </cell>
          <cell r="G178" t="str">
            <v>SOLD</v>
          </cell>
          <cell r="H178" t="str">
            <v>OS</v>
          </cell>
          <cell r="I178" t="str">
            <v>OS</v>
          </cell>
          <cell r="J178" t="str">
            <v>OS</v>
          </cell>
          <cell r="K178" t="str">
            <v>OS</v>
          </cell>
          <cell r="L178" t="str">
            <v>OS</v>
          </cell>
          <cell r="M178" t="str">
            <v>OS</v>
          </cell>
          <cell r="N178" t="str">
            <v>OS</v>
          </cell>
          <cell r="O178" t="str">
            <v>OS</v>
          </cell>
          <cell r="P178" t="str">
            <v>OS</v>
          </cell>
          <cell r="Q178" t="str">
            <v>OS</v>
          </cell>
          <cell r="R178" t="str">
            <v>OS</v>
          </cell>
          <cell r="S178" t="str">
            <v>OS</v>
          </cell>
          <cell r="T178" t="str">
            <v>OS</v>
          </cell>
          <cell r="U178" t="str">
            <v>OS</v>
          </cell>
          <cell r="V178" t="str">
            <v>OS</v>
          </cell>
          <cell r="W178" t="str">
            <v>OS</v>
          </cell>
          <cell r="X178" t="str">
            <v>OS</v>
          </cell>
          <cell r="Y178" t="str">
            <v>OS</v>
          </cell>
          <cell r="Z178" t="str">
            <v>OS</v>
          </cell>
          <cell r="AA178" t="str">
            <v>OS</v>
          </cell>
          <cell r="AB178" t="str">
            <v>OS</v>
          </cell>
          <cell r="AC178" t="str">
            <v>OS</v>
          </cell>
          <cell r="AD178" t="str">
            <v>AGM-01-008-014</v>
          </cell>
          <cell r="AE178" t="str">
            <v xml:space="preserve">Raemulan Lands, Inc. </v>
          </cell>
          <cell r="AF178" t="str">
            <v>Agapeya</v>
          </cell>
          <cell r="AG178" t="str">
            <v>AGM</v>
          </cell>
          <cell r="AH178" t="str">
            <v>Eco-High</v>
          </cell>
          <cell r="AI178" t="str">
            <v>West</v>
          </cell>
          <cell r="AJ178" t="str">
            <v>With LTS</v>
          </cell>
          <cell r="AK178" t="str">
            <v>Unaffected lots</v>
          </cell>
          <cell r="AL178" t="str">
            <v>Unaffected lots</v>
          </cell>
          <cell r="AM178" t="b">
            <v>1</v>
          </cell>
          <cell r="AN178" t="str">
            <v>YES</v>
          </cell>
          <cell r="AO178" t="str">
            <v>2024 Batch</v>
          </cell>
          <cell r="AP178">
            <v>70</v>
          </cell>
          <cell r="AQ178" t="str">
            <v>PCS-04-034298</v>
          </cell>
          <cell r="AR178" t="b">
            <v>1</v>
          </cell>
          <cell r="AS178" t="str">
            <v>Done</v>
          </cell>
          <cell r="AT178" t="str">
            <v>2024 Batch</v>
          </cell>
          <cell r="AU178">
            <v>8</v>
          </cell>
          <cell r="AV178">
            <v>14</v>
          </cell>
          <cell r="AW178" t="str">
            <v>H+L</v>
          </cell>
          <cell r="AX178">
            <v>70</v>
          </cell>
          <cell r="AY178">
            <v>50</v>
          </cell>
          <cell r="AZ178" t="str">
            <v>Duplex</v>
          </cell>
          <cell r="BA178">
            <v>1</v>
          </cell>
          <cell r="BB178" t="str">
            <v>326 - With Partition</v>
          </cell>
          <cell r="BC178" t="str">
            <v>With Partition</v>
          </cell>
          <cell r="BD178" t="str">
            <v>Slant</v>
          </cell>
          <cell r="BE178" t="str">
            <v>With Partition</v>
          </cell>
          <cell r="BF178" t="str">
            <v>GREEN</v>
          </cell>
          <cell r="BG178">
            <v>2707500</v>
          </cell>
          <cell r="BH178">
            <v>2850000</v>
          </cell>
          <cell r="BI178">
            <v>100000</v>
          </cell>
          <cell r="BJ178">
            <v>2750000</v>
          </cell>
          <cell r="BK178">
            <v>0</v>
          </cell>
          <cell r="BL178">
            <v>2750000</v>
          </cell>
        </row>
        <row r="179">
          <cell r="D179" t="str">
            <v>OS</v>
          </cell>
          <cell r="E179"/>
          <cell r="F179">
            <v>159</v>
          </cell>
          <cell r="G179" t="str">
            <v>SOLD</v>
          </cell>
          <cell r="H179" t="str">
            <v>OS</v>
          </cell>
          <cell r="I179" t="str">
            <v>OS</v>
          </cell>
          <cell r="J179" t="str">
            <v>OS</v>
          </cell>
          <cell r="K179" t="str">
            <v>OS</v>
          </cell>
          <cell r="L179" t="str">
            <v>OS</v>
          </cell>
          <cell r="M179" t="str">
            <v>OS</v>
          </cell>
          <cell r="N179" t="str">
            <v>OS</v>
          </cell>
          <cell r="O179" t="str">
            <v>OS</v>
          </cell>
          <cell r="P179" t="str">
            <v>OS</v>
          </cell>
          <cell r="Q179" t="str">
            <v>OS</v>
          </cell>
          <cell r="R179" t="str">
            <v>OS</v>
          </cell>
          <cell r="S179" t="str">
            <v>OS</v>
          </cell>
          <cell r="T179" t="str">
            <v>OS</v>
          </cell>
          <cell r="U179" t="str">
            <v>OS</v>
          </cell>
          <cell r="V179" t="str">
            <v>OS</v>
          </cell>
          <cell r="W179" t="str">
            <v>OS</v>
          </cell>
          <cell r="X179" t="str">
            <v>OS</v>
          </cell>
          <cell r="Y179" t="str">
            <v>OS</v>
          </cell>
          <cell r="Z179" t="str">
            <v>OS</v>
          </cell>
          <cell r="AA179" t="str">
            <v>OS</v>
          </cell>
          <cell r="AB179" t="str">
            <v>OS</v>
          </cell>
          <cell r="AC179" t="str">
            <v>OS</v>
          </cell>
          <cell r="AD179" t="str">
            <v>AGM-01-008-015</v>
          </cell>
          <cell r="AE179" t="str">
            <v xml:space="preserve">Raemulan Lands, Inc. </v>
          </cell>
          <cell r="AF179" t="str">
            <v>Agapeya</v>
          </cell>
          <cell r="AG179" t="str">
            <v>AGM</v>
          </cell>
          <cell r="AH179" t="str">
            <v>Eco-High</v>
          </cell>
          <cell r="AI179" t="str">
            <v>West</v>
          </cell>
          <cell r="AJ179" t="str">
            <v>With LTS</v>
          </cell>
          <cell r="AK179" t="str">
            <v>Unaffected lots</v>
          </cell>
          <cell r="AL179" t="str">
            <v>Unaffected lots</v>
          </cell>
          <cell r="AM179" t="b">
            <v>1</v>
          </cell>
          <cell r="AN179" t="str">
            <v>YES</v>
          </cell>
          <cell r="AO179" t="str">
            <v>2024 Batch</v>
          </cell>
          <cell r="AP179">
            <v>70</v>
          </cell>
          <cell r="AQ179" t="str">
            <v>PCS-04-034298</v>
          </cell>
          <cell r="AR179" t="b">
            <v>1</v>
          </cell>
          <cell r="AS179" t="str">
            <v>Done</v>
          </cell>
          <cell r="AT179" t="str">
            <v>2024 Batch</v>
          </cell>
          <cell r="AU179">
            <v>8</v>
          </cell>
          <cell r="AV179">
            <v>15</v>
          </cell>
          <cell r="AW179" t="str">
            <v>H+L</v>
          </cell>
          <cell r="AX179">
            <v>70</v>
          </cell>
          <cell r="AY179">
            <v>50</v>
          </cell>
          <cell r="AZ179" t="str">
            <v>Duplex</v>
          </cell>
          <cell r="BA179">
            <v>1</v>
          </cell>
          <cell r="BB179" t="str">
            <v>326 - With Partition</v>
          </cell>
          <cell r="BC179" t="str">
            <v>With Partition</v>
          </cell>
          <cell r="BD179" t="str">
            <v>Slant</v>
          </cell>
          <cell r="BE179" t="str">
            <v>With Partition</v>
          </cell>
          <cell r="BF179" t="str">
            <v>GREEN</v>
          </cell>
          <cell r="BG179">
            <v>2600000</v>
          </cell>
          <cell r="BH179">
            <v>2850000</v>
          </cell>
          <cell r="BI179">
            <v>100000</v>
          </cell>
          <cell r="BJ179">
            <v>2750000</v>
          </cell>
          <cell r="BK179">
            <v>0</v>
          </cell>
          <cell r="BL179">
            <v>2750000</v>
          </cell>
        </row>
        <row r="180">
          <cell r="D180" t="str">
            <v>OS</v>
          </cell>
          <cell r="E180"/>
          <cell r="F180">
            <v>160</v>
          </cell>
          <cell r="G180" t="str">
            <v>SOLD</v>
          </cell>
          <cell r="H180" t="str">
            <v>OS</v>
          </cell>
          <cell r="I180" t="str">
            <v>OS</v>
          </cell>
          <cell r="J180" t="str">
            <v>OS</v>
          </cell>
          <cell r="K180" t="str">
            <v>OS</v>
          </cell>
          <cell r="L180" t="str">
            <v>OS</v>
          </cell>
          <cell r="M180" t="str">
            <v>OS</v>
          </cell>
          <cell r="N180" t="str">
            <v>OS</v>
          </cell>
          <cell r="O180" t="str">
            <v>OS</v>
          </cell>
          <cell r="P180" t="str">
            <v>OS</v>
          </cell>
          <cell r="Q180" t="str">
            <v>OS</v>
          </cell>
          <cell r="R180" t="str">
            <v>OS</v>
          </cell>
          <cell r="S180" t="str">
            <v>OS</v>
          </cell>
          <cell r="T180" t="str">
            <v>OS</v>
          </cell>
          <cell r="U180" t="str">
            <v>OS</v>
          </cell>
          <cell r="V180" t="str">
            <v>OS</v>
          </cell>
          <cell r="W180" t="str">
            <v>OS</v>
          </cell>
          <cell r="X180" t="str">
            <v>OS</v>
          </cell>
          <cell r="Y180" t="str">
            <v>OS</v>
          </cell>
          <cell r="Z180" t="str">
            <v>OS</v>
          </cell>
          <cell r="AA180" t="str">
            <v>OS</v>
          </cell>
          <cell r="AB180" t="str">
            <v>OS</v>
          </cell>
          <cell r="AC180" t="str">
            <v>OS</v>
          </cell>
          <cell r="AD180" t="str">
            <v>AGM-01-008-016</v>
          </cell>
          <cell r="AE180" t="str">
            <v xml:space="preserve">Raemulan Lands, Inc. </v>
          </cell>
          <cell r="AF180" t="str">
            <v>Agapeya</v>
          </cell>
          <cell r="AG180" t="str">
            <v>AGM</v>
          </cell>
          <cell r="AH180" t="str">
            <v>Eco-High</v>
          </cell>
          <cell r="AI180" t="str">
            <v>West</v>
          </cell>
          <cell r="AJ180" t="str">
            <v>With LTS</v>
          </cell>
          <cell r="AK180" t="str">
            <v>Unaffected lots</v>
          </cell>
          <cell r="AL180" t="str">
            <v>Unaffected lots</v>
          </cell>
          <cell r="AM180" t="b">
            <v>1</v>
          </cell>
          <cell r="AN180" t="str">
            <v>YES</v>
          </cell>
          <cell r="AO180" t="str">
            <v>2024 Batch</v>
          </cell>
          <cell r="AP180">
            <v>70</v>
          </cell>
          <cell r="AQ180" t="str">
            <v>PCS-04-034298</v>
          </cell>
          <cell r="AR180" t="b">
            <v>1</v>
          </cell>
          <cell r="AS180" t="str">
            <v>Done</v>
          </cell>
          <cell r="AT180" t="str">
            <v>2024 Batch</v>
          </cell>
          <cell r="AU180">
            <v>8</v>
          </cell>
          <cell r="AV180">
            <v>16</v>
          </cell>
          <cell r="AW180" t="str">
            <v>H+L</v>
          </cell>
          <cell r="AX180">
            <v>70</v>
          </cell>
          <cell r="AY180">
            <v>50</v>
          </cell>
          <cell r="AZ180" t="str">
            <v>Duplex</v>
          </cell>
          <cell r="BA180">
            <v>1</v>
          </cell>
          <cell r="BB180" t="str">
            <v>326 - With Partition</v>
          </cell>
          <cell r="BC180" t="str">
            <v>With Partition</v>
          </cell>
          <cell r="BD180" t="str">
            <v>Flat</v>
          </cell>
          <cell r="BE180" t="str">
            <v>With Partition</v>
          </cell>
          <cell r="BF180" t="str">
            <v>GREEN</v>
          </cell>
          <cell r="BG180">
            <v>2707500</v>
          </cell>
          <cell r="BH180">
            <v>2850000</v>
          </cell>
          <cell r="BI180">
            <v>100000</v>
          </cell>
          <cell r="BJ180">
            <v>2750000</v>
          </cell>
          <cell r="BK180">
            <v>0</v>
          </cell>
          <cell r="BL180">
            <v>2750000</v>
          </cell>
        </row>
        <row r="181">
          <cell r="D181" t="str">
            <v>OS</v>
          </cell>
          <cell r="E181"/>
          <cell r="F181">
            <v>161</v>
          </cell>
          <cell r="G181" t="str">
            <v>SOLD</v>
          </cell>
          <cell r="H181" t="str">
            <v>OS</v>
          </cell>
          <cell r="I181" t="str">
            <v>OS</v>
          </cell>
          <cell r="J181" t="str">
            <v>OS</v>
          </cell>
          <cell r="K181" t="str">
            <v>OS</v>
          </cell>
          <cell r="L181" t="str">
            <v>OS</v>
          </cell>
          <cell r="M181" t="str">
            <v>OS</v>
          </cell>
          <cell r="N181" t="str">
            <v>OS</v>
          </cell>
          <cell r="O181" t="str">
            <v>OS</v>
          </cell>
          <cell r="P181" t="str">
            <v>OS</v>
          </cell>
          <cell r="Q181" t="str">
            <v>OS</v>
          </cell>
          <cell r="R181" t="str">
            <v>OS</v>
          </cell>
          <cell r="S181" t="str">
            <v>OS</v>
          </cell>
          <cell r="T181" t="str">
            <v>OS</v>
          </cell>
          <cell r="U181" t="str">
            <v>OS</v>
          </cell>
          <cell r="V181" t="str">
            <v>OS</v>
          </cell>
          <cell r="W181" t="str">
            <v>OS</v>
          </cell>
          <cell r="X181" t="str">
            <v>OS</v>
          </cell>
          <cell r="Y181" t="str">
            <v>OS</v>
          </cell>
          <cell r="Z181" t="str">
            <v>OS</v>
          </cell>
          <cell r="AA181" t="str">
            <v>OS</v>
          </cell>
          <cell r="AB181" t="str">
            <v>OS</v>
          </cell>
          <cell r="AC181" t="str">
            <v>OS</v>
          </cell>
          <cell r="AD181" t="str">
            <v>AGM-01-008-017</v>
          </cell>
          <cell r="AE181" t="str">
            <v xml:space="preserve">Raemulan Lands, Inc. </v>
          </cell>
          <cell r="AF181" t="str">
            <v>Agapeya</v>
          </cell>
          <cell r="AG181" t="str">
            <v>AGM</v>
          </cell>
          <cell r="AH181" t="str">
            <v>Eco-High</v>
          </cell>
          <cell r="AI181" t="str">
            <v>West</v>
          </cell>
          <cell r="AJ181" t="str">
            <v>With LTS</v>
          </cell>
          <cell r="AK181" t="str">
            <v>Unaffected lots</v>
          </cell>
          <cell r="AL181" t="str">
            <v>Unaffected lots</v>
          </cell>
          <cell r="AM181" t="b">
            <v>1</v>
          </cell>
          <cell r="AN181" t="str">
            <v>YES</v>
          </cell>
          <cell r="AO181" t="str">
            <v>2024 Batch</v>
          </cell>
          <cell r="AP181">
            <v>70</v>
          </cell>
          <cell r="AQ181" t="str">
            <v>PCS-04-034298</v>
          </cell>
          <cell r="AR181" t="b">
            <v>1</v>
          </cell>
          <cell r="AS181" t="str">
            <v>Done</v>
          </cell>
          <cell r="AT181" t="str">
            <v>2024 Batch</v>
          </cell>
          <cell r="AU181">
            <v>8</v>
          </cell>
          <cell r="AV181">
            <v>17</v>
          </cell>
          <cell r="AW181" t="str">
            <v>H+L</v>
          </cell>
          <cell r="AX181">
            <v>70</v>
          </cell>
          <cell r="AY181">
            <v>50</v>
          </cell>
          <cell r="AZ181" t="str">
            <v>Duplex</v>
          </cell>
          <cell r="BA181">
            <v>1</v>
          </cell>
          <cell r="BB181" t="str">
            <v>326 - With Partition</v>
          </cell>
          <cell r="BC181" t="str">
            <v>With Partition</v>
          </cell>
          <cell r="BD181" t="str">
            <v>Flat</v>
          </cell>
          <cell r="BE181" t="str">
            <v>With Partition</v>
          </cell>
          <cell r="BF181" t="str">
            <v>PURPLE</v>
          </cell>
          <cell r="BG181">
            <v>2707500</v>
          </cell>
          <cell r="BH181">
            <v>2850000</v>
          </cell>
          <cell r="BI181">
            <v>100000</v>
          </cell>
          <cell r="BJ181">
            <v>2750000</v>
          </cell>
          <cell r="BK181">
            <v>0</v>
          </cell>
          <cell r="BL181">
            <v>2750000</v>
          </cell>
        </row>
        <row r="182">
          <cell r="D182" t="str">
            <v>OS</v>
          </cell>
          <cell r="E182"/>
          <cell r="F182">
            <v>162</v>
          </cell>
          <cell r="G182" t="str">
            <v>SOLD</v>
          </cell>
          <cell r="H182" t="str">
            <v>OS</v>
          </cell>
          <cell r="I182" t="str">
            <v>OS</v>
          </cell>
          <cell r="J182" t="str">
            <v>OS</v>
          </cell>
          <cell r="K182" t="str">
            <v>OS</v>
          </cell>
          <cell r="L182" t="str">
            <v>OS</v>
          </cell>
          <cell r="M182" t="str">
            <v>OS</v>
          </cell>
          <cell r="N182" t="str">
            <v>OS</v>
          </cell>
          <cell r="O182" t="str">
            <v>OS</v>
          </cell>
          <cell r="P182" t="str">
            <v>OS</v>
          </cell>
          <cell r="Q182" t="str">
            <v>OS</v>
          </cell>
          <cell r="R182" t="str">
            <v>OS</v>
          </cell>
          <cell r="S182" t="str">
            <v>OS</v>
          </cell>
          <cell r="T182" t="str">
            <v>OS</v>
          </cell>
          <cell r="U182" t="str">
            <v>OS</v>
          </cell>
          <cell r="V182" t="str">
            <v>OS</v>
          </cell>
          <cell r="W182" t="str">
            <v>OS</v>
          </cell>
          <cell r="X182" t="str">
            <v>OS</v>
          </cell>
          <cell r="Y182" t="str">
            <v>OS</v>
          </cell>
          <cell r="Z182" t="str">
            <v>OS</v>
          </cell>
          <cell r="AA182" t="str">
            <v>OS</v>
          </cell>
          <cell r="AB182" t="str">
            <v>OS</v>
          </cell>
          <cell r="AC182" t="str">
            <v>OS</v>
          </cell>
          <cell r="AD182" t="str">
            <v>AGM-01-008-018</v>
          </cell>
          <cell r="AE182" t="str">
            <v xml:space="preserve">Raemulan Lands, Inc. </v>
          </cell>
          <cell r="AF182" t="str">
            <v>Agapeya</v>
          </cell>
          <cell r="AG182" t="str">
            <v>AGM</v>
          </cell>
          <cell r="AH182" t="str">
            <v>Eco-High</v>
          </cell>
          <cell r="AI182" t="str">
            <v>West</v>
          </cell>
          <cell r="AJ182" t="str">
            <v>With LTS</v>
          </cell>
          <cell r="AK182" t="str">
            <v>Unaffected lots</v>
          </cell>
          <cell r="AL182" t="str">
            <v>Unaffected lots</v>
          </cell>
          <cell r="AM182" t="b">
            <v>1</v>
          </cell>
          <cell r="AN182" t="str">
            <v>YES</v>
          </cell>
          <cell r="AO182" t="str">
            <v>2024 Batch</v>
          </cell>
          <cell r="AP182">
            <v>70</v>
          </cell>
          <cell r="AQ182" t="str">
            <v>PCS-04-034298</v>
          </cell>
          <cell r="AR182" t="b">
            <v>1</v>
          </cell>
          <cell r="AS182" t="str">
            <v>Done</v>
          </cell>
          <cell r="AT182" t="str">
            <v>2024 Batch</v>
          </cell>
          <cell r="AU182">
            <v>8</v>
          </cell>
          <cell r="AV182">
            <v>18</v>
          </cell>
          <cell r="AW182" t="str">
            <v>H+L</v>
          </cell>
          <cell r="AX182">
            <v>70</v>
          </cell>
          <cell r="AY182">
            <v>50</v>
          </cell>
          <cell r="AZ182" t="str">
            <v>Duplex</v>
          </cell>
          <cell r="BA182">
            <v>1</v>
          </cell>
          <cell r="BB182" t="str">
            <v>326 - With Partition</v>
          </cell>
          <cell r="BC182" t="str">
            <v xml:space="preserve">Without Partition </v>
          </cell>
          <cell r="BD182" t="str">
            <v>Slant</v>
          </cell>
          <cell r="BE182" t="str">
            <v xml:space="preserve">Without Partition </v>
          </cell>
          <cell r="BF182" t="str">
            <v>PURPLE</v>
          </cell>
          <cell r="BG182">
            <v>2500000</v>
          </cell>
          <cell r="BH182">
            <v>2650000</v>
          </cell>
          <cell r="BI182">
            <v>100000</v>
          </cell>
          <cell r="BJ182">
            <v>2550000</v>
          </cell>
          <cell r="BK182">
            <v>0</v>
          </cell>
          <cell r="BL182">
            <v>2550000</v>
          </cell>
        </row>
        <row r="183">
          <cell r="D183" t="str">
            <v>OS</v>
          </cell>
          <cell r="E183"/>
          <cell r="F183">
            <v>163</v>
          </cell>
          <cell r="G183" t="str">
            <v>FOR CANCELLATION</v>
          </cell>
          <cell r="H183" t="str">
            <v>FOR CANCELLATION</v>
          </cell>
          <cell r="I183" t="str">
            <v>FOR CANCELLATION</v>
          </cell>
          <cell r="J183" t="str">
            <v>FOR CANCELLATION</v>
          </cell>
          <cell r="K183" t="str">
            <v>FOR CANCELLATION</v>
          </cell>
          <cell r="L183" t="str">
            <v>FOR CANCELLATION</v>
          </cell>
          <cell r="M183" t="str">
            <v>FOR CANCELLATION</v>
          </cell>
          <cell r="N183" t="str">
            <v>FOR CANCELLATION</v>
          </cell>
          <cell r="O183" t="str">
            <v>FOR CANCELLATION</v>
          </cell>
          <cell r="P183" t="str">
            <v>FOR BRN</v>
          </cell>
          <cell r="Q183" t="str">
            <v>TS</v>
          </cell>
          <cell r="R183" t="str">
            <v>TS</v>
          </cell>
          <cell r="S183" t="str">
            <v>TS</v>
          </cell>
          <cell r="T183" t="str">
            <v>TS</v>
          </cell>
          <cell r="U183" t="str">
            <v>OS</v>
          </cell>
          <cell r="V183" t="str">
            <v>OS</v>
          </cell>
          <cell r="W183" t="str">
            <v>OS</v>
          </cell>
          <cell r="X183" t="str">
            <v>OS</v>
          </cell>
          <cell r="Y183" t="str">
            <v>OS</v>
          </cell>
          <cell r="Z183" t="str">
            <v>OS</v>
          </cell>
          <cell r="AA183" t="str">
            <v>OS</v>
          </cell>
          <cell r="AB183" t="str">
            <v>OS</v>
          </cell>
          <cell r="AC183" t="str">
            <v>OS</v>
          </cell>
          <cell r="AD183" t="str">
            <v>AGM-01-008-019</v>
          </cell>
          <cell r="AE183" t="str">
            <v xml:space="preserve">Raemulan Lands, Inc. </v>
          </cell>
          <cell r="AF183" t="str">
            <v>Agapeya</v>
          </cell>
          <cell r="AG183" t="str">
            <v>AGM</v>
          </cell>
          <cell r="AH183" t="str">
            <v>Eco-High</v>
          </cell>
          <cell r="AI183" t="str">
            <v>West</v>
          </cell>
          <cell r="AJ183" t="str">
            <v>With LTS</v>
          </cell>
          <cell r="AK183" t="str">
            <v>Unaffected lots</v>
          </cell>
          <cell r="AL183" t="str">
            <v>Unaffected lots</v>
          </cell>
          <cell r="AM183" t="b">
            <v>1</v>
          </cell>
          <cell r="AN183" t="str">
            <v>YES</v>
          </cell>
          <cell r="AO183" t="str">
            <v>2024 Batch</v>
          </cell>
          <cell r="AP183">
            <v>70</v>
          </cell>
          <cell r="AQ183" t="str">
            <v>PCS-04-034298</v>
          </cell>
          <cell r="AR183" t="b">
            <v>1</v>
          </cell>
          <cell r="AS183" t="str">
            <v>Done</v>
          </cell>
          <cell r="AT183" t="str">
            <v>2024 Batch</v>
          </cell>
          <cell r="AU183">
            <v>8</v>
          </cell>
          <cell r="AV183">
            <v>19</v>
          </cell>
          <cell r="AW183" t="str">
            <v>H+L</v>
          </cell>
          <cell r="AX183">
            <v>70</v>
          </cell>
          <cell r="AY183">
            <v>50</v>
          </cell>
          <cell r="AZ183" t="str">
            <v>Duplex</v>
          </cell>
          <cell r="BA183">
            <v>1</v>
          </cell>
          <cell r="BB183" t="str">
            <v>326 - With Partition</v>
          </cell>
          <cell r="BC183" t="str">
            <v>With Partition</v>
          </cell>
          <cell r="BD183" t="str">
            <v>Slant</v>
          </cell>
          <cell r="BE183" t="str">
            <v>With Partition</v>
          </cell>
          <cell r="BF183" t="str">
            <v>PURPLE</v>
          </cell>
          <cell r="BG183">
            <v>2707500</v>
          </cell>
          <cell r="BH183">
            <v>2850000</v>
          </cell>
          <cell r="BI183">
            <v>100000</v>
          </cell>
          <cell r="BJ183">
            <v>2750000</v>
          </cell>
          <cell r="BK183">
            <v>0</v>
          </cell>
          <cell r="BL183">
            <v>2750000</v>
          </cell>
        </row>
        <row r="184">
          <cell r="D184" t="str">
            <v>OS</v>
          </cell>
          <cell r="E184"/>
          <cell r="F184">
            <v>164</v>
          </cell>
          <cell r="G184" t="str">
            <v>SOLD</v>
          </cell>
          <cell r="H184" t="str">
            <v>OS</v>
          </cell>
          <cell r="I184" t="str">
            <v>OS</v>
          </cell>
          <cell r="J184" t="str">
            <v>OS</v>
          </cell>
          <cell r="K184" t="str">
            <v>OS</v>
          </cell>
          <cell r="L184" t="str">
            <v>OS</v>
          </cell>
          <cell r="M184" t="str">
            <v>OS</v>
          </cell>
          <cell r="N184" t="str">
            <v>OS</v>
          </cell>
          <cell r="O184" t="str">
            <v>OS</v>
          </cell>
          <cell r="P184" t="str">
            <v>OS</v>
          </cell>
          <cell r="Q184" t="str">
            <v>OS</v>
          </cell>
          <cell r="R184" t="str">
            <v>OS</v>
          </cell>
          <cell r="S184" t="str">
            <v>OS</v>
          </cell>
          <cell r="T184" t="str">
            <v>OS</v>
          </cell>
          <cell r="U184" t="str">
            <v>OS</v>
          </cell>
          <cell r="V184" t="str">
            <v>OS</v>
          </cell>
          <cell r="W184" t="str">
            <v>OS</v>
          </cell>
          <cell r="X184" t="str">
            <v>OS</v>
          </cell>
          <cell r="Y184" t="str">
            <v>OS</v>
          </cell>
          <cell r="Z184" t="str">
            <v>OS</v>
          </cell>
          <cell r="AA184" t="str">
            <v>OS</v>
          </cell>
          <cell r="AB184" t="str">
            <v>OS</v>
          </cell>
          <cell r="AC184" t="str">
            <v>OS</v>
          </cell>
          <cell r="AD184" t="str">
            <v>AGM-01-008-020</v>
          </cell>
          <cell r="AE184" t="str">
            <v xml:space="preserve">Raemulan Lands, Inc. </v>
          </cell>
          <cell r="AF184" t="str">
            <v>Agapeya</v>
          </cell>
          <cell r="AG184" t="str">
            <v>AGM</v>
          </cell>
          <cell r="AH184" t="str">
            <v>Eco-High</v>
          </cell>
          <cell r="AI184" t="str">
            <v>West</v>
          </cell>
          <cell r="AJ184" t="str">
            <v>With LTS</v>
          </cell>
          <cell r="AK184" t="str">
            <v>Unaffected lots</v>
          </cell>
          <cell r="AL184" t="str">
            <v>Unaffected lots</v>
          </cell>
          <cell r="AM184" t="b">
            <v>1</v>
          </cell>
          <cell r="AN184" t="str">
            <v>YES</v>
          </cell>
          <cell r="AO184" t="str">
            <v>2024 Batch</v>
          </cell>
          <cell r="AP184">
            <v>70</v>
          </cell>
          <cell r="AQ184" t="str">
            <v>PCS-04-034298</v>
          </cell>
          <cell r="AR184" t="b">
            <v>1</v>
          </cell>
          <cell r="AS184" t="str">
            <v>Done</v>
          </cell>
          <cell r="AT184" t="str">
            <v>2024 Batch</v>
          </cell>
          <cell r="AU184">
            <v>8</v>
          </cell>
          <cell r="AV184">
            <v>20</v>
          </cell>
          <cell r="AW184" t="str">
            <v>H+L</v>
          </cell>
          <cell r="AX184">
            <v>70</v>
          </cell>
          <cell r="AY184">
            <v>50</v>
          </cell>
          <cell r="AZ184" t="str">
            <v>Duplex</v>
          </cell>
          <cell r="BA184">
            <v>1</v>
          </cell>
          <cell r="BB184" t="str">
            <v>326 - With Partition</v>
          </cell>
          <cell r="BC184" t="str">
            <v>With Partition</v>
          </cell>
          <cell r="BD184" t="str">
            <v>Flat</v>
          </cell>
          <cell r="BE184" t="str">
            <v>With Partition</v>
          </cell>
          <cell r="BF184" t="str">
            <v>PURPLE</v>
          </cell>
          <cell r="BG184">
            <v>2707500</v>
          </cell>
          <cell r="BH184">
            <v>2850000</v>
          </cell>
          <cell r="BI184">
            <v>100000</v>
          </cell>
          <cell r="BJ184">
            <v>2750000</v>
          </cell>
          <cell r="BK184">
            <v>0</v>
          </cell>
          <cell r="BL184">
            <v>2750000</v>
          </cell>
        </row>
        <row r="185">
          <cell r="D185" t="str">
            <v>OS</v>
          </cell>
          <cell r="E185"/>
          <cell r="F185">
            <v>165</v>
          </cell>
          <cell r="G185" t="str">
            <v>SOLD</v>
          </cell>
          <cell r="H185" t="str">
            <v>OS</v>
          </cell>
          <cell r="I185" t="str">
            <v>OS</v>
          </cell>
          <cell r="J185" t="str">
            <v>OS</v>
          </cell>
          <cell r="K185" t="str">
            <v>OS</v>
          </cell>
          <cell r="L185" t="str">
            <v>OS</v>
          </cell>
          <cell r="M185" t="str">
            <v>OS</v>
          </cell>
          <cell r="N185" t="str">
            <v>OS</v>
          </cell>
          <cell r="O185" t="str">
            <v>OS</v>
          </cell>
          <cell r="P185" t="str">
            <v>OS</v>
          </cell>
          <cell r="Q185" t="str">
            <v>OS</v>
          </cell>
          <cell r="R185" t="str">
            <v>OS</v>
          </cell>
          <cell r="S185" t="str">
            <v>OS</v>
          </cell>
          <cell r="T185" t="str">
            <v>OS</v>
          </cell>
          <cell r="U185" t="str">
            <v>OS</v>
          </cell>
          <cell r="V185" t="str">
            <v>OS</v>
          </cell>
          <cell r="W185" t="str">
            <v>OS</v>
          </cell>
          <cell r="X185" t="str">
            <v>OS</v>
          </cell>
          <cell r="Y185" t="str">
            <v>OS</v>
          </cell>
          <cell r="Z185" t="str">
            <v>OS</v>
          </cell>
          <cell r="AA185" t="str">
            <v>OS</v>
          </cell>
          <cell r="AB185" t="str">
            <v>OS</v>
          </cell>
          <cell r="AC185" t="str">
            <v>OS</v>
          </cell>
          <cell r="AD185" t="str">
            <v>AGM-01-008-021</v>
          </cell>
          <cell r="AE185" t="str">
            <v xml:space="preserve">Raemulan Lands, Inc. </v>
          </cell>
          <cell r="AF185" t="str">
            <v>Agapeya</v>
          </cell>
          <cell r="AG185" t="str">
            <v>AGM</v>
          </cell>
          <cell r="AH185" t="str">
            <v>Eco-High</v>
          </cell>
          <cell r="AI185" t="str">
            <v>West</v>
          </cell>
          <cell r="AJ185" t="str">
            <v>With LTS</v>
          </cell>
          <cell r="AK185" t="str">
            <v>Unaffected lots</v>
          </cell>
          <cell r="AL185" t="str">
            <v>Unaffected lots</v>
          </cell>
          <cell r="AM185" t="b">
            <v>1</v>
          </cell>
          <cell r="AN185" t="str">
            <v>YES</v>
          </cell>
          <cell r="AO185" t="str">
            <v>2024 Batch</v>
          </cell>
          <cell r="AP185">
            <v>70</v>
          </cell>
          <cell r="AQ185" t="str">
            <v>PCS-04-034298</v>
          </cell>
          <cell r="AR185" t="b">
            <v>1</v>
          </cell>
          <cell r="AS185" t="str">
            <v>Done</v>
          </cell>
          <cell r="AT185" t="str">
            <v>2024 Batch</v>
          </cell>
          <cell r="AU185">
            <v>8</v>
          </cell>
          <cell r="AV185">
            <v>21</v>
          </cell>
          <cell r="AW185" t="str">
            <v>H+L</v>
          </cell>
          <cell r="AX185">
            <v>70</v>
          </cell>
          <cell r="AY185">
            <v>50</v>
          </cell>
          <cell r="AZ185" t="str">
            <v>Duplex</v>
          </cell>
          <cell r="BA185">
            <v>1</v>
          </cell>
          <cell r="BB185" t="str">
            <v>326 - With Partition</v>
          </cell>
          <cell r="BC185" t="str">
            <v>With Partition</v>
          </cell>
          <cell r="BD185" t="str">
            <v>Flat</v>
          </cell>
          <cell r="BE185" t="str">
            <v>With Partition</v>
          </cell>
          <cell r="BF185" t="str">
            <v>PINK</v>
          </cell>
          <cell r="BG185">
            <v>2707500</v>
          </cell>
          <cell r="BH185">
            <v>2850000</v>
          </cell>
          <cell r="BI185">
            <v>100000</v>
          </cell>
          <cell r="BJ185">
            <v>2750000</v>
          </cell>
          <cell r="BK185">
            <v>0</v>
          </cell>
          <cell r="BL185">
            <v>2750000</v>
          </cell>
        </row>
        <row r="186">
          <cell r="D186" t="str">
            <v>OS</v>
          </cell>
          <cell r="E186"/>
          <cell r="F186">
            <v>166</v>
          </cell>
          <cell r="G186" t="str">
            <v>SOLD</v>
          </cell>
          <cell r="H186" t="str">
            <v>OS</v>
          </cell>
          <cell r="I186" t="str">
            <v>OS</v>
          </cell>
          <cell r="J186" t="str">
            <v>OS</v>
          </cell>
          <cell r="K186" t="str">
            <v>OS</v>
          </cell>
          <cell r="L186" t="str">
            <v>OS</v>
          </cell>
          <cell r="M186" t="str">
            <v>OS</v>
          </cell>
          <cell r="N186" t="str">
            <v>OS</v>
          </cell>
          <cell r="O186" t="str">
            <v>OS</v>
          </cell>
          <cell r="P186" t="str">
            <v>OS</v>
          </cell>
          <cell r="Q186" t="str">
            <v>OS</v>
          </cell>
          <cell r="R186" t="str">
            <v>OS</v>
          </cell>
          <cell r="S186" t="str">
            <v>OS</v>
          </cell>
          <cell r="T186" t="str">
            <v>OS</v>
          </cell>
          <cell r="U186" t="str">
            <v>OS</v>
          </cell>
          <cell r="V186" t="str">
            <v>OS</v>
          </cell>
          <cell r="W186" t="str">
            <v>OS</v>
          </cell>
          <cell r="X186" t="str">
            <v>OS</v>
          </cell>
          <cell r="Y186" t="str">
            <v>OS</v>
          </cell>
          <cell r="Z186" t="str">
            <v>OS</v>
          </cell>
          <cell r="AA186" t="str">
            <v>OS</v>
          </cell>
          <cell r="AB186" t="str">
            <v>OS</v>
          </cell>
          <cell r="AC186" t="str">
            <v>OS</v>
          </cell>
          <cell r="AD186" t="str">
            <v>AGM-01-008-022</v>
          </cell>
          <cell r="AE186" t="str">
            <v xml:space="preserve">Raemulan Lands, Inc. </v>
          </cell>
          <cell r="AF186" t="str">
            <v>Agapeya</v>
          </cell>
          <cell r="AG186" t="str">
            <v>AGM</v>
          </cell>
          <cell r="AH186" t="str">
            <v>Eco-High</v>
          </cell>
          <cell r="AI186" t="str">
            <v>West</v>
          </cell>
          <cell r="AJ186" t="str">
            <v>With LTS</v>
          </cell>
          <cell r="AK186" t="str">
            <v>Unaffected lots</v>
          </cell>
          <cell r="AL186" t="str">
            <v>Unaffected lots</v>
          </cell>
          <cell r="AM186" t="b">
            <v>1</v>
          </cell>
          <cell r="AN186" t="str">
            <v>YES</v>
          </cell>
          <cell r="AO186" t="str">
            <v>2024 Batch</v>
          </cell>
          <cell r="AP186">
            <v>70</v>
          </cell>
          <cell r="AQ186" t="str">
            <v>PCS-04-034298</v>
          </cell>
          <cell r="AR186" t="b">
            <v>1</v>
          </cell>
          <cell r="AS186" t="str">
            <v>Done</v>
          </cell>
          <cell r="AT186" t="str">
            <v>2024 Batch</v>
          </cell>
          <cell r="AU186">
            <v>8</v>
          </cell>
          <cell r="AV186">
            <v>22</v>
          </cell>
          <cell r="AW186" t="str">
            <v>H+L</v>
          </cell>
          <cell r="AX186">
            <v>70</v>
          </cell>
          <cell r="AY186">
            <v>50</v>
          </cell>
          <cell r="AZ186" t="str">
            <v>Duplex</v>
          </cell>
          <cell r="BA186">
            <v>1</v>
          </cell>
          <cell r="BB186" t="str">
            <v>326 - With Partition</v>
          </cell>
          <cell r="BC186" t="str">
            <v>With Partition</v>
          </cell>
          <cell r="BD186" t="str">
            <v>Slant</v>
          </cell>
          <cell r="BE186" t="str">
            <v>With Partition</v>
          </cell>
          <cell r="BF186" t="str">
            <v>PINK</v>
          </cell>
          <cell r="BG186">
            <v>2750000</v>
          </cell>
          <cell r="BH186">
            <v>2850000</v>
          </cell>
          <cell r="BI186">
            <v>100000</v>
          </cell>
          <cell r="BJ186">
            <v>2750000</v>
          </cell>
          <cell r="BK186">
            <v>0</v>
          </cell>
          <cell r="BL186">
            <v>2750000</v>
          </cell>
        </row>
        <row r="187">
          <cell r="D187" t="str">
            <v>OS</v>
          </cell>
          <cell r="E187"/>
          <cell r="F187">
            <v>167</v>
          </cell>
          <cell r="G187" t="str">
            <v>SOLD</v>
          </cell>
          <cell r="H187" t="str">
            <v>OS</v>
          </cell>
          <cell r="I187" t="str">
            <v>OS</v>
          </cell>
          <cell r="J187" t="str">
            <v>OS</v>
          </cell>
          <cell r="K187" t="str">
            <v>OS</v>
          </cell>
          <cell r="L187" t="str">
            <v>OS</v>
          </cell>
          <cell r="M187" t="str">
            <v>OS</v>
          </cell>
          <cell r="N187" t="str">
            <v>OS</v>
          </cell>
          <cell r="O187" t="str">
            <v>OS</v>
          </cell>
          <cell r="P187" t="str">
            <v>OS</v>
          </cell>
          <cell r="Q187" t="str">
            <v>OS</v>
          </cell>
          <cell r="R187" t="str">
            <v>OS</v>
          </cell>
          <cell r="S187" t="str">
            <v>OS</v>
          </cell>
          <cell r="T187" t="str">
            <v>OS</v>
          </cell>
          <cell r="U187" t="str">
            <v>OS</v>
          </cell>
          <cell r="V187" t="str">
            <v>OS</v>
          </cell>
          <cell r="W187" t="str">
            <v>OS</v>
          </cell>
          <cell r="X187" t="str">
            <v>OS</v>
          </cell>
          <cell r="Y187" t="str">
            <v>OS</v>
          </cell>
          <cell r="Z187" t="str">
            <v>OS</v>
          </cell>
          <cell r="AA187" t="str">
            <v>OS</v>
          </cell>
          <cell r="AB187" t="str">
            <v>OS</v>
          </cell>
          <cell r="AC187" t="str">
            <v>OS</v>
          </cell>
          <cell r="AD187" t="str">
            <v>AGM-01-008-023</v>
          </cell>
          <cell r="AE187" t="str">
            <v xml:space="preserve">Raemulan Lands, Inc. </v>
          </cell>
          <cell r="AF187" t="str">
            <v>Agapeya</v>
          </cell>
          <cell r="AG187" t="str">
            <v>AGM</v>
          </cell>
          <cell r="AH187" t="str">
            <v>Eco-High</v>
          </cell>
          <cell r="AI187" t="str">
            <v>West</v>
          </cell>
          <cell r="AJ187" t="str">
            <v>With LTS</v>
          </cell>
          <cell r="AK187" t="str">
            <v>Unaffected lots</v>
          </cell>
          <cell r="AL187" t="str">
            <v>Unaffected lots</v>
          </cell>
          <cell r="AM187" t="b">
            <v>1</v>
          </cell>
          <cell r="AN187" t="str">
            <v>YES</v>
          </cell>
          <cell r="AO187" t="str">
            <v>2024 Batch</v>
          </cell>
          <cell r="AP187">
            <v>70</v>
          </cell>
          <cell r="AQ187" t="str">
            <v>PCS-04-034298</v>
          </cell>
          <cell r="AR187" t="b">
            <v>1</v>
          </cell>
          <cell r="AS187" t="str">
            <v>Done</v>
          </cell>
          <cell r="AT187" t="str">
            <v>2024 Batch</v>
          </cell>
          <cell r="AU187">
            <v>8</v>
          </cell>
          <cell r="AV187">
            <v>23</v>
          </cell>
          <cell r="AW187" t="str">
            <v>H+L</v>
          </cell>
          <cell r="AX187">
            <v>70</v>
          </cell>
          <cell r="AY187">
            <v>50</v>
          </cell>
          <cell r="AZ187" t="str">
            <v>Duplex</v>
          </cell>
          <cell r="BA187">
            <v>1</v>
          </cell>
          <cell r="BB187" t="str">
            <v>326 - With Partition</v>
          </cell>
          <cell r="BC187" t="str">
            <v>With Partition</v>
          </cell>
          <cell r="BD187" t="str">
            <v>Slant</v>
          </cell>
          <cell r="BE187" t="str">
            <v>With Partition</v>
          </cell>
          <cell r="BF187" t="str">
            <v>PINK</v>
          </cell>
          <cell r="BG187">
            <v>2750000</v>
          </cell>
          <cell r="BH187">
            <v>2850000</v>
          </cell>
          <cell r="BI187">
            <v>100000</v>
          </cell>
          <cell r="BJ187">
            <v>2750000</v>
          </cell>
          <cell r="BK187">
            <v>0</v>
          </cell>
          <cell r="BL187">
            <v>2750000</v>
          </cell>
        </row>
        <row r="188">
          <cell r="D188" t="str">
            <v>OS</v>
          </cell>
          <cell r="E188"/>
          <cell r="F188">
            <v>168</v>
          </cell>
          <cell r="G188" t="str">
            <v>SOLD</v>
          </cell>
          <cell r="H188" t="str">
            <v>OS</v>
          </cell>
          <cell r="I188" t="str">
            <v>OS</v>
          </cell>
          <cell r="J188" t="str">
            <v>OS</v>
          </cell>
          <cell r="K188" t="str">
            <v>OS</v>
          </cell>
          <cell r="L188" t="str">
            <v>OS</v>
          </cell>
          <cell r="M188" t="str">
            <v>OS</v>
          </cell>
          <cell r="N188" t="str">
            <v>OS</v>
          </cell>
          <cell r="O188" t="str">
            <v>OS</v>
          </cell>
          <cell r="P188" t="str">
            <v>OS</v>
          </cell>
          <cell r="Q188" t="str">
            <v>OS</v>
          </cell>
          <cell r="R188" t="str">
            <v>OS</v>
          </cell>
          <cell r="S188" t="str">
            <v>OS</v>
          </cell>
          <cell r="T188" t="str">
            <v>OS</v>
          </cell>
          <cell r="U188" t="str">
            <v>OS</v>
          </cell>
          <cell r="V188" t="str">
            <v>OS</v>
          </cell>
          <cell r="W188" t="str">
            <v>OS</v>
          </cell>
          <cell r="X188" t="str">
            <v>OS</v>
          </cell>
          <cell r="Y188" t="str">
            <v>OS</v>
          </cell>
          <cell r="Z188" t="str">
            <v>OS</v>
          </cell>
          <cell r="AA188" t="str">
            <v>OS</v>
          </cell>
          <cell r="AB188" t="str">
            <v>OS</v>
          </cell>
          <cell r="AC188" t="str">
            <v>OS</v>
          </cell>
          <cell r="AD188" t="str">
            <v>AGM-01-008-024</v>
          </cell>
          <cell r="AE188" t="str">
            <v xml:space="preserve">Raemulan Lands, Inc. </v>
          </cell>
          <cell r="AF188" t="str">
            <v>Agapeya</v>
          </cell>
          <cell r="AG188" t="str">
            <v>AGM</v>
          </cell>
          <cell r="AH188" t="str">
            <v>Eco-High</v>
          </cell>
          <cell r="AI188" t="str">
            <v>West</v>
          </cell>
          <cell r="AJ188" t="str">
            <v>With LTS</v>
          </cell>
          <cell r="AK188" t="str">
            <v>Unaffected lots</v>
          </cell>
          <cell r="AL188" t="str">
            <v>Unaffected lots</v>
          </cell>
          <cell r="AM188" t="b">
            <v>1</v>
          </cell>
          <cell r="AN188" t="str">
            <v>YES</v>
          </cell>
          <cell r="AO188" t="str">
            <v>2024 Batch</v>
          </cell>
          <cell r="AP188">
            <v>70</v>
          </cell>
          <cell r="AQ188" t="str">
            <v>PCS-04-034298</v>
          </cell>
          <cell r="AR188" t="b">
            <v>1</v>
          </cell>
          <cell r="AS188" t="str">
            <v>Done</v>
          </cell>
          <cell r="AT188" t="str">
            <v>2024 Batch</v>
          </cell>
          <cell r="AU188">
            <v>8</v>
          </cell>
          <cell r="AV188">
            <v>24</v>
          </cell>
          <cell r="AW188" t="str">
            <v>H+L</v>
          </cell>
          <cell r="AX188">
            <v>70</v>
          </cell>
          <cell r="AY188">
            <v>50</v>
          </cell>
          <cell r="AZ188" t="str">
            <v>Duplex</v>
          </cell>
          <cell r="BA188">
            <v>1</v>
          </cell>
          <cell r="BB188" t="str">
            <v>326 - With Partition</v>
          </cell>
          <cell r="BC188" t="str">
            <v>With Partition</v>
          </cell>
          <cell r="BD188" t="str">
            <v>Flat</v>
          </cell>
          <cell r="BE188" t="str">
            <v>With Partition</v>
          </cell>
          <cell r="BF188" t="str">
            <v>PINK</v>
          </cell>
          <cell r="BG188">
            <v>2707500</v>
          </cell>
          <cell r="BH188">
            <v>2850000</v>
          </cell>
          <cell r="BI188">
            <v>100000</v>
          </cell>
          <cell r="BJ188">
            <v>2750000</v>
          </cell>
          <cell r="BK188">
            <v>0</v>
          </cell>
          <cell r="BL188">
            <v>2750000</v>
          </cell>
        </row>
        <row r="189">
          <cell r="D189" t="str">
            <v>OS</v>
          </cell>
          <cell r="E189"/>
          <cell r="F189">
            <v>169</v>
          </cell>
          <cell r="G189" t="str">
            <v>SOLD</v>
          </cell>
          <cell r="H189" t="str">
            <v>OS</v>
          </cell>
          <cell r="I189" t="str">
            <v>OS</v>
          </cell>
          <cell r="J189" t="str">
            <v>OS</v>
          </cell>
          <cell r="K189" t="str">
            <v>OS</v>
          </cell>
          <cell r="L189" t="str">
            <v>OS</v>
          </cell>
          <cell r="M189" t="str">
            <v>OS</v>
          </cell>
          <cell r="N189" t="str">
            <v>OS</v>
          </cell>
          <cell r="O189" t="str">
            <v>OS</v>
          </cell>
          <cell r="P189" t="str">
            <v>OS</v>
          </cell>
          <cell r="Q189" t="str">
            <v>OS</v>
          </cell>
          <cell r="R189" t="str">
            <v>OS</v>
          </cell>
          <cell r="S189" t="str">
            <v>OS</v>
          </cell>
          <cell r="T189" t="str">
            <v>OS</v>
          </cell>
          <cell r="U189" t="str">
            <v>OS</v>
          </cell>
          <cell r="V189" t="str">
            <v>OS</v>
          </cell>
          <cell r="W189" t="str">
            <v>OS</v>
          </cell>
          <cell r="X189" t="str">
            <v>OS</v>
          </cell>
          <cell r="Y189" t="str">
            <v>OS</v>
          </cell>
          <cell r="Z189" t="str">
            <v>OS</v>
          </cell>
          <cell r="AA189" t="str">
            <v>OS</v>
          </cell>
          <cell r="AB189" t="str">
            <v>OS</v>
          </cell>
          <cell r="AC189" t="str">
            <v>OS</v>
          </cell>
          <cell r="AD189" t="str">
            <v>AGM-01-008-025</v>
          </cell>
          <cell r="AE189" t="str">
            <v xml:space="preserve">Raemulan Lands, Inc. </v>
          </cell>
          <cell r="AF189" t="str">
            <v>Agapeya</v>
          </cell>
          <cell r="AG189" t="str">
            <v>AGM</v>
          </cell>
          <cell r="AH189" t="str">
            <v>Eco-High</v>
          </cell>
          <cell r="AI189" t="str">
            <v>West</v>
          </cell>
          <cell r="AJ189" t="str">
            <v>With LTS</v>
          </cell>
          <cell r="AK189" t="str">
            <v>Unaffected lots</v>
          </cell>
          <cell r="AL189" t="str">
            <v>Unaffected lots</v>
          </cell>
          <cell r="AM189" t="b">
            <v>1</v>
          </cell>
          <cell r="AN189" t="str">
            <v>YES</v>
          </cell>
          <cell r="AO189" t="str">
            <v>2024 Batch</v>
          </cell>
          <cell r="AP189">
            <v>70</v>
          </cell>
          <cell r="AQ189" t="str">
            <v>PCS-04-034298</v>
          </cell>
          <cell r="AR189" t="b">
            <v>1</v>
          </cell>
          <cell r="AS189" t="str">
            <v>Done</v>
          </cell>
          <cell r="AT189" t="str">
            <v>2024 Batch</v>
          </cell>
          <cell r="AU189">
            <v>8</v>
          </cell>
          <cell r="AV189">
            <v>25</v>
          </cell>
          <cell r="AW189" t="str">
            <v>H+L</v>
          </cell>
          <cell r="AX189">
            <v>70</v>
          </cell>
          <cell r="AY189">
            <v>50</v>
          </cell>
          <cell r="AZ189" t="str">
            <v>Duplex</v>
          </cell>
          <cell r="BA189">
            <v>1</v>
          </cell>
          <cell r="BB189" t="str">
            <v>326 - With Partition</v>
          </cell>
          <cell r="BC189" t="str">
            <v>With Partition</v>
          </cell>
          <cell r="BD189" t="str">
            <v>Flat</v>
          </cell>
          <cell r="BE189" t="str">
            <v>With Partition</v>
          </cell>
          <cell r="BF189" t="str">
            <v>YELLOW</v>
          </cell>
          <cell r="BG189">
            <v>2600000</v>
          </cell>
          <cell r="BH189">
            <v>2850000</v>
          </cell>
          <cell r="BI189">
            <v>100000</v>
          </cell>
          <cell r="BJ189">
            <v>2750000</v>
          </cell>
          <cell r="BK189">
            <v>0</v>
          </cell>
          <cell r="BL189">
            <v>2750000</v>
          </cell>
        </row>
        <row r="190">
          <cell r="D190" t="str">
            <v>OS</v>
          </cell>
          <cell r="E190"/>
          <cell r="F190">
            <v>170</v>
          </cell>
          <cell r="G190" t="str">
            <v>SOLD</v>
          </cell>
          <cell r="H190" t="str">
            <v>OS</v>
          </cell>
          <cell r="I190" t="str">
            <v>OS</v>
          </cell>
          <cell r="J190" t="str">
            <v>OS</v>
          </cell>
          <cell r="K190" t="str">
            <v>OS</v>
          </cell>
          <cell r="L190" t="str">
            <v>OS</v>
          </cell>
          <cell r="M190" t="str">
            <v>OS</v>
          </cell>
          <cell r="N190" t="str">
            <v>OS</v>
          </cell>
          <cell r="O190" t="str">
            <v>OS</v>
          </cell>
          <cell r="P190" t="str">
            <v>OS</v>
          </cell>
          <cell r="Q190" t="str">
            <v>OS</v>
          </cell>
          <cell r="R190" t="str">
            <v>OS</v>
          </cell>
          <cell r="S190" t="str">
            <v>OS</v>
          </cell>
          <cell r="T190" t="str">
            <v>OS</v>
          </cell>
          <cell r="U190" t="str">
            <v>OS</v>
          </cell>
          <cell r="V190" t="str">
            <v>OS</v>
          </cell>
          <cell r="W190" t="str">
            <v>OS</v>
          </cell>
          <cell r="X190" t="str">
            <v>OS</v>
          </cell>
          <cell r="Y190" t="str">
            <v>OS</v>
          </cell>
          <cell r="Z190" t="str">
            <v>OS</v>
          </cell>
          <cell r="AA190" t="str">
            <v>OS</v>
          </cell>
          <cell r="AB190" t="str">
            <v>OS</v>
          </cell>
          <cell r="AC190" t="str">
            <v>OS</v>
          </cell>
          <cell r="AD190" t="str">
            <v>AGM-01-008-026</v>
          </cell>
          <cell r="AE190" t="str">
            <v xml:space="preserve">Raemulan Lands, Inc. </v>
          </cell>
          <cell r="AF190" t="str">
            <v>Agapeya</v>
          </cell>
          <cell r="AG190" t="str">
            <v>AGM</v>
          </cell>
          <cell r="AH190" t="str">
            <v>Eco-High</v>
          </cell>
          <cell r="AI190" t="str">
            <v>West</v>
          </cell>
          <cell r="AJ190" t="str">
            <v>With LTS</v>
          </cell>
          <cell r="AK190" t="str">
            <v>Unaffected lots</v>
          </cell>
          <cell r="AL190" t="str">
            <v>Unaffected lots</v>
          </cell>
          <cell r="AM190" t="b">
            <v>1</v>
          </cell>
          <cell r="AN190" t="str">
            <v>YES</v>
          </cell>
          <cell r="AO190" t="str">
            <v>2024 Batch</v>
          </cell>
          <cell r="AP190">
            <v>70</v>
          </cell>
          <cell r="AQ190" t="str">
            <v>PCS-04-034298</v>
          </cell>
          <cell r="AR190" t="b">
            <v>1</v>
          </cell>
          <cell r="AS190" t="str">
            <v>Done</v>
          </cell>
          <cell r="AT190" t="str">
            <v>2024 Batch</v>
          </cell>
          <cell r="AU190">
            <v>8</v>
          </cell>
          <cell r="AV190">
            <v>26</v>
          </cell>
          <cell r="AW190" t="str">
            <v>H+L</v>
          </cell>
          <cell r="AX190">
            <v>70</v>
          </cell>
          <cell r="AY190">
            <v>50</v>
          </cell>
          <cell r="AZ190" t="str">
            <v>Duplex</v>
          </cell>
          <cell r="BA190">
            <v>1</v>
          </cell>
          <cell r="BB190" t="str">
            <v>326 - With Partition</v>
          </cell>
          <cell r="BC190" t="str">
            <v>With Partition</v>
          </cell>
          <cell r="BD190" t="str">
            <v>Slant</v>
          </cell>
          <cell r="BE190" t="str">
            <v>With Partition</v>
          </cell>
          <cell r="BF190" t="str">
            <v>YELLOW</v>
          </cell>
          <cell r="BG190">
            <v>2707500</v>
          </cell>
          <cell r="BH190">
            <v>2850000</v>
          </cell>
          <cell r="BI190">
            <v>100000</v>
          </cell>
          <cell r="BJ190">
            <v>2750000</v>
          </cell>
          <cell r="BK190">
            <v>0</v>
          </cell>
          <cell r="BL190">
            <v>2750000</v>
          </cell>
        </row>
        <row r="191">
          <cell r="D191" t="str">
            <v>OS</v>
          </cell>
          <cell r="E191"/>
          <cell r="F191">
            <v>171</v>
          </cell>
          <cell r="G191" t="str">
            <v>SOLD</v>
          </cell>
          <cell r="H191" t="str">
            <v>OS</v>
          </cell>
          <cell r="I191" t="str">
            <v>OS</v>
          </cell>
          <cell r="J191" t="str">
            <v>OS</v>
          </cell>
          <cell r="K191" t="str">
            <v>OS</v>
          </cell>
          <cell r="L191" t="str">
            <v>OS</v>
          </cell>
          <cell r="M191" t="str">
            <v>OS</v>
          </cell>
          <cell r="N191" t="str">
            <v>OS</v>
          </cell>
          <cell r="O191" t="str">
            <v>OS</v>
          </cell>
          <cell r="P191" t="str">
            <v>OS</v>
          </cell>
          <cell r="Q191" t="str">
            <v>OS</v>
          </cell>
          <cell r="R191" t="str">
            <v>OS</v>
          </cell>
          <cell r="S191" t="str">
            <v>OS</v>
          </cell>
          <cell r="T191" t="str">
            <v>OS</v>
          </cell>
          <cell r="U191" t="str">
            <v>OS</v>
          </cell>
          <cell r="V191" t="str">
            <v>OS</v>
          </cell>
          <cell r="W191" t="str">
            <v>OS</v>
          </cell>
          <cell r="X191" t="str">
            <v>OS</v>
          </cell>
          <cell r="Y191" t="str">
            <v>OS</v>
          </cell>
          <cell r="Z191" t="str">
            <v>OS</v>
          </cell>
          <cell r="AA191" t="str">
            <v>OS</v>
          </cell>
          <cell r="AB191" t="str">
            <v>OS</v>
          </cell>
          <cell r="AC191" t="str">
            <v>OS</v>
          </cell>
          <cell r="AD191" t="str">
            <v>AGM-01-008-027</v>
          </cell>
          <cell r="AE191" t="str">
            <v xml:space="preserve">Raemulan Lands, Inc. </v>
          </cell>
          <cell r="AF191" t="str">
            <v>Agapeya</v>
          </cell>
          <cell r="AG191" t="str">
            <v>AGM</v>
          </cell>
          <cell r="AH191" t="str">
            <v>Eco-High</v>
          </cell>
          <cell r="AI191" t="str">
            <v>West</v>
          </cell>
          <cell r="AJ191" t="str">
            <v>With LTS</v>
          </cell>
          <cell r="AK191" t="str">
            <v>Unaffected lots</v>
          </cell>
          <cell r="AL191" t="str">
            <v>Unaffected lots</v>
          </cell>
          <cell r="AM191" t="b">
            <v>1</v>
          </cell>
          <cell r="AN191" t="str">
            <v>YES</v>
          </cell>
          <cell r="AO191" t="str">
            <v>2024 Batch</v>
          </cell>
          <cell r="AP191">
            <v>70</v>
          </cell>
          <cell r="AQ191" t="str">
            <v>PCS-04-034298</v>
          </cell>
          <cell r="AR191" t="b">
            <v>1</v>
          </cell>
          <cell r="AS191" t="str">
            <v>Done</v>
          </cell>
          <cell r="AT191" t="str">
            <v>2024 Batch</v>
          </cell>
          <cell r="AU191">
            <v>8</v>
          </cell>
          <cell r="AV191">
            <v>27</v>
          </cell>
          <cell r="AW191" t="str">
            <v>H+L</v>
          </cell>
          <cell r="AX191">
            <v>70</v>
          </cell>
          <cell r="AY191">
            <v>50</v>
          </cell>
          <cell r="AZ191" t="str">
            <v>Duplex</v>
          </cell>
          <cell r="BA191">
            <v>1</v>
          </cell>
          <cell r="BB191" t="str">
            <v>326 - With Partition</v>
          </cell>
          <cell r="BC191" t="str">
            <v>With Partition</v>
          </cell>
          <cell r="BD191" t="str">
            <v>Flat</v>
          </cell>
          <cell r="BE191" t="str">
            <v>With Partition</v>
          </cell>
          <cell r="BF191" t="str">
            <v>YELLOW</v>
          </cell>
          <cell r="BG191">
            <v>2707500</v>
          </cell>
          <cell r="BH191">
            <v>2850000</v>
          </cell>
          <cell r="BI191">
            <v>100000</v>
          </cell>
          <cell r="BJ191">
            <v>2750000</v>
          </cell>
          <cell r="BK191">
            <v>0</v>
          </cell>
          <cell r="BL191">
            <v>2750000</v>
          </cell>
        </row>
        <row r="192">
          <cell r="D192" t="str">
            <v>OS</v>
          </cell>
          <cell r="E192"/>
          <cell r="F192">
            <v>172</v>
          </cell>
          <cell r="G192" t="str">
            <v>SOLD</v>
          </cell>
          <cell r="H192" t="str">
            <v>OS</v>
          </cell>
          <cell r="I192" t="str">
            <v>OS</v>
          </cell>
          <cell r="J192" t="str">
            <v>OS</v>
          </cell>
          <cell r="K192" t="str">
            <v>OS</v>
          </cell>
          <cell r="L192" t="str">
            <v>OS</v>
          </cell>
          <cell r="M192" t="str">
            <v>OS</v>
          </cell>
          <cell r="N192" t="str">
            <v>OS</v>
          </cell>
          <cell r="O192" t="str">
            <v>OS</v>
          </cell>
          <cell r="P192" t="str">
            <v>OS</v>
          </cell>
          <cell r="Q192" t="str">
            <v>OS</v>
          </cell>
          <cell r="R192" t="str">
            <v>OS</v>
          </cell>
          <cell r="S192" t="str">
            <v>OS</v>
          </cell>
          <cell r="T192" t="str">
            <v>OS</v>
          </cell>
          <cell r="U192" t="str">
            <v>OS</v>
          </cell>
          <cell r="V192" t="str">
            <v>OS</v>
          </cell>
          <cell r="W192" t="str">
            <v>OS</v>
          </cell>
          <cell r="X192" t="str">
            <v>OS</v>
          </cell>
          <cell r="Y192" t="str">
            <v>OS</v>
          </cell>
          <cell r="Z192" t="str">
            <v>OS</v>
          </cell>
          <cell r="AA192" t="str">
            <v>OS</v>
          </cell>
          <cell r="AB192" t="str">
            <v>OS</v>
          </cell>
          <cell r="AC192" t="str">
            <v>OS</v>
          </cell>
          <cell r="AD192" t="str">
            <v>AGM-01-008-028</v>
          </cell>
          <cell r="AE192" t="str">
            <v xml:space="preserve">Raemulan Lands, Inc. </v>
          </cell>
          <cell r="AF192" t="str">
            <v>Agapeya</v>
          </cell>
          <cell r="AG192" t="str">
            <v>AGM</v>
          </cell>
          <cell r="AH192" t="str">
            <v>Eco-High</v>
          </cell>
          <cell r="AI192" t="str">
            <v>West</v>
          </cell>
          <cell r="AJ192" t="str">
            <v>With LTS</v>
          </cell>
          <cell r="AK192" t="str">
            <v>Unaffected lots</v>
          </cell>
          <cell r="AL192" t="str">
            <v>Unaffected lots</v>
          </cell>
          <cell r="AM192" t="b">
            <v>1</v>
          </cell>
          <cell r="AN192" t="str">
            <v>YES</v>
          </cell>
          <cell r="AO192" t="str">
            <v>2024 Batch</v>
          </cell>
          <cell r="AP192">
            <v>81</v>
          </cell>
          <cell r="AQ192" t="str">
            <v>PCS-04-034298</v>
          </cell>
          <cell r="AR192" t="b">
            <v>1</v>
          </cell>
          <cell r="AS192" t="str">
            <v>Done</v>
          </cell>
          <cell r="AT192" t="str">
            <v>2024 Batch</v>
          </cell>
          <cell r="AU192">
            <v>8</v>
          </cell>
          <cell r="AV192">
            <v>28</v>
          </cell>
          <cell r="AW192" t="str">
            <v>H+L</v>
          </cell>
          <cell r="AX192">
            <v>81</v>
          </cell>
          <cell r="AY192">
            <v>50</v>
          </cell>
          <cell r="AZ192" t="str">
            <v>Duplex</v>
          </cell>
          <cell r="BA192">
            <v>1</v>
          </cell>
          <cell r="BB192" t="str">
            <v>326 - With Partition</v>
          </cell>
          <cell r="BC192" t="str">
            <v>With Partition</v>
          </cell>
          <cell r="BD192" t="str">
            <v>Slant</v>
          </cell>
          <cell r="BE192" t="str">
            <v>With Partition</v>
          </cell>
          <cell r="BF192" t="str">
            <v>YELLOW</v>
          </cell>
          <cell r="BG192">
            <v>2850000</v>
          </cell>
          <cell r="BH192">
            <v>3015000</v>
          </cell>
          <cell r="BI192">
            <v>100000</v>
          </cell>
          <cell r="BJ192">
            <v>2915000</v>
          </cell>
          <cell r="BK192">
            <v>0</v>
          </cell>
          <cell r="BL192">
            <v>2915000</v>
          </cell>
        </row>
        <row r="193">
          <cell r="D193" t="str">
            <v>OS</v>
          </cell>
          <cell r="E193"/>
          <cell r="F193">
            <v>173</v>
          </cell>
          <cell r="G193" t="str">
            <v>SOLD</v>
          </cell>
          <cell r="H193" t="str">
            <v>OS</v>
          </cell>
          <cell r="I193" t="str">
            <v>OS</v>
          </cell>
          <cell r="J193" t="str">
            <v>OS</v>
          </cell>
          <cell r="K193" t="str">
            <v>OS</v>
          </cell>
          <cell r="L193" t="str">
            <v>OS</v>
          </cell>
          <cell r="M193" t="str">
            <v>OS</v>
          </cell>
          <cell r="N193" t="str">
            <v>OS</v>
          </cell>
          <cell r="O193" t="str">
            <v>OS</v>
          </cell>
          <cell r="P193" t="str">
            <v>OS</v>
          </cell>
          <cell r="Q193" t="str">
            <v>OS</v>
          </cell>
          <cell r="R193" t="str">
            <v>OS</v>
          </cell>
          <cell r="S193" t="str">
            <v>OS</v>
          </cell>
          <cell r="T193" t="str">
            <v>OS</v>
          </cell>
          <cell r="U193" t="str">
            <v>OS</v>
          </cell>
          <cell r="V193" t="str">
            <v>OS</v>
          </cell>
          <cell r="W193" t="str">
            <v>OS</v>
          </cell>
          <cell r="X193" t="str">
            <v>OS</v>
          </cell>
          <cell r="Y193" t="str">
            <v>OS</v>
          </cell>
          <cell r="Z193" t="str">
            <v>OS</v>
          </cell>
          <cell r="AA193" t="str">
            <v>OS</v>
          </cell>
          <cell r="AB193" t="str">
            <v>OS</v>
          </cell>
          <cell r="AC193" t="str">
            <v>OS</v>
          </cell>
          <cell r="AD193" t="str">
            <v>AGM-01-009-001</v>
          </cell>
          <cell r="AE193" t="str">
            <v xml:space="preserve">Raemulan Lands, Inc. </v>
          </cell>
          <cell r="AF193" t="str">
            <v>Agapeya</v>
          </cell>
          <cell r="AG193" t="str">
            <v>AGM</v>
          </cell>
          <cell r="AH193" t="str">
            <v>Eco-High</v>
          </cell>
          <cell r="AI193" t="str">
            <v>West</v>
          </cell>
          <cell r="AJ193" t="str">
            <v>With LTS</v>
          </cell>
          <cell r="AK193" t="str">
            <v>Unaffected lots</v>
          </cell>
          <cell r="AL193" t="str">
            <v>Unaffected lots</v>
          </cell>
          <cell r="AM193" t="b">
            <v>1</v>
          </cell>
          <cell r="AN193" t="str">
            <v>YES</v>
          </cell>
          <cell r="AO193" t="str">
            <v>2024 Batch</v>
          </cell>
          <cell r="AP193">
            <v>88</v>
          </cell>
          <cell r="AQ193" t="str">
            <v>PCS-04-034407</v>
          </cell>
          <cell r="AR193" t="b">
            <v>1</v>
          </cell>
          <cell r="AS193" t="str">
            <v>Done</v>
          </cell>
          <cell r="AT193" t="str">
            <v>2024 Batch</v>
          </cell>
          <cell r="AU193">
            <v>9</v>
          </cell>
          <cell r="AV193">
            <v>1</v>
          </cell>
          <cell r="AW193" t="str">
            <v>H+L</v>
          </cell>
          <cell r="AX193">
            <v>88</v>
          </cell>
          <cell r="AY193">
            <v>50</v>
          </cell>
          <cell r="AZ193" t="str">
            <v>Duplex</v>
          </cell>
          <cell r="BA193">
            <v>1</v>
          </cell>
          <cell r="BB193" t="str">
            <v>326 - With Partition</v>
          </cell>
          <cell r="BC193" t="str">
            <v>With Partition</v>
          </cell>
          <cell r="BD193" t="str">
            <v>Flat</v>
          </cell>
          <cell r="BE193" t="str">
            <v>With Partition</v>
          </cell>
          <cell r="BF193" t="str">
            <v>YELLOW</v>
          </cell>
          <cell r="BG193">
            <v>3021000</v>
          </cell>
          <cell r="BH193">
            <v>3120000</v>
          </cell>
          <cell r="BI193">
            <v>100000</v>
          </cell>
          <cell r="BJ193">
            <v>3020000</v>
          </cell>
          <cell r="BK193">
            <v>0</v>
          </cell>
          <cell r="BL193">
            <v>3020000</v>
          </cell>
        </row>
        <row r="194">
          <cell r="D194" t="str">
            <v>OS</v>
          </cell>
          <cell r="E194"/>
          <cell r="F194">
            <v>174</v>
          </cell>
          <cell r="G194" t="str">
            <v>UNSOLD</v>
          </cell>
          <cell r="H194" t="str">
            <v>TS</v>
          </cell>
          <cell r="I194" t="str">
            <v>TS</v>
          </cell>
          <cell r="J194" t="str">
            <v>OS</v>
          </cell>
          <cell r="K194" t="str">
            <v>OS</v>
          </cell>
          <cell r="L194" t="str">
            <v>OS</v>
          </cell>
          <cell r="M194" t="str">
            <v>OS</v>
          </cell>
          <cell r="N194" t="str">
            <v>OS</v>
          </cell>
          <cell r="O194" t="str">
            <v>OS</v>
          </cell>
          <cell r="P194" t="str">
            <v>OS</v>
          </cell>
          <cell r="Q194" t="str">
            <v>OS</v>
          </cell>
          <cell r="R194" t="str">
            <v>OS</v>
          </cell>
          <cell r="S194" t="str">
            <v>OS</v>
          </cell>
          <cell r="T194" t="str">
            <v>OS</v>
          </cell>
          <cell r="U194" t="str">
            <v>OS</v>
          </cell>
          <cell r="V194" t="str">
            <v>OS</v>
          </cell>
          <cell r="W194" t="str">
            <v>OS</v>
          </cell>
          <cell r="X194" t="str">
            <v>OS</v>
          </cell>
          <cell r="Y194" t="str">
            <v>OS</v>
          </cell>
          <cell r="Z194" t="str">
            <v>OS</v>
          </cell>
          <cell r="AA194" t="str">
            <v>OS</v>
          </cell>
          <cell r="AB194" t="str">
            <v>OS</v>
          </cell>
          <cell r="AC194" t="str">
            <v>OS</v>
          </cell>
          <cell r="AD194" t="str">
            <v>AGM-01-009-002</v>
          </cell>
          <cell r="AE194" t="str">
            <v xml:space="preserve">Raemulan Lands, Inc. </v>
          </cell>
          <cell r="AF194" t="str">
            <v>Agapeya</v>
          </cell>
          <cell r="AG194" t="str">
            <v>AGM</v>
          </cell>
          <cell r="AH194" t="str">
            <v>Eco-High</v>
          </cell>
          <cell r="AI194" t="str">
            <v>West</v>
          </cell>
          <cell r="AJ194" t="str">
            <v>With LTS</v>
          </cell>
          <cell r="AK194" t="str">
            <v>Unaffected lots</v>
          </cell>
          <cell r="AL194" t="str">
            <v>Unaffected lots</v>
          </cell>
          <cell r="AM194" t="b">
            <v>1</v>
          </cell>
          <cell r="AN194" t="str">
            <v>YES</v>
          </cell>
          <cell r="AO194" t="str">
            <v>2024 Batch</v>
          </cell>
          <cell r="AP194">
            <v>70</v>
          </cell>
          <cell r="AQ194" t="str">
            <v>PCS-04-034407</v>
          </cell>
          <cell r="AR194" t="b">
            <v>1</v>
          </cell>
          <cell r="AS194" t="str">
            <v>Done</v>
          </cell>
          <cell r="AT194" t="str">
            <v>2024 Batch</v>
          </cell>
          <cell r="AU194">
            <v>9</v>
          </cell>
          <cell r="AV194">
            <v>2</v>
          </cell>
          <cell r="AW194" t="str">
            <v>H+L</v>
          </cell>
          <cell r="AX194">
            <v>70</v>
          </cell>
          <cell r="AY194">
            <v>50</v>
          </cell>
          <cell r="AZ194" t="str">
            <v>Duplex</v>
          </cell>
          <cell r="BA194">
            <v>1</v>
          </cell>
          <cell r="BB194" t="str">
            <v>326 - With Partition</v>
          </cell>
          <cell r="BC194" t="str">
            <v xml:space="preserve">Without Partition </v>
          </cell>
          <cell r="BD194" t="str">
            <v>Slant</v>
          </cell>
          <cell r="BE194" t="str">
            <v xml:space="preserve">Without Partition </v>
          </cell>
          <cell r="BF194" t="str">
            <v>YELLOW</v>
          </cell>
          <cell r="BG194">
            <v>2707500</v>
          </cell>
          <cell r="BH194">
            <v>2650000</v>
          </cell>
          <cell r="BI194">
            <v>100000</v>
          </cell>
          <cell r="BJ194">
            <v>2550000</v>
          </cell>
          <cell r="BK194">
            <v>0</v>
          </cell>
          <cell r="BL194">
            <v>2550000</v>
          </cell>
        </row>
        <row r="195">
          <cell r="D195" t="str">
            <v>OS</v>
          </cell>
          <cell r="E195"/>
          <cell r="F195">
            <v>175</v>
          </cell>
          <cell r="G195" t="str">
            <v>SOLD</v>
          </cell>
          <cell r="H195" t="str">
            <v>OS</v>
          </cell>
          <cell r="I195" t="str">
            <v>OS</v>
          </cell>
          <cell r="J195" t="str">
            <v>OS</v>
          </cell>
          <cell r="K195" t="str">
            <v>OS</v>
          </cell>
          <cell r="L195" t="str">
            <v>OS</v>
          </cell>
          <cell r="M195" t="str">
            <v>OS</v>
          </cell>
          <cell r="N195" t="str">
            <v>OS</v>
          </cell>
          <cell r="O195" t="str">
            <v>OS</v>
          </cell>
          <cell r="P195" t="str">
            <v>OS</v>
          </cell>
          <cell r="Q195" t="str">
            <v>OS</v>
          </cell>
          <cell r="R195" t="str">
            <v>OS</v>
          </cell>
          <cell r="S195" t="str">
            <v>OS</v>
          </cell>
          <cell r="T195" t="str">
            <v>OS</v>
          </cell>
          <cell r="U195" t="str">
            <v>OS</v>
          </cell>
          <cell r="V195" t="str">
            <v>OS</v>
          </cell>
          <cell r="W195" t="str">
            <v>OS</v>
          </cell>
          <cell r="X195" t="str">
            <v>OS</v>
          </cell>
          <cell r="Y195" t="str">
            <v>OS</v>
          </cell>
          <cell r="Z195" t="str">
            <v>OS</v>
          </cell>
          <cell r="AA195" t="str">
            <v>OS</v>
          </cell>
          <cell r="AB195" t="str">
            <v>OS</v>
          </cell>
          <cell r="AC195" t="str">
            <v>OS</v>
          </cell>
          <cell r="AD195" t="str">
            <v>AGM-01-009-003</v>
          </cell>
          <cell r="AE195" t="str">
            <v xml:space="preserve">Raemulan Lands, Inc. </v>
          </cell>
          <cell r="AF195" t="str">
            <v>Agapeya</v>
          </cell>
          <cell r="AG195" t="str">
            <v>AGM</v>
          </cell>
          <cell r="AH195" t="str">
            <v>Eco-High</v>
          </cell>
          <cell r="AI195" t="str">
            <v>West</v>
          </cell>
          <cell r="AJ195" t="str">
            <v>With LTS</v>
          </cell>
          <cell r="AK195" t="str">
            <v>Unaffected lots</v>
          </cell>
          <cell r="AL195" t="str">
            <v>Unaffected lots</v>
          </cell>
          <cell r="AM195" t="b">
            <v>1</v>
          </cell>
          <cell r="AN195" t="str">
            <v>YES</v>
          </cell>
          <cell r="AO195" t="str">
            <v>2024 Batch</v>
          </cell>
          <cell r="AP195">
            <v>70</v>
          </cell>
          <cell r="AQ195" t="str">
            <v>PCS-04-034407</v>
          </cell>
          <cell r="AR195" t="b">
            <v>1</v>
          </cell>
          <cell r="AS195" t="str">
            <v>Done</v>
          </cell>
          <cell r="AT195" t="str">
            <v>2024 Batch</v>
          </cell>
          <cell r="AU195">
            <v>9</v>
          </cell>
          <cell r="AV195">
            <v>3</v>
          </cell>
          <cell r="AW195" t="str">
            <v>H+L</v>
          </cell>
          <cell r="AX195">
            <v>70</v>
          </cell>
          <cell r="AY195">
            <v>50</v>
          </cell>
          <cell r="AZ195" t="str">
            <v>Duplex</v>
          </cell>
          <cell r="BA195">
            <v>1</v>
          </cell>
          <cell r="BB195" t="str">
            <v>326 - With Partition</v>
          </cell>
          <cell r="BC195" t="str">
            <v>With Partition</v>
          </cell>
          <cell r="BD195" t="str">
            <v>Slant</v>
          </cell>
          <cell r="BE195" t="str">
            <v>With Partition</v>
          </cell>
          <cell r="BF195" t="str">
            <v>YELLOW</v>
          </cell>
          <cell r="BG195">
            <v>2707500</v>
          </cell>
          <cell r="BH195">
            <v>2850000</v>
          </cell>
          <cell r="BI195">
            <v>100000</v>
          </cell>
          <cell r="BJ195">
            <v>2750000</v>
          </cell>
          <cell r="BK195">
            <v>0</v>
          </cell>
          <cell r="BL195">
            <v>2750000</v>
          </cell>
        </row>
        <row r="196">
          <cell r="D196" t="str">
            <v>OS</v>
          </cell>
          <cell r="E196"/>
          <cell r="F196">
            <v>176</v>
          </cell>
          <cell r="G196" t="str">
            <v>SOLD</v>
          </cell>
          <cell r="H196" t="str">
            <v>OS</v>
          </cell>
          <cell r="I196" t="str">
            <v>OS</v>
          </cell>
          <cell r="J196" t="str">
            <v>OS</v>
          </cell>
          <cell r="K196" t="str">
            <v>OS</v>
          </cell>
          <cell r="L196" t="str">
            <v>OS</v>
          </cell>
          <cell r="M196" t="str">
            <v>OS</v>
          </cell>
          <cell r="N196" t="str">
            <v>OS</v>
          </cell>
          <cell r="O196" t="str">
            <v>OS</v>
          </cell>
          <cell r="P196" t="str">
            <v>OS</v>
          </cell>
          <cell r="Q196" t="str">
            <v>OS</v>
          </cell>
          <cell r="R196" t="str">
            <v>OS</v>
          </cell>
          <cell r="S196" t="str">
            <v>OS</v>
          </cell>
          <cell r="T196" t="str">
            <v>OS</v>
          </cell>
          <cell r="U196" t="str">
            <v>OS</v>
          </cell>
          <cell r="V196" t="str">
            <v>OS</v>
          </cell>
          <cell r="W196" t="str">
            <v>OS</v>
          </cell>
          <cell r="X196" t="str">
            <v>OS</v>
          </cell>
          <cell r="Y196" t="str">
            <v>OS</v>
          </cell>
          <cell r="Z196" t="str">
            <v>OS</v>
          </cell>
          <cell r="AA196" t="str">
            <v>OS</v>
          </cell>
          <cell r="AB196" t="str">
            <v>OS</v>
          </cell>
          <cell r="AC196" t="str">
            <v>OS</v>
          </cell>
          <cell r="AD196" t="str">
            <v>AGM-01-009-004</v>
          </cell>
          <cell r="AE196" t="str">
            <v xml:space="preserve">Raemulan Lands, Inc. </v>
          </cell>
          <cell r="AF196" t="str">
            <v>Agapeya</v>
          </cell>
          <cell r="AG196" t="str">
            <v>AGM</v>
          </cell>
          <cell r="AH196" t="str">
            <v>Eco-High</v>
          </cell>
          <cell r="AI196" t="str">
            <v>West</v>
          </cell>
          <cell r="AJ196" t="str">
            <v>With LTS</v>
          </cell>
          <cell r="AK196" t="str">
            <v>Unaffected lots</v>
          </cell>
          <cell r="AL196" t="str">
            <v>Unaffected lots</v>
          </cell>
          <cell r="AM196" t="b">
            <v>1</v>
          </cell>
          <cell r="AN196" t="str">
            <v>YES</v>
          </cell>
          <cell r="AO196" t="str">
            <v>2024 Batch</v>
          </cell>
          <cell r="AP196">
            <v>70</v>
          </cell>
          <cell r="AQ196" t="str">
            <v>PCS-04-034407</v>
          </cell>
          <cell r="AR196" t="b">
            <v>1</v>
          </cell>
          <cell r="AS196" t="str">
            <v>Done</v>
          </cell>
          <cell r="AT196" t="str">
            <v>2024 Batch</v>
          </cell>
          <cell r="AU196">
            <v>9</v>
          </cell>
          <cell r="AV196">
            <v>4</v>
          </cell>
          <cell r="AW196" t="str">
            <v>H+L</v>
          </cell>
          <cell r="AX196">
            <v>70</v>
          </cell>
          <cell r="AY196">
            <v>50</v>
          </cell>
          <cell r="AZ196" t="str">
            <v>Duplex</v>
          </cell>
          <cell r="BA196">
            <v>1</v>
          </cell>
          <cell r="BB196" t="str">
            <v>326 - With Partition</v>
          </cell>
          <cell r="BC196" t="str">
            <v xml:space="preserve">Without Partition </v>
          </cell>
          <cell r="BD196" t="str">
            <v>Flat</v>
          </cell>
          <cell r="BE196" t="str">
            <v xml:space="preserve">Without Partition </v>
          </cell>
          <cell r="BF196" t="str">
            <v>YELLOW</v>
          </cell>
          <cell r="BG196">
            <v>2500000</v>
          </cell>
          <cell r="BH196">
            <v>2650000</v>
          </cell>
          <cell r="BI196">
            <v>100000</v>
          </cell>
          <cell r="BJ196">
            <v>2550000</v>
          </cell>
          <cell r="BK196">
            <v>0</v>
          </cell>
          <cell r="BL196">
            <v>2550000</v>
          </cell>
        </row>
        <row r="197">
          <cell r="D197" t="str">
            <v>OS</v>
          </cell>
          <cell r="E197"/>
          <cell r="F197">
            <v>177</v>
          </cell>
          <cell r="G197" t="str">
            <v>SOLD</v>
          </cell>
          <cell r="H197" t="str">
            <v>OS</v>
          </cell>
          <cell r="I197" t="str">
            <v>OS</v>
          </cell>
          <cell r="J197" t="str">
            <v>OS</v>
          </cell>
          <cell r="K197" t="str">
            <v>OS</v>
          </cell>
          <cell r="L197" t="str">
            <v>OS</v>
          </cell>
          <cell r="M197" t="str">
            <v>OS</v>
          </cell>
          <cell r="N197" t="str">
            <v>OS</v>
          </cell>
          <cell r="O197" t="str">
            <v>OS</v>
          </cell>
          <cell r="P197" t="str">
            <v>OS</v>
          </cell>
          <cell r="Q197" t="str">
            <v>OS</v>
          </cell>
          <cell r="R197" t="str">
            <v>OS</v>
          </cell>
          <cell r="S197" t="str">
            <v>OS</v>
          </cell>
          <cell r="T197" t="str">
            <v>OS</v>
          </cell>
          <cell r="U197" t="str">
            <v>OS</v>
          </cell>
          <cell r="V197" t="str">
            <v>OS</v>
          </cell>
          <cell r="W197" t="str">
            <v>OS</v>
          </cell>
          <cell r="X197" t="str">
            <v>OS</v>
          </cell>
          <cell r="Y197" t="str">
            <v>OS</v>
          </cell>
          <cell r="Z197" t="str">
            <v>OS</v>
          </cell>
          <cell r="AA197" t="str">
            <v>OS</v>
          </cell>
          <cell r="AB197" t="str">
            <v>OS</v>
          </cell>
          <cell r="AC197" t="str">
            <v>OS</v>
          </cell>
          <cell r="AD197" t="str">
            <v>AGM-01-009-005</v>
          </cell>
          <cell r="AE197" t="str">
            <v xml:space="preserve">Raemulan Lands, Inc. </v>
          </cell>
          <cell r="AF197" t="str">
            <v>Agapeya</v>
          </cell>
          <cell r="AG197" t="str">
            <v>AGM</v>
          </cell>
          <cell r="AH197" t="str">
            <v>Eco-High</v>
          </cell>
          <cell r="AI197" t="str">
            <v>West</v>
          </cell>
          <cell r="AJ197" t="str">
            <v>With LTS</v>
          </cell>
          <cell r="AK197" t="str">
            <v>Unaffected lots</v>
          </cell>
          <cell r="AL197" t="str">
            <v>Unaffected lots</v>
          </cell>
          <cell r="AM197" t="b">
            <v>1</v>
          </cell>
          <cell r="AN197" t="str">
            <v>NO</v>
          </cell>
          <cell r="AO197" t="str">
            <v>2024 Batch</v>
          </cell>
          <cell r="AP197">
            <v>70</v>
          </cell>
          <cell r="AQ197" t="str">
            <v>PCS-04-035875</v>
          </cell>
          <cell r="AR197" t="b">
            <v>1</v>
          </cell>
          <cell r="AS197" t="str">
            <v>Done</v>
          </cell>
          <cell r="AT197" t="str">
            <v>2024 Batch</v>
          </cell>
          <cell r="AU197">
            <v>9</v>
          </cell>
          <cell r="AV197">
            <v>5</v>
          </cell>
          <cell r="AW197" t="str">
            <v>H+L</v>
          </cell>
          <cell r="AX197">
            <v>70</v>
          </cell>
          <cell r="AY197">
            <v>50</v>
          </cell>
          <cell r="AZ197" t="str">
            <v>Duplex</v>
          </cell>
          <cell r="BA197">
            <v>1</v>
          </cell>
          <cell r="BB197" t="str">
            <v>326 - With Partition</v>
          </cell>
          <cell r="BC197" t="str">
            <v>With Partition</v>
          </cell>
          <cell r="BD197" t="str">
            <v>Flat</v>
          </cell>
          <cell r="BE197" t="str">
            <v>With Partition</v>
          </cell>
          <cell r="BF197" t="str">
            <v>GREEN</v>
          </cell>
          <cell r="BG197">
            <v>2600000</v>
          </cell>
          <cell r="BH197">
            <v>2850000</v>
          </cell>
          <cell r="BI197">
            <v>100000</v>
          </cell>
          <cell r="BJ197">
            <v>2750000</v>
          </cell>
          <cell r="BK197">
            <v>0</v>
          </cell>
          <cell r="BL197">
            <v>2750000</v>
          </cell>
        </row>
        <row r="198">
          <cell r="D198" t="str">
            <v>OS</v>
          </cell>
          <cell r="E198"/>
          <cell r="F198">
            <v>178</v>
          </cell>
          <cell r="G198" t="str">
            <v>SOLD</v>
          </cell>
          <cell r="H198" t="str">
            <v>OS</v>
          </cell>
          <cell r="I198" t="str">
            <v>OS</v>
          </cell>
          <cell r="J198" t="str">
            <v>OS</v>
          </cell>
          <cell r="K198" t="str">
            <v>OS</v>
          </cell>
          <cell r="L198" t="str">
            <v>OS</v>
          </cell>
          <cell r="M198" t="str">
            <v>OS</v>
          </cell>
          <cell r="N198" t="str">
            <v>OS</v>
          </cell>
          <cell r="O198" t="str">
            <v>OS</v>
          </cell>
          <cell r="P198" t="str">
            <v>OS</v>
          </cell>
          <cell r="Q198" t="str">
            <v>OS</v>
          </cell>
          <cell r="R198" t="str">
            <v>OS</v>
          </cell>
          <cell r="S198" t="str">
            <v>OS</v>
          </cell>
          <cell r="T198" t="str">
            <v>OS</v>
          </cell>
          <cell r="U198" t="str">
            <v>OS</v>
          </cell>
          <cell r="V198" t="str">
            <v>OS</v>
          </cell>
          <cell r="W198" t="str">
            <v>OS</v>
          </cell>
          <cell r="X198" t="str">
            <v>OS</v>
          </cell>
          <cell r="Y198" t="str">
            <v>OS</v>
          </cell>
          <cell r="Z198" t="str">
            <v>OS</v>
          </cell>
          <cell r="AA198" t="str">
            <v>OS</v>
          </cell>
          <cell r="AB198" t="str">
            <v>OS</v>
          </cell>
          <cell r="AC198" t="str">
            <v>OS</v>
          </cell>
          <cell r="AD198" t="str">
            <v>AGM-01-009-006</v>
          </cell>
          <cell r="AE198" t="str">
            <v xml:space="preserve">Raemulan Lands, Inc. </v>
          </cell>
          <cell r="AF198" t="str">
            <v>Agapeya</v>
          </cell>
          <cell r="AG198" t="str">
            <v>AGM</v>
          </cell>
          <cell r="AH198" t="str">
            <v>Eco-High</v>
          </cell>
          <cell r="AI198" t="str">
            <v>West</v>
          </cell>
          <cell r="AJ198" t="str">
            <v>With LTS</v>
          </cell>
          <cell r="AK198" t="str">
            <v>Unaffected lots</v>
          </cell>
          <cell r="AL198" t="str">
            <v>Unaffected lots</v>
          </cell>
          <cell r="AM198" t="b">
            <v>1</v>
          </cell>
          <cell r="AN198" t="str">
            <v>YES</v>
          </cell>
          <cell r="AO198" t="str">
            <v>2024 Batch</v>
          </cell>
          <cell r="AP198">
            <v>70</v>
          </cell>
          <cell r="AQ198" t="str">
            <v>PCS-04-034298</v>
          </cell>
          <cell r="AR198" t="b">
            <v>1</v>
          </cell>
          <cell r="AS198" t="str">
            <v>Done</v>
          </cell>
          <cell r="AT198" t="str">
            <v>2024 Batch</v>
          </cell>
          <cell r="AU198">
            <v>9</v>
          </cell>
          <cell r="AV198">
            <v>6</v>
          </cell>
          <cell r="AW198" t="str">
            <v>H+L</v>
          </cell>
          <cell r="AX198">
            <v>70</v>
          </cell>
          <cell r="AY198">
            <v>50</v>
          </cell>
          <cell r="AZ198" t="str">
            <v>Duplex</v>
          </cell>
          <cell r="BA198">
            <v>1</v>
          </cell>
          <cell r="BB198" t="str">
            <v>326 - With Partition</v>
          </cell>
          <cell r="BC198" t="str">
            <v xml:space="preserve">Without Partition </v>
          </cell>
          <cell r="BD198" t="str">
            <v>Slant</v>
          </cell>
          <cell r="BE198" t="str">
            <v xml:space="preserve">Without Partition </v>
          </cell>
          <cell r="BF198" t="str">
            <v>GREEN</v>
          </cell>
          <cell r="BG198">
            <v>2500000</v>
          </cell>
          <cell r="BH198">
            <v>2650000</v>
          </cell>
          <cell r="BI198">
            <v>100000</v>
          </cell>
          <cell r="BJ198">
            <v>2550000</v>
          </cell>
          <cell r="BK198">
            <v>0</v>
          </cell>
          <cell r="BL198">
            <v>2550000</v>
          </cell>
        </row>
        <row r="199">
          <cell r="D199" t="str">
            <v>OS</v>
          </cell>
          <cell r="E199"/>
          <cell r="F199">
            <v>179</v>
          </cell>
          <cell r="G199" t="str">
            <v>SOLD</v>
          </cell>
          <cell r="H199" t="str">
            <v>OS</v>
          </cell>
          <cell r="I199" t="str">
            <v>OS</v>
          </cell>
          <cell r="J199" t="str">
            <v>OS</v>
          </cell>
          <cell r="K199" t="str">
            <v>OS</v>
          </cell>
          <cell r="L199" t="str">
            <v>OS</v>
          </cell>
          <cell r="M199" t="str">
            <v>OS</v>
          </cell>
          <cell r="N199" t="str">
            <v>OS</v>
          </cell>
          <cell r="O199" t="str">
            <v>OS</v>
          </cell>
          <cell r="P199" t="str">
            <v>OS</v>
          </cell>
          <cell r="Q199" t="str">
            <v>OS</v>
          </cell>
          <cell r="R199" t="str">
            <v>OS</v>
          </cell>
          <cell r="S199" t="str">
            <v>WITH BRN</v>
          </cell>
          <cell r="T199" t="str">
            <v>OS</v>
          </cell>
          <cell r="U199" t="str">
            <v>OS</v>
          </cell>
          <cell r="V199" t="str">
            <v>OS</v>
          </cell>
          <cell r="W199" t="str">
            <v>OS</v>
          </cell>
          <cell r="X199" t="str">
            <v>OS</v>
          </cell>
          <cell r="Y199" t="str">
            <v>OS</v>
          </cell>
          <cell r="Z199" t="str">
            <v>OS</v>
          </cell>
          <cell r="AA199" t="str">
            <v>OS</v>
          </cell>
          <cell r="AB199" t="str">
            <v>OS</v>
          </cell>
          <cell r="AC199" t="str">
            <v>OS</v>
          </cell>
          <cell r="AD199" t="str">
            <v>AGM-01-009-007</v>
          </cell>
          <cell r="AE199" t="str">
            <v xml:space="preserve">Raemulan Lands, Inc. </v>
          </cell>
          <cell r="AF199" t="str">
            <v>Agapeya</v>
          </cell>
          <cell r="AG199" t="str">
            <v>AGM</v>
          </cell>
          <cell r="AH199" t="str">
            <v>Eco-High</v>
          </cell>
          <cell r="AI199" t="str">
            <v>West</v>
          </cell>
          <cell r="AJ199" t="str">
            <v>With LTS</v>
          </cell>
          <cell r="AK199" t="str">
            <v>Unaffected lots</v>
          </cell>
          <cell r="AL199" t="str">
            <v>Unaffected lots</v>
          </cell>
          <cell r="AM199" t="b">
            <v>1</v>
          </cell>
          <cell r="AN199" t="str">
            <v>YES</v>
          </cell>
          <cell r="AO199" t="str">
            <v>2024 Batch</v>
          </cell>
          <cell r="AP199">
            <v>70</v>
          </cell>
          <cell r="AQ199" t="str">
            <v>PCS-04-034298</v>
          </cell>
          <cell r="AR199" t="b">
            <v>1</v>
          </cell>
          <cell r="AS199" t="str">
            <v>Done</v>
          </cell>
          <cell r="AT199" t="str">
            <v>2024 Batch</v>
          </cell>
          <cell r="AU199">
            <v>9</v>
          </cell>
          <cell r="AV199">
            <v>7</v>
          </cell>
          <cell r="AW199" t="str">
            <v>H+L</v>
          </cell>
          <cell r="AX199">
            <v>70</v>
          </cell>
          <cell r="AY199">
            <v>50</v>
          </cell>
          <cell r="AZ199" t="str">
            <v>Duplex</v>
          </cell>
          <cell r="BA199">
            <v>1</v>
          </cell>
          <cell r="BB199" t="str">
            <v>326 - With Partition</v>
          </cell>
          <cell r="BC199" t="str">
            <v>With Partition</v>
          </cell>
          <cell r="BD199" t="str">
            <v>Slant</v>
          </cell>
          <cell r="BE199" t="str">
            <v>With Partition</v>
          </cell>
          <cell r="BF199" t="str">
            <v>GREEN</v>
          </cell>
          <cell r="BG199">
            <v>2707500</v>
          </cell>
          <cell r="BH199">
            <v>2850000</v>
          </cell>
          <cell r="BI199">
            <v>100000</v>
          </cell>
          <cell r="BJ199">
            <v>2750000</v>
          </cell>
          <cell r="BK199">
            <v>0</v>
          </cell>
          <cell r="BL199">
            <v>2750000</v>
          </cell>
        </row>
        <row r="200">
          <cell r="D200" t="str">
            <v>OS</v>
          </cell>
          <cell r="E200"/>
          <cell r="F200">
            <v>180</v>
          </cell>
          <cell r="G200" t="str">
            <v>SOLD</v>
          </cell>
          <cell r="H200" t="str">
            <v>OS</v>
          </cell>
          <cell r="I200" t="str">
            <v>OS</v>
          </cell>
          <cell r="J200" t="str">
            <v>OS</v>
          </cell>
          <cell r="K200" t="str">
            <v>OS</v>
          </cell>
          <cell r="L200" t="str">
            <v>OS</v>
          </cell>
          <cell r="M200" t="str">
            <v>OS</v>
          </cell>
          <cell r="N200" t="str">
            <v>OS</v>
          </cell>
          <cell r="O200" t="str">
            <v>OS</v>
          </cell>
          <cell r="P200" t="str">
            <v>OS</v>
          </cell>
          <cell r="Q200" t="str">
            <v>OS</v>
          </cell>
          <cell r="R200" t="str">
            <v>OS</v>
          </cell>
          <cell r="S200" t="str">
            <v>OS</v>
          </cell>
          <cell r="T200" t="str">
            <v>OS</v>
          </cell>
          <cell r="U200" t="str">
            <v>OS</v>
          </cell>
          <cell r="V200" t="str">
            <v>OS</v>
          </cell>
          <cell r="W200" t="str">
            <v>OS</v>
          </cell>
          <cell r="X200" t="str">
            <v>OS</v>
          </cell>
          <cell r="Y200" t="str">
            <v>OS</v>
          </cell>
          <cell r="Z200" t="str">
            <v>OS</v>
          </cell>
          <cell r="AA200" t="str">
            <v>OS</v>
          </cell>
          <cell r="AB200" t="str">
            <v>OS</v>
          </cell>
          <cell r="AC200" t="str">
            <v>OS</v>
          </cell>
          <cell r="AD200" t="str">
            <v>AGM-01-009-008</v>
          </cell>
          <cell r="AE200" t="str">
            <v xml:space="preserve">Raemulan Lands, Inc. </v>
          </cell>
          <cell r="AF200" t="str">
            <v>Agapeya</v>
          </cell>
          <cell r="AG200" t="str">
            <v>AGM</v>
          </cell>
          <cell r="AH200" t="str">
            <v>Eco-High</v>
          </cell>
          <cell r="AI200" t="str">
            <v>West</v>
          </cell>
          <cell r="AJ200" t="str">
            <v>With LTS</v>
          </cell>
          <cell r="AK200" t="str">
            <v>Unaffected lots</v>
          </cell>
          <cell r="AL200" t="str">
            <v>Unaffected lots</v>
          </cell>
          <cell r="AM200" t="b">
            <v>1</v>
          </cell>
          <cell r="AN200" t="str">
            <v>YES</v>
          </cell>
          <cell r="AO200" t="str">
            <v>2024 Batch</v>
          </cell>
          <cell r="AP200">
            <v>70</v>
          </cell>
          <cell r="AQ200" t="str">
            <v>PCS-04-034298</v>
          </cell>
          <cell r="AR200" t="b">
            <v>1</v>
          </cell>
          <cell r="AS200" t="str">
            <v>Done</v>
          </cell>
          <cell r="AT200" t="str">
            <v>2024 Batch</v>
          </cell>
          <cell r="AU200">
            <v>9</v>
          </cell>
          <cell r="AV200">
            <v>8</v>
          </cell>
          <cell r="AW200" t="str">
            <v>H+L</v>
          </cell>
          <cell r="AX200">
            <v>70</v>
          </cell>
          <cell r="AY200">
            <v>50</v>
          </cell>
          <cell r="AZ200" t="str">
            <v>Duplex</v>
          </cell>
          <cell r="BA200">
            <v>1</v>
          </cell>
          <cell r="BB200" t="str">
            <v>326 - With Partition</v>
          </cell>
          <cell r="BC200" t="str">
            <v>With Partition</v>
          </cell>
          <cell r="BD200" t="str">
            <v>Flat</v>
          </cell>
          <cell r="BE200" t="str">
            <v>With Partition</v>
          </cell>
          <cell r="BF200" t="str">
            <v>GREEN</v>
          </cell>
          <cell r="BG200">
            <v>2707500</v>
          </cell>
          <cell r="BH200">
            <v>2850000</v>
          </cell>
          <cell r="BI200">
            <v>100000</v>
          </cell>
          <cell r="BJ200">
            <v>2750000</v>
          </cell>
          <cell r="BK200">
            <v>0</v>
          </cell>
          <cell r="BL200">
            <v>2750000</v>
          </cell>
        </row>
        <row r="201">
          <cell r="D201" t="str">
            <v>OS</v>
          </cell>
          <cell r="E201"/>
          <cell r="F201">
            <v>181</v>
          </cell>
          <cell r="G201" t="str">
            <v>FOR CANCELLATION</v>
          </cell>
          <cell r="H201" t="str">
            <v>FOR CANCELLATION</v>
          </cell>
          <cell r="I201" t="str">
            <v>FOR CANCELLATION</v>
          </cell>
          <cell r="J201" t="str">
            <v>FOR CANCELLATION</v>
          </cell>
          <cell r="K201" t="str">
            <v>FOR CANCELLATION</v>
          </cell>
          <cell r="L201" t="str">
            <v>FOR CANCELLATION</v>
          </cell>
          <cell r="M201" t="str">
            <v>FOR CANCELLATION</v>
          </cell>
          <cell r="N201" t="str">
            <v>FOR CANCELLATION</v>
          </cell>
          <cell r="O201" t="str">
            <v>TS</v>
          </cell>
          <cell r="P201" t="str">
            <v>OS</v>
          </cell>
          <cell r="Q201" t="str">
            <v>OS</v>
          </cell>
          <cell r="R201" t="str">
            <v>OS</v>
          </cell>
          <cell r="S201" t="str">
            <v>OS</v>
          </cell>
          <cell r="T201" t="str">
            <v>OS</v>
          </cell>
          <cell r="U201" t="str">
            <v>OS</v>
          </cell>
          <cell r="V201" t="str">
            <v>OS</v>
          </cell>
          <cell r="W201" t="str">
            <v>OS</v>
          </cell>
          <cell r="X201" t="str">
            <v>OS</v>
          </cell>
          <cell r="Y201" t="str">
            <v>OS</v>
          </cell>
          <cell r="Z201" t="str">
            <v>OS</v>
          </cell>
          <cell r="AA201" t="str">
            <v>OS</v>
          </cell>
          <cell r="AB201" t="str">
            <v>OS</v>
          </cell>
          <cell r="AC201" t="str">
            <v>OS</v>
          </cell>
          <cell r="AD201" t="str">
            <v>AGM-01-009-009</v>
          </cell>
          <cell r="AE201" t="str">
            <v xml:space="preserve">Raemulan Lands, Inc. </v>
          </cell>
          <cell r="AF201" t="str">
            <v>Agapeya</v>
          </cell>
          <cell r="AG201" t="str">
            <v>AGM</v>
          </cell>
          <cell r="AH201" t="str">
            <v>Eco-High</v>
          </cell>
          <cell r="AI201" t="str">
            <v>West</v>
          </cell>
          <cell r="AJ201" t="str">
            <v>With LTS</v>
          </cell>
          <cell r="AK201" t="str">
            <v>Unaffected lots</v>
          </cell>
          <cell r="AL201" t="str">
            <v>Unaffected lots</v>
          </cell>
          <cell r="AM201" t="b">
            <v>1</v>
          </cell>
          <cell r="AN201" t="str">
            <v>YES</v>
          </cell>
          <cell r="AO201" t="str">
            <v>2024 Batch</v>
          </cell>
          <cell r="AP201">
            <v>70</v>
          </cell>
          <cell r="AQ201" t="str">
            <v>PCS-04-034298</v>
          </cell>
          <cell r="AR201" t="b">
            <v>1</v>
          </cell>
          <cell r="AS201" t="str">
            <v>Done</v>
          </cell>
          <cell r="AT201" t="str">
            <v>2024 Batch</v>
          </cell>
          <cell r="AU201">
            <v>9</v>
          </cell>
          <cell r="AV201">
            <v>9</v>
          </cell>
          <cell r="AW201" t="str">
            <v>H+L</v>
          </cell>
          <cell r="AX201">
            <v>70</v>
          </cell>
          <cell r="AY201">
            <v>50</v>
          </cell>
          <cell r="AZ201" t="str">
            <v>Duplex</v>
          </cell>
          <cell r="BA201">
            <v>1</v>
          </cell>
          <cell r="BB201" t="str">
            <v>326 - With Partition</v>
          </cell>
          <cell r="BC201" t="str">
            <v>With Partition</v>
          </cell>
          <cell r="BD201" t="str">
            <v>Flat</v>
          </cell>
          <cell r="BE201" t="str">
            <v>With Partition</v>
          </cell>
          <cell r="BF201" t="str">
            <v>PURPLE</v>
          </cell>
          <cell r="BG201">
            <v>2707500</v>
          </cell>
          <cell r="BH201">
            <v>2850000</v>
          </cell>
          <cell r="BI201">
            <v>100000</v>
          </cell>
          <cell r="BJ201">
            <v>2750000</v>
          </cell>
          <cell r="BK201">
            <v>0</v>
          </cell>
          <cell r="BL201">
            <v>2750000</v>
          </cell>
        </row>
        <row r="202">
          <cell r="D202" t="str">
            <v>OS</v>
          </cell>
          <cell r="E202"/>
          <cell r="F202">
            <v>182</v>
          </cell>
          <cell r="G202" t="str">
            <v>SOLD</v>
          </cell>
          <cell r="H202" t="str">
            <v>OS</v>
          </cell>
          <cell r="I202" t="str">
            <v>OS</v>
          </cell>
          <cell r="J202" t="str">
            <v>OS</v>
          </cell>
          <cell r="K202" t="str">
            <v>OS</v>
          </cell>
          <cell r="L202" t="str">
            <v>OS</v>
          </cell>
          <cell r="M202" t="str">
            <v>OS</v>
          </cell>
          <cell r="N202" t="str">
            <v>OS</v>
          </cell>
          <cell r="O202" t="str">
            <v>OS</v>
          </cell>
          <cell r="P202" t="str">
            <v>OS</v>
          </cell>
          <cell r="Q202" t="str">
            <v>OS</v>
          </cell>
          <cell r="R202" t="str">
            <v>OS</v>
          </cell>
          <cell r="S202" t="str">
            <v>OS</v>
          </cell>
          <cell r="T202" t="str">
            <v>OS</v>
          </cell>
          <cell r="U202" t="str">
            <v>OS</v>
          </cell>
          <cell r="V202" t="str">
            <v>OS</v>
          </cell>
          <cell r="W202" t="str">
            <v>OS</v>
          </cell>
          <cell r="X202" t="str">
            <v>OS</v>
          </cell>
          <cell r="Y202" t="str">
            <v>OS</v>
          </cell>
          <cell r="Z202" t="str">
            <v>OS</v>
          </cell>
          <cell r="AA202" t="str">
            <v>OS</v>
          </cell>
          <cell r="AB202" t="str">
            <v>OS</v>
          </cell>
          <cell r="AC202" t="str">
            <v>OS</v>
          </cell>
          <cell r="AD202" t="str">
            <v>AGM-01-009-010</v>
          </cell>
          <cell r="AE202" t="str">
            <v xml:space="preserve">Raemulan Lands, Inc. </v>
          </cell>
          <cell r="AF202" t="str">
            <v>Agapeya</v>
          </cell>
          <cell r="AG202" t="str">
            <v>AGM</v>
          </cell>
          <cell r="AH202" t="str">
            <v>Eco-High</v>
          </cell>
          <cell r="AI202" t="str">
            <v>West</v>
          </cell>
          <cell r="AJ202" t="str">
            <v>With LTS</v>
          </cell>
          <cell r="AK202" t="str">
            <v>Unaffected lots</v>
          </cell>
          <cell r="AL202" t="str">
            <v>Unaffected lots</v>
          </cell>
          <cell r="AM202" t="b">
            <v>1</v>
          </cell>
          <cell r="AN202" t="str">
            <v>YES</v>
          </cell>
          <cell r="AO202" t="str">
            <v>2024 Batch</v>
          </cell>
          <cell r="AP202">
            <v>70</v>
          </cell>
          <cell r="AQ202" t="str">
            <v>PCS-04-034298</v>
          </cell>
          <cell r="AR202" t="b">
            <v>1</v>
          </cell>
          <cell r="AS202" t="str">
            <v>Done</v>
          </cell>
          <cell r="AT202" t="str">
            <v>2024 Batch</v>
          </cell>
          <cell r="AU202">
            <v>9</v>
          </cell>
          <cell r="AV202">
            <v>10</v>
          </cell>
          <cell r="AW202" t="str">
            <v>H+L</v>
          </cell>
          <cell r="AX202">
            <v>70</v>
          </cell>
          <cell r="AY202">
            <v>50</v>
          </cell>
          <cell r="AZ202" t="str">
            <v>Duplex</v>
          </cell>
          <cell r="BA202">
            <v>1</v>
          </cell>
          <cell r="BB202" t="str">
            <v>326 - With Partition</v>
          </cell>
          <cell r="BC202" t="str">
            <v>With Partition</v>
          </cell>
          <cell r="BD202" t="str">
            <v>Slant</v>
          </cell>
          <cell r="BE202" t="str">
            <v>With Partition</v>
          </cell>
          <cell r="BF202" t="str">
            <v>PURPLE</v>
          </cell>
          <cell r="BG202">
            <v>2707500</v>
          </cell>
          <cell r="BH202">
            <v>2850000</v>
          </cell>
          <cell r="BI202">
            <v>100000</v>
          </cell>
          <cell r="BJ202">
            <v>2750000</v>
          </cell>
          <cell r="BK202">
            <v>0</v>
          </cell>
          <cell r="BL202">
            <v>2750000</v>
          </cell>
        </row>
        <row r="203">
          <cell r="D203" t="str">
            <v>OS</v>
          </cell>
          <cell r="E203"/>
          <cell r="F203">
            <v>183</v>
          </cell>
          <cell r="G203" t="str">
            <v>SOLD</v>
          </cell>
          <cell r="H203" t="str">
            <v>OS</v>
          </cell>
          <cell r="I203" t="str">
            <v>OS</v>
          </cell>
          <cell r="J203" t="str">
            <v>OS</v>
          </cell>
          <cell r="K203" t="str">
            <v>OS</v>
          </cell>
          <cell r="L203" t="str">
            <v>OS</v>
          </cell>
          <cell r="M203" t="str">
            <v>OS</v>
          </cell>
          <cell r="N203" t="str">
            <v>OS</v>
          </cell>
          <cell r="O203" t="str">
            <v>OS</v>
          </cell>
          <cell r="P203" t="str">
            <v>OS</v>
          </cell>
          <cell r="Q203" t="str">
            <v>OS</v>
          </cell>
          <cell r="R203" t="str">
            <v>OS</v>
          </cell>
          <cell r="S203" t="str">
            <v>OS</v>
          </cell>
          <cell r="T203" t="str">
            <v>OS</v>
          </cell>
          <cell r="U203" t="str">
            <v>OS</v>
          </cell>
          <cell r="V203" t="str">
            <v>OS</v>
          </cell>
          <cell r="W203" t="str">
            <v>OS</v>
          </cell>
          <cell r="X203" t="str">
            <v>FOR CANCELLATION</v>
          </cell>
          <cell r="Y203" t="str">
            <v>TS</v>
          </cell>
          <cell r="Z203" t="str">
            <v>OS</v>
          </cell>
          <cell r="AA203" t="str">
            <v>OS</v>
          </cell>
          <cell r="AB203" t="str">
            <v>TS</v>
          </cell>
          <cell r="AC203" t="str">
            <v>TS</v>
          </cell>
          <cell r="AD203" t="str">
            <v>AGM-01-009-011</v>
          </cell>
          <cell r="AE203" t="str">
            <v xml:space="preserve">Raemulan Lands, Inc. </v>
          </cell>
          <cell r="AF203" t="str">
            <v>Agapeya</v>
          </cell>
          <cell r="AG203" t="str">
            <v>AGM</v>
          </cell>
          <cell r="AH203" t="str">
            <v>Eco-High</v>
          </cell>
          <cell r="AI203" t="str">
            <v>West</v>
          </cell>
          <cell r="AJ203" t="str">
            <v>With LTS</v>
          </cell>
          <cell r="AK203" t="str">
            <v>Unaffected lots</v>
          </cell>
          <cell r="AL203" t="str">
            <v>Unaffected lots</v>
          </cell>
          <cell r="AM203" t="b">
            <v>1</v>
          </cell>
          <cell r="AN203" t="str">
            <v>YES</v>
          </cell>
          <cell r="AO203" t="str">
            <v>2024 Batch</v>
          </cell>
          <cell r="AP203">
            <v>70</v>
          </cell>
          <cell r="AQ203" t="str">
            <v>PCS-04-034298</v>
          </cell>
          <cell r="AR203" t="b">
            <v>1</v>
          </cell>
          <cell r="AS203" t="str">
            <v>Done</v>
          </cell>
          <cell r="AT203" t="str">
            <v>2024 Batch</v>
          </cell>
          <cell r="AU203">
            <v>9</v>
          </cell>
          <cell r="AV203">
            <v>11</v>
          </cell>
          <cell r="AW203" t="str">
            <v>H+L</v>
          </cell>
          <cell r="AX203">
            <v>70</v>
          </cell>
          <cell r="AY203">
            <v>50</v>
          </cell>
          <cell r="AZ203" t="str">
            <v>Duplex</v>
          </cell>
          <cell r="BA203">
            <v>1</v>
          </cell>
          <cell r="BB203" t="str">
            <v>326 - With Partition</v>
          </cell>
          <cell r="BC203" t="str">
            <v xml:space="preserve">Without Partition </v>
          </cell>
          <cell r="BD203" t="str">
            <v>Slant</v>
          </cell>
          <cell r="BE203" t="str">
            <v xml:space="preserve">Without Partition </v>
          </cell>
          <cell r="BF203" t="str">
            <v>PURPLE</v>
          </cell>
          <cell r="BG203">
            <v>2707500</v>
          </cell>
          <cell r="BH203">
            <v>2650000</v>
          </cell>
          <cell r="BI203">
            <v>100000</v>
          </cell>
          <cell r="BJ203">
            <v>2550000</v>
          </cell>
          <cell r="BK203">
            <v>0</v>
          </cell>
          <cell r="BL203">
            <v>2550000</v>
          </cell>
        </row>
        <row r="204">
          <cell r="D204" t="str">
            <v>OS</v>
          </cell>
          <cell r="E204"/>
          <cell r="F204">
            <v>184</v>
          </cell>
          <cell r="G204" t="str">
            <v>SOLD</v>
          </cell>
          <cell r="H204" t="str">
            <v>OS</v>
          </cell>
          <cell r="I204" t="str">
            <v>OS</v>
          </cell>
          <cell r="J204" t="str">
            <v>OS</v>
          </cell>
          <cell r="K204" t="str">
            <v>OS</v>
          </cell>
          <cell r="L204" t="str">
            <v>OS</v>
          </cell>
          <cell r="M204" t="str">
            <v>OS</v>
          </cell>
          <cell r="N204" t="str">
            <v>OS</v>
          </cell>
          <cell r="O204" t="str">
            <v>OS</v>
          </cell>
          <cell r="P204" t="str">
            <v>OS</v>
          </cell>
          <cell r="Q204" t="str">
            <v>OS</v>
          </cell>
          <cell r="R204" t="str">
            <v>OS</v>
          </cell>
          <cell r="S204" t="str">
            <v>OS</v>
          </cell>
          <cell r="T204" t="str">
            <v>OS</v>
          </cell>
          <cell r="U204" t="str">
            <v>OS</v>
          </cell>
          <cell r="V204" t="str">
            <v>OS</v>
          </cell>
          <cell r="W204" t="str">
            <v>OS</v>
          </cell>
          <cell r="X204" t="str">
            <v>OS</v>
          </cell>
          <cell r="Y204" t="str">
            <v>OS</v>
          </cell>
          <cell r="Z204" t="str">
            <v>OS</v>
          </cell>
          <cell r="AA204" t="str">
            <v>OS</v>
          </cell>
          <cell r="AB204" t="str">
            <v>OS</v>
          </cell>
          <cell r="AC204" t="str">
            <v>OS</v>
          </cell>
          <cell r="AD204" t="str">
            <v>AGM-01-009-012</v>
          </cell>
          <cell r="AE204" t="str">
            <v xml:space="preserve">Raemulan Lands, Inc. </v>
          </cell>
          <cell r="AF204" t="str">
            <v>Agapeya</v>
          </cell>
          <cell r="AG204" t="str">
            <v>AGM</v>
          </cell>
          <cell r="AH204" t="str">
            <v>Eco-High</v>
          </cell>
          <cell r="AI204" t="str">
            <v>West</v>
          </cell>
          <cell r="AJ204" t="str">
            <v>With LTS</v>
          </cell>
          <cell r="AK204" t="str">
            <v>Unaffected lots</v>
          </cell>
          <cell r="AL204" t="str">
            <v>Unaffected lots</v>
          </cell>
          <cell r="AM204" t="b">
            <v>1</v>
          </cell>
          <cell r="AN204" t="str">
            <v>YES</v>
          </cell>
          <cell r="AO204" t="str">
            <v>2024 Batch</v>
          </cell>
          <cell r="AP204">
            <v>70</v>
          </cell>
          <cell r="AQ204" t="str">
            <v>PCS-04-034298</v>
          </cell>
          <cell r="AR204" t="b">
            <v>1</v>
          </cell>
          <cell r="AS204" t="str">
            <v>Done</v>
          </cell>
          <cell r="AT204" t="str">
            <v>2024 Batch</v>
          </cell>
          <cell r="AU204">
            <v>9</v>
          </cell>
          <cell r="AV204">
            <v>12</v>
          </cell>
          <cell r="AW204" t="str">
            <v>H+L</v>
          </cell>
          <cell r="AX204">
            <v>70</v>
          </cell>
          <cell r="AY204">
            <v>50</v>
          </cell>
          <cell r="AZ204" t="str">
            <v>Duplex</v>
          </cell>
          <cell r="BA204">
            <v>1</v>
          </cell>
          <cell r="BB204" t="str">
            <v>326 - With Partition</v>
          </cell>
          <cell r="BC204" t="str">
            <v>With Partition</v>
          </cell>
          <cell r="BD204" t="str">
            <v>Flat</v>
          </cell>
          <cell r="BE204" t="str">
            <v>With Partition</v>
          </cell>
          <cell r="BF204" t="str">
            <v>PURPLE</v>
          </cell>
          <cell r="BG204">
            <v>2707500</v>
          </cell>
          <cell r="BH204">
            <v>2850000</v>
          </cell>
          <cell r="BI204">
            <v>100000</v>
          </cell>
          <cell r="BJ204">
            <v>2750000</v>
          </cell>
          <cell r="BK204">
            <v>0</v>
          </cell>
          <cell r="BL204">
            <v>2750000</v>
          </cell>
        </row>
        <row r="205">
          <cell r="D205" t="str">
            <v>OS</v>
          </cell>
          <cell r="E205"/>
          <cell r="F205">
            <v>185</v>
          </cell>
          <cell r="G205" t="str">
            <v>SOLD</v>
          </cell>
          <cell r="H205" t="str">
            <v>OS</v>
          </cell>
          <cell r="I205" t="str">
            <v>OS</v>
          </cell>
          <cell r="J205" t="str">
            <v>OS</v>
          </cell>
          <cell r="K205" t="str">
            <v>OS</v>
          </cell>
          <cell r="L205" t="str">
            <v>OS</v>
          </cell>
          <cell r="M205" t="str">
            <v>OS</v>
          </cell>
          <cell r="N205" t="str">
            <v>OS</v>
          </cell>
          <cell r="O205" t="str">
            <v>OS</v>
          </cell>
          <cell r="P205" t="str">
            <v>OS</v>
          </cell>
          <cell r="Q205" t="str">
            <v>OS</v>
          </cell>
          <cell r="R205" t="str">
            <v>OS</v>
          </cell>
          <cell r="S205" t="str">
            <v>OS</v>
          </cell>
          <cell r="T205" t="str">
            <v>OS</v>
          </cell>
          <cell r="U205" t="str">
            <v>OS</v>
          </cell>
          <cell r="V205" t="str">
            <v>OS</v>
          </cell>
          <cell r="W205" t="str">
            <v>OS</v>
          </cell>
          <cell r="X205" t="str">
            <v>OS</v>
          </cell>
          <cell r="Y205" t="str">
            <v>OS</v>
          </cell>
          <cell r="Z205" t="str">
            <v>OS</v>
          </cell>
          <cell r="AA205" t="str">
            <v>OS</v>
          </cell>
          <cell r="AB205" t="str">
            <v>OS</v>
          </cell>
          <cell r="AC205" t="str">
            <v>OS</v>
          </cell>
          <cell r="AD205" t="str">
            <v>AGM-01-009-013</v>
          </cell>
          <cell r="AE205" t="str">
            <v xml:space="preserve">Raemulan Lands, Inc. </v>
          </cell>
          <cell r="AF205" t="str">
            <v>Agapeya</v>
          </cell>
          <cell r="AG205" t="str">
            <v>AGM</v>
          </cell>
          <cell r="AH205" t="str">
            <v>Eco-High</v>
          </cell>
          <cell r="AI205" t="str">
            <v>West</v>
          </cell>
          <cell r="AJ205" t="str">
            <v>With LTS</v>
          </cell>
          <cell r="AK205" t="str">
            <v>Unaffected lots</v>
          </cell>
          <cell r="AL205" t="str">
            <v>Unaffected lots</v>
          </cell>
          <cell r="AM205" t="b">
            <v>1</v>
          </cell>
          <cell r="AN205" t="str">
            <v>YES</v>
          </cell>
          <cell r="AO205" t="str">
            <v>2024 Batch</v>
          </cell>
          <cell r="AP205">
            <v>70</v>
          </cell>
          <cell r="AQ205" t="str">
            <v>PCS-04-034298</v>
          </cell>
          <cell r="AR205" t="b">
            <v>1</v>
          </cell>
          <cell r="AS205" t="str">
            <v>Done</v>
          </cell>
          <cell r="AT205" t="str">
            <v>2024 Batch</v>
          </cell>
          <cell r="AU205">
            <v>9</v>
          </cell>
          <cell r="AV205">
            <v>13</v>
          </cell>
          <cell r="AW205" t="str">
            <v>H+L</v>
          </cell>
          <cell r="AX205">
            <v>70</v>
          </cell>
          <cell r="AY205">
            <v>50</v>
          </cell>
          <cell r="AZ205" t="str">
            <v>Duplex</v>
          </cell>
          <cell r="BA205">
            <v>1</v>
          </cell>
          <cell r="BB205" t="str">
            <v>326 - With Partition</v>
          </cell>
          <cell r="BC205" t="str">
            <v>With Partition</v>
          </cell>
          <cell r="BD205" t="str">
            <v>Flat</v>
          </cell>
          <cell r="BE205" t="str">
            <v>With Partition</v>
          </cell>
          <cell r="BF205" t="str">
            <v>PINK</v>
          </cell>
          <cell r="BG205">
            <v>2707500</v>
          </cell>
          <cell r="BH205">
            <v>2850000</v>
          </cell>
          <cell r="BI205">
            <v>100000</v>
          </cell>
          <cell r="BJ205">
            <v>2750000</v>
          </cell>
          <cell r="BK205">
            <v>0</v>
          </cell>
          <cell r="BL205">
            <v>2750000</v>
          </cell>
        </row>
        <row r="206">
          <cell r="D206" t="str">
            <v>OS</v>
          </cell>
          <cell r="E206"/>
          <cell r="F206">
            <v>186</v>
          </cell>
          <cell r="G206" t="str">
            <v>UNSOLD</v>
          </cell>
          <cell r="H206" t="str">
            <v>VOLUNTARY</v>
          </cell>
          <cell r="I206" t="str">
            <v>FOR BRN</v>
          </cell>
          <cell r="J206" t="str">
            <v>TS</v>
          </cell>
          <cell r="K206" t="str">
            <v>TS</v>
          </cell>
          <cell r="L206" t="str">
            <v>TS</v>
          </cell>
          <cell r="M206" t="str">
            <v>TS</v>
          </cell>
          <cell r="N206" t="str">
            <v>TS</v>
          </cell>
          <cell r="O206" t="str">
            <v>TS</v>
          </cell>
          <cell r="P206" t="str">
            <v>OS</v>
          </cell>
          <cell r="Q206" t="str">
            <v>OS</v>
          </cell>
          <cell r="R206" t="str">
            <v>OS</v>
          </cell>
          <cell r="S206" t="str">
            <v>OS</v>
          </cell>
          <cell r="T206" t="str">
            <v>OS</v>
          </cell>
          <cell r="U206" t="str">
            <v>OS</v>
          </cell>
          <cell r="V206" t="str">
            <v>OS</v>
          </cell>
          <cell r="W206" t="str">
            <v>OS</v>
          </cell>
          <cell r="X206" t="str">
            <v>OS</v>
          </cell>
          <cell r="Y206" t="str">
            <v>OS</v>
          </cell>
          <cell r="Z206" t="str">
            <v>OS</v>
          </cell>
          <cell r="AA206" t="str">
            <v>OS</v>
          </cell>
          <cell r="AB206" t="str">
            <v>OS</v>
          </cell>
          <cell r="AC206" t="str">
            <v>OS</v>
          </cell>
          <cell r="AD206" t="str">
            <v>AGM-01-009-014</v>
          </cell>
          <cell r="AE206" t="str">
            <v xml:space="preserve">Raemulan Lands, Inc. </v>
          </cell>
          <cell r="AF206" t="str">
            <v>Agapeya</v>
          </cell>
          <cell r="AG206" t="str">
            <v>AGM</v>
          </cell>
          <cell r="AH206" t="str">
            <v>Eco-High</v>
          </cell>
          <cell r="AI206" t="str">
            <v>West</v>
          </cell>
          <cell r="AJ206" t="str">
            <v>With LTS</v>
          </cell>
          <cell r="AK206" t="str">
            <v>Unaffected lots</v>
          </cell>
          <cell r="AL206" t="str">
            <v>Unaffected lots</v>
          </cell>
          <cell r="AM206" t="b">
            <v>1</v>
          </cell>
          <cell r="AN206" t="str">
            <v>YES</v>
          </cell>
          <cell r="AO206" t="str">
            <v>2024 Batch</v>
          </cell>
          <cell r="AP206">
            <v>70</v>
          </cell>
          <cell r="AQ206" t="str">
            <v>PCS-04-034298</v>
          </cell>
          <cell r="AR206" t="b">
            <v>1</v>
          </cell>
          <cell r="AS206" t="str">
            <v>Done</v>
          </cell>
          <cell r="AT206" t="str">
            <v>2024 Batch</v>
          </cell>
          <cell r="AU206">
            <v>9</v>
          </cell>
          <cell r="AV206">
            <v>14</v>
          </cell>
          <cell r="AW206" t="str">
            <v>H+L</v>
          </cell>
          <cell r="AX206">
            <v>70</v>
          </cell>
          <cell r="AY206">
            <v>50</v>
          </cell>
          <cell r="AZ206" t="str">
            <v>Duplex</v>
          </cell>
          <cell r="BA206">
            <v>1</v>
          </cell>
          <cell r="BB206" t="str">
            <v>326 - With Partition</v>
          </cell>
          <cell r="BC206" t="str">
            <v>With Partition</v>
          </cell>
          <cell r="BD206" t="str">
            <v>Slant</v>
          </cell>
          <cell r="BE206" t="str">
            <v>With Partition</v>
          </cell>
          <cell r="BF206" t="str">
            <v>PINK</v>
          </cell>
          <cell r="BG206">
            <v>2707500</v>
          </cell>
          <cell r="BH206">
            <v>2850000</v>
          </cell>
          <cell r="BI206">
            <v>100000</v>
          </cell>
          <cell r="BJ206">
            <v>2750000</v>
          </cell>
          <cell r="BK206">
            <v>0</v>
          </cell>
          <cell r="BL206">
            <v>2750000</v>
          </cell>
        </row>
        <row r="207">
          <cell r="D207" t="str">
            <v>OS</v>
          </cell>
          <cell r="E207"/>
          <cell r="F207">
            <v>187</v>
          </cell>
          <cell r="G207" t="str">
            <v>SOLD</v>
          </cell>
          <cell r="H207" t="str">
            <v>OS</v>
          </cell>
          <cell r="I207" t="str">
            <v>OS</v>
          </cell>
          <cell r="J207" t="str">
            <v>OS</v>
          </cell>
          <cell r="K207" t="str">
            <v>OS</v>
          </cell>
          <cell r="L207" t="str">
            <v>OS</v>
          </cell>
          <cell r="M207" t="str">
            <v>OS</v>
          </cell>
          <cell r="N207" t="str">
            <v>OS</v>
          </cell>
          <cell r="O207" t="str">
            <v>OS</v>
          </cell>
          <cell r="P207" t="str">
            <v>OS</v>
          </cell>
          <cell r="Q207" t="str">
            <v>OS</v>
          </cell>
          <cell r="R207" t="str">
            <v>OS</v>
          </cell>
          <cell r="S207" t="str">
            <v>OS</v>
          </cell>
          <cell r="T207" t="str">
            <v>OS</v>
          </cell>
          <cell r="U207" t="str">
            <v>OS</v>
          </cell>
          <cell r="V207" t="str">
            <v>OS</v>
          </cell>
          <cell r="W207" t="str">
            <v>OS</v>
          </cell>
          <cell r="X207" t="str">
            <v>OS</v>
          </cell>
          <cell r="Y207" t="str">
            <v>OS</v>
          </cell>
          <cell r="Z207" t="str">
            <v>OS</v>
          </cell>
          <cell r="AA207" t="str">
            <v>OS</v>
          </cell>
          <cell r="AB207" t="str">
            <v>OS</v>
          </cell>
          <cell r="AC207" t="str">
            <v>OS</v>
          </cell>
          <cell r="AD207" t="str">
            <v>AGM-01-009-015</v>
          </cell>
          <cell r="AE207" t="str">
            <v xml:space="preserve">Raemulan Lands, Inc. </v>
          </cell>
          <cell r="AF207" t="str">
            <v>Agapeya</v>
          </cell>
          <cell r="AG207" t="str">
            <v>AGM</v>
          </cell>
          <cell r="AH207" t="str">
            <v>Eco-High</v>
          </cell>
          <cell r="AI207" t="str">
            <v>West</v>
          </cell>
          <cell r="AJ207" t="str">
            <v>With LTS</v>
          </cell>
          <cell r="AK207" t="str">
            <v>Unaffected lots</v>
          </cell>
          <cell r="AL207" t="str">
            <v>Unaffected lots</v>
          </cell>
          <cell r="AM207" t="b">
            <v>1</v>
          </cell>
          <cell r="AN207" t="str">
            <v>YES</v>
          </cell>
          <cell r="AO207" t="str">
            <v>2024 Batch</v>
          </cell>
          <cell r="AP207">
            <v>70</v>
          </cell>
          <cell r="AQ207" t="str">
            <v>PCS-04-034298</v>
          </cell>
          <cell r="AR207" t="b">
            <v>1</v>
          </cell>
          <cell r="AS207" t="str">
            <v>Done</v>
          </cell>
          <cell r="AT207" t="str">
            <v>2024 Batch</v>
          </cell>
          <cell r="AU207">
            <v>9</v>
          </cell>
          <cell r="AV207">
            <v>15</v>
          </cell>
          <cell r="AW207" t="str">
            <v>H+L</v>
          </cell>
          <cell r="AX207">
            <v>70</v>
          </cell>
          <cell r="AY207">
            <v>50</v>
          </cell>
          <cell r="AZ207" t="str">
            <v>Duplex</v>
          </cell>
          <cell r="BA207">
            <v>1</v>
          </cell>
          <cell r="BB207" t="str">
            <v>326 - With Partition</v>
          </cell>
          <cell r="BC207" t="str">
            <v xml:space="preserve">Without Partition </v>
          </cell>
          <cell r="BD207" t="str">
            <v>Slant</v>
          </cell>
          <cell r="BE207" t="str">
            <v xml:space="preserve">With Partition </v>
          </cell>
          <cell r="BF207" t="str">
            <v>PINK</v>
          </cell>
          <cell r="BG207">
            <v>2600000</v>
          </cell>
          <cell r="BH207">
            <v>2650000</v>
          </cell>
          <cell r="BI207">
            <v>100000</v>
          </cell>
          <cell r="BJ207">
            <v>2550000</v>
          </cell>
          <cell r="BK207">
            <v>0</v>
          </cell>
          <cell r="BL207">
            <v>2550000</v>
          </cell>
        </row>
        <row r="208">
          <cell r="D208" t="str">
            <v>OS</v>
          </cell>
          <cell r="E208"/>
          <cell r="F208">
            <v>188</v>
          </cell>
          <cell r="G208" t="str">
            <v>SOLD</v>
          </cell>
          <cell r="H208" t="str">
            <v>OS</v>
          </cell>
          <cell r="I208" t="str">
            <v>OS</v>
          </cell>
          <cell r="J208" t="str">
            <v>OS</v>
          </cell>
          <cell r="K208" t="str">
            <v>OS</v>
          </cell>
          <cell r="L208" t="str">
            <v>OS</v>
          </cell>
          <cell r="M208" t="str">
            <v>OS</v>
          </cell>
          <cell r="N208" t="str">
            <v>OS</v>
          </cell>
          <cell r="O208" t="str">
            <v>OS</v>
          </cell>
          <cell r="P208" t="str">
            <v>OS</v>
          </cell>
          <cell r="Q208" t="str">
            <v>OS</v>
          </cell>
          <cell r="R208" t="str">
            <v>OS</v>
          </cell>
          <cell r="S208" t="str">
            <v>OS</v>
          </cell>
          <cell r="T208" t="str">
            <v>OS</v>
          </cell>
          <cell r="U208" t="str">
            <v>OS</v>
          </cell>
          <cell r="V208" t="str">
            <v>OS</v>
          </cell>
          <cell r="W208" t="str">
            <v>OS</v>
          </cell>
          <cell r="X208" t="str">
            <v>OS</v>
          </cell>
          <cell r="Y208" t="str">
            <v>OS</v>
          </cell>
          <cell r="Z208" t="str">
            <v>OS</v>
          </cell>
          <cell r="AA208" t="str">
            <v>OS</v>
          </cell>
          <cell r="AB208" t="str">
            <v>OS</v>
          </cell>
          <cell r="AC208" t="str">
            <v>OS</v>
          </cell>
          <cell r="AD208" t="str">
            <v>AGM-01-009-016</v>
          </cell>
          <cell r="AE208" t="str">
            <v xml:space="preserve">Raemulan Lands, Inc. </v>
          </cell>
          <cell r="AF208" t="str">
            <v>Agapeya</v>
          </cell>
          <cell r="AG208" t="str">
            <v>AGM</v>
          </cell>
          <cell r="AH208" t="str">
            <v>Eco-High</v>
          </cell>
          <cell r="AI208" t="str">
            <v>West</v>
          </cell>
          <cell r="AJ208" t="str">
            <v>With LTS</v>
          </cell>
          <cell r="AK208" t="str">
            <v>Unaffected lots</v>
          </cell>
          <cell r="AL208" t="str">
            <v>Unaffected lots</v>
          </cell>
          <cell r="AM208" t="b">
            <v>1</v>
          </cell>
          <cell r="AN208" t="str">
            <v>YES</v>
          </cell>
          <cell r="AO208" t="str">
            <v>2024 Batch</v>
          </cell>
          <cell r="AP208">
            <v>70</v>
          </cell>
          <cell r="AQ208" t="str">
            <v>PCS-04-034298</v>
          </cell>
          <cell r="AR208" t="b">
            <v>1</v>
          </cell>
          <cell r="AS208" t="str">
            <v>Done</v>
          </cell>
          <cell r="AT208" t="str">
            <v>2024 Batch</v>
          </cell>
          <cell r="AU208">
            <v>9</v>
          </cell>
          <cell r="AV208">
            <v>16</v>
          </cell>
          <cell r="AW208" t="str">
            <v>H+L</v>
          </cell>
          <cell r="AX208">
            <v>70</v>
          </cell>
          <cell r="AY208">
            <v>50</v>
          </cell>
          <cell r="AZ208" t="str">
            <v>Duplex</v>
          </cell>
          <cell r="BA208">
            <v>1</v>
          </cell>
          <cell r="BB208" t="str">
            <v>326 - With Partition</v>
          </cell>
          <cell r="BC208" t="str">
            <v>With Partition</v>
          </cell>
          <cell r="BD208" t="str">
            <v>Flat</v>
          </cell>
          <cell r="BE208" t="str">
            <v>With Partition</v>
          </cell>
          <cell r="BF208" t="str">
            <v>PINK</v>
          </cell>
          <cell r="BG208">
            <v>2707500</v>
          </cell>
          <cell r="BH208">
            <v>2850000</v>
          </cell>
          <cell r="BI208">
            <v>100000</v>
          </cell>
          <cell r="BJ208">
            <v>2750000</v>
          </cell>
          <cell r="BK208">
            <v>0</v>
          </cell>
          <cell r="BL208">
            <v>2750000</v>
          </cell>
        </row>
        <row r="209">
          <cell r="D209" t="str">
            <v>OS</v>
          </cell>
          <cell r="E209"/>
          <cell r="F209">
            <v>189</v>
          </cell>
          <cell r="G209" t="str">
            <v>SOLD</v>
          </cell>
          <cell r="H209" t="str">
            <v>OS</v>
          </cell>
          <cell r="I209" t="str">
            <v>OS</v>
          </cell>
          <cell r="J209" t="str">
            <v>OS</v>
          </cell>
          <cell r="K209" t="str">
            <v>OS</v>
          </cell>
          <cell r="L209" t="str">
            <v>OS</v>
          </cell>
          <cell r="M209" t="str">
            <v>OS</v>
          </cell>
          <cell r="N209" t="str">
            <v>OS</v>
          </cell>
          <cell r="O209" t="str">
            <v>OS</v>
          </cell>
          <cell r="P209" t="str">
            <v>OS</v>
          </cell>
          <cell r="Q209" t="str">
            <v>OS</v>
          </cell>
          <cell r="R209" t="str">
            <v>OS</v>
          </cell>
          <cell r="S209" t="str">
            <v>OS</v>
          </cell>
          <cell r="T209" t="str">
            <v>OS</v>
          </cell>
          <cell r="U209" t="str">
            <v>OS</v>
          </cell>
          <cell r="V209" t="str">
            <v>OS</v>
          </cell>
          <cell r="W209" t="str">
            <v>OS</v>
          </cell>
          <cell r="X209" t="str">
            <v>OS</v>
          </cell>
          <cell r="Y209" t="str">
            <v>OS</v>
          </cell>
          <cell r="Z209" t="str">
            <v>OS</v>
          </cell>
          <cell r="AA209" t="str">
            <v>OS</v>
          </cell>
          <cell r="AB209" t="str">
            <v>OS</v>
          </cell>
          <cell r="AC209" t="str">
            <v>OS</v>
          </cell>
          <cell r="AD209" t="str">
            <v>AGM-01-009-017</v>
          </cell>
          <cell r="AE209" t="str">
            <v xml:space="preserve">Raemulan Lands, Inc. </v>
          </cell>
          <cell r="AF209" t="str">
            <v>Agapeya</v>
          </cell>
          <cell r="AG209" t="str">
            <v>AGM</v>
          </cell>
          <cell r="AH209" t="str">
            <v>Eco-High</v>
          </cell>
          <cell r="AI209" t="str">
            <v>West</v>
          </cell>
          <cell r="AJ209" t="str">
            <v>With LTS</v>
          </cell>
          <cell r="AK209" t="str">
            <v>Unaffected lots</v>
          </cell>
          <cell r="AL209" t="str">
            <v>Unaffected lots</v>
          </cell>
          <cell r="AM209" t="b">
            <v>1</v>
          </cell>
          <cell r="AN209" t="str">
            <v>YES</v>
          </cell>
          <cell r="AO209" t="str">
            <v>2024 Batch</v>
          </cell>
          <cell r="AP209">
            <v>70</v>
          </cell>
          <cell r="AQ209" t="str">
            <v>PCS-04-034298</v>
          </cell>
          <cell r="AR209" t="b">
            <v>1</v>
          </cell>
          <cell r="AS209" t="str">
            <v>Done</v>
          </cell>
          <cell r="AT209" t="str">
            <v>2024 Batch</v>
          </cell>
          <cell r="AU209">
            <v>9</v>
          </cell>
          <cell r="AV209">
            <v>17</v>
          </cell>
          <cell r="AW209" t="str">
            <v>H+L</v>
          </cell>
          <cell r="AX209">
            <v>70</v>
          </cell>
          <cell r="AY209">
            <v>50</v>
          </cell>
          <cell r="AZ209" t="str">
            <v>Duplex</v>
          </cell>
          <cell r="BA209">
            <v>1</v>
          </cell>
          <cell r="BB209" t="str">
            <v>326 - With Partition</v>
          </cell>
          <cell r="BC209" t="str">
            <v>With Partition</v>
          </cell>
          <cell r="BD209" t="str">
            <v>Flat</v>
          </cell>
          <cell r="BE209" t="str">
            <v>With Partition</v>
          </cell>
          <cell r="BF209" t="str">
            <v>YELLOW</v>
          </cell>
          <cell r="BG209">
            <v>2707500</v>
          </cell>
          <cell r="BH209">
            <v>2850000</v>
          </cell>
          <cell r="BI209">
            <v>100000</v>
          </cell>
          <cell r="BJ209">
            <v>2750000</v>
          </cell>
          <cell r="BK209">
            <v>0</v>
          </cell>
          <cell r="BL209">
            <v>2750000</v>
          </cell>
        </row>
        <row r="210">
          <cell r="D210" t="str">
            <v>OS</v>
          </cell>
          <cell r="E210"/>
          <cell r="F210">
            <v>190</v>
          </cell>
          <cell r="G210" t="str">
            <v>SOLD</v>
          </cell>
          <cell r="H210" t="str">
            <v>OS</v>
          </cell>
          <cell r="I210" t="str">
            <v>OS</v>
          </cell>
          <cell r="J210" t="str">
            <v>OS</v>
          </cell>
          <cell r="K210" t="str">
            <v>OS</v>
          </cell>
          <cell r="L210" t="str">
            <v>OS</v>
          </cell>
          <cell r="M210" t="str">
            <v>OS</v>
          </cell>
          <cell r="N210" t="str">
            <v>OS</v>
          </cell>
          <cell r="O210" t="str">
            <v>OS</v>
          </cell>
          <cell r="P210" t="str">
            <v>OS</v>
          </cell>
          <cell r="Q210" t="str">
            <v>OS</v>
          </cell>
          <cell r="R210" t="str">
            <v>OS</v>
          </cell>
          <cell r="S210" t="str">
            <v>OS</v>
          </cell>
          <cell r="T210" t="str">
            <v>OS</v>
          </cell>
          <cell r="U210" t="str">
            <v>OS</v>
          </cell>
          <cell r="V210" t="str">
            <v>OS</v>
          </cell>
          <cell r="W210" t="str">
            <v>OS</v>
          </cell>
          <cell r="X210" t="str">
            <v>OS</v>
          </cell>
          <cell r="Y210" t="str">
            <v>OS</v>
          </cell>
          <cell r="Z210" t="str">
            <v>OS</v>
          </cell>
          <cell r="AA210" t="str">
            <v>OS</v>
          </cell>
          <cell r="AB210" t="str">
            <v>OS</v>
          </cell>
          <cell r="AC210" t="str">
            <v>OS</v>
          </cell>
          <cell r="AD210" t="str">
            <v>AGM-01-009-018</v>
          </cell>
          <cell r="AE210" t="str">
            <v xml:space="preserve">Raemulan Lands, Inc. </v>
          </cell>
          <cell r="AF210" t="str">
            <v>Agapeya</v>
          </cell>
          <cell r="AG210" t="str">
            <v>AGM</v>
          </cell>
          <cell r="AH210" t="str">
            <v>Eco-High</v>
          </cell>
          <cell r="AI210" t="str">
            <v>West</v>
          </cell>
          <cell r="AJ210" t="str">
            <v>With LTS</v>
          </cell>
          <cell r="AK210" t="str">
            <v>Unaffected lots</v>
          </cell>
          <cell r="AL210" t="str">
            <v>Unaffected lots</v>
          </cell>
          <cell r="AM210" t="b">
            <v>1</v>
          </cell>
          <cell r="AN210" t="str">
            <v>YES</v>
          </cell>
          <cell r="AO210" t="str">
            <v>2024 Batch</v>
          </cell>
          <cell r="AP210">
            <v>70</v>
          </cell>
          <cell r="AQ210" t="str">
            <v>PCS-04-034298</v>
          </cell>
          <cell r="AR210" t="b">
            <v>1</v>
          </cell>
          <cell r="AS210" t="str">
            <v>Done</v>
          </cell>
          <cell r="AT210" t="str">
            <v>2024 Batch</v>
          </cell>
          <cell r="AU210">
            <v>9</v>
          </cell>
          <cell r="AV210">
            <v>18</v>
          </cell>
          <cell r="AW210" t="str">
            <v>H+L</v>
          </cell>
          <cell r="AX210">
            <v>70</v>
          </cell>
          <cell r="AY210">
            <v>50</v>
          </cell>
          <cell r="AZ210" t="str">
            <v>Duplex</v>
          </cell>
          <cell r="BA210">
            <v>1</v>
          </cell>
          <cell r="BB210" t="str">
            <v>326 - With Partition</v>
          </cell>
          <cell r="BC210" t="str">
            <v>With Partition</v>
          </cell>
          <cell r="BD210" t="str">
            <v>Slant</v>
          </cell>
          <cell r="BE210" t="str">
            <v>With Partition</v>
          </cell>
          <cell r="BF210" t="str">
            <v>YELLOW</v>
          </cell>
          <cell r="BG210">
            <v>2707500</v>
          </cell>
          <cell r="BH210">
            <v>2850000</v>
          </cell>
          <cell r="BI210">
            <v>100000</v>
          </cell>
          <cell r="BJ210">
            <v>2750000</v>
          </cell>
          <cell r="BK210">
            <v>0</v>
          </cell>
          <cell r="BL210">
            <v>2750000</v>
          </cell>
        </row>
        <row r="211">
          <cell r="D211" t="str">
            <v>OS</v>
          </cell>
          <cell r="E211"/>
          <cell r="F211">
            <v>191</v>
          </cell>
          <cell r="G211" t="str">
            <v>SOLD</v>
          </cell>
          <cell r="H211" t="str">
            <v>OS</v>
          </cell>
          <cell r="I211" t="str">
            <v>OS</v>
          </cell>
          <cell r="J211" t="str">
            <v>OS</v>
          </cell>
          <cell r="K211" t="str">
            <v>OS</v>
          </cell>
          <cell r="L211" t="str">
            <v>OS</v>
          </cell>
          <cell r="M211" t="str">
            <v>OS</v>
          </cell>
          <cell r="N211" t="str">
            <v>OS</v>
          </cell>
          <cell r="O211" t="str">
            <v>OS</v>
          </cell>
          <cell r="P211" t="str">
            <v>OS</v>
          </cell>
          <cell r="Q211" t="str">
            <v>OS</v>
          </cell>
          <cell r="R211" t="str">
            <v>OS</v>
          </cell>
          <cell r="S211" t="str">
            <v>OS</v>
          </cell>
          <cell r="T211" t="str">
            <v>OS</v>
          </cell>
          <cell r="U211" t="str">
            <v>OS</v>
          </cell>
          <cell r="V211" t="str">
            <v>OS</v>
          </cell>
          <cell r="W211" t="str">
            <v>OS</v>
          </cell>
          <cell r="X211" t="str">
            <v>OS</v>
          </cell>
          <cell r="Y211" t="str">
            <v>OS</v>
          </cell>
          <cell r="Z211" t="str">
            <v>OS</v>
          </cell>
          <cell r="AA211" t="str">
            <v>OS</v>
          </cell>
          <cell r="AB211" t="str">
            <v>OS</v>
          </cell>
          <cell r="AC211" t="str">
            <v>OS</v>
          </cell>
          <cell r="AD211" t="str">
            <v>AGM-01-009-019</v>
          </cell>
          <cell r="AE211" t="str">
            <v xml:space="preserve">Raemulan Lands, Inc. </v>
          </cell>
          <cell r="AF211" t="str">
            <v>Agapeya</v>
          </cell>
          <cell r="AG211" t="str">
            <v>AGM</v>
          </cell>
          <cell r="AH211" t="str">
            <v>Eco-High</v>
          </cell>
          <cell r="AI211" t="str">
            <v>West</v>
          </cell>
          <cell r="AJ211" t="str">
            <v>With LTS</v>
          </cell>
          <cell r="AK211" t="str">
            <v>Unaffected lots</v>
          </cell>
          <cell r="AL211" t="str">
            <v>Unaffected lots</v>
          </cell>
          <cell r="AM211" t="b">
            <v>1</v>
          </cell>
          <cell r="AN211" t="str">
            <v>YES</v>
          </cell>
          <cell r="AO211" t="str">
            <v>2024 Batch</v>
          </cell>
          <cell r="AP211">
            <v>70</v>
          </cell>
          <cell r="AQ211" t="str">
            <v>PCS-04-034298</v>
          </cell>
          <cell r="AR211" t="b">
            <v>1</v>
          </cell>
          <cell r="AS211" t="str">
            <v>Done</v>
          </cell>
          <cell r="AT211" t="str">
            <v>2024 Batch</v>
          </cell>
          <cell r="AU211">
            <v>9</v>
          </cell>
          <cell r="AV211">
            <v>19</v>
          </cell>
          <cell r="AW211" t="str">
            <v>H+L</v>
          </cell>
          <cell r="AX211">
            <v>70</v>
          </cell>
          <cell r="AY211">
            <v>50</v>
          </cell>
          <cell r="AZ211" t="str">
            <v>Duplex</v>
          </cell>
          <cell r="BA211">
            <v>1</v>
          </cell>
          <cell r="BB211" t="str">
            <v>326 - With Partition</v>
          </cell>
          <cell r="BC211" t="str">
            <v>With Partition</v>
          </cell>
          <cell r="BD211" t="str">
            <v>Slant</v>
          </cell>
          <cell r="BE211" t="str">
            <v>With Partition</v>
          </cell>
          <cell r="BF211" t="str">
            <v>YELLOW</v>
          </cell>
          <cell r="BG211">
            <v>2707500</v>
          </cell>
          <cell r="BH211">
            <v>2850000</v>
          </cell>
          <cell r="BI211">
            <v>100000</v>
          </cell>
          <cell r="BJ211">
            <v>2750000</v>
          </cell>
          <cell r="BK211">
            <v>0</v>
          </cell>
          <cell r="BL211">
            <v>2750000</v>
          </cell>
        </row>
        <row r="212">
          <cell r="D212" t="str">
            <v>OS</v>
          </cell>
          <cell r="E212"/>
          <cell r="F212">
            <v>192</v>
          </cell>
          <cell r="G212" t="str">
            <v>SOLD</v>
          </cell>
          <cell r="H212" t="str">
            <v>OS</v>
          </cell>
          <cell r="I212" t="str">
            <v>OS</v>
          </cell>
          <cell r="J212" t="str">
            <v>OS</v>
          </cell>
          <cell r="K212" t="str">
            <v>OS</v>
          </cell>
          <cell r="L212" t="str">
            <v>OS</v>
          </cell>
          <cell r="M212" t="str">
            <v>OS</v>
          </cell>
          <cell r="N212" t="str">
            <v>OS</v>
          </cell>
          <cell r="O212" t="str">
            <v>OS</v>
          </cell>
          <cell r="P212" t="str">
            <v>OS</v>
          </cell>
          <cell r="Q212" t="str">
            <v>OS</v>
          </cell>
          <cell r="R212" t="str">
            <v>OS</v>
          </cell>
          <cell r="S212" t="str">
            <v>OS</v>
          </cell>
          <cell r="T212" t="str">
            <v>OS</v>
          </cell>
          <cell r="U212" t="str">
            <v>OS</v>
          </cell>
          <cell r="V212" t="str">
            <v>OS</v>
          </cell>
          <cell r="W212" t="str">
            <v>OS</v>
          </cell>
          <cell r="X212" t="str">
            <v>OS</v>
          </cell>
          <cell r="Y212" t="str">
            <v>OS</v>
          </cell>
          <cell r="Z212" t="str">
            <v>OS</v>
          </cell>
          <cell r="AA212" t="str">
            <v>OS</v>
          </cell>
          <cell r="AB212" t="str">
            <v>OS</v>
          </cell>
          <cell r="AC212" t="str">
            <v>OS</v>
          </cell>
          <cell r="AD212" t="str">
            <v>AGM-01-009-020</v>
          </cell>
          <cell r="AE212" t="str">
            <v xml:space="preserve">Raemulan Lands, Inc. </v>
          </cell>
          <cell r="AF212" t="str">
            <v>Agapeya</v>
          </cell>
          <cell r="AG212" t="str">
            <v>AGM</v>
          </cell>
          <cell r="AH212" t="str">
            <v>Eco-High</v>
          </cell>
          <cell r="AI212" t="str">
            <v>West</v>
          </cell>
          <cell r="AJ212" t="str">
            <v>With LTS</v>
          </cell>
          <cell r="AK212" t="str">
            <v>Unaffected lots</v>
          </cell>
          <cell r="AL212" t="str">
            <v>Unaffected lots</v>
          </cell>
          <cell r="AM212" t="b">
            <v>1</v>
          </cell>
          <cell r="AN212" t="str">
            <v>YES</v>
          </cell>
          <cell r="AO212" t="str">
            <v>2024 Batch</v>
          </cell>
          <cell r="AP212">
            <v>70</v>
          </cell>
          <cell r="AQ212" t="str">
            <v>PCS-04-034298</v>
          </cell>
          <cell r="AR212" t="b">
            <v>1</v>
          </cell>
          <cell r="AS212" t="str">
            <v>Done</v>
          </cell>
          <cell r="AT212" t="str">
            <v>2024 Batch</v>
          </cell>
          <cell r="AU212">
            <v>9</v>
          </cell>
          <cell r="AV212">
            <v>20</v>
          </cell>
          <cell r="AW212" t="str">
            <v>H+L</v>
          </cell>
          <cell r="AX212">
            <v>70</v>
          </cell>
          <cell r="AY212">
            <v>50</v>
          </cell>
          <cell r="AZ212" t="str">
            <v>Duplex</v>
          </cell>
          <cell r="BA212">
            <v>1</v>
          </cell>
          <cell r="BB212" t="str">
            <v>326 - With Partition</v>
          </cell>
          <cell r="BC212" t="str">
            <v>With Partition</v>
          </cell>
          <cell r="BD212" t="str">
            <v>Flat</v>
          </cell>
          <cell r="BE212" t="str">
            <v>With Partition</v>
          </cell>
          <cell r="BF212" t="str">
            <v>YELLOW</v>
          </cell>
          <cell r="BG212">
            <v>2750000</v>
          </cell>
          <cell r="BH212">
            <v>2850000</v>
          </cell>
          <cell r="BI212">
            <v>100000</v>
          </cell>
          <cell r="BJ212">
            <v>2750000</v>
          </cell>
          <cell r="BK212">
            <v>0</v>
          </cell>
          <cell r="BL212">
            <v>2750000</v>
          </cell>
        </row>
        <row r="213">
          <cell r="D213" t="str">
            <v>OS</v>
          </cell>
          <cell r="E213"/>
          <cell r="F213">
            <v>193</v>
          </cell>
          <cell r="G213" t="str">
            <v>SOLD</v>
          </cell>
          <cell r="H213" t="str">
            <v>OS</v>
          </cell>
          <cell r="I213" t="str">
            <v>OS</v>
          </cell>
          <cell r="J213" t="str">
            <v>OS</v>
          </cell>
          <cell r="K213" t="str">
            <v>OS</v>
          </cell>
          <cell r="L213" t="str">
            <v>OS</v>
          </cell>
          <cell r="M213" t="str">
            <v>OS</v>
          </cell>
          <cell r="N213" t="str">
            <v>OS</v>
          </cell>
          <cell r="O213" t="str">
            <v>OS</v>
          </cell>
          <cell r="P213" t="str">
            <v>OS</v>
          </cell>
          <cell r="Q213" t="str">
            <v>OS</v>
          </cell>
          <cell r="R213" t="str">
            <v>OS</v>
          </cell>
          <cell r="S213" t="str">
            <v>OS</v>
          </cell>
          <cell r="T213" t="str">
            <v>OS</v>
          </cell>
          <cell r="U213" t="str">
            <v>OS</v>
          </cell>
          <cell r="V213" t="str">
            <v>OS</v>
          </cell>
          <cell r="W213" t="str">
            <v>OS</v>
          </cell>
          <cell r="X213" t="str">
            <v>OS</v>
          </cell>
          <cell r="Y213" t="str">
            <v>OS</v>
          </cell>
          <cell r="Z213" t="str">
            <v>OS</v>
          </cell>
          <cell r="AA213" t="str">
            <v>OS</v>
          </cell>
          <cell r="AB213" t="str">
            <v>OS</v>
          </cell>
          <cell r="AC213" t="str">
            <v>OS</v>
          </cell>
          <cell r="AD213" t="str">
            <v>AGM-01-009-021</v>
          </cell>
          <cell r="AE213" t="str">
            <v xml:space="preserve">Raemulan Lands, Inc. </v>
          </cell>
          <cell r="AF213" t="str">
            <v>Agapeya</v>
          </cell>
          <cell r="AG213" t="str">
            <v>AGM</v>
          </cell>
          <cell r="AH213" t="str">
            <v>Eco-High</v>
          </cell>
          <cell r="AI213" t="str">
            <v>West</v>
          </cell>
          <cell r="AJ213" t="str">
            <v>With LTS</v>
          </cell>
          <cell r="AK213" t="str">
            <v>Unaffected lots</v>
          </cell>
          <cell r="AL213" t="str">
            <v>Unaffected lots</v>
          </cell>
          <cell r="AM213" t="b">
            <v>1</v>
          </cell>
          <cell r="AN213" t="str">
            <v>YES</v>
          </cell>
          <cell r="AO213" t="str">
            <v>2024 Batch</v>
          </cell>
          <cell r="AP213">
            <v>70</v>
          </cell>
          <cell r="AQ213" t="str">
            <v>PCS-04-034298</v>
          </cell>
          <cell r="AR213" t="b">
            <v>1</v>
          </cell>
          <cell r="AS213" t="str">
            <v>Done</v>
          </cell>
          <cell r="AT213" t="str">
            <v>2024 Batch</v>
          </cell>
          <cell r="AU213">
            <v>9</v>
          </cell>
          <cell r="AV213">
            <v>21</v>
          </cell>
          <cell r="AW213" t="str">
            <v>H+L</v>
          </cell>
          <cell r="AX213">
            <v>70</v>
          </cell>
          <cell r="AY213">
            <v>50</v>
          </cell>
          <cell r="AZ213" t="str">
            <v>Duplex</v>
          </cell>
          <cell r="BA213">
            <v>1</v>
          </cell>
          <cell r="BB213" t="str">
            <v>326 - With Partition</v>
          </cell>
          <cell r="BC213" t="str">
            <v xml:space="preserve">Without Partition </v>
          </cell>
          <cell r="BD213" t="str">
            <v>Flat</v>
          </cell>
          <cell r="BE213" t="str">
            <v xml:space="preserve">Without Partition </v>
          </cell>
          <cell r="BF213" t="str">
            <v>GREEN</v>
          </cell>
          <cell r="BG213">
            <v>2500000</v>
          </cell>
          <cell r="BH213">
            <v>2650000</v>
          </cell>
          <cell r="BI213">
            <v>100000</v>
          </cell>
          <cell r="BJ213">
            <v>2550000</v>
          </cell>
          <cell r="BK213">
            <v>0</v>
          </cell>
          <cell r="BL213">
            <v>2550000</v>
          </cell>
        </row>
        <row r="214">
          <cell r="D214" t="str">
            <v>OS</v>
          </cell>
          <cell r="E214"/>
          <cell r="F214">
            <v>194</v>
          </cell>
          <cell r="G214" t="str">
            <v>SOLD</v>
          </cell>
          <cell r="H214" t="str">
            <v>OS</v>
          </cell>
          <cell r="I214" t="str">
            <v>OS</v>
          </cell>
          <cell r="J214" t="str">
            <v>OS</v>
          </cell>
          <cell r="K214" t="str">
            <v>OS</v>
          </cell>
          <cell r="L214" t="str">
            <v>OS</v>
          </cell>
          <cell r="M214" t="str">
            <v>OS</v>
          </cell>
          <cell r="N214" t="str">
            <v>OS</v>
          </cell>
          <cell r="O214" t="str">
            <v>OS</v>
          </cell>
          <cell r="P214" t="str">
            <v>OS</v>
          </cell>
          <cell r="Q214" t="str">
            <v>OS</v>
          </cell>
          <cell r="R214" t="str">
            <v>OS</v>
          </cell>
          <cell r="S214" t="str">
            <v>OS</v>
          </cell>
          <cell r="T214" t="str">
            <v>OS</v>
          </cell>
          <cell r="U214" t="str">
            <v>OS</v>
          </cell>
          <cell r="V214" t="str">
            <v>OS</v>
          </cell>
          <cell r="W214" t="str">
            <v>OS</v>
          </cell>
          <cell r="X214" t="str">
            <v>OS</v>
          </cell>
          <cell r="Y214" t="str">
            <v>OS</v>
          </cell>
          <cell r="Z214" t="str">
            <v>OS</v>
          </cell>
          <cell r="AA214" t="str">
            <v>OS</v>
          </cell>
          <cell r="AB214" t="str">
            <v>OS</v>
          </cell>
          <cell r="AC214" t="str">
            <v>OS</v>
          </cell>
          <cell r="AD214" t="str">
            <v>AGM-01-009-022</v>
          </cell>
          <cell r="AE214" t="str">
            <v xml:space="preserve">Raemulan Lands, Inc. </v>
          </cell>
          <cell r="AF214" t="str">
            <v>Agapeya</v>
          </cell>
          <cell r="AG214" t="str">
            <v>AGM</v>
          </cell>
          <cell r="AH214" t="str">
            <v>Eco-High</v>
          </cell>
          <cell r="AI214" t="str">
            <v>West</v>
          </cell>
          <cell r="AJ214" t="str">
            <v>With LTS</v>
          </cell>
          <cell r="AK214" t="str">
            <v>Unaffected lots</v>
          </cell>
          <cell r="AL214" t="str">
            <v>Unaffected lots</v>
          </cell>
          <cell r="AM214" t="b">
            <v>1</v>
          </cell>
          <cell r="AN214" t="str">
            <v>YES</v>
          </cell>
          <cell r="AO214" t="str">
            <v>2024 Batch</v>
          </cell>
          <cell r="AP214">
            <v>70</v>
          </cell>
          <cell r="AQ214" t="str">
            <v>PCS-04-034298</v>
          </cell>
          <cell r="AR214" t="b">
            <v>1</v>
          </cell>
          <cell r="AS214" t="str">
            <v>Done</v>
          </cell>
          <cell r="AT214" t="str">
            <v>2024 Batch</v>
          </cell>
          <cell r="AU214">
            <v>9</v>
          </cell>
          <cell r="AV214">
            <v>22</v>
          </cell>
          <cell r="AW214" t="str">
            <v>H+L</v>
          </cell>
          <cell r="AX214">
            <v>70</v>
          </cell>
          <cell r="AY214">
            <v>50</v>
          </cell>
          <cell r="AZ214" t="str">
            <v>Duplex</v>
          </cell>
          <cell r="BA214">
            <v>1</v>
          </cell>
          <cell r="BB214" t="str">
            <v>326 - With Partition</v>
          </cell>
          <cell r="BC214" t="str">
            <v>With Partition</v>
          </cell>
          <cell r="BD214" t="str">
            <v>Slant</v>
          </cell>
          <cell r="BE214" t="str">
            <v>With Partition</v>
          </cell>
          <cell r="BF214" t="str">
            <v>GREEN</v>
          </cell>
          <cell r="BG214">
            <v>2707500</v>
          </cell>
          <cell r="BH214">
            <v>2850000</v>
          </cell>
          <cell r="BI214">
            <v>100000</v>
          </cell>
          <cell r="BJ214">
            <v>2750000</v>
          </cell>
          <cell r="BK214">
            <v>0</v>
          </cell>
          <cell r="BL214">
            <v>2750000</v>
          </cell>
        </row>
        <row r="215">
          <cell r="D215" t="str">
            <v>OS</v>
          </cell>
          <cell r="E215"/>
          <cell r="F215">
            <v>195</v>
          </cell>
          <cell r="G215" t="str">
            <v>SOLD</v>
          </cell>
          <cell r="H215" t="str">
            <v>OS</v>
          </cell>
          <cell r="I215" t="str">
            <v>OS</v>
          </cell>
          <cell r="J215" t="str">
            <v>OS</v>
          </cell>
          <cell r="K215" t="str">
            <v>OS</v>
          </cell>
          <cell r="L215" t="str">
            <v>OS</v>
          </cell>
          <cell r="M215" t="str">
            <v>OS</v>
          </cell>
          <cell r="N215" t="str">
            <v>OS</v>
          </cell>
          <cell r="O215" t="str">
            <v>OS</v>
          </cell>
          <cell r="P215" t="str">
            <v>OS</v>
          </cell>
          <cell r="Q215" t="str">
            <v>OS</v>
          </cell>
          <cell r="R215" t="str">
            <v>OS</v>
          </cell>
          <cell r="S215" t="str">
            <v>OS</v>
          </cell>
          <cell r="T215" t="str">
            <v>OS</v>
          </cell>
          <cell r="U215" t="str">
            <v>OS</v>
          </cell>
          <cell r="V215" t="str">
            <v>OS</v>
          </cell>
          <cell r="W215" t="str">
            <v>OS</v>
          </cell>
          <cell r="X215" t="str">
            <v>OS</v>
          </cell>
          <cell r="Y215" t="str">
            <v>OS</v>
          </cell>
          <cell r="Z215" t="str">
            <v>OS</v>
          </cell>
          <cell r="AA215" t="str">
            <v>OS</v>
          </cell>
          <cell r="AB215" t="str">
            <v>OS</v>
          </cell>
          <cell r="AC215" t="str">
            <v>OS</v>
          </cell>
          <cell r="AD215" t="str">
            <v>AGM-01-009-023</v>
          </cell>
          <cell r="AE215" t="str">
            <v xml:space="preserve">Raemulan Lands, Inc. </v>
          </cell>
          <cell r="AF215" t="str">
            <v>Agapeya</v>
          </cell>
          <cell r="AG215" t="str">
            <v>AGM</v>
          </cell>
          <cell r="AH215" t="str">
            <v>Eco-High</v>
          </cell>
          <cell r="AI215" t="str">
            <v>West</v>
          </cell>
          <cell r="AJ215" t="str">
            <v>With LTS</v>
          </cell>
          <cell r="AK215" t="str">
            <v>Unaffected lots</v>
          </cell>
          <cell r="AL215" t="str">
            <v>Unaffected lots</v>
          </cell>
          <cell r="AM215" t="b">
            <v>1</v>
          </cell>
          <cell r="AN215" t="str">
            <v>YES</v>
          </cell>
          <cell r="AO215" t="str">
            <v>2024 Batch</v>
          </cell>
          <cell r="AP215">
            <v>70</v>
          </cell>
          <cell r="AQ215" t="str">
            <v>PCS-04-034298</v>
          </cell>
          <cell r="AR215" t="b">
            <v>1</v>
          </cell>
          <cell r="AS215" t="str">
            <v>Done</v>
          </cell>
          <cell r="AT215" t="str">
            <v>2024 Batch</v>
          </cell>
          <cell r="AU215">
            <v>9</v>
          </cell>
          <cell r="AV215">
            <v>23</v>
          </cell>
          <cell r="AW215" t="str">
            <v>H+L</v>
          </cell>
          <cell r="AX215">
            <v>70</v>
          </cell>
          <cell r="AY215">
            <v>50</v>
          </cell>
          <cell r="AZ215" t="str">
            <v>Duplex</v>
          </cell>
          <cell r="BA215">
            <v>1</v>
          </cell>
          <cell r="BB215" t="str">
            <v>326 - With Partition</v>
          </cell>
          <cell r="BC215" t="str">
            <v>With Partition</v>
          </cell>
          <cell r="BD215" t="str">
            <v>Slant</v>
          </cell>
          <cell r="BE215" t="str">
            <v>With Partition</v>
          </cell>
          <cell r="BF215" t="str">
            <v>GREEN</v>
          </cell>
          <cell r="BG215">
            <v>2707500</v>
          </cell>
          <cell r="BH215">
            <v>2850000</v>
          </cell>
          <cell r="BI215">
            <v>100000</v>
          </cell>
          <cell r="BJ215">
            <v>2750000</v>
          </cell>
          <cell r="BK215">
            <v>0</v>
          </cell>
          <cell r="BL215">
            <v>2750000</v>
          </cell>
        </row>
        <row r="216">
          <cell r="D216" t="str">
            <v>OS</v>
          </cell>
          <cell r="E216"/>
          <cell r="F216">
            <v>196</v>
          </cell>
          <cell r="G216" t="str">
            <v>SOLD</v>
          </cell>
          <cell r="H216" t="str">
            <v>OS</v>
          </cell>
          <cell r="I216" t="str">
            <v>OS</v>
          </cell>
          <cell r="J216" t="str">
            <v>OS</v>
          </cell>
          <cell r="K216" t="str">
            <v>OS</v>
          </cell>
          <cell r="L216" t="str">
            <v>OS</v>
          </cell>
          <cell r="M216" t="str">
            <v>OS</v>
          </cell>
          <cell r="N216" t="str">
            <v>OS</v>
          </cell>
          <cell r="O216" t="str">
            <v>OS</v>
          </cell>
          <cell r="P216" t="str">
            <v>OS</v>
          </cell>
          <cell r="Q216" t="str">
            <v>OS</v>
          </cell>
          <cell r="R216" t="str">
            <v>OS</v>
          </cell>
          <cell r="S216" t="str">
            <v>OS</v>
          </cell>
          <cell r="T216" t="str">
            <v>OS</v>
          </cell>
          <cell r="U216" t="str">
            <v>OS</v>
          </cell>
          <cell r="V216" t="str">
            <v>OS</v>
          </cell>
          <cell r="W216" t="str">
            <v>OS</v>
          </cell>
          <cell r="X216" t="str">
            <v>OS</v>
          </cell>
          <cell r="Y216" t="str">
            <v>OS</v>
          </cell>
          <cell r="Z216" t="str">
            <v>OS</v>
          </cell>
          <cell r="AA216" t="str">
            <v>OS</v>
          </cell>
          <cell r="AB216" t="str">
            <v>OS</v>
          </cell>
          <cell r="AC216" t="str">
            <v>OS</v>
          </cell>
          <cell r="AD216" t="str">
            <v>AGM-01-009-024</v>
          </cell>
          <cell r="AE216" t="str">
            <v xml:space="preserve">Raemulan Lands, Inc. </v>
          </cell>
          <cell r="AF216" t="str">
            <v>Agapeya</v>
          </cell>
          <cell r="AG216" t="str">
            <v>AGM</v>
          </cell>
          <cell r="AH216" t="str">
            <v>Eco-High</v>
          </cell>
          <cell r="AI216" t="str">
            <v>West</v>
          </cell>
          <cell r="AJ216" t="str">
            <v>With LTS</v>
          </cell>
          <cell r="AK216" t="str">
            <v>Unaffected lots</v>
          </cell>
          <cell r="AL216" t="str">
            <v>Unaffected lots</v>
          </cell>
          <cell r="AM216" t="b">
            <v>1</v>
          </cell>
          <cell r="AN216" t="str">
            <v>YES</v>
          </cell>
          <cell r="AO216" t="str">
            <v>2024 Batch</v>
          </cell>
          <cell r="AP216">
            <v>70</v>
          </cell>
          <cell r="AQ216" t="str">
            <v>PCS-04-034298</v>
          </cell>
          <cell r="AR216" t="b">
            <v>1</v>
          </cell>
          <cell r="AS216" t="str">
            <v>Done</v>
          </cell>
          <cell r="AT216" t="str">
            <v>2024 Batch</v>
          </cell>
          <cell r="AU216">
            <v>9</v>
          </cell>
          <cell r="AV216">
            <v>24</v>
          </cell>
          <cell r="AW216" t="str">
            <v>H+L</v>
          </cell>
          <cell r="AX216">
            <v>70</v>
          </cell>
          <cell r="AY216">
            <v>50</v>
          </cell>
          <cell r="AZ216" t="str">
            <v>Duplex</v>
          </cell>
          <cell r="BA216">
            <v>1</v>
          </cell>
          <cell r="BB216" t="str">
            <v>326 - With Partition</v>
          </cell>
          <cell r="BC216" t="str">
            <v xml:space="preserve">Without Partition </v>
          </cell>
          <cell r="BD216" t="str">
            <v>Flat</v>
          </cell>
          <cell r="BE216" t="str">
            <v xml:space="preserve">Without Partition </v>
          </cell>
          <cell r="BF216" t="str">
            <v>GREEN</v>
          </cell>
          <cell r="BG216">
            <v>2500000</v>
          </cell>
          <cell r="BH216">
            <v>2650000</v>
          </cell>
          <cell r="BI216">
            <v>100000</v>
          </cell>
          <cell r="BJ216">
            <v>2550000</v>
          </cell>
          <cell r="BK216">
            <v>0</v>
          </cell>
          <cell r="BL216">
            <v>2550000</v>
          </cell>
        </row>
        <row r="217">
          <cell r="D217" t="str">
            <v>OS</v>
          </cell>
          <cell r="E217"/>
          <cell r="F217">
            <v>197</v>
          </cell>
          <cell r="G217" t="str">
            <v>SOLD</v>
          </cell>
          <cell r="H217" t="str">
            <v>OS</v>
          </cell>
          <cell r="I217" t="str">
            <v>OS</v>
          </cell>
          <cell r="J217" t="str">
            <v>OS</v>
          </cell>
          <cell r="K217" t="str">
            <v>OS</v>
          </cell>
          <cell r="L217" t="str">
            <v>OS</v>
          </cell>
          <cell r="M217" t="str">
            <v>OS</v>
          </cell>
          <cell r="N217" t="str">
            <v>OS</v>
          </cell>
          <cell r="O217" t="str">
            <v>OS</v>
          </cell>
          <cell r="P217" t="str">
            <v>OS</v>
          </cell>
          <cell r="Q217" t="str">
            <v>OS</v>
          </cell>
          <cell r="R217" t="str">
            <v>OS</v>
          </cell>
          <cell r="S217" t="str">
            <v>OS</v>
          </cell>
          <cell r="T217" t="str">
            <v>OS</v>
          </cell>
          <cell r="U217" t="str">
            <v>OS</v>
          </cell>
          <cell r="V217" t="str">
            <v>OS</v>
          </cell>
          <cell r="W217" t="str">
            <v>OS</v>
          </cell>
          <cell r="X217" t="str">
            <v>OS</v>
          </cell>
          <cell r="Y217" t="str">
            <v>OS</v>
          </cell>
          <cell r="Z217" t="str">
            <v>OS</v>
          </cell>
          <cell r="AA217" t="str">
            <v>OS</v>
          </cell>
          <cell r="AB217" t="str">
            <v>OS</v>
          </cell>
          <cell r="AC217" t="str">
            <v>OS</v>
          </cell>
          <cell r="AD217" t="str">
            <v>AGM-01-009-025</v>
          </cell>
          <cell r="AE217" t="str">
            <v xml:space="preserve">Raemulan Lands, Inc. </v>
          </cell>
          <cell r="AF217" t="str">
            <v>Agapeya</v>
          </cell>
          <cell r="AG217" t="str">
            <v>AGM</v>
          </cell>
          <cell r="AH217" t="str">
            <v>Eco-High</v>
          </cell>
          <cell r="AI217" t="str">
            <v>West</v>
          </cell>
          <cell r="AJ217" t="str">
            <v>With LTS</v>
          </cell>
          <cell r="AK217" t="str">
            <v>Unaffected lots</v>
          </cell>
          <cell r="AL217" t="str">
            <v>Unaffected lots</v>
          </cell>
          <cell r="AM217" t="b">
            <v>1</v>
          </cell>
          <cell r="AN217" t="str">
            <v>YES</v>
          </cell>
          <cell r="AO217" t="str">
            <v>2024 Batch</v>
          </cell>
          <cell r="AP217">
            <v>70</v>
          </cell>
          <cell r="AQ217" t="str">
            <v>PCS-04-034298</v>
          </cell>
          <cell r="AR217" t="b">
            <v>1</v>
          </cell>
          <cell r="AS217" t="str">
            <v>Done</v>
          </cell>
          <cell r="AT217" t="str">
            <v>2024 Batch</v>
          </cell>
          <cell r="AU217">
            <v>9</v>
          </cell>
          <cell r="AV217">
            <v>25</v>
          </cell>
          <cell r="AW217" t="str">
            <v>H+L</v>
          </cell>
          <cell r="AX217">
            <v>70</v>
          </cell>
          <cell r="AY217">
            <v>50</v>
          </cell>
          <cell r="AZ217" t="str">
            <v>Duplex</v>
          </cell>
          <cell r="BA217">
            <v>1</v>
          </cell>
          <cell r="BB217" t="str">
            <v>326 - With Partition</v>
          </cell>
          <cell r="BC217" t="str">
            <v xml:space="preserve">Without Partition </v>
          </cell>
          <cell r="BD217" t="str">
            <v>Flat</v>
          </cell>
          <cell r="BE217" t="str">
            <v xml:space="preserve">Without Partition </v>
          </cell>
          <cell r="BF217" t="str">
            <v>PURPLE</v>
          </cell>
          <cell r="BG217">
            <v>2500000</v>
          </cell>
          <cell r="BH217">
            <v>2650000</v>
          </cell>
          <cell r="BI217">
            <v>100000</v>
          </cell>
          <cell r="BJ217">
            <v>2550000</v>
          </cell>
          <cell r="BK217">
            <v>0</v>
          </cell>
          <cell r="BL217">
            <v>2550000</v>
          </cell>
        </row>
        <row r="218">
          <cell r="D218" t="str">
            <v>OS</v>
          </cell>
          <cell r="E218"/>
          <cell r="F218">
            <v>198</v>
          </cell>
          <cell r="G218" t="str">
            <v>SOLD</v>
          </cell>
          <cell r="H218" t="str">
            <v>OS</v>
          </cell>
          <cell r="I218" t="str">
            <v>OS</v>
          </cell>
          <cell r="J218" t="str">
            <v>OS</v>
          </cell>
          <cell r="K218" t="str">
            <v>OS</v>
          </cell>
          <cell r="L218" t="str">
            <v>OS</v>
          </cell>
          <cell r="M218" t="str">
            <v>OS</v>
          </cell>
          <cell r="N218" t="str">
            <v>OS</v>
          </cell>
          <cell r="O218" t="str">
            <v>OS</v>
          </cell>
          <cell r="P218" t="str">
            <v>OS</v>
          </cell>
          <cell r="Q218" t="str">
            <v>OS</v>
          </cell>
          <cell r="R218" t="str">
            <v>OS</v>
          </cell>
          <cell r="S218" t="str">
            <v>OS</v>
          </cell>
          <cell r="T218" t="str">
            <v>OS</v>
          </cell>
          <cell r="U218" t="str">
            <v>OS</v>
          </cell>
          <cell r="V218" t="str">
            <v>OS</v>
          </cell>
          <cell r="W218" t="str">
            <v>OS</v>
          </cell>
          <cell r="X218" t="str">
            <v>OS</v>
          </cell>
          <cell r="Y218" t="str">
            <v>OS</v>
          </cell>
          <cell r="Z218" t="str">
            <v>OS</v>
          </cell>
          <cell r="AA218" t="str">
            <v>OS</v>
          </cell>
          <cell r="AB218" t="str">
            <v>OS</v>
          </cell>
          <cell r="AC218" t="str">
            <v>OS</v>
          </cell>
          <cell r="AD218" t="str">
            <v>AGM-01-009-026</v>
          </cell>
          <cell r="AE218" t="str">
            <v xml:space="preserve">Raemulan Lands, Inc. </v>
          </cell>
          <cell r="AF218" t="str">
            <v>Agapeya</v>
          </cell>
          <cell r="AG218" t="str">
            <v>AGM</v>
          </cell>
          <cell r="AH218" t="str">
            <v>Eco-High</v>
          </cell>
          <cell r="AI218" t="str">
            <v>West</v>
          </cell>
          <cell r="AJ218" t="str">
            <v>With LTS</v>
          </cell>
          <cell r="AK218" t="str">
            <v>Unaffected lots</v>
          </cell>
          <cell r="AL218" t="str">
            <v>Unaffected lots</v>
          </cell>
          <cell r="AM218" t="b">
            <v>1</v>
          </cell>
          <cell r="AN218" t="str">
            <v>YES</v>
          </cell>
          <cell r="AO218" t="str">
            <v>2024 Batch</v>
          </cell>
          <cell r="AP218">
            <v>80</v>
          </cell>
          <cell r="AQ218" t="str">
            <v>PCS-04-034298</v>
          </cell>
          <cell r="AR218" t="b">
            <v>1</v>
          </cell>
          <cell r="AS218" t="str">
            <v>Done</v>
          </cell>
          <cell r="AT218" t="str">
            <v>2024 Batch</v>
          </cell>
          <cell r="AU218">
            <v>9</v>
          </cell>
          <cell r="AV218">
            <v>26</v>
          </cell>
          <cell r="AW218" t="str">
            <v>H+L</v>
          </cell>
          <cell r="AX218">
            <v>80</v>
          </cell>
          <cell r="AY218">
            <v>50</v>
          </cell>
          <cell r="AZ218" t="str">
            <v>Duplex</v>
          </cell>
          <cell r="BA218">
            <v>1</v>
          </cell>
          <cell r="BB218" t="str">
            <v>326 - With Partition</v>
          </cell>
          <cell r="BC218" t="str">
            <v>With Partition</v>
          </cell>
          <cell r="BD218" t="str">
            <v>Slant</v>
          </cell>
          <cell r="BE218" t="str">
            <v>With Partition</v>
          </cell>
          <cell r="BF218" t="str">
            <v>PURPLE</v>
          </cell>
          <cell r="BG218">
            <v>2750000</v>
          </cell>
          <cell r="BH218">
            <v>3000000</v>
          </cell>
          <cell r="BI218">
            <v>100000</v>
          </cell>
          <cell r="BJ218">
            <v>2900000</v>
          </cell>
          <cell r="BK218">
            <v>0</v>
          </cell>
          <cell r="BL218">
            <v>2900000</v>
          </cell>
        </row>
        <row r="219">
          <cell r="D219" t="str">
            <v>OS</v>
          </cell>
          <cell r="E219"/>
          <cell r="F219">
            <v>199</v>
          </cell>
          <cell r="G219" t="str">
            <v>SOLD</v>
          </cell>
          <cell r="H219" t="str">
            <v>OS</v>
          </cell>
          <cell r="I219" t="str">
            <v>OS</v>
          </cell>
          <cell r="J219" t="str">
            <v>OS</v>
          </cell>
          <cell r="K219" t="str">
            <v>OS</v>
          </cell>
          <cell r="L219" t="str">
            <v>OS</v>
          </cell>
          <cell r="M219" t="str">
            <v>OS</v>
          </cell>
          <cell r="N219" t="str">
            <v>OS</v>
          </cell>
          <cell r="O219" t="str">
            <v>OS</v>
          </cell>
          <cell r="P219" t="str">
            <v>OS</v>
          </cell>
          <cell r="Q219" t="str">
            <v>OS</v>
          </cell>
          <cell r="R219" t="str">
            <v>OS</v>
          </cell>
          <cell r="S219" t="str">
            <v>OS</v>
          </cell>
          <cell r="T219" t="str">
            <v>OS</v>
          </cell>
          <cell r="U219" t="str">
            <v>OS</v>
          </cell>
          <cell r="V219" t="str">
            <v>OS</v>
          </cell>
          <cell r="W219" t="str">
            <v>OS</v>
          </cell>
          <cell r="X219" t="str">
            <v>OS</v>
          </cell>
          <cell r="Y219" t="str">
            <v>OS</v>
          </cell>
          <cell r="Z219" t="str">
            <v>OS</v>
          </cell>
          <cell r="AA219" t="str">
            <v>OS</v>
          </cell>
          <cell r="AB219" t="str">
            <v>OS</v>
          </cell>
          <cell r="AC219" t="str">
            <v>OS</v>
          </cell>
          <cell r="AD219" t="str">
            <v>AGM-01-009-027</v>
          </cell>
          <cell r="AE219" t="str">
            <v xml:space="preserve">Raemulan Lands, Inc. </v>
          </cell>
          <cell r="AF219" t="str">
            <v>Agapeya</v>
          </cell>
          <cell r="AG219" t="str">
            <v>AGM</v>
          </cell>
          <cell r="AH219" t="str">
            <v>Eco-High</v>
          </cell>
          <cell r="AI219" t="str">
            <v>West</v>
          </cell>
          <cell r="AJ219" t="str">
            <v>With LTS</v>
          </cell>
          <cell r="AK219" t="str">
            <v>Unaffected lots</v>
          </cell>
          <cell r="AL219" t="str">
            <v>Unaffected lots</v>
          </cell>
          <cell r="AM219" t="b">
            <v>1</v>
          </cell>
          <cell r="AN219" t="str">
            <v>YES</v>
          </cell>
          <cell r="AO219" t="str">
            <v>2024 Batch</v>
          </cell>
          <cell r="AP219">
            <v>80</v>
          </cell>
          <cell r="AQ219" t="str">
            <v>PCS-04-034298</v>
          </cell>
          <cell r="AR219" t="b">
            <v>1</v>
          </cell>
          <cell r="AS219" t="str">
            <v>Done</v>
          </cell>
          <cell r="AT219" t="str">
            <v>2024 Batch</v>
          </cell>
          <cell r="AU219">
            <v>9</v>
          </cell>
          <cell r="AV219">
            <v>27</v>
          </cell>
          <cell r="AW219" t="str">
            <v>H+L</v>
          </cell>
          <cell r="AX219">
            <v>80</v>
          </cell>
          <cell r="AY219">
            <v>50</v>
          </cell>
          <cell r="AZ219" t="str">
            <v>Duplex</v>
          </cell>
          <cell r="BA219">
            <v>1</v>
          </cell>
          <cell r="BB219" t="str">
            <v>326 - With Partition</v>
          </cell>
          <cell r="BC219" t="str">
            <v>With Partition</v>
          </cell>
          <cell r="BD219" t="str">
            <v>Slant</v>
          </cell>
          <cell r="BE219" t="str">
            <v>With Partition</v>
          </cell>
          <cell r="BF219" t="str">
            <v>PURPLE</v>
          </cell>
          <cell r="BG219">
            <v>2900000</v>
          </cell>
          <cell r="BH219">
            <v>3000000</v>
          </cell>
          <cell r="BI219">
            <v>100000</v>
          </cell>
          <cell r="BJ219">
            <v>2900000</v>
          </cell>
          <cell r="BK219">
            <v>0</v>
          </cell>
          <cell r="BL219">
            <v>2900000</v>
          </cell>
        </row>
        <row r="220">
          <cell r="D220" t="str">
            <v>OS</v>
          </cell>
          <cell r="E220"/>
          <cell r="F220">
            <v>200</v>
          </cell>
          <cell r="G220" t="str">
            <v>SOLD</v>
          </cell>
          <cell r="H220" t="str">
            <v>OS</v>
          </cell>
          <cell r="I220" t="str">
            <v>OS</v>
          </cell>
          <cell r="J220" t="str">
            <v>OS</v>
          </cell>
          <cell r="K220" t="str">
            <v>OS</v>
          </cell>
          <cell r="L220" t="str">
            <v>OS</v>
          </cell>
          <cell r="M220" t="str">
            <v>OS</v>
          </cell>
          <cell r="N220" t="str">
            <v>OS</v>
          </cell>
          <cell r="O220" t="str">
            <v>OS</v>
          </cell>
          <cell r="P220" t="str">
            <v>OS</v>
          </cell>
          <cell r="Q220" t="str">
            <v>OS</v>
          </cell>
          <cell r="R220" t="str">
            <v>OS</v>
          </cell>
          <cell r="S220" t="str">
            <v>OS</v>
          </cell>
          <cell r="T220" t="str">
            <v>OS</v>
          </cell>
          <cell r="U220" t="str">
            <v>OS</v>
          </cell>
          <cell r="V220" t="str">
            <v>OS</v>
          </cell>
          <cell r="W220" t="str">
            <v>OS</v>
          </cell>
          <cell r="X220" t="str">
            <v>OS</v>
          </cell>
          <cell r="Y220" t="str">
            <v>OS</v>
          </cell>
          <cell r="Z220" t="str">
            <v>OS</v>
          </cell>
          <cell r="AA220" t="str">
            <v>OS</v>
          </cell>
          <cell r="AB220" t="str">
            <v>OS</v>
          </cell>
          <cell r="AC220" t="str">
            <v>OS</v>
          </cell>
          <cell r="AD220" t="str">
            <v>AGM-01-009-028</v>
          </cell>
          <cell r="AE220" t="str">
            <v xml:space="preserve">Raemulan Lands, Inc. </v>
          </cell>
          <cell r="AF220" t="str">
            <v>Agapeya</v>
          </cell>
          <cell r="AG220" t="str">
            <v>AGM</v>
          </cell>
          <cell r="AH220" t="str">
            <v>Eco-High</v>
          </cell>
          <cell r="AI220" t="str">
            <v>West</v>
          </cell>
          <cell r="AJ220" t="str">
            <v>With LTS</v>
          </cell>
          <cell r="AK220" t="str">
            <v>Unaffected lots</v>
          </cell>
          <cell r="AL220" t="str">
            <v>Unaffected lots</v>
          </cell>
          <cell r="AM220" t="b">
            <v>1</v>
          </cell>
          <cell r="AN220" t="str">
            <v>YES</v>
          </cell>
          <cell r="AO220" t="str">
            <v>2024 Batch</v>
          </cell>
          <cell r="AP220">
            <v>100</v>
          </cell>
          <cell r="AQ220" t="str">
            <v>PCS-04-034298</v>
          </cell>
          <cell r="AR220" t="b">
            <v>1</v>
          </cell>
          <cell r="AS220" t="str">
            <v>Done</v>
          </cell>
          <cell r="AT220" t="str">
            <v>2024 Batch</v>
          </cell>
          <cell r="AU220">
            <v>9</v>
          </cell>
          <cell r="AV220">
            <v>28</v>
          </cell>
          <cell r="AW220" t="str">
            <v>H+L</v>
          </cell>
          <cell r="AX220">
            <v>100</v>
          </cell>
          <cell r="AY220">
            <v>50</v>
          </cell>
          <cell r="AZ220" t="str">
            <v>Duplex</v>
          </cell>
          <cell r="BA220">
            <v>1</v>
          </cell>
          <cell r="BB220" t="str">
            <v>326 - With Partition</v>
          </cell>
          <cell r="BC220" t="str">
            <v>With Partition</v>
          </cell>
          <cell r="BD220" t="str">
            <v>Flat</v>
          </cell>
          <cell r="BE220" t="str">
            <v>With Partition</v>
          </cell>
          <cell r="BF220" t="str">
            <v>PURPLE</v>
          </cell>
          <cell r="BG220">
            <v>3201500</v>
          </cell>
          <cell r="BH220">
            <v>3300000</v>
          </cell>
          <cell r="BI220">
            <v>100000</v>
          </cell>
          <cell r="BJ220">
            <v>3200000</v>
          </cell>
          <cell r="BK220">
            <v>0</v>
          </cell>
          <cell r="BL220">
            <v>3200000</v>
          </cell>
        </row>
        <row r="221">
          <cell r="D221" t="str">
            <v>OS</v>
          </cell>
          <cell r="E221"/>
          <cell r="F221">
            <v>201</v>
          </cell>
          <cell r="G221" t="str">
            <v>CLOSED</v>
          </cell>
          <cell r="H221" t="str">
            <v>TS</v>
          </cell>
          <cell r="I221" t="str">
            <v>TS</v>
          </cell>
          <cell r="J221" t="str">
            <v>OS</v>
          </cell>
          <cell r="K221" t="str">
            <v>OS</v>
          </cell>
          <cell r="L221" t="str">
            <v>OS</v>
          </cell>
          <cell r="M221" t="str">
            <v>OS</v>
          </cell>
          <cell r="N221" t="str">
            <v>OS</v>
          </cell>
          <cell r="O221" t="str">
            <v>OS</v>
          </cell>
          <cell r="P221" t="str">
            <v>OS</v>
          </cell>
          <cell r="Q221" t="str">
            <v>OS</v>
          </cell>
          <cell r="R221" t="str">
            <v>OS</v>
          </cell>
          <cell r="S221" t="str">
            <v>OS</v>
          </cell>
          <cell r="T221" t="str">
            <v>OS</v>
          </cell>
          <cell r="U221" t="str">
            <v>OS</v>
          </cell>
          <cell r="V221" t="str">
            <v>OS</v>
          </cell>
          <cell r="W221" t="str">
            <v>OS</v>
          </cell>
          <cell r="X221" t="str">
            <v>OS</v>
          </cell>
          <cell r="Y221" t="str">
            <v>OS</v>
          </cell>
          <cell r="Z221" t="str">
            <v>OS</v>
          </cell>
          <cell r="AA221" t="str">
            <v>OS</v>
          </cell>
          <cell r="AB221" t="str">
            <v>OS</v>
          </cell>
          <cell r="AC221" t="str">
            <v>OS</v>
          </cell>
          <cell r="AD221" t="str">
            <v>AGM-01-009-029</v>
          </cell>
          <cell r="AE221" t="str">
            <v xml:space="preserve">Raemulan Lands, Inc. </v>
          </cell>
          <cell r="AF221" t="str">
            <v>Agapeya</v>
          </cell>
          <cell r="AG221" t="str">
            <v>AGM</v>
          </cell>
          <cell r="AH221" t="str">
            <v>Eco-High</v>
          </cell>
          <cell r="AI221" t="str">
            <v>West</v>
          </cell>
          <cell r="AJ221" t="str">
            <v>With LTS</v>
          </cell>
          <cell r="AK221" t="str">
            <v>Unaffected lots</v>
          </cell>
          <cell r="AL221" t="str">
            <v>Unaffected lots</v>
          </cell>
          <cell r="AM221" t="b">
            <v>1</v>
          </cell>
          <cell r="AN221" t="str">
            <v>YES</v>
          </cell>
          <cell r="AO221" t="str">
            <v>B1 - Lot Only</v>
          </cell>
          <cell r="AP221">
            <v>126</v>
          </cell>
          <cell r="AQ221" t="str">
            <v>PCS-04-034298</v>
          </cell>
          <cell r="AR221" t="b">
            <v>1</v>
          </cell>
          <cell r="AS221" t="str">
            <v>Done</v>
          </cell>
          <cell r="AT221" t="str">
            <v>Lot Only - N/A</v>
          </cell>
          <cell r="AU221">
            <v>9</v>
          </cell>
          <cell r="AV221">
            <v>29</v>
          </cell>
          <cell r="AW221" t="str">
            <v>LO</v>
          </cell>
          <cell r="AX221">
            <v>126</v>
          </cell>
          <cell r="AY221" t="str">
            <v>N/A</v>
          </cell>
          <cell r="AZ221" t="str">
            <v>Lot Only</v>
          </cell>
          <cell r="BA221" t="str">
            <v>NA</v>
          </cell>
          <cell r="BB221" t="str">
            <v>N/A</v>
          </cell>
          <cell r="BC221" t="str">
            <v>N/A - LOT ONLY</v>
          </cell>
          <cell r="BD221" t="str">
            <v>-</v>
          </cell>
          <cell r="BE221" t="str">
            <v>N/A - LOT ONLY</v>
          </cell>
          <cell r="BF221" t="str">
            <v>N/A - LOT ONLY</v>
          </cell>
          <cell r="BG221">
            <v>2419813.06041107</v>
          </cell>
          <cell r="BH221">
            <v>2040000</v>
          </cell>
          <cell r="BI221">
            <v>100000</v>
          </cell>
          <cell r="BJ221">
            <v>1940000</v>
          </cell>
          <cell r="BK221">
            <v>207857.14285714287</v>
          </cell>
          <cell r="BL221">
            <v>1732142.857142857</v>
          </cell>
        </row>
        <row r="222">
          <cell r="D222" t="str">
            <v>OS</v>
          </cell>
          <cell r="E222"/>
          <cell r="F222">
            <v>202</v>
          </cell>
          <cell r="G222" t="str">
            <v>SOLD</v>
          </cell>
          <cell r="H222" t="str">
            <v>OS</v>
          </cell>
          <cell r="I222" t="str">
            <v>OS</v>
          </cell>
          <cell r="J222" t="str">
            <v>OS</v>
          </cell>
          <cell r="K222" t="str">
            <v>OS</v>
          </cell>
          <cell r="L222" t="str">
            <v>OS</v>
          </cell>
          <cell r="M222" t="str">
            <v>OS</v>
          </cell>
          <cell r="N222" t="str">
            <v>OS</v>
          </cell>
          <cell r="O222" t="str">
            <v>OS</v>
          </cell>
          <cell r="P222" t="str">
            <v>OS</v>
          </cell>
          <cell r="Q222" t="str">
            <v>OS</v>
          </cell>
          <cell r="R222" t="str">
            <v>OS</v>
          </cell>
          <cell r="S222" t="str">
            <v>OS</v>
          </cell>
          <cell r="T222" t="str">
            <v>OS</v>
          </cell>
          <cell r="U222" t="str">
            <v>OS</v>
          </cell>
          <cell r="V222" t="str">
            <v>OS</v>
          </cell>
          <cell r="W222" t="str">
            <v>OS</v>
          </cell>
          <cell r="X222" t="str">
            <v>OS</v>
          </cell>
          <cell r="Y222" t="str">
            <v>OS</v>
          </cell>
          <cell r="Z222" t="str">
            <v>OS</v>
          </cell>
          <cell r="AA222" t="str">
            <v>OS</v>
          </cell>
          <cell r="AB222" t="str">
            <v>OS</v>
          </cell>
          <cell r="AC222" t="str">
            <v>OS</v>
          </cell>
          <cell r="AD222" t="str">
            <v>AGM-01-009-030</v>
          </cell>
          <cell r="AE222" t="str">
            <v xml:space="preserve">Raemulan Lands, Inc. </v>
          </cell>
          <cell r="AF222" t="str">
            <v>Agapeya</v>
          </cell>
          <cell r="AG222" t="str">
            <v>AGM</v>
          </cell>
          <cell r="AH222" t="str">
            <v>Eco-High</v>
          </cell>
          <cell r="AI222" t="str">
            <v>West</v>
          </cell>
          <cell r="AJ222" t="str">
            <v>With LTS</v>
          </cell>
          <cell r="AK222" t="str">
            <v>Unaffected lots</v>
          </cell>
          <cell r="AL222" t="str">
            <v>Unaffected lots</v>
          </cell>
          <cell r="AM222" t="b">
            <v>1</v>
          </cell>
          <cell r="AN222" t="str">
            <v>YES</v>
          </cell>
          <cell r="AO222" t="str">
            <v>2024 Batch</v>
          </cell>
          <cell r="AP222">
            <v>80</v>
          </cell>
          <cell r="AQ222" t="str">
            <v>PCS-04-034298</v>
          </cell>
          <cell r="AR222" t="b">
            <v>1</v>
          </cell>
          <cell r="AS222" t="str">
            <v>Done</v>
          </cell>
          <cell r="AT222" t="str">
            <v>2024 Batch</v>
          </cell>
          <cell r="AU222">
            <v>9</v>
          </cell>
          <cell r="AV222">
            <v>30</v>
          </cell>
          <cell r="AW222" t="str">
            <v>H+L</v>
          </cell>
          <cell r="AX222">
            <v>80</v>
          </cell>
          <cell r="AY222">
            <v>50</v>
          </cell>
          <cell r="AZ222" t="str">
            <v>Duplex</v>
          </cell>
          <cell r="BA222">
            <v>1</v>
          </cell>
          <cell r="BB222" t="str">
            <v>326 - With Partition</v>
          </cell>
          <cell r="BC222" t="str">
            <v>With Partition</v>
          </cell>
          <cell r="BD222" t="str">
            <v>Flat</v>
          </cell>
          <cell r="BE222" t="str">
            <v>With Partition</v>
          </cell>
          <cell r="BF222" t="str">
            <v>GREEN</v>
          </cell>
          <cell r="BG222">
            <v>2850000</v>
          </cell>
          <cell r="BH222">
            <v>3000000</v>
          </cell>
          <cell r="BI222">
            <v>100000</v>
          </cell>
          <cell r="BJ222">
            <v>2900000</v>
          </cell>
          <cell r="BK222">
            <v>0</v>
          </cell>
          <cell r="BL222">
            <v>2900000</v>
          </cell>
        </row>
        <row r="223">
          <cell r="D223" t="str">
            <v>OS</v>
          </cell>
          <cell r="E223"/>
          <cell r="F223">
            <v>203</v>
          </cell>
          <cell r="G223" t="str">
            <v>SOLD</v>
          </cell>
          <cell r="H223" t="str">
            <v>OS</v>
          </cell>
          <cell r="I223" t="str">
            <v>OS</v>
          </cell>
          <cell r="J223" t="str">
            <v>OS</v>
          </cell>
          <cell r="K223" t="str">
            <v>OS</v>
          </cell>
          <cell r="L223" t="str">
            <v>OS</v>
          </cell>
          <cell r="M223" t="str">
            <v>OS</v>
          </cell>
          <cell r="N223" t="str">
            <v>OS</v>
          </cell>
          <cell r="O223" t="str">
            <v>OS</v>
          </cell>
          <cell r="P223" t="str">
            <v>OS</v>
          </cell>
          <cell r="Q223" t="str">
            <v>OS</v>
          </cell>
          <cell r="R223" t="str">
            <v>FOR CANCELLATION</v>
          </cell>
          <cell r="S223" t="str">
            <v>FOR CANCELLATION</v>
          </cell>
          <cell r="T223" t="str">
            <v>OS</v>
          </cell>
          <cell r="U223" t="str">
            <v>FOR CANCELLATION</v>
          </cell>
          <cell r="V223" t="str">
            <v>FOR CANCELLATION</v>
          </cell>
          <cell r="W223" t="str">
            <v>FOR CANCELLATION</v>
          </cell>
          <cell r="X223" t="str">
            <v>TS</v>
          </cell>
          <cell r="Y223" t="str">
            <v>TS</v>
          </cell>
          <cell r="Z223" t="str">
            <v>OS</v>
          </cell>
          <cell r="AA223" t="str">
            <v>OS</v>
          </cell>
          <cell r="AB223" t="str">
            <v>TS</v>
          </cell>
          <cell r="AC223" t="str">
            <v>TS</v>
          </cell>
          <cell r="AD223" t="str">
            <v>AGM-01-009-031</v>
          </cell>
          <cell r="AE223" t="str">
            <v xml:space="preserve">Raemulan Lands, Inc. </v>
          </cell>
          <cell r="AF223" t="str">
            <v>Agapeya</v>
          </cell>
          <cell r="AG223" t="str">
            <v>AGM</v>
          </cell>
          <cell r="AH223" t="str">
            <v>Eco-High</v>
          </cell>
          <cell r="AI223" t="str">
            <v>West</v>
          </cell>
          <cell r="AJ223" t="str">
            <v>With LTS</v>
          </cell>
          <cell r="AK223" t="str">
            <v>Unaffected lots</v>
          </cell>
          <cell r="AL223" t="str">
            <v>Unaffected lots</v>
          </cell>
          <cell r="AM223" t="b">
            <v>1</v>
          </cell>
          <cell r="AN223" t="str">
            <v>YES</v>
          </cell>
          <cell r="AO223" t="str">
            <v>2024 Batch</v>
          </cell>
          <cell r="AP223">
            <v>80</v>
          </cell>
          <cell r="AQ223" t="str">
            <v>PCS-04-034298</v>
          </cell>
          <cell r="AR223" t="b">
            <v>1</v>
          </cell>
          <cell r="AS223" t="str">
            <v>Done</v>
          </cell>
          <cell r="AT223" t="str">
            <v>2024 Batch</v>
          </cell>
          <cell r="AU223">
            <v>9</v>
          </cell>
          <cell r="AV223">
            <v>31</v>
          </cell>
          <cell r="AW223" t="str">
            <v>H+L</v>
          </cell>
          <cell r="AX223">
            <v>80</v>
          </cell>
          <cell r="AY223">
            <v>50</v>
          </cell>
          <cell r="AZ223" t="str">
            <v>Duplex</v>
          </cell>
          <cell r="BA223">
            <v>1</v>
          </cell>
          <cell r="BB223" t="str">
            <v>326 - With Partition</v>
          </cell>
          <cell r="BC223" t="str">
            <v>With Partition</v>
          </cell>
          <cell r="BD223" t="str">
            <v>Slant</v>
          </cell>
          <cell r="BE223" t="str">
            <v>With Partition</v>
          </cell>
          <cell r="BF223" t="str">
            <v>GREEN</v>
          </cell>
          <cell r="BG223">
            <v>2750000</v>
          </cell>
          <cell r="BH223">
            <v>3000000</v>
          </cell>
          <cell r="BI223">
            <v>100000</v>
          </cell>
          <cell r="BJ223">
            <v>2900000</v>
          </cell>
          <cell r="BK223">
            <v>0</v>
          </cell>
          <cell r="BL223">
            <v>2900000</v>
          </cell>
        </row>
        <row r="224">
          <cell r="D224" t="str">
            <v>OS</v>
          </cell>
          <cell r="E224"/>
          <cell r="F224">
            <v>204</v>
          </cell>
          <cell r="G224" t="str">
            <v>SOLD</v>
          </cell>
          <cell r="H224" t="str">
            <v>OS</v>
          </cell>
          <cell r="I224" t="str">
            <v>OS</v>
          </cell>
          <cell r="J224" t="str">
            <v>OS</v>
          </cell>
          <cell r="K224" t="str">
            <v>OS</v>
          </cell>
          <cell r="L224" t="str">
            <v>OS</v>
          </cell>
          <cell r="M224" t="str">
            <v>OS</v>
          </cell>
          <cell r="N224" t="str">
            <v>OS</v>
          </cell>
          <cell r="O224" t="str">
            <v>OS</v>
          </cell>
          <cell r="P224" t="str">
            <v>OS</v>
          </cell>
          <cell r="Q224" t="str">
            <v>OS</v>
          </cell>
          <cell r="R224" t="str">
            <v>OS</v>
          </cell>
          <cell r="S224" t="str">
            <v>OS</v>
          </cell>
          <cell r="T224" t="str">
            <v>OS</v>
          </cell>
          <cell r="U224" t="str">
            <v>OS</v>
          </cell>
          <cell r="V224" t="str">
            <v>OS</v>
          </cell>
          <cell r="W224" t="str">
            <v>OS</v>
          </cell>
          <cell r="X224" t="str">
            <v>OS</v>
          </cell>
          <cell r="Y224" t="str">
            <v>OS</v>
          </cell>
          <cell r="Z224" t="str">
            <v>OS</v>
          </cell>
          <cell r="AA224" t="str">
            <v>OS</v>
          </cell>
          <cell r="AB224" t="str">
            <v>OS</v>
          </cell>
          <cell r="AC224" t="str">
            <v>OS</v>
          </cell>
          <cell r="AD224" t="str">
            <v>AGM-01-009-032</v>
          </cell>
          <cell r="AE224" t="str">
            <v xml:space="preserve">Raemulan Lands, Inc. </v>
          </cell>
          <cell r="AF224" t="str">
            <v>Agapeya</v>
          </cell>
          <cell r="AG224" t="str">
            <v>AGM</v>
          </cell>
          <cell r="AH224" t="str">
            <v>Eco-High</v>
          </cell>
          <cell r="AI224" t="str">
            <v>West</v>
          </cell>
          <cell r="AJ224" t="str">
            <v>With LTS</v>
          </cell>
          <cell r="AK224" t="str">
            <v>Unaffected lots</v>
          </cell>
          <cell r="AL224" t="str">
            <v>Unaffected lots</v>
          </cell>
          <cell r="AM224" t="b">
            <v>1</v>
          </cell>
          <cell r="AN224" t="str">
            <v>YES</v>
          </cell>
          <cell r="AO224" t="str">
            <v>2024 Batch</v>
          </cell>
          <cell r="AP224">
            <v>70</v>
          </cell>
          <cell r="AQ224" t="str">
            <v>PCS-04-034298</v>
          </cell>
          <cell r="AR224" t="b">
            <v>1</v>
          </cell>
          <cell r="AS224" t="str">
            <v>Done</v>
          </cell>
          <cell r="AT224" t="str">
            <v>2024 Batch</v>
          </cell>
          <cell r="AU224">
            <v>9</v>
          </cell>
          <cell r="AV224">
            <v>32</v>
          </cell>
          <cell r="AW224" t="str">
            <v>H+L</v>
          </cell>
          <cell r="AX224">
            <v>70</v>
          </cell>
          <cell r="AY224">
            <v>50</v>
          </cell>
          <cell r="AZ224" t="str">
            <v>Duplex</v>
          </cell>
          <cell r="BA224">
            <v>1</v>
          </cell>
          <cell r="BB224" t="str">
            <v>326 - With Partition</v>
          </cell>
          <cell r="BC224" t="str">
            <v>With Partition</v>
          </cell>
          <cell r="BD224" t="str">
            <v>Slant</v>
          </cell>
          <cell r="BE224" t="str">
            <v>With Partition</v>
          </cell>
          <cell r="BF224" t="str">
            <v>YELLOW</v>
          </cell>
          <cell r="BG224">
            <v>2600000</v>
          </cell>
          <cell r="BH224">
            <v>2850000</v>
          </cell>
          <cell r="BI224">
            <v>100000</v>
          </cell>
          <cell r="BJ224">
            <v>2750000</v>
          </cell>
          <cell r="BK224">
            <v>0</v>
          </cell>
          <cell r="BL224">
            <v>2750000</v>
          </cell>
        </row>
        <row r="225">
          <cell r="D225" t="str">
            <v>OS</v>
          </cell>
          <cell r="E225"/>
          <cell r="F225">
            <v>205</v>
          </cell>
          <cell r="G225" t="str">
            <v>SOLD</v>
          </cell>
          <cell r="H225" t="str">
            <v>OS</v>
          </cell>
          <cell r="I225" t="str">
            <v>OS</v>
          </cell>
          <cell r="J225" t="str">
            <v>OS</v>
          </cell>
          <cell r="K225" t="str">
            <v>OS</v>
          </cell>
          <cell r="L225" t="str">
            <v>OS</v>
          </cell>
          <cell r="M225" t="str">
            <v>OS</v>
          </cell>
          <cell r="N225" t="str">
            <v>OS</v>
          </cell>
          <cell r="O225" t="str">
            <v>OS</v>
          </cell>
          <cell r="P225" t="str">
            <v>OS</v>
          </cell>
          <cell r="Q225" t="str">
            <v>OS</v>
          </cell>
          <cell r="R225" t="str">
            <v>OS</v>
          </cell>
          <cell r="S225" t="str">
            <v>OS</v>
          </cell>
          <cell r="T225" t="str">
            <v>OS</v>
          </cell>
          <cell r="U225" t="str">
            <v>OS</v>
          </cell>
          <cell r="V225" t="str">
            <v>OS</v>
          </cell>
          <cell r="W225" t="str">
            <v>OS</v>
          </cell>
          <cell r="X225" t="str">
            <v>OS</v>
          </cell>
          <cell r="Y225" t="str">
            <v>OS</v>
          </cell>
          <cell r="Z225" t="str">
            <v>OS</v>
          </cell>
          <cell r="AA225" t="str">
            <v>OS</v>
          </cell>
          <cell r="AB225" t="str">
            <v>OS</v>
          </cell>
          <cell r="AC225" t="str">
            <v>OS</v>
          </cell>
          <cell r="AD225" t="str">
            <v>AGM-01-009-033</v>
          </cell>
          <cell r="AE225" t="str">
            <v xml:space="preserve">Raemulan Lands, Inc. </v>
          </cell>
          <cell r="AF225" t="str">
            <v>Agapeya</v>
          </cell>
          <cell r="AG225" t="str">
            <v>AGM</v>
          </cell>
          <cell r="AH225" t="str">
            <v>Eco-High</v>
          </cell>
          <cell r="AI225" t="str">
            <v>West</v>
          </cell>
          <cell r="AJ225" t="str">
            <v>With LTS</v>
          </cell>
          <cell r="AK225" t="str">
            <v>Unaffected lots</v>
          </cell>
          <cell r="AL225" t="str">
            <v>Unaffected lots</v>
          </cell>
          <cell r="AM225" t="b">
            <v>1</v>
          </cell>
          <cell r="AN225" t="str">
            <v>YES</v>
          </cell>
          <cell r="AO225" t="str">
            <v>2024 Batch</v>
          </cell>
          <cell r="AP225">
            <v>70</v>
          </cell>
          <cell r="AQ225" t="str">
            <v>PCS-04-034298</v>
          </cell>
          <cell r="AR225" t="b">
            <v>1</v>
          </cell>
          <cell r="AS225" t="str">
            <v>Done</v>
          </cell>
          <cell r="AT225" t="str">
            <v>2024 Batch</v>
          </cell>
          <cell r="AU225">
            <v>9</v>
          </cell>
          <cell r="AV225">
            <v>33</v>
          </cell>
          <cell r="AW225" t="str">
            <v>H+L</v>
          </cell>
          <cell r="AX225">
            <v>70</v>
          </cell>
          <cell r="AY225">
            <v>50</v>
          </cell>
          <cell r="AZ225" t="str">
            <v>Duplex</v>
          </cell>
          <cell r="BA225">
            <v>1</v>
          </cell>
          <cell r="BB225" t="str">
            <v>326 - With Partition</v>
          </cell>
          <cell r="BC225" t="str">
            <v>With Partition</v>
          </cell>
          <cell r="BD225" t="str">
            <v>Flat</v>
          </cell>
          <cell r="BE225" t="str">
            <v>With Partition</v>
          </cell>
          <cell r="BF225" t="str">
            <v>YELLOW</v>
          </cell>
          <cell r="BG225">
            <v>2707500</v>
          </cell>
          <cell r="BH225">
            <v>2850000</v>
          </cell>
          <cell r="BI225">
            <v>100000</v>
          </cell>
          <cell r="BJ225">
            <v>2750000</v>
          </cell>
          <cell r="BK225">
            <v>0</v>
          </cell>
          <cell r="BL225">
            <v>2750000</v>
          </cell>
        </row>
        <row r="226">
          <cell r="D226" t="str">
            <v>OS</v>
          </cell>
          <cell r="E226"/>
          <cell r="F226">
            <v>206</v>
          </cell>
          <cell r="G226" t="str">
            <v>SOLD</v>
          </cell>
          <cell r="H226" t="str">
            <v>OS</v>
          </cell>
          <cell r="I226" t="str">
            <v>OS</v>
          </cell>
          <cell r="J226" t="str">
            <v>OS</v>
          </cell>
          <cell r="K226" t="str">
            <v>OS</v>
          </cell>
          <cell r="L226" t="str">
            <v>OS</v>
          </cell>
          <cell r="M226" t="str">
            <v>OS</v>
          </cell>
          <cell r="N226" t="str">
            <v>OS</v>
          </cell>
          <cell r="O226" t="str">
            <v>OS</v>
          </cell>
          <cell r="P226" t="str">
            <v>OS</v>
          </cell>
          <cell r="Q226" t="str">
            <v>OS</v>
          </cell>
          <cell r="R226" t="str">
            <v>OS</v>
          </cell>
          <cell r="S226" t="str">
            <v>OS</v>
          </cell>
          <cell r="T226" t="str">
            <v>OS</v>
          </cell>
          <cell r="U226" t="str">
            <v>OS</v>
          </cell>
          <cell r="V226" t="str">
            <v>OS</v>
          </cell>
          <cell r="W226" t="str">
            <v>OS</v>
          </cell>
          <cell r="X226" t="str">
            <v>OS</v>
          </cell>
          <cell r="Y226" t="str">
            <v>OS</v>
          </cell>
          <cell r="Z226" t="str">
            <v>OS</v>
          </cell>
          <cell r="AA226" t="str">
            <v>OS</v>
          </cell>
          <cell r="AB226" t="str">
            <v>OS</v>
          </cell>
          <cell r="AC226" t="str">
            <v>OS</v>
          </cell>
          <cell r="AD226" t="str">
            <v>AGM-01-009-034</v>
          </cell>
          <cell r="AE226" t="str">
            <v xml:space="preserve">Raemulan Lands, Inc. </v>
          </cell>
          <cell r="AF226" t="str">
            <v>Agapeya</v>
          </cell>
          <cell r="AG226" t="str">
            <v>AGM</v>
          </cell>
          <cell r="AH226" t="str">
            <v>Eco-High</v>
          </cell>
          <cell r="AI226" t="str">
            <v>West</v>
          </cell>
          <cell r="AJ226" t="str">
            <v>With LTS</v>
          </cell>
          <cell r="AK226" t="str">
            <v>Unaffected lots</v>
          </cell>
          <cell r="AL226" t="str">
            <v>Unaffected lots</v>
          </cell>
          <cell r="AM226" t="b">
            <v>1</v>
          </cell>
          <cell r="AN226" t="str">
            <v>YES</v>
          </cell>
          <cell r="AO226" t="str">
            <v>2024 Batch</v>
          </cell>
          <cell r="AP226">
            <v>70</v>
          </cell>
          <cell r="AQ226" t="str">
            <v>PCS-04-034298</v>
          </cell>
          <cell r="AR226" t="b">
            <v>1</v>
          </cell>
          <cell r="AS226" t="str">
            <v>Done</v>
          </cell>
          <cell r="AT226" t="str">
            <v>2024 Batch</v>
          </cell>
          <cell r="AU226">
            <v>9</v>
          </cell>
          <cell r="AV226">
            <v>34</v>
          </cell>
          <cell r="AW226" t="str">
            <v>H+L</v>
          </cell>
          <cell r="AX226">
            <v>70</v>
          </cell>
          <cell r="AY226">
            <v>50</v>
          </cell>
          <cell r="AZ226" t="str">
            <v>Duplex</v>
          </cell>
          <cell r="BA226">
            <v>1</v>
          </cell>
          <cell r="BB226" t="str">
            <v>326 - With Partition</v>
          </cell>
          <cell r="BC226" t="str">
            <v>With Partition</v>
          </cell>
          <cell r="BD226" t="str">
            <v>Flat</v>
          </cell>
          <cell r="BE226" t="str">
            <v>With Partition</v>
          </cell>
          <cell r="BF226" t="str">
            <v>YELLOW</v>
          </cell>
          <cell r="BG226">
            <v>2707500</v>
          </cell>
          <cell r="BH226">
            <v>2850000</v>
          </cell>
          <cell r="BI226">
            <v>100000</v>
          </cell>
          <cell r="BJ226">
            <v>2750000</v>
          </cell>
          <cell r="BK226">
            <v>0</v>
          </cell>
          <cell r="BL226">
            <v>2750000</v>
          </cell>
        </row>
        <row r="227">
          <cell r="D227" t="str">
            <v>OS</v>
          </cell>
          <cell r="E227"/>
          <cell r="F227">
            <v>207</v>
          </cell>
          <cell r="G227" t="str">
            <v>SOLD</v>
          </cell>
          <cell r="H227" t="str">
            <v>OS</v>
          </cell>
          <cell r="I227" t="str">
            <v>OS</v>
          </cell>
          <cell r="J227" t="str">
            <v>OS</v>
          </cell>
          <cell r="K227" t="str">
            <v>OS</v>
          </cell>
          <cell r="L227" t="str">
            <v>OS</v>
          </cell>
          <cell r="M227" t="str">
            <v>OS</v>
          </cell>
          <cell r="N227" t="str">
            <v>OS</v>
          </cell>
          <cell r="O227" t="str">
            <v>OS</v>
          </cell>
          <cell r="P227" t="str">
            <v>OS</v>
          </cell>
          <cell r="Q227" t="str">
            <v>OS</v>
          </cell>
          <cell r="R227" t="str">
            <v>OS</v>
          </cell>
          <cell r="S227" t="str">
            <v>OS</v>
          </cell>
          <cell r="T227" t="str">
            <v>OS</v>
          </cell>
          <cell r="U227" t="str">
            <v>OS</v>
          </cell>
          <cell r="V227" t="str">
            <v>OS</v>
          </cell>
          <cell r="W227" t="str">
            <v>OS</v>
          </cell>
          <cell r="X227" t="str">
            <v>OS</v>
          </cell>
          <cell r="Y227" t="str">
            <v>OS</v>
          </cell>
          <cell r="Z227" t="str">
            <v>OS</v>
          </cell>
          <cell r="AA227" t="str">
            <v>OS</v>
          </cell>
          <cell r="AB227" t="str">
            <v>OS</v>
          </cell>
          <cell r="AC227" t="str">
            <v>OS</v>
          </cell>
          <cell r="AD227" t="str">
            <v>AGM-01-009-035</v>
          </cell>
          <cell r="AE227" t="str">
            <v xml:space="preserve">Raemulan Lands, Inc. </v>
          </cell>
          <cell r="AF227" t="str">
            <v>Agapeya</v>
          </cell>
          <cell r="AG227" t="str">
            <v>AGM</v>
          </cell>
          <cell r="AH227" t="str">
            <v>Eco-High</v>
          </cell>
          <cell r="AI227" t="str">
            <v>West</v>
          </cell>
          <cell r="AJ227" t="str">
            <v>With LTS</v>
          </cell>
          <cell r="AK227" t="str">
            <v>Unaffected lots</v>
          </cell>
          <cell r="AL227" t="str">
            <v>Unaffected lots</v>
          </cell>
          <cell r="AM227" t="b">
            <v>1</v>
          </cell>
          <cell r="AN227" t="str">
            <v>YES</v>
          </cell>
          <cell r="AO227" t="str">
            <v>2024 Batch</v>
          </cell>
          <cell r="AP227">
            <v>70</v>
          </cell>
          <cell r="AQ227" t="str">
            <v>PCS-04-034298</v>
          </cell>
          <cell r="AR227" t="b">
            <v>1</v>
          </cell>
          <cell r="AS227" t="str">
            <v>Done</v>
          </cell>
          <cell r="AT227" t="str">
            <v>2024 Batch</v>
          </cell>
          <cell r="AU227">
            <v>9</v>
          </cell>
          <cell r="AV227">
            <v>35</v>
          </cell>
          <cell r="AW227" t="str">
            <v>H+L</v>
          </cell>
          <cell r="AX227">
            <v>70</v>
          </cell>
          <cell r="AY227">
            <v>50</v>
          </cell>
          <cell r="AZ227" t="str">
            <v>Duplex</v>
          </cell>
          <cell r="BA227">
            <v>1</v>
          </cell>
          <cell r="BB227" t="str">
            <v>326 - With Partition</v>
          </cell>
          <cell r="BC227" t="str">
            <v>With Partition</v>
          </cell>
          <cell r="BD227" t="str">
            <v>Slant</v>
          </cell>
          <cell r="BE227" t="str">
            <v>With Partition</v>
          </cell>
          <cell r="BF227" t="str">
            <v>YELLOW</v>
          </cell>
          <cell r="BG227">
            <v>2707500</v>
          </cell>
          <cell r="BH227">
            <v>2850000</v>
          </cell>
          <cell r="BI227">
            <v>100000</v>
          </cell>
          <cell r="BJ227">
            <v>2750000</v>
          </cell>
          <cell r="BK227">
            <v>0</v>
          </cell>
          <cell r="BL227">
            <v>2750000</v>
          </cell>
        </row>
        <row r="228">
          <cell r="D228" t="str">
            <v>OS</v>
          </cell>
          <cell r="E228"/>
          <cell r="F228">
            <v>208</v>
          </cell>
          <cell r="G228" t="str">
            <v>SOLD</v>
          </cell>
          <cell r="H228" t="str">
            <v>OPEN</v>
          </cell>
          <cell r="I228" t="str">
            <v>OPEN</v>
          </cell>
          <cell r="J228" t="str">
            <v>OPEN</v>
          </cell>
          <cell r="K228" t="str">
            <v>OPEN - NO RF</v>
          </cell>
          <cell r="L228" t="str">
            <v>OPEN - NO RF</v>
          </cell>
          <cell r="M228" t="str">
            <v>OPEN</v>
          </cell>
          <cell r="N228" t="str">
            <v>OPEN</v>
          </cell>
          <cell r="O228" t="str">
            <v>OPEN</v>
          </cell>
          <cell r="P228" t="str">
            <v>OPEN</v>
          </cell>
          <cell r="Q228" t="str">
            <v>OPEN</v>
          </cell>
          <cell r="R228" t="str">
            <v>OPEN</v>
          </cell>
          <cell r="S228" t="str">
            <v>OPEN</v>
          </cell>
          <cell r="T228" t="str">
            <v>OPEN</v>
          </cell>
          <cell r="U228" t="str">
            <v>OPEN</v>
          </cell>
          <cell r="V228" t="str">
            <v>OS</v>
          </cell>
          <cell r="W228" t="str">
            <v>TS</v>
          </cell>
          <cell r="X228" t="str">
            <v>OS</v>
          </cell>
          <cell r="Y228" t="str">
            <v>OS</v>
          </cell>
          <cell r="Z228" t="str">
            <v>OS</v>
          </cell>
          <cell r="AA228" t="str">
            <v>OS</v>
          </cell>
          <cell r="AB228" t="str">
            <v>OS</v>
          </cell>
          <cell r="AC228" t="str">
            <v>OS</v>
          </cell>
          <cell r="AD228" t="str">
            <v>AGM-01-009-036</v>
          </cell>
          <cell r="AE228" t="str">
            <v xml:space="preserve">Raemulan Lands, Inc. </v>
          </cell>
          <cell r="AF228" t="str">
            <v>Agapeya</v>
          </cell>
          <cell r="AG228" t="str">
            <v>AGM</v>
          </cell>
          <cell r="AH228" t="str">
            <v>Eco-High</v>
          </cell>
          <cell r="AI228" t="str">
            <v>West</v>
          </cell>
          <cell r="AJ228" t="str">
            <v>With LTS</v>
          </cell>
          <cell r="AK228" t="str">
            <v>Unaffected lots</v>
          </cell>
          <cell r="AL228" t="str">
            <v>Unaffected lots</v>
          </cell>
          <cell r="AM228" t="b">
            <v>1</v>
          </cell>
          <cell r="AN228" t="str">
            <v>YES</v>
          </cell>
          <cell r="AO228" t="str">
            <v>2024 Batch</v>
          </cell>
          <cell r="AP228">
            <v>70</v>
          </cell>
          <cell r="AQ228" t="str">
            <v>PCS-04-034298</v>
          </cell>
          <cell r="AR228" t="b">
            <v>1</v>
          </cell>
          <cell r="AS228" t="str">
            <v>Done</v>
          </cell>
          <cell r="AT228" t="str">
            <v>2024 Batch</v>
          </cell>
          <cell r="AU228">
            <v>9</v>
          </cell>
          <cell r="AV228">
            <v>36</v>
          </cell>
          <cell r="AW228" t="str">
            <v>H+L</v>
          </cell>
          <cell r="AX228">
            <v>70</v>
          </cell>
          <cell r="AY228">
            <v>50</v>
          </cell>
          <cell r="AZ228" t="str">
            <v>Duplex</v>
          </cell>
          <cell r="BA228">
            <v>1</v>
          </cell>
          <cell r="BB228" t="str">
            <v>326 - With Partition</v>
          </cell>
          <cell r="BC228" t="str">
            <v>With Partition</v>
          </cell>
          <cell r="BD228" t="str">
            <v>Slant</v>
          </cell>
          <cell r="BE228" t="str">
            <v>With Partition</v>
          </cell>
          <cell r="BF228" t="str">
            <v>PINK</v>
          </cell>
          <cell r="BG228">
            <v>2707500</v>
          </cell>
          <cell r="BH228">
            <v>2850000</v>
          </cell>
          <cell r="BI228">
            <v>100000</v>
          </cell>
          <cell r="BJ228">
            <v>2750000</v>
          </cell>
          <cell r="BK228">
            <v>0</v>
          </cell>
          <cell r="BL228">
            <v>2750000</v>
          </cell>
        </row>
        <row r="229">
          <cell r="D229" t="str">
            <v>OPEN</v>
          </cell>
          <cell r="E229"/>
          <cell r="F229">
            <v>209</v>
          </cell>
          <cell r="G229" t="str">
            <v>SOLD</v>
          </cell>
          <cell r="H229" t="str">
            <v>OS</v>
          </cell>
          <cell r="I229" t="str">
            <v>OS</v>
          </cell>
          <cell r="J229" t="str">
            <v>OS</v>
          </cell>
          <cell r="K229" t="str">
            <v>OS</v>
          </cell>
          <cell r="L229" t="str">
            <v>OS</v>
          </cell>
          <cell r="M229" t="str">
            <v>OS</v>
          </cell>
          <cell r="N229" t="str">
            <v>FOR CANCELLATION</v>
          </cell>
          <cell r="O229" t="str">
            <v>FOR CANCELLATION</v>
          </cell>
          <cell r="P229" t="str">
            <v>FOR CANCELLATION</v>
          </cell>
          <cell r="Q229" t="str">
            <v>FOR CANCELLATION</v>
          </cell>
          <cell r="R229" t="str">
            <v>FOR CANCELLATION</v>
          </cell>
          <cell r="S229" t="str">
            <v>FOR CANCELLATION</v>
          </cell>
          <cell r="T229" t="str">
            <v>FOR CANCELLATION</v>
          </cell>
          <cell r="U229" t="str">
            <v>FOR CANCELLATION</v>
          </cell>
          <cell r="V229" t="str">
            <v>FOR CANCELLATION</v>
          </cell>
          <cell r="W229" t="str">
            <v>FOR CANCELLATION</v>
          </cell>
          <cell r="X229" t="str">
            <v>FOR CANCELLATION</v>
          </cell>
          <cell r="Y229" t="str">
            <v>FOR CANCELLATION</v>
          </cell>
          <cell r="Z229" t="str">
            <v>OPEN</v>
          </cell>
          <cell r="AA229" t="str">
            <v>OPEN</v>
          </cell>
          <cell r="AB229" t="str">
            <v>FOR CANCELLATION</v>
          </cell>
          <cell r="AC229" t="str">
            <v>FOR CANCELLATION</v>
          </cell>
          <cell r="AD229" t="str">
            <v>AGM-01-009-037</v>
          </cell>
          <cell r="AE229" t="str">
            <v xml:space="preserve">Raemulan Lands, Inc. </v>
          </cell>
          <cell r="AF229" t="str">
            <v>Agapeya</v>
          </cell>
          <cell r="AG229" t="str">
            <v>AGM</v>
          </cell>
          <cell r="AH229" t="str">
            <v>Eco-High</v>
          </cell>
          <cell r="AI229" t="str">
            <v>West</v>
          </cell>
          <cell r="AJ229" t="str">
            <v>With LTS</v>
          </cell>
          <cell r="AK229" t="str">
            <v>Unaffected lots</v>
          </cell>
          <cell r="AL229" t="str">
            <v>Unaffected lots</v>
          </cell>
          <cell r="AM229" t="b">
            <v>1</v>
          </cell>
          <cell r="AN229" t="str">
            <v>YES</v>
          </cell>
          <cell r="AO229" t="str">
            <v>2024 Batch</v>
          </cell>
          <cell r="AP229">
            <v>70</v>
          </cell>
          <cell r="AQ229" t="str">
            <v>PCS-04-034298</v>
          </cell>
          <cell r="AR229" t="b">
            <v>1</v>
          </cell>
          <cell r="AS229" t="str">
            <v>Done</v>
          </cell>
          <cell r="AT229" t="str">
            <v>2024 Batch</v>
          </cell>
          <cell r="AU229">
            <v>9</v>
          </cell>
          <cell r="AV229">
            <v>37</v>
          </cell>
          <cell r="AW229" t="str">
            <v>H+L</v>
          </cell>
          <cell r="AX229">
            <v>70</v>
          </cell>
          <cell r="AY229">
            <v>50</v>
          </cell>
          <cell r="AZ229" t="str">
            <v>Duplex</v>
          </cell>
          <cell r="BA229">
            <v>1</v>
          </cell>
          <cell r="BB229" t="str">
            <v>326 - With Partition</v>
          </cell>
          <cell r="BC229" t="str">
            <v>With Partition</v>
          </cell>
          <cell r="BD229" t="str">
            <v>Flat</v>
          </cell>
          <cell r="BE229" t="str">
            <v>With Partition</v>
          </cell>
          <cell r="BF229" t="str">
            <v>PINK</v>
          </cell>
          <cell r="BG229">
            <v>2612500</v>
          </cell>
          <cell r="BH229">
            <v>2850000</v>
          </cell>
          <cell r="BI229">
            <v>100000</v>
          </cell>
          <cell r="BJ229">
            <v>2750000</v>
          </cell>
          <cell r="BK229">
            <v>0</v>
          </cell>
          <cell r="BL229">
            <v>2750000</v>
          </cell>
        </row>
        <row r="230">
          <cell r="D230" t="str">
            <v>OS</v>
          </cell>
          <cell r="E230"/>
          <cell r="F230">
            <v>210</v>
          </cell>
          <cell r="G230" t="str">
            <v>SOLD</v>
          </cell>
          <cell r="H230" t="str">
            <v>OS</v>
          </cell>
          <cell r="I230" t="str">
            <v>OS</v>
          </cell>
          <cell r="J230" t="str">
            <v>OS</v>
          </cell>
          <cell r="K230" t="str">
            <v>OS</v>
          </cell>
          <cell r="L230" t="str">
            <v>OS</v>
          </cell>
          <cell r="M230" t="str">
            <v>OS</v>
          </cell>
          <cell r="N230" t="str">
            <v>OS</v>
          </cell>
          <cell r="O230" t="str">
            <v>OS</v>
          </cell>
          <cell r="P230" t="str">
            <v>OS</v>
          </cell>
          <cell r="Q230" t="str">
            <v>OS</v>
          </cell>
          <cell r="R230" t="str">
            <v>OS</v>
          </cell>
          <cell r="S230" t="str">
            <v>OS</v>
          </cell>
          <cell r="T230" t="str">
            <v>OS</v>
          </cell>
          <cell r="U230" t="str">
            <v>OS</v>
          </cell>
          <cell r="V230" t="str">
            <v>OS</v>
          </cell>
          <cell r="W230" t="str">
            <v>OS</v>
          </cell>
          <cell r="X230" t="str">
            <v>OS</v>
          </cell>
          <cell r="Y230" t="str">
            <v>OS</v>
          </cell>
          <cell r="Z230" t="str">
            <v>OS</v>
          </cell>
          <cell r="AA230" t="str">
            <v>OS</v>
          </cell>
          <cell r="AB230" t="str">
            <v>OS</v>
          </cell>
          <cell r="AC230" t="str">
            <v>OS</v>
          </cell>
          <cell r="AD230" t="str">
            <v>AGM-01-009-038</v>
          </cell>
          <cell r="AE230" t="str">
            <v xml:space="preserve">Raemulan Lands, Inc. </v>
          </cell>
          <cell r="AF230" t="str">
            <v>Agapeya</v>
          </cell>
          <cell r="AG230" t="str">
            <v>AGM</v>
          </cell>
          <cell r="AH230" t="str">
            <v>Eco-High</v>
          </cell>
          <cell r="AI230" t="str">
            <v>West</v>
          </cell>
          <cell r="AJ230" t="str">
            <v>With LTS</v>
          </cell>
          <cell r="AK230" t="str">
            <v>Unaffected lots</v>
          </cell>
          <cell r="AL230" t="str">
            <v>Unaffected lots</v>
          </cell>
          <cell r="AM230" t="b">
            <v>1</v>
          </cell>
          <cell r="AN230" t="str">
            <v>YES</v>
          </cell>
          <cell r="AO230" t="str">
            <v>2024 Batch</v>
          </cell>
          <cell r="AP230">
            <v>70</v>
          </cell>
          <cell r="AQ230" t="str">
            <v>PCS-04-034298</v>
          </cell>
          <cell r="AR230" t="b">
            <v>1</v>
          </cell>
          <cell r="AS230" t="str">
            <v>Done</v>
          </cell>
          <cell r="AT230" t="str">
            <v>2024 Batch</v>
          </cell>
          <cell r="AU230">
            <v>9</v>
          </cell>
          <cell r="AV230">
            <v>38</v>
          </cell>
          <cell r="AW230" t="str">
            <v>H+L</v>
          </cell>
          <cell r="AX230">
            <v>70</v>
          </cell>
          <cell r="AY230">
            <v>50</v>
          </cell>
          <cell r="AZ230" t="str">
            <v>Duplex</v>
          </cell>
          <cell r="BA230">
            <v>1</v>
          </cell>
          <cell r="BB230" t="str">
            <v>326 - With Partition</v>
          </cell>
          <cell r="BC230" t="str">
            <v>With Partition</v>
          </cell>
          <cell r="BD230" t="str">
            <v>Flat</v>
          </cell>
          <cell r="BE230" t="str">
            <v>With Partition</v>
          </cell>
          <cell r="BF230" t="str">
            <v>PINK</v>
          </cell>
          <cell r="BG230">
            <v>2707500</v>
          </cell>
          <cell r="BH230">
            <v>2850000</v>
          </cell>
          <cell r="BI230">
            <v>100000</v>
          </cell>
          <cell r="BJ230">
            <v>2750000</v>
          </cell>
          <cell r="BK230">
            <v>0</v>
          </cell>
          <cell r="BL230">
            <v>2750000</v>
          </cell>
        </row>
        <row r="231">
          <cell r="D231" t="str">
            <v>OS</v>
          </cell>
          <cell r="E231"/>
          <cell r="F231">
            <v>211</v>
          </cell>
          <cell r="G231" t="str">
            <v>SOLD</v>
          </cell>
          <cell r="H231" t="str">
            <v>OS</v>
          </cell>
          <cell r="I231" t="str">
            <v>OS</v>
          </cell>
          <cell r="J231" t="str">
            <v>OS</v>
          </cell>
          <cell r="K231" t="str">
            <v>OS</v>
          </cell>
          <cell r="L231" t="str">
            <v>OS</v>
          </cell>
          <cell r="M231" t="str">
            <v>OS</v>
          </cell>
          <cell r="N231" t="str">
            <v>OS</v>
          </cell>
          <cell r="O231" t="str">
            <v>OS</v>
          </cell>
          <cell r="P231" t="str">
            <v>OS</v>
          </cell>
          <cell r="Q231" t="str">
            <v>OS</v>
          </cell>
          <cell r="R231" t="str">
            <v>OS</v>
          </cell>
          <cell r="S231" t="str">
            <v>OS</v>
          </cell>
          <cell r="T231" t="str">
            <v>OS</v>
          </cell>
          <cell r="U231" t="str">
            <v>OS</v>
          </cell>
          <cell r="V231" t="str">
            <v>OS</v>
          </cell>
          <cell r="W231" t="str">
            <v>OS</v>
          </cell>
          <cell r="X231" t="str">
            <v>OS</v>
          </cell>
          <cell r="Y231" t="str">
            <v>OS</v>
          </cell>
          <cell r="Z231" t="str">
            <v>OS</v>
          </cell>
          <cell r="AA231" t="str">
            <v>OS</v>
          </cell>
          <cell r="AB231" t="str">
            <v>OS</v>
          </cell>
          <cell r="AC231" t="str">
            <v>OS</v>
          </cell>
          <cell r="AD231" t="str">
            <v>AGM-01-009-039</v>
          </cell>
          <cell r="AE231" t="str">
            <v xml:space="preserve">Raemulan Lands, Inc. </v>
          </cell>
          <cell r="AF231" t="str">
            <v>Agapeya</v>
          </cell>
          <cell r="AG231" t="str">
            <v>AGM</v>
          </cell>
          <cell r="AH231" t="str">
            <v>Eco-High</v>
          </cell>
          <cell r="AI231" t="str">
            <v>West</v>
          </cell>
          <cell r="AJ231" t="str">
            <v>With LTS</v>
          </cell>
          <cell r="AK231" t="str">
            <v>Unaffected lots</v>
          </cell>
          <cell r="AL231" t="str">
            <v>Unaffected lots</v>
          </cell>
          <cell r="AM231" t="b">
            <v>1</v>
          </cell>
          <cell r="AN231" t="str">
            <v>YES</v>
          </cell>
          <cell r="AO231" t="str">
            <v>2024 Batch</v>
          </cell>
          <cell r="AP231">
            <v>70</v>
          </cell>
          <cell r="AQ231" t="str">
            <v>PCS-04-034298</v>
          </cell>
          <cell r="AR231" t="b">
            <v>1</v>
          </cell>
          <cell r="AS231" t="str">
            <v>Done</v>
          </cell>
          <cell r="AT231" t="str">
            <v>2024 Batch</v>
          </cell>
          <cell r="AU231">
            <v>9</v>
          </cell>
          <cell r="AV231">
            <v>39</v>
          </cell>
          <cell r="AW231" t="str">
            <v>H+L</v>
          </cell>
          <cell r="AX231">
            <v>70</v>
          </cell>
          <cell r="AY231">
            <v>50</v>
          </cell>
          <cell r="AZ231" t="str">
            <v>Duplex</v>
          </cell>
          <cell r="BA231">
            <v>1</v>
          </cell>
          <cell r="BB231" t="str">
            <v>326 - With Partition</v>
          </cell>
          <cell r="BC231" t="str">
            <v>With Partition</v>
          </cell>
          <cell r="BD231" t="str">
            <v>Slant</v>
          </cell>
          <cell r="BE231" t="str">
            <v>With Partition</v>
          </cell>
          <cell r="BF231" t="str">
            <v>PINK</v>
          </cell>
          <cell r="BG231">
            <v>2707500</v>
          </cell>
          <cell r="BH231">
            <v>2850000</v>
          </cell>
          <cell r="BI231">
            <v>100000</v>
          </cell>
          <cell r="BJ231">
            <v>2750000</v>
          </cell>
          <cell r="BK231">
            <v>0</v>
          </cell>
          <cell r="BL231">
            <v>2750000</v>
          </cell>
        </row>
        <row r="232">
          <cell r="D232" t="str">
            <v>OS</v>
          </cell>
          <cell r="E232"/>
          <cell r="F232">
            <v>212</v>
          </cell>
          <cell r="G232" t="str">
            <v>SOLD</v>
          </cell>
          <cell r="H232" t="str">
            <v>OS</v>
          </cell>
          <cell r="I232" t="str">
            <v>OS</v>
          </cell>
          <cell r="J232" t="str">
            <v>OS</v>
          </cell>
          <cell r="K232" t="str">
            <v>OS</v>
          </cell>
          <cell r="L232" t="str">
            <v>OS</v>
          </cell>
          <cell r="M232" t="str">
            <v>OS</v>
          </cell>
          <cell r="N232" t="str">
            <v>OS</v>
          </cell>
          <cell r="O232" t="str">
            <v>OS</v>
          </cell>
          <cell r="P232" t="str">
            <v>OS</v>
          </cell>
          <cell r="Q232" t="str">
            <v>OS</v>
          </cell>
          <cell r="R232" t="str">
            <v>OS</v>
          </cell>
          <cell r="S232" t="str">
            <v>OS</v>
          </cell>
          <cell r="T232" t="str">
            <v>OS</v>
          </cell>
          <cell r="U232" t="str">
            <v>OS</v>
          </cell>
          <cell r="V232" t="str">
            <v>OS</v>
          </cell>
          <cell r="W232" t="str">
            <v>OS</v>
          </cell>
          <cell r="X232" t="str">
            <v>OS</v>
          </cell>
          <cell r="Y232" t="str">
            <v>OS</v>
          </cell>
          <cell r="Z232" t="str">
            <v>OS</v>
          </cell>
          <cell r="AA232" t="str">
            <v>OS</v>
          </cell>
          <cell r="AB232" t="str">
            <v>OS</v>
          </cell>
          <cell r="AC232" t="str">
            <v>OS</v>
          </cell>
          <cell r="AD232" t="str">
            <v>AGM-01-009-040</v>
          </cell>
          <cell r="AE232" t="str">
            <v xml:space="preserve">Raemulan Lands, Inc. </v>
          </cell>
          <cell r="AF232" t="str">
            <v>Agapeya</v>
          </cell>
          <cell r="AG232" t="str">
            <v>AGM</v>
          </cell>
          <cell r="AH232" t="str">
            <v>Eco-High</v>
          </cell>
          <cell r="AI232" t="str">
            <v>West</v>
          </cell>
          <cell r="AJ232" t="str">
            <v>With LTS</v>
          </cell>
          <cell r="AK232" t="str">
            <v>Unaffected lots</v>
          </cell>
          <cell r="AL232" t="str">
            <v>Unaffected lots</v>
          </cell>
          <cell r="AM232" t="b">
            <v>1</v>
          </cell>
          <cell r="AN232" t="str">
            <v>YES</v>
          </cell>
          <cell r="AO232" t="str">
            <v>2024 Batch</v>
          </cell>
          <cell r="AP232">
            <v>70</v>
          </cell>
          <cell r="AQ232" t="str">
            <v>PCS-04-034298</v>
          </cell>
          <cell r="AR232" t="b">
            <v>1</v>
          </cell>
          <cell r="AS232" t="str">
            <v>Done</v>
          </cell>
          <cell r="AT232" t="str">
            <v>2024 Batch</v>
          </cell>
          <cell r="AU232">
            <v>9</v>
          </cell>
          <cell r="AV232">
            <v>40</v>
          </cell>
          <cell r="AW232" t="str">
            <v>H+L</v>
          </cell>
          <cell r="AX232">
            <v>70</v>
          </cell>
          <cell r="AY232">
            <v>50</v>
          </cell>
          <cell r="AZ232" t="str">
            <v>Duplex</v>
          </cell>
          <cell r="BA232">
            <v>1</v>
          </cell>
          <cell r="BB232" t="str">
            <v>326 - With Partition</v>
          </cell>
          <cell r="BC232" t="str">
            <v>With Partition</v>
          </cell>
          <cell r="BD232" t="str">
            <v>Slant</v>
          </cell>
          <cell r="BE232" t="str">
            <v>With Partition</v>
          </cell>
          <cell r="BF232" t="str">
            <v>PURPLE</v>
          </cell>
          <cell r="BG232">
            <v>2707500</v>
          </cell>
          <cell r="BH232">
            <v>2850000</v>
          </cell>
          <cell r="BI232">
            <v>100000</v>
          </cell>
          <cell r="BJ232">
            <v>2750000</v>
          </cell>
          <cell r="BK232">
            <v>0</v>
          </cell>
          <cell r="BL232">
            <v>2750000</v>
          </cell>
        </row>
        <row r="233">
          <cell r="D233" t="str">
            <v>OS</v>
          </cell>
          <cell r="E233"/>
          <cell r="F233">
            <v>213</v>
          </cell>
          <cell r="G233" t="str">
            <v>SOLD</v>
          </cell>
          <cell r="H233" t="str">
            <v>OS</v>
          </cell>
          <cell r="I233" t="str">
            <v>OS</v>
          </cell>
          <cell r="J233" t="str">
            <v>OS</v>
          </cell>
          <cell r="K233" t="str">
            <v>OS</v>
          </cell>
          <cell r="L233" t="str">
            <v>OS</v>
          </cell>
          <cell r="M233" t="str">
            <v>OS</v>
          </cell>
          <cell r="N233" t="str">
            <v>OS</v>
          </cell>
          <cell r="O233" t="str">
            <v>OS</v>
          </cell>
          <cell r="P233" t="str">
            <v>OS</v>
          </cell>
          <cell r="Q233" t="str">
            <v>OS</v>
          </cell>
          <cell r="R233" t="str">
            <v>OS</v>
          </cell>
          <cell r="S233" t="str">
            <v>OS</v>
          </cell>
          <cell r="T233" t="str">
            <v>OS</v>
          </cell>
          <cell r="U233" t="str">
            <v>OS</v>
          </cell>
          <cell r="V233" t="str">
            <v>OS</v>
          </cell>
          <cell r="W233" t="str">
            <v>OS</v>
          </cell>
          <cell r="X233" t="str">
            <v>OS</v>
          </cell>
          <cell r="Y233" t="str">
            <v>OS</v>
          </cell>
          <cell r="Z233" t="str">
            <v>OS</v>
          </cell>
          <cell r="AA233" t="str">
            <v>OS</v>
          </cell>
          <cell r="AB233" t="str">
            <v>OS</v>
          </cell>
          <cell r="AC233" t="str">
            <v>OS</v>
          </cell>
          <cell r="AD233" t="str">
            <v>AGM-01-009-041</v>
          </cell>
          <cell r="AE233" t="str">
            <v xml:space="preserve">Raemulan Lands, Inc. </v>
          </cell>
          <cell r="AF233" t="str">
            <v>Agapeya</v>
          </cell>
          <cell r="AG233" t="str">
            <v>AGM</v>
          </cell>
          <cell r="AH233" t="str">
            <v>Eco-High</v>
          </cell>
          <cell r="AI233" t="str">
            <v>West</v>
          </cell>
          <cell r="AJ233" t="str">
            <v>With LTS</v>
          </cell>
          <cell r="AK233" t="str">
            <v>Unaffected lots</v>
          </cell>
          <cell r="AL233" t="str">
            <v>Unaffected lots</v>
          </cell>
          <cell r="AM233" t="b">
            <v>1</v>
          </cell>
          <cell r="AN233" t="str">
            <v>YES</v>
          </cell>
          <cell r="AO233" t="str">
            <v>2024 Batch</v>
          </cell>
          <cell r="AP233">
            <v>70</v>
          </cell>
          <cell r="AQ233" t="str">
            <v>PCS-04-034298</v>
          </cell>
          <cell r="AR233" t="b">
            <v>1</v>
          </cell>
          <cell r="AS233" t="str">
            <v>Done</v>
          </cell>
          <cell r="AT233" t="str">
            <v>2024 Batch</v>
          </cell>
          <cell r="AU233">
            <v>9</v>
          </cell>
          <cell r="AV233">
            <v>41</v>
          </cell>
          <cell r="AW233" t="str">
            <v>H+L</v>
          </cell>
          <cell r="AX233">
            <v>70</v>
          </cell>
          <cell r="AY233">
            <v>50</v>
          </cell>
          <cell r="AZ233" t="str">
            <v>Duplex</v>
          </cell>
          <cell r="BA233">
            <v>1</v>
          </cell>
          <cell r="BB233" t="str">
            <v>326 - With Partition</v>
          </cell>
          <cell r="BC233" t="str">
            <v>With Partition</v>
          </cell>
          <cell r="BD233" t="str">
            <v>Flat</v>
          </cell>
          <cell r="BE233" t="str">
            <v>With Partition</v>
          </cell>
          <cell r="BF233" t="str">
            <v>PURPLE</v>
          </cell>
          <cell r="BG233">
            <v>2707500</v>
          </cell>
          <cell r="BH233">
            <v>2850000</v>
          </cell>
          <cell r="BI233">
            <v>100000</v>
          </cell>
          <cell r="BJ233">
            <v>2750000</v>
          </cell>
          <cell r="BK233">
            <v>0</v>
          </cell>
          <cell r="BL233">
            <v>2750000</v>
          </cell>
        </row>
        <row r="234">
          <cell r="D234" t="str">
            <v>OS</v>
          </cell>
          <cell r="E234"/>
          <cell r="F234">
            <v>214</v>
          </cell>
          <cell r="G234" t="str">
            <v>SOLD</v>
          </cell>
          <cell r="H234" t="str">
            <v>OS</v>
          </cell>
          <cell r="I234" t="str">
            <v>OS</v>
          </cell>
          <cell r="J234" t="str">
            <v>OS</v>
          </cell>
          <cell r="K234" t="str">
            <v>OS</v>
          </cell>
          <cell r="L234" t="str">
            <v>OS</v>
          </cell>
          <cell r="M234" t="str">
            <v>OS</v>
          </cell>
          <cell r="N234" t="str">
            <v>OS</v>
          </cell>
          <cell r="O234" t="str">
            <v>OS</v>
          </cell>
          <cell r="P234" t="str">
            <v>OS</v>
          </cell>
          <cell r="Q234" t="str">
            <v>OS</v>
          </cell>
          <cell r="R234" t="str">
            <v>OS</v>
          </cell>
          <cell r="S234" t="str">
            <v>OS</v>
          </cell>
          <cell r="T234" t="str">
            <v>OS</v>
          </cell>
          <cell r="U234" t="str">
            <v>OS</v>
          </cell>
          <cell r="V234" t="str">
            <v>OS</v>
          </cell>
          <cell r="W234" t="str">
            <v>OS</v>
          </cell>
          <cell r="X234" t="str">
            <v>OS</v>
          </cell>
          <cell r="Y234" t="str">
            <v>OS</v>
          </cell>
          <cell r="Z234" t="str">
            <v>OS</v>
          </cell>
          <cell r="AA234" t="str">
            <v>OS</v>
          </cell>
          <cell r="AB234" t="str">
            <v>OS</v>
          </cell>
          <cell r="AC234" t="str">
            <v>OS</v>
          </cell>
          <cell r="AD234" t="str">
            <v>AGM-01-009-042</v>
          </cell>
          <cell r="AE234" t="str">
            <v xml:space="preserve">Raemulan Lands, Inc. </v>
          </cell>
          <cell r="AF234" t="str">
            <v>Agapeya</v>
          </cell>
          <cell r="AG234" t="str">
            <v>AGM</v>
          </cell>
          <cell r="AH234" t="str">
            <v>Eco-High</v>
          </cell>
          <cell r="AI234" t="str">
            <v>West</v>
          </cell>
          <cell r="AJ234" t="str">
            <v>With LTS</v>
          </cell>
          <cell r="AK234" t="str">
            <v>Unaffected lots</v>
          </cell>
          <cell r="AL234" t="str">
            <v>Unaffected lots</v>
          </cell>
          <cell r="AM234" t="b">
            <v>1</v>
          </cell>
          <cell r="AN234" t="str">
            <v>YES</v>
          </cell>
          <cell r="AO234" t="str">
            <v>2024 Batch</v>
          </cell>
          <cell r="AP234">
            <v>70</v>
          </cell>
          <cell r="AQ234" t="str">
            <v>PCS-04-034298</v>
          </cell>
          <cell r="AR234" t="b">
            <v>1</v>
          </cell>
          <cell r="AS234" t="str">
            <v>Done</v>
          </cell>
          <cell r="AT234" t="str">
            <v>2024 Batch</v>
          </cell>
          <cell r="AU234">
            <v>9</v>
          </cell>
          <cell r="AV234">
            <v>42</v>
          </cell>
          <cell r="AW234" t="str">
            <v>H+L</v>
          </cell>
          <cell r="AX234">
            <v>70</v>
          </cell>
          <cell r="AY234">
            <v>50</v>
          </cell>
          <cell r="AZ234" t="str">
            <v>Duplex</v>
          </cell>
          <cell r="BA234">
            <v>1</v>
          </cell>
          <cell r="BB234" t="str">
            <v>326 - With Partition</v>
          </cell>
          <cell r="BC234" t="str">
            <v xml:space="preserve">Without Partition </v>
          </cell>
          <cell r="BD234" t="str">
            <v>Flat</v>
          </cell>
          <cell r="BE234" t="str">
            <v xml:space="preserve">Without Partition </v>
          </cell>
          <cell r="BF234" t="str">
            <v>PURPLE</v>
          </cell>
          <cell r="BG234">
            <v>2707500</v>
          </cell>
          <cell r="BH234">
            <v>2650000</v>
          </cell>
          <cell r="BI234">
            <v>100000</v>
          </cell>
          <cell r="BJ234">
            <v>2550000</v>
          </cell>
          <cell r="BK234">
            <v>0</v>
          </cell>
          <cell r="BL234">
            <v>2550000</v>
          </cell>
        </row>
        <row r="235">
          <cell r="D235" t="str">
            <v>OS</v>
          </cell>
          <cell r="E235"/>
          <cell r="F235">
            <v>215</v>
          </cell>
          <cell r="G235" t="str">
            <v>SOLD</v>
          </cell>
          <cell r="H235" t="str">
            <v>OS</v>
          </cell>
          <cell r="I235" t="str">
            <v>OS</v>
          </cell>
          <cell r="J235" t="str">
            <v>OS</v>
          </cell>
          <cell r="K235" t="str">
            <v>OS</v>
          </cell>
          <cell r="L235" t="str">
            <v>OS</v>
          </cell>
          <cell r="M235" t="str">
            <v>OS</v>
          </cell>
          <cell r="N235" t="str">
            <v>OS</v>
          </cell>
          <cell r="O235" t="str">
            <v>OS</v>
          </cell>
          <cell r="P235" t="str">
            <v>OS</v>
          </cell>
          <cell r="Q235" t="str">
            <v>OS</v>
          </cell>
          <cell r="R235" t="str">
            <v>OS</v>
          </cell>
          <cell r="S235" t="str">
            <v>OS</v>
          </cell>
          <cell r="T235" t="str">
            <v>OS</v>
          </cell>
          <cell r="U235" t="str">
            <v>OS</v>
          </cell>
          <cell r="V235" t="str">
            <v>OS</v>
          </cell>
          <cell r="W235" t="str">
            <v>OS</v>
          </cell>
          <cell r="X235" t="str">
            <v>OS</v>
          </cell>
          <cell r="Y235" t="str">
            <v>OS</v>
          </cell>
          <cell r="Z235" t="str">
            <v>OS</v>
          </cell>
          <cell r="AA235" t="str">
            <v>OS</v>
          </cell>
          <cell r="AB235" t="str">
            <v>OS</v>
          </cell>
          <cell r="AC235" t="str">
            <v>OS</v>
          </cell>
          <cell r="AD235" t="str">
            <v>AGM-01-009-043</v>
          </cell>
          <cell r="AE235" t="str">
            <v xml:space="preserve">Raemulan Lands, Inc. </v>
          </cell>
          <cell r="AF235" t="str">
            <v>Agapeya</v>
          </cell>
          <cell r="AG235" t="str">
            <v>AGM</v>
          </cell>
          <cell r="AH235" t="str">
            <v>Eco-High</v>
          </cell>
          <cell r="AI235" t="str">
            <v>West</v>
          </cell>
          <cell r="AJ235" t="str">
            <v>With LTS</v>
          </cell>
          <cell r="AK235" t="str">
            <v>Unaffected lots</v>
          </cell>
          <cell r="AL235" t="str">
            <v>Unaffected lots</v>
          </cell>
          <cell r="AM235" t="b">
            <v>1</v>
          </cell>
          <cell r="AN235" t="str">
            <v>YES</v>
          </cell>
          <cell r="AO235" t="str">
            <v>2024 Batch</v>
          </cell>
          <cell r="AP235">
            <v>70</v>
          </cell>
          <cell r="AQ235" t="str">
            <v>PCS-04-034298</v>
          </cell>
          <cell r="AR235" t="b">
            <v>1</v>
          </cell>
          <cell r="AS235" t="str">
            <v>Done</v>
          </cell>
          <cell r="AT235" t="str">
            <v>2024 Batch</v>
          </cell>
          <cell r="AU235">
            <v>9</v>
          </cell>
          <cell r="AV235">
            <v>43</v>
          </cell>
          <cell r="AW235" t="str">
            <v>H+L</v>
          </cell>
          <cell r="AX235">
            <v>70</v>
          </cell>
          <cell r="AY235">
            <v>50</v>
          </cell>
          <cell r="AZ235" t="str">
            <v>Duplex</v>
          </cell>
          <cell r="BA235">
            <v>1</v>
          </cell>
          <cell r="BB235" t="str">
            <v>326 - With Partition</v>
          </cell>
          <cell r="BC235" t="str">
            <v xml:space="preserve">Without Partition </v>
          </cell>
          <cell r="BD235" t="str">
            <v>Slant</v>
          </cell>
          <cell r="BE235" t="str">
            <v xml:space="preserve">Without Partition </v>
          </cell>
          <cell r="BF235" t="str">
            <v>PURPLE</v>
          </cell>
          <cell r="BG235">
            <v>2500000</v>
          </cell>
          <cell r="BH235">
            <v>2650000</v>
          </cell>
          <cell r="BI235">
            <v>100000</v>
          </cell>
          <cell r="BJ235">
            <v>2550000</v>
          </cell>
          <cell r="BK235">
            <v>0</v>
          </cell>
          <cell r="BL235">
            <v>2550000</v>
          </cell>
        </row>
        <row r="236">
          <cell r="D236" t="str">
            <v>OS</v>
          </cell>
          <cell r="E236"/>
          <cell r="F236">
            <v>216</v>
          </cell>
          <cell r="G236" t="str">
            <v>SOLD</v>
          </cell>
          <cell r="H236" t="str">
            <v>OS</v>
          </cell>
          <cell r="I236" t="str">
            <v>OS</v>
          </cell>
          <cell r="J236" t="str">
            <v>OS</v>
          </cell>
          <cell r="K236" t="str">
            <v>OS</v>
          </cell>
          <cell r="L236" t="str">
            <v>OS</v>
          </cell>
          <cell r="M236" t="str">
            <v>OS</v>
          </cell>
          <cell r="N236" t="str">
            <v>OS</v>
          </cell>
          <cell r="O236" t="str">
            <v>OS</v>
          </cell>
          <cell r="P236" t="str">
            <v>OS</v>
          </cell>
          <cell r="Q236" t="str">
            <v>OS</v>
          </cell>
          <cell r="R236" t="str">
            <v>OS</v>
          </cell>
          <cell r="S236" t="str">
            <v>OS</v>
          </cell>
          <cell r="T236" t="str">
            <v>OS</v>
          </cell>
          <cell r="U236" t="str">
            <v>OS</v>
          </cell>
          <cell r="V236" t="str">
            <v>OS</v>
          </cell>
          <cell r="W236" t="str">
            <v>OS</v>
          </cell>
          <cell r="X236" t="str">
            <v>OS</v>
          </cell>
          <cell r="Y236" t="str">
            <v>OS</v>
          </cell>
          <cell r="Z236" t="str">
            <v>OS</v>
          </cell>
          <cell r="AA236" t="str">
            <v>OS</v>
          </cell>
          <cell r="AB236" t="str">
            <v>OS</v>
          </cell>
          <cell r="AC236" t="str">
            <v>OS</v>
          </cell>
          <cell r="AD236" t="str">
            <v>AGM-01-009-044</v>
          </cell>
          <cell r="AE236" t="str">
            <v xml:space="preserve">Raemulan Lands, Inc. </v>
          </cell>
          <cell r="AF236" t="str">
            <v>Agapeya</v>
          </cell>
          <cell r="AG236" t="str">
            <v>AGM</v>
          </cell>
          <cell r="AH236" t="str">
            <v>Eco-High</v>
          </cell>
          <cell r="AI236" t="str">
            <v>West</v>
          </cell>
          <cell r="AJ236" t="str">
            <v>With LTS</v>
          </cell>
          <cell r="AK236" t="str">
            <v>Unaffected lots</v>
          </cell>
          <cell r="AL236" t="str">
            <v>Unaffected lots</v>
          </cell>
          <cell r="AM236" t="b">
            <v>1</v>
          </cell>
          <cell r="AN236" t="str">
            <v>YES</v>
          </cell>
          <cell r="AO236" t="str">
            <v>2024 Batch</v>
          </cell>
          <cell r="AP236">
            <v>70</v>
          </cell>
          <cell r="AQ236" t="str">
            <v>PCS-04-034298</v>
          </cell>
          <cell r="AR236" t="b">
            <v>1</v>
          </cell>
          <cell r="AS236" t="str">
            <v>Done</v>
          </cell>
          <cell r="AT236" t="str">
            <v>2024 Batch</v>
          </cell>
          <cell r="AU236">
            <v>9</v>
          </cell>
          <cell r="AV236">
            <v>44</v>
          </cell>
          <cell r="AW236" t="str">
            <v>H+L</v>
          </cell>
          <cell r="AX236">
            <v>70</v>
          </cell>
          <cell r="AY236">
            <v>50</v>
          </cell>
          <cell r="AZ236" t="str">
            <v>Duplex</v>
          </cell>
          <cell r="BA236">
            <v>1</v>
          </cell>
          <cell r="BB236" t="str">
            <v>326 - With Partition</v>
          </cell>
          <cell r="BC236" t="str">
            <v>With Partition</v>
          </cell>
          <cell r="BD236" t="str">
            <v>Slant</v>
          </cell>
          <cell r="BE236" t="str">
            <v>With Partition</v>
          </cell>
          <cell r="BF236" t="str">
            <v>GREEN</v>
          </cell>
          <cell r="BG236">
            <v>2707500</v>
          </cell>
          <cell r="BH236">
            <v>2850000</v>
          </cell>
          <cell r="BI236">
            <v>100000</v>
          </cell>
          <cell r="BJ236">
            <v>2750000</v>
          </cell>
          <cell r="BK236">
            <v>0</v>
          </cell>
          <cell r="BL236">
            <v>2750000</v>
          </cell>
        </row>
        <row r="237">
          <cell r="D237" t="str">
            <v>OS</v>
          </cell>
          <cell r="E237"/>
          <cell r="F237">
            <v>217</v>
          </cell>
          <cell r="G237" t="str">
            <v>SOLD</v>
          </cell>
          <cell r="H237" t="str">
            <v>OS</v>
          </cell>
          <cell r="I237" t="str">
            <v>OS</v>
          </cell>
          <cell r="J237" t="str">
            <v>OS</v>
          </cell>
          <cell r="K237" t="str">
            <v>OS</v>
          </cell>
          <cell r="L237" t="str">
            <v>OS</v>
          </cell>
          <cell r="M237" t="str">
            <v>OS</v>
          </cell>
          <cell r="N237" t="str">
            <v>OS</v>
          </cell>
          <cell r="O237" t="str">
            <v>OS</v>
          </cell>
          <cell r="P237" t="str">
            <v>OS</v>
          </cell>
          <cell r="Q237" t="str">
            <v>OS</v>
          </cell>
          <cell r="R237" t="str">
            <v>OS</v>
          </cell>
          <cell r="S237" t="str">
            <v>OS</v>
          </cell>
          <cell r="T237" t="str">
            <v>OS</v>
          </cell>
          <cell r="U237" t="str">
            <v>OS</v>
          </cell>
          <cell r="V237" t="str">
            <v>OS</v>
          </cell>
          <cell r="W237" t="str">
            <v>OS</v>
          </cell>
          <cell r="X237" t="str">
            <v>OS</v>
          </cell>
          <cell r="Y237" t="str">
            <v>OS</v>
          </cell>
          <cell r="Z237" t="str">
            <v>OS</v>
          </cell>
          <cell r="AA237" t="str">
            <v>OS</v>
          </cell>
          <cell r="AB237" t="str">
            <v>OS</v>
          </cell>
          <cell r="AC237" t="str">
            <v>OS</v>
          </cell>
          <cell r="AD237" t="str">
            <v>AGM-01-009-045</v>
          </cell>
          <cell r="AE237" t="str">
            <v xml:space="preserve">Raemulan Lands, Inc. </v>
          </cell>
          <cell r="AF237" t="str">
            <v>Agapeya</v>
          </cell>
          <cell r="AG237" t="str">
            <v>AGM</v>
          </cell>
          <cell r="AH237" t="str">
            <v>Eco-High</v>
          </cell>
          <cell r="AI237" t="str">
            <v>West</v>
          </cell>
          <cell r="AJ237" t="str">
            <v>With LTS</v>
          </cell>
          <cell r="AK237" t="str">
            <v>Unaffected lots</v>
          </cell>
          <cell r="AL237" t="str">
            <v>Unaffected lots</v>
          </cell>
          <cell r="AM237" t="b">
            <v>1</v>
          </cell>
          <cell r="AN237" t="str">
            <v>YES</v>
          </cell>
          <cell r="AO237" t="str">
            <v>2024 Batch</v>
          </cell>
          <cell r="AP237">
            <v>70</v>
          </cell>
          <cell r="AQ237" t="str">
            <v>PCS-04-034298</v>
          </cell>
          <cell r="AR237" t="b">
            <v>1</v>
          </cell>
          <cell r="AS237" t="str">
            <v>Done</v>
          </cell>
          <cell r="AT237" t="str">
            <v>2024 Batch</v>
          </cell>
          <cell r="AU237">
            <v>9</v>
          </cell>
          <cell r="AV237">
            <v>45</v>
          </cell>
          <cell r="AW237" t="str">
            <v>H+L</v>
          </cell>
          <cell r="AX237">
            <v>70</v>
          </cell>
          <cell r="AY237">
            <v>50</v>
          </cell>
          <cell r="AZ237" t="str">
            <v>Duplex</v>
          </cell>
          <cell r="BA237">
            <v>1</v>
          </cell>
          <cell r="BB237" t="str">
            <v>326 - With Partition</v>
          </cell>
          <cell r="BC237" t="str">
            <v>With Partition</v>
          </cell>
          <cell r="BD237" t="str">
            <v>Flat</v>
          </cell>
          <cell r="BE237" t="str">
            <v>With Partition</v>
          </cell>
          <cell r="BF237" t="str">
            <v>GREEN</v>
          </cell>
          <cell r="BG237">
            <v>2707500</v>
          </cell>
          <cell r="BH237">
            <v>2850000</v>
          </cell>
          <cell r="BI237">
            <v>100000</v>
          </cell>
          <cell r="BJ237">
            <v>2750000</v>
          </cell>
          <cell r="BK237">
            <v>0</v>
          </cell>
          <cell r="BL237">
            <v>2750000</v>
          </cell>
        </row>
        <row r="238">
          <cell r="D238" t="str">
            <v>OS</v>
          </cell>
          <cell r="E238"/>
          <cell r="F238">
            <v>218</v>
          </cell>
          <cell r="G238" t="str">
            <v>SOLD</v>
          </cell>
          <cell r="H238" t="str">
            <v>OS</v>
          </cell>
          <cell r="I238" t="str">
            <v>OS</v>
          </cell>
          <cell r="J238" t="str">
            <v>OS</v>
          </cell>
          <cell r="K238" t="str">
            <v>OS</v>
          </cell>
          <cell r="L238" t="str">
            <v>OS</v>
          </cell>
          <cell r="M238" t="str">
            <v>OS</v>
          </cell>
          <cell r="N238" t="str">
            <v>OS</v>
          </cell>
          <cell r="O238" t="str">
            <v>OS</v>
          </cell>
          <cell r="P238" t="str">
            <v>OS</v>
          </cell>
          <cell r="Q238" t="str">
            <v>OS</v>
          </cell>
          <cell r="R238" t="str">
            <v>OS</v>
          </cell>
          <cell r="S238" t="str">
            <v>OS</v>
          </cell>
          <cell r="T238" t="str">
            <v>OS</v>
          </cell>
          <cell r="U238" t="str">
            <v>OS</v>
          </cell>
          <cell r="V238" t="str">
            <v>OS</v>
          </cell>
          <cell r="W238" t="str">
            <v>OS</v>
          </cell>
          <cell r="X238" t="str">
            <v>OS</v>
          </cell>
          <cell r="Y238" t="str">
            <v>OS</v>
          </cell>
          <cell r="Z238" t="str">
            <v>OS</v>
          </cell>
          <cell r="AA238" t="str">
            <v>OS</v>
          </cell>
          <cell r="AB238" t="str">
            <v>OS</v>
          </cell>
          <cell r="AC238" t="str">
            <v>OS</v>
          </cell>
          <cell r="AD238" t="str">
            <v>AGM-01-009-046</v>
          </cell>
          <cell r="AE238" t="str">
            <v xml:space="preserve">Raemulan Lands, Inc. </v>
          </cell>
          <cell r="AF238" t="str">
            <v>Agapeya</v>
          </cell>
          <cell r="AG238" t="str">
            <v>AGM</v>
          </cell>
          <cell r="AH238" t="str">
            <v>Eco-High</v>
          </cell>
          <cell r="AI238" t="str">
            <v>West</v>
          </cell>
          <cell r="AJ238" t="str">
            <v>With LTS</v>
          </cell>
          <cell r="AK238" t="str">
            <v>Unaffected lots</v>
          </cell>
          <cell r="AL238" t="str">
            <v>Unaffected lots</v>
          </cell>
          <cell r="AM238" t="b">
            <v>1</v>
          </cell>
          <cell r="AN238" t="str">
            <v>YES</v>
          </cell>
          <cell r="AO238" t="str">
            <v>2024 Batch</v>
          </cell>
          <cell r="AP238">
            <v>70</v>
          </cell>
          <cell r="AQ238" t="str">
            <v>PCS-04-034298</v>
          </cell>
          <cell r="AR238" t="b">
            <v>1</v>
          </cell>
          <cell r="AS238" t="str">
            <v>Done</v>
          </cell>
          <cell r="AT238" t="str">
            <v>2024 Batch</v>
          </cell>
          <cell r="AU238">
            <v>9</v>
          </cell>
          <cell r="AV238">
            <v>46</v>
          </cell>
          <cell r="AW238" t="str">
            <v>H+L</v>
          </cell>
          <cell r="AX238">
            <v>70</v>
          </cell>
          <cell r="AY238">
            <v>50</v>
          </cell>
          <cell r="AZ238" t="str">
            <v>Duplex</v>
          </cell>
          <cell r="BA238">
            <v>1</v>
          </cell>
          <cell r="BB238" t="str">
            <v>326 - With Partition</v>
          </cell>
          <cell r="BC238" t="str">
            <v>With Partition</v>
          </cell>
          <cell r="BD238" t="str">
            <v>Flat</v>
          </cell>
          <cell r="BE238" t="str">
            <v>With Partition</v>
          </cell>
          <cell r="BF238" t="str">
            <v>GREEN</v>
          </cell>
          <cell r="BG238">
            <v>2707500</v>
          </cell>
          <cell r="BH238">
            <v>2850000</v>
          </cell>
          <cell r="BI238">
            <v>100000</v>
          </cell>
          <cell r="BJ238">
            <v>2750000</v>
          </cell>
          <cell r="BK238">
            <v>0</v>
          </cell>
          <cell r="BL238">
            <v>2750000</v>
          </cell>
        </row>
        <row r="239">
          <cell r="D239" t="str">
            <v>OS</v>
          </cell>
          <cell r="E239"/>
          <cell r="F239">
            <v>219</v>
          </cell>
          <cell r="G239" t="str">
            <v>SOLD</v>
          </cell>
          <cell r="H239" t="str">
            <v>OS</v>
          </cell>
          <cell r="I239" t="str">
            <v>OS</v>
          </cell>
          <cell r="J239" t="str">
            <v>OS</v>
          </cell>
          <cell r="K239" t="str">
            <v>OS</v>
          </cell>
          <cell r="L239" t="str">
            <v>OS</v>
          </cell>
          <cell r="M239" t="str">
            <v>OS</v>
          </cell>
          <cell r="N239" t="str">
            <v>OS</v>
          </cell>
          <cell r="O239" t="str">
            <v>OS</v>
          </cell>
          <cell r="P239" t="str">
            <v>OS</v>
          </cell>
          <cell r="Q239" t="str">
            <v>OS</v>
          </cell>
          <cell r="R239" t="str">
            <v>OS</v>
          </cell>
          <cell r="S239" t="str">
            <v>OS</v>
          </cell>
          <cell r="T239" t="str">
            <v>OS</v>
          </cell>
          <cell r="U239" t="str">
            <v>OS</v>
          </cell>
          <cell r="V239" t="str">
            <v>OS</v>
          </cell>
          <cell r="W239" t="str">
            <v>OS</v>
          </cell>
          <cell r="X239" t="str">
            <v>OS</v>
          </cell>
          <cell r="Y239" t="str">
            <v>OS</v>
          </cell>
          <cell r="Z239" t="str">
            <v>OS</v>
          </cell>
          <cell r="AA239" t="str">
            <v>OS</v>
          </cell>
          <cell r="AB239" t="str">
            <v>OS</v>
          </cell>
          <cell r="AC239" t="str">
            <v>OS</v>
          </cell>
          <cell r="AD239" t="str">
            <v>AGM-01-009-047</v>
          </cell>
          <cell r="AE239" t="str">
            <v xml:space="preserve">Raemulan Lands, Inc. </v>
          </cell>
          <cell r="AF239" t="str">
            <v>Agapeya</v>
          </cell>
          <cell r="AG239" t="str">
            <v>AGM</v>
          </cell>
          <cell r="AH239" t="str">
            <v>Eco-High</v>
          </cell>
          <cell r="AI239" t="str">
            <v>West</v>
          </cell>
          <cell r="AJ239" t="str">
            <v>With LTS</v>
          </cell>
          <cell r="AK239" t="str">
            <v>Unaffected lots</v>
          </cell>
          <cell r="AL239" t="str">
            <v>Unaffected lots</v>
          </cell>
          <cell r="AM239" t="b">
            <v>1</v>
          </cell>
          <cell r="AN239" t="str">
            <v>YES</v>
          </cell>
          <cell r="AO239" t="str">
            <v>2024 Batch</v>
          </cell>
          <cell r="AP239">
            <v>70</v>
          </cell>
          <cell r="AQ239" t="str">
            <v>PCS-04-034298</v>
          </cell>
          <cell r="AR239" t="b">
            <v>1</v>
          </cell>
          <cell r="AS239" t="str">
            <v>Done</v>
          </cell>
          <cell r="AT239" t="str">
            <v>2024 Batch</v>
          </cell>
          <cell r="AU239">
            <v>9</v>
          </cell>
          <cell r="AV239">
            <v>47</v>
          </cell>
          <cell r="AW239" t="str">
            <v>H+L</v>
          </cell>
          <cell r="AX239">
            <v>70</v>
          </cell>
          <cell r="AY239">
            <v>50</v>
          </cell>
          <cell r="AZ239" t="str">
            <v>Duplex</v>
          </cell>
          <cell r="BA239">
            <v>1</v>
          </cell>
          <cell r="BB239" t="str">
            <v>326 - With Partition</v>
          </cell>
          <cell r="BC239" t="str">
            <v xml:space="preserve">Without Partition </v>
          </cell>
          <cell r="BD239" t="str">
            <v>Slant</v>
          </cell>
          <cell r="BE239" t="str">
            <v xml:space="preserve">Without Partition </v>
          </cell>
          <cell r="BF239" t="str">
            <v>GREEN</v>
          </cell>
          <cell r="BG239">
            <v>2500000</v>
          </cell>
          <cell r="BH239">
            <v>2650000</v>
          </cell>
          <cell r="BI239">
            <v>100000</v>
          </cell>
          <cell r="BJ239">
            <v>2550000</v>
          </cell>
          <cell r="BK239">
            <v>0</v>
          </cell>
          <cell r="BL239">
            <v>2550000</v>
          </cell>
        </row>
        <row r="240">
          <cell r="D240" t="str">
            <v>OS</v>
          </cell>
          <cell r="E240"/>
          <cell r="F240">
            <v>220</v>
          </cell>
          <cell r="G240" t="str">
            <v>SOLD</v>
          </cell>
          <cell r="H240" t="str">
            <v>OS</v>
          </cell>
          <cell r="I240" t="str">
            <v>OS</v>
          </cell>
          <cell r="J240" t="str">
            <v>OS</v>
          </cell>
          <cell r="K240" t="str">
            <v>OS</v>
          </cell>
          <cell r="L240" t="str">
            <v>OS</v>
          </cell>
          <cell r="M240" t="str">
            <v>OS</v>
          </cell>
          <cell r="N240" t="str">
            <v>OS</v>
          </cell>
          <cell r="O240" t="str">
            <v>OS</v>
          </cell>
          <cell r="P240" t="str">
            <v>OS</v>
          </cell>
          <cell r="Q240" t="str">
            <v>OS</v>
          </cell>
          <cell r="R240" t="str">
            <v>OS</v>
          </cell>
          <cell r="S240" t="str">
            <v>OS</v>
          </cell>
          <cell r="T240" t="str">
            <v>OS</v>
          </cell>
          <cell r="U240" t="str">
            <v>OS</v>
          </cell>
          <cell r="V240" t="str">
            <v>OS</v>
          </cell>
          <cell r="W240" t="str">
            <v>OS</v>
          </cell>
          <cell r="X240" t="str">
            <v>OS</v>
          </cell>
          <cell r="Y240" t="str">
            <v>OS</v>
          </cell>
          <cell r="Z240" t="str">
            <v>OS</v>
          </cell>
          <cell r="AA240" t="str">
            <v>OS</v>
          </cell>
          <cell r="AB240" t="str">
            <v>OS</v>
          </cell>
          <cell r="AC240" t="str">
            <v>OS</v>
          </cell>
          <cell r="AD240" t="str">
            <v>AGM-01-009-048</v>
          </cell>
          <cell r="AE240" t="str">
            <v xml:space="preserve">Raemulan Lands, Inc. </v>
          </cell>
          <cell r="AF240" t="str">
            <v>Agapeya</v>
          </cell>
          <cell r="AG240" t="str">
            <v>AGM</v>
          </cell>
          <cell r="AH240" t="str">
            <v>Eco-High</v>
          </cell>
          <cell r="AI240" t="str">
            <v>West</v>
          </cell>
          <cell r="AJ240" t="str">
            <v>With LTS</v>
          </cell>
          <cell r="AK240" t="str">
            <v>Unaffected lots</v>
          </cell>
          <cell r="AL240" t="str">
            <v>Unaffected lots</v>
          </cell>
          <cell r="AM240" t="b">
            <v>1</v>
          </cell>
          <cell r="AN240" t="str">
            <v>YES</v>
          </cell>
          <cell r="AO240" t="str">
            <v>2024 Batch</v>
          </cell>
          <cell r="AP240">
            <v>70</v>
          </cell>
          <cell r="AQ240" t="str">
            <v>PCS-04-034298</v>
          </cell>
          <cell r="AR240" t="b">
            <v>1</v>
          </cell>
          <cell r="AS240" t="str">
            <v>Done</v>
          </cell>
          <cell r="AT240" t="str">
            <v>2024 Batch</v>
          </cell>
          <cell r="AU240">
            <v>9</v>
          </cell>
          <cell r="AV240">
            <v>48</v>
          </cell>
          <cell r="AW240" t="str">
            <v>H+L</v>
          </cell>
          <cell r="AX240">
            <v>70</v>
          </cell>
          <cell r="AY240">
            <v>50</v>
          </cell>
          <cell r="AZ240" t="str">
            <v>Duplex</v>
          </cell>
          <cell r="BA240">
            <v>1</v>
          </cell>
          <cell r="BB240" t="str">
            <v>326 - With Partition</v>
          </cell>
          <cell r="BC240" t="str">
            <v xml:space="preserve">Without Partition </v>
          </cell>
          <cell r="BD240" t="str">
            <v>Slant</v>
          </cell>
          <cell r="BE240" t="str">
            <v xml:space="preserve">Without Partition </v>
          </cell>
          <cell r="BF240" t="str">
            <v>YELLOW</v>
          </cell>
          <cell r="BG240">
            <v>2500000</v>
          </cell>
          <cell r="BH240">
            <v>2650000</v>
          </cell>
          <cell r="BI240">
            <v>100000</v>
          </cell>
          <cell r="BJ240">
            <v>2550000</v>
          </cell>
          <cell r="BK240">
            <v>0</v>
          </cell>
          <cell r="BL240">
            <v>2550000</v>
          </cell>
        </row>
        <row r="241">
          <cell r="D241" t="str">
            <v>OS</v>
          </cell>
          <cell r="E241"/>
          <cell r="F241">
            <v>221</v>
          </cell>
          <cell r="G241" t="str">
            <v>SOLD</v>
          </cell>
          <cell r="H241" t="str">
            <v>OS</v>
          </cell>
          <cell r="I241" t="str">
            <v>OS</v>
          </cell>
          <cell r="J241" t="str">
            <v>OS</v>
          </cell>
          <cell r="K241" t="str">
            <v>OS</v>
          </cell>
          <cell r="L241" t="str">
            <v>OS</v>
          </cell>
          <cell r="M241" t="str">
            <v>OS</v>
          </cell>
          <cell r="N241" t="str">
            <v>OS</v>
          </cell>
          <cell r="O241" t="str">
            <v>OS</v>
          </cell>
          <cell r="P241" t="str">
            <v>OS</v>
          </cell>
          <cell r="Q241" t="str">
            <v>OS</v>
          </cell>
          <cell r="R241" t="str">
            <v>OS</v>
          </cell>
          <cell r="S241" t="str">
            <v>OS</v>
          </cell>
          <cell r="T241" t="str">
            <v>OS</v>
          </cell>
          <cell r="U241" t="str">
            <v>OS</v>
          </cell>
          <cell r="V241" t="str">
            <v>OS</v>
          </cell>
          <cell r="W241" t="str">
            <v>OS</v>
          </cell>
          <cell r="X241" t="str">
            <v>OS</v>
          </cell>
          <cell r="Y241" t="str">
            <v>OS</v>
          </cell>
          <cell r="Z241" t="str">
            <v>OS</v>
          </cell>
          <cell r="AA241" t="str">
            <v>OS</v>
          </cell>
          <cell r="AB241" t="str">
            <v>OS</v>
          </cell>
          <cell r="AC241" t="str">
            <v>OS</v>
          </cell>
          <cell r="AD241" t="str">
            <v>AGM-01-009-049</v>
          </cell>
          <cell r="AE241" t="str">
            <v xml:space="preserve">Raemulan Lands, Inc. </v>
          </cell>
          <cell r="AF241" t="str">
            <v>Agapeya</v>
          </cell>
          <cell r="AG241" t="str">
            <v>AGM</v>
          </cell>
          <cell r="AH241" t="str">
            <v>Eco-High</v>
          </cell>
          <cell r="AI241" t="str">
            <v>West</v>
          </cell>
          <cell r="AJ241" t="str">
            <v>With LTS</v>
          </cell>
          <cell r="AK241" t="str">
            <v>Unaffected lots</v>
          </cell>
          <cell r="AL241" t="str">
            <v>Unaffected lots</v>
          </cell>
          <cell r="AM241" t="b">
            <v>1</v>
          </cell>
          <cell r="AN241" t="str">
            <v>YES</v>
          </cell>
          <cell r="AO241" t="str">
            <v>2024 Batch</v>
          </cell>
          <cell r="AP241">
            <v>70</v>
          </cell>
          <cell r="AQ241" t="str">
            <v>PCS-04-034298</v>
          </cell>
          <cell r="AR241" t="b">
            <v>1</v>
          </cell>
          <cell r="AS241" t="str">
            <v>Done</v>
          </cell>
          <cell r="AT241" t="str">
            <v>2024 Batch</v>
          </cell>
          <cell r="AU241">
            <v>9</v>
          </cell>
          <cell r="AV241">
            <v>49</v>
          </cell>
          <cell r="AW241" t="str">
            <v>H+L</v>
          </cell>
          <cell r="AX241">
            <v>70</v>
          </cell>
          <cell r="AY241">
            <v>50</v>
          </cell>
          <cell r="AZ241" t="str">
            <v>Duplex</v>
          </cell>
          <cell r="BA241">
            <v>1</v>
          </cell>
          <cell r="BB241" t="str">
            <v>326 - With Partition</v>
          </cell>
          <cell r="BC241" t="str">
            <v>With Partition</v>
          </cell>
          <cell r="BD241" t="str">
            <v>Flat</v>
          </cell>
          <cell r="BE241" t="str">
            <v>With Partition</v>
          </cell>
          <cell r="BF241" t="str">
            <v>YELLOW</v>
          </cell>
          <cell r="BG241">
            <v>2707500</v>
          </cell>
          <cell r="BH241">
            <v>2850000</v>
          </cell>
          <cell r="BI241">
            <v>100000</v>
          </cell>
          <cell r="BJ241">
            <v>2750000</v>
          </cell>
          <cell r="BK241">
            <v>0</v>
          </cell>
          <cell r="BL241">
            <v>2750000</v>
          </cell>
        </row>
        <row r="242">
          <cell r="D242" t="str">
            <v>OS</v>
          </cell>
          <cell r="E242"/>
          <cell r="F242">
            <v>222</v>
          </cell>
          <cell r="G242" t="str">
            <v>SOLD</v>
          </cell>
          <cell r="H242" t="str">
            <v>OS</v>
          </cell>
          <cell r="I242" t="str">
            <v>OS</v>
          </cell>
          <cell r="J242" t="str">
            <v>OS</v>
          </cell>
          <cell r="K242" t="str">
            <v>OS</v>
          </cell>
          <cell r="L242" t="str">
            <v>OS</v>
          </cell>
          <cell r="M242" t="str">
            <v>OS</v>
          </cell>
          <cell r="N242" t="str">
            <v>OS</v>
          </cell>
          <cell r="O242" t="str">
            <v>OS</v>
          </cell>
          <cell r="P242" t="str">
            <v>OS</v>
          </cell>
          <cell r="Q242" t="str">
            <v>OS</v>
          </cell>
          <cell r="R242" t="str">
            <v>OS</v>
          </cell>
          <cell r="S242" t="str">
            <v>OS</v>
          </cell>
          <cell r="T242" t="str">
            <v>OS</v>
          </cell>
          <cell r="U242" t="str">
            <v>OS</v>
          </cell>
          <cell r="V242" t="str">
            <v>OS</v>
          </cell>
          <cell r="W242" t="str">
            <v>OS</v>
          </cell>
          <cell r="X242" t="str">
            <v>OS</v>
          </cell>
          <cell r="Y242" t="str">
            <v>OS</v>
          </cell>
          <cell r="Z242" t="str">
            <v>OS</v>
          </cell>
          <cell r="AA242" t="str">
            <v>OS</v>
          </cell>
          <cell r="AB242" t="str">
            <v>OS</v>
          </cell>
          <cell r="AC242" t="str">
            <v>OS</v>
          </cell>
          <cell r="AD242" t="str">
            <v>AGM-01-009-050</v>
          </cell>
          <cell r="AE242" t="str">
            <v xml:space="preserve">Raemulan Lands, Inc. </v>
          </cell>
          <cell r="AF242" t="str">
            <v>Agapeya</v>
          </cell>
          <cell r="AG242" t="str">
            <v>AGM</v>
          </cell>
          <cell r="AH242" t="str">
            <v>Eco-High</v>
          </cell>
          <cell r="AI242" t="str">
            <v>West</v>
          </cell>
          <cell r="AJ242" t="str">
            <v>With LTS</v>
          </cell>
          <cell r="AK242" t="str">
            <v>Unaffected lots</v>
          </cell>
          <cell r="AL242" t="str">
            <v>Unaffected lots</v>
          </cell>
          <cell r="AM242" t="b">
            <v>1</v>
          </cell>
          <cell r="AN242" t="str">
            <v>YES</v>
          </cell>
          <cell r="AO242" t="str">
            <v>2024 Batch</v>
          </cell>
          <cell r="AP242">
            <v>70</v>
          </cell>
          <cell r="AQ242" t="str">
            <v>PCS-04-034298</v>
          </cell>
          <cell r="AR242" t="b">
            <v>1</v>
          </cell>
          <cell r="AS242" t="str">
            <v>Done</v>
          </cell>
          <cell r="AT242" t="str">
            <v>2024 Batch</v>
          </cell>
          <cell r="AU242">
            <v>9</v>
          </cell>
          <cell r="AV242">
            <v>50</v>
          </cell>
          <cell r="AW242" t="str">
            <v>H+L</v>
          </cell>
          <cell r="AX242">
            <v>70</v>
          </cell>
          <cell r="AY242">
            <v>50</v>
          </cell>
          <cell r="AZ242" t="str">
            <v>Duplex</v>
          </cell>
          <cell r="BA242">
            <v>1</v>
          </cell>
          <cell r="BB242" t="str">
            <v>326 - With Partition</v>
          </cell>
          <cell r="BC242" t="str">
            <v>With Partition</v>
          </cell>
          <cell r="BD242" t="str">
            <v>Flat</v>
          </cell>
          <cell r="BE242" t="str">
            <v>With Partition</v>
          </cell>
          <cell r="BF242" t="str">
            <v>YELLOW</v>
          </cell>
          <cell r="BG242">
            <v>2707500</v>
          </cell>
          <cell r="BH242">
            <v>2850000</v>
          </cell>
          <cell r="BI242">
            <v>100000</v>
          </cell>
          <cell r="BJ242">
            <v>2750000</v>
          </cell>
          <cell r="BK242">
            <v>0</v>
          </cell>
          <cell r="BL242">
            <v>2750000</v>
          </cell>
        </row>
        <row r="243">
          <cell r="D243" t="str">
            <v>OS</v>
          </cell>
          <cell r="E243"/>
          <cell r="F243">
            <v>223</v>
          </cell>
          <cell r="G243" t="str">
            <v>SOLD</v>
          </cell>
          <cell r="H243" t="str">
            <v>OS</v>
          </cell>
          <cell r="I243" t="str">
            <v>OS</v>
          </cell>
          <cell r="J243" t="str">
            <v>OS</v>
          </cell>
          <cell r="K243" t="str">
            <v>OS</v>
          </cell>
          <cell r="L243" t="str">
            <v>OS</v>
          </cell>
          <cell r="M243" t="str">
            <v>OS</v>
          </cell>
          <cell r="N243" t="str">
            <v>OS</v>
          </cell>
          <cell r="O243" t="str">
            <v>OS</v>
          </cell>
          <cell r="P243" t="str">
            <v>OS</v>
          </cell>
          <cell r="Q243" t="str">
            <v>OS</v>
          </cell>
          <cell r="R243" t="str">
            <v>OS</v>
          </cell>
          <cell r="S243" t="str">
            <v>OS</v>
          </cell>
          <cell r="T243" t="str">
            <v>OS</v>
          </cell>
          <cell r="U243" t="str">
            <v>OS</v>
          </cell>
          <cell r="V243" t="str">
            <v>OS</v>
          </cell>
          <cell r="W243" t="str">
            <v>OS</v>
          </cell>
          <cell r="X243" t="str">
            <v>OS</v>
          </cell>
          <cell r="Y243" t="str">
            <v>OS</v>
          </cell>
          <cell r="Z243" t="str">
            <v>OS</v>
          </cell>
          <cell r="AA243" t="str">
            <v>OS</v>
          </cell>
          <cell r="AB243" t="str">
            <v>OS</v>
          </cell>
          <cell r="AC243" t="str">
            <v>OS</v>
          </cell>
          <cell r="AD243" t="str">
            <v>AGM-01-009-051</v>
          </cell>
          <cell r="AE243" t="str">
            <v xml:space="preserve">Raemulan Lands, Inc. </v>
          </cell>
          <cell r="AF243" t="str">
            <v>Agapeya</v>
          </cell>
          <cell r="AG243" t="str">
            <v>AGM</v>
          </cell>
          <cell r="AH243" t="str">
            <v>Eco-High</v>
          </cell>
          <cell r="AI243" t="str">
            <v>West</v>
          </cell>
          <cell r="AJ243" t="str">
            <v>With LTS</v>
          </cell>
          <cell r="AK243" t="str">
            <v>Unaffected lots</v>
          </cell>
          <cell r="AL243" t="str">
            <v>Unaffected lots</v>
          </cell>
          <cell r="AM243" t="b">
            <v>0</v>
          </cell>
          <cell r="AN243" t="str">
            <v>NO</v>
          </cell>
          <cell r="AO243" t="str">
            <v>2024 Batch</v>
          </cell>
          <cell r="AP243">
            <v>70</v>
          </cell>
          <cell r="AQ243" t="str">
            <v>PCS-04-034298</v>
          </cell>
          <cell r="AR243" t="b">
            <v>1</v>
          </cell>
          <cell r="AS243" t="str">
            <v>Done</v>
          </cell>
          <cell r="AT243" t="str">
            <v>2024 Batch</v>
          </cell>
          <cell r="AU243">
            <v>9</v>
          </cell>
          <cell r="AV243">
            <v>51</v>
          </cell>
          <cell r="AW243" t="str">
            <v>H+L</v>
          </cell>
          <cell r="AX243">
            <v>70</v>
          </cell>
          <cell r="AY243">
            <v>50</v>
          </cell>
          <cell r="AZ243" t="str">
            <v>Duplex</v>
          </cell>
          <cell r="BA243">
            <v>1</v>
          </cell>
          <cell r="BB243" t="str">
            <v>326 - With Partition</v>
          </cell>
          <cell r="BC243" t="str">
            <v>With Partition</v>
          </cell>
          <cell r="BD243" t="str">
            <v>Slant</v>
          </cell>
          <cell r="BE243" t="str">
            <v>With Partition</v>
          </cell>
          <cell r="BF243" t="str">
            <v>YELLOW</v>
          </cell>
          <cell r="BG243">
            <v>2707500</v>
          </cell>
          <cell r="BH243">
            <v>2850000</v>
          </cell>
          <cell r="BI243">
            <v>100000</v>
          </cell>
          <cell r="BJ243">
            <v>2750000</v>
          </cell>
          <cell r="BK243">
            <v>0</v>
          </cell>
          <cell r="BL243">
            <v>2750000</v>
          </cell>
        </row>
        <row r="244">
          <cell r="D244" t="str">
            <v>OS</v>
          </cell>
          <cell r="E244"/>
          <cell r="F244">
            <v>224</v>
          </cell>
          <cell r="G244" t="str">
            <v>SOLD</v>
          </cell>
          <cell r="H244" t="str">
            <v>OS</v>
          </cell>
          <cell r="I244" t="str">
            <v>OS</v>
          </cell>
          <cell r="J244" t="str">
            <v>OS</v>
          </cell>
          <cell r="K244" t="str">
            <v>OS</v>
          </cell>
          <cell r="L244" t="str">
            <v>OS</v>
          </cell>
          <cell r="M244" t="str">
            <v>OS</v>
          </cell>
          <cell r="N244" t="str">
            <v>OS</v>
          </cell>
          <cell r="O244" t="str">
            <v>OS</v>
          </cell>
          <cell r="P244" t="str">
            <v>OS</v>
          </cell>
          <cell r="Q244" t="str">
            <v>OS</v>
          </cell>
          <cell r="R244" t="str">
            <v>OS</v>
          </cell>
          <cell r="S244" t="str">
            <v>OS</v>
          </cell>
          <cell r="T244" t="str">
            <v>OS</v>
          </cell>
          <cell r="U244" t="str">
            <v>OS</v>
          </cell>
          <cell r="V244" t="str">
            <v>OS</v>
          </cell>
          <cell r="W244" t="str">
            <v>OS</v>
          </cell>
          <cell r="X244" t="str">
            <v>OS</v>
          </cell>
          <cell r="Y244" t="str">
            <v>OS</v>
          </cell>
          <cell r="Z244" t="str">
            <v>OS</v>
          </cell>
          <cell r="AA244" t="str">
            <v>OS</v>
          </cell>
          <cell r="AB244" t="str">
            <v>OS</v>
          </cell>
          <cell r="AC244" t="str">
            <v>OS</v>
          </cell>
          <cell r="AD244" t="str">
            <v>AGM-01-009-052</v>
          </cell>
          <cell r="AE244" t="str">
            <v xml:space="preserve">Raemulan Lands, Inc. </v>
          </cell>
          <cell r="AF244" t="str">
            <v>Agapeya</v>
          </cell>
          <cell r="AG244" t="str">
            <v>AGM</v>
          </cell>
          <cell r="AH244" t="str">
            <v>Eco-High</v>
          </cell>
          <cell r="AI244" t="str">
            <v>West</v>
          </cell>
          <cell r="AJ244" t="str">
            <v>With LTS</v>
          </cell>
          <cell r="AK244" t="str">
            <v>Unaffected lots</v>
          </cell>
          <cell r="AL244" t="str">
            <v>Unaffected lots</v>
          </cell>
          <cell r="AM244" t="b">
            <v>1</v>
          </cell>
          <cell r="AN244" t="str">
            <v>NO</v>
          </cell>
          <cell r="AO244" t="str">
            <v>2024 Batch</v>
          </cell>
          <cell r="AP244">
            <v>70</v>
          </cell>
          <cell r="AQ244" t="str">
            <v>PCS-04-035875</v>
          </cell>
          <cell r="AR244" t="b">
            <v>1</v>
          </cell>
          <cell r="AS244" t="str">
            <v>Done</v>
          </cell>
          <cell r="AT244" t="str">
            <v>2024 Batch</v>
          </cell>
          <cell r="AU244">
            <v>9</v>
          </cell>
          <cell r="AV244">
            <v>52</v>
          </cell>
          <cell r="AW244" t="str">
            <v>H+L</v>
          </cell>
          <cell r="AX244">
            <v>70</v>
          </cell>
          <cell r="AY244">
            <v>50</v>
          </cell>
          <cell r="AZ244" t="str">
            <v>Duplex</v>
          </cell>
          <cell r="BA244">
            <v>1</v>
          </cell>
          <cell r="BB244" t="str">
            <v>326 - With Partition</v>
          </cell>
          <cell r="BC244" t="str">
            <v>With Partition</v>
          </cell>
          <cell r="BD244" t="str">
            <v>Slant</v>
          </cell>
          <cell r="BE244" t="str">
            <v>With Partition</v>
          </cell>
          <cell r="BF244" t="str">
            <v>PINK</v>
          </cell>
          <cell r="BG244">
            <v>2707500</v>
          </cell>
          <cell r="BH244">
            <v>2850000</v>
          </cell>
          <cell r="BI244">
            <v>100000</v>
          </cell>
          <cell r="BJ244">
            <v>2750000</v>
          </cell>
          <cell r="BK244">
            <v>0</v>
          </cell>
          <cell r="BL244">
            <v>2750000</v>
          </cell>
        </row>
        <row r="245">
          <cell r="D245" t="str">
            <v>OS</v>
          </cell>
          <cell r="E245"/>
          <cell r="F245">
            <v>225</v>
          </cell>
          <cell r="G245" t="str">
            <v>SOLD</v>
          </cell>
          <cell r="H245" t="str">
            <v>OS</v>
          </cell>
          <cell r="I245" t="str">
            <v>OS</v>
          </cell>
          <cell r="J245" t="str">
            <v>OS</v>
          </cell>
          <cell r="K245" t="str">
            <v>OS</v>
          </cell>
          <cell r="L245" t="str">
            <v>OS</v>
          </cell>
          <cell r="M245" t="str">
            <v>OS</v>
          </cell>
          <cell r="N245" t="str">
            <v>OS</v>
          </cell>
          <cell r="O245" t="str">
            <v>OS</v>
          </cell>
          <cell r="P245" t="str">
            <v>OS</v>
          </cell>
          <cell r="Q245" t="str">
            <v>OS</v>
          </cell>
          <cell r="R245" t="str">
            <v>OS</v>
          </cell>
          <cell r="S245" t="str">
            <v>OS</v>
          </cell>
          <cell r="T245" t="str">
            <v>OS</v>
          </cell>
          <cell r="U245" t="str">
            <v>OS</v>
          </cell>
          <cell r="V245" t="str">
            <v>OS</v>
          </cell>
          <cell r="W245" t="str">
            <v>OS</v>
          </cell>
          <cell r="X245" t="str">
            <v>OS</v>
          </cell>
          <cell r="Y245" t="str">
            <v>OS</v>
          </cell>
          <cell r="Z245" t="str">
            <v>OS</v>
          </cell>
          <cell r="AA245" t="str">
            <v>OS</v>
          </cell>
          <cell r="AB245" t="str">
            <v>OS</v>
          </cell>
          <cell r="AC245" t="str">
            <v>OS</v>
          </cell>
          <cell r="AD245" t="str">
            <v>AGM-01-009-053</v>
          </cell>
          <cell r="AE245" t="str">
            <v xml:space="preserve">Raemulan Lands, Inc. </v>
          </cell>
          <cell r="AF245" t="str">
            <v>Agapeya</v>
          </cell>
          <cell r="AG245" t="str">
            <v>AGM</v>
          </cell>
          <cell r="AH245" t="str">
            <v>Eco-High</v>
          </cell>
          <cell r="AI245" t="str">
            <v>West</v>
          </cell>
          <cell r="AJ245" t="str">
            <v>With LTS</v>
          </cell>
          <cell r="AK245" t="str">
            <v>Unaffected lots</v>
          </cell>
          <cell r="AL245" t="str">
            <v>Unaffected lots</v>
          </cell>
          <cell r="AM245" t="b">
            <v>1</v>
          </cell>
          <cell r="AN245" t="str">
            <v>YES</v>
          </cell>
          <cell r="AO245" t="str">
            <v>2024 Batch</v>
          </cell>
          <cell r="AP245">
            <v>70</v>
          </cell>
          <cell r="AQ245" t="str">
            <v>PCS-04-034407</v>
          </cell>
          <cell r="AR245" t="b">
            <v>1</v>
          </cell>
          <cell r="AS245" t="str">
            <v>Done</v>
          </cell>
          <cell r="AT245" t="str">
            <v>2024 Batch</v>
          </cell>
          <cell r="AU245">
            <v>9</v>
          </cell>
          <cell r="AV245">
            <v>53</v>
          </cell>
          <cell r="AW245" t="str">
            <v>H+L</v>
          </cell>
          <cell r="AX245">
            <v>70</v>
          </cell>
          <cell r="AY245">
            <v>50</v>
          </cell>
          <cell r="AZ245" t="str">
            <v>Duplex</v>
          </cell>
          <cell r="BA245">
            <v>1</v>
          </cell>
          <cell r="BB245" t="str">
            <v>326 - With Partition</v>
          </cell>
          <cell r="BC245" t="str">
            <v>With Partition</v>
          </cell>
          <cell r="BD245" t="str">
            <v>Flat</v>
          </cell>
          <cell r="BE245" t="str">
            <v>With Partition</v>
          </cell>
          <cell r="BF245" t="str">
            <v>PINK</v>
          </cell>
          <cell r="BG245">
            <v>2707500</v>
          </cell>
          <cell r="BH245">
            <v>2850000</v>
          </cell>
          <cell r="BI245">
            <v>100000</v>
          </cell>
          <cell r="BJ245">
            <v>2750000</v>
          </cell>
          <cell r="BK245">
            <v>0</v>
          </cell>
          <cell r="BL245">
            <v>2750000</v>
          </cell>
        </row>
        <row r="246">
          <cell r="D246" t="str">
            <v>OS</v>
          </cell>
          <cell r="E246"/>
          <cell r="F246">
            <v>226</v>
          </cell>
          <cell r="G246" t="str">
            <v>SOLD</v>
          </cell>
          <cell r="H246" t="str">
            <v>OS</v>
          </cell>
          <cell r="I246" t="str">
            <v>OS</v>
          </cell>
          <cell r="J246" t="str">
            <v>OS</v>
          </cell>
          <cell r="K246" t="str">
            <v>OS</v>
          </cell>
          <cell r="L246" t="str">
            <v>OS</v>
          </cell>
          <cell r="M246" t="str">
            <v>OS</v>
          </cell>
          <cell r="N246" t="str">
            <v>OS</v>
          </cell>
          <cell r="O246" t="str">
            <v>OS</v>
          </cell>
          <cell r="P246" t="str">
            <v>OS</v>
          </cell>
          <cell r="Q246" t="str">
            <v>OS</v>
          </cell>
          <cell r="R246" t="str">
            <v>OS</v>
          </cell>
          <cell r="S246" t="str">
            <v>OS</v>
          </cell>
          <cell r="T246" t="str">
            <v>OS</v>
          </cell>
          <cell r="U246" t="str">
            <v>OS</v>
          </cell>
          <cell r="V246" t="str">
            <v>OS</v>
          </cell>
          <cell r="W246" t="str">
            <v>OS</v>
          </cell>
          <cell r="X246" t="str">
            <v>OS</v>
          </cell>
          <cell r="Y246" t="str">
            <v>OS</v>
          </cell>
          <cell r="Z246" t="str">
            <v>OS</v>
          </cell>
          <cell r="AA246" t="str">
            <v>OS</v>
          </cell>
          <cell r="AB246" t="str">
            <v>OS</v>
          </cell>
          <cell r="AC246" t="str">
            <v>OS</v>
          </cell>
          <cell r="AD246" t="str">
            <v>AGM-01-009-054</v>
          </cell>
          <cell r="AE246" t="str">
            <v xml:space="preserve">Raemulan Lands, Inc. </v>
          </cell>
          <cell r="AF246" t="str">
            <v>Agapeya</v>
          </cell>
          <cell r="AG246" t="str">
            <v>AGM</v>
          </cell>
          <cell r="AH246" t="str">
            <v>Eco-High</v>
          </cell>
          <cell r="AI246" t="str">
            <v>West</v>
          </cell>
          <cell r="AJ246" t="str">
            <v>With LTS</v>
          </cell>
          <cell r="AK246" t="str">
            <v>Unaffected lots</v>
          </cell>
          <cell r="AL246" t="str">
            <v>Unaffected lots</v>
          </cell>
          <cell r="AM246" t="b">
            <v>1</v>
          </cell>
          <cell r="AN246" t="str">
            <v>YES</v>
          </cell>
          <cell r="AO246" t="str">
            <v>2024 Batch</v>
          </cell>
          <cell r="AP246">
            <v>70</v>
          </cell>
          <cell r="AQ246" t="str">
            <v>PCS-04-034407</v>
          </cell>
          <cell r="AR246" t="b">
            <v>1</v>
          </cell>
          <cell r="AS246" t="str">
            <v>Done</v>
          </cell>
          <cell r="AT246" t="str">
            <v>2024 Batch</v>
          </cell>
          <cell r="AU246">
            <v>9</v>
          </cell>
          <cell r="AV246">
            <v>54</v>
          </cell>
          <cell r="AW246" t="str">
            <v>H+L</v>
          </cell>
          <cell r="AX246">
            <v>70</v>
          </cell>
          <cell r="AY246">
            <v>50</v>
          </cell>
          <cell r="AZ246" t="str">
            <v>Duplex</v>
          </cell>
          <cell r="BA246">
            <v>1</v>
          </cell>
          <cell r="BB246" t="str">
            <v>326 - With Partition</v>
          </cell>
          <cell r="BC246" t="str">
            <v>With Partition</v>
          </cell>
          <cell r="BD246" t="str">
            <v>Flat</v>
          </cell>
          <cell r="BE246" t="str">
            <v>With Partition</v>
          </cell>
          <cell r="BF246" t="str">
            <v>PINK</v>
          </cell>
          <cell r="BG246">
            <v>2750000</v>
          </cell>
          <cell r="BH246">
            <v>2850000</v>
          </cell>
          <cell r="BI246">
            <v>100000</v>
          </cell>
          <cell r="BJ246">
            <v>2750000</v>
          </cell>
          <cell r="BK246">
            <v>0</v>
          </cell>
          <cell r="BL246">
            <v>2750000</v>
          </cell>
        </row>
        <row r="247">
          <cell r="D247" t="str">
            <v>OS</v>
          </cell>
          <cell r="E247"/>
          <cell r="F247">
            <v>227</v>
          </cell>
          <cell r="G247" t="str">
            <v>SOLD</v>
          </cell>
          <cell r="H247" t="str">
            <v>OS</v>
          </cell>
          <cell r="I247" t="str">
            <v>OS</v>
          </cell>
          <cell r="J247" t="str">
            <v>OS</v>
          </cell>
          <cell r="K247" t="str">
            <v>OS</v>
          </cell>
          <cell r="L247" t="str">
            <v>OS</v>
          </cell>
          <cell r="M247" t="str">
            <v>OS</v>
          </cell>
          <cell r="N247" t="str">
            <v>OS</v>
          </cell>
          <cell r="O247" t="str">
            <v>OS</v>
          </cell>
          <cell r="P247" t="str">
            <v>OS</v>
          </cell>
          <cell r="Q247" t="str">
            <v>OS</v>
          </cell>
          <cell r="R247" t="str">
            <v>OS</v>
          </cell>
          <cell r="S247" t="str">
            <v>OS</v>
          </cell>
          <cell r="T247" t="str">
            <v>OS</v>
          </cell>
          <cell r="U247" t="str">
            <v>OS</v>
          </cell>
          <cell r="V247" t="str">
            <v>OS</v>
          </cell>
          <cell r="W247" t="str">
            <v>OS</v>
          </cell>
          <cell r="X247" t="str">
            <v>OS</v>
          </cell>
          <cell r="Y247" t="str">
            <v>OS</v>
          </cell>
          <cell r="Z247" t="str">
            <v>OS</v>
          </cell>
          <cell r="AA247" t="str">
            <v>OS</v>
          </cell>
          <cell r="AB247" t="str">
            <v>OS</v>
          </cell>
          <cell r="AC247" t="str">
            <v>OS</v>
          </cell>
          <cell r="AD247" t="str">
            <v>AGM-01-009-055</v>
          </cell>
          <cell r="AE247" t="str">
            <v xml:space="preserve">Raemulan Lands, Inc. </v>
          </cell>
          <cell r="AF247" t="str">
            <v>Agapeya</v>
          </cell>
          <cell r="AG247" t="str">
            <v>AGM</v>
          </cell>
          <cell r="AH247" t="str">
            <v>Eco-High</v>
          </cell>
          <cell r="AI247" t="str">
            <v>West</v>
          </cell>
          <cell r="AJ247" t="str">
            <v>With LTS</v>
          </cell>
          <cell r="AK247" t="str">
            <v>Unaffected lots</v>
          </cell>
          <cell r="AL247" t="str">
            <v>Unaffected lots</v>
          </cell>
          <cell r="AM247" t="b">
            <v>1</v>
          </cell>
          <cell r="AN247" t="str">
            <v>YES</v>
          </cell>
          <cell r="AO247" t="str">
            <v>2024 Batch</v>
          </cell>
          <cell r="AP247">
            <v>88</v>
          </cell>
          <cell r="AQ247" t="str">
            <v>PCS-04-034407</v>
          </cell>
          <cell r="AR247" t="b">
            <v>1</v>
          </cell>
          <cell r="AS247" t="str">
            <v>Done</v>
          </cell>
          <cell r="AT247" t="str">
            <v>2024 Batch</v>
          </cell>
          <cell r="AU247">
            <v>9</v>
          </cell>
          <cell r="AV247">
            <v>55</v>
          </cell>
          <cell r="AW247" t="str">
            <v>H+L</v>
          </cell>
          <cell r="AX247">
            <v>88</v>
          </cell>
          <cell r="AY247">
            <v>50</v>
          </cell>
          <cell r="AZ247" t="str">
            <v>Duplex</v>
          </cell>
          <cell r="BA247">
            <v>1</v>
          </cell>
          <cell r="BB247" t="str">
            <v>326 - With Partition</v>
          </cell>
          <cell r="BC247" t="str">
            <v>With Partition</v>
          </cell>
          <cell r="BD247" t="str">
            <v>Slant</v>
          </cell>
          <cell r="BE247" t="str">
            <v>With Partition</v>
          </cell>
          <cell r="BF247" t="str">
            <v>PINK</v>
          </cell>
          <cell r="BG247">
            <v>2726500</v>
          </cell>
          <cell r="BH247">
            <v>3120000</v>
          </cell>
          <cell r="BI247">
            <v>100000</v>
          </cell>
          <cell r="BJ247">
            <v>3020000</v>
          </cell>
          <cell r="BK247">
            <v>0</v>
          </cell>
          <cell r="BL247">
            <v>3020000</v>
          </cell>
        </row>
        <row r="248">
          <cell r="D248" t="str">
            <v>OS</v>
          </cell>
          <cell r="E248"/>
          <cell r="F248">
            <v>228</v>
          </cell>
          <cell r="G248" t="str">
            <v>SOLD</v>
          </cell>
          <cell r="H248" t="str">
            <v>OS</v>
          </cell>
          <cell r="I248" t="str">
            <v>OS</v>
          </cell>
          <cell r="J248" t="str">
            <v>OS</v>
          </cell>
          <cell r="K248" t="str">
            <v>OS</v>
          </cell>
          <cell r="L248" t="str">
            <v>OS</v>
          </cell>
          <cell r="M248" t="str">
            <v>OS</v>
          </cell>
          <cell r="N248" t="str">
            <v>OS</v>
          </cell>
          <cell r="O248" t="str">
            <v>OS</v>
          </cell>
          <cell r="P248" t="str">
            <v>OS</v>
          </cell>
          <cell r="Q248" t="str">
            <v>OS</v>
          </cell>
          <cell r="R248" t="str">
            <v>OS</v>
          </cell>
          <cell r="S248" t="str">
            <v>OS</v>
          </cell>
          <cell r="T248" t="str">
            <v>OS</v>
          </cell>
          <cell r="U248" t="str">
            <v>OS</v>
          </cell>
          <cell r="V248" t="str">
            <v>OS</v>
          </cell>
          <cell r="W248" t="str">
            <v>OS</v>
          </cell>
          <cell r="X248" t="str">
            <v>OS</v>
          </cell>
          <cell r="Y248" t="str">
            <v>OS</v>
          </cell>
          <cell r="Z248" t="str">
            <v>OS</v>
          </cell>
          <cell r="AA248" t="str">
            <v>OS</v>
          </cell>
          <cell r="AB248" t="str">
            <v>OS</v>
          </cell>
          <cell r="AC248" t="str">
            <v>OS</v>
          </cell>
          <cell r="AD248" t="str">
            <v>AGM-01-010-001</v>
          </cell>
          <cell r="AE248" t="str">
            <v xml:space="preserve">Raemulan Lands, Inc. </v>
          </cell>
          <cell r="AF248" t="str">
            <v>Agapeya</v>
          </cell>
          <cell r="AG248" t="str">
            <v>AGM</v>
          </cell>
          <cell r="AH248" t="str">
            <v>Eco-High</v>
          </cell>
          <cell r="AI248" t="str">
            <v>West</v>
          </cell>
          <cell r="AJ248" t="str">
            <v>With LTS</v>
          </cell>
          <cell r="AK248" t="str">
            <v>Unaffected lots</v>
          </cell>
          <cell r="AL248" t="str">
            <v>Unaffected lots</v>
          </cell>
          <cell r="AM248" t="b">
            <v>1</v>
          </cell>
          <cell r="AN248" t="str">
            <v>YES</v>
          </cell>
          <cell r="AO248" t="str">
            <v>B3 2025</v>
          </cell>
          <cell r="AP248">
            <v>88</v>
          </cell>
          <cell r="AQ248" t="str">
            <v>PCS-04-034407</v>
          </cell>
          <cell r="AR248" t="b">
            <v>1</v>
          </cell>
          <cell r="AS248" t="str">
            <v>Done</v>
          </cell>
          <cell r="AT248" t="str">
            <v>2025 - Batch 4</v>
          </cell>
          <cell r="AU248">
            <v>10</v>
          </cell>
          <cell r="AV248">
            <v>1</v>
          </cell>
          <cell r="AW248" t="str">
            <v>H+L</v>
          </cell>
          <cell r="AX248">
            <v>88</v>
          </cell>
          <cell r="AY248">
            <v>50</v>
          </cell>
          <cell r="AZ248" t="str">
            <v>Duplex</v>
          </cell>
          <cell r="BA248">
            <v>1</v>
          </cell>
          <cell r="BB248" t="str">
            <v>568 - Without Partition</v>
          </cell>
          <cell r="BC248" t="str">
            <v xml:space="preserve">Without Partition </v>
          </cell>
          <cell r="BD248" t="str">
            <v>Slant</v>
          </cell>
          <cell r="BE248" t="str">
            <v xml:space="preserve">Without Partition </v>
          </cell>
          <cell r="BF248" t="str">
            <v>YELLOW</v>
          </cell>
          <cell r="BG248">
            <v>2770000</v>
          </cell>
          <cell r="BH248">
            <v>2920000</v>
          </cell>
          <cell r="BI248">
            <v>100000</v>
          </cell>
          <cell r="BJ248">
            <v>2820000</v>
          </cell>
          <cell r="BK248">
            <v>0</v>
          </cell>
          <cell r="BL248">
            <v>2820000</v>
          </cell>
        </row>
        <row r="249">
          <cell r="D249" t="str">
            <v>OS</v>
          </cell>
          <cell r="E249"/>
          <cell r="F249">
            <v>229</v>
          </cell>
          <cell r="G249" t="str">
            <v>SOLD</v>
          </cell>
          <cell r="H249" t="str">
            <v>OS</v>
          </cell>
          <cell r="I249" t="str">
            <v>OS</v>
          </cell>
          <cell r="J249" t="str">
            <v>OS</v>
          </cell>
          <cell r="K249" t="str">
            <v>OS</v>
          </cell>
          <cell r="L249" t="str">
            <v>OS</v>
          </cell>
          <cell r="M249" t="str">
            <v>OS</v>
          </cell>
          <cell r="N249" t="str">
            <v>OS</v>
          </cell>
          <cell r="O249" t="str">
            <v>OS</v>
          </cell>
          <cell r="P249" t="str">
            <v>OS</v>
          </cell>
          <cell r="Q249" t="str">
            <v>OS</v>
          </cell>
          <cell r="R249" t="str">
            <v>OS</v>
          </cell>
          <cell r="S249" t="str">
            <v>OS</v>
          </cell>
          <cell r="T249" t="str">
            <v>OS</v>
          </cell>
          <cell r="U249" t="str">
            <v>OS</v>
          </cell>
          <cell r="V249" t="str">
            <v>OS</v>
          </cell>
          <cell r="W249" t="str">
            <v>OS</v>
          </cell>
          <cell r="X249" t="str">
            <v>OS</v>
          </cell>
          <cell r="Y249" t="str">
            <v>OS</v>
          </cell>
          <cell r="Z249" t="str">
            <v>OS</v>
          </cell>
          <cell r="AA249" t="str">
            <v>OS</v>
          </cell>
          <cell r="AB249" t="str">
            <v>OS</v>
          </cell>
          <cell r="AC249" t="str">
            <v>OS</v>
          </cell>
          <cell r="AD249" t="str">
            <v>AGM-01-010-002</v>
          </cell>
          <cell r="AE249" t="str">
            <v xml:space="preserve">Raemulan Lands, Inc. </v>
          </cell>
          <cell r="AF249" t="str">
            <v>Agapeya</v>
          </cell>
          <cell r="AG249" t="str">
            <v>AGM</v>
          </cell>
          <cell r="AH249" t="str">
            <v>Eco-High</v>
          </cell>
          <cell r="AI249" t="str">
            <v>West</v>
          </cell>
          <cell r="AJ249" t="str">
            <v>With LTS</v>
          </cell>
          <cell r="AK249" t="str">
            <v>Unaffected lots</v>
          </cell>
          <cell r="AL249" t="str">
            <v>Unaffected lots</v>
          </cell>
          <cell r="AM249" t="b">
            <v>1</v>
          </cell>
          <cell r="AN249" t="str">
            <v>YES</v>
          </cell>
          <cell r="AO249" t="str">
            <v>B3 2025</v>
          </cell>
          <cell r="AP249">
            <v>70</v>
          </cell>
          <cell r="AQ249" t="str">
            <v>PCS-04-034407</v>
          </cell>
          <cell r="AR249" t="b">
            <v>1</v>
          </cell>
          <cell r="AS249" t="str">
            <v>Done</v>
          </cell>
          <cell r="AT249" t="str">
            <v>2025 - Batch 4</v>
          </cell>
          <cell r="AU249">
            <v>10</v>
          </cell>
          <cell r="AV249">
            <v>2</v>
          </cell>
          <cell r="AW249" t="str">
            <v>H+L</v>
          </cell>
          <cell r="AX249">
            <v>70</v>
          </cell>
          <cell r="AY249">
            <v>50</v>
          </cell>
          <cell r="AZ249" t="str">
            <v>Duplex</v>
          </cell>
          <cell r="BA249">
            <v>1</v>
          </cell>
          <cell r="BB249" t="str">
            <v>568 - Without Partition</v>
          </cell>
          <cell r="BC249" t="str">
            <v xml:space="preserve">Without Partition </v>
          </cell>
          <cell r="BD249" t="str">
            <v>Flat</v>
          </cell>
          <cell r="BE249" t="str">
            <v xml:space="preserve">Without Partition </v>
          </cell>
          <cell r="BF249" t="str">
            <v>YELLOW</v>
          </cell>
          <cell r="BG249">
            <v>2550000</v>
          </cell>
          <cell r="BH249">
            <v>2650000</v>
          </cell>
          <cell r="BI249">
            <v>100000</v>
          </cell>
          <cell r="BJ249">
            <v>2550000</v>
          </cell>
          <cell r="BK249">
            <v>0</v>
          </cell>
          <cell r="BL249">
            <v>2550000</v>
          </cell>
        </row>
        <row r="250">
          <cell r="D250" t="str">
            <v>OS</v>
          </cell>
          <cell r="E250"/>
          <cell r="F250">
            <v>230</v>
          </cell>
          <cell r="G250" t="str">
            <v>SOLD</v>
          </cell>
          <cell r="H250" t="str">
            <v>OS</v>
          </cell>
          <cell r="I250" t="str">
            <v>OS</v>
          </cell>
          <cell r="J250" t="str">
            <v>OS</v>
          </cell>
          <cell r="K250" t="str">
            <v>OS</v>
          </cell>
          <cell r="L250" t="str">
            <v>OS</v>
          </cell>
          <cell r="M250" t="str">
            <v>OS</v>
          </cell>
          <cell r="N250" t="str">
            <v>OS</v>
          </cell>
          <cell r="O250" t="str">
            <v>OS</v>
          </cell>
          <cell r="P250" t="str">
            <v>OS</v>
          </cell>
          <cell r="Q250" t="str">
            <v>OS</v>
          </cell>
          <cell r="R250" t="str">
            <v>OS</v>
          </cell>
          <cell r="S250" t="str">
            <v>OS</v>
          </cell>
          <cell r="T250" t="str">
            <v>OS</v>
          </cell>
          <cell r="U250" t="str">
            <v>OS</v>
          </cell>
          <cell r="V250" t="str">
            <v>OS</v>
          </cell>
          <cell r="W250" t="str">
            <v>OS</v>
          </cell>
          <cell r="X250" t="str">
            <v>OS</v>
          </cell>
          <cell r="Y250" t="str">
            <v>OS</v>
          </cell>
          <cell r="Z250" t="str">
            <v>OS</v>
          </cell>
          <cell r="AA250" t="str">
            <v>OS</v>
          </cell>
          <cell r="AB250" t="str">
            <v>OS</v>
          </cell>
          <cell r="AC250" t="str">
            <v>OS</v>
          </cell>
          <cell r="AD250" t="str">
            <v>AGM-01-010-003</v>
          </cell>
          <cell r="AE250" t="str">
            <v xml:space="preserve">Raemulan Lands, Inc. </v>
          </cell>
          <cell r="AF250" t="str">
            <v>Agapeya</v>
          </cell>
          <cell r="AG250" t="str">
            <v>AGM</v>
          </cell>
          <cell r="AH250" t="str">
            <v>Eco-High</v>
          </cell>
          <cell r="AI250" t="str">
            <v>West</v>
          </cell>
          <cell r="AJ250" t="str">
            <v>With LTS</v>
          </cell>
          <cell r="AK250" t="str">
            <v>Unaffected lots</v>
          </cell>
          <cell r="AL250" t="str">
            <v>Unaffected lots</v>
          </cell>
          <cell r="AM250" t="b">
            <v>1</v>
          </cell>
          <cell r="AN250" t="str">
            <v>YES</v>
          </cell>
          <cell r="AO250" t="str">
            <v>B3 2025</v>
          </cell>
          <cell r="AP250">
            <v>70</v>
          </cell>
          <cell r="AQ250" t="str">
            <v>PCS-04-034407</v>
          </cell>
          <cell r="AR250" t="b">
            <v>1</v>
          </cell>
          <cell r="AS250" t="str">
            <v>Done</v>
          </cell>
          <cell r="AT250" t="str">
            <v>2025 - Batch 4</v>
          </cell>
          <cell r="AU250">
            <v>10</v>
          </cell>
          <cell r="AV250">
            <v>3</v>
          </cell>
          <cell r="AW250" t="str">
            <v>H+L</v>
          </cell>
          <cell r="AX250">
            <v>70</v>
          </cell>
          <cell r="AY250">
            <v>50</v>
          </cell>
          <cell r="AZ250" t="str">
            <v>Duplex</v>
          </cell>
          <cell r="BA250">
            <v>1</v>
          </cell>
          <cell r="BB250" t="str">
            <v>568 - Without Partition</v>
          </cell>
          <cell r="BC250" t="str">
            <v xml:space="preserve">Without Partition </v>
          </cell>
          <cell r="BD250" t="str">
            <v>Flat</v>
          </cell>
          <cell r="BE250" t="str">
            <v xml:space="preserve">Without Partition </v>
          </cell>
          <cell r="BF250" t="str">
            <v>YELLOW</v>
          </cell>
          <cell r="BG250">
            <v>2500000</v>
          </cell>
          <cell r="BH250">
            <v>2650000</v>
          </cell>
          <cell r="BI250">
            <v>100000</v>
          </cell>
          <cell r="BJ250">
            <v>2550000</v>
          </cell>
          <cell r="BK250">
            <v>0</v>
          </cell>
          <cell r="BL250">
            <v>2550000</v>
          </cell>
        </row>
        <row r="251">
          <cell r="D251" t="str">
            <v>OS</v>
          </cell>
          <cell r="E251"/>
          <cell r="F251">
            <v>231</v>
          </cell>
          <cell r="G251" t="str">
            <v>CLOSED</v>
          </cell>
          <cell r="H251" t="str">
            <v>TS</v>
          </cell>
          <cell r="I251" t="str">
            <v>TS</v>
          </cell>
          <cell r="J251" t="str">
            <v>TS</v>
          </cell>
          <cell r="K251" t="str">
            <v>TS</v>
          </cell>
          <cell r="L251" t="str">
            <v>TS</v>
          </cell>
          <cell r="M251" t="str">
            <v>TS</v>
          </cell>
          <cell r="N251" t="str">
            <v>TS</v>
          </cell>
          <cell r="O251" t="str">
            <v>TS</v>
          </cell>
          <cell r="P251" t="str">
            <v>OS</v>
          </cell>
          <cell r="Q251" t="str">
            <v>OS</v>
          </cell>
          <cell r="R251" t="str">
            <v>OS</v>
          </cell>
          <cell r="S251" t="str">
            <v>OS</v>
          </cell>
          <cell r="T251" t="str">
            <v>OS</v>
          </cell>
          <cell r="U251" t="str">
            <v>OS</v>
          </cell>
          <cell r="V251" t="str">
            <v>OS</v>
          </cell>
          <cell r="W251" t="str">
            <v>OS</v>
          </cell>
          <cell r="X251" t="str">
            <v>OS</v>
          </cell>
          <cell r="Y251" t="str">
            <v>OS</v>
          </cell>
          <cell r="Z251" t="str">
            <v>OS</v>
          </cell>
          <cell r="AA251" t="str">
            <v>OS</v>
          </cell>
          <cell r="AB251" t="str">
            <v>OS</v>
          </cell>
          <cell r="AC251" t="str">
            <v>OS</v>
          </cell>
          <cell r="AD251" t="str">
            <v>AGM-01-010-004</v>
          </cell>
          <cell r="AE251" t="str">
            <v xml:space="preserve">Raemulan Lands, Inc. </v>
          </cell>
          <cell r="AF251" t="str">
            <v>Agapeya</v>
          </cell>
          <cell r="AG251" t="str">
            <v>AGM</v>
          </cell>
          <cell r="AH251" t="str">
            <v>Eco-High</v>
          </cell>
          <cell r="AI251" t="str">
            <v>West</v>
          </cell>
          <cell r="AJ251" t="str">
            <v>With LTS</v>
          </cell>
          <cell r="AK251" t="str">
            <v>Unaffected lots</v>
          </cell>
          <cell r="AL251" t="str">
            <v>Unaffected lots</v>
          </cell>
          <cell r="AM251" t="b">
            <v>1</v>
          </cell>
          <cell r="AN251" t="str">
            <v>YES</v>
          </cell>
          <cell r="AO251" t="str">
            <v>B3 2025</v>
          </cell>
          <cell r="AP251">
            <v>70</v>
          </cell>
          <cell r="AQ251" t="str">
            <v>PCS-04-034407</v>
          </cell>
          <cell r="AR251" t="b">
            <v>1</v>
          </cell>
          <cell r="AS251" t="str">
            <v>Done</v>
          </cell>
          <cell r="AT251" t="str">
            <v>2025 - Batch 4</v>
          </cell>
          <cell r="AU251">
            <v>10</v>
          </cell>
          <cell r="AV251">
            <v>4</v>
          </cell>
          <cell r="AW251" t="str">
            <v>H+L</v>
          </cell>
          <cell r="AX251">
            <v>70</v>
          </cell>
          <cell r="AY251">
            <v>50</v>
          </cell>
          <cell r="AZ251" t="str">
            <v>Duplex</v>
          </cell>
          <cell r="BA251">
            <v>1</v>
          </cell>
          <cell r="BB251" t="str">
            <v>568 - Without Partition</v>
          </cell>
          <cell r="BC251" t="str">
            <v xml:space="preserve">Without Partition </v>
          </cell>
          <cell r="BD251" t="str">
            <v>Slant</v>
          </cell>
          <cell r="BE251" t="str">
            <v xml:space="preserve">Without Partition </v>
          </cell>
          <cell r="BF251" t="str">
            <v>YELLOW</v>
          </cell>
          <cell r="BG251">
            <v>2550000</v>
          </cell>
          <cell r="BH251">
            <v>2650000</v>
          </cell>
          <cell r="BI251">
            <v>100000</v>
          </cell>
          <cell r="BJ251">
            <v>2550000</v>
          </cell>
          <cell r="BK251">
            <v>0</v>
          </cell>
          <cell r="BL251">
            <v>2550000</v>
          </cell>
        </row>
        <row r="252">
          <cell r="D252" t="str">
            <v>OS</v>
          </cell>
          <cell r="E252"/>
          <cell r="F252">
            <v>232</v>
          </cell>
          <cell r="G252" t="str">
            <v>SOLD</v>
          </cell>
          <cell r="H252" t="str">
            <v>OS</v>
          </cell>
          <cell r="I252" t="str">
            <v>OS</v>
          </cell>
          <cell r="J252" t="str">
            <v>OS</v>
          </cell>
          <cell r="K252" t="str">
            <v>OS</v>
          </cell>
          <cell r="L252" t="str">
            <v>OS</v>
          </cell>
          <cell r="M252" t="str">
            <v>OS</v>
          </cell>
          <cell r="N252" t="str">
            <v>OS</v>
          </cell>
          <cell r="O252" t="str">
            <v>OS</v>
          </cell>
          <cell r="P252" t="str">
            <v>OS</v>
          </cell>
          <cell r="Q252" t="str">
            <v>OS</v>
          </cell>
          <cell r="R252" t="str">
            <v>OS</v>
          </cell>
          <cell r="S252" t="str">
            <v>OS</v>
          </cell>
          <cell r="T252" t="str">
            <v>OS</v>
          </cell>
          <cell r="U252" t="str">
            <v>OS</v>
          </cell>
          <cell r="V252" t="str">
            <v>OS</v>
          </cell>
          <cell r="W252" t="str">
            <v>TS</v>
          </cell>
          <cell r="X252" t="str">
            <v>OS</v>
          </cell>
          <cell r="Y252" t="str">
            <v>OS</v>
          </cell>
          <cell r="Z252" t="str">
            <v>OS</v>
          </cell>
          <cell r="AA252" t="str">
            <v>OS</v>
          </cell>
          <cell r="AB252" t="str">
            <v>OS</v>
          </cell>
          <cell r="AC252" t="str">
            <v>OS</v>
          </cell>
          <cell r="AD252" t="str">
            <v>AGM-01-010-005</v>
          </cell>
          <cell r="AE252" t="str">
            <v xml:space="preserve">Raemulan Lands, Inc. </v>
          </cell>
          <cell r="AF252" t="str">
            <v>Agapeya</v>
          </cell>
          <cell r="AG252" t="str">
            <v>AGM</v>
          </cell>
          <cell r="AH252" t="str">
            <v>Eco-High</v>
          </cell>
          <cell r="AI252" t="str">
            <v>West</v>
          </cell>
          <cell r="AJ252" t="str">
            <v>With LTS</v>
          </cell>
          <cell r="AK252" t="str">
            <v>Unaffected lots</v>
          </cell>
          <cell r="AL252" t="str">
            <v>Unaffected lots</v>
          </cell>
          <cell r="AM252" t="b">
            <v>1</v>
          </cell>
          <cell r="AN252" t="str">
            <v>YES</v>
          </cell>
          <cell r="AO252" t="str">
            <v>B3 2025</v>
          </cell>
          <cell r="AP252">
            <v>70</v>
          </cell>
          <cell r="AQ252" t="str">
            <v>PCS-04-034407</v>
          </cell>
          <cell r="AR252" t="b">
            <v>1</v>
          </cell>
          <cell r="AS252" t="str">
            <v>Done</v>
          </cell>
          <cell r="AT252" t="str">
            <v>2025 - Batch 5</v>
          </cell>
          <cell r="AU252">
            <v>10</v>
          </cell>
          <cell r="AV252">
            <v>5</v>
          </cell>
          <cell r="AW252" t="str">
            <v>H+L</v>
          </cell>
          <cell r="AX252">
            <v>70</v>
          </cell>
          <cell r="AY252">
            <v>50</v>
          </cell>
          <cell r="AZ252" t="str">
            <v>Duplex</v>
          </cell>
          <cell r="BA252">
            <v>1</v>
          </cell>
          <cell r="BB252" t="str">
            <v>568 - Without Partition</v>
          </cell>
          <cell r="BC252" t="str">
            <v xml:space="preserve">Without Partition </v>
          </cell>
          <cell r="BD252" t="str">
            <v>Slant</v>
          </cell>
          <cell r="BE252" t="str">
            <v xml:space="preserve">Without Partition </v>
          </cell>
          <cell r="BF252" t="str">
            <v>PINK</v>
          </cell>
          <cell r="BG252">
            <v>2500000</v>
          </cell>
          <cell r="BH252">
            <v>2650000</v>
          </cell>
          <cell r="BI252">
            <v>100000</v>
          </cell>
          <cell r="BJ252">
            <v>2550000</v>
          </cell>
          <cell r="BK252">
            <v>0</v>
          </cell>
          <cell r="BL252">
            <v>2550000</v>
          </cell>
        </row>
        <row r="253">
          <cell r="D253" t="str">
            <v>OS</v>
          </cell>
          <cell r="E253"/>
          <cell r="F253">
            <v>233</v>
          </cell>
          <cell r="G253" t="str">
            <v>SOLD</v>
          </cell>
          <cell r="H253" t="str">
            <v>OS</v>
          </cell>
          <cell r="I253" t="str">
            <v>OS</v>
          </cell>
          <cell r="J253" t="str">
            <v>OS</v>
          </cell>
          <cell r="K253" t="str">
            <v>OS</v>
          </cell>
          <cell r="L253" t="str">
            <v>OS</v>
          </cell>
          <cell r="M253" t="str">
            <v>OS</v>
          </cell>
          <cell r="N253" t="str">
            <v>OS</v>
          </cell>
          <cell r="O253" t="str">
            <v>OS</v>
          </cell>
          <cell r="P253" t="str">
            <v>OS</v>
          </cell>
          <cell r="Q253" t="str">
            <v>OS</v>
          </cell>
          <cell r="R253" t="str">
            <v>OS</v>
          </cell>
          <cell r="S253" t="str">
            <v>OS</v>
          </cell>
          <cell r="T253" t="str">
            <v>OS</v>
          </cell>
          <cell r="U253" t="str">
            <v>OS</v>
          </cell>
          <cell r="V253" t="str">
            <v>OS</v>
          </cell>
          <cell r="W253" t="str">
            <v>OS</v>
          </cell>
          <cell r="X253" t="str">
            <v>OS</v>
          </cell>
          <cell r="Y253" t="str">
            <v>OS</v>
          </cell>
          <cell r="Z253" t="str">
            <v>OS</v>
          </cell>
          <cell r="AA253" t="str">
            <v>OS</v>
          </cell>
          <cell r="AB253" t="str">
            <v>OS</v>
          </cell>
          <cell r="AC253" t="str">
            <v>OS</v>
          </cell>
          <cell r="AD253" t="str">
            <v>AGM-01-010-006</v>
          </cell>
          <cell r="AE253" t="str">
            <v xml:space="preserve">Raemulan Lands, Inc. </v>
          </cell>
          <cell r="AF253" t="str">
            <v>Agapeya</v>
          </cell>
          <cell r="AG253" t="str">
            <v>AGM</v>
          </cell>
          <cell r="AH253" t="str">
            <v>Eco-High</v>
          </cell>
          <cell r="AI253" t="str">
            <v>West</v>
          </cell>
          <cell r="AJ253" t="str">
            <v>With LTS</v>
          </cell>
          <cell r="AK253" t="str">
            <v>Unaffected lots</v>
          </cell>
          <cell r="AL253" t="str">
            <v>Unaffected lots</v>
          </cell>
          <cell r="AM253" t="b">
            <v>1</v>
          </cell>
          <cell r="AN253" t="str">
            <v>YES</v>
          </cell>
          <cell r="AO253" t="str">
            <v>B3 2025</v>
          </cell>
          <cell r="AP253">
            <v>70</v>
          </cell>
          <cell r="AQ253" t="str">
            <v>PCS-04-034407</v>
          </cell>
          <cell r="AR253" t="b">
            <v>1</v>
          </cell>
          <cell r="AS253" t="str">
            <v>Done</v>
          </cell>
          <cell r="AT253" t="str">
            <v>2025 - Batch 5</v>
          </cell>
          <cell r="AU253">
            <v>10</v>
          </cell>
          <cell r="AV253">
            <v>6</v>
          </cell>
          <cell r="AW253" t="str">
            <v>H+L</v>
          </cell>
          <cell r="AX253">
            <v>70</v>
          </cell>
          <cell r="AY253">
            <v>50</v>
          </cell>
          <cell r="AZ253" t="str">
            <v>Duplex</v>
          </cell>
          <cell r="BA253">
            <v>1</v>
          </cell>
          <cell r="BB253" t="str">
            <v>568 - Without Partition</v>
          </cell>
          <cell r="BC253" t="str">
            <v xml:space="preserve">Without Partition </v>
          </cell>
          <cell r="BD253" t="str">
            <v>Flat</v>
          </cell>
          <cell r="BE253" t="str">
            <v xml:space="preserve">Without Partition </v>
          </cell>
          <cell r="BF253" t="str">
            <v>PINK</v>
          </cell>
          <cell r="BG253">
            <v>2500000</v>
          </cell>
          <cell r="BH253">
            <v>2650000</v>
          </cell>
          <cell r="BI253">
            <v>100000</v>
          </cell>
          <cell r="BJ253">
            <v>2550000</v>
          </cell>
          <cell r="BK253">
            <v>0</v>
          </cell>
          <cell r="BL253">
            <v>2550000</v>
          </cell>
        </row>
        <row r="254">
          <cell r="D254" t="str">
            <v>OS</v>
          </cell>
          <cell r="E254"/>
          <cell r="F254">
            <v>234</v>
          </cell>
          <cell r="G254" t="str">
            <v>SOLD</v>
          </cell>
          <cell r="H254" t="str">
            <v>OS</v>
          </cell>
          <cell r="I254" t="str">
            <v>OS</v>
          </cell>
          <cell r="J254" t="str">
            <v>OS</v>
          </cell>
          <cell r="K254" t="str">
            <v>OS</v>
          </cell>
          <cell r="L254" t="str">
            <v>OS</v>
          </cell>
          <cell r="M254" t="str">
            <v>OS</v>
          </cell>
          <cell r="N254" t="str">
            <v>OS</v>
          </cell>
          <cell r="O254" t="str">
            <v>OS</v>
          </cell>
          <cell r="P254" t="str">
            <v>OS</v>
          </cell>
          <cell r="Q254" t="str">
            <v>OS</v>
          </cell>
          <cell r="R254" t="str">
            <v>OS</v>
          </cell>
          <cell r="S254" t="str">
            <v>OS</v>
          </cell>
          <cell r="T254" t="str">
            <v>OS</v>
          </cell>
          <cell r="U254" t="str">
            <v>OS</v>
          </cell>
          <cell r="V254" t="str">
            <v>OS</v>
          </cell>
          <cell r="W254" t="str">
            <v>OS</v>
          </cell>
          <cell r="X254" t="str">
            <v>OS</v>
          </cell>
          <cell r="Y254" t="str">
            <v>OS</v>
          </cell>
          <cell r="Z254" t="str">
            <v>OS</v>
          </cell>
          <cell r="AA254" t="str">
            <v>OS</v>
          </cell>
          <cell r="AB254" t="str">
            <v>OS</v>
          </cell>
          <cell r="AC254" t="str">
            <v>OS</v>
          </cell>
          <cell r="AD254" t="str">
            <v>AGM-01-010-007</v>
          </cell>
          <cell r="AE254" t="str">
            <v xml:space="preserve">Raemulan Lands, Inc. </v>
          </cell>
          <cell r="AF254" t="str">
            <v>Agapeya</v>
          </cell>
          <cell r="AG254" t="str">
            <v>AGM</v>
          </cell>
          <cell r="AH254" t="str">
            <v>Eco-High</v>
          </cell>
          <cell r="AI254" t="str">
            <v>West</v>
          </cell>
          <cell r="AJ254" t="str">
            <v>With LTS</v>
          </cell>
          <cell r="AK254" t="str">
            <v>Unaffected lots</v>
          </cell>
          <cell r="AL254" t="str">
            <v>Unaffected lots</v>
          </cell>
          <cell r="AM254" t="b">
            <v>1</v>
          </cell>
          <cell r="AN254" t="str">
            <v>YES</v>
          </cell>
          <cell r="AO254" t="str">
            <v>B3 2025</v>
          </cell>
          <cell r="AP254">
            <v>70</v>
          </cell>
          <cell r="AQ254" t="str">
            <v>PCS-04-034407</v>
          </cell>
          <cell r="AR254" t="b">
            <v>1</v>
          </cell>
          <cell r="AS254" t="str">
            <v>Done</v>
          </cell>
          <cell r="AT254" t="str">
            <v>2025 - Batch 5</v>
          </cell>
          <cell r="AU254">
            <v>10</v>
          </cell>
          <cell r="AV254">
            <v>7</v>
          </cell>
          <cell r="AW254" t="str">
            <v>H+L</v>
          </cell>
          <cell r="AX254">
            <v>70</v>
          </cell>
          <cell r="AY254">
            <v>50</v>
          </cell>
          <cell r="AZ254" t="str">
            <v>Duplex</v>
          </cell>
          <cell r="BA254">
            <v>1</v>
          </cell>
          <cell r="BB254" t="str">
            <v>568 - Without Partition</v>
          </cell>
          <cell r="BC254" t="str">
            <v xml:space="preserve">Without Partition </v>
          </cell>
          <cell r="BD254" t="str">
            <v>Flat</v>
          </cell>
          <cell r="BE254" t="str">
            <v xml:space="preserve">Without Partition </v>
          </cell>
          <cell r="BF254" t="str">
            <v>PINK</v>
          </cell>
          <cell r="BG254">
            <v>2500000</v>
          </cell>
          <cell r="BH254">
            <v>2650000</v>
          </cell>
          <cell r="BI254">
            <v>100000</v>
          </cell>
          <cell r="BJ254">
            <v>2550000</v>
          </cell>
          <cell r="BK254">
            <v>0</v>
          </cell>
          <cell r="BL254">
            <v>2550000</v>
          </cell>
        </row>
        <row r="255">
          <cell r="D255" t="str">
            <v>OS</v>
          </cell>
          <cell r="E255"/>
          <cell r="F255">
            <v>235</v>
          </cell>
          <cell r="G255" t="str">
            <v>SOLD</v>
          </cell>
          <cell r="H255" t="str">
            <v>OS</v>
          </cell>
          <cell r="I255" t="str">
            <v>OS</v>
          </cell>
          <cell r="J255" t="str">
            <v>OS</v>
          </cell>
          <cell r="K255" t="str">
            <v>OS</v>
          </cell>
          <cell r="L255" t="str">
            <v>OS</v>
          </cell>
          <cell r="M255" t="str">
            <v>OS</v>
          </cell>
          <cell r="N255" t="str">
            <v>OS</v>
          </cell>
          <cell r="O255" t="str">
            <v>OS</v>
          </cell>
          <cell r="P255" t="str">
            <v>OS</v>
          </cell>
          <cell r="Q255" t="str">
            <v>OS</v>
          </cell>
          <cell r="R255" t="str">
            <v>OS</v>
          </cell>
          <cell r="S255" t="str">
            <v>OS</v>
          </cell>
          <cell r="T255" t="str">
            <v>OS</v>
          </cell>
          <cell r="U255" t="str">
            <v>OS</v>
          </cell>
          <cell r="V255" t="str">
            <v>OS</v>
          </cell>
          <cell r="W255" t="str">
            <v>OS</v>
          </cell>
          <cell r="X255" t="str">
            <v>OS</v>
          </cell>
          <cell r="Y255" t="str">
            <v>OS</v>
          </cell>
          <cell r="Z255" t="str">
            <v>OS</v>
          </cell>
          <cell r="AA255" t="str">
            <v>OS</v>
          </cell>
          <cell r="AB255" t="str">
            <v>OS</v>
          </cell>
          <cell r="AC255" t="str">
            <v>OS</v>
          </cell>
          <cell r="AD255" t="str">
            <v>AGM-01-010-008</v>
          </cell>
          <cell r="AE255" t="str">
            <v xml:space="preserve">Raemulan Lands, Inc. </v>
          </cell>
          <cell r="AF255" t="str">
            <v>Agapeya</v>
          </cell>
          <cell r="AG255" t="str">
            <v>AGM</v>
          </cell>
          <cell r="AH255" t="str">
            <v>Eco-High</v>
          </cell>
          <cell r="AI255" t="str">
            <v>West</v>
          </cell>
          <cell r="AJ255" t="str">
            <v>With LTS</v>
          </cell>
          <cell r="AK255" t="str">
            <v>Unaffected lots</v>
          </cell>
          <cell r="AL255" t="str">
            <v>Unaffected lots</v>
          </cell>
          <cell r="AM255" t="b">
            <v>1</v>
          </cell>
          <cell r="AN255" t="str">
            <v>YES</v>
          </cell>
          <cell r="AO255" t="str">
            <v>B3 2025</v>
          </cell>
          <cell r="AP255">
            <v>90</v>
          </cell>
          <cell r="AQ255" t="str">
            <v>PCS-04-034407</v>
          </cell>
          <cell r="AR255" t="b">
            <v>1</v>
          </cell>
          <cell r="AS255" t="str">
            <v>Done</v>
          </cell>
          <cell r="AT255" t="str">
            <v>2025 - Batch 5</v>
          </cell>
          <cell r="AU255">
            <v>10</v>
          </cell>
          <cell r="AV255">
            <v>8</v>
          </cell>
          <cell r="AW255" t="str">
            <v>H+L</v>
          </cell>
          <cell r="AX255">
            <v>90</v>
          </cell>
          <cell r="AY255">
            <v>50</v>
          </cell>
          <cell r="AZ255" t="str">
            <v>Duplex</v>
          </cell>
          <cell r="BA255">
            <v>1</v>
          </cell>
          <cell r="BB255" t="str">
            <v>568 - Without Partition</v>
          </cell>
          <cell r="BC255" t="str">
            <v xml:space="preserve">Without Partition </v>
          </cell>
          <cell r="BD255" t="str">
            <v>Slant</v>
          </cell>
          <cell r="BE255" t="str">
            <v xml:space="preserve">Without Partition </v>
          </cell>
          <cell r="BF255" t="str">
            <v>PINK</v>
          </cell>
          <cell r="BG255">
            <v>2900000</v>
          </cell>
          <cell r="BH255">
            <v>2950000</v>
          </cell>
          <cell r="BI255">
            <v>100000</v>
          </cell>
          <cell r="BJ255">
            <v>2850000</v>
          </cell>
          <cell r="BK255">
            <v>0</v>
          </cell>
          <cell r="BL255">
            <v>2850000</v>
          </cell>
        </row>
        <row r="256">
          <cell r="D256" t="str">
            <v>OS</v>
          </cell>
          <cell r="E256"/>
          <cell r="F256">
            <v>236</v>
          </cell>
          <cell r="G256" t="str">
            <v>UNSOLD</v>
          </cell>
          <cell r="H256" t="str">
            <v>TS</v>
          </cell>
          <cell r="I256" t="str">
            <v>TS</v>
          </cell>
          <cell r="J256" t="str">
            <v>OS</v>
          </cell>
          <cell r="K256" t="str">
            <v>OS</v>
          </cell>
          <cell r="L256" t="str">
            <v>OS</v>
          </cell>
          <cell r="M256" t="str">
            <v>OS</v>
          </cell>
          <cell r="N256" t="str">
            <v>OS</v>
          </cell>
          <cell r="O256" t="str">
            <v>OS</v>
          </cell>
          <cell r="P256" t="str">
            <v>OS</v>
          </cell>
          <cell r="Q256" t="str">
            <v>OS</v>
          </cell>
          <cell r="R256" t="str">
            <v>OS</v>
          </cell>
          <cell r="S256" t="str">
            <v>OS</v>
          </cell>
          <cell r="T256" t="str">
            <v>OS</v>
          </cell>
          <cell r="U256" t="str">
            <v>OS</v>
          </cell>
          <cell r="V256" t="str">
            <v>OS</v>
          </cell>
          <cell r="W256" t="str">
            <v>OS</v>
          </cell>
          <cell r="X256" t="str">
            <v>OS</v>
          </cell>
          <cell r="Y256" t="str">
            <v>OS</v>
          </cell>
          <cell r="Z256" t="str">
            <v>OS</v>
          </cell>
          <cell r="AA256" t="str">
            <v>OS</v>
          </cell>
          <cell r="AB256" t="str">
            <v>OS</v>
          </cell>
          <cell r="AC256" t="str">
            <v>OS</v>
          </cell>
          <cell r="AD256" t="str">
            <v>AGM-01-010-009</v>
          </cell>
          <cell r="AE256" t="str">
            <v xml:space="preserve">Raemulan Lands, Inc. </v>
          </cell>
          <cell r="AF256" t="str">
            <v>Agapeya</v>
          </cell>
          <cell r="AG256" t="str">
            <v>AGM</v>
          </cell>
          <cell r="AH256" t="str">
            <v>Eco-High</v>
          </cell>
          <cell r="AI256" t="str">
            <v>West</v>
          </cell>
          <cell r="AJ256" t="str">
            <v>With LTS</v>
          </cell>
          <cell r="AK256" t="str">
            <v>Unaffected lots</v>
          </cell>
          <cell r="AL256" t="str">
            <v>Unaffected lots</v>
          </cell>
          <cell r="AM256" t="b">
            <v>1</v>
          </cell>
          <cell r="AN256" t="str">
            <v>YES</v>
          </cell>
          <cell r="AO256" t="str">
            <v>B3 2025</v>
          </cell>
          <cell r="AP256">
            <v>90</v>
          </cell>
          <cell r="AQ256" t="str">
            <v>PCS-04-034407</v>
          </cell>
          <cell r="AR256" t="b">
            <v>1</v>
          </cell>
          <cell r="AS256" t="str">
            <v>Done</v>
          </cell>
          <cell r="AT256" t="str">
            <v>2025 - Batch 5</v>
          </cell>
          <cell r="AU256">
            <v>10</v>
          </cell>
          <cell r="AV256">
            <v>9</v>
          </cell>
          <cell r="AW256" t="str">
            <v>H+L</v>
          </cell>
          <cell r="AX256">
            <v>90</v>
          </cell>
          <cell r="AY256">
            <v>50</v>
          </cell>
          <cell r="AZ256" t="str">
            <v>Duplex</v>
          </cell>
          <cell r="BA256">
            <v>1</v>
          </cell>
          <cell r="BB256" t="str">
            <v>568 - Without Partition</v>
          </cell>
          <cell r="BC256" t="str">
            <v xml:space="preserve">Without Partition </v>
          </cell>
          <cell r="BD256" t="str">
            <v>Flat</v>
          </cell>
          <cell r="BE256" t="str">
            <v xml:space="preserve">Without Partition </v>
          </cell>
          <cell r="BF256" t="str">
            <v>GREEN</v>
          </cell>
          <cell r="BG256">
            <v>2500000</v>
          </cell>
          <cell r="BH256">
            <v>2950000</v>
          </cell>
          <cell r="BI256">
            <v>100000</v>
          </cell>
          <cell r="BJ256">
            <v>2850000</v>
          </cell>
          <cell r="BK256">
            <v>0</v>
          </cell>
          <cell r="BL256">
            <v>2850000</v>
          </cell>
        </row>
        <row r="257">
          <cell r="D257" t="str">
            <v>OS</v>
          </cell>
          <cell r="E257"/>
          <cell r="F257">
            <v>237</v>
          </cell>
          <cell r="G257" t="str">
            <v>UNSOLD</v>
          </cell>
          <cell r="H257" t="str">
            <v>TS</v>
          </cell>
          <cell r="I257" t="str">
            <v>TS</v>
          </cell>
          <cell r="J257" t="str">
            <v>OS</v>
          </cell>
          <cell r="K257" t="str">
            <v>OS</v>
          </cell>
          <cell r="L257" t="str">
            <v>OS</v>
          </cell>
          <cell r="M257" t="str">
            <v>OS</v>
          </cell>
          <cell r="N257" t="str">
            <v>OS</v>
          </cell>
          <cell r="O257" t="str">
            <v>OS</v>
          </cell>
          <cell r="P257" t="str">
            <v>OS</v>
          </cell>
          <cell r="Q257" t="str">
            <v>OS</v>
          </cell>
          <cell r="R257" t="str">
            <v>OS</v>
          </cell>
          <cell r="S257" t="str">
            <v>OS</v>
          </cell>
          <cell r="T257" t="str">
            <v>OS</v>
          </cell>
          <cell r="U257" t="str">
            <v>OS</v>
          </cell>
          <cell r="V257" t="str">
            <v>OS</v>
          </cell>
          <cell r="W257" t="str">
            <v>OS</v>
          </cell>
          <cell r="X257" t="str">
            <v>OS</v>
          </cell>
          <cell r="Y257" t="str">
            <v>OS</v>
          </cell>
          <cell r="Z257" t="str">
            <v>OS</v>
          </cell>
          <cell r="AA257" t="str">
            <v>OS</v>
          </cell>
          <cell r="AB257" t="str">
            <v>OS</v>
          </cell>
          <cell r="AC257" t="str">
            <v>OS</v>
          </cell>
          <cell r="AD257" t="str">
            <v>AGM-01-010-010</v>
          </cell>
          <cell r="AE257" t="str">
            <v xml:space="preserve">Raemulan Lands, Inc. </v>
          </cell>
          <cell r="AF257" t="str">
            <v>Agapeya</v>
          </cell>
          <cell r="AG257" t="str">
            <v>AGM</v>
          </cell>
          <cell r="AH257" t="str">
            <v>Eco-High</v>
          </cell>
          <cell r="AI257" t="str">
            <v>West</v>
          </cell>
          <cell r="AJ257" t="str">
            <v>With LTS</v>
          </cell>
          <cell r="AK257" t="str">
            <v>Unaffected lots</v>
          </cell>
          <cell r="AL257" t="str">
            <v>Unaffected lots</v>
          </cell>
          <cell r="AM257" t="b">
            <v>1</v>
          </cell>
          <cell r="AN257" t="str">
            <v>YES</v>
          </cell>
          <cell r="AO257" t="str">
            <v>B3 2025</v>
          </cell>
          <cell r="AP257">
            <v>70</v>
          </cell>
          <cell r="AQ257" t="str">
            <v>PCS-04-034407</v>
          </cell>
          <cell r="AR257" t="b">
            <v>1</v>
          </cell>
          <cell r="AS257" t="str">
            <v>Done</v>
          </cell>
          <cell r="AT257" t="str">
            <v>2025 - Batch 5</v>
          </cell>
          <cell r="AU257">
            <v>10</v>
          </cell>
          <cell r="AV257">
            <v>10</v>
          </cell>
          <cell r="AW257" t="str">
            <v>H+L</v>
          </cell>
          <cell r="AX257">
            <v>70</v>
          </cell>
          <cell r="AY257">
            <v>50</v>
          </cell>
          <cell r="AZ257" t="str">
            <v>Duplex</v>
          </cell>
          <cell r="BA257">
            <v>1</v>
          </cell>
          <cell r="BB257" t="str">
            <v>568 - Without Partition</v>
          </cell>
          <cell r="BC257" t="str">
            <v xml:space="preserve">Without Partition </v>
          </cell>
          <cell r="BD257" t="str">
            <v>Slant</v>
          </cell>
          <cell r="BE257" t="str">
            <v xml:space="preserve">Without Partition </v>
          </cell>
          <cell r="BF257" t="str">
            <v>GREEN</v>
          </cell>
          <cell r="BG257">
            <v>2500000</v>
          </cell>
          <cell r="BH257">
            <v>2650000</v>
          </cell>
          <cell r="BI257">
            <v>100000</v>
          </cell>
          <cell r="BJ257">
            <v>2550000</v>
          </cell>
          <cell r="BK257">
            <v>0</v>
          </cell>
          <cell r="BL257">
            <v>2550000</v>
          </cell>
        </row>
        <row r="258">
          <cell r="D258" t="str">
            <v>OS</v>
          </cell>
          <cell r="E258"/>
          <cell r="F258">
            <v>238</v>
          </cell>
          <cell r="G258" t="str">
            <v>UNSOLD</v>
          </cell>
          <cell r="H258" t="str">
            <v>TS</v>
          </cell>
          <cell r="I258" t="str">
            <v>TS</v>
          </cell>
          <cell r="J258" t="str">
            <v>OS</v>
          </cell>
          <cell r="K258" t="str">
            <v>OS</v>
          </cell>
          <cell r="L258" t="str">
            <v>OS</v>
          </cell>
          <cell r="M258" t="str">
            <v>OS</v>
          </cell>
          <cell r="N258" t="str">
            <v>OS</v>
          </cell>
          <cell r="O258" t="str">
            <v>OS</v>
          </cell>
          <cell r="P258" t="str">
            <v>OS</v>
          </cell>
          <cell r="Q258" t="str">
            <v>OS</v>
          </cell>
          <cell r="R258" t="str">
            <v>OS</v>
          </cell>
          <cell r="S258" t="str">
            <v>OS</v>
          </cell>
          <cell r="T258" t="str">
            <v>OS</v>
          </cell>
          <cell r="U258" t="str">
            <v>OS</v>
          </cell>
          <cell r="V258" t="str">
            <v>OS</v>
          </cell>
          <cell r="W258" t="str">
            <v>OS</v>
          </cell>
          <cell r="X258" t="str">
            <v>OS</v>
          </cell>
          <cell r="Y258" t="str">
            <v>OS</v>
          </cell>
          <cell r="Z258" t="str">
            <v>OS</v>
          </cell>
          <cell r="AA258" t="str">
            <v>OS</v>
          </cell>
          <cell r="AB258" t="str">
            <v>OS</v>
          </cell>
          <cell r="AC258" t="str">
            <v>OS</v>
          </cell>
          <cell r="AD258" t="str">
            <v>AGM-01-010-011</v>
          </cell>
          <cell r="AE258" t="str">
            <v xml:space="preserve">Raemulan Lands, Inc. </v>
          </cell>
          <cell r="AF258" t="str">
            <v>Agapeya</v>
          </cell>
          <cell r="AG258" t="str">
            <v>AGM</v>
          </cell>
          <cell r="AH258" t="str">
            <v>Eco-High</v>
          </cell>
          <cell r="AI258" t="str">
            <v>West</v>
          </cell>
          <cell r="AJ258" t="str">
            <v>With LTS</v>
          </cell>
          <cell r="AK258" t="str">
            <v>Unaffected lots</v>
          </cell>
          <cell r="AL258" t="str">
            <v>Unaffected lots</v>
          </cell>
          <cell r="AM258" t="b">
            <v>1</v>
          </cell>
          <cell r="AN258" t="str">
            <v>YES</v>
          </cell>
          <cell r="AO258" t="str">
            <v>B4 2025</v>
          </cell>
          <cell r="AP258">
            <v>70</v>
          </cell>
          <cell r="AQ258" t="str">
            <v>PCS-04-034407</v>
          </cell>
          <cell r="AR258" t="b">
            <v>1</v>
          </cell>
          <cell r="AS258" t="str">
            <v>Done</v>
          </cell>
          <cell r="AT258" t="str">
            <v>2025 - Batch 5</v>
          </cell>
          <cell r="AU258">
            <v>10</v>
          </cell>
          <cell r="AV258">
            <v>11</v>
          </cell>
          <cell r="AW258" t="str">
            <v>H+L</v>
          </cell>
          <cell r="AX258">
            <v>70</v>
          </cell>
          <cell r="AY258">
            <v>50</v>
          </cell>
          <cell r="AZ258" t="str">
            <v>Duplex</v>
          </cell>
          <cell r="BA258">
            <v>1</v>
          </cell>
          <cell r="BB258" t="str">
            <v>568 - Without Partition</v>
          </cell>
          <cell r="BC258" t="str">
            <v xml:space="preserve">Without Partition </v>
          </cell>
          <cell r="BD258" t="str">
            <v>Slant</v>
          </cell>
          <cell r="BE258" t="str">
            <v xml:space="preserve">Without Partition </v>
          </cell>
          <cell r="BF258" t="str">
            <v>GREEN</v>
          </cell>
          <cell r="BG258">
            <v>2500000</v>
          </cell>
          <cell r="BH258">
            <v>2650000</v>
          </cell>
          <cell r="BI258">
            <v>100000</v>
          </cell>
          <cell r="BJ258">
            <v>2550000</v>
          </cell>
          <cell r="BK258">
            <v>0</v>
          </cell>
          <cell r="BL258">
            <v>2550000</v>
          </cell>
        </row>
        <row r="259">
          <cell r="D259" t="str">
            <v>OS</v>
          </cell>
          <cell r="E259"/>
          <cell r="F259">
            <v>239</v>
          </cell>
          <cell r="G259" t="str">
            <v>UNSOLD</v>
          </cell>
          <cell r="H259" t="str">
            <v>OS</v>
          </cell>
          <cell r="I259" t="str">
            <v>OS</v>
          </cell>
          <cell r="J259" t="str">
            <v>OS</v>
          </cell>
          <cell r="K259" t="str">
            <v>OS</v>
          </cell>
          <cell r="L259" t="str">
            <v>OS</v>
          </cell>
          <cell r="M259" t="str">
            <v>OS</v>
          </cell>
          <cell r="N259" t="str">
            <v>OS</v>
          </cell>
          <cell r="O259" t="str">
            <v>OS</v>
          </cell>
          <cell r="P259" t="str">
            <v>OS</v>
          </cell>
          <cell r="Q259" t="str">
            <v>OS</v>
          </cell>
          <cell r="R259" t="str">
            <v>OS</v>
          </cell>
          <cell r="S259" t="str">
            <v>OS</v>
          </cell>
          <cell r="T259" t="str">
            <v>OS</v>
          </cell>
          <cell r="U259" t="str">
            <v>OS</v>
          </cell>
          <cell r="V259" t="str">
            <v>OS</v>
          </cell>
          <cell r="W259" t="str">
            <v>OS</v>
          </cell>
          <cell r="X259" t="str">
            <v>OS</v>
          </cell>
          <cell r="Y259" t="str">
            <v>OS</v>
          </cell>
          <cell r="Z259" t="str">
            <v>OS</v>
          </cell>
          <cell r="AA259" t="str">
            <v>OS</v>
          </cell>
          <cell r="AB259" t="str">
            <v>OS</v>
          </cell>
          <cell r="AC259" t="str">
            <v>OS</v>
          </cell>
          <cell r="AD259" t="str">
            <v>AGM-01-010-012</v>
          </cell>
          <cell r="AE259" t="str">
            <v xml:space="preserve">Raemulan Lands, Inc. </v>
          </cell>
          <cell r="AF259" t="str">
            <v>Agapeya</v>
          </cell>
          <cell r="AG259" t="str">
            <v>AGM</v>
          </cell>
          <cell r="AH259" t="str">
            <v>Eco-High</v>
          </cell>
          <cell r="AI259" t="str">
            <v>West</v>
          </cell>
          <cell r="AJ259" t="str">
            <v>With LTS</v>
          </cell>
          <cell r="AK259" t="str">
            <v>Unaffected lots</v>
          </cell>
          <cell r="AL259" t="str">
            <v>Unaffected lots</v>
          </cell>
          <cell r="AM259" t="b">
            <v>1</v>
          </cell>
          <cell r="AN259" t="str">
            <v>YES</v>
          </cell>
          <cell r="AO259" t="str">
            <v>B4 2025</v>
          </cell>
          <cell r="AP259">
            <v>70</v>
          </cell>
          <cell r="AQ259" t="str">
            <v>PCS-04-034407</v>
          </cell>
          <cell r="AR259" t="b">
            <v>1</v>
          </cell>
          <cell r="AS259" t="str">
            <v>Done</v>
          </cell>
          <cell r="AT259" t="str">
            <v>2025 - Batch 5</v>
          </cell>
          <cell r="AU259">
            <v>10</v>
          </cell>
          <cell r="AV259">
            <v>12</v>
          </cell>
          <cell r="AW259" t="str">
            <v>H+L</v>
          </cell>
          <cell r="AX259">
            <v>70</v>
          </cell>
          <cell r="AY259">
            <v>50</v>
          </cell>
          <cell r="AZ259" t="str">
            <v>Duplex</v>
          </cell>
          <cell r="BA259">
            <v>1</v>
          </cell>
          <cell r="BB259" t="str">
            <v>568 - Without Partition</v>
          </cell>
          <cell r="BC259" t="str">
            <v xml:space="preserve">Without Partition </v>
          </cell>
          <cell r="BD259" t="str">
            <v>Flat</v>
          </cell>
          <cell r="BE259" t="str">
            <v xml:space="preserve">Without Partition </v>
          </cell>
          <cell r="BF259" t="str">
            <v>GREEN</v>
          </cell>
          <cell r="BG259">
            <v>2500000</v>
          </cell>
          <cell r="BH259">
            <v>2650000</v>
          </cell>
          <cell r="BI259">
            <v>100000</v>
          </cell>
          <cell r="BJ259">
            <v>2550000</v>
          </cell>
          <cell r="BK259">
            <v>0</v>
          </cell>
          <cell r="BL259">
            <v>2550000</v>
          </cell>
        </row>
        <row r="260">
          <cell r="D260" t="str">
            <v>OS</v>
          </cell>
          <cell r="E260"/>
          <cell r="F260">
            <v>240</v>
          </cell>
          <cell r="G260" t="str">
            <v>SOLD</v>
          </cell>
          <cell r="H260" t="str">
            <v>OS</v>
          </cell>
          <cell r="I260" t="str">
            <v>OS</v>
          </cell>
          <cell r="J260" t="str">
            <v>OS</v>
          </cell>
          <cell r="K260" t="str">
            <v>OS</v>
          </cell>
          <cell r="L260" t="str">
            <v>OS</v>
          </cell>
          <cell r="M260" t="str">
            <v>OS</v>
          </cell>
          <cell r="N260" t="str">
            <v>OS</v>
          </cell>
          <cell r="O260" t="str">
            <v>OS</v>
          </cell>
          <cell r="P260" t="str">
            <v>OS</v>
          </cell>
          <cell r="Q260" t="str">
            <v>OS</v>
          </cell>
          <cell r="R260" t="str">
            <v>OS</v>
          </cell>
          <cell r="S260" t="str">
            <v>OS</v>
          </cell>
          <cell r="T260" t="str">
            <v>OS</v>
          </cell>
          <cell r="U260" t="str">
            <v>OS</v>
          </cell>
          <cell r="V260" t="str">
            <v>OS</v>
          </cell>
          <cell r="W260" t="str">
            <v>OS</v>
          </cell>
          <cell r="X260" t="str">
            <v>OS</v>
          </cell>
          <cell r="Y260" t="str">
            <v>OS</v>
          </cell>
          <cell r="Z260" t="str">
            <v>OS</v>
          </cell>
          <cell r="AA260" t="str">
            <v>OS</v>
          </cell>
          <cell r="AB260" t="str">
            <v>OS</v>
          </cell>
          <cell r="AC260" t="str">
            <v>OS</v>
          </cell>
          <cell r="AD260" t="str">
            <v>AGM-01-010-013</v>
          </cell>
          <cell r="AE260" t="str">
            <v xml:space="preserve">Raemulan Lands, Inc. </v>
          </cell>
          <cell r="AF260" t="str">
            <v>Agapeya</v>
          </cell>
          <cell r="AG260" t="str">
            <v>AGM</v>
          </cell>
          <cell r="AH260" t="str">
            <v>Eco-High</v>
          </cell>
          <cell r="AI260" t="str">
            <v>West</v>
          </cell>
          <cell r="AJ260" t="str">
            <v>With LTS</v>
          </cell>
          <cell r="AK260" t="str">
            <v>Unaffected lots</v>
          </cell>
          <cell r="AL260" t="str">
            <v>Unaffected lots</v>
          </cell>
          <cell r="AM260" t="b">
            <v>1</v>
          </cell>
          <cell r="AN260" t="str">
            <v>YES</v>
          </cell>
          <cell r="AO260" t="str">
            <v>B4 2025</v>
          </cell>
          <cell r="AP260">
            <v>70</v>
          </cell>
          <cell r="AQ260" t="str">
            <v>PCS-04-034407</v>
          </cell>
          <cell r="AR260" t="b">
            <v>1</v>
          </cell>
          <cell r="AS260" t="str">
            <v>Done</v>
          </cell>
          <cell r="AT260" t="str">
            <v>2025 - Batch 5</v>
          </cell>
          <cell r="AU260">
            <v>10</v>
          </cell>
          <cell r="AV260">
            <v>13</v>
          </cell>
          <cell r="AW260" t="str">
            <v>H+L</v>
          </cell>
          <cell r="AX260">
            <v>70</v>
          </cell>
          <cell r="AY260">
            <v>50</v>
          </cell>
          <cell r="AZ260" t="str">
            <v>Duplex</v>
          </cell>
          <cell r="BA260">
            <v>1</v>
          </cell>
          <cell r="BB260" t="str">
            <v>568 - Without Partition</v>
          </cell>
          <cell r="BC260" t="str">
            <v xml:space="preserve">Without Partition </v>
          </cell>
          <cell r="BD260" t="str">
            <v>Slant</v>
          </cell>
          <cell r="BE260" t="str">
            <v xml:space="preserve">Without Partition </v>
          </cell>
          <cell r="BF260" t="str">
            <v>YELLOW</v>
          </cell>
          <cell r="BG260">
            <v>2500000</v>
          </cell>
          <cell r="BH260">
            <v>2650000</v>
          </cell>
          <cell r="BI260">
            <v>100000</v>
          </cell>
          <cell r="BJ260">
            <v>2550000</v>
          </cell>
          <cell r="BK260">
            <v>0</v>
          </cell>
          <cell r="BL260">
            <v>2550000</v>
          </cell>
        </row>
        <row r="261">
          <cell r="D261" t="str">
            <v>OS</v>
          </cell>
          <cell r="E261"/>
          <cell r="F261">
            <v>241</v>
          </cell>
          <cell r="G261" t="str">
            <v>UNSOLD</v>
          </cell>
          <cell r="H261" t="str">
            <v>TS</v>
          </cell>
          <cell r="I261" t="str">
            <v>TS</v>
          </cell>
          <cell r="J261" t="str">
            <v>TS</v>
          </cell>
          <cell r="K261" t="str">
            <v>TS</v>
          </cell>
          <cell r="L261" t="str">
            <v>TS</v>
          </cell>
          <cell r="M261" t="str">
            <v>TS</v>
          </cell>
          <cell r="N261" t="str">
            <v>TS</v>
          </cell>
          <cell r="O261" t="str">
            <v>TS</v>
          </cell>
          <cell r="P261" t="str">
            <v>OS</v>
          </cell>
          <cell r="Q261" t="str">
            <v>OS</v>
          </cell>
          <cell r="R261" t="str">
            <v>OS</v>
          </cell>
          <cell r="S261" t="str">
            <v>OS</v>
          </cell>
          <cell r="T261" t="str">
            <v>OS</v>
          </cell>
          <cell r="U261" t="str">
            <v>OS</v>
          </cell>
          <cell r="V261" t="str">
            <v>OS</v>
          </cell>
          <cell r="W261" t="str">
            <v>OS</v>
          </cell>
          <cell r="X261" t="str">
            <v>OS</v>
          </cell>
          <cell r="Y261" t="str">
            <v>OS</v>
          </cell>
          <cell r="Z261" t="str">
            <v>OS</v>
          </cell>
          <cell r="AA261" t="str">
            <v>OS</v>
          </cell>
          <cell r="AB261" t="str">
            <v>OS</v>
          </cell>
          <cell r="AC261" t="str">
            <v>OS</v>
          </cell>
          <cell r="AD261" t="str">
            <v>AGM-01-010-014</v>
          </cell>
          <cell r="AE261" t="str">
            <v xml:space="preserve">Raemulan Lands, Inc. </v>
          </cell>
          <cell r="AF261" t="str">
            <v>Agapeya</v>
          </cell>
          <cell r="AG261" t="str">
            <v>AGM</v>
          </cell>
          <cell r="AH261" t="str">
            <v>Eco-High</v>
          </cell>
          <cell r="AI261" t="str">
            <v>West</v>
          </cell>
          <cell r="AJ261" t="str">
            <v>With LTS</v>
          </cell>
          <cell r="AK261" t="str">
            <v>Unaffected lots</v>
          </cell>
          <cell r="AL261" t="str">
            <v>Unaffected lots</v>
          </cell>
          <cell r="AM261" t="b">
            <v>1</v>
          </cell>
          <cell r="AN261" t="str">
            <v>YES</v>
          </cell>
          <cell r="AO261" t="str">
            <v>B4 2025</v>
          </cell>
          <cell r="AP261">
            <v>70</v>
          </cell>
          <cell r="AQ261" t="str">
            <v>PCS-04-034407</v>
          </cell>
          <cell r="AR261" t="b">
            <v>1</v>
          </cell>
          <cell r="AS261" t="str">
            <v>Done</v>
          </cell>
          <cell r="AT261" t="str">
            <v>2025 - Batch 5</v>
          </cell>
          <cell r="AU261">
            <v>10</v>
          </cell>
          <cell r="AV261">
            <v>14</v>
          </cell>
          <cell r="AW261" t="str">
            <v>H+L</v>
          </cell>
          <cell r="AX261">
            <v>70</v>
          </cell>
          <cell r="AY261">
            <v>50</v>
          </cell>
          <cell r="AZ261" t="str">
            <v>Duplex</v>
          </cell>
          <cell r="BA261">
            <v>1</v>
          </cell>
          <cell r="BB261" t="str">
            <v>568 - Without Partition</v>
          </cell>
          <cell r="BC261" t="str">
            <v xml:space="preserve">Without Partition </v>
          </cell>
          <cell r="BD261" t="str">
            <v>Flat</v>
          </cell>
          <cell r="BE261" t="str">
            <v xml:space="preserve">Without Partition </v>
          </cell>
          <cell r="BF261" t="str">
            <v>YELLOW</v>
          </cell>
          <cell r="BG261">
            <v>2500000</v>
          </cell>
          <cell r="BH261">
            <v>2650000</v>
          </cell>
          <cell r="BI261">
            <v>100000</v>
          </cell>
          <cell r="BJ261">
            <v>2550000</v>
          </cell>
          <cell r="BK261">
            <v>0</v>
          </cell>
          <cell r="BL261">
            <v>2550000</v>
          </cell>
        </row>
        <row r="262">
          <cell r="D262" t="str">
            <v>OS</v>
          </cell>
          <cell r="E262"/>
          <cell r="F262">
            <v>242</v>
          </cell>
          <cell r="G262" t="str">
            <v>CLOSED</v>
          </cell>
          <cell r="H262" t="str">
            <v>TS</v>
          </cell>
          <cell r="I262" t="str">
            <v>TS</v>
          </cell>
          <cell r="J262" t="str">
            <v>TS</v>
          </cell>
          <cell r="K262" t="str">
            <v>TS</v>
          </cell>
          <cell r="L262" t="str">
            <v>TS</v>
          </cell>
          <cell r="M262" t="str">
            <v>TS</v>
          </cell>
          <cell r="N262" t="str">
            <v>TS</v>
          </cell>
          <cell r="O262" t="str">
            <v>TS</v>
          </cell>
          <cell r="P262" t="str">
            <v>OS</v>
          </cell>
          <cell r="Q262" t="str">
            <v>OS</v>
          </cell>
          <cell r="R262" t="str">
            <v>OS</v>
          </cell>
          <cell r="S262" t="str">
            <v>OS</v>
          </cell>
          <cell r="T262" t="str">
            <v>OS</v>
          </cell>
          <cell r="U262" t="str">
            <v>OS</v>
          </cell>
          <cell r="V262" t="str">
            <v>OS</v>
          </cell>
          <cell r="W262" t="str">
            <v>OS</v>
          </cell>
          <cell r="X262" t="str">
            <v>OS</v>
          </cell>
          <cell r="Y262" t="str">
            <v>OS</v>
          </cell>
          <cell r="Z262" t="str">
            <v>OS</v>
          </cell>
          <cell r="AA262" t="str">
            <v>OS</v>
          </cell>
          <cell r="AB262" t="str">
            <v>OS</v>
          </cell>
          <cell r="AC262" t="str">
            <v>OS</v>
          </cell>
          <cell r="AD262" t="str">
            <v>AGM-01-010-015</v>
          </cell>
          <cell r="AE262" t="str">
            <v xml:space="preserve">Raemulan Lands, Inc. </v>
          </cell>
          <cell r="AF262" t="str">
            <v>Agapeya</v>
          </cell>
          <cell r="AG262" t="str">
            <v>AGM</v>
          </cell>
          <cell r="AH262" t="str">
            <v>Eco-High</v>
          </cell>
          <cell r="AI262" t="str">
            <v>West</v>
          </cell>
          <cell r="AJ262" t="str">
            <v>With LTS</v>
          </cell>
          <cell r="AK262" t="str">
            <v>Unaffected lots</v>
          </cell>
          <cell r="AL262" t="str">
            <v>Unaffected lots</v>
          </cell>
          <cell r="AM262" t="b">
            <v>1</v>
          </cell>
          <cell r="AN262" t="str">
            <v>YES</v>
          </cell>
          <cell r="AO262" t="str">
            <v>B4 2025</v>
          </cell>
          <cell r="AP262">
            <v>70</v>
          </cell>
          <cell r="AQ262" t="str">
            <v>PCS-04-034407</v>
          </cell>
          <cell r="AR262" t="b">
            <v>1</v>
          </cell>
          <cell r="AS262" t="str">
            <v>Done</v>
          </cell>
          <cell r="AT262" t="str">
            <v>2025 - Batch 4</v>
          </cell>
          <cell r="AU262">
            <v>10</v>
          </cell>
          <cell r="AV262">
            <v>15</v>
          </cell>
          <cell r="AW262" t="str">
            <v>H+L</v>
          </cell>
          <cell r="AX262">
            <v>70</v>
          </cell>
          <cell r="AY262">
            <v>50</v>
          </cell>
          <cell r="AZ262" t="str">
            <v>Duplex</v>
          </cell>
          <cell r="BA262">
            <v>1</v>
          </cell>
          <cell r="BB262" t="str">
            <v>568 - Without Partition</v>
          </cell>
          <cell r="BC262" t="str">
            <v xml:space="preserve">Without Partition </v>
          </cell>
          <cell r="BD262" t="str">
            <v>Flat</v>
          </cell>
          <cell r="BE262" t="str">
            <v xml:space="preserve">Without Partition </v>
          </cell>
          <cell r="BF262" t="str">
            <v>YELLOW</v>
          </cell>
          <cell r="BG262">
            <v>2500000</v>
          </cell>
          <cell r="BH262">
            <v>2650000</v>
          </cell>
          <cell r="BI262">
            <v>100000</v>
          </cell>
          <cell r="BJ262">
            <v>2550000</v>
          </cell>
          <cell r="BK262">
            <v>0</v>
          </cell>
          <cell r="BL262">
            <v>2550000</v>
          </cell>
        </row>
        <row r="263">
          <cell r="D263" t="str">
            <v>OS</v>
          </cell>
          <cell r="E263"/>
          <cell r="F263">
            <v>243</v>
          </cell>
          <cell r="G263" t="str">
            <v>CLOSED</v>
          </cell>
          <cell r="H263" t="str">
            <v>TS</v>
          </cell>
          <cell r="I263" t="str">
            <v>TS</v>
          </cell>
          <cell r="J263" t="str">
            <v>OS</v>
          </cell>
          <cell r="K263" t="str">
            <v>OS</v>
          </cell>
          <cell r="L263" t="str">
            <v>OS</v>
          </cell>
          <cell r="M263" t="str">
            <v>OS</v>
          </cell>
          <cell r="N263" t="str">
            <v>OS</v>
          </cell>
          <cell r="O263" t="str">
            <v>OS</v>
          </cell>
          <cell r="P263" t="str">
            <v>OS</v>
          </cell>
          <cell r="Q263" t="str">
            <v>OS</v>
          </cell>
          <cell r="R263" t="str">
            <v>OS</v>
          </cell>
          <cell r="S263" t="str">
            <v>OS</v>
          </cell>
          <cell r="T263" t="str">
            <v>OS</v>
          </cell>
          <cell r="U263" t="str">
            <v>OS</v>
          </cell>
          <cell r="V263" t="str">
            <v>OS</v>
          </cell>
          <cell r="W263" t="str">
            <v>OS</v>
          </cell>
          <cell r="X263" t="str">
            <v>OS</v>
          </cell>
          <cell r="Y263" t="str">
            <v>OS</v>
          </cell>
          <cell r="Z263" t="str">
            <v>OS</v>
          </cell>
          <cell r="AA263" t="str">
            <v>OS</v>
          </cell>
          <cell r="AB263" t="str">
            <v>OS</v>
          </cell>
          <cell r="AC263" t="str">
            <v>OS</v>
          </cell>
          <cell r="AD263" t="str">
            <v>AGM-01-010-016</v>
          </cell>
          <cell r="AE263" t="str">
            <v xml:space="preserve">Raemulan Lands, Inc. </v>
          </cell>
          <cell r="AF263" t="str">
            <v>Agapeya</v>
          </cell>
          <cell r="AG263" t="str">
            <v>AGM</v>
          </cell>
          <cell r="AH263" t="str">
            <v>Eco-High</v>
          </cell>
          <cell r="AI263" t="str">
            <v>West</v>
          </cell>
          <cell r="AJ263" t="str">
            <v>With LTS</v>
          </cell>
          <cell r="AK263" t="str">
            <v>Unaffected lots</v>
          </cell>
          <cell r="AL263" t="str">
            <v>Unaffected lots</v>
          </cell>
          <cell r="AM263" t="b">
            <v>1</v>
          </cell>
          <cell r="AN263" t="str">
            <v>YES</v>
          </cell>
          <cell r="AO263" t="str">
            <v>B4 2025</v>
          </cell>
          <cell r="AP263">
            <v>90</v>
          </cell>
          <cell r="AQ263" t="str">
            <v>PCS-04-034407</v>
          </cell>
          <cell r="AR263" t="b">
            <v>1</v>
          </cell>
          <cell r="AS263" t="str">
            <v>Done</v>
          </cell>
          <cell r="AT263" t="str">
            <v>2025 - Batch 4</v>
          </cell>
          <cell r="AU263">
            <v>10</v>
          </cell>
          <cell r="AV263">
            <v>16</v>
          </cell>
          <cell r="AW263" t="str">
            <v>H+L</v>
          </cell>
          <cell r="AX263">
            <v>90</v>
          </cell>
          <cell r="AY263">
            <v>50</v>
          </cell>
          <cell r="AZ263" t="str">
            <v>Duplex</v>
          </cell>
          <cell r="BA263">
            <v>1</v>
          </cell>
          <cell r="BB263" t="str">
            <v>568 - Without Partition</v>
          </cell>
          <cell r="BC263" t="str">
            <v xml:space="preserve">Without Partition </v>
          </cell>
          <cell r="BD263" t="str">
            <v>Slant</v>
          </cell>
          <cell r="BE263" t="str">
            <v xml:space="preserve">Without Partition </v>
          </cell>
          <cell r="BF263" t="str">
            <v>YELLOW</v>
          </cell>
          <cell r="BG263">
            <v>2500000</v>
          </cell>
          <cell r="BH263">
            <v>2950000</v>
          </cell>
          <cell r="BI263">
            <v>100000</v>
          </cell>
          <cell r="BJ263">
            <v>2850000</v>
          </cell>
          <cell r="BK263">
            <v>0</v>
          </cell>
          <cell r="BL263">
            <v>2850000</v>
          </cell>
        </row>
        <row r="264">
          <cell r="D264" t="str">
            <v>OS</v>
          </cell>
          <cell r="E264"/>
          <cell r="F264">
            <v>244</v>
          </cell>
          <cell r="G264" t="str">
            <v>SOLD</v>
          </cell>
          <cell r="H264" t="str">
            <v>OS</v>
          </cell>
          <cell r="I264" t="str">
            <v>OS</v>
          </cell>
          <cell r="J264" t="str">
            <v>OS</v>
          </cell>
          <cell r="K264" t="str">
            <v>OS</v>
          </cell>
          <cell r="L264" t="str">
            <v>OS</v>
          </cell>
          <cell r="M264" t="str">
            <v>OS</v>
          </cell>
          <cell r="N264" t="str">
            <v>OS</v>
          </cell>
          <cell r="O264" t="str">
            <v>OS</v>
          </cell>
          <cell r="P264" t="str">
            <v>OS</v>
          </cell>
          <cell r="Q264" t="str">
            <v>OS</v>
          </cell>
          <cell r="R264" t="str">
            <v>OS</v>
          </cell>
          <cell r="S264" t="str">
            <v>OS</v>
          </cell>
          <cell r="T264" t="str">
            <v>OS</v>
          </cell>
          <cell r="U264" t="str">
            <v>OS</v>
          </cell>
          <cell r="V264" t="str">
            <v>OS</v>
          </cell>
          <cell r="W264" t="str">
            <v>OS</v>
          </cell>
          <cell r="X264" t="str">
            <v>OS</v>
          </cell>
          <cell r="Y264" t="str">
            <v>OS</v>
          </cell>
          <cell r="Z264" t="str">
            <v>OS</v>
          </cell>
          <cell r="AA264" t="str">
            <v>OS</v>
          </cell>
          <cell r="AB264" t="str">
            <v>OS</v>
          </cell>
          <cell r="AC264" t="str">
            <v>OS</v>
          </cell>
          <cell r="AD264" t="str">
            <v>AGM-01-011-001</v>
          </cell>
          <cell r="AE264" t="str">
            <v xml:space="preserve">Raemulan Lands, Inc. </v>
          </cell>
          <cell r="AF264" t="str">
            <v>Agapeya</v>
          </cell>
          <cell r="AG264" t="str">
            <v>AGM</v>
          </cell>
          <cell r="AH264" t="str">
            <v>Eco-High</v>
          </cell>
          <cell r="AI264" t="str">
            <v>West</v>
          </cell>
          <cell r="AJ264" t="str">
            <v>With LTS</v>
          </cell>
          <cell r="AK264" t="str">
            <v>Unaffected lots</v>
          </cell>
          <cell r="AL264" t="str">
            <v>Unaffected lots</v>
          </cell>
          <cell r="AM264" t="b">
            <v>1</v>
          </cell>
          <cell r="AN264" t="str">
            <v>NO</v>
          </cell>
          <cell r="AO264" t="str">
            <v>B3 2025</v>
          </cell>
          <cell r="AP264">
            <v>90</v>
          </cell>
          <cell r="AQ264" t="str">
            <v>PCS-04-035872</v>
          </cell>
          <cell r="AR264" t="b">
            <v>1</v>
          </cell>
          <cell r="AS264" t="str">
            <v>Done</v>
          </cell>
          <cell r="AT264" t="str">
            <v>2025 - Batch 4</v>
          </cell>
          <cell r="AU264">
            <v>11</v>
          </cell>
          <cell r="AV264">
            <v>1</v>
          </cell>
          <cell r="AW264" t="str">
            <v>H+L</v>
          </cell>
          <cell r="AX264">
            <v>90</v>
          </cell>
          <cell r="AY264">
            <v>50</v>
          </cell>
          <cell r="AZ264" t="str">
            <v>Duplex</v>
          </cell>
          <cell r="BA264">
            <v>1</v>
          </cell>
          <cell r="BB264" t="str">
            <v>568 - Without Partition</v>
          </cell>
          <cell r="BC264" t="str">
            <v xml:space="preserve">Without Partition </v>
          </cell>
          <cell r="BD264" t="str">
            <v>Slant</v>
          </cell>
          <cell r="BE264" t="str">
            <v xml:space="preserve">Without Partition </v>
          </cell>
          <cell r="BF264" t="str">
            <v>PINK</v>
          </cell>
          <cell r="BG264">
            <v>2800000</v>
          </cell>
          <cell r="BH264">
            <v>2950000</v>
          </cell>
          <cell r="BI264">
            <v>100000</v>
          </cell>
          <cell r="BJ264">
            <v>2850000</v>
          </cell>
          <cell r="BK264">
            <v>0</v>
          </cell>
          <cell r="BL264">
            <v>2850000</v>
          </cell>
        </row>
        <row r="265">
          <cell r="D265" t="str">
            <v>OS</v>
          </cell>
          <cell r="E265"/>
          <cell r="F265">
            <v>245</v>
          </cell>
          <cell r="G265" t="str">
            <v>SOLD</v>
          </cell>
          <cell r="H265" t="str">
            <v>OS</v>
          </cell>
          <cell r="I265" t="str">
            <v>OS</v>
          </cell>
          <cell r="J265" t="str">
            <v>OS</v>
          </cell>
          <cell r="K265" t="str">
            <v>OS</v>
          </cell>
          <cell r="L265" t="str">
            <v>OS</v>
          </cell>
          <cell r="M265" t="str">
            <v>OS</v>
          </cell>
          <cell r="N265" t="str">
            <v>OS</v>
          </cell>
          <cell r="O265" t="str">
            <v>OS</v>
          </cell>
          <cell r="P265" t="str">
            <v>OS</v>
          </cell>
          <cell r="Q265" t="str">
            <v>OS</v>
          </cell>
          <cell r="R265" t="str">
            <v>OS</v>
          </cell>
          <cell r="S265" t="str">
            <v>OS</v>
          </cell>
          <cell r="T265" t="str">
            <v>OS</v>
          </cell>
          <cell r="U265" t="str">
            <v>OS</v>
          </cell>
          <cell r="V265" t="str">
            <v>OS</v>
          </cell>
          <cell r="W265" t="str">
            <v>OS</v>
          </cell>
          <cell r="X265" t="str">
            <v>OS</v>
          </cell>
          <cell r="Y265" t="str">
            <v>OS</v>
          </cell>
          <cell r="Z265" t="str">
            <v>OS</v>
          </cell>
          <cell r="AA265" t="str">
            <v>OS</v>
          </cell>
          <cell r="AB265" t="str">
            <v>OS</v>
          </cell>
          <cell r="AC265" t="str">
            <v>OS</v>
          </cell>
          <cell r="AD265" t="str">
            <v>AGM-01-011-002</v>
          </cell>
          <cell r="AE265" t="str">
            <v xml:space="preserve">Raemulan Lands, Inc. </v>
          </cell>
          <cell r="AF265" t="str">
            <v>Agapeya</v>
          </cell>
          <cell r="AG265" t="str">
            <v>AGM</v>
          </cell>
          <cell r="AH265" t="str">
            <v>Eco-High</v>
          </cell>
          <cell r="AI265" t="str">
            <v>West</v>
          </cell>
          <cell r="AJ265" t="str">
            <v>With LTS</v>
          </cell>
          <cell r="AK265" t="str">
            <v>Unaffected lots</v>
          </cell>
          <cell r="AL265" t="str">
            <v>Unaffected lots</v>
          </cell>
          <cell r="AM265" t="b">
            <v>1</v>
          </cell>
          <cell r="AN265" t="str">
            <v>YES</v>
          </cell>
          <cell r="AO265" t="str">
            <v>B3 2025</v>
          </cell>
          <cell r="AP265">
            <v>70</v>
          </cell>
          <cell r="AQ265" t="str">
            <v>PCS-04-034407</v>
          </cell>
          <cell r="AR265" t="b">
            <v>1</v>
          </cell>
          <cell r="AS265" t="str">
            <v>Done</v>
          </cell>
          <cell r="AT265" t="str">
            <v>2025 - Batch 4</v>
          </cell>
          <cell r="AU265">
            <v>11</v>
          </cell>
          <cell r="AV265">
            <v>2</v>
          </cell>
          <cell r="AW265" t="str">
            <v>H+L</v>
          </cell>
          <cell r="AX265">
            <v>70</v>
          </cell>
          <cell r="AY265">
            <v>50</v>
          </cell>
          <cell r="AZ265" t="str">
            <v>Duplex</v>
          </cell>
          <cell r="BA265">
            <v>1</v>
          </cell>
          <cell r="BB265" t="str">
            <v>568 - Without Partition</v>
          </cell>
          <cell r="BC265" t="str">
            <v xml:space="preserve">Without Partition </v>
          </cell>
          <cell r="BD265" t="str">
            <v>Flat</v>
          </cell>
          <cell r="BE265" t="str">
            <v xml:space="preserve">Without Partition </v>
          </cell>
          <cell r="BF265" t="str">
            <v>PINK</v>
          </cell>
          <cell r="BG265">
            <v>2500000</v>
          </cell>
          <cell r="BH265">
            <v>2650000</v>
          </cell>
          <cell r="BI265">
            <v>100000</v>
          </cell>
          <cell r="BJ265">
            <v>2550000</v>
          </cell>
          <cell r="BK265">
            <v>0</v>
          </cell>
          <cell r="BL265">
            <v>2550000</v>
          </cell>
        </row>
        <row r="266">
          <cell r="D266" t="str">
            <v>OS</v>
          </cell>
          <cell r="E266"/>
          <cell r="F266">
            <v>246</v>
          </cell>
          <cell r="G266" t="str">
            <v>CLOSED</v>
          </cell>
          <cell r="H266" t="str">
            <v>TS</v>
          </cell>
          <cell r="I266" t="str">
            <v>TS</v>
          </cell>
          <cell r="J266" t="str">
            <v>TS</v>
          </cell>
          <cell r="K266" t="str">
            <v>TS</v>
          </cell>
          <cell r="L266" t="str">
            <v>TS</v>
          </cell>
          <cell r="M266" t="str">
            <v>TS</v>
          </cell>
          <cell r="N266" t="str">
            <v>OS</v>
          </cell>
          <cell r="O266" t="str">
            <v>OS</v>
          </cell>
          <cell r="P266" t="str">
            <v>OS</v>
          </cell>
          <cell r="Q266" t="str">
            <v>OS</v>
          </cell>
          <cell r="R266" t="str">
            <v>OS</v>
          </cell>
          <cell r="S266" t="str">
            <v>OS</v>
          </cell>
          <cell r="T266" t="str">
            <v>OS</v>
          </cell>
          <cell r="U266" t="str">
            <v>OS</v>
          </cell>
          <cell r="V266" t="str">
            <v>OS</v>
          </cell>
          <cell r="W266" t="str">
            <v>OS</v>
          </cell>
          <cell r="X266" t="str">
            <v>OS</v>
          </cell>
          <cell r="Y266" t="str">
            <v>OS</v>
          </cell>
          <cell r="Z266" t="str">
            <v>OS</v>
          </cell>
          <cell r="AA266" t="str">
            <v>OS</v>
          </cell>
          <cell r="AB266" t="str">
            <v>OS</v>
          </cell>
          <cell r="AC266" t="str">
            <v>OS</v>
          </cell>
          <cell r="AD266" t="str">
            <v>AGM-01-011-003</v>
          </cell>
          <cell r="AE266" t="str">
            <v xml:space="preserve">Raemulan Lands, Inc. </v>
          </cell>
          <cell r="AF266" t="str">
            <v>Agapeya</v>
          </cell>
          <cell r="AG266" t="str">
            <v>AGM</v>
          </cell>
          <cell r="AH266" t="str">
            <v>Eco-High</v>
          </cell>
          <cell r="AI266" t="str">
            <v>West</v>
          </cell>
          <cell r="AJ266" t="str">
            <v>With LTS</v>
          </cell>
          <cell r="AK266" t="str">
            <v>Unaffected lots</v>
          </cell>
          <cell r="AL266" t="str">
            <v>Unaffected lots</v>
          </cell>
          <cell r="AM266" t="b">
            <v>1</v>
          </cell>
          <cell r="AN266" t="str">
            <v>YES</v>
          </cell>
          <cell r="AO266" t="str">
            <v>B3 2025</v>
          </cell>
          <cell r="AP266">
            <v>70</v>
          </cell>
          <cell r="AQ266" t="str">
            <v>PCS-04-034407</v>
          </cell>
          <cell r="AR266" t="b">
            <v>1</v>
          </cell>
          <cell r="AS266" t="str">
            <v>Done</v>
          </cell>
          <cell r="AT266" t="str">
            <v>2025 - Batch 4</v>
          </cell>
          <cell r="AU266">
            <v>11</v>
          </cell>
          <cell r="AV266">
            <v>3</v>
          </cell>
          <cell r="AW266" t="str">
            <v>H+L</v>
          </cell>
          <cell r="AX266">
            <v>70</v>
          </cell>
          <cell r="AY266">
            <v>50</v>
          </cell>
          <cell r="AZ266" t="str">
            <v>Duplex</v>
          </cell>
          <cell r="BA266">
            <v>1</v>
          </cell>
          <cell r="BB266" t="str">
            <v>568 - Without Partition</v>
          </cell>
          <cell r="BC266" t="str">
            <v xml:space="preserve">Without Partition </v>
          </cell>
          <cell r="BD266" t="str">
            <v>Flat</v>
          </cell>
          <cell r="BE266" t="str">
            <v xml:space="preserve">Without Partition </v>
          </cell>
          <cell r="BF266" t="str">
            <v>PINK</v>
          </cell>
          <cell r="BG266">
            <v>2500000</v>
          </cell>
          <cell r="BH266">
            <v>2650000</v>
          </cell>
          <cell r="BI266">
            <v>100000</v>
          </cell>
          <cell r="BJ266">
            <v>2550000</v>
          </cell>
          <cell r="BK266">
            <v>0</v>
          </cell>
          <cell r="BL266">
            <v>2550000</v>
          </cell>
        </row>
        <row r="267">
          <cell r="D267" t="str">
            <v>OS</v>
          </cell>
          <cell r="E267"/>
          <cell r="F267">
            <v>247</v>
          </cell>
          <cell r="G267" t="str">
            <v>SOLD</v>
          </cell>
          <cell r="H267" t="str">
            <v>OS</v>
          </cell>
          <cell r="I267" t="str">
            <v>OS</v>
          </cell>
          <cell r="J267" t="str">
            <v>OS</v>
          </cell>
          <cell r="K267" t="str">
            <v>OS</v>
          </cell>
          <cell r="L267" t="str">
            <v>OS</v>
          </cell>
          <cell r="M267" t="str">
            <v>OS</v>
          </cell>
          <cell r="N267" t="str">
            <v>OS</v>
          </cell>
          <cell r="O267" t="str">
            <v>OS</v>
          </cell>
          <cell r="P267" t="str">
            <v>OS</v>
          </cell>
          <cell r="Q267" t="str">
            <v>OS</v>
          </cell>
          <cell r="R267" t="str">
            <v>OS</v>
          </cell>
          <cell r="S267" t="str">
            <v>OS</v>
          </cell>
          <cell r="T267" t="str">
            <v>OS</v>
          </cell>
          <cell r="U267" t="str">
            <v>OS</v>
          </cell>
          <cell r="V267" t="str">
            <v>OS</v>
          </cell>
          <cell r="W267" t="str">
            <v>OS</v>
          </cell>
          <cell r="X267" t="str">
            <v>OS</v>
          </cell>
          <cell r="Y267" t="str">
            <v>OS</v>
          </cell>
          <cell r="Z267" t="str">
            <v>OS</v>
          </cell>
          <cell r="AA267" t="str">
            <v>OS</v>
          </cell>
          <cell r="AB267" t="str">
            <v>OS</v>
          </cell>
          <cell r="AC267" t="str">
            <v>OS</v>
          </cell>
          <cell r="AD267" t="str">
            <v>AGM-01-011-004</v>
          </cell>
          <cell r="AE267" t="str">
            <v xml:space="preserve">Raemulan Lands, Inc. </v>
          </cell>
          <cell r="AF267" t="str">
            <v>Agapeya</v>
          </cell>
          <cell r="AG267" t="str">
            <v>AGM</v>
          </cell>
          <cell r="AH267" t="str">
            <v>Eco-High</v>
          </cell>
          <cell r="AI267" t="str">
            <v>West</v>
          </cell>
          <cell r="AJ267" t="str">
            <v>With LTS</v>
          </cell>
          <cell r="AK267" t="str">
            <v>Unaffected lots</v>
          </cell>
          <cell r="AL267" t="str">
            <v>Unaffected lots</v>
          </cell>
          <cell r="AM267" t="b">
            <v>1</v>
          </cell>
          <cell r="AN267" t="str">
            <v>YES</v>
          </cell>
          <cell r="AO267" t="str">
            <v>B3 2025</v>
          </cell>
          <cell r="AP267">
            <v>70</v>
          </cell>
          <cell r="AQ267" t="str">
            <v>PCS-04-034407</v>
          </cell>
          <cell r="AR267" t="b">
            <v>1</v>
          </cell>
          <cell r="AS267" t="str">
            <v>Done</v>
          </cell>
          <cell r="AT267" t="str">
            <v>2025 - Batch 4</v>
          </cell>
          <cell r="AU267">
            <v>11</v>
          </cell>
          <cell r="AV267">
            <v>4</v>
          </cell>
          <cell r="AW267" t="str">
            <v>H+L</v>
          </cell>
          <cell r="AX267">
            <v>70</v>
          </cell>
          <cell r="AY267">
            <v>50</v>
          </cell>
          <cell r="AZ267" t="str">
            <v>Duplex</v>
          </cell>
          <cell r="BA267">
            <v>1</v>
          </cell>
          <cell r="BB267" t="str">
            <v>568 - Without Partition</v>
          </cell>
          <cell r="BC267" t="str">
            <v xml:space="preserve">Without Partition </v>
          </cell>
          <cell r="BD267" t="str">
            <v>Slant</v>
          </cell>
          <cell r="BE267" t="str">
            <v xml:space="preserve">Without Partition </v>
          </cell>
          <cell r="BF267" t="str">
            <v>PINK</v>
          </cell>
          <cell r="BG267">
            <v>2500000</v>
          </cell>
          <cell r="BH267">
            <v>2650000</v>
          </cell>
          <cell r="BI267">
            <v>100000</v>
          </cell>
          <cell r="BJ267">
            <v>2550000</v>
          </cell>
          <cell r="BK267">
            <v>0</v>
          </cell>
          <cell r="BL267">
            <v>2550000</v>
          </cell>
        </row>
        <row r="268">
          <cell r="D268" t="str">
            <v>OS</v>
          </cell>
          <cell r="E268"/>
          <cell r="F268">
            <v>248</v>
          </cell>
          <cell r="G268" t="str">
            <v>UNSOLD</v>
          </cell>
          <cell r="H268" t="str">
            <v>OS</v>
          </cell>
          <cell r="I268" t="str">
            <v>OS</v>
          </cell>
          <cell r="J268" t="str">
            <v>OS</v>
          </cell>
          <cell r="K268" t="str">
            <v>OS</v>
          </cell>
          <cell r="L268" t="str">
            <v>OS</v>
          </cell>
          <cell r="M268" t="str">
            <v>OS</v>
          </cell>
          <cell r="N268" t="str">
            <v>OS</v>
          </cell>
          <cell r="O268" t="str">
            <v>OS</v>
          </cell>
          <cell r="P268" t="str">
            <v>OS</v>
          </cell>
          <cell r="Q268" t="str">
            <v>OS</v>
          </cell>
          <cell r="R268" t="str">
            <v>OS</v>
          </cell>
          <cell r="S268" t="str">
            <v>OS</v>
          </cell>
          <cell r="T268" t="str">
            <v>OS</v>
          </cell>
          <cell r="U268" t="str">
            <v>OS</v>
          </cell>
          <cell r="V268" t="str">
            <v>OS</v>
          </cell>
          <cell r="W268" t="str">
            <v>OS</v>
          </cell>
          <cell r="X268" t="str">
            <v>OS</v>
          </cell>
          <cell r="Y268" t="str">
            <v>OS</v>
          </cell>
          <cell r="Z268" t="str">
            <v>OS</v>
          </cell>
          <cell r="AA268" t="str">
            <v>OS</v>
          </cell>
          <cell r="AB268" t="str">
            <v>OS</v>
          </cell>
          <cell r="AC268" t="str">
            <v>OS</v>
          </cell>
          <cell r="AD268" t="str">
            <v>AGM-01-011-005</v>
          </cell>
          <cell r="AE268" t="str">
            <v xml:space="preserve">Raemulan Lands, Inc. </v>
          </cell>
          <cell r="AF268" t="str">
            <v>Agapeya</v>
          </cell>
          <cell r="AG268" t="str">
            <v>AGM</v>
          </cell>
          <cell r="AH268" t="str">
            <v>Eco-High</v>
          </cell>
          <cell r="AI268" t="str">
            <v>West</v>
          </cell>
          <cell r="AJ268" t="str">
            <v>With LTS</v>
          </cell>
          <cell r="AK268" t="str">
            <v>Unaffected lots</v>
          </cell>
          <cell r="AL268" t="str">
            <v>Unaffected lots</v>
          </cell>
          <cell r="AM268" t="b">
            <v>1</v>
          </cell>
          <cell r="AN268" t="str">
            <v>YES</v>
          </cell>
          <cell r="AO268" t="str">
            <v>B3 2025</v>
          </cell>
          <cell r="AP268">
            <v>70</v>
          </cell>
          <cell r="AQ268" t="str">
            <v>PCS-04-034407</v>
          </cell>
          <cell r="AR268" t="b">
            <v>1</v>
          </cell>
          <cell r="AS268" t="str">
            <v>Done</v>
          </cell>
          <cell r="AT268" t="str">
            <v>2025 - Batch 4</v>
          </cell>
          <cell r="AU268">
            <v>11</v>
          </cell>
          <cell r="AV268">
            <v>5</v>
          </cell>
          <cell r="AW268" t="str">
            <v>H+L</v>
          </cell>
          <cell r="AX268">
            <v>70</v>
          </cell>
          <cell r="AY268">
            <v>50</v>
          </cell>
          <cell r="AZ268" t="str">
            <v>Duplex</v>
          </cell>
          <cell r="BA268">
            <v>1</v>
          </cell>
          <cell r="BB268" t="str">
            <v>568 - Without Partition</v>
          </cell>
          <cell r="BC268" t="str">
            <v xml:space="preserve">Without Partition </v>
          </cell>
          <cell r="BD268" t="str">
            <v>Slant</v>
          </cell>
          <cell r="BE268" t="str">
            <v xml:space="preserve">Without Partition </v>
          </cell>
          <cell r="BF268" t="str">
            <v>YELLOW</v>
          </cell>
          <cell r="BG268">
            <v>2500000</v>
          </cell>
          <cell r="BH268">
            <v>2650000</v>
          </cell>
          <cell r="BI268">
            <v>100000</v>
          </cell>
          <cell r="BJ268">
            <v>2550000</v>
          </cell>
          <cell r="BK268">
            <v>0</v>
          </cell>
          <cell r="BL268">
            <v>2550000</v>
          </cell>
        </row>
        <row r="269">
          <cell r="D269" t="str">
            <v>OS</v>
          </cell>
          <cell r="E269"/>
          <cell r="F269">
            <v>249</v>
          </cell>
          <cell r="G269" t="str">
            <v>SOLD</v>
          </cell>
          <cell r="H269" t="str">
            <v>OS</v>
          </cell>
          <cell r="I269" t="str">
            <v>OS</v>
          </cell>
          <cell r="J269" t="str">
            <v>OS</v>
          </cell>
          <cell r="K269" t="str">
            <v>OS</v>
          </cell>
          <cell r="L269" t="str">
            <v>OS</v>
          </cell>
          <cell r="M269" t="str">
            <v>OS</v>
          </cell>
          <cell r="N269" t="str">
            <v>OS</v>
          </cell>
          <cell r="O269" t="str">
            <v>OS</v>
          </cell>
          <cell r="P269" t="str">
            <v>OS</v>
          </cell>
          <cell r="Q269" t="str">
            <v>OS</v>
          </cell>
          <cell r="R269" t="str">
            <v>OS</v>
          </cell>
          <cell r="S269" t="str">
            <v>OS</v>
          </cell>
          <cell r="T269" t="str">
            <v>OS</v>
          </cell>
          <cell r="U269" t="str">
            <v>OS</v>
          </cell>
          <cell r="V269" t="str">
            <v>OS</v>
          </cell>
          <cell r="W269" t="str">
            <v>OS</v>
          </cell>
          <cell r="X269" t="str">
            <v>OS</v>
          </cell>
          <cell r="Y269" t="str">
            <v>OS</v>
          </cell>
          <cell r="Z269" t="str">
            <v>OS</v>
          </cell>
          <cell r="AA269" t="str">
            <v>OS</v>
          </cell>
          <cell r="AB269" t="str">
            <v>OS</v>
          </cell>
          <cell r="AC269" t="str">
            <v>OS</v>
          </cell>
          <cell r="AD269" t="str">
            <v>AGM-01-011-006</v>
          </cell>
          <cell r="AE269" t="str">
            <v xml:space="preserve">Raemulan Lands, Inc. </v>
          </cell>
          <cell r="AF269" t="str">
            <v>Agapeya</v>
          </cell>
          <cell r="AG269" t="str">
            <v>AGM</v>
          </cell>
          <cell r="AH269" t="str">
            <v>Eco-High</v>
          </cell>
          <cell r="AI269" t="str">
            <v>West</v>
          </cell>
          <cell r="AJ269" t="str">
            <v>With LTS</v>
          </cell>
          <cell r="AK269" t="str">
            <v>Unaffected lots</v>
          </cell>
          <cell r="AL269" t="str">
            <v>Unaffected lots</v>
          </cell>
          <cell r="AM269" t="b">
            <v>1</v>
          </cell>
          <cell r="AN269" t="str">
            <v>YES</v>
          </cell>
          <cell r="AO269" t="str">
            <v>B3 2025</v>
          </cell>
          <cell r="AP269">
            <v>70</v>
          </cell>
          <cell r="AQ269" t="str">
            <v>PCS-04-034407</v>
          </cell>
          <cell r="AR269" t="b">
            <v>1</v>
          </cell>
          <cell r="AS269" t="str">
            <v>Done</v>
          </cell>
          <cell r="AT269" t="str">
            <v>2025 - Batch 4</v>
          </cell>
          <cell r="AU269">
            <v>11</v>
          </cell>
          <cell r="AV269">
            <v>6</v>
          </cell>
          <cell r="AW269" t="str">
            <v>H+L</v>
          </cell>
          <cell r="AX269">
            <v>70</v>
          </cell>
          <cell r="AY269">
            <v>50</v>
          </cell>
          <cell r="AZ269" t="str">
            <v>Duplex</v>
          </cell>
          <cell r="BA269">
            <v>1</v>
          </cell>
          <cell r="BB269" t="str">
            <v>568 - Without Partition</v>
          </cell>
          <cell r="BC269" t="str">
            <v xml:space="preserve">Without Partition </v>
          </cell>
          <cell r="BD269" t="str">
            <v>Flat</v>
          </cell>
          <cell r="BE269" t="str">
            <v xml:space="preserve">Without Partition </v>
          </cell>
          <cell r="BF269" t="str">
            <v>YELLOW</v>
          </cell>
          <cell r="BG269">
            <v>2500000</v>
          </cell>
          <cell r="BH269">
            <v>2650000</v>
          </cell>
          <cell r="BI269">
            <v>100000</v>
          </cell>
          <cell r="BJ269">
            <v>2550000</v>
          </cell>
          <cell r="BK269">
            <v>0</v>
          </cell>
          <cell r="BL269">
            <v>2550000</v>
          </cell>
        </row>
        <row r="270">
          <cell r="D270" t="str">
            <v>OS</v>
          </cell>
          <cell r="E270"/>
          <cell r="F270">
            <v>250</v>
          </cell>
          <cell r="G270" t="str">
            <v>SOLD</v>
          </cell>
          <cell r="H270" t="str">
            <v>OS</v>
          </cell>
          <cell r="I270" t="str">
            <v>OS</v>
          </cell>
          <cell r="J270" t="str">
            <v>OS</v>
          </cell>
          <cell r="K270" t="str">
            <v>OS</v>
          </cell>
          <cell r="L270" t="str">
            <v>OS</v>
          </cell>
          <cell r="M270" t="str">
            <v>OS</v>
          </cell>
          <cell r="N270" t="str">
            <v>OS</v>
          </cell>
          <cell r="O270" t="str">
            <v>OS</v>
          </cell>
          <cell r="P270" t="str">
            <v>OS</v>
          </cell>
          <cell r="Q270" t="str">
            <v>OS</v>
          </cell>
          <cell r="R270" t="str">
            <v>OS</v>
          </cell>
          <cell r="S270" t="str">
            <v>OS</v>
          </cell>
          <cell r="T270" t="str">
            <v>OS</v>
          </cell>
          <cell r="U270" t="str">
            <v>OS</v>
          </cell>
          <cell r="V270" t="str">
            <v>OS</v>
          </cell>
          <cell r="W270" t="str">
            <v>OS</v>
          </cell>
          <cell r="X270" t="str">
            <v>OS</v>
          </cell>
          <cell r="Y270" t="str">
            <v>OS</v>
          </cell>
          <cell r="Z270" t="str">
            <v>OS</v>
          </cell>
          <cell r="AA270" t="str">
            <v>OS</v>
          </cell>
          <cell r="AB270" t="str">
            <v>OS</v>
          </cell>
          <cell r="AC270" t="str">
            <v>OS</v>
          </cell>
          <cell r="AD270" t="str">
            <v>AGM-01-011-007</v>
          </cell>
          <cell r="AE270" t="str">
            <v xml:space="preserve">Raemulan Lands, Inc. </v>
          </cell>
          <cell r="AF270" t="str">
            <v>Agapeya</v>
          </cell>
          <cell r="AG270" t="str">
            <v>AGM</v>
          </cell>
          <cell r="AH270" t="str">
            <v>Eco-High</v>
          </cell>
          <cell r="AI270" t="str">
            <v>West</v>
          </cell>
          <cell r="AJ270" t="str">
            <v>With LTS</v>
          </cell>
          <cell r="AK270" t="str">
            <v>Unaffected lots</v>
          </cell>
          <cell r="AL270" t="str">
            <v>Unaffected lots</v>
          </cell>
          <cell r="AM270" t="b">
            <v>1</v>
          </cell>
          <cell r="AN270" t="str">
            <v>YES</v>
          </cell>
          <cell r="AO270" t="str">
            <v>B3 2025</v>
          </cell>
          <cell r="AP270">
            <v>70</v>
          </cell>
          <cell r="AQ270" t="str">
            <v>PCS-04-034407</v>
          </cell>
          <cell r="AR270" t="b">
            <v>1</v>
          </cell>
          <cell r="AS270" t="str">
            <v>Done</v>
          </cell>
          <cell r="AT270" t="str">
            <v>2025 - Batch 4</v>
          </cell>
          <cell r="AU270">
            <v>11</v>
          </cell>
          <cell r="AV270">
            <v>7</v>
          </cell>
          <cell r="AW270" t="str">
            <v>H+L</v>
          </cell>
          <cell r="AX270">
            <v>70</v>
          </cell>
          <cell r="AY270">
            <v>50</v>
          </cell>
          <cell r="AZ270" t="str">
            <v>Duplex</v>
          </cell>
          <cell r="BA270">
            <v>1</v>
          </cell>
          <cell r="BB270" t="str">
            <v>568 - Without Partition</v>
          </cell>
          <cell r="BC270" t="str">
            <v xml:space="preserve">Without Partition </v>
          </cell>
          <cell r="BD270" t="str">
            <v>Flat</v>
          </cell>
          <cell r="BE270" t="str">
            <v xml:space="preserve">Without Partition </v>
          </cell>
          <cell r="BF270" t="str">
            <v>YELLOW</v>
          </cell>
          <cell r="BG270">
            <v>2500000</v>
          </cell>
          <cell r="BH270">
            <v>2650000</v>
          </cell>
          <cell r="BI270">
            <v>100000</v>
          </cell>
          <cell r="BJ270">
            <v>2550000</v>
          </cell>
          <cell r="BK270">
            <v>0</v>
          </cell>
          <cell r="BL270">
            <v>2550000</v>
          </cell>
        </row>
        <row r="271">
          <cell r="D271" t="str">
            <v>OS</v>
          </cell>
          <cell r="E271"/>
          <cell r="F271">
            <v>251</v>
          </cell>
          <cell r="G271" t="str">
            <v>SOLD</v>
          </cell>
          <cell r="H271" t="str">
            <v>OS</v>
          </cell>
          <cell r="I271" t="str">
            <v>OS</v>
          </cell>
          <cell r="J271" t="str">
            <v>OS</v>
          </cell>
          <cell r="K271" t="str">
            <v>OS</v>
          </cell>
          <cell r="L271" t="str">
            <v>OS</v>
          </cell>
          <cell r="M271" t="str">
            <v>OS</v>
          </cell>
          <cell r="N271" t="str">
            <v>OS</v>
          </cell>
          <cell r="O271" t="str">
            <v>OS</v>
          </cell>
          <cell r="P271" t="str">
            <v>OS</v>
          </cell>
          <cell r="Q271" t="str">
            <v>OS</v>
          </cell>
          <cell r="R271" t="str">
            <v>OS</v>
          </cell>
          <cell r="S271" t="str">
            <v>OS</v>
          </cell>
          <cell r="T271" t="str">
            <v>OS</v>
          </cell>
          <cell r="U271" t="str">
            <v>OS</v>
          </cell>
          <cell r="V271" t="str">
            <v>OS</v>
          </cell>
          <cell r="W271" t="str">
            <v>OS</v>
          </cell>
          <cell r="X271" t="str">
            <v>OS</v>
          </cell>
          <cell r="Y271" t="str">
            <v>OS</v>
          </cell>
          <cell r="Z271" t="str">
            <v>OS</v>
          </cell>
          <cell r="AA271" t="str">
            <v>OS</v>
          </cell>
          <cell r="AB271" t="str">
            <v>OS</v>
          </cell>
          <cell r="AC271" t="str">
            <v>OS</v>
          </cell>
          <cell r="AD271" t="str">
            <v>AGM-01-011-008</v>
          </cell>
          <cell r="AE271" t="str">
            <v xml:space="preserve">Raemulan Lands, Inc. </v>
          </cell>
          <cell r="AF271" t="str">
            <v>Agapeya</v>
          </cell>
          <cell r="AG271" t="str">
            <v>AGM</v>
          </cell>
          <cell r="AH271" t="str">
            <v>Eco-High</v>
          </cell>
          <cell r="AI271" t="str">
            <v>West</v>
          </cell>
          <cell r="AJ271" t="str">
            <v>With LTS</v>
          </cell>
          <cell r="AK271" t="str">
            <v>Unaffected lots</v>
          </cell>
          <cell r="AL271" t="str">
            <v>Unaffected lots</v>
          </cell>
          <cell r="AM271" t="b">
            <v>1</v>
          </cell>
          <cell r="AN271" t="str">
            <v>YES</v>
          </cell>
          <cell r="AO271" t="str">
            <v>B3 2025</v>
          </cell>
          <cell r="AP271">
            <v>90</v>
          </cell>
          <cell r="AQ271" t="str">
            <v>PCS-04-034407</v>
          </cell>
          <cell r="AR271" t="b">
            <v>1</v>
          </cell>
          <cell r="AS271" t="str">
            <v>Done</v>
          </cell>
          <cell r="AT271" t="str">
            <v>2025 - Batch 4</v>
          </cell>
          <cell r="AU271">
            <v>11</v>
          </cell>
          <cell r="AV271">
            <v>8</v>
          </cell>
          <cell r="AW271" t="str">
            <v>H+L</v>
          </cell>
          <cell r="AX271">
            <v>90</v>
          </cell>
          <cell r="AY271">
            <v>50</v>
          </cell>
          <cell r="AZ271" t="str">
            <v>Duplex</v>
          </cell>
          <cell r="BA271">
            <v>1</v>
          </cell>
          <cell r="BB271" t="str">
            <v>568 - Without Partition</v>
          </cell>
          <cell r="BC271" t="str">
            <v xml:space="preserve">Without Partition </v>
          </cell>
          <cell r="BD271" t="str">
            <v>Slant</v>
          </cell>
          <cell r="BE271" t="str">
            <v xml:space="preserve">Without Partition </v>
          </cell>
          <cell r="BF271" t="str">
            <v>YELLOW</v>
          </cell>
          <cell r="BG271">
            <v>2500000</v>
          </cell>
          <cell r="BH271">
            <v>2950000</v>
          </cell>
          <cell r="BI271">
            <v>100000</v>
          </cell>
          <cell r="BJ271">
            <v>2850000</v>
          </cell>
          <cell r="BK271">
            <v>0</v>
          </cell>
          <cell r="BL271">
            <v>2850000</v>
          </cell>
        </row>
        <row r="272">
          <cell r="D272" t="str">
            <v>OS</v>
          </cell>
          <cell r="E272"/>
          <cell r="F272">
            <v>252</v>
          </cell>
          <cell r="G272" t="str">
            <v>UNSOLD</v>
          </cell>
          <cell r="H272" t="str">
            <v>TS</v>
          </cell>
          <cell r="I272" t="str">
            <v>TS</v>
          </cell>
          <cell r="J272" t="str">
            <v>TS - MORE THAN 30 DAYS</v>
          </cell>
          <cell r="K272" t="str">
            <v>TS</v>
          </cell>
          <cell r="L272" t="str">
            <v>TS</v>
          </cell>
          <cell r="M272" t="str">
            <v>TS</v>
          </cell>
          <cell r="N272" t="str">
            <v>TS</v>
          </cell>
          <cell r="O272" t="str">
            <v>TS</v>
          </cell>
          <cell r="P272" t="str">
            <v>TS</v>
          </cell>
          <cell r="Q272" t="str">
            <v>TS</v>
          </cell>
          <cell r="R272" t="str">
            <v>TS</v>
          </cell>
          <cell r="S272" t="str">
            <v>TS</v>
          </cell>
          <cell r="T272" t="str">
            <v>TS</v>
          </cell>
          <cell r="U272" t="str">
            <v>OS</v>
          </cell>
          <cell r="V272" t="str">
            <v>OS</v>
          </cell>
          <cell r="W272" t="str">
            <v>OS</v>
          </cell>
          <cell r="X272" t="str">
            <v>OS</v>
          </cell>
          <cell r="Y272" t="str">
            <v>OS</v>
          </cell>
          <cell r="Z272" t="str">
            <v>OS</v>
          </cell>
          <cell r="AA272" t="str">
            <v>OS</v>
          </cell>
          <cell r="AB272" t="str">
            <v>OS</v>
          </cell>
          <cell r="AC272" t="str">
            <v>OS</v>
          </cell>
          <cell r="AD272" t="str">
            <v>AGM-01-011-009</v>
          </cell>
          <cell r="AE272" t="str">
            <v xml:space="preserve">Raemulan Lands, Inc. </v>
          </cell>
          <cell r="AF272" t="str">
            <v>Agapeya</v>
          </cell>
          <cell r="AG272" t="str">
            <v>AGM</v>
          </cell>
          <cell r="AH272" t="str">
            <v>Eco-High</v>
          </cell>
          <cell r="AI272" t="str">
            <v>West</v>
          </cell>
          <cell r="AJ272" t="str">
            <v>With LTS</v>
          </cell>
          <cell r="AK272" t="str">
            <v>Unaffected lots</v>
          </cell>
          <cell r="AL272" t="str">
            <v>Unaffected lots</v>
          </cell>
          <cell r="AM272" t="b">
            <v>1</v>
          </cell>
          <cell r="AN272" t="str">
            <v>YES</v>
          </cell>
          <cell r="AO272" t="str">
            <v>B4 2025</v>
          </cell>
          <cell r="AP272">
            <v>90</v>
          </cell>
          <cell r="AQ272" t="str">
            <v>PCS-04-034407</v>
          </cell>
          <cell r="AR272" t="b">
            <v>1</v>
          </cell>
          <cell r="AS272" t="str">
            <v>Done</v>
          </cell>
          <cell r="AT272" t="str">
            <v>2025 - Batch 4</v>
          </cell>
          <cell r="AU272">
            <v>11</v>
          </cell>
          <cell r="AV272">
            <v>9</v>
          </cell>
          <cell r="AW272" t="str">
            <v>H+L</v>
          </cell>
          <cell r="AX272">
            <v>90</v>
          </cell>
          <cell r="AY272">
            <v>50</v>
          </cell>
          <cell r="AZ272" t="str">
            <v>Duplex</v>
          </cell>
          <cell r="BA272">
            <v>1</v>
          </cell>
          <cell r="BB272" t="str">
            <v>568 - Without Partition</v>
          </cell>
          <cell r="BC272" t="str">
            <v xml:space="preserve">Without Partition </v>
          </cell>
          <cell r="BD272" t="str">
            <v>Flat</v>
          </cell>
          <cell r="BE272" t="str">
            <v xml:space="preserve">Without Partition </v>
          </cell>
          <cell r="BF272" t="str">
            <v>PURPLE</v>
          </cell>
          <cell r="BG272">
            <v>2500000</v>
          </cell>
          <cell r="BH272">
            <v>2950000</v>
          </cell>
          <cell r="BI272">
            <v>100000</v>
          </cell>
          <cell r="BJ272">
            <v>2850000</v>
          </cell>
          <cell r="BK272">
            <v>0</v>
          </cell>
          <cell r="BL272">
            <v>2850000</v>
          </cell>
        </row>
        <row r="273">
          <cell r="D273" t="str">
            <v>OS</v>
          </cell>
          <cell r="E273"/>
          <cell r="F273">
            <v>253</v>
          </cell>
          <cell r="G273" t="str">
            <v>SOLD</v>
          </cell>
          <cell r="H273" t="str">
            <v>OS</v>
          </cell>
          <cell r="I273" t="str">
            <v>OS</v>
          </cell>
          <cell r="J273" t="str">
            <v>OS</v>
          </cell>
          <cell r="K273" t="str">
            <v>OS</v>
          </cell>
          <cell r="L273" t="str">
            <v>OS</v>
          </cell>
          <cell r="M273" t="str">
            <v>OS</v>
          </cell>
          <cell r="N273" t="str">
            <v>OS</v>
          </cell>
          <cell r="O273" t="str">
            <v>OS</v>
          </cell>
          <cell r="P273" t="str">
            <v>OS</v>
          </cell>
          <cell r="Q273" t="str">
            <v>OS</v>
          </cell>
          <cell r="R273" t="str">
            <v>OS</v>
          </cell>
          <cell r="S273" t="str">
            <v>OS</v>
          </cell>
          <cell r="T273" t="str">
            <v>OS</v>
          </cell>
          <cell r="U273" t="str">
            <v>OS</v>
          </cell>
          <cell r="V273" t="str">
            <v>OS</v>
          </cell>
          <cell r="W273" t="str">
            <v>OS</v>
          </cell>
          <cell r="X273" t="str">
            <v>OS</v>
          </cell>
          <cell r="Y273" t="str">
            <v>OS</v>
          </cell>
          <cell r="Z273" t="str">
            <v>OS</v>
          </cell>
          <cell r="AA273" t="str">
            <v>OS</v>
          </cell>
          <cell r="AB273" t="str">
            <v>OS</v>
          </cell>
          <cell r="AC273" t="str">
            <v>OS</v>
          </cell>
          <cell r="AD273" t="str">
            <v>AGM-01-011-010</v>
          </cell>
          <cell r="AE273" t="str">
            <v xml:space="preserve">Raemulan Lands, Inc. </v>
          </cell>
          <cell r="AF273" t="str">
            <v>Agapeya</v>
          </cell>
          <cell r="AG273" t="str">
            <v>AGM</v>
          </cell>
          <cell r="AH273" t="str">
            <v>Eco-High</v>
          </cell>
          <cell r="AI273" t="str">
            <v>West</v>
          </cell>
          <cell r="AJ273" t="str">
            <v>Without LTS</v>
          </cell>
          <cell r="AK273" t="str">
            <v>for conso</v>
          </cell>
          <cell r="AL273" t="str">
            <v>Unaffected lots</v>
          </cell>
          <cell r="AM273" t="b">
            <v>1</v>
          </cell>
          <cell r="AN273" t="str">
            <v>NO</v>
          </cell>
          <cell r="AO273" t="str">
            <v>B4 2025</v>
          </cell>
          <cell r="AP273" t="str">
            <v>51/19</v>
          </cell>
          <cell r="AQ273" t="str">
            <v>PCS-04-034407/PSD-04-277865</v>
          </cell>
          <cell r="AR273" t="b">
            <v>0</v>
          </cell>
          <cell r="AS273" t="str">
            <v>For Conso</v>
          </cell>
          <cell r="AT273" t="str">
            <v>2025 - Batch 4</v>
          </cell>
          <cell r="AU273">
            <v>11</v>
          </cell>
          <cell r="AV273">
            <v>10</v>
          </cell>
          <cell r="AW273" t="str">
            <v>H+L</v>
          </cell>
          <cell r="AX273">
            <v>70</v>
          </cell>
          <cell r="AY273">
            <v>50</v>
          </cell>
          <cell r="AZ273" t="str">
            <v>Duplex</v>
          </cell>
          <cell r="BA273">
            <v>1</v>
          </cell>
          <cell r="BB273" t="str">
            <v>568 - Without Partition</v>
          </cell>
          <cell r="BC273" t="str">
            <v xml:space="preserve">Without Partition </v>
          </cell>
          <cell r="BD273" t="str">
            <v>Slant</v>
          </cell>
          <cell r="BE273" t="str">
            <v xml:space="preserve">Without Partition </v>
          </cell>
          <cell r="BF273" t="str">
            <v>PURPLE</v>
          </cell>
          <cell r="BG273">
            <v>2500000</v>
          </cell>
          <cell r="BH273">
            <v>2650000</v>
          </cell>
          <cell r="BI273">
            <v>100000</v>
          </cell>
          <cell r="BJ273">
            <v>2550000</v>
          </cell>
          <cell r="BK273">
            <v>0</v>
          </cell>
          <cell r="BL273">
            <v>2550000</v>
          </cell>
        </row>
        <row r="274">
          <cell r="D274" t="str">
            <v>OS</v>
          </cell>
          <cell r="E274"/>
          <cell r="F274">
            <v>254</v>
          </cell>
          <cell r="G274" t="str">
            <v>CLOSED</v>
          </cell>
          <cell r="H274" t="str">
            <v>TS</v>
          </cell>
          <cell r="I274" t="str">
            <v>TS</v>
          </cell>
          <cell r="J274" t="str">
            <v>TS</v>
          </cell>
          <cell r="K274" t="str">
            <v>TS</v>
          </cell>
          <cell r="L274" t="str">
            <v>TS</v>
          </cell>
          <cell r="M274" t="str">
            <v>TS</v>
          </cell>
          <cell r="N274" t="str">
            <v>TS</v>
          </cell>
          <cell r="O274" t="str">
            <v>TS</v>
          </cell>
          <cell r="P274" t="str">
            <v>OS</v>
          </cell>
          <cell r="Q274" t="str">
            <v>OS</v>
          </cell>
          <cell r="R274" t="str">
            <v>OS</v>
          </cell>
          <cell r="S274" t="str">
            <v>OS</v>
          </cell>
          <cell r="T274" t="str">
            <v>OS</v>
          </cell>
          <cell r="U274" t="str">
            <v>OS</v>
          </cell>
          <cell r="V274" t="str">
            <v>OS</v>
          </cell>
          <cell r="W274" t="str">
            <v>OS</v>
          </cell>
          <cell r="X274" t="str">
            <v>OS</v>
          </cell>
          <cell r="Y274" t="str">
            <v>OS</v>
          </cell>
          <cell r="Z274" t="str">
            <v>OS</v>
          </cell>
          <cell r="AA274" t="str">
            <v>OS</v>
          </cell>
          <cell r="AB274" t="str">
            <v>OS</v>
          </cell>
          <cell r="AC274" t="str">
            <v>OS</v>
          </cell>
          <cell r="AD274" t="str">
            <v>AGM-01-011-011</v>
          </cell>
          <cell r="AE274" t="str">
            <v xml:space="preserve">Raemulan Lands, Inc. </v>
          </cell>
          <cell r="AF274" t="str">
            <v>Agapeya</v>
          </cell>
          <cell r="AG274" t="str">
            <v>AGM</v>
          </cell>
          <cell r="AH274" t="str">
            <v>Eco-High</v>
          </cell>
          <cell r="AI274" t="str">
            <v>West</v>
          </cell>
          <cell r="AJ274" t="str">
            <v>Without LTS</v>
          </cell>
          <cell r="AK274" t="str">
            <v>for conso</v>
          </cell>
          <cell r="AL274" t="str">
            <v>Unaffected lots</v>
          </cell>
          <cell r="AM274" t="b">
            <v>1</v>
          </cell>
          <cell r="AN274" t="str">
            <v>NO</v>
          </cell>
          <cell r="AO274" t="str">
            <v>B4 2025</v>
          </cell>
          <cell r="AP274" t="str">
            <v>32/38</v>
          </cell>
          <cell r="AQ274" t="str">
            <v>PCS-04-034407/PSD-04-277865</v>
          </cell>
          <cell r="AR274" t="b">
            <v>0</v>
          </cell>
          <cell r="AS274" t="str">
            <v>For Conso</v>
          </cell>
          <cell r="AT274" t="str">
            <v>2025 - Batch 4</v>
          </cell>
          <cell r="AU274">
            <v>11</v>
          </cell>
          <cell r="AV274">
            <v>11</v>
          </cell>
          <cell r="AW274" t="str">
            <v>H+L</v>
          </cell>
          <cell r="AX274">
            <v>70</v>
          </cell>
          <cell r="AY274">
            <v>50</v>
          </cell>
          <cell r="AZ274" t="str">
            <v>Duplex</v>
          </cell>
          <cell r="BA274">
            <v>1</v>
          </cell>
          <cell r="BB274" t="str">
            <v>568 - Without Partition</v>
          </cell>
          <cell r="BC274" t="str">
            <v xml:space="preserve">Without Partition </v>
          </cell>
          <cell r="BD274" t="str">
            <v>Slant</v>
          </cell>
          <cell r="BE274" t="str">
            <v xml:space="preserve">Without Partition </v>
          </cell>
          <cell r="BF274" t="str">
            <v>PURPLE</v>
          </cell>
          <cell r="BG274">
            <v>2500000</v>
          </cell>
          <cell r="BH274">
            <v>2650000</v>
          </cell>
          <cell r="BI274">
            <v>100000</v>
          </cell>
          <cell r="BJ274">
            <v>2550000</v>
          </cell>
          <cell r="BK274">
            <v>0</v>
          </cell>
          <cell r="BL274">
            <v>2550000</v>
          </cell>
        </row>
        <row r="275">
          <cell r="D275" t="str">
            <v>OS</v>
          </cell>
          <cell r="E275"/>
          <cell r="F275">
            <v>255</v>
          </cell>
          <cell r="G275" t="str">
            <v>UNSOLD</v>
          </cell>
          <cell r="H275" t="str">
            <v>TS</v>
          </cell>
          <cell r="I275" t="str">
            <v>TS</v>
          </cell>
          <cell r="J275" t="str">
            <v>TS - MORE THAN 30 DAYS</v>
          </cell>
          <cell r="K275" t="str">
            <v>TS - MORE THAN 30 DAYS</v>
          </cell>
          <cell r="L275" t="str">
            <v>TS</v>
          </cell>
          <cell r="M275" t="str">
            <v>TS</v>
          </cell>
          <cell r="N275" t="str">
            <v>TS</v>
          </cell>
          <cell r="O275" t="str">
            <v>TS</v>
          </cell>
          <cell r="P275" t="str">
            <v>OS</v>
          </cell>
          <cell r="Q275" t="str">
            <v>OS</v>
          </cell>
          <cell r="R275" t="str">
            <v>OS</v>
          </cell>
          <cell r="S275" t="str">
            <v>OS</v>
          </cell>
          <cell r="T275" t="str">
            <v>OS</v>
          </cell>
          <cell r="U275" t="str">
            <v>OS</v>
          </cell>
          <cell r="V275" t="str">
            <v>OS</v>
          </cell>
          <cell r="W275" t="str">
            <v>OS</v>
          </cell>
          <cell r="X275" t="str">
            <v>OS</v>
          </cell>
          <cell r="Y275" t="str">
            <v>OS</v>
          </cell>
          <cell r="Z275" t="str">
            <v>OS</v>
          </cell>
          <cell r="AA275" t="str">
            <v>OS</v>
          </cell>
          <cell r="AB275" t="str">
            <v>OS</v>
          </cell>
          <cell r="AC275" t="str">
            <v>OS</v>
          </cell>
          <cell r="AD275" t="str">
            <v>AGM-01-011-012</v>
          </cell>
          <cell r="AE275" t="str">
            <v xml:space="preserve">Raemulan Lands, Inc. </v>
          </cell>
          <cell r="AF275" t="str">
            <v>Agapeya</v>
          </cell>
          <cell r="AG275" t="str">
            <v>AGM</v>
          </cell>
          <cell r="AH275" t="str">
            <v>Eco-High</v>
          </cell>
          <cell r="AI275" t="str">
            <v>West</v>
          </cell>
          <cell r="AJ275" t="str">
            <v>Without LTS</v>
          </cell>
          <cell r="AK275" t="str">
            <v>for conso</v>
          </cell>
          <cell r="AL275" t="str">
            <v>Unaffected lots</v>
          </cell>
          <cell r="AM275" t="b">
            <v>1</v>
          </cell>
          <cell r="AN275" t="str">
            <v>NO</v>
          </cell>
          <cell r="AO275" t="str">
            <v>B4 2025</v>
          </cell>
          <cell r="AP275" t="str">
            <v>66/4</v>
          </cell>
          <cell r="AQ275" t="str">
            <v>PCS-04-034407/PSD-04-277865</v>
          </cell>
          <cell r="AR275" t="b">
            <v>0</v>
          </cell>
          <cell r="AS275" t="str">
            <v>For Conso</v>
          </cell>
          <cell r="AT275" t="str">
            <v>2025 - Batch 4</v>
          </cell>
          <cell r="AU275">
            <v>11</v>
          </cell>
          <cell r="AV275">
            <v>12</v>
          </cell>
          <cell r="AW275" t="str">
            <v>H+L</v>
          </cell>
          <cell r="AX275">
            <v>70</v>
          </cell>
          <cell r="AY275">
            <v>50</v>
          </cell>
          <cell r="AZ275" t="str">
            <v>Duplex</v>
          </cell>
          <cell r="BA275">
            <v>1</v>
          </cell>
          <cell r="BB275" t="str">
            <v>568 - Without Partition</v>
          </cell>
          <cell r="BC275" t="str">
            <v xml:space="preserve">Without Partition </v>
          </cell>
          <cell r="BD275" t="str">
            <v>Flat</v>
          </cell>
          <cell r="BE275" t="str">
            <v xml:space="preserve">Without Partition </v>
          </cell>
          <cell r="BF275" t="str">
            <v>PURPLE</v>
          </cell>
          <cell r="BG275">
            <v>2500000</v>
          </cell>
          <cell r="BH275">
            <v>2650000</v>
          </cell>
          <cell r="BI275">
            <v>100000</v>
          </cell>
          <cell r="BJ275">
            <v>2550000</v>
          </cell>
          <cell r="BK275">
            <v>0</v>
          </cell>
          <cell r="BL275">
            <v>2550000</v>
          </cell>
        </row>
        <row r="276">
          <cell r="D276" t="str">
            <v>OS</v>
          </cell>
          <cell r="E276"/>
          <cell r="F276">
            <v>256</v>
          </cell>
          <cell r="G276" t="str">
            <v>SOLD</v>
          </cell>
          <cell r="H276" t="str">
            <v>OS</v>
          </cell>
          <cell r="I276" t="str">
            <v>OS</v>
          </cell>
          <cell r="J276" t="str">
            <v>OS</v>
          </cell>
          <cell r="K276" t="str">
            <v>OS</v>
          </cell>
          <cell r="L276" t="str">
            <v>OS</v>
          </cell>
          <cell r="M276" t="str">
            <v>OS</v>
          </cell>
          <cell r="N276" t="str">
            <v>OS</v>
          </cell>
          <cell r="O276" t="str">
            <v>OS</v>
          </cell>
          <cell r="P276" t="str">
            <v>OS</v>
          </cell>
          <cell r="Q276" t="str">
            <v>OS</v>
          </cell>
          <cell r="R276" t="str">
            <v>OS</v>
          </cell>
          <cell r="S276" t="str">
            <v>OS</v>
          </cell>
          <cell r="T276" t="str">
            <v>OS</v>
          </cell>
          <cell r="U276" t="str">
            <v>OS</v>
          </cell>
          <cell r="V276" t="str">
            <v>OS</v>
          </cell>
          <cell r="W276" t="str">
            <v>OS</v>
          </cell>
          <cell r="X276" t="str">
            <v>OS</v>
          </cell>
          <cell r="Y276" t="str">
            <v>OS</v>
          </cell>
          <cell r="Z276" t="str">
            <v>OS</v>
          </cell>
          <cell r="AA276" t="str">
            <v>OS</v>
          </cell>
          <cell r="AB276" t="str">
            <v>OS</v>
          </cell>
          <cell r="AC276" t="str">
            <v>OS</v>
          </cell>
          <cell r="AD276" t="str">
            <v>AGM-01-011-013</v>
          </cell>
          <cell r="AE276" t="str">
            <v xml:space="preserve">Raemulan Lands, Inc. </v>
          </cell>
          <cell r="AF276" t="str">
            <v>Agapeya</v>
          </cell>
          <cell r="AG276" t="str">
            <v>AGM</v>
          </cell>
          <cell r="AH276" t="str">
            <v>Eco-High</v>
          </cell>
          <cell r="AI276" t="str">
            <v>West</v>
          </cell>
          <cell r="AJ276" t="str">
            <v>With LTS</v>
          </cell>
          <cell r="AK276" t="str">
            <v>Unaffected lots</v>
          </cell>
          <cell r="AL276" t="str">
            <v>Unaffected lots</v>
          </cell>
          <cell r="AM276" t="b">
            <v>1</v>
          </cell>
          <cell r="AN276" t="str">
            <v>YES</v>
          </cell>
          <cell r="AO276" t="str">
            <v>B4 2025</v>
          </cell>
          <cell r="AP276">
            <v>70</v>
          </cell>
          <cell r="AQ276" t="str">
            <v>PCS-04-034407</v>
          </cell>
          <cell r="AR276" t="b">
            <v>1</v>
          </cell>
          <cell r="AS276" t="str">
            <v>Done</v>
          </cell>
          <cell r="AT276" t="str">
            <v>2025 - Batch 4</v>
          </cell>
          <cell r="AU276">
            <v>11</v>
          </cell>
          <cell r="AV276">
            <v>13</v>
          </cell>
          <cell r="AW276" t="str">
            <v>H+L</v>
          </cell>
          <cell r="AX276">
            <v>70</v>
          </cell>
          <cell r="AY276">
            <v>50</v>
          </cell>
          <cell r="AZ276" t="str">
            <v>Duplex</v>
          </cell>
          <cell r="BA276">
            <v>1</v>
          </cell>
          <cell r="BB276" t="str">
            <v>568 - Without Partition</v>
          </cell>
          <cell r="BC276" t="str">
            <v xml:space="preserve">Without Partition </v>
          </cell>
          <cell r="BD276" t="str">
            <v>Flat</v>
          </cell>
          <cell r="BE276" t="str">
            <v xml:space="preserve">Without Partition </v>
          </cell>
          <cell r="BF276" t="str">
            <v>GREEN</v>
          </cell>
          <cell r="BG276">
            <v>2500000</v>
          </cell>
          <cell r="BH276">
            <v>2650000</v>
          </cell>
          <cell r="BI276">
            <v>100000</v>
          </cell>
          <cell r="BJ276">
            <v>2550000</v>
          </cell>
          <cell r="BK276">
            <v>0</v>
          </cell>
          <cell r="BL276">
            <v>2550000</v>
          </cell>
        </row>
        <row r="277">
          <cell r="D277" t="str">
            <v>OS</v>
          </cell>
          <cell r="E277"/>
          <cell r="F277">
            <v>257</v>
          </cell>
          <cell r="G277" t="str">
            <v>UNSOLD</v>
          </cell>
          <cell r="H277" t="str">
            <v>TS</v>
          </cell>
          <cell r="I277" t="str">
            <v>TS</v>
          </cell>
          <cell r="J277" t="str">
            <v>TS</v>
          </cell>
          <cell r="K277" t="str">
            <v>TS</v>
          </cell>
          <cell r="L277" t="str">
            <v>TS</v>
          </cell>
          <cell r="M277" t="str">
            <v>TS</v>
          </cell>
          <cell r="N277" t="str">
            <v>TS</v>
          </cell>
          <cell r="O277" t="str">
            <v>TS</v>
          </cell>
          <cell r="P277" t="str">
            <v>OS</v>
          </cell>
          <cell r="Q277" t="str">
            <v>OS</v>
          </cell>
          <cell r="R277" t="str">
            <v>OS</v>
          </cell>
          <cell r="S277" t="str">
            <v>OS</v>
          </cell>
          <cell r="T277" t="str">
            <v>OS</v>
          </cell>
          <cell r="U277" t="str">
            <v>OS</v>
          </cell>
          <cell r="V277" t="str">
            <v>OS</v>
          </cell>
          <cell r="W277" t="str">
            <v>OS</v>
          </cell>
          <cell r="X277" t="str">
            <v>OS</v>
          </cell>
          <cell r="Y277" t="str">
            <v>OS</v>
          </cell>
          <cell r="Z277" t="str">
            <v>OS</v>
          </cell>
          <cell r="AA277" t="str">
            <v>OS</v>
          </cell>
          <cell r="AB277" t="str">
            <v>OS</v>
          </cell>
          <cell r="AC277" t="str">
            <v>OS</v>
          </cell>
          <cell r="AD277" t="str">
            <v>AGM-01-011-014</v>
          </cell>
          <cell r="AE277" t="str">
            <v xml:space="preserve">Raemulan Lands, Inc. </v>
          </cell>
          <cell r="AF277" t="str">
            <v>Agapeya</v>
          </cell>
          <cell r="AG277" t="str">
            <v>AGM</v>
          </cell>
          <cell r="AH277" t="str">
            <v>Eco-High</v>
          </cell>
          <cell r="AI277" t="str">
            <v>West</v>
          </cell>
          <cell r="AJ277" t="str">
            <v>With LTS</v>
          </cell>
          <cell r="AK277" t="str">
            <v>Unaffected lots</v>
          </cell>
          <cell r="AL277" t="str">
            <v>Unaffected lots</v>
          </cell>
          <cell r="AM277" t="b">
            <v>1</v>
          </cell>
          <cell r="AN277" t="str">
            <v>YES</v>
          </cell>
          <cell r="AO277" t="str">
            <v>B4 2025</v>
          </cell>
          <cell r="AP277">
            <v>70</v>
          </cell>
          <cell r="AQ277" t="str">
            <v>PCS-04-034407</v>
          </cell>
          <cell r="AR277" t="b">
            <v>1</v>
          </cell>
          <cell r="AS277" t="str">
            <v>Done</v>
          </cell>
          <cell r="AT277" t="str">
            <v>2025 - Batch 4</v>
          </cell>
          <cell r="AU277">
            <v>11</v>
          </cell>
          <cell r="AV277">
            <v>14</v>
          </cell>
          <cell r="AW277" t="str">
            <v>H+L</v>
          </cell>
          <cell r="AX277">
            <v>70</v>
          </cell>
          <cell r="AY277">
            <v>50</v>
          </cell>
          <cell r="AZ277" t="str">
            <v>Duplex</v>
          </cell>
          <cell r="BA277">
            <v>1</v>
          </cell>
          <cell r="BB277" t="str">
            <v>568 - Without Partition</v>
          </cell>
          <cell r="BC277" t="str">
            <v xml:space="preserve">Without Partition </v>
          </cell>
          <cell r="BD277" t="str">
            <v>Slant</v>
          </cell>
          <cell r="BE277" t="str">
            <v xml:space="preserve">Without Partition </v>
          </cell>
          <cell r="BF277" t="str">
            <v>GREEN</v>
          </cell>
          <cell r="BG277">
            <v>2500000</v>
          </cell>
          <cell r="BH277">
            <v>2650000</v>
          </cell>
          <cell r="BI277">
            <v>100000</v>
          </cell>
          <cell r="BJ277">
            <v>2550000</v>
          </cell>
          <cell r="BK277">
            <v>0</v>
          </cell>
          <cell r="BL277">
            <v>2550000</v>
          </cell>
        </row>
        <row r="278">
          <cell r="D278" t="str">
            <v>OS</v>
          </cell>
          <cell r="E278"/>
          <cell r="F278">
            <v>258</v>
          </cell>
          <cell r="G278" t="str">
            <v>CLOSED</v>
          </cell>
          <cell r="H278" t="str">
            <v>TS</v>
          </cell>
          <cell r="I278" t="str">
            <v>TS</v>
          </cell>
          <cell r="J278" t="str">
            <v>TS</v>
          </cell>
          <cell r="K278" t="str">
            <v>TS</v>
          </cell>
          <cell r="L278" t="str">
            <v>TS</v>
          </cell>
          <cell r="M278" t="str">
            <v>TS</v>
          </cell>
          <cell r="N278" t="str">
            <v>OS</v>
          </cell>
          <cell r="O278" t="str">
            <v>OS</v>
          </cell>
          <cell r="P278" t="str">
            <v>OS</v>
          </cell>
          <cell r="Q278" t="str">
            <v>OS</v>
          </cell>
          <cell r="R278" t="str">
            <v>OS</v>
          </cell>
          <cell r="S278" t="str">
            <v>OS</v>
          </cell>
          <cell r="T278" t="str">
            <v>OS</v>
          </cell>
          <cell r="U278" t="str">
            <v>OS</v>
          </cell>
          <cell r="V278" t="str">
            <v>OS</v>
          </cell>
          <cell r="W278" t="str">
            <v>OS</v>
          </cell>
          <cell r="X278" t="str">
            <v>OS</v>
          </cell>
          <cell r="Y278" t="str">
            <v>OS</v>
          </cell>
          <cell r="Z278" t="str">
            <v>OS</v>
          </cell>
          <cell r="AA278" t="str">
            <v>OS</v>
          </cell>
          <cell r="AB278" t="str">
            <v>OS</v>
          </cell>
          <cell r="AC278" t="str">
            <v>OS</v>
          </cell>
          <cell r="AD278" t="str">
            <v>AGM-01-011-015</v>
          </cell>
          <cell r="AE278" t="str">
            <v xml:space="preserve">Raemulan Lands, Inc. </v>
          </cell>
          <cell r="AF278" t="str">
            <v>Agapeya</v>
          </cell>
          <cell r="AG278" t="str">
            <v>AGM</v>
          </cell>
          <cell r="AH278" t="str">
            <v>Eco-High</v>
          </cell>
          <cell r="AI278" t="str">
            <v>West</v>
          </cell>
          <cell r="AJ278" t="str">
            <v>With LTS</v>
          </cell>
          <cell r="AK278" t="str">
            <v>Unaffected lots</v>
          </cell>
          <cell r="AL278" t="str">
            <v>Unaffected lots</v>
          </cell>
          <cell r="AM278" t="b">
            <v>1</v>
          </cell>
          <cell r="AN278" t="str">
            <v>YES</v>
          </cell>
          <cell r="AO278" t="str">
            <v>B4 2025</v>
          </cell>
          <cell r="AP278">
            <v>70</v>
          </cell>
          <cell r="AQ278" t="str">
            <v>PCS-04-034407</v>
          </cell>
          <cell r="AR278" t="b">
            <v>1</v>
          </cell>
          <cell r="AS278" t="str">
            <v>Done</v>
          </cell>
          <cell r="AT278" t="str">
            <v>2025 - Batch 4</v>
          </cell>
          <cell r="AU278">
            <v>11</v>
          </cell>
          <cell r="AV278">
            <v>15</v>
          </cell>
          <cell r="AW278" t="str">
            <v>H+L</v>
          </cell>
          <cell r="AX278">
            <v>70</v>
          </cell>
          <cell r="AY278">
            <v>50</v>
          </cell>
          <cell r="AZ278" t="str">
            <v>Duplex</v>
          </cell>
          <cell r="BA278">
            <v>1</v>
          </cell>
          <cell r="BB278" t="str">
            <v>568 - Without Partition</v>
          </cell>
          <cell r="BC278" t="str">
            <v xml:space="preserve">Without Partition </v>
          </cell>
          <cell r="BD278" t="str">
            <v>Slant</v>
          </cell>
          <cell r="BE278" t="str">
            <v xml:space="preserve">Without Partition </v>
          </cell>
          <cell r="BF278" t="str">
            <v>GREEN</v>
          </cell>
          <cell r="BG278">
            <v>2500000</v>
          </cell>
          <cell r="BH278">
            <v>2650000</v>
          </cell>
          <cell r="BI278">
            <v>100000</v>
          </cell>
          <cell r="BJ278">
            <v>2550000</v>
          </cell>
          <cell r="BK278">
            <v>0</v>
          </cell>
          <cell r="BL278">
            <v>2550000</v>
          </cell>
        </row>
        <row r="279">
          <cell r="D279" t="str">
            <v>OS</v>
          </cell>
          <cell r="E279"/>
          <cell r="F279">
            <v>259</v>
          </cell>
          <cell r="G279" t="str">
            <v>CLOSED</v>
          </cell>
          <cell r="H279" t="str">
            <v>OPEN</v>
          </cell>
          <cell r="I279" t="str">
            <v>TS</v>
          </cell>
          <cell r="J279" t="str">
            <v>TS</v>
          </cell>
          <cell r="K279" t="str">
            <v>TS</v>
          </cell>
          <cell r="L279" t="str">
            <v>TS</v>
          </cell>
          <cell r="M279" t="str">
            <v>TS</v>
          </cell>
          <cell r="N279" t="str">
            <v>TS</v>
          </cell>
          <cell r="O279" t="str">
            <v>TS</v>
          </cell>
          <cell r="P279" t="str">
            <v>TS</v>
          </cell>
          <cell r="Q279" t="str">
            <v>TS</v>
          </cell>
          <cell r="R279" t="str">
            <v>TS</v>
          </cell>
          <cell r="S279" t="str">
            <v>TS</v>
          </cell>
          <cell r="T279" t="str">
            <v>TS</v>
          </cell>
          <cell r="U279" t="str">
            <v>OS</v>
          </cell>
          <cell r="V279" t="str">
            <v>OS</v>
          </cell>
          <cell r="W279" t="str">
            <v>OS</v>
          </cell>
          <cell r="X279" t="str">
            <v>OS</v>
          </cell>
          <cell r="Y279" t="str">
            <v>OS</v>
          </cell>
          <cell r="Z279" t="str">
            <v>OS</v>
          </cell>
          <cell r="AA279" t="str">
            <v>OS</v>
          </cell>
          <cell r="AB279" t="str">
            <v>OS</v>
          </cell>
          <cell r="AC279" t="str">
            <v>OS</v>
          </cell>
          <cell r="AD279" t="str">
            <v>AGM-01-011-016</v>
          </cell>
          <cell r="AE279" t="str">
            <v xml:space="preserve">Raemulan Lands, Inc. </v>
          </cell>
          <cell r="AF279" t="str">
            <v>Agapeya</v>
          </cell>
          <cell r="AG279" t="str">
            <v>AGM</v>
          </cell>
          <cell r="AH279" t="str">
            <v>Eco-High</v>
          </cell>
          <cell r="AI279" t="str">
            <v>West</v>
          </cell>
          <cell r="AJ279" t="str">
            <v>With LTS</v>
          </cell>
          <cell r="AK279" t="str">
            <v>Unaffected lots</v>
          </cell>
          <cell r="AL279" t="str">
            <v>Unaffected lots</v>
          </cell>
          <cell r="AM279" t="b">
            <v>1</v>
          </cell>
          <cell r="AN279" t="str">
            <v>NO</v>
          </cell>
          <cell r="AO279" t="str">
            <v>B4 2025</v>
          </cell>
          <cell r="AP279">
            <v>90</v>
          </cell>
          <cell r="AQ279" t="str">
            <v>PCS-04-035872</v>
          </cell>
          <cell r="AR279" t="b">
            <v>1</v>
          </cell>
          <cell r="AS279" t="str">
            <v>Done</v>
          </cell>
          <cell r="AT279" t="str">
            <v>2025 - Batch 4</v>
          </cell>
          <cell r="AU279">
            <v>11</v>
          </cell>
          <cell r="AV279">
            <v>16</v>
          </cell>
          <cell r="AW279" t="str">
            <v>H+L</v>
          </cell>
          <cell r="AX279">
            <v>90</v>
          </cell>
          <cell r="AY279">
            <v>50</v>
          </cell>
          <cell r="AZ279" t="str">
            <v>Duplex</v>
          </cell>
          <cell r="BA279">
            <v>1</v>
          </cell>
          <cell r="BB279" t="str">
            <v>568 - Without Partition</v>
          </cell>
          <cell r="BC279" t="str">
            <v xml:space="preserve">Without Partition </v>
          </cell>
          <cell r="BD279" t="str">
            <v>Flat</v>
          </cell>
          <cell r="BE279" t="str">
            <v xml:space="preserve">Without Partition </v>
          </cell>
          <cell r="BF279" t="str">
            <v>GREEN</v>
          </cell>
          <cell r="BG279">
            <v>2500000</v>
          </cell>
          <cell r="BH279">
            <v>2950000</v>
          </cell>
          <cell r="BI279">
            <v>100000</v>
          </cell>
          <cell r="BJ279">
            <v>2850000</v>
          </cell>
          <cell r="BK279">
            <v>0</v>
          </cell>
          <cell r="BL279">
            <v>2850000</v>
          </cell>
        </row>
        <row r="280">
          <cell r="D280" t="str">
            <v>OS</v>
          </cell>
          <cell r="E280"/>
          <cell r="F280">
            <v>260</v>
          </cell>
          <cell r="G280" t="str">
            <v>CLOSED</v>
          </cell>
          <cell r="H280" t="str">
            <v>OPEN</v>
          </cell>
          <cell r="I280" t="str">
            <v>OPEN</v>
          </cell>
          <cell r="J280" t="str">
            <v>OPEN</v>
          </cell>
          <cell r="K280" t="str">
            <v>TS</v>
          </cell>
          <cell r="L280" t="str">
            <v>TS</v>
          </cell>
          <cell r="M280" t="str">
            <v>OPEN</v>
          </cell>
          <cell r="N280" t="str">
            <v>OS</v>
          </cell>
          <cell r="O280" t="str">
            <v>OS</v>
          </cell>
          <cell r="P280" t="str">
            <v>OS</v>
          </cell>
          <cell r="Q280" t="str">
            <v>OS</v>
          </cell>
          <cell r="R280" t="str">
            <v>OS</v>
          </cell>
          <cell r="S280" t="str">
            <v>OS</v>
          </cell>
          <cell r="T280" t="str">
            <v>OS</v>
          </cell>
          <cell r="U280" t="str">
            <v>OS</v>
          </cell>
          <cell r="V280" t="str">
            <v>OS</v>
          </cell>
          <cell r="W280" t="str">
            <v>OS</v>
          </cell>
          <cell r="X280" t="str">
            <v>OS</v>
          </cell>
          <cell r="Y280" t="str">
            <v>OS</v>
          </cell>
          <cell r="Z280" t="str">
            <v>OS</v>
          </cell>
          <cell r="AA280" t="str">
            <v>OS</v>
          </cell>
          <cell r="AB280" t="str">
            <v>OS</v>
          </cell>
          <cell r="AC280" t="str">
            <v>OS</v>
          </cell>
          <cell r="AD280" t="str">
            <v>AGM-01-012-001</v>
          </cell>
          <cell r="AE280" t="str">
            <v xml:space="preserve">Raemulan Lands, Inc. </v>
          </cell>
          <cell r="AF280" t="str">
            <v>Agapeya</v>
          </cell>
          <cell r="AG280" t="str">
            <v>AGM</v>
          </cell>
          <cell r="AH280" t="str">
            <v>Eco-High</v>
          </cell>
          <cell r="AI280" t="str">
            <v>West</v>
          </cell>
          <cell r="AJ280" t="str">
            <v>With LTS</v>
          </cell>
          <cell r="AK280" t="str">
            <v>Unaffected lots</v>
          </cell>
          <cell r="AL280" t="str">
            <v>Unaffected lots</v>
          </cell>
          <cell r="AM280" t="b">
            <v>1</v>
          </cell>
          <cell r="AN280" t="str">
            <v>YES</v>
          </cell>
          <cell r="AO280" t="str">
            <v>B3 - Lot Only</v>
          </cell>
          <cell r="AP280">
            <v>100</v>
          </cell>
          <cell r="AQ280" t="str">
            <v>PCS-04-034407</v>
          </cell>
          <cell r="AR280" t="b">
            <v>1</v>
          </cell>
          <cell r="AS280" t="str">
            <v>Done</v>
          </cell>
          <cell r="AT280" t="str">
            <v>Lot Only - N/A</v>
          </cell>
          <cell r="AU280">
            <v>12</v>
          </cell>
          <cell r="AV280">
            <v>1</v>
          </cell>
          <cell r="AW280" t="str">
            <v>LO</v>
          </cell>
          <cell r="AX280">
            <v>100</v>
          </cell>
          <cell r="AY280" t="str">
            <v>N/A</v>
          </cell>
          <cell r="AZ280" t="str">
            <v>Lot Only</v>
          </cell>
          <cell r="BA280" t="str">
            <v>NA</v>
          </cell>
          <cell r="BB280" t="str">
            <v>N/A</v>
          </cell>
          <cell r="BC280" t="str">
            <v>N/A - LOT ONLY</v>
          </cell>
          <cell r="BD280" t="str">
            <v>-</v>
          </cell>
          <cell r="BE280" t="str">
            <v>N/A - LOT ONLY</v>
          </cell>
          <cell r="BF280" t="str">
            <v>N/A - LOT ONLY</v>
          </cell>
          <cell r="BG280">
            <v>2500000</v>
          </cell>
          <cell r="BH280">
            <v>1600000</v>
          </cell>
          <cell r="BI280">
            <v>100000</v>
          </cell>
          <cell r="BJ280">
            <v>1500000</v>
          </cell>
          <cell r="BK280">
            <v>160714.28571428571</v>
          </cell>
          <cell r="BL280">
            <v>1339285.7142857143</v>
          </cell>
        </row>
        <row r="281">
          <cell r="D281" t="str">
            <v>OS</v>
          </cell>
          <cell r="E281"/>
          <cell r="F281">
            <v>261</v>
          </cell>
          <cell r="G281" t="str">
            <v>SOLD</v>
          </cell>
          <cell r="H281" t="str">
            <v>OS</v>
          </cell>
          <cell r="I281" t="str">
            <v>OS</v>
          </cell>
          <cell r="J281" t="str">
            <v>OS</v>
          </cell>
          <cell r="K281" t="str">
            <v>OS</v>
          </cell>
          <cell r="L281" t="str">
            <v>OS</v>
          </cell>
          <cell r="M281" t="str">
            <v>OS</v>
          </cell>
          <cell r="N281" t="str">
            <v>OS</v>
          </cell>
          <cell r="O281" t="str">
            <v>OS</v>
          </cell>
          <cell r="P281" t="str">
            <v>OS</v>
          </cell>
          <cell r="Q281" t="str">
            <v>OS</v>
          </cell>
          <cell r="R281" t="str">
            <v>OS</v>
          </cell>
          <cell r="S281" t="str">
            <v>OS</v>
          </cell>
          <cell r="T281" t="str">
            <v>OS</v>
          </cell>
          <cell r="U281" t="str">
            <v>OS</v>
          </cell>
          <cell r="V281" t="str">
            <v>OS</v>
          </cell>
          <cell r="W281" t="str">
            <v>OS</v>
          </cell>
          <cell r="X281" t="str">
            <v>OS</v>
          </cell>
          <cell r="Y281" t="str">
            <v>OS</v>
          </cell>
          <cell r="Z281" t="str">
            <v>OS</v>
          </cell>
          <cell r="AA281" t="str">
            <v>OS</v>
          </cell>
          <cell r="AB281" t="str">
            <v>OS</v>
          </cell>
          <cell r="AC281" t="str">
            <v>OS</v>
          </cell>
          <cell r="AD281" t="str">
            <v>AGM-01-012-002</v>
          </cell>
          <cell r="AE281" t="str">
            <v xml:space="preserve">Raemulan Lands, Inc. </v>
          </cell>
          <cell r="AF281" t="str">
            <v>Agapeya</v>
          </cell>
          <cell r="AG281" t="str">
            <v>AGM</v>
          </cell>
          <cell r="AH281" t="str">
            <v>Eco-High</v>
          </cell>
          <cell r="AI281" t="str">
            <v>West</v>
          </cell>
          <cell r="AJ281" t="str">
            <v>With LTS</v>
          </cell>
          <cell r="AK281" t="str">
            <v>Unaffected lots</v>
          </cell>
          <cell r="AL281" t="str">
            <v>Unaffected lots</v>
          </cell>
          <cell r="AM281" t="b">
            <v>1</v>
          </cell>
          <cell r="AN281" t="str">
            <v>YES</v>
          </cell>
          <cell r="AO281" t="str">
            <v>B3 2025</v>
          </cell>
          <cell r="AP281">
            <v>70</v>
          </cell>
          <cell r="AQ281" t="str">
            <v>PCS-04-034407</v>
          </cell>
          <cell r="AR281" t="b">
            <v>1</v>
          </cell>
          <cell r="AS281" t="str">
            <v>Done</v>
          </cell>
          <cell r="AT281" t="str">
            <v>2025 - Batch 4</v>
          </cell>
          <cell r="AU281">
            <v>12</v>
          </cell>
          <cell r="AV281">
            <v>2</v>
          </cell>
          <cell r="AW281" t="str">
            <v>H+L</v>
          </cell>
          <cell r="AX281">
            <v>70</v>
          </cell>
          <cell r="AY281">
            <v>50</v>
          </cell>
          <cell r="AZ281" t="str">
            <v>Duplex</v>
          </cell>
          <cell r="BA281">
            <v>1</v>
          </cell>
          <cell r="BB281" t="str">
            <v>568 - Without Partition</v>
          </cell>
          <cell r="BC281" t="str">
            <v xml:space="preserve">Without Partition </v>
          </cell>
          <cell r="BD281" t="str">
            <v>Slant</v>
          </cell>
          <cell r="BE281" t="str">
            <v xml:space="preserve">Without Partition </v>
          </cell>
          <cell r="BF281" t="str">
            <v>PINK</v>
          </cell>
          <cell r="BG281">
            <v>2650000</v>
          </cell>
          <cell r="BH281">
            <v>2650000</v>
          </cell>
          <cell r="BI281">
            <v>100000</v>
          </cell>
          <cell r="BJ281">
            <v>2550000</v>
          </cell>
          <cell r="BK281">
            <v>0</v>
          </cell>
          <cell r="BL281">
            <v>2550000</v>
          </cell>
        </row>
        <row r="282">
          <cell r="D282" t="str">
            <v>OS</v>
          </cell>
          <cell r="E282"/>
          <cell r="F282">
            <v>262</v>
          </cell>
          <cell r="G282" t="str">
            <v>CLOSED</v>
          </cell>
          <cell r="H282" t="str">
            <v>OPEN</v>
          </cell>
          <cell r="I282" t="str">
            <v>OPEN</v>
          </cell>
          <cell r="J282" t="str">
            <v>TS</v>
          </cell>
          <cell r="K282" t="str">
            <v>TS</v>
          </cell>
          <cell r="L282" t="str">
            <v>TS</v>
          </cell>
          <cell r="M282" t="str">
            <v>TS</v>
          </cell>
          <cell r="N282" t="str">
            <v>OS</v>
          </cell>
          <cell r="O282" t="str">
            <v>OS</v>
          </cell>
          <cell r="P282" t="str">
            <v>OS</v>
          </cell>
          <cell r="Q282" t="str">
            <v>OS</v>
          </cell>
          <cell r="R282" t="str">
            <v>OS</v>
          </cell>
          <cell r="S282" t="str">
            <v>OS</v>
          </cell>
          <cell r="T282" t="str">
            <v>OS</v>
          </cell>
          <cell r="U282" t="str">
            <v>OS</v>
          </cell>
          <cell r="V282" t="str">
            <v>OS</v>
          </cell>
          <cell r="W282" t="str">
            <v>OS</v>
          </cell>
          <cell r="X282" t="str">
            <v>OS</v>
          </cell>
          <cell r="Y282" t="str">
            <v>OS</v>
          </cell>
          <cell r="Z282" t="str">
            <v>OS</v>
          </cell>
          <cell r="AA282" t="str">
            <v>OS</v>
          </cell>
          <cell r="AB282" t="str">
            <v>OS</v>
          </cell>
          <cell r="AC282" t="str">
            <v>OS</v>
          </cell>
          <cell r="AD282" t="str">
            <v>AGM-01-012-003</v>
          </cell>
          <cell r="AE282" t="str">
            <v xml:space="preserve">Raemulan Lands, Inc. </v>
          </cell>
          <cell r="AF282" t="str">
            <v>Agapeya</v>
          </cell>
          <cell r="AG282" t="str">
            <v>AGM</v>
          </cell>
          <cell r="AH282" t="str">
            <v>Eco-High</v>
          </cell>
          <cell r="AI282" t="str">
            <v>West</v>
          </cell>
          <cell r="AJ282" t="str">
            <v>With LTS</v>
          </cell>
          <cell r="AK282" t="str">
            <v>Unaffected lots</v>
          </cell>
          <cell r="AL282" t="str">
            <v>Unaffected lots</v>
          </cell>
          <cell r="AM282" t="b">
            <v>1</v>
          </cell>
          <cell r="AN282" t="str">
            <v>YES</v>
          </cell>
          <cell r="AO282" t="str">
            <v>B3 2025</v>
          </cell>
          <cell r="AP282">
            <v>70</v>
          </cell>
          <cell r="AQ282" t="str">
            <v>PCS-04-034407</v>
          </cell>
          <cell r="AR282" t="b">
            <v>1</v>
          </cell>
          <cell r="AS282" t="str">
            <v>Done</v>
          </cell>
          <cell r="AT282" t="str">
            <v>2025 - Batch 4</v>
          </cell>
          <cell r="AU282">
            <v>12</v>
          </cell>
          <cell r="AV282">
            <v>3</v>
          </cell>
          <cell r="AW282" t="str">
            <v>H+L</v>
          </cell>
          <cell r="AX282">
            <v>70</v>
          </cell>
          <cell r="AY282">
            <v>50</v>
          </cell>
          <cell r="AZ282" t="str">
            <v>Duplex</v>
          </cell>
          <cell r="BA282">
            <v>1</v>
          </cell>
          <cell r="BB282" t="str">
            <v>568 - Without Partition</v>
          </cell>
          <cell r="BC282" t="str">
            <v xml:space="preserve">Without Partition </v>
          </cell>
          <cell r="BD282" t="str">
            <v>Flat</v>
          </cell>
          <cell r="BE282" t="str">
            <v xml:space="preserve">Without Partition </v>
          </cell>
          <cell r="BF282" t="str">
            <v>PINK</v>
          </cell>
          <cell r="BG282">
            <v>2500000</v>
          </cell>
          <cell r="BH282">
            <v>2650000</v>
          </cell>
          <cell r="BI282">
            <v>100000</v>
          </cell>
          <cell r="BJ282">
            <v>2550000</v>
          </cell>
          <cell r="BK282">
            <v>0</v>
          </cell>
          <cell r="BL282">
            <v>2550000</v>
          </cell>
        </row>
        <row r="283">
          <cell r="D283" t="str">
            <v>OS</v>
          </cell>
          <cell r="E283"/>
          <cell r="F283">
            <v>263</v>
          </cell>
          <cell r="G283" t="str">
            <v>SOLD</v>
          </cell>
          <cell r="H283" t="str">
            <v>OS</v>
          </cell>
          <cell r="I283" t="str">
            <v>OS</v>
          </cell>
          <cell r="J283" t="str">
            <v>OS</v>
          </cell>
          <cell r="K283" t="str">
            <v>OS</v>
          </cell>
          <cell r="L283" t="str">
            <v>OS</v>
          </cell>
          <cell r="M283" t="str">
            <v>OS</v>
          </cell>
          <cell r="N283" t="str">
            <v>OS</v>
          </cell>
          <cell r="O283" t="str">
            <v>OS</v>
          </cell>
          <cell r="P283" t="str">
            <v>OS</v>
          </cell>
          <cell r="Q283" t="str">
            <v>OS</v>
          </cell>
          <cell r="R283" t="str">
            <v>OS</v>
          </cell>
          <cell r="S283" t="str">
            <v>OS</v>
          </cell>
          <cell r="T283" t="str">
            <v>OS</v>
          </cell>
          <cell r="U283" t="str">
            <v>OS</v>
          </cell>
          <cell r="V283" t="str">
            <v>OS</v>
          </cell>
          <cell r="W283" t="str">
            <v>OS</v>
          </cell>
          <cell r="X283" t="str">
            <v>OS</v>
          </cell>
          <cell r="Y283" t="str">
            <v>OS</v>
          </cell>
          <cell r="Z283" t="str">
            <v>OS</v>
          </cell>
          <cell r="AA283" t="str">
            <v>OS</v>
          </cell>
          <cell r="AB283" t="str">
            <v>OS</v>
          </cell>
          <cell r="AC283" t="str">
            <v>OS</v>
          </cell>
          <cell r="AD283" t="str">
            <v>AGM-01-012-004</v>
          </cell>
          <cell r="AE283" t="str">
            <v xml:space="preserve">Raemulan Lands, Inc. </v>
          </cell>
          <cell r="AF283" t="str">
            <v>Agapeya</v>
          </cell>
          <cell r="AG283" t="str">
            <v>AGM</v>
          </cell>
          <cell r="AH283" t="str">
            <v>Eco-High</v>
          </cell>
          <cell r="AI283" t="str">
            <v>West</v>
          </cell>
          <cell r="AJ283" t="str">
            <v>With LTS</v>
          </cell>
          <cell r="AK283" t="str">
            <v>Unaffected lots</v>
          </cell>
          <cell r="AL283" t="str">
            <v>Unaffected lots</v>
          </cell>
          <cell r="AM283" t="b">
            <v>0</v>
          </cell>
          <cell r="AN283" t="str">
            <v>NO</v>
          </cell>
          <cell r="AO283" t="str">
            <v>B3 2025</v>
          </cell>
          <cell r="AP283">
            <v>70</v>
          </cell>
          <cell r="AQ283" t="str">
            <v>PCS-04-276263</v>
          </cell>
          <cell r="AR283" t="b">
            <v>1</v>
          </cell>
          <cell r="AS283" t="str">
            <v>Done</v>
          </cell>
          <cell r="AT283" t="str">
            <v>2025 - Batch 4</v>
          </cell>
          <cell r="AU283">
            <v>12</v>
          </cell>
          <cell r="AV283">
            <v>4</v>
          </cell>
          <cell r="AW283" t="str">
            <v>H+L</v>
          </cell>
          <cell r="AX283">
            <v>70</v>
          </cell>
          <cell r="AY283">
            <v>50</v>
          </cell>
          <cell r="AZ283" t="str">
            <v>Duplex</v>
          </cell>
          <cell r="BA283">
            <v>1</v>
          </cell>
          <cell r="BB283" t="str">
            <v>568 - Without Partition</v>
          </cell>
          <cell r="BC283" t="str">
            <v xml:space="preserve">Without Partition </v>
          </cell>
          <cell r="BD283" t="str">
            <v>Flat</v>
          </cell>
          <cell r="BE283" t="str">
            <v xml:space="preserve">Without Partition </v>
          </cell>
          <cell r="BF283" t="str">
            <v>PINK</v>
          </cell>
          <cell r="BG283">
            <v>2500000</v>
          </cell>
          <cell r="BH283">
            <v>2650000</v>
          </cell>
          <cell r="BI283">
            <v>100000</v>
          </cell>
          <cell r="BJ283">
            <v>2550000</v>
          </cell>
          <cell r="BK283">
            <v>0</v>
          </cell>
          <cell r="BL283">
            <v>2550000</v>
          </cell>
        </row>
        <row r="284">
          <cell r="D284" t="str">
            <v>OS</v>
          </cell>
          <cell r="E284"/>
          <cell r="F284">
            <v>264</v>
          </cell>
          <cell r="G284" t="str">
            <v>SOLD</v>
          </cell>
          <cell r="H284" t="str">
            <v>OS</v>
          </cell>
          <cell r="I284" t="str">
            <v>OS</v>
          </cell>
          <cell r="J284" t="str">
            <v>OS</v>
          </cell>
          <cell r="K284" t="str">
            <v>OS</v>
          </cell>
          <cell r="L284" t="str">
            <v>OS</v>
          </cell>
          <cell r="M284" t="str">
            <v>OS</v>
          </cell>
          <cell r="N284" t="str">
            <v>OS</v>
          </cell>
          <cell r="O284" t="str">
            <v>OS</v>
          </cell>
          <cell r="P284" t="str">
            <v>OS</v>
          </cell>
          <cell r="Q284" t="str">
            <v>OS</v>
          </cell>
          <cell r="R284" t="str">
            <v>OS</v>
          </cell>
          <cell r="S284" t="str">
            <v>OS</v>
          </cell>
          <cell r="T284" t="str">
            <v>OS</v>
          </cell>
          <cell r="U284" t="str">
            <v>OS</v>
          </cell>
          <cell r="V284" t="str">
            <v>OS</v>
          </cell>
          <cell r="W284" t="str">
            <v>OS</v>
          </cell>
          <cell r="X284" t="str">
            <v>OS</v>
          </cell>
          <cell r="Y284" t="str">
            <v>OS</v>
          </cell>
          <cell r="Z284" t="str">
            <v>OS</v>
          </cell>
          <cell r="AA284" t="str">
            <v>OS</v>
          </cell>
          <cell r="AB284" t="str">
            <v>OS</v>
          </cell>
          <cell r="AC284" t="str">
            <v>OS</v>
          </cell>
          <cell r="AD284" t="str">
            <v>AGM-01-012-005</v>
          </cell>
          <cell r="AE284" t="str">
            <v xml:space="preserve">Raemulan Lands, Inc. </v>
          </cell>
          <cell r="AF284" t="str">
            <v>Agapeya</v>
          </cell>
          <cell r="AG284" t="str">
            <v>AGM</v>
          </cell>
          <cell r="AH284" t="str">
            <v>Eco-High</v>
          </cell>
          <cell r="AI284" t="str">
            <v>West</v>
          </cell>
          <cell r="AJ284" t="str">
            <v>With LTS</v>
          </cell>
          <cell r="AK284" t="str">
            <v>Unaffected lots</v>
          </cell>
          <cell r="AL284" t="str">
            <v>Unaffected lots</v>
          </cell>
          <cell r="AM284" t="b">
            <v>1</v>
          </cell>
          <cell r="AN284" t="str">
            <v>YES</v>
          </cell>
          <cell r="AO284" t="str">
            <v>B3 2025</v>
          </cell>
          <cell r="AP284">
            <v>70</v>
          </cell>
          <cell r="AQ284" t="str">
            <v>PCS-04-276263</v>
          </cell>
          <cell r="AR284" t="b">
            <v>1</v>
          </cell>
          <cell r="AS284" t="str">
            <v>Done</v>
          </cell>
          <cell r="AT284" t="str">
            <v>2025 - Batch 4</v>
          </cell>
          <cell r="AU284">
            <v>12</v>
          </cell>
          <cell r="AV284">
            <v>5</v>
          </cell>
          <cell r="AW284" t="str">
            <v>H+L</v>
          </cell>
          <cell r="AX284">
            <v>70</v>
          </cell>
          <cell r="AY284">
            <v>50</v>
          </cell>
          <cell r="AZ284" t="str">
            <v>Duplex</v>
          </cell>
          <cell r="BA284">
            <v>1</v>
          </cell>
          <cell r="BB284" t="str">
            <v>568 - Without Partition</v>
          </cell>
          <cell r="BC284" t="str">
            <v xml:space="preserve">Without Partition </v>
          </cell>
          <cell r="BD284" t="str">
            <v>Slant</v>
          </cell>
          <cell r="BE284" t="str">
            <v xml:space="preserve">Without Partition </v>
          </cell>
          <cell r="BF284" t="str">
            <v>PINK</v>
          </cell>
          <cell r="BG284">
            <v>2500000</v>
          </cell>
          <cell r="BH284">
            <v>2650000</v>
          </cell>
          <cell r="BI284">
            <v>100000</v>
          </cell>
          <cell r="BJ284">
            <v>2550000</v>
          </cell>
          <cell r="BK284">
            <v>0</v>
          </cell>
          <cell r="BL284">
            <v>2550000</v>
          </cell>
        </row>
        <row r="285">
          <cell r="D285" t="str">
            <v>OS</v>
          </cell>
          <cell r="E285"/>
          <cell r="F285">
            <v>265</v>
          </cell>
          <cell r="G285" t="str">
            <v>SOLD</v>
          </cell>
          <cell r="H285" t="str">
            <v>OS</v>
          </cell>
          <cell r="I285" t="str">
            <v>OS</v>
          </cell>
          <cell r="J285" t="str">
            <v>OS</v>
          </cell>
          <cell r="K285" t="str">
            <v>OS</v>
          </cell>
          <cell r="L285" t="str">
            <v>OS</v>
          </cell>
          <cell r="M285" t="str">
            <v>OS</v>
          </cell>
          <cell r="N285" t="str">
            <v>OS</v>
          </cell>
          <cell r="O285" t="str">
            <v>OS</v>
          </cell>
          <cell r="P285" t="str">
            <v>OS</v>
          </cell>
          <cell r="Q285" t="str">
            <v>OS</v>
          </cell>
          <cell r="R285" t="str">
            <v>OS</v>
          </cell>
          <cell r="S285" t="str">
            <v>OS</v>
          </cell>
          <cell r="T285" t="str">
            <v>OS</v>
          </cell>
          <cell r="U285" t="str">
            <v>OS</v>
          </cell>
          <cell r="V285" t="str">
            <v>OS</v>
          </cell>
          <cell r="W285" t="str">
            <v>OS</v>
          </cell>
          <cell r="X285" t="str">
            <v>OS</v>
          </cell>
          <cell r="Y285" t="str">
            <v>OS</v>
          </cell>
          <cell r="Z285" t="str">
            <v>OS</v>
          </cell>
          <cell r="AA285" t="str">
            <v>OS</v>
          </cell>
          <cell r="AB285" t="str">
            <v>OS</v>
          </cell>
          <cell r="AC285" t="str">
            <v>OS</v>
          </cell>
          <cell r="AD285" t="str">
            <v>AGM-01-012-006</v>
          </cell>
          <cell r="AE285" t="str">
            <v xml:space="preserve">Raemulan Lands, Inc. </v>
          </cell>
          <cell r="AF285" t="str">
            <v>Agapeya</v>
          </cell>
          <cell r="AG285" t="str">
            <v>AGM</v>
          </cell>
          <cell r="AH285" t="str">
            <v>Eco-High</v>
          </cell>
          <cell r="AI285" t="str">
            <v>West</v>
          </cell>
          <cell r="AJ285" t="str">
            <v>With LTS</v>
          </cell>
          <cell r="AK285" t="str">
            <v>Unaffected lots</v>
          </cell>
          <cell r="AL285" t="str">
            <v>Unaffected lots</v>
          </cell>
          <cell r="AM285" t="b">
            <v>1</v>
          </cell>
          <cell r="AN285" t="str">
            <v>YES</v>
          </cell>
          <cell r="AO285" t="str">
            <v>B3 2025</v>
          </cell>
          <cell r="AP285">
            <v>70</v>
          </cell>
          <cell r="AQ285" t="str">
            <v>PCS-04-276263</v>
          </cell>
          <cell r="AR285" t="b">
            <v>1</v>
          </cell>
          <cell r="AS285" t="str">
            <v>Done</v>
          </cell>
          <cell r="AT285" t="str">
            <v>2025 - Batch 4</v>
          </cell>
          <cell r="AU285">
            <v>12</v>
          </cell>
          <cell r="AV285">
            <v>6</v>
          </cell>
          <cell r="AW285" t="str">
            <v>H+L</v>
          </cell>
          <cell r="AX285">
            <v>70</v>
          </cell>
          <cell r="AY285">
            <v>50</v>
          </cell>
          <cell r="AZ285" t="str">
            <v>Duplex</v>
          </cell>
          <cell r="BA285">
            <v>1</v>
          </cell>
          <cell r="BB285" t="str">
            <v>568 - Without Partition</v>
          </cell>
          <cell r="BC285" t="str">
            <v xml:space="preserve">Without Partition </v>
          </cell>
          <cell r="BD285" t="str">
            <v>Slant</v>
          </cell>
          <cell r="BE285" t="str">
            <v xml:space="preserve">Without Partition </v>
          </cell>
          <cell r="BF285" t="str">
            <v>PURPLE</v>
          </cell>
          <cell r="BG285">
            <v>2500000</v>
          </cell>
          <cell r="BH285">
            <v>2650000</v>
          </cell>
          <cell r="BI285">
            <v>100000</v>
          </cell>
          <cell r="BJ285">
            <v>2550000</v>
          </cell>
          <cell r="BK285">
            <v>0</v>
          </cell>
          <cell r="BL285">
            <v>2550000</v>
          </cell>
        </row>
        <row r="286">
          <cell r="D286" t="str">
            <v>OS</v>
          </cell>
          <cell r="E286"/>
          <cell r="F286">
            <v>266</v>
          </cell>
          <cell r="G286" t="str">
            <v>SOLD</v>
          </cell>
          <cell r="H286" t="str">
            <v>OS</v>
          </cell>
          <cell r="I286" t="str">
            <v>OS</v>
          </cell>
          <cell r="J286" t="str">
            <v>OS</v>
          </cell>
          <cell r="K286" t="str">
            <v>OS</v>
          </cell>
          <cell r="L286" t="str">
            <v>OS</v>
          </cell>
          <cell r="M286" t="str">
            <v>OS</v>
          </cell>
          <cell r="N286" t="str">
            <v>OS</v>
          </cell>
          <cell r="O286" t="str">
            <v>OS</v>
          </cell>
          <cell r="P286" t="str">
            <v>OS</v>
          </cell>
          <cell r="Q286" t="str">
            <v>OS</v>
          </cell>
          <cell r="R286" t="str">
            <v>OS</v>
          </cell>
          <cell r="S286" t="str">
            <v>OS</v>
          </cell>
          <cell r="T286" t="str">
            <v>OS</v>
          </cell>
          <cell r="U286" t="str">
            <v>OS</v>
          </cell>
          <cell r="V286" t="str">
            <v>OS</v>
          </cell>
          <cell r="W286" t="str">
            <v>OS</v>
          </cell>
          <cell r="X286" t="str">
            <v>OS</v>
          </cell>
          <cell r="Y286" t="str">
            <v>OS</v>
          </cell>
          <cell r="Z286" t="str">
            <v>OS</v>
          </cell>
          <cell r="AA286" t="str">
            <v>OS</v>
          </cell>
          <cell r="AB286" t="str">
            <v>OS</v>
          </cell>
          <cell r="AC286" t="str">
            <v>OS</v>
          </cell>
          <cell r="AD286" t="str">
            <v>AGM-01-012-007</v>
          </cell>
          <cell r="AE286" t="str">
            <v xml:space="preserve">Raemulan Lands, Inc. </v>
          </cell>
          <cell r="AF286" t="str">
            <v>Agapeya</v>
          </cell>
          <cell r="AG286" t="str">
            <v>AGM</v>
          </cell>
          <cell r="AH286" t="str">
            <v>Eco-High</v>
          </cell>
          <cell r="AI286" t="str">
            <v>West</v>
          </cell>
          <cell r="AJ286" t="str">
            <v>With LTS</v>
          </cell>
          <cell r="AK286" t="str">
            <v>Unaffected lots</v>
          </cell>
          <cell r="AL286" t="str">
            <v>Unaffected lots</v>
          </cell>
          <cell r="AM286" t="b">
            <v>1</v>
          </cell>
          <cell r="AN286" t="str">
            <v>YES</v>
          </cell>
          <cell r="AO286" t="str">
            <v>B3 2025</v>
          </cell>
          <cell r="AP286">
            <v>70</v>
          </cell>
          <cell r="AQ286" t="str">
            <v>PCS-04-276263</v>
          </cell>
          <cell r="AR286" t="b">
            <v>1</v>
          </cell>
          <cell r="AS286" t="str">
            <v>Done</v>
          </cell>
          <cell r="AT286" t="str">
            <v>2025 - Batch 4</v>
          </cell>
          <cell r="AU286">
            <v>12</v>
          </cell>
          <cell r="AV286">
            <v>7</v>
          </cell>
          <cell r="AW286" t="str">
            <v>H+L</v>
          </cell>
          <cell r="AX286">
            <v>70</v>
          </cell>
          <cell r="AY286">
            <v>50</v>
          </cell>
          <cell r="AZ286" t="str">
            <v>Duplex</v>
          </cell>
          <cell r="BA286">
            <v>1</v>
          </cell>
          <cell r="BB286" t="str">
            <v>568 - Without Partition</v>
          </cell>
          <cell r="BC286" t="str">
            <v xml:space="preserve">Without Partition </v>
          </cell>
          <cell r="BD286" t="str">
            <v>Flat</v>
          </cell>
          <cell r="BE286" t="str">
            <v xml:space="preserve">Without Partition </v>
          </cell>
          <cell r="BF286" t="str">
            <v>PURPLE</v>
          </cell>
          <cell r="BG286">
            <v>2500000</v>
          </cell>
          <cell r="BH286">
            <v>2650000</v>
          </cell>
          <cell r="BI286">
            <v>100000</v>
          </cell>
          <cell r="BJ286">
            <v>2550000</v>
          </cell>
          <cell r="BK286">
            <v>0</v>
          </cell>
          <cell r="BL286">
            <v>2550000</v>
          </cell>
        </row>
        <row r="287">
          <cell r="D287" t="str">
            <v>OS</v>
          </cell>
          <cell r="E287"/>
          <cell r="F287">
            <v>267</v>
          </cell>
          <cell r="G287" t="str">
            <v>SOLD</v>
          </cell>
          <cell r="H287" t="str">
            <v>OS</v>
          </cell>
          <cell r="I287" t="str">
            <v>OS</v>
          </cell>
          <cell r="J287" t="str">
            <v>OS</v>
          </cell>
          <cell r="K287" t="str">
            <v>OS</v>
          </cell>
          <cell r="L287" t="str">
            <v>OS</v>
          </cell>
          <cell r="M287" t="str">
            <v>OS</v>
          </cell>
          <cell r="N287" t="str">
            <v>OS</v>
          </cell>
          <cell r="O287" t="str">
            <v>OS</v>
          </cell>
          <cell r="P287" t="str">
            <v>OS</v>
          </cell>
          <cell r="Q287" t="str">
            <v>OS</v>
          </cell>
          <cell r="R287" t="str">
            <v>OS</v>
          </cell>
          <cell r="S287" t="str">
            <v>OS</v>
          </cell>
          <cell r="T287" t="str">
            <v>OS</v>
          </cell>
          <cell r="U287" t="str">
            <v>OS</v>
          </cell>
          <cell r="V287" t="str">
            <v>OS</v>
          </cell>
          <cell r="W287" t="str">
            <v>OS</v>
          </cell>
          <cell r="X287" t="str">
            <v>OS</v>
          </cell>
          <cell r="Y287" t="str">
            <v>OS</v>
          </cell>
          <cell r="Z287" t="str">
            <v>OS</v>
          </cell>
          <cell r="AA287" t="str">
            <v>OS</v>
          </cell>
          <cell r="AB287" t="str">
            <v>OS</v>
          </cell>
          <cell r="AC287" t="str">
            <v>OS</v>
          </cell>
          <cell r="AD287" t="str">
            <v>AGM-01-012-008</v>
          </cell>
          <cell r="AE287" t="str">
            <v xml:space="preserve">Raemulan Lands, Inc. </v>
          </cell>
          <cell r="AF287" t="str">
            <v>Agapeya</v>
          </cell>
          <cell r="AG287" t="str">
            <v>AGM</v>
          </cell>
          <cell r="AH287" t="str">
            <v>Eco-High</v>
          </cell>
          <cell r="AI287" t="str">
            <v>West</v>
          </cell>
          <cell r="AJ287" t="str">
            <v>With LTS</v>
          </cell>
          <cell r="AK287" t="str">
            <v>Unaffected lots</v>
          </cell>
          <cell r="AL287" t="str">
            <v>Unaffected lots</v>
          </cell>
          <cell r="AM287" t="b">
            <v>1</v>
          </cell>
          <cell r="AN287" t="str">
            <v>YES</v>
          </cell>
          <cell r="AO287" t="str">
            <v>B4 2025</v>
          </cell>
          <cell r="AP287">
            <v>70</v>
          </cell>
          <cell r="AQ287" t="str">
            <v>PCS-04-276263</v>
          </cell>
          <cell r="AR287" t="b">
            <v>1</v>
          </cell>
          <cell r="AS287" t="str">
            <v>Done</v>
          </cell>
          <cell r="AT287" t="str">
            <v>2025 - Batch 3</v>
          </cell>
          <cell r="AU287">
            <v>12</v>
          </cell>
          <cell r="AV287">
            <v>8</v>
          </cell>
          <cell r="AW287" t="str">
            <v>H+L</v>
          </cell>
          <cell r="AX287">
            <v>70</v>
          </cell>
          <cell r="AY287">
            <v>50</v>
          </cell>
          <cell r="AZ287" t="str">
            <v>Duplex</v>
          </cell>
          <cell r="BA287">
            <v>1</v>
          </cell>
          <cell r="BB287" t="str">
            <v>568 - Without Partition</v>
          </cell>
          <cell r="BC287" t="str">
            <v xml:space="preserve">Without Partition </v>
          </cell>
          <cell r="BD287" t="str">
            <v>Flat</v>
          </cell>
          <cell r="BE287" t="str">
            <v xml:space="preserve">Without Partition </v>
          </cell>
          <cell r="BF287" t="str">
            <v>PURPLE</v>
          </cell>
          <cell r="BG287">
            <v>2500000</v>
          </cell>
          <cell r="BH287">
            <v>2650000</v>
          </cell>
          <cell r="BI287">
            <v>100000</v>
          </cell>
          <cell r="BJ287">
            <v>2550000</v>
          </cell>
          <cell r="BK287">
            <v>0</v>
          </cell>
          <cell r="BL287">
            <v>2550000</v>
          </cell>
        </row>
        <row r="288">
          <cell r="D288" t="str">
            <v>OS</v>
          </cell>
          <cell r="E288"/>
          <cell r="F288">
            <v>268</v>
          </cell>
          <cell r="G288" t="str">
            <v>SOLD</v>
          </cell>
          <cell r="H288" t="str">
            <v>OS</v>
          </cell>
          <cell r="I288" t="str">
            <v>OS</v>
          </cell>
          <cell r="J288" t="str">
            <v>OS</v>
          </cell>
          <cell r="K288" t="str">
            <v>OS</v>
          </cell>
          <cell r="L288" t="str">
            <v>OS</v>
          </cell>
          <cell r="M288" t="str">
            <v>OS</v>
          </cell>
          <cell r="N288" t="str">
            <v>OS</v>
          </cell>
          <cell r="O288" t="str">
            <v>OS</v>
          </cell>
          <cell r="P288" t="str">
            <v>OS</v>
          </cell>
          <cell r="Q288" t="str">
            <v>OS</v>
          </cell>
          <cell r="R288" t="str">
            <v>OS</v>
          </cell>
          <cell r="S288" t="str">
            <v>OS</v>
          </cell>
          <cell r="T288" t="str">
            <v>OS</v>
          </cell>
          <cell r="U288" t="str">
            <v>OS</v>
          </cell>
          <cell r="V288" t="str">
            <v>OS</v>
          </cell>
          <cell r="W288" t="str">
            <v>OS</v>
          </cell>
          <cell r="X288" t="str">
            <v>OS</v>
          </cell>
          <cell r="Y288" t="str">
            <v>OS</v>
          </cell>
          <cell r="Z288" t="str">
            <v>OS</v>
          </cell>
          <cell r="AA288" t="str">
            <v>OS</v>
          </cell>
          <cell r="AB288" t="str">
            <v>OS</v>
          </cell>
          <cell r="AC288" t="str">
            <v>OS</v>
          </cell>
          <cell r="AD288" t="str">
            <v>AGM-01-012-009</v>
          </cell>
          <cell r="AE288" t="str">
            <v xml:space="preserve">Raemulan Lands, Inc. </v>
          </cell>
          <cell r="AF288" t="str">
            <v>Agapeya</v>
          </cell>
          <cell r="AG288" t="str">
            <v>AGM</v>
          </cell>
          <cell r="AH288" t="str">
            <v>Eco-High</v>
          </cell>
          <cell r="AI288" t="str">
            <v>West</v>
          </cell>
          <cell r="AJ288" t="str">
            <v>With LTS</v>
          </cell>
          <cell r="AK288" t="str">
            <v>Unaffected lots</v>
          </cell>
          <cell r="AL288" t="str">
            <v>Unaffected lots</v>
          </cell>
          <cell r="AM288" t="b">
            <v>1</v>
          </cell>
          <cell r="AN288" t="str">
            <v>YES</v>
          </cell>
          <cell r="AO288" t="str">
            <v>B4 2025</v>
          </cell>
          <cell r="AP288">
            <v>70</v>
          </cell>
          <cell r="AQ288" t="str">
            <v>PCS-04-276263</v>
          </cell>
          <cell r="AR288" t="b">
            <v>1</v>
          </cell>
          <cell r="AS288" t="str">
            <v>Done</v>
          </cell>
          <cell r="AT288" t="str">
            <v>2025 - Batch 3</v>
          </cell>
          <cell r="AU288">
            <v>12</v>
          </cell>
          <cell r="AV288">
            <v>9</v>
          </cell>
          <cell r="AW288" t="str">
            <v>H+L</v>
          </cell>
          <cell r="AX288">
            <v>70</v>
          </cell>
          <cell r="AY288">
            <v>50</v>
          </cell>
          <cell r="AZ288" t="str">
            <v>Duplex</v>
          </cell>
          <cell r="BA288">
            <v>1</v>
          </cell>
          <cell r="BB288" t="str">
            <v>568 - Without Partition</v>
          </cell>
          <cell r="BC288" t="str">
            <v xml:space="preserve">Without Partition </v>
          </cell>
          <cell r="BD288" t="str">
            <v>Slant</v>
          </cell>
          <cell r="BE288" t="str">
            <v xml:space="preserve">Without Partition </v>
          </cell>
          <cell r="BF288" t="str">
            <v>PURPLE</v>
          </cell>
          <cell r="BG288">
            <v>2500000</v>
          </cell>
          <cell r="BH288">
            <v>2650000</v>
          </cell>
          <cell r="BI288">
            <v>100000</v>
          </cell>
          <cell r="BJ288">
            <v>2550000</v>
          </cell>
          <cell r="BK288">
            <v>0</v>
          </cell>
          <cell r="BL288">
            <v>2550000</v>
          </cell>
        </row>
        <row r="289">
          <cell r="D289" t="str">
            <v>OS</v>
          </cell>
          <cell r="E289"/>
          <cell r="F289">
            <v>269</v>
          </cell>
          <cell r="G289" t="str">
            <v>SOLD</v>
          </cell>
          <cell r="H289" t="str">
            <v>OS</v>
          </cell>
          <cell r="I289" t="str">
            <v>OS</v>
          </cell>
          <cell r="J289" t="str">
            <v>OS</v>
          </cell>
          <cell r="K289" t="str">
            <v>OS</v>
          </cell>
          <cell r="L289" t="str">
            <v>OS</v>
          </cell>
          <cell r="M289" t="str">
            <v>OS</v>
          </cell>
          <cell r="N289" t="str">
            <v>OS</v>
          </cell>
          <cell r="O289" t="str">
            <v>OS</v>
          </cell>
          <cell r="P289" t="str">
            <v>OS</v>
          </cell>
          <cell r="Q289" t="str">
            <v>OS</v>
          </cell>
          <cell r="R289" t="str">
            <v>OS</v>
          </cell>
          <cell r="S289" t="str">
            <v>OS</v>
          </cell>
          <cell r="T289" t="str">
            <v>OS</v>
          </cell>
          <cell r="U289" t="str">
            <v>OS</v>
          </cell>
          <cell r="V289" t="str">
            <v>OS</v>
          </cell>
          <cell r="W289" t="str">
            <v>OS</v>
          </cell>
          <cell r="X289" t="str">
            <v>OS</v>
          </cell>
          <cell r="Y289" t="str">
            <v>OS</v>
          </cell>
          <cell r="Z289" t="str">
            <v>OS</v>
          </cell>
          <cell r="AA289" t="str">
            <v>OS</v>
          </cell>
          <cell r="AB289" t="str">
            <v>OS</v>
          </cell>
          <cell r="AC289" t="str">
            <v>OS</v>
          </cell>
          <cell r="AD289" t="str">
            <v>AGM-01-012-010</v>
          </cell>
          <cell r="AE289" t="str">
            <v xml:space="preserve">Raemulan Lands, Inc. </v>
          </cell>
          <cell r="AF289" t="str">
            <v>Agapeya</v>
          </cell>
          <cell r="AG289" t="str">
            <v>AGM</v>
          </cell>
          <cell r="AH289" t="str">
            <v>Eco-High</v>
          </cell>
          <cell r="AI289" t="str">
            <v>West</v>
          </cell>
          <cell r="AJ289" t="str">
            <v>With LTS</v>
          </cell>
          <cell r="AK289" t="str">
            <v>Unaffected lots</v>
          </cell>
          <cell r="AL289" t="str">
            <v>Unaffected lots</v>
          </cell>
          <cell r="AM289" t="b">
            <v>1</v>
          </cell>
          <cell r="AN289" t="str">
            <v>YES</v>
          </cell>
          <cell r="AO289" t="str">
            <v>B4 2025</v>
          </cell>
          <cell r="AP289">
            <v>70</v>
          </cell>
          <cell r="AQ289" t="str">
            <v>PCS-04-276263</v>
          </cell>
          <cell r="AR289" t="b">
            <v>1</v>
          </cell>
          <cell r="AS289" t="str">
            <v>Done</v>
          </cell>
          <cell r="AT289" t="str">
            <v>2025 - Batch 3</v>
          </cell>
          <cell r="AU289">
            <v>12</v>
          </cell>
          <cell r="AV289">
            <v>10</v>
          </cell>
          <cell r="AW289" t="str">
            <v>H+L</v>
          </cell>
          <cell r="AX289">
            <v>70</v>
          </cell>
          <cell r="AY289">
            <v>50</v>
          </cell>
          <cell r="AZ289" t="str">
            <v>Duplex</v>
          </cell>
          <cell r="BA289">
            <v>1</v>
          </cell>
          <cell r="BB289" t="str">
            <v>568 - Without Partition</v>
          </cell>
          <cell r="BC289" t="str">
            <v xml:space="preserve">Without Partition </v>
          </cell>
          <cell r="BD289" t="str">
            <v>Slant</v>
          </cell>
          <cell r="BE289" t="str">
            <v xml:space="preserve">Without Partition </v>
          </cell>
          <cell r="BF289" t="str">
            <v>GREEN</v>
          </cell>
          <cell r="BG289">
            <v>2500000</v>
          </cell>
          <cell r="BH289">
            <v>2650000</v>
          </cell>
          <cell r="BI289">
            <v>100000</v>
          </cell>
          <cell r="BJ289">
            <v>2550000</v>
          </cell>
          <cell r="BK289">
            <v>0</v>
          </cell>
          <cell r="BL289">
            <v>2550000</v>
          </cell>
        </row>
        <row r="290">
          <cell r="D290" t="str">
            <v>OS</v>
          </cell>
          <cell r="E290"/>
          <cell r="F290">
            <v>270</v>
          </cell>
          <cell r="G290" t="str">
            <v>SOLD</v>
          </cell>
          <cell r="H290" t="str">
            <v>OS</v>
          </cell>
          <cell r="I290" t="str">
            <v>OS</v>
          </cell>
          <cell r="J290" t="str">
            <v>OS</v>
          </cell>
          <cell r="K290" t="str">
            <v>OS</v>
          </cell>
          <cell r="L290" t="str">
            <v>OS</v>
          </cell>
          <cell r="M290" t="str">
            <v>OS</v>
          </cell>
          <cell r="N290" t="str">
            <v>OS</v>
          </cell>
          <cell r="O290" t="str">
            <v>OS</v>
          </cell>
          <cell r="P290" t="str">
            <v>OS</v>
          </cell>
          <cell r="Q290" t="str">
            <v>OS</v>
          </cell>
          <cell r="R290" t="str">
            <v>OS</v>
          </cell>
          <cell r="S290" t="str">
            <v>OS</v>
          </cell>
          <cell r="T290" t="str">
            <v>OS</v>
          </cell>
          <cell r="U290" t="str">
            <v>OS</v>
          </cell>
          <cell r="V290" t="str">
            <v>OS</v>
          </cell>
          <cell r="W290" t="str">
            <v>OS</v>
          </cell>
          <cell r="X290" t="str">
            <v>OS</v>
          </cell>
          <cell r="Y290" t="str">
            <v>OS</v>
          </cell>
          <cell r="Z290" t="str">
            <v>OS</v>
          </cell>
          <cell r="AA290" t="str">
            <v>OS</v>
          </cell>
          <cell r="AB290" t="str">
            <v>OS</v>
          </cell>
          <cell r="AC290" t="str">
            <v>OS</v>
          </cell>
          <cell r="AD290" t="str">
            <v>AGM-01-012-011</v>
          </cell>
          <cell r="AE290" t="str">
            <v xml:space="preserve">Raemulan Lands, Inc. </v>
          </cell>
          <cell r="AF290" t="str">
            <v>Agapeya</v>
          </cell>
          <cell r="AG290" t="str">
            <v>AGM</v>
          </cell>
          <cell r="AH290" t="str">
            <v>Eco-High</v>
          </cell>
          <cell r="AI290" t="str">
            <v>West</v>
          </cell>
          <cell r="AJ290" t="str">
            <v>Without LTS</v>
          </cell>
          <cell r="AK290" t="str">
            <v>for conso</v>
          </cell>
          <cell r="AL290" t="str">
            <v>Unaffected lots</v>
          </cell>
          <cell r="AM290" t="b">
            <v>1</v>
          </cell>
          <cell r="AN290" t="str">
            <v>NO</v>
          </cell>
          <cell r="AO290" t="str">
            <v>B4 2025</v>
          </cell>
          <cell r="AP290" t="str">
            <v>57/13</v>
          </cell>
          <cell r="AQ290" t="str">
            <v>PCS-04-276263</v>
          </cell>
          <cell r="AR290" t="b">
            <v>0</v>
          </cell>
          <cell r="AS290" t="str">
            <v>For Conso</v>
          </cell>
          <cell r="AT290" t="str">
            <v>2025 - Batch 3</v>
          </cell>
          <cell r="AU290">
            <v>12</v>
          </cell>
          <cell r="AV290">
            <v>11</v>
          </cell>
          <cell r="AW290" t="str">
            <v>H+L</v>
          </cell>
          <cell r="AX290">
            <v>70</v>
          </cell>
          <cell r="AY290">
            <v>50</v>
          </cell>
          <cell r="AZ290" t="str">
            <v>Duplex</v>
          </cell>
          <cell r="BA290">
            <v>1</v>
          </cell>
          <cell r="BB290" t="str">
            <v>568 - Without Partition</v>
          </cell>
          <cell r="BC290" t="str">
            <v xml:space="preserve">Without Partition </v>
          </cell>
          <cell r="BD290" t="str">
            <v>Flat</v>
          </cell>
          <cell r="BE290" t="str">
            <v xml:space="preserve">Without Partition </v>
          </cell>
          <cell r="BF290" t="str">
            <v>GREEN</v>
          </cell>
          <cell r="BG290">
            <v>2500000</v>
          </cell>
          <cell r="BH290">
            <v>2650000</v>
          </cell>
          <cell r="BI290">
            <v>100000</v>
          </cell>
          <cell r="BJ290">
            <v>2550000</v>
          </cell>
          <cell r="BK290">
            <v>0</v>
          </cell>
          <cell r="BL290">
            <v>2550000</v>
          </cell>
        </row>
        <row r="291">
          <cell r="D291" t="str">
            <v>OS</v>
          </cell>
          <cell r="E291"/>
          <cell r="F291">
            <v>271</v>
          </cell>
          <cell r="G291" t="str">
            <v>SOLD</v>
          </cell>
          <cell r="H291" t="str">
            <v>OS</v>
          </cell>
          <cell r="I291" t="str">
            <v>OS</v>
          </cell>
          <cell r="J291" t="str">
            <v>OS</v>
          </cell>
          <cell r="K291" t="str">
            <v>OS</v>
          </cell>
          <cell r="L291" t="str">
            <v>OS</v>
          </cell>
          <cell r="M291" t="str">
            <v>OS</v>
          </cell>
          <cell r="N291" t="str">
            <v>OS</v>
          </cell>
          <cell r="O291" t="str">
            <v>OS</v>
          </cell>
          <cell r="P291" t="str">
            <v>OS</v>
          </cell>
          <cell r="Q291" t="str">
            <v>OS</v>
          </cell>
          <cell r="R291" t="str">
            <v>OS</v>
          </cell>
          <cell r="S291" t="str">
            <v>OS</v>
          </cell>
          <cell r="T291" t="str">
            <v>OS</v>
          </cell>
          <cell r="U291" t="str">
            <v>OS</v>
          </cell>
          <cell r="V291" t="str">
            <v>OS</v>
          </cell>
          <cell r="W291" t="str">
            <v>OS</v>
          </cell>
          <cell r="X291" t="str">
            <v>OS</v>
          </cell>
          <cell r="Y291" t="str">
            <v>OS</v>
          </cell>
          <cell r="Z291" t="str">
            <v>OS</v>
          </cell>
          <cell r="AA291" t="str">
            <v>OS</v>
          </cell>
          <cell r="AB291" t="str">
            <v>OS</v>
          </cell>
          <cell r="AC291" t="str">
            <v>OS</v>
          </cell>
          <cell r="AD291" t="str">
            <v>AGM-01-012-012</v>
          </cell>
          <cell r="AE291" t="str">
            <v xml:space="preserve">Raemulan Lands, Inc. </v>
          </cell>
          <cell r="AF291" t="str">
            <v>Agapeya</v>
          </cell>
          <cell r="AG291" t="str">
            <v>AGM</v>
          </cell>
          <cell r="AH291" t="str">
            <v>Eco-High</v>
          </cell>
          <cell r="AI291" t="str">
            <v>West</v>
          </cell>
          <cell r="AJ291" t="str">
            <v>Without LTS</v>
          </cell>
          <cell r="AK291" t="str">
            <v>Unaffected lots</v>
          </cell>
          <cell r="AL291" t="str">
            <v>Unaffected lots</v>
          </cell>
          <cell r="AM291" t="b">
            <v>0</v>
          </cell>
          <cell r="AN291" t="str">
            <v>NO</v>
          </cell>
          <cell r="AO291" t="str">
            <v>B4 2025</v>
          </cell>
          <cell r="AP291">
            <v>70</v>
          </cell>
          <cell r="AQ291" t="str">
            <v>PCS-277865</v>
          </cell>
          <cell r="AR291" t="b">
            <v>1</v>
          </cell>
          <cell r="AS291" t="str">
            <v>Done</v>
          </cell>
          <cell r="AT291" t="str">
            <v>2025 - Batch 3</v>
          </cell>
          <cell r="AU291">
            <v>12</v>
          </cell>
          <cell r="AV291">
            <v>12</v>
          </cell>
          <cell r="AW291" t="str">
            <v>H+L</v>
          </cell>
          <cell r="AX291">
            <v>70</v>
          </cell>
          <cell r="AY291">
            <v>50</v>
          </cell>
          <cell r="AZ291" t="str">
            <v>Duplex</v>
          </cell>
          <cell r="BA291">
            <v>1</v>
          </cell>
          <cell r="BB291" t="str">
            <v>568 - Without Partition</v>
          </cell>
          <cell r="BC291" t="str">
            <v xml:space="preserve">Without Partition </v>
          </cell>
          <cell r="BD291" t="str">
            <v>Flat</v>
          </cell>
          <cell r="BE291" t="str">
            <v xml:space="preserve">Without Partition </v>
          </cell>
          <cell r="BF291" t="str">
            <v>GREEN</v>
          </cell>
          <cell r="BG291">
            <v>2500000</v>
          </cell>
          <cell r="BH291">
            <v>2650000</v>
          </cell>
          <cell r="BI291">
            <v>100000</v>
          </cell>
          <cell r="BJ291">
            <v>2550000</v>
          </cell>
          <cell r="BK291">
            <v>0</v>
          </cell>
          <cell r="BL291">
            <v>2550000</v>
          </cell>
        </row>
        <row r="292">
          <cell r="D292" t="str">
            <v>OS</v>
          </cell>
          <cell r="E292"/>
          <cell r="F292">
            <v>272</v>
          </cell>
          <cell r="G292" t="str">
            <v>SOLD</v>
          </cell>
          <cell r="H292" t="str">
            <v>OS</v>
          </cell>
          <cell r="I292" t="str">
            <v>OS</v>
          </cell>
          <cell r="J292" t="str">
            <v>OS</v>
          </cell>
          <cell r="K292" t="str">
            <v>OS</v>
          </cell>
          <cell r="L292" t="str">
            <v>OS</v>
          </cell>
          <cell r="M292" t="str">
            <v>OS</v>
          </cell>
          <cell r="N292" t="str">
            <v>OS</v>
          </cell>
          <cell r="O292" t="str">
            <v>OS</v>
          </cell>
          <cell r="P292" t="str">
            <v>OS</v>
          </cell>
          <cell r="Q292" t="str">
            <v>OS</v>
          </cell>
          <cell r="R292" t="str">
            <v>OS</v>
          </cell>
          <cell r="S292" t="str">
            <v>OS</v>
          </cell>
          <cell r="T292" t="str">
            <v>OS</v>
          </cell>
          <cell r="U292" t="str">
            <v>OS</v>
          </cell>
          <cell r="V292" t="str">
            <v>OS</v>
          </cell>
          <cell r="W292" t="str">
            <v>OS</v>
          </cell>
          <cell r="X292" t="str">
            <v>OS</v>
          </cell>
          <cell r="Y292" t="str">
            <v>OS</v>
          </cell>
          <cell r="Z292" t="str">
            <v>OS</v>
          </cell>
          <cell r="AA292" t="str">
            <v>OS</v>
          </cell>
          <cell r="AB292" t="str">
            <v>OS</v>
          </cell>
          <cell r="AC292" t="str">
            <v>OS</v>
          </cell>
          <cell r="AD292" t="str">
            <v>AGM-01-012-013</v>
          </cell>
          <cell r="AE292" t="str">
            <v xml:space="preserve">Raemulan Lands, Inc. </v>
          </cell>
          <cell r="AF292" t="str">
            <v>Agapeya</v>
          </cell>
          <cell r="AG292" t="str">
            <v>AGM</v>
          </cell>
          <cell r="AH292" t="str">
            <v>Eco-High</v>
          </cell>
          <cell r="AI292" t="str">
            <v>West</v>
          </cell>
          <cell r="AJ292" t="str">
            <v>Without LTS</v>
          </cell>
          <cell r="AK292" t="str">
            <v>Unaffected lots</v>
          </cell>
          <cell r="AL292" t="str">
            <v>Unaffected lots</v>
          </cell>
          <cell r="AM292" t="b">
            <v>0</v>
          </cell>
          <cell r="AN292" t="str">
            <v>NO</v>
          </cell>
          <cell r="AO292" t="str">
            <v>B4 2025</v>
          </cell>
          <cell r="AP292">
            <v>70</v>
          </cell>
          <cell r="AQ292" t="str">
            <v>PCS-277865</v>
          </cell>
          <cell r="AR292" t="b">
            <v>1</v>
          </cell>
          <cell r="AS292" t="str">
            <v>Done</v>
          </cell>
          <cell r="AT292" t="str">
            <v>2025 - Batch 3</v>
          </cell>
          <cell r="AU292">
            <v>12</v>
          </cell>
          <cell r="AV292">
            <v>13</v>
          </cell>
          <cell r="AW292" t="str">
            <v>H+L</v>
          </cell>
          <cell r="AX292">
            <v>70</v>
          </cell>
          <cell r="AY292">
            <v>50</v>
          </cell>
          <cell r="AZ292" t="str">
            <v>Duplex</v>
          </cell>
          <cell r="BA292">
            <v>1</v>
          </cell>
          <cell r="BB292" t="str">
            <v>568 - Without Partition</v>
          </cell>
          <cell r="BC292" t="str">
            <v xml:space="preserve">Without Partition </v>
          </cell>
          <cell r="BD292" t="str">
            <v>Slant</v>
          </cell>
          <cell r="BE292" t="str">
            <v xml:space="preserve">Without Partition </v>
          </cell>
          <cell r="BF292" t="str">
            <v>GREEN</v>
          </cell>
          <cell r="BG292">
            <v>2500000</v>
          </cell>
          <cell r="BH292">
            <v>2650000</v>
          </cell>
          <cell r="BI292">
            <v>100000</v>
          </cell>
          <cell r="BJ292">
            <v>2550000</v>
          </cell>
          <cell r="BK292">
            <v>0</v>
          </cell>
          <cell r="BL292">
            <v>2550000</v>
          </cell>
        </row>
        <row r="293">
          <cell r="D293" t="str">
            <v>OS</v>
          </cell>
          <cell r="E293"/>
          <cell r="F293">
            <v>273</v>
          </cell>
          <cell r="G293" t="str">
            <v>CLOSED</v>
          </cell>
          <cell r="H293" t="str">
            <v>OPEN</v>
          </cell>
          <cell r="I293" t="str">
            <v>TS</v>
          </cell>
          <cell r="J293" t="str">
            <v>TS</v>
          </cell>
          <cell r="K293" t="str">
            <v>TS</v>
          </cell>
          <cell r="L293" t="str">
            <v>TS</v>
          </cell>
          <cell r="M293" t="str">
            <v>TS</v>
          </cell>
          <cell r="N293" t="str">
            <v>TS</v>
          </cell>
          <cell r="O293" t="str">
            <v>TS</v>
          </cell>
          <cell r="P293" t="str">
            <v>TS</v>
          </cell>
          <cell r="Q293" t="str">
            <v>TS</v>
          </cell>
          <cell r="R293" t="str">
            <v>TS</v>
          </cell>
          <cell r="S293" t="str">
            <v>TS</v>
          </cell>
          <cell r="T293" t="str">
            <v>TS</v>
          </cell>
          <cell r="U293" t="str">
            <v>OS</v>
          </cell>
          <cell r="V293" t="str">
            <v>OS</v>
          </cell>
          <cell r="W293" t="str">
            <v>OS</v>
          </cell>
          <cell r="X293" t="str">
            <v>OS</v>
          </cell>
          <cell r="Y293" t="str">
            <v>OS</v>
          </cell>
          <cell r="Z293" t="str">
            <v>OS</v>
          </cell>
          <cell r="AA293" t="str">
            <v>OS</v>
          </cell>
          <cell r="AB293" t="str">
            <v>OS</v>
          </cell>
          <cell r="AC293" t="str">
            <v>OS</v>
          </cell>
          <cell r="AD293" t="str">
            <v>AGM-01-015-001</v>
          </cell>
          <cell r="AE293" t="str">
            <v xml:space="preserve">Raemulan Lands, Inc. </v>
          </cell>
          <cell r="AF293" t="str">
            <v>Agapeya</v>
          </cell>
          <cell r="AG293" t="str">
            <v>AGM</v>
          </cell>
          <cell r="AH293" t="str">
            <v>Eco-High</v>
          </cell>
          <cell r="AI293" t="str">
            <v>West</v>
          </cell>
          <cell r="AJ293" t="str">
            <v>Without LTS</v>
          </cell>
          <cell r="AK293" t="str">
            <v>for conso</v>
          </cell>
          <cell r="AL293" t="str">
            <v>Unaffected lots</v>
          </cell>
          <cell r="AM293" t="b">
            <v>0</v>
          </cell>
          <cell r="AN293" t="str">
            <v>NO</v>
          </cell>
          <cell r="AO293" t="str">
            <v>B3 2025</v>
          </cell>
          <cell r="AP293" t="str">
            <v>64/24/2</v>
          </cell>
          <cell r="AQ293" t="str">
            <v>PCS-04-276263/PCS-04-034407/PSD-04-277865</v>
          </cell>
          <cell r="AR293" t="b">
            <v>0</v>
          </cell>
          <cell r="AS293" t="str">
            <v>For Conso</v>
          </cell>
          <cell r="AT293" t="str">
            <v>2025 - Batch 6</v>
          </cell>
          <cell r="AU293">
            <v>15</v>
          </cell>
          <cell r="AV293">
            <v>1</v>
          </cell>
          <cell r="AW293" t="str">
            <v>H+L</v>
          </cell>
          <cell r="AX293">
            <v>90</v>
          </cell>
          <cell r="AY293">
            <v>50</v>
          </cell>
          <cell r="AZ293" t="str">
            <v>Duplex</v>
          </cell>
          <cell r="BA293">
            <v>1</v>
          </cell>
          <cell r="BB293" t="str">
            <v>568 - Without Partition</v>
          </cell>
          <cell r="BC293" t="str">
            <v xml:space="preserve">Without Partition </v>
          </cell>
          <cell r="BD293" t="str">
            <v>Slant</v>
          </cell>
          <cell r="BE293" t="str">
            <v xml:space="preserve">Without Partition </v>
          </cell>
          <cell r="BF293" t="str">
            <v>PURPLE</v>
          </cell>
          <cell r="BG293">
            <v>2500000</v>
          </cell>
          <cell r="BH293">
            <v>2950000</v>
          </cell>
          <cell r="BI293">
            <v>100000</v>
          </cell>
          <cell r="BJ293">
            <v>2850000</v>
          </cell>
          <cell r="BK293">
            <v>0</v>
          </cell>
          <cell r="BL293">
            <v>2850000</v>
          </cell>
        </row>
        <row r="294">
          <cell r="D294" t="str">
            <v>OS</v>
          </cell>
          <cell r="E294"/>
          <cell r="F294">
            <v>274</v>
          </cell>
          <cell r="G294" t="str">
            <v>CLOSED</v>
          </cell>
          <cell r="H294" t="str">
            <v>OPEN</v>
          </cell>
          <cell r="I294" t="str">
            <v>OPEN</v>
          </cell>
          <cell r="J294" t="str">
            <v>OPEN</v>
          </cell>
          <cell r="K294" t="str">
            <v>FOR BRN</v>
          </cell>
          <cell r="L294" t="str">
            <v>TS</v>
          </cell>
          <cell r="M294" t="str">
            <v>OS</v>
          </cell>
          <cell r="N294" t="str">
            <v>TS</v>
          </cell>
          <cell r="O294" t="str">
            <v>TS</v>
          </cell>
          <cell r="P294" t="str">
            <v>TS</v>
          </cell>
          <cell r="Q294" t="str">
            <v>TS</v>
          </cell>
          <cell r="R294" t="str">
            <v>TS</v>
          </cell>
          <cell r="S294" t="str">
            <v>TS</v>
          </cell>
          <cell r="T294" t="str">
            <v>TS</v>
          </cell>
          <cell r="U294" t="str">
            <v>OS</v>
          </cell>
          <cell r="V294" t="str">
            <v>OS</v>
          </cell>
          <cell r="W294" t="str">
            <v>OS</v>
          </cell>
          <cell r="X294" t="str">
            <v>OS</v>
          </cell>
          <cell r="Y294" t="str">
            <v>OS</v>
          </cell>
          <cell r="Z294" t="str">
            <v>OS</v>
          </cell>
          <cell r="AA294" t="str">
            <v>OS</v>
          </cell>
          <cell r="AB294" t="str">
            <v>OS</v>
          </cell>
          <cell r="AC294" t="str">
            <v>OS</v>
          </cell>
          <cell r="AD294" t="str">
            <v>AGM-01-015-002</v>
          </cell>
          <cell r="AE294" t="str">
            <v xml:space="preserve">Raemulan Lands, Inc. </v>
          </cell>
          <cell r="AF294" t="str">
            <v>Agapeya</v>
          </cell>
          <cell r="AG294" t="str">
            <v>AGM</v>
          </cell>
          <cell r="AH294" t="str">
            <v>Eco-High</v>
          </cell>
          <cell r="AI294" t="str">
            <v>West</v>
          </cell>
          <cell r="AJ294" t="str">
            <v>Without LTS</v>
          </cell>
          <cell r="AK294" t="str">
            <v>for conso</v>
          </cell>
          <cell r="AL294" t="str">
            <v>Unaffected lots</v>
          </cell>
          <cell r="AM294" t="b">
            <v>1</v>
          </cell>
          <cell r="AN294" t="str">
            <v>NO</v>
          </cell>
          <cell r="AO294" t="str">
            <v>B3 2025</v>
          </cell>
          <cell r="AP294" t="str">
            <v>37/33</v>
          </cell>
          <cell r="AQ294" t="str">
            <v>PCS-04-034407/PSD-04-277865</v>
          </cell>
          <cell r="AR294" t="b">
            <v>0</v>
          </cell>
          <cell r="AS294" t="str">
            <v>For Conso</v>
          </cell>
          <cell r="AT294" t="str">
            <v>2025 - Batch 6</v>
          </cell>
          <cell r="AU294">
            <v>15</v>
          </cell>
          <cell r="AV294">
            <v>2</v>
          </cell>
          <cell r="AW294" t="str">
            <v>H+L</v>
          </cell>
          <cell r="AX294">
            <v>70</v>
          </cell>
          <cell r="AY294">
            <v>50</v>
          </cell>
          <cell r="AZ294" t="str">
            <v>Duplex</v>
          </cell>
          <cell r="BA294">
            <v>1</v>
          </cell>
          <cell r="BB294" t="str">
            <v>568 - Without Partition</v>
          </cell>
          <cell r="BC294" t="str">
            <v xml:space="preserve">Without Partition </v>
          </cell>
          <cell r="BD294" t="str">
            <v>Flat</v>
          </cell>
          <cell r="BE294" t="str">
            <v xml:space="preserve">Without Partition </v>
          </cell>
          <cell r="BF294" t="str">
            <v>PURPLE</v>
          </cell>
          <cell r="BG294">
            <v>2500000</v>
          </cell>
          <cell r="BH294">
            <v>2650000</v>
          </cell>
          <cell r="BI294">
            <v>100000</v>
          </cell>
          <cell r="BJ294">
            <v>2550000</v>
          </cell>
          <cell r="BK294">
            <v>0</v>
          </cell>
          <cell r="BL294">
            <v>2550000</v>
          </cell>
        </row>
        <row r="295">
          <cell r="D295" t="str">
            <v>OS</v>
          </cell>
          <cell r="E295"/>
          <cell r="F295">
            <v>275</v>
          </cell>
          <cell r="G295" t="str">
            <v>CLOSED</v>
          </cell>
          <cell r="H295" t="str">
            <v>TS</v>
          </cell>
          <cell r="I295" t="str">
            <v>TS</v>
          </cell>
          <cell r="J295" t="str">
            <v>TS</v>
          </cell>
          <cell r="K295" t="str">
            <v>TS</v>
          </cell>
          <cell r="L295" t="str">
            <v>TS</v>
          </cell>
          <cell r="M295" t="str">
            <v>TS</v>
          </cell>
          <cell r="N295" t="str">
            <v>OS</v>
          </cell>
          <cell r="O295" t="str">
            <v>OS</v>
          </cell>
          <cell r="P295" t="str">
            <v>OS</v>
          </cell>
          <cell r="Q295" t="str">
            <v>OS</v>
          </cell>
          <cell r="R295" t="str">
            <v>OS</v>
          </cell>
          <cell r="S295" t="str">
            <v>OS</v>
          </cell>
          <cell r="T295" t="str">
            <v>OS</v>
          </cell>
          <cell r="U295" t="str">
            <v>OS</v>
          </cell>
          <cell r="V295" t="str">
            <v>OS</v>
          </cell>
          <cell r="W295" t="str">
            <v>OS</v>
          </cell>
          <cell r="X295" t="str">
            <v>OS</v>
          </cell>
          <cell r="Y295" t="str">
            <v>OS</v>
          </cell>
          <cell r="Z295" t="str">
            <v>OS</v>
          </cell>
          <cell r="AA295" t="str">
            <v>OS</v>
          </cell>
          <cell r="AB295" t="str">
            <v>OS</v>
          </cell>
          <cell r="AC295" t="str">
            <v>OS</v>
          </cell>
          <cell r="AD295" t="str">
            <v>AGM-01-015-003</v>
          </cell>
          <cell r="AE295" t="str">
            <v xml:space="preserve">Raemulan Lands, Inc. </v>
          </cell>
          <cell r="AF295" t="str">
            <v>Agapeya</v>
          </cell>
          <cell r="AG295" t="str">
            <v>AGM</v>
          </cell>
          <cell r="AH295" t="str">
            <v>Eco-High</v>
          </cell>
          <cell r="AI295" t="str">
            <v>West</v>
          </cell>
          <cell r="AJ295" t="str">
            <v>Without LTS</v>
          </cell>
          <cell r="AK295" t="str">
            <v>for conso</v>
          </cell>
          <cell r="AL295" t="str">
            <v>Unaffected lots</v>
          </cell>
          <cell r="AM295" t="b">
            <v>1</v>
          </cell>
          <cell r="AN295" t="str">
            <v>NO</v>
          </cell>
          <cell r="AO295" t="str">
            <v>B3 2025</v>
          </cell>
          <cell r="AP295" t="str">
            <v>4/66</v>
          </cell>
          <cell r="AQ295" t="str">
            <v>PCS-04-034407/PSD-04-277865</v>
          </cell>
          <cell r="AR295" t="b">
            <v>0</v>
          </cell>
          <cell r="AS295" t="str">
            <v>For Conso</v>
          </cell>
          <cell r="AT295" t="str">
            <v>2025 - Batch 6</v>
          </cell>
          <cell r="AU295">
            <v>15</v>
          </cell>
          <cell r="AV295">
            <v>3</v>
          </cell>
          <cell r="AW295" t="str">
            <v>H+L</v>
          </cell>
          <cell r="AX295">
            <v>70</v>
          </cell>
          <cell r="AY295">
            <v>50</v>
          </cell>
          <cell r="AZ295" t="str">
            <v>Duplex</v>
          </cell>
          <cell r="BA295">
            <v>1</v>
          </cell>
          <cell r="BB295" t="str">
            <v>568 - Without Partition</v>
          </cell>
          <cell r="BC295" t="str">
            <v xml:space="preserve">Without Partition </v>
          </cell>
          <cell r="BD295" t="str">
            <v>Flat</v>
          </cell>
          <cell r="BE295" t="str">
            <v xml:space="preserve">Without Partition </v>
          </cell>
          <cell r="BF295" t="str">
            <v>PURPLE</v>
          </cell>
          <cell r="BG295">
            <v>2500000</v>
          </cell>
          <cell r="BH295">
            <v>2650000</v>
          </cell>
          <cell r="BI295">
            <v>100000</v>
          </cell>
          <cell r="BJ295">
            <v>2550000</v>
          </cell>
          <cell r="BK295">
            <v>0</v>
          </cell>
          <cell r="BL295">
            <v>2550000</v>
          </cell>
        </row>
        <row r="296">
          <cell r="D296" t="str">
            <v>OS</v>
          </cell>
          <cell r="E296"/>
          <cell r="F296">
            <v>276</v>
          </cell>
          <cell r="G296" t="str">
            <v>CLOSED</v>
          </cell>
          <cell r="H296" t="str">
            <v>TS</v>
          </cell>
          <cell r="I296" t="str">
            <v>TS</v>
          </cell>
          <cell r="J296" t="str">
            <v>TS</v>
          </cell>
          <cell r="K296" t="str">
            <v>TS</v>
          </cell>
          <cell r="L296" t="str">
            <v>TS</v>
          </cell>
          <cell r="M296" t="str">
            <v>TS</v>
          </cell>
          <cell r="N296" t="str">
            <v>OS</v>
          </cell>
          <cell r="O296" t="str">
            <v>OS</v>
          </cell>
          <cell r="P296" t="str">
            <v>OS</v>
          </cell>
          <cell r="Q296" t="str">
            <v>OS</v>
          </cell>
          <cell r="R296" t="str">
            <v>OS</v>
          </cell>
          <cell r="S296" t="str">
            <v>OS</v>
          </cell>
          <cell r="T296" t="str">
            <v>OS</v>
          </cell>
          <cell r="U296" t="str">
            <v>OS</v>
          </cell>
          <cell r="V296" t="str">
            <v>OS</v>
          </cell>
          <cell r="W296" t="str">
            <v>OS</v>
          </cell>
          <cell r="X296" t="str">
            <v>OS</v>
          </cell>
          <cell r="Y296" t="str">
            <v>OS</v>
          </cell>
          <cell r="Z296" t="str">
            <v>OS</v>
          </cell>
          <cell r="AA296" t="str">
            <v>OS</v>
          </cell>
          <cell r="AB296" t="str">
            <v>OS</v>
          </cell>
          <cell r="AC296" t="str">
            <v>OS</v>
          </cell>
          <cell r="AD296" t="str">
            <v>AGM-01-015-004</v>
          </cell>
          <cell r="AE296" t="str">
            <v xml:space="preserve">Raemulan Lands, Inc. </v>
          </cell>
          <cell r="AF296" t="str">
            <v>Agapeya</v>
          </cell>
          <cell r="AG296" t="str">
            <v>AGM</v>
          </cell>
          <cell r="AH296" t="str">
            <v>Eco-High</v>
          </cell>
          <cell r="AI296" t="str">
            <v>West</v>
          </cell>
          <cell r="AJ296" t="str">
            <v>Without LTS</v>
          </cell>
          <cell r="AK296" t="str">
            <v>Unaffected lots</v>
          </cell>
          <cell r="AL296" t="str">
            <v>Unaffected lots</v>
          </cell>
          <cell r="AM296" t="b">
            <v>0</v>
          </cell>
          <cell r="AN296" t="str">
            <v>NO</v>
          </cell>
          <cell r="AO296" t="str">
            <v>B3 2025</v>
          </cell>
          <cell r="AP296">
            <v>70</v>
          </cell>
          <cell r="AQ296" t="str">
            <v>PCS-277865</v>
          </cell>
          <cell r="AR296" t="b">
            <v>1</v>
          </cell>
          <cell r="AS296" t="str">
            <v>Done</v>
          </cell>
          <cell r="AT296" t="str">
            <v>2025 - Batch 6</v>
          </cell>
          <cell r="AU296">
            <v>15</v>
          </cell>
          <cell r="AV296">
            <v>4</v>
          </cell>
          <cell r="AW296" t="str">
            <v>H+L</v>
          </cell>
          <cell r="AX296">
            <v>70</v>
          </cell>
          <cell r="AY296">
            <v>50</v>
          </cell>
          <cell r="AZ296" t="str">
            <v>Duplex</v>
          </cell>
          <cell r="BA296">
            <v>1</v>
          </cell>
          <cell r="BB296" t="str">
            <v>568 - Without Partition</v>
          </cell>
          <cell r="BC296" t="str">
            <v xml:space="preserve">Without Partition </v>
          </cell>
          <cell r="BD296" t="str">
            <v>Slant</v>
          </cell>
          <cell r="BE296" t="str">
            <v xml:space="preserve">Without Partition </v>
          </cell>
          <cell r="BF296" t="str">
            <v>PURPLE</v>
          </cell>
          <cell r="BG296">
            <v>2500000</v>
          </cell>
          <cell r="BH296">
            <v>2650000</v>
          </cell>
          <cell r="BI296">
            <v>100000</v>
          </cell>
          <cell r="BJ296">
            <v>2550000</v>
          </cell>
          <cell r="BK296">
            <v>0</v>
          </cell>
          <cell r="BL296">
            <v>2550000</v>
          </cell>
        </row>
        <row r="297">
          <cell r="D297" t="str">
            <v>OS</v>
          </cell>
          <cell r="E297"/>
          <cell r="F297">
            <v>277</v>
          </cell>
          <cell r="G297" t="str">
            <v>CLOSED</v>
          </cell>
          <cell r="H297" t="str">
            <v>TS</v>
          </cell>
          <cell r="I297" t="str">
            <v>TS</v>
          </cell>
          <cell r="J297" t="str">
            <v>TS</v>
          </cell>
          <cell r="K297" t="str">
            <v>TS</v>
          </cell>
          <cell r="L297" t="str">
            <v>TS</v>
          </cell>
          <cell r="M297" t="str">
            <v>TS</v>
          </cell>
          <cell r="N297" t="str">
            <v>TS</v>
          </cell>
          <cell r="O297" t="str">
            <v>TS</v>
          </cell>
          <cell r="P297" t="str">
            <v>OS</v>
          </cell>
          <cell r="Q297" t="str">
            <v>OS</v>
          </cell>
          <cell r="R297" t="str">
            <v>OS</v>
          </cell>
          <cell r="S297" t="str">
            <v>OS</v>
          </cell>
          <cell r="T297" t="str">
            <v>OS</v>
          </cell>
          <cell r="U297" t="str">
            <v>OS</v>
          </cell>
          <cell r="V297" t="str">
            <v>OS</v>
          </cell>
          <cell r="W297" t="str">
            <v>OS</v>
          </cell>
          <cell r="X297" t="str">
            <v>OS</v>
          </cell>
          <cell r="Y297" t="str">
            <v>OS</v>
          </cell>
          <cell r="Z297" t="str">
            <v>OS</v>
          </cell>
          <cell r="AA297" t="str">
            <v>OS</v>
          </cell>
          <cell r="AB297" t="str">
            <v>OS</v>
          </cell>
          <cell r="AC297" t="str">
            <v>OS</v>
          </cell>
          <cell r="AD297" t="str">
            <v>AGM-01-015-005</v>
          </cell>
          <cell r="AE297" t="str">
            <v xml:space="preserve">Raemulan Lands, Inc. </v>
          </cell>
          <cell r="AF297" t="str">
            <v>Agapeya</v>
          </cell>
          <cell r="AG297" t="str">
            <v>AGM</v>
          </cell>
          <cell r="AH297" t="str">
            <v>Eco-High</v>
          </cell>
          <cell r="AI297" t="str">
            <v>West</v>
          </cell>
          <cell r="AJ297" t="str">
            <v>Without LTS</v>
          </cell>
          <cell r="AK297" t="str">
            <v>Unaffected lots</v>
          </cell>
          <cell r="AL297" t="str">
            <v>Unaffected lots</v>
          </cell>
          <cell r="AM297" t="b">
            <v>0</v>
          </cell>
          <cell r="AN297" t="str">
            <v>NO</v>
          </cell>
          <cell r="AO297" t="str">
            <v>B3 2025</v>
          </cell>
          <cell r="AP297">
            <v>70</v>
          </cell>
          <cell r="AQ297" t="str">
            <v>PCS-277865</v>
          </cell>
          <cell r="AR297" t="b">
            <v>1</v>
          </cell>
          <cell r="AS297" t="str">
            <v>Done</v>
          </cell>
          <cell r="AT297" t="str">
            <v>2025 - Batch 6</v>
          </cell>
          <cell r="AU297">
            <v>15</v>
          </cell>
          <cell r="AV297">
            <v>5</v>
          </cell>
          <cell r="AW297" t="str">
            <v>H+L</v>
          </cell>
          <cell r="AX297">
            <v>70</v>
          </cell>
          <cell r="AY297">
            <v>50</v>
          </cell>
          <cell r="AZ297" t="str">
            <v>Duplex</v>
          </cell>
          <cell r="BA297">
            <v>1</v>
          </cell>
          <cell r="BB297" t="str">
            <v>568 - Without Partition</v>
          </cell>
          <cell r="BC297" t="str">
            <v xml:space="preserve">Without Partition </v>
          </cell>
          <cell r="BD297" t="str">
            <v>Slant</v>
          </cell>
          <cell r="BE297" t="str">
            <v xml:space="preserve">Without Partition </v>
          </cell>
          <cell r="BF297" t="str">
            <v>PINK</v>
          </cell>
          <cell r="BG297">
            <v>2500000</v>
          </cell>
          <cell r="BH297">
            <v>2650000</v>
          </cell>
          <cell r="BI297">
            <v>100000</v>
          </cell>
          <cell r="BJ297">
            <v>2550000</v>
          </cell>
          <cell r="BK297">
            <v>0</v>
          </cell>
          <cell r="BL297">
            <v>2550000</v>
          </cell>
        </row>
        <row r="298">
          <cell r="D298" t="str">
            <v>OS</v>
          </cell>
          <cell r="E298"/>
          <cell r="F298">
            <v>278</v>
          </cell>
          <cell r="G298" t="str">
            <v>CLOSED</v>
          </cell>
          <cell r="H298" t="str">
            <v>TS</v>
          </cell>
          <cell r="I298" t="str">
            <v>TS</v>
          </cell>
          <cell r="J298" t="str">
            <v>TS</v>
          </cell>
          <cell r="K298" t="str">
            <v>TS</v>
          </cell>
          <cell r="L298" t="str">
            <v>TS</v>
          </cell>
          <cell r="M298" t="str">
            <v>TS</v>
          </cell>
          <cell r="N298" t="str">
            <v>TS</v>
          </cell>
          <cell r="O298" t="str">
            <v>TS</v>
          </cell>
          <cell r="P298" t="str">
            <v>OS</v>
          </cell>
          <cell r="Q298" t="str">
            <v>OS</v>
          </cell>
          <cell r="R298" t="str">
            <v>OS</v>
          </cell>
          <cell r="S298" t="str">
            <v>OS</v>
          </cell>
          <cell r="T298" t="str">
            <v>OS</v>
          </cell>
          <cell r="U298" t="str">
            <v>OS</v>
          </cell>
          <cell r="V298" t="str">
            <v>OS</v>
          </cell>
          <cell r="W298" t="str">
            <v>OS</v>
          </cell>
          <cell r="X298" t="str">
            <v>OS</v>
          </cell>
          <cell r="Y298" t="str">
            <v>OS</v>
          </cell>
          <cell r="Z298" t="str">
            <v>OS</v>
          </cell>
          <cell r="AA298" t="str">
            <v>OS</v>
          </cell>
          <cell r="AB298" t="str">
            <v>OS</v>
          </cell>
          <cell r="AC298" t="str">
            <v>OS</v>
          </cell>
          <cell r="AD298" t="str">
            <v>AGM-01-015-006</v>
          </cell>
          <cell r="AE298" t="str">
            <v xml:space="preserve">Raemulan Lands, Inc. </v>
          </cell>
          <cell r="AF298" t="str">
            <v>Agapeya</v>
          </cell>
          <cell r="AG298" t="str">
            <v>AGM</v>
          </cell>
          <cell r="AH298" t="str">
            <v>Eco-High</v>
          </cell>
          <cell r="AI298" t="str">
            <v>West</v>
          </cell>
          <cell r="AJ298" t="str">
            <v>Without LTS</v>
          </cell>
          <cell r="AK298" t="str">
            <v>Unaffected lots</v>
          </cell>
          <cell r="AL298" t="str">
            <v>Unaffected lots</v>
          </cell>
          <cell r="AM298" t="b">
            <v>0</v>
          </cell>
          <cell r="AN298" t="str">
            <v>NO</v>
          </cell>
          <cell r="AO298" t="str">
            <v>B3 2025</v>
          </cell>
          <cell r="AP298">
            <v>70</v>
          </cell>
          <cell r="AQ298" t="str">
            <v>PCS-277865</v>
          </cell>
          <cell r="AR298" t="b">
            <v>1</v>
          </cell>
          <cell r="AS298" t="str">
            <v>Done</v>
          </cell>
          <cell r="AT298" t="str">
            <v>2025 - Batch 6</v>
          </cell>
          <cell r="AU298">
            <v>15</v>
          </cell>
          <cell r="AV298">
            <v>6</v>
          </cell>
          <cell r="AW298" t="str">
            <v>H+L</v>
          </cell>
          <cell r="AX298">
            <v>70</v>
          </cell>
          <cell r="AY298">
            <v>50</v>
          </cell>
          <cell r="AZ298" t="str">
            <v>Duplex</v>
          </cell>
          <cell r="BA298">
            <v>1</v>
          </cell>
          <cell r="BB298" t="str">
            <v>568 - Without Partition</v>
          </cell>
          <cell r="BC298" t="str">
            <v xml:space="preserve">Without Partition </v>
          </cell>
          <cell r="BD298" t="str">
            <v>Flat</v>
          </cell>
          <cell r="BE298" t="str">
            <v xml:space="preserve">Without Partition </v>
          </cell>
          <cell r="BF298" t="str">
            <v>PINK</v>
          </cell>
          <cell r="BG298">
            <v>2500000</v>
          </cell>
          <cell r="BH298">
            <v>2650000</v>
          </cell>
          <cell r="BI298">
            <v>100000</v>
          </cell>
          <cell r="BJ298">
            <v>2550000</v>
          </cell>
          <cell r="BK298">
            <v>0</v>
          </cell>
          <cell r="BL298">
            <v>2550000</v>
          </cell>
        </row>
        <row r="299">
          <cell r="D299" t="str">
            <v>OS</v>
          </cell>
          <cell r="E299"/>
          <cell r="F299">
            <v>279</v>
          </cell>
          <cell r="G299" t="str">
            <v>CLOSED</v>
          </cell>
          <cell r="H299" t="str">
            <v>TS</v>
          </cell>
          <cell r="I299" t="str">
            <v>TS</v>
          </cell>
          <cell r="J299" t="str">
            <v>OS</v>
          </cell>
          <cell r="K299" t="str">
            <v>OS</v>
          </cell>
          <cell r="L299" t="str">
            <v>OS</v>
          </cell>
          <cell r="M299" t="str">
            <v>OS</v>
          </cell>
          <cell r="N299" t="str">
            <v>OS</v>
          </cell>
          <cell r="O299" t="str">
            <v>OS</v>
          </cell>
          <cell r="P299" t="str">
            <v>OS</v>
          </cell>
          <cell r="Q299" t="str">
            <v>OS</v>
          </cell>
          <cell r="R299" t="str">
            <v>OS</v>
          </cell>
          <cell r="S299" t="str">
            <v>OS</v>
          </cell>
          <cell r="T299" t="str">
            <v>OS</v>
          </cell>
          <cell r="U299" t="str">
            <v>OS</v>
          </cell>
          <cell r="V299" t="str">
            <v>OS</v>
          </cell>
          <cell r="W299" t="str">
            <v>OS</v>
          </cell>
          <cell r="X299" t="str">
            <v>OS</v>
          </cell>
          <cell r="Y299" t="str">
            <v>OS</v>
          </cell>
          <cell r="Z299" t="str">
            <v>OS</v>
          </cell>
          <cell r="AA299" t="str">
            <v>OS</v>
          </cell>
          <cell r="AB299" t="str">
            <v>OS</v>
          </cell>
          <cell r="AC299" t="str">
            <v>OS</v>
          </cell>
          <cell r="AD299" t="str">
            <v>AGM-01-015-007</v>
          </cell>
          <cell r="AE299" t="str">
            <v xml:space="preserve">Raemulan Lands, Inc. </v>
          </cell>
          <cell r="AF299" t="str">
            <v>Agapeya</v>
          </cell>
          <cell r="AG299" t="str">
            <v>AGM</v>
          </cell>
          <cell r="AH299" t="str">
            <v>Eco-High</v>
          </cell>
          <cell r="AI299" t="str">
            <v>West</v>
          </cell>
          <cell r="AJ299" t="str">
            <v>Without LTS</v>
          </cell>
          <cell r="AK299" t="str">
            <v>NO VSR</v>
          </cell>
          <cell r="AL299" t="str">
            <v>NA</v>
          </cell>
          <cell r="AM299" t="b">
            <v>0</v>
          </cell>
          <cell r="AN299" t="str">
            <v>NO</v>
          </cell>
          <cell r="AO299" t="str">
            <v>B4 2025</v>
          </cell>
          <cell r="AP299">
            <v>59</v>
          </cell>
          <cell r="AQ299" t="str">
            <v>PCS-277865</v>
          </cell>
          <cell r="AR299" t="b">
            <v>0</v>
          </cell>
          <cell r="AS299" t="str">
            <v>Ongoing</v>
          </cell>
          <cell r="AT299" t="str">
            <v>2025 - Batch 6</v>
          </cell>
          <cell r="AU299">
            <v>15</v>
          </cell>
          <cell r="AV299">
            <v>7</v>
          </cell>
          <cell r="AW299" t="str">
            <v>H+L</v>
          </cell>
          <cell r="AX299">
            <v>70</v>
          </cell>
          <cell r="AY299">
            <v>50</v>
          </cell>
          <cell r="AZ299" t="str">
            <v>Duplex</v>
          </cell>
          <cell r="BA299">
            <v>1</v>
          </cell>
          <cell r="BB299" t="str">
            <v>568 - Without Partition</v>
          </cell>
          <cell r="BC299" t="str">
            <v xml:space="preserve">Without Partition </v>
          </cell>
          <cell r="BD299" t="str">
            <v>Flat</v>
          </cell>
          <cell r="BE299" t="str">
            <v xml:space="preserve">Without Partition </v>
          </cell>
          <cell r="BF299" t="str">
            <v>PINK</v>
          </cell>
          <cell r="BG299">
            <v>2500000</v>
          </cell>
          <cell r="BH299">
            <v>2650000</v>
          </cell>
          <cell r="BI299">
            <v>100000</v>
          </cell>
          <cell r="BJ299">
            <v>2550000</v>
          </cell>
          <cell r="BK299">
            <v>0</v>
          </cell>
          <cell r="BL299">
            <v>2550000</v>
          </cell>
        </row>
        <row r="300">
          <cell r="D300" t="str">
            <v>OS</v>
          </cell>
          <cell r="E300"/>
          <cell r="F300">
            <v>280</v>
          </cell>
          <cell r="G300" t="str">
            <v>CLOSED</v>
          </cell>
          <cell r="H300" t="str">
            <v>TS</v>
          </cell>
          <cell r="I300" t="str">
            <v>TS</v>
          </cell>
          <cell r="J300" t="str">
            <v>TS</v>
          </cell>
          <cell r="K300" t="str">
            <v>TS</v>
          </cell>
          <cell r="L300" t="str">
            <v>TS</v>
          </cell>
          <cell r="M300" t="str">
            <v>TS</v>
          </cell>
          <cell r="N300" t="str">
            <v>TS</v>
          </cell>
          <cell r="O300" t="str">
            <v>TS</v>
          </cell>
          <cell r="P300" t="str">
            <v>OS</v>
          </cell>
          <cell r="Q300" t="str">
            <v>OS</v>
          </cell>
          <cell r="R300" t="str">
            <v>OS</v>
          </cell>
          <cell r="S300" t="str">
            <v>OS</v>
          </cell>
          <cell r="T300" t="str">
            <v>OS</v>
          </cell>
          <cell r="U300" t="str">
            <v>OS</v>
          </cell>
          <cell r="V300" t="str">
            <v>OS</v>
          </cell>
          <cell r="W300" t="str">
            <v>OS</v>
          </cell>
          <cell r="X300" t="str">
            <v>OS</v>
          </cell>
          <cell r="Y300" t="str">
            <v>OS</v>
          </cell>
          <cell r="Z300" t="str">
            <v>OS</v>
          </cell>
          <cell r="AA300" t="str">
            <v>OS</v>
          </cell>
          <cell r="AB300" t="str">
            <v>OS</v>
          </cell>
          <cell r="AC300" t="str">
            <v>OS</v>
          </cell>
          <cell r="AD300" t="str">
            <v>AGM-01-015-008</v>
          </cell>
          <cell r="AE300" t="str">
            <v xml:space="preserve">Raemulan Lands, Inc. </v>
          </cell>
          <cell r="AF300" t="str">
            <v>Agapeya</v>
          </cell>
          <cell r="AG300" t="str">
            <v>AGM</v>
          </cell>
          <cell r="AH300" t="str">
            <v>Eco-High</v>
          </cell>
          <cell r="AI300" t="str">
            <v>West</v>
          </cell>
          <cell r="AJ300" t="str">
            <v>Without LTS</v>
          </cell>
          <cell r="AK300" t="str">
            <v>NO VSR</v>
          </cell>
          <cell r="AL300" t="str">
            <v>NA</v>
          </cell>
          <cell r="AM300" t="b">
            <v>0</v>
          </cell>
          <cell r="AN300" t="str">
            <v>NO</v>
          </cell>
          <cell r="AO300" t="str">
            <v>B4 2025</v>
          </cell>
          <cell r="AP300">
            <v>9</v>
          </cell>
          <cell r="AQ300" t="str">
            <v>PCS-277865</v>
          </cell>
          <cell r="AR300" t="b">
            <v>0</v>
          </cell>
          <cell r="AS300" t="str">
            <v>Ongoing</v>
          </cell>
          <cell r="AT300" t="str">
            <v>2025 - Batch 6</v>
          </cell>
          <cell r="AU300">
            <v>15</v>
          </cell>
          <cell r="AV300">
            <v>8</v>
          </cell>
          <cell r="AW300" t="str">
            <v>H+L</v>
          </cell>
          <cell r="AX300">
            <v>90</v>
          </cell>
          <cell r="AY300">
            <v>50</v>
          </cell>
          <cell r="AZ300" t="str">
            <v>Duplex</v>
          </cell>
          <cell r="BA300">
            <v>1</v>
          </cell>
          <cell r="BB300" t="str">
            <v>568 - Without Partition</v>
          </cell>
          <cell r="BC300" t="str">
            <v xml:space="preserve">Without Partition </v>
          </cell>
          <cell r="BD300" t="str">
            <v>Slant</v>
          </cell>
          <cell r="BE300" t="str">
            <v xml:space="preserve">Without Partition </v>
          </cell>
          <cell r="BF300" t="str">
            <v>PINK</v>
          </cell>
          <cell r="BG300">
            <v>2500000</v>
          </cell>
          <cell r="BH300">
            <v>2950000</v>
          </cell>
          <cell r="BI300">
            <v>100000</v>
          </cell>
          <cell r="BJ300">
            <v>2850000</v>
          </cell>
          <cell r="BK300">
            <v>0</v>
          </cell>
          <cell r="BL300">
            <v>2850000</v>
          </cell>
        </row>
        <row r="301">
          <cell r="D301" t="str">
            <v>OS</v>
          </cell>
          <cell r="E301"/>
          <cell r="F301">
            <v>281</v>
          </cell>
          <cell r="G301" t="str">
            <v>CLOSED</v>
          </cell>
          <cell r="H301" t="str">
            <v>TS</v>
          </cell>
          <cell r="I301" t="str">
            <v>TS</v>
          </cell>
          <cell r="J301" t="str">
            <v>TS</v>
          </cell>
          <cell r="K301" t="str">
            <v>TS</v>
          </cell>
          <cell r="L301" t="str">
            <v>TS - MORE THAN 30 DAYS</v>
          </cell>
          <cell r="M301" t="str">
            <v>TS</v>
          </cell>
          <cell r="N301" t="str">
            <v>WITH BRN</v>
          </cell>
          <cell r="O301" t="str">
            <v>OPEN</v>
          </cell>
          <cell r="P301" t="str">
            <v>OPEN</v>
          </cell>
          <cell r="Q301" t="str">
            <v>OPEN</v>
          </cell>
          <cell r="R301" t="str">
            <v>OPEN</v>
          </cell>
          <cell r="S301" t="str">
            <v>WITH BRN</v>
          </cell>
          <cell r="T301" t="str">
            <v>OPEN</v>
          </cell>
          <cell r="U301" t="str">
            <v>TS</v>
          </cell>
          <cell r="V301" t="str">
            <v>OS</v>
          </cell>
          <cell r="W301" t="str">
            <v>TS</v>
          </cell>
          <cell r="X301" t="str">
            <v>OS</v>
          </cell>
          <cell r="Y301" t="str">
            <v>OS</v>
          </cell>
          <cell r="Z301" t="str">
            <v>OS</v>
          </cell>
          <cell r="AA301" t="str">
            <v>OS</v>
          </cell>
          <cell r="AB301" t="str">
            <v>OS</v>
          </cell>
          <cell r="AC301" t="str">
            <v>OS</v>
          </cell>
          <cell r="AD301" t="str">
            <v>AGM-01-015-009</v>
          </cell>
          <cell r="AE301" t="str">
            <v xml:space="preserve">Raemulan Lands, Inc. </v>
          </cell>
          <cell r="AF301" t="str">
            <v>Agapeya</v>
          </cell>
          <cell r="AG301" t="str">
            <v>AGM</v>
          </cell>
          <cell r="AH301" t="str">
            <v>Eco-High</v>
          </cell>
          <cell r="AI301" t="str">
            <v>West</v>
          </cell>
          <cell r="AJ301" t="str">
            <v>Without LTS</v>
          </cell>
          <cell r="AK301" t="str">
            <v>NO VSR</v>
          </cell>
          <cell r="AL301" t="str">
            <v>NA</v>
          </cell>
          <cell r="AM301" t="b">
            <v>0</v>
          </cell>
          <cell r="AN301" t="str">
            <v>NO</v>
          </cell>
          <cell r="AO301" t="str">
            <v>B4 2025</v>
          </cell>
          <cell r="AP301">
            <v>33</v>
          </cell>
          <cell r="AQ301" t="str">
            <v>PCS-277865</v>
          </cell>
          <cell r="AR301" t="b">
            <v>0</v>
          </cell>
          <cell r="AS301" t="str">
            <v>Ongoing</v>
          </cell>
          <cell r="AT301" t="str">
            <v>2025 - Batch 6</v>
          </cell>
          <cell r="AU301">
            <v>15</v>
          </cell>
          <cell r="AV301">
            <v>9</v>
          </cell>
          <cell r="AW301" t="str">
            <v>H+L</v>
          </cell>
          <cell r="AX301">
            <v>90</v>
          </cell>
          <cell r="AY301">
            <v>50</v>
          </cell>
          <cell r="AZ301" t="str">
            <v>Duplex</v>
          </cell>
          <cell r="BA301">
            <v>1</v>
          </cell>
          <cell r="BB301" t="str">
            <v>568 - Without Partition</v>
          </cell>
          <cell r="BC301" t="str">
            <v xml:space="preserve">Without Partition </v>
          </cell>
          <cell r="BD301" t="str">
            <v>Flat</v>
          </cell>
          <cell r="BE301" t="str">
            <v xml:space="preserve">Without Partition </v>
          </cell>
          <cell r="BF301" t="str">
            <v>GREEN</v>
          </cell>
          <cell r="BG301">
            <v>2500000</v>
          </cell>
          <cell r="BH301">
            <v>2950000</v>
          </cell>
          <cell r="BI301">
            <v>100000</v>
          </cell>
          <cell r="BJ301">
            <v>2850000</v>
          </cell>
          <cell r="BK301">
            <v>0</v>
          </cell>
          <cell r="BL301">
            <v>2850000</v>
          </cell>
        </row>
        <row r="302">
          <cell r="D302" t="str">
            <v>OS</v>
          </cell>
          <cell r="E302"/>
          <cell r="F302">
            <v>282</v>
          </cell>
          <cell r="G302" t="str">
            <v>CLOSED</v>
          </cell>
          <cell r="H302" t="str">
            <v>TS</v>
          </cell>
          <cell r="I302" t="str">
            <v>TS</v>
          </cell>
          <cell r="J302" t="str">
            <v>OS</v>
          </cell>
          <cell r="K302" t="str">
            <v>OS</v>
          </cell>
          <cell r="L302" t="str">
            <v>OS</v>
          </cell>
          <cell r="M302" t="str">
            <v>OS</v>
          </cell>
          <cell r="N302" t="str">
            <v>OS</v>
          </cell>
          <cell r="O302" t="str">
            <v>OS</v>
          </cell>
          <cell r="P302" t="str">
            <v>OS</v>
          </cell>
          <cell r="Q302" t="str">
            <v>OS</v>
          </cell>
          <cell r="R302" t="str">
            <v>OS</v>
          </cell>
          <cell r="S302" t="str">
            <v>OS</v>
          </cell>
          <cell r="T302" t="str">
            <v>OS</v>
          </cell>
          <cell r="U302" t="str">
            <v>OS</v>
          </cell>
          <cell r="V302" t="str">
            <v>OS</v>
          </cell>
          <cell r="W302" t="str">
            <v>OS</v>
          </cell>
          <cell r="X302" t="str">
            <v>OS</v>
          </cell>
          <cell r="Y302" t="str">
            <v>OS</v>
          </cell>
          <cell r="Z302" t="str">
            <v>OS</v>
          </cell>
          <cell r="AA302" t="str">
            <v>OS</v>
          </cell>
          <cell r="AB302" t="str">
            <v>OS</v>
          </cell>
          <cell r="AC302" t="str">
            <v>OS</v>
          </cell>
          <cell r="AD302" t="str">
            <v>AGM-01-015-010</v>
          </cell>
          <cell r="AE302" t="str">
            <v xml:space="preserve">Raemulan Lands, Inc. </v>
          </cell>
          <cell r="AF302" t="str">
            <v>Agapeya</v>
          </cell>
          <cell r="AG302" t="str">
            <v>AGM</v>
          </cell>
          <cell r="AH302" t="str">
            <v>Eco-High</v>
          </cell>
          <cell r="AI302" t="str">
            <v>West</v>
          </cell>
          <cell r="AJ302" t="str">
            <v>Without LTS</v>
          </cell>
          <cell r="AK302" t="str">
            <v>Unaffected lots</v>
          </cell>
          <cell r="AL302" t="str">
            <v>Unaffected lots</v>
          </cell>
          <cell r="AM302" t="b">
            <v>0</v>
          </cell>
          <cell r="AN302" t="str">
            <v>NO</v>
          </cell>
          <cell r="AO302" t="str">
            <v>B4 2025</v>
          </cell>
          <cell r="AP302">
            <v>70</v>
          </cell>
          <cell r="AQ302" t="str">
            <v>PCS-277865</v>
          </cell>
          <cell r="AR302" t="b">
            <v>1</v>
          </cell>
          <cell r="AS302" t="str">
            <v>Done</v>
          </cell>
          <cell r="AT302" t="str">
            <v>2025 - Batch 6</v>
          </cell>
          <cell r="AU302">
            <v>15</v>
          </cell>
          <cell r="AV302">
            <v>10</v>
          </cell>
          <cell r="AW302" t="str">
            <v>H+L</v>
          </cell>
          <cell r="AX302">
            <v>70</v>
          </cell>
          <cell r="AY302">
            <v>50</v>
          </cell>
          <cell r="AZ302" t="str">
            <v>Duplex</v>
          </cell>
          <cell r="BA302">
            <v>1</v>
          </cell>
          <cell r="BB302" t="str">
            <v>568 - Without Partition</v>
          </cell>
          <cell r="BC302" t="str">
            <v xml:space="preserve">Without Partition </v>
          </cell>
          <cell r="BD302" t="str">
            <v>Slant</v>
          </cell>
          <cell r="BE302" t="str">
            <v xml:space="preserve">Without Partition </v>
          </cell>
          <cell r="BF302" t="str">
            <v>GREEN</v>
          </cell>
          <cell r="BG302">
            <v>2500000</v>
          </cell>
          <cell r="BH302">
            <v>2650000</v>
          </cell>
          <cell r="BI302">
            <v>100000</v>
          </cell>
          <cell r="BJ302">
            <v>2550000</v>
          </cell>
          <cell r="BK302">
            <v>0</v>
          </cell>
          <cell r="BL302">
            <v>2550000</v>
          </cell>
        </row>
        <row r="303">
          <cell r="D303" t="str">
            <v>OS</v>
          </cell>
          <cell r="E303"/>
          <cell r="F303">
            <v>283</v>
          </cell>
          <cell r="G303" t="str">
            <v>CLOSED</v>
          </cell>
          <cell r="H303" t="str">
            <v>TS</v>
          </cell>
          <cell r="I303" t="str">
            <v>TS</v>
          </cell>
          <cell r="J303" t="str">
            <v>TS</v>
          </cell>
          <cell r="K303" t="str">
            <v>TS</v>
          </cell>
          <cell r="L303" t="str">
            <v>TS</v>
          </cell>
          <cell r="M303" t="str">
            <v>TS</v>
          </cell>
          <cell r="N303" t="str">
            <v>TS</v>
          </cell>
          <cell r="O303" t="str">
            <v>TS</v>
          </cell>
          <cell r="P303" t="str">
            <v>OS</v>
          </cell>
          <cell r="Q303" t="str">
            <v>OS</v>
          </cell>
          <cell r="R303" t="str">
            <v>OS</v>
          </cell>
          <cell r="S303" t="str">
            <v>OS</v>
          </cell>
          <cell r="T303" t="str">
            <v>OS</v>
          </cell>
          <cell r="U303" t="str">
            <v>OS</v>
          </cell>
          <cell r="V303" t="str">
            <v>OS</v>
          </cell>
          <cell r="W303" t="str">
            <v>OS</v>
          </cell>
          <cell r="X303" t="str">
            <v>OS</v>
          </cell>
          <cell r="Y303" t="str">
            <v>OS</v>
          </cell>
          <cell r="Z303" t="str">
            <v>OS</v>
          </cell>
          <cell r="AA303" t="str">
            <v>OS</v>
          </cell>
          <cell r="AB303" t="str">
            <v>OS</v>
          </cell>
          <cell r="AC303" t="str">
            <v>OS</v>
          </cell>
          <cell r="AD303" t="str">
            <v>AGM-01-015-011</v>
          </cell>
          <cell r="AE303" t="str">
            <v xml:space="preserve">Raemulan Lands, Inc. </v>
          </cell>
          <cell r="AF303" t="str">
            <v>Agapeya</v>
          </cell>
          <cell r="AG303" t="str">
            <v>AGM</v>
          </cell>
          <cell r="AH303" t="str">
            <v>Eco-High</v>
          </cell>
          <cell r="AI303" t="str">
            <v>West</v>
          </cell>
          <cell r="AJ303" t="str">
            <v>Without LTS</v>
          </cell>
          <cell r="AK303" t="str">
            <v>Unaffected lots</v>
          </cell>
          <cell r="AL303" t="str">
            <v>Unaffected lots</v>
          </cell>
          <cell r="AM303" t="b">
            <v>0</v>
          </cell>
          <cell r="AN303" t="str">
            <v>NO</v>
          </cell>
          <cell r="AO303" t="str">
            <v>B4 2025</v>
          </cell>
          <cell r="AP303">
            <v>70</v>
          </cell>
          <cell r="AQ303" t="str">
            <v>PCS-277865</v>
          </cell>
          <cell r="AR303" t="b">
            <v>1</v>
          </cell>
          <cell r="AS303" t="str">
            <v>Done</v>
          </cell>
          <cell r="AT303" t="str">
            <v>2025 - Batch 6</v>
          </cell>
          <cell r="AU303">
            <v>15</v>
          </cell>
          <cell r="AV303">
            <v>11</v>
          </cell>
          <cell r="AW303" t="str">
            <v>H+L</v>
          </cell>
          <cell r="AX303">
            <v>70</v>
          </cell>
          <cell r="AY303">
            <v>50</v>
          </cell>
          <cell r="AZ303" t="str">
            <v>Duplex</v>
          </cell>
          <cell r="BA303">
            <v>1</v>
          </cell>
          <cell r="BB303" t="str">
            <v>568 - Without Partition</v>
          </cell>
          <cell r="BC303" t="str">
            <v xml:space="preserve">Without Partition </v>
          </cell>
          <cell r="BD303" t="str">
            <v>Slant</v>
          </cell>
          <cell r="BE303" t="str">
            <v xml:space="preserve">Without Partition </v>
          </cell>
          <cell r="BF303" t="str">
            <v>GREEN</v>
          </cell>
          <cell r="BG303">
            <v>2500000</v>
          </cell>
          <cell r="BH303">
            <v>2650000</v>
          </cell>
          <cell r="BI303">
            <v>100000</v>
          </cell>
          <cell r="BJ303">
            <v>2550000</v>
          </cell>
          <cell r="BK303">
            <v>0</v>
          </cell>
          <cell r="BL303">
            <v>2550000</v>
          </cell>
        </row>
        <row r="304">
          <cell r="D304" t="str">
            <v>OS</v>
          </cell>
          <cell r="E304"/>
          <cell r="F304">
            <v>284</v>
          </cell>
          <cell r="G304" t="str">
            <v>CLOSED</v>
          </cell>
          <cell r="H304" t="str">
            <v>TS</v>
          </cell>
          <cell r="I304" t="str">
            <v>TS</v>
          </cell>
          <cell r="J304" t="str">
            <v>OS</v>
          </cell>
          <cell r="K304" t="str">
            <v>OS</v>
          </cell>
          <cell r="L304" t="str">
            <v>OS</v>
          </cell>
          <cell r="M304" t="str">
            <v>OS</v>
          </cell>
          <cell r="N304" t="str">
            <v>OS</v>
          </cell>
          <cell r="O304" t="str">
            <v>OS</v>
          </cell>
          <cell r="P304" t="str">
            <v>OS</v>
          </cell>
          <cell r="Q304" t="str">
            <v>OS</v>
          </cell>
          <cell r="R304" t="str">
            <v>OS</v>
          </cell>
          <cell r="S304" t="str">
            <v>OS</v>
          </cell>
          <cell r="T304" t="str">
            <v>OS</v>
          </cell>
          <cell r="U304" t="str">
            <v>OS</v>
          </cell>
          <cell r="V304" t="str">
            <v>OS</v>
          </cell>
          <cell r="W304" t="str">
            <v>OS</v>
          </cell>
          <cell r="X304" t="str">
            <v>OS</v>
          </cell>
          <cell r="Y304" t="str">
            <v>OS</v>
          </cell>
          <cell r="Z304" t="str">
            <v>OS</v>
          </cell>
          <cell r="AA304" t="str">
            <v>OS</v>
          </cell>
          <cell r="AB304" t="str">
            <v>OS</v>
          </cell>
          <cell r="AC304" t="str">
            <v>OS</v>
          </cell>
          <cell r="AD304" t="str">
            <v>AGM-01-015-012</v>
          </cell>
          <cell r="AE304" t="str">
            <v xml:space="preserve">Raemulan Lands, Inc. </v>
          </cell>
          <cell r="AF304" t="str">
            <v>Agapeya</v>
          </cell>
          <cell r="AG304" t="str">
            <v>AGM</v>
          </cell>
          <cell r="AH304" t="str">
            <v>Eco-High</v>
          </cell>
          <cell r="AI304" t="str">
            <v>West</v>
          </cell>
          <cell r="AJ304" t="str">
            <v>Without LTS</v>
          </cell>
          <cell r="AK304" t="str">
            <v>Unaffected lots</v>
          </cell>
          <cell r="AL304" t="str">
            <v>Unaffected lots</v>
          </cell>
          <cell r="AM304" t="b">
            <v>0</v>
          </cell>
          <cell r="AN304" t="str">
            <v>NO</v>
          </cell>
          <cell r="AO304" t="str">
            <v>B4 2025</v>
          </cell>
          <cell r="AP304">
            <v>70</v>
          </cell>
          <cell r="AQ304" t="str">
            <v>PCS-277865</v>
          </cell>
          <cell r="AR304" t="b">
            <v>1</v>
          </cell>
          <cell r="AS304" t="str">
            <v>Done</v>
          </cell>
          <cell r="AT304" t="str">
            <v>2025 - Batch 6</v>
          </cell>
          <cell r="AU304">
            <v>15</v>
          </cell>
          <cell r="AV304">
            <v>12</v>
          </cell>
          <cell r="AW304" t="str">
            <v>H+L</v>
          </cell>
          <cell r="AX304">
            <v>70</v>
          </cell>
          <cell r="AY304">
            <v>50</v>
          </cell>
          <cell r="AZ304" t="str">
            <v>Duplex</v>
          </cell>
          <cell r="BA304">
            <v>1</v>
          </cell>
          <cell r="BB304" t="str">
            <v>568 - Without Partition</v>
          </cell>
          <cell r="BC304" t="str">
            <v xml:space="preserve">Without Partition </v>
          </cell>
          <cell r="BD304" t="str">
            <v>Flat</v>
          </cell>
          <cell r="BE304" t="str">
            <v xml:space="preserve">Without Partition </v>
          </cell>
          <cell r="BF304" t="str">
            <v>GREEN</v>
          </cell>
          <cell r="BG304">
            <v>2500000</v>
          </cell>
          <cell r="BH304">
            <v>2650000</v>
          </cell>
          <cell r="BI304">
            <v>100000</v>
          </cell>
          <cell r="BJ304">
            <v>2550000</v>
          </cell>
          <cell r="BK304">
            <v>0</v>
          </cell>
          <cell r="BL304">
            <v>2550000</v>
          </cell>
        </row>
        <row r="305">
          <cell r="D305" t="str">
            <v>OS</v>
          </cell>
          <cell r="E305"/>
          <cell r="F305">
            <v>285</v>
          </cell>
          <cell r="G305" t="str">
            <v>CLOSED</v>
          </cell>
          <cell r="H305" t="str">
            <v>TS</v>
          </cell>
          <cell r="I305" t="str">
            <v>TS</v>
          </cell>
          <cell r="J305" t="str">
            <v>TS</v>
          </cell>
          <cell r="K305" t="str">
            <v>TS</v>
          </cell>
          <cell r="L305" t="str">
            <v>TS</v>
          </cell>
          <cell r="M305" t="str">
            <v>TS</v>
          </cell>
          <cell r="N305" t="str">
            <v>TS</v>
          </cell>
          <cell r="O305" t="str">
            <v>TS</v>
          </cell>
          <cell r="P305" t="str">
            <v>TS</v>
          </cell>
          <cell r="Q305" t="str">
            <v>TS</v>
          </cell>
          <cell r="R305" t="str">
            <v>TS</v>
          </cell>
          <cell r="S305" t="str">
            <v>TS</v>
          </cell>
          <cell r="T305" t="str">
            <v>TS</v>
          </cell>
          <cell r="U305" t="str">
            <v>OS</v>
          </cell>
          <cell r="V305" t="str">
            <v>OS</v>
          </cell>
          <cell r="W305" t="str">
            <v>OS</v>
          </cell>
          <cell r="X305" t="str">
            <v>OS</v>
          </cell>
          <cell r="Y305" t="str">
            <v>OS</v>
          </cell>
          <cell r="Z305" t="str">
            <v>OS</v>
          </cell>
          <cell r="AA305" t="str">
            <v>OS</v>
          </cell>
          <cell r="AB305" t="str">
            <v>OS</v>
          </cell>
          <cell r="AC305" t="str">
            <v>OS</v>
          </cell>
          <cell r="AD305" t="str">
            <v>AGM-01-015-013</v>
          </cell>
          <cell r="AE305" t="str">
            <v xml:space="preserve">Raemulan Lands, Inc. </v>
          </cell>
          <cell r="AF305" t="str">
            <v>Agapeya</v>
          </cell>
          <cell r="AG305" t="str">
            <v>AGM</v>
          </cell>
          <cell r="AH305" t="str">
            <v>Eco-High</v>
          </cell>
          <cell r="AI305" t="str">
            <v>West</v>
          </cell>
          <cell r="AJ305" t="str">
            <v>Without LTS</v>
          </cell>
          <cell r="AK305" t="str">
            <v>Unaffected lots</v>
          </cell>
          <cell r="AL305" t="str">
            <v>Unaffected lots</v>
          </cell>
          <cell r="AM305" t="b">
            <v>0</v>
          </cell>
          <cell r="AN305" t="str">
            <v>NO</v>
          </cell>
          <cell r="AO305" t="str">
            <v>B4 2025</v>
          </cell>
          <cell r="AP305">
            <v>70</v>
          </cell>
          <cell r="AQ305" t="str">
            <v>PCS-277865</v>
          </cell>
          <cell r="AR305" t="b">
            <v>1</v>
          </cell>
          <cell r="AS305" t="str">
            <v>Done</v>
          </cell>
          <cell r="AT305" t="str">
            <v>2025 - Batch 6</v>
          </cell>
          <cell r="AU305">
            <v>15</v>
          </cell>
          <cell r="AV305">
            <v>13</v>
          </cell>
          <cell r="AW305" t="str">
            <v>H+L</v>
          </cell>
          <cell r="AX305">
            <v>70</v>
          </cell>
          <cell r="AY305">
            <v>50</v>
          </cell>
          <cell r="AZ305" t="str">
            <v>Duplex</v>
          </cell>
          <cell r="BA305">
            <v>1</v>
          </cell>
          <cell r="BB305" t="str">
            <v>568 - Without Partition</v>
          </cell>
          <cell r="BC305" t="str">
            <v xml:space="preserve">Without Partition </v>
          </cell>
          <cell r="BD305" t="str">
            <v>Flat</v>
          </cell>
          <cell r="BE305" t="str">
            <v xml:space="preserve">Without Partition </v>
          </cell>
          <cell r="BF305" t="str">
            <v>PURPLE</v>
          </cell>
          <cell r="BG305">
            <v>2500000</v>
          </cell>
          <cell r="BH305">
            <v>2650000</v>
          </cell>
          <cell r="BI305">
            <v>100000</v>
          </cell>
          <cell r="BJ305">
            <v>2550000</v>
          </cell>
          <cell r="BK305">
            <v>0</v>
          </cell>
          <cell r="BL305">
            <v>2550000</v>
          </cell>
        </row>
        <row r="306">
          <cell r="D306" t="str">
            <v>OS</v>
          </cell>
          <cell r="E306"/>
          <cell r="F306">
            <v>286</v>
          </cell>
          <cell r="G306" t="str">
            <v>CLOSED</v>
          </cell>
          <cell r="H306" t="str">
            <v>TS</v>
          </cell>
          <cell r="I306" t="str">
            <v>TS</v>
          </cell>
          <cell r="J306" t="str">
            <v>TS</v>
          </cell>
          <cell r="K306" t="str">
            <v>TS</v>
          </cell>
          <cell r="L306" t="str">
            <v>TS</v>
          </cell>
          <cell r="M306" t="str">
            <v>TS</v>
          </cell>
          <cell r="N306" t="str">
            <v>TS</v>
          </cell>
          <cell r="O306" t="str">
            <v>TS</v>
          </cell>
          <cell r="P306" t="str">
            <v>OS</v>
          </cell>
          <cell r="Q306" t="str">
            <v>OS</v>
          </cell>
          <cell r="R306" t="str">
            <v>OS</v>
          </cell>
          <cell r="S306" t="str">
            <v>OS</v>
          </cell>
          <cell r="T306" t="str">
            <v>OS</v>
          </cell>
          <cell r="U306" t="str">
            <v>OS</v>
          </cell>
          <cell r="V306" t="str">
            <v>OS</v>
          </cell>
          <cell r="W306" t="str">
            <v>OS</v>
          </cell>
          <cell r="X306" t="str">
            <v>OS</v>
          </cell>
          <cell r="Y306" t="str">
            <v>OS</v>
          </cell>
          <cell r="Z306" t="str">
            <v>OS</v>
          </cell>
          <cell r="AA306" t="str">
            <v>OS</v>
          </cell>
          <cell r="AB306" t="str">
            <v>OS</v>
          </cell>
          <cell r="AC306" t="str">
            <v>OS</v>
          </cell>
          <cell r="AD306" t="str">
            <v>AGM-01-015-014</v>
          </cell>
          <cell r="AE306" t="str">
            <v xml:space="preserve">Raemulan Lands, Inc. </v>
          </cell>
          <cell r="AF306" t="str">
            <v>Agapeya</v>
          </cell>
          <cell r="AG306" t="str">
            <v>AGM</v>
          </cell>
          <cell r="AH306" t="str">
            <v>Eco-High</v>
          </cell>
          <cell r="AI306" t="str">
            <v>West</v>
          </cell>
          <cell r="AJ306" t="str">
            <v>Without LTS</v>
          </cell>
          <cell r="AK306" t="str">
            <v>Unaffected lots</v>
          </cell>
          <cell r="AL306" t="str">
            <v>Unaffected lots</v>
          </cell>
          <cell r="AM306" t="b">
            <v>0</v>
          </cell>
          <cell r="AN306" t="str">
            <v>NO</v>
          </cell>
          <cell r="AO306" t="str">
            <v>B4 2025</v>
          </cell>
          <cell r="AP306">
            <v>70</v>
          </cell>
          <cell r="AQ306" t="str">
            <v>PCS-277865</v>
          </cell>
          <cell r="AR306" t="b">
            <v>1</v>
          </cell>
          <cell r="AS306" t="str">
            <v>Done</v>
          </cell>
          <cell r="AT306" t="str">
            <v>2025 - Batch 6</v>
          </cell>
          <cell r="AU306">
            <v>15</v>
          </cell>
          <cell r="AV306">
            <v>14</v>
          </cell>
          <cell r="AW306" t="str">
            <v>H+L</v>
          </cell>
          <cell r="AX306">
            <v>70</v>
          </cell>
          <cell r="AY306">
            <v>50</v>
          </cell>
          <cell r="AZ306" t="str">
            <v>Duplex</v>
          </cell>
          <cell r="BA306">
            <v>1</v>
          </cell>
          <cell r="BB306" t="str">
            <v>568 - Without Partition</v>
          </cell>
          <cell r="BC306" t="str">
            <v xml:space="preserve">Without Partition </v>
          </cell>
          <cell r="BD306" t="str">
            <v>Slant</v>
          </cell>
          <cell r="BE306" t="str">
            <v xml:space="preserve">Without Partition </v>
          </cell>
          <cell r="BF306" t="str">
            <v>PURPLE</v>
          </cell>
          <cell r="BG306">
            <v>2500000</v>
          </cell>
          <cell r="BH306">
            <v>2650000</v>
          </cell>
          <cell r="BI306">
            <v>100000</v>
          </cell>
          <cell r="BJ306">
            <v>2550000</v>
          </cell>
          <cell r="BK306">
            <v>0</v>
          </cell>
          <cell r="BL306">
            <v>2550000</v>
          </cell>
        </row>
        <row r="307">
          <cell r="D307" t="str">
            <v>OS</v>
          </cell>
          <cell r="E307"/>
          <cell r="F307">
            <v>287</v>
          </cell>
          <cell r="G307" t="str">
            <v>CLOSED</v>
          </cell>
          <cell r="H307" t="str">
            <v>TS</v>
          </cell>
          <cell r="I307" t="str">
            <v>TS</v>
          </cell>
          <cell r="J307" t="str">
            <v>TS</v>
          </cell>
          <cell r="K307" t="str">
            <v>TS</v>
          </cell>
          <cell r="L307" t="str">
            <v>TS</v>
          </cell>
          <cell r="M307" t="str">
            <v>TS</v>
          </cell>
          <cell r="N307" t="str">
            <v>TS</v>
          </cell>
          <cell r="O307" t="str">
            <v>TS</v>
          </cell>
          <cell r="P307" t="str">
            <v>OS</v>
          </cell>
          <cell r="Q307" t="str">
            <v>OS</v>
          </cell>
          <cell r="R307" t="str">
            <v>OS</v>
          </cell>
          <cell r="S307" t="str">
            <v>OS</v>
          </cell>
          <cell r="T307" t="str">
            <v>OS</v>
          </cell>
          <cell r="U307" t="str">
            <v>OS</v>
          </cell>
          <cell r="V307" t="str">
            <v>OS</v>
          </cell>
          <cell r="W307" t="str">
            <v>OS</v>
          </cell>
          <cell r="X307" t="str">
            <v>OS</v>
          </cell>
          <cell r="Y307" t="str">
            <v>OS</v>
          </cell>
          <cell r="Z307" t="str">
            <v>OS</v>
          </cell>
          <cell r="AA307" t="str">
            <v>OS</v>
          </cell>
          <cell r="AB307" t="str">
            <v>OS</v>
          </cell>
          <cell r="AC307" t="str">
            <v>OS</v>
          </cell>
          <cell r="AD307" t="str">
            <v>AGM-01-015-015</v>
          </cell>
          <cell r="AE307" t="str">
            <v xml:space="preserve">Raemulan Lands, Inc. </v>
          </cell>
          <cell r="AF307" t="str">
            <v>Agapeya</v>
          </cell>
          <cell r="AG307" t="str">
            <v>AGM</v>
          </cell>
          <cell r="AH307" t="str">
            <v>Eco-High</v>
          </cell>
          <cell r="AI307" t="str">
            <v>West</v>
          </cell>
          <cell r="AJ307" t="str">
            <v>Without LTS</v>
          </cell>
          <cell r="AK307" t="str">
            <v>Unaffected lots</v>
          </cell>
          <cell r="AL307" t="str">
            <v>Unaffected lots</v>
          </cell>
          <cell r="AM307" t="b">
            <v>0</v>
          </cell>
          <cell r="AN307" t="str">
            <v>NO</v>
          </cell>
          <cell r="AO307" t="str">
            <v>B4 2025</v>
          </cell>
          <cell r="AP307">
            <v>70</v>
          </cell>
          <cell r="AQ307" t="str">
            <v>PCS-277865</v>
          </cell>
          <cell r="AR307" t="b">
            <v>1</v>
          </cell>
          <cell r="AS307" t="str">
            <v>Done</v>
          </cell>
          <cell r="AT307" t="str">
            <v>2025 - Batch 6</v>
          </cell>
          <cell r="AU307">
            <v>15</v>
          </cell>
          <cell r="AV307">
            <v>15</v>
          </cell>
          <cell r="AW307" t="str">
            <v>H+L</v>
          </cell>
          <cell r="AX307">
            <v>70</v>
          </cell>
          <cell r="AY307">
            <v>50</v>
          </cell>
          <cell r="AZ307" t="str">
            <v>Duplex</v>
          </cell>
          <cell r="BA307">
            <v>1</v>
          </cell>
          <cell r="BB307" t="str">
            <v>568 - Without Partition</v>
          </cell>
          <cell r="BC307" t="str">
            <v xml:space="preserve">Without Partition </v>
          </cell>
          <cell r="BD307" t="str">
            <v>Slant</v>
          </cell>
          <cell r="BE307" t="str">
            <v xml:space="preserve">Without Partition </v>
          </cell>
          <cell r="BF307" t="str">
            <v>PURPLE</v>
          </cell>
          <cell r="BG307">
            <v>2500000</v>
          </cell>
          <cell r="BH307">
            <v>2650000</v>
          </cell>
          <cell r="BI307">
            <v>100000</v>
          </cell>
          <cell r="BJ307">
            <v>2550000</v>
          </cell>
          <cell r="BK307">
            <v>0</v>
          </cell>
          <cell r="BL307">
            <v>2550000</v>
          </cell>
        </row>
        <row r="308">
          <cell r="D308" t="str">
            <v>OS</v>
          </cell>
          <cell r="E308"/>
          <cell r="F308">
            <v>288</v>
          </cell>
          <cell r="G308" t="str">
            <v>CLOSED</v>
          </cell>
          <cell r="H308" t="str">
            <v>OPEN</v>
          </cell>
          <cell r="I308" t="str">
            <v>OPEN</v>
          </cell>
          <cell r="J308" t="str">
            <v>TS</v>
          </cell>
          <cell r="K308" t="str">
            <v>TS</v>
          </cell>
          <cell r="L308" t="str">
            <v>TS</v>
          </cell>
          <cell r="M308" t="str">
            <v>TS</v>
          </cell>
          <cell r="N308" t="str">
            <v>OS</v>
          </cell>
          <cell r="O308" t="str">
            <v>OS</v>
          </cell>
          <cell r="P308" t="str">
            <v>OS</v>
          </cell>
          <cell r="Q308" t="str">
            <v>OS</v>
          </cell>
          <cell r="R308" t="str">
            <v>OS</v>
          </cell>
          <cell r="S308" t="str">
            <v>OS</v>
          </cell>
          <cell r="T308" t="str">
            <v>OS</v>
          </cell>
          <cell r="U308" t="str">
            <v>OS</v>
          </cell>
          <cell r="V308" t="str">
            <v>OS</v>
          </cell>
          <cell r="W308" t="str">
            <v>OS</v>
          </cell>
          <cell r="X308" t="str">
            <v>OS</v>
          </cell>
          <cell r="Y308" t="str">
            <v>OS</v>
          </cell>
          <cell r="Z308" t="str">
            <v>OS</v>
          </cell>
          <cell r="AA308" t="str">
            <v>OS</v>
          </cell>
          <cell r="AB308" t="str">
            <v>OS</v>
          </cell>
          <cell r="AC308" t="str">
            <v>OS</v>
          </cell>
          <cell r="AD308" t="str">
            <v>AGM-01-015-016</v>
          </cell>
          <cell r="AE308" t="str">
            <v xml:space="preserve">Raemulan Lands, Inc. </v>
          </cell>
          <cell r="AF308" t="str">
            <v>Agapeya</v>
          </cell>
          <cell r="AG308" t="str">
            <v>AGM</v>
          </cell>
          <cell r="AH308" t="str">
            <v>Eco-High</v>
          </cell>
          <cell r="AI308" t="str">
            <v>West</v>
          </cell>
          <cell r="AJ308" t="str">
            <v>Without LTS</v>
          </cell>
          <cell r="AK308" t="str">
            <v>for conso</v>
          </cell>
          <cell r="AL308" t="str">
            <v>Unaffected lots</v>
          </cell>
          <cell r="AM308" t="b">
            <v>1</v>
          </cell>
          <cell r="AN308" t="str">
            <v>NO</v>
          </cell>
          <cell r="AO308" t="str">
            <v>B4 2025</v>
          </cell>
          <cell r="AP308" t="str">
            <v>7/83</v>
          </cell>
          <cell r="AQ308" t="str">
            <v>PSD-04-246263/PSD-04030423</v>
          </cell>
          <cell r="AR308" t="b">
            <v>0</v>
          </cell>
          <cell r="AS308" t="str">
            <v>For Conso</v>
          </cell>
          <cell r="AT308" t="str">
            <v>2025 - Batch 6</v>
          </cell>
          <cell r="AU308">
            <v>15</v>
          </cell>
          <cell r="AV308">
            <v>16</v>
          </cell>
          <cell r="AW308" t="str">
            <v>H+L</v>
          </cell>
          <cell r="AX308">
            <v>90</v>
          </cell>
          <cell r="AY308">
            <v>50</v>
          </cell>
          <cell r="AZ308" t="str">
            <v>Duplex</v>
          </cell>
          <cell r="BA308">
            <v>1</v>
          </cell>
          <cell r="BB308" t="str">
            <v>568 - Without Partition</v>
          </cell>
          <cell r="BC308" t="str">
            <v xml:space="preserve">Without Partition </v>
          </cell>
          <cell r="BD308" t="str">
            <v>Flat</v>
          </cell>
          <cell r="BE308" t="str">
            <v xml:space="preserve">Without Partition </v>
          </cell>
          <cell r="BF308" t="str">
            <v>PURPLE</v>
          </cell>
          <cell r="BG308">
            <v>2500000</v>
          </cell>
          <cell r="BH308">
            <v>2950000</v>
          </cell>
          <cell r="BI308">
            <v>100000</v>
          </cell>
          <cell r="BJ308">
            <v>2850000</v>
          </cell>
          <cell r="BK308">
            <v>0</v>
          </cell>
          <cell r="BL308">
            <v>2850000</v>
          </cell>
        </row>
        <row r="309">
          <cell r="D309" t="str">
            <v>OS</v>
          </cell>
          <cell r="E309"/>
          <cell r="F309">
            <v>289</v>
          </cell>
          <cell r="G309" t="str">
            <v>SOLD</v>
          </cell>
          <cell r="H309" t="str">
            <v>OS</v>
          </cell>
          <cell r="I309" t="str">
            <v>OS</v>
          </cell>
          <cell r="J309" t="str">
            <v>OS</v>
          </cell>
          <cell r="K309" t="str">
            <v>OS</v>
          </cell>
          <cell r="L309" t="str">
            <v>OS</v>
          </cell>
          <cell r="M309" t="str">
            <v>OS</v>
          </cell>
          <cell r="N309" t="str">
            <v>OS</v>
          </cell>
          <cell r="O309" t="str">
            <v>OS</v>
          </cell>
          <cell r="P309" t="str">
            <v>OS</v>
          </cell>
          <cell r="Q309" t="str">
            <v>OS</v>
          </cell>
          <cell r="R309" t="str">
            <v>OS</v>
          </cell>
          <cell r="S309" t="str">
            <v>OS</v>
          </cell>
          <cell r="T309" t="str">
            <v>OS</v>
          </cell>
          <cell r="U309" t="str">
            <v>OS</v>
          </cell>
          <cell r="V309" t="str">
            <v>OS</v>
          </cell>
          <cell r="W309" t="str">
            <v>OS</v>
          </cell>
          <cell r="X309" t="str">
            <v>OS</v>
          </cell>
          <cell r="Y309" t="str">
            <v>OS</v>
          </cell>
          <cell r="Z309" t="str">
            <v>OS</v>
          </cell>
          <cell r="AA309" t="str">
            <v>OS</v>
          </cell>
          <cell r="AB309" t="str">
            <v>OS</v>
          </cell>
          <cell r="AC309" t="str">
            <v>OS</v>
          </cell>
          <cell r="AD309" t="str">
            <v>AGM-01-016-001</v>
          </cell>
          <cell r="AE309" t="str">
            <v xml:space="preserve">Raemulan Lands, Inc. </v>
          </cell>
          <cell r="AF309" t="str">
            <v>Agapeya</v>
          </cell>
          <cell r="AG309" t="str">
            <v>AGM</v>
          </cell>
          <cell r="AH309" t="str">
            <v>Eco-High</v>
          </cell>
          <cell r="AI309" t="str">
            <v>West</v>
          </cell>
          <cell r="AJ309" t="str">
            <v>Without LTS</v>
          </cell>
          <cell r="AK309" t="str">
            <v>Unaffected lots</v>
          </cell>
          <cell r="AL309" t="str">
            <v>Unaffected lots</v>
          </cell>
          <cell r="AM309" t="b">
            <v>0</v>
          </cell>
          <cell r="AN309" t="str">
            <v>NO</v>
          </cell>
          <cell r="AO309" t="str">
            <v>B3 2025</v>
          </cell>
          <cell r="AP309">
            <v>90</v>
          </cell>
          <cell r="AQ309" t="str">
            <v>PCS-277865</v>
          </cell>
          <cell r="AR309" t="b">
            <v>1</v>
          </cell>
          <cell r="AS309" t="str">
            <v>Done</v>
          </cell>
          <cell r="AT309" t="str">
            <v>2025 - Batch 5</v>
          </cell>
          <cell r="AU309">
            <v>16</v>
          </cell>
          <cell r="AV309">
            <v>1</v>
          </cell>
          <cell r="AW309" t="str">
            <v>H+L</v>
          </cell>
          <cell r="AX309">
            <v>90</v>
          </cell>
          <cell r="AY309">
            <v>50</v>
          </cell>
          <cell r="AZ309" t="str">
            <v>Duplex</v>
          </cell>
          <cell r="BA309">
            <v>1</v>
          </cell>
          <cell r="BB309" t="str">
            <v>568 - Without Partition</v>
          </cell>
          <cell r="BC309" t="str">
            <v xml:space="preserve">Without Partition </v>
          </cell>
          <cell r="BD309" t="str">
            <v>Slant</v>
          </cell>
          <cell r="BE309" t="str">
            <v xml:space="preserve">Without Partition </v>
          </cell>
          <cell r="BF309" t="str">
            <v>PINK</v>
          </cell>
          <cell r="BG309">
            <v>2800000</v>
          </cell>
          <cell r="BH309">
            <v>2950000</v>
          </cell>
          <cell r="BI309">
            <v>100000</v>
          </cell>
          <cell r="BJ309">
            <v>2850000</v>
          </cell>
          <cell r="BK309">
            <v>0</v>
          </cell>
          <cell r="BL309">
            <v>2850000</v>
          </cell>
        </row>
        <row r="310">
          <cell r="D310" t="str">
            <v>OS</v>
          </cell>
          <cell r="E310"/>
          <cell r="F310">
            <v>290</v>
          </cell>
          <cell r="G310" t="str">
            <v>SOLD</v>
          </cell>
          <cell r="H310" t="str">
            <v>TS</v>
          </cell>
          <cell r="I310" t="str">
            <v>TS</v>
          </cell>
          <cell r="J310" t="str">
            <v>TS</v>
          </cell>
          <cell r="K310" t="str">
            <v>TS</v>
          </cell>
          <cell r="L310" t="str">
            <v>TS</v>
          </cell>
          <cell r="M310" t="str">
            <v>TS</v>
          </cell>
          <cell r="N310" t="str">
            <v>OS</v>
          </cell>
          <cell r="O310" t="str">
            <v>OS</v>
          </cell>
          <cell r="P310" t="str">
            <v>OS</v>
          </cell>
          <cell r="Q310" t="str">
            <v>OS</v>
          </cell>
          <cell r="R310" t="str">
            <v>OS</v>
          </cell>
          <cell r="S310" t="str">
            <v>OS</v>
          </cell>
          <cell r="T310" t="str">
            <v>OS</v>
          </cell>
          <cell r="U310" t="str">
            <v>OS</v>
          </cell>
          <cell r="V310" t="str">
            <v>OS</v>
          </cell>
          <cell r="W310" t="str">
            <v>OS</v>
          </cell>
          <cell r="X310" t="str">
            <v>OS</v>
          </cell>
          <cell r="Y310" t="str">
            <v>OS</v>
          </cell>
          <cell r="Z310" t="str">
            <v>OS</v>
          </cell>
          <cell r="AA310" t="str">
            <v>OS</v>
          </cell>
          <cell r="AB310" t="str">
            <v>OS</v>
          </cell>
          <cell r="AC310" t="str">
            <v>OS</v>
          </cell>
          <cell r="AD310" t="str">
            <v>AGM-01-016-002</v>
          </cell>
          <cell r="AE310" t="str">
            <v xml:space="preserve">Raemulan Lands, Inc. </v>
          </cell>
          <cell r="AF310" t="str">
            <v>Agapeya</v>
          </cell>
          <cell r="AG310" t="str">
            <v>AGM</v>
          </cell>
          <cell r="AH310" t="str">
            <v>Eco-High</v>
          </cell>
          <cell r="AI310" t="str">
            <v>West</v>
          </cell>
          <cell r="AJ310" t="str">
            <v>Without LTS</v>
          </cell>
          <cell r="AK310" t="str">
            <v>Unaffected lots</v>
          </cell>
          <cell r="AL310" t="str">
            <v>Unaffected lots</v>
          </cell>
          <cell r="AM310" t="b">
            <v>0</v>
          </cell>
          <cell r="AN310" t="str">
            <v>NO</v>
          </cell>
          <cell r="AO310" t="str">
            <v>B3 2025</v>
          </cell>
          <cell r="AP310">
            <v>70</v>
          </cell>
          <cell r="AQ310" t="str">
            <v>PCS-277865</v>
          </cell>
          <cell r="AR310" t="b">
            <v>1</v>
          </cell>
          <cell r="AS310" t="str">
            <v>Done</v>
          </cell>
          <cell r="AT310" t="str">
            <v>2025 - Batch 5</v>
          </cell>
          <cell r="AU310">
            <v>16</v>
          </cell>
          <cell r="AV310">
            <v>2</v>
          </cell>
          <cell r="AW310" t="str">
            <v>H+L</v>
          </cell>
          <cell r="AX310">
            <v>70</v>
          </cell>
          <cell r="AY310">
            <v>50</v>
          </cell>
          <cell r="AZ310" t="str">
            <v>Duplex</v>
          </cell>
          <cell r="BA310">
            <v>1</v>
          </cell>
          <cell r="BB310" t="str">
            <v>568 - Without Partition</v>
          </cell>
          <cell r="BC310" t="str">
            <v xml:space="preserve">Without Partition </v>
          </cell>
          <cell r="BD310" t="str">
            <v>Flat</v>
          </cell>
          <cell r="BE310" t="str">
            <v xml:space="preserve">Without Partition </v>
          </cell>
          <cell r="BF310" t="str">
            <v>PINK</v>
          </cell>
          <cell r="BG310">
            <v>2500000</v>
          </cell>
          <cell r="BH310">
            <v>2650000</v>
          </cell>
          <cell r="BI310">
            <v>100000</v>
          </cell>
          <cell r="BJ310">
            <v>2550000</v>
          </cell>
          <cell r="BK310">
            <v>0</v>
          </cell>
          <cell r="BL310">
            <v>2550000</v>
          </cell>
        </row>
        <row r="311">
          <cell r="D311" t="str">
            <v>OS</v>
          </cell>
          <cell r="E311"/>
          <cell r="F311">
            <v>291</v>
          </cell>
          <cell r="G311" t="str">
            <v>UNSOLD</v>
          </cell>
          <cell r="H311" t="str">
            <v>OS</v>
          </cell>
          <cell r="I311" t="str">
            <v>OS</v>
          </cell>
          <cell r="J311" t="str">
            <v>OS</v>
          </cell>
          <cell r="K311" t="str">
            <v>OS</v>
          </cell>
          <cell r="L311" t="str">
            <v>OS</v>
          </cell>
          <cell r="M311" t="str">
            <v>OS</v>
          </cell>
          <cell r="N311" t="str">
            <v>OS</v>
          </cell>
          <cell r="O311" t="str">
            <v>OS</v>
          </cell>
          <cell r="P311" t="str">
            <v>OS</v>
          </cell>
          <cell r="Q311" t="str">
            <v>OS</v>
          </cell>
          <cell r="R311" t="str">
            <v>OS</v>
          </cell>
          <cell r="S311" t="str">
            <v>OS</v>
          </cell>
          <cell r="T311" t="str">
            <v>OS</v>
          </cell>
          <cell r="U311" t="str">
            <v>OS</v>
          </cell>
          <cell r="V311" t="str">
            <v>OS</v>
          </cell>
          <cell r="W311" t="str">
            <v>OS</v>
          </cell>
          <cell r="X311" t="str">
            <v>OS</v>
          </cell>
          <cell r="Y311" t="str">
            <v>OS</v>
          </cell>
          <cell r="Z311" t="str">
            <v>OS</v>
          </cell>
          <cell r="AA311" t="str">
            <v>OS</v>
          </cell>
          <cell r="AB311" t="str">
            <v>OS</v>
          </cell>
          <cell r="AC311" t="str">
            <v>OS</v>
          </cell>
          <cell r="AD311" t="str">
            <v>AGM-01-016-003</v>
          </cell>
          <cell r="AE311" t="str">
            <v xml:space="preserve">Raemulan Lands, Inc. </v>
          </cell>
          <cell r="AF311" t="str">
            <v>Agapeya</v>
          </cell>
          <cell r="AG311" t="str">
            <v>AGM</v>
          </cell>
          <cell r="AH311" t="str">
            <v>Eco-High</v>
          </cell>
          <cell r="AI311" t="str">
            <v>West</v>
          </cell>
          <cell r="AJ311" t="str">
            <v>Without LTS</v>
          </cell>
          <cell r="AK311" t="str">
            <v>Unaffected lots</v>
          </cell>
          <cell r="AL311" t="str">
            <v>Unaffected lots</v>
          </cell>
          <cell r="AM311" t="b">
            <v>0</v>
          </cell>
          <cell r="AN311" t="str">
            <v>NO</v>
          </cell>
          <cell r="AO311" t="str">
            <v>B3 2025</v>
          </cell>
          <cell r="AP311">
            <v>70</v>
          </cell>
          <cell r="AQ311" t="str">
            <v>PCS-277865</v>
          </cell>
          <cell r="AR311" t="b">
            <v>1</v>
          </cell>
          <cell r="AS311" t="str">
            <v>Done</v>
          </cell>
          <cell r="AT311" t="str">
            <v>2025 - Batch 5</v>
          </cell>
          <cell r="AU311">
            <v>16</v>
          </cell>
          <cell r="AV311">
            <v>3</v>
          </cell>
          <cell r="AW311" t="str">
            <v>H+L</v>
          </cell>
          <cell r="AX311">
            <v>70</v>
          </cell>
          <cell r="AY311">
            <v>50</v>
          </cell>
          <cell r="AZ311" t="str">
            <v>Duplex</v>
          </cell>
          <cell r="BA311">
            <v>1</v>
          </cell>
          <cell r="BB311" t="str">
            <v>568 - Without Partition</v>
          </cell>
          <cell r="BC311" t="str">
            <v xml:space="preserve">Without Partition </v>
          </cell>
          <cell r="BD311" t="str">
            <v>Flat</v>
          </cell>
          <cell r="BE311" t="str">
            <v xml:space="preserve">Without Partition </v>
          </cell>
          <cell r="BF311" t="str">
            <v>PINK</v>
          </cell>
          <cell r="BG311">
            <v>2500000</v>
          </cell>
          <cell r="BH311">
            <v>2650000</v>
          </cell>
          <cell r="BI311">
            <v>100000</v>
          </cell>
          <cell r="BJ311">
            <v>2550000</v>
          </cell>
          <cell r="BK311">
            <v>0</v>
          </cell>
          <cell r="BL311">
            <v>2550000</v>
          </cell>
        </row>
        <row r="312">
          <cell r="D312" t="str">
            <v>OS</v>
          </cell>
          <cell r="E312"/>
          <cell r="F312">
            <v>292</v>
          </cell>
          <cell r="G312" t="str">
            <v>UNSOLD</v>
          </cell>
          <cell r="H312" t="str">
            <v>TS</v>
          </cell>
          <cell r="I312" t="str">
            <v>TS</v>
          </cell>
          <cell r="J312" t="str">
            <v>OS</v>
          </cell>
          <cell r="K312" t="str">
            <v>OS</v>
          </cell>
          <cell r="L312" t="str">
            <v>OS</v>
          </cell>
          <cell r="M312" t="str">
            <v>OS</v>
          </cell>
          <cell r="N312" t="str">
            <v>OS</v>
          </cell>
          <cell r="O312" t="str">
            <v>OS</v>
          </cell>
          <cell r="P312" t="str">
            <v>OS</v>
          </cell>
          <cell r="Q312" t="str">
            <v>OS</v>
          </cell>
          <cell r="R312" t="str">
            <v>OS</v>
          </cell>
          <cell r="S312" t="str">
            <v>OS</v>
          </cell>
          <cell r="T312" t="str">
            <v>OS</v>
          </cell>
          <cell r="U312" t="str">
            <v>OS</v>
          </cell>
          <cell r="V312" t="str">
            <v>OS</v>
          </cell>
          <cell r="W312" t="str">
            <v>OS</v>
          </cell>
          <cell r="X312" t="str">
            <v>OS</v>
          </cell>
          <cell r="Y312" t="str">
            <v>OS</v>
          </cell>
          <cell r="Z312" t="str">
            <v>OS</v>
          </cell>
          <cell r="AA312" t="str">
            <v>OS</v>
          </cell>
          <cell r="AB312" t="str">
            <v>OS</v>
          </cell>
          <cell r="AC312" t="str">
            <v>OS</v>
          </cell>
          <cell r="AD312" t="str">
            <v>AGM-01-016-004</v>
          </cell>
          <cell r="AE312" t="str">
            <v xml:space="preserve">Raemulan Lands, Inc. </v>
          </cell>
          <cell r="AF312" t="str">
            <v>Agapeya</v>
          </cell>
          <cell r="AG312" t="str">
            <v>AGM</v>
          </cell>
          <cell r="AH312" t="str">
            <v>Eco-High</v>
          </cell>
          <cell r="AI312" t="str">
            <v>West</v>
          </cell>
          <cell r="AJ312" t="str">
            <v>Without LTS</v>
          </cell>
          <cell r="AK312" t="str">
            <v>Unaffected lots</v>
          </cell>
          <cell r="AL312" t="str">
            <v>Unaffected lots</v>
          </cell>
          <cell r="AM312" t="b">
            <v>0</v>
          </cell>
          <cell r="AN312" t="str">
            <v>NO</v>
          </cell>
          <cell r="AO312" t="str">
            <v>B3 2025</v>
          </cell>
          <cell r="AP312">
            <v>70</v>
          </cell>
          <cell r="AQ312" t="str">
            <v>PCS-277865</v>
          </cell>
          <cell r="AR312" t="b">
            <v>1</v>
          </cell>
          <cell r="AS312" t="str">
            <v>Done</v>
          </cell>
          <cell r="AT312" t="str">
            <v>2025 - Batch 5</v>
          </cell>
          <cell r="AU312">
            <v>16</v>
          </cell>
          <cell r="AV312">
            <v>4</v>
          </cell>
          <cell r="AW312" t="str">
            <v>H+L</v>
          </cell>
          <cell r="AX312">
            <v>70</v>
          </cell>
          <cell r="AY312">
            <v>50</v>
          </cell>
          <cell r="AZ312" t="str">
            <v>Duplex</v>
          </cell>
          <cell r="BA312">
            <v>1</v>
          </cell>
          <cell r="BB312" t="str">
            <v>568 - Without Partition</v>
          </cell>
          <cell r="BC312" t="str">
            <v xml:space="preserve">Without Partition </v>
          </cell>
          <cell r="BD312" t="str">
            <v>Slant</v>
          </cell>
          <cell r="BE312" t="str">
            <v xml:space="preserve">Without Partition </v>
          </cell>
          <cell r="BF312" t="str">
            <v>PINK</v>
          </cell>
          <cell r="BG312">
            <v>2500000</v>
          </cell>
          <cell r="BH312">
            <v>2650000</v>
          </cell>
          <cell r="BI312">
            <v>100000</v>
          </cell>
          <cell r="BJ312">
            <v>2550000</v>
          </cell>
          <cell r="BK312">
            <v>0</v>
          </cell>
          <cell r="BL312">
            <v>2550000</v>
          </cell>
        </row>
        <row r="313">
          <cell r="D313" t="str">
            <v>OS</v>
          </cell>
          <cell r="E313"/>
          <cell r="F313">
            <v>293</v>
          </cell>
          <cell r="G313" t="str">
            <v>UNSOLD</v>
          </cell>
          <cell r="H313" t="str">
            <v>OS</v>
          </cell>
          <cell r="I313" t="str">
            <v>OS</v>
          </cell>
          <cell r="J313" t="str">
            <v>OS</v>
          </cell>
          <cell r="K313" t="str">
            <v>OS</v>
          </cell>
          <cell r="L313" t="str">
            <v>OS</v>
          </cell>
          <cell r="M313" t="str">
            <v>OS</v>
          </cell>
          <cell r="N313" t="str">
            <v>OS</v>
          </cell>
          <cell r="O313" t="str">
            <v>OS</v>
          </cell>
          <cell r="P313" t="str">
            <v>OS</v>
          </cell>
          <cell r="Q313" t="str">
            <v>OS</v>
          </cell>
          <cell r="R313" t="str">
            <v>OS</v>
          </cell>
          <cell r="S313" t="str">
            <v>OS</v>
          </cell>
          <cell r="T313" t="str">
            <v>OS</v>
          </cell>
          <cell r="U313" t="str">
            <v>OS</v>
          </cell>
          <cell r="V313" t="str">
            <v>OS</v>
          </cell>
          <cell r="W313" t="str">
            <v>OS</v>
          </cell>
          <cell r="X313" t="str">
            <v>OS</v>
          </cell>
          <cell r="Y313" t="str">
            <v>OS</v>
          </cell>
          <cell r="Z313" t="str">
            <v>OS</v>
          </cell>
          <cell r="AA313" t="str">
            <v>OS</v>
          </cell>
          <cell r="AB313" t="str">
            <v>OS</v>
          </cell>
          <cell r="AC313" t="str">
            <v>OS</v>
          </cell>
          <cell r="AD313" t="str">
            <v>AGM-01-016-005</v>
          </cell>
          <cell r="AE313" t="str">
            <v xml:space="preserve">Raemulan Lands, Inc. </v>
          </cell>
          <cell r="AF313" t="str">
            <v>Agapeya</v>
          </cell>
          <cell r="AG313" t="str">
            <v>AGM</v>
          </cell>
          <cell r="AH313" t="str">
            <v>Eco-High</v>
          </cell>
          <cell r="AI313" t="str">
            <v>West</v>
          </cell>
          <cell r="AJ313" t="str">
            <v>Without LTS</v>
          </cell>
          <cell r="AK313" t="str">
            <v>Unaffected lots</v>
          </cell>
          <cell r="AL313" t="str">
            <v>Unaffected lots</v>
          </cell>
          <cell r="AM313" t="b">
            <v>0</v>
          </cell>
          <cell r="AN313" t="str">
            <v>NO</v>
          </cell>
          <cell r="AO313" t="str">
            <v>B3 2025</v>
          </cell>
          <cell r="AP313">
            <v>70</v>
          </cell>
          <cell r="AQ313" t="str">
            <v>PCS-277865</v>
          </cell>
          <cell r="AR313" t="b">
            <v>1</v>
          </cell>
          <cell r="AS313" t="str">
            <v>Done</v>
          </cell>
          <cell r="AT313" t="str">
            <v>2025 - Batch 5</v>
          </cell>
          <cell r="AU313">
            <v>16</v>
          </cell>
          <cell r="AV313">
            <v>5</v>
          </cell>
          <cell r="AW313" t="str">
            <v>H+L</v>
          </cell>
          <cell r="AX313">
            <v>70</v>
          </cell>
          <cell r="AY313">
            <v>50</v>
          </cell>
          <cell r="AZ313" t="str">
            <v>Duplex</v>
          </cell>
          <cell r="BA313">
            <v>1</v>
          </cell>
          <cell r="BB313" t="str">
            <v>568 - Without Partition</v>
          </cell>
          <cell r="BC313" t="str">
            <v xml:space="preserve">Without Partition </v>
          </cell>
          <cell r="BD313" t="str">
            <v>Slant</v>
          </cell>
          <cell r="BE313" t="str">
            <v xml:space="preserve">Without Partition </v>
          </cell>
          <cell r="BF313" t="str">
            <v>YELLOW</v>
          </cell>
          <cell r="BG313">
            <v>2500000</v>
          </cell>
          <cell r="BH313">
            <v>2650000</v>
          </cell>
          <cell r="BI313">
            <v>100000</v>
          </cell>
          <cell r="BJ313">
            <v>2550000</v>
          </cell>
          <cell r="BK313">
            <v>0</v>
          </cell>
          <cell r="BL313">
            <v>2550000</v>
          </cell>
        </row>
        <row r="314">
          <cell r="D314" t="str">
            <v>OS</v>
          </cell>
          <cell r="E314"/>
          <cell r="F314">
            <v>294</v>
          </cell>
          <cell r="G314" t="str">
            <v>UNSOLD</v>
          </cell>
          <cell r="H314" t="str">
            <v>OS</v>
          </cell>
          <cell r="I314" t="str">
            <v>OS</v>
          </cell>
          <cell r="J314" t="str">
            <v>OS</v>
          </cell>
          <cell r="K314" t="str">
            <v>OS</v>
          </cell>
          <cell r="L314" t="str">
            <v>OS</v>
          </cell>
          <cell r="M314" t="str">
            <v>OS</v>
          </cell>
          <cell r="N314" t="str">
            <v>OS</v>
          </cell>
          <cell r="O314" t="str">
            <v>OS</v>
          </cell>
          <cell r="P314" t="str">
            <v>OS</v>
          </cell>
          <cell r="Q314" t="str">
            <v>OS</v>
          </cell>
          <cell r="R314" t="str">
            <v>OS</v>
          </cell>
          <cell r="S314" t="str">
            <v>OS</v>
          </cell>
          <cell r="T314" t="str">
            <v>OS</v>
          </cell>
          <cell r="U314" t="str">
            <v>OS</v>
          </cell>
          <cell r="V314" t="str">
            <v>OS</v>
          </cell>
          <cell r="W314" t="str">
            <v>OS</v>
          </cell>
          <cell r="X314" t="str">
            <v>OS</v>
          </cell>
          <cell r="Y314" t="str">
            <v>OS</v>
          </cell>
          <cell r="Z314" t="str">
            <v>OS</v>
          </cell>
          <cell r="AA314" t="str">
            <v>OS</v>
          </cell>
          <cell r="AB314" t="str">
            <v>OS</v>
          </cell>
          <cell r="AC314" t="str">
            <v>OS</v>
          </cell>
          <cell r="AD314" t="str">
            <v>AGM-01-016-006</v>
          </cell>
          <cell r="AE314" t="str">
            <v xml:space="preserve">Raemulan Lands, Inc. </v>
          </cell>
          <cell r="AF314" t="str">
            <v>Agapeya</v>
          </cell>
          <cell r="AG314" t="str">
            <v>AGM</v>
          </cell>
          <cell r="AH314" t="str">
            <v>Eco-High</v>
          </cell>
          <cell r="AI314" t="str">
            <v>West</v>
          </cell>
          <cell r="AJ314" t="str">
            <v>Without LTS</v>
          </cell>
          <cell r="AK314" t="str">
            <v>Unaffected lots</v>
          </cell>
          <cell r="AL314" t="str">
            <v>Unaffected lots</v>
          </cell>
          <cell r="AM314" t="b">
            <v>0</v>
          </cell>
          <cell r="AN314" t="str">
            <v>NO</v>
          </cell>
          <cell r="AO314" t="str">
            <v>B3 2025</v>
          </cell>
          <cell r="AP314">
            <v>70</v>
          </cell>
          <cell r="AQ314" t="str">
            <v>PCS-277865</v>
          </cell>
          <cell r="AR314" t="b">
            <v>1</v>
          </cell>
          <cell r="AS314" t="str">
            <v>Done</v>
          </cell>
          <cell r="AT314" t="str">
            <v>2025 - Batch 5</v>
          </cell>
          <cell r="AU314">
            <v>16</v>
          </cell>
          <cell r="AV314">
            <v>6</v>
          </cell>
          <cell r="AW314" t="str">
            <v>H+L</v>
          </cell>
          <cell r="AX314">
            <v>70</v>
          </cell>
          <cell r="AY314">
            <v>50</v>
          </cell>
          <cell r="AZ314" t="str">
            <v>Duplex</v>
          </cell>
          <cell r="BA314">
            <v>1</v>
          </cell>
          <cell r="BB314" t="str">
            <v>568 - Without Partition</v>
          </cell>
          <cell r="BC314" t="str">
            <v xml:space="preserve">Without Partition </v>
          </cell>
          <cell r="BD314" t="str">
            <v>Flat</v>
          </cell>
          <cell r="BE314" t="str">
            <v xml:space="preserve">Without Partition </v>
          </cell>
          <cell r="BF314" t="str">
            <v>YELLOW</v>
          </cell>
          <cell r="BG314">
            <v>2500000</v>
          </cell>
          <cell r="BH314">
            <v>2650000</v>
          </cell>
          <cell r="BI314">
            <v>100000</v>
          </cell>
          <cell r="BJ314">
            <v>2550000</v>
          </cell>
          <cell r="BK314">
            <v>0</v>
          </cell>
          <cell r="BL314">
            <v>2550000</v>
          </cell>
        </row>
        <row r="315">
          <cell r="D315" t="str">
            <v>OS</v>
          </cell>
          <cell r="E315"/>
          <cell r="F315">
            <v>295</v>
          </cell>
          <cell r="G315" t="str">
            <v>UNSOLD</v>
          </cell>
          <cell r="H315" t="str">
            <v>OS</v>
          </cell>
          <cell r="I315" t="str">
            <v>OS</v>
          </cell>
          <cell r="J315" t="str">
            <v>OS</v>
          </cell>
          <cell r="K315" t="str">
            <v>OS</v>
          </cell>
          <cell r="L315" t="str">
            <v>OS</v>
          </cell>
          <cell r="M315" t="str">
            <v>OS</v>
          </cell>
          <cell r="N315" t="str">
            <v>OS</v>
          </cell>
          <cell r="O315" t="str">
            <v>OS</v>
          </cell>
          <cell r="P315" t="str">
            <v>OS</v>
          </cell>
          <cell r="Q315" t="str">
            <v>OS</v>
          </cell>
          <cell r="R315" t="str">
            <v>OS</v>
          </cell>
          <cell r="S315" t="str">
            <v>OS</v>
          </cell>
          <cell r="T315" t="str">
            <v>OS</v>
          </cell>
          <cell r="U315" t="str">
            <v>OS</v>
          </cell>
          <cell r="V315" t="str">
            <v>OS</v>
          </cell>
          <cell r="W315" t="str">
            <v>OS</v>
          </cell>
          <cell r="X315" t="str">
            <v>OS</v>
          </cell>
          <cell r="Y315" t="str">
            <v>OS</v>
          </cell>
          <cell r="Z315" t="str">
            <v>OS</v>
          </cell>
          <cell r="AA315" t="str">
            <v>OS</v>
          </cell>
          <cell r="AB315" t="str">
            <v>OS</v>
          </cell>
          <cell r="AC315" t="str">
            <v>OS</v>
          </cell>
          <cell r="AD315" t="str">
            <v>AGM-01-016-007</v>
          </cell>
          <cell r="AE315" t="str">
            <v xml:space="preserve">Raemulan Lands, Inc. </v>
          </cell>
          <cell r="AF315" t="str">
            <v>Agapeya</v>
          </cell>
          <cell r="AG315" t="str">
            <v>AGM</v>
          </cell>
          <cell r="AH315" t="str">
            <v>Eco-High</v>
          </cell>
          <cell r="AI315" t="str">
            <v>West</v>
          </cell>
          <cell r="AJ315" t="str">
            <v>Without LTS</v>
          </cell>
          <cell r="AK315" t="str">
            <v>Unaffected lots</v>
          </cell>
          <cell r="AL315" t="str">
            <v>Unaffected lots</v>
          </cell>
          <cell r="AM315" t="b">
            <v>0</v>
          </cell>
          <cell r="AN315" t="str">
            <v>NO</v>
          </cell>
          <cell r="AO315" t="str">
            <v>B4 2025</v>
          </cell>
          <cell r="AP315">
            <v>70</v>
          </cell>
          <cell r="AQ315" t="str">
            <v>PCS-277865</v>
          </cell>
          <cell r="AR315" t="b">
            <v>1</v>
          </cell>
          <cell r="AS315" t="str">
            <v>Done</v>
          </cell>
          <cell r="AT315" t="str">
            <v>2025 - Batch 5</v>
          </cell>
          <cell r="AU315">
            <v>16</v>
          </cell>
          <cell r="AV315">
            <v>7</v>
          </cell>
          <cell r="AW315" t="str">
            <v>H+L</v>
          </cell>
          <cell r="AX315">
            <v>70</v>
          </cell>
          <cell r="AY315">
            <v>50</v>
          </cell>
          <cell r="AZ315" t="str">
            <v>Duplex</v>
          </cell>
          <cell r="BA315">
            <v>1</v>
          </cell>
          <cell r="BB315" t="str">
            <v>568 - Without Partition</v>
          </cell>
          <cell r="BC315" t="str">
            <v xml:space="preserve">Without Partition </v>
          </cell>
          <cell r="BD315" t="str">
            <v>Flat</v>
          </cell>
          <cell r="BE315" t="str">
            <v xml:space="preserve">Without Partition </v>
          </cell>
          <cell r="BF315" t="str">
            <v>YELLOW</v>
          </cell>
          <cell r="BG315">
            <v>2500000</v>
          </cell>
          <cell r="BH315">
            <v>2650000</v>
          </cell>
          <cell r="BI315">
            <v>100000</v>
          </cell>
          <cell r="BJ315">
            <v>2550000</v>
          </cell>
          <cell r="BK315">
            <v>0</v>
          </cell>
          <cell r="BL315">
            <v>2550000</v>
          </cell>
        </row>
        <row r="316">
          <cell r="D316" t="str">
            <v>OS</v>
          </cell>
          <cell r="E316"/>
          <cell r="F316">
            <v>296</v>
          </cell>
          <cell r="G316" t="str">
            <v>CLOSED</v>
          </cell>
          <cell r="H316" t="str">
            <v>OPEN</v>
          </cell>
          <cell r="I316" t="str">
            <v>FOR BRN</v>
          </cell>
          <cell r="J316" t="str">
            <v>TS</v>
          </cell>
          <cell r="K316" t="str">
            <v>TS</v>
          </cell>
          <cell r="L316" t="str">
            <v>TS</v>
          </cell>
          <cell r="M316" t="str">
            <v>TS</v>
          </cell>
          <cell r="N316" t="str">
            <v>TS</v>
          </cell>
          <cell r="O316" t="str">
            <v>TS</v>
          </cell>
          <cell r="P316" t="str">
            <v>TS</v>
          </cell>
          <cell r="Q316" t="str">
            <v>TS</v>
          </cell>
          <cell r="R316" t="str">
            <v>TS</v>
          </cell>
          <cell r="S316" t="str">
            <v>TS</v>
          </cell>
          <cell r="T316" t="str">
            <v>TS</v>
          </cell>
          <cell r="U316" t="str">
            <v>TS</v>
          </cell>
          <cell r="V316" t="str">
            <v>OS</v>
          </cell>
          <cell r="W316" t="str">
            <v>TS</v>
          </cell>
          <cell r="X316" t="str">
            <v>OS</v>
          </cell>
          <cell r="Y316" t="str">
            <v>OS</v>
          </cell>
          <cell r="Z316" t="str">
            <v>OS</v>
          </cell>
          <cell r="AA316" t="str">
            <v>OS</v>
          </cell>
          <cell r="AB316" t="str">
            <v>OS</v>
          </cell>
          <cell r="AC316" t="str">
            <v>OS</v>
          </cell>
          <cell r="AD316" t="str">
            <v>AGM-01-016-008</v>
          </cell>
          <cell r="AE316" t="str">
            <v xml:space="preserve">Raemulan Lands, Inc. </v>
          </cell>
          <cell r="AF316" t="str">
            <v>Agapeya</v>
          </cell>
          <cell r="AG316" t="str">
            <v>AGM</v>
          </cell>
          <cell r="AH316" t="str">
            <v>Eco-High</v>
          </cell>
          <cell r="AI316" t="str">
            <v>West</v>
          </cell>
          <cell r="AJ316" t="str">
            <v>Without LTS</v>
          </cell>
          <cell r="AK316" t="str">
            <v>for conso</v>
          </cell>
          <cell r="AL316" t="str">
            <v>Unaffected lots</v>
          </cell>
          <cell r="AM316" t="b">
            <v>1</v>
          </cell>
          <cell r="AN316" t="str">
            <v>NO</v>
          </cell>
          <cell r="AO316" t="str">
            <v>B4 2025</v>
          </cell>
          <cell r="AP316" t="str">
            <v>3/87</v>
          </cell>
          <cell r="AQ316" t="str">
            <v>PCS-04-034407/PSD-04-277865</v>
          </cell>
          <cell r="AR316" t="b">
            <v>0</v>
          </cell>
          <cell r="AS316" t="str">
            <v>For Conso</v>
          </cell>
          <cell r="AT316" t="str">
            <v>2025 - Batch 5</v>
          </cell>
          <cell r="AU316">
            <v>16</v>
          </cell>
          <cell r="AV316">
            <v>8</v>
          </cell>
          <cell r="AW316" t="str">
            <v>H+L</v>
          </cell>
          <cell r="AX316">
            <v>90</v>
          </cell>
          <cell r="AY316">
            <v>50</v>
          </cell>
          <cell r="AZ316" t="str">
            <v>Duplex</v>
          </cell>
          <cell r="BA316">
            <v>1</v>
          </cell>
          <cell r="BB316" t="str">
            <v>568 - Without Partition</v>
          </cell>
          <cell r="BC316" t="str">
            <v xml:space="preserve">Without Partition </v>
          </cell>
          <cell r="BD316" t="str">
            <v>Slant</v>
          </cell>
          <cell r="BE316" t="str">
            <v xml:space="preserve">Without Partition </v>
          </cell>
          <cell r="BF316" t="str">
            <v>YELLOW</v>
          </cell>
          <cell r="BG316">
            <v>2500000</v>
          </cell>
          <cell r="BH316">
            <v>2950000</v>
          </cell>
          <cell r="BI316">
            <v>100000</v>
          </cell>
          <cell r="BJ316">
            <v>2850000</v>
          </cell>
          <cell r="BK316">
            <v>0</v>
          </cell>
          <cell r="BL316">
            <v>2850000</v>
          </cell>
        </row>
        <row r="317">
          <cell r="D317" t="str">
            <v>OS</v>
          </cell>
          <cell r="E317"/>
          <cell r="F317">
            <v>297</v>
          </cell>
          <cell r="G317" t="str">
            <v>SOLD</v>
          </cell>
          <cell r="H317" t="str">
            <v>OS</v>
          </cell>
          <cell r="I317" t="str">
            <v>OS</v>
          </cell>
          <cell r="J317" t="str">
            <v>OS</v>
          </cell>
          <cell r="K317" t="str">
            <v>OS</v>
          </cell>
          <cell r="L317" t="str">
            <v>OS</v>
          </cell>
          <cell r="M317" t="str">
            <v>OS</v>
          </cell>
          <cell r="N317" t="str">
            <v>OS</v>
          </cell>
          <cell r="O317" t="str">
            <v>OS</v>
          </cell>
          <cell r="P317" t="str">
            <v>OS</v>
          </cell>
          <cell r="Q317" t="str">
            <v>OS</v>
          </cell>
          <cell r="R317" t="str">
            <v>OS</v>
          </cell>
          <cell r="S317" t="str">
            <v>OS</v>
          </cell>
          <cell r="T317" t="str">
            <v>OS</v>
          </cell>
          <cell r="U317" t="str">
            <v>OS</v>
          </cell>
          <cell r="V317" t="str">
            <v>OS</v>
          </cell>
          <cell r="W317" t="str">
            <v>OS</v>
          </cell>
          <cell r="X317" t="str">
            <v>OS</v>
          </cell>
          <cell r="Y317" t="str">
            <v>OS</v>
          </cell>
          <cell r="Z317" t="str">
            <v>OS</v>
          </cell>
          <cell r="AA317" t="str">
            <v>OS</v>
          </cell>
          <cell r="AB317" t="str">
            <v>OS</v>
          </cell>
          <cell r="AC317" t="str">
            <v>OS</v>
          </cell>
          <cell r="AD317" t="str">
            <v>AGM-01-016-009</v>
          </cell>
          <cell r="AE317" t="str">
            <v xml:space="preserve">Raemulan Lands, Inc. </v>
          </cell>
          <cell r="AF317" t="str">
            <v>Agapeya</v>
          </cell>
          <cell r="AG317" t="str">
            <v>AGM</v>
          </cell>
          <cell r="AH317" t="str">
            <v>Eco-High</v>
          </cell>
          <cell r="AI317" t="str">
            <v>West</v>
          </cell>
          <cell r="AJ317" t="str">
            <v>Without LTS</v>
          </cell>
          <cell r="AK317" t="str">
            <v>Unaffected lots</v>
          </cell>
          <cell r="AL317" t="str">
            <v>Unaffected lots</v>
          </cell>
          <cell r="AM317" t="b">
            <v>0</v>
          </cell>
          <cell r="AN317" t="str">
            <v>NO</v>
          </cell>
          <cell r="AO317" t="str">
            <v>B4 2025</v>
          </cell>
          <cell r="AP317">
            <v>88</v>
          </cell>
          <cell r="AQ317" t="str">
            <v>PCS-277865</v>
          </cell>
          <cell r="AR317" t="b">
            <v>1</v>
          </cell>
          <cell r="AS317" t="str">
            <v>Done</v>
          </cell>
          <cell r="AT317" t="str">
            <v>2025 - Batch 5</v>
          </cell>
          <cell r="AU317">
            <v>16</v>
          </cell>
          <cell r="AV317">
            <v>9</v>
          </cell>
          <cell r="AW317" t="str">
            <v>H+L</v>
          </cell>
          <cell r="AX317">
            <v>88</v>
          </cell>
          <cell r="AY317">
            <v>50</v>
          </cell>
          <cell r="AZ317" t="str">
            <v>Duplex</v>
          </cell>
          <cell r="BA317">
            <v>1</v>
          </cell>
          <cell r="BB317" t="str">
            <v>568 - Without Partition</v>
          </cell>
          <cell r="BC317" t="str">
            <v xml:space="preserve">Without Partition </v>
          </cell>
          <cell r="BD317" t="str">
            <v>Flat</v>
          </cell>
          <cell r="BE317" t="str">
            <v xml:space="preserve">Without Partition </v>
          </cell>
          <cell r="BF317" t="str">
            <v>PURPLE</v>
          </cell>
          <cell r="BG317">
            <v>2500000</v>
          </cell>
          <cell r="BH317">
            <v>2920000</v>
          </cell>
          <cell r="BI317">
            <v>100000</v>
          </cell>
          <cell r="BJ317">
            <v>2820000</v>
          </cell>
          <cell r="BK317">
            <v>0</v>
          </cell>
          <cell r="BL317">
            <v>2820000</v>
          </cell>
        </row>
        <row r="318">
          <cell r="D318" t="str">
            <v>OS</v>
          </cell>
          <cell r="E318"/>
          <cell r="F318">
            <v>298</v>
          </cell>
          <cell r="G318" t="str">
            <v>SOLD</v>
          </cell>
          <cell r="H318" t="str">
            <v>OS</v>
          </cell>
          <cell r="I318" t="str">
            <v>OS</v>
          </cell>
          <cell r="J318" t="str">
            <v>OS</v>
          </cell>
          <cell r="K318" t="str">
            <v>OS</v>
          </cell>
          <cell r="L318" t="str">
            <v>OS</v>
          </cell>
          <cell r="M318" t="str">
            <v>OS</v>
          </cell>
          <cell r="N318" t="str">
            <v>OS</v>
          </cell>
          <cell r="O318" t="str">
            <v>OS</v>
          </cell>
          <cell r="P318" t="str">
            <v>OS</v>
          </cell>
          <cell r="Q318" t="str">
            <v>OS</v>
          </cell>
          <cell r="R318" t="str">
            <v>OS</v>
          </cell>
          <cell r="S318" t="str">
            <v>OS</v>
          </cell>
          <cell r="T318" t="str">
            <v>OS</v>
          </cell>
          <cell r="U318" t="str">
            <v>OS</v>
          </cell>
          <cell r="V318" t="str">
            <v>OS</v>
          </cell>
          <cell r="W318" t="str">
            <v>OS</v>
          </cell>
          <cell r="X318" t="str">
            <v>OS</v>
          </cell>
          <cell r="Y318" t="str">
            <v>OS</v>
          </cell>
          <cell r="Z318" t="str">
            <v>OS</v>
          </cell>
          <cell r="AA318" t="str">
            <v>OS</v>
          </cell>
          <cell r="AB318" t="str">
            <v>OS</v>
          </cell>
          <cell r="AC318" t="str">
            <v>OS</v>
          </cell>
          <cell r="AD318" t="str">
            <v>AGM-01-016-010</v>
          </cell>
          <cell r="AE318" t="str">
            <v xml:space="preserve">Raemulan Lands, Inc. </v>
          </cell>
          <cell r="AF318" t="str">
            <v>Agapeya</v>
          </cell>
          <cell r="AG318" t="str">
            <v>AGM</v>
          </cell>
          <cell r="AH318" t="str">
            <v>Eco-High</v>
          </cell>
          <cell r="AI318" t="str">
            <v>West</v>
          </cell>
          <cell r="AJ318" t="str">
            <v>Without LTS</v>
          </cell>
          <cell r="AK318" t="str">
            <v>Unaffected lots</v>
          </cell>
          <cell r="AL318" t="str">
            <v>Unaffected lots</v>
          </cell>
          <cell r="AM318" t="b">
            <v>0</v>
          </cell>
          <cell r="AN318" t="str">
            <v>NO</v>
          </cell>
          <cell r="AO318" t="str">
            <v>B4 2025</v>
          </cell>
          <cell r="AP318">
            <v>70</v>
          </cell>
          <cell r="AQ318" t="str">
            <v>PCS-277865</v>
          </cell>
          <cell r="AR318" t="b">
            <v>1</v>
          </cell>
          <cell r="AS318" t="str">
            <v>Done</v>
          </cell>
          <cell r="AT318" t="str">
            <v>2025 - Batch 5</v>
          </cell>
          <cell r="AU318">
            <v>16</v>
          </cell>
          <cell r="AV318">
            <v>10</v>
          </cell>
          <cell r="AW318" t="str">
            <v>H+L</v>
          </cell>
          <cell r="AX318">
            <v>70</v>
          </cell>
          <cell r="AY318">
            <v>50</v>
          </cell>
          <cell r="AZ318" t="str">
            <v>Duplex</v>
          </cell>
          <cell r="BA318">
            <v>1</v>
          </cell>
          <cell r="BB318" t="str">
            <v>568 - Without Partition</v>
          </cell>
          <cell r="BC318" t="str">
            <v xml:space="preserve">Without Partition </v>
          </cell>
          <cell r="BD318" t="str">
            <v>Slant</v>
          </cell>
          <cell r="BE318" t="str">
            <v xml:space="preserve">Without Partition </v>
          </cell>
          <cell r="BF318" t="str">
            <v>PURPLE</v>
          </cell>
          <cell r="BG318">
            <v>2500000</v>
          </cell>
          <cell r="BH318">
            <v>2650000</v>
          </cell>
          <cell r="BI318">
            <v>100000</v>
          </cell>
          <cell r="BJ318">
            <v>2550000</v>
          </cell>
          <cell r="BK318">
            <v>0</v>
          </cell>
          <cell r="BL318">
            <v>2550000</v>
          </cell>
        </row>
        <row r="319">
          <cell r="D319" t="str">
            <v>OS</v>
          </cell>
          <cell r="E319"/>
          <cell r="F319">
            <v>299</v>
          </cell>
          <cell r="G319" t="str">
            <v>UNSOLD</v>
          </cell>
          <cell r="H319" t="str">
            <v>TS</v>
          </cell>
          <cell r="I319" t="str">
            <v>TS</v>
          </cell>
          <cell r="J319" t="str">
            <v>TS</v>
          </cell>
          <cell r="K319" t="str">
            <v>TS</v>
          </cell>
          <cell r="L319" t="str">
            <v>TS</v>
          </cell>
          <cell r="M319" t="str">
            <v>TS</v>
          </cell>
          <cell r="N319" t="str">
            <v>TS</v>
          </cell>
          <cell r="O319" t="str">
            <v>TS</v>
          </cell>
          <cell r="P319" t="str">
            <v>OS</v>
          </cell>
          <cell r="Q319" t="str">
            <v>OS</v>
          </cell>
          <cell r="R319" t="str">
            <v>OS</v>
          </cell>
          <cell r="S319" t="str">
            <v>OS</v>
          </cell>
          <cell r="T319" t="str">
            <v>OS</v>
          </cell>
          <cell r="U319" t="str">
            <v>OS</v>
          </cell>
          <cell r="V319" t="str">
            <v>OS</v>
          </cell>
          <cell r="W319" t="str">
            <v>OS</v>
          </cell>
          <cell r="X319" t="str">
            <v>OS</v>
          </cell>
          <cell r="Y319" t="str">
            <v>OS</v>
          </cell>
          <cell r="Z319" t="str">
            <v>OS</v>
          </cell>
          <cell r="AA319" t="str">
            <v>OS</v>
          </cell>
          <cell r="AB319" t="str">
            <v>OS</v>
          </cell>
          <cell r="AC319" t="str">
            <v>OS</v>
          </cell>
          <cell r="AD319" t="str">
            <v>AGM-01-016-011</v>
          </cell>
          <cell r="AE319" t="str">
            <v xml:space="preserve">Raemulan Lands, Inc. </v>
          </cell>
          <cell r="AF319" t="str">
            <v>Agapeya</v>
          </cell>
          <cell r="AG319" t="str">
            <v>AGM</v>
          </cell>
          <cell r="AH319" t="str">
            <v>Eco-High</v>
          </cell>
          <cell r="AI319" t="str">
            <v>West</v>
          </cell>
          <cell r="AJ319" t="str">
            <v>Without LTS</v>
          </cell>
          <cell r="AK319" t="str">
            <v>Unaffected lots</v>
          </cell>
          <cell r="AL319" t="str">
            <v>Unaffected lots</v>
          </cell>
          <cell r="AM319" t="b">
            <v>0</v>
          </cell>
          <cell r="AN319" t="str">
            <v>NO</v>
          </cell>
          <cell r="AO319" t="str">
            <v>B4 2025</v>
          </cell>
          <cell r="AP319">
            <v>70</v>
          </cell>
          <cell r="AQ319" t="str">
            <v>PCS-277865</v>
          </cell>
          <cell r="AR319" t="b">
            <v>1</v>
          </cell>
          <cell r="AS319" t="str">
            <v>Done</v>
          </cell>
          <cell r="AT319" t="str">
            <v>2025 - Batch 5</v>
          </cell>
          <cell r="AU319">
            <v>16</v>
          </cell>
          <cell r="AV319">
            <v>11</v>
          </cell>
          <cell r="AW319" t="str">
            <v>H+L</v>
          </cell>
          <cell r="AX319">
            <v>70</v>
          </cell>
          <cell r="AY319">
            <v>50</v>
          </cell>
          <cell r="AZ319" t="str">
            <v>Duplex</v>
          </cell>
          <cell r="BA319">
            <v>1</v>
          </cell>
          <cell r="BB319" t="str">
            <v>568 - Without Partition</v>
          </cell>
          <cell r="BC319" t="str">
            <v xml:space="preserve">Without Partition </v>
          </cell>
          <cell r="BD319" t="str">
            <v>Slant</v>
          </cell>
          <cell r="BE319" t="str">
            <v xml:space="preserve">Without Partition </v>
          </cell>
          <cell r="BF319" t="str">
            <v>PURPLE</v>
          </cell>
          <cell r="BG319">
            <v>2500000</v>
          </cell>
          <cell r="BH319">
            <v>2650000</v>
          </cell>
          <cell r="BI319">
            <v>100000</v>
          </cell>
          <cell r="BJ319">
            <v>2550000</v>
          </cell>
          <cell r="BK319">
            <v>0</v>
          </cell>
          <cell r="BL319">
            <v>2550000</v>
          </cell>
        </row>
        <row r="320">
          <cell r="D320" t="str">
            <v>OS</v>
          </cell>
          <cell r="E320"/>
          <cell r="F320">
            <v>300</v>
          </cell>
          <cell r="G320" t="str">
            <v>UNSOLD</v>
          </cell>
          <cell r="H320" t="str">
            <v>OS</v>
          </cell>
          <cell r="I320" t="str">
            <v>OS</v>
          </cell>
          <cell r="J320" t="str">
            <v>OS</v>
          </cell>
          <cell r="K320" t="str">
            <v>OS</v>
          </cell>
          <cell r="L320" t="str">
            <v>OS</v>
          </cell>
          <cell r="M320" t="str">
            <v>OS</v>
          </cell>
          <cell r="N320" t="str">
            <v>OS</v>
          </cell>
          <cell r="O320" t="str">
            <v>OS</v>
          </cell>
          <cell r="P320" t="str">
            <v>OS</v>
          </cell>
          <cell r="Q320" t="str">
            <v>OS</v>
          </cell>
          <cell r="R320" t="str">
            <v>OS</v>
          </cell>
          <cell r="S320" t="str">
            <v>OS</v>
          </cell>
          <cell r="T320" t="str">
            <v>OS</v>
          </cell>
          <cell r="U320" t="str">
            <v>OS</v>
          </cell>
          <cell r="V320" t="str">
            <v>OS</v>
          </cell>
          <cell r="W320" t="str">
            <v>OS</v>
          </cell>
          <cell r="X320" t="str">
            <v>OS</v>
          </cell>
          <cell r="Y320" t="str">
            <v>OS</v>
          </cell>
          <cell r="Z320" t="str">
            <v>OS</v>
          </cell>
          <cell r="AA320" t="str">
            <v>OS</v>
          </cell>
          <cell r="AB320" t="str">
            <v>OS</v>
          </cell>
          <cell r="AC320" t="str">
            <v>OS</v>
          </cell>
          <cell r="AD320" t="str">
            <v>AGM-01-016-012</v>
          </cell>
          <cell r="AE320" t="str">
            <v xml:space="preserve">Raemulan Lands, Inc. </v>
          </cell>
          <cell r="AF320" t="str">
            <v>Agapeya</v>
          </cell>
          <cell r="AG320" t="str">
            <v>AGM</v>
          </cell>
          <cell r="AH320" t="str">
            <v>Eco-High</v>
          </cell>
          <cell r="AI320" t="str">
            <v>West</v>
          </cell>
          <cell r="AJ320" t="str">
            <v>Without LTS</v>
          </cell>
          <cell r="AK320" t="str">
            <v>Unaffected lots</v>
          </cell>
          <cell r="AL320" t="str">
            <v>Unaffected lots</v>
          </cell>
          <cell r="AM320" t="b">
            <v>0</v>
          </cell>
          <cell r="AN320" t="str">
            <v>NO</v>
          </cell>
          <cell r="AO320" t="str">
            <v>B4 2025</v>
          </cell>
          <cell r="AP320">
            <v>70</v>
          </cell>
          <cell r="AQ320" t="str">
            <v>PCS-277865</v>
          </cell>
          <cell r="AR320" t="b">
            <v>1</v>
          </cell>
          <cell r="AS320" t="str">
            <v>Done</v>
          </cell>
          <cell r="AT320" t="str">
            <v>2025 - Batch 5</v>
          </cell>
          <cell r="AU320">
            <v>16</v>
          </cell>
          <cell r="AV320">
            <v>12</v>
          </cell>
          <cell r="AW320" t="str">
            <v>H+L</v>
          </cell>
          <cell r="AX320">
            <v>70</v>
          </cell>
          <cell r="AY320">
            <v>50</v>
          </cell>
          <cell r="AZ320" t="str">
            <v>Duplex</v>
          </cell>
          <cell r="BA320">
            <v>1</v>
          </cell>
          <cell r="BB320" t="str">
            <v>568 - Without Partition</v>
          </cell>
          <cell r="BC320" t="str">
            <v xml:space="preserve">Without Partition </v>
          </cell>
          <cell r="BD320" t="str">
            <v>Flat</v>
          </cell>
          <cell r="BE320" t="str">
            <v xml:space="preserve">Without Partition </v>
          </cell>
          <cell r="BF320" t="str">
            <v>PURPLE</v>
          </cell>
          <cell r="BG320">
            <v>2500000</v>
          </cell>
          <cell r="BH320">
            <v>2650000</v>
          </cell>
          <cell r="BI320">
            <v>100000</v>
          </cell>
          <cell r="BJ320">
            <v>2550000</v>
          </cell>
          <cell r="BK320">
            <v>0</v>
          </cell>
          <cell r="BL320">
            <v>2550000</v>
          </cell>
        </row>
        <row r="321">
          <cell r="D321" t="str">
            <v>OS</v>
          </cell>
          <cell r="E321"/>
          <cell r="F321">
            <v>301</v>
          </cell>
          <cell r="G321" t="str">
            <v>UNSOLD</v>
          </cell>
          <cell r="H321" t="str">
            <v>OS</v>
          </cell>
          <cell r="I321" t="str">
            <v>OS</v>
          </cell>
          <cell r="J321" t="str">
            <v>OS</v>
          </cell>
          <cell r="K321" t="str">
            <v>OS</v>
          </cell>
          <cell r="L321" t="str">
            <v>OS</v>
          </cell>
          <cell r="M321" t="str">
            <v>OS</v>
          </cell>
          <cell r="N321" t="str">
            <v>OS</v>
          </cell>
          <cell r="O321" t="str">
            <v>OS</v>
          </cell>
          <cell r="P321" t="str">
            <v>OS</v>
          </cell>
          <cell r="Q321" t="str">
            <v>OS</v>
          </cell>
          <cell r="R321" t="str">
            <v>OS</v>
          </cell>
          <cell r="S321" t="str">
            <v>OS</v>
          </cell>
          <cell r="T321" t="str">
            <v>OS</v>
          </cell>
          <cell r="U321" t="str">
            <v>OS</v>
          </cell>
          <cell r="V321" t="str">
            <v>OS</v>
          </cell>
          <cell r="W321" t="str">
            <v>OS</v>
          </cell>
          <cell r="X321" t="str">
            <v>OS</v>
          </cell>
          <cell r="Y321" t="str">
            <v>OS</v>
          </cell>
          <cell r="Z321" t="str">
            <v>OS</v>
          </cell>
          <cell r="AA321" t="str">
            <v>OS</v>
          </cell>
          <cell r="AB321" t="str">
            <v>OS</v>
          </cell>
          <cell r="AC321" t="str">
            <v>OS</v>
          </cell>
          <cell r="AD321" t="str">
            <v>AGM-01-016-013</v>
          </cell>
          <cell r="AE321" t="str">
            <v xml:space="preserve">Raemulan Lands, Inc. </v>
          </cell>
          <cell r="AF321" t="str">
            <v>Agapeya</v>
          </cell>
          <cell r="AG321" t="str">
            <v>AGM</v>
          </cell>
          <cell r="AH321" t="str">
            <v>Eco-High</v>
          </cell>
          <cell r="AI321" t="str">
            <v>West</v>
          </cell>
          <cell r="AJ321" t="str">
            <v>Without LTS</v>
          </cell>
          <cell r="AK321" t="str">
            <v>Unaffected lots</v>
          </cell>
          <cell r="AL321" t="str">
            <v>Unaffected lots</v>
          </cell>
          <cell r="AM321" t="b">
            <v>0</v>
          </cell>
          <cell r="AN321" t="str">
            <v>NO</v>
          </cell>
          <cell r="AO321" t="str">
            <v>B4 2025</v>
          </cell>
          <cell r="AP321">
            <v>70</v>
          </cell>
          <cell r="AQ321" t="str">
            <v>PCS-277865</v>
          </cell>
          <cell r="AR321" t="b">
            <v>1</v>
          </cell>
          <cell r="AS321" t="str">
            <v>Done</v>
          </cell>
          <cell r="AT321" t="str">
            <v>2025 - Batch 5</v>
          </cell>
          <cell r="AU321">
            <v>16</v>
          </cell>
          <cell r="AV321">
            <v>13</v>
          </cell>
          <cell r="AW321" t="str">
            <v>H+L</v>
          </cell>
          <cell r="AX321">
            <v>70</v>
          </cell>
          <cell r="AY321">
            <v>50</v>
          </cell>
          <cell r="AZ321" t="str">
            <v>Duplex</v>
          </cell>
          <cell r="BA321">
            <v>1</v>
          </cell>
          <cell r="BB321" t="str">
            <v>568 - Without Partition</v>
          </cell>
          <cell r="BC321" t="str">
            <v xml:space="preserve">Without Partition </v>
          </cell>
          <cell r="BD321" t="str">
            <v>Flat</v>
          </cell>
          <cell r="BE321" t="str">
            <v xml:space="preserve">Without Partition </v>
          </cell>
          <cell r="BF321" t="str">
            <v>GREEN</v>
          </cell>
          <cell r="BG321">
            <v>2500000</v>
          </cell>
          <cell r="BH321">
            <v>2650000</v>
          </cell>
          <cell r="BI321">
            <v>100000</v>
          </cell>
          <cell r="BJ321">
            <v>2550000</v>
          </cell>
          <cell r="BK321">
            <v>0</v>
          </cell>
          <cell r="BL321">
            <v>2550000</v>
          </cell>
        </row>
        <row r="322">
          <cell r="D322" t="str">
            <v>OS</v>
          </cell>
          <cell r="E322"/>
          <cell r="F322">
            <v>302</v>
          </cell>
          <cell r="G322" t="str">
            <v>UNSOLD</v>
          </cell>
          <cell r="H322" t="str">
            <v>TS</v>
          </cell>
          <cell r="I322" t="str">
            <v>TS</v>
          </cell>
          <cell r="J322" t="str">
            <v>TS</v>
          </cell>
          <cell r="K322" t="str">
            <v>TS</v>
          </cell>
          <cell r="L322" t="str">
            <v>TS</v>
          </cell>
          <cell r="M322" t="str">
            <v>TS</v>
          </cell>
          <cell r="N322" t="str">
            <v>TS</v>
          </cell>
          <cell r="O322" t="str">
            <v>TS</v>
          </cell>
          <cell r="P322" t="str">
            <v>OS</v>
          </cell>
          <cell r="Q322" t="str">
            <v>OS</v>
          </cell>
          <cell r="R322" t="str">
            <v>OS</v>
          </cell>
          <cell r="S322" t="str">
            <v>OS</v>
          </cell>
          <cell r="T322" t="str">
            <v>OS</v>
          </cell>
          <cell r="U322" t="str">
            <v>OS</v>
          </cell>
          <cell r="V322" t="str">
            <v>OS</v>
          </cell>
          <cell r="W322" t="str">
            <v>OS</v>
          </cell>
          <cell r="X322" t="str">
            <v>OS</v>
          </cell>
          <cell r="Y322" t="str">
            <v>OS</v>
          </cell>
          <cell r="Z322" t="str">
            <v>OS</v>
          </cell>
          <cell r="AA322" t="str">
            <v>OS</v>
          </cell>
          <cell r="AB322" t="str">
            <v>OS</v>
          </cell>
          <cell r="AC322" t="str">
            <v>OS</v>
          </cell>
          <cell r="AD322" t="str">
            <v>AGM-01-016-014</v>
          </cell>
          <cell r="AE322" t="str">
            <v xml:space="preserve">Raemulan Lands, Inc. </v>
          </cell>
          <cell r="AF322" t="str">
            <v>Agapeya</v>
          </cell>
          <cell r="AG322" t="str">
            <v>AGM</v>
          </cell>
          <cell r="AH322" t="str">
            <v>Eco-High</v>
          </cell>
          <cell r="AI322" t="str">
            <v>West</v>
          </cell>
          <cell r="AJ322" t="str">
            <v>Without LTS</v>
          </cell>
          <cell r="AK322" t="str">
            <v>Unaffected lots</v>
          </cell>
          <cell r="AL322" t="str">
            <v>Unaffected lots</v>
          </cell>
          <cell r="AM322" t="b">
            <v>0</v>
          </cell>
          <cell r="AN322" t="str">
            <v>NO</v>
          </cell>
          <cell r="AO322" t="str">
            <v>B4 2025</v>
          </cell>
          <cell r="AP322">
            <v>70</v>
          </cell>
          <cell r="AQ322" t="str">
            <v>PCS-277865</v>
          </cell>
          <cell r="AR322" t="b">
            <v>1</v>
          </cell>
          <cell r="AS322" t="str">
            <v>Done</v>
          </cell>
          <cell r="AT322" t="str">
            <v>2025 - Batch 5</v>
          </cell>
          <cell r="AU322">
            <v>16</v>
          </cell>
          <cell r="AV322">
            <v>14</v>
          </cell>
          <cell r="AW322" t="str">
            <v>H+L</v>
          </cell>
          <cell r="AX322">
            <v>70</v>
          </cell>
          <cell r="AY322">
            <v>50</v>
          </cell>
          <cell r="AZ322" t="str">
            <v>Duplex</v>
          </cell>
          <cell r="BA322">
            <v>1</v>
          </cell>
          <cell r="BB322" t="str">
            <v>568 - Without Partition</v>
          </cell>
          <cell r="BC322" t="str">
            <v xml:space="preserve">Without Partition </v>
          </cell>
          <cell r="BD322" t="str">
            <v>Slant</v>
          </cell>
          <cell r="BE322" t="str">
            <v xml:space="preserve">Without Partition </v>
          </cell>
          <cell r="BF322" t="str">
            <v>GREEN</v>
          </cell>
          <cell r="BG322">
            <v>2500000</v>
          </cell>
          <cell r="BH322">
            <v>2650000</v>
          </cell>
          <cell r="BI322">
            <v>100000</v>
          </cell>
          <cell r="BJ322">
            <v>2550000</v>
          </cell>
          <cell r="BK322">
            <v>0</v>
          </cell>
          <cell r="BL322">
            <v>2550000</v>
          </cell>
        </row>
        <row r="323">
          <cell r="D323" t="str">
            <v>OS</v>
          </cell>
          <cell r="E323"/>
          <cell r="F323">
            <v>303</v>
          </cell>
          <cell r="G323" t="str">
            <v>UNSOLD</v>
          </cell>
          <cell r="H323" t="str">
            <v>OS</v>
          </cell>
          <cell r="I323" t="str">
            <v>OS</v>
          </cell>
          <cell r="J323" t="str">
            <v>OS</v>
          </cell>
          <cell r="K323" t="str">
            <v>OS</v>
          </cell>
          <cell r="L323" t="str">
            <v>OS</v>
          </cell>
          <cell r="M323" t="str">
            <v>OS</v>
          </cell>
          <cell r="N323" t="str">
            <v>OS</v>
          </cell>
          <cell r="O323" t="str">
            <v>OS</v>
          </cell>
          <cell r="P323" t="str">
            <v>OS</v>
          </cell>
          <cell r="Q323" t="str">
            <v>OS</v>
          </cell>
          <cell r="R323" t="str">
            <v>OS</v>
          </cell>
          <cell r="S323" t="str">
            <v>OS</v>
          </cell>
          <cell r="T323" t="str">
            <v>OS</v>
          </cell>
          <cell r="U323" t="str">
            <v>OS</v>
          </cell>
          <cell r="V323" t="str">
            <v>OS</v>
          </cell>
          <cell r="W323" t="str">
            <v>OS</v>
          </cell>
          <cell r="X323" t="str">
            <v>OS</v>
          </cell>
          <cell r="Y323" t="str">
            <v>OS</v>
          </cell>
          <cell r="Z323" t="str">
            <v>OS</v>
          </cell>
          <cell r="AA323" t="str">
            <v>OS</v>
          </cell>
          <cell r="AB323" t="str">
            <v>OS</v>
          </cell>
          <cell r="AC323" t="str">
            <v>OS</v>
          </cell>
          <cell r="AD323" t="str">
            <v>AGM-01-016-015</v>
          </cell>
          <cell r="AE323" t="str">
            <v xml:space="preserve">Raemulan Lands, Inc. </v>
          </cell>
          <cell r="AF323" t="str">
            <v>Agapeya</v>
          </cell>
          <cell r="AG323" t="str">
            <v>AGM</v>
          </cell>
          <cell r="AH323" t="str">
            <v>Eco-High</v>
          </cell>
          <cell r="AI323" t="str">
            <v>West</v>
          </cell>
          <cell r="AJ323" t="str">
            <v>Without LTS</v>
          </cell>
          <cell r="AK323" t="str">
            <v>Unaffected lots</v>
          </cell>
          <cell r="AL323" t="str">
            <v>Unaffected lots</v>
          </cell>
          <cell r="AM323" t="b">
            <v>0</v>
          </cell>
          <cell r="AN323" t="str">
            <v>NO</v>
          </cell>
          <cell r="AO323" t="str">
            <v>B4 2025</v>
          </cell>
          <cell r="AP323">
            <v>70</v>
          </cell>
          <cell r="AQ323" t="str">
            <v>PCS-277865</v>
          </cell>
          <cell r="AR323" t="b">
            <v>1</v>
          </cell>
          <cell r="AS323" t="str">
            <v>Done</v>
          </cell>
          <cell r="AT323" t="str">
            <v>2025 - Batch 5</v>
          </cell>
          <cell r="AU323">
            <v>16</v>
          </cell>
          <cell r="AV323">
            <v>15</v>
          </cell>
          <cell r="AW323" t="str">
            <v>H+L</v>
          </cell>
          <cell r="AX323">
            <v>70</v>
          </cell>
          <cell r="AY323">
            <v>50</v>
          </cell>
          <cell r="AZ323" t="str">
            <v>Duplex</v>
          </cell>
          <cell r="BA323">
            <v>1</v>
          </cell>
          <cell r="BB323" t="str">
            <v>568 - Without Partition</v>
          </cell>
          <cell r="BC323" t="str">
            <v xml:space="preserve">Without Partition </v>
          </cell>
          <cell r="BD323" t="str">
            <v>Slant</v>
          </cell>
          <cell r="BE323" t="str">
            <v xml:space="preserve">Without Partition </v>
          </cell>
          <cell r="BF323" t="str">
            <v>GREEN</v>
          </cell>
          <cell r="BG323">
            <v>2500000</v>
          </cell>
          <cell r="BH323">
            <v>2650000</v>
          </cell>
          <cell r="BI323">
            <v>100000</v>
          </cell>
          <cell r="BJ323">
            <v>2550000</v>
          </cell>
          <cell r="BK323">
            <v>0</v>
          </cell>
          <cell r="BL323">
            <v>2550000</v>
          </cell>
        </row>
        <row r="324">
          <cell r="D324" t="str">
            <v>OS</v>
          </cell>
          <cell r="E324"/>
          <cell r="F324">
            <v>304</v>
          </cell>
          <cell r="G324" t="str">
            <v>UNSOLD</v>
          </cell>
          <cell r="H324" t="str">
            <v>TS</v>
          </cell>
          <cell r="I324" t="str">
            <v>TS</v>
          </cell>
          <cell r="J324" t="str">
            <v>OS</v>
          </cell>
          <cell r="K324" t="str">
            <v>OS</v>
          </cell>
          <cell r="L324" t="str">
            <v>OS</v>
          </cell>
          <cell r="M324" t="str">
            <v>OS</v>
          </cell>
          <cell r="N324" t="str">
            <v>OS</v>
          </cell>
          <cell r="O324" t="str">
            <v>OS</v>
          </cell>
          <cell r="P324" t="str">
            <v>OS</v>
          </cell>
          <cell r="Q324" t="str">
            <v>OS</v>
          </cell>
          <cell r="R324" t="str">
            <v>OS</v>
          </cell>
          <cell r="S324" t="str">
            <v>OS</v>
          </cell>
          <cell r="T324" t="str">
            <v>OS</v>
          </cell>
          <cell r="U324" t="str">
            <v>OS</v>
          </cell>
          <cell r="V324" t="str">
            <v>OS</v>
          </cell>
          <cell r="W324" t="str">
            <v>OS</v>
          </cell>
          <cell r="X324" t="str">
            <v>OS</v>
          </cell>
          <cell r="Y324" t="str">
            <v>OS</v>
          </cell>
          <cell r="Z324" t="str">
            <v>OS</v>
          </cell>
          <cell r="AA324" t="str">
            <v>OS</v>
          </cell>
          <cell r="AB324" t="str">
            <v>OS</v>
          </cell>
          <cell r="AC324" t="str">
            <v>OS</v>
          </cell>
          <cell r="AD324" t="str">
            <v>AGM-01-016-016</v>
          </cell>
          <cell r="AE324" t="str">
            <v xml:space="preserve">Raemulan Lands, Inc. </v>
          </cell>
          <cell r="AF324" t="str">
            <v>Agapeya</v>
          </cell>
          <cell r="AG324" t="str">
            <v>AGM</v>
          </cell>
          <cell r="AH324" t="str">
            <v>Eco-High</v>
          </cell>
          <cell r="AI324" t="str">
            <v>West</v>
          </cell>
          <cell r="AJ324" t="str">
            <v>Without LTS</v>
          </cell>
          <cell r="AK324" t="str">
            <v>Unaffected lots</v>
          </cell>
          <cell r="AL324" t="str">
            <v>Unaffected lots</v>
          </cell>
          <cell r="AM324" t="b">
            <v>0</v>
          </cell>
          <cell r="AN324" t="str">
            <v>NO</v>
          </cell>
          <cell r="AO324" t="str">
            <v>B4 2025</v>
          </cell>
          <cell r="AP324">
            <v>90</v>
          </cell>
          <cell r="AQ324" t="str">
            <v>PCS-277865</v>
          </cell>
          <cell r="AR324" t="b">
            <v>1</v>
          </cell>
          <cell r="AS324" t="str">
            <v>Done</v>
          </cell>
          <cell r="AT324" t="str">
            <v>2025 - Batch 5</v>
          </cell>
          <cell r="AU324">
            <v>16</v>
          </cell>
          <cell r="AV324">
            <v>16</v>
          </cell>
          <cell r="AW324" t="str">
            <v>H+L</v>
          </cell>
          <cell r="AX324">
            <v>90</v>
          </cell>
          <cell r="AY324">
            <v>50</v>
          </cell>
          <cell r="AZ324" t="str">
            <v>Duplex</v>
          </cell>
          <cell r="BA324">
            <v>1</v>
          </cell>
          <cell r="BB324" t="str">
            <v>568 - Without Partition</v>
          </cell>
          <cell r="BC324" t="str">
            <v xml:space="preserve">Without Partition </v>
          </cell>
          <cell r="BD324" t="str">
            <v>Flat</v>
          </cell>
          <cell r="BE324" t="str">
            <v xml:space="preserve">Without Partition </v>
          </cell>
          <cell r="BF324" t="str">
            <v>GREEN</v>
          </cell>
          <cell r="BG324">
            <v>2500000</v>
          </cell>
          <cell r="BH324">
            <v>2950000</v>
          </cell>
          <cell r="BI324">
            <v>100000</v>
          </cell>
          <cell r="BJ324">
            <v>2850000</v>
          </cell>
          <cell r="BK324">
            <v>0</v>
          </cell>
          <cell r="BL324">
            <v>2850000</v>
          </cell>
        </row>
        <row r="325">
          <cell r="D325" t="str">
            <v>OS</v>
          </cell>
          <cell r="E325"/>
          <cell r="F325">
            <v>305</v>
          </cell>
          <cell r="G325" t="str">
            <v>SOLD</v>
          </cell>
          <cell r="H325" t="str">
            <v>OS</v>
          </cell>
          <cell r="I325" t="str">
            <v>OS</v>
          </cell>
          <cell r="J325" t="str">
            <v>OS</v>
          </cell>
          <cell r="K325" t="str">
            <v>OS</v>
          </cell>
          <cell r="L325" t="str">
            <v>OS</v>
          </cell>
          <cell r="M325" t="str">
            <v>OS</v>
          </cell>
          <cell r="N325" t="str">
            <v>OS</v>
          </cell>
          <cell r="O325" t="str">
            <v>OS</v>
          </cell>
          <cell r="P325" t="str">
            <v>OS</v>
          </cell>
          <cell r="Q325" t="str">
            <v>OS</v>
          </cell>
          <cell r="R325" t="str">
            <v>OS</v>
          </cell>
          <cell r="S325" t="str">
            <v>OS</v>
          </cell>
          <cell r="T325" t="str">
            <v>OS</v>
          </cell>
          <cell r="U325" t="str">
            <v>OS</v>
          </cell>
          <cell r="V325" t="str">
            <v>OS</v>
          </cell>
          <cell r="W325" t="str">
            <v>OS</v>
          </cell>
          <cell r="X325" t="str">
            <v>OS</v>
          </cell>
          <cell r="Y325" t="str">
            <v>OS</v>
          </cell>
          <cell r="Z325" t="str">
            <v>OS</v>
          </cell>
          <cell r="AA325" t="str">
            <v>OS</v>
          </cell>
          <cell r="AB325" t="str">
            <v>OS</v>
          </cell>
          <cell r="AC325" t="str">
            <v>OS</v>
          </cell>
          <cell r="AD325" t="str">
            <v>AGM-01-017-001</v>
          </cell>
          <cell r="AE325" t="str">
            <v xml:space="preserve">Raemulan Lands, Inc. </v>
          </cell>
          <cell r="AF325" t="str">
            <v>Agapeya</v>
          </cell>
          <cell r="AG325" t="str">
            <v>AGM</v>
          </cell>
          <cell r="AH325" t="str">
            <v>Eco-High</v>
          </cell>
          <cell r="AI325" t="str">
            <v>West</v>
          </cell>
          <cell r="AJ325" t="str">
            <v>Without LTS</v>
          </cell>
          <cell r="AK325" t="str">
            <v>Unaffected lots</v>
          </cell>
          <cell r="AL325" t="str">
            <v>Unaffected lots</v>
          </cell>
          <cell r="AM325" t="b">
            <v>0</v>
          </cell>
          <cell r="AN325" t="str">
            <v>NO</v>
          </cell>
          <cell r="AO325" t="str">
            <v>B2 2025</v>
          </cell>
          <cell r="AP325">
            <v>97</v>
          </cell>
          <cell r="AQ325" t="str">
            <v>PCS-277865</v>
          </cell>
          <cell r="AR325" t="b">
            <v>1</v>
          </cell>
          <cell r="AS325" t="str">
            <v>Done</v>
          </cell>
          <cell r="AT325" t="str">
            <v>2025 - Batch 3</v>
          </cell>
          <cell r="AU325">
            <v>17</v>
          </cell>
          <cell r="AV325">
            <v>1</v>
          </cell>
          <cell r="AW325" t="str">
            <v>H+L</v>
          </cell>
          <cell r="AX325">
            <v>97</v>
          </cell>
          <cell r="AY325">
            <v>50</v>
          </cell>
          <cell r="AZ325" t="str">
            <v>Duplex</v>
          </cell>
          <cell r="BA325">
            <v>1</v>
          </cell>
          <cell r="BB325" t="str">
            <v>568 - Without Partition</v>
          </cell>
          <cell r="BC325" t="str">
            <v xml:space="preserve">Without Partition </v>
          </cell>
          <cell r="BD325" t="str">
            <v>Slant</v>
          </cell>
          <cell r="BE325" t="str">
            <v xml:space="preserve">Without Partition </v>
          </cell>
          <cell r="BF325" t="str">
            <v>GREEN</v>
          </cell>
          <cell r="BG325">
            <v>2905000</v>
          </cell>
          <cell r="BH325">
            <v>3055000</v>
          </cell>
          <cell r="BI325">
            <v>100000</v>
          </cell>
          <cell r="BJ325">
            <v>2955000</v>
          </cell>
          <cell r="BK325">
            <v>0</v>
          </cell>
          <cell r="BL325">
            <v>2955000</v>
          </cell>
        </row>
        <row r="326">
          <cell r="D326" t="str">
            <v>OS</v>
          </cell>
          <cell r="E326"/>
          <cell r="F326">
            <v>306</v>
          </cell>
          <cell r="G326" t="str">
            <v>SOLD</v>
          </cell>
          <cell r="H326" t="str">
            <v>OS</v>
          </cell>
          <cell r="I326" t="str">
            <v>OS</v>
          </cell>
          <cell r="J326" t="str">
            <v>OS</v>
          </cell>
          <cell r="K326" t="str">
            <v>OS</v>
          </cell>
          <cell r="L326" t="str">
            <v>OS</v>
          </cell>
          <cell r="M326" t="str">
            <v>OS</v>
          </cell>
          <cell r="N326" t="str">
            <v>OS</v>
          </cell>
          <cell r="O326" t="str">
            <v>OS</v>
          </cell>
          <cell r="P326" t="str">
            <v>OS</v>
          </cell>
          <cell r="Q326" t="str">
            <v>OS</v>
          </cell>
          <cell r="R326" t="str">
            <v>OS</v>
          </cell>
          <cell r="S326" t="str">
            <v>OS</v>
          </cell>
          <cell r="T326" t="str">
            <v>OS</v>
          </cell>
          <cell r="U326" t="str">
            <v>OS</v>
          </cell>
          <cell r="V326" t="str">
            <v>OS</v>
          </cell>
          <cell r="W326" t="str">
            <v>OS</v>
          </cell>
          <cell r="X326" t="str">
            <v>OS</v>
          </cell>
          <cell r="Y326" t="str">
            <v>OS</v>
          </cell>
          <cell r="Z326" t="str">
            <v>OS</v>
          </cell>
          <cell r="AA326" t="str">
            <v>OS</v>
          </cell>
          <cell r="AB326" t="str">
            <v>OS</v>
          </cell>
          <cell r="AC326" t="str">
            <v>OS</v>
          </cell>
          <cell r="AD326" t="str">
            <v>AGM-01-017-002</v>
          </cell>
          <cell r="AE326" t="str">
            <v xml:space="preserve">Raemulan Lands, Inc. </v>
          </cell>
          <cell r="AF326" t="str">
            <v>Agapeya</v>
          </cell>
          <cell r="AG326" t="str">
            <v>AGM</v>
          </cell>
          <cell r="AH326" t="str">
            <v>Eco-High</v>
          </cell>
          <cell r="AI326" t="str">
            <v>West</v>
          </cell>
          <cell r="AJ326" t="str">
            <v>Without LTS</v>
          </cell>
          <cell r="AK326" t="str">
            <v>Unaffected lots</v>
          </cell>
          <cell r="AL326" t="str">
            <v>Unaffected lots</v>
          </cell>
          <cell r="AM326" t="b">
            <v>0</v>
          </cell>
          <cell r="AN326" t="str">
            <v>NO</v>
          </cell>
          <cell r="AO326" t="str">
            <v>B2 2025</v>
          </cell>
          <cell r="AP326">
            <v>80</v>
          </cell>
          <cell r="AQ326" t="str">
            <v>PCS-277865</v>
          </cell>
          <cell r="AR326" t="b">
            <v>1</v>
          </cell>
          <cell r="AS326" t="str">
            <v>Done</v>
          </cell>
          <cell r="AT326" t="str">
            <v>2025 - Batch 3</v>
          </cell>
          <cell r="AU326">
            <v>17</v>
          </cell>
          <cell r="AV326">
            <v>2</v>
          </cell>
          <cell r="AW326" t="str">
            <v>H+L</v>
          </cell>
          <cell r="AX326">
            <v>80</v>
          </cell>
          <cell r="AY326">
            <v>50</v>
          </cell>
          <cell r="AZ326" t="str">
            <v>Duplex</v>
          </cell>
          <cell r="BA326">
            <v>1</v>
          </cell>
          <cell r="BB326" t="str">
            <v>568 - Without Partition</v>
          </cell>
          <cell r="BC326" t="str">
            <v xml:space="preserve">Without Partition </v>
          </cell>
          <cell r="BD326" t="str">
            <v>Flat</v>
          </cell>
          <cell r="BE326" t="str">
            <v xml:space="preserve">Without Partition </v>
          </cell>
          <cell r="BF326" t="str">
            <v>GREEN</v>
          </cell>
          <cell r="BG326">
            <v>2500000</v>
          </cell>
          <cell r="BH326">
            <v>2800000</v>
          </cell>
          <cell r="BI326">
            <v>100000</v>
          </cell>
          <cell r="BJ326">
            <v>2700000</v>
          </cell>
          <cell r="BK326">
            <v>0</v>
          </cell>
          <cell r="BL326">
            <v>2700000</v>
          </cell>
        </row>
        <row r="327">
          <cell r="D327" t="str">
            <v>OS</v>
          </cell>
          <cell r="E327"/>
          <cell r="F327">
            <v>307</v>
          </cell>
          <cell r="G327" t="str">
            <v>SOLD</v>
          </cell>
          <cell r="H327" t="str">
            <v>OS</v>
          </cell>
          <cell r="I327" t="str">
            <v>OS</v>
          </cell>
          <cell r="J327" t="str">
            <v>OS</v>
          </cell>
          <cell r="K327" t="str">
            <v>OS</v>
          </cell>
          <cell r="L327" t="str">
            <v>OS</v>
          </cell>
          <cell r="M327" t="str">
            <v>OS</v>
          </cell>
          <cell r="N327" t="str">
            <v>OS</v>
          </cell>
          <cell r="O327" t="str">
            <v>OS</v>
          </cell>
          <cell r="P327" t="str">
            <v>OS</v>
          </cell>
          <cell r="Q327" t="str">
            <v>OS</v>
          </cell>
          <cell r="R327" t="str">
            <v>OS</v>
          </cell>
          <cell r="S327" t="str">
            <v>OS</v>
          </cell>
          <cell r="T327" t="str">
            <v>OS</v>
          </cell>
          <cell r="U327" t="str">
            <v>OS</v>
          </cell>
          <cell r="V327" t="str">
            <v>OS</v>
          </cell>
          <cell r="W327" t="str">
            <v>OS</v>
          </cell>
          <cell r="X327" t="str">
            <v>OS</v>
          </cell>
          <cell r="Y327" t="str">
            <v>OS</v>
          </cell>
          <cell r="Z327" t="str">
            <v>OS</v>
          </cell>
          <cell r="AA327" t="str">
            <v>OS</v>
          </cell>
          <cell r="AB327" t="str">
            <v>OS</v>
          </cell>
          <cell r="AC327" t="str">
            <v>OS</v>
          </cell>
          <cell r="AD327" t="str">
            <v>AGM-01-017-003</v>
          </cell>
          <cell r="AE327" t="str">
            <v xml:space="preserve">Raemulan Lands, Inc. </v>
          </cell>
          <cell r="AF327" t="str">
            <v>Agapeya</v>
          </cell>
          <cell r="AG327" t="str">
            <v>AGM</v>
          </cell>
          <cell r="AH327" t="str">
            <v>Eco-High</v>
          </cell>
          <cell r="AI327" t="str">
            <v>West</v>
          </cell>
          <cell r="AJ327" t="str">
            <v>Without LTS</v>
          </cell>
          <cell r="AK327" t="str">
            <v>Unaffected lots</v>
          </cell>
          <cell r="AL327" t="str">
            <v>Unaffected lots</v>
          </cell>
          <cell r="AM327" t="b">
            <v>0</v>
          </cell>
          <cell r="AN327" t="str">
            <v>NO</v>
          </cell>
          <cell r="AO327" t="str">
            <v>B2 2025</v>
          </cell>
          <cell r="AP327">
            <v>80</v>
          </cell>
          <cell r="AQ327" t="str">
            <v>PCS-277865</v>
          </cell>
          <cell r="AR327" t="b">
            <v>1</v>
          </cell>
          <cell r="AS327" t="str">
            <v>Done</v>
          </cell>
          <cell r="AT327" t="str">
            <v>2025 - Batch 3</v>
          </cell>
          <cell r="AU327">
            <v>17</v>
          </cell>
          <cell r="AV327">
            <v>3</v>
          </cell>
          <cell r="AW327" t="str">
            <v>H+L</v>
          </cell>
          <cell r="AX327">
            <v>80</v>
          </cell>
          <cell r="AY327">
            <v>50</v>
          </cell>
          <cell r="AZ327" t="str">
            <v>Duplex</v>
          </cell>
          <cell r="BA327">
            <v>1</v>
          </cell>
          <cell r="BB327" t="str">
            <v>568 - Without Partition</v>
          </cell>
          <cell r="BC327" t="str">
            <v xml:space="preserve">Without Partition </v>
          </cell>
          <cell r="BD327" t="str">
            <v>Flat</v>
          </cell>
          <cell r="BE327" t="str">
            <v xml:space="preserve">Without Partition </v>
          </cell>
          <cell r="BF327" t="str">
            <v>GREEN</v>
          </cell>
          <cell r="BG327">
            <v>2650000</v>
          </cell>
          <cell r="BH327">
            <v>2800000</v>
          </cell>
          <cell r="BI327">
            <v>100000</v>
          </cell>
          <cell r="BJ327">
            <v>2700000</v>
          </cell>
          <cell r="BK327">
            <v>0</v>
          </cell>
          <cell r="BL327">
            <v>2700000</v>
          </cell>
        </row>
        <row r="328">
          <cell r="D328" t="str">
            <v>OS</v>
          </cell>
          <cell r="E328"/>
          <cell r="F328">
            <v>308</v>
          </cell>
          <cell r="G328" t="str">
            <v>SOLD</v>
          </cell>
          <cell r="H328" t="str">
            <v>OS</v>
          </cell>
          <cell r="I328" t="str">
            <v>OS</v>
          </cell>
          <cell r="J328" t="str">
            <v>OS</v>
          </cell>
          <cell r="K328" t="str">
            <v>OS</v>
          </cell>
          <cell r="L328" t="str">
            <v>OS</v>
          </cell>
          <cell r="M328" t="str">
            <v>OS</v>
          </cell>
          <cell r="N328" t="str">
            <v>OS</v>
          </cell>
          <cell r="O328" t="str">
            <v>OS</v>
          </cell>
          <cell r="P328" t="str">
            <v>OS</v>
          </cell>
          <cell r="Q328" t="str">
            <v>OS</v>
          </cell>
          <cell r="R328" t="str">
            <v>OS</v>
          </cell>
          <cell r="S328" t="str">
            <v>OS</v>
          </cell>
          <cell r="T328" t="str">
            <v>OS</v>
          </cell>
          <cell r="U328" t="str">
            <v>OS</v>
          </cell>
          <cell r="V328" t="str">
            <v>OS</v>
          </cell>
          <cell r="W328" t="str">
            <v>OS</v>
          </cell>
          <cell r="X328" t="str">
            <v>OS</v>
          </cell>
          <cell r="Y328" t="str">
            <v>OS</v>
          </cell>
          <cell r="Z328" t="str">
            <v>OS</v>
          </cell>
          <cell r="AA328" t="str">
            <v>OS</v>
          </cell>
          <cell r="AB328" t="str">
            <v>OS</v>
          </cell>
          <cell r="AC328" t="str">
            <v>OS</v>
          </cell>
          <cell r="AD328" t="str">
            <v>AGM-01-017-004</v>
          </cell>
          <cell r="AE328" t="str">
            <v xml:space="preserve">Raemulan Lands, Inc. </v>
          </cell>
          <cell r="AF328" t="str">
            <v>Agapeya</v>
          </cell>
          <cell r="AG328" t="str">
            <v>AGM</v>
          </cell>
          <cell r="AH328" t="str">
            <v>Eco-High</v>
          </cell>
          <cell r="AI328" t="str">
            <v>West</v>
          </cell>
          <cell r="AJ328" t="str">
            <v>Without LTS</v>
          </cell>
          <cell r="AK328" t="str">
            <v>Unaffected lots</v>
          </cell>
          <cell r="AL328" t="str">
            <v>Unaffected lots</v>
          </cell>
          <cell r="AM328" t="b">
            <v>0</v>
          </cell>
          <cell r="AN328" t="str">
            <v>NO</v>
          </cell>
          <cell r="AO328" t="str">
            <v>B2 2025</v>
          </cell>
          <cell r="AP328">
            <v>98</v>
          </cell>
          <cell r="AQ328" t="str">
            <v>PCS-277865</v>
          </cell>
          <cell r="AR328" t="b">
            <v>1</v>
          </cell>
          <cell r="AS328" t="str">
            <v>Done</v>
          </cell>
          <cell r="AT328" t="str">
            <v>2025 - Batch 3</v>
          </cell>
          <cell r="AU328">
            <v>17</v>
          </cell>
          <cell r="AV328">
            <v>4</v>
          </cell>
          <cell r="AW328" t="str">
            <v>H+L</v>
          </cell>
          <cell r="AX328">
            <v>98</v>
          </cell>
          <cell r="AY328">
            <v>50</v>
          </cell>
          <cell r="AZ328" t="str">
            <v>Duplex</v>
          </cell>
          <cell r="BA328">
            <v>1</v>
          </cell>
          <cell r="BB328" t="str">
            <v>568 - Without Partition</v>
          </cell>
          <cell r="BC328" t="str">
            <v xml:space="preserve">Without Partition </v>
          </cell>
          <cell r="BD328" t="str">
            <v>Slant</v>
          </cell>
          <cell r="BE328" t="str">
            <v xml:space="preserve">Without Partition </v>
          </cell>
          <cell r="BF328" t="str">
            <v>GREEN</v>
          </cell>
          <cell r="BG328">
            <v>2500000</v>
          </cell>
          <cell r="BH328">
            <v>3070000</v>
          </cell>
          <cell r="BI328">
            <v>100000</v>
          </cell>
          <cell r="BJ328">
            <v>2970000</v>
          </cell>
          <cell r="BK328">
            <v>0</v>
          </cell>
          <cell r="BL328">
            <v>2970000</v>
          </cell>
        </row>
        <row r="329">
          <cell r="D329" t="str">
            <v>OS</v>
          </cell>
          <cell r="E329"/>
          <cell r="F329">
            <v>309</v>
          </cell>
          <cell r="G329" t="str">
            <v>SOLD</v>
          </cell>
          <cell r="H329" t="str">
            <v>OS</v>
          </cell>
          <cell r="I329" t="str">
            <v>OS</v>
          </cell>
          <cell r="J329" t="str">
            <v>OS</v>
          </cell>
          <cell r="K329" t="str">
            <v>OS</v>
          </cell>
          <cell r="L329" t="str">
            <v>OS</v>
          </cell>
          <cell r="M329" t="str">
            <v>OS</v>
          </cell>
          <cell r="N329" t="str">
            <v>OS</v>
          </cell>
          <cell r="O329" t="str">
            <v>OS</v>
          </cell>
          <cell r="P329" t="str">
            <v>OS</v>
          </cell>
          <cell r="Q329" t="str">
            <v>OS</v>
          </cell>
          <cell r="R329" t="str">
            <v>OS</v>
          </cell>
          <cell r="S329" t="str">
            <v>OS</v>
          </cell>
          <cell r="T329" t="str">
            <v>OS</v>
          </cell>
          <cell r="U329" t="str">
            <v>OS</v>
          </cell>
          <cell r="V329" t="str">
            <v>OS</v>
          </cell>
          <cell r="W329" t="str">
            <v>OS</v>
          </cell>
          <cell r="X329" t="str">
            <v>OS</v>
          </cell>
          <cell r="Y329" t="str">
            <v>OS</v>
          </cell>
          <cell r="Z329" t="str">
            <v>OS</v>
          </cell>
          <cell r="AA329" t="str">
            <v>OS</v>
          </cell>
          <cell r="AB329" t="str">
            <v>OS</v>
          </cell>
          <cell r="AC329" t="str">
            <v>OS</v>
          </cell>
          <cell r="AD329" t="str">
            <v>AGM-01-017-005</v>
          </cell>
          <cell r="AE329" t="str">
            <v xml:space="preserve">Raemulan Lands, Inc. </v>
          </cell>
          <cell r="AF329" t="str">
            <v>Agapeya</v>
          </cell>
          <cell r="AG329" t="str">
            <v>AGM</v>
          </cell>
          <cell r="AH329" t="str">
            <v>Eco-High</v>
          </cell>
          <cell r="AI329" t="str">
            <v>West</v>
          </cell>
          <cell r="AJ329" t="str">
            <v>Without LTS</v>
          </cell>
          <cell r="AK329" t="str">
            <v>Unaffected lots</v>
          </cell>
          <cell r="AL329" t="str">
            <v>Unaffected lots</v>
          </cell>
          <cell r="AM329" t="b">
            <v>0</v>
          </cell>
          <cell r="AN329" t="str">
            <v>NO</v>
          </cell>
          <cell r="AO329" t="str">
            <v>B2 2025</v>
          </cell>
          <cell r="AP329">
            <v>80</v>
          </cell>
          <cell r="AQ329" t="str">
            <v>PCS-277865</v>
          </cell>
          <cell r="AR329" t="b">
            <v>1</v>
          </cell>
          <cell r="AS329" t="str">
            <v>Done</v>
          </cell>
          <cell r="AT329" t="str">
            <v>2025 - Batch 3</v>
          </cell>
          <cell r="AU329">
            <v>17</v>
          </cell>
          <cell r="AV329">
            <v>5</v>
          </cell>
          <cell r="AW329" t="str">
            <v>H+L</v>
          </cell>
          <cell r="AX329">
            <v>80</v>
          </cell>
          <cell r="AY329">
            <v>50</v>
          </cell>
          <cell r="AZ329" t="str">
            <v>Duplex</v>
          </cell>
          <cell r="BA329">
            <v>1</v>
          </cell>
          <cell r="BB329" t="str">
            <v>568 - Without Partition</v>
          </cell>
          <cell r="BC329" t="str">
            <v xml:space="preserve">Without Partition </v>
          </cell>
          <cell r="BD329" t="str">
            <v>Flat</v>
          </cell>
          <cell r="BE329" t="str">
            <v xml:space="preserve">Without Partition </v>
          </cell>
          <cell r="BF329" t="str">
            <v>PINK</v>
          </cell>
          <cell r="BG329">
            <v>2650000</v>
          </cell>
          <cell r="BH329">
            <v>2800000</v>
          </cell>
          <cell r="BI329">
            <v>100000</v>
          </cell>
          <cell r="BJ329">
            <v>2700000</v>
          </cell>
          <cell r="BK329">
            <v>0</v>
          </cell>
          <cell r="BL329">
            <v>2700000</v>
          </cell>
        </row>
        <row r="330">
          <cell r="D330" t="str">
            <v>OS</v>
          </cell>
          <cell r="E330"/>
          <cell r="F330">
            <v>310</v>
          </cell>
          <cell r="G330" t="str">
            <v>SOLD</v>
          </cell>
          <cell r="H330" t="str">
            <v>OS</v>
          </cell>
          <cell r="I330" t="str">
            <v>OS</v>
          </cell>
          <cell r="J330" t="str">
            <v>OS</v>
          </cell>
          <cell r="K330" t="str">
            <v>OS</v>
          </cell>
          <cell r="L330" t="str">
            <v>OS</v>
          </cell>
          <cell r="M330" t="str">
            <v>OS</v>
          </cell>
          <cell r="N330" t="str">
            <v>OS</v>
          </cell>
          <cell r="O330" t="str">
            <v>OS</v>
          </cell>
          <cell r="P330" t="str">
            <v>OS</v>
          </cell>
          <cell r="Q330" t="str">
            <v>OS</v>
          </cell>
          <cell r="R330" t="str">
            <v>OS</v>
          </cell>
          <cell r="S330" t="str">
            <v>OS</v>
          </cell>
          <cell r="T330" t="str">
            <v>OS</v>
          </cell>
          <cell r="U330" t="str">
            <v>OS</v>
          </cell>
          <cell r="V330" t="str">
            <v>OS</v>
          </cell>
          <cell r="W330" t="str">
            <v>OS</v>
          </cell>
          <cell r="X330" t="str">
            <v>OS</v>
          </cell>
          <cell r="Y330" t="str">
            <v>OS</v>
          </cell>
          <cell r="Z330" t="str">
            <v>OS</v>
          </cell>
          <cell r="AA330" t="str">
            <v>OS</v>
          </cell>
          <cell r="AB330" t="str">
            <v>OS</v>
          </cell>
          <cell r="AC330" t="str">
            <v>OS</v>
          </cell>
          <cell r="AD330" t="str">
            <v>AGM-01-017-006</v>
          </cell>
          <cell r="AE330" t="str">
            <v xml:space="preserve">Raemulan Lands, Inc. </v>
          </cell>
          <cell r="AF330" t="str">
            <v>Agapeya</v>
          </cell>
          <cell r="AG330" t="str">
            <v>AGM</v>
          </cell>
          <cell r="AH330" t="str">
            <v>Eco-High</v>
          </cell>
          <cell r="AI330" t="str">
            <v>West</v>
          </cell>
          <cell r="AJ330" t="str">
            <v>Without LTS</v>
          </cell>
          <cell r="AK330" t="str">
            <v>Unaffected lots</v>
          </cell>
          <cell r="AL330" t="str">
            <v>Unaffected lots</v>
          </cell>
          <cell r="AM330" t="b">
            <v>0</v>
          </cell>
          <cell r="AN330" t="str">
            <v>NO</v>
          </cell>
          <cell r="AO330" t="str">
            <v>B2 2025</v>
          </cell>
          <cell r="AP330">
            <v>70</v>
          </cell>
          <cell r="AQ330" t="str">
            <v>PCS-277865</v>
          </cell>
          <cell r="AR330" t="b">
            <v>1</v>
          </cell>
          <cell r="AS330" t="str">
            <v>Done</v>
          </cell>
          <cell r="AT330" t="str">
            <v>2025 - Batch 3</v>
          </cell>
          <cell r="AU330">
            <v>17</v>
          </cell>
          <cell r="AV330">
            <v>6</v>
          </cell>
          <cell r="AW330" t="str">
            <v>H+L</v>
          </cell>
          <cell r="AX330">
            <v>70</v>
          </cell>
          <cell r="AY330">
            <v>50</v>
          </cell>
          <cell r="AZ330" t="str">
            <v>Duplex</v>
          </cell>
          <cell r="BA330">
            <v>1</v>
          </cell>
          <cell r="BB330" t="str">
            <v>568 - Without Partition</v>
          </cell>
          <cell r="BC330" t="str">
            <v xml:space="preserve">Without Partition </v>
          </cell>
          <cell r="BD330" t="str">
            <v>Slant</v>
          </cell>
          <cell r="BE330" t="str">
            <v xml:space="preserve">Without Partition </v>
          </cell>
          <cell r="BF330" t="str">
            <v>PINK</v>
          </cell>
          <cell r="BG330">
            <v>2500000</v>
          </cell>
          <cell r="BH330">
            <v>2650000</v>
          </cell>
          <cell r="BI330">
            <v>100000</v>
          </cell>
          <cell r="BJ330">
            <v>2550000</v>
          </cell>
          <cell r="BK330">
            <v>0</v>
          </cell>
          <cell r="BL330">
            <v>2550000</v>
          </cell>
        </row>
        <row r="331">
          <cell r="D331" t="str">
            <v>OS</v>
          </cell>
          <cell r="E331"/>
          <cell r="F331">
            <v>311</v>
          </cell>
          <cell r="G331" t="str">
            <v>SOLD</v>
          </cell>
          <cell r="H331" t="str">
            <v>OS</v>
          </cell>
          <cell r="I331" t="str">
            <v>OS</v>
          </cell>
          <cell r="J331" t="str">
            <v>OS</v>
          </cell>
          <cell r="K331" t="str">
            <v>OS</v>
          </cell>
          <cell r="L331" t="str">
            <v>OS</v>
          </cell>
          <cell r="M331" t="str">
            <v>OS</v>
          </cell>
          <cell r="N331" t="str">
            <v>OS</v>
          </cell>
          <cell r="O331" t="str">
            <v>OS</v>
          </cell>
          <cell r="P331" t="str">
            <v>OS</v>
          </cell>
          <cell r="Q331" t="str">
            <v>OS</v>
          </cell>
          <cell r="R331" t="str">
            <v>OS</v>
          </cell>
          <cell r="S331" t="str">
            <v>OS</v>
          </cell>
          <cell r="T331" t="str">
            <v>OS</v>
          </cell>
          <cell r="U331" t="str">
            <v>OS</v>
          </cell>
          <cell r="V331" t="str">
            <v>OS</v>
          </cell>
          <cell r="W331" t="str">
            <v>OS</v>
          </cell>
          <cell r="X331" t="str">
            <v>OS</v>
          </cell>
          <cell r="Y331" t="str">
            <v>OS</v>
          </cell>
          <cell r="Z331" t="str">
            <v>OS</v>
          </cell>
          <cell r="AA331" t="str">
            <v>OS</v>
          </cell>
          <cell r="AB331" t="str">
            <v>OS</v>
          </cell>
          <cell r="AC331" t="str">
            <v>OS</v>
          </cell>
          <cell r="AD331" t="str">
            <v>AGM-01-017-007</v>
          </cell>
          <cell r="AE331" t="str">
            <v xml:space="preserve">Raemulan Lands, Inc. </v>
          </cell>
          <cell r="AF331" t="str">
            <v>Agapeya</v>
          </cell>
          <cell r="AG331" t="str">
            <v>AGM</v>
          </cell>
          <cell r="AH331" t="str">
            <v>Eco-High</v>
          </cell>
          <cell r="AI331" t="str">
            <v>West</v>
          </cell>
          <cell r="AJ331" t="str">
            <v>Without LTS</v>
          </cell>
          <cell r="AK331" t="str">
            <v>Unaffected lots</v>
          </cell>
          <cell r="AL331" t="str">
            <v>Unaffected lots</v>
          </cell>
          <cell r="AM331" t="b">
            <v>1</v>
          </cell>
          <cell r="AN331" t="str">
            <v>NO</v>
          </cell>
          <cell r="AO331" t="str">
            <v>B2 2025</v>
          </cell>
          <cell r="AP331">
            <v>70</v>
          </cell>
          <cell r="AQ331" t="str">
            <v>PCS-04-034407</v>
          </cell>
          <cell r="AR331" t="b">
            <v>1</v>
          </cell>
          <cell r="AS331" t="str">
            <v>Done</v>
          </cell>
          <cell r="AT331" t="str">
            <v>2025 - Batch 3</v>
          </cell>
          <cell r="AU331">
            <v>17</v>
          </cell>
          <cell r="AV331">
            <v>7</v>
          </cell>
          <cell r="AW331" t="str">
            <v>H+L</v>
          </cell>
          <cell r="AX331">
            <v>70</v>
          </cell>
          <cell r="AY331">
            <v>50</v>
          </cell>
          <cell r="AZ331" t="str">
            <v>Duplex</v>
          </cell>
          <cell r="BA331">
            <v>1</v>
          </cell>
          <cell r="BB331" t="str">
            <v>568 - Without Partition</v>
          </cell>
          <cell r="BC331" t="str">
            <v xml:space="preserve">Without Partition </v>
          </cell>
          <cell r="BD331" t="str">
            <v>Slant</v>
          </cell>
          <cell r="BE331" t="str">
            <v xml:space="preserve">Without Partition </v>
          </cell>
          <cell r="BF331" t="str">
            <v>PINK</v>
          </cell>
          <cell r="BG331">
            <v>2500000</v>
          </cell>
          <cell r="BH331">
            <v>2650000</v>
          </cell>
          <cell r="BI331">
            <v>100000</v>
          </cell>
          <cell r="BJ331">
            <v>2550000</v>
          </cell>
          <cell r="BK331">
            <v>0</v>
          </cell>
          <cell r="BL331">
            <v>2550000</v>
          </cell>
        </row>
        <row r="332">
          <cell r="D332" t="str">
            <v>OS</v>
          </cell>
          <cell r="E332"/>
          <cell r="F332">
            <v>312</v>
          </cell>
          <cell r="G332" t="str">
            <v>UNSOLD</v>
          </cell>
          <cell r="H332" t="str">
            <v>TS</v>
          </cell>
          <cell r="I332" t="str">
            <v>TS</v>
          </cell>
          <cell r="J332" t="str">
            <v>OS</v>
          </cell>
          <cell r="K332" t="str">
            <v>OS</v>
          </cell>
          <cell r="L332" t="str">
            <v>OS</v>
          </cell>
          <cell r="M332" t="str">
            <v>OS</v>
          </cell>
          <cell r="N332" t="str">
            <v>OS</v>
          </cell>
          <cell r="O332" t="str">
            <v>OS</v>
          </cell>
          <cell r="P332" t="str">
            <v>OS</v>
          </cell>
          <cell r="Q332" t="str">
            <v>OS</v>
          </cell>
          <cell r="R332" t="str">
            <v>OS</v>
          </cell>
          <cell r="S332" t="str">
            <v>OS</v>
          </cell>
          <cell r="T332" t="str">
            <v>OS</v>
          </cell>
          <cell r="U332" t="str">
            <v>OS</v>
          </cell>
          <cell r="V332" t="str">
            <v>OS</v>
          </cell>
          <cell r="W332" t="str">
            <v>OS</v>
          </cell>
          <cell r="X332" t="str">
            <v>OS</v>
          </cell>
          <cell r="Y332" t="str">
            <v>OS</v>
          </cell>
          <cell r="Z332" t="str">
            <v>OS</v>
          </cell>
          <cell r="AA332" t="str">
            <v>OS</v>
          </cell>
          <cell r="AB332" t="str">
            <v>OS</v>
          </cell>
          <cell r="AC332" t="str">
            <v>OS</v>
          </cell>
          <cell r="AD332" t="str">
            <v>AGM-01-017-008</v>
          </cell>
          <cell r="AE332" t="str">
            <v xml:space="preserve">Raemulan Lands, Inc. </v>
          </cell>
          <cell r="AF332" t="str">
            <v>Agapeya</v>
          </cell>
          <cell r="AG332" t="str">
            <v>AGM</v>
          </cell>
          <cell r="AH332" t="str">
            <v>Eco-High</v>
          </cell>
          <cell r="AI332" t="str">
            <v>West</v>
          </cell>
          <cell r="AJ332" t="str">
            <v>Without LTS</v>
          </cell>
          <cell r="AK332" t="str">
            <v>Unaffected lots</v>
          </cell>
          <cell r="AL332" t="str">
            <v>Unaffected lots</v>
          </cell>
          <cell r="AM332" t="b">
            <v>1</v>
          </cell>
          <cell r="AN332" t="str">
            <v>NO</v>
          </cell>
          <cell r="AO332" t="str">
            <v>B2 2025</v>
          </cell>
          <cell r="AP332">
            <v>80</v>
          </cell>
          <cell r="AQ332" t="str">
            <v>PCS-04-034407</v>
          </cell>
          <cell r="AR332" t="b">
            <v>1</v>
          </cell>
          <cell r="AS332" t="str">
            <v>Done</v>
          </cell>
          <cell r="AT332" t="str">
            <v>2025 - Batch 3</v>
          </cell>
          <cell r="AU332">
            <v>17</v>
          </cell>
          <cell r="AV332">
            <v>8</v>
          </cell>
          <cell r="AW332" t="str">
            <v>H+L</v>
          </cell>
          <cell r="AX332">
            <v>80</v>
          </cell>
          <cell r="AY332">
            <v>50</v>
          </cell>
          <cell r="AZ332" t="str">
            <v>Duplex</v>
          </cell>
          <cell r="BA332">
            <v>1</v>
          </cell>
          <cell r="BB332" t="str">
            <v>568 - Without Partition</v>
          </cell>
          <cell r="BC332" t="str">
            <v xml:space="preserve">Without Partition </v>
          </cell>
          <cell r="BD332" t="str">
            <v>Flat</v>
          </cell>
          <cell r="BE332" t="str">
            <v xml:space="preserve">Without Partition </v>
          </cell>
          <cell r="BF332" t="str">
            <v>PINK</v>
          </cell>
          <cell r="BG332">
            <v>2500000</v>
          </cell>
          <cell r="BH332">
            <v>2800000</v>
          </cell>
          <cell r="BI332">
            <v>100000</v>
          </cell>
          <cell r="BJ332">
            <v>2700000</v>
          </cell>
          <cell r="BK332">
            <v>0</v>
          </cell>
          <cell r="BL332">
            <v>2700000</v>
          </cell>
        </row>
        <row r="333">
          <cell r="D333" t="str">
            <v>OS</v>
          </cell>
          <cell r="E333"/>
          <cell r="F333">
            <v>313</v>
          </cell>
          <cell r="G333" t="str">
            <v>CLOSED</v>
          </cell>
          <cell r="H333" t="str">
            <v>TS</v>
          </cell>
          <cell r="I333" t="str">
            <v>TS</v>
          </cell>
          <cell r="J333" t="str">
            <v>TS</v>
          </cell>
          <cell r="K333" t="str">
            <v>TS</v>
          </cell>
          <cell r="L333" t="str">
            <v>TS</v>
          </cell>
          <cell r="M333" t="str">
            <v>TS</v>
          </cell>
          <cell r="N333" t="str">
            <v>OS</v>
          </cell>
          <cell r="O333" t="str">
            <v>OS</v>
          </cell>
          <cell r="P333" t="str">
            <v>OS</v>
          </cell>
          <cell r="Q333" t="str">
            <v>OS</v>
          </cell>
          <cell r="R333" t="str">
            <v>OS</v>
          </cell>
          <cell r="S333" t="str">
            <v>OS</v>
          </cell>
          <cell r="T333" t="str">
            <v>OS</v>
          </cell>
          <cell r="U333" t="str">
            <v>OS</v>
          </cell>
          <cell r="V333" t="str">
            <v>OS</v>
          </cell>
          <cell r="W333" t="str">
            <v>OS</v>
          </cell>
          <cell r="X333" t="str">
            <v>OS</v>
          </cell>
          <cell r="Y333" t="str">
            <v>OS</v>
          </cell>
          <cell r="Z333" t="str">
            <v>OS</v>
          </cell>
          <cell r="AA333" t="str">
            <v>OS</v>
          </cell>
          <cell r="AB333" t="str">
            <v>OS</v>
          </cell>
          <cell r="AC333" t="str">
            <v>OS</v>
          </cell>
          <cell r="AD333" t="str">
            <v>AGM-01-017-009</v>
          </cell>
          <cell r="AE333" t="str">
            <v xml:space="preserve">Raemulan Lands, Inc. </v>
          </cell>
          <cell r="AF333" t="str">
            <v>Agapeya</v>
          </cell>
          <cell r="AG333" t="str">
            <v>AGM</v>
          </cell>
          <cell r="AH333" t="str">
            <v>Eco-High</v>
          </cell>
          <cell r="AI333" t="str">
            <v>West</v>
          </cell>
          <cell r="AJ333" t="str">
            <v>Without LTS</v>
          </cell>
          <cell r="AK333" t="str">
            <v>Unaffected lots</v>
          </cell>
          <cell r="AL333" t="str">
            <v>Unaffected lots</v>
          </cell>
          <cell r="AM333" t="b">
            <v>1</v>
          </cell>
          <cell r="AN333" t="str">
            <v>NO</v>
          </cell>
          <cell r="AO333" t="str">
            <v>B2 - Lot Only</v>
          </cell>
          <cell r="AP333">
            <v>102</v>
          </cell>
          <cell r="AQ333" t="str">
            <v>PCS-04-034407</v>
          </cell>
          <cell r="AR333" t="b">
            <v>1</v>
          </cell>
          <cell r="AS333" t="str">
            <v>Done</v>
          </cell>
          <cell r="AT333" t="str">
            <v>Lot Only - N/A</v>
          </cell>
          <cell r="AU333">
            <v>17</v>
          </cell>
          <cell r="AV333">
            <v>9</v>
          </cell>
          <cell r="AW333" t="str">
            <v>LO</v>
          </cell>
          <cell r="AX333">
            <v>102</v>
          </cell>
          <cell r="AY333" t="str">
            <v>N/A</v>
          </cell>
          <cell r="AZ333" t="str">
            <v>Lot Only</v>
          </cell>
          <cell r="BA333" t="str">
            <v>NA</v>
          </cell>
          <cell r="BB333" t="str">
            <v>N/A</v>
          </cell>
          <cell r="BC333" t="str">
            <v>N/A - LOT ONLY</v>
          </cell>
          <cell r="BD333" t="str">
            <v>-</v>
          </cell>
          <cell r="BE333" t="str">
            <v>N/A - LOT ONLY</v>
          </cell>
          <cell r="BF333" t="str">
            <v>N/A - LOT ONLY</v>
          </cell>
          <cell r="BG333">
            <v>2500000</v>
          </cell>
          <cell r="BH333">
            <v>1630000</v>
          </cell>
          <cell r="BI333">
            <v>100000</v>
          </cell>
          <cell r="BJ333">
            <v>1530000</v>
          </cell>
          <cell r="BK333">
            <v>163928.57142857142</v>
          </cell>
          <cell r="BL333">
            <v>1366071.4285714286</v>
          </cell>
        </row>
        <row r="334">
          <cell r="D334" t="str">
            <v>OS</v>
          </cell>
          <cell r="E334"/>
          <cell r="F334">
            <v>314</v>
          </cell>
          <cell r="G334" t="str">
            <v>SOLD</v>
          </cell>
          <cell r="H334" t="str">
            <v>OS</v>
          </cell>
          <cell r="I334" t="str">
            <v>OS</v>
          </cell>
          <cell r="J334" t="str">
            <v>OS</v>
          </cell>
          <cell r="K334" t="str">
            <v>OS</v>
          </cell>
          <cell r="L334" t="str">
            <v>OS</v>
          </cell>
          <cell r="M334" t="str">
            <v>OS</v>
          </cell>
          <cell r="N334" t="str">
            <v>OS</v>
          </cell>
          <cell r="O334" t="str">
            <v>OS</v>
          </cell>
          <cell r="P334" t="str">
            <v>OS</v>
          </cell>
          <cell r="Q334" t="str">
            <v>OS</v>
          </cell>
          <cell r="R334" t="str">
            <v>OS</v>
          </cell>
          <cell r="S334" t="str">
            <v>OS</v>
          </cell>
          <cell r="T334" t="str">
            <v>OS</v>
          </cell>
          <cell r="U334" t="str">
            <v>OS</v>
          </cell>
          <cell r="V334" t="str">
            <v>OS</v>
          </cell>
          <cell r="W334" t="str">
            <v>OS</v>
          </cell>
          <cell r="X334" t="str">
            <v>OS</v>
          </cell>
          <cell r="Y334" t="str">
            <v>OS</v>
          </cell>
          <cell r="Z334" t="str">
            <v>OS</v>
          </cell>
          <cell r="AA334" t="str">
            <v>OS</v>
          </cell>
          <cell r="AB334" t="str">
            <v>OS</v>
          </cell>
          <cell r="AC334" t="str">
            <v>OS</v>
          </cell>
          <cell r="AD334" t="str">
            <v>AGM-01-018-001</v>
          </cell>
          <cell r="AE334" t="str">
            <v xml:space="preserve">Raemulan Lands, Inc. </v>
          </cell>
          <cell r="AF334" t="str">
            <v>Agapeya</v>
          </cell>
          <cell r="AG334" t="str">
            <v>AGM</v>
          </cell>
          <cell r="AH334" t="str">
            <v>Eco-High</v>
          </cell>
          <cell r="AI334" t="str">
            <v>West</v>
          </cell>
          <cell r="AJ334" t="str">
            <v>Without LTS</v>
          </cell>
          <cell r="AK334" t="str">
            <v>Unaffected lots</v>
          </cell>
          <cell r="AL334" t="str">
            <v>Unaffected lots</v>
          </cell>
          <cell r="AM334" t="b">
            <v>0</v>
          </cell>
          <cell r="AN334" t="str">
            <v>NO</v>
          </cell>
          <cell r="AO334" t="str">
            <v>B3 2025</v>
          </cell>
          <cell r="AP334">
            <v>97</v>
          </cell>
          <cell r="AQ334" t="str">
            <v>PCS-277865</v>
          </cell>
          <cell r="AR334" t="b">
            <v>1</v>
          </cell>
          <cell r="AS334" t="str">
            <v>Done</v>
          </cell>
          <cell r="AT334" t="str">
            <v>2025 - Batch 3</v>
          </cell>
          <cell r="AU334">
            <v>18</v>
          </cell>
          <cell r="AV334">
            <v>1</v>
          </cell>
          <cell r="AW334" t="str">
            <v>H+L</v>
          </cell>
          <cell r="AX334">
            <v>97</v>
          </cell>
          <cell r="AY334">
            <v>50</v>
          </cell>
          <cell r="AZ334" t="str">
            <v>Duplex</v>
          </cell>
          <cell r="BA334">
            <v>1</v>
          </cell>
          <cell r="BB334" t="str">
            <v>568 - Without Partition</v>
          </cell>
          <cell r="BC334" t="str">
            <v xml:space="preserve">Without Partition </v>
          </cell>
          <cell r="BD334" t="str">
            <v>Flat</v>
          </cell>
          <cell r="BE334" t="str">
            <v xml:space="preserve">Without Partition </v>
          </cell>
          <cell r="BF334" t="str">
            <v>YELLOW</v>
          </cell>
          <cell r="BG334">
            <v>2500000</v>
          </cell>
          <cell r="BH334">
            <v>3055000</v>
          </cell>
          <cell r="BI334">
            <v>100000</v>
          </cell>
          <cell r="BJ334">
            <v>2955000</v>
          </cell>
          <cell r="BK334">
            <v>0</v>
          </cell>
          <cell r="BL334">
            <v>2955000</v>
          </cell>
        </row>
        <row r="335">
          <cell r="D335" t="str">
            <v>OS</v>
          </cell>
          <cell r="E335"/>
          <cell r="F335">
            <v>315</v>
          </cell>
          <cell r="G335" t="str">
            <v>SOLD</v>
          </cell>
          <cell r="H335" t="str">
            <v>TS</v>
          </cell>
          <cell r="I335" t="str">
            <v>TS</v>
          </cell>
          <cell r="J335" t="str">
            <v>OS</v>
          </cell>
          <cell r="K335" t="str">
            <v>OS</v>
          </cell>
          <cell r="L335" t="str">
            <v>OS</v>
          </cell>
          <cell r="M335" t="str">
            <v>OS</v>
          </cell>
          <cell r="N335" t="str">
            <v>OS</v>
          </cell>
          <cell r="O335" t="str">
            <v>OS</v>
          </cell>
          <cell r="P335" t="str">
            <v>OS</v>
          </cell>
          <cell r="Q335" t="str">
            <v>OS</v>
          </cell>
          <cell r="R335" t="str">
            <v>OS</v>
          </cell>
          <cell r="S335" t="str">
            <v>OS</v>
          </cell>
          <cell r="T335" t="str">
            <v>OS</v>
          </cell>
          <cell r="U335" t="str">
            <v>OS</v>
          </cell>
          <cell r="V335" t="str">
            <v>OS</v>
          </cell>
          <cell r="W335" t="str">
            <v>OS</v>
          </cell>
          <cell r="X335" t="str">
            <v>OS</v>
          </cell>
          <cell r="Y335" t="str">
            <v>OS</v>
          </cell>
          <cell r="Z335" t="str">
            <v>OS</v>
          </cell>
          <cell r="AA335" t="str">
            <v>OS</v>
          </cell>
          <cell r="AB335" t="str">
            <v>OS</v>
          </cell>
          <cell r="AC335" t="str">
            <v>OS</v>
          </cell>
          <cell r="AD335" t="str">
            <v>AGM-01-018-002</v>
          </cell>
          <cell r="AE335" t="str">
            <v xml:space="preserve">Raemulan Lands, Inc. </v>
          </cell>
          <cell r="AF335" t="str">
            <v>Agapeya</v>
          </cell>
          <cell r="AG335" t="str">
            <v>AGM</v>
          </cell>
          <cell r="AH335" t="str">
            <v>Eco-High</v>
          </cell>
          <cell r="AI335" t="str">
            <v>West</v>
          </cell>
          <cell r="AJ335" t="str">
            <v>Without LTS</v>
          </cell>
          <cell r="AK335" t="str">
            <v>Unaffected lots</v>
          </cell>
          <cell r="AL335" t="str">
            <v>Unaffected lots</v>
          </cell>
          <cell r="AM335" t="b">
            <v>0</v>
          </cell>
          <cell r="AN335" t="str">
            <v>NO</v>
          </cell>
          <cell r="AO335" t="str">
            <v>B3 2025</v>
          </cell>
          <cell r="AP335">
            <v>80</v>
          </cell>
          <cell r="AQ335" t="str">
            <v>PCS-277865</v>
          </cell>
          <cell r="AR335" t="b">
            <v>1</v>
          </cell>
          <cell r="AS335" t="str">
            <v>Done</v>
          </cell>
          <cell r="AT335" t="str">
            <v>2025 - Batch 3</v>
          </cell>
          <cell r="AU335">
            <v>18</v>
          </cell>
          <cell r="AV335">
            <v>2</v>
          </cell>
          <cell r="AW335" t="str">
            <v>H+L</v>
          </cell>
          <cell r="AX335">
            <v>80</v>
          </cell>
          <cell r="AY335">
            <v>50</v>
          </cell>
          <cell r="AZ335" t="str">
            <v>Duplex</v>
          </cell>
          <cell r="BA335">
            <v>1</v>
          </cell>
          <cell r="BB335" t="str">
            <v>568 - Without Partition</v>
          </cell>
          <cell r="BC335" t="str">
            <v xml:space="preserve">Without Partition </v>
          </cell>
          <cell r="BD335" t="str">
            <v>Slant</v>
          </cell>
          <cell r="BE335" t="str">
            <v xml:space="preserve">Without Partition </v>
          </cell>
          <cell r="BF335" t="str">
            <v>YELLOW</v>
          </cell>
          <cell r="BG335">
            <v>2500000</v>
          </cell>
          <cell r="BH335">
            <v>2800000</v>
          </cell>
          <cell r="BI335">
            <v>100000</v>
          </cell>
          <cell r="BJ335">
            <v>2700000</v>
          </cell>
          <cell r="BK335">
            <v>0</v>
          </cell>
          <cell r="BL335">
            <v>2700000</v>
          </cell>
        </row>
        <row r="336">
          <cell r="D336" t="str">
            <v>OS</v>
          </cell>
          <cell r="E336"/>
          <cell r="F336">
            <v>316</v>
          </cell>
          <cell r="G336" t="str">
            <v>SOLD</v>
          </cell>
          <cell r="H336" t="str">
            <v>OS</v>
          </cell>
          <cell r="I336" t="str">
            <v>OS</v>
          </cell>
          <cell r="J336" t="str">
            <v>OS</v>
          </cell>
          <cell r="K336" t="str">
            <v>OS</v>
          </cell>
          <cell r="L336" t="str">
            <v>OS</v>
          </cell>
          <cell r="M336" t="str">
            <v>OS</v>
          </cell>
          <cell r="N336" t="str">
            <v>OS</v>
          </cell>
          <cell r="O336" t="str">
            <v>OS</v>
          </cell>
          <cell r="P336" t="str">
            <v>OS</v>
          </cell>
          <cell r="Q336" t="str">
            <v>OS</v>
          </cell>
          <cell r="R336" t="str">
            <v>OS</v>
          </cell>
          <cell r="S336" t="str">
            <v>OS</v>
          </cell>
          <cell r="T336" t="str">
            <v>OS</v>
          </cell>
          <cell r="U336" t="str">
            <v>OS</v>
          </cell>
          <cell r="V336" t="str">
            <v>OS</v>
          </cell>
          <cell r="W336" t="str">
            <v>OS</v>
          </cell>
          <cell r="X336" t="str">
            <v>OS</v>
          </cell>
          <cell r="Y336" t="str">
            <v>OS</v>
          </cell>
          <cell r="Z336" t="str">
            <v>OS</v>
          </cell>
          <cell r="AA336" t="str">
            <v>OS</v>
          </cell>
          <cell r="AB336" t="str">
            <v>OS</v>
          </cell>
          <cell r="AC336" t="str">
            <v>OS</v>
          </cell>
          <cell r="AD336" t="str">
            <v>AGM-01-018-003</v>
          </cell>
          <cell r="AE336" t="str">
            <v xml:space="preserve">Raemulan Lands, Inc. </v>
          </cell>
          <cell r="AF336" t="str">
            <v>Agapeya</v>
          </cell>
          <cell r="AG336" t="str">
            <v>AGM</v>
          </cell>
          <cell r="AH336" t="str">
            <v>Eco-High</v>
          </cell>
          <cell r="AI336" t="str">
            <v>West</v>
          </cell>
          <cell r="AJ336" t="str">
            <v>Without LTS</v>
          </cell>
          <cell r="AK336" t="str">
            <v>Unaffected lots</v>
          </cell>
          <cell r="AL336" t="str">
            <v>Unaffected lots</v>
          </cell>
          <cell r="AM336" t="b">
            <v>0</v>
          </cell>
          <cell r="AN336" t="str">
            <v>NO</v>
          </cell>
          <cell r="AO336" t="str">
            <v>B3 2025</v>
          </cell>
          <cell r="AP336">
            <v>80</v>
          </cell>
          <cell r="AQ336" t="str">
            <v>PCS-277865</v>
          </cell>
          <cell r="AR336" t="b">
            <v>1</v>
          </cell>
          <cell r="AS336" t="str">
            <v>Done</v>
          </cell>
          <cell r="AT336" t="str">
            <v>2025 - Batch 3</v>
          </cell>
          <cell r="AU336">
            <v>18</v>
          </cell>
          <cell r="AV336">
            <v>3</v>
          </cell>
          <cell r="AW336" t="str">
            <v>H+L</v>
          </cell>
          <cell r="AX336">
            <v>80</v>
          </cell>
          <cell r="AY336">
            <v>50</v>
          </cell>
          <cell r="AZ336" t="str">
            <v>Duplex</v>
          </cell>
          <cell r="BA336">
            <v>1</v>
          </cell>
          <cell r="BB336" t="str">
            <v>568 - Without Partition</v>
          </cell>
          <cell r="BC336" t="str">
            <v xml:space="preserve">Without Partition </v>
          </cell>
          <cell r="BD336" t="str">
            <v>Slant</v>
          </cell>
          <cell r="BE336" t="str">
            <v xml:space="preserve">Without Partition </v>
          </cell>
          <cell r="BF336" t="str">
            <v>YELLOW</v>
          </cell>
          <cell r="BG336">
            <v>2500000</v>
          </cell>
          <cell r="BH336">
            <v>2800000</v>
          </cell>
          <cell r="BI336">
            <v>100000</v>
          </cell>
          <cell r="BJ336">
            <v>2700000</v>
          </cell>
          <cell r="BK336">
            <v>0</v>
          </cell>
          <cell r="BL336">
            <v>2700000</v>
          </cell>
        </row>
        <row r="337">
          <cell r="D337" t="str">
            <v>OS</v>
          </cell>
          <cell r="E337"/>
          <cell r="F337">
            <v>317</v>
          </cell>
          <cell r="G337" t="str">
            <v>SOLD</v>
          </cell>
          <cell r="H337" t="str">
            <v>OS</v>
          </cell>
          <cell r="I337" t="str">
            <v>OS</v>
          </cell>
          <cell r="J337" t="str">
            <v>OS</v>
          </cell>
          <cell r="K337" t="str">
            <v>OS</v>
          </cell>
          <cell r="L337" t="str">
            <v>OS</v>
          </cell>
          <cell r="M337" t="str">
            <v>OS</v>
          </cell>
          <cell r="N337" t="str">
            <v>OS</v>
          </cell>
          <cell r="O337" t="str">
            <v>OS</v>
          </cell>
          <cell r="P337" t="str">
            <v>OS</v>
          </cell>
          <cell r="Q337" t="str">
            <v>OS</v>
          </cell>
          <cell r="R337" t="str">
            <v>OS</v>
          </cell>
          <cell r="S337" t="str">
            <v>OS</v>
          </cell>
          <cell r="T337" t="str">
            <v>OS</v>
          </cell>
          <cell r="U337" t="str">
            <v>OS</v>
          </cell>
          <cell r="V337" t="str">
            <v>OS</v>
          </cell>
          <cell r="W337" t="str">
            <v>OS</v>
          </cell>
          <cell r="X337" t="str">
            <v>OS</v>
          </cell>
          <cell r="Y337" t="str">
            <v>OS</v>
          </cell>
          <cell r="Z337" t="str">
            <v>OS</v>
          </cell>
          <cell r="AA337" t="str">
            <v>OS</v>
          </cell>
          <cell r="AB337" t="str">
            <v>OS</v>
          </cell>
          <cell r="AC337" t="str">
            <v>OS</v>
          </cell>
          <cell r="AD337" t="str">
            <v>AGM-01-018-004</v>
          </cell>
          <cell r="AE337" t="str">
            <v xml:space="preserve">Raemulan Lands, Inc. </v>
          </cell>
          <cell r="AF337" t="str">
            <v>Agapeya</v>
          </cell>
          <cell r="AG337" t="str">
            <v>AGM</v>
          </cell>
          <cell r="AH337" t="str">
            <v>Eco-High</v>
          </cell>
          <cell r="AI337" t="str">
            <v>West</v>
          </cell>
          <cell r="AJ337" t="str">
            <v>Without LTS</v>
          </cell>
          <cell r="AK337" t="str">
            <v>Unaffected lots</v>
          </cell>
          <cell r="AL337" t="str">
            <v>Unaffected lots</v>
          </cell>
          <cell r="AM337" t="b">
            <v>0</v>
          </cell>
          <cell r="AN337" t="str">
            <v>NO</v>
          </cell>
          <cell r="AO337" t="str">
            <v>B3 2025</v>
          </cell>
          <cell r="AP337">
            <v>70</v>
          </cell>
          <cell r="AQ337" t="str">
            <v>PCS-277865</v>
          </cell>
          <cell r="AR337" t="b">
            <v>1</v>
          </cell>
          <cell r="AS337" t="str">
            <v>Done</v>
          </cell>
          <cell r="AT337" t="str">
            <v>2025 - Batch 3</v>
          </cell>
          <cell r="AU337">
            <v>18</v>
          </cell>
          <cell r="AV337">
            <v>4</v>
          </cell>
          <cell r="AW337" t="str">
            <v>H+L</v>
          </cell>
          <cell r="AX337">
            <v>70</v>
          </cell>
          <cell r="AY337">
            <v>50</v>
          </cell>
          <cell r="AZ337" t="str">
            <v>Duplex</v>
          </cell>
          <cell r="BA337">
            <v>1</v>
          </cell>
          <cell r="BB337" t="str">
            <v>568 - Without Partition</v>
          </cell>
          <cell r="BC337" t="str">
            <v xml:space="preserve">Without Partition </v>
          </cell>
          <cell r="BD337" t="str">
            <v>Flat</v>
          </cell>
          <cell r="BE337" t="str">
            <v xml:space="preserve">Without Partition </v>
          </cell>
          <cell r="BF337" t="str">
            <v>YELLOW</v>
          </cell>
          <cell r="BG337">
            <v>2500000</v>
          </cell>
          <cell r="BH337">
            <v>2650000</v>
          </cell>
          <cell r="BI337">
            <v>100000</v>
          </cell>
          <cell r="BJ337">
            <v>2550000</v>
          </cell>
          <cell r="BK337">
            <v>0</v>
          </cell>
          <cell r="BL337">
            <v>2550000</v>
          </cell>
        </row>
        <row r="338">
          <cell r="D338" t="str">
            <v>OS</v>
          </cell>
          <cell r="E338"/>
          <cell r="F338">
            <v>318</v>
          </cell>
          <cell r="G338" t="str">
            <v>SOLD</v>
          </cell>
          <cell r="H338" t="str">
            <v>FOR CANCELLATION</v>
          </cell>
          <cell r="I338" t="str">
            <v>FOR CANCELLATION</v>
          </cell>
          <cell r="J338" t="str">
            <v>WITH BRN</v>
          </cell>
          <cell r="K338" t="str">
            <v>TS</v>
          </cell>
          <cell r="L338" t="str">
            <v>TS</v>
          </cell>
          <cell r="M338" t="str">
            <v>OS</v>
          </cell>
          <cell r="N338" t="str">
            <v>OS</v>
          </cell>
          <cell r="O338" t="str">
            <v>OS</v>
          </cell>
          <cell r="P338" t="str">
            <v>OS</v>
          </cell>
          <cell r="Q338" t="str">
            <v>OS</v>
          </cell>
          <cell r="R338" t="str">
            <v>OS</v>
          </cell>
          <cell r="S338" t="str">
            <v>OS</v>
          </cell>
          <cell r="T338" t="str">
            <v>OS</v>
          </cell>
          <cell r="U338" t="str">
            <v>OS</v>
          </cell>
          <cell r="V338" t="str">
            <v>OS</v>
          </cell>
          <cell r="W338" t="str">
            <v>OS</v>
          </cell>
          <cell r="X338" t="str">
            <v>OS</v>
          </cell>
          <cell r="Y338" t="str">
            <v>OS</v>
          </cell>
          <cell r="Z338" t="str">
            <v>OS</v>
          </cell>
          <cell r="AA338" t="str">
            <v>OS</v>
          </cell>
          <cell r="AB338" t="str">
            <v>OS</v>
          </cell>
          <cell r="AC338" t="str">
            <v>OS</v>
          </cell>
          <cell r="AD338" t="str">
            <v>AGM-01-018-005</v>
          </cell>
          <cell r="AE338" t="str">
            <v xml:space="preserve">Raemulan Lands, Inc. </v>
          </cell>
          <cell r="AF338" t="str">
            <v>Agapeya</v>
          </cell>
          <cell r="AG338" t="str">
            <v>AGM</v>
          </cell>
          <cell r="AH338" t="str">
            <v>Eco-High</v>
          </cell>
          <cell r="AI338" t="str">
            <v>West</v>
          </cell>
          <cell r="AJ338" t="str">
            <v>Without LTS</v>
          </cell>
          <cell r="AK338" t="str">
            <v>Unaffected lots</v>
          </cell>
          <cell r="AL338" t="str">
            <v>Unaffected lots</v>
          </cell>
          <cell r="AM338" t="b">
            <v>0</v>
          </cell>
          <cell r="AN338" t="str">
            <v>NO</v>
          </cell>
          <cell r="AO338" t="str">
            <v>B3 2025</v>
          </cell>
          <cell r="AP338">
            <v>70</v>
          </cell>
          <cell r="AQ338" t="str">
            <v>PCS-277865</v>
          </cell>
          <cell r="AR338" t="b">
            <v>1</v>
          </cell>
          <cell r="AS338" t="str">
            <v>Done</v>
          </cell>
          <cell r="AT338" t="str">
            <v>2025 - Batch 3</v>
          </cell>
          <cell r="AU338">
            <v>18</v>
          </cell>
          <cell r="AV338">
            <v>5</v>
          </cell>
          <cell r="AW338" t="str">
            <v>H+L</v>
          </cell>
          <cell r="AX338">
            <v>70</v>
          </cell>
          <cell r="AY338">
            <v>50</v>
          </cell>
          <cell r="AZ338" t="str">
            <v>Duplex</v>
          </cell>
          <cell r="BA338">
            <v>1</v>
          </cell>
          <cell r="BB338" t="str">
            <v>568 - Without Partition</v>
          </cell>
          <cell r="BC338" t="str">
            <v xml:space="preserve">Without Partition </v>
          </cell>
          <cell r="BD338" t="str">
            <v>Flat</v>
          </cell>
          <cell r="BE338" t="str">
            <v xml:space="preserve">Without Partition </v>
          </cell>
          <cell r="BF338" t="str">
            <v>PURPLE</v>
          </cell>
          <cell r="BG338">
            <v>2500000</v>
          </cell>
          <cell r="BH338">
            <v>2650000</v>
          </cell>
          <cell r="BI338">
            <v>100000</v>
          </cell>
          <cell r="BJ338">
            <v>2550000</v>
          </cell>
          <cell r="BK338">
            <v>0</v>
          </cell>
          <cell r="BL338">
            <v>2550000</v>
          </cell>
        </row>
        <row r="339">
          <cell r="D339" t="str">
            <v>OS</v>
          </cell>
          <cell r="E339"/>
          <cell r="F339">
            <v>319</v>
          </cell>
          <cell r="G339" t="str">
            <v>SOLD</v>
          </cell>
          <cell r="H339" t="str">
            <v>OS</v>
          </cell>
          <cell r="I339" t="str">
            <v>OS</v>
          </cell>
          <cell r="J339" t="str">
            <v>OS</v>
          </cell>
          <cell r="K339" t="str">
            <v>OS</v>
          </cell>
          <cell r="L339" t="str">
            <v>OS</v>
          </cell>
          <cell r="M339" t="str">
            <v>OS</v>
          </cell>
          <cell r="N339" t="str">
            <v>OS</v>
          </cell>
          <cell r="O339" t="str">
            <v>OS</v>
          </cell>
          <cell r="P339" t="str">
            <v>OS</v>
          </cell>
          <cell r="Q339" t="str">
            <v>OS</v>
          </cell>
          <cell r="R339" t="str">
            <v>OS</v>
          </cell>
          <cell r="S339" t="str">
            <v>OS</v>
          </cell>
          <cell r="T339" t="str">
            <v>OS</v>
          </cell>
          <cell r="U339" t="str">
            <v>OS</v>
          </cell>
          <cell r="V339" t="str">
            <v>OS</v>
          </cell>
          <cell r="W339" t="str">
            <v>OS</v>
          </cell>
          <cell r="X339" t="str">
            <v>OS</v>
          </cell>
          <cell r="Y339" t="str">
            <v>OS</v>
          </cell>
          <cell r="Z339" t="str">
            <v>OS</v>
          </cell>
          <cell r="AA339" t="str">
            <v>OS</v>
          </cell>
          <cell r="AB339" t="str">
            <v>OS</v>
          </cell>
          <cell r="AC339" t="str">
            <v>OS</v>
          </cell>
          <cell r="AD339" t="str">
            <v>AGM-01-018-006</v>
          </cell>
          <cell r="AE339" t="str">
            <v xml:space="preserve">Raemulan Lands, Inc. </v>
          </cell>
          <cell r="AF339" t="str">
            <v>Agapeya</v>
          </cell>
          <cell r="AG339" t="str">
            <v>AGM</v>
          </cell>
          <cell r="AH339" t="str">
            <v>Eco-High</v>
          </cell>
          <cell r="AI339" t="str">
            <v>West</v>
          </cell>
          <cell r="AJ339" t="str">
            <v>Without LTS</v>
          </cell>
          <cell r="AK339" t="str">
            <v>Unaffected lots</v>
          </cell>
          <cell r="AL339" t="str">
            <v>Unaffected lots</v>
          </cell>
          <cell r="AM339" t="b">
            <v>0</v>
          </cell>
          <cell r="AN339" t="str">
            <v>NO</v>
          </cell>
          <cell r="AO339" t="str">
            <v>B3 2025</v>
          </cell>
          <cell r="AP339">
            <v>80</v>
          </cell>
          <cell r="AQ339" t="str">
            <v>PCS-277865</v>
          </cell>
          <cell r="AR339" t="b">
            <v>1</v>
          </cell>
          <cell r="AS339" t="str">
            <v>Done</v>
          </cell>
          <cell r="AT339" t="str">
            <v>2025 - Batch 3</v>
          </cell>
          <cell r="AU339">
            <v>18</v>
          </cell>
          <cell r="AV339">
            <v>6</v>
          </cell>
          <cell r="AW339" t="str">
            <v>H+L</v>
          </cell>
          <cell r="AX339">
            <v>80</v>
          </cell>
          <cell r="AY339">
            <v>50</v>
          </cell>
          <cell r="AZ339" t="str">
            <v>Duplex</v>
          </cell>
          <cell r="BA339">
            <v>1</v>
          </cell>
          <cell r="BB339" t="str">
            <v>568 - Without Partition</v>
          </cell>
          <cell r="BC339" t="str">
            <v xml:space="preserve">Without Partition </v>
          </cell>
          <cell r="BD339" t="str">
            <v>Slant</v>
          </cell>
          <cell r="BE339" t="str">
            <v xml:space="preserve">Without Partition </v>
          </cell>
          <cell r="BF339" t="str">
            <v>PURPLE</v>
          </cell>
          <cell r="BG339">
            <v>2500000</v>
          </cell>
          <cell r="BH339">
            <v>2800000</v>
          </cell>
          <cell r="BI339">
            <v>100000</v>
          </cell>
          <cell r="BJ339">
            <v>2700000</v>
          </cell>
          <cell r="BK339">
            <v>0</v>
          </cell>
          <cell r="BL339">
            <v>2700000</v>
          </cell>
        </row>
        <row r="340">
          <cell r="D340" t="str">
            <v>OS</v>
          </cell>
          <cell r="E340"/>
          <cell r="F340">
            <v>320</v>
          </cell>
          <cell r="G340" t="str">
            <v>SOLD</v>
          </cell>
          <cell r="H340" t="str">
            <v>OS</v>
          </cell>
          <cell r="I340" t="str">
            <v>OS</v>
          </cell>
          <cell r="J340" t="str">
            <v>OS</v>
          </cell>
          <cell r="K340" t="str">
            <v>OS</v>
          </cell>
          <cell r="L340" t="str">
            <v>OS</v>
          </cell>
          <cell r="M340" t="str">
            <v>OS</v>
          </cell>
          <cell r="N340" t="str">
            <v>OS</v>
          </cell>
          <cell r="O340" t="str">
            <v>OS</v>
          </cell>
          <cell r="P340" t="str">
            <v>OS</v>
          </cell>
          <cell r="Q340" t="str">
            <v>OS</v>
          </cell>
          <cell r="R340" t="str">
            <v>OS</v>
          </cell>
          <cell r="S340" t="str">
            <v>OS</v>
          </cell>
          <cell r="T340" t="str">
            <v>OS</v>
          </cell>
          <cell r="U340" t="str">
            <v>OS</v>
          </cell>
          <cell r="V340" t="str">
            <v>OS</v>
          </cell>
          <cell r="W340" t="str">
            <v>OS</v>
          </cell>
          <cell r="X340" t="str">
            <v>OS</v>
          </cell>
          <cell r="Y340" t="str">
            <v>OS</v>
          </cell>
          <cell r="Z340" t="str">
            <v>OS</v>
          </cell>
          <cell r="AA340" t="str">
            <v>OS</v>
          </cell>
          <cell r="AB340" t="str">
            <v>OS</v>
          </cell>
          <cell r="AC340" t="str">
            <v>OS</v>
          </cell>
          <cell r="AD340" t="str">
            <v>AGM-01-018-007</v>
          </cell>
          <cell r="AE340" t="str">
            <v xml:space="preserve">Raemulan Lands, Inc. </v>
          </cell>
          <cell r="AF340" t="str">
            <v>Agapeya</v>
          </cell>
          <cell r="AG340" t="str">
            <v>AGM</v>
          </cell>
          <cell r="AH340" t="str">
            <v>Eco-High</v>
          </cell>
          <cell r="AI340" t="str">
            <v>West</v>
          </cell>
          <cell r="AJ340" t="str">
            <v>Without LTS</v>
          </cell>
          <cell r="AK340" t="str">
            <v>Unaffected lots</v>
          </cell>
          <cell r="AL340" t="str">
            <v>Unaffected lots</v>
          </cell>
          <cell r="AM340" t="b">
            <v>0</v>
          </cell>
          <cell r="AN340" t="str">
            <v>NO</v>
          </cell>
          <cell r="AO340" t="str">
            <v>B4 2025</v>
          </cell>
          <cell r="AP340">
            <v>70</v>
          </cell>
          <cell r="AQ340" t="str">
            <v>PCS-277865</v>
          </cell>
          <cell r="AR340" t="b">
            <v>1</v>
          </cell>
          <cell r="AS340" t="str">
            <v>Done</v>
          </cell>
          <cell r="AT340" t="str">
            <v>2025 - Batch 3</v>
          </cell>
          <cell r="AU340">
            <v>18</v>
          </cell>
          <cell r="AV340">
            <v>7</v>
          </cell>
          <cell r="AW340" t="str">
            <v>H+L</v>
          </cell>
          <cell r="AX340">
            <v>70</v>
          </cell>
          <cell r="AY340">
            <v>50</v>
          </cell>
          <cell r="AZ340" t="str">
            <v>Duplex</v>
          </cell>
          <cell r="BA340">
            <v>1</v>
          </cell>
          <cell r="BB340" t="str">
            <v>568 - Without Partition</v>
          </cell>
          <cell r="BC340" t="str">
            <v xml:space="preserve">Without Partition </v>
          </cell>
          <cell r="BD340" t="str">
            <v>Flat</v>
          </cell>
          <cell r="BE340" t="str">
            <v xml:space="preserve">Without Partition </v>
          </cell>
          <cell r="BF340" t="str">
            <v>PURPLE</v>
          </cell>
          <cell r="BG340">
            <v>2500000</v>
          </cell>
          <cell r="BH340">
            <v>2650000</v>
          </cell>
          <cell r="BI340">
            <v>100000</v>
          </cell>
          <cell r="BJ340">
            <v>2550000</v>
          </cell>
          <cell r="BK340">
            <v>0</v>
          </cell>
          <cell r="BL340">
            <v>2550000</v>
          </cell>
        </row>
        <row r="341">
          <cell r="D341" t="str">
            <v>OS</v>
          </cell>
          <cell r="E341"/>
          <cell r="F341">
            <v>321</v>
          </cell>
          <cell r="G341" t="str">
            <v>SOLD</v>
          </cell>
          <cell r="H341" t="str">
            <v>OS</v>
          </cell>
          <cell r="I341" t="str">
            <v>OS</v>
          </cell>
          <cell r="J341" t="str">
            <v>OS</v>
          </cell>
          <cell r="K341" t="str">
            <v>OS</v>
          </cell>
          <cell r="L341" t="str">
            <v>OS</v>
          </cell>
          <cell r="M341" t="str">
            <v>OS</v>
          </cell>
          <cell r="N341" t="str">
            <v>OS</v>
          </cell>
          <cell r="O341" t="str">
            <v>OS</v>
          </cell>
          <cell r="P341" t="str">
            <v>OS</v>
          </cell>
          <cell r="Q341" t="str">
            <v>OS</v>
          </cell>
          <cell r="R341" t="str">
            <v>OS</v>
          </cell>
          <cell r="S341" t="str">
            <v>OS</v>
          </cell>
          <cell r="T341" t="str">
            <v>OS</v>
          </cell>
          <cell r="U341" t="str">
            <v>OS</v>
          </cell>
          <cell r="V341" t="str">
            <v>OS</v>
          </cell>
          <cell r="W341" t="str">
            <v>OS</v>
          </cell>
          <cell r="X341" t="str">
            <v>OS</v>
          </cell>
          <cell r="Y341" t="str">
            <v>OS</v>
          </cell>
          <cell r="Z341" t="str">
            <v>OS</v>
          </cell>
          <cell r="AA341" t="str">
            <v>OS</v>
          </cell>
          <cell r="AB341" t="str">
            <v>OS</v>
          </cell>
          <cell r="AC341" t="str">
            <v>OS</v>
          </cell>
          <cell r="AD341" t="str">
            <v>AGM-01-018-008</v>
          </cell>
          <cell r="AE341" t="str">
            <v xml:space="preserve">Raemulan Lands, Inc. </v>
          </cell>
          <cell r="AF341" t="str">
            <v>Agapeya</v>
          </cell>
          <cell r="AG341" t="str">
            <v>AGM</v>
          </cell>
          <cell r="AH341" t="str">
            <v>Eco-High</v>
          </cell>
          <cell r="AI341" t="str">
            <v>West</v>
          </cell>
          <cell r="AJ341" t="str">
            <v>Without LTS</v>
          </cell>
          <cell r="AK341" t="str">
            <v>Unaffected lots</v>
          </cell>
          <cell r="AL341" t="str">
            <v>Unaffected lots</v>
          </cell>
          <cell r="AM341" t="b">
            <v>0</v>
          </cell>
          <cell r="AN341" t="str">
            <v>NO</v>
          </cell>
          <cell r="AO341" t="str">
            <v>B4 2025</v>
          </cell>
          <cell r="AP341">
            <v>70</v>
          </cell>
          <cell r="AQ341" t="str">
            <v>PCS-277865</v>
          </cell>
          <cell r="AR341" t="b">
            <v>1</v>
          </cell>
          <cell r="AS341" t="str">
            <v>Done</v>
          </cell>
          <cell r="AT341" t="str">
            <v>2025 - Batch 3</v>
          </cell>
          <cell r="AU341">
            <v>18</v>
          </cell>
          <cell r="AV341">
            <v>8</v>
          </cell>
          <cell r="AW341" t="str">
            <v>H+L</v>
          </cell>
          <cell r="AX341">
            <v>70</v>
          </cell>
          <cell r="AY341">
            <v>50</v>
          </cell>
          <cell r="AZ341" t="str">
            <v>Duplex</v>
          </cell>
          <cell r="BA341">
            <v>1</v>
          </cell>
          <cell r="BB341" t="str">
            <v>568 - Without Partition</v>
          </cell>
          <cell r="BC341" t="str">
            <v xml:space="preserve">Without Partition </v>
          </cell>
          <cell r="BD341" t="str">
            <v>Slant</v>
          </cell>
          <cell r="BE341" t="str">
            <v xml:space="preserve">Without Partition </v>
          </cell>
          <cell r="BF341" t="str">
            <v>PURPLE</v>
          </cell>
          <cell r="BG341">
            <v>2500000</v>
          </cell>
          <cell r="BH341">
            <v>2650000</v>
          </cell>
          <cell r="BI341">
            <v>100000</v>
          </cell>
          <cell r="BJ341">
            <v>2550000</v>
          </cell>
          <cell r="BK341">
            <v>0</v>
          </cell>
          <cell r="BL341">
            <v>2550000</v>
          </cell>
        </row>
        <row r="342">
          <cell r="D342" t="str">
            <v>OS</v>
          </cell>
          <cell r="E342"/>
          <cell r="F342">
            <v>322</v>
          </cell>
          <cell r="G342" t="str">
            <v>SOLD</v>
          </cell>
          <cell r="H342" t="str">
            <v>OS</v>
          </cell>
          <cell r="I342" t="str">
            <v>OS</v>
          </cell>
          <cell r="J342" t="str">
            <v>OS</v>
          </cell>
          <cell r="K342" t="str">
            <v>OS</v>
          </cell>
          <cell r="L342" t="str">
            <v>OS</v>
          </cell>
          <cell r="M342" t="str">
            <v>OS</v>
          </cell>
          <cell r="N342" t="str">
            <v>OS</v>
          </cell>
          <cell r="O342" t="str">
            <v>OS</v>
          </cell>
          <cell r="P342" t="str">
            <v>OS</v>
          </cell>
          <cell r="Q342" t="str">
            <v>OS</v>
          </cell>
          <cell r="R342" t="str">
            <v>OS</v>
          </cell>
          <cell r="S342" t="str">
            <v>OS</v>
          </cell>
          <cell r="T342" t="str">
            <v>OS</v>
          </cell>
          <cell r="U342" t="str">
            <v>OS</v>
          </cell>
          <cell r="V342" t="str">
            <v>OS</v>
          </cell>
          <cell r="W342" t="str">
            <v>OS</v>
          </cell>
          <cell r="X342" t="str">
            <v>OS</v>
          </cell>
          <cell r="Y342" t="str">
            <v>OS</v>
          </cell>
          <cell r="Z342" t="str">
            <v>OS</v>
          </cell>
          <cell r="AA342" t="str">
            <v>OS</v>
          </cell>
          <cell r="AB342" t="str">
            <v>OS</v>
          </cell>
          <cell r="AC342" t="str">
            <v>OS</v>
          </cell>
          <cell r="AD342" t="str">
            <v>AGM-01-018-009</v>
          </cell>
          <cell r="AE342" t="str">
            <v xml:space="preserve">Raemulan Lands, Inc. </v>
          </cell>
          <cell r="AF342" t="str">
            <v>Agapeya</v>
          </cell>
          <cell r="AG342" t="str">
            <v>AGM</v>
          </cell>
          <cell r="AH342" t="str">
            <v>Eco-High</v>
          </cell>
          <cell r="AI342" t="str">
            <v>West</v>
          </cell>
          <cell r="AJ342" t="str">
            <v>Without LTS</v>
          </cell>
          <cell r="AK342" t="str">
            <v>Unaffected lots</v>
          </cell>
          <cell r="AL342" t="str">
            <v>Unaffected lots</v>
          </cell>
          <cell r="AM342" t="b">
            <v>0</v>
          </cell>
          <cell r="AN342" t="str">
            <v>NO</v>
          </cell>
          <cell r="AO342" t="str">
            <v>B4 2025</v>
          </cell>
          <cell r="AP342">
            <v>70</v>
          </cell>
          <cell r="AQ342" t="str">
            <v>PCS-277865</v>
          </cell>
          <cell r="AR342" t="b">
            <v>1</v>
          </cell>
          <cell r="AS342" t="str">
            <v>Done</v>
          </cell>
          <cell r="AT342" t="str">
            <v>2025 - Batch 3</v>
          </cell>
          <cell r="AU342">
            <v>18</v>
          </cell>
          <cell r="AV342">
            <v>9</v>
          </cell>
          <cell r="AW342" t="str">
            <v>H+L</v>
          </cell>
          <cell r="AX342">
            <v>70</v>
          </cell>
          <cell r="AY342">
            <v>50</v>
          </cell>
          <cell r="AZ342" t="str">
            <v>Duplex</v>
          </cell>
          <cell r="BA342">
            <v>1</v>
          </cell>
          <cell r="BB342" t="str">
            <v>568 - Without Partition</v>
          </cell>
          <cell r="BC342" t="str">
            <v xml:space="preserve">Without Partition </v>
          </cell>
          <cell r="BD342" t="str">
            <v>Slant</v>
          </cell>
          <cell r="BE342" t="str">
            <v xml:space="preserve">Without Partition </v>
          </cell>
          <cell r="BF342" t="str">
            <v>PINK</v>
          </cell>
          <cell r="BG342">
            <v>2500000</v>
          </cell>
          <cell r="BH342">
            <v>2650000</v>
          </cell>
          <cell r="BI342">
            <v>100000</v>
          </cell>
          <cell r="BJ342">
            <v>2550000</v>
          </cell>
          <cell r="BK342">
            <v>0</v>
          </cell>
          <cell r="BL342">
            <v>2550000</v>
          </cell>
        </row>
        <row r="343">
          <cell r="D343" t="str">
            <v>OS</v>
          </cell>
          <cell r="E343"/>
          <cell r="F343">
            <v>323</v>
          </cell>
          <cell r="G343" t="str">
            <v>SOLD</v>
          </cell>
          <cell r="H343" t="str">
            <v>OS</v>
          </cell>
          <cell r="I343" t="str">
            <v>OS</v>
          </cell>
          <cell r="J343" t="str">
            <v>OS</v>
          </cell>
          <cell r="K343" t="str">
            <v>OS</v>
          </cell>
          <cell r="L343" t="str">
            <v>OS</v>
          </cell>
          <cell r="M343" t="str">
            <v>OS</v>
          </cell>
          <cell r="N343" t="str">
            <v>OS</v>
          </cell>
          <cell r="O343" t="str">
            <v>OS</v>
          </cell>
          <cell r="P343" t="str">
            <v>OS</v>
          </cell>
          <cell r="Q343" t="str">
            <v>OS</v>
          </cell>
          <cell r="R343" t="str">
            <v>OS</v>
          </cell>
          <cell r="S343" t="str">
            <v>WITH BRN</v>
          </cell>
          <cell r="T343" t="str">
            <v>OS</v>
          </cell>
          <cell r="U343" t="str">
            <v>OS</v>
          </cell>
          <cell r="V343" t="str">
            <v>OS</v>
          </cell>
          <cell r="W343" t="str">
            <v>OS</v>
          </cell>
          <cell r="X343" t="str">
            <v>OS</v>
          </cell>
          <cell r="Y343" t="str">
            <v>OS</v>
          </cell>
          <cell r="Z343" t="str">
            <v>OS</v>
          </cell>
          <cell r="AA343" t="str">
            <v>OS</v>
          </cell>
          <cell r="AB343" t="str">
            <v>OS</v>
          </cell>
          <cell r="AC343" t="str">
            <v>OS</v>
          </cell>
          <cell r="AD343" t="str">
            <v>AGM-01-018-010</v>
          </cell>
          <cell r="AE343" t="str">
            <v xml:space="preserve">Raemulan Lands, Inc. </v>
          </cell>
          <cell r="AF343" t="str">
            <v>Agapeya</v>
          </cell>
          <cell r="AG343" t="str">
            <v>AGM</v>
          </cell>
          <cell r="AH343" t="str">
            <v>Eco-High</v>
          </cell>
          <cell r="AI343" t="str">
            <v>West</v>
          </cell>
          <cell r="AJ343" t="str">
            <v>Without LTS</v>
          </cell>
          <cell r="AK343" t="str">
            <v>Unaffected lots</v>
          </cell>
          <cell r="AL343" t="str">
            <v>Unaffected lots</v>
          </cell>
          <cell r="AM343" t="b">
            <v>0</v>
          </cell>
          <cell r="AN343" t="str">
            <v>NO</v>
          </cell>
          <cell r="AO343" t="str">
            <v>B4 2025</v>
          </cell>
          <cell r="AP343">
            <v>70</v>
          </cell>
          <cell r="AQ343" t="str">
            <v>PCS-277865</v>
          </cell>
          <cell r="AR343" t="b">
            <v>1</v>
          </cell>
          <cell r="AS343" t="str">
            <v>Done</v>
          </cell>
          <cell r="AT343" t="str">
            <v>2025 - Batch 3</v>
          </cell>
          <cell r="AU343">
            <v>18</v>
          </cell>
          <cell r="AV343">
            <v>10</v>
          </cell>
          <cell r="AW343" t="str">
            <v>H+L</v>
          </cell>
          <cell r="AX343">
            <v>70</v>
          </cell>
          <cell r="AY343">
            <v>50</v>
          </cell>
          <cell r="AZ343" t="str">
            <v>Duplex</v>
          </cell>
          <cell r="BA343">
            <v>1</v>
          </cell>
          <cell r="BB343" t="str">
            <v>568 - Without Partition</v>
          </cell>
          <cell r="BC343" t="str">
            <v xml:space="preserve">Without Partition </v>
          </cell>
          <cell r="BD343" t="str">
            <v>Flat</v>
          </cell>
          <cell r="BE343" t="str">
            <v xml:space="preserve">Without Partition </v>
          </cell>
          <cell r="BF343" t="str">
            <v>PINK</v>
          </cell>
          <cell r="BG343">
            <v>2500000</v>
          </cell>
          <cell r="BH343">
            <v>2650000</v>
          </cell>
          <cell r="BI343">
            <v>100000</v>
          </cell>
          <cell r="BJ343">
            <v>2550000</v>
          </cell>
          <cell r="BK343">
            <v>0</v>
          </cell>
          <cell r="BL343">
            <v>2550000</v>
          </cell>
        </row>
        <row r="344">
          <cell r="D344" t="str">
            <v>OS</v>
          </cell>
          <cell r="E344"/>
          <cell r="F344">
            <v>324</v>
          </cell>
          <cell r="G344" t="str">
            <v>SOLD</v>
          </cell>
          <cell r="H344" t="str">
            <v>OS</v>
          </cell>
          <cell r="I344" t="str">
            <v>OS</v>
          </cell>
          <cell r="J344" t="str">
            <v>OS</v>
          </cell>
          <cell r="K344" t="str">
            <v>OS</v>
          </cell>
          <cell r="L344" t="str">
            <v>OS</v>
          </cell>
          <cell r="M344" t="str">
            <v>OS</v>
          </cell>
          <cell r="N344" t="str">
            <v>OS</v>
          </cell>
          <cell r="O344" t="str">
            <v>OS</v>
          </cell>
          <cell r="P344" t="str">
            <v>OS</v>
          </cell>
          <cell r="Q344" t="str">
            <v>OS</v>
          </cell>
          <cell r="R344" t="str">
            <v>OS</v>
          </cell>
          <cell r="S344" t="str">
            <v>OS</v>
          </cell>
          <cell r="T344" t="str">
            <v>OS</v>
          </cell>
          <cell r="U344" t="str">
            <v>OS</v>
          </cell>
          <cell r="V344" t="str">
            <v>OS</v>
          </cell>
          <cell r="W344" t="str">
            <v>OS</v>
          </cell>
          <cell r="X344" t="str">
            <v>OS</v>
          </cell>
          <cell r="Y344" t="str">
            <v>OS</v>
          </cell>
          <cell r="Z344" t="str">
            <v>OS</v>
          </cell>
          <cell r="AA344" t="str">
            <v>OS</v>
          </cell>
          <cell r="AB344" t="str">
            <v>OS</v>
          </cell>
          <cell r="AC344" t="str">
            <v>OS</v>
          </cell>
          <cell r="AD344" t="str">
            <v>AGM-01-018-011</v>
          </cell>
          <cell r="AE344" t="str">
            <v xml:space="preserve">Raemulan Lands, Inc. </v>
          </cell>
          <cell r="AF344" t="str">
            <v>Agapeya</v>
          </cell>
          <cell r="AG344" t="str">
            <v>AGM</v>
          </cell>
          <cell r="AH344" t="str">
            <v>Eco-High</v>
          </cell>
          <cell r="AI344" t="str">
            <v>West</v>
          </cell>
          <cell r="AJ344" t="str">
            <v>Without LTS</v>
          </cell>
          <cell r="AK344" t="str">
            <v>Unaffected lots</v>
          </cell>
          <cell r="AL344" t="str">
            <v>Unaffected lots</v>
          </cell>
          <cell r="AM344" t="b">
            <v>0</v>
          </cell>
          <cell r="AN344" t="str">
            <v>NO</v>
          </cell>
          <cell r="AO344" t="str">
            <v>B4 2025</v>
          </cell>
          <cell r="AP344">
            <v>70</v>
          </cell>
          <cell r="AQ344" t="str">
            <v>PCS-277865</v>
          </cell>
          <cell r="AR344" t="b">
            <v>1</v>
          </cell>
          <cell r="AS344" t="str">
            <v>Done</v>
          </cell>
          <cell r="AT344" t="str">
            <v>2025 - Batch 3</v>
          </cell>
          <cell r="AU344">
            <v>18</v>
          </cell>
          <cell r="AV344">
            <v>11</v>
          </cell>
          <cell r="AW344" t="str">
            <v>H+L</v>
          </cell>
          <cell r="AX344">
            <v>70</v>
          </cell>
          <cell r="AY344">
            <v>50</v>
          </cell>
          <cell r="AZ344" t="str">
            <v>Duplex</v>
          </cell>
          <cell r="BA344">
            <v>1</v>
          </cell>
          <cell r="BB344" t="str">
            <v>568 - Without Partition</v>
          </cell>
          <cell r="BC344" t="str">
            <v xml:space="preserve">Without Partition </v>
          </cell>
          <cell r="BD344" t="str">
            <v>Flat</v>
          </cell>
          <cell r="BE344" t="str">
            <v xml:space="preserve">Without Partition </v>
          </cell>
          <cell r="BF344" t="str">
            <v>PINK</v>
          </cell>
          <cell r="BG344">
            <v>2500000</v>
          </cell>
          <cell r="BH344">
            <v>2650000</v>
          </cell>
          <cell r="BI344">
            <v>100000</v>
          </cell>
          <cell r="BJ344">
            <v>2550000</v>
          </cell>
          <cell r="BK344">
            <v>0</v>
          </cell>
          <cell r="BL344">
            <v>2550000</v>
          </cell>
        </row>
        <row r="345">
          <cell r="D345" t="str">
            <v>OS</v>
          </cell>
          <cell r="E345"/>
          <cell r="F345">
            <v>325</v>
          </cell>
          <cell r="G345" t="str">
            <v>SOLD</v>
          </cell>
          <cell r="H345" t="str">
            <v>OS</v>
          </cell>
          <cell r="I345" t="str">
            <v>OS</v>
          </cell>
          <cell r="J345" t="str">
            <v>OS</v>
          </cell>
          <cell r="K345" t="str">
            <v>OS</v>
          </cell>
          <cell r="L345" t="str">
            <v>OS</v>
          </cell>
          <cell r="M345" t="str">
            <v>OS</v>
          </cell>
          <cell r="N345" t="str">
            <v>OS</v>
          </cell>
          <cell r="O345" t="str">
            <v>OS</v>
          </cell>
          <cell r="P345" t="str">
            <v>OS</v>
          </cell>
          <cell r="Q345" t="str">
            <v>OS</v>
          </cell>
          <cell r="R345" t="str">
            <v>OS</v>
          </cell>
          <cell r="S345" t="str">
            <v>OS</v>
          </cell>
          <cell r="T345" t="str">
            <v>OS</v>
          </cell>
          <cell r="U345" t="str">
            <v>OS</v>
          </cell>
          <cell r="V345" t="str">
            <v>OS</v>
          </cell>
          <cell r="W345" t="str">
            <v>OS</v>
          </cell>
          <cell r="X345" t="str">
            <v>OS</v>
          </cell>
          <cell r="Y345" t="str">
            <v>OS</v>
          </cell>
          <cell r="Z345" t="str">
            <v>OS</v>
          </cell>
          <cell r="AA345" t="str">
            <v>OS</v>
          </cell>
          <cell r="AB345" t="str">
            <v>OS</v>
          </cell>
          <cell r="AC345" t="str">
            <v>OS</v>
          </cell>
          <cell r="AD345" t="str">
            <v>AGM-01-018-012</v>
          </cell>
          <cell r="AE345" t="str">
            <v xml:space="preserve">Raemulan Lands, Inc. </v>
          </cell>
          <cell r="AF345" t="str">
            <v>Agapeya</v>
          </cell>
          <cell r="AG345" t="str">
            <v>AGM</v>
          </cell>
          <cell r="AH345" t="str">
            <v>Eco-High</v>
          </cell>
          <cell r="AI345" t="str">
            <v>West</v>
          </cell>
          <cell r="AJ345" t="str">
            <v>Without LTS</v>
          </cell>
          <cell r="AK345" t="str">
            <v>Unaffected lots</v>
          </cell>
          <cell r="AL345" t="str">
            <v>Unaffected lots</v>
          </cell>
          <cell r="AM345" t="b">
            <v>0</v>
          </cell>
          <cell r="AN345" t="str">
            <v>NO</v>
          </cell>
          <cell r="AO345" t="str">
            <v>B4 2025</v>
          </cell>
          <cell r="AP345">
            <v>70</v>
          </cell>
          <cell r="AQ345" t="str">
            <v>PCS-277865</v>
          </cell>
          <cell r="AR345" t="b">
            <v>1</v>
          </cell>
          <cell r="AS345" t="str">
            <v>Done</v>
          </cell>
          <cell r="AT345" t="str">
            <v>2025 - Batch 3</v>
          </cell>
          <cell r="AU345">
            <v>18</v>
          </cell>
          <cell r="AV345">
            <v>12</v>
          </cell>
          <cell r="AW345" t="str">
            <v>H+L</v>
          </cell>
          <cell r="AX345">
            <v>70</v>
          </cell>
          <cell r="AY345">
            <v>50</v>
          </cell>
          <cell r="AZ345" t="str">
            <v>Duplex</v>
          </cell>
          <cell r="BA345">
            <v>1</v>
          </cell>
          <cell r="BB345" t="str">
            <v>568 - Without Partition</v>
          </cell>
          <cell r="BC345" t="str">
            <v xml:space="preserve">Without Partition </v>
          </cell>
          <cell r="BD345" t="str">
            <v>Slant</v>
          </cell>
          <cell r="BE345" t="str">
            <v xml:space="preserve">Without Partition </v>
          </cell>
          <cell r="BF345" t="str">
            <v>PINK</v>
          </cell>
          <cell r="BG345">
            <v>2500000</v>
          </cell>
          <cell r="BH345">
            <v>2650000</v>
          </cell>
          <cell r="BI345">
            <v>100000</v>
          </cell>
          <cell r="BJ345">
            <v>2550000</v>
          </cell>
          <cell r="BK345">
            <v>0</v>
          </cell>
          <cell r="BL345">
            <v>2550000</v>
          </cell>
        </row>
        <row r="346">
          <cell r="D346" t="str">
            <v>OS</v>
          </cell>
          <cell r="E346"/>
          <cell r="F346">
            <v>326</v>
          </cell>
          <cell r="G346" t="str">
            <v>CLOSED</v>
          </cell>
          <cell r="H346" t="str">
            <v>OPEN</v>
          </cell>
          <cell r="I346" t="str">
            <v>OPEN</v>
          </cell>
          <cell r="J346" t="str">
            <v>OPEN</v>
          </cell>
          <cell r="K346" t="str">
            <v>OPEN</v>
          </cell>
          <cell r="L346" t="str">
            <v>OPEN</v>
          </cell>
          <cell r="M346" t="str">
            <v>OPEN</v>
          </cell>
          <cell r="N346" t="str">
            <v>TS</v>
          </cell>
          <cell r="O346" t="str">
            <v>TS</v>
          </cell>
          <cell r="P346" t="str">
            <v>TS</v>
          </cell>
          <cell r="Q346" t="str">
            <v>TS</v>
          </cell>
          <cell r="R346" t="str">
            <v>TS</v>
          </cell>
          <cell r="S346" t="str">
            <v>TS</v>
          </cell>
          <cell r="T346" t="str">
            <v>TS</v>
          </cell>
          <cell r="U346" t="str">
            <v>OS</v>
          </cell>
          <cell r="V346" t="str">
            <v>OS</v>
          </cell>
          <cell r="W346" t="str">
            <v>OS</v>
          </cell>
          <cell r="X346" t="str">
            <v>OS</v>
          </cell>
          <cell r="Y346" t="str">
            <v>OS</v>
          </cell>
          <cell r="Z346" t="str">
            <v>OS</v>
          </cell>
          <cell r="AA346" t="str">
            <v>OS</v>
          </cell>
          <cell r="AB346" t="str">
            <v>OS</v>
          </cell>
          <cell r="AC346" t="str">
            <v>OS</v>
          </cell>
          <cell r="AD346" t="str">
            <v>AGM-01-018-013</v>
          </cell>
          <cell r="AE346" t="str">
            <v xml:space="preserve">Raemulan Lands, Inc. </v>
          </cell>
          <cell r="AF346" t="str">
            <v>Agapeya</v>
          </cell>
          <cell r="AG346" t="str">
            <v>AGM</v>
          </cell>
          <cell r="AH346" t="str">
            <v>Eco-High</v>
          </cell>
          <cell r="AI346" t="str">
            <v>West</v>
          </cell>
          <cell r="AJ346" t="str">
            <v>Without LTS</v>
          </cell>
          <cell r="AK346" t="str">
            <v>Unaffected lots</v>
          </cell>
          <cell r="AL346" t="str">
            <v>Unaffected lots</v>
          </cell>
          <cell r="AM346" t="b">
            <v>0</v>
          </cell>
          <cell r="AN346" t="str">
            <v>NO</v>
          </cell>
          <cell r="AO346" t="str">
            <v>B3 - Lot Only</v>
          </cell>
          <cell r="AP346">
            <v>104</v>
          </cell>
          <cell r="AQ346" t="str">
            <v>PCS-277865</v>
          </cell>
          <cell r="AR346" t="b">
            <v>1</v>
          </cell>
          <cell r="AS346" t="str">
            <v>Done</v>
          </cell>
          <cell r="AT346" t="str">
            <v>Lot Only - N/A</v>
          </cell>
          <cell r="AU346">
            <v>18</v>
          </cell>
          <cell r="AV346">
            <v>13</v>
          </cell>
          <cell r="AW346" t="str">
            <v>LO</v>
          </cell>
          <cell r="AX346">
            <v>104</v>
          </cell>
          <cell r="AY346" t="str">
            <v>N/A</v>
          </cell>
          <cell r="AZ346" t="str">
            <v>Lot Only</v>
          </cell>
          <cell r="BA346" t="str">
            <v>NA</v>
          </cell>
          <cell r="BB346" t="str">
            <v>N/A</v>
          </cell>
          <cell r="BC346" t="str">
            <v>N/A - LOT ONLY</v>
          </cell>
          <cell r="BD346" t="str">
            <v>-</v>
          </cell>
          <cell r="BE346" t="str">
            <v>N/A - LOT ONLY</v>
          </cell>
          <cell r="BF346" t="str">
            <v>N/A - LOT ONLY</v>
          </cell>
          <cell r="BG346">
            <v>2500000</v>
          </cell>
          <cell r="BH346">
            <v>1660000</v>
          </cell>
          <cell r="BI346">
            <v>100000</v>
          </cell>
          <cell r="BJ346">
            <v>1560000</v>
          </cell>
          <cell r="BK346">
            <v>167142.85714285713</v>
          </cell>
          <cell r="BL346">
            <v>1392857.142857143</v>
          </cell>
        </row>
        <row r="347">
          <cell r="D347" t="str">
            <v>OS</v>
          </cell>
          <cell r="E347"/>
          <cell r="F347">
            <v>327</v>
          </cell>
          <cell r="G347" t="str">
            <v>UNSOLD</v>
          </cell>
          <cell r="H347" t="str">
            <v>TS</v>
          </cell>
          <cell r="I347" t="str">
            <v>TS</v>
          </cell>
          <cell r="J347" t="str">
            <v>OS</v>
          </cell>
          <cell r="K347" t="str">
            <v>OS</v>
          </cell>
          <cell r="L347" t="str">
            <v>OS</v>
          </cell>
          <cell r="M347" t="str">
            <v>OS</v>
          </cell>
          <cell r="N347" t="str">
            <v>OS</v>
          </cell>
          <cell r="O347" t="str">
            <v>OS</v>
          </cell>
          <cell r="P347" t="str">
            <v>OS</v>
          </cell>
          <cell r="Q347" t="str">
            <v>OS</v>
          </cell>
          <cell r="R347" t="str">
            <v>OS</v>
          </cell>
          <cell r="S347" t="str">
            <v>OS</v>
          </cell>
          <cell r="T347" t="str">
            <v>OS</v>
          </cell>
          <cell r="U347" t="str">
            <v>OS</v>
          </cell>
          <cell r="V347" t="str">
            <v>OS</v>
          </cell>
          <cell r="W347" t="str">
            <v>OS</v>
          </cell>
          <cell r="X347" t="str">
            <v>OS</v>
          </cell>
          <cell r="Y347" t="str">
            <v>OS</v>
          </cell>
          <cell r="Z347" t="str">
            <v>OS</v>
          </cell>
          <cell r="AA347" t="str">
            <v>OS</v>
          </cell>
          <cell r="AB347" t="str">
            <v>OS</v>
          </cell>
          <cell r="AC347" t="str">
            <v>OS</v>
          </cell>
          <cell r="AD347" t="str">
            <v>AGM-01-019-001</v>
          </cell>
          <cell r="AE347" t="str">
            <v xml:space="preserve">Raemulan Lands, Inc. </v>
          </cell>
          <cell r="AF347" t="str">
            <v>Agapeya</v>
          </cell>
          <cell r="AG347" t="str">
            <v>AGM</v>
          </cell>
          <cell r="AH347" t="str">
            <v>Eco-High</v>
          </cell>
          <cell r="AI347" t="str">
            <v>West</v>
          </cell>
          <cell r="AJ347" t="str">
            <v>Without LTS</v>
          </cell>
          <cell r="AK347" t="str">
            <v>Unaffected lots</v>
          </cell>
          <cell r="AL347" t="str">
            <v>Unaffected lots</v>
          </cell>
          <cell r="AM347" t="b">
            <v>0</v>
          </cell>
          <cell r="AN347" t="str">
            <v>NO</v>
          </cell>
          <cell r="AO347" t="str">
            <v>B3 2025</v>
          </cell>
          <cell r="AP347">
            <v>70</v>
          </cell>
          <cell r="AQ347" t="str">
            <v>PCS-277865</v>
          </cell>
          <cell r="AR347" t="b">
            <v>1</v>
          </cell>
          <cell r="AS347" t="str">
            <v>Done</v>
          </cell>
          <cell r="AT347" t="str">
            <v>2025 - Batch 5</v>
          </cell>
          <cell r="AU347">
            <v>19</v>
          </cell>
          <cell r="AV347">
            <v>1</v>
          </cell>
          <cell r="AW347" t="str">
            <v>H+L</v>
          </cell>
          <cell r="AX347">
            <v>70</v>
          </cell>
          <cell r="AY347">
            <v>50</v>
          </cell>
          <cell r="AZ347" t="str">
            <v>Duplex</v>
          </cell>
          <cell r="BA347">
            <v>1</v>
          </cell>
          <cell r="BB347" t="str">
            <v>568 - Without Partition</v>
          </cell>
          <cell r="BC347" t="str">
            <v xml:space="preserve">Without Partition </v>
          </cell>
          <cell r="BD347" t="str">
            <v>Slant</v>
          </cell>
          <cell r="BE347" t="str">
            <v xml:space="preserve">Without Partition </v>
          </cell>
          <cell r="BF347" t="str">
            <v>PINK</v>
          </cell>
          <cell r="BG347">
            <v>2500000</v>
          </cell>
          <cell r="BH347">
            <v>2650000</v>
          </cell>
          <cell r="BI347">
            <v>100000</v>
          </cell>
          <cell r="BJ347">
            <v>2550000</v>
          </cell>
          <cell r="BK347">
            <v>0</v>
          </cell>
          <cell r="BL347">
            <v>2550000</v>
          </cell>
        </row>
        <row r="348">
          <cell r="D348" t="str">
            <v>OS</v>
          </cell>
          <cell r="E348"/>
          <cell r="F348">
            <v>328</v>
          </cell>
          <cell r="G348" t="str">
            <v>CLOSED</v>
          </cell>
          <cell r="H348" t="str">
            <v>OPEN</v>
          </cell>
          <cell r="I348" t="str">
            <v>TS</v>
          </cell>
          <cell r="J348" t="str">
            <v>TS</v>
          </cell>
          <cell r="K348" t="str">
            <v>TS</v>
          </cell>
          <cell r="L348" t="str">
            <v>TS</v>
          </cell>
          <cell r="M348" t="str">
            <v>TS</v>
          </cell>
          <cell r="N348" t="str">
            <v>OS</v>
          </cell>
          <cell r="O348" t="str">
            <v>OS</v>
          </cell>
          <cell r="P348" t="str">
            <v>OS</v>
          </cell>
          <cell r="Q348" t="str">
            <v>OS</v>
          </cell>
          <cell r="R348" t="str">
            <v>OS</v>
          </cell>
          <cell r="S348" t="str">
            <v>OS</v>
          </cell>
          <cell r="T348" t="str">
            <v>OS</v>
          </cell>
          <cell r="U348" t="str">
            <v>OS</v>
          </cell>
          <cell r="V348" t="str">
            <v>OS</v>
          </cell>
          <cell r="W348" t="str">
            <v>OS</v>
          </cell>
          <cell r="X348" t="str">
            <v>OS</v>
          </cell>
          <cell r="Y348" t="str">
            <v>OS</v>
          </cell>
          <cell r="Z348" t="str">
            <v>OS</v>
          </cell>
          <cell r="AA348" t="str">
            <v>OS</v>
          </cell>
          <cell r="AB348" t="str">
            <v>OS</v>
          </cell>
          <cell r="AC348" t="str">
            <v>OS</v>
          </cell>
          <cell r="AD348" t="str">
            <v>AGM-01-019-002</v>
          </cell>
          <cell r="AE348" t="str">
            <v xml:space="preserve">Raemulan Lands, Inc. </v>
          </cell>
          <cell r="AF348" t="str">
            <v>Agapeya</v>
          </cell>
          <cell r="AG348" t="str">
            <v>AGM</v>
          </cell>
          <cell r="AH348" t="str">
            <v>Eco-High</v>
          </cell>
          <cell r="AI348" t="str">
            <v>West</v>
          </cell>
          <cell r="AJ348" t="str">
            <v>Without LTS</v>
          </cell>
          <cell r="AK348" t="str">
            <v>Unaffected lots</v>
          </cell>
          <cell r="AL348" t="str">
            <v>Unaffected lots</v>
          </cell>
          <cell r="AM348" t="b">
            <v>0</v>
          </cell>
          <cell r="AN348" t="str">
            <v>NO</v>
          </cell>
          <cell r="AO348" t="str">
            <v>B4 2025</v>
          </cell>
          <cell r="AP348">
            <v>70</v>
          </cell>
          <cell r="AQ348" t="str">
            <v>PCS-277865</v>
          </cell>
          <cell r="AR348" t="b">
            <v>1</v>
          </cell>
          <cell r="AS348" t="str">
            <v>Done</v>
          </cell>
          <cell r="AT348" t="str">
            <v>2025 - Batch 5</v>
          </cell>
          <cell r="AU348">
            <v>19</v>
          </cell>
          <cell r="AV348">
            <v>2</v>
          </cell>
          <cell r="AW348" t="str">
            <v>H+L</v>
          </cell>
          <cell r="AX348">
            <v>70</v>
          </cell>
          <cell r="AY348">
            <v>50</v>
          </cell>
          <cell r="AZ348" t="str">
            <v>Duplex</v>
          </cell>
          <cell r="BA348">
            <v>1</v>
          </cell>
          <cell r="BB348" t="str">
            <v>568 - Without Partition</v>
          </cell>
          <cell r="BC348" t="str">
            <v xml:space="preserve">Without Partition </v>
          </cell>
          <cell r="BD348" t="str">
            <v>Flat</v>
          </cell>
          <cell r="BE348" t="str">
            <v xml:space="preserve">Without Partition </v>
          </cell>
          <cell r="BF348" t="str">
            <v>PINK</v>
          </cell>
          <cell r="BG348">
            <v>2500000</v>
          </cell>
          <cell r="BH348">
            <v>2650000</v>
          </cell>
          <cell r="BI348">
            <v>100000</v>
          </cell>
          <cell r="BJ348">
            <v>2550000</v>
          </cell>
          <cell r="BK348">
            <v>0</v>
          </cell>
          <cell r="BL348">
            <v>2550000</v>
          </cell>
        </row>
        <row r="349">
          <cell r="D349" t="str">
            <v>OS</v>
          </cell>
          <cell r="E349"/>
          <cell r="F349">
            <v>329</v>
          </cell>
          <cell r="G349" t="str">
            <v>UNSOLD</v>
          </cell>
          <cell r="H349" t="str">
            <v>TS</v>
          </cell>
          <cell r="I349" t="str">
            <v>TS</v>
          </cell>
          <cell r="J349" t="str">
            <v>OS</v>
          </cell>
          <cell r="K349" t="str">
            <v>OS</v>
          </cell>
          <cell r="L349" t="str">
            <v>OS</v>
          </cell>
          <cell r="M349" t="str">
            <v>OS</v>
          </cell>
          <cell r="N349" t="str">
            <v>OS</v>
          </cell>
          <cell r="O349" t="str">
            <v>OS</v>
          </cell>
          <cell r="P349" t="str">
            <v>OS</v>
          </cell>
          <cell r="Q349" t="str">
            <v>OS</v>
          </cell>
          <cell r="R349" t="str">
            <v>OS</v>
          </cell>
          <cell r="S349" t="str">
            <v>OS</v>
          </cell>
          <cell r="T349" t="str">
            <v>OS</v>
          </cell>
          <cell r="U349" t="str">
            <v>OS</v>
          </cell>
          <cell r="V349" t="str">
            <v>OS</v>
          </cell>
          <cell r="W349" t="str">
            <v>OS</v>
          </cell>
          <cell r="X349" t="str">
            <v>OS</v>
          </cell>
          <cell r="Y349" t="str">
            <v>OS</v>
          </cell>
          <cell r="Z349" t="str">
            <v>OS</v>
          </cell>
          <cell r="AA349" t="str">
            <v>OS</v>
          </cell>
          <cell r="AB349" t="str">
            <v>OS</v>
          </cell>
          <cell r="AC349" t="str">
            <v>OS</v>
          </cell>
          <cell r="AD349" t="str">
            <v>AGM-01-019-003</v>
          </cell>
          <cell r="AE349" t="str">
            <v xml:space="preserve">Raemulan Lands, Inc. </v>
          </cell>
          <cell r="AF349" t="str">
            <v>Agapeya</v>
          </cell>
          <cell r="AG349" t="str">
            <v>AGM</v>
          </cell>
          <cell r="AH349" t="str">
            <v>Eco-High</v>
          </cell>
          <cell r="AI349" t="str">
            <v>West</v>
          </cell>
          <cell r="AJ349" t="str">
            <v>Without LTS</v>
          </cell>
          <cell r="AK349" t="str">
            <v>Unaffected lots</v>
          </cell>
          <cell r="AL349" t="str">
            <v>Unaffected lots</v>
          </cell>
          <cell r="AM349" t="b">
            <v>0</v>
          </cell>
          <cell r="AN349" t="str">
            <v>NO</v>
          </cell>
          <cell r="AO349" t="str">
            <v>B4 2025</v>
          </cell>
          <cell r="AP349">
            <v>70</v>
          </cell>
          <cell r="AQ349" t="str">
            <v>PCS-277865</v>
          </cell>
          <cell r="AR349" t="b">
            <v>1</v>
          </cell>
          <cell r="AS349" t="str">
            <v>Done</v>
          </cell>
          <cell r="AT349" t="str">
            <v>2025 - Batch 5</v>
          </cell>
          <cell r="AU349">
            <v>19</v>
          </cell>
          <cell r="AV349">
            <v>3</v>
          </cell>
          <cell r="AW349" t="str">
            <v>H+L</v>
          </cell>
          <cell r="AX349">
            <v>70</v>
          </cell>
          <cell r="AY349">
            <v>50</v>
          </cell>
          <cell r="AZ349" t="str">
            <v>Duplex</v>
          </cell>
          <cell r="BA349">
            <v>1</v>
          </cell>
          <cell r="BB349" t="str">
            <v>568 - Without Partition</v>
          </cell>
          <cell r="BC349" t="str">
            <v xml:space="preserve">Without Partition </v>
          </cell>
          <cell r="BD349" t="str">
            <v>Flat</v>
          </cell>
          <cell r="BE349" t="str">
            <v xml:space="preserve">Without Partition </v>
          </cell>
          <cell r="BF349" t="str">
            <v>PINK</v>
          </cell>
          <cell r="BG349">
            <v>2500000</v>
          </cell>
          <cell r="BH349">
            <v>2650000</v>
          </cell>
          <cell r="BI349">
            <v>100000</v>
          </cell>
          <cell r="BJ349">
            <v>2550000</v>
          </cell>
          <cell r="BK349">
            <v>0</v>
          </cell>
          <cell r="BL349">
            <v>2550000</v>
          </cell>
        </row>
        <row r="350">
          <cell r="D350" t="str">
            <v>OS</v>
          </cell>
          <cell r="E350"/>
          <cell r="F350">
            <v>330</v>
          </cell>
          <cell r="G350" t="str">
            <v>UNSOLD</v>
          </cell>
          <cell r="H350" t="str">
            <v>OS</v>
          </cell>
          <cell r="I350" t="str">
            <v>OS</v>
          </cell>
          <cell r="J350" t="str">
            <v>OS</v>
          </cell>
          <cell r="K350" t="str">
            <v>OS</v>
          </cell>
          <cell r="L350" t="str">
            <v>OS</v>
          </cell>
          <cell r="M350" t="str">
            <v>OS</v>
          </cell>
          <cell r="N350" t="str">
            <v>OS</v>
          </cell>
          <cell r="O350" t="str">
            <v>OS</v>
          </cell>
          <cell r="P350" t="str">
            <v>OS</v>
          </cell>
          <cell r="Q350" t="str">
            <v>OS</v>
          </cell>
          <cell r="R350" t="str">
            <v>OS</v>
          </cell>
          <cell r="S350" t="str">
            <v>OS</v>
          </cell>
          <cell r="T350" t="str">
            <v>OS</v>
          </cell>
          <cell r="U350" t="str">
            <v>OS</v>
          </cell>
          <cell r="V350" t="str">
            <v>OS</v>
          </cell>
          <cell r="W350" t="str">
            <v>OS</v>
          </cell>
          <cell r="X350" t="str">
            <v>OS</v>
          </cell>
          <cell r="Y350" t="str">
            <v>OS</v>
          </cell>
          <cell r="Z350" t="str">
            <v>OS</v>
          </cell>
          <cell r="AA350" t="str">
            <v>OS</v>
          </cell>
          <cell r="AB350" t="str">
            <v>OS</v>
          </cell>
          <cell r="AC350" t="str">
            <v>OS</v>
          </cell>
          <cell r="AD350" t="str">
            <v>AGM-01-019-004</v>
          </cell>
          <cell r="AE350" t="str">
            <v xml:space="preserve">Raemulan Lands, Inc. </v>
          </cell>
          <cell r="AF350" t="str">
            <v>Agapeya</v>
          </cell>
          <cell r="AG350" t="str">
            <v>AGM</v>
          </cell>
          <cell r="AH350" t="str">
            <v>Eco-High</v>
          </cell>
          <cell r="AI350" t="str">
            <v>West</v>
          </cell>
          <cell r="AJ350" t="str">
            <v>Without LTS</v>
          </cell>
          <cell r="AK350" t="str">
            <v>Unaffected lots</v>
          </cell>
          <cell r="AL350" t="str">
            <v>Unaffected lots</v>
          </cell>
          <cell r="AM350" t="b">
            <v>0</v>
          </cell>
          <cell r="AN350" t="str">
            <v>NO</v>
          </cell>
          <cell r="AO350" t="str">
            <v>B4 2025</v>
          </cell>
          <cell r="AP350">
            <v>70</v>
          </cell>
          <cell r="AQ350" t="str">
            <v>PCS-277865</v>
          </cell>
          <cell r="AR350" t="b">
            <v>1</v>
          </cell>
          <cell r="AS350" t="str">
            <v>Done</v>
          </cell>
          <cell r="AT350" t="str">
            <v>2025 - Batch 5</v>
          </cell>
          <cell r="AU350">
            <v>19</v>
          </cell>
          <cell r="AV350">
            <v>4</v>
          </cell>
          <cell r="AW350" t="str">
            <v>H+L</v>
          </cell>
          <cell r="AX350">
            <v>70</v>
          </cell>
          <cell r="AY350">
            <v>50</v>
          </cell>
          <cell r="AZ350" t="str">
            <v>Duplex</v>
          </cell>
          <cell r="BA350">
            <v>1</v>
          </cell>
          <cell r="BB350" t="str">
            <v>568 - Without Partition</v>
          </cell>
          <cell r="BC350" t="str">
            <v xml:space="preserve">Without Partition </v>
          </cell>
          <cell r="BD350" t="str">
            <v>Slant</v>
          </cell>
          <cell r="BE350" t="str">
            <v xml:space="preserve">Without Partition </v>
          </cell>
          <cell r="BF350" t="str">
            <v>PINK</v>
          </cell>
          <cell r="BG350">
            <v>2500000</v>
          </cell>
          <cell r="BH350">
            <v>2650000</v>
          </cell>
          <cell r="BI350">
            <v>100000</v>
          </cell>
          <cell r="BJ350">
            <v>2550000</v>
          </cell>
          <cell r="BK350">
            <v>0</v>
          </cell>
          <cell r="BL350">
            <v>2550000</v>
          </cell>
        </row>
        <row r="351">
          <cell r="D351" t="str">
            <v>OS</v>
          </cell>
          <cell r="E351"/>
          <cell r="F351">
            <v>331</v>
          </cell>
          <cell r="G351" t="str">
            <v>SOLD</v>
          </cell>
          <cell r="H351" t="str">
            <v>OS</v>
          </cell>
          <cell r="I351" t="str">
            <v>OS</v>
          </cell>
          <cell r="J351" t="str">
            <v>OS</v>
          </cell>
          <cell r="K351" t="str">
            <v>OS</v>
          </cell>
          <cell r="L351" t="str">
            <v>OS</v>
          </cell>
          <cell r="M351" t="str">
            <v>OS</v>
          </cell>
          <cell r="N351" t="str">
            <v>OS</v>
          </cell>
          <cell r="O351" t="str">
            <v>OS</v>
          </cell>
          <cell r="P351" t="str">
            <v>OS</v>
          </cell>
          <cell r="Q351" t="str">
            <v>OS</v>
          </cell>
          <cell r="R351" t="str">
            <v>OS</v>
          </cell>
          <cell r="S351" t="str">
            <v>OS</v>
          </cell>
          <cell r="T351" t="str">
            <v>OS</v>
          </cell>
          <cell r="U351" t="str">
            <v>OS</v>
          </cell>
          <cell r="V351" t="str">
            <v>OS</v>
          </cell>
          <cell r="W351" t="str">
            <v>OS</v>
          </cell>
          <cell r="X351" t="str">
            <v>OS</v>
          </cell>
          <cell r="Y351" t="str">
            <v>OS</v>
          </cell>
          <cell r="Z351" t="str">
            <v>OS</v>
          </cell>
          <cell r="AA351" t="str">
            <v>OS</v>
          </cell>
          <cell r="AB351" t="str">
            <v>OS</v>
          </cell>
          <cell r="AC351" t="str">
            <v>OS</v>
          </cell>
          <cell r="AD351" t="str">
            <v>AGM-01-019-005</v>
          </cell>
          <cell r="AE351" t="str">
            <v xml:space="preserve">Raemulan Lands, Inc. </v>
          </cell>
          <cell r="AF351" t="str">
            <v>Agapeya</v>
          </cell>
          <cell r="AG351" t="str">
            <v>AGM</v>
          </cell>
          <cell r="AH351" t="str">
            <v>Eco-High</v>
          </cell>
          <cell r="AI351" t="str">
            <v>West</v>
          </cell>
          <cell r="AJ351" t="str">
            <v>Without LTS</v>
          </cell>
          <cell r="AK351" t="str">
            <v>Unaffected lots</v>
          </cell>
          <cell r="AL351" t="str">
            <v>Unaffected lots</v>
          </cell>
          <cell r="AM351" t="b">
            <v>0</v>
          </cell>
          <cell r="AN351" t="str">
            <v>NO</v>
          </cell>
          <cell r="AO351" t="str">
            <v>B4 2025</v>
          </cell>
          <cell r="AP351">
            <v>70</v>
          </cell>
          <cell r="AQ351" t="str">
            <v>PCS-277865</v>
          </cell>
          <cell r="AR351" t="b">
            <v>1</v>
          </cell>
          <cell r="AS351" t="str">
            <v>Done</v>
          </cell>
          <cell r="AT351" t="str">
            <v>2025 - Batch 5</v>
          </cell>
          <cell r="AU351">
            <v>19</v>
          </cell>
          <cell r="AV351">
            <v>5</v>
          </cell>
          <cell r="AW351" t="str">
            <v>H+L</v>
          </cell>
          <cell r="AX351">
            <v>70</v>
          </cell>
          <cell r="AY351">
            <v>50</v>
          </cell>
          <cell r="AZ351" t="str">
            <v>Duplex</v>
          </cell>
          <cell r="BA351">
            <v>1</v>
          </cell>
          <cell r="BB351" t="str">
            <v>568 - Without Partition</v>
          </cell>
          <cell r="BC351" t="str">
            <v xml:space="preserve">Without Partition </v>
          </cell>
          <cell r="BD351" t="str">
            <v>Flat</v>
          </cell>
          <cell r="BE351" t="str">
            <v xml:space="preserve">Without Partition </v>
          </cell>
          <cell r="BF351" t="str">
            <v>GREEN</v>
          </cell>
          <cell r="BG351">
            <v>2500000</v>
          </cell>
          <cell r="BH351">
            <v>2650000</v>
          </cell>
          <cell r="BI351">
            <v>100000</v>
          </cell>
          <cell r="BJ351">
            <v>2550000</v>
          </cell>
          <cell r="BK351">
            <v>0</v>
          </cell>
          <cell r="BL351">
            <v>2550000</v>
          </cell>
        </row>
        <row r="352">
          <cell r="D352" t="str">
            <v>OS</v>
          </cell>
          <cell r="E352"/>
          <cell r="F352">
            <v>332</v>
          </cell>
          <cell r="G352" t="str">
            <v>SOLD</v>
          </cell>
          <cell r="H352" t="str">
            <v>OS</v>
          </cell>
          <cell r="I352" t="str">
            <v>OS</v>
          </cell>
          <cell r="J352" t="str">
            <v>OS</v>
          </cell>
          <cell r="K352" t="str">
            <v>OS</v>
          </cell>
          <cell r="L352" t="str">
            <v>OS</v>
          </cell>
          <cell r="M352" t="str">
            <v>OS</v>
          </cell>
          <cell r="N352" t="str">
            <v>OS</v>
          </cell>
          <cell r="O352" t="str">
            <v>OS</v>
          </cell>
          <cell r="P352" t="str">
            <v>OS</v>
          </cell>
          <cell r="Q352" t="str">
            <v>OS</v>
          </cell>
          <cell r="R352" t="str">
            <v>OS</v>
          </cell>
          <cell r="S352" t="str">
            <v>OS</v>
          </cell>
          <cell r="T352" t="str">
            <v>OS</v>
          </cell>
          <cell r="U352" t="str">
            <v>OS</v>
          </cell>
          <cell r="V352" t="str">
            <v>OS</v>
          </cell>
          <cell r="W352" t="str">
            <v>OS</v>
          </cell>
          <cell r="X352" t="str">
            <v>OS</v>
          </cell>
          <cell r="Y352" t="str">
            <v>OS</v>
          </cell>
          <cell r="Z352" t="str">
            <v>OS</v>
          </cell>
          <cell r="AA352" t="str">
            <v>OS</v>
          </cell>
          <cell r="AB352" t="str">
            <v>OS</v>
          </cell>
          <cell r="AC352" t="str">
            <v>OS</v>
          </cell>
          <cell r="AD352" t="str">
            <v>AGM-01-019-006</v>
          </cell>
          <cell r="AE352" t="str">
            <v xml:space="preserve">Raemulan Lands, Inc. </v>
          </cell>
          <cell r="AF352" t="str">
            <v>Agapeya</v>
          </cell>
          <cell r="AG352" t="str">
            <v>AGM</v>
          </cell>
          <cell r="AH352" t="str">
            <v>Eco-High</v>
          </cell>
          <cell r="AI352" t="str">
            <v>West</v>
          </cell>
          <cell r="AJ352" t="str">
            <v>Without LTS</v>
          </cell>
          <cell r="AK352" t="str">
            <v>Unaffected lots</v>
          </cell>
          <cell r="AL352" t="str">
            <v>Unaffected lots</v>
          </cell>
          <cell r="AM352" t="b">
            <v>0</v>
          </cell>
          <cell r="AN352" t="str">
            <v>NO</v>
          </cell>
          <cell r="AO352" t="str">
            <v>B4 2025</v>
          </cell>
          <cell r="AP352">
            <v>70</v>
          </cell>
          <cell r="AQ352" t="str">
            <v>PCS-277865</v>
          </cell>
          <cell r="AR352" t="b">
            <v>1</v>
          </cell>
          <cell r="AS352" t="str">
            <v>Done</v>
          </cell>
          <cell r="AT352" t="str">
            <v>2025 - Batch 5</v>
          </cell>
          <cell r="AU352">
            <v>19</v>
          </cell>
          <cell r="AV352">
            <v>6</v>
          </cell>
          <cell r="AW352" t="str">
            <v>H+L</v>
          </cell>
          <cell r="AX352">
            <v>70</v>
          </cell>
          <cell r="AY352">
            <v>50</v>
          </cell>
          <cell r="AZ352" t="str">
            <v>Duplex</v>
          </cell>
          <cell r="BA352">
            <v>1</v>
          </cell>
          <cell r="BB352" t="str">
            <v>568 - Without Partition</v>
          </cell>
          <cell r="BC352" t="str">
            <v xml:space="preserve">Without Partition </v>
          </cell>
          <cell r="BD352" t="str">
            <v>Slant</v>
          </cell>
          <cell r="BE352" t="str">
            <v xml:space="preserve">Without Partition </v>
          </cell>
          <cell r="BF352" t="str">
            <v>GREEN</v>
          </cell>
          <cell r="BG352">
            <v>2500000</v>
          </cell>
          <cell r="BH352">
            <v>2650000</v>
          </cell>
          <cell r="BI352">
            <v>100000</v>
          </cell>
          <cell r="BJ352">
            <v>2550000</v>
          </cell>
          <cell r="BK352">
            <v>0</v>
          </cell>
          <cell r="BL352">
            <v>2550000</v>
          </cell>
        </row>
        <row r="353">
          <cell r="D353" t="str">
            <v>OS</v>
          </cell>
          <cell r="E353"/>
          <cell r="F353">
            <v>333</v>
          </cell>
          <cell r="G353" t="str">
            <v>UNSOLD</v>
          </cell>
          <cell r="H353" t="str">
            <v>TS</v>
          </cell>
          <cell r="I353" t="str">
            <v>TS</v>
          </cell>
          <cell r="J353" t="str">
            <v>TS</v>
          </cell>
          <cell r="K353" t="str">
            <v>TS</v>
          </cell>
          <cell r="L353" t="str">
            <v>TS</v>
          </cell>
          <cell r="M353" t="str">
            <v>TS</v>
          </cell>
          <cell r="N353" t="str">
            <v>OS</v>
          </cell>
          <cell r="O353" t="str">
            <v>OS</v>
          </cell>
          <cell r="P353" t="str">
            <v>OS</v>
          </cell>
          <cell r="Q353" t="str">
            <v>OS</v>
          </cell>
          <cell r="R353" t="str">
            <v>OS</v>
          </cell>
          <cell r="S353" t="str">
            <v>OS</v>
          </cell>
          <cell r="T353" t="str">
            <v>OS</v>
          </cell>
          <cell r="U353" t="str">
            <v>OS</v>
          </cell>
          <cell r="V353" t="str">
            <v>OS</v>
          </cell>
          <cell r="W353" t="str">
            <v>OS</v>
          </cell>
          <cell r="X353" t="str">
            <v>OS</v>
          </cell>
          <cell r="Y353" t="str">
            <v>OS</v>
          </cell>
          <cell r="Z353" t="str">
            <v>OS</v>
          </cell>
          <cell r="AA353" t="str">
            <v>OS</v>
          </cell>
          <cell r="AB353" t="str">
            <v>OS</v>
          </cell>
          <cell r="AC353" t="str">
            <v>OS</v>
          </cell>
          <cell r="AD353" t="str">
            <v>AGM-01-019-007</v>
          </cell>
          <cell r="AE353" t="str">
            <v xml:space="preserve">Raemulan Lands, Inc. </v>
          </cell>
          <cell r="AF353" t="str">
            <v>Agapeya</v>
          </cell>
          <cell r="AG353" t="str">
            <v>AGM</v>
          </cell>
          <cell r="AH353" t="str">
            <v>Eco-High</v>
          </cell>
          <cell r="AI353" t="str">
            <v>West</v>
          </cell>
          <cell r="AJ353" t="str">
            <v>Without LTS</v>
          </cell>
          <cell r="AK353" t="str">
            <v>Unaffected lots</v>
          </cell>
          <cell r="AL353" t="str">
            <v>Unaffected lots</v>
          </cell>
          <cell r="AM353" t="b">
            <v>0</v>
          </cell>
          <cell r="AN353" t="str">
            <v>NO</v>
          </cell>
          <cell r="AO353" t="str">
            <v>B4 2025</v>
          </cell>
          <cell r="AP353">
            <v>70</v>
          </cell>
          <cell r="AQ353" t="str">
            <v>PCS-277865</v>
          </cell>
          <cell r="AR353" t="b">
            <v>1</v>
          </cell>
          <cell r="AS353" t="str">
            <v>Done</v>
          </cell>
          <cell r="AT353" t="str">
            <v>2025 - Batch 5</v>
          </cell>
          <cell r="AU353">
            <v>19</v>
          </cell>
          <cell r="AV353">
            <v>7</v>
          </cell>
          <cell r="AW353" t="str">
            <v>H+L</v>
          </cell>
          <cell r="AX353">
            <v>70</v>
          </cell>
          <cell r="AY353">
            <v>50</v>
          </cell>
          <cell r="AZ353" t="str">
            <v>Duplex</v>
          </cell>
          <cell r="BA353">
            <v>1</v>
          </cell>
          <cell r="BB353" t="str">
            <v>568 - Without Partition</v>
          </cell>
          <cell r="BC353" t="str">
            <v xml:space="preserve">Without Partition </v>
          </cell>
          <cell r="BD353" t="str">
            <v>Slant</v>
          </cell>
          <cell r="BE353" t="str">
            <v xml:space="preserve">Without Partition </v>
          </cell>
          <cell r="BF353" t="str">
            <v>GREEN</v>
          </cell>
          <cell r="BG353">
            <v>2500000</v>
          </cell>
          <cell r="BH353">
            <v>2650000</v>
          </cell>
          <cell r="BI353">
            <v>100000</v>
          </cell>
          <cell r="BJ353">
            <v>2550000</v>
          </cell>
          <cell r="BK353">
            <v>0</v>
          </cell>
          <cell r="BL353">
            <v>2550000</v>
          </cell>
        </row>
        <row r="354">
          <cell r="D354" t="str">
            <v>OS</v>
          </cell>
          <cell r="E354"/>
          <cell r="F354">
            <v>334</v>
          </cell>
          <cell r="G354" t="str">
            <v>SOLD</v>
          </cell>
          <cell r="H354" t="str">
            <v>OS</v>
          </cell>
          <cell r="I354" t="str">
            <v>OS</v>
          </cell>
          <cell r="J354" t="str">
            <v>OS</v>
          </cell>
          <cell r="K354" t="str">
            <v>OS</v>
          </cell>
          <cell r="L354" t="str">
            <v>OS</v>
          </cell>
          <cell r="M354" t="str">
            <v>OS</v>
          </cell>
          <cell r="N354" t="str">
            <v>OS</v>
          </cell>
          <cell r="O354" t="str">
            <v>OS</v>
          </cell>
          <cell r="P354" t="str">
            <v>OS</v>
          </cell>
          <cell r="Q354" t="str">
            <v>OS</v>
          </cell>
          <cell r="R354" t="str">
            <v>OS</v>
          </cell>
          <cell r="S354" t="str">
            <v>OS</v>
          </cell>
          <cell r="T354" t="str">
            <v>OS</v>
          </cell>
          <cell r="U354" t="str">
            <v>OS</v>
          </cell>
          <cell r="V354" t="str">
            <v>OS</v>
          </cell>
          <cell r="W354" t="str">
            <v>OS</v>
          </cell>
          <cell r="X354" t="str">
            <v>OS</v>
          </cell>
          <cell r="Y354" t="str">
            <v>OS</v>
          </cell>
          <cell r="Z354" t="str">
            <v>OS</v>
          </cell>
          <cell r="AA354" t="str">
            <v>OS</v>
          </cell>
          <cell r="AB354" t="str">
            <v>OS</v>
          </cell>
          <cell r="AC354" t="str">
            <v>OS</v>
          </cell>
          <cell r="AD354" t="str">
            <v>AGM-01-019-008</v>
          </cell>
          <cell r="AE354" t="str">
            <v xml:space="preserve">Raemulan Lands, Inc. </v>
          </cell>
          <cell r="AF354" t="str">
            <v>Agapeya</v>
          </cell>
          <cell r="AG354" t="str">
            <v>AGM</v>
          </cell>
          <cell r="AH354" t="str">
            <v>Eco-High</v>
          </cell>
          <cell r="AI354" t="str">
            <v>West</v>
          </cell>
          <cell r="AJ354" t="str">
            <v>Without LTS</v>
          </cell>
          <cell r="AK354" t="str">
            <v>Unaffected lots</v>
          </cell>
          <cell r="AL354" t="str">
            <v>Unaffected lots</v>
          </cell>
          <cell r="AM354" t="b">
            <v>0</v>
          </cell>
          <cell r="AN354" t="str">
            <v>NO</v>
          </cell>
          <cell r="AO354" t="str">
            <v>B3 2025</v>
          </cell>
          <cell r="AP354">
            <v>70</v>
          </cell>
          <cell r="AQ354" t="str">
            <v>PCS-277865</v>
          </cell>
          <cell r="AR354" t="b">
            <v>1</v>
          </cell>
          <cell r="AS354" t="str">
            <v>Done</v>
          </cell>
          <cell r="AT354" t="str">
            <v>2025 - Batch 5</v>
          </cell>
          <cell r="AU354">
            <v>19</v>
          </cell>
          <cell r="AV354">
            <v>8</v>
          </cell>
          <cell r="AW354" t="str">
            <v>H+L</v>
          </cell>
          <cell r="AX354">
            <v>70</v>
          </cell>
          <cell r="AY354">
            <v>50</v>
          </cell>
          <cell r="AZ354" t="str">
            <v>Duplex</v>
          </cell>
          <cell r="BA354">
            <v>1</v>
          </cell>
          <cell r="BB354" t="str">
            <v>568 - Without Partition</v>
          </cell>
          <cell r="BC354" t="str">
            <v xml:space="preserve">Without Partition </v>
          </cell>
          <cell r="BD354" t="str">
            <v>Flat</v>
          </cell>
          <cell r="BE354" t="str">
            <v xml:space="preserve">Without Partition </v>
          </cell>
          <cell r="BF354" t="str">
            <v>GREEN</v>
          </cell>
          <cell r="BG354">
            <v>2500000</v>
          </cell>
          <cell r="BH354">
            <v>2650000</v>
          </cell>
          <cell r="BI354">
            <v>100000</v>
          </cell>
          <cell r="BJ354">
            <v>2550000</v>
          </cell>
          <cell r="BK354">
            <v>0</v>
          </cell>
          <cell r="BL354">
            <v>2550000</v>
          </cell>
        </row>
        <row r="355">
          <cell r="D355" t="str">
            <v>OS</v>
          </cell>
          <cell r="E355"/>
          <cell r="F355">
            <v>335</v>
          </cell>
          <cell r="G355" t="str">
            <v>UNSOLD</v>
          </cell>
          <cell r="H355" t="str">
            <v>OS</v>
          </cell>
          <cell r="I355" t="str">
            <v>OS</v>
          </cell>
          <cell r="J355" t="str">
            <v>OS</v>
          </cell>
          <cell r="K355" t="str">
            <v>OS</v>
          </cell>
          <cell r="L355" t="str">
            <v>OS</v>
          </cell>
          <cell r="M355" t="str">
            <v>OS</v>
          </cell>
          <cell r="N355" t="str">
            <v>OS</v>
          </cell>
          <cell r="O355" t="str">
            <v>OS</v>
          </cell>
          <cell r="P355" t="str">
            <v>OS</v>
          </cell>
          <cell r="Q355" t="str">
            <v>OS</v>
          </cell>
          <cell r="R355" t="str">
            <v>OS</v>
          </cell>
          <cell r="S355" t="str">
            <v>OS</v>
          </cell>
          <cell r="T355" t="str">
            <v>OS</v>
          </cell>
          <cell r="U355" t="str">
            <v>OS</v>
          </cell>
          <cell r="V355" t="str">
            <v>OS</v>
          </cell>
          <cell r="W355" t="str">
            <v>OS</v>
          </cell>
          <cell r="X355" t="str">
            <v>OS</v>
          </cell>
          <cell r="Y355" t="str">
            <v>OS</v>
          </cell>
          <cell r="Z355" t="str">
            <v>OS</v>
          </cell>
          <cell r="AA355" t="str">
            <v>OS</v>
          </cell>
          <cell r="AB355" t="str">
            <v>OS</v>
          </cell>
          <cell r="AC355" t="str">
            <v>OS</v>
          </cell>
          <cell r="AD355" t="str">
            <v>AGM-01-020-001</v>
          </cell>
          <cell r="AE355" t="str">
            <v xml:space="preserve">Raemulan Lands, Inc. </v>
          </cell>
          <cell r="AF355" t="str">
            <v>Agapeya</v>
          </cell>
          <cell r="AG355" t="str">
            <v>AGM</v>
          </cell>
          <cell r="AH355" t="str">
            <v>Eco-High</v>
          </cell>
          <cell r="AI355" t="str">
            <v>West</v>
          </cell>
          <cell r="AJ355" t="str">
            <v>Without LTS</v>
          </cell>
          <cell r="AK355" t="str">
            <v>Unaffected lots</v>
          </cell>
          <cell r="AL355" t="str">
            <v>Unaffected lots</v>
          </cell>
          <cell r="AM355" t="b">
            <v>0</v>
          </cell>
          <cell r="AN355" t="str">
            <v>NO</v>
          </cell>
          <cell r="AO355" t="str">
            <v>B3 2025</v>
          </cell>
          <cell r="AP355">
            <v>70</v>
          </cell>
          <cell r="AQ355" t="str">
            <v>PCS-277865</v>
          </cell>
          <cell r="AR355" t="b">
            <v>1</v>
          </cell>
          <cell r="AS355" t="str">
            <v>Done</v>
          </cell>
          <cell r="AT355" t="str">
            <v>2025 - Batch 5</v>
          </cell>
          <cell r="AU355">
            <v>20</v>
          </cell>
          <cell r="AV355">
            <v>1</v>
          </cell>
          <cell r="AW355" t="str">
            <v>H+L</v>
          </cell>
          <cell r="AX355">
            <v>70</v>
          </cell>
          <cell r="AY355">
            <v>50</v>
          </cell>
          <cell r="AZ355" t="str">
            <v>Duplex</v>
          </cell>
          <cell r="BA355">
            <v>1</v>
          </cell>
          <cell r="BB355" t="str">
            <v>568 - Without Partition</v>
          </cell>
          <cell r="BC355" t="str">
            <v xml:space="preserve">Without Partition </v>
          </cell>
          <cell r="BD355" t="str">
            <v>Slant</v>
          </cell>
          <cell r="BE355" t="str">
            <v xml:space="preserve">Without Partition </v>
          </cell>
          <cell r="BF355" t="str">
            <v>PURPLE</v>
          </cell>
          <cell r="BG355">
            <v>2500000</v>
          </cell>
          <cell r="BH355">
            <v>2650000</v>
          </cell>
          <cell r="BI355">
            <v>100000</v>
          </cell>
          <cell r="BJ355">
            <v>2550000</v>
          </cell>
          <cell r="BK355">
            <v>0</v>
          </cell>
          <cell r="BL355">
            <v>2550000</v>
          </cell>
        </row>
        <row r="356">
          <cell r="D356" t="str">
            <v>OS</v>
          </cell>
          <cell r="E356"/>
          <cell r="F356">
            <v>336</v>
          </cell>
          <cell r="G356" t="str">
            <v>SOLD</v>
          </cell>
          <cell r="H356" t="str">
            <v>TS</v>
          </cell>
          <cell r="I356" t="str">
            <v>TS</v>
          </cell>
          <cell r="J356" t="str">
            <v>OS</v>
          </cell>
          <cell r="K356" t="str">
            <v>OS</v>
          </cell>
          <cell r="L356" t="str">
            <v>OS</v>
          </cell>
          <cell r="M356" t="str">
            <v>OS</v>
          </cell>
          <cell r="N356" t="str">
            <v>OS</v>
          </cell>
          <cell r="O356" t="str">
            <v>OS</v>
          </cell>
          <cell r="P356" t="str">
            <v>OS</v>
          </cell>
          <cell r="Q356" t="str">
            <v>OS</v>
          </cell>
          <cell r="R356" t="str">
            <v>OS</v>
          </cell>
          <cell r="S356" t="str">
            <v>OS</v>
          </cell>
          <cell r="T356" t="str">
            <v>OS</v>
          </cell>
          <cell r="U356" t="str">
            <v>OS</v>
          </cell>
          <cell r="V356" t="str">
            <v>OS</v>
          </cell>
          <cell r="W356" t="str">
            <v>OS</v>
          </cell>
          <cell r="X356" t="str">
            <v>OS</v>
          </cell>
          <cell r="Y356" t="str">
            <v>OS</v>
          </cell>
          <cell r="Z356" t="str">
            <v>OS</v>
          </cell>
          <cell r="AA356" t="str">
            <v>OS</v>
          </cell>
          <cell r="AB356" t="str">
            <v>OS</v>
          </cell>
          <cell r="AC356" t="str">
            <v>OS</v>
          </cell>
          <cell r="AD356" t="str">
            <v>AGM-01-020-002</v>
          </cell>
          <cell r="AE356" t="str">
            <v xml:space="preserve">Raemulan Lands, Inc. </v>
          </cell>
          <cell r="AF356" t="str">
            <v>Agapeya</v>
          </cell>
          <cell r="AG356" t="str">
            <v>AGM</v>
          </cell>
          <cell r="AH356" t="str">
            <v>Eco-High</v>
          </cell>
          <cell r="AI356" t="str">
            <v>West</v>
          </cell>
          <cell r="AJ356" t="str">
            <v>Without LTS</v>
          </cell>
          <cell r="AK356" t="str">
            <v>Unaffected lots</v>
          </cell>
          <cell r="AL356" t="str">
            <v>Unaffected lots</v>
          </cell>
          <cell r="AM356" t="b">
            <v>0</v>
          </cell>
          <cell r="AN356" t="str">
            <v>NO</v>
          </cell>
          <cell r="AO356" t="str">
            <v>B3 2025</v>
          </cell>
          <cell r="AP356">
            <v>70</v>
          </cell>
          <cell r="AQ356" t="str">
            <v>PCS-277865</v>
          </cell>
          <cell r="AR356" t="b">
            <v>1</v>
          </cell>
          <cell r="AS356" t="str">
            <v>Done</v>
          </cell>
          <cell r="AT356" t="str">
            <v>2025 - Batch 5</v>
          </cell>
          <cell r="AU356">
            <v>20</v>
          </cell>
          <cell r="AV356">
            <v>2</v>
          </cell>
          <cell r="AW356" t="str">
            <v>H+L</v>
          </cell>
          <cell r="AX356">
            <v>70</v>
          </cell>
          <cell r="AY356">
            <v>50</v>
          </cell>
          <cell r="AZ356" t="str">
            <v>Duplex</v>
          </cell>
          <cell r="BA356">
            <v>1</v>
          </cell>
          <cell r="BB356" t="str">
            <v>568 - Without Partition</v>
          </cell>
          <cell r="BC356" t="str">
            <v xml:space="preserve">Without Partition </v>
          </cell>
          <cell r="BD356" t="str">
            <v>Flat</v>
          </cell>
          <cell r="BE356" t="str">
            <v xml:space="preserve">Without Partition </v>
          </cell>
          <cell r="BF356" t="str">
            <v>PURPLE</v>
          </cell>
          <cell r="BG356">
            <v>2500000</v>
          </cell>
          <cell r="BH356">
            <v>2650000</v>
          </cell>
          <cell r="BI356">
            <v>100000</v>
          </cell>
          <cell r="BJ356">
            <v>2550000</v>
          </cell>
          <cell r="BK356">
            <v>0</v>
          </cell>
          <cell r="BL356">
            <v>2550000</v>
          </cell>
        </row>
        <row r="357">
          <cell r="D357" t="str">
            <v>OS</v>
          </cell>
          <cell r="E357"/>
          <cell r="F357">
            <v>337</v>
          </cell>
          <cell r="G357" t="str">
            <v>UNSOLD</v>
          </cell>
          <cell r="H357" t="str">
            <v>OS</v>
          </cell>
          <cell r="I357" t="str">
            <v>OS</v>
          </cell>
          <cell r="J357" t="str">
            <v>OS</v>
          </cell>
          <cell r="K357" t="str">
            <v>OS</v>
          </cell>
          <cell r="L357" t="str">
            <v>OS</v>
          </cell>
          <cell r="M357" t="str">
            <v>OS</v>
          </cell>
          <cell r="N357" t="str">
            <v>OS</v>
          </cell>
          <cell r="O357" t="str">
            <v>OS</v>
          </cell>
          <cell r="P357" t="str">
            <v>OS</v>
          </cell>
          <cell r="Q357" t="str">
            <v>OS</v>
          </cell>
          <cell r="R357" t="str">
            <v>OS</v>
          </cell>
          <cell r="S357" t="str">
            <v>OS</v>
          </cell>
          <cell r="T357" t="str">
            <v>OS</v>
          </cell>
          <cell r="U357" t="str">
            <v>OS</v>
          </cell>
          <cell r="V357" t="str">
            <v>OS</v>
          </cell>
          <cell r="W357" t="str">
            <v>OS</v>
          </cell>
          <cell r="X357" t="str">
            <v>OS</v>
          </cell>
          <cell r="Y357" t="str">
            <v>OS</v>
          </cell>
          <cell r="Z357" t="str">
            <v>OS</v>
          </cell>
          <cell r="AA357" t="str">
            <v>OS</v>
          </cell>
          <cell r="AB357" t="str">
            <v>OS</v>
          </cell>
          <cell r="AC357" t="str">
            <v>OS</v>
          </cell>
          <cell r="AD357" t="str">
            <v>AGM-01-020-003</v>
          </cell>
          <cell r="AE357" t="str">
            <v xml:space="preserve">Raemulan Lands, Inc. </v>
          </cell>
          <cell r="AF357" t="str">
            <v>Agapeya</v>
          </cell>
          <cell r="AG357" t="str">
            <v>AGM</v>
          </cell>
          <cell r="AH357" t="str">
            <v>Eco-High</v>
          </cell>
          <cell r="AI357" t="str">
            <v>West</v>
          </cell>
          <cell r="AJ357" t="str">
            <v>Without LTS</v>
          </cell>
          <cell r="AK357" t="str">
            <v>Unaffected lots</v>
          </cell>
          <cell r="AL357" t="str">
            <v>Unaffected lots</v>
          </cell>
          <cell r="AM357" t="b">
            <v>0</v>
          </cell>
          <cell r="AN357" t="str">
            <v>NO</v>
          </cell>
          <cell r="AO357" t="str">
            <v>B4 2025</v>
          </cell>
          <cell r="AP357">
            <v>70</v>
          </cell>
          <cell r="AQ357" t="str">
            <v>PCS-277865</v>
          </cell>
          <cell r="AR357" t="b">
            <v>1</v>
          </cell>
          <cell r="AS357" t="str">
            <v>Done</v>
          </cell>
          <cell r="AT357" t="str">
            <v>2025 - Batch 5</v>
          </cell>
          <cell r="AU357">
            <v>20</v>
          </cell>
          <cell r="AV357">
            <v>3</v>
          </cell>
          <cell r="AW357" t="str">
            <v>H+L</v>
          </cell>
          <cell r="AX357">
            <v>70</v>
          </cell>
          <cell r="AY357">
            <v>50</v>
          </cell>
          <cell r="AZ357" t="str">
            <v>Duplex</v>
          </cell>
          <cell r="BA357">
            <v>1</v>
          </cell>
          <cell r="BB357" t="str">
            <v>568 - Without Partition</v>
          </cell>
          <cell r="BC357" t="str">
            <v xml:space="preserve">Without Partition </v>
          </cell>
          <cell r="BD357" t="str">
            <v>Flat</v>
          </cell>
          <cell r="BE357" t="str">
            <v xml:space="preserve">Without Partition </v>
          </cell>
          <cell r="BF357" t="str">
            <v>PURPLE</v>
          </cell>
          <cell r="BG357">
            <v>2500000</v>
          </cell>
          <cell r="BH357">
            <v>2650000</v>
          </cell>
          <cell r="BI357">
            <v>100000</v>
          </cell>
          <cell r="BJ357">
            <v>2550000</v>
          </cell>
          <cell r="BK357">
            <v>0</v>
          </cell>
          <cell r="BL357">
            <v>2550000</v>
          </cell>
        </row>
        <row r="358">
          <cell r="D358" t="str">
            <v>OS</v>
          </cell>
          <cell r="E358"/>
          <cell r="F358">
            <v>338</v>
          </cell>
          <cell r="G358" t="str">
            <v>UNSOLD</v>
          </cell>
          <cell r="H358" t="str">
            <v>TS</v>
          </cell>
          <cell r="I358" t="str">
            <v>TS</v>
          </cell>
          <cell r="J358" t="str">
            <v>OS</v>
          </cell>
          <cell r="K358" t="str">
            <v>OS</v>
          </cell>
          <cell r="L358" t="str">
            <v>OS</v>
          </cell>
          <cell r="M358" t="str">
            <v>OS</v>
          </cell>
          <cell r="N358" t="str">
            <v>OS</v>
          </cell>
          <cell r="O358" t="str">
            <v>OS</v>
          </cell>
          <cell r="P358" t="str">
            <v>OS</v>
          </cell>
          <cell r="Q358" t="str">
            <v>OS</v>
          </cell>
          <cell r="R358" t="str">
            <v>OS</v>
          </cell>
          <cell r="S358" t="str">
            <v>OS</v>
          </cell>
          <cell r="T358" t="str">
            <v>OS</v>
          </cell>
          <cell r="U358" t="str">
            <v>OS</v>
          </cell>
          <cell r="V358" t="str">
            <v>OS</v>
          </cell>
          <cell r="W358" t="str">
            <v>OS</v>
          </cell>
          <cell r="X358" t="str">
            <v>OS</v>
          </cell>
          <cell r="Y358" t="str">
            <v>OS</v>
          </cell>
          <cell r="Z358" t="str">
            <v>OS</v>
          </cell>
          <cell r="AA358" t="str">
            <v>OS</v>
          </cell>
          <cell r="AB358" t="str">
            <v>OS</v>
          </cell>
          <cell r="AC358" t="str">
            <v>OS</v>
          </cell>
          <cell r="AD358" t="str">
            <v>AGM-01-020-004</v>
          </cell>
          <cell r="AE358" t="str">
            <v xml:space="preserve">Raemulan Lands, Inc. </v>
          </cell>
          <cell r="AF358" t="str">
            <v>Agapeya</v>
          </cell>
          <cell r="AG358" t="str">
            <v>AGM</v>
          </cell>
          <cell r="AH358" t="str">
            <v>Eco-High</v>
          </cell>
          <cell r="AI358" t="str">
            <v>West</v>
          </cell>
          <cell r="AJ358" t="str">
            <v>Without LTS</v>
          </cell>
          <cell r="AK358" t="str">
            <v>Unaffected lots</v>
          </cell>
          <cell r="AL358" t="str">
            <v>Unaffected lots</v>
          </cell>
          <cell r="AM358" t="b">
            <v>0</v>
          </cell>
          <cell r="AN358" t="str">
            <v>NO</v>
          </cell>
          <cell r="AO358" t="str">
            <v>B4 2025</v>
          </cell>
          <cell r="AP358">
            <v>70</v>
          </cell>
          <cell r="AQ358" t="str">
            <v>PCS-277865</v>
          </cell>
          <cell r="AR358" t="b">
            <v>1</v>
          </cell>
          <cell r="AS358" t="str">
            <v>Done</v>
          </cell>
          <cell r="AT358" t="str">
            <v>2025 - Batch 5</v>
          </cell>
          <cell r="AU358">
            <v>20</v>
          </cell>
          <cell r="AV358">
            <v>4</v>
          </cell>
          <cell r="AW358" t="str">
            <v>H+L</v>
          </cell>
          <cell r="AX358">
            <v>70</v>
          </cell>
          <cell r="AY358">
            <v>50</v>
          </cell>
          <cell r="AZ358" t="str">
            <v>Duplex</v>
          </cell>
          <cell r="BA358">
            <v>1</v>
          </cell>
          <cell r="BB358" t="str">
            <v>568 - Without Partition</v>
          </cell>
          <cell r="BC358" t="str">
            <v xml:space="preserve">Without Partition </v>
          </cell>
          <cell r="BD358" t="str">
            <v>Slant</v>
          </cell>
          <cell r="BE358" t="str">
            <v xml:space="preserve">Without Partition </v>
          </cell>
          <cell r="BF358" t="str">
            <v>PURPLE</v>
          </cell>
          <cell r="BG358">
            <v>2500000</v>
          </cell>
          <cell r="BH358">
            <v>2650000</v>
          </cell>
          <cell r="BI358">
            <v>100000</v>
          </cell>
          <cell r="BJ358">
            <v>2550000</v>
          </cell>
          <cell r="BK358">
            <v>0</v>
          </cell>
          <cell r="BL358">
            <v>2550000</v>
          </cell>
        </row>
        <row r="359">
          <cell r="D359" t="str">
            <v>OS</v>
          </cell>
          <cell r="E359"/>
          <cell r="F359">
            <v>339</v>
          </cell>
          <cell r="G359" t="str">
            <v>SOLD</v>
          </cell>
          <cell r="H359" t="str">
            <v>OS</v>
          </cell>
          <cell r="I359" t="str">
            <v>OS</v>
          </cell>
          <cell r="J359" t="str">
            <v>OS</v>
          </cell>
          <cell r="K359" t="str">
            <v>OS</v>
          </cell>
          <cell r="L359" t="str">
            <v>OS</v>
          </cell>
          <cell r="M359" t="str">
            <v>OS</v>
          </cell>
          <cell r="N359" t="str">
            <v>OS</v>
          </cell>
          <cell r="O359" t="str">
            <v>OS</v>
          </cell>
          <cell r="P359" t="str">
            <v>OS</v>
          </cell>
          <cell r="Q359" t="str">
            <v>OS</v>
          </cell>
          <cell r="R359" t="str">
            <v>OS</v>
          </cell>
          <cell r="S359" t="str">
            <v>OS</v>
          </cell>
          <cell r="T359" t="str">
            <v>OS</v>
          </cell>
          <cell r="U359" t="str">
            <v>OS</v>
          </cell>
          <cell r="V359" t="str">
            <v>OS</v>
          </cell>
          <cell r="W359" t="str">
            <v>OS</v>
          </cell>
          <cell r="X359" t="str">
            <v>OS</v>
          </cell>
          <cell r="Y359" t="str">
            <v>OS</v>
          </cell>
          <cell r="Z359" t="str">
            <v>OS</v>
          </cell>
          <cell r="AA359" t="str">
            <v>OS</v>
          </cell>
          <cell r="AB359" t="str">
            <v>OS</v>
          </cell>
          <cell r="AC359" t="str">
            <v>OS</v>
          </cell>
          <cell r="AD359" t="str">
            <v>AGM-01-020-005</v>
          </cell>
          <cell r="AE359" t="str">
            <v xml:space="preserve">Raemulan Lands, Inc. </v>
          </cell>
          <cell r="AF359" t="str">
            <v>Agapeya</v>
          </cell>
          <cell r="AG359" t="str">
            <v>AGM</v>
          </cell>
          <cell r="AH359" t="str">
            <v>Eco-High</v>
          </cell>
          <cell r="AI359" t="str">
            <v>West</v>
          </cell>
          <cell r="AJ359" t="str">
            <v>Without LTS</v>
          </cell>
          <cell r="AK359" t="str">
            <v>Unaffected lots</v>
          </cell>
          <cell r="AL359" t="str">
            <v>Unaffected lots</v>
          </cell>
          <cell r="AM359" t="b">
            <v>0</v>
          </cell>
          <cell r="AN359" t="str">
            <v>NO</v>
          </cell>
          <cell r="AO359" t="str">
            <v>B4 2025</v>
          </cell>
          <cell r="AP359">
            <v>70</v>
          </cell>
          <cell r="AQ359" t="str">
            <v>PCS-277865</v>
          </cell>
          <cell r="AR359" t="b">
            <v>1</v>
          </cell>
          <cell r="AS359" t="str">
            <v>Done</v>
          </cell>
          <cell r="AT359" t="str">
            <v>2025 - Batch 5</v>
          </cell>
          <cell r="AU359">
            <v>20</v>
          </cell>
          <cell r="AV359">
            <v>5</v>
          </cell>
          <cell r="AW359" t="str">
            <v>H+L</v>
          </cell>
          <cell r="AX359">
            <v>70</v>
          </cell>
          <cell r="AY359">
            <v>50</v>
          </cell>
          <cell r="AZ359" t="str">
            <v>Duplex</v>
          </cell>
          <cell r="BA359">
            <v>1</v>
          </cell>
          <cell r="BB359" t="str">
            <v>568 - Without Partition</v>
          </cell>
          <cell r="BC359" t="str">
            <v xml:space="preserve">Without Partition </v>
          </cell>
          <cell r="BD359" t="str">
            <v>Flat</v>
          </cell>
          <cell r="BE359" t="str">
            <v xml:space="preserve">Without Partition </v>
          </cell>
          <cell r="BF359" t="str">
            <v>YELLOW</v>
          </cell>
          <cell r="BG359">
            <v>2500000</v>
          </cell>
          <cell r="BH359">
            <v>2650000</v>
          </cell>
          <cell r="BI359">
            <v>100000</v>
          </cell>
          <cell r="BJ359">
            <v>2550000</v>
          </cell>
          <cell r="BK359">
            <v>0</v>
          </cell>
          <cell r="BL359">
            <v>2550000</v>
          </cell>
        </row>
        <row r="360">
          <cell r="D360" t="str">
            <v>OS</v>
          </cell>
          <cell r="E360"/>
          <cell r="F360">
            <v>340</v>
          </cell>
          <cell r="G360" t="str">
            <v>UNSOLD</v>
          </cell>
          <cell r="H360" t="str">
            <v>OS</v>
          </cell>
          <cell r="I360" t="str">
            <v>OS</v>
          </cell>
          <cell r="J360" t="str">
            <v>OS</v>
          </cell>
          <cell r="K360" t="str">
            <v>OS</v>
          </cell>
          <cell r="L360" t="str">
            <v>OS</v>
          </cell>
          <cell r="M360" t="str">
            <v>OS</v>
          </cell>
          <cell r="N360" t="str">
            <v>OS</v>
          </cell>
          <cell r="O360" t="str">
            <v>OS</v>
          </cell>
          <cell r="P360" t="str">
            <v>OS</v>
          </cell>
          <cell r="Q360" t="str">
            <v>OS</v>
          </cell>
          <cell r="R360" t="str">
            <v>OS</v>
          </cell>
          <cell r="S360" t="str">
            <v>OS</v>
          </cell>
          <cell r="T360" t="str">
            <v>OS</v>
          </cell>
          <cell r="U360" t="str">
            <v>OS</v>
          </cell>
          <cell r="V360" t="str">
            <v>OS</v>
          </cell>
          <cell r="W360" t="str">
            <v>OS</v>
          </cell>
          <cell r="X360" t="str">
            <v>OS</v>
          </cell>
          <cell r="Y360" t="str">
            <v>OS</v>
          </cell>
          <cell r="Z360" t="str">
            <v>OS</v>
          </cell>
          <cell r="AA360" t="str">
            <v>OS</v>
          </cell>
          <cell r="AB360" t="str">
            <v>OS</v>
          </cell>
          <cell r="AC360" t="str">
            <v>OS</v>
          </cell>
          <cell r="AD360" t="str">
            <v>AGM-01-020-006</v>
          </cell>
          <cell r="AE360" t="str">
            <v xml:space="preserve">Raemulan Lands, Inc. </v>
          </cell>
          <cell r="AF360" t="str">
            <v>Agapeya</v>
          </cell>
          <cell r="AG360" t="str">
            <v>AGM</v>
          </cell>
          <cell r="AH360" t="str">
            <v>Eco-High</v>
          </cell>
          <cell r="AI360" t="str">
            <v>West</v>
          </cell>
          <cell r="AJ360" t="str">
            <v>Without LTS</v>
          </cell>
          <cell r="AK360" t="str">
            <v>Unaffected lots</v>
          </cell>
          <cell r="AL360" t="str">
            <v>Unaffected lots</v>
          </cell>
          <cell r="AM360" t="b">
            <v>0</v>
          </cell>
          <cell r="AN360" t="str">
            <v>NO</v>
          </cell>
          <cell r="AO360" t="str">
            <v>B4 2025</v>
          </cell>
          <cell r="AP360">
            <v>70</v>
          </cell>
          <cell r="AQ360" t="str">
            <v>PCS-277865</v>
          </cell>
          <cell r="AR360" t="b">
            <v>1</v>
          </cell>
          <cell r="AS360" t="str">
            <v>Done</v>
          </cell>
          <cell r="AT360" t="str">
            <v>2025 - Batch 5</v>
          </cell>
          <cell r="AU360">
            <v>20</v>
          </cell>
          <cell r="AV360">
            <v>6</v>
          </cell>
          <cell r="AW360" t="str">
            <v>H+L</v>
          </cell>
          <cell r="AX360">
            <v>70</v>
          </cell>
          <cell r="AY360">
            <v>50</v>
          </cell>
          <cell r="AZ360" t="str">
            <v>Duplex</v>
          </cell>
          <cell r="BA360">
            <v>1</v>
          </cell>
          <cell r="BB360" t="str">
            <v>568 - Without Partition</v>
          </cell>
          <cell r="BC360" t="str">
            <v xml:space="preserve">Without Partition </v>
          </cell>
          <cell r="BD360" t="str">
            <v>Slant</v>
          </cell>
          <cell r="BE360" t="str">
            <v xml:space="preserve">Without Partition </v>
          </cell>
          <cell r="BF360" t="str">
            <v>YELLOW</v>
          </cell>
          <cell r="BG360">
            <v>2500000</v>
          </cell>
          <cell r="BH360">
            <v>2650000</v>
          </cell>
          <cell r="BI360">
            <v>100000</v>
          </cell>
          <cell r="BJ360">
            <v>2550000</v>
          </cell>
          <cell r="BK360">
            <v>0</v>
          </cell>
          <cell r="BL360">
            <v>2550000</v>
          </cell>
        </row>
        <row r="361">
          <cell r="D361" t="str">
            <v>OS</v>
          </cell>
          <cell r="E361"/>
          <cell r="F361">
            <v>341</v>
          </cell>
          <cell r="G361" t="str">
            <v>SOLD</v>
          </cell>
          <cell r="H361" t="str">
            <v>OS</v>
          </cell>
          <cell r="I361" t="str">
            <v>OS</v>
          </cell>
          <cell r="J361" t="str">
            <v>OS</v>
          </cell>
          <cell r="K361" t="str">
            <v>OS</v>
          </cell>
          <cell r="L361" t="str">
            <v>OS</v>
          </cell>
          <cell r="M361" t="str">
            <v>OS</v>
          </cell>
          <cell r="N361" t="str">
            <v>OS</v>
          </cell>
          <cell r="O361" t="str">
            <v>OS</v>
          </cell>
          <cell r="P361" t="str">
            <v>OS</v>
          </cell>
          <cell r="Q361" t="str">
            <v>OS</v>
          </cell>
          <cell r="R361" t="str">
            <v>OS</v>
          </cell>
          <cell r="S361" t="str">
            <v>OS</v>
          </cell>
          <cell r="T361" t="str">
            <v>OS</v>
          </cell>
          <cell r="U361" t="str">
            <v>OS</v>
          </cell>
          <cell r="V361" t="str">
            <v>OS</v>
          </cell>
          <cell r="W361" t="str">
            <v>OS</v>
          </cell>
          <cell r="X361" t="str">
            <v>OS</v>
          </cell>
          <cell r="Y361" t="str">
            <v>OS</v>
          </cell>
          <cell r="Z361" t="str">
            <v>OS</v>
          </cell>
          <cell r="AA361" t="str">
            <v>OS</v>
          </cell>
          <cell r="AB361" t="str">
            <v>OS</v>
          </cell>
          <cell r="AC361" t="str">
            <v>OS</v>
          </cell>
          <cell r="AD361" t="str">
            <v>AGM-01-020-007</v>
          </cell>
          <cell r="AE361" t="str">
            <v xml:space="preserve">Raemulan Lands, Inc. </v>
          </cell>
          <cell r="AF361" t="str">
            <v>Agapeya</v>
          </cell>
          <cell r="AG361" t="str">
            <v>AGM</v>
          </cell>
          <cell r="AH361" t="str">
            <v>Eco-High</v>
          </cell>
          <cell r="AI361" t="str">
            <v>West</v>
          </cell>
          <cell r="AJ361" t="str">
            <v>Without LTS</v>
          </cell>
          <cell r="AK361" t="str">
            <v>Unaffected lots</v>
          </cell>
          <cell r="AL361" t="str">
            <v>Unaffected lots</v>
          </cell>
          <cell r="AM361" t="b">
            <v>0</v>
          </cell>
          <cell r="AN361" t="str">
            <v>NO</v>
          </cell>
          <cell r="AO361" t="str">
            <v>B3 2025</v>
          </cell>
          <cell r="AP361">
            <v>70</v>
          </cell>
          <cell r="AQ361" t="str">
            <v>PCS-277865</v>
          </cell>
          <cell r="AR361" t="b">
            <v>1</v>
          </cell>
          <cell r="AS361" t="str">
            <v>Done</v>
          </cell>
          <cell r="AT361" t="str">
            <v>2025 - Batch 5</v>
          </cell>
          <cell r="AU361">
            <v>20</v>
          </cell>
          <cell r="AV361">
            <v>7</v>
          </cell>
          <cell r="AW361" t="str">
            <v>H+L</v>
          </cell>
          <cell r="AX361">
            <v>70</v>
          </cell>
          <cell r="AY361">
            <v>50</v>
          </cell>
          <cell r="AZ361" t="str">
            <v>Duplex</v>
          </cell>
          <cell r="BA361">
            <v>1</v>
          </cell>
          <cell r="BB361" t="str">
            <v>568 - Without Partition</v>
          </cell>
          <cell r="BC361" t="str">
            <v xml:space="preserve">Without Partition </v>
          </cell>
          <cell r="BD361" t="str">
            <v>Slant</v>
          </cell>
          <cell r="BE361" t="str">
            <v xml:space="preserve">Without Partition </v>
          </cell>
          <cell r="BF361" t="str">
            <v>YELLOW</v>
          </cell>
          <cell r="BG361">
            <v>2500000</v>
          </cell>
          <cell r="BH361">
            <v>2650000</v>
          </cell>
          <cell r="BI361">
            <v>100000</v>
          </cell>
          <cell r="BJ361">
            <v>2550000</v>
          </cell>
          <cell r="BK361">
            <v>0</v>
          </cell>
          <cell r="BL361">
            <v>2550000</v>
          </cell>
        </row>
        <row r="362">
          <cell r="D362" t="str">
            <v>OS</v>
          </cell>
          <cell r="E362"/>
          <cell r="F362">
            <v>342</v>
          </cell>
          <cell r="G362" t="str">
            <v>SOLD</v>
          </cell>
          <cell r="H362" t="str">
            <v>OS</v>
          </cell>
          <cell r="I362" t="str">
            <v>OS</v>
          </cell>
          <cell r="J362" t="str">
            <v>OS</v>
          </cell>
          <cell r="K362" t="str">
            <v>OS</v>
          </cell>
          <cell r="L362" t="str">
            <v>OS</v>
          </cell>
          <cell r="M362" t="str">
            <v>OS</v>
          </cell>
          <cell r="N362" t="str">
            <v>OS</v>
          </cell>
          <cell r="O362" t="str">
            <v>OS</v>
          </cell>
          <cell r="P362" t="str">
            <v>OS</v>
          </cell>
          <cell r="Q362" t="str">
            <v>OS</v>
          </cell>
          <cell r="R362" t="str">
            <v>OS</v>
          </cell>
          <cell r="S362" t="str">
            <v>OS</v>
          </cell>
          <cell r="T362" t="str">
            <v>OS</v>
          </cell>
          <cell r="U362" t="str">
            <v>OS</v>
          </cell>
          <cell r="V362" t="str">
            <v>OS</v>
          </cell>
          <cell r="W362" t="str">
            <v>OS</v>
          </cell>
          <cell r="X362" t="str">
            <v>OS</v>
          </cell>
          <cell r="Y362" t="str">
            <v>OS</v>
          </cell>
          <cell r="Z362" t="str">
            <v>OS</v>
          </cell>
          <cell r="AA362" t="str">
            <v>OS</v>
          </cell>
          <cell r="AB362" t="str">
            <v>OS</v>
          </cell>
          <cell r="AC362" t="str">
            <v>OS</v>
          </cell>
          <cell r="AD362" t="str">
            <v>AGM-01-020-008</v>
          </cell>
          <cell r="AE362" t="str">
            <v xml:space="preserve">Raemulan Lands, Inc. </v>
          </cell>
          <cell r="AF362" t="str">
            <v>Agapeya</v>
          </cell>
          <cell r="AG362" t="str">
            <v>AGM</v>
          </cell>
          <cell r="AH362" t="str">
            <v>Eco-High</v>
          </cell>
          <cell r="AI362" t="str">
            <v>West</v>
          </cell>
          <cell r="AJ362" t="str">
            <v>Without LTS</v>
          </cell>
          <cell r="AK362" t="str">
            <v>Unaffected lots</v>
          </cell>
          <cell r="AL362" t="str">
            <v>Unaffected lots</v>
          </cell>
          <cell r="AM362" t="b">
            <v>0</v>
          </cell>
          <cell r="AN362" t="str">
            <v>NO</v>
          </cell>
          <cell r="AO362" t="str">
            <v>B3 2025</v>
          </cell>
          <cell r="AP362">
            <v>70</v>
          </cell>
          <cell r="AQ362" t="str">
            <v>PCS-277865</v>
          </cell>
          <cell r="AR362" t="b">
            <v>1</v>
          </cell>
          <cell r="AS362" t="str">
            <v>Done</v>
          </cell>
          <cell r="AT362" t="str">
            <v>2025 - Batch 5</v>
          </cell>
          <cell r="AU362">
            <v>20</v>
          </cell>
          <cell r="AV362">
            <v>8</v>
          </cell>
          <cell r="AW362" t="str">
            <v>H+L</v>
          </cell>
          <cell r="AX362">
            <v>70</v>
          </cell>
          <cell r="AY362">
            <v>50</v>
          </cell>
          <cell r="AZ362" t="str">
            <v>Duplex</v>
          </cell>
          <cell r="BA362">
            <v>1</v>
          </cell>
          <cell r="BB362" t="str">
            <v>568 - Without Partition</v>
          </cell>
          <cell r="BC362" t="str">
            <v xml:space="preserve">Without Partition </v>
          </cell>
          <cell r="BD362" t="str">
            <v>Flat</v>
          </cell>
          <cell r="BE362" t="str">
            <v xml:space="preserve">Without Partition </v>
          </cell>
          <cell r="BF362" t="str">
            <v>YELLOW</v>
          </cell>
          <cell r="BG362">
            <v>2500000</v>
          </cell>
          <cell r="BH362">
            <v>2650000</v>
          </cell>
          <cell r="BI362">
            <v>100000</v>
          </cell>
          <cell r="BJ362">
            <v>2550000</v>
          </cell>
          <cell r="BK362">
            <v>0</v>
          </cell>
          <cell r="BL362">
            <v>2550000</v>
          </cell>
        </row>
        <row r="363">
          <cell r="D363" t="str">
            <v>OS</v>
          </cell>
          <cell r="E363"/>
          <cell r="F363">
            <v>343</v>
          </cell>
          <cell r="G363" t="str">
            <v>CLOSED</v>
          </cell>
          <cell r="H363" t="str">
            <v>OPEN</v>
          </cell>
          <cell r="I363" t="str">
            <v>OPEN</v>
          </cell>
          <cell r="J363" t="str">
            <v>OS</v>
          </cell>
          <cell r="K363" t="str">
            <v>OS</v>
          </cell>
          <cell r="L363" t="str">
            <v>OS</v>
          </cell>
          <cell r="M363" t="str">
            <v>OS</v>
          </cell>
          <cell r="N363" t="str">
            <v>OS</v>
          </cell>
          <cell r="O363" t="str">
            <v>OS</v>
          </cell>
          <cell r="P363" t="str">
            <v>OS</v>
          </cell>
          <cell r="Q363" t="str">
            <v>OS</v>
          </cell>
          <cell r="R363" t="str">
            <v>OS</v>
          </cell>
          <cell r="S363" t="str">
            <v>OS</v>
          </cell>
          <cell r="T363" t="str">
            <v>OS</v>
          </cell>
          <cell r="U363" t="str">
            <v>OS</v>
          </cell>
          <cell r="V363" t="str">
            <v>OS</v>
          </cell>
          <cell r="W363" t="str">
            <v>OS</v>
          </cell>
          <cell r="X363" t="str">
            <v>OS</v>
          </cell>
          <cell r="Y363" t="str">
            <v>OS</v>
          </cell>
          <cell r="Z363" t="str">
            <v>OS</v>
          </cell>
          <cell r="AA363" t="str">
            <v>OS</v>
          </cell>
          <cell r="AB363" t="str">
            <v>OS</v>
          </cell>
          <cell r="AC363" t="str">
            <v>OS</v>
          </cell>
          <cell r="AD363" t="str">
            <v>AGM-01-021-001</v>
          </cell>
          <cell r="AE363" t="str">
            <v xml:space="preserve">Raemulan Lands, Inc. </v>
          </cell>
          <cell r="AF363" t="str">
            <v>Agapeya</v>
          </cell>
          <cell r="AG363" t="str">
            <v>AGM</v>
          </cell>
          <cell r="AH363" t="str">
            <v>Eco-High</v>
          </cell>
          <cell r="AI363" t="str">
            <v>West</v>
          </cell>
          <cell r="AJ363" t="str">
            <v>Without LTS</v>
          </cell>
          <cell r="AK363" t="str">
            <v>Unaffected lots</v>
          </cell>
          <cell r="AL363" t="str">
            <v>Unaffected lots</v>
          </cell>
          <cell r="AM363" t="b">
            <v>0</v>
          </cell>
          <cell r="AN363" t="str">
            <v>NO</v>
          </cell>
          <cell r="AO363" t="str">
            <v>B3 2025</v>
          </cell>
          <cell r="AP363">
            <v>90</v>
          </cell>
          <cell r="AQ363" t="str">
            <v>PCS-277865</v>
          </cell>
          <cell r="AR363" t="b">
            <v>1</v>
          </cell>
          <cell r="AS363" t="str">
            <v>Done</v>
          </cell>
          <cell r="AT363" t="str">
            <v>2025 - Batch 4</v>
          </cell>
          <cell r="AU363">
            <v>21</v>
          </cell>
          <cell r="AV363">
            <v>1</v>
          </cell>
          <cell r="AW363" t="str">
            <v>H+L</v>
          </cell>
          <cell r="AX363">
            <v>90</v>
          </cell>
          <cell r="AY363">
            <v>50</v>
          </cell>
          <cell r="AZ363" t="str">
            <v>Duplex</v>
          </cell>
          <cell r="BA363">
            <v>1</v>
          </cell>
          <cell r="BB363" t="str">
            <v>568 - Without Partition</v>
          </cell>
          <cell r="BC363" t="str">
            <v xml:space="preserve">Without Partition </v>
          </cell>
          <cell r="BD363" t="str">
            <v>Slant</v>
          </cell>
          <cell r="BE363" t="str">
            <v xml:space="preserve">Without Partition </v>
          </cell>
          <cell r="BF363" t="str">
            <v>PINK</v>
          </cell>
          <cell r="BG363">
            <v>2500000</v>
          </cell>
          <cell r="BH363">
            <v>2950000</v>
          </cell>
          <cell r="BI363">
            <v>100000</v>
          </cell>
          <cell r="BJ363">
            <v>2850000</v>
          </cell>
          <cell r="BK363">
            <v>0</v>
          </cell>
          <cell r="BL363">
            <v>2850000</v>
          </cell>
        </row>
        <row r="364">
          <cell r="D364" t="str">
            <v>OS</v>
          </cell>
          <cell r="E364"/>
          <cell r="F364">
            <v>344</v>
          </cell>
          <cell r="G364" t="str">
            <v>CLOSED</v>
          </cell>
          <cell r="H364" t="str">
            <v>OPEN</v>
          </cell>
          <cell r="I364" t="str">
            <v>TS</v>
          </cell>
          <cell r="J364" t="str">
            <v>TS</v>
          </cell>
          <cell r="K364" t="str">
            <v>TS</v>
          </cell>
          <cell r="L364" t="str">
            <v>TS</v>
          </cell>
          <cell r="M364" t="str">
            <v>TS</v>
          </cell>
          <cell r="N364" t="str">
            <v>OS</v>
          </cell>
          <cell r="O364" t="str">
            <v>OS</v>
          </cell>
          <cell r="P364" t="str">
            <v>OS</v>
          </cell>
          <cell r="Q364" t="str">
            <v>OS</v>
          </cell>
          <cell r="R364" t="str">
            <v>OS</v>
          </cell>
          <cell r="S364" t="str">
            <v>OS</v>
          </cell>
          <cell r="T364" t="str">
            <v>OS</v>
          </cell>
          <cell r="U364" t="str">
            <v>OS</v>
          </cell>
          <cell r="V364" t="str">
            <v>OS</v>
          </cell>
          <cell r="W364" t="str">
            <v>OS</v>
          </cell>
          <cell r="X364" t="str">
            <v>OS</v>
          </cell>
          <cell r="Y364" t="str">
            <v>OS</v>
          </cell>
          <cell r="Z364" t="str">
            <v>OS</v>
          </cell>
          <cell r="AA364" t="str">
            <v>OS</v>
          </cell>
          <cell r="AB364" t="str">
            <v>OS</v>
          </cell>
          <cell r="AC364" t="str">
            <v>OS</v>
          </cell>
          <cell r="AD364" t="str">
            <v>AGM-01-021-002</v>
          </cell>
          <cell r="AE364" t="str">
            <v xml:space="preserve">Raemulan Lands, Inc. </v>
          </cell>
          <cell r="AF364" t="str">
            <v>Agapeya</v>
          </cell>
          <cell r="AG364" t="str">
            <v>AGM</v>
          </cell>
          <cell r="AH364" t="str">
            <v>Eco-High</v>
          </cell>
          <cell r="AI364" t="str">
            <v>West</v>
          </cell>
          <cell r="AJ364" t="str">
            <v>Without LTS</v>
          </cell>
          <cell r="AK364" t="str">
            <v>Unaffected lots</v>
          </cell>
          <cell r="AL364" t="str">
            <v>Unaffected lots</v>
          </cell>
          <cell r="AM364" t="b">
            <v>0</v>
          </cell>
          <cell r="AN364" t="str">
            <v>NO</v>
          </cell>
          <cell r="AO364" t="str">
            <v>B3 2025</v>
          </cell>
          <cell r="AP364">
            <v>90</v>
          </cell>
          <cell r="AQ364" t="str">
            <v>PCS-277865</v>
          </cell>
          <cell r="AR364" t="b">
            <v>1</v>
          </cell>
          <cell r="AS364" t="str">
            <v>Done</v>
          </cell>
          <cell r="AT364" t="str">
            <v>2025 - Batch 4</v>
          </cell>
          <cell r="AU364">
            <v>21</v>
          </cell>
          <cell r="AV364">
            <v>2</v>
          </cell>
          <cell r="AW364" t="str">
            <v>H+L</v>
          </cell>
          <cell r="AX364">
            <v>90</v>
          </cell>
          <cell r="AY364">
            <v>50</v>
          </cell>
          <cell r="AZ364" t="str">
            <v>Duplex</v>
          </cell>
          <cell r="BA364">
            <v>1</v>
          </cell>
          <cell r="BB364" t="str">
            <v>568 - Without Partition</v>
          </cell>
          <cell r="BC364" t="str">
            <v xml:space="preserve">Without Partition </v>
          </cell>
          <cell r="BD364" t="str">
            <v>Flat</v>
          </cell>
          <cell r="BE364" t="str">
            <v xml:space="preserve">Without Partition </v>
          </cell>
          <cell r="BF364" t="str">
            <v>PINK</v>
          </cell>
          <cell r="BG364">
            <v>2500000</v>
          </cell>
          <cell r="BH364">
            <v>2950000</v>
          </cell>
          <cell r="BI364">
            <v>100000</v>
          </cell>
          <cell r="BJ364">
            <v>2850000</v>
          </cell>
          <cell r="BK364">
            <v>0</v>
          </cell>
          <cell r="BL364">
            <v>2850000</v>
          </cell>
        </row>
        <row r="365">
          <cell r="D365" t="str">
            <v>OS</v>
          </cell>
          <cell r="E365"/>
          <cell r="F365">
            <v>345</v>
          </cell>
          <cell r="G365" t="str">
            <v>CLOSED</v>
          </cell>
          <cell r="H365" t="str">
            <v>OPEN</v>
          </cell>
          <cell r="I365" t="str">
            <v>TS</v>
          </cell>
          <cell r="J365" t="str">
            <v>TS</v>
          </cell>
          <cell r="K365" t="str">
            <v>TS</v>
          </cell>
          <cell r="L365" t="str">
            <v>TS</v>
          </cell>
          <cell r="M365" t="str">
            <v>TS</v>
          </cell>
          <cell r="N365" t="str">
            <v>OS</v>
          </cell>
          <cell r="O365" t="str">
            <v>OS</v>
          </cell>
          <cell r="P365" t="str">
            <v>OS</v>
          </cell>
          <cell r="Q365" t="str">
            <v>OS</v>
          </cell>
          <cell r="R365" t="str">
            <v>OS</v>
          </cell>
          <cell r="S365" t="str">
            <v>OS</v>
          </cell>
          <cell r="T365" t="str">
            <v>OS</v>
          </cell>
          <cell r="U365" t="str">
            <v>OS</v>
          </cell>
          <cell r="V365" t="str">
            <v>OS</v>
          </cell>
          <cell r="W365" t="str">
            <v>OS</v>
          </cell>
          <cell r="X365" t="str">
            <v>OS</v>
          </cell>
          <cell r="Y365" t="str">
            <v>OS</v>
          </cell>
          <cell r="Z365" t="str">
            <v>OS</v>
          </cell>
          <cell r="AA365" t="str">
            <v>OS</v>
          </cell>
          <cell r="AB365" t="str">
            <v>OS</v>
          </cell>
          <cell r="AC365" t="str">
            <v>OS</v>
          </cell>
          <cell r="AD365" t="str">
            <v>AGM-01-021-003</v>
          </cell>
          <cell r="AE365" t="str">
            <v xml:space="preserve">Raemulan Lands, Inc. </v>
          </cell>
          <cell r="AF365" t="str">
            <v>Agapeya</v>
          </cell>
          <cell r="AG365" t="str">
            <v>AGM</v>
          </cell>
          <cell r="AH365" t="str">
            <v>Eco-High</v>
          </cell>
          <cell r="AI365" t="str">
            <v>West</v>
          </cell>
          <cell r="AJ365" t="str">
            <v>Without LTS</v>
          </cell>
          <cell r="AK365" t="str">
            <v>Unaffected lots</v>
          </cell>
          <cell r="AL365" t="str">
            <v>Unaffected lots</v>
          </cell>
          <cell r="AM365" t="b">
            <v>0</v>
          </cell>
          <cell r="AN365" t="str">
            <v>NO</v>
          </cell>
          <cell r="AO365" t="str">
            <v>B3 2025</v>
          </cell>
          <cell r="AP365">
            <v>90</v>
          </cell>
          <cell r="AQ365" t="str">
            <v>PCS-277865</v>
          </cell>
          <cell r="AR365" t="b">
            <v>1</v>
          </cell>
          <cell r="AS365" t="str">
            <v>Done</v>
          </cell>
          <cell r="AT365" t="str">
            <v>2025 - Batch 4</v>
          </cell>
          <cell r="AU365">
            <v>21</v>
          </cell>
          <cell r="AV365">
            <v>3</v>
          </cell>
          <cell r="AW365" t="str">
            <v>H+L</v>
          </cell>
          <cell r="AX365">
            <v>90</v>
          </cell>
          <cell r="AY365">
            <v>50</v>
          </cell>
          <cell r="AZ365" t="str">
            <v>Duplex</v>
          </cell>
          <cell r="BA365">
            <v>1</v>
          </cell>
          <cell r="BB365" t="str">
            <v>568 - Without Partition</v>
          </cell>
          <cell r="BC365" t="str">
            <v xml:space="preserve">Without Partition </v>
          </cell>
          <cell r="BD365" t="str">
            <v>Flat</v>
          </cell>
          <cell r="BE365" t="str">
            <v xml:space="preserve">Without Partition </v>
          </cell>
          <cell r="BF365" t="str">
            <v>PINK</v>
          </cell>
          <cell r="BG365">
            <v>2500000</v>
          </cell>
          <cell r="BH365">
            <v>2950000</v>
          </cell>
          <cell r="BI365">
            <v>100000</v>
          </cell>
          <cell r="BJ365">
            <v>2850000</v>
          </cell>
          <cell r="BK365">
            <v>0</v>
          </cell>
          <cell r="BL365">
            <v>2850000</v>
          </cell>
        </row>
        <row r="366">
          <cell r="D366" t="str">
            <v>OS</v>
          </cell>
          <cell r="E366"/>
          <cell r="F366">
            <v>346</v>
          </cell>
          <cell r="G366" t="str">
            <v>CLOSED</v>
          </cell>
          <cell r="H366" t="str">
            <v>TS</v>
          </cell>
          <cell r="I366" t="str">
            <v>TS</v>
          </cell>
          <cell r="J366" t="str">
            <v>TS</v>
          </cell>
          <cell r="K366" t="str">
            <v>TS</v>
          </cell>
          <cell r="L366" t="str">
            <v>TS</v>
          </cell>
          <cell r="M366" t="str">
            <v>TS</v>
          </cell>
          <cell r="N366" t="str">
            <v>TS</v>
          </cell>
          <cell r="O366" t="str">
            <v>TS</v>
          </cell>
          <cell r="P366" t="str">
            <v>TS</v>
          </cell>
          <cell r="Q366" t="str">
            <v>TS</v>
          </cell>
          <cell r="R366" t="str">
            <v>TS</v>
          </cell>
          <cell r="S366" t="str">
            <v>TS</v>
          </cell>
          <cell r="T366" t="str">
            <v>TS</v>
          </cell>
          <cell r="U366" t="str">
            <v>OS</v>
          </cell>
          <cell r="V366" t="str">
            <v>OS</v>
          </cell>
          <cell r="W366" t="str">
            <v>OS</v>
          </cell>
          <cell r="X366" t="str">
            <v>OS</v>
          </cell>
          <cell r="Y366" t="str">
            <v>OS</v>
          </cell>
          <cell r="Z366" t="str">
            <v>OS</v>
          </cell>
          <cell r="AA366" t="str">
            <v>OS</v>
          </cell>
          <cell r="AB366" t="str">
            <v>OS</v>
          </cell>
          <cell r="AC366" t="str">
            <v>OS</v>
          </cell>
          <cell r="AD366" t="str">
            <v>AGM-01-021-004</v>
          </cell>
          <cell r="AE366" t="str">
            <v xml:space="preserve">Raemulan Lands, Inc. </v>
          </cell>
          <cell r="AF366" t="str">
            <v>Agapeya</v>
          </cell>
          <cell r="AG366" t="str">
            <v>AGM</v>
          </cell>
          <cell r="AH366" t="str">
            <v>Eco-High</v>
          </cell>
          <cell r="AI366" t="str">
            <v>West</v>
          </cell>
          <cell r="AJ366" t="str">
            <v>Without LTS</v>
          </cell>
          <cell r="AK366" t="str">
            <v>Unaffected lots</v>
          </cell>
          <cell r="AL366" t="str">
            <v>NA</v>
          </cell>
          <cell r="AM366" t="b">
            <v>0</v>
          </cell>
          <cell r="AN366" t="str">
            <v>NO</v>
          </cell>
          <cell r="AO366" t="str">
            <v>B4 2025</v>
          </cell>
          <cell r="AP366">
            <v>80</v>
          </cell>
          <cell r="AQ366" t="str">
            <v>PCS-277865</v>
          </cell>
          <cell r="AR366" t="b">
            <v>1</v>
          </cell>
          <cell r="AS366" t="str">
            <v>Done</v>
          </cell>
          <cell r="AT366" t="str">
            <v>2025 - Batch 4</v>
          </cell>
          <cell r="AU366">
            <v>21</v>
          </cell>
          <cell r="AV366">
            <v>4</v>
          </cell>
          <cell r="AW366" t="str">
            <v>H+L</v>
          </cell>
          <cell r="AX366">
            <v>80</v>
          </cell>
          <cell r="AY366">
            <v>50</v>
          </cell>
          <cell r="AZ366" t="str">
            <v>Duplex</v>
          </cell>
          <cell r="BA366">
            <v>1</v>
          </cell>
          <cell r="BB366" t="str">
            <v>568 - Without Partition</v>
          </cell>
          <cell r="BC366" t="str">
            <v xml:space="preserve">Without Partition </v>
          </cell>
          <cell r="BD366" t="str">
            <v>Slant</v>
          </cell>
          <cell r="BE366" t="str">
            <v xml:space="preserve">Without Partition </v>
          </cell>
          <cell r="BF366" t="str">
            <v>PINK</v>
          </cell>
          <cell r="BG366">
            <v>2500000</v>
          </cell>
          <cell r="BH366">
            <v>2800000</v>
          </cell>
          <cell r="BI366">
            <v>100000</v>
          </cell>
          <cell r="BJ366">
            <v>2700000</v>
          </cell>
          <cell r="BK366">
            <v>0</v>
          </cell>
          <cell r="BL366">
            <v>2700000</v>
          </cell>
        </row>
        <row r="367">
          <cell r="D367" t="str">
            <v>OS</v>
          </cell>
          <cell r="E367"/>
          <cell r="F367">
            <v>347</v>
          </cell>
          <cell r="G367" t="str">
            <v>CLOSED</v>
          </cell>
          <cell r="H367" t="str">
            <v>TS</v>
          </cell>
          <cell r="I367" t="str">
            <v>TS</v>
          </cell>
          <cell r="J367" t="str">
            <v>TS</v>
          </cell>
          <cell r="K367" t="str">
            <v>TS</v>
          </cell>
          <cell r="L367" t="str">
            <v>TS</v>
          </cell>
          <cell r="M367" t="str">
            <v>TS</v>
          </cell>
          <cell r="N367" t="str">
            <v>TS</v>
          </cell>
          <cell r="O367" t="str">
            <v>TS</v>
          </cell>
          <cell r="P367" t="str">
            <v>OS</v>
          </cell>
          <cell r="Q367" t="str">
            <v>OS</v>
          </cell>
          <cell r="R367" t="str">
            <v>OS</v>
          </cell>
          <cell r="S367" t="str">
            <v>OS</v>
          </cell>
          <cell r="T367" t="str">
            <v>OS</v>
          </cell>
          <cell r="U367" t="str">
            <v>OS</v>
          </cell>
          <cell r="V367" t="str">
            <v>OS</v>
          </cell>
          <cell r="W367" t="str">
            <v>OS</v>
          </cell>
          <cell r="X367" t="str">
            <v>OS</v>
          </cell>
          <cell r="Y367" t="str">
            <v>OS</v>
          </cell>
          <cell r="Z367" t="str">
            <v>OS</v>
          </cell>
          <cell r="AA367" t="str">
            <v>OS</v>
          </cell>
          <cell r="AB367" t="str">
            <v>OS</v>
          </cell>
          <cell r="AC367" t="str">
            <v>OS</v>
          </cell>
          <cell r="AD367" t="str">
            <v>AGM-01-021-005</v>
          </cell>
          <cell r="AE367" t="str">
            <v xml:space="preserve">Raemulan Lands, Inc. </v>
          </cell>
          <cell r="AF367" t="str">
            <v>Agapeya</v>
          </cell>
          <cell r="AG367" t="str">
            <v>AGM</v>
          </cell>
          <cell r="AH367" t="str">
            <v>Eco-High</v>
          </cell>
          <cell r="AI367" t="str">
            <v>West</v>
          </cell>
          <cell r="AJ367" t="str">
            <v>Without LTS</v>
          </cell>
          <cell r="AK367" t="str">
            <v>Unaffected lots</v>
          </cell>
          <cell r="AL367" t="str">
            <v>NA</v>
          </cell>
          <cell r="AM367" t="b">
            <v>0</v>
          </cell>
          <cell r="AN367" t="str">
            <v>NO</v>
          </cell>
          <cell r="AO367" t="str">
            <v>B4 2025</v>
          </cell>
          <cell r="AP367">
            <v>80</v>
          </cell>
          <cell r="AQ367" t="str">
            <v>PCS-277865</v>
          </cell>
          <cell r="AR367" t="b">
            <v>1</v>
          </cell>
          <cell r="AS367" t="str">
            <v>Done</v>
          </cell>
          <cell r="AT367" t="str">
            <v>2025 - Batch 4</v>
          </cell>
          <cell r="AU367">
            <v>21</v>
          </cell>
          <cell r="AV367">
            <v>5</v>
          </cell>
          <cell r="AW367" t="str">
            <v>H+L</v>
          </cell>
          <cell r="AX367">
            <v>80</v>
          </cell>
          <cell r="AY367">
            <v>50</v>
          </cell>
          <cell r="AZ367" t="str">
            <v>Duplex</v>
          </cell>
          <cell r="BA367">
            <v>1</v>
          </cell>
          <cell r="BB367" t="str">
            <v>568 - Without Partition</v>
          </cell>
          <cell r="BC367" t="str">
            <v xml:space="preserve">Without Partition </v>
          </cell>
          <cell r="BD367" t="str">
            <v>Flat</v>
          </cell>
          <cell r="BE367" t="str">
            <v xml:space="preserve">Without Partition </v>
          </cell>
          <cell r="BF367" t="str">
            <v>GREEN</v>
          </cell>
          <cell r="BG367">
            <v>2500000</v>
          </cell>
          <cell r="BH367">
            <v>2800000</v>
          </cell>
          <cell r="BI367">
            <v>100000</v>
          </cell>
          <cell r="BJ367">
            <v>2700000</v>
          </cell>
          <cell r="BK367">
            <v>0</v>
          </cell>
          <cell r="BL367">
            <v>2700000</v>
          </cell>
        </row>
        <row r="368">
          <cell r="D368" t="str">
            <v>OS</v>
          </cell>
          <cell r="E368"/>
          <cell r="F368">
            <v>348</v>
          </cell>
          <cell r="G368" t="str">
            <v>CLOSED</v>
          </cell>
          <cell r="H368" t="str">
            <v>TS</v>
          </cell>
          <cell r="I368" t="str">
            <v>TS</v>
          </cell>
          <cell r="J368" t="str">
            <v>TS</v>
          </cell>
          <cell r="K368" t="str">
            <v>TS</v>
          </cell>
          <cell r="L368" t="str">
            <v>TS</v>
          </cell>
          <cell r="M368" t="str">
            <v>TS</v>
          </cell>
          <cell r="N368" t="str">
            <v>TS</v>
          </cell>
          <cell r="O368" t="str">
            <v>TS</v>
          </cell>
          <cell r="P368" t="str">
            <v>OS</v>
          </cell>
          <cell r="Q368" t="str">
            <v>OS</v>
          </cell>
          <cell r="R368" t="str">
            <v>OS</v>
          </cell>
          <cell r="S368" t="str">
            <v>OS</v>
          </cell>
          <cell r="T368" t="str">
            <v>OS</v>
          </cell>
          <cell r="U368" t="str">
            <v>OS</v>
          </cell>
          <cell r="V368" t="str">
            <v>OS</v>
          </cell>
          <cell r="W368" t="str">
            <v>OS</v>
          </cell>
          <cell r="X368" t="str">
            <v>OS</v>
          </cell>
          <cell r="Y368" t="str">
            <v>OS</v>
          </cell>
          <cell r="Z368" t="str">
            <v>OS</v>
          </cell>
          <cell r="AA368" t="str">
            <v>OS</v>
          </cell>
          <cell r="AB368" t="str">
            <v>OS</v>
          </cell>
          <cell r="AC368" t="str">
            <v>OS</v>
          </cell>
          <cell r="AD368" t="str">
            <v>AGM-01-021-006</v>
          </cell>
          <cell r="AE368" t="str">
            <v xml:space="preserve">Raemulan Lands, Inc. </v>
          </cell>
          <cell r="AF368" t="str">
            <v>Agapeya</v>
          </cell>
          <cell r="AG368" t="str">
            <v>AGM</v>
          </cell>
          <cell r="AH368" t="str">
            <v>Eco-High</v>
          </cell>
          <cell r="AI368" t="str">
            <v>West</v>
          </cell>
          <cell r="AJ368" t="str">
            <v>Without LTS</v>
          </cell>
          <cell r="AK368" t="str">
            <v>Unaffected lots</v>
          </cell>
          <cell r="AL368" t="str">
            <v>Unaffected lots</v>
          </cell>
          <cell r="AM368" t="b">
            <v>0</v>
          </cell>
          <cell r="AN368" t="str">
            <v>NO</v>
          </cell>
          <cell r="AO368" t="str">
            <v>B3 2025</v>
          </cell>
          <cell r="AP368">
            <v>90</v>
          </cell>
          <cell r="AQ368" t="str">
            <v>PCS-277865</v>
          </cell>
          <cell r="AR368" t="b">
            <v>1</v>
          </cell>
          <cell r="AS368" t="str">
            <v>Done</v>
          </cell>
          <cell r="AT368" t="str">
            <v>2025 - Batch 4</v>
          </cell>
          <cell r="AU368">
            <v>21</v>
          </cell>
          <cell r="AV368">
            <v>6</v>
          </cell>
          <cell r="AW368" t="str">
            <v>H+L</v>
          </cell>
          <cell r="AX368">
            <v>90</v>
          </cell>
          <cell r="AY368">
            <v>50</v>
          </cell>
          <cell r="AZ368" t="str">
            <v>Duplex</v>
          </cell>
          <cell r="BA368">
            <v>1</v>
          </cell>
          <cell r="BB368" t="str">
            <v>568 - Without Partition</v>
          </cell>
          <cell r="BC368" t="str">
            <v xml:space="preserve">Without Partition </v>
          </cell>
          <cell r="BD368" t="str">
            <v>Slant</v>
          </cell>
          <cell r="BE368" t="str">
            <v xml:space="preserve">Without Partition </v>
          </cell>
          <cell r="BF368" t="str">
            <v>GREEN</v>
          </cell>
          <cell r="BG368">
            <v>2500000</v>
          </cell>
          <cell r="BH368">
            <v>2950000</v>
          </cell>
          <cell r="BI368">
            <v>100000</v>
          </cell>
          <cell r="BJ368">
            <v>2850000</v>
          </cell>
          <cell r="BK368">
            <v>0</v>
          </cell>
          <cell r="BL368">
            <v>2850000</v>
          </cell>
        </row>
        <row r="369">
          <cell r="D369" t="str">
            <v>OS</v>
          </cell>
          <cell r="E369"/>
          <cell r="F369">
            <v>349</v>
          </cell>
          <cell r="G369" t="str">
            <v>CLOSED</v>
          </cell>
          <cell r="H369" t="str">
            <v>OPEN</v>
          </cell>
          <cell r="I369" t="str">
            <v>TS</v>
          </cell>
          <cell r="J369" t="str">
            <v>TS</v>
          </cell>
          <cell r="K369" t="str">
            <v>TS</v>
          </cell>
          <cell r="L369" t="str">
            <v>TS</v>
          </cell>
          <cell r="M369" t="str">
            <v>TS</v>
          </cell>
          <cell r="N369" t="str">
            <v>TS</v>
          </cell>
          <cell r="O369" t="str">
            <v>TS</v>
          </cell>
          <cell r="P369" t="str">
            <v>OS</v>
          </cell>
          <cell r="Q369" t="str">
            <v>OS</v>
          </cell>
          <cell r="R369" t="str">
            <v>OS</v>
          </cell>
          <cell r="S369" t="str">
            <v>OS</v>
          </cell>
          <cell r="T369" t="str">
            <v>OS</v>
          </cell>
          <cell r="U369" t="str">
            <v>OS</v>
          </cell>
          <cell r="V369" t="str">
            <v>OS</v>
          </cell>
          <cell r="W369" t="str">
            <v>OS</v>
          </cell>
          <cell r="X369" t="str">
            <v>OS</v>
          </cell>
          <cell r="Y369" t="str">
            <v>OS</v>
          </cell>
          <cell r="Z369" t="str">
            <v>OS</v>
          </cell>
          <cell r="AA369" t="str">
            <v>OS</v>
          </cell>
          <cell r="AB369" t="str">
            <v>OS</v>
          </cell>
          <cell r="AC369" t="str">
            <v>OS</v>
          </cell>
          <cell r="AD369" t="str">
            <v>AGM-01-021-007</v>
          </cell>
          <cell r="AE369" t="str">
            <v xml:space="preserve">Raemulan Lands, Inc. </v>
          </cell>
          <cell r="AF369" t="str">
            <v>Agapeya</v>
          </cell>
          <cell r="AG369" t="str">
            <v>AGM</v>
          </cell>
          <cell r="AH369" t="str">
            <v>Eco-High</v>
          </cell>
          <cell r="AI369" t="str">
            <v>West</v>
          </cell>
          <cell r="AJ369" t="str">
            <v>Without LTS</v>
          </cell>
          <cell r="AK369" t="str">
            <v>Unaffected lots</v>
          </cell>
          <cell r="AL369" t="str">
            <v>Unaffected lots</v>
          </cell>
          <cell r="AM369" t="b">
            <v>0</v>
          </cell>
          <cell r="AN369" t="str">
            <v>NO</v>
          </cell>
          <cell r="AO369" t="str">
            <v>B3 2025</v>
          </cell>
          <cell r="AP369">
            <v>90</v>
          </cell>
          <cell r="AQ369" t="str">
            <v>PCS-277865</v>
          </cell>
          <cell r="AR369" t="b">
            <v>1</v>
          </cell>
          <cell r="AS369" t="str">
            <v>Done</v>
          </cell>
          <cell r="AT369" t="str">
            <v>2025 - Batch 4</v>
          </cell>
          <cell r="AU369">
            <v>21</v>
          </cell>
          <cell r="AV369">
            <v>7</v>
          </cell>
          <cell r="AW369" t="str">
            <v>H+L</v>
          </cell>
          <cell r="AX369">
            <v>90</v>
          </cell>
          <cell r="AY369">
            <v>50</v>
          </cell>
          <cell r="AZ369" t="str">
            <v>Duplex</v>
          </cell>
          <cell r="BA369">
            <v>1</v>
          </cell>
          <cell r="BB369" t="str">
            <v>568 - Without Partition</v>
          </cell>
          <cell r="BC369" t="str">
            <v xml:space="preserve">Without Partition </v>
          </cell>
          <cell r="BD369" t="str">
            <v>Slant</v>
          </cell>
          <cell r="BE369" t="str">
            <v xml:space="preserve">Without Partition </v>
          </cell>
          <cell r="BF369" t="str">
            <v>GREEN</v>
          </cell>
          <cell r="BG369">
            <v>2500000</v>
          </cell>
          <cell r="BH369">
            <v>2950000</v>
          </cell>
          <cell r="BI369">
            <v>100000</v>
          </cell>
          <cell r="BJ369">
            <v>2850000</v>
          </cell>
          <cell r="BK369">
            <v>0</v>
          </cell>
          <cell r="BL369">
            <v>2850000</v>
          </cell>
        </row>
        <row r="370">
          <cell r="D370" t="str">
            <v>OS</v>
          </cell>
          <cell r="E370"/>
          <cell r="F370">
            <v>350</v>
          </cell>
          <cell r="G370" t="str">
            <v>CLOSED</v>
          </cell>
          <cell r="H370" t="str">
            <v>WITH BRN</v>
          </cell>
          <cell r="I370" t="str">
            <v>TS</v>
          </cell>
          <cell r="J370" t="str">
            <v>TS</v>
          </cell>
          <cell r="K370" t="str">
            <v>TS</v>
          </cell>
          <cell r="L370" t="str">
            <v>TS</v>
          </cell>
          <cell r="M370" t="str">
            <v>TS</v>
          </cell>
          <cell r="N370" t="str">
            <v>TS</v>
          </cell>
          <cell r="O370" t="str">
            <v>TS</v>
          </cell>
          <cell r="P370" t="str">
            <v>TS</v>
          </cell>
          <cell r="Q370" t="str">
            <v>TS</v>
          </cell>
          <cell r="R370" t="str">
            <v>TS</v>
          </cell>
          <cell r="S370" t="str">
            <v>TS</v>
          </cell>
          <cell r="T370" t="str">
            <v>TS</v>
          </cell>
          <cell r="U370" t="str">
            <v>OS</v>
          </cell>
          <cell r="V370" t="str">
            <v>OS</v>
          </cell>
          <cell r="W370" t="str">
            <v>OS</v>
          </cell>
          <cell r="X370" t="str">
            <v>OS</v>
          </cell>
          <cell r="Y370" t="str">
            <v>OS</v>
          </cell>
          <cell r="Z370" t="str">
            <v>OS</v>
          </cell>
          <cell r="AA370" t="str">
            <v>OS</v>
          </cell>
          <cell r="AB370" t="str">
            <v>OS</v>
          </cell>
          <cell r="AC370" t="str">
            <v>OS</v>
          </cell>
          <cell r="AD370" t="str">
            <v>AGM-01-021-008</v>
          </cell>
          <cell r="AE370" t="str">
            <v xml:space="preserve">Raemulan Lands, Inc. </v>
          </cell>
          <cell r="AF370" t="str">
            <v>Agapeya</v>
          </cell>
          <cell r="AG370" t="str">
            <v>AGM</v>
          </cell>
          <cell r="AH370" t="str">
            <v>Eco-High</v>
          </cell>
          <cell r="AI370" t="str">
            <v>West</v>
          </cell>
          <cell r="AJ370" t="str">
            <v>Without LTS</v>
          </cell>
          <cell r="AK370" t="str">
            <v>Unaffected lots</v>
          </cell>
          <cell r="AL370" t="str">
            <v>Unaffected lots</v>
          </cell>
          <cell r="AM370" t="b">
            <v>0</v>
          </cell>
          <cell r="AN370" t="str">
            <v>NO</v>
          </cell>
          <cell r="AO370" t="str">
            <v>B3 2025</v>
          </cell>
          <cell r="AP370">
            <v>90</v>
          </cell>
          <cell r="AQ370" t="str">
            <v>PCS-277865</v>
          </cell>
          <cell r="AR370" t="b">
            <v>1</v>
          </cell>
          <cell r="AS370" t="str">
            <v>Done</v>
          </cell>
          <cell r="AT370" t="str">
            <v>2025 - Batch 4</v>
          </cell>
          <cell r="AU370">
            <v>21</v>
          </cell>
          <cell r="AV370">
            <v>8</v>
          </cell>
          <cell r="AW370" t="str">
            <v>H+L</v>
          </cell>
          <cell r="AX370">
            <v>90</v>
          </cell>
          <cell r="AY370">
            <v>50</v>
          </cell>
          <cell r="AZ370" t="str">
            <v>Duplex</v>
          </cell>
          <cell r="BA370">
            <v>1</v>
          </cell>
          <cell r="BB370" t="str">
            <v>568 - Without Partition</v>
          </cell>
          <cell r="BC370" t="str">
            <v xml:space="preserve">Without Partition </v>
          </cell>
          <cell r="BD370" t="str">
            <v>Flat</v>
          </cell>
          <cell r="BE370" t="str">
            <v xml:space="preserve">Without Partition </v>
          </cell>
          <cell r="BF370" t="str">
            <v>GREEN</v>
          </cell>
          <cell r="BG370">
            <v>2500000</v>
          </cell>
          <cell r="BH370">
            <v>2950000</v>
          </cell>
          <cell r="BI370">
            <v>100000</v>
          </cell>
          <cell r="BJ370">
            <v>2850000</v>
          </cell>
          <cell r="BK370">
            <v>0</v>
          </cell>
          <cell r="BL370">
            <v>2850000</v>
          </cell>
        </row>
        <row r="371">
          <cell r="D371" t="str">
            <v>OS</v>
          </cell>
          <cell r="E371"/>
          <cell r="F371">
            <v>351</v>
          </cell>
          <cell r="G371" t="str">
            <v>UNSOLD</v>
          </cell>
          <cell r="H371" t="str">
            <v>OS</v>
          </cell>
          <cell r="I371" t="str">
            <v>OS</v>
          </cell>
          <cell r="J371" t="str">
            <v>OS</v>
          </cell>
          <cell r="K371" t="str">
            <v>OS</v>
          </cell>
          <cell r="L371" t="str">
            <v>OS</v>
          </cell>
          <cell r="M371" t="str">
            <v>OS</v>
          </cell>
          <cell r="N371" t="str">
            <v>OS</v>
          </cell>
          <cell r="O371" t="str">
            <v>OS</v>
          </cell>
          <cell r="P371" t="str">
            <v>OS</v>
          </cell>
          <cell r="Q371" t="str">
            <v>OS</v>
          </cell>
          <cell r="R371" t="str">
            <v>OS</v>
          </cell>
          <cell r="S371" t="str">
            <v>OS</v>
          </cell>
          <cell r="T371" t="str">
            <v>OS</v>
          </cell>
          <cell r="U371" t="str">
            <v>OS</v>
          </cell>
          <cell r="V371" t="str">
            <v>OS</v>
          </cell>
          <cell r="W371" t="str">
            <v>OS</v>
          </cell>
          <cell r="X371" t="str">
            <v>OS</v>
          </cell>
          <cell r="Y371" t="str">
            <v>OS</v>
          </cell>
          <cell r="Z371" t="str">
            <v>OS</v>
          </cell>
          <cell r="AA371" t="str">
            <v>OS</v>
          </cell>
          <cell r="AB371" t="str">
            <v>OS</v>
          </cell>
          <cell r="AC371" t="str">
            <v>OS</v>
          </cell>
          <cell r="AD371" t="str">
            <v>AGM-01-022-001</v>
          </cell>
          <cell r="AE371" t="str">
            <v xml:space="preserve">Raemulan Lands, Inc. </v>
          </cell>
          <cell r="AF371" t="str">
            <v>Agapeya</v>
          </cell>
          <cell r="AG371" t="str">
            <v>AGM</v>
          </cell>
          <cell r="AH371" t="str">
            <v>Eco-High</v>
          </cell>
          <cell r="AI371" t="str">
            <v>West</v>
          </cell>
          <cell r="AJ371" t="str">
            <v>Without LTS</v>
          </cell>
          <cell r="AK371" t="str">
            <v>for conso</v>
          </cell>
          <cell r="AL371" t="str">
            <v>Unaffected lots</v>
          </cell>
          <cell r="AM371" t="b">
            <v>1</v>
          </cell>
          <cell r="AN371" t="str">
            <v>NO</v>
          </cell>
          <cell r="AO371" t="str">
            <v>B3 2025</v>
          </cell>
          <cell r="AP371" t="str">
            <v>14/66</v>
          </cell>
          <cell r="AQ371" t="str">
            <v>PCS-277865/PSD-04-276764</v>
          </cell>
          <cell r="AR371" t="b">
            <v>0</v>
          </cell>
          <cell r="AS371" t="str">
            <v>For Conso</v>
          </cell>
          <cell r="AT371" t="str">
            <v>2025 - Batch 3</v>
          </cell>
          <cell r="AU371">
            <v>22</v>
          </cell>
          <cell r="AV371">
            <v>1</v>
          </cell>
          <cell r="AW371" t="str">
            <v>H+L</v>
          </cell>
          <cell r="AX371">
            <v>80</v>
          </cell>
          <cell r="AY371">
            <v>50</v>
          </cell>
          <cell r="AZ371" t="str">
            <v>Duplex</v>
          </cell>
          <cell r="BA371">
            <v>1</v>
          </cell>
          <cell r="BB371" t="str">
            <v>568 - Without Partition</v>
          </cell>
          <cell r="BC371" t="str">
            <v xml:space="preserve">Without Partition </v>
          </cell>
          <cell r="BD371" t="str">
            <v>Flat</v>
          </cell>
          <cell r="BE371" t="str">
            <v xml:space="preserve">Without Partition </v>
          </cell>
          <cell r="BF371" t="str">
            <v>YELLOW</v>
          </cell>
          <cell r="BG371">
            <v>2500000</v>
          </cell>
          <cell r="BH371">
            <v>2800000</v>
          </cell>
          <cell r="BI371">
            <v>100000</v>
          </cell>
          <cell r="BJ371">
            <v>2700000</v>
          </cell>
          <cell r="BK371">
            <v>0</v>
          </cell>
          <cell r="BL371">
            <v>2700000</v>
          </cell>
        </row>
        <row r="372">
          <cell r="D372" t="str">
            <v>OS</v>
          </cell>
          <cell r="E372"/>
          <cell r="F372">
            <v>352</v>
          </cell>
          <cell r="G372" t="str">
            <v>UNSOLD</v>
          </cell>
          <cell r="H372" t="str">
            <v>OPEN</v>
          </cell>
          <cell r="I372" t="str">
            <v>OPEN</v>
          </cell>
          <cell r="J372" t="str">
            <v>OPEN</v>
          </cell>
          <cell r="K372" t="str">
            <v>OPEN</v>
          </cell>
          <cell r="L372" t="str">
            <v>OPEN</v>
          </cell>
          <cell r="M372" t="str">
            <v>OPEN</v>
          </cell>
          <cell r="N372" t="str">
            <v>TS</v>
          </cell>
          <cell r="O372" t="str">
            <v>TS</v>
          </cell>
          <cell r="P372" t="str">
            <v>OS</v>
          </cell>
          <cell r="Q372" t="str">
            <v>OS</v>
          </cell>
          <cell r="R372" t="str">
            <v>OS</v>
          </cell>
          <cell r="S372" t="str">
            <v>OS</v>
          </cell>
          <cell r="T372" t="str">
            <v>OS</v>
          </cell>
          <cell r="U372" t="str">
            <v>OS</v>
          </cell>
          <cell r="V372" t="str">
            <v>OS</v>
          </cell>
          <cell r="W372" t="str">
            <v>OS</v>
          </cell>
          <cell r="X372" t="str">
            <v>OS</v>
          </cell>
          <cell r="Y372" t="str">
            <v>OS</v>
          </cell>
          <cell r="Z372" t="str">
            <v>OS</v>
          </cell>
          <cell r="AA372" t="str">
            <v>OS</v>
          </cell>
          <cell r="AB372" t="str">
            <v>OS</v>
          </cell>
          <cell r="AC372" t="str">
            <v>OS</v>
          </cell>
          <cell r="AD372" t="str">
            <v>AGM-01-022-002</v>
          </cell>
          <cell r="AE372" t="str">
            <v xml:space="preserve">Raemulan Lands, Inc. </v>
          </cell>
          <cell r="AF372" t="str">
            <v>Agapeya</v>
          </cell>
          <cell r="AG372" t="str">
            <v>AGM</v>
          </cell>
          <cell r="AH372" t="str">
            <v>Eco-High</v>
          </cell>
          <cell r="AI372" t="str">
            <v>West</v>
          </cell>
          <cell r="AJ372" t="str">
            <v>Without LTS</v>
          </cell>
          <cell r="AK372" t="str">
            <v>Unaffected lots</v>
          </cell>
          <cell r="AL372" t="str">
            <v>Unaffected lots</v>
          </cell>
          <cell r="AM372" t="b">
            <v>0</v>
          </cell>
          <cell r="AN372" t="str">
            <v>NO</v>
          </cell>
          <cell r="AO372" t="str">
            <v>B3 2025</v>
          </cell>
          <cell r="AP372">
            <v>90</v>
          </cell>
          <cell r="AQ372" t="str">
            <v>PCS-277865</v>
          </cell>
          <cell r="AR372" t="b">
            <v>1</v>
          </cell>
          <cell r="AS372" t="str">
            <v>Done</v>
          </cell>
          <cell r="AT372" t="str">
            <v>2025 - Batch 3</v>
          </cell>
          <cell r="AU372">
            <v>22</v>
          </cell>
          <cell r="AV372">
            <v>2</v>
          </cell>
          <cell r="AW372" t="str">
            <v>H+L</v>
          </cell>
          <cell r="AX372">
            <v>90</v>
          </cell>
          <cell r="AY372">
            <v>50</v>
          </cell>
          <cell r="AZ372" t="str">
            <v>Duplex</v>
          </cell>
          <cell r="BA372">
            <v>1</v>
          </cell>
          <cell r="BB372" t="str">
            <v>568 - Without Partition</v>
          </cell>
          <cell r="BC372" t="str">
            <v xml:space="preserve">Without Partition </v>
          </cell>
          <cell r="BD372" t="str">
            <v>Slant</v>
          </cell>
          <cell r="BE372" t="str">
            <v xml:space="preserve">Without Partition </v>
          </cell>
          <cell r="BF372" t="str">
            <v>YELLOW</v>
          </cell>
          <cell r="BG372">
            <v>2500000</v>
          </cell>
          <cell r="BH372">
            <v>2950000</v>
          </cell>
          <cell r="BI372">
            <v>100000</v>
          </cell>
          <cell r="BJ372">
            <v>2850000</v>
          </cell>
          <cell r="BK372">
            <v>0</v>
          </cell>
          <cell r="BL372">
            <v>2850000</v>
          </cell>
        </row>
        <row r="373">
          <cell r="D373" t="str">
            <v>OS</v>
          </cell>
          <cell r="E373"/>
          <cell r="F373">
            <v>353</v>
          </cell>
          <cell r="G373" t="str">
            <v>UNSOLD</v>
          </cell>
          <cell r="H373" t="str">
            <v>OS</v>
          </cell>
          <cell r="I373" t="str">
            <v>OS</v>
          </cell>
          <cell r="J373" t="str">
            <v>OS</v>
          </cell>
          <cell r="K373" t="str">
            <v>OS</v>
          </cell>
          <cell r="L373" t="str">
            <v>OS</v>
          </cell>
          <cell r="M373" t="str">
            <v>OS</v>
          </cell>
          <cell r="N373" t="str">
            <v>OS</v>
          </cell>
          <cell r="O373" t="str">
            <v>OS</v>
          </cell>
          <cell r="P373" t="str">
            <v>OS</v>
          </cell>
          <cell r="Q373" t="str">
            <v>OS</v>
          </cell>
          <cell r="R373" t="str">
            <v>OS</v>
          </cell>
          <cell r="S373" t="str">
            <v>OS</v>
          </cell>
          <cell r="T373" t="str">
            <v>OS</v>
          </cell>
          <cell r="U373" t="str">
            <v>OS</v>
          </cell>
          <cell r="V373" t="str">
            <v>OS</v>
          </cell>
          <cell r="W373" t="str">
            <v>OS</v>
          </cell>
          <cell r="X373" t="str">
            <v>OS</v>
          </cell>
          <cell r="Y373" t="str">
            <v>OS</v>
          </cell>
          <cell r="Z373" t="str">
            <v>OS</v>
          </cell>
          <cell r="AA373" t="str">
            <v>OS</v>
          </cell>
          <cell r="AB373" t="str">
            <v>OS</v>
          </cell>
          <cell r="AC373" t="str">
            <v>OS</v>
          </cell>
          <cell r="AD373" t="str">
            <v>AGM-01-022-003</v>
          </cell>
          <cell r="AE373" t="str">
            <v xml:space="preserve">Raemulan Lands, Inc. </v>
          </cell>
          <cell r="AF373" t="str">
            <v>Agapeya</v>
          </cell>
          <cell r="AG373" t="str">
            <v>AGM</v>
          </cell>
          <cell r="AH373" t="str">
            <v>Eco-High</v>
          </cell>
          <cell r="AI373" t="str">
            <v>West</v>
          </cell>
          <cell r="AJ373" t="str">
            <v>Without LTS</v>
          </cell>
          <cell r="AK373" t="str">
            <v>Unaffected lots</v>
          </cell>
          <cell r="AL373" t="str">
            <v>Unaffected lots</v>
          </cell>
          <cell r="AM373" t="b">
            <v>0</v>
          </cell>
          <cell r="AN373" t="str">
            <v>NO</v>
          </cell>
          <cell r="AO373" t="str">
            <v>B3 2025</v>
          </cell>
          <cell r="AP373">
            <v>90</v>
          </cell>
          <cell r="AQ373" t="str">
            <v>PCS-277865</v>
          </cell>
          <cell r="AR373" t="b">
            <v>1</v>
          </cell>
          <cell r="AS373" t="str">
            <v>Done</v>
          </cell>
          <cell r="AT373" t="str">
            <v>2025 - Batch 3</v>
          </cell>
          <cell r="AU373">
            <v>22</v>
          </cell>
          <cell r="AV373">
            <v>3</v>
          </cell>
          <cell r="AW373" t="str">
            <v>H+L</v>
          </cell>
          <cell r="AX373">
            <v>90</v>
          </cell>
          <cell r="AY373">
            <v>50</v>
          </cell>
          <cell r="AZ373" t="str">
            <v>Duplex</v>
          </cell>
          <cell r="BA373">
            <v>1</v>
          </cell>
          <cell r="BB373" t="str">
            <v>568 - Without Partition</v>
          </cell>
          <cell r="BC373" t="str">
            <v xml:space="preserve">Without Partition </v>
          </cell>
          <cell r="BD373" t="str">
            <v>Slant</v>
          </cell>
          <cell r="BE373" t="str">
            <v xml:space="preserve">Without Partition </v>
          </cell>
          <cell r="BF373" t="str">
            <v>YELLOW</v>
          </cell>
          <cell r="BG373">
            <v>2500000</v>
          </cell>
          <cell r="BH373">
            <v>2950000</v>
          </cell>
          <cell r="BI373">
            <v>100000</v>
          </cell>
          <cell r="BJ373">
            <v>2850000</v>
          </cell>
          <cell r="BK373">
            <v>0</v>
          </cell>
          <cell r="BL373">
            <v>2850000</v>
          </cell>
        </row>
        <row r="374">
          <cell r="D374" t="str">
            <v>OS</v>
          </cell>
          <cell r="E374"/>
          <cell r="F374">
            <v>354</v>
          </cell>
          <cell r="G374" t="str">
            <v>SOLD</v>
          </cell>
          <cell r="H374" t="str">
            <v>OS</v>
          </cell>
          <cell r="I374" t="str">
            <v>OS</v>
          </cell>
          <cell r="J374" t="str">
            <v>OS</v>
          </cell>
          <cell r="K374" t="str">
            <v>OS</v>
          </cell>
          <cell r="L374" t="str">
            <v>OS</v>
          </cell>
          <cell r="M374" t="str">
            <v>OS</v>
          </cell>
          <cell r="N374" t="str">
            <v>OS</v>
          </cell>
          <cell r="O374" t="str">
            <v>OS</v>
          </cell>
          <cell r="P374" t="str">
            <v>OS</v>
          </cell>
          <cell r="Q374" t="str">
            <v>OS</v>
          </cell>
          <cell r="R374" t="str">
            <v>OS</v>
          </cell>
          <cell r="S374" t="str">
            <v>OS</v>
          </cell>
          <cell r="T374" t="str">
            <v>OS</v>
          </cell>
          <cell r="U374" t="str">
            <v>OS</v>
          </cell>
          <cell r="V374" t="str">
            <v>OS</v>
          </cell>
          <cell r="W374" t="str">
            <v>OS</v>
          </cell>
          <cell r="X374" t="str">
            <v>OS</v>
          </cell>
          <cell r="Y374" t="str">
            <v>OS</v>
          </cell>
          <cell r="Z374" t="str">
            <v>OS</v>
          </cell>
          <cell r="AA374" t="str">
            <v>OS</v>
          </cell>
          <cell r="AB374" t="str">
            <v>OS</v>
          </cell>
          <cell r="AC374" t="str">
            <v>OS</v>
          </cell>
          <cell r="AD374" t="str">
            <v>AGM-01-022-004</v>
          </cell>
          <cell r="AE374" t="str">
            <v xml:space="preserve">Raemulan Lands, Inc. </v>
          </cell>
          <cell r="AF374" t="str">
            <v>Agapeya</v>
          </cell>
          <cell r="AG374" t="str">
            <v>AGM</v>
          </cell>
          <cell r="AH374" t="str">
            <v>Eco-High</v>
          </cell>
          <cell r="AI374" t="str">
            <v>West</v>
          </cell>
          <cell r="AJ374" t="str">
            <v>Without LTS</v>
          </cell>
          <cell r="AK374" t="str">
            <v>Unaffected lots</v>
          </cell>
          <cell r="AL374" t="str">
            <v>Unaffected lots</v>
          </cell>
          <cell r="AM374" t="b">
            <v>0</v>
          </cell>
          <cell r="AN374" t="str">
            <v>NO</v>
          </cell>
          <cell r="AO374" t="str">
            <v>B3 2025</v>
          </cell>
          <cell r="AP374">
            <v>90</v>
          </cell>
          <cell r="AQ374" t="str">
            <v>PCS-277865</v>
          </cell>
          <cell r="AR374" t="b">
            <v>1</v>
          </cell>
          <cell r="AS374" t="str">
            <v>Done</v>
          </cell>
          <cell r="AT374" t="str">
            <v>2025 - Batch 3</v>
          </cell>
          <cell r="AU374">
            <v>22</v>
          </cell>
          <cell r="AV374">
            <v>4</v>
          </cell>
          <cell r="AW374" t="str">
            <v>H+L</v>
          </cell>
          <cell r="AX374">
            <v>90</v>
          </cell>
          <cell r="AY374">
            <v>50</v>
          </cell>
          <cell r="AZ374" t="str">
            <v>Duplex</v>
          </cell>
          <cell r="BA374">
            <v>1</v>
          </cell>
          <cell r="BB374" t="str">
            <v>568 - Without Partition</v>
          </cell>
          <cell r="BC374" t="str">
            <v xml:space="preserve">Without Partition </v>
          </cell>
          <cell r="BD374" t="str">
            <v>Flat</v>
          </cell>
          <cell r="BE374" t="str">
            <v xml:space="preserve">Without Partition </v>
          </cell>
          <cell r="BF374" t="str">
            <v>YELLOW</v>
          </cell>
          <cell r="BG374">
            <v>2500000</v>
          </cell>
          <cell r="BH374">
            <v>2950000</v>
          </cell>
          <cell r="BI374">
            <v>100000</v>
          </cell>
          <cell r="BJ374">
            <v>2850000</v>
          </cell>
          <cell r="BK374">
            <v>0</v>
          </cell>
          <cell r="BL374">
            <v>2850000</v>
          </cell>
        </row>
        <row r="375">
          <cell r="D375" t="str">
            <v>OS</v>
          </cell>
          <cell r="E375"/>
          <cell r="F375">
            <v>355</v>
          </cell>
          <cell r="G375" t="str">
            <v>CLOSED</v>
          </cell>
          <cell r="H375" t="str">
            <v>OPEN</v>
          </cell>
          <cell r="I375" t="str">
            <v>OPEN</v>
          </cell>
          <cell r="J375" t="str">
            <v>OPEN</v>
          </cell>
          <cell r="K375" t="str">
            <v>OPEN</v>
          </cell>
          <cell r="L375" t="str">
            <v>OPEN</v>
          </cell>
          <cell r="M375" t="str">
            <v>OPEN</v>
          </cell>
          <cell r="N375" t="str">
            <v>OPEN</v>
          </cell>
          <cell r="O375" t="str">
            <v>OPEN</v>
          </cell>
          <cell r="P375" t="str">
            <v>OPEN</v>
          </cell>
          <cell r="Q375" t="str">
            <v>OPEN</v>
          </cell>
          <cell r="R375" t="str">
            <v>OPEN</v>
          </cell>
          <cell r="S375" t="str">
            <v>OPEN</v>
          </cell>
          <cell r="T375" t="str">
            <v>OPEN</v>
          </cell>
          <cell r="U375" t="str">
            <v>TS</v>
          </cell>
          <cell r="V375" t="str">
            <v>OS</v>
          </cell>
          <cell r="W375" t="str">
            <v>TS</v>
          </cell>
          <cell r="X375" t="str">
            <v>OS</v>
          </cell>
          <cell r="Y375" t="str">
            <v>OS</v>
          </cell>
          <cell r="Z375" t="str">
            <v>OS</v>
          </cell>
          <cell r="AA375" t="str">
            <v>OS</v>
          </cell>
          <cell r="AB375" t="str">
            <v>OS</v>
          </cell>
          <cell r="AC375" t="str">
            <v>OS</v>
          </cell>
          <cell r="AD375" t="str">
            <v>AGM-01-022-005</v>
          </cell>
          <cell r="AE375" t="str">
            <v xml:space="preserve">Raemulan Lands, Inc. </v>
          </cell>
          <cell r="AF375" t="str">
            <v>Agapeya</v>
          </cell>
          <cell r="AG375" t="str">
            <v>AGM</v>
          </cell>
          <cell r="AH375" t="str">
            <v>Eco-High</v>
          </cell>
          <cell r="AI375" t="str">
            <v>West</v>
          </cell>
          <cell r="AJ375" t="str">
            <v>Without LTS</v>
          </cell>
          <cell r="AK375" t="str">
            <v>Unaffected lots</v>
          </cell>
          <cell r="AL375" t="str">
            <v>Unaffected lots</v>
          </cell>
          <cell r="AM375" t="b">
            <v>0</v>
          </cell>
          <cell r="AN375" t="str">
            <v>NO</v>
          </cell>
          <cell r="AO375" t="str">
            <v>B1 - Lot Only</v>
          </cell>
          <cell r="AP375">
            <v>109</v>
          </cell>
          <cell r="AQ375" t="str">
            <v>PCS-277865</v>
          </cell>
          <cell r="AR375" t="b">
            <v>1</v>
          </cell>
          <cell r="AS375" t="str">
            <v>Done</v>
          </cell>
          <cell r="AT375" t="str">
            <v>Lot Only - N/A</v>
          </cell>
          <cell r="AU375">
            <v>22</v>
          </cell>
          <cell r="AV375">
            <v>5</v>
          </cell>
          <cell r="AW375" t="str">
            <v>LO</v>
          </cell>
          <cell r="AX375">
            <v>109</v>
          </cell>
          <cell r="AY375" t="str">
            <v>N/A</v>
          </cell>
          <cell r="AZ375" t="str">
            <v>Lot Only</v>
          </cell>
          <cell r="BA375" t="str">
            <v>NA</v>
          </cell>
          <cell r="BB375" t="str">
            <v>N/A</v>
          </cell>
          <cell r="BC375" t="str">
            <v>N/A - LOT ONLY</v>
          </cell>
          <cell r="BD375" t="str">
            <v>-</v>
          </cell>
          <cell r="BE375" t="str">
            <v>N/A - LOT ONLY</v>
          </cell>
          <cell r="BF375" t="str">
            <v>N/A - LOT ONLY</v>
          </cell>
          <cell r="BG375">
            <v>2500000</v>
          </cell>
          <cell r="BH375">
            <v>1735000</v>
          </cell>
          <cell r="BI375">
            <v>100000</v>
          </cell>
          <cell r="BJ375">
            <v>1635000</v>
          </cell>
          <cell r="BK375">
            <v>175178.57142857142</v>
          </cell>
          <cell r="BL375">
            <v>1459821.4285714286</v>
          </cell>
        </row>
        <row r="376">
          <cell r="D376" t="str">
            <v>OS</v>
          </cell>
          <cell r="E376"/>
          <cell r="F376">
            <v>356</v>
          </cell>
          <cell r="G376" t="str">
            <v>UNSOLD</v>
          </cell>
          <cell r="H376" t="str">
            <v>TS</v>
          </cell>
          <cell r="I376" t="str">
            <v>TS</v>
          </cell>
          <cell r="J376" t="str">
            <v>TS - MORE THAN 30 DAYS</v>
          </cell>
          <cell r="K376" t="str">
            <v>TS</v>
          </cell>
          <cell r="L376" t="str">
            <v>TS</v>
          </cell>
          <cell r="M376" t="str">
            <v>TS</v>
          </cell>
          <cell r="N376" t="str">
            <v>TS</v>
          </cell>
          <cell r="O376" t="str">
            <v>TS</v>
          </cell>
          <cell r="P376" t="str">
            <v>TS</v>
          </cell>
          <cell r="Q376" t="str">
            <v>TS</v>
          </cell>
          <cell r="R376" t="str">
            <v>TS</v>
          </cell>
          <cell r="S376" t="str">
            <v>TS</v>
          </cell>
          <cell r="T376" t="str">
            <v>TS</v>
          </cell>
          <cell r="U376" t="str">
            <v>OS</v>
          </cell>
          <cell r="V376" t="str">
            <v>OS</v>
          </cell>
          <cell r="W376" t="str">
            <v>OS</v>
          </cell>
          <cell r="X376" t="str">
            <v>OS</v>
          </cell>
          <cell r="Y376" t="str">
            <v>OS</v>
          </cell>
          <cell r="Z376" t="str">
            <v>OS</v>
          </cell>
          <cell r="AA376" t="str">
            <v>OS</v>
          </cell>
          <cell r="AB376" t="str">
            <v>OS</v>
          </cell>
          <cell r="AC376" t="str">
            <v>OS</v>
          </cell>
          <cell r="AD376" t="str">
            <v>AGM-01-022-006</v>
          </cell>
          <cell r="AE376" t="str">
            <v xml:space="preserve">Raemulan Lands, Inc. </v>
          </cell>
          <cell r="AF376" t="str">
            <v>Agapeya</v>
          </cell>
          <cell r="AG376" t="str">
            <v>AGM</v>
          </cell>
          <cell r="AH376" t="str">
            <v>Eco-High</v>
          </cell>
          <cell r="AI376" t="str">
            <v>West</v>
          </cell>
          <cell r="AJ376" t="str">
            <v>Without LTS</v>
          </cell>
          <cell r="AK376" t="str">
            <v>Unaffected lots</v>
          </cell>
          <cell r="AL376" t="str">
            <v>Unaffected lots</v>
          </cell>
          <cell r="AM376" t="b">
            <v>0</v>
          </cell>
          <cell r="AN376" t="str">
            <v>NO</v>
          </cell>
          <cell r="AO376" t="str">
            <v>B1 2025</v>
          </cell>
          <cell r="AP376">
            <v>80</v>
          </cell>
          <cell r="AQ376" t="str">
            <v>PCS-277865</v>
          </cell>
          <cell r="AR376" t="b">
            <v>1</v>
          </cell>
          <cell r="AS376" t="str">
            <v>Done</v>
          </cell>
          <cell r="AT376" t="str">
            <v>2025 - Batch 3</v>
          </cell>
          <cell r="AU376">
            <v>22</v>
          </cell>
          <cell r="AV376">
            <v>6</v>
          </cell>
          <cell r="AW376" t="str">
            <v>H+L</v>
          </cell>
          <cell r="AX376">
            <v>80</v>
          </cell>
          <cell r="AY376">
            <v>50</v>
          </cell>
          <cell r="AZ376" t="str">
            <v>Duplex</v>
          </cell>
          <cell r="BA376">
            <v>1</v>
          </cell>
          <cell r="BB376" t="str">
            <v>568 - Without Partition</v>
          </cell>
          <cell r="BC376" t="str">
            <v xml:space="preserve">Without Partition </v>
          </cell>
          <cell r="BD376" t="str">
            <v>Slant</v>
          </cell>
          <cell r="BE376" t="str">
            <v xml:space="preserve">Without Partition </v>
          </cell>
          <cell r="BF376" t="str">
            <v>PURPLE</v>
          </cell>
          <cell r="BG376">
            <v>2500000</v>
          </cell>
          <cell r="BH376">
            <v>2800000</v>
          </cell>
          <cell r="BI376">
            <v>100000</v>
          </cell>
          <cell r="BJ376">
            <v>2700000</v>
          </cell>
          <cell r="BK376">
            <v>0</v>
          </cell>
          <cell r="BL376">
            <v>2700000</v>
          </cell>
        </row>
        <row r="377">
          <cell r="D377" t="str">
            <v>OS</v>
          </cell>
          <cell r="E377"/>
          <cell r="F377">
            <v>357</v>
          </cell>
          <cell r="G377" t="str">
            <v>SOLD</v>
          </cell>
          <cell r="H377" t="str">
            <v>OS</v>
          </cell>
          <cell r="I377" t="str">
            <v>OS</v>
          </cell>
          <cell r="J377" t="str">
            <v>OS</v>
          </cell>
          <cell r="K377" t="str">
            <v>OS</v>
          </cell>
          <cell r="L377" t="str">
            <v>OS</v>
          </cell>
          <cell r="M377" t="str">
            <v>OS</v>
          </cell>
          <cell r="N377" t="str">
            <v>OS</v>
          </cell>
          <cell r="O377" t="str">
            <v>OS</v>
          </cell>
          <cell r="P377" t="str">
            <v>OS</v>
          </cell>
          <cell r="Q377" t="str">
            <v>OS</v>
          </cell>
          <cell r="R377" t="str">
            <v>OS</v>
          </cell>
          <cell r="S377" t="str">
            <v>OS</v>
          </cell>
          <cell r="T377" t="str">
            <v>OS</v>
          </cell>
          <cell r="U377" t="str">
            <v>OS</v>
          </cell>
          <cell r="V377" t="str">
            <v>OS</v>
          </cell>
          <cell r="W377" t="str">
            <v>OS</v>
          </cell>
          <cell r="X377" t="str">
            <v>OS</v>
          </cell>
          <cell r="Y377" t="str">
            <v>OS</v>
          </cell>
          <cell r="Z377" t="str">
            <v>OS</v>
          </cell>
          <cell r="AA377" t="str">
            <v>OS</v>
          </cell>
          <cell r="AB377" t="str">
            <v>OS</v>
          </cell>
          <cell r="AC377" t="str">
            <v>OS</v>
          </cell>
          <cell r="AD377" t="str">
            <v>AGM-01-022-007</v>
          </cell>
          <cell r="AE377" t="str">
            <v xml:space="preserve">Raemulan Lands, Inc. </v>
          </cell>
          <cell r="AF377" t="str">
            <v>Agapeya</v>
          </cell>
          <cell r="AG377" t="str">
            <v>AGM</v>
          </cell>
          <cell r="AH377" t="str">
            <v>Eco-High</v>
          </cell>
          <cell r="AI377" t="str">
            <v>West</v>
          </cell>
          <cell r="AJ377" t="str">
            <v>Without LTS</v>
          </cell>
          <cell r="AK377" t="str">
            <v>for conso</v>
          </cell>
          <cell r="AL377" t="str">
            <v>Unaffected lots</v>
          </cell>
          <cell r="AM377" t="b">
            <v>1</v>
          </cell>
          <cell r="AN377" t="str">
            <v>NO</v>
          </cell>
          <cell r="AO377" t="str">
            <v>B1 2025</v>
          </cell>
          <cell r="AP377" t="str">
            <v>8/62</v>
          </cell>
          <cell r="AQ377" t="str">
            <v>PCS-04-276764/PSD-04-277865</v>
          </cell>
          <cell r="AR377" t="b">
            <v>0</v>
          </cell>
          <cell r="AS377" t="str">
            <v>For Conso</v>
          </cell>
          <cell r="AT377" t="str">
            <v>2025 - Batch 3</v>
          </cell>
          <cell r="AU377">
            <v>22</v>
          </cell>
          <cell r="AV377">
            <v>7</v>
          </cell>
          <cell r="AW377" t="str">
            <v>H+L</v>
          </cell>
          <cell r="AX377">
            <v>70</v>
          </cell>
          <cell r="AY377">
            <v>50</v>
          </cell>
          <cell r="AZ377" t="str">
            <v>Duplex</v>
          </cell>
          <cell r="BA377">
            <v>1</v>
          </cell>
          <cell r="BB377" t="str">
            <v>568 - Without Partition</v>
          </cell>
          <cell r="BC377" t="str">
            <v xml:space="preserve">Without Partition </v>
          </cell>
          <cell r="BD377" t="str">
            <v>Flat</v>
          </cell>
          <cell r="BE377" t="str">
            <v xml:space="preserve">Without Partition </v>
          </cell>
          <cell r="BF377" t="str">
            <v>PURPLE</v>
          </cell>
          <cell r="BG377">
            <v>2500000</v>
          </cell>
          <cell r="BH377">
            <v>2650000</v>
          </cell>
          <cell r="BI377">
            <v>100000</v>
          </cell>
          <cell r="BJ377">
            <v>2550000</v>
          </cell>
          <cell r="BK377">
            <v>0</v>
          </cell>
          <cell r="BL377">
            <v>2550000</v>
          </cell>
        </row>
        <row r="378">
          <cell r="D378" t="str">
            <v>OS</v>
          </cell>
          <cell r="E378"/>
          <cell r="F378">
            <v>358</v>
          </cell>
          <cell r="G378" t="str">
            <v>SOLD</v>
          </cell>
          <cell r="H378" t="str">
            <v>OS</v>
          </cell>
          <cell r="I378" t="str">
            <v>OS</v>
          </cell>
          <cell r="J378" t="str">
            <v>OS</v>
          </cell>
          <cell r="K378" t="str">
            <v>OS</v>
          </cell>
          <cell r="L378" t="str">
            <v>OS</v>
          </cell>
          <cell r="M378" t="str">
            <v>OS</v>
          </cell>
          <cell r="N378" t="str">
            <v>OS</v>
          </cell>
          <cell r="O378" t="str">
            <v>OS</v>
          </cell>
          <cell r="P378" t="str">
            <v>OS</v>
          </cell>
          <cell r="Q378" t="str">
            <v>OS</v>
          </cell>
          <cell r="R378" t="str">
            <v>OS</v>
          </cell>
          <cell r="S378" t="str">
            <v>OS</v>
          </cell>
          <cell r="T378" t="str">
            <v>OS</v>
          </cell>
          <cell r="U378" t="str">
            <v>OS</v>
          </cell>
          <cell r="V378" t="str">
            <v>OS</v>
          </cell>
          <cell r="W378" t="str">
            <v>OS</v>
          </cell>
          <cell r="X378" t="str">
            <v>OS</v>
          </cell>
          <cell r="Y378" t="str">
            <v>OS</v>
          </cell>
          <cell r="Z378" t="str">
            <v>OS</v>
          </cell>
          <cell r="AA378" t="str">
            <v>OS</v>
          </cell>
          <cell r="AB378" t="str">
            <v>OS</v>
          </cell>
          <cell r="AC378" t="str">
            <v>OS</v>
          </cell>
          <cell r="AD378" t="str">
            <v>AGM-01-022-008</v>
          </cell>
          <cell r="AE378" t="str">
            <v xml:space="preserve">Raemulan Lands, Inc. </v>
          </cell>
          <cell r="AF378" t="str">
            <v>Agapeya</v>
          </cell>
          <cell r="AG378" t="str">
            <v>AGM</v>
          </cell>
          <cell r="AH378" t="str">
            <v>Eco-High</v>
          </cell>
          <cell r="AI378" t="str">
            <v>West</v>
          </cell>
          <cell r="AJ378" t="str">
            <v>Without LTS</v>
          </cell>
          <cell r="AK378" t="str">
            <v>for conso</v>
          </cell>
          <cell r="AL378" t="str">
            <v>Unaffected lots</v>
          </cell>
          <cell r="AM378" t="b">
            <v>1</v>
          </cell>
          <cell r="AN378" t="str">
            <v>NO</v>
          </cell>
          <cell r="AO378" t="str">
            <v>B1 2025</v>
          </cell>
          <cell r="AP378" t="str">
            <v>58/12</v>
          </cell>
          <cell r="AQ378" t="str">
            <v>PSD-04-276764/PCS-277865</v>
          </cell>
          <cell r="AR378" t="b">
            <v>0</v>
          </cell>
          <cell r="AS378" t="str">
            <v>For Conso</v>
          </cell>
          <cell r="AT378" t="str">
            <v>2025 - Batch 3</v>
          </cell>
          <cell r="AU378">
            <v>22</v>
          </cell>
          <cell r="AV378">
            <v>8</v>
          </cell>
          <cell r="AW378" t="str">
            <v>H+L</v>
          </cell>
          <cell r="AX378">
            <v>70</v>
          </cell>
          <cell r="AY378">
            <v>50</v>
          </cell>
          <cell r="AZ378" t="str">
            <v>Duplex</v>
          </cell>
          <cell r="BA378">
            <v>1</v>
          </cell>
          <cell r="BB378" t="str">
            <v>568 - Without Partition</v>
          </cell>
          <cell r="BC378" t="str">
            <v xml:space="preserve">Without Partition </v>
          </cell>
          <cell r="BD378" t="str">
            <v>Flat</v>
          </cell>
          <cell r="BE378" t="str">
            <v xml:space="preserve">Without Partition </v>
          </cell>
          <cell r="BF378" t="str">
            <v>PURPLE</v>
          </cell>
          <cell r="BG378">
            <v>2550000</v>
          </cell>
          <cell r="BH378">
            <v>2650000</v>
          </cell>
          <cell r="BI378">
            <v>100000</v>
          </cell>
          <cell r="BJ378">
            <v>2550000</v>
          </cell>
          <cell r="BK378">
            <v>0</v>
          </cell>
          <cell r="BL378">
            <v>2550000</v>
          </cell>
        </row>
        <row r="379">
          <cell r="D379" t="str">
            <v>OS</v>
          </cell>
          <cell r="E379"/>
          <cell r="F379">
            <v>359</v>
          </cell>
          <cell r="G379" t="str">
            <v>UNSOLD</v>
          </cell>
          <cell r="H379" t="str">
            <v>TS - MORE THAN 30 DAYS</v>
          </cell>
          <cell r="I379" t="str">
            <v>TS</v>
          </cell>
          <cell r="J379" t="str">
            <v>TS</v>
          </cell>
          <cell r="K379" t="str">
            <v>TS</v>
          </cell>
          <cell r="L379" t="str">
            <v>TS</v>
          </cell>
          <cell r="M379" t="str">
            <v>TS</v>
          </cell>
          <cell r="N379" t="str">
            <v>TS</v>
          </cell>
          <cell r="O379" t="str">
            <v>TS</v>
          </cell>
          <cell r="P379" t="str">
            <v>OS</v>
          </cell>
          <cell r="Q379" t="str">
            <v>OS</v>
          </cell>
          <cell r="R379" t="str">
            <v>OS</v>
          </cell>
          <cell r="S379" t="str">
            <v>OS</v>
          </cell>
          <cell r="T379" t="str">
            <v>OS</v>
          </cell>
          <cell r="U379" t="str">
            <v>OS</v>
          </cell>
          <cell r="V379" t="str">
            <v>OS</v>
          </cell>
          <cell r="W379" t="str">
            <v>OS</v>
          </cell>
          <cell r="X379" t="str">
            <v>OS</v>
          </cell>
          <cell r="Y379" t="str">
            <v>OS</v>
          </cell>
          <cell r="Z379" t="str">
            <v>OS</v>
          </cell>
          <cell r="AA379" t="str">
            <v>OS</v>
          </cell>
          <cell r="AB379" t="str">
            <v>OS</v>
          </cell>
          <cell r="AC379" t="str">
            <v>OS</v>
          </cell>
          <cell r="AD379" t="str">
            <v>AGM-01-022-009</v>
          </cell>
          <cell r="AE379" t="str">
            <v xml:space="preserve">Raemulan Lands, Inc. </v>
          </cell>
          <cell r="AF379" t="str">
            <v>Agapeya</v>
          </cell>
          <cell r="AG379" t="str">
            <v>AGM</v>
          </cell>
          <cell r="AH379" t="str">
            <v>Eco-High</v>
          </cell>
          <cell r="AI379" t="str">
            <v>West</v>
          </cell>
          <cell r="AJ379" t="str">
            <v>With LTS</v>
          </cell>
          <cell r="AK379" t="str">
            <v>Unaffected lots</v>
          </cell>
          <cell r="AL379" t="str">
            <v>Unaffected lots</v>
          </cell>
          <cell r="AM379" t="b">
            <v>1</v>
          </cell>
          <cell r="AN379" t="str">
            <v>YES</v>
          </cell>
          <cell r="AO379" t="str">
            <v>B1 2025</v>
          </cell>
          <cell r="AP379">
            <v>70</v>
          </cell>
          <cell r="AQ379" t="str">
            <v>PCS-04-276764</v>
          </cell>
          <cell r="AR379" t="b">
            <v>1</v>
          </cell>
          <cell r="AS379" t="str">
            <v>Done</v>
          </cell>
          <cell r="AT379" t="str">
            <v>2025 - Batch 3</v>
          </cell>
          <cell r="AU379">
            <v>22</v>
          </cell>
          <cell r="AV379">
            <v>9</v>
          </cell>
          <cell r="AW379" t="str">
            <v>H+L</v>
          </cell>
          <cell r="AX379">
            <v>70</v>
          </cell>
          <cell r="AY379">
            <v>50</v>
          </cell>
          <cell r="AZ379" t="str">
            <v>Duplex</v>
          </cell>
          <cell r="BA379">
            <v>1</v>
          </cell>
          <cell r="BB379" t="str">
            <v>568 - Without Partition</v>
          </cell>
          <cell r="BC379" t="str">
            <v xml:space="preserve">Without Partition </v>
          </cell>
          <cell r="BD379" t="str">
            <v>Slant</v>
          </cell>
          <cell r="BE379" t="str">
            <v xml:space="preserve">Without Partition </v>
          </cell>
          <cell r="BF379" t="str">
            <v>PURPLE</v>
          </cell>
          <cell r="BG379">
            <v>2500000</v>
          </cell>
          <cell r="BH379">
            <v>2650000</v>
          </cell>
          <cell r="BI379">
            <v>100000</v>
          </cell>
          <cell r="BJ379">
            <v>2550000</v>
          </cell>
          <cell r="BK379">
            <v>0</v>
          </cell>
          <cell r="BL379">
            <v>2550000</v>
          </cell>
        </row>
        <row r="380">
          <cell r="D380" t="str">
            <v>OS</v>
          </cell>
          <cell r="E380"/>
          <cell r="F380">
            <v>360</v>
          </cell>
          <cell r="G380" t="str">
            <v>SOLD</v>
          </cell>
          <cell r="H380" t="str">
            <v>OS</v>
          </cell>
          <cell r="I380" t="str">
            <v>OS</v>
          </cell>
          <cell r="J380" t="str">
            <v>OS</v>
          </cell>
          <cell r="K380" t="str">
            <v>OS</v>
          </cell>
          <cell r="L380" t="str">
            <v>OS</v>
          </cell>
          <cell r="M380" t="str">
            <v>OS</v>
          </cell>
          <cell r="N380" t="str">
            <v>OS</v>
          </cell>
          <cell r="O380" t="str">
            <v>OS</v>
          </cell>
          <cell r="P380" t="str">
            <v>OS</v>
          </cell>
          <cell r="Q380" t="str">
            <v>OS</v>
          </cell>
          <cell r="R380" t="str">
            <v>OS</v>
          </cell>
          <cell r="S380" t="str">
            <v>OS</v>
          </cell>
          <cell r="T380" t="str">
            <v>OS</v>
          </cell>
          <cell r="U380" t="str">
            <v>OS</v>
          </cell>
          <cell r="V380" t="str">
            <v>OS</v>
          </cell>
          <cell r="W380" t="str">
            <v>OS</v>
          </cell>
          <cell r="X380" t="str">
            <v>OS</v>
          </cell>
          <cell r="Y380" t="str">
            <v>OS</v>
          </cell>
          <cell r="Z380" t="str">
            <v>OS</v>
          </cell>
          <cell r="AA380" t="str">
            <v>OS</v>
          </cell>
          <cell r="AB380" t="str">
            <v>OS</v>
          </cell>
          <cell r="AC380" t="str">
            <v>OS</v>
          </cell>
          <cell r="AD380" t="str">
            <v>AGM-01-022-010</v>
          </cell>
          <cell r="AE380" t="str">
            <v xml:space="preserve">Raemulan Lands, Inc. </v>
          </cell>
          <cell r="AF380" t="str">
            <v>Agapeya</v>
          </cell>
          <cell r="AG380" t="str">
            <v>AGM</v>
          </cell>
          <cell r="AH380" t="str">
            <v>Eco-High</v>
          </cell>
          <cell r="AI380" t="str">
            <v>West</v>
          </cell>
          <cell r="AJ380" t="str">
            <v>With LTS</v>
          </cell>
          <cell r="AK380" t="str">
            <v>Unaffected lots</v>
          </cell>
          <cell r="AL380" t="str">
            <v>Unaffected lots</v>
          </cell>
          <cell r="AM380" t="b">
            <v>1</v>
          </cell>
          <cell r="AN380" t="str">
            <v>YES</v>
          </cell>
          <cell r="AO380" t="str">
            <v>B1 2025</v>
          </cell>
          <cell r="AP380">
            <v>70</v>
          </cell>
          <cell r="AQ380" t="str">
            <v>PCS-04-276764</v>
          </cell>
          <cell r="AR380" t="b">
            <v>1</v>
          </cell>
          <cell r="AS380" t="str">
            <v>Done</v>
          </cell>
          <cell r="AT380" t="str">
            <v>2025 - Batch 3</v>
          </cell>
          <cell r="AU380">
            <v>22</v>
          </cell>
          <cell r="AV380">
            <v>10</v>
          </cell>
          <cell r="AW380" t="str">
            <v>H+L</v>
          </cell>
          <cell r="AX380">
            <v>70</v>
          </cell>
          <cell r="AY380">
            <v>50</v>
          </cell>
          <cell r="AZ380" t="str">
            <v>Duplex</v>
          </cell>
          <cell r="BA380">
            <v>1</v>
          </cell>
          <cell r="BB380" t="str">
            <v>568 - Without Partition</v>
          </cell>
          <cell r="BC380" t="str">
            <v xml:space="preserve">Without Partition </v>
          </cell>
          <cell r="BD380" t="str">
            <v>Slant</v>
          </cell>
          <cell r="BE380" t="str">
            <v xml:space="preserve">Without Partition </v>
          </cell>
          <cell r="BF380" t="str">
            <v>GREEN</v>
          </cell>
          <cell r="BG380">
            <v>2500000</v>
          </cell>
          <cell r="BH380">
            <v>2650000</v>
          </cell>
          <cell r="BI380">
            <v>100000</v>
          </cell>
          <cell r="BJ380">
            <v>2550000</v>
          </cell>
          <cell r="BK380">
            <v>0</v>
          </cell>
          <cell r="BL380">
            <v>2550000</v>
          </cell>
        </row>
        <row r="381">
          <cell r="D381" t="str">
            <v>OS</v>
          </cell>
          <cell r="E381"/>
          <cell r="F381">
            <v>361</v>
          </cell>
          <cell r="G381" t="str">
            <v>SOLD</v>
          </cell>
          <cell r="H381" t="str">
            <v>OS</v>
          </cell>
          <cell r="I381" t="str">
            <v>OS</v>
          </cell>
          <cell r="J381" t="str">
            <v>OS</v>
          </cell>
          <cell r="K381" t="str">
            <v>OS</v>
          </cell>
          <cell r="L381" t="str">
            <v>OS</v>
          </cell>
          <cell r="M381" t="str">
            <v>OS</v>
          </cell>
          <cell r="N381" t="str">
            <v>OS</v>
          </cell>
          <cell r="O381" t="str">
            <v>OS</v>
          </cell>
          <cell r="P381" t="str">
            <v>OS</v>
          </cell>
          <cell r="Q381" t="str">
            <v>OS</v>
          </cell>
          <cell r="R381" t="str">
            <v>OS</v>
          </cell>
          <cell r="S381" t="str">
            <v>OS</v>
          </cell>
          <cell r="T381" t="str">
            <v>OS</v>
          </cell>
          <cell r="U381" t="str">
            <v>OS</v>
          </cell>
          <cell r="V381" t="str">
            <v>OS</v>
          </cell>
          <cell r="W381" t="str">
            <v>OS</v>
          </cell>
          <cell r="X381" t="str">
            <v>OS</v>
          </cell>
          <cell r="Y381" t="str">
            <v>OS</v>
          </cell>
          <cell r="Z381" t="str">
            <v>OS</v>
          </cell>
          <cell r="AA381" t="str">
            <v>OS</v>
          </cell>
          <cell r="AB381" t="str">
            <v>OS</v>
          </cell>
          <cell r="AC381" t="str">
            <v>OS</v>
          </cell>
          <cell r="AD381" t="str">
            <v>AGM-01-022-011</v>
          </cell>
          <cell r="AE381" t="str">
            <v xml:space="preserve">Raemulan Lands, Inc. </v>
          </cell>
          <cell r="AF381" t="str">
            <v>Agapeya</v>
          </cell>
          <cell r="AG381" t="str">
            <v>AGM</v>
          </cell>
          <cell r="AH381" t="str">
            <v>Eco-High</v>
          </cell>
          <cell r="AI381" t="str">
            <v>West</v>
          </cell>
          <cell r="AJ381" t="str">
            <v>With LTS</v>
          </cell>
          <cell r="AK381" t="str">
            <v>Unaffected lots</v>
          </cell>
          <cell r="AL381" t="str">
            <v>Unaffected lots</v>
          </cell>
          <cell r="AM381" t="b">
            <v>1</v>
          </cell>
          <cell r="AN381" t="str">
            <v>YES</v>
          </cell>
          <cell r="AO381" t="str">
            <v>B1 2025</v>
          </cell>
          <cell r="AP381">
            <v>70</v>
          </cell>
          <cell r="AQ381" t="str">
            <v>PCS-04-276764</v>
          </cell>
          <cell r="AR381" t="b">
            <v>1</v>
          </cell>
          <cell r="AS381" t="str">
            <v>Done</v>
          </cell>
          <cell r="AT381" t="str">
            <v>2025 - Batch 3</v>
          </cell>
          <cell r="AU381">
            <v>22</v>
          </cell>
          <cell r="AV381">
            <v>11</v>
          </cell>
          <cell r="AW381" t="str">
            <v>H+L</v>
          </cell>
          <cell r="AX381">
            <v>70</v>
          </cell>
          <cell r="AY381">
            <v>50</v>
          </cell>
          <cell r="AZ381" t="str">
            <v>Duplex</v>
          </cell>
          <cell r="BA381">
            <v>1</v>
          </cell>
          <cell r="BB381" t="str">
            <v>568 - Without Partition</v>
          </cell>
          <cell r="BC381" t="str">
            <v xml:space="preserve">Without Partition </v>
          </cell>
          <cell r="BD381" t="str">
            <v>Flat</v>
          </cell>
          <cell r="BE381" t="str">
            <v xml:space="preserve">Without Partition </v>
          </cell>
          <cell r="BF381" t="str">
            <v>GREEN</v>
          </cell>
          <cell r="BG381">
            <v>2500000</v>
          </cell>
          <cell r="BH381">
            <v>2650000</v>
          </cell>
          <cell r="BI381">
            <v>100000</v>
          </cell>
          <cell r="BJ381">
            <v>2550000</v>
          </cell>
          <cell r="BK381">
            <v>0</v>
          </cell>
          <cell r="BL381">
            <v>2550000</v>
          </cell>
        </row>
        <row r="382">
          <cell r="D382" t="str">
            <v>OS</v>
          </cell>
          <cell r="E382"/>
          <cell r="F382">
            <v>362</v>
          </cell>
          <cell r="G382" t="str">
            <v>SOLD</v>
          </cell>
          <cell r="H382" t="str">
            <v>OS</v>
          </cell>
          <cell r="I382" t="str">
            <v>OS</v>
          </cell>
          <cell r="J382" t="str">
            <v>OS</v>
          </cell>
          <cell r="K382" t="str">
            <v>OS</v>
          </cell>
          <cell r="L382" t="str">
            <v>OS</v>
          </cell>
          <cell r="M382" t="str">
            <v>OS</v>
          </cell>
          <cell r="N382" t="str">
            <v>OS</v>
          </cell>
          <cell r="O382" t="str">
            <v>OS</v>
          </cell>
          <cell r="P382" t="str">
            <v>OS</v>
          </cell>
          <cell r="Q382" t="str">
            <v>OS</v>
          </cell>
          <cell r="R382" t="str">
            <v>OS</v>
          </cell>
          <cell r="S382" t="str">
            <v>OS</v>
          </cell>
          <cell r="T382" t="str">
            <v>OS</v>
          </cell>
          <cell r="U382" t="str">
            <v>OS</v>
          </cell>
          <cell r="V382" t="str">
            <v>OS</v>
          </cell>
          <cell r="W382" t="str">
            <v>OS</v>
          </cell>
          <cell r="X382" t="str">
            <v>OS</v>
          </cell>
          <cell r="Y382" t="str">
            <v>OS</v>
          </cell>
          <cell r="Z382" t="str">
            <v>OS</v>
          </cell>
          <cell r="AA382" t="str">
            <v>OS</v>
          </cell>
          <cell r="AB382" t="str">
            <v>OS</v>
          </cell>
          <cell r="AC382" t="str">
            <v>OS</v>
          </cell>
          <cell r="AD382" t="str">
            <v>AGM-01-022-012</v>
          </cell>
          <cell r="AE382" t="str">
            <v xml:space="preserve">Raemulan Lands, Inc. </v>
          </cell>
          <cell r="AF382" t="str">
            <v>Agapeya</v>
          </cell>
          <cell r="AG382" t="str">
            <v>AGM</v>
          </cell>
          <cell r="AH382" t="str">
            <v>Eco-High</v>
          </cell>
          <cell r="AI382" t="str">
            <v>West</v>
          </cell>
          <cell r="AJ382" t="str">
            <v>With LTS</v>
          </cell>
          <cell r="AK382" t="str">
            <v>Unaffected lots</v>
          </cell>
          <cell r="AL382" t="str">
            <v>Unaffected lots</v>
          </cell>
          <cell r="AM382" t="b">
            <v>1</v>
          </cell>
          <cell r="AN382" t="str">
            <v>YES</v>
          </cell>
          <cell r="AO382" t="str">
            <v>B3 2025</v>
          </cell>
          <cell r="AP382">
            <v>90</v>
          </cell>
          <cell r="AQ382" t="str">
            <v>PCS-04-276764</v>
          </cell>
          <cell r="AR382" t="b">
            <v>1</v>
          </cell>
          <cell r="AS382" t="str">
            <v>Done</v>
          </cell>
          <cell r="AT382" t="str">
            <v>2025 - Batch 3</v>
          </cell>
          <cell r="AU382">
            <v>22</v>
          </cell>
          <cell r="AV382">
            <v>12</v>
          </cell>
          <cell r="AW382" t="str">
            <v>H+L</v>
          </cell>
          <cell r="AX382">
            <v>90</v>
          </cell>
          <cell r="AY382">
            <v>50</v>
          </cell>
          <cell r="AZ382" t="str">
            <v>Duplex</v>
          </cell>
          <cell r="BA382">
            <v>1</v>
          </cell>
          <cell r="BB382" t="str">
            <v>568 - Without Partition</v>
          </cell>
          <cell r="BC382" t="str">
            <v xml:space="preserve">Without Partition </v>
          </cell>
          <cell r="BD382" t="str">
            <v>Flat</v>
          </cell>
          <cell r="BE382" t="str">
            <v xml:space="preserve">Without Partition </v>
          </cell>
          <cell r="BF382" t="str">
            <v>GREEN</v>
          </cell>
          <cell r="BG382">
            <v>2800000</v>
          </cell>
          <cell r="BH382">
            <v>2950000</v>
          </cell>
          <cell r="BI382">
            <v>100000</v>
          </cell>
          <cell r="BJ382">
            <v>2850000</v>
          </cell>
          <cell r="BK382">
            <v>0</v>
          </cell>
          <cell r="BL382">
            <v>2850000</v>
          </cell>
        </row>
        <row r="383">
          <cell r="D383" t="str">
            <v>OS</v>
          </cell>
          <cell r="E383"/>
          <cell r="F383">
            <v>363</v>
          </cell>
          <cell r="G383" t="str">
            <v>SOLD</v>
          </cell>
          <cell r="H383" t="str">
            <v>OS</v>
          </cell>
          <cell r="I383" t="str">
            <v>OS</v>
          </cell>
          <cell r="J383" t="str">
            <v>OS</v>
          </cell>
          <cell r="K383" t="str">
            <v>OS</v>
          </cell>
          <cell r="L383" t="str">
            <v>OS</v>
          </cell>
          <cell r="M383" t="str">
            <v>OS</v>
          </cell>
          <cell r="N383" t="str">
            <v>OS</v>
          </cell>
          <cell r="O383" t="str">
            <v>OS</v>
          </cell>
          <cell r="P383" t="str">
            <v>OS</v>
          </cell>
          <cell r="Q383" t="str">
            <v>OS</v>
          </cell>
          <cell r="R383" t="str">
            <v>OS</v>
          </cell>
          <cell r="S383" t="str">
            <v>OS</v>
          </cell>
          <cell r="T383" t="str">
            <v>OS</v>
          </cell>
          <cell r="U383" t="str">
            <v>OS</v>
          </cell>
          <cell r="V383" t="str">
            <v>OS</v>
          </cell>
          <cell r="W383" t="str">
            <v>OS</v>
          </cell>
          <cell r="X383" t="str">
            <v>OS</v>
          </cell>
          <cell r="Y383" t="str">
            <v>OS</v>
          </cell>
          <cell r="Z383" t="str">
            <v>OS</v>
          </cell>
          <cell r="AA383" t="str">
            <v>OS</v>
          </cell>
          <cell r="AB383" t="str">
            <v>OS</v>
          </cell>
          <cell r="AC383" t="str">
            <v>OS</v>
          </cell>
          <cell r="AD383" t="str">
            <v>AGM-01-022-013</v>
          </cell>
          <cell r="AE383" t="str">
            <v xml:space="preserve">Raemulan Lands, Inc. </v>
          </cell>
          <cell r="AF383" t="str">
            <v>Agapeya</v>
          </cell>
          <cell r="AG383" t="str">
            <v>AGM</v>
          </cell>
          <cell r="AH383" t="str">
            <v>Eco-High</v>
          </cell>
          <cell r="AI383" t="str">
            <v>West</v>
          </cell>
          <cell r="AJ383" t="str">
            <v>With LTS</v>
          </cell>
          <cell r="AK383" t="str">
            <v>Unaffected lots</v>
          </cell>
          <cell r="AL383" t="str">
            <v>Unaffected lots</v>
          </cell>
          <cell r="AM383" t="b">
            <v>1</v>
          </cell>
          <cell r="AN383" t="str">
            <v>YES</v>
          </cell>
          <cell r="AO383" t="str">
            <v>B3 2025</v>
          </cell>
          <cell r="AP383">
            <v>80</v>
          </cell>
          <cell r="AQ383" t="str">
            <v>PCS-04-276764</v>
          </cell>
          <cell r="AR383" t="b">
            <v>1</v>
          </cell>
          <cell r="AS383" t="str">
            <v>Done</v>
          </cell>
          <cell r="AT383" t="str">
            <v>2025 - Batch 3</v>
          </cell>
          <cell r="AU383">
            <v>22</v>
          </cell>
          <cell r="AV383">
            <v>13</v>
          </cell>
          <cell r="AW383" t="str">
            <v>H+L</v>
          </cell>
          <cell r="AX383">
            <v>80</v>
          </cell>
          <cell r="AY383">
            <v>50</v>
          </cell>
          <cell r="AZ383" t="str">
            <v>Duplex</v>
          </cell>
          <cell r="BA383">
            <v>1</v>
          </cell>
          <cell r="BB383" t="str">
            <v>568 - Without Partition</v>
          </cell>
          <cell r="BC383" t="str">
            <v xml:space="preserve">Without Partition </v>
          </cell>
          <cell r="BD383" t="str">
            <v>Slant</v>
          </cell>
          <cell r="BE383" t="str">
            <v xml:space="preserve">Without Partition </v>
          </cell>
          <cell r="BF383" t="str">
            <v>GREEN</v>
          </cell>
          <cell r="BG383">
            <v>2650000</v>
          </cell>
          <cell r="BH383">
            <v>2800000</v>
          </cell>
          <cell r="BI383">
            <v>100000</v>
          </cell>
          <cell r="BJ383">
            <v>2700000</v>
          </cell>
          <cell r="BK383">
            <v>0</v>
          </cell>
          <cell r="BL383">
            <v>2700000</v>
          </cell>
        </row>
        <row r="384">
          <cell r="D384" t="str">
            <v>OS</v>
          </cell>
          <cell r="E384"/>
          <cell r="F384">
            <v>364</v>
          </cell>
          <cell r="G384" t="str">
            <v>SOLD</v>
          </cell>
          <cell r="H384" t="str">
            <v>OS</v>
          </cell>
          <cell r="I384" t="str">
            <v>OS</v>
          </cell>
          <cell r="J384" t="str">
            <v>OS</v>
          </cell>
          <cell r="K384" t="str">
            <v>OS</v>
          </cell>
          <cell r="L384" t="str">
            <v>OS</v>
          </cell>
          <cell r="M384" t="str">
            <v>OS</v>
          </cell>
          <cell r="N384" t="str">
            <v>OS</v>
          </cell>
          <cell r="O384" t="str">
            <v>OS</v>
          </cell>
          <cell r="P384" t="str">
            <v>OS</v>
          </cell>
          <cell r="Q384" t="str">
            <v>OS</v>
          </cell>
          <cell r="R384" t="str">
            <v>OS</v>
          </cell>
          <cell r="S384" t="str">
            <v>OS</v>
          </cell>
          <cell r="T384" t="str">
            <v>OS</v>
          </cell>
          <cell r="U384" t="str">
            <v>OS</v>
          </cell>
          <cell r="V384" t="str">
            <v>OS</v>
          </cell>
          <cell r="W384" t="str">
            <v>OS</v>
          </cell>
          <cell r="X384" t="str">
            <v>OS</v>
          </cell>
          <cell r="Y384" t="str">
            <v>OS</v>
          </cell>
          <cell r="Z384" t="str">
            <v>OS</v>
          </cell>
          <cell r="AA384" t="str">
            <v>OS</v>
          </cell>
          <cell r="AB384" t="str">
            <v>OS</v>
          </cell>
          <cell r="AC384" t="str">
            <v>OS</v>
          </cell>
          <cell r="AD384" t="str">
            <v>AGM-01-023-001</v>
          </cell>
          <cell r="AE384" t="str">
            <v xml:space="preserve">Raemulan Lands, Inc. </v>
          </cell>
          <cell r="AF384" t="str">
            <v>Agapeya</v>
          </cell>
          <cell r="AG384" t="str">
            <v>AGM</v>
          </cell>
          <cell r="AH384" t="str">
            <v>Eco-High</v>
          </cell>
          <cell r="AI384" t="str">
            <v>West</v>
          </cell>
          <cell r="AJ384" t="str">
            <v>With LTS</v>
          </cell>
          <cell r="AK384" t="str">
            <v>Unaffected lots</v>
          </cell>
          <cell r="AL384" t="str">
            <v>Unaffected lots</v>
          </cell>
          <cell r="AM384" t="b">
            <v>1</v>
          </cell>
          <cell r="AN384" t="str">
            <v>YES</v>
          </cell>
          <cell r="AO384" t="str">
            <v>B3 2025</v>
          </cell>
          <cell r="AP384">
            <v>96</v>
          </cell>
          <cell r="AQ384" t="str">
            <v>PCS-04-034407</v>
          </cell>
          <cell r="AR384" t="b">
            <v>1</v>
          </cell>
          <cell r="AS384" t="str">
            <v>Done</v>
          </cell>
          <cell r="AT384" t="str">
            <v>2025 - Batch 4</v>
          </cell>
          <cell r="AU384">
            <v>23</v>
          </cell>
          <cell r="AV384">
            <v>1</v>
          </cell>
          <cell r="AW384" t="str">
            <v>H+L</v>
          </cell>
          <cell r="AX384">
            <v>96</v>
          </cell>
          <cell r="AY384">
            <v>50</v>
          </cell>
          <cell r="AZ384" t="str">
            <v>Duplex</v>
          </cell>
          <cell r="BA384">
            <v>1</v>
          </cell>
          <cell r="BB384" t="str">
            <v>568 - Without Partition</v>
          </cell>
          <cell r="BC384" t="str">
            <v xml:space="preserve">Without Partition </v>
          </cell>
          <cell r="BD384" t="str">
            <v>Slant</v>
          </cell>
          <cell r="BE384" t="str">
            <v xml:space="preserve">Without Partition </v>
          </cell>
          <cell r="BF384" t="str">
            <v>PINK</v>
          </cell>
          <cell r="BG384">
            <v>2960100</v>
          </cell>
          <cell r="BH384">
            <v>3040000</v>
          </cell>
          <cell r="BI384">
            <v>100000</v>
          </cell>
          <cell r="BJ384">
            <v>2940000</v>
          </cell>
          <cell r="BK384">
            <v>0</v>
          </cell>
          <cell r="BL384">
            <v>2940000</v>
          </cell>
        </row>
        <row r="385">
          <cell r="D385" t="str">
            <v>OS</v>
          </cell>
          <cell r="E385"/>
          <cell r="F385">
            <v>365</v>
          </cell>
          <cell r="G385" t="str">
            <v>SOLD</v>
          </cell>
          <cell r="H385" t="str">
            <v>OS</v>
          </cell>
          <cell r="I385" t="str">
            <v>OS</v>
          </cell>
          <cell r="J385" t="str">
            <v>OS</v>
          </cell>
          <cell r="K385" t="str">
            <v>OS</v>
          </cell>
          <cell r="L385" t="str">
            <v>OS</v>
          </cell>
          <cell r="M385" t="str">
            <v>OS</v>
          </cell>
          <cell r="N385" t="str">
            <v>OS</v>
          </cell>
          <cell r="O385" t="str">
            <v>OS</v>
          </cell>
          <cell r="P385" t="str">
            <v>OS</v>
          </cell>
          <cell r="Q385" t="str">
            <v>OS</v>
          </cell>
          <cell r="R385" t="str">
            <v>OS</v>
          </cell>
          <cell r="S385" t="str">
            <v>OS</v>
          </cell>
          <cell r="T385" t="str">
            <v>OS</v>
          </cell>
          <cell r="U385" t="str">
            <v>OS</v>
          </cell>
          <cell r="V385" t="str">
            <v>OS</v>
          </cell>
          <cell r="W385" t="str">
            <v>OS</v>
          </cell>
          <cell r="X385" t="str">
            <v>OS</v>
          </cell>
          <cell r="Y385" t="str">
            <v>OS</v>
          </cell>
          <cell r="Z385" t="str">
            <v>OS</v>
          </cell>
          <cell r="AA385" t="str">
            <v>OS</v>
          </cell>
          <cell r="AB385" t="str">
            <v>OS</v>
          </cell>
          <cell r="AC385" t="str">
            <v>OS</v>
          </cell>
          <cell r="AD385" t="str">
            <v>AGM-01-023-002</v>
          </cell>
          <cell r="AE385" t="str">
            <v xml:space="preserve">Raemulan Lands, Inc. </v>
          </cell>
          <cell r="AF385" t="str">
            <v>Agapeya</v>
          </cell>
          <cell r="AG385" t="str">
            <v>AGM</v>
          </cell>
          <cell r="AH385" t="str">
            <v>Eco-High</v>
          </cell>
          <cell r="AI385" t="str">
            <v>West</v>
          </cell>
          <cell r="AJ385" t="str">
            <v>With LTS</v>
          </cell>
          <cell r="AK385" t="str">
            <v>Unaffected lots</v>
          </cell>
          <cell r="AL385" t="str">
            <v>Unaffected lots</v>
          </cell>
          <cell r="AM385" t="b">
            <v>1</v>
          </cell>
          <cell r="AN385" t="str">
            <v>YES</v>
          </cell>
          <cell r="AO385" t="str">
            <v>B3 2025</v>
          </cell>
          <cell r="AP385">
            <v>70</v>
          </cell>
          <cell r="AQ385" t="str">
            <v>PCS-04-034407</v>
          </cell>
          <cell r="AR385" t="b">
            <v>1</v>
          </cell>
          <cell r="AS385" t="str">
            <v>Done</v>
          </cell>
          <cell r="AT385" t="str">
            <v>2025 - Batch 4</v>
          </cell>
          <cell r="AU385">
            <v>23</v>
          </cell>
          <cell r="AV385">
            <v>2</v>
          </cell>
          <cell r="AW385" t="str">
            <v>H+L</v>
          </cell>
          <cell r="AX385">
            <v>70</v>
          </cell>
          <cell r="AY385">
            <v>50</v>
          </cell>
          <cell r="AZ385" t="str">
            <v>Duplex</v>
          </cell>
          <cell r="BA385">
            <v>1</v>
          </cell>
          <cell r="BB385" t="str">
            <v>568 - Without Partition</v>
          </cell>
          <cell r="BC385" t="str">
            <v xml:space="preserve">Without Partition </v>
          </cell>
          <cell r="BD385" t="str">
            <v>Flat</v>
          </cell>
          <cell r="BE385" t="str">
            <v xml:space="preserve">Without Partition </v>
          </cell>
          <cell r="BF385" t="str">
            <v>PINK</v>
          </cell>
          <cell r="BG385">
            <v>2500000</v>
          </cell>
          <cell r="BH385">
            <v>2650000</v>
          </cell>
          <cell r="BI385">
            <v>100000</v>
          </cell>
          <cell r="BJ385">
            <v>2550000</v>
          </cell>
          <cell r="BK385">
            <v>0</v>
          </cell>
          <cell r="BL385">
            <v>2550000</v>
          </cell>
        </row>
        <row r="386">
          <cell r="D386" t="str">
            <v>OS</v>
          </cell>
          <cell r="E386"/>
          <cell r="F386">
            <v>366</v>
          </cell>
          <cell r="G386" t="str">
            <v>SOLD</v>
          </cell>
          <cell r="H386" t="str">
            <v>OS</v>
          </cell>
          <cell r="I386" t="str">
            <v>OS</v>
          </cell>
          <cell r="J386" t="str">
            <v>OS</v>
          </cell>
          <cell r="K386" t="str">
            <v>OS</v>
          </cell>
          <cell r="L386" t="str">
            <v>OS</v>
          </cell>
          <cell r="M386" t="str">
            <v>OS</v>
          </cell>
          <cell r="N386" t="str">
            <v>OS</v>
          </cell>
          <cell r="O386" t="str">
            <v>OS</v>
          </cell>
          <cell r="P386" t="str">
            <v>OS</v>
          </cell>
          <cell r="Q386" t="str">
            <v>OS</v>
          </cell>
          <cell r="R386" t="str">
            <v>OS</v>
          </cell>
          <cell r="S386" t="str">
            <v>OS</v>
          </cell>
          <cell r="T386" t="str">
            <v>OS</v>
          </cell>
          <cell r="U386" t="str">
            <v>OS</v>
          </cell>
          <cell r="V386" t="str">
            <v>OS</v>
          </cell>
          <cell r="W386" t="str">
            <v>OS</v>
          </cell>
          <cell r="X386" t="str">
            <v>OS</v>
          </cell>
          <cell r="Y386" t="str">
            <v>OS</v>
          </cell>
          <cell r="Z386" t="str">
            <v>OS</v>
          </cell>
          <cell r="AA386" t="str">
            <v>OS</v>
          </cell>
          <cell r="AB386" t="str">
            <v>OS</v>
          </cell>
          <cell r="AC386" t="str">
            <v>OS</v>
          </cell>
          <cell r="AD386" t="str">
            <v>AGM-01-023-003</v>
          </cell>
          <cell r="AE386" t="str">
            <v xml:space="preserve">Raemulan Lands, Inc. </v>
          </cell>
          <cell r="AF386" t="str">
            <v>Agapeya</v>
          </cell>
          <cell r="AG386" t="str">
            <v>AGM</v>
          </cell>
          <cell r="AH386" t="str">
            <v>Eco-High</v>
          </cell>
          <cell r="AI386" t="str">
            <v>West</v>
          </cell>
          <cell r="AJ386" t="str">
            <v>With LTS</v>
          </cell>
          <cell r="AK386" t="str">
            <v>Unaffected lots</v>
          </cell>
          <cell r="AL386" t="str">
            <v>Unaffected lots</v>
          </cell>
          <cell r="AM386" t="b">
            <v>1</v>
          </cell>
          <cell r="AN386" t="str">
            <v>YES</v>
          </cell>
          <cell r="AO386" t="str">
            <v>B3 2025</v>
          </cell>
          <cell r="AP386">
            <v>70</v>
          </cell>
          <cell r="AQ386" t="str">
            <v>PCS-04-034407</v>
          </cell>
          <cell r="AR386" t="b">
            <v>1</v>
          </cell>
          <cell r="AS386" t="str">
            <v>Done</v>
          </cell>
          <cell r="AT386" t="str">
            <v>2025 - Batch 4</v>
          </cell>
          <cell r="AU386">
            <v>23</v>
          </cell>
          <cell r="AV386">
            <v>3</v>
          </cell>
          <cell r="AW386" t="str">
            <v>H+L</v>
          </cell>
          <cell r="AX386">
            <v>70</v>
          </cell>
          <cell r="AY386">
            <v>50</v>
          </cell>
          <cell r="AZ386" t="str">
            <v>Duplex</v>
          </cell>
          <cell r="BA386">
            <v>1</v>
          </cell>
          <cell r="BB386" t="str">
            <v>568 - Without Partition</v>
          </cell>
          <cell r="BC386" t="str">
            <v xml:space="preserve">Without Partition </v>
          </cell>
          <cell r="BD386" t="str">
            <v>Flat</v>
          </cell>
          <cell r="BE386" t="str">
            <v xml:space="preserve">Without Partition </v>
          </cell>
          <cell r="BF386" t="str">
            <v>YELLOW</v>
          </cell>
          <cell r="BG386">
            <v>2650000</v>
          </cell>
          <cell r="BH386">
            <v>2650000</v>
          </cell>
          <cell r="BI386">
            <v>100000</v>
          </cell>
          <cell r="BJ386">
            <v>2550000</v>
          </cell>
          <cell r="BK386">
            <v>0</v>
          </cell>
          <cell r="BL386">
            <v>2550000</v>
          </cell>
        </row>
        <row r="387">
          <cell r="D387" t="str">
            <v>HOLD</v>
          </cell>
          <cell r="E387"/>
          <cell r="F387">
            <v>367</v>
          </cell>
          <cell r="G387" t="str">
            <v>SOLD</v>
          </cell>
          <cell r="H387" t="str">
            <v>OS</v>
          </cell>
          <cell r="I387" t="str">
            <v>OS</v>
          </cell>
          <cell r="J387" t="str">
            <v>OS</v>
          </cell>
          <cell r="K387" t="str">
            <v>OS</v>
          </cell>
          <cell r="L387" t="str">
            <v>OS</v>
          </cell>
          <cell r="M387" t="str">
            <v>OS</v>
          </cell>
          <cell r="N387" t="str">
            <v>OS</v>
          </cell>
          <cell r="O387" t="str">
            <v>OS</v>
          </cell>
          <cell r="P387" t="str">
            <v>OS</v>
          </cell>
          <cell r="Q387" t="str">
            <v>OS</v>
          </cell>
          <cell r="R387" t="str">
            <v>OS</v>
          </cell>
          <cell r="S387" t="str">
            <v>OS</v>
          </cell>
          <cell r="T387" t="str">
            <v>OS</v>
          </cell>
          <cell r="U387" t="str">
            <v>OS</v>
          </cell>
          <cell r="V387" t="str">
            <v>OS</v>
          </cell>
          <cell r="W387" t="str">
            <v>OS</v>
          </cell>
          <cell r="X387" t="str">
            <v>OS</v>
          </cell>
          <cell r="Y387" t="str">
            <v>OS</v>
          </cell>
          <cell r="Z387" t="str">
            <v>HOLD BY CAD</v>
          </cell>
          <cell r="AA387" t="str">
            <v>HOLD BY CAD</v>
          </cell>
          <cell r="AB387" t="str">
            <v>OS</v>
          </cell>
          <cell r="AC387" t="str">
            <v>OS</v>
          </cell>
          <cell r="AD387" t="str">
            <v>AGM-01-023-004</v>
          </cell>
          <cell r="AE387" t="str">
            <v xml:space="preserve">Raemulan Lands, Inc. </v>
          </cell>
          <cell r="AF387" t="str">
            <v>Agapeya</v>
          </cell>
          <cell r="AG387" t="str">
            <v>AGM</v>
          </cell>
          <cell r="AH387" t="str">
            <v>Eco-High</v>
          </cell>
          <cell r="AI387" t="str">
            <v>West</v>
          </cell>
          <cell r="AJ387" t="str">
            <v>With LTS</v>
          </cell>
          <cell r="AK387" t="str">
            <v>Unaffected lots</v>
          </cell>
          <cell r="AL387" t="str">
            <v>Unaffected lots</v>
          </cell>
          <cell r="AM387" t="b">
            <v>1</v>
          </cell>
          <cell r="AN387" t="str">
            <v>YES</v>
          </cell>
          <cell r="AO387" t="str">
            <v>B3 2025</v>
          </cell>
          <cell r="AP387">
            <v>70</v>
          </cell>
          <cell r="AQ387" t="str">
            <v>PCS-04-034407</v>
          </cell>
          <cell r="AR387" t="b">
            <v>1</v>
          </cell>
          <cell r="AS387" t="str">
            <v>Done</v>
          </cell>
          <cell r="AT387" t="str">
            <v>2025 - Batch 4</v>
          </cell>
          <cell r="AU387">
            <v>23</v>
          </cell>
          <cell r="AV387">
            <v>4</v>
          </cell>
          <cell r="AW387" t="str">
            <v>H+L</v>
          </cell>
          <cell r="AX387">
            <v>70</v>
          </cell>
          <cell r="AY387">
            <v>50</v>
          </cell>
          <cell r="AZ387" t="str">
            <v>Duplex</v>
          </cell>
          <cell r="BA387">
            <v>1</v>
          </cell>
          <cell r="BB387" t="str">
            <v>568 - Without Partition</v>
          </cell>
          <cell r="BC387" t="str">
            <v xml:space="preserve">Without Partition </v>
          </cell>
          <cell r="BD387" t="str">
            <v>Slant</v>
          </cell>
          <cell r="BE387" t="str">
            <v xml:space="preserve">Without Partition </v>
          </cell>
          <cell r="BF387" t="str">
            <v>YELLOW</v>
          </cell>
          <cell r="BG387">
            <v>2650000</v>
          </cell>
          <cell r="BH387">
            <v>2650000</v>
          </cell>
          <cell r="BI387">
            <v>100000</v>
          </cell>
          <cell r="BJ387">
            <v>2550000</v>
          </cell>
          <cell r="BK387">
            <v>0</v>
          </cell>
          <cell r="BL387">
            <v>2550000</v>
          </cell>
        </row>
        <row r="388">
          <cell r="D388" t="str">
            <v>OS</v>
          </cell>
          <cell r="E388"/>
          <cell r="F388">
            <v>368</v>
          </cell>
          <cell r="G388" t="str">
            <v>SOLD</v>
          </cell>
          <cell r="H388" t="str">
            <v>OS</v>
          </cell>
          <cell r="I388" t="str">
            <v>OS</v>
          </cell>
          <cell r="J388" t="str">
            <v>OS</v>
          </cell>
          <cell r="K388" t="str">
            <v>OS</v>
          </cell>
          <cell r="L388" t="str">
            <v>OS</v>
          </cell>
          <cell r="M388" t="str">
            <v>OS</v>
          </cell>
          <cell r="N388" t="str">
            <v>OS</v>
          </cell>
          <cell r="O388" t="str">
            <v>OS</v>
          </cell>
          <cell r="P388" t="str">
            <v>OS</v>
          </cell>
          <cell r="Q388" t="str">
            <v>OS</v>
          </cell>
          <cell r="R388" t="str">
            <v>OS</v>
          </cell>
          <cell r="S388" t="str">
            <v>OS</v>
          </cell>
          <cell r="T388" t="str">
            <v>OS</v>
          </cell>
          <cell r="U388" t="str">
            <v>OS</v>
          </cell>
          <cell r="V388" t="str">
            <v>OS</v>
          </cell>
          <cell r="W388" t="str">
            <v>OS</v>
          </cell>
          <cell r="X388" t="str">
            <v>OS</v>
          </cell>
          <cell r="Y388" t="str">
            <v>OS</v>
          </cell>
          <cell r="Z388" t="str">
            <v>OS</v>
          </cell>
          <cell r="AA388" t="str">
            <v>OS</v>
          </cell>
          <cell r="AB388" t="str">
            <v>OS</v>
          </cell>
          <cell r="AC388" t="str">
            <v>OS</v>
          </cell>
          <cell r="AD388" t="str">
            <v>AGM-01-023-005</v>
          </cell>
          <cell r="AE388" t="str">
            <v xml:space="preserve">Raemulan Lands, Inc. </v>
          </cell>
          <cell r="AF388" t="str">
            <v>Agapeya</v>
          </cell>
          <cell r="AG388" t="str">
            <v>AGM</v>
          </cell>
          <cell r="AH388" t="str">
            <v>Eco-High</v>
          </cell>
          <cell r="AI388" t="str">
            <v>West</v>
          </cell>
          <cell r="AJ388" t="str">
            <v>With LTS</v>
          </cell>
          <cell r="AK388" t="str">
            <v>Unaffected lots</v>
          </cell>
          <cell r="AL388" t="str">
            <v>Unaffected lots</v>
          </cell>
          <cell r="AM388" t="b">
            <v>1</v>
          </cell>
          <cell r="AN388" t="str">
            <v>YES</v>
          </cell>
          <cell r="AO388" t="str">
            <v>B3 2025</v>
          </cell>
          <cell r="AP388">
            <v>70</v>
          </cell>
          <cell r="AQ388" t="str">
            <v>PCS-04-034407</v>
          </cell>
          <cell r="AR388" t="b">
            <v>1</v>
          </cell>
          <cell r="AS388" t="str">
            <v>Done</v>
          </cell>
          <cell r="AT388" t="str">
            <v>2025 - Batch 4</v>
          </cell>
          <cell r="AU388">
            <v>23</v>
          </cell>
          <cell r="AV388">
            <v>5</v>
          </cell>
          <cell r="AW388" t="str">
            <v>H+L</v>
          </cell>
          <cell r="AX388">
            <v>70</v>
          </cell>
          <cell r="AY388">
            <v>50</v>
          </cell>
          <cell r="AZ388" t="str">
            <v>Duplex</v>
          </cell>
          <cell r="BA388">
            <v>1</v>
          </cell>
          <cell r="BB388" t="str">
            <v>568 - Without Partition</v>
          </cell>
          <cell r="BC388" t="str">
            <v xml:space="preserve">Without Partition </v>
          </cell>
          <cell r="BD388" t="str">
            <v>Slant</v>
          </cell>
          <cell r="BE388" t="str">
            <v xml:space="preserve">Without Partition </v>
          </cell>
          <cell r="BF388" t="str">
            <v>YELLOW</v>
          </cell>
          <cell r="BG388">
            <v>2500000</v>
          </cell>
          <cell r="BH388">
            <v>2650000</v>
          </cell>
          <cell r="BI388">
            <v>100000</v>
          </cell>
          <cell r="BJ388">
            <v>2550000</v>
          </cell>
          <cell r="BK388">
            <v>0</v>
          </cell>
          <cell r="BL388">
            <v>2550000</v>
          </cell>
        </row>
        <row r="389">
          <cell r="D389" t="str">
            <v>OS</v>
          </cell>
          <cell r="E389"/>
          <cell r="F389">
            <v>369</v>
          </cell>
          <cell r="G389" t="str">
            <v>SOLD</v>
          </cell>
          <cell r="H389" t="str">
            <v>OS</v>
          </cell>
          <cell r="I389" t="str">
            <v>OS</v>
          </cell>
          <cell r="J389" t="str">
            <v>OS</v>
          </cell>
          <cell r="K389" t="str">
            <v>OS</v>
          </cell>
          <cell r="L389" t="str">
            <v>OS</v>
          </cell>
          <cell r="M389" t="str">
            <v>OS</v>
          </cell>
          <cell r="N389" t="str">
            <v>OS</v>
          </cell>
          <cell r="O389" t="str">
            <v>OS</v>
          </cell>
          <cell r="P389" t="str">
            <v>OS</v>
          </cell>
          <cell r="Q389" t="str">
            <v>OS</v>
          </cell>
          <cell r="R389" t="str">
            <v>OS</v>
          </cell>
          <cell r="S389" t="str">
            <v>OS</v>
          </cell>
          <cell r="T389" t="str">
            <v>OS</v>
          </cell>
          <cell r="U389" t="str">
            <v>OS</v>
          </cell>
          <cell r="V389" t="str">
            <v>OS</v>
          </cell>
          <cell r="W389" t="str">
            <v>OS</v>
          </cell>
          <cell r="X389" t="str">
            <v>OS</v>
          </cell>
          <cell r="Y389" t="str">
            <v>OS</v>
          </cell>
          <cell r="Z389" t="str">
            <v>OS</v>
          </cell>
          <cell r="AA389" t="str">
            <v>OS</v>
          </cell>
          <cell r="AB389" t="str">
            <v>OS</v>
          </cell>
          <cell r="AC389" t="str">
            <v>OS</v>
          </cell>
          <cell r="AD389" t="str">
            <v>AGM-01-023-006</v>
          </cell>
          <cell r="AE389" t="str">
            <v xml:space="preserve">Raemulan Lands, Inc. </v>
          </cell>
          <cell r="AF389" t="str">
            <v>Agapeya</v>
          </cell>
          <cell r="AG389" t="str">
            <v>AGM</v>
          </cell>
          <cell r="AH389" t="str">
            <v>Eco-High</v>
          </cell>
          <cell r="AI389" t="str">
            <v>West</v>
          </cell>
          <cell r="AJ389" t="str">
            <v>With LTS</v>
          </cell>
          <cell r="AK389" t="str">
            <v>Unaffected lots</v>
          </cell>
          <cell r="AL389" t="str">
            <v>Unaffected lots</v>
          </cell>
          <cell r="AM389" t="b">
            <v>1</v>
          </cell>
          <cell r="AN389" t="str">
            <v>YES</v>
          </cell>
          <cell r="AO389" t="str">
            <v>B3 2025</v>
          </cell>
          <cell r="AP389">
            <v>70</v>
          </cell>
          <cell r="AQ389" t="str">
            <v>PCS-04-034407</v>
          </cell>
          <cell r="AR389" t="b">
            <v>1</v>
          </cell>
          <cell r="AS389" t="str">
            <v>Done</v>
          </cell>
          <cell r="AT389" t="str">
            <v>2025 - Batch 4</v>
          </cell>
          <cell r="AU389">
            <v>23</v>
          </cell>
          <cell r="AV389">
            <v>6</v>
          </cell>
          <cell r="AW389" t="str">
            <v>H+L</v>
          </cell>
          <cell r="AX389">
            <v>70</v>
          </cell>
          <cell r="AY389">
            <v>50</v>
          </cell>
          <cell r="AZ389" t="str">
            <v>Duplex</v>
          </cell>
          <cell r="BA389">
            <v>1</v>
          </cell>
          <cell r="BB389" t="str">
            <v>568 - Without Partition</v>
          </cell>
          <cell r="BC389" t="str">
            <v xml:space="preserve">Without Partition </v>
          </cell>
          <cell r="BD389" t="str">
            <v>Flat</v>
          </cell>
          <cell r="BE389" t="str">
            <v xml:space="preserve">Without Partition </v>
          </cell>
          <cell r="BF389" t="str">
            <v>YELLOW</v>
          </cell>
          <cell r="BG389">
            <v>2500000</v>
          </cell>
          <cell r="BH389">
            <v>2650000</v>
          </cell>
          <cell r="BI389">
            <v>100000</v>
          </cell>
          <cell r="BJ389">
            <v>2550000</v>
          </cell>
          <cell r="BK389">
            <v>0</v>
          </cell>
          <cell r="BL389">
            <v>2550000</v>
          </cell>
        </row>
        <row r="390">
          <cell r="D390" t="str">
            <v>OS</v>
          </cell>
          <cell r="E390"/>
          <cell r="F390">
            <v>370</v>
          </cell>
          <cell r="G390" t="str">
            <v>CLOSED</v>
          </cell>
          <cell r="H390" t="str">
            <v>TS</v>
          </cell>
          <cell r="I390" t="str">
            <v>TS</v>
          </cell>
          <cell r="J390" t="str">
            <v>OS</v>
          </cell>
          <cell r="K390" t="str">
            <v>OS</v>
          </cell>
          <cell r="L390" t="str">
            <v>OS</v>
          </cell>
          <cell r="M390" t="str">
            <v>OS</v>
          </cell>
          <cell r="N390" t="str">
            <v>OS</v>
          </cell>
          <cell r="O390" t="str">
            <v>OS</v>
          </cell>
          <cell r="P390" t="str">
            <v>OS</v>
          </cell>
          <cell r="Q390" t="str">
            <v>OS</v>
          </cell>
          <cell r="R390" t="str">
            <v>OS</v>
          </cell>
          <cell r="S390" t="str">
            <v>OS</v>
          </cell>
          <cell r="T390" t="str">
            <v>OS</v>
          </cell>
          <cell r="U390" t="str">
            <v>OS</v>
          </cell>
          <cell r="V390" t="str">
            <v>OS</v>
          </cell>
          <cell r="W390" t="str">
            <v>OS</v>
          </cell>
          <cell r="X390" t="str">
            <v>OS</v>
          </cell>
          <cell r="Y390" t="str">
            <v>OS</v>
          </cell>
          <cell r="Z390" t="str">
            <v>OS</v>
          </cell>
          <cell r="AA390" t="str">
            <v>OS</v>
          </cell>
          <cell r="AB390" t="str">
            <v>OS</v>
          </cell>
          <cell r="AC390" t="str">
            <v>OS</v>
          </cell>
          <cell r="AD390" t="str">
            <v>AGM-01-023-007</v>
          </cell>
          <cell r="AE390" t="str">
            <v xml:space="preserve">Raemulan Lands, Inc. </v>
          </cell>
          <cell r="AF390" t="str">
            <v>Agapeya</v>
          </cell>
          <cell r="AG390" t="str">
            <v>AGM</v>
          </cell>
          <cell r="AH390" t="str">
            <v>Eco-High</v>
          </cell>
          <cell r="AI390" t="str">
            <v>West</v>
          </cell>
          <cell r="AJ390" t="str">
            <v>With LTS</v>
          </cell>
          <cell r="AK390" t="str">
            <v>Unaffected lots</v>
          </cell>
          <cell r="AL390" t="str">
            <v>Unaffected lots</v>
          </cell>
          <cell r="AM390" t="b">
            <v>1</v>
          </cell>
          <cell r="AN390" t="str">
            <v>YES</v>
          </cell>
          <cell r="AO390" t="str">
            <v>B3 2025</v>
          </cell>
          <cell r="AP390">
            <v>70</v>
          </cell>
          <cell r="AQ390" t="str">
            <v>PCS-04-034407</v>
          </cell>
          <cell r="AR390" t="b">
            <v>1</v>
          </cell>
          <cell r="AS390" t="str">
            <v>Done</v>
          </cell>
          <cell r="AT390" t="str">
            <v>2025 - Batch 6</v>
          </cell>
          <cell r="AU390">
            <v>23</v>
          </cell>
          <cell r="AV390">
            <v>7</v>
          </cell>
          <cell r="AW390" t="str">
            <v>H+L</v>
          </cell>
          <cell r="AX390">
            <v>70</v>
          </cell>
          <cell r="AY390">
            <v>50</v>
          </cell>
          <cell r="AZ390" t="str">
            <v>Duplex</v>
          </cell>
          <cell r="BA390">
            <v>1</v>
          </cell>
          <cell r="BB390" t="str">
            <v>568 - Without Partition</v>
          </cell>
          <cell r="BC390" t="str">
            <v xml:space="preserve">Without Partition </v>
          </cell>
          <cell r="BD390" t="str">
            <v>Flat</v>
          </cell>
          <cell r="BE390" t="str">
            <v xml:space="preserve">Without Partition </v>
          </cell>
          <cell r="BF390" t="str">
            <v>GREEN</v>
          </cell>
          <cell r="BG390">
            <v>2500000</v>
          </cell>
          <cell r="BH390">
            <v>2650000</v>
          </cell>
          <cell r="BI390">
            <v>100000</v>
          </cell>
          <cell r="BJ390">
            <v>2550000</v>
          </cell>
          <cell r="BK390">
            <v>0</v>
          </cell>
          <cell r="BL390">
            <v>2550000</v>
          </cell>
        </row>
        <row r="391">
          <cell r="D391" t="str">
            <v>OS</v>
          </cell>
          <cell r="E391"/>
          <cell r="F391">
            <v>371</v>
          </cell>
          <cell r="G391" t="str">
            <v>CLOSED</v>
          </cell>
          <cell r="H391" t="str">
            <v>TS</v>
          </cell>
          <cell r="I391" t="str">
            <v>TS</v>
          </cell>
          <cell r="J391" t="str">
            <v>TS</v>
          </cell>
          <cell r="K391" t="str">
            <v>TS</v>
          </cell>
          <cell r="L391" t="str">
            <v>TS</v>
          </cell>
          <cell r="M391" t="str">
            <v>TS</v>
          </cell>
          <cell r="N391" t="str">
            <v>OS</v>
          </cell>
          <cell r="O391" t="str">
            <v>OS</v>
          </cell>
          <cell r="P391" t="str">
            <v>OS</v>
          </cell>
          <cell r="Q391" t="str">
            <v>OS</v>
          </cell>
          <cell r="R391" t="str">
            <v>OS</v>
          </cell>
          <cell r="S391" t="str">
            <v>OS</v>
          </cell>
          <cell r="T391" t="str">
            <v>OS</v>
          </cell>
          <cell r="U391" t="str">
            <v>OS</v>
          </cell>
          <cell r="V391" t="str">
            <v>OS</v>
          </cell>
          <cell r="W391" t="str">
            <v>OS</v>
          </cell>
          <cell r="X391" t="str">
            <v>OS</v>
          </cell>
          <cell r="Y391" t="str">
            <v>OS</v>
          </cell>
          <cell r="Z391" t="str">
            <v>OS</v>
          </cell>
          <cell r="AA391" t="str">
            <v>OS</v>
          </cell>
          <cell r="AB391" t="str">
            <v>OS</v>
          </cell>
          <cell r="AC391" t="str">
            <v>OS</v>
          </cell>
          <cell r="AD391" t="str">
            <v>AGM-01-023-008</v>
          </cell>
          <cell r="AE391" t="str">
            <v xml:space="preserve">Raemulan Lands, Inc. </v>
          </cell>
          <cell r="AF391" t="str">
            <v>Agapeya</v>
          </cell>
          <cell r="AG391" t="str">
            <v>AGM</v>
          </cell>
          <cell r="AH391" t="str">
            <v>Eco-High</v>
          </cell>
          <cell r="AI391" t="str">
            <v>West</v>
          </cell>
          <cell r="AJ391" t="str">
            <v>With LTS</v>
          </cell>
          <cell r="AK391" t="str">
            <v>Unaffected lots</v>
          </cell>
          <cell r="AL391" t="str">
            <v>Unaffected lots</v>
          </cell>
          <cell r="AM391" t="b">
            <v>1</v>
          </cell>
          <cell r="AN391" t="str">
            <v>YES</v>
          </cell>
          <cell r="AO391" t="str">
            <v>B3 2025</v>
          </cell>
          <cell r="AP391">
            <v>70</v>
          </cell>
          <cell r="AQ391" t="str">
            <v>PCS-04-034407</v>
          </cell>
          <cell r="AR391" t="b">
            <v>1</v>
          </cell>
          <cell r="AS391" t="str">
            <v>Done</v>
          </cell>
          <cell r="AT391" t="str">
            <v>2025 - Batch 6</v>
          </cell>
          <cell r="AU391">
            <v>23</v>
          </cell>
          <cell r="AV391">
            <v>8</v>
          </cell>
          <cell r="AW391" t="str">
            <v>H+L</v>
          </cell>
          <cell r="AX391">
            <v>70</v>
          </cell>
          <cell r="AY391">
            <v>50</v>
          </cell>
          <cell r="AZ391" t="str">
            <v>Duplex</v>
          </cell>
          <cell r="BA391">
            <v>1</v>
          </cell>
          <cell r="BB391" t="str">
            <v>568 - Without Partition</v>
          </cell>
          <cell r="BC391" t="str">
            <v xml:space="preserve">Without Partition </v>
          </cell>
          <cell r="BD391" t="str">
            <v>Slant</v>
          </cell>
          <cell r="BE391" t="str">
            <v xml:space="preserve">Without Partition </v>
          </cell>
          <cell r="BF391" t="str">
            <v>GREEN</v>
          </cell>
          <cell r="BG391">
            <v>2500000</v>
          </cell>
          <cell r="BH391">
            <v>2650000</v>
          </cell>
          <cell r="BI391">
            <v>100000</v>
          </cell>
          <cell r="BJ391">
            <v>2550000</v>
          </cell>
          <cell r="BK391">
            <v>0</v>
          </cell>
          <cell r="BL391">
            <v>2550000</v>
          </cell>
        </row>
        <row r="392">
          <cell r="D392" t="str">
            <v>OS</v>
          </cell>
          <cell r="E392"/>
          <cell r="F392">
            <v>372</v>
          </cell>
          <cell r="G392" t="str">
            <v>CLOSED</v>
          </cell>
          <cell r="H392" t="str">
            <v>TS</v>
          </cell>
          <cell r="I392" t="str">
            <v>TS</v>
          </cell>
          <cell r="J392" t="str">
            <v>TS</v>
          </cell>
          <cell r="K392" t="str">
            <v>TS</v>
          </cell>
          <cell r="L392" t="str">
            <v>TS</v>
          </cell>
          <cell r="M392" t="str">
            <v>TS</v>
          </cell>
          <cell r="N392" t="str">
            <v>OS</v>
          </cell>
          <cell r="O392" t="str">
            <v>OS</v>
          </cell>
          <cell r="P392" t="str">
            <v>OS</v>
          </cell>
          <cell r="Q392" t="str">
            <v>OS</v>
          </cell>
          <cell r="R392" t="str">
            <v>OS</v>
          </cell>
          <cell r="S392" t="str">
            <v>OS</v>
          </cell>
          <cell r="T392" t="str">
            <v>OS</v>
          </cell>
          <cell r="U392" t="str">
            <v>OS</v>
          </cell>
          <cell r="V392" t="str">
            <v>OS</v>
          </cell>
          <cell r="W392" t="str">
            <v>OS</v>
          </cell>
          <cell r="X392" t="str">
            <v>OS</v>
          </cell>
          <cell r="Y392" t="str">
            <v>OS</v>
          </cell>
          <cell r="Z392" t="str">
            <v>OS</v>
          </cell>
          <cell r="AA392" t="str">
            <v>OS</v>
          </cell>
          <cell r="AB392" t="str">
            <v>OS</v>
          </cell>
          <cell r="AC392" t="str">
            <v>OS</v>
          </cell>
          <cell r="AD392" t="str">
            <v>AGM-01-023-009</v>
          </cell>
          <cell r="AE392" t="str">
            <v xml:space="preserve">Raemulan Lands, Inc. </v>
          </cell>
          <cell r="AF392" t="str">
            <v>Agapeya</v>
          </cell>
          <cell r="AG392" t="str">
            <v>AGM</v>
          </cell>
          <cell r="AH392" t="str">
            <v>Eco-High</v>
          </cell>
          <cell r="AI392" t="str">
            <v>West</v>
          </cell>
          <cell r="AJ392" t="str">
            <v>With LTS</v>
          </cell>
          <cell r="AK392" t="str">
            <v>Unaffected lots</v>
          </cell>
          <cell r="AL392" t="str">
            <v>Unaffected lots</v>
          </cell>
          <cell r="AM392" t="b">
            <v>1</v>
          </cell>
          <cell r="AN392" t="str">
            <v>YES</v>
          </cell>
          <cell r="AO392" t="str">
            <v>B3 2025</v>
          </cell>
          <cell r="AP392">
            <v>70</v>
          </cell>
          <cell r="AQ392" t="str">
            <v>PCS-04-034407</v>
          </cell>
          <cell r="AR392" t="b">
            <v>1</v>
          </cell>
          <cell r="AS392" t="str">
            <v>Done</v>
          </cell>
          <cell r="AT392" t="str">
            <v>2025 - Batch 6</v>
          </cell>
          <cell r="AU392">
            <v>23</v>
          </cell>
          <cell r="AV392">
            <v>9</v>
          </cell>
          <cell r="AW392" t="str">
            <v>H+L</v>
          </cell>
          <cell r="AX392">
            <v>70</v>
          </cell>
          <cell r="AY392">
            <v>50</v>
          </cell>
          <cell r="AZ392" t="str">
            <v>Duplex</v>
          </cell>
          <cell r="BA392">
            <v>1</v>
          </cell>
          <cell r="BB392" t="str">
            <v>568 - Without Partition</v>
          </cell>
          <cell r="BC392" t="str">
            <v xml:space="preserve">Without Partition </v>
          </cell>
          <cell r="BD392" t="str">
            <v>Slant</v>
          </cell>
          <cell r="BE392" t="str">
            <v xml:space="preserve">Without Partition </v>
          </cell>
          <cell r="BF392" t="str">
            <v>GREEN</v>
          </cell>
          <cell r="BG392">
            <v>2500000</v>
          </cell>
          <cell r="BH392">
            <v>2650000</v>
          </cell>
          <cell r="BI392">
            <v>100000</v>
          </cell>
          <cell r="BJ392">
            <v>2550000</v>
          </cell>
          <cell r="BK392">
            <v>0</v>
          </cell>
          <cell r="BL392">
            <v>2550000</v>
          </cell>
        </row>
        <row r="393">
          <cell r="D393" t="str">
            <v>OS</v>
          </cell>
          <cell r="E393"/>
          <cell r="F393">
            <v>373</v>
          </cell>
          <cell r="G393" t="str">
            <v>SOLD</v>
          </cell>
          <cell r="H393" t="str">
            <v>OS</v>
          </cell>
          <cell r="I393" t="str">
            <v>OS</v>
          </cell>
          <cell r="J393" t="str">
            <v>OS</v>
          </cell>
          <cell r="K393" t="str">
            <v>OS</v>
          </cell>
          <cell r="L393" t="str">
            <v>OS</v>
          </cell>
          <cell r="M393" t="str">
            <v>OS</v>
          </cell>
          <cell r="N393" t="str">
            <v>OS</v>
          </cell>
          <cell r="O393" t="str">
            <v>OS</v>
          </cell>
          <cell r="P393" t="str">
            <v>OS</v>
          </cell>
          <cell r="Q393" t="str">
            <v>OS</v>
          </cell>
          <cell r="R393" t="str">
            <v>OS</v>
          </cell>
          <cell r="S393" t="str">
            <v>OS</v>
          </cell>
          <cell r="T393" t="str">
            <v>OS</v>
          </cell>
          <cell r="U393" t="str">
            <v>OS</v>
          </cell>
          <cell r="V393" t="str">
            <v>OS</v>
          </cell>
          <cell r="W393" t="str">
            <v>OS</v>
          </cell>
          <cell r="X393" t="str">
            <v>OS</v>
          </cell>
          <cell r="Y393" t="str">
            <v>OS</v>
          </cell>
          <cell r="Z393" t="str">
            <v>OS</v>
          </cell>
          <cell r="AA393" t="str">
            <v>OS</v>
          </cell>
          <cell r="AB393" t="str">
            <v>OS</v>
          </cell>
          <cell r="AC393" t="str">
            <v>OS</v>
          </cell>
          <cell r="AD393" t="str">
            <v>AGM-01-023-010</v>
          </cell>
          <cell r="AE393" t="str">
            <v xml:space="preserve">Raemulan Lands, Inc. </v>
          </cell>
          <cell r="AF393" t="str">
            <v>Agapeya</v>
          </cell>
          <cell r="AG393" t="str">
            <v>AGM</v>
          </cell>
          <cell r="AH393" t="str">
            <v>Eco-High</v>
          </cell>
          <cell r="AI393" t="str">
            <v>West</v>
          </cell>
          <cell r="AJ393" t="str">
            <v>With LTS</v>
          </cell>
          <cell r="AK393" t="str">
            <v>Unaffected lots</v>
          </cell>
          <cell r="AL393" t="str">
            <v>Unaffected lots</v>
          </cell>
          <cell r="AM393" t="b">
            <v>1</v>
          </cell>
          <cell r="AN393" t="str">
            <v>YES</v>
          </cell>
          <cell r="AO393" t="str">
            <v>B3 2025</v>
          </cell>
          <cell r="AP393">
            <v>70</v>
          </cell>
          <cell r="AQ393" t="str">
            <v>PCS-04-034407</v>
          </cell>
          <cell r="AR393" t="b">
            <v>1</v>
          </cell>
          <cell r="AS393" t="str">
            <v>Done</v>
          </cell>
          <cell r="AT393" t="str">
            <v>2025 - Batch 6</v>
          </cell>
          <cell r="AU393">
            <v>23</v>
          </cell>
          <cell r="AV393">
            <v>10</v>
          </cell>
          <cell r="AW393" t="str">
            <v>H+L</v>
          </cell>
          <cell r="AX393">
            <v>70</v>
          </cell>
          <cell r="AY393">
            <v>50</v>
          </cell>
          <cell r="AZ393" t="str">
            <v>Duplex</v>
          </cell>
          <cell r="BA393">
            <v>1</v>
          </cell>
          <cell r="BB393" t="str">
            <v>568 - Without Partition</v>
          </cell>
          <cell r="BC393" t="str">
            <v xml:space="preserve">Without Partition </v>
          </cell>
          <cell r="BD393" t="str">
            <v>Flat</v>
          </cell>
          <cell r="BE393" t="str">
            <v xml:space="preserve">Without Partition </v>
          </cell>
          <cell r="BF393" t="str">
            <v>GREEN</v>
          </cell>
          <cell r="BG393">
            <v>2500000</v>
          </cell>
          <cell r="BH393">
            <v>2650000</v>
          </cell>
          <cell r="BI393">
            <v>100000</v>
          </cell>
          <cell r="BJ393">
            <v>2550000</v>
          </cell>
          <cell r="BK393">
            <v>0</v>
          </cell>
          <cell r="BL393">
            <v>2550000</v>
          </cell>
        </row>
        <row r="394">
          <cell r="D394" t="str">
            <v>OS</v>
          </cell>
          <cell r="E394"/>
          <cell r="F394">
            <v>374</v>
          </cell>
          <cell r="G394" t="str">
            <v>CLOSED</v>
          </cell>
          <cell r="H394" t="str">
            <v>TS</v>
          </cell>
          <cell r="I394" t="str">
            <v>TS</v>
          </cell>
          <cell r="J394" t="str">
            <v>OS</v>
          </cell>
          <cell r="K394" t="str">
            <v>OS</v>
          </cell>
          <cell r="L394" t="str">
            <v>OS</v>
          </cell>
          <cell r="M394" t="str">
            <v>OS</v>
          </cell>
          <cell r="N394" t="str">
            <v>OS</v>
          </cell>
          <cell r="O394" t="str">
            <v>OS</v>
          </cell>
          <cell r="P394" t="str">
            <v>OS</v>
          </cell>
          <cell r="Q394" t="str">
            <v>OS</v>
          </cell>
          <cell r="R394" t="str">
            <v>OS</v>
          </cell>
          <cell r="S394" t="str">
            <v>OS</v>
          </cell>
          <cell r="T394" t="str">
            <v>OS</v>
          </cell>
          <cell r="U394" t="str">
            <v>OS</v>
          </cell>
          <cell r="V394" t="str">
            <v>OS</v>
          </cell>
          <cell r="W394" t="str">
            <v>OS</v>
          </cell>
          <cell r="X394" t="str">
            <v>OS</v>
          </cell>
          <cell r="Y394" t="str">
            <v>OS</v>
          </cell>
          <cell r="Z394" t="str">
            <v>OS</v>
          </cell>
          <cell r="AA394" t="str">
            <v>OS</v>
          </cell>
          <cell r="AB394" t="str">
            <v>OS</v>
          </cell>
          <cell r="AC394" t="str">
            <v>OS</v>
          </cell>
          <cell r="AD394" t="str">
            <v>AGM-01-023-011</v>
          </cell>
          <cell r="AE394" t="str">
            <v xml:space="preserve">Raemulan Lands, Inc. </v>
          </cell>
          <cell r="AF394" t="str">
            <v>Agapeya</v>
          </cell>
          <cell r="AG394" t="str">
            <v>AGM</v>
          </cell>
          <cell r="AH394" t="str">
            <v>Eco-High</v>
          </cell>
          <cell r="AI394" t="str">
            <v>West</v>
          </cell>
          <cell r="AJ394" t="str">
            <v>Without LTS</v>
          </cell>
          <cell r="AK394" t="str">
            <v>for conso</v>
          </cell>
          <cell r="AL394" t="str">
            <v>Unaffected lots</v>
          </cell>
          <cell r="AM394" t="b">
            <v>1</v>
          </cell>
          <cell r="AN394" t="str">
            <v>NO</v>
          </cell>
          <cell r="AO394" t="str">
            <v>B3 2025</v>
          </cell>
          <cell r="AP394" t="str">
            <v>54/16</v>
          </cell>
          <cell r="AQ394" t="str">
            <v>PCS-04-034407/PSD-04-277865</v>
          </cell>
          <cell r="AR394" t="b">
            <v>0</v>
          </cell>
          <cell r="AS394" t="str">
            <v>For Conso</v>
          </cell>
          <cell r="AT394" t="str">
            <v>2025 - Batch 6</v>
          </cell>
          <cell r="AU394">
            <v>23</v>
          </cell>
          <cell r="AV394">
            <v>11</v>
          </cell>
          <cell r="AW394" t="str">
            <v>H+L</v>
          </cell>
          <cell r="AX394">
            <v>70</v>
          </cell>
          <cell r="AY394">
            <v>50</v>
          </cell>
          <cell r="AZ394" t="str">
            <v>Duplex</v>
          </cell>
          <cell r="BA394">
            <v>1</v>
          </cell>
          <cell r="BB394" t="str">
            <v>568 - Without Partition</v>
          </cell>
          <cell r="BC394" t="str">
            <v xml:space="preserve">Without Partition </v>
          </cell>
          <cell r="BD394" t="str">
            <v>Flat</v>
          </cell>
          <cell r="BE394" t="str">
            <v xml:space="preserve">Without Partition </v>
          </cell>
          <cell r="BF394" t="str">
            <v>PURPLE</v>
          </cell>
          <cell r="BG394">
            <v>2500000</v>
          </cell>
          <cell r="BH394">
            <v>2650000</v>
          </cell>
          <cell r="BI394">
            <v>100000</v>
          </cell>
          <cell r="BJ394">
            <v>2550000</v>
          </cell>
          <cell r="BK394">
            <v>0</v>
          </cell>
          <cell r="BL394">
            <v>2550000</v>
          </cell>
        </row>
        <row r="395">
          <cell r="D395" t="str">
            <v>OS</v>
          </cell>
          <cell r="E395"/>
          <cell r="F395">
            <v>375</v>
          </cell>
          <cell r="G395" t="str">
            <v>CLOSED</v>
          </cell>
          <cell r="H395" t="str">
            <v>TS</v>
          </cell>
          <cell r="I395" t="str">
            <v>TS</v>
          </cell>
          <cell r="J395" t="str">
            <v>OS</v>
          </cell>
          <cell r="K395" t="str">
            <v>OS</v>
          </cell>
          <cell r="L395" t="str">
            <v>OS</v>
          </cell>
          <cell r="M395" t="str">
            <v>OS</v>
          </cell>
          <cell r="N395" t="str">
            <v>OS</v>
          </cell>
          <cell r="O395" t="str">
            <v>OS</v>
          </cell>
          <cell r="P395" t="str">
            <v>OS</v>
          </cell>
          <cell r="Q395" t="str">
            <v>OS</v>
          </cell>
          <cell r="R395" t="str">
            <v>OS</v>
          </cell>
          <cell r="S395" t="str">
            <v>OS</v>
          </cell>
          <cell r="T395" t="str">
            <v>OS</v>
          </cell>
          <cell r="U395" t="str">
            <v>OS</v>
          </cell>
          <cell r="V395" t="str">
            <v>OS</v>
          </cell>
          <cell r="W395" t="str">
            <v>OS</v>
          </cell>
          <cell r="X395" t="str">
            <v>OS</v>
          </cell>
          <cell r="Y395" t="str">
            <v>OS</v>
          </cell>
          <cell r="Z395" t="str">
            <v>OS</v>
          </cell>
          <cell r="AA395" t="str">
            <v>OS</v>
          </cell>
          <cell r="AB395" t="str">
            <v>OS</v>
          </cell>
          <cell r="AC395" t="str">
            <v>OS</v>
          </cell>
          <cell r="AD395" t="str">
            <v>AGM-01-023-012</v>
          </cell>
          <cell r="AE395" t="str">
            <v xml:space="preserve">Raemulan Lands, Inc. </v>
          </cell>
          <cell r="AF395" t="str">
            <v>Agapeya</v>
          </cell>
          <cell r="AG395" t="str">
            <v>AGM</v>
          </cell>
          <cell r="AH395" t="str">
            <v>Eco-High</v>
          </cell>
          <cell r="AI395" t="str">
            <v>West</v>
          </cell>
          <cell r="AJ395" t="str">
            <v>Without LTS</v>
          </cell>
          <cell r="AK395" t="str">
            <v>Unaffected lots</v>
          </cell>
          <cell r="AL395" t="str">
            <v>Unaffected lots</v>
          </cell>
          <cell r="AM395" t="b">
            <v>0</v>
          </cell>
          <cell r="AN395" t="str">
            <v>NO</v>
          </cell>
          <cell r="AO395" t="str">
            <v>B3 2025</v>
          </cell>
          <cell r="AP395">
            <v>70</v>
          </cell>
          <cell r="AQ395" t="str">
            <v>PCS-277865</v>
          </cell>
          <cell r="AR395" t="b">
            <v>1</v>
          </cell>
          <cell r="AS395" t="str">
            <v>Done</v>
          </cell>
          <cell r="AT395" t="str">
            <v>2025 - Batch 6</v>
          </cell>
          <cell r="AU395">
            <v>23</v>
          </cell>
          <cell r="AV395">
            <v>12</v>
          </cell>
          <cell r="AW395" t="str">
            <v>H+L</v>
          </cell>
          <cell r="AX395">
            <v>70</v>
          </cell>
          <cell r="AY395">
            <v>50</v>
          </cell>
          <cell r="AZ395" t="str">
            <v>Duplex</v>
          </cell>
          <cell r="BA395">
            <v>1</v>
          </cell>
          <cell r="BB395" t="str">
            <v>568 - Without Partition</v>
          </cell>
          <cell r="BC395" t="str">
            <v xml:space="preserve">Without Partition </v>
          </cell>
          <cell r="BD395" t="str">
            <v>Slant</v>
          </cell>
          <cell r="BE395" t="str">
            <v xml:space="preserve">Without Partition </v>
          </cell>
          <cell r="BF395" t="str">
            <v>PURPLE</v>
          </cell>
          <cell r="BG395">
            <v>2500000</v>
          </cell>
          <cell r="BH395">
            <v>2650000</v>
          </cell>
          <cell r="BI395">
            <v>100000</v>
          </cell>
          <cell r="BJ395">
            <v>2550000</v>
          </cell>
          <cell r="BK395">
            <v>0</v>
          </cell>
          <cell r="BL395">
            <v>2550000</v>
          </cell>
        </row>
        <row r="396">
          <cell r="D396" t="str">
            <v>OS</v>
          </cell>
          <cell r="E396"/>
          <cell r="F396">
            <v>376</v>
          </cell>
          <cell r="G396" t="str">
            <v>CLOSED</v>
          </cell>
          <cell r="H396" t="str">
            <v>TS</v>
          </cell>
          <cell r="I396" t="str">
            <v>TS</v>
          </cell>
          <cell r="J396" t="str">
            <v>TS</v>
          </cell>
          <cell r="K396" t="str">
            <v>TS</v>
          </cell>
          <cell r="L396" t="str">
            <v>TS</v>
          </cell>
          <cell r="M396" t="str">
            <v>TS</v>
          </cell>
          <cell r="N396" t="str">
            <v>TS</v>
          </cell>
          <cell r="O396" t="str">
            <v>TS</v>
          </cell>
          <cell r="P396" t="str">
            <v>OS</v>
          </cell>
          <cell r="Q396" t="str">
            <v>OS</v>
          </cell>
          <cell r="R396" t="str">
            <v>OS</v>
          </cell>
          <cell r="S396" t="str">
            <v>OS</v>
          </cell>
          <cell r="T396" t="str">
            <v>OS</v>
          </cell>
          <cell r="U396" t="str">
            <v>OS</v>
          </cell>
          <cell r="V396" t="str">
            <v>OS</v>
          </cell>
          <cell r="W396" t="str">
            <v>OS</v>
          </cell>
          <cell r="X396" t="str">
            <v>OS</v>
          </cell>
          <cell r="Y396" t="str">
            <v>OS</v>
          </cell>
          <cell r="Z396" t="str">
            <v>OS</v>
          </cell>
          <cell r="AA396" t="str">
            <v>OS</v>
          </cell>
          <cell r="AB396" t="str">
            <v>OS</v>
          </cell>
          <cell r="AC396" t="str">
            <v>OS</v>
          </cell>
          <cell r="AD396" t="str">
            <v>AGM-01-023-013</v>
          </cell>
          <cell r="AE396" t="str">
            <v xml:space="preserve">Raemulan Lands, Inc. </v>
          </cell>
          <cell r="AF396" t="str">
            <v>Agapeya</v>
          </cell>
          <cell r="AG396" t="str">
            <v>AGM</v>
          </cell>
          <cell r="AH396" t="str">
            <v>Eco-High</v>
          </cell>
          <cell r="AI396" t="str">
            <v>West</v>
          </cell>
          <cell r="AJ396" t="str">
            <v>Without LTS</v>
          </cell>
          <cell r="AK396" t="str">
            <v>Unaffected lots</v>
          </cell>
          <cell r="AL396" t="str">
            <v>Unaffected lots</v>
          </cell>
          <cell r="AM396" t="b">
            <v>0</v>
          </cell>
          <cell r="AN396" t="str">
            <v>NO</v>
          </cell>
          <cell r="AO396" t="str">
            <v>B3 2025</v>
          </cell>
          <cell r="AP396">
            <v>70</v>
          </cell>
          <cell r="AQ396" t="str">
            <v>PCS-277865</v>
          </cell>
          <cell r="AR396" t="b">
            <v>1</v>
          </cell>
          <cell r="AS396" t="str">
            <v>Done</v>
          </cell>
          <cell r="AT396" t="str">
            <v>2025 - Batch 6</v>
          </cell>
          <cell r="AU396">
            <v>23</v>
          </cell>
          <cell r="AV396">
            <v>13</v>
          </cell>
          <cell r="AW396" t="str">
            <v>H+L</v>
          </cell>
          <cell r="AX396">
            <v>70</v>
          </cell>
          <cell r="AY396">
            <v>50</v>
          </cell>
          <cell r="AZ396" t="str">
            <v>Duplex</v>
          </cell>
          <cell r="BA396">
            <v>1</v>
          </cell>
          <cell r="BB396" t="str">
            <v>568 - Without Partition</v>
          </cell>
          <cell r="BC396" t="str">
            <v xml:space="preserve">Without Partition </v>
          </cell>
          <cell r="BD396" t="str">
            <v>Slant</v>
          </cell>
          <cell r="BE396" t="str">
            <v xml:space="preserve">Without Partition </v>
          </cell>
          <cell r="BF396" t="str">
            <v>PURPLE</v>
          </cell>
          <cell r="BG396">
            <v>2500000</v>
          </cell>
          <cell r="BH396">
            <v>2650000</v>
          </cell>
          <cell r="BI396">
            <v>100000</v>
          </cell>
          <cell r="BJ396">
            <v>2550000</v>
          </cell>
          <cell r="BK396">
            <v>0</v>
          </cell>
          <cell r="BL396">
            <v>2550000</v>
          </cell>
        </row>
        <row r="397">
          <cell r="D397" t="str">
            <v>OS</v>
          </cell>
          <cell r="E397"/>
          <cell r="F397">
            <v>377</v>
          </cell>
          <cell r="G397" t="str">
            <v>CLOSED</v>
          </cell>
          <cell r="H397" t="str">
            <v>OPEN</v>
          </cell>
          <cell r="I397" t="str">
            <v>OPEN</v>
          </cell>
          <cell r="J397" t="str">
            <v>OPEN</v>
          </cell>
          <cell r="K397" t="str">
            <v>TS</v>
          </cell>
          <cell r="L397" t="str">
            <v>TS</v>
          </cell>
          <cell r="M397" t="str">
            <v>OS</v>
          </cell>
          <cell r="N397" t="str">
            <v>TS</v>
          </cell>
          <cell r="O397" t="str">
            <v>TS</v>
          </cell>
          <cell r="P397" t="str">
            <v>OS</v>
          </cell>
          <cell r="Q397" t="str">
            <v>OS</v>
          </cell>
          <cell r="R397" t="str">
            <v>OS</v>
          </cell>
          <cell r="S397" t="str">
            <v>OS</v>
          </cell>
          <cell r="T397" t="str">
            <v>OS</v>
          </cell>
          <cell r="U397" t="str">
            <v>OS</v>
          </cell>
          <cell r="V397" t="str">
            <v>OS</v>
          </cell>
          <cell r="W397" t="str">
            <v>OS</v>
          </cell>
          <cell r="X397" t="str">
            <v>OS</v>
          </cell>
          <cell r="Y397" t="str">
            <v>OS</v>
          </cell>
          <cell r="Z397" t="str">
            <v>OS</v>
          </cell>
          <cell r="AA397" t="str">
            <v>OS</v>
          </cell>
          <cell r="AB397" t="str">
            <v>OS</v>
          </cell>
          <cell r="AC397" t="str">
            <v>OS</v>
          </cell>
          <cell r="AD397" t="str">
            <v>AGM-01-023-014</v>
          </cell>
          <cell r="AE397" t="str">
            <v xml:space="preserve">Raemulan Lands, Inc. </v>
          </cell>
          <cell r="AF397" t="str">
            <v>Agapeya</v>
          </cell>
          <cell r="AG397" t="str">
            <v>AGM</v>
          </cell>
          <cell r="AH397" t="str">
            <v>Eco-High</v>
          </cell>
          <cell r="AI397" t="str">
            <v>West</v>
          </cell>
          <cell r="AJ397" t="str">
            <v>Without LTS</v>
          </cell>
          <cell r="AK397" t="str">
            <v>Unaffected lots</v>
          </cell>
          <cell r="AL397" t="str">
            <v>Unaffected lots</v>
          </cell>
          <cell r="AM397" t="b">
            <v>0</v>
          </cell>
          <cell r="AN397" t="str">
            <v>NO</v>
          </cell>
          <cell r="AO397" t="str">
            <v>B3 2025</v>
          </cell>
          <cell r="AP397">
            <v>70</v>
          </cell>
          <cell r="AQ397" t="str">
            <v>PCS-277865</v>
          </cell>
          <cell r="AR397" t="b">
            <v>1</v>
          </cell>
          <cell r="AS397" t="str">
            <v>Done</v>
          </cell>
          <cell r="AT397" t="str">
            <v>2025 - Batch 6</v>
          </cell>
          <cell r="AU397">
            <v>23</v>
          </cell>
          <cell r="AV397">
            <v>14</v>
          </cell>
          <cell r="AW397" t="str">
            <v>H+L</v>
          </cell>
          <cell r="AX397">
            <v>70</v>
          </cell>
          <cell r="AY397">
            <v>50</v>
          </cell>
          <cell r="AZ397" t="str">
            <v>Duplex</v>
          </cell>
          <cell r="BA397">
            <v>1</v>
          </cell>
          <cell r="BB397" t="str">
            <v>568 - Without Partition</v>
          </cell>
          <cell r="BC397" t="str">
            <v xml:space="preserve">Without Partition </v>
          </cell>
          <cell r="BD397" t="str">
            <v>Flat</v>
          </cell>
          <cell r="BE397" t="str">
            <v xml:space="preserve">Without Partition </v>
          </cell>
          <cell r="BF397" t="str">
            <v>PURPLE</v>
          </cell>
          <cell r="BG397">
            <v>2500000</v>
          </cell>
          <cell r="BH397">
            <v>2650000</v>
          </cell>
          <cell r="BI397">
            <v>100000</v>
          </cell>
          <cell r="BJ397">
            <v>2550000</v>
          </cell>
          <cell r="BK397">
            <v>0</v>
          </cell>
          <cell r="BL397">
            <v>2550000</v>
          </cell>
        </row>
        <row r="398">
          <cell r="D398" t="str">
            <v>OS</v>
          </cell>
          <cell r="E398"/>
          <cell r="F398">
            <v>378</v>
          </cell>
          <cell r="G398" t="str">
            <v>CLOSED</v>
          </cell>
          <cell r="H398" t="str">
            <v>TS</v>
          </cell>
          <cell r="I398" t="str">
            <v>TS</v>
          </cell>
          <cell r="J398" t="str">
            <v>OS</v>
          </cell>
          <cell r="K398" t="str">
            <v>OS</v>
          </cell>
          <cell r="L398" t="str">
            <v>OS</v>
          </cell>
          <cell r="M398" t="str">
            <v>OS</v>
          </cell>
          <cell r="N398" t="str">
            <v>OS</v>
          </cell>
          <cell r="O398" t="str">
            <v>OS</v>
          </cell>
          <cell r="P398" t="str">
            <v>OS</v>
          </cell>
          <cell r="Q398" t="str">
            <v>OS</v>
          </cell>
          <cell r="R398" t="str">
            <v>OS</v>
          </cell>
          <cell r="S398" t="str">
            <v>OS</v>
          </cell>
          <cell r="T398" t="str">
            <v>OS</v>
          </cell>
          <cell r="U398" t="str">
            <v>OS</v>
          </cell>
          <cell r="V398" t="str">
            <v>OS</v>
          </cell>
          <cell r="W398" t="str">
            <v>OS</v>
          </cell>
          <cell r="X398" t="str">
            <v>OS</v>
          </cell>
          <cell r="Y398" t="str">
            <v>OS</v>
          </cell>
          <cell r="Z398" t="str">
            <v>OS</v>
          </cell>
          <cell r="AA398" t="str">
            <v>OS</v>
          </cell>
          <cell r="AB398" t="str">
            <v>OS</v>
          </cell>
          <cell r="AC398" t="str">
            <v>OS</v>
          </cell>
          <cell r="AD398" t="str">
            <v>AGM-01-023-015</v>
          </cell>
          <cell r="AE398" t="str">
            <v xml:space="preserve">Raemulan Lands, Inc. </v>
          </cell>
          <cell r="AF398" t="str">
            <v>Agapeya</v>
          </cell>
          <cell r="AG398" t="str">
            <v>AGM</v>
          </cell>
          <cell r="AH398" t="str">
            <v>Eco-High</v>
          </cell>
          <cell r="AI398" t="str">
            <v>West</v>
          </cell>
          <cell r="AJ398" t="str">
            <v>Without LTS</v>
          </cell>
          <cell r="AK398" t="str">
            <v>Unaffected lots</v>
          </cell>
          <cell r="AL398" t="str">
            <v>Unaffected lots</v>
          </cell>
          <cell r="AM398" t="b">
            <v>0</v>
          </cell>
          <cell r="AN398" t="str">
            <v>NO</v>
          </cell>
          <cell r="AO398" t="str">
            <v>B3 2025</v>
          </cell>
          <cell r="AP398">
            <v>70</v>
          </cell>
          <cell r="AQ398" t="str">
            <v>PCS-277865</v>
          </cell>
          <cell r="AR398" t="b">
            <v>1</v>
          </cell>
          <cell r="AS398" t="str">
            <v>Done</v>
          </cell>
          <cell r="AT398" t="str">
            <v>2025 - Batch 6</v>
          </cell>
          <cell r="AU398">
            <v>23</v>
          </cell>
          <cell r="AV398">
            <v>15</v>
          </cell>
          <cell r="AW398" t="str">
            <v>H+L</v>
          </cell>
          <cell r="AX398">
            <v>70</v>
          </cell>
          <cell r="AY398">
            <v>50</v>
          </cell>
          <cell r="AZ398" t="str">
            <v>Duplex</v>
          </cell>
          <cell r="BA398">
            <v>1</v>
          </cell>
          <cell r="BB398" t="str">
            <v>568 - Without Partition</v>
          </cell>
          <cell r="BC398" t="str">
            <v xml:space="preserve">Without Partition </v>
          </cell>
          <cell r="BD398" t="str">
            <v>Flat</v>
          </cell>
          <cell r="BE398" t="str">
            <v xml:space="preserve">Without Partition </v>
          </cell>
          <cell r="BF398" t="str">
            <v>PINK</v>
          </cell>
          <cell r="BG398">
            <v>2500000</v>
          </cell>
          <cell r="BH398">
            <v>2650000</v>
          </cell>
          <cell r="BI398">
            <v>100000</v>
          </cell>
          <cell r="BJ398">
            <v>2550000</v>
          </cell>
          <cell r="BK398">
            <v>0</v>
          </cell>
          <cell r="BL398">
            <v>2550000</v>
          </cell>
        </row>
        <row r="399">
          <cell r="D399" t="str">
            <v>OS</v>
          </cell>
          <cell r="E399"/>
          <cell r="F399">
            <v>379</v>
          </cell>
          <cell r="G399" t="str">
            <v>CLOSED</v>
          </cell>
          <cell r="H399" t="str">
            <v>TS</v>
          </cell>
          <cell r="I399" t="str">
            <v>TS</v>
          </cell>
          <cell r="J399" t="str">
            <v>TS</v>
          </cell>
          <cell r="K399" t="str">
            <v>TS</v>
          </cell>
          <cell r="L399" t="str">
            <v>TS</v>
          </cell>
          <cell r="M399" t="str">
            <v>TS</v>
          </cell>
          <cell r="N399" t="str">
            <v>OS</v>
          </cell>
          <cell r="O399" t="str">
            <v>OS</v>
          </cell>
          <cell r="P399" t="str">
            <v>OS</v>
          </cell>
          <cell r="Q399" t="str">
            <v>OS</v>
          </cell>
          <cell r="R399" t="str">
            <v>OS</v>
          </cell>
          <cell r="S399" t="str">
            <v>OS</v>
          </cell>
          <cell r="T399" t="str">
            <v>OS</v>
          </cell>
          <cell r="U399" t="str">
            <v>OS</v>
          </cell>
          <cell r="V399" t="str">
            <v>OS</v>
          </cell>
          <cell r="W399" t="str">
            <v>OS</v>
          </cell>
          <cell r="X399" t="str">
            <v>OS</v>
          </cell>
          <cell r="Y399" t="str">
            <v>OS</v>
          </cell>
          <cell r="Z399" t="str">
            <v>OS</v>
          </cell>
          <cell r="AA399" t="str">
            <v>OS</v>
          </cell>
          <cell r="AB399" t="str">
            <v>OS</v>
          </cell>
          <cell r="AC399" t="str">
            <v>OS</v>
          </cell>
          <cell r="AD399" t="str">
            <v>AGM-01-023-016</v>
          </cell>
          <cell r="AE399" t="str">
            <v xml:space="preserve">Raemulan Lands, Inc. </v>
          </cell>
          <cell r="AF399" t="str">
            <v>Agapeya</v>
          </cell>
          <cell r="AG399" t="str">
            <v>AGM</v>
          </cell>
          <cell r="AH399" t="str">
            <v>Eco-High</v>
          </cell>
          <cell r="AI399" t="str">
            <v>West</v>
          </cell>
          <cell r="AJ399" t="str">
            <v>Without LTS</v>
          </cell>
          <cell r="AK399" t="str">
            <v>Unaffected lots</v>
          </cell>
          <cell r="AL399" t="str">
            <v>Unaffected lots</v>
          </cell>
          <cell r="AM399" t="b">
            <v>0</v>
          </cell>
          <cell r="AN399" t="str">
            <v>NO</v>
          </cell>
          <cell r="AO399" t="str">
            <v>B3 2025</v>
          </cell>
          <cell r="AP399">
            <v>70</v>
          </cell>
          <cell r="AQ399" t="str">
            <v>PCS-277865</v>
          </cell>
          <cell r="AR399" t="b">
            <v>1</v>
          </cell>
          <cell r="AS399" t="str">
            <v>Done</v>
          </cell>
          <cell r="AT399" t="str">
            <v>2025 - Batch 6</v>
          </cell>
          <cell r="AU399">
            <v>23</v>
          </cell>
          <cell r="AV399">
            <v>16</v>
          </cell>
          <cell r="AW399" t="str">
            <v>H+L</v>
          </cell>
          <cell r="AX399">
            <v>70</v>
          </cell>
          <cell r="AY399">
            <v>50</v>
          </cell>
          <cell r="AZ399" t="str">
            <v>Duplex</v>
          </cell>
          <cell r="BA399">
            <v>1</v>
          </cell>
          <cell r="BB399" t="str">
            <v>568 - Without Partition</v>
          </cell>
          <cell r="BC399" t="str">
            <v xml:space="preserve">Without Partition </v>
          </cell>
          <cell r="BD399" t="str">
            <v>Slant</v>
          </cell>
          <cell r="BE399" t="str">
            <v xml:space="preserve">Without Partition </v>
          </cell>
          <cell r="BF399" t="str">
            <v>PINK</v>
          </cell>
          <cell r="BG399">
            <v>2500000</v>
          </cell>
          <cell r="BH399">
            <v>2650000</v>
          </cell>
          <cell r="BI399">
            <v>100000</v>
          </cell>
          <cell r="BJ399">
            <v>2550000</v>
          </cell>
          <cell r="BK399">
            <v>0</v>
          </cell>
          <cell r="BL399">
            <v>2550000</v>
          </cell>
        </row>
        <row r="400">
          <cell r="D400" t="str">
            <v>OS</v>
          </cell>
          <cell r="E400"/>
          <cell r="F400">
            <v>380</v>
          </cell>
          <cell r="G400" t="str">
            <v>CLOSED</v>
          </cell>
          <cell r="H400" t="str">
            <v>TS</v>
          </cell>
          <cell r="I400" t="str">
            <v>TS</v>
          </cell>
          <cell r="J400" t="str">
            <v>TS</v>
          </cell>
          <cell r="K400" t="str">
            <v>TS</v>
          </cell>
          <cell r="L400" t="str">
            <v>TS</v>
          </cell>
          <cell r="M400" t="str">
            <v>TS</v>
          </cell>
          <cell r="N400" t="str">
            <v>OS</v>
          </cell>
          <cell r="O400" t="str">
            <v>OS</v>
          </cell>
          <cell r="P400" t="str">
            <v>OS</v>
          </cell>
          <cell r="Q400" t="str">
            <v>OS</v>
          </cell>
          <cell r="R400" t="str">
            <v>OS</v>
          </cell>
          <cell r="S400" t="str">
            <v>OS</v>
          </cell>
          <cell r="T400" t="str">
            <v>OS</v>
          </cell>
          <cell r="U400" t="str">
            <v>OS</v>
          </cell>
          <cell r="V400" t="str">
            <v>OS</v>
          </cell>
          <cell r="W400" t="str">
            <v>OS</v>
          </cell>
          <cell r="X400" t="str">
            <v>OS</v>
          </cell>
          <cell r="Y400" t="str">
            <v>OS</v>
          </cell>
          <cell r="Z400" t="str">
            <v>OS</v>
          </cell>
          <cell r="AA400" t="str">
            <v>OS</v>
          </cell>
          <cell r="AB400" t="str">
            <v>OS</v>
          </cell>
          <cell r="AC400" t="str">
            <v>OS</v>
          </cell>
          <cell r="AD400" t="str">
            <v>AGM-01-023-017</v>
          </cell>
          <cell r="AE400" t="str">
            <v xml:space="preserve">Raemulan Lands, Inc. </v>
          </cell>
          <cell r="AF400" t="str">
            <v>Agapeya</v>
          </cell>
          <cell r="AG400" t="str">
            <v>AGM</v>
          </cell>
          <cell r="AH400" t="str">
            <v>Eco-High</v>
          </cell>
          <cell r="AI400" t="str">
            <v>West</v>
          </cell>
          <cell r="AJ400" t="str">
            <v>Without LTS</v>
          </cell>
          <cell r="AK400" t="str">
            <v>Unaffected lots</v>
          </cell>
          <cell r="AL400" t="str">
            <v>Unaffected lots</v>
          </cell>
          <cell r="AM400" t="b">
            <v>0</v>
          </cell>
          <cell r="AN400" t="str">
            <v>NO</v>
          </cell>
          <cell r="AO400" t="str">
            <v>B3 2025</v>
          </cell>
          <cell r="AP400">
            <v>70</v>
          </cell>
          <cell r="AQ400" t="str">
            <v>PCS-277865</v>
          </cell>
          <cell r="AR400" t="b">
            <v>1</v>
          </cell>
          <cell r="AS400" t="str">
            <v>Done</v>
          </cell>
          <cell r="AT400" t="str">
            <v>2025 - Batch 6</v>
          </cell>
          <cell r="AU400">
            <v>23</v>
          </cell>
          <cell r="AV400">
            <v>17</v>
          </cell>
          <cell r="AW400" t="str">
            <v>H+L</v>
          </cell>
          <cell r="AX400">
            <v>70</v>
          </cell>
          <cell r="AY400">
            <v>50</v>
          </cell>
          <cell r="AZ400" t="str">
            <v>Duplex</v>
          </cell>
          <cell r="BA400">
            <v>1</v>
          </cell>
          <cell r="BB400" t="str">
            <v>568 - Without Partition</v>
          </cell>
          <cell r="BC400" t="str">
            <v xml:space="preserve">Without Partition </v>
          </cell>
          <cell r="BD400" t="str">
            <v>Slant</v>
          </cell>
          <cell r="BE400" t="str">
            <v xml:space="preserve">Without Partition </v>
          </cell>
          <cell r="BF400" t="str">
            <v>PINK</v>
          </cell>
          <cell r="BG400">
            <v>2500000</v>
          </cell>
          <cell r="BH400">
            <v>2650000</v>
          </cell>
          <cell r="BI400">
            <v>100000</v>
          </cell>
          <cell r="BJ400">
            <v>2550000</v>
          </cell>
          <cell r="BK400">
            <v>0</v>
          </cell>
          <cell r="BL400">
            <v>2550000</v>
          </cell>
        </row>
        <row r="401">
          <cell r="D401" t="str">
            <v>OS</v>
          </cell>
          <cell r="E401"/>
          <cell r="F401">
            <v>381</v>
          </cell>
          <cell r="G401" t="str">
            <v>CLOSED</v>
          </cell>
          <cell r="H401" t="str">
            <v>TS</v>
          </cell>
          <cell r="I401" t="str">
            <v>TS</v>
          </cell>
          <cell r="J401" t="str">
            <v>OS</v>
          </cell>
          <cell r="K401" t="str">
            <v>OS</v>
          </cell>
          <cell r="L401" t="str">
            <v>OS</v>
          </cell>
          <cell r="M401" t="str">
            <v>OS</v>
          </cell>
          <cell r="N401" t="str">
            <v>OS</v>
          </cell>
          <cell r="O401" t="str">
            <v>OS</v>
          </cell>
          <cell r="P401" t="str">
            <v>OS</v>
          </cell>
          <cell r="Q401" t="str">
            <v>OS</v>
          </cell>
          <cell r="R401" t="str">
            <v>OS</v>
          </cell>
          <cell r="S401" t="str">
            <v>OS</v>
          </cell>
          <cell r="T401" t="str">
            <v>OS</v>
          </cell>
          <cell r="U401" t="str">
            <v>OS</v>
          </cell>
          <cell r="V401" t="str">
            <v>OS</v>
          </cell>
          <cell r="W401" t="str">
            <v>OS</v>
          </cell>
          <cell r="X401" t="str">
            <v>OS</v>
          </cell>
          <cell r="Y401" t="str">
            <v>OS</v>
          </cell>
          <cell r="Z401" t="str">
            <v>OS</v>
          </cell>
          <cell r="AA401" t="str">
            <v>OS</v>
          </cell>
          <cell r="AB401" t="str">
            <v>OS</v>
          </cell>
          <cell r="AC401" t="str">
            <v>OS</v>
          </cell>
          <cell r="AD401" t="str">
            <v>AGM-01-023-018</v>
          </cell>
          <cell r="AE401" t="str">
            <v xml:space="preserve">Raemulan Lands, Inc. </v>
          </cell>
          <cell r="AF401" t="str">
            <v>Agapeya</v>
          </cell>
          <cell r="AG401" t="str">
            <v>AGM</v>
          </cell>
          <cell r="AH401" t="str">
            <v>Eco-High</v>
          </cell>
          <cell r="AI401" t="str">
            <v>West</v>
          </cell>
          <cell r="AJ401" t="str">
            <v>Without LTS</v>
          </cell>
          <cell r="AK401" t="str">
            <v>Unaffected lots</v>
          </cell>
          <cell r="AL401" t="str">
            <v>Unaffected lots</v>
          </cell>
          <cell r="AM401" t="b">
            <v>0</v>
          </cell>
          <cell r="AN401" t="str">
            <v>NO</v>
          </cell>
          <cell r="AO401" t="str">
            <v>B3 2025</v>
          </cell>
          <cell r="AP401">
            <v>70</v>
          </cell>
          <cell r="AQ401" t="str">
            <v>PCS-277865</v>
          </cell>
          <cell r="AR401" t="b">
            <v>1</v>
          </cell>
          <cell r="AS401" t="str">
            <v>Done</v>
          </cell>
          <cell r="AT401" t="str">
            <v>2025 - Batch 6</v>
          </cell>
          <cell r="AU401">
            <v>23</v>
          </cell>
          <cell r="AV401">
            <v>18</v>
          </cell>
          <cell r="AW401" t="str">
            <v>H+L</v>
          </cell>
          <cell r="AX401">
            <v>70</v>
          </cell>
          <cell r="AY401">
            <v>50</v>
          </cell>
          <cell r="AZ401" t="str">
            <v>Duplex</v>
          </cell>
          <cell r="BA401">
            <v>1</v>
          </cell>
          <cell r="BB401" t="str">
            <v>568 - Without Partition</v>
          </cell>
          <cell r="BC401" t="str">
            <v xml:space="preserve">Without Partition </v>
          </cell>
          <cell r="BD401" t="str">
            <v>Flat</v>
          </cell>
          <cell r="BE401" t="str">
            <v xml:space="preserve">Without Partition </v>
          </cell>
          <cell r="BF401" t="str">
            <v>PINK</v>
          </cell>
          <cell r="BG401">
            <v>2500000</v>
          </cell>
          <cell r="BH401">
            <v>2650000</v>
          </cell>
          <cell r="BI401">
            <v>100000</v>
          </cell>
          <cell r="BJ401">
            <v>2550000</v>
          </cell>
          <cell r="BK401">
            <v>0</v>
          </cell>
          <cell r="BL401">
            <v>2550000</v>
          </cell>
        </row>
        <row r="402">
          <cell r="D402" t="str">
            <v>OS</v>
          </cell>
          <cell r="E402"/>
          <cell r="F402">
            <v>382</v>
          </cell>
          <cell r="G402" t="str">
            <v>UNSOLD</v>
          </cell>
          <cell r="H402" t="str">
            <v>TS</v>
          </cell>
          <cell r="I402" t="str">
            <v>TS</v>
          </cell>
          <cell r="J402" t="str">
            <v>TS</v>
          </cell>
          <cell r="K402" t="str">
            <v>TS</v>
          </cell>
          <cell r="L402" t="str">
            <v>TS</v>
          </cell>
          <cell r="M402" t="str">
            <v>TS</v>
          </cell>
          <cell r="N402" t="str">
            <v>TS</v>
          </cell>
          <cell r="O402" t="str">
            <v>TS</v>
          </cell>
          <cell r="P402" t="str">
            <v>OS</v>
          </cell>
          <cell r="Q402" t="str">
            <v>OS</v>
          </cell>
          <cell r="R402" t="str">
            <v>OS</v>
          </cell>
          <cell r="S402" t="str">
            <v>OS</v>
          </cell>
          <cell r="T402" t="str">
            <v>OS</v>
          </cell>
          <cell r="U402" t="str">
            <v>OS</v>
          </cell>
          <cell r="V402" t="str">
            <v>OS</v>
          </cell>
          <cell r="W402" t="str">
            <v>OS</v>
          </cell>
          <cell r="X402" t="str">
            <v>OS</v>
          </cell>
          <cell r="Y402" t="str">
            <v>OS</v>
          </cell>
          <cell r="Z402" t="str">
            <v>OS</v>
          </cell>
          <cell r="AA402" t="str">
            <v>OS</v>
          </cell>
          <cell r="AB402" t="str">
            <v>OS</v>
          </cell>
          <cell r="AC402" t="str">
            <v>OS</v>
          </cell>
          <cell r="AD402" t="str">
            <v>AGM-01-023-019</v>
          </cell>
          <cell r="AE402" t="str">
            <v xml:space="preserve">Raemulan Lands, Inc. </v>
          </cell>
          <cell r="AF402" t="str">
            <v>Agapeya</v>
          </cell>
          <cell r="AG402" t="str">
            <v>AGM</v>
          </cell>
          <cell r="AH402" t="str">
            <v>Eco-High</v>
          </cell>
          <cell r="AI402" t="str">
            <v>West</v>
          </cell>
          <cell r="AJ402" t="str">
            <v>Without LTS</v>
          </cell>
          <cell r="AK402" t="str">
            <v>Unaffected lots</v>
          </cell>
          <cell r="AL402" t="str">
            <v>Unaffected lots</v>
          </cell>
          <cell r="AM402" t="b">
            <v>0</v>
          </cell>
          <cell r="AN402" t="str">
            <v>NO</v>
          </cell>
          <cell r="AO402" t="str">
            <v>B3 2025</v>
          </cell>
          <cell r="AP402">
            <v>70</v>
          </cell>
          <cell r="AQ402" t="str">
            <v>PCS-277865</v>
          </cell>
          <cell r="AR402" t="b">
            <v>1</v>
          </cell>
          <cell r="AS402" t="str">
            <v>Done</v>
          </cell>
          <cell r="AT402" t="str">
            <v>2025 - Batch 5</v>
          </cell>
          <cell r="AU402">
            <v>23</v>
          </cell>
          <cell r="AV402">
            <v>19</v>
          </cell>
          <cell r="AW402" t="str">
            <v>H+L</v>
          </cell>
          <cell r="AX402">
            <v>70</v>
          </cell>
          <cell r="AY402">
            <v>50</v>
          </cell>
          <cell r="AZ402" t="str">
            <v>Duplex</v>
          </cell>
          <cell r="BA402">
            <v>1</v>
          </cell>
          <cell r="BB402" t="str">
            <v>568 - Without Partition</v>
          </cell>
          <cell r="BC402" t="str">
            <v xml:space="preserve">Without Partition </v>
          </cell>
          <cell r="BD402" t="str">
            <v>Flat</v>
          </cell>
          <cell r="BE402" t="str">
            <v xml:space="preserve">Without Partition </v>
          </cell>
          <cell r="BF402" t="str">
            <v>YELLOW</v>
          </cell>
          <cell r="BG402">
            <v>2500000</v>
          </cell>
          <cell r="BH402">
            <v>2650000</v>
          </cell>
          <cell r="BI402">
            <v>100000</v>
          </cell>
          <cell r="BJ402">
            <v>2550000</v>
          </cell>
          <cell r="BK402">
            <v>0</v>
          </cell>
          <cell r="BL402">
            <v>2550000</v>
          </cell>
        </row>
        <row r="403">
          <cell r="D403" t="str">
            <v>OS</v>
          </cell>
          <cell r="E403"/>
          <cell r="F403">
            <v>383</v>
          </cell>
          <cell r="G403" t="str">
            <v>UNSOLD</v>
          </cell>
          <cell r="H403" t="str">
            <v>TS</v>
          </cell>
          <cell r="I403" t="str">
            <v>TS</v>
          </cell>
          <cell r="J403" t="str">
            <v>WITH BRN</v>
          </cell>
          <cell r="K403" t="str">
            <v>TS</v>
          </cell>
          <cell r="L403" t="str">
            <v>TS</v>
          </cell>
          <cell r="M403" t="str">
            <v>OS</v>
          </cell>
          <cell r="N403" t="str">
            <v>TS</v>
          </cell>
          <cell r="O403" t="str">
            <v>TS</v>
          </cell>
          <cell r="P403" t="str">
            <v>TS</v>
          </cell>
          <cell r="Q403" t="str">
            <v>TS</v>
          </cell>
          <cell r="R403" t="str">
            <v>TS</v>
          </cell>
          <cell r="S403" t="str">
            <v>TS</v>
          </cell>
          <cell r="T403" t="str">
            <v>TS</v>
          </cell>
          <cell r="U403" t="str">
            <v>OS</v>
          </cell>
          <cell r="V403" t="str">
            <v>OS</v>
          </cell>
          <cell r="W403" t="str">
            <v>OS</v>
          </cell>
          <cell r="X403" t="str">
            <v>OS</v>
          </cell>
          <cell r="Y403" t="str">
            <v>OS</v>
          </cell>
          <cell r="Z403" t="str">
            <v>OS</v>
          </cell>
          <cell r="AA403" t="str">
            <v>OS</v>
          </cell>
          <cell r="AB403" t="str">
            <v>OS</v>
          </cell>
          <cell r="AC403" t="str">
            <v>OS</v>
          </cell>
          <cell r="AD403" t="str">
            <v>AGM-01-023-020</v>
          </cell>
          <cell r="AE403" t="str">
            <v xml:space="preserve">Raemulan Lands, Inc. </v>
          </cell>
          <cell r="AF403" t="str">
            <v>Agapeya</v>
          </cell>
          <cell r="AG403" t="str">
            <v>AGM</v>
          </cell>
          <cell r="AH403" t="str">
            <v>Eco-High</v>
          </cell>
          <cell r="AI403" t="str">
            <v>West</v>
          </cell>
          <cell r="AJ403" t="str">
            <v>Without LTS</v>
          </cell>
          <cell r="AK403" t="str">
            <v>Unaffected lots</v>
          </cell>
          <cell r="AL403" t="str">
            <v>Unaffected lots</v>
          </cell>
          <cell r="AM403" t="b">
            <v>0</v>
          </cell>
          <cell r="AN403" t="str">
            <v>NO</v>
          </cell>
          <cell r="AO403" t="str">
            <v>B3 2025</v>
          </cell>
          <cell r="AP403">
            <v>70</v>
          </cell>
          <cell r="AQ403" t="str">
            <v>PCS-277865</v>
          </cell>
          <cell r="AR403" t="b">
            <v>1</v>
          </cell>
          <cell r="AS403" t="str">
            <v>Done</v>
          </cell>
          <cell r="AT403" t="str">
            <v>2025 - Batch 5</v>
          </cell>
          <cell r="AU403">
            <v>23</v>
          </cell>
          <cell r="AV403">
            <v>20</v>
          </cell>
          <cell r="AW403" t="str">
            <v>H+L</v>
          </cell>
          <cell r="AX403">
            <v>70</v>
          </cell>
          <cell r="AY403">
            <v>50</v>
          </cell>
          <cell r="AZ403" t="str">
            <v>Duplex</v>
          </cell>
          <cell r="BA403">
            <v>1</v>
          </cell>
          <cell r="BB403" t="str">
            <v>568 - Without Partition</v>
          </cell>
          <cell r="BC403" t="str">
            <v xml:space="preserve">Without Partition </v>
          </cell>
          <cell r="BD403" t="str">
            <v>Slant</v>
          </cell>
          <cell r="BE403" t="str">
            <v xml:space="preserve">Without Partition </v>
          </cell>
          <cell r="BF403" t="str">
            <v>YELLOW</v>
          </cell>
          <cell r="BG403">
            <v>2500000</v>
          </cell>
          <cell r="BH403">
            <v>2650000</v>
          </cell>
          <cell r="BI403">
            <v>100000</v>
          </cell>
          <cell r="BJ403">
            <v>2550000</v>
          </cell>
          <cell r="BK403">
            <v>0</v>
          </cell>
          <cell r="BL403">
            <v>2550000</v>
          </cell>
        </row>
        <row r="404">
          <cell r="D404" t="str">
            <v>OS</v>
          </cell>
          <cell r="E404"/>
          <cell r="F404">
            <v>384</v>
          </cell>
          <cell r="G404" t="str">
            <v>UNSOLD</v>
          </cell>
          <cell r="H404" t="str">
            <v>TS</v>
          </cell>
          <cell r="I404" t="str">
            <v>TS</v>
          </cell>
          <cell r="J404" t="str">
            <v>TS</v>
          </cell>
          <cell r="K404" t="str">
            <v>TS</v>
          </cell>
          <cell r="L404" t="str">
            <v>TS</v>
          </cell>
          <cell r="M404" t="str">
            <v>TS</v>
          </cell>
          <cell r="N404" t="str">
            <v>TS</v>
          </cell>
          <cell r="O404" t="str">
            <v>TS</v>
          </cell>
          <cell r="P404" t="str">
            <v>FOR BRN</v>
          </cell>
          <cell r="Q404" t="str">
            <v>TS</v>
          </cell>
          <cell r="R404" t="str">
            <v>TS</v>
          </cell>
          <cell r="S404" t="str">
            <v>TS</v>
          </cell>
          <cell r="T404" t="str">
            <v>TS</v>
          </cell>
          <cell r="U404" t="str">
            <v>TS</v>
          </cell>
          <cell r="V404" t="str">
            <v>OS</v>
          </cell>
          <cell r="W404" t="str">
            <v>TS</v>
          </cell>
          <cell r="X404" t="str">
            <v>OS</v>
          </cell>
          <cell r="Y404" t="str">
            <v>OS</v>
          </cell>
          <cell r="Z404" t="str">
            <v>OS</v>
          </cell>
          <cell r="AA404" t="str">
            <v>OS</v>
          </cell>
          <cell r="AB404" t="str">
            <v>OS</v>
          </cell>
          <cell r="AC404" t="str">
            <v>OS</v>
          </cell>
          <cell r="AD404" t="str">
            <v>AGM-01-023-021</v>
          </cell>
          <cell r="AE404" t="str">
            <v xml:space="preserve">Raemulan Lands, Inc. </v>
          </cell>
          <cell r="AF404" t="str">
            <v>Agapeya</v>
          </cell>
          <cell r="AG404" t="str">
            <v>AGM</v>
          </cell>
          <cell r="AH404" t="str">
            <v>Eco-High</v>
          </cell>
          <cell r="AI404" t="str">
            <v>West</v>
          </cell>
          <cell r="AJ404" t="str">
            <v>Without LTS</v>
          </cell>
          <cell r="AK404" t="str">
            <v>Unaffected lots</v>
          </cell>
          <cell r="AL404" t="str">
            <v>Unaffected lots</v>
          </cell>
          <cell r="AM404" t="b">
            <v>0</v>
          </cell>
          <cell r="AN404" t="str">
            <v>NO</v>
          </cell>
          <cell r="AO404" t="str">
            <v>B3 2025</v>
          </cell>
          <cell r="AP404">
            <v>70</v>
          </cell>
          <cell r="AQ404" t="str">
            <v>PCS-277865</v>
          </cell>
          <cell r="AR404" t="b">
            <v>1</v>
          </cell>
          <cell r="AS404" t="str">
            <v>Done</v>
          </cell>
          <cell r="AT404" t="str">
            <v>2025 - Batch 5</v>
          </cell>
          <cell r="AU404">
            <v>23</v>
          </cell>
          <cell r="AV404">
            <v>21</v>
          </cell>
          <cell r="AW404" t="str">
            <v>H+L</v>
          </cell>
          <cell r="AX404">
            <v>70</v>
          </cell>
          <cell r="AY404">
            <v>50</v>
          </cell>
          <cell r="AZ404" t="str">
            <v>Duplex</v>
          </cell>
          <cell r="BA404">
            <v>1</v>
          </cell>
          <cell r="BB404" t="str">
            <v>568 - Without Partition</v>
          </cell>
          <cell r="BC404" t="str">
            <v xml:space="preserve">Without Partition </v>
          </cell>
          <cell r="BD404" t="str">
            <v>Slant</v>
          </cell>
          <cell r="BE404" t="str">
            <v xml:space="preserve">Without Partition </v>
          </cell>
          <cell r="BF404" t="str">
            <v>YELLOW</v>
          </cell>
          <cell r="BG404">
            <v>2500000</v>
          </cell>
          <cell r="BH404">
            <v>2650000</v>
          </cell>
          <cell r="BI404">
            <v>100000</v>
          </cell>
          <cell r="BJ404">
            <v>2550000</v>
          </cell>
          <cell r="BK404">
            <v>0</v>
          </cell>
          <cell r="BL404">
            <v>2550000</v>
          </cell>
        </row>
        <row r="405">
          <cell r="D405" t="str">
            <v>OS</v>
          </cell>
          <cell r="E405"/>
          <cell r="F405">
            <v>385</v>
          </cell>
          <cell r="G405" t="str">
            <v>UNSOLD</v>
          </cell>
          <cell r="H405" t="str">
            <v>TS</v>
          </cell>
          <cell r="I405" t="str">
            <v>TS</v>
          </cell>
          <cell r="J405" t="str">
            <v>TS</v>
          </cell>
          <cell r="K405" t="str">
            <v>TS</v>
          </cell>
          <cell r="L405" t="str">
            <v>TS</v>
          </cell>
          <cell r="M405" t="str">
            <v>TS</v>
          </cell>
          <cell r="N405" t="str">
            <v>TS</v>
          </cell>
          <cell r="O405" t="str">
            <v>TS</v>
          </cell>
          <cell r="P405" t="str">
            <v>OS</v>
          </cell>
          <cell r="Q405" t="str">
            <v>OS</v>
          </cell>
          <cell r="R405" t="str">
            <v>OS</v>
          </cell>
          <cell r="S405" t="str">
            <v>OS</v>
          </cell>
          <cell r="T405" t="str">
            <v>OS</v>
          </cell>
          <cell r="U405" t="str">
            <v>OS</v>
          </cell>
          <cell r="V405" t="str">
            <v>OS</v>
          </cell>
          <cell r="W405" t="str">
            <v>OS</v>
          </cell>
          <cell r="X405" t="str">
            <v>OS</v>
          </cell>
          <cell r="Y405" t="str">
            <v>OS</v>
          </cell>
          <cell r="Z405" t="str">
            <v>OS</v>
          </cell>
          <cell r="AA405" t="str">
            <v>OS</v>
          </cell>
          <cell r="AB405" t="str">
            <v>OS</v>
          </cell>
          <cell r="AC405" t="str">
            <v>OS</v>
          </cell>
          <cell r="AD405" t="str">
            <v>AGM-01-023-022</v>
          </cell>
          <cell r="AE405" t="str">
            <v xml:space="preserve">Raemulan Lands, Inc. </v>
          </cell>
          <cell r="AF405" t="str">
            <v>Agapeya</v>
          </cell>
          <cell r="AG405" t="str">
            <v>AGM</v>
          </cell>
          <cell r="AH405" t="str">
            <v>Eco-High</v>
          </cell>
          <cell r="AI405" t="str">
            <v>West</v>
          </cell>
          <cell r="AJ405" t="str">
            <v>Without LTS</v>
          </cell>
          <cell r="AK405" t="str">
            <v>Unaffected lots</v>
          </cell>
          <cell r="AL405" t="str">
            <v>Unaffected lots</v>
          </cell>
          <cell r="AM405" t="b">
            <v>0</v>
          </cell>
          <cell r="AN405" t="str">
            <v>NO</v>
          </cell>
          <cell r="AO405" t="str">
            <v>B3 2025</v>
          </cell>
          <cell r="AP405">
            <v>70</v>
          </cell>
          <cell r="AQ405" t="str">
            <v>PCS-277865</v>
          </cell>
          <cell r="AR405" t="b">
            <v>1</v>
          </cell>
          <cell r="AS405" t="str">
            <v>Done</v>
          </cell>
          <cell r="AT405" t="str">
            <v>2025 - Batch 5</v>
          </cell>
          <cell r="AU405">
            <v>23</v>
          </cell>
          <cell r="AV405">
            <v>22</v>
          </cell>
          <cell r="AW405" t="str">
            <v>H+L</v>
          </cell>
          <cell r="AX405">
            <v>70</v>
          </cell>
          <cell r="AY405">
            <v>50</v>
          </cell>
          <cell r="AZ405" t="str">
            <v>Duplex</v>
          </cell>
          <cell r="BA405">
            <v>1</v>
          </cell>
          <cell r="BB405" t="str">
            <v>568 - Without Partition</v>
          </cell>
          <cell r="BC405" t="str">
            <v xml:space="preserve">Without Partition </v>
          </cell>
          <cell r="BD405" t="str">
            <v>Flat</v>
          </cell>
          <cell r="BE405" t="str">
            <v xml:space="preserve">Without Partition </v>
          </cell>
          <cell r="BF405" t="str">
            <v>YELLOW</v>
          </cell>
          <cell r="BG405">
            <v>2500000</v>
          </cell>
          <cell r="BH405">
            <v>2650000</v>
          </cell>
          <cell r="BI405">
            <v>100000</v>
          </cell>
          <cell r="BJ405">
            <v>2550000</v>
          </cell>
          <cell r="BK405">
            <v>0</v>
          </cell>
          <cell r="BL405">
            <v>2550000</v>
          </cell>
        </row>
        <row r="406">
          <cell r="D406" t="str">
            <v>OS</v>
          </cell>
          <cell r="E406"/>
          <cell r="F406">
            <v>386</v>
          </cell>
          <cell r="G406" t="str">
            <v>UNSOLD</v>
          </cell>
          <cell r="H406" t="str">
            <v>TS</v>
          </cell>
          <cell r="I406" t="str">
            <v>TS</v>
          </cell>
          <cell r="J406" t="str">
            <v>TS</v>
          </cell>
          <cell r="K406" t="str">
            <v>TS</v>
          </cell>
          <cell r="L406" t="str">
            <v>TS</v>
          </cell>
          <cell r="M406" t="str">
            <v>TS</v>
          </cell>
          <cell r="N406" t="str">
            <v>OS</v>
          </cell>
          <cell r="O406" t="str">
            <v>OS</v>
          </cell>
          <cell r="P406" t="str">
            <v>OS</v>
          </cell>
          <cell r="Q406" t="str">
            <v>OS</v>
          </cell>
          <cell r="R406" t="str">
            <v>OS</v>
          </cell>
          <cell r="S406" t="str">
            <v>OS</v>
          </cell>
          <cell r="T406" t="str">
            <v>OS</v>
          </cell>
          <cell r="U406" t="str">
            <v>OS</v>
          </cell>
          <cell r="V406" t="str">
            <v>OS</v>
          </cell>
          <cell r="W406" t="str">
            <v>OS</v>
          </cell>
          <cell r="X406" t="str">
            <v>OS</v>
          </cell>
          <cell r="Y406" t="str">
            <v>OS</v>
          </cell>
          <cell r="Z406" t="str">
            <v>OS</v>
          </cell>
          <cell r="AA406" t="str">
            <v>OS</v>
          </cell>
          <cell r="AB406" t="str">
            <v>OS</v>
          </cell>
          <cell r="AC406" t="str">
            <v>OS</v>
          </cell>
          <cell r="AD406" t="str">
            <v>AGM-01-023-023</v>
          </cell>
          <cell r="AE406" t="str">
            <v xml:space="preserve">Raemulan Lands, Inc. </v>
          </cell>
          <cell r="AF406" t="str">
            <v>Agapeya</v>
          </cell>
          <cell r="AG406" t="str">
            <v>AGM</v>
          </cell>
          <cell r="AH406" t="str">
            <v>Eco-High</v>
          </cell>
          <cell r="AI406" t="str">
            <v>West</v>
          </cell>
          <cell r="AJ406" t="str">
            <v>Without LTS</v>
          </cell>
          <cell r="AK406" t="str">
            <v>for conso</v>
          </cell>
          <cell r="AL406" t="str">
            <v>Unaffected lots</v>
          </cell>
          <cell r="AM406" t="b">
            <v>1</v>
          </cell>
          <cell r="AN406" t="str">
            <v>NO</v>
          </cell>
          <cell r="AO406" t="str">
            <v>B3 2025</v>
          </cell>
          <cell r="AP406" t="str">
            <v>62/8</v>
          </cell>
          <cell r="AQ406" t="str">
            <v>PCS-277865/PSD-04-276764</v>
          </cell>
          <cell r="AR406" t="b">
            <v>0</v>
          </cell>
          <cell r="AS406" t="str">
            <v>For Conso</v>
          </cell>
          <cell r="AT406" t="str">
            <v>2025 - Batch 5</v>
          </cell>
          <cell r="AU406">
            <v>23</v>
          </cell>
          <cell r="AV406">
            <v>23</v>
          </cell>
          <cell r="AW406" t="str">
            <v>H+L</v>
          </cell>
          <cell r="AX406">
            <v>70</v>
          </cell>
          <cell r="AY406">
            <v>50</v>
          </cell>
          <cell r="AZ406" t="str">
            <v>Duplex</v>
          </cell>
          <cell r="BA406">
            <v>1</v>
          </cell>
          <cell r="BB406" t="str">
            <v>568 - Without Partition</v>
          </cell>
          <cell r="BC406" t="str">
            <v xml:space="preserve">Without Partition </v>
          </cell>
          <cell r="BD406" t="str">
            <v>Flat</v>
          </cell>
          <cell r="BE406" t="str">
            <v xml:space="preserve">Without Partition </v>
          </cell>
          <cell r="BF406" t="str">
            <v>GREEN</v>
          </cell>
          <cell r="BG406">
            <v>2500000</v>
          </cell>
          <cell r="BH406">
            <v>2650000</v>
          </cell>
          <cell r="BI406">
            <v>100000</v>
          </cell>
          <cell r="BJ406">
            <v>2550000</v>
          </cell>
          <cell r="BK406">
            <v>0</v>
          </cell>
          <cell r="BL406">
            <v>2550000</v>
          </cell>
        </row>
        <row r="407">
          <cell r="D407" t="str">
            <v>OS</v>
          </cell>
          <cell r="E407"/>
          <cell r="F407">
            <v>387</v>
          </cell>
          <cell r="G407" t="str">
            <v>CLOSED</v>
          </cell>
          <cell r="H407" t="str">
            <v>TS</v>
          </cell>
          <cell r="I407" t="str">
            <v>TS</v>
          </cell>
          <cell r="J407" t="str">
            <v>OS</v>
          </cell>
          <cell r="K407" t="str">
            <v>OS</v>
          </cell>
          <cell r="L407" t="str">
            <v>OS</v>
          </cell>
          <cell r="M407" t="str">
            <v>OS</v>
          </cell>
          <cell r="N407" t="str">
            <v>OS</v>
          </cell>
          <cell r="O407" t="str">
            <v>OS</v>
          </cell>
          <cell r="P407" t="str">
            <v>OS</v>
          </cell>
          <cell r="Q407" t="str">
            <v>OS</v>
          </cell>
          <cell r="R407" t="str">
            <v>OS</v>
          </cell>
          <cell r="S407" t="str">
            <v>OS</v>
          </cell>
          <cell r="T407" t="str">
            <v>OS</v>
          </cell>
          <cell r="U407" t="str">
            <v>OS</v>
          </cell>
          <cell r="V407" t="str">
            <v>OS</v>
          </cell>
          <cell r="W407" t="str">
            <v>OS</v>
          </cell>
          <cell r="X407" t="str">
            <v>OS</v>
          </cell>
          <cell r="Y407" t="str">
            <v>OS</v>
          </cell>
          <cell r="Z407" t="str">
            <v>OS</v>
          </cell>
          <cell r="AA407" t="str">
            <v>OS</v>
          </cell>
          <cell r="AB407" t="str">
            <v>OS</v>
          </cell>
          <cell r="AC407" t="str">
            <v>OS</v>
          </cell>
          <cell r="AD407" t="str">
            <v>AGM-01-023-024</v>
          </cell>
          <cell r="AE407" t="str">
            <v xml:space="preserve">Raemulan Lands, Inc. </v>
          </cell>
          <cell r="AF407" t="str">
            <v>Agapeya</v>
          </cell>
          <cell r="AG407" t="str">
            <v>AGM</v>
          </cell>
          <cell r="AH407" t="str">
            <v>Eco-High</v>
          </cell>
          <cell r="AI407" t="str">
            <v>West</v>
          </cell>
          <cell r="AJ407" t="str">
            <v>Without LTS</v>
          </cell>
          <cell r="AK407" t="str">
            <v>for conso</v>
          </cell>
          <cell r="AL407" t="str">
            <v>Unaffected lots</v>
          </cell>
          <cell r="AM407" t="b">
            <v>1</v>
          </cell>
          <cell r="AN407" t="str">
            <v>NO</v>
          </cell>
          <cell r="AO407" t="str">
            <v>B3 2025</v>
          </cell>
          <cell r="AP407" t="str">
            <v>12/58</v>
          </cell>
          <cell r="AQ407" t="str">
            <v>PCS-277865/PSD-04-276764</v>
          </cell>
          <cell r="AR407" t="b">
            <v>0</v>
          </cell>
          <cell r="AS407" t="str">
            <v>For Conso</v>
          </cell>
          <cell r="AT407" t="str">
            <v>2025 - Batch 5</v>
          </cell>
          <cell r="AU407">
            <v>23</v>
          </cell>
          <cell r="AV407">
            <v>24</v>
          </cell>
          <cell r="AW407" t="str">
            <v>H+L</v>
          </cell>
          <cell r="AX407">
            <v>70</v>
          </cell>
          <cell r="AY407">
            <v>50</v>
          </cell>
          <cell r="AZ407" t="str">
            <v>Duplex</v>
          </cell>
          <cell r="BA407">
            <v>1</v>
          </cell>
          <cell r="BB407" t="str">
            <v>568 - Without Partition</v>
          </cell>
          <cell r="BC407" t="str">
            <v xml:space="preserve">Without Partition </v>
          </cell>
          <cell r="BD407" t="str">
            <v>Slant</v>
          </cell>
          <cell r="BE407" t="str">
            <v xml:space="preserve">Without Partition </v>
          </cell>
          <cell r="BF407" t="str">
            <v>GREEN</v>
          </cell>
          <cell r="BG407">
            <v>2500000</v>
          </cell>
          <cell r="BH407">
            <v>2650000</v>
          </cell>
          <cell r="BI407">
            <v>100000</v>
          </cell>
          <cell r="BJ407">
            <v>2550000</v>
          </cell>
          <cell r="BK407">
            <v>0</v>
          </cell>
          <cell r="BL407">
            <v>2550000</v>
          </cell>
        </row>
        <row r="408">
          <cell r="D408" t="str">
            <v>OS</v>
          </cell>
          <cell r="E408"/>
          <cell r="F408">
            <v>388</v>
          </cell>
          <cell r="G408" t="str">
            <v>SOLD</v>
          </cell>
          <cell r="H408" t="str">
            <v>OS</v>
          </cell>
          <cell r="I408" t="str">
            <v>OS</v>
          </cell>
          <cell r="J408" t="str">
            <v>OS</v>
          </cell>
          <cell r="K408" t="str">
            <v>OS</v>
          </cell>
          <cell r="L408" t="str">
            <v>OS</v>
          </cell>
          <cell r="M408" t="str">
            <v>OS</v>
          </cell>
          <cell r="N408" t="str">
            <v>OS</v>
          </cell>
          <cell r="O408" t="str">
            <v>OS</v>
          </cell>
          <cell r="P408" t="str">
            <v>OS</v>
          </cell>
          <cell r="Q408" t="str">
            <v>OS</v>
          </cell>
          <cell r="R408" t="str">
            <v>OS</v>
          </cell>
          <cell r="S408" t="str">
            <v>OS</v>
          </cell>
          <cell r="T408" t="str">
            <v>OS</v>
          </cell>
          <cell r="U408" t="str">
            <v>OS</v>
          </cell>
          <cell r="V408" t="str">
            <v>OS</v>
          </cell>
          <cell r="W408" t="str">
            <v>OS</v>
          </cell>
          <cell r="X408" t="str">
            <v>OS</v>
          </cell>
          <cell r="Y408" t="str">
            <v>OS</v>
          </cell>
          <cell r="Z408" t="str">
            <v>OS</v>
          </cell>
          <cell r="AA408" t="str">
            <v>OS</v>
          </cell>
          <cell r="AB408" t="str">
            <v>OS</v>
          </cell>
          <cell r="AC408" t="str">
            <v>OS</v>
          </cell>
          <cell r="AD408" t="str">
            <v>AGM-01-023-025</v>
          </cell>
          <cell r="AE408" t="str">
            <v xml:space="preserve">Raemulan Lands, Inc. </v>
          </cell>
          <cell r="AF408" t="str">
            <v>Agapeya</v>
          </cell>
          <cell r="AG408" t="str">
            <v>AGM</v>
          </cell>
          <cell r="AH408" t="str">
            <v>Eco-High</v>
          </cell>
          <cell r="AI408" t="str">
            <v>West</v>
          </cell>
          <cell r="AJ408" t="str">
            <v>With LTS</v>
          </cell>
          <cell r="AK408" t="str">
            <v>Unaffected lots</v>
          </cell>
          <cell r="AL408" t="str">
            <v>Unaffected lots</v>
          </cell>
          <cell r="AM408" t="b">
            <v>1</v>
          </cell>
          <cell r="AN408" t="str">
            <v>YES</v>
          </cell>
          <cell r="AO408" t="str">
            <v>B3 2025</v>
          </cell>
          <cell r="AP408">
            <v>70</v>
          </cell>
          <cell r="AQ408" t="str">
            <v>PCS-04-276764</v>
          </cell>
          <cell r="AR408" t="b">
            <v>1</v>
          </cell>
          <cell r="AS408" t="str">
            <v>Done</v>
          </cell>
          <cell r="AT408" t="str">
            <v>2025 - Batch 4</v>
          </cell>
          <cell r="AU408">
            <v>23</v>
          </cell>
          <cell r="AV408">
            <v>25</v>
          </cell>
          <cell r="AW408" t="str">
            <v>H+L</v>
          </cell>
          <cell r="AX408">
            <v>70</v>
          </cell>
          <cell r="AY408">
            <v>50</v>
          </cell>
          <cell r="AZ408" t="str">
            <v>Duplex</v>
          </cell>
          <cell r="BA408">
            <v>1</v>
          </cell>
          <cell r="BB408" t="str">
            <v>568 - Without Partition</v>
          </cell>
          <cell r="BC408" t="str">
            <v xml:space="preserve">Without Partition </v>
          </cell>
          <cell r="BD408" t="str">
            <v>Slant</v>
          </cell>
          <cell r="BE408" t="str">
            <v xml:space="preserve">Without Partition </v>
          </cell>
          <cell r="BF408" t="str">
            <v>GREEN</v>
          </cell>
          <cell r="BG408">
            <v>2500000</v>
          </cell>
          <cell r="BH408">
            <v>2650000</v>
          </cell>
          <cell r="BI408">
            <v>100000</v>
          </cell>
          <cell r="BJ408">
            <v>2550000</v>
          </cell>
          <cell r="BK408">
            <v>0</v>
          </cell>
          <cell r="BL408">
            <v>2550000</v>
          </cell>
        </row>
        <row r="409">
          <cell r="D409" t="str">
            <v>OS</v>
          </cell>
          <cell r="E409"/>
          <cell r="F409">
            <v>389</v>
          </cell>
          <cell r="G409" t="str">
            <v>SOLD</v>
          </cell>
          <cell r="H409" t="str">
            <v>OS</v>
          </cell>
          <cell r="I409" t="str">
            <v>OS</v>
          </cell>
          <cell r="J409" t="str">
            <v>OS</v>
          </cell>
          <cell r="K409" t="str">
            <v>OS</v>
          </cell>
          <cell r="L409" t="str">
            <v>OS</v>
          </cell>
          <cell r="M409" t="str">
            <v>OS</v>
          </cell>
          <cell r="N409" t="str">
            <v>OS</v>
          </cell>
          <cell r="O409" t="str">
            <v>OS</v>
          </cell>
          <cell r="P409" t="str">
            <v>OS</v>
          </cell>
          <cell r="Q409" t="str">
            <v>OS</v>
          </cell>
          <cell r="R409" t="str">
            <v>OS</v>
          </cell>
          <cell r="S409" t="str">
            <v>OS</v>
          </cell>
          <cell r="T409" t="str">
            <v>OS</v>
          </cell>
          <cell r="U409" t="str">
            <v>OS</v>
          </cell>
          <cell r="V409" t="str">
            <v>OS</v>
          </cell>
          <cell r="W409" t="str">
            <v>OS</v>
          </cell>
          <cell r="X409" t="str">
            <v>OS</v>
          </cell>
          <cell r="Y409" t="str">
            <v>OS</v>
          </cell>
          <cell r="Z409" t="str">
            <v>OS</v>
          </cell>
          <cell r="AA409" t="str">
            <v>OS</v>
          </cell>
          <cell r="AB409" t="str">
            <v>OS</v>
          </cell>
          <cell r="AC409" t="str">
            <v>OS</v>
          </cell>
          <cell r="AD409" t="str">
            <v>AGM-01-023-026</v>
          </cell>
          <cell r="AE409" t="str">
            <v xml:space="preserve">Raemulan Lands, Inc. </v>
          </cell>
          <cell r="AF409" t="str">
            <v>Agapeya</v>
          </cell>
          <cell r="AG409" t="str">
            <v>AGM</v>
          </cell>
          <cell r="AH409" t="str">
            <v>Eco-High</v>
          </cell>
          <cell r="AI409" t="str">
            <v>West</v>
          </cell>
          <cell r="AJ409" t="str">
            <v>With LTS</v>
          </cell>
          <cell r="AK409" t="str">
            <v>Unaffected lots</v>
          </cell>
          <cell r="AL409" t="str">
            <v>Unaffected lots</v>
          </cell>
          <cell r="AM409" t="b">
            <v>1</v>
          </cell>
          <cell r="AN409" t="str">
            <v>YES</v>
          </cell>
          <cell r="AO409" t="str">
            <v>B3 2025</v>
          </cell>
          <cell r="AP409">
            <v>70</v>
          </cell>
          <cell r="AQ409" t="str">
            <v>PCS-04-276764</v>
          </cell>
          <cell r="AR409" t="b">
            <v>1</v>
          </cell>
          <cell r="AS409" t="str">
            <v>Done</v>
          </cell>
          <cell r="AT409" t="str">
            <v>2025 - Batch 4</v>
          </cell>
          <cell r="AU409">
            <v>23</v>
          </cell>
          <cell r="AV409">
            <v>26</v>
          </cell>
          <cell r="AW409" t="str">
            <v>H+L</v>
          </cell>
          <cell r="AX409">
            <v>70</v>
          </cell>
          <cell r="AY409">
            <v>50</v>
          </cell>
          <cell r="AZ409" t="str">
            <v>Duplex</v>
          </cell>
          <cell r="BA409">
            <v>1</v>
          </cell>
          <cell r="BB409" t="str">
            <v>568 - Without Partition</v>
          </cell>
          <cell r="BC409" t="str">
            <v xml:space="preserve">Without Partition </v>
          </cell>
          <cell r="BD409" t="str">
            <v>Flat</v>
          </cell>
          <cell r="BE409" t="str">
            <v xml:space="preserve">Without Partition </v>
          </cell>
          <cell r="BF409" t="str">
            <v>GREEN</v>
          </cell>
          <cell r="BG409">
            <v>2500000</v>
          </cell>
          <cell r="BH409">
            <v>2650000</v>
          </cell>
          <cell r="BI409">
            <v>100000</v>
          </cell>
          <cell r="BJ409">
            <v>2550000</v>
          </cell>
          <cell r="BK409">
            <v>0</v>
          </cell>
          <cell r="BL409">
            <v>2550000</v>
          </cell>
        </row>
        <row r="410">
          <cell r="D410" t="str">
            <v>OS</v>
          </cell>
          <cell r="E410"/>
          <cell r="F410">
            <v>390</v>
          </cell>
          <cell r="G410" t="str">
            <v>SOLD</v>
          </cell>
          <cell r="H410" t="str">
            <v>OS</v>
          </cell>
          <cell r="I410" t="str">
            <v>OS</v>
          </cell>
          <cell r="J410" t="str">
            <v>OS</v>
          </cell>
          <cell r="K410" t="str">
            <v>OS</v>
          </cell>
          <cell r="L410" t="str">
            <v>OS</v>
          </cell>
          <cell r="M410" t="str">
            <v>OS</v>
          </cell>
          <cell r="N410" t="str">
            <v>OS</v>
          </cell>
          <cell r="O410" t="str">
            <v>OS</v>
          </cell>
          <cell r="P410" t="str">
            <v>OS</v>
          </cell>
          <cell r="Q410" t="str">
            <v>OS</v>
          </cell>
          <cell r="R410" t="str">
            <v>OS</v>
          </cell>
          <cell r="S410" t="str">
            <v>OS</v>
          </cell>
          <cell r="T410" t="str">
            <v>OS</v>
          </cell>
          <cell r="U410" t="str">
            <v>OS</v>
          </cell>
          <cell r="V410" t="str">
            <v>OS</v>
          </cell>
          <cell r="W410" t="str">
            <v>OS</v>
          </cell>
          <cell r="X410" t="str">
            <v>OS</v>
          </cell>
          <cell r="Y410" t="str">
            <v>OS</v>
          </cell>
          <cell r="Z410" t="str">
            <v>OS</v>
          </cell>
          <cell r="AA410" t="str">
            <v>OS</v>
          </cell>
          <cell r="AB410" t="str">
            <v>OS</v>
          </cell>
          <cell r="AC410" t="str">
            <v>OS</v>
          </cell>
          <cell r="AD410" t="str">
            <v>AGM-01-023-027</v>
          </cell>
          <cell r="AE410" t="str">
            <v xml:space="preserve">Raemulan Lands, Inc. </v>
          </cell>
          <cell r="AF410" t="str">
            <v>Agapeya</v>
          </cell>
          <cell r="AG410" t="str">
            <v>AGM</v>
          </cell>
          <cell r="AH410" t="str">
            <v>Eco-High</v>
          </cell>
          <cell r="AI410" t="str">
            <v>West</v>
          </cell>
          <cell r="AJ410" t="str">
            <v>With LTS</v>
          </cell>
          <cell r="AK410" t="str">
            <v>Unaffected lots</v>
          </cell>
          <cell r="AL410" t="str">
            <v>Unaffected lots</v>
          </cell>
          <cell r="AM410" t="b">
            <v>1</v>
          </cell>
          <cell r="AN410" t="str">
            <v>YES</v>
          </cell>
          <cell r="AO410" t="str">
            <v>B3 2025</v>
          </cell>
          <cell r="AP410">
            <v>70</v>
          </cell>
          <cell r="AQ410" t="str">
            <v>PCS-04-276764</v>
          </cell>
          <cell r="AR410" t="b">
            <v>1</v>
          </cell>
          <cell r="AS410" t="str">
            <v>Done</v>
          </cell>
          <cell r="AT410" t="str">
            <v>2025 - Batch 4</v>
          </cell>
          <cell r="AU410">
            <v>23</v>
          </cell>
          <cell r="AV410">
            <v>27</v>
          </cell>
          <cell r="AW410" t="str">
            <v>H+L</v>
          </cell>
          <cell r="AX410">
            <v>70</v>
          </cell>
          <cell r="AY410">
            <v>50</v>
          </cell>
          <cell r="AZ410" t="str">
            <v>Duplex</v>
          </cell>
          <cell r="BA410">
            <v>1</v>
          </cell>
          <cell r="BB410" t="str">
            <v>568 - Without Partition</v>
          </cell>
          <cell r="BC410" t="str">
            <v xml:space="preserve">Without Partition </v>
          </cell>
          <cell r="BD410" t="str">
            <v>Flat</v>
          </cell>
          <cell r="BE410" t="str">
            <v xml:space="preserve">Without Partition </v>
          </cell>
          <cell r="BF410" t="str">
            <v>PURPLE</v>
          </cell>
          <cell r="BG410">
            <v>2500000</v>
          </cell>
          <cell r="BH410">
            <v>2650000</v>
          </cell>
          <cell r="BI410">
            <v>100000</v>
          </cell>
          <cell r="BJ410">
            <v>2550000</v>
          </cell>
          <cell r="BK410">
            <v>0</v>
          </cell>
          <cell r="BL410">
            <v>2550000</v>
          </cell>
        </row>
        <row r="411">
          <cell r="D411" t="str">
            <v>OS</v>
          </cell>
          <cell r="E411"/>
          <cell r="F411">
            <v>391</v>
          </cell>
          <cell r="G411" t="str">
            <v>SOLD</v>
          </cell>
          <cell r="H411" t="str">
            <v>OS</v>
          </cell>
          <cell r="I411" t="str">
            <v>OS</v>
          </cell>
          <cell r="J411" t="str">
            <v>OS</v>
          </cell>
          <cell r="K411" t="str">
            <v>OS</v>
          </cell>
          <cell r="L411" t="str">
            <v>OS</v>
          </cell>
          <cell r="M411" t="str">
            <v>OS</v>
          </cell>
          <cell r="N411" t="str">
            <v>OS</v>
          </cell>
          <cell r="O411" t="str">
            <v>OS</v>
          </cell>
          <cell r="P411" t="str">
            <v>OS</v>
          </cell>
          <cell r="Q411" t="str">
            <v>OS</v>
          </cell>
          <cell r="R411" t="str">
            <v>OS</v>
          </cell>
          <cell r="S411" t="str">
            <v>OS</v>
          </cell>
          <cell r="T411" t="str">
            <v>OS</v>
          </cell>
          <cell r="U411" t="str">
            <v>OS</v>
          </cell>
          <cell r="V411" t="str">
            <v>OS</v>
          </cell>
          <cell r="W411" t="str">
            <v>OS</v>
          </cell>
          <cell r="X411" t="str">
            <v>OS</v>
          </cell>
          <cell r="Y411" t="str">
            <v>OS</v>
          </cell>
          <cell r="Z411" t="str">
            <v>OS</v>
          </cell>
          <cell r="AA411" t="str">
            <v>OS</v>
          </cell>
          <cell r="AB411" t="str">
            <v>OS</v>
          </cell>
          <cell r="AC411" t="str">
            <v>OS</v>
          </cell>
          <cell r="AD411" t="str">
            <v>AGM-01-023-028</v>
          </cell>
          <cell r="AE411" t="str">
            <v xml:space="preserve">Raemulan Lands, Inc. </v>
          </cell>
          <cell r="AF411" t="str">
            <v>Agapeya</v>
          </cell>
          <cell r="AG411" t="str">
            <v>AGM</v>
          </cell>
          <cell r="AH411" t="str">
            <v>Eco-High</v>
          </cell>
          <cell r="AI411" t="str">
            <v>West</v>
          </cell>
          <cell r="AJ411" t="str">
            <v>With LTS</v>
          </cell>
          <cell r="AK411" t="str">
            <v>Unaffected lots</v>
          </cell>
          <cell r="AL411" t="str">
            <v>Unaffected lots</v>
          </cell>
          <cell r="AM411" t="b">
            <v>1</v>
          </cell>
          <cell r="AN411" t="str">
            <v>YES</v>
          </cell>
          <cell r="AO411" t="str">
            <v>B3 2025</v>
          </cell>
          <cell r="AP411">
            <v>70</v>
          </cell>
          <cell r="AQ411" t="str">
            <v>PCS-04-276764</v>
          </cell>
          <cell r="AR411" t="b">
            <v>1</v>
          </cell>
          <cell r="AS411" t="str">
            <v>Done</v>
          </cell>
          <cell r="AT411" t="str">
            <v>2025 - Batch 4</v>
          </cell>
          <cell r="AU411">
            <v>23</v>
          </cell>
          <cell r="AV411">
            <v>28</v>
          </cell>
          <cell r="AW411" t="str">
            <v>H+L</v>
          </cell>
          <cell r="AX411">
            <v>70</v>
          </cell>
          <cell r="AY411">
            <v>50</v>
          </cell>
          <cell r="AZ411" t="str">
            <v>Duplex</v>
          </cell>
          <cell r="BA411">
            <v>1</v>
          </cell>
          <cell r="BB411" t="str">
            <v>568 - Without Partition</v>
          </cell>
          <cell r="BC411" t="str">
            <v>With Partition</v>
          </cell>
          <cell r="BD411" t="str">
            <v>Slant</v>
          </cell>
          <cell r="BE411" t="str">
            <v>With Partition</v>
          </cell>
          <cell r="BF411" t="str">
            <v>PURPLE</v>
          </cell>
          <cell r="BG411">
            <v>2650000</v>
          </cell>
          <cell r="BH411">
            <v>2850000</v>
          </cell>
          <cell r="BI411">
            <v>100000</v>
          </cell>
          <cell r="BJ411">
            <v>2750000</v>
          </cell>
          <cell r="BK411">
            <v>0</v>
          </cell>
          <cell r="BL411">
            <v>2750000</v>
          </cell>
        </row>
        <row r="412">
          <cell r="D412" t="str">
            <v>OS</v>
          </cell>
          <cell r="E412"/>
          <cell r="F412">
            <v>392</v>
          </cell>
          <cell r="G412" t="str">
            <v>SOLD</v>
          </cell>
          <cell r="H412" t="str">
            <v>OS</v>
          </cell>
          <cell r="I412" t="str">
            <v>OS</v>
          </cell>
          <cell r="J412" t="str">
            <v>OS</v>
          </cell>
          <cell r="K412" t="str">
            <v>OS</v>
          </cell>
          <cell r="L412" t="str">
            <v>OS</v>
          </cell>
          <cell r="M412" t="str">
            <v>OS</v>
          </cell>
          <cell r="N412" t="str">
            <v>OS</v>
          </cell>
          <cell r="O412" t="str">
            <v>OS</v>
          </cell>
          <cell r="P412" t="str">
            <v>OS</v>
          </cell>
          <cell r="Q412" t="str">
            <v>OS</v>
          </cell>
          <cell r="R412" t="str">
            <v>OS</v>
          </cell>
          <cell r="S412" t="str">
            <v>OS</v>
          </cell>
          <cell r="T412" t="str">
            <v>OS</v>
          </cell>
          <cell r="U412" t="str">
            <v>OS</v>
          </cell>
          <cell r="V412" t="str">
            <v>OS</v>
          </cell>
          <cell r="W412" t="str">
            <v>OS</v>
          </cell>
          <cell r="X412" t="str">
            <v>OS</v>
          </cell>
          <cell r="Y412" t="str">
            <v>OS</v>
          </cell>
          <cell r="Z412" t="str">
            <v>OS</v>
          </cell>
          <cell r="AA412" t="str">
            <v>OS</v>
          </cell>
          <cell r="AB412" t="str">
            <v>OS</v>
          </cell>
          <cell r="AC412" t="str">
            <v>OS</v>
          </cell>
          <cell r="AD412" t="str">
            <v>AGM-01-023-029</v>
          </cell>
          <cell r="AE412" t="str">
            <v xml:space="preserve">Raemulan Lands, Inc. </v>
          </cell>
          <cell r="AF412" t="str">
            <v>Agapeya</v>
          </cell>
          <cell r="AG412" t="str">
            <v>AGM</v>
          </cell>
          <cell r="AH412" t="str">
            <v>Eco-High</v>
          </cell>
          <cell r="AI412" t="str">
            <v>West</v>
          </cell>
          <cell r="AJ412" t="str">
            <v>With LTS</v>
          </cell>
          <cell r="AK412" t="str">
            <v>Unaffected lots</v>
          </cell>
          <cell r="AL412" t="str">
            <v>Unaffected lots</v>
          </cell>
          <cell r="AM412" t="b">
            <v>1</v>
          </cell>
          <cell r="AN412" t="str">
            <v>YES</v>
          </cell>
          <cell r="AO412" t="str">
            <v>B3 2025</v>
          </cell>
          <cell r="AP412">
            <v>70</v>
          </cell>
          <cell r="AQ412" t="str">
            <v>PCS-04-276764</v>
          </cell>
          <cell r="AR412" t="b">
            <v>1</v>
          </cell>
          <cell r="AS412" t="str">
            <v>Done</v>
          </cell>
          <cell r="AT412" t="str">
            <v>2025 - Batch 4</v>
          </cell>
          <cell r="AU412">
            <v>23</v>
          </cell>
          <cell r="AV412">
            <v>29</v>
          </cell>
          <cell r="AW412" t="str">
            <v>H+L</v>
          </cell>
          <cell r="AX412">
            <v>70</v>
          </cell>
          <cell r="AY412">
            <v>50</v>
          </cell>
          <cell r="AZ412" t="str">
            <v>Duplex</v>
          </cell>
          <cell r="BA412">
            <v>1</v>
          </cell>
          <cell r="BB412" t="str">
            <v>568 - Without Partition</v>
          </cell>
          <cell r="BC412" t="str">
            <v xml:space="preserve">Without Partition </v>
          </cell>
          <cell r="BD412" t="str">
            <v>Slant</v>
          </cell>
          <cell r="BE412" t="str">
            <v xml:space="preserve">Without Partition </v>
          </cell>
          <cell r="BF412" t="str">
            <v>PURPLE</v>
          </cell>
          <cell r="BG412">
            <v>2500000</v>
          </cell>
          <cell r="BH412">
            <v>2650000</v>
          </cell>
          <cell r="BI412">
            <v>100000</v>
          </cell>
          <cell r="BJ412">
            <v>2550000</v>
          </cell>
          <cell r="BK412">
            <v>0</v>
          </cell>
          <cell r="BL412">
            <v>2550000</v>
          </cell>
        </row>
        <row r="413">
          <cell r="D413" t="str">
            <v>OS</v>
          </cell>
          <cell r="E413"/>
          <cell r="F413">
            <v>393</v>
          </cell>
          <cell r="G413" t="str">
            <v>SOLD</v>
          </cell>
          <cell r="H413" t="str">
            <v>OS</v>
          </cell>
          <cell r="I413" t="str">
            <v>OS</v>
          </cell>
          <cell r="J413" t="str">
            <v>OS</v>
          </cell>
          <cell r="K413" t="str">
            <v>OS</v>
          </cell>
          <cell r="L413" t="str">
            <v>OS</v>
          </cell>
          <cell r="M413" t="str">
            <v>OS</v>
          </cell>
          <cell r="N413" t="str">
            <v>OS</v>
          </cell>
          <cell r="O413" t="str">
            <v>OS</v>
          </cell>
          <cell r="P413" t="str">
            <v>OS</v>
          </cell>
          <cell r="Q413" t="str">
            <v>OS</v>
          </cell>
          <cell r="R413" t="str">
            <v>OS</v>
          </cell>
          <cell r="S413" t="str">
            <v>OS</v>
          </cell>
          <cell r="T413" t="str">
            <v>OS</v>
          </cell>
          <cell r="U413" t="str">
            <v>OS</v>
          </cell>
          <cell r="V413" t="str">
            <v>OS</v>
          </cell>
          <cell r="W413" t="str">
            <v>OS</v>
          </cell>
          <cell r="X413" t="str">
            <v>OS</v>
          </cell>
          <cell r="Y413" t="str">
            <v>OS</v>
          </cell>
          <cell r="Z413" t="str">
            <v>OS</v>
          </cell>
          <cell r="AA413" t="str">
            <v>OS</v>
          </cell>
          <cell r="AB413" t="str">
            <v>OS</v>
          </cell>
          <cell r="AC413" t="str">
            <v>OS</v>
          </cell>
          <cell r="AD413" t="str">
            <v>AGM-01-023-030</v>
          </cell>
          <cell r="AE413" t="str">
            <v xml:space="preserve">Raemulan Lands, Inc. </v>
          </cell>
          <cell r="AF413" t="str">
            <v>Agapeya</v>
          </cell>
          <cell r="AG413" t="str">
            <v>AGM</v>
          </cell>
          <cell r="AH413" t="str">
            <v>Eco-High</v>
          </cell>
          <cell r="AI413" t="str">
            <v>West</v>
          </cell>
          <cell r="AJ413" t="str">
            <v>With LTS</v>
          </cell>
          <cell r="AK413" t="str">
            <v>Unaffected lots</v>
          </cell>
          <cell r="AL413" t="str">
            <v>Unaffected lots</v>
          </cell>
          <cell r="AM413" t="b">
            <v>1</v>
          </cell>
          <cell r="AN413" t="str">
            <v>YES</v>
          </cell>
          <cell r="AO413" t="str">
            <v>B3 2025</v>
          </cell>
          <cell r="AP413">
            <v>81</v>
          </cell>
          <cell r="AQ413" t="str">
            <v>PCS-04-276764</v>
          </cell>
          <cell r="AR413" t="b">
            <v>1</v>
          </cell>
          <cell r="AS413" t="str">
            <v>Done</v>
          </cell>
          <cell r="AT413" t="str">
            <v>2025 - Batch 4</v>
          </cell>
          <cell r="AU413">
            <v>23</v>
          </cell>
          <cell r="AV413">
            <v>30</v>
          </cell>
          <cell r="AW413" t="str">
            <v>H+L</v>
          </cell>
          <cell r="AX413">
            <v>81</v>
          </cell>
          <cell r="AY413">
            <v>50</v>
          </cell>
          <cell r="AZ413" t="str">
            <v>Duplex</v>
          </cell>
          <cell r="BA413">
            <v>1</v>
          </cell>
          <cell r="BB413" t="str">
            <v>568 - Without Partition</v>
          </cell>
          <cell r="BC413" t="str">
            <v xml:space="preserve">Without Partition </v>
          </cell>
          <cell r="BD413" t="str">
            <v>Flat</v>
          </cell>
          <cell r="BE413" t="str">
            <v xml:space="preserve">Without Partition </v>
          </cell>
          <cell r="BF413" t="str">
            <v>PURPLE</v>
          </cell>
          <cell r="BG413">
            <v>2500000</v>
          </cell>
          <cell r="BH413">
            <v>2815000</v>
          </cell>
          <cell r="BI413">
            <v>100000</v>
          </cell>
          <cell r="BJ413">
            <v>2715000</v>
          </cell>
          <cell r="BK413">
            <v>0</v>
          </cell>
          <cell r="BL413">
            <v>2715000</v>
          </cell>
        </row>
        <row r="414">
          <cell r="D414" t="str">
            <v>OS</v>
          </cell>
          <cell r="E414"/>
          <cell r="F414">
            <v>394</v>
          </cell>
          <cell r="G414" t="str">
            <v>SOLD</v>
          </cell>
          <cell r="H414" t="str">
            <v>OS</v>
          </cell>
          <cell r="I414" t="str">
            <v>OS</v>
          </cell>
          <cell r="J414" t="str">
            <v>OS</v>
          </cell>
          <cell r="K414" t="str">
            <v>OS</v>
          </cell>
          <cell r="L414" t="str">
            <v>OS</v>
          </cell>
          <cell r="M414" t="str">
            <v>OS</v>
          </cell>
          <cell r="N414" t="str">
            <v>OS</v>
          </cell>
          <cell r="O414" t="str">
            <v>OS</v>
          </cell>
          <cell r="P414" t="str">
            <v>OS</v>
          </cell>
          <cell r="Q414" t="str">
            <v>OS</v>
          </cell>
          <cell r="R414" t="str">
            <v>OS</v>
          </cell>
          <cell r="S414" t="str">
            <v>OS</v>
          </cell>
          <cell r="T414" t="str">
            <v>OS</v>
          </cell>
          <cell r="U414" t="str">
            <v>OS</v>
          </cell>
          <cell r="V414" t="str">
            <v>OS</v>
          </cell>
          <cell r="W414" t="str">
            <v>OS</v>
          </cell>
          <cell r="X414" t="str">
            <v>OS</v>
          </cell>
          <cell r="Y414" t="str">
            <v>OS</v>
          </cell>
          <cell r="Z414" t="str">
            <v>OS</v>
          </cell>
          <cell r="AA414" t="str">
            <v>OS</v>
          </cell>
          <cell r="AB414" t="str">
            <v>OS</v>
          </cell>
          <cell r="AC414" t="str">
            <v>OS</v>
          </cell>
          <cell r="AD414" t="str">
            <v>AGM-01-023-031</v>
          </cell>
          <cell r="AE414" t="str">
            <v xml:space="preserve">Raemulan Lands, Inc. </v>
          </cell>
          <cell r="AF414" t="str">
            <v>Agapeya</v>
          </cell>
          <cell r="AG414" t="str">
            <v>AGM</v>
          </cell>
          <cell r="AH414" t="str">
            <v>Eco-High</v>
          </cell>
          <cell r="AI414" t="str">
            <v>West</v>
          </cell>
          <cell r="AJ414" t="str">
            <v>With LTS</v>
          </cell>
          <cell r="AK414" t="str">
            <v>Unaffected lots</v>
          </cell>
          <cell r="AL414" t="str">
            <v>Unaffected lots</v>
          </cell>
          <cell r="AM414" t="b">
            <v>1</v>
          </cell>
          <cell r="AN414" t="str">
            <v>YES</v>
          </cell>
          <cell r="AO414" t="str">
            <v>B4 2025</v>
          </cell>
          <cell r="AP414">
            <v>81</v>
          </cell>
          <cell r="AQ414" t="str">
            <v>PCS-04-276764</v>
          </cell>
          <cell r="AR414" t="b">
            <v>1</v>
          </cell>
          <cell r="AS414" t="str">
            <v>Done</v>
          </cell>
          <cell r="AT414" t="str">
            <v>2025 - Batch 2</v>
          </cell>
          <cell r="AU414">
            <v>23</v>
          </cell>
          <cell r="AV414">
            <v>31</v>
          </cell>
          <cell r="AW414" t="str">
            <v>H+L</v>
          </cell>
          <cell r="AX414">
            <v>81</v>
          </cell>
          <cell r="AY414">
            <v>50</v>
          </cell>
          <cell r="AZ414" t="str">
            <v>Duplex</v>
          </cell>
          <cell r="BA414">
            <v>1</v>
          </cell>
          <cell r="BB414" t="str">
            <v>568 - Without Partition</v>
          </cell>
          <cell r="BC414" t="str">
            <v xml:space="preserve">Without Partition </v>
          </cell>
          <cell r="BD414" t="str">
            <v>Slant</v>
          </cell>
          <cell r="BE414" t="str">
            <v xml:space="preserve">Without Partition </v>
          </cell>
          <cell r="BF414" t="str">
            <v>PINK</v>
          </cell>
          <cell r="BG414">
            <v>2715000</v>
          </cell>
          <cell r="BH414">
            <v>2815000</v>
          </cell>
          <cell r="BI414">
            <v>100000</v>
          </cell>
          <cell r="BJ414">
            <v>2715000</v>
          </cell>
          <cell r="BK414">
            <v>0</v>
          </cell>
          <cell r="BL414">
            <v>2715000</v>
          </cell>
        </row>
        <row r="415">
          <cell r="D415" t="str">
            <v>OS</v>
          </cell>
          <cell r="E415"/>
          <cell r="F415">
            <v>395</v>
          </cell>
          <cell r="G415" t="str">
            <v>SOLD</v>
          </cell>
          <cell r="H415" t="str">
            <v>OS</v>
          </cell>
          <cell r="I415" t="str">
            <v>OS</v>
          </cell>
          <cell r="J415" t="str">
            <v>OS</v>
          </cell>
          <cell r="K415" t="str">
            <v>OS</v>
          </cell>
          <cell r="L415" t="str">
            <v>OS</v>
          </cell>
          <cell r="M415" t="str">
            <v>OS</v>
          </cell>
          <cell r="N415" t="str">
            <v>OS</v>
          </cell>
          <cell r="O415" t="str">
            <v>OS</v>
          </cell>
          <cell r="P415" t="str">
            <v>OS</v>
          </cell>
          <cell r="Q415" t="str">
            <v>OS</v>
          </cell>
          <cell r="R415" t="str">
            <v>OS</v>
          </cell>
          <cell r="S415" t="str">
            <v>OS</v>
          </cell>
          <cell r="T415" t="str">
            <v>OS</v>
          </cell>
          <cell r="U415" t="str">
            <v>OS</v>
          </cell>
          <cell r="V415" t="str">
            <v>OS</v>
          </cell>
          <cell r="W415" t="str">
            <v>OS</v>
          </cell>
          <cell r="X415" t="str">
            <v>OS</v>
          </cell>
          <cell r="Y415" t="str">
            <v>OS</v>
          </cell>
          <cell r="Z415" t="str">
            <v>OS</v>
          </cell>
          <cell r="AA415" t="str">
            <v>OS</v>
          </cell>
          <cell r="AB415" t="str">
            <v>OS</v>
          </cell>
          <cell r="AC415" t="str">
            <v>OS</v>
          </cell>
          <cell r="AD415" t="str">
            <v>AGM-01-023-032</v>
          </cell>
          <cell r="AE415" t="str">
            <v xml:space="preserve">Raemulan Lands, Inc. </v>
          </cell>
          <cell r="AF415" t="str">
            <v>Agapeya</v>
          </cell>
          <cell r="AG415" t="str">
            <v>AGM</v>
          </cell>
          <cell r="AH415" t="str">
            <v>Eco-High</v>
          </cell>
          <cell r="AI415" t="str">
            <v>West</v>
          </cell>
          <cell r="AJ415" t="str">
            <v>With LTS</v>
          </cell>
          <cell r="AK415" t="str">
            <v>Unaffected lots</v>
          </cell>
          <cell r="AL415" t="str">
            <v>Unaffected lots</v>
          </cell>
          <cell r="AM415" t="b">
            <v>1</v>
          </cell>
          <cell r="AN415" t="str">
            <v>YES</v>
          </cell>
          <cell r="AO415" t="str">
            <v>B4 2025</v>
          </cell>
          <cell r="AP415">
            <v>70</v>
          </cell>
          <cell r="AQ415" t="str">
            <v>PCS-04-276764</v>
          </cell>
          <cell r="AR415" t="b">
            <v>1</v>
          </cell>
          <cell r="AS415" t="str">
            <v>Done</v>
          </cell>
          <cell r="AT415" t="str">
            <v>2025 - Batch 2</v>
          </cell>
          <cell r="AU415">
            <v>23</v>
          </cell>
          <cell r="AV415">
            <v>32</v>
          </cell>
          <cell r="AW415" t="str">
            <v>H+L</v>
          </cell>
          <cell r="AX415">
            <v>70</v>
          </cell>
          <cell r="AY415">
            <v>50</v>
          </cell>
          <cell r="AZ415" t="str">
            <v>Duplex</v>
          </cell>
          <cell r="BA415">
            <v>1</v>
          </cell>
          <cell r="BB415" t="str">
            <v>568 - Without Partition</v>
          </cell>
          <cell r="BC415" t="str">
            <v xml:space="preserve">Without Partition </v>
          </cell>
          <cell r="BD415" t="str">
            <v>Flat</v>
          </cell>
          <cell r="BE415" t="str">
            <v xml:space="preserve">Without Partition </v>
          </cell>
          <cell r="BF415" t="str">
            <v>PINK</v>
          </cell>
          <cell r="BG415">
            <v>2500000</v>
          </cell>
          <cell r="BH415">
            <v>2650000</v>
          </cell>
          <cell r="BI415">
            <v>100000</v>
          </cell>
          <cell r="BJ415">
            <v>2550000</v>
          </cell>
          <cell r="BK415">
            <v>0</v>
          </cell>
          <cell r="BL415">
            <v>2550000</v>
          </cell>
        </row>
        <row r="416">
          <cell r="D416" t="str">
            <v>OS</v>
          </cell>
          <cell r="E416"/>
          <cell r="F416">
            <v>396</v>
          </cell>
          <cell r="G416" t="str">
            <v>UNSOLD</v>
          </cell>
          <cell r="H416" t="str">
            <v>TS</v>
          </cell>
          <cell r="I416" t="str">
            <v>TS</v>
          </cell>
          <cell r="J416" t="str">
            <v>TS</v>
          </cell>
          <cell r="K416" t="str">
            <v>TS</v>
          </cell>
          <cell r="L416" t="str">
            <v>TS</v>
          </cell>
          <cell r="M416" t="str">
            <v>TS</v>
          </cell>
          <cell r="N416" t="str">
            <v>TS</v>
          </cell>
          <cell r="O416" t="str">
            <v>TS</v>
          </cell>
          <cell r="P416" t="str">
            <v>OS</v>
          </cell>
          <cell r="Q416" t="str">
            <v>OS</v>
          </cell>
          <cell r="R416" t="str">
            <v>OS</v>
          </cell>
          <cell r="S416" t="str">
            <v>OS</v>
          </cell>
          <cell r="T416" t="str">
            <v>OS</v>
          </cell>
          <cell r="U416" t="str">
            <v>OS</v>
          </cell>
          <cell r="V416" t="str">
            <v>OS</v>
          </cell>
          <cell r="W416" t="str">
            <v>OS</v>
          </cell>
          <cell r="X416" t="str">
            <v>OS</v>
          </cell>
          <cell r="Y416" t="str">
            <v>OS</v>
          </cell>
          <cell r="Z416" t="str">
            <v>OS</v>
          </cell>
          <cell r="AA416" t="str">
            <v>OS</v>
          </cell>
          <cell r="AB416" t="str">
            <v>OS</v>
          </cell>
          <cell r="AC416" t="str">
            <v>OS</v>
          </cell>
          <cell r="AD416" t="str">
            <v>AGM-01-023-033</v>
          </cell>
          <cell r="AE416" t="str">
            <v xml:space="preserve">Raemulan Lands, Inc. </v>
          </cell>
          <cell r="AF416" t="str">
            <v>Agapeya</v>
          </cell>
          <cell r="AG416" t="str">
            <v>AGM</v>
          </cell>
          <cell r="AH416" t="str">
            <v>Eco-High</v>
          </cell>
          <cell r="AI416" t="str">
            <v>West</v>
          </cell>
          <cell r="AJ416" t="str">
            <v>With LTS</v>
          </cell>
          <cell r="AK416" t="str">
            <v>Unaffected lots</v>
          </cell>
          <cell r="AL416" t="str">
            <v>Unaffected lots</v>
          </cell>
          <cell r="AM416" t="b">
            <v>1</v>
          </cell>
          <cell r="AN416" t="str">
            <v>YES</v>
          </cell>
          <cell r="AO416" t="str">
            <v>B4 2025</v>
          </cell>
          <cell r="AP416">
            <v>70</v>
          </cell>
          <cell r="AQ416" t="str">
            <v>PCS-04-276764</v>
          </cell>
          <cell r="AR416" t="b">
            <v>1</v>
          </cell>
          <cell r="AS416" t="str">
            <v>Done</v>
          </cell>
          <cell r="AT416" t="str">
            <v>2025 - Batch 2</v>
          </cell>
          <cell r="AU416">
            <v>23</v>
          </cell>
          <cell r="AV416">
            <v>33</v>
          </cell>
          <cell r="AW416" t="str">
            <v>H+L</v>
          </cell>
          <cell r="AX416">
            <v>70</v>
          </cell>
          <cell r="AY416">
            <v>50</v>
          </cell>
          <cell r="AZ416" t="str">
            <v>Duplex</v>
          </cell>
          <cell r="BA416">
            <v>1</v>
          </cell>
          <cell r="BB416" t="str">
            <v>568 - Without Partition</v>
          </cell>
          <cell r="BC416" t="str">
            <v xml:space="preserve">Without Partition </v>
          </cell>
          <cell r="BD416" t="str">
            <v>Flat</v>
          </cell>
          <cell r="BE416" t="str">
            <v xml:space="preserve">Without Partition </v>
          </cell>
          <cell r="BF416" t="str">
            <v>PINK</v>
          </cell>
          <cell r="BG416">
            <v>2500000</v>
          </cell>
          <cell r="BH416">
            <v>2650000</v>
          </cell>
          <cell r="BI416">
            <v>100000</v>
          </cell>
          <cell r="BJ416">
            <v>2550000</v>
          </cell>
          <cell r="BK416">
            <v>0</v>
          </cell>
          <cell r="BL416">
            <v>2550000</v>
          </cell>
        </row>
        <row r="417">
          <cell r="D417" t="str">
            <v>OS</v>
          </cell>
          <cell r="E417"/>
          <cell r="F417">
            <v>397</v>
          </cell>
          <cell r="G417" t="str">
            <v>SOLD</v>
          </cell>
          <cell r="H417" t="str">
            <v>OS</v>
          </cell>
          <cell r="I417" t="str">
            <v>OS</v>
          </cell>
          <cell r="J417" t="str">
            <v>OS</v>
          </cell>
          <cell r="K417" t="str">
            <v>OS</v>
          </cell>
          <cell r="L417" t="str">
            <v>OS</v>
          </cell>
          <cell r="M417" t="str">
            <v>OS</v>
          </cell>
          <cell r="N417" t="str">
            <v>OS</v>
          </cell>
          <cell r="O417" t="str">
            <v>OS</v>
          </cell>
          <cell r="P417" t="str">
            <v>OS</v>
          </cell>
          <cell r="Q417" t="str">
            <v>OS</v>
          </cell>
          <cell r="R417" t="str">
            <v>OS</v>
          </cell>
          <cell r="S417" t="str">
            <v>OS</v>
          </cell>
          <cell r="T417" t="str">
            <v>OS</v>
          </cell>
          <cell r="U417" t="str">
            <v>OS</v>
          </cell>
          <cell r="V417" t="str">
            <v>OS</v>
          </cell>
          <cell r="W417" t="str">
            <v>OS</v>
          </cell>
          <cell r="X417" t="str">
            <v>OS</v>
          </cell>
          <cell r="Y417" t="str">
            <v>OS</v>
          </cell>
          <cell r="Z417" t="str">
            <v>OS</v>
          </cell>
          <cell r="AA417" t="str">
            <v>OS</v>
          </cell>
          <cell r="AB417" t="str">
            <v>OS</v>
          </cell>
          <cell r="AC417" t="str">
            <v>OS</v>
          </cell>
          <cell r="AD417" t="str">
            <v>AGM-01-023-034</v>
          </cell>
          <cell r="AE417" t="str">
            <v xml:space="preserve">Raemulan Lands, Inc. </v>
          </cell>
          <cell r="AF417" t="str">
            <v>Agapeya</v>
          </cell>
          <cell r="AG417" t="str">
            <v>AGM</v>
          </cell>
          <cell r="AH417" t="str">
            <v>Eco-High</v>
          </cell>
          <cell r="AI417" t="str">
            <v>West</v>
          </cell>
          <cell r="AJ417" t="str">
            <v>With LTS</v>
          </cell>
          <cell r="AK417" t="str">
            <v>Unaffected lots</v>
          </cell>
          <cell r="AL417" t="str">
            <v>Unaffected lots</v>
          </cell>
          <cell r="AM417" t="b">
            <v>1</v>
          </cell>
          <cell r="AN417" t="str">
            <v>YES</v>
          </cell>
          <cell r="AO417" t="str">
            <v>B4 2025</v>
          </cell>
          <cell r="AP417">
            <v>70</v>
          </cell>
          <cell r="AQ417" t="str">
            <v>PCS-04-276764</v>
          </cell>
          <cell r="AR417" t="b">
            <v>1</v>
          </cell>
          <cell r="AS417" t="str">
            <v>Done</v>
          </cell>
          <cell r="AT417" t="str">
            <v>2025 - Batch 2</v>
          </cell>
          <cell r="AU417">
            <v>23</v>
          </cell>
          <cell r="AV417">
            <v>34</v>
          </cell>
          <cell r="AW417" t="str">
            <v>H+L</v>
          </cell>
          <cell r="AX417">
            <v>70</v>
          </cell>
          <cell r="AY417">
            <v>50</v>
          </cell>
          <cell r="AZ417" t="str">
            <v>Duplex</v>
          </cell>
          <cell r="BA417">
            <v>1</v>
          </cell>
          <cell r="BB417" t="str">
            <v>568 - Without Partition</v>
          </cell>
          <cell r="BC417" t="str">
            <v xml:space="preserve">Without Partition </v>
          </cell>
          <cell r="BD417" t="str">
            <v>Slant</v>
          </cell>
          <cell r="BE417" t="str">
            <v xml:space="preserve">Without Partition </v>
          </cell>
          <cell r="BF417" t="str">
            <v>PINK</v>
          </cell>
          <cell r="BG417">
            <v>2500000</v>
          </cell>
          <cell r="BH417">
            <v>2650000</v>
          </cell>
          <cell r="BI417">
            <v>100000</v>
          </cell>
          <cell r="BJ417">
            <v>2550000</v>
          </cell>
          <cell r="BK417">
            <v>0</v>
          </cell>
          <cell r="BL417">
            <v>2550000</v>
          </cell>
        </row>
        <row r="418">
          <cell r="D418" t="str">
            <v>OS</v>
          </cell>
          <cell r="E418"/>
          <cell r="F418">
            <v>398</v>
          </cell>
          <cell r="G418" t="str">
            <v>SOLD</v>
          </cell>
          <cell r="H418" t="str">
            <v>OS</v>
          </cell>
          <cell r="I418" t="str">
            <v>OS</v>
          </cell>
          <cell r="J418" t="str">
            <v>OS</v>
          </cell>
          <cell r="K418" t="str">
            <v>OS</v>
          </cell>
          <cell r="L418" t="str">
            <v>OS</v>
          </cell>
          <cell r="M418" t="str">
            <v>OS</v>
          </cell>
          <cell r="N418" t="str">
            <v>OS</v>
          </cell>
          <cell r="O418" t="str">
            <v>OS</v>
          </cell>
          <cell r="P418" t="str">
            <v>OS</v>
          </cell>
          <cell r="Q418" t="str">
            <v>OS</v>
          </cell>
          <cell r="R418" t="str">
            <v>OS</v>
          </cell>
          <cell r="S418" t="str">
            <v>OS</v>
          </cell>
          <cell r="T418" t="str">
            <v>OS</v>
          </cell>
          <cell r="U418" t="str">
            <v>OS</v>
          </cell>
          <cell r="V418" t="str">
            <v>OS</v>
          </cell>
          <cell r="W418" t="str">
            <v>OS</v>
          </cell>
          <cell r="X418" t="str">
            <v>OS</v>
          </cell>
          <cell r="Y418" t="str">
            <v>OS</v>
          </cell>
          <cell r="Z418" t="str">
            <v>OS</v>
          </cell>
          <cell r="AA418" t="str">
            <v>OS</v>
          </cell>
          <cell r="AB418" t="str">
            <v>OS</v>
          </cell>
          <cell r="AC418" t="str">
            <v>OS</v>
          </cell>
          <cell r="AD418" t="str">
            <v>AGM-01-023-035</v>
          </cell>
          <cell r="AE418" t="str">
            <v xml:space="preserve">Raemulan Lands, Inc. </v>
          </cell>
          <cell r="AF418" t="str">
            <v>Agapeya</v>
          </cell>
          <cell r="AG418" t="str">
            <v>AGM</v>
          </cell>
          <cell r="AH418" t="str">
            <v>Eco-High</v>
          </cell>
          <cell r="AI418" t="str">
            <v>West</v>
          </cell>
          <cell r="AJ418" t="str">
            <v>With LTS</v>
          </cell>
          <cell r="AK418" t="str">
            <v>Unaffected lots</v>
          </cell>
          <cell r="AL418" t="str">
            <v>Unaffected lots</v>
          </cell>
          <cell r="AM418" t="b">
            <v>1</v>
          </cell>
          <cell r="AN418" t="str">
            <v>YES</v>
          </cell>
          <cell r="AO418" t="str">
            <v>B4 2025</v>
          </cell>
          <cell r="AP418">
            <v>70</v>
          </cell>
          <cell r="AQ418" t="str">
            <v>PCS-04-276764</v>
          </cell>
          <cell r="AR418" t="b">
            <v>1</v>
          </cell>
          <cell r="AS418" t="str">
            <v>Done</v>
          </cell>
          <cell r="AT418" t="str">
            <v>2025 - Batch 2</v>
          </cell>
          <cell r="AU418">
            <v>23</v>
          </cell>
          <cell r="AV418">
            <v>35</v>
          </cell>
          <cell r="AW418" t="str">
            <v>H+L</v>
          </cell>
          <cell r="AX418">
            <v>70</v>
          </cell>
          <cell r="AY418">
            <v>50</v>
          </cell>
          <cell r="AZ418" t="str">
            <v>Duplex</v>
          </cell>
          <cell r="BA418">
            <v>1</v>
          </cell>
          <cell r="BB418" t="str">
            <v>568 - Without Partition</v>
          </cell>
          <cell r="BC418" t="str">
            <v xml:space="preserve">Without Partition </v>
          </cell>
          <cell r="BD418" t="str">
            <v>Slant</v>
          </cell>
          <cell r="BE418" t="str">
            <v xml:space="preserve">Without Partition </v>
          </cell>
          <cell r="BF418" t="str">
            <v>PURPLE</v>
          </cell>
          <cell r="BG418">
            <v>2500000</v>
          </cell>
          <cell r="BH418">
            <v>2650000</v>
          </cell>
          <cell r="BI418">
            <v>100000</v>
          </cell>
          <cell r="BJ418">
            <v>2550000</v>
          </cell>
          <cell r="BK418">
            <v>0</v>
          </cell>
          <cell r="BL418">
            <v>2550000</v>
          </cell>
        </row>
        <row r="419">
          <cell r="D419" t="str">
            <v>OS</v>
          </cell>
          <cell r="E419"/>
          <cell r="F419">
            <v>399</v>
          </cell>
          <cell r="G419" t="str">
            <v>SOLD</v>
          </cell>
          <cell r="H419" t="str">
            <v>OS</v>
          </cell>
          <cell r="I419" t="str">
            <v>OS</v>
          </cell>
          <cell r="J419" t="str">
            <v>OS</v>
          </cell>
          <cell r="K419" t="str">
            <v>OS</v>
          </cell>
          <cell r="L419" t="str">
            <v>OS</v>
          </cell>
          <cell r="M419" t="str">
            <v>OS</v>
          </cell>
          <cell r="N419" t="str">
            <v>OS</v>
          </cell>
          <cell r="O419" t="str">
            <v>OS</v>
          </cell>
          <cell r="P419" t="str">
            <v>OS</v>
          </cell>
          <cell r="Q419" t="str">
            <v>OS</v>
          </cell>
          <cell r="R419" t="str">
            <v>OS</v>
          </cell>
          <cell r="S419" t="str">
            <v>OS</v>
          </cell>
          <cell r="T419" t="str">
            <v>OS</v>
          </cell>
          <cell r="U419" t="str">
            <v>OS</v>
          </cell>
          <cell r="V419" t="str">
            <v>OS</v>
          </cell>
          <cell r="W419" t="str">
            <v>OS</v>
          </cell>
          <cell r="X419" t="str">
            <v>OS</v>
          </cell>
          <cell r="Y419" t="str">
            <v>OS</v>
          </cell>
          <cell r="Z419" t="str">
            <v>OS</v>
          </cell>
          <cell r="AA419" t="str">
            <v>OS</v>
          </cell>
          <cell r="AB419" t="str">
            <v>OS</v>
          </cell>
          <cell r="AC419" t="str">
            <v>OS</v>
          </cell>
          <cell r="AD419" t="str">
            <v>AGM-01-023-036</v>
          </cell>
          <cell r="AE419" t="str">
            <v xml:space="preserve">Raemulan Lands, Inc. </v>
          </cell>
          <cell r="AF419" t="str">
            <v>Agapeya</v>
          </cell>
          <cell r="AG419" t="str">
            <v>AGM</v>
          </cell>
          <cell r="AH419" t="str">
            <v>Eco-High</v>
          </cell>
          <cell r="AI419" t="str">
            <v>West</v>
          </cell>
          <cell r="AJ419" t="str">
            <v>With LTS</v>
          </cell>
          <cell r="AK419" t="str">
            <v>Unaffected lots</v>
          </cell>
          <cell r="AL419" t="str">
            <v>Unaffected lots</v>
          </cell>
          <cell r="AM419" t="b">
            <v>1</v>
          </cell>
          <cell r="AN419" t="str">
            <v>YES</v>
          </cell>
          <cell r="AO419" t="str">
            <v>B4 2025</v>
          </cell>
          <cell r="AP419">
            <v>70</v>
          </cell>
          <cell r="AQ419" t="str">
            <v>PCS-04-276764</v>
          </cell>
          <cell r="AR419" t="b">
            <v>1</v>
          </cell>
          <cell r="AS419" t="str">
            <v>Done</v>
          </cell>
          <cell r="AT419" t="str">
            <v>2025 - Batch 2</v>
          </cell>
          <cell r="AU419">
            <v>23</v>
          </cell>
          <cell r="AV419">
            <v>36</v>
          </cell>
          <cell r="AW419" t="str">
            <v>H+L</v>
          </cell>
          <cell r="AX419">
            <v>70</v>
          </cell>
          <cell r="AY419">
            <v>50</v>
          </cell>
          <cell r="AZ419" t="str">
            <v>Duplex</v>
          </cell>
          <cell r="BA419">
            <v>1</v>
          </cell>
          <cell r="BB419" t="str">
            <v>568 - Without Partition</v>
          </cell>
          <cell r="BC419" t="str">
            <v xml:space="preserve">Without Partition </v>
          </cell>
          <cell r="BD419" t="str">
            <v>Flat</v>
          </cell>
          <cell r="BE419" t="str">
            <v xml:space="preserve">Without Partition </v>
          </cell>
          <cell r="BF419" t="str">
            <v>PURPLE</v>
          </cell>
          <cell r="BG419">
            <v>2500000</v>
          </cell>
          <cell r="BH419">
            <v>2650000</v>
          </cell>
          <cell r="BI419">
            <v>100000</v>
          </cell>
          <cell r="BJ419">
            <v>2550000</v>
          </cell>
          <cell r="BK419">
            <v>0</v>
          </cell>
          <cell r="BL419">
            <v>2550000</v>
          </cell>
        </row>
        <row r="420">
          <cell r="D420" t="str">
            <v>OS</v>
          </cell>
          <cell r="E420"/>
          <cell r="F420">
            <v>400</v>
          </cell>
          <cell r="G420" t="str">
            <v>SOLD</v>
          </cell>
          <cell r="H420" t="str">
            <v>OS</v>
          </cell>
          <cell r="I420" t="str">
            <v>OS</v>
          </cell>
          <cell r="J420" t="str">
            <v>OS</v>
          </cell>
          <cell r="K420" t="str">
            <v>OS</v>
          </cell>
          <cell r="L420" t="str">
            <v>OS</v>
          </cell>
          <cell r="M420" t="str">
            <v>OS</v>
          </cell>
          <cell r="N420" t="str">
            <v>OS</v>
          </cell>
          <cell r="O420" t="str">
            <v>OS</v>
          </cell>
          <cell r="P420" t="str">
            <v>OS</v>
          </cell>
          <cell r="Q420" t="str">
            <v>OS</v>
          </cell>
          <cell r="R420" t="str">
            <v>OS</v>
          </cell>
          <cell r="S420" t="str">
            <v>OS</v>
          </cell>
          <cell r="T420" t="str">
            <v>OS</v>
          </cell>
          <cell r="U420" t="str">
            <v>OS</v>
          </cell>
          <cell r="V420" t="str">
            <v>OS</v>
          </cell>
          <cell r="W420" t="str">
            <v>OS</v>
          </cell>
          <cell r="X420" t="str">
            <v>OS</v>
          </cell>
          <cell r="Y420" t="str">
            <v>OS</v>
          </cell>
          <cell r="Z420" t="str">
            <v>OS</v>
          </cell>
          <cell r="AA420" t="str">
            <v>OS</v>
          </cell>
          <cell r="AB420" t="str">
            <v>OS</v>
          </cell>
          <cell r="AC420" t="str">
            <v>OS</v>
          </cell>
          <cell r="AD420" t="str">
            <v>AGM-01-023-037</v>
          </cell>
          <cell r="AE420" t="str">
            <v xml:space="preserve">Raemulan Lands, Inc. </v>
          </cell>
          <cell r="AF420" t="str">
            <v>Agapeya</v>
          </cell>
          <cell r="AG420" t="str">
            <v>AGM</v>
          </cell>
          <cell r="AH420" t="str">
            <v>Eco-High</v>
          </cell>
          <cell r="AI420" t="str">
            <v>West</v>
          </cell>
          <cell r="AJ420" t="str">
            <v>With LTS</v>
          </cell>
          <cell r="AK420" t="str">
            <v>Unaffected lots</v>
          </cell>
          <cell r="AL420" t="str">
            <v>Unaffected lots</v>
          </cell>
          <cell r="AM420" t="b">
            <v>1</v>
          </cell>
          <cell r="AN420" t="str">
            <v>YES</v>
          </cell>
          <cell r="AO420" t="str">
            <v>B4 2025</v>
          </cell>
          <cell r="AP420">
            <v>70</v>
          </cell>
          <cell r="AQ420" t="str">
            <v>PCS-04-276764</v>
          </cell>
          <cell r="AR420" t="b">
            <v>1</v>
          </cell>
          <cell r="AS420" t="str">
            <v>Done</v>
          </cell>
          <cell r="AT420" t="str">
            <v>2025 - Batch 3</v>
          </cell>
          <cell r="AU420">
            <v>23</v>
          </cell>
          <cell r="AV420">
            <v>37</v>
          </cell>
          <cell r="AW420" t="str">
            <v>H+L</v>
          </cell>
          <cell r="AX420">
            <v>70</v>
          </cell>
          <cell r="AY420">
            <v>50</v>
          </cell>
          <cell r="AZ420" t="str">
            <v>Duplex</v>
          </cell>
          <cell r="BA420">
            <v>1</v>
          </cell>
          <cell r="BB420" t="str">
            <v>568 - Without Partition</v>
          </cell>
          <cell r="BC420" t="str">
            <v xml:space="preserve">Without Partition </v>
          </cell>
          <cell r="BD420" t="str">
            <v>Flat</v>
          </cell>
          <cell r="BE420" t="str">
            <v xml:space="preserve">Without Partition </v>
          </cell>
          <cell r="BF420" t="str">
            <v>PURPLE</v>
          </cell>
          <cell r="BG420">
            <v>2500000</v>
          </cell>
          <cell r="BH420">
            <v>2650000</v>
          </cell>
          <cell r="BI420">
            <v>100000</v>
          </cell>
          <cell r="BJ420">
            <v>2550000</v>
          </cell>
          <cell r="BK420">
            <v>0</v>
          </cell>
          <cell r="BL420">
            <v>2550000</v>
          </cell>
        </row>
        <row r="421">
          <cell r="D421" t="str">
            <v>OS</v>
          </cell>
          <cell r="E421"/>
          <cell r="F421">
            <v>401</v>
          </cell>
          <cell r="G421" t="str">
            <v>UNSOLD</v>
          </cell>
          <cell r="H421" t="str">
            <v>TS</v>
          </cell>
          <cell r="I421" t="str">
            <v>TS</v>
          </cell>
          <cell r="J421" t="str">
            <v>OS</v>
          </cell>
          <cell r="K421" t="str">
            <v>OS</v>
          </cell>
          <cell r="L421" t="str">
            <v>OS</v>
          </cell>
          <cell r="M421" t="str">
            <v>OS</v>
          </cell>
          <cell r="N421" t="str">
            <v>OS</v>
          </cell>
          <cell r="O421" t="str">
            <v>OS</v>
          </cell>
          <cell r="P421" t="str">
            <v>OS</v>
          </cell>
          <cell r="Q421" t="str">
            <v>OS</v>
          </cell>
          <cell r="R421" t="str">
            <v>OS</v>
          </cell>
          <cell r="S421" t="str">
            <v>OS</v>
          </cell>
          <cell r="T421" t="str">
            <v>OS</v>
          </cell>
          <cell r="U421" t="str">
            <v>OS</v>
          </cell>
          <cell r="V421" t="str">
            <v>OS</v>
          </cell>
          <cell r="W421" t="str">
            <v>OS</v>
          </cell>
          <cell r="X421" t="str">
            <v>OS</v>
          </cell>
          <cell r="Y421" t="str">
            <v>OS</v>
          </cell>
          <cell r="Z421" t="str">
            <v>OS</v>
          </cell>
          <cell r="AA421" t="str">
            <v>OS</v>
          </cell>
          <cell r="AB421" t="str">
            <v>OS</v>
          </cell>
          <cell r="AC421" t="str">
            <v>OS</v>
          </cell>
          <cell r="AD421" t="str">
            <v>AGM-01-023-038</v>
          </cell>
          <cell r="AE421" t="str">
            <v xml:space="preserve">Raemulan Lands, Inc. </v>
          </cell>
          <cell r="AF421" t="str">
            <v>Agapeya</v>
          </cell>
          <cell r="AG421" t="str">
            <v>AGM</v>
          </cell>
          <cell r="AH421" t="str">
            <v>Eco-High</v>
          </cell>
          <cell r="AI421" t="str">
            <v>West</v>
          </cell>
          <cell r="AJ421" t="str">
            <v>Without LTS</v>
          </cell>
          <cell r="AK421" t="str">
            <v>for conso</v>
          </cell>
          <cell r="AL421" t="str">
            <v>Unaffected lots</v>
          </cell>
          <cell r="AM421" t="b">
            <v>1</v>
          </cell>
          <cell r="AN421" t="str">
            <v>NO</v>
          </cell>
          <cell r="AO421" t="str">
            <v>B4 2025</v>
          </cell>
          <cell r="AP421" t="str">
            <v>62/8</v>
          </cell>
          <cell r="AQ421" t="str">
            <v>PCS-277865/PSD-04-276764</v>
          </cell>
          <cell r="AR421" t="b">
            <v>0</v>
          </cell>
          <cell r="AS421" t="str">
            <v>For Conso</v>
          </cell>
          <cell r="AT421" t="str">
            <v>2025 - Batch 3</v>
          </cell>
          <cell r="AU421">
            <v>23</v>
          </cell>
          <cell r="AV421">
            <v>38</v>
          </cell>
          <cell r="AW421" t="str">
            <v>H+L</v>
          </cell>
          <cell r="AX421">
            <v>70</v>
          </cell>
          <cell r="AY421">
            <v>50</v>
          </cell>
          <cell r="AZ421" t="str">
            <v>Duplex</v>
          </cell>
          <cell r="BA421">
            <v>1</v>
          </cell>
          <cell r="BB421" t="str">
            <v>568 - Without Partition</v>
          </cell>
          <cell r="BC421" t="str">
            <v xml:space="preserve">Without Partition </v>
          </cell>
          <cell r="BD421" t="str">
            <v>Slant</v>
          </cell>
          <cell r="BE421" t="str">
            <v xml:space="preserve">Without Partition </v>
          </cell>
          <cell r="BF421" t="str">
            <v>PURPLE</v>
          </cell>
          <cell r="BG421">
            <v>2500000</v>
          </cell>
          <cell r="BH421">
            <v>2650000</v>
          </cell>
          <cell r="BI421">
            <v>100000</v>
          </cell>
          <cell r="BJ421">
            <v>2550000</v>
          </cell>
          <cell r="BK421">
            <v>0</v>
          </cell>
          <cell r="BL421">
            <v>2550000</v>
          </cell>
        </row>
        <row r="422">
          <cell r="D422" t="str">
            <v>OS</v>
          </cell>
          <cell r="E422"/>
          <cell r="F422">
            <v>402</v>
          </cell>
          <cell r="G422" t="str">
            <v>UNSOLD</v>
          </cell>
          <cell r="H422" t="str">
            <v>OS</v>
          </cell>
          <cell r="I422" t="str">
            <v>OS</v>
          </cell>
          <cell r="J422" t="str">
            <v>OS</v>
          </cell>
          <cell r="K422" t="str">
            <v>OS</v>
          </cell>
          <cell r="L422" t="str">
            <v>OS</v>
          </cell>
          <cell r="M422" t="str">
            <v>OS</v>
          </cell>
          <cell r="N422" t="str">
            <v>OS</v>
          </cell>
          <cell r="O422" t="str">
            <v>OS</v>
          </cell>
          <cell r="P422" t="str">
            <v>OS</v>
          </cell>
          <cell r="Q422" t="str">
            <v>OS</v>
          </cell>
          <cell r="R422" t="str">
            <v>OS</v>
          </cell>
          <cell r="S422" t="str">
            <v>OS</v>
          </cell>
          <cell r="T422" t="str">
            <v>OS</v>
          </cell>
          <cell r="U422" t="str">
            <v>OS</v>
          </cell>
          <cell r="V422" t="str">
            <v>OS</v>
          </cell>
          <cell r="W422" t="str">
            <v>OS</v>
          </cell>
          <cell r="X422" t="str">
            <v>OS</v>
          </cell>
          <cell r="Y422" t="str">
            <v>OS</v>
          </cell>
          <cell r="Z422" t="str">
            <v>OS</v>
          </cell>
          <cell r="AA422" t="str">
            <v>OS</v>
          </cell>
          <cell r="AB422" t="str">
            <v>OS</v>
          </cell>
          <cell r="AC422" t="str">
            <v>OS</v>
          </cell>
          <cell r="AD422" t="str">
            <v>AGM-01-023-039</v>
          </cell>
          <cell r="AE422" t="str">
            <v xml:space="preserve">Raemulan Lands, Inc. </v>
          </cell>
          <cell r="AF422" t="str">
            <v>Agapeya</v>
          </cell>
          <cell r="AG422" t="str">
            <v>AGM</v>
          </cell>
          <cell r="AH422" t="str">
            <v>Eco-High</v>
          </cell>
          <cell r="AI422" t="str">
            <v>West</v>
          </cell>
          <cell r="AJ422" t="str">
            <v>Without LTS</v>
          </cell>
          <cell r="AK422" t="str">
            <v>for conso</v>
          </cell>
          <cell r="AL422" t="str">
            <v>Unaffected lots</v>
          </cell>
          <cell r="AM422" t="b">
            <v>1</v>
          </cell>
          <cell r="AN422" t="str">
            <v>NO</v>
          </cell>
          <cell r="AO422" t="str">
            <v>B4 2025</v>
          </cell>
          <cell r="AP422" t="str">
            <v>12/58</v>
          </cell>
          <cell r="AQ422" t="str">
            <v>PCS-277865/PSD-04-276764</v>
          </cell>
          <cell r="AR422" t="b">
            <v>0</v>
          </cell>
          <cell r="AS422" t="str">
            <v>For Conso</v>
          </cell>
          <cell r="AT422" t="str">
            <v>2025 - Batch 3</v>
          </cell>
          <cell r="AU422">
            <v>23</v>
          </cell>
          <cell r="AV422">
            <v>39</v>
          </cell>
          <cell r="AW422" t="str">
            <v>H+L</v>
          </cell>
          <cell r="AX422">
            <v>70</v>
          </cell>
          <cell r="AY422">
            <v>50</v>
          </cell>
          <cell r="AZ422" t="str">
            <v>Duplex</v>
          </cell>
          <cell r="BA422">
            <v>1</v>
          </cell>
          <cell r="BB422" t="str">
            <v>568 - Without Partition</v>
          </cell>
          <cell r="BC422" t="str">
            <v xml:space="preserve">Without Partition </v>
          </cell>
          <cell r="BD422" t="str">
            <v>Slant</v>
          </cell>
          <cell r="BE422" t="str">
            <v xml:space="preserve">Without Partition </v>
          </cell>
          <cell r="BF422" t="str">
            <v>GREEN</v>
          </cell>
          <cell r="BG422">
            <v>2500000</v>
          </cell>
          <cell r="BH422">
            <v>2650000</v>
          </cell>
          <cell r="BI422">
            <v>100000</v>
          </cell>
          <cell r="BJ422">
            <v>2550000</v>
          </cell>
          <cell r="BK422">
            <v>0</v>
          </cell>
          <cell r="BL422">
            <v>2550000</v>
          </cell>
        </row>
        <row r="423">
          <cell r="D423" t="str">
            <v>OS</v>
          </cell>
          <cell r="E423"/>
          <cell r="F423">
            <v>403</v>
          </cell>
          <cell r="G423" t="str">
            <v>SOLD</v>
          </cell>
          <cell r="H423" t="str">
            <v>TS</v>
          </cell>
          <cell r="I423" t="str">
            <v>TS</v>
          </cell>
          <cell r="J423" t="str">
            <v>TS</v>
          </cell>
          <cell r="K423" t="str">
            <v>TS</v>
          </cell>
          <cell r="L423" t="str">
            <v>TS</v>
          </cell>
          <cell r="M423" t="str">
            <v>TS</v>
          </cell>
          <cell r="N423" t="str">
            <v>OS</v>
          </cell>
          <cell r="O423" t="str">
            <v>OS</v>
          </cell>
          <cell r="P423" t="str">
            <v>OS</v>
          </cell>
          <cell r="Q423" t="str">
            <v>OS</v>
          </cell>
          <cell r="R423" t="str">
            <v>OS</v>
          </cell>
          <cell r="S423" t="str">
            <v>OS</v>
          </cell>
          <cell r="T423" t="str">
            <v>OS</v>
          </cell>
          <cell r="U423" t="str">
            <v>OS</v>
          </cell>
          <cell r="V423" t="str">
            <v>OS</v>
          </cell>
          <cell r="W423" t="str">
            <v>OS</v>
          </cell>
          <cell r="X423" t="str">
            <v>OS</v>
          </cell>
          <cell r="Y423" t="str">
            <v>OS</v>
          </cell>
          <cell r="Z423" t="str">
            <v>OS</v>
          </cell>
          <cell r="AA423" t="str">
            <v>OS</v>
          </cell>
          <cell r="AB423" t="str">
            <v>OS</v>
          </cell>
          <cell r="AC423" t="str">
            <v>OS</v>
          </cell>
          <cell r="AD423" t="str">
            <v>AGM-01-023-040</v>
          </cell>
          <cell r="AE423" t="str">
            <v xml:space="preserve">Raemulan Lands, Inc. </v>
          </cell>
          <cell r="AF423" t="str">
            <v>Agapeya</v>
          </cell>
          <cell r="AG423" t="str">
            <v>AGM</v>
          </cell>
          <cell r="AH423" t="str">
            <v>Eco-High</v>
          </cell>
          <cell r="AI423" t="str">
            <v>West</v>
          </cell>
          <cell r="AJ423" t="str">
            <v>Without LTS</v>
          </cell>
          <cell r="AK423" t="str">
            <v>Unaffected lots</v>
          </cell>
          <cell r="AL423" t="str">
            <v>Unaffected lots</v>
          </cell>
          <cell r="AM423" t="b">
            <v>0</v>
          </cell>
          <cell r="AN423" t="str">
            <v>NO</v>
          </cell>
          <cell r="AO423" t="str">
            <v>B4 2025</v>
          </cell>
          <cell r="AP423">
            <v>70</v>
          </cell>
          <cell r="AQ423" t="str">
            <v>PCS-277865</v>
          </cell>
          <cell r="AR423" t="b">
            <v>1</v>
          </cell>
          <cell r="AS423" t="str">
            <v>Done</v>
          </cell>
          <cell r="AT423" t="str">
            <v>2025 - Batch 3</v>
          </cell>
          <cell r="AU423">
            <v>23</v>
          </cell>
          <cell r="AV423">
            <v>40</v>
          </cell>
          <cell r="AW423" t="str">
            <v>H+L</v>
          </cell>
          <cell r="AX423">
            <v>70</v>
          </cell>
          <cell r="AY423">
            <v>50</v>
          </cell>
          <cell r="AZ423" t="str">
            <v>Duplex</v>
          </cell>
          <cell r="BA423">
            <v>1</v>
          </cell>
          <cell r="BB423" t="str">
            <v>568 - Without Partition</v>
          </cell>
          <cell r="BC423" t="str">
            <v xml:space="preserve">Without Partition </v>
          </cell>
          <cell r="BD423" t="str">
            <v>Flat</v>
          </cell>
          <cell r="BE423" t="str">
            <v xml:space="preserve">Without Partition </v>
          </cell>
          <cell r="BF423" t="str">
            <v>GREEN</v>
          </cell>
          <cell r="BG423">
            <v>2500000</v>
          </cell>
          <cell r="BH423">
            <v>2650000</v>
          </cell>
          <cell r="BI423">
            <v>100000</v>
          </cell>
          <cell r="BJ423">
            <v>2550000</v>
          </cell>
          <cell r="BK423">
            <v>0</v>
          </cell>
          <cell r="BL423">
            <v>2550000</v>
          </cell>
        </row>
        <row r="424">
          <cell r="D424" t="str">
            <v>HOLD</v>
          </cell>
          <cell r="E424"/>
          <cell r="F424">
            <v>404</v>
          </cell>
          <cell r="G424" t="str">
            <v>SOLD</v>
          </cell>
          <cell r="H424" t="str">
            <v>OS</v>
          </cell>
          <cell r="I424" t="str">
            <v>OS</v>
          </cell>
          <cell r="J424" t="str">
            <v>OS</v>
          </cell>
          <cell r="K424" t="str">
            <v>OS</v>
          </cell>
          <cell r="L424" t="str">
            <v>OS</v>
          </cell>
          <cell r="M424" t="str">
            <v>OS</v>
          </cell>
          <cell r="N424" t="str">
            <v>OS</v>
          </cell>
          <cell r="O424" t="str">
            <v>OS</v>
          </cell>
          <cell r="P424" t="str">
            <v>OS</v>
          </cell>
          <cell r="Q424" t="str">
            <v>OS</v>
          </cell>
          <cell r="R424" t="str">
            <v>OS</v>
          </cell>
          <cell r="S424" t="str">
            <v>OS</v>
          </cell>
          <cell r="T424" t="str">
            <v>OS</v>
          </cell>
          <cell r="U424" t="str">
            <v>OS</v>
          </cell>
          <cell r="V424" t="str">
            <v>OS</v>
          </cell>
          <cell r="W424" t="str">
            <v>OS</v>
          </cell>
          <cell r="X424" t="str">
            <v>FOR CANCELLATION - HOLD</v>
          </cell>
          <cell r="Y424" t="str">
            <v>FOR CANCELLATION - HOLD</v>
          </cell>
          <cell r="Z424" t="str">
            <v>HOLD BY CAD</v>
          </cell>
          <cell r="AA424" t="str">
            <v>HOLD BY CAD</v>
          </cell>
          <cell r="AB424" t="str">
            <v>FOR CANCELLATION - HOLD</v>
          </cell>
          <cell r="AC424" t="str">
            <v>FOR CANCELLATION - HOLD</v>
          </cell>
          <cell r="AD424" t="str">
            <v>AGM-01-023-041</v>
          </cell>
          <cell r="AE424" t="str">
            <v xml:space="preserve">Raemulan Lands, Inc. </v>
          </cell>
          <cell r="AF424" t="str">
            <v>Agapeya</v>
          </cell>
          <cell r="AG424" t="str">
            <v>AGM</v>
          </cell>
          <cell r="AH424" t="str">
            <v>Eco-High</v>
          </cell>
          <cell r="AI424" t="str">
            <v>West</v>
          </cell>
          <cell r="AJ424" t="str">
            <v>Without LTS</v>
          </cell>
          <cell r="AK424" t="str">
            <v>Unaffected lots</v>
          </cell>
          <cell r="AL424" t="str">
            <v>Unaffected lots</v>
          </cell>
          <cell r="AM424" t="b">
            <v>0</v>
          </cell>
          <cell r="AN424" t="str">
            <v>NO</v>
          </cell>
          <cell r="AO424" t="str">
            <v>B4 2025</v>
          </cell>
          <cell r="AP424">
            <v>70</v>
          </cell>
          <cell r="AQ424" t="str">
            <v>PCS-277865</v>
          </cell>
          <cell r="AR424" t="b">
            <v>1</v>
          </cell>
          <cell r="AS424" t="str">
            <v>Done</v>
          </cell>
          <cell r="AT424" t="str">
            <v>2025 - Batch 3</v>
          </cell>
          <cell r="AU424">
            <v>23</v>
          </cell>
          <cell r="AV424">
            <v>41</v>
          </cell>
          <cell r="AW424" t="str">
            <v>H+L</v>
          </cell>
          <cell r="AX424">
            <v>70</v>
          </cell>
          <cell r="AY424">
            <v>50</v>
          </cell>
          <cell r="AZ424" t="str">
            <v>Duplex</v>
          </cell>
          <cell r="BA424">
            <v>1</v>
          </cell>
          <cell r="BB424" t="str">
            <v>568 - Without Partition</v>
          </cell>
          <cell r="BC424" t="str">
            <v xml:space="preserve">Without Partition </v>
          </cell>
          <cell r="BD424" t="str">
            <v>Flat</v>
          </cell>
          <cell r="BE424" t="str">
            <v xml:space="preserve">Without Partition </v>
          </cell>
          <cell r="BF424" t="str">
            <v>GREEN</v>
          </cell>
          <cell r="BG424">
            <v>2500000</v>
          </cell>
          <cell r="BH424">
            <v>2650000</v>
          </cell>
          <cell r="BI424">
            <v>100000</v>
          </cell>
          <cell r="BJ424">
            <v>2550000</v>
          </cell>
          <cell r="BK424">
            <v>0</v>
          </cell>
          <cell r="BL424">
            <v>2550000</v>
          </cell>
        </row>
        <row r="425">
          <cell r="D425" t="str">
            <v>OS</v>
          </cell>
          <cell r="E425"/>
          <cell r="F425">
            <v>405</v>
          </cell>
          <cell r="G425" t="str">
            <v>SOLD</v>
          </cell>
          <cell r="H425" t="str">
            <v>OS</v>
          </cell>
          <cell r="I425" t="str">
            <v>OS</v>
          </cell>
          <cell r="J425" t="str">
            <v>OS</v>
          </cell>
          <cell r="K425" t="str">
            <v>OS</v>
          </cell>
          <cell r="L425" t="str">
            <v>OS</v>
          </cell>
          <cell r="M425" t="str">
            <v>OS</v>
          </cell>
          <cell r="N425" t="str">
            <v>OS</v>
          </cell>
          <cell r="O425" t="str">
            <v>OS</v>
          </cell>
          <cell r="P425" t="str">
            <v>OS</v>
          </cell>
          <cell r="Q425" t="str">
            <v>OS</v>
          </cell>
          <cell r="R425" t="str">
            <v>OS</v>
          </cell>
          <cell r="S425" t="str">
            <v>OS</v>
          </cell>
          <cell r="T425" t="str">
            <v>OS</v>
          </cell>
          <cell r="U425" t="str">
            <v>OS</v>
          </cell>
          <cell r="V425" t="str">
            <v>OS</v>
          </cell>
          <cell r="W425" t="str">
            <v>OS</v>
          </cell>
          <cell r="X425" t="str">
            <v>OS</v>
          </cell>
          <cell r="Y425" t="str">
            <v>OS</v>
          </cell>
          <cell r="Z425" t="str">
            <v>OS</v>
          </cell>
          <cell r="AA425" t="str">
            <v>OS</v>
          </cell>
          <cell r="AB425" t="str">
            <v>OS</v>
          </cell>
          <cell r="AC425" t="str">
            <v>OS</v>
          </cell>
          <cell r="AD425" t="str">
            <v>AGM-01-023-042</v>
          </cell>
          <cell r="AE425" t="str">
            <v xml:space="preserve">Raemulan Lands, Inc. </v>
          </cell>
          <cell r="AF425" t="str">
            <v>Agapeya</v>
          </cell>
          <cell r="AG425" t="str">
            <v>AGM</v>
          </cell>
          <cell r="AH425" t="str">
            <v>Eco-High</v>
          </cell>
          <cell r="AI425" t="str">
            <v>West</v>
          </cell>
          <cell r="AJ425" t="str">
            <v>Without LTS</v>
          </cell>
          <cell r="AK425" t="str">
            <v>Unaffected lots</v>
          </cell>
          <cell r="AL425" t="str">
            <v>Unaffected lots</v>
          </cell>
          <cell r="AM425" t="b">
            <v>0</v>
          </cell>
          <cell r="AN425" t="str">
            <v>NO</v>
          </cell>
          <cell r="AO425" t="str">
            <v>B4 2025</v>
          </cell>
          <cell r="AP425">
            <v>70</v>
          </cell>
          <cell r="AQ425" t="str">
            <v>PCS-277865</v>
          </cell>
          <cell r="AR425" t="b">
            <v>1</v>
          </cell>
          <cell r="AS425" t="str">
            <v>Done</v>
          </cell>
          <cell r="AT425" t="str">
            <v>2025 - Batch 3</v>
          </cell>
          <cell r="AU425">
            <v>23</v>
          </cell>
          <cell r="AV425">
            <v>42</v>
          </cell>
          <cell r="AW425" t="str">
            <v>H+L</v>
          </cell>
          <cell r="AX425">
            <v>70</v>
          </cell>
          <cell r="AY425">
            <v>50</v>
          </cell>
          <cell r="AZ425" t="str">
            <v>Duplex</v>
          </cell>
          <cell r="BA425">
            <v>1</v>
          </cell>
          <cell r="BB425" t="str">
            <v>568 - Without Partition</v>
          </cell>
          <cell r="BC425" t="str">
            <v xml:space="preserve">Without Partition </v>
          </cell>
          <cell r="BD425" t="str">
            <v>Slant</v>
          </cell>
          <cell r="BE425" t="str">
            <v xml:space="preserve">Without Partition </v>
          </cell>
          <cell r="BF425" t="str">
            <v>GREEN</v>
          </cell>
          <cell r="BG425">
            <v>2500000</v>
          </cell>
          <cell r="BH425">
            <v>2650000</v>
          </cell>
          <cell r="BI425">
            <v>100000</v>
          </cell>
          <cell r="BJ425">
            <v>2550000</v>
          </cell>
          <cell r="BK425">
            <v>0</v>
          </cell>
          <cell r="BL425">
            <v>2550000</v>
          </cell>
        </row>
        <row r="426">
          <cell r="D426" t="str">
            <v>OS</v>
          </cell>
          <cell r="E426"/>
          <cell r="F426">
            <v>406</v>
          </cell>
          <cell r="G426" t="str">
            <v>SOLD</v>
          </cell>
          <cell r="H426" t="str">
            <v>OS</v>
          </cell>
          <cell r="I426" t="str">
            <v>OS</v>
          </cell>
          <cell r="J426" t="str">
            <v>OS</v>
          </cell>
          <cell r="K426" t="str">
            <v>OS</v>
          </cell>
          <cell r="L426" t="str">
            <v>OS</v>
          </cell>
          <cell r="M426" t="str">
            <v>OS</v>
          </cell>
          <cell r="N426" t="str">
            <v>OS</v>
          </cell>
          <cell r="O426" t="str">
            <v>OS</v>
          </cell>
          <cell r="P426" t="str">
            <v>OS</v>
          </cell>
          <cell r="Q426" t="str">
            <v>OS</v>
          </cell>
          <cell r="R426" t="str">
            <v>OS</v>
          </cell>
          <cell r="S426" t="str">
            <v>OS</v>
          </cell>
          <cell r="T426" t="str">
            <v>OS</v>
          </cell>
          <cell r="U426" t="str">
            <v>OS</v>
          </cell>
          <cell r="V426" t="str">
            <v>OS</v>
          </cell>
          <cell r="W426" t="str">
            <v>OS</v>
          </cell>
          <cell r="X426" t="str">
            <v>OS</v>
          </cell>
          <cell r="Y426" t="str">
            <v>OS</v>
          </cell>
          <cell r="Z426" t="str">
            <v>OS</v>
          </cell>
          <cell r="AA426" t="str">
            <v>OS</v>
          </cell>
          <cell r="AB426" t="str">
            <v>OS</v>
          </cell>
          <cell r="AC426" t="str">
            <v>OS</v>
          </cell>
          <cell r="AD426" t="str">
            <v>AGM-01-023-043</v>
          </cell>
          <cell r="AE426" t="str">
            <v xml:space="preserve">Raemulan Lands, Inc. </v>
          </cell>
          <cell r="AF426" t="str">
            <v>Agapeya</v>
          </cell>
          <cell r="AG426" t="str">
            <v>AGM</v>
          </cell>
          <cell r="AH426" t="str">
            <v>Eco-High</v>
          </cell>
          <cell r="AI426" t="str">
            <v>West</v>
          </cell>
          <cell r="AJ426" t="str">
            <v>Without LTS</v>
          </cell>
          <cell r="AK426" t="str">
            <v>Unaffected lots</v>
          </cell>
          <cell r="AL426" t="str">
            <v>Unaffected lots</v>
          </cell>
          <cell r="AM426" t="b">
            <v>0</v>
          </cell>
          <cell r="AN426" t="str">
            <v>NO</v>
          </cell>
          <cell r="AO426" t="str">
            <v>B4 2025</v>
          </cell>
          <cell r="AP426">
            <v>70</v>
          </cell>
          <cell r="AQ426" t="str">
            <v>PCS-277865</v>
          </cell>
          <cell r="AR426" t="b">
            <v>1</v>
          </cell>
          <cell r="AS426" t="str">
            <v>Done</v>
          </cell>
          <cell r="AT426" t="str">
            <v>2025 - Batch 4</v>
          </cell>
          <cell r="AU426">
            <v>23</v>
          </cell>
          <cell r="AV426">
            <v>43</v>
          </cell>
          <cell r="AW426" t="str">
            <v>H+L</v>
          </cell>
          <cell r="AX426">
            <v>70</v>
          </cell>
          <cell r="AY426">
            <v>50</v>
          </cell>
          <cell r="AZ426" t="str">
            <v>Duplex</v>
          </cell>
          <cell r="BA426">
            <v>1</v>
          </cell>
          <cell r="BB426" t="str">
            <v>568 - Without Partition</v>
          </cell>
          <cell r="BC426" t="str">
            <v xml:space="preserve">Without Partition </v>
          </cell>
          <cell r="BD426" t="str">
            <v>Slant</v>
          </cell>
          <cell r="BE426" t="str">
            <v xml:space="preserve">Without Partition </v>
          </cell>
          <cell r="BF426" t="str">
            <v>YELLOW</v>
          </cell>
          <cell r="BG426">
            <v>2500000</v>
          </cell>
          <cell r="BH426">
            <v>2650000</v>
          </cell>
          <cell r="BI426">
            <v>100000</v>
          </cell>
          <cell r="BJ426">
            <v>2550000</v>
          </cell>
          <cell r="BK426">
            <v>0</v>
          </cell>
          <cell r="BL426">
            <v>2550000</v>
          </cell>
        </row>
        <row r="427">
          <cell r="D427" t="str">
            <v>OS</v>
          </cell>
          <cell r="E427"/>
          <cell r="F427">
            <v>407</v>
          </cell>
          <cell r="G427" t="str">
            <v>CLOSED</v>
          </cell>
          <cell r="H427" t="str">
            <v>OPEN</v>
          </cell>
          <cell r="I427" t="str">
            <v>OPEN</v>
          </cell>
          <cell r="J427" t="str">
            <v>OPEN</v>
          </cell>
          <cell r="K427" t="str">
            <v>TS</v>
          </cell>
          <cell r="L427" t="str">
            <v>TS</v>
          </cell>
          <cell r="M427" t="str">
            <v>OPEN</v>
          </cell>
          <cell r="N427" t="str">
            <v>TS</v>
          </cell>
          <cell r="O427" t="str">
            <v>TS</v>
          </cell>
          <cell r="P427" t="str">
            <v>OS</v>
          </cell>
          <cell r="Q427" t="str">
            <v>OS</v>
          </cell>
          <cell r="R427" t="str">
            <v>OS</v>
          </cell>
          <cell r="S427" t="str">
            <v>OS</v>
          </cell>
          <cell r="T427" t="str">
            <v>OS</v>
          </cell>
          <cell r="U427" t="str">
            <v>OS</v>
          </cell>
          <cell r="V427" t="str">
            <v>OS</v>
          </cell>
          <cell r="W427" t="str">
            <v>OS</v>
          </cell>
          <cell r="X427" t="str">
            <v>OS</v>
          </cell>
          <cell r="Y427" t="str">
            <v>OS</v>
          </cell>
          <cell r="Z427" t="str">
            <v>OS</v>
          </cell>
          <cell r="AA427" t="str">
            <v>OS</v>
          </cell>
          <cell r="AB427" t="str">
            <v>OS</v>
          </cell>
          <cell r="AC427" t="str">
            <v>OS</v>
          </cell>
          <cell r="AD427" t="str">
            <v>AGM-01-023-044</v>
          </cell>
          <cell r="AE427" t="str">
            <v xml:space="preserve">Raemulan Lands, Inc. </v>
          </cell>
          <cell r="AF427" t="str">
            <v>Agapeya</v>
          </cell>
          <cell r="AG427" t="str">
            <v>AGM</v>
          </cell>
          <cell r="AH427" t="str">
            <v>Eco-High</v>
          </cell>
          <cell r="AI427" t="str">
            <v>West</v>
          </cell>
          <cell r="AJ427" t="str">
            <v>Without LTS</v>
          </cell>
          <cell r="AK427" t="str">
            <v>Unaffected lots</v>
          </cell>
          <cell r="AL427" t="str">
            <v>Unaffected lots</v>
          </cell>
          <cell r="AM427" t="b">
            <v>0</v>
          </cell>
          <cell r="AN427" t="str">
            <v>NO</v>
          </cell>
          <cell r="AO427" t="str">
            <v>B4 2025</v>
          </cell>
          <cell r="AP427">
            <v>70</v>
          </cell>
          <cell r="AQ427" t="str">
            <v>PCS-277865</v>
          </cell>
          <cell r="AR427" t="b">
            <v>1</v>
          </cell>
          <cell r="AS427" t="str">
            <v>Done</v>
          </cell>
          <cell r="AT427" t="str">
            <v>2025 - Batch 4</v>
          </cell>
          <cell r="AU427">
            <v>23</v>
          </cell>
          <cell r="AV427">
            <v>44</v>
          </cell>
          <cell r="AW427" t="str">
            <v>H+L</v>
          </cell>
          <cell r="AX427">
            <v>70</v>
          </cell>
          <cell r="AY427">
            <v>50</v>
          </cell>
          <cell r="AZ427" t="str">
            <v>Duplex</v>
          </cell>
          <cell r="BA427">
            <v>1</v>
          </cell>
          <cell r="BB427" t="str">
            <v>568 - Without Partition</v>
          </cell>
          <cell r="BC427" t="str">
            <v xml:space="preserve">Without Partition </v>
          </cell>
          <cell r="BD427" t="str">
            <v>Flat</v>
          </cell>
          <cell r="BE427" t="str">
            <v xml:space="preserve">Without Partition </v>
          </cell>
          <cell r="BF427" t="str">
            <v>YELLOW</v>
          </cell>
          <cell r="BG427">
            <v>2500000</v>
          </cell>
          <cell r="BH427">
            <v>2650000</v>
          </cell>
          <cell r="BI427">
            <v>100000</v>
          </cell>
          <cell r="BJ427">
            <v>2550000</v>
          </cell>
          <cell r="BK427">
            <v>0</v>
          </cell>
          <cell r="BL427">
            <v>2550000</v>
          </cell>
        </row>
        <row r="428">
          <cell r="D428" t="str">
            <v>OS</v>
          </cell>
          <cell r="E428"/>
          <cell r="F428">
            <v>408</v>
          </cell>
          <cell r="G428" t="str">
            <v>UNSOLD</v>
          </cell>
          <cell r="H428" t="str">
            <v>TS</v>
          </cell>
          <cell r="I428" t="str">
            <v>TS</v>
          </cell>
          <cell r="J428" t="str">
            <v>TS</v>
          </cell>
          <cell r="K428" t="str">
            <v>TS</v>
          </cell>
          <cell r="L428" t="str">
            <v>TS</v>
          </cell>
          <cell r="M428" t="str">
            <v>TS</v>
          </cell>
          <cell r="N428" t="str">
            <v>TS</v>
          </cell>
          <cell r="O428" t="str">
            <v>TS</v>
          </cell>
          <cell r="P428" t="str">
            <v>TS</v>
          </cell>
          <cell r="Q428" t="str">
            <v>TS</v>
          </cell>
          <cell r="R428" t="str">
            <v>TS</v>
          </cell>
          <cell r="S428" t="str">
            <v>TS</v>
          </cell>
          <cell r="T428" t="str">
            <v>TS</v>
          </cell>
          <cell r="U428" t="str">
            <v>OS</v>
          </cell>
          <cell r="V428" t="str">
            <v>OS</v>
          </cell>
          <cell r="W428" t="str">
            <v>OS</v>
          </cell>
          <cell r="X428" t="str">
            <v>OS</v>
          </cell>
          <cell r="Y428" t="str">
            <v>OS</v>
          </cell>
          <cell r="Z428" t="str">
            <v>OS</v>
          </cell>
          <cell r="AA428" t="str">
            <v>OS</v>
          </cell>
          <cell r="AB428" t="str">
            <v>OS</v>
          </cell>
          <cell r="AC428" t="str">
            <v>OS</v>
          </cell>
          <cell r="AD428" t="str">
            <v>AGM-01-023-045</v>
          </cell>
          <cell r="AE428" t="str">
            <v xml:space="preserve">Raemulan Lands, Inc. </v>
          </cell>
          <cell r="AF428" t="str">
            <v>Agapeya</v>
          </cell>
          <cell r="AG428" t="str">
            <v>AGM</v>
          </cell>
          <cell r="AH428" t="str">
            <v>Eco-High</v>
          </cell>
          <cell r="AI428" t="str">
            <v>West</v>
          </cell>
          <cell r="AJ428" t="str">
            <v>Without LTS</v>
          </cell>
          <cell r="AK428" t="str">
            <v>Unaffected lots</v>
          </cell>
          <cell r="AL428" t="str">
            <v>Unaffected lots</v>
          </cell>
          <cell r="AM428" t="b">
            <v>0</v>
          </cell>
          <cell r="AN428" t="str">
            <v>NO</v>
          </cell>
          <cell r="AO428" t="str">
            <v>B4 2025</v>
          </cell>
          <cell r="AP428">
            <v>70</v>
          </cell>
          <cell r="AQ428" t="str">
            <v>PCS-277865</v>
          </cell>
          <cell r="AR428" t="b">
            <v>1</v>
          </cell>
          <cell r="AS428" t="str">
            <v>Done</v>
          </cell>
          <cell r="AT428" t="str">
            <v>2025 - Batch 4</v>
          </cell>
          <cell r="AU428">
            <v>23</v>
          </cell>
          <cell r="AV428">
            <v>45</v>
          </cell>
          <cell r="AW428" t="str">
            <v>H+L</v>
          </cell>
          <cell r="AX428">
            <v>70</v>
          </cell>
          <cell r="AY428">
            <v>50</v>
          </cell>
          <cell r="AZ428" t="str">
            <v>Duplex</v>
          </cell>
          <cell r="BA428">
            <v>1</v>
          </cell>
          <cell r="BB428" t="str">
            <v>568 - Without Partition</v>
          </cell>
          <cell r="BC428" t="str">
            <v xml:space="preserve">Without Partition </v>
          </cell>
          <cell r="BD428" t="str">
            <v>Flat</v>
          </cell>
          <cell r="BE428" t="str">
            <v xml:space="preserve">Without Partition </v>
          </cell>
          <cell r="BF428" t="str">
            <v>YELLOW</v>
          </cell>
          <cell r="BG428">
            <v>2500000</v>
          </cell>
          <cell r="BH428">
            <v>2650000</v>
          </cell>
          <cell r="BI428">
            <v>100000</v>
          </cell>
          <cell r="BJ428">
            <v>2550000</v>
          </cell>
          <cell r="BK428">
            <v>0</v>
          </cell>
          <cell r="BL428">
            <v>2550000</v>
          </cell>
        </row>
        <row r="429">
          <cell r="D429" t="str">
            <v>OS</v>
          </cell>
          <cell r="E429"/>
          <cell r="F429">
            <v>409</v>
          </cell>
          <cell r="G429" t="str">
            <v>CLOSED</v>
          </cell>
          <cell r="H429" t="str">
            <v>OPEN</v>
          </cell>
          <cell r="I429" t="str">
            <v>TS</v>
          </cell>
          <cell r="J429" t="str">
            <v>TS</v>
          </cell>
          <cell r="K429" t="str">
            <v>TS</v>
          </cell>
          <cell r="L429" t="str">
            <v>TS</v>
          </cell>
          <cell r="M429" t="str">
            <v>TS</v>
          </cell>
          <cell r="N429" t="str">
            <v>TS</v>
          </cell>
          <cell r="O429" t="str">
            <v>TS</v>
          </cell>
          <cell r="P429" t="str">
            <v>OS</v>
          </cell>
          <cell r="Q429" t="str">
            <v>OS</v>
          </cell>
          <cell r="R429" t="str">
            <v>OS</v>
          </cell>
          <cell r="S429" t="str">
            <v>OS</v>
          </cell>
          <cell r="T429" t="str">
            <v>OS</v>
          </cell>
          <cell r="U429" t="str">
            <v>OS</v>
          </cell>
          <cell r="V429" t="str">
            <v>OS</v>
          </cell>
          <cell r="W429" t="str">
            <v>OS</v>
          </cell>
          <cell r="X429" t="str">
            <v>OS</v>
          </cell>
          <cell r="Y429" t="str">
            <v>OS</v>
          </cell>
          <cell r="Z429" t="str">
            <v>OS</v>
          </cell>
          <cell r="AA429" t="str">
            <v>OS</v>
          </cell>
          <cell r="AB429" t="str">
            <v>OS</v>
          </cell>
          <cell r="AC429" t="str">
            <v>OS</v>
          </cell>
          <cell r="AD429" t="str">
            <v>AGM-01-023-046</v>
          </cell>
          <cell r="AE429" t="str">
            <v xml:space="preserve">Raemulan Lands, Inc. </v>
          </cell>
          <cell r="AF429" t="str">
            <v>Agapeya</v>
          </cell>
          <cell r="AG429" t="str">
            <v>AGM</v>
          </cell>
          <cell r="AH429" t="str">
            <v>Eco-High</v>
          </cell>
          <cell r="AI429" t="str">
            <v>West</v>
          </cell>
          <cell r="AJ429" t="str">
            <v>Without LTS</v>
          </cell>
          <cell r="AK429" t="str">
            <v>Unaffected lots</v>
          </cell>
          <cell r="AL429" t="str">
            <v>Unaffected lots</v>
          </cell>
          <cell r="AM429" t="b">
            <v>0</v>
          </cell>
          <cell r="AN429" t="str">
            <v>NO</v>
          </cell>
          <cell r="AO429" t="str">
            <v>B4 2025</v>
          </cell>
          <cell r="AP429">
            <v>70</v>
          </cell>
          <cell r="AQ429" t="str">
            <v>PCS-277865</v>
          </cell>
          <cell r="AR429" t="b">
            <v>1</v>
          </cell>
          <cell r="AS429" t="str">
            <v>Done</v>
          </cell>
          <cell r="AT429" t="str">
            <v>2025 - Batch 4</v>
          </cell>
          <cell r="AU429">
            <v>23</v>
          </cell>
          <cell r="AV429">
            <v>46</v>
          </cell>
          <cell r="AW429" t="str">
            <v>H+L</v>
          </cell>
          <cell r="AX429">
            <v>70</v>
          </cell>
          <cell r="AY429">
            <v>50</v>
          </cell>
          <cell r="AZ429" t="str">
            <v>Duplex</v>
          </cell>
          <cell r="BA429">
            <v>1</v>
          </cell>
          <cell r="BB429" t="str">
            <v>568 - Without Partition</v>
          </cell>
          <cell r="BC429" t="str">
            <v xml:space="preserve">Without Partition </v>
          </cell>
          <cell r="BD429" t="str">
            <v>Slant</v>
          </cell>
          <cell r="BE429" t="str">
            <v xml:space="preserve">Without Partition </v>
          </cell>
          <cell r="BF429" t="str">
            <v>YELLOW</v>
          </cell>
          <cell r="BG429">
            <v>2500000</v>
          </cell>
          <cell r="BH429">
            <v>2650000</v>
          </cell>
          <cell r="BI429">
            <v>100000</v>
          </cell>
          <cell r="BJ429">
            <v>2550000</v>
          </cell>
          <cell r="BK429">
            <v>0</v>
          </cell>
          <cell r="BL429">
            <v>2550000</v>
          </cell>
        </row>
        <row r="430">
          <cell r="D430" t="str">
            <v>OS</v>
          </cell>
          <cell r="E430"/>
          <cell r="F430">
            <v>410</v>
          </cell>
          <cell r="G430" t="str">
            <v>SOLD</v>
          </cell>
          <cell r="H430" t="str">
            <v>OS</v>
          </cell>
          <cell r="I430" t="str">
            <v>OS</v>
          </cell>
          <cell r="J430" t="str">
            <v>OS</v>
          </cell>
          <cell r="K430" t="str">
            <v>OS</v>
          </cell>
          <cell r="L430" t="str">
            <v>OS</v>
          </cell>
          <cell r="M430" t="str">
            <v>OS</v>
          </cell>
          <cell r="N430" t="str">
            <v>OS</v>
          </cell>
          <cell r="O430" t="str">
            <v>OS</v>
          </cell>
          <cell r="P430" t="str">
            <v>OS</v>
          </cell>
          <cell r="Q430" t="str">
            <v>OS</v>
          </cell>
          <cell r="R430" t="str">
            <v>OS</v>
          </cell>
          <cell r="S430" t="str">
            <v>OS</v>
          </cell>
          <cell r="T430" t="str">
            <v>OS</v>
          </cell>
          <cell r="U430" t="str">
            <v>OS</v>
          </cell>
          <cell r="V430" t="str">
            <v>OS</v>
          </cell>
          <cell r="W430" t="str">
            <v>OS</v>
          </cell>
          <cell r="X430" t="str">
            <v>OS</v>
          </cell>
          <cell r="Y430" t="str">
            <v>OS</v>
          </cell>
          <cell r="Z430" t="str">
            <v>OS</v>
          </cell>
          <cell r="AA430" t="str">
            <v>OS</v>
          </cell>
          <cell r="AB430" t="str">
            <v>OS</v>
          </cell>
          <cell r="AC430" t="str">
            <v>OS</v>
          </cell>
          <cell r="AD430" t="str">
            <v>AGM-01-023-047</v>
          </cell>
          <cell r="AE430" t="str">
            <v xml:space="preserve">Raemulan Lands, Inc. </v>
          </cell>
          <cell r="AF430" t="str">
            <v>Agapeya</v>
          </cell>
          <cell r="AG430" t="str">
            <v>AGM</v>
          </cell>
          <cell r="AH430" t="str">
            <v>Eco-High</v>
          </cell>
          <cell r="AI430" t="str">
            <v>West</v>
          </cell>
          <cell r="AJ430" t="str">
            <v>Without LTS</v>
          </cell>
          <cell r="AK430" t="str">
            <v>Unaffected lots</v>
          </cell>
          <cell r="AL430" t="str">
            <v>Unaffected lots</v>
          </cell>
          <cell r="AM430" t="b">
            <v>0</v>
          </cell>
          <cell r="AN430" t="str">
            <v>NO</v>
          </cell>
          <cell r="AO430" t="str">
            <v>B4 2025</v>
          </cell>
          <cell r="AP430">
            <v>70</v>
          </cell>
          <cell r="AQ430" t="str">
            <v>PCS-277865</v>
          </cell>
          <cell r="AR430" t="b">
            <v>1</v>
          </cell>
          <cell r="AS430" t="str">
            <v>Done</v>
          </cell>
          <cell r="AT430" t="str">
            <v>2025 - Batch 4</v>
          </cell>
          <cell r="AU430">
            <v>23</v>
          </cell>
          <cell r="AV430">
            <v>47</v>
          </cell>
          <cell r="AW430" t="str">
            <v>H+L</v>
          </cell>
          <cell r="AX430">
            <v>70</v>
          </cell>
          <cell r="AY430">
            <v>50</v>
          </cell>
          <cell r="AZ430" t="str">
            <v>Duplex</v>
          </cell>
          <cell r="BA430">
            <v>1</v>
          </cell>
          <cell r="BB430" t="str">
            <v>568 - Without Partition</v>
          </cell>
          <cell r="BC430" t="str">
            <v xml:space="preserve">Without Partition </v>
          </cell>
          <cell r="BD430" t="str">
            <v>Slant</v>
          </cell>
          <cell r="BE430" t="str">
            <v xml:space="preserve">Without Partition </v>
          </cell>
          <cell r="BF430" t="str">
            <v>PINK</v>
          </cell>
          <cell r="BG430">
            <v>2500000</v>
          </cell>
          <cell r="BH430">
            <v>2650000</v>
          </cell>
          <cell r="BI430">
            <v>100000</v>
          </cell>
          <cell r="BJ430">
            <v>2550000</v>
          </cell>
          <cell r="BK430">
            <v>0</v>
          </cell>
          <cell r="BL430">
            <v>2550000</v>
          </cell>
        </row>
        <row r="431">
          <cell r="D431" t="str">
            <v>OS</v>
          </cell>
          <cell r="E431"/>
          <cell r="F431">
            <v>411</v>
          </cell>
          <cell r="G431" t="str">
            <v>UNSOLD</v>
          </cell>
          <cell r="H431" t="str">
            <v>OS</v>
          </cell>
          <cell r="I431" t="str">
            <v>OS</v>
          </cell>
          <cell r="J431" t="str">
            <v>OS</v>
          </cell>
          <cell r="K431" t="str">
            <v>OS</v>
          </cell>
          <cell r="L431" t="str">
            <v>OS</v>
          </cell>
          <cell r="M431" t="str">
            <v>OS</v>
          </cell>
          <cell r="N431" t="str">
            <v>OS</v>
          </cell>
          <cell r="O431" t="str">
            <v>OS</v>
          </cell>
          <cell r="P431" t="str">
            <v>OS</v>
          </cell>
          <cell r="Q431" t="str">
            <v>OS</v>
          </cell>
          <cell r="R431" t="str">
            <v>OS</v>
          </cell>
          <cell r="S431" t="str">
            <v>OS</v>
          </cell>
          <cell r="T431" t="str">
            <v>OS</v>
          </cell>
          <cell r="U431" t="str">
            <v>OS</v>
          </cell>
          <cell r="V431" t="str">
            <v>OS</v>
          </cell>
          <cell r="W431" t="str">
            <v>OS</v>
          </cell>
          <cell r="X431" t="str">
            <v>OS</v>
          </cell>
          <cell r="Y431" t="str">
            <v>OS</v>
          </cell>
          <cell r="Z431" t="str">
            <v>OS</v>
          </cell>
          <cell r="AA431" t="str">
            <v>OS</v>
          </cell>
          <cell r="AB431" t="str">
            <v>OS</v>
          </cell>
          <cell r="AC431" t="str">
            <v>OS</v>
          </cell>
          <cell r="AD431" t="str">
            <v>AGM-01-023-048</v>
          </cell>
          <cell r="AE431" t="str">
            <v xml:space="preserve">Raemulan Lands, Inc. </v>
          </cell>
          <cell r="AF431" t="str">
            <v>Agapeya</v>
          </cell>
          <cell r="AG431" t="str">
            <v>AGM</v>
          </cell>
          <cell r="AH431" t="str">
            <v>Eco-High</v>
          </cell>
          <cell r="AI431" t="str">
            <v>West</v>
          </cell>
          <cell r="AJ431" t="str">
            <v>Without LTS</v>
          </cell>
          <cell r="AK431" t="str">
            <v>Unaffected lots</v>
          </cell>
          <cell r="AL431" t="str">
            <v>Unaffected lots</v>
          </cell>
          <cell r="AM431" t="b">
            <v>0</v>
          </cell>
          <cell r="AN431" t="str">
            <v>NO</v>
          </cell>
          <cell r="AO431" t="str">
            <v>B4 2025</v>
          </cell>
          <cell r="AP431">
            <v>70</v>
          </cell>
          <cell r="AQ431" t="str">
            <v>PCS-277865</v>
          </cell>
          <cell r="AR431" t="b">
            <v>1</v>
          </cell>
          <cell r="AS431" t="str">
            <v>Done</v>
          </cell>
          <cell r="AT431" t="str">
            <v>2025 - Batch 4</v>
          </cell>
          <cell r="AU431">
            <v>23</v>
          </cell>
          <cell r="AV431">
            <v>48</v>
          </cell>
          <cell r="AW431" t="str">
            <v>H+L</v>
          </cell>
          <cell r="AX431">
            <v>70</v>
          </cell>
          <cell r="AY431">
            <v>50</v>
          </cell>
          <cell r="AZ431" t="str">
            <v>Duplex</v>
          </cell>
          <cell r="BA431">
            <v>1</v>
          </cell>
          <cell r="BB431" t="str">
            <v>568 - Without Partition</v>
          </cell>
          <cell r="BC431" t="str">
            <v xml:space="preserve">Without Partition </v>
          </cell>
          <cell r="BD431" t="str">
            <v>Flat</v>
          </cell>
          <cell r="BE431" t="str">
            <v xml:space="preserve">Without Partition </v>
          </cell>
          <cell r="BF431" t="str">
            <v>PINK</v>
          </cell>
          <cell r="BG431">
            <v>2500000</v>
          </cell>
          <cell r="BH431">
            <v>2650000</v>
          </cell>
          <cell r="BI431">
            <v>100000</v>
          </cell>
          <cell r="BJ431">
            <v>2550000</v>
          </cell>
          <cell r="BK431">
            <v>0</v>
          </cell>
          <cell r="BL431">
            <v>2550000</v>
          </cell>
        </row>
        <row r="432">
          <cell r="D432" t="str">
            <v>OS</v>
          </cell>
          <cell r="E432"/>
          <cell r="F432">
            <v>412</v>
          </cell>
          <cell r="G432" t="str">
            <v>SOLD</v>
          </cell>
          <cell r="H432" t="str">
            <v>OS</v>
          </cell>
          <cell r="I432" t="str">
            <v>OS</v>
          </cell>
          <cell r="J432" t="str">
            <v>OS</v>
          </cell>
          <cell r="K432" t="str">
            <v>OS</v>
          </cell>
          <cell r="L432" t="str">
            <v>OS</v>
          </cell>
          <cell r="M432" t="str">
            <v>OS</v>
          </cell>
          <cell r="N432" t="str">
            <v>OS</v>
          </cell>
          <cell r="O432" t="str">
            <v>OS</v>
          </cell>
          <cell r="P432" t="str">
            <v>OS</v>
          </cell>
          <cell r="Q432" t="str">
            <v>OS</v>
          </cell>
          <cell r="R432" t="str">
            <v>OS</v>
          </cell>
          <cell r="S432" t="str">
            <v>OS</v>
          </cell>
          <cell r="T432" t="str">
            <v>OS</v>
          </cell>
          <cell r="U432" t="str">
            <v>OS</v>
          </cell>
          <cell r="V432" t="str">
            <v>OS</v>
          </cell>
          <cell r="W432" t="str">
            <v>OS</v>
          </cell>
          <cell r="X432" t="str">
            <v>OS</v>
          </cell>
          <cell r="Y432" t="str">
            <v>OS</v>
          </cell>
          <cell r="Z432" t="str">
            <v>OS</v>
          </cell>
          <cell r="AA432" t="str">
            <v>OS</v>
          </cell>
          <cell r="AB432" t="str">
            <v>OS</v>
          </cell>
          <cell r="AC432" t="str">
            <v>OS</v>
          </cell>
          <cell r="AD432" t="str">
            <v>AGM-01-023-049</v>
          </cell>
          <cell r="AE432" t="str">
            <v xml:space="preserve">Raemulan Lands, Inc. </v>
          </cell>
          <cell r="AF432" t="str">
            <v>Agapeya</v>
          </cell>
          <cell r="AG432" t="str">
            <v>AGM</v>
          </cell>
          <cell r="AH432" t="str">
            <v>Eco-High</v>
          </cell>
          <cell r="AI432" t="str">
            <v>West</v>
          </cell>
          <cell r="AJ432" t="str">
            <v>Without LTS</v>
          </cell>
          <cell r="AK432" t="str">
            <v>Unaffected lots</v>
          </cell>
          <cell r="AL432" t="str">
            <v>Unaffected lots</v>
          </cell>
          <cell r="AM432" t="b">
            <v>0</v>
          </cell>
          <cell r="AN432" t="str">
            <v>NO</v>
          </cell>
          <cell r="AO432" t="str">
            <v>B4 2025</v>
          </cell>
          <cell r="AP432">
            <v>70</v>
          </cell>
          <cell r="AQ432" t="str">
            <v>PCS-277865</v>
          </cell>
          <cell r="AR432" t="b">
            <v>1</v>
          </cell>
          <cell r="AS432" t="str">
            <v>Done</v>
          </cell>
          <cell r="AT432" t="str">
            <v>2025 - Batch 4</v>
          </cell>
          <cell r="AU432">
            <v>23</v>
          </cell>
          <cell r="AV432">
            <v>49</v>
          </cell>
          <cell r="AW432" t="str">
            <v>H+L</v>
          </cell>
          <cell r="AX432">
            <v>70</v>
          </cell>
          <cell r="AY432">
            <v>50</v>
          </cell>
          <cell r="AZ432" t="str">
            <v>Duplex</v>
          </cell>
          <cell r="BA432">
            <v>1</v>
          </cell>
          <cell r="BB432" t="str">
            <v>568 - Without Partition</v>
          </cell>
          <cell r="BC432" t="str">
            <v xml:space="preserve">Without Partition </v>
          </cell>
          <cell r="BD432" t="str">
            <v>Flat</v>
          </cell>
          <cell r="BE432" t="str">
            <v xml:space="preserve">Without Partition </v>
          </cell>
          <cell r="BF432" t="str">
            <v>PINK</v>
          </cell>
          <cell r="BG432">
            <v>2500000</v>
          </cell>
          <cell r="BH432">
            <v>2650000</v>
          </cell>
          <cell r="BI432">
            <v>100000</v>
          </cell>
          <cell r="BJ432">
            <v>2550000</v>
          </cell>
          <cell r="BK432">
            <v>0</v>
          </cell>
          <cell r="BL432">
            <v>2550000</v>
          </cell>
        </row>
        <row r="433">
          <cell r="D433" t="str">
            <v>OS</v>
          </cell>
          <cell r="E433"/>
          <cell r="F433">
            <v>413</v>
          </cell>
          <cell r="G433" t="str">
            <v>CLOSED</v>
          </cell>
          <cell r="H433" t="str">
            <v>OPEN</v>
          </cell>
          <cell r="I433" t="str">
            <v>OPEN</v>
          </cell>
          <cell r="J433" t="str">
            <v>TS</v>
          </cell>
          <cell r="K433" t="str">
            <v>TS</v>
          </cell>
          <cell r="L433" t="str">
            <v>TS</v>
          </cell>
          <cell r="M433" t="str">
            <v>TS</v>
          </cell>
          <cell r="N433" t="str">
            <v>TS</v>
          </cell>
          <cell r="O433" t="str">
            <v>TS</v>
          </cell>
          <cell r="P433" t="str">
            <v>OS</v>
          </cell>
          <cell r="Q433" t="str">
            <v>OS</v>
          </cell>
          <cell r="R433" t="str">
            <v>OS</v>
          </cell>
          <cell r="S433" t="str">
            <v>OS</v>
          </cell>
          <cell r="T433" t="str">
            <v>OS</v>
          </cell>
          <cell r="U433" t="str">
            <v>OS</v>
          </cell>
          <cell r="V433" t="str">
            <v>OS</v>
          </cell>
          <cell r="W433" t="str">
            <v>OS</v>
          </cell>
          <cell r="X433" t="str">
            <v>OS</v>
          </cell>
          <cell r="Y433" t="str">
            <v>OS</v>
          </cell>
          <cell r="Z433" t="str">
            <v>OS</v>
          </cell>
          <cell r="AA433" t="str">
            <v>OS</v>
          </cell>
          <cell r="AB433" t="str">
            <v>OS</v>
          </cell>
          <cell r="AC433" t="str">
            <v>OS</v>
          </cell>
          <cell r="AD433" t="str">
            <v>AGM-01-023-050</v>
          </cell>
          <cell r="AE433" t="str">
            <v xml:space="preserve">Raemulan Lands, Inc. </v>
          </cell>
          <cell r="AF433" t="str">
            <v>Agapeya</v>
          </cell>
          <cell r="AG433" t="str">
            <v>AGM</v>
          </cell>
          <cell r="AH433" t="str">
            <v>Eco-High</v>
          </cell>
          <cell r="AI433" t="str">
            <v>West</v>
          </cell>
          <cell r="AJ433" t="str">
            <v>Without LTS</v>
          </cell>
          <cell r="AK433" t="str">
            <v>for conso</v>
          </cell>
          <cell r="AL433" t="str">
            <v>Unaffected lots</v>
          </cell>
          <cell r="AM433" t="b">
            <v>1</v>
          </cell>
          <cell r="AN433" t="str">
            <v>NO</v>
          </cell>
          <cell r="AO433" t="str">
            <v>B4 2025</v>
          </cell>
          <cell r="AP433" t="str">
            <v>38/32</v>
          </cell>
          <cell r="AQ433" t="str">
            <v>PCS-04-034407/PSD-04-277865</v>
          </cell>
          <cell r="AR433" t="b">
            <v>0</v>
          </cell>
          <cell r="AS433" t="str">
            <v>For Conso</v>
          </cell>
          <cell r="AT433" t="str">
            <v>2025 - Batch 4</v>
          </cell>
          <cell r="AU433">
            <v>23</v>
          </cell>
          <cell r="AV433">
            <v>50</v>
          </cell>
          <cell r="AW433" t="str">
            <v>H+L</v>
          </cell>
          <cell r="AX433">
            <v>70</v>
          </cell>
          <cell r="AY433">
            <v>50</v>
          </cell>
          <cell r="AZ433" t="str">
            <v>Duplex</v>
          </cell>
          <cell r="BA433">
            <v>1</v>
          </cell>
          <cell r="BB433" t="str">
            <v>568 - Without Partition</v>
          </cell>
          <cell r="BC433" t="str">
            <v xml:space="preserve">Without Partition </v>
          </cell>
          <cell r="BD433" t="str">
            <v>Slant</v>
          </cell>
          <cell r="BE433" t="str">
            <v xml:space="preserve">Without Partition </v>
          </cell>
          <cell r="BF433" t="str">
            <v>PINK</v>
          </cell>
          <cell r="BG433">
            <v>2500000</v>
          </cell>
          <cell r="BH433">
            <v>2650000</v>
          </cell>
          <cell r="BI433">
            <v>100000</v>
          </cell>
          <cell r="BJ433">
            <v>2550000</v>
          </cell>
          <cell r="BK433">
            <v>0</v>
          </cell>
          <cell r="BL433">
            <v>2550000</v>
          </cell>
        </row>
        <row r="434">
          <cell r="D434" t="str">
            <v>OS</v>
          </cell>
          <cell r="E434"/>
          <cell r="F434">
            <v>414</v>
          </cell>
          <cell r="G434" t="str">
            <v>SOLD</v>
          </cell>
          <cell r="H434" t="str">
            <v>OS</v>
          </cell>
          <cell r="I434" t="str">
            <v>OS</v>
          </cell>
          <cell r="J434" t="str">
            <v>OS</v>
          </cell>
          <cell r="K434" t="str">
            <v>OS</v>
          </cell>
          <cell r="L434" t="str">
            <v>OS</v>
          </cell>
          <cell r="M434" t="str">
            <v>OS</v>
          </cell>
          <cell r="N434" t="str">
            <v>OS</v>
          </cell>
          <cell r="O434" t="str">
            <v>OS</v>
          </cell>
          <cell r="P434" t="str">
            <v>OS</v>
          </cell>
          <cell r="Q434" t="str">
            <v>OS</v>
          </cell>
          <cell r="R434" t="str">
            <v>OS</v>
          </cell>
          <cell r="S434" t="str">
            <v>OS</v>
          </cell>
          <cell r="T434" t="str">
            <v>OS</v>
          </cell>
          <cell r="U434" t="str">
            <v>OS</v>
          </cell>
          <cell r="V434" t="str">
            <v>OS</v>
          </cell>
          <cell r="W434" t="str">
            <v>OS</v>
          </cell>
          <cell r="X434" t="str">
            <v>OS</v>
          </cell>
          <cell r="Y434" t="str">
            <v>OS</v>
          </cell>
          <cell r="Z434" t="str">
            <v>OS</v>
          </cell>
          <cell r="AA434" t="str">
            <v>OS</v>
          </cell>
          <cell r="AB434" t="str">
            <v>OS</v>
          </cell>
          <cell r="AC434" t="str">
            <v>OS</v>
          </cell>
          <cell r="AD434" t="str">
            <v>AGM-01-023-051</v>
          </cell>
          <cell r="AE434" t="str">
            <v xml:space="preserve">Raemulan Lands, Inc. </v>
          </cell>
          <cell r="AF434" t="str">
            <v>Agapeya</v>
          </cell>
          <cell r="AG434" t="str">
            <v>AGM</v>
          </cell>
          <cell r="AH434" t="str">
            <v>Eco-High</v>
          </cell>
          <cell r="AI434" t="str">
            <v>West</v>
          </cell>
          <cell r="AJ434" t="str">
            <v>With LTS</v>
          </cell>
          <cell r="AK434" t="str">
            <v>Unaffected lots</v>
          </cell>
          <cell r="AL434" t="str">
            <v>Unaffected lots</v>
          </cell>
          <cell r="AM434" t="b">
            <v>1</v>
          </cell>
          <cell r="AN434" t="str">
            <v>YES</v>
          </cell>
          <cell r="AO434" t="str">
            <v>B4 2025</v>
          </cell>
          <cell r="AP434">
            <v>70</v>
          </cell>
          <cell r="AQ434" t="str">
            <v>PCS-04-034407</v>
          </cell>
          <cell r="AR434" t="b">
            <v>1</v>
          </cell>
          <cell r="AS434" t="str">
            <v>Done</v>
          </cell>
          <cell r="AT434" t="str">
            <v>2025 - Batch 3</v>
          </cell>
          <cell r="AU434">
            <v>23</v>
          </cell>
          <cell r="AV434">
            <v>51</v>
          </cell>
          <cell r="AW434" t="str">
            <v>H+L</v>
          </cell>
          <cell r="AX434">
            <v>70</v>
          </cell>
          <cell r="AY434">
            <v>50</v>
          </cell>
          <cell r="AZ434" t="str">
            <v>Duplex</v>
          </cell>
          <cell r="BA434">
            <v>1</v>
          </cell>
          <cell r="BB434" t="str">
            <v>568 - Without Partition</v>
          </cell>
          <cell r="BC434" t="str">
            <v xml:space="preserve">Without Partition </v>
          </cell>
          <cell r="BD434" t="str">
            <v>Slant</v>
          </cell>
          <cell r="BE434" t="str">
            <v xml:space="preserve">Without Partition </v>
          </cell>
          <cell r="BF434" t="str">
            <v>PURPLE</v>
          </cell>
          <cell r="BG434">
            <v>2500000</v>
          </cell>
          <cell r="BH434">
            <v>2650000</v>
          </cell>
          <cell r="BI434">
            <v>100000</v>
          </cell>
          <cell r="BJ434">
            <v>2550000</v>
          </cell>
          <cell r="BK434">
            <v>0</v>
          </cell>
          <cell r="BL434">
            <v>2550000</v>
          </cell>
        </row>
        <row r="435">
          <cell r="D435" t="str">
            <v>OS</v>
          </cell>
          <cell r="E435"/>
          <cell r="F435">
            <v>415</v>
          </cell>
          <cell r="G435" t="str">
            <v>SOLD</v>
          </cell>
          <cell r="H435" t="str">
            <v>OS</v>
          </cell>
          <cell r="I435" t="str">
            <v>OS</v>
          </cell>
          <cell r="J435" t="str">
            <v>OS</v>
          </cell>
          <cell r="K435" t="str">
            <v>OS</v>
          </cell>
          <cell r="L435" t="str">
            <v>OS</v>
          </cell>
          <cell r="M435" t="str">
            <v>OS</v>
          </cell>
          <cell r="N435" t="str">
            <v>OS</v>
          </cell>
          <cell r="O435" t="str">
            <v>OS</v>
          </cell>
          <cell r="P435" t="str">
            <v>OS</v>
          </cell>
          <cell r="Q435" t="str">
            <v>OS</v>
          </cell>
          <cell r="R435" t="str">
            <v>OS</v>
          </cell>
          <cell r="S435" t="str">
            <v>OS</v>
          </cell>
          <cell r="T435" t="str">
            <v>OS</v>
          </cell>
          <cell r="U435" t="str">
            <v>OS</v>
          </cell>
          <cell r="V435" t="str">
            <v>OS</v>
          </cell>
          <cell r="W435" t="str">
            <v>OS</v>
          </cell>
          <cell r="X435" t="str">
            <v>OS</v>
          </cell>
          <cell r="Y435" t="str">
            <v>OS</v>
          </cell>
          <cell r="Z435" t="str">
            <v>OS</v>
          </cell>
          <cell r="AA435" t="str">
            <v>OS</v>
          </cell>
          <cell r="AB435" t="str">
            <v>OS</v>
          </cell>
          <cell r="AC435" t="str">
            <v>OS</v>
          </cell>
          <cell r="AD435" t="str">
            <v>AGM-01-023-052</v>
          </cell>
          <cell r="AE435" t="str">
            <v xml:space="preserve">Raemulan Lands, Inc. </v>
          </cell>
          <cell r="AF435" t="str">
            <v>Agapeya</v>
          </cell>
          <cell r="AG435" t="str">
            <v>AGM</v>
          </cell>
          <cell r="AH435" t="str">
            <v>Eco-High</v>
          </cell>
          <cell r="AI435" t="str">
            <v>West</v>
          </cell>
          <cell r="AJ435" t="str">
            <v>With LTS</v>
          </cell>
          <cell r="AK435" t="str">
            <v>Unaffected lots</v>
          </cell>
          <cell r="AL435" t="str">
            <v>Unaffected lots</v>
          </cell>
          <cell r="AM435" t="b">
            <v>1</v>
          </cell>
          <cell r="AN435" t="str">
            <v>YES</v>
          </cell>
          <cell r="AO435" t="str">
            <v>B4 2025</v>
          </cell>
          <cell r="AP435">
            <v>70</v>
          </cell>
          <cell r="AQ435" t="str">
            <v>PCS-04-034407</v>
          </cell>
          <cell r="AR435" t="b">
            <v>1</v>
          </cell>
          <cell r="AS435" t="str">
            <v>Done</v>
          </cell>
          <cell r="AT435" t="str">
            <v>2025 - Batch 3</v>
          </cell>
          <cell r="AU435">
            <v>23</v>
          </cell>
          <cell r="AV435">
            <v>52</v>
          </cell>
          <cell r="AW435" t="str">
            <v>H+L</v>
          </cell>
          <cell r="AX435">
            <v>70</v>
          </cell>
          <cell r="AY435">
            <v>50</v>
          </cell>
          <cell r="AZ435" t="str">
            <v>Duplex</v>
          </cell>
          <cell r="BA435">
            <v>1</v>
          </cell>
          <cell r="BB435" t="str">
            <v>568 - Without Partition</v>
          </cell>
          <cell r="BC435" t="str">
            <v xml:space="preserve">Without Partition </v>
          </cell>
          <cell r="BD435" t="str">
            <v>Flat</v>
          </cell>
          <cell r="BE435" t="str">
            <v xml:space="preserve">Without Partition </v>
          </cell>
          <cell r="BF435" t="str">
            <v>PURPLE</v>
          </cell>
          <cell r="BG435">
            <v>2500000</v>
          </cell>
          <cell r="BH435">
            <v>2650000</v>
          </cell>
          <cell r="BI435">
            <v>100000</v>
          </cell>
          <cell r="BJ435">
            <v>2550000</v>
          </cell>
          <cell r="BK435">
            <v>0</v>
          </cell>
          <cell r="BL435">
            <v>2550000</v>
          </cell>
        </row>
        <row r="436">
          <cell r="D436" t="str">
            <v>OS</v>
          </cell>
          <cell r="E436"/>
          <cell r="F436">
            <v>416</v>
          </cell>
          <cell r="G436" t="str">
            <v>SOLD</v>
          </cell>
          <cell r="H436" t="str">
            <v>OS</v>
          </cell>
          <cell r="I436" t="str">
            <v>OS</v>
          </cell>
          <cell r="J436" t="str">
            <v>OS</v>
          </cell>
          <cell r="K436" t="str">
            <v>OS</v>
          </cell>
          <cell r="L436" t="str">
            <v>OS</v>
          </cell>
          <cell r="M436" t="str">
            <v>OS</v>
          </cell>
          <cell r="N436" t="str">
            <v>OS</v>
          </cell>
          <cell r="O436" t="str">
            <v>OS</v>
          </cell>
          <cell r="P436" t="str">
            <v>OS</v>
          </cell>
          <cell r="Q436" t="str">
            <v>OS</v>
          </cell>
          <cell r="R436" t="str">
            <v>OS</v>
          </cell>
          <cell r="S436" t="str">
            <v>OS</v>
          </cell>
          <cell r="T436" t="str">
            <v>OS</v>
          </cell>
          <cell r="U436" t="str">
            <v>OS</v>
          </cell>
          <cell r="V436" t="str">
            <v>OS</v>
          </cell>
          <cell r="W436" t="str">
            <v>OS</v>
          </cell>
          <cell r="X436" t="str">
            <v>OS</v>
          </cell>
          <cell r="Y436" t="str">
            <v>OS</v>
          </cell>
          <cell r="Z436" t="str">
            <v>OS</v>
          </cell>
          <cell r="AA436" t="str">
            <v>OS</v>
          </cell>
          <cell r="AB436" t="str">
            <v>OS</v>
          </cell>
          <cell r="AC436" t="str">
            <v>OS</v>
          </cell>
          <cell r="AD436" t="str">
            <v>AGM-01-023-053</v>
          </cell>
          <cell r="AE436" t="str">
            <v xml:space="preserve">Raemulan Lands, Inc. </v>
          </cell>
          <cell r="AF436" t="str">
            <v>Agapeya</v>
          </cell>
          <cell r="AG436" t="str">
            <v>AGM</v>
          </cell>
          <cell r="AH436" t="str">
            <v>Eco-High</v>
          </cell>
          <cell r="AI436" t="str">
            <v>West</v>
          </cell>
          <cell r="AJ436" t="str">
            <v>With LTS</v>
          </cell>
          <cell r="AK436" t="str">
            <v>Unaffected lots</v>
          </cell>
          <cell r="AL436" t="str">
            <v>Unaffected lots</v>
          </cell>
          <cell r="AM436" t="b">
            <v>1</v>
          </cell>
          <cell r="AN436" t="str">
            <v>YES</v>
          </cell>
          <cell r="AO436" t="str">
            <v>B4 2025</v>
          </cell>
          <cell r="AP436">
            <v>70</v>
          </cell>
          <cell r="AQ436" t="str">
            <v>PCS-04-034407</v>
          </cell>
          <cell r="AR436" t="b">
            <v>1</v>
          </cell>
          <cell r="AS436" t="str">
            <v>Done</v>
          </cell>
          <cell r="AT436" t="str">
            <v>2025 - Batch 3</v>
          </cell>
          <cell r="AU436">
            <v>23</v>
          </cell>
          <cell r="AV436">
            <v>53</v>
          </cell>
          <cell r="AW436" t="str">
            <v>H+L</v>
          </cell>
          <cell r="AX436">
            <v>70</v>
          </cell>
          <cell r="AY436">
            <v>50</v>
          </cell>
          <cell r="AZ436" t="str">
            <v>Duplex</v>
          </cell>
          <cell r="BA436">
            <v>1</v>
          </cell>
          <cell r="BB436" t="str">
            <v>568 - Without Partition</v>
          </cell>
          <cell r="BC436" t="str">
            <v xml:space="preserve">Without Partition </v>
          </cell>
          <cell r="BD436" t="str">
            <v>Flat</v>
          </cell>
          <cell r="BE436" t="str">
            <v xml:space="preserve">Without Partition </v>
          </cell>
          <cell r="BF436" t="str">
            <v>PURPLE</v>
          </cell>
          <cell r="BG436">
            <v>2500000</v>
          </cell>
          <cell r="BH436">
            <v>2650000</v>
          </cell>
          <cell r="BI436">
            <v>100000</v>
          </cell>
          <cell r="BJ436">
            <v>2550000</v>
          </cell>
          <cell r="BK436">
            <v>0</v>
          </cell>
          <cell r="BL436">
            <v>2550000</v>
          </cell>
        </row>
        <row r="437">
          <cell r="D437" t="str">
            <v>OS</v>
          </cell>
          <cell r="E437"/>
          <cell r="F437">
            <v>417</v>
          </cell>
          <cell r="G437" t="str">
            <v>SOLD</v>
          </cell>
          <cell r="H437" t="str">
            <v>OS</v>
          </cell>
          <cell r="I437" t="str">
            <v>OS</v>
          </cell>
          <cell r="J437" t="str">
            <v>OS</v>
          </cell>
          <cell r="K437" t="str">
            <v>OS</v>
          </cell>
          <cell r="L437" t="str">
            <v>OS</v>
          </cell>
          <cell r="M437" t="str">
            <v>OS</v>
          </cell>
          <cell r="N437" t="str">
            <v>OS</v>
          </cell>
          <cell r="O437" t="str">
            <v>OS</v>
          </cell>
          <cell r="P437" t="str">
            <v>OS</v>
          </cell>
          <cell r="Q437" t="str">
            <v>OS</v>
          </cell>
          <cell r="R437" t="str">
            <v>OS</v>
          </cell>
          <cell r="S437" t="str">
            <v>OS</v>
          </cell>
          <cell r="T437" t="str">
            <v>OS</v>
          </cell>
          <cell r="U437" t="str">
            <v>OS</v>
          </cell>
          <cell r="V437" t="str">
            <v>OS</v>
          </cell>
          <cell r="W437" t="str">
            <v>OS</v>
          </cell>
          <cell r="X437" t="str">
            <v>OS</v>
          </cell>
          <cell r="Y437" t="str">
            <v>OS</v>
          </cell>
          <cell r="Z437" t="str">
            <v>OS</v>
          </cell>
          <cell r="AA437" t="str">
            <v>OS</v>
          </cell>
          <cell r="AB437" t="str">
            <v>OS</v>
          </cell>
          <cell r="AC437" t="str">
            <v>OS</v>
          </cell>
          <cell r="AD437" t="str">
            <v>AGM-01-023-054</v>
          </cell>
          <cell r="AE437" t="str">
            <v xml:space="preserve">Raemulan Lands, Inc. </v>
          </cell>
          <cell r="AF437" t="str">
            <v>Agapeya</v>
          </cell>
          <cell r="AG437" t="str">
            <v>AGM</v>
          </cell>
          <cell r="AH437" t="str">
            <v>Eco-High</v>
          </cell>
          <cell r="AI437" t="str">
            <v>West</v>
          </cell>
          <cell r="AJ437" t="str">
            <v>With LTS</v>
          </cell>
          <cell r="AK437" t="str">
            <v>Unaffected lots</v>
          </cell>
          <cell r="AL437" t="str">
            <v>Unaffected lots</v>
          </cell>
          <cell r="AM437" t="b">
            <v>1</v>
          </cell>
          <cell r="AN437" t="str">
            <v>YES</v>
          </cell>
          <cell r="AO437" t="str">
            <v>B4 2025</v>
          </cell>
          <cell r="AP437">
            <v>70</v>
          </cell>
          <cell r="AQ437" t="str">
            <v>PCS-04-034407</v>
          </cell>
          <cell r="AR437" t="b">
            <v>1</v>
          </cell>
          <cell r="AS437" t="str">
            <v>Done</v>
          </cell>
          <cell r="AT437" t="str">
            <v>2025 - Batch 3</v>
          </cell>
          <cell r="AU437">
            <v>23</v>
          </cell>
          <cell r="AV437">
            <v>54</v>
          </cell>
          <cell r="AW437" t="str">
            <v>H+L</v>
          </cell>
          <cell r="AX437">
            <v>70</v>
          </cell>
          <cell r="AY437">
            <v>50</v>
          </cell>
          <cell r="AZ437" t="str">
            <v>Duplex</v>
          </cell>
          <cell r="BA437">
            <v>1</v>
          </cell>
          <cell r="BB437" t="str">
            <v>568 - Without Partition</v>
          </cell>
          <cell r="BC437" t="str">
            <v xml:space="preserve">Without Partition </v>
          </cell>
          <cell r="BD437" t="str">
            <v>Slant</v>
          </cell>
          <cell r="BE437" t="str">
            <v xml:space="preserve">Without Partition </v>
          </cell>
          <cell r="BF437" t="str">
            <v>PURPLE</v>
          </cell>
          <cell r="BG437">
            <v>2500000</v>
          </cell>
          <cell r="BH437">
            <v>2650000</v>
          </cell>
          <cell r="BI437">
            <v>100000</v>
          </cell>
          <cell r="BJ437">
            <v>2550000</v>
          </cell>
          <cell r="BK437">
            <v>0</v>
          </cell>
          <cell r="BL437">
            <v>2550000</v>
          </cell>
        </row>
        <row r="438">
          <cell r="D438" t="str">
            <v>OS</v>
          </cell>
          <cell r="E438"/>
          <cell r="F438">
            <v>418</v>
          </cell>
          <cell r="G438" t="str">
            <v>UNSOLD</v>
          </cell>
          <cell r="H438" t="str">
            <v>TS</v>
          </cell>
          <cell r="I438" t="str">
            <v>TS</v>
          </cell>
          <cell r="J438" t="str">
            <v>TS</v>
          </cell>
          <cell r="K438" t="str">
            <v>TS</v>
          </cell>
          <cell r="L438" t="str">
            <v>TS</v>
          </cell>
          <cell r="M438" t="str">
            <v>TS</v>
          </cell>
          <cell r="N438" t="str">
            <v>TS</v>
          </cell>
          <cell r="O438" t="str">
            <v>TS</v>
          </cell>
          <cell r="P438" t="str">
            <v>TS</v>
          </cell>
          <cell r="Q438" t="str">
            <v>TS</v>
          </cell>
          <cell r="R438" t="str">
            <v>TS</v>
          </cell>
          <cell r="S438" t="str">
            <v>TS</v>
          </cell>
          <cell r="T438" t="str">
            <v>TS</v>
          </cell>
          <cell r="U438" t="str">
            <v>OS</v>
          </cell>
          <cell r="V438" t="str">
            <v>OS</v>
          </cell>
          <cell r="W438" t="str">
            <v>OS</v>
          </cell>
          <cell r="X438" t="str">
            <v>OS</v>
          </cell>
          <cell r="Y438" t="str">
            <v>OS</v>
          </cell>
          <cell r="Z438" t="str">
            <v>OS</v>
          </cell>
          <cell r="AA438" t="str">
            <v>OS</v>
          </cell>
          <cell r="AB438" t="str">
            <v>OS</v>
          </cell>
          <cell r="AC438" t="str">
            <v>OS</v>
          </cell>
          <cell r="AD438" t="str">
            <v>AGM-01-023-055</v>
          </cell>
          <cell r="AE438" t="str">
            <v xml:space="preserve">Raemulan Lands, Inc. </v>
          </cell>
          <cell r="AF438" t="str">
            <v>Agapeya</v>
          </cell>
          <cell r="AG438" t="str">
            <v>AGM</v>
          </cell>
          <cell r="AH438" t="str">
            <v>Eco-High</v>
          </cell>
          <cell r="AI438" t="str">
            <v>West</v>
          </cell>
          <cell r="AJ438" t="str">
            <v>With LTS</v>
          </cell>
          <cell r="AK438" t="str">
            <v>Unaffected lots</v>
          </cell>
          <cell r="AL438" t="str">
            <v>Unaffected lots</v>
          </cell>
          <cell r="AM438" t="b">
            <v>1</v>
          </cell>
          <cell r="AN438" t="str">
            <v>YES</v>
          </cell>
          <cell r="AO438" t="str">
            <v>B4 2025</v>
          </cell>
          <cell r="AP438">
            <v>70</v>
          </cell>
          <cell r="AQ438" t="str">
            <v>PCS-04-034407</v>
          </cell>
          <cell r="AR438" t="b">
            <v>1</v>
          </cell>
          <cell r="AS438" t="str">
            <v>Done</v>
          </cell>
          <cell r="AT438" t="str">
            <v>2025 - Batch 3</v>
          </cell>
          <cell r="AU438">
            <v>23</v>
          </cell>
          <cell r="AV438">
            <v>55</v>
          </cell>
          <cell r="AW438" t="str">
            <v>H+L</v>
          </cell>
          <cell r="AX438">
            <v>70</v>
          </cell>
          <cell r="AY438">
            <v>50</v>
          </cell>
          <cell r="AZ438" t="str">
            <v>Duplex</v>
          </cell>
          <cell r="BA438">
            <v>1</v>
          </cell>
          <cell r="BB438" t="str">
            <v>568 - Without Partition</v>
          </cell>
          <cell r="BC438" t="str">
            <v xml:space="preserve">Without Partition </v>
          </cell>
          <cell r="BD438" t="str">
            <v>Slant</v>
          </cell>
          <cell r="BE438" t="str">
            <v xml:space="preserve">Without Partition </v>
          </cell>
          <cell r="BF438" t="str">
            <v>GREEN</v>
          </cell>
          <cell r="BG438">
            <v>2500000</v>
          </cell>
          <cell r="BH438">
            <v>2650000</v>
          </cell>
          <cell r="BI438">
            <v>100000</v>
          </cell>
          <cell r="BJ438">
            <v>2550000</v>
          </cell>
          <cell r="BK438">
            <v>0</v>
          </cell>
          <cell r="BL438">
            <v>2550000</v>
          </cell>
        </row>
        <row r="439">
          <cell r="D439" t="str">
            <v>OS</v>
          </cell>
          <cell r="E439"/>
          <cell r="F439">
            <v>419</v>
          </cell>
          <cell r="G439" t="str">
            <v>SOLD</v>
          </cell>
          <cell r="H439" t="str">
            <v>OS</v>
          </cell>
          <cell r="I439" t="str">
            <v>OS</v>
          </cell>
          <cell r="J439" t="str">
            <v>OS</v>
          </cell>
          <cell r="K439" t="str">
            <v>OS</v>
          </cell>
          <cell r="L439" t="str">
            <v>OS</v>
          </cell>
          <cell r="M439" t="str">
            <v>OS</v>
          </cell>
          <cell r="N439" t="str">
            <v>OS</v>
          </cell>
          <cell r="O439" t="str">
            <v>OS</v>
          </cell>
          <cell r="P439" t="str">
            <v>OS</v>
          </cell>
          <cell r="Q439" t="str">
            <v>OS</v>
          </cell>
          <cell r="R439" t="str">
            <v>OS</v>
          </cell>
          <cell r="S439" t="str">
            <v>OS</v>
          </cell>
          <cell r="T439" t="str">
            <v>OS</v>
          </cell>
          <cell r="U439" t="str">
            <v>OS</v>
          </cell>
          <cell r="V439" t="str">
            <v>OS</v>
          </cell>
          <cell r="W439" t="str">
            <v>OS</v>
          </cell>
          <cell r="X439" t="str">
            <v>OS</v>
          </cell>
          <cell r="Y439" t="str">
            <v>OS</v>
          </cell>
          <cell r="Z439" t="str">
            <v>OS</v>
          </cell>
          <cell r="AA439" t="str">
            <v>OS</v>
          </cell>
          <cell r="AB439" t="str">
            <v>OS</v>
          </cell>
          <cell r="AC439" t="str">
            <v>OS</v>
          </cell>
          <cell r="AD439" t="str">
            <v>AGM-01-023-056</v>
          </cell>
          <cell r="AE439" t="str">
            <v xml:space="preserve">Raemulan Lands, Inc. </v>
          </cell>
          <cell r="AF439" t="str">
            <v>Agapeya</v>
          </cell>
          <cell r="AG439" t="str">
            <v>AGM</v>
          </cell>
          <cell r="AH439" t="str">
            <v>Eco-High</v>
          </cell>
          <cell r="AI439" t="str">
            <v>West</v>
          </cell>
          <cell r="AJ439" t="str">
            <v>With LTS</v>
          </cell>
          <cell r="AK439" t="str">
            <v>Unaffected lots</v>
          </cell>
          <cell r="AL439" t="str">
            <v>Unaffected lots</v>
          </cell>
          <cell r="AM439" t="b">
            <v>1</v>
          </cell>
          <cell r="AN439" t="str">
            <v>YES</v>
          </cell>
          <cell r="AO439" t="str">
            <v>B4 2025</v>
          </cell>
          <cell r="AP439">
            <v>70</v>
          </cell>
          <cell r="AQ439" t="str">
            <v>PCS-04-034407</v>
          </cell>
          <cell r="AR439" t="b">
            <v>1</v>
          </cell>
          <cell r="AS439" t="str">
            <v>Done</v>
          </cell>
          <cell r="AT439" t="str">
            <v>2025 - Batch 3</v>
          </cell>
          <cell r="AU439">
            <v>23</v>
          </cell>
          <cell r="AV439">
            <v>56</v>
          </cell>
          <cell r="AW439" t="str">
            <v>H+L</v>
          </cell>
          <cell r="AX439">
            <v>70</v>
          </cell>
          <cell r="AY439">
            <v>50</v>
          </cell>
          <cell r="AZ439" t="str">
            <v>Duplex</v>
          </cell>
          <cell r="BA439">
            <v>1</v>
          </cell>
          <cell r="BB439" t="str">
            <v>568 - Without Partition</v>
          </cell>
          <cell r="BC439" t="str">
            <v xml:space="preserve">Without Partition </v>
          </cell>
          <cell r="BD439" t="str">
            <v>Flat</v>
          </cell>
          <cell r="BE439" t="str">
            <v xml:space="preserve">Without Partition </v>
          </cell>
          <cell r="BF439" t="str">
            <v>GREEN</v>
          </cell>
          <cell r="BG439">
            <v>2500000</v>
          </cell>
          <cell r="BH439">
            <v>2650000</v>
          </cell>
          <cell r="BI439">
            <v>100000</v>
          </cell>
          <cell r="BJ439">
            <v>2550000</v>
          </cell>
          <cell r="BK439">
            <v>0</v>
          </cell>
          <cell r="BL439">
            <v>2550000</v>
          </cell>
        </row>
        <row r="440">
          <cell r="D440" t="str">
            <v>OS</v>
          </cell>
          <cell r="E440"/>
          <cell r="F440">
            <v>420</v>
          </cell>
          <cell r="G440" t="str">
            <v>SOLD</v>
          </cell>
          <cell r="H440" t="str">
            <v>OS</v>
          </cell>
          <cell r="I440" t="str">
            <v>OS</v>
          </cell>
          <cell r="J440" t="str">
            <v>OS</v>
          </cell>
          <cell r="K440" t="str">
            <v>OS</v>
          </cell>
          <cell r="L440" t="str">
            <v>OS</v>
          </cell>
          <cell r="M440" t="str">
            <v>OS</v>
          </cell>
          <cell r="N440" t="str">
            <v>OS</v>
          </cell>
          <cell r="O440" t="str">
            <v>OS</v>
          </cell>
          <cell r="P440" t="str">
            <v>OS</v>
          </cell>
          <cell r="Q440" t="str">
            <v>OS</v>
          </cell>
          <cell r="R440" t="str">
            <v>OS</v>
          </cell>
          <cell r="S440" t="str">
            <v>OS</v>
          </cell>
          <cell r="T440" t="str">
            <v>OS</v>
          </cell>
          <cell r="U440" t="str">
            <v>OS</v>
          </cell>
          <cell r="V440" t="str">
            <v>OS</v>
          </cell>
          <cell r="W440" t="str">
            <v>OS</v>
          </cell>
          <cell r="X440" t="str">
            <v>OS</v>
          </cell>
          <cell r="Y440" t="str">
            <v>OS</v>
          </cell>
          <cell r="Z440" t="str">
            <v>OS</v>
          </cell>
          <cell r="AA440" t="str">
            <v>OS</v>
          </cell>
          <cell r="AB440" t="str">
            <v>OS</v>
          </cell>
          <cell r="AC440" t="str">
            <v>OS</v>
          </cell>
          <cell r="AD440" t="str">
            <v>AGM-01-023-057</v>
          </cell>
          <cell r="AE440" t="str">
            <v xml:space="preserve">Raemulan Lands, Inc. </v>
          </cell>
          <cell r="AF440" t="str">
            <v>Agapeya</v>
          </cell>
          <cell r="AG440" t="str">
            <v>AGM</v>
          </cell>
          <cell r="AH440" t="str">
            <v>Eco-High</v>
          </cell>
          <cell r="AI440" t="str">
            <v>West</v>
          </cell>
          <cell r="AJ440" t="str">
            <v>With LTS</v>
          </cell>
          <cell r="AK440" t="str">
            <v>Unaffected lots</v>
          </cell>
          <cell r="AL440" t="str">
            <v>Unaffected lots</v>
          </cell>
          <cell r="AM440" t="b">
            <v>1</v>
          </cell>
          <cell r="AN440" t="str">
            <v>YES</v>
          </cell>
          <cell r="AO440" t="str">
            <v>B4 2025</v>
          </cell>
          <cell r="AP440">
            <v>70</v>
          </cell>
          <cell r="AQ440" t="str">
            <v>PCS-04-034407</v>
          </cell>
          <cell r="AR440" t="b">
            <v>1</v>
          </cell>
          <cell r="AS440" t="str">
            <v>Done</v>
          </cell>
          <cell r="AT440" t="str">
            <v>2025 - Batch 3</v>
          </cell>
          <cell r="AU440">
            <v>23</v>
          </cell>
          <cell r="AV440">
            <v>57</v>
          </cell>
          <cell r="AW440" t="str">
            <v>H+L</v>
          </cell>
          <cell r="AX440">
            <v>70</v>
          </cell>
          <cell r="AY440">
            <v>50</v>
          </cell>
          <cell r="AZ440" t="str">
            <v>Duplex</v>
          </cell>
          <cell r="BA440">
            <v>1</v>
          </cell>
          <cell r="BB440" t="str">
            <v>568 - Without Partition</v>
          </cell>
          <cell r="BC440" t="str">
            <v xml:space="preserve">Without Partition </v>
          </cell>
          <cell r="BD440" t="str">
            <v>Flat</v>
          </cell>
          <cell r="BE440" t="str">
            <v xml:space="preserve">Without Partition </v>
          </cell>
          <cell r="BF440" t="str">
            <v>GREEN</v>
          </cell>
          <cell r="BG440">
            <v>2500000</v>
          </cell>
          <cell r="BH440">
            <v>2650000</v>
          </cell>
          <cell r="BI440">
            <v>100000</v>
          </cell>
          <cell r="BJ440">
            <v>2550000</v>
          </cell>
          <cell r="BK440">
            <v>0</v>
          </cell>
          <cell r="BL440">
            <v>2550000</v>
          </cell>
        </row>
        <row r="441">
          <cell r="D441" t="str">
            <v>OS</v>
          </cell>
          <cell r="E441"/>
          <cell r="F441">
            <v>421</v>
          </cell>
          <cell r="G441" t="str">
            <v>SOLD</v>
          </cell>
          <cell r="H441" t="str">
            <v>OS</v>
          </cell>
          <cell r="I441" t="str">
            <v>OS</v>
          </cell>
          <cell r="J441" t="str">
            <v>OS</v>
          </cell>
          <cell r="K441" t="str">
            <v>OS</v>
          </cell>
          <cell r="L441" t="str">
            <v>OS</v>
          </cell>
          <cell r="M441" t="str">
            <v>OS</v>
          </cell>
          <cell r="N441" t="str">
            <v>OS</v>
          </cell>
          <cell r="O441" t="str">
            <v>OS</v>
          </cell>
          <cell r="P441" t="str">
            <v>OS</v>
          </cell>
          <cell r="Q441" t="str">
            <v>OS</v>
          </cell>
          <cell r="R441" t="str">
            <v>OS</v>
          </cell>
          <cell r="S441" t="str">
            <v>OS</v>
          </cell>
          <cell r="T441" t="str">
            <v>OS</v>
          </cell>
          <cell r="U441" t="str">
            <v>OS</v>
          </cell>
          <cell r="V441" t="str">
            <v>OS</v>
          </cell>
          <cell r="W441" t="str">
            <v>OS</v>
          </cell>
          <cell r="X441" t="str">
            <v>OS</v>
          </cell>
          <cell r="Y441" t="str">
            <v>OS</v>
          </cell>
          <cell r="Z441" t="str">
            <v>OS</v>
          </cell>
          <cell r="AA441" t="str">
            <v>OS</v>
          </cell>
          <cell r="AB441" t="str">
            <v>OS</v>
          </cell>
          <cell r="AC441" t="str">
            <v>OS</v>
          </cell>
          <cell r="AD441" t="str">
            <v>AGM-01-023-058</v>
          </cell>
          <cell r="AE441" t="str">
            <v xml:space="preserve">Raemulan Lands, Inc. </v>
          </cell>
          <cell r="AF441" t="str">
            <v>Agapeya</v>
          </cell>
          <cell r="AG441" t="str">
            <v>AGM</v>
          </cell>
          <cell r="AH441" t="str">
            <v>Eco-High</v>
          </cell>
          <cell r="AI441" t="str">
            <v>West</v>
          </cell>
          <cell r="AJ441" t="str">
            <v>With LTS</v>
          </cell>
          <cell r="AK441" t="str">
            <v>Unaffected lots</v>
          </cell>
          <cell r="AL441" t="str">
            <v>Unaffected lots</v>
          </cell>
          <cell r="AM441" t="b">
            <v>1</v>
          </cell>
          <cell r="AN441" t="str">
            <v>YES</v>
          </cell>
          <cell r="AO441" t="str">
            <v>B4 2025</v>
          </cell>
          <cell r="AP441">
            <v>80</v>
          </cell>
          <cell r="AQ441" t="str">
            <v>PCS-04-034407</v>
          </cell>
          <cell r="AR441" t="b">
            <v>1</v>
          </cell>
          <cell r="AS441" t="str">
            <v>Done</v>
          </cell>
          <cell r="AT441" t="str">
            <v>2025 - Batch 3</v>
          </cell>
          <cell r="AU441">
            <v>23</v>
          </cell>
          <cell r="AV441">
            <v>58</v>
          </cell>
          <cell r="AW441" t="str">
            <v>H+L</v>
          </cell>
          <cell r="AX441">
            <v>80</v>
          </cell>
          <cell r="AY441">
            <v>50</v>
          </cell>
          <cell r="AZ441" t="str">
            <v>Duplex</v>
          </cell>
          <cell r="BA441">
            <v>1</v>
          </cell>
          <cell r="BB441" t="str">
            <v>568 - Without Partition</v>
          </cell>
          <cell r="BC441" t="str">
            <v xml:space="preserve">Without Partition </v>
          </cell>
          <cell r="BD441" t="str">
            <v>Slant</v>
          </cell>
          <cell r="BE441" t="str">
            <v xml:space="preserve">Without Partition </v>
          </cell>
          <cell r="BF441" t="str">
            <v>GREEN</v>
          </cell>
          <cell r="BG441">
            <v>2500000</v>
          </cell>
          <cell r="BH441">
            <v>2800000</v>
          </cell>
          <cell r="BI441">
            <v>100000</v>
          </cell>
          <cell r="BJ441">
            <v>2700000</v>
          </cell>
          <cell r="BK441">
            <v>0</v>
          </cell>
          <cell r="BL441">
            <v>2700000</v>
          </cell>
        </row>
        <row r="442">
          <cell r="D442" t="str">
            <v>OS</v>
          </cell>
          <cell r="E442"/>
          <cell r="F442">
            <v>422</v>
          </cell>
          <cell r="G442" t="str">
            <v>CLOSED</v>
          </cell>
          <cell r="H442" t="str">
            <v>OPEN</v>
          </cell>
          <cell r="I442" t="str">
            <v>OPEN</v>
          </cell>
          <cell r="J442" t="str">
            <v>OPEN</v>
          </cell>
          <cell r="K442" t="str">
            <v>TS</v>
          </cell>
          <cell r="L442" t="str">
            <v>TS</v>
          </cell>
          <cell r="M442" t="str">
            <v>OPEN</v>
          </cell>
          <cell r="N442" t="str">
            <v>TS</v>
          </cell>
          <cell r="O442" t="str">
            <v>TS</v>
          </cell>
          <cell r="P442" t="str">
            <v>OS</v>
          </cell>
          <cell r="Q442" t="str">
            <v>OS</v>
          </cell>
          <cell r="R442" t="str">
            <v>OS</v>
          </cell>
          <cell r="S442" t="str">
            <v>OS</v>
          </cell>
          <cell r="T442" t="str">
            <v>OS</v>
          </cell>
          <cell r="U442" t="str">
            <v>OS</v>
          </cell>
          <cell r="V442" t="str">
            <v>OS</v>
          </cell>
          <cell r="W442" t="str">
            <v>OS</v>
          </cell>
          <cell r="X442" t="str">
            <v>OS</v>
          </cell>
          <cell r="Y442" t="str">
            <v>OS</v>
          </cell>
          <cell r="Z442" t="str">
            <v>OS</v>
          </cell>
          <cell r="AA442" t="str">
            <v>OS</v>
          </cell>
          <cell r="AB442" t="str">
            <v>OS</v>
          </cell>
          <cell r="AC442" t="str">
            <v>OS</v>
          </cell>
          <cell r="AD442" t="str">
            <v>AGM-01-023-059</v>
          </cell>
          <cell r="AE442" t="str">
            <v xml:space="preserve">Raemulan Lands, Inc. </v>
          </cell>
          <cell r="AF442" t="str">
            <v>Agapeya</v>
          </cell>
          <cell r="AG442" t="str">
            <v>AGM</v>
          </cell>
          <cell r="AH442" t="str">
            <v>Eco-High</v>
          </cell>
          <cell r="AI442" t="str">
            <v>West</v>
          </cell>
          <cell r="AJ442" t="str">
            <v>With LTS</v>
          </cell>
          <cell r="AK442" t="str">
            <v>Unaffected lots</v>
          </cell>
          <cell r="AL442" t="str">
            <v>Unaffected lots</v>
          </cell>
          <cell r="AM442" t="b">
            <v>1</v>
          </cell>
          <cell r="AN442" t="str">
            <v>YES</v>
          </cell>
          <cell r="AO442" t="str">
            <v>B3 - Lot Only</v>
          </cell>
          <cell r="AP442">
            <v>113</v>
          </cell>
          <cell r="AQ442" t="str">
            <v>PCS-04-034407</v>
          </cell>
          <cell r="AR442" t="b">
            <v>1</v>
          </cell>
          <cell r="AS442" t="str">
            <v>Done</v>
          </cell>
          <cell r="AT442" t="str">
            <v>Lot Only - N/A</v>
          </cell>
          <cell r="AU442">
            <v>23</v>
          </cell>
          <cell r="AV442">
            <v>59</v>
          </cell>
          <cell r="AW442" t="str">
            <v>LO</v>
          </cell>
          <cell r="AX442">
            <v>113</v>
          </cell>
          <cell r="AY442" t="str">
            <v>N/A</v>
          </cell>
          <cell r="AZ442" t="str">
            <v>Lot Only</v>
          </cell>
          <cell r="BA442" t="str">
            <v>NA</v>
          </cell>
          <cell r="BB442" t="str">
            <v>N/A</v>
          </cell>
          <cell r="BC442" t="str">
            <v>N/A - LOT ONLY</v>
          </cell>
          <cell r="BD442" t="str">
            <v>-</v>
          </cell>
          <cell r="BE442" t="str">
            <v>N/A - LOT ONLY</v>
          </cell>
          <cell r="BF442" t="str">
            <v>N/A - LOT ONLY</v>
          </cell>
          <cell r="BG442">
            <v>2500000</v>
          </cell>
          <cell r="BH442">
            <v>1845000</v>
          </cell>
          <cell r="BI442">
            <v>100000</v>
          </cell>
          <cell r="BJ442">
            <v>1745000</v>
          </cell>
          <cell r="BK442">
            <v>186964.28571428571</v>
          </cell>
          <cell r="BL442">
            <v>1558035.7142857143</v>
          </cell>
        </row>
        <row r="443">
          <cell r="D443" t="str">
            <v>OS</v>
          </cell>
          <cell r="E443"/>
          <cell r="F443">
            <v>423</v>
          </cell>
          <cell r="G443" t="str">
            <v>SOLD</v>
          </cell>
          <cell r="H443" t="str">
            <v>OS</v>
          </cell>
          <cell r="I443" t="str">
            <v>OS</v>
          </cell>
          <cell r="J443" t="str">
            <v>OS</v>
          </cell>
          <cell r="K443" t="str">
            <v>OS</v>
          </cell>
          <cell r="L443" t="str">
            <v>OS</v>
          </cell>
          <cell r="M443" t="str">
            <v>OS</v>
          </cell>
          <cell r="N443" t="str">
            <v>OS</v>
          </cell>
          <cell r="O443" t="str">
            <v>OS</v>
          </cell>
          <cell r="P443" t="str">
            <v>OS</v>
          </cell>
          <cell r="Q443" t="str">
            <v>OS</v>
          </cell>
          <cell r="R443" t="str">
            <v>OS</v>
          </cell>
          <cell r="S443" t="str">
            <v>OS</v>
          </cell>
          <cell r="T443" t="str">
            <v>OS</v>
          </cell>
          <cell r="U443" t="str">
            <v>OS</v>
          </cell>
          <cell r="V443" t="str">
            <v>OS</v>
          </cell>
          <cell r="W443" t="str">
            <v>TS</v>
          </cell>
          <cell r="X443" t="str">
            <v>OS</v>
          </cell>
          <cell r="Y443" t="str">
            <v>OS</v>
          </cell>
          <cell r="Z443" t="str">
            <v>OS</v>
          </cell>
          <cell r="AA443" t="str">
            <v>OS</v>
          </cell>
          <cell r="AB443" t="str">
            <v>OS</v>
          </cell>
          <cell r="AC443" t="str">
            <v>OS</v>
          </cell>
          <cell r="AD443" t="str">
            <v>AGM-01-024-001</v>
          </cell>
          <cell r="AE443" t="str">
            <v xml:space="preserve">Raemulan Lands, Inc. </v>
          </cell>
          <cell r="AF443" t="str">
            <v>Agapeya</v>
          </cell>
          <cell r="AG443" t="str">
            <v>AGM</v>
          </cell>
          <cell r="AH443" t="str">
            <v>Eco-High</v>
          </cell>
          <cell r="AI443" t="str">
            <v>West</v>
          </cell>
          <cell r="AJ443" t="str">
            <v>With LTS</v>
          </cell>
          <cell r="AK443" t="str">
            <v>Unaffected lots</v>
          </cell>
          <cell r="AL443" t="str">
            <v>Unaffected lots</v>
          </cell>
          <cell r="AM443" t="b">
            <v>0</v>
          </cell>
          <cell r="AN443" t="str">
            <v>NO</v>
          </cell>
          <cell r="AO443" t="str">
            <v>B1 2025</v>
          </cell>
          <cell r="AP443">
            <v>105</v>
          </cell>
          <cell r="AQ443" t="str">
            <v>PCS-04-034407</v>
          </cell>
          <cell r="AR443" t="b">
            <v>1</v>
          </cell>
          <cell r="AS443" t="str">
            <v>Done</v>
          </cell>
          <cell r="AT443" t="str">
            <v>2025 - Batch 1</v>
          </cell>
          <cell r="AU443">
            <v>24</v>
          </cell>
          <cell r="AV443">
            <v>1</v>
          </cell>
          <cell r="AW443" t="str">
            <v>H+L</v>
          </cell>
          <cell r="AX443">
            <v>105</v>
          </cell>
          <cell r="AY443">
            <v>50</v>
          </cell>
          <cell r="AZ443" t="str">
            <v>Duplex</v>
          </cell>
          <cell r="BA443">
            <v>1</v>
          </cell>
          <cell r="BB443" t="str">
            <v>568 - Without Partition</v>
          </cell>
          <cell r="BC443" t="str">
            <v xml:space="preserve">Without Partition </v>
          </cell>
          <cell r="BD443" t="str">
            <v>Flat</v>
          </cell>
          <cell r="BE443" t="str">
            <v xml:space="preserve">Without Partition </v>
          </cell>
          <cell r="BF443" t="str">
            <v>PURPLE</v>
          </cell>
          <cell r="BG443">
            <v>3110000</v>
          </cell>
          <cell r="BH443">
            <v>3175000</v>
          </cell>
          <cell r="BI443">
            <v>100000</v>
          </cell>
          <cell r="BJ443">
            <v>3075000</v>
          </cell>
          <cell r="BK443">
            <v>0</v>
          </cell>
          <cell r="BL443">
            <v>3075000</v>
          </cell>
        </row>
        <row r="444">
          <cell r="D444" t="str">
            <v>OS</v>
          </cell>
          <cell r="E444"/>
          <cell r="F444">
            <v>424</v>
          </cell>
          <cell r="G444" t="str">
            <v>SOLD</v>
          </cell>
          <cell r="H444" t="str">
            <v>OS</v>
          </cell>
          <cell r="I444" t="str">
            <v>OS</v>
          </cell>
          <cell r="J444" t="str">
            <v>OS</v>
          </cell>
          <cell r="K444" t="str">
            <v>OS</v>
          </cell>
          <cell r="L444" t="str">
            <v>OS</v>
          </cell>
          <cell r="M444" t="str">
            <v>OS</v>
          </cell>
          <cell r="N444" t="str">
            <v>OS</v>
          </cell>
          <cell r="O444" t="str">
            <v>OS</v>
          </cell>
          <cell r="P444" t="str">
            <v>OS</v>
          </cell>
          <cell r="Q444" t="str">
            <v>OS</v>
          </cell>
          <cell r="R444" t="str">
            <v>OS</v>
          </cell>
          <cell r="S444" t="str">
            <v>OS</v>
          </cell>
          <cell r="T444" t="str">
            <v>OS</v>
          </cell>
          <cell r="U444" t="str">
            <v>OS</v>
          </cell>
          <cell r="V444" t="str">
            <v>OS</v>
          </cell>
          <cell r="W444" t="str">
            <v>OS</v>
          </cell>
          <cell r="X444" t="str">
            <v>OS</v>
          </cell>
          <cell r="Y444" t="str">
            <v>OS</v>
          </cell>
          <cell r="Z444" t="str">
            <v>OS</v>
          </cell>
          <cell r="AA444" t="str">
            <v>OS</v>
          </cell>
          <cell r="AB444" t="str">
            <v>OS</v>
          </cell>
          <cell r="AC444" t="str">
            <v>OS</v>
          </cell>
          <cell r="AD444" t="str">
            <v>AGM-01-024-002</v>
          </cell>
          <cell r="AE444" t="str">
            <v xml:space="preserve">Raemulan Lands, Inc. </v>
          </cell>
          <cell r="AF444" t="str">
            <v>Agapeya</v>
          </cell>
          <cell r="AG444" t="str">
            <v>AGM</v>
          </cell>
          <cell r="AH444" t="str">
            <v>Eco-High</v>
          </cell>
          <cell r="AI444" t="str">
            <v>West</v>
          </cell>
          <cell r="AJ444" t="str">
            <v>With LTS</v>
          </cell>
          <cell r="AK444" t="str">
            <v>Unaffected lots</v>
          </cell>
          <cell r="AL444" t="str">
            <v>Unaffected lots</v>
          </cell>
          <cell r="AM444" t="b">
            <v>1</v>
          </cell>
          <cell r="AN444" t="str">
            <v>YES</v>
          </cell>
          <cell r="AO444" t="str">
            <v>B1 2025</v>
          </cell>
          <cell r="AP444">
            <v>70</v>
          </cell>
          <cell r="AQ444" t="str">
            <v>PCS-04-034407</v>
          </cell>
          <cell r="AR444" t="b">
            <v>1</v>
          </cell>
          <cell r="AS444" t="str">
            <v>Done</v>
          </cell>
          <cell r="AT444" t="str">
            <v>2025 - Batch 1</v>
          </cell>
          <cell r="AU444">
            <v>24</v>
          </cell>
          <cell r="AV444">
            <v>2</v>
          </cell>
          <cell r="AW444" t="str">
            <v>H+L</v>
          </cell>
          <cell r="AX444">
            <v>70</v>
          </cell>
          <cell r="AY444">
            <v>50</v>
          </cell>
          <cell r="AZ444" t="str">
            <v>Duplex</v>
          </cell>
          <cell r="BA444">
            <v>1</v>
          </cell>
          <cell r="BB444" t="str">
            <v>568 - Without Partition</v>
          </cell>
          <cell r="BC444" t="str">
            <v xml:space="preserve">Without Partition </v>
          </cell>
          <cell r="BD444" t="str">
            <v>Slant</v>
          </cell>
          <cell r="BE444" t="str">
            <v xml:space="preserve">Without Partition </v>
          </cell>
          <cell r="BF444" t="str">
            <v>PURPLE</v>
          </cell>
          <cell r="BG444">
            <v>2650000</v>
          </cell>
          <cell r="BH444">
            <v>2650000</v>
          </cell>
          <cell r="BI444">
            <v>100000</v>
          </cell>
          <cell r="BJ444">
            <v>2550000</v>
          </cell>
          <cell r="BK444">
            <v>0</v>
          </cell>
          <cell r="BL444">
            <v>2550000</v>
          </cell>
        </row>
        <row r="445">
          <cell r="D445" t="str">
            <v>OS</v>
          </cell>
          <cell r="E445"/>
          <cell r="F445">
            <v>425</v>
          </cell>
          <cell r="G445" t="str">
            <v>SOLD</v>
          </cell>
          <cell r="H445" t="str">
            <v>OS</v>
          </cell>
          <cell r="I445" t="str">
            <v>OS</v>
          </cell>
          <cell r="J445" t="str">
            <v>OS</v>
          </cell>
          <cell r="K445" t="str">
            <v>OS</v>
          </cell>
          <cell r="L445" t="str">
            <v>OS</v>
          </cell>
          <cell r="M445" t="str">
            <v>OS</v>
          </cell>
          <cell r="N445" t="str">
            <v>OS</v>
          </cell>
          <cell r="O445" t="str">
            <v>OS</v>
          </cell>
          <cell r="P445" t="str">
            <v>OS</v>
          </cell>
          <cell r="Q445" t="str">
            <v>OS</v>
          </cell>
          <cell r="R445" t="str">
            <v>OS</v>
          </cell>
          <cell r="S445" t="str">
            <v>OS</v>
          </cell>
          <cell r="T445" t="str">
            <v>OS</v>
          </cell>
          <cell r="U445" t="str">
            <v>OS</v>
          </cell>
          <cell r="V445" t="str">
            <v>OS</v>
          </cell>
          <cell r="W445" t="str">
            <v>OS</v>
          </cell>
          <cell r="X445" t="str">
            <v>OS</v>
          </cell>
          <cell r="Y445" t="str">
            <v>OS</v>
          </cell>
          <cell r="Z445" t="str">
            <v>OS</v>
          </cell>
          <cell r="AA445" t="str">
            <v>OS</v>
          </cell>
          <cell r="AB445" t="str">
            <v>OS</v>
          </cell>
          <cell r="AC445" t="str">
            <v>OS</v>
          </cell>
          <cell r="AD445" t="str">
            <v>AGM-01-024-003</v>
          </cell>
          <cell r="AE445" t="str">
            <v xml:space="preserve">Raemulan Lands, Inc. </v>
          </cell>
          <cell r="AF445" t="str">
            <v>Agapeya</v>
          </cell>
          <cell r="AG445" t="str">
            <v>AGM</v>
          </cell>
          <cell r="AH445" t="str">
            <v>Eco-High</v>
          </cell>
          <cell r="AI445" t="str">
            <v>West</v>
          </cell>
          <cell r="AJ445" t="str">
            <v>With LTS</v>
          </cell>
          <cell r="AK445" t="str">
            <v>Unaffected lots</v>
          </cell>
          <cell r="AL445" t="str">
            <v>Unaffected lots</v>
          </cell>
          <cell r="AM445" t="b">
            <v>1</v>
          </cell>
          <cell r="AN445" t="str">
            <v>YES</v>
          </cell>
          <cell r="AO445" t="str">
            <v>B1 2025</v>
          </cell>
          <cell r="AP445">
            <v>70</v>
          </cell>
          <cell r="AQ445" t="str">
            <v>PCS-04-034407</v>
          </cell>
          <cell r="AR445" t="b">
            <v>1</v>
          </cell>
          <cell r="AS445" t="str">
            <v>Done</v>
          </cell>
          <cell r="AT445" t="str">
            <v>2025 - Batch 1</v>
          </cell>
          <cell r="AU445">
            <v>24</v>
          </cell>
          <cell r="AV445">
            <v>3</v>
          </cell>
          <cell r="AW445" t="str">
            <v>H+L</v>
          </cell>
          <cell r="AX445">
            <v>70</v>
          </cell>
          <cell r="AY445">
            <v>50</v>
          </cell>
          <cell r="AZ445" t="str">
            <v>Duplex</v>
          </cell>
          <cell r="BA445">
            <v>1</v>
          </cell>
          <cell r="BB445" t="str">
            <v>568 - Without Partition</v>
          </cell>
          <cell r="BC445" t="str">
            <v xml:space="preserve">Without Partition </v>
          </cell>
          <cell r="BD445" t="str">
            <v>Slant</v>
          </cell>
          <cell r="BE445" t="str">
            <v xml:space="preserve">Without Partition </v>
          </cell>
          <cell r="BF445" t="str">
            <v>PURPLE</v>
          </cell>
          <cell r="BG445">
            <v>2500000</v>
          </cell>
          <cell r="BH445">
            <v>2650000</v>
          </cell>
          <cell r="BI445">
            <v>100000</v>
          </cell>
          <cell r="BJ445">
            <v>2550000</v>
          </cell>
          <cell r="BK445">
            <v>0</v>
          </cell>
          <cell r="BL445">
            <v>2550000</v>
          </cell>
        </row>
        <row r="446">
          <cell r="D446" t="str">
            <v>OS</v>
          </cell>
          <cell r="E446"/>
          <cell r="F446">
            <v>426</v>
          </cell>
          <cell r="G446" t="str">
            <v>SOLD</v>
          </cell>
          <cell r="H446" t="str">
            <v>OS</v>
          </cell>
          <cell r="I446" t="str">
            <v>OS</v>
          </cell>
          <cell r="J446" t="str">
            <v>OS</v>
          </cell>
          <cell r="K446" t="str">
            <v>OS</v>
          </cell>
          <cell r="L446" t="str">
            <v>OS</v>
          </cell>
          <cell r="M446" t="str">
            <v>OS</v>
          </cell>
          <cell r="N446" t="str">
            <v>OS</v>
          </cell>
          <cell r="O446" t="str">
            <v>OS</v>
          </cell>
          <cell r="P446" t="str">
            <v>OS</v>
          </cell>
          <cell r="Q446" t="str">
            <v>OS</v>
          </cell>
          <cell r="R446" t="str">
            <v>OS</v>
          </cell>
          <cell r="S446" t="str">
            <v>OS</v>
          </cell>
          <cell r="T446" t="str">
            <v>OS</v>
          </cell>
          <cell r="U446" t="str">
            <v>OS</v>
          </cell>
          <cell r="V446" t="str">
            <v>OS</v>
          </cell>
          <cell r="W446" t="str">
            <v>OS</v>
          </cell>
          <cell r="X446" t="str">
            <v>OS</v>
          </cell>
          <cell r="Y446" t="str">
            <v>OS</v>
          </cell>
          <cell r="Z446" t="str">
            <v>OS</v>
          </cell>
          <cell r="AA446" t="str">
            <v>OS</v>
          </cell>
          <cell r="AB446" t="str">
            <v>OS</v>
          </cell>
          <cell r="AC446" t="str">
            <v>OS</v>
          </cell>
          <cell r="AD446" t="str">
            <v>AGM-01-024-004</v>
          </cell>
          <cell r="AE446" t="str">
            <v xml:space="preserve">Raemulan Lands, Inc. </v>
          </cell>
          <cell r="AF446" t="str">
            <v>Agapeya</v>
          </cell>
          <cell r="AG446" t="str">
            <v>AGM</v>
          </cell>
          <cell r="AH446" t="str">
            <v>Eco-High</v>
          </cell>
          <cell r="AI446" t="str">
            <v>West</v>
          </cell>
          <cell r="AJ446" t="str">
            <v>With LTS</v>
          </cell>
          <cell r="AK446" t="str">
            <v>Unaffected lots</v>
          </cell>
          <cell r="AL446" t="str">
            <v>Unaffected lots</v>
          </cell>
          <cell r="AM446" t="b">
            <v>1</v>
          </cell>
          <cell r="AN446" t="str">
            <v>YES</v>
          </cell>
          <cell r="AO446" t="str">
            <v>B1 2025</v>
          </cell>
          <cell r="AP446">
            <v>70</v>
          </cell>
          <cell r="AQ446" t="str">
            <v>PCS-04-034407</v>
          </cell>
          <cell r="AR446" t="b">
            <v>1</v>
          </cell>
          <cell r="AS446" t="str">
            <v>Done</v>
          </cell>
          <cell r="AT446" t="str">
            <v>2025 - Batch 1</v>
          </cell>
          <cell r="AU446">
            <v>24</v>
          </cell>
          <cell r="AV446">
            <v>4</v>
          </cell>
          <cell r="AW446" t="str">
            <v>H+L</v>
          </cell>
          <cell r="AX446">
            <v>70</v>
          </cell>
          <cell r="AY446">
            <v>50</v>
          </cell>
          <cell r="AZ446" t="str">
            <v>Duplex</v>
          </cell>
          <cell r="BA446">
            <v>1</v>
          </cell>
          <cell r="BB446" t="str">
            <v>568 - Without Partition</v>
          </cell>
          <cell r="BC446" t="str">
            <v xml:space="preserve">Without Partition </v>
          </cell>
          <cell r="BD446" t="str">
            <v>Flat</v>
          </cell>
          <cell r="BE446" t="str">
            <v xml:space="preserve">Without Partition </v>
          </cell>
          <cell r="BF446" t="str">
            <v>PURPLE</v>
          </cell>
          <cell r="BG446">
            <v>2500000</v>
          </cell>
          <cell r="BH446">
            <v>2650000</v>
          </cell>
          <cell r="BI446">
            <v>100000</v>
          </cell>
          <cell r="BJ446">
            <v>2550000</v>
          </cell>
          <cell r="BK446">
            <v>0</v>
          </cell>
          <cell r="BL446">
            <v>2550000</v>
          </cell>
        </row>
        <row r="447">
          <cell r="D447" t="str">
            <v>OS</v>
          </cell>
          <cell r="E447"/>
          <cell r="F447">
            <v>427</v>
          </cell>
          <cell r="G447" t="str">
            <v>UNSOLD</v>
          </cell>
          <cell r="H447" t="str">
            <v>TS</v>
          </cell>
          <cell r="I447" t="str">
            <v>TS</v>
          </cell>
          <cell r="J447" t="str">
            <v>TS</v>
          </cell>
          <cell r="K447" t="str">
            <v>TS</v>
          </cell>
          <cell r="L447" t="str">
            <v>TS</v>
          </cell>
          <cell r="M447" t="str">
            <v>TS</v>
          </cell>
          <cell r="N447" t="str">
            <v>TS</v>
          </cell>
          <cell r="O447" t="str">
            <v>TS</v>
          </cell>
          <cell r="P447" t="str">
            <v>OS</v>
          </cell>
          <cell r="Q447" t="str">
            <v>OS</v>
          </cell>
          <cell r="R447" t="str">
            <v>OS</v>
          </cell>
          <cell r="S447" t="str">
            <v>OS</v>
          </cell>
          <cell r="T447" t="str">
            <v>OS</v>
          </cell>
          <cell r="U447" t="str">
            <v>OS</v>
          </cell>
          <cell r="V447" t="str">
            <v>OS</v>
          </cell>
          <cell r="W447" t="str">
            <v>OS</v>
          </cell>
          <cell r="X447" t="str">
            <v>OS</v>
          </cell>
          <cell r="Y447" t="str">
            <v>OS</v>
          </cell>
          <cell r="Z447" t="str">
            <v>OS</v>
          </cell>
          <cell r="AA447" t="str">
            <v>OS</v>
          </cell>
          <cell r="AB447" t="str">
            <v>OS</v>
          </cell>
          <cell r="AC447" t="str">
            <v>OS</v>
          </cell>
          <cell r="AD447" t="str">
            <v>AGM-01-024-005</v>
          </cell>
          <cell r="AE447" t="str">
            <v xml:space="preserve">Raemulan Lands, Inc. </v>
          </cell>
          <cell r="AF447" t="str">
            <v>Agapeya</v>
          </cell>
          <cell r="AG447" t="str">
            <v>AGM</v>
          </cell>
          <cell r="AH447" t="str">
            <v>Eco-High</v>
          </cell>
          <cell r="AI447" t="str">
            <v>West</v>
          </cell>
          <cell r="AJ447" t="str">
            <v>With LTS</v>
          </cell>
          <cell r="AK447" t="str">
            <v>Unaffected lots</v>
          </cell>
          <cell r="AL447" t="str">
            <v>Unaffected lots</v>
          </cell>
          <cell r="AM447" t="b">
            <v>1</v>
          </cell>
          <cell r="AN447" t="str">
            <v>YES</v>
          </cell>
          <cell r="AO447" t="str">
            <v>B2 2025</v>
          </cell>
          <cell r="AP447">
            <v>70</v>
          </cell>
          <cell r="AQ447" t="str">
            <v>PCS-04-034407</v>
          </cell>
          <cell r="AR447" t="b">
            <v>1</v>
          </cell>
          <cell r="AS447" t="str">
            <v>Done</v>
          </cell>
          <cell r="AT447" t="str">
            <v>2025 - Batch 5</v>
          </cell>
          <cell r="AU447">
            <v>24</v>
          </cell>
          <cell r="AV447">
            <v>5</v>
          </cell>
          <cell r="AW447" t="str">
            <v>H+L</v>
          </cell>
          <cell r="AX447">
            <v>70</v>
          </cell>
          <cell r="AY447">
            <v>50</v>
          </cell>
          <cell r="AZ447" t="str">
            <v>Duplex</v>
          </cell>
          <cell r="BA447">
            <v>1</v>
          </cell>
          <cell r="BB447" t="str">
            <v>568 - Without Partition</v>
          </cell>
          <cell r="BC447" t="str">
            <v xml:space="preserve">Without Partition </v>
          </cell>
          <cell r="BD447" t="str">
            <v>Flat</v>
          </cell>
          <cell r="BE447" t="str">
            <v xml:space="preserve">Without Partition </v>
          </cell>
          <cell r="BF447" t="str">
            <v>PINK</v>
          </cell>
          <cell r="BG447">
            <v>2500000</v>
          </cell>
          <cell r="BH447">
            <v>2650000</v>
          </cell>
          <cell r="BI447">
            <v>100000</v>
          </cell>
          <cell r="BJ447">
            <v>2550000</v>
          </cell>
          <cell r="BK447">
            <v>0</v>
          </cell>
          <cell r="BL447">
            <v>2550000</v>
          </cell>
        </row>
        <row r="448">
          <cell r="D448" t="str">
            <v>OS</v>
          </cell>
          <cell r="E448"/>
          <cell r="F448">
            <v>428</v>
          </cell>
          <cell r="G448" t="str">
            <v>SOLD</v>
          </cell>
          <cell r="H448" t="str">
            <v>OS</v>
          </cell>
          <cell r="I448" t="str">
            <v>OS</v>
          </cell>
          <cell r="J448" t="str">
            <v>OS</v>
          </cell>
          <cell r="K448" t="str">
            <v>OS</v>
          </cell>
          <cell r="L448" t="str">
            <v>OS</v>
          </cell>
          <cell r="M448" t="str">
            <v>OS</v>
          </cell>
          <cell r="N448" t="str">
            <v>OS</v>
          </cell>
          <cell r="O448" t="str">
            <v>OS</v>
          </cell>
          <cell r="P448" t="str">
            <v>OS</v>
          </cell>
          <cell r="Q448" t="str">
            <v>OS</v>
          </cell>
          <cell r="R448" t="str">
            <v>OS</v>
          </cell>
          <cell r="S448" t="str">
            <v>OS</v>
          </cell>
          <cell r="T448" t="str">
            <v>OS</v>
          </cell>
          <cell r="U448" t="str">
            <v>OS</v>
          </cell>
          <cell r="V448" t="str">
            <v>OS</v>
          </cell>
          <cell r="W448" t="str">
            <v>OS</v>
          </cell>
          <cell r="X448" t="str">
            <v>OS</v>
          </cell>
          <cell r="Y448" t="str">
            <v>OS</v>
          </cell>
          <cell r="Z448" t="str">
            <v>OS</v>
          </cell>
          <cell r="AA448" t="str">
            <v>OS</v>
          </cell>
          <cell r="AB448" t="str">
            <v>OS</v>
          </cell>
          <cell r="AC448" t="str">
            <v>OS</v>
          </cell>
          <cell r="AD448" t="str">
            <v>AGM-01-024-006</v>
          </cell>
          <cell r="AE448" t="str">
            <v xml:space="preserve">Raemulan Lands, Inc. </v>
          </cell>
          <cell r="AF448" t="str">
            <v>Agapeya</v>
          </cell>
          <cell r="AG448" t="str">
            <v>AGM</v>
          </cell>
          <cell r="AH448" t="str">
            <v>Eco-High</v>
          </cell>
          <cell r="AI448" t="str">
            <v>West</v>
          </cell>
          <cell r="AJ448" t="str">
            <v>With LTS</v>
          </cell>
          <cell r="AK448" t="str">
            <v>Unaffected lots</v>
          </cell>
          <cell r="AL448" t="str">
            <v>Unaffected lots</v>
          </cell>
          <cell r="AM448" t="b">
            <v>1</v>
          </cell>
          <cell r="AN448" t="str">
            <v>YES</v>
          </cell>
          <cell r="AO448" t="str">
            <v>B2 2025</v>
          </cell>
          <cell r="AP448">
            <v>70</v>
          </cell>
          <cell r="AQ448" t="str">
            <v>PCS-04-034407</v>
          </cell>
          <cell r="AR448" t="b">
            <v>1</v>
          </cell>
          <cell r="AS448" t="str">
            <v>Done</v>
          </cell>
          <cell r="AT448" t="str">
            <v>2025 - Batch 5</v>
          </cell>
          <cell r="AU448">
            <v>24</v>
          </cell>
          <cell r="AV448">
            <v>6</v>
          </cell>
          <cell r="AW448" t="str">
            <v>H+L</v>
          </cell>
          <cell r="AX448">
            <v>70</v>
          </cell>
          <cell r="AY448">
            <v>50</v>
          </cell>
          <cell r="AZ448" t="str">
            <v>Duplex</v>
          </cell>
          <cell r="BA448">
            <v>1</v>
          </cell>
          <cell r="BB448" t="str">
            <v>568 - Without Partition</v>
          </cell>
          <cell r="BC448" t="str">
            <v xml:space="preserve">Without Partition </v>
          </cell>
          <cell r="BD448" t="str">
            <v>Slant</v>
          </cell>
          <cell r="BE448" t="str">
            <v xml:space="preserve">Without Partition </v>
          </cell>
          <cell r="BF448" t="str">
            <v>PINK</v>
          </cell>
          <cell r="BG448">
            <v>2500000</v>
          </cell>
          <cell r="BH448">
            <v>2650000</v>
          </cell>
          <cell r="BI448">
            <v>100000</v>
          </cell>
          <cell r="BJ448">
            <v>2550000</v>
          </cell>
          <cell r="BK448">
            <v>0</v>
          </cell>
          <cell r="BL448">
            <v>2550000</v>
          </cell>
        </row>
        <row r="449">
          <cell r="D449" t="str">
            <v>OS</v>
          </cell>
          <cell r="E449"/>
          <cell r="F449">
            <v>429</v>
          </cell>
          <cell r="G449" t="str">
            <v>CLOSED</v>
          </cell>
          <cell r="H449" t="str">
            <v>OPEN</v>
          </cell>
          <cell r="I449" t="str">
            <v>OPEN</v>
          </cell>
          <cell r="J449" t="str">
            <v>TS</v>
          </cell>
          <cell r="K449" t="str">
            <v>TS</v>
          </cell>
          <cell r="L449" t="str">
            <v>TS</v>
          </cell>
          <cell r="M449" t="str">
            <v>TS</v>
          </cell>
          <cell r="N449" t="str">
            <v>TS</v>
          </cell>
          <cell r="O449" t="str">
            <v>TS</v>
          </cell>
          <cell r="P449" t="str">
            <v>TS</v>
          </cell>
          <cell r="Q449" t="str">
            <v>TS</v>
          </cell>
          <cell r="R449" t="str">
            <v>TS</v>
          </cell>
          <cell r="S449" t="str">
            <v>TS</v>
          </cell>
          <cell r="T449" t="str">
            <v>TS</v>
          </cell>
          <cell r="U449" t="str">
            <v>OS</v>
          </cell>
          <cell r="V449" t="str">
            <v>OS</v>
          </cell>
          <cell r="W449" t="str">
            <v>OS</v>
          </cell>
          <cell r="X449" t="str">
            <v>OS</v>
          </cell>
          <cell r="Y449" t="str">
            <v>OS</v>
          </cell>
          <cell r="Z449" t="str">
            <v>OS</v>
          </cell>
          <cell r="AA449" t="str">
            <v>OS</v>
          </cell>
          <cell r="AB449" t="str">
            <v>OS</v>
          </cell>
          <cell r="AC449" t="str">
            <v>OS</v>
          </cell>
          <cell r="AD449" t="str">
            <v>AGM-01-024-007</v>
          </cell>
          <cell r="AE449" t="str">
            <v xml:space="preserve">Raemulan Lands, Inc. </v>
          </cell>
          <cell r="AF449" t="str">
            <v>Agapeya</v>
          </cell>
          <cell r="AG449" t="str">
            <v>AGM</v>
          </cell>
          <cell r="AH449" t="str">
            <v>Eco-High</v>
          </cell>
          <cell r="AI449" t="str">
            <v>West</v>
          </cell>
          <cell r="AJ449" t="str">
            <v>With LTS</v>
          </cell>
          <cell r="AK449" t="str">
            <v>Unaffected lots</v>
          </cell>
          <cell r="AL449" t="str">
            <v>Unaffected lots</v>
          </cell>
          <cell r="AM449" t="b">
            <v>1</v>
          </cell>
          <cell r="AN449" t="str">
            <v>YES</v>
          </cell>
          <cell r="AO449" t="str">
            <v>B2 2025</v>
          </cell>
          <cell r="AP449">
            <v>70</v>
          </cell>
          <cell r="AQ449" t="str">
            <v>PCS-04-034407</v>
          </cell>
          <cell r="AR449" t="b">
            <v>1</v>
          </cell>
          <cell r="AS449" t="str">
            <v>Done</v>
          </cell>
          <cell r="AT449" t="str">
            <v>2025 - Batch 5</v>
          </cell>
          <cell r="AU449">
            <v>24</v>
          </cell>
          <cell r="AV449">
            <v>7</v>
          </cell>
          <cell r="AW449" t="str">
            <v>H+L</v>
          </cell>
          <cell r="AX449">
            <v>70</v>
          </cell>
          <cell r="AY449">
            <v>50</v>
          </cell>
          <cell r="AZ449" t="str">
            <v>Duplex</v>
          </cell>
          <cell r="BA449">
            <v>1</v>
          </cell>
          <cell r="BB449" t="str">
            <v>568 - Without Partition</v>
          </cell>
          <cell r="BC449" t="str">
            <v xml:space="preserve">Without Partition </v>
          </cell>
          <cell r="BD449" t="str">
            <v>Slant</v>
          </cell>
          <cell r="BE449" t="str">
            <v xml:space="preserve">Without Partition </v>
          </cell>
          <cell r="BF449" t="str">
            <v>PINK</v>
          </cell>
          <cell r="BG449">
            <v>2500000</v>
          </cell>
          <cell r="BH449">
            <v>2650000</v>
          </cell>
          <cell r="BI449">
            <v>100000</v>
          </cell>
          <cell r="BJ449">
            <v>2550000</v>
          </cell>
          <cell r="BK449">
            <v>0</v>
          </cell>
          <cell r="BL449">
            <v>2550000</v>
          </cell>
        </row>
        <row r="450">
          <cell r="D450" t="str">
            <v>OS</v>
          </cell>
          <cell r="E450"/>
          <cell r="F450">
            <v>430</v>
          </cell>
          <cell r="G450" t="str">
            <v>CLOSED</v>
          </cell>
          <cell r="H450" t="str">
            <v>OPEN</v>
          </cell>
          <cell r="I450" t="str">
            <v>OPEN</v>
          </cell>
          <cell r="J450" t="str">
            <v>TS</v>
          </cell>
          <cell r="K450" t="str">
            <v>TS</v>
          </cell>
          <cell r="L450" t="str">
            <v>TS</v>
          </cell>
          <cell r="M450" t="str">
            <v>TS</v>
          </cell>
          <cell r="N450" t="str">
            <v>TS</v>
          </cell>
          <cell r="O450" t="str">
            <v>TS</v>
          </cell>
          <cell r="P450" t="str">
            <v>TS</v>
          </cell>
          <cell r="Q450" t="str">
            <v>TS</v>
          </cell>
          <cell r="R450" t="str">
            <v>TS</v>
          </cell>
          <cell r="S450" t="str">
            <v>TS</v>
          </cell>
          <cell r="T450" t="str">
            <v>TS</v>
          </cell>
          <cell r="U450" t="str">
            <v>OS</v>
          </cell>
          <cell r="V450" t="str">
            <v>OS</v>
          </cell>
          <cell r="W450" t="str">
            <v>OS</v>
          </cell>
          <cell r="X450" t="str">
            <v>OS</v>
          </cell>
          <cell r="Y450" t="str">
            <v>OS</v>
          </cell>
          <cell r="Z450" t="str">
            <v>OS</v>
          </cell>
          <cell r="AA450" t="str">
            <v>OS</v>
          </cell>
          <cell r="AB450" t="str">
            <v>OS</v>
          </cell>
          <cell r="AC450" t="str">
            <v>OS</v>
          </cell>
          <cell r="AD450" t="str">
            <v>AGM-01-024-008</v>
          </cell>
          <cell r="AE450" t="str">
            <v xml:space="preserve">Raemulan Lands, Inc. </v>
          </cell>
          <cell r="AF450" t="str">
            <v>Agapeya</v>
          </cell>
          <cell r="AG450" t="str">
            <v>AGM</v>
          </cell>
          <cell r="AH450" t="str">
            <v>Eco-High</v>
          </cell>
          <cell r="AI450" t="str">
            <v>West</v>
          </cell>
          <cell r="AJ450" t="str">
            <v>Without LTS</v>
          </cell>
          <cell r="AK450" t="str">
            <v>for conso</v>
          </cell>
          <cell r="AL450" t="str">
            <v>Unaffected lots</v>
          </cell>
          <cell r="AM450" t="b">
            <v>1</v>
          </cell>
          <cell r="AN450" t="str">
            <v>NO</v>
          </cell>
          <cell r="AO450" t="str">
            <v>B2 2025</v>
          </cell>
          <cell r="AP450" t="str">
            <v>62/8</v>
          </cell>
          <cell r="AQ450" t="str">
            <v>PCS-04-034407/PSD-04-277865</v>
          </cell>
          <cell r="AR450" t="b">
            <v>0</v>
          </cell>
          <cell r="AS450" t="str">
            <v>For Conso</v>
          </cell>
          <cell r="AT450" t="str">
            <v>2025 - Batch 5</v>
          </cell>
          <cell r="AU450">
            <v>24</v>
          </cell>
          <cell r="AV450">
            <v>8</v>
          </cell>
          <cell r="AW450" t="str">
            <v>H+L</v>
          </cell>
          <cell r="AX450">
            <v>70</v>
          </cell>
          <cell r="AY450">
            <v>50</v>
          </cell>
          <cell r="AZ450" t="str">
            <v>Duplex</v>
          </cell>
          <cell r="BA450">
            <v>1</v>
          </cell>
          <cell r="BB450" t="str">
            <v>568 - Without Partition</v>
          </cell>
          <cell r="BC450" t="str">
            <v xml:space="preserve">Without Partition </v>
          </cell>
          <cell r="BD450" t="str">
            <v>Flat</v>
          </cell>
          <cell r="BE450" t="str">
            <v xml:space="preserve">Without Partition </v>
          </cell>
          <cell r="BF450" t="str">
            <v>PINK</v>
          </cell>
          <cell r="BG450">
            <v>2500000</v>
          </cell>
          <cell r="BH450">
            <v>2650000</v>
          </cell>
          <cell r="BI450">
            <v>100000</v>
          </cell>
          <cell r="BJ450">
            <v>2550000</v>
          </cell>
          <cell r="BK450">
            <v>0</v>
          </cell>
          <cell r="BL450">
            <v>2550000</v>
          </cell>
        </row>
        <row r="451">
          <cell r="D451" t="str">
            <v>OS</v>
          </cell>
          <cell r="E451"/>
          <cell r="F451">
            <v>431</v>
          </cell>
          <cell r="G451" t="str">
            <v>SOLD</v>
          </cell>
          <cell r="H451" t="str">
            <v>OS</v>
          </cell>
          <cell r="I451" t="str">
            <v>OS</v>
          </cell>
          <cell r="J451" t="str">
            <v>OS</v>
          </cell>
          <cell r="K451" t="str">
            <v>OS</v>
          </cell>
          <cell r="L451" t="str">
            <v>OS</v>
          </cell>
          <cell r="M451" t="str">
            <v>OS</v>
          </cell>
          <cell r="N451" t="str">
            <v>OS</v>
          </cell>
          <cell r="O451" t="str">
            <v>OS</v>
          </cell>
          <cell r="P451" t="str">
            <v>OS</v>
          </cell>
          <cell r="Q451" t="str">
            <v>OS</v>
          </cell>
          <cell r="R451" t="str">
            <v>OS</v>
          </cell>
          <cell r="S451" t="str">
            <v>OS</v>
          </cell>
          <cell r="T451" t="str">
            <v>OS</v>
          </cell>
          <cell r="U451" t="str">
            <v>OS</v>
          </cell>
          <cell r="V451" t="str">
            <v>OS</v>
          </cell>
          <cell r="W451" t="str">
            <v>OS</v>
          </cell>
          <cell r="X451" t="str">
            <v>OS</v>
          </cell>
          <cell r="Y451" t="str">
            <v>OS</v>
          </cell>
          <cell r="Z451" t="str">
            <v>OS</v>
          </cell>
          <cell r="AA451" t="str">
            <v>OS</v>
          </cell>
          <cell r="AB451" t="str">
            <v>OS</v>
          </cell>
          <cell r="AC451" t="str">
            <v>OS</v>
          </cell>
          <cell r="AD451" t="str">
            <v>AGM-01-024-009</v>
          </cell>
          <cell r="AE451" t="str">
            <v xml:space="preserve">Raemulan Lands, Inc. </v>
          </cell>
          <cell r="AF451" t="str">
            <v>Agapeya</v>
          </cell>
          <cell r="AG451" t="str">
            <v>AGM</v>
          </cell>
          <cell r="AH451" t="str">
            <v>Eco-High</v>
          </cell>
          <cell r="AI451" t="str">
            <v>West</v>
          </cell>
          <cell r="AJ451" t="str">
            <v>Without LTS</v>
          </cell>
          <cell r="AK451" t="str">
            <v>Unaffected lots</v>
          </cell>
          <cell r="AL451" t="str">
            <v>Unaffected lots</v>
          </cell>
          <cell r="AM451" t="b">
            <v>0</v>
          </cell>
          <cell r="AN451" t="str">
            <v>NO</v>
          </cell>
          <cell r="AO451" t="str">
            <v>B2 2025</v>
          </cell>
          <cell r="AP451">
            <v>70</v>
          </cell>
          <cell r="AQ451" t="str">
            <v>PCS-277865</v>
          </cell>
          <cell r="AR451" t="b">
            <v>1</v>
          </cell>
          <cell r="AS451" t="str">
            <v>Done</v>
          </cell>
          <cell r="AT451" t="str">
            <v>2025 - Batch 5</v>
          </cell>
          <cell r="AU451">
            <v>24</v>
          </cell>
          <cell r="AV451">
            <v>9</v>
          </cell>
          <cell r="AW451" t="str">
            <v>H+L</v>
          </cell>
          <cell r="AX451">
            <v>70</v>
          </cell>
          <cell r="AY451">
            <v>50</v>
          </cell>
          <cell r="AZ451" t="str">
            <v>Duplex</v>
          </cell>
          <cell r="BA451">
            <v>1</v>
          </cell>
          <cell r="BB451" t="str">
            <v>568 - Without Partition</v>
          </cell>
          <cell r="BC451" t="str">
            <v xml:space="preserve">Without Partition </v>
          </cell>
          <cell r="BD451" t="str">
            <v>Flat</v>
          </cell>
          <cell r="BE451" t="str">
            <v xml:space="preserve">Without Partition </v>
          </cell>
          <cell r="BF451" t="str">
            <v>YELLOW</v>
          </cell>
          <cell r="BG451">
            <v>2500000</v>
          </cell>
          <cell r="BH451">
            <v>2650000</v>
          </cell>
          <cell r="BI451">
            <v>100000</v>
          </cell>
          <cell r="BJ451">
            <v>2550000</v>
          </cell>
          <cell r="BK451">
            <v>0</v>
          </cell>
          <cell r="BL451">
            <v>2550000</v>
          </cell>
        </row>
        <row r="452">
          <cell r="D452" t="str">
            <v>OS</v>
          </cell>
          <cell r="E452"/>
          <cell r="F452">
            <v>432</v>
          </cell>
          <cell r="G452" t="str">
            <v>SOLD</v>
          </cell>
          <cell r="H452" t="str">
            <v>OS</v>
          </cell>
          <cell r="I452" t="str">
            <v>OS</v>
          </cell>
          <cell r="J452" t="str">
            <v>OS</v>
          </cell>
          <cell r="K452" t="str">
            <v>OS</v>
          </cell>
          <cell r="L452" t="str">
            <v>OS</v>
          </cell>
          <cell r="M452" t="str">
            <v>OS</v>
          </cell>
          <cell r="N452" t="str">
            <v>OS</v>
          </cell>
          <cell r="O452" t="str">
            <v>OS</v>
          </cell>
          <cell r="P452" t="str">
            <v>OS</v>
          </cell>
          <cell r="Q452" t="str">
            <v>OS</v>
          </cell>
          <cell r="R452" t="str">
            <v>OS</v>
          </cell>
          <cell r="S452" t="str">
            <v>OS</v>
          </cell>
          <cell r="T452" t="str">
            <v>OS</v>
          </cell>
          <cell r="U452" t="str">
            <v>OS</v>
          </cell>
          <cell r="V452" t="str">
            <v>OS</v>
          </cell>
          <cell r="W452" t="str">
            <v>OS</v>
          </cell>
          <cell r="X452" t="str">
            <v>OS</v>
          </cell>
          <cell r="Y452" t="str">
            <v>OS</v>
          </cell>
          <cell r="Z452" t="str">
            <v>OS</v>
          </cell>
          <cell r="AA452" t="str">
            <v>OS</v>
          </cell>
          <cell r="AB452" t="str">
            <v>OS</v>
          </cell>
          <cell r="AC452" t="str">
            <v>OS</v>
          </cell>
          <cell r="AD452" t="str">
            <v>AGM-01-024-010</v>
          </cell>
          <cell r="AE452" t="str">
            <v xml:space="preserve">Raemulan Lands, Inc. </v>
          </cell>
          <cell r="AF452" t="str">
            <v>Agapeya</v>
          </cell>
          <cell r="AG452" t="str">
            <v>AGM</v>
          </cell>
          <cell r="AH452" t="str">
            <v>Eco-High</v>
          </cell>
          <cell r="AI452" t="str">
            <v>West</v>
          </cell>
          <cell r="AJ452" t="str">
            <v>Without LTS</v>
          </cell>
          <cell r="AK452" t="str">
            <v>Unaffected lots</v>
          </cell>
          <cell r="AL452" t="str">
            <v>Unaffected lots</v>
          </cell>
          <cell r="AM452" t="b">
            <v>0</v>
          </cell>
          <cell r="AN452" t="str">
            <v>NO</v>
          </cell>
          <cell r="AO452" t="str">
            <v>B2 2025</v>
          </cell>
          <cell r="AP452">
            <v>70</v>
          </cell>
          <cell r="AQ452" t="str">
            <v>PCS-277865</v>
          </cell>
          <cell r="AR452" t="b">
            <v>1</v>
          </cell>
          <cell r="AS452" t="str">
            <v>Done</v>
          </cell>
          <cell r="AT452" t="str">
            <v>2025 - Batch 5</v>
          </cell>
          <cell r="AU452">
            <v>24</v>
          </cell>
          <cell r="AV452">
            <v>10</v>
          </cell>
          <cell r="AW452" t="str">
            <v>H+L</v>
          </cell>
          <cell r="AX452">
            <v>70</v>
          </cell>
          <cell r="AY452">
            <v>50</v>
          </cell>
          <cell r="AZ452" t="str">
            <v>Duplex</v>
          </cell>
          <cell r="BA452">
            <v>1</v>
          </cell>
          <cell r="BB452" t="str">
            <v>568 - Without Partition</v>
          </cell>
          <cell r="BC452" t="str">
            <v xml:space="preserve">Without Partition </v>
          </cell>
          <cell r="BD452" t="str">
            <v>Slant</v>
          </cell>
          <cell r="BE452" t="str">
            <v xml:space="preserve">Without Partition </v>
          </cell>
          <cell r="BF452" t="str">
            <v>YELLOW</v>
          </cell>
          <cell r="BG452">
            <v>2550000</v>
          </cell>
          <cell r="BH452">
            <v>2650000</v>
          </cell>
          <cell r="BI452">
            <v>100000</v>
          </cell>
          <cell r="BJ452">
            <v>2550000</v>
          </cell>
          <cell r="BK452">
            <v>0</v>
          </cell>
          <cell r="BL452">
            <v>2550000</v>
          </cell>
        </row>
        <row r="453">
          <cell r="D453" t="str">
            <v>OS</v>
          </cell>
          <cell r="E453"/>
          <cell r="F453">
            <v>433</v>
          </cell>
          <cell r="G453" t="str">
            <v>SOLD</v>
          </cell>
          <cell r="H453" t="str">
            <v>OS</v>
          </cell>
          <cell r="I453" t="str">
            <v>OS</v>
          </cell>
          <cell r="J453" t="str">
            <v>OS</v>
          </cell>
          <cell r="K453" t="str">
            <v>OS</v>
          </cell>
          <cell r="L453" t="str">
            <v>OS</v>
          </cell>
          <cell r="M453" t="str">
            <v>OS</v>
          </cell>
          <cell r="N453" t="str">
            <v>OS</v>
          </cell>
          <cell r="O453" t="str">
            <v>OS</v>
          </cell>
          <cell r="P453" t="str">
            <v>OS</v>
          </cell>
          <cell r="Q453" t="str">
            <v>OS</v>
          </cell>
          <cell r="R453" t="str">
            <v>OS</v>
          </cell>
          <cell r="S453" t="str">
            <v>OS</v>
          </cell>
          <cell r="T453" t="str">
            <v>OS</v>
          </cell>
          <cell r="U453" t="str">
            <v>OS</v>
          </cell>
          <cell r="V453" t="str">
            <v>OS</v>
          </cell>
          <cell r="W453" t="str">
            <v>OS</v>
          </cell>
          <cell r="X453" t="str">
            <v>OS</v>
          </cell>
          <cell r="Y453" t="str">
            <v>OS</v>
          </cell>
          <cell r="Z453" t="str">
            <v>OS</v>
          </cell>
          <cell r="AA453" t="str">
            <v>OS</v>
          </cell>
          <cell r="AB453" t="str">
            <v>OS</v>
          </cell>
          <cell r="AC453" t="str">
            <v>OS</v>
          </cell>
          <cell r="AD453" t="str">
            <v>AGM-01-024-011</v>
          </cell>
          <cell r="AE453" t="str">
            <v xml:space="preserve">Raemulan Lands, Inc. </v>
          </cell>
          <cell r="AF453" t="str">
            <v>Agapeya</v>
          </cell>
          <cell r="AG453" t="str">
            <v>AGM</v>
          </cell>
          <cell r="AH453" t="str">
            <v>Eco-High</v>
          </cell>
          <cell r="AI453" t="str">
            <v>West</v>
          </cell>
          <cell r="AJ453" t="str">
            <v>Without LTS</v>
          </cell>
          <cell r="AK453" t="str">
            <v>Unaffected lots</v>
          </cell>
          <cell r="AL453" t="str">
            <v>Unaffected lots</v>
          </cell>
          <cell r="AM453" t="b">
            <v>0</v>
          </cell>
          <cell r="AN453" t="str">
            <v>NO</v>
          </cell>
          <cell r="AO453" t="str">
            <v>B2 2025</v>
          </cell>
          <cell r="AP453">
            <v>70</v>
          </cell>
          <cell r="AQ453" t="str">
            <v>PCS-277865</v>
          </cell>
          <cell r="AR453" t="b">
            <v>1</v>
          </cell>
          <cell r="AS453" t="str">
            <v>Done</v>
          </cell>
          <cell r="AT453" t="str">
            <v>2025 - Batch 4</v>
          </cell>
          <cell r="AU453">
            <v>24</v>
          </cell>
          <cell r="AV453">
            <v>11</v>
          </cell>
          <cell r="AW453" t="str">
            <v>H+L</v>
          </cell>
          <cell r="AX453">
            <v>70</v>
          </cell>
          <cell r="AY453">
            <v>50</v>
          </cell>
          <cell r="AZ453" t="str">
            <v>Duplex</v>
          </cell>
          <cell r="BA453">
            <v>1</v>
          </cell>
          <cell r="BB453" t="str">
            <v>568 - Without Partition</v>
          </cell>
          <cell r="BC453" t="str">
            <v xml:space="preserve">Without Partition </v>
          </cell>
          <cell r="BD453" t="str">
            <v>Slant</v>
          </cell>
          <cell r="BE453" t="str">
            <v xml:space="preserve">Without Partition </v>
          </cell>
          <cell r="BF453" t="str">
            <v>YELLOW</v>
          </cell>
          <cell r="BG453">
            <v>2500000</v>
          </cell>
          <cell r="BH453">
            <v>2650000</v>
          </cell>
          <cell r="BI453">
            <v>100000</v>
          </cell>
          <cell r="BJ453">
            <v>2550000</v>
          </cell>
          <cell r="BK453">
            <v>0</v>
          </cell>
          <cell r="BL453">
            <v>2550000</v>
          </cell>
        </row>
        <row r="454">
          <cell r="D454" t="str">
            <v>OS</v>
          </cell>
          <cell r="E454"/>
          <cell r="F454">
            <v>434</v>
          </cell>
          <cell r="G454" t="str">
            <v>SOLD</v>
          </cell>
          <cell r="H454" t="str">
            <v>OS</v>
          </cell>
          <cell r="I454" t="str">
            <v>OS</v>
          </cell>
          <cell r="J454" t="str">
            <v>OS</v>
          </cell>
          <cell r="K454" t="str">
            <v>OS</v>
          </cell>
          <cell r="L454" t="str">
            <v>OS</v>
          </cell>
          <cell r="M454" t="str">
            <v>OS</v>
          </cell>
          <cell r="N454" t="str">
            <v>OS</v>
          </cell>
          <cell r="O454" t="str">
            <v>OS</v>
          </cell>
          <cell r="P454" t="str">
            <v>OS</v>
          </cell>
          <cell r="Q454" t="str">
            <v>OS</v>
          </cell>
          <cell r="R454" t="str">
            <v>OS</v>
          </cell>
          <cell r="S454" t="str">
            <v>OS</v>
          </cell>
          <cell r="T454" t="str">
            <v>OS</v>
          </cell>
          <cell r="U454" t="str">
            <v>OS</v>
          </cell>
          <cell r="V454" t="str">
            <v>OS</v>
          </cell>
          <cell r="W454" t="str">
            <v>OS</v>
          </cell>
          <cell r="X454" t="str">
            <v>OS</v>
          </cell>
          <cell r="Y454" t="str">
            <v>OS</v>
          </cell>
          <cell r="Z454" t="str">
            <v>OS</v>
          </cell>
          <cell r="AA454" t="str">
            <v>OS</v>
          </cell>
          <cell r="AB454" t="str">
            <v>OS</v>
          </cell>
          <cell r="AC454" t="str">
            <v>OS</v>
          </cell>
          <cell r="AD454" t="str">
            <v>AGM-01-024-012</v>
          </cell>
          <cell r="AE454" t="str">
            <v xml:space="preserve">Raemulan Lands, Inc. </v>
          </cell>
          <cell r="AF454" t="str">
            <v>Agapeya</v>
          </cell>
          <cell r="AG454" t="str">
            <v>AGM</v>
          </cell>
          <cell r="AH454" t="str">
            <v>Eco-High</v>
          </cell>
          <cell r="AI454" t="str">
            <v>West</v>
          </cell>
          <cell r="AJ454" t="str">
            <v>Without LTS</v>
          </cell>
          <cell r="AK454" t="str">
            <v>Unaffected lots</v>
          </cell>
          <cell r="AL454" t="str">
            <v>Unaffected lots</v>
          </cell>
          <cell r="AM454" t="b">
            <v>0</v>
          </cell>
          <cell r="AN454" t="str">
            <v>NO</v>
          </cell>
          <cell r="AO454" t="str">
            <v>B2 2025</v>
          </cell>
          <cell r="AP454">
            <v>70</v>
          </cell>
          <cell r="AQ454" t="str">
            <v>PCS-277865</v>
          </cell>
          <cell r="AR454" t="b">
            <v>1</v>
          </cell>
          <cell r="AS454" t="str">
            <v>Done</v>
          </cell>
          <cell r="AT454" t="str">
            <v>2025 - Batch 4</v>
          </cell>
          <cell r="AU454">
            <v>24</v>
          </cell>
          <cell r="AV454">
            <v>12</v>
          </cell>
          <cell r="AW454" t="str">
            <v>H+L</v>
          </cell>
          <cell r="AX454">
            <v>70</v>
          </cell>
          <cell r="AY454">
            <v>50</v>
          </cell>
          <cell r="AZ454" t="str">
            <v>Duplex</v>
          </cell>
          <cell r="BA454">
            <v>1</v>
          </cell>
          <cell r="BB454" t="str">
            <v>568 - Without Partition</v>
          </cell>
          <cell r="BC454" t="str">
            <v xml:space="preserve">Without Partition </v>
          </cell>
          <cell r="BD454" t="str">
            <v>Flat</v>
          </cell>
          <cell r="BE454" t="str">
            <v xml:space="preserve">Without Partition </v>
          </cell>
          <cell r="BF454" t="str">
            <v>YELLOW</v>
          </cell>
          <cell r="BG454">
            <v>2500000</v>
          </cell>
          <cell r="BH454">
            <v>2650000</v>
          </cell>
          <cell r="BI454">
            <v>100000</v>
          </cell>
          <cell r="BJ454">
            <v>2550000</v>
          </cell>
          <cell r="BK454">
            <v>0</v>
          </cell>
          <cell r="BL454">
            <v>2550000</v>
          </cell>
        </row>
        <row r="455">
          <cell r="D455" t="str">
            <v>OS</v>
          </cell>
          <cell r="E455"/>
          <cell r="F455">
            <v>435</v>
          </cell>
          <cell r="G455" t="str">
            <v>SOLD</v>
          </cell>
          <cell r="H455" t="str">
            <v>OS</v>
          </cell>
          <cell r="I455" t="str">
            <v>OS</v>
          </cell>
          <cell r="J455" t="str">
            <v>OS</v>
          </cell>
          <cell r="K455" t="str">
            <v>OS</v>
          </cell>
          <cell r="L455" t="str">
            <v>OS</v>
          </cell>
          <cell r="M455" t="str">
            <v>OS</v>
          </cell>
          <cell r="N455" t="str">
            <v>OS</v>
          </cell>
          <cell r="O455" t="str">
            <v>OS</v>
          </cell>
          <cell r="P455" t="str">
            <v>OS</v>
          </cell>
          <cell r="Q455" t="str">
            <v>OS</v>
          </cell>
          <cell r="R455" t="str">
            <v>OS</v>
          </cell>
          <cell r="S455" t="str">
            <v>OS</v>
          </cell>
          <cell r="T455" t="str">
            <v>OS</v>
          </cell>
          <cell r="U455" t="str">
            <v>OS</v>
          </cell>
          <cell r="V455" t="str">
            <v>OS</v>
          </cell>
          <cell r="W455" t="str">
            <v>OS</v>
          </cell>
          <cell r="X455" t="str">
            <v>OS</v>
          </cell>
          <cell r="Y455" t="str">
            <v>OS</v>
          </cell>
          <cell r="Z455" t="str">
            <v>OS</v>
          </cell>
          <cell r="AA455" t="str">
            <v>OS</v>
          </cell>
          <cell r="AB455" t="str">
            <v>OS</v>
          </cell>
          <cell r="AC455" t="str">
            <v>OS</v>
          </cell>
          <cell r="AD455" t="str">
            <v>AGM-01-024-013</v>
          </cell>
          <cell r="AE455" t="str">
            <v xml:space="preserve">Raemulan Lands, Inc. </v>
          </cell>
          <cell r="AF455" t="str">
            <v>Agapeya</v>
          </cell>
          <cell r="AG455" t="str">
            <v>AGM</v>
          </cell>
          <cell r="AH455" t="str">
            <v>Eco-High</v>
          </cell>
          <cell r="AI455" t="str">
            <v>West</v>
          </cell>
          <cell r="AJ455" t="str">
            <v>Without LTS</v>
          </cell>
          <cell r="AK455" t="str">
            <v>Unaffected lots</v>
          </cell>
          <cell r="AL455" t="str">
            <v>Unaffected lots</v>
          </cell>
          <cell r="AM455" t="b">
            <v>0</v>
          </cell>
          <cell r="AN455" t="str">
            <v>NO</v>
          </cell>
          <cell r="AO455" t="str">
            <v>B2 2025</v>
          </cell>
          <cell r="AP455">
            <v>70</v>
          </cell>
          <cell r="AQ455" t="str">
            <v>PCS-277865</v>
          </cell>
          <cell r="AR455" t="b">
            <v>1</v>
          </cell>
          <cell r="AS455" t="str">
            <v>Done</v>
          </cell>
          <cell r="AT455" t="str">
            <v>2025 - Batch 4</v>
          </cell>
          <cell r="AU455">
            <v>24</v>
          </cell>
          <cell r="AV455">
            <v>13</v>
          </cell>
          <cell r="AW455" t="str">
            <v>H+L</v>
          </cell>
          <cell r="AX455">
            <v>70</v>
          </cell>
          <cell r="AY455">
            <v>50</v>
          </cell>
          <cell r="AZ455" t="str">
            <v>Duplex</v>
          </cell>
          <cell r="BA455">
            <v>1</v>
          </cell>
          <cell r="BB455" t="str">
            <v>568 - Without Partition</v>
          </cell>
          <cell r="BC455" t="str">
            <v xml:space="preserve">Without Partition </v>
          </cell>
          <cell r="BD455" t="str">
            <v>Flat</v>
          </cell>
          <cell r="BE455" t="str">
            <v xml:space="preserve">Without Partition </v>
          </cell>
          <cell r="BF455" t="str">
            <v>GREEN</v>
          </cell>
          <cell r="BG455">
            <v>2422034.826150645</v>
          </cell>
          <cell r="BH455">
            <v>2650000</v>
          </cell>
          <cell r="BI455">
            <v>100000</v>
          </cell>
          <cell r="BJ455">
            <v>2550000</v>
          </cell>
          <cell r="BK455">
            <v>0</v>
          </cell>
          <cell r="BL455">
            <v>2550000</v>
          </cell>
        </row>
        <row r="456">
          <cell r="D456" t="str">
            <v>OS</v>
          </cell>
          <cell r="E456"/>
          <cell r="F456">
            <v>436</v>
          </cell>
          <cell r="G456" t="str">
            <v>SOLD</v>
          </cell>
          <cell r="H456" t="str">
            <v>OS</v>
          </cell>
          <cell r="I456" t="str">
            <v>OS</v>
          </cell>
          <cell r="J456" t="str">
            <v>OS</v>
          </cell>
          <cell r="K456" t="str">
            <v>OS</v>
          </cell>
          <cell r="L456" t="str">
            <v>OS</v>
          </cell>
          <cell r="M456" t="str">
            <v>OS</v>
          </cell>
          <cell r="N456" t="str">
            <v>OS</v>
          </cell>
          <cell r="O456" t="str">
            <v>OS</v>
          </cell>
          <cell r="P456" t="str">
            <v>OS</v>
          </cell>
          <cell r="Q456" t="str">
            <v>OS</v>
          </cell>
          <cell r="R456" t="str">
            <v>OS</v>
          </cell>
          <cell r="S456" t="str">
            <v>OS</v>
          </cell>
          <cell r="T456" t="str">
            <v>OS</v>
          </cell>
          <cell r="U456" t="str">
            <v>OS</v>
          </cell>
          <cell r="V456" t="str">
            <v>OS</v>
          </cell>
          <cell r="W456" t="str">
            <v>OS</v>
          </cell>
          <cell r="X456" t="str">
            <v>OS</v>
          </cell>
          <cell r="Y456" t="str">
            <v>OS</v>
          </cell>
          <cell r="Z456" t="str">
            <v>OS</v>
          </cell>
          <cell r="AA456" t="str">
            <v>OS</v>
          </cell>
          <cell r="AB456" t="str">
            <v>OS</v>
          </cell>
          <cell r="AC456" t="str">
            <v>OS</v>
          </cell>
          <cell r="AD456" t="str">
            <v>AGM-01-024-014</v>
          </cell>
          <cell r="AE456" t="str">
            <v xml:space="preserve">Raemulan Lands, Inc. </v>
          </cell>
          <cell r="AF456" t="str">
            <v>Agapeya</v>
          </cell>
          <cell r="AG456" t="str">
            <v>AGM</v>
          </cell>
          <cell r="AH456" t="str">
            <v>Eco-High</v>
          </cell>
          <cell r="AI456" t="str">
            <v>West</v>
          </cell>
          <cell r="AJ456" t="str">
            <v>Without LTS</v>
          </cell>
          <cell r="AK456" t="str">
            <v>Unaffected lots</v>
          </cell>
          <cell r="AL456" t="str">
            <v>Unaffected lots</v>
          </cell>
          <cell r="AM456" t="b">
            <v>0</v>
          </cell>
          <cell r="AN456" t="str">
            <v>NO</v>
          </cell>
          <cell r="AO456" t="str">
            <v>B2 2025</v>
          </cell>
          <cell r="AP456">
            <v>70</v>
          </cell>
          <cell r="AQ456" t="str">
            <v>PCS-277865</v>
          </cell>
          <cell r="AR456" t="b">
            <v>1</v>
          </cell>
          <cell r="AS456" t="str">
            <v>Done</v>
          </cell>
          <cell r="AT456" t="str">
            <v>2025 - Batch 4</v>
          </cell>
          <cell r="AU456">
            <v>24</v>
          </cell>
          <cell r="AV456">
            <v>14</v>
          </cell>
          <cell r="AW456" t="str">
            <v>H+L</v>
          </cell>
          <cell r="AX456">
            <v>70</v>
          </cell>
          <cell r="AY456">
            <v>50</v>
          </cell>
          <cell r="AZ456" t="str">
            <v>Duplex</v>
          </cell>
          <cell r="BA456">
            <v>1</v>
          </cell>
          <cell r="BB456" t="str">
            <v>568 - Without Partition</v>
          </cell>
          <cell r="BC456" t="str">
            <v xml:space="preserve">Without Partition </v>
          </cell>
          <cell r="BD456" t="str">
            <v>Slant</v>
          </cell>
          <cell r="BE456" t="str">
            <v xml:space="preserve">Without Partition </v>
          </cell>
          <cell r="BF456" t="str">
            <v>GREEN</v>
          </cell>
          <cell r="BG456">
            <v>2422034.826150645</v>
          </cell>
          <cell r="BH456">
            <v>2650000</v>
          </cell>
          <cell r="BI456">
            <v>100000</v>
          </cell>
          <cell r="BJ456">
            <v>2550000</v>
          </cell>
          <cell r="BK456">
            <v>0</v>
          </cell>
          <cell r="BL456">
            <v>2550000</v>
          </cell>
        </row>
        <row r="457">
          <cell r="D457" t="str">
            <v>OS</v>
          </cell>
          <cell r="E457"/>
          <cell r="F457">
            <v>437</v>
          </cell>
          <cell r="G457" t="str">
            <v>SOLD</v>
          </cell>
          <cell r="H457" t="str">
            <v>OS</v>
          </cell>
          <cell r="I457" t="str">
            <v>OS</v>
          </cell>
          <cell r="J457" t="str">
            <v>OS</v>
          </cell>
          <cell r="K457" t="str">
            <v>OS</v>
          </cell>
          <cell r="L457" t="str">
            <v>OS</v>
          </cell>
          <cell r="M457" t="str">
            <v>OS</v>
          </cell>
          <cell r="N457" t="str">
            <v>OS</v>
          </cell>
          <cell r="O457" t="str">
            <v>OS</v>
          </cell>
          <cell r="P457" t="str">
            <v>OS</v>
          </cell>
          <cell r="Q457" t="str">
            <v>OS</v>
          </cell>
          <cell r="R457" t="str">
            <v>OS</v>
          </cell>
          <cell r="S457" t="str">
            <v>OS</v>
          </cell>
          <cell r="T457" t="str">
            <v>OS</v>
          </cell>
          <cell r="U457" t="str">
            <v>OS</v>
          </cell>
          <cell r="V457" t="str">
            <v>OS</v>
          </cell>
          <cell r="W457" t="str">
            <v>OS</v>
          </cell>
          <cell r="X457" t="str">
            <v>OS</v>
          </cell>
          <cell r="Y457" t="str">
            <v>OS</v>
          </cell>
          <cell r="Z457" t="str">
            <v>OS</v>
          </cell>
          <cell r="AA457" t="str">
            <v>OS</v>
          </cell>
          <cell r="AB457" t="str">
            <v>OS</v>
          </cell>
          <cell r="AC457" t="str">
            <v>OS</v>
          </cell>
          <cell r="AD457" t="str">
            <v>AGM-01-024-015</v>
          </cell>
          <cell r="AE457" t="str">
            <v xml:space="preserve">Raemulan Lands, Inc. </v>
          </cell>
          <cell r="AF457" t="str">
            <v>Agapeya</v>
          </cell>
          <cell r="AG457" t="str">
            <v>AGM</v>
          </cell>
          <cell r="AH457" t="str">
            <v>Eco-High</v>
          </cell>
          <cell r="AI457" t="str">
            <v>West</v>
          </cell>
          <cell r="AJ457" t="str">
            <v>Without LTS</v>
          </cell>
          <cell r="AK457" t="str">
            <v>Unaffected lots</v>
          </cell>
          <cell r="AL457" t="str">
            <v>Unaffected lots</v>
          </cell>
          <cell r="AM457" t="b">
            <v>0</v>
          </cell>
          <cell r="AN457" t="str">
            <v>NO</v>
          </cell>
          <cell r="AO457" t="str">
            <v>B2 2025</v>
          </cell>
          <cell r="AP457">
            <v>70</v>
          </cell>
          <cell r="AQ457" t="str">
            <v>PCS-277865</v>
          </cell>
          <cell r="AR457" t="b">
            <v>1</v>
          </cell>
          <cell r="AS457" t="str">
            <v>Done</v>
          </cell>
          <cell r="AT457" t="str">
            <v>2025 - Batch 4</v>
          </cell>
          <cell r="AU457">
            <v>24</v>
          </cell>
          <cell r="AV457">
            <v>15</v>
          </cell>
          <cell r="AW457" t="str">
            <v>H+L</v>
          </cell>
          <cell r="AX457">
            <v>70</v>
          </cell>
          <cell r="AY457">
            <v>50</v>
          </cell>
          <cell r="AZ457" t="str">
            <v>Duplex</v>
          </cell>
          <cell r="BA457">
            <v>1</v>
          </cell>
          <cell r="BB457" t="str">
            <v>568 - Without Partition</v>
          </cell>
          <cell r="BC457" t="str">
            <v xml:space="preserve">Without Partition </v>
          </cell>
          <cell r="BD457" t="str">
            <v>Slant</v>
          </cell>
          <cell r="BE457" t="str">
            <v xml:space="preserve">Without Partition </v>
          </cell>
          <cell r="BF457" t="str">
            <v>GREEN</v>
          </cell>
          <cell r="BG457">
            <v>2422034.826150645</v>
          </cell>
          <cell r="BH457">
            <v>2650000</v>
          </cell>
          <cell r="BI457">
            <v>100000</v>
          </cell>
          <cell r="BJ457">
            <v>2550000</v>
          </cell>
          <cell r="BK457">
            <v>0</v>
          </cell>
          <cell r="BL457">
            <v>2550000</v>
          </cell>
        </row>
        <row r="458">
          <cell r="D458" t="str">
            <v>OS</v>
          </cell>
          <cell r="E458"/>
          <cell r="F458">
            <v>438</v>
          </cell>
          <cell r="G458" t="str">
            <v>SOLD</v>
          </cell>
          <cell r="H458" t="str">
            <v>OS</v>
          </cell>
          <cell r="I458" t="str">
            <v>OS</v>
          </cell>
          <cell r="J458" t="str">
            <v>OS</v>
          </cell>
          <cell r="K458" t="str">
            <v>OS</v>
          </cell>
          <cell r="L458" t="str">
            <v>OS</v>
          </cell>
          <cell r="M458" t="str">
            <v>OS</v>
          </cell>
          <cell r="N458" t="str">
            <v>OS</v>
          </cell>
          <cell r="O458" t="str">
            <v>OS</v>
          </cell>
          <cell r="P458" t="str">
            <v>OS</v>
          </cell>
          <cell r="Q458" t="str">
            <v>OS</v>
          </cell>
          <cell r="R458" t="str">
            <v>OS</v>
          </cell>
          <cell r="S458" t="str">
            <v>OS</v>
          </cell>
          <cell r="T458" t="str">
            <v>OS</v>
          </cell>
          <cell r="U458" t="str">
            <v>OS</v>
          </cell>
          <cell r="V458" t="str">
            <v>OS</v>
          </cell>
          <cell r="W458" t="str">
            <v>OS</v>
          </cell>
          <cell r="X458" t="str">
            <v>OS</v>
          </cell>
          <cell r="Y458" t="str">
            <v>OS</v>
          </cell>
          <cell r="Z458" t="str">
            <v>OS</v>
          </cell>
          <cell r="AA458" t="str">
            <v>OS</v>
          </cell>
          <cell r="AB458" t="str">
            <v>OS</v>
          </cell>
          <cell r="AC458" t="str">
            <v>OS</v>
          </cell>
          <cell r="AD458" t="str">
            <v>AGM-01-024-016</v>
          </cell>
          <cell r="AE458" t="str">
            <v xml:space="preserve">Raemulan Lands, Inc. </v>
          </cell>
          <cell r="AF458" t="str">
            <v>Agapeya</v>
          </cell>
          <cell r="AG458" t="str">
            <v>AGM</v>
          </cell>
          <cell r="AH458" t="str">
            <v>Eco-High</v>
          </cell>
          <cell r="AI458" t="str">
            <v>West</v>
          </cell>
          <cell r="AJ458" t="str">
            <v>Without LTS</v>
          </cell>
          <cell r="AK458" t="str">
            <v>Unaffected lots</v>
          </cell>
          <cell r="AL458" t="str">
            <v>Unaffected lots</v>
          </cell>
          <cell r="AM458" t="b">
            <v>0</v>
          </cell>
          <cell r="AN458" t="str">
            <v>NO</v>
          </cell>
          <cell r="AO458" t="str">
            <v>B2 2025</v>
          </cell>
          <cell r="AP458">
            <v>70</v>
          </cell>
          <cell r="AQ458" t="str">
            <v>PCS-277865</v>
          </cell>
          <cell r="AR458" t="b">
            <v>1</v>
          </cell>
          <cell r="AS458" t="str">
            <v>Done</v>
          </cell>
          <cell r="AT458" t="str">
            <v>2025 - Batch 4</v>
          </cell>
          <cell r="AU458">
            <v>24</v>
          </cell>
          <cell r="AV458">
            <v>16</v>
          </cell>
          <cell r="AW458" t="str">
            <v>H+L</v>
          </cell>
          <cell r="AX458">
            <v>70</v>
          </cell>
          <cell r="AY458">
            <v>50</v>
          </cell>
          <cell r="AZ458" t="str">
            <v>Duplex</v>
          </cell>
          <cell r="BA458">
            <v>1</v>
          </cell>
          <cell r="BB458" t="str">
            <v>568 - Without Partition</v>
          </cell>
          <cell r="BC458" t="str">
            <v xml:space="preserve">Without Partition </v>
          </cell>
          <cell r="BD458" t="str">
            <v>Flat</v>
          </cell>
          <cell r="BE458" t="str">
            <v xml:space="preserve">Without Partition </v>
          </cell>
          <cell r="BF458" t="str">
            <v>GREEN</v>
          </cell>
          <cell r="BG458">
            <v>2422034.826150645</v>
          </cell>
          <cell r="BH458">
            <v>2650000</v>
          </cell>
          <cell r="BI458">
            <v>100000</v>
          </cell>
          <cell r="BJ458">
            <v>2550000</v>
          </cell>
          <cell r="BK458">
            <v>0</v>
          </cell>
          <cell r="BL458">
            <v>2550000</v>
          </cell>
        </row>
        <row r="459">
          <cell r="D459" t="str">
            <v>OS</v>
          </cell>
          <cell r="E459"/>
          <cell r="F459">
            <v>439</v>
          </cell>
          <cell r="G459" t="str">
            <v>UNSOLD</v>
          </cell>
          <cell r="H459" t="str">
            <v>TS</v>
          </cell>
          <cell r="I459" t="str">
            <v>TS</v>
          </cell>
          <cell r="J459" t="str">
            <v>TS</v>
          </cell>
          <cell r="K459" t="str">
            <v>TS</v>
          </cell>
          <cell r="L459" t="str">
            <v>TS</v>
          </cell>
          <cell r="M459" t="str">
            <v>TS</v>
          </cell>
          <cell r="N459" t="str">
            <v>TS</v>
          </cell>
          <cell r="O459" t="str">
            <v>TS</v>
          </cell>
          <cell r="P459" t="str">
            <v>OS</v>
          </cell>
          <cell r="Q459" t="str">
            <v>OS</v>
          </cell>
          <cell r="R459" t="str">
            <v>OS</v>
          </cell>
          <cell r="S459" t="str">
            <v>OS</v>
          </cell>
          <cell r="T459" t="str">
            <v>OS</v>
          </cell>
          <cell r="U459" t="str">
            <v>OS</v>
          </cell>
          <cell r="V459" t="str">
            <v>OS</v>
          </cell>
          <cell r="W459" t="str">
            <v>OS</v>
          </cell>
          <cell r="X459" t="str">
            <v>OS</v>
          </cell>
          <cell r="Y459" t="str">
            <v>OS</v>
          </cell>
          <cell r="Z459" t="str">
            <v>OS</v>
          </cell>
          <cell r="AA459" t="str">
            <v>OS</v>
          </cell>
          <cell r="AB459" t="str">
            <v>OS</v>
          </cell>
          <cell r="AC459" t="str">
            <v>OS</v>
          </cell>
          <cell r="AD459" t="str">
            <v>AGM-01-024-017</v>
          </cell>
          <cell r="AE459" t="str">
            <v xml:space="preserve">Raemulan Lands, Inc. </v>
          </cell>
          <cell r="AF459" t="str">
            <v>Agapeya</v>
          </cell>
          <cell r="AG459" t="str">
            <v>AGM</v>
          </cell>
          <cell r="AH459" t="str">
            <v>Eco-High</v>
          </cell>
          <cell r="AI459" t="str">
            <v>West</v>
          </cell>
          <cell r="AJ459" t="str">
            <v>Without LTS</v>
          </cell>
          <cell r="AK459" t="str">
            <v>Unaffected lots</v>
          </cell>
          <cell r="AL459" t="str">
            <v>Unaffected lots</v>
          </cell>
          <cell r="AM459" t="b">
            <v>0</v>
          </cell>
          <cell r="AN459" t="str">
            <v>NO</v>
          </cell>
          <cell r="AO459" t="str">
            <v>B2 2025</v>
          </cell>
          <cell r="AP459">
            <v>70</v>
          </cell>
          <cell r="AQ459" t="str">
            <v>PCS-277865</v>
          </cell>
          <cell r="AR459" t="b">
            <v>1</v>
          </cell>
          <cell r="AS459" t="str">
            <v>Done</v>
          </cell>
          <cell r="AT459" t="str">
            <v>2025 - Batch 5</v>
          </cell>
          <cell r="AU459">
            <v>24</v>
          </cell>
          <cell r="AV459">
            <v>17</v>
          </cell>
          <cell r="AW459" t="str">
            <v>H+L</v>
          </cell>
          <cell r="AX459">
            <v>70</v>
          </cell>
          <cell r="AY459">
            <v>50</v>
          </cell>
          <cell r="AZ459" t="str">
            <v>Duplex</v>
          </cell>
          <cell r="BA459">
            <v>1</v>
          </cell>
          <cell r="BB459" t="str">
            <v>568 - Without Partition</v>
          </cell>
          <cell r="BC459" t="str">
            <v xml:space="preserve">Without Partition </v>
          </cell>
          <cell r="BD459" t="str">
            <v>Flat</v>
          </cell>
          <cell r="BE459" t="str">
            <v xml:space="preserve">Without Partition </v>
          </cell>
          <cell r="BF459" t="str">
            <v>PURPLE</v>
          </cell>
          <cell r="BG459">
            <v>2422034.826150645</v>
          </cell>
          <cell r="BH459">
            <v>2650000</v>
          </cell>
          <cell r="BI459">
            <v>100000</v>
          </cell>
          <cell r="BJ459">
            <v>2550000</v>
          </cell>
          <cell r="BK459">
            <v>0</v>
          </cell>
          <cell r="BL459">
            <v>2550000</v>
          </cell>
        </row>
        <row r="460">
          <cell r="D460" t="str">
            <v>OS</v>
          </cell>
          <cell r="E460"/>
          <cell r="F460">
            <v>440</v>
          </cell>
          <cell r="G460" t="str">
            <v>SOLD</v>
          </cell>
          <cell r="H460" t="str">
            <v>OS</v>
          </cell>
          <cell r="I460" t="str">
            <v>OS</v>
          </cell>
          <cell r="J460" t="str">
            <v>OS</v>
          </cell>
          <cell r="K460" t="str">
            <v>OS</v>
          </cell>
          <cell r="L460" t="str">
            <v>OS</v>
          </cell>
          <cell r="M460" t="str">
            <v>OS</v>
          </cell>
          <cell r="N460" t="str">
            <v>OS</v>
          </cell>
          <cell r="O460" t="str">
            <v>OS</v>
          </cell>
          <cell r="P460" t="str">
            <v>OS</v>
          </cell>
          <cell r="Q460" t="str">
            <v>OS</v>
          </cell>
          <cell r="R460" t="str">
            <v>OS</v>
          </cell>
          <cell r="S460" t="str">
            <v>OS</v>
          </cell>
          <cell r="T460" t="str">
            <v>OS</v>
          </cell>
          <cell r="U460" t="str">
            <v>OS</v>
          </cell>
          <cell r="V460" t="str">
            <v>OS</v>
          </cell>
          <cell r="W460" t="str">
            <v>OS</v>
          </cell>
          <cell r="X460" t="str">
            <v>OS</v>
          </cell>
          <cell r="Y460" t="str">
            <v>OS</v>
          </cell>
          <cell r="Z460" t="str">
            <v>OS</v>
          </cell>
          <cell r="AA460" t="str">
            <v>OS</v>
          </cell>
          <cell r="AB460" t="str">
            <v>OS</v>
          </cell>
          <cell r="AC460" t="str">
            <v>OS</v>
          </cell>
          <cell r="AD460" t="str">
            <v>AGM-01-024-018</v>
          </cell>
          <cell r="AE460" t="str">
            <v xml:space="preserve">Raemulan Lands, Inc. </v>
          </cell>
          <cell r="AF460" t="str">
            <v>Agapeya</v>
          </cell>
          <cell r="AG460" t="str">
            <v>AGM</v>
          </cell>
          <cell r="AH460" t="str">
            <v>Eco-High</v>
          </cell>
          <cell r="AI460" t="str">
            <v>West</v>
          </cell>
          <cell r="AJ460" t="str">
            <v>Without LTS</v>
          </cell>
          <cell r="AK460" t="str">
            <v>for conso</v>
          </cell>
          <cell r="AL460" t="str">
            <v>Unaffected lots</v>
          </cell>
          <cell r="AM460" t="b">
            <v>1</v>
          </cell>
          <cell r="AN460" t="str">
            <v>NO</v>
          </cell>
          <cell r="AO460" t="str">
            <v>B2 2025</v>
          </cell>
          <cell r="AP460" t="str">
            <v>57/13</v>
          </cell>
          <cell r="AQ460" t="str">
            <v>PCS-277865/PSD-04-276764</v>
          </cell>
          <cell r="AR460" t="b">
            <v>0</v>
          </cell>
          <cell r="AS460" t="str">
            <v>For Conso</v>
          </cell>
          <cell r="AT460" t="str">
            <v>2025 - Batch 5</v>
          </cell>
          <cell r="AU460">
            <v>24</v>
          </cell>
          <cell r="AV460">
            <v>18</v>
          </cell>
          <cell r="AW460" t="str">
            <v>H+L</v>
          </cell>
          <cell r="AX460">
            <v>70</v>
          </cell>
          <cell r="AY460">
            <v>50</v>
          </cell>
          <cell r="AZ460" t="str">
            <v>Duplex</v>
          </cell>
          <cell r="BA460">
            <v>1</v>
          </cell>
          <cell r="BB460" t="str">
            <v>568 - Without Partition</v>
          </cell>
          <cell r="BC460" t="str">
            <v xml:space="preserve">Without Partition </v>
          </cell>
          <cell r="BD460" t="str">
            <v>Slant</v>
          </cell>
          <cell r="BE460" t="str">
            <v xml:space="preserve">Without Partition </v>
          </cell>
          <cell r="BF460" t="str">
            <v>PURPLE</v>
          </cell>
          <cell r="BG460">
            <v>2422034.826150645</v>
          </cell>
          <cell r="BH460">
            <v>2650000</v>
          </cell>
          <cell r="BI460">
            <v>100000</v>
          </cell>
          <cell r="BJ460">
            <v>2550000</v>
          </cell>
          <cell r="BK460">
            <v>0</v>
          </cell>
          <cell r="BL460">
            <v>2550000</v>
          </cell>
        </row>
        <row r="461">
          <cell r="D461" t="str">
            <v>OS</v>
          </cell>
          <cell r="E461"/>
          <cell r="F461">
            <v>441</v>
          </cell>
          <cell r="G461" t="str">
            <v>UNSOLD</v>
          </cell>
          <cell r="H461" t="str">
            <v>TS</v>
          </cell>
          <cell r="I461" t="str">
            <v>TS</v>
          </cell>
          <cell r="J461" t="str">
            <v>OS</v>
          </cell>
          <cell r="K461" t="str">
            <v>OS</v>
          </cell>
          <cell r="L461" t="str">
            <v>OS</v>
          </cell>
          <cell r="M461" t="str">
            <v>OS</v>
          </cell>
          <cell r="N461" t="str">
            <v>OS</v>
          </cell>
          <cell r="O461" t="str">
            <v>OS</v>
          </cell>
          <cell r="P461" t="str">
            <v>OS</v>
          </cell>
          <cell r="Q461" t="str">
            <v>OS</v>
          </cell>
          <cell r="R461" t="str">
            <v>OS</v>
          </cell>
          <cell r="S461" t="str">
            <v>OS</v>
          </cell>
          <cell r="T461" t="str">
            <v>OS</v>
          </cell>
          <cell r="U461" t="str">
            <v>OS</v>
          </cell>
          <cell r="V461" t="str">
            <v>OS</v>
          </cell>
          <cell r="W461" t="str">
            <v>OS</v>
          </cell>
          <cell r="X461" t="str">
            <v>OS</v>
          </cell>
          <cell r="Y461" t="str">
            <v>OS</v>
          </cell>
          <cell r="Z461" t="str">
            <v>OS</v>
          </cell>
          <cell r="AA461" t="str">
            <v>OS</v>
          </cell>
          <cell r="AB461" t="str">
            <v>OS</v>
          </cell>
          <cell r="AC461" t="str">
            <v>OS</v>
          </cell>
          <cell r="AD461" t="str">
            <v>AGM-01-024-019</v>
          </cell>
          <cell r="AE461" t="str">
            <v xml:space="preserve">Raemulan Lands, Inc. </v>
          </cell>
          <cell r="AF461" t="str">
            <v>Agapeya</v>
          </cell>
          <cell r="AG461" t="str">
            <v>AGM</v>
          </cell>
          <cell r="AH461" t="str">
            <v>Eco-High</v>
          </cell>
          <cell r="AI461" t="str">
            <v>West</v>
          </cell>
          <cell r="AJ461" t="str">
            <v>Without LTS</v>
          </cell>
          <cell r="AK461" t="str">
            <v>for conso</v>
          </cell>
          <cell r="AL461" t="str">
            <v>Unaffected lots</v>
          </cell>
          <cell r="AM461" t="b">
            <v>1</v>
          </cell>
          <cell r="AN461" t="str">
            <v>NO</v>
          </cell>
          <cell r="AO461" t="str">
            <v>B2 2025</v>
          </cell>
          <cell r="AP461" t="str">
            <v>63/7</v>
          </cell>
          <cell r="AQ461" t="str">
            <v>PCS-04-276764/PSD-04-277865</v>
          </cell>
          <cell r="AR461" t="b">
            <v>0</v>
          </cell>
          <cell r="AS461" t="str">
            <v>For Conso</v>
          </cell>
          <cell r="AT461" t="str">
            <v>2025 - Batch 5</v>
          </cell>
          <cell r="AU461">
            <v>24</v>
          </cell>
          <cell r="AV461">
            <v>19</v>
          </cell>
          <cell r="AW461" t="str">
            <v>H+L</v>
          </cell>
          <cell r="AX461">
            <v>70</v>
          </cell>
          <cell r="AY461">
            <v>50</v>
          </cell>
          <cell r="AZ461" t="str">
            <v>Duplex</v>
          </cell>
          <cell r="BA461">
            <v>1</v>
          </cell>
          <cell r="BB461" t="str">
            <v>568 - Without Partition</v>
          </cell>
          <cell r="BC461" t="str">
            <v xml:space="preserve">Without Partition </v>
          </cell>
          <cell r="BD461" t="str">
            <v>Slant</v>
          </cell>
          <cell r="BE461" t="str">
            <v xml:space="preserve">Without Partition </v>
          </cell>
          <cell r="BF461" t="str">
            <v>PURPLE</v>
          </cell>
          <cell r="BG461">
            <v>2422034.826150645</v>
          </cell>
          <cell r="BH461">
            <v>2650000</v>
          </cell>
          <cell r="BI461">
            <v>100000</v>
          </cell>
          <cell r="BJ461">
            <v>2550000</v>
          </cell>
          <cell r="BK461">
            <v>0</v>
          </cell>
          <cell r="BL461">
            <v>2550000</v>
          </cell>
        </row>
        <row r="462">
          <cell r="D462" t="str">
            <v>OS</v>
          </cell>
          <cell r="E462"/>
          <cell r="F462">
            <v>442</v>
          </cell>
          <cell r="G462" t="str">
            <v>UNSOLD</v>
          </cell>
          <cell r="H462" t="str">
            <v>OS</v>
          </cell>
          <cell r="I462" t="str">
            <v>OS</v>
          </cell>
          <cell r="J462" t="str">
            <v>OS</v>
          </cell>
          <cell r="K462" t="str">
            <v>OS</v>
          </cell>
          <cell r="L462" t="str">
            <v>OS</v>
          </cell>
          <cell r="M462" t="str">
            <v>OS</v>
          </cell>
          <cell r="N462" t="str">
            <v>OS</v>
          </cell>
          <cell r="O462" t="str">
            <v>OS</v>
          </cell>
          <cell r="P462" t="str">
            <v>OS</v>
          </cell>
          <cell r="Q462" t="str">
            <v>OS</v>
          </cell>
          <cell r="R462" t="str">
            <v>OS</v>
          </cell>
          <cell r="S462" t="str">
            <v>WITH BRN</v>
          </cell>
          <cell r="T462" t="str">
            <v>OS</v>
          </cell>
          <cell r="U462" t="str">
            <v>TS</v>
          </cell>
          <cell r="V462" t="str">
            <v>OS</v>
          </cell>
          <cell r="W462" t="str">
            <v>TS</v>
          </cell>
          <cell r="X462" t="str">
            <v>OS</v>
          </cell>
          <cell r="Y462" t="str">
            <v>OS</v>
          </cell>
          <cell r="Z462" t="str">
            <v>OS</v>
          </cell>
          <cell r="AA462" t="str">
            <v>OS</v>
          </cell>
          <cell r="AB462" t="str">
            <v>OS</v>
          </cell>
          <cell r="AC462" t="str">
            <v>OS</v>
          </cell>
          <cell r="AD462" t="str">
            <v>AGM-01-024-020</v>
          </cell>
          <cell r="AE462" t="str">
            <v xml:space="preserve">Raemulan Lands, Inc. </v>
          </cell>
          <cell r="AF462" t="str">
            <v>Agapeya</v>
          </cell>
          <cell r="AG462" t="str">
            <v>AGM</v>
          </cell>
          <cell r="AH462" t="str">
            <v>Eco-High</v>
          </cell>
          <cell r="AI462" t="str">
            <v>West</v>
          </cell>
          <cell r="AJ462" t="str">
            <v>With LTS</v>
          </cell>
          <cell r="AK462" t="str">
            <v>Unaffected lots</v>
          </cell>
          <cell r="AL462" t="str">
            <v>Unaffected lots</v>
          </cell>
          <cell r="AM462" t="b">
            <v>1</v>
          </cell>
          <cell r="AN462" t="str">
            <v>YES</v>
          </cell>
          <cell r="AO462" t="str">
            <v>B2 2025</v>
          </cell>
          <cell r="AP462">
            <v>70</v>
          </cell>
          <cell r="AQ462" t="str">
            <v>PCS-04-276764</v>
          </cell>
          <cell r="AR462" t="b">
            <v>1</v>
          </cell>
          <cell r="AS462" t="str">
            <v>Done</v>
          </cell>
          <cell r="AT462" t="str">
            <v>2025 - Batch 5</v>
          </cell>
          <cell r="AU462">
            <v>24</v>
          </cell>
          <cell r="AV462">
            <v>20</v>
          </cell>
          <cell r="AW462" t="str">
            <v>H+L</v>
          </cell>
          <cell r="AX462">
            <v>70</v>
          </cell>
          <cell r="AY462">
            <v>50</v>
          </cell>
          <cell r="AZ462" t="str">
            <v>Duplex</v>
          </cell>
          <cell r="BA462">
            <v>1</v>
          </cell>
          <cell r="BB462" t="str">
            <v>568 - Without Partition</v>
          </cell>
          <cell r="BC462" t="str">
            <v xml:space="preserve">Without Partition </v>
          </cell>
          <cell r="BD462" t="str">
            <v>Flat</v>
          </cell>
          <cell r="BE462" t="str">
            <v xml:space="preserve">Without Partition </v>
          </cell>
          <cell r="BF462" t="str">
            <v>PURPLE</v>
          </cell>
          <cell r="BG462">
            <v>2422034.826150645</v>
          </cell>
          <cell r="BH462">
            <v>2650000</v>
          </cell>
          <cell r="BI462">
            <v>100000</v>
          </cell>
          <cell r="BJ462">
            <v>2550000</v>
          </cell>
          <cell r="BK462">
            <v>0</v>
          </cell>
          <cell r="BL462">
            <v>2550000</v>
          </cell>
        </row>
        <row r="463">
          <cell r="D463" t="str">
            <v>OS</v>
          </cell>
          <cell r="E463"/>
          <cell r="F463">
            <v>443</v>
          </cell>
          <cell r="G463" t="str">
            <v>SOLD</v>
          </cell>
          <cell r="H463" t="str">
            <v>OS</v>
          </cell>
          <cell r="I463" t="str">
            <v>OS</v>
          </cell>
          <cell r="J463" t="str">
            <v>OS</v>
          </cell>
          <cell r="K463" t="str">
            <v>OS</v>
          </cell>
          <cell r="L463" t="str">
            <v>OS</v>
          </cell>
          <cell r="M463" t="str">
            <v>OS</v>
          </cell>
          <cell r="N463" t="str">
            <v>OS</v>
          </cell>
          <cell r="O463" t="str">
            <v>OS</v>
          </cell>
          <cell r="P463" t="str">
            <v>OS</v>
          </cell>
          <cell r="Q463" t="str">
            <v>OS</v>
          </cell>
          <cell r="R463" t="str">
            <v>OS</v>
          </cell>
          <cell r="S463" t="str">
            <v>OS</v>
          </cell>
          <cell r="T463" t="str">
            <v>OS</v>
          </cell>
          <cell r="U463" t="str">
            <v>OS</v>
          </cell>
          <cell r="V463" t="str">
            <v>OS</v>
          </cell>
          <cell r="W463" t="str">
            <v>OS</v>
          </cell>
          <cell r="X463" t="str">
            <v>OS</v>
          </cell>
          <cell r="Y463" t="str">
            <v>OS</v>
          </cell>
          <cell r="Z463" t="str">
            <v>OS</v>
          </cell>
          <cell r="AA463" t="str">
            <v>OS</v>
          </cell>
          <cell r="AB463" t="str">
            <v>OS</v>
          </cell>
          <cell r="AC463" t="str">
            <v>OS</v>
          </cell>
          <cell r="AD463" t="str">
            <v>AGM-01-024-021</v>
          </cell>
          <cell r="AE463" t="str">
            <v xml:space="preserve">Raemulan Lands, Inc. </v>
          </cell>
          <cell r="AF463" t="str">
            <v>Agapeya</v>
          </cell>
          <cell r="AG463" t="str">
            <v>AGM</v>
          </cell>
          <cell r="AH463" t="str">
            <v>Eco-High</v>
          </cell>
          <cell r="AI463" t="str">
            <v>West</v>
          </cell>
          <cell r="AJ463" t="str">
            <v>With LTS</v>
          </cell>
          <cell r="AK463" t="str">
            <v>Unaffected lots</v>
          </cell>
          <cell r="AL463" t="str">
            <v>Unaffected lots</v>
          </cell>
          <cell r="AM463" t="b">
            <v>1</v>
          </cell>
          <cell r="AN463" t="str">
            <v>YES</v>
          </cell>
          <cell r="AO463" t="str">
            <v>B2 2025</v>
          </cell>
          <cell r="AP463">
            <v>70</v>
          </cell>
          <cell r="AQ463" t="str">
            <v>PCS-04-276764</v>
          </cell>
          <cell r="AR463" t="b">
            <v>1</v>
          </cell>
          <cell r="AS463" t="str">
            <v>Done</v>
          </cell>
          <cell r="AT463" t="str">
            <v>2025 - Batch 5</v>
          </cell>
          <cell r="AU463">
            <v>24</v>
          </cell>
          <cell r="AV463">
            <v>21</v>
          </cell>
          <cell r="AW463" t="str">
            <v>H+L</v>
          </cell>
          <cell r="AX463">
            <v>70</v>
          </cell>
          <cell r="AY463">
            <v>50</v>
          </cell>
          <cell r="AZ463" t="str">
            <v>Duplex</v>
          </cell>
          <cell r="BA463">
            <v>1</v>
          </cell>
          <cell r="BB463" t="str">
            <v>568 - Without Partition</v>
          </cell>
          <cell r="BC463" t="str">
            <v xml:space="preserve">Without Partition </v>
          </cell>
          <cell r="BD463" t="str">
            <v>Flat</v>
          </cell>
          <cell r="BE463" t="str">
            <v xml:space="preserve">Without Partition </v>
          </cell>
          <cell r="BF463" t="str">
            <v>PINK</v>
          </cell>
          <cell r="BG463">
            <v>2422034.826150645</v>
          </cell>
          <cell r="BH463">
            <v>2650000</v>
          </cell>
          <cell r="BI463">
            <v>100000</v>
          </cell>
          <cell r="BJ463">
            <v>2550000</v>
          </cell>
          <cell r="BK463">
            <v>0</v>
          </cell>
          <cell r="BL463">
            <v>2550000</v>
          </cell>
        </row>
        <row r="464">
          <cell r="D464" t="str">
            <v>OS</v>
          </cell>
          <cell r="E464"/>
          <cell r="F464">
            <v>444</v>
          </cell>
          <cell r="G464" t="str">
            <v>UNSOLD</v>
          </cell>
          <cell r="H464" t="str">
            <v>OS</v>
          </cell>
          <cell r="I464" t="str">
            <v>OS</v>
          </cell>
          <cell r="J464" t="str">
            <v>OS</v>
          </cell>
          <cell r="K464" t="str">
            <v>OS</v>
          </cell>
          <cell r="L464" t="str">
            <v>OS</v>
          </cell>
          <cell r="M464" t="str">
            <v>OS</v>
          </cell>
          <cell r="N464" t="str">
            <v>OS</v>
          </cell>
          <cell r="O464" t="str">
            <v>OS</v>
          </cell>
          <cell r="P464" t="str">
            <v>OS</v>
          </cell>
          <cell r="Q464" t="str">
            <v>OS</v>
          </cell>
          <cell r="R464" t="str">
            <v>OS</v>
          </cell>
          <cell r="S464" t="str">
            <v>OS</v>
          </cell>
          <cell r="T464" t="str">
            <v>OS</v>
          </cell>
          <cell r="U464" t="str">
            <v>OS</v>
          </cell>
          <cell r="V464" t="str">
            <v>OS</v>
          </cell>
          <cell r="W464" t="str">
            <v>OS</v>
          </cell>
          <cell r="X464" t="str">
            <v>OS</v>
          </cell>
          <cell r="Y464" t="str">
            <v>OS</v>
          </cell>
          <cell r="Z464" t="str">
            <v>OS</v>
          </cell>
          <cell r="AA464" t="str">
            <v>OS</v>
          </cell>
          <cell r="AB464" t="str">
            <v>OS</v>
          </cell>
          <cell r="AC464" t="str">
            <v>OS</v>
          </cell>
          <cell r="AD464" t="str">
            <v>AGM-01-024-022</v>
          </cell>
          <cell r="AE464" t="str">
            <v xml:space="preserve">Raemulan Lands, Inc. </v>
          </cell>
          <cell r="AF464" t="str">
            <v>Agapeya</v>
          </cell>
          <cell r="AG464" t="str">
            <v>AGM</v>
          </cell>
          <cell r="AH464" t="str">
            <v>Eco-High</v>
          </cell>
          <cell r="AI464" t="str">
            <v>West</v>
          </cell>
          <cell r="AJ464" t="str">
            <v>With LTS</v>
          </cell>
          <cell r="AK464" t="str">
            <v>Unaffected lots</v>
          </cell>
          <cell r="AL464" t="str">
            <v>Unaffected lots</v>
          </cell>
          <cell r="AM464" t="b">
            <v>1</v>
          </cell>
          <cell r="AN464" t="str">
            <v>YES</v>
          </cell>
          <cell r="AO464" t="str">
            <v>B2 2025</v>
          </cell>
          <cell r="AP464">
            <v>70</v>
          </cell>
          <cell r="AQ464" t="str">
            <v>PCS-04-276764</v>
          </cell>
          <cell r="AR464" t="b">
            <v>1</v>
          </cell>
          <cell r="AS464" t="str">
            <v>Done</v>
          </cell>
          <cell r="AT464" t="str">
            <v>2025 - Batch 5</v>
          </cell>
          <cell r="AU464">
            <v>24</v>
          </cell>
          <cell r="AV464">
            <v>22</v>
          </cell>
          <cell r="AW464" t="str">
            <v>H+L</v>
          </cell>
          <cell r="AX464">
            <v>70</v>
          </cell>
          <cell r="AY464">
            <v>50</v>
          </cell>
          <cell r="AZ464" t="str">
            <v>Duplex</v>
          </cell>
          <cell r="BA464">
            <v>1</v>
          </cell>
          <cell r="BB464" t="str">
            <v>568 - Without Partition</v>
          </cell>
          <cell r="BC464" t="str">
            <v xml:space="preserve">Without Partition </v>
          </cell>
          <cell r="BD464" t="str">
            <v>Slant</v>
          </cell>
          <cell r="BE464" t="str">
            <v xml:space="preserve">Without Partition </v>
          </cell>
          <cell r="BF464" t="str">
            <v>PINK</v>
          </cell>
          <cell r="BG464">
            <v>2422034.826150645</v>
          </cell>
          <cell r="BH464">
            <v>2650000</v>
          </cell>
          <cell r="BI464">
            <v>100000</v>
          </cell>
          <cell r="BJ464">
            <v>2550000</v>
          </cell>
          <cell r="BK464">
            <v>0</v>
          </cell>
          <cell r="BL464">
            <v>2550000</v>
          </cell>
        </row>
        <row r="465">
          <cell r="D465" t="str">
            <v>OS</v>
          </cell>
          <cell r="E465"/>
          <cell r="F465">
            <v>445</v>
          </cell>
          <cell r="G465" t="str">
            <v>SOLD</v>
          </cell>
          <cell r="H465" t="str">
            <v>OS</v>
          </cell>
          <cell r="I465" t="str">
            <v>OS</v>
          </cell>
          <cell r="J465" t="str">
            <v>OS</v>
          </cell>
          <cell r="K465" t="str">
            <v>OS</v>
          </cell>
          <cell r="L465" t="str">
            <v>OS</v>
          </cell>
          <cell r="M465" t="str">
            <v>OS</v>
          </cell>
          <cell r="N465" t="str">
            <v>OS</v>
          </cell>
          <cell r="O465" t="str">
            <v>OS</v>
          </cell>
          <cell r="P465" t="str">
            <v>OS</v>
          </cell>
          <cell r="Q465" t="str">
            <v>OS</v>
          </cell>
          <cell r="R465" t="str">
            <v>OS</v>
          </cell>
          <cell r="S465" t="str">
            <v>OS</v>
          </cell>
          <cell r="T465" t="str">
            <v>OS</v>
          </cell>
          <cell r="U465" t="str">
            <v>OS</v>
          </cell>
          <cell r="V465" t="str">
            <v>OS</v>
          </cell>
          <cell r="W465" t="str">
            <v>OS</v>
          </cell>
          <cell r="X465" t="str">
            <v>OS</v>
          </cell>
          <cell r="Y465" t="str">
            <v>OS</v>
          </cell>
          <cell r="Z465" t="str">
            <v>OS</v>
          </cell>
          <cell r="AA465" t="str">
            <v>OS</v>
          </cell>
          <cell r="AB465" t="str">
            <v>OS</v>
          </cell>
          <cell r="AC465" t="str">
            <v>OS</v>
          </cell>
          <cell r="AD465" t="str">
            <v>AGM-01-024-023</v>
          </cell>
          <cell r="AE465" t="str">
            <v xml:space="preserve">Raemulan Lands, Inc. </v>
          </cell>
          <cell r="AF465" t="str">
            <v>Agapeya</v>
          </cell>
          <cell r="AG465" t="str">
            <v>AGM</v>
          </cell>
          <cell r="AH465" t="str">
            <v>Eco-High</v>
          </cell>
          <cell r="AI465" t="str">
            <v>West</v>
          </cell>
          <cell r="AJ465" t="str">
            <v>With LTS</v>
          </cell>
          <cell r="AK465" t="str">
            <v>Unaffected lots</v>
          </cell>
          <cell r="AL465" t="str">
            <v>Unaffected lots</v>
          </cell>
          <cell r="AM465" t="b">
            <v>1</v>
          </cell>
          <cell r="AN465" t="str">
            <v>YES</v>
          </cell>
          <cell r="AO465" t="str">
            <v>B2 2025</v>
          </cell>
          <cell r="AP465">
            <v>70</v>
          </cell>
          <cell r="AQ465" t="str">
            <v>PCS-04-276764</v>
          </cell>
          <cell r="AR465" t="b">
            <v>1</v>
          </cell>
          <cell r="AS465" t="str">
            <v>Done</v>
          </cell>
          <cell r="AT465" t="str">
            <v>2025 - Batch 1</v>
          </cell>
          <cell r="AU465">
            <v>24</v>
          </cell>
          <cell r="AV465">
            <v>23</v>
          </cell>
          <cell r="AW465" t="str">
            <v>H+L</v>
          </cell>
          <cell r="AX465">
            <v>70</v>
          </cell>
          <cell r="AY465">
            <v>50</v>
          </cell>
          <cell r="AZ465" t="str">
            <v>Duplex</v>
          </cell>
          <cell r="BA465">
            <v>1</v>
          </cell>
          <cell r="BB465" t="str">
            <v>568 - Without Partition</v>
          </cell>
          <cell r="BC465" t="str">
            <v xml:space="preserve">Without Partition </v>
          </cell>
          <cell r="BD465" t="str">
            <v>Slant</v>
          </cell>
          <cell r="BE465" t="str">
            <v xml:space="preserve">Without Partition </v>
          </cell>
          <cell r="BF465" t="str">
            <v>PINK</v>
          </cell>
          <cell r="BG465">
            <v>2500000</v>
          </cell>
          <cell r="BH465">
            <v>2650000</v>
          </cell>
          <cell r="BI465">
            <v>100000</v>
          </cell>
          <cell r="BJ465">
            <v>2550000</v>
          </cell>
          <cell r="BK465">
            <v>0</v>
          </cell>
          <cell r="BL465">
            <v>2550000</v>
          </cell>
        </row>
        <row r="466">
          <cell r="D466" t="str">
            <v>OS</v>
          </cell>
          <cell r="E466"/>
          <cell r="F466">
            <v>446</v>
          </cell>
          <cell r="G466" t="str">
            <v>SOLD</v>
          </cell>
          <cell r="H466" t="str">
            <v>OS</v>
          </cell>
          <cell r="I466" t="str">
            <v>OS</v>
          </cell>
          <cell r="J466" t="str">
            <v>OS</v>
          </cell>
          <cell r="K466" t="str">
            <v>OS</v>
          </cell>
          <cell r="L466" t="str">
            <v>OS</v>
          </cell>
          <cell r="M466" t="str">
            <v>OS</v>
          </cell>
          <cell r="N466" t="str">
            <v>OS</v>
          </cell>
          <cell r="O466" t="str">
            <v>OS</v>
          </cell>
          <cell r="P466" t="str">
            <v>OS</v>
          </cell>
          <cell r="Q466" t="str">
            <v>OS</v>
          </cell>
          <cell r="R466" t="str">
            <v>OS</v>
          </cell>
          <cell r="S466" t="str">
            <v>OS</v>
          </cell>
          <cell r="T466" t="str">
            <v>OS</v>
          </cell>
          <cell r="U466" t="str">
            <v>OS</v>
          </cell>
          <cell r="V466" t="str">
            <v>OS</v>
          </cell>
          <cell r="W466" t="str">
            <v>OS</v>
          </cell>
          <cell r="X466" t="str">
            <v>OS</v>
          </cell>
          <cell r="Y466" t="str">
            <v>OS</v>
          </cell>
          <cell r="Z466" t="str">
            <v>OS</v>
          </cell>
          <cell r="AA466" t="str">
            <v>OS</v>
          </cell>
          <cell r="AB466" t="str">
            <v>OS</v>
          </cell>
          <cell r="AC466" t="str">
            <v>OS</v>
          </cell>
          <cell r="AD466" t="str">
            <v>AGM-01-024-024</v>
          </cell>
          <cell r="AE466" t="str">
            <v xml:space="preserve">Raemulan Lands, Inc. </v>
          </cell>
          <cell r="AF466" t="str">
            <v>Agapeya</v>
          </cell>
          <cell r="AG466" t="str">
            <v>AGM</v>
          </cell>
          <cell r="AH466" t="str">
            <v>Eco-High</v>
          </cell>
          <cell r="AI466" t="str">
            <v>West</v>
          </cell>
          <cell r="AJ466" t="str">
            <v>With LTS</v>
          </cell>
          <cell r="AK466" t="str">
            <v>Unaffected lots</v>
          </cell>
          <cell r="AL466" t="str">
            <v>Unaffected lots</v>
          </cell>
          <cell r="AM466" t="b">
            <v>1</v>
          </cell>
          <cell r="AN466" t="str">
            <v>YES</v>
          </cell>
          <cell r="AO466" t="str">
            <v>B2 2025</v>
          </cell>
          <cell r="AP466">
            <v>70</v>
          </cell>
          <cell r="AQ466" t="str">
            <v>PCS-04-276764</v>
          </cell>
          <cell r="AR466" t="b">
            <v>1</v>
          </cell>
          <cell r="AS466" t="str">
            <v>Done</v>
          </cell>
          <cell r="AT466" t="str">
            <v>2025 - Batch 1</v>
          </cell>
          <cell r="AU466">
            <v>24</v>
          </cell>
          <cell r="AV466">
            <v>24</v>
          </cell>
          <cell r="AW466" t="str">
            <v>H+L</v>
          </cell>
          <cell r="AX466">
            <v>70</v>
          </cell>
          <cell r="AY466">
            <v>50</v>
          </cell>
          <cell r="AZ466" t="str">
            <v>Duplex</v>
          </cell>
          <cell r="BA466">
            <v>1</v>
          </cell>
          <cell r="BB466" t="str">
            <v>568 - Without Partition</v>
          </cell>
          <cell r="BC466" t="str">
            <v xml:space="preserve">Without Partition </v>
          </cell>
          <cell r="BD466" t="str">
            <v>Flat</v>
          </cell>
          <cell r="BE466" t="str">
            <v xml:space="preserve">Without Partition </v>
          </cell>
          <cell r="BF466" t="str">
            <v>PINK</v>
          </cell>
          <cell r="BG466">
            <v>2500000</v>
          </cell>
          <cell r="BH466">
            <v>2650000</v>
          </cell>
          <cell r="BI466">
            <v>100000</v>
          </cell>
          <cell r="BJ466">
            <v>2550000</v>
          </cell>
          <cell r="BK466">
            <v>0</v>
          </cell>
          <cell r="BL466">
            <v>2550000</v>
          </cell>
        </row>
        <row r="467">
          <cell r="D467" t="str">
            <v>OS</v>
          </cell>
          <cell r="E467"/>
          <cell r="F467">
            <v>447</v>
          </cell>
          <cell r="G467" t="str">
            <v>SOLD</v>
          </cell>
          <cell r="H467" t="str">
            <v>OS</v>
          </cell>
          <cell r="I467" t="str">
            <v>OS</v>
          </cell>
          <cell r="J467" t="str">
            <v>OS</v>
          </cell>
          <cell r="K467" t="str">
            <v>OS</v>
          </cell>
          <cell r="L467" t="str">
            <v>OS</v>
          </cell>
          <cell r="M467" t="str">
            <v>OS</v>
          </cell>
          <cell r="N467" t="str">
            <v>OS</v>
          </cell>
          <cell r="O467" t="str">
            <v>OS</v>
          </cell>
          <cell r="P467" t="str">
            <v>OS</v>
          </cell>
          <cell r="Q467" t="str">
            <v>OS</v>
          </cell>
          <cell r="R467" t="str">
            <v>OS</v>
          </cell>
          <cell r="S467" t="str">
            <v>OS</v>
          </cell>
          <cell r="T467" t="str">
            <v>OS</v>
          </cell>
          <cell r="U467" t="str">
            <v>OS</v>
          </cell>
          <cell r="V467" t="str">
            <v>OS</v>
          </cell>
          <cell r="W467" t="str">
            <v>OS</v>
          </cell>
          <cell r="X467" t="str">
            <v>OS</v>
          </cell>
          <cell r="Y467" t="str">
            <v>OS</v>
          </cell>
          <cell r="Z467" t="str">
            <v>OS</v>
          </cell>
          <cell r="AA467" t="str">
            <v>OS</v>
          </cell>
          <cell r="AB467" t="str">
            <v>OS</v>
          </cell>
          <cell r="AC467" t="str">
            <v>OS</v>
          </cell>
          <cell r="AD467" t="str">
            <v>AGM-01-024-025</v>
          </cell>
          <cell r="AE467" t="str">
            <v xml:space="preserve">Raemulan Lands, Inc. </v>
          </cell>
          <cell r="AF467" t="str">
            <v>Agapeya</v>
          </cell>
          <cell r="AG467" t="str">
            <v>AGM</v>
          </cell>
          <cell r="AH467" t="str">
            <v>Eco-High</v>
          </cell>
          <cell r="AI467" t="str">
            <v>West</v>
          </cell>
          <cell r="AJ467" t="str">
            <v>With LTS</v>
          </cell>
          <cell r="AK467" t="str">
            <v>Unaffected lots</v>
          </cell>
          <cell r="AL467" t="str">
            <v>Unaffected lots</v>
          </cell>
          <cell r="AM467" t="b">
            <v>1</v>
          </cell>
          <cell r="AN467" t="str">
            <v>YES</v>
          </cell>
          <cell r="AO467" t="str">
            <v>B2 2025</v>
          </cell>
          <cell r="AP467">
            <v>70</v>
          </cell>
          <cell r="AQ467" t="str">
            <v>PCS-04-276764</v>
          </cell>
          <cell r="AR467" t="b">
            <v>1</v>
          </cell>
          <cell r="AS467" t="str">
            <v>Done</v>
          </cell>
          <cell r="AT467" t="str">
            <v>2025 - Batch 1</v>
          </cell>
          <cell r="AU467">
            <v>24</v>
          </cell>
          <cell r="AV467">
            <v>25</v>
          </cell>
          <cell r="AW467" t="str">
            <v>H+L</v>
          </cell>
          <cell r="AX467">
            <v>70</v>
          </cell>
          <cell r="AY467">
            <v>50</v>
          </cell>
          <cell r="AZ467" t="str">
            <v>Duplex</v>
          </cell>
          <cell r="BA467">
            <v>1</v>
          </cell>
          <cell r="BB467" t="str">
            <v>568 - Without Partition</v>
          </cell>
          <cell r="BC467" t="str">
            <v xml:space="preserve">Without Partition </v>
          </cell>
          <cell r="BD467" t="str">
            <v>Flat</v>
          </cell>
          <cell r="BE467" t="str">
            <v xml:space="preserve">Without Partition </v>
          </cell>
          <cell r="BF467" t="str">
            <v>YELLOW</v>
          </cell>
          <cell r="BG467">
            <v>2500000</v>
          </cell>
          <cell r="BH467">
            <v>2650000</v>
          </cell>
          <cell r="BI467">
            <v>100000</v>
          </cell>
          <cell r="BJ467">
            <v>2550000</v>
          </cell>
          <cell r="BK467">
            <v>0</v>
          </cell>
          <cell r="BL467">
            <v>2550000</v>
          </cell>
        </row>
        <row r="468">
          <cell r="D468" t="str">
            <v>OS</v>
          </cell>
          <cell r="E468"/>
          <cell r="F468">
            <v>448</v>
          </cell>
          <cell r="G468" t="str">
            <v>SOLD</v>
          </cell>
          <cell r="H468" t="str">
            <v>OS</v>
          </cell>
          <cell r="I468" t="str">
            <v>OS</v>
          </cell>
          <cell r="J468" t="str">
            <v>OS</v>
          </cell>
          <cell r="K468" t="str">
            <v>OS</v>
          </cell>
          <cell r="L468" t="str">
            <v>OS</v>
          </cell>
          <cell r="M468" t="str">
            <v>OS</v>
          </cell>
          <cell r="N468" t="str">
            <v>OS</v>
          </cell>
          <cell r="O468" t="str">
            <v>OS</v>
          </cell>
          <cell r="P468" t="str">
            <v>OS</v>
          </cell>
          <cell r="Q468" t="str">
            <v>OS</v>
          </cell>
          <cell r="R468" t="str">
            <v>OS</v>
          </cell>
          <cell r="S468" t="str">
            <v>OS</v>
          </cell>
          <cell r="T468" t="str">
            <v>OS</v>
          </cell>
          <cell r="U468" t="str">
            <v>OS</v>
          </cell>
          <cell r="V468" t="str">
            <v>OS</v>
          </cell>
          <cell r="W468" t="str">
            <v>OS</v>
          </cell>
          <cell r="X468" t="str">
            <v>OS</v>
          </cell>
          <cell r="Y468" t="str">
            <v>OS</v>
          </cell>
          <cell r="Z468" t="str">
            <v>OS</v>
          </cell>
          <cell r="AA468" t="str">
            <v>OS</v>
          </cell>
          <cell r="AB468" t="str">
            <v>OS</v>
          </cell>
          <cell r="AC468" t="str">
            <v>OS</v>
          </cell>
          <cell r="AD468" t="str">
            <v>AGM-01-024-026</v>
          </cell>
          <cell r="AE468" t="str">
            <v xml:space="preserve">Raemulan Lands, Inc. </v>
          </cell>
          <cell r="AF468" t="str">
            <v>Agapeya</v>
          </cell>
          <cell r="AG468" t="str">
            <v>AGM</v>
          </cell>
          <cell r="AH468" t="str">
            <v>Eco-High</v>
          </cell>
          <cell r="AI468" t="str">
            <v>West</v>
          </cell>
          <cell r="AJ468" t="str">
            <v>With LTS</v>
          </cell>
          <cell r="AK468" t="str">
            <v>Unaffected lots</v>
          </cell>
          <cell r="AL468" t="str">
            <v>Unaffected lots</v>
          </cell>
          <cell r="AM468" t="b">
            <v>1</v>
          </cell>
          <cell r="AN468" t="str">
            <v>YES</v>
          </cell>
          <cell r="AO468" t="str">
            <v>B2 2025</v>
          </cell>
          <cell r="AP468">
            <v>70</v>
          </cell>
          <cell r="AQ468" t="str">
            <v>PCS-04-276764</v>
          </cell>
          <cell r="AR468" t="b">
            <v>1</v>
          </cell>
          <cell r="AS468" t="str">
            <v>Done</v>
          </cell>
          <cell r="AT468" t="str">
            <v>2025 - Batch 1</v>
          </cell>
          <cell r="AU468">
            <v>24</v>
          </cell>
          <cell r="AV468">
            <v>26</v>
          </cell>
          <cell r="AW468" t="str">
            <v>H+L</v>
          </cell>
          <cell r="AX468">
            <v>70</v>
          </cell>
          <cell r="AY468">
            <v>50</v>
          </cell>
          <cell r="AZ468" t="str">
            <v>Duplex</v>
          </cell>
          <cell r="BA468">
            <v>1</v>
          </cell>
          <cell r="BB468" t="str">
            <v>568 - Without Partition</v>
          </cell>
          <cell r="BC468" t="str">
            <v xml:space="preserve">Without Partition </v>
          </cell>
          <cell r="BD468" t="str">
            <v>Slant</v>
          </cell>
          <cell r="BE468" t="str">
            <v xml:space="preserve">Without Partition </v>
          </cell>
          <cell r="BF468" t="str">
            <v>YELLOW</v>
          </cell>
          <cell r="BG468">
            <v>2500000</v>
          </cell>
          <cell r="BH468">
            <v>2650000</v>
          </cell>
          <cell r="BI468">
            <v>100000</v>
          </cell>
          <cell r="BJ468">
            <v>2550000</v>
          </cell>
          <cell r="BK468">
            <v>0</v>
          </cell>
          <cell r="BL468">
            <v>2550000</v>
          </cell>
        </row>
        <row r="469">
          <cell r="D469" t="str">
            <v>OS</v>
          </cell>
          <cell r="E469"/>
          <cell r="F469">
            <v>449</v>
          </cell>
          <cell r="G469" t="str">
            <v>SOLD</v>
          </cell>
          <cell r="H469" t="str">
            <v>OS</v>
          </cell>
          <cell r="I469" t="str">
            <v>OS</v>
          </cell>
          <cell r="J469" t="str">
            <v>OS</v>
          </cell>
          <cell r="K469" t="str">
            <v>OS</v>
          </cell>
          <cell r="L469" t="str">
            <v>OS</v>
          </cell>
          <cell r="M469" t="str">
            <v>OS</v>
          </cell>
          <cell r="N469" t="str">
            <v>OS</v>
          </cell>
          <cell r="O469" t="str">
            <v>OS</v>
          </cell>
          <cell r="P469" t="str">
            <v>OS</v>
          </cell>
          <cell r="Q469" t="str">
            <v>OS</v>
          </cell>
          <cell r="R469" t="str">
            <v>OS</v>
          </cell>
          <cell r="S469" t="str">
            <v>OS</v>
          </cell>
          <cell r="T469" t="str">
            <v>OS</v>
          </cell>
          <cell r="U469" t="str">
            <v>OS</v>
          </cell>
          <cell r="V469" t="str">
            <v>OS</v>
          </cell>
          <cell r="W469" t="str">
            <v>OS</v>
          </cell>
          <cell r="X469" t="str">
            <v>OS</v>
          </cell>
          <cell r="Y469" t="str">
            <v>OS</v>
          </cell>
          <cell r="Z469" t="str">
            <v>OS</v>
          </cell>
          <cell r="AA469" t="str">
            <v>OS</v>
          </cell>
          <cell r="AB469" t="str">
            <v>OS</v>
          </cell>
          <cell r="AC469" t="str">
            <v>OS</v>
          </cell>
          <cell r="AD469" t="str">
            <v>AGM-01-024-027</v>
          </cell>
          <cell r="AE469" t="str">
            <v xml:space="preserve">Raemulan Lands, Inc. </v>
          </cell>
          <cell r="AF469" t="str">
            <v>Agapeya</v>
          </cell>
          <cell r="AG469" t="str">
            <v>AGM</v>
          </cell>
          <cell r="AH469" t="str">
            <v>Eco-High</v>
          </cell>
          <cell r="AI469" t="str">
            <v>West</v>
          </cell>
          <cell r="AJ469" t="str">
            <v>With LTS</v>
          </cell>
          <cell r="AK469" t="str">
            <v>Unaffected lots</v>
          </cell>
          <cell r="AL469" t="str">
            <v>Unaffected lots</v>
          </cell>
          <cell r="AM469" t="b">
            <v>1</v>
          </cell>
          <cell r="AN469" t="str">
            <v>YES</v>
          </cell>
          <cell r="AO469" t="str">
            <v>B2 2025</v>
          </cell>
          <cell r="AP469">
            <v>70</v>
          </cell>
          <cell r="AQ469" t="str">
            <v>PCS-04-276764</v>
          </cell>
          <cell r="AR469" t="b">
            <v>1</v>
          </cell>
          <cell r="AS469" t="str">
            <v>Done</v>
          </cell>
          <cell r="AT469" t="str">
            <v>2025 - Batch 1</v>
          </cell>
          <cell r="AU469">
            <v>24</v>
          </cell>
          <cell r="AV469">
            <v>27</v>
          </cell>
          <cell r="AW469" t="str">
            <v>H+L</v>
          </cell>
          <cell r="AX469">
            <v>70</v>
          </cell>
          <cell r="AY469">
            <v>50</v>
          </cell>
          <cell r="AZ469" t="str">
            <v>Duplex</v>
          </cell>
          <cell r="BA469">
            <v>1</v>
          </cell>
          <cell r="BB469" t="str">
            <v>568 - Without Partition</v>
          </cell>
          <cell r="BC469" t="str">
            <v xml:space="preserve">Without Partition </v>
          </cell>
          <cell r="BD469" t="str">
            <v>Slant</v>
          </cell>
          <cell r="BE469" t="str">
            <v xml:space="preserve">Without Partition </v>
          </cell>
          <cell r="BF469" t="str">
            <v>YELLOW</v>
          </cell>
          <cell r="BG469">
            <v>2500000</v>
          </cell>
          <cell r="BH469">
            <v>2650000</v>
          </cell>
          <cell r="BI469">
            <v>100000</v>
          </cell>
          <cell r="BJ469">
            <v>2550000</v>
          </cell>
          <cell r="BK469">
            <v>0</v>
          </cell>
          <cell r="BL469">
            <v>2550000</v>
          </cell>
        </row>
        <row r="470">
          <cell r="D470" t="str">
            <v>OS</v>
          </cell>
          <cell r="E470"/>
          <cell r="F470">
            <v>450</v>
          </cell>
          <cell r="G470" t="str">
            <v>SOLD</v>
          </cell>
          <cell r="H470" t="str">
            <v>OS</v>
          </cell>
          <cell r="I470" t="str">
            <v>OS</v>
          </cell>
          <cell r="J470" t="str">
            <v>OS</v>
          </cell>
          <cell r="K470" t="str">
            <v>OS</v>
          </cell>
          <cell r="L470" t="str">
            <v>OS</v>
          </cell>
          <cell r="M470" t="str">
            <v>OS</v>
          </cell>
          <cell r="N470" t="str">
            <v>OS</v>
          </cell>
          <cell r="O470" t="str">
            <v>OS</v>
          </cell>
          <cell r="P470" t="str">
            <v>OS</v>
          </cell>
          <cell r="Q470" t="str">
            <v>OS</v>
          </cell>
          <cell r="R470" t="str">
            <v>OS</v>
          </cell>
          <cell r="S470" t="str">
            <v>OS</v>
          </cell>
          <cell r="T470" t="str">
            <v>OS</v>
          </cell>
          <cell r="U470" t="str">
            <v>OS</v>
          </cell>
          <cell r="V470" t="str">
            <v>OS</v>
          </cell>
          <cell r="W470" t="str">
            <v>OS</v>
          </cell>
          <cell r="X470" t="str">
            <v>OS</v>
          </cell>
          <cell r="Y470" t="str">
            <v>OS</v>
          </cell>
          <cell r="Z470" t="str">
            <v>OS</v>
          </cell>
          <cell r="AA470" t="str">
            <v>OS</v>
          </cell>
          <cell r="AB470" t="str">
            <v>OS</v>
          </cell>
          <cell r="AC470" t="str">
            <v>OS</v>
          </cell>
          <cell r="AD470" t="str">
            <v>AGM-01-024-028</v>
          </cell>
          <cell r="AE470" t="str">
            <v xml:space="preserve">Raemulan Lands, Inc. </v>
          </cell>
          <cell r="AF470" t="str">
            <v>Agapeya</v>
          </cell>
          <cell r="AG470" t="str">
            <v>AGM</v>
          </cell>
          <cell r="AH470" t="str">
            <v>Eco-High</v>
          </cell>
          <cell r="AI470" t="str">
            <v>West</v>
          </cell>
          <cell r="AJ470" t="str">
            <v>With LTS</v>
          </cell>
          <cell r="AK470" t="str">
            <v>Unaffected lots</v>
          </cell>
          <cell r="AL470" t="str">
            <v>Unaffected lots</v>
          </cell>
          <cell r="AM470" t="b">
            <v>1</v>
          </cell>
          <cell r="AN470" t="str">
            <v>YES</v>
          </cell>
          <cell r="AO470" t="str">
            <v>B2 2025</v>
          </cell>
          <cell r="AP470">
            <v>81</v>
          </cell>
          <cell r="AQ470" t="str">
            <v>PCS-04-276764</v>
          </cell>
          <cell r="AR470" t="b">
            <v>1</v>
          </cell>
          <cell r="AS470" t="str">
            <v>Done</v>
          </cell>
          <cell r="AT470" t="str">
            <v>2025 - Batch 1</v>
          </cell>
          <cell r="AU470">
            <v>24</v>
          </cell>
          <cell r="AV470">
            <v>28</v>
          </cell>
          <cell r="AW470" t="str">
            <v>H+L</v>
          </cell>
          <cell r="AX470">
            <v>81</v>
          </cell>
          <cell r="AY470">
            <v>50</v>
          </cell>
          <cell r="AZ470" t="str">
            <v>Duplex</v>
          </cell>
          <cell r="BA470">
            <v>1</v>
          </cell>
          <cell r="BB470" t="str">
            <v>568 - Without Partition</v>
          </cell>
          <cell r="BC470" t="str">
            <v xml:space="preserve">Without Partition </v>
          </cell>
          <cell r="BD470" t="str">
            <v>Flat</v>
          </cell>
          <cell r="BE470" t="str">
            <v xml:space="preserve">Without Partition </v>
          </cell>
          <cell r="BF470" t="str">
            <v>YELLOW</v>
          </cell>
          <cell r="BG470">
            <v>2715000</v>
          </cell>
          <cell r="BH470">
            <v>2815000</v>
          </cell>
          <cell r="BI470">
            <v>100000</v>
          </cell>
          <cell r="BJ470">
            <v>2715000</v>
          </cell>
          <cell r="BK470">
            <v>0</v>
          </cell>
          <cell r="BL470">
            <v>2715000</v>
          </cell>
        </row>
        <row r="471">
          <cell r="D471" t="str">
            <v>OS</v>
          </cell>
          <cell r="E471"/>
          <cell r="F471">
            <v>451</v>
          </cell>
          <cell r="G471" t="str">
            <v>SOLD</v>
          </cell>
          <cell r="H471" t="str">
            <v>OS</v>
          </cell>
          <cell r="I471" t="str">
            <v>OS</v>
          </cell>
          <cell r="J471" t="str">
            <v>OS</v>
          </cell>
          <cell r="K471" t="str">
            <v>OS</v>
          </cell>
          <cell r="L471" t="str">
            <v>OS</v>
          </cell>
          <cell r="M471" t="str">
            <v>OS</v>
          </cell>
          <cell r="N471" t="str">
            <v>OS</v>
          </cell>
          <cell r="O471" t="str">
            <v>OS</v>
          </cell>
          <cell r="P471" t="str">
            <v>OS</v>
          </cell>
          <cell r="Q471" t="str">
            <v>OS</v>
          </cell>
          <cell r="R471" t="str">
            <v>OS</v>
          </cell>
          <cell r="S471" t="str">
            <v>OS</v>
          </cell>
          <cell r="T471" t="str">
            <v>OS</v>
          </cell>
          <cell r="U471" t="str">
            <v>OS</v>
          </cell>
          <cell r="V471" t="str">
            <v>OS</v>
          </cell>
          <cell r="W471" t="str">
            <v>OS</v>
          </cell>
          <cell r="X471" t="str">
            <v>OS</v>
          </cell>
          <cell r="Y471" t="str">
            <v>OS</v>
          </cell>
          <cell r="Z471" t="str">
            <v>OS</v>
          </cell>
          <cell r="AA471" t="str">
            <v>OS</v>
          </cell>
          <cell r="AB471" t="str">
            <v>OS</v>
          </cell>
          <cell r="AC471" t="str">
            <v>OS</v>
          </cell>
          <cell r="AD471" t="str">
            <v>AGM-01-024-029</v>
          </cell>
          <cell r="AE471" t="str">
            <v xml:space="preserve">Raemulan Lands, Inc. </v>
          </cell>
          <cell r="AF471" t="str">
            <v>Agapeya</v>
          </cell>
          <cell r="AG471" t="str">
            <v>AGM</v>
          </cell>
          <cell r="AH471" t="str">
            <v>Eco-High</v>
          </cell>
          <cell r="AI471" t="str">
            <v>West</v>
          </cell>
          <cell r="AJ471" t="str">
            <v>With LTS</v>
          </cell>
          <cell r="AK471" t="str">
            <v>Unaffected lots</v>
          </cell>
          <cell r="AL471" t="str">
            <v>Unaffected lots</v>
          </cell>
          <cell r="AM471" t="b">
            <v>1</v>
          </cell>
          <cell r="AN471" t="str">
            <v>YES</v>
          </cell>
          <cell r="AO471" t="str">
            <v>B1 2025</v>
          </cell>
          <cell r="AP471">
            <v>81</v>
          </cell>
          <cell r="AQ471" t="str">
            <v>PCS-04-276764</v>
          </cell>
          <cell r="AR471" t="b">
            <v>1</v>
          </cell>
          <cell r="AS471" t="str">
            <v>Done</v>
          </cell>
          <cell r="AT471" t="str">
            <v>2025 - Batch 1</v>
          </cell>
          <cell r="AU471">
            <v>24</v>
          </cell>
          <cell r="AV471">
            <v>29</v>
          </cell>
          <cell r="AW471" t="str">
            <v>H+L</v>
          </cell>
          <cell r="AX471">
            <v>81</v>
          </cell>
          <cell r="AY471">
            <v>50</v>
          </cell>
          <cell r="AZ471" t="str">
            <v>Duplex</v>
          </cell>
          <cell r="BA471">
            <v>1</v>
          </cell>
          <cell r="BB471" t="str">
            <v>568 - Without Partition</v>
          </cell>
          <cell r="BC471" t="str">
            <v xml:space="preserve">Without Partition </v>
          </cell>
          <cell r="BD471" t="str">
            <v>Slant</v>
          </cell>
          <cell r="BE471" t="str">
            <v xml:space="preserve">Without Partition </v>
          </cell>
          <cell r="BF471" t="str">
            <v>GREEN</v>
          </cell>
          <cell r="BG471">
            <v>2500000</v>
          </cell>
          <cell r="BH471">
            <v>2815000</v>
          </cell>
          <cell r="BI471">
            <v>100000</v>
          </cell>
          <cell r="BJ471">
            <v>2715000</v>
          </cell>
          <cell r="BK471">
            <v>0</v>
          </cell>
          <cell r="BL471">
            <v>2715000</v>
          </cell>
        </row>
        <row r="472">
          <cell r="D472" t="str">
            <v>OS</v>
          </cell>
          <cell r="E472"/>
          <cell r="F472">
            <v>452</v>
          </cell>
          <cell r="G472" t="str">
            <v>SOLD</v>
          </cell>
          <cell r="H472" t="str">
            <v>OS</v>
          </cell>
          <cell r="I472" t="str">
            <v>OS</v>
          </cell>
          <cell r="J472" t="str">
            <v>OS</v>
          </cell>
          <cell r="K472" t="str">
            <v>OS</v>
          </cell>
          <cell r="L472" t="str">
            <v>OS</v>
          </cell>
          <cell r="M472" t="str">
            <v>OS</v>
          </cell>
          <cell r="N472" t="str">
            <v>OS</v>
          </cell>
          <cell r="O472" t="str">
            <v>OS</v>
          </cell>
          <cell r="P472" t="str">
            <v>OS</v>
          </cell>
          <cell r="Q472" t="str">
            <v>OS</v>
          </cell>
          <cell r="R472" t="str">
            <v>OS</v>
          </cell>
          <cell r="S472" t="str">
            <v>OS</v>
          </cell>
          <cell r="T472" t="str">
            <v>OS</v>
          </cell>
          <cell r="U472" t="str">
            <v>OS</v>
          </cell>
          <cell r="V472" t="str">
            <v>OS</v>
          </cell>
          <cell r="W472" t="str">
            <v>OS</v>
          </cell>
          <cell r="X472" t="str">
            <v>OS</v>
          </cell>
          <cell r="Y472" t="str">
            <v>OS</v>
          </cell>
          <cell r="Z472" t="str">
            <v>OS</v>
          </cell>
          <cell r="AA472" t="str">
            <v>OS</v>
          </cell>
          <cell r="AB472" t="str">
            <v>OS</v>
          </cell>
          <cell r="AC472" t="str">
            <v>OS</v>
          </cell>
          <cell r="AD472" t="str">
            <v>AGM-01-024-030</v>
          </cell>
          <cell r="AE472" t="str">
            <v xml:space="preserve">Raemulan Lands, Inc. </v>
          </cell>
          <cell r="AF472" t="str">
            <v>Agapeya</v>
          </cell>
          <cell r="AG472" t="str">
            <v>AGM</v>
          </cell>
          <cell r="AH472" t="str">
            <v>Eco-High</v>
          </cell>
          <cell r="AI472" t="str">
            <v>West</v>
          </cell>
          <cell r="AJ472" t="str">
            <v>With LTS</v>
          </cell>
          <cell r="AK472" t="str">
            <v>Unaffected lots</v>
          </cell>
          <cell r="AL472" t="str">
            <v>Unaffected lots</v>
          </cell>
          <cell r="AM472" t="b">
            <v>1</v>
          </cell>
          <cell r="AN472" t="str">
            <v>YES</v>
          </cell>
          <cell r="AO472" t="str">
            <v>B1 2025</v>
          </cell>
          <cell r="AP472">
            <v>70</v>
          </cell>
          <cell r="AQ472" t="str">
            <v>PCS-04-276764</v>
          </cell>
          <cell r="AR472" t="b">
            <v>1</v>
          </cell>
          <cell r="AS472" t="str">
            <v>Done</v>
          </cell>
          <cell r="AT472" t="str">
            <v>2025 - Batch 1</v>
          </cell>
          <cell r="AU472">
            <v>24</v>
          </cell>
          <cell r="AV472">
            <v>30</v>
          </cell>
          <cell r="AW472" t="str">
            <v>H+L</v>
          </cell>
          <cell r="AX472">
            <v>70</v>
          </cell>
          <cell r="AY472">
            <v>50</v>
          </cell>
          <cell r="AZ472" t="str">
            <v>Duplex</v>
          </cell>
          <cell r="BA472">
            <v>1</v>
          </cell>
          <cell r="BB472" t="str">
            <v>568 - Without Partition</v>
          </cell>
          <cell r="BC472" t="str">
            <v xml:space="preserve">Without Partition </v>
          </cell>
          <cell r="BD472" t="str">
            <v>Flat</v>
          </cell>
          <cell r="BE472" t="str">
            <v xml:space="preserve">Without Partition </v>
          </cell>
          <cell r="BF472" t="str">
            <v>GREEN</v>
          </cell>
          <cell r="BG472">
            <v>2550000</v>
          </cell>
          <cell r="BH472">
            <v>2650000</v>
          </cell>
          <cell r="BI472">
            <v>100000</v>
          </cell>
          <cell r="BJ472">
            <v>2550000</v>
          </cell>
          <cell r="BK472">
            <v>0</v>
          </cell>
          <cell r="BL472">
            <v>2550000</v>
          </cell>
        </row>
        <row r="473">
          <cell r="D473" t="str">
            <v>OS</v>
          </cell>
          <cell r="E473"/>
          <cell r="F473">
            <v>453</v>
          </cell>
          <cell r="G473" t="str">
            <v>SOLD</v>
          </cell>
          <cell r="H473" t="str">
            <v>OS</v>
          </cell>
          <cell r="I473" t="str">
            <v>OS</v>
          </cell>
          <cell r="J473" t="str">
            <v>OS</v>
          </cell>
          <cell r="K473" t="str">
            <v>OS</v>
          </cell>
          <cell r="L473" t="str">
            <v>OS</v>
          </cell>
          <cell r="M473" t="str">
            <v>OS</v>
          </cell>
          <cell r="N473" t="str">
            <v>OS</v>
          </cell>
          <cell r="O473" t="str">
            <v>OS</v>
          </cell>
          <cell r="P473" t="str">
            <v>OS</v>
          </cell>
          <cell r="Q473" t="str">
            <v>OS</v>
          </cell>
          <cell r="R473" t="str">
            <v>OS</v>
          </cell>
          <cell r="S473" t="str">
            <v>OS</v>
          </cell>
          <cell r="T473" t="str">
            <v>OS</v>
          </cell>
          <cell r="U473" t="str">
            <v>OS</v>
          </cell>
          <cell r="V473" t="str">
            <v>OS</v>
          </cell>
          <cell r="W473" t="str">
            <v>OS</v>
          </cell>
          <cell r="X473" t="str">
            <v>OS</v>
          </cell>
          <cell r="Y473" t="str">
            <v>OS</v>
          </cell>
          <cell r="Z473" t="str">
            <v>OS</v>
          </cell>
          <cell r="AA473" t="str">
            <v>OS</v>
          </cell>
          <cell r="AB473" t="str">
            <v>OS</v>
          </cell>
          <cell r="AC473" t="str">
            <v>OS</v>
          </cell>
          <cell r="AD473" t="str">
            <v>AGM-01-024-031</v>
          </cell>
          <cell r="AE473" t="str">
            <v xml:space="preserve">Raemulan Lands, Inc. </v>
          </cell>
          <cell r="AF473" t="str">
            <v>Agapeya</v>
          </cell>
          <cell r="AG473" t="str">
            <v>AGM</v>
          </cell>
          <cell r="AH473" t="str">
            <v>Eco-High</v>
          </cell>
          <cell r="AI473" t="str">
            <v>West</v>
          </cell>
          <cell r="AJ473" t="str">
            <v>With LTS</v>
          </cell>
          <cell r="AK473" t="str">
            <v>Unaffected lots</v>
          </cell>
          <cell r="AL473" t="str">
            <v>Unaffected lots</v>
          </cell>
          <cell r="AM473" t="b">
            <v>1</v>
          </cell>
          <cell r="AN473" t="str">
            <v>YES</v>
          </cell>
          <cell r="AO473" t="str">
            <v>B1 2025</v>
          </cell>
          <cell r="AP473">
            <v>70</v>
          </cell>
          <cell r="AQ473" t="str">
            <v>PCS-04-276764</v>
          </cell>
          <cell r="AR473" t="b">
            <v>1</v>
          </cell>
          <cell r="AS473" t="str">
            <v>Done</v>
          </cell>
          <cell r="AT473" t="str">
            <v>2025 - Batch 1</v>
          </cell>
          <cell r="AU473">
            <v>24</v>
          </cell>
          <cell r="AV473">
            <v>31</v>
          </cell>
          <cell r="AW473" t="str">
            <v>H+L</v>
          </cell>
          <cell r="AX473">
            <v>70</v>
          </cell>
          <cell r="AY473">
            <v>50</v>
          </cell>
          <cell r="AZ473" t="str">
            <v>Duplex</v>
          </cell>
          <cell r="BA473">
            <v>1</v>
          </cell>
          <cell r="BB473" t="str">
            <v>568 - Without Partition</v>
          </cell>
          <cell r="BC473" t="str">
            <v xml:space="preserve">Without Partition </v>
          </cell>
          <cell r="BD473" t="str">
            <v>Flat</v>
          </cell>
          <cell r="BE473" t="str">
            <v xml:space="preserve">Without Partition </v>
          </cell>
          <cell r="BF473" t="str">
            <v>GREEN</v>
          </cell>
          <cell r="BG473">
            <v>2500000</v>
          </cell>
          <cell r="BH473">
            <v>2650000</v>
          </cell>
          <cell r="BI473">
            <v>100000</v>
          </cell>
          <cell r="BJ473">
            <v>2550000</v>
          </cell>
          <cell r="BK473">
            <v>0</v>
          </cell>
          <cell r="BL473">
            <v>2550000</v>
          </cell>
        </row>
        <row r="474">
          <cell r="D474" t="str">
            <v>OS</v>
          </cell>
          <cell r="E474"/>
          <cell r="F474">
            <v>454</v>
          </cell>
          <cell r="G474" t="str">
            <v>SOLD</v>
          </cell>
          <cell r="H474" t="str">
            <v>OS</v>
          </cell>
          <cell r="I474" t="str">
            <v>OS</v>
          </cell>
          <cell r="J474" t="str">
            <v>OS</v>
          </cell>
          <cell r="K474" t="str">
            <v>OS</v>
          </cell>
          <cell r="L474" t="str">
            <v>OS</v>
          </cell>
          <cell r="M474" t="str">
            <v>OS</v>
          </cell>
          <cell r="N474" t="str">
            <v>OS</v>
          </cell>
          <cell r="O474" t="str">
            <v>OS</v>
          </cell>
          <cell r="P474" t="str">
            <v>OS</v>
          </cell>
          <cell r="Q474" t="str">
            <v>OS</v>
          </cell>
          <cell r="R474" t="str">
            <v>OS</v>
          </cell>
          <cell r="S474" t="str">
            <v>OS</v>
          </cell>
          <cell r="T474" t="str">
            <v>OS</v>
          </cell>
          <cell r="U474" t="str">
            <v>OS</v>
          </cell>
          <cell r="V474" t="str">
            <v>OS</v>
          </cell>
          <cell r="W474" t="str">
            <v>OS</v>
          </cell>
          <cell r="X474" t="str">
            <v>OS</v>
          </cell>
          <cell r="Y474" t="str">
            <v>OS</v>
          </cell>
          <cell r="Z474" t="str">
            <v>OS</v>
          </cell>
          <cell r="AA474" t="str">
            <v>OS</v>
          </cell>
          <cell r="AB474" t="str">
            <v>OS</v>
          </cell>
          <cell r="AC474" t="str">
            <v>OS</v>
          </cell>
          <cell r="AD474" t="str">
            <v>AGM-01-024-032</v>
          </cell>
          <cell r="AE474" t="str">
            <v xml:space="preserve">Raemulan Lands, Inc. </v>
          </cell>
          <cell r="AF474" t="str">
            <v>Agapeya</v>
          </cell>
          <cell r="AG474" t="str">
            <v>AGM</v>
          </cell>
          <cell r="AH474" t="str">
            <v>Eco-High</v>
          </cell>
          <cell r="AI474" t="str">
            <v>West</v>
          </cell>
          <cell r="AJ474" t="str">
            <v>With LTS</v>
          </cell>
          <cell r="AK474" t="str">
            <v>Unaffected lots</v>
          </cell>
          <cell r="AL474" t="str">
            <v>Unaffected lots</v>
          </cell>
          <cell r="AM474" t="b">
            <v>1</v>
          </cell>
          <cell r="AN474" t="str">
            <v>YES</v>
          </cell>
          <cell r="AO474" t="str">
            <v>B1 2025</v>
          </cell>
          <cell r="AP474">
            <v>70</v>
          </cell>
          <cell r="AQ474" t="str">
            <v>PCS-04-276764</v>
          </cell>
          <cell r="AR474" t="b">
            <v>1</v>
          </cell>
          <cell r="AS474" t="str">
            <v>Done</v>
          </cell>
          <cell r="AT474" t="str">
            <v>2025 - Batch 1</v>
          </cell>
          <cell r="AU474">
            <v>24</v>
          </cell>
          <cell r="AV474">
            <v>32</v>
          </cell>
          <cell r="AW474" t="str">
            <v>H+L</v>
          </cell>
          <cell r="AX474">
            <v>70</v>
          </cell>
          <cell r="AY474">
            <v>50</v>
          </cell>
          <cell r="AZ474" t="str">
            <v>Duplex</v>
          </cell>
          <cell r="BA474">
            <v>1</v>
          </cell>
          <cell r="BB474" t="str">
            <v>568 - Without Partition</v>
          </cell>
          <cell r="BC474" t="str">
            <v xml:space="preserve">Without Partition </v>
          </cell>
          <cell r="BD474" t="str">
            <v>Slant</v>
          </cell>
          <cell r="BE474" t="str">
            <v xml:space="preserve">Without Partition </v>
          </cell>
          <cell r="BF474" t="str">
            <v>GREEN</v>
          </cell>
          <cell r="BG474">
            <v>2550000</v>
          </cell>
          <cell r="BH474">
            <v>2650000</v>
          </cell>
          <cell r="BI474">
            <v>100000</v>
          </cell>
          <cell r="BJ474">
            <v>2550000</v>
          </cell>
          <cell r="BK474">
            <v>0</v>
          </cell>
          <cell r="BL474">
            <v>2550000</v>
          </cell>
        </row>
        <row r="475">
          <cell r="D475" t="str">
            <v>OS</v>
          </cell>
          <cell r="E475"/>
          <cell r="F475">
            <v>455</v>
          </cell>
          <cell r="G475" t="str">
            <v>SOLD</v>
          </cell>
          <cell r="H475" t="str">
            <v>OS</v>
          </cell>
          <cell r="I475" t="str">
            <v>OS</v>
          </cell>
          <cell r="J475" t="str">
            <v>OS</v>
          </cell>
          <cell r="K475" t="str">
            <v>OS</v>
          </cell>
          <cell r="L475" t="str">
            <v>OS</v>
          </cell>
          <cell r="M475" t="str">
            <v>OS</v>
          </cell>
          <cell r="N475" t="str">
            <v>OS</v>
          </cell>
          <cell r="O475" t="str">
            <v>OS</v>
          </cell>
          <cell r="P475" t="str">
            <v>OS</v>
          </cell>
          <cell r="Q475" t="str">
            <v>OS</v>
          </cell>
          <cell r="R475" t="str">
            <v>OS</v>
          </cell>
          <cell r="S475" t="str">
            <v>OS</v>
          </cell>
          <cell r="T475" t="str">
            <v>OS</v>
          </cell>
          <cell r="U475" t="str">
            <v>OS</v>
          </cell>
          <cell r="V475" t="str">
            <v>OS</v>
          </cell>
          <cell r="W475" t="str">
            <v>OS</v>
          </cell>
          <cell r="X475" t="str">
            <v>OS</v>
          </cell>
          <cell r="Y475" t="str">
            <v>OS</v>
          </cell>
          <cell r="Z475" t="str">
            <v>OS</v>
          </cell>
          <cell r="AA475" t="str">
            <v>OS</v>
          </cell>
          <cell r="AB475" t="str">
            <v>OS</v>
          </cell>
          <cell r="AC475" t="str">
            <v>OS</v>
          </cell>
          <cell r="AD475" t="str">
            <v>AGM-01-024-033</v>
          </cell>
          <cell r="AE475" t="str">
            <v xml:space="preserve">Raemulan Lands, Inc. </v>
          </cell>
          <cell r="AF475" t="str">
            <v>Agapeya</v>
          </cell>
          <cell r="AG475" t="str">
            <v>AGM</v>
          </cell>
          <cell r="AH475" t="str">
            <v>Eco-High</v>
          </cell>
          <cell r="AI475" t="str">
            <v>West</v>
          </cell>
          <cell r="AJ475" t="str">
            <v>With LTS</v>
          </cell>
          <cell r="AK475" t="str">
            <v>Unaffected lots</v>
          </cell>
          <cell r="AL475" t="str">
            <v>Unaffected lots</v>
          </cell>
          <cell r="AM475" t="b">
            <v>1</v>
          </cell>
          <cell r="AN475" t="str">
            <v>YES</v>
          </cell>
          <cell r="AO475" t="str">
            <v>B1 2025</v>
          </cell>
          <cell r="AP475">
            <v>70</v>
          </cell>
          <cell r="AQ475" t="str">
            <v>PCS-04-276764</v>
          </cell>
          <cell r="AR475" t="b">
            <v>1</v>
          </cell>
          <cell r="AS475" t="str">
            <v>Done</v>
          </cell>
          <cell r="AT475" t="str">
            <v>2025 - Batch 1</v>
          </cell>
          <cell r="AU475">
            <v>24</v>
          </cell>
          <cell r="AV475">
            <v>33</v>
          </cell>
          <cell r="AW475" t="str">
            <v>H+L</v>
          </cell>
          <cell r="AX475">
            <v>70</v>
          </cell>
          <cell r="AY475">
            <v>50</v>
          </cell>
          <cell r="AZ475" t="str">
            <v>Duplex</v>
          </cell>
          <cell r="BA475">
            <v>1</v>
          </cell>
          <cell r="BB475" t="str">
            <v>568 - Without Partition</v>
          </cell>
          <cell r="BC475" t="str">
            <v xml:space="preserve">Without Partition </v>
          </cell>
          <cell r="BD475" t="str">
            <v>Slant</v>
          </cell>
          <cell r="BE475" t="str">
            <v xml:space="preserve">Without Partition </v>
          </cell>
          <cell r="BF475" t="str">
            <v>YELLOW</v>
          </cell>
          <cell r="BG475">
            <v>2550000</v>
          </cell>
          <cell r="BH475">
            <v>2650000</v>
          </cell>
          <cell r="BI475">
            <v>100000</v>
          </cell>
          <cell r="BJ475">
            <v>2550000</v>
          </cell>
          <cell r="BK475">
            <v>0</v>
          </cell>
          <cell r="BL475">
            <v>2550000</v>
          </cell>
        </row>
        <row r="476">
          <cell r="D476" t="str">
            <v>OS</v>
          </cell>
          <cell r="E476"/>
          <cell r="F476">
            <v>456</v>
          </cell>
          <cell r="G476" t="str">
            <v>SOLD</v>
          </cell>
          <cell r="H476" t="str">
            <v>OS</v>
          </cell>
          <cell r="I476" t="str">
            <v>OS</v>
          </cell>
          <cell r="J476" t="str">
            <v>OS</v>
          </cell>
          <cell r="K476" t="str">
            <v>TS</v>
          </cell>
          <cell r="L476" t="str">
            <v>TS</v>
          </cell>
          <cell r="M476" t="str">
            <v>OS</v>
          </cell>
          <cell r="N476" t="str">
            <v>TS</v>
          </cell>
          <cell r="O476" t="str">
            <v>TS</v>
          </cell>
          <cell r="P476" t="str">
            <v>TS</v>
          </cell>
          <cell r="Q476" t="str">
            <v>TS</v>
          </cell>
          <cell r="R476" t="str">
            <v>TS</v>
          </cell>
          <cell r="S476" t="str">
            <v>TS</v>
          </cell>
          <cell r="T476" t="str">
            <v>TS</v>
          </cell>
          <cell r="U476" t="str">
            <v>OS</v>
          </cell>
          <cell r="V476" t="str">
            <v>OS</v>
          </cell>
          <cell r="W476" t="str">
            <v>OS</v>
          </cell>
          <cell r="X476" t="str">
            <v>OS</v>
          </cell>
          <cell r="Y476" t="str">
            <v>OS</v>
          </cell>
          <cell r="Z476" t="str">
            <v>OS</v>
          </cell>
          <cell r="AA476" t="str">
            <v>OS</v>
          </cell>
          <cell r="AB476" t="str">
            <v>OS</v>
          </cell>
          <cell r="AC476" t="str">
            <v>OS</v>
          </cell>
          <cell r="AD476" t="str">
            <v>AGM-01-024-034</v>
          </cell>
          <cell r="AE476" t="str">
            <v xml:space="preserve">Raemulan Lands, Inc. </v>
          </cell>
          <cell r="AF476" t="str">
            <v>Agapeya</v>
          </cell>
          <cell r="AG476" t="str">
            <v>AGM</v>
          </cell>
          <cell r="AH476" t="str">
            <v>Eco-High</v>
          </cell>
          <cell r="AI476" t="str">
            <v>West</v>
          </cell>
          <cell r="AJ476" t="str">
            <v>With LTS</v>
          </cell>
          <cell r="AK476" t="str">
            <v>Unaffected lots</v>
          </cell>
          <cell r="AL476" t="str">
            <v>Unaffected lots</v>
          </cell>
          <cell r="AM476" t="b">
            <v>1</v>
          </cell>
          <cell r="AN476" t="str">
            <v>YES</v>
          </cell>
          <cell r="AO476" t="str">
            <v>B1 2025</v>
          </cell>
          <cell r="AP476">
            <v>70</v>
          </cell>
          <cell r="AQ476" t="str">
            <v>PCS-04-276764</v>
          </cell>
          <cell r="AR476" t="b">
            <v>1</v>
          </cell>
          <cell r="AS476" t="str">
            <v>Done</v>
          </cell>
          <cell r="AT476" t="str">
            <v>2025 - Batch 1</v>
          </cell>
          <cell r="AU476">
            <v>24</v>
          </cell>
          <cell r="AV476">
            <v>34</v>
          </cell>
          <cell r="AW476" t="str">
            <v>H+L</v>
          </cell>
          <cell r="AX476">
            <v>70</v>
          </cell>
          <cell r="AY476">
            <v>50</v>
          </cell>
          <cell r="AZ476" t="str">
            <v>Duplex</v>
          </cell>
          <cell r="BA476">
            <v>1</v>
          </cell>
          <cell r="BB476" t="str">
            <v>568 - Without Partition</v>
          </cell>
          <cell r="BC476" t="str">
            <v xml:space="preserve">Without Partition </v>
          </cell>
          <cell r="BD476" t="str">
            <v>Flat</v>
          </cell>
          <cell r="BE476" t="str">
            <v xml:space="preserve">Without Partition </v>
          </cell>
          <cell r="BF476" t="str">
            <v>YELLOW</v>
          </cell>
          <cell r="BG476">
            <v>2500000</v>
          </cell>
          <cell r="BH476">
            <v>2650000</v>
          </cell>
          <cell r="BI476">
            <v>100000</v>
          </cell>
          <cell r="BJ476">
            <v>2550000</v>
          </cell>
          <cell r="BK476">
            <v>0</v>
          </cell>
          <cell r="BL476">
            <v>2550000</v>
          </cell>
        </row>
        <row r="477">
          <cell r="D477" t="str">
            <v>OS</v>
          </cell>
          <cell r="E477"/>
          <cell r="F477">
            <v>457</v>
          </cell>
          <cell r="G477" t="str">
            <v>SOLD</v>
          </cell>
          <cell r="H477" t="str">
            <v>OS</v>
          </cell>
          <cell r="I477" t="str">
            <v>OS</v>
          </cell>
          <cell r="J477" t="str">
            <v>OS</v>
          </cell>
          <cell r="K477" t="str">
            <v>OS</v>
          </cell>
          <cell r="L477" t="str">
            <v>OS</v>
          </cell>
          <cell r="M477" t="str">
            <v>OS</v>
          </cell>
          <cell r="N477" t="str">
            <v>OS</v>
          </cell>
          <cell r="O477" t="str">
            <v>OS</v>
          </cell>
          <cell r="P477" t="str">
            <v>OS</v>
          </cell>
          <cell r="Q477" t="str">
            <v>OS</v>
          </cell>
          <cell r="R477" t="str">
            <v>OS</v>
          </cell>
          <cell r="S477" t="str">
            <v>OS</v>
          </cell>
          <cell r="T477" t="str">
            <v>OS</v>
          </cell>
          <cell r="U477" t="str">
            <v>OS</v>
          </cell>
          <cell r="V477" t="str">
            <v>OS</v>
          </cell>
          <cell r="W477" t="str">
            <v>OS</v>
          </cell>
          <cell r="X477" t="str">
            <v>OS</v>
          </cell>
          <cell r="Y477" t="str">
            <v>OS</v>
          </cell>
          <cell r="Z477" t="str">
            <v>OS</v>
          </cell>
          <cell r="AA477" t="str">
            <v>OS</v>
          </cell>
          <cell r="AB477" t="str">
            <v>OS</v>
          </cell>
          <cell r="AC477" t="str">
            <v>OS</v>
          </cell>
          <cell r="AD477" t="str">
            <v>AGM-01-024-035</v>
          </cell>
          <cell r="AE477" t="str">
            <v xml:space="preserve">Raemulan Lands, Inc. </v>
          </cell>
          <cell r="AF477" t="str">
            <v>Agapeya</v>
          </cell>
          <cell r="AG477" t="str">
            <v>AGM</v>
          </cell>
          <cell r="AH477" t="str">
            <v>Eco-High</v>
          </cell>
          <cell r="AI477" t="str">
            <v>West</v>
          </cell>
          <cell r="AJ477" t="str">
            <v>With LTS</v>
          </cell>
          <cell r="AK477" t="str">
            <v>Unaffected lots</v>
          </cell>
          <cell r="AL477" t="str">
            <v>Unaffected lots</v>
          </cell>
          <cell r="AM477" t="b">
            <v>1</v>
          </cell>
          <cell r="AN477" t="str">
            <v>YES</v>
          </cell>
          <cell r="AO477" t="str">
            <v>B1 2025</v>
          </cell>
          <cell r="AP477">
            <v>70</v>
          </cell>
          <cell r="AQ477" t="str">
            <v>PCS-04-276764</v>
          </cell>
          <cell r="AR477" t="b">
            <v>1</v>
          </cell>
          <cell r="AS477" t="str">
            <v>Done</v>
          </cell>
          <cell r="AT477" t="str">
            <v>2025 - Batch 2</v>
          </cell>
          <cell r="AU477">
            <v>24</v>
          </cell>
          <cell r="AV477">
            <v>35</v>
          </cell>
          <cell r="AW477" t="str">
            <v>H+L</v>
          </cell>
          <cell r="AX477">
            <v>70</v>
          </cell>
          <cell r="AY477">
            <v>50</v>
          </cell>
          <cell r="AZ477" t="str">
            <v>Duplex</v>
          </cell>
          <cell r="BA477">
            <v>1</v>
          </cell>
          <cell r="BB477" t="str">
            <v>568 - Without Partition</v>
          </cell>
          <cell r="BC477" t="str">
            <v xml:space="preserve">Without Partition </v>
          </cell>
          <cell r="BD477" t="str">
            <v>Flat</v>
          </cell>
          <cell r="BE477" t="str">
            <v xml:space="preserve">Without Partition </v>
          </cell>
          <cell r="BF477" t="str">
            <v>YELLOW</v>
          </cell>
          <cell r="BG477">
            <v>2500000</v>
          </cell>
          <cell r="BH477">
            <v>2650000</v>
          </cell>
          <cell r="BI477">
            <v>100000</v>
          </cell>
          <cell r="BJ477">
            <v>2550000</v>
          </cell>
          <cell r="BK477">
            <v>0</v>
          </cell>
          <cell r="BL477">
            <v>2550000</v>
          </cell>
        </row>
        <row r="478">
          <cell r="D478" t="str">
            <v>OS</v>
          </cell>
          <cell r="E478"/>
          <cell r="F478">
            <v>458</v>
          </cell>
          <cell r="G478" t="str">
            <v>SOLD</v>
          </cell>
          <cell r="H478" t="str">
            <v>OS</v>
          </cell>
          <cell r="I478" t="str">
            <v>OS</v>
          </cell>
          <cell r="J478" t="str">
            <v>OS</v>
          </cell>
          <cell r="K478" t="str">
            <v>OS</v>
          </cell>
          <cell r="L478" t="str">
            <v>OS</v>
          </cell>
          <cell r="M478" t="str">
            <v>OS</v>
          </cell>
          <cell r="N478" t="str">
            <v>OS</v>
          </cell>
          <cell r="O478" t="str">
            <v>OS</v>
          </cell>
          <cell r="P478" t="str">
            <v>OS</v>
          </cell>
          <cell r="Q478" t="str">
            <v>OS</v>
          </cell>
          <cell r="R478" t="str">
            <v>OS</v>
          </cell>
          <cell r="S478" t="str">
            <v>OS</v>
          </cell>
          <cell r="T478" t="str">
            <v>OS</v>
          </cell>
          <cell r="U478" t="str">
            <v>OS</v>
          </cell>
          <cell r="V478" t="str">
            <v>OS</v>
          </cell>
          <cell r="W478" t="str">
            <v>OS</v>
          </cell>
          <cell r="X478" t="str">
            <v>OS</v>
          </cell>
          <cell r="Y478" t="str">
            <v>OS</v>
          </cell>
          <cell r="Z478" t="str">
            <v>OS</v>
          </cell>
          <cell r="AA478" t="str">
            <v>OS</v>
          </cell>
          <cell r="AB478" t="str">
            <v>OS</v>
          </cell>
          <cell r="AC478" t="str">
            <v>OS</v>
          </cell>
          <cell r="AD478" t="str">
            <v>AGM-01-024-036</v>
          </cell>
          <cell r="AE478" t="str">
            <v xml:space="preserve">Raemulan Lands, Inc. </v>
          </cell>
          <cell r="AF478" t="str">
            <v>Agapeya</v>
          </cell>
          <cell r="AG478" t="str">
            <v>AGM</v>
          </cell>
          <cell r="AH478" t="str">
            <v>Eco-High</v>
          </cell>
          <cell r="AI478" t="str">
            <v>West</v>
          </cell>
          <cell r="AJ478" t="str">
            <v>With LTS</v>
          </cell>
          <cell r="AK478" t="str">
            <v>Unaffected lots</v>
          </cell>
          <cell r="AL478" t="str">
            <v>Unaffected lots</v>
          </cell>
          <cell r="AM478" t="b">
            <v>1</v>
          </cell>
          <cell r="AN478" t="str">
            <v>YES</v>
          </cell>
          <cell r="AO478" t="str">
            <v>B1 2025</v>
          </cell>
          <cell r="AP478">
            <v>70</v>
          </cell>
          <cell r="AQ478" t="str">
            <v>PCS-04-276764</v>
          </cell>
          <cell r="AR478" t="b">
            <v>1</v>
          </cell>
          <cell r="AS478" t="str">
            <v>Done</v>
          </cell>
          <cell r="AT478" t="str">
            <v>2025 - Batch 2</v>
          </cell>
          <cell r="AU478">
            <v>24</v>
          </cell>
          <cell r="AV478">
            <v>36</v>
          </cell>
          <cell r="AW478" t="str">
            <v>H+L</v>
          </cell>
          <cell r="AX478">
            <v>70</v>
          </cell>
          <cell r="AY478">
            <v>50</v>
          </cell>
          <cell r="AZ478" t="str">
            <v>Duplex</v>
          </cell>
          <cell r="BA478">
            <v>1</v>
          </cell>
          <cell r="BB478" t="str">
            <v>568 - Without Partition</v>
          </cell>
          <cell r="BC478" t="str">
            <v xml:space="preserve">Without Partition </v>
          </cell>
          <cell r="BD478" t="str">
            <v>Slant</v>
          </cell>
          <cell r="BE478" t="str">
            <v xml:space="preserve">Without Partition </v>
          </cell>
          <cell r="BF478" t="str">
            <v>YELLOW</v>
          </cell>
          <cell r="BG478">
            <v>2500000</v>
          </cell>
          <cell r="BH478">
            <v>2650000</v>
          </cell>
          <cell r="BI478">
            <v>100000</v>
          </cell>
          <cell r="BJ478">
            <v>2550000</v>
          </cell>
          <cell r="BK478">
            <v>0</v>
          </cell>
          <cell r="BL478">
            <v>2550000</v>
          </cell>
        </row>
        <row r="479">
          <cell r="D479" t="str">
            <v>OS</v>
          </cell>
          <cell r="E479"/>
          <cell r="F479">
            <v>459</v>
          </cell>
          <cell r="G479" t="str">
            <v>SOLD</v>
          </cell>
          <cell r="H479" t="str">
            <v>OS</v>
          </cell>
          <cell r="I479" t="str">
            <v>OS</v>
          </cell>
          <cell r="J479" t="str">
            <v>OS</v>
          </cell>
          <cell r="K479" t="str">
            <v>OS</v>
          </cell>
          <cell r="L479" t="str">
            <v>OS</v>
          </cell>
          <cell r="M479" t="str">
            <v>OS</v>
          </cell>
          <cell r="N479" t="str">
            <v>OS</v>
          </cell>
          <cell r="O479" t="str">
            <v>OS</v>
          </cell>
          <cell r="P479" t="str">
            <v>OS</v>
          </cell>
          <cell r="Q479" t="str">
            <v>OS</v>
          </cell>
          <cell r="R479" t="str">
            <v>OS</v>
          </cell>
          <cell r="S479" t="str">
            <v>OS</v>
          </cell>
          <cell r="T479" t="str">
            <v>OS</v>
          </cell>
          <cell r="U479" t="str">
            <v>OS</v>
          </cell>
          <cell r="V479" t="str">
            <v>OS</v>
          </cell>
          <cell r="W479" t="str">
            <v>OS</v>
          </cell>
          <cell r="X479" t="str">
            <v>OS</v>
          </cell>
          <cell r="Y479" t="str">
            <v>OS</v>
          </cell>
          <cell r="Z479" t="str">
            <v>OS</v>
          </cell>
          <cell r="AA479" t="str">
            <v>OS</v>
          </cell>
          <cell r="AB479" t="str">
            <v>OS</v>
          </cell>
          <cell r="AC479" t="str">
            <v>OS</v>
          </cell>
          <cell r="AD479" t="str">
            <v>AGM-01-024-037</v>
          </cell>
          <cell r="AE479" t="str">
            <v xml:space="preserve">Raemulan Lands, Inc. </v>
          </cell>
          <cell r="AF479" t="str">
            <v>Agapeya</v>
          </cell>
          <cell r="AG479" t="str">
            <v>AGM</v>
          </cell>
          <cell r="AH479" t="str">
            <v>Eco-High</v>
          </cell>
          <cell r="AI479" t="str">
            <v>West</v>
          </cell>
          <cell r="AJ479" t="str">
            <v>With LTS</v>
          </cell>
          <cell r="AK479" t="str">
            <v>Unaffected lots</v>
          </cell>
          <cell r="AL479" t="str">
            <v>Unaffected lots</v>
          </cell>
          <cell r="AM479" t="b">
            <v>1</v>
          </cell>
          <cell r="AN479" t="str">
            <v>YES</v>
          </cell>
          <cell r="AO479" t="str">
            <v>B1 2025</v>
          </cell>
          <cell r="AP479">
            <v>70</v>
          </cell>
          <cell r="AQ479" t="str">
            <v>PCS-04-276764</v>
          </cell>
          <cell r="AR479" t="b">
            <v>1</v>
          </cell>
          <cell r="AS479" t="str">
            <v>Done</v>
          </cell>
          <cell r="AT479" t="str">
            <v>2025 - Batch 2</v>
          </cell>
          <cell r="AU479">
            <v>24</v>
          </cell>
          <cell r="AV479">
            <v>37</v>
          </cell>
          <cell r="AW479" t="str">
            <v>H+L</v>
          </cell>
          <cell r="AX479">
            <v>70</v>
          </cell>
          <cell r="AY479">
            <v>50</v>
          </cell>
          <cell r="AZ479" t="str">
            <v>Duplex</v>
          </cell>
          <cell r="BA479">
            <v>1</v>
          </cell>
          <cell r="BB479" t="str">
            <v>568 - Without Partition</v>
          </cell>
          <cell r="BC479" t="str">
            <v xml:space="preserve">Without Partition </v>
          </cell>
          <cell r="BD479" t="str">
            <v>Slant</v>
          </cell>
          <cell r="BE479" t="str">
            <v xml:space="preserve">Without Partition </v>
          </cell>
          <cell r="BF479" t="str">
            <v>PINK</v>
          </cell>
          <cell r="BG479">
            <v>2500000</v>
          </cell>
          <cell r="BH479">
            <v>2650000</v>
          </cell>
          <cell r="BI479">
            <v>100000</v>
          </cell>
          <cell r="BJ479">
            <v>2550000</v>
          </cell>
          <cell r="BK479">
            <v>0</v>
          </cell>
          <cell r="BL479">
            <v>2550000</v>
          </cell>
        </row>
        <row r="480">
          <cell r="D480" t="str">
            <v>OS</v>
          </cell>
          <cell r="E480"/>
          <cell r="F480">
            <v>460</v>
          </cell>
          <cell r="G480" t="str">
            <v>SOLD</v>
          </cell>
          <cell r="H480" t="str">
            <v>OS</v>
          </cell>
          <cell r="I480" t="str">
            <v>OS</v>
          </cell>
          <cell r="J480" t="str">
            <v>OS</v>
          </cell>
          <cell r="K480" t="str">
            <v>OS</v>
          </cell>
          <cell r="L480" t="str">
            <v>OS</v>
          </cell>
          <cell r="M480" t="str">
            <v>OS</v>
          </cell>
          <cell r="N480" t="str">
            <v>OS</v>
          </cell>
          <cell r="O480" t="str">
            <v>OS</v>
          </cell>
          <cell r="P480" t="str">
            <v>OS</v>
          </cell>
          <cell r="Q480" t="str">
            <v>OS</v>
          </cell>
          <cell r="R480" t="str">
            <v>OS</v>
          </cell>
          <cell r="S480" t="str">
            <v>OS</v>
          </cell>
          <cell r="T480" t="str">
            <v>OS</v>
          </cell>
          <cell r="U480" t="str">
            <v>OS</v>
          </cell>
          <cell r="V480" t="str">
            <v>OS</v>
          </cell>
          <cell r="W480" t="str">
            <v>OS</v>
          </cell>
          <cell r="X480" t="str">
            <v>OS</v>
          </cell>
          <cell r="Y480" t="str">
            <v>OS</v>
          </cell>
          <cell r="Z480" t="str">
            <v>OS</v>
          </cell>
          <cell r="AA480" t="str">
            <v>OS</v>
          </cell>
          <cell r="AB480" t="str">
            <v>OS</v>
          </cell>
          <cell r="AC480" t="str">
            <v>OS</v>
          </cell>
          <cell r="AD480" t="str">
            <v>AGM-01-024-038</v>
          </cell>
          <cell r="AE480" t="str">
            <v xml:space="preserve">Raemulan Lands, Inc. </v>
          </cell>
          <cell r="AF480" t="str">
            <v>Agapeya</v>
          </cell>
          <cell r="AG480" t="str">
            <v>AGM</v>
          </cell>
          <cell r="AH480" t="str">
            <v>Eco-High</v>
          </cell>
          <cell r="AI480" t="str">
            <v>West</v>
          </cell>
          <cell r="AJ480" t="str">
            <v>With LTS</v>
          </cell>
          <cell r="AK480" t="str">
            <v>Unaffected lots</v>
          </cell>
          <cell r="AL480" t="str">
            <v>Unaffected lots</v>
          </cell>
          <cell r="AM480" t="b">
            <v>1</v>
          </cell>
          <cell r="AN480" t="str">
            <v>YES</v>
          </cell>
          <cell r="AO480" t="str">
            <v>B1 2025</v>
          </cell>
          <cell r="AP480">
            <v>70</v>
          </cell>
          <cell r="AQ480" t="str">
            <v>PCS-04-276764</v>
          </cell>
          <cell r="AR480" t="b">
            <v>1</v>
          </cell>
          <cell r="AS480" t="str">
            <v>Done</v>
          </cell>
          <cell r="AT480" t="str">
            <v>2025 - Batch 2</v>
          </cell>
          <cell r="AU480">
            <v>24</v>
          </cell>
          <cell r="AV480">
            <v>38</v>
          </cell>
          <cell r="AW480" t="str">
            <v>H+L</v>
          </cell>
          <cell r="AX480">
            <v>70</v>
          </cell>
          <cell r="AY480">
            <v>50</v>
          </cell>
          <cell r="AZ480" t="str">
            <v>Duplex</v>
          </cell>
          <cell r="BA480">
            <v>1</v>
          </cell>
          <cell r="BB480" t="str">
            <v>568 - Without Partition</v>
          </cell>
          <cell r="BC480" t="str">
            <v xml:space="preserve">Without Partition </v>
          </cell>
          <cell r="BD480" t="str">
            <v>Flat</v>
          </cell>
          <cell r="BE480" t="str">
            <v xml:space="preserve">Without Partition </v>
          </cell>
          <cell r="BF480" t="str">
            <v>PINK</v>
          </cell>
          <cell r="BG480">
            <v>2500000</v>
          </cell>
          <cell r="BH480">
            <v>2650000</v>
          </cell>
          <cell r="BI480">
            <v>100000</v>
          </cell>
          <cell r="BJ480">
            <v>2550000</v>
          </cell>
          <cell r="BK480">
            <v>0</v>
          </cell>
          <cell r="BL480">
            <v>2550000</v>
          </cell>
        </row>
        <row r="481">
          <cell r="D481" t="str">
            <v>OS</v>
          </cell>
          <cell r="E481"/>
          <cell r="F481">
            <v>461</v>
          </cell>
          <cell r="G481" t="str">
            <v>SOLD</v>
          </cell>
          <cell r="H481" t="str">
            <v>OS</v>
          </cell>
          <cell r="I481" t="str">
            <v>OS</v>
          </cell>
          <cell r="J481" t="str">
            <v>OS</v>
          </cell>
          <cell r="K481" t="str">
            <v>OS</v>
          </cell>
          <cell r="L481" t="str">
            <v>OS</v>
          </cell>
          <cell r="M481" t="str">
            <v>OS</v>
          </cell>
          <cell r="N481" t="str">
            <v>OS</v>
          </cell>
          <cell r="O481" t="str">
            <v>OS</v>
          </cell>
          <cell r="P481" t="str">
            <v>OS</v>
          </cell>
          <cell r="Q481" t="str">
            <v>OS</v>
          </cell>
          <cell r="R481" t="str">
            <v>OS</v>
          </cell>
          <cell r="S481" t="str">
            <v>OS</v>
          </cell>
          <cell r="T481" t="str">
            <v>OS</v>
          </cell>
          <cell r="U481" t="str">
            <v>OS</v>
          </cell>
          <cell r="V481" t="str">
            <v>OS</v>
          </cell>
          <cell r="W481" t="str">
            <v>OS</v>
          </cell>
          <cell r="X481" t="str">
            <v>OS</v>
          </cell>
          <cell r="Y481" t="str">
            <v>OS</v>
          </cell>
          <cell r="Z481" t="str">
            <v>OS</v>
          </cell>
          <cell r="AA481" t="str">
            <v>OS</v>
          </cell>
          <cell r="AB481" t="str">
            <v>OS</v>
          </cell>
          <cell r="AC481" t="str">
            <v>OS</v>
          </cell>
          <cell r="AD481" t="str">
            <v>AGM-01-024-039</v>
          </cell>
          <cell r="AE481" t="str">
            <v xml:space="preserve">Raemulan Lands, Inc. </v>
          </cell>
          <cell r="AF481" t="str">
            <v>Agapeya</v>
          </cell>
          <cell r="AG481" t="str">
            <v>AGM</v>
          </cell>
          <cell r="AH481" t="str">
            <v>Eco-High</v>
          </cell>
          <cell r="AI481" t="str">
            <v>West</v>
          </cell>
          <cell r="AJ481" t="str">
            <v>Without LTS</v>
          </cell>
          <cell r="AK481" t="str">
            <v>for conso</v>
          </cell>
          <cell r="AL481" t="str">
            <v>Unaffected lots</v>
          </cell>
          <cell r="AM481" t="b">
            <v>1</v>
          </cell>
          <cell r="AN481" t="str">
            <v>NO</v>
          </cell>
          <cell r="AO481" t="str">
            <v>B1 2025</v>
          </cell>
          <cell r="AP481" t="str">
            <v>66/4</v>
          </cell>
          <cell r="AQ481" t="str">
            <v>PCS-04-276764/PSD-04-277865</v>
          </cell>
          <cell r="AR481" t="b">
            <v>0</v>
          </cell>
          <cell r="AS481" t="str">
            <v>For Conso</v>
          </cell>
          <cell r="AT481" t="str">
            <v>2025 - Batch 2</v>
          </cell>
          <cell r="AU481">
            <v>24</v>
          </cell>
          <cell r="AV481">
            <v>39</v>
          </cell>
          <cell r="AW481" t="str">
            <v>H+L</v>
          </cell>
          <cell r="AX481">
            <v>70</v>
          </cell>
          <cell r="AY481">
            <v>50</v>
          </cell>
          <cell r="AZ481" t="str">
            <v>Duplex</v>
          </cell>
          <cell r="BA481">
            <v>1</v>
          </cell>
          <cell r="BB481" t="str">
            <v>568 - Without Partition</v>
          </cell>
          <cell r="BC481" t="str">
            <v xml:space="preserve">Without Partition </v>
          </cell>
          <cell r="BD481" t="str">
            <v>Flat</v>
          </cell>
          <cell r="BE481" t="str">
            <v xml:space="preserve">Without Partition </v>
          </cell>
          <cell r="BF481" t="str">
            <v>PINK</v>
          </cell>
          <cell r="BG481">
            <v>2500000</v>
          </cell>
          <cell r="BH481">
            <v>2650000</v>
          </cell>
          <cell r="BI481">
            <v>100000</v>
          </cell>
          <cell r="BJ481">
            <v>2550000</v>
          </cell>
          <cell r="BK481">
            <v>0</v>
          </cell>
          <cell r="BL481">
            <v>2550000</v>
          </cell>
        </row>
        <row r="482">
          <cell r="D482" t="str">
            <v>OS</v>
          </cell>
          <cell r="E482"/>
          <cell r="F482">
            <v>462</v>
          </cell>
          <cell r="G482" t="str">
            <v>UNSOLD</v>
          </cell>
          <cell r="H482" t="str">
            <v>TS</v>
          </cell>
          <cell r="I482" t="str">
            <v>TS</v>
          </cell>
          <cell r="J482" t="str">
            <v>TS</v>
          </cell>
          <cell r="K482" t="str">
            <v>TS</v>
          </cell>
          <cell r="L482" t="str">
            <v>TS</v>
          </cell>
          <cell r="M482" t="str">
            <v>TS</v>
          </cell>
          <cell r="N482" t="str">
            <v>OS</v>
          </cell>
          <cell r="O482" t="str">
            <v>OS</v>
          </cell>
          <cell r="P482" t="str">
            <v>OS</v>
          </cell>
          <cell r="Q482" t="str">
            <v>OS</v>
          </cell>
          <cell r="R482" t="str">
            <v>OS</v>
          </cell>
          <cell r="S482" t="str">
            <v>OS</v>
          </cell>
          <cell r="T482" t="str">
            <v>OS</v>
          </cell>
          <cell r="U482" t="str">
            <v>OS</v>
          </cell>
          <cell r="V482" t="str">
            <v>OS</v>
          </cell>
          <cell r="W482" t="str">
            <v>OS</v>
          </cell>
          <cell r="X482" t="str">
            <v>OS</v>
          </cell>
          <cell r="Y482" t="str">
            <v>OS</v>
          </cell>
          <cell r="Z482" t="str">
            <v>OS</v>
          </cell>
          <cell r="AA482" t="str">
            <v>OS</v>
          </cell>
          <cell r="AB482" t="str">
            <v>OS</v>
          </cell>
          <cell r="AC482" t="str">
            <v>OS</v>
          </cell>
          <cell r="AD482" t="str">
            <v>AGM-01-024-040</v>
          </cell>
          <cell r="AE482" t="str">
            <v xml:space="preserve">Raemulan Lands, Inc. </v>
          </cell>
          <cell r="AF482" t="str">
            <v>Agapeya</v>
          </cell>
          <cell r="AG482" t="str">
            <v>AGM</v>
          </cell>
          <cell r="AH482" t="str">
            <v>Eco-High</v>
          </cell>
          <cell r="AI482" t="str">
            <v>West</v>
          </cell>
          <cell r="AJ482" t="str">
            <v>Without LTS</v>
          </cell>
          <cell r="AK482" t="str">
            <v>for conso</v>
          </cell>
          <cell r="AL482" t="str">
            <v>Unaffected lots</v>
          </cell>
          <cell r="AM482" t="b">
            <v>1</v>
          </cell>
          <cell r="AN482" t="str">
            <v>NO</v>
          </cell>
          <cell r="AO482" t="str">
            <v>B1 2025</v>
          </cell>
          <cell r="AP482" t="str">
            <v>19/51</v>
          </cell>
          <cell r="AQ482" t="str">
            <v>PCS-04-276764/PSD-04-277865</v>
          </cell>
          <cell r="AR482" t="b">
            <v>0</v>
          </cell>
          <cell r="AS482" t="str">
            <v>For Conso</v>
          </cell>
          <cell r="AT482" t="str">
            <v>2025 - Batch 2</v>
          </cell>
          <cell r="AU482">
            <v>24</v>
          </cell>
          <cell r="AV482">
            <v>40</v>
          </cell>
          <cell r="AW482" t="str">
            <v>H+L</v>
          </cell>
          <cell r="AX482">
            <v>70</v>
          </cell>
          <cell r="AY482">
            <v>50</v>
          </cell>
          <cell r="AZ482" t="str">
            <v>Duplex</v>
          </cell>
          <cell r="BA482">
            <v>1</v>
          </cell>
          <cell r="BB482" t="str">
            <v>568 - Without Partition</v>
          </cell>
          <cell r="BC482" t="str">
            <v xml:space="preserve">Without Partition </v>
          </cell>
          <cell r="BD482" t="str">
            <v>Slant</v>
          </cell>
          <cell r="BE482" t="str">
            <v xml:space="preserve">Without Partition </v>
          </cell>
          <cell r="BF482" t="str">
            <v>PINK</v>
          </cell>
          <cell r="BG482">
            <v>2500000</v>
          </cell>
          <cell r="BH482">
            <v>2650000</v>
          </cell>
          <cell r="BI482">
            <v>100000</v>
          </cell>
          <cell r="BJ482">
            <v>2550000</v>
          </cell>
          <cell r="BK482">
            <v>0</v>
          </cell>
          <cell r="BL482">
            <v>2550000</v>
          </cell>
        </row>
        <row r="483">
          <cell r="D483" t="str">
            <v>OS</v>
          </cell>
          <cell r="E483"/>
          <cell r="F483">
            <v>463</v>
          </cell>
          <cell r="G483" t="str">
            <v>SOLD</v>
          </cell>
          <cell r="H483" t="str">
            <v>OS</v>
          </cell>
          <cell r="I483" t="str">
            <v>OS</v>
          </cell>
          <cell r="J483" t="str">
            <v>OS</v>
          </cell>
          <cell r="K483" t="str">
            <v>OS</v>
          </cell>
          <cell r="L483" t="str">
            <v>OS</v>
          </cell>
          <cell r="M483" t="str">
            <v>OS</v>
          </cell>
          <cell r="N483" t="str">
            <v>OS</v>
          </cell>
          <cell r="O483" t="str">
            <v>OS</v>
          </cell>
          <cell r="P483" t="str">
            <v>OS</v>
          </cell>
          <cell r="Q483" t="str">
            <v>OS</v>
          </cell>
          <cell r="R483" t="str">
            <v>OS</v>
          </cell>
          <cell r="S483" t="str">
            <v>OS</v>
          </cell>
          <cell r="T483" t="str">
            <v>OS</v>
          </cell>
          <cell r="U483" t="str">
            <v>OS</v>
          </cell>
          <cell r="V483" t="str">
            <v>OS</v>
          </cell>
          <cell r="W483" t="str">
            <v>OS</v>
          </cell>
          <cell r="X483" t="str">
            <v>OS</v>
          </cell>
          <cell r="Y483" t="str">
            <v>OS</v>
          </cell>
          <cell r="Z483" t="str">
            <v>OS</v>
          </cell>
          <cell r="AA483" t="str">
            <v>OS</v>
          </cell>
          <cell r="AB483" t="str">
            <v>OS</v>
          </cell>
          <cell r="AC483" t="str">
            <v>OS</v>
          </cell>
          <cell r="AD483" t="str">
            <v>AGM-01-024-041</v>
          </cell>
          <cell r="AE483" t="str">
            <v xml:space="preserve">Raemulan Lands, Inc. </v>
          </cell>
          <cell r="AF483" t="str">
            <v>Agapeya</v>
          </cell>
          <cell r="AG483" t="str">
            <v>AGM</v>
          </cell>
          <cell r="AH483" t="str">
            <v>Eco-High</v>
          </cell>
          <cell r="AI483" t="str">
            <v>West</v>
          </cell>
          <cell r="AJ483" t="str">
            <v>Without LTS</v>
          </cell>
          <cell r="AK483" t="str">
            <v>Unaffected lots</v>
          </cell>
          <cell r="AL483" t="str">
            <v>Unaffected lots</v>
          </cell>
          <cell r="AM483" t="b">
            <v>0</v>
          </cell>
          <cell r="AN483" t="str">
            <v>NO</v>
          </cell>
          <cell r="AO483" t="str">
            <v>B1 2025</v>
          </cell>
          <cell r="AP483">
            <v>70</v>
          </cell>
          <cell r="AQ483" t="str">
            <v>PCS-277865</v>
          </cell>
          <cell r="AR483" t="b">
            <v>1</v>
          </cell>
          <cell r="AS483" t="str">
            <v>Done</v>
          </cell>
          <cell r="AT483" t="str">
            <v>2025 - Batch 2</v>
          </cell>
          <cell r="AU483">
            <v>24</v>
          </cell>
          <cell r="AV483">
            <v>41</v>
          </cell>
          <cell r="AW483" t="str">
            <v>H+L</v>
          </cell>
          <cell r="AX483">
            <v>70</v>
          </cell>
          <cell r="AY483">
            <v>50</v>
          </cell>
          <cell r="AZ483" t="str">
            <v>Duplex</v>
          </cell>
          <cell r="BA483">
            <v>1</v>
          </cell>
          <cell r="BB483" t="str">
            <v>568 - Without Partition</v>
          </cell>
          <cell r="BC483" t="str">
            <v xml:space="preserve">Without Partition </v>
          </cell>
          <cell r="BD483" t="str">
            <v>Slant</v>
          </cell>
          <cell r="BE483" t="str">
            <v xml:space="preserve">Without Partition </v>
          </cell>
          <cell r="BF483" t="str">
            <v>PURPLE</v>
          </cell>
          <cell r="BG483">
            <v>2500000</v>
          </cell>
          <cell r="BH483">
            <v>2650000</v>
          </cell>
          <cell r="BI483">
            <v>100000</v>
          </cell>
          <cell r="BJ483">
            <v>2550000</v>
          </cell>
          <cell r="BK483">
            <v>0</v>
          </cell>
          <cell r="BL483">
            <v>2550000</v>
          </cell>
        </row>
        <row r="484">
          <cell r="D484" t="str">
            <v>OS</v>
          </cell>
          <cell r="E484"/>
          <cell r="F484">
            <v>464</v>
          </cell>
          <cell r="G484" t="str">
            <v>SOLD</v>
          </cell>
          <cell r="H484" t="str">
            <v>OS</v>
          </cell>
          <cell r="I484" t="str">
            <v>OS</v>
          </cell>
          <cell r="J484" t="str">
            <v>OS</v>
          </cell>
          <cell r="K484" t="str">
            <v>OS</v>
          </cell>
          <cell r="L484" t="str">
            <v>OS</v>
          </cell>
          <cell r="M484" t="str">
            <v>OS</v>
          </cell>
          <cell r="N484" t="str">
            <v>OS</v>
          </cell>
          <cell r="O484" t="str">
            <v>OS</v>
          </cell>
          <cell r="P484" t="str">
            <v>OS</v>
          </cell>
          <cell r="Q484" t="str">
            <v>OS</v>
          </cell>
          <cell r="R484" t="str">
            <v>OS</v>
          </cell>
          <cell r="S484" t="str">
            <v>OS</v>
          </cell>
          <cell r="T484" t="str">
            <v>OS</v>
          </cell>
          <cell r="U484" t="str">
            <v>OS</v>
          </cell>
          <cell r="V484" t="str">
            <v>OS</v>
          </cell>
          <cell r="W484" t="str">
            <v>OS</v>
          </cell>
          <cell r="X484" t="str">
            <v>OS</v>
          </cell>
          <cell r="Y484" t="str">
            <v>OS</v>
          </cell>
          <cell r="Z484" t="str">
            <v>OS</v>
          </cell>
          <cell r="AA484" t="str">
            <v>OS</v>
          </cell>
          <cell r="AB484" t="str">
            <v>OS</v>
          </cell>
          <cell r="AC484" t="str">
            <v>OS</v>
          </cell>
          <cell r="AD484" t="str">
            <v>AGM-01-024-042</v>
          </cell>
          <cell r="AE484" t="str">
            <v xml:space="preserve">Raemulan Lands, Inc. </v>
          </cell>
          <cell r="AF484" t="str">
            <v>Agapeya</v>
          </cell>
          <cell r="AG484" t="str">
            <v>AGM</v>
          </cell>
          <cell r="AH484" t="str">
            <v>Eco-High</v>
          </cell>
          <cell r="AI484" t="str">
            <v>West</v>
          </cell>
          <cell r="AJ484" t="str">
            <v>Without LTS</v>
          </cell>
          <cell r="AK484" t="str">
            <v>Unaffected lots</v>
          </cell>
          <cell r="AL484" t="str">
            <v>Unaffected lots</v>
          </cell>
          <cell r="AM484" t="b">
            <v>0</v>
          </cell>
          <cell r="AN484" t="str">
            <v>NO</v>
          </cell>
          <cell r="AO484" t="str">
            <v>B1 2025</v>
          </cell>
          <cell r="AP484">
            <v>70</v>
          </cell>
          <cell r="AQ484" t="str">
            <v>PCS-277865</v>
          </cell>
          <cell r="AR484" t="b">
            <v>1</v>
          </cell>
          <cell r="AS484" t="str">
            <v>Done</v>
          </cell>
          <cell r="AT484" t="str">
            <v>2025 - Batch 2</v>
          </cell>
          <cell r="AU484">
            <v>24</v>
          </cell>
          <cell r="AV484">
            <v>42</v>
          </cell>
          <cell r="AW484" t="str">
            <v>H+L</v>
          </cell>
          <cell r="AX484">
            <v>70</v>
          </cell>
          <cell r="AY484">
            <v>50</v>
          </cell>
          <cell r="AZ484" t="str">
            <v>Duplex</v>
          </cell>
          <cell r="BA484">
            <v>1</v>
          </cell>
          <cell r="BB484" t="str">
            <v>568 - Without Partition</v>
          </cell>
          <cell r="BC484" t="str">
            <v xml:space="preserve">Without Partition </v>
          </cell>
          <cell r="BD484" t="str">
            <v>Flat</v>
          </cell>
          <cell r="BE484" t="str">
            <v xml:space="preserve">Without Partition </v>
          </cell>
          <cell r="BF484" t="str">
            <v>PURPLE</v>
          </cell>
          <cell r="BG484">
            <v>2500000</v>
          </cell>
          <cell r="BH484">
            <v>2650000</v>
          </cell>
          <cell r="BI484">
            <v>100000</v>
          </cell>
          <cell r="BJ484">
            <v>2550000</v>
          </cell>
          <cell r="BK484">
            <v>0</v>
          </cell>
          <cell r="BL484">
            <v>2550000</v>
          </cell>
        </row>
        <row r="485">
          <cell r="D485" t="str">
            <v>OS</v>
          </cell>
          <cell r="E485"/>
          <cell r="F485">
            <v>465</v>
          </cell>
          <cell r="G485" t="str">
            <v>SOLD</v>
          </cell>
          <cell r="H485" t="str">
            <v>OS</v>
          </cell>
          <cell r="I485" t="str">
            <v>OS</v>
          </cell>
          <cell r="J485" t="str">
            <v>OS</v>
          </cell>
          <cell r="K485" t="str">
            <v>OS</v>
          </cell>
          <cell r="L485" t="str">
            <v>OS</v>
          </cell>
          <cell r="M485" t="str">
            <v>OS</v>
          </cell>
          <cell r="N485" t="str">
            <v>OS</v>
          </cell>
          <cell r="O485" t="str">
            <v>OS</v>
          </cell>
          <cell r="P485" t="str">
            <v>OS</v>
          </cell>
          <cell r="Q485" t="str">
            <v>OS</v>
          </cell>
          <cell r="R485" t="str">
            <v>OS</v>
          </cell>
          <cell r="S485" t="str">
            <v>OS</v>
          </cell>
          <cell r="T485" t="str">
            <v>OS</v>
          </cell>
          <cell r="U485" t="str">
            <v>OS</v>
          </cell>
          <cell r="V485" t="str">
            <v>OS</v>
          </cell>
          <cell r="W485" t="str">
            <v>OS</v>
          </cell>
          <cell r="X485" t="str">
            <v>OS</v>
          </cell>
          <cell r="Y485" t="str">
            <v>OS</v>
          </cell>
          <cell r="Z485" t="str">
            <v>OS</v>
          </cell>
          <cell r="AA485" t="str">
            <v>OS</v>
          </cell>
          <cell r="AB485" t="str">
            <v>OS</v>
          </cell>
          <cell r="AC485" t="str">
            <v>OS</v>
          </cell>
          <cell r="AD485" t="str">
            <v>AGM-01-024-043</v>
          </cell>
          <cell r="AE485" t="str">
            <v xml:space="preserve">Raemulan Lands, Inc. </v>
          </cell>
          <cell r="AF485" t="str">
            <v>Agapeya</v>
          </cell>
          <cell r="AG485" t="str">
            <v>AGM</v>
          </cell>
          <cell r="AH485" t="str">
            <v>Eco-High</v>
          </cell>
          <cell r="AI485" t="str">
            <v>West</v>
          </cell>
          <cell r="AJ485" t="str">
            <v>Without LTS</v>
          </cell>
          <cell r="AK485" t="str">
            <v>Unaffected lots</v>
          </cell>
          <cell r="AL485" t="str">
            <v>Unaffected lots</v>
          </cell>
          <cell r="AM485" t="b">
            <v>0</v>
          </cell>
          <cell r="AN485" t="str">
            <v>NO</v>
          </cell>
          <cell r="AO485" t="str">
            <v>B1 2025</v>
          </cell>
          <cell r="AP485">
            <v>70</v>
          </cell>
          <cell r="AQ485" t="str">
            <v>PCS-277865</v>
          </cell>
          <cell r="AR485" t="b">
            <v>1</v>
          </cell>
          <cell r="AS485" t="str">
            <v>Done</v>
          </cell>
          <cell r="AT485" t="str">
            <v>2025 - Batch 2</v>
          </cell>
          <cell r="AU485">
            <v>24</v>
          </cell>
          <cell r="AV485">
            <v>43</v>
          </cell>
          <cell r="AW485" t="str">
            <v>H+L</v>
          </cell>
          <cell r="AX485">
            <v>70</v>
          </cell>
          <cell r="AY485">
            <v>50</v>
          </cell>
          <cell r="AZ485" t="str">
            <v>Duplex</v>
          </cell>
          <cell r="BA485">
            <v>1</v>
          </cell>
          <cell r="BB485" t="str">
            <v>568 - Without Partition</v>
          </cell>
          <cell r="BC485" t="str">
            <v xml:space="preserve">Without Partition </v>
          </cell>
          <cell r="BD485" t="str">
            <v>Flat</v>
          </cell>
          <cell r="BE485" t="str">
            <v xml:space="preserve">Without Partition </v>
          </cell>
          <cell r="BF485" t="str">
            <v>PURPLE</v>
          </cell>
          <cell r="BG485">
            <v>2500000</v>
          </cell>
          <cell r="BH485">
            <v>2650000</v>
          </cell>
          <cell r="BI485">
            <v>100000</v>
          </cell>
          <cell r="BJ485">
            <v>2550000</v>
          </cell>
          <cell r="BK485">
            <v>0</v>
          </cell>
          <cell r="BL485">
            <v>2550000</v>
          </cell>
        </row>
        <row r="486">
          <cell r="D486" t="str">
            <v>OS</v>
          </cell>
          <cell r="E486"/>
          <cell r="F486">
            <v>466</v>
          </cell>
          <cell r="G486" t="str">
            <v>SOLD</v>
          </cell>
          <cell r="H486" t="str">
            <v>OS</v>
          </cell>
          <cell r="I486" t="str">
            <v>OS</v>
          </cell>
          <cell r="J486" t="str">
            <v>OS</v>
          </cell>
          <cell r="K486" t="str">
            <v>OS</v>
          </cell>
          <cell r="L486" t="str">
            <v>OS</v>
          </cell>
          <cell r="M486" t="str">
            <v>OS</v>
          </cell>
          <cell r="N486" t="str">
            <v>OS</v>
          </cell>
          <cell r="O486" t="str">
            <v>OS</v>
          </cell>
          <cell r="P486" t="str">
            <v>OS</v>
          </cell>
          <cell r="Q486" t="str">
            <v>OS</v>
          </cell>
          <cell r="R486" t="str">
            <v>OS</v>
          </cell>
          <cell r="S486" t="str">
            <v>OS</v>
          </cell>
          <cell r="T486" t="str">
            <v>OS</v>
          </cell>
          <cell r="U486" t="str">
            <v>OS</v>
          </cell>
          <cell r="V486" t="str">
            <v>OS</v>
          </cell>
          <cell r="W486" t="str">
            <v>OS</v>
          </cell>
          <cell r="X486" t="str">
            <v>OS</v>
          </cell>
          <cell r="Y486" t="str">
            <v>OS</v>
          </cell>
          <cell r="Z486" t="str">
            <v>OS</v>
          </cell>
          <cell r="AA486" t="str">
            <v>OS</v>
          </cell>
          <cell r="AB486" t="str">
            <v>OS</v>
          </cell>
          <cell r="AC486" t="str">
            <v>OS</v>
          </cell>
          <cell r="AD486" t="str">
            <v>AGM-01-024-044</v>
          </cell>
          <cell r="AE486" t="str">
            <v xml:space="preserve">Raemulan Lands, Inc. </v>
          </cell>
          <cell r="AF486" t="str">
            <v>Agapeya</v>
          </cell>
          <cell r="AG486" t="str">
            <v>AGM</v>
          </cell>
          <cell r="AH486" t="str">
            <v>Eco-High</v>
          </cell>
          <cell r="AI486" t="str">
            <v>West</v>
          </cell>
          <cell r="AJ486" t="str">
            <v>Without LTS</v>
          </cell>
          <cell r="AK486" t="str">
            <v>Unaffected lots</v>
          </cell>
          <cell r="AL486" t="str">
            <v>Unaffected lots</v>
          </cell>
          <cell r="AM486" t="b">
            <v>0</v>
          </cell>
          <cell r="AN486" t="str">
            <v>NO</v>
          </cell>
          <cell r="AO486" t="str">
            <v>B1 2025</v>
          </cell>
          <cell r="AP486">
            <v>70</v>
          </cell>
          <cell r="AQ486" t="str">
            <v>PCS-277865</v>
          </cell>
          <cell r="AR486" t="b">
            <v>1</v>
          </cell>
          <cell r="AS486" t="str">
            <v>Done</v>
          </cell>
          <cell r="AT486" t="str">
            <v>2025 - Batch 2</v>
          </cell>
          <cell r="AU486">
            <v>24</v>
          </cell>
          <cell r="AV486">
            <v>44</v>
          </cell>
          <cell r="AW486" t="str">
            <v>H+L</v>
          </cell>
          <cell r="AX486">
            <v>70</v>
          </cell>
          <cell r="AY486">
            <v>50</v>
          </cell>
          <cell r="AZ486" t="str">
            <v>Duplex</v>
          </cell>
          <cell r="BA486">
            <v>1</v>
          </cell>
          <cell r="BB486" t="str">
            <v>568 - Without Partition</v>
          </cell>
          <cell r="BC486" t="str">
            <v xml:space="preserve">Without Partition </v>
          </cell>
          <cell r="BD486" t="str">
            <v>Slant</v>
          </cell>
          <cell r="BE486" t="str">
            <v xml:space="preserve">Without Partition </v>
          </cell>
          <cell r="BF486" t="str">
            <v>PURPLE</v>
          </cell>
          <cell r="BG486">
            <v>2500000</v>
          </cell>
          <cell r="BH486">
            <v>2650000</v>
          </cell>
          <cell r="BI486">
            <v>100000</v>
          </cell>
          <cell r="BJ486">
            <v>2550000</v>
          </cell>
          <cell r="BK486">
            <v>0</v>
          </cell>
          <cell r="BL486">
            <v>2550000</v>
          </cell>
        </row>
        <row r="487">
          <cell r="D487" t="str">
            <v>OS</v>
          </cell>
          <cell r="E487"/>
          <cell r="F487">
            <v>467</v>
          </cell>
          <cell r="G487" t="str">
            <v>SOLD</v>
          </cell>
          <cell r="H487" t="str">
            <v>OS</v>
          </cell>
          <cell r="I487" t="str">
            <v>OS</v>
          </cell>
          <cell r="J487" t="str">
            <v>OS</v>
          </cell>
          <cell r="K487" t="str">
            <v>OS</v>
          </cell>
          <cell r="L487" t="str">
            <v>OS</v>
          </cell>
          <cell r="M487" t="str">
            <v>OS</v>
          </cell>
          <cell r="N487" t="str">
            <v>OS</v>
          </cell>
          <cell r="O487" t="str">
            <v>OS</v>
          </cell>
          <cell r="P487" t="str">
            <v>OS</v>
          </cell>
          <cell r="Q487" t="str">
            <v>OS</v>
          </cell>
          <cell r="R487" t="str">
            <v>OS</v>
          </cell>
          <cell r="S487" t="str">
            <v>OS</v>
          </cell>
          <cell r="T487" t="str">
            <v>OS</v>
          </cell>
          <cell r="U487" t="str">
            <v>OS</v>
          </cell>
          <cell r="V487" t="str">
            <v>OS</v>
          </cell>
          <cell r="W487" t="str">
            <v>OS</v>
          </cell>
          <cell r="X487" t="str">
            <v>OS</v>
          </cell>
          <cell r="Y487" t="str">
            <v>OS</v>
          </cell>
          <cell r="Z487" t="str">
            <v>OS</v>
          </cell>
          <cell r="AA487" t="str">
            <v>OS</v>
          </cell>
          <cell r="AB487" t="str">
            <v>OS</v>
          </cell>
          <cell r="AC487" t="str">
            <v>OS</v>
          </cell>
          <cell r="AD487" t="str">
            <v>AGM-01-024-045</v>
          </cell>
          <cell r="AE487" t="str">
            <v xml:space="preserve">Raemulan Lands, Inc. </v>
          </cell>
          <cell r="AF487" t="str">
            <v>Agapeya</v>
          </cell>
          <cell r="AG487" t="str">
            <v>AGM</v>
          </cell>
          <cell r="AH487" t="str">
            <v>Eco-High</v>
          </cell>
          <cell r="AI487" t="str">
            <v>West</v>
          </cell>
          <cell r="AJ487" t="str">
            <v>Without LTS</v>
          </cell>
          <cell r="AK487" t="str">
            <v>Unaffected lots</v>
          </cell>
          <cell r="AL487" t="str">
            <v>Unaffected lots</v>
          </cell>
          <cell r="AM487" t="b">
            <v>0</v>
          </cell>
          <cell r="AN487" t="str">
            <v>NO</v>
          </cell>
          <cell r="AO487" t="str">
            <v>B1 2025</v>
          </cell>
          <cell r="AP487">
            <v>70</v>
          </cell>
          <cell r="AQ487" t="str">
            <v>PCS-277865</v>
          </cell>
          <cell r="AR487" t="b">
            <v>1</v>
          </cell>
          <cell r="AS487" t="str">
            <v>Done</v>
          </cell>
          <cell r="AT487" t="str">
            <v>2025 - Batch 2</v>
          </cell>
          <cell r="AU487">
            <v>24</v>
          </cell>
          <cell r="AV487">
            <v>45</v>
          </cell>
          <cell r="AW487" t="str">
            <v>H+L</v>
          </cell>
          <cell r="AX487">
            <v>70</v>
          </cell>
          <cell r="AY487">
            <v>50</v>
          </cell>
          <cell r="AZ487" t="str">
            <v>Duplex</v>
          </cell>
          <cell r="BA487">
            <v>1</v>
          </cell>
          <cell r="BB487" t="str">
            <v>568 - Without Partition</v>
          </cell>
          <cell r="BC487" t="str">
            <v xml:space="preserve">Without Partition </v>
          </cell>
          <cell r="BD487" t="str">
            <v>Slant</v>
          </cell>
          <cell r="BE487" t="str">
            <v xml:space="preserve">Without Partition </v>
          </cell>
          <cell r="BF487" t="str">
            <v>GREEN</v>
          </cell>
          <cell r="BG487">
            <v>2500000</v>
          </cell>
          <cell r="BH487">
            <v>2650000</v>
          </cell>
          <cell r="BI487">
            <v>100000</v>
          </cell>
          <cell r="BJ487">
            <v>2550000</v>
          </cell>
          <cell r="BK487">
            <v>0</v>
          </cell>
          <cell r="BL487">
            <v>2550000</v>
          </cell>
        </row>
        <row r="488">
          <cell r="D488" t="str">
            <v>OS</v>
          </cell>
          <cell r="E488"/>
          <cell r="F488">
            <v>468</v>
          </cell>
          <cell r="G488" t="str">
            <v>SOLD</v>
          </cell>
          <cell r="H488" t="str">
            <v>OS</v>
          </cell>
          <cell r="I488" t="str">
            <v>OS</v>
          </cell>
          <cell r="J488" t="str">
            <v>OS</v>
          </cell>
          <cell r="K488" t="str">
            <v>OS</v>
          </cell>
          <cell r="L488" t="str">
            <v>OS</v>
          </cell>
          <cell r="M488" t="str">
            <v>OS</v>
          </cell>
          <cell r="N488" t="str">
            <v>OS</v>
          </cell>
          <cell r="O488" t="str">
            <v>OS</v>
          </cell>
          <cell r="P488" t="str">
            <v>OS</v>
          </cell>
          <cell r="Q488" t="str">
            <v>OS</v>
          </cell>
          <cell r="R488" t="str">
            <v>OS</v>
          </cell>
          <cell r="S488" t="str">
            <v>OS</v>
          </cell>
          <cell r="T488" t="str">
            <v>OS</v>
          </cell>
          <cell r="U488" t="str">
            <v>OS</v>
          </cell>
          <cell r="V488" t="str">
            <v>OS</v>
          </cell>
          <cell r="W488" t="str">
            <v>OS</v>
          </cell>
          <cell r="X488" t="str">
            <v>OS</v>
          </cell>
          <cell r="Y488" t="str">
            <v>OS</v>
          </cell>
          <cell r="Z488" t="str">
            <v>OS</v>
          </cell>
          <cell r="AA488" t="str">
            <v>OS</v>
          </cell>
          <cell r="AB488" t="str">
            <v>OS</v>
          </cell>
          <cell r="AC488" t="str">
            <v>OS</v>
          </cell>
          <cell r="AD488" t="str">
            <v>AGM-01-024-046</v>
          </cell>
          <cell r="AE488" t="str">
            <v xml:space="preserve">Raemulan Lands, Inc. </v>
          </cell>
          <cell r="AF488" t="str">
            <v>Agapeya</v>
          </cell>
          <cell r="AG488" t="str">
            <v>AGM</v>
          </cell>
          <cell r="AH488" t="str">
            <v>Eco-High</v>
          </cell>
          <cell r="AI488" t="str">
            <v>West</v>
          </cell>
          <cell r="AJ488" t="str">
            <v>Without LTS</v>
          </cell>
          <cell r="AK488" t="str">
            <v>Unaffected lots</v>
          </cell>
          <cell r="AL488" t="str">
            <v>Unaffected lots</v>
          </cell>
          <cell r="AM488" t="b">
            <v>0</v>
          </cell>
          <cell r="AN488" t="str">
            <v>NO</v>
          </cell>
          <cell r="AO488" t="str">
            <v>B1 2025</v>
          </cell>
          <cell r="AP488">
            <v>70</v>
          </cell>
          <cell r="AQ488" t="str">
            <v>PCS-277865</v>
          </cell>
          <cell r="AR488" t="b">
            <v>1</v>
          </cell>
          <cell r="AS488" t="str">
            <v>Done</v>
          </cell>
          <cell r="AT488" t="str">
            <v>2025 - Batch 2</v>
          </cell>
          <cell r="AU488">
            <v>24</v>
          </cell>
          <cell r="AV488">
            <v>46</v>
          </cell>
          <cell r="AW488" t="str">
            <v>H+L</v>
          </cell>
          <cell r="AX488">
            <v>70</v>
          </cell>
          <cell r="AY488">
            <v>50</v>
          </cell>
          <cell r="AZ488" t="str">
            <v>Duplex</v>
          </cell>
          <cell r="BA488">
            <v>1</v>
          </cell>
          <cell r="BB488" t="str">
            <v>568 - Without Partition</v>
          </cell>
          <cell r="BC488" t="str">
            <v xml:space="preserve">Without Partition </v>
          </cell>
          <cell r="BD488" t="str">
            <v>Flat</v>
          </cell>
          <cell r="BE488" t="str">
            <v xml:space="preserve">Without Partition </v>
          </cell>
          <cell r="BF488" t="str">
            <v>GREEN</v>
          </cell>
          <cell r="BG488">
            <v>2422034.826150645</v>
          </cell>
          <cell r="BH488">
            <v>2650000</v>
          </cell>
          <cell r="BI488">
            <v>100000</v>
          </cell>
          <cell r="BJ488">
            <v>2550000</v>
          </cell>
          <cell r="BK488">
            <v>0</v>
          </cell>
          <cell r="BL488">
            <v>2550000</v>
          </cell>
        </row>
        <row r="489">
          <cell r="D489" t="str">
            <v>OS</v>
          </cell>
          <cell r="E489"/>
          <cell r="F489">
            <v>469</v>
          </cell>
          <cell r="G489" t="str">
            <v>SOLD</v>
          </cell>
          <cell r="H489" t="str">
            <v>OS</v>
          </cell>
          <cell r="I489" t="str">
            <v>OS</v>
          </cell>
          <cell r="J489" t="str">
            <v>OS</v>
          </cell>
          <cell r="K489" t="str">
            <v>OS</v>
          </cell>
          <cell r="L489" t="str">
            <v>OS</v>
          </cell>
          <cell r="M489" t="str">
            <v>OS</v>
          </cell>
          <cell r="N489" t="str">
            <v>OS</v>
          </cell>
          <cell r="O489" t="str">
            <v>OS</v>
          </cell>
          <cell r="P489" t="str">
            <v>OS</v>
          </cell>
          <cell r="Q489" t="str">
            <v>OS</v>
          </cell>
          <cell r="R489" t="str">
            <v>OS</v>
          </cell>
          <cell r="S489" t="str">
            <v>OS</v>
          </cell>
          <cell r="T489" t="str">
            <v>OS</v>
          </cell>
          <cell r="U489" t="str">
            <v>OS</v>
          </cell>
          <cell r="V489" t="str">
            <v>OS</v>
          </cell>
          <cell r="W489" t="str">
            <v>OS</v>
          </cell>
          <cell r="X489" t="str">
            <v>OS</v>
          </cell>
          <cell r="Y489" t="str">
            <v>OS</v>
          </cell>
          <cell r="Z489" t="str">
            <v>OS</v>
          </cell>
          <cell r="AA489" t="str">
            <v>OS</v>
          </cell>
          <cell r="AB489" t="str">
            <v>OS</v>
          </cell>
          <cell r="AC489" t="str">
            <v>OS</v>
          </cell>
          <cell r="AD489" t="str">
            <v>AGM-01-024-047</v>
          </cell>
          <cell r="AE489" t="str">
            <v xml:space="preserve">Raemulan Lands, Inc. </v>
          </cell>
          <cell r="AF489" t="str">
            <v>Agapeya</v>
          </cell>
          <cell r="AG489" t="str">
            <v>AGM</v>
          </cell>
          <cell r="AH489" t="str">
            <v>Eco-High</v>
          </cell>
          <cell r="AI489" t="str">
            <v>West</v>
          </cell>
          <cell r="AJ489" t="str">
            <v>Without LTS</v>
          </cell>
          <cell r="AK489" t="str">
            <v>Unaffected lots</v>
          </cell>
          <cell r="AL489" t="str">
            <v>Unaffected lots</v>
          </cell>
          <cell r="AM489" t="b">
            <v>0</v>
          </cell>
          <cell r="AN489" t="str">
            <v>NO</v>
          </cell>
          <cell r="AO489" t="str">
            <v>B1 2025</v>
          </cell>
          <cell r="AP489">
            <v>70</v>
          </cell>
          <cell r="AQ489" t="str">
            <v>PCS-277865</v>
          </cell>
          <cell r="AR489" t="b">
            <v>1</v>
          </cell>
          <cell r="AS489" t="str">
            <v>Done</v>
          </cell>
          <cell r="AT489" t="str">
            <v>2025 - Batch 3</v>
          </cell>
          <cell r="AU489">
            <v>24</v>
          </cell>
          <cell r="AV489">
            <v>47</v>
          </cell>
          <cell r="AW489" t="str">
            <v>H+L</v>
          </cell>
          <cell r="AX489">
            <v>70</v>
          </cell>
          <cell r="AY489">
            <v>50</v>
          </cell>
          <cell r="AZ489" t="str">
            <v>Duplex</v>
          </cell>
          <cell r="BA489">
            <v>1</v>
          </cell>
          <cell r="BB489" t="str">
            <v>568 - Without Partition</v>
          </cell>
          <cell r="BC489" t="str">
            <v xml:space="preserve">Without Partition </v>
          </cell>
          <cell r="BD489" t="str">
            <v>Flat</v>
          </cell>
          <cell r="BE489" t="str">
            <v xml:space="preserve">Without Partition </v>
          </cell>
          <cell r="BF489" t="str">
            <v>GREEN</v>
          </cell>
          <cell r="BG489">
            <v>2422034.826150645</v>
          </cell>
          <cell r="BH489">
            <v>2650000</v>
          </cell>
          <cell r="BI489">
            <v>100000</v>
          </cell>
          <cell r="BJ489">
            <v>2550000</v>
          </cell>
          <cell r="BK489">
            <v>0</v>
          </cell>
          <cell r="BL489">
            <v>2550000</v>
          </cell>
        </row>
        <row r="490">
          <cell r="D490" t="str">
            <v>OS</v>
          </cell>
          <cell r="E490"/>
          <cell r="F490">
            <v>470</v>
          </cell>
          <cell r="G490" t="str">
            <v>SOLD</v>
          </cell>
          <cell r="H490" t="str">
            <v>OS</v>
          </cell>
          <cell r="I490" t="str">
            <v>OS</v>
          </cell>
          <cell r="J490" t="str">
            <v>OS</v>
          </cell>
          <cell r="K490" t="str">
            <v>OS</v>
          </cell>
          <cell r="L490" t="str">
            <v>OS</v>
          </cell>
          <cell r="M490" t="str">
            <v>OS</v>
          </cell>
          <cell r="N490" t="str">
            <v>OS</v>
          </cell>
          <cell r="O490" t="str">
            <v>OS</v>
          </cell>
          <cell r="P490" t="str">
            <v>OS</v>
          </cell>
          <cell r="Q490" t="str">
            <v>OS</v>
          </cell>
          <cell r="R490" t="str">
            <v>OS</v>
          </cell>
          <cell r="S490" t="str">
            <v>OS</v>
          </cell>
          <cell r="T490" t="str">
            <v>OS</v>
          </cell>
          <cell r="U490" t="str">
            <v>OS</v>
          </cell>
          <cell r="V490" t="str">
            <v>OS</v>
          </cell>
          <cell r="W490" t="str">
            <v>OS</v>
          </cell>
          <cell r="X490" t="str">
            <v>OS</v>
          </cell>
          <cell r="Y490" t="str">
            <v>OS</v>
          </cell>
          <cell r="Z490" t="str">
            <v>OS</v>
          </cell>
          <cell r="AA490" t="str">
            <v>OS</v>
          </cell>
          <cell r="AB490" t="str">
            <v>OS</v>
          </cell>
          <cell r="AC490" t="str">
            <v>OS</v>
          </cell>
          <cell r="AD490" t="str">
            <v>AGM-01-024-048</v>
          </cell>
          <cell r="AE490" t="str">
            <v xml:space="preserve">Raemulan Lands, Inc. </v>
          </cell>
          <cell r="AF490" t="str">
            <v>Agapeya</v>
          </cell>
          <cell r="AG490" t="str">
            <v>AGM</v>
          </cell>
          <cell r="AH490" t="str">
            <v>Eco-High</v>
          </cell>
          <cell r="AI490" t="str">
            <v>West</v>
          </cell>
          <cell r="AJ490" t="str">
            <v>Without LTS</v>
          </cell>
          <cell r="AK490" t="str">
            <v>Unaffected lots</v>
          </cell>
          <cell r="AL490" t="str">
            <v>Unaffected lots</v>
          </cell>
          <cell r="AM490" t="b">
            <v>0</v>
          </cell>
          <cell r="AN490" t="str">
            <v>NO</v>
          </cell>
          <cell r="AO490" t="str">
            <v>B1 2025</v>
          </cell>
          <cell r="AP490">
            <v>70</v>
          </cell>
          <cell r="AQ490" t="str">
            <v>PCS-277865</v>
          </cell>
          <cell r="AR490" t="b">
            <v>1</v>
          </cell>
          <cell r="AS490" t="str">
            <v>Done</v>
          </cell>
          <cell r="AT490" t="str">
            <v>2025 - Batch 3</v>
          </cell>
          <cell r="AU490">
            <v>24</v>
          </cell>
          <cell r="AV490">
            <v>48</v>
          </cell>
          <cell r="AW490" t="str">
            <v>H+L</v>
          </cell>
          <cell r="AX490">
            <v>70</v>
          </cell>
          <cell r="AY490">
            <v>50</v>
          </cell>
          <cell r="AZ490" t="str">
            <v>Duplex</v>
          </cell>
          <cell r="BA490">
            <v>1</v>
          </cell>
          <cell r="BB490" t="str">
            <v>568 - Without Partition</v>
          </cell>
          <cell r="BC490" t="str">
            <v xml:space="preserve">Without Partition </v>
          </cell>
          <cell r="BD490" t="str">
            <v>Slant</v>
          </cell>
          <cell r="BE490" t="str">
            <v xml:space="preserve">Without Partition </v>
          </cell>
          <cell r="BF490" t="str">
            <v>GREEN</v>
          </cell>
          <cell r="BG490">
            <v>2422034.826150645</v>
          </cell>
          <cell r="BH490">
            <v>2650000</v>
          </cell>
          <cell r="BI490">
            <v>100000</v>
          </cell>
          <cell r="BJ490">
            <v>2550000</v>
          </cell>
          <cell r="BK490">
            <v>0</v>
          </cell>
          <cell r="BL490">
            <v>2550000</v>
          </cell>
        </row>
        <row r="491">
          <cell r="D491" t="str">
            <v>OS</v>
          </cell>
          <cell r="E491"/>
          <cell r="F491">
            <v>471</v>
          </cell>
          <cell r="G491" t="str">
            <v>UNSOLD</v>
          </cell>
          <cell r="H491" t="str">
            <v>OS</v>
          </cell>
          <cell r="I491" t="str">
            <v>OS</v>
          </cell>
          <cell r="J491" t="str">
            <v>OS</v>
          </cell>
          <cell r="K491" t="str">
            <v>OS</v>
          </cell>
          <cell r="L491" t="str">
            <v>OS</v>
          </cell>
          <cell r="M491" t="str">
            <v>OS</v>
          </cell>
          <cell r="N491" t="str">
            <v>OS</v>
          </cell>
          <cell r="O491" t="str">
            <v>OS</v>
          </cell>
          <cell r="P491" t="str">
            <v>OS</v>
          </cell>
          <cell r="Q491" t="str">
            <v>OS</v>
          </cell>
          <cell r="R491" t="str">
            <v>OS</v>
          </cell>
          <cell r="S491" t="str">
            <v>OS</v>
          </cell>
          <cell r="T491" t="str">
            <v>OS</v>
          </cell>
          <cell r="U491" t="str">
            <v>OS</v>
          </cell>
          <cell r="V491" t="str">
            <v>OS</v>
          </cell>
          <cell r="W491" t="str">
            <v>OS</v>
          </cell>
          <cell r="X491" t="str">
            <v>OS</v>
          </cell>
          <cell r="Y491" t="str">
            <v>OS</v>
          </cell>
          <cell r="Z491" t="str">
            <v>OS</v>
          </cell>
          <cell r="AA491" t="str">
            <v>OS</v>
          </cell>
          <cell r="AB491" t="str">
            <v>OS</v>
          </cell>
          <cell r="AC491" t="str">
            <v>OS</v>
          </cell>
          <cell r="AD491" t="str">
            <v>AGM-01-024-049</v>
          </cell>
          <cell r="AE491" t="str">
            <v xml:space="preserve">Raemulan Lands, Inc. </v>
          </cell>
          <cell r="AF491" t="str">
            <v>Agapeya</v>
          </cell>
          <cell r="AG491" t="str">
            <v>AGM</v>
          </cell>
          <cell r="AH491" t="str">
            <v>Eco-High</v>
          </cell>
          <cell r="AI491" t="str">
            <v>West</v>
          </cell>
          <cell r="AJ491" t="str">
            <v>Without LTS</v>
          </cell>
          <cell r="AK491" t="str">
            <v>for conso</v>
          </cell>
          <cell r="AL491" t="str">
            <v>for conso</v>
          </cell>
          <cell r="AM491" t="b">
            <v>1</v>
          </cell>
          <cell r="AN491" t="str">
            <v>NO</v>
          </cell>
          <cell r="AO491" t="str">
            <v>B1 2025</v>
          </cell>
          <cell r="AP491" t="str">
            <v>5/37/28</v>
          </cell>
          <cell r="AQ491" t="str">
            <v>PCS-04-034298/PCS-04-034407/PSD-04-277865</v>
          </cell>
          <cell r="AR491" t="b">
            <v>0</v>
          </cell>
          <cell r="AS491" t="str">
            <v>For Conso</v>
          </cell>
          <cell r="AT491" t="str">
            <v>2025 - Batch 3</v>
          </cell>
          <cell r="AU491">
            <v>24</v>
          </cell>
          <cell r="AV491">
            <v>49</v>
          </cell>
          <cell r="AW491" t="str">
            <v>H+L</v>
          </cell>
          <cell r="AX491">
            <v>70</v>
          </cell>
          <cell r="AY491">
            <v>50</v>
          </cell>
          <cell r="AZ491" t="str">
            <v>Duplex</v>
          </cell>
          <cell r="BA491">
            <v>1</v>
          </cell>
          <cell r="BB491" t="str">
            <v>568 - Without Partition</v>
          </cell>
          <cell r="BC491" t="str">
            <v xml:space="preserve">Without Partition </v>
          </cell>
          <cell r="BD491" t="str">
            <v>Slant</v>
          </cell>
          <cell r="BE491" t="str">
            <v xml:space="preserve">Without Partition </v>
          </cell>
          <cell r="BF491" t="str">
            <v>YELLOW</v>
          </cell>
          <cell r="BG491">
            <v>2422034.826150645</v>
          </cell>
          <cell r="BH491">
            <v>2650000</v>
          </cell>
          <cell r="BI491">
            <v>100000</v>
          </cell>
          <cell r="BJ491">
            <v>2550000</v>
          </cell>
          <cell r="BK491">
            <v>0</v>
          </cell>
          <cell r="BL491">
            <v>2550000</v>
          </cell>
        </row>
        <row r="492">
          <cell r="D492" t="str">
            <v>OS</v>
          </cell>
          <cell r="E492"/>
          <cell r="F492">
            <v>472</v>
          </cell>
          <cell r="G492" t="str">
            <v>SOLD</v>
          </cell>
          <cell r="H492" t="str">
            <v>OS</v>
          </cell>
          <cell r="I492" t="str">
            <v>OS</v>
          </cell>
          <cell r="J492" t="str">
            <v>OS</v>
          </cell>
          <cell r="K492" t="str">
            <v>OS</v>
          </cell>
          <cell r="L492" t="str">
            <v>OS</v>
          </cell>
          <cell r="M492" t="str">
            <v>OS</v>
          </cell>
          <cell r="N492" t="str">
            <v>OS</v>
          </cell>
          <cell r="O492" t="str">
            <v>OS</v>
          </cell>
          <cell r="P492" t="str">
            <v>OS</v>
          </cell>
          <cell r="Q492" t="str">
            <v>OS</v>
          </cell>
          <cell r="R492" t="str">
            <v>OS</v>
          </cell>
          <cell r="S492" t="str">
            <v>OS</v>
          </cell>
          <cell r="T492" t="str">
            <v>OS</v>
          </cell>
          <cell r="U492" t="str">
            <v>OS</v>
          </cell>
          <cell r="V492" t="str">
            <v>OS</v>
          </cell>
          <cell r="W492" t="str">
            <v>OS</v>
          </cell>
          <cell r="X492" t="str">
            <v>OS</v>
          </cell>
          <cell r="Y492" t="str">
            <v>OS</v>
          </cell>
          <cell r="Z492" t="str">
            <v>OS</v>
          </cell>
          <cell r="AA492" t="str">
            <v>OS</v>
          </cell>
          <cell r="AB492" t="str">
            <v>OS</v>
          </cell>
          <cell r="AC492" t="str">
            <v>OS</v>
          </cell>
          <cell r="AD492" t="str">
            <v>AGM-01-024-050</v>
          </cell>
          <cell r="AE492" t="str">
            <v xml:space="preserve">Raemulan Lands, Inc. </v>
          </cell>
          <cell r="AF492" t="str">
            <v>Agapeya</v>
          </cell>
          <cell r="AG492" t="str">
            <v>AGM</v>
          </cell>
          <cell r="AH492" t="str">
            <v>Eco-High</v>
          </cell>
          <cell r="AI492" t="str">
            <v>West</v>
          </cell>
          <cell r="AJ492" t="str">
            <v>With LTS</v>
          </cell>
          <cell r="AK492" t="str">
            <v>Unaffected lots</v>
          </cell>
          <cell r="AL492" t="str">
            <v>Unaffected lots</v>
          </cell>
          <cell r="AM492" t="b">
            <v>0</v>
          </cell>
          <cell r="AN492" t="str">
            <v>NO</v>
          </cell>
          <cell r="AO492" t="str">
            <v>B1 2025</v>
          </cell>
          <cell r="AP492">
            <v>70</v>
          </cell>
          <cell r="AQ492" t="str">
            <v>PCS-04-035873</v>
          </cell>
          <cell r="AR492" t="b">
            <v>1</v>
          </cell>
          <cell r="AS492" t="str">
            <v>Done</v>
          </cell>
          <cell r="AT492" t="str">
            <v>2025 - Batch 3</v>
          </cell>
          <cell r="AU492">
            <v>24</v>
          </cell>
          <cell r="AV492">
            <v>50</v>
          </cell>
          <cell r="AW492" t="str">
            <v>H+L</v>
          </cell>
          <cell r="AX492">
            <v>70</v>
          </cell>
          <cell r="AY492">
            <v>50</v>
          </cell>
          <cell r="AZ492" t="str">
            <v>Duplex</v>
          </cell>
          <cell r="BA492">
            <v>1</v>
          </cell>
          <cell r="BB492" t="str">
            <v>568 - Without Partition</v>
          </cell>
          <cell r="BC492" t="str">
            <v xml:space="preserve">Without Partition </v>
          </cell>
          <cell r="BD492" t="str">
            <v>Flat</v>
          </cell>
          <cell r="BE492" t="str">
            <v xml:space="preserve">Without Partition </v>
          </cell>
          <cell r="BF492" t="str">
            <v>YELLOW</v>
          </cell>
          <cell r="BG492">
            <v>2422034.826150645</v>
          </cell>
          <cell r="BH492">
            <v>2650000</v>
          </cell>
          <cell r="BI492">
            <v>100000</v>
          </cell>
          <cell r="BJ492">
            <v>2550000</v>
          </cell>
          <cell r="BK492">
            <v>0</v>
          </cell>
          <cell r="BL492">
            <v>2550000</v>
          </cell>
        </row>
        <row r="493">
          <cell r="D493" t="str">
            <v>OS</v>
          </cell>
          <cell r="E493"/>
          <cell r="F493">
            <v>473</v>
          </cell>
          <cell r="G493" t="str">
            <v>SOLD</v>
          </cell>
          <cell r="H493" t="str">
            <v>OS</v>
          </cell>
          <cell r="I493" t="str">
            <v>OS</v>
          </cell>
          <cell r="J493" t="str">
            <v>OS</v>
          </cell>
          <cell r="K493" t="str">
            <v>OS</v>
          </cell>
          <cell r="L493" t="str">
            <v>OS</v>
          </cell>
          <cell r="M493" t="str">
            <v>OS</v>
          </cell>
          <cell r="N493" t="str">
            <v>OS</v>
          </cell>
          <cell r="O493" t="str">
            <v>OS</v>
          </cell>
          <cell r="P493" t="str">
            <v>OS</v>
          </cell>
          <cell r="Q493" t="str">
            <v>OS</v>
          </cell>
          <cell r="R493" t="str">
            <v>OS</v>
          </cell>
          <cell r="S493" t="str">
            <v>OS</v>
          </cell>
          <cell r="T493" t="str">
            <v>OS</v>
          </cell>
          <cell r="U493" t="str">
            <v>OS</v>
          </cell>
          <cell r="V493" t="str">
            <v>OS</v>
          </cell>
          <cell r="W493" t="str">
            <v>OS</v>
          </cell>
          <cell r="X493" t="str">
            <v>OS</v>
          </cell>
          <cell r="Y493" t="str">
            <v>OS</v>
          </cell>
          <cell r="Z493" t="str">
            <v>OS</v>
          </cell>
          <cell r="AA493" t="str">
            <v>OS</v>
          </cell>
          <cell r="AB493" t="str">
            <v>OS</v>
          </cell>
          <cell r="AC493" t="str">
            <v>OS</v>
          </cell>
          <cell r="AD493" t="str">
            <v>AGM-01-024-051</v>
          </cell>
          <cell r="AE493" t="str">
            <v xml:space="preserve">Raemulan Lands, Inc. </v>
          </cell>
          <cell r="AF493" t="str">
            <v>Agapeya</v>
          </cell>
          <cell r="AG493" t="str">
            <v>AGM</v>
          </cell>
          <cell r="AH493" t="str">
            <v>Eco-High</v>
          </cell>
          <cell r="AI493" t="str">
            <v>West</v>
          </cell>
          <cell r="AJ493" t="str">
            <v>With LTS</v>
          </cell>
          <cell r="AK493" t="str">
            <v>Unaffected lots</v>
          </cell>
          <cell r="AL493" t="str">
            <v>Unaffected lots</v>
          </cell>
          <cell r="AM493" t="b">
            <v>0</v>
          </cell>
          <cell r="AN493" t="str">
            <v>NO</v>
          </cell>
          <cell r="AO493" t="str">
            <v>B1 2025</v>
          </cell>
          <cell r="AP493">
            <v>70</v>
          </cell>
          <cell r="AQ493" t="str">
            <v>PCS-04-035873</v>
          </cell>
          <cell r="AR493" t="b">
            <v>1</v>
          </cell>
          <cell r="AS493" t="str">
            <v>Done</v>
          </cell>
          <cell r="AT493" t="str">
            <v>2025 - Batch 3</v>
          </cell>
          <cell r="AU493">
            <v>24</v>
          </cell>
          <cell r="AV493">
            <v>51</v>
          </cell>
          <cell r="AW493" t="str">
            <v>H+L</v>
          </cell>
          <cell r="AX493">
            <v>70</v>
          </cell>
          <cell r="AY493">
            <v>50</v>
          </cell>
          <cell r="AZ493" t="str">
            <v>Duplex</v>
          </cell>
          <cell r="BA493">
            <v>1</v>
          </cell>
          <cell r="BB493" t="str">
            <v>568 - Without Partition</v>
          </cell>
          <cell r="BC493" t="str">
            <v xml:space="preserve">Without Partition </v>
          </cell>
          <cell r="BD493" t="str">
            <v>Flat</v>
          </cell>
          <cell r="BE493" t="str">
            <v xml:space="preserve">Without Partition </v>
          </cell>
          <cell r="BF493" t="str">
            <v>YELLOW</v>
          </cell>
          <cell r="BG493">
            <v>2422034.826150645</v>
          </cell>
          <cell r="BH493">
            <v>2650000</v>
          </cell>
          <cell r="BI493">
            <v>100000</v>
          </cell>
          <cell r="BJ493">
            <v>2550000</v>
          </cell>
          <cell r="BK493">
            <v>0</v>
          </cell>
          <cell r="BL493">
            <v>2550000</v>
          </cell>
        </row>
        <row r="494">
          <cell r="D494" t="str">
            <v>OS</v>
          </cell>
          <cell r="E494"/>
          <cell r="F494">
            <v>474</v>
          </cell>
          <cell r="G494" t="str">
            <v>SOLD</v>
          </cell>
          <cell r="H494" t="str">
            <v>OS</v>
          </cell>
          <cell r="I494" t="str">
            <v>OS</v>
          </cell>
          <cell r="J494" t="str">
            <v>OS</v>
          </cell>
          <cell r="K494" t="str">
            <v>OS</v>
          </cell>
          <cell r="L494" t="str">
            <v>OS</v>
          </cell>
          <cell r="M494" t="str">
            <v>OS</v>
          </cell>
          <cell r="N494" t="str">
            <v>OS</v>
          </cell>
          <cell r="O494" t="str">
            <v>OS</v>
          </cell>
          <cell r="P494" t="str">
            <v>OS</v>
          </cell>
          <cell r="Q494" t="str">
            <v>OS</v>
          </cell>
          <cell r="R494" t="str">
            <v>OS</v>
          </cell>
          <cell r="S494" t="str">
            <v>OS</v>
          </cell>
          <cell r="T494" t="str">
            <v>OS</v>
          </cell>
          <cell r="U494" t="str">
            <v>OS</v>
          </cell>
          <cell r="V494" t="str">
            <v>OS</v>
          </cell>
          <cell r="W494" t="str">
            <v>OS</v>
          </cell>
          <cell r="X494" t="str">
            <v>OS</v>
          </cell>
          <cell r="Y494" t="str">
            <v>OS</v>
          </cell>
          <cell r="Z494" t="str">
            <v>OS</v>
          </cell>
          <cell r="AA494" t="str">
            <v>OS</v>
          </cell>
          <cell r="AB494" t="str">
            <v>OS</v>
          </cell>
          <cell r="AC494" t="str">
            <v>OS</v>
          </cell>
          <cell r="AD494" t="str">
            <v>AGM-01-024-052</v>
          </cell>
          <cell r="AE494" t="str">
            <v xml:space="preserve">Raemulan Lands, Inc. </v>
          </cell>
          <cell r="AF494" t="str">
            <v>Agapeya</v>
          </cell>
          <cell r="AG494" t="str">
            <v>AGM</v>
          </cell>
          <cell r="AH494" t="str">
            <v>Eco-High</v>
          </cell>
          <cell r="AI494" t="str">
            <v>West</v>
          </cell>
          <cell r="AJ494" t="str">
            <v>With LTS</v>
          </cell>
          <cell r="AK494" t="str">
            <v>Unaffected lots</v>
          </cell>
          <cell r="AL494" t="str">
            <v>Unaffected lots</v>
          </cell>
          <cell r="AM494" t="b">
            <v>0</v>
          </cell>
          <cell r="AN494" t="str">
            <v>NO</v>
          </cell>
          <cell r="AO494" t="str">
            <v>B1 2025</v>
          </cell>
          <cell r="AP494">
            <v>70</v>
          </cell>
          <cell r="AQ494" t="str">
            <v>PCS-04-035873</v>
          </cell>
          <cell r="AR494" t="b">
            <v>1</v>
          </cell>
          <cell r="AS494" t="str">
            <v>Done</v>
          </cell>
          <cell r="AT494" t="str">
            <v>2025 - Batch 3</v>
          </cell>
          <cell r="AU494">
            <v>24</v>
          </cell>
          <cell r="AV494">
            <v>52</v>
          </cell>
          <cell r="AW494" t="str">
            <v>H+L</v>
          </cell>
          <cell r="AX494">
            <v>70</v>
          </cell>
          <cell r="AY494">
            <v>50</v>
          </cell>
          <cell r="AZ494" t="str">
            <v>Duplex</v>
          </cell>
          <cell r="BA494">
            <v>1</v>
          </cell>
          <cell r="BB494" t="str">
            <v>568 - Without Partition</v>
          </cell>
          <cell r="BC494" t="str">
            <v xml:space="preserve">Without Partition </v>
          </cell>
          <cell r="BD494" t="str">
            <v>Slant</v>
          </cell>
          <cell r="BE494" t="str">
            <v xml:space="preserve">Without Partition </v>
          </cell>
          <cell r="BF494" t="str">
            <v>YELLOW</v>
          </cell>
          <cell r="BG494">
            <v>2422034.826150645</v>
          </cell>
          <cell r="BH494">
            <v>2650000</v>
          </cell>
          <cell r="BI494">
            <v>100000</v>
          </cell>
          <cell r="BJ494">
            <v>2550000</v>
          </cell>
          <cell r="BK494">
            <v>0</v>
          </cell>
          <cell r="BL494">
            <v>2550000</v>
          </cell>
        </row>
        <row r="495">
          <cell r="D495" t="str">
            <v>OS</v>
          </cell>
          <cell r="E495"/>
          <cell r="F495">
            <v>475</v>
          </cell>
          <cell r="G495" t="str">
            <v>SOLD</v>
          </cell>
          <cell r="H495" t="str">
            <v>OS</v>
          </cell>
          <cell r="I495" t="str">
            <v>OS</v>
          </cell>
          <cell r="J495" t="str">
            <v>OS</v>
          </cell>
          <cell r="K495" t="str">
            <v>OS</v>
          </cell>
          <cell r="L495" t="str">
            <v>OS</v>
          </cell>
          <cell r="M495" t="str">
            <v>OS</v>
          </cell>
          <cell r="N495" t="str">
            <v>OS</v>
          </cell>
          <cell r="O495" t="str">
            <v>OS</v>
          </cell>
          <cell r="P495" t="str">
            <v>OS</v>
          </cell>
          <cell r="Q495" t="str">
            <v>OS</v>
          </cell>
          <cell r="R495" t="str">
            <v>OS</v>
          </cell>
          <cell r="S495" t="str">
            <v>OS</v>
          </cell>
          <cell r="T495" t="str">
            <v>OS</v>
          </cell>
          <cell r="U495" t="str">
            <v>OS</v>
          </cell>
          <cell r="V495" t="str">
            <v>OS</v>
          </cell>
          <cell r="W495" t="str">
            <v>OS</v>
          </cell>
          <cell r="X495" t="str">
            <v>OS</v>
          </cell>
          <cell r="Y495" t="str">
            <v>OS</v>
          </cell>
          <cell r="Z495" t="str">
            <v>OS</v>
          </cell>
          <cell r="AA495" t="str">
            <v>OS</v>
          </cell>
          <cell r="AB495" t="str">
            <v>OS</v>
          </cell>
          <cell r="AC495" t="str">
            <v>OS</v>
          </cell>
          <cell r="AD495" t="str">
            <v>AGM-01-024-053</v>
          </cell>
          <cell r="AE495" t="str">
            <v xml:space="preserve">Raemulan Lands, Inc. </v>
          </cell>
          <cell r="AF495" t="str">
            <v>Agapeya</v>
          </cell>
          <cell r="AG495" t="str">
            <v>AGM</v>
          </cell>
          <cell r="AH495" t="str">
            <v>Eco-High</v>
          </cell>
          <cell r="AI495" t="str">
            <v>West</v>
          </cell>
          <cell r="AJ495" t="str">
            <v>With LTS</v>
          </cell>
          <cell r="AK495" t="str">
            <v>Unaffected lots</v>
          </cell>
          <cell r="AL495" t="str">
            <v>Unaffected lots</v>
          </cell>
          <cell r="AM495" t="b">
            <v>0</v>
          </cell>
          <cell r="AN495" t="str">
            <v>NO</v>
          </cell>
          <cell r="AO495" t="str">
            <v>B1 2025</v>
          </cell>
          <cell r="AP495">
            <v>80</v>
          </cell>
          <cell r="AQ495" t="str">
            <v>PCS-04-035873</v>
          </cell>
          <cell r="AR495" t="b">
            <v>1</v>
          </cell>
          <cell r="AS495" t="str">
            <v>Done</v>
          </cell>
          <cell r="AT495" t="str">
            <v>2025 - Batch 1</v>
          </cell>
          <cell r="AU495">
            <v>24</v>
          </cell>
          <cell r="AV495">
            <v>53</v>
          </cell>
          <cell r="AW495" t="str">
            <v>H+L</v>
          </cell>
          <cell r="AX495">
            <v>80</v>
          </cell>
          <cell r="AY495">
            <v>50</v>
          </cell>
          <cell r="AZ495" t="str">
            <v>Duplex</v>
          </cell>
          <cell r="BA495">
            <v>1</v>
          </cell>
          <cell r="BB495" t="str">
            <v>568 - Without Partition</v>
          </cell>
          <cell r="BC495" t="str">
            <v xml:space="preserve">Without Partition </v>
          </cell>
          <cell r="BD495" t="str">
            <v>Slant</v>
          </cell>
          <cell r="BE495" t="str">
            <v xml:space="preserve">Without Partition </v>
          </cell>
          <cell r="BF495" t="str">
            <v>PINK</v>
          </cell>
          <cell r="BG495">
            <v>2650000</v>
          </cell>
          <cell r="BH495">
            <v>2800000</v>
          </cell>
          <cell r="BI495">
            <v>100000</v>
          </cell>
          <cell r="BJ495">
            <v>2700000</v>
          </cell>
          <cell r="BK495">
            <v>0</v>
          </cell>
          <cell r="BL495">
            <v>2700000</v>
          </cell>
        </row>
        <row r="496">
          <cell r="D496" t="str">
            <v>OS</v>
          </cell>
          <cell r="E496"/>
          <cell r="F496">
            <v>476</v>
          </cell>
          <cell r="G496" t="str">
            <v>SOLD</v>
          </cell>
          <cell r="H496" t="str">
            <v>OS</v>
          </cell>
          <cell r="I496" t="str">
            <v>OS</v>
          </cell>
          <cell r="J496" t="str">
            <v>OS</v>
          </cell>
          <cell r="K496" t="str">
            <v>OS</v>
          </cell>
          <cell r="L496" t="str">
            <v>OS</v>
          </cell>
          <cell r="M496" t="str">
            <v>OS</v>
          </cell>
          <cell r="N496" t="str">
            <v>OS</v>
          </cell>
          <cell r="O496" t="str">
            <v>OS</v>
          </cell>
          <cell r="P496" t="str">
            <v>OS</v>
          </cell>
          <cell r="Q496" t="str">
            <v>OS</v>
          </cell>
          <cell r="R496" t="str">
            <v>OS</v>
          </cell>
          <cell r="S496" t="str">
            <v>OS</v>
          </cell>
          <cell r="T496" t="str">
            <v>OS</v>
          </cell>
          <cell r="U496" t="str">
            <v>OS</v>
          </cell>
          <cell r="V496" t="str">
            <v>OS</v>
          </cell>
          <cell r="W496" t="str">
            <v>OS</v>
          </cell>
          <cell r="X496" t="str">
            <v>OS</v>
          </cell>
          <cell r="Y496" t="str">
            <v>OS</v>
          </cell>
          <cell r="Z496" t="str">
            <v>OS</v>
          </cell>
          <cell r="AA496" t="str">
            <v>OS</v>
          </cell>
          <cell r="AB496" t="str">
            <v>OS</v>
          </cell>
          <cell r="AC496" t="str">
            <v>OS</v>
          </cell>
          <cell r="AD496" t="str">
            <v>AGM-01-024-054</v>
          </cell>
          <cell r="AE496" t="str">
            <v xml:space="preserve">Raemulan Lands, Inc. </v>
          </cell>
          <cell r="AF496" t="str">
            <v>Agapeya</v>
          </cell>
          <cell r="AG496" t="str">
            <v>AGM</v>
          </cell>
          <cell r="AH496" t="str">
            <v>Eco-High</v>
          </cell>
          <cell r="AI496" t="str">
            <v>West</v>
          </cell>
          <cell r="AJ496" t="str">
            <v>With LTS</v>
          </cell>
          <cell r="AK496" t="str">
            <v>Unaffected lots</v>
          </cell>
          <cell r="AL496" t="str">
            <v>Unaffected lots</v>
          </cell>
          <cell r="AM496" t="b">
            <v>0</v>
          </cell>
          <cell r="AN496" t="str">
            <v>NO</v>
          </cell>
          <cell r="AO496" t="str">
            <v>B1 2025</v>
          </cell>
          <cell r="AP496">
            <v>80</v>
          </cell>
          <cell r="AQ496" t="str">
            <v>PCS-04-035873</v>
          </cell>
          <cell r="AR496" t="b">
            <v>1</v>
          </cell>
          <cell r="AS496" t="str">
            <v>Done</v>
          </cell>
          <cell r="AT496" t="str">
            <v>2025 - Batch 1</v>
          </cell>
          <cell r="AU496">
            <v>24</v>
          </cell>
          <cell r="AV496">
            <v>54</v>
          </cell>
          <cell r="AW496" t="str">
            <v>H+L</v>
          </cell>
          <cell r="AX496">
            <v>80</v>
          </cell>
          <cell r="AY496">
            <v>50</v>
          </cell>
          <cell r="AZ496" t="str">
            <v>Duplex</v>
          </cell>
          <cell r="BA496">
            <v>1</v>
          </cell>
          <cell r="BB496" t="str">
            <v>568 - Without Partition</v>
          </cell>
          <cell r="BC496" t="str">
            <v xml:space="preserve">Without Partition </v>
          </cell>
          <cell r="BD496" t="str">
            <v>Flat</v>
          </cell>
          <cell r="BE496" t="str">
            <v xml:space="preserve">Without Partition </v>
          </cell>
          <cell r="BF496" t="str">
            <v>PINK</v>
          </cell>
          <cell r="BG496">
            <v>2700000</v>
          </cell>
          <cell r="BH496">
            <v>2800000</v>
          </cell>
          <cell r="BI496">
            <v>100000</v>
          </cell>
          <cell r="BJ496">
            <v>2700000</v>
          </cell>
          <cell r="BK496">
            <v>0</v>
          </cell>
          <cell r="BL496">
            <v>2700000</v>
          </cell>
        </row>
        <row r="497">
          <cell r="D497" t="str">
            <v>OS</v>
          </cell>
          <cell r="E497"/>
          <cell r="F497">
            <v>477</v>
          </cell>
          <cell r="G497" t="str">
            <v>SOLD</v>
          </cell>
          <cell r="H497" t="str">
            <v>OS</v>
          </cell>
          <cell r="I497" t="str">
            <v>OS</v>
          </cell>
          <cell r="J497" t="str">
            <v>OS</v>
          </cell>
          <cell r="K497" t="str">
            <v>OS</v>
          </cell>
          <cell r="L497" t="str">
            <v>OS</v>
          </cell>
          <cell r="M497" t="str">
            <v>OS</v>
          </cell>
          <cell r="N497" t="str">
            <v>OS</v>
          </cell>
          <cell r="O497" t="str">
            <v>OS</v>
          </cell>
          <cell r="P497" t="str">
            <v>OS</v>
          </cell>
          <cell r="Q497" t="str">
            <v>OS</v>
          </cell>
          <cell r="R497" t="str">
            <v>OS</v>
          </cell>
          <cell r="S497" t="str">
            <v>OS</v>
          </cell>
          <cell r="T497" t="str">
            <v>OS</v>
          </cell>
          <cell r="U497" t="str">
            <v>OS</v>
          </cell>
          <cell r="V497" t="str">
            <v>OS</v>
          </cell>
          <cell r="W497" t="str">
            <v>OS</v>
          </cell>
          <cell r="X497" t="str">
            <v>OS</v>
          </cell>
          <cell r="Y497" t="str">
            <v>OS</v>
          </cell>
          <cell r="Z497" t="str">
            <v>OS</v>
          </cell>
          <cell r="AA497" t="str">
            <v>OS</v>
          </cell>
          <cell r="AB497" t="str">
            <v>OS</v>
          </cell>
          <cell r="AC497" t="str">
            <v>OS</v>
          </cell>
          <cell r="AD497" t="str">
            <v>AGM-01-024-055</v>
          </cell>
          <cell r="AE497" t="str">
            <v xml:space="preserve">Raemulan Lands, Inc. </v>
          </cell>
          <cell r="AF497" t="str">
            <v>Agapeya</v>
          </cell>
          <cell r="AG497" t="str">
            <v>AGM</v>
          </cell>
          <cell r="AH497" t="str">
            <v>Eco-High</v>
          </cell>
          <cell r="AI497" t="str">
            <v>West</v>
          </cell>
          <cell r="AJ497" t="str">
            <v>With LTS</v>
          </cell>
          <cell r="AK497" t="str">
            <v>Unaffected lots</v>
          </cell>
          <cell r="AL497" t="str">
            <v>Unaffected lots</v>
          </cell>
          <cell r="AM497" t="b">
            <v>0</v>
          </cell>
          <cell r="AN497" t="str">
            <v>NO</v>
          </cell>
          <cell r="AO497" t="str">
            <v>B1 - Lot Only</v>
          </cell>
          <cell r="AP497">
            <v>111</v>
          </cell>
          <cell r="AQ497" t="str">
            <v>PCS-04-035873</v>
          </cell>
          <cell r="AR497" t="b">
            <v>1</v>
          </cell>
          <cell r="AS497" t="str">
            <v>Done</v>
          </cell>
          <cell r="AT497" t="str">
            <v>Lot Only - N/A</v>
          </cell>
          <cell r="AU497">
            <v>24</v>
          </cell>
          <cell r="AV497">
            <v>55</v>
          </cell>
          <cell r="AW497" t="str">
            <v>LO</v>
          </cell>
          <cell r="AX497">
            <v>111</v>
          </cell>
          <cell r="AY497" t="str">
            <v>N/A</v>
          </cell>
          <cell r="AZ497" t="str">
            <v>Lot Only</v>
          </cell>
          <cell r="BA497" t="str">
            <v>NA</v>
          </cell>
          <cell r="BB497" t="str">
            <v>N/A</v>
          </cell>
          <cell r="BC497" t="str">
            <v>N/A - LOT ONLY</v>
          </cell>
          <cell r="BD497" t="str">
            <v>-</v>
          </cell>
          <cell r="BE497" t="str">
            <v>N/A - LOT ONLY</v>
          </cell>
          <cell r="BF497" t="str">
            <v>N/A - LOT ONLY</v>
          </cell>
          <cell r="BG497">
            <v>1486607.142857143</v>
          </cell>
          <cell r="BH497">
            <v>1765000</v>
          </cell>
          <cell r="BI497">
            <v>100000</v>
          </cell>
          <cell r="BJ497">
            <v>1665000</v>
          </cell>
          <cell r="BK497">
            <v>178392.85714285713</v>
          </cell>
          <cell r="BL497">
            <v>1486607.142857143</v>
          </cell>
        </row>
        <row r="498">
          <cell r="D498" t="str">
            <v>TS</v>
          </cell>
          <cell r="E498"/>
          <cell r="F498">
            <v>478</v>
          </cell>
          <cell r="G498" t="str">
            <v>SOLD</v>
          </cell>
          <cell r="H498" t="str">
            <v>OS</v>
          </cell>
          <cell r="I498" t="str">
            <v>OS</v>
          </cell>
          <cell r="J498" t="str">
            <v>OS</v>
          </cell>
          <cell r="K498" t="str">
            <v>OS</v>
          </cell>
          <cell r="L498" t="str">
            <v>OS</v>
          </cell>
          <cell r="M498" t="str">
            <v>OS</v>
          </cell>
          <cell r="N498" t="str">
            <v>OS</v>
          </cell>
          <cell r="O498" t="str">
            <v>OS</v>
          </cell>
          <cell r="P498" t="str">
            <v>OS</v>
          </cell>
          <cell r="Q498" t="str">
            <v>OS</v>
          </cell>
          <cell r="R498" t="str">
            <v>OS</v>
          </cell>
          <cell r="S498" t="str">
            <v>OS</v>
          </cell>
          <cell r="T498" t="str">
            <v>OS</v>
          </cell>
          <cell r="U498" t="str">
            <v>OS</v>
          </cell>
          <cell r="V498" t="str">
            <v>OS</v>
          </cell>
          <cell r="W498" t="str">
            <v>OS</v>
          </cell>
          <cell r="X498" t="str">
            <v>TS</v>
          </cell>
          <cell r="Y498" t="str">
            <v>TS</v>
          </cell>
          <cell r="Z498" t="str">
            <v>TS</v>
          </cell>
          <cell r="AA498" t="str">
            <v>TS</v>
          </cell>
          <cell r="AB498" t="str">
            <v>TS</v>
          </cell>
          <cell r="AC498" t="str">
            <v>TS</v>
          </cell>
          <cell r="AD498" t="str">
            <v>AGM-01-025-001</v>
          </cell>
          <cell r="AE498" t="str">
            <v xml:space="preserve">Raemulan Lands, Inc. </v>
          </cell>
          <cell r="AF498" t="str">
            <v>Agapeya</v>
          </cell>
          <cell r="AG498" t="str">
            <v>AGM</v>
          </cell>
          <cell r="AH498" t="str">
            <v>Eco-High</v>
          </cell>
          <cell r="AI498" t="str">
            <v>West</v>
          </cell>
          <cell r="AJ498" t="str">
            <v>With LTS</v>
          </cell>
          <cell r="AK498" t="str">
            <v>Unaffected lots</v>
          </cell>
          <cell r="AL498" t="str">
            <v>Unaffected lots</v>
          </cell>
          <cell r="AM498" t="b">
            <v>1</v>
          </cell>
          <cell r="AN498" t="str">
            <v>YES</v>
          </cell>
          <cell r="AO498" t="str">
            <v>B1 2025</v>
          </cell>
          <cell r="AP498">
            <v>103</v>
          </cell>
          <cell r="AQ498" t="str">
            <v>PCS-04-034298</v>
          </cell>
          <cell r="AR498" t="b">
            <v>1</v>
          </cell>
          <cell r="AS498" t="str">
            <v>Done</v>
          </cell>
          <cell r="AT498" t="str">
            <v>2025 - Batch 4</v>
          </cell>
          <cell r="AU498">
            <v>25</v>
          </cell>
          <cell r="AV498">
            <v>1</v>
          </cell>
          <cell r="AW498" t="str">
            <v>H+L</v>
          </cell>
          <cell r="AX498">
            <v>103</v>
          </cell>
          <cell r="AY498">
            <v>50</v>
          </cell>
          <cell r="AZ498" t="str">
            <v>Duplex</v>
          </cell>
          <cell r="BA498">
            <v>1</v>
          </cell>
          <cell r="BB498" t="str">
            <v>568 - Without Partition</v>
          </cell>
          <cell r="BC498" t="str">
            <v xml:space="preserve">Without Partition </v>
          </cell>
          <cell r="BD498" t="str">
            <v>Slant</v>
          </cell>
          <cell r="BE498" t="str">
            <v xml:space="preserve">Without Partition </v>
          </cell>
          <cell r="BF498" t="str">
            <v>YELLOW</v>
          </cell>
          <cell r="BG498">
            <v>3095000</v>
          </cell>
          <cell r="BH498">
            <v>3145000</v>
          </cell>
          <cell r="BI498">
            <v>100000</v>
          </cell>
          <cell r="BJ498">
            <v>3045000</v>
          </cell>
          <cell r="BK498">
            <v>0</v>
          </cell>
          <cell r="BL498">
            <v>3045000</v>
          </cell>
        </row>
        <row r="499">
          <cell r="D499" t="str">
            <v>OS</v>
          </cell>
          <cell r="E499"/>
          <cell r="F499">
            <v>479</v>
          </cell>
          <cell r="G499" t="str">
            <v>UNSOLD</v>
          </cell>
          <cell r="H499" t="str">
            <v>TS</v>
          </cell>
          <cell r="I499" t="str">
            <v>TS</v>
          </cell>
          <cell r="J499" t="str">
            <v>TS</v>
          </cell>
          <cell r="K499" t="str">
            <v>TS</v>
          </cell>
          <cell r="L499" t="str">
            <v>TS</v>
          </cell>
          <cell r="M499" t="str">
            <v>TS</v>
          </cell>
          <cell r="N499" t="str">
            <v>TS</v>
          </cell>
          <cell r="O499" t="str">
            <v>TS</v>
          </cell>
          <cell r="P499" t="str">
            <v>TS</v>
          </cell>
          <cell r="Q499" t="str">
            <v>TS</v>
          </cell>
          <cell r="R499" t="str">
            <v>TS</v>
          </cell>
          <cell r="S499" t="str">
            <v>TS</v>
          </cell>
          <cell r="T499" t="str">
            <v>TS</v>
          </cell>
          <cell r="U499" t="str">
            <v>OS</v>
          </cell>
          <cell r="V499" t="str">
            <v>OS</v>
          </cell>
          <cell r="W499" t="str">
            <v>OS</v>
          </cell>
          <cell r="X499" t="str">
            <v>OS</v>
          </cell>
          <cell r="Y499" t="str">
            <v>OS</v>
          </cell>
          <cell r="Z499" t="str">
            <v>OS</v>
          </cell>
          <cell r="AA499" t="str">
            <v>OS</v>
          </cell>
          <cell r="AB499" t="str">
            <v>OS</v>
          </cell>
          <cell r="AC499" t="str">
            <v>OS</v>
          </cell>
          <cell r="AD499" t="str">
            <v>AGM-01-025-002</v>
          </cell>
          <cell r="AE499" t="str">
            <v xml:space="preserve">Raemulan Lands, Inc. </v>
          </cell>
          <cell r="AF499" t="str">
            <v>Agapeya</v>
          </cell>
          <cell r="AG499" t="str">
            <v>AGM</v>
          </cell>
          <cell r="AH499" t="str">
            <v>Eco-High</v>
          </cell>
          <cell r="AI499" t="str">
            <v>West</v>
          </cell>
          <cell r="AJ499" t="str">
            <v>With LTS</v>
          </cell>
          <cell r="AK499" t="str">
            <v>Unaffected lots</v>
          </cell>
          <cell r="AL499" t="str">
            <v>Unaffected lots</v>
          </cell>
          <cell r="AM499" t="b">
            <v>1</v>
          </cell>
          <cell r="AN499" t="str">
            <v>YES</v>
          </cell>
          <cell r="AO499" t="str">
            <v>B1 2025</v>
          </cell>
          <cell r="AP499">
            <v>80</v>
          </cell>
          <cell r="AQ499" t="str">
            <v>PCS-04-034298</v>
          </cell>
          <cell r="AR499" t="b">
            <v>1</v>
          </cell>
          <cell r="AS499" t="str">
            <v>Done</v>
          </cell>
          <cell r="AT499" t="str">
            <v>2025 - Batch 4</v>
          </cell>
          <cell r="AU499">
            <v>25</v>
          </cell>
          <cell r="AV499">
            <v>2</v>
          </cell>
          <cell r="AW499" t="str">
            <v>H+L</v>
          </cell>
          <cell r="AX499">
            <v>80</v>
          </cell>
          <cell r="AY499">
            <v>50</v>
          </cell>
          <cell r="AZ499" t="str">
            <v>Duplex</v>
          </cell>
          <cell r="BA499">
            <v>1</v>
          </cell>
          <cell r="BB499" t="str">
            <v>568 - Without Partition</v>
          </cell>
          <cell r="BC499" t="str">
            <v xml:space="preserve">Without Partition </v>
          </cell>
          <cell r="BD499" t="str">
            <v>Flat</v>
          </cell>
          <cell r="BE499" t="str">
            <v xml:space="preserve">Without Partition </v>
          </cell>
          <cell r="BF499" t="str">
            <v>YELLOW</v>
          </cell>
          <cell r="BG499">
            <v>2422034.826150645</v>
          </cell>
          <cell r="BH499">
            <v>2800000</v>
          </cell>
          <cell r="BI499">
            <v>100000</v>
          </cell>
          <cell r="BJ499">
            <v>2700000</v>
          </cell>
          <cell r="BK499">
            <v>0</v>
          </cell>
          <cell r="BL499">
            <v>2700000</v>
          </cell>
        </row>
        <row r="500">
          <cell r="D500" t="str">
            <v>OS</v>
          </cell>
          <cell r="E500"/>
          <cell r="F500">
            <v>480</v>
          </cell>
          <cell r="G500" t="str">
            <v>SOLD</v>
          </cell>
          <cell r="H500" t="str">
            <v>OS</v>
          </cell>
          <cell r="I500" t="str">
            <v>OS</v>
          </cell>
          <cell r="J500" t="str">
            <v>OS</v>
          </cell>
          <cell r="K500" t="str">
            <v>OS</v>
          </cell>
          <cell r="L500" t="str">
            <v>OS</v>
          </cell>
          <cell r="M500" t="str">
            <v>OS</v>
          </cell>
          <cell r="N500" t="str">
            <v>TS</v>
          </cell>
          <cell r="O500" t="str">
            <v>TS</v>
          </cell>
          <cell r="P500" t="str">
            <v>TS</v>
          </cell>
          <cell r="Q500" t="str">
            <v>TS</v>
          </cell>
          <cell r="R500" t="str">
            <v>TS</v>
          </cell>
          <cell r="S500" t="str">
            <v>TS</v>
          </cell>
          <cell r="T500" t="str">
            <v>TS</v>
          </cell>
          <cell r="U500" t="str">
            <v>OS</v>
          </cell>
          <cell r="V500" t="str">
            <v>OS</v>
          </cell>
          <cell r="W500" t="str">
            <v>OS</v>
          </cell>
          <cell r="X500" t="str">
            <v>OS</v>
          </cell>
          <cell r="Y500" t="str">
            <v>TS</v>
          </cell>
          <cell r="Z500" t="str">
            <v>OS</v>
          </cell>
          <cell r="AA500" t="str">
            <v>OS</v>
          </cell>
          <cell r="AB500" t="str">
            <v>TS</v>
          </cell>
          <cell r="AC500" t="str">
            <v>TS</v>
          </cell>
          <cell r="AD500" t="str">
            <v>AGM-01-025-003</v>
          </cell>
          <cell r="AE500" t="str">
            <v xml:space="preserve">Raemulan Lands, Inc. </v>
          </cell>
          <cell r="AF500" t="str">
            <v>Agapeya</v>
          </cell>
          <cell r="AG500" t="str">
            <v>AGM</v>
          </cell>
          <cell r="AH500" t="str">
            <v>Eco-High</v>
          </cell>
          <cell r="AI500" t="str">
            <v>West</v>
          </cell>
          <cell r="AJ500" t="str">
            <v>With LTS</v>
          </cell>
          <cell r="AK500" t="str">
            <v>Unaffected lots</v>
          </cell>
          <cell r="AL500" t="str">
            <v>Unaffected lots</v>
          </cell>
          <cell r="AM500" t="b">
            <v>1</v>
          </cell>
          <cell r="AN500" t="str">
            <v>YES</v>
          </cell>
          <cell r="AO500" t="str">
            <v>B1 2025</v>
          </cell>
          <cell r="AP500">
            <v>70</v>
          </cell>
          <cell r="AQ500" t="str">
            <v>PCS-04-034298</v>
          </cell>
          <cell r="AR500" t="b">
            <v>1</v>
          </cell>
          <cell r="AS500" t="str">
            <v>Done</v>
          </cell>
          <cell r="AT500" t="str">
            <v>2025 - Batch 4</v>
          </cell>
          <cell r="AU500">
            <v>25</v>
          </cell>
          <cell r="AV500">
            <v>3</v>
          </cell>
          <cell r="AW500" t="str">
            <v>H+L</v>
          </cell>
          <cell r="AX500">
            <v>70</v>
          </cell>
          <cell r="AY500">
            <v>50</v>
          </cell>
          <cell r="AZ500" t="str">
            <v>Duplex</v>
          </cell>
          <cell r="BA500">
            <v>1</v>
          </cell>
          <cell r="BB500" t="str">
            <v>568 - Without Partition</v>
          </cell>
          <cell r="BC500" t="str">
            <v xml:space="preserve">Without Partition </v>
          </cell>
          <cell r="BD500" t="str">
            <v>Flat</v>
          </cell>
          <cell r="BE500" t="str">
            <v xml:space="preserve">Without Partition </v>
          </cell>
          <cell r="BF500" t="str">
            <v>GREEN</v>
          </cell>
          <cell r="BG500">
            <v>2650000</v>
          </cell>
          <cell r="BH500">
            <v>2650000</v>
          </cell>
          <cell r="BI500">
            <v>100000</v>
          </cell>
          <cell r="BJ500">
            <v>2550000</v>
          </cell>
          <cell r="BK500">
            <v>0</v>
          </cell>
          <cell r="BL500">
            <v>2550000</v>
          </cell>
        </row>
        <row r="501">
          <cell r="D501" t="str">
            <v>OS</v>
          </cell>
          <cell r="E501"/>
          <cell r="F501">
            <v>481</v>
          </cell>
          <cell r="G501" t="str">
            <v>SOLD</v>
          </cell>
          <cell r="H501" t="str">
            <v>FOR CANCELLATION</v>
          </cell>
          <cell r="I501" t="str">
            <v>FOR CANCELLATION</v>
          </cell>
          <cell r="J501" t="str">
            <v>TS</v>
          </cell>
          <cell r="K501" t="str">
            <v>TS</v>
          </cell>
          <cell r="L501" t="str">
            <v>TS</v>
          </cell>
          <cell r="M501" t="str">
            <v>TS</v>
          </cell>
          <cell r="N501" t="str">
            <v>TS</v>
          </cell>
          <cell r="O501" t="str">
            <v>TS</v>
          </cell>
          <cell r="P501" t="str">
            <v>OS</v>
          </cell>
          <cell r="Q501" t="str">
            <v>OS</v>
          </cell>
          <cell r="R501" t="str">
            <v>OS</v>
          </cell>
          <cell r="S501" t="str">
            <v>OS</v>
          </cell>
          <cell r="T501" t="str">
            <v>OS</v>
          </cell>
          <cell r="U501" t="str">
            <v>OS</v>
          </cell>
          <cell r="V501" t="str">
            <v>OS</v>
          </cell>
          <cell r="W501" t="str">
            <v>OS</v>
          </cell>
          <cell r="X501" t="str">
            <v>OS</v>
          </cell>
          <cell r="Y501" t="str">
            <v>OS</v>
          </cell>
          <cell r="Z501" t="str">
            <v>OS</v>
          </cell>
          <cell r="AA501" t="str">
            <v>OS</v>
          </cell>
          <cell r="AB501" t="str">
            <v>OS</v>
          </cell>
          <cell r="AC501" t="str">
            <v>OS</v>
          </cell>
          <cell r="AD501" t="str">
            <v>AGM-01-025-004</v>
          </cell>
          <cell r="AE501" t="str">
            <v xml:space="preserve">Raemulan Lands, Inc. </v>
          </cell>
          <cell r="AF501" t="str">
            <v>Agapeya</v>
          </cell>
          <cell r="AG501" t="str">
            <v>AGM</v>
          </cell>
          <cell r="AH501" t="str">
            <v>Eco-High</v>
          </cell>
          <cell r="AI501" t="str">
            <v>West</v>
          </cell>
          <cell r="AJ501" t="str">
            <v>With LTS</v>
          </cell>
          <cell r="AK501" t="str">
            <v>Unaffected lots</v>
          </cell>
          <cell r="AL501" t="str">
            <v>Unaffected lots</v>
          </cell>
          <cell r="AM501" t="b">
            <v>1</v>
          </cell>
          <cell r="AN501" t="str">
            <v>YES</v>
          </cell>
          <cell r="AO501" t="str">
            <v>B1 2025</v>
          </cell>
          <cell r="AP501">
            <v>70</v>
          </cell>
          <cell r="AQ501" t="str">
            <v>PCS-04-034298</v>
          </cell>
          <cell r="AR501" t="b">
            <v>1</v>
          </cell>
          <cell r="AS501" t="str">
            <v>Done</v>
          </cell>
          <cell r="AT501" t="str">
            <v>2025 - Batch 4</v>
          </cell>
          <cell r="AU501">
            <v>25</v>
          </cell>
          <cell r="AV501">
            <v>4</v>
          </cell>
          <cell r="AW501" t="str">
            <v>H+L</v>
          </cell>
          <cell r="AX501">
            <v>70</v>
          </cell>
          <cell r="AY501">
            <v>50</v>
          </cell>
          <cell r="AZ501" t="str">
            <v>Duplex</v>
          </cell>
          <cell r="BA501">
            <v>1</v>
          </cell>
          <cell r="BB501" t="str">
            <v>568 - Without Partition</v>
          </cell>
          <cell r="BC501" t="str">
            <v xml:space="preserve">Without Partition </v>
          </cell>
          <cell r="BD501" t="str">
            <v>Slant</v>
          </cell>
          <cell r="BE501" t="str">
            <v xml:space="preserve">Without Partition </v>
          </cell>
          <cell r="BF501" t="str">
            <v>GREEN</v>
          </cell>
          <cell r="BG501">
            <v>2650000</v>
          </cell>
          <cell r="BH501">
            <v>2650000</v>
          </cell>
          <cell r="BI501">
            <v>100000</v>
          </cell>
          <cell r="BJ501">
            <v>2550000</v>
          </cell>
          <cell r="BK501">
            <v>0</v>
          </cell>
          <cell r="BL501">
            <v>2550000</v>
          </cell>
        </row>
        <row r="502">
          <cell r="D502" t="str">
            <v>OS</v>
          </cell>
          <cell r="E502"/>
          <cell r="F502">
            <v>482</v>
          </cell>
          <cell r="G502" t="str">
            <v>SOLD</v>
          </cell>
          <cell r="H502" t="str">
            <v>OS</v>
          </cell>
          <cell r="I502" t="str">
            <v>OS</v>
          </cell>
          <cell r="J502" t="str">
            <v>OS</v>
          </cell>
          <cell r="K502" t="str">
            <v>OS</v>
          </cell>
          <cell r="L502" t="str">
            <v>OS</v>
          </cell>
          <cell r="M502" t="str">
            <v>OS</v>
          </cell>
          <cell r="N502" t="str">
            <v>OS</v>
          </cell>
          <cell r="O502" t="str">
            <v>OS</v>
          </cell>
          <cell r="P502" t="str">
            <v>OS</v>
          </cell>
          <cell r="Q502" t="str">
            <v>OS</v>
          </cell>
          <cell r="R502" t="str">
            <v>OS</v>
          </cell>
          <cell r="S502" t="str">
            <v>OS</v>
          </cell>
          <cell r="T502" t="str">
            <v>OS</v>
          </cell>
          <cell r="U502" t="str">
            <v>OS</v>
          </cell>
          <cell r="V502" t="str">
            <v>OS</v>
          </cell>
          <cell r="W502" t="str">
            <v>OS</v>
          </cell>
          <cell r="X502" t="str">
            <v>OS</v>
          </cell>
          <cell r="Y502" t="str">
            <v>OS</v>
          </cell>
          <cell r="Z502" t="str">
            <v>OS</v>
          </cell>
          <cell r="AA502" t="str">
            <v>OS</v>
          </cell>
          <cell r="AB502" t="str">
            <v>OS</v>
          </cell>
          <cell r="AC502" t="str">
            <v>OS</v>
          </cell>
          <cell r="AD502" t="str">
            <v>AGM-01-025-005</v>
          </cell>
          <cell r="AE502" t="str">
            <v xml:space="preserve">Raemulan Lands, Inc. </v>
          </cell>
          <cell r="AF502" t="str">
            <v>Agapeya</v>
          </cell>
          <cell r="AG502" t="str">
            <v>AGM</v>
          </cell>
          <cell r="AH502" t="str">
            <v>Eco-High</v>
          </cell>
          <cell r="AI502" t="str">
            <v>West</v>
          </cell>
          <cell r="AJ502" t="str">
            <v>With LTS</v>
          </cell>
          <cell r="AK502" t="str">
            <v>Unaffected lots</v>
          </cell>
          <cell r="AL502" t="str">
            <v>Unaffected lots</v>
          </cell>
          <cell r="AM502" t="b">
            <v>1</v>
          </cell>
          <cell r="AN502" t="str">
            <v>YES</v>
          </cell>
          <cell r="AO502" t="str">
            <v>B1 2025</v>
          </cell>
          <cell r="AP502">
            <v>70</v>
          </cell>
          <cell r="AQ502" t="str">
            <v>PCS-04-034298</v>
          </cell>
          <cell r="AR502" t="b">
            <v>1</v>
          </cell>
          <cell r="AS502" t="str">
            <v>Done</v>
          </cell>
          <cell r="AT502" t="str">
            <v>2025 - Batch 4</v>
          </cell>
          <cell r="AU502">
            <v>25</v>
          </cell>
          <cell r="AV502">
            <v>5</v>
          </cell>
          <cell r="AW502" t="str">
            <v>H+L</v>
          </cell>
          <cell r="AX502">
            <v>70</v>
          </cell>
          <cell r="AY502">
            <v>50</v>
          </cell>
          <cell r="AZ502" t="str">
            <v>Duplex</v>
          </cell>
          <cell r="BA502">
            <v>1</v>
          </cell>
          <cell r="BB502" t="str">
            <v>568 - Without Partition</v>
          </cell>
          <cell r="BC502" t="str">
            <v xml:space="preserve">Without Partition </v>
          </cell>
          <cell r="BD502" t="str">
            <v>Slant</v>
          </cell>
          <cell r="BE502" t="str">
            <v xml:space="preserve">Without Partition </v>
          </cell>
          <cell r="BF502" t="str">
            <v>GREEN</v>
          </cell>
          <cell r="BG502">
            <v>2422034.826150645</v>
          </cell>
          <cell r="BH502">
            <v>2650000</v>
          </cell>
          <cell r="BI502">
            <v>100000</v>
          </cell>
          <cell r="BJ502">
            <v>2550000</v>
          </cell>
          <cell r="BK502">
            <v>0</v>
          </cell>
          <cell r="BL502">
            <v>2550000</v>
          </cell>
        </row>
        <row r="503">
          <cell r="D503" t="str">
            <v>OS</v>
          </cell>
          <cell r="E503"/>
          <cell r="F503">
            <v>483</v>
          </cell>
          <cell r="G503" t="str">
            <v>SOLD</v>
          </cell>
          <cell r="H503" t="str">
            <v>OS</v>
          </cell>
          <cell r="I503" t="str">
            <v>OS</v>
          </cell>
          <cell r="J503" t="str">
            <v>OS</v>
          </cell>
          <cell r="K503" t="str">
            <v>OS</v>
          </cell>
          <cell r="L503" t="str">
            <v>OS</v>
          </cell>
          <cell r="M503" t="str">
            <v>OS</v>
          </cell>
          <cell r="N503" t="str">
            <v>OS</v>
          </cell>
          <cell r="O503" t="str">
            <v>OS</v>
          </cell>
          <cell r="P503" t="str">
            <v>OS</v>
          </cell>
          <cell r="Q503" t="str">
            <v>OS</v>
          </cell>
          <cell r="R503" t="str">
            <v>OS</v>
          </cell>
          <cell r="S503" t="str">
            <v>OS</v>
          </cell>
          <cell r="T503" t="str">
            <v>OS</v>
          </cell>
          <cell r="U503" t="str">
            <v>OS</v>
          </cell>
          <cell r="V503" t="str">
            <v>OS</v>
          </cell>
          <cell r="W503" t="str">
            <v>OS</v>
          </cell>
          <cell r="X503" t="str">
            <v>OS</v>
          </cell>
          <cell r="Y503" t="str">
            <v>OS</v>
          </cell>
          <cell r="Z503" t="str">
            <v>OS</v>
          </cell>
          <cell r="AA503" t="str">
            <v>OS</v>
          </cell>
          <cell r="AB503" t="str">
            <v>OS</v>
          </cell>
          <cell r="AC503" t="str">
            <v>OS</v>
          </cell>
          <cell r="AD503" t="str">
            <v>AGM-01-025-006</v>
          </cell>
          <cell r="AE503" t="str">
            <v xml:space="preserve">Raemulan Lands, Inc. </v>
          </cell>
          <cell r="AF503" t="str">
            <v>Agapeya</v>
          </cell>
          <cell r="AG503" t="str">
            <v>AGM</v>
          </cell>
          <cell r="AH503" t="str">
            <v>Eco-High</v>
          </cell>
          <cell r="AI503" t="str">
            <v>West</v>
          </cell>
          <cell r="AJ503" t="str">
            <v>With LTS</v>
          </cell>
          <cell r="AK503" t="str">
            <v>Unaffected lots</v>
          </cell>
          <cell r="AL503" t="str">
            <v>Unaffected lots</v>
          </cell>
          <cell r="AM503" t="b">
            <v>1</v>
          </cell>
          <cell r="AN503" t="str">
            <v>YES</v>
          </cell>
          <cell r="AO503" t="str">
            <v>B1 2025</v>
          </cell>
          <cell r="AP503">
            <v>70</v>
          </cell>
          <cell r="AQ503" t="str">
            <v>PCS-04-034298</v>
          </cell>
          <cell r="AR503" t="b">
            <v>1</v>
          </cell>
          <cell r="AS503" t="str">
            <v>Done</v>
          </cell>
          <cell r="AT503" t="str">
            <v>2025 - Batch 4</v>
          </cell>
          <cell r="AU503">
            <v>25</v>
          </cell>
          <cell r="AV503">
            <v>6</v>
          </cell>
          <cell r="AW503" t="str">
            <v>H+L</v>
          </cell>
          <cell r="AX503">
            <v>70</v>
          </cell>
          <cell r="AY503">
            <v>50</v>
          </cell>
          <cell r="AZ503" t="str">
            <v>Duplex</v>
          </cell>
          <cell r="BA503">
            <v>1</v>
          </cell>
          <cell r="BB503" t="str">
            <v>568 - Without Partition</v>
          </cell>
          <cell r="BC503" t="str">
            <v xml:space="preserve">Without Partition </v>
          </cell>
          <cell r="BD503" t="str">
            <v>Flat</v>
          </cell>
          <cell r="BE503" t="str">
            <v xml:space="preserve">Without Partition </v>
          </cell>
          <cell r="BF503" t="str">
            <v>GREEN</v>
          </cell>
          <cell r="BG503">
            <v>2422034.826150645</v>
          </cell>
          <cell r="BH503">
            <v>2650000</v>
          </cell>
          <cell r="BI503">
            <v>100000</v>
          </cell>
          <cell r="BJ503">
            <v>2550000</v>
          </cell>
          <cell r="BK503">
            <v>0</v>
          </cell>
          <cell r="BL503">
            <v>2550000</v>
          </cell>
        </row>
        <row r="504">
          <cell r="D504" t="str">
            <v>OS</v>
          </cell>
          <cell r="E504"/>
          <cell r="F504">
            <v>484</v>
          </cell>
          <cell r="G504" t="str">
            <v>SOLD</v>
          </cell>
          <cell r="H504" t="str">
            <v>OS</v>
          </cell>
          <cell r="I504" t="str">
            <v>OS</v>
          </cell>
          <cell r="J504" t="str">
            <v>OS</v>
          </cell>
          <cell r="K504" t="str">
            <v>OS</v>
          </cell>
          <cell r="L504" t="str">
            <v>OS</v>
          </cell>
          <cell r="M504" t="str">
            <v>OS</v>
          </cell>
          <cell r="N504" t="str">
            <v>OS</v>
          </cell>
          <cell r="O504" t="str">
            <v>OS</v>
          </cell>
          <cell r="P504" t="str">
            <v>OS</v>
          </cell>
          <cell r="Q504" t="str">
            <v>OS</v>
          </cell>
          <cell r="R504" t="str">
            <v>OS</v>
          </cell>
          <cell r="S504" t="str">
            <v>OS</v>
          </cell>
          <cell r="T504" t="str">
            <v>OS</v>
          </cell>
          <cell r="U504" t="str">
            <v>OS</v>
          </cell>
          <cell r="V504" t="str">
            <v>OS</v>
          </cell>
          <cell r="W504" t="str">
            <v>OS</v>
          </cell>
          <cell r="X504" t="str">
            <v>OS</v>
          </cell>
          <cell r="Y504" t="str">
            <v>OS</v>
          </cell>
          <cell r="Z504" t="str">
            <v>OS</v>
          </cell>
          <cell r="AA504" t="str">
            <v>OS</v>
          </cell>
          <cell r="AB504" t="str">
            <v>OS</v>
          </cell>
          <cell r="AC504" t="str">
            <v>OS</v>
          </cell>
          <cell r="AD504" t="str">
            <v>AGM-01-025-007</v>
          </cell>
          <cell r="AE504" t="str">
            <v xml:space="preserve">Raemulan Lands, Inc. </v>
          </cell>
          <cell r="AF504" t="str">
            <v>Agapeya</v>
          </cell>
          <cell r="AG504" t="str">
            <v>AGM</v>
          </cell>
          <cell r="AH504" t="str">
            <v>Eco-High</v>
          </cell>
          <cell r="AI504" t="str">
            <v>West</v>
          </cell>
          <cell r="AJ504" t="str">
            <v>With LTS</v>
          </cell>
          <cell r="AK504" t="str">
            <v>Unaffected lots</v>
          </cell>
          <cell r="AL504" t="str">
            <v>Unaffected lots</v>
          </cell>
          <cell r="AM504" t="b">
            <v>1</v>
          </cell>
          <cell r="AN504" t="str">
            <v>YES</v>
          </cell>
          <cell r="AO504" t="str">
            <v>B1 2025</v>
          </cell>
          <cell r="AP504">
            <v>70</v>
          </cell>
          <cell r="AQ504" t="str">
            <v>PCS-04-034298</v>
          </cell>
          <cell r="AR504" t="b">
            <v>1</v>
          </cell>
          <cell r="AS504" t="str">
            <v>Done</v>
          </cell>
          <cell r="AT504" t="str">
            <v>2025 - Batch 4</v>
          </cell>
          <cell r="AU504">
            <v>25</v>
          </cell>
          <cell r="AV504">
            <v>7</v>
          </cell>
          <cell r="AW504" t="str">
            <v>H+L</v>
          </cell>
          <cell r="AX504">
            <v>70</v>
          </cell>
          <cell r="AY504">
            <v>50</v>
          </cell>
          <cell r="AZ504" t="str">
            <v>Duplex</v>
          </cell>
          <cell r="BA504">
            <v>1</v>
          </cell>
          <cell r="BB504" t="str">
            <v>568 - Without Partition</v>
          </cell>
          <cell r="BC504" t="str">
            <v xml:space="preserve">Without Partition </v>
          </cell>
          <cell r="BD504" t="str">
            <v>Flat</v>
          </cell>
          <cell r="BE504" t="str">
            <v xml:space="preserve">Without Partition </v>
          </cell>
          <cell r="BF504" t="str">
            <v>PURPLE</v>
          </cell>
          <cell r="BG504">
            <v>2422034.826150645</v>
          </cell>
          <cell r="BH504">
            <v>2650000</v>
          </cell>
          <cell r="BI504">
            <v>100000</v>
          </cell>
          <cell r="BJ504">
            <v>2550000</v>
          </cell>
          <cell r="BK504">
            <v>0</v>
          </cell>
          <cell r="BL504">
            <v>2550000</v>
          </cell>
        </row>
        <row r="505">
          <cell r="D505" t="str">
            <v>OS</v>
          </cell>
          <cell r="E505"/>
          <cell r="F505">
            <v>485</v>
          </cell>
          <cell r="G505" t="str">
            <v>SOLD</v>
          </cell>
          <cell r="H505" t="str">
            <v>OS</v>
          </cell>
          <cell r="I505" t="str">
            <v>OS</v>
          </cell>
          <cell r="J505" t="str">
            <v>OS</v>
          </cell>
          <cell r="K505" t="str">
            <v>OS</v>
          </cell>
          <cell r="L505" t="str">
            <v>OS</v>
          </cell>
          <cell r="M505" t="str">
            <v>OS</v>
          </cell>
          <cell r="N505" t="str">
            <v>OS</v>
          </cell>
          <cell r="O505" t="str">
            <v>OS</v>
          </cell>
          <cell r="P505" t="str">
            <v>OS</v>
          </cell>
          <cell r="Q505" t="str">
            <v>OS</v>
          </cell>
          <cell r="R505" t="str">
            <v>OS</v>
          </cell>
          <cell r="S505" t="str">
            <v>OS</v>
          </cell>
          <cell r="T505" t="str">
            <v>OS</v>
          </cell>
          <cell r="U505" t="str">
            <v>OS</v>
          </cell>
          <cell r="V505" t="str">
            <v>OS</v>
          </cell>
          <cell r="W505" t="str">
            <v>OS</v>
          </cell>
          <cell r="X505" t="str">
            <v>OS</v>
          </cell>
          <cell r="Y505" t="str">
            <v>OS</v>
          </cell>
          <cell r="Z505" t="str">
            <v>OS</v>
          </cell>
          <cell r="AA505" t="str">
            <v>OS</v>
          </cell>
          <cell r="AB505" t="str">
            <v>OS</v>
          </cell>
          <cell r="AC505" t="str">
            <v>OS</v>
          </cell>
          <cell r="AD505" t="str">
            <v>AGM-01-025-008</v>
          </cell>
          <cell r="AE505" t="str">
            <v xml:space="preserve">Raemulan Lands, Inc. </v>
          </cell>
          <cell r="AF505" t="str">
            <v>Agapeya</v>
          </cell>
          <cell r="AG505" t="str">
            <v>AGM</v>
          </cell>
          <cell r="AH505" t="str">
            <v>Eco-High</v>
          </cell>
          <cell r="AI505" t="str">
            <v>West</v>
          </cell>
          <cell r="AJ505" t="str">
            <v>With LTS</v>
          </cell>
          <cell r="AK505" t="str">
            <v>Unaffected lots</v>
          </cell>
          <cell r="AL505" t="str">
            <v>Unaffected lots</v>
          </cell>
          <cell r="AM505" t="b">
            <v>1</v>
          </cell>
          <cell r="AN505" t="str">
            <v>YES</v>
          </cell>
          <cell r="AO505" t="str">
            <v>B1 2025</v>
          </cell>
          <cell r="AP505">
            <v>70</v>
          </cell>
          <cell r="AQ505" t="str">
            <v>PCS-04-034298</v>
          </cell>
          <cell r="AR505" t="b">
            <v>1</v>
          </cell>
          <cell r="AS505" t="str">
            <v>Done</v>
          </cell>
          <cell r="AT505" t="str">
            <v>2025 - Batch 4</v>
          </cell>
          <cell r="AU505">
            <v>25</v>
          </cell>
          <cell r="AV505">
            <v>8</v>
          </cell>
          <cell r="AW505" t="str">
            <v>H+L</v>
          </cell>
          <cell r="AX505">
            <v>70</v>
          </cell>
          <cell r="AY505">
            <v>50</v>
          </cell>
          <cell r="AZ505" t="str">
            <v>Duplex</v>
          </cell>
          <cell r="BA505">
            <v>1</v>
          </cell>
          <cell r="BB505" t="str">
            <v>568 - Without Partition</v>
          </cell>
          <cell r="BC505" t="str">
            <v xml:space="preserve">Without Partition </v>
          </cell>
          <cell r="BD505" t="str">
            <v>Slant</v>
          </cell>
          <cell r="BE505" t="str">
            <v xml:space="preserve">Without Partition </v>
          </cell>
          <cell r="BF505" t="str">
            <v>PURPLE</v>
          </cell>
          <cell r="BG505">
            <v>2422034.826150645</v>
          </cell>
          <cell r="BH505">
            <v>2650000</v>
          </cell>
          <cell r="BI505">
            <v>100000</v>
          </cell>
          <cell r="BJ505">
            <v>2550000</v>
          </cell>
          <cell r="BK505">
            <v>0</v>
          </cell>
          <cell r="BL505">
            <v>2550000</v>
          </cell>
        </row>
        <row r="506">
          <cell r="D506" t="str">
            <v>OS</v>
          </cell>
          <cell r="E506"/>
          <cell r="F506">
            <v>486</v>
          </cell>
          <cell r="G506" t="str">
            <v>SOLD</v>
          </cell>
          <cell r="H506" t="str">
            <v>OS</v>
          </cell>
          <cell r="I506" t="str">
            <v>OS</v>
          </cell>
          <cell r="J506" t="str">
            <v>OS</v>
          </cell>
          <cell r="K506" t="str">
            <v>OS</v>
          </cell>
          <cell r="L506" t="str">
            <v>OS</v>
          </cell>
          <cell r="M506" t="str">
            <v>OS</v>
          </cell>
          <cell r="N506" t="str">
            <v>OS</v>
          </cell>
          <cell r="O506" t="str">
            <v>OS</v>
          </cell>
          <cell r="P506" t="str">
            <v>OS</v>
          </cell>
          <cell r="Q506" t="str">
            <v>OS</v>
          </cell>
          <cell r="R506" t="str">
            <v>OS</v>
          </cell>
          <cell r="S506" t="str">
            <v>OS</v>
          </cell>
          <cell r="T506" t="str">
            <v>OS</v>
          </cell>
          <cell r="U506" t="str">
            <v>OS</v>
          </cell>
          <cell r="V506" t="str">
            <v>OS</v>
          </cell>
          <cell r="W506" t="str">
            <v>OS</v>
          </cell>
          <cell r="X506" t="str">
            <v>OS</v>
          </cell>
          <cell r="Y506" t="str">
            <v>OS</v>
          </cell>
          <cell r="Z506" t="str">
            <v>OS</v>
          </cell>
          <cell r="AA506" t="str">
            <v>OS</v>
          </cell>
          <cell r="AB506" t="str">
            <v>OS</v>
          </cell>
          <cell r="AC506" t="str">
            <v>OS</v>
          </cell>
          <cell r="AD506" t="str">
            <v>AGM-01-025-009</v>
          </cell>
          <cell r="AE506" t="str">
            <v xml:space="preserve">Raemulan Lands, Inc. </v>
          </cell>
          <cell r="AF506" t="str">
            <v>Agapeya</v>
          </cell>
          <cell r="AG506" t="str">
            <v>AGM</v>
          </cell>
          <cell r="AH506" t="str">
            <v>Eco-High</v>
          </cell>
          <cell r="AI506" t="str">
            <v>West</v>
          </cell>
          <cell r="AJ506" t="str">
            <v>With LTS</v>
          </cell>
          <cell r="AK506" t="str">
            <v>Unaffected lots</v>
          </cell>
          <cell r="AL506" t="str">
            <v>Unaffected lots</v>
          </cell>
          <cell r="AM506" t="b">
            <v>1</v>
          </cell>
          <cell r="AN506" t="str">
            <v>YES</v>
          </cell>
          <cell r="AO506" t="str">
            <v>B1 2025</v>
          </cell>
          <cell r="AP506">
            <v>70</v>
          </cell>
          <cell r="AQ506" t="str">
            <v>PCS-04-034298</v>
          </cell>
          <cell r="AR506" t="b">
            <v>1</v>
          </cell>
          <cell r="AS506" t="str">
            <v>Done</v>
          </cell>
          <cell r="AT506" t="str">
            <v>2025 - Batch 1</v>
          </cell>
          <cell r="AU506">
            <v>25</v>
          </cell>
          <cell r="AV506">
            <v>9</v>
          </cell>
          <cell r="AW506" t="str">
            <v>H+L</v>
          </cell>
          <cell r="AX506">
            <v>70</v>
          </cell>
          <cell r="AY506">
            <v>50</v>
          </cell>
          <cell r="AZ506" t="str">
            <v>Duplex</v>
          </cell>
          <cell r="BA506">
            <v>1</v>
          </cell>
          <cell r="BB506" t="str">
            <v>568 - Without Partition</v>
          </cell>
          <cell r="BC506" t="str">
            <v xml:space="preserve">Without Partition </v>
          </cell>
          <cell r="BD506" t="str">
            <v>Slant</v>
          </cell>
          <cell r="BE506" t="str">
            <v xml:space="preserve">Without Partition </v>
          </cell>
          <cell r="BF506" t="str">
            <v>PURPLE</v>
          </cell>
          <cell r="BG506">
            <v>2500000</v>
          </cell>
          <cell r="BH506">
            <v>2650000</v>
          </cell>
          <cell r="BI506">
            <v>100000</v>
          </cell>
          <cell r="BJ506">
            <v>2550000</v>
          </cell>
          <cell r="BK506">
            <v>0</v>
          </cell>
          <cell r="BL506">
            <v>2550000</v>
          </cell>
        </row>
        <row r="507">
          <cell r="D507" t="str">
            <v>OS</v>
          </cell>
          <cell r="E507"/>
          <cell r="F507">
            <v>487</v>
          </cell>
          <cell r="G507" t="str">
            <v>SOLD</v>
          </cell>
          <cell r="H507" t="str">
            <v>OS</v>
          </cell>
          <cell r="I507" t="str">
            <v>OS</v>
          </cell>
          <cell r="J507" t="str">
            <v>OS</v>
          </cell>
          <cell r="K507" t="str">
            <v>OS</v>
          </cell>
          <cell r="L507" t="str">
            <v>OS</v>
          </cell>
          <cell r="M507" t="str">
            <v>OS</v>
          </cell>
          <cell r="N507" t="str">
            <v>OS</v>
          </cell>
          <cell r="O507" t="str">
            <v>OS</v>
          </cell>
          <cell r="P507" t="str">
            <v>OS</v>
          </cell>
          <cell r="Q507" t="str">
            <v>OS</v>
          </cell>
          <cell r="R507" t="str">
            <v>OS</v>
          </cell>
          <cell r="S507" t="str">
            <v>OS</v>
          </cell>
          <cell r="T507" t="str">
            <v>OS</v>
          </cell>
          <cell r="U507" t="str">
            <v>OS</v>
          </cell>
          <cell r="V507" t="str">
            <v>OS</v>
          </cell>
          <cell r="W507" t="str">
            <v>OS</v>
          </cell>
          <cell r="X507" t="str">
            <v>OS</v>
          </cell>
          <cell r="Y507" t="str">
            <v>OS</v>
          </cell>
          <cell r="Z507" t="str">
            <v>OS</v>
          </cell>
          <cell r="AA507" t="str">
            <v>OS</v>
          </cell>
          <cell r="AB507" t="str">
            <v>OS</v>
          </cell>
          <cell r="AC507" t="str">
            <v>OS</v>
          </cell>
          <cell r="AD507" t="str">
            <v>AGM-01-025-010</v>
          </cell>
          <cell r="AE507" t="str">
            <v xml:space="preserve">Raemulan Lands, Inc. </v>
          </cell>
          <cell r="AF507" t="str">
            <v>Agapeya</v>
          </cell>
          <cell r="AG507" t="str">
            <v>AGM</v>
          </cell>
          <cell r="AH507" t="str">
            <v>Eco-High</v>
          </cell>
          <cell r="AI507" t="str">
            <v>West</v>
          </cell>
          <cell r="AJ507" t="str">
            <v>With LTS</v>
          </cell>
          <cell r="AK507" t="str">
            <v>Unaffected lots</v>
          </cell>
          <cell r="AL507" t="str">
            <v>Unaffected lots</v>
          </cell>
          <cell r="AM507" t="b">
            <v>1</v>
          </cell>
          <cell r="AN507" t="str">
            <v>YES</v>
          </cell>
          <cell r="AO507" t="str">
            <v>B1 2025</v>
          </cell>
          <cell r="AP507">
            <v>70</v>
          </cell>
          <cell r="AQ507" t="str">
            <v>PCS-04-034298</v>
          </cell>
          <cell r="AR507" t="b">
            <v>1</v>
          </cell>
          <cell r="AS507" t="str">
            <v>Done</v>
          </cell>
          <cell r="AT507" t="str">
            <v>2025 - Batch 1</v>
          </cell>
          <cell r="AU507">
            <v>25</v>
          </cell>
          <cell r="AV507">
            <v>10</v>
          </cell>
          <cell r="AW507" t="str">
            <v>H+L</v>
          </cell>
          <cell r="AX507">
            <v>70</v>
          </cell>
          <cell r="AY507">
            <v>50</v>
          </cell>
          <cell r="AZ507" t="str">
            <v>Duplex</v>
          </cell>
          <cell r="BA507">
            <v>1</v>
          </cell>
          <cell r="BB507" t="str">
            <v>568 - Without Partition</v>
          </cell>
          <cell r="BC507" t="str">
            <v xml:space="preserve">Without Partition </v>
          </cell>
          <cell r="BD507" t="str">
            <v>Flat</v>
          </cell>
          <cell r="BE507" t="str">
            <v xml:space="preserve">Without Partition </v>
          </cell>
          <cell r="BF507" t="str">
            <v>PURPLE</v>
          </cell>
          <cell r="BG507">
            <v>2500000</v>
          </cell>
          <cell r="BH507">
            <v>2650000</v>
          </cell>
          <cell r="BI507">
            <v>100000</v>
          </cell>
          <cell r="BJ507">
            <v>2550000</v>
          </cell>
          <cell r="BK507">
            <v>0</v>
          </cell>
          <cell r="BL507">
            <v>2550000</v>
          </cell>
        </row>
        <row r="508">
          <cell r="D508" t="str">
            <v>OS</v>
          </cell>
          <cell r="E508"/>
          <cell r="F508">
            <v>488</v>
          </cell>
          <cell r="G508" t="str">
            <v>SOLD</v>
          </cell>
          <cell r="H508" t="str">
            <v>OS</v>
          </cell>
          <cell r="I508" t="str">
            <v>OS</v>
          </cell>
          <cell r="J508" t="str">
            <v>OS</v>
          </cell>
          <cell r="K508" t="str">
            <v>OS</v>
          </cell>
          <cell r="L508" t="str">
            <v>OS</v>
          </cell>
          <cell r="M508" t="str">
            <v>OS</v>
          </cell>
          <cell r="N508" t="str">
            <v>OS</v>
          </cell>
          <cell r="O508" t="str">
            <v>OS</v>
          </cell>
          <cell r="P508" t="str">
            <v>OS</v>
          </cell>
          <cell r="Q508" t="str">
            <v>OS</v>
          </cell>
          <cell r="R508" t="str">
            <v>OS</v>
          </cell>
          <cell r="S508" t="str">
            <v>OS</v>
          </cell>
          <cell r="T508" t="str">
            <v>OS</v>
          </cell>
          <cell r="U508" t="str">
            <v>OS</v>
          </cell>
          <cell r="V508" t="str">
            <v>OS</v>
          </cell>
          <cell r="W508" t="str">
            <v>OS</v>
          </cell>
          <cell r="X508" t="str">
            <v>OS</v>
          </cell>
          <cell r="Y508" t="str">
            <v>OS</v>
          </cell>
          <cell r="Z508" t="str">
            <v>OS</v>
          </cell>
          <cell r="AA508" t="str">
            <v>OS</v>
          </cell>
          <cell r="AB508" t="str">
            <v>OS</v>
          </cell>
          <cell r="AC508" t="str">
            <v>OS</v>
          </cell>
          <cell r="AD508" t="str">
            <v>AGM-01-025-011</v>
          </cell>
          <cell r="AE508" t="str">
            <v xml:space="preserve">Raemulan Lands, Inc. </v>
          </cell>
          <cell r="AF508" t="str">
            <v>Agapeya</v>
          </cell>
          <cell r="AG508" t="str">
            <v>AGM</v>
          </cell>
          <cell r="AH508" t="str">
            <v>Eco-High</v>
          </cell>
          <cell r="AI508" t="str">
            <v>West</v>
          </cell>
          <cell r="AJ508" t="str">
            <v>With LTS</v>
          </cell>
          <cell r="AK508" t="str">
            <v>Unaffected lots</v>
          </cell>
          <cell r="AL508" t="str">
            <v>Unaffected lots</v>
          </cell>
          <cell r="AM508" t="b">
            <v>1</v>
          </cell>
          <cell r="AN508" t="str">
            <v>YES</v>
          </cell>
          <cell r="AO508" t="str">
            <v>B1 2025</v>
          </cell>
          <cell r="AP508">
            <v>70</v>
          </cell>
          <cell r="AQ508" t="str">
            <v>PCS-04-034298</v>
          </cell>
          <cell r="AR508" t="b">
            <v>1</v>
          </cell>
          <cell r="AS508" t="str">
            <v>Done</v>
          </cell>
          <cell r="AT508" t="str">
            <v>2025 - Batch 1</v>
          </cell>
          <cell r="AU508">
            <v>25</v>
          </cell>
          <cell r="AV508">
            <v>11</v>
          </cell>
          <cell r="AW508" t="str">
            <v>H+L</v>
          </cell>
          <cell r="AX508">
            <v>70</v>
          </cell>
          <cell r="AY508">
            <v>50</v>
          </cell>
          <cell r="AZ508" t="str">
            <v>Duplex</v>
          </cell>
          <cell r="BA508">
            <v>1</v>
          </cell>
          <cell r="BB508" t="str">
            <v>568 - Without Partition</v>
          </cell>
          <cell r="BC508" t="str">
            <v xml:space="preserve">Without Partition </v>
          </cell>
          <cell r="BD508" t="str">
            <v>Flat</v>
          </cell>
          <cell r="BE508" t="str">
            <v xml:space="preserve">Without Partition </v>
          </cell>
          <cell r="BF508" t="str">
            <v>PINK</v>
          </cell>
          <cell r="BG508">
            <v>2422034.826150645</v>
          </cell>
          <cell r="BH508">
            <v>2650000</v>
          </cell>
          <cell r="BI508">
            <v>100000</v>
          </cell>
          <cell r="BJ508">
            <v>2550000</v>
          </cell>
          <cell r="BK508">
            <v>0</v>
          </cell>
          <cell r="BL508">
            <v>2550000</v>
          </cell>
        </row>
        <row r="509">
          <cell r="D509" t="str">
            <v>OS</v>
          </cell>
          <cell r="E509"/>
          <cell r="F509">
            <v>489</v>
          </cell>
          <cell r="G509" t="str">
            <v>SOLD</v>
          </cell>
          <cell r="H509" t="str">
            <v>OS</v>
          </cell>
          <cell r="I509" t="str">
            <v>OS</v>
          </cell>
          <cell r="J509" t="str">
            <v>OS</v>
          </cell>
          <cell r="K509" t="str">
            <v>OS</v>
          </cell>
          <cell r="L509" t="str">
            <v>OS</v>
          </cell>
          <cell r="M509" t="str">
            <v>OS</v>
          </cell>
          <cell r="N509" t="str">
            <v>OS</v>
          </cell>
          <cell r="O509" t="str">
            <v>OS</v>
          </cell>
          <cell r="P509" t="str">
            <v>OS</v>
          </cell>
          <cell r="Q509" t="str">
            <v>OS</v>
          </cell>
          <cell r="R509" t="str">
            <v>OS</v>
          </cell>
          <cell r="S509" t="str">
            <v>OS</v>
          </cell>
          <cell r="T509" t="str">
            <v>OS</v>
          </cell>
          <cell r="U509" t="str">
            <v>OS</v>
          </cell>
          <cell r="V509" t="str">
            <v>OS</v>
          </cell>
          <cell r="W509" t="str">
            <v>OS</v>
          </cell>
          <cell r="X509" t="str">
            <v>OS</v>
          </cell>
          <cell r="Y509" t="str">
            <v>OS</v>
          </cell>
          <cell r="Z509" t="str">
            <v>OS</v>
          </cell>
          <cell r="AA509" t="str">
            <v>OS</v>
          </cell>
          <cell r="AB509" t="str">
            <v>OS</v>
          </cell>
          <cell r="AC509" t="str">
            <v>OS</v>
          </cell>
          <cell r="AD509" t="str">
            <v>AGM-01-025-012</v>
          </cell>
          <cell r="AE509" t="str">
            <v xml:space="preserve">Raemulan Lands, Inc. </v>
          </cell>
          <cell r="AF509" t="str">
            <v>Agapeya</v>
          </cell>
          <cell r="AG509" t="str">
            <v>AGM</v>
          </cell>
          <cell r="AH509" t="str">
            <v>Eco-High</v>
          </cell>
          <cell r="AI509" t="str">
            <v>West</v>
          </cell>
          <cell r="AJ509" t="str">
            <v>With LTS</v>
          </cell>
          <cell r="AK509" t="str">
            <v>Unaffected lots</v>
          </cell>
          <cell r="AL509" t="str">
            <v>Unaffected lots</v>
          </cell>
          <cell r="AM509" t="b">
            <v>1</v>
          </cell>
          <cell r="AN509" t="str">
            <v>YES</v>
          </cell>
          <cell r="AO509" t="str">
            <v>B1 2025</v>
          </cell>
          <cell r="AP509">
            <v>70</v>
          </cell>
          <cell r="AQ509" t="str">
            <v>PCS-04-034298</v>
          </cell>
          <cell r="AR509" t="b">
            <v>1</v>
          </cell>
          <cell r="AS509" t="str">
            <v>Done</v>
          </cell>
          <cell r="AT509" t="str">
            <v>2025 - Batch 1</v>
          </cell>
          <cell r="AU509">
            <v>25</v>
          </cell>
          <cell r="AV509">
            <v>12</v>
          </cell>
          <cell r="AW509" t="str">
            <v>H+L</v>
          </cell>
          <cell r="AX509">
            <v>70</v>
          </cell>
          <cell r="AY509">
            <v>50</v>
          </cell>
          <cell r="AZ509" t="str">
            <v>Duplex</v>
          </cell>
          <cell r="BA509">
            <v>1</v>
          </cell>
          <cell r="BB509" t="str">
            <v>568 - Without Partition</v>
          </cell>
          <cell r="BC509" t="str">
            <v xml:space="preserve">Without Partition </v>
          </cell>
          <cell r="BD509" t="str">
            <v>Slant</v>
          </cell>
          <cell r="BE509" t="str">
            <v xml:space="preserve">Without Partition </v>
          </cell>
          <cell r="BF509" t="str">
            <v>PINK</v>
          </cell>
          <cell r="BG509">
            <v>2500000</v>
          </cell>
          <cell r="BH509">
            <v>2650000</v>
          </cell>
          <cell r="BI509">
            <v>100000</v>
          </cell>
          <cell r="BJ509">
            <v>2550000</v>
          </cell>
          <cell r="BK509">
            <v>0</v>
          </cell>
          <cell r="BL509">
            <v>2550000</v>
          </cell>
        </row>
        <row r="510">
          <cell r="D510" t="str">
            <v>OS</v>
          </cell>
          <cell r="E510"/>
          <cell r="F510">
            <v>490</v>
          </cell>
          <cell r="G510" t="str">
            <v>SOLD</v>
          </cell>
          <cell r="H510" t="str">
            <v>OS</v>
          </cell>
          <cell r="I510" t="str">
            <v>OS</v>
          </cell>
          <cell r="J510" t="str">
            <v>OS</v>
          </cell>
          <cell r="K510" t="str">
            <v>OS</v>
          </cell>
          <cell r="L510" t="str">
            <v>OS</v>
          </cell>
          <cell r="M510" t="str">
            <v>OS</v>
          </cell>
          <cell r="N510" t="str">
            <v>OS</v>
          </cell>
          <cell r="O510" t="str">
            <v>OS</v>
          </cell>
          <cell r="P510" t="str">
            <v>OS</v>
          </cell>
          <cell r="Q510" t="str">
            <v>OS</v>
          </cell>
          <cell r="R510" t="str">
            <v>OS</v>
          </cell>
          <cell r="S510" t="str">
            <v>OS</v>
          </cell>
          <cell r="T510" t="str">
            <v>OS</v>
          </cell>
          <cell r="U510" t="str">
            <v>OS</v>
          </cell>
          <cell r="V510" t="str">
            <v>OS</v>
          </cell>
          <cell r="W510" t="str">
            <v>OS</v>
          </cell>
          <cell r="X510" t="str">
            <v>OS</v>
          </cell>
          <cell r="Y510" t="str">
            <v>OS</v>
          </cell>
          <cell r="Z510" t="str">
            <v>OS</v>
          </cell>
          <cell r="AA510" t="str">
            <v>OS</v>
          </cell>
          <cell r="AB510" t="str">
            <v>OS</v>
          </cell>
          <cell r="AC510" t="str">
            <v>OS</v>
          </cell>
          <cell r="AD510" t="str">
            <v>AGM-01-025-013</v>
          </cell>
          <cell r="AE510" t="str">
            <v xml:space="preserve">Raemulan Lands, Inc. </v>
          </cell>
          <cell r="AF510" t="str">
            <v>Agapeya</v>
          </cell>
          <cell r="AG510" t="str">
            <v>AGM</v>
          </cell>
          <cell r="AH510" t="str">
            <v>Eco-High</v>
          </cell>
          <cell r="AI510" t="str">
            <v>West</v>
          </cell>
          <cell r="AJ510" t="str">
            <v>With LTS</v>
          </cell>
          <cell r="AK510" t="str">
            <v>Unaffected lots</v>
          </cell>
          <cell r="AL510" t="str">
            <v>Unaffected lots</v>
          </cell>
          <cell r="AM510" t="b">
            <v>1</v>
          </cell>
          <cell r="AN510" t="str">
            <v>YES</v>
          </cell>
          <cell r="AO510" t="str">
            <v>B1 2025</v>
          </cell>
          <cell r="AP510">
            <v>70</v>
          </cell>
          <cell r="AQ510" t="str">
            <v>PCS-04-034298</v>
          </cell>
          <cell r="AR510" t="b">
            <v>1</v>
          </cell>
          <cell r="AS510" t="str">
            <v>Done</v>
          </cell>
          <cell r="AT510" t="str">
            <v>2025 - Batch 1</v>
          </cell>
          <cell r="AU510">
            <v>25</v>
          </cell>
          <cell r="AV510">
            <v>13</v>
          </cell>
          <cell r="AW510" t="str">
            <v>H+L</v>
          </cell>
          <cell r="AX510">
            <v>70</v>
          </cell>
          <cell r="AY510">
            <v>50</v>
          </cell>
          <cell r="AZ510" t="str">
            <v>Duplex</v>
          </cell>
          <cell r="BA510">
            <v>1</v>
          </cell>
          <cell r="BB510" t="str">
            <v>568 - Without Partition</v>
          </cell>
          <cell r="BC510" t="str">
            <v xml:space="preserve">Without Partition </v>
          </cell>
          <cell r="BD510" t="str">
            <v>Slant</v>
          </cell>
          <cell r="BE510" t="str">
            <v xml:space="preserve">Without Partition </v>
          </cell>
          <cell r="BF510" t="str">
            <v>PINK</v>
          </cell>
          <cell r="BG510">
            <v>2500000</v>
          </cell>
          <cell r="BH510">
            <v>2650000</v>
          </cell>
          <cell r="BI510">
            <v>100000</v>
          </cell>
          <cell r="BJ510">
            <v>2550000</v>
          </cell>
          <cell r="BK510">
            <v>0</v>
          </cell>
          <cell r="BL510">
            <v>2550000</v>
          </cell>
        </row>
        <row r="511">
          <cell r="D511" t="str">
            <v>OS</v>
          </cell>
          <cell r="E511"/>
          <cell r="F511">
            <v>491</v>
          </cell>
          <cell r="G511" t="str">
            <v>SOLD</v>
          </cell>
          <cell r="H511" t="str">
            <v>OS</v>
          </cell>
          <cell r="I511" t="str">
            <v>OS</v>
          </cell>
          <cell r="J511" t="str">
            <v>OS</v>
          </cell>
          <cell r="K511" t="str">
            <v>OS</v>
          </cell>
          <cell r="L511" t="str">
            <v>OS</v>
          </cell>
          <cell r="M511" t="str">
            <v>OS</v>
          </cell>
          <cell r="N511" t="str">
            <v>OS</v>
          </cell>
          <cell r="O511" t="str">
            <v>OS</v>
          </cell>
          <cell r="P511" t="str">
            <v>OS</v>
          </cell>
          <cell r="Q511" t="str">
            <v>OS</v>
          </cell>
          <cell r="R511" t="str">
            <v>OS</v>
          </cell>
          <cell r="S511" t="str">
            <v>OS</v>
          </cell>
          <cell r="T511" t="str">
            <v>OS</v>
          </cell>
          <cell r="U511" t="str">
            <v>OS</v>
          </cell>
          <cell r="V511" t="str">
            <v>OS</v>
          </cell>
          <cell r="W511" t="str">
            <v>OS</v>
          </cell>
          <cell r="X511" t="str">
            <v>OS</v>
          </cell>
          <cell r="Y511" t="str">
            <v>OS</v>
          </cell>
          <cell r="Z511" t="str">
            <v>OS</v>
          </cell>
          <cell r="AA511" t="str">
            <v>OS</v>
          </cell>
          <cell r="AB511" t="str">
            <v>OS</v>
          </cell>
          <cell r="AC511" t="str">
            <v>OS</v>
          </cell>
          <cell r="AD511" t="str">
            <v>AGM-01-025-014</v>
          </cell>
          <cell r="AE511" t="str">
            <v xml:space="preserve">Raemulan Lands, Inc. </v>
          </cell>
          <cell r="AF511" t="str">
            <v>Agapeya</v>
          </cell>
          <cell r="AG511" t="str">
            <v>AGM</v>
          </cell>
          <cell r="AH511" t="str">
            <v>Eco-High</v>
          </cell>
          <cell r="AI511" t="str">
            <v>West</v>
          </cell>
          <cell r="AJ511" t="str">
            <v>With LTS</v>
          </cell>
          <cell r="AK511" t="str">
            <v>Unaffected lots</v>
          </cell>
          <cell r="AL511" t="str">
            <v>Unaffected lots</v>
          </cell>
          <cell r="AM511" t="b">
            <v>0</v>
          </cell>
          <cell r="AN511" t="str">
            <v>NO</v>
          </cell>
          <cell r="AO511" t="str">
            <v>B1 2025</v>
          </cell>
          <cell r="AP511">
            <v>70</v>
          </cell>
          <cell r="AQ511" t="str">
            <v>PCS-04-035871</v>
          </cell>
          <cell r="AR511" t="b">
            <v>1</v>
          </cell>
          <cell r="AS511" t="str">
            <v>Done</v>
          </cell>
          <cell r="AT511" t="str">
            <v>2025 - Batch 1</v>
          </cell>
          <cell r="AU511">
            <v>25</v>
          </cell>
          <cell r="AV511">
            <v>14</v>
          </cell>
          <cell r="AW511" t="str">
            <v>H+L</v>
          </cell>
          <cell r="AX511">
            <v>70</v>
          </cell>
          <cell r="AY511">
            <v>50</v>
          </cell>
          <cell r="AZ511" t="str">
            <v>Duplex</v>
          </cell>
          <cell r="BA511">
            <v>1</v>
          </cell>
          <cell r="BB511" t="str">
            <v>568 - Without Partition</v>
          </cell>
          <cell r="BC511" t="str">
            <v xml:space="preserve">Without Partition </v>
          </cell>
          <cell r="BD511" t="str">
            <v>Flat</v>
          </cell>
          <cell r="BE511" t="str">
            <v xml:space="preserve">Without Partition </v>
          </cell>
          <cell r="BF511" t="str">
            <v>PINK</v>
          </cell>
          <cell r="BG511">
            <v>2500000</v>
          </cell>
          <cell r="BH511">
            <v>2650000</v>
          </cell>
          <cell r="BI511">
            <v>100000</v>
          </cell>
          <cell r="BJ511">
            <v>2550000</v>
          </cell>
          <cell r="BK511">
            <v>0</v>
          </cell>
          <cell r="BL511">
            <v>2550000</v>
          </cell>
        </row>
        <row r="512">
          <cell r="D512" t="str">
            <v>OS</v>
          </cell>
          <cell r="E512"/>
          <cell r="F512">
            <v>492</v>
          </cell>
          <cell r="G512" t="str">
            <v>SOLD</v>
          </cell>
          <cell r="H512" t="str">
            <v>OS</v>
          </cell>
          <cell r="I512" t="str">
            <v>OS</v>
          </cell>
          <cell r="J512" t="str">
            <v>OS</v>
          </cell>
          <cell r="K512" t="str">
            <v>OS</v>
          </cell>
          <cell r="L512" t="str">
            <v>OS</v>
          </cell>
          <cell r="M512" t="str">
            <v>OS</v>
          </cell>
          <cell r="N512" t="str">
            <v>OS</v>
          </cell>
          <cell r="O512" t="str">
            <v>OS</v>
          </cell>
          <cell r="P512" t="str">
            <v>OS</v>
          </cell>
          <cell r="Q512" t="str">
            <v>OS</v>
          </cell>
          <cell r="R512" t="str">
            <v>OS</v>
          </cell>
          <cell r="S512" t="str">
            <v>OS</v>
          </cell>
          <cell r="T512" t="str">
            <v>OS</v>
          </cell>
          <cell r="U512" t="str">
            <v>OS</v>
          </cell>
          <cell r="V512" t="str">
            <v>OS</v>
          </cell>
          <cell r="W512" t="str">
            <v>OS</v>
          </cell>
          <cell r="X512" t="str">
            <v>OS</v>
          </cell>
          <cell r="Y512" t="str">
            <v>OS</v>
          </cell>
          <cell r="Z512" t="str">
            <v>OS</v>
          </cell>
          <cell r="AA512" t="str">
            <v>OS</v>
          </cell>
          <cell r="AB512" t="str">
            <v>OS</v>
          </cell>
          <cell r="AC512" t="str">
            <v>OS</v>
          </cell>
          <cell r="AD512" t="str">
            <v>AGM-01-025-015</v>
          </cell>
          <cell r="AE512" t="str">
            <v xml:space="preserve">Raemulan Lands, Inc. </v>
          </cell>
          <cell r="AF512" t="str">
            <v>Agapeya</v>
          </cell>
          <cell r="AG512" t="str">
            <v>AGM</v>
          </cell>
          <cell r="AH512" t="str">
            <v>Eco-High</v>
          </cell>
          <cell r="AI512" t="str">
            <v>West</v>
          </cell>
          <cell r="AJ512" t="str">
            <v>With LTS</v>
          </cell>
          <cell r="AK512" t="str">
            <v>Unaffected lots</v>
          </cell>
          <cell r="AL512" t="str">
            <v>Unaffected lots</v>
          </cell>
          <cell r="AM512" t="b">
            <v>1</v>
          </cell>
          <cell r="AN512" t="str">
            <v>YES</v>
          </cell>
          <cell r="AO512" t="str">
            <v>B1 2025</v>
          </cell>
          <cell r="AP512">
            <v>70</v>
          </cell>
          <cell r="AQ512" t="str">
            <v>PCS-04-276764</v>
          </cell>
          <cell r="AR512" t="b">
            <v>1</v>
          </cell>
          <cell r="AS512" t="str">
            <v>Done</v>
          </cell>
          <cell r="AT512" t="str">
            <v>2025 - Batch 2</v>
          </cell>
          <cell r="AU512">
            <v>25</v>
          </cell>
          <cell r="AV512">
            <v>15</v>
          </cell>
          <cell r="AW512" t="str">
            <v>H+L</v>
          </cell>
          <cell r="AX512">
            <v>70</v>
          </cell>
          <cell r="AY512">
            <v>50</v>
          </cell>
          <cell r="AZ512" t="str">
            <v>Duplex</v>
          </cell>
          <cell r="BA512">
            <v>1</v>
          </cell>
          <cell r="BB512" t="str">
            <v>568 - Without Partition</v>
          </cell>
          <cell r="BC512" t="str">
            <v xml:space="preserve">Without Partition </v>
          </cell>
          <cell r="BD512" t="str">
            <v>Flat</v>
          </cell>
          <cell r="BE512" t="str">
            <v xml:space="preserve">Without Partition </v>
          </cell>
          <cell r="BF512" t="str">
            <v>YELLOW</v>
          </cell>
          <cell r="BG512">
            <v>2500000</v>
          </cell>
          <cell r="BH512">
            <v>2650000</v>
          </cell>
          <cell r="BI512">
            <v>100000</v>
          </cell>
          <cell r="BJ512">
            <v>2550000</v>
          </cell>
          <cell r="BK512">
            <v>0</v>
          </cell>
          <cell r="BL512">
            <v>2550000</v>
          </cell>
        </row>
        <row r="513">
          <cell r="D513" t="str">
            <v>OS</v>
          </cell>
          <cell r="E513"/>
          <cell r="F513">
            <v>493</v>
          </cell>
          <cell r="G513" t="str">
            <v>SOLD</v>
          </cell>
          <cell r="H513" t="str">
            <v>OS</v>
          </cell>
          <cell r="I513" t="str">
            <v>OS</v>
          </cell>
          <cell r="J513" t="str">
            <v>OS</v>
          </cell>
          <cell r="K513" t="str">
            <v>OS</v>
          </cell>
          <cell r="L513" t="str">
            <v>OS</v>
          </cell>
          <cell r="M513" t="str">
            <v>OS</v>
          </cell>
          <cell r="N513" t="str">
            <v>OS</v>
          </cell>
          <cell r="O513" t="str">
            <v>OS</v>
          </cell>
          <cell r="P513" t="str">
            <v>OS</v>
          </cell>
          <cell r="Q513" t="str">
            <v>OS</v>
          </cell>
          <cell r="R513" t="str">
            <v>OS</v>
          </cell>
          <cell r="S513" t="str">
            <v>OS</v>
          </cell>
          <cell r="T513" t="str">
            <v>OS</v>
          </cell>
          <cell r="U513" t="str">
            <v>OS</v>
          </cell>
          <cell r="V513" t="str">
            <v>OS</v>
          </cell>
          <cell r="W513" t="str">
            <v>OS</v>
          </cell>
          <cell r="X513" t="str">
            <v>OS</v>
          </cell>
          <cell r="Y513" t="str">
            <v>OS</v>
          </cell>
          <cell r="Z513" t="str">
            <v>OS</v>
          </cell>
          <cell r="AA513" t="str">
            <v>OS</v>
          </cell>
          <cell r="AB513" t="str">
            <v>OS</v>
          </cell>
          <cell r="AC513" t="str">
            <v>OS</v>
          </cell>
          <cell r="AD513" t="str">
            <v>AGM-01-025-016</v>
          </cell>
          <cell r="AE513" t="str">
            <v xml:space="preserve">Raemulan Lands, Inc. </v>
          </cell>
          <cell r="AF513" t="str">
            <v>Agapeya</v>
          </cell>
          <cell r="AG513" t="str">
            <v>AGM</v>
          </cell>
          <cell r="AH513" t="str">
            <v>Eco-High</v>
          </cell>
          <cell r="AI513" t="str">
            <v>West</v>
          </cell>
          <cell r="AJ513" t="str">
            <v>With LTS</v>
          </cell>
          <cell r="AK513" t="str">
            <v>Unaffected lots</v>
          </cell>
          <cell r="AL513" t="str">
            <v>Unaffected lots</v>
          </cell>
          <cell r="AM513" t="b">
            <v>1</v>
          </cell>
          <cell r="AN513" t="str">
            <v>YES</v>
          </cell>
          <cell r="AO513" t="str">
            <v>B1 2025</v>
          </cell>
          <cell r="AP513">
            <v>70</v>
          </cell>
          <cell r="AQ513" t="str">
            <v>PCS-04-276764</v>
          </cell>
          <cell r="AR513" t="b">
            <v>1</v>
          </cell>
          <cell r="AS513" t="str">
            <v>Done</v>
          </cell>
          <cell r="AT513" t="str">
            <v>2025 - Batch 2</v>
          </cell>
          <cell r="AU513">
            <v>25</v>
          </cell>
          <cell r="AV513">
            <v>16</v>
          </cell>
          <cell r="AW513" t="str">
            <v>H+L</v>
          </cell>
          <cell r="AX513">
            <v>70</v>
          </cell>
          <cell r="AY513">
            <v>50</v>
          </cell>
          <cell r="AZ513" t="str">
            <v>Duplex</v>
          </cell>
          <cell r="BA513">
            <v>1</v>
          </cell>
          <cell r="BB513" t="str">
            <v>568 - Without Partition</v>
          </cell>
          <cell r="BC513" t="str">
            <v xml:space="preserve">Without Partition </v>
          </cell>
          <cell r="BD513" t="str">
            <v>Slant</v>
          </cell>
          <cell r="BE513" t="str">
            <v xml:space="preserve">Without Partition </v>
          </cell>
          <cell r="BF513" t="str">
            <v>YELLOW</v>
          </cell>
          <cell r="BG513">
            <v>2500000</v>
          </cell>
          <cell r="BH513">
            <v>2650000</v>
          </cell>
          <cell r="BI513">
            <v>100000</v>
          </cell>
          <cell r="BJ513">
            <v>2550000</v>
          </cell>
          <cell r="BK513">
            <v>0</v>
          </cell>
          <cell r="BL513">
            <v>2550000</v>
          </cell>
        </row>
        <row r="514">
          <cell r="D514" t="str">
            <v>OS</v>
          </cell>
          <cell r="E514"/>
          <cell r="F514">
            <v>494</v>
          </cell>
          <cell r="G514" t="str">
            <v>SOLD</v>
          </cell>
          <cell r="H514" t="str">
            <v>OS</v>
          </cell>
          <cell r="I514" t="str">
            <v>OS</v>
          </cell>
          <cell r="J514" t="str">
            <v>OS</v>
          </cell>
          <cell r="K514" t="str">
            <v>OS</v>
          </cell>
          <cell r="L514" t="str">
            <v>OS</v>
          </cell>
          <cell r="M514" t="str">
            <v>OS</v>
          </cell>
          <cell r="N514" t="str">
            <v>OS</v>
          </cell>
          <cell r="O514" t="str">
            <v>OS</v>
          </cell>
          <cell r="P514" t="str">
            <v>OS</v>
          </cell>
          <cell r="Q514" t="str">
            <v>OS</v>
          </cell>
          <cell r="R514" t="str">
            <v>OS</v>
          </cell>
          <cell r="S514" t="str">
            <v>OS</v>
          </cell>
          <cell r="T514" t="str">
            <v>OS</v>
          </cell>
          <cell r="U514" t="str">
            <v>OS</v>
          </cell>
          <cell r="V514" t="str">
            <v>OS</v>
          </cell>
          <cell r="W514" t="str">
            <v>OS</v>
          </cell>
          <cell r="X514" t="str">
            <v>OS</v>
          </cell>
          <cell r="Y514" t="str">
            <v>OS</v>
          </cell>
          <cell r="Z514" t="str">
            <v>OS</v>
          </cell>
          <cell r="AA514" t="str">
            <v>OS</v>
          </cell>
          <cell r="AB514" t="str">
            <v>OS</v>
          </cell>
          <cell r="AC514" t="str">
            <v>OS</v>
          </cell>
          <cell r="AD514" t="str">
            <v>AGM-01-025-017</v>
          </cell>
          <cell r="AE514" t="str">
            <v xml:space="preserve">Raemulan Lands, Inc. </v>
          </cell>
          <cell r="AF514" t="str">
            <v>Agapeya</v>
          </cell>
          <cell r="AG514" t="str">
            <v>AGM</v>
          </cell>
          <cell r="AH514" t="str">
            <v>Eco-High</v>
          </cell>
          <cell r="AI514" t="str">
            <v>West</v>
          </cell>
          <cell r="AJ514" t="str">
            <v>With LTS</v>
          </cell>
          <cell r="AK514" t="str">
            <v>Unaffected lots</v>
          </cell>
          <cell r="AL514" t="str">
            <v>Unaffected lots</v>
          </cell>
          <cell r="AM514" t="b">
            <v>1</v>
          </cell>
          <cell r="AN514" t="str">
            <v>YES</v>
          </cell>
          <cell r="AO514" t="str">
            <v>B1 2025</v>
          </cell>
          <cell r="AP514">
            <v>70</v>
          </cell>
          <cell r="AQ514" t="str">
            <v>PCS-04-276764</v>
          </cell>
          <cell r="AR514" t="b">
            <v>1</v>
          </cell>
          <cell r="AS514" t="str">
            <v>Done</v>
          </cell>
          <cell r="AT514" t="str">
            <v>2025 - Batch 2</v>
          </cell>
          <cell r="AU514">
            <v>25</v>
          </cell>
          <cell r="AV514">
            <v>17</v>
          </cell>
          <cell r="AW514" t="str">
            <v>H+L</v>
          </cell>
          <cell r="AX514">
            <v>70</v>
          </cell>
          <cell r="AY514">
            <v>50</v>
          </cell>
          <cell r="AZ514" t="str">
            <v>Duplex</v>
          </cell>
          <cell r="BA514">
            <v>1</v>
          </cell>
          <cell r="BB514" t="str">
            <v>568 - Without Partition</v>
          </cell>
          <cell r="BC514" t="str">
            <v xml:space="preserve">Without Partition </v>
          </cell>
          <cell r="BD514" t="str">
            <v>Slant</v>
          </cell>
          <cell r="BE514" t="str">
            <v xml:space="preserve">Without Partition </v>
          </cell>
          <cell r="BF514" t="str">
            <v>YELLOW</v>
          </cell>
          <cell r="BG514">
            <v>2500000</v>
          </cell>
          <cell r="BH514">
            <v>2650000</v>
          </cell>
          <cell r="BI514">
            <v>100000</v>
          </cell>
          <cell r="BJ514">
            <v>2550000</v>
          </cell>
          <cell r="BK514">
            <v>0</v>
          </cell>
          <cell r="BL514">
            <v>2550000</v>
          </cell>
        </row>
        <row r="515">
          <cell r="D515" t="str">
            <v>OS</v>
          </cell>
          <cell r="E515"/>
          <cell r="F515">
            <v>495</v>
          </cell>
          <cell r="G515" t="str">
            <v>SOLD</v>
          </cell>
          <cell r="H515" t="str">
            <v>OS</v>
          </cell>
          <cell r="I515" t="str">
            <v>OS</v>
          </cell>
          <cell r="J515" t="str">
            <v>OS</v>
          </cell>
          <cell r="K515" t="str">
            <v>OS</v>
          </cell>
          <cell r="L515" t="str">
            <v>OS</v>
          </cell>
          <cell r="M515" t="str">
            <v>OS</v>
          </cell>
          <cell r="N515" t="str">
            <v>OS</v>
          </cell>
          <cell r="O515" t="str">
            <v>OS</v>
          </cell>
          <cell r="P515" t="str">
            <v>OS</v>
          </cell>
          <cell r="Q515" t="str">
            <v>OS</v>
          </cell>
          <cell r="R515" t="str">
            <v>OS</v>
          </cell>
          <cell r="S515" t="str">
            <v>OS</v>
          </cell>
          <cell r="T515" t="str">
            <v>OS</v>
          </cell>
          <cell r="U515" t="str">
            <v>OS</v>
          </cell>
          <cell r="V515" t="str">
            <v>OS</v>
          </cell>
          <cell r="W515" t="str">
            <v>OS</v>
          </cell>
          <cell r="X515" t="str">
            <v>OS</v>
          </cell>
          <cell r="Y515" t="str">
            <v>OS</v>
          </cell>
          <cell r="Z515" t="str">
            <v>OS</v>
          </cell>
          <cell r="AA515" t="str">
            <v>OS</v>
          </cell>
          <cell r="AB515" t="str">
            <v>OS</v>
          </cell>
          <cell r="AC515" t="str">
            <v>OS</v>
          </cell>
          <cell r="AD515" t="str">
            <v>AGM-01-025-018</v>
          </cell>
          <cell r="AE515" t="str">
            <v xml:space="preserve">Raemulan Lands, Inc. </v>
          </cell>
          <cell r="AF515" t="str">
            <v>Agapeya</v>
          </cell>
          <cell r="AG515" t="str">
            <v>AGM</v>
          </cell>
          <cell r="AH515" t="str">
            <v>Eco-High</v>
          </cell>
          <cell r="AI515" t="str">
            <v>West</v>
          </cell>
          <cell r="AJ515" t="str">
            <v>With LTS</v>
          </cell>
          <cell r="AK515" t="str">
            <v>Unaffected lots</v>
          </cell>
          <cell r="AL515" t="str">
            <v>Unaffected lots</v>
          </cell>
          <cell r="AM515" t="b">
            <v>1</v>
          </cell>
          <cell r="AN515" t="str">
            <v>YES</v>
          </cell>
          <cell r="AO515" t="str">
            <v>B1 2025</v>
          </cell>
          <cell r="AP515">
            <v>70</v>
          </cell>
          <cell r="AQ515" t="str">
            <v>PCS-04-276764</v>
          </cell>
          <cell r="AR515" t="b">
            <v>1</v>
          </cell>
          <cell r="AS515" t="str">
            <v>Done</v>
          </cell>
          <cell r="AT515" t="str">
            <v>2025 - Batch 2</v>
          </cell>
          <cell r="AU515">
            <v>25</v>
          </cell>
          <cell r="AV515">
            <v>18</v>
          </cell>
          <cell r="AW515" t="str">
            <v>H+L</v>
          </cell>
          <cell r="AX515">
            <v>70</v>
          </cell>
          <cell r="AY515">
            <v>50</v>
          </cell>
          <cell r="AZ515" t="str">
            <v>Duplex</v>
          </cell>
          <cell r="BA515">
            <v>1</v>
          </cell>
          <cell r="BB515" t="str">
            <v>568 - Without Partition</v>
          </cell>
          <cell r="BC515" t="str">
            <v xml:space="preserve">Without Partition </v>
          </cell>
          <cell r="BD515" t="str">
            <v>Flat</v>
          </cell>
          <cell r="BE515" t="str">
            <v xml:space="preserve">Without Partition </v>
          </cell>
          <cell r="BF515" t="str">
            <v>YELLOW</v>
          </cell>
          <cell r="BG515">
            <v>2500000</v>
          </cell>
          <cell r="BH515">
            <v>2650000</v>
          </cell>
          <cell r="BI515">
            <v>100000</v>
          </cell>
          <cell r="BJ515">
            <v>2550000</v>
          </cell>
          <cell r="BK515">
            <v>0</v>
          </cell>
          <cell r="BL515">
            <v>2550000</v>
          </cell>
        </row>
        <row r="516">
          <cell r="D516" t="str">
            <v>OS</v>
          </cell>
          <cell r="E516"/>
          <cell r="F516">
            <v>496</v>
          </cell>
          <cell r="G516" t="str">
            <v>UNSOLD</v>
          </cell>
          <cell r="H516" t="str">
            <v>TS</v>
          </cell>
          <cell r="I516" t="str">
            <v>TS</v>
          </cell>
          <cell r="J516" t="str">
            <v>TS</v>
          </cell>
          <cell r="K516" t="str">
            <v>TS</v>
          </cell>
          <cell r="L516" t="str">
            <v>TS</v>
          </cell>
          <cell r="M516" t="str">
            <v>TS</v>
          </cell>
          <cell r="N516" t="str">
            <v>TS</v>
          </cell>
          <cell r="O516" t="str">
            <v>TS</v>
          </cell>
          <cell r="P516" t="str">
            <v>OS</v>
          </cell>
          <cell r="Q516" t="str">
            <v>OS</v>
          </cell>
          <cell r="R516" t="str">
            <v>OS</v>
          </cell>
          <cell r="S516" t="str">
            <v>OS</v>
          </cell>
          <cell r="T516" t="str">
            <v>OS</v>
          </cell>
          <cell r="U516" t="str">
            <v>OS</v>
          </cell>
          <cell r="V516" t="str">
            <v>OS</v>
          </cell>
          <cell r="W516" t="str">
            <v>OS</v>
          </cell>
          <cell r="X516" t="str">
            <v>OS</v>
          </cell>
          <cell r="Y516" t="str">
            <v>OS</v>
          </cell>
          <cell r="Z516" t="str">
            <v>OS</v>
          </cell>
          <cell r="AA516" t="str">
            <v>OS</v>
          </cell>
          <cell r="AB516" t="str">
            <v>OS</v>
          </cell>
          <cell r="AC516" t="str">
            <v>OS</v>
          </cell>
          <cell r="AD516" t="str">
            <v>AGM-01-025-019</v>
          </cell>
          <cell r="AE516" t="str">
            <v xml:space="preserve">Raemulan Lands, Inc. </v>
          </cell>
          <cell r="AF516" t="str">
            <v>Agapeya</v>
          </cell>
          <cell r="AG516" t="str">
            <v>AGM</v>
          </cell>
          <cell r="AH516" t="str">
            <v>Eco-High</v>
          </cell>
          <cell r="AI516" t="str">
            <v>West</v>
          </cell>
          <cell r="AJ516" t="str">
            <v>With LTS</v>
          </cell>
          <cell r="AK516" t="str">
            <v>Unaffected lots</v>
          </cell>
          <cell r="AL516" t="str">
            <v>Unaffected lots</v>
          </cell>
          <cell r="AM516" t="b">
            <v>1</v>
          </cell>
          <cell r="AN516" t="str">
            <v>YES</v>
          </cell>
          <cell r="AO516" t="str">
            <v>B1 2025</v>
          </cell>
          <cell r="AP516">
            <v>70</v>
          </cell>
          <cell r="AQ516" t="str">
            <v>PCS-04-276764</v>
          </cell>
          <cell r="AR516" t="b">
            <v>1</v>
          </cell>
          <cell r="AS516" t="str">
            <v>Done</v>
          </cell>
          <cell r="AT516" t="str">
            <v>2025 - Batch 2</v>
          </cell>
          <cell r="AU516">
            <v>25</v>
          </cell>
          <cell r="AV516">
            <v>19</v>
          </cell>
          <cell r="AW516" t="str">
            <v>H+L</v>
          </cell>
          <cell r="AX516">
            <v>70</v>
          </cell>
          <cell r="AY516">
            <v>50</v>
          </cell>
          <cell r="AZ516" t="str">
            <v>Duplex</v>
          </cell>
          <cell r="BA516">
            <v>1</v>
          </cell>
          <cell r="BB516" t="str">
            <v>568 - Without Partition</v>
          </cell>
          <cell r="BC516" t="str">
            <v xml:space="preserve">Without Partition </v>
          </cell>
          <cell r="BD516" t="str">
            <v>Flat</v>
          </cell>
          <cell r="BE516" t="str">
            <v xml:space="preserve">Without Partition </v>
          </cell>
          <cell r="BF516" t="str">
            <v>GREEN</v>
          </cell>
          <cell r="BG516">
            <v>2422034.826150645</v>
          </cell>
          <cell r="BH516">
            <v>2650000</v>
          </cell>
          <cell r="BI516">
            <v>100000</v>
          </cell>
          <cell r="BJ516">
            <v>2550000</v>
          </cell>
          <cell r="BK516">
            <v>0</v>
          </cell>
          <cell r="BL516">
            <v>2550000</v>
          </cell>
        </row>
        <row r="517">
          <cell r="D517" t="str">
            <v>OS</v>
          </cell>
          <cell r="E517"/>
          <cell r="F517">
            <v>497</v>
          </cell>
          <cell r="G517" t="str">
            <v>SOLD</v>
          </cell>
          <cell r="H517" t="str">
            <v>FOR CANCELLATION</v>
          </cell>
          <cell r="I517" t="str">
            <v>FOR CANCELLATION</v>
          </cell>
          <cell r="J517" t="str">
            <v>FOR CANCELLATION</v>
          </cell>
          <cell r="K517" t="str">
            <v>TS</v>
          </cell>
          <cell r="L517" t="str">
            <v>TS</v>
          </cell>
          <cell r="M517" t="str">
            <v>FOR CANCELLATION</v>
          </cell>
          <cell r="N517" t="str">
            <v>OS</v>
          </cell>
          <cell r="O517" t="str">
            <v>OS</v>
          </cell>
          <cell r="P517" t="str">
            <v>OS</v>
          </cell>
          <cell r="Q517" t="str">
            <v>OS</v>
          </cell>
          <cell r="R517" t="str">
            <v>OS</v>
          </cell>
          <cell r="S517" t="str">
            <v>OS</v>
          </cell>
          <cell r="T517" t="str">
            <v>OS</v>
          </cell>
          <cell r="U517" t="str">
            <v>OS</v>
          </cell>
          <cell r="V517" t="str">
            <v>OS</v>
          </cell>
          <cell r="W517" t="str">
            <v>OS</v>
          </cell>
          <cell r="X517" t="str">
            <v>OS</v>
          </cell>
          <cell r="Y517" t="str">
            <v>OS</v>
          </cell>
          <cell r="Z517" t="str">
            <v>OS</v>
          </cell>
          <cell r="AA517" t="str">
            <v>OS</v>
          </cell>
          <cell r="AB517" t="str">
            <v>OS</v>
          </cell>
          <cell r="AC517" t="str">
            <v>OS</v>
          </cell>
          <cell r="AD517" t="str">
            <v>AGM-01-025-020</v>
          </cell>
          <cell r="AE517" t="str">
            <v xml:space="preserve">Raemulan Lands, Inc. </v>
          </cell>
          <cell r="AF517" t="str">
            <v>Agapeya</v>
          </cell>
          <cell r="AG517" t="str">
            <v>AGM</v>
          </cell>
          <cell r="AH517" t="str">
            <v>Eco-High</v>
          </cell>
          <cell r="AI517" t="str">
            <v>West</v>
          </cell>
          <cell r="AJ517" t="str">
            <v>With LTS</v>
          </cell>
          <cell r="AK517" t="str">
            <v>Unaffected lots</v>
          </cell>
          <cell r="AL517" t="str">
            <v>Unaffected lots</v>
          </cell>
          <cell r="AM517" t="b">
            <v>1</v>
          </cell>
          <cell r="AN517" t="str">
            <v>YES</v>
          </cell>
          <cell r="AO517" t="str">
            <v>B1 2025</v>
          </cell>
          <cell r="AP517">
            <v>70</v>
          </cell>
          <cell r="AQ517" t="str">
            <v>PCS-04-276764</v>
          </cell>
          <cell r="AR517" t="b">
            <v>1</v>
          </cell>
          <cell r="AS517" t="str">
            <v>Done</v>
          </cell>
          <cell r="AT517" t="str">
            <v>2025 - Batch 2</v>
          </cell>
          <cell r="AU517">
            <v>25</v>
          </cell>
          <cell r="AV517">
            <v>20</v>
          </cell>
          <cell r="AW517" t="str">
            <v>H+L</v>
          </cell>
          <cell r="AX517">
            <v>70</v>
          </cell>
          <cell r="AY517">
            <v>50</v>
          </cell>
          <cell r="AZ517" t="str">
            <v>Duplex</v>
          </cell>
          <cell r="BA517">
            <v>1</v>
          </cell>
          <cell r="BB517" t="str">
            <v>568 - Without Partition</v>
          </cell>
          <cell r="BC517" t="str">
            <v xml:space="preserve">Without Partition </v>
          </cell>
          <cell r="BD517" t="str">
            <v>Slant</v>
          </cell>
          <cell r="BE517" t="str">
            <v xml:space="preserve">Without Partition </v>
          </cell>
          <cell r="BF517" t="str">
            <v>GREEN</v>
          </cell>
          <cell r="BG517">
            <v>2500000</v>
          </cell>
          <cell r="BH517">
            <v>2650000</v>
          </cell>
          <cell r="BI517">
            <v>100000</v>
          </cell>
          <cell r="BJ517">
            <v>2550000</v>
          </cell>
          <cell r="BK517">
            <v>0</v>
          </cell>
          <cell r="BL517">
            <v>2550000</v>
          </cell>
        </row>
        <row r="518">
          <cell r="D518" t="str">
            <v>OS</v>
          </cell>
          <cell r="E518"/>
          <cell r="F518">
            <v>498</v>
          </cell>
          <cell r="G518" t="str">
            <v>SOLD</v>
          </cell>
          <cell r="H518" t="str">
            <v>OS</v>
          </cell>
          <cell r="I518" t="str">
            <v>OS</v>
          </cell>
          <cell r="J518" t="str">
            <v>OS</v>
          </cell>
          <cell r="K518" t="str">
            <v>OS</v>
          </cell>
          <cell r="L518" t="str">
            <v>OS</v>
          </cell>
          <cell r="M518" t="str">
            <v>OS</v>
          </cell>
          <cell r="N518" t="str">
            <v>OS</v>
          </cell>
          <cell r="O518" t="str">
            <v>OS</v>
          </cell>
          <cell r="P518" t="str">
            <v>OS</v>
          </cell>
          <cell r="Q518" t="str">
            <v>OS</v>
          </cell>
          <cell r="R518" t="str">
            <v>OS</v>
          </cell>
          <cell r="S518" t="str">
            <v>OS</v>
          </cell>
          <cell r="T518" t="str">
            <v>OS</v>
          </cell>
          <cell r="U518" t="str">
            <v>OS</v>
          </cell>
          <cell r="V518" t="str">
            <v>OS</v>
          </cell>
          <cell r="W518" t="str">
            <v>OS</v>
          </cell>
          <cell r="X518" t="str">
            <v>OS</v>
          </cell>
          <cell r="Y518" t="str">
            <v>OS</v>
          </cell>
          <cell r="Z518" t="str">
            <v>OS</v>
          </cell>
          <cell r="AA518" t="str">
            <v>OS</v>
          </cell>
          <cell r="AB518" t="str">
            <v>OS</v>
          </cell>
          <cell r="AC518" t="str">
            <v>OS</v>
          </cell>
          <cell r="AD518" t="str">
            <v>AGM-01-025-021</v>
          </cell>
          <cell r="AE518" t="str">
            <v xml:space="preserve">Raemulan Lands, Inc. </v>
          </cell>
          <cell r="AF518" t="str">
            <v>Agapeya</v>
          </cell>
          <cell r="AG518" t="str">
            <v>AGM</v>
          </cell>
          <cell r="AH518" t="str">
            <v>Eco-High</v>
          </cell>
          <cell r="AI518" t="str">
            <v>West</v>
          </cell>
          <cell r="AJ518" t="str">
            <v>With LTS</v>
          </cell>
          <cell r="AK518" t="str">
            <v>Unaffected lots</v>
          </cell>
          <cell r="AL518" t="str">
            <v>Unaffected lots</v>
          </cell>
          <cell r="AM518" t="b">
            <v>1</v>
          </cell>
          <cell r="AN518" t="str">
            <v>YES</v>
          </cell>
          <cell r="AO518" t="str">
            <v>B1 2025</v>
          </cell>
          <cell r="AP518">
            <v>70</v>
          </cell>
          <cell r="AQ518" t="str">
            <v>PCS-04-276764</v>
          </cell>
          <cell r="AR518" t="b">
            <v>1</v>
          </cell>
          <cell r="AS518" t="str">
            <v>Done</v>
          </cell>
          <cell r="AT518" t="str">
            <v>2025 - Batch 1</v>
          </cell>
          <cell r="AU518">
            <v>25</v>
          </cell>
          <cell r="AV518">
            <v>21</v>
          </cell>
          <cell r="AW518" t="str">
            <v>H+L</v>
          </cell>
          <cell r="AX518">
            <v>70</v>
          </cell>
          <cell r="AY518">
            <v>50</v>
          </cell>
          <cell r="AZ518" t="str">
            <v>Duplex</v>
          </cell>
          <cell r="BA518">
            <v>1</v>
          </cell>
          <cell r="BB518" t="str">
            <v>568 - Without Partition</v>
          </cell>
          <cell r="BC518" t="str">
            <v xml:space="preserve">Without Partition </v>
          </cell>
          <cell r="BD518" t="str">
            <v>Slant</v>
          </cell>
          <cell r="BE518" t="str">
            <v xml:space="preserve">Without Partition </v>
          </cell>
          <cell r="BF518" t="str">
            <v>GREEN</v>
          </cell>
          <cell r="BG518">
            <v>2500000</v>
          </cell>
          <cell r="BH518">
            <v>2650000</v>
          </cell>
          <cell r="BI518">
            <v>100000</v>
          </cell>
          <cell r="BJ518">
            <v>2550000</v>
          </cell>
          <cell r="BK518">
            <v>0</v>
          </cell>
          <cell r="BL518">
            <v>2550000</v>
          </cell>
        </row>
        <row r="519">
          <cell r="D519" t="str">
            <v>OS</v>
          </cell>
          <cell r="E519"/>
          <cell r="F519">
            <v>499</v>
          </cell>
          <cell r="G519" t="str">
            <v>SOLD</v>
          </cell>
          <cell r="H519" t="str">
            <v>OS</v>
          </cell>
          <cell r="I519" t="str">
            <v>OS</v>
          </cell>
          <cell r="J519" t="str">
            <v>OS</v>
          </cell>
          <cell r="K519" t="str">
            <v>OS</v>
          </cell>
          <cell r="L519" t="str">
            <v>OS</v>
          </cell>
          <cell r="M519" t="str">
            <v>OS</v>
          </cell>
          <cell r="N519" t="str">
            <v>OS</v>
          </cell>
          <cell r="O519" t="str">
            <v>OS</v>
          </cell>
          <cell r="P519" t="str">
            <v>OS</v>
          </cell>
          <cell r="Q519" t="str">
            <v>OS</v>
          </cell>
          <cell r="R519" t="str">
            <v>OS</v>
          </cell>
          <cell r="S519" t="str">
            <v>OS</v>
          </cell>
          <cell r="T519" t="str">
            <v>OS</v>
          </cell>
          <cell r="U519" t="str">
            <v>OS</v>
          </cell>
          <cell r="V519" t="str">
            <v>OS</v>
          </cell>
          <cell r="W519" t="str">
            <v>OS</v>
          </cell>
          <cell r="X519" t="str">
            <v>OS</v>
          </cell>
          <cell r="Y519" t="str">
            <v>OS</v>
          </cell>
          <cell r="Z519" t="str">
            <v>OS</v>
          </cell>
          <cell r="AA519" t="str">
            <v>OS</v>
          </cell>
          <cell r="AB519" t="str">
            <v>OS</v>
          </cell>
          <cell r="AC519" t="str">
            <v>OS</v>
          </cell>
          <cell r="AD519" t="str">
            <v>AGM-01-025-022</v>
          </cell>
          <cell r="AE519" t="str">
            <v xml:space="preserve">Raemulan Lands, Inc. </v>
          </cell>
          <cell r="AF519" t="str">
            <v>Agapeya</v>
          </cell>
          <cell r="AG519" t="str">
            <v>AGM</v>
          </cell>
          <cell r="AH519" t="str">
            <v>Eco-High</v>
          </cell>
          <cell r="AI519" t="str">
            <v>West</v>
          </cell>
          <cell r="AJ519" t="str">
            <v>With LTS</v>
          </cell>
          <cell r="AK519" t="str">
            <v>Unaffected lots</v>
          </cell>
          <cell r="AL519" t="str">
            <v>Unaffected lots</v>
          </cell>
          <cell r="AM519" t="b">
            <v>1</v>
          </cell>
          <cell r="AN519" t="str">
            <v>YES</v>
          </cell>
          <cell r="AO519" t="str">
            <v>B1 2025</v>
          </cell>
          <cell r="AP519">
            <v>70</v>
          </cell>
          <cell r="AQ519" t="str">
            <v>PCS-04-276764</v>
          </cell>
          <cell r="AR519" t="b">
            <v>1</v>
          </cell>
          <cell r="AS519" t="str">
            <v>Done</v>
          </cell>
          <cell r="AT519" t="str">
            <v>2025 - Batch 1</v>
          </cell>
          <cell r="AU519">
            <v>25</v>
          </cell>
          <cell r="AV519">
            <v>22</v>
          </cell>
          <cell r="AW519" t="str">
            <v>H+L</v>
          </cell>
          <cell r="AX519">
            <v>70</v>
          </cell>
          <cell r="AY519">
            <v>50</v>
          </cell>
          <cell r="AZ519" t="str">
            <v>Duplex</v>
          </cell>
          <cell r="BA519">
            <v>1</v>
          </cell>
          <cell r="BB519" t="str">
            <v>568 - Without Partition</v>
          </cell>
          <cell r="BC519" t="str">
            <v xml:space="preserve">Without Partition </v>
          </cell>
          <cell r="BD519" t="str">
            <v>Flat</v>
          </cell>
          <cell r="BE519" t="str">
            <v xml:space="preserve">Without Partition </v>
          </cell>
          <cell r="BF519" t="str">
            <v>GREEN</v>
          </cell>
          <cell r="BG519">
            <v>2500000</v>
          </cell>
          <cell r="BH519">
            <v>2650000</v>
          </cell>
          <cell r="BI519">
            <v>100000</v>
          </cell>
          <cell r="BJ519">
            <v>2550000</v>
          </cell>
          <cell r="BK519">
            <v>0</v>
          </cell>
          <cell r="BL519">
            <v>2550000</v>
          </cell>
        </row>
        <row r="520">
          <cell r="D520" t="str">
            <v>OS</v>
          </cell>
          <cell r="E520"/>
          <cell r="F520">
            <v>500</v>
          </cell>
          <cell r="G520" t="str">
            <v>SOLD</v>
          </cell>
          <cell r="H520" t="str">
            <v>OS</v>
          </cell>
          <cell r="I520" t="str">
            <v>OS</v>
          </cell>
          <cell r="J520" t="str">
            <v>OS</v>
          </cell>
          <cell r="K520" t="str">
            <v>OS</v>
          </cell>
          <cell r="L520" t="str">
            <v>OS</v>
          </cell>
          <cell r="M520" t="str">
            <v>OS</v>
          </cell>
          <cell r="N520" t="str">
            <v>OS</v>
          </cell>
          <cell r="O520" t="str">
            <v>OS</v>
          </cell>
          <cell r="P520" t="str">
            <v>OS</v>
          </cell>
          <cell r="Q520" t="str">
            <v>OS</v>
          </cell>
          <cell r="R520" t="str">
            <v>OS</v>
          </cell>
          <cell r="S520" t="str">
            <v>OS</v>
          </cell>
          <cell r="T520" t="str">
            <v>OS</v>
          </cell>
          <cell r="U520" t="str">
            <v>OS</v>
          </cell>
          <cell r="V520" t="str">
            <v>OS</v>
          </cell>
          <cell r="W520" t="str">
            <v>OS</v>
          </cell>
          <cell r="X520" t="str">
            <v>OS</v>
          </cell>
          <cell r="Y520" t="str">
            <v>OS</v>
          </cell>
          <cell r="Z520" t="str">
            <v>OS</v>
          </cell>
          <cell r="AA520" t="str">
            <v>OS</v>
          </cell>
          <cell r="AB520" t="str">
            <v>OS</v>
          </cell>
          <cell r="AC520" t="str">
            <v>OS</v>
          </cell>
          <cell r="AD520" t="str">
            <v>AGM-01-025-023</v>
          </cell>
          <cell r="AE520" t="str">
            <v xml:space="preserve">Raemulan Lands, Inc. </v>
          </cell>
          <cell r="AF520" t="str">
            <v>Agapeya</v>
          </cell>
          <cell r="AG520" t="str">
            <v>AGM</v>
          </cell>
          <cell r="AH520" t="str">
            <v>Eco-High</v>
          </cell>
          <cell r="AI520" t="str">
            <v>West</v>
          </cell>
          <cell r="AJ520" t="str">
            <v>With LTS</v>
          </cell>
          <cell r="AK520" t="str">
            <v>Unaffected lots</v>
          </cell>
          <cell r="AL520" t="str">
            <v>Unaffected lots</v>
          </cell>
          <cell r="AM520" t="b">
            <v>1</v>
          </cell>
          <cell r="AN520" t="str">
            <v>YES</v>
          </cell>
          <cell r="AO520" t="str">
            <v>B1 2025</v>
          </cell>
          <cell r="AP520">
            <v>70</v>
          </cell>
          <cell r="AQ520" t="str">
            <v>PCS-04-276764</v>
          </cell>
          <cell r="AR520" t="b">
            <v>1</v>
          </cell>
          <cell r="AS520" t="str">
            <v>Done</v>
          </cell>
          <cell r="AT520" t="str">
            <v>2025 - Batch 1</v>
          </cell>
          <cell r="AU520">
            <v>25</v>
          </cell>
          <cell r="AV520">
            <v>23</v>
          </cell>
          <cell r="AW520" t="str">
            <v>H+L</v>
          </cell>
          <cell r="AX520">
            <v>70</v>
          </cell>
          <cell r="AY520">
            <v>50</v>
          </cell>
          <cell r="AZ520" t="str">
            <v>Duplex</v>
          </cell>
          <cell r="BA520">
            <v>1</v>
          </cell>
          <cell r="BB520" t="str">
            <v>568 - Without Partition</v>
          </cell>
          <cell r="BC520" t="str">
            <v xml:space="preserve">Without Partition </v>
          </cell>
          <cell r="BD520" t="str">
            <v>Flat</v>
          </cell>
          <cell r="BE520" t="str">
            <v xml:space="preserve">Without Partition </v>
          </cell>
          <cell r="BF520" t="str">
            <v>PURPLE</v>
          </cell>
          <cell r="BG520">
            <v>2500000</v>
          </cell>
          <cell r="BH520">
            <v>2650000</v>
          </cell>
          <cell r="BI520">
            <v>100000</v>
          </cell>
          <cell r="BJ520">
            <v>2550000</v>
          </cell>
          <cell r="BK520">
            <v>0</v>
          </cell>
          <cell r="BL520">
            <v>2550000</v>
          </cell>
        </row>
        <row r="521">
          <cell r="D521" t="str">
            <v>OS</v>
          </cell>
          <cell r="E521"/>
          <cell r="F521">
            <v>501</v>
          </cell>
          <cell r="G521" t="str">
            <v>SOLD</v>
          </cell>
          <cell r="H521" t="str">
            <v>OS</v>
          </cell>
          <cell r="I521" t="str">
            <v>OS</v>
          </cell>
          <cell r="J521" t="str">
            <v>OS</v>
          </cell>
          <cell r="K521" t="str">
            <v>OS</v>
          </cell>
          <cell r="L521" t="str">
            <v>OS</v>
          </cell>
          <cell r="M521" t="str">
            <v>OS</v>
          </cell>
          <cell r="N521" t="str">
            <v>OS</v>
          </cell>
          <cell r="O521" t="str">
            <v>OS</v>
          </cell>
          <cell r="P521" t="str">
            <v>OS</v>
          </cell>
          <cell r="Q521" t="str">
            <v>OS</v>
          </cell>
          <cell r="R521" t="str">
            <v>OS</v>
          </cell>
          <cell r="S521" t="str">
            <v>OS</v>
          </cell>
          <cell r="T521" t="str">
            <v>OS</v>
          </cell>
          <cell r="U521" t="str">
            <v>OS</v>
          </cell>
          <cell r="V521" t="str">
            <v>OS</v>
          </cell>
          <cell r="W521" t="str">
            <v>OS</v>
          </cell>
          <cell r="X521" t="str">
            <v>OS</v>
          </cell>
          <cell r="Y521" t="str">
            <v>OS</v>
          </cell>
          <cell r="Z521" t="str">
            <v>OS</v>
          </cell>
          <cell r="AA521" t="str">
            <v>OS</v>
          </cell>
          <cell r="AB521" t="str">
            <v>OS</v>
          </cell>
          <cell r="AC521" t="str">
            <v>OS</v>
          </cell>
          <cell r="AD521" t="str">
            <v>AGM-01-025-024</v>
          </cell>
          <cell r="AE521" t="str">
            <v xml:space="preserve">Raemulan Lands, Inc. </v>
          </cell>
          <cell r="AF521" t="str">
            <v>Agapeya</v>
          </cell>
          <cell r="AG521" t="str">
            <v>AGM</v>
          </cell>
          <cell r="AH521" t="str">
            <v>Eco-High</v>
          </cell>
          <cell r="AI521" t="str">
            <v>West</v>
          </cell>
          <cell r="AJ521" t="str">
            <v>With LTS</v>
          </cell>
          <cell r="AK521" t="str">
            <v>Unaffected lots</v>
          </cell>
          <cell r="AL521" t="str">
            <v>Unaffected lots</v>
          </cell>
          <cell r="AM521" t="b">
            <v>1</v>
          </cell>
          <cell r="AN521" t="str">
            <v>YES</v>
          </cell>
          <cell r="AO521" t="str">
            <v>B1 2025</v>
          </cell>
          <cell r="AP521">
            <v>70</v>
          </cell>
          <cell r="AQ521" t="str">
            <v>PCS-04-276764</v>
          </cell>
          <cell r="AR521" t="b">
            <v>1</v>
          </cell>
          <cell r="AS521" t="str">
            <v>Done</v>
          </cell>
          <cell r="AT521" t="str">
            <v>2025 - Batch 1</v>
          </cell>
          <cell r="AU521">
            <v>25</v>
          </cell>
          <cell r="AV521">
            <v>24</v>
          </cell>
          <cell r="AW521" t="str">
            <v>H+L</v>
          </cell>
          <cell r="AX521">
            <v>70</v>
          </cell>
          <cell r="AY521">
            <v>50</v>
          </cell>
          <cell r="AZ521" t="str">
            <v>Duplex</v>
          </cell>
          <cell r="BA521">
            <v>1</v>
          </cell>
          <cell r="BB521" t="str">
            <v>568 - Without Partition</v>
          </cell>
          <cell r="BC521" t="str">
            <v xml:space="preserve">Without Partition </v>
          </cell>
          <cell r="BD521" t="str">
            <v>Slant</v>
          </cell>
          <cell r="BE521" t="str">
            <v xml:space="preserve">Without Partition </v>
          </cell>
          <cell r="BF521" t="str">
            <v>PURPLE</v>
          </cell>
          <cell r="BG521">
            <v>2500000</v>
          </cell>
          <cell r="BH521">
            <v>2650000</v>
          </cell>
          <cell r="BI521">
            <v>100000</v>
          </cell>
          <cell r="BJ521">
            <v>2550000</v>
          </cell>
          <cell r="BK521">
            <v>0</v>
          </cell>
          <cell r="BL521">
            <v>2550000</v>
          </cell>
        </row>
        <row r="522">
          <cell r="D522" t="str">
            <v>OS</v>
          </cell>
          <cell r="E522"/>
          <cell r="F522">
            <v>502</v>
          </cell>
          <cell r="G522" t="str">
            <v>SOLD</v>
          </cell>
          <cell r="H522" t="str">
            <v>OS</v>
          </cell>
          <cell r="I522" t="str">
            <v>OS</v>
          </cell>
          <cell r="J522" t="str">
            <v>OS</v>
          </cell>
          <cell r="K522" t="str">
            <v>OS</v>
          </cell>
          <cell r="L522" t="str">
            <v>OS</v>
          </cell>
          <cell r="M522" t="str">
            <v>OS</v>
          </cell>
          <cell r="N522" t="str">
            <v>OS</v>
          </cell>
          <cell r="O522" t="str">
            <v>OS</v>
          </cell>
          <cell r="P522" t="str">
            <v>OS</v>
          </cell>
          <cell r="Q522" t="str">
            <v>OS</v>
          </cell>
          <cell r="R522" t="str">
            <v>OS</v>
          </cell>
          <cell r="S522" t="str">
            <v>OS</v>
          </cell>
          <cell r="T522" t="str">
            <v>OS</v>
          </cell>
          <cell r="U522" t="str">
            <v>OS</v>
          </cell>
          <cell r="V522" t="str">
            <v>OS</v>
          </cell>
          <cell r="W522" t="str">
            <v>OS</v>
          </cell>
          <cell r="X522" t="str">
            <v>OS</v>
          </cell>
          <cell r="Y522" t="str">
            <v>OS</v>
          </cell>
          <cell r="Z522" t="str">
            <v>OS</v>
          </cell>
          <cell r="AA522" t="str">
            <v>OS</v>
          </cell>
          <cell r="AB522" t="str">
            <v>OS</v>
          </cell>
          <cell r="AC522" t="str">
            <v>OS</v>
          </cell>
          <cell r="AD522" t="str">
            <v>AGM-01-025-025</v>
          </cell>
          <cell r="AE522" t="str">
            <v xml:space="preserve">Raemulan Lands, Inc. </v>
          </cell>
          <cell r="AF522" t="str">
            <v>Agapeya</v>
          </cell>
          <cell r="AG522" t="str">
            <v>AGM</v>
          </cell>
          <cell r="AH522" t="str">
            <v>Eco-High</v>
          </cell>
          <cell r="AI522" t="str">
            <v>West</v>
          </cell>
          <cell r="AJ522" t="str">
            <v>With LTS</v>
          </cell>
          <cell r="AK522" t="str">
            <v>Unaffected lots</v>
          </cell>
          <cell r="AL522" t="str">
            <v>Unaffected lots</v>
          </cell>
          <cell r="AM522" t="b">
            <v>1</v>
          </cell>
          <cell r="AN522" t="str">
            <v>YES</v>
          </cell>
          <cell r="AO522" t="str">
            <v>B1 2025</v>
          </cell>
          <cell r="AP522">
            <v>70</v>
          </cell>
          <cell r="AQ522" t="str">
            <v>PCS-04-276764</v>
          </cell>
          <cell r="AR522" t="b">
            <v>1</v>
          </cell>
          <cell r="AS522" t="str">
            <v>Done</v>
          </cell>
          <cell r="AT522" t="str">
            <v>2025 - Batch 1</v>
          </cell>
          <cell r="AU522">
            <v>25</v>
          </cell>
          <cell r="AV522">
            <v>25</v>
          </cell>
          <cell r="AW522" t="str">
            <v>H+L</v>
          </cell>
          <cell r="AX522">
            <v>70</v>
          </cell>
          <cell r="AY522">
            <v>50</v>
          </cell>
          <cell r="AZ522" t="str">
            <v>Duplex</v>
          </cell>
          <cell r="BA522">
            <v>1</v>
          </cell>
          <cell r="BB522" t="str">
            <v>568 - Without Partition</v>
          </cell>
          <cell r="BC522" t="str">
            <v xml:space="preserve">Without Partition </v>
          </cell>
          <cell r="BD522" t="str">
            <v>Slant</v>
          </cell>
          <cell r="BE522" t="str">
            <v xml:space="preserve">Without Partition </v>
          </cell>
          <cell r="BF522" t="str">
            <v>PURPLE</v>
          </cell>
          <cell r="BG522">
            <v>2500000</v>
          </cell>
          <cell r="BH522">
            <v>2650000</v>
          </cell>
          <cell r="BI522">
            <v>100000</v>
          </cell>
          <cell r="BJ522">
            <v>2550000</v>
          </cell>
          <cell r="BK522">
            <v>0</v>
          </cell>
          <cell r="BL522">
            <v>2550000</v>
          </cell>
        </row>
        <row r="523">
          <cell r="D523" t="str">
            <v>OS</v>
          </cell>
          <cell r="E523"/>
          <cell r="F523">
            <v>503</v>
          </cell>
          <cell r="G523" t="str">
            <v>SOLD</v>
          </cell>
          <cell r="H523" t="str">
            <v>OS</v>
          </cell>
          <cell r="I523" t="str">
            <v>OS</v>
          </cell>
          <cell r="J523" t="str">
            <v>OS</v>
          </cell>
          <cell r="K523" t="str">
            <v>OS</v>
          </cell>
          <cell r="L523" t="str">
            <v>OS</v>
          </cell>
          <cell r="M523" t="str">
            <v>OS</v>
          </cell>
          <cell r="N523" t="str">
            <v>OS</v>
          </cell>
          <cell r="O523" t="str">
            <v>OS</v>
          </cell>
          <cell r="P523" t="str">
            <v>OS</v>
          </cell>
          <cell r="Q523" t="str">
            <v>OS</v>
          </cell>
          <cell r="R523" t="str">
            <v>OS</v>
          </cell>
          <cell r="S523" t="str">
            <v>OS</v>
          </cell>
          <cell r="T523" t="str">
            <v>OS</v>
          </cell>
          <cell r="U523" t="str">
            <v>OS</v>
          </cell>
          <cell r="V523" t="str">
            <v>OS</v>
          </cell>
          <cell r="W523" t="str">
            <v>OS</v>
          </cell>
          <cell r="X523" t="str">
            <v>OS</v>
          </cell>
          <cell r="Y523" t="str">
            <v>OS</v>
          </cell>
          <cell r="Z523" t="str">
            <v>OS</v>
          </cell>
          <cell r="AA523" t="str">
            <v>OS</v>
          </cell>
          <cell r="AB523" t="str">
            <v>OS</v>
          </cell>
          <cell r="AC523" t="str">
            <v>OS</v>
          </cell>
          <cell r="AD523" t="str">
            <v>AGM-01-025-026</v>
          </cell>
          <cell r="AE523" t="str">
            <v xml:space="preserve">Raemulan Lands, Inc. </v>
          </cell>
          <cell r="AF523" t="str">
            <v>Agapeya</v>
          </cell>
          <cell r="AG523" t="str">
            <v>AGM</v>
          </cell>
          <cell r="AH523" t="str">
            <v>Eco-High</v>
          </cell>
          <cell r="AI523" t="str">
            <v>West</v>
          </cell>
          <cell r="AJ523" t="str">
            <v>With LTS</v>
          </cell>
          <cell r="AK523" t="str">
            <v>Unaffected lots</v>
          </cell>
          <cell r="AL523" t="str">
            <v>Unaffected lots</v>
          </cell>
          <cell r="AM523" t="b">
            <v>1</v>
          </cell>
          <cell r="AN523" t="str">
            <v>YES</v>
          </cell>
          <cell r="AO523" t="str">
            <v>B1 2025</v>
          </cell>
          <cell r="AP523">
            <v>81</v>
          </cell>
          <cell r="AQ523" t="str">
            <v>PCS-04-276764</v>
          </cell>
          <cell r="AR523" t="b">
            <v>1</v>
          </cell>
          <cell r="AS523" t="str">
            <v>Done</v>
          </cell>
          <cell r="AT523" t="str">
            <v>2025 - Batch 1</v>
          </cell>
          <cell r="AU523">
            <v>25</v>
          </cell>
          <cell r="AV523">
            <v>26</v>
          </cell>
          <cell r="AW523" t="str">
            <v>H+L</v>
          </cell>
          <cell r="AX523">
            <v>81</v>
          </cell>
          <cell r="AY523">
            <v>50</v>
          </cell>
          <cell r="AZ523" t="str">
            <v>Duplex</v>
          </cell>
          <cell r="BA523">
            <v>1</v>
          </cell>
          <cell r="BB523" t="str">
            <v>568 - Without Partition</v>
          </cell>
          <cell r="BC523" t="str">
            <v xml:space="preserve">Without Partition </v>
          </cell>
          <cell r="BD523" t="str">
            <v>Flat</v>
          </cell>
          <cell r="BE523" t="str">
            <v xml:space="preserve">Without Partition </v>
          </cell>
          <cell r="BF523" t="str">
            <v>PURPLE</v>
          </cell>
          <cell r="BG523">
            <v>2517570</v>
          </cell>
          <cell r="BH523">
            <v>2815000</v>
          </cell>
          <cell r="BI523">
            <v>100000</v>
          </cell>
          <cell r="BJ523">
            <v>2715000</v>
          </cell>
          <cell r="BK523">
            <v>0</v>
          </cell>
          <cell r="BL523">
            <v>2715000</v>
          </cell>
        </row>
        <row r="524">
          <cell r="D524" t="str">
            <v>OS</v>
          </cell>
          <cell r="E524"/>
          <cell r="F524">
            <v>504</v>
          </cell>
          <cell r="G524" t="str">
            <v>SOLD</v>
          </cell>
          <cell r="H524" t="str">
            <v>FOR CANCELLATION</v>
          </cell>
          <cell r="I524" t="str">
            <v>FOR CANCELLATION</v>
          </cell>
          <cell r="J524" t="str">
            <v>FOR CANCELLATION</v>
          </cell>
          <cell r="K524" t="str">
            <v>TS</v>
          </cell>
          <cell r="L524" t="str">
            <v>TS</v>
          </cell>
          <cell r="M524" t="str">
            <v>FOR CANCELLATION</v>
          </cell>
          <cell r="N524" t="str">
            <v>OS</v>
          </cell>
          <cell r="O524" t="str">
            <v>OS</v>
          </cell>
          <cell r="P524" t="str">
            <v>OS</v>
          </cell>
          <cell r="Q524" t="str">
            <v>OS</v>
          </cell>
          <cell r="R524" t="str">
            <v>OS</v>
          </cell>
          <cell r="S524" t="str">
            <v>OS</v>
          </cell>
          <cell r="T524" t="str">
            <v>OS</v>
          </cell>
          <cell r="U524" t="str">
            <v>OS</v>
          </cell>
          <cell r="V524" t="str">
            <v>OS</v>
          </cell>
          <cell r="W524" t="str">
            <v>OS</v>
          </cell>
          <cell r="X524" t="str">
            <v>OS</v>
          </cell>
          <cell r="Y524" t="str">
            <v>OS</v>
          </cell>
          <cell r="Z524" t="str">
            <v>OS</v>
          </cell>
          <cell r="AA524" t="str">
            <v>OS</v>
          </cell>
          <cell r="AB524" t="str">
            <v>OS</v>
          </cell>
          <cell r="AC524" t="str">
            <v>OS</v>
          </cell>
          <cell r="AD524" t="str">
            <v>AGM-01-025-027</v>
          </cell>
          <cell r="AE524" t="str">
            <v xml:space="preserve">Raemulan Lands, Inc. </v>
          </cell>
          <cell r="AF524" t="str">
            <v>Agapeya</v>
          </cell>
          <cell r="AG524" t="str">
            <v>AGM</v>
          </cell>
          <cell r="AH524" t="str">
            <v>Eco-High</v>
          </cell>
          <cell r="AI524" t="str">
            <v>West</v>
          </cell>
          <cell r="AJ524" t="str">
            <v>With LTS</v>
          </cell>
          <cell r="AK524" t="str">
            <v>Unaffected lots</v>
          </cell>
          <cell r="AL524" t="str">
            <v>Unaffected lots</v>
          </cell>
          <cell r="AM524" t="b">
            <v>1</v>
          </cell>
          <cell r="AN524" t="str">
            <v>YES</v>
          </cell>
          <cell r="AO524" t="str">
            <v>B2 2025</v>
          </cell>
          <cell r="AP524">
            <v>81</v>
          </cell>
          <cell r="AQ524" t="str">
            <v>PCS-04-276764</v>
          </cell>
          <cell r="AR524" t="b">
            <v>1</v>
          </cell>
          <cell r="AS524" t="str">
            <v>Done</v>
          </cell>
          <cell r="AT524" t="str">
            <v>2025 - Batch 5</v>
          </cell>
          <cell r="AU524">
            <v>25</v>
          </cell>
          <cell r="AV524">
            <v>27</v>
          </cell>
          <cell r="AW524" t="str">
            <v>H+L</v>
          </cell>
          <cell r="AX524">
            <v>81</v>
          </cell>
          <cell r="AY524">
            <v>50</v>
          </cell>
          <cell r="AZ524" t="str">
            <v>Duplex</v>
          </cell>
          <cell r="BA524">
            <v>1</v>
          </cell>
          <cell r="BB524" t="str">
            <v>568 - Without Partition</v>
          </cell>
          <cell r="BC524" t="str">
            <v xml:space="preserve">Without Partition </v>
          </cell>
          <cell r="BD524" t="str">
            <v>Flat</v>
          </cell>
          <cell r="BE524" t="str">
            <v xml:space="preserve">Without Partition </v>
          </cell>
          <cell r="BF524" t="str">
            <v>PINK</v>
          </cell>
          <cell r="BG524">
            <v>2715000</v>
          </cell>
          <cell r="BH524">
            <v>2815000</v>
          </cell>
          <cell r="BI524">
            <v>100000</v>
          </cell>
          <cell r="BJ524">
            <v>2715000</v>
          </cell>
          <cell r="BK524">
            <v>0</v>
          </cell>
          <cell r="BL524">
            <v>2715000</v>
          </cell>
        </row>
        <row r="525">
          <cell r="D525" t="str">
            <v>OS</v>
          </cell>
          <cell r="E525"/>
          <cell r="F525">
            <v>505</v>
          </cell>
          <cell r="G525" t="str">
            <v>SOLD</v>
          </cell>
          <cell r="H525" t="str">
            <v>TS</v>
          </cell>
          <cell r="I525" t="str">
            <v>TS</v>
          </cell>
          <cell r="J525" t="str">
            <v>TS</v>
          </cell>
          <cell r="K525" t="str">
            <v>TS</v>
          </cell>
          <cell r="L525" t="str">
            <v>TS</v>
          </cell>
          <cell r="M525" t="str">
            <v>TS</v>
          </cell>
          <cell r="N525" t="str">
            <v>TS</v>
          </cell>
          <cell r="O525" t="str">
            <v>TS</v>
          </cell>
          <cell r="P525" t="str">
            <v>OS</v>
          </cell>
          <cell r="Q525" t="str">
            <v>OS</v>
          </cell>
          <cell r="R525" t="str">
            <v>OS</v>
          </cell>
          <cell r="S525" t="str">
            <v>OS</v>
          </cell>
          <cell r="T525" t="str">
            <v>OS</v>
          </cell>
          <cell r="U525" t="str">
            <v>OS</v>
          </cell>
          <cell r="V525" t="str">
            <v>OS</v>
          </cell>
          <cell r="W525" t="str">
            <v>OS</v>
          </cell>
          <cell r="X525" t="str">
            <v>OS</v>
          </cell>
          <cell r="Y525" t="str">
            <v>OS</v>
          </cell>
          <cell r="Z525" t="str">
            <v>OS</v>
          </cell>
          <cell r="AA525" t="str">
            <v>OS</v>
          </cell>
          <cell r="AB525" t="str">
            <v>OS</v>
          </cell>
          <cell r="AC525" t="str">
            <v>OS</v>
          </cell>
          <cell r="AD525" t="str">
            <v>AGM-01-025-028</v>
          </cell>
          <cell r="AE525" t="str">
            <v xml:space="preserve">Raemulan Lands, Inc. </v>
          </cell>
          <cell r="AF525" t="str">
            <v>Agapeya</v>
          </cell>
          <cell r="AG525" t="str">
            <v>AGM</v>
          </cell>
          <cell r="AH525" t="str">
            <v>Eco-High</v>
          </cell>
          <cell r="AI525" t="str">
            <v>West</v>
          </cell>
          <cell r="AJ525" t="str">
            <v>With LTS</v>
          </cell>
          <cell r="AK525" t="str">
            <v>Unaffected lots</v>
          </cell>
          <cell r="AL525" t="str">
            <v>Unaffected lots</v>
          </cell>
          <cell r="AM525" t="b">
            <v>1</v>
          </cell>
          <cell r="AN525" t="str">
            <v>YES</v>
          </cell>
          <cell r="AO525" t="str">
            <v>B2 2025</v>
          </cell>
          <cell r="AP525">
            <v>70</v>
          </cell>
          <cell r="AQ525" t="str">
            <v>PCS-04-276764</v>
          </cell>
          <cell r="AR525" t="b">
            <v>1</v>
          </cell>
          <cell r="AS525" t="str">
            <v>Done</v>
          </cell>
          <cell r="AT525" t="str">
            <v>2025 - Batch 5</v>
          </cell>
          <cell r="AU525">
            <v>25</v>
          </cell>
          <cell r="AV525">
            <v>28</v>
          </cell>
          <cell r="AW525" t="str">
            <v>H+L</v>
          </cell>
          <cell r="AX525">
            <v>70</v>
          </cell>
          <cell r="AY525">
            <v>50</v>
          </cell>
          <cell r="AZ525" t="str">
            <v>Duplex</v>
          </cell>
          <cell r="BA525">
            <v>1</v>
          </cell>
          <cell r="BB525" t="str">
            <v>568 - Without Partition</v>
          </cell>
          <cell r="BC525" t="str">
            <v xml:space="preserve">Without Partition </v>
          </cell>
          <cell r="BD525" t="str">
            <v>Slant</v>
          </cell>
          <cell r="BE525" t="str">
            <v xml:space="preserve">Without Partition </v>
          </cell>
          <cell r="BF525" t="str">
            <v>PINK</v>
          </cell>
          <cell r="BG525">
            <v>2422034.826150645</v>
          </cell>
          <cell r="BH525">
            <v>2650000</v>
          </cell>
          <cell r="BI525">
            <v>100000</v>
          </cell>
          <cell r="BJ525">
            <v>2550000</v>
          </cell>
          <cell r="BK525">
            <v>0</v>
          </cell>
          <cell r="BL525">
            <v>2550000</v>
          </cell>
        </row>
        <row r="526">
          <cell r="D526" t="str">
            <v>OS</v>
          </cell>
          <cell r="E526"/>
          <cell r="F526">
            <v>506</v>
          </cell>
          <cell r="G526" t="str">
            <v>UNSOLD</v>
          </cell>
          <cell r="H526" t="str">
            <v>TS</v>
          </cell>
          <cell r="I526" t="str">
            <v>TS</v>
          </cell>
          <cell r="J526" t="str">
            <v>OS</v>
          </cell>
          <cell r="K526" t="str">
            <v>OS</v>
          </cell>
          <cell r="L526" t="str">
            <v>OS</v>
          </cell>
          <cell r="M526" t="str">
            <v>OS</v>
          </cell>
          <cell r="N526" t="str">
            <v>OS</v>
          </cell>
          <cell r="O526" t="str">
            <v>OS</v>
          </cell>
          <cell r="P526" t="str">
            <v>OS</v>
          </cell>
          <cell r="Q526" t="str">
            <v>OS</v>
          </cell>
          <cell r="R526" t="str">
            <v>OS</v>
          </cell>
          <cell r="S526" t="str">
            <v>OS</v>
          </cell>
          <cell r="T526" t="str">
            <v>OS</v>
          </cell>
          <cell r="U526" t="str">
            <v>OS</v>
          </cell>
          <cell r="V526" t="str">
            <v>OS</v>
          </cell>
          <cell r="W526" t="str">
            <v>OS</v>
          </cell>
          <cell r="X526" t="str">
            <v>OS</v>
          </cell>
          <cell r="Y526" t="str">
            <v>OS</v>
          </cell>
          <cell r="Z526" t="str">
            <v>OS</v>
          </cell>
          <cell r="AA526" t="str">
            <v>OS</v>
          </cell>
          <cell r="AB526" t="str">
            <v>OS</v>
          </cell>
          <cell r="AC526" t="str">
            <v>OS</v>
          </cell>
          <cell r="AD526" t="str">
            <v>AGM-01-025-029</v>
          </cell>
          <cell r="AE526" t="str">
            <v xml:space="preserve">Raemulan Lands, Inc. </v>
          </cell>
          <cell r="AF526" t="str">
            <v>Agapeya</v>
          </cell>
          <cell r="AG526" t="str">
            <v>AGM</v>
          </cell>
          <cell r="AH526" t="str">
            <v>Eco-High</v>
          </cell>
          <cell r="AI526" t="str">
            <v>West</v>
          </cell>
          <cell r="AJ526" t="str">
            <v>With LTS</v>
          </cell>
          <cell r="AK526" t="str">
            <v>Unaffected lots</v>
          </cell>
          <cell r="AL526" t="str">
            <v>Unaffected lots</v>
          </cell>
          <cell r="AM526" t="b">
            <v>1</v>
          </cell>
          <cell r="AN526" t="str">
            <v>YES</v>
          </cell>
          <cell r="AO526" t="str">
            <v>B2 2025</v>
          </cell>
          <cell r="AP526">
            <v>70</v>
          </cell>
          <cell r="AQ526" t="str">
            <v>PCS-04-276764</v>
          </cell>
          <cell r="AR526" t="b">
            <v>1</v>
          </cell>
          <cell r="AS526" t="str">
            <v>Done</v>
          </cell>
          <cell r="AT526" t="str">
            <v>2025 - Batch 5</v>
          </cell>
          <cell r="AU526">
            <v>25</v>
          </cell>
          <cell r="AV526">
            <v>29</v>
          </cell>
          <cell r="AW526" t="str">
            <v>H+L</v>
          </cell>
          <cell r="AX526">
            <v>70</v>
          </cell>
          <cell r="AY526">
            <v>50</v>
          </cell>
          <cell r="AZ526" t="str">
            <v>Duplex</v>
          </cell>
          <cell r="BA526">
            <v>1</v>
          </cell>
          <cell r="BB526" t="str">
            <v>568 - Without Partition</v>
          </cell>
          <cell r="BC526" t="str">
            <v xml:space="preserve">Without Partition </v>
          </cell>
          <cell r="BD526" t="str">
            <v>Flat</v>
          </cell>
          <cell r="BE526" t="str">
            <v xml:space="preserve">Without Partition </v>
          </cell>
          <cell r="BF526" t="str">
            <v>PINK</v>
          </cell>
          <cell r="BG526">
            <v>2422034.826150645</v>
          </cell>
          <cell r="BH526">
            <v>2650000</v>
          </cell>
          <cell r="BI526">
            <v>100000</v>
          </cell>
          <cell r="BJ526">
            <v>2550000</v>
          </cell>
          <cell r="BK526">
            <v>0</v>
          </cell>
          <cell r="BL526">
            <v>2550000</v>
          </cell>
        </row>
        <row r="527">
          <cell r="D527" t="str">
            <v>OS</v>
          </cell>
          <cell r="E527"/>
          <cell r="F527">
            <v>507</v>
          </cell>
          <cell r="G527" t="str">
            <v>UNSOLD</v>
          </cell>
          <cell r="H527" t="str">
            <v>OS</v>
          </cell>
          <cell r="I527" t="str">
            <v>OS</v>
          </cell>
          <cell r="J527" t="str">
            <v>OS</v>
          </cell>
          <cell r="K527" t="str">
            <v>OS</v>
          </cell>
          <cell r="L527" t="str">
            <v>OS</v>
          </cell>
          <cell r="M527" t="str">
            <v>OS</v>
          </cell>
          <cell r="N527" t="str">
            <v>OS</v>
          </cell>
          <cell r="O527" t="str">
            <v>OS</v>
          </cell>
          <cell r="P527" t="str">
            <v>OS</v>
          </cell>
          <cell r="Q527" t="str">
            <v>OS</v>
          </cell>
          <cell r="R527" t="str">
            <v>OS</v>
          </cell>
          <cell r="S527" t="str">
            <v>OS</v>
          </cell>
          <cell r="T527" t="str">
            <v>OS</v>
          </cell>
          <cell r="U527" t="str">
            <v>OS</v>
          </cell>
          <cell r="V527" t="str">
            <v>OS</v>
          </cell>
          <cell r="W527" t="str">
            <v>OS</v>
          </cell>
          <cell r="X527" t="str">
            <v>OS</v>
          </cell>
          <cell r="Y527" t="str">
            <v>OS</v>
          </cell>
          <cell r="Z527" t="str">
            <v>OS</v>
          </cell>
          <cell r="AA527" t="str">
            <v>OS</v>
          </cell>
          <cell r="AB527" t="str">
            <v>OS</v>
          </cell>
          <cell r="AC527" t="str">
            <v>OS</v>
          </cell>
          <cell r="AD527" t="str">
            <v>AGM-01-025-030</v>
          </cell>
          <cell r="AE527" t="str">
            <v xml:space="preserve">Raemulan Lands, Inc. </v>
          </cell>
          <cell r="AF527" t="str">
            <v>Agapeya</v>
          </cell>
          <cell r="AG527" t="str">
            <v>AGM</v>
          </cell>
          <cell r="AH527" t="str">
            <v>Eco-High</v>
          </cell>
          <cell r="AI527" t="str">
            <v>West</v>
          </cell>
          <cell r="AJ527" t="str">
            <v>With LTS</v>
          </cell>
          <cell r="AK527" t="str">
            <v>Unaffected lots</v>
          </cell>
          <cell r="AL527" t="str">
            <v>Unaffected lots</v>
          </cell>
          <cell r="AM527" t="b">
            <v>1</v>
          </cell>
          <cell r="AN527" t="str">
            <v>YES</v>
          </cell>
          <cell r="AO527" t="str">
            <v>B2 2025</v>
          </cell>
          <cell r="AP527">
            <v>70</v>
          </cell>
          <cell r="AQ527" t="str">
            <v>PCS-04-276764</v>
          </cell>
          <cell r="AR527" t="b">
            <v>1</v>
          </cell>
          <cell r="AS527" t="str">
            <v>Done</v>
          </cell>
          <cell r="AT527" t="str">
            <v>2025 - Batch 5</v>
          </cell>
          <cell r="AU527">
            <v>25</v>
          </cell>
          <cell r="AV527">
            <v>30</v>
          </cell>
          <cell r="AW527" t="str">
            <v>H+L</v>
          </cell>
          <cell r="AX527">
            <v>70</v>
          </cell>
          <cell r="AY527">
            <v>50</v>
          </cell>
          <cell r="AZ527" t="str">
            <v>Duplex</v>
          </cell>
          <cell r="BA527">
            <v>1</v>
          </cell>
          <cell r="BB527" t="str">
            <v>568 - Without Partition</v>
          </cell>
          <cell r="BC527" t="str">
            <v xml:space="preserve">Without Partition </v>
          </cell>
          <cell r="BD527" t="str">
            <v>Slant</v>
          </cell>
          <cell r="BE527" t="str">
            <v xml:space="preserve">Without Partition </v>
          </cell>
          <cell r="BF527" t="str">
            <v>PINK</v>
          </cell>
          <cell r="BG527">
            <v>2422034.826150645</v>
          </cell>
          <cell r="BH527">
            <v>2650000</v>
          </cell>
          <cell r="BI527">
            <v>100000</v>
          </cell>
          <cell r="BJ527">
            <v>2550000</v>
          </cell>
          <cell r="BK527">
            <v>0</v>
          </cell>
          <cell r="BL527">
            <v>2550000</v>
          </cell>
        </row>
        <row r="528">
          <cell r="D528" t="str">
            <v>OS</v>
          </cell>
          <cell r="E528"/>
          <cell r="F528">
            <v>508</v>
          </cell>
          <cell r="G528" t="str">
            <v>UNSOLD</v>
          </cell>
          <cell r="H528" t="str">
            <v>OS</v>
          </cell>
          <cell r="I528" t="str">
            <v>OS</v>
          </cell>
          <cell r="J528" t="str">
            <v>OS</v>
          </cell>
          <cell r="K528" t="str">
            <v>OS</v>
          </cell>
          <cell r="L528" t="str">
            <v>OS</v>
          </cell>
          <cell r="M528" t="str">
            <v>OS</v>
          </cell>
          <cell r="N528" t="str">
            <v>OS</v>
          </cell>
          <cell r="O528" t="str">
            <v>OS</v>
          </cell>
          <cell r="P528" t="str">
            <v>OS</v>
          </cell>
          <cell r="Q528" t="str">
            <v>OS</v>
          </cell>
          <cell r="R528" t="str">
            <v>OS</v>
          </cell>
          <cell r="S528" t="str">
            <v>OS</v>
          </cell>
          <cell r="T528" t="str">
            <v>OS</v>
          </cell>
          <cell r="U528" t="str">
            <v>OS</v>
          </cell>
          <cell r="V528" t="str">
            <v>OS</v>
          </cell>
          <cell r="W528" t="str">
            <v>OS</v>
          </cell>
          <cell r="X528" t="str">
            <v>OS</v>
          </cell>
          <cell r="Y528" t="str">
            <v>OS</v>
          </cell>
          <cell r="Z528" t="str">
            <v>OS</v>
          </cell>
          <cell r="AA528" t="str">
            <v>OS</v>
          </cell>
          <cell r="AB528" t="str">
            <v>OS</v>
          </cell>
          <cell r="AC528" t="str">
            <v>OS</v>
          </cell>
          <cell r="AD528" t="str">
            <v>AGM-01-025-031</v>
          </cell>
          <cell r="AE528" t="str">
            <v xml:space="preserve">Raemulan Lands, Inc. </v>
          </cell>
          <cell r="AF528" t="str">
            <v>Agapeya</v>
          </cell>
          <cell r="AG528" t="str">
            <v>AGM</v>
          </cell>
          <cell r="AH528" t="str">
            <v>Eco-High</v>
          </cell>
          <cell r="AI528" t="str">
            <v>West</v>
          </cell>
          <cell r="AJ528" t="str">
            <v>With LTS</v>
          </cell>
          <cell r="AK528" t="str">
            <v>Unaffected lots</v>
          </cell>
          <cell r="AL528" t="str">
            <v>Unaffected lots</v>
          </cell>
          <cell r="AM528" t="b">
            <v>1</v>
          </cell>
          <cell r="AN528" t="str">
            <v>YES</v>
          </cell>
          <cell r="AO528" t="str">
            <v>B2 2025</v>
          </cell>
          <cell r="AP528">
            <v>70</v>
          </cell>
          <cell r="AQ528" t="str">
            <v>PCS-04-276764</v>
          </cell>
          <cell r="AR528" t="b">
            <v>1</v>
          </cell>
          <cell r="AS528" t="str">
            <v>Done</v>
          </cell>
          <cell r="AT528" t="str">
            <v>2025 - Batch 5</v>
          </cell>
          <cell r="AU528">
            <v>25</v>
          </cell>
          <cell r="AV528">
            <v>31</v>
          </cell>
          <cell r="AW528" t="str">
            <v>H+L</v>
          </cell>
          <cell r="AX528">
            <v>70</v>
          </cell>
          <cell r="AY528">
            <v>50</v>
          </cell>
          <cell r="AZ528" t="str">
            <v>Duplex</v>
          </cell>
          <cell r="BA528">
            <v>1</v>
          </cell>
          <cell r="BB528" t="str">
            <v>568 - Without Partition</v>
          </cell>
          <cell r="BC528" t="str">
            <v xml:space="preserve">Without Partition </v>
          </cell>
          <cell r="BD528" t="str">
            <v>Slant</v>
          </cell>
          <cell r="BE528" t="str">
            <v xml:space="preserve">Without Partition </v>
          </cell>
          <cell r="BF528" t="str">
            <v>PURPLE</v>
          </cell>
          <cell r="BG528">
            <v>2422034.826150645</v>
          </cell>
          <cell r="BH528">
            <v>2650000</v>
          </cell>
          <cell r="BI528">
            <v>100000</v>
          </cell>
          <cell r="BJ528">
            <v>2550000</v>
          </cell>
          <cell r="BK528">
            <v>0</v>
          </cell>
          <cell r="BL528">
            <v>2550000</v>
          </cell>
        </row>
        <row r="529">
          <cell r="D529" t="str">
            <v>OS</v>
          </cell>
          <cell r="E529"/>
          <cell r="F529">
            <v>509</v>
          </cell>
          <cell r="G529" t="str">
            <v>UNSOLD</v>
          </cell>
          <cell r="H529" t="str">
            <v>OS</v>
          </cell>
          <cell r="I529" t="str">
            <v>OS</v>
          </cell>
          <cell r="J529" t="str">
            <v>OS</v>
          </cell>
          <cell r="K529" t="str">
            <v>OS</v>
          </cell>
          <cell r="L529" t="str">
            <v>OS</v>
          </cell>
          <cell r="M529" t="str">
            <v>OS</v>
          </cell>
          <cell r="N529" t="str">
            <v>OS</v>
          </cell>
          <cell r="O529" t="str">
            <v>OS</v>
          </cell>
          <cell r="P529" t="str">
            <v>OS</v>
          </cell>
          <cell r="Q529" t="str">
            <v>OS</v>
          </cell>
          <cell r="R529" t="str">
            <v>OS</v>
          </cell>
          <cell r="S529" t="str">
            <v>OS</v>
          </cell>
          <cell r="T529" t="str">
            <v>OS</v>
          </cell>
          <cell r="U529" t="str">
            <v>OS</v>
          </cell>
          <cell r="V529" t="str">
            <v>OS</v>
          </cell>
          <cell r="W529" t="str">
            <v>OS</v>
          </cell>
          <cell r="X529" t="str">
            <v>OS</v>
          </cell>
          <cell r="Y529" t="str">
            <v>OS</v>
          </cell>
          <cell r="Z529" t="str">
            <v>OS</v>
          </cell>
          <cell r="AA529" t="str">
            <v>OS</v>
          </cell>
          <cell r="AB529" t="str">
            <v>OS</v>
          </cell>
          <cell r="AC529" t="str">
            <v>OS</v>
          </cell>
          <cell r="AD529" t="str">
            <v>AGM-01-025-032</v>
          </cell>
          <cell r="AE529" t="str">
            <v xml:space="preserve">Raemulan Lands, Inc. </v>
          </cell>
          <cell r="AF529" t="str">
            <v>Agapeya</v>
          </cell>
          <cell r="AG529" t="str">
            <v>AGM</v>
          </cell>
          <cell r="AH529" t="str">
            <v>Eco-High</v>
          </cell>
          <cell r="AI529" t="str">
            <v>West</v>
          </cell>
          <cell r="AJ529" t="str">
            <v>With LTS</v>
          </cell>
          <cell r="AK529" t="str">
            <v>Unaffected lots</v>
          </cell>
          <cell r="AL529" t="str">
            <v>Unaffected lots</v>
          </cell>
          <cell r="AM529" t="b">
            <v>1</v>
          </cell>
          <cell r="AN529" t="str">
            <v>YES</v>
          </cell>
          <cell r="AO529" t="str">
            <v>B2 2025</v>
          </cell>
          <cell r="AP529">
            <v>70</v>
          </cell>
          <cell r="AQ529" t="str">
            <v>PCS-04-276764</v>
          </cell>
          <cell r="AR529" t="b">
            <v>1</v>
          </cell>
          <cell r="AS529" t="str">
            <v>Done</v>
          </cell>
          <cell r="AT529" t="str">
            <v>2025 - Batch 5</v>
          </cell>
          <cell r="AU529">
            <v>25</v>
          </cell>
          <cell r="AV529">
            <v>32</v>
          </cell>
          <cell r="AW529" t="str">
            <v>H+L</v>
          </cell>
          <cell r="AX529">
            <v>70</v>
          </cell>
          <cell r="AY529">
            <v>50</v>
          </cell>
          <cell r="AZ529" t="str">
            <v>Duplex</v>
          </cell>
          <cell r="BA529">
            <v>1</v>
          </cell>
          <cell r="BB529" t="str">
            <v>568 - Without Partition</v>
          </cell>
          <cell r="BC529" t="str">
            <v xml:space="preserve">Without Partition </v>
          </cell>
          <cell r="BD529" t="str">
            <v>Flat</v>
          </cell>
          <cell r="BE529" t="str">
            <v xml:space="preserve">Without Partition </v>
          </cell>
          <cell r="BF529" t="str">
            <v>PURPLE</v>
          </cell>
          <cell r="BG529">
            <v>2422034.826150645</v>
          </cell>
          <cell r="BH529">
            <v>2650000</v>
          </cell>
          <cell r="BI529">
            <v>100000</v>
          </cell>
          <cell r="BJ529">
            <v>2550000</v>
          </cell>
          <cell r="BK529">
            <v>0</v>
          </cell>
          <cell r="BL529">
            <v>2550000</v>
          </cell>
        </row>
        <row r="530">
          <cell r="D530" t="str">
            <v>OS</v>
          </cell>
          <cell r="E530"/>
          <cell r="F530">
            <v>510</v>
          </cell>
          <cell r="G530" t="str">
            <v>SOLD</v>
          </cell>
          <cell r="H530" t="str">
            <v>OS</v>
          </cell>
          <cell r="I530" t="str">
            <v>OS</v>
          </cell>
          <cell r="J530" t="str">
            <v>OS</v>
          </cell>
          <cell r="K530" t="str">
            <v>OS</v>
          </cell>
          <cell r="L530" t="str">
            <v>OS</v>
          </cell>
          <cell r="M530" t="str">
            <v>OS</v>
          </cell>
          <cell r="N530" t="str">
            <v>OS</v>
          </cell>
          <cell r="O530" t="str">
            <v>OS</v>
          </cell>
          <cell r="P530" t="str">
            <v>OS</v>
          </cell>
          <cell r="Q530" t="str">
            <v>OS</v>
          </cell>
          <cell r="R530" t="str">
            <v>OS</v>
          </cell>
          <cell r="S530" t="str">
            <v>OS</v>
          </cell>
          <cell r="T530" t="str">
            <v>OS</v>
          </cell>
          <cell r="U530" t="str">
            <v>OS</v>
          </cell>
          <cell r="V530" t="str">
            <v>OS</v>
          </cell>
          <cell r="W530" t="str">
            <v>OS</v>
          </cell>
          <cell r="X530" t="str">
            <v>OS</v>
          </cell>
          <cell r="Y530" t="str">
            <v>OS</v>
          </cell>
          <cell r="Z530" t="str">
            <v>OS</v>
          </cell>
          <cell r="AA530" t="str">
            <v>OS</v>
          </cell>
          <cell r="AB530" t="str">
            <v>OS</v>
          </cell>
          <cell r="AC530" t="str">
            <v>OS</v>
          </cell>
          <cell r="AD530" t="str">
            <v>AGM-01-025-033</v>
          </cell>
          <cell r="AE530" t="str">
            <v xml:space="preserve">Raemulan Lands, Inc. </v>
          </cell>
          <cell r="AF530" t="str">
            <v>Agapeya</v>
          </cell>
          <cell r="AG530" t="str">
            <v>AGM</v>
          </cell>
          <cell r="AH530" t="str">
            <v>Eco-High</v>
          </cell>
          <cell r="AI530" t="str">
            <v>West</v>
          </cell>
          <cell r="AJ530" t="str">
            <v>With LTS</v>
          </cell>
          <cell r="AK530" t="str">
            <v>Unaffected lots</v>
          </cell>
          <cell r="AL530" t="str">
            <v>Unaffected lots</v>
          </cell>
          <cell r="AM530" t="b">
            <v>1</v>
          </cell>
          <cell r="AN530" t="str">
            <v>YES</v>
          </cell>
          <cell r="AO530" t="str">
            <v>B2 2025</v>
          </cell>
          <cell r="AP530">
            <v>70</v>
          </cell>
          <cell r="AQ530" t="str">
            <v>PCS-04-276764</v>
          </cell>
          <cell r="AR530" t="b">
            <v>1</v>
          </cell>
          <cell r="AS530" t="str">
            <v>Done</v>
          </cell>
          <cell r="AT530" t="str">
            <v>2025 - Batch 2</v>
          </cell>
          <cell r="AU530">
            <v>25</v>
          </cell>
          <cell r="AV530">
            <v>33</v>
          </cell>
          <cell r="AW530" t="str">
            <v>H+L</v>
          </cell>
          <cell r="AX530">
            <v>70</v>
          </cell>
          <cell r="AY530">
            <v>50</v>
          </cell>
          <cell r="AZ530" t="str">
            <v>Duplex</v>
          </cell>
          <cell r="BA530">
            <v>1</v>
          </cell>
          <cell r="BB530" t="str">
            <v>568 - Without Partition</v>
          </cell>
          <cell r="BC530" t="str">
            <v xml:space="preserve">Without Partition </v>
          </cell>
          <cell r="BD530" t="str">
            <v>Flat</v>
          </cell>
          <cell r="BE530" t="str">
            <v xml:space="preserve">Without Partition </v>
          </cell>
          <cell r="BF530" t="str">
            <v>PURPLE</v>
          </cell>
          <cell r="BG530">
            <v>2500000</v>
          </cell>
          <cell r="BH530">
            <v>2650000</v>
          </cell>
          <cell r="BI530">
            <v>100000</v>
          </cell>
          <cell r="BJ530">
            <v>2550000</v>
          </cell>
          <cell r="BK530">
            <v>0</v>
          </cell>
          <cell r="BL530">
            <v>2550000</v>
          </cell>
        </row>
        <row r="531">
          <cell r="D531" t="str">
            <v>OS</v>
          </cell>
          <cell r="E531"/>
          <cell r="F531">
            <v>511</v>
          </cell>
          <cell r="G531" t="str">
            <v>SOLD</v>
          </cell>
          <cell r="H531" t="str">
            <v>OS</v>
          </cell>
          <cell r="I531" t="str">
            <v>OS</v>
          </cell>
          <cell r="J531" t="str">
            <v>OS</v>
          </cell>
          <cell r="K531" t="str">
            <v>OS</v>
          </cell>
          <cell r="L531" t="str">
            <v>OS</v>
          </cell>
          <cell r="M531" t="str">
            <v>OS</v>
          </cell>
          <cell r="N531" t="str">
            <v>OS</v>
          </cell>
          <cell r="O531" t="str">
            <v>OS</v>
          </cell>
          <cell r="P531" t="str">
            <v>OS</v>
          </cell>
          <cell r="Q531" t="str">
            <v>OS</v>
          </cell>
          <cell r="R531" t="str">
            <v>OS</v>
          </cell>
          <cell r="S531" t="str">
            <v>OS</v>
          </cell>
          <cell r="T531" t="str">
            <v>OS</v>
          </cell>
          <cell r="U531" t="str">
            <v>OS</v>
          </cell>
          <cell r="V531" t="str">
            <v>OS</v>
          </cell>
          <cell r="W531" t="str">
            <v>OS</v>
          </cell>
          <cell r="X531" t="str">
            <v>OS</v>
          </cell>
          <cell r="Y531" t="str">
            <v>OS</v>
          </cell>
          <cell r="Z531" t="str">
            <v>OS</v>
          </cell>
          <cell r="AA531" t="str">
            <v>OS</v>
          </cell>
          <cell r="AB531" t="str">
            <v>OS</v>
          </cell>
          <cell r="AC531" t="str">
            <v>OS</v>
          </cell>
          <cell r="AD531" t="str">
            <v>AGM-01-025-034</v>
          </cell>
          <cell r="AE531" t="str">
            <v xml:space="preserve">Raemulan Lands, Inc. </v>
          </cell>
          <cell r="AF531" t="str">
            <v>Agapeya</v>
          </cell>
          <cell r="AG531" t="str">
            <v>AGM</v>
          </cell>
          <cell r="AH531" t="str">
            <v>Eco-High</v>
          </cell>
          <cell r="AI531" t="str">
            <v>West</v>
          </cell>
          <cell r="AJ531" t="str">
            <v>With LTS</v>
          </cell>
          <cell r="AK531" t="str">
            <v>Unaffected lots</v>
          </cell>
          <cell r="AL531" t="str">
            <v>Unaffected lots</v>
          </cell>
          <cell r="AM531" t="b">
            <v>1</v>
          </cell>
          <cell r="AN531" t="str">
            <v>YES</v>
          </cell>
          <cell r="AO531" t="str">
            <v>B2 2025</v>
          </cell>
          <cell r="AP531">
            <v>70</v>
          </cell>
          <cell r="AQ531" t="str">
            <v>PCS-04-276764</v>
          </cell>
          <cell r="AR531" t="b">
            <v>1</v>
          </cell>
          <cell r="AS531" t="str">
            <v>Done</v>
          </cell>
          <cell r="AT531" t="str">
            <v>2025 - Batch 2</v>
          </cell>
          <cell r="AU531">
            <v>25</v>
          </cell>
          <cell r="AV531">
            <v>34</v>
          </cell>
          <cell r="AW531" t="str">
            <v>H+L</v>
          </cell>
          <cell r="AX531">
            <v>70</v>
          </cell>
          <cell r="AY531">
            <v>50</v>
          </cell>
          <cell r="AZ531" t="str">
            <v>Duplex</v>
          </cell>
          <cell r="BA531">
            <v>1</v>
          </cell>
          <cell r="BB531" t="str">
            <v>568 - Without Partition</v>
          </cell>
          <cell r="BC531" t="str">
            <v xml:space="preserve">Without Partition </v>
          </cell>
          <cell r="BD531" t="str">
            <v>Slant</v>
          </cell>
          <cell r="BE531" t="str">
            <v xml:space="preserve">Without Partition </v>
          </cell>
          <cell r="BF531" t="str">
            <v>PURPLE</v>
          </cell>
          <cell r="BG531">
            <v>2500000</v>
          </cell>
          <cell r="BH531">
            <v>2650000</v>
          </cell>
          <cell r="BI531">
            <v>100000</v>
          </cell>
          <cell r="BJ531">
            <v>2550000</v>
          </cell>
          <cell r="BK531">
            <v>0</v>
          </cell>
          <cell r="BL531">
            <v>2550000</v>
          </cell>
        </row>
        <row r="532">
          <cell r="D532" t="str">
            <v>OS</v>
          </cell>
          <cell r="E532"/>
          <cell r="F532">
            <v>512</v>
          </cell>
          <cell r="G532" t="str">
            <v>SOLD</v>
          </cell>
          <cell r="H532" t="str">
            <v>OS</v>
          </cell>
          <cell r="I532" t="str">
            <v>OS</v>
          </cell>
          <cell r="J532" t="str">
            <v>OS</v>
          </cell>
          <cell r="K532" t="str">
            <v>OS</v>
          </cell>
          <cell r="L532" t="str">
            <v>OS</v>
          </cell>
          <cell r="M532" t="str">
            <v>OS</v>
          </cell>
          <cell r="N532" t="str">
            <v>OS</v>
          </cell>
          <cell r="O532" t="str">
            <v>OS</v>
          </cell>
          <cell r="P532" t="str">
            <v>OS</v>
          </cell>
          <cell r="Q532" t="str">
            <v>OS</v>
          </cell>
          <cell r="R532" t="str">
            <v>OS</v>
          </cell>
          <cell r="S532" t="str">
            <v>OS</v>
          </cell>
          <cell r="T532" t="str">
            <v>OS</v>
          </cell>
          <cell r="U532" t="str">
            <v>OS</v>
          </cell>
          <cell r="V532" t="str">
            <v>OS</v>
          </cell>
          <cell r="W532" t="str">
            <v>OS</v>
          </cell>
          <cell r="X532" t="str">
            <v>OS</v>
          </cell>
          <cell r="Y532" t="str">
            <v>OS</v>
          </cell>
          <cell r="Z532" t="str">
            <v>OS</v>
          </cell>
          <cell r="AA532" t="str">
            <v>OS</v>
          </cell>
          <cell r="AB532" t="str">
            <v>OS</v>
          </cell>
          <cell r="AC532" t="str">
            <v>OS</v>
          </cell>
          <cell r="AD532" t="str">
            <v>AGM-01-025-035</v>
          </cell>
          <cell r="AE532" t="str">
            <v xml:space="preserve">Raemulan Lands, Inc. </v>
          </cell>
          <cell r="AF532" t="str">
            <v>Agapeya</v>
          </cell>
          <cell r="AG532" t="str">
            <v>AGM</v>
          </cell>
          <cell r="AH532" t="str">
            <v>Eco-High</v>
          </cell>
          <cell r="AI532" t="str">
            <v>West</v>
          </cell>
          <cell r="AJ532" t="str">
            <v>With LTS</v>
          </cell>
          <cell r="AK532" t="str">
            <v>Unaffected lots</v>
          </cell>
          <cell r="AL532" t="str">
            <v>Unaffected lots</v>
          </cell>
          <cell r="AM532" t="b">
            <v>1</v>
          </cell>
          <cell r="AN532" t="str">
            <v>YES</v>
          </cell>
          <cell r="AO532" t="str">
            <v>B2 2025</v>
          </cell>
          <cell r="AP532">
            <v>70</v>
          </cell>
          <cell r="AQ532" t="str">
            <v>PCS-04-276764</v>
          </cell>
          <cell r="AR532" t="b">
            <v>1</v>
          </cell>
          <cell r="AS532" t="str">
            <v>Done</v>
          </cell>
          <cell r="AT532" t="str">
            <v>2025 - Batch 2</v>
          </cell>
          <cell r="AU532">
            <v>25</v>
          </cell>
          <cell r="AV532">
            <v>35</v>
          </cell>
          <cell r="AW532" t="str">
            <v>H+L</v>
          </cell>
          <cell r="AX532">
            <v>70</v>
          </cell>
          <cell r="AY532">
            <v>50</v>
          </cell>
          <cell r="AZ532" t="str">
            <v>Duplex</v>
          </cell>
          <cell r="BA532">
            <v>1</v>
          </cell>
          <cell r="BB532" t="str">
            <v>568 - Without Partition</v>
          </cell>
          <cell r="BC532" t="str">
            <v xml:space="preserve">Without Partition </v>
          </cell>
          <cell r="BD532" t="str">
            <v>Slant</v>
          </cell>
          <cell r="BE532" t="str">
            <v xml:space="preserve">Without Partition </v>
          </cell>
          <cell r="BF532" t="str">
            <v>GREEN</v>
          </cell>
          <cell r="BG532">
            <v>2500000</v>
          </cell>
          <cell r="BH532">
            <v>2650000</v>
          </cell>
          <cell r="BI532">
            <v>100000</v>
          </cell>
          <cell r="BJ532">
            <v>2550000</v>
          </cell>
          <cell r="BK532">
            <v>0</v>
          </cell>
          <cell r="BL532">
            <v>2550000</v>
          </cell>
        </row>
        <row r="533">
          <cell r="D533" t="str">
            <v>OS</v>
          </cell>
          <cell r="E533"/>
          <cell r="F533">
            <v>513</v>
          </cell>
          <cell r="G533" t="str">
            <v>SOLD</v>
          </cell>
          <cell r="H533" t="str">
            <v>OS</v>
          </cell>
          <cell r="I533" t="str">
            <v>OS</v>
          </cell>
          <cell r="J533" t="str">
            <v>OS</v>
          </cell>
          <cell r="K533" t="str">
            <v>OS</v>
          </cell>
          <cell r="L533" t="str">
            <v>OS</v>
          </cell>
          <cell r="M533" t="str">
            <v>OS</v>
          </cell>
          <cell r="N533" t="str">
            <v>OS</v>
          </cell>
          <cell r="O533" t="str">
            <v>OS</v>
          </cell>
          <cell r="P533" t="str">
            <v>OS</v>
          </cell>
          <cell r="Q533" t="str">
            <v>OS</v>
          </cell>
          <cell r="R533" t="str">
            <v>OS</v>
          </cell>
          <cell r="S533" t="str">
            <v>OS</v>
          </cell>
          <cell r="T533" t="str">
            <v>OS</v>
          </cell>
          <cell r="U533" t="str">
            <v>OS</v>
          </cell>
          <cell r="V533" t="str">
            <v>OS</v>
          </cell>
          <cell r="W533" t="str">
            <v>OS</v>
          </cell>
          <cell r="X533" t="str">
            <v>OS</v>
          </cell>
          <cell r="Y533" t="str">
            <v>OS</v>
          </cell>
          <cell r="Z533" t="str">
            <v>OS</v>
          </cell>
          <cell r="AA533" t="str">
            <v>OS</v>
          </cell>
          <cell r="AB533" t="str">
            <v>OS</v>
          </cell>
          <cell r="AC533" t="str">
            <v>OS</v>
          </cell>
          <cell r="AD533" t="str">
            <v>AGM-01-025-036</v>
          </cell>
          <cell r="AE533" t="str">
            <v xml:space="preserve">Raemulan Lands, Inc. </v>
          </cell>
          <cell r="AF533" t="str">
            <v>Agapeya</v>
          </cell>
          <cell r="AG533" t="str">
            <v>AGM</v>
          </cell>
          <cell r="AH533" t="str">
            <v>Eco-High</v>
          </cell>
          <cell r="AI533" t="str">
            <v>West</v>
          </cell>
          <cell r="AJ533" t="str">
            <v>With LTS</v>
          </cell>
          <cell r="AK533" t="str">
            <v>Unaffected lots</v>
          </cell>
          <cell r="AL533" t="str">
            <v>Unaffected lots</v>
          </cell>
          <cell r="AM533" t="b">
            <v>1</v>
          </cell>
          <cell r="AN533" t="str">
            <v>YES</v>
          </cell>
          <cell r="AO533" t="str">
            <v>B2 2025</v>
          </cell>
          <cell r="AP533">
            <v>70</v>
          </cell>
          <cell r="AQ533" t="str">
            <v>PCS-04-276764</v>
          </cell>
          <cell r="AR533" t="b">
            <v>1</v>
          </cell>
          <cell r="AS533" t="str">
            <v>Done</v>
          </cell>
          <cell r="AT533" t="str">
            <v>2025 - Batch 2</v>
          </cell>
          <cell r="AU533">
            <v>25</v>
          </cell>
          <cell r="AV533">
            <v>36</v>
          </cell>
          <cell r="AW533" t="str">
            <v>H+L</v>
          </cell>
          <cell r="AX533">
            <v>70</v>
          </cell>
          <cell r="AY533">
            <v>50</v>
          </cell>
          <cell r="AZ533" t="str">
            <v>Duplex</v>
          </cell>
          <cell r="BA533">
            <v>1</v>
          </cell>
          <cell r="BB533" t="str">
            <v>568 - Without Partition</v>
          </cell>
          <cell r="BC533" t="str">
            <v xml:space="preserve">Without Partition </v>
          </cell>
          <cell r="BD533" t="str">
            <v>Flat</v>
          </cell>
          <cell r="BE533" t="str">
            <v xml:space="preserve">Without Partition </v>
          </cell>
          <cell r="BF533" t="str">
            <v>GREEN</v>
          </cell>
          <cell r="BG533">
            <v>2500000</v>
          </cell>
          <cell r="BH533">
            <v>2650000</v>
          </cell>
          <cell r="BI533">
            <v>100000</v>
          </cell>
          <cell r="BJ533">
            <v>2550000</v>
          </cell>
          <cell r="BK533">
            <v>0</v>
          </cell>
          <cell r="BL533">
            <v>2550000</v>
          </cell>
        </row>
        <row r="534">
          <cell r="D534" t="str">
            <v>OS</v>
          </cell>
          <cell r="E534"/>
          <cell r="F534">
            <v>514</v>
          </cell>
          <cell r="G534" t="str">
            <v>SOLD</v>
          </cell>
          <cell r="H534" t="str">
            <v>OS</v>
          </cell>
          <cell r="I534" t="str">
            <v>OS</v>
          </cell>
          <cell r="J534" t="str">
            <v>OS</v>
          </cell>
          <cell r="K534" t="str">
            <v>OS</v>
          </cell>
          <cell r="L534" t="str">
            <v>OS</v>
          </cell>
          <cell r="M534" t="str">
            <v>OS</v>
          </cell>
          <cell r="N534" t="str">
            <v>OS</v>
          </cell>
          <cell r="O534" t="str">
            <v>OS</v>
          </cell>
          <cell r="P534" t="str">
            <v>OS</v>
          </cell>
          <cell r="Q534" t="str">
            <v>OS</v>
          </cell>
          <cell r="R534" t="str">
            <v>OS</v>
          </cell>
          <cell r="S534" t="str">
            <v>OS</v>
          </cell>
          <cell r="T534" t="str">
            <v>OS</v>
          </cell>
          <cell r="U534" t="str">
            <v>OS</v>
          </cell>
          <cell r="V534" t="str">
            <v>OS</v>
          </cell>
          <cell r="W534" t="str">
            <v>OS</v>
          </cell>
          <cell r="X534" t="str">
            <v>OS</v>
          </cell>
          <cell r="Y534" t="str">
            <v>OS</v>
          </cell>
          <cell r="Z534" t="str">
            <v>OS</v>
          </cell>
          <cell r="AA534" t="str">
            <v>OS</v>
          </cell>
          <cell r="AB534" t="str">
            <v>OS</v>
          </cell>
          <cell r="AC534" t="str">
            <v>OS</v>
          </cell>
          <cell r="AD534" t="str">
            <v>AGM-01-025-037</v>
          </cell>
          <cell r="AE534" t="str">
            <v xml:space="preserve">Raemulan Lands, Inc. </v>
          </cell>
          <cell r="AF534" t="str">
            <v>Agapeya</v>
          </cell>
          <cell r="AG534" t="str">
            <v>AGM</v>
          </cell>
          <cell r="AH534" t="str">
            <v>Eco-High</v>
          </cell>
          <cell r="AI534" t="str">
            <v>West</v>
          </cell>
          <cell r="AJ534" t="str">
            <v>With LTS</v>
          </cell>
          <cell r="AK534" t="str">
            <v>Unaffected lots</v>
          </cell>
          <cell r="AL534" t="str">
            <v>Unaffected lots</v>
          </cell>
          <cell r="AM534" t="b">
            <v>1</v>
          </cell>
          <cell r="AN534" t="str">
            <v>YES</v>
          </cell>
          <cell r="AO534" t="str">
            <v>B2 2025</v>
          </cell>
          <cell r="AP534">
            <v>70</v>
          </cell>
          <cell r="AQ534" t="str">
            <v>PCS-04-276764</v>
          </cell>
          <cell r="AR534" t="b">
            <v>1</v>
          </cell>
          <cell r="AS534" t="str">
            <v>Done</v>
          </cell>
          <cell r="AT534" t="str">
            <v>2025 - Batch 2</v>
          </cell>
          <cell r="AU534">
            <v>25</v>
          </cell>
          <cell r="AV534">
            <v>37</v>
          </cell>
          <cell r="AW534" t="str">
            <v>H+L</v>
          </cell>
          <cell r="AX534">
            <v>70</v>
          </cell>
          <cell r="AY534">
            <v>50</v>
          </cell>
          <cell r="AZ534" t="str">
            <v>Duplex</v>
          </cell>
          <cell r="BA534">
            <v>1</v>
          </cell>
          <cell r="BB534" t="str">
            <v>568 - Without Partition</v>
          </cell>
          <cell r="BC534" t="str">
            <v xml:space="preserve">Without Partition </v>
          </cell>
          <cell r="BD534" t="str">
            <v>Flat</v>
          </cell>
          <cell r="BE534" t="str">
            <v xml:space="preserve">Without Partition </v>
          </cell>
          <cell r="BF534" t="str">
            <v>GREEN</v>
          </cell>
          <cell r="BG534">
            <v>2500000</v>
          </cell>
          <cell r="BH534">
            <v>2650000</v>
          </cell>
          <cell r="BI534">
            <v>100000</v>
          </cell>
          <cell r="BJ534">
            <v>2550000</v>
          </cell>
          <cell r="BK534">
            <v>0</v>
          </cell>
          <cell r="BL534">
            <v>2550000</v>
          </cell>
        </row>
        <row r="535">
          <cell r="D535" t="str">
            <v>OS</v>
          </cell>
          <cell r="E535"/>
          <cell r="F535">
            <v>515</v>
          </cell>
          <cell r="G535" t="str">
            <v>UNSOLD</v>
          </cell>
          <cell r="H535" t="str">
            <v>TS</v>
          </cell>
          <cell r="I535" t="str">
            <v>TS</v>
          </cell>
          <cell r="J535" t="str">
            <v>OS</v>
          </cell>
          <cell r="K535" t="str">
            <v>OS</v>
          </cell>
          <cell r="L535" t="str">
            <v>OS</v>
          </cell>
          <cell r="M535" t="str">
            <v>OS</v>
          </cell>
          <cell r="N535" t="str">
            <v>OS</v>
          </cell>
          <cell r="O535" t="str">
            <v>OS</v>
          </cell>
          <cell r="P535" t="str">
            <v>OS</v>
          </cell>
          <cell r="Q535" t="str">
            <v>OS</v>
          </cell>
          <cell r="R535" t="str">
            <v>OS</v>
          </cell>
          <cell r="S535" t="str">
            <v>OS</v>
          </cell>
          <cell r="T535" t="str">
            <v>OS</v>
          </cell>
          <cell r="U535" t="str">
            <v>OS</v>
          </cell>
          <cell r="V535" t="str">
            <v>OS</v>
          </cell>
          <cell r="W535" t="str">
            <v>OS</v>
          </cell>
          <cell r="X535" t="str">
            <v>OS</v>
          </cell>
          <cell r="Y535" t="str">
            <v>OS</v>
          </cell>
          <cell r="Z535" t="str">
            <v>OS</v>
          </cell>
          <cell r="AA535" t="str">
            <v>OS</v>
          </cell>
          <cell r="AB535" t="str">
            <v>OS</v>
          </cell>
          <cell r="AC535" t="str">
            <v>OS</v>
          </cell>
          <cell r="AD535" t="str">
            <v>AGM-01-025-038</v>
          </cell>
          <cell r="AE535" t="str">
            <v xml:space="preserve">Raemulan Lands, Inc. </v>
          </cell>
          <cell r="AF535" t="str">
            <v>Agapeya</v>
          </cell>
          <cell r="AG535" t="str">
            <v>AGM</v>
          </cell>
          <cell r="AH535" t="str">
            <v>Eco-High</v>
          </cell>
          <cell r="AI535" t="str">
            <v>West</v>
          </cell>
          <cell r="AJ535" t="str">
            <v>With LTS</v>
          </cell>
          <cell r="AK535" t="str">
            <v>Unaffected lots</v>
          </cell>
          <cell r="AL535" t="str">
            <v>Unaffected lots</v>
          </cell>
          <cell r="AM535" t="b">
            <v>1</v>
          </cell>
          <cell r="AN535" t="str">
            <v>YES</v>
          </cell>
          <cell r="AO535" t="str">
            <v>B2 2025</v>
          </cell>
          <cell r="AP535">
            <v>70</v>
          </cell>
          <cell r="AQ535" t="str">
            <v>PCS-04-276764</v>
          </cell>
          <cell r="AR535" t="b">
            <v>1</v>
          </cell>
          <cell r="AS535" t="str">
            <v>Done</v>
          </cell>
          <cell r="AT535" t="str">
            <v>2025 - Batch 2</v>
          </cell>
          <cell r="AU535">
            <v>25</v>
          </cell>
          <cell r="AV535">
            <v>38</v>
          </cell>
          <cell r="AW535" t="str">
            <v>H+L</v>
          </cell>
          <cell r="AX535">
            <v>70</v>
          </cell>
          <cell r="AY535">
            <v>50</v>
          </cell>
          <cell r="AZ535" t="str">
            <v>Duplex</v>
          </cell>
          <cell r="BA535">
            <v>1</v>
          </cell>
          <cell r="BB535" t="str">
            <v>568 - Without Partition</v>
          </cell>
          <cell r="BC535" t="str">
            <v xml:space="preserve">Without Partition </v>
          </cell>
          <cell r="BD535" t="str">
            <v>Slant</v>
          </cell>
          <cell r="BE535" t="str">
            <v xml:space="preserve">Without Partition </v>
          </cell>
          <cell r="BF535" t="str">
            <v>GREEN</v>
          </cell>
          <cell r="BG535">
            <v>2422034.826150645</v>
          </cell>
          <cell r="BH535">
            <v>2650000</v>
          </cell>
          <cell r="BI535">
            <v>100000</v>
          </cell>
          <cell r="BJ535">
            <v>2550000</v>
          </cell>
          <cell r="BK535">
            <v>0</v>
          </cell>
          <cell r="BL535">
            <v>2550000</v>
          </cell>
        </row>
        <row r="536">
          <cell r="D536" t="str">
            <v>OS</v>
          </cell>
          <cell r="E536"/>
          <cell r="F536">
            <v>516</v>
          </cell>
          <cell r="G536" t="str">
            <v>UNSOLD</v>
          </cell>
          <cell r="H536" t="str">
            <v>TS</v>
          </cell>
          <cell r="I536" t="str">
            <v>TS</v>
          </cell>
          <cell r="J536" t="str">
            <v>OS</v>
          </cell>
          <cell r="K536" t="str">
            <v>OS</v>
          </cell>
          <cell r="L536" t="str">
            <v>OS</v>
          </cell>
          <cell r="M536" t="str">
            <v>OS</v>
          </cell>
          <cell r="N536" t="str">
            <v>OS</v>
          </cell>
          <cell r="O536" t="str">
            <v>OS</v>
          </cell>
          <cell r="P536" t="str">
            <v>OS</v>
          </cell>
          <cell r="Q536" t="str">
            <v>OS</v>
          </cell>
          <cell r="R536" t="str">
            <v>OS</v>
          </cell>
          <cell r="S536" t="str">
            <v>OS</v>
          </cell>
          <cell r="T536" t="str">
            <v>OS</v>
          </cell>
          <cell r="U536" t="str">
            <v>OS</v>
          </cell>
          <cell r="V536" t="str">
            <v>OS</v>
          </cell>
          <cell r="W536" t="str">
            <v>OS</v>
          </cell>
          <cell r="X536" t="str">
            <v>OS</v>
          </cell>
          <cell r="Y536" t="str">
            <v>OS</v>
          </cell>
          <cell r="Z536" t="str">
            <v>OS</v>
          </cell>
          <cell r="AA536" t="str">
            <v>OS</v>
          </cell>
          <cell r="AB536" t="str">
            <v>OS</v>
          </cell>
          <cell r="AC536" t="str">
            <v>OS</v>
          </cell>
          <cell r="AD536" t="str">
            <v>AGM-01-025-039</v>
          </cell>
          <cell r="AE536" t="str">
            <v xml:space="preserve">Raemulan Lands, Inc. </v>
          </cell>
          <cell r="AF536" t="str">
            <v>Agapeya</v>
          </cell>
          <cell r="AG536" t="str">
            <v>AGM</v>
          </cell>
          <cell r="AH536" t="str">
            <v>Eco-High</v>
          </cell>
          <cell r="AI536" t="str">
            <v>West</v>
          </cell>
          <cell r="AJ536" t="str">
            <v>With LTS</v>
          </cell>
          <cell r="AK536" t="str">
            <v>Unaffected lots</v>
          </cell>
          <cell r="AL536" t="str">
            <v>Unaffected lots</v>
          </cell>
          <cell r="AM536" t="b">
            <v>0</v>
          </cell>
          <cell r="AN536" t="str">
            <v>NO</v>
          </cell>
          <cell r="AO536" t="str">
            <v>B2 2025</v>
          </cell>
          <cell r="AP536">
            <v>70</v>
          </cell>
          <cell r="AQ536" t="str">
            <v>PCS-04-035871</v>
          </cell>
          <cell r="AR536" t="b">
            <v>1</v>
          </cell>
          <cell r="AS536" t="str">
            <v>Done</v>
          </cell>
          <cell r="AT536" t="str">
            <v>2025 - Batch 5</v>
          </cell>
          <cell r="AU536">
            <v>25</v>
          </cell>
          <cell r="AV536">
            <v>39</v>
          </cell>
          <cell r="AW536" t="str">
            <v>H+L</v>
          </cell>
          <cell r="AX536">
            <v>70</v>
          </cell>
          <cell r="AY536">
            <v>50</v>
          </cell>
          <cell r="AZ536" t="str">
            <v>Duplex</v>
          </cell>
          <cell r="BA536">
            <v>1</v>
          </cell>
          <cell r="BB536" t="str">
            <v>568 - Without Partition</v>
          </cell>
          <cell r="BC536" t="str">
            <v xml:space="preserve">Without Partition </v>
          </cell>
          <cell r="BD536" t="str">
            <v>Slant</v>
          </cell>
          <cell r="BE536" t="str">
            <v xml:space="preserve">Without Partition </v>
          </cell>
          <cell r="BF536" t="str">
            <v>YELLOW</v>
          </cell>
          <cell r="BG536">
            <v>2422034.826150645</v>
          </cell>
          <cell r="BH536">
            <v>2650000</v>
          </cell>
          <cell r="BI536">
            <v>100000</v>
          </cell>
          <cell r="BJ536">
            <v>2550000</v>
          </cell>
          <cell r="BK536">
            <v>0</v>
          </cell>
          <cell r="BL536">
            <v>2550000</v>
          </cell>
        </row>
        <row r="537">
          <cell r="D537" t="str">
            <v>OS</v>
          </cell>
          <cell r="E537"/>
          <cell r="F537">
            <v>517</v>
          </cell>
          <cell r="G537" t="str">
            <v>UNSOLD</v>
          </cell>
          <cell r="H537" t="str">
            <v>TS</v>
          </cell>
          <cell r="I537" t="str">
            <v>TS</v>
          </cell>
          <cell r="J537" t="str">
            <v>OS</v>
          </cell>
          <cell r="K537" t="str">
            <v>OS</v>
          </cell>
          <cell r="L537" t="str">
            <v>OS</v>
          </cell>
          <cell r="M537" t="str">
            <v>OS</v>
          </cell>
          <cell r="N537" t="str">
            <v>OS</v>
          </cell>
          <cell r="O537" t="str">
            <v>OS</v>
          </cell>
          <cell r="P537" t="str">
            <v>OS</v>
          </cell>
          <cell r="Q537" t="str">
            <v>OS</v>
          </cell>
          <cell r="R537" t="str">
            <v>OS</v>
          </cell>
          <cell r="S537" t="str">
            <v>OS</v>
          </cell>
          <cell r="T537" t="str">
            <v>OS</v>
          </cell>
          <cell r="U537" t="str">
            <v>OS</v>
          </cell>
          <cell r="V537" t="str">
            <v>OS</v>
          </cell>
          <cell r="W537" t="str">
            <v>OS</v>
          </cell>
          <cell r="X537" t="str">
            <v>OS</v>
          </cell>
          <cell r="Y537" t="str">
            <v>OS</v>
          </cell>
          <cell r="Z537" t="str">
            <v>OS</v>
          </cell>
          <cell r="AA537" t="str">
            <v>OS</v>
          </cell>
          <cell r="AB537" t="str">
            <v>OS</v>
          </cell>
          <cell r="AC537" t="str">
            <v>OS</v>
          </cell>
          <cell r="AD537" t="str">
            <v>AGM-01-025-040</v>
          </cell>
          <cell r="AE537" t="str">
            <v xml:space="preserve">Raemulan Lands, Inc. </v>
          </cell>
          <cell r="AF537" t="str">
            <v>Agapeya</v>
          </cell>
          <cell r="AG537" t="str">
            <v>AGM</v>
          </cell>
          <cell r="AH537" t="str">
            <v>Eco-High</v>
          </cell>
          <cell r="AI537" t="str">
            <v>West</v>
          </cell>
          <cell r="AJ537" t="str">
            <v>With LTS</v>
          </cell>
          <cell r="AK537" t="str">
            <v>Unaffected lots</v>
          </cell>
          <cell r="AL537" t="str">
            <v>Unaffected lots</v>
          </cell>
          <cell r="AM537" t="b">
            <v>1</v>
          </cell>
          <cell r="AN537" t="str">
            <v>YES</v>
          </cell>
          <cell r="AO537" t="str">
            <v>B2 2025</v>
          </cell>
          <cell r="AP537">
            <v>70</v>
          </cell>
          <cell r="AQ537" t="str">
            <v>PCS-04-034298</v>
          </cell>
          <cell r="AR537" t="b">
            <v>1</v>
          </cell>
          <cell r="AS537" t="str">
            <v>Done</v>
          </cell>
          <cell r="AT537" t="str">
            <v>2025 - Batch 5</v>
          </cell>
          <cell r="AU537">
            <v>25</v>
          </cell>
          <cell r="AV537">
            <v>40</v>
          </cell>
          <cell r="AW537" t="str">
            <v>H+L</v>
          </cell>
          <cell r="AX537">
            <v>70</v>
          </cell>
          <cell r="AY537">
            <v>50</v>
          </cell>
          <cell r="AZ537" t="str">
            <v>Duplex</v>
          </cell>
          <cell r="BA537">
            <v>1</v>
          </cell>
          <cell r="BB537" t="str">
            <v>568 - Without Partition</v>
          </cell>
          <cell r="BC537" t="str">
            <v xml:space="preserve">Without Partition </v>
          </cell>
          <cell r="BD537" t="str">
            <v>Flat</v>
          </cell>
          <cell r="BE537" t="str">
            <v xml:space="preserve">Without Partition </v>
          </cell>
          <cell r="BF537" t="str">
            <v>YELLOW</v>
          </cell>
          <cell r="BG537">
            <v>2422034.826150645</v>
          </cell>
          <cell r="BH537">
            <v>2650000</v>
          </cell>
          <cell r="BI537">
            <v>100000</v>
          </cell>
          <cell r="BJ537">
            <v>2550000</v>
          </cell>
          <cell r="BK537">
            <v>0</v>
          </cell>
          <cell r="BL537">
            <v>2550000</v>
          </cell>
        </row>
        <row r="538">
          <cell r="D538" t="str">
            <v>OS</v>
          </cell>
          <cell r="E538"/>
          <cell r="F538">
            <v>518</v>
          </cell>
          <cell r="G538" t="str">
            <v>CLOSED</v>
          </cell>
          <cell r="H538" t="str">
            <v>OPEN</v>
          </cell>
          <cell r="I538" t="str">
            <v>OPEN</v>
          </cell>
          <cell r="J538" t="str">
            <v>HOLD BY CAD</v>
          </cell>
          <cell r="K538" t="str">
            <v>HOLD BY CAD</v>
          </cell>
          <cell r="L538" t="str">
            <v>HOLD BY CAD</v>
          </cell>
          <cell r="M538" t="str">
            <v>HOLD BY CAD</v>
          </cell>
          <cell r="N538" t="str">
            <v>OPEN</v>
          </cell>
          <cell r="O538" t="str">
            <v>HOLD BY CAD</v>
          </cell>
          <cell r="P538" t="str">
            <v>HOLD BY CAD</v>
          </cell>
          <cell r="Q538" t="str">
            <v>HOLD BY CAD</v>
          </cell>
          <cell r="R538" t="str">
            <v>HOLD</v>
          </cell>
          <cell r="S538" t="str">
            <v>HOLD BY CAD</v>
          </cell>
          <cell r="T538" t="str">
            <v>HOLD BY CAD</v>
          </cell>
          <cell r="U538" t="str">
            <v>HOLD BY CAD</v>
          </cell>
          <cell r="V538" t="str">
            <v>OS</v>
          </cell>
          <cell r="W538" t="str">
            <v>HOLD BY CAD</v>
          </cell>
          <cell r="X538" t="str">
            <v>OS</v>
          </cell>
          <cell r="Y538" t="str">
            <v>OS</v>
          </cell>
          <cell r="Z538" t="str">
            <v>OS</v>
          </cell>
          <cell r="AA538" t="str">
            <v>OS</v>
          </cell>
          <cell r="AB538" t="str">
            <v>OS</v>
          </cell>
          <cell r="AC538" t="str">
            <v>OS</v>
          </cell>
          <cell r="AD538" t="str">
            <v>AGM-01-025-041</v>
          </cell>
          <cell r="AE538" t="str">
            <v xml:space="preserve">Raemulan Lands, Inc. </v>
          </cell>
          <cell r="AF538" t="str">
            <v>Agapeya</v>
          </cell>
          <cell r="AG538" t="str">
            <v>AGM</v>
          </cell>
          <cell r="AH538" t="str">
            <v>Eco-High</v>
          </cell>
          <cell r="AI538" t="str">
            <v>West</v>
          </cell>
          <cell r="AJ538" t="str">
            <v>With LTS</v>
          </cell>
          <cell r="AK538" t="str">
            <v>Unaffected lots</v>
          </cell>
          <cell r="AL538" t="str">
            <v>Unaffected lots</v>
          </cell>
          <cell r="AM538" t="b">
            <v>1</v>
          </cell>
          <cell r="AN538" t="str">
            <v>YES</v>
          </cell>
          <cell r="AO538" t="str">
            <v>B2 2025</v>
          </cell>
          <cell r="AP538">
            <v>70</v>
          </cell>
          <cell r="AQ538" t="str">
            <v>PCS-04-034298</v>
          </cell>
          <cell r="AR538" t="b">
            <v>1</v>
          </cell>
          <cell r="AS538" t="str">
            <v>Done</v>
          </cell>
          <cell r="AT538" t="str">
            <v>2025 - Batch 5</v>
          </cell>
          <cell r="AU538">
            <v>25</v>
          </cell>
          <cell r="AV538">
            <v>41</v>
          </cell>
          <cell r="AW538" t="str">
            <v>H+L</v>
          </cell>
          <cell r="AX538">
            <v>70</v>
          </cell>
          <cell r="AY538">
            <v>50</v>
          </cell>
          <cell r="AZ538" t="str">
            <v>Duplex</v>
          </cell>
          <cell r="BA538">
            <v>1</v>
          </cell>
          <cell r="BB538" t="str">
            <v>568 - Without Partition</v>
          </cell>
          <cell r="BC538" t="str">
            <v xml:space="preserve">Without Partition </v>
          </cell>
          <cell r="BD538" t="str">
            <v>Flat</v>
          </cell>
          <cell r="BE538" t="str">
            <v xml:space="preserve">Without Partition </v>
          </cell>
          <cell r="BF538" t="str">
            <v>YELLOW</v>
          </cell>
          <cell r="BG538">
            <v>2422034.826150645</v>
          </cell>
          <cell r="BH538">
            <v>2650000</v>
          </cell>
          <cell r="BI538">
            <v>100000</v>
          </cell>
          <cell r="BJ538">
            <v>2550000</v>
          </cell>
          <cell r="BK538">
            <v>0</v>
          </cell>
          <cell r="BL538">
            <v>2550000</v>
          </cell>
        </row>
        <row r="539">
          <cell r="D539" t="str">
            <v>OS</v>
          </cell>
          <cell r="E539"/>
          <cell r="F539">
            <v>519</v>
          </cell>
          <cell r="G539" t="str">
            <v>UNSOLD</v>
          </cell>
          <cell r="H539" t="str">
            <v>TS</v>
          </cell>
          <cell r="I539" t="str">
            <v>TS</v>
          </cell>
          <cell r="J539" t="str">
            <v>TS</v>
          </cell>
          <cell r="K539" t="str">
            <v>TS</v>
          </cell>
          <cell r="L539" t="str">
            <v>TS</v>
          </cell>
          <cell r="M539" t="str">
            <v>TS</v>
          </cell>
          <cell r="N539" t="str">
            <v>TS</v>
          </cell>
          <cell r="O539" t="str">
            <v>TS</v>
          </cell>
          <cell r="P539" t="str">
            <v>OS</v>
          </cell>
          <cell r="Q539" t="str">
            <v>OS</v>
          </cell>
          <cell r="R539" t="str">
            <v>OS</v>
          </cell>
          <cell r="S539" t="str">
            <v>OS</v>
          </cell>
          <cell r="T539" t="str">
            <v>OS</v>
          </cell>
          <cell r="U539" t="str">
            <v>OS</v>
          </cell>
          <cell r="V539" t="str">
            <v>OS</v>
          </cell>
          <cell r="W539" t="str">
            <v>OS</v>
          </cell>
          <cell r="X539" t="str">
            <v>OS</v>
          </cell>
          <cell r="Y539" t="str">
            <v>OS</v>
          </cell>
          <cell r="Z539" t="str">
            <v>OS</v>
          </cell>
          <cell r="AA539" t="str">
            <v>OS</v>
          </cell>
          <cell r="AB539" t="str">
            <v>OS</v>
          </cell>
          <cell r="AC539" t="str">
            <v>OS</v>
          </cell>
          <cell r="AD539" t="str">
            <v>AGM-01-025-042</v>
          </cell>
          <cell r="AE539" t="str">
            <v xml:space="preserve">Raemulan Lands, Inc. </v>
          </cell>
          <cell r="AF539" t="str">
            <v>Agapeya</v>
          </cell>
          <cell r="AG539" t="str">
            <v>AGM</v>
          </cell>
          <cell r="AH539" t="str">
            <v>Eco-High</v>
          </cell>
          <cell r="AI539" t="str">
            <v>West</v>
          </cell>
          <cell r="AJ539" t="str">
            <v>With LTS</v>
          </cell>
          <cell r="AK539" t="str">
            <v>Unaffected lots</v>
          </cell>
          <cell r="AL539" t="str">
            <v>Unaffected lots</v>
          </cell>
          <cell r="AM539" t="b">
            <v>1</v>
          </cell>
          <cell r="AN539" t="str">
            <v>YES</v>
          </cell>
          <cell r="AO539" t="str">
            <v>B2 2025</v>
          </cell>
          <cell r="AP539">
            <v>70</v>
          </cell>
          <cell r="AQ539" t="str">
            <v>PCS-04-034298</v>
          </cell>
          <cell r="AR539" t="b">
            <v>1</v>
          </cell>
          <cell r="AS539" t="str">
            <v>Done</v>
          </cell>
          <cell r="AT539" t="str">
            <v>2025 - Batch 5</v>
          </cell>
          <cell r="AU539">
            <v>25</v>
          </cell>
          <cell r="AV539">
            <v>42</v>
          </cell>
          <cell r="AW539" t="str">
            <v>H+L</v>
          </cell>
          <cell r="AX539">
            <v>70</v>
          </cell>
          <cell r="AY539">
            <v>50</v>
          </cell>
          <cell r="AZ539" t="str">
            <v>Duplex</v>
          </cell>
          <cell r="BA539">
            <v>1</v>
          </cell>
          <cell r="BB539" t="str">
            <v>568 - Without Partition</v>
          </cell>
          <cell r="BC539" t="str">
            <v xml:space="preserve">Without Partition </v>
          </cell>
          <cell r="BD539" t="str">
            <v>Slant</v>
          </cell>
          <cell r="BE539" t="str">
            <v xml:space="preserve">Without Partition </v>
          </cell>
          <cell r="BF539" t="str">
            <v>YELLOW</v>
          </cell>
          <cell r="BG539">
            <v>2436790.6424646378</v>
          </cell>
          <cell r="BH539">
            <v>2650000</v>
          </cell>
          <cell r="BI539">
            <v>100000</v>
          </cell>
          <cell r="BJ539">
            <v>2550000</v>
          </cell>
          <cell r="BK539">
            <v>0</v>
          </cell>
          <cell r="BL539">
            <v>2550000</v>
          </cell>
        </row>
        <row r="540">
          <cell r="D540" t="str">
            <v>OS</v>
          </cell>
          <cell r="E540"/>
          <cell r="F540">
            <v>520</v>
          </cell>
          <cell r="G540" t="str">
            <v>UNSOLD</v>
          </cell>
          <cell r="H540" t="str">
            <v>OS</v>
          </cell>
          <cell r="I540" t="str">
            <v>OS</v>
          </cell>
          <cell r="J540" t="str">
            <v>OS</v>
          </cell>
          <cell r="K540" t="str">
            <v>OS</v>
          </cell>
          <cell r="L540" t="str">
            <v>OS</v>
          </cell>
          <cell r="M540" t="str">
            <v>OS</v>
          </cell>
          <cell r="N540" t="str">
            <v>OS</v>
          </cell>
          <cell r="O540" t="str">
            <v>OS</v>
          </cell>
          <cell r="P540" t="str">
            <v>OS</v>
          </cell>
          <cell r="Q540" t="str">
            <v>OS</v>
          </cell>
          <cell r="R540" t="str">
            <v>OS</v>
          </cell>
          <cell r="S540" t="str">
            <v>OS</v>
          </cell>
          <cell r="T540" t="str">
            <v>OS</v>
          </cell>
          <cell r="U540" t="str">
            <v>OS</v>
          </cell>
          <cell r="V540" t="str">
            <v>OS</v>
          </cell>
          <cell r="W540" t="str">
            <v>OS</v>
          </cell>
          <cell r="X540" t="str">
            <v>OS</v>
          </cell>
          <cell r="Y540" t="str">
            <v>OS</v>
          </cell>
          <cell r="Z540" t="str">
            <v>OS</v>
          </cell>
          <cell r="AA540" t="str">
            <v>OS</v>
          </cell>
          <cell r="AB540" t="str">
            <v>OS</v>
          </cell>
          <cell r="AC540" t="str">
            <v>OS</v>
          </cell>
          <cell r="AD540" t="str">
            <v>AGM-01-025-043</v>
          </cell>
          <cell r="AE540" t="str">
            <v xml:space="preserve">Raemulan Lands, Inc. </v>
          </cell>
          <cell r="AF540" t="str">
            <v>Agapeya</v>
          </cell>
          <cell r="AG540" t="str">
            <v>AGM</v>
          </cell>
          <cell r="AH540" t="str">
            <v>Eco-High</v>
          </cell>
          <cell r="AI540" t="str">
            <v>West</v>
          </cell>
          <cell r="AJ540" t="str">
            <v>With LTS</v>
          </cell>
          <cell r="AK540" t="str">
            <v>Unaffected lots</v>
          </cell>
          <cell r="AL540" t="str">
            <v>Unaffected lots</v>
          </cell>
          <cell r="AM540" t="b">
            <v>1</v>
          </cell>
          <cell r="AN540" t="str">
            <v>YES</v>
          </cell>
          <cell r="AO540" t="str">
            <v>B2 2025</v>
          </cell>
          <cell r="AP540">
            <v>70</v>
          </cell>
          <cell r="AQ540" t="str">
            <v>PCS-04-034298</v>
          </cell>
          <cell r="AR540" t="b">
            <v>1</v>
          </cell>
          <cell r="AS540" t="str">
            <v>Done</v>
          </cell>
          <cell r="AT540" t="str">
            <v>2025 - Batch 5</v>
          </cell>
          <cell r="AU540">
            <v>25</v>
          </cell>
          <cell r="AV540">
            <v>43</v>
          </cell>
          <cell r="AW540" t="str">
            <v>H+L</v>
          </cell>
          <cell r="AX540">
            <v>70</v>
          </cell>
          <cell r="AY540">
            <v>50</v>
          </cell>
          <cell r="AZ540" t="str">
            <v>Duplex</v>
          </cell>
          <cell r="BA540">
            <v>1</v>
          </cell>
          <cell r="BB540" t="str">
            <v>568 - Without Partition</v>
          </cell>
          <cell r="BC540" t="str">
            <v xml:space="preserve">Without Partition </v>
          </cell>
          <cell r="BD540" t="str">
            <v>Slant</v>
          </cell>
          <cell r="BE540" t="str">
            <v xml:space="preserve">Without Partition </v>
          </cell>
          <cell r="BF540" t="str">
            <v>PINK</v>
          </cell>
          <cell r="BG540">
            <v>1624527.0949764252</v>
          </cell>
          <cell r="BH540">
            <v>2650000</v>
          </cell>
          <cell r="BI540">
            <v>100000</v>
          </cell>
          <cell r="BJ540">
            <v>2550000</v>
          </cell>
          <cell r="BK540">
            <v>0</v>
          </cell>
          <cell r="BL540">
            <v>2550000</v>
          </cell>
        </row>
        <row r="541">
          <cell r="D541" t="str">
            <v>OS</v>
          </cell>
          <cell r="E541"/>
          <cell r="F541">
            <v>521</v>
          </cell>
          <cell r="G541" t="str">
            <v>UNSOLD</v>
          </cell>
          <cell r="H541" t="str">
            <v>TS</v>
          </cell>
          <cell r="I541" t="str">
            <v>TS</v>
          </cell>
          <cell r="J541" t="str">
            <v>TS</v>
          </cell>
          <cell r="K541" t="str">
            <v>TS</v>
          </cell>
          <cell r="L541" t="str">
            <v>TS</v>
          </cell>
          <cell r="M541" t="str">
            <v>TS</v>
          </cell>
          <cell r="N541" t="str">
            <v>TS</v>
          </cell>
          <cell r="O541" t="str">
            <v>TS</v>
          </cell>
          <cell r="P541" t="str">
            <v>OS</v>
          </cell>
          <cell r="Q541" t="str">
            <v>OS</v>
          </cell>
          <cell r="R541" t="str">
            <v>OS</v>
          </cell>
          <cell r="S541" t="str">
            <v>OS</v>
          </cell>
          <cell r="T541" t="str">
            <v>OS</v>
          </cell>
          <cell r="U541" t="str">
            <v>OS</v>
          </cell>
          <cell r="V541" t="str">
            <v>OS</v>
          </cell>
          <cell r="W541" t="str">
            <v>OS</v>
          </cell>
          <cell r="X541" t="str">
            <v>OS</v>
          </cell>
          <cell r="Y541" t="str">
            <v>OS</v>
          </cell>
          <cell r="Z541" t="str">
            <v>OS</v>
          </cell>
          <cell r="AA541" t="str">
            <v>OS</v>
          </cell>
          <cell r="AB541" t="str">
            <v>OS</v>
          </cell>
          <cell r="AC541" t="str">
            <v>OS</v>
          </cell>
          <cell r="AD541" t="str">
            <v>AGM-01-025-044</v>
          </cell>
          <cell r="AE541" t="str">
            <v xml:space="preserve">Raemulan Lands, Inc. </v>
          </cell>
          <cell r="AF541" t="str">
            <v>Agapeya</v>
          </cell>
          <cell r="AG541" t="str">
            <v>AGM</v>
          </cell>
          <cell r="AH541" t="str">
            <v>Eco-High</v>
          </cell>
          <cell r="AI541" t="str">
            <v>West</v>
          </cell>
          <cell r="AJ541" t="str">
            <v>With LTS</v>
          </cell>
          <cell r="AK541" t="str">
            <v>Unaffected lots</v>
          </cell>
          <cell r="AL541" t="str">
            <v>Unaffected lots</v>
          </cell>
          <cell r="AM541" t="b">
            <v>1</v>
          </cell>
          <cell r="AN541" t="str">
            <v>YES</v>
          </cell>
          <cell r="AO541" t="str">
            <v>B2 2025</v>
          </cell>
          <cell r="AP541">
            <v>70</v>
          </cell>
          <cell r="AQ541" t="str">
            <v>PCS-04-034298</v>
          </cell>
          <cell r="AR541" t="b">
            <v>1</v>
          </cell>
          <cell r="AS541" t="str">
            <v>Done</v>
          </cell>
          <cell r="AT541" t="str">
            <v>2025 - Batch 5</v>
          </cell>
          <cell r="AU541">
            <v>25</v>
          </cell>
          <cell r="AV541">
            <v>44</v>
          </cell>
          <cell r="AW541" t="str">
            <v>H+L</v>
          </cell>
          <cell r="AX541">
            <v>70</v>
          </cell>
          <cell r="AY541">
            <v>50</v>
          </cell>
          <cell r="AZ541" t="str">
            <v>Duplex</v>
          </cell>
          <cell r="BA541">
            <v>1</v>
          </cell>
          <cell r="BB541" t="str">
            <v>568 - Without Partition</v>
          </cell>
          <cell r="BC541" t="str">
            <v xml:space="preserve">Without Partition </v>
          </cell>
          <cell r="BD541" t="str">
            <v>Flat</v>
          </cell>
          <cell r="BE541" t="str">
            <v xml:space="preserve">Without Partition </v>
          </cell>
          <cell r="BF541" t="str">
            <v>PINK</v>
          </cell>
          <cell r="BG541">
            <v>1083018.0633176167</v>
          </cell>
          <cell r="BH541">
            <v>2650000</v>
          </cell>
          <cell r="BI541">
            <v>100000</v>
          </cell>
          <cell r="BJ541">
            <v>2550000</v>
          </cell>
          <cell r="BK541">
            <v>0</v>
          </cell>
          <cell r="BL541">
            <v>2550000</v>
          </cell>
        </row>
        <row r="542">
          <cell r="D542" t="str">
            <v>OS</v>
          </cell>
          <cell r="E542"/>
          <cell r="F542">
            <v>522</v>
          </cell>
          <cell r="G542" t="str">
            <v>SOLD</v>
          </cell>
          <cell r="H542" t="str">
            <v>OS</v>
          </cell>
          <cell r="I542" t="str">
            <v>OS</v>
          </cell>
          <cell r="J542" t="str">
            <v>OS</v>
          </cell>
          <cell r="K542" t="str">
            <v>OS</v>
          </cell>
          <cell r="L542" t="str">
            <v>OS</v>
          </cell>
          <cell r="M542" t="str">
            <v>OS</v>
          </cell>
          <cell r="N542" t="str">
            <v>OS</v>
          </cell>
          <cell r="O542" t="str">
            <v>OS</v>
          </cell>
          <cell r="P542" t="str">
            <v>OS</v>
          </cell>
          <cell r="Q542" t="str">
            <v>OS</v>
          </cell>
          <cell r="R542" t="str">
            <v>OS</v>
          </cell>
          <cell r="S542" t="str">
            <v>OS</v>
          </cell>
          <cell r="T542" t="str">
            <v>OS</v>
          </cell>
          <cell r="U542" t="str">
            <v>OS</v>
          </cell>
          <cell r="V542" t="str">
            <v>OS</v>
          </cell>
          <cell r="W542" t="str">
            <v>OS</v>
          </cell>
          <cell r="X542" t="str">
            <v>OS</v>
          </cell>
          <cell r="Y542" t="str">
            <v>OS</v>
          </cell>
          <cell r="Z542" t="str">
            <v>OS</v>
          </cell>
          <cell r="AA542" t="str">
            <v>OS</v>
          </cell>
          <cell r="AB542" t="str">
            <v>OS</v>
          </cell>
          <cell r="AC542" t="str">
            <v>OS</v>
          </cell>
          <cell r="AD542" t="str">
            <v>AGM-01-025-045</v>
          </cell>
          <cell r="AE542" t="str">
            <v xml:space="preserve">Raemulan Lands, Inc. </v>
          </cell>
          <cell r="AF542" t="str">
            <v>Agapeya</v>
          </cell>
          <cell r="AG542" t="str">
            <v>AGM</v>
          </cell>
          <cell r="AH542" t="str">
            <v>Eco-High</v>
          </cell>
          <cell r="AI542" t="str">
            <v>West</v>
          </cell>
          <cell r="AJ542" t="str">
            <v>With LTS</v>
          </cell>
          <cell r="AK542" t="str">
            <v>Unaffected lots</v>
          </cell>
          <cell r="AL542" t="str">
            <v>Unaffected lots</v>
          </cell>
          <cell r="AM542" t="b">
            <v>1</v>
          </cell>
          <cell r="AN542" t="str">
            <v>YES</v>
          </cell>
          <cell r="AO542" t="str">
            <v>B2 2025</v>
          </cell>
          <cell r="AP542">
            <v>70</v>
          </cell>
          <cell r="AQ542" t="str">
            <v>PCS-04-034298</v>
          </cell>
          <cell r="AR542" t="b">
            <v>1</v>
          </cell>
          <cell r="AS542" t="str">
            <v>Done</v>
          </cell>
          <cell r="AT542" t="str">
            <v>2025 - Batch 2</v>
          </cell>
          <cell r="AU542">
            <v>25</v>
          </cell>
          <cell r="AV542">
            <v>45</v>
          </cell>
          <cell r="AW542" t="str">
            <v>H+L</v>
          </cell>
          <cell r="AX542">
            <v>70</v>
          </cell>
          <cell r="AY542">
            <v>50</v>
          </cell>
          <cell r="AZ542" t="str">
            <v>Duplex</v>
          </cell>
          <cell r="BA542">
            <v>1</v>
          </cell>
          <cell r="BB542" t="str">
            <v>568 - Without Partition</v>
          </cell>
          <cell r="BC542" t="str">
            <v xml:space="preserve">Without Partition </v>
          </cell>
          <cell r="BD542" t="str">
            <v>Flat</v>
          </cell>
          <cell r="BE542" t="str">
            <v xml:space="preserve">Without Partition </v>
          </cell>
          <cell r="BF542" t="str">
            <v>PINK</v>
          </cell>
          <cell r="BG542">
            <v>2422034.826150645</v>
          </cell>
          <cell r="BH542">
            <v>2650000</v>
          </cell>
          <cell r="BI542">
            <v>100000</v>
          </cell>
          <cell r="BJ542">
            <v>2550000</v>
          </cell>
          <cell r="BK542">
            <v>0</v>
          </cell>
          <cell r="BL542">
            <v>2550000</v>
          </cell>
        </row>
        <row r="543">
          <cell r="D543" t="str">
            <v>OS</v>
          </cell>
          <cell r="E543"/>
          <cell r="F543">
            <v>523</v>
          </cell>
          <cell r="G543" t="str">
            <v>SOLD</v>
          </cell>
          <cell r="H543" t="str">
            <v>OS</v>
          </cell>
          <cell r="I543" t="str">
            <v>OS</v>
          </cell>
          <cell r="J543" t="str">
            <v>OS</v>
          </cell>
          <cell r="K543" t="str">
            <v>OS</v>
          </cell>
          <cell r="L543" t="str">
            <v>OS</v>
          </cell>
          <cell r="M543" t="str">
            <v>OS</v>
          </cell>
          <cell r="N543" t="str">
            <v>OS</v>
          </cell>
          <cell r="O543" t="str">
            <v>OS</v>
          </cell>
          <cell r="P543" t="str">
            <v>OS</v>
          </cell>
          <cell r="Q543" t="str">
            <v>OS</v>
          </cell>
          <cell r="R543" t="str">
            <v>OS</v>
          </cell>
          <cell r="S543" t="str">
            <v>OS</v>
          </cell>
          <cell r="T543" t="str">
            <v>OS</v>
          </cell>
          <cell r="U543" t="str">
            <v>OS</v>
          </cell>
          <cell r="V543" t="str">
            <v>OS</v>
          </cell>
          <cell r="W543" t="str">
            <v>OS</v>
          </cell>
          <cell r="X543" t="str">
            <v>OS</v>
          </cell>
          <cell r="Y543" t="str">
            <v>OS</v>
          </cell>
          <cell r="Z543" t="str">
            <v>OS</v>
          </cell>
          <cell r="AA543" t="str">
            <v>OS</v>
          </cell>
          <cell r="AB543" t="str">
            <v>OS</v>
          </cell>
          <cell r="AC543" t="str">
            <v>OS</v>
          </cell>
          <cell r="AD543" t="str">
            <v>AGM-01-025-046</v>
          </cell>
          <cell r="AE543" t="str">
            <v xml:space="preserve">Raemulan Lands, Inc. </v>
          </cell>
          <cell r="AF543" t="str">
            <v>Agapeya</v>
          </cell>
          <cell r="AG543" t="str">
            <v>AGM</v>
          </cell>
          <cell r="AH543" t="str">
            <v>Eco-High</v>
          </cell>
          <cell r="AI543" t="str">
            <v>West</v>
          </cell>
          <cell r="AJ543" t="str">
            <v>With LTS</v>
          </cell>
          <cell r="AK543" t="str">
            <v>Unaffected lots</v>
          </cell>
          <cell r="AL543" t="str">
            <v>Unaffected lots</v>
          </cell>
          <cell r="AM543" t="b">
            <v>1</v>
          </cell>
          <cell r="AN543" t="str">
            <v>YES</v>
          </cell>
          <cell r="AO543" t="str">
            <v>B2 2025</v>
          </cell>
          <cell r="AP543">
            <v>70</v>
          </cell>
          <cell r="AQ543" t="str">
            <v>PCS-04-034298</v>
          </cell>
          <cell r="AR543" t="b">
            <v>1</v>
          </cell>
          <cell r="AS543" t="str">
            <v>Done</v>
          </cell>
          <cell r="AT543" t="str">
            <v>2025 - Batch 2</v>
          </cell>
          <cell r="AU543">
            <v>25</v>
          </cell>
          <cell r="AV543">
            <v>46</v>
          </cell>
          <cell r="AW543" t="str">
            <v>H+L</v>
          </cell>
          <cell r="AX543">
            <v>70</v>
          </cell>
          <cell r="AY543">
            <v>50</v>
          </cell>
          <cell r="AZ543" t="str">
            <v>Duplex</v>
          </cell>
          <cell r="BA543">
            <v>1</v>
          </cell>
          <cell r="BB543" t="str">
            <v>568 - Without Partition</v>
          </cell>
          <cell r="BC543" t="str">
            <v xml:space="preserve">Without Partition </v>
          </cell>
          <cell r="BD543" t="str">
            <v>Slant</v>
          </cell>
          <cell r="BE543" t="str">
            <v xml:space="preserve">Without Partition </v>
          </cell>
          <cell r="BF543" t="str">
            <v>PINK</v>
          </cell>
          <cell r="BG543">
            <v>2500000</v>
          </cell>
          <cell r="BH543">
            <v>2650000</v>
          </cell>
          <cell r="BI543">
            <v>100000</v>
          </cell>
          <cell r="BJ543">
            <v>2550000</v>
          </cell>
          <cell r="BK543">
            <v>0</v>
          </cell>
          <cell r="BL543">
            <v>2550000</v>
          </cell>
        </row>
        <row r="544">
          <cell r="D544" t="str">
            <v>OS</v>
          </cell>
          <cell r="E544"/>
          <cell r="F544">
            <v>524</v>
          </cell>
          <cell r="G544" t="str">
            <v>SOLD</v>
          </cell>
          <cell r="H544" t="str">
            <v>OS</v>
          </cell>
          <cell r="I544" t="str">
            <v>OS</v>
          </cell>
          <cell r="J544" t="str">
            <v>OS</v>
          </cell>
          <cell r="K544" t="str">
            <v>OS</v>
          </cell>
          <cell r="L544" t="str">
            <v>OS</v>
          </cell>
          <cell r="M544" t="str">
            <v>OS</v>
          </cell>
          <cell r="N544" t="str">
            <v>OS</v>
          </cell>
          <cell r="O544" t="str">
            <v>OS</v>
          </cell>
          <cell r="P544" t="str">
            <v>OS</v>
          </cell>
          <cell r="Q544" t="str">
            <v>OS</v>
          </cell>
          <cell r="R544" t="str">
            <v>OS</v>
          </cell>
          <cell r="S544" t="str">
            <v>OS</v>
          </cell>
          <cell r="T544" t="str">
            <v>OS</v>
          </cell>
          <cell r="U544" t="str">
            <v>OS</v>
          </cell>
          <cell r="V544" t="str">
            <v>OS</v>
          </cell>
          <cell r="W544" t="str">
            <v>OS</v>
          </cell>
          <cell r="X544" t="str">
            <v>OS</v>
          </cell>
          <cell r="Y544" t="str">
            <v>OS</v>
          </cell>
          <cell r="Z544" t="str">
            <v>OS</v>
          </cell>
          <cell r="AA544" t="str">
            <v>OS</v>
          </cell>
          <cell r="AB544" t="str">
            <v>OS</v>
          </cell>
          <cell r="AC544" t="str">
            <v>OS</v>
          </cell>
          <cell r="AD544" t="str">
            <v>AGM-01-025-047</v>
          </cell>
          <cell r="AE544" t="str">
            <v xml:space="preserve">Raemulan Lands, Inc. </v>
          </cell>
          <cell r="AF544" t="str">
            <v>Agapeya</v>
          </cell>
          <cell r="AG544" t="str">
            <v>AGM</v>
          </cell>
          <cell r="AH544" t="str">
            <v>Eco-High</v>
          </cell>
          <cell r="AI544" t="str">
            <v>West</v>
          </cell>
          <cell r="AJ544" t="str">
            <v>With LTS</v>
          </cell>
          <cell r="AK544" t="str">
            <v>Unaffected lots</v>
          </cell>
          <cell r="AL544" t="str">
            <v>Unaffected lots</v>
          </cell>
          <cell r="AM544" t="b">
            <v>1</v>
          </cell>
          <cell r="AN544" t="str">
            <v>YES</v>
          </cell>
          <cell r="AO544" t="str">
            <v>B2 2025</v>
          </cell>
          <cell r="AP544">
            <v>70</v>
          </cell>
          <cell r="AQ544" t="str">
            <v>PCS-04-034298</v>
          </cell>
          <cell r="AR544" t="b">
            <v>1</v>
          </cell>
          <cell r="AS544" t="str">
            <v>Done</v>
          </cell>
          <cell r="AT544" t="str">
            <v>2025 - Batch 2</v>
          </cell>
          <cell r="AU544">
            <v>25</v>
          </cell>
          <cell r="AV544">
            <v>47</v>
          </cell>
          <cell r="AW544" t="str">
            <v>H+L</v>
          </cell>
          <cell r="AX544">
            <v>70</v>
          </cell>
          <cell r="AY544">
            <v>50</v>
          </cell>
          <cell r="AZ544" t="str">
            <v>Duplex</v>
          </cell>
          <cell r="BA544">
            <v>1</v>
          </cell>
          <cell r="BB544" t="str">
            <v>568 - Without Partition</v>
          </cell>
          <cell r="BC544" t="str">
            <v xml:space="preserve">Without Partition </v>
          </cell>
          <cell r="BD544" t="str">
            <v>Slant</v>
          </cell>
          <cell r="BE544" t="str">
            <v xml:space="preserve">Without Partition </v>
          </cell>
          <cell r="BF544" t="str">
            <v>PURPLE</v>
          </cell>
          <cell r="BG544">
            <v>2500000</v>
          </cell>
          <cell r="BH544">
            <v>2650000</v>
          </cell>
          <cell r="BI544">
            <v>100000</v>
          </cell>
          <cell r="BJ544">
            <v>2550000</v>
          </cell>
          <cell r="BK544">
            <v>0</v>
          </cell>
          <cell r="BL544">
            <v>2550000</v>
          </cell>
        </row>
        <row r="545">
          <cell r="D545" t="str">
            <v>OS</v>
          </cell>
          <cell r="E545"/>
          <cell r="F545">
            <v>525</v>
          </cell>
          <cell r="G545" t="str">
            <v>SOLD</v>
          </cell>
          <cell r="H545" t="str">
            <v>OS</v>
          </cell>
          <cell r="I545" t="str">
            <v>OS</v>
          </cell>
          <cell r="J545" t="str">
            <v>OS</v>
          </cell>
          <cell r="K545" t="str">
            <v>OS</v>
          </cell>
          <cell r="L545" t="str">
            <v>OS</v>
          </cell>
          <cell r="M545" t="str">
            <v>OS</v>
          </cell>
          <cell r="N545" t="str">
            <v>OS</v>
          </cell>
          <cell r="O545" t="str">
            <v>OS</v>
          </cell>
          <cell r="P545" t="str">
            <v>OS</v>
          </cell>
          <cell r="Q545" t="str">
            <v>OS</v>
          </cell>
          <cell r="R545" t="str">
            <v>OS</v>
          </cell>
          <cell r="S545" t="str">
            <v>OS</v>
          </cell>
          <cell r="T545" t="str">
            <v>OS</v>
          </cell>
          <cell r="U545" t="str">
            <v>OS</v>
          </cell>
          <cell r="V545" t="str">
            <v>OS</v>
          </cell>
          <cell r="W545" t="str">
            <v>OS</v>
          </cell>
          <cell r="X545" t="str">
            <v>OS</v>
          </cell>
          <cell r="Y545" t="str">
            <v>OS</v>
          </cell>
          <cell r="Z545" t="str">
            <v>OS</v>
          </cell>
          <cell r="AA545" t="str">
            <v>OS</v>
          </cell>
          <cell r="AB545" t="str">
            <v>OS</v>
          </cell>
          <cell r="AC545" t="str">
            <v>OS</v>
          </cell>
          <cell r="AD545" t="str">
            <v>AGM-01-025-048</v>
          </cell>
          <cell r="AE545" t="str">
            <v xml:space="preserve">Raemulan Lands, Inc. </v>
          </cell>
          <cell r="AF545" t="str">
            <v>Agapeya</v>
          </cell>
          <cell r="AG545" t="str">
            <v>AGM</v>
          </cell>
          <cell r="AH545" t="str">
            <v>Eco-High</v>
          </cell>
          <cell r="AI545" t="str">
            <v>West</v>
          </cell>
          <cell r="AJ545" t="str">
            <v>With LTS</v>
          </cell>
          <cell r="AK545" t="str">
            <v>Unaffected lots</v>
          </cell>
          <cell r="AL545" t="str">
            <v>Unaffected lots</v>
          </cell>
          <cell r="AM545" t="b">
            <v>1</v>
          </cell>
          <cell r="AN545" t="str">
            <v>YES</v>
          </cell>
          <cell r="AO545" t="str">
            <v>B2 2025</v>
          </cell>
          <cell r="AP545">
            <v>80</v>
          </cell>
          <cell r="AQ545" t="str">
            <v>PCS-04-034298</v>
          </cell>
          <cell r="AR545" t="b">
            <v>1</v>
          </cell>
          <cell r="AS545" t="str">
            <v>Done</v>
          </cell>
          <cell r="AT545" t="str">
            <v>2025 - Batch 2</v>
          </cell>
          <cell r="AU545">
            <v>25</v>
          </cell>
          <cell r="AV545">
            <v>48</v>
          </cell>
          <cell r="AW545" t="str">
            <v>H+L</v>
          </cell>
          <cell r="AX545">
            <v>80</v>
          </cell>
          <cell r="AY545">
            <v>50</v>
          </cell>
          <cell r="AZ545" t="str">
            <v>Duplex</v>
          </cell>
          <cell r="BA545">
            <v>1</v>
          </cell>
          <cell r="BB545" t="str">
            <v>568 - Without Partition</v>
          </cell>
          <cell r="BC545" t="str">
            <v xml:space="preserve">Without Partition </v>
          </cell>
          <cell r="BD545" t="str">
            <v>Flat</v>
          </cell>
          <cell r="BE545" t="str">
            <v xml:space="preserve">Without Partition </v>
          </cell>
          <cell r="BF545" t="str">
            <v>PURPLE</v>
          </cell>
          <cell r="BG545">
            <v>2541000</v>
          </cell>
          <cell r="BH545">
            <v>2800000</v>
          </cell>
          <cell r="BI545">
            <v>100000</v>
          </cell>
          <cell r="BJ545">
            <v>2700000</v>
          </cell>
          <cell r="BK545">
            <v>0</v>
          </cell>
          <cell r="BL545">
            <v>2700000</v>
          </cell>
        </row>
        <row r="546">
          <cell r="D546" t="str">
            <v>OS</v>
          </cell>
          <cell r="E546"/>
          <cell r="F546">
            <v>526</v>
          </cell>
          <cell r="G546" t="str">
            <v>SOLD</v>
          </cell>
          <cell r="H546" t="str">
            <v>OS</v>
          </cell>
          <cell r="I546" t="str">
            <v>OS</v>
          </cell>
          <cell r="J546" t="str">
            <v>OS</v>
          </cell>
          <cell r="K546" t="str">
            <v>OS</v>
          </cell>
          <cell r="L546" t="str">
            <v>OS</v>
          </cell>
          <cell r="M546" t="str">
            <v>OS</v>
          </cell>
          <cell r="N546" t="str">
            <v>OS</v>
          </cell>
          <cell r="O546" t="str">
            <v>OS</v>
          </cell>
          <cell r="P546" t="str">
            <v>OS</v>
          </cell>
          <cell r="Q546" t="str">
            <v>OS</v>
          </cell>
          <cell r="R546" t="str">
            <v>OS</v>
          </cell>
          <cell r="S546" t="str">
            <v>OS</v>
          </cell>
          <cell r="T546" t="str">
            <v>OS</v>
          </cell>
          <cell r="U546" t="str">
            <v>OS</v>
          </cell>
          <cell r="V546" t="str">
            <v>OS</v>
          </cell>
          <cell r="W546" t="str">
            <v>OS</v>
          </cell>
          <cell r="X546" t="str">
            <v>OS</v>
          </cell>
          <cell r="Y546" t="str">
            <v>OS</v>
          </cell>
          <cell r="Z546" t="str">
            <v>OS</v>
          </cell>
          <cell r="AA546" t="str">
            <v>OS</v>
          </cell>
          <cell r="AB546" t="str">
            <v>OS</v>
          </cell>
          <cell r="AC546" t="str">
            <v>OS</v>
          </cell>
          <cell r="AD546" t="str">
            <v>AGM-01-025-049</v>
          </cell>
          <cell r="AE546" t="str">
            <v xml:space="preserve">Raemulan Lands, Inc. </v>
          </cell>
          <cell r="AF546" t="str">
            <v>Agapeya</v>
          </cell>
          <cell r="AG546" t="str">
            <v>AGM</v>
          </cell>
          <cell r="AH546" t="str">
            <v>Eco-High</v>
          </cell>
          <cell r="AI546" t="str">
            <v>West</v>
          </cell>
          <cell r="AJ546" t="str">
            <v>With LTS</v>
          </cell>
          <cell r="AK546" t="str">
            <v>Unaffected lots</v>
          </cell>
          <cell r="AL546" t="str">
            <v>Unaffected lots</v>
          </cell>
          <cell r="AM546" t="b">
            <v>1</v>
          </cell>
          <cell r="AN546" t="str">
            <v>YES</v>
          </cell>
          <cell r="AO546" t="str">
            <v>B2 2025</v>
          </cell>
          <cell r="AP546">
            <v>80</v>
          </cell>
          <cell r="AQ546" t="str">
            <v>PCS-04-034298</v>
          </cell>
          <cell r="AR546" t="b">
            <v>1</v>
          </cell>
          <cell r="AS546" t="str">
            <v>Done</v>
          </cell>
          <cell r="AT546" t="str">
            <v>2025 - Batch 2</v>
          </cell>
          <cell r="AU546">
            <v>25</v>
          </cell>
          <cell r="AV546">
            <v>49</v>
          </cell>
          <cell r="AW546" t="str">
            <v>H+L</v>
          </cell>
          <cell r="AX546">
            <v>80</v>
          </cell>
          <cell r="AY546">
            <v>50</v>
          </cell>
          <cell r="AZ546" t="str">
            <v>Duplex</v>
          </cell>
          <cell r="BA546">
            <v>1</v>
          </cell>
          <cell r="BB546" t="str">
            <v>568 - Without Partition</v>
          </cell>
          <cell r="BC546" t="str">
            <v xml:space="preserve">Without Partition </v>
          </cell>
          <cell r="BD546" t="str">
            <v>Flat</v>
          </cell>
          <cell r="BE546" t="str">
            <v xml:space="preserve">Without Partition </v>
          </cell>
          <cell r="BF546" t="str">
            <v>PURPLE</v>
          </cell>
          <cell r="BG546">
            <v>2541000</v>
          </cell>
          <cell r="BH546">
            <v>2800000</v>
          </cell>
          <cell r="BI546">
            <v>100000</v>
          </cell>
          <cell r="BJ546">
            <v>2700000</v>
          </cell>
          <cell r="BK546">
            <v>0</v>
          </cell>
          <cell r="BL546">
            <v>2700000</v>
          </cell>
        </row>
        <row r="547">
          <cell r="D547" t="str">
            <v>OS</v>
          </cell>
          <cell r="E547"/>
          <cell r="F547">
            <v>527</v>
          </cell>
          <cell r="G547" t="str">
            <v>SOLD</v>
          </cell>
          <cell r="H547" t="str">
            <v>OS</v>
          </cell>
          <cell r="I547" t="str">
            <v>OS</v>
          </cell>
          <cell r="J547" t="str">
            <v>OS</v>
          </cell>
          <cell r="K547" t="str">
            <v>OS</v>
          </cell>
          <cell r="L547" t="str">
            <v>OS</v>
          </cell>
          <cell r="M547" t="str">
            <v>OS</v>
          </cell>
          <cell r="N547" t="str">
            <v>OS</v>
          </cell>
          <cell r="O547" t="str">
            <v>OS</v>
          </cell>
          <cell r="P547" t="str">
            <v>OS</v>
          </cell>
          <cell r="Q547" t="str">
            <v>OS</v>
          </cell>
          <cell r="R547" t="str">
            <v>OS</v>
          </cell>
          <cell r="S547" t="str">
            <v>OS</v>
          </cell>
          <cell r="T547" t="str">
            <v>OS</v>
          </cell>
          <cell r="U547" t="str">
            <v>OS</v>
          </cell>
          <cell r="V547" t="str">
            <v>OS</v>
          </cell>
          <cell r="W547" t="str">
            <v>OS</v>
          </cell>
          <cell r="X547" t="str">
            <v>OS</v>
          </cell>
          <cell r="Y547" t="str">
            <v>OS</v>
          </cell>
          <cell r="Z547" t="str">
            <v>OS</v>
          </cell>
          <cell r="AA547" t="str">
            <v>OS</v>
          </cell>
          <cell r="AB547" t="str">
            <v>OS</v>
          </cell>
          <cell r="AC547" t="str">
            <v>OS</v>
          </cell>
          <cell r="AD547" t="str">
            <v>AGM-01-025-050</v>
          </cell>
          <cell r="AE547" t="str">
            <v xml:space="preserve">Raemulan Lands, Inc. </v>
          </cell>
          <cell r="AF547" t="str">
            <v>Agapeya</v>
          </cell>
          <cell r="AG547" t="str">
            <v>AGM</v>
          </cell>
          <cell r="AH547" t="str">
            <v>Eco-High</v>
          </cell>
          <cell r="AI547" t="str">
            <v>West</v>
          </cell>
          <cell r="AJ547" t="str">
            <v>With LTS</v>
          </cell>
          <cell r="AK547" t="str">
            <v>Unaffected lots</v>
          </cell>
          <cell r="AL547" t="str">
            <v>Unaffected lots</v>
          </cell>
          <cell r="AM547" t="b">
            <v>1</v>
          </cell>
          <cell r="AN547" t="str">
            <v>YES</v>
          </cell>
          <cell r="AO547" t="str">
            <v>B2 2025</v>
          </cell>
          <cell r="AP547">
            <v>80</v>
          </cell>
          <cell r="AQ547" t="str">
            <v>PCS-04-034298</v>
          </cell>
          <cell r="AR547" t="b">
            <v>1</v>
          </cell>
          <cell r="AS547" t="str">
            <v>Done</v>
          </cell>
          <cell r="AT547" t="str">
            <v>2025 - Batch 2</v>
          </cell>
          <cell r="AU547">
            <v>25</v>
          </cell>
          <cell r="AV547">
            <v>50</v>
          </cell>
          <cell r="AW547" t="str">
            <v>H+L</v>
          </cell>
          <cell r="AX547">
            <v>80</v>
          </cell>
          <cell r="AY547">
            <v>50</v>
          </cell>
          <cell r="AZ547" t="str">
            <v>Duplex</v>
          </cell>
          <cell r="BA547">
            <v>1</v>
          </cell>
          <cell r="BB547" t="str">
            <v>568 - Without Partition</v>
          </cell>
          <cell r="BC547" t="str">
            <v xml:space="preserve">Without Partition </v>
          </cell>
          <cell r="BD547" t="str">
            <v>Slant</v>
          </cell>
          <cell r="BE547" t="str">
            <v xml:space="preserve">Without Partition </v>
          </cell>
          <cell r="BF547" t="str">
            <v>PURPLE</v>
          </cell>
          <cell r="BG547">
            <v>2650000</v>
          </cell>
          <cell r="BH547">
            <v>2800000</v>
          </cell>
          <cell r="BI547">
            <v>100000</v>
          </cell>
          <cell r="BJ547">
            <v>2700000</v>
          </cell>
          <cell r="BK547">
            <v>0</v>
          </cell>
          <cell r="BL547">
            <v>2700000</v>
          </cell>
        </row>
        <row r="548">
          <cell r="D548" t="str">
            <v>OS</v>
          </cell>
          <cell r="E548"/>
          <cell r="F548">
            <v>528</v>
          </cell>
          <cell r="G548" t="str">
            <v>CLOSED</v>
          </cell>
          <cell r="H548" t="str">
            <v>OPEN</v>
          </cell>
          <cell r="I548" t="str">
            <v>OPEN</v>
          </cell>
          <cell r="J548" t="str">
            <v>OPEN</v>
          </cell>
          <cell r="K548" t="str">
            <v>TS</v>
          </cell>
          <cell r="L548" t="str">
            <v>TS</v>
          </cell>
          <cell r="M548" t="str">
            <v>OPEN</v>
          </cell>
          <cell r="N548" t="str">
            <v>OS</v>
          </cell>
          <cell r="O548" t="str">
            <v>OS</v>
          </cell>
          <cell r="P548" t="str">
            <v>OS</v>
          </cell>
          <cell r="Q548" t="str">
            <v>OS</v>
          </cell>
          <cell r="R548" t="str">
            <v>OS</v>
          </cell>
          <cell r="S548" t="str">
            <v>OS</v>
          </cell>
          <cell r="T548" t="str">
            <v>OS</v>
          </cell>
          <cell r="U548" t="str">
            <v>OS</v>
          </cell>
          <cell r="V548" t="str">
            <v>OS</v>
          </cell>
          <cell r="W548" t="str">
            <v>OS</v>
          </cell>
          <cell r="X548" t="str">
            <v>OS</v>
          </cell>
          <cell r="Y548" t="str">
            <v>OS</v>
          </cell>
          <cell r="Z548" t="str">
            <v>OS</v>
          </cell>
          <cell r="AA548" t="str">
            <v>OS</v>
          </cell>
          <cell r="AB548" t="str">
            <v>OS</v>
          </cell>
          <cell r="AC548" t="str">
            <v>OS</v>
          </cell>
          <cell r="AD548" t="str">
            <v>AGM-01-025-051</v>
          </cell>
          <cell r="AE548" t="str">
            <v xml:space="preserve">Raemulan Lands, Inc. </v>
          </cell>
          <cell r="AF548" t="str">
            <v>Agapeya</v>
          </cell>
          <cell r="AG548" t="str">
            <v>AGM</v>
          </cell>
          <cell r="AH548" t="str">
            <v>Eco-High</v>
          </cell>
          <cell r="AI548" t="str">
            <v>West</v>
          </cell>
          <cell r="AJ548" t="str">
            <v>With LTS</v>
          </cell>
          <cell r="AK548" t="str">
            <v>Unaffected lots</v>
          </cell>
          <cell r="AL548" t="str">
            <v>Unaffected lots</v>
          </cell>
          <cell r="AM548" t="b">
            <v>1</v>
          </cell>
          <cell r="AN548" t="str">
            <v>YES</v>
          </cell>
          <cell r="AO548" t="str">
            <v>B2 - Lot Only</v>
          </cell>
          <cell r="AP548">
            <v>110</v>
          </cell>
          <cell r="AQ548" t="str">
            <v>PCS-04-034298</v>
          </cell>
          <cell r="AR548" t="b">
            <v>1</v>
          </cell>
          <cell r="AS548" t="str">
            <v>Done</v>
          </cell>
          <cell r="AT548" t="str">
            <v>Lot Only - N/A</v>
          </cell>
          <cell r="AU548">
            <v>25</v>
          </cell>
          <cell r="AV548">
            <v>51</v>
          </cell>
          <cell r="AW548" t="str">
            <v>LO</v>
          </cell>
          <cell r="AX548">
            <v>110</v>
          </cell>
          <cell r="AY548" t="str">
            <v>N/A</v>
          </cell>
          <cell r="AZ548" t="str">
            <v>Lot Only</v>
          </cell>
          <cell r="BA548" t="str">
            <v>NA</v>
          </cell>
          <cell r="BB548" t="str">
            <v>N/A</v>
          </cell>
          <cell r="BC548" t="str">
            <v>N/A - LOT ONLY</v>
          </cell>
          <cell r="BD548" t="str">
            <v>-</v>
          </cell>
          <cell r="BE548" t="str">
            <v>N/A - LOT ONLY</v>
          </cell>
          <cell r="BF548" t="str">
            <v>N/A - LOT ONLY</v>
          </cell>
          <cell r="BG548">
            <v>2422034.826150645</v>
          </cell>
          <cell r="BH548">
            <v>1750000</v>
          </cell>
          <cell r="BI548">
            <v>100000</v>
          </cell>
          <cell r="BJ548">
            <v>1650000</v>
          </cell>
          <cell r="BK548">
            <v>176785.71428571429</v>
          </cell>
          <cell r="BL548">
            <v>1473214.2857142857</v>
          </cell>
        </row>
        <row r="549">
          <cell r="D549" t="str">
            <v>OS</v>
          </cell>
          <cell r="E549"/>
          <cell r="F549">
            <v>529</v>
          </cell>
          <cell r="G549" t="str">
            <v>SOLD</v>
          </cell>
          <cell r="H549" t="str">
            <v>OS</v>
          </cell>
          <cell r="I549" t="str">
            <v>OS</v>
          </cell>
          <cell r="J549" t="str">
            <v>OS</v>
          </cell>
          <cell r="K549" t="str">
            <v>OS</v>
          </cell>
          <cell r="L549" t="str">
            <v>OS</v>
          </cell>
          <cell r="M549" t="str">
            <v>OS</v>
          </cell>
          <cell r="N549" t="str">
            <v>OS</v>
          </cell>
          <cell r="O549" t="str">
            <v>OS</v>
          </cell>
          <cell r="P549" t="str">
            <v>OS</v>
          </cell>
          <cell r="Q549" t="str">
            <v>OS</v>
          </cell>
          <cell r="R549" t="str">
            <v>OS</v>
          </cell>
          <cell r="S549" t="str">
            <v>OS</v>
          </cell>
          <cell r="T549" t="str">
            <v>OS</v>
          </cell>
          <cell r="U549" t="str">
            <v>OS</v>
          </cell>
          <cell r="V549" t="str">
            <v>OS</v>
          </cell>
          <cell r="W549" t="str">
            <v>OS</v>
          </cell>
          <cell r="X549" t="str">
            <v>OS</v>
          </cell>
          <cell r="Y549" t="str">
            <v>OS</v>
          </cell>
          <cell r="Z549" t="str">
            <v>OS</v>
          </cell>
          <cell r="AA549" t="str">
            <v>OS</v>
          </cell>
          <cell r="AB549" t="str">
            <v>FOR CANCELLATION</v>
          </cell>
          <cell r="AC549" t="str">
            <v>OS</v>
          </cell>
          <cell r="AD549" t="str">
            <v>AGM-01-026-001</v>
          </cell>
          <cell r="AE549" t="str">
            <v xml:space="preserve">Raemulan Lands, Inc. </v>
          </cell>
          <cell r="AF549" t="str">
            <v>Agapeya</v>
          </cell>
          <cell r="AG549" t="str">
            <v>AGM</v>
          </cell>
          <cell r="AH549" t="str">
            <v>Eco-High</v>
          </cell>
          <cell r="AI549" t="str">
            <v>West</v>
          </cell>
          <cell r="AJ549" t="str">
            <v>With LTS</v>
          </cell>
          <cell r="AK549" t="str">
            <v>Unaffected lots</v>
          </cell>
          <cell r="AL549" t="str">
            <v>Unaffected lots</v>
          </cell>
          <cell r="AM549" t="b">
            <v>1</v>
          </cell>
          <cell r="AN549" t="str">
            <v>YES</v>
          </cell>
          <cell r="AO549" t="str">
            <v>B1 2025</v>
          </cell>
          <cell r="AP549">
            <v>102</v>
          </cell>
          <cell r="AQ549" t="str">
            <v>PCS-04-034298</v>
          </cell>
          <cell r="AR549" t="b">
            <v>1</v>
          </cell>
          <cell r="AS549" t="str">
            <v>Done</v>
          </cell>
          <cell r="AT549" t="str">
            <v>2025 - Batch 2</v>
          </cell>
          <cell r="AU549">
            <v>26</v>
          </cell>
          <cell r="AV549">
            <v>1</v>
          </cell>
          <cell r="AW549" t="str">
            <v>H+L</v>
          </cell>
          <cell r="AX549">
            <v>102</v>
          </cell>
          <cell r="AY549">
            <v>50</v>
          </cell>
          <cell r="AZ549" t="str">
            <v>Duplex</v>
          </cell>
          <cell r="BA549">
            <v>1</v>
          </cell>
          <cell r="BB549" t="str">
            <v>568 - Without Partition</v>
          </cell>
          <cell r="BC549" t="str">
            <v xml:space="preserve">Without Partition </v>
          </cell>
          <cell r="BD549" t="str">
            <v>Flat</v>
          </cell>
          <cell r="BE549" t="str">
            <v xml:space="preserve">Without Partition </v>
          </cell>
          <cell r="BF549" t="str">
            <v>PINK</v>
          </cell>
          <cell r="BG549">
            <v>2980000</v>
          </cell>
          <cell r="BH549">
            <v>3130000</v>
          </cell>
          <cell r="BI549">
            <v>100000</v>
          </cell>
          <cell r="BJ549">
            <v>3030000</v>
          </cell>
          <cell r="BK549">
            <v>0</v>
          </cell>
          <cell r="BL549">
            <v>3030000</v>
          </cell>
        </row>
        <row r="550">
          <cell r="D550" t="str">
            <v>OS</v>
          </cell>
          <cell r="E550"/>
          <cell r="F550">
            <v>530</v>
          </cell>
          <cell r="G550" t="str">
            <v>SOLD</v>
          </cell>
          <cell r="H550" t="str">
            <v>OS</v>
          </cell>
          <cell r="I550" t="str">
            <v>OS</v>
          </cell>
          <cell r="J550" t="str">
            <v>OS</v>
          </cell>
          <cell r="K550" t="str">
            <v>OS</v>
          </cell>
          <cell r="L550" t="str">
            <v>OS</v>
          </cell>
          <cell r="M550" t="str">
            <v>OS</v>
          </cell>
          <cell r="N550" t="str">
            <v>OS</v>
          </cell>
          <cell r="O550" t="str">
            <v>OS</v>
          </cell>
          <cell r="P550" t="str">
            <v>OS</v>
          </cell>
          <cell r="Q550" t="str">
            <v>OS</v>
          </cell>
          <cell r="R550" t="str">
            <v>OS</v>
          </cell>
          <cell r="S550" t="str">
            <v>OS</v>
          </cell>
          <cell r="T550" t="str">
            <v>OS</v>
          </cell>
          <cell r="U550" t="str">
            <v>OS</v>
          </cell>
          <cell r="V550" t="str">
            <v>OS</v>
          </cell>
          <cell r="W550" t="str">
            <v>OS</v>
          </cell>
          <cell r="X550" t="str">
            <v>OS</v>
          </cell>
          <cell r="Y550" t="str">
            <v>OS</v>
          </cell>
          <cell r="Z550" t="str">
            <v>OS</v>
          </cell>
          <cell r="AA550" t="str">
            <v>OS</v>
          </cell>
          <cell r="AB550" t="str">
            <v>OS</v>
          </cell>
          <cell r="AC550" t="str">
            <v>OS</v>
          </cell>
          <cell r="AD550" t="str">
            <v>AGM-01-026-002</v>
          </cell>
          <cell r="AE550" t="str">
            <v xml:space="preserve">Raemulan Lands, Inc. </v>
          </cell>
          <cell r="AF550" t="str">
            <v>Agapeya</v>
          </cell>
          <cell r="AG550" t="str">
            <v>AGM</v>
          </cell>
          <cell r="AH550" t="str">
            <v>Eco-High</v>
          </cell>
          <cell r="AI550" t="str">
            <v>West</v>
          </cell>
          <cell r="AJ550" t="str">
            <v>With LTS</v>
          </cell>
          <cell r="AK550" t="str">
            <v>Unaffected lots</v>
          </cell>
          <cell r="AL550" t="str">
            <v>Unaffected lots</v>
          </cell>
          <cell r="AM550" t="b">
            <v>1</v>
          </cell>
          <cell r="AN550" t="str">
            <v>YES</v>
          </cell>
          <cell r="AO550" t="str">
            <v>B1 2025</v>
          </cell>
          <cell r="AP550">
            <v>80</v>
          </cell>
          <cell r="AQ550" t="str">
            <v>PCS-04-034298</v>
          </cell>
          <cell r="AR550" t="b">
            <v>1</v>
          </cell>
          <cell r="AS550" t="str">
            <v>Done</v>
          </cell>
          <cell r="AT550" t="str">
            <v>2025 - Batch 2</v>
          </cell>
          <cell r="AU550">
            <v>26</v>
          </cell>
          <cell r="AV550">
            <v>2</v>
          </cell>
          <cell r="AW550" t="str">
            <v>H+L</v>
          </cell>
          <cell r="AX550">
            <v>80</v>
          </cell>
          <cell r="AY550">
            <v>50</v>
          </cell>
          <cell r="AZ550" t="str">
            <v>Duplex</v>
          </cell>
          <cell r="BA550">
            <v>1</v>
          </cell>
          <cell r="BB550" t="str">
            <v>568 - Without Partition</v>
          </cell>
          <cell r="BC550" t="str">
            <v xml:space="preserve">Without Partition </v>
          </cell>
          <cell r="BD550" t="str">
            <v>Slant</v>
          </cell>
          <cell r="BE550" t="str">
            <v xml:space="preserve">Without Partition </v>
          </cell>
          <cell r="BF550" t="str">
            <v>PINK</v>
          </cell>
          <cell r="BG550">
            <v>2500000</v>
          </cell>
          <cell r="BH550">
            <v>2800000</v>
          </cell>
          <cell r="BI550">
            <v>100000</v>
          </cell>
          <cell r="BJ550">
            <v>2700000</v>
          </cell>
          <cell r="BK550">
            <v>0</v>
          </cell>
          <cell r="BL550">
            <v>2700000</v>
          </cell>
        </row>
        <row r="551">
          <cell r="D551" t="str">
            <v>OS</v>
          </cell>
          <cell r="E551"/>
          <cell r="F551">
            <v>531</v>
          </cell>
          <cell r="G551" t="str">
            <v>SOLD</v>
          </cell>
          <cell r="H551" t="str">
            <v>OS</v>
          </cell>
          <cell r="I551" t="str">
            <v>OS</v>
          </cell>
          <cell r="J551" t="str">
            <v>OS</v>
          </cell>
          <cell r="K551" t="str">
            <v>OS</v>
          </cell>
          <cell r="L551" t="str">
            <v>OS</v>
          </cell>
          <cell r="M551" t="str">
            <v>OS</v>
          </cell>
          <cell r="N551" t="str">
            <v>OS</v>
          </cell>
          <cell r="O551" t="str">
            <v>OS</v>
          </cell>
          <cell r="P551" t="str">
            <v>OS</v>
          </cell>
          <cell r="Q551" t="str">
            <v>OS</v>
          </cell>
          <cell r="R551" t="str">
            <v>OS</v>
          </cell>
          <cell r="S551" t="str">
            <v>OS</v>
          </cell>
          <cell r="T551" t="str">
            <v>OS</v>
          </cell>
          <cell r="U551" t="str">
            <v>OS</v>
          </cell>
          <cell r="V551" t="str">
            <v>OS</v>
          </cell>
          <cell r="W551" t="str">
            <v>OS</v>
          </cell>
          <cell r="X551" t="str">
            <v>OS</v>
          </cell>
          <cell r="Y551" t="str">
            <v>OS</v>
          </cell>
          <cell r="Z551" t="str">
            <v>OS</v>
          </cell>
          <cell r="AA551" t="str">
            <v>OS</v>
          </cell>
          <cell r="AB551" t="str">
            <v>OS</v>
          </cell>
          <cell r="AC551" t="str">
            <v>OS</v>
          </cell>
          <cell r="AD551" t="str">
            <v>AGM-01-026-003</v>
          </cell>
          <cell r="AE551" t="str">
            <v xml:space="preserve">Raemulan Lands, Inc. </v>
          </cell>
          <cell r="AF551" t="str">
            <v>Agapeya</v>
          </cell>
          <cell r="AG551" t="str">
            <v>AGM</v>
          </cell>
          <cell r="AH551" t="str">
            <v>Eco-High</v>
          </cell>
          <cell r="AI551" t="str">
            <v>West</v>
          </cell>
          <cell r="AJ551" t="str">
            <v>With LTS</v>
          </cell>
          <cell r="AK551" t="str">
            <v>Unaffected lots</v>
          </cell>
          <cell r="AL551" t="str">
            <v>Unaffected lots</v>
          </cell>
          <cell r="AM551" t="b">
            <v>1</v>
          </cell>
          <cell r="AN551" t="str">
            <v>YES</v>
          </cell>
          <cell r="AO551" t="str">
            <v>B1 2025</v>
          </cell>
          <cell r="AP551">
            <v>80</v>
          </cell>
          <cell r="AQ551" t="str">
            <v>PCS-04-034298</v>
          </cell>
          <cell r="AR551" t="b">
            <v>1</v>
          </cell>
          <cell r="AS551" t="str">
            <v>Done</v>
          </cell>
          <cell r="AT551" t="str">
            <v>2025 - Batch 2</v>
          </cell>
          <cell r="AU551">
            <v>26</v>
          </cell>
          <cell r="AV551">
            <v>3</v>
          </cell>
          <cell r="AW551" t="str">
            <v>H+L</v>
          </cell>
          <cell r="AX551">
            <v>80</v>
          </cell>
          <cell r="AY551">
            <v>50</v>
          </cell>
          <cell r="AZ551" t="str">
            <v>Duplex</v>
          </cell>
          <cell r="BA551">
            <v>1</v>
          </cell>
          <cell r="BB551" t="str">
            <v>568 - Without Partition</v>
          </cell>
          <cell r="BC551" t="str">
            <v xml:space="preserve">Without Partition </v>
          </cell>
          <cell r="BD551" t="str">
            <v>Slant</v>
          </cell>
          <cell r="BE551" t="str">
            <v xml:space="preserve">Without Partition </v>
          </cell>
          <cell r="BF551" t="str">
            <v>PINK</v>
          </cell>
          <cell r="BG551">
            <v>2500000</v>
          </cell>
          <cell r="BH551">
            <v>2800000</v>
          </cell>
          <cell r="BI551">
            <v>100000</v>
          </cell>
          <cell r="BJ551">
            <v>2700000</v>
          </cell>
          <cell r="BK551">
            <v>0</v>
          </cell>
          <cell r="BL551">
            <v>2700000</v>
          </cell>
        </row>
        <row r="552">
          <cell r="D552" t="str">
            <v>OS</v>
          </cell>
          <cell r="E552"/>
          <cell r="F552">
            <v>532</v>
          </cell>
          <cell r="G552" t="str">
            <v>SOLD</v>
          </cell>
          <cell r="H552" t="str">
            <v>OS</v>
          </cell>
          <cell r="I552" t="str">
            <v>OS</v>
          </cell>
          <cell r="J552" t="str">
            <v>OS</v>
          </cell>
          <cell r="K552" t="str">
            <v>OS</v>
          </cell>
          <cell r="L552" t="str">
            <v>OS</v>
          </cell>
          <cell r="M552" t="str">
            <v>OS</v>
          </cell>
          <cell r="N552" t="str">
            <v>OS</v>
          </cell>
          <cell r="O552" t="str">
            <v>OS</v>
          </cell>
          <cell r="P552" t="str">
            <v>OS</v>
          </cell>
          <cell r="Q552" t="str">
            <v>OS</v>
          </cell>
          <cell r="R552" t="str">
            <v>OS</v>
          </cell>
          <cell r="S552" t="str">
            <v>OS</v>
          </cell>
          <cell r="T552" t="str">
            <v>OS</v>
          </cell>
          <cell r="U552" t="str">
            <v>OS</v>
          </cell>
          <cell r="V552" t="str">
            <v>OS</v>
          </cell>
          <cell r="W552" t="str">
            <v>OS</v>
          </cell>
          <cell r="X552" t="str">
            <v>OS</v>
          </cell>
          <cell r="Y552" t="str">
            <v>OS</v>
          </cell>
          <cell r="Z552" t="str">
            <v>OS</v>
          </cell>
          <cell r="AA552" t="str">
            <v>OS</v>
          </cell>
          <cell r="AB552" t="str">
            <v>OS</v>
          </cell>
          <cell r="AC552" t="str">
            <v>OS</v>
          </cell>
          <cell r="AD552" t="str">
            <v>AGM-01-026-004</v>
          </cell>
          <cell r="AE552" t="str">
            <v xml:space="preserve">Raemulan Lands, Inc. </v>
          </cell>
          <cell r="AF552" t="str">
            <v>Agapeya</v>
          </cell>
          <cell r="AG552" t="str">
            <v>AGM</v>
          </cell>
          <cell r="AH552" t="str">
            <v>Eco-High</v>
          </cell>
          <cell r="AI552" t="str">
            <v>West</v>
          </cell>
          <cell r="AJ552" t="str">
            <v>With LTS</v>
          </cell>
          <cell r="AK552" t="str">
            <v>Unaffected lots</v>
          </cell>
          <cell r="AL552" t="str">
            <v>Unaffected lots</v>
          </cell>
          <cell r="AM552" t="b">
            <v>1</v>
          </cell>
          <cell r="AN552" t="str">
            <v>YES</v>
          </cell>
          <cell r="AO552" t="str">
            <v>B1 2025</v>
          </cell>
          <cell r="AP552">
            <v>70</v>
          </cell>
          <cell r="AQ552" t="str">
            <v>PCS-04-034298</v>
          </cell>
          <cell r="AR552" t="b">
            <v>1</v>
          </cell>
          <cell r="AS552" t="str">
            <v>Done</v>
          </cell>
          <cell r="AT552" t="str">
            <v>2025 - Batch 2</v>
          </cell>
          <cell r="AU552">
            <v>26</v>
          </cell>
          <cell r="AV552">
            <v>4</v>
          </cell>
          <cell r="AW552" t="str">
            <v>H+L</v>
          </cell>
          <cell r="AX552">
            <v>70</v>
          </cell>
          <cell r="AY552">
            <v>50</v>
          </cell>
          <cell r="AZ552" t="str">
            <v>Duplex</v>
          </cell>
          <cell r="BA552">
            <v>1</v>
          </cell>
          <cell r="BB552" t="str">
            <v>568 - Without Partition</v>
          </cell>
          <cell r="BC552" t="str">
            <v xml:space="preserve">Without Partition </v>
          </cell>
          <cell r="BD552" t="str">
            <v>Flat</v>
          </cell>
          <cell r="BE552" t="str">
            <v xml:space="preserve">Without Partition </v>
          </cell>
          <cell r="BF552" t="str">
            <v>PINK</v>
          </cell>
          <cell r="BG552">
            <v>2500000</v>
          </cell>
          <cell r="BH552">
            <v>2650000</v>
          </cell>
          <cell r="BI552">
            <v>100000</v>
          </cell>
          <cell r="BJ552">
            <v>2550000</v>
          </cell>
          <cell r="BK552">
            <v>0</v>
          </cell>
          <cell r="BL552">
            <v>2550000</v>
          </cell>
        </row>
        <row r="553">
          <cell r="D553" t="str">
            <v>OS</v>
          </cell>
          <cell r="E553"/>
          <cell r="F553">
            <v>533</v>
          </cell>
          <cell r="G553" t="str">
            <v>SOLD</v>
          </cell>
          <cell r="H553" t="str">
            <v>OS</v>
          </cell>
          <cell r="I553" t="str">
            <v>OS</v>
          </cell>
          <cell r="J553" t="str">
            <v>OS</v>
          </cell>
          <cell r="K553" t="str">
            <v>OS</v>
          </cell>
          <cell r="L553" t="str">
            <v>OS</v>
          </cell>
          <cell r="M553" t="str">
            <v>OS</v>
          </cell>
          <cell r="N553" t="str">
            <v>OS</v>
          </cell>
          <cell r="O553" t="str">
            <v>OS</v>
          </cell>
          <cell r="P553" t="str">
            <v>OS</v>
          </cell>
          <cell r="Q553" t="str">
            <v>OS</v>
          </cell>
          <cell r="R553" t="str">
            <v>OS</v>
          </cell>
          <cell r="S553" t="str">
            <v>OS</v>
          </cell>
          <cell r="T553" t="str">
            <v>OS</v>
          </cell>
          <cell r="U553" t="str">
            <v>OS</v>
          </cell>
          <cell r="V553" t="str">
            <v>OS</v>
          </cell>
          <cell r="W553" t="str">
            <v>OS</v>
          </cell>
          <cell r="X553" t="str">
            <v>OS</v>
          </cell>
          <cell r="Y553" t="str">
            <v>OS</v>
          </cell>
          <cell r="Z553" t="str">
            <v>OS</v>
          </cell>
          <cell r="AA553" t="str">
            <v>OS</v>
          </cell>
          <cell r="AB553" t="str">
            <v>OS</v>
          </cell>
          <cell r="AC553" t="str">
            <v>OS</v>
          </cell>
          <cell r="AD553" t="str">
            <v>AGM-01-026-005</v>
          </cell>
          <cell r="AE553" t="str">
            <v xml:space="preserve">Raemulan Lands, Inc. </v>
          </cell>
          <cell r="AF553" t="str">
            <v>Agapeya</v>
          </cell>
          <cell r="AG553" t="str">
            <v>AGM</v>
          </cell>
          <cell r="AH553" t="str">
            <v>Eco-High</v>
          </cell>
          <cell r="AI553" t="str">
            <v>West</v>
          </cell>
          <cell r="AJ553" t="str">
            <v>With LTS</v>
          </cell>
          <cell r="AK553" t="str">
            <v>Unaffected lots</v>
          </cell>
          <cell r="AL553" t="str">
            <v>Unaffected lots</v>
          </cell>
          <cell r="AM553" t="b">
            <v>1</v>
          </cell>
          <cell r="AN553" t="str">
            <v>YES</v>
          </cell>
          <cell r="AO553" t="str">
            <v>B1 2025</v>
          </cell>
          <cell r="AP553">
            <v>70</v>
          </cell>
          <cell r="AQ553" t="str">
            <v>PCS-04-034298</v>
          </cell>
          <cell r="AR553" t="b">
            <v>1</v>
          </cell>
          <cell r="AS553" t="str">
            <v>Done</v>
          </cell>
          <cell r="AT553" t="str">
            <v>2025 - Batch 1</v>
          </cell>
          <cell r="AU553">
            <v>26</v>
          </cell>
          <cell r="AV553">
            <v>5</v>
          </cell>
          <cell r="AW553" t="str">
            <v>H+L</v>
          </cell>
          <cell r="AX553">
            <v>70</v>
          </cell>
          <cell r="AY553">
            <v>50</v>
          </cell>
          <cell r="AZ553" t="str">
            <v>Duplex</v>
          </cell>
          <cell r="BA553">
            <v>1</v>
          </cell>
          <cell r="BB553" t="str">
            <v>568 - Without Partition</v>
          </cell>
          <cell r="BC553" t="str">
            <v xml:space="preserve">Without Partition </v>
          </cell>
          <cell r="BD553" t="str">
            <v>Flat</v>
          </cell>
          <cell r="BE553" t="str">
            <v xml:space="preserve">Without Partition </v>
          </cell>
          <cell r="BF553" t="str">
            <v>YELLOW</v>
          </cell>
          <cell r="BG553">
            <v>2500000</v>
          </cell>
          <cell r="BH553">
            <v>2650000</v>
          </cell>
          <cell r="BI553">
            <v>100000</v>
          </cell>
          <cell r="BJ553">
            <v>2550000</v>
          </cell>
          <cell r="BK553">
            <v>0</v>
          </cell>
          <cell r="BL553">
            <v>2550000</v>
          </cell>
        </row>
        <row r="554">
          <cell r="D554" t="str">
            <v>OS</v>
          </cell>
          <cell r="E554"/>
          <cell r="F554">
            <v>534</v>
          </cell>
          <cell r="G554" t="str">
            <v>SOLD</v>
          </cell>
          <cell r="H554" t="str">
            <v>OS</v>
          </cell>
          <cell r="I554" t="str">
            <v>OS</v>
          </cell>
          <cell r="J554" t="str">
            <v>OS</v>
          </cell>
          <cell r="K554" t="str">
            <v>OS</v>
          </cell>
          <cell r="L554" t="str">
            <v>OS</v>
          </cell>
          <cell r="M554" t="str">
            <v>OS</v>
          </cell>
          <cell r="N554" t="str">
            <v>OS</v>
          </cell>
          <cell r="O554" t="str">
            <v>OS</v>
          </cell>
          <cell r="P554" t="str">
            <v>OS</v>
          </cell>
          <cell r="Q554" t="str">
            <v>OS</v>
          </cell>
          <cell r="R554" t="str">
            <v>OS</v>
          </cell>
          <cell r="S554" t="str">
            <v>OS</v>
          </cell>
          <cell r="T554" t="str">
            <v>OS</v>
          </cell>
          <cell r="U554" t="str">
            <v>OS</v>
          </cell>
          <cell r="V554" t="str">
            <v>OS</v>
          </cell>
          <cell r="W554" t="str">
            <v>OS</v>
          </cell>
          <cell r="X554" t="str">
            <v>OS</v>
          </cell>
          <cell r="Y554" t="str">
            <v>OS</v>
          </cell>
          <cell r="Z554" t="str">
            <v>OS</v>
          </cell>
          <cell r="AA554" t="str">
            <v>OS</v>
          </cell>
          <cell r="AB554" t="str">
            <v>OS</v>
          </cell>
          <cell r="AC554" t="str">
            <v>OS</v>
          </cell>
          <cell r="AD554" t="str">
            <v>AGM-01-026-006</v>
          </cell>
          <cell r="AE554" t="str">
            <v xml:space="preserve">Raemulan Lands, Inc. </v>
          </cell>
          <cell r="AF554" t="str">
            <v>Agapeya</v>
          </cell>
          <cell r="AG554" t="str">
            <v>AGM</v>
          </cell>
          <cell r="AH554" t="str">
            <v>Eco-High</v>
          </cell>
          <cell r="AI554" t="str">
            <v>West</v>
          </cell>
          <cell r="AJ554" t="str">
            <v>With LTS</v>
          </cell>
          <cell r="AK554" t="str">
            <v>Unaffected lots</v>
          </cell>
          <cell r="AL554" t="str">
            <v>Unaffected lots</v>
          </cell>
          <cell r="AM554" t="b">
            <v>1</v>
          </cell>
          <cell r="AN554" t="str">
            <v>YES</v>
          </cell>
          <cell r="AO554" t="str">
            <v>B1 2025</v>
          </cell>
          <cell r="AP554">
            <v>70</v>
          </cell>
          <cell r="AQ554" t="str">
            <v>PCS-04-034298</v>
          </cell>
          <cell r="AR554" t="b">
            <v>1</v>
          </cell>
          <cell r="AS554" t="str">
            <v>Done</v>
          </cell>
          <cell r="AT554" t="str">
            <v>2025 - Batch 1</v>
          </cell>
          <cell r="AU554">
            <v>26</v>
          </cell>
          <cell r="AV554">
            <v>6</v>
          </cell>
          <cell r="AW554" t="str">
            <v>H+L</v>
          </cell>
          <cell r="AX554">
            <v>70</v>
          </cell>
          <cell r="AY554">
            <v>50</v>
          </cell>
          <cell r="AZ554" t="str">
            <v>Duplex</v>
          </cell>
          <cell r="BA554">
            <v>1</v>
          </cell>
          <cell r="BB554" t="str">
            <v>568 - Without Partition</v>
          </cell>
          <cell r="BC554" t="str">
            <v xml:space="preserve">Without Partition </v>
          </cell>
          <cell r="BD554" t="str">
            <v>Slant</v>
          </cell>
          <cell r="BE554" t="str">
            <v xml:space="preserve">Without Partition </v>
          </cell>
          <cell r="BF554" t="str">
            <v>YELLOW</v>
          </cell>
          <cell r="BG554">
            <v>2500000</v>
          </cell>
          <cell r="BH554">
            <v>2650000</v>
          </cell>
          <cell r="BI554">
            <v>100000</v>
          </cell>
          <cell r="BJ554">
            <v>2550000</v>
          </cell>
          <cell r="BK554">
            <v>0</v>
          </cell>
          <cell r="BL554">
            <v>2550000</v>
          </cell>
        </row>
        <row r="555">
          <cell r="D555" t="str">
            <v>OS</v>
          </cell>
          <cell r="E555"/>
          <cell r="F555">
            <v>535</v>
          </cell>
          <cell r="G555" t="str">
            <v>SOLD</v>
          </cell>
          <cell r="H555" t="str">
            <v>OS</v>
          </cell>
          <cell r="I555" t="str">
            <v>OS</v>
          </cell>
          <cell r="J555" t="str">
            <v>OS</v>
          </cell>
          <cell r="K555" t="str">
            <v>OS</v>
          </cell>
          <cell r="L555" t="str">
            <v>OS</v>
          </cell>
          <cell r="M555" t="str">
            <v>OS</v>
          </cell>
          <cell r="N555" t="str">
            <v>OS</v>
          </cell>
          <cell r="O555" t="str">
            <v>OS</v>
          </cell>
          <cell r="P555" t="str">
            <v>OS</v>
          </cell>
          <cell r="Q555" t="str">
            <v>OS</v>
          </cell>
          <cell r="R555" t="str">
            <v>OS</v>
          </cell>
          <cell r="S555" t="str">
            <v>OS</v>
          </cell>
          <cell r="T555" t="str">
            <v>OS</v>
          </cell>
          <cell r="U555" t="str">
            <v>OS</v>
          </cell>
          <cell r="V555" t="str">
            <v>OS</v>
          </cell>
          <cell r="W555" t="str">
            <v>OS</v>
          </cell>
          <cell r="X555" t="str">
            <v>OS</v>
          </cell>
          <cell r="Y555" t="str">
            <v>OS</v>
          </cell>
          <cell r="Z555" t="str">
            <v>OS</v>
          </cell>
          <cell r="AA555" t="str">
            <v>OS</v>
          </cell>
          <cell r="AB555" t="str">
            <v>OS</v>
          </cell>
          <cell r="AC555" t="str">
            <v>OS</v>
          </cell>
          <cell r="AD555" t="str">
            <v>AGM-01-026-007</v>
          </cell>
          <cell r="AE555" t="str">
            <v xml:space="preserve">Raemulan Lands, Inc. </v>
          </cell>
          <cell r="AF555" t="str">
            <v>Agapeya</v>
          </cell>
          <cell r="AG555" t="str">
            <v>AGM</v>
          </cell>
          <cell r="AH555" t="str">
            <v>Eco-High</v>
          </cell>
          <cell r="AI555" t="str">
            <v>West</v>
          </cell>
          <cell r="AJ555" t="str">
            <v>With LTS</v>
          </cell>
          <cell r="AK555" t="str">
            <v>Unaffected lots</v>
          </cell>
          <cell r="AL555" t="str">
            <v>Unaffected lots</v>
          </cell>
          <cell r="AM555" t="b">
            <v>1</v>
          </cell>
          <cell r="AN555" t="str">
            <v>YES</v>
          </cell>
          <cell r="AO555" t="str">
            <v>B1 2025</v>
          </cell>
          <cell r="AP555">
            <v>70</v>
          </cell>
          <cell r="AQ555" t="str">
            <v>PCS-04-034298</v>
          </cell>
          <cell r="AR555" t="b">
            <v>1</v>
          </cell>
          <cell r="AS555" t="str">
            <v>Done</v>
          </cell>
          <cell r="AT555" t="str">
            <v>2025 - Batch 1</v>
          </cell>
          <cell r="AU555">
            <v>26</v>
          </cell>
          <cell r="AV555">
            <v>7</v>
          </cell>
          <cell r="AW555" t="str">
            <v>H+L</v>
          </cell>
          <cell r="AX555">
            <v>70</v>
          </cell>
          <cell r="AY555">
            <v>50</v>
          </cell>
          <cell r="AZ555" t="str">
            <v>Duplex</v>
          </cell>
          <cell r="BA555">
            <v>1</v>
          </cell>
          <cell r="BB555" t="str">
            <v>568 - Without Partition</v>
          </cell>
          <cell r="BC555" t="str">
            <v xml:space="preserve">Without Partition </v>
          </cell>
          <cell r="BD555" t="str">
            <v>Slant</v>
          </cell>
          <cell r="BE555" t="str">
            <v xml:space="preserve">Without Partition </v>
          </cell>
          <cell r="BF555" t="str">
            <v>YELLOW</v>
          </cell>
          <cell r="BG555">
            <v>2500000</v>
          </cell>
          <cell r="BH555">
            <v>2650000</v>
          </cell>
          <cell r="BI555">
            <v>100000</v>
          </cell>
          <cell r="BJ555">
            <v>2550000</v>
          </cell>
          <cell r="BK555">
            <v>0</v>
          </cell>
          <cell r="BL555">
            <v>2550000</v>
          </cell>
        </row>
        <row r="556">
          <cell r="D556" t="str">
            <v>OS</v>
          </cell>
          <cell r="E556"/>
          <cell r="F556">
            <v>536</v>
          </cell>
          <cell r="G556" t="str">
            <v>SOLD</v>
          </cell>
          <cell r="H556" t="str">
            <v>OS</v>
          </cell>
          <cell r="I556" t="str">
            <v>OS</v>
          </cell>
          <cell r="J556" t="str">
            <v>OS</v>
          </cell>
          <cell r="K556" t="str">
            <v>OS</v>
          </cell>
          <cell r="L556" t="str">
            <v>OS</v>
          </cell>
          <cell r="M556" t="str">
            <v>OS</v>
          </cell>
          <cell r="N556" t="str">
            <v>OS</v>
          </cell>
          <cell r="O556" t="str">
            <v>OS</v>
          </cell>
          <cell r="P556" t="str">
            <v>OS</v>
          </cell>
          <cell r="Q556" t="str">
            <v>OS</v>
          </cell>
          <cell r="R556" t="str">
            <v>OS</v>
          </cell>
          <cell r="S556" t="str">
            <v>OS</v>
          </cell>
          <cell r="T556" t="str">
            <v>OS</v>
          </cell>
          <cell r="U556" t="str">
            <v>OS</v>
          </cell>
          <cell r="V556" t="str">
            <v>OS</v>
          </cell>
          <cell r="W556" t="str">
            <v>OS</v>
          </cell>
          <cell r="X556" t="str">
            <v>OS</v>
          </cell>
          <cell r="Y556" t="str">
            <v>OS</v>
          </cell>
          <cell r="Z556" t="str">
            <v>OS</v>
          </cell>
          <cell r="AA556" t="str">
            <v>OS</v>
          </cell>
          <cell r="AB556" t="str">
            <v>OS</v>
          </cell>
          <cell r="AC556" t="str">
            <v>OS</v>
          </cell>
          <cell r="AD556" t="str">
            <v>AGM-01-026-008</v>
          </cell>
          <cell r="AE556" t="str">
            <v xml:space="preserve">Raemulan Lands, Inc. </v>
          </cell>
          <cell r="AF556" t="str">
            <v>Agapeya</v>
          </cell>
          <cell r="AG556" t="str">
            <v>AGM</v>
          </cell>
          <cell r="AH556" t="str">
            <v>Eco-High</v>
          </cell>
          <cell r="AI556" t="str">
            <v>West</v>
          </cell>
          <cell r="AJ556" t="str">
            <v>With LTS</v>
          </cell>
          <cell r="AK556" t="str">
            <v>Unaffected lots</v>
          </cell>
          <cell r="AL556" t="str">
            <v>Unaffected lots</v>
          </cell>
          <cell r="AM556" t="b">
            <v>1</v>
          </cell>
          <cell r="AN556" t="str">
            <v>YES</v>
          </cell>
          <cell r="AO556" t="str">
            <v>B1 2025</v>
          </cell>
          <cell r="AP556">
            <v>70</v>
          </cell>
          <cell r="AQ556" t="str">
            <v>PCS-04-034298</v>
          </cell>
          <cell r="AR556" t="b">
            <v>1</v>
          </cell>
          <cell r="AS556" t="str">
            <v>Done</v>
          </cell>
          <cell r="AT556" t="str">
            <v>2025 - Batch 1</v>
          </cell>
          <cell r="AU556">
            <v>26</v>
          </cell>
          <cell r="AV556">
            <v>8</v>
          </cell>
          <cell r="AW556" t="str">
            <v>H+L</v>
          </cell>
          <cell r="AX556">
            <v>70</v>
          </cell>
          <cell r="AY556">
            <v>50</v>
          </cell>
          <cell r="AZ556" t="str">
            <v>Duplex</v>
          </cell>
          <cell r="BA556">
            <v>1</v>
          </cell>
          <cell r="BB556" t="str">
            <v>568 - Without Partition</v>
          </cell>
          <cell r="BC556" t="str">
            <v xml:space="preserve">Without Partition </v>
          </cell>
          <cell r="BD556" t="str">
            <v>Flat</v>
          </cell>
          <cell r="BE556" t="str">
            <v xml:space="preserve">Without Partition </v>
          </cell>
          <cell r="BF556" t="str">
            <v>YELLOW</v>
          </cell>
          <cell r="BG556">
            <v>2500000</v>
          </cell>
          <cell r="BH556">
            <v>2650000</v>
          </cell>
          <cell r="BI556">
            <v>100000</v>
          </cell>
          <cell r="BJ556">
            <v>2550000</v>
          </cell>
          <cell r="BK556">
            <v>0</v>
          </cell>
          <cell r="BL556">
            <v>2550000</v>
          </cell>
        </row>
        <row r="557">
          <cell r="D557" t="str">
            <v>OS</v>
          </cell>
          <cell r="E557"/>
          <cell r="F557">
            <v>537</v>
          </cell>
          <cell r="G557" t="str">
            <v>SOLD</v>
          </cell>
          <cell r="H557" t="str">
            <v>OS</v>
          </cell>
          <cell r="I557" t="str">
            <v>OS</v>
          </cell>
          <cell r="J557" t="str">
            <v>OS</v>
          </cell>
          <cell r="K557" t="str">
            <v>OS</v>
          </cell>
          <cell r="L557" t="str">
            <v>OS</v>
          </cell>
          <cell r="M557" t="str">
            <v>OS</v>
          </cell>
          <cell r="N557" t="str">
            <v>OS</v>
          </cell>
          <cell r="O557" t="str">
            <v>OS</v>
          </cell>
          <cell r="P557" t="str">
            <v>OS</v>
          </cell>
          <cell r="Q557" t="str">
            <v>OS</v>
          </cell>
          <cell r="R557" t="str">
            <v>OS</v>
          </cell>
          <cell r="S557" t="str">
            <v>OS</v>
          </cell>
          <cell r="T557" t="str">
            <v>OS</v>
          </cell>
          <cell r="U557" t="str">
            <v>OS</v>
          </cell>
          <cell r="V557" t="str">
            <v>OS</v>
          </cell>
          <cell r="W557" t="str">
            <v>OS</v>
          </cell>
          <cell r="X557" t="str">
            <v>OS</v>
          </cell>
          <cell r="Y557" t="str">
            <v>OS</v>
          </cell>
          <cell r="Z557" t="str">
            <v>OS</v>
          </cell>
          <cell r="AA557" t="str">
            <v>OS</v>
          </cell>
          <cell r="AB557" t="str">
            <v>OS</v>
          </cell>
          <cell r="AC557" t="str">
            <v>OS</v>
          </cell>
          <cell r="AD557" t="str">
            <v>AGM-01-026-009</v>
          </cell>
          <cell r="AE557" t="str">
            <v xml:space="preserve">Raemulan Lands, Inc. </v>
          </cell>
          <cell r="AF557" t="str">
            <v>Agapeya</v>
          </cell>
          <cell r="AG557" t="str">
            <v>AGM</v>
          </cell>
          <cell r="AH557" t="str">
            <v>Eco-High</v>
          </cell>
          <cell r="AI557" t="str">
            <v>West</v>
          </cell>
          <cell r="AJ557" t="str">
            <v>With LTS</v>
          </cell>
          <cell r="AK557" t="str">
            <v>Unaffected lots</v>
          </cell>
          <cell r="AL557" t="str">
            <v>Unaffected lots</v>
          </cell>
          <cell r="AM557" t="b">
            <v>1</v>
          </cell>
          <cell r="AN557" t="str">
            <v>YES</v>
          </cell>
          <cell r="AO557" t="str">
            <v>B1 2025</v>
          </cell>
          <cell r="AP557">
            <v>70</v>
          </cell>
          <cell r="AQ557" t="str">
            <v>PCS-04-034298</v>
          </cell>
          <cell r="AR557" t="b">
            <v>1</v>
          </cell>
          <cell r="AS557" t="str">
            <v>Done</v>
          </cell>
          <cell r="AT557" t="str">
            <v>2025 - Batch 1</v>
          </cell>
          <cell r="AU557">
            <v>26</v>
          </cell>
          <cell r="AV557">
            <v>9</v>
          </cell>
          <cell r="AW557" t="str">
            <v>H+L</v>
          </cell>
          <cell r="AX557">
            <v>70</v>
          </cell>
          <cell r="AY557">
            <v>50</v>
          </cell>
          <cell r="AZ557" t="str">
            <v>Duplex</v>
          </cell>
          <cell r="BA557">
            <v>1</v>
          </cell>
          <cell r="BB557" t="str">
            <v>568 - Without Partition</v>
          </cell>
          <cell r="BC557" t="str">
            <v xml:space="preserve">Without Partition </v>
          </cell>
          <cell r="BD557" t="str">
            <v>Flat</v>
          </cell>
          <cell r="BE557" t="str">
            <v xml:space="preserve">Without Partition </v>
          </cell>
          <cell r="BF557" t="str">
            <v>GREEN</v>
          </cell>
          <cell r="BG557">
            <v>2500000</v>
          </cell>
          <cell r="BH557">
            <v>2650000</v>
          </cell>
          <cell r="BI557">
            <v>100000</v>
          </cell>
          <cell r="BJ557">
            <v>2550000</v>
          </cell>
          <cell r="BK557">
            <v>0</v>
          </cell>
          <cell r="BL557">
            <v>2550000</v>
          </cell>
        </row>
        <row r="558">
          <cell r="D558" t="str">
            <v>OS</v>
          </cell>
          <cell r="E558"/>
          <cell r="F558">
            <v>538</v>
          </cell>
          <cell r="G558" t="str">
            <v>SOLD</v>
          </cell>
          <cell r="H558" t="str">
            <v>OS</v>
          </cell>
          <cell r="I558" t="str">
            <v>OS</v>
          </cell>
          <cell r="J558" t="str">
            <v>OS</v>
          </cell>
          <cell r="K558" t="str">
            <v>OS</v>
          </cell>
          <cell r="L558" t="str">
            <v>OS</v>
          </cell>
          <cell r="M558" t="str">
            <v>OS</v>
          </cell>
          <cell r="N558" t="str">
            <v>OS</v>
          </cell>
          <cell r="O558" t="str">
            <v>OS</v>
          </cell>
          <cell r="P558" t="str">
            <v>OS</v>
          </cell>
          <cell r="Q558" t="str">
            <v>OS</v>
          </cell>
          <cell r="R558" t="str">
            <v>OS</v>
          </cell>
          <cell r="S558" t="str">
            <v>OS</v>
          </cell>
          <cell r="T558" t="str">
            <v>OS</v>
          </cell>
          <cell r="U558" t="str">
            <v>OS</v>
          </cell>
          <cell r="V558" t="str">
            <v>OS</v>
          </cell>
          <cell r="W558" t="str">
            <v>OS</v>
          </cell>
          <cell r="X558" t="str">
            <v>OS</v>
          </cell>
          <cell r="Y558" t="str">
            <v>OS</v>
          </cell>
          <cell r="Z558" t="str">
            <v>OS</v>
          </cell>
          <cell r="AA558" t="str">
            <v>OS</v>
          </cell>
          <cell r="AB558" t="str">
            <v>OS</v>
          </cell>
          <cell r="AC558" t="str">
            <v>OS</v>
          </cell>
          <cell r="AD558" t="str">
            <v>AGM-01-026-010</v>
          </cell>
          <cell r="AE558" t="str">
            <v xml:space="preserve">Raemulan Lands, Inc. </v>
          </cell>
          <cell r="AF558" t="str">
            <v>Agapeya</v>
          </cell>
          <cell r="AG558" t="str">
            <v>AGM</v>
          </cell>
          <cell r="AH558" t="str">
            <v>Eco-High</v>
          </cell>
          <cell r="AI558" t="str">
            <v>West</v>
          </cell>
          <cell r="AJ558" t="str">
            <v>With LTS</v>
          </cell>
          <cell r="AK558" t="str">
            <v>Unaffected lots</v>
          </cell>
          <cell r="AL558" t="str">
            <v>Unaffected lots</v>
          </cell>
          <cell r="AM558" t="b">
            <v>1</v>
          </cell>
          <cell r="AN558" t="str">
            <v>YES</v>
          </cell>
          <cell r="AO558" t="str">
            <v>B1 2025</v>
          </cell>
          <cell r="AP558">
            <v>70</v>
          </cell>
          <cell r="AQ558" t="str">
            <v>PCS-04-034298</v>
          </cell>
          <cell r="AR558" t="b">
            <v>1</v>
          </cell>
          <cell r="AS558" t="str">
            <v>Done</v>
          </cell>
          <cell r="AT558" t="str">
            <v>2025 - Batch 1</v>
          </cell>
          <cell r="AU558">
            <v>26</v>
          </cell>
          <cell r="AV558">
            <v>10</v>
          </cell>
          <cell r="AW558" t="str">
            <v>H+L</v>
          </cell>
          <cell r="AX558">
            <v>70</v>
          </cell>
          <cell r="AY558">
            <v>50</v>
          </cell>
          <cell r="AZ558" t="str">
            <v>Duplex</v>
          </cell>
          <cell r="BA558">
            <v>1</v>
          </cell>
          <cell r="BB558" t="str">
            <v>568 - Without Partition</v>
          </cell>
          <cell r="BC558" t="str">
            <v xml:space="preserve">Without Partition </v>
          </cell>
          <cell r="BD558" t="str">
            <v>Slant</v>
          </cell>
          <cell r="BE558" t="str">
            <v xml:space="preserve">Without Partition </v>
          </cell>
          <cell r="BF558" t="str">
            <v>GREEN</v>
          </cell>
          <cell r="BG558">
            <v>2375000</v>
          </cell>
          <cell r="BH558">
            <v>2650000</v>
          </cell>
          <cell r="BI558">
            <v>100000</v>
          </cell>
          <cell r="BJ558">
            <v>2550000</v>
          </cell>
          <cell r="BK558">
            <v>0</v>
          </cell>
          <cell r="BL558">
            <v>2550000</v>
          </cell>
        </row>
        <row r="559">
          <cell r="D559" t="str">
            <v>OS</v>
          </cell>
          <cell r="E559"/>
          <cell r="F559">
            <v>539</v>
          </cell>
          <cell r="G559" t="str">
            <v>SOLD</v>
          </cell>
          <cell r="H559" t="str">
            <v>OS</v>
          </cell>
          <cell r="I559" t="str">
            <v>OS</v>
          </cell>
          <cell r="J559" t="str">
            <v>OS</v>
          </cell>
          <cell r="K559" t="str">
            <v>OS</v>
          </cell>
          <cell r="L559" t="str">
            <v>OS</v>
          </cell>
          <cell r="M559" t="str">
            <v>OS</v>
          </cell>
          <cell r="N559" t="str">
            <v>OS</v>
          </cell>
          <cell r="O559" t="str">
            <v>OS</v>
          </cell>
          <cell r="P559" t="str">
            <v>OS</v>
          </cell>
          <cell r="Q559" t="str">
            <v>OS</v>
          </cell>
          <cell r="R559" t="str">
            <v>OS</v>
          </cell>
          <cell r="S559" t="str">
            <v>OS</v>
          </cell>
          <cell r="T559" t="str">
            <v>OS</v>
          </cell>
          <cell r="U559" t="str">
            <v>OS</v>
          </cell>
          <cell r="V559" t="str">
            <v>OS</v>
          </cell>
          <cell r="W559" t="str">
            <v>OS</v>
          </cell>
          <cell r="X559" t="str">
            <v>OS</v>
          </cell>
          <cell r="Y559" t="str">
            <v>OS</v>
          </cell>
          <cell r="Z559" t="str">
            <v>OS</v>
          </cell>
          <cell r="AA559" t="str">
            <v>OS</v>
          </cell>
          <cell r="AB559" t="str">
            <v>OS</v>
          </cell>
          <cell r="AC559" t="str">
            <v>OS</v>
          </cell>
          <cell r="AD559" t="str">
            <v>AGM-01-026-011</v>
          </cell>
          <cell r="AE559" t="str">
            <v xml:space="preserve">Raemulan Lands, Inc. </v>
          </cell>
          <cell r="AF559" t="str">
            <v>Agapeya</v>
          </cell>
          <cell r="AG559" t="str">
            <v>AGM</v>
          </cell>
          <cell r="AH559" t="str">
            <v>Eco-High</v>
          </cell>
          <cell r="AI559" t="str">
            <v>West</v>
          </cell>
          <cell r="AJ559" t="str">
            <v>With LTS</v>
          </cell>
          <cell r="AK559" t="str">
            <v>Unaffected lots</v>
          </cell>
          <cell r="AL559" t="str">
            <v>Unaffected lots</v>
          </cell>
          <cell r="AM559" t="b">
            <v>1</v>
          </cell>
          <cell r="AN559" t="str">
            <v>YES</v>
          </cell>
          <cell r="AO559" t="str">
            <v>B1 2025</v>
          </cell>
          <cell r="AP559">
            <v>70</v>
          </cell>
          <cell r="AQ559" t="str">
            <v>PCS-04-034298</v>
          </cell>
          <cell r="AR559" t="b">
            <v>1</v>
          </cell>
          <cell r="AS559" t="str">
            <v>Done</v>
          </cell>
          <cell r="AT559" t="str">
            <v>2025 - Batch 1</v>
          </cell>
          <cell r="AU559">
            <v>26</v>
          </cell>
          <cell r="AV559">
            <v>11</v>
          </cell>
          <cell r="AW559" t="str">
            <v>H+L</v>
          </cell>
          <cell r="AX559">
            <v>70</v>
          </cell>
          <cell r="AY559">
            <v>50</v>
          </cell>
          <cell r="AZ559" t="str">
            <v>Duplex</v>
          </cell>
          <cell r="BA559">
            <v>1</v>
          </cell>
          <cell r="BB559" t="str">
            <v>568 - Without Partition</v>
          </cell>
          <cell r="BC559" t="str">
            <v xml:space="preserve">Without Partition </v>
          </cell>
          <cell r="BD559" t="str">
            <v>Slant</v>
          </cell>
          <cell r="BE559" t="str">
            <v xml:space="preserve">Without Partition </v>
          </cell>
          <cell r="BF559" t="str">
            <v>GREEN</v>
          </cell>
          <cell r="BG559">
            <v>2500000</v>
          </cell>
          <cell r="BH559">
            <v>2650000</v>
          </cell>
          <cell r="BI559">
            <v>100000</v>
          </cell>
          <cell r="BJ559">
            <v>2550000</v>
          </cell>
          <cell r="BK559">
            <v>0</v>
          </cell>
          <cell r="BL559">
            <v>2550000</v>
          </cell>
        </row>
        <row r="560">
          <cell r="D560" t="str">
            <v>OS</v>
          </cell>
          <cell r="E560"/>
          <cell r="F560">
            <v>540</v>
          </cell>
          <cell r="G560" t="str">
            <v>SOLD</v>
          </cell>
          <cell r="H560" t="str">
            <v>OS</v>
          </cell>
          <cell r="I560" t="str">
            <v>OS</v>
          </cell>
          <cell r="J560" t="str">
            <v>OS</v>
          </cell>
          <cell r="K560" t="str">
            <v>OS</v>
          </cell>
          <cell r="L560" t="str">
            <v>OS</v>
          </cell>
          <cell r="M560" t="str">
            <v>OS</v>
          </cell>
          <cell r="N560" t="str">
            <v>OS</v>
          </cell>
          <cell r="O560" t="str">
            <v>OS</v>
          </cell>
          <cell r="P560" t="str">
            <v>OS</v>
          </cell>
          <cell r="Q560" t="str">
            <v>OS</v>
          </cell>
          <cell r="R560" t="str">
            <v>OS</v>
          </cell>
          <cell r="S560" t="str">
            <v>OS</v>
          </cell>
          <cell r="T560" t="str">
            <v>OS</v>
          </cell>
          <cell r="U560" t="str">
            <v>OS</v>
          </cell>
          <cell r="V560" t="str">
            <v>OS</v>
          </cell>
          <cell r="W560" t="str">
            <v>OS</v>
          </cell>
          <cell r="X560" t="str">
            <v>OS</v>
          </cell>
          <cell r="Y560" t="str">
            <v>OS</v>
          </cell>
          <cell r="Z560" t="str">
            <v>OS</v>
          </cell>
          <cell r="AA560" t="str">
            <v>OS</v>
          </cell>
          <cell r="AB560" t="str">
            <v>OS</v>
          </cell>
          <cell r="AC560" t="str">
            <v>OS</v>
          </cell>
          <cell r="AD560" t="str">
            <v>AGM-01-026-012</v>
          </cell>
          <cell r="AE560" t="str">
            <v xml:space="preserve">Raemulan Lands, Inc. </v>
          </cell>
          <cell r="AF560" t="str">
            <v>Agapeya</v>
          </cell>
          <cell r="AG560" t="str">
            <v>AGM</v>
          </cell>
          <cell r="AH560" t="str">
            <v>Eco-High</v>
          </cell>
          <cell r="AI560" t="str">
            <v>West</v>
          </cell>
          <cell r="AJ560" t="str">
            <v>With LTS</v>
          </cell>
          <cell r="AK560" t="str">
            <v>Unaffected lots</v>
          </cell>
          <cell r="AL560" t="str">
            <v>Unaffected lots</v>
          </cell>
          <cell r="AM560" t="b">
            <v>0</v>
          </cell>
          <cell r="AN560" t="str">
            <v>NO</v>
          </cell>
          <cell r="AO560" t="str">
            <v>B1 2025</v>
          </cell>
          <cell r="AP560">
            <v>70</v>
          </cell>
          <cell r="AQ560" t="str">
            <v>PCS-04-035874</v>
          </cell>
          <cell r="AR560" t="b">
            <v>1</v>
          </cell>
          <cell r="AS560" t="str">
            <v>Done</v>
          </cell>
          <cell r="AT560" t="str">
            <v>2025 - Batch 1</v>
          </cell>
          <cell r="AU560">
            <v>26</v>
          </cell>
          <cell r="AV560">
            <v>12</v>
          </cell>
          <cell r="AW560" t="str">
            <v>H+L</v>
          </cell>
          <cell r="AX560">
            <v>70</v>
          </cell>
          <cell r="AY560">
            <v>50</v>
          </cell>
          <cell r="AZ560" t="str">
            <v>Duplex</v>
          </cell>
          <cell r="BA560">
            <v>1</v>
          </cell>
          <cell r="BB560" t="str">
            <v>568 - Without Partition</v>
          </cell>
          <cell r="BC560" t="str">
            <v xml:space="preserve">Without Partition </v>
          </cell>
          <cell r="BD560" t="str">
            <v>Flat</v>
          </cell>
          <cell r="BE560" t="str">
            <v xml:space="preserve">Without Partition </v>
          </cell>
          <cell r="BF560" t="str">
            <v>GREEN</v>
          </cell>
          <cell r="BG560">
            <v>2500000</v>
          </cell>
          <cell r="BH560">
            <v>2650000</v>
          </cell>
          <cell r="BI560">
            <v>100000</v>
          </cell>
          <cell r="BJ560">
            <v>2550000</v>
          </cell>
          <cell r="BK560">
            <v>0</v>
          </cell>
          <cell r="BL560">
            <v>2550000</v>
          </cell>
        </row>
        <row r="561">
          <cell r="D561" t="str">
            <v>OS</v>
          </cell>
          <cell r="E561"/>
          <cell r="F561">
            <v>541</v>
          </cell>
          <cell r="G561" t="str">
            <v>SOLD</v>
          </cell>
          <cell r="H561" t="str">
            <v>OS</v>
          </cell>
          <cell r="I561" t="str">
            <v>OS</v>
          </cell>
          <cell r="J561" t="str">
            <v>OS</v>
          </cell>
          <cell r="K561" t="str">
            <v>OS</v>
          </cell>
          <cell r="L561" t="str">
            <v>OS</v>
          </cell>
          <cell r="M561" t="str">
            <v>OS</v>
          </cell>
          <cell r="N561" t="str">
            <v>OS</v>
          </cell>
          <cell r="O561" t="str">
            <v>OS</v>
          </cell>
          <cell r="P561" t="str">
            <v>OS</v>
          </cell>
          <cell r="Q561" t="str">
            <v>OS</v>
          </cell>
          <cell r="R561" t="str">
            <v>OS</v>
          </cell>
          <cell r="S561" t="str">
            <v>OS</v>
          </cell>
          <cell r="T561" t="str">
            <v>OS</v>
          </cell>
          <cell r="U561" t="str">
            <v>OS</v>
          </cell>
          <cell r="V561" t="str">
            <v>OS</v>
          </cell>
          <cell r="W561" t="str">
            <v>OS</v>
          </cell>
          <cell r="X561" t="str">
            <v>OS</v>
          </cell>
          <cell r="Y561" t="str">
            <v>OS</v>
          </cell>
          <cell r="Z561" t="str">
            <v>OS</v>
          </cell>
          <cell r="AA561" t="str">
            <v>OS</v>
          </cell>
          <cell r="AB561" t="str">
            <v>OS</v>
          </cell>
          <cell r="AC561" t="str">
            <v>OS</v>
          </cell>
          <cell r="AD561" t="str">
            <v>AGM-01-026-013</v>
          </cell>
          <cell r="AE561" t="str">
            <v xml:space="preserve">Raemulan Lands, Inc. </v>
          </cell>
          <cell r="AF561" t="str">
            <v>Agapeya</v>
          </cell>
          <cell r="AG561" t="str">
            <v>AGM</v>
          </cell>
          <cell r="AH561" t="str">
            <v>Eco-High</v>
          </cell>
          <cell r="AI561" t="str">
            <v>West</v>
          </cell>
          <cell r="AJ561" t="str">
            <v>With LTS</v>
          </cell>
          <cell r="AK561" t="str">
            <v>Unaffected lots</v>
          </cell>
          <cell r="AL561" t="str">
            <v>Unaffected lots</v>
          </cell>
          <cell r="AM561" t="b">
            <v>1</v>
          </cell>
          <cell r="AN561" t="str">
            <v>YES</v>
          </cell>
          <cell r="AO561" t="str">
            <v>B1 2025</v>
          </cell>
          <cell r="AP561">
            <v>70</v>
          </cell>
          <cell r="AQ561" t="str">
            <v>PCS-04-276764</v>
          </cell>
          <cell r="AR561" t="b">
            <v>1</v>
          </cell>
          <cell r="AS561" t="str">
            <v>Done</v>
          </cell>
          <cell r="AT561" t="str">
            <v>2025 - Batch 1</v>
          </cell>
          <cell r="AU561">
            <v>26</v>
          </cell>
          <cell r="AV561">
            <v>13</v>
          </cell>
          <cell r="AW561" t="str">
            <v>H+L</v>
          </cell>
          <cell r="AX561">
            <v>70</v>
          </cell>
          <cell r="AY561">
            <v>50</v>
          </cell>
          <cell r="AZ561" t="str">
            <v>Duplex</v>
          </cell>
          <cell r="BA561">
            <v>1</v>
          </cell>
          <cell r="BB561" t="str">
            <v>568 - Without Partition</v>
          </cell>
          <cell r="BC561" t="str">
            <v xml:space="preserve">Without Partition </v>
          </cell>
          <cell r="BD561" t="str">
            <v>Flat</v>
          </cell>
          <cell r="BE561" t="str">
            <v xml:space="preserve">Without Partition </v>
          </cell>
          <cell r="BF561" t="str">
            <v>PURPLE</v>
          </cell>
          <cell r="BG561">
            <v>2500000</v>
          </cell>
          <cell r="BH561">
            <v>2650000</v>
          </cell>
          <cell r="BI561">
            <v>100000</v>
          </cell>
          <cell r="BJ561">
            <v>2550000</v>
          </cell>
          <cell r="BK561">
            <v>0</v>
          </cell>
          <cell r="BL561">
            <v>2550000</v>
          </cell>
        </row>
        <row r="562">
          <cell r="D562" t="str">
            <v>OS</v>
          </cell>
          <cell r="E562"/>
          <cell r="F562">
            <v>542</v>
          </cell>
          <cell r="G562" t="str">
            <v>SOLD</v>
          </cell>
          <cell r="H562" t="str">
            <v>OS</v>
          </cell>
          <cell r="I562" t="str">
            <v>OS</v>
          </cell>
          <cell r="J562" t="str">
            <v>OS</v>
          </cell>
          <cell r="K562" t="str">
            <v>OS</v>
          </cell>
          <cell r="L562" t="str">
            <v>OS</v>
          </cell>
          <cell r="M562" t="str">
            <v>OS</v>
          </cell>
          <cell r="N562" t="str">
            <v>OS</v>
          </cell>
          <cell r="O562" t="str">
            <v>OS</v>
          </cell>
          <cell r="P562" t="str">
            <v>OS</v>
          </cell>
          <cell r="Q562" t="str">
            <v>OS</v>
          </cell>
          <cell r="R562" t="str">
            <v>OS</v>
          </cell>
          <cell r="S562" t="str">
            <v>OS</v>
          </cell>
          <cell r="T562" t="str">
            <v>OS</v>
          </cell>
          <cell r="U562" t="str">
            <v>OS</v>
          </cell>
          <cell r="V562" t="str">
            <v>OS</v>
          </cell>
          <cell r="W562" t="str">
            <v>OS</v>
          </cell>
          <cell r="X562" t="str">
            <v>OS</v>
          </cell>
          <cell r="Y562" t="str">
            <v>OS</v>
          </cell>
          <cell r="Z562" t="str">
            <v>OS</v>
          </cell>
          <cell r="AA562" t="str">
            <v>OS</v>
          </cell>
          <cell r="AB562" t="str">
            <v>OS</v>
          </cell>
          <cell r="AC562" t="str">
            <v>OS</v>
          </cell>
          <cell r="AD562" t="str">
            <v>AGM-01-026-014</v>
          </cell>
          <cell r="AE562" t="str">
            <v xml:space="preserve">Raemulan Lands, Inc. </v>
          </cell>
          <cell r="AF562" t="str">
            <v>Agapeya</v>
          </cell>
          <cell r="AG562" t="str">
            <v>AGM</v>
          </cell>
          <cell r="AH562" t="str">
            <v>Eco-High</v>
          </cell>
          <cell r="AI562" t="str">
            <v>West</v>
          </cell>
          <cell r="AJ562" t="str">
            <v>With LTS</v>
          </cell>
          <cell r="AK562" t="str">
            <v>Unaffected lots</v>
          </cell>
          <cell r="AL562" t="str">
            <v>Unaffected lots</v>
          </cell>
          <cell r="AM562" t="b">
            <v>1</v>
          </cell>
          <cell r="AN562" t="str">
            <v>YES</v>
          </cell>
          <cell r="AO562" t="str">
            <v>B1 2025</v>
          </cell>
          <cell r="AP562">
            <v>70</v>
          </cell>
          <cell r="AQ562" t="str">
            <v>PCS-04-276764</v>
          </cell>
          <cell r="AR562" t="b">
            <v>1</v>
          </cell>
          <cell r="AS562" t="str">
            <v>Done</v>
          </cell>
          <cell r="AT562" t="str">
            <v>2025 - Batch 1</v>
          </cell>
          <cell r="AU562">
            <v>26</v>
          </cell>
          <cell r="AV562">
            <v>14</v>
          </cell>
          <cell r="AW562" t="str">
            <v>H+L</v>
          </cell>
          <cell r="AX562">
            <v>70</v>
          </cell>
          <cell r="AY562">
            <v>50</v>
          </cell>
          <cell r="AZ562" t="str">
            <v>Duplex</v>
          </cell>
          <cell r="BA562">
            <v>1</v>
          </cell>
          <cell r="BB562" t="str">
            <v>568 - Without Partition</v>
          </cell>
          <cell r="BC562" t="str">
            <v xml:space="preserve">Without Partition </v>
          </cell>
          <cell r="BD562" t="str">
            <v>Slant</v>
          </cell>
          <cell r="BE562" t="str">
            <v xml:space="preserve">Without Partition </v>
          </cell>
          <cell r="BF562" t="str">
            <v>PURPLE</v>
          </cell>
          <cell r="BG562">
            <v>2500000</v>
          </cell>
          <cell r="BH562">
            <v>2650000</v>
          </cell>
          <cell r="BI562">
            <v>100000</v>
          </cell>
          <cell r="BJ562">
            <v>2550000</v>
          </cell>
          <cell r="BK562">
            <v>0</v>
          </cell>
          <cell r="BL562">
            <v>2550000</v>
          </cell>
        </row>
        <row r="563">
          <cell r="D563" t="str">
            <v>OS</v>
          </cell>
          <cell r="E563"/>
          <cell r="F563">
            <v>543</v>
          </cell>
          <cell r="G563" t="str">
            <v>SOLD</v>
          </cell>
          <cell r="H563" t="str">
            <v>OS</v>
          </cell>
          <cell r="I563" t="str">
            <v>OS</v>
          </cell>
          <cell r="J563" t="str">
            <v>OS</v>
          </cell>
          <cell r="K563" t="str">
            <v>OS</v>
          </cell>
          <cell r="L563" t="str">
            <v>OS</v>
          </cell>
          <cell r="M563" t="str">
            <v>OS</v>
          </cell>
          <cell r="N563" t="str">
            <v>OS</v>
          </cell>
          <cell r="O563" t="str">
            <v>OS</v>
          </cell>
          <cell r="P563" t="str">
            <v>OS</v>
          </cell>
          <cell r="Q563" t="str">
            <v>OS</v>
          </cell>
          <cell r="R563" t="str">
            <v>OS</v>
          </cell>
          <cell r="S563" t="str">
            <v>OS</v>
          </cell>
          <cell r="T563" t="str">
            <v>OS</v>
          </cell>
          <cell r="U563" t="str">
            <v>OS</v>
          </cell>
          <cell r="V563" t="str">
            <v>OS</v>
          </cell>
          <cell r="W563" t="str">
            <v>OS</v>
          </cell>
          <cell r="X563" t="str">
            <v>OS</v>
          </cell>
          <cell r="Y563" t="str">
            <v>OS</v>
          </cell>
          <cell r="Z563" t="str">
            <v>OS</v>
          </cell>
          <cell r="AA563" t="str">
            <v>OS</v>
          </cell>
          <cell r="AB563" t="str">
            <v>OS</v>
          </cell>
          <cell r="AC563" t="str">
            <v>OS</v>
          </cell>
          <cell r="AD563" t="str">
            <v>AGM-01-026-015</v>
          </cell>
          <cell r="AE563" t="str">
            <v xml:space="preserve">Raemulan Lands, Inc. </v>
          </cell>
          <cell r="AF563" t="str">
            <v>Agapeya</v>
          </cell>
          <cell r="AG563" t="str">
            <v>AGM</v>
          </cell>
          <cell r="AH563" t="str">
            <v>Eco-High</v>
          </cell>
          <cell r="AI563" t="str">
            <v>West</v>
          </cell>
          <cell r="AJ563" t="str">
            <v>With LTS</v>
          </cell>
          <cell r="AK563" t="str">
            <v>Unaffected lots</v>
          </cell>
          <cell r="AL563" t="str">
            <v>Unaffected lots</v>
          </cell>
          <cell r="AM563" t="b">
            <v>1</v>
          </cell>
          <cell r="AN563" t="str">
            <v>YES</v>
          </cell>
          <cell r="AO563" t="str">
            <v>B1 2025</v>
          </cell>
          <cell r="AP563">
            <v>70</v>
          </cell>
          <cell r="AQ563" t="str">
            <v>PCS-04-276764</v>
          </cell>
          <cell r="AR563" t="b">
            <v>1</v>
          </cell>
          <cell r="AS563" t="str">
            <v>Done</v>
          </cell>
          <cell r="AT563" t="str">
            <v>2025 - Batch 1</v>
          </cell>
          <cell r="AU563">
            <v>26</v>
          </cell>
          <cell r="AV563">
            <v>15</v>
          </cell>
          <cell r="AW563" t="str">
            <v>H+L</v>
          </cell>
          <cell r="AX563">
            <v>70</v>
          </cell>
          <cell r="AY563">
            <v>50</v>
          </cell>
          <cell r="AZ563" t="str">
            <v>Duplex</v>
          </cell>
          <cell r="BA563">
            <v>1</v>
          </cell>
          <cell r="BB563" t="str">
            <v>568 - Without Partition</v>
          </cell>
          <cell r="BC563" t="str">
            <v xml:space="preserve">Without Partition </v>
          </cell>
          <cell r="BD563" t="str">
            <v>Slant</v>
          </cell>
          <cell r="BE563" t="str">
            <v xml:space="preserve">Without Partition </v>
          </cell>
          <cell r="BF563" t="str">
            <v>PURPLE</v>
          </cell>
          <cell r="BG563">
            <v>2500000</v>
          </cell>
          <cell r="BH563">
            <v>2650000</v>
          </cell>
          <cell r="BI563">
            <v>100000</v>
          </cell>
          <cell r="BJ563">
            <v>2550000</v>
          </cell>
          <cell r="BK563">
            <v>0</v>
          </cell>
          <cell r="BL563">
            <v>2550000</v>
          </cell>
        </row>
        <row r="564">
          <cell r="D564" t="str">
            <v>OS</v>
          </cell>
          <cell r="E564"/>
          <cell r="F564">
            <v>544</v>
          </cell>
          <cell r="G564" t="str">
            <v>SOLD</v>
          </cell>
          <cell r="H564" t="str">
            <v>OS</v>
          </cell>
          <cell r="I564" t="str">
            <v>OS</v>
          </cell>
          <cell r="J564" t="str">
            <v>OS</v>
          </cell>
          <cell r="K564" t="str">
            <v>OS</v>
          </cell>
          <cell r="L564" t="str">
            <v>OS</v>
          </cell>
          <cell r="M564" t="str">
            <v>OS</v>
          </cell>
          <cell r="N564" t="str">
            <v>OS</v>
          </cell>
          <cell r="O564" t="str">
            <v>OS</v>
          </cell>
          <cell r="P564" t="str">
            <v>OS</v>
          </cell>
          <cell r="Q564" t="str">
            <v>OS</v>
          </cell>
          <cell r="R564" t="str">
            <v>OS</v>
          </cell>
          <cell r="S564" t="str">
            <v>OS</v>
          </cell>
          <cell r="T564" t="str">
            <v>OS</v>
          </cell>
          <cell r="U564" t="str">
            <v>OS</v>
          </cell>
          <cell r="V564" t="str">
            <v>OS</v>
          </cell>
          <cell r="W564" t="str">
            <v>OS</v>
          </cell>
          <cell r="X564" t="str">
            <v>OS</v>
          </cell>
          <cell r="Y564" t="str">
            <v>OS</v>
          </cell>
          <cell r="Z564" t="str">
            <v>OS</v>
          </cell>
          <cell r="AA564" t="str">
            <v>OS</v>
          </cell>
          <cell r="AB564" t="str">
            <v>OS</v>
          </cell>
          <cell r="AC564" t="str">
            <v>OS</v>
          </cell>
          <cell r="AD564" t="str">
            <v>AGM-01-026-016</v>
          </cell>
          <cell r="AE564" t="str">
            <v xml:space="preserve">Raemulan Lands, Inc. </v>
          </cell>
          <cell r="AF564" t="str">
            <v>Agapeya</v>
          </cell>
          <cell r="AG564" t="str">
            <v>AGM</v>
          </cell>
          <cell r="AH564" t="str">
            <v>Eco-High</v>
          </cell>
          <cell r="AI564" t="str">
            <v>West</v>
          </cell>
          <cell r="AJ564" t="str">
            <v>With LTS</v>
          </cell>
          <cell r="AK564" t="str">
            <v>Unaffected lots</v>
          </cell>
          <cell r="AL564" t="str">
            <v>Unaffected lots</v>
          </cell>
          <cell r="AM564" t="b">
            <v>1</v>
          </cell>
          <cell r="AN564" t="str">
            <v>YES</v>
          </cell>
          <cell r="AO564" t="str">
            <v>B1 2025</v>
          </cell>
          <cell r="AP564">
            <v>70</v>
          </cell>
          <cell r="AQ564" t="str">
            <v>PCS-04-276764</v>
          </cell>
          <cell r="AR564" t="b">
            <v>1</v>
          </cell>
          <cell r="AS564" t="str">
            <v>Done</v>
          </cell>
          <cell r="AT564" t="str">
            <v>2025 - Batch 1</v>
          </cell>
          <cell r="AU564">
            <v>26</v>
          </cell>
          <cell r="AV564">
            <v>16</v>
          </cell>
          <cell r="AW564" t="str">
            <v>H+L</v>
          </cell>
          <cell r="AX564">
            <v>70</v>
          </cell>
          <cell r="AY564">
            <v>50</v>
          </cell>
          <cell r="AZ564" t="str">
            <v>Duplex</v>
          </cell>
          <cell r="BA564">
            <v>1</v>
          </cell>
          <cell r="BB564" t="str">
            <v>568 - Without Partition</v>
          </cell>
          <cell r="BC564" t="str">
            <v xml:space="preserve">Without Partition </v>
          </cell>
          <cell r="BD564" t="str">
            <v>Flat</v>
          </cell>
          <cell r="BE564" t="str">
            <v xml:space="preserve">Without Partition </v>
          </cell>
          <cell r="BF564" t="str">
            <v>PURPLE</v>
          </cell>
          <cell r="BG564">
            <v>2500000</v>
          </cell>
          <cell r="BH564">
            <v>2650000</v>
          </cell>
          <cell r="BI564">
            <v>100000</v>
          </cell>
          <cell r="BJ564">
            <v>2550000</v>
          </cell>
          <cell r="BK564">
            <v>0</v>
          </cell>
          <cell r="BL564">
            <v>2550000</v>
          </cell>
        </row>
        <row r="565">
          <cell r="D565" t="str">
            <v>OS</v>
          </cell>
          <cell r="E565"/>
          <cell r="F565">
            <v>545</v>
          </cell>
          <cell r="G565" t="str">
            <v>SOLD</v>
          </cell>
          <cell r="H565" t="str">
            <v>OS</v>
          </cell>
          <cell r="I565" t="str">
            <v>OS</v>
          </cell>
          <cell r="J565" t="str">
            <v>OS</v>
          </cell>
          <cell r="K565" t="str">
            <v>OS</v>
          </cell>
          <cell r="L565" t="str">
            <v>OS</v>
          </cell>
          <cell r="M565" t="str">
            <v>OS</v>
          </cell>
          <cell r="N565" t="str">
            <v>OS</v>
          </cell>
          <cell r="O565" t="str">
            <v>OS</v>
          </cell>
          <cell r="P565" t="str">
            <v>OS</v>
          </cell>
          <cell r="Q565" t="str">
            <v>OS</v>
          </cell>
          <cell r="R565" t="str">
            <v>OS</v>
          </cell>
          <cell r="S565" t="str">
            <v>OS</v>
          </cell>
          <cell r="T565" t="str">
            <v>OS</v>
          </cell>
          <cell r="U565" t="str">
            <v>OS</v>
          </cell>
          <cell r="V565" t="str">
            <v>OS</v>
          </cell>
          <cell r="W565" t="str">
            <v>OS</v>
          </cell>
          <cell r="X565" t="str">
            <v>OS</v>
          </cell>
          <cell r="Y565" t="str">
            <v>OS</v>
          </cell>
          <cell r="Z565" t="str">
            <v>OS</v>
          </cell>
          <cell r="AA565" t="str">
            <v>OS</v>
          </cell>
          <cell r="AB565" t="str">
            <v>OS</v>
          </cell>
          <cell r="AC565" t="str">
            <v>OS</v>
          </cell>
          <cell r="AD565" t="str">
            <v>AGM-01-026-017</v>
          </cell>
          <cell r="AE565" t="str">
            <v xml:space="preserve">Raemulan Lands, Inc. </v>
          </cell>
          <cell r="AF565" t="str">
            <v>Agapeya</v>
          </cell>
          <cell r="AG565" t="str">
            <v>AGM</v>
          </cell>
          <cell r="AH565" t="str">
            <v>Eco-High</v>
          </cell>
          <cell r="AI565" t="str">
            <v>West</v>
          </cell>
          <cell r="AJ565" t="str">
            <v>With LTS</v>
          </cell>
          <cell r="AK565" t="str">
            <v>Unaffected lots</v>
          </cell>
          <cell r="AL565" t="str">
            <v>Unaffected lots</v>
          </cell>
          <cell r="AM565" t="b">
            <v>1</v>
          </cell>
          <cell r="AN565" t="str">
            <v>YES</v>
          </cell>
          <cell r="AO565" t="str">
            <v>B1 2025</v>
          </cell>
          <cell r="AP565">
            <v>70</v>
          </cell>
          <cell r="AQ565" t="str">
            <v>PCS-04-276764</v>
          </cell>
          <cell r="AR565" t="b">
            <v>1</v>
          </cell>
          <cell r="AS565" t="str">
            <v>Done</v>
          </cell>
          <cell r="AT565" t="str">
            <v>2025 - Batch 1</v>
          </cell>
          <cell r="AU565">
            <v>26</v>
          </cell>
          <cell r="AV565">
            <v>17</v>
          </cell>
          <cell r="AW565" t="str">
            <v>H+L</v>
          </cell>
          <cell r="AX565">
            <v>70</v>
          </cell>
          <cell r="AY565">
            <v>50</v>
          </cell>
          <cell r="AZ565" t="str">
            <v>Duplex</v>
          </cell>
          <cell r="BA565">
            <v>1</v>
          </cell>
          <cell r="BB565" t="str">
            <v>568 - Without Partition</v>
          </cell>
          <cell r="BC565" t="str">
            <v xml:space="preserve">Without Partition </v>
          </cell>
          <cell r="BD565" t="str">
            <v>Flat</v>
          </cell>
          <cell r="BE565" t="str">
            <v xml:space="preserve">Without Partition </v>
          </cell>
          <cell r="BF565" t="str">
            <v>PINK</v>
          </cell>
          <cell r="BG565">
            <v>2500000</v>
          </cell>
          <cell r="BH565">
            <v>2650000</v>
          </cell>
          <cell r="BI565">
            <v>100000</v>
          </cell>
          <cell r="BJ565">
            <v>2550000</v>
          </cell>
          <cell r="BK565">
            <v>0</v>
          </cell>
          <cell r="BL565">
            <v>2550000</v>
          </cell>
        </row>
        <row r="566">
          <cell r="D566" t="str">
            <v>OS</v>
          </cell>
          <cell r="E566"/>
          <cell r="F566">
            <v>546</v>
          </cell>
          <cell r="G566" t="str">
            <v>SOLD</v>
          </cell>
          <cell r="H566" t="str">
            <v>OS</v>
          </cell>
          <cell r="I566" t="str">
            <v>OS</v>
          </cell>
          <cell r="J566" t="str">
            <v>OS</v>
          </cell>
          <cell r="K566" t="str">
            <v>OS</v>
          </cell>
          <cell r="L566" t="str">
            <v>OS</v>
          </cell>
          <cell r="M566" t="str">
            <v>OS</v>
          </cell>
          <cell r="N566" t="str">
            <v>OS</v>
          </cell>
          <cell r="O566" t="str">
            <v>OS</v>
          </cell>
          <cell r="P566" t="str">
            <v>OS</v>
          </cell>
          <cell r="Q566" t="str">
            <v>OS</v>
          </cell>
          <cell r="R566" t="str">
            <v>OS</v>
          </cell>
          <cell r="S566" t="str">
            <v>OS</v>
          </cell>
          <cell r="T566" t="str">
            <v>OS</v>
          </cell>
          <cell r="U566" t="str">
            <v>OS</v>
          </cell>
          <cell r="V566" t="str">
            <v>OS</v>
          </cell>
          <cell r="W566" t="str">
            <v>OS</v>
          </cell>
          <cell r="X566" t="str">
            <v>OS</v>
          </cell>
          <cell r="Y566" t="str">
            <v>OS</v>
          </cell>
          <cell r="Z566" t="str">
            <v>OS</v>
          </cell>
          <cell r="AA566" t="str">
            <v>OS</v>
          </cell>
          <cell r="AB566" t="str">
            <v>OS</v>
          </cell>
          <cell r="AC566" t="str">
            <v>OS</v>
          </cell>
          <cell r="AD566" t="str">
            <v>AGM-01-026-018</v>
          </cell>
          <cell r="AE566" t="str">
            <v xml:space="preserve">Raemulan Lands, Inc. </v>
          </cell>
          <cell r="AF566" t="str">
            <v>Agapeya</v>
          </cell>
          <cell r="AG566" t="str">
            <v>AGM</v>
          </cell>
          <cell r="AH566" t="str">
            <v>Eco-High</v>
          </cell>
          <cell r="AI566" t="str">
            <v>West</v>
          </cell>
          <cell r="AJ566" t="str">
            <v>With LTS</v>
          </cell>
          <cell r="AK566" t="str">
            <v>Unaffected lots</v>
          </cell>
          <cell r="AL566" t="str">
            <v>Unaffected lots</v>
          </cell>
          <cell r="AM566" t="b">
            <v>1</v>
          </cell>
          <cell r="AN566" t="str">
            <v>YES</v>
          </cell>
          <cell r="AO566" t="str">
            <v>B1 2025</v>
          </cell>
          <cell r="AP566">
            <v>70</v>
          </cell>
          <cell r="AQ566" t="str">
            <v>PCS-04-276764</v>
          </cell>
          <cell r="AR566" t="b">
            <v>1</v>
          </cell>
          <cell r="AS566" t="str">
            <v>Done</v>
          </cell>
          <cell r="AT566" t="str">
            <v>2025 - Batch 1</v>
          </cell>
          <cell r="AU566">
            <v>26</v>
          </cell>
          <cell r="AV566">
            <v>18</v>
          </cell>
          <cell r="AW566" t="str">
            <v>H+L</v>
          </cell>
          <cell r="AX566">
            <v>70</v>
          </cell>
          <cell r="AY566">
            <v>50</v>
          </cell>
          <cell r="AZ566" t="str">
            <v>Duplex</v>
          </cell>
          <cell r="BA566">
            <v>1</v>
          </cell>
          <cell r="BB566" t="str">
            <v>568 - Without Partition</v>
          </cell>
          <cell r="BC566" t="str">
            <v xml:space="preserve">Without Partition </v>
          </cell>
          <cell r="BD566" t="str">
            <v>Slant</v>
          </cell>
          <cell r="BE566" t="str">
            <v xml:space="preserve">Without Partition </v>
          </cell>
          <cell r="BF566" t="str">
            <v>PINK</v>
          </cell>
          <cell r="BG566">
            <v>2500000</v>
          </cell>
          <cell r="BH566">
            <v>2650000</v>
          </cell>
          <cell r="BI566">
            <v>100000</v>
          </cell>
          <cell r="BJ566">
            <v>2550000</v>
          </cell>
          <cell r="BK566">
            <v>0</v>
          </cell>
          <cell r="BL566">
            <v>2550000</v>
          </cell>
        </row>
        <row r="567">
          <cell r="D567" t="str">
            <v>OS</v>
          </cell>
          <cell r="E567"/>
          <cell r="F567">
            <v>547</v>
          </cell>
          <cell r="G567" t="str">
            <v>SOLD</v>
          </cell>
          <cell r="H567" t="str">
            <v>OS</v>
          </cell>
          <cell r="I567" t="str">
            <v>OS</v>
          </cell>
          <cell r="J567" t="str">
            <v>OS</v>
          </cell>
          <cell r="K567" t="str">
            <v>OS</v>
          </cell>
          <cell r="L567" t="str">
            <v>OS</v>
          </cell>
          <cell r="M567" t="str">
            <v>OS</v>
          </cell>
          <cell r="N567" t="str">
            <v>OS</v>
          </cell>
          <cell r="O567" t="str">
            <v>OS</v>
          </cell>
          <cell r="P567" t="str">
            <v>OS</v>
          </cell>
          <cell r="Q567" t="str">
            <v>OS</v>
          </cell>
          <cell r="R567" t="str">
            <v>OS</v>
          </cell>
          <cell r="S567" t="str">
            <v>OS</v>
          </cell>
          <cell r="T567" t="str">
            <v>OS</v>
          </cell>
          <cell r="U567" t="str">
            <v>OS</v>
          </cell>
          <cell r="V567" t="str">
            <v>OS</v>
          </cell>
          <cell r="W567" t="str">
            <v>OS</v>
          </cell>
          <cell r="X567" t="str">
            <v>OS</v>
          </cell>
          <cell r="Y567" t="str">
            <v>OS</v>
          </cell>
          <cell r="Z567" t="str">
            <v>OS</v>
          </cell>
          <cell r="AA567" t="str">
            <v>OS</v>
          </cell>
          <cell r="AB567" t="str">
            <v>OS</v>
          </cell>
          <cell r="AC567" t="str">
            <v>OS</v>
          </cell>
          <cell r="AD567" t="str">
            <v>AGM-01-026-019</v>
          </cell>
          <cell r="AE567" t="str">
            <v xml:space="preserve">Raemulan Lands, Inc. </v>
          </cell>
          <cell r="AF567" t="str">
            <v>Agapeya</v>
          </cell>
          <cell r="AG567" t="str">
            <v>AGM</v>
          </cell>
          <cell r="AH567" t="str">
            <v>Eco-High</v>
          </cell>
          <cell r="AI567" t="str">
            <v>West</v>
          </cell>
          <cell r="AJ567" t="str">
            <v>With LTS</v>
          </cell>
          <cell r="AK567" t="str">
            <v>Unaffected lots</v>
          </cell>
          <cell r="AL567" t="str">
            <v>Unaffected lots</v>
          </cell>
          <cell r="AM567" t="b">
            <v>1</v>
          </cell>
          <cell r="AN567" t="str">
            <v>YES</v>
          </cell>
          <cell r="AO567" t="str">
            <v>B1 2025</v>
          </cell>
          <cell r="AP567">
            <v>70</v>
          </cell>
          <cell r="AQ567" t="str">
            <v>PCS-04-276764</v>
          </cell>
          <cell r="AR567" t="b">
            <v>1</v>
          </cell>
          <cell r="AS567" t="str">
            <v>Done</v>
          </cell>
          <cell r="AT567" t="str">
            <v>2025 - Batch 1</v>
          </cell>
          <cell r="AU567">
            <v>26</v>
          </cell>
          <cell r="AV567">
            <v>19</v>
          </cell>
          <cell r="AW567" t="str">
            <v>H+L</v>
          </cell>
          <cell r="AX567">
            <v>70</v>
          </cell>
          <cell r="AY567">
            <v>50</v>
          </cell>
          <cell r="AZ567" t="str">
            <v>Duplex</v>
          </cell>
          <cell r="BA567">
            <v>1</v>
          </cell>
          <cell r="BB567" t="str">
            <v>568 - Without Partition</v>
          </cell>
          <cell r="BC567" t="str">
            <v xml:space="preserve">Without Partition </v>
          </cell>
          <cell r="BD567" t="str">
            <v>Slant</v>
          </cell>
          <cell r="BE567" t="str">
            <v xml:space="preserve">Without Partition </v>
          </cell>
          <cell r="BF567" t="str">
            <v>PINK</v>
          </cell>
          <cell r="BG567">
            <v>2500000</v>
          </cell>
          <cell r="BH567">
            <v>2650000</v>
          </cell>
          <cell r="BI567">
            <v>100000</v>
          </cell>
          <cell r="BJ567">
            <v>2550000</v>
          </cell>
          <cell r="BK567">
            <v>0</v>
          </cell>
          <cell r="BL567">
            <v>2550000</v>
          </cell>
        </row>
        <row r="568">
          <cell r="D568" t="str">
            <v>OS</v>
          </cell>
          <cell r="E568"/>
          <cell r="F568">
            <v>548</v>
          </cell>
          <cell r="G568" t="str">
            <v>SOLD</v>
          </cell>
          <cell r="H568" t="str">
            <v>OS</v>
          </cell>
          <cell r="I568" t="str">
            <v>OS</v>
          </cell>
          <cell r="J568" t="str">
            <v>OS</v>
          </cell>
          <cell r="K568" t="str">
            <v>OS</v>
          </cell>
          <cell r="L568" t="str">
            <v>OS</v>
          </cell>
          <cell r="M568" t="str">
            <v>OS</v>
          </cell>
          <cell r="N568" t="str">
            <v>OS</v>
          </cell>
          <cell r="O568" t="str">
            <v>OS</v>
          </cell>
          <cell r="P568" t="str">
            <v>OS</v>
          </cell>
          <cell r="Q568" t="str">
            <v>OS</v>
          </cell>
          <cell r="R568" t="str">
            <v>OS</v>
          </cell>
          <cell r="S568" t="str">
            <v>OS</v>
          </cell>
          <cell r="T568" t="str">
            <v>OS</v>
          </cell>
          <cell r="U568" t="str">
            <v>OS</v>
          </cell>
          <cell r="V568" t="str">
            <v>OS</v>
          </cell>
          <cell r="W568" t="str">
            <v>OS</v>
          </cell>
          <cell r="X568" t="str">
            <v>OS</v>
          </cell>
          <cell r="Y568" t="str">
            <v>OS</v>
          </cell>
          <cell r="Z568" t="str">
            <v>OS</v>
          </cell>
          <cell r="AA568" t="str">
            <v>OS</v>
          </cell>
          <cell r="AB568" t="str">
            <v>OS</v>
          </cell>
          <cell r="AC568" t="str">
            <v>OS</v>
          </cell>
          <cell r="AD568" t="str">
            <v>AGM-01-026-020</v>
          </cell>
          <cell r="AE568" t="str">
            <v xml:space="preserve">Raemulan Lands, Inc. </v>
          </cell>
          <cell r="AF568" t="str">
            <v>Agapeya</v>
          </cell>
          <cell r="AG568" t="str">
            <v>AGM</v>
          </cell>
          <cell r="AH568" t="str">
            <v>Eco-High</v>
          </cell>
          <cell r="AI568" t="str">
            <v>West</v>
          </cell>
          <cell r="AJ568" t="str">
            <v>With LTS</v>
          </cell>
          <cell r="AK568" t="str">
            <v>Unaffected lots</v>
          </cell>
          <cell r="AL568" t="str">
            <v>Unaffected lots</v>
          </cell>
          <cell r="AM568" t="b">
            <v>1</v>
          </cell>
          <cell r="AN568" t="str">
            <v>YES</v>
          </cell>
          <cell r="AO568" t="str">
            <v>B1 2025</v>
          </cell>
          <cell r="AP568">
            <v>70</v>
          </cell>
          <cell r="AQ568" t="str">
            <v>PCS-04-276764</v>
          </cell>
          <cell r="AR568" t="b">
            <v>1</v>
          </cell>
          <cell r="AS568" t="str">
            <v>Done</v>
          </cell>
          <cell r="AT568" t="str">
            <v>2025 - Batch 1</v>
          </cell>
          <cell r="AU568">
            <v>26</v>
          </cell>
          <cell r="AV568">
            <v>20</v>
          </cell>
          <cell r="AW568" t="str">
            <v>H+L</v>
          </cell>
          <cell r="AX568">
            <v>70</v>
          </cell>
          <cell r="AY568">
            <v>50</v>
          </cell>
          <cell r="AZ568" t="str">
            <v>Duplex</v>
          </cell>
          <cell r="BA568">
            <v>1</v>
          </cell>
          <cell r="BB568" t="str">
            <v>568 - Without Partition</v>
          </cell>
          <cell r="BC568" t="str">
            <v xml:space="preserve">Without Partition </v>
          </cell>
          <cell r="BD568" t="str">
            <v>Flat</v>
          </cell>
          <cell r="BE568" t="str">
            <v xml:space="preserve">Without Partition </v>
          </cell>
          <cell r="BF568" t="str">
            <v>PINK</v>
          </cell>
          <cell r="BG568">
            <v>2500000</v>
          </cell>
          <cell r="BH568">
            <v>2650000</v>
          </cell>
          <cell r="BI568">
            <v>100000</v>
          </cell>
          <cell r="BJ568">
            <v>2550000</v>
          </cell>
          <cell r="BK568">
            <v>0</v>
          </cell>
          <cell r="BL568">
            <v>2550000</v>
          </cell>
        </row>
        <row r="569">
          <cell r="D569" t="str">
            <v>OS</v>
          </cell>
          <cell r="E569"/>
          <cell r="F569">
            <v>549</v>
          </cell>
          <cell r="G569" t="str">
            <v>SOLD</v>
          </cell>
          <cell r="H569" t="str">
            <v>OS</v>
          </cell>
          <cell r="I569" t="str">
            <v>OS</v>
          </cell>
          <cell r="J569" t="str">
            <v>OS</v>
          </cell>
          <cell r="K569" t="str">
            <v>OS</v>
          </cell>
          <cell r="L569" t="str">
            <v>OS</v>
          </cell>
          <cell r="M569" t="str">
            <v>OS</v>
          </cell>
          <cell r="N569" t="str">
            <v>OS</v>
          </cell>
          <cell r="O569" t="str">
            <v>OS</v>
          </cell>
          <cell r="P569" t="str">
            <v>OS</v>
          </cell>
          <cell r="Q569" t="str">
            <v>OS</v>
          </cell>
          <cell r="R569" t="str">
            <v>OS</v>
          </cell>
          <cell r="S569" t="str">
            <v>OS</v>
          </cell>
          <cell r="T569" t="str">
            <v>OS</v>
          </cell>
          <cell r="U569" t="str">
            <v>OS</v>
          </cell>
          <cell r="V569" t="str">
            <v>OS</v>
          </cell>
          <cell r="W569" t="str">
            <v>OS</v>
          </cell>
          <cell r="X569" t="str">
            <v>OS</v>
          </cell>
          <cell r="Y569" t="str">
            <v>OS</v>
          </cell>
          <cell r="Z569" t="str">
            <v>OS</v>
          </cell>
          <cell r="AA569" t="str">
            <v>OS</v>
          </cell>
          <cell r="AB569" t="str">
            <v>OS</v>
          </cell>
          <cell r="AC569" t="str">
            <v>OS</v>
          </cell>
          <cell r="AD569" t="str">
            <v>AGM-01-026-021</v>
          </cell>
          <cell r="AE569" t="str">
            <v xml:space="preserve">Raemulan Lands, Inc. </v>
          </cell>
          <cell r="AF569" t="str">
            <v>Agapeya</v>
          </cell>
          <cell r="AG569" t="str">
            <v>AGM</v>
          </cell>
          <cell r="AH569" t="str">
            <v>Eco-High</v>
          </cell>
          <cell r="AI569" t="str">
            <v>West</v>
          </cell>
          <cell r="AJ569" t="str">
            <v>With LTS</v>
          </cell>
          <cell r="AK569" t="str">
            <v>Unaffected lots</v>
          </cell>
          <cell r="AL569" t="str">
            <v>Unaffected lots</v>
          </cell>
          <cell r="AM569" t="b">
            <v>1</v>
          </cell>
          <cell r="AN569" t="str">
            <v>YES</v>
          </cell>
          <cell r="AO569" t="str">
            <v>B1 2025</v>
          </cell>
          <cell r="AP569">
            <v>70</v>
          </cell>
          <cell r="AQ569" t="str">
            <v>PCS-04-276764</v>
          </cell>
          <cell r="AR569" t="b">
            <v>1</v>
          </cell>
          <cell r="AS569" t="str">
            <v>Done</v>
          </cell>
          <cell r="AT569" t="str">
            <v>2025 - Batch 1</v>
          </cell>
          <cell r="AU569">
            <v>26</v>
          </cell>
          <cell r="AV569">
            <v>21</v>
          </cell>
          <cell r="AW569" t="str">
            <v>H+L</v>
          </cell>
          <cell r="AX569">
            <v>70</v>
          </cell>
          <cell r="AY569">
            <v>50</v>
          </cell>
          <cell r="AZ569" t="str">
            <v>Duplex</v>
          </cell>
          <cell r="BA569">
            <v>1</v>
          </cell>
          <cell r="BB569" t="str">
            <v>568 - Without Partition</v>
          </cell>
          <cell r="BC569" t="str">
            <v xml:space="preserve">Without Partition </v>
          </cell>
          <cell r="BD569" t="str">
            <v>Flat</v>
          </cell>
          <cell r="BE569" t="str">
            <v xml:space="preserve">Without Partition </v>
          </cell>
          <cell r="BF569" t="str">
            <v>YELLOW</v>
          </cell>
          <cell r="BG569">
            <v>2500000</v>
          </cell>
          <cell r="BH569">
            <v>2650000</v>
          </cell>
          <cell r="BI569">
            <v>100000</v>
          </cell>
          <cell r="BJ569">
            <v>2550000</v>
          </cell>
          <cell r="BK569">
            <v>0</v>
          </cell>
          <cell r="BL569">
            <v>2550000</v>
          </cell>
        </row>
        <row r="570">
          <cell r="D570" t="str">
            <v>OS</v>
          </cell>
          <cell r="E570"/>
          <cell r="F570">
            <v>550</v>
          </cell>
          <cell r="G570" t="str">
            <v>SOLD</v>
          </cell>
          <cell r="H570" t="str">
            <v>OS</v>
          </cell>
          <cell r="I570" t="str">
            <v>OS</v>
          </cell>
          <cell r="J570" t="str">
            <v>OS</v>
          </cell>
          <cell r="K570" t="str">
            <v>OS</v>
          </cell>
          <cell r="L570" t="str">
            <v>OS</v>
          </cell>
          <cell r="M570" t="str">
            <v>OS</v>
          </cell>
          <cell r="N570" t="str">
            <v>OS</v>
          </cell>
          <cell r="O570" t="str">
            <v>OS</v>
          </cell>
          <cell r="P570" t="str">
            <v>OS</v>
          </cell>
          <cell r="Q570" t="str">
            <v>OS</v>
          </cell>
          <cell r="R570" t="str">
            <v>OS</v>
          </cell>
          <cell r="S570" t="str">
            <v>OS</v>
          </cell>
          <cell r="T570" t="str">
            <v>OS</v>
          </cell>
          <cell r="U570" t="str">
            <v>OS</v>
          </cell>
          <cell r="V570" t="str">
            <v>OS</v>
          </cell>
          <cell r="W570" t="str">
            <v>OS</v>
          </cell>
          <cell r="X570" t="str">
            <v>OS</v>
          </cell>
          <cell r="Y570" t="str">
            <v>OS</v>
          </cell>
          <cell r="Z570" t="str">
            <v>OS</v>
          </cell>
          <cell r="AA570" t="str">
            <v>OS</v>
          </cell>
          <cell r="AB570" t="str">
            <v>OS</v>
          </cell>
          <cell r="AC570" t="str">
            <v>OS</v>
          </cell>
          <cell r="AD570" t="str">
            <v>AGM-01-026-022</v>
          </cell>
          <cell r="AE570" t="str">
            <v xml:space="preserve">Raemulan Lands, Inc. </v>
          </cell>
          <cell r="AF570" t="str">
            <v>Agapeya</v>
          </cell>
          <cell r="AG570" t="str">
            <v>AGM</v>
          </cell>
          <cell r="AH570" t="str">
            <v>Eco-High</v>
          </cell>
          <cell r="AI570" t="str">
            <v>West</v>
          </cell>
          <cell r="AJ570" t="str">
            <v>With LTS</v>
          </cell>
          <cell r="AK570" t="str">
            <v>Unaffected lots</v>
          </cell>
          <cell r="AL570" t="str">
            <v>Unaffected lots</v>
          </cell>
          <cell r="AM570" t="b">
            <v>1</v>
          </cell>
          <cell r="AN570" t="str">
            <v>YES</v>
          </cell>
          <cell r="AO570" t="str">
            <v>B1 2025</v>
          </cell>
          <cell r="AP570">
            <v>70</v>
          </cell>
          <cell r="AQ570" t="str">
            <v>PCS-04-276764</v>
          </cell>
          <cell r="AR570" t="b">
            <v>1</v>
          </cell>
          <cell r="AS570" t="str">
            <v>Done</v>
          </cell>
          <cell r="AT570" t="str">
            <v>2025 - Batch 1</v>
          </cell>
          <cell r="AU570">
            <v>26</v>
          </cell>
          <cell r="AV570">
            <v>22</v>
          </cell>
          <cell r="AW570" t="str">
            <v>H+L</v>
          </cell>
          <cell r="AX570">
            <v>70</v>
          </cell>
          <cell r="AY570">
            <v>50</v>
          </cell>
          <cell r="AZ570" t="str">
            <v>Duplex</v>
          </cell>
          <cell r="BA570">
            <v>1</v>
          </cell>
          <cell r="BB570" t="str">
            <v>568 - Without Partition</v>
          </cell>
          <cell r="BC570" t="str">
            <v xml:space="preserve">Without Partition </v>
          </cell>
          <cell r="BD570" t="str">
            <v>Slant</v>
          </cell>
          <cell r="BE570" t="str">
            <v xml:space="preserve">Without Partition </v>
          </cell>
          <cell r="BF570" t="str">
            <v>YELLOW</v>
          </cell>
          <cell r="BG570">
            <v>2500000</v>
          </cell>
          <cell r="BH570">
            <v>2650000</v>
          </cell>
          <cell r="BI570">
            <v>100000</v>
          </cell>
          <cell r="BJ570">
            <v>2550000</v>
          </cell>
          <cell r="BK570">
            <v>0</v>
          </cell>
          <cell r="BL570">
            <v>2550000</v>
          </cell>
        </row>
        <row r="571">
          <cell r="D571" t="str">
            <v>OS</v>
          </cell>
          <cell r="E571"/>
          <cell r="F571">
            <v>551</v>
          </cell>
          <cell r="G571" t="str">
            <v>SOLD</v>
          </cell>
          <cell r="H571" t="str">
            <v>OS</v>
          </cell>
          <cell r="I571" t="str">
            <v>OS</v>
          </cell>
          <cell r="J571" t="str">
            <v>OS</v>
          </cell>
          <cell r="K571" t="str">
            <v>OS</v>
          </cell>
          <cell r="L571" t="str">
            <v>OS</v>
          </cell>
          <cell r="M571" t="str">
            <v>OS</v>
          </cell>
          <cell r="N571" t="str">
            <v>OS</v>
          </cell>
          <cell r="O571" t="str">
            <v>OS</v>
          </cell>
          <cell r="P571" t="str">
            <v>OS</v>
          </cell>
          <cell r="Q571" t="str">
            <v>OS</v>
          </cell>
          <cell r="R571" t="str">
            <v>OS</v>
          </cell>
          <cell r="S571" t="str">
            <v>OS</v>
          </cell>
          <cell r="T571" t="str">
            <v>OS</v>
          </cell>
          <cell r="U571" t="str">
            <v>OS</v>
          </cell>
          <cell r="V571" t="str">
            <v>OS</v>
          </cell>
          <cell r="W571" t="str">
            <v>OS</v>
          </cell>
          <cell r="X571" t="str">
            <v>TS</v>
          </cell>
          <cell r="Y571" t="str">
            <v>TS</v>
          </cell>
          <cell r="Z571" t="str">
            <v>OS</v>
          </cell>
          <cell r="AA571" t="str">
            <v>OS</v>
          </cell>
          <cell r="AB571" t="str">
            <v>TS</v>
          </cell>
          <cell r="AC571" t="str">
            <v>TS</v>
          </cell>
          <cell r="AD571" t="str">
            <v>AGM-01-026-023</v>
          </cell>
          <cell r="AE571" t="str">
            <v xml:space="preserve">Raemulan Lands, Inc. </v>
          </cell>
          <cell r="AF571" t="str">
            <v>Agapeya</v>
          </cell>
          <cell r="AG571" t="str">
            <v>AGM</v>
          </cell>
          <cell r="AH571" t="str">
            <v>Eco-High</v>
          </cell>
          <cell r="AI571" t="str">
            <v>West</v>
          </cell>
          <cell r="AJ571" t="str">
            <v>With LTS</v>
          </cell>
          <cell r="AK571" t="str">
            <v>Unaffected lots</v>
          </cell>
          <cell r="AL571" t="str">
            <v>Unaffected lots</v>
          </cell>
          <cell r="AM571" t="b">
            <v>1</v>
          </cell>
          <cell r="AN571" t="str">
            <v>YES</v>
          </cell>
          <cell r="AO571" t="str">
            <v>B1 2025</v>
          </cell>
          <cell r="AP571">
            <v>70</v>
          </cell>
          <cell r="AQ571" t="str">
            <v>PCS-04-276764</v>
          </cell>
          <cell r="AR571" t="b">
            <v>1</v>
          </cell>
          <cell r="AS571" t="str">
            <v>Done</v>
          </cell>
          <cell r="AT571" t="str">
            <v>2025 - Batch 1</v>
          </cell>
          <cell r="AU571">
            <v>26</v>
          </cell>
          <cell r="AV571">
            <v>23</v>
          </cell>
          <cell r="AW571" t="str">
            <v>H+L</v>
          </cell>
          <cell r="AX571">
            <v>70</v>
          </cell>
          <cell r="AY571">
            <v>50</v>
          </cell>
          <cell r="AZ571" t="str">
            <v>Duplex</v>
          </cell>
          <cell r="BA571">
            <v>1</v>
          </cell>
          <cell r="BB571" t="str">
            <v>568 - Without Partition</v>
          </cell>
          <cell r="BC571" t="str">
            <v xml:space="preserve">Without Partition </v>
          </cell>
          <cell r="BD571" t="str">
            <v>Slant</v>
          </cell>
          <cell r="BE571" t="str">
            <v xml:space="preserve">Without Partition </v>
          </cell>
          <cell r="BF571" t="str">
            <v>YELLOW</v>
          </cell>
          <cell r="BG571">
            <v>2500000</v>
          </cell>
          <cell r="BH571">
            <v>2650000</v>
          </cell>
          <cell r="BI571">
            <v>100000</v>
          </cell>
          <cell r="BJ571">
            <v>2550000</v>
          </cell>
          <cell r="BK571">
            <v>0</v>
          </cell>
          <cell r="BL571">
            <v>2550000</v>
          </cell>
        </row>
        <row r="572">
          <cell r="D572" t="str">
            <v>OS</v>
          </cell>
          <cell r="E572"/>
          <cell r="F572">
            <v>552</v>
          </cell>
          <cell r="G572" t="str">
            <v>SOLD</v>
          </cell>
          <cell r="H572" t="str">
            <v>OS</v>
          </cell>
          <cell r="I572" t="str">
            <v>OS</v>
          </cell>
          <cell r="J572" t="str">
            <v>OS</v>
          </cell>
          <cell r="K572" t="str">
            <v>OS</v>
          </cell>
          <cell r="L572" t="str">
            <v>OS</v>
          </cell>
          <cell r="M572" t="str">
            <v>OS</v>
          </cell>
          <cell r="N572" t="str">
            <v>OS</v>
          </cell>
          <cell r="O572" t="str">
            <v>OS</v>
          </cell>
          <cell r="P572" t="str">
            <v>OS</v>
          </cell>
          <cell r="Q572" t="str">
            <v>OS</v>
          </cell>
          <cell r="R572" t="str">
            <v>OS</v>
          </cell>
          <cell r="S572" t="str">
            <v>OS</v>
          </cell>
          <cell r="T572" t="str">
            <v>OS</v>
          </cell>
          <cell r="U572" t="str">
            <v>OS</v>
          </cell>
          <cell r="V572" t="str">
            <v>OS</v>
          </cell>
          <cell r="W572" t="str">
            <v>OS</v>
          </cell>
          <cell r="X572" t="str">
            <v>OS</v>
          </cell>
          <cell r="Y572" t="str">
            <v>OS</v>
          </cell>
          <cell r="Z572" t="str">
            <v>OS</v>
          </cell>
          <cell r="AA572" t="str">
            <v>OS</v>
          </cell>
          <cell r="AB572" t="str">
            <v>OS</v>
          </cell>
          <cell r="AC572" t="str">
            <v>OS</v>
          </cell>
          <cell r="AD572" t="str">
            <v>AGM-01-026-024</v>
          </cell>
          <cell r="AE572" t="str">
            <v xml:space="preserve">Raemulan Lands, Inc. </v>
          </cell>
          <cell r="AF572" t="str">
            <v>Agapeya</v>
          </cell>
          <cell r="AG572" t="str">
            <v>AGM</v>
          </cell>
          <cell r="AH572" t="str">
            <v>Eco-High</v>
          </cell>
          <cell r="AI572" t="str">
            <v>West</v>
          </cell>
          <cell r="AJ572" t="str">
            <v>With LTS</v>
          </cell>
          <cell r="AK572" t="str">
            <v>Unaffected lots</v>
          </cell>
          <cell r="AL572" t="str">
            <v>Unaffected lots</v>
          </cell>
          <cell r="AM572" t="b">
            <v>1</v>
          </cell>
          <cell r="AN572" t="str">
            <v>YES</v>
          </cell>
          <cell r="AO572" t="str">
            <v>B1 2025</v>
          </cell>
          <cell r="AP572">
            <v>81</v>
          </cell>
          <cell r="AQ572" t="str">
            <v>PCS-04-276764</v>
          </cell>
          <cell r="AR572" t="b">
            <v>1</v>
          </cell>
          <cell r="AS572" t="str">
            <v>Done</v>
          </cell>
          <cell r="AT572" t="str">
            <v>2025 - Batch 1</v>
          </cell>
          <cell r="AU572">
            <v>26</v>
          </cell>
          <cell r="AV572">
            <v>24</v>
          </cell>
          <cell r="AW572" t="str">
            <v>H+L</v>
          </cell>
          <cell r="AX572">
            <v>81</v>
          </cell>
          <cell r="AY572">
            <v>50</v>
          </cell>
          <cell r="AZ572" t="str">
            <v>Duplex</v>
          </cell>
          <cell r="BA572">
            <v>1</v>
          </cell>
          <cell r="BB572" t="str">
            <v>568 - Without Partition</v>
          </cell>
          <cell r="BC572" t="str">
            <v xml:space="preserve">Without Partition </v>
          </cell>
          <cell r="BD572" t="str">
            <v>Flat</v>
          </cell>
          <cell r="BE572" t="str">
            <v xml:space="preserve">Without Partition </v>
          </cell>
          <cell r="BF572" t="str">
            <v>YELLOW</v>
          </cell>
          <cell r="BG572">
            <v>2687850</v>
          </cell>
          <cell r="BH572">
            <v>2815000</v>
          </cell>
          <cell r="BI572">
            <v>100000</v>
          </cell>
          <cell r="BJ572">
            <v>2715000</v>
          </cell>
          <cell r="BK572">
            <v>0</v>
          </cell>
          <cell r="BL572">
            <v>2715000</v>
          </cell>
        </row>
        <row r="573">
          <cell r="D573" t="str">
            <v>OS</v>
          </cell>
          <cell r="E573"/>
          <cell r="F573">
            <v>553</v>
          </cell>
          <cell r="G573" t="str">
            <v>SOLD</v>
          </cell>
          <cell r="H573" t="str">
            <v>OS</v>
          </cell>
          <cell r="I573" t="str">
            <v>OS</v>
          </cell>
          <cell r="J573" t="str">
            <v>OS</v>
          </cell>
          <cell r="K573" t="str">
            <v>OS</v>
          </cell>
          <cell r="L573" t="str">
            <v>OS</v>
          </cell>
          <cell r="M573" t="str">
            <v>OS</v>
          </cell>
          <cell r="N573" t="str">
            <v>OS</v>
          </cell>
          <cell r="O573" t="str">
            <v>OS</v>
          </cell>
          <cell r="P573" t="str">
            <v>OS</v>
          </cell>
          <cell r="Q573" t="str">
            <v>OS</v>
          </cell>
          <cell r="R573" t="str">
            <v>OS</v>
          </cell>
          <cell r="S573" t="str">
            <v>OS</v>
          </cell>
          <cell r="T573" t="str">
            <v>OS</v>
          </cell>
          <cell r="U573" t="str">
            <v>OS</v>
          </cell>
          <cell r="V573" t="str">
            <v>OS</v>
          </cell>
          <cell r="W573" t="str">
            <v>OS</v>
          </cell>
          <cell r="X573" t="str">
            <v>OS</v>
          </cell>
          <cell r="Y573" t="str">
            <v>OS</v>
          </cell>
          <cell r="Z573" t="str">
            <v>OS</v>
          </cell>
          <cell r="AA573" t="str">
            <v>OS</v>
          </cell>
          <cell r="AB573" t="str">
            <v>OS</v>
          </cell>
          <cell r="AC573" t="str">
            <v>OS</v>
          </cell>
          <cell r="AD573" t="str">
            <v>AGM-01-026-025</v>
          </cell>
          <cell r="AE573" t="str">
            <v xml:space="preserve">Raemulan Lands, Inc. </v>
          </cell>
          <cell r="AF573" t="str">
            <v>Agapeya</v>
          </cell>
          <cell r="AG573" t="str">
            <v>AGM</v>
          </cell>
          <cell r="AH573" t="str">
            <v>Eco-High</v>
          </cell>
          <cell r="AI573" t="str">
            <v>West</v>
          </cell>
          <cell r="AJ573" t="str">
            <v>With LTS</v>
          </cell>
          <cell r="AK573" t="str">
            <v>Unaffected lots</v>
          </cell>
          <cell r="AL573" t="str">
            <v>Unaffected lots</v>
          </cell>
          <cell r="AM573" t="b">
            <v>0</v>
          </cell>
          <cell r="AN573" t="str">
            <v>NO</v>
          </cell>
          <cell r="AO573" t="str">
            <v>B2 2025</v>
          </cell>
          <cell r="AP573">
            <v>81</v>
          </cell>
          <cell r="AQ573" t="str">
            <v>PCS-04-035874</v>
          </cell>
          <cell r="AR573" t="b">
            <v>1</v>
          </cell>
          <cell r="AS573" t="str">
            <v>Done</v>
          </cell>
          <cell r="AT573" t="str">
            <v>2025 - Batch 1</v>
          </cell>
          <cell r="AU573">
            <v>26</v>
          </cell>
          <cell r="AV573">
            <v>25</v>
          </cell>
          <cell r="AW573" t="str">
            <v>H+L</v>
          </cell>
          <cell r="AX573">
            <v>81</v>
          </cell>
          <cell r="AY573">
            <v>50</v>
          </cell>
          <cell r="AZ573" t="str">
            <v>Duplex</v>
          </cell>
          <cell r="BA573">
            <v>1</v>
          </cell>
          <cell r="BB573" t="str">
            <v>568 - Without Partition</v>
          </cell>
          <cell r="BC573" t="str">
            <v xml:space="preserve">Without Partition </v>
          </cell>
          <cell r="BD573" t="str">
            <v>Slant</v>
          </cell>
          <cell r="BE573" t="str">
            <v xml:space="preserve">Without Partition </v>
          </cell>
          <cell r="BF573" t="str">
            <v>GREEN</v>
          </cell>
          <cell r="BG573">
            <v>2665000</v>
          </cell>
          <cell r="BH573">
            <v>2815000</v>
          </cell>
          <cell r="BI573">
            <v>100000</v>
          </cell>
          <cell r="BJ573">
            <v>2715000</v>
          </cell>
          <cell r="BK573">
            <v>0</v>
          </cell>
          <cell r="BL573">
            <v>2715000</v>
          </cell>
        </row>
        <row r="574">
          <cell r="D574" t="str">
            <v>OS</v>
          </cell>
          <cell r="E574"/>
          <cell r="F574">
            <v>554</v>
          </cell>
          <cell r="G574" t="str">
            <v>SOLD</v>
          </cell>
          <cell r="H574" t="str">
            <v>OS</v>
          </cell>
          <cell r="I574" t="str">
            <v>OS</v>
          </cell>
          <cell r="J574" t="str">
            <v>OS</v>
          </cell>
          <cell r="K574" t="str">
            <v>OS</v>
          </cell>
          <cell r="L574" t="str">
            <v>OS</v>
          </cell>
          <cell r="M574" t="str">
            <v>OS</v>
          </cell>
          <cell r="N574" t="str">
            <v>OS</v>
          </cell>
          <cell r="O574" t="str">
            <v>OS</v>
          </cell>
          <cell r="P574" t="str">
            <v>OS</v>
          </cell>
          <cell r="Q574" t="str">
            <v>OS</v>
          </cell>
          <cell r="R574" t="str">
            <v>OS</v>
          </cell>
          <cell r="S574" t="str">
            <v>OS</v>
          </cell>
          <cell r="T574" t="str">
            <v>OS</v>
          </cell>
          <cell r="U574" t="str">
            <v>OS</v>
          </cell>
          <cell r="V574" t="str">
            <v>OS</v>
          </cell>
          <cell r="W574" t="str">
            <v>OS</v>
          </cell>
          <cell r="X574" t="str">
            <v>OS</v>
          </cell>
          <cell r="Y574" t="str">
            <v>OS</v>
          </cell>
          <cell r="Z574" t="str">
            <v>OS</v>
          </cell>
          <cell r="AA574" t="str">
            <v>OS</v>
          </cell>
          <cell r="AB574" t="str">
            <v>OS</v>
          </cell>
          <cell r="AC574" t="str">
            <v>OS</v>
          </cell>
          <cell r="AD574" t="str">
            <v>AGM-01-026-026</v>
          </cell>
          <cell r="AE574" t="str">
            <v xml:space="preserve">Raemulan Lands, Inc. </v>
          </cell>
          <cell r="AF574" t="str">
            <v>Agapeya</v>
          </cell>
          <cell r="AG574" t="str">
            <v>AGM</v>
          </cell>
          <cell r="AH574" t="str">
            <v>Eco-High</v>
          </cell>
          <cell r="AI574" t="str">
            <v>West</v>
          </cell>
          <cell r="AJ574" t="str">
            <v>With LTS</v>
          </cell>
          <cell r="AK574" t="str">
            <v>Unaffected lots</v>
          </cell>
          <cell r="AL574" t="str">
            <v>Unaffected lots</v>
          </cell>
          <cell r="AM574" t="b">
            <v>0</v>
          </cell>
          <cell r="AN574" t="str">
            <v>NO</v>
          </cell>
          <cell r="AO574" t="str">
            <v>B2 2025</v>
          </cell>
          <cell r="AP574">
            <v>70</v>
          </cell>
          <cell r="AQ574" t="str">
            <v>PCS-04-035874</v>
          </cell>
          <cell r="AR574" t="b">
            <v>1</v>
          </cell>
          <cell r="AS574" t="str">
            <v>Done</v>
          </cell>
          <cell r="AT574" t="str">
            <v>2025 - Batch 1</v>
          </cell>
          <cell r="AU574">
            <v>26</v>
          </cell>
          <cell r="AV574">
            <v>26</v>
          </cell>
          <cell r="AW574" t="str">
            <v>H+L</v>
          </cell>
          <cell r="AX574">
            <v>70</v>
          </cell>
          <cell r="AY574">
            <v>50</v>
          </cell>
          <cell r="AZ574" t="str">
            <v>Duplex</v>
          </cell>
          <cell r="BA574">
            <v>1</v>
          </cell>
          <cell r="BB574" t="str">
            <v>568 - Without Partition</v>
          </cell>
          <cell r="BC574" t="str">
            <v xml:space="preserve">Without Partition </v>
          </cell>
          <cell r="BD574" t="str">
            <v>Flat</v>
          </cell>
          <cell r="BE574" t="str">
            <v xml:space="preserve">Without Partition </v>
          </cell>
          <cell r="BF574" t="str">
            <v>GREEN</v>
          </cell>
          <cell r="BG574">
            <v>2500000</v>
          </cell>
          <cell r="BH574">
            <v>2650000</v>
          </cell>
          <cell r="BI574">
            <v>100000</v>
          </cell>
          <cell r="BJ574">
            <v>2550000</v>
          </cell>
          <cell r="BK574">
            <v>0</v>
          </cell>
          <cell r="BL574">
            <v>2550000</v>
          </cell>
        </row>
        <row r="575">
          <cell r="D575" t="str">
            <v>OS</v>
          </cell>
          <cell r="E575"/>
          <cell r="F575">
            <v>555</v>
          </cell>
          <cell r="G575" t="str">
            <v>SOLD</v>
          </cell>
          <cell r="H575" t="str">
            <v>OS</v>
          </cell>
          <cell r="I575" t="str">
            <v>OS</v>
          </cell>
          <cell r="J575" t="str">
            <v>OS</v>
          </cell>
          <cell r="K575" t="str">
            <v>OS</v>
          </cell>
          <cell r="L575" t="str">
            <v>OS</v>
          </cell>
          <cell r="M575" t="str">
            <v>OS</v>
          </cell>
          <cell r="N575" t="str">
            <v>OS</v>
          </cell>
          <cell r="O575" t="str">
            <v>OS</v>
          </cell>
          <cell r="P575" t="str">
            <v>OS</v>
          </cell>
          <cell r="Q575" t="str">
            <v>OS</v>
          </cell>
          <cell r="R575" t="str">
            <v>OS</v>
          </cell>
          <cell r="S575" t="str">
            <v>OS</v>
          </cell>
          <cell r="T575" t="str">
            <v>OS</v>
          </cell>
          <cell r="U575" t="str">
            <v>OS</v>
          </cell>
          <cell r="V575" t="str">
            <v>OS</v>
          </cell>
          <cell r="W575" t="str">
            <v>OS</v>
          </cell>
          <cell r="X575" t="str">
            <v>OS</v>
          </cell>
          <cell r="Y575" t="str">
            <v>OS</v>
          </cell>
          <cell r="Z575" t="str">
            <v>OS</v>
          </cell>
          <cell r="AA575" t="str">
            <v>OS</v>
          </cell>
          <cell r="AB575" t="str">
            <v>OS</v>
          </cell>
          <cell r="AC575" t="str">
            <v>OS</v>
          </cell>
          <cell r="AD575" t="str">
            <v>AGM-01-026-027</v>
          </cell>
          <cell r="AE575" t="str">
            <v xml:space="preserve">Raemulan Lands, Inc. </v>
          </cell>
          <cell r="AF575" t="str">
            <v>Agapeya</v>
          </cell>
          <cell r="AG575" t="str">
            <v>AGM</v>
          </cell>
          <cell r="AH575" t="str">
            <v>Eco-High</v>
          </cell>
          <cell r="AI575" t="str">
            <v>West</v>
          </cell>
          <cell r="AJ575" t="str">
            <v>With LTS</v>
          </cell>
          <cell r="AK575" t="str">
            <v>Unaffected lots</v>
          </cell>
          <cell r="AL575" t="str">
            <v>Unaffected lots</v>
          </cell>
          <cell r="AM575" t="b">
            <v>0</v>
          </cell>
          <cell r="AN575" t="str">
            <v>NO</v>
          </cell>
          <cell r="AO575" t="str">
            <v>B2 2025</v>
          </cell>
          <cell r="AP575">
            <v>70</v>
          </cell>
          <cell r="AQ575" t="str">
            <v>PCS-04-035874</v>
          </cell>
          <cell r="AR575" t="b">
            <v>1</v>
          </cell>
          <cell r="AS575" t="str">
            <v>Done</v>
          </cell>
          <cell r="AT575" t="str">
            <v>2025 - Batch 1</v>
          </cell>
          <cell r="AU575">
            <v>26</v>
          </cell>
          <cell r="AV575">
            <v>27</v>
          </cell>
          <cell r="AW575" t="str">
            <v>H+L</v>
          </cell>
          <cell r="AX575">
            <v>70</v>
          </cell>
          <cell r="AY575">
            <v>50</v>
          </cell>
          <cell r="AZ575" t="str">
            <v>Duplex</v>
          </cell>
          <cell r="BA575">
            <v>1</v>
          </cell>
          <cell r="BB575" t="str">
            <v>568 - Without Partition</v>
          </cell>
          <cell r="BC575" t="str">
            <v xml:space="preserve">Without Partition </v>
          </cell>
          <cell r="BD575" t="str">
            <v>Flat</v>
          </cell>
          <cell r="BE575" t="str">
            <v xml:space="preserve">Without Partition </v>
          </cell>
          <cell r="BF575" t="str">
            <v>GREEN</v>
          </cell>
          <cell r="BG575">
            <v>2500000</v>
          </cell>
          <cell r="BH575">
            <v>2650000</v>
          </cell>
          <cell r="BI575">
            <v>100000</v>
          </cell>
          <cell r="BJ575">
            <v>2550000</v>
          </cell>
          <cell r="BK575">
            <v>0</v>
          </cell>
          <cell r="BL575">
            <v>2550000</v>
          </cell>
        </row>
        <row r="576">
          <cell r="D576" t="str">
            <v>OS</v>
          </cell>
          <cell r="E576"/>
          <cell r="F576">
            <v>556</v>
          </cell>
          <cell r="G576" t="str">
            <v>SOLD</v>
          </cell>
          <cell r="H576" t="str">
            <v>OS</v>
          </cell>
          <cell r="I576" t="str">
            <v>OS</v>
          </cell>
          <cell r="J576" t="str">
            <v>OS</v>
          </cell>
          <cell r="K576" t="str">
            <v>OS</v>
          </cell>
          <cell r="L576" t="str">
            <v>OS</v>
          </cell>
          <cell r="M576" t="str">
            <v>OS</v>
          </cell>
          <cell r="N576" t="str">
            <v>OS</v>
          </cell>
          <cell r="O576" t="str">
            <v>OS</v>
          </cell>
          <cell r="P576" t="str">
            <v>OS</v>
          </cell>
          <cell r="Q576" t="str">
            <v>OS</v>
          </cell>
          <cell r="R576" t="str">
            <v>OS</v>
          </cell>
          <cell r="S576" t="str">
            <v>OS</v>
          </cell>
          <cell r="T576" t="str">
            <v>OS</v>
          </cell>
          <cell r="U576" t="str">
            <v>OS</v>
          </cell>
          <cell r="V576" t="str">
            <v>OS</v>
          </cell>
          <cell r="W576" t="str">
            <v>OS</v>
          </cell>
          <cell r="X576" t="str">
            <v>OS</v>
          </cell>
          <cell r="Y576" t="str">
            <v>OS</v>
          </cell>
          <cell r="Z576" t="str">
            <v>OS</v>
          </cell>
          <cell r="AA576" t="str">
            <v>OS</v>
          </cell>
          <cell r="AB576" t="str">
            <v>OS</v>
          </cell>
          <cell r="AC576" t="str">
            <v>OS</v>
          </cell>
          <cell r="AD576" t="str">
            <v>AGM-01-026-028</v>
          </cell>
          <cell r="AE576" t="str">
            <v xml:space="preserve">Raemulan Lands, Inc. </v>
          </cell>
          <cell r="AF576" t="str">
            <v>Agapeya</v>
          </cell>
          <cell r="AG576" t="str">
            <v>AGM</v>
          </cell>
          <cell r="AH576" t="str">
            <v>Eco-High</v>
          </cell>
          <cell r="AI576" t="str">
            <v>West</v>
          </cell>
          <cell r="AJ576" t="str">
            <v>With LTS</v>
          </cell>
          <cell r="AK576" t="str">
            <v>Unaffected lots</v>
          </cell>
          <cell r="AL576" t="str">
            <v>Unaffected lots</v>
          </cell>
          <cell r="AM576" t="b">
            <v>0</v>
          </cell>
          <cell r="AN576" t="str">
            <v>NO</v>
          </cell>
          <cell r="AO576" t="str">
            <v>B2 2025</v>
          </cell>
          <cell r="AP576">
            <v>70</v>
          </cell>
          <cell r="AQ576" t="str">
            <v>PCS-04-035874</v>
          </cell>
          <cell r="AR576" t="b">
            <v>1</v>
          </cell>
          <cell r="AS576" t="str">
            <v>Done</v>
          </cell>
          <cell r="AT576" t="str">
            <v>2025 - Batch 1</v>
          </cell>
          <cell r="AU576">
            <v>26</v>
          </cell>
          <cell r="AV576">
            <v>28</v>
          </cell>
          <cell r="AW576" t="str">
            <v>H+L</v>
          </cell>
          <cell r="AX576">
            <v>70</v>
          </cell>
          <cell r="AY576">
            <v>50</v>
          </cell>
          <cell r="AZ576" t="str">
            <v>Duplex</v>
          </cell>
          <cell r="BA576">
            <v>1</v>
          </cell>
          <cell r="BB576" t="str">
            <v>568 - Without Partition</v>
          </cell>
          <cell r="BC576" t="str">
            <v xml:space="preserve">Without Partition </v>
          </cell>
          <cell r="BD576" t="str">
            <v>Slant</v>
          </cell>
          <cell r="BE576" t="str">
            <v xml:space="preserve">Without Partition </v>
          </cell>
          <cell r="BF576" t="str">
            <v>GREEN</v>
          </cell>
          <cell r="BG576">
            <v>2500000</v>
          </cell>
          <cell r="BH576">
            <v>2650000</v>
          </cell>
          <cell r="BI576">
            <v>100000</v>
          </cell>
          <cell r="BJ576">
            <v>2550000</v>
          </cell>
          <cell r="BK576">
            <v>0</v>
          </cell>
          <cell r="BL576">
            <v>2550000</v>
          </cell>
        </row>
        <row r="577">
          <cell r="D577" t="str">
            <v>OS</v>
          </cell>
          <cell r="E577"/>
          <cell r="F577">
            <v>557</v>
          </cell>
          <cell r="G577" t="str">
            <v>SOLD</v>
          </cell>
          <cell r="H577" t="str">
            <v>OS</v>
          </cell>
          <cell r="I577" t="str">
            <v>OS</v>
          </cell>
          <cell r="J577" t="str">
            <v>OS</v>
          </cell>
          <cell r="K577" t="str">
            <v>OS</v>
          </cell>
          <cell r="L577" t="str">
            <v>OS</v>
          </cell>
          <cell r="M577" t="str">
            <v>OS</v>
          </cell>
          <cell r="N577" t="str">
            <v>OS</v>
          </cell>
          <cell r="O577" t="str">
            <v>OS</v>
          </cell>
          <cell r="P577" t="str">
            <v>OS</v>
          </cell>
          <cell r="Q577" t="str">
            <v>OS</v>
          </cell>
          <cell r="R577" t="str">
            <v>OS</v>
          </cell>
          <cell r="S577" t="str">
            <v>OS</v>
          </cell>
          <cell r="T577" t="str">
            <v>OS</v>
          </cell>
          <cell r="U577" t="str">
            <v>OS</v>
          </cell>
          <cell r="V577" t="str">
            <v>OS</v>
          </cell>
          <cell r="W577" t="str">
            <v>OS</v>
          </cell>
          <cell r="X577" t="str">
            <v>OS</v>
          </cell>
          <cell r="Y577" t="str">
            <v>OS</v>
          </cell>
          <cell r="Z577" t="str">
            <v>OS</v>
          </cell>
          <cell r="AA577" t="str">
            <v>OS</v>
          </cell>
          <cell r="AB577" t="str">
            <v>OS</v>
          </cell>
          <cell r="AC577" t="str">
            <v>OS</v>
          </cell>
          <cell r="AD577" t="str">
            <v>AGM-01-026-029</v>
          </cell>
          <cell r="AE577" t="str">
            <v xml:space="preserve">Raemulan Lands, Inc. </v>
          </cell>
          <cell r="AF577" t="str">
            <v>Agapeya</v>
          </cell>
          <cell r="AG577" t="str">
            <v>AGM</v>
          </cell>
          <cell r="AH577" t="str">
            <v>Eco-High</v>
          </cell>
          <cell r="AI577" t="str">
            <v>West</v>
          </cell>
          <cell r="AJ577" t="str">
            <v>With LTS</v>
          </cell>
          <cell r="AK577" t="str">
            <v>Unaffected lots</v>
          </cell>
          <cell r="AL577" t="str">
            <v>Unaffected lots</v>
          </cell>
          <cell r="AM577" t="b">
            <v>0</v>
          </cell>
          <cell r="AN577" t="str">
            <v>NO</v>
          </cell>
          <cell r="AO577" t="str">
            <v>B2 2025</v>
          </cell>
          <cell r="AP577">
            <v>70</v>
          </cell>
          <cell r="AQ577" t="str">
            <v>PCS-04-035874</v>
          </cell>
          <cell r="AR577" t="b">
            <v>1</v>
          </cell>
          <cell r="AS577" t="str">
            <v>Done</v>
          </cell>
          <cell r="AT577" t="str">
            <v>2025 - Batch 1</v>
          </cell>
          <cell r="AU577">
            <v>26</v>
          </cell>
          <cell r="AV577">
            <v>29</v>
          </cell>
          <cell r="AW577" t="str">
            <v>H+L</v>
          </cell>
          <cell r="AX577">
            <v>70</v>
          </cell>
          <cell r="AY577">
            <v>50</v>
          </cell>
          <cell r="AZ577" t="str">
            <v>Duplex</v>
          </cell>
          <cell r="BA577">
            <v>1</v>
          </cell>
          <cell r="BB577" t="str">
            <v>568 - Without Partition</v>
          </cell>
          <cell r="BC577" t="str">
            <v xml:space="preserve">Without Partition </v>
          </cell>
          <cell r="BD577" t="str">
            <v>Slant</v>
          </cell>
          <cell r="BE577" t="str">
            <v xml:space="preserve">Without Partition </v>
          </cell>
          <cell r="BF577" t="str">
            <v>YELLOW</v>
          </cell>
          <cell r="BG577">
            <v>2500000</v>
          </cell>
          <cell r="BH577">
            <v>2650000</v>
          </cell>
          <cell r="BI577">
            <v>100000</v>
          </cell>
          <cell r="BJ577">
            <v>2550000</v>
          </cell>
          <cell r="BK577">
            <v>0</v>
          </cell>
          <cell r="BL577">
            <v>2550000</v>
          </cell>
        </row>
        <row r="578">
          <cell r="D578" t="str">
            <v>OS</v>
          </cell>
          <cell r="E578"/>
          <cell r="F578">
            <v>558</v>
          </cell>
          <cell r="G578" t="str">
            <v>SOLD</v>
          </cell>
          <cell r="H578" t="str">
            <v>OS</v>
          </cell>
          <cell r="I578" t="str">
            <v>OS</v>
          </cell>
          <cell r="J578" t="str">
            <v>OS</v>
          </cell>
          <cell r="K578" t="str">
            <v>OS</v>
          </cell>
          <cell r="L578" t="str">
            <v>OS</v>
          </cell>
          <cell r="M578" t="str">
            <v>OS</v>
          </cell>
          <cell r="N578" t="str">
            <v>OS</v>
          </cell>
          <cell r="O578" t="str">
            <v>OS</v>
          </cell>
          <cell r="P578" t="str">
            <v>OS</v>
          </cell>
          <cell r="Q578" t="str">
            <v>OS</v>
          </cell>
          <cell r="R578" t="str">
            <v>OS</v>
          </cell>
          <cell r="S578" t="str">
            <v>OS</v>
          </cell>
          <cell r="T578" t="str">
            <v>OS</v>
          </cell>
          <cell r="U578" t="str">
            <v>OS</v>
          </cell>
          <cell r="V578" t="str">
            <v>OS</v>
          </cell>
          <cell r="W578" t="str">
            <v>OS</v>
          </cell>
          <cell r="X578" t="str">
            <v>OS</v>
          </cell>
          <cell r="Y578" t="str">
            <v>OS</v>
          </cell>
          <cell r="Z578" t="str">
            <v>OS</v>
          </cell>
          <cell r="AA578" t="str">
            <v>OS</v>
          </cell>
          <cell r="AB578" t="str">
            <v>OS</v>
          </cell>
          <cell r="AC578" t="str">
            <v>OS</v>
          </cell>
          <cell r="AD578" t="str">
            <v>AGM-01-026-030</v>
          </cell>
          <cell r="AE578" t="str">
            <v xml:space="preserve">Raemulan Lands, Inc. </v>
          </cell>
          <cell r="AF578" t="str">
            <v>Agapeya</v>
          </cell>
          <cell r="AG578" t="str">
            <v>AGM</v>
          </cell>
          <cell r="AH578" t="str">
            <v>Eco-High</v>
          </cell>
          <cell r="AI578" t="str">
            <v>West</v>
          </cell>
          <cell r="AJ578" t="str">
            <v>With LTS</v>
          </cell>
          <cell r="AK578" t="str">
            <v>Unaffected lots</v>
          </cell>
          <cell r="AL578" t="str">
            <v>Unaffected lots</v>
          </cell>
          <cell r="AM578" t="b">
            <v>0</v>
          </cell>
          <cell r="AN578" t="str">
            <v>NO</v>
          </cell>
          <cell r="AO578" t="str">
            <v>B2 2025</v>
          </cell>
          <cell r="AP578">
            <v>70</v>
          </cell>
          <cell r="AQ578" t="str">
            <v>PCS-04-035874</v>
          </cell>
          <cell r="AR578" t="b">
            <v>1</v>
          </cell>
          <cell r="AS578" t="str">
            <v>Done</v>
          </cell>
          <cell r="AT578" t="str">
            <v>2025 - Batch 1</v>
          </cell>
          <cell r="AU578">
            <v>26</v>
          </cell>
          <cell r="AV578">
            <v>30</v>
          </cell>
          <cell r="AW578" t="str">
            <v>H+L</v>
          </cell>
          <cell r="AX578">
            <v>70</v>
          </cell>
          <cell r="AY578">
            <v>50</v>
          </cell>
          <cell r="AZ578" t="str">
            <v>Duplex</v>
          </cell>
          <cell r="BA578">
            <v>1</v>
          </cell>
          <cell r="BB578" t="str">
            <v>568 - Without Partition</v>
          </cell>
          <cell r="BC578" t="str">
            <v xml:space="preserve">Without Partition </v>
          </cell>
          <cell r="BD578" t="str">
            <v>Flat</v>
          </cell>
          <cell r="BE578" t="str">
            <v xml:space="preserve">Without Partition </v>
          </cell>
          <cell r="BF578" t="str">
            <v>YELLOW</v>
          </cell>
          <cell r="BG578">
            <v>2500000</v>
          </cell>
          <cell r="BH578">
            <v>2650000</v>
          </cell>
          <cell r="BI578">
            <v>100000</v>
          </cell>
          <cell r="BJ578">
            <v>2550000</v>
          </cell>
          <cell r="BK578">
            <v>0</v>
          </cell>
          <cell r="BL578">
            <v>2550000</v>
          </cell>
        </row>
        <row r="579">
          <cell r="D579" t="str">
            <v>OS</v>
          </cell>
          <cell r="E579"/>
          <cell r="F579">
            <v>559</v>
          </cell>
          <cell r="G579" t="str">
            <v>SOLD</v>
          </cell>
          <cell r="H579" t="str">
            <v>OS</v>
          </cell>
          <cell r="I579" t="str">
            <v>OS</v>
          </cell>
          <cell r="J579" t="str">
            <v>OS</v>
          </cell>
          <cell r="K579" t="str">
            <v>OS</v>
          </cell>
          <cell r="L579" t="str">
            <v>OS</v>
          </cell>
          <cell r="M579" t="str">
            <v>OS</v>
          </cell>
          <cell r="N579" t="str">
            <v>OS</v>
          </cell>
          <cell r="O579" t="str">
            <v>OS</v>
          </cell>
          <cell r="P579" t="str">
            <v>OS</v>
          </cell>
          <cell r="Q579" t="str">
            <v>OS</v>
          </cell>
          <cell r="R579" t="str">
            <v>OS</v>
          </cell>
          <cell r="S579" t="str">
            <v>OS</v>
          </cell>
          <cell r="T579" t="str">
            <v>OS</v>
          </cell>
          <cell r="U579" t="str">
            <v>OS</v>
          </cell>
          <cell r="V579" t="str">
            <v>OS</v>
          </cell>
          <cell r="W579" t="str">
            <v>OS</v>
          </cell>
          <cell r="X579" t="str">
            <v>OS</v>
          </cell>
          <cell r="Y579" t="str">
            <v>OS</v>
          </cell>
          <cell r="Z579" t="str">
            <v>OS</v>
          </cell>
          <cell r="AA579" t="str">
            <v>OS</v>
          </cell>
          <cell r="AB579" t="str">
            <v>TS</v>
          </cell>
          <cell r="AC579" t="str">
            <v>OS</v>
          </cell>
          <cell r="AD579" t="str">
            <v>AGM-01-026-031</v>
          </cell>
          <cell r="AE579" t="str">
            <v xml:space="preserve">Raemulan Lands, Inc. </v>
          </cell>
          <cell r="AF579" t="str">
            <v>Agapeya</v>
          </cell>
          <cell r="AG579" t="str">
            <v>AGM</v>
          </cell>
          <cell r="AH579" t="str">
            <v>Eco-High</v>
          </cell>
          <cell r="AI579" t="str">
            <v>West</v>
          </cell>
          <cell r="AJ579" t="str">
            <v>With LTS</v>
          </cell>
          <cell r="AK579" t="str">
            <v>Unaffected lots</v>
          </cell>
          <cell r="AL579" t="str">
            <v>Unaffected lots</v>
          </cell>
          <cell r="AM579" t="b">
            <v>0</v>
          </cell>
          <cell r="AN579" t="str">
            <v>NO</v>
          </cell>
          <cell r="AO579" t="str">
            <v>B2 2025</v>
          </cell>
          <cell r="AP579">
            <v>70</v>
          </cell>
          <cell r="AQ579" t="str">
            <v>PCS-04-035874</v>
          </cell>
          <cell r="AR579" t="b">
            <v>1</v>
          </cell>
          <cell r="AS579" t="str">
            <v>Done</v>
          </cell>
          <cell r="AT579" t="str">
            <v>2025 - Batch 1</v>
          </cell>
          <cell r="AU579">
            <v>26</v>
          </cell>
          <cell r="AV579">
            <v>31</v>
          </cell>
          <cell r="AW579" t="str">
            <v>H+L</v>
          </cell>
          <cell r="AX579">
            <v>70</v>
          </cell>
          <cell r="AY579">
            <v>50</v>
          </cell>
          <cell r="AZ579" t="str">
            <v>Duplex</v>
          </cell>
          <cell r="BA579">
            <v>1</v>
          </cell>
          <cell r="BB579" t="str">
            <v>568 - Without Partition</v>
          </cell>
          <cell r="BC579" t="str">
            <v xml:space="preserve">Without Partition </v>
          </cell>
          <cell r="BD579" t="str">
            <v>Flat</v>
          </cell>
          <cell r="BE579" t="str">
            <v xml:space="preserve">Without Partition </v>
          </cell>
          <cell r="BF579" t="str">
            <v>YELLOW</v>
          </cell>
          <cell r="BG579">
            <v>2500000</v>
          </cell>
          <cell r="BH579">
            <v>2650000</v>
          </cell>
          <cell r="BI579">
            <v>100000</v>
          </cell>
          <cell r="BJ579">
            <v>2550000</v>
          </cell>
          <cell r="BK579">
            <v>0</v>
          </cell>
          <cell r="BL579">
            <v>2550000</v>
          </cell>
        </row>
        <row r="580">
          <cell r="D580" t="str">
            <v>OS</v>
          </cell>
          <cell r="E580"/>
          <cell r="F580">
            <v>560</v>
          </cell>
          <cell r="G580" t="str">
            <v>SOLD</v>
          </cell>
          <cell r="H580" t="str">
            <v>OS</v>
          </cell>
          <cell r="I580" t="str">
            <v>OS</v>
          </cell>
          <cell r="J580" t="str">
            <v>OS</v>
          </cell>
          <cell r="K580" t="str">
            <v>OS</v>
          </cell>
          <cell r="L580" t="str">
            <v>OS</v>
          </cell>
          <cell r="M580" t="str">
            <v>OS</v>
          </cell>
          <cell r="N580" t="str">
            <v>OS</v>
          </cell>
          <cell r="O580" t="str">
            <v>OS</v>
          </cell>
          <cell r="P580" t="str">
            <v>OS</v>
          </cell>
          <cell r="Q580" t="str">
            <v>OS</v>
          </cell>
          <cell r="R580" t="str">
            <v>OS</v>
          </cell>
          <cell r="S580" t="str">
            <v>OS</v>
          </cell>
          <cell r="T580" t="str">
            <v>OS</v>
          </cell>
          <cell r="U580" t="str">
            <v>OS</v>
          </cell>
          <cell r="V580" t="str">
            <v>OS</v>
          </cell>
          <cell r="W580" t="str">
            <v>OS</v>
          </cell>
          <cell r="X580" t="str">
            <v>OS</v>
          </cell>
          <cell r="Y580" t="str">
            <v>OS</v>
          </cell>
          <cell r="Z580" t="str">
            <v>OS</v>
          </cell>
          <cell r="AA580" t="str">
            <v>OS</v>
          </cell>
          <cell r="AB580" t="str">
            <v>OS</v>
          </cell>
          <cell r="AC580" t="str">
            <v>OS</v>
          </cell>
          <cell r="AD580" t="str">
            <v>AGM-01-026-032</v>
          </cell>
          <cell r="AE580" t="str">
            <v xml:space="preserve">Raemulan Lands, Inc. </v>
          </cell>
          <cell r="AF580" t="str">
            <v>Agapeya</v>
          </cell>
          <cell r="AG580" t="str">
            <v>AGM</v>
          </cell>
          <cell r="AH580" t="str">
            <v>Eco-High</v>
          </cell>
          <cell r="AI580" t="str">
            <v>West</v>
          </cell>
          <cell r="AJ580" t="str">
            <v>With LTS</v>
          </cell>
          <cell r="AK580" t="str">
            <v>Unaffected lots</v>
          </cell>
          <cell r="AL580" t="str">
            <v>Unaffected lots</v>
          </cell>
          <cell r="AM580" t="b">
            <v>0</v>
          </cell>
          <cell r="AN580" t="str">
            <v>NO</v>
          </cell>
          <cell r="AO580" t="str">
            <v>B2 2025</v>
          </cell>
          <cell r="AP580">
            <v>70</v>
          </cell>
          <cell r="AQ580" t="str">
            <v>PCS-04-035874</v>
          </cell>
          <cell r="AR580" t="b">
            <v>1</v>
          </cell>
          <cell r="AS580" t="str">
            <v>Done</v>
          </cell>
          <cell r="AT580" t="str">
            <v>2025 - Batch 1</v>
          </cell>
          <cell r="AU580">
            <v>26</v>
          </cell>
          <cell r="AV580">
            <v>32</v>
          </cell>
          <cell r="AW580" t="str">
            <v>H+L</v>
          </cell>
          <cell r="AX580">
            <v>70</v>
          </cell>
          <cell r="AY580">
            <v>50</v>
          </cell>
          <cell r="AZ580" t="str">
            <v>Duplex</v>
          </cell>
          <cell r="BA580">
            <v>1</v>
          </cell>
          <cell r="BB580" t="str">
            <v>568 - Without Partition</v>
          </cell>
          <cell r="BC580" t="str">
            <v xml:space="preserve">Without Partition </v>
          </cell>
          <cell r="BD580" t="str">
            <v>Slant</v>
          </cell>
          <cell r="BE580" t="str">
            <v xml:space="preserve">Without Partition </v>
          </cell>
          <cell r="BF580" t="str">
            <v>YELLOW</v>
          </cell>
          <cell r="BG580">
            <v>2500000</v>
          </cell>
          <cell r="BH580">
            <v>2650000</v>
          </cell>
          <cell r="BI580">
            <v>100000</v>
          </cell>
          <cell r="BJ580">
            <v>2550000</v>
          </cell>
          <cell r="BK580">
            <v>0</v>
          </cell>
          <cell r="BL580">
            <v>2550000</v>
          </cell>
        </row>
        <row r="581">
          <cell r="D581" t="str">
            <v>OS</v>
          </cell>
          <cell r="E581"/>
          <cell r="F581">
            <v>561</v>
          </cell>
          <cell r="G581" t="str">
            <v>UNSOLD</v>
          </cell>
          <cell r="H581" t="str">
            <v>OS</v>
          </cell>
          <cell r="I581" t="str">
            <v>OS</v>
          </cell>
          <cell r="J581" t="str">
            <v>OS</v>
          </cell>
          <cell r="K581" t="str">
            <v>OS</v>
          </cell>
          <cell r="L581" t="str">
            <v>OS</v>
          </cell>
          <cell r="M581" t="str">
            <v>OS</v>
          </cell>
          <cell r="N581" t="str">
            <v>OS</v>
          </cell>
          <cell r="O581" t="str">
            <v>OS</v>
          </cell>
          <cell r="P581" t="str">
            <v>OS</v>
          </cell>
          <cell r="Q581" t="str">
            <v>OS</v>
          </cell>
          <cell r="R581" t="str">
            <v>OS</v>
          </cell>
          <cell r="S581" t="str">
            <v>OS</v>
          </cell>
          <cell r="T581" t="str">
            <v>OS</v>
          </cell>
          <cell r="U581" t="str">
            <v>OS</v>
          </cell>
          <cell r="V581" t="str">
            <v>OS</v>
          </cell>
          <cell r="W581" t="str">
            <v>OS</v>
          </cell>
          <cell r="X581" t="str">
            <v>OS</v>
          </cell>
          <cell r="Y581" t="str">
            <v>OS</v>
          </cell>
          <cell r="Z581" t="str">
            <v>OS</v>
          </cell>
          <cell r="AA581" t="str">
            <v>OS</v>
          </cell>
          <cell r="AB581" t="str">
            <v>OS</v>
          </cell>
          <cell r="AC581" t="str">
            <v>OS</v>
          </cell>
          <cell r="AD581" t="str">
            <v>AGM-01-026-033</v>
          </cell>
          <cell r="AE581" t="str">
            <v xml:space="preserve">Raemulan Lands, Inc. </v>
          </cell>
          <cell r="AF581" t="str">
            <v>Agapeya</v>
          </cell>
          <cell r="AG581" t="str">
            <v>AGM</v>
          </cell>
          <cell r="AH581" t="str">
            <v>Eco-High</v>
          </cell>
          <cell r="AI581" t="str">
            <v>West</v>
          </cell>
          <cell r="AJ581" t="str">
            <v>With LTS</v>
          </cell>
          <cell r="AK581" t="str">
            <v>Unaffected lots</v>
          </cell>
          <cell r="AL581" t="str">
            <v>Unaffected lots</v>
          </cell>
          <cell r="AM581" t="b">
            <v>0</v>
          </cell>
          <cell r="AN581" t="str">
            <v>NO</v>
          </cell>
          <cell r="AO581" t="str">
            <v>B2 2025</v>
          </cell>
          <cell r="AP581">
            <v>70</v>
          </cell>
          <cell r="AQ581" t="str">
            <v>PCS-04-035874</v>
          </cell>
          <cell r="AR581" t="b">
            <v>1</v>
          </cell>
          <cell r="AS581" t="str">
            <v>Done</v>
          </cell>
          <cell r="AT581" t="str">
            <v>2025 - Batch 1</v>
          </cell>
          <cell r="AU581">
            <v>26</v>
          </cell>
          <cell r="AV581">
            <v>33</v>
          </cell>
          <cell r="AW581" t="str">
            <v>H+L</v>
          </cell>
          <cell r="AX581">
            <v>70</v>
          </cell>
          <cell r="AY581">
            <v>50</v>
          </cell>
          <cell r="AZ581" t="str">
            <v>Duplex</v>
          </cell>
          <cell r="BA581">
            <v>1</v>
          </cell>
          <cell r="BB581" t="str">
            <v>568 - Without Partition</v>
          </cell>
          <cell r="BC581" t="str">
            <v xml:space="preserve">Without Partition </v>
          </cell>
          <cell r="BD581" t="str">
            <v>Slant</v>
          </cell>
          <cell r="BE581" t="str">
            <v xml:space="preserve">Without Partition </v>
          </cell>
          <cell r="BF581" t="str">
            <v>PINK</v>
          </cell>
          <cell r="BG581">
            <v>2500000</v>
          </cell>
          <cell r="BH581">
            <v>2650000</v>
          </cell>
          <cell r="BI581">
            <v>100000</v>
          </cell>
          <cell r="BJ581">
            <v>2550000</v>
          </cell>
          <cell r="BK581">
            <v>0</v>
          </cell>
          <cell r="BL581">
            <v>2550000</v>
          </cell>
        </row>
        <row r="582">
          <cell r="D582" t="str">
            <v>OS</v>
          </cell>
          <cell r="E582"/>
          <cell r="F582">
            <v>562</v>
          </cell>
          <cell r="G582" t="str">
            <v>SOLD</v>
          </cell>
          <cell r="H582" t="str">
            <v>OS</v>
          </cell>
          <cell r="I582" t="str">
            <v>OS</v>
          </cell>
          <cell r="J582" t="str">
            <v>OS</v>
          </cell>
          <cell r="K582" t="str">
            <v>OS</v>
          </cell>
          <cell r="L582" t="str">
            <v>OS</v>
          </cell>
          <cell r="M582" t="str">
            <v>OS</v>
          </cell>
          <cell r="N582" t="str">
            <v>OS</v>
          </cell>
          <cell r="O582" t="str">
            <v>OS</v>
          </cell>
          <cell r="P582" t="str">
            <v>OS</v>
          </cell>
          <cell r="Q582" t="str">
            <v>OS</v>
          </cell>
          <cell r="R582" t="str">
            <v>OS</v>
          </cell>
          <cell r="S582" t="str">
            <v>OS</v>
          </cell>
          <cell r="T582" t="str">
            <v>OS</v>
          </cell>
          <cell r="U582" t="str">
            <v>OS</v>
          </cell>
          <cell r="V582" t="str">
            <v>OS</v>
          </cell>
          <cell r="W582" t="str">
            <v>OS</v>
          </cell>
          <cell r="X582" t="str">
            <v>OS</v>
          </cell>
          <cell r="Y582" t="str">
            <v>OS</v>
          </cell>
          <cell r="Z582" t="str">
            <v>OS</v>
          </cell>
          <cell r="AA582" t="str">
            <v>OS</v>
          </cell>
          <cell r="AB582" t="str">
            <v>OS</v>
          </cell>
          <cell r="AC582" t="str">
            <v>OS</v>
          </cell>
          <cell r="AD582" t="str">
            <v>AGM-01-026-034</v>
          </cell>
          <cell r="AE582" t="str">
            <v xml:space="preserve">Raemulan Lands, Inc. </v>
          </cell>
          <cell r="AF582" t="str">
            <v>Agapeya</v>
          </cell>
          <cell r="AG582" t="str">
            <v>AGM</v>
          </cell>
          <cell r="AH582" t="str">
            <v>Eco-High</v>
          </cell>
          <cell r="AI582" t="str">
            <v>West</v>
          </cell>
          <cell r="AJ582" t="str">
            <v>With LTS</v>
          </cell>
          <cell r="AK582" t="str">
            <v>Unaffected lots</v>
          </cell>
          <cell r="AL582" t="str">
            <v>Unaffected lots</v>
          </cell>
          <cell r="AM582" t="b">
            <v>0</v>
          </cell>
          <cell r="AN582" t="str">
            <v>NO</v>
          </cell>
          <cell r="AO582" t="str">
            <v>B2 2025</v>
          </cell>
          <cell r="AP582">
            <v>70</v>
          </cell>
          <cell r="AQ582" t="str">
            <v>PCS-04-035874</v>
          </cell>
          <cell r="AR582" t="b">
            <v>1</v>
          </cell>
          <cell r="AS582" t="str">
            <v>Done</v>
          </cell>
          <cell r="AT582" t="str">
            <v>2025 - Batch 1</v>
          </cell>
          <cell r="AU582">
            <v>26</v>
          </cell>
          <cell r="AV582">
            <v>34</v>
          </cell>
          <cell r="AW582" t="str">
            <v>H+L</v>
          </cell>
          <cell r="AX582">
            <v>70</v>
          </cell>
          <cell r="AY582">
            <v>50</v>
          </cell>
          <cell r="AZ582" t="str">
            <v>Duplex</v>
          </cell>
          <cell r="BA582">
            <v>1</v>
          </cell>
          <cell r="BB582" t="str">
            <v>568 - Without Partition</v>
          </cell>
          <cell r="BC582" t="str">
            <v xml:space="preserve">Without Partition </v>
          </cell>
          <cell r="BD582" t="str">
            <v>Flat</v>
          </cell>
          <cell r="BE582" t="str">
            <v xml:space="preserve">Without Partition </v>
          </cell>
          <cell r="BF582" t="str">
            <v>PINK</v>
          </cell>
          <cell r="BG582">
            <v>2500000</v>
          </cell>
          <cell r="BH582">
            <v>2650000</v>
          </cell>
          <cell r="BI582">
            <v>100000</v>
          </cell>
          <cell r="BJ582">
            <v>2550000</v>
          </cell>
          <cell r="BK582">
            <v>0</v>
          </cell>
          <cell r="BL582">
            <v>2550000</v>
          </cell>
        </row>
        <row r="583">
          <cell r="D583" t="str">
            <v>OS</v>
          </cell>
          <cell r="E583"/>
          <cell r="F583">
            <v>563</v>
          </cell>
          <cell r="G583" t="str">
            <v>SOLD</v>
          </cell>
          <cell r="H583" t="str">
            <v>OS</v>
          </cell>
          <cell r="I583" t="str">
            <v>OS</v>
          </cell>
          <cell r="J583" t="str">
            <v>OS</v>
          </cell>
          <cell r="K583" t="str">
            <v>OS</v>
          </cell>
          <cell r="L583" t="str">
            <v>OS</v>
          </cell>
          <cell r="M583" t="str">
            <v>OS</v>
          </cell>
          <cell r="N583" t="str">
            <v>OS</v>
          </cell>
          <cell r="O583" t="str">
            <v>OS</v>
          </cell>
          <cell r="P583" t="str">
            <v>OS</v>
          </cell>
          <cell r="Q583" t="str">
            <v>OS</v>
          </cell>
          <cell r="R583" t="str">
            <v>OS</v>
          </cell>
          <cell r="S583" t="str">
            <v>OS</v>
          </cell>
          <cell r="T583" t="str">
            <v>OS</v>
          </cell>
          <cell r="U583" t="str">
            <v>OS</v>
          </cell>
          <cell r="V583" t="str">
            <v>OS</v>
          </cell>
          <cell r="W583" t="str">
            <v>OS</v>
          </cell>
          <cell r="X583" t="str">
            <v>OS</v>
          </cell>
          <cell r="Y583" t="str">
            <v>OS</v>
          </cell>
          <cell r="Z583" t="str">
            <v>OS</v>
          </cell>
          <cell r="AA583" t="str">
            <v>OS</v>
          </cell>
          <cell r="AB583" t="str">
            <v>OS</v>
          </cell>
          <cell r="AC583" t="str">
            <v>OS</v>
          </cell>
          <cell r="AD583" t="str">
            <v>AGM-01-026-035</v>
          </cell>
          <cell r="AE583" t="str">
            <v xml:space="preserve">Raemulan Lands, Inc. </v>
          </cell>
          <cell r="AF583" t="str">
            <v>Agapeya</v>
          </cell>
          <cell r="AG583" t="str">
            <v>AGM</v>
          </cell>
          <cell r="AH583" t="str">
            <v>Eco-High</v>
          </cell>
          <cell r="AI583" t="str">
            <v>West</v>
          </cell>
          <cell r="AJ583" t="str">
            <v>With LTS</v>
          </cell>
          <cell r="AK583" t="str">
            <v>Unaffected lots</v>
          </cell>
          <cell r="AL583" t="str">
            <v>Unaffected lots</v>
          </cell>
          <cell r="AM583" t="b">
            <v>0</v>
          </cell>
          <cell r="AN583" t="str">
            <v>NO</v>
          </cell>
          <cell r="AO583" t="str">
            <v>B2 2025</v>
          </cell>
          <cell r="AP583">
            <v>70</v>
          </cell>
          <cell r="AQ583" t="str">
            <v>PCS-04-035874</v>
          </cell>
          <cell r="AR583" t="b">
            <v>1</v>
          </cell>
          <cell r="AS583" t="str">
            <v>Done</v>
          </cell>
          <cell r="AT583" t="str">
            <v>2025 - Batch 1</v>
          </cell>
          <cell r="AU583">
            <v>26</v>
          </cell>
          <cell r="AV583">
            <v>35</v>
          </cell>
          <cell r="AW583" t="str">
            <v>H+L</v>
          </cell>
          <cell r="AX583">
            <v>70</v>
          </cell>
          <cell r="AY583">
            <v>50</v>
          </cell>
          <cell r="AZ583" t="str">
            <v>Duplex</v>
          </cell>
          <cell r="BA583">
            <v>1</v>
          </cell>
          <cell r="BB583" t="str">
            <v>568 - Without Partition</v>
          </cell>
          <cell r="BC583" t="str">
            <v xml:space="preserve">Without Partition </v>
          </cell>
          <cell r="BD583" t="str">
            <v>Flat</v>
          </cell>
          <cell r="BE583" t="str">
            <v xml:space="preserve">Without Partition </v>
          </cell>
          <cell r="BF583" t="str">
            <v>PINK</v>
          </cell>
          <cell r="BG583">
            <v>2500000</v>
          </cell>
          <cell r="BH583">
            <v>2650000</v>
          </cell>
          <cell r="BI583">
            <v>100000</v>
          </cell>
          <cell r="BJ583">
            <v>2550000</v>
          </cell>
          <cell r="BK583">
            <v>0</v>
          </cell>
          <cell r="BL583">
            <v>2550000</v>
          </cell>
        </row>
        <row r="584">
          <cell r="D584" t="str">
            <v>OS</v>
          </cell>
          <cell r="E584"/>
          <cell r="F584">
            <v>564</v>
          </cell>
          <cell r="G584" t="str">
            <v>SOLD</v>
          </cell>
          <cell r="H584" t="str">
            <v>OS</v>
          </cell>
          <cell r="I584" t="str">
            <v>OS</v>
          </cell>
          <cell r="J584" t="str">
            <v>OS</v>
          </cell>
          <cell r="K584" t="str">
            <v>OS</v>
          </cell>
          <cell r="L584" t="str">
            <v>OS</v>
          </cell>
          <cell r="M584" t="str">
            <v>OS</v>
          </cell>
          <cell r="N584" t="str">
            <v>OS</v>
          </cell>
          <cell r="O584" t="str">
            <v>OS</v>
          </cell>
          <cell r="P584" t="str">
            <v>OS</v>
          </cell>
          <cell r="Q584" t="str">
            <v>OS</v>
          </cell>
          <cell r="R584" t="str">
            <v>OS</v>
          </cell>
          <cell r="S584" t="str">
            <v>OS</v>
          </cell>
          <cell r="T584" t="str">
            <v>OS</v>
          </cell>
          <cell r="U584" t="str">
            <v>OS</v>
          </cell>
          <cell r="V584" t="str">
            <v>OS</v>
          </cell>
          <cell r="W584" t="str">
            <v>OS</v>
          </cell>
          <cell r="X584" t="str">
            <v>OS</v>
          </cell>
          <cell r="Y584" t="str">
            <v>OS</v>
          </cell>
          <cell r="Z584" t="str">
            <v>OS</v>
          </cell>
          <cell r="AA584" t="str">
            <v>OS</v>
          </cell>
          <cell r="AB584" t="str">
            <v>OS</v>
          </cell>
          <cell r="AC584" t="str">
            <v>OS</v>
          </cell>
          <cell r="AD584" t="str">
            <v>AGM-01-026-036</v>
          </cell>
          <cell r="AE584" t="str">
            <v xml:space="preserve">Raemulan Lands, Inc. </v>
          </cell>
          <cell r="AF584" t="str">
            <v>Agapeya</v>
          </cell>
          <cell r="AG584" t="str">
            <v>AGM</v>
          </cell>
          <cell r="AH584" t="str">
            <v>Eco-High</v>
          </cell>
          <cell r="AI584" t="str">
            <v>West</v>
          </cell>
          <cell r="AJ584" t="str">
            <v>With LTS</v>
          </cell>
          <cell r="AK584" t="str">
            <v>Unaffected lots</v>
          </cell>
          <cell r="AL584" t="str">
            <v>Unaffected lots</v>
          </cell>
          <cell r="AM584" t="b">
            <v>0</v>
          </cell>
          <cell r="AN584" t="str">
            <v>NO</v>
          </cell>
          <cell r="AO584" t="str">
            <v>B2 2025</v>
          </cell>
          <cell r="AP584">
            <v>70</v>
          </cell>
          <cell r="AQ584" t="str">
            <v>PCS-04-035874</v>
          </cell>
          <cell r="AR584" t="b">
            <v>1</v>
          </cell>
          <cell r="AS584" t="str">
            <v>Done</v>
          </cell>
          <cell r="AT584" t="str">
            <v>2025 - Batch 1</v>
          </cell>
          <cell r="AU584">
            <v>26</v>
          </cell>
          <cell r="AV584">
            <v>36</v>
          </cell>
          <cell r="AW584" t="str">
            <v>H+L</v>
          </cell>
          <cell r="AX584">
            <v>70</v>
          </cell>
          <cell r="AY584">
            <v>50</v>
          </cell>
          <cell r="AZ584" t="str">
            <v>Duplex</v>
          </cell>
          <cell r="BA584">
            <v>1</v>
          </cell>
          <cell r="BB584" t="str">
            <v>568 - Without Partition</v>
          </cell>
          <cell r="BC584" t="str">
            <v xml:space="preserve">Without Partition </v>
          </cell>
          <cell r="BD584" t="str">
            <v>Slant</v>
          </cell>
          <cell r="BE584" t="str">
            <v xml:space="preserve">Without Partition </v>
          </cell>
          <cell r="BF584" t="str">
            <v>PINK</v>
          </cell>
          <cell r="BG584">
            <v>2500000</v>
          </cell>
          <cell r="BH584">
            <v>2650000</v>
          </cell>
          <cell r="BI584">
            <v>100000</v>
          </cell>
          <cell r="BJ584">
            <v>2550000</v>
          </cell>
          <cell r="BK584">
            <v>0</v>
          </cell>
          <cell r="BL584">
            <v>2550000</v>
          </cell>
        </row>
        <row r="585">
          <cell r="D585" t="str">
            <v>OS</v>
          </cell>
          <cell r="E585"/>
          <cell r="F585">
            <v>565</v>
          </cell>
          <cell r="G585" t="str">
            <v>SOLD</v>
          </cell>
          <cell r="H585" t="str">
            <v>OS</v>
          </cell>
          <cell r="I585" t="str">
            <v>OS</v>
          </cell>
          <cell r="J585" t="str">
            <v>OS</v>
          </cell>
          <cell r="K585" t="str">
            <v>OS</v>
          </cell>
          <cell r="L585" t="str">
            <v>OS</v>
          </cell>
          <cell r="M585" t="str">
            <v>OS</v>
          </cell>
          <cell r="N585" t="str">
            <v>OS</v>
          </cell>
          <cell r="O585" t="str">
            <v>OS</v>
          </cell>
          <cell r="P585" t="str">
            <v>OS</v>
          </cell>
          <cell r="Q585" t="str">
            <v>OS</v>
          </cell>
          <cell r="R585" t="str">
            <v>OS</v>
          </cell>
          <cell r="S585" t="str">
            <v>OS</v>
          </cell>
          <cell r="T585" t="str">
            <v>OS</v>
          </cell>
          <cell r="U585" t="str">
            <v>OS</v>
          </cell>
          <cell r="V585" t="str">
            <v>OS</v>
          </cell>
          <cell r="W585" t="str">
            <v>OS</v>
          </cell>
          <cell r="X585" t="str">
            <v>OS</v>
          </cell>
          <cell r="Y585" t="str">
            <v>OS</v>
          </cell>
          <cell r="Z585" t="str">
            <v>OS</v>
          </cell>
          <cell r="AA585" t="str">
            <v>OS</v>
          </cell>
          <cell r="AB585" t="str">
            <v>OS</v>
          </cell>
          <cell r="AC585" t="str">
            <v>OS</v>
          </cell>
          <cell r="AD585" t="str">
            <v>AGM-01-026-037</v>
          </cell>
          <cell r="AE585" t="str">
            <v xml:space="preserve">Raemulan Lands, Inc. </v>
          </cell>
          <cell r="AF585" t="str">
            <v>Agapeya</v>
          </cell>
          <cell r="AG585" t="str">
            <v>AGM</v>
          </cell>
          <cell r="AH585" t="str">
            <v>Eco-High</v>
          </cell>
          <cell r="AI585" t="str">
            <v>West</v>
          </cell>
          <cell r="AJ585" t="str">
            <v>With LTS</v>
          </cell>
          <cell r="AK585" t="str">
            <v>Unaffected lots</v>
          </cell>
          <cell r="AL585" t="str">
            <v>Unaffected lots</v>
          </cell>
          <cell r="AM585" t="b">
            <v>0</v>
          </cell>
          <cell r="AN585" t="str">
            <v>NO</v>
          </cell>
          <cell r="AO585" t="str">
            <v>B2 2025</v>
          </cell>
          <cell r="AP585">
            <v>70</v>
          </cell>
          <cell r="AQ585" t="str">
            <v>PCS-04-035874</v>
          </cell>
          <cell r="AR585" t="b">
            <v>1</v>
          </cell>
          <cell r="AS585" t="str">
            <v>Done</v>
          </cell>
          <cell r="AT585" t="str">
            <v>2025 - Batch 1</v>
          </cell>
          <cell r="AU585">
            <v>26</v>
          </cell>
          <cell r="AV585">
            <v>37</v>
          </cell>
          <cell r="AW585" t="str">
            <v>H+L</v>
          </cell>
          <cell r="AX585">
            <v>70</v>
          </cell>
          <cell r="AY585">
            <v>50</v>
          </cell>
          <cell r="AZ585" t="str">
            <v>Duplex</v>
          </cell>
          <cell r="BA585">
            <v>1</v>
          </cell>
          <cell r="BB585" t="str">
            <v>568 - Without Partition</v>
          </cell>
          <cell r="BC585" t="str">
            <v xml:space="preserve">Without Partition </v>
          </cell>
          <cell r="BD585" t="str">
            <v>Slant</v>
          </cell>
          <cell r="BE585" t="str">
            <v xml:space="preserve">Without Partition </v>
          </cell>
          <cell r="BF585" t="str">
            <v>PURPLE</v>
          </cell>
          <cell r="BG585">
            <v>2500000</v>
          </cell>
          <cell r="BH585">
            <v>2650000</v>
          </cell>
          <cell r="BI585">
            <v>100000</v>
          </cell>
          <cell r="BJ585">
            <v>2550000</v>
          </cell>
          <cell r="BK585">
            <v>0</v>
          </cell>
          <cell r="BL585">
            <v>2550000</v>
          </cell>
        </row>
        <row r="586">
          <cell r="D586" t="str">
            <v>OS</v>
          </cell>
          <cell r="E586"/>
          <cell r="F586">
            <v>566</v>
          </cell>
          <cell r="G586" t="str">
            <v>UNSOLD</v>
          </cell>
          <cell r="H586" t="str">
            <v>OS</v>
          </cell>
          <cell r="I586" t="str">
            <v>OS</v>
          </cell>
          <cell r="J586" t="str">
            <v>OS</v>
          </cell>
          <cell r="K586" t="str">
            <v>OS</v>
          </cell>
          <cell r="L586" t="str">
            <v>OS</v>
          </cell>
          <cell r="M586" t="str">
            <v>OS</v>
          </cell>
          <cell r="N586" t="str">
            <v>OS</v>
          </cell>
          <cell r="O586" t="str">
            <v>OS</v>
          </cell>
          <cell r="P586" t="str">
            <v>OS</v>
          </cell>
          <cell r="Q586" t="str">
            <v>OS</v>
          </cell>
          <cell r="R586" t="str">
            <v>OS</v>
          </cell>
          <cell r="S586" t="str">
            <v>OS</v>
          </cell>
          <cell r="T586" t="str">
            <v>OS</v>
          </cell>
          <cell r="U586" t="str">
            <v>OS</v>
          </cell>
          <cell r="V586" t="str">
            <v>OS</v>
          </cell>
          <cell r="W586" t="str">
            <v>OS</v>
          </cell>
          <cell r="X586" t="str">
            <v>OS</v>
          </cell>
          <cell r="Y586" t="str">
            <v>OS</v>
          </cell>
          <cell r="Z586" t="str">
            <v>OS</v>
          </cell>
          <cell r="AA586" t="str">
            <v>OS</v>
          </cell>
          <cell r="AB586" t="str">
            <v>OS</v>
          </cell>
          <cell r="AC586" t="str">
            <v>OS</v>
          </cell>
          <cell r="AD586" t="str">
            <v>AGM-01-026-038</v>
          </cell>
          <cell r="AE586" t="str">
            <v xml:space="preserve">Raemulan Lands, Inc. </v>
          </cell>
          <cell r="AF586" t="str">
            <v>Agapeya</v>
          </cell>
          <cell r="AG586" t="str">
            <v>AGM</v>
          </cell>
          <cell r="AH586" t="str">
            <v>Eco-High</v>
          </cell>
          <cell r="AI586" t="str">
            <v>West</v>
          </cell>
          <cell r="AJ586" t="str">
            <v>With LTS</v>
          </cell>
          <cell r="AK586" t="str">
            <v>Unaffected lots</v>
          </cell>
          <cell r="AL586" t="str">
            <v>Unaffected lots</v>
          </cell>
          <cell r="AM586" t="b">
            <v>1</v>
          </cell>
          <cell r="AN586" t="str">
            <v>YES</v>
          </cell>
          <cell r="AO586" t="str">
            <v>B2 2025</v>
          </cell>
          <cell r="AP586">
            <v>70</v>
          </cell>
          <cell r="AQ586" t="str">
            <v>PCS-04-034298</v>
          </cell>
          <cell r="AR586" t="b">
            <v>1</v>
          </cell>
          <cell r="AS586" t="str">
            <v>Done</v>
          </cell>
          <cell r="AT586" t="str">
            <v>2025 - Batch 1</v>
          </cell>
          <cell r="AU586">
            <v>26</v>
          </cell>
          <cell r="AV586">
            <v>38</v>
          </cell>
          <cell r="AW586" t="str">
            <v>H+L</v>
          </cell>
          <cell r="AX586">
            <v>70</v>
          </cell>
          <cell r="AY586">
            <v>50</v>
          </cell>
          <cell r="AZ586" t="str">
            <v>Duplex</v>
          </cell>
          <cell r="BA586">
            <v>1</v>
          </cell>
          <cell r="BB586" t="str">
            <v>568 - Without Partition</v>
          </cell>
          <cell r="BC586" t="str">
            <v xml:space="preserve">Without Partition </v>
          </cell>
          <cell r="BD586" t="str">
            <v>Flat</v>
          </cell>
          <cell r="BE586" t="str">
            <v xml:space="preserve">Without Partition </v>
          </cell>
          <cell r="BF586" t="str">
            <v>PURPLE</v>
          </cell>
          <cell r="BG586">
            <v>2500000</v>
          </cell>
          <cell r="BH586">
            <v>2650000</v>
          </cell>
          <cell r="BI586">
            <v>100000</v>
          </cell>
          <cell r="BJ586">
            <v>2550000</v>
          </cell>
          <cell r="BK586">
            <v>0</v>
          </cell>
          <cell r="BL586">
            <v>2550000</v>
          </cell>
        </row>
        <row r="587">
          <cell r="D587" t="str">
            <v>OS</v>
          </cell>
          <cell r="E587"/>
          <cell r="F587">
            <v>567</v>
          </cell>
          <cell r="G587" t="str">
            <v>SOLD</v>
          </cell>
          <cell r="H587" t="str">
            <v>OS</v>
          </cell>
          <cell r="I587" t="str">
            <v>OS</v>
          </cell>
          <cell r="J587" t="str">
            <v>OS</v>
          </cell>
          <cell r="K587" t="str">
            <v>OS</v>
          </cell>
          <cell r="L587" t="str">
            <v>OS</v>
          </cell>
          <cell r="M587" t="str">
            <v>OS</v>
          </cell>
          <cell r="N587" t="str">
            <v>OS</v>
          </cell>
          <cell r="O587" t="str">
            <v>OS</v>
          </cell>
          <cell r="P587" t="str">
            <v>OS</v>
          </cell>
          <cell r="Q587" t="str">
            <v>OS</v>
          </cell>
          <cell r="R587" t="str">
            <v>OS</v>
          </cell>
          <cell r="S587" t="str">
            <v>OS</v>
          </cell>
          <cell r="T587" t="str">
            <v>OS</v>
          </cell>
          <cell r="U587" t="str">
            <v>OS</v>
          </cell>
          <cell r="V587" t="str">
            <v>OS</v>
          </cell>
          <cell r="W587" t="str">
            <v>OS</v>
          </cell>
          <cell r="X587" t="str">
            <v>OS</v>
          </cell>
          <cell r="Y587" t="str">
            <v>OS</v>
          </cell>
          <cell r="Z587" t="str">
            <v>OS</v>
          </cell>
          <cell r="AA587" t="str">
            <v>OS</v>
          </cell>
          <cell r="AB587" t="str">
            <v>OS</v>
          </cell>
          <cell r="AC587" t="str">
            <v>OS</v>
          </cell>
          <cell r="AD587" t="str">
            <v>AGM-01-026-039</v>
          </cell>
          <cell r="AE587" t="str">
            <v xml:space="preserve">Raemulan Lands, Inc. </v>
          </cell>
          <cell r="AF587" t="str">
            <v>Agapeya</v>
          </cell>
          <cell r="AG587" t="str">
            <v>AGM</v>
          </cell>
          <cell r="AH587" t="str">
            <v>Eco-High</v>
          </cell>
          <cell r="AI587" t="str">
            <v>West</v>
          </cell>
          <cell r="AJ587" t="str">
            <v>With LTS</v>
          </cell>
          <cell r="AK587" t="str">
            <v>Unaffected lots</v>
          </cell>
          <cell r="AL587" t="str">
            <v>Unaffected lots</v>
          </cell>
          <cell r="AM587" t="b">
            <v>1</v>
          </cell>
          <cell r="AN587" t="str">
            <v>YES</v>
          </cell>
          <cell r="AO587" t="str">
            <v>B2 2025</v>
          </cell>
          <cell r="AP587">
            <v>70</v>
          </cell>
          <cell r="AQ587" t="str">
            <v>PCS-04-034298</v>
          </cell>
          <cell r="AR587" t="b">
            <v>1</v>
          </cell>
          <cell r="AS587" t="str">
            <v>Done</v>
          </cell>
          <cell r="AT587" t="str">
            <v>2025 - Batch 2</v>
          </cell>
          <cell r="AU587">
            <v>26</v>
          </cell>
          <cell r="AV587">
            <v>39</v>
          </cell>
          <cell r="AW587" t="str">
            <v>H+L</v>
          </cell>
          <cell r="AX587">
            <v>70</v>
          </cell>
          <cell r="AY587">
            <v>50</v>
          </cell>
          <cell r="AZ587" t="str">
            <v>Duplex</v>
          </cell>
          <cell r="BA587">
            <v>1</v>
          </cell>
          <cell r="BB587" t="str">
            <v>568 - Without Partition</v>
          </cell>
          <cell r="BC587" t="str">
            <v xml:space="preserve">Without Partition </v>
          </cell>
          <cell r="BD587" t="str">
            <v>Flat</v>
          </cell>
          <cell r="BE587" t="str">
            <v xml:space="preserve">Without Partition </v>
          </cell>
          <cell r="BF587" t="str">
            <v>PURPLE</v>
          </cell>
          <cell r="BG587">
            <v>2500000</v>
          </cell>
          <cell r="BH587">
            <v>2650000</v>
          </cell>
          <cell r="BI587">
            <v>100000</v>
          </cell>
          <cell r="BJ587">
            <v>2550000</v>
          </cell>
          <cell r="BK587">
            <v>0</v>
          </cell>
          <cell r="BL587">
            <v>2550000</v>
          </cell>
        </row>
        <row r="588">
          <cell r="D588" t="str">
            <v>OS</v>
          </cell>
          <cell r="E588"/>
          <cell r="F588">
            <v>568</v>
          </cell>
          <cell r="G588" t="str">
            <v>SOLD</v>
          </cell>
          <cell r="H588" t="str">
            <v>OS</v>
          </cell>
          <cell r="I588" t="str">
            <v>OS</v>
          </cell>
          <cell r="J588" t="str">
            <v>OS</v>
          </cell>
          <cell r="K588" t="str">
            <v>OS</v>
          </cell>
          <cell r="L588" t="str">
            <v>OS</v>
          </cell>
          <cell r="M588" t="str">
            <v>OS</v>
          </cell>
          <cell r="N588" t="str">
            <v>OS</v>
          </cell>
          <cell r="O588" t="str">
            <v>OS</v>
          </cell>
          <cell r="P588" t="str">
            <v>OS</v>
          </cell>
          <cell r="Q588" t="str">
            <v>OS</v>
          </cell>
          <cell r="R588" t="str">
            <v>OS</v>
          </cell>
          <cell r="S588" t="str">
            <v>OS</v>
          </cell>
          <cell r="T588" t="str">
            <v>OS</v>
          </cell>
          <cell r="U588" t="str">
            <v>OS</v>
          </cell>
          <cell r="V588" t="str">
            <v>OS</v>
          </cell>
          <cell r="W588" t="str">
            <v>OS</v>
          </cell>
          <cell r="X588" t="str">
            <v>OS</v>
          </cell>
          <cell r="Y588" t="str">
            <v>OS</v>
          </cell>
          <cell r="Z588" t="str">
            <v>OS</v>
          </cell>
          <cell r="AA588" t="str">
            <v>OS</v>
          </cell>
          <cell r="AB588" t="str">
            <v>OS</v>
          </cell>
          <cell r="AC588" t="str">
            <v>OS</v>
          </cell>
          <cell r="AD588" t="str">
            <v>AGM-01-026-040</v>
          </cell>
          <cell r="AE588" t="str">
            <v xml:space="preserve">Raemulan Lands, Inc. </v>
          </cell>
          <cell r="AF588" t="str">
            <v>Agapeya</v>
          </cell>
          <cell r="AG588" t="str">
            <v>AGM</v>
          </cell>
          <cell r="AH588" t="str">
            <v>Eco-High</v>
          </cell>
          <cell r="AI588" t="str">
            <v>West</v>
          </cell>
          <cell r="AJ588" t="str">
            <v>With LTS</v>
          </cell>
          <cell r="AK588" t="str">
            <v>Unaffected lots</v>
          </cell>
          <cell r="AL588" t="str">
            <v>Unaffected lots</v>
          </cell>
          <cell r="AM588" t="b">
            <v>1</v>
          </cell>
          <cell r="AN588" t="str">
            <v>YES</v>
          </cell>
          <cell r="AO588" t="str">
            <v>B2 2025</v>
          </cell>
          <cell r="AP588">
            <v>70</v>
          </cell>
          <cell r="AQ588" t="str">
            <v>PCS-04-034298</v>
          </cell>
          <cell r="AR588" t="b">
            <v>1</v>
          </cell>
          <cell r="AS588" t="str">
            <v>Done</v>
          </cell>
          <cell r="AT588" t="str">
            <v>2025 - Batch 2</v>
          </cell>
          <cell r="AU588">
            <v>26</v>
          </cell>
          <cell r="AV588">
            <v>40</v>
          </cell>
          <cell r="AW588" t="str">
            <v>H+L</v>
          </cell>
          <cell r="AX588">
            <v>70</v>
          </cell>
          <cell r="AY588">
            <v>50</v>
          </cell>
          <cell r="AZ588" t="str">
            <v>Duplex</v>
          </cell>
          <cell r="BA588">
            <v>1</v>
          </cell>
          <cell r="BB588" t="str">
            <v>568 - Without Partition</v>
          </cell>
          <cell r="BC588" t="str">
            <v xml:space="preserve">Without Partition </v>
          </cell>
          <cell r="BD588" t="str">
            <v>Slant</v>
          </cell>
          <cell r="BE588" t="str">
            <v xml:space="preserve">Without Partition </v>
          </cell>
          <cell r="BF588" t="str">
            <v>PURPLE</v>
          </cell>
          <cell r="BG588">
            <v>2422034.826150645</v>
          </cell>
          <cell r="BH588">
            <v>2650000</v>
          </cell>
          <cell r="BI588">
            <v>100000</v>
          </cell>
          <cell r="BJ588">
            <v>2550000</v>
          </cell>
          <cell r="BK588">
            <v>0</v>
          </cell>
          <cell r="BL588">
            <v>2550000</v>
          </cell>
        </row>
        <row r="589">
          <cell r="D589" t="str">
            <v>OS</v>
          </cell>
          <cell r="E589"/>
          <cell r="F589">
            <v>569</v>
          </cell>
          <cell r="G589" t="str">
            <v>SOLD</v>
          </cell>
          <cell r="H589" t="str">
            <v>OS</v>
          </cell>
          <cell r="I589" t="str">
            <v>OS</v>
          </cell>
          <cell r="J589" t="str">
            <v>OS</v>
          </cell>
          <cell r="K589" t="str">
            <v>OS</v>
          </cell>
          <cell r="L589" t="str">
            <v>OS</v>
          </cell>
          <cell r="M589" t="str">
            <v>OS</v>
          </cell>
          <cell r="N589" t="str">
            <v>OS</v>
          </cell>
          <cell r="O589" t="str">
            <v>OS</v>
          </cell>
          <cell r="P589" t="str">
            <v>OS</v>
          </cell>
          <cell r="Q589" t="str">
            <v>OS</v>
          </cell>
          <cell r="R589" t="str">
            <v>OS</v>
          </cell>
          <cell r="S589" t="str">
            <v>OS</v>
          </cell>
          <cell r="T589" t="str">
            <v>OS</v>
          </cell>
          <cell r="U589" t="str">
            <v>OS</v>
          </cell>
          <cell r="V589" t="str">
            <v>OS</v>
          </cell>
          <cell r="W589" t="str">
            <v>OS</v>
          </cell>
          <cell r="X589" t="str">
            <v>OS</v>
          </cell>
          <cell r="Y589" t="str">
            <v>OS</v>
          </cell>
          <cell r="Z589" t="str">
            <v>OS</v>
          </cell>
          <cell r="AA589" t="str">
            <v>OS</v>
          </cell>
          <cell r="AB589" t="str">
            <v>OS</v>
          </cell>
          <cell r="AC589" t="str">
            <v>OS</v>
          </cell>
          <cell r="AD589" t="str">
            <v>AGM-01-026-041</v>
          </cell>
          <cell r="AE589" t="str">
            <v xml:space="preserve">Raemulan Lands, Inc. </v>
          </cell>
          <cell r="AF589" t="str">
            <v>Agapeya</v>
          </cell>
          <cell r="AG589" t="str">
            <v>AGM</v>
          </cell>
          <cell r="AH589" t="str">
            <v>Eco-High</v>
          </cell>
          <cell r="AI589" t="str">
            <v>West</v>
          </cell>
          <cell r="AJ589" t="str">
            <v>With LTS</v>
          </cell>
          <cell r="AK589" t="str">
            <v>Unaffected lots</v>
          </cell>
          <cell r="AL589" t="str">
            <v>Unaffected lots</v>
          </cell>
          <cell r="AM589" t="b">
            <v>1</v>
          </cell>
          <cell r="AN589" t="str">
            <v>YES</v>
          </cell>
          <cell r="AO589" t="str">
            <v>B2 2025</v>
          </cell>
          <cell r="AP589">
            <v>70</v>
          </cell>
          <cell r="AQ589" t="str">
            <v>PCS-04-034298</v>
          </cell>
          <cell r="AR589" t="b">
            <v>1</v>
          </cell>
          <cell r="AS589" t="str">
            <v>Done</v>
          </cell>
          <cell r="AT589" t="str">
            <v>2025 - Batch 2</v>
          </cell>
          <cell r="AU589">
            <v>26</v>
          </cell>
          <cell r="AV589">
            <v>41</v>
          </cell>
          <cell r="AW589" t="str">
            <v>H+L</v>
          </cell>
          <cell r="AX589">
            <v>70</v>
          </cell>
          <cell r="AY589">
            <v>50</v>
          </cell>
          <cell r="AZ589" t="str">
            <v>Duplex</v>
          </cell>
          <cell r="BA589">
            <v>1</v>
          </cell>
          <cell r="BB589" t="str">
            <v>568 - Without Partition</v>
          </cell>
          <cell r="BC589" t="str">
            <v xml:space="preserve">Without Partition </v>
          </cell>
          <cell r="BD589" t="str">
            <v>Slant</v>
          </cell>
          <cell r="BE589" t="str">
            <v xml:space="preserve">Without Partition </v>
          </cell>
          <cell r="BF589" t="str">
            <v>GREEN</v>
          </cell>
          <cell r="BG589">
            <v>2422034.826150645</v>
          </cell>
          <cell r="BH589">
            <v>2650000</v>
          </cell>
          <cell r="BI589">
            <v>100000</v>
          </cell>
          <cell r="BJ589">
            <v>2550000</v>
          </cell>
          <cell r="BK589">
            <v>0</v>
          </cell>
          <cell r="BL589">
            <v>2550000</v>
          </cell>
        </row>
        <row r="590">
          <cell r="D590" t="str">
            <v>OS</v>
          </cell>
          <cell r="E590"/>
          <cell r="F590">
            <v>570</v>
          </cell>
          <cell r="G590" t="str">
            <v>SOLD</v>
          </cell>
          <cell r="H590" t="str">
            <v>OS</v>
          </cell>
          <cell r="I590" t="str">
            <v>OS</v>
          </cell>
          <cell r="J590" t="str">
            <v>OS</v>
          </cell>
          <cell r="K590" t="str">
            <v>OS</v>
          </cell>
          <cell r="L590" t="str">
            <v>OS</v>
          </cell>
          <cell r="M590" t="str">
            <v>OS</v>
          </cell>
          <cell r="N590" t="str">
            <v>OS</v>
          </cell>
          <cell r="O590" t="str">
            <v>OS</v>
          </cell>
          <cell r="P590" t="str">
            <v>OS</v>
          </cell>
          <cell r="Q590" t="str">
            <v>OS</v>
          </cell>
          <cell r="R590" t="str">
            <v>OS</v>
          </cell>
          <cell r="S590" t="str">
            <v>OS</v>
          </cell>
          <cell r="T590" t="str">
            <v>OS</v>
          </cell>
          <cell r="U590" t="str">
            <v>OS</v>
          </cell>
          <cell r="V590" t="str">
            <v>OS</v>
          </cell>
          <cell r="W590" t="str">
            <v>OS</v>
          </cell>
          <cell r="X590" t="str">
            <v>OS</v>
          </cell>
          <cell r="Y590" t="str">
            <v>OS</v>
          </cell>
          <cell r="Z590" t="str">
            <v>OS</v>
          </cell>
          <cell r="AA590" t="str">
            <v>OS</v>
          </cell>
          <cell r="AB590" t="str">
            <v>OS</v>
          </cell>
          <cell r="AC590" t="str">
            <v>OS</v>
          </cell>
          <cell r="AD590" t="str">
            <v>AGM-01-026-042</v>
          </cell>
          <cell r="AE590" t="str">
            <v xml:space="preserve">Raemulan Lands, Inc. </v>
          </cell>
          <cell r="AF590" t="str">
            <v>Agapeya</v>
          </cell>
          <cell r="AG590" t="str">
            <v>AGM</v>
          </cell>
          <cell r="AH590" t="str">
            <v>Eco-High</v>
          </cell>
          <cell r="AI590" t="str">
            <v>West</v>
          </cell>
          <cell r="AJ590" t="str">
            <v>With LTS</v>
          </cell>
          <cell r="AK590" t="str">
            <v>Unaffected lots</v>
          </cell>
          <cell r="AL590" t="str">
            <v>Unaffected lots</v>
          </cell>
          <cell r="AM590" t="b">
            <v>1</v>
          </cell>
          <cell r="AN590" t="str">
            <v>YES</v>
          </cell>
          <cell r="AO590" t="str">
            <v>B2 2025</v>
          </cell>
          <cell r="AP590">
            <v>70</v>
          </cell>
          <cell r="AQ590" t="str">
            <v>PCS-04-034298</v>
          </cell>
          <cell r="AR590" t="b">
            <v>1</v>
          </cell>
          <cell r="AS590" t="str">
            <v>Done</v>
          </cell>
          <cell r="AT590" t="str">
            <v>2025 - Batch 2</v>
          </cell>
          <cell r="AU590">
            <v>26</v>
          </cell>
          <cell r="AV590">
            <v>42</v>
          </cell>
          <cell r="AW590" t="str">
            <v>H+L</v>
          </cell>
          <cell r="AX590">
            <v>70</v>
          </cell>
          <cell r="AY590">
            <v>50</v>
          </cell>
          <cell r="AZ590" t="str">
            <v>Duplex</v>
          </cell>
          <cell r="BA590">
            <v>1</v>
          </cell>
          <cell r="BB590" t="str">
            <v>568 - Without Partition</v>
          </cell>
          <cell r="BC590" t="str">
            <v xml:space="preserve">Without Partition </v>
          </cell>
          <cell r="BD590" t="str">
            <v>Flat</v>
          </cell>
          <cell r="BE590" t="str">
            <v xml:space="preserve">Without Partition </v>
          </cell>
          <cell r="BF590" t="str">
            <v>GREEN</v>
          </cell>
          <cell r="BG590">
            <v>2500000</v>
          </cell>
          <cell r="BH590">
            <v>2650000</v>
          </cell>
          <cell r="BI590">
            <v>100000</v>
          </cell>
          <cell r="BJ590">
            <v>2550000</v>
          </cell>
          <cell r="BK590">
            <v>0</v>
          </cell>
          <cell r="BL590">
            <v>2550000</v>
          </cell>
        </row>
        <row r="591">
          <cell r="D591" t="str">
            <v>OS</v>
          </cell>
          <cell r="E591"/>
          <cell r="F591">
            <v>571</v>
          </cell>
          <cell r="G591" t="str">
            <v>SOLD</v>
          </cell>
          <cell r="H591" t="str">
            <v>OS</v>
          </cell>
          <cell r="I591" t="str">
            <v>OS</v>
          </cell>
          <cell r="J591" t="str">
            <v>OS</v>
          </cell>
          <cell r="K591" t="str">
            <v>OS</v>
          </cell>
          <cell r="L591" t="str">
            <v>OS</v>
          </cell>
          <cell r="M591" t="str">
            <v>OS</v>
          </cell>
          <cell r="N591" t="str">
            <v>OS</v>
          </cell>
          <cell r="O591" t="str">
            <v>OS</v>
          </cell>
          <cell r="P591" t="str">
            <v>OS</v>
          </cell>
          <cell r="Q591" t="str">
            <v>OS</v>
          </cell>
          <cell r="R591" t="str">
            <v>OS</v>
          </cell>
          <cell r="S591" t="str">
            <v>OS</v>
          </cell>
          <cell r="T591" t="str">
            <v>OS</v>
          </cell>
          <cell r="U591" t="str">
            <v>OS</v>
          </cell>
          <cell r="V591" t="str">
            <v>OS</v>
          </cell>
          <cell r="W591" t="str">
            <v>OS</v>
          </cell>
          <cell r="X591" t="str">
            <v>OS</v>
          </cell>
          <cell r="Y591" t="str">
            <v>OS</v>
          </cell>
          <cell r="Z591" t="str">
            <v>OS</v>
          </cell>
          <cell r="AA591" t="str">
            <v>OS</v>
          </cell>
          <cell r="AB591" t="str">
            <v>OS</v>
          </cell>
          <cell r="AC591" t="str">
            <v>OS</v>
          </cell>
          <cell r="AD591" t="str">
            <v>AGM-01-026-043</v>
          </cell>
          <cell r="AE591" t="str">
            <v xml:space="preserve">Raemulan Lands, Inc. </v>
          </cell>
          <cell r="AF591" t="str">
            <v>Agapeya</v>
          </cell>
          <cell r="AG591" t="str">
            <v>AGM</v>
          </cell>
          <cell r="AH591" t="str">
            <v>Eco-High</v>
          </cell>
          <cell r="AI591" t="str">
            <v>West</v>
          </cell>
          <cell r="AJ591" t="str">
            <v>With LTS</v>
          </cell>
          <cell r="AK591" t="str">
            <v>Unaffected lots</v>
          </cell>
          <cell r="AL591" t="str">
            <v>Unaffected lots</v>
          </cell>
          <cell r="AM591" t="b">
            <v>1</v>
          </cell>
          <cell r="AN591" t="str">
            <v>YES</v>
          </cell>
          <cell r="AO591" t="str">
            <v>B2 2025</v>
          </cell>
          <cell r="AP591">
            <v>70</v>
          </cell>
          <cell r="AQ591" t="str">
            <v>PCS-04-034298</v>
          </cell>
          <cell r="AR591" t="b">
            <v>1</v>
          </cell>
          <cell r="AS591" t="str">
            <v>Done</v>
          </cell>
          <cell r="AT591" t="str">
            <v>2025 - Batch 2</v>
          </cell>
          <cell r="AU591">
            <v>26</v>
          </cell>
          <cell r="AV591">
            <v>43</v>
          </cell>
          <cell r="AW591" t="str">
            <v>H+L</v>
          </cell>
          <cell r="AX591">
            <v>70</v>
          </cell>
          <cell r="AY591">
            <v>50</v>
          </cell>
          <cell r="AZ591" t="str">
            <v>Duplex</v>
          </cell>
          <cell r="BA591">
            <v>1</v>
          </cell>
          <cell r="BB591" t="str">
            <v>568 - Without Partition</v>
          </cell>
          <cell r="BC591" t="str">
            <v xml:space="preserve">Without Partition </v>
          </cell>
          <cell r="BD591" t="str">
            <v>Flat</v>
          </cell>
          <cell r="BE591" t="str">
            <v xml:space="preserve">Without Partition </v>
          </cell>
          <cell r="BF591" t="str">
            <v>GREEN</v>
          </cell>
          <cell r="BG591">
            <v>2500000</v>
          </cell>
          <cell r="BH591">
            <v>2650000</v>
          </cell>
          <cell r="BI591">
            <v>100000</v>
          </cell>
          <cell r="BJ591">
            <v>2550000</v>
          </cell>
          <cell r="BK591">
            <v>0</v>
          </cell>
          <cell r="BL591">
            <v>2550000</v>
          </cell>
        </row>
        <row r="592">
          <cell r="D592" t="str">
            <v>OS</v>
          </cell>
          <cell r="E592"/>
          <cell r="F592">
            <v>572</v>
          </cell>
          <cell r="G592" t="str">
            <v>SOLD</v>
          </cell>
          <cell r="H592" t="str">
            <v>OS</v>
          </cell>
          <cell r="I592" t="str">
            <v>OS</v>
          </cell>
          <cell r="J592" t="str">
            <v>OS</v>
          </cell>
          <cell r="K592" t="str">
            <v>OS</v>
          </cell>
          <cell r="L592" t="str">
            <v>OS</v>
          </cell>
          <cell r="M592" t="str">
            <v>OS</v>
          </cell>
          <cell r="N592" t="str">
            <v>OS</v>
          </cell>
          <cell r="O592" t="str">
            <v>OS</v>
          </cell>
          <cell r="P592" t="str">
            <v>OS</v>
          </cell>
          <cell r="Q592" t="str">
            <v>OS</v>
          </cell>
          <cell r="R592" t="str">
            <v>OS</v>
          </cell>
          <cell r="S592" t="str">
            <v>TS</v>
          </cell>
          <cell r="T592" t="str">
            <v>OS</v>
          </cell>
          <cell r="U592" t="str">
            <v>TS</v>
          </cell>
          <cell r="V592" t="str">
            <v>OS</v>
          </cell>
          <cell r="W592" t="str">
            <v>TS</v>
          </cell>
          <cell r="X592" t="str">
            <v>OS</v>
          </cell>
          <cell r="Y592" t="str">
            <v>OS</v>
          </cell>
          <cell r="Z592" t="str">
            <v>OS</v>
          </cell>
          <cell r="AA592" t="str">
            <v>OS</v>
          </cell>
          <cell r="AB592" t="str">
            <v>OS</v>
          </cell>
          <cell r="AC592" t="str">
            <v>OS</v>
          </cell>
          <cell r="AD592" t="str">
            <v>AGM-01-026-044</v>
          </cell>
          <cell r="AE592" t="str">
            <v xml:space="preserve">Raemulan Lands, Inc. </v>
          </cell>
          <cell r="AF592" t="str">
            <v>Agapeya</v>
          </cell>
          <cell r="AG592" t="str">
            <v>AGM</v>
          </cell>
          <cell r="AH592" t="str">
            <v>Eco-High</v>
          </cell>
          <cell r="AI592" t="str">
            <v>West</v>
          </cell>
          <cell r="AJ592" t="str">
            <v>With LTS</v>
          </cell>
          <cell r="AK592" t="str">
            <v>Unaffected lots</v>
          </cell>
          <cell r="AL592" t="str">
            <v>Unaffected lots</v>
          </cell>
          <cell r="AM592" t="b">
            <v>1</v>
          </cell>
          <cell r="AN592" t="str">
            <v>YES</v>
          </cell>
          <cell r="AO592" t="str">
            <v>B2 2025</v>
          </cell>
          <cell r="AP592">
            <v>80</v>
          </cell>
          <cell r="AQ592" t="str">
            <v>PCS-04-034298</v>
          </cell>
          <cell r="AR592" t="b">
            <v>1</v>
          </cell>
          <cell r="AS592" t="str">
            <v>Done</v>
          </cell>
          <cell r="AT592" t="str">
            <v>2025 - Batch 2</v>
          </cell>
          <cell r="AU592">
            <v>26</v>
          </cell>
          <cell r="AV592">
            <v>44</v>
          </cell>
          <cell r="AW592" t="str">
            <v>H+L</v>
          </cell>
          <cell r="AX592">
            <v>80</v>
          </cell>
          <cell r="AY592">
            <v>50</v>
          </cell>
          <cell r="AZ592" t="str">
            <v>Duplex</v>
          </cell>
          <cell r="BA592">
            <v>1</v>
          </cell>
          <cell r="BB592" t="str">
            <v>568 - Without Partition</v>
          </cell>
          <cell r="BC592" t="str">
            <v xml:space="preserve">Without Partition </v>
          </cell>
          <cell r="BD592" t="str">
            <v>Slant</v>
          </cell>
          <cell r="BE592" t="str">
            <v xml:space="preserve">Without Partition </v>
          </cell>
          <cell r="BF592" t="str">
            <v>GREEN</v>
          </cell>
          <cell r="BG592">
            <v>2700000</v>
          </cell>
          <cell r="BH592">
            <v>2800000</v>
          </cell>
          <cell r="BI592">
            <v>100000</v>
          </cell>
          <cell r="BJ592">
            <v>2700000</v>
          </cell>
          <cell r="BK592">
            <v>0</v>
          </cell>
          <cell r="BL592">
            <v>2700000</v>
          </cell>
        </row>
        <row r="593">
          <cell r="D593" t="str">
            <v>OS</v>
          </cell>
          <cell r="E593"/>
          <cell r="F593">
            <v>573</v>
          </cell>
          <cell r="G593" t="str">
            <v>UNSOLD</v>
          </cell>
          <cell r="H593" t="str">
            <v>OS</v>
          </cell>
          <cell r="I593" t="str">
            <v>OS</v>
          </cell>
          <cell r="J593" t="str">
            <v>OS</v>
          </cell>
          <cell r="K593" t="str">
            <v>OS</v>
          </cell>
          <cell r="L593" t="str">
            <v>OS</v>
          </cell>
          <cell r="M593" t="str">
            <v>OS</v>
          </cell>
          <cell r="N593" t="str">
            <v>OS</v>
          </cell>
          <cell r="O593" t="str">
            <v>OS</v>
          </cell>
          <cell r="P593" t="str">
            <v>OS</v>
          </cell>
          <cell r="Q593" t="str">
            <v>OS</v>
          </cell>
          <cell r="R593" t="str">
            <v>OS</v>
          </cell>
          <cell r="S593" t="str">
            <v>OS</v>
          </cell>
          <cell r="T593" t="str">
            <v>OS</v>
          </cell>
          <cell r="U593" t="str">
            <v>OS</v>
          </cell>
          <cell r="V593" t="str">
            <v>OS</v>
          </cell>
          <cell r="W593" t="str">
            <v>OS</v>
          </cell>
          <cell r="X593" t="str">
            <v>OS</v>
          </cell>
          <cell r="Y593" t="str">
            <v>OS</v>
          </cell>
          <cell r="Z593" t="str">
            <v>OS</v>
          </cell>
          <cell r="AA593" t="str">
            <v>OS</v>
          </cell>
          <cell r="AB593" t="str">
            <v>OS</v>
          </cell>
          <cell r="AC593" t="str">
            <v>OS</v>
          </cell>
          <cell r="AD593" t="str">
            <v>AGM-01-026-045</v>
          </cell>
          <cell r="AE593" t="str">
            <v xml:space="preserve">Raemulan Lands, Inc. </v>
          </cell>
          <cell r="AF593" t="str">
            <v>Agapeya</v>
          </cell>
          <cell r="AG593" t="str">
            <v>AGM</v>
          </cell>
          <cell r="AH593" t="str">
            <v>Eco-High</v>
          </cell>
          <cell r="AI593" t="str">
            <v>West</v>
          </cell>
          <cell r="AJ593" t="str">
            <v>With LTS</v>
          </cell>
          <cell r="AK593" t="str">
            <v>Unaffected lots</v>
          </cell>
          <cell r="AL593" t="str">
            <v>Unaffected lots</v>
          </cell>
          <cell r="AM593" t="b">
            <v>1</v>
          </cell>
          <cell r="AN593" t="str">
            <v>YES</v>
          </cell>
          <cell r="AO593" t="str">
            <v>B2 2025</v>
          </cell>
          <cell r="AP593">
            <v>80</v>
          </cell>
          <cell r="AQ593" t="str">
            <v>PCS-04-034298</v>
          </cell>
          <cell r="AR593" t="b">
            <v>1</v>
          </cell>
          <cell r="AS593" t="str">
            <v>Done</v>
          </cell>
          <cell r="AT593" t="str">
            <v>2025 - Batch 2</v>
          </cell>
          <cell r="AU593">
            <v>26</v>
          </cell>
          <cell r="AV593">
            <v>45</v>
          </cell>
          <cell r="AW593" t="str">
            <v>H+L</v>
          </cell>
          <cell r="AX593">
            <v>80</v>
          </cell>
          <cell r="AY593">
            <v>50</v>
          </cell>
          <cell r="AZ593" t="str">
            <v>Duplex</v>
          </cell>
          <cell r="BA593">
            <v>1</v>
          </cell>
          <cell r="BB593" t="str">
            <v>568 - Without Partition</v>
          </cell>
          <cell r="BC593" t="str">
            <v xml:space="preserve">Without Partition </v>
          </cell>
          <cell r="BD593" t="str">
            <v>Slant</v>
          </cell>
          <cell r="BE593" t="str">
            <v xml:space="preserve">Without Partition </v>
          </cell>
          <cell r="BF593" t="str">
            <v>YELLOW</v>
          </cell>
          <cell r="BG593">
            <v>2422034.826150645</v>
          </cell>
          <cell r="BH593">
            <v>2800000</v>
          </cell>
          <cell r="BI593">
            <v>100000</v>
          </cell>
          <cell r="BJ593">
            <v>2700000</v>
          </cell>
          <cell r="BK593">
            <v>0</v>
          </cell>
          <cell r="BL593">
            <v>2700000</v>
          </cell>
        </row>
        <row r="594">
          <cell r="D594" t="str">
            <v>OS</v>
          </cell>
          <cell r="E594"/>
          <cell r="F594">
            <v>574</v>
          </cell>
          <cell r="G594" t="str">
            <v>SOLD</v>
          </cell>
          <cell r="H594" t="str">
            <v>OS</v>
          </cell>
          <cell r="I594" t="str">
            <v>OS</v>
          </cell>
          <cell r="J594" t="str">
            <v>OS</v>
          </cell>
          <cell r="K594" t="str">
            <v>OS</v>
          </cell>
          <cell r="L594" t="str">
            <v>OS</v>
          </cell>
          <cell r="M594" t="str">
            <v>OS</v>
          </cell>
          <cell r="N594" t="str">
            <v>OS</v>
          </cell>
          <cell r="O594" t="str">
            <v>OS</v>
          </cell>
          <cell r="P594" t="str">
            <v>OS</v>
          </cell>
          <cell r="Q594" t="str">
            <v>OS</v>
          </cell>
          <cell r="R594" t="str">
            <v>OS</v>
          </cell>
          <cell r="S594" t="str">
            <v>OS</v>
          </cell>
          <cell r="T594" t="str">
            <v>OS</v>
          </cell>
          <cell r="U594" t="str">
            <v>OS</v>
          </cell>
          <cell r="V594" t="str">
            <v>OS</v>
          </cell>
          <cell r="W594" t="str">
            <v>OS</v>
          </cell>
          <cell r="X594" t="str">
            <v>OS</v>
          </cell>
          <cell r="Y594" t="str">
            <v>OS</v>
          </cell>
          <cell r="Z594" t="str">
            <v>OS</v>
          </cell>
          <cell r="AA594" t="str">
            <v>OS</v>
          </cell>
          <cell r="AB594" t="str">
            <v>OS</v>
          </cell>
          <cell r="AC594" t="str">
            <v>OS</v>
          </cell>
          <cell r="AD594" t="str">
            <v>AGM-01-026-046</v>
          </cell>
          <cell r="AE594" t="str">
            <v xml:space="preserve">Raemulan Lands, Inc. </v>
          </cell>
          <cell r="AF594" t="str">
            <v>Agapeya</v>
          </cell>
          <cell r="AG594" t="str">
            <v>AGM</v>
          </cell>
          <cell r="AH594" t="str">
            <v>Eco-High</v>
          </cell>
          <cell r="AI594" t="str">
            <v>West</v>
          </cell>
          <cell r="AJ594" t="str">
            <v>With LTS</v>
          </cell>
          <cell r="AK594" t="str">
            <v>Unaffected lots</v>
          </cell>
          <cell r="AL594" t="str">
            <v>Unaffected lots</v>
          </cell>
          <cell r="AM594" t="b">
            <v>1</v>
          </cell>
          <cell r="AN594" t="str">
            <v>YES</v>
          </cell>
          <cell r="AO594" t="str">
            <v>B2 2025</v>
          </cell>
          <cell r="AP594">
            <v>80</v>
          </cell>
          <cell r="AQ594" t="str">
            <v>PCS-04-034298</v>
          </cell>
          <cell r="AR594" t="b">
            <v>1</v>
          </cell>
          <cell r="AS594" t="str">
            <v>Done</v>
          </cell>
          <cell r="AT594" t="str">
            <v>2025 - Batch 2</v>
          </cell>
          <cell r="AU594">
            <v>26</v>
          </cell>
          <cell r="AV594">
            <v>46</v>
          </cell>
          <cell r="AW594" t="str">
            <v>H+L</v>
          </cell>
          <cell r="AX594">
            <v>80</v>
          </cell>
          <cell r="AY594">
            <v>50</v>
          </cell>
          <cell r="AZ594" t="str">
            <v>Duplex</v>
          </cell>
          <cell r="BA594">
            <v>1</v>
          </cell>
          <cell r="BB594" t="str">
            <v>568 - Without Partition</v>
          </cell>
          <cell r="BC594" t="str">
            <v xml:space="preserve">Without Partition </v>
          </cell>
          <cell r="BD594" t="str">
            <v>Flat</v>
          </cell>
          <cell r="BE594" t="str">
            <v xml:space="preserve">Without Partition </v>
          </cell>
          <cell r="BF594" t="str">
            <v>YELLOW</v>
          </cell>
          <cell r="BG594">
            <v>2422034.826150645</v>
          </cell>
          <cell r="BH594">
            <v>2800000</v>
          </cell>
          <cell r="BI594">
            <v>100000</v>
          </cell>
          <cell r="BJ594">
            <v>2700000</v>
          </cell>
          <cell r="BK594">
            <v>0</v>
          </cell>
          <cell r="BL594">
            <v>2700000</v>
          </cell>
        </row>
        <row r="595">
          <cell r="D595" t="str">
            <v>OPEN</v>
          </cell>
          <cell r="E595"/>
          <cell r="F595">
            <v>575</v>
          </cell>
          <cell r="G595" t="str">
            <v>SOLD</v>
          </cell>
          <cell r="H595" t="str">
            <v>OS</v>
          </cell>
          <cell r="I595" t="str">
            <v>OS</v>
          </cell>
          <cell r="J595" t="str">
            <v>OS</v>
          </cell>
          <cell r="K595" t="str">
            <v>OS</v>
          </cell>
          <cell r="L595" t="str">
            <v>OS</v>
          </cell>
          <cell r="M595" t="str">
            <v>OS</v>
          </cell>
          <cell r="N595" t="str">
            <v>OS</v>
          </cell>
          <cell r="O595" t="str">
            <v>OS</v>
          </cell>
          <cell r="P595" t="str">
            <v>OS</v>
          </cell>
          <cell r="Q595" t="str">
            <v>OS</v>
          </cell>
          <cell r="R595" t="str">
            <v>OS</v>
          </cell>
          <cell r="S595" t="str">
            <v>OS</v>
          </cell>
          <cell r="T595" t="str">
            <v>OS</v>
          </cell>
          <cell r="U595" t="str">
            <v>OS</v>
          </cell>
          <cell r="V595" t="str">
            <v>OS</v>
          </cell>
          <cell r="W595" t="str">
            <v>OS</v>
          </cell>
          <cell r="X595" t="str">
            <v>FOR CANCELLATION</v>
          </cell>
          <cell r="Y595" t="str">
            <v>FOR CANCELLATION</v>
          </cell>
          <cell r="Z595" t="str">
            <v>OPEN</v>
          </cell>
          <cell r="AA595" t="str">
            <v>OS</v>
          </cell>
          <cell r="AB595" t="str">
            <v>FOR CANCELLATION</v>
          </cell>
          <cell r="AC595" t="str">
            <v>FOR CANCELLATION</v>
          </cell>
          <cell r="AD595" t="str">
            <v>AGM-01-026-047</v>
          </cell>
          <cell r="AE595" t="str">
            <v xml:space="preserve">Raemulan Lands, Inc. </v>
          </cell>
          <cell r="AF595" t="str">
            <v>Agapeya</v>
          </cell>
          <cell r="AG595" t="str">
            <v>AGM</v>
          </cell>
          <cell r="AH595" t="str">
            <v>Eco-High</v>
          </cell>
          <cell r="AI595" t="str">
            <v>West</v>
          </cell>
          <cell r="AJ595" t="str">
            <v>With LTS</v>
          </cell>
          <cell r="AK595" t="str">
            <v>Unaffected lots</v>
          </cell>
          <cell r="AL595" t="str">
            <v>Unaffected lots</v>
          </cell>
          <cell r="AM595" t="b">
            <v>1</v>
          </cell>
          <cell r="AN595" t="str">
            <v>YES</v>
          </cell>
          <cell r="AO595" t="str">
            <v>B2 - Lot Only</v>
          </cell>
          <cell r="AP595">
            <v>119</v>
          </cell>
          <cell r="AQ595" t="str">
            <v>PCS-04-034298</v>
          </cell>
          <cell r="AR595" t="b">
            <v>1</v>
          </cell>
          <cell r="AS595" t="str">
            <v>Done</v>
          </cell>
          <cell r="AT595" t="str">
            <v>Lot Only - N/A</v>
          </cell>
          <cell r="AU595">
            <v>26</v>
          </cell>
          <cell r="AV595">
            <v>47</v>
          </cell>
          <cell r="AW595" t="str">
            <v>LO</v>
          </cell>
          <cell r="AX595">
            <v>119</v>
          </cell>
          <cell r="AY595" t="str">
            <v>N/A</v>
          </cell>
          <cell r="AZ595" t="str">
            <v>Lot Only</v>
          </cell>
          <cell r="BA595" t="str">
            <v>NA</v>
          </cell>
          <cell r="BB595" t="str">
            <v>N/A</v>
          </cell>
          <cell r="BC595" t="str">
            <v>N/A - LOT ONLY</v>
          </cell>
          <cell r="BD595" t="str">
            <v>-</v>
          </cell>
          <cell r="BE595" t="str">
            <v>N/A - LOT ONLY</v>
          </cell>
          <cell r="BF595" t="str">
            <v>N/A - LOT ONLY</v>
          </cell>
          <cell r="BG595">
            <v>1593750</v>
          </cell>
          <cell r="BH595">
            <v>1885000</v>
          </cell>
          <cell r="BI595">
            <v>100000</v>
          </cell>
          <cell r="BJ595">
            <v>1785000</v>
          </cell>
          <cell r="BK595">
            <v>191250</v>
          </cell>
          <cell r="BL595">
            <v>1593750</v>
          </cell>
        </row>
        <row r="596">
          <cell r="D596" t="str">
            <v>OS</v>
          </cell>
          <cell r="E596"/>
          <cell r="F596">
            <v>576</v>
          </cell>
          <cell r="G596" t="str">
            <v>SOLD</v>
          </cell>
          <cell r="H596" t="str">
            <v>OS</v>
          </cell>
          <cell r="I596" t="str">
            <v>OS</v>
          </cell>
          <cell r="J596" t="str">
            <v>OS</v>
          </cell>
          <cell r="K596" t="str">
            <v>OS</v>
          </cell>
          <cell r="L596" t="str">
            <v>OS</v>
          </cell>
          <cell r="M596" t="str">
            <v>OS</v>
          </cell>
          <cell r="N596" t="str">
            <v>OS</v>
          </cell>
          <cell r="O596" t="str">
            <v>OS</v>
          </cell>
          <cell r="P596" t="str">
            <v>OS</v>
          </cell>
          <cell r="Q596" t="str">
            <v>OS</v>
          </cell>
          <cell r="R596" t="str">
            <v>OS</v>
          </cell>
          <cell r="S596" t="str">
            <v>OS</v>
          </cell>
          <cell r="T596" t="str">
            <v>OS</v>
          </cell>
          <cell r="U596" t="str">
            <v>OS</v>
          </cell>
          <cell r="V596" t="str">
            <v>OS</v>
          </cell>
          <cell r="W596" t="str">
            <v>OS</v>
          </cell>
          <cell r="X596" t="str">
            <v>OS</v>
          </cell>
          <cell r="Y596" t="str">
            <v>OS</v>
          </cell>
          <cell r="Z596" t="str">
            <v>OS</v>
          </cell>
          <cell r="AA596" t="str">
            <v>OS</v>
          </cell>
          <cell r="AB596" t="str">
            <v>OS</v>
          </cell>
          <cell r="AC596" t="str">
            <v>OS</v>
          </cell>
          <cell r="AD596" t="str">
            <v>AGM-01-027-001</v>
          </cell>
          <cell r="AE596" t="str">
            <v xml:space="preserve">Raemulan Lands, Inc. </v>
          </cell>
          <cell r="AF596" t="str">
            <v>Agapeya</v>
          </cell>
          <cell r="AG596" t="str">
            <v>AGM</v>
          </cell>
          <cell r="AH596" t="str">
            <v>Eco-High</v>
          </cell>
          <cell r="AI596" t="str">
            <v>West</v>
          </cell>
          <cell r="AJ596" t="str">
            <v>With LTS</v>
          </cell>
          <cell r="AK596" t="str">
            <v>Unaffected lots</v>
          </cell>
          <cell r="AL596" t="str">
            <v>Unaffected lots</v>
          </cell>
          <cell r="AM596" t="b">
            <v>1</v>
          </cell>
          <cell r="AN596" t="str">
            <v>YES</v>
          </cell>
          <cell r="AO596" t="str">
            <v>2024 Batch</v>
          </cell>
          <cell r="AP596">
            <v>100</v>
          </cell>
          <cell r="AQ596" t="str">
            <v>PCS-04-034298</v>
          </cell>
          <cell r="AR596" t="b">
            <v>1</v>
          </cell>
          <cell r="AS596" t="str">
            <v>Done</v>
          </cell>
          <cell r="AT596" t="str">
            <v>2024 Batch</v>
          </cell>
          <cell r="AU596">
            <v>27</v>
          </cell>
          <cell r="AV596">
            <v>1</v>
          </cell>
          <cell r="AW596" t="str">
            <v>H+L</v>
          </cell>
          <cell r="AX596">
            <v>100</v>
          </cell>
          <cell r="AY596">
            <v>50</v>
          </cell>
          <cell r="AZ596" t="str">
            <v>Duplex</v>
          </cell>
          <cell r="BA596">
            <v>1</v>
          </cell>
          <cell r="BB596" t="str">
            <v>326 - With Partition</v>
          </cell>
          <cell r="BC596" t="str">
            <v xml:space="preserve">Without Partition </v>
          </cell>
          <cell r="BD596" t="str">
            <v>Slant</v>
          </cell>
          <cell r="BE596" t="str">
            <v>With Partition</v>
          </cell>
          <cell r="BF596" t="str">
            <v>GREEN</v>
          </cell>
          <cell r="BG596">
            <v>3000000</v>
          </cell>
          <cell r="BH596">
            <v>3300000</v>
          </cell>
          <cell r="BI596">
            <v>100000</v>
          </cell>
          <cell r="BJ596">
            <v>3200000</v>
          </cell>
          <cell r="BK596">
            <v>0</v>
          </cell>
          <cell r="BL596">
            <v>3200000</v>
          </cell>
        </row>
        <row r="597">
          <cell r="D597" t="str">
            <v>OS</v>
          </cell>
          <cell r="E597"/>
          <cell r="F597">
            <v>577</v>
          </cell>
          <cell r="G597" t="str">
            <v>SOLD</v>
          </cell>
          <cell r="H597" t="str">
            <v>OS</v>
          </cell>
          <cell r="I597" t="str">
            <v>OS</v>
          </cell>
          <cell r="J597" t="str">
            <v>OS</v>
          </cell>
          <cell r="K597" t="str">
            <v>OS</v>
          </cell>
          <cell r="L597" t="str">
            <v>OS</v>
          </cell>
          <cell r="M597" t="str">
            <v>OS</v>
          </cell>
          <cell r="N597" t="str">
            <v>OS</v>
          </cell>
          <cell r="O597" t="str">
            <v>OS</v>
          </cell>
          <cell r="P597" t="str">
            <v>OS</v>
          </cell>
          <cell r="Q597" t="str">
            <v>OS</v>
          </cell>
          <cell r="R597" t="str">
            <v>OS</v>
          </cell>
          <cell r="S597" t="str">
            <v>OS</v>
          </cell>
          <cell r="T597" t="str">
            <v>OS</v>
          </cell>
          <cell r="U597" t="str">
            <v>OS</v>
          </cell>
          <cell r="V597" t="str">
            <v>OS</v>
          </cell>
          <cell r="W597" t="str">
            <v>OS</v>
          </cell>
          <cell r="X597" t="str">
            <v>OS</v>
          </cell>
          <cell r="Y597" t="str">
            <v>OS</v>
          </cell>
          <cell r="Z597" t="str">
            <v>OS</v>
          </cell>
          <cell r="AA597" t="str">
            <v>OS</v>
          </cell>
          <cell r="AB597" t="str">
            <v>OS</v>
          </cell>
          <cell r="AC597" t="str">
            <v>OS</v>
          </cell>
          <cell r="AD597" t="str">
            <v>AGM-01-027-002</v>
          </cell>
          <cell r="AE597" t="str">
            <v xml:space="preserve">Raemulan Lands, Inc. </v>
          </cell>
          <cell r="AF597" t="str">
            <v>Agapeya</v>
          </cell>
          <cell r="AG597" t="str">
            <v>AGM</v>
          </cell>
          <cell r="AH597" t="str">
            <v>Eco-High</v>
          </cell>
          <cell r="AI597" t="str">
            <v>West</v>
          </cell>
          <cell r="AJ597" t="str">
            <v>With LTS</v>
          </cell>
          <cell r="AK597" t="str">
            <v>Unaffected lots</v>
          </cell>
          <cell r="AL597" t="str">
            <v>Unaffected lots</v>
          </cell>
          <cell r="AM597" t="b">
            <v>1</v>
          </cell>
          <cell r="AN597" t="str">
            <v>YES</v>
          </cell>
          <cell r="AO597" t="str">
            <v>2024 Batch</v>
          </cell>
          <cell r="AP597">
            <v>80</v>
          </cell>
          <cell r="AQ597" t="str">
            <v>PCS-04-034298</v>
          </cell>
          <cell r="AR597" t="b">
            <v>1</v>
          </cell>
          <cell r="AS597" t="str">
            <v>Done</v>
          </cell>
          <cell r="AT597" t="str">
            <v>2024 Batch</v>
          </cell>
          <cell r="AU597">
            <v>27</v>
          </cell>
          <cell r="AV597">
            <v>2</v>
          </cell>
          <cell r="AW597" t="str">
            <v>H+L</v>
          </cell>
          <cell r="AX597">
            <v>80</v>
          </cell>
          <cell r="AY597">
            <v>50</v>
          </cell>
          <cell r="AZ597" t="str">
            <v>Duplex</v>
          </cell>
          <cell r="BA597">
            <v>1</v>
          </cell>
          <cell r="BB597" t="str">
            <v>326 - With Partition</v>
          </cell>
          <cell r="BC597" t="str">
            <v>With Partition</v>
          </cell>
          <cell r="BD597" t="str">
            <v>Flat</v>
          </cell>
          <cell r="BE597" t="str">
            <v>With Partition</v>
          </cell>
          <cell r="BF597" t="str">
            <v>GREEN</v>
          </cell>
          <cell r="BG597">
            <v>2850000</v>
          </cell>
          <cell r="BH597">
            <v>3000000</v>
          </cell>
          <cell r="BI597">
            <v>100000</v>
          </cell>
          <cell r="BJ597">
            <v>2900000</v>
          </cell>
          <cell r="BK597">
            <v>0</v>
          </cell>
          <cell r="BL597">
            <v>2900000</v>
          </cell>
        </row>
        <row r="598">
          <cell r="D598" t="str">
            <v>OS</v>
          </cell>
          <cell r="E598"/>
          <cell r="F598">
            <v>578</v>
          </cell>
          <cell r="G598" t="str">
            <v>SOLD</v>
          </cell>
          <cell r="H598" t="str">
            <v>OS</v>
          </cell>
          <cell r="I598" t="str">
            <v>OS</v>
          </cell>
          <cell r="J598" t="str">
            <v>OS</v>
          </cell>
          <cell r="K598" t="str">
            <v>OS</v>
          </cell>
          <cell r="L598" t="str">
            <v>OS</v>
          </cell>
          <cell r="M598" t="str">
            <v>OS</v>
          </cell>
          <cell r="N598" t="str">
            <v>OS</v>
          </cell>
          <cell r="O598" t="str">
            <v>OS</v>
          </cell>
          <cell r="P598" t="str">
            <v>OS</v>
          </cell>
          <cell r="Q598" t="str">
            <v>OS</v>
          </cell>
          <cell r="R598" t="str">
            <v>OS</v>
          </cell>
          <cell r="S598" t="str">
            <v>OS</v>
          </cell>
          <cell r="T598" t="str">
            <v>OS</v>
          </cell>
          <cell r="U598" t="str">
            <v>OS</v>
          </cell>
          <cell r="V598" t="str">
            <v>OS</v>
          </cell>
          <cell r="W598" t="str">
            <v>OS</v>
          </cell>
          <cell r="X598" t="str">
            <v>OS</v>
          </cell>
          <cell r="Y598" t="str">
            <v>OS</v>
          </cell>
          <cell r="Z598" t="str">
            <v>OS</v>
          </cell>
          <cell r="AA598" t="str">
            <v>OS</v>
          </cell>
          <cell r="AB598" t="str">
            <v>OS</v>
          </cell>
          <cell r="AC598" t="str">
            <v>OS</v>
          </cell>
          <cell r="AD598" t="str">
            <v>AGM-01-027-003</v>
          </cell>
          <cell r="AE598" t="str">
            <v xml:space="preserve">Raemulan Lands, Inc. </v>
          </cell>
          <cell r="AF598" t="str">
            <v>Agapeya</v>
          </cell>
          <cell r="AG598" t="str">
            <v>AGM</v>
          </cell>
          <cell r="AH598" t="str">
            <v>Eco-High</v>
          </cell>
          <cell r="AI598" t="str">
            <v>West</v>
          </cell>
          <cell r="AJ598" t="str">
            <v>With LTS</v>
          </cell>
          <cell r="AK598" t="str">
            <v>Unaffected lots</v>
          </cell>
          <cell r="AL598" t="str">
            <v>Unaffected lots</v>
          </cell>
          <cell r="AM598" t="b">
            <v>1</v>
          </cell>
          <cell r="AN598" t="str">
            <v>YES</v>
          </cell>
          <cell r="AO598" t="str">
            <v>2024 Batch</v>
          </cell>
          <cell r="AP598">
            <v>80</v>
          </cell>
          <cell r="AQ598" t="str">
            <v>PCS-04-034298</v>
          </cell>
          <cell r="AR598" t="b">
            <v>1</v>
          </cell>
          <cell r="AS598" t="str">
            <v>Done</v>
          </cell>
          <cell r="AT598" t="str">
            <v>2024 Batch</v>
          </cell>
          <cell r="AU598">
            <v>27</v>
          </cell>
          <cell r="AV598">
            <v>3</v>
          </cell>
          <cell r="AW598" t="str">
            <v>H+L</v>
          </cell>
          <cell r="AX598">
            <v>80</v>
          </cell>
          <cell r="AY598">
            <v>50</v>
          </cell>
          <cell r="AZ598" t="str">
            <v>Duplex</v>
          </cell>
          <cell r="BA598">
            <v>1</v>
          </cell>
          <cell r="BB598" t="str">
            <v>326 - With Partition</v>
          </cell>
          <cell r="BC598" t="str">
            <v>With Partition</v>
          </cell>
          <cell r="BD598" t="str">
            <v>Flat</v>
          </cell>
          <cell r="BE598" t="str">
            <v>With Partition</v>
          </cell>
          <cell r="BF598" t="str">
            <v>PURPLE</v>
          </cell>
          <cell r="BG598">
            <v>2750000</v>
          </cell>
          <cell r="BH598">
            <v>3000000</v>
          </cell>
          <cell r="BI598">
            <v>100000</v>
          </cell>
          <cell r="BJ598">
            <v>2900000</v>
          </cell>
          <cell r="BK598">
            <v>0</v>
          </cell>
          <cell r="BL598">
            <v>2900000</v>
          </cell>
        </row>
        <row r="599">
          <cell r="D599" t="str">
            <v>OS</v>
          </cell>
          <cell r="E599"/>
          <cell r="F599">
            <v>579</v>
          </cell>
          <cell r="G599" t="str">
            <v>SOLD</v>
          </cell>
          <cell r="H599" t="str">
            <v>OS</v>
          </cell>
          <cell r="I599" t="str">
            <v>OS</v>
          </cell>
          <cell r="J599" t="str">
            <v>OS</v>
          </cell>
          <cell r="K599" t="str">
            <v>OS</v>
          </cell>
          <cell r="L599" t="str">
            <v>OS</v>
          </cell>
          <cell r="M599" t="str">
            <v>OS</v>
          </cell>
          <cell r="N599" t="str">
            <v>OS</v>
          </cell>
          <cell r="O599" t="str">
            <v>OS</v>
          </cell>
          <cell r="P599" t="str">
            <v>OS</v>
          </cell>
          <cell r="Q599" t="str">
            <v>OS</v>
          </cell>
          <cell r="R599" t="str">
            <v>OS</v>
          </cell>
          <cell r="S599" t="str">
            <v>OS</v>
          </cell>
          <cell r="T599" t="str">
            <v>OS</v>
          </cell>
          <cell r="U599" t="str">
            <v>OS</v>
          </cell>
          <cell r="V599" t="str">
            <v>OS</v>
          </cell>
          <cell r="W599" t="str">
            <v>OS</v>
          </cell>
          <cell r="X599" t="str">
            <v>OS</v>
          </cell>
          <cell r="Y599" t="str">
            <v>OS</v>
          </cell>
          <cell r="Z599" t="str">
            <v>OS</v>
          </cell>
          <cell r="AA599" t="str">
            <v>OS</v>
          </cell>
          <cell r="AB599" t="str">
            <v>OS</v>
          </cell>
          <cell r="AC599" t="str">
            <v>OS</v>
          </cell>
          <cell r="AD599" t="str">
            <v>AGM-01-027-004</v>
          </cell>
          <cell r="AE599" t="str">
            <v xml:space="preserve">Raemulan Lands, Inc. </v>
          </cell>
          <cell r="AF599" t="str">
            <v>Agapeya</v>
          </cell>
          <cell r="AG599" t="str">
            <v>AGM</v>
          </cell>
          <cell r="AH599" t="str">
            <v>Eco-High</v>
          </cell>
          <cell r="AI599" t="str">
            <v>West</v>
          </cell>
          <cell r="AJ599" t="str">
            <v>With LTS</v>
          </cell>
          <cell r="AK599" t="str">
            <v>Unaffected lots</v>
          </cell>
          <cell r="AL599" t="str">
            <v>Unaffected lots</v>
          </cell>
          <cell r="AM599" t="b">
            <v>1</v>
          </cell>
          <cell r="AN599" t="str">
            <v>YES</v>
          </cell>
          <cell r="AO599" t="str">
            <v>2024 Batch</v>
          </cell>
          <cell r="AP599">
            <v>80</v>
          </cell>
          <cell r="AQ599" t="str">
            <v>PCS-04-034298</v>
          </cell>
          <cell r="AR599" t="b">
            <v>1</v>
          </cell>
          <cell r="AS599" t="str">
            <v>Done</v>
          </cell>
          <cell r="AT599" t="str">
            <v>2024 Batch</v>
          </cell>
          <cell r="AU599">
            <v>27</v>
          </cell>
          <cell r="AV599">
            <v>4</v>
          </cell>
          <cell r="AW599" t="str">
            <v>H+L</v>
          </cell>
          <cell r="AX599">
            <v>80</v>
          </cell>
          <cell r="AY599">
            <v>50</v>
          </cell>
          <cell r="AZ599" t="str">
            <v>Duplex</v>
          </cell>
          <cell r="BA599">
            <v>1</v>
          </cell>
          <cell r="BB599" t="str">
            <v>326 - With Partition</v>
          </cell>
          <cell r="BC599" t="str">
            <v xml:space="preserve">Without Partition </v>
          </cell>
          <cell r="BD599" t="str">
            <v>Slant</v>
          </cell>
          <cell r="BE599" t="str">
            <v xml:space="preserve">Without Partition </v>
          </cell>
          <cell r="BF599" t="str">
            <v>PURPLE</v>
          </cell>
          <cell r="BG599">
            <v>2650000</v>
          </cell>
          <cell r="BH599">
            <v>2800000</v>
          </cell>
          <cell r="BI599">
            <v>100000</v>
          </cell>
          <cell r="BJ599">
            <v>2700000</v>
          </cell>
          <cell r="BK599">
            <v>0</v>
          </cell>
          <cell r="BL599">
            <v>2700000</v>
          </cell>
        </row>
        <row r="600">
          <cell r="D600" t="str">
            <v>OS</v>
          </cell>
          <cell r="E600"/>
          <cell r="F600">
            <v>580</v>
          </cell>
          <cell r="G600" t="str">
            <v>SOLD</v>
          </cell>
          <cell r="H600" t="str">
            <v>OS</v>
          </cell>
          <cell r="I600" t="str">
            <v>OS</v>
          </cell>
          <cell r="J600" t="str">
            <v>OS</v>
          </cell>
          <cell r="K600" t="str">
            <v>OS</v>
          </cell>
          <cell r="L600" t="str">
            <v>OS</v>
          </cell>
          <cell r="M600" t="str">
            <v>OS</v>
          </cell>
          <cell r="N600" t="str">
            <v>OS</v>
          </cell>
          <cell r="O600" t="str">
            <v>OS</v>
          </cell>
          <cell r="P600" t="str">
            <v>OS</v>
          </cell>
          <cell r="Q600" t="str">
            <v>OS</v>
          </cell>
          <cell r="R600" t="str">
            <v>OS</v>
          </cell>
          <cell r="S600" t="str">
            <v>OS</v>
          </cell>
          <cell r="T600" t="str">
            <v>OS</v>
          </cell>
          <cell r="U600" t="str">
            <v>OS</v>
          </cell>
          <cell r="V600" t="str">
            <v>OS</v>
          </cell>
          <cell r="W600" t="str">
            <v>OS</v>
          </cell>
          <cell r="X600" t="str">
            <v>OS</v>
          </cell>
          <cell r="Y600" t="str">
            <v>OS</v>
          </cell>
          <cell r="Z600" t="str">
            <v>OS</v>
          </cell>
          <cell r="AA600" t="str">
            <v>OS</v>
          </cell>
          <cell r="AB600" t="str">
            <v>OS</v>
          </cell>
          <cell r="AC600" t="str">
            <v>OS</v>
          </cell>
          <cell r="AD600" t="str">
            <v>AGM-01-027-005</v>
          </cell>
          <cell r="AE600" t="str">
            <v xml:space="preserve">Raemulan Lands, Inc. </v>
          </cell>
          <cell r="AF600" t="str">
            <v>Agapeya</v>
          </cell>
          <cell r="AG600" t="str">
            <v>AGM</v>
          </cell>
          <cell r="AH600" t="str">
            <v>Eco-High</v>
          </cell>
          <cell r="AI600" t="str">
            <v>West</v>
          </cell>
          <cell r="AJ600" t="str">
            <v>With LTS</v>
          </cell>
          <cell r="AK600" t="str">
            <v>Unaffected lots</v>
          </cell>
          <cell r="AL600" t="str">
            <v>Unaffected lots</v>
          </cell>
          <cell r="AM600" t="b">
            <v>1</v>
          </cell>
          <cell r="AN600" t="str">
            <v>YES</v>
          </cell>
          <cell r="AO600" t="str">
            <v>2024 Batch</v>
          </cell>
          <cell r="AP600">
            <v>70</v>
          </cell>
          <cell r="AQ600" t="str">
            <v>PCS-04-034298</v>
          </cell>
          <cell r="AR600" t="b">
            <v>1</v>
          </cell>
          <cell r="AS600" t="str">
            <v>Done</v>
          </cell>
          <cell r="AT600" t="str">
            <v>2024 Batch</v>
          </cell>
          <cell r="AU600">
            <v>27</v>
          </cell>
          <cell r="AV600">
            <v>5</v>
          </cell>
          <cell r="AW600" t="str">
            <v>H+L</v>
          </cell>
          <cell r="AX600">
            <v>70</v>
          </cell>
          <cell r="AY600">
            <v>50</v>
          </cell>
          <cell r="AZ600" t="str">
            <v>Duplex</v>
          </cell>
          <cell r="BA600">
            <v>1</v>
          </cell>
          <cell r="BB600" t="str">
            <v>326 - With Partition</v>
          </cell>
          <cell r="BC600" t="str">
            <v>With Partition</v>
          </cell>
          <cell r="BD600" t="str">
            <v>Slant</v>
          </cell>
          <cell r="BE600" t="str">
            <v>With Partition</v>
          </cell>
          <cell r="BF600" t="str">
            <v>PURPLE</v>
          </cell>
          <cell r="BG600">
            <v>2707500</v>
          </cell>
          <cell r="BH600">
            <v>2850000</v>
          </cell>
          <cell r="BI600">
            <v>100000</v>
          </cell>
          <cell r="BJ600">
            <v>2750000</v>
          </cell>
          <cell r="BK600">
            <v>0</v>
          </cell>
          <cell r="BL600">
            <v>2750000</v>
          </cell>
        </row>
        <row r="601">
          <cell r="D601" t="str">
            <v>OS</v>
          </cell>
          <cell r="E601"/>
          <cell r="F601">
            <v>581</v>
          </cell>
          <cell r="G601" t="str">
            <v>SOLD</v>
          </cell>
          <cell r="H601" t="str">
            <v>OS</v>
          </cell>
          <cell r="I601" t="str">
            <v>OS</v>
          </cell>
          <cell r="J601" t="str">
            <v>OS</v>
          </cell>
          <cell r="K601" t="str">
            <v>OS</v>
          </cell>
          <cell r="L601" t="str">
            <v>OS</v>
          </cell>
          <cell r="M601" t="str">
            <v>OS</v>
          </cell>
          <cell r="N601" t="str">
            <v>OS</v>
          </cell>
          <cell r="O601" t="str">
            <v>OS</v>
          </cell>
          <cell r="P601" t="str">
            <v>OS</v>
          </cell>
          <cell r="Q601" t="str">
            <v>OS</v>
          </cell>
          <cell r="R601" t="str">
            <v>OS</v>
          </cell>
          <cell r="S601" t="str">
            <v>OS</v>
          </cell>
          <cell r="T601" t="str">
            <v>OS</v>
          </cell>
          <cell r="U601" t="str">
            <v>OS</v>
          </cell>
          <cell r="V601" t="str">
            <v>OS</v>
          </cell>
          <cell r="W601" t="str">
            <v>OS</v>
          </cell>
          <cell r="X601" t="str">
            <v>OS</v>
          </cell>
          <cell r="Y601" t="str">
            <v>OS</v>
          </cell>
          <cell r="Z601" t="str">
            <v>OS</v>
          </cell>
          <cell r="AA601" t="str">
            <v>OS</v>
          </cell>
          <cell r="AB601" t="str">
            <v>OS</v>
          </cell>
          <cell r="AC601" t="str">
            <v>OS</v>
          </cell>
          <cell r="AD601" t="str">
            <v>AGM-01-027-006</v>
          </cell>
          <cell r="AE601" t="str">
            <v xml:space="preserve">Raemulan Lands, Inc. </v>
          </cell>
          <cell r="AF601" t="str">
            <v>Agapeya</v>
          </cell>
          <cell r="AG601" t="str">
            <v>AGM</v>
          </cell>
          <cell r="AH601" t="str">
            <v>Eco-High</v>
          </cell>
          <cell r="AI601" t="str">
            <v>West</v>
          </cell>
          <cell r="AJ601" t="str">
            <v>With LTS</v>
          </cell>
          <cell r="AK601" t="str">
            <v>Unaffected lots</v>
          </cell>
          <cell r="AL601" t="str">
            <v>Unaffected lots</v>
          </cell>
          <cell r="AM601" t="b">
            <v>1</v>
          </cell>
          <cell r="AN601" t="str">
            <v>YES</v>
          </cell>
          <cell r="AO601" t="str">
            <v>2024 Batch</v>
          </cell>
          <cell r="AP601">
            <v>70</v>
          </cell>
          <cell r="AQ601" t="str">
            <v>PCS-04-034298</v>
          </cell>
          <cell r="AR601" t="b">
            <v>1</v>
          </cell>
          <cell r="AS601" t="str">
            <v>Done</v>
          </cell>
          <cell r="AT601" t="str">
            <v>2024 Batch</v>
          </cell>
          <cell r="AU601">
            <v>27</v>
          </cell>
          <cell r="AV601">
            <v>6</v>
          </cell>
          <cell r="AW601" t="str">
            <v>H+L</v>
          </cell>
          <cell r="AX601">
            <v>70</v>
          </cell>
          <cell r="AY601">
            <v>50</v>
          </cell>
          <cell r="AZ601" t="str">
            <v>Duplex</v>
          </cell>
          <cell r="BA601">
            <v>1</v>
          </cell>
          <cell r="BB601" t="str">
            <v>326 - With Partition</v>
          </cell>
          <cell r="BC601" t="str">
            <v>With Partition</v>
          </cell>
          <cell r="BD601" t="str">
            <v>Flat</v>
          </cell>
          <cell r="BE601" t="str">
            <v>With Partition</v>
          </cell>
          <cell r="BF601" t="str">
            <v>PURPLE</v>
          </cell>
          <cell r="BG601">
            <v>2707500</v>
          </cell>
          <cell r="BH601">
            <v>2850000</v>
          </cell>
          <cell r="BI601">
            <v>100000</v>
          </cell>
          <cell r="BJ601">
            <v>2750000</v>
          </cell>
          <cell r="BK601">
            <v>0</v>
          </cell>
          <cell r="BL601">
            <v>2750000</v>
          </cell>
        </row>
        <row r="602">
          <cell r="D602" t="str">
            <v>TS</v>
          </cell>
          <cell r="E602"/>
          <cell r="F602">
            <v>582</v>
          </cell>
          <cell r="G602" t="str">
            <v>SOLD</v>
          </cell>
          <cell r="H602" t="str">
            <v>OS</v>
          </cell>
          <cell r="I602" t="str">
            <v>OS</v>
          </cell>
          <cell r="J602" t="str">
            <v>OS</v>
          </cell>
          <cell r="K602" t="str">
            <v>OS</v>
          </cell>
          <cell r="L602" t="str">
            <v>OS</v>
          </cell>
          <cell r="M602" t="str">
            <v>OS</v>
          </cell>
          <cell r="N602" t="str">
            <v>OS</v>
          </cell>
          <cell r="O602" t="str">
            <v>OS</v>
          </cell>
          <cell r="P602" t="str">
            <v>OS</v>
          </cell>
          <cell r="Q602" t="str">
            <v>OS</v>
          </cell>
          <cell r="R602" t="str">
            <v>OS</v>
          </cell>
          <cell r="S602" t="str">
            <v>OS</v>
          </cell>
          <cell r="T602" t="str">
            <v>OS</v>
          </cell>
          <cell r="U602" t="str">
            <v>OS</v>
          </cell>
          <cell r="V602" t="str">
            <v>OS</v>
          </cell>
          <cell r="W602" t="str">
            <v>OS</v>
          </cell>
          <cell r="X602" t="str">
            <v>OS</v>
          </cell>
          <cell r="Y602" t="str">
            <v>FOR CANCELLATION</v>
          </cell>
          <cell r="Z602" t="str">
            <v>TS</v>
          </cell>
          <cell r="AA602" t="str">
            <v>TS</v>
          </cell>
          <cell r="AB602" t="str">
            <v>FOR CANCELLATION</v>
          </cell>
          <cell r="AC602" t="str">
            <v>FOR CANCELLATION</v>
          </cell>
          <cell r="AD602" t="str">
            <v>AGM-01-027-007</v>
          </cell>
          <cell r="AE602" t="str">
            <v xml:space="preserve">Raemulan Lands, Inc. </v>
          </cell>
          <cell r="AF602" t="str">
            <v>Agapeya</v>
          </cell>
          <cell r="AG602" t="str">
            <v>AGM</v>
          </cell>
          <cell r="AH602" t="str">
            <v>Eco-High</v>
          </cell>
          <cell r="AI602" t="str">
            <v>West</v>
          </cell>
          <cell r="AJ602" t="str">
            <v>With LTS</v>
          </cell>
          <cell r="AK602" t="str">
            <v>Unaffected lots</v>
          </cell>
          <cell r="AL602" t="str">
            <v>Unaffected lots</v>
          </cell>
          <cell r="AM602" t="b">
            <v>1</v>
          </cell>
          <cell r="AN602" t="str">
            <v>YES</v>
          </cell>
          <cell r="AO602" t="str">
            <v>2024 Batch</v>
          </cell>
          <cell r="AP602">
            <v>70</v>
          </cell>
          <cell r="AQ602" t="str">
            <v>PCS-04-034298</v>
          </cell>
          <cell r="AR602" t="b">
            <v>1</v>
          </cell>
          <cell r="AS602" t="str">
            <v>Done</v>
          </cell>
          <cell r="AT602" t="str">
            <v>2024 Batch</v>
          </cell>
          <cell r="AU602">
            <v>27</v>
          </cell>
          <cell r="AV602">
            <v>7</v>
          </cell>
          <cell r="AW602" t="str">
            <v>H+L</v>
          </cell>
          <cell r="AX602">
            <v>70</v>
          </cell>
          <cell r="AY602">
            <v>50</v>
          </cell>
          <cell r="AZ602" t="str">
            <v>Duplex</v>
          </cell>
          <cell r="BA602">
            <v>1</v>
          </cell>
          <cell r="BB602" t="str">
            <v>326 - With Partition</v>
          </cell>
          <cell r="BC602" t="str">
            <v>With Partition</v>
          </cell>
          <cell r="BD602" t="str">
            <v>Flat</v>
          </cell>
          <cell r="BE602" t="str">
            <v>With Partition</v>
          </cell>
          <cell r="BF602" t="str">
            <v>PINK</v>
          </cell>
          <cell r="BG602">
            <v>2707500</v>
          </cell>
          <cell r="BH602">
            <v>2850000</v>
          </cell>
          <cell r="BI602">
            <v>100000</v>
          </cell>
          <cell r="BJ602">
            <v>2750000</v>
          </cell>
          <cell r="BK602">
            <v>0</v>
          </cell>
          <cell r="BL602">
            <v>2750000</v>
          </cell>
        </row>
        <row r="603">
          <cell r="D603" t="str">
            <v>OS</v>
          </cell>
          <cell r="E603"/>
          <cell r="F603">
            <v>583</v>
          </cell>
          <cell r="G603" t="str">
            <v>SOLD</v>
          </cell>
          <cell r="H603" t="str">
            <v>OS</v>
          </cell>
          <cell r="I603" t="str">
            <v>OS</v>
          </cell>
          <cell r="J603" t="str">
            <v>OS</v>
          </cell>
          <cell r="K603" t="str">
            <v>OS</v>
          </cell>
          <cell r="L603" t="str">
            <v>OS</v>
          </cell>
          <cell r="M603" t="str">
            <v>OS</v>
          </cell>
          <cell r="N603" t="str">
            <v>OS</v>
          </cell>
          <cell r="O603" t="str">
            <v>OS</v>
          </cell>
          <cell r="P603" t="str">
            <v>OS</v>
          </cell>
          <cell r="Q603" t="str">
            <v>OS</v>
          </cell>
          <cell r="R603" t="str">
            <v>OS</v>
          </cell>
          <cell r="S603" t="str">
            <v>OS</v>
          </cell>
          <cell r="T603" t="str">
            <v>OS</v>
          </cell>
          <cell r="U603" t="str">
            <v>OS</v>
          </cell>
          <cell r="V603" t="str">
            <v>OS</v>
          </cell>
          <cell r="W603" t="str">
            <v>OS</v>
          </cell>
          <cell r="X603" t="str">
            <v>OS</v>
          </cell>
          <cell r="Y603" t="str">
            <v>OS</v>
          </cell>
          <cell r="Z603" t="str">
            <v>OS</v>
          </cell>
          <cell r="AA603" t="str">
            <v>OS</v>
          </cell>
          <cell r="AB603" t="str">
            <v>OS</v>
          </cell>
          <cell r="AC603" t="str">
            <v>OS</v>
          </cell>
          <cell r="AD603" t="str">
            <v>AGM-01-027-008</v>
          </cell>
          <cell r="AE603" t="str">
            <v xml:space="preserve">Raemulan Lands, Inc. </v>
          </cell>
          <cell r="AF603" t="str">
            <v>Agapeya</v>
          </cell>
          <cell r="AG603" t="str">
            <v>AGM</v>
          </cell>
          <cell r="AH603" t="str">
            <v>Eco-High</v>
          </cell>
          <cell r="AI603" t="str">
            <v>West</v>
          </cell>
          <cell r="AJ603" t="str">
            <v>With LTS</v>
          </cell>
          <cell r="AK603" t="str">
            <v>Unaffected lots</v>
          </cell>
          <cell r="AL603" t="str">
            <v>Unaffected lots</v>
          </cell>
          <cell r="AM603" t="b">
            <v>1</v>
          </cell>
          <cell r="AN603" t="str">
            <v>YES</v>
          </cell>
          <cell r="AO603" t="str">
            <v>2024 Batch</v>
          </cell>
          <cell r="AP603">
            <v>70</v>
          </cell>
          <cell r="AQ603" t="str">
            <v>PCS-04-034298</v>
          </cell>
          <cell r="AR603" t="b">
            <v>1</v>
          </cell>
          <cell r="AS603" t="str">
            <v>Done</v>
          </cell>
          <cell r="AT603" t="str">
            <v>2024 Batch</v>
          </cell>
          <cell r="AU603">
            <v>27</v>
          </cell>
          <cell r="AV603">
            <v>8</v>
          </cell>
          <cell r="AW603" t="str">
            <v>H+L</v>
          </cell>
          <cell r="AX603">
            <v>70</v>
          </cell>
          <cell r="AY603">
            <v>50</v>
          </cell>
          <cell r="AZ603" t="str">
            <v>Duplex</v>
          </cell>
          <cell r="BA603">
            <v>1</v>
          </cell>
          <cell r="BB603" t="str">
            <v>326 - With Partition</v>
          </cell>
          <cell r="BC603" t="str">
            <v>With Partition</v>
          </cell>
          <cell r="BD603" t="str">
            <v>Slant</v>
          </cell>
          <cell r="BE603" t="str">
            <v>With Partition</v>
          </cell>
          <cell r="BF603" t="str">
            <v>PINK</v>
          </cell>
          <cell r="BG603">
            <v>2707500</v>
          </cell>
          <cell r="BH603">
            <v>2850000</v>
          </cell>
          <cell r="BI603">
            <v>100000</v>
          </cell>
          <cell r="BJ603">
            <v>2750000</v>
          </cell>
          <cell r="BK603">
            <v>0</v>
          </cell>
          <cell r="BL603">
            <v>2750000</v>
          </cell>
        </row>
        <row r="604">
          <cell r="D604" t="str">
            <v>OS</v>
          </cell>
          <cell r="E604"/>
          <cell r="F604">
            <v>584</v>
          </cell>
          <cell r="G604" t="str">
            <v>SOLD</v>
          </cell>
          <cell r="H604" t="str">
            <v>OS</v>
          </cell>
          <cell r="I604" t="str">
            <v>OS</v>
          </cell>
          <cell r="J604" t="str">
            <v>OS</v>
          </cell>
          <cell r="K604" t="str">
            <v>OS</v>
          </cell>
          <cell r="L604" t="str">
            <v>OS</v>
          </cell>
          <cell r="M604" t="str">
            <v>OS</v>
          </cell>
          <cell r="N604" t="str">
            <v>OS</v>
          </cell>
          <cell r="O604" t="str">
            <v>OS</v>
          </cell>
          <cell r="P604" t="str">
            <v>OS</v>
          </cell>
          <cell r="Q604" t="str">
            <v>OS</v>
          </cell>
          <cell r="R604" t="str">
            <v>OS</v>
          </cell>
          <cell r="S604" t="str">
            <v>OS</v>
          </cell>
          <cell r="T604" t="str">
            <v>OS</v>
          </cell>
          <cell r="U604" t="str">
            <v>OS</v>
          </cell>
          <cell r="V604" t="str">
            <v>OS</v>
          </cell>
          <cell r="W604" t="str">
            <v>OS</v>
          </cell>
          <cell r="X604" t="str">
            <v>OS</v>
          </cell>
          <cell r="Y604" t="str">
            <v>OS</v>
          </cell>
          <cell r="Z604" t="str">
            <v>OS</v>
          </cell>
          <cell r="AA604" t="str">
            <v>OS</v>
          </cell>
          <cell r="AB604" t="str">
            <v>OS</v>
          </cell>
          <cell r="AC604" t="str">
            <v>OS</v>
          </cell>
          <cell r="AD604" t="str">
            <v>AGM-01-027-009</v>
          </cell>
          <cell r="AE604" t="str">
            <v xml:space="preserve">Raemulan Lands, Inc. </v>
          </cell>
          <cell r="AF604" t="str">
            <v>Agapeya</v>
          </cell>
          <cell r="AG604" t="str">
            <v>AGM</v>
          </cell>
          <cell r="AH604" t="str">
            <v>Eco-High</v>
          </cell>
          <cell r="AI604" t="str">
            <v>West</v>
          </cell>
          <cell r="AJ604" t="str">
            <v>With LTS</v>
          </cell>
          <cell r="AK604" t="str">
            <v>Unaffected lots</v>
          </cell>
          <cell r="AL604" t="str">
            <v>Unaffected lots</v>
          </cell>
          <cell r="AM604" t="b">
            <v>1</v>
          </cell>
          <cell r="AN604" t="str">
            <v>YES</v>
          </cell>
          <cell r="AO604" t="str">
            <v>2024 Batch</v>
          </cell>
          <cell r="AP604">
            <v>70</v>
          </cell>
          <cell r="AQ604" t="str">
            <v>PCS-04-034298</v>
          </cell>
          <cell r="AR604" t="b">
            <v>1</v>
          </cell>
          <cell r="AS604" t="str">
            <v>Done</v>
          </cell>
          <cell r="AT604" t="str">
            <v>2024 Batch</v>
          </cell>
          <cell r="AU604">
            <v>27</v>
          </cell>
          <cell r="AV604">
            <v>9</v>
          </cell>
          <cell r="AW604" t="str">
            <v>H+L</v>
          </cell>
          <cell r="AX604">
            <v>70</v>
          </cell>
          <cell r="AY604">
            <v>50</v>
          </cell>
          <cell r="AZ604" t="str">
            <v>Duplex</v>
          </cell>
          <cell r="BA604">
            <v>1</v>
          </cell>
          <cell r="BB604" t="str">
            <v>326 - With Partition</v>
          </cell>
          <cell r="BC604" t="str">
            <v>With Partition</v>
          </cell>
          <cell r="BD604" t="str">
            <v>Slant</v>
          </cell>
          <cell r="BE604" t="str">
            <v>With Partition</v>
          </cell>
          <cell r="BF604" t="str">
            <v>PINK</v>
          </cell>
          <cell r="BG604">
            <v>2707500</v>
          </cell>
          <cell r="BH604">
            <v>2850000</v>
          </cell>
          <cell r="BI604">
            <v>100000</v>
          </cell>
          <cell r="BJ604">
            <v>2750000</v>
          </cell>
          <cell r="BK604">
            <v>0</v>
          </cell>
          <cell r="BL604">
            <v>2750000</v>
          </cell>
        </row>
        <row r="605">
          <cell r="D605" t="str">
            <v>OS</v>
          </cell>
          <cell r="E605"/>
          <cell r="F605">
            <v>585</v>
          </cell>
          <cell r="G605" t="str">
            <v>SOLD</v>
          </cell>
          <cell r="H605" t="str">
            <v>OS</v>
          </cell>
          <cell r="I605" t="str">
            <v>OS</v>
          </cell>
          <cell r="J605" t="str">
            <v>OS</v>
          </cell>
          <cell r="K605" t="str">
            <v>OS</v>
          </cell>
          <cell r="L605" t="str">
            <v>OS</v>
          </cell>
          <cell r="M605" t="str">
            <v>OS</v>
          </cell>
          <cell r="N605" t="str">
            <v>OS</v>
          </cell>
          <cell r="O605" t="str">
            <v>OS</v>
          </cell>
          <cell r="P605" t="str">
            <v>OS</v>
          </cell>
          <cell r="Q605" t="str">
            <v>OS</v>
          </cell>
          <cell r="R605" t="str">
            <v>OS</v>
          </cell>
          <cell r="S605" t="str">
            <v>OS</v>
          </cell>
          <cell r="T605" t="str">
            <v>OS</v>
          </cell>
          <cell r="U605" t="str">
            <v>OS</v>
          </cell>
          <cell r="V605" t="str">
            <v>OS</v>
          </cell>
          <cell r="W605" t="str">
            <v>OS</v>
          </cell>
          <cell r="X605" t="str">
            <v>OS</v>
          </cell>
          <cell r="Y605" t="str">
            <v>OS</v>
          </cell>
          <cell r="Z605" t="str">
            <v>OS</v>
          </cell>
          <cell r="AA605" t="str">
            <v>OS</v>
          </cell>
          <cell r="AB605" t="str">
            <v>OS</v>
          </cell>
          <cell r="AC605" t="str">
            <v>OS</v>
          </cell>
          <cell r="AD605" t="str">
            <v>AGM-01-027-010</v>
          </cell>
          <cell r="AE605" t="str">
            <v xml:space="preserve">Raemulan Lands, Inc. </v>
          </cell>
          <cell r="AF605" t="str">
            <v>Agapeya</v>
          </cell>
          <cell r="AG605" t="str">
            <v>AGM</v>
          </cell>
          <cell r="AH605" t="str">
            <v>Eco-High</v>
          </cell>
          <cell r="AI605" t="str">
            <v>West</v>
          </cell>
          <cell r="AJ605" t="str">
            <v>With LTS</v>
          </cell>
          <cell r="AK605" t="str">
            <v>Unaffected lots</v>
          </cell>
          <cell r="AL605" t="str">
            <v>Unaffected lots</v>
          </cell>
          <cell r="AM605" t="b">
            <v>1</v>
          </cell>
          <cell r="AN605" t="str">
            <v>YES</v>
          </cell>
          <cell r="AO605" t="str">
            <v>2024 Batch</v>
          </cell>
          <cell r="AP605">
            <v>70</v>
          </cell>
          <cell r="AQ605" t="str">
            <v>PCS-04-034298</v>
          </cell>
          <cell r="AR605" t="b">
            <v>1</v>
          </cell>
          <cell r="AS605" t="str">
            <v>Done</v>
          </cell>
          <cell r="AT605" t="str">
            <v>2024 Batch</v>
          </cell>
          <cell r="AU605">
            <v>27</v>
          </cell>
          <cell r="AV605">
            <v>10</v>
          </cell>
          <cell r="AW605" t="str">
            <v>H+L</v>
          </cell>
          <cell r="AX605">
            <v>70</v>
          </cell>
          <cell r="AY605">
            <v>50</v>
          </cell>
          <cell r="AZ605" t="str">
            <v>Duplex</v>
          </cell>
          <cell r="BA605">
            <v>1</v>
          </cell>
          <cell r="BB605" t="str">
            <v>326 - With Partition</v>
          </cell>
          <cell r="BC605" t="str">
            <v>With Partition</v>
          </cell>
          <cell r="BD605" t="str">
            <v>Flat</v>
          </cell>
          <cell r="BE605" t="str">
            <v>With Partition</v>
          </cell>
          <cell r="BF605" t="str">
            <v>PINK</v>
          </cell>
          <cell r="BG605">
            <v>2707500</v>
          </cell>
          <cell r="BH605">
            <v>2850000</v>
          </cell>
          <cell r="BI605">
            <v>100000</v>
          </cell>
          <cell r="BJ605">
            <v>2750000</v>
          </cell>
          <cell r="BK605">
            <v>0</v>
          </cell>
          <cell r="BL605">
            <v>2750000</v>
          </cell>
        </row>
        <row r="606">
          <cell r="D606" t="str">
            <v>OS</v>
          </cell>
          <cell r="E606"/>
          <cell r="F606">
            <v>586</v>
          </cell>
          <cell r="G606" t="str">
            <v>SOLD</v>
          </cell>
          <cell r="H606" t="str">
            <v>OS</v>
          </cell>
          <cell r="I606" t="str">
            <v>OS</v>
          </cell>
          <cell r="J606" t="str">
            <v>OS</v>
          </cell>
          <cell r="K606" t="str">
            <v>OS</v>
          </cell>
          <cell r="L606" t="str">
            <v>OS</v>
          </cell>
          <cell r="M606" t="str">
            <v>OS</v>
          </cell>
          <cell r="N606" t="str">
            <v>OS</v>
          </cell>
          <cell r="O606" t="str">
            <v>OS</v>
          </cell>
          <cell r="P606" t="str">
            <v>OS</v>
          </cell>
          <cell r="Q606" t="str">
            <v>OS</v>
          </cell>
          <cell r="R606" t="str">
            <v>OS</v>
          </cell>
          <cell r="S606" t="str">
            <v>OS</v>
          </cell>
          <cell r="T606" t="str">
            <v>OS</v>
          </cell>
          <cell r="U606" t="str">
            <v>OS</v>
          </cell>
          <cell r="V606" t="str">
            <v>OS</v>
          </cell>
          <cell r="W606" t="str">
            <v>OS</v>
          </cell>
          <cell r="X606" t="str">
            <v>OS</v>
          </cell>
          <cell r="Y606" t="str">
            <v>OS</v>
          </cell>
          <cell r="Z606" t="str">
            <v>OS</v>
          </cell>
          <cell r="AA606" t="str">
            <v>OS</v>
          </cell>
          <cell r="AB606" t="str">
            <v>OS</v>
          </cell>
          <cell r="AC606" t="str">
            <v>OS</v>
          </cell>
          <cell r="AD606" t="str">
            <v>AGM-01-027-011</v>
          </cell>
          <cell r="AE606" t="str">
            <v xml:space="preserve">Raemulan Lands, Inc. </v>
          </cell>
          <cell r="AF606" t="str">
            <v>Agapeya</v>
          </cell>
          <cell r="AG606" t="str">
            <v>AGM</v>
          </cell>
          <cell r="AH606" t="str">
            <v>Eco-High</v>
          </cell>
          <cell r="AI606" t="str">
            <v>West</v>
          </cell>
          <cell r="AJ606" t="str">
            <v>With LTS</v>
          </cell>
          <cell r="AK606" t="str">
            <v>Unaffected lots</v>
          </cell>
          <cell r="AL606" t="str">
            <v>Unaffected lots</v>
          </cell>
          <cell r="AM606" t="b">
            <v>1</v>
          </cell>
          <cell r="AN606" t="str">
            <v>YES</v>
          </cell>
          <cell r="AO606" t="str">
            <v>2024 Batch</v>
          </cell>
          <cell r="AP606">
            <v>70</v>
          </cell>
          <cell r="AQ606" t="str">
            <v>PCS-04-034298</v>
          </cell>
          <cell r="AR606" t="b">
            <v>1</v>
          </cell>
          <cell r="AS606" t="str">
            <v>Done</v>
          </cell>
          <cell r="AT606" t="str">
            <v>2024 Batch</v>
          </cell>
          <cell r="AU606">
            <v>27</v>
          </cell>
          <cell r="AV606">
            <v>11</v>
          </cell>
          <cell r="AW606" t="str">
            <v>H+L</v>
          </cell>
          <cell r="AX606">
            <v>70</v>
          </cell>
          <cell r="AY606">
            <v>50</v>
          </cell>
          <cell r="AZ606" t="str">
            <v>Duplex</v>
          </cell>
          <cell r="BA606">
            <v>1</v>
          </cell>
          <cell r="BB606" t="str">
            <v>326 - With Partition</v>
          </cell>
          <cell r="BC606" t="str">
            <v>With Partition</v>
          </cell>
          <cell r="BD606" t="str">
            <v>Flat</v>
          </cell>
          <cell r="BE606" t="str">
            <v>With Partition</v>
          </cell>
          <cell r="BF606" t="str">
            <v>YELLOW</v>
          </cell>
          <cell r="BG606">
            <v>2707500</v>
          </cell>
          <cell r="BH606">
            <v>2850000</v>
          </cell>
          <cell r="BI606">
            <v>100000</v>
          </cell>
          <cell r="BJ606">
            <v>2750000</v>
          </cell>
          <cell r="BK606">
            <v>0</v>
          </cell>
          <cell r="BL606">
            <v>2750000</v>
          </cell>
        </row>
        <row r="607">
          <cell r="D607" t="str">
            <v>OS</v>
          </cell>
          <cell r="E607"/>
          <cell r="F607">
            <v>587</v>
          </cell>
          <cell r="G607" t="str">
            <v>SOLD</v>
          </cell>
          <cell r="H607" t="str">
            <v>OS</v>
          </cell>
          <cell r="I607" t="str">
            <v>OS</v>
          </cell>
          <cell r="J607" t="str">
            <v>OS</v>
          </cell>
          <cell r="K607" t="str">
            <v>OS</v>
          </cell>
          <cell r="L607" t="str">
            <v>OS</v>
          </cell>
          <cell r="M607" t="str">
            <v>OS</v>
          </cell>
          <cell r="N607" t="str">
            <v>OS</v>
          </cell>
          <cell r="O607" t="str">
            <v>OS</v>
          </cell>
          <cell r="P607" t="str">
            <v>OS</v>
          </cell>
          <cell r="Q607" t="str">
            <v>OS</v>
          </cell>
          <cell r="R607" t="str">
            <v>OS</v>
          </cell>
          <cell r="S607" t="str">
            <v>OS</v>
          </cell>
          <cell r="T607" t="str">
            <v>OS</v>
          </cell>
          <cell r="U607" t="str">
            <v>OS</v>
          </cell>
          <cell r="V607" t="str">
            <v>OS</v>
          </cell>
          <cell r="W607" t="str">
            <v>OS</v>
          </cell>
          <cell r="X607" t="str">
            <v>OS</v>
          </cell>
          <cell r="Y607" t="str">
            <v>OS</v>
          </cell>
          <cell r="Z607" t="str">
            <v>OS</v>
          </cell>
          <cell r="AA607" t="str">
            <v>OS</v>
          </cell>
          <cell r="AB607" t="str">
            <v>OS</v>
          </cell>
          <cell r="AC607" t="str">
            <v>OS</v>
          </cell>
          <cell r="AD607" t="str">
            <v>AGM-01-027-012</v>
          </cell>
          <cell r="AE607" t="str">
            <v xml:space="preserve">Raemulan Lands, Inc. </v>
          </cell>
          <cell r="AF607" t="str">
            <v>Agapeya</v>
          </cell>
          <cell r="AG607" t="str">
            <v>AGM</v>
          </cell>
          <cell r="AH607" t="str">
            <v>Eco-High</v>
          </cell>
          <cell r="AI607" t="str">
            <v>West</v>
          </cell>
          <cell r="AJ607" t="str">
            <v>With LTS</v>
          </cell>
          <cell r="AK607" t="str">
            <v>Unaffected lots</v>
          </cell>
          <cell r="AL607" t="str">
            <v>Unaffected lots</v>
          </cell>
          <cell r="AM607" t="b">
            <v>1</v>
          </cell>
          <cell r="AN607" t="str">
            <v>YES</v>
          </cell>
          <cell r="AO607" t="str">
            <v>2024 Batch</v>
          </cell>
          <cell r="AP607">
            <v>70</v>
          </cell>
          <cell r="AQ607" t="str">
            <v>PCS-04-034298</v>
          </cell>
          <cell r="AR607" t="b">
            <v>1</v>
          </cell>
          <cell r="AS607" t="str">
            <v>Done</v>
          </cell>
          <cell r="AT607" t="str">
            <v>2024 Batch</v>
          </cell>
          <cell r="AU607">
            <v>27</v>
          </cell>
          <cell r="AV607">
            <v>12</v>
          </cell>
          <cell r="AW607" t="str">
            <v>H+L</v>
          </cell>
          <cell r="AX607">
            <v>70</v>
          </cell>
          <cell r="AY607">
            <v>50</v>
          </cell>
          <cell r="AZ607" t="str">
            <v>Duplex</v>
          </cell>
          <cell r="BA607">
            <v>1</v>
          </cell>
          <cell r="BB607" t="str">
            <v>326 - With Partition</v>
          </cell>
          <cell r="BC607" t="str">
            <v>With Partition</v>
          </cell>
          <cell r="BD607" t="str">
            <v>Slant</v>
          </cell>
          <cell r="BE607" t="str">
            <v>With Partition</v>
          </cell>
          <cell r="BF607" t="str">
            <v>YELLOW</v>
          </cell>
          <cell r="BG607">
            <v>2707500</v>
          </cell>
          <cell r="BH607">
            <v>2850000</v>
          </cell>
          <cell r="BI607">
            <v>100000</v>
          </cell>
          <cell r="BJ607">
            <v>2750000</v>
          </cell>
          <cell r="BK607">
            <v>0</v>
          </cell>
          <cell r="BL607">
            <v>2750000</v>
          </cell>
        </row>
        <row r="608">
          <cell r="D608" t="str">
            <v>OS</v>
          </cell>
          <cell r="E608"/>
          <cell r="F608">
            <v>588</v>
          </cell>
          <cell r="G608" t="str">
            <v>SOLD</v>
          </cell>
          <cell r="H608" t="str">
            <v>OS</v>
          </cell>
          <cell r="I608" t="str">
            <v>OS</v>
          </cell>
          <cell r="J608" t="str">
            <v>OS</v>
          </cell>
          <cell r="K608" t="str">
            <v>OS</v>
          </cell>
          <cell r="L608" t="str">
            <v>OS</v>
          </cell>
          <cell r="M608" t="str">
            <v>OS</v>
          </cell>
          <cell r="N608" t="str">
            <v>OS</v>
          </cell>
          <cell r="O608" t="str">
            <v>OS</v>
          </cell>
          <cell r="P608" t="str">
            <v>OS</v>
          </cell>
          <cell r="Q608" t="str">
            <v>OS</v>
          </cell>
          <cell r="R608" t="str">
            <v>OS</v>
          </cell>
          <cell r="S608" t="str">
            <v>OS</v>
          </cell>
          <cell r="T608" t="str">
            <v>OS</v>
          </cell>
          <cell r="U608" t="str">
            <v>OS</v>
          </cell>
          <cell r="V608" t="str">
            <v>OS</v>
          </cell>
          <cell r="W608" t="str">
            <v>OS</v>
          </cell>
          <cell r="X608" t="str">
            <v>OS</v>
          </cell>
          <cell r="Y608" t="str">
            <v>OS</v>
          </cell>
          <cell r="Z608" t="str">
            <v>OS</v>
          </cell>
          <cell r="AA608" t="str">
            <v>OS</v>
          </cell>
          <cell r="AB608" t="str">
            <v>OS</v>
          </cell>
          <cell r="AC608" t="str">
            <v>OS</v>
          </cell>
          <cell r="AD608" t="str">
            <v>AGM-01-027-013</v>
          </cell>
          <cell r="AE608" t="str">
            <v xml:space="preserve">Raemulan Lands, Inc. </v>
          </cell>
          <cell r="AF608" t="str">
            <v>Agapeya</v>
          </cell>
          <cell r="AG608" t="str">
            <v>AGM</v>
          </cell>
          <cell r="AH608" t="str">
            <v>Eco-High</v>
          </cell>
          <cell r="AI608" t="str">
            <v>West</v>
          </cell>
          <cell r="AJ608" t="str">
            <v>With LTS</v>
          </cell>
          <cell r="AK608" t="str">
            <v>Unaffected lots</v>
          </cell>
          <cell r="AL608" t="str">
            <v>Unaffected lots</v>
          </cell>
          <cell r="AM608" t="b">
            <v>1</v>
          </cell>
          <cell r="AN608" t="str">
            <v>YES</v>
          </cell>
          <cell r="AO608" t="str">
            <v>2024 Batch</v>
          </cell>
          <cell r="AP608">
            <v>70</v>
          </cell>
          <cell r="AQ608" t="str">
            <v>PCS-04-034298</v>
          </cell>
          <cell r="AR608" t="b">
            <v>1</v>
          </cell>
          <cell r="AS608" t="str">
            <v>Done</v>
          </cell>
          <cell r="AT608" t="str">
            <v>2024 Batch</v>
          </cell>
          <cell r="AU608">
            <v>27</v>
          </cell>
          <cell r="AV608">
            <v>13</v>
          </cell>
          <cell r="AW608" t="str">
            <v>H+L</v>
          </cell>
          <cell r="AX608">
            <v>70</v>
          </cell>
          <cell r="AY608">
            <v>50</v>
          </cell>
          <cell r="AZ608" t="str">
            <v>Duplex</v>
          </cell>
          <cell r="BA608">
            <v>1</v>
          </cell>
          <cell r="BB608" t="str">
            <v>326 - With Partition</v>
          </cell>
          <cell r="BC608" t="str">
            <v>With Partition</v>
          </cell>
          <cell r="BD608" t="str">
            <v>Slant</v>
          </cell>
          <cell r="BE608" t="str">
            <v>With Partition</v>
          </cell>
          <cell r="BF608" t="str">
            <v>YELLOW</v>
          </cell>
          <cell r="BG608">
            <v>2707500</v>
          </cell>
          <cell r="BH608">
            <v>2850000</v>
          </cell>
          <cell r="BI608">
            <v>100000</v>
          </cell>
          <cell r="BJ608">
            <v>2750000</v>
          </cell>
          <cell r="BK608">
            <v>0</v>
          </cell>
          <cell r="BL608">
            <v>2750000</v>
          </cell>
        </row>
        <row r="609">
          <cell r="D609" t="str">
            <v>OS</v>
          </cell>
          <cell r="E609"/>
          <cell r="F609">
            <v>589</v>
          </cell>
          <cell r="G609" t="str">
            <v>SOLD</v>
          </cell>
          <cell r="H609" t="str">
            <v>OS</v>
          </cell>
          <cell r="I609" t="str">
            <v>OS</v>
          </cell>
          <cell r="J609" t="str">
            <v>OS</v>
          </cell>
          <cell r="K609" t="str">
            <v>OS</v>
          </cell>
          <cell r="L609" t="str">
            <v>OS</v>
          </cell>
          <cell r="M609" t="str">
            <v>OS</v>
          </cell>
          <cell r="N609" t="str">
            <v>OS</v>
          </cell>
          <cell r="O609" t="str">
            <v>OS</v>
          </cell>
          <cell r="P609" t="str">
            <v>OS</v>
          </cell>
          <cell r="Q609" t="str">
            <v>OS</v>
          </cell>
          <cell r="R609" t="str">
            <v>OS</v>
          </cell>
          <cell r="S609" t="str">
            <v>OS</v>
          </cell>
          <cell r="T609" t="str">
            <v>OS</v>
          </cell>
          <cell r="U609" t="str">
            <v>OS</v>
          </cell>
          <cell r="V609" t="str">
            <v>OS</v>
          </cell>
          <cell r="W609" t="str">
            <v>OS</v>
          </cell>
          <cell r="X609" t="str">
            <v>OS</v>
          </cell>
          <cell r="Y609" t="str">
            <v>OS</v>
          </cell>
          <cell r="Z609" t="str">
            <v>OS</v>
          </cell>
          <cell r="AA609" t="str">
            <v>OS</v>
          </cell>
          <cell r="AB609" t="str">
            <v>OS</v>
          </cell>
          <cell r="AC609" t="str">
            <v>OS</v>
          </cell>
          <cell r="AD609" t="str">
            <v>AGM-01-027-014</v>
          </cell>
          <cell r="AE609" t="str">
            <v xml:space="preserve">Raemulan Lands, Inc. </v>
          </cell>
          <cell r="AF609" t="str">
            <v>Agapeya</v>
          </cell>
          <cell r="AG609" t="str">
            <v>AGM</v>
          </cell>
          <cell r="AH609" t="str">
            <v>Eco-High</v>
          </cell>
          <cell r="AI609" t="str">
            <v>West</v>
          </cell>
          <cell r="AJ609" t="str">
            <v>With LTS</v>
          </cell>
          <cell r="AK609" t="str">
            <v>Unaffected lots</v>
          </cell>
          <cell r="AL609" t="str">
            <v>Unaffected lots</v>
          </cell>
          <cell r="AM609" t="b">
            <v>1</v>
          </cell>
          <cell r="AN609" t="str">
            <v>YES</v>
          </cell>
          <cell r="AO609" t="str">
            <v>2024 Batch</v>
          </cell>
          <cell r="AP609">
            <v>70</v>
          </cell>
          <cell r="AQ609" t="str">
            <v>PCS-04-034298</v>
          </cell>
          <cell r="AR609" t="b">
            <v>1</v>
          </cell>
          <cell r="AS609" t="str">
            <v>Done</v>
          </cell>
          <cell r="AT609" t="str">
            <v>2024 Batch</v>
          </cell>
          <cell r="AU609">
            <v>27</v>
          </cell>
          <cell r="AV609">
            <v>14</v>
          </cell>
          <cell r="AW609" t="str">
            <v>H+L</v>
          </cell>
          <cell r="AX609">
            <v>70</v>
          </cell>
          <cell r="AY609">
            <v>50</v>
          </cell>
          <cell r="AZ609" t="str">
            <v>Duplex</v>
          </cell>
          <cell r="BA609">
            <v>1</v>
          </cell>
          <cell r="BB609" t="str">
            <v>326 - With Partition</v>
          </cell>
          <cell r="BC609" t="str">
            <v xml:space="preserve">Without Partition </v>
          </cell>
          <cell r="BD609" t="str">
            <v>Flat</v>
          </cell>
          <cell r="BE609" t="str">
            <v xml:space="preserve">Without Partition </v>
          </cell>
          <cell r="BF609" t="str">
            <v>YELLOW</v>
          </cell>
          <cell r="BG609">
            <v>2500000</v>
          </cell>
          <cell r="BH609">
            <v>2650000</v>
          </cell>
          <cell r="BI609">
            <v>100000</v>
          </cell>
          <cell r="BJ609">
            <v>2550000</v>
          </cell>
          <cell r="BK609">
            <v>0</v>
          </cell>
          <cell r="BL609">
            <v>2550000</v>
          </cell>
        </row>
        <row r="610">
          <cell r="D610" t="str">
            <v>OS</v>
          </cell>
          <cell r="E610"/>
          <cell r="F610">
            <v>590</v>
          </cell>
          <cell r="G610" t="str">
            <v>SOLD</v>
          </cell>
          <cell r="H610" t="str">
            <v>OS</v>
          </cell>
          <cell r="I610" t="str">
            <v>OS</v>
          </cell>
          <cell r="J610" t="str">
            <v>OS</v>
          </cell>
          <cell r="K610" t="str">
            <v>OS</v>
          </cell>
          <cell r="L610" t="str">
            <v>OS</v>
          </cell>
          <cell r="M610" t="str">
            <v>OS</v>
          </cell>
          <cell r="N610" t="str">
            <v>OS</v>
          </cell>
          <cell r="O610" t="str">
            <v>OS</v>
          </cell>
          <cell r="P610" t="str">
            <v>OS</v>
          </cell>
          <cell r="Q610" t="str">
            <v>OS</v>
          </cell>
          <cell r="R610" t="str">
            <v>OS</v>
          </cell>
          <cell r="S610" t="str">
            <v>OS</v>
          </cell>
          <cell r="T610" t="str">
            <v>OS</v>
          </cell>
          <cell r="U610" t="str">
            <v>OS</v>
          </cell>
          <cell r="V610" t="str">
            <v>OS</v>
          </cell>
          <cell r="W610" t="str">
            <v>OS</v>
          </cell>
          <cell r="X610" t="str">
            <v>OS</v>
          </cell>
          <cell r="Y610" t="str">
            <v>OS</v>
          </cell>
          <cell r="Z610" t="str">
            <v>OS</v>
          </cell>
          <cell r="AA610" t="str">
            <v>OS</v>
          </cell>
          <cell r="AB610" t="str">
            <v>OS</v>
          </cell>
          <cell r="AC610" t="str">
            <v>OS</v>
          </cell>
          <cell r="AD610" t="str">
            <v>AGM-01-027-015</v>
          </cell>
          <cell r="AE610" t="str">
            <v xml:space="preserve">Raemulan Lands, Inc. </v>
          </cell>
          <cell r="AF610" t="str">
            <v>Agapeya</v>
          </cell>
          <cell r="AG610" t="str">
            <v>AGM</v>
          </cell>
          <cell r="AH610" t="str">
            <v>Eco-High</v>
          </cell>
          <cell r="AI610" t="str">
            <v>West</v>
          </cell>
          <cell r="AJ610" t="str">
            <v>With LTS</v>
          </cell>
          <cell r="AK610" t="str">
            <v>Unaffected lots</v>
          </cell>
          <cell r="AL610" t="str">
            <v>Unaffected lots</v>
          </cell>
          <cell r="AM610" t="b">
            <v>1</v>
          </cell>
          <cell r="AN610" t="str">
            <v>YES</v>
          </cell>
          <cell r="AO610" t="str">
            <v>2024 Batch</v>
          </cell>
          <cell r="AP610">
            <v>70</v>
          </cell>
          <cell r="AQ610" t="str">
            <v>PCS-04-034298</v>
          </cell>
          <cell r="AR610" t="b">
            <v>1</v>
          </cell>
          <cell r="AS610" t="str">
            <v>Done</v>
          </cell>
          <cell r="AT610" t="str">
            <v>2024 Batch</v>
          </cell>
          <cell r="AU610">
            <v>27</v>
          </cell>
          <cell r="AV610">
            <v>15</v>
          </cell>
          <cell r="AW610" t="str">
            <v>H+L</v>
          </cell>
          <cell r="AX610">
            <v>70</v>
          </cell>
          <cell r="AY610">
            <v>50</v>
          </cell>
          <cell r="AZ610" t="str">
            <v>Duplex</v>
          </cell>
          <cell r="BA610">
            <v>1</v>
          </cell>
          <cell r="BB610" t="str">
            <v>326 - With Partition</v>
          </cell>
          <cell r="BC610" t="str">
            <v>With Partition</v>
          </cell>
          <cell r="BD610" t="str">
            <v>Flat</v>
          </cell>
          <cell r="BE610" t="str">
            <v>With Partition</v>
          </cell>
          <cell r="BF610" t="str">
            <v>GREEN</v>
          </cell>
          <cell r="BG610">
            <v>2707500</v>
          </cell>
          <cell r="BH610">
            <v>2850000</v>
          </cell>
          <cell r="BI610">
            <v>100000</v>
          </cell>
          <cell r="BJ610">
            <v>2750000</v>
          </cell>
          <cell r="BK610">
            <v>0</v>
          </cell>
          <cell r="BL610">
            <v>2750000</v>
          </cell>
        </row>
        <row r="611">
          <cell r="D611" t="str">
            <v>OS</v>
          </cell>
          <cell r="E611"/>
          <cell r="F611">
            <v>591</v>
          </cell>
          <cell r="G611" t="str">
            <v>SOLD</v>
          </cell>
          <cell r="H611" t="str">
            <v>OS</v>
          </cell>
          <cell r="I611" t="str">
            <v>OS</v>
          </cell>
          <cell r="J611" t="str">
            <v>OS</v>
          </cell>
          <cell r="K611" t="str">
            <v>OS</v>
          </cell>
          <cell r="L611" t="str">
            <v>OS</v>
          </cell>
          <cell r="M611" t="str">
            <v>OS</v>
          </cell>
          <cell r="N611" t="str">
            <v>OS</v>
          </cell>
          <cell r="O611" t="str">
            <v>OS</v>
          </cell>
          <cell r="P611" t="str">
            <v>OS</v>
          </cell>
          <cell r="Q611" t="str">
            <v>OS</v>
          </cell>
          <cell r="R611" t="str">
            <v>OS</v>
          </cell>
          <cell r="S611" t="str">
            <v>OS</v>
          </cell>
          <cell r="T611" t="str">
            <v>OS</v>
          </cell>
          <cell r="U611" t="str">
            <v>OS</v>
          </cell>
          <cell r="V611" t="str">
            <v>OS</v>
          </cell>
          <cell r="W611" t="str">
            <v>OS</v>
          </cell>
          <cell r="X611" t="str">
            <v>OS</v>
          </cell>
          <cell r="Y611" t="str">
            <v>OS</v>
          </cell>
          <cell r="Z611" t="str">
            <v>OS</v>
          </cell>
          <cell r="AA611" t="str">
            <v>OS</v>
          </cell>
          <cell r="AB611" t="str">
            <v>OS</v>
          </cell>
          <cell r="AC611" t="str">
            <v>OS</v>
          </cell>
          <cell r="AD611" t="str">
            <v>AGM-01-027-016</v>
          </cell>
          <cell r="AE611" t="str">
            <v xml:space="preserve">Raemulan Lands, Inc. </v>
          </cell>
          <cell r="AF611" t="str">
            <v>Agapeya</v>
          </cell>
          <cell r="AG611" t="str">
            <v>AGM</v>
          </cell>
          <cell r="AH611" t="str">
            <v>Eco-High</v>
          </cell>
          <cell r="AI611" t="str">
            <v>West</v>
          </cell>
          <cell r="AJ611" t="str">
            <v>With LTS</v>
          </cell>
          <cell r="AK611" t="str">
            <v>Unaffected lots</v>
          </cell>
          <cell r="AL611" t="str">
            <v>Unaffected lots</v>
          </cell>
          <cell r="AM611" t="b">
            <v>1</v>
          </cell>
          <cell r="AN611" t="str">
            <v>YES</v>
          </cell>
          <cell r="AO611" t="str">
            <v>2024 Batch</v>
          </cell>
          <cell r="AP611">
            <v>70</v>
          </cell>
          <cell r="AQ611" t="str">
            <v>PCS-04-034298</v>
          </cell>
          <cell r="AR611" t="b">
            <v>1</v>
          </cell>
          <cell r="AS611" t="str">
            <v>Done</v>
          </cell>
          <cell r="AT611" t="str">
            <v>2024 Batch</v>
          </cell>
          <cell r="AU611">
            <v>27</v>
          </cell>
          <cell r="AV611">
            <v>16</v>
          </cell>
          <cell r="AW611" t="str">
            <v>H+L</v>
          </cell>
          <cell r="AX611">
            <v>70</v>
          </cell>
          <cell r="AY611">
            <v>50</v>
          </cell>
          <cell r="AZ611" t="str">
            <v>Duplex</v>
          </cell>
          <cell r="BA611">
            <v>1</v>
          </cell>
          <cell r="BB611" t="str">
            <v>326 - With Partition</v>
          </cell>
          <cell r="BC611" t="str">
            <v>With Partition</v>
          </cell>
          <cell r="BD611" t="str">
            <v>Slant</v>
          </cell>
          <cell r="BE611" t="str">
            <v>With Partition</v>
          </cell>
          <cell r="BF611" t="str">
            <v>GREEN</v>
          </cell>
          <cell r="BG611">
            <v>2707500</v>
          </cell>
          <cell r="BH611">
            <v>2850000</v>
          </cell>
          <cell r="BI611">
            <v>100000</v>
          </cell>
          <cell r="BJ611">
            <v>2750000</v>
          </cell>
          <cell r="BK611">
            <v>0</v>
          </cell>
          <cell r="BL611">
            <v>2750000</v>
          </cell>
        </row>
        <row r="612">
          <cell r="D612" t="str">
            <v>HOLD</v>
          </cell>
          <cell r="E612"/>
          <cell r="F612">
            <v>592</v>
          </cell>
          <cell r="G612" t="str">
            <v>UNSOLD</v>
          </cell>
          <cell r="H612" t="str">
            <v>HOLD BY CAD</v>
          </cell>
          <cell r="I612" t="str">
            <v>HOLD BY CAD</v>
          </cell>
          <cell r="J612" t="str">
            <v>HOLD BY CAD</v>
          </cell>
          <cell r="K612" t="str">
            <v>HOLD BY CAD</v>
          </cell>
          <cell r="L612" t="str">
            <v>HOLD BY CAD</v>
          </cell>
          <cell r="M612" t="str">
            <v>HOLD BY CAD</v>
          </cell>
          <cell r="N612" t="str">
            <v>HOLD BY CAD</v>
          </cell>
          <cell r="O612" t="str">
            <v>HOLD BY CAD</v>
          </cell>
          <cell r="P612" t="str">
            <v>HOLD BY CAD</v>
          </cell>
          <cell r="Q612" t="str">
            <v>HOLD BY CAD</v>
          </cell>
          <cell r="R612" t="str">
            <v>HOLD</v>
          </cell>
          <cell r="S612" t="str">
            <v>HOLD BY CAD</v>
          </cell>
          <cell r="T612" t="str">
            <v>HOLD BY CAD</v>
          </cell>
          <cell r="U612" t="str">
            <v>HOLD</v>
          </cell>
          <cell r="V612" t="str">
            <v>HOLD</v>
          </cell>
          <cell r="W612" t="str">
            <v>HOLD</v>
          </cell>
          <cell r="X612" t="str">
            <v>HOLD</v>
          </cell>
          <cell r="Y612" t="str">
            <v>HOLD</v>
          </cell>
          <cell r="Z612" t="str">
            <v>HOLD</v>
          </cell>
          <cell r="AA612" t="str">
            <v>HOLD</v>
          </cell>
          <cell r="AB612" t="str">
            <v>HOLD</v>
          </cell>
          <cell r="AC612" t="str">
            <v>HOLD</v>
          </cell>
          <cell r="AD612" t="str">
            <v>AGM-01-027-017</v>
          </cell>
          <cell r="AE612" t="str">
            <v xml:space="preserve">Raemulan Lands, Inc. </v>
          </cell>
          <cell r="AF612" t="str">
            <v>Agapeya</v>
          </cell>
          <cell r="AG612" t="str">
            <v>AGM</v>
          </cell>
          <cell r="AH612" t="str">
            <v>Eco-High</v>
          </cell>
          <cell r="AI612" t="str">
            <v>West</v>
          </cell>
          <cell r="AJ612" t="str">
            <v>With LTS</v>
          </cell>
          <cell r="AK612" t="str">
            <v>Unaffected lots</v>
          </cell>
          <cell r="AL612" t="str">
            <v>Unaffected lots</v>
          </cell>
          <cell r="AM612" t="b">
            <v>1</v>
          </cell>
          <cell r="AN612" t="str">
            <v>YES</v>
          </cell>
          <cell r="AO612" t="str">
            <v>2024 Batch</v>
          </cell>
          <cell r="AP612">
            <v>70</v>
          </cell>
          <cell r="AQ612" t="str">
            <v>PCS-04-034298</v>
          </cell>
          <cell r="AR612" t="b">
            <v>1</v>
          </cell>
          <cell r="AS612" t="str">
            <v>Done</v>
          </cell>
          <cell r="AT612" t="str">
            <v>2024 Batch</v>
          </cell>
          <cell r="AU612">
            <v>27</v>
          </cell>
          <cell r="AV612">
            <v>17</v>
          </cell>
          <cell r="AW612" t="str">
            <v>H+L</v>
          </cell>
          <cell r="AX612">
            <v>70</v>
          </cell>
          <cell r="AY612">
            <v>50</v>
          </cell>
          <cell r="AZ612" t="str">
            <v>Duplex</v>
          </cell>
          <cell r="BA612">
            <v>1</v>
          </cell>
          <cell r="BB612" t="str">
            <v>326 - With Partition</v>
          </cell>
          <cell r="BC612" t="str">
            <v>With Partition</v>
          </cell>
          <cell r="BD612" t="str">
            <v>Slant</v>
          </cell>
          <cell r="BE612" t="str">
            <v>With Partition</v>
          </cell>
          <cell r="BF612" t="str">
            <v>GREEN</v>
          </cell>
          <cell r="BG612">
            <v>2707500</v>
          </cell>
          <cell r="BH612">
            <v>2850000</v>
          </cell>
          <cell r="BI612">
            <v>100000</v>
          </cell>
          <cell r="BJ612">
            <v>2750000</v>
          </cell>
          <cell r="BK612">
            <v>0</v>
          </cell>
          <cell r="BL612">
            <v>2750000</v>
          </cell>
        </row>
        <row r="613">
          <cell r="D613" t="str">
            <v>OS</v>
          </cell>
          <cell r="E613"/>
          <cell r="F613">
            <v>593</v>
          </cell>
          <cell r="G613" t="str">
            <v>SOLD</v>
          </cell>
          <cell r="H613" t="str">
            <v>OS</v>
          </cell>
          <cell r="I613" t="str">
            <v>OS</v>
          </cell>
          <cell r="J613" t="str">
            <v>OS</v>
          </cell>
          <cell r="K613" t="str">
            <v>OS</v>
          </cell>
          <cell r="L613" t="str">
            <v>OS</v>
          </cell>
          <cell r="M613" t="str">
            <v>OS</v>
          </cell>
          <cell r="N613" t="str">
            <v>OS</v>
          </cell>
          <cell r="O613" t="str">
            <v>OS</v>
          </cell>
          <cell r="P613" t="str">
            <v>OS</v>
          </cell>
          <cell r="Q613" t="str">
            <v>OS</v>
          </cell>
          <cell r="R613" t="str">
            <v>OS</v>
          </cell>
          <cell r="S613" t="str">
            <v>OS</v>
          </cell>
          <cell r="T613" t="str">
            <v>OS</v>
          </cell>
          <cell r="U613" t="str">
            <v>OS</v>
          </cell>
          <cell r="V613" t="str">
            <v>OS</v>
          </cell>
          <cell r="W613" t="str">
            <v>OS</v>
          </cell>
          <cell r="X613" t="str">
            <v>OS</v>
          </cell>
          <cell r="Y613" t="str">
            <v>OS</v>
          </cell>
          <cell r="Z613" t="str">
            <v>OS</v>
          </cell>
          <cell r="AA613" t="str">
            <v>OS</v>
          </cell>
          <cell r="AB613" t="str">
            <v>OS</v>
          </cell>
          <cell r="AC613" t="str">
            <v>OS</v>
          </cell>
          <cell r="AD613" t="str">
            <v>AGM-01-027-018</v>
          </cell>
          <cell r="AE613" t="str">
            <v xml:space="preserve">Raemulan Lands, Inc. </v>
          </cell>
          <cell r="AF613" t="str">
            <v>Agapeya</v>
          </cell>
          <cell r="AG613" t="str">
            <v>AGM</v>
          </cell>
          <cell r="AH613" t="str">
            <v>Eco-High</v>
          </cell>
          <cell r="AI613" t="str">
            <v>West</v>
          </cell>
          <cell r="AJ613" t="str">
            <v>With LTS</v>
          </cell>
          <cell r="AK613" t="str">
            <v>Unaffected lots</v>
          </cell>
          <cell r="AL613" t="str">
            <v>Unaffected lots</v>
          </cell>
          <cell r="AM613" t="b">
            <v>1</v>
          </cell>
          <cell r="AN613" t="str">
            <v>YES</v>
          </cell>
          <cell r="AO613" t="str">
            <v>2024 Batch</v>
          </cell>
          <cell r="AP613">
            <v>70</v>
          </cell>
          <cell r="AQ613" t="str">
            <v>PCS-04-034298</v>
          </cell>
          <cell r="AR613" t="b">
            <v>1</v>
          </cell>
          <cell r="AS613" t="str">
            <v>Done</v>
          </cell>
          <cell r="AT613" t="str">
            <v>2024 Batch</v>
          </cell>
          <cell r="AU613">
            <v>27</v>
          </cell>
          <cell r="AV613">
            <v>18</v>
          </cell>
          <cell r="AW613" t="str">
            <v>H+L</v>
          </cell>
          <cell r="AX613">
            <v>70</v>
          </cell>
          <cell r="AY613">
            <v>50</v>
          </cell>
          <cell r="AZ613" t="str">
            <v>Duplex</v>
          </cell>
          <cell r="BA613">
            <v>1</v>
          </cell>
          <cell r="BB613" t="str">
            <v>326 - With Partition</v>
          </cell>
          <cell r="BC613" t="str">
            <v>With Partition</v>
          </cell>
          <cell r="BD613" t="str">
            <v>Flat</v>
          </cell>
          <cell r="BE613" t="str">
            <v>With Partition</v>
          </cell>
          <cell r="BF613" t="str">
            <v>GREEN</v>
          </cell>
          <cell r="BG613">
            <v>2707500</v>
          </cell>
          <cell r="BH613">
            <v>2850000</v>
          </cell>
          <cell r="BI613">
            <v>100000</v>
          </cell>
          <cell r="BJ613">
            <v>2750000</v>
          </cell>
          <cell r="BK613">
            <v>0</v>
          </cell>
          <cell r="BL613">
            <v>2750000</v>
          </cell>
        </row>
        <row r="614">
          <cell r="D614" t="str">
            <v>OS</v>
          </cell>
          <cell r="E614"/>
          <cell r="F614">
            <v>594</v>
          </cell>
          <cell r="G614" t="str">
            <v>SOLD</v>
          </cell>
          <cell r="H614" t="str">
            <v>OS</v>
          </cell>
          <cell r="I614" t="str">
            <v>OS</v>
          </cell>
          <cell r="J614" t="str">
            <v>OS</v>
          </cell>
          <cell r="K614" t="str">
            <v>OS</v>
          </cell>
          <cell r="L614" t="str">
            <v>OS</v>
          </cell>
          <cell r="M614" t="str">
            <v>OS</v>
          </cell>
          <cell r="N614" t="str">
            <v>OS</v>
          </cell>
          <cell r="O614" t="str">
            <v>OS</v>
          </cell>
          <cell r="P614" t="str">
            <v>OS</v>
          </cell>
          <cell r="Q614" t="str">
            <v>OS</v>
          </cell>
          <cell r="R614" t="str">
            <v>OS</v>
          </cell>
          <cell r="S614" t="str">
            <v>OS</v>
          </cell>
          <cell r="T614" t="str">
            <v>OS</v>
          </cell>
          <cell r="U614" t="str">
            <v>OS</v>
          </cell>
          <cell r="V614" t="str">
            <v>OS</v>
          </cell>
          <cell r="W614" t="str">
            <v>OS</v>
          </cell>
          <cell r="X614" t="str">
            <v>OS</v>
          </cell>
          <cell r="Y614" t="str">
            <v>OS</v>
          </cell>
          <cell r="Z614" t="str">
            <v>OS</v>
          </cell>
          <cell r="AA614" t="str">
            <v>OS</v>
          </cell>
          <cell r="AB614" t="str">
            <v>OS</v>
          </cell>
          <cell r="AC614" t="str">
            <v>OS</v>
          </cell>
          <cell r="AD614" t="str">
            <v>AGM-01-027-019</v>
          </cell>
          <cell r="AE614" t="str">
            <v xml:space="preserve">Raemulan Lands, Inc. </v>
          </cell>
          <cell r="AF614" t="str">
            <v>Agapeya</v>
          </cell>
          <cell r="AG614" t="str">
            <v>AGM</v>
          </cell>
          <cell r="AH614" t="str">
            <v>Eco-High</v>
          </cell>
          <cell r="AI614" t="str">
            <v>West</v>
          </cell>
          <cell r="AJ614" t="str">
            <v>With LTS</v>
          </cell>
          <cell r="AK614" t="str">
            <v>Unaffected lots</v>
          </cell>
          <cell r="AL614" t="str">
            <v>Unaffected lots</v>
          </cell>
          <cell r="AM614" t="b">
            <v>1</v>
          </cell>
          <cell r="AN614" t="str">
            <v>YES</v>
          </cell>
          <cell r="AO614" t="str">
            <v>2024 Batch</v>
          </cell>
          <cell r="AP614">
            <v>70</v>
          </cell>
          <cell r="AQ614" t="str">
            <v>PCS-04-034298</v>
          </cell>
          <cell r="AR614" t="b">
            <v>1</v>
          </cell>
          <cell r="AS614" t="str">
            <v>Done</v>
          </cell>
          <cell r="AT614" t="str">
            <v>2024 Batch</v>
          </cell>
          <cell r="AU614">
            <v>27</v>
          </cell>
          <cell r="AV614">
            <v>19</v>
          </cell>
          <cell r="AW614" t="str">
            <v>H+L</v>
          </cell>
          <cell r="AX614">
            <v>70</v>
          </cell>
          <cell r="AY614">
            <v>50</v>
          </cell>
          <cell r="AZ614" t="str">
            <v>Duplex</v>
          </cell>
          <cell r="BA614">
            <v>1</v>
          </cell>
          <cell r="BB614" t="str">
            <v>326 - With Partition</v>
          </cell>
          <cell r="BC614" t="str">
            <v>With Partition</v>
          </cell>
          <cell r="BD614" t="str">
            <v>Flat</v>
          </cell>
          <cell r="BE614" t="str">
            <v>With Partition</v>
          </cell>
          <cell r="BF614" t="str">
            <v>PURPLE</v>
          </cell>
          <cell r="BG614">
            <v>2707500</v>
          </cell>
          <cell r="BH614">
            <v>2850000</v>
          </cell>
          <cell r="BI614">
            <v>100000</v>
          </cell>
          <cell r="BJ614">
            <v>2750000</v>
          </cell>
          <cell r="BK614">
            <v>0</v>
          </cell>
          <cell r="BL614">
            <v>2750000</v>
          </cell>
        </row>
        <row r="615">
          <cell r="D615" t="str">
            <v>OS</v>
          </cell>
          <cell r="E615"/>
          <cell r="F615">
            <v>595</v>
          </cell>
          <cell r="G615" t="str">
            <v>SOLD</v>
          </cell>
          <cell r="H615" t="str">
            <v>OS</v>
          </cell>
          <cell r="I615" t="str">
            <v>OS</v>
          </cell>
          <cell r="J615" t="str">
            <v>OS</v>
          </cell>
          <cell r="K615" t="str">
            <v>OS</v>
          </cell>
          <cell r="L615" t="str">
            <v>OS</v>
          </cell>
          <cell r="M615" t="str">
            <v>OS</v>
          </cell>
          <cell r="N615" t="str">
            <v>OS</v>
          </cell>
          <cell r="O615" t="str">
            <v>OS</v>
          </cell>
          <cell r="P615" t="str">
            <v>OS</v>
          </cell>
          <cell r="Q615" t="str">
            <v>OS</v>
          </cell>
          <cell r="R615" t="str">
            <v>OS</v>
          </cell>
          <cell r="S615" t="str">
            <v>OS</v>
          </cell>
          <cell r="T615" t="str">
            <v>OS</v>
          </cell>
          <cell r="U615" t="str">
            <v>OS</v>
          </cell>
          <cell r="V615" t="str">
            <v>OS</v>
          </cell>
          <cell r="W615" t="str">
            <v>OS</v>
          </cell>
          <cell r="X615" t="str">
            <v>OS</v>
          </cell>
          <cell r="Y615" t="str">
            <v>OS</v>
          </cell>
          <cell r="Z615" t="str">
            <v>OS</v>
          </cell>
          <cell r="AA615" t="str">
            <v>OS</v>
          </cell>
          <cell r="AB615" t="str">
            <v>OS</v>
          </cell>
          <cell r="AC615" t="str">
            <v>OS</v>
          </cell>
          <cell r="AD615" t="str">
            <v>AGM-01-027-020</v>
          </cell>
          <cell r="AE615" t="str">
            <v xml:space="preserve">Raemulan Lands, Inc. </v>
          </cell>
          <cell r="AF615" t="str">
            <v>Agapeya</v>
          </cell>
          <cell r="AG615" t="str">
            <v>AGM</v>
          </cell>
          <cell r="AH615" t="str">
            <v>Eco-High</v>
          </cell>
          <cell r="AI615" t="str">
            <v>West</v>
          </cell>
          <cell r="AJ615" t="str">
            <v>With LTS</v>
          </cell>
          <cell r="AK615" t="str">
            <v>Unaffected lots</v>
          </cell>
          <cell r="AL615" t="str">
            <v>Unaffected lots</v>
          </cell>
          <cell r="AM615" t="b">
            <v>1</v>
          </cell>
          <cell r="AN615" t="str">
            <v>YES</v>
          </cell>
          <cell r="AO615" t="str">
            <v>2024 Batch</v>
          </cell>
          <cell r="AP615">
            <v>70</v>
          </cell>
          <cell r="AQ615" t="str">
            <v>PCS-04-034298</v>
          </cell>
          <cell r="AR615" t="b">
            <v>1</v>
          </cell>
          <cell r="AS615" t="str">
            <v>Done</v>
          </cell>
          <cell r="AT615" t="str">
            <v>2024 Batch</v>
          </cell>
          <cell r="AU615">
            <v>27</v>
          </cell>
          <cell r="AV615">
            <v>20</v>
          </cell>
          <cell r="AW615" t="str">
            <v>H+L</v>
          </cell>
          <cell r="AX615">
            <v>70</v>
          </cell>
          <cell r="AY615">
            <v>50</v>
          </cell>
          <cell r="AZ615" t="str">
            <v>Duplex</v>
          </cell>
          <cell r="BA615">
            <v>1</v>
          </cell>
          <cell r="BB615" t="str">
            <v>326 - With Partition</v>
          </cell>
          <cell r="BC615" t="str">
            <v>With Partition</v>
          </cell>
          <cell r="BD615" t="str">
            <v>Slant</v>
          </cell>
          <cell r="BE615" t="str">
            <v>With Partition</v>
          </cell>
          <cell r="BF615" t="str">
            <v>PURPLE</v>
          </cell>
          <cell r="BG615">
            <v>2850000</v>
          </cell>
          <cell r="BH615">
            <v>2850000</v>
          </cell>
          <cell r="BI615">
            <v>100000</v>
          </cell>
          <cell r="BJ615">
            <v>2750000</v>
          </cell>
          <cell r="BK615">
            <v>0</v>
          </cell>
          <cell r="BL615">
            <v>2750000</v>
          </cell>
        </row>
        <row r="616">
          <cell r="D616" t="str">
            <v>OS</v>
          </cell>
          <cell r="E616"/>
          <cell r="F616">
            <v>596</v>
          </cell>
          <cell r="G616" t="str">
            <v>SOLD</v>
          </cell>
          <cell r="H616" t="str">
            <v>OS</v>
          </cell>
          <cell r="I616" t="str">
            <v>OS</v>
          </cell>
          <cell r="J616" t="str">
            <v>OS</v>
          </cell>
          <cell r="K616" t="str">
            <v>OS</v>
          </cell>
          <cell r="L616" t="str">
            <v>OS</v>
          </cell>
          <cell r="M616" t="str">
            <v>OS</v>
          </cell>
          <cell r="N616" t="str">
            <v>OS</v>
          </cell>
          <cell r="O616" t="str">
            <v>OS</v>
          </cell>
          <cell r="P616" t="str">
            <v>OS</v>
          </cell>
          <cell r="Q616" t="str">
            <v>OS</v>
          </cell>
          <cell r="R616" t="str">
            <v>OS</v>
          </cell>
          <cell r="S616" t="str">
            <v>OS</v>
          </cell>
          <cell r="T616" t="str">
            <v>OS</v>
          </cell>
          <cell r="U616" t="str">
            <v>OS</v>
          </cell>
          <cell r="V616" t="str">
            <v>OS</v>
          </cell>
          <cell r="W616" t="str">
            <v>OS</v>
          </cell>
          <cell r="X616" t="str">
            <v>OS</v>
          </cell>
          <cell r="Y616" t="str">
            <v>OS</v>
          </cell>
          <cell r="Z616" t="str">
            <v>OS</v>
          </cell>
          <cell r="AA616" t="str">
            <v>OS</v>
          </cell>
          <cell r="AB616" t="str">
            <v>OS</v>
          </cell>
          <cell r="AC616" t="str">
            <v>OS</v>
          </cell>
          <cell r="AD616" t="str">
            <v>AGM-01-027-021</v>
          </cell>
          <cell r="AE616" t="str">
            <v xml:space="preserve">Raemulan Lands, Inc. </v>
          </cell>
          <cell r="AF616" t="str">
            <v>Agapeya</v>
          </cell>
          <cell r="AG616" t="str">
            <v>AGM</v>
          </cell>
          <cell r="AH616" t="str">
            <v>Eco-High</v>
          </cell>
          <cell r="AI616" t="str">
            <v>West</v>
          </cell>
          <cell r="AJ616" t="str">
            <v>With LTS</v>
          </cell>
          <cell r="AK616" t="str">
            <v>Unaffected lots</v>
          </cell>
          <cell r="AL616" t="str">
            <v>Unaffected lots</v>
          </cell>
          <cell r="AM616" t="b">
            <v>1</v>
          </cell>
          <cell r="AN616" t="str">
            <v>YES</v>
          </cell>
          <cell r="AO616" t="str">
            <v>2024 Batch</v>
          </cell>
          <cell r="AP616">
            <v>70</v>
          </cell>
          <cell r="AQ616" t="str">
            <v>PCS-04-034298</v>
          </cell>
          <cell r="AR616" t="b">
            <v>1</v>
          </cell>
          <cell r="AS616" t="str">
            <v>Done</v>
          </cell>
          <cell r="AT616" t="str">
            <v>2024 Batch</v>
          </cell>
          <cell r="AU616">
            <v>27</v>
          </cell>
          <cell r="AV616">
            <v>21</v>
          </cell>
          <cell r="AW616" t="str">
            <v>H+L</v>
          </cell>
          <cell r="AX616">
            <v>70</v>
          </cell>
          <cell r="AY616">
            <v>50</v>
          </cell>
          <cell r="AZ616" t="str">
            <v>Duplex</v>
          </cell>
          <cell r="BA616">
            <v>1</v>
          </cell>
          <cell r="BB616" t="str">
            <v>326 - With Partition</v>
          </cell>
          <cell r="BC616" t="str">
            <v>With Partition</v>
          </cell>
          <cell r="BD616" t="str">
            <v>Slant</v>
          </cell>
          <cell r="BE616" t="str">
            <v>With Partition</v>
          </cell>
          <cell r="BF616" t="str">
            <v>PURPLE</v>
          </cell>
          <cell r="BG616">
            <v>2850000</v>
          </cell>
          <cell r="BH616">
            <v>2850000</v>
          </cell>
          <cell r="BI616">
            <v>100000</v>
          </cell>
          <cell r="BJ616">
            <v>2750000</v>
          </cell>
          <cell r="BK616">
            <v>0</v>
          </cell>
          <cell r="BL616">
            <v>2750000</v>
          </cell>
        </row>
        <row r="617">
          <cell r="D617" t="str">
            <v>OS</v>
          </cell>
          <cell r="E617"/>
          <cell r="F617">
            <v>597</v>
          </cell>
          <cell r="G617" t="str">
            <v>SOLD</v>
          </cell>
          <cell r="H617" t="str">
            <v>OS</v>
          </cell>
          <cell r="I617" t="str">
            <v>OS</v>
          </cell>
          <cell r="J617" t="str">
            <v>OS</v>
          </cell>
          <cell r="K617" t="str">
            <v>OS</v>
          </cell>
          <cell r="L617" t="str">
            <v>OS</v>
          </cell>
          <cell r="M617" t="str">
            <v>OS</v>
          </cell>
          <cell r="N617" t="str">
            <v>OS</v>
          </cell>
          <cell r="O617" t="str">
            <v>OS</v>
          </cell>
          <cell r="P617" t="str">
            <v>OS</v>
          </cell>
          <cell r="Q617" t="str">
            <v>OS</v>
          </cell>
          <cell r="R617" t="str">
            <v>OS</v>
          </cell>
          <cell r="S617" t="str">
            <v>OS</v>
          </cell>
          <cell r="T617" t="str">
            <v>OS</v>
          </cell>
          <cell r="U617" t="str">
            <v>OS</v>
          </cell>
          <cell r="V617" t="str">
            <v>OS</v>
          </cell>
          <cell r="W617" t="str">
            <v>OS</v>
          </cell>
          <cell r="X617" t="str">
            <v>OS</v>
          </cell>
          <cell r="Y617" t="str">
            <v>OS</v>
          </cell>
          <cell r="Z617" t="str">
            <v>OS</v>
          </cell>
          <cell r="AA617" t="str">
            <v>OS</v>
          </cell>
          <cell r="AB617" t="str">
            <v>OS</v>
          </cell>
          <cell r="AC617" t="str">
            <v>OS</v>
          </cell>
          <cell r="AD617" t="str">
            <v>AGM-01-027-022</v>
          </cell>
          <cell r="AE617" t="str">
            <v xml:space="preserve">Raemulan Lands, Inc. </v>
          </cell>
          <cell r="AF617" t="str">
            <v>Agapeya</v>
          </cell>
          <cell r="AG617" t="str">
            <v>AGM</v>
          </cell>
          <cell r="AH617" t="str">
            <v>Eco-High</v>
          </cell>
          <cell r="AI617" t="str">
            <v>West</v>
          </cell>
          <cell r="AJ617" t="str">
            <v>With LTS</v>
          </cell>
          <cell r="AK617" t="str">
            <v>Unaffected lots</v>
          </cell>
          <cell r="AL617" t="str">
            <v>Unaffected lots</v>
          </cell>
          <cell r="AM617" t="b">
            <v>1</v>
          </cell>
          <cell r="AN617" t="str">
            <v>YES</v>
          </cell>
          <cell r="AO617" t="str">
            <v>2024 Batch</v>
          </cell>
          <cell r="AP617">
            <v>81</v>
          </cell>
          <cell r="AQ617" t="str">
            <v>PCS-04-034298</v>
          </cell>
          <cell r="AR617" t="b">
            <v>1</v>
          </cell>
          <cell r="AS617" t="str">
            <v>Done</v>
          </cell>
          <cell r="AT617" t="str">
            <v>2024 Batch</v>
          </cell>
          <cell r="AU617">
            <v>27</v>
          </cell>
          <cell r="AV617">
            <v>22</v>
          </cell>
          <cell r="AW617" t="str">
            <v>H+L</v>
          </cell>
          <cell r="AX617">
            <v>81</v>
          </cell>
          <cell r="AY617">
            <v>50</v>
          </cell>
          <cell r="AZ617" t="str">
            <v>Duplex</v>
          </cell>
          <cell r="BA617">
            <v>1</v>
          </cell>
          <cell r="BB617" t="str">
            <v>326 - With Partition</v>
          </cell>
          <cell r="BC617" t="str">
            <v>With Partition</v>
          </cell>
          <cell r="BD617" t="str">
            <v>Flat</v>
          </cell>
          <cell r="BE617" t="str">
            <v>With Partition</v>
          </cell>
          <cell r="BF617" t="str">
            <v>PURPLE</v>
          </cell>
          <cell r="BG617">
            <v>3002000</v>
          </cell>
          <cell r="BH617">
            <v>3015000</v>
          </cell>
          <cell r="BI617">
            <v>100000</v>
          </cell>
          <cell r="BJ617">
            <v>2915000</v>
          </cell>
          <cell r="BK617">
            <v>0</v>
          </cell>
          <cell r="BL617">
            <v>2915000</v>
          </cell>
        </row>
        <row r="618">
          <cell r="D618" t="str">
            <v>OS</v>
          </cell>
          <cell r="E618"/>
          <cell r="F618">
            <v>598</v>
          </cell>
          <cell r="G618" t="str">
            <v>SOLD</v>
          </cell>
          <cell r="H618" t="str">
            <v>OS</v>
          </cell>
          <cell r="I618" t="str">
            <v>OS</v>
          </cell>
          <cell r="J618" t="str">
            <v>OS</v>
          </cell>
          <cell r="K618" t="str">
            <v>OS</v>
          </cell>
          <cell r="L618" t="str">
            <v>OS</v>
          </cell>
          <cell r="M618" t="str">
            <v>OS</v>
          </cell>
          <cell r="N618" t="str">
            <v>OS</v>
          </cell>
          <cell r="O618" t="str">
            <v>OS</v>
          </cell>
          <cell r="P618" t="str">
            <v>OS</v>
          </cell>
          <cell r="Q618" t="str">
            <v>OS</v>
          </cell>
          <cell r="R618" t="str">
            <v>OS</v>
          </cell>
          <cell r="S618" t="str">
            <v>OS</v>
          </cell>
          <cell r="T618" t="str">
            <v>OS</v>
          </cell>
          <cell r="U618" t="str">
            <v>OS</v>
          </cell>
          <cell r="V618" t="str">
            <v>OS</v>
          </cell>
          <cell r="W618" t="str">
            <v>OS</v>
          </cell>
          <cell r="X618" t="str">
            <v>OS</v>
          </cell>
          <cell r="Y618" t="str">
            <v>OS</v>
          </cell>
          <cell r="Z618" t="str">
            <v>OS</v>
          </cell>
          <cell r="AA618" t="str">
            <v>OS</v>
          </cell>
          <cell r="AB618" t="str">
            <v>OS</v>
          </cell>
          <cell r="AC618" t="str">
            <v>OS</v>
          </cell>
          <cell r="AD618" t="str">
            <v>AGM-01-027-023</v>
          </cell>
          <cell r="AE618" t="str">
            <v xml:space="preserve">Raemulan Lands, Inc. </v>
          </cell>
          <cell r="AF618" t="str">
            <v>Agapeya</v>
          </cell>
          <cell r="AG618" t="str">
            <v>AGM</v>
          </cell>
          <cell r="AH618" t="str">
            <v>Eco-High</v>
          </cell>
          <cell r="AI618" t="str">
            <v>West</v>
          </cell>
          <cell r="AJ618" t="str">
            <v>With LTS</v>
          </cell>
          <cell r="AK618" t="str">
            <v>Unaffected lots</v>
          </cell>
          <cell r="AL618" t="str">
            <v>Unaffected lots</v>
          </cell>
          <cell r="AM618" t="b">
            <v>1</v>
          </cell>
          <cell r="AN618" t="str">
            <v>YES</v>
          </cell>
          <cell r="AO618" t="str">
            <v>2024 Batch</v>
          </cell>
          <cell r="AP618">
            <v>81</v>
          </cell>
          <cell r="AQ618" t="str">
            <v>PCS-04-034298</v>
          </cell>
          <cell r="AR618" t="b">
            <v>1</v>
          </cell>
          <cell r="AS618" t="str">
            <v>Done</v>
          </cell>
          <cell r="AT618" t="str">
            <v>2024 Batch</v>
          </cell>
          <cell r="AU618">
            <v>27</v>
          </cell>
          <cell r="AV618">
            <v>23</v>
          </cell>
          <cell r="AW618" t="str">
            <v>H+L</v>
          </cell>
          <cell r="AX618">
            <v>81</v>
          </cell>
          <cell r="AY618">
            <v>50</v>
          </cell>
          <cell r="AZ618" t="str">
            <v>Duplex</v>
          </cell>
          <cell r="BA618">
            <v>1</v>
          </cell>
          <cell r="BB618" t="str">
            <v>326 - With Partition</v>
          </cell>
          <cell r="BC618" t="str">
            <v>With Partition</v>
          </cell>
          <cell r="BD618" t="str">
            <v>Slant</v>
          </cell>
          <cell r="BE618" t="str">
            <v>With Partition</v>
          </cell>
          <cell r="BF618" t="str">
            <v>PINK</v>
          </cell>
          <cell r="BG618">
            <v>2850000</v>
          </cell>
          <cell r="BH618">
            <v>3015000</v>
          </cell>
          <cell r="BI618">
            <v>100000</v>
          </cell>
          <cell r="BJ618">
            <v>2915000</v>
          </cell>
          <cell r="BK618">
            <v>0</v>
          </cell>
          <cell r="BL618">
            <v>2915000</v>
          </cell>
        </row>
        <row r="619">
          <cell r="D619" t="str">
            <v>OS</v>
          </cell>
          <cell r="E619"/>
          <cell r="F619">
            <v>599</v>
          </cell>
          <cell r="G619" t="str">
            <v>SOLD</v>
          </cell>
          <cell r="H619" t="str">
            <v>OS</v>
          </cell>
          <cell r="I619" t="str">
            <v>OS</v>
          </cell>
          <cell r="J619" t="str">
            <v>OS</v>
          </cell>
          <cell r="K619" t="str">
            <v>OS</v>
          </cell>
          <cell r="L619" t="str">
            <v>OS</v>
          </cell>
          <cell r="M619" t="str">
            <v>OS</v>
          </cell>
          <cell r="N619" t="str">
            <v>OS</v>
          </cell>
          <cell r="O619" t="str">
            <v>OS</v>
          </cell>
          <cell r="P619" t="str">
            <v>OS</v>
          </cell>
          <cell r="Q619" t="str">
            <v>OS</v>
          </cell>
          <cell r="R619" t="str">
            <v>OS</v>
          </cell>
          <cell r="S619" t="str">
            <v>OS</v>
          </cell>
          <cell r="T619" t="str">
            <v>OS</v>
          </cell>
          <cell r="U619" t="str">
            <v>OS</v>
          </cell>
          <cell r="V619" t="str">
            <v>OS</v>
          </cell>
          <cell r="W619" t="str">
            <v>OS</v>
          </cell>
          <cell r="X619" t="str">
            <v>OS</v>
          </cell>
          <cell r="Y619" t="str">
            <v>OS</v>
          </cell>
          <cell r="Z619" t="str">
            <v>OS</v>
          </cell>
          <cell r="AA619" t="str">
            <v>OS</v>
          </cell>
          <cell r="AB619" t="str">
            <v>OS</v>
          </cell>
          <cell r="AC619" t="str">
            <v>OS</v>
          </cell>
          <cell r="AD619" t="str">
            <v>AGM-01-027-024</v>
          </cell>
          <cell r="AE619" t="str">
            <v xml:space="preserve">Raemulan Lands, Inc. </v>
          </cell>
          <cell r="AF619" t="str">
            <v>Agapeya</v>
          </cell>
          <cell r="AG619" t="str">
            <v>AGM</v>
          </cell>
          <cell r="AH619" t="str">
            <v>Eco-High</v>
          </cell>
          <cell r="AI619" t="str">
            <v>West</v>
          </cell>
          <cell r="AJ619" t="str">
            <v>With LTS</v>
          </cell>
          <cell r="AK619" t="str">
            <v>Unaffected lots</v>
          </cell>
          <cell r="AL619" t="str">
            <v>Unaffected lots</v>
          </cell>
          <cell r="AM619" t="b">
            <v>1</v>
          </cell>
          <cell r="AN619" t="str">
            <v>YES</v>
          </cell>
          <cell r="AO619" t="str">
            <v>2024 Batch</v>
          </cell>
          <cell r="AP619">
            <v>70</v>
          </cell>
          <cell r="AQ619" t="str">
            <v>PCS-04-034298</v>
          </cell>
          <cell r="AR619" t="b">
            <v>1</v>
          </cell>
          <cell r="AS619" t="str">
            <v>Done</v>
          </cell>
          <cell r="AT619" t="str">
            <v>2024 Batch</v>
          </cell>
          <cell r="AU619">
            <v>27</v>
          </cell>
          <cell r="AV619">
            <v>24</v>
          </cell>
          <cell r="AW619" t="str">
            <v>H+L</v>
          </cell>
          <cell r="AX619">
            <v>70</v>
          </cell>
          <cell r="AY619">
            <v>50</v>
          </cell>
          <cell r="AZ619" t="str">
            <v>Duplex</v>
          </cell>
          <cell r="BA619">
            <v>1</v>
          </cell>
          <cell r="BB619" t="str">
            <v>326 - With Partition</v>
          </cell>
          <cell r="BC619" t="str">
            <v>With Partition</v>
          </cell>
          <cell r="BD619" t="str">
            <v>Flat</v>
          </cell>
          <cell r="BE619" t="str">
            <v>With Partition</v>
          </cell>
          <cell r="BF619" t="str">
            <v>PINK</v>
          </cell>
          <cell r="BG619">
            <v>2707500</v>
          </cell>
          <cell r="BH619">
            <v>2850000</v>
          </cell>
          <cell r="BI619">
            <v>100000</v>
          </cell>
          <cell r="BJ619">
            <v>2750000</v>
          </cell>
          <cell r="BK619">
            <v>0</v>
          </cell>
          <cell r="BL619">
            <v>2750000</v>
          </cell>
        </row>
        <row r="620">
          <cell r="D620" t="str">
            <v>OS</v>
          </cell>
          <cell r="E620"/>
          <cell r="F620">
            <v>600</v>
          </cell>
          <cell r="G620" t="str">
            <v>SOLD</v>
          </cell>
          <cell r="H620" t="str">
            <v>OS</v>
          </cell>
          <cell r="I620" t="str">
            <v>OS</v>
          </cell>
          <cell r="J620" t="str">
            <v>OS</v>
          </cell>
          <cell r="K620" t="str">
            <v>OS</v>
          </cell>
          <cell r="L620" t="str">
            <v>OS</v>
          </cell>
          <cell r="M620" t="str">
            <v>OS</v>
          </cell>
          <cell r="N620" t="str">
            <v>OS</v>
          </cell>
          <cell r="O620" t="str">
            <v>OS</v>
          </cell>
          <cell r="P620" t="str">
            <v>OS</v>
          </cell>
          <cell r="Q620" t="str">
            <v>OS</v>
          </cell>
          <cell r="R620" t="str">
            <v>OS</v>
          </cell>
          <cell r="S620" t="str">
            <v>OS</v>
          </cell>
          <cell r="T620" t="str">
            <v>OS</v>
          </cell>
          <cell r="U620" t="str">
            <v>OS</v>
          </cell>
          <cell r="V620" t="str">
            <v>OS</v>
          </cell>
          <cell r="W620" t="str">
            <v>OS</v>
          </cell>
          <cell r="X620" t="str">
            <v>OS</v>
          </cell>
          <cell r="Y620" t="str">
            <v>OS</v>
          </cell>
          <cell r="Z620" t="str">
            <v>OS</v>
          </cell>
          <cell r="AA620" t="str">
            <v>OS</v>
          </cell>
          <cell r="AB620" t="str">
            <v>OS</v>
          </cell>
          <cell r="AC620" t="str">
            <v>OS</v>
          </cell>
          <cell r="AD620" t="str">
            <v>AGM-01-027-025</v>
          </cell>
          <cell r="AE620" t="str">
            <v xml:space="preserve">Raemulan Lands, Inc. </v>
          </cell>
          <cell r="AF620" t="str">
            <v>Agapeya</v>
          </cell>
          <cell r="AG620" t="str">
            <v>AGM</v>
          </cell>
          <cell r="AH620" t="str">
            <v>Eco-High</v>
          </cell>
          <cell r="AI620" t="str">
            <v>West</v>
          </cell>
          <cell r="AJ620" t="str">
            <v>With LTS</v>
          </cell>
          <cell r="AK620" t="str">
            <v>Unaffected lots</v>
          </cell>
          <cell r="AL620" t="str">
            <v>Unaffected lots</v>
          </cell>
          <cell r="AM620" t="b">
            <v>1</v>
          </cell>
          <cell r="AN620" t="str">
            <v>YES</v>
          </cell>
          <cell r="AO620" t="str">
            <v>2024 Batch</v>
          </cell>
          <cell r="AP620">
            <v>70</v>
          </cell>
          <cell r="AQ620" t="str">
            <v>PCS-04-034298</v>
          </cell>
          <cell r="AR620" t="b">
            <v>1</v>
          </cell>
          <cell r="AS620" t="str">
            <v>Done</v>
          </cell>
          <cell r="AT620" t="str">
            <v>2024 Batch</v>
          </cell>
          <cell r="AU620">
            <v>27</v>
          </cell>
          <cell r="AV620">
            <v>25</v>
          </cell>
          <cell r="AW620" t="str">
            <v>H+L</v>
          </cell>
          <cell r="AX620">
            <v>70</v>
          </cell>
          <cell r="AY620">
            <v>50</v>
          </cell>
          <cell r="AZ620" t="str">
            <v>Duplex</v>
          </cell>
          <cell r="BA620">
            <v>1</v>
          </cell>
          <cell r="BB620" t="str">
            <v>326 - With Partition</v>
          </cell>
          <cell r="BC620" t="str">
            <v>With Partition</v>
          </cell>
          <cell r="BD620" t="str">
            <v>Flat</v>
          </cell>
          <cell r="BE620" t="str">
            <v>With Partition</v>
          </cell>
          <cell r="BF620" t="str">
            <v>PINK</v>
          </cell>
          <cell r="BG620">
            <v>2750000</v>
          </cell>
          <cell r="BH620">
            <v>2850000</v>
          </cell>
          <cell r="BI620">
            <v>100000</v>
          </cell>
          <cell r="BJ620">
            <v>2750000</v>
          </cell>
          <cell r="BK620">
            <v>0</v>
          </cell>
          <cell r="BL620">
            <v>2750000</v>
          </cell>
        </row>
        <row r="621">
          <cell r="D621" t="str">
            <v>OPEN</v>
          </cell>
          <cell r="E621"/>
          <cell r="F621">
            <v>601</v>
          </cell>
          <cell r="G621" t="str">
            <v>FOR CANCELLATION</v>
          </cell>
          <cell r="H621" t="str">
            <v>FOR CANCELLATION</v>
          </cell>
          <cell r="I621" t="str">
            <v>FOR CANCELLATION</v>
          </cell>
          <cell r="J621" t="str">
            <v>FOR CANCELLATION</v>
          </cell>
          <cell r="K621" t="str">
            <v>FOR CANCELLATION</v>
          </cell>
          <cell r="L621" t="str">
            <v>FOR CANCELLATION</v>
          </cell>
          <cell r="M621" t="str">
            <v>FOR CANCELLATION</v>
          </cell>
          <cell r="N621" t="str">
            <v>FOR CANCELLATION</v>
          </cell>
          <cell r="O621" t="str">
            <v>FOR CANCELLATION</v>
          </cell>
          <cell r="P621" t="str">
            <v>FOR CANCELLATION</v>
          </cell>
          <cell r="Q621" t="str">
            <v>FOR CANCELLATION</v>
          </cell>
          <cell r="R621" t="str">
            <v>FOR CANCELLATION</v>
          </cell>
          <cell r="S621" t="str">
            <v>FOR CANCELLATION</v>
          </cell>
          <cell r="T621" t="str">
            <v>FOR CANCELLATION</v>
          </cell>
          <cell r="U621" t="str">
            <v>FOR CANCELLATION</v>
          </cell>
          <cell r="V621" t="str">
            <v>FOR CANCELLATION</v>
          </cell>
          <cell r="W621" t="str">
            <v>FOR CANCELLATION</v>
          </cell>
          <cell r="X621" t="str">
            <v>FOR CANCELLATION</v>
          </cell>
          <cell r="Y621" t="str">
            <v>FOR CANCELLATION</v>
          </cell>
          <cell r="Z621" t="str">
            <v>OPEN</v>
          </cell>
          <cell r="AA621" t="str">
            <v>OPEN</v>
          </cell>
          <cell r="AB621" t="str">
            <v>FOR CANCELLATION</v>
          </cell>
          <cell r="AC621" t="str">
            <v>FOR CANCELLATION</v>
          </cell>
          <cell r="AD621" t="str">
            <v>AGM-01-027-026</v>
          </cell>
          <cell r="AE621" t="str">
            <v xml:space="preserve">Raemulan Lands, Inc. </v>
          </cell>
          <cell r="AF621" t="str">
            <v>Agapeya</v>
          </cell>
          <cell r="AG621" t="str">
            <v>AGM</v>
          </cell>
          <cell r="AH621" t="str">
            <v>Eco-High</v>
          </cell>
          <cell r="AI621" t="str">
            <v>West</v>
          </cell>
          <cell r="AJ621" t="str">
            <v>With LTS</v>
          </cell>
          <cell r="AK621" t="str">
            <v>Unaffected lots</v>
          </cell>
          <cell r="AL621" t="str">
            <v>Unaffected lots</v>
          </cell>
          <cell r="AM621" t="b">
            <v>1</v>
          </cell>
          <cell r="AN621" t="str">
            <v>YES</v>
          </cell>
          <cell r="AO621" t="str">
            <v>2024 Batch</v>
          </cell>
          <cell r="AP621">
            <v>70</v>
          </cell>
          <cell r="AQ621" t="str">
            <v>PCS-04-034298</v>
          </cell>
          <cell r="AR621" t="b">
            <v>1</v>
          </cell>
          <cell r="AS621" t="str">
            <v>Done</v>
          </cell>
          <cell r="AT621" t="str">
            <v>2024 Batch</v>
          </cell>
          <cell r="AU621">
            <v>27</v>
          </cell>
          <cell r="AV621">
            <v>26</v>
          </cell>
          <cell r="AW621" t="str">
            <v>H+L</v>
          </cell>
          <cell r="AX621">
            <v>70</v>
          </cell>
          <cell r="AY621">
            <v>50</v>
          </cell>
          <cell r="AZ621" t="str">
            <v>Duplex</v>
          </cell>
          <cell r="BA621">
            <v>1</v>
          </cell>
          <cell r="BB621" t="str">
            <v>326 - With Partition</v>
          </cell>
          <cell r="BC621" t="str">
            <v>With Partition</v>
          </cell>
          <cell r="BD621" t="str">
            <v>Slant</v>
          </cell>
          <cell r="BE621" t="str">
            <v>With Partition</v>
          </cell>
          <cell r="BF621" t="str">
            <v>PINK</v>
          </cell>
          <cell r="BG621">
            <v>2600000</v>
          </cell>
          <cell r="BH621">
            <v>2850000</v>
          </cell>
          <cell r="BI621">
            <v>100000</v>
          </cell>
          <cell r="BJ621">
            <v>2750000</v>
          </cell>
          <cell r="BK621">
            <v>0</v>
          </cell>
          <cell r="BL621">
            <v>2750000</v>
          </cell>
        </row>
        <row r="622">
          <cell r="D622" t="str">
            <v>OS</v>
          </cell>
          <cell r="E622"/>
          <cell r="F622">
            <v>602</v>
          </cell>
          <cell r="G622" t="str">
            <v>SOLD</v>
          </cell>
          <cell r="H622" t="str">
            <v>OS</v>
          </cell>
          <cell r="I622" t="str">
            <v>OS</v>
          </cell>
          <cell r="J622" t="str">
            <v>OS</v>
          </cell>
          <cell r="K622" t="str">
            <v>OS</v>
          </cell>
          <cell r="L622" t="str">
            <v>OS</v>
          </cell>
          <cell r="M622" t="str">
            <v>OS</v>
          </cell>
          <cell r="N622" t="str">
            <v>OS</v>
          </cell>
          <cell r="O622" t="str">
            <v>OS</v>
          </cell>
          <cell r="P622" t="str">
            <v>OS</v>
          </cell>
          <cell r="Q622" t="str">
            <v>OS</v>
          </cell>
          <cell r="R622" t="str">
            <v>OS</v>
          </cell>
          <cell r="S622" t="str">
            <v>OS</v>
          </cell>
          <cell r="T622" t="str">
            <v>OS</v>
          </cell>
          <cell r="U622" t="str">
            <v>OS</v>
          </cell>
          <cell r="V622" t="str">
            <v>OS</v>
          </cell>
          <cell r="W622" t="str">
            <v>OS</v>
          </cell>
          <cell r="X622" t="str">
            <v>OS</v>
          </cell>
          <cell r="Y622" t="str">
            <v>OS</v>
          </cell>
          <cell r="Z622" t="str">
            <v>OS</v>
          </cell>
          <cell r="AA622" t="str">
            <v>OS</v>
          </cell>
          <cell r="AB622" t="str">
            <v>OS</v>
          </cell>
          <cell r="AC622" t="str">
            <v>OS</v>
          </cell>
          <cell r="AD622" t="str">
            <v>AGM-01-027-027</v>
          </cell>
          <cell r="AE622" t="str">
            <v xml:space="preserve">Raemulan Lands, Inc. </v>
          </cell>
          <cell r="AF622" t="str">
            <v>Agapeya</v>
          </cell>
          <cell r="AG622" t="str">
            <v>AGM</v>
          </cell>
          <cell r="AH622" t="str">
            <v>Eco-High</v>
          </cell>
          <cell r="AI622" t="str">
            <v>West</v>
          </cell>
          <cell r="AJ622" t="str">
            <v>With LTS</v>
          </cell>
          <cell r="AK622" t="str">
            <v>Unaffected lots</v>
          </cell>
          <cell r="AL622" t="str">
            <v>Unaffected lots</v>
          </cell>
          <cell r="AM622" t="b">
            <v>1</v>
          </cell>
          <cell r="AN622" t="str">
            <v>YES</v>
          </cell>
          <cell r="AO622" t="str">
            <v>2024 Batch</v>
          </cell>
          <cell r="AP622">
            <v>70</v>
          </cell>
          <cell r="AQ622" t="str">
            <v>PCS-04-034298</v>
          </cell>
          <cell r="AR622" t="b">
            <v>1</v>
          </cell>
          <cell r="AS622" t="str">
            <v>Done</v>
          </cell>
          <cell r="AT622" t="str">
            <v>2024 Batch</v>
          </cell>
          <cell r="AU622">
            <v>27</v>
          </cell>
          <cell r="AV622">
            <v>27</v>
          </cell>
          <cell r="AW622" t="str">
            <v>H+L</v>
          </cell>
          <cell r="AX622">
            <v>70</v>
          </cell>
          <cell r="AY622">
            <v>50</v>
          </cell>
          <cell r="AZ622" t="str">
            <v>Duplex</v>
          </cell>
          <cell r="BA622">
            <v>1</v>
          </cell>
          <cell r="BB622" t="str">
            <v>326 - With Partition</v>
          </cell>
          <cell r="BC622" t="str">
            <v>With Partition</v>
          </cell>
          <cell r="BD622" t="str">
            <v>Slant</v>
          </cell>
          <cell r="BE622" t="str">
            <v>With Partition</v>
          </cell>
          <cell r="BF622" t="str">
            <v>PURPLE</v>
          </cell>
          <cell r="BG622">
            <v>2707500</v>
          </cell>
          <cell r="BH622">
            <v>2850000</v>
          </cell>
          <cell r="BI622">
            <v>100000</v>
          </cell>
          <cell r="BJ622">
            <v>2750000</v>
          </cell>
          <cell r="BK622">
            <v>0</v>
          </cell>
          <cell r="BL622">
            <v>2750000</v>
          </cell>
        </row>
        <row r="623">
          <cell r="D623" t="str">
            <v>OS</v>
          </cell>
          <cell r="E623"/>
          <cell r="F623">
            <v>603</v>
          </cell>
          <cell r="G623" t="str">
            <v>SOLD</v>
          </cell>
          <cell r="H623" t="str">
            <v>OS</v>
          </cell>
          <cell r="I623" t="str">
            <v>OS</v>
          </cell>
          <cell r="J623" t="str">
            <v>OS</v>
          </cell>
          <cell r="K623" t="str">
            <v>OS</v>
          </cell>
          <cell r="L623" t="str">
            <v>OS</v>
          </cell>
          <cell r="M623" t="str">
            <v>OS</v>
          </cell>
          <cell r="N623" t="str">
            <v>OS</v>
          </cell>
          <cell r="O623" t="str">
            <v>OS</v>
          </cell>
          <cell r="P623" t="str">
            <v>OS</v>
          </cell>
          <cell r="Q623" t="str">
            <v>OS</v>
          </cell>
          <cell r="R623" t="str">
            <v>OS</v>
          </cell>
          <cell r="S623" t="str">
            <v>OS</v>
          </cell>
          <cell r="T623" t="str">
            <v>OS</v>
          </cell>
          <cell r="U623" t="str">
            <v>OS</v>
          </cell>
          <cell r="V623" t="str">
            <v>OS</v>
          </cell>
          <cell r="W623" t="str">
            <v>OS</v>
          </cell>
          <cell r="X623" t="str">
            <v>OS</v>
          </cell>
          <cell r="Y623" t="str">
            <v>OS</v>
          </cell>
          <cell r="Z623" t="str">
            <v>OS</v>
          </cell>
          <cell r="AA623" t="str">
            <v>OS</v>
          </cell>
          <cell r="AB623" t="str">
            <v>OS</v>
          </cell>
          <cell r="AC623" t="str">
            <v>OS</v>
          </cell>
          <cell r="AD623" t="str">
            <v>AGM-01-027-028</v>
          </cell>
          <cell r="AE623" t="str">
            <v xml:space="preserve">Raemulan Lands, Inc. </v>
          </cell>
          <cell r="AF623" t="str">
            <v>Agapeya</v>
          </cell>
          <cell r="AG623" t="str">
            <v>AGM</v>
          </cell>
          <cell r="AH623" t="str">
            <v>Eco-High</v>
          </cell>
          <cell r="AI623" t="str">
            <v>West</v>
          </cell>
          <cell r="AJ623" t="str">
            <v>With LTS</v>
          </cell>
          <cell r="AK623" t="str">
            <v>Unaffected lots</v>
          </cell>
          <cell r="AL623" t="str">
            <v>Unaffected lots</v>
          </cell>
          <cell r="AM623" t="b">
            <v>1</v>
          </cell>
          <cell r="AN623" t="str">
            <v>YES</v>
          </cell>
          <cell r="AO623" t="str">
            <v>2024 Batch</v>
          </cell>
          <cell r="AP623">
            <v>70</v>
          </cell>
          <cell r="AQ623" t="str">
            <v>PCS-04-034298</v>
          </cell>
          <cell r="AR623" t="b">
            <v>1</v>
          </cell>
          <cell r="AS623" t="str">
            <v>Done</v>
          </cell>
          <cell r="AT623" t="str">
            <v>2024 Batch</v>
          </cell>
          <cell r="AU623">
            <v>27</v>
          </cell>
          <cell r="AV623">
            <v>28</v>
          </cell>
          <cell r="AW623" t="str">
            <v>H+L</v>
          </cell>
          <cell r="AX623">
            <v>70</v>
          </cell>
          <cell r="AY623">
            <v>50</v>
          </cell>
          <cell r="AZ623" t="str">
            <v>Duplex</v>
          </cell>
          <cell r="BA623">
            <v>1</v>
          </cell>
          <cell r="BB623" t="str">
            <v>326 - With Partition</v>
          </cell>
          <cell r="BC623" t="str">
            <v>With Partition</v>
          </cell>
          <cell r="BD623" t="str">
            <v>Flat</v>
          </cell>
          <cell r="BE623" t="str">
            <v>With Partition</v>
          </cell>
          <cell r="BF623" t="str">
            <v>PURPLE</v>
          </cell>
          <cell r="BG623">
            <v>2707500</v>
          </cell>
          <cell r="BH623">
            <v>2850000</v>
          </cell>
          <cell r="BI623">
            <v>100000</v>
          </cell>
          <cell r="BJ623">
            <v>2750000</v>
          </cell>
          <cell r="BK623">
            <v>0</v>
          </cell>
          <cell r="BL623">
            <v>2750000</v>
          </cell>
        </row>
        <row r="624">
          <cell r="D624" t="str">
            <v>OS</v>
          </cell>
          <cell r="E624"/>
          <cell r="F624">
            <v>604</v>
          </cell>
          <cell r="G624" t="str">
            <v>SOLD</v>
          </cell>
          <cell r="H624" t="str">
            <v>OS</v>
          </cell>
          <cell r="I624" t="str">
            <v>OS</v>
          </cell>
          <cell r="J624" t="str">
            <v>OS</v>
          </cell>
          <cell r="K624" t="str">
            <v>OS</v>
          </cell>
          <cell r="L624" t="str">
            <v>OS</v>
          </cell>
          <cell r="M624" t="str">
            <v>OS</v>
          </cell>
          <cell r="N624" t="str">
            <v>OS</v>
          </cell>
          <cell r="O624" t="str">
            <v>OS</v>
          </cell>
          <cell r="P624" t="str">
            <v>OS</v>
          </cell>
          <cell r="Q624" t="str">
            <v>OS</v>
          </cell>
          <cell r="R624" t="str">
            <v>OS</v>
          </cell>
          <cell r="S624" t="str">
            <v>OS</v>
          </cell>
          <cell r="T624" t="str">
            <v>OS</v>
          </cell>
          <cell r="U624" t="str">
            <v>OS</v>
          </cell>
          <cell r="V624" t="str">
            <v>OS</v>
          </cell>
          <cell r="W624" t="str">
            <v>OS</v>
          </cell>
          <cell r="X624" t="str">
            <v>OS</v>
          </cell>
          <cell r="Y624" t="str">
            <v>OS</v>
          </cell>
          <cell r="Z624" t="str">
            <v>OS</v>
          </cell>
          <cell r="AA624" t="str">
            <v>OS</v>
          </cell>
          <cell r="AB624" t="str">
            <v>OS</v>
          </cell>
          <cell r="AC624" t="str">
            <v>OS</v>
          </cell>
          <cell r="AD624" t="str">
            <v>AGM-01-027-029</v>
          </cell>
          <cell r="AE624" t="str">
            <v xml:space="preserve">Raemulan Lands, Inc. </v>
          </cell>
          <cell r="AF624" t="str">
            <v>Agapeya</v>
          </cell>
          <cell r="AG624" t="str">
            <v>AGM</v>
          </cell>
          <cell r="AH624" t="str">
            <v>Eco-High</v>
          </cell>
          <cell r="AI624" t="str">
            <v>West</v>
          </cell>
          <cell r="AJ624" t="str">
            <v>With LTS</v>
          </cell>
          <cell r="AK624" t="str">
            <v>Unaffected lots</v>
          </cell>
          <cell r="AL624" t="str">
            <v>Unaffected lots</v>
          </cell>
          <cell r="AM624" t="b">
            <v>1</v>
          </cell>
          <cell r="AN624" t="str">
            <v>YES</v>
          </cell>
          <cell r="AO624" t="str">
            <v>2024 Batch</v>
          </cell>
          <cell r="AP624">
            <v>70</v>
          </cell>
          <cell r="AQ624" t="str">
            <v>PCS-04-034298</v>
          </cell>
          <cell r="AR624" t="b">
            <v>1</v>
          </cell>
          <cell r="AS624" t="str">
            <v>Done</v>
          </cell>
          <cell r="AT624" t="str">
            <v>2024 Batch</v>
          </cell>
          <cell r="AU624">
            <v>27</v>
          </cell>
          <cell r="AV624">
            <v>29</v>
          </cell>
          <cell r="AW624" t="str">
            <v>H+L</v>
          </cell>
          <cell r="AX624">
            <v>70</v>
          </cell>
          <cell r="AY624">
            <v>50</v>
          </cell>
          <cell r="AZ624" t="str">
            <v>Duplex</v>
          </cell>
          <cell r="BA624">
            <v>1</v>
          </cell>
          <cell r="BB624" t="str">
            <v>326 - With Partition</v>
          </cell>
          <cell r="BC624" t="str">
            <v>With Partition</v>
          </cell>
          <cell r="BD624" t="str">
            <v>Flat</v>
          </cell>
          <cell r="BE624" t="str">
            <v>With Partition</v>
          </cell>
          <cell r="BF624" t="str">
            <v>PURPLE</v>
          </cell>
          <cell r="BG624">
            <v>2707500</v>
          </cell>
          <cell r="BH624">
            <v>2850000</v>
          </cell>
          <cell r="BI624">
            <v>100000</v>
          </cell>
          <cell r="BJ624">
            <v>2750000</v>
          </cell>
          <cell r="BK624">
            <v>0</v>
          </cell>
          <cell r="BL624">
            <v>2750000</v>
          </cell>
        </row>
        <row r="625">
          <cell r="D625" t="str">
            <v>OS</v>
          </cell>
          <cell r="E625"/>
          <cell r="F625">
            <v>605</v>
          </cell>
          <cell r="G625" t="str">
            <v>SOLD</v>
          </cell>
          <cell r="H625" t="str">
            <v>OS</v>
          </cell>
          <cell r="I625" t="str">
            <v>OS</v>
          </cell>
          <cell r="J625" t="str">
            <v>OS</v>
          </cell>
          <cell r="K625" t="str">
            <v>OS</v>
          </cell>
          <cell r="L625" t="str">
            <v>OS</v>
          </cell>
          <cell r="M625" t="str">
            <v>OS</v>
          </cell>
          <cell r="N625" t="str">
            <v>OS</v>
          </cell>
          <cell r="O625" t="str">
            <v>OS</v>
          </cell>
          <cell r="P625" t="str">
            <v>OS</v>
          </cell>
          <cell r="Q625" t="str">
            <v>OS</v>
          </cell>
          <cell r="R625" t="str">
            <v>OS</v>
          </cell>
          <cell r="S625" t="str">
            <v>OS</v>
          </cell>
          <cell r="T625" t="str">
            <v>OS</v>
          </cell>
          <cell r="U625" t="str">
            <v>OS</v>
          </cell>
          <cell r="V625" t="str">
            <v>OS</v>
          </cell>
          <cell r="W625" t="str">
            <v>OS</v>
          </cell>
          <cell r="X625" t="str">
            <v>OS</v>
          </cell>
          <cell r="Y625" t="str">
            <v>OS</v>
          </cell>
          <cell r="Z625" t="str">
            <v>OS</v>
          </cell>
          <cell r="AA625" t="str">
            <v>OS</v>
          </cell>
          <cell r="AB625" t="str">
            <v>OS</v>
          </cell>
          <cell r="AC625" t="str">
            <v>OS</v>
          </cell>
          <cell r="AD625" t="str">
            <v>AGM-01-027-030</v>
          </cell>
          <cell r="AE625" t="str">
            <v xml:space="preserve">Raemulan Lands, Inc. </v>
          </cell>
          <cell r="AF625" t="str">
            <v>Agapeya</v>
          </cell>
          <cell r="AG625" t="str">
            <v>AGM</v>
          </cell>
          <cell r="AH625" t="str">
            <v>Eco-High</v>
          </cell>
          <cell r="AI625" t="str">
            <v>West</v>
          </cell>
          <cell r="AJ625" t="str">
            <v>With LTS</v>
          </cell>
          <cell r="AK625" t="str">
            <v>Unaffected lots</v>
          </cell>
          <cell r="AL625" t="str">
            <v>Unaffected lots</v>
          </cell>
          <cell r="AM625" t="b">
            <v>1</v>
          </cell>
          <cell r="AN625" t="str">
            <v>YES</v>
          </cell>
          <cell r="AO625" t="str">
            <v>2024 Batch</v>
          </cell>
          <cell r="AP625">
            <v>70</v>
          </cell>
          <cell r="AQ625" t="str">
            <v>PCS-04-034298</v>
          </cell>
          <cell r="AR625" t="b">
            <v>1</v>
          </cell>
          <cell r="AS625" t="str">
            <v>Done</v>
          </cell>
          <cell r="AT625" t="str">
            <v>2024 Batch</v>
          </cell>
          <cell r="AU625">
            <v>27</v>
          </cell>
          <cell r="AV625">
            <v>30</v>
          </cell>
          <cell r="AW625" t="str">
            <v>H+L</v>
          </cell>
          <cell r="AX625">
            <v>70</v>
          </cell>
          <cell r="AY625">
            <v>50</v>
          </cell>
          <cell r="AZ625" t="str">
            <v>Duplex</v>
          </cell>
          <cell r="BA625">
            <v>1</v>
          </cell>
          <cell r="BB625" t="str">
            <v>326 - With Partition</v>
          </cell>
          <cell r="BC625" t="str">
            <v>With Partition</v>
          </cell>
          <cell r="BD625" t="str">
            <v>Slant</v>
          </cell>
          <cell r="BE625" t="str">
            <v>With Partition</v>
          </cell>
          <cell r="BF625" t="str">
            <v>PURPLE</v>
          </cell>
          <cell r="BG625">
            <v>2707500</v>
          </cell>
          <cell r="BH625">
            <v>2850000</v>
          </cell>
          <cell r="BI625">
            <v>100000</v>
          </cell>
          <cell r="BJ625">
            <v>2750000</v>
          </cell>
          <cell r="BK625">
            <v>0</v>
          </cell>
          <cell r="BL625">
            <v>2750000</v>
          </cell>
        </row>
        <row r="626">
          <cell r="D626" t="str">
            <v>TS</v>
          </cell>
          <cell r="E626"/>
          <cell r="F626">
            <v>606</v>
          </cell>
          <cell r="G626" t="str">
            <v>UNSOLD</v>
          </cell>
          <cell r="H626" t="str">
            <v>OPEN</v>
          </cell>
          <cell r="I626" t="str">
            <v>OPEN</v>
          </cell>
          <cell r="J626" t="str">
            <v>OPEN</v>
          </cell>
          <cell r="K626" t="str">
            <v>OPEN</v>
          </cell>
          <cell r="L626" t="str">
            <v>OPEN</v>
          </cell>
          <cell r="M626" t="str">
            <v>OPEN</v>
          </cell>
          <cell r="N626" t="str">
            <v>OPEN</v>
          </cell>
          <cell r="O626" t="str">
            <v>OPEN</v>
          </cell>
          <cell r="P626" t="str">
            <v>OPEN</v>
          </cell>
          <cell r="Q626" t="str">
            <v>OPEN</v>
          </cell>
          <cell r="R626" t="str">
            <v>OPEN</v>
          </cell>
          <cell r="S626" t="str">
            <v>OPEN</v>
          </cell>
          <cell r="T626" t="str">
            <v>OPEN</v>
          </cell>
          <cell r="U626" t="str">
            <v>OPEN</v>
          </cell>
          <cell r="V626" t="str">
            <v>OPEN</v>
          </cell>
          <cell r="W626" t="str">
            <v>OPEN</v>
          </cell>
          <cell r="X626" t="str">
            <v>OPEN</v>
          </cell>
          <cell r="Y626" t="str">
            <v>OPEN</v>
          </cell>
          <cell r="Z626" t="str">
            <v>TS</v>
          </cell>
          <cell r="AA626" t="str">
            <v>TS</v>
          </cell>
          <cell r="AB626" t="str">
            <v>OPEN</v>
          </cell>
          <cell r="AC626" t="str">
            <v>OPEN</v>
          </cell>
          <cell r="AD626" t="str">
            <v>AGM-01-027-031</v>
          </cell>
          <cell r="AE626" t="str">
            <v xml:space="preserve">Raemulan Lands, Inc. </v>
          </cell>
          <cell r="AF626" t="str">
            <v>Agapeya</v>
          </cell>
          <cell r="AG626" t="str">
            <v>AGM</v>
          </cell>
          <cell r="AH626" t="str">
            <v>Eco-High</v>
          </cell>
          <cell r="AI626" t="str">
            <v>West</v>
          </cell>
          <cell r="AJ626" t="str">
            <v>With LTS</v>
          </cell>
          <cell r="AK626" t="str">
            <v>Unaffected lots</v>
          </cell>
          <cell r="AL626" t="str">
            <v>Unaffected lots</v>
          </cell>
          <cell r="AM626" t="b">
            <v>1</v>
          </cell>
          <cell r="AN626" t="str">
            <v>YES</v>
          </cell>
          <cell r="AO626" t="str">
            <v>2024 Batch</v>
          </cell>
          <cell r="AP626">
            <v>70</v>
          </cell>
          <cell r="AQ626" t="str">
            <v>PCS-04-034298</v>
          </cell>
          <cell r="AR626" t="b">
            <v>1</v>
          </cell>
          <cell r="AS626" t="str">
            <v>Done</v>
          </cell>
          <cell r="AT626" t="str">
            <v>2024 Batch</v>
          </cell>
          <cell r="AU626">
            <v>27</v>
          </cell>
          <cell r="AV626">
            <v>31</v>
          </cell>
          <cell r="AW626" t="str">
            <v>H+L</v>
          </cell>
          <cell r="AX626">
            <v>70</v>
          </cell>
          <cell r="AY626">
            <v>50</v>
          </cell>
          <cell r="AZ626" t="str">
            <v>Duplex</v>
          </cell>
          <cell r="BA626">
            <v>1</v>
          </cell>
          <cell r="BB626" t="str">
            <v>326 - With Partition</v>
          </cell>
          <cell r="BC626" t="str">
            <v>With Partition</v>
          </cell>
          <cell r="BD626" t="str">
            <v>Slant</v>
          </cell>
          <cell r="BE626" t="str">
            <v>With Partition</v>
          </cell>
          <cell r="BF626" t="str">
            <v>GREEN</v>
          </cell>
          <cell r="BG626">
            <v>2707500</v>
          </cell>
          <cell r="BH626">
            <v>2850000</v>
          </cell>
          <cell r="BI626">
            <v>100000</v>
          </cell>
          <cell r="BJ626">
            <v>2750000</v>
          </cell>
          <cell r="BK626">
            <v>0</v>
          </cell>
          <cell r="BL626">
            <v>2750000</v>
          </cell>
        </row>
        <row r="627">
          <cell r="D627" t="str">
            <v>OS</v>
          </cell>
          <cell r="E627"/>
          <cell r="F627">
            <v>607</v>
          </cell>
          <cell r="G627" t="str">
            <v>SOLD</v>
          </cell>
          <cell r="H627" t="str">
            <v>OS</v>
          </cell>
          <cell r="I627" t="str">
            <v>OS</v>
          </cell>
          <cell r="J627" t="str">
            <v>OS</v>
          </cell>
          <cell r="K627" t="str">
            <v>OS</v>
          </cell>
          <cell r="L627" t="str">
            <v>OS</v>
          </cell>
          <cell r="M627" t="str">
            <v>OS</v>
          </cell>
          <cell r="N627" t="str">
            <v>OS</v>
          </cell>
          <cell r="O627" t="str">
            <v>OS</v>
          </cell>
          <cell r="P627" t="str">
            <v>OS</v>
          </cell>
          <cell r="Q627" t="str">
            <v>OS</v>
          </cell>
          <cell r="R627" t="str">
            <v>OS</v>
          </cell>
          <cell r="S627" t="str">
            <v>OS</v>
          </cell>
          <cell r="T627" t="str">
            <v>OS</v>
          </cell>
          <cell r="U627" t="str">
            <v>OS</v>
          </cell>
          <cell r="V627" t="str">
            <v>OS</v>
          </cell>
          <cell r="W627" t="str">
            <v>OS</v>
          </cell>
          <cell r="X627" t="str">
            <v>OS</v>
          </cell>
          <cell r="Y627" t="str">
            <v>OS</v>
          </cell>
          <cell r="Z627" t="str">
            <v>OS</v>
          </cell>
          <cell r="AA627" t="str">
            <v>OS</v>
          </cell>
          <cell r="AB627" t="str">
            <v>OS</v>
          </cell>
          <cell r="AC627" t="str">
            <v>OS</v>
          </cell>
          <cell r="AD627" t="str">
            <v>AGM-01-027-032</v>
          </cell>
          <cell r="AE627" t="str">
            <v xml:space="preserve">Raemulan Lands, Inc. </v>
          </cell>
          <cell r="AF627" t="str">
            <v>Agapeya</v>
          </cell>
          <cell r="AG627" t="str">
            <v>AGM</v>
          </cell>
          <cell r="AH627" t="str">
            <v>Eco-High</v>
          </cell>
          <cell r="AI627" t="str">
            <v>West</v>
          </cell>
          <cell r="AJ627" t="str">
            <v>With LTS</v>
          </cell>
          <cell r="AK627" t="str">
            <v>Unaffected lots</v>
          </cell>
          <cell r="AL627" t="str">
            <v>Unaffected lots</v>
          </cell>
          <cell r="AM627" t="b">
            <v>1</v>
          </cell>
          <cell r="AN627" t="str">
            <v>YES</v>
          </cell>
          <cell r="AO627" t="str">
            <v>2024 Batch</v>
          </cell>
          <cell r="AP627">
            <v>70</v>
          </cell>
          <cell r="AQ627" t="str">
            <v>PCS-04-034298</v>
          </cell>
          <cell r="AR627" t="b">
            <v>1</v>
          </cell>
          <cell r="AS627" t="str">
            <v>Done</v>
          </cell>
          <cell r="AT627" t="str">
            <v>2024 Batch</v>
          </cell>
          <cell r="AU627">
            <v>27</v>
          </cell>
          <cell r="AV627">
            <v>32</v>
          </cell>
          <cell r="AW627" t="str">
            <v>H+L</v>
          </cell>
          <cell r="AX627">
            <v>70</v>
          </cell>
          <cell r="AY627">
            <v>50</v>
          </cell>
          <cell r="AZ627" t="str">
            <v>Duplex</v>
          </cell>
          <cell r="BA627">
            <v>1</v>
          </cell>
          <cell r="BB627" t="str">
            <v>326 - With Partition</v>
          </cell>
          <cell r="BC627" t="str">
            <v>With Partition</v>
          </cell>
          <cell r="BD627" t="str">
            <v>Flat</v>
          </cell>
          <cell r="BE627" t="str">
            <v>With Partition</v>
          </cell>
          <cell r="BF627" t="str">
            <v>GREEN</v>
          </cell>
          <cell r="BG627">
            <v>2707500</v>
          </cell>
          <cell r="BH627">
            <v>2850000</v>
          </cell>
          <cell r="BI627">
            <v>100000</v>
          </cell>
          <cell r="BJ627">
            <v>2750000</v>
          </cell>
          <cell r="BK627">
            <v>0</v>
          </cell>
          <cell r="BL627">
            <v>2750000</v>
          </cell>
        </row>
        <row r="628">
          <cell r="D628" t="str">
            <v>TS</v>
          </cell>
          <cell r="E628"/>
          <cell r="F628">
            <v>608</v>
          </cell>
          <cell r="G628" t="str">
            <v>SOLD</v>
          </cell>
          <cell r="H628" t="str">
            <v>OS</v>
          </cell>
          <cell r="I628" t="str">
            <v>OS</v>
          </cell>
          <cell r="J628" t="str">
            <v>OS</v>
          </cell>
          <cell r="K628" t="str">
            <v>OS</v>
          </cell>
          <cell r="L628" t="str">
            <v>OS</v>
          </cell>
          <cell r="M628" t="str">
            <v>OS</v>
          </cell>
          <cell r="N628" t="str">
            <v>OS</v>
          </cell>
          <cell r="O628" t="str">
            <v>OS</v>
          </cell>
          <cell r="P628" t="str">
            <v>OS</v>
          </cell>
          <cell r="Q628" t="str">
            <v>OS</v>
          </cell>
          <cell r="R628" t="str">
            <v>OS</v>
          </cell>
          <cell r="S628" t="str">
            <v>OS</v>
          </cell>
          <cell r="T628" t="str">
            <v>OS</v>
          </cell>
          <cell r="U628" t="str">
            <v>OS</v>
          </cell>
          <cell r="V628" t="str">
            <v>OS</v>
          </cell>
          <cell r="W628" t="str">
            <v>OS</v>
          </cell>
          <cell r="X628" t="str">
            <v>FOR CANCELLATION</v>
          </cell>
          <cell r="Y628" t="str">
            <v>FOR CANCELLATION</v>
          </cell>
          <cell r="Z628" t="str">
            <v>TS</v>
          </cell>
          <cell r="AA628" t="str">
            <v>TS</v>
          </cell>
          <cell r="AB628" t="str">
            <v>FOR CANCELLATION</v>
          </cell>
          <cell r="AC628" t="str">
            <v>FOR CANCELLATION</v>
          </cell>
          <cell r="AD628" t="str">
            <v>AGM-01-027-033</v>
          </cell>
          <cell r="AE628" t="str">
            <v xml:space="preserve">Raemulan Lands, Inc. </v>
          </cell>
          <cell r="AF628" t="str">
            <v>Agapeya</v>
          </cell>
          <cell r="AG628" t="str">
            <v>AGM</v>
          </cell>
          <cell r="AH628" t="str">
            <v>Eco-High</v>
          </cell>
          <cell r="AI628" t="str">
            <v>West</v>
          </cell>
          <cell r="AJ628" t="str">
            <v>With LTS</v>
          </cell>
          <cell r="AK628" t="str">
            <v>Unaffected lots</v>
          </cell>
          <cell r="AL628" t="str">
            <v>Unaffected lots</v>
          </cell>
          <cell r="AM628" t="b">
            <v>1</v>
          </cell>
          <cell r="AN628" t="str">
            <v>YES</v>
          </cell>
          <cell r="AO628" t="str">
            <v>2024 Batch</v>
          </cell>
          <cell r="AP628">
            <v>70</v>
          </cell>
          <cell r="AQ628" t="str">
            <v>PCS-04-034298</v>
          </cell>
          <cell r="AR628" t="b">
            <v>1</v>
          </cell>
          <cell r="AS628" t="str">
            <v>Done</v>
          </cell>
          <cell r="AT628" t="str">
            <v>2024 Batch</v>
          </cell>
          <cell r="AU628">
            <v>27</v>
          </cell>
          <cell r="AV628">
            <v>33</v>
          </cell>
          <cell r="AW628" t="str">
            <v>H+L</v>
          </cell>
          <cell r="AX628">
            <v>70</v>
          </cell>
          <cell r="AY628">
            <v>50</v>
          </cell>
          <cell r="AZ628" t="str">
            <v>Duplex</v>
          </cell>
          <cell r="BA628">
            <v>1</v>
          </cell>
          <cell r="BB628" t="str">
            <v>326 - With Partition</v>
          </cell>
          <cell r="BC628" t="str">
            <v>With Partition</v>
          </cell>
          <cell r="BD628" t="str">
            <v>Flat</v>
          </cell>
          <cell r="BE628" t="str">
            <v>With Partition</v>
          </cell>
          <cell r="BF628" t="str">
            <v>GREEN</v>
          </cell>
          <cell r="BG628">
            <v>2750000</v>
          </cell>
          <cell r="BH628">
            <v>2850000</v>
          </cell>
          <cell r="BI628">
            <v>100000</v>
          </cell>
          <cell r="BJ628">
            <v>2750000</v>
          </cell>
          <cell r="BK628">
            <v>0</v>
          </cell>
          <cell r="BL628">
            <v>2750000</v>
          </cell>
        </row>
        <row r="629">
          <cell r="D629" t="str">
            <v>OS</v>
          </cell>
          <cell r="E629"/>
          <cell r="F629">
            <v>609</v>
          </cell>
          <cell r="G629" t="str">
            <v>SOLD</v>
          </cell>
          <cell r="H629" t="str">
            <v>OS</v>
          </cell>
          <cell r="I629" t="str">
            <v>OS</v>
          </cell>
          <cell r="J629" t="str">
            <v>OS</v>
          </cell>
          <cell r="K629" t="str">
            <v>OS</v>
          </cell>
          <cell r="L629" t="str">
            <v>OS</v>
          </cell>
          <cell r="M629" t="str">
            <v>OS</v>
          </cell>
          <cell r="N629" t="str">
            <v>OS</v>
          </cell>
          <cell r="O629" t="str">
            <v>OS</v>
          </cell>
          <cell r="P629" t="str">
            <v>OS</v>
          </cell>
          <cell r="Q629" t="str">
            <v>OS</v>
          </cell>
          <cell r="R629" t="str">
            <v>OS</v>
          </cell>
          <cell r="S629" t="str">
            <v>OS</v>
          </cell>
          <cell r="T629" t="str">
            <v>OS</v>
          </cell>
          <cell r="U629" t="str">
            <v>OS</v>
          </cell>
          <cell r="V629" t="str">
            <v>OS</v>
          </cell>
          <cell r="W629" t="str">
            <v>OS</v>
          </cell>
          <cell r="X629" t="str">
            <v>OS</v>
          </cell>
          <cell r="Y629" t="str">
            <v>OS</v>
          </cell>
          <cell r="Z629" t="str">
            <v>OS</v>
          </cell>
          <cell r="AA629" t="str">
            <v>OS</v>
          </cell>
          <cell r="AB629" t="str">
            <v>OS</v>
          </cell>
          <cell r="AC629" t="str">
            <v>OS</v>
          </cell>
          <cell r="AD629" t="str">
            <v>AGM-01-027-034</v>
          </cell>
          <cell r="AE629" t="str">
            <v xml:space="preserve">Raemulan Lands, Inc. </v>
          </cell>
          <cell r="AF629" t="str">
            <v>Agapeya</v>
          </cell>
          <cell r="AG629" t="str">
            <v>AGM</v>
          </cell>
          <cell r="AH629" t="str">
            <v>Eco-High</v>
          </cell>
          <cell r="AI629" t="str">
            <v>West</v>
          </cell>
          <cell r="AJ629" t="str">
            <v>With LTS</v>
          </cell>
          <cell r="AK629" t="str">
            <v>Unaffected lots</v>
          </cell>
          <cell r="AL629" t="str">
            <v>Unaffected lots</v>
          </cell>
          <cell r="AM629" t="b">
            <v>1</v>
          </cell>
          <cell r="AN629" t="str">
            <v>YES</v>
          </cell>
          <cell r="AO629" t="str">
            <v>2024 Batch</v>
          </cell>
          <cell r="AP629">
            <v>70</v>
          </cell>
          <cell r="AQ629" t="str">
            <v>PCS-04-034298</v>
          </cell>
          <cell r="AR629" t="b">
            <v>1</v>
          </cell>
          <cell r="AS629" t="str">
            <v>Done</v>
          </cell>
          <cell r="AT629" t="str">
            <v>2024 Batch</v>
          </cell>
          <cell r="AU629">
            <v>27</v>
          </cell>
          <cell r="AV629">
            <v>34</v>
          </cell>
          <cell r="AW629" t="str">
            <v>H+L</v>
          </cell>
          <cell r="AX629">
            <v>70</v>
          </cell>
          <cell r="AY629">
            <v>50</v>
          </cell>
          <cell r="AZ629" t="str">
            <v>Duplex</v>
          </cell>
          <cell r="BA629">
            <v>1</v>
          </cell>
          <cell r="BB629" t="str">
            <v>326 - With Partition</v>
          </cell>
          <cell r="BC629" t="str">
            <v>With Partition</v>
          </cell>
          <cell r="BD629" t="str">
            <v>Slant</v>
          </cell>
          <cell r="BE629" t="str">
            <v>With Partition</v>
          </cell>
          <cell r="BF629" t="str">
            <v>GREEN</v>
          </cell>
          <cell r="BG629">
            <v>2750000</v>
          </cell>
          <cell r="BH629">
            <v>2850000</v>
          </cell>
          <cell r="BI629">
            <v>100000</v>
          </cell>
          <cell r="BJ629">
            <v>2750000</v>
          </cell>
          <cell r="BK629">
            <v>0</v>
          </cell>
          <cell r="BL629">
            <v>2750000</v>
          </cell>
        </row>
        <row r="630">
          <cell r="D630" t="str">
            <v>OS</v>
          </cell>
          <cell r="E630"/>
          <cell r="F630">
            <v>610</v>
          </cell>
          <cell r="G630" t="str">
            <v>SOLD</v>
          </cell>
          <cell r="H630" t="str">
            <v>OS</v>
          </cell>
          <cell r="I630" t="str">
            <v>OS</v>
          </cell>
          <cell r="J630" t="str">
            <v>OS</v>
          </cell>
          <cell r="K630" t="str">
            <v>OS</v>
          </cell>
          <cell r="L630" t="str">
            <v>OS</v>
          </cell>
          <cell r="M630" t="str">
            <v>OS</v>
          </cell>
          <cell r="N630" t="str">
            <v>OS</v>
          </cell>
          <cell r="O630" t="str">
            <v>OS</v>
          </cell>
          <cell r="P630" t="str">
            <v>OS</v>
          </cell>
          <cell r="Q630" t="str">
            <v>OS</v>
          </cell>
          <cell r="R630" t="str">
            <v>OS</v>
          </cell>
          <cell r="S630" t="str">
            <v>OS</v>
          </cell>
          <cell r="T630" t="str">
            <v>OS</v>
          </cell>
          <cell r="U630" t="str">
            <v>OS</v>
          </cell>
          <cell r="V630" t="str">
            <v>OS</v>
          </cell>
          <cell r="W630" t="str">
            <v>OS</v>
          </cell>
          <cell r="X630" t="str">
            <v>OS</v>
          </cell>
          <cell r="Y630" t="str">
            <v>OS</v>
          </cell>
          <cell r="Z630" t="str">
            <v>OS</v>
          </cell>
          <cell r="AA630" t="str">
            <v>OS</v>
          </cell>
          <cell r="AB630" t="str">
            <v>OS</v>
          </cell>
          <cell r="AC630" t="str">
            <v>OS</v>
          </cell>
          <cell r="AD630" t="str">
            <v>AGM-01-027-035</v>
          </cell>
          <cell r="AE630" t="str">
            <v xml:space="preserve">Raemulan Lands, Inc. </v>
          </cell>
          <cell r="AF630" t="str">
            <v>Agapeya</v>
          </cell>
          <cell r="AG630" t="str">
            <v>AGM</v>
          </cell>
          <cell r="AH630" t="str">
            <v>Eco-High</v>
          </cell>
          <cell r="AI630" t="str">
            <v>West</v>
          </cell>
          <cell r="AJ630" t="str">
            <v>With LTS</v>
          </cell>
          <cell r="AK630" t="str">
            <v>Unaffected lots</v>
          </cell>
          <cell r="AL630" t="str">
            <v>Unaffected lots</v>
          </cell>
          <cell r="AM630" t="b">
            <v>1</v>
          </cell>
          <cell r="AN630" t="str">
            <v>YES</v>
          </cell>
          <cell r="AO630" t="str">
            <v>2024 Batch</v>
          </cell>
          <cell r="AP630">
            <v>70</v>
          </cell>
          <cell r="AQ630" t="str">
            <v>PCS-04-034298</v>
          </cell>
          <cell r="AR630" t="b">
            <v>1</v>
          </cell>
          <cell r="AS630" t="str">
            <v>Done</v>
          </cell>
          <cell r="AT630" t="str">
            <v>2024 Batch</v>
          </cell>
          <cell r="AU630">
            <v>27</v>
          </cell>
          <cell r="AV630">
            <v>35</v>
          </cell>
          <cell r="AW630" t="str">
            <v>H+L</v>
          </cell>
          <cell r="AX630">
            <v>70</v>
          </cell>
          <cell r="AY630">
            <v>50</v>
          </cell>
          <cell r="AZ630" t="str">
            <v>Duplex</v>
          </cell>
          <cell r="BA630">
            <v>1</v>
          </cell>
          <cell r="BB630" t="str">
            <v>326 - With Partition</v>
          </cell>
          <cell r="BC630" t="str">
            <v>With Partition</v>
          </cell>
          <cell r="BD630" t="str">
            <v>Slant</v>
          </cell>
          <cell r="BE630" t="str">
            <v>With Partition</v>
          </cell>
          <cell r="BF630" t="str">
            <v>YELLOW</v>
          </cell>
          <cell r="BG630">
            <v>2707500</v>
          </cell>
          <cell r="BH630">
            <v>2850000</v>
          </cell>
          <cell r="BI630">
            <v>100000</v>
          </cell>
          <cell r="BJ630">
            <v>2750000</v>
          </cell>
          <cell r="BK630">
            <v>0</v>
          </cell>
          <cell r="BL630">
            <v>2750000</v>
          </cell>
        </row>
        <row r="631">
          <cell r="D631" t="str">
            <v>TS</v>
          </cell>
          <cell r="E631"/>
          <cell r="F631">
            <v>611</v>
          </cell>
          <cell r="G631" t="str">
            <v>UNSOLD</v>
          </cell>
          <cell r="H631" t="str">
            <v>VOLUNTARY</v>
          </cell>
          <cell r="I631" t="str">
            <v>FOR CANCELLATION</v>
          </cell>
          <cell r="J631" t="str">
            <v>FOR CANCELLATION</v>
          </cell>
          <cell r="K631" t="str">
            <v>FOR CANCELLATION</v>
          </cell>
          <cell r="L631" t="str">
            <v>FOR CANCELLATION</v>
          </cell>
          <cell r="M631" t="str">
            <v>FOR CANCELLATION</v>
          </cell>
          <cell r="N631" t="str">
            <v>FOR CANCELLATION</v>
          </cell>
          <cell r="O631" t="str">
            <v>FOR CANCELLATION</v>
          </cell>
          <cell r="P631" t="str">
            <v>FOR CANCELLATION</v>
          </cell>
          <cell r="Q631" t="str">
            <v>FOR CANCELLATION</v>
          </cell>
          <cell r="R631" t="str">
            <v>FOR CANCELLATION</v>
          </cell>
          <cell r="S631" t="str">
            <v>FOR CANCELLATION</v>
          </cell>
          <cell r="T631" t="str">
            <v>FOR CANCELLATION</v>
          </cell>
          <cell r="U631" t="str">
            <v>FOR CANCELLATION</v>
          </cell>
          <cell r="V631" t="str">
            <v>FOR CANCELLATION</v>
          </cell>
          <cell r="W631" t="str">
            <v>FOR CANCELLATION</v>
          </cell>
          <cell r="X631" t="str">
            <v>FOR CANCELLATION</v>
          </cell>
          <cell r="Y631" t="str">
            <v>FOR CANCELLATION</v>
          </cell>
          <cell r="Z631" t="str">
            <v>WITH BRN</v>
          </cell>
          <cell r="AA631" t="str">
            <v>OPEN</v>
          </cell>
          <cell r="AB631" t="str">
            <v>FOR CANCELLATION</v>
          </cell>
          <cell r="AC631" t="str">
            <v>FOR CANCELLATION</v>
          </cell>
          <cell r="AD631" t="str">
            <v>AGM-01-027-036</v>
          </cell>
          <cell r="AE631" t="str">
            <v xml:space="preserve">Raemulan Lands, Inc. </v>
          </cell>
          <cell r="AF631" t="str">
            <v>Agapeya</v>
          </cell>
          <cell r="AG631" t="str">
            <v>AGM</v>
          </cell>
          <cell r="AH631" t="str">
            <v>Eco-High</v>
          </cell>
          <cell r="AI631" t="str">
            <v>West</v>
          </cell>
          <cell r="AJ631" t="str">
            <v>With LTS</v>
          </cell>
          <cell r="AK631" t="str">
            <v>Unaffected lots</v>
          </cell>
          <cell r="AL631" t="str">
            <v>Unaffected lots</v>
          </cell>
          <cell r="AM631" t="b">
            <v>1</v>
          </cell>
          <cell r="AN631" t="str">
            <v>YES</v>
          </cell>
          <cell r="AO631" t="str">
            <v>2024 Batch</v>
          </cell>
          <cell r="AP631">
            <v>70</v>
          </cell>
          <cell r="AQ631" t="str">
            <v>PCS-04-034298</v>
          </cell>
          <cell r="AR631" t="b">
            <v>1</v>
          </cell>
          <cell r="AS631" t="str">
            <v>Done</v>
          </cell>
          <cell r="AT631" t="str">
            <v>2024 Batch</v>
          </cell>
          <cell r="AU631">
            <v>27</v>
          </cell>
          <cell r="AV631">
            <v>36</v>
          </cell>
          <cell r="AW631" t="str">
            <v>H+L</v>
          </cell>
          <cell r="AX631">
            <v>70</v>
          </cell>
          <cell r="AY631">
            <v>50</v>
          </cell>
          <cell r="AZ631" t="str">
            <v>Duplex</v>
          </cell>
          <cell r="BA631">
            <v>1</v>
          </cell>
          <cell r="BB631" t="str">
            <v>326 - With Partition</v>
          </cell>
          <cell r="BC631" t="str">
            <v>With Partition</v>
          </cell>
          <cell r="BD631" t="str">
            <v>Flat</v>
          </cell>
          <cell r="BE631" t="str">
            <v>With Partition</v>
          </cell>
          <cell r="BF631" t="str">
            <v>YELLOW</v>
          </cell>
          <cell r="BG631">
            <v>2707500</v>
          </cell>
          <cell r="BH631">
            <v>2850000</v>
          </cell>
          <cell r="BI631">
            <v>100000</v>
          </cell>
          <cell r="BJ631">
            <v>2750000</v>
          </cell>
          <cell r="BK631">
            <v>0</v>
          </cell>
          <cell r="BL631">
            <v>2750000</v>
          </cell>
        </row>
        <row r="632">
          <cell r="D632" t="str">
            <v>OS</v>
          </cell>
          <cell r="E632"/>
          <cell r="F632">
            <v>612</v>
          </cell>
          <cell r="G632" t="str">
            <v>SOLD</v>
          </cell>
          <cell r="H632" t="str">
            <v>OS</v>
          </cell>
          <cell r="I632" t="str">
            <v>OS</v>
          </cell>
          <cell r="J632" t="str">
            <v>OS</v>
          </cell>
          <cell r="K632" t="str">
            <v>OS</v>
          </cell>
          <cell r="L632" t="str">
            <v>OS</v>
          </cell>
          <cell r="M632" t="str">
            <v>OS</v>
          </cell>
          <cell r="N632" t="str">
            <v>OS</v>
          </cell>
          <cell r="O632" t="str">
            <v>OS</v>
          </cell>
          <cell r="P632" t="str">
            <v>OS</v>
          </cell>
          <cell r="Q632" t="str">
            <v>OS</v>
          </cell>
          <cell r="R632" t="str">
            <v>OS</v>
          </cell>
          <cell r="S632" t="str">
            <v>OS</v>
          </cell>
          <cell r="T632" t="str">
            <v>OS</v>
          </cell>
          <cell r="U632" t="str">
            <v>OS</v>
          </cell>
          <cell r="V632" t="str">
            <v>OS</v>
          </cell>
          <cell r="W632" t="str">
            <v>OS</v>
          </cell>
          <cell r="X632" t="str">
            <v>OS</v>
          </cell>
          <cell r="Y632" t="str">
            <v>OS</v>
          </cell>
          <cell r="Z632" t="str">
            <v>OS</v>
          </cell>
          <cell r="AA632" t="str">
            <v>OS</v>
          </cell>
          <cell r="AB632" t="str">
            <v>OS</v>
          </cell>
          <cell r="AC632" t="str">
            <v>OS</v>
          </cell>
          <cell r="AD632" t="str">
            <v>AGM-01-027-037</v>
          </cell>
          <cell r="AE632" t="str">
            <v xml:space="preserve">Raemulan Lands, Inc. </v>
          </cell>
          <cell r="AF632" t="str">
            <v>Agapeya</v>
          </cell>
          <cell r="AG632" t="str">
            <v>AGM</v>
          </cell>
          <cell r="AH632" t="str">
            <v>Eco-High</v>
          </cell>
          <cell r="AI632" t="str">
            <v>West</v>
          </cell>
          <cell r="AJ632" t="str">
            <v>With LTS</v>
          </cell>
          <cell r="AK632" t="str">
            <v>Unaffected lots</v>
          </cell>
          <cell r="AL632" t="str">
            <v>Unaffected lots</v>
          </cell>
          <cell r="AM632" t="b">
            <v>1</v>
          </cell>
          <cell r="AN632" t="str">
            <v>YES</v>
          </cell>
          <cell r="AO632" t="str">
            <v>2024 Batch</v>
          </cell>
          <cell r="AP632">
            <v>70</v>
          </cell>
          <cell r="AQ632" t="str">
            <v>PCS-04-034298</v>
          </cell>
          <cell r="AR632" t="b">
            <v>1</v>
          </cell>
          <cell r="AS632" t="str">
            <v>Done</v>
          </cell>
          <cell r="AT632" t="str">
            <v>2024 Batch</v>
          </cell>
          <cell r="AU632">
            <v>27</v>
          </cell>
          <cell r="AV632">
            <v>37</v>
          </cell>
          <cell r="AW632" t="str">
            <v>H+L</v>
          </cell>
          <cell r="AX632">
            <v>70</v>
          </cell>
          <cell r="AY632">
            <v>50</v>
          </cell>
          <cell r="AZ632" t="str">
            <v>Duplex</v>
          </cell>
          <cell r="BA632">
            <v>1</v>
          </cell>
          <cell r="BB632" t="str">
            <v>326 - With Partition</v>
          </cell>
          <cell r="BC632" t="str">
            <v>With Partition</v>
          </cell>
          <cell r="BD632" t="str">
            <v>Flat</v>
          </cell>
          <cell r="BE632" t="str">
            <v>With Partition</v>
          </cell>
          <cell r="BF632" t="str">
            <v>YELLOW</v>
          </cell>
          <cell r="BG632">
            <v>2707500</v>
          </cell>
          <cell r="BH632">
            <v>2850000</v>
          </cell>
          <cell r="BI632">
            <v>100000</v>
          </cell>
          <cell r="BJ632">
            <v>2750000</v>
          </cell>
          <cell r="BK632">
            <v>0</v>
          </cell>
          <cell r="BL632">
            <v>2750000</v>
          </cell>
        </row>
        <row r="633">
          <cell r="D633" t="str">
            <v>OS</v>
          </cell>
          <cell r="E633"/>
          <cell r="F633">
            <v>613</v>
          </cell>
          <cell r="G633" t="str">
            <v>SOLD</v>
          </cell>
          <cell r="H633" t="str">
            <v>OS</v>
          </cell>
          <cell r="I633" t="str">
            <v>OS</v>
          </cell>
          <cell r="J633" t="str">
            <v>OS</v>
          </cell>
          <cell r="K633" t="str">
            <v>OS</v>
          </cell>
          <cell r="L633" t="str">
            <v>OS</v>
          </cell>
          <cell r="M633" t="str">
            <v>OS</v>
          </cell>
          <cell r="N633" t="str">
            <v>OS</v>
          </cell>
          <cell r="O633" t="str">
            <v>OS</v>
          </cell>
          <cell r="P633" t="str">
            <v>OS</v>
          </cell>
          <cell r="Q633" t="str">
            <v>OS</v>
          </cell>
          <cell r="R633" t="str">
            <v>OS</v>
          </cell>
          <cell r="S633" t="str">
            <v>OS</v>
          </cell>
          <cell r="T633" t="str">
            <v>OS</v>
          </cell>
          <cell r="U633" t="str">
            <v>OS</v>
          </cell>
          <cell r="V633" t="str">
            <v>OS</v>
          </cell>
          <cell r="W633" t="str">
            <v>OS</v>
          </cell>
          <cell r="X633" t="str">
            <v>OS</v>
          </cell>
          <cell r="Y633" t="str">
            <v>OS</v>
          </cell>
          <cell r="Z633" t="str">
            <v>OS</v>
          </cell>
          <cell r="AA633" t="str">
            <v>OS</v>
          </cell>
          <cell r="AB633" t="str">
            <v>OS</v>
          </cell>
          <cell r="AC633" t="str">
            <v>OS</v>
          </cell>
          <cell r="AD633" t="str">
            <v>AGM-01-027-038</v>
          </cell>
          <cell r="AE633" t="str">
            <v xml:space="preserve">Raemulan Lands, Inc. </v>
          </cell>
          <cell r="AF633" t="str">
            <v>Agapeya</v>
          </cell>
          <cell r="AG633" t="str">
            <v>AGM</v>
          </cell>
          <cell r="AH633" t="str">
            <v>Eco-High</v>
          </cell>
          <cell r="AI633" t="str">
            <v>West</v>
          </cell>
          <cell r="AJ633" t="str">
            <v>With LTS</v>
          </cell>
          <cell r="AK633" t="str">
            <v>Unaffected lots</v>
          </cell>
          <cell r="AL633" t="str">
            <v>Unaffected lots</v>
          </cell>
          <cell r="AM633" t="b">
            <v>1</v>
          </cell>
          <cell r="AN633" t="str">
            <v>YES</v>
          </cell>
          <cell r="AO633" t="str">
            <v>2024 Batch</v>
          </cell>
          <cell r="AP633">
            <v>70</v>
          </cell>
          <cell r="AQ633" t="str">
            <v>PCS-04-034298</v>
          </cell>
          <cell r="AR633" t="b">
            <v>1</v>
          </cell>
          <cell r="AS633" t="str">
            <v>Done</v>
          </cell>
          <cell r="AT633" t="str">
            <v>2024 Batch</v>
          </cell>
          <cell r="AU633">
            <v>27</v>
          </cell>
          <cell r="AV633">
            <v>38</v>
          </cell>
          <cell r="AW633" t="str">
            <v>H+L</v>
          </cell>
          <cell r="AX633">
            <v>70</v>
          </cell>
          <cell r="AY633">
            <v>50</v>
          </cell>
          <cell r="AZ633" t="str">
            <v>Duplex</v>
          </cell>
          <cell r="BA633">
            <v>1</v>
          </cell>
          <cell r="BB633" t="str">
            <v>326 - With Partition</v>
          </cell>
          <cell r="BC633" t="str">
            <v xml:space="preserve">Without Partition </v>
          </cell>
          <cell r="BD633" t="str">
            <v>Slant</v>
          </cell>
          <cell r="BE633" t="str">
            <v xml:space="preserve">Without Partition </v>
          </cell>
          <cell r="BF633" t="str">
            <v>YELLOW</v>
          </cell>
          <cell r="BG633">
            <v>2500000</v>
          </cell>
          <cell r="BH633">
            <v>2650000</v>
          </cell>
          <cell r="BI633">
            <v>100000</v>
          </cell>
          <cell r="BJ633">
            <v>2550000</v>
          </cell>
          <cell r="BK633">
            <v>0</v>
          </cell>
          <cell r="BL633">
            <v>2550000</v>
          </cell>
        </row>
        <row r="634">
          <cell r="D634" t="str">
            <v>OS</v>
          </cell>
          <cell r="E634"/>
          <cell r="F634">
            <v>614</v>
          </cell>
          <cell r="G634" t="str">
            <v>UNSOLD</v>
          </cell>
          <cell r="H634" t="str">
            <v>VOLUNTARY</v>
          </cell>
          <cell r="I634" t="str">
            <v>VOLUNTARY</v>
          </cell>
          <cell r="J634" t="str">
            <v>VOLUNTARY</v>
          </cell>
          <cell r="K634" t="str">
            <v>VOLUNTARY</v>
          </cell>
          <cell r="L634" t="str">
            <v>TS</v>
          </cell>
          <cell r="M634" t="str">
            <v>FOR CANCELLATION</v>
          </cell>
          <cell r="N634" t="str">
            <v>TS</v>
          </cell>
          <cell r="O634" t="str">
            <v>TS</v>
          </cell>
          <cell r="P634" t="str">
            <v>TS</v>
          </cell>
          <cell r="Q634" t="str">
            <v>TS</v>
          </cell>
          <cell r="R634" t="str">
            <v>TS</v>
          </cell>
          <cell r="S634" t="str">
            <v>TS</v>
          </cell>
          <cell r="T634" t="str">
            <v>TS</v>
          </cell>
          <cell r="U634" t="str">
            <v>OS</v>
          </cell>
          <cell r="V634" t="str">
            <v>OS</v>
          </cell>
          <cell r="W634" t="str">
            <v>TS</v>
          </cell>
          <cell r="X634" t="str">
            <v>OS</v>
          </cell>
          <cell r="Y634" t="str">
            <v>OS</v>
          </cell>
          <cell r="Z634" t="str">
            <v>OS</v>
          </cell>
          <cell r="AA634" t="str">
            <v>OS</v>
          </cell>
          <cell r="AB634" t="str">
            <v>OS</v>
          </cell>
          <cell r="AC634" t="str">
            <v>OS</v>
          </cell>
          <cell r="AD634" t="str">
            <v>AGM-01-027-039</v>
          </cell>
          <cell r="AE634" t="str">
            <v xml:space="preserve">Raemulan Lands, Inc. </v>
          </cell>
          <cell r="AF634" t="str">
            <v>Agapeya</v>
          </cell>
          <cell r="AG634" t="str">
            <v>AGM</v>
          </cell>
          <cell r="AH634" t="str">
            <v>Eco-High</v>
          </cell>
          <cell r="AI634" t="str">
            <v>West</v>
          </cell>
          <cell r="AJ634" t="str">
            <v>With LTS</v>
          </cell>
          <cell r="AK634" t="str">
            <v>Unaffected lots</v>
          </cell>
          <cell r="AL634" t="str">
            <v>Unaffected lots</v>
          </cell>
          <cell r="AM634" t="b">
            <v>1</v>
          </cell>
          <cell r="AN634" t="str">
            <v>YES</v>
          </cell>
          <cell r="AO634" t="str">
            <v>2024 Batch</v>
          </cell>
          <cell r="AP634">
            <v>80</v>
          </cell>
          <cell r="AQ634" t="str">
            <v>PCS-04-034298</v>
          </cell>
          <cell r="AR634" t="b">
            <v>1</v>
          </cell>
          <cell r="AS634" t="str">
            <v>Done</v>
          </cell>
          <cell r="AT634" t="str">
            <v>2024 Batch</v>
          </cell>
          <cell r="AU634">
            <v>27</v>
          </cell>
          <cell r="AV634">
            <v>39</v>
          </cell>
          <cell r="AW634" t="str">
            <v>H+L</v>
          </cell>
          <cell r="AX634">
            <v>80</v>
          </cell>
          <cell r="AY634">
            <v>50</v>
          </cell>
          <cell r="AZ634" t="str">
            <v>Duplex</v>
          </cell>
          <cell r="BA634">
            <v>1</v>
          </cell>
          <cell r="BB634" t="str">
            <v>326 - With Partition</v>
          </cell>
          <cell r="BC634" t="str">
            <v xml:space="preserve">Without Partition </v>
          </cell>
          <cell r="BD634" t="str">
            <v>Slant</v>
          </cell>
          <cell r="BE634" t="str">
            <v xml:space="preserve">Without Partition </v>
          </cell>
          <cell r="BF634" t="str">
            <v>PINK</v>
          </cell>
          <cell r="BG634">
            <v>2900000</v>
          </cell>
          <cell r="BH634">
            <v>2800000</v>
          </cell>
          <cell r="BI634">
            <v>100000</v>
          </cell>
          <cell r="BJ634">
            <v>2700000</v>
          </cell>
          <cell r="BK634">
            <v>0</v>
          </cell>
          <cell r="BL634">
            <v>2700000</v>
          </cell>
        </row>
        <row r="635">
          <cell r="D635" t="str">
            <v>TS</v>
          </cell>
          <cell r="E635"/>
          <cell r="F635">
            <v>615</v>
          </cell>
          <cell r="G635" t="str">
            <v>UNSOLD</v>
          </cell>
          <cell r="H635" t="str">
            <v>OPEN</v>
          </cell>
          <cell r="I635" t="str">
            <v>TS</v>
          </cell>
          <cell r="J635" t="str">
            <v>TS</v>
          </cell>
          <cell r="K635" t="str">
            <v>TS</v>
          </cell>
          <cell r="L635" t="str">
            <v>TS</v>
          </cell>
          <cell r="M635" t="str">
            <v>TS</v>
          </cell>
          <cell r="N635" t="str">
            <v>TS</v>
          </cell>
          <cell r="O635" t="str">
            <v>TS</v>
          </cell>
          <cell r="P635" t="str">
            <v>TS</v>
          </cell>
          <cell r="Q635" t="str">
            <v>TS</v>
          </cell>
          <cell r="R635" t="str">
            <v>TS</v>
          </cell>
          <cell r="S635" t="str">
            <v>TS</v>
          </cell>
          <cell r="T635" t="str">
            <v>TS</v>
          </cell>
          <cell r="U635" t="str">
            <v>OS</v>
          </cell>
          <cell r="V635" t="str">
            <v>OS</v>
          </cell>
          <cell r="W635" t="str">
            <v>OS</v>
          </cell>
          <cell r="X635" t="str">
            <v>OS</v>
          </cell>
          <cell r="Y635" t="str">
            <v>TS</v>
          </cell>
          <cell r="Z635" t="str">
            <v>TS</v>
          </cell>
          <cell r="AA635" t="str">
            <v>TS</v>
          </cell>
          <cell r="AB635" t="str">
            <v>TS</v>
          </cell>
          <cell r="AC635" t="str">
            <v>TS</v>
          </cell>
          <cell r="AD635" t="str">
            <v>AGM-01-027-040</v>
          </cell>
          <cell r="AE635" t="str">
            <v xml:space="preserve">Raemulan Lands, Inc. </v>
          </cell>
          <cell r="AF635" t="str">
            <v>Agapeya</v>
          </cell>
          <cell r="AG635" t="str">
            <v>AGM</v>
          </cell>
          <cell r="AH635" t="str">
            <v>Eco-High</v>
          </cell>
          <cell r="AI635" t="str">
            <v>West</v>
          </cell>
          <cell r="AJ635" t="str">
            <v>With LTS</v>
          </cell>
          <cell r="AK635" t="str">
            <v>Unaffected lots</v>
          </cell>
          <cell r="AL635" t="str">
            <v>Unaffected lots</v>
          </cell>
          <cell r="AM635" t="b">
            <v>1</v>
          </cell>
          <cell r="AN635" t="str">
            <v>YES</v>
          </cell>
          <cell r="AO635" t="str">
            <v>2024 Batch</v>
          </cell>
          <cell r="AP635">
            <v>80</v>
          </cell>
          <cell r="AQ635" t="str">
            <v>PCS-04-034298</v>
          </cell>
          <cell r="AR635" t="b">
            <v>1</v>
          </cell>
          <cell r="AS635" t="str">
            <v>Done</v>
          </cell>
          <cell r="AT635" t="str">
            <v>2024 Batch</v>
          </cell>
          <cell r="AU635">
            <v>27</v>
          </cell>
          <cell r="AV635">
            <v>40</v>
          </cell>
          <cell r="AW635" t="str">
            <v>H+L</v>
          </cell>
          <cell r="AX635">
            <v>80</v>
          </cell>
          <cell r="AY635">
            <v>50</v>
          </cell>
          <cell r="AZ635" t="str">
            <v>Duplex</v>
          </cell>
          <cell r="BA635">
            <v>1</v>
          </cell>
          <cell r="BB635" t="str">
            <v>326 - With Partition</v>
          </cell>
          <cell r="BC635" t="str">
            <v xml:space="preserve">Without Partition </v>
          </cell>
          <cell r="BD635" t="str">
            <v>Flat</v>
          </cell>
          <cell r="BE635" t="str">
            <v xml:space="preserve">Without Partition </v>
          </cell>
          <cell r="BF635" t="str">
            <v>PINK</v>
          </cell>
          <cell r="BG635">
            <v>2419813.06041107</v>
          </cell>
          <cell r="BH635">
            <v>2800000</v>
          </cell>
          <cell r="BI635">
            <v>100000</v>
          </cell>
          <cell r="BJ635">
            <v>2700000</v>
          </cell>
          <cell r="BK635">
            <v>0</v>
          </cell>
          <cell r="BL635">
            <v>2700000</v>
          </cell>
        </row>
        <row r="636">
          <cell r="D636" t="str">
            <v>OS</v>
          </cell>
          <cell r="E636"/>
          <cell r="F636">
            <v>616</v>
          </cell>
          <cell r="G636" t="str">
            <v>SOLD</v>
          </cell>
          <cell r="H636" t="str">
            <v>OS</v>
          </cell>
          <cell r="I636" t="str">
            <v>OS</v>
          </cell>
          <cell r="J636" t="str">
            <v>OS</v>
          </cell>
          <cell r="K636" t="str">
            <v>OS</v>
          </cell>
          <cell r="L636" t="str">
            <v>OS</v>
          </cell>
          <cell r="M636" t="str">
            <v>OS</v>
          </cell>
          <cell r="N636" t="str">
            <v>OS</v>
          </cell>
          <cell r="O636" t="str">
            <v>OS</v>
          </cell>
          <cell r="P636" t="str">
            <v>OS</v>
          </cell>
          <cell r="Q636" t="str">
            <v>OS</v>
          </cell>
          <cell r="R636" t="str">
            <v>OS</v>
          </cell>
          <cell r="S636" t="str">
            <v>OS</v>
          </cell>
          <cell r="T636" t="str">
            <v>OS</v>
          </cell>
          <cell r="U636" t="str">
            <v>OS</v>
          </cell>
          <cell r="V636" t="str">
            <v>OS</v>
          </cell>
          <cell r="W636" t="str">
            <v>OS</v>
          </cell>
          <cell r="X636" t="str">
            <v>OS</v>
          </cell>
          <cell r="Y636" t="str">
            <v>OS</v>
          </cell>
          <cell r="Z636" t="str">
            <v>OS</v>
          </cell>
          <cell r="AA636" t="str">
            <v>OS</v>
          </cell>
          <cell r="AB636" t="str">
            <v>OS</v>
          </cell>
          <cell r="AC636" t="str">
            <v>OS</v>
          </cell>
          <cell r="AD636" t="str">
            <v>AGM-01-027-041</v>
          </cell>
          <cell r="AE636" t="str">
            <v xml:space="preserve">Raemulan Lands, Inc. </v>
          </cell>
          <cell r="AF636" t="str">
            <v>Agapeya</v>
          </cell>
          <cell r="AG636" t="str">
            <v>AGM</v>
          </cell>
          <cell r="AH636" t="str">
            <v>Eco-High</v>
          </cell>
          <cell r="AI636" t="str">
            <v>West</v>
          </cell>
          <cell r="AJ636" t="str">
            <v>With LTS</v>
          </cell>
          <cell r="AK636" t="str">
            <v>Unaffected lots</v>
          </cell>
          <cell r="AL636" t="str">
            <v>Unaffected lots</v>
          </cell>
          <cell r="AM636" t="b">
            <v>1</v>
          </cell>
          <cell r="AN636" t="str">
            <v>YES</v>
          </cell>
          <cell r="AO636" t="str">
            <v>2024 Batch</v>
          </cell>
          <cell r="AP636">
            <v>80</v>
          </cell>
          <cell r="AQ636" t="str">
            <v>PCS-04-034298</v>
          </cell>
          <cell r="AR636" t="b">
            <v>1</v>
          </cell>
          <cell r="AS636" t="str">
            <v>Done</v>
          </cell>
          <cell r="AT636" t="str">
            <v>2024 Batch</v>
          </cell>
          <cell r="AU636">
            <v>27</v>
          </cell>
          <cell r="AV636">
            <v>41</v>
          </cell>
          <cell r="AW636" t="str">
            <v>H+L</v>
          </cell>
          <cell r="AX636">
            <v>80</v>
          </cell>
          <cell r="AY636">
            <v>50</v>
          </cell>
          <cell r="AZ636" t="str">
            <v>Duplex</v>
          </cell>
          <cell r="BA636">
            <v>1</v>
          </cell>
          <cell r="BB636" t="str">
            <v>326 - With Partition</v>
          </cell>
          <cell r="BC636" t="str">
            <v xml:space="preserve">Without Partition </v>
          </cell>
          <cell r="BD636" t="str">
            <v>Flat</v>
          </cell>
          <cell r="BE636" t="str">
            <v xml:space="preserve">Without Partition </v>
          </cell>
          <cell r="BF636" t="str">
            <v>PINK</v>
          </cell>
          <cell r="BG636">
            <v>2650000</v>
          </cell>
          <cell r="BH636">
            <v>2800000</v>
          </cell>
          <cell r="BI636">
            <v>100000</v>
          </cell>
          <cell r="BJ636">
            <v>2700000</v>
          </cell>
          <cell r="BK636">
            <v>0</v>
          </cell>
          <cell r="BL636">
            <v>2700000</v>
          </cell>
        </row>
        <row r="637">
          <cell r="D637" t="str">
            <v>OS</v>
          </cell>
          <cell r="E637"/>
          <cell r="F637">
            <v>617</v>
          </cell>
          <cell r="G637" t="str">
            <v>SOLD</v>
          </cell>
          <cell r="H637" t="str">
            <v>OS</v>
          </cell>
          <cell r="I637" t="str">
            <v>OS</v>
          </cell>
          <cell r="J637" t="str">
            <v>OS</v>
          </cell>
          <cell r="K637" t="str">
            <v>OS</v>
          </cell>
          <cell r="L637" t="str">
            <v>OS</v>
          </cell>
          <cell r="M637" t="str">
            <v>OS</v>
          </cell>
          <cell r="N637" t="str">
            <v>OS</v>
          </cell>
          <cell r="O637" t="str">
            <v>OS</v>
          </cell>
          <cell r="P637" t="str">
            <v>OS</v>
          </cell>
          <cell r="Q637" t="str">
            <v>OS</v>
          </cell>
          <cell r="R637" t="str">
            <v>OS</v>
          </cell>
          <cell r="S637" t="str">
            <v>OS</v>
          </cell>
          <cell r="T637" t="str">
            <v>OS</v>
          </cell>
          <cell r="U637" t="str">
            <v>OS</v>
          </cell>
          <cell r="V637" t="str">
            <v>OS</v>
          </cell>
          <cell r="W637" t="str">
            <v>OS</v>
          </cell>
          <cell r="X637" t="str">
            <v>OS</v>
          </cell>
          <cell r="Y637" t="str">
            <v>OS</v>
          </cell>
          <cell r="Z637" t="str">
            <v>OS</v>
          </cell>
          <cell r="AA637" t="str">
            <v>OS</v>
          </cell>
          <cell r="AB637" t="str">
            <v>OS</v>
          </cell>
          <cell r="AC637" t="str">
            <v>OS</v>
          </cell>
          <cell r="AD637" t="str">
            <v>AGM-01-027-042</v>
          </cell>
          <cell r="AE637" t="str">
            <v xml:space="preserve">Raemulan Lands, Inc. </v>
          </cell>
          <cell r="AF637" t="str">
            <v>Agapeya</v>
          </cell>
          <cell r="AG637" t="str">
            <v>AGM</v>
          </cell>
          <cell r="AH637" t="str">
            <v>Eco-High</v>
          </cell>
          <cell r="AI637" t="str">
            <v>West</v>
          </cell>
          <cell r="AJ637" t="str">
            <v>With LTS</v>
          </cell>
          <cell r="AK637" t="str">
            <v>Unaffected lots</v>
          </cell>
          <cell r="AL637" t="str">
            <v>Unaffected lots</v>
          </cell>
          <cell r="AM637" t="b">
            <v>1</v>
          </cell>
          <cell r="AN637" t="str">
            <v>YES</v>
          </cell>
          <cell r="AO637" t="str">
            <v>2024 Batch</v>
          </cell>
          <cell r="AP637">
            <v>80</v>
          </cell>
          <cell r="AQ637" t="str">
            <v>PCS-04-034298</v>
          </cell>
          <cell r="AR637" t="b">
            <v>1</v>
          </cell>
          <cell r="AS637" t="str">
            <v>Done</v>
          </cell>
          <cell r="AT637" t="str">
            <v>2024 Batch</v>
          </cell>
          <cell r="AU637">
            <v>27</v>
          </cell>
          <cell r="AV637">
            <v>42</v>
          </cell>
          <cell r="AW637" t="str">
            <v>H+L</v>
          </cell>
          <cell r="AX637">
            <v>80</v>
          </cell>
          <cell r="AY637">
            <v>50</v>
          </cell>
          <cell r="AZ637" t="str">
            <v>Duplex</v>
          </cell>
          <cell r="BA637">
            <v>1</v>
          </cell>
          <cell r="BB637" t="str">
            <v>326 - With Partition</v>
          </cell>
          <cell r="BC637" t="str">
            <v>With Partition</v>
          </cell>
          <cell r="BD637" t="str">
            <v>Slant</v>
          </cell>
          <cell r="BE637" t="str">
            <v>With Partition</v>
          </cell>
          <cell r="BF637" t="str">
            <v>PINK</v>
          </cell>
          <cell r="BG637">
            <v>2750000</v>
          </cell>
          <cell r="BH637">
            <v>3000000</v>
          </cell>
          <cell r="BI637">
            <v>100000</v>
          </cell>
          <cell r="BJ637">
            <v>2900000</v>
          </cell>
          <cell r="BK637">
            <v>0</v>
          </cell>
          <cell r="BL637">
            <v>2900000</v>
          </cell>
        </row>
        <row r="638">
          <cell r="D638" t="str">
            <v>OS</v>
          </cell>
          <cell r="E638"/>
          <cell r="F638">
            <v>618</v>
          </cell>
          <cell r="G638" t="str">
            <v>CLOSED</v>
          </cell>
          <cell r="H638" t="str">
            <v>OPEN</v>
          </cell>
          <cell r="I638" t="str">
            <v>OPEN</v>
          </cell>
          <cell r="J638" t="str">
            <v>FOR CMAP/BRN</v>
          </cell>
          <cell r="K638" t="str">
            <v>TS</v>
          </cell>
          <cell r="L638" t="str">
            <v>TS</v>
          </cell>
          <cell r="M638" t="str">
            <v>OS</v>
          </cell>
          <cell r="N638" t="str">
            <v>TS</v>
          </cell>
          <cell r="O638" t="str">
            <v>TS</v>
          </cell>
          <cell r="P638" t="str">
            <v>TS</v>
          </cell>
          <cell r="Q638" t="str">
            <v>TS</v>
          </cell>
          <cell r="R638" t="str">
            <v>TS</v>
          </cell>
          <cell r="S638" t="str">
            <v>TS</v>
          </cell>
          <cell r="T638" t="str">
            <v>TS</v>
          </cell>
          <cell r="U638" t="str">
            <v>OS</v>
          </cell>
          <cell r="V638" t="str">
            <v>OS</v>
          </cell>
          <cell r="W638" t="str">
            <v>OS</v>
          </cell>
          <cell r="X638" t="str">
            <v>OS</v>
          </cell>
          <cell r="Y638" t="str">
            <v>OS</v>
          </cell>
          <cell r="Z638" t="str">
            <v>OS</v>
          </cell>
          <cell r="AA638" t="str">
            <v>OS</v>
          </cell>
          <cell r="AB638" t="str">
            <v>OS</v>
          </cell>
          <cell r="AC638" t="str">
            <v>OS</v>
          </cell>
          <cell r="AD638" t="str">
            <v>AGM-01-027-043</v>
          </cell>
          <cell r="AE638" t="str">
            <v xml:space="preserve">Raemulan Lands, Inc. </v>
          </cell>
          <cell r="AF638" t="str">
            <v>Agapeya</v>
          </cell>
          <cell r="AG638" t="str">
            <v>AGM</v>
          </cell>
          <cell r="AH638" t="str">
            <v>Eco-High</v>
          </cell>
          <cell r="AI638" t="str">
            <v>West</v>
          </cell>
          <cell r="AJ638" t="str">
            <v>With LTS</v>
          </cell>
          <cell r="AK638" t="str">
            <v>Unaffected lots</v>
          </cell>
          <cell r="AL638" t="str">
            <v>Unaffected lots</v>
          </cell>
          <cell r="AM638" t="b">
            <v>1</v>
          </cell>
          <cell r="AN638" t="str">
            <v>YES</v>
          </cell>
          <cell r="AO638" t="str">
            <v>B1 - Lot Only</v>
          </cell>
          <cell r="AP638">
            <v>117</v>
          </cell>
          <cell r="AQ638" t="str">
            <v>PCS-04-034298</v>
          </cell>
          <cell r="AR638" t="b">
            <v>1</v>
          </cell>
          <cell r="AS638" t="str">
            <v>Done</v>
          </cell>
          <cell r="AT638" t="str">
            <v>Lot Only - N/A</v>
          </cell>
          <cell r="AU638">
            <v>27</v>
          </cell>
          <cell r="AV638">
            <v>43</v>
          </cell>
          <cell r="AW638" t="str">
            <v>LO</v>
          </cell>
          <cell r="AX638">
            <v>117</v>
          </cell>
          <cell r="AY638" t="str">
            <v>N/A</v>
          </cell>
          <cell r="AZ638" t="str">
            <v>Lot Only</v>
          </cell>
          <cell r="BA638" t="str">
            <v>NA</v>
          </cell>
          <cell r="BB638" t="str">
            <v>N/A</v>
          </cell>
          <cell r="BC638" t="str">
            <v>N/A - LOT ONLY</v>
          </cell>
          <cell r="BD638" t="str">
            <v>-</v>
          </cell>
          <cell r="BE638" t="str">
            <v>N/A - LOT ONLY</v>
          </cell>
          <cell r="BF638" t="str">
            <v>N/A - LOT ONLY</v>
          </cell>
          <cell r="BG638">
            <v>2419813.06041107</v>
          </cell>
          <cell r="BH638">
            <v>1855000</v>
          </cell>
          <cell r="BI638">
            <v>100000</v>
          </cell>
          <cell r="BJ638">
            <v>1755000</v>
          </cell>
          <cell r="BK638">
            <v>188035.71428571429</v>
          </cell>
          <cell r="BL638">
            <v>1566964.2857142857</v>
          </cell>
        </row>
        <row r="639">
          <cell r="D639" t="str">
            <v>OS</v>
          </cell>
          <cell r="E639"/>
          <cell r="F639">
            <v>619</v>
          </cell>
          <cell r="G639" t="str">
            <v>SOLD</v>
          </cell>
          <cell r="H639" t="str">
            <v>OS</v>
          </cell>
          <cell r="I639" t="str">
            <v>OS</v>
          </cell>
          <cell r="J639" t="str">
            <v>OS</v>
          </cell>
          <cell r="K639" t="str">
            <v>OS</v>
          </cell>
          <cell r="L639" t="str">
            <v>OS</v>
          </cell>
          <cell r="M639" t="str">
            <v>OS</v>
          </cell>
          <cell r="N639" t="str">
            <v>OS</v>
          </cell>
          <cell r="O639" t="str">
            <v>OS</v>
          </cell>
          <cell r="P639" t="str">
            <v>OS</v>
          </cell>
          <cell r="Q639" t="str">
            <v>OS</v>
          </cell>
          <cell r="R639" t="str">
            <v>OS</v>
          </cell>
          <cell r="S639" t="str">
            <v>OS</v>
          </cell>
          <cell r="T639" t="str">
            <v>OS</v>
          </cell>
          <cell r="U639" t="str">
            <v>OS</v>
          </cell>
          <cell r="V639" t="str">
            <v>OS</v>
          </cell>
          <cell r="W639" t="str">
            <v>OS</v>
          </cell>
          <cell r="X639" t="str">
            <v>OS</v>
          </cell>
          <cell r="Y639" t="str">
            <v>OS</v>
          </cell>
          <cell r="Z639" t="str">
            <v>OS</v>
          </cell>
          <cell r="AA639" t="str">
            <v>OS</v>
          </cell>
          <cell r="AB639" t="str">
            <v>OS</v>
          </cell>
          <cell r="AC639" t="str">
            <v>OS</v>
          </cell>
          <cell r="AD639" t="str">
            <v>AGM-01-028-001</v>
          </cell>
          <cell r="AE639" t="str">
            <v xml:space="preserve">Raemulan Lands, Inc. </v>
          </cell>
          <cell r="AF639" t="str">
            <v>Agapeya</v>
          </cell>
          <cell r="AG639" t="str">
            <v>AGM</v>
          </cell>
          <cell r="AH639" t="str">
            <v>Eco-High</v>
          </cell>
          <cell r="AI639" t="str">
            <v>West</v>
          </cell>
          <cell r="AJ639" t="str">
            <v>With LTS</v>
          </cell>
          <cell r="AK639" t="str">
            <v>Unaffected lots</v>
          </cell>
          <cell r="AL639" t="str">
            <v>Unaffected lots</v>
          </cell>
          <cell r="AM639" t="b">
            <v>1</v>
          </cell>
          <cell r="AN639" t="str">
            <v>YES</v>
          </cell>
          <cell r="AO639" t="str">
            <v>2024 Batch</v>
          </cell>
          <cell r="AP639">
            <v>109</v>
          </cell>
          <cell r="AQ639" t="str">
            <v>PCS-04-034298</v>
          </cell>
          <cell r="AR639" t="b">
            <v>1</v>
          </cell>
          <cell r="AS639" t="str">
            <v>Done</v>
          </cell>
          <cell r="AT639" t="str">
            <v>2024 Batch</v>
          </cell>
          <cell r="AU639">
            <v>28</v>
          </cell>
          <cell r="AV639">
            <v>1</v>
          </cell>
          <cell r="AW639" t="str">
            <v>H+L</v>
          </cell>
          <cell r="AX639">
            <v>109</v>
          </cell>
          <cell r="AY639">
            <v>50</v>
          </cell>
          <cell r="AZ639" t="str">
            <v>Duplex</v>
          </cell>
          <cell r="BA639">
            <v>1</v>
          </cell>
          <cell r="BB639" t="str">
            <v>326 - With Partition</v>
          </cell>
          <cell r="BC639" t="str">
            <v>With Partition</v>
          </cell>
          <cell r="BD639" t="str">
            <v>Flat</v>
          </cell>
          <cell r="BE639" t="str">
            <v>With Partition</v>
          </cell>
          <cell r="BF639" t="str">
            <v>YELLOW</v>
          </cell>
          <cell r="BG639">
            <v>3344000</v>
          </cell>
          <cell r="BH639">
            <v>3435000</v>
          </cell>
          <cell r="BI639">
            <v>100000</v>
          </cell>
          <cell r="BJ639">
            <v>3335000</v>
          </cell>
          <cell r="BK639">
            <v>0</v>
          </cell>
          <cell r="BL639">
            <v>3335000</v>
          </cell>
        </row>
        <row r="640">
          <cell r="D640" t="str">
            <v>OS</v>
          </cell>
          <cell r="E640"/>
          <cell r="F640">
            <v>620</v>
          </cell>
          <cell r="G640" t="str">
            <v>SOLD</v>
          </cell>
          <cell r="H640" t="str">
            <v>OS</v>
          </cell>
          <cell r="I640" t="str">
            <v>OS</v>
          </cell>
          <cell r="J640" t="str">
            <v>OS</v>
          </cell>
          <cell r="K640" t="str">
            <v>OS</v>
          </cell>
          <cell r="L640" t="str">
            <v>OS</v>
          </cell>
          <cell r="M640" t="str">
            <v>OS</v>
          </cell>
          <cell r="N640" t="str">
            <v>OS</v>
          </cell>
          <cell r="O640" t="str">
            <v>OS</v>
          </cell>
          <cell r="P640" t="str">
            <v>OS</v>
          </cell>
          <cell r="Q640" t="str">
            <v>OS</v>
          </cell>
          <cell r="R640" t="str">
            <v>OS</v>
          </cell>
          <cell r="S640" t="str">
            <v>OS</v>
          </cell>
          <cell r="T640" t="str">
            <v>OS</v>
          </cell>
          <cell r="U640" t="str">
            <v>OS</v>
          </cell>
          <cell r="V640" t="str">
            <v>OS</v>
          </cell>
          <cell r="W640" t="str">
            <v>OS</v>
          </cell>
          <cell r="X640" t="str">
            <v>OS</v>
          </cell>
          <cell r="Y640" t="str">
            <v>OS</v>
          </cell>
          <cell r="Z640" t="str">
            <v>OS</v>
          </cell>
          <cell r="AA640" t="str">
            <v>OS</v>
          </cell>
          <cell r="AB640" t="str">
            <v>OS</v>
          </cell>
          <cell r="AC640" t="str">
            <v>OS</v>
          </cell>
          <cell r="AD640" t="str">
            <v>AGM-01-028-002</v>
          </cell>
          <cell r="AE640" t="str">
            <v xml:space="preserve">Raemulan Lands, Inc. </v>
          </cell>
          <cell r="AF640" t="str">
            <v>Agapeya</v>
          </cell>
          <cell r="AG640" t="str">
            <v>AGM</v>
          </cell>
          <cell r="AH640" t="str">
            <v>Eco-High</v>
          </cell>
          <cell r="AI640" t="str">
            <v>West</v>
          </cell>
          <cell r="AJ640" t="str">
            <v>With LTS</v>
          </cell>
          <cell r="AK640" t="str">
            <v>Unaffected lots</v>
          </cell>
          <cell r="AL640" t="str">
            <v>Unaffected lots</v>
          </cell>
          <cell r="AM640" t="b">
            <v>1</v>
          </cell>
          <cell r="AN640" t="str">
            <v>YES</v>
          </cell>
          <cell r="AO640" t="str">
            <v>2024 Batch</v>
          </cell>
          <cell r="AP640">
            <v>80</v>
          </cell>
          <cell r="AQ640" t="str">
            <v>PCS-04-034298</v>
          </cell>
          <cell r="AR640" t="b">
            <v>1</v>
          </cell>
          <cell r="AS640" t="str">
            <v>Done</v>
          </cell>
          <cell r="AT640" t="str">
            <v>2024 Batch</v>
          </cell>
          <cell r="AU640">
            <v>28</v>
          </cell>
          <cell r="AV640">
            <v>2</v>
          </cell>
          <cell r="AW640" t="str">
            <v>H+L</v>
          </cell>
          <cell r="AX640">
            <v>80</v>
          </cell>
          <cell r="AY640">
            <v>50</v>
          </cell>
          <cell r="AZ640" t="str">
            <v>Duplex</v>
          </cell>
          <cell r="BA640">
            <v>1</v>
          </cell>
          <cell r="BB640" t="str">
            <v>326 - With Partition</v>
          </cell>
          <cell r="BC640" t="str">
            <v xml:space="preserve">Without Partition </v>
          </cell>
          <cell r="BD640" t="str">
            <v>Slant</v>
          </cell>
          <cell r="BE640" t="str">
            <v xml:space="preserve">With Partition </v>
          </cell>
          <cell r="BF640" t="str">
            <v>YELLOW</v>
          </cell>
          <cell r="BG640">
            <v>2750000</v>
          </cell>
          <cell r="BH640">
            <v>2800000</v>
          </cell>
          <cell r="BI640">
            <v>100000</v>
          </cell>
          <cell r="BJ640">
            <v>2700000</v>
          </cell>
          <cell r="BK640">
            <v>0</v>
          </cell>
          <cell r="BL640">
            <v>2700000</v>
          </cell>
        </row>
        <row r="641">
          <cell r="D641" t="str">
            <v>OS</v>
          </cell>
          <cell r="E641"/>
          <cell r="F641">
            <v>621</v>
          </cell>
          <cell r="G641" t="str">
            <v>SOLD</v>
          </cell>
          <cell r="H641" t="str">
            <v>OS</v>
          </cell>
          <cell r="I641" t="str">
            <v>OS</v>
          </cell>
          <cell r="J641" t="str">
            <v>OS</v>
          </cell>
          <cell r="K641" t="str">
            <v>OS</v>
          </cell>
          <cell r="L641" t="str">
            <v>OS</v>
          </cell>
          <cell r="M641" t="str">
            <v>OS</v>
          </cell>
          <cell r="N641" t="str">
            <v>OS</v>
          </cell>
          <cell r="O641" t="str">
            <v>OS</v>
          </cell>
          <cell r="P641" t="str">
            <v>OS</v>
          </cell>
          <cell r="Q641" t="str">
            <v>OS</v>
          </cell>
          <cell r="R641" t="str">
            <v>OS</v>
          </cell>
          <cell r="S641" t="str">
            <v>OS</v>
          </cell>
          <cell r="T641" t="str">
            <v>OS</v>
          </cell>
          <cell r="U641" t="str">
            <v>OS</v>
          </cell>
          <cell r="V641" t="str">
            <v>OS</v>
          </cell>
          <cell r="W641" t="str">
            <v>OS</v>
          </cell>
          <cell r="X641" t="str">
            <v>OS</v>
          </cell>
          <cell r="Y641" t="str">
            <v>OS</v>
          </cell>
          <cell r="Z641" t="str">
            <v>OS</v>
          </cell>
          <cell r="AA641" t="str">
            <v>OS</v>
          </cell>
          <cell r="AB641" t="str">
            <v>OS</v>
          </cell>
          <cell r="AC641" t="str">
            <v>OS</v>
          </cell>
          <cell r="AD641" t="str">
            <v>AGM-01-028-003</v>
          </cell>
          <cell r="AE641" t="str">
            <v xml:space="preserve">Raemulan Lands, Inc. </v>
          </cell>
          <cell r="AF641" t="str">
            <v>Agapeya</v>
          </cell>
          <cell r="AG641" t="str">
            <v>AGM</v>
          </cell>
          <cell r="AH641" t="str">
            <v>Eco-High</v>
          </cell>
          <cell r="AI641" t="str">
            <v>West</v>
          </cell>
          <cell r="AJ641" t="str">
            <v>With LTS</v>
          </cell>
          <cell r="AK641" t="str">
            <v>Unaffected lots</v>
          </cell>
          <cell r="AL641" t="str">
            <v>Unaffected lots</v>
          </cell>
          <cell r="AM641" t="b">
            <v>1</v>
          </cell>
          <cell r="AN641" t="str">
            <v>YES</v>
          </cell>
          <cell r="AO641" t="str">
            <v>2024 Batch</v>
          </cell>
          <cell r="AP641">
            <v>80</v>
          </cell>
          <cell r="AQ641" t="str">
            <v>PCS-04-034298</v>
          </cell>
          <cell r="AR641" t="b">
            <v>1</v>
          </cell>
          <cell r="AS641" t="str">
            <v>Done</v>
          </cell>
          <cell r="AT641" t="str">
            <v>2024 Batch</v>
          </cell>
          <cell r="AU641">
            <v>28</v>
          </cell>
          <cell r="AV641">
            <v>3</v>
          </cell>
          <cell r="AW641" t="str">
            <v>H+L</v>
          </cell>
          <cell r="AX641">
            <v>80</v>
          </cell>
          <cell r="AY641">
            <v>50</v>
          </cell>
          <cell r="AZ641" t="str">
            <v>Duplex</v>
          </cell>
          <cell r="BA641">
            <v>1</v>
          </cell>
          <cell r="BB641" t="str">
            <v>326 - With Partition</v>
          </cell>
          <cell r="BC641" t="str">
            <v>With Partition</v>
          </cell>
          <cell r="BD641" t="str">
            <v>Slant</v>
          </cell>
          <cell r="BE641" t="str">
            <v>With Partition</v>
          </cell>
          <cell r="BF641" t="str">
            <v>YELLOW</v>
          </cell>
          <cell r="BG641">
            <v>2750000</v>
          </cell>
          <cell r="BH641">
            <v>3000000</v>
          </cell>
          <cell r="BI641">
            <v>100000</v>
          </cell>
          <cell r="BJ641">
            <v>2900000</v>
          </cell>
          <cell r="BK641">
            <v>0</v>
          </cell>
          <cell r="BL641">
            <v>2900000</v>
          </cell>
        </row>
        <row r="642">
          <cell r="D642" t="str">
            <v>OS</v>
          </cell>
          <cell r="E642"/>
          <cell r="F642">
            <v>622</v>
          </cell>
          <cell r="G642" t="str">
            <v>UNSOLD</v>
          </cell>
          <cell r="H642" t="str">
            <v>VOLUNTARY</v>
          </cell>
          <cell r="I642" t="str">
            <v>FOR CANCELLATION</v>
          </cell>
          <cell r="J642" t="str">
            <v>FOR CANCELLATION</v>
          </cell>
          <cell r="K642" t="str">
            <v>TS</v>
          </cell>
          <cell r="L642" t="str">
            <v>TS</v>
          </cell>
          <cell r="M642" t="str">
            <v>FOR CANCELLATION</v>
          </cell>
          <cell r="N642" t="str">
            <v>OS</v>
          </cell>
          <cell r="O642" t="str">
            <v>OS</v>
          </cell>
          <cell r="P642" t="str">
            <v>OS</v>
          </cell>
          <cell r="Q642" t="str">
            <v>OS</v>
          </cell>
          <cell r="R642" t="str">
            <v>OS</v>
          </cell>
          <cell r="S642" t="str">
            <v>OS</v>
          </cell>
          <cell r="T642" t="str">
            <v>OS</v>
          </cell>
          <cell r="U642" t="str">
            <v>OS</v>
          </cell>
          <cell r="V642" t="str">
            <v>OS</v>
          </cell>
          <cell r="W642" t="str">
            <v>OS</v>
          </cell>
          <cell r="X642" t="str">
            <v>OS</v>
          </cell>
          <cell r="Y642" t="str">
            <v>OS</v>
          </cell>
          <cell r="Z642" t="str">
            <v>OS</v>
          </cell>
          <cell r="AA642" t="str">
            <v>OS</v>
          </cell>
          <cell r="AB642" t="str">
            <v>OS</v>
          </cell>
          <cell r="AC642" t="str">
            <v>OS</v>
          </cell>
          <cell r="AD642" t="str">
            <v>AGM-01-028-004</v>
          </cell>
          <cell r="AE642" t="str">
            <v xml:space="preserve">Raemulan Lands, Inc. </v>
          </cell>
          <cell r="AF642" t="str">
            <v>Agapeya</v>
          </cell>
          <cell r="AG642" t="str">
            <v>AGM</v>
          </cell>
          <cell r="AH642" t="str">
            <v>Eco-High</v>
          </cell>
          <cell r="AI642" t="str">
            <v>West</v>
          </cell>
          <cell r="AJ642" t="str">
            <v>With LTS</v>
          </cell>
          <cell r="AK642" t="str">
            <v>Unaffected lots</v>
          </cell>
          <cell r="AL642" t="str">
            <v>Unaffected lots</v>
          </cell>
          <cell r="AM642" t="b">
            <v>1</v>
          </cell>
          <cell r="AN642" t="str">
            <v>YES</v>
          </cell>
          <cell r="AO642" t="str">
            <v>2024 Batch</v>
          </cell>
          <cell r="AP642">
            <v>80</v>
          </cell>
          <cell r="AQ642" t="str">
            <v>PCS-04-034298</v>
          </cell>
          <cell r="AR642" t="b">
            <v>1</v>
          </cell>
          <cell r="AS642" t="str">
            <v>Done</v>
          </cell>
          <cell r="AT642" t="str">
            <v>2024 Batch</v>
          </cell>
          <cell r="AU642">
            <v>28</v>
          </cell>
          <cell r="AV642">
            <v>4</v>
          </cell>
          <cell r="AW642" t="str">
            <v>H+L</v>
          </cell>
          <cell r="AX642">
            <v>80</v>
          </cell>
          <cell r="AY642">
            <v>50</v>
          </cell>
          <cell r="AZ642" t="str">
            <v>Duplex</v>
          </cell>
          <cell r="BA642">
            <v>1</v>
          </cell>
          <cell r="BB642" t="str">
            <v>326 - With Partition</v>
          </cell>
          <cell r="BC642" t="str">
            <v xml:space="preserve">Without Partition </v>
          </cell>
          <cell r="BD642" t="str">
            <v>Flat</v>
          </cell>
          <cell r="BE642" t="str">
            <v xml:space="preserve">Without Partition </v>
          </cell>
          <cell r="BF642" t="str">
            <v>YELLOW</v>
          </cell>
          <cell r="BG642">
            <v>2750000</v>
          </cell>
          <cell r="BH642">
            <v>2800000</v>
          </cell>
          <cell r="BI642">
            <v>100000</v>
          </cell>
          <cell r="BJ642">
            <v>2700000</v>
          </cell>
          <cell r="BK642">
            <v>0</v>
          </cell>
          <cell r="BL642">
            <v>2700000</v>
          </cell>
        </row>
        <row r="643">
          <cell r="D643" t="str">
            <v>OS</v>
          </cell>
          <cell r="E643"/>
          <cell r="F643">
            <v>623</v>
          </cell>
          <cell r="G643" t="str">
            <v>SOLD</v>
          </cell>
          <cell r="H643" t="str">
            <v>OS</v>
          </cell>
          <cell r="I643" t="str">
            <v>OS</v>
          </cell>
          <cell r="J643" t="str">
            <v>OS</v>
          </cell>
          <cell r="K643" t="str">
            <v>OS</v>
          </cell>
          <cell r="L643" t="str">
            <v>OS</v>
          </cell>
          <cell r="M643" t="str">
            <v>OS</v>
          </cell>
          <cell r="N643" t="str">
            <v>OS</v>
          </cell>
          <cell r="O643" t="str">
            <v>OS</v>
          </cell>
          <cell r="P643" t="str">
            <v>OS</v>
          </cell>
          <cell r="Q643" t="str">
            <v>OS</v>
          </cell>
          <cell r="R643" t="str">
            <v>OS</v>
          </cell>
          <cell r="S643" t="str">
            <v>OS</v>
          </cell>
          <cell r="T643" t="str">
            <v>OS</v>
          </cell>
          <cell r="U643" t="str">
            <v>OS</v>
          </cell>
          <cell r="V643" t="str">
            <v>OS</v>
          </cell>
          <cell r="W643" t="str">
            <v>OS</v>
          </cell>
          <cell r="X643" t="str">
            <v>OS</v>
          </cell>
          <cell r="Y643" t="str">
            <v>OS</v>
          </cell>
          <cell r="Z643" t="str">
            <v>OS</v>
          </cell>
          <cell r="AA643" t="str">
            <v>OS</v>
          </cell>
          <cell r="AB643" t="str">
            <v>OS</v>
          </cell>
          <cell r="AC643" t="str">
            <v>OS</v>
          </cell>
          <cell r="AD643" t="str">
            <v>AGM-01-028-005</v>
          </cell>
          <cell r="AE643" t="str">
            <v xml:space="preserve">Raemulan Lands, Inc. </v>
          </cell>
          <cell r="AF643" t="str">
            <v>Agapeya</v>
          </cell>
          <cell r="AG643" t="str">
            <v>AGM</v>
          </cell>
          <cell r="AH643" t="str">
            <v>Eco-High</v>
          </cell>
          <cell r="AI643" t="str">
            <v>West</v>
          </cell>
          <cell r="AJ643" t="str">
            <v>With LTS</v>
          </cell>
          <cell r="AK643" t="str">
            <v>Unaffected lots</v>
          </cell>
          <cell r="AL643" t="str">
            <v>Unaffected lots</v>
          </cell>
          <cell r="AM643" t="b">
            <v>1</v>
          </cell>
          <cell r="AN643" t="str">
            <v>YES</v>
          </cell>
          <cell r="AO643" t="str">
            <v>2024 Batch</v>
          </cell>
          <cell r="AP643">
            <v>70</v>
          </cell>
          <cell r="AQ643" t="str">
            <v>PCS-04-034298</v>
          </cell>
          <cell r="AR643" t="b">
            <v>1</v>
          </cell>
          <cell r="AS643" t="str">
            <v>Done</v>
          </cell>
          <cell r="AT643" t="str">
            <v>2024 Batch</v>
          </cell>
          <cell r="AU643">
            <v>28</v>
          </cell>
          <cell r="AV643">
            <v>5</v>
          </cell>
          <cell r="AW643" t="str">
            <v>H+L</v>
          </cell>
          <cell r="AX643">
            <v>70</v>
          </cell>
          <cell r="AY643">
            <v>50</v>
          </cell>
          <cell r="AZ643" t="str">
            <v>Duplex</v>
          </cell>
          <cell r="BA643">
            <v>1</v>
          </cell>
          <cell r="BB643" t="str">
            <v>326 - With Partition</v>
          </cell>
          <cell r="BC643" t="str">
            <v xml:space="preserve">Without Partition </v>
          </cell>
          <cell r="BD643" t="str">
            <v>Flat</v>
          </cell>
          <cell r="BE643" t="str">
            <v xml:space="preserve">Without Partition </v>
          </cell>
          <cell r="BF643" t="str">
            <v>GREEN</v>
          </cell>
          <cell r="BG643">
            <v>2750000</v>
          </cell>
          <cell r="BH643">
            <v>2650000</v>
          </cell>
          <cell r="BI643">
            <v>100000</v>
          </cell>
          <cell r="BJ643">
            <v>2550000</v>
          </cell>
          <cell r="BK643">
            <v>0</v>
          </cell>
          <cell r="BL643">
            <v>2550000</v>
          </cell>
        </row>
        <row r="644">
          <cell r="D644" t="str">
            <v>OS</v>
          </cell>
          <cell r="E644"/>
          <cell r="F644">
            <v>624</v>
          </cell>
          <cell r="G644" t="str">
            <v>SOLD</v>
          </cell>
          <cell r="H644" t="str">
            <v>OS</v>
          </cell>
          <cell r="I644" t="str">
            <v>OS</v>
          </cell>
          <cell r="J644" t="str">
            <v>WITH BRN</v>
          </cell>
          <cell r="K644" t="str">
            <v>TS</v>
          </cell>
          <cell r="L644" t="str">
            <v>TS</v>
          </cell>
          <cell r="M644" t="str">
            <v>OS</v>
          </cell>
          <cell r="N644" t="str">
            <v>TS</v>
          </cell>
          <cell r="O644" t="str">
            <v>TS</v>
          </cell>
          <cell r="P644" t="str">
            <v>TS</v>
          </cell>
          <cell r="Q644" t="str">
            <v>TS</v>
          </cell>
          <cell r="R644" t="str">
            <v>TS</v>
          </cell>
          <cell r="S644" t="str">
            <v>TS</v>
          </cell>
          <cell r="T644" t="str">
            <v>TS</v>
          </cell>
          <cell r="U644" t="str">
            <v>OS</v>
          </cell>
          <cell r="V644" t="str">
            <v>OS</v>
          </cell>
          <cell r="W644" t="str">
            <v>OS</v>
          </cell>
          <cell r="X644" t="str">
            <v>OS</v>
          </cell>
          <cell r="Y644" t="str">
            <v>OS</v>
          </cell>
          <cell r="Z644" t="str">
            <v>OS</v>
          </cell>
          <cell r="AA644" t="str">
            <v>OS</v>
          </cell>
          <cell r="AB644" t="str">
            <v>OS</v>
          </cell>
          <cell r="AC644" t="str">
            <v>OS</v>
          </cell>
          <cell r="AD644" t="str">
            <v>AGM-01-028-006</v>
          </cell>
          <cell r="AE644" t="str">
            <v xml:space="preserve">Raemulan Lands, Inc. </v>
          </cell>
          <cell r="AF644" t="str">
            <v>Agapeya</v>
          </cell>
          <cell r="AG644" t="str">
            <v>AGM</v>
          </cell>
          <cell r="AH644" t="str">
            <v>Eco-High</v>
          </cell>
          <cell r="AI644" t="str">
            <v>West</v>
          </cell>
          <cell r="AJ644" t="str">
            <v>With LTS</v>
          </cell>
          <cell r="AK644" t="str">
            <v>Unaffected lots</v>
          </cell>
          <cell r="AL644" t="str">
            <v>Unaffected lots</v>
          </cell>
          <cell r="AM644" t="b">
            <v>1</v>
          </cell>
          <cell r="AN644" t="str">
            <v>YES</v>
          </cell>
          <cell r="AO644" t="str">
            <v>2024 Batch</v>
          </cell>
          <cell r="AP644">
            <v>70</v>
          </cell>
          <cell r="AQ644" t="str">
            <v>PCS-04-034298</v>
          </cell>
          <cell r="AR644" t="b">
            <v>1</v>
          </cell>
          <cell r="AS644" t="str">
            <v>Done</v>
          </cell>
          <cell r="AT644" t="str">
            <v>2024 Batch</v>
          </cell>
          <cell r="AU644">
            <v>28</v>
          </cell>
          <cell r="AV644">
            <v>6</v>
          </cell>
          <cell r="AW644" t="str">
            <v>H+L</v>
          </cell>
          <cell r="AX644">
            <v>70</v>
          </cell>
          <cell r="AY644">
            <v>50</v>
          </cell>
          <cell r="AZ644" t="str">
            <v>Duplex</v>
          </cell>
          <cell r="BA644">
            <v>1</v>
          </cell>
          <cell r="BB644" t="str">
            <v>326 - With Partition</v>
          </cell>
          <cell r="BC644" t="str">
            <v xml:space="preserve">Without Partition </v>
          </cell>
          <cell r="BD644" t="str">
            <v>Slant</v>
          </cell>
          <cell r="BE644" t="str">
            <v xml:space="preserve">Without Partition </v>
          </cell>
          <cell r="BF644" t="str">
            <v>GREEN</v>
          </cell>
          <cell r="BG644">
            <v>2707500</v>
          </cell>
          <cell r="BH644">
            <v>2650000</v>
          </cell>
          <cell r="BI644">
            <v>100000</v>
          </cell>
          <cell r="BJ644">
            <v>2550000</v>
          </cell>
          <cell r="BK644">
            <v>0</v>
          </cell>
          <cell r="BL644">
            <v>2550000</v>
          </cell>
        </row>
        <row r="645">
          <cell r="D645" t="str">
            <v>OS</v>
          </cell>
          <cell r="E645"/>
          <cell r="F645">
            <v>625</v>
          </cell>
          <cell r="G645" t="str">
            <v>SOLD</v>
          </cell>
          <cell r="H645" t="str">
            <v>OS</v>
          </cell>
          <cell r="I645" t="str">
            <v>OS</v>
          </cell>
          <cell r="J645" t="str">
            <v>OS</v>
          </cell>
          <cell r="K645" t="str">
            <v>OS</v>
          </cell>
          <cell r="L645" t="str">
            <v>OS</v>
          </cell>
          <cell r="M645" t="str">
            <v>OS</v>
          </cell>
          <cell r="N645" t="str">
            <v>OS</v>
          </cell>
          <cell r="O645" t="str">
            <v>OS</v>
          </cell>
          <cell r="P645" t="str">
            <v>OS</v>
          </cell>
          <cell r="Q645" t="str">
            <v>OS</v>
          </cell>
          <cell r="R645" t="str">
            <v>OS</v>
          </cell>
          <cell r="S645" t="str">
            <v>OS</v>
          </cell>
          <cell r="T645" t="str">
            <v>OS</v>
          </cell>
          <cell r="U645" t="str">
            <v>OS</v>
          </cell>
          <cell r="V645" t="str">
            <v>OS</v>
          </cell>
          <cell r="W645" t="str">
            <v>OS</v>
          </cell>
          <cell r="X645" t="str">
            <v>OS</v>
          </cell>
          <cell r="Y645" t="str">
            <v>OS</v>
          </cell>
          <cell r="Z645" t="str">
            <v>OS</v>
          </cell>
          <cell r="AA645" t="str">
            <v>OS</v>
          </cell>
          <cell r="AB645" t="str">
            <v>OS</v>
          </cell>
          <cell r="AC645" t="str">
            <v>OS</v>
          </cell>
          <cell r="AD645" t="str">
            <v>AGM-01-028-007</v>
          </cell>
          <cell r="AE645" t="str">
            <v xml:space="preserve">Raemulan Lands, Inc. </v>
          </cell>
          <cell r="AF645" t="str">
            <v>Agapeya</v>
          </cell>
          <cell r="AG645" t="str">
            <v>AGM</v>
          </cell>
          <cell r="AH645" t="str">
            <v>Eco-High</v>
          </cell>
          <cell r="AI645" t="str">
            <v>West</v>
          </cell>
          <cell r="AJ645" t="str">
            <v>With LTS</v>
          </cell>
          <cell r="AK645" t="str">
            <v>Unaffected lots</v>
          </cell>
          <cell r="AL645" t="str">
            <v>Unaffected lots</v>
          </cell>
          <cell r="AM645" t="b">
            <v>1</v>
          </cell>
          <cell r="AN645" t="str">
            <v>YES</v>
          </cell>
          <cell r="AO645" t="str">
            <v>2024 Batch</v>
          </cell>
          <cell r="AP645">
            <v>70</v>
          </cell>
          <cell r="AQ645" t="str">
            <v>PCS-04-034298</v>
          </cell>
          <cell r="AR645" t="b">
            <v>1</v>
          </cell>
          <cell r="AS645" t="str">
            <v>Done</v>
          </cell>
          <cell r="AT645" t="str">
            <v>2024 Batch</v>
          </cell>
          <cell r="AU645">
            <v>28</v>
          </cell>
          <cell r="AV645">
            <v>7</v>
          </cell>
          <cell r="AW645" t="str">
            <v>H+L</v>
          </cell>
          <cell r="AX645">
            <v>70</v>
          </cell>
          <cell r="AY645">
            <v>50</v>
          </cell>
          <cell r="AZ645" t="str">
            <v>Duplex</v>
          </cell>
          <cell r="BA645">
            <v>1</v>
          </cell>
          <cell r="BB645" t="str">
            <v>326 - With Partition</v>
          </cell>
          <cell r="BC645" t="str">
            <v>With Partition</v>
          </cell>
          <cell r="BD645" t="str">
            <v>Slant</v>
          </cell>
          <cell r="BE645" t="str">
            <v>With Partition</v>
          </cell>
          <cell r="BF645" t="str">
            <v>GREEN</v>
          </cell>
          <cell r="BG645">
            <v>2707500</v>
          </cell>
          <cell r="BH645">
            <v>2850000</v>
          </cell>
          <cell r="BI645">
            <v>100000</v>
          </cell>
          <cell r="BJ645">
            <v>2750000</v>
          </cell>
          <cell r="BK645">
            <v>0</v>
          </cell>
          <cell r="BL645">
            <v>2750000</v>
          </cell>
        </row>
        <row r="646">
          <cell r="D646" t="str">
            <v>OS</v>
          </cell>
          <cell r="E646"/>
          <cell r="F646">
            <v>626</v>
          </cell>
          <cell r="G646" t="str">
            <v>SOLD</v>
          </cell>
          <cell r="H646" t="str">
            <v>OS</v>
          </cell>
          <cell r="I646" t="str">
            <v>OS</v>
          </cell>
          <cell r="J646" t="str">
            <v>OS</v>
          </cell>
          <cell r="K646" t="str">
            <v>OS</v>
          </cell>
          <cell r="L646" t="str">
            <v>OS</v>
          </cell>
          <cell r="M646" t="str">
            <v>OS</v>
          </cell>
          <cell r="N646" t="str">
            <v>OS</v>
          </cell>
          <cell r="O646" t="str">
            <v>OS</v>
          </cell>
          <cell r="P646" t="str">
            <v>OS</v>
          </cell>
          <cell r="Q646" t="str">
            <v>OS</v>
          </cell>
          <cell r="R646" t="str">
            <v>OS</v>
          </cell>
          <cell r="S646" t="str">
            <v>OS</v>
          </cell>
          <cell r="T646" t="str">
            <v>OS</v>
          </cell>
          <cell r="U646" t="str">
            <v>OS</v>
          </cell>
          <cell r="V646" t="str">
            <v>OS</v>
          </cell>
          <cell r="W646" t="str">
            <v>OS</v>
          </cell>
          <cell r="X646" t="str">
            <v>OS</v>
          </cell>
          <cell r="Y646" t="str">
            <v>OS</v>
          </cell>
          <cell r="Z646" t="str">
            <v>OS</v>
          </cell>
          <cell r="AA646" t="str">
            <v>OS</v>
          </cell>
          <cell r="AB646" t="str">
            <v>OS</v>
          </cell>
          <cell r="AC646" t="str">
            <v>OS</v>
          </cell>
          <cell r="AD646" t="str">
            <v>AGM-01-028-008</v>
          </cell>
          <cell r="AE646" t="str">
            <v xml:space="preserve">Raemulan Lands, Inc. </v>
          </cell>
          <cell r="AF646" t="str">
            <v>Agapeya</v>
          </cell>
          <cell r="AG646" t="str">
            <v>AGM</v>
          </cell>
          <cell r="AH646" t="str">
            <v>Eco-High</v>
          </cell>
          <cell r="AI646" t="str">
            <v>West</v>
          </cell>
          <cell r="AJ646" t="str">
            <v>With LTS</v>
          </cell>
          <cell r="AK646" t="str">
            <v>Unaffected lots</v>
          </cell>
          <cell r="AL646" t="str">
            <v>Unaffected lots</v>
          </cell>
          <cell r="AM646" t="b">
            <v>1</v>
          </cell>
          <cell r="AN646" t="str">
            <v>YES</v>
          </cell>
          <cell r="AO646" t="str">
            <v>2024 Batch</v>
          </cell>
          <cell r="AP646">
            <v>70</v>
          </cell>
          <cell r="AQ646" t="str">
            <v>PCS-04-034298</v>
          </cell>
          <cell r="AR646" t="b">
            <v>1</v>
          </cell>
          <cell r="AS646" t="str">
            <v>Done</v>
          </cell>
          <cell r="AT646" t="str">
            <v>2024 Batch</v>
          </cell>
          <cell r="AU646">
            <v>28</v>
          </cell>
          <cell r="AV646">
            <v>8</v>
          </cell>
          <cell r="AW646" t="str">
            <v>H+L</v>
          </cell>
          <cell r="AX646">
            <v>70</v>
          </cell>
          <cell r="AY646">
            <v>50</v>
          </cell>
          <cell r="AZ646" t="str">
            <v>Duplex</v>
          </cell>
          <cell r="BA646">
            <v>1</v>
          </cell>
          <cell r="BB646" t="str">
            <v>326 - With Partition</v>
          </cell>
          <cell r="BC646" t="str">
            <v>With Partition</v>
          </cell>
          <cell r="BD646" t="str">
            <v>Flat</v>
          </cell>
          <cell r="BE646" t="str">
            <v>With Partition</v>
          </cell>
          <cell r="BF646" t="str">
            <v>GREEN</v>
          </cell>
          <cell r="BG646">
            <v>2850000</v>
          </cell>
          <cell r="BH646">
            <v>2850000</v>
          </cell>
          <cell r="BI646">
            <v>100000</v>
          </cell>
          <cell r="BJ646">
            <v>2750000</v>
          </cell>
          <cell r="BK646">
            <v>0</v>
          </cell>
          <cell r="BL646">
            <v>2750000</v>
          </cell>
        </row>
        <row r="647">
          <cell r="D647" t="str">
            <v>OS</v>
          </cell>
          <cell r="E647"/>
          <cell r="F647">
            <v>627</v>
          </cell>
          <cell r="G647" t="str">
            <v>SOLD</v>
          </cell>
          <cell r="H647" t="str">
            <v>OS</v>
          </cell>
          <cell r="I647" t="str">
            <v>OS</v>
          </cell>
          <cell r="J647" t="str">
            <v>OS</v>
          </cell>
          <cell r="K647" t="str">
            <v>OS</v>
          </cell>
          <cell r="L647" t="str">
            <v>OS</v>
          </cell>
          <cell r="M647" t="str">
            <v>OS</v>
          </cell>
          <cell r="N647" t="str">
            <v>OS</v>
          </cell>
          <cell r="O647" t="str">
            <v>OS</v>
          </cell>
          <cell r="P647" t="str">
            <v>OS</v>
          </cell>
          <cell r="Q647" t="str">
            <v>OS</v>
          </cell>
          <cell r="R647" t="str">
            <v>OS</v>
          </cell>
          <cell r="S647" t="str">
            <v>OS</v>
          </cell>
          <cell r="T647" t="str">
            <v>OS</v>
          </cell>
          <cell r="U647" t="str">
            <v>OS</v>
          </cell>
          <cell r="V647" t="str">
            <v>OS</v>
          </cell>
          <cell r="W647" t="str">
            <v>OS</v>
          </cell>
          <cell r="X647" t="str">
            <v>OS</v>
          </cell>
          <cell r="Y647" t="str">
            <v>OS</v>
          </cell>
          <cell r="Z647" t="str">
            <v>OS</v>
          </cell>
          <cell r="AA647" t="str">
            <v>OS</v>
          </cell>
          <cell r="AB647" t="str">
            <v>OS</v>
          </cell>
          <cell r="AC647" t="str">
            <v>OS</v>
          </cell>
          <cell r="AD647" t="str">
            <v>AGM-01-028-009</v>
          </cell>
          <cell r="AE647" t="str">
            <v xml:space="preserve">Raemulan Lands, Inc. </v>
          </cell>
          <cell r="AF647" t="str">
            <v>Agapeya</v>
          </cell>
          <cell r="AG647" t="str">
            <v>AGM</v>
          </cell>
          <cell r="AH647" t="str">
            <v>Eco-High</v>
          </cell>
          <cell r="AI647" t="str">
            <v>West</v>
          </cell>
          <cell r="AJ647" t="str">
            <v>With LTS</v>
          </cell>
          <cell r="AK647" t="str">
            <v>Unaffected lots</v>
          </cell>
          <cell r="AL647" t="str">
            <v>Unaffected lots</v>
          </cell>
          <cell r="AM647" t="b">
            <v>1</v>
          </cell>
          <cell r="AN647" t="str">
            <v>YES</v>
          </cell>
          <cell r="AO647" t="str">
            <v>2024 Batch</v>
          </cell>
          <cell r="AP647">
            <v>70</v>
          </cell>
          <cell r="AQ647" t="str">
            <v>PCS-04-034298</v>
          </cell>
          <cell r="AR647" t="b">
            <v>1</v>
          </cell>
          <cell r="AS647" t="str">
            <v>Done</v>
          </cell>
          <cell r="AT647" t="str">
            <v>2024 Batch</v>
          </cell>
          <cell r="AU647">
            <v>28</v>
          </cell>
          <cell r="AV647">
            <v>9</v>
          </cell>
          <cell r="AW647" t="str">
            <v>H+L</v>
          </cell>
          <cell r="AX647">
            <v>70</v>
          </cell>
          <cell r="AY647">
            <v>50</v>
          </cell>
          <cell r="AZ647" t="str">
            <v>Duplex</v>
          </cell>
          <cell r="BA647">
            <v>1</v>
          </cell>
          <cell r="BB647" t="str">
            <v>326 - With Partition</v>
          </cell>
          <cell r="BC647" t="str">
            <v>With Partition</v>
          </cell>
          <cell r="BD647" t="str">
            <v>Flat</v>
          </cell>
          <cell r="BE647" t="str">
            <v>With Partition</v>
          </cell>
          <cell r="BF647" t="str">
            <v>PURPLE</v>
          </cell>
          <cell r="BG647">
            <v>2707500</v>
          </cell>
          <cell r="BH647">
            <v>2850000</v>
          </cell>
          <cell r="BI647">
            <v>100000</v>
          </cell>
          <cell r="BJ647">
            <v>2750000</v>
          </cell>
          <cell r="BK647">
            <v>0</v>
          </cell>
          <cell r="BL647">
            <v>2750000</v>
          </cell>
        </row>
        <row r="648">
          <cell r="D648" t="str">
            <v>OS</v>
          </cell>
          <cell r="E648"/>
          <cell r="F648">
            <v>628</v>
          </cell>
          <cell r="G648" t="str">
            <v>SOLD</v>
          </cell>
          <cell r="H648" t="str">
            <v>OS</v>
          </cell>
          <cell r="I648" t="str">
            <v>OS</v>
          </cell>
          <cell r="J648" t="str">
            <v>OS</v>
          </cell>
          <cell r="K648" t="str">
            <v>OS</v>
          </cell>
          <cell r="L648" t="str">
            <v>OS</v>
          </cell>
          <cell r="M648" t="str">
            <v>OS</v>
          </cell>
          <cell r="N648" t="str">
            <v>OS</v>
          </cell>
          <cell r="O648" t="str">
            <v>OS</v>
          </cell>
          <cell r="P648" t="str">
            <v>OS</v>
          </cell>
          <cell r="Q648" t="str">
            <v>OS</v>
          </cell>
          <cell r="R648" t="str">
            <v>OS</v>
          </cell>
          <cell r="S648" t="str">
            <v>OS</v>
          </cell>
          <cell r="T648" t="str">
            <v>OS</v>
          </cell>
          <cell r="U648" t="str">
            <v>OS</v>
          </cell>
          <cell r="V648" t="str">
            <v>OS</v>
          </cell>
          <cell r="W648" t="str">
            <v>OS</v>
          </cell>
          <cell r="X648" t="str">
            <v>OS</v>
          </cell>
          <cell r="Y648" t="str">
            <v>OS</v>
          </cell>
          <cell r="Z648" t="str">
            <v>OS</v>
          </cell>
          <cell r="AA648" t="str">
            <v>OS</v>
          </cell>
          <cell r="AB648" t="str">
            <v>OS</v>
          </cell>
          <cell r="AC648" t="str">
            <v>OS</v>
          </cell>
          <cell r="AD648" t="str">
            <v>AGM-01-028-010</v>
          </cell>
          <cell r="AE648" t="str">
            <v xml:space="preserve">Raemulan Lands, Inc. </v>
          </cell>
          <cell r="AF648" t="str">
            <v>Agapeya</v>
          </cell>
          <cell r="AG648" t="str">
            <v>AGM</v>
          </cell>
          <cell r="AH648" t="str">
            <v>Eco-High</v>
          </cell>
          <cell r="AI648" t="str">
            <v>West</v>
          </cell>
          <cell r="AJ648" t="str">
            <v>With LTS</v>
          </cell>
          <cell r="AK648" t="str">
            <v>Unaffected lots</v>
          </cell>
          <cell r="AL648" t="str">
            <v>Unaffected lots</v>
          </cell>
          <cell r="AM648" t="b">
            <v>1</v>
          </cell>
          <cell r="AN648" t="str">
            <v>YES</v>
          </cell>
          <cell r="AO648" t="str">
            <v>2024 Batch</v>
          </cell>
          <cell r="AP648">
            <v>70</v>
          </cell>
          <cell r="AQ648" t="str">
            <v>PCS-04-034298</v>
          </cell>
          <cell r="AR648" t="b">
            <v>1</v>
          </cell>
          <cell r="AS648" t="str">
            <v>Done</v>
          </cell>
          <cell r="AT648" t="str">
            <v>2024 Batch</v>
          </cell>
          <cell r="AU648">
            <v>28</v>
          </cell>
          <cell r="AV648">
            <v>10</v>
          </cell>
          <cell r="AW648" t="str">
            <v>H+L</v>
          </cell>
          <cell r="AX648">
            <v>70</v>
          </cell>
          <cell r="AY648">
            <v>50</v>
          </cell>
          <cell r="AZ648" t="str">
            <v>Duplex</v>
          </cell>
          <cell r="BA648">
            <v>1</v>
          </cell>
          <cell r="BB648" t="str">
            <v>326 - With Partition</v>
          </cell>
          <cell r="BC648" t="str">
            <v>With Partition</v>
          </cell>
          <cell r="BD648" t="str">
            <v>Slant</v>
          </cell>
          <cell r="BE648" t="str">
            <v>With Partition</v>
          </cell>
          <cell r="BF648" t="str">
            <v>PURPLE</v>
          </cell>
          <cell r="BG648">
            <v>2600000</v>
          </cell>
          <cell r="BH648">
            <v>2850000</v>
          </cell>
          <cell r="BI648">
            <v>100000</v>
          </cell>
          <cell r="BJ648">
            <v>2750000</v>
          </cell>
          <cell r="BK648">
            <v>0</v>
          </cell>
          <cell r="BL648">
            <v>2750000</v>
          </cell>
        </row>
        <row r="649">
          <cell r="D649" t="str">
            <v>OS</v>
          </cell>
          <cell r="E649"/>
          <cell r="F649">
            <v>629</v>
          </cell>
          <cell r="G649" t="str">
            <v>SOLD</v>
          </cell>
          <cell r="H649" t="str">
            <v>OS</v>
          </cell>
          <cell r="I649" t="str">
            <v>OS</v>
          </cell>
          <cell r="J649" t="str">
            <v>OS</v>
          </cell>
          <cell r="K649" t="str">
            <v>OS</v>
          </cell>
          <cell r="L649" t="str">
            <v>OS</v>
          </cell>
          <cell r="M649" t="str">
            <v>OS</v>
          </cell>
          <cell r="N649" t="str">
            <v>OS</v>
          </cell>
          <cell r="O649" t="str">
            <v>OS</v>
          </cell>
          <cell r="P649" t="str">
            <v>OS</v>
          </cell>
          <cell r="Q649" t="str">
            <v>OS</v>
          </cell>
          <cell r="R649" t="str">
            <v>OS</v>
          </cell>
          <cell r="S649" t="str">
            <v>OS</v>
          </cell>
          <cell r="T649" t="str">
            <v>OS</v>
          </cell>
          <cell r="U649" t="str">
            <v>OS</v>
          </cell>
          <cell r="V649" t="str">
            <v>OS</v>
          </cell>
          <cell r="W649" t="str">
            <v>OS</v>
          </cell>
          <cell r="X649" t="str">
            <v>OS</v>
          </cell>
          <cell r="Y649" t="str">
            <v>OS</v>
          </cell>
          <cell r="Z649" t="str">
            <v>OS</v>
          </cell>
          <cell r="AA649" t="str">
            <v>OS</v>
          </cell>
          <cell r="AB649" t="str">
            <v>OS</v>
          </cell>
          <cell r="AC649" t="str">
            <v>OS</v>
          </cell>
          <cell r="AD649" t="str">
            <v>AGM-01-028-011</v>
          </cell>
          <cell r="AE649" t="str">
            <v xml:space="preserve">Raemulan Lands, Inc. </v>
          </cell>
          <cell r="AF649" t="str">
            <v>Agapeya</v>
          </cell>
          <cell r="AG649" t="str">
            <v>AGM</v>
          </cell>
          <cell r="AH649" t="str">
            <v>Eco-High</v>
          </cell>
          <cell r="AI649" t="str">
            <v>West</v>
          </cell>
          <cell r="AJ649" t="str">
            <v>With LTS</v>
          </cell>
          <cell r="AK649" t="str">
            <v>Unaffected lots</v>
          </cell>
          <cell r="AL649" t="str">
            <v>Unaffected lots</v>
          </cell>
          <cell r="AM649" t="b">
            <v>1</v>
          </cell>
          <cell r="AN649" t="str">
            <v>YES</v>
          </cell>
          <cell r="AO649" t="str">
            <v>2024 Batch</v>
          </cell>
          <cell r="AP649">
            <v>70</v>
          </cell>
          <cell r="AQ649" t="str">
            <v>PCS-04-034298</v>
          </cell>
          <cell r="AR649" t="b">
            <v>1</v>
          </cell>
          <cell r="AS649" t="str">
            <v>Done</v>
          </cell>
          <cell r="AT649" t="str">
            <v>2024 Batch</v>
          </cell>
          <cell r="AU649">
            <v>28</v>
          </cell>
          <cell r="AV649">
            <v>11</v>
          </cell>
          <cell r="AW649" t="str">
            <v>H+L</v>
          </cell>
          <cell r="AX649">
            <v>70</v>
          </cell>
          <cell r="AY649">
            <v>50</v>
          </cell>
          <cell r="AZ649" t="str">
            <v>Duplex</v>
          </cell>
          <cell r="BA649">
            <v>1</v>
          </cell>
          <cell r="BB649" t="str">
            <v>326 - With Partition</v>
          </cell>
          <cell r="BC649" t="str">
            <v>With Partition</v>
          </cell>
          <cell r="BD649" t="str">
            <v>Slant</v>
          </cell>
          <cell r="BE649" t="str">
            <v>With Partition</v>
          </cell>
          <cell r="BF649" t="str">
            <v>PURPLE</v>
          </cell>
          <cell r="BG649">
            <v>2750000</v>
          </cell>
          <cell r="BH649">
            <v>2850000</v>
          </cell>
          <cell r="BI649">
            <v>100000</v>
          </cell>
          <cell r="BJ649">
            <v>2750000</v>
          </cell>
          <cell r="BK649">
            <v>0</v>
          </cell>
          <cell r="BL649">
            <v>2750000</v>
          </cell>
        </row>
        <row r="650">
          <cell r="D650" t="str">
            <v>OPEN</v>
          </cell>
          <cell r="E650"/>
          <cell r="F650">
            <v>630</v>
          </cell>
          <cell r="G650" t="str">
            <v>UNSOLD</v>
          </cell>
          <cell r="H650" t="str">
            <v>FOR CANCELLATION</v>
          </cell>
          <cell r="I650" t="str">
            <v>FOR CANCELLATION</v>
          </cell>
          <cell r="J650" t="str">
            <v>FOR CANCELLATION</v>
          </cell>
          <cell r="K650" t="str">
            <v>FOR CMAP/BRN</v>
          </cell>
          <cell r="L650" t="str">
            <v>TS</v>
          </cell>
          <cell r="M650" t="str">
            <v>FOR CANCELLATION</v>
          </cell>
          <cell r="N650" t="str">
            <v>TS</v>
          </cell>
          <cell r="O650" t="str">
            <v>TS</v>
          </cell>
          <cell r="P650" t="str">
            <v>OS</v>
          </cell>
          <cell r="Q650" t="str">
            <v>OS</v>
          </cell>
          <cell r="R650" t="str">
            <v>OS</v>
          </cell>
          <cell r="S650" t="str">
            <v>OS</v>
          </cell>
          <cell r="T650" t="str">
            <v>OS</v>
          </cell>
          <cell r="U650" t="str">
            <v>OS</v>
          </cell>
          <cell r="V650" t="str">
            <v>OS</v>
          </cell>
          <cell r="W650" t="str">
            <v>OS</v>
          </cell>
          <cell r="X650" t="str">
            <v>OS</v>
          </cell>
          <cell r="Y650" t="str">
            <v>OS</v>
          </cell>
          <cell r="Z650" t="str">
            <v>OPEN</v>
          </cell>
          <cell r="AA650" t="str">
            <v>OS</v>
          </cell>
          <cell r="AB650" t="str">
            <v>OS</v>
          </cell>
          <cell r="AC650" t="str">
            <v>OS</v>
          </cell>
          <cell r="AD650" t="str">
            <v>AGM-01-028-012</v>
          </cell>
          <cell r="AE650" t="str">
            <v xml:space="preserve">Raemulan Lands, Inc. </v>
          </cell>
          <cell r="AF650" t="str">
            <v>Agapeya</v>
          </cell>
          <cell r="AG650" t="str">
            <v>AGM</v>
          </cell>
          <cell r="AH650" t="str">
            <v>Eco-High</v>
          </cell>
          <cell r="AI650" t="str">
            <v>West</v>
          </cell>
          <cell r="AJ650" t="str">
            <v>With LTS</v>
          </cell>
          <cell r="AK650" t="str">
            <v>Unaffected lots</v>
          </cell>
          <cell r="AL650" t="str">
            <v>Unaffected lots</v>
          </cell>
          <cell r="AM650" t="b">
            <v>1</v>
          </cell>
          <cell r="AN650" t="str">
            <v>YES</v>
          </cell>
          <cell r="AO650" t="str">
            <v>2024 Batch</v>
          </cell>
          <cell r="AP650">
            <v>70</v>
          </cell>
          <cell r="AQ650" t="str">
            <v>PCS-04-034298</v>
          </cell>
          <cell r="AR650" t="b">
            <v>1</v>
          </cell>
          <cell r="AS650" t="str">
            <v>Done</v>
          </cell>
          <cell r="AT650" t="str">
            <v>2024 Batch</v>
          </cell>
          <cell r="AU650">
            <v>28</v>
          </cell>
          <cell r="AV650">
            <v>12</v>
          </cell>
          <cell r="AW650" t="str">
            <v>H+L</v>
          </cell>
          <cell r="AX650">
            <v>70</v>
          </cell>
          <cell r="AY650">
            <v>50</v>
          </cell>
          <cell r="AZ650" t="str">
            <v>Duplex</v>
          </cell>
          <cell r="BA650">
            <v>1</v>
          </cell>
          <cell r="BB650" t="str">
            <v>326 - With Partition</v>
          </cell>
          <cell r="BC650" t="str">
            <v>With Partition</v>
          </cell>
          <cell r="BD650" t="str">
            <v>Flat</v>
          </cell>
          <cell r="BE650" t="str">
            <v>With Partition</v>
          </cell>
          <cell r="BF650" t="str">
            <v>PURPLE</v>
          </cell>
          <cell r="BG650">
            <v>2707500</v>
          </cell>
          <cell r="BH650">
            <v>2850000</v>
          </cell>
          <cell r="BI650">
            <v>100000</v>
          </cell>
          <cell r="BJ650">
            <v>2750000</v>
          </cell>
          <cell r="BK650">
            <v>0</v>
          </cell>
          <cell r="BL650">
            <v>2750000</v>
          </cell>
        </row>
        <row r="651">
          <cell r="D651" t="str">
            <v>HOLD</v>
          </cell>
          <cell r="E651"/>
          <cell r="F651">
            <v>631</v>
          </cell>
          <cell r="G651" t="str">
            <v>FOR CANCELLATION</v>
          </cell>
          <cell r="H651" t="str">
            <v>FOR CANCELLATION</v>
          </cell>
          <cell r="I651" t="str">
            <v>FOR CANCELLATION</v>
          </cell>
          <cell r="J651" t="str">
            <v>FOR CANCELLATION</v>
          </cell>
          <cell r="K651" t="str">
            <v>FOR CMAP/BRN</v>
          </cell>
          <cell r="L651" t="str">
            <v>TS</v>
          </cell>
          <cell r="M651" t="str">
            <v>FOR CANCELLATION</v>
          </cell>
          <cell r="N651" t="str">
            <v>TS</v>
          </cell>
          <cell r="O651" t="str">
            <v>TS</v>
          </cell>
          <cell r="P651" t="str">
            <v>OS</v>
          </cell>
          <cell r="Q651" t="str">
            <v>OS</v>
          </cell>
          <cell r="R651" t="str">
            <v>OS</v>
          </cell>
          <cell r="S651" t="str">
            <v>OS</v>
          </cell>
          <cell r="T651" t="str">
            <v>OS</v>
          </cell>
          <cell r="U651" t="str">
            <v>OS</v>
          </cell>
          <cell r="V651" t="str">
            <v>OS</v>
          </cell>
          <cell r="W651" t="str">
            <v>OS</v>
          </cell>
          <cell r="X651" t="str">
            <v>OS</v>
          </cell>
          <cell r="Y651" t="str">
            <v>OS</v>
          </cell>
          <cell r="Z651" t="str">
            <v>HOLD BY CAD</v>
          </cell>
          <cell r="AA651" t="str">
            <v>OS</v>
          </cell>
          <cell r="AB651" t="str">
            <v>OS</v>
          </cell>
          <cell r="AC651" t="str">
            <v>OS</v>
          </cell>
          <cell r="AD651" t="str">
            <v>AGM-01-028-013</v>
          </cell>
          <cell r="AE651" t="str">
            <v xml:space="preserve">Raemulan Lands, Inc. </v>
          </cell>
          <cell r="AF651" t="str">
            <v>Agapeya</v>
          </cell>
          <cell r="AG651" t="str">
            <v>AGM</v>
          </cell>
          <cell r="AH651" t="str">
            <v>Eco-High</v>
          </cell>
          <cell r="AI651" t="str">
            <v>West</v>
          </cell>
          <cell r="AJ651" t="str">
            <v>With LTS</v>
          </cell>
          <cell r="AK651" t="str">
            <v>Unaffected lots</v>
          </cell>
          <cell r="AL651" t="str">
            <v>Unaffected lots</v>
          </cell>
          <cell r="AM651" t="b">
            <v>1</v>
          </cell>
          <cell r="AN651" t="str">
            <v>YES</v>
          </cell>
          <cell r="AO651" t="str">
            <v>2024 Batch</v>
          </cell>
          <cell r="AP651">
            <v>70</v>
          </cell>
          <cell r="AQ651" t="str">
            <v>PCS-04-034298</v>
          </cell>
          <cell r="AR651" t="b">
            <v>1</v>
          </cell>
          <cell r="AS651" t="str">
            <v>Done</v>
          </cell>
          <cell r="AT651" t="str">
            <v>2024 Batch</v>
          </cell>
          <cell r="AU651">
            <v>28</v>
          </cell>
          <cell r="AV651">
            <v>13</v>
          </cell>
          <cell r="AW651" t="str">
            <v>H+L</v>
          </cell>
          <cell r="AX651">
            <v>70</v>
          </cell>
          <cell r="AY651">
            <v>50</v>
          </cell>
          <cell r="AZ651" t="str">
            <v>Duplex</v>
          </cell>
          <cell r="BA651">
            <v>1</v>
          </cell>
          <cell r="BB651" t="str">
            <v>326 - With Partition</v>
          </cell>
          <cell r="BC651" t="str">
            <v>With Partition</v>
          </cell>
          <cell r="BD651" t="str">
            <v>Flat</v>
          </cell>
          <cell r="BE651" t="str">
            <v>With Partition</v>
          </cell>
          <cell r="BF651" t="str">
            <v>PINK</v>
          </cell>
          <cell r="BG651">
            <v>2707500</v>
          </cell>
          <cell r="BH651">
            <v>2850000</v>
          </cell>
          <cell r="BI651">
            <v>100000</v>
          </cell>
          <cell r="BJ651">
            <v>2750000</v>
          </cell>
          <cell r="BK651">
            <v>0</v>
          </cell>
          <cell r="BL651">
            <v>2750000</v>
          </cell>
        </row>
        <row r="652">
          <cell r="D652" t="str">
            <v>OS</v>
          </cell>
          <cell r="E652"/>
          <cell r="F652">
            <v>632</v>
          </cell>
          <cell r="G652" t="str">
            <v>SOLD</v>
          </cell>
          <cell r="H652" t="str">
            <v>OS</v>
          </cell>
          <cell r="I652" t="str">
            <v>OS</v>
          </cell>
          <cell r="J652" t="str">
            <v>OS</v>
          </cell>
          <cell r="K652" t="str">
            <v>OS</v>
          </cell>
          <cell r="L652" t="str">
            <v>OS</v>
          </cell>
          <cell r="M652" t="str">
            <v>OS</v>
          </cell>
          <cell r="N652" t="str">
            <v>OS</v>
          </cell>
          <cell r="O652" t="str">
            <v>OS</v>
          </cell>
          <cell r="P652" t="str">
            <v>OS</v>
          </cell>
          <cell r="Q652" t="str">
            <v>OS</v>
          </cell>
          <cell r="R652" t="str">
            <v>OS</v>
          </cell>
          <cell r="S652" t="str">
            <v>OS</v>
          </cell>
          <cell r="T652" t="str">
            <v>OS</v>
          </cell>
          <cell r="U652" t="str">
            <v>OS</v>
          </cell>
          <cell r="V652" t="str">
            <v>OS</v>
          </cell>
          <cell r="W652" t="str">
            <v>OS</v>
          </cell>
          <cell r="X652" t="str">
            <v>OS</v>
          </cell>
          <cell r="Y652" t="str">
            <v>OS</v>
          </cell>
          <cell r="Z652" t="str">
            <v>OS</v>
          </cell>
          <cell r="AA652" t="str">
            <v>OS</v>
          </cell>
          <cell r="AB652" t="str">
            <v>OS</v>
          </cell>
          <cell r="AC652" t="str">
            <v>OS</v>
          </cell>
          <cell r="AD652" t="str">
            <v>AGM-01-028-014</v>
          </cell>
          <cell r="AE652" t="str">
            <v xml:space="preserve">Raemulan Lands, Inc. </v>
          </cell>
          <cell r="AF652" t="str">
            <v>Agapeya</v>
          </cell>
          <cell r="AG652" t="str">
            <v>AGM</v>
          </cell>
          <cell r="AH652" t="str">
            <v>Eco-High</v>
          </cell>
          <cell r="AI652" t="str">
            <v>West</v>
          </cell>
          <cell r="AJ652" t="str">
            <v>With LTS</v>
          </cell>
          <cell r="AK652" t="str">
            <v>Unaffected lots</v>
          </cell>
          <cell r="AL652" t="str">
            <v>Unaffected lots</v>
          </cell>
          <cell r="AM652" t="b">
            <v>1</v>
          </cell>
          <cell r="AN652" t="str">
            <v>YES</v>
          </cell>
          <cell r="AO652" t="str">
            <v>2024 Batch</v>
          </cell>
          <cell r="AP652">
            <v>70</v>
          </cell>
          <cell r="AQ652" t="str">
            <v>PCS-04-034298</v>
          </cell>
          <cell r="AR652" t="b">
            <v>1</v>
          </cell>
          <cell r="AS652" t="str">
            <v>Done</v>
          </cell>
          <cell r="AT652" t="str">
            <v>2024 Batch</v>
          </cell>
          <cell r="AU652">
            <v>28</v>
          </cell>
          <cell r="AV652">
            <v>14</v>
          </cell>
          <cell r="AW652" t="str">
            <v>H+L</v>
          </cell>
          <cell r="AX652">
            <v>70</v>
          </cell>
          <cell r="AY652">
            <v>50</v>
          </cell>
          <cell r="AZ652" t="str">
            <v>Duplex</v>
          </cell>
          <cell r="BA652">
            <v>1</v>
          </cell>
          <cell r="BB652" t="str">
            <v>326 - With Partition</v>
          </cell>
          <cell r="BC652" t="str">
            <v>With Partition</v>
          </cell>
          <cell r="BD652" t="str">
            <v>Slant</v>
          </cell>
          <cell r="BE652" t="str">
            <v>With Partition</v>
          </cell>
          <cell r="BF652" t="str">
            <v>PINK</v>
          </cell>
          <cell r="BG652">
            <v>2707500</v>
          </cell>
          <cell r="BH652">
            <v>2850000</v>
          </cell>
          <cell r="BI652">
            <v>100000</v>
          </cell>
          <cell r="BJ652">
            <v>2750000</v>
          </cell>
          <cell r="BK652">
            <v>0</v>
          </cell>
          <cell r="BL652">
            <v>2750000</v>
          </cell>
        </row>
        <row r="653">
          <cell r="D653" t="str">
            <v>OS</v>
          </cell>
          <cell r="E653"/>
          <cell r="F653">
            <v>633</v>
          </cell>
          <cell r="G653" t="str">
            <v>SOLD</v>
          </cell>
          <cell r="H653" t="str">
            <v>OS</v>
          </cell>
          <cell r="I653" t="str">
            <v>OS</v>
          </cell>
          <cell r="J653" t="str">
            <v>OS</v>
          </cell>
          <cell r="K653" t="str">
            <v>OS</v>
          </cell>
          <cell r="L653" t="str">
            <v>OS</v>
          </cell>
          <cell r="M653" t="str">
            <v>OS</v>
          </cell>
          <cell r="N653" t="str">
            <v>OS</v>
          </cell>
          <cell r="O653" t="str">
            <v>OS</v>
          </cell>
          <cell r="P653" t="str">
            <v>OS</v>
          </cell>
          <cell r="Q653" t="str">
            <v>OS</v>
          </cell>
          <cell r="R653" t="str">
            <v>OS</v>
          </cell>
          <cell r="S653" t="str">
            <v>OS</v>
          </cell>
          <cell r="T653" t="str">
            <v>OS</v>
          </cell>
          <cell r="U653" t="str">
            <v>OS</v>
          </cell>
          <cell r="V653" t="str">
            <v>OS</v>
          </cell>
          <cell r="W653" t="str">
            <v>OS</v>
          </cell>
          <cell r="X653" t="str">
            <v>OS</v>
          </cell>
          <cell r="Y653" t="str">
            <v>OS</v>
          </cell>
          <cell r="Z653" t="str">
            <v>OS</v>
          </cell>
          <cell r="AA653" t="str">
            <v>OS</v>
          </cell>
          <cell r="AB653" t="str">
            <v>OS</v>
          </cell>
          <cell r="AC653" t="str">
            <v>OS</v>
          </cell>
          <cell r="AD653" t="str">
            <v>AGM-01-028-015</v>
          </cell>
          <cell r="AE653" t="str">
            <v xml:space="preserve">Raemulan Lands, Inc. </v>
          </cell>
          <cell r="AF653" t="str">
            <v>Agapeya</v>
          </cell>
          <cell r="AG653" t="str">
            <v>AGM</v>
          </cell>
          <cell r="AH653" t="str">
            <v>Eco-High</v>
          </cell>
          <cell r="AI653" t="str">
            <v>West</v>
          </cell>
          <cell r="AJ653" t="str">
            <v>With LTS</v>
          </cell>
          <cell r="AK653" t="str">
            <v>Unaffected lots</v>
          </cell>
          <cell r="AL653" t="str">
            <v>Unaffected lots</v>
          </cell>
          <cell r="AM653" t="b">
            <v>1</v>
          </cell>
          <cell r="AN653" t="str">
            <v>YES</v>
          </cell>
          <cell r="AO653" t="str">
            <v>2024 Batch</v>
          </cell>
          <cell r="AP653">
            <v>70</v>
          </cell>
          <cell r="AQ653" t="str">
            <v>PCS-04-034298</v>
          </cell>
          <cell r="AR653" t="b">
            <v>1</v>
          </cell>
          <cell r="AS653" t="str">
            <v>Done</v>
          </cell>
          <cell r="AT653" t="str">
            <v>2024 Batch</v>
          </cell>
          <cell r="AU653">
            <v>28</v>
          </cell>
          <cell r="AV653">
            <v>15</v>
          </cell>
          <cell r="AW653" t="str">
            <v>H+L</v>
          </cell>
          <cell r="AX653">
            <v>70</v>
          </cell>
          <cell r="AY653">
            <v>50</v>
          </cell>
          <cell r="AZ653" t="str">
            <v>Duplex</v>
          </cell>
          <cell r="BA653">
            <v>1</v>
          </cell>
          <cell r="BB653" t="str">
            <v>326 - With Partition</v>
          </cell>
          <cell r="BC653" t="str">
            <v>With Partition</v>
          </cell>
          <cell r="BD653" t="str">
            <v>Slant</v>
          </cell>
          <cell r="BE653" t="str">
            <v>With Partition</v>
          </cell>
          <cell r="BF653" t="str">
            <v>PINK</v>
          </cell>
          <cell r="BG653">
            <v>2707500</v>
          </cell>
          <cell r="BH653">
            <v>2850000</v>
          </cell>
          <cell r="BI653">
            <v>100000</v>
          </cell>
          <cell r="BJ653">
            <v>2750000</v>
          </cell>
          <cell r="BK653">
            <v>0</v>
          </cell>
          <cell r="BL653">
            <v>2750000</v>
          </cell>
        </row>
        <row r="654">
          <cell r="D654" t="str">
            <v>OS</v>
          </cell>
          <cell r="E654"/>
          <cell r="F654">
            <v>634</v>
          </cell>
          <cell r="G654" t="str">
            <v>SOLD</v>
          </cell>
          <cell r="H654" t="str">
            <v>OS</v>
          </cell>
          <cell r="I654" t="str">
            <v>OS</v>
          </cell>
          <cell r="J654" t="str">
            <v>OS</v>
          </cell>
          <cell r="K654" t="str">
            <v>OS</v>
          </cell>
          <cell r="L654" t="str">
            <v>OS</v>
          </cell>
          <cell r="M654" t="str">
            <v>OS</v>
          </cell>
          <cell r="N654" t="str">
            <v>OS</v>
          </cell>
          <cell r="O654" t="str">
            <v>OS</v>
          </cell>
          <cell r="P654" t="str">
            <v>OS</v>
          </cell>
          <cell r="Q654" t="str">
            <v>OS</v>
          </cell>
          <cell r="R654" t="str">
            <v>OS</v>
          </cell>
          <cell r="S654" t="str">
            <v>OS</v>
          </cell>
          <cell r="T654" t="str">
            <v>OS</v>
          </cell>
          <cell r="U654" t="str">
            <v>OS</v>
          </cell>
          <cell r="V654" t="str">
            <v>OS</v>
          </cell>
          <cell r="W654" t="str">
            <v>OS</v>
          </cell>
          <cell r="X654" t="str">
            <v>OS</v>
          </cell>
          <cell r="Y654" t="str">
            <v>OS</v>
          </cell>
          <cell r="Z654" t="str">
            <v>OS</v>
          </cell>
          <cell r="AA654" t="str">
            <v>OS</v>
          </cell>
          <cell r="AB654" t="str">
            <v>OS</v>
          </cell>
          <cell r="AC654" t="str">
            <v>OS</v>
          </cell>
          <cell r="AD654" t="str">
            <v>AGM-01-028-016</v>
          </cell>
          <cell r="AE654" t="str">
            <v xml:space="preserve">Raemulan Lands, Inc. </v>
          </cell>
          <cell r="AF654" t="str">
            <v>Agapeya</v>
          </cell>
          <cell r="AG654" t="str">
            <v>AGM</v>
          </cell>
          <cell r="AH654" t="str">
            <v>Eco-High</v>
          </cell>
          <cell r="AI654" t="str">
            <v>West</v>
          </cell>
          <cell r="AJ654" t="str">
            <v>With LTS</v>
          </cell>
          <cell r="AK654" t="str">
            <v>Unaffected lots</v>
          </cell>
          <cell r="AL654" t="str">
            <v>Unaffected lots</v>
          </cell>
          <cell r="AM654" t="b">
            <v>1</v>
          </cell>
          <cell r="AN654" t="str">
            <v>YES</v>
          </cell>
          <cell r="AO654" t="str">
            <v>2024 Batch</v>
          </cell>
          <cell r="AP654">
            <v>70</v>
          </cell>
          <cell r="AQ654" t="str">
            <v>PCS-04-034298</v>
          </cell>
          <cell r="AR654" t="b">
            <v>1</v>
          </cell>
          <cell r="AS654" t="str">
            <v>Done</v>
          </cell>
          <cell r="AT654" t="str">
            <v>2024 Batch</v>
          </cell>
          <cell r="AU654">
            <v>28</v>
          </cell>
          <cell r="AV654">
            <v>16</v>
          </cell>
          <cell r="AW654" t="str">
            <v>H+L</v>
          </cell>
          <cell r="AX654">
            <v>70</v>
          </cell>
          <cell r="AY654">
            <v>50</v>
          </cell>
          <cell r="AZ654" t="str">
            <v>Duplex</v>
          </cell>
          <cell r="BA654">
            <v>1</v>
          </cell>
          <cell r="BB654" t="str">
            <v>326 - With Partition</v>
          </cell>
          <cell r="BC654" t="str">
            <v xml:space="preserve">Without Partition </v>
          </cell>
          <cell r="BD654" t="str">
            <v>Flat</v>
          </cell>
          <cell r="BE654" t="str">
            <v xml:space="preserve">Without Partition </v>
          </cell>
          <cell r="BF654" t="str">
            <v>PINK</v>
          </cell>
          <cell r="BG654">
            <v>2500000</v>
          </cell>
          <cell r="BH654">
            <v>2650000</v>
          </cell>
          <cell r="BI654">
            <v>100000</v>
          </cell>
          <cell r="BJ654">
            <v>2550000</v>
          </cell>
          <cell r="BK654">
            <v>0</v>
          </cell>
          <cell r="BL654">
            <v>2550000</v>
          </cell>
        </row>
        <row r="655">
          <cell r="D655" t="str">
            <v>TS</v>
          </cell>
          <cell r="E655"/>
          <cell r="F655">
            <v>635</v>
          </cell>
          <cell r="G655" t="str">
            <v>SOLD</v>
          </cell>
          <cell r="H655" t="str">
            <v>OS</v>
          </cell>
          <cell r="I655" t="str">
            <v>OS</v>
          </cell>
          <cell r="J655" t="str">
            <v>OS</v>
          </cell>
          <cell r="K655" t="str">
            <v>OS</v>
          </cell>
          <cell r="L655" t="str">
            <v>OS</v>
          </cell>
          <cell r="M655" t="str">
            <v>OS</v>
          </cell>
          <cell r="N655" t="str">
            <v>OS</v>
          </cell>
          <cell r="O655" t="str">
            <v>OS</v>
          </cell>
          <cell r="P655" t="str">
            <v>OS</v>
          </cell>
          <cell r="Q655" t="str">
            <v>OS</v>
          </cell>
          <cell r="R655" t="str">
            <v>OS</v>
          </cell>
          <cell r="S655" t="str">
            <v>OS</v>
          </cell>
          <cell r="T655" t="str">
            <v>OS</v>
          </cell>
          <cell r="U655" t="str">
            <v>OS</v>
          </cell>
          <cell r="V655" t="str">
            <v>OS</v>
          </cell>
          <cell r="W655" t="str">
            <v>OS</v>
          </cell>
          <cell r="X655" t="str">
            <v>FOR CANCELLATION</v>
          </cell>
          <cell r="Y655" t="str">
            <v>FOR CANCELLATION</v>
          </cell>
          <cell r="Z655" t="str">
            <v>TS</v>
          </cell>
          <cell r="AA655" t="str">
            <v>TS</v>
          </cell>
          <cell r="AB655" t="str">
            <v>FOR CANCELLATION</v>
          </cell>
          <cell r="AC655" t="str">
            <v>FOR CANCELLATION</v>
          </cell>
          <cell r="AD655" t="str">
            <v>AGM-01-028-017</v>
          </cell>
          <cell r="AE655" t="str">
            <v xml:space="preserve">Raemulan Lands, Inc. </v>
          </cell>
          <cell r="AF655" t="str">
            <v>Agapeya</v>
          </cell>
          <cell r="AG655" t="str">
            <v>AGM</v>
          </cell>
          <cell r="AH655" t="str">
            <v>Eco-High</v>
          </cell>
          <cell r="AI655" t="str">
            <v>West</v>
          </cell>
          <cell r="AJ655" t="str">
            <v>With LTS</v>
          </cell>
          <cell r="AK655" t="str">
            <v>Unaffected lots</v>
          </cell>
          <cell r="AL655" t="str">
            <v>Unaffected lots</v>
          </cell>
          <cell r="AM655" t="b">
            <v>1</v>
          </cell>
          <cell r="AN655" t="str">
            <v>YES</v>
          </cell>
          <cell r="AO655" t="str">
            <v>2024 Batch</v>
          </cell>
          <cell r="AP655">
            <v>70</v>
          </cell>
          <cell r="AQ655" t="str">
            <v>PCS-04-034298</v>
          </cell>
          <cell r="AR655" t="b">
            <v>1</v>
          </cell>
          <cell r="AS655" t="str">
            <v>Done</v>
          </cell>
          <cell r="AT655" t="str">
            <v>2024 Batch</v>
          </cell>
          <cell r="AU655">
            <v>28</v>
          </cell>
          <cell r="AV655">
            <v>17</v>
          </cell>
          <cell r="AW655" t="str">
            <v>H+L</v>
          </cell>
          <cell r="AX655">
            <v>70</v>
          </cell>
          <cell r="AY655">
            <v>50</v>
          </cell>
          <cell r="AZ655" t="str">
            <v>Duplex</v>
          </cell>
          <cell r="BA655">
            <v>1</v>
          </cell>
          <cell r="BB655" t="str">
            <v>326 - With Partition</v>
          </cell>
          <cell r="BC655" t="str">
            <v>With Partition</v>
          </cell>
          <cell r="BD655" t="str">
            <v>Flat</v>
          </cell>
          <cell r="BE655" t="str">
            <v>With Partition</v>
          </cell>
          <cell r="BF655" t="str">
            <v>YELLOW</v>
          </cell>
          <cell r="BG655">
            <v>2750000</v>
          </cell>
          <cell r="BH655">
            <v>2850000</v>
          </cell>
          <cell r="BI655">
            <v>100000</v>
          </cell>
          <cell r="BJ655">
            <v>2750000</v>
          </cell>
          <cell r="BK655">
            <v>0</v>
          </cell>
          <cell r="BL655">
            <v>2750000</v>
          </cell>
        </row>
        <row r="656">
          <cell r="D656" t="str">
            <v>OS</v>
          </cell>
          <cell r="E656"/>
          <cell r="F656">
            <v>636</v>
          </cell>
          <cell r="G656" t="str">
            <v>SOLD</v>
          </cell>
          <cell r="H656" t="str">
            <v>OS</v>
          </cell>
          <cell r="I656" t="str">
            <v>OS</v>
          </cell>
          <cell r="J656" t="str">
            <v>OS</v>
          </cell>
          <cell r="K656" t="str">
            <v>OS</v>
          </cell>
          <cell r="L656" t="str">
            <v>OS</v>
          </cell>
          <cell r="M656" t="str">
            <v>OS</v>
          </cell>
          <cell r="N656" t="str">
            <v>OS</v>
          </cell>
          <cell r="O656" t="str">
            <v>OS</v>
          </cell>
          <cell r="P656" t="str">
            <v>OS</v>
          </cell>
          <cell r="Q656" t="str">
            <v>OS</v>
          </cell>
          <cell r="R656" t="str">
            <v>OS</v>
          </cell>
          <cell r="S656" t="str">
            <v>OS</v>
          </cell>
          <cell r="T656" t="str">
            <v>OS</v>
          </cell>
          <cell r="U656" t="str">
            <v>OS</v>
          </cell>
          <cell r="V656" t="str">
            <v>OS</v>
          </cell>
          <cell r="W656" t="str">
            <v>OS</v>
          </cell>
          <cell r="X656" t="str">
            <v>OS</v>
          </cell>
          <cell r="Y656" t="str">
            <v>OS</v>
          </cell>
          <cell r="Z656" t="str">
            <v>OS</v>
          </cell>
          <cell r="AA656" t="str">
            <v>OS</v>
          </cell>
          <cell r="AB656" t="str">
            <v>OS</v>
          </cell>
          <cell r="AC656" t="str">
            <v>OS</v>
          </cell>
          <cell r="AD656" t="str">
            <v>AGM-01-028-018</v>
          </cell>
          <cell r="AE656" t="str">
            <v xml:space="preserve">Raemulan Lands, Inc. </v>
          </cell>
          <cell r="AF656" t="str">
            <v>Agapeya</v>
          </cell>
          <cell r="AG656" t="str">
            <v>AGM</v>
          </cell>
          <cell r="AH656" t="str">
            <v>Eco-High</v>
          </cell>
          <cell r="AI656" t="str">
            <v>West</v>
          </cell>
          <cell r="AJ656" t="str">
            <v>With LTS</v>
          </cell>
          <cell r="AK656" t="str">
            <v>Unaffected lots</v>
          </cell>
          <cell r="AL656" t="str">
            <v>Unaffected lots</v>
          </cell>
          <cell r="AM656" t="b">
            <v>1</v>
          </cell>
          <cell r="AN656" t="str">
            <v>YES</v>
          </cell>
          <cell r="AO656" t="str">
            <v>2024 Batch</v>
          </cell>
          <cell r="AP656">
            <v>70</v>
          </cell>
          <cell r="AQ656" t="str">
            <v>PCS-04-034298</v>
          </cell>
          <cell r="AR656" t="b">
            <v>1</v>
          </cell>
          <cell r="AS656" t="str">
            <v>Done</v>
          </cell>
          <cell r="AT656" t="str">
            <v>2024 Batch</v>
          </cell>
          <cell r="AU656">
            <v>28</v>
          </cell>
          <cell r="AV656">
            <v>18</v>
          </cell>
          <cell r="AW656" t="str">
            <v>H+L</v>
          </cell>
          <cell r="AX656">
            <v>70</v>
          </cell>
          <cell r="AY656">
            <v>50</v>
          </cell>
          <cell r="AZ656" t="str">
            <v>Duplex</v>
          </cell>
          <cell r="BA656">
            <v>1</v>
          </cell>
          <cell r="BB656" t="str">
            <v>326 - With Partition</v>
          </cell>
          <cell r="BC656" t="str">
            <v>With Partition</v>
          </cell>
          <cell r="BD656" t="str">
            <v>Slant</v>
          </cell>
          <cell r="BE656" t="str">
            <v>With Partition</v>
          </cell>
          <cell r="BF656" t="str">
            <v>YELLOW</v>
          </cell>
          <cell r="BG656">
            <v>2707500</v>
          </cell>
          <cell r="BH656">
            <v>2850000</v>
          </cell>
          <cell r="BI656">
            <v>100000</v>
          </cell>
          <cell r="BJ656">
            <v>2750000</v>
          </cell>
          <cell r="BK656">
            <v>0</v>
          </cell>
          <cell r="BL656">
            <v>2750000</v>
          </cell>
        </row>
        <row r="657">
          <cell r="D657" t="str">
            <v>OS</v>
          </cell>
          <cell r="E657"/>
          <cell r="F657">
            <v>637</v>
          </cell>
          <cell r="G657" t="str">
            <v>SOLD</v>
          </cell>
          <cell r="H657" t="str">
            <v>OS</v>
          </cell>
          <cell r="I657" t="str">
            <v>OS</v>
          </cell>
          <cell r="J657" t="str">
            <v>OS</v>
          </cell>
          <cell r="K657" t="str">
            <v>OS</v>
          </cell>
          <cell r="L657" t="str">
            <v>OS</v>
          </cell>
          <cell r="M657" t="str">
            <v>OS</v>
          </cell>
          <cell r="N657" t="str">
            <v>OS</v>
          </cell>
          <cell r="O657" t="str">
            <v>OS</v>
          </cell>
          <cell r="P657" t="str">
            <v>OS</v>
          </cell>
          <cell r="Q657" t="str">
            <v>OS</v>
          </cell>
          <cell r="R657" t="str">
            <v>OS</v>
          </cell>
          <cell r="S657" t="str">
            <v>OS</v>
          </cell>
          <cell r="T657" t="str">
            <v>OS</v>
          </cell>
          <cell r="U657" t="str">
            <v>OS</v>
          </cell>
          <cell r="V657" t="str">
            <v>OS</v>
          </cell>
          <cell r="W657" t="str">
            <v>OS</v>
          </cell>
          <cell r="X657" t="str">
            <v>OS</v>
          </cell>
          <cell r="Y657" t="str">
            <v>OS</v>
          </cell>
          <cell r="Z657" t="str">
            <v>OS</v>
          </cell>
          <cell r="AA657" t="str">
            <v>OS</v>
          </cell>
          <cell r="AB657" t="str">
            <v>OS</v>
          </cell>
          <cell r="AC657" t="str">
            <v>OS</v>
          </cell>
          <cell r="AD657" t="str">
            <v>AGM-01-028-019</v>
          </cell>
          <cell r="AE657" t="str">
            <v xml:space="preserve">Raemulan Lands, Inc. </v>
          </cell>
          <cell r="AF657" t="str">
            <v>Agapeya</v>
          </cell>
          <cell r="AG657" t="str">
            <v>AGM</v>
          </cell>
          <cell r="AH657" t="str">
            <v>Eco-High</v>
          </cell>
          <cell r="AI657" t="str">
            <v>West</v>
          </cell>
          <cell r="AJ657" t="str">
            <v>With LTS</v>
          </cell>
          <cell r="AK657" t="str">
            <v>Unaffected lots</v>
          </cell>
          <cell r="AL657" t="str">
            <v>Unaffected lots</v>
          </cell>
          <cell r="AM657" t="b">
            <v>1</v>
          </cell>
          <cell r="AN657" t="str">
            <v>YES</v>
          </cell>
          <cell r="AO657" t="str">
            <v>2024 Batch</v>
          </cell>
          <cell r="AP657">
            <v>70</v>
          </cell>
          <cell r="AQ657" t="str">
            <v>PCS-04-034298</v>
          </cell>
          <cell r="AR657" t="b">
            <v>1</v>
          </cell>
          <cell r="AS657" t="str">
            <v>Done</v>
          </cell>
          <cell r="AT657" t="str">
            <v>2024 Batch</v>
          </cell>
          <cell r="AU657">
            <v>28</v>
          </cell>
          <cell r="AV657">
            <v>19</v>
          </cell>
          <cell r="AW657" t="str">
            <v>H+L</v>
          </cell>
          <cell r="AX657">
            <v>70</v>
          </cell>
          <cell r="AY657">
            <v>50</v>
          </cell>
          <cell r="AZ657" t="str">
            <v>Duplex</v>
          </cell>
          <cell r="BA657">
            <v>1</v>
          </cell>
          <cell r="BB657" t="str">
            <v>326 - With Partition</v>
          </cell>
          <cell r="BC657" t="str">
            <v>With Partition</v>
          </cell>
          <cell r="BD657" t="str">
            <v>Slant</v>
          </cell>
          <cell r="BE657" t="str">
            <v>With Partition</v>
          </cell>
          <cell r="BF657" t="str">
            <v>YELLOW</v>
          </cell>
          <cell r="BG657">
            <v>2850000</v>
          </cell>
          <cell r="BH657">
            <v>2850000</v>
          </cell>
          <cell r="BI657">
            <v>100000</v>
          </cell>
          <cell r="BJ657">
            <v>2750000</v>
          </cell>
          <cell r="BK657">
            <v>0</v>
          </cell>
          <cell r="BL657">
            <v>2750000</v>
          </cell>
        </row>
        <row r="658">
          <cell r="D658" t="str">
            <v>OS</v>
          </cell>
          <cell r="E658"/>
          <cell r="F658">
            <v>638</v>
          </cell>
          <cell r="G658" t="str">
            <v>SOLD</v>
          </cell>
          <cell r="H658" t="str">
            <v>OS</v>
          </cell>
          <cell r="I658" t="str">
            <v>OS</v>
          </cell>
          <cell r="J658" t="str">
            <v>OS</v>
          </cell>
          <cell r="K658" t="str">
            <v>OS</v>
          </cell>
          <cell r="L658" t="str">
            <v>OS</v>
          </cell>
          <cell r="M658" t="str">
            <v>OS</v>
          </cell>
          <cell r="N658" t="str">
            <v>OS</v>
          </cell>
          <cell r="O658" t="str">
            <v>OS</v>
          </cell>
          <cell r="P658" t="str">
            <v>OS</v>
          </cell>
          <cell r="Q658" t="str">
            <v>OS</v>
          </cell>
          <cell r="R658" t="str">
            <v>OS</v>
          </cell>
          <cell r="S658" t="str">
            <v>OS</v>
          </cell>
          <cell r="T658" t="str">
            <v>OS</v>
          </cell>
          <cell r="U658" t="str">
            <v>OS</v>
          </cell>
          <cell r="V658" t="str">
            <v>OS</v>
          </cell>
          <cell r="W658" t="str">
            <v>OS</v>
          </cell>
          <cell r="X658" t="str">
            <v>OS</v>
          </cell>
          <cell r="Y658" t="str">
            <v>OS</v>
          </cell>
          <cell r="Z658" t="str">
            <v>OS</v>
          </cell>
          <cell r="AA658" t="str">
            <v>OS</v>
          </cell>
          <cell r="AB658" t="str">
            <v>OS</v>
          </cell>
          <cell r="AC658" t="str">
            <v>OS</v>
          </cell>
          <cell r="AD658" t="str">
            <v>AGM-01-028-020</v>
          </cell>
          <cell r="AE658" t="str">
            <v xml:space="preserve">Raemulan Lands, Inc. </v>
          </cell>
          <cell r="AF658" t="str">
            <v>Agapeya</v>
          </cell>
          <cell r="AG658" t="str">
            <v>AGM</v>
          </cell>
          <cell r="AH658" t="str">
            <v>Eco-High</v>
          </cell>
          <cell r="AI658" t="str">
            <v>West</v>
          </cell>
          <cell r="AJ658" t="str">
            <v>With LTS</v>
          </cell>
          <cell r="AK658" t="str">
            <v>Unaffected lots</v>
          </cell>
          <cell r="AL658" t="str">
            <v>Unaffected lots</v>
          </cell>
          <cell r="AM658" t="b">
            <v>1</v>
          </cell>
          <cell r="AN658" t="str">
            <v>YES</v>
          </cell>
          <cell r="AO658" t="str">
            <v>2024 Batch</v>
          </cell>
          <cell r="AP658">
            <v>81</v>
          </cell>
          <cell r="AQ658" t="str">
            <v>PCS-04-034298</v>
          </cell>
          <cell r="AR658" t="b">
            <v>1</v>
          </cell>
          <cell r="AS658" t="str">
            <v>Done</v>
          </cell>
          <cell r="AT658" t="str">
            <v>2024 Batch</v>
          </cell>
          <cell r="AU658">
            <v>28</v>
          </cell>
          <cell r="AV658">
            <v>20</v>
          </cell>
          <cell r="AW658" t="str">
            <v>H+L</v>
          </cell>
          <cell r="AX658">
            <v>81</v>
          </cell>
          <cell r="AY658">
            <v>50</v>
          </cell>
          <cell r="AZ658" t="str">
            <v>Duplex</v>
          </cell>
          <cell r="BA658">
            <v>1</v>
          </cell>
          <cell r="BB658" t="str">
            <v>326 - With Partition</v>
          </cell>
          <cell r="BC658" t="str">
            <v>With Partition</v>
          </cell>
          <cell r="BD658" t="str">
            <v>Flat</v>
          </cell>
          <cell r="BE658" t="str">
            <v>With Partition</v>
          </cell>
          <cell r="BF658" t="str">
            <v>YELLOW</v>
          </cell>
          <cell r="BG658">
            <v>2850000</v>
          </cell>
          <cell r="BH658">
            <v>3015000</v>
          </cell>
          <cell r="BI658">
            <v>100000</v>
          </cell>
          <cell r="BJ658">
            <v>2915000</v>
          </cell>
          <cell r="BK658">
            <v>0</v>
          </cell>
          <cell r="BL658">
            <v>2915000</v>
          </cell>
        </row>
        <row r="659">
          <cell r="D659" t="str">
            <v>OS</v>
          </cell>
          <cell r="E659"/>
          <cell r="F659">
            <v>639</v>
          </cell>
          <cell r="G659" t="str">
            <v>CLOSED</v>
          </cell>
          <cell r="H659" t="str">
            <v>OS</v>
          </cell>
          <cell r="I659" t="str">
            <v>OS</v>
          </cell>
          <cell r="J659" t="str">
            <v>OS</v>
          </cell>
          <cell r="K659" t="str">
            <v>OS</v>
          </cell>
          <cell r="L659" t="str">
            <v>OS</v>
          </cell>
          <cell r="M659" t="str">
            <v>OS</v>
          </cell>
          <cell r="N659" t="str">
            <v>OS</v>
          </cell>
          <cell r="O659" t="str">
            <v>OS</v>
          </cell>
          <cell r="P659" t="str">
            <v>OS</v>
          </cell>
          <cell r="Q659" t="str">
            <v>OS</v>
          </cell>
          <cell r="R659" t="str">
            <v>OS</v>
          </cell>
          <cell r="S659" t="str">
            <v>OS</v>
          </cell>
          <cell r="T659" t="str">
            <v>OS</v>
          </cell>
          <cell r="U659" t="str">
            <v>OS</v>
          </cell>
          <cell r="V659" t="str">
            <v>OS</v>
          </cell>
          <cell r="W659" t="str">
            <v>OS</v>
          </cell>
          <cell r="X659" t="str">
            <v>OS</v>
          </cell>
          <cell r="Y659" t="str">
            <v>OS</v>
          </cell>
          <cell r="Z659" t="str">
            <v>OS</v>
          </cell>
          <cell r="AA659" t="str">
            <v>OS</v>
          </cell>
          <cell r="AB659" t="str">
            <v>OS</v>
          </cell>
          <cell r="AC659" t="str">
            <v>OS</v>
          </cell>
          <cell r="AD659" t="str">
            <v>AGM-01-028-021</v>
          </cell>
          <cell r="AE659" t="str">
            <v xml:space="preserve">Raemulan Lands, Inc. </v>
          </cell>
          <cell r="AF659" t="str">
            <v>Agapeya</v>
          </cell>
          <cell r="AG659" t="str">
            <v>AGM</v>
          </cell>
          <cell r="AH659" t="str">
            <v>Eco-High</v>
          </cell>
          <cell r="AI659" t="str">
            <v>West</v>
          </cell>
          <cell r="AJ659" t="str">
            <v>With LTS</v>
          </cell>
          <cell r="AK659" t="str">
            <v>Unaffected lots</v>
          </cell>
          <cell r="AL659" t="str">
            <v>Unaffected lots</v>
          </cell>
          <cell r="AM659" t="b">
            <v>1</v>
          </cell>
          <cell r="AN659" t="str">
            <v>YES</v>
          </cell>
          <cell r="AO659" t="str">
            <v>2024 Batch</v>
          </cell>
          <cell r="AP659">
            <v>81</v>
          </cell>
          <cell r="AQ659" t="str">
            <v>PCS-04-034298</v>
          </cell>
          <cell r="AR659" t="b">
            <v>1</v>
          </cell>
          <cell r="AS659" t="str">
            <v>Done</v>
          </cell>
          <cell r="AT659" t="str">
            <v>2024 Batch</v>
          </cell>
          <cell r="AU659">
            <v>28</v>
          </cell>
          <cell r="AV659">
            <v>21</v>
          </cell>
          <cell r="AW659" t="str">
            <v>H+L</v>
          </cell>
          <cell r="AX659">
            <v>81</v>
          </cell>
          <cell r="AY659">
            <v>50</v>
          </cell>
          <cell r="AZ659" t="str">
            <v>Duplex</v>
          </cell>
          <cell r="BA659">
            <v>1</v>
          </cell>
          <cell r="BB659" t="str">
            <v>326 - With Partition</v>
          </cell>
          <cell r="BC659" t="str">
            <v xml:space="preserve">Without Partition </v>
          </cell>
          <cell r="BD659" t="str">
            <v>Slant</v>
          </cell>
          <cell r="BE659" t="str">
            <v xml:space="preserve">Without Partition </v>
          </cell>
          <cell r="BF659" t="str">
            <v>GREEN</v>
          </cell>
          <cell r="BG659">
            <v>2850000</v>
          </cell>
          <cell r="BH659">
            <v>2815000</v>
          </cell>
          <cell r="BI659">
            <v>100000</v>
          </cell>
          <cell r="BJ659">
            <v>2715000</v>
          </cell>
          <cell r="BK659">
            <v>0</v>
          </cell>
          <cell r="BL659">
            <v>2715000</v>
          </cell>
        </row>
        <row r="660">
          <cell r="D660" t="str">
            <v>OS</v>
          </cell>
          <cell r="E660"/>
          <cell r="F660">
            <v>640</v>
          </cell>
          <cell r="G660" t="str">
            <v>SOLD</v>
          </cell>
          <cell r="H660" t="str">
            <v>OS</v>
          </cell>
          <cell r="I660" t="str">
            <v>OS</v>
          </cell>
          <cell r="J660" t="str">
            <v>OS</v>
          </cell>
          <cell r="K660" t="str">
            <v>OS</v>
          </cell>
          <cell r="L660" t="str">
            <v>OS</v>
          </cell>
          <cell r="M660" t="str">
            <v>OS</v>
          </cell>
          <cell r="N660" t="str">
            <v>OS</v>
          </cell>
          <cell r="O660" t="str">
            <v>OS</v>
          </cell>
          <cell r="P660" t="str">
            <v>OS</v>
          </cell>
          <cell r="Q660" t="str">
            <v>OS</v>
          </cell>
          <cell r="R660" t="str">
            <v>OS</v>
          </cell>
          <cell r="S660" t="str">
            <v>OS</v>
          </cell>
          <cell r="T660" t="str">
            <v>OS</v>
          </cell>
          <cell r="U660" t="str">
            <v>OS</v>
          </cell>
          <cell r="V660" t="str">
            <v>OS</v>
          </cell>
          <cell r="W660" t="str">
            <v>OS</v>
          </cell>
          <cell r="X660" t="str">
            <v>OS</v>
          </cell>
          <cell r="Y660" t="str">
            <v>OS</v>
          </cell>
          <cell r="Z660" t="str">
            <v>OS</v>
          </cell>
          <cell r="AA660" t="str">
            <v>OS</v>
          </cell>
          <cell r="AB660" t="str">
            <v>OS</v>
          </cell>
          <cell r="AC660" t="str">
            <v>OS</v>
          </cell>
          <cell r="AD660" t="str">
            <v>AGM-01-028-022</v>
          </cell>
          <cell r="AE660" t="str">
            <v xml:space="preserve">Raemulan Lands, Inc. </v>
          </cell>
          <cell r="AF660" t="str">
            <v>Agapeya</v>
          </cell>
          <cell r="AG660" t="str">
            <v>AGM</v>
          </cell>
          <cell r="AH660" t="str">
            <v>Eco-High</v>
          </cell>
          <cell r="AI660" t="str">
            <v>West</v>
          </cell>
          <cell r="AJ660" t="str">
            <v>With LTS</v>
          </cell>
          <cell r="AK660" t="str">
            <v>Unaffected lots</v>
          </cell>
          <cell r="AL660" t="str">
            <v>Unaffected lots</v>
          </cell>
          <cell r="AM660" t="b">
            <v>1</v>
          </cell>
          <cell r="AN660" t="str">
            <v>YES</v>
          </cell>
          <cell r="AO660" t="str">
            <v>2024 Batch</v>
          </cell>
          <cell r="AP660">
            <v>70</v>
          </cell>
          <cell r="AQ660" t="str">
            <v>PCS-04-034298</v>
          </cell>
          <cell r="AR660" t="b">
            <v>1</v>
          </cell>
          <cell r="AS660" t="str">
            <v>Done</v>
          </cell>
          <cell r="AT660" t="str">
            <v>2024 Batch</v>
          </cell>
          <cell r="AU660">
            <v>28</v>
          </cell>
          <cell r="AV660">
            <v>22</v>
          </cell>
          <cell r="AW660" t="str">
            <v>H+L</v>
          </cell>
          <cell r="AX660">
            <v>70</v>
          </cell>
          <cell r="AY660">
            <v>50</v>
          </cell>
          <cell r="AZ660" t="str">
            <v>Duplex</v>
          </cell>
          <cell r="BA660">
            <v>1</v>
          </cell>
          <cell r="BB660" t="str">
            <v>326 - With Partition</v>
          </cell>
          <cell r="BC660" t="str">
            <v>With Partition</v>
          </cell>
          <cell r="BD660" t="str">
            <v>Flat</v>
          </cell>
          <cell r="BE660" t="str">
            <v>With Partition</v>
          </cell>
          <cell r="BF660" t="str">
            <v>GREEN</v>
          </cell>
          <cell r="BG660">
            <v>2572125</v>
          </cell>
          <cell r="BH660">
            <v>2850000</v>
          </cell>
          <cell r="BI660">
            <v>100000</v>
          </cell>
          <cell r="BJ660">
            <v>2750000</v>
          </cell>
          <cell r="BK660">
            <v>0</v>
          </cell>
          <cell r="BL660">
            <v>2750000</v>
          </cell>
        </row>
        <row r="661">
          <cell r="D661" t="str">
            <v>OS</v>
          </cell>
          <cell r="E661"/>
          <cell r="F661">
            <v>641</v>
          </cell>
          <cell r="G661" t="str">
            <v>SOLD</v>
          </cell>
          <cell r="H661" t="str">
            <v>OS</v>
          </cell>
          <cell r="I661" t="str">
            <v>OS</v>
          </cell>
          <cell r="J661" t="str">
            <v>OS</v>
          </cell>
          <cell r="K661" t="str">
            <v>OS</v>
          </cell>
          <cell r="L661" t="str">
            <v>OS</v>
          </cell>
          <cell r="M661" t="str">
            <v>OS</v>
          </cell>
          <cell r="N661" t="str">
            <v>OS</v>
          </cell>
          <cell r="O661" t="str">
            <v>OS</v>
          </cell>
          <cell r="P661" t="str">
            <v>OS</v>
          </cell>
          <cell r="Q661" t="str">
            <v>OS</v>
          </cell>
          <cell r="R661" t="str">
            <v>OS</v>
          </cell>
          <cell r="S661" t="str">
            <v>OS</v>
          </cell>
          <cell r="T661" t="str">
            <v>OS</v>
          </cell>
          <cell r="U661" t="str">
            <v>OS</v>
          </cell>
          <cell r="V661" t="str">
            <v>OS</v>
          </cell>
          <cell r="W661" t="str">
            <v>OS</v>
          </cell>
          <cell r="X661" t="str">
            <v>OS</v>
          </cell>
          <cell r="Y661" t="str">
            <v>OS</v>
          </cell>
          <cell r="Z661" t="str">
            <v>OS</v>
          </cell>
          <cell r="AA661" t="str">
            <v>OS</v>
          </cell>
          <cell r="AB661" t="str">
            <v>OS</v>
          </cell>
          <cell r="AC661" t="str">
            <v>OS</v>
          </cell>
          <cell r="AD661" t="str">
            <v>AGM-01-028-023</v>
          </cell>
          <cell r="AE661" t="str">
            <v xml:space="preserve">Raemulan Lands, Inc. </v>
          </cell>
          <cell r="AF661" t="str">
            <v>Agapeya</v>
          </cell>
          <cell r="AG661" t="str">
            <v>AGM</v>
          </cell>
          <cell r="AH661" t="str">
            <v>Eco-High</v>
          </cell>
          <cell r="AI661" t="str">
            <v>West</v>
          </cell>
          <cell r="AJ661" t="str">
            <v>With LTS</v>
          </cell>
          <cell r="AK661" t="str">
            <v>Unaffected lots</v>
          </cell>
          <cell r="AL661" t="str">
            <v>Unaffected lots</v>
          </cell>
          <cell r="AM661" t="b">
            <v>1</v>
          </cell>
          <cell r="AN661" t="str">
            <v>YES</v>
          </cell>
          <cell r="AO661" t="str">
            <v>2024 Batch</v>
          </cell>
          <cell r="AP661">
            <v>70</v>
          </cell>
          <cell r="AQ661" t="str">
            <v>PCS-04-034298</v>
          </cell>
          <cell r="AR661" t="b">
            <v>1</v>
          </cell>
          <cell r="AS661" t="str">
            <v>Done</v>
          </cell>
          <cell r="AT661" t="str">
            <v>2024 Batch</v>
          </cell>
          <cell r="AU661">
            <v>28</v>
          </cell>
          <cell r="AV661">
            <v>23</v>
          </cell>
          <cell r="AW661" t="str">
            <v>H+L</v>
          </cell>
          <cell r="AX661">
            <v>70</v>
          </cell>
          <cell r="AY661">
            <v>50</v>
          </cell>
          <cell r="AZ661" t="str">
            <v>Duplex</v>
          </cell>
          <cell r="BA661">
            <v>1</v>
          </cell>
          <cell r="BB661" t="str">
            <v>326 - With Partition</v>
          </cell>
          <cell r="BC661" t="str">
            <v xml:space="preserve">Without Partition </v>
          </cell>
          <cell r="BD661" t="str">
            <v>Flat</v>
          </cell>
          <cell r="BE661" t="str">
            <v>With Partition</v>
          </cell>
          <cell r="BF661" t="str">
            <v>GREEN</v>
          </cell>
          <cell r="BG661">
            <v>2600000</v>
          </cell>
          <cell r="BH661">
            <v>2850000</v>
          </cell>
          <cell r="BI661">
            <v>100000</v>
          </cell>
          <cell r="BJ661">
            <v>2750000</v>
          </cell>
          <cell r="BK661">
            <v>0</v>
          </cell>
          <cell r="BL661">
            <v>2750000</v>
          </cell>
        </row>
        <row r="662">
          <cell r="D662" t="str">
            <v>OS</v>
          </cell>
          <cell r="E662"/>
          <cell r="F662">
            <v>642</v>
          </cell>
          <cell r="G662" t="str">
            <v>SOLD</v>
          </cell>
          <cell r="H662" t="str">
            <v>OS</v>
          </cell>
          <cell r="I662" t="str">
            <v>OS</v>
          </cell>
          <cell r="J662" t="str">
            <v>OS</v>
          </cell>
          <cell r="K662" t="str">
            <v>OS</v>
          </cell>
          <cell r="L662" t="str">
            <v>OS</v>
          </cell>
          <cell r="M662" t="str">
            <v>OS</v>
          </cell>
          <cell r="N662" t="str">
            <v>OS</v>
          </cell>
          <cell r="O662" t="str">
            <v>OS</v>
          </cell>
          <cell r="P662" t="str">
            <v>OS</v>
          </cell>
          <cell r="Q662" t="str">
            <v>OS</v>
          </cell>
          <cell r="R662" t="str">
            <v>OS</v>
          </cell>
          <cell r="S662" t="str">
            <v>OS</v>
          </cell>
          <cell r="T662" t="str">
            <v>OS</v>
          </cell>
          <cell r="U662" t="str">
            <v>OS</v>
          </cell>
          <cell r="V662" t="str">
            <v>OS</v>
          </cell>
          <cell r="W662" t="str">
            <v>OS</v>
          </cell>
          <cell r="X662" t="str">
            <v>OS</v>
          </cell>
          <cell r="Y662" t="str">
            <v>OS</v>
          </cell>
          <cell r="Z662" t="str">
            <v>OS</v>
          </cell>
          <cell r="AA662" t="str">
            <v>OS</v>
          </cell>
          <cell r="AB662" t="str">
            <v>OS</v>
          </cell>
          <cell r="AC662" t="str">
            <v>OS</v>
          </cell>
          <cell r="AD662" t="str">
            <v>AGM-01-028-024</v>
          </cell>
          <cell r="AE662" t="str">
            <v xml:space="preserve">Raemulan Lands, Inc. </v>
          </cell>
          <cell r="AF662" t="str">
            <v>Agapeya</v>
          </cell>
          <cell r="AG662" t="str">
            <v>AGM</v>
          </cell>
          <cell r="AH662" t="str">
            <v>Eco-High</v>
          </cell>
          <cell r="AI662" t="str">
            <v>West</v>
          </cell>
          <cell r="AJ662" t="str">
            <v>With LTS</v>
          </cell>
          <cell r="AK662" t="str">
            <v>Unaffected lots</v>
          </cell>
          <cell r="AL662" t="str">
            <v>Unaffected lots</v>
          </cell>
          <cell r="AM662" t="b">
            <v>1</v>
          </cell>
          <cell r="AN662" t="str">
            <v>YES</v>
          </cell>
          <cell r="AO662" t="str">
            <v>2024 Batch</v>
          </cell>
          <cell r="AP662">
            <v>70</v>
          </cell>
          <cell r="AQ662" t="str">
            <v>PCS-04-034298</v>
          </cell>
          <cell r="AR662" t="b">
            <v>1</v>
          </cell>
          <cell r="AS662" t="str">
            <v>Done</v>
          </cell>
          <cell r="AT662" t="str">
            <v>2024 Batch</v>
          </cell>
          <cell r="AU662">
            <v>28</v>
          </cell>
          <cell r="AV662">
            <v>24</v>
          </cell>
          <cell r="AW662" t="str">
            <v>H+L</v>
          </cell>
          <cell r="AX662">
            <v>70</v>
          </cell>
          <cell r="AY662">
            <v>50</v>
          </cell>
          <cell r="AZ662" t="str">
            <v>Duplex</v>
          </cell>
          <cell r="BA662">
            <v>1</v>
          </cell>
          <cell r="BB662" t="str">
            <v>326 - With Partition</v>
          </cell>
          <cell r="BC662" t="str">
            <v>With Partition</v>
          </cell>
          <cell r="BD662" t="str">
            <v>Slant</v>
          </cell>
          <cell r="BE662" t="str">
            <v>With Partition</v>
          </cell>
          <cell r="BF662" t="str">
            <v>GREEN</v>
          </cell>
          <cell r="BG662">
            <v>2707500</v>
          </cell>
          <cell r="BH662">
            <v>2850000</v>
          </cell>
          <cell r="BI662">
            <v>100000</v>
          </cell>
          <cell r="BJ662">
            <v>2750000</v>
          </cell>
          <cell r="BK662">
            <v>0</v>
          </cell>
          <cell r="BL662">
            <v>2750000</v>
          </cell>
        </row>
        <row r="663">
          <cell r="D663" t="str">
            <v>TS</v>
          </cell>
          <cell r="E663"/>
          <cell r="F663">
            <v>643</v>
          </cell>
          <cell r="G663" t="str">
            <v>UNSOLD</v>
          </cell>
          <cell r="H663" t="str">
            <v>TS</v>
          </cell>
          <cell r="I663" t="str">
            <v>TS</v>
          </cell>
          <cell r="J663" t="str">
            <v>TS - MORE THAN 30 DAYS</v>
          </cell>
          <cell r="K663" t="str">
            <v>TS - MORE THAN 30 DAYS</v>
          </cell>
          <cell r="L663" t="str">
            <v>TS - MORE THAN 30 DAYS</v>
          </cell>
          <cell r="M663" t="str">
            <v>TS</v>
          </cell>
          <cell r="N663" t="str">
            <v>TS - MORE THAN 30 DAYS</v>
          </cell>
          <cell r="O663" t="str">
            <v>TS - MORE THAN 30 DAYS</v>
          </cell>
          <cell r="P663" t="str">
            <v>TS - MORE THAN 30 DAYS</v>
          </cell>
          <cell r="Q663" t="str">
            <v>TS - MORE THAN 30 DAYS</v>
          </cell>
          <cell r="R663" t="str">
            <v>TS</v>
          </cell>
          <cell r="S663" t="str">
            <v>TS - MORE THAN 30 DAYS</v>
          </cell>
          <cell r="T663" t="str">
            <v>TS - MORE THAN 30 DAYS</v>
          </cell>
          <cell r="U663" t="str">
            <v>TS - MORE THAN 30 DAYS</v>
          </cell>
          <cell r="V663" t="str">
            <v>TS - MORE THAN 30 DAYS</v>
          </cell>
          <cell r="W663" t="str">
            <v>TS - MORE THAN 30 DAYS</v>
          </cell>
          <cell r="X663" t="str">
            <v>FOR CANCELLATION</v>
          </cell>
          <cell r="Y663" t="str">
            <v>FOR CANCELLATION</v>
          </cell>
          <cell r="Z663" t="str">
            <v>TS</v>
          </cell>
          <cell r="AA663" t="str">
            <v>OPEN</v>
          </cell>
          <cell r="AB663" t="str">
            <v>FOR CANCELLATION</v>
          </cell>
          <cell r="AC663" t="str">
            <v>FOR CANCELLATION</v>
          </cell>
          <cell r="AD663" t="str">
            <v>AGM-01-028-025</v>
          </cell>
          <cell r="AE663" t="str">
            <v xml:space="preserve">Raemulan Lands, Inc. </v>
          </cell>
          <cell r="AF663" t="str">
            <v>Agapeya</v>
          </cell>
          <cell r="AG663" t="str">
            <v>AGM</v>
          </cell>
          <cell r="AH663" t="str">
            <v>Eco-High</v>
          </cell>
          <cell r="AI663" t="str">
            <v>West</v>
          </cell>
          <cell r="AJ663" t="str">
            <v>With LTS</v>
          </cell>
          <cell r="AK663" t="str">
            <v>Unaffected lots</v>
          </cell>
          <cell r="AL663" t="str">
            <v>Unaffected lots</v>
          </cell>
          <cell r="AM663" t="b">
            <v>1</v>
          </cell>
          <cell r="AN663" t="str">
            <v>YES</v>
          </cell>
          <cell r="AO663" t="str">
            <v>2024 Batch</v>
          </cell>
          <cell r="AP663">
            <v>70</v>
          </cell>
          <cell r="AQ663" t="str">
            <v>PCS-04-034298</v>
          </cell>
          <cell r="AR663" t="b">
            <v>1</v>
          </cell>
          <cell r="AS663" t="str">
            <v>Done</v>
          </cell>
          <cell r="AT663" t="str">
            <v>2024 Batch</v>
          </cell>
          <cell r="AU663">
            <v>28</v>
          </cell>
          <cell r="AV663">
            <v>25</v>
          </cell>
          <cell r="AW663" t="str">
            <v>H+L</v>
          </cell>
          <cell r="AX663">
            <v>70</v>
          </cell>
          <cell r="AY663">
            <v>50</v>
          </cell>
          <cell r="AZ663" t="str">
            <v>Duplex</v>
          </cell>
          <cell r="BA663">
            <v>1</v>
          </cell>
          <cell r="BB663" t="str">
            <v>326 - With Partition</v>
          </cell>
          <cell r="BC663" t="str">
            <v>With Partition</v>
          </cell>
          <cell r="BD663" t="str">
            <v>Slant</v>
          </cell>
          <cell r="BE663" t="str">
            <v>With Partition</v>
          </cell>
          <cell r="BF663" t="str">
            <v>YELLOW</v>
          </cell>
          <cell r="BG663">
            <v>2707500</v>
          </cell>
          <cell r="BH663">
            <v>2850000</v>
          </cell>
          <cell r="BI663">
            <v>100000</v>
          </cell>
          <cell r="BJ663">
            <v>2750000</v>
          </cell>
          <cell r="BK663">
            <v>0</v>
          </cell>
          <cell r="BL663">
            <v>2750000</v>
          </cell>
        </row>
        <row r="664">
          <cell r="D664" t="str">
            <v>OS</v>
          </cell>
          <cell r="E664"/>
          <cell r="F664">
            <v>644</v>
          </cell>
          <cell r="G664" t="str">
            <v>UNSOLD</v>
          </cell>
          <cell r="H664" t="str">
            <v>OS</v>
          </cell>
          <cell r="I664" t="str">
            <v>OS</v>
          </cell>
          <cell r="J664" t="str">
            <v>OS</v>
          </cell>
          <cell r="K664" t="str">
            <v>OS</v>
          </cell>
          <cell r="L664" t="str">
            <v>OS</v>
          </cell>
          <cell r="M664" t="str">
            <v>OS</v>
          </cell>
          <cell r="N664" t="str">
            <v>OS</v>
          </cell>
          <cell r="O664" t="str">
            <v>OS</v>
          </cell>
          <cell r="P664" t="str">
            <v>OS</v>
          </cell>
          <cell r="Q664" t="str">
            <v>OS</v>
          </cell>
          <cell r="R664" t="str">
            <v>OS</v>
          </cell>
          <cell r="S664" t="str">
            <v>OS</v>
          </cell>
          <cell r="T664" t="str">
            <v>OS</v>
          </cell>
          <cell r="U664" t="str">
            <v>OS</v>
          </cell>
          <cell r="V664" t="str">
            <v>OS</v>
          </cell>
          <cell r="W664" t="str">
            <v>OS</v>
          </cell>
          <cell r="X664" t="str">
            <v>OS</v>
          </cell>
          <cell r="Y664" t="str">
            <v>OS</v>
          </cell>
          <cell r="Z664" t="str">
            <v>OS</v>
          </cell>
          <cell r="AA664" t="str">
            <v>OS</v>
          </cell>
          <cell r="AB664" t="str">
            <v>OS</v>
          </cell>
          <cell r="AC664" t="str">
            <v>OS</v>
          </cell>
          <cell r="AD664" t="str">
            <v>AGM-01-028-026</v>
          </cell>
          <cell r="AE664" t="str">
            <v xml:space="preserve">Raemulan Lands, Inc. </v>
          </cell>
          <cell r="AF664" t="str">
            <v>Agapeya</v>
          </cell>
          <cell r="AG664" t="str">
            <v>AGM</v>
          </cell>
          <cell r="AH664" t="str">
            <v>Eco-High</v>
          </cell>
          <cell r="AI664" t="str">
            <v>West</v>
          </cell>
          <cell r="AJ664" t="str">
            <v>With LTS</v>
          </cell>
          <cell r="AK664" t="str">
            <v>Unaffected lots</v>
          </cell>
          <cell r="AL664" t="str">
            <v>Unaffected lots</v>
          </cell>
          <cell r="AM664" t="b">
            <v>1</v>
          </cell>
          <cell r="AN664" t="str">
            <v>YES</v>
          </cell>
          <cell r="AO664" t="str">
            <v>2024 Batch</v>
          </cell>
          <cell r="AP664">
            <v>70</v>
          </cell>
          <cell r="AQ664" t="str">
            <v>PCS-04-034298</v>
          </cell>
          <cell r="AR664" t="b">
            <v>1</v>
          </cell>
          <cell r="AS664" t="str">
            <v>Done</v>
          </cell>
          <cell r="AT664" t="str">
            <v>2024 Batch</v>
          </cell>
          <cell r="AU664">
            <v>28</v>
          </cell>
          <cell r="AV664">
            <v>26</v>
          </cell>
          <cell r="AW664" t="str">
            <v>H+L</v>
          </cell>
          <cell r="AX664">
            <v>70</v>
          </cell>
          <cell r="AY664">
            <v>50</v>
          </cell>
          <cell r="AZ664" t="str">
            <v>Duplex</v>
          </cell>
          <cell r="BA664">
            <v>1</v>
          </cell>
          <cell r="BB664" t="str">
            <v>326 - With Partition</v>
          </cell>
          <cell r="BC664" t="str">
            <v xml:space="preserve">Without Partition </v>
          </cell>
          <cell r="BD664" t="str">
            <v>Flat</v>
          </cell>
          <cell r="BE664" t="str">
            <v xml:space="preserve">Without Partition </v>
          </cell>
          <cell r="BF664" t="str">
            <v>YELLOW</v>
          </cell>
          <cell r="BG664">
            <v>2707500</v>
          </cell>
          <cell r="BH664">
            <v>2650000</v>
          </cell>
          <cell r="BI664">
            <v>100000</v>
          </cell>
          <cell r="BJ664">
            <v>2550000</v>
          </cell>
          <cell r="BK664">
            <v>0</v>
          </cell>
          <cell r="BL664">
            <v>2550000</v>
          </cell>
        </row>
        <row r="665">
          <cell r="D665" t="str">
            <v>OS</v>
          </cell>
          <cell r="E665"/>
          <cell r="F665">
            <v>645</v>
          </cell>
          <cell r="G665" t="str">
            <v>UNSOLD</v>
          </cell>
          <cell r="H665" t="str">
            <v>VOLUNTARY</v>
          </cell>
          <cell r="I665" t="str">
            <v>FOR CANCELLATION</v>
          </cell>
          <cell r="J665" t="str">
            <v>FOR CANCELLATION</v>
          </cell>
          <cell r="K665" t="str">
            <v>FOR CANCELLATION</v>
          </cell>
          <cell r="L665" t="str">
            <v>FOR CANCELLATION</v>
          </cell>
          <cell r="M665" t="str">
            <v>FOR CANCELLATION</v>
          </cell>
          <cell r="N665" t="str">
            <v>FOR CANCELLATION</v>
          </cell>
          <cell r="O665" t="str">
            <v>FOR CANCELLATION</v>
          </cell>
          <cell r="P665" t="str">
            <v>FOR CANCELLATION</v>
          </cell>
          <cell r="Q665" t="str">
            <v>FOR CANCELLATION</v>
          </cell>
          <cell r="R665" t="str">
            <v>FOR CANCELLATION</v>
          </cell>
          <cell r="S665" t="str">
            <v>FOR CANCELLATION</v>
          </cell>
          <cell r="T665" t="str">
            <v>FOR CANCELLATION</v>
          </cell>
          <cell r="U665" t="str">
            <v>OS</v>
          </cell>
          <cell r="V665" t="str">
            <v>OS</v>
          </cell>
          <cell r="W665" t="str">
            <v>OS</v>
          </cell>
          <cell r="X665" t="str">
            <v>FOR CANCELLATION</v>
          </cell>
          <cell r="Y665" t="str">
            <v>FOR CANCELLATION</v>
          </cell>
          <cell r="Z665" t="str">
            <v>OS</v>
          </cell>
          <cell r="AA665" t="str">
            <v>OS</v>
          </cell>
          <cell r="AB665" t="str">
            <v>FOR BRN</v>
          </cell>
          <cell r="AC665" t="str">
            <v>FOR CANCELLATION</v>
          </cell>
          <cell r="AD665" t="str">
            <v>AGM-01-028-027</v>
          </cell>
          <cell r="AE665" t="str">
            <v xml:space="preserve">Raemulan Lands, Inc. </v>
          </cell>
          <cell r="AF665" t="str">
            <v>Agapeya</v>
          </cell>
          <cell r="AG665" t="str">
            <v>AGM</v>
          </cell>
          <cell r="AH665" t="str">
            <v>Eco-High</v>
          </cell>
          <cell r="AI665" t="str">
            <v>West</v>
          </cell>
          <cell r="AJ665" t="str">
            <v>With LTS</v>
          </cell>
          <cell r="AK665" t="str">
            <v>Unaffected lots</v>
          </cell>
          <cell r="AL665" t="str">
            <v>Unaffected lots</v>
          </cell>
          <cell r="AM665" t="b">
            <v>1</v>
          </cell>
          <cell r="AN665" t="str">
            <v>YES</v>
          </cell>
          <cell r="AO665" t="str">
            <v>2024 Batch</v>
          </cell>
          <cell r="AP665">
            <v>70</v>
          </cell>
          <cell r="AQ665" t="str">
            <v>PCS-04-034298</v>
          </cell>
          <cell r="AR665" t="b">
            <v>1</v>
          </cell>
          <cell r="AS665" t="str">
            <v>Done</v>
          </cell>
          <cell r="AT665" t="str">
            <v>2024 Batch</v>
          </cell>
          <cell r="AU665">
            <v>28</v>
          </cell>
          <cell r="AV665">
            <v>27</v>
          </cell>
          <cell r="AW665" t="str">
            <v>H+L</v>
          </cell>
          <cell r="AX665">
            <v>70</v>
          </cell>
          <cell r="AY665">
            <v>50</v>
          </cell>
          <cell r="AZ665" t="str">
            <v>Duplex</v>
          </cell>
          <cell r="BA665">
            <v>1</v>
          </cell>
          <cell r="BB665" t="str">
            <v>326 - With Partition</v>
          </cell>
          <cell r="BC665" t="str">
            <v>With Partition</v>
          </cell>
          <cell r="BD665" t="str">
            <v>Flat</v>
          </cell>
          <cell r="BE665" t="str">
            <v>With Partition</v>
          </cell>
          <cell r="BF665" t="str">
            <v>YELLOW</v>
          </cell>
          <cell r="BG665">
            <v>2707500</v>
          </cell>
          <cell r="BH665">
            <v>2850000</v>
          </cell>
          <cell r="BI665">
            <v>100000</v>
          </cell>
          <cell r="BJ665">
            <v>2750000</v>
          </cell>
          <cell r="BK665">
            <v>0</v>
          </cell>
          <cell r="BL665">
            <v>2750000</v>
          </cell>
        </row>
        <row r="666">
          <cell r="D666" t="str">
            <v>OS</v>
          </cell>
          <cell r="E666"/>
          <cell r="F666">
            <v>646</v>
          </cell>
          <cell r="G666" t="str">
            <v>SOLD</v>
          </cell>
          <cell r="H666" t="str">
            <v>OS</v>
          </cell>
          <cell r="I666" t="str">
            <v>OS</v>
          </cell>
          <cell r="J666" t="str">
            <v>OS</v>
          </cell>
          <cell r="K666" t="str">
            <v>OS</v>
          </cell>
          <cell r="L666" t="str">
            <v>OS</v>
          </cell>
          <cell r="M666" t="str">
            <v>OS</v>
          </cell>
          <cell r="N666" t="str">
            <v>OS</v>
          </cell>
          <cell r="O666" t="str">
            <v>OS</v>
          </cell>
          <cell r="P666" t="str">
            <v>OS</v>
          </cell>
          <cell r="Q666" t="str">
            <v>OS</v>
          </cell>
          <cell r="R666" t="str">
            <v>OS</v>
          </cell>
          <cell r="S666" t="str">
            <v>OS</v>
          </cell>
          <cell r="T666" t="str">
            <v>OS</v>
          </cell>
          <cell r="U666" t="str">
            <v>OS</v>
          </cell>
          <cell r="V666" t="str">
            <v>OS</v>
          </cell>
          <cell r="W666" t="str">
            <v>OS</v>
          </cell>
          <cell r="X666" t="str">
            <v>OS</v>
          </cell>
          <cell r="Y666" t="str">
            <v>OS</v>
          </cell>
          <cell r="Z666" t="str">
            <v>OS</v>
          </cell>
          <cell r="AA666" t="str">
            <v>OS</v>
          </cell>
          <cell r="AB666" t="str">
            <v>OS</v>
          </cell>
          <cell r="AC666" t="str">
            <v>OS</v>
          </cell>
          <cell r="AD666" t="str">
            <v>AGM-01-028-028</v>
          </cell>
          <cell r="AE666" t="str">
            <v xml:space="preserve">Raemulan Lands, Inc. </v>
          </cell>
          <cell r="AF666" t="str">
            <v>Agapeya</v>
          </cell>
          <cell r="AG666" t="str">
            <v>AGM</v>
          </cell>
          <cell r="AH666" t="str">
            <v>Eco-High</v>
          </cell>
          <cell r="AI666" t="str">
            <v>West</v>
          </cell>
          <cell r="AJ666" t="str">
            <v>With LTS</v>
          </cell>
          <cell r="AK666" t="str">
            <v>Unaffected lots</v>
          </cell>
          <cell r="AL666" t="str">
            <v>Unaffected lots</v>
          </cell>
          <cell r="AM666" t="b">
            <v>1</v>
          </cell>
          <cell r="AN666" t="str">
            <v>YES</v>
          </cell>
          <cell r="AO666" t="str">
            <v>2024 Batch</v>
          </cell>
          <cell r="AP666">
            <v>70</v>
          </cell>
          <cell r="AQ666" t="str">
            <v>PCS-04-034298</v>
          </cell>
          <cell r="AR666" t="b">
            <v>1</v>
          </cell>
          <cell r="AS666" t="str">
            <v>Done</v>
          </cell>
          <cell r="AT666" t="str">
            <v>2024 Batch</v>
          </cell>
          <cell r="AU666">
            <v>28</v>
          </cell>
          <cell r="AV666">
            <v>28</v>
          </cell>
          <cell r="AW666" t="str">
            <v>H+L</v>
          </cell>
          <cell r="AX666">
            <v>70</v>
          </cell>
          <cell r="AY666">
            <v>50</v>
          </cell>
          <cell r="AZ666" t="str">
            <v>Duplex</v>
          </cell>
          <cell r="BA666">
            <v>1</v>
          </cell>
          <cell r="BB666" t="str">
            <v>326 - With Partition</v>
          </cell>
          <cell r="BC666" t="str">
            <v>With Partition</v>
          </cell>
          <cell r="BD666" t="str">
            <v>Slant</v>
          </cell>
          <cell r="BE666" t="str">
            <v>With Partition</v>
          </cell>
          <cell r="BF666" t="str">
            <v>YELLOW</v>
          </cell>
          <cell r="BG666">
            <v>2707500</v>
          </cell>
          <cell r="BH666">
            <v>2850000</v>
          </cell>
          <cell r="BI666">
            <v>100000</v>
          </cell>
          <cell r="BJ666">
            <v>2750000</v>
          </cell>
          <cell r="BK666">
            <v>0</v>
          </cell>
          <cell r="BL666">
            <v>2750000</v>
          </cell>
        </row>
        <row r="667">
          <cell r="D667" t="str">
            <v>OS</v>
          </cell>
          <cell r="E667"/>
          <cell r="F667">
            <v>647</v>
          </cell>
          <cell r="G667" t="str">
            <v>SOLD</v>
          </cell>
          <cell r="H667" t="str">
            <v>OS</v>
          </cell>
          <cell r="I667" t="str">
            <v>OS</v>
          </cell>
          <cell r="J667" t="str">
            <v>OS</v>
          </cell>
          <cell r="K667" t="str">
            <v>OS</v>
          </cell>
          <cell r="L667" t="str">
            <v>OS</v>
          </cell>
          <cell r="M667" t="str">
            <v>OS</v>
          </cell>
          <cell r="N667" t="str">
            <v>OS</v>
          </cell>
          <cell r="O667" t="str">
            <v>OS</v>
          </cell>
          <cell r="P667" t="str">
            <v>OS</v>
          </cell>
          <cell r="Q667" t="str">
            <v>OS</v>
          </cell>
          <cell r="R667" t="str">
            <v>OS</v>
          </cell>
          <cell r="S667" t="str">
            <v>OS</v>
          </cell>
          <cell r="T667" t="str">
            <v>OS</v>
          </cell>
          <cell r="U667" t="str">
            <v>OS</v>
          </cell>
          <cell r="V667" t="str">
            <v>OS</v>
          </cell>
          <cell r="W667" t="str">
            <v>OS</v>
          </cell>
          <cell r="X667" t="str">
            <v>OS</v>
          </cell>
          <cell r="Y667" t="str">
            <v>OS</v>
          </cell>
          <cell r="Z667" t="str">
            <v>OS</v>
          </cell>
          <cell r="AA667" t="str">
            <v>OS</v>
          </cell>
          <cell r="AB667" t="str">
            <v>OS</v>
          </cell>
          <cell r="AC667" t="str">
            <v>OS</v>
          </cell>
          <cell r="AD667" t="str">
            <v>AGM-01-028-029</v>
          </cell>
          <cell r="AE667" t="str">
            <v xml:space="preserve">Raemulan Lands, Inc. </v>
          </cell>
          <cell r="AF667" t="str">
            <v>Agapeya</v>
          </cell>
          <cell r="AG667" t="str">
            <v>AGM</v>
          </cell>
          <cell r="AH667" t="str">
            <v>Eco-High</v>
          </cell>
          <cell r="AI667" t="str">
            <v>West</v>
          </cell>
          <cell r="AJ667" t="str">
            <v>With LTS</v>
          </cell>
          <cell r="AK667" t="str">
            <v>Unaffected lots</v>
          </cell>
          <cell r="AL667" t="str">
            <v>Unaffected lots</v>
          </cell>
          <cell r="AM667" t="b">
            <v>1</v>
          </cell>
          <cell r="AN667" t="str">
            <v>YES</v>
          </cell>
          <cell r="AO667" t="str">
            <v>2024 Batch</v>
          </cell>
          <cell r="AP667">
            <v>70</v>
          </cell>
          <cell r="AQ667" t="str">
            <v>PCS-04-034298</v>
          </cell>
          <cell r="AR667" t="b">
            <v>1</v>
          </cell>
          <cell r="AS667" t="str">
            <v>Done</v>
          </cell>
          <cell r="AT667" t="str">
            <v>2024 Batch</v>
          </cell>
          <cell r="AU667">
            <v>28</v>
          </cell>
          <cell r="AV667">
            <v>29</v>
          </cell>
          <cell r="AW667" t="str">
            <v>H+L</v>
          </cell>
          <cell r="AX667">
            <v>70</v>
          </cell>
          <cell r="AY667">
            <v>50</v>
          </cell>
          <cell r="AZ667" t="str">
            <v>Duplex</v>
          </cell>
          <cell r="BA667">
            <v>1</v>
          </cell>
          <cell r="BB667" t="str">
            <v>326 - With Partition</v>
          </cell>
          <cell r="BC667" t="str">
            <v>With Partition</v>
          </cell>
          <cell r="BD667" t="str">
            <v>Slant</v>
          </cell>
          <cell r="BE667" t="str">
            <v>With Partition</v>
          </cell>
          <cell r="BF667" t="str">
            <v>PINK</v>
          </cell>
          <cell r="BG667">
            <v>2600000</v>
          </cell>
          <cell r="BH667">
            <v>2850000</v>
          </cell>
          <cell r="BI667">
            <v>100000</v>
          </cell>
          <cell r="BJ667">
            <v>2750000</v>
          </cell>
          <cell r="BK667">
            <v>0</v>
          </cell>
          <cell r="BL667">
            <v>2750000</v>
          </cell>
        </row>
        <row r="668">
          <cell r="D668" t="str">
            <v>OS</v>
          </cell>
          <cell r="E668"/>
          <cell r="F668">
            <v>648</v>
          </cell>
          <cell r="G668" t="str">
            <v>SOLD</v>
          </cell>
          <cell r="H668" t="str">
            <v>OS</v>
          </cell>
          <cell r="I668" t="str">
            <v>OS</v>
          </cell>
          <cell r="J668" t="str">
            <v>OS</v>
          </cell>
          <cell r="K668" t="str">
            <v>OS</v>
          </cell>
          <cell r="L668" t="str">
            <v>OS</v>
          </cell>
          <cell r="M668" t="str">
            <v>OS</v>
          </cell>
          <cell r="N668" t="str">
            <v>OS</v>
          </cell>
          <cell r="O668" t="str">
            <v>OS</v>
          </cell>
          <cell r="P668" t="str">
            <v>OS</v>
          </cell>
          <cell r="Q668" t="str">
            <v>OS</v>
          </cell>
          <cell r="R668" t="str">
            <v>OS</v>
          </cell>
          <cell r="S668" t="str">
            <v>OS</v>
          </cell>
          <cell r="T668" t="str">
            <v>OS</v>
          </cell>
          <cell r="U668" t="str">
            <v>OS</v>
          </cell>
          <cell r="V668" t="str">
            <v>OS</v>
          </cell>
          <cell r="W668" t="str">
            <v>OS</v>
          </cell>
          <cell r="X668" t="str">
            <v>OS</v>
          </cell>
          <cell r="Y668" t="str">
            <v>OS</v>
          </cell>
          <cell r="Z668" t="str">
            <v>OS</v>
          </cell>
          <cell r="AA668" t="str">
            <v>OS</v>
          </cell>
          <cell r="AB668" t="str">
            <v>OS</v>
          </cell>
          <cell r="AC668" t="str">
            <v>OS</v>
          </cell>
          <cell r="AD668" t="str">
            <v>AGM-01-028-030</v>
          </cell>
          <cell r="AE668" t="str">
            <v xml:space="preserve">Raemulan Lands, Inc. </v>
          </cell>
          <cell r="AF668" t="str">
            <v>Agapeya</v>
          </cell>
          <cell r="AG668" t="str">
            <v>AGM</v>
          </cell>
          <cell r="AH668" t="str">
            <v>Eco-High</v>
          </cell>
          <cell r="AI668" t="str">
            <v>West</v>
          </cell>
          <cell r="AJ668" t="str">
            <v>With LTS</v>
          </cell>
          <cell r="AK668" t="str">
            <v>Unaffected lots</v>
          </cell>
          <cell r="AL668" t="str">
            <v>Unaffected lots</v>
          </cell>
          <cell r="AM668" t="b">
            <v>1</v>
          </cell>
          <cell r="AN668" t="str">
            <v>YES</v>
          </cell>
          <cell r="AO668" t="str">
            <v>2024 Batch</v>
          </cell>
          <cell r="AP668">
            <v>70</v>
          </cell>
          <cell r="AQ668" t="str">
            <v>PCS-04-034298</v>
          </cell>
          <cell r="AR668" t="b">
            <v>1</v>
          </cell>
          <cell r="AS668" t="str">
            <v>Done</v>
          </cell>
          <cell r="AT668" t="str">
            <v>2024 Batch</v>
          </cell>
          <cell r="AU668">
            <v>28</v>
          </cell>
          <cell r="AV668">
            <v>30</v>
          </cell>
          <cell r="AW668" t="str">
            <v>H+L</v>
          </cell>
          <cell r="AX668">
            <v>70</v>
          </cell>
          <cell r="AY668">
            <v>50</v>
          </cell>
          <cell r="AZ668" t="str">
            <v>Duplex</v>
          </cell>
          <cell r="BA668">
            <v>1</v>
          </cell>
          <cell r="BB668" t="str">
            <v>326 - With Partition</v>
          </cell>
          <cell r="BC668" t="str">
            <v>With Partition</v>
          </cell>
          <cell r="BD668" t="str">
            <v>Flat</v>
          </cell>
          <cell r="BE668" t="str">
            <v>With Partition</v>
          </cell>
          <cell r="BF668" t="str">
            <v>PINK</v>
          </cell>
          <cell r="BG668">
            <v>2707500</v>
          </cell>
          <cell r="BH668">
            <v>2850000</v>
          </cell>
          <cell r="BI668">
            <v>100000</v>
          </cell>
          <cell r="BJ668">
            <v>2750000</v>
          </cell>
          <cell r="BK668">
            <v>0</v>
          </cell>
          <cell r="BL668">
            <v>2750000</v>
          </cell>
        </row>
        <row r="669">
          <cell r="D669" t="str">
            <v>OS</v>
          </cell>
          <cell r="E669"/>
          <cell r="F669">
            <v>649</v>
          </cell>
          <cell r="G669" t="str">
            <v>SOLD</v>
          </cell>
          <cell r="H669" t="str">
            <v>OS</v>
          </cell>
          <cell r="I669" t="str">
            <v>OS</v>
          </cell>
          <cell r="J669" t="str">
            <v>OS</v>
          </cell>
          <cell r="K669" t="str">
            <v>OS</v>
          </cell>
          <cell r="L669" t="str">
            <v>OS</v>
          </cell>
          <cell r="M669" t="str">
            <v>OS</v>
          </cell>
          <cell r="N669" t="str">
            <v>OS</v>
          </cell>
          <cell r="O669" t="str">
            <v>OS</v>
          </cell>
          <cell r="P669" t="str">
            <v>OS</v>
          </cell>
          <cell r="Q669" t="str">
            <v>OS</v>
          </cell>
          <cell r="R669" t="str">
            <v>OS</v>
          </cell>
          <cell r="S669" t="str">
            <v>OS</v>
          </cell>
          <cell r="T669" t="str">
            <v>OS</v>
          </cell>
          <cell r="U669" t="str">
            <v>OS</v>
          </cell>
          <cell r="V669" t="str">
            <v>OS</v>
          </cell>
          <cell r="W669" t="str">
            <v>OS</v>
          </cell>
          <cell r="X669" t="str">
            <v>OS</v>
          </cell>
          <cell r="Y669" t="str">
            <v>OS</v>
          </cell>
          <cell r="Z669" t="str">
            <v>OS</v>
          </cell>
          <cell r="AA669" t="str">
            <v>OS</v>
          </cell>
          <cell r="AB669" t="str">
            <v>OS</v>
          </cell>
          <cell r="AC669" t="str">
            <v>OS</v>
          </cell>
          <cell r="AD669" t="str">
            <v>AGM-01-028-031</v>
          </cell>
          <cell r="AE669" t="str">
            <v xml:space="preserve">Raemulan Lands, Inc. </v>
          </cell>
          <cell r="AF669" t="str">
            <v>Agapeya</v>
          </cell>
          <cell r="AG669" t="str">
            <v>AGM</v>
          </cell>
          <cell r="AH669" t="str">
            <v>Eco-High</v>
          </cell>
          <cell r="AI669" t="str">
            <v>West</v>
          </cell>
          <cell r="AJ669" t="str">
            <v>With LTS</v>
          </cell>
          <cell r="AK669" t="str">
            <v>Unaffected lots</v>
          </cell>
          <cell r="AL669" t="str">
            <v>Unaffected lots</v>
          </cell>
          <cell r="AM669" t="b">
            <v>1</v>
          </cell>
          <cell r="AN669" t="str">
            <v>YES</v>
          </cell>
          <cell r="AO669" t="str">
            <v>2024 Batch</v>
          </cell>
          <cell r="AP669">
            <v>70</v>
          </cell>
          <cell r="AQ669" t="str">
            <v>PCS-04-034298</v>
          </cell>
          <cell r="AR669" t="b">
            <v>1</v>
          </cell>
          <cell r="AS669" t="str">
            <v>Done</v>
          </cell>
          <cell r="AT669" t="str">
            <v>2024 Batch</v>
          </cell>
          <cell r="AU669">
            <v>28</v>
          </cell>
          <cell r="AV669">
            <v>31</v>
          </cell>
          <cell r="AW669" t="str">
            <v>H+L</v>
          </cell>
          <cell r="AX669">
            <v>70</v>
          </cell>
          <cell r="AY669">
            <v>50</v>
          </cell>
          <cell r="AZ669" t="str">
            <v>Duplex</v>
          </cell>
          <cell r="BA669">
            <v>1</v>
          </cell>
          <cell r="BB669" t="str">
            <v>326 - With Partition</v>
          </cell>
          <cell r="BC669" t="str">
            <v>With Partition</v>
          </cell>
          <cell r="BD669" t="str">
            <v>Flat</v>
          </cell>
          <cell r="BE669" t="str">
            <v>With Partition</v>
          </cell>
          <cell r="BF669" t="str">
            <v>PINK</v>
          </cell>
          <cell r="BG669">
            <v>2707500</v>
          </cell>
          <cell r="BH669">
            <v>2850000</v>
          </cell>
          <cell r="BI669">
            <v>100000</v>
          </cell>
          <cell r="BJ669">
            <v>2750000</v>
          </cell>
          <cell r="BK669">
            <v>0</v>
          </cell>
          <cell r="BL669">
            <v>2750000</v>
          </cell>
        </row>
        <row r="670">
          <cell r="D670" t="str">
            <v>OS</v>
          </cell>
          <cell r="E670"/>
          <cell r="F670">
            <v>650</v>
          </cell>
          <cell r="G670" t="str">
            <v>SOLD</v>
          </cell>
          <cell r="H670" t="str">
            <v>OS</v>
          </cell>
          <cell r="I670" t="str">
            <v>OS</v>
          </cell>
          <cell r="J670" t="str">
            <v>OS</v>
          </cell>
          <cell r="K670" t="str">
            <v>OS</v>
          </cell>
          <cell r="L670" t="str">
            <v>OS</v>
          </cell>
          <cell r="M670" t="str">
            <v>OS</v>
          </cell>
          <cell r="N670" t="str">
            <v>OS</v>
          </cell>
          <cell r="O670" t="str">
            <v>OS</v>
          </cell>
          <cell r="P670" t="str">
            <v>OS</v>
          </cell>
          <cell r="Q670" t="str">
            <v>OS</v>
          </cell>
          <cell r="R670" t="str">
            <v>OS</v>
          </cell>
          <cell r="S670" t="str">
            <v>OS</v>
          </cell>
          <cell r="T670" t="str">
            <v>OS</v>
          </cell>
          <cell r="U670" t="str">
            <v>OS</v>
          </cell>
          <cell r="V670" t="str">
            <v>OS</v>
          </cell>
          <cell r="W670" t="str">
            <v>FOR BRN</v>
          </cell>
          <cell r="X670" t="str">
            <v>TS</v>
          </cell>
          <cell r="Y670" t="str">
            <v>TS</v>
          </cell>
          <cell r="Z670" t="str">
            <v>OS</v>
          </cell>
          <cell r="AA670" t="str">
            <v>OS</v>
          </cell>
          <cell r="AB670" t="str">
            <v>TS</v>
          </cell>
          <cell r="AC670" t="str">
            <v>TS</v>
          </cell>
          <cell r="AD670" t="str">
            <v>AGM-01-028-032</v>
          </cell>
          <cell r="AE670" t="str">
            <v xml:space="preserve">Raemulan Lands, Inc. </v>
          </cell>
          <cell r="AF670" t="str">
            <v>Agapeya</v>
          </cell>
          <cell r="AG670" t="str">
            <v>AGM</v>
          </cell>
          <cell r="AH670" t="str">
            <v>Eco-High</v>
          </cell>
          <cell r="AI670" t="str">
            <v>West</v>
          </cell>
          <cell r="AJ670" t="str">
            <v>With LTS</v>
          </cell>
          <cell r="AK670" t="str">
            <v>Unaffected lots</v>
          </cell>
          <cell r="AL670" t="str">
            <v>Unaffected lots</v>
          </cell>
          <cell r="AM670" t="b">
            <v>1</v>
          </cell>
          <cell r="AN670" t="str">
            <v>YES</v>
          </cell>
          <cell r="AO670" t="str">
            <v>2024 Batch</v>
          </cell>
          <cell r="AP670">
            <v>70</v>
          </cell>
          <cell r="AQ670" t="str">
            <v>PCS-04-034298</v>
          </cell>
          <cell r="AR670" t="b">
            <v>1</v>
          </cell>
          <cell r="AS670" t="str">
            <v>Done</v>
          </cell>
          <cell r="AT670" t="str">
            <v>2024 Batch</v>
          </cell>
          <cell r="AU670">
            <v>28</v>
          </cell>
          <cell r="AV670">
            <v>32</v>
          </cell>
          <cell r="AW670" t="str">
            <v>H+L</v>
          </cell>
          <cell r="AX670">
            <v>70</v>
          </cell>
          <cell r="AY670">
            <v>50</v>
          </cell>
          <cell r="AZ670" t="str">
            <v>Duplex</v>
          </cell>
          <cell r="BA670">
            <v>1</v>
          </cell>
          <cell r="BB670" t="str">
            <v>326 - With Partition</v>
          </cell>
          <cell r="BC670" t="str">
            <v>With Partition</v>
          </cell>
          <cell r="BD670" t="str">
            <v>Slant</v>
          </cell>
          <cell r="BE670" t="str">
            <v>With Partition</v>
          </cell>
          <cell r="BF670" t="str">
            <v>PINK</v>
          </cell>
          <cell r="BG670">
            <v>2707500</v>
          </cell>
          <cell r="BH670">
            <v>2850000</v>
          </cell>
          <cell r="BI670">
            <v>100000</v>
          </cell>
          <cell r="BJ670">
            <v>2750000</v>
          </cell>
          <cell r="BK670">
            <v>0</v>
          </cell>
          <cell r="BL670">
            <v>2750000</v>
          </cell>
        </row>
        <row r="671">
          <cell r="D671" t="str">
            <v>OS</v>
          </cell>
          <cell r="E671"/>
          <cell r="F671">
            <v>651</v>
          </cell>
          <cell r="G671" t="str">
            <v>SOLD</v>
          </cell>
          <cell r="H671" t="str">
            <v>OS</v>
          </cell>
          <cell r="I671" t="str">
            <v>OS</v>
          </cell>
          <cell r="J671" t="str">
            <v>OS</v>
          </cell>
          <cell r="K671" t="str">
            <v>OS</v>
          </cell>
          <cell r="L671" t="str">
            <v>OS</v>
          </cell>
          <cell r="M671" t="str">
            <v>OS</v>
          </cell>
          <cell r="N671" t="str">
            <v>OS</v>
          </cell>
          <cell r="O671" t="str">
            <v>OS</v>
          </cell>
          <cell r="P671" t="str">
            <v>OS</v>
          </cell>
          <cell r="Q671" t="str">
            <v>OS</v>
          </cell>
          <cell r="R671" t="str">
            <v>OS</v>
          </cell>
          <cell r="S671" t="str">
            <v>OS</v>
          </cell>
          <cell r="T671" t="str">
            <v>OS</v>
          </cell>
          <cell r="U671" t="str">
            <v>OS</v>
          </cell>
          <cell r="V671" t="str">
            <v>OS</v>
          </cell>
          <cell r="W671" t="str">
            <v>OS</v>
          </cell>
          <cell r="X671" t="str">
            <v>OS</v>
          </cell>
          <cell r="Y671" t="str">
            <v>OS</v>
          </cell>
          <cell r="Z671" t="str">
            <v>OS</v>
          </cell>
          <cell r="AA671" t="str">
            <v>OS</v>
          </cell>
          <cell r="AB671" t="str">
            <v>OS</v>
          </cell>
          <cell r="AC671" t="str">
            <v>OS</v>
          </cell>
          <cell r="AD671" t="str">
            <v>AGM-01-028-033</v>
          </cell>
          <cell r="AE671" t="str">
            <v xml:space="preserve">Raemulan Lands, Inc. </v>
          </cell>
          <cell r="AF671" t="str">
            <v>Agapeya</v>
          </cell>
          <cell r="AG671" t="str">
            <v>AGM</v>
          </cell>
          <cell r="AH671" t="str">
            <v>Eco-High</v>
          </cell>
          <cell r="AI671" t="str">
            <v>West</v>
          </cell>
          <cell r="AJ671" t="str">
            <v>With LTS</v>
          </cell>
          <cell r="AK671" t="str">
            <v>Unaffected lots</v>
          </cell>
          <cell r="AL671" t="str">
            <v>Unaffected lots</v>
          </cell>
          <cell r="AM671" t="b">
            <v>1</v>
          </cell>
          <cell r="AN671" t="str">
            <v>YES</v>
          </cell>
          <cell r="AO671" t="str">
            <v>2024 Batch</v>
          </cell>
          <cell r="AP671">
            <v>70</v>
          </cell>
          <cell r="AQ671" t="str">
            <v>PCS-04-034298</v>
          </cell>
          <cell r="AR671" t="b">
            <v>1</v>
          </cell>
          <cell r="AS671" t="str">
            <v>Done</v>
          </cell>
          <cell r="AT671" t="str">
            <v>2024 Batch</v>
          </cell>
          <cell r="AU671">
            <v>28</v>
          </cell>
          <cell r="AV671">
            <v>33</v>
          </cell>
          <cell r="AW671" t="str">
            <v>H+L</v>
          </cell>
          <cell r="AX671">
            <v>70</v>
          </cell>
          <cell r="AY671">
            <v>50</v>
          </cell>
          <cell r="AZ671" t="str">
            <v>Duplex</v>
          </cell>
          <cell r="BA671">
            <v>1</v>
          </cell>
          <cell r="BB671" t="str">
            <v>326 - With Partition</v>
          </cell>
          <cell r="BC671" t="str">
            <v xml:space="preserve">Without Partition </v>
          </cell>
          <cell r="BD671" t="str">
            <v>Slant</v>
          </cell>
          <cell r="BE671" t="str">
            <v>With Partition</v>
          </cell>
          <cell r="BF671" t="str">
            <v>PURPLE</v>
          </cell>
          <cell r="BG671">
            <v>2600000</v>
          </cell>
          <cell r="BH671">
            <v>2850000</v>
          </cell>
          <cell r="BI671">
            <v>100000</v>
          </cell>
          <cell r="BJ671">
            <v>2750000</v>
          </cell>
          <cell r="BK671">
            <v>0</v>
          </cell>
          <cell r="BL671">
            <v>2750000</v>
          </cell>
        </row>
        <row r="672">
          <cell r="D672" t="str">
            <v>OS</v>
          </cell>
          <cell r="E672"/>
          <cell r="F672">
            <v>652</v>
          </cell>
          <cell r="G672" t="str">
            <v>FOR CANCELLATION</v>
          </cell>
          <cell r="H672" t="str">
            <v>FOR CANCELLATION</v>
          </cell>
          <cell r="I672" t="str">
            <v>FOR CANCELLATION</v>
          </cell>
          <cell r="J672" t="str">
            <v>TS</v>
          </cell>
          <cell r="K672" t="str">
            <v>TS</v>
          </cell>
          <cell r="L672" t="str">
            <v>TS</v>
          </cell>
          <cell r="M672" t="str">
            <v>TS</v>
          </cell>
          <cell r="N672" t="str">
            <v>OS</v>
          </cell>
          <cell r="O672" t="str">
            <v>OS</v>
          </cell>
          <cell r="P672" t="str">
            <v>OS</v>
          </cell>
          <cell r="Q672" t="str">
            <v>OS</v>
          </cell>
          <cell r="R672" t="str">
            <v>OS</v>
          </cell>
          <cell r="S672" t="str">
            <v>OS</v>
          </cell>
          <cell r="T672" t="str">
            <v>OS</v>
          </cell>
          <cell r="U672" t="str">
            <v>OS</v>
          </cell>
          <cell r="V672" t="str">
            <v>OS</v>
          </cell>
          <cell r="W672" t="str">
            <v>OS</v>
          </cell>
          <cell r="X672" t="str">
            <v>OS</v>
          </cell>
          <cell r="Y672" t="str">
            <v>OS</v>
          </cell>
          <cell r="Z672" t="str">
            <v>OS</v>
          </cell>
          <cell r="AA672" t="str">
            <v>OS</v>
          </cell>
          <cell r="AB672" t="str">
            <v>OS</v>
          </cell>
          <cell r="AC672" t="str">
            <v>OS</v>
          </cell>
          <cell r="AD672" t="str">
            <v>AGM-01-028-034</v>
          </cell>
          <cell r="AE672" t="str">
            <v xml:space="preserve">Raemulan Lands, Inc. </v>
          </cell>
          <cell r="AF672" t="str">
            <v>Agapeya</v>
          </cell>
          <cell r="AG672" t="str">
            <v>AGM</v>
          </cell>
          <cell r="AH672" t="str">
            <v>Eco-High</v>
          </cell>
          <cell r="AI672" t="str">
            <v>West</v>
          </cell>
          <cell r="AJ672" t="str">
            <v>With LTS</v>
          </cell>
          <cell r="AK672" t="str">
            <v>Unaffected lots</v>
          </cell>
          <cell r="AL672" t="str">
            <v>Unaffected lots</v>
          </cell>
          <cell r="AM672" t="b">
            <v>1</v>
          </cell>
          <cell r="AN672" t="str">
            <v>YES</v>
          </cell>
          <cell r="AO672" t="str">
            <v>2024 Batch</v>
          </cell>
          <cell r="AP672">
            <v>70</v>
          </cell>
          <cell r="AQ672" t="str">
            <v>PCS-04-034298</v>
          </cell>
          <cell r="AR672" t="b">
            <v>1</v>
          </cell>
          <cell r="AS672" t="str">
            <v>Done</v>
          </cell>
          <cell r="AT672" t="str">
            <v>2024 Batch</v>
          </cell>
          <cell r="AU672">
            <v>28</v>
          </cell>
          <cell r="AV672">
            <v>34</v>
          </cell>
          <cell r="AW672" t="str">
            <v>H+L</v>
          </cell>
          <cell r="AX672">
            <v>70</v>
          </cell>
          <cell r="AY672">
            <v>50</v>
          </cell>
          <cell r="AZ672" t="str">
            <v>Duplex</v>
          </cell>
          <cell r="BA672">
            <v>1</v>
          </cell>
          <cell r="BB672" t="str">
            <v>326 - With Partition</v>
          </cell>
          <cell r="BC672" t="str">
            <v xml:space="preserve">Without Partition </v>
          </cell>
          <cell r="BD672" t="str">
            <v>Flat</v>
          </cell>
          <cell r="BE672" t="str">
            <v xml:space="preserve">Without Partition </v>
          </cell>
          <cell r="BF672" t="str">
            <v>PURPLE</v>
          </cell>
          <cell r="BG672">
            <v>2600000</v>
          </cell>
          <cell r="BH672">
            <v>2650000</v>
          </cell>
          <cell r="BI672">
            <v>100000</v>
          </cell>
          <cell r="BJ672">
            <v>2550000</v>
          </cell>
          <cell r="BK672">
            <v>0</v>
          </cell>
          <cell r="BL672">
            <v>2550000</v>
          </cell>
        </row>
        <row r="673">
          <cell r="D673" t="str">
            <v>OS</v>
          </cell>
          <cell r="E673"/>
          <cell r="F673">
            <v>653</v>
          </cell>
          <cell r="G673" t="str">
            <v>UNSOLD</v>
          </cell>
          <cell r="H673" t="str">
            <v>OS</v>
          </cell>
          <cell r="I673" t="str">
            <v>OS</v>
          </cell>
          <cell r="J673" t="str">
            <v>OS</v>
          </cell>
          <cell r="K673" t="str">
            <v>OS</v>
          </cell>
          <cell r="L673" t="str">
            <v>OS</v>
          </cell>
          <cell r="M673" t="str">
            <v>OS</v>
          </cell>
          <cell r="N673" t="str">
            <v>OS</v>
          </cell>
          <cell r="O673" t="str">
            <v>OS</v>
          </cell>
          <cell r="P673" t="str">
            <v>OS</v>
          </cell>
          <cell r="Q673" t="str">
            <v>OS</v>
          </cell>
          <cell r="R673" t="str">
            <v>OS</v>
          </cell>
          <cell r="S673" t="str">
            <v>OS</v>
          </cell>
          <cell r="T673" t="str">
            <v>OS</v>
          </cell>
          <cell r="U673" t="str">
            <v>OS</v>
          </cell>
          <cell r="V673" t="str">
            <v>OS</v>
          </cell>
          <cell r="W673" t="str">
            <v>OS</v>
          </cell>
          <cell r="X673" t="str">
            <v>OS</v>
          </cell>
          <cell r="Y673" t="str">
            <v>OS</v>
          </cell>
          <cell r="Z673" t="str">
            <v>OS</v>
          </cell>
          <cell r="AA673" t="str">
            <v>OS</v>
          </cell>
          <cell r="AB673" t="str">
            <v>OS</v>
          </cell>
          <cell r="AC673" t="str">
            <v>OS</v>
          </cell>
          <cell r="AD673" t="str">
            <v>AGM-01-028-035</v>
          </cell>
          <cell r="AE673" t="str">
            <v xml:space="preserve">Raemulan Lands, Inc. </v>
          </cell>
          <cell r="AF673" t="str">
            <v>Agapeya</v>
          </cell>
          <cell r="AG673" t="str">
            <v>AGM</v>
          </cell>
          <cell r="AH673" t="str">
            <v>Eco-High</v>
          </cell>
          <cell r="AI673" t="str">
            <v>West</v>
          </cell>
          <cell r="AJ673" t="str">
            <v>With LTS</v>
          </cell>
          <cell r="AK673" t="str">
            <v>Unaffected lots</v>
          </cell>
          <cell r="AL673" t="str">
            <v>Unaffected lots</v>
          </cell>
          <cell r="AM673" t="b">
            <v>1</v>
          </cell>
          <cell r="AN673" t="str">
            <v>YES</v>
          </cell>
          <cell r="AO673" t="str">
            <v>2024 Batch</v>
          </cell>
          <cell r="AP673">
            <v>70</v>
          </cell>
          <cell r="AQ673" t="str">
            <v>PCS-04-034298</v>
          </cell>
          <cell r="AR673" t="b">
            <v>1</v>
          </cell>
          <cell r="AS673" t="str">
            <v>Done</v>
          </cell>
          <cell r="AT673" t="str">
            <v>2024 Batch</v>
          </cell>
          <cell r="AU673">
            <v>28</v>
          </cell>
          <cell r="AV673">
            <v>35</v>
          </cell>
          <cell r="AW673" t="str">
            <v>H+L</v>
          </cell>
          <cell r="AX673">
            <v>70</v>
          </cell>
          <cell r="AY673">
            <v>50</v>
          </cell>
          <cell r="AZ673" t="str">
            <v>Duplex</v>
          </cell>
          <cell r="BA673">
            <v>1</v>
          </cell>
          <cell r="BB673" t="str">
            <v>326 - With Partition</v>
          </cell>
          <cell r="BC673" t="str">
            <v xml:space="preserve">Without Partition </v>
          </cell>
          <cell r="BD673" t="str">
            <v>Flat</v>
          </cell>
          <cell r="BE673" t="str">
            <v xml:space="preserve">Without Partition </v>
          </cell>
          <cell r="BF673" t="str">
            <v>PURPLE</v>
          </cell>
          <cell r="BG673">
            <v>2707500</v>
          </cell>
          <cell r="BH673">
            <v>2650000</v>
          </cell>
          <cell r="BI673">
            <v>100000</v>
          </cell>
          <cell r="BJ673">
            <v>2550000</v>
          </cell>
          <cell r="BK673">
            <v>0</v>
          </cell>
          <cell r="BL673">
            <v>2550000</v>
          </cell>
        </row>
        <row r="674">
          <cell r="D674" t="str">
            <v>OS</v>
          </cell>
          <cell r="E674"/>
          <cell r="F674">
            <v>654</v>
          </cell>
          <cell r="G674" t="str">
            <v>SOLD</v>
          </cell>
          <cell r="H674" t="str">
            <v>OS</v>
          </cell>
          <cell r="I674" t="str">
            <v>OS</v>
          </cell>
          <cell r="J674" t="str">
            <v>OS</v>
          </cell>
          <cell r="K674" t="str">
            <v>OS</v>
          </cell>
          <cell r="L674" t="str">
            <v>OS</v>
          </cell>
          <cell r="M674" t="str">
            <v>OS</v>
          </cell>
          <cell r="N674" t="str">
            <v>OS</v>
          </cell>
          <cell r="O674" t="str">
            <v>OS</v>
          </cell>
          <cell r="P674" t="str">
            <v>OS</v>
          </cell>
          <cell r="Q674" t="str">
            <v>OS</v>
          </cell>
          <cell r="R674" t="str">
            <v>OS</v>
          </cell>
          <cell r="S674" t="str">
            <v>OS</v>
          </cell>
          <cell r="T674" t="str">
            <v>OS</v>
          </cell>
          <cell r="U674" t="str">
            <v>OS</v>
          </cell>
          <cell r="V674" t="str">
            <v>OS</v>
          </cell>
          <cell r="W674" t="str">
            <v>OS</v>
          </cell>
          <cell r="X674" t="str">
            <v>OS</v>
          </cell>
          <cell r="Y674" t="str">
            <v>OS</v>
          </cell>
          <cell r="Z674" t="str">
            <v>OS</v>
          </cell>
          <cell r="AA674" t="str">
            <v>OS</v>
          </cell>
          <cell r="AB674" t="str">
            <v>OS</v>
          </cell>
          <cell r="AC674" t="str">
            <v>OS</v>
          </cell>
          <cell r="AD674" t="str">
            <v>AGM-01-028-036</v>
          </cell>
          <cell r="AE674" t="str">
            <v xml:space="preserve">Raemulan Lands, Inc. </v>
          </cell>
          <cell r="AF674" t="str">
            <v>Agapeya</v>
          </cell>
          <cell r="AG674" t="str">
            <v>AGM</v>
          </cell>
          <cell r="AH674" t="str">
            <v>Eco-High</v>
          </cell>
          <cell r="AI674" t="str">
            <v>West</v>
          </cell>
          <cell r="AJ674" t="str">
            <v>With LTS</v>
          </cell>
          <cell r="AK674" t="str">
            <v>Unaffected lots</v>
          </cell>
          <cell r="AL674" t="str">
            <v>Unaffected lots</v>
          </cell>
          <cell r="AM674" t="b">
            <v>1</v>
          </cell>
          <cell r="AN674" t="str">
            <v>YES</v>
          </cell>
          <cell r="AO674" t="str">
            <v>2024 Batch</v>
          </cell>
          <cell r="AP674">
            <v>70</v>
          </cell>
          <cell r="AQ674" t="str">
            <v>PCS-04-034298</v>
          </cell>
          <cell r="AR674" t="b">
            <v>1</v>
          </cell>
          <cell r="AS674" t="str">
            <v>Done</v>
          </cell>
          <cell r="AT674" t="str">
            <v>2024 Batch</v>
          </cell>
          <cell r="AU674">
            <v>28</v>
          </cell>
          <cell r="AV674">
            <v>36</v>
          </cell>
          <cell r="AW674" t="str">
            <v>H+L</v>
          </cell>
          <cell r="AX674">
            <v>70</v>
          </cell>
          <cell r="AY674">
            <v>50</v>
          </cell>
          <cell r="AZ674" t="str">
            <v>Duplex</v>
          </cell>
          <cell r="BA674">
            <v>1</v>
          </cell>
          <cell r="BB674" t="str">
            <v>326 - With Partition</v>
          </cell>
          <cell r="BC674" t="str">
            <v>With Partition</v>
          </cell>
          <cell r="BD674" t="str">
            <v>Slant</v>
          </cell>
          <cell r="BE674" t="str">
            <v>With Partition</v>
          </cell>
          <cell r="BF674" t="str">
            <v>PURPLE</v>
          </cell>
          <cell r="BG674">
            <v>2707500</v>
          </cell>
          <cell r="BH674">
            <v>2850000</v>
          </cell>
          <cell r="BI674">
            <v>100000</v>
          </cell>
          <cell r="BJ674">
            <v>2750000</v>
          </cell>
          <cell r="BK674">
            <v>0</v>
          </cell>
          <cell r="BL674">
            <v>2750000</v>
          </cell>
        </row>
        <row r="675">
          <cell r="D675" t="str">
            <v>OS</v>
          </cell>
          <cell r="E675"/>
          <cell r="F675">
            <v>655</v>
          </cell>
          <cell r="G675" t="str">
            <v>SOLD</v>
          </cell>
          <cell r="H675" t="str">
            <v>OS</v>
          </cell>
          <cell r="I675" t="str">
            <v>OS</v>
          </cell>
          <cell r="J675" t="str">
            <v>OS</v>
          </cell>
          <cell r="K675" t="str">
            <v>OS</v>
          </cell>
          <cell r="L675" t="str">
            <v>OS</v>
          </cell>
          <cell r="M675" t="str">
            <v>OS</v>
          </cell>
          <cell r="N675" t="str">
            <v>OS</v>
          </cell>
          <cell r="O675" t="str">
            <v>OS</v>
          </cell>
          <cell r="P675" t="str">
            <v>OS</v>
          </cell>
          <cell r="Q675" t="str">
            <v>OS</v>
          </cell>
          <cell r="R675" t="str">
            <v>OS</v>
          </cell>
          <cell r="S675" t="str">
            <v>OS</v>
          </cell>
          <cell r="T675" t="str">
            <v>OS</v>
          </cell>
          <cell r="U675" t="str">
            <v>OS</v>
          </cell>
          <cell r="V675" t="str">
            <v>OS</v>
          </cell>
          <cell r="W675" t="str">
            <v>OS</v>
          </cell>
          <cell r="X675" t="str">
            <v>OS</v>
          </cell>
          <cell r="Y675" t="str">
            <v>OS</v>
          </cell>
          <cell r="Z675" t="str">
            <v>OS</v>
          </cell>
          <cell r="AA675" t="str">
            <v>OS</v>
          </cell>
          <cell r="AB675" t="str">
            <v>OS</v>
          </cell>
          <cell r="AC675" t="str">
            <v>OS</v>
          </cell>
          <cell r="AD675" t="str">
            <v>AGM-01-028-037</v>
          </cell>
          <cell r="AE675" t="str">
            <v xml:space="preserve">Raemulan Lands, Inc. </v>
          </cell>
          <cell r="AF675" t="str">
            <v>Agapeya</v>
          </cell>
          <cell r="AG675" t="str">
            <v>AGM</v>
          </cell>
          <cell r="AH675" t="str">
            <v>Eco-High</v>
          </cell>
          <cell r="AI675" t="str">
            <v>West</v>
          </cell>
          <cell r="AJ675" t="str">
            <v>With LTS</v>
          </cell>
          <cell r="AK675" t="str">
            <v>Unaffected lots</v>
          </cell>
          <cell r="AL675" t="str">
            <v>Unaffected lots</v>
          </cell>
          <cell r="AM675" t="b">
            <v>1</v>
          </cell>
          <cell r="AN675" t="str">
            <v>YES</v>
          </cell>
          <cell r="AO675" t="str">
            <v>2024 Batch</v>
          </cell>
          <cell r="AP675">
            <v>70</v>
          </cell>
          <cell r="AQ675" t="str">
            <v>PCS-04-034298</v>
          </cell>
          <cell r="AR675" t="b">
            <v>1</v>
          </cell>
          <cell r="AS675" t="str">
            <v>Done</v>
          </cell>
          <cell r="AT675" t="str">
            <v>2024 Batch</v>
          </cell>
          <cell r="AU675">
            <v>28</v>
          </cell>
          <cell r="AV675">
            <v>37</v>
          </cell>
          <cell r="AW675" t="str">
            <v>H+L</v>
          </cell>
          <cell r="AX675">
            <v>70</v>
          </cell>
          <cell r="AY675">
            <v>50</v>
          </cell>
          <cell r="AZ675" t="str">
            <v>Duplex</v>
          </cell>
          <cell r="BA675">
            <v>1</v>
          </cell>
          <cell r="BB675" t="str">
            <v>326 - With Partition</v>
          </cell>
          <cell r="BC675" t="str">
            <v>With Partition</v>
          </cell>
          <cell r="BD675" t="str">
            <v>Slant</v>
          </cell>
          <cell r="BE675" t="str">
            <v>With Partition</v>
          </cell>
          <cell r="BF675" t="str">
            <v>GREEN</v>
          </cell>
          <cell r="BG675">
            <v>2707500</v>
          </cell>
          <cell r="BH675">
            <v>2850000</v>
          </cell>
          <cell r="BI675">
            <v>100000</v>
          </cell>
          <cell r="BJ675">
            <v>2750000</v>
          </cell>
          <cell r="BK675">
            <v>0</v>
          </cell>
          <cell r="BL675">
            <v>2750000</v>
          </cell>
        </row>
        <row r="676">
          <cell r="D676" t="str">
            <v>OS</v>
          </cell>
          <cell r="E676"/>
          <cell r="F676">
            <v>656</v>
          </cell>
          <cell r="G676" t="str">
            <v>SOLD</v>
          </cell>
          <cell r="H676" t="str">
            <v>OS</v>
          </cell>
          <cell r="I676" t="str">
            <v>OS</v>
          </cell>
          <cell r="J676" t="str">
            <v>OS</v>
          </cell>
          <cell r="K676" t="str">
            <v>OS</v>
          </cell>
          <cell r="L676" t="str">
            <v>OS</v>
          </cell>
          <cell r="M676" t="str">
            <v>OS</v>
          </cell>
          <cell r="N676" t="str">
            <v>OS</v>
          </cell>
          <cell r="O676" t="str">
            <v>OS</v>
          </cell>
          <cell r="P676" t="str">
            <v>OS</v>
          </cell>
          <cell r="Q676" t="str">
            <v>OS</v>
          </cell>
          <cell r="R676" t="str">
            <v>OS</v>
          </cell>
          <cell r="S676" t="str">
            <v>OS</v>
          </cell>
          <cell r="T676" t="str">
            <v>OS</v>
          </cell>
          <cell r="U676" t="str">
            <v>OS</v>
          </cell>
          <cell r="V676" t="str">
            <v>OS</v>
          </cell>
          <cell r="W676" t="str">
            <v>OS</v>
          </cell>
          <cell r="X676" t="str">
            <v>OS</v>
          </cell>
          <cell r="Y676" t="str">
            <v>OS</v>
          </cell>
          <cell r="Z676" t="str">
            <v>OS</v>
          </cell>
          <cell r="AA676" t="str">
            <v>OS</v>
          </cell>
          <cell r="AB676" t="str">
            <v>OS</v>
          </cell>
          <cell r="AC676" t="str">
            <v>OS</v>
          </cell>
          <cell r="AD676" t="str">
            <v>AGM-01-028-038</v>
          </cell>
          <cell r="AE676" t="str">
            <v xml:space="preserve">Raemulan Lands, Inc. </v>
          </cell>
          <cell r="AF676" t="str">
            <v>Agapeya</v>
          </cell>
          <cell r="AG676" t="str">
            <v>AGM</v>
          </cell>
          <cell r="AH676" t="str">
            <v>Eco-High</v>
          </cell>
          <cell r="AI676" t="str">
            <v>West</v>
          </cell>
          <cell r="AJ676" t="str">
            <v>With LTS</v>
          </cell>
          <cell r="AK676" t="str">
            <v>Unaffected lots</v>
          </cell>
          <cell r="AL676" t="str">
            <v>Unaffected lots</v>
          </cell>
          <cell r="AM676" t="b">
            <v>1</v>
          </cell>
          <cell r="AN676" t="str">
            <v>YES</v>
          </cell>
          <cell r="AO676" t="str">
            <v>2024 Batch</v>
          </cell>
          <cell r="AP676">
            <v>70</v>
          </cell>
          <cell r="AQ676" t="str">
            <v>PCS-04-034298</v>
          </cell>
          <cell r="AR676" t="b">
            <v>1</v>
          </cell>
          <cell r="AS676" t="str">
            <v>Done</v>
          </cell>
          <cell r="AT676" t="str">
            <v>2024 Batch</v>
          </cell>
          <cell r="AU676">
            <v>28</v>
          </cell>
          <cell r="AV676">
            <v>38</v>
          </cell>
          <cell r="AW676" t="str">
            <v>H+L</v>
          </cell>
          <cell r="AX676">
            <v>70</v>
          </cell>
          <cell r="AY676">
            <v>50</v>
          </cell>
          <cell r="AZ676" t="str">
            <v>Duplex</v>
          </cell>
          <cell r="BA676">
            <v>1</v>
          </cell>
          <cell r="BB676" t="str">
            <v>326 - With Partition</v>
          </cell>
          <cell r="BC676" t="str">
            <v>With Partition</v>
          </cell>
          <cell r="BD676" t="str">
            <v>Flat</v>
          </cell>
          <cell r="BE676" t="str">
            <v>With Partition</v>
          </cell>
          <cell r="BF676" t="str">
            <v>GREEN</v>
          </cell>
          <cell r="BG676">
            <v>2707500</v>
          </cell>
          <cell r="BH676">
            <v>2850000</v>
          </cell>
          <cell r="BI676">
            <v>100000</v>
          </cell>
          <cell r="BJ676">
            <v>2750000</v>
          </cell>
          <cell r="BK676">
            <v>0</v>
          </cell>
          <cell r="BL676">
            <v>2750000</v>
          </cell>
        </row>
        <row r="677">
          <cell r="D677" t="str">
            <v>OS</v>
          </cell>
          <cell r="E677"/>
          <cell r="F677">
            <v>657</v>
          </cell>
          <cell r="G677" t="str">
            <v>FOR CANCELLATION</v>
          </cell>
          <cell r="H677" t="str">
            <v>FOR CANCELLATION</v>
          </cell>
          <cell r="I677" t="str">
            <v>FOR CANCELLATION</v>
          </cell>
          <cell r="J677" t="str">
            <v>FOR CANCELLATION</v>
          </cell>
          <cell r="K677" t="str">
            <v>FOR CANCELLATION</v>
          </cell>
          <cell r="L677" t="str">
            <v>FOR CANCELLATION</v>
          </cell>
          <cell r="M677" t="str">
            <v>FOR CANCELLATION</v>
          </cell>
          <cell r="N677" t="str">
            <v>FOR CANCELLATION</v>
          </cell>
          <cell r="O677" t="str">
            <v>FOR CANCELLATION</v>
          </cell>
          <cell r="P677" t="str">
            <v>FOR CANCELLATION</v>
          </cell>
          <cell r="Q677" t="str">
            <v>FOR CANCELLATION</v>
          </cell>
          <cell r="R677" t="str">
            <v>FOR CANCELLATION</v>
          </cell>
          <cell r="S677" t="str">
            <v>FOR CANCELLATION</v>
          </cell>
          <cell r="T677" t="str">
            <v>FOR CANCELLATION</v>
          </cell>
          <cell r="U677" t="str">
            <v>FOR CANCELLATION</v>
          </cell>
          <cell r="V677" t="str">
            <v>TS</v>
          </cell>
          <cell r="W677" t="str">
            <v>TS</v>
          </cell>
          <cell r="X677" t="str">
            <v>TS</v>
          </cell>
          <cell r="Y677" t="str">
            <v>TS</v>
          </cell>
          <cell r="Z677" t="str">
            <v>OS</v>
          </cell>
          <cell r="AA677" t="str">
            <v>OS</v>
          </cell>
          <cell r="AB677" t="str">
            <v>TS</v>
          </cell>
          <cell r="AC677" t="str">
            <v>TS</v>
          </cell>
          <cell r="AD677" t="str">
            <v>AGM-01-028-039</v>
          </cell>
          <cell r="AE677" t="str">
            <v xml:space="preserve">Raemulan Lands, Inc. </v>
          </cell>
          <cell r="AF677" t="str">
            <v>Agapeya</v>
          </cell>
          <cell r="AG677" t="str">
            <v>AGM</v>
          </cell>
          <cell r="AH677" t="str">
            <v>Eco-High</v>
          </cell>
          <cell r="AI677" t="str">
            <v>West</v>
          </cell>
          <cell r="AJ677" t="str">
            <v>With LTS</v>
          </cell>
          <cell r="AK677" t="str">
            <v>Unaffected lots</v>
          </cell>
          <cell r="AL677" t="str">
            <v>Unaffected lots</v>
          </cell>
          <cell r="AM677" t="b">
            <v>1</v>
          </cell>
          <cell r="AN677" t="str">
            <v>YES</v>
          </cell>
          <cell r="AO677" t="str">
            <v>2024 Batch</v>
          </cell>
          <cell r="AP677">
            <v>70</v>
          </cell>
          <cell r="AQ677" t="str">
            <v>PCS-04-034298</v>
          </cell>
          <cell r="AR677" t="b">
            <v>1</v>
          </cell>
          <cell r="AS677" t="str">
            <v>Done</v>
          </cell>
          <cell r="AT677" t="str">
            <v>2024 Batch</v>
          </cell>
          <cell r="AU677">
            <v>28</v>
          </cell>
          <cell r="AV677">
            <v>39</v>
          </cell>
          <cell r="AW677" t="str">
            <v>H+L</v>
          </cell>
          <cell r="AX677">
            <v>70</v>
          </cell>
          <cell r="AY677">
            <v>50</v>
          </cell>
          <cell r="AZ677" t="str">
            <v>Duplex</v>
          </cell>
          <cell r="BA677">
            <v>1</v>
          </cell>
          <cell r="BB677" t="str">
            <v>326 - With Partition</v>
          </cell>
          <cell r="BC677" t="str">
            <v>With Partition</v>
          </cell>
          <cell r="BD677" t="str">
            <v>Flat</v>
          </cell>
          <cell r="BE677" t="str">
            <v>With Partition</v>
          </cell>
          <cell r="BF677" t="str">
            <v>GREEN</v>
          </cell>
          <cell r="BG677">
            <v>2707500</v>
          </cell>
          <cell r="BH677">
            <v>2850000</v>
          </cell>
          <cell r="BI677">
            <v>100000</v>
          </cell>
          <cell r="BJ677">
            <v>2750000</v>
          </cell>
          <cell r="BK677">
            <v>0</v>
          </cell>
          <cell r="BL677">
            <v>2750000</v>
          </cell>
        </row>
        <row r="678">
          <cell r="D678" t="str">
            <v>OS</v>
          </cell>
          <cell r="E678"/>
          <cell r="F678">
            <v>658</v>
          </cell>
          <cell r="G678" t="str">
            <v>SOLD</v>
          </cell>
          <cell r="H678" t="str">
            <v>OS</v>
          </cell>
          <cell r="I678" t="str">
            <v>OS</v>
          </cell>
          <cell r="J678" t="str">
            <v>OS</v>
          </cell>
          <cell r="K678" t="str">
            <v>OS</v>
          </cell>
          <cell r="L678" t="str">
            <v>OS</v>
          </cell>
          <cell r="M678" t="str">
            <v>OS</v>
          </cell>
          <cell r="N678" t="str">
            <v>OS</v>
          </cell>
          <cell r="O678" t="str">
            <v>OS</v>
          </cell>
          <cell r="P678" t="str">
            <v>OS</v>
          </cell>
          <cell r="Q678" t="str">
            <v>OS</v>
          </cell>
          <cell r="R678" t="str">
            <v>OS</v>
          </cell>
          <cell r="S678" t="str">
            <v>OS</v>
          </cell>
          <cell r="T678" t="str">
            <v>OS</v>
          </cell>
          <cell r="U678" t="str">
            <v>OS</v>
          </cell>
          <cell r="V678" t="str">
            <v>OS</v>
          </cell>
          <cell r="W678" t="str">
            <v>OS</v>
          </cell>
          <cell r="X678" t="str">
            <v>OS</v>
          </cell>
          <cell r="Y678" t="str">
            <v>OS</v>
          </cell>
          <cell r="Z678" t="str">
            <v>OS</v>
          </cell>
          <cell r="AA678" t="str">
            <v>OS</v>
          </cell>
          <cell r="AB678" t="str">
            <v>OS</v>
          </cell>
          <cell r="AC678" t="str">
            <v>OS</v>
          </cell>
          <cell r="AD678" t="str">
            <v>AGM-01-028-040</v>
          </cell>
          <cell r="AE678" t="str">
            <v xml:space="preserve">Raemulan Lands, Inc. </v>
          </cell>
          <cell r="AF678" t="str">
            <v>Agapeya</v>
          </cell>
          <cell r="AG678" t="str">
            <v>AGM</v>
          </cell>
          <cell r="AH678" t="str">
            <v>Eco-High</v>
          </cell>
          <cell r="AI678" t="str">
            <v>West</v>
          </cell>
          <cell r="AJ678" t="str">
            <v>With LTS</v>
          </cell>
          <cell r="AK678" t="str">
            <v>Unaffected lots</v>
          </cell>
          <cell r="AL678" t="str">
            <v>Unaffected lots</v>
          </cell>
          <cell r="AM678" t="b">
            <v>1</v>
          </cell>
          <cell r="AN678" t="str">
            <v>YES</v>
          </cell>
          <cell r="AO678" t="str">
            <v>2024 Batch</v>
          </cell>
          <cell r="AP678">
            <v>96</v>
          </cell>
          <cell r="AQ678" t="str">
            <v>PCS-04-034298</v>
          </cell>
          <cell r="AR678" t="b">
            <v>1</v>
          </cell>
          <cell r="AS678" t="str">
            <v>Done</v>
          </cell>
          <cell r="AT678" t="str">
            <v>2024 Batch</v>
          </cell>
          <cell r="AU678">
            <v>28</v>
          </cell>
          <cell r="AV678">
            <v>40</v>
          </cell>
          <cell r="AW678" t="str">
            <v>H+L</v>
          </cell>
          <cell r="AX678">
            <v>96</v>
          </cell>
          <cell r="AY678">
            <v>50</v>
          </cell>
          <cell r="AZ678" t="str">
            <v>Duplex</v>
          </cell>
          <cell r="BA678">
            <v>1</v>
          </cell>
          <cell r="BB678" t="str">
            <v>326 - With Partition</v>
          </cell>
          <cell r="BC678" t="str">
            <v>With Partition</v>
          </cell>
          <cell r="BD678" t="str">
            <v>Slant</v>
          </cell>
          <cell r="BE678" t="str">
            <v>With Partition</v>
          </cell>
          <cell r="BF678" t="str">
            <v>GREEN</v>
          </cell>
          <cell r="BG678">
            <v>3144500</v>
          </cell>
          <cell r="BH678">
            <v>3240000</v>
          </cell>
          <cell r="BI678">
            <v>100000</v>
          </cell>
          <cell r="BJ678">
            <v>3140000</v>
          </cell>
          <cell r="BK678">
            <v>0</v>
          </cell>
          <cell r="BL678">
            <v>3140000</v>
          </cell>
        </row>
        <row r="679">
          <cell r="D679" t="str">
            <v>OS</v>
          </cell>
          <cell r="E679"/>
          <cell r="F679">
            <v>659</v>
          </cell>
          <cell r="G679" t="str">
            <v>SOLD</v>
          </cell>
          <cell r="H679" t="str">
            <v>OS</v>
          </cell>
          <cell r="I679" t="str">
            <v>OS</v>
          </cell>
          <cell r="J679" t="str">
            <v>OS</v>
          </cell>
          <cell r="K679" t="str">
            <v>OS</v>
          </cell>
          <cell r="L679" t="str">
            <v>OS</v>
          </cell>
          <cell r="M679" t="str">
            <v>OS</v>
          </cell>
          <cell r="N679" t="str">
            <v>OS</v>
          </cell>
          <cell r="O679" t="str">
            <v>OS</v>
          </cell>
          <cell r="P679" t="str">
            <v>OS</v>
          </cell>
          <cell r="Q679" t="str">
            <v>OS</v>
          </cell>
          <cell r="R679" t="str">
            <v>OS</v>
          </cell>
          <cell r="S679" t="str">
            <v>OS</v>
          </cell>
          <cell r="T679" t="str">
            <v>OS</v>
          </cell>
          <cell r="U679" t="str">
            <v>OS</v>
          </cell>
          <cell r="V679" t="str">
            <v>OS</v>
          </cell>
          <cell r="W679" t="str">
            <v>OS</v>
          </cell>
          <cell r="X679" t="str">
            <v>OS</v>
          </cell>
          <cell r="Y679" t="str">
            <v>OS</v>
          </cell>
          <cell r="Z679" t="str">
            <v>OS</v>
          </cell>
          <cell r="AA679" t="str">
            <v>OS</v>
          </cell>
          <cell r="AB679" t="str">
            <v>OS</v>
          </cell>
          <cell r="AC679" t="str">
            <v>OS</v>
          </cell>
          <cell r="AD679" t="str">
            <v>AGM-01-029-001</v>
          </cell>
          <cell r="AE679" t="str">
            <v xml:space="preserve">Raemulan Lands, Inc. </v>
          </cell>
          <cell r="AF679" t="str">
            <v>Agapeya</v>
          </cell>
          <cell r="AG679" t="str">
            <v>AGM</v>
          </cell>
          <cell r="AH679" t="str">
            <v>Eco-High</v>
          </cell>
          <cell r="AI679" t="str">
            <v>West</v>
          </cell>
          <cell r="AJ679" t="str">
            <v>With LTS</v>
          </cell>
          <cell r="AK679" t="str">
            <v>Unaffected lots</v>
          </cell>
          <cell r="AL679" t="str">
            <v>Unaffected lots</v>
          </cell>
          <cell r="AM679" t="b">
            <v>1</v>
          </cell>
          <cell r="AN679" t="str">
            <v>YES</v>
          </cell>
          <cell r="AO679" t="str">
            <v>2024 Batch</v>
          </cell>
          <cell r="AP679">
            <v>118</v>
          </cell>
          <cell r="AQ679" t="str">
            <v>PCS-04-034298</v>
          </cell>
          <cell r="AR679" t="b">
            <v>1</v>
          </cell>
          <cell r="AS679" t="str">
            <v>Done</v>
          </cell>
          <cell r="AT679" t="str">
            <v>2024 Batch</v>
          </cell>
          <cell r="AU679">
            <v>29</v>
          </cell>
          <cell r="AV679">
            <v>1</v>
          </cell>
          <cell r="AW679" t="str">
            <v>H+L</v>
          </cell>
          <cell r="AX679">
            <v>118</v>
          </cell>
          <cell r="AY679">
            <v>50</v>
          </cell>
          <cell r="AZ679" t="str">
            <v>Duplex</v>
          </cell>
          <cell r="BA679">
            <v>1</v>
          </cell>
          <cell r="BB679" t="str">
            <v>326 - With Partition</v>
          </cell>
          <cell r="BC679" t="str">
            <v>With Partition</v>
          </cell>
          <cell r="BD679" t="str">
            <v>Slant</v>
          </cell>
          <cell r="BE679" t="str">
            <v>With Partition</v>
          </cell>
          <cell r="BF679" t="str">
            <v>PURPLE</v>
          </cell>
          <cell r="BG679">
            <v>3420000</v>
          </cell>
          <cell r="BH679">
            <v>3570000</v>
          </cell>
          <cell r="BI679">
            <v>100000</v>
          </cell>
          <cell r="BJ679">
            <v>3470000</v>
          </cell>
          <cell r="BK679">
            <v>0</v>
          </cell>
          <cell r="BL679">
            <v>3470000</v>
          </cell>
        </row>
        <row r="680">
          <cell r="D680" t="str">
            <v>OS</v>
          </cell>
          <cell r="E680"/>
          <cell r="F680">
            <v>660</v>
          </cell>
          <cell r="G680" t="str">
            <v>FOR CANCELLATION</v>
          </cell>
          <cell r="H680" t="str">
            <v>FOR CANCELLATION</v>
          </cell>
          <cell r="I680" t="str">
            <v>TS</v>
          </cell>
          <cell r="J680" t="str">
            <v>TS</v>
          </cell>
          <cell r="K680" t="str">
            <v>TS</v>
          </cell>
          <cell r="L680" t="str">
            <v>TS</v>
          </cell>
          <cell r="M680" t="str">
            <v>TS</v>
          </cell>
          <cell r="N680" t="str">
            <v>OS</v>
          </cell>
          <cell r="O680" t="str">
            <v>OS</v>
          </cell>
          <cell r="P680" t="str">
            <v>OS</v>
          </cell>
          <cell r="Q680" t="str">
            <v>OS</v>
          </cell>
          <cell r="R680" t="str">
            <v>OS</v>
          </cell>
          <cell r="S680" t="str">
            <v>OS</v>
          </cell>
          <cell r="T680" t="str">
            <v>OS</v>
          </cell>
          <cell r="U680" t="str">
            <v>OS</v>
          </cell>
          <cell r="V680" t="str">
            <v>OS</v>
          </cell>
          <cell r="W680" t="str">
            <v>OS</v>
          </cell>
          <cell r="X680" t="str">
            <v>OS</v>
          </cell>
          <cell r="Y680" t="str">
            <v>OS</v>
          </cell>
          <cell r="Z680" t="str">
            <v>OS</v>
          </cell>
          <cell r="AA680" t="str">
            <v>OS</v>
          </cell>
          <cell r="AB680" t="str">
            <v>OS</v>
          </cell>
          <cell r="AC680" t="str">
            <v>OS</v>
          </cell>
          <cell r="AD680" t="str">
            <v>AGM-01-029-002</v>
          </cell>
          <cell r="AE680" t="str">
            <v xml:space="preserve">Raemulan Lands, Inc. </v>
          </cell>
          <cell r="AF680" t="str">
            <v>Agapeya</v>
          </cell>
          <cell r="AG680" t="str">
            <v>AGM</v>
          </cell>
          <cell r="AH680" t="str">
            <v>Eco-High</v>
          </cell>
          <cell r="AI680" t="str">
            <v>West</v>
          </cell>
          <cell r="AJ680" t="str">
            <v>With LTS</v>
          </cell>
          <cell r="AK680" t="str">
            <v>Unaffected lots</v>
          </cell>
          <cell r="AL680" t="str">
            <v>Unaffected lots</v>
          </cell>
          <cell r="AM680" t="b">
            <v>1</v>
          </cell>
          <cell r="AN680" t="str">
            <v>YES</v>
          </cell>
          <cell r="AO680" t="str">
            <v>2024 Batch</v>
          </cell>
          <cell r="AP680">
            <v>80</v>
          </cell>
          <cell r="AQ680" t="str">
            <v>PCS-04-034298</v>
          </cell>
          <cell r="AR680" t="b">
            <v>1</v>
          </cell>
          <cell r="AS680" t="str">
            <v>Done</v>
          </cell>
          <cell r="AT680" t="str">
            <v>2024 Batch</v>
          </cell>
          <cell r="AU680">
            <v>29</v>
          </cell>
          <cell r="AV680">
            <v>2</v>
          </cell>
          <cell r="AW680" t="str">
            <v>H+L</v>
          </cell>
          <cell r="AX680">
            <v>80</v>
          </cell>
          <cell r="AY680">
            <v>50</v>
          </cell>
          <cell r="AZ680" t="str">
            <v>Duplex</v>
          </cell>
          <cell r="BA680">
            <v>1</v>
          </cell>
          <cell r="BB680" t="str">
            <v>326 - With Partition</v>
          </cell>
          <cell r="BC680" t="str">
            <v>With Partition</v>
          </cell>
          <cell r="BD680" t="str">
            <v>Flat</v>
          </cell>
          <cell r="BE680" t="str">
            <v>With Partition</v>
          </cell>
          <cell r="BF680" t="str">
            <v>PURPLE</v>
          </cell>
          <cell r="BG680">
            <v>2750000</v>
          </cell>
          <cell r="BH680">
            <v>3000000</v>
          </cell>
          <cell r="BI680">
            <v>100000</v>
          </cell>
          <cell r="BJ680">
            <v>2900000</v>
          </cell>
          <cell r="BK680">
            <v>0</v>
          </cell>
          <cell r="BL680">
            <v>2900000</v>
          </cell>
        </row>
        <row r="681">
          <cell r="D681" t="str">
            <v>OS</v>
          </cell>
          <cell r="E681"/>
          <cell r="F681">
            <v>661</v>
          </cell>
          <cell r="G681" t="str">
            <v>SOLD</v>
          </cell>
          <cell r="H681" t="str">
            <v>OS</v>
          </cell>
          <cell r="I681" t="str">
            <v>OS</v>
          </cell>
          <cell r="J681" t="str">
            <v>OS</v>
          </cell>
          <cell r="K681" t="str">
            <v>OS</v>
          </cell>
          <cell r="L681" t="str">
            <v>OS</v>
          </cell>
          <cell r="M681" t="str">
            <v>OS</v>
          </cell>
          <cell r="N681" t="str">
            <v>OS</v>
          </cell>
          <cell r="O681" t="str">
            <v>OS</v>
          </cell>
          <cell r="P681" t="str">
            <v>OS</v>
          </cell>
          <cell r="Q681" t="str">
            <v>OS</v>
          </cell>
          <cell r="R681" t="str">
            <v>OS</v>
          </cell>
          <cell r="S681" t="str">
            <v>OS</v>
          </cell>
          <cell r="T681" t="str">
            <v>OS</v>
          </cell>
          <cell r="U681" t="str">
            <v>OS</v>
          </cell>
          <cell r="V681" t="str">
            <v>OS</v>
          </cell>
          <cell r="W681" t="str">
            <v>OS</v>
          </cell>
          <cell r="X681" t="str">
            <v>OS</v>
          </cell>
          <cell r="Y681" t="str">
            <v>OS</v>
          </cell>
          <cell r="Z681" t="str">
            <v>OS</v>
          </cell>
          <cell r="AA681" t="str">
            <v>OS</v>
          </cell>
          <cell r="AB681" t="str">
            <v>OS</v>
          </cell>
          <cell r="AC681" t="str">
            <v>OS</v>
          </cell>
          <cell r="AD681" t="str">
            <v>AGM-01-029-003</v>
          </cell>
          <cell r="AE681" t="str">
            <v xml:space="preserve">Raemulan Lands, Inc. </v>
          </cell>
          <cell r="AF681" t="str">
            <v>Agapeya</v>
          </cell>
          <cell r="AG681" t="str">
            <v>AGM</v>
          </cell>
          <cell r="AH681" t="str">
            <v>Eco-High</v>
          </cell>
          <cell r="AI681" t="str">
            <v>West</v>
          </cell>
          <cell r="AJ681" t="str">
            <v>With LTS</v>
          </cell>
          <cell r="AK681" t="str">
            <v>Unaffected lots</v>
          </cell>
          <cell r="AL681" t="str">
            <v>Unaffected lots</v>
          </cell>
          <cell r="AM681" t="b">
            <v>1</v>
          </cell>
          <cell r="AN681" t="str">
            <v>YES</v>
          </cell>
          <cell r="AO681" t="str">
            <v>2024 Batch</v>
          </cell>
          <cell r="AP681">
            <v>80</v>
          </cell>
          <cell r="AQ681" t="str">
            <v>PCS-04-034298</v>
          </cell>
          <cell r="AR681" t="b">
            <v>1</v>
          </cell>
          <cell r="AS681" t="str">
            <v>Done</v>
          </cell>
          <cell r="AT681" t="str">
            <v>2024 Batch</v>
          </cell>
          <cell r="AU681">
            <v>29</v>
          </cell>
          <cell r="AV681">
            <v>3</v>
          </cell>
          <cell r="AW681" t="str">
            <v>H+L</v>
          </cell>
          <cell r="AX681">
            <v>80</v>
          </cell>
          <cell r="AY681">
            <v>50</v>
          </cell>
          <cell r="AZ681" t="str">
            <v>Duplex</v>
          </cell>
          <cell r="BA681">
            <v>1</v>
          </cell>
          <cell r="BB681" t="str">
            <v>326 - With Partition</v>
          </cell>
          <cell r="BC681" t="str">
            <v>With Partition</v>
          </cell>
          <cell r="BD681" t="str">
            <v>Flat</v>
          </cell>
          <cell r="BE681" t="str">
            <v>With Partition</v>
          </cell>
          <cell r="BF681" t="str">
            <v>PINK</v>
          </cell>
          <cell r="BG681">
            <v>2900000</v>
          </cell>
          <cell r="BH681">
            <v>3000000</v>
          </cell>
          <cell r="BI681">
            <v>100000</v>
          </cell>
          <cell r="BJ681">
            <v>2900000</v>
          </cell>
          <cell r="BK681">
            <v>0</v>
          </cell>
          <cell r="BL681">
            <v>2900000</v>
          </cell>
        </row>
        <row r="682">
          <cell r="D682" t="str">
            <v>OS</v>
          </cell>
          <cell r="E682"/>
          <cell r="F682">
            <v>662</v>
          </cell>
          <cell r="G682" t="str">
            <v>SOLD</v>
          </cell>
          <cell r="H682" t="str">
            <v>OS</v>
          </cell>
          <cell r="I682" t="str">
            <v>OS</v>
          </cell>
          <cell r="J682" t="str">
            <v>OS</v>
          </cell>
          <cell r="K682" t="str">
            <v>OS</v>
          </cell>
          <cell r="L682" t="str">
            <v>OS</v>
          </cell>
          <cell r="M682" t="str">
            <v>OS</v>
          </cell>
          <cell r="N682" t="str">
            <v>OS</v>
          </cell>
          <cell r="O682" t="str">
            <v>OS</v>
          </cell>
          <cell r="P682" t="str">
            <v>OS</v>
          </cell>
          <cell r="Q682" t="str">
            <v>OS</v>
          </cell>
          <cell r="R682" t="str">
            <v>OS</v>
          </cell>
          <cell r="S682" t="str">
            <v>OS</v>
          </cell>
          <cell r="T682" t="str">
            <v>OS</v>
          </cell>
          <cell r="U682" t="str">
            <v>OS</v>
          </cell>
          <cell r="V682" t="str">
            <v>OS</v>
          </cell>
          <cell r="W682" t="str">
            <v>OS</v>
          </cell>
          <cell r="X682" t="str">
            <v>OS</v>
          </cell>
          <cell r="Y682" t="str">
            <v>OS</v>
          </cell>
          <cell r="Z682" t="str">
            <v>OS</v>
          </cell>
          <cell r="AA682" t="str">
            <v>OS</v>
          </cell>
          <cell r="AB682" t="str">
            <v>OS</v>
          </cell>
          <cell r="AC682" t="str">
            <v>OS</v>
          </cell>
          <cell r="AD682" t="str">
            <v>AGM-01-029-004</v>
          </cell>
          <cell r="AE682" t="str">
            <v xml:space="preserve">Raemulan Lands, Inc. </v>
          </cell>
          <cell r="AF682" t="str">
            <v>Agapeya</v>
          </cell>
          <cell r="AG682" t="str">
            <v>AGM</v>
          </cell>
          <cell r="AH682" t="str">
            <v>Eco-High</v>
          </cell>
          <cell r="AI682" t="str">
            <v>West</v>
          </cell>
          <cell r="AJ682" t="str">
            <v>With LTS</v>
          </cell>
          <cell r="AK682" t="str">
            <v>Unaffected lots</v>
          </cell>
          <cell r="AL682" t="str">
            <v>Unaffected lots</v>
          </cell>
          <cell r="AM682" t="b">
            <v>1</v>
          </cell>
          <cell r="AN682" t="str">
            <v>YES</v>
          </cell>
          <cell r="AO682" t="str">
            <v>2024 Batch</v>
          </cell>
          <cell r="AP682">
            <v>70</v>
          </cell>
          <cell r="AQ682" t="str">
            <v>PCS-04-034298</v>
          </cell>
          <cell r="AR682" t="b">
            <v>1</v>
          </cell>
          <cell r="AS682" t="str">
            <v>Done</v>
          </cell>
          <cell r="AT682" t="str">
            <v>2024 Batch</v>
          </cell>
          <cell r="AU682">
            <v>29</v>
          </cell>
          <cell r="AV682">
            <v>4</v>
          </cell>
          <cell r="AW682" t="str">
            <v>H+L</v>
          </cell>
          <cell r="AX682">
            <v>70</v>
          </cell>
          <cell r="AY682">
            <v>50</v>
          </cell>
          <cell r="AZ682" t="str">
            <v>Duplex</v>
          </cell>
          <cell r="BA682">
            <v>1</v>
          </cell>
          <cell r="BB682" t="str">
            <v>326 - With Partition</v>
          </cell>
          <cell r="BC682" t="str">
            <v>With Partition</v>
          </cell>
          <cell r="BD682" t="str">
            <v>Slant</v>
          </cell>
          <cell r="BE682" t="str">
            <v>With Partition</v>
          </cell>
          <cell r="BF682" t="str">
            <v>PINK</v>
          </cell>
          <cell r="BG682">
            <v>2722500</v>
          </cell>
          <cell r="BH682">
            <v>2850000</v>
          </cell>
          <cell r="BI682">
            <v>100000</v>
          </cell>
          <cell r="BJ682">
            <v>2750000</v>
          </cell>
          <cell r="BK682">
            <v>0</v>
          </cell>
          <cell r="BL682">
            <v>2750000</v>
          </cell>
        </row>
        <row r="683">
          <cell r="D683" t="str">
            <v>OS</v>
          </cell>
          <cell r="E683"/>
          <cell r="F683">
            <v>663</v>
          </cell>
          <cell r="G683" t="str">
            <v>SOLD</v>
          </cell>
          <cell r="H683" t="str">
            <v>OS</v>
          </cell>
          <cell r="I683" t="str">
            <v>OS</v>
          </cell>
          <cell r="J683" t="str">
            <v>OS</v>
          </cell>
          <cell r="K683" t="str">
            <v>OS</v>
          </cell>
          <cell r="L683" t="str">
            <v>OS</v>
          </cell>
          <cell r="M683" t="str">
            <v>OS</v>
          </cell>
          <cell r="N683" t="str">
            <v>OS</v>
          </cell>
          <cell r="O683" t="str">
            <v>OS</v>
          </cell>
          <cell r="P683" t="str">
            <v>OS</v>
          </cell>
          <cell r="Q683" t="str">
            <v>OS</v>
          </cell>
          <cell r="R683" t="str">
            <v>OS</v>
          </cell>
          <cell r="S683" t="str">
            <v>OS</v>
          </cell>
          <cell r="T683" t="str">
            <v>OS</v>
          </cell>
          <cell r="U683" t="str">
            <v>OS</v>
          </cell>
          <cell r="V683" t="str">
            <v>OS</v>
          </cell>
          <cell r="W683" t="str">
            <v>OS</v>
          </cell>
          <cell r="X683" t="str">
            <v>OS</v>
          </cell>
          <cell r="Y683" t="str">
            <v>OS</v>
          </cell>
          <cell r="Z683" t="str">
            <v>OS</v>
          </cell>
          <cell r="AA683" t="str">
            <v>OS</v>
          </cell>
          <cell r="AB683" t="str">
            <v>OS</v>
          </cell>
          <cell r="AC683" t="str">
            <v>OS</v>
          </cell>
          <cell r="AD683" t="str">
            <v>AGM-01-029-005</v>
          </cell>
          <cell r="AE683" t="str">
            <v xml:space="preserve">Raemulan Lands, Inc. </v>
          </cell>
          <cell r="AF683" t="str">
            <v>Agapeya</v>
          </cell>
          <cell r="AG683" t="str">
            <v>AGM</v>
          </cell>
          <cell r="AH683" t="str">
            <v>Eco-High</v>
          </cell>
          <cell r="AI683" t="str">
            <v>West</v>
          </cell>
          <cell r="AJ683" t="str">
            <v>With LTS</v>
          </cell>
          <cell r="AK683" t="str">
            <v>Unaffected lots</v>
          </cell>
          <cell r="AL683" t="str">
            <v>Unaffected lots</v>
          </cell>
          <cell r="AM683" t="b">
            <v>1</v>
          </cell>
          <cell r="AN683" t="str">
            <v>YES</v>
          </cell>
          <cell r="AO683" t="str">
            <v>2024 Batch</v>
          </cell>
          <cell r="AP683">
            <v>70</v>
          </cell>
          <cell r="AQ683" t="str">
            <v>PCS-04-034298</v>
          </cell>
          <cell r="AR683" t="b">
            <v>1</v>
          </cell>
          <cell r="AS683" t="str">
            <v>Done</v>
          </cell>
          <cell r="AT683" t="str">
            <v>2024 Batch</v>
          </cell>
          <cell r="AU683">
            <v>29</v>
          </cell>
          <cell r="AV683">
            <v>5</v>
          </cell>
          <cell r="AW683" t="str">
            <v>H+L</v>
          </cell>
          <cell r="AX683">
            <v>70</v>
          </cell>
          <cell r="AY683">
            <v>50</v>
          </cell>
          <cell r="AZ683" t="str">
            <v>Duplex</v>
          </cell>
          <cell r="BA683">
            <v>1</v>
          </cell>
          <cell r="BB683" t="str">
            <v>326 - With Partition</v>
          </cell>
          <cell r="BC683" t="str">
            <v>With Partition</v>
          </cell>
          <cell r="BD683" t="str">
            <v>Slant</v>
          </cell>
          <cell r="BE683" t="str">
            <v>With Partition</v>
          </cell>
          <cell r="BF683" t="str">
            <v>PINK</v>
          </cell>
          <cell r="BG683">
            <v>2600000</v>
          </cell>
          <cell r="BH683">
            <v>2850000</v>
          </cell>
          <cell r="BI683">
            <v>100000</v>
          </cell>
          <cell r="BJ683">
            <v>2750000</v>
          </cell>
          <cell r="BK683">
            <v>0</v>
          </cell>
          <cell r="BL683">
            <v>2750000</v>
          </cell>
        </row>
        <row r="684">
          <cell r="D684" t="str">
            <v>OS</v>
          </cell>
          <cell r="E684"/>
          <cell r="F684">
            <v>664</v>
          </cell>
          <cell r="G684" t="str">
            <v>SOLD</v>
          </cell>
          <cell r="H684" t="str">
            <v>OS</v>
          </cell>
          <cell r="I684" t="str">
            <v>OS</v>
          </cell>
          <cell r="J684" t="str">
            <v>OS</v>
          </cell>
          <cell r="K684" t="str">
            <v>OS</v>
          </cell>
          <cell r="L684" t="str">
            <v>OS</v>
          </cell>
          <cell r="M684" t="str">
            <v>OS</v>
          </cell>
          <cell r="N684" t="str">
            <v>OS</v>
          </cell>
          <cell r="O684" t="str">
            <v>OS</v>
          </cell>
          <cell r="P684" t="str">
            <v>OS</v>
          </cell>
          <cell r="Q684" t="str">
            <v>OS</v>
          </cell>
          <cell r="R684" t="str">
            <v>OS</v>
          </cell>
          <cell r="S684" t="str">
            <v>OS</v>
          </cell>
          <cell r="T684" t="str">
            <v>OS</v>
          </cell>
          <cell r="U684" t="str">
            <v>OS</v>
          </cell>
          <cell r="V684" t="str">
            <v>OS</v>
          </cell>
          <cell r="W684" t="str">
            <v>OS</v>
          </cell>
          <cell r="X684" t="str">
            <v>OS</v>
          </cell>
          <cell r="Y684" t="str">
            <v>OS</v>
          </cell>
          <cell r="Z684" t="str">
            <v>OS</v>
          </cell>
          <cell r="AA684" t="str">
            <v>OS</v>
          </cell>
          <cell r="AB684" t="str">
            <v>OS</v>
          </cell>
          <cell r="AC684" t="str">
            <v>OS</v>
          </cell>
          <cell r="AD684" t="str">
            <v>AGM-01-029-006</v>
          </cell>
          <cell r="AE684" t="str">
            <v xml:space="preserve">Raemulan Lands, Inc. </v>
          </cell>
          <cell r="AF684" t="str">
            <v>Agapeya</v>
          </cell>
          <cell r="AG684" t="str">
            <v>AGM</v>
          </cell>
          <cell r="AH684" t="str">
            <v>Eco-High</v>
          </cell>
          <cell r="AI684" t="str">
            <v>West</v>
          </cell>
          <cell r="AJ684" t="str">
            <v>With LTS</v>
          </cell>
          <cell r="AK684" t="str">
            <v>Unaffected lots</v>
          </cell>
          <cell r="AL684" t="str">
            <v>Unaffected lots</v>
          </cell>
          <cell r="AM684" t="b">
            <v>1</v>
          </cell>
          <cell r="AN684" t="str">
            <v>YES</v>
          </cell>
          <cell r="AO684" t="str">
            <v>2024 Batch</v>
          </cell>
          <cell r="AP684">
            <v>80</v>
          </cell>
          <cell r="AQ684" t="str">
            <v>PCS-04-034298</v>
          </cell>
          <cell r="AR684" t="b">
            <v>1</v>
          </cell>
          <cell r="AS684" t="str">
            <v>Done</v>
          </cell>
          <cell r="AT684" t="str">
            <v>2024 Batch</v>
          </cell>
          <cell r="AU684">
            <v>29</v>
          </cell>
          <cell r="AV684">
            <v>6</v>
          </cell>
          <cell r="AW684" t="str">
            <v>H+L</v>
          </cell>
          <cell r="AX684">
            <v>80</v>
          </cell>
          <cell r="AY684">
            <v>50</v>
          </cell>
          <cell r="AZ684" t="str">
            <v>Duplex</v>
          </cell>
          <cell r="BA684">
            <v>1</v>
          </cell>
          <cell r="BB684" t="str">
            <v>326 - With Partition</v>
          </cell>
          <cell r="BC684" t="str">
            <v>With Partition</v>
          </cell>
          <cell r="BD684" t="str">
            <v>Flat</v>
          </cell>
          <cell r="BE684" t="str">
            <v>With Partition</v>
          </cell>
          <cell r="BF684" t="str">
            <v>PINK</v>
          </cell>
          <cell r="BG684">
            <v>2900000</v>
          </cell>
          <cell r="BH684">
            <v>3000000</v>
          </cell>
          <cell r="BI684">
            <v>100000</v>
          </cell>
          <cell r="BJ684">
            <v>2900000</v>
          </cell>
          <cell r="BK684">
            <v>0</v>
          </cell>
          <cell r="BL684">
            <v>2900000</v>
          </cell>
        </row>
        <row r="685">
          <cell r="D685" t="str">
            <v>OS</v>
          </cell>
          <cell r="E685"/>
          <cell r="F685">
            <v>665</v>
          </cell>
          <cell r="G685" t="str">
            <v>SOLD</v>
          </cell>
          <cell r="H685" t="str">
            <v>OS</v>
          </cell>
          <cell r="I685" t="str">
            <v>OS</v>
          </cell>
          <cell r="J685" t="str">
            <v>OS</v>
          </cell>
          <cell r="K685" t="str">
            <v>OS</v>
          </cell>
          <cell r="L685" t="str">
            <v>OS</v>
          </cell>
          <cell r="M685" t="str">
            <v>OS</v>
          </cell>
          <cell r="N685" t="str">
            <v>OS</v>
          </cell>
          <cell r="O685" t="str">
            <v>OS</v>
          </cell>
          <cell r="P685" t="str">
            <v>OS</v>
          </cell>
          <cell r="Q685" t="str">
            <v>OS</v>
          </cell>
          <cell r="R685" t="str">
            <v>OS</v>
          </cell>
          <cell r="S685" t="str">
            <v>OS</v>
          </cell>
          <cell r="T685" t="str">
            <v>OS</v>
          </cell>
          <cell r="U685" t="str">
            <v>OS</v>
          </cell>
          <cell r="V685" t="str">
            <v>OS</v>
          </cell>
          <cell r="W685" t="str">
            <v>OS</v>
          </cell>
          <cell r="X685" t="str">
            <v>OS</v>
          </cell>
          <cell r="Y685" t="str">
            <v>OS</v>
          </cell>
          <cell r="Z685" t="str">
            <v>OS</v>
          </cell>
          <cell r="AA685" t="str">
            <v>OS</v>
          </cell>
          <cell r="AB685" t="str">
            <v>OS</v>
          </cell>
          <cell r="AC685" t="str">
            <v>OS</v>
          </cell>
          <cell r="AD685" t="str">
            <v>AGM-01-029-007</v>
          </cell>
          <cell r="AE685" t="str">
            <v xml:space="preserve">Raemulan Lands, Inc. </v>
          </cell>
          <cell r="AF685" t="str">
            <v>Agapeya</v>
          </cell>
          <cell r="AG685" t="str">
            <v>AGM</v>
          </cell>
          <cell r="AH685" t="str">
            <v>Eco-High</v>
          </cell>
          <cell r="AI685" t="str">
            <v>West</v>
          </cell>
          <cell r="AJ685" t="str">
            <v>With LTS</v>
          </cell>
          <cell r="AK685" t="str">
            <v>Unaffected lots</v>
          </cell>
          <cell r="AL685" t="str">
            <v>Unaffected lots</v>
          </cell>
          <cell r="AM685" t="b">
            <v>1</v>
          </cell>
          <cell r="AN685" t="str">
            <v>YES</v>
          </cell>
          <cell r="AO685" t="str">
            <v>2024 Batch</v>
          </cell>
          <cell r="AP685">
            <v>70</v>
          </cell>
          <cell r="AQ685" t="str">
            <v>PCS-04-034298</v>
          </cell>
          <cell r="AR685" t="b">
            <v>1</v>
          </cell>
          <cell r="AS685" t="str">
            <v>Done</v>
          </cell>
          <cell r="AT685" t="str">
            <v>2024 Batch</v>
          </cell>
          <cell r="AU685">
            <v>29</v>
          </cell>
          <cell r="AV685">
            <v>7</v>
          </cell>
          <cell r="AW685" t="str">
            <v>H+L</v>
          </cell>
          <cell r="AX685">
            <v>70</v>
          </cell>
          <cell r="AY685">
            <v>50</v>
          </cell>
          <cell r="AZ685" t="str">
            <v>Duplex</v>
          </cell>
          <cell r="BA685">
            <v>1</v>
          </cell>
          <cell r="BB685" t="str">
            <v>326 - With Partition</v>
          </cell>
          <cell r="BC685" t="str">
            <v>With Partition</v>
          </cell>
          <cell r="BD685" t="str">
            <v>Slant</v>
          </cell>
          <cell r="BE685" t="str">
            <v>With Partition</v>
          </cell>
          <cell r="BF685" t="str">
            <v>YELLOW</v>
          </cell>
          <cell r="BG685">
            <v>2707500</v>
          </cell>
          <cell r="BH685">
            <v>2850000</v>
          </cell>
          <cell r="BI685">
            <v>100000</v>
          </cell>
          <cell r="BJ685">
            <v>2750000</v>
          </cell>
          <cell r="BK685">
            <v>0</v>
          </cell>
          <cell r="BL685">
            <v>2750000</v>
          </cell>
        </row>
        <row r="686">
          <cell r="D686" t="str">
            <v>OS</v>
          </cell>
          <cell r="E686"/>
          <cell r="F686">
            <v>666</v>
          </cell>
          <cell r="G686" t="str">
            <v>UNSOLD</v>
          </cell>
          <cell r="H686" t="str">
            <v>OPEN</v>
          </cell>
          <cell r="I686" t="str">
            <v>OPEN</v>
          </cell>
          <cell r="J686" t="str">
            <v>OPEN</v>
          </cell>
          <cell r="K686" t="str">
            <v>OPEN</v>
          </cell>
          <cell r="L686" t="str">
            <v>OPEN</v>
          </cell>
          <cell r="M686" t="str">
            <v>OPEN</v>
          </cell>
          <cell r="N686" t="str">
            <v>OPEN</v>
          </cell>
          <cell r="O686" t="str">
            <v>OPEN</v>
          </cell>
          <cell r="P686" t="str">
            <v>OPEN</v>
          </cell>
          <cell r="Q686" t="str">
            <v>OPEN</v>
          </cell>
          <cell r="R686" t="str">
            <v>OPEN</v>
          </cell>
          <cell r="S686" t="str">
            <v>OPEN</v>
          </cell>
          <cell r="T686" t="str">
            <v>OPEN</v>
          </cell>
          <cell r="U686" t="str">
            <v>FOR BRN</v>
          </cell>
          <cell r="V686" t="str">
            <v>OS</v>
          </cell>
          <cell r="W686" t="str">
            <v>TS</v>
          </cell>
          <cell r="X686" t="str">
            <v>OS</v>
          </cell>
          <cell r="Y686" t="str">
            <v>OS</v>
          </cell>
          <cell r="Z686" t="str">
            <v>OS</v>
          </cell>
          <cell r="AA686" t="str">
            <v>OS</v>
          </cell>
          <cell r="AB686" t="str">
            <v>OS</v>
          </cell>
          <cell r="AC686" t="str">
            <v>OS</v>
          </cell>
          <cell r="AD686" t="str">
            <v>AGM-01-029-008</v>
          </cell>
          <cell r="AE686" t="str">
            <v xml:space="preserve">Raemulan Lands, Inc. </v>
          </cell>
          <cell r="AF686" t="str">
            <v>Agapeya</v>
          </cell>
          <cell r="AG686" t="str">
            <v>AGM</v>
          </cell>
          <cell r="AH686" t="str">
            <v>Eco-High</v>
          </cell>
          <cell r="AI686" t="str">
            <v>West</v>
          </cell>
          <cell r="AJ686" t="str">
            <v>With LTS</v>
          </cell>
          <cell r="AK686" t="str">
            <v>Unaffected lots</v>
          </cell>
          <cell r="AL686" t="str">
            <v>Unaffected lots</v>
          </cell>
          <cell r="AM686" t="b">
            <v>1</v>
          </cell>
          <cell r="AN686" t="str">
            <v>YES</v>
          </cell>
          <cell r="AO686" t="str">
            <v>2024 Batch</v>
          </cell>
          <cell r="AP686">
            <v>70</v>
          </cell>
          <cell r="AQ686" t="str">
            <v>PCS-04-034298</v>
          </cell>
          <cell r="AR686" t="b">
            <v>1</v>
          </cell>
          <cell r="AS686" t="str">
            <v>Done</v>
          </cell>
          <cell r="AT686" t="str">
            <v>2024 Batch</v>
          </cell>
          <cell r="AU686">
            <v>29</v>
          </cell>
          <cell r="AV686">
            <v>8</v>
          </cell>
          <cell r="AW686" t="str">
            <v>H+L</v>
          </cell>
          <cell r="AX686">
            <v>70</v>
          </cell>
          <cell r="AY686">
            <v>50</v>
          </cell>
          <cell r="AZ686" t="str">
            <v>Duplex</v>
          </cell>
          <cell r="BA686">
            <v>1</v>
          </cell>
          <cell r="BB686" t="str">
            <v>326 - With Partition</v>
          </cell>
          <cell r="BC686" t="str">
            <v>With Partition</v>
          </cell>
          <cell r="BD686" t="str">
            <v>Flat</v>
          </cell>
          <cell r="BE686" t="str">
            <v>With Partition</v>
          </cell>
          <cell r="BF686" t="str">
            <v>YELLOW</v>
          </cell>
          <cell r="BG686">
            <v>2707500</v>
          </cell>
          <cell r="BH686">
            <v>2850000</v>
          </cell>
          <cell r="BI686">
            <v>100000</v>
          </cell>
          <cell r="BJ686">
            <v>2750000</v>
          </cell>
          <cell r="BK686">
            <v>0</v>
          </cell>
          <cell r="BL686">
            <v>2750000</v>
          </cell>
        </row>
        <row r="687">
          <cell r="D687" t="str">
            <v>OS</v>
          </cell>
          <cell r="E687"/>
          <cell r="F687">
            <v>667</v>
          </cell>
          <cell r="G687" t="str">
            <v>SOLD</v>
          </cell>
          <cell r="H687" t="str">
            <v>OS</v>
          </cell>
          <cell r="I687" t="str">
            <v>OS</v>
          </cell>
          <cell r="J687" t="str">
            <v>OS</v>
          </cell>
          <cell r="K687" t="str">
            <v>OS</v>
          </cell>
          <cell r="L687" t="str">
            <v>OS</v>
          </cell>
          <cell r="M687" t="str">
            <v>OS</v>
          </cell>
          <cell r="N687" t="str">
            <v>OS</v>
          </cell>
          <cell r="O687" t="str">
            <v>OS</v>
          </cell>
          <cell r="P687" t="str">
            <v>OS</v>
          </cell>
          <cell r="Q687" t="str">
            <v>OS</v>
          </cell>
          <cell r="R687" t="str">
            <v>OS</v>
          </cell>
          <cell r="S687" t="str">
            <v>OS</v>
          </cell>
          <cell r="T687" t="str">
            <v>OS</v>
          </cell>
          <cell r="U687" t="str">
            <v>OS</v>
          </cell>
          <cell r="V687" t="str">
            <v>OS</v>
          </cell>
          <cell r="W687" t="str">
            <v>OS</v>
          </cell>
          <cell r="X687" t="str">
            <v>OS</v>
          </cell>
          <cell r="Y687" t="str">
            <v>OS</v>
          </cell>
          <cell r="Z687" t="str">
            <v>OS</v>
          </cell>
          <cell r="AA687" t="str">
            <v>OS</v>
          </cell>
          <cell r="AB687" t="str">
            <v>OS</v>
          </cell>
          <cell r="AC687" t="str">
            <v>OS</v>
          </cell>
          <cell r="AD687" t="str">
            <v>AGM-01-029-009</v>
          </cell>
          <cell r="AE687" t="str">
            <v xml:space="preserve">Raemulan Lands, Inc. </v>
          </cell>
          <cell r="AF687" t="str">
            <v>Agapeya</v>
          </cell>
          <cell r="AG687" t="str">
            <v>AGM</v>
          </cell>
          <cell r="AH687" t="str">
            <v>Eco-High</v>
          </cell>
          <cell r="AI687" t="str">
            <v>West</v>
          </cell>
          <cell r="AJ687" t="str">
            <v>With LTS</v>
          </cell>
          <cell r="AK687" t="str">
            <v>Unaffected lots</v>
          </cell>
          <cell r="AL687" t="str">
            <v>Unaffected lots</v>
          </cell>
          <cell r="AM687" t="b">
            <v>1</v>
          </cell>
          <cell r="AN687" t="str">
            <v>YES</v>
          </cell>
          <cell r="AO687" t="str">
            <v>2024 Batch</v>
          </cell>
          <cell r="AP687">
            <v>70</v>
          </cell>
          <cell r="AQ687" t="str">
            <v>PCS-04-034298</v>
          </cell>
          <cell r="AR687" t="b">
            <v>1</v>
          </cell>
          <cell r="AS687" t="str">
            <v>Done</v>
          </cell>
          <cell r="AT687" t="str">
            <v>2024 Batch</v>
          </cell>
          <cell r="AU687">
            <v>29</v>
          </cell>
          <cell r="AV687">
            <v>9</v>
          </cell>
          <cell r="AW687" t="str">
            <v>H+L</v>
          </cell>
          <cell r="AX687">
            <v>70</v>
          </cell>
          <cell r="AY687">
            <v>50</v>
          </cell>
          <cell r="AZ687" t="str">
            <v>Duplex</v>
          </cell>
          <cell r="BA687">
            <v>1</v>
          </cell>
          <cell r="BB687" t="str">
            <v>326 - With Partition</v>
          </cell>
          <cell r="BC687" t="str">
            <v>With Partition</v>
          </cell>
          <cell r="BD687" t="str">
            <v>Flat</v>
          </cell>
          <cell r="BE687" t="str">
            <v>With Partition</v>
          </cell>
          <cell r="BF687" t="str">
            <v>YELLOW</v>
          </cell>
          <cell r="BG687">
            <v>2750000</v>
          </cell>
          <cell r="BH687">
            <v>2850000</v>
          </cell>
          <cell r="BI687">
            <v>100000</v>
          </cell>
          <cell r="BJ687">
            <v>2750000</v>
          </cell>
          <cell r="BK687">
            <v>0</v>
          </cell>
          <cell r="BL687">
            <v>2750000</v>
          </cell>
        </row>
        <row r="688">
          <cell r="D688" t="str">
            <v>OS</v>
          </cell>
          <cell r="E688"/>
          <cell r="F688">
            <v>668</v>
          </cell>
          <cell r="G688" t="str">
            <v>SOLD</v>
          </cell>
          <cell r="H688" t="str">
            <v>OS</v>
          </cell>
          <cell r="I688" t="str">
            <v>OS</v>
          </cell>
          <cell r="J688" t="str">
            <v>OS</v>
          </cell>
          <cell r="K688" t="str">
            <v>OS</v>
          </cell>
          <cell r="L688" t="str">
            <v>OS</v>
          </cell>
          <cell r="M688" t="str">
            <v>OS</v>
          </cell>
          <cell r="N688" t="str">
            <v>OS</v>
          </cell>
          <cell r="O688" t="str">
            <v>OS</v>
          </cell>
          <cell r="P688" t="str">
            <v>OS</v>
          </cell>
          <cell r="Q688" t="str">
            <v>OS</v>
          </cell>
          <cell r="R688" t="str">
            <v>OS</v>
          </cell>
          <cell r="S688" t="str">
            <v>OS</v>
          </cell>
          <cell r="T688" t="str">
            <v>OS</v>
          </cell>
          <cell r="U688" t="str">
            <v>OS</v>
          </cell>
          <cell r="V688" t="str">
            <v>OS</v>
          </cell>
          <cell r="W688" t="str">
            <v>OS</v>
          </cell>
          <cell r="X688" t="str">
            <v>OS</v>
          </cell>
          <cell r="Y688" t="str">
            <v>OS</v>
          </cell>
          <cell r="Z688" t="str">
            <v>OS</v>
          </cell>
          <cell r="AA688" t="str">
            <v>OS</v>
          </cell>
          <cell r="AB688" t="str">
            <v>OS</v>
          </cell>
          <cell r="AC688" t="str">
            <v>OS</v>
          </cell>
          <cell r="AD688" t="str">
            <v>AGM-01-029-010</v>
          </cell>
          <cell r="AE688" t="str">
            <v xml:space="preserve">Raemulan Lands, Inc. </v>
          </cell>
          <cell r="AF688" t="str">
            <v>Agapeya</v>
          </cell>
          <cell r="AG688" t="str">
            <v>AGM</v>
          </cell>
          <cell r="AH688" t="str">
            <v>Eco-High</v>
          </cell>
          <cell r="AI688" t="str">
            <v>West</v>
          </cell>
          <cell r="AJ688" t="str">
            <v>With LTS</v>
          </cell>
          <cell r="AK688" t="str">
            <v>Unaffected lots</v>
          </cell>
          <cell r="AL688" t="str">
            <v>Unaffected lots</v>
          </cell>
          <cell r="AM688" t="b">
            <v>1</v>
          </cell>
          <cell r="AN688" t="str">
            <v>YES</v>
          </cell>
          <cell r="AO688" t="str">
            <v>2024 Batch</v>
          </cell>
          <cell r="AP688">
            <v>70</v>
          </cell>
          <cell r="AQ688" t="str">
            <v>PCS-04-034298</v>
          </cell>
          <cell r="AR688" t="b">
            <v>1</v>
          </cell>
          <cell r="AS688" t="str">
            <v>Done</v>
          </cell>
          <cell r="AT688" t="str">
            <v>2024 Batch</v>
          </cell>
          <cell r="AU688">
            <v>29</v>
          </cell>
          <cell r="AV688">
            <v>10</v>
          </cell>
          <cell r="AW688" t="str">
            <v>H+L</v>
          </cell>
          <cell r="AX688">
            <v>70</v>
          </cell>
          <cell r="AY688">
            <v>50</v>
          </cell>
          <cell r="AZ688" t="str">
            <v>Duplex</v>
          </cell>
          <cell r="BA688">
            <v>1</v>
          </cell>
          <cell r="BB688" t="str">
            <v>326 - With Partition</v>
          </cell>
          <cell r="BC688" t="str">
            <v>With Partition</v>
          </cell>
          <cell r="BD688" t="str">
            <v>Slant</v>
          </cell>
          <cell r="BE688" t="str">
            <v>With Partition</v>
          </cell>
          <cell r="BF688" t="str">
            <v>YELLOW</v>
          </cell>
          <cell r="BG688">
            <v>2707500</v>
          </cell>
          <cell r="BH688">
            <v>2850000</v>
          </cell>
          <cell r="BI688">
            <v>100000</v>
          </cell>
          <cell r="BJ688">
            <v>2750000</v>
          </cell>
          <cell r="BK688">
            <v>0</v>
          </cell>
          <cell r="BL688">
            <v>2750000</v>
          </cell>
        </row>
        <row r="689">
          <cell r="D689" t="str">
            <v>OS</v>
          </cell>
          <cell r="E689"/>
          <cell r="F689">
            <v>669</v>
          </cell>
          <cell r="G689" t="str">
            <v>FOR CANCELLATION</v>
          </cell>
          <cell r="H689" t="str">
            <v>FOR CANCELLATION</v>
          </cell>
          <cell r="I689" t="str">
            <v>FOR CANCELLATION</v>
          </cell>
          <cell r="J689" t="str">
            <v>FOR CANCELLATION</v>
          </cell>
          <cell r="K689" t="str">
            <v>FOR CANCELLATION</v>
          </cell>
          <cell r="L689" t="str">
            <v>FOR CANCELLATION</v>
          </cell>
          <cell r="M689" t="str">
            <v>FOR CANCELLATION</v>
          </cell>
          <cell r="N689" t="str">
            <v>FOR CANCELLATION</v>
          </cell>
          <cell r="O689" t="str">
            <v>FOR CANCELLATION</v>
          </cell>
          <cell r="P689" t="str">
            <v>FOR CANCELLATION</v>
          </cell>
          <cell r="Q689" t="str">
            <v>FOR CANCELLATION</v>
          </cell>
          <cell r="R689" t="str">
            <v>FOR CANCELLATION</v>
          </cell>
          <cell r="S689" t="str">
            <v>FOR CANCELLATION</v>
          </cell>
          <cell r="T689" t="str">
            <v>FOR CANCELLATION</v>
          </cell>
          <cell r="U689" t="str">
            <v>FOR CANCELLATION</v>
          </cell>
          <cell r="V689" t="str">
            <v>TS</v>
          </cell>
          <cell r="W689" t="str">
            <v>TS</v>
          </cell>
          <cell r="X689" t="str">
            <v>TS</v>
          </cell>
          <cell r="Y689" t="str">
            <v>TS</v>
          </cell>
          <cell r="Z689" t="str">
            <v>OS</v>
          </cell>
          <cell r="AA689" t="str">
            <v>OS</v>
          </cell>
          <cell r="AB689" t="str">
            <v>TS</v>
          </cell>
          <cell r="AC689" t="str">
            <v>TS</v>
          </cell>
          <cell r="AD689" t="str">
            <v>AGM-01-029-011</v>
          </cell>
          <cell r="AE689" t="str">
            <v xml:space="preserve">Raemulan Lands, Inc. </v>
          </cell>
          <cell r="AF689" t="str">
            <v>Agapeya</v>
          </cell>
          <cell r="AG689" t="str">
            <v>AGM</v>
          </cell>
          <cell r="AH689" t="str">
            <v>Eco-High</v>
          </cell>
          <cell r="AI689" t="str">
            <v>West</v>
          </cell>
          <cell r="AJ689" t="str">
            <v>With LTS</v>
          </cell>
          <cell r="AK689" t="str">
            <v>Unaffected lots</v>
          </cell>
          <cell r="AL689" t="str">
            <v>Unaffected lots</v>
          </cell>
          <cell r="AM689" t="b">
            <v>1</v>
          </cell>
          <cell r="AN689" t="str">
            <v>YES</v>
          </cell>
          <cell r="AO689" t="str">
            <v>2024 Batch</v>
          </cell>
          <cell r="AP689">
            <v>70</v>
          </cell>
          <cell r="AQ689" t="str">
            <v>PCS-04-034298</v>
          </cell>
          <cell r="AR689" t="b">
            <v>1</v>
          </cell>
          <cell r="AS689" t="str">
            <v>Done</v>
          </cell>
          <cell r="AT689" t="str">
            <v>2024 Batch</v>
          </cell>
          <cell r="AU689">
            <v>29</v>
          </cell>
          <cell r="AV689">
            <v>11</v>
          </cell>
          <cell r="AW689" t="str">
            <v>H+L</v>
          </cell>
          <cell r="AX689">
            <v>70</v>
          </cell>
          <cell r="AY689">
            <v>50</v>
          </cell>
          <cell r="AZ689" t="str">
            <v>Duplex</v>
          </cell>
          <cell r="BA689">
            <v>1</v>
          </cell>
          <cell r="BB689" t="str">
            <v>326 - With Partition</v>
          </cell>
          <cell r="BC689" t="str">
            <v>With Partition</v>
          </cell>
          <cell r="BD689" t="str">
            <v>Slant</v>
          </cell>
          <cell r="BE689" t="str">
            <v>With Partition</v>
          </cell>
          <cell r="BF689" t="str">
            <v>GREEN</v>
          </cell>
          <cell r="BG689">
            <v>2707500</v>
          </cell>
          <cell r="BH689">
            <v>2850000</v>
          </cell>
          <cell r="BI689">
            <v>100000</v>
          </cell>
          <cell r="BJ689">
            <v>2750000</v>
          </cell>
          <cell r="BK689">
            <v>0</v>
          </cell>
          <cell r="BL689">
            <v>2750000</v>
          </cell>
        </row>
        <row r="690">
          <cell r="D690" t="str">
            <v>OS</v>
          </cell>
          <cell r="E690"/>
          <cell r="F690">
            <v>670</v>
          </cell>
          <cell r="G690" t="str">
            <v>SOLD</v>
          </cell>
          <cell r="H690" t="str">
            <v>OS</v>
          </cell>
          <cell r="I690" t="str">
            <v>OS</v>
          </cell>
          <cell r="J690" t="str">
            <v>OS</v>
          </cell>
          <cell r="K690" t="str">
            <v>OS</v>
          </cell>
          <cell r="L690" t="str">
            <v>OS</v>
          </cell>
          <cell r="M690" t="str">
            <v>OS</v>
          </cell>
          <cell r="N690" t="str">
            <v>OS</v>
          </cell>
          <cell r="O690" t="str">
            <v>OS</v>
          </cell>
          <cell r="P690" t="str">
            <v>OS</v>
          </cell>
          <cell r="Q690" t="str">
            <v>OS</v>
          </cell>
          <cell r="R690" t="str">
            <v>OS</v>
          </cell>
          <cell r="S690" t="str">
            <v>OS</v>
          </cell>
          <cell r="T690" t="str">
            <v>OS</v>
          </cell>
          <cell r="U690" t="str">
            <v>OS</v>
          </cell>
          <cell r="V690" t="str">
            <v>OS</v>
          </cell>
          <cell r="W690" t="str">
            <v>OS</v>
          </cell>
          <cell r="X690" t="str">
            <v>OS</v>
          </cell>
          <cell r="Y690" t="str">
            <v>OS</v>
          </cell>
          <cell r="Z690" t="str">
            <v>OS</v>
          </cell>
          <cell r="AA690" t="str">
            <v>OS</v>
          </cell>
          <cell r="AB690" t="str">
            <v>OS</v>
          </cell>
          <cell r="AC690" t="str">
            <v>OS</v>
          </cell>
          <cell r="AD690" t="str">
            <v>AGM-01-029-012</v>
          </cell>
          <cell r="AE690" t="str">
            <v xml:space="preserve">Raemulan Lands, Inc. </v>
          </cell>
          <cell r="AF690" t="str">
            <v>Agapeya</v>
          </cell>
          <cell r="AG690" t="str">
            <v>AGM</v>
          </cell>
          <cell r="AH690" t="str">
            <v>Eco-High</v>
          </cell>
          <cell r="AI690" t="str">
            <v>West</v>
          </cell>
          <cell r="AJ690" t="str">
            <v>With LTS</v>
          </cell>
          <cell r="AK690" t="str">
            <v>Unaffected lots</v>
          </cell>
          <cell r="AL690" t="str">
            <v>Unaffected lots</v>
          </cell>
          <cell r="AM690" t="b">
            <v>1</v>
          </cell>
          <cell r="AN690" t="str">
            <v>YES</v>
          </cell>
          <cell r="AO690" t="str">
            <v>2024 Batch</v>
          </cell>
          <cell r="AP690">
            <v>70</v>
          </cell>
          <cell r="AQ690" t="str">
            <v>PCS-04-034298</v>
          </cell>
          <cell r="AR690" t="b">
            <v>1</v>
          </cell>
          <cell r="AS690" t="str">
            <v>Done</v>
          </cell>
          <cell r="AT690" t="str">
            <v>2024 Batch</v>
          </cell>
          <cell r="AU690">
            <v>29</v>
          </cell>
          <cell r="AV690">
            <v>12</v>
          </cell>
          <cell r="AW690" t="str">
            <v>H+L</v>
          </cell>
          <cell r="AX690">
            <v>70</v>
          </cell>
          <cell r="AY690">
            <v>50</v>
          </cell>
          <cell r="AZ690" t="str">
            <v>Duplex</v>
          </cell>
          <cell r="BA690">
            <v>1</v>
          </cell>
          <cell r="BB690" t="str">
            <v>326 - With Partition</v>
          </cell>
          <cell r="BC690" t="str">
            <v>With Partition</v>
          </cell>
          <cell r="BD690" t="str">
            <v>Flat</v>
          </cell>
          <cell r="BE690" t="str">
            <v>With Partition</v>
          </cell>
          <cell r="BF690" t="str">
            <v>GREEN</v>
          </cell>
          <cell r="BG690">
            <v>2707500</v>
          </cell>
          <cell r="BH690">
            <v>2850000</v>
          </cell>
          <cell r="BI690">
            <v>100000</v>
          </cell>
          <cell r="BJ690">
            <v>2750000</v>
          </cell>
          <cell r="BK690">
            <v>0</v>
          </cell>
          <cell r="BL690">
            <v>2750000</v>
          </cell>
        </row>
        <row r="691">
          <cell r="D691" t="str">
            <v>OS</v>
          </cell>
          <cell r="E691"/>
          <cell r="F691">
            <v>671</v>
          </cell>
          <cell r="G691" t="str">
            <v>SOLD</v>
          </cell>
          <cell r="H691" t="str">
            <v>OS</v>
          </cell>
          <cell r="I691" t="str">
            <v>OS</v>
          </cell>
          <cell r="J691" t="str">
            <v>OS</v>
          </cell>
          <cell r="K691" t="str">
            <v>OS</v>
          </cell>
          <cell r="L691" t="str">
            <v>OS</v>
          </cell>
          <cell r="M691" t="str">
            <v>OS</v>
          </cell>
          <cell r="N691" t="str">
            <v>OS</v>
          </cell>
          <cell r="O691" t="str">
            <v>OS</v>
          </cell>
          <cell r="P691" t="str">
            <v>OS</v>
          </cell>
          <cell r="Q691" t="str">
            <v>OS</v>
          </cell>
          <cell r="R691" t="str">
            <v>OS</v>
          </cell>
          <cell r="S691" t="str">
            <v>OS</v>
          </cell>
          <cell r="T691" t="str">
            <v>OS</v>
          </cell>
          <cell r="U691" t="str">
            <v>OS</v>
          </cell>
          <cell r="V691" t="str">
            <v>OS</v>
          </cell>
          <cell r="W691" t="str">
            <v>OS</v>
          </cell>
          <cell r="X691" t="str">
            <v>OS</v>
          </cell>
          <cell r="Y691" t="str">
            <v>OS</v>
          </cell>
          <cell r="Z691" t="str">
            <v>OS</v>
          </cell>
          <cell r="AA691" t="str">
            <v>OS</v>
          </cell>
          <cell r="AB691" t="str">
            <v>OS</v>
          </cell>
          <cell r="AC691" t="str">
            <v>OS</v>
          </cell>
          <cell r="AD691" t="str">
            <v>AGM-01-029-013</v>
          </cell>
          <cell r="AE691" t="str">
            <v xml:space="preserve">Raemulan Lands, Inc. </v>
          </cell>
          <cell r="AF691" t="str">
            <v>Agapeya</v>
          </cell>
          <cell r="AG691" t="str">
            <v>AGM</v>
          </cell>
          <cell r="AH691" t="str">
            <v>Eco-High</v>
          </cell>
          <cell r="AI691" t="str">
            <v>West</v>
          </cell>
          <cell r="AJ691" t="str">
            <v>With LTS</v>
          </cell>
          <cell r="AK691" t="str">
            <v>Unaffected lots</v>
          </cell>
          <cell r="AL691" t="str">
            <v>Unaffected lots</v>
          </cell>
          <cell r="AM691" t="b">
            <v>1</v>
          </cell>
          <cell r="AN691" t="str">
            <v>YES</v>
          </cell>
          <cell r="AO691" t="str">
            <v>2024 Batch</v>
          </cell>
          <cell r="AP691">
            <v>70</v>
          </cell>
          <cell r="AQ691" t="str">
            <v>PCS-04-034298</v>
          </cell>
          <cell r="AR691" t="b">
            <v>1</v>
          </cell>
          <cell r="AS691" t="str">
            <v>Done</v>
          </cell>
          <cell r="AT691" t="str">
            <v>2024 Batch</v>
          </cell>
          <cell r="AU691">
            <v>29</v>
          </cell>
          <cell r="AV691">
            <v>13</v>
          </cell>
          <cell r="AW691" t="str">
            <v>H+L</v>
          </cell>
          <cell r="AX691">
            <v>70</v>
          </cell>
          <cell r="AY691">
            <v>50</v>
          </cell>
          <cell r="AZ691" t="str">
            <v>Duplex</v>
          </cell>
          <cell r="BA691">
            <v>1</v>
          </cell>
          <cell r="BB691" t="str">
            <v>326 - With Partition</v>
          </cell>
          <cell r="BC691" t="str">
            <v>With Partition</v>
          </cell>
          <cell r="BD691" t="str">
            <v>Flat</v>
          </cell>
          <cell r="BE691" t="str">
            <v>With Partition</v>
          </cell>
          <cell r="BF691" t="str">
            <v>GREEN</v>
          </cell>
          <cell r="BG691">
            <v>2707500</v>
          </cell>
          <cell r="BH691">
            <v>2850000</v>
          </cell>
          <cell r="BI691">
            <v>100000</v>
          </cell>
          <cell r="BJ691">
            <v>2750000</v>
          </cell>
          <cell r="BK691">
            <v>0</v>
          </cell>
          <cell r="BL691">
            <v>2750000</v>
          </cell>
        </row>
        <row r="692">
          <cell r="D692" t="str">
            <v>OS</v>
          </cell>
          <cell r="E692"/>
          <cell r="F692">
            <v>672</v>
          </cell>
          <cell r="G692" t="str">
            <v>SOLD</v>
          </cell>
          <cell r="H692" t="str">
            <v>OS</v>
          </cell>
          <cell r="I692" t="str">
            <v>OS</v>
          </cell>
          <cell r="J692" t="str">
            <v>OS</v>
          </cell>
          <cell r="K692" t="str">
            <v>OS</v>
          </cell>
          <cell r="L692" t="str">
            <v>OS</v>
          </cell>
          <cell r="M692" t="str">
            <v>OS</v>
          </cell>
          <cell r="N692" t="str">
            <v>OS</v>
          </cell>
          <cell r="O692" t="str">
            <v>OS</v>
          </cell>
          <cell r="P692" t="str">
            <v>OS</v>
          </cell>
          <cell r="Q692" t="str">
            <v>OS</v>
          </cell>
          <cell r="R692" t="str">
            <v>OS</v>
          </cell>
          <cell r="S692" t="str">
            <v>OS</v>
          </cell>
          <cell r="T692" t="str">
            <v>OS</v>
          </cell>
          <cell r="U692" t="str">
            <v>OS</v>
          </cell>
          <cell r="V692" t="str">
            <v>OS</v>
          </cell>
          <cell r="W692" t="str">
            <v>OS</v>
          </cell>
          <cell r="X692" t="str">
            <v>OS</v>
          </cell>
          <cell r="Y692" t="str">
            <v>OS</v>
          </cell>
          <cell r="Z692" t="str">
            <v>OS</v>
          </cell>
          <cell r="AA692" t="str">
            <v>OS</v>
          </cell>
          <cell r="AB692" t="str">
            <v>OS</v>
          </cell>
          <cell r="AC692" t="str">
            <v>OS</v>
          </cell>
          <cell r="AD692" t="str">
            <v>AGM-01-029-014</v>
          </cell>
          <cell r="AE692" t="str">
            <v xml:space="preserve">Raemulan Lands, Inc. </v>
          </cell>
          <cell r="AF692" t="str">
            <v>Agapeya</v>
          </cell>
          <cell r="AG692" t="str">
            <v>AGM</v>
          </cell>
          <cell r="AH692" t="str">
            <v>Eco-High</v>
          </cell>
          <cell r="AI692" t="str">
            <v>West</v>
          </cell>
          <cell r="AJ692" t="str">
            <v>With LTS</v>
          </cell>
          <cell r="AK692" t="str">
            <v>Unaffected lots</v>
          </cell>
          <cell r="AL692" t="str">
            <v>Unaffected lots</v>
          </cell>
          <cell r="AM692" t="b">
            <v>1</v>
          </cell>
          <cell r="AN692" t="str">
            <v>YES</v>
          </cell>
          <cell r="AO692" t="str">
            <v>2024 Batch</v>
          </cell>
          <cell r="AP692">
            <v>70</v>
          </cell>
          <cell r="AQ692" t="str">
            <v>PCS-04-034298</v>
          </cell>
          <cell r="AR692" t="b">
            <v>1</v>
          </cell>
          <cell r="AS692" t="str">
            <v>Done</v>
          </cell>
          <cell r="AT692" t="str">
            <v>2024 Batch</v>
          </cell>
          <cell r="AU692">
            <v>29</v>
          </cell>
          <cell r="AV692">
            <v>14</v>
          </cell>
          <cell r="AW692" t="str">
            <v>H+L</v>
          </cell>
          <cell r="AX692">
            <v>70</v>
          </cell>
          <cell r="AY692">
            <v>50</v>
          </cell>
          <cell r="AZ692" t="str">
            <v>Duplex</v>
          </cell>
          <cell r="BA692">
            <v>1</v>
          </cell>
          <cell r="BB692" t="str">
            <v>326 - With Partition</v>
          </cell>
          <cell r="BC692" t="str">
            <v>With Partition</v>
          </cell>
          <cell r="BD692" t="str">
            <v>Slant</v>
          </cell>
          <cell r="BE692" t="str">
            <v>With Partition</v>
          </cell>
          <cell r="BF692" t="str">
            <v>GREEN</v>
          </cell>
          <cell r="BG692">
            <v>2600000</v>
          </cell>
          <cell r="BH692">
            <v>2850000</v>
          </cell>
          <cell r="BI692">
            <v>100000</v>
          </cell>
          <cell r="BJ692">
            <v>2750000</v>
          </cell>
          <cell r="BK692">
            <v>0</v>
          </cell>
          <cell r="BL692">
            <v>2750000</v>
          </cell>
        </row>
        <row r="693">
          <cell r="D693" t="str">
            <v>OPEN</v>
          </cell>
          <cell r="E693"/>
          <cell r="F693">
            <v>673</v>
          </cell>
          <cell r="G693" t="str">
            <v>SOLD</v>
          </cell>
          <cell r="H693" t="str">
            <v>OS</v>
          </cell>
          <cell r="I693" t="str">
            <v>OS</v>
          </cell>
          <cell r="J693" t="str">
            <v>OS</v>
          </cell>
          <cell r="K693" t="str">
            <v>OS</v>
          </cell>
          <cell r="L693" t="str">
            <v>OS</v>
          </cell>
          <cell r="M693" t="str">
            <v>OS</v>
          </cell>
          <cell r="N693" t="str">
            <v>OS</v>
          </cell>
          <cell r="O693" t="str">
            <v>OS</v>
          </cell>
          <cell r="P693" t="str">
            <v>OS</v>
          </cell>
          <cell r="Q693" t="str">
            <v>OS</v>
          </cell>
          <cell r="R693" t="str">
            <v>OS</v>
          </cell>
          <cell r="S693" t="str">
            <v>OS</v>
          </cell>
          <cell r="T693" t="str">
            <v>OS</v>
          </cell>
          <cell r="U693" t="str">
            <v>OS</v>
          </cell>
          <cell r="V693" t="str">
            <v>OS</v>
          </cell>
          <cell r="W693" t="str">
            <v>OS</v>
          </cell>
          <cell r="X693" t="str">
            <v>OS</v>
          </cell>
          <cell r="Y693" t="str">
            <v>OS</v>
          </cell>
          <cell r="Z693" t="str">
            <v>OPEN</v>
          </cell>
          <cell r="AA693" t="str">
            <v>OS</v>
          </cell>
          <cell r="AB693" t="str">
            <v>OS</v>
          </cell>
          <cell r="AC693" t="str">
            <v>OS</v>
          </cell>
          <cell r="AD693" t="str">
            <v>AGM-01-029-015</v>
          </cell>
          <cell r="AE693" t="str">
            <v xml:space="preserve">Raemulan Lands, Inc. </v>
          </cell>
          <cell r="AF693" t="str">
            <v>Agapeya</v>
          </cell>
          <cell r="AG693" t="str">
            <v>AGM</v>
          </cell>
          <cell r="AH693" t="str">
            <v>Eco-High</v>
          </cell>
          <cell r="AI693" t="str">
            <v>West</v>
          </cell>
          <cell r="AJ693" t="str">
            <v>With LTS</v>
          </cell>
          <cell r="AK693" t="str">
            <v>Unaffected lots</v>
          </cell>
          <cell r="AL693" t="str">
            <v>Unaffected lots</v>
          </cell>
          <cell r="AM693" t="b">
            <v>1</v>
          </cell>
          <cell r="AN693" t="str">
            <v>YES</v>
          </cell>
          <cell r="AO693" t="str">
            <v>2024 Batch</v>
          </cell>
          <cell r="AP693">
            <v>70</v>
          </cell>
          <cell r="AQ693" t="str">
            <v>PCS-04-034298</v>
          </cell>
          <cell r="AR693" t="b">
            <v>1</v>
          </cell>
          <cell r="AS693" t="str">
            <v>Done</v>
          </cell>
          <cell r="AT693" t="str">
            <v>2024 Batch</v>
          </cell>
          <cell r="AU693">
            <v>29</v>
          </cell>
          <cell r="AV693">
            <v>15</v>
          </cell>
          <cell r="AW693" t="str">
            <v>H+L</v>
          </cell>
          <cell r="AX693">
            <v>70</v>
          </cell>
          <cell r="AY693">
            <v>50</v>
          </cell>
          <cell r="AZ693" t="str">
            <v>Duplex</v>
          </cell>
          <cell r="BA693">
            <v>1</v>
          </cell>
          <cell r="BB693" t="str">
            <v>326 - With Partition</v>
          </cell>
          <cell r="BC693" t="str">
            <v>With Partition</v>
          </cell>
          <cell r="BD693" t="str">
            <v>Slant</v>
          </cell>
          <cell r="BE693" t="str">
            <v>With Partition</v>
          </cell>
          <cell r="BF693" t="str">
            <v>PURPLE</v>
          </cell>
          <cell r="BG693">
            <v>2850000</v>
          </cell>
          <cell r="BH693">
            <v>2850000</v>
          </cell>
          <cell r="BI693">
            <v>100000</v>
          </cell>
          <cell r="BJ693">
            <v>2750000</v>
          </cell>
          <cell r="BK693">
            <v>0</v>
          </cell>
          <cell r="BL693">
            <v>2750000</v>
          </cell>
        </row>
        <row r="694">
          <cell r="D694" t="str">
            <v>TS</v>
          </cell>
          <cell r="E694"/>
          <cell r="F694">
            <v>674</v>
          </cell>
          <cell r="G694" t="str">
            <v>UNSOLD</v>
          </cell>
          <cell r="H694" t="str">
            <v>OPEN</v>
          </cell>
          <cell r="I694" t="str">
            <v>OPEN</v>
          </cell>
          <cell r="J694" t="str">
            <v>OPEN</v>
          </cell>
          <cell r="K694" t="str">
            <v>OPEN</v>
          </cell>
          <cell r="L694" t="str">
            <v>OPEN</v>
          </cell>
          <cell r="M694" t="str">
            <v>OPEN</v>
          </cell>
          <cell r="N694" t="str">
            <v>OPEN</v>
          </cell>
          <cell r="O694" t="str">
            <v>OPEN</v>
          </cell>
          <cell r="P694" t="str">
            <v>OPEN</v>
          </cell>
          <cell r="Q694" t="str">
            <v>OPEN</v>
          </cell>
          <cell r="R694" t="str">
            <v>OPEN</v>
          </cell>
          <cell r="S694" t="str">
            <v>OPEN</v>
          </cell>
          <cell r="T694" t="str">
            <v>OPEN</v>
          </cell>
          <cell r="U694" t="str">
            <v>OPEN</v>
          </cell>
          <cell r="V694" t="str">
            <v>OPEN</v>
          </cell>
          <cell r="W694" t="str">
            <v>OPEN</v>
          </cell>
          <cell r="X694" t="str">
            <v>OPEN</v>
          </cell>
          <cell r="Y694" t="str">
            <v>OPEN</v>
          </cell>
          <cell r="Z694" t="str">
            <v>TS</v>
          </cell>
          <cell r="AA694" t="str">
            <v>OPEN</v>
          </cell>
          <cell r="AB694" t="str">
            <v>OPEN</v>
          </cell>
          <cell r="AC694" t="str">
            <v>OPEN</v>
          </cell>
          <cell r="AD694" t="str">
            <v>AGM-01-029-016</v>
          </cell>
          <cell r="AE694" t="str">
            <v xml:space="preserve">Raemulan Lands, Inc. </v>
          </cell>
          <cell r="AF694" t="str">
            <v>Agapeya</v>
          </cell>
          <cell r="AG694" t="str">
            <v>AGM</v>
          </cell>
          <cell r="AH694" t="str">
            <v>Eco-High</v>
          </cell>
          <cell r="AI694" t="str">
            <v>West</v>
          </cell>
          <cell r="AJ694" t="str">
            <v>With LTS</v>
          </cell>
          <cell r="AK694" t="str">
            <v>Unaffected lots</v>
          </cell>
          <cell r="AL694" t="str">
            <v>Unaffected lots</v>
          </cell>
          <cell r="AM694" t="b">
            <v>1</v>
          </cell>
          <cell r="AN694" t="str">
            <v>YES</v>
          </cell>
          <cell r="AO694" t="str">
            <v>2024 Batch</v>
          </cell>
          <cell r="AP694">
            <v>70</v>
          </cell>
          <cell r="AQ694" t="str">
            <v>PCS-04-034298</v>
          </cell>
          <cell r="AR694" t="b">
            <v>1</v>
          </cell>
          <cell r="AS694" t="str">
            <v>Done</v>
          </cell>
          <cell r="AT694" t="str">
            <v>2024 Batch</v>
          </cell>
          <cell r="AU694">
            <v>29</v>
          </cell>
          <cell r="AV694">
            <v>16</v>
          </cell>
          <cell r="AW694" t="str">
            <v>H+L</v>
          </cell>
          <cell r="AX694">
            <v>70</v>
          </cell>
          <cell r="AY694">
            <v>50</v>
          </cell>
          <cell r="AZ694" t="str">
            <v>Duplex</v>
          </cell>
          <cell r="BA694">
            <v>1</v>
          </cell>
          <cell r="BB694" t="str">
            <v>326 - With Partition</v>
          </cell>
          <cell r="BC694" t="str">
            <v>With Partition</v>
          </cell>
          <cell r="BD694" t="str">
            <v>Flat</v>
          </cell>
          <cell r="BE694" t="str">
            <v>With Partition</v>
          </cell>
          <cell r="BF694" t="str">
            <v>PURPLE</v>
          </cell>
          <cell r="BG694">
            <v>2600000</v>
          </cell>
          <cell r="BH694">
            <v>2850000</v>
          </cell>
          <cell r="BI694">
            <v>100000</v>
          </cell>
          <cell r="BJ694">
            <v>2750000</v>
          </cell>
          <cell r="BK694">
            <v>0</v>
          </cell>
          <cell r="BL694">
            <v>2750000</v>
          </cell>
        </row>
        <row r="695">
          <cell r="D695" t="str">
            <v>OS</v>
          </cell>
          <cell r="E695"/>
          <cell r="F695">
            <v>675</v>
          </cell>
          <cell r="G695" t="str">
            <v>FOR CANCELLATION</v>
          </cell>
          <cell r="H695" t="str">
            <v>FOR CANCELLATION</v>
          </cell>
          <cell r="I695" t="str">
            <v>FOR CANCELLATION</v>
          </cell>
          <cell r="J695" t="str">
            <v>FOR CANCELLATION</v>
          </cell>
          <cell r="K695" t="str">
            <v>FOR CANCELLATION</v>
          </cell>
          <cell r="L695" t="str">
            <v>FOR CANCELLATION</v>
          </cell>
          <cell r="M695" t="str">
            <v>FOR CANCELLATION</v>
          </cell>
          <cell r="N695" t="str">
            <v>FOR CANCELLATION</v>
          </cell>
          <cell r="O695" t="str">
            <v>FOR CANCELLATION</v>
          </cell>
          <cell r="P695" t="str">
            <v>FOR CANCELLATION</v>
          </cell>
          <cell r="Q695" t="str">
            <v>FOR CANCELLATION</v>
          </cell>
          <cell r="R695" t="str">
            <v>FOR CANCELLATION</v>
          </cell>
          <cell r="S695" t="str">
            <v>FOR CANCELLATION</v>
          </cell>
          <cell r="T695" t="str">
            <v>FOR CANCELLATION</v>
          </cell>
          <cell r="U695" t="str">
            <v>TS</v>
          </cell>
          <cell r="V695" t="str">
            <v>OS</v>
          </cell>
          <cell r="W695" t="str">
            <v>TS</v>
          </cell>
          <cell r="X695" t="str">
            <v>OS</v>
          </cell>
          <cell r="Y695" t="str">
            <v>OS</v>
          </cell>
          <cell r="Z695" t="str">
            <v>OS</v>
          </cell>
          <cell r="AA695" t="str">
            <v>OS</v>
          </cell>
          <cell r="AB695" t="str">
            <v>OS</v>
          </cell>
          <cell r="AC695" t="str">
            <v>OS</v>
          </cell>
          <cell r="AD695" t="str">
            <v>AGM-01-029-017</v>
          </cell>
          <cell r="AE695" t="str">
            <v xml:space="preserve">Raemulan Lands, Inc. </v>
          </cell>
          <cell r="AF695" t="str">
            <v>Agapeya</v>
          </cell>
          <cell r="AG695" t="str">
            <v>AGM</v>
          </cell>
          <cell r="AH695" t="str">
            <v>Eco-High</v>
          </cell>
          <cell r="AI695" t="str">
            <v>West</v>
          </cell>
          <cell r="AJ695" t="str">
            <v>With LTS</v>
          </cell>
          <cell r="AK695" t="str">
            <v>Unaffected lots</v>
          </cell>
          <cell r="AL695" t="str">
            <v>Unaffected lots</v>
          </cell>
          <cell r="AM695" t="b">
            <v>1</v>
          </cell>
          <cell r="AN695" t="str">
            <v>YES</v>
          </cell>
          <cell r="AO695" t="str">
            <v>2024 Batch</v>
          </cell>
          <cell r="AP695">
            <v>70</v>
          </cell>
          <cell r="AQ695" t="str">
            <v>PCS-04-034298</v>
          </cell>
          <cell r="AR695" t="b">
            <v>1</v>
          </cell>
          <cell r="AS695" t="str">
            <v>Done</v>
          </cell>
          <cell r="AT695" t="str">
            <v>2024 Batch</v>
          </cell>
          <cell r="AU695">
            <v>29</v>
          </cell>
          <cell r="AV695">
            <v>17</v>
          </cell>
          <cell r="AW695" t="str">
            <v>H+L</v>
          </cell>
          <cell r="AX695">
            <v>70</v>
          </cell>
          <cell r="AY695">
            <v>50</v>
          </cell>
          <cell r="AZ695" t="str">
            <v>Duplex</v>
          </cell>
          <cell r="BA695">
            <v>1</v>
          </cell>
          <cell r="BB695" t="str">
            <v>326 - With Partition</v>
          </cell>
          <cell r="BC695" t="str">
            <v>With Partition</v>
          </cell>
          <cell r="BD695" t="str">
            <v>Slant</v>
          </cell>
          <cell r="BE695" t="str">
            <v>With Partition</v>
          </cell>
          <cell r="BF695" t="str">
            <v>PURPLE</v>
          </cell>
          <cell r="BG695">
            <v>2707500</v>
          </cell>
          <cell r="BH695">
            <v>2850000</v>
          </cell>
          <cell r="BI695">
            <v>100000</v>
          </cell>
          <cell r="BJ695">
            <v>2750000</v>
          </cell>
          <cell r="BK695">
            <v>0</v>
          </cell>
          <cell r="BL695">
            <v>2750000</v>
          </cell>
        </row>
        <row r="696">
          <cell r="D696" t="str">
            <v>OS</v>
          </cell>
          <cell r="E696"/>
          <cell r="F696">
            <v>676</v>
          </cell>
          <cell r="G696" t="str">
            <v>SOLD</v>
          </cell>
          <cell r="H696" t="str">
            <v>OPEN</v>
          </cell>
          <cell r="I696" t="str">
            <v>OPEN</v>
          </cell>
          <cell r="J696" t="str">
            <v>OPEN</v>
          </cell>
          <cell r="K696" t="str">
            <v>OPEN</v>
          </cell>
          <cell r="L696" t="str">
            <v>TS</v>
          </cell>
          <cell r="M696" t="str">
            <v>OPEN</v>
          </cell>
          <cell r="N696" t="str">
            <v>TS</v>
          </cell>
          <cell r="O696" t="str">
            <v>TS</v>
          </cell>
          <cell r="P696" t="str">
            <v>TS</v>
          </cell>
          <cell r="Q696" t="str">
            <v>TS</v>
          </cell>
          <cell r="R696" t="str">
            <v>TS</v>
          </cell>
          <cell r="S696" t="str">
            <v>TS</v>
          </cell>
          <cell r="T696" t="str">
            <v>TS</v>
          </cell>
          <cell r="U696" t="str">
            <v>OS</v>
          </cell>
          <cell r="V696" t="str">
            <v>OS</v>
          </cell>
          <cell r="W696" t="str">
            <v>OS</v>
          </cell>
          <cell r="X696" t="str">
            <v>OS</v>
          </cell>
          <cell r="Y696" t="str">
            <v>OS</v>
          </cell>
          <cell r="Z696" t="str">
            <v>OS</v>
          </cell>
          <cell r="AA696" t="str">
            <v>OS</v>
          </cell>
          <cell r="AB696" t="str">
            <v>OS</v>
          </cell>
          <cell r="AC696" t="str">
            <v>OS</v>
          </cell>
          <cell r="AD696" t="str">
            <v>AGM-01-029-018</v>
          </cell>
          <cell r="AE696" t="str">
            <v xml:space="preserve">Raemulan Lands, Inc. </v>
          </cell>
          <cell r="AF696" t="str">
            <v>Agapeya</v>
          </cell>
          <cell r="AG696" t="str">
            <v>AGM</v>
          </cell>
          <cell r="AH696" t="str">
            <v>Eco-High</v>
          </cell>
          <cell r="AI696" t="str">
            <v>West</v>
          </cell>
          <cell r="AJ696" t="str">
            <v>With LTS</v>
          </cell>
          <cell r="AK696" t="str">
            <v>Unaffected lots</v>
          </cell>
          <cell r="AL696" t="str">
            <v>Unaffected lots</v>
          </cell>
          <cell r="AM696" t="b">
            <v>1</v>
          </cell>
          <cell r="AN696" t="str">
            <v>YES</v>
          </cell>
          <cell r="AO696" t="str">
            <v>2024 Batch</v>
          </cell>
          <cell r="AP696">
            <v>81</v>
          </cell>
          <cell r="AQ696" t="str">
            <v>PCS-04-034298</v>
          </cell>
          <cell r="AR696" t="b">
            <v>1</v>
          </cell>
          <cell r="AS696" t="str">
            <v>Done</v>
          </cell>
          <cell r="AT696" t="str">
            <v>2024 Batch</v>
          </cell>
          <cell r="AU696">
            <v>29</v>
          </cell>
          <cell r="AV696">
            <v>18</v>
          </cell>
          <cell r="AW696" t="str">
            <v>H+L</v>
          </cell>
          <cell r="AX696">
            <v>81</v>
          </cell>
          <cell r="AY696">
            <v>50</v>
          </cell>
          <cell r="AZ696" t="str">
            <v>Duplex</v>
          </cell>
          <cell r="BA696">
            <v>1</v>
          </cell>
          <cell r="BB696" t="str">
            <v>326 - With Partition</v>
          </cell>
          <cell r="BC696" t="str">
            <v>With Partition</v>
          </cell>
          <cell r="BD696" t="str">
            <v>Flat</v>
          </cell>
          <cell r="BE696" t="str">
            <v>With Partition</v>
          </cell>
          <cell r="BF696" t="str">
            <v>PURPLE</v>
          </cell>
          <cell r="BG696">
            <v>2850000</v>
          </cell>
          <cell r="BH696">
            <v>3015000</v>
          </cell>
          <cell r="BI696">
            <v>100000</v>
          </cell>
          <cell r="BJ696">
            <v>2915000</v>
          </cell>
          <cell r="BK696">
            <v>0</v>
          </cell>
          <cell r="BL696">
            <v>2915000</v>
          </cell>
        </row>
        <row r="697">
          <cell r="D697" t="str">
            <v>OS</v>
          </cell>
          <cell r="E697"/>
          <cell r="F697">
            <v>677</v>
          </cell>
          <cell r="G697" t="str">
            <v>FOR CANCELLATION</v>
          </cell>
          <cell r="H697" t="str">
            <v>FOR CANCELLATION</v>
          </cell>
          <cell r="I697" t="str">
            <v>FOR CANCELLATION</v>
          </cell>
          <cell r="J697" t="str">
            <v>FOR CANCELLATION</v>
          </cell>
          <cell r="K697" t="str">
            <v>FOR CANCELLATION</v>
          </cell>
          <cell r="L697" t="str">
            <v>FOR CANCELLATION</v>
          </cell>
          <cell r="M697" t="str">
            <v>FOR CANCELLATION</v>
          </cell>
          <cell r="N697" t="str">
            <v>TS</v>
          </cell>
          <cell r="O697" t="str">
            <v>TS</v>
          </cell>
          <cell r="P697" t="str">
            <v>TS</v>
          </cell>
          <cell r="Q697" t="str">
            <v>TS</v>
          </cell>
          <cell r="R697" t="str">
            <v>TS</v>
          </cell>
          <cell r="S697" t="str">
            <v>TS</v>
          </cell>
          <cell r="T697" t="str">
            <v>TS</v>
          </cell>
          <cell r="U697" t="str">
            <v>OS</v>
          </cell>
          <cell r="V697" t="str">
            <v>OS</v>
          </cell>
          <cell r="W697" t="str">
            <v>OS</v>
          </cell>
          <cell r="X697" t="str">
            <v>OS</v>
          </cell>
          <cell r="Y697" t="str">
            <v>OS</v>
          </cell>
          <cell r="Z697" t="str">
            <v>OS</v>
          </cell>
          <cell r="AA697" t="str">
            <v>OS</v>
          </cell>
          <cell r="AB697" t="str">
            <v>OS</v>
          </cell>
          <cell r="AC697" t="str">
            <v>OS</v>
          </cell>
          <cell r="AD697" t="str">
            <v>AGM-01-029-019</v>
          </cell>
          <cell r="AE697" t="str">
            <v xml:space="preserve">Raemulan Lands, Inc. </v>
          </cell>
          <cell r="AF697" t="str">
            <v>Agapeya</v>
          </cell>
          <cell r="AG697" t="str">
            <v>AGM</v>
          </cell>
          <cell r="AH697" t="str">
            <v>Eco-High</v>
          </cell>
          <cell r="AI697" t="str">
            <v>West</v>
          </cell>
          <cell r="AJ697" t="str">
            <v>With LTS</v>
          </cell>
          <cell r="AK697" t="str">
            <v>Unaffected lots</v>
          </cell>
          <cell r="AL697" t="str">
            <v>Unaffected lots</v>
          </cell>
          <cell r="AM697" t="b">
            <v>1</v>
          </cell>
          <cell r="AN697" t="str">
            <v>YES</v>
          </cell>
          <cell r="AO697" t="str">
            <v>2024 Batch</v>
          </cell>
          <cell r="AP697">
            <v>81</v>
          </cell>
          <cell r="AQ697" t="str">
            <v>PCS-04-034298</v>
          </cell>
          <cell r="AR697" t="b">
            <v>1</v>
          </cell>
          <cell r="AS697" t="str">
            <v>Done</v>
          </cell>
          <cell r="AT697" t="str">
            <v>2024 Batch</v>
          </cell>
          <cell r="AU697">
            <v>29</v>
          </cell>
          <cell r="AV697">
            <v>19</v>
          </cell>
          <cell r="AW697" t="str">
            <v>H+L</v>
          </cell>
          <cell r="AX697">
            <v>81</v>
          </cell>
          <cell r="AY697">
            <v>50</v>
          </cell>
          <cell r="AZ697" t="str">
            <v>Duplex</v>
          </cell>
          <cell r="BA697">
            <v>1</v>
          </cell>
          <cell r="BB697" t="str">
            <v>326 - With Partition</v>
          </cell>
          <cell r="BC697" t="str">
            <v>With Partition</v>
          </cell>
          <cell r="BD697" t="str">
            <v>Slant</v>
          </cell>
          <cell r="BE697" t="str">
            <v>With Partition</v>
          </cell>
          <cell r="BF697" t="str">
            <v>PINK</v>
          </cell>
          <cell r="BG697">
            <v>2850000</v>
          </cell>
          <cell r="BH697">
            <v>3015000</v>
          </cell>
          <cell r="BI697">
            <v>100000</v>
          </cell>
          <cell r="BJ697">
            <v>2915000</v>
          </cell>
          <cell r="BK697">
            <v>0</v>
          </cell>
          <cell r="BL697">
            <v>2915000</v>
          </cell>
        </row>
        <row r="698">
          <cell r="D698" t="str">
            <v>OS</v>
          </cell>
          <cell r="E698"/>
          <cell r="F698">
            <v>678</v>
          </cell>
          <cell r="G698" t="str">
            <v>SOLD</v>
          </cell>
          <cell r="H698" t="str">
            <v>OS</v>
          </cell>
          <cell r="I698" t="str">
            <v>OS</v>
          </cell>
          <cell r="J698" t="str">
            <v>OS</v>
          </cell>
          <cell r="K698" t="str">
            <v>OS</v>
          </cell>
          <cell r="L698" t="str">
            <v>OS</v>
          </cell>
          <cell r="M698" t="str">
            <v>OS</v>
          </cell>
          <cell r="N698" t="str">
            <v>OS</v>
          </cell>
          <cell r="O698" t="str">
            <v>OS</v>
          </cell>
          <cell r="P698" t="str">
            <v>OS</v>
          </cell>
          <cell r="Q698" t="str">
            <v>OS</v>
          </cell>
          <cell r="R698" t="str">
            <v>OS</v>
          </cell>
          <cell r="S698" t="str">
            <v>OS</v>
          </cell>
          <cell r="T698" t="str">
            <v>OS</v>
          </cell>
          <cell r="U698" t="str">
            <v>OS</v>
          </cell>
          <cell r="V698" t="str">
            <v>OS</v>
          </cell>
          <cell r="W698" t="str">
            <v>OS</v>
          </cell>
          <cell r="X698" t="str">
            <v>OS</v>
          </cell>
          <cell r="Y698" t="str">
            <v>OS</v>
          </cell>
          <cell r="Z698" t="str">
            <v>OS</v>
          </cell>
          <cell r="AA698" t="str">
            <v>OS</v>
          </cell>
          <cell r="AB698" t="str">
            <v>OS</v>
          </cell>
          <cell r="AC698" t="str">
            <v>OS</v>
          </cell>
          <cell r="AD698" t="str">
            <v>AGM-01-029-020</v>
          </cell>
          <cell r="AE698" t="str">
            <v xml:space="preserve">Raemulan Lands, Inc. </v>
          </cell>
          <cell r="AF698" t="str">
            <v>Agapeya</v>
          </cell>
          <cell r="AG698" t="str">
            <v>AGM</v>
          </cell>
          <cell r="AH698" t="str">
            <v>Eco-High</v>
          </cell>
          <cell r="AI698" t="str">
            <v>West</v>
          </cell>
          <cell r="AJ698" t="str">
            <v>With LTS</v>
          </cell>
          <cell r="AK698" t="str">
            <v>Unaffected lots</v>
          </cell>
          <cell r="AL698" t="str">
            <v>Unaffected lots</v>
          </cell>
          <cell r="AM698" t="b">
            <v>1</v>
          </cell>
          <cell r="AN698" t="str">
            <v>YES</v>
          </cell>
          <cell r="AO698" t="str">
            <v>2024 Batch</v>
          </cell>
          <cell r="AP698">
            <v>70</v>
          </cell>
          <cell r="AQ698" t="str">
            <v>PCS-04-034298</v>
          </cell>
          <cell r="AR698" t="b">
            <v>1</v>
          </cell>
          <cell r="AS698" t="str">
            <v>Done</v>
          </cell>
          <cell r="AT698" t="str">
            <v>2024 Batch</v>
          </cell>
          <cell r="AU698">
            <v>29</v>
          </cell>
          <cell r="AV698">
            <v>20</v>
          </cell>
          <cell r="AW698" t="str">
            <v>H+L</v>
          </cell>
          <cell r="AX698">
            <v>70</v>
          </cell>
          <cell r="AY698">
            <v>50</v>
          </cell>
          <cell r="AZ698" t="str">
            <v>Duplex</v>
          </cell>
          <cell r="BA698">
            <v>1</v>
          </cell>
          <cell r="BB698" t="str">
            <v>326 - With Partition</v>
          </cell>
          <cell r="BC698" t="str">
            <v>With Partition</v>
          </cell>
          <cell r="BD698" t="str">
            <v>Flat</v>
          </cell>
          <cell r="BE698" t="str">
            <v>With Partition</v>
          </cell>
          <cell r="BF698" t="str">
            <v>PINK</v>
          </cell>
          <cell r="BG698">
            <v>2707500</v>
          </cell>
          <cell r="BH698">
            <v>2850000</v>
          </cell>
          <cell r="BI698">
            <v>100000</v>
          </cell>
          <cell r="BJ698">
            <v>2750000</v>
          </cell>
          <cell r="BK698">
            <v>0</v>
          </cell>
          <cell r="BL698">
            <v>2750000</v>
          </cell>
        </row>
        <row r="699">
          <cell r="D699" t="str">
            <v>OS</v>
          </cell>
          <cell r="E699"/>
          <cell r="F699">
            <v>679</v>
          </cell>
          <cell r="G699" t="str">
            <v>FOR CANCELLATION</v>
          </cell>
          <cell r="H699" t="str">
            <v>TS</v>
          </cell>
          <cell r="I699" t="str">
            <v>TS</v>
          </cell>
          <cell r="J699" t="str">
            <v>OS</v>
          </cell>
          <cell r="K699" t="str">
            <v>OS</v>
          </cell>
          <cell r="L699" t="str">
            <v>OS</v>
          </cell>
          <cell r="M699" t="str">
            <v>OS</v>
          </cell>
          <cell r="N699" t="str">
            <v>OS</v>
          </cell>
          <cell r="O699" t="str">
            <v>OS</v>
          </cell>
          <cell r="P699" t="str">
            <v>OS</v>
          </cell>
          <cell r="Q699" t="str">
            <v>OS</v>
          </cell>
          <cell r="R699" t="str">
            <v>OS</v>
          </cell>
          <cell r="S699" t="str">
            <v>OS</v>
          </cell>
          <cell r="T699" t="str">
            <v>OS</v>
          </cell>
          <cell r="U699" t="str">
            <v>OS</v>
          </cell>
          <cell r="V699" t="str">
            <v>OS</v>
          </cell>
          <cell r="W699" t="str">
            <v>OS</v>
          </cell>
          <cell r="X699" t="str">
            <v>OS</v>
          </cell>
          <cell r="Y699" t="str">
            <v>OS</v>
          </cell>
          <cell r="Z699" t="str">
            <v>OS</v>
          </cell>
          <cell r="AA699" t="str">
            <v>OS</v>
          </cell>
          <cell r="AB699" t="str">
            <v>TS</v>
          </cell>
          <cell r="AC699" t="str">
            <v>TS</v>
          </cell>
          <cell r="AD699" t="str">
            <v>AGM-01-029-021</v>
          </cell>
          <cell r="AE699" t="str">
            <v xml:space="preserve">Raemulan Lands, Inc. </v>
          </cell>
          <cell r="AF699" t="str">
            <v>Agapeya</v>
          </cell>
          <cell r="AG699" t="str">
            <v>AGM</v>
          </cell>
          <cell r="AH699" t="str">
            <v>Eco-High</v>
          </cell>
          <cell r="AI699" t="str">
            <v>West</v>
          </cell>
          <cell r="AJ699" t="str">
            <v>With LTS</v>
          </cell>
          <cell r="AK699" t="str">
            <v>Unaffected lots</v>
          </cell>
          <cell r="AL699" t="str">
            <v>Unaffected lots</v>
          </cell>
          <cell r="AM699" t="b">
            <v>1</v>
          </cell>
          <cell r="AN699" t="str">
            <v>YES</v>
          </cell>
          <cell r="AO699" t="str">
            <v>2024 Batch</v>
          </cell>
          <cell r="AP699">
            <v>70</v>
          </cell>
          <cell r="AQ699" t="str">
            <v>PCS-04-034298</v>
          </cell>
          <cell r="AR699" t="b">
            <v>1</v>
          </cell>
          <cell r="AS699" t="str">
            <v>Done</v>
          </cell>
          <cell r="AT699" t="str">
            <v>2024 Batch</v>
          </cell>
          <cell r="AU699">
            <v>29</v>
          </cell>
          <cell r="AV699">
            <v>21</v>
          </cell>
          <cell r="AW699" t="str">
            <v>H+L</v>
          </cell>
          <cell r="AX699">
            <v>70</v>
          </cell>
          <cell r="AY699">
            <v>50</v>
          </cell>
          <cell r="AZ699" t="str">
            <v>Duplex</v>
          </cell>
          <cell r="BA699">
            <v>1</v>
          </cell>
          <cell r="BB699" t="str">
            <v>326 - With Partition</v>
          </cell>
          <cell r="BC699" t="str">
            <v>With Partition</v>
          </cell>
          <cell r="BD699" t="str">
            <v>Flat</v>
          </cell>
          <cell r="BE699" t="str">
            <v>With Partition</v>
          </cell>
          <cell r="BF699" t="str">
            <v>PINK</v>
          </cell>
          <cell r="BG699">
            <v>2707500</v>
          </cell>
          <cell r="BH699">
            <v>2850000</v>
          </cell>
          <cell r="BI699">
            <v>100000</v>
          </cell>
          <cell r="BJ699">
            <v>2750000</v>
          </cell>
          <cell r="BK699">
            <v>0</v>
          </cell>
          <cell r="BL699">
            <v>2750000</v>
          </cell>
        </row>
        <row r="700">
          <cell r="D700" t="str">
            <v>OPEN</v>
          </cell>
          <cell r="E700"/>
          <cell r="F700">
            <v>680</v>
          </cell>
          <cell r="G700" t="str">
            <v>SOLD</v>
          </cell>
          <cell r="H700" t="str">
            <v>OS</v>
          </cell>
          <cell r="I700" t="str">
            <v>OS</v>
          </cell>
          <cell r="J700" t="str">
            <v>OS</v>
          </cell>
          <cell r="K700" t="str">
            <v>OS</v>
          </cell>
          <cell r="L700" t="str">
            <v>OS</v>
          </cell>
          <cell r="M700" t="str">
            <v>OS</v>
          </cell>
          <cell r="N700" t="str">
            <v>OPEN</v>
          </cell>
          <cell r="O700" t="str">
            <v>OPEN</v>
          </cell>
          <cell r="P700" t="str">
            <v>OPEN</v>
          </cell>
          <cell r="Q700" t="str">
            <v>OPEN</v>
          </cell>
          <cell r="R700" t="str">
            <v>OPEN</v>
          </cell>
          <cell r="S700" t="str">
            <v>OPEN</v>
          </cell>
          <cell r="T700" t="str">
            <v>OPEN</v>
          </cell>
          <cell r="U700" t="str">
            <v>OPEN</v>
          </cell>
          <cell r="V700" t="str">
            <v>OPEN</v>
          </cell>
          <cell r="W700" t="str">
            <v>OPEN</v>
          </cell>
          <cell r="X700" t="str">
            <v>OPEN</v>
          </cell>
          <cell r="Y700" t="str">
            <v>OPEN</v>
          </cell>
          <cell r="Z700" t="str">
            <v>OPEN</v>
          </cell>
          <cell r="AA700" t="str">
            <v>OPEN</v>
          </cell>
          <cell r="AB700" t="str">
            <v>OPEN</v>
          </cell>
          <cell r="AC700" t="str">
            <v>OPEN</v>
          </cell>
          <cell r="AD700" t="str">
            <v>AGM-01-029-022</v>
          </cell>
          <cell r="AE700" t="str">
            <v xml:space="preserve">Raemulan Lands, Inc. </v>
          </cell>
          <cell r="AF700" t="str">
            <v>Agapeya</v>
          </cell>
          <cell r="AG700" t="str">
            <v>AGM</v>
          </cell>
          <cell r="AH700" t="str">
            <v>Eco-High</v>
          </cell>
          <cell r="AI700" t="str">
            <v>West</v>
          </cell>
          <cell r="AJ700" t="str">
            <v>With LTS</v>
          </cell>
          <cell r="AK700" t="str">
            <v>Unaffected lots</v>
          </cell>
          <cell r="AL700" t="str">
            <v>Unaffected lots</v>
          </cell>
          <cell r="AM700" t="b">
            <v>1</v>
          </cell>
          <cell r="AN700" t="str">
            <v>YES</v>
          </cell>
          <cell r="AO700" t="str">
            <v>2024 Batch</v>
          </cell>
          <cell r="AP700">
            <v>70</v>
          </cell>
          <cell r="AQ700" t="str">
            <v>PCS-04-034298</v>
          </cell>
          <cell r="AR700" t="b">
            <v>1</v>
          </cell>
          <cell r="AS700" t="str">
            <v>Done</v>
          </cell>
          <cell r="AT700" t="str">
            <v>2024 Batch</v>
          </cell>
          <cell r="AU700">
            <v>29</v>
          </cell>
          <cell r="AV700">
            <v>22</v>
          </cell>
          <cell r="AW700" t="str">
            <v>H+L</v>
          </cell>
          <cell r="AX700">
            <v>70</v>
          </cell>
          <cell r="AY700">
            <v>50</v>
          </cell>
          <cell r="AZ700" t="str">
            <v>Duplex</v>
          </cell>
          <cell r="BA700">
            <v>1</v>
          </cell>
          <cell r="BB700" t="str">
            <v>326 - With Partition</v>
          </cell>
          <cell r="BC700" t="str">
            <v>With Partition</v>
          </cell>
          <cell r="BD700" t="str">
            <v>Slant</v>
          </cell>
          <cell r="BE700" t="str">
            <v>With Partition</v>
          </cell>
          <cell r="BF700" t="str">
            <v>PINK</v>
          </cell>
          <cell r="BG700">
            <v>2500000</v>
          </cell>
          <cell r="BH700">
            <v>2850000</v>
          </cell>
          <cell r="BI700">
            <v>100000</v>
          </cell>
          <cell r="BJ700">
            <v>2750000</v>
          </cell>
          <cell r="BK700">
            <v>0</v>
          </cell>
          <cell r="BL700">
            <v>2750000</v>
          </cell>
        </row>
        <row r="701">
          <cell r="D701" t="str">
            <v>OS</v>
          </cell>
          <cell r="E701"/>
          <cell r="F701">
            <v>681</v>
          </cell>
          <cell r="G701" t="str">
            <v>SOLD</v>
          </cell>
          <cell r="H701" t="str">
            <v>OS</v>
          </cell>
          <cell r="I701" t="str">
            <v>OS</v>
          </cell>
          <cell r="J701" t="str">
            <v>OS</v>
          </cell>
          <cell r="K701" t="str">
            <v>OS</v>
          </cell>
          <cell r="L701" t="str">
            <v>OS</v>
          </cell>
          <cell r="M701" t="str">
            <v>OS</v>
          </cell>
          <cell r="N701" t="str">
            <v>OS</v>
          </cell>
          <cell r="O701" t="str">
            <v>OS</v>
          </cell>
          <cell r="P701" t="str">
            <v>OS</v>
          </cell>
          <cell r="Q701" t="str">
            <v>OS</v>
          </cell>
          <cell r="R701" t="str">
            <v>OS</v>
          </cell>
          <cell r="S701" t="str">
            <v>OS</v>
          </cell>
          <cell r="T701" t="str">
            <v>OS</v>
          </cell>
          <cell r="U701" t="str">
            <v>OS</v>
          </cell>
          <cell r="V701" t="str">
            <v>OS</v>
          </cell>
          <cell r="W701" t="str">
            <v>OS</v>
          </cell>
          <cell r="X701" t="str">
            <v>OS</v>
          </cell>
          <cell r="Y701" t="str">
            <v>OS</v>
          </cell>
          <cell r="Z701" t="str">
            <v>OS</v>
          </cell>
          <cell r="AA701" t="str">
            <v>OS</v>
          </cell>
          <cell r="AB701" t="str">
            <v>OS</v>
          </cell>
          <cell r="AC701" t="str">
            <v>OS</v>
          </cell>
          <cell r="AD701" t="str">
            <v>AGM-01-029-023</v>
          </cell>
          <cell r="AE701" t="str">
            <v xml:space="preserve">Raemulan Lands, Inc. </v>
          </cell>
          <cell r="AF701" t="str">
            <v>Agapeya</v>
          </cell>
          <cell r="AG701" t="str">
            <v>AGM</v>
          </cell>
          <cell r="AH701" t="str">
            <v>Eco-High</v>
          </cell>
          <cell r="AI701" t="str">
            <v>West</v>
          </cell>
          <cell r="AJ701" t="str">
            <v>With LTS</v>
          </cell>
          <cell r="AK701" t="str">
            <v>Unaffected lots</v>
          </cell>
          <cell r="AL701" t="str">
            <v>Unaffected lots</v>
          </cell>
          <cell r="AM701" t="b">
            <v>1</v>
          </cell>
          <cell r="AN701" t="str">
            <v>YES</v>
          </cell>
          <cell r="AO701" t="str">
            <v>2024 Batch</v>
          </cell>
          <cell r="AP701">
            <v>70</v>
          </cell>
          <cell r="AQ701" t="str">
            <v>PCS-04-034298</v>
          </cell>
          <cell r="AR701" t="b">
            <v>1</v>
          </cell>
          <cell r="AS701" t="str">
            <v>Done</v>
          </cell>
          <cell r="AT701" t="str">
            <v>2024 Batch</v>
          </cell>
          <cell r="AU701">
            <v>29</v>
          </cell>
          <cell r="AV701">
            <v>23</v>
          </cell>
          <cell r="AW701" t="str">
            <v>H+L</v>
          </cell>
          <cell r="AX701">
            <v>70</v>
          </cell>
          <cell r="AY701">
            <v>50</v>
          </cell>
          <cell r="AZ701" t="str">
            <v>Duplex</v>
          </cell>
          <cell r="BA701">
            <v>1</v>
          </cell>
          <cell r="BB701" t="str">
            <v>326 - With Partition</v>
          </cell>
          <cell r="BC701" t="str">
            <v>With Partition</v>
          </cell>
          <cell r="BD701" t="str">
            <v>Slant</v>
          </cell>
          <cell r="BE701" t="str">
            <v>With Partition</v>
          </cell>
          <cell r="BF701" t="str">
            <v>PURPLE</v>
          </cell>
          <cell r="BG701">
            <v>2707500</v>
          </cell>
          <cell r="BH701">
            <v>2850000</v>
          </cell>
          <cell r="BI701">
            <v>100000</v>
          </cell>
          <cell r="BJ701">
            <v>2750000</v>
          </cell>
          <cell r="BK701">
            <v>0</v>
          </cell>
          <cell r="BL701">
            <v>2750000</v>
          </cell>
        </row>
        <row r="702">
          <cell r="D702" t="str">
            <v>OPEN</v>
          </cell>
          <cell r="E702"/>
          <cell r="F702">
            <v>682</v>
          </cell>
          <cell r="G702" t="str">
            <v>SOLD</v>
          </cell>
          <cell r="H702" t="str">
            <v>OS</v>
          </cell>
          <cell r="I702" t="str">
            <v>OS</v>
          </cell>
          <cell r="J702" t="str">
            <v>OS</v>
          </cell>
          <cell r="K702" t="str">
            <v>OS</v>
          </cell>
          <cell r="L702" t="str">
            <v>OS</v>
          </cell>
          <cell r="M702" t="str">
            <v>OS</v>
          </cell>
          <cell r="N702" t="str">
            <v>OS</v>
          </cell>
          <cell r="O702" t="str">
            <v>OS</v>
          </cell>
          <cell r="P702" t="str">
            <v>OS</v>
          </cell>
          <cell r="Q702" t="str">
            <v>OS</v>
          </cell>
          <cell r="R702" t="str">
            <v>OS</v>
          </cell>
          <cell r="S702" t="str">
            <v>OS</v>
          </cell>
          <cell r="T702" t="str">
            <v>OS</v>
          </cell>
          <cell r="U702" t="str">
            <v>OS</v>
          </cell>
          <cell r="V702" t="str">
            <v>OS</v>
          </cell>
          <cell r="W702" t="str">
            <v>OS</v>
          </cell>
          <cell r="X702" t="str">
            <v>FOR CANCELLATION</v>
          </cell>
          <cell r="Y702" t="str">
            <v>FOR CANCELLATION</v>
          </cell>
          <cell r="Z702" t="str">
            <v>OPEN</v>
          </cell>
          <cell r="AA702" t="str">
            <v>OPEN</v>
          </cell>
          <cell r="AB702" t="str">
            <v>FOR CANCELLATION</v>
          </cell>
          <cell r="AC702" t="str">
            <v>FOR CANCELLATION</v>
          </cell>
          <cell r="AD702" t="str">
            <v>AGM-01-029-024</v>
          </cell>
          <cell r="AE702" t="str">
            <v xml:space="preserve">Raemulan Lands, Inc. </v>
          </cell>
          <cell r="AF702" t="str">
            <v>Agapeya</v>
          </cell>
          <cell r="AG702" t="str">
            <v>AGM</v>
          </cell>
          <cell r="AH702" t="str">
            <v>Eco-High</v>
          </cell>
          <cell r="AI702" t="str">
            <v>West</v>
          </cell>
          <cell r="AJ702" t="str">
            <v>With LTS</v>
          </cell>
          <cell r="AK702" t="str">
            <v>Unaffected lots</v>
          </cell>
          <cell r="AL702" t="str">
            <v>Unaffected lots</v>
          </cell>
          <cell r="AM702" t="b">
            <v>1</v>
          </cell>
          <cell r="AN702" t="str">
            <v>YES</v>
          </cell>
          <cell r="AO702" t="str">
            <v>2024 Batch</v>
          </cell>
          <cell r="AP702">
            <v>70</v>
          </cell>
          <cell r="AQ702" t="str">
            <v>PCS-04-034298</v>
          </cell>
          <cell r="AR702" t="b">
            <v>1</v>
          </cell>
          <cell r="AS702" t="str">
            <v>Done</v>
          </cell>
          <cell r="AT702" t="str">
            <v>2024 Batch</v>
          </cell>
          <cell r="AU702">
            <v>29</v>
          </cell>
          <cell r="AV702">
            <v>24</v>
          </cell>
          <cell r="AW702" t="str">
            <v>H+L</v>
          </cell>
          <cell r="AX702">
            <v>70</v>
          </cell>
          <cell r="AY702">
            <v>50</v>
          </cell>
          <cell r="AZ702" t="str">
            <v>Duplex</v>
          </cell>
          <cell r="BA702">
            <v>1</v>
          </cell>
          <cell r="BB702" t="str">
            <v>326 - With Partition</v>
          </cell>
          <cell r="BC702" t="str">
            <v>With Partition</v>
          </cell>
          <cell r="BD702" t="str">
            <v>Flat</v>
          </cell>
          <cell r="BE702" t="str">
            <v>With Partition</v>
          </cell>
          <cell r="BF702" t="str">
            <v>PURPLE</v>
          </cell>
          <cell r="BG702">
            <v>2707500</v>
          </cell>
          <cell r="BH702">
            <v>2850000</v>
          </cell>
          <cell r="BI702">
            <v>100000</v>
          </cell>
          <cell r="BJ702">
            <v>2750000</v>
          </cell>
          <cell r="BK702">
            <v>0</v>
          </cell>
          <cell r="BL702">
            <v>2750000</v>
          </cell>
        </row>
        <row r="703">
          <cell r="D703" t="str">
            <v>OS</v>
          </cell>
          <cell r="E703"/>
          <cell r="F703">
            <v>683</v>
          </cell>
          <cell r="G703" t="str">
            <v>SOLD</v>
          </cell>
          <cell r="H703" t="str">
            <v>OS</v>
          </cell>
          <cell r="I703" t="str">
            <v>OS</v>
          </cell>
          <cell r="J703" t="str">
            <v>OS</v>
          </cell>
          <cell r="K703" t="str">
            <v>OS</v>
          </cell>
          <cell r="L703" t="str">
            <v>OS</v>
          </cell>
          <cell r="M703" t="str">
            <v>OS</v>
          </cell>
          <cell r="N703" t="str">
            <v>OS</v>
          </cell>
          <cell r="O703" t="str">
            <v>OS</v>
          </cell>
          <cell r="P703" t="str">
            <v>OS</v>
          </cell>
          <cell r="Q703" t="str">
            <v>OS</v>
          </cell>
          <cell r="R703" t="str">
            <v>OS</v>
          </cell>
          <cell r="S703" t="str">
            <v>OS</v>
          </cell>
          <cell r="T703" t="str">
            <v>OS</v>
          </cell>
          <cell r="U703" t="str">
            <v>OS</v>
          </cell>
          <cell r="V703" t="str">
            <v>OS</v>
          </cell>
          <cell r="W703" t="str">
            <v>OS</v>
          </cell>
          <cell r="X703" t="str">
            <v>OS</v>
          </cell>
          <cell r="Y703" t="str">
            <v>OS</v>
          </cell>
          <cell r="Z703" t="str">
            <v>OS</v>
          </cell>
          <cell r="AA703" t="str">
            <v>OS</v>
          </cell>
          <cell r="AB703" t="str">
            <v>OS</v>
          </cell>
          <cell r="AC703" t="str">
            <v>OS</v>
          </cell>
          <cell r="AD703" t="str">
            <v>AGM-01-029-025</v>
          </cell>
          <cell r="AE703" t="str">
            <v xml:space="preserve">Raemulan Lands, Inc. </v>
          </cell>
          <cell r="AF703" t="str">
            <v>Agapeya</v>
          </cell>
          <cell r="AG703" t="str">
            <v>AGM</v>
          </cell>
          <cell r="AH703" t="str">
            <v>Eco-High</v>
          </cell>
          <cell r="AI703" t="str">
            <v>West</v>
          </cell>
          <cell r="AJ703" t="str">
            <v>With LTS</v>
          </cell>
          <cell r="AK703" t="str">
            <v>Unaffected lots</v>
          </cell>
          <cell r="AL703" t="str">
            <v>Unaffected lots</v>
          </cell>
          <cell r="AM703" t="b">
            <v>1</v>
          </cell>
          <cell r="AN703" t="str">
            <v>YES</v>
          </cell>
          <cell r="AO703" t="str">
            <v>2024 Batch</v>
          </cell>
          <cell r="AP703">
            <v>70</v>
          </cell>
          <cell r="AQ703" t="str">
            <v>PCS-04-034298</v>
          </cell>
          <cell r="AR703" t="b">
            <v>1</v>
          </cell>
          <cell r="AS703" t="str">
            <v>Done</v>
          </cell>
          <cell r="AT703" t="str">
            <v>2024 Batch</v>
          </cell>
          <cell r="AU703">
            <v>29</v>
          </cell>
          <cell r="AV703">
            <v>25</v>
          </cell>
          <cell r="AW703" t="str">
            <v>H+L</v>
          </cell>
          <cell r="AX703">
            <v>70</v>
          </cell>
          <cell r="AY703">
            <v>50</v>
          </cell>
          <cell r="AZ703" t="str">
            <v>Duplex</v>
          </cell>
          <cell r="BA703">
            <v>1</v>
          </cell>
          <cell r="BB703" t="str">
            <v>326 - With Partition</v>
          </cell>
          <cell r="BC703" t="str">
            <v>With Partition</v>
          </cell>
          <cell r="BD703" t="str">
            <v>Flat</v>
          </cell>
          <cell r="BE703" t="str">
            <v>With Partition</v>
          </cell>
          <cell r="BF703" t="str">
            <v>PURPLE</v>
          </cell>
          <cell r="BG703">
            <v>2707500</v>
          </cell>
          <cell r="BH703">
            <v>2850000</v>
          </cell>
          <cell r="BI703">
            <v>100000</v>
          </cell>
          <cell r="BJ703">
            <v>2750000</v>
          </cell>
          <cell r="BK703">
            <v>0</v>
          </cell>
          <cell r="BL703">
            <v>2750000</v>
          </cell>
        </row>
        <row r="704">
          <cell r="D704" t="str">
            <v>OS</v>
          </cell>
          <cell r="E704"/>
          <cell r="F704">
            <v>684</v>
          </cell>
          <cell r="G704" t="str">
            <v>SOLD</v>
          </cell>
          <cell r="H704" t="str">
            <v>OS</v>
          </cell>
          <cell r="I704" t="str">
            <v>OS</v>
          </cell>
          <cell r="J704" t="str">
            <v>OS</v>
          </cell>
          <cell r="K704" t="str">
            <v>OS</v>
          </cell>
          <cell r="L704" t="str">
            <v>OS</v>
          </cell>
          <cell r="M704" t="str">
            <v>OS</v>
          </cell>
          <cell r="N704" t="str">
            <v>OS</v>
          </cell>
          <cell r="O704" t="str">
            <v>OS</v>
          </cell>
          <cell r="P704" t="str">
            <v>OS</v>
          </cell>
          <cell r="Q704" t="str">
            <v>OS</v>
          </cell>
          <cell r="R704" t="str">
            <v>OS</v>
          </cell>
          <cell r="S704" t="str">
            <v>OS</v>
          </cell>
          <cell r="T704" t="str">
            <v>OS</v>
          </cell>
          <cell r="U704" t="str">
            <v>OS</v>
          </cell>
          <cell r="V704" t="str">
            <v>OS</v>
          </cell>
          <cell r="W704" t="str">
            <v>OS</v>
          </cell>
          <cell r="X704" t="str">
            <v>OS</v>
          </cell>
          <cell r="Y704" t="str">
            <v>OS</v>
          </cell>
          <cell r="Z704" t="str">
            <v>OS</v>
          </cell>
          <cell r="AA704" t="str">
            <v>OS</v>
          </cell>
          <cell r="AB704" t="str">
            <v>OS</v>
          </cell>
          <cell r="AC704" t="str">
            <v>OS</v>
          </cell>
          <cell r="AD704" t="str">
            <v>AGM-01-029-026</v>
          </cell>
          <cell r="AE704" t="str">
            <v xml:space="preserve">Raemulan Lands, Inc. </v>
          </cell>
          <cell r="AF704" t="str">
            <v>Agapeya</v>
          </cell>
          <cell r="AG704" t="str">
            <v>AGM</v>
          </cell>
          <cell r="AH704" t="str">
            <v>Eco-High</v>
          </cell>
          <cell r="AI704" t="str">
            <v>West</v>
          </cell>
          <cell r="AJ704" t="str">
            <v>With LTS</v>
          </cell>
          <cell r="AK704" t="str">
            <v>Unaffected lots</v>
          </cell>
          <cell r="AL704" t="str">
            <v>Unaffected lots</v>
          </cell>
          <cell r="AM704" t="b">
            <v>1</v>
          </cell>
          <cell r="AN704" t="str">
            <v>YES</v>
          </cell>
          <cell r="AO704" t="str">
            <v>2024 Batch</v>
          </cell>
          <cell r="AP704">
            <v>70</v>
          </cell>
          <cell r="AQ704" t="str">
            <v>PCS-04-034298</v>
          </cell>
          <cell r="AR704" t="b">
            <v>1</v>
          </cell>
          <cell r="AS704" t="str">
            <v>Done</v>
          </cell>
          <cell r="AT704" t="str">
            <v>2024 Batch</v>
          </cell>
          <cell r="AU704">
            <v>29</v>
          </cell>
          <cell r="AV704">
            <v>26</v>
          </cell>
          <cell r="AW704" t="str">
            <v>H+L</v>
          </cell>
          <cell r="AX704">
            <v>70</v>
          </cell>
          <cell r="AY704">
            <v>50</v>
          </cell>
          <cell r="AZ704" t="str">
            <v>Duplex</v>
          </cell>
          <cell r="BA704">
            <v>1</v>
          </cell>
          <cell r="BB704" t="str">
            <v>326 - With Partition</v>
          </cell>
          <cell r="BC704" t="str">
            <v>With Partition</v>
          </cell>
          <cell r="BD704" t="str">
            <v>Slant</v>
          </cell>
          <cell r="BE704" t="str">
            <v>With Partition</v>
          </cell>
          <cell r="BF704" t="str">
            <v>PURPLE</v>
          </cell>
          <cell r="BG704">
            <v>2707500</v>
          </cell>
          <cell r="BH704">
            <v>2850000</v>
          </cell>
          <cell r="BI704">
            <v>100000</v>
          </cell>
          <cell r="BJ704">
            <v>2750000</v>
          </cell>
          <cell r="BK704">
            <v>0</v>
          </cell>
          <cell r="BL704">
            <v>2750000</v>
          </cell>
        </row>
        <row r="705">
          <cell r="D705" t="str">
            <v>OS</v>
          </cell>
          <cell r="E705"/>
          <cell r="F705">
            <v>685</v>
          </cell>
          <cell r="G705" t="str">
            <v>SOLD</v>
          </cell>
          <cell r="H705" t="str">
            <v>OS</v>
          </cell>
          <cell r="I705" t="str">
            <v>OS</v>
          </cell>
          <cell r="J705" t="str">
            <v>OS</v>
          </cell>
          <cell r="K705" t="str">
            <v>OS</v>
          </cell>
          <cell r="L705" t="str">
            <v>OS</v>
          </cell>
          <cell r="M705" t="str">
            <v>OS</v>
          </cell>
          <cell r="N705" t="str">
            <v>OS</v>
          </cell>
          <cell r="O705" t="str">
            <v>OS</v>
          </cell>
          <cell r="P705" t="str">
            <v>OS</v>
          </cell>
          <cell r="Q705" t="str">
            <v>OS</v>
          </cell>
          <cell r="R705" t="str">
            <v>OS</v>
          </cell>
          <cell r="S705" t="str">
            <v>OS</v>
          </cell>
          <cell r="T705" t="str">
            <v>OS</v>
          </cell>
          <cell r="U705" t="str">
            <v>OS</v>
          </cell>
          <cell r="V705" t="str">
            <v>OS</v>
          </cell>
          <cell r="W705" t="str">
            <v>OS</v>
          </cell>
          <cell r="X705" t="str">
            <v>OS</v>
          </cell>
          <cell r="Y705" t="str">
            <v>OS</v>
          </cell>
          <cell r="Z705" t="str">
            <v>OS</v>
          </cell>
          <cell r="AA705" t="str">
            <v>OS</v>
          </cell>
          <cell r="AB705" t="str">
            <v>OS</v>
          </cell>
          <cell r="AC705" t="str">
            <v>OS</v>
          </cell>
          <cell r="AD705" t="str">
            <v>AGM-01-029-027</v>
          </cell>
          <cell r="AE705" t="str">
            <v xml:space="preserve">Raemulan Lands, Inc. </v>
          </cell>
          <cell r="AF705" t="str">
            <v>Agapeya</v>
          </cell>
          <cell r="AG705" t="str">
            <v>AGM</v>
          </cell>
          <cell r="AH705" t="str">
            <v>Eco-High</v>
          </cell>
          <cell r="AI705" t="str">
            <v>West</v>
          </cell>
          <cell r="AJ705" t="str">
            <v>With LTS</v>
          </cell>
          <cell r="AK705" t="str">
            <v>Unaffected lots</v>
          </cell>
          <cell r="AL705" t="str">
            <v>Unaffected lots</v>
          </cell>
          <cell r="AM705" t="b">
            <v>1</v>
          </cell>
          <cell r="AN705" t="str">
            <v>YES</v>
          </cell>
          <cell r="AO705" t="str">
            <v>2024 Batch</v>
          </cell>
          <cell r="AP705">
            <v>70</v>
          </cell>
          <cell r="AQ705" t="str">
            <v>PCS-04-034298</v>
          </cell>
          <cell r="AR705" t="b">
            <v>1</v>
          </cell>
          <cell r="AS705" t="str">
            <v>Done</v>
          </cell>
          <cell r="AT705" t="str">
            <v>2024 Batch</v>
          </cell>
          <cell r="AU705">
            <v>29</v>
          </cell>
          <cell r="AV705">
            <v>27</v>
          </cell>
          <cell r="AW705" t="str">
            <v>H+L</v>
          </cell>
          <cell r="AX705">
            <v>70</v>
          </cell>
          <cell r="AY705">
            <v>50</v>
          </cell>
          <cell r="AZ705" t="str">
            <v>Duplex</v>
          </cell>
          <cell r="BA705">
            <v>1</v>
          </cell>
          <cell r="BB705" t="str">
            <v>326 - With Partition</v>
          </cell>
          <cell r="BC705" t="str">
            <v>With Partition</v>
          </cell>
          <cell r="BD705" t="str">
            <v>Slant</v>
          </cell>
          <cell r="BE705" t="str">
            <v>With Partition</v>
          </cell>
          <cell r="BF705" t="str">
            <v>GREEN</v>
          </cell>
          <cell r="BG705">
            <v>2707500</v>
          </cell>
          <cell r="BH705">
            <v>2850000</v>
          </cell>
          <cell r="BI705">
            <v>100000</v>
          </cell>
          <cell r="BJ705">
            <v>2750000</v>
          </cell>
          <cell r="BK705">
            <v>0</v>
          </cell>
          <cell r="BL705">
            <v>2750000</v>
          </cell>
        </row>
        <row r="706">
          <cell r="D706" t="str">
            <v>OS</v>
          </cell>
          <cell r="E706"/>
          <cell r="F706">
            <v>686</v>
          </cell>
          <cell r="G706" t="str">
            <v>SOLD</v>
          </cell>
          <cell r="H706" t="str">
            <v>OS</v>
          </cell>
          <cell r="I706" t="str">
            <v>OS</v>
          </cell>
          <cell r="J706" t="str">
            <v>OS</v>
          </cell>
          <cell r="K706" t="str">
            <v>OS</v>
          </cell>
          <cell r="L706" t="str">
            <v>OS</v>
          </cell>
          <cell r="M706" t="str">
            <v>OS</v>
          </cell>
          <cell r="N706" t="str">
            <v>OS</v>
          </cell>
          <cell r="O706" t="str">
            <v>OS</v>
          </cell>
          <cell r="P706" t="str">
            <v>OS</v>
          </cell>
          <cell r="Q706" t="str">
            <v>OS</v>
          </cell>
          <cell r="R706" t="str">
            <v>OS</v>
          </cell>
          <cell r="S706" t="str">
            <v>OS</v>
          </cell>
          <cell r="T706" t="str">
            <v>OS</v>
          </cell>
          <cell r="U706" t="str">
            <v>OS</v>
          </cell>
          <cell r="V706" t="str">
            <v>OS</v>
          </cell>
          <cell r="W706" t="str">
            <v>OS</v>
          </cell>
          <cell r="X706" t="str">
            <v>OS</v>
          </cell>
          <cell r="Y706" t="str">
            <v>OS</v>
          </cell>
          <cell r="Z706" t="str">
            <v>OS</v>
          </cell>
          <cell r="AA706" t="str">
            <v>OS</v>
          </cell>
          <cell r="AB706" t="str">
            <v>OS</v>
          </cell>
          <cell r="AC706" t="str">
            <v>OS</v>
          </cell>
          <cell r="AD706" t="str">
            <v>AGM-01-029-028</v>
          </cell>
          <cell r="AE706" t="str">
            <v xml:space="preserve">Raemulan Lands, Inc. </v>
          </cell>
          <cell r="AF706" t="str">
            <v>Agapeya</v>
          </cell>
          <cell r="AG706" t="str">
            <v>AGM</v>
          </cell>
          <cell r="AH706" t="str">
            <v>Eco-High</v>
          </cell>
          <cell r="AI706" t="str">
            <v>West</v>
          </cell>
          <cell r="AJ706" t="str">
            <v>With LTS</v>
          </cell>
          <cell r="AK706" t="str">
            <v>Unaffected lots</v>
          </cell>
          <cell r="AL706" t="str">
            <v>Unaffected lots</v>
          </cell>
          <cell r="AM706" t="b">
            <v>1</v>
          </cell>
          <cell r="AN706" t="str">
            <v>YES</v>
          </cell>
          <cell r="AO706" t="str">
            <v>2024 Batch</v>
          </cell>
          <cell r="AP706">
            <v>70</v>
          </cell>
          <cell r="AQ706" t="str">
            <v>PCS-04-034298</v>
          </cell>
          <cell r="AR706" t="b">
            <v>1</v>
          </cell>
          <cell r="AS706" t="str">
            <v>Done</v>
          </cell>
          <cell r="AT706" t="str">
            <v>2024 Batch</v>
          </cell>
          <cell r="AU706">
            <v>29</v>
          </cell>
          <cell r="AV706">
            <v>28</v>
          </cell>
          <cell r="AW706" t="str">
            <v>H+L</v>
          </cell>
          <cell r="AX706">
            <v>70</v>
          </cell>
          <cell r="AY706">
            <v>50</v>
          </cell>
          <cell r="AZ706" t="str">
            <v>Duplex</v>
          </cell>
          <cell r="BA706">
            <v>1</v>
          </cell>
          <cell r="BB706" t="str">
            <v>326 - With Partition</v>
          </cell>
          <cell r="BC706" t="str">
            <v>With Partition</v>
          </cell>
          <cell r="BD706" t="str">
            <v>Flat</v>
          </cell>
          <cell r="BE706" t="str">
            <v>With Partition</v>
          </cell>
          <cell r="BF706" t="str">
            <v>GREEN</v>
          </cell>
          <cell r="BG706">
            <v>2707500</v>
          </cell>
          <cell r="BH706">
            <v>2850000</v>
          </cell>
          <cell r="BI706">
            <v>100000</v>
          </cell>
          <cell r="BJ706">
            <v>2750000</v>
          </cell>
          <cell r="BK706">
            <v>0</v>
          </cell>
          <cell r="BL706">
            <v>2750000</v>
          </cell>
        </row>
        <row r="707">
          <cell r="D707" t="str">
            <v>TS</v>
          </cell>
          <cell r="E707"/>
          <cell r="F707">
            <v>687</v>
          </cell>
          <cell r="G707" t="str">
            <v>SOLD</v>
          </cell>
          <cell r="H707" t="str">
            <v>OS</v>
          </cell>
          <cell r="I707" t="str">
            <v>OS</v>
          </cell>
          <cell r="J707" t="str">
            <v>OS</v>
          </cell>
          <cell r="K707" t="str">
            <v>OS</v>
          </cell>
          <cell r="L707" t="str">
            <v>OS</v>
          </cell>
          <cell r="M707" t="str">
            <v>OS</v>
          </cell>
          <cell r="N707" t="str">
            <v>OS</v>
          </cell>
          <cell r="O707" t="str">
            <v>OS</v>
          </cell>
          <cell r="P707" t="str">
            <v>OS</v>
          </cell>
          <cell r="Q707" t="str">
            <v>OS</v>
          </cell>
          <cell r="R707" t="str">
            <v>OS</v>
          </cell>
          <cell r="S707" t="str">
            <v>OS</v>
          </cell>
          <cell r="T707" t="str">
            <v>OS</v>
          </cell>
          <cell r="U707" t="str">
            <v>FOR CANCELLATION</v>
          </cell>
          <cell r="V707" t="str">
            <v>FOR CANCELLATION</v>
          </cell>
          <cell r="W707" t="str">
            <v>FOR CANCELLATION</v>
          </cell>
          <cell r="X707" t="str">
            <v>FOR CANCELLATION</v>
          </cell>
          <cell r="Y707" t="str">
            <v>FOR CANCELLATION</v>
          </cell>
          <cell r="Z707" t="str">
            <v>TS</v>
          </cell>
          <cell r="AA707" t="str">
            <v>TS</v>
          </cell>
          <cell r="AB707" t="str">
            <v>FOR CANCELLATION</v>
          </cell>
          <cell r="AC707" t="str">
            <v>FOR CANCELLATION</v>
          </cell>
          <cell r="AD707" t="str">
            <v>AGM-01-029-029</v>
          </cell>
          <cell r="AE707" t="str">
            <v xml:space="preserve">Raemulan Lands, Inc. </v>
          </cell>
          <cell r="AF707" t="str">
            <v>Agapeya</v>
          </cell>
          <cell r="AG707" t="str">
            <v>AGM</v>
          </cell>
          <cell r="AH707" t="str">
            <v>Eco-High</v>
          </cell>
          <cell r="AI707" t="str">
            <v>West</v>
          </cell>
          <cell r="AJ707" t="str">
            <v>With LTS</v>
          </cell>
          <cell r="AK707" t="str">
            <v>Unaffected lots</v>
          </cell>
          <cell r="AL707" t="str">
            <v>Unaffected lots</v>
          </cell>
          <cell r="AM707" t="b">
            <v>1</v>
          </cell>
          <cell r="AN707" t="str">
            <v>YES</v>
          </cell>
          <cell r="AO707" t="str">
            <v>2024 Batch</v>
          </cell>
          <cell r="AP707">
            <v>70</v>
          </cell>
          <cell r="AQ707" t="str">
            <v>PCS-04-034298</v>
          </cell>
          <cell r="AR707" t="b">
            <v>1</v>
          </cell>
          <cell r="AS707" t="str">
            <v>Done</v>
          </cell>
          <cell r="AT707" t="str">
            <v>2024 Batch</v>
          </cell>
          <cell r="AU707">
            <v>29</v>
          </cell>
          <cell r="AV707">
            <v>29</v>
          </cell>
          <cell r="AW707" t="str">
            <v>H+L</v>
          </cell>
          <cell r="AX707">
            <v>70</v>
          </cell>
          <cell r="AY707">
            <v>50</v>
          </cell>
          <cell r="AZ707" t="str">
            <v>Duplex</v>
          </cell>
          <cell r="BA707">
            <v>1</v>
          </cell>
          <cell r="BB707" t="str">
            <v>326 - With Partition</v>
          </cell>
          <cell r="BC707" t="str">
            <v>With Partition</v>
          </cell>
          <cell r="BD707" t="str">
            <v>Flat</v>
          </cell>
          <cell r="BE707" t="str">
            <v>With Partition</v>
          </cell>
          <cell r="BF707" t="str">
            <v>GREEN</v>
          </cell>
          <cell r="BG707">
            <v>2707500</v>
          </cell>
          <cell r="BH707">
            <v>2850000</v>
          </cell>
          <cell r="BI707">
            <v>100000</v>
          </cell>
          <cell r="BJ707">
            <v>2750000</v>
          </cell>
          <cell r="BK707">
            <v>0</v>
          </cell>
          <cell r="BL707">
            <v>2750000</v>
          </cell>
        </row>
        <row r="708">
          <cell r="D708" t="str">
            <v>OS</v>
          </cell>
          <cell r="E708"/>
          <cell r="F708">
            <v>688</v>
          </cell>
          <cell r="G708" t="str">
            <v>SOLD</v>
          </cell>
          <cell r="H708" t="str">
            <v>OS</v>
          </cell>
          <cell r="I708" t="str">
            <v>OS</v>
          </cell>
          <cell r="J708" t="str">
            <v>OS</v>
          </cell>
          <cell r="K708" t="str">
            <v>OS</v>
          </cell>
          <cell r="L708" t="str">
            <v>OS</v>
          </cell>
          <cell r="M708" t="str">
            <v>OS</v>
          </cell>
          <cell r="N708" t="str">
            <v>OS</v>
          </cell>
          <cell r="O708" t="str">
            <v>OS</v>
          </cell>
          <cell r="P708" t="str">
            <v>OS</v>
          </cell>
          <cell r="Q708" t="str">
            <v>OS</v>
          </cell>
          <cell r="R708" t="str">
            <v>OS</v>
          </cell>
          <cell r="S708" t="str">
            <v>OS</v>
          </cell>
          <cell r="T708" t="str">
            <v>OS</v>
          </cell>
          <cell r="U708" t="str">
            <v>OS</v>
          </cell>
          <cell r="V708" t="str">
            <v>OS</v>
          </cell>
          <cell r="W708" t="str">
            <v>OS</v>
          </cell>
          <cell r="X708" t="str">
            <v>OS</v>
          </cell>
          <cell r="Y708" t="str">
            <v>OS</v>
          </cell>
          <cell r="Z708" t="str">
            <v>OS</v>
          </cell>
          <cell r="AA708" t="str">
            <v>OS</v>
          </cell>
          <cell r="AB708" t="str">
            <v>OS</v>
          </cell>
          <cell r="AC708" t="str">
            <v>OS</v>
          </cell>
          <cell r="AD708" t="str">
            <v>AGM-01-029-030</v>
          </cell>
          <cell r="AE708" t="str">
            <v xml:space="preserve">Raemulan Lands, Inc. </v>
          </cell>
          <cell r="AF708" t="str">
            <v>Agapeya</v>
          </cell>
          <cell r="AG708" t="str">
            <v>AGM</v>
          </cell>
          <cell r="AH708" t="str">
            <v>Eco-High</v>
          </cell>
          <cell r="AI708" t="str">
            <v>West</v>
          </cell>
          <cell r="AJ708" t="str">
            <v>With LTS</v>
          </cell>
          <cell r="AK708" t="str">
            <v>Unaffected lots</v>
          </cell>
          <cell r="AL708" t="str">
            <v>Unaffected lots</v>
          </cell>
          <cell r="AM708" t="b">
            <v>1</v>
          </cell>
          <cell r="AN708" t="str">
            <v>YES</v>
          </cell>
          <cell r="AO708" t="str">
            <v>2024 Batch</v>
          </cell>
          <cell r="AP708">
            <v>70</v>
          </cell>
          <cell r="AQ708" t="str">
            <v>PCS-04-034298</v>
          </cell>
          <cell r="AR708" t="b">
            <v>1</v>
          </cell>
          <cell r="AS708" t="str">
            <v>Done</v>
          </cell>
          <cell r="AT708" t="str">
            <v>2024 Batch</v>
          </cell>
          <cell r="AU708">
            <v>29</v>
          </cell>
          <cell r="AV708">
            <v>30</v>
          </cell>
          <cell r="AW708" t="str">
            <v>H+L</v>
          </cell>
          <cell r="AX708">
            <v>70</v>
          </cell>
          <cell r="AY708">
            <v>50</v>
          </cell>
          <cell r="AZ708" t="str">
            <v>Duplex</v>
          </cell>
          <cell r="BA708">
            <v>1</v>
          </cell>
          <cell r="BB708" t="str">
            <v>326 - With Partition</v>
          </cell>
          <cell r="BC708" t="str">
            <v>With Partition</v>
          </cell>
          <cell r="BD708" t="str">
            <v>Slant</v>
          </cell>
          <cell r="BE708" t="str">
            <v>With Partition</v>
          </cell>
          <cell r="BF708" t="str">
            <v>GREEN</v>
          </cell>
          <cell r="BG708">
            <v>2707500</v>
          </cell>
          <cell r="BH708">
            <v>2850000</v>
          </cell>
          <cell r="BI708">
            <v>100000</v>
          </cell>
          <cell r="BJ708">
            <v>2750000</v>
          </cell>
          <cell r="BK708">
            <v>0</v>
          </cell>
          <cell r="BL708">
            <v>2750000</v>
          </cell>
        </row>
        <row r="709">
          <cell r="D709" t="str">
            <v>OS</v>
          </cell>
          <cell r="E709"/>
          <cell r="F709">
            <v>689</v>
          </cell>
          <cell r="G709" t="str">
            <v>FOR CANCELLATION</v>
          </cell>
          <cell r="H709" t="str">
            <v>FOR CANCELLATION</v>
          </cell>
          <cell r="I709" t="str">
            <v>FOR CANCELLATION</v>
          </cell>
          <cell r="J709" t="str">
            <v>FOR CANCELLATION</v>
          </cell>
          <cell r="K709" t="str">
            <v>FOR CANCELLATION</v>
          </cell>
          <cell r="L709" t="str">
            <v>FOR CANCELLATION</v>
          </cell>
          <cell r="M709" t="str">
            <v>FOR CANCELLATION</v>
          </cell>
          <cell r="N709" t="str">
            <v>FOR CANCELLATION</v>
          </cell>
          <cell r="O709" t="str">
            <v>FOR CANCELLATION</v>
          </cell>
          <cell r="P709" t="str">
            <v>FOR CANCELLATION</v>
          </cell>
          <cell r="Q709" t="str">
            <v>FOR CANCELLATION</v>
          </cell>
          <cell r="R709" t="str">
            <v>FOR CANCELLATION</v>
          </cell>
          <cell r="S709" t="str">
            <v>FOR CANCELLATION</v>
          </cell>
          <cell r="T709" t="str">
            <v>FOR CANCELLATION</v>
          </cell>
          <cell r="U709" t="str">
            <v>FOR CANCELLATION</v>
          </cell>
          <cell r="V709" t="str">
            <v>FOR CANCELLATION</v>
          </cell>
          <cell r="W709" t="str">
            <v>FOR CANCELLATION</v>
          </cell>
          <cell r="X709" t="str">
            <v>TS</v>
          </cell>
          <cell r="Y709" t="str">
            <v>TS</v>
          </cell>
          <cell r="Z709" t="str">
            <v>OS</v>
          </cell>
          <cell r="AA709" t="str">
            <v>OS</v>
          </cell>
          <cell r="AB709" t="str">
            <v>TS</v>
          </cell>
          <cell r="AC709" t="str">
            <v>TS</v>
          </cell>
          <cell r="AD709" t="str">
            <v>AGM-01-029-031</v>
          </cell>
          <cell r="AE709" t="str">
            <v xml:space="preserve">Raemulan Lands, Inc. </v>
          </cell>
          <cell r="AF709" t="str">
            <v>Agapeya</v>
          </cell>
          <cell r="AG709" t="str">
            <v>AGM</v>
          </cell>
          <cell r="AH709" t="str">
            <v>Eco-High</v>
          </cell>
          <cell r="AI709" t="str">
            <v>West</v>
          </cell>
          <cell r="AJ709" t="str">
            <v>With LTS</v>
          </cell>
          <cell r="AK709" t="str">
            <v>Unaffected lots</v>
          </cell>
          <cell r="AL709" t="str">
            <v>Unaffected lots</v>
          </cell>
          <cell r="AM709" t="b">
            <v>1</v>
          </cell>
          <cell r="AN709" t="str">
            <v>YES</v>
          </cell>
          <cell r="AO709" t="str">
            <v>2024 Batch</v>
          </cell>
          <cell r="AP709">
            <v>70</v>
          </cell>
          <cell r="AQ709" t="str">
            <v>PCS-04-034298</v>
          </cell>
          <cell r="AR709" t="b">
            <v>1</v>
          </cell>
          <cell r="AS709" t="str">
            <v>Done</v>
          </cell>
          <cell r="AT709" t="str">
            <v>2024 Batch</v>
          </cell>
          <cell r="AU709">
            <v>29</v>
          </cell>
          <cell r="AV709">
            <v>31</v>
          </cell>
          <cell r="AW709" t="str">
            <v>H+L</v>
          </cell>
          <cell r="AX709">
            <v>70</v>
          </cell>
          <cell r="AY709">
            <v>50</v>
          </cell>
          <cell r="AZ709" t="str">
            <v>Duplex</v>
          </cell>
          <cell r="BA709">
            <v>1</v>
          </cell>
          <cell r="BB709" t="str">
            <v>326 - With Partition</v>
          </cell>
          <cell r="BC709" t="str">
            <v>With Partition</v>
          </cell>
          <cell r="BD709" t="str">
            <v>Slant</v>
          </cell>
          <cell r="BE709" t="str">
            <v>With Partition</v>
          </cell>
          <cell r="BF709" t="str">
            <v>YELLOW</v>
          </cell>
          <cell r="BG709">
            <v>2707500</v>
          </cell>
          <cell r="BH709">
            <v>2850000</v>
          </cell>
          <cell r="BI709">
            <v>100000</v>
          </cell>
          <cell r="BJ709">
            <v>2750000</v>
          </cell>
          <cell r="BK709">
            <v>0</v>
          </cell>
          <cell r="BL709">
            <v>2750000</v>
          </cell>
        </row>
        <row r="710">
          <cell r="D710" t="str">
            <v>HOLD</v>
          </cell>
          <cell r="E710"/>
          <cell r="F710">
            <v>690</v>
          </cell>
          <cell r="G710" t="str">
            <v>SOLD</v>
          </cell>
          <cell r="H710" t="str">
            <v>OS</v>
          </cell>
          <cell r="I710" t="str">
            <v>OS</v>
          </cell>
          <cell r="J710" t="str">
            <v>OS</v>
          </cell>
          <cell r="K710" t="str">
            <v>OS</v>
          </cell>
          <cell r="L710" t="str">
            <v>OS</v>
          </cell>
          <cell r="M710" t="str">
            <v>OS</v>
          </cell>
          <cell r="N710" t="str">
            <v>OS</v>
          </cell>
          <cell r="O710" t="str">
            <v>OS</v>
          </cell>
          <cell r="P710" t="str">
            <v>OS</v>
          </cell>
          <cell r="Q710" t="str">
            <v>OS</v>
          </cell>
          <cell r="R710" t="str">
            <v>OS</v>
          </cell>
          <cell r="S710" t="str">
            <v>OS</v>
          </cell>
          <cell r="T710" t="str">
            <v>OS</v>
          </cell>
          <cell r="U710" t="str">
            <v>FOR CANCELATION - HOLD FOR SALE</v>
          </cell>
          <cell r="V710" t="str">
            <v>FOR CANCELATION - HOLD FOR SALE</v>
          </cell>
          <cell r="W710" t="str">
            <v>FOR CANCELATION - HOLD FOR SALE</v>
          </cell>
          <cell r="X710" t="str">
            <v>FOR CANCELATION - HOLD FOR SALE</v>
          </cell>
          <cell r="Y710" t="str">
            <v>FOR CANCELATION - HOLD FOR SALE</v>
          </cell>
          <cell r="Z710" t="str">
            <v>HOLD BY CAD</v>
          </cell>
          <cell r="AA710" t="str">
            <v>HOLD BY CAD</v>
          </cell>
          <cell r="AB710" t="str">
            <v>FOR CANCELATION - HOLD FOR SALE</v>
          </cell>
          <cell r="AC710" t="str">
            <v>FOR CANCELATION - HOLD FOR SALE</v>
          </cell>
          <cell r="AD710" t="str">
            <v>AGM-01-029-032</v>
          </cell>
          <cell r="AE710" t="str">
            <v xml:space="preserve">Raemulan Lands, Inc. </v>
          </cell>
          <cell r="AF710" t="str">
            <v>Agapeya</v>
          </cell>
          <cell r="AG710" t="str">
            <v>AGM</v>
          </cell>
          <cell r="AH710" t="str">
            <v>Eco-High</v>
          </cell>
          <cell r="AI710" t="str">
            <v>West</v>
          </cell>
          <cell r="AJ710" t="str">
            <v>With LTS</v>
          </cell>
          <cell r="AK710" t="str">
            <v>Unaffected lots</v>
          </cell>
          <cell r="AL710" t="str">
            <v>Unaffected lots</v>
          </cell>
          <cell r="AM710" t="b">
            <v>1</v>
          </cell>
          <cell r="AN710" t="str">
            <v>YES</v>
          </cell>
          <cell r="AO710" t="str">
            <v>2024 Batch</v>
          </cell>
          <cell r="AP710">
            <v>70</v>
          </cell>
          <cell r="AQ710" t="str">
            <v>PCS-04-034298</v>
          </cell>
          <cell r="AR710" t="b">
            <v>1</v>
          </cell>
          <cell r="AS710" t="str">
            <v>Done</v>
          </cell>
          <cell r="AT710" t="str">
            <v>2024 Batch</v>
          </cell>
          <cell r="AU710">
            <v>29</v>
          </cell>
          <cell r="AV710">
            <v>32</v>
          </cell>
          <cell r="AW710" t="str">
            <v>H+L</v>
          </cell>
          <cell r="AX710">
            <v>70</v>
          </cell>
          <cell r="AY710">
            <v>50</v>
          </cell>
          <cell r="AZ710" t="str">
            <v>Duplex</v>
          </cell>
          <cell r="BA710">
            <v>1</v>
          </cell>
          <cell r="BB710" t="str">
            <v>326 - With Partition</v>
          </cell>
          <cell r="BC710" t="str">
            <v>With Partition</v>
          </cell>
          <cell r="BD710" t="str">
            <v>Flat</v>
          </cell>
          <cell r="BE710" t="str">
            <v>With Partition</v>
          </cell>
          <cell r="BF710" t="str">
            <v>YELLOW</v>
          </cell>
          <cell r="BG710">
            <v>2707500</v>
          </cell>
          <cell r="BH710">
            <v>2850000</v>
          </cell>
          <cell r="BI710">
            <v>100000</v>
          </cell>
          <cell r="BJ710">
            <v>2750000</v>
          </cell>
          <cell r="BK710">
            <v>0</v>
          </cell>
          <cell r="BL710">
            <v>2750000</v>
          </cell>
        </row>
        <row r="711">
          <cell r="D711" t="str">
            <v>OS</v>
          </cell>
          <cell r="E711"/>
          <cell r="F711">
            <v>691</v>
          </cell>
          <cell r="G711" t="str">
            <v>SOLD</v>
          </cell>
          <cell r="H711" t="str">
            <v>OS</v>
          </cell>
          <cell r="I711" t="str">
            <v>OS</v>
          </cell>
          <cell r="J711" t="str">
            <v>OS</v>
          </cell>
          <cell r="K711" t="str">
            <v>OS</v>
          </cell>
          <cell r="L711" t="str">
            <v>OS</v>
          </cell>
          <cell r="M711" t="str">
            <v>OS</v>
          </cell>
          <cell r="N711" t="str">
            <v>OS</v>
          </cell>
          <cell r="O711" t="str">
            <v>OS</v>
          </cell>
          <cell r="P711" t="str">
            <v>OS</v>
          </cell>
          <cell r="Q711" t="str">
            <v>OS</v>
          </cell>
          <cell r="R711" t="str">
            <v>OS</v>
          </cell>
          <cell r="S711" t="str">
            <v>OS</v>
          </cell>
          <cell r="T711" t="str">
            <v>OS</v>
          </cell>
          <cell r="U711" t="str">
            <v>OS</v>
          </cell>
          <cell r="V711" t="str">
            <v>OS</v>
          </cell>
          <cell r="W711" t="str">
            <v>OS</v>
          </cell>
          <cell r="X711" t="str">
            <v>OS</v>
          </cell>
          <cell r="Y711" t="str">
            <v>OS</v>
          </cell>
          <cell r="Z711" t="str">
            <v>OS</v>
          </cell>
          <cell r="AA711" t="str">
            <v>OS</v>
          </cell>
          <cell r="AB711" t="str">
            <v>OS</v>
          </cell>
          <cell r="AC711" t="str">
            <v>OS</v>
          </cell>
          <cell r="AD711" t="str">
            <v>AGM-01-029-033</v>
          </cell>
          <cell r="AE711" t="str">
            <v xml:space="preserve">Raemulan Lands, Inc. </v>
          </cell>
          <cell r="AF711" t="str">
            <v>Agapeya</v>
          </cell>
          <cell r="AG711" t="str">
            <v>AGM</v>
          </cell>
          <cell r="AH711" t="str">
            <v>Eco-High</v>
          </cell>
          <cell r="AI711" t="str">
            <v>West</v>
          </cell>
          <cell r="AJ711" t="str">
            <v>With LTS</v>
          </cell>
          <cell r="AK711" t="str">
            <v>Unaffected lots</v>
          </cell>
          <cell r="AL711" t="str">
            <v>Unaffected lots</v>
          </cell>
          <cell r="AM711" t="b">
            <v>1</v>
          </cell>
          <cell r="AN711" t="str">
            <v>YES</v>
          </cell>
          <cell r="AO711" t="str">
            <v>2024 Batch</v>
          </cell>
          <cell r="AP711">
            <v>70</v>
          </cell>
          <cell r="AQ711" t="str">
            <v>PCS-04-034298</v>
          </cell>
          <cell r="AR711" t="b">
            <v>1</v>
          </cell>
          <cell r="AS711" t="str">
            <v>Done</v>
          </cell>
          <cell r="AT711" t="str">
            <v>2024 Batch</v>
          </cell>
          <cell r="AU711">
            <v>29</v>
          </cell>
          <cell r="AV711">
            <v>33</v>
          </cell>
          <cell r="AW711" t="str">
            <v>H+L</v>
          </cell>
          <cell r="AX711">
            <v>70</v>
          </cell>
          <cell r="AY711">
            <v>50</v>
          </cell>
          <cell r="AZ711" t="str">
            <v>Duplex</v>
          </cell>
          <cell r="BA711">
            <v>1</v>
          </cell>
          <cell r="BB711" t="str">
            <v>326 - With Partition</v>
          </cell>
          <cell r="BC711" t="str">
            <v>With Partition</v>
          </cell>
          <cell r="BD711" t="str">
            <v>Flat</v>
          </cell>
          <cell r="BE711" t="str">
            <v>With Partition</v>
          </cell>
          <cell r="BF711" t="str">
            <v>YELLOW</v>
          </cell>
          <cell r="BG711">
            <v>2707500</v>
          </cell>
          <cell r="BH711">
            <v>2850000</v>
          </cell>
          <cell r="BI711">
            <v>100000</v>
          </cell>
          <cell r="BJ711">
            <v>2750000</v>
          </cell>
          <cell r="BK711">
            <v>0</v>
          </cell>
          <cell r="BL711">
            <v>2750000</v>
          </cell>
        </row>
        <row r="712">
          <cell r="D712" t="str">
            <v>OS</v>
          </cell>
          <cell r="E712"/>
          <cell r="F712">
            <v>692</v>
          </cell>
          <cell r="G712" t="str">
            <v>SOLD</v>
          </cell>
          <cell r="H712" t="str">
            <v>OS</v>
          </cell>
          <cell r="I712" t="str">
            <v>OS</v>
          </cell>
          <cell r="J712" t="str">
            <v>OS</v>
          </cell>
          <cell r="K712" t="str">
            <v>OS</v>
          </cell>
          <cell r="L712" t="str">
            <v>OS</v>
          </cell>
          <cell r="M712" t="str">
            <v>OS</v>
          </cell>
          <cell r="N712" t="str">
            <v>OS</v>
          </cell>
          <cell r="O712" t="str">
            <v>OS</v>
          </cell>
          <cell r="P712" t="str">
            <v>OS</v>
          </cell>
          <cell r="Q712" t="str">
            <v>OS</v>
          </cell>
          <cell r="R712" t="str">
            <v>OS</v>
          </cell>
          <cell r="S712" t="str">
            <v>OS</v>
          </cell>
          <cell r="T712" t="str">
            <v>OS</v>
          </cell>
          <cell r="U712" t="str">
            <v>OS</v>
          </cell>
          <cell r="V712" t="str">
            <v>OS</v>
          </cell>
          <cell r="W712" t="str">
            <v>OS</v>
          </cell>
          <cell r="X712" t="str">
            <v>OS</v>
          </cell>
          <cell r="Y712" t="str">
            <v>OS</v>
          </cell>
          <cell r="Z712" t="str">
            <v>OS</v>
          </cell>
          <cell r="AA712" t="str">
            <v>OS</v>
          </cell>
          <cell r="AB712" t="str">
            <v>OS</v>
          </cell>
          <cell r="AC712" t="str">
            <v>OS</v>
          </cell>
          <cell r="AD712" t="str">
            <v>AGM-01-029-034</v>
          </cell>
          <cell r="AE712" t="str">
            <v xml:space="preserve">Raemulan Lands, Inc. </v>
          </cell>
          <cell r="AF712" t="str">
            <v>Agapeya</v>
          </cell>
          <cell r="AG712" t="str">
            <v>AGM</v>
          </cell>
          <cell r="AH712" t="str">
            <v>Eco-High</v>
          </cell>
          <cell r="AI712" t="str">
            <v>West</v>
          </cell>
          <cell r="AJ712" t="str">
            <v>With LTS</v>
          </cell>
          <cell r="AK712" t="str">
            <v>Unaffected lots</v>
          </cell>
          <cell r="AL712" t="str">
            <v>Unaffected lots</v>
          </cell>
          <cell r="AM712" t="b">
            <v>1</v>
          </cell>
          <cell r="AN712" t="str">
            <v>YES</v>
          </cell>
          <cell r="AO712" t="str">
            <v>2024 Batch</v>
          </cell>
          <cell r="AP712">
            <v>70</v>
          </cell>
          <cell r="AQ712" t="str">
            <v>PCS-04-034298</v>
          </cell>
          <cell r="AR712" t="b">
            <v>1</v>
          </cell>
          <cell r="AS712" t="str">
            <v>Done</v>
          </cell>
          <cell r="AT712" t="str">
            <v>2024 Batch</v>
          </cell>
          <cell r="AU712">
            <v>29</v>
          </cell>
          <cell r="AV712">
            <v>34</v>
          </cell>
          <cell r="AW712" t="str">
            <v>H+L</v>
          </cell>
          <cell r="AX712">
            <v>70</v>
          </cell>
          <cell r="AY712">
            <v>50</v>
          </cell>
          <cell r="AZ712" t="str">
            <v>Duplex</v>
          </cell>
          <cell r="BA712">
            <v>1</v>
          </cell>
          <cell r="BB712" t="str">
            <v>326 - With Partition</v>
          </cell>
          <cell r="BC712" t="str">
            <v>With Partition</v>
          </cell>
          <cell r="BD712" t="str">
            <v>Slant</v>
          </cell>
          <cell r="BE712" t="str">
            <v>With Partition</v>
          </cell>
          <cell r="BF712" t="str">
            <v>YELLOW</v>
          </cell>
          <cell r="BG712">
            <v>2750000</v>
          </cell>
          <cell r="BH712">
            <v>2850000</v>
          </cell>
          <cell r="BI712">
            <v>100000</v>
          </cell>
          <cell r="BJ712">
            <v>2750000</v>
          </cell>
          <cell r="BK712">
            <v>0</v>
          </cell>
          <cell r="BL712">
            <v>2750000</v>
          </cell>
        </row>
        <row r="713">
          <cell r="D713" t="str">
            <v>OS</v>
          </cell>
          <cell r="E713"/>
          <cell r="F713">
            <v>693</v>
          </cell>
          <cell r="G713" t="str">
            <v>SOLD</v>
          </cell>
          <cell r="H713" t="str">
            <v>OS</v>
          </cell>
          <cell r="I713" t="str">
            <v>OS</v>
          </cell>
          <cell r="J713" t="str">
            <v>OS</v>
          </cell>
          <cell r="K713" t="str">
            <v>OS</v>
          </cell>
          <cell r="L713" t="str">
            <v>OS</v>
          </cell>
          <cell r="M713" t="str">
            <v>OS</v>
          </cell>
          <cell r="N713" t="str">
            <v>OS</v>
          </cell>
          <cell r="O713" t="str">
            <v>OS</v>
          </cell>
          <cell r="P713" t="str">
            <v>OS</v>
          </cell>
          <cell r="Q713" t="str">
            <v>OS</v>
          </cell>
          <cell r="R713" t="str">
            <v>OS</v>
          </cell>
          <cell r="S713" t="str">
            <v>OS</v>
          </cell>
          <cell r="T713" t="str">
            <v>OS</v>
          </cell>
          <cell r="U713" t="str">
            <v>OS</v>
          </cell>
          <cell r="V713" t="str">
            <v>OS</v>
          </cell>
          <cell r="W713" t="str">
            <v>OS</v>
          </cell>
          <cell r="X713" t="str">
            <v>OS</v>
          </cell>
          <cell r="Y713" t="str">
            <v>OS</v>
          </cell>
          <cell r="Z713" t="str">
            <v>OS</v>
          </cell>
          <cell r="AA713" t="str">
            <v>OS</v>
          </cell>
          <cell r="AB713" t="str">
            <v>OS</v>
          </cell>
          <cell r="AC713" t="str">
            <v>OS</v>
          </cell>
          <cell r="AD713" t="str">
            <v>AGM-01-029-035</v>
          </cell>
          <cell r="AE713" t="str">
            <v xml:space="preserve">Raemulan Lands, Inc. </v>
          </cell>
          <cell r="AF713" t="str">
            <v>Agapeya</v>
          </cell>
          <cell r="AG713" t="str">
            <v>AGM</v>
          </cell>
          <cell r="AH713" t="str">
            <v>Eco-High</v>
          </cell>
          <cell r="AI713" t="str">
            <v>West</v>
          </cell>
          <cell r="AJ713" t="str">
            <v>With LTS</v>
          </cell>
          <cell r="AK713" t="str">
            <v>Unaffected lots</v>
          </cell>
          <cell r="AL713" t="str">
            <v>Unaffected lots</v>
          </cell>
          <cell r="AM713" t="b">
            <v>1</v>
          </cell>
          <cell r="AN713" t="str">
            <v>YES</v>
          </cell>
          <cell r="AO713" t="str">
            <v>2024 Batch</v>
          </cell>
          <cell r="AP713">
            <v>70</v>
          </cell>
          <cell r="AQ713" t="str">
            <v>PCS-04-034298</v>
          </cell>
          <cell r="AR713" t="b">
            <v>1</v>
          </cell>
          <cell r="AS713" t="str">
            <v>Done</v>
          </cell>
          <cell r="AT713" t="str">
            <v>2024 Batch</v>
          </cell>
          <cell r="AU713">
            <v>29</v>
          </cell>
          <cell r="AV713">
            <v>35</v>
          </cell>
          <cell r="AW713" t="str">
            <v>H+L</v>
          </cell>
          <cell r="AX713">
            <v>70</v>
          </cell>
          <cell r="AY713">
            <v>50</v>
          </cell>
          <cell r="AZ713" t="str">
            <v>Duplex</v>
          </cell>
          <cell r="BA713">
            <v>1</v>
          </cell>
          <cell r="BB713" t="str">
            <v>326 - With Partition</v>
          </cell>
          <cell r="BC713" t="str">
            <v>With Partition</v>
          </cell>
          <cell r="BD713" t="str">
            <v>Slant</v>
          </cell>
          <cell r="BE713" t="str">
            <v>With Partition</v>
          </cell>
          <cell r="BF713" t="str">
            <v>PINK</v>
          </cell>
          <cell r="BG713">
            <v>2850000</v>
          </cell>
          <cell r="BH713">
            <v>2850000</v>
          </cell>
          <cell r="BI713">
            <v>100000</v>
          </cell>
          <cell r="BJ713">
            <v>2750000</v>
          </cell>
          <cell r="BK713">
            <v>0</v>
          </cell>
          <cell r="BL713">
            <v>2750000</v>
          </cell>
        </row>
        <row r="714">
          <cell r="D714" t="str">
            <v>TS</v>
          </cell>
          <cell r="E714"/>
          <cell r="F714">
            <v>694</v>
          </cell>
          <cell r="G714" t="str">
            <v>SOLD</v>
          </cell>
          <cell r="H714" t="str">
            <v>OS</v>
          </cell>
          <cell r="I714" t="str">
            <v>OS</v>
          </cell>
          <cell r="J714" t="str">
            <v>OS</v>
          </cell>
          <cell r="K714" t="str">
            <v>OS</v>
          </cell>
          <cell r="L714" t="str">
            <v>OS</v>
          </cell>
          <cell r="M714" t="str">
            <v>OS</v>
          </cell>
          <cell r="N714" t="str">
            <v>OS</v>
          </cell>
          <cell r="O714" t="str">
            <v>OS</v>
          </cell>
          <cell r="P714" t="str">
            <v>OS</v>
          </cell>
          <cell r="Q714" t="str">
            <v>OS</v>
          </cell>
          <cell r="R714" t="str">
            <v>OS</v>
          </cell>
          <cell r="S714" t="str">
            <v>OS</v>
          </cell>
          <cell r="T714" t="str">
            <v>OS</v>
          </cell>
          <cell r="U714" t="str">
            <v>OS</v>
          </cell>
          <cell r="V714" t="str">
            <v>OS</v>
          </cell>
          <cell r="W714" t="str">
            <v>OS</v>
          </cell>
          <cell r="X714" t="str">
            <v>FOR CANCELLATION</v>
          </cell>
          <cell r="Y714" t="str">
            <v>FOR CANCELLATION</v>
          </cell>
          <cell r="Z714" t="str">
            <v>TS</v>
          </cell>
          <cell r="AA714" t="str">
            <v>TS</v>
          </cell>
          <cell r="AB714" t="str">
            <v>FOR CANCELLATION</v>
          </cell>
          <cell r="AC714" t="str">
            <v>FOR CANCELLATION</v>
          </cell>
          <cell r="AD714" t="str">
            <v>AGM-01-029-036</v>
          </cell>
          <cell r="AE714" t="str">
            <v xml:space="preserve">Raemulan Lands, Inc. </v>
          </cell>
          <cell r="AF714" t="str">
            <v>Agapeya</v>
          </cell>
          <cell r="AG714" t="str">
            <v>AGM</v>
          </cell>
          <cell r="AH714" t="str">
            <v>Eco-High</v>
          </cell>
          <cell r="AI714" t="str">
            <v>West</v>
          </cell>
          <cell r="AJ714" t="str">
            <v>With LTS</v>
          </cell>
          <cell r="AK714" t="str">
            <v>Unaffected lots</v>
          </cell>
          <cell r="AL714" t="str">
            <v>Unaffected lots</v>
          </cell>
          <cell r="AM714" t="b">
            <v>1</v>
          </cell>
          <cell r="AN714" t="str">
            <v>YES</v>
          </cell>
          <cell r="AO714" t="str">
            <v>2024 Batch</v>
          </cell>
          <cell r="AP714">
            <v>105</v>
          </cell>
          <cell r="AQ714" t="str">
            <v>PCS-04-034298</v>
          </cell>
          <cell r="AR714" t="b">
            <v>1</v>
          </cell>
          <cell r="AS714" t="str">
            <v>Done</v>
          </cell>
          <cell r="AT714" t="str">
            <v>2024 Batch</v>
          </cell>
          <cell r="AU714">
            <v>29</v>
          </cell>
          <cell r="AV714">
            <v>36</v>
          </cell>
          <cell r="AW714" t="str">
            <v>H+L</v>
          </cell>
          <cell r="AX714">
            <v>105</v>
          </cell>
          <cell r="AY714">
            <v>50</v>
          </cell>
          <cell r="AZ714" t="str">
            <v>Duplex</v>
          </cell>
          <cell r="BA714">
            <v>1</v>
          </cell>
          <cell r="BB714" t="str">
            <v>326 - With Partition</v>
          </cell>
          <cell r="BC714" t="str">
            <v>With Partition</v>
          </cell>
          <cell r="BD714" t="str">
            <v>Flat</v>
          </cell>
          <cell r="BE714" t="str">
            <v>With Partition</v>
          </cell>
          <cell r="BF714" t="str">
            <v>PINK</v>
          </cell>
          <cell r="BG714">
            <v>3130000</v>
          </cell>
          <cell r="BH714">
            <v>3375000</v>
          </cell>
          <cell r="BI714">
            <v>100000</v>
          </cell>
          <cell r="BJ714">
            <v>3275000</v>
          </cell>
          <cell r="BK714">
            <v>0</v>
          </cell>
          <cell r="BL714">
            <v>3275000</v>
          </cell>
        </row>
        <row r="715">
          <cell r="D715" t="str">
            <v>OS</v>
          </cell>
          <cell r="E715"/>
          <cell r="F715">
            <v>695</v>
          </cell>
          <cell r="G715" t="str">
            <v>CLOSED</v>
          </cell>
          <cell r="H715" t="str">
            <v>TS</v>
          </cell>
          <cell r="I715" t="str">
            <v>TS</v>
          </cell>
          <cell r="J715" t="str">
            <v>OS</v>
          </cell>
          <cell r="K715" t="str">
            <v>OS</v>
          </cell>
          <cell r="L715" t="str">
            <v>OS</v>
          </cell>
          <cell r="M715" t="str">
            <v>OS</v>
          </cell>
          <cell r="N715" t="str">
            <v>OS</v>
          </cell>
          <cell r="O715" t="str">
            <v>OS</v>
          </cell>
          <cell r="P715" t="str">
            <v>OS</v>
          </cell>
          <cell r="Q715" t="str">
            <v>OS</v>
          </cell>
          <cell r="R715" t="str">
            <v>OS</v>
          </cell>
          <cell r="S715" t="str">
            <v>OS</v>
          </cell>
          <cell r="T715" t="str">
            <v>OS</v>
          </cell>
          <cell r="U715" t="str">
            <v>OS</v>
          </cell>
          <cell r="V715" t="str">
            <v>OS</v>
          </cell>
          <cell r="W715" t="str">
            <v>OS</v>
          </cell>
          <cell r="X715" t="str">
            <v>OS</v>
          </cell>
          <cell r="Y715" t="str">
            <v>OS</v>
          </cell>
          <cell r="Z715" t="str">
            <v>OS</v>
          </cell>
          <cell r="AA715" t="str">
            <v>OS</v>
          </cell>
          <cell r="AB715" t="str">
            <v>OS</v>
          </cell>
          <cell r="AC715" t="str">
            <v>OS</v>
          </cell>
          <cell r="AD715" t="str">
            <v>AGM-01-030-001</v>
          </cell>
          <cell r="AE715" t="str">
            <v xml:space="preserve">Raemulan Lands, Inc. </v>
          </cell>
          <cell r="AF715" t="str">
            <v>Agapeya</v>
          </cell>
          <cell r="AG715" t="str">
            <v>AGM</v>
          </cell>
          <cell r="AH715" t="str">
            <v>Eco-High</v>
          </cell>
          <cell r="AI715" t="str">
            <v>West</v>
          </cell>
          <cell r="AJ715" t="str">
            <v>With LTS</v>
          </cell>
          <cell r="AK715" t="str">
            <v>Unaffected lots</v>
          </cell>
          <cell r="AL715" t="str">
            <v>Unaffected lots</v>
          </cell>
          <cell r="AM715" t="b">
            <v>1</v>
          </cell>
          <cell r="AN715" t="str">
            <v>YES</v>
          </cell>
          <cell r="AO715" t="str">
            <v>B4 2025</v>
          </cell>
          <cell r="AP715">
            <v>70</v>
          </cell>
          <cell r="AQ715" t="str">
            <v>PCS-04-034298</v>
          </cell>
          <cell r="AR715" t="b">
            <v>1</v>
          </cell>
          <cell r="AS715" t="str">
            <v>Done</v>
          </cell>
          <cell r="AT715" t="str">
            <v>2025 - Batch 6</v>
          </cell>
          <cell r="AU715">
            <v>30</v>
          </cell>
          <cell r="AV715">
            <v>1</v>
          </cell>
          <cell r="AW715" t="str">
            <v>H+L</v>
          </cell>
          <cell r="AX715">
            <v>70</v>
          </cell>
          <cell r="AY715">
            <v>50</v>
          </cell>
          <cell r="AZ715" t="str">
            <v>Duplex</v>
          </cell>
          <cell r="BA715">
            <v>0.91453322784810109</v>
          </cell>
          <cell r="BB715" t="str">
            <v>568 - Without Partition</v>
          </cell>
          <cell r="BC715" t="str">
            <v xml:space="preserve">Without Partition </v>
          </cell>
          <cell r="BD715" t="str">
            <v>Slant</v>
          </cell>
          <cell r="BE715" t="str">
            <v xml:space="preserve">Without Partition </v>
          </cell>
          <cell r="BF715" t="str">
            <v>PINK</v>
          </cell>
          <cell r="BG715">
            <v>2500000</v>
          </cell>
          <cell r="BH715">
            <v>2650000</v>
          </cell>
          <cell r="BI715">
            <v>100000</v>
          </cell>
          <cell r="BJ715">
            <v>2550000</v>
          </cell>
          <cell r="BK715">
            <v>0</v>
          </cell>
          <cell r="BL715">
            <v>2550000</v>
          </cell>
        </row>
        <row r="716">
          <cell r="D716" t="str">
            <v>OS</v>
          </cell>
          <cell r="E716"/>
          <cell r="F716">
            <v>696</v>
          </cell>
          <cell r="G716" t="str">
            <v>CLOSED</v>
          </cell>
          <cell r="H716" t="str">
            <v>TS</v>
          </cell>
          <cell r="I716" t="str">
            <v>TS</v>
          </cell>
          <cell r="J716" t="str">
            <v>OS</v>
          </cell>
          <cell r="K716" t="str">
            <v>OS</v>
          </cell>
          <cell r="L716" t="str">
            <v>OS</v>
          </cell>
          <cell r="M716" t="str">
            <v>OS</v>
          </cell>
          <cell r="N716" t="str">
            <v>OS</v>
          </cell>
          <cell r="O716" t="str">
            <v>OS</v>
          </cell>
          <cell r="P716" t="str">
            <v>OS</v>
          </cell>
          <cell r="Q716" t="str">
            <v>OS</v>
          </cell>
          <cell r="R716" t="str">
            <v>OS</v>
          </cell>
          <cell r="S716" t="str">
            <v>OS</v>
          </cell>
          <cell r="T716" t="str">
            <v>OS</v>
          </cell>
          <cell r="U716" t="str">
            <v>OS</v>
          </cell>
          <cell r="V716" t="str">
            <v>OS</v>
          </cell>
          <cell r="W716" t="str">
            <v>OS</v>
          </cell>
          <cell r="X716" t="str">
            <v>OS</v>
          </cell>
          <cell r="Y716" t="str">
            <v>OS</v>
          </cell>
          <cell r="Z716" t="str">
            <v>OS</v>
          </cell>
          <cell r="AA716" t="str">
            <v>OS</v>
          </cell>
          <cell r="AB716" t="str">
            <v>OS</v>
          </cell>
          <cell r="AC716" t="str">
            <v>OS</v>
          </cell>
          <cell r="AD716" t="str">
            <v>AGM-01-030-002</v>
          </cell>
          <cell r="AE716" t="str">
            <v xml:space="preserve">Raemulan Lands, Inc. </v>
          </cell>
          <cell r="AF716" t="str">
            <v>Agapeya</v>
          </cell>
          <cell r="AG716" t="str">
            <v>AGM</v>
          </cell>
          <cell r="AH716" t="str">
            <v>Eco-High</v>
          </cell>
          <cell r="AI716" t="str">
            <v>West</v>
          </cell>
          <cell r="AJ716" t="str">
            <v>With LTS</v>
          </cell>
          <cell r="AK716" t="str">
            <v>Unaffected lots</v>
          </cell>
          <cell r="AL716" t="str">
            <v>Unaffected lots</v>
          </cell>
          <cell r="AM716" t="b">
            <v>1</v>
          </cell>
          <cell r="AN716" t="str">
            <v>YES</v>
          </cell>
          <cell r="AO716" t="str">
            <v>B4 2025</v>
          </cell>
          <cell r="AP716">
            <v>70</v>
          </cell>
          <cell r="AQ716" t="str">
            <v>PCS-04-034298</v>
          </cell>
          <cell r="AR716" t="b">
            <v>1</v>
          </cell>
          <cell r="AS716" t="str">
            <v>Done</v>
          </cell>
          <cell r="AT716" t="str">
            <v>2025 - Batch 6</v>
          </cell>
          <cell r="AU716">
            <v>30</v>
          </cell>
          <cell r="AV716">
            <v>2</v>
          </cell>
          <cell r="AW716" t="str">
            <v>H+L</v>
          </cell>
          <cell r="AX716">
            <v>70</v>
          </cell>
          <cell r="AY716">
            <v>50</v>
          </cell>
          <cell r="AZ716" t="str">
            <v>Duplex</v>
          </cell>
          <cell r="BA716">
            <v>0.91453322784810109</v>
          </cell>
          <cell r="BB716" t="str">
            <v>568 - Without Partition</v>
          </cell>
          <cell r="BC716" t="str">
            <v xml:space="preserve">Without Partition </v>
          </cell>
          <cell r="BD716" t="str">
            <v>Flat</v>
          </cell>
          <cell r="BE716" t="str">
            <v xml:space="preserve">Without Partition </v>
          </cell>
          <cell r="BF716" t="str">
            <v>PINK</v>
          </cell>
          <cell r="BG716">
            <v>2500000</v>
          </cell>
          <cell r="BH716">
            <v>2650000</v>
          </cell>
          <cell r="BI716">
            <v>100000</v>
          </cell>
          <cell r="BJ716">
            <v>2550000</v>
          </cell>
          <cell r="BK716">
            <v>0</v>
          </cell>
          <cell r="BL716">
            <v>2550000</v>
          </cell>
        </row>
        <row r="717">
          <cell r="D717" t="str">
            <v>OS</v>
          </cell>
          <cell r="E717"/>
          <cell r="F717">
            <v>697</v>
          </cell>
          <cell r="G717" t="str">
            <v>CLOSED</v>
          </cell>
          <cell r="H717" t="str">
            <v>TS</v>
          </cell>
          <cell r="I717" t="str">
            <v>TS</v>
          </cell>
          <cell r="J717" t="str">
            <v>TS</v>
          </cell>
          <cell r="K717" t="str">
            <v>TS</v>
          </cell>
          <cell r="L717" t="str">
            <v>TS</v>
          </cell>
          <cell r="M717" t="str">
            <v>TS</v>
          </cell>
          <cell r="N717" t="str">
            <v>TS</v>
          </cell>
          <cell r="O717" t="str">
            <v>TS</v>
          </cell>
          <cell r="P717" t="str">
            <v>TS</v>
          </cell>
          <cell r="Q717" t="str">
            <v>TS</v>
          </cell>
          <cell r="R717" t="str">
            <v>TS</v>
          </cell>
          <cell r="S717" t="str">
            <v>TS</v>
          </cell>
          <cell r="T717" t="str">
            <v>TS</v>
          </cell>
          <cell r="U717" t="str">
            <v>OS</v>
          </cell>
          <cell r="V717" t="str">
            <v>OS</v>
          </cell>
          <cell r="W717" t="str">
            <v>OS</v>
          </cell>
          <cell r="X717" t="str">
            <v>OS</v>
          </cell>
          <cell r="Y717" t="str">
            <v>OS</v>
          </cell>
          <cell r="Z717" t="str">
            <v>OS</v>
          </cell>
          <cell r="AA717" t="str">
            <v>OS</v>
          </cell>
          <cell r="AB717" t="str">
            <v>OS</v>
          </cell>
          <cell r="AC717" t="str">
            <v>OS</v>
          </cell>
          <cell r="AD717" t="str">
            <v>AGM-01-030-003</v>
          </cell>
          <cell r="AE717" t="str">
            <v xml:space="preserve">Raemulan Lands, Inc. </v>
          </cell>
          <cell r="AF717" t="str">
            <v>Agapeya</v>
          </cell>
          <cell r="AG717" t="str">
            <v>AGM</v>
          </cell>
          <cell r="AH717" t="str">
            <v>Eco-High</v>
          </cell>
          <cell r="AI717" t="str">
            <v>West</v>
          </cell>
          <cell r="AJ717" t="str">
            <v>With LTS</v>
          </cell>
          <cell r="AK717" t="str">
            <v>Unaffected lots</v>
          </cell>
          <cell r="AL717" t="str">
            <v>Unaffected lots</v>
          </cell>
          <cell r="AM717" t="b">
            <v>1</v>
          </cell>
          <cell r="AN717" t="str">
            <v>YES</v>
          </cell>
          <cell r="AO717" t="str">
            <v>B4 2025</v>
          </cell>
          <cell r="AP717">
            <v>70</v>
          </cell>
          <cell r="AQ717" t="str">
            <v>PCS-04-034298</v>
          </cell>
          <cell r="AR717" t="b">
            <v>1</v>
          </cell>
          <cell r="AS717" t="str">
            <v>Done</v>
          </cell>
          <cell r="AT717" t="str">
            <v>2025 - Batch 6</v>
          </cell>
          <cell r="AU717">
            <v>30</v>
          </cell>
          <cell r="AV717">
            <v>3</v>
          </cell>
          <cell r="AW717" t="str">
            <v>H+L</v>
          </cell>
          <cell r="AX717">
            <v>70</v>
          </cell>
          <cell r="AY717">
            <v>50</v>
          </cell>
          <cell r="AZ717" t="str">
            <v>Duplex</v>
          </cell>
          <cell r="BA717">
            <v>0.91453322784810109</v>
          </cell>
          <cell r="BB717" t="str">
            <v>568 - Without Partition</v>
          </cell>
          <cell r="BC717" t="str">
            <v xml:space="preserve">Without Partition </v>
          </cell>
          <cell r="BD717" t="str">
            <v>Flat</v>
          </cell>
          <cell r="BE717" t="str">
            <v xml:space="preserve">Without Partition </v>
          </cell>
          <cell r="BF717" t="str">
            <v>PINK</v>
          </cell>
          <cell r="BG717">
            <v>2500000</v>
          </cell>
          <cell r="BH717">
            <v>2650000</v>
          </cell>
          <cell r="BI717">
            <v>100000</v>
          </cell>
          <cell r="BJ717">
            <v>2550000</v>
          </cell>
          <cell r="BK717">
            <v>0</v>
          </cell>
          <cell r="BL717">
            <v>2550000</v>
          </cell>
        </row>
        <row r="718">
          <cell r="D718" t="str">
            <v>OS</v>
          </cell>
          <cell r="E718"/>
          <cell r="F718">
            <v>698</v>
          </cell>
          <cell r="G718" t="str">
            <v>CLOSED</v>
          </cell>
          <cell r="H718" t="str">
            <v>OPEN</v>
          </cell>
          <cell r="I718" t="str">
            <v>TS</v>
          </cell>
          <cell r="J718" t="str">
            <v>TS</v>
          </cell>
          <cell r="K718" t="str">
            <v>TS</v>
          </cell>
          <cell r="L718" t="str">
            <v>TS</v>
          </cell>
          <cell r="M718" t="str">
            <v>TS</v>
          </cell>
          <cell r="N718" t="str">
            <v>OS</v>
          </cell>
          <cell r="O718" t="str">
            <v>OS</v>
          </cell>
          <cell r="P718" t="str">
            <v>OS</v>
          </cell>
          <cell r="Q718" t="str">
            <v>OS</v>
          </cell>
          <cell r="R718" t="str">
            <v>OS</v>
          </cell>
          <cell r="S718" t="str">
            <v>OS</v>
          </cell>
          <cell r="T718" t="str">
            <v>OS</v>
          </cell>
          <cell r="U718" t="str">
            <v>OS</v>
          </cell>
          <cell r="V718" t="str">
            <v>OS</v>
          </cell>
          <cell r="W718" t="str">
            <v>OS</v>
          </cell>
          <cell r="X718" t="str">
            <v>OS</v>
          </cell>
          <cell r="Y718" t="str">
            <v>OS</v>
          </cell>
          <cell r="Z718" t="str">
            <v>OS</v>
          </cell>
          <cell r="AA718" t="str">
            <v>OS</v>
          </cell>
          <cell r="AB718" t="str">
            <v>OS</v>
          </cell>
          <cell r="AC718" t="str">
            <v>OS</v>
          </cell>
          <cell r="AD718" t="str">
            <v>AGM-01-030-004</v>
          </cell>
          <cell r="AE718" t="str">
            <v xml:space="preserve">Raemulan Lands, Inc. </v>
          </cell>
          <cell r="AF718" t="str">
            <v>Agapeya</v>
          </cell>
          <cell r="AG718" t="str">
            <v>AGM</v>
          </cell>
          <cell r="AH718" t="str">
            <v>Eco-High</v>
          </cell>
          <cell r="AI718" t="str">
            <v>West</v>
          </cell>
          <cell r="AJ718" t="str">
            <v>With LTS</v>
          </cell>
          <cell r="AK718" t="str">
            <v>Unaffected lots</v>
          </cell>
          <cell r="AL718" t="str">
            <v>Unaffected lots</v>
          </cell>
          <cell r="AM718" t="b">
            <v>1</v>
          </cell>
          <cell r="AN718" t="str">
            <v>YES</v>
          </cell>
          <cell r="AO718" t="str">
            <v>B4 2025</v>
          </cell>
          <cell r="AP718">
            <v>70</v>
          </cell>
          <cell r="AQ718" t="str">
            <v>PCS-04-034298</v>
          </cell>
          <cell r="AR718" t="b">
            <v>1</v>
          </cell>
          <cell r="AS718" t="str">
            <v>Done</v>
          </cell>
          <cell r="AT718" t="str">
            <v>2025 - Batch 6</v>
          </cell>
          <cell r="AU718">
            <v>30</v>
          </cell>
          <cell r="AV718">
            <v>4</v>
          </cell>
          <cell r="AW718" t="str">
            <v>H+L</v>
          </cell>
          <cell r="AX718">
            <v>70</v>
          </cell>
          <cell r="AY718">
            <v>50</v>
          </cell>
          <cell r="AZ718" t="str">
            <v>Duplex</v>
          </cell>
          <cell r="BA718">
            <v>0.91453322784810109</v>
          </cell>
          <cell r="BB718" t="str">
            <v>568 - Without Partition</v>
          </cell>
          <cell r="BC718" t="str">
            <v xml:space="preserve">Without Partition </v>
          </cell>
          <cell r="BD718" t="str">
            <v>Slant</v>
          </cell>
          <cell r="BE718" t="str">
            <v xml:space="preserve">Without Partition </v>
          </cell>
          <cell r="BF718" t="str">
            <v>PINK</v>
          </cell>
          <cell r="BG718">
            <v>2500000</v>
          </cell>
          <cell r="BH718">
            <v>2650000</v>
          </cell>
          <cell r="BI718">
            <v>100000</v>
          </cell>
          <cell r="BJ718">
            <v>2550000</v>
          </cell>
          <cell r="BK718">
            <v>0</v>
          </cell>
          <cell r="BL718">
            <v>2550000</v>
          </cell>
        </row>
        <row r="719">
          <cell r="D719" t="str">
            <v>OS</v>
          </cell>
          <cell r="E719"/>
          <cell r="F719">
            <v>699</v>
          </cell>
          <cell r="G719" t="str">
            <v>CLOSED</v>
          </cell>
          <cell r="H719" t="str">
            <v>TS</v>
          </cell>
          <cell r="I719" t="str">
            <v>TS</v>
          </cell>
          <cell r="J719" t="str">
            <v>OS</v>
          </cell>
          <cell r="K719" t="str">
            <v>OS</v>
          </cell>
          <cell r="L719" t="str">
            <v>OS</v>
          </cell>
          <cell r="M719" t="str">
            <v>OS</v>
          </cell>
          <cell r="N719" t="str">
            <v>OS</v>
          </cell>
          <cell r="O719" t="str">
            <v>OS</v>
          </cell>
          <cell r="P719" t="str">
            <v>OS</v>
          </cell>
          <cell r="Q719" t="str">
            <v>OS</v>
          </cell>
          <cell r="R719" t="str">
            <v>OS</v>
          </cell>
          <cell r="S719" t="str">
            <v>OS</v>
          </cell>
          <cell r="T719" t="str">
            <v>OS</v>
          </cell>
          <cell r="U719" t="str">
            <v>OS</v>
          </cell>
          <cell r="V719" t="str">
            <v>OS</v>
          </cell>
          <cell r="W719" t="str">
            <v>OS</v>
          </cell>
          <cell r="X719" t="str">
            <v>OS</v>
          </cell>
          <cell r="Y719" t="str">
            <v>OS</v>
          </cell>
          <cell r="Z719" t="str">
            <v>OS</v>
          </cell>
          <cell r="AA719" t="str">
            <v>OS</v>
          </cell>
          <cell r="AB719" t="str">
            <v>OS</v>
          </cell>
          <cell r="AC719" t="str">
            <v>OS</v>
          </cell>
          <cell r="AD719" t="str">
            <v>AGM-01-030-005</v>
          </cell>
          <cell r="AE719" t="str">
            <v xml:space="preserve">Raemulan Lands, Inc. </v>
          </cell>
          <cell r="AF719" t="str">
            <v>Agapeya</v>
          </cell>
          <cell r="AG719" t="str">
            <v>AGM</v>
          </cell>
          <cell r="AH719" t="str">
            <v>Eco-High</v>
          </cell>
          <cell r="AI719" t="str">
            <v>West</v>
          </cell>
          <cell r="AJ719" t="str">
            <v>With LTS</v>
          </cell>
          <cell r="AK719" t="str">
            <v>Unaffected lots</v>
          </cell>
          <cell r="AL719" t="str">
            <v>Unaffected lots</v>
          </cell>
          <cell r="AM719" t="b">
            <v>1</v>
          </cell>
          <cell r="AN719" t="str">
            <v>YES</v>
          </cell>
          <cell r="AO719" t="str">
            <v>B4 2025</v>
          </cell>
          <cell r="AP719">
            <v>70</v>
          </cell>
          <cell r="AQ719" t="str">
            <v>PCS-04-034298</v>
          </cell>
          <cell r="AR719" t="b">
            <v>1</v>
          </cell>
          <cell r="AS719" t="str">
            <v>Done</v>
          </cell>
          <cell r="AT719" t="str">
            <v>2025 - Batch 6</v>
          </cell>
          <cell r="AU719">
            <v>30</v>
          </cell>
          <cell r="AV719">
            <v>5</v>
          </cell>
          <cell r="AW719" t="str">
            <v>H+L</v>
          </cell>
          <cell r="AX719">
            <v>70</v>
          </cell>
          <cell r="AY719">
            <v>50</v>
          </cell>
          <cell r="AZ719" t="str">
            <v>Duplex</v>
          </cell>
          <cell r="BA719">
            <v>0.91460759493670873</v>
          </cell>
          <cell r="BB719" t="str">
            <v>568 - Without Partition</v>
          </cell>
          <cell r="BC719" t="str">
            <v xml:space="preserve">Without Partition </v>
          </cell>
          <cell r="BD719" t="str">
            <v>Slant</v>
          </cell>
          <cell r="BE719" t="str">
            <v xml:space="preserve">Without Partition </v>
          </cell>
          <cell r="BF719" t="str">
            <v>YELLOW</v>
          </cell>
          <cell r="BG719">
            <v>2500000</v>
          </cell>
          <cell r="BH719">
            <v>2650000</v>
          </cell>
          <cell r="BI719">
            <v>100000</v>
          </cell>
          <cell r="BJ719">
            <v>2550000</v>
          </cell>
          <cell r="BK719">
            <v>0</v>
          </cell>
          <cell r="BL719">
            <v>2550000</v>
          </cell>
        </row>
        <row r="720">
          <cell r="D720" t="str">
            <v>OS</v>
          </cell>
          <cell r="E720"/>
          <cell r="F720">
            <v>700</v>
          </cell>
          <cell r="G720" t="str">
            <v>CLOSED</v>
          </cell>
          <cell r="H720" t="str">
            <v>TS</v>
          </cell>
          <cell r="I720" t="str">
            <v>TS</v>
          </cell>
          <cell r="J720" t="str">
            <v>OS</v>
          </cell>
          <cell r="K720" t="str">
            <v>OS</v>
          </cell>
          <cell r="L720" t="str">
            <v>OS</v>
          </cell>
          <cell r="M720" t="str">
            <v>OS</v>
          </cell>
          <cell r="N720" t="str">
            <v>OS</v>
          </cell>
          <cell r="O720" t="str">
            <v>OS</v>
          </cell>
          <cell r="P720" t="str">
            <v>OS</v>
          </cell>
          <cell r="Q720" t="str">
            <v>OS</v>
          </cell>
          <cell r="R720" t="str">
            <v>OS</v>
          </cell>
          <cell r="S720" t="str">
            <v>OS</v>
          </cell>
          <cell r="T720" t="str">
            <v>OS</v>
          </cell>
          <cell r="U720" t="str">
            <v>OS</v>
          </cell>
          <cell r="V720" t="str">
            <v>OS</v>
          </cell>
          <cell r="W720" t="str">
            <v>OS</v>
          </cell>
          <cell r="X720" t="str">
            <v>OS</v>
          </cell>
          <cell r="Y720" t="str">
            <v>OS</v>
          </cell>
          <cell r="Z720" t="str">
            <v>OS</v>
          </cell>
          <cell r="AA720" t="str">
            <v>OS</v>
          </cell>
          <cell r="AB720" t="str">
            <v>OS</v>
          </cell>
          <cell r="AC720" t="str">
            <v>OS</v>
          </cell>
          <cell r="AD720" t="str">
            <v>AGM-01-030-006</v>
          </cell>
          <cell r="AE720" t="str">
            <v xml:space="preserve">Raemulan Lands, Inc. </v>
          </cell>
          <cell r="AF720" t="str">
            <v>Agapeya</v>
          </cell>
          <cell r="AG720" t="str">
            <v>AGM</v>
          </cell>
          <cell r="AH720" t="str">
            <v>Eco-High</v>
          </cell>
          <cell r="AI720" t="str">
            <v>West</v>
          </cell>
          <cell r="AJ720" t="str">
            <v>With LTS</v>
          </cell>
          <cell r="AK720" t="str">
            <v>Unaffected lots</v>
          </cell>
          <cell r="AL720" t="str">
            <v>Unaffected lots</v>
          </cell>
          <cell r="AM720" t="b">
            <v>1</v>
          </cell>
          <cell r="AN720" t="str">
            <v>YES</v>
          </cell>
          <cell r="AO720" t="str">
            <v>B4 2025</v>
          </cell>
          <cell r="AP720">
            <v>70</v>
          </cell>
          <cell r="AQ720" t="str">
            <v>PCS-04-034298</v>
          </cell>
          <cell r="AR720" t="b">
            <v>1</v>
          </cell>
          <cell r="AS720" t="str">
            <v>Done</v>
          </cell>
          <cell r="AT720" t="str">
            <v>2025 - Batch 6</v>
          </cell>
          <cell r="AU720">
            <v>30</v>
          </cell>
          <cell r="AV720">
            <v>6</v>
          </cell>
          <cell r="AW720" t="str">
            <v>H+L</v>
          </cell>
          <cell r="AX720">
            <v>70</v>
          </cell>
          <cell r="AY720">
            <v>50</v>
          </cell>
          <cell r="AZ720" t="str">
            <v>Duplex</v>
          </cell>
          <cell r="BA720">
            <v>0.91460759493670873</v>
          </cell>
          <cell r="BB720" t="str">
            <v>568 - Without Partition</v>
          </cell>
          <cell r="BC720" t="str">
            <v xml:space="preserve">Without Partition </v>
          </cell>
          <cell r="BD720" t="str">
            <v>Flat</v>
          </cell>
          <cell r="BE720" t="str">
            <v xml:space="preserve">Without Partition </v>
          </cell>
          <cell r="BF720" t="str">
            <v>YELLOW</v>
          </cell>
          <cell r="BG720">
            <v>2500000</v>
          </cell>
          <cell r="BH720">
            <v>2650000</v>
          </cell>
          <cell r="BI720">
            <v>100000</v>
          </cell>
          <cell r="BJ720">
            <v>2550000</v>
          </cell>
          <cell r="BK720">
            <v>0</v>
          </cell>
          <cell r="BL720">
            <v>2550000</v>
          </cell>
        </row>
        <row r="721">
          <cell r="D721" t="str">
            <v>TS</v>
          </cell>
          <cell r="E721"/>
          <cell r="F721">
            <v>701</v>
          </cell>
          <cell r="G721" t="str">
            <v>CLOSED</v>
          </cell>
          <cell r="H721" t="str">
            <v>OPEN</v>
          </cell>
          <cell r="I721" t="str">
            <v>OPEN</v>
          </cell>
          <cell r="J721" t="str">
            <v>TS</v>
          </cell>
          <cell r="K721" t="str">
            <v>TS</v>
          </cell>
          <cell r="L721" t="str">
            <v>TS</v>
          </cell>
          <cell r="M721" t="str">
            <v>TS</v>
          </cell>
          <cell r="N721" t="str">
            <v>TS</v>
          </cell>
          <cell r="O721" t="str">
            <v>TS</v>
          </cell>
          <cell r="P721" t="str">
            <v>OS</v>
          </cell>
          <cell r="Q721" t="str">
            <v>OS</v>
          </cell>
          <cell r="R721" t="str">
            <v>OS</v>
          </cell>
          <cell r="S721" t="str">
            <v>OS</v>
          </cell>
          <cell r="T721" t="str">
            <v>OS</v>
          </cell>
          <cell r="U721" t="str">
            <v>OS</v>
          </cell>
          <cell r="V721" t="str">
            <v>OS</v>
          </cell>
          <cell r="W721" t="str">
            <v>OS</v>
          </cell>
          <cell r="X721" t="str">
            <v>OS</v>
          </cell>
          <cell r="Y721" t="str">
            <v>OS</v>
          </cell>
          <cell r="Z721" t="str">
            <v>TS</v>
          </cell>
          <cell r="AA721" t="str">
            <v>TS</v>
          </cell>
          <cell r="AB721" t="str">
            <v>OS</v>
          </cell>
          <cell r="AC721" t="str">
            <v>OS</v>
          </cell>
          <cell r="AD721" t="str">
            <v>AGM-01-030-007</v>
          </cell>
          <cell r="AE721" t="str">
            <v xml:space="preserve">Raemulan Lands, Inc. </v>
          </cell>
          <cell r="AF721" t="str">
            <v>Agapeya</v>
          </cell>
          <cell r="AG721" t="str">
            <v>AGM</v>
          </cell>
          <cell r="AH721" t="str">
            <v>Eco-High</v>
          </cell>
          <cell r="AI721" t="str">
            <v>West</v>
          </cell>
          <cell r="AJ721" t="str">
            <v>With LTS</v>
          </cell>
          <cell r="AK721" t="str">
            <v>Unaffected lots</v>
          </cell>
          <cell r="AL721" t="str">
            <v>Unaffected lots</v>
          </cell>
          <cell r="AM721" t="b">
            <v>1</v>
          </cell>
          <cell r="AN721" t="str">
            <v>YES</v>
          </cell>
          <cell r="AO721" t="str">
            <v>B4 2025</v>
          </cell>
          <cell r="AP721">
            <v>90</v>
          </cell>
          <cell r="AQ721" t="str">
            <v>PCS-04-034298</v>
          </cell>
          <cell r="AR721" t="b">
            <v>1</v>
          </cell>
          <cell r="AS721" t="str">
            <v>Done</v>
          </cell>
          <cell r="AT721" t="str">
            <v>2025 - Batch 6</v>
          </cell>
          <cell r="AU721">
            <v>30</v>
          </cell>
          <cell r="AV721">
            <v>7</v>
          </cell>
          <cell r="AW721" t="str">
            <v>H+L</v>
          </cell>
          <cell r="AX721">
            <v>90</v>
          </cell>
          <cell r="AY721">
            <v>50</v>
          </cell>
          <cell r="AZ721" t="str">
            <v>Duplex</v>
          </cell>
          <cell r="BA721">
            <v>0.91453322784810109</v>
          </cell>
          <cell r="BB721" t="str">
            <v>568 - Without Partition</v>
          </cell>
          <cell r="BC721" t="str">
            <v xml:space="preserve">Without Partition </v>
          </cell>
          <cell r="BD721" t="str">
            <v>Flat</v>
          </cell>
          <cell r="BE721" t="str">
            <v xml:space="preserve">Without Partition </v>
          </cell>
          <cell r="BF721" t="str">
            <v>YELLOW</v>
          </cell>
          <cell r="BG721">
            <v>2500000</v>
          </cell>
          <cell r="BH721">
            <v>2950000</v>
          </cell>
          <cell r="BI721">
            <v>100000</v>
          </cell>
          <cell r="BJ721">
            <v>2850000</v>
          </cell>
          <cell r="BK721">
            <v>0</v>
          </cell>
          <cell r="BL721">
            <v>2850000</v>
          </cell>
        </row>
        <row r="722">
          <cell r="D722" t="str">
            <v>OS</v>
          </cell>
          <cell r="E722"/>
          <cell r="F722">
            <v>702</v>
          </cell>
          <cell r="G722" t="str">
            <v>CLOSED</v>
          </cell>
          <cell r="H722" t="str">
            <v>OPEN</v>
          </cell>
          <cell r="I722" t="str">
            <v>TS</v>
          </cell>
          <cell r="J722" t="str">
            <v>TS</v>
          </cell>
          <cell r="K722" t="str">
            <v>TS</v>
          </cell>
          <cell r="L722" t="str">
            <v>TS</v>
          </cell>
          <cell r="M722" t="str">
            <v>TS</v>
          </cell>
          <cell r="N722" t="str">
            <v>TS</v>
          </cell>
          <cell r="O722" t="str">
            <v>TS</v>
          </cell>
          <cell r="P722" t="str">
            <v>OS</v>
          </cell>
          <cell r="Q722" t="str">
            <v>OS</v>
          </cell>
          <cell r="R722" t="str">
            <v>OS</v>
          </cell>
          <cell r="S722" t="str">
            <v>OS</v>
          </cell>
          <cell r="T722" t="str">
            <v>OS</v>
          </cell>
          <cell r="U722" t="str">
            <v>OS</v>
          </cell>
          <cell r="V722" t="str">
            <v>OS</v>
          </cell>
          <cell r="W722" t="str">
            <v>OS</v>
          </cell>
          <cell r="X722" t="str">
            <v>OS</v>
          </cell>
          <cell r="Y722" t="str">
            <v>OS</v>
          </cell>
          <cell r="Z722" t="str">
            <v>OS</v>
          </cell>
          <cell r="AA722" t="str">
            <v>OS</v>
          </cell>
          <cell r="AB722" t="str">
            <v>OS</v>
          </cell>
          <cell r="AC722" t="str">
            <v>OS</v>
          </cell>
          <cell r="AD722" t="str">
            <v>AGM-01-030-008</v>
          </cell>
          <cell r="AE722" t="str">
            <v xml:space="preserve">Raemulan Lands, Inc. </v>
          </cell>
          <cell r="AF722" t="str">
            <v>Agapeya</v>
          </cell>
          <cell r="AG722" t="str">
            <v>AGM</v>
          </cell>
          <cell r="AH722" t="str">
            <v>Eco-High</v>
          </cell>
          <cell r="AI722" t="str">
            <v>West</v>
          </cell>
          <cell r="AJ722" t="str">
            <v>With LTS</v>
          </cell>
          <cell r="AK722" t="str">
            <v>Unaffected lots</v>
          </cell>
          <cell r="AL722" t="str">
            <v>Unaffected lots</v>
          </cell>
          <cell r="AM722" t="b">
            <v>1</v>
          </cell>
          <cell r="AN722" t="str">
            <v>YES</v>
          </cell>
          <cell r="AO722" t="str">
            <v>B4 2025</v>
          </cell>
          <cell r="AP722">
            <v>90</v>
          </cell>
          <cell r="AQ722" t="str">
            <v>PCS-04-034298</v>
          </cell>
          <cell r="AR722" t="b">
            <v>1</v>
          </cell>
          <cell r="AS722" t="str">
            <v>Done</v>
          </cell>
          <cell r="AT722" t="str">
            <v>2025 - Batch 6</v>
          </cell>
          <cell r="AU722">
            <v>30</v>
          </cell>
          <cell r="AV722">
            <v>8</v>
          </cell>
          <cell r="AW722" t="str">
            <v>H+L</v>
          </cell>
          <cell r="AX722">
            <v>90</v>
          </cell>
          <cell r="AY722">
            <v>50</v>
          </cell>
          <cell r="AZ722" t="str">
            <v>Duplex</v>
          </cell>
          <cell r="BA722">
            <v>0.91453322784810109</v>
          </cell>
          <cell r="BB722" t="str">
            <v>568 - Without Partition</v>
          </cell>
          <cell r="BC722" t="str">
            <v xml:space="preserve">Without Partition </v>
          </cell>
          <cell r="BD722" t="str">
            <v>Slant</v>
          </cell>
          <cell r="BE722" t="str">
            <v xml:space="preserve">Without Partition </v>
          </cell>
          <cell r="BF722" t="str">
            <v>YELLOW</v>
          </cell>
          <cell r="BG722">
            <v>2500000</v>
          </cell>
          <cell r="BH722">
            <v>2950000</v>
          </cell>
          <cell r="BI722">
            <v>100000</v>
          </cell>
          <cell r="BJ722">
            <v>2850000</v>
          </cell>
          <cell r="BK722">
            <v>0</v>
          </cell>
          <cell r="BL722">
            <v>2850000</v>
          </cell>
        </row>
        <row r="723">
          <cell r="D723" t="str">
            <v>OS</v>
          </cell>
          <cell r="E723"/>
          <cell r="F723">
            <v>703</v>
          </cell>
          <cell r="G723" t="str">
            <v>CLOSED</v>
          </cell>
          <cell r="H723" t="str">
            <v>TS</v>
          </cell>
          <cell r="I723" t="str">
            <v>TS</v>
          </cell>
          <cell r="J723" t="str">
            <v>TS</v>
          </cell>
          <cell r="K723" t="str">
            <v>TS</v>
          </cell>
          <cell r="L723" t="str">
            <v>TS</v>
          </cell>
          <cell r="M723" t="str">
            <v>TS</v>
          </cell>
          <cell r="N723" t="str">
            <v>TS</v>
          </cell>
          <cell r="O723" t="str">
            <v>TS</v>
          </cell>
          <cell r="P723" t="str">
            <v>OS</v>
          </cell>
          <cell r="Q723" t="str">
            <v>OS</v>
          </cell>
          <cell r="R723" t="str">
            <v>OS</v>
          </cell>
          <cell r="S723" t="str">
            <v>OS</v>
          </cell>
          <cell r="T723" t="str">
            <v>OS</v>
          </cell>
          <cell r="U723" t="str">
            <v>OS</v>
          </cell>
          <cell r="V723" t="str">
            <v>OS</v>
          </cell>
          <cell r="W723" t="str">
            <v>OS</v>
          </cell>
          <cell r="X723" t="str">
            <v>OS</v>
          </cell>
          <cell r="Y723" t="str">
            <v>OS</v>
          </cell>
          <cell r="Z723" t="str">
            <v>OS</v>
          </cell>
          <cell r="AA723" t="str">
            <v>OS</v>
          </cell>
          <cell r="AB723" t="str">
            <v>OS</v>
          </cell>
          <cell r="AC723" t="str">
            <v>OS</v>
          </cell>
          <cell r="AD723" t="str">
            <v>AGM-01-031-001</v>
          </cell>
          <cell r="AE723" t="str">
            <v xml:space="preserve">Raemulan Lands, Inc. </v>
          </cell>
          <cell r="AF723" t="str">
            <v>Agapeya</v>
          </cell>
          <cell r="AG723" t="str">
            <v>AGM</v>
          </cell>
          <cell r="AH723" t="str">
            <v>Eco-High</v>
          </cell>
          <cell r="AI723" t="str">
            <v>West</v>
          </cell>
          <cell r="AJ723" t="str">
            <v>With LTS</v>
          </cell>
          <cell r="AK723" t="str">
            <v>Unaffected lots</v>
          </cell>
          <cell r="AL723" t="str">
            <v>Unaffected lots</v>
          </cell>
          <cell r="AM723" t="b">
            <v>1</v>
          </cell>
          <cell r="AN723" t="str">
            <v>YES</v>
          </cell>
          <cell r="AO723" t="str">
            <v>B3 2025</v>
          </cell>
          <cell r="AP723">
            <v>70</v>
          </cell>
          <cell r="AQ723" t="str">
            <v>PCS-04-034298</v>
          </cell>
          <cell r="AR723" t="b">
            <v>1</v>
          </cell>
          <cell r="AS723" t="str">
            <v>Done</v>
          </cell>
          <cell r="AT723" t="str">
            <v>2025 - Batch 6</v>
          </cell>
          <cell r="AU723">
            <v>31</v>
          </cell>
          <cell r="AV723">
            <v>1</v>
          </cell>
          <cell r="AW723" t="str">
            <v>H+L</v>
          </cell>
          <cell r="AX723">
            <v>70</v>
          </cell>
          <cell r="AY723">
            <v>50</v>
          </cell>
          <cell r="AZ723" t="str">
            <v>Duplex</v>
          </cell>
          <cell r="BA723">
            <v>1</v>
          </cell>
          <cell r="BB723" t="str">
            <v>568 - Without Partition</v>
          </cell>
          <cell r="BC723" t="str">
            <v xml:space="preserve">Without Partition </v>
          </cell>
          <cell r="BD723" t="str">
            <v>Flat</v>
          </cell>
          <cell r="BE723" t="str">
            <v xml:space="preserve">Without Partition </v>
          </cell>
          <cell r="BF723" t="str">
            <v>GREEN</v>
          </cell>
          <cell r="BG723">
            <v>2500000</v>
          </cell>
          <cell r="BH723">
            <v>2650000</v>
          </cell>
          <cell r="BI723">
            <v>100000</v>
          </cell>
          <cell r="BJ723">
            <v>2550000</v>
          </cell>
          <cell r="BK723">
            <v>0</v>
          </cell>
          <cell r="BL723">
            <v>2550000</v>
          </cell>
        </row>
        <row r="724">
          <cell r="D724" t="str">
            <v>OS</v>
          </cell>
          <cell r="E724"/>
          <cell r="F724">
            <v>704</v>
          </cell>
          <cell r="G724" t="str">
            <v>CLOSED</v>
          </cell>
          <cell r="H724" t="str">
            <v>TS</v>
          </cell>
          <cell r="I724" t="str">
            <v>TS</v>
          </cell>
          <cell r="J724" t="str">
            <v>TS</v>
          </cell>
          <cell r="K724" t="str">
            <v>TS</v>
          </cell>
          <cell r="L724" t="str">
            <v>TS</v>
          </cell>
          <cell r="M724" t="str">
            <v>TS</v>
          </cell>
          <cell r="N724" t="str">
            <v>OS</v>
          </cell>
          <cell r="O724" t="str">
            <v>OS</v>
          </cell>
          <cell r="P724" t="str">
            <v>OS</v>
          </cell>
          <cell r="Q724" t="str">
            <v>OS</v>
          </cell>
          <cell r="R724" t="str">
            <v>OS</v>
          </cell>
          <cell r="S724" t="str">
            <v>OS</v>
          </cell>
          <cell r="T724" t="str">
            <v>OS</v>
          </cell>
          <cell r="U724" t="str">
            <v>OS</v>
          </cell>
          <cell r="V724" t="str">
            <v>OS</v>
          </cell>
          <cell r="W724" t="str">
            <v>OS</v>
          </cell>
          <cell r="X724" t="str">
            <v>OS</v>
          </cell>
          <cell r="Y724" t="str">
            <v>OS</v>
          </cell>
          <cell r="Z724" t="str">
            <v>OS</v>
          </cell>
          <cell r="AA724" t="str">
            <v>OS</v>
          </cell>
          <cell r="AB724" t="str">
            <v>OS</v>
          </cell>
          <cell r="AC724" t="str">
            <v>OS</v>
          </cell>
          <cell r="AD724" t="str">
            <v>AGM-01-031-002</v>
          </cell>
          <cell r="AE724" t="str">
            <v xml:space="preserve">Raemulan Lands, Inc. </v>
          </cell>
          <cell r="AF724" t="str">
            <v>Agapeya</v>
          </cell>
          <cell r="AG724" t="str">
            <v>AGM</v>
          </cell>
          <cell r="AH724" t="str">
            <v>Eco-High</v>
          </cell>
          <cell r="AI724" t="str">
            <v>West</v>
          </cell>
          <cell r="AJ724" t="str">
            <v>With LTS</v>
          </cell>
          <cell r="AK724" t="str">
            <v>Unaffected lots</v>
          </cell>
          <cell r="AL724" t="str">
            <v>Unaffected lots</v>
          </cell>
          <cell r="AM724" t="b">
            <v>1</v>
          </cell>
          <cell r="AN724" t="str">
            <v>YES</v>
          </cell>
          <cell r="AO724" t="str">
            <v>B3 2025</v>
          </cell>
          <cell r="AP724">
            <v>70</v>
          </cell>
          <cell r="AQ724" t="str">
            <v>PCS-04-034298</v>
          </cell>
          <cell r="AR724" t="b">
            <v>1</v>
          </cell>
          <cell r="AS724" t="str">
            <v>Done</v>
          </cell>
          <cell r="AT724" t="str">
            <v>2025 - Batch 6</v>
          </cell>
          <cell r="AU724">
            <v>31</v>
          </cell>
          <cell r="AV724">
            <v>2</v>
          </cell>
          <cell r="AW724" t="str">
            <v>H+L</v>
          </cell>
          <cell r="AX724">
            <v>70</v>
          </cell>
          <cell r="AY724">
            <v>50</v>
          </cell>
          <cell r="AZ724" t="str">
            <v>Duplex</v>
          </cell>
          <cell r="BA724">
            <v>1</v>
          </cell>
          <cell r="BB724" t="str">
            <v>568 - Without Partition</v>
          </cell>
          <cell r="BC724" t="str">
            <v xml:space="preserve">Without Partition </v>
          </cell>
          <cell r="BD724" t="str">
            <v>Slant</v>
          </cell>
          <cell r="BE724" t="str">
            <v xml:space="preserve">Without Partition </v>
          </cell>
          <cell r="BF724" t="str">
            <v>GREEN</v>
          </cell>
          <cell r="BG724">
            <v>2500000</v>
          </cell>
          <cell r="BH724">
            <v>2650000</v>
          </cell>
          <cell r="BI724">
            <v>100000</v>
          </cell>
          <cell r="BJ724">
            <v>2550000</v>
          </cell>
          <cell r="BK724">
            <v>0</v>
          </cell>
          <cell r="BL724">
            <v>2550000</v>
          </cell>
        </row>
        <row r="725">
          <cell r="D725" t="str">
            <v>OS</v>
          </cell>
          <cell r="E725"/>
          <cell r="F725">
            <v>705</v>
          </cell>
          <cell r="G725" t="str">
            <v>CLOSED</v>
          </cell>
          <cell r="H725" t="str">
            <v>TS</v>
          </cell>
          <cell r="I725" t="str">
            <v>TS</v>
          </cell>
          <cell r="J725" t="str">
            <v>TS</v>
          </cell>
          <cell r="K725" t="str">
            <v>TS</v>
          </cell>
          <cell r="L725" t="str">
            <v>TS</v>
          </cell>
          <cell r="M725" t="str">
            <v>TS</v>
          </cell>
          <cell r="N725" t="str">
            <v>OS</v>
          </cell>
          <cell r="O725" t="str">
            <v>OS</v>
          </cell>
          <cell r="P725" t="str">
            <v>OS</v>
          </cell>
          <cell r="Q725" t="str">
            <v>OS</v>
          </cell>
          <cell r="R725" t="str">
            <v>OS</v>
          </cell>
          <cell r="S725" t="str">
            <v>OS</v>
          </cell>
          <cell r="T725" t="str">
            <v>OS</v>
          </cell>
          <cell r="U725" t="str">
            <v>OS</v>
          </cell>
          <cell r="V725" t="str">
            <v>OS</v>
          </cell>
          <cell r="W725" t="str">
            <v>OS</v>
          </cell>
          <cell r="X725" t="str">
            <v>OS</v>
          </cell>
          <cell r="Y725" t="str">
            <v>OS</v>
          </cell>
          <cell r="Z725" t="str">
            <v>OS</v>
          </cell>
          <cell r="AA725" t="str">
            <v>OS</v>
          </cell>
          <cell r="AB725" t="str">
            <v>OS</v>
          </cell>
          <cell r="AC725" t="str">
            <v>OS</v>
          </cell>
          <cell r="AD725" t="str">
            <v>AGM-01-031-003</v>
          </cell>
          <cell r="AE725" t="str">
            <v xml:space="preserve">Raemulan Lands, Inc. </v>
          </cell>
          <cell r="AF725" t="str">
            <v>Agapeya</v>
          </cell>
          <cell r="AG725" t="str">
            <v>AGM</v>
          </cell>
          <cell r="AH725" t="str">
            <v>Eco-High</v>
          </cell>
          <cell r="AI725" t="str">
            <v>West</v>
          </cell>
          <cell r="AJ725" t="str">
            <v>With LTS</v>
          </cell>
          <cell r="AK725" t="str">
            <v>Unaffected lots</v>
          </cell>
          <cell r="AL725" t="str">
            <v>Unaffected lots</v>
          </cell>
          <cell r="AM725" t="b">
            <v>1</v>
          </cell>
          <cell r="AN725" t="str">
            <v>YES</v>
          </cell>
          <cell r="AO725" t="str">
            <v>B3 2025</v>
          </cell>
          <cell r="AP725">
            <v>70</v>
          </cell>
          <cell r="AQ725" t="str">
            <v>PCS-04-034298</v>
          </cell>
          <cell r="AR725" t="b">
            <v>1</v>
          </cell>
          <cell r="AS725" t="str">
            <v>Done</v>
          </cell>
          <cell r="AT725" t="str">
            <v>2025 - Batch 6</v>
          </cell>
          <cell r="AU725">
            <v>31</v>
          </cell>
          <cell r="AV725">
            <v>3</v>
          </cell>
          <cell r="AW725" t="str">
            <v>H+L</v>
          </cell>
          <cell r="AX725">
            <v>70</v>
          </cell>
          <cell r="AY725">
            <v>50</v>
          </cell>
          <cell r="AZ725" t="str">
            <v>Duplex</v>
          </cell>
          <cell r="BA725">
            <v>1</v>
          </cell>
          <cell r="BB725" t="str">
            <v>568 - Without Partition</v>
          </cell>
          <cell r="BC725" t="str">
            <v xml:space="preserve">Without Partition </v>
          </cell>
          <cell r="BD725" t="str">
            <v>Slant</v>
          </cell>
          <cell r="BE725" t="str">
            <v xml:space="preserve">Without Partition </v>
          </cell>
          <cell r="BF725" t="str">
            <v>GREEN</v>
          </cell>
          <cell r="BG725">
            <v>2500000</v>
          </cell>
          <cell r="BH725">
            <v>2650000</v>
          </cell>
          <cell r="BI725">
            <v>100000</v>
          </cell>
          <cell r="BJ725">
            <v>2550000</v>
          </cell>
          <cell r="BK725">
            <v>0</v>
          </cell>
          <cell r="BL725">
            <v>2550000</v>
          </cell>
        </row>
        <row r="726">
          <cell r="D726" t="str">
            <v>OS</v>
          </cell>
          <cell r="E726"/>
          <cell r="F726">
            <v>706</v>
          </cell>
          <cell r="G726" t="str">
            <v>CLOSED</v>
          </cell>
          <cell r="H726" t="str">
            <v>WITH BRN</v>
          </cell>
          <cell r="I726" t="str">
            <v>TS</v>
          </cell>
          <cell r="J726" t="str">
            <v>TS</v>
          </cell>
          <cell r="K726" t="str">
            <v>TS</v>
          </cell>
          <cell r="L726" t="str">
            <v>TS</v>
          </cell>
          <cell r="M726" t="str">
            <v>TS</v>
          </cell>
          <cell r="N726" t="str">
            <v>TS</v>
          </cell>
          <cell r="O726" t="str">
            <v>TS</v>
          </cell>
          <cell r="P726" t="str">
            <v>TS</v>
          </cell>
          <cell r="Q726" t="str">
            <v>TS</v>
          </cell>
          <cell r="R726" t="str">
            <v>TS</v>
          </cell>
          <cell r="S726" t="str">
            <v>TS</v>
          </cell>
          <cell r="T726" t="str">
            <v>TS</v>
          </cell>
          <cell r="U726" t="str">
            <v>OS</v>
          </cell>
          <cell r="V726" t="str">
            <v>OS</v>
          </cell>
          <cell r="W726" t="str">
            <v>OS</v>
          </cell>
          <cell r="X726" t="str">
            <v>OS</v>
          </cell>
          <cell r="Y726" t="str">
            <v>OS</v>
          </cell>
          <cell r="Z726" t="str">
            <v>OS</v>
          </cell>
          <cell r="AA726" t="str">
            <v>OS</v>
          </cell>
          <cell r="AB726" t="str">
            <v>OS</v>
          </cell>
          <cell r="AC726" t="str">
            <v>OS</v>
          </cell>
          <cell r="AD726" t="str">
            <v>AGM-01-031-004</v>
          </cell>
          <cell r="AE726" t="str">
            <v xml:space="preserve">Raemulan Lands, Inc. </v>
          </cell>
          <cell r="AF726" t="str">
            <v>Agapeya</v>
          </cell>
          <cell r="AG726" t="str">
            <v>AGM</v>
          </cell>
          <cell r="AH726" t="str">
            <v>Eco-High</v>
          </cell>
          <cell r="AI726" t="str">
            <v>West</v>
          </cell>
          <cell r="AJ726" t="str">
            <v>With LTS</v>
          </cell>
          <cell r="AK726" t="str">
            <v>Unaffected lots</v>
          </cell>
          <cell r="AL726" t="str">
            <v>Unaffected lots</v>
          </cell>
          <cell r="AM726" t="b">
            <v>1</v>
          </cell>
          <cell r="AN726" t="str">
            <v>YES</v>
          </cell>
          <cell r="AO726" t="str">
            <v>B3 2025</v>
          </cell>
          <cell r="AP726">
            <v>70</v>
          </cell>
          <cell r="AQ726" t="str">
            <v>PCS-04-034298</v>
          </cell>
          <cell r="AR726" t="b">
            <v>1</v>
          </cell>
          <cell r="AS726" t="str">
            <v>Done</v>
          </cell>
          <cell r="AT726" t="str">
            <v>2025 - Batch 6</v>
          </cell>
          <cell r="AU726">
            <v>31</v>
          </cell>
          <cell r="AV726">
            <v>4</v>
          </cell>
          <cell r="AW726" t="str">
            <v>H+L</v>
          </cell>
          <cell r="AX726">
            <v>70</v>
          </cell>
          <cell r="AY726">
            <v>50</v>
          </cell>
          <cell r="AZ726" t="str">
            <v>Duplex</v>
          </cell>
          <cell r="BA726">
            <v>1</v>
          </cell>
          <cell r="BB726" t="str">
            <v>568 - Without Partition</v>
          </cell>
          <cell r="BC726" t="str">
            <v xml:space="preserve">Without Partition </v>
          </cell>
          <cell r="BD726" t="str">
            <v>Flat</v>
          </cell>
          <cell r="BE726" t="str">
            <v xml:space="preserve">Without Partition </v>
          </cell>
          <cell r="BF726" t="str">
            <v>GREEN</v>
          </cell>
          <cell r="BG726">
            <v>2500000</v>
          </cell>
          <cell r="BH726">
            <v>2650000</v>
          </cell>
          <cell r="BI726">
            <v>100000</v>
          </cell>
          <cell r="BJ726">
            <v>2550000</v>
          </cell>
          <cell r="BK726">
            <v>0</v>
          </cell>
          <cell r="BL726">
            <v>2550000</v>
          </cell>
        </row>
        <row r="727">
          <cell r="D727" t="str">
            <v>OS</v>
          </cell>
          <cell r="E727"/>
          <cell r="F727">
            <v>707</v>
          </cell>
          <cell r="G727" t="str">
            <v>CLOSED</v>
          </cell>
          <cell r="H727" t="str">
            <v>TS</v>
          </cell>
          <cell r="I727" t="str">
            <v>TS</v>
          </cell>
          <cell r="J727" t="str">
            <v>TS</v>
          </cell>
          <cell r="K727" t="str">
            <v>TS</v>
          </cell>
          <cell r="L727" t="str">
            <v>TS</v>
          </cell>
          <cell r="M727" t="str">
            <v>TS</v>
          </cell>
          <cell r="N727" t="str">
            <v>TS</v>
          </cell>
          <cell r="O727" t="str">
            <v>TS</v>
          </cell>
          <cell r="P727" t="str">
            <v>OS</v>
          </cell>
          <cell r="Q727" t="str">
            <v>OS</v>
          </cell>
          <cell r="R727" t="str">
            <v>OS</v>
          </cell>
          <cell r="S727" t="str">
            <v>OS</v>
          </cell>
          <cell r="T727" t="str">
            <v>OS</v>
          </cell>
          <cell r="U727" t="str">
            <v>OS</v>
          </cell>
          <cell r="V727" t="str">
            <v>OS</v>
          </cell>
          <cell r="W727" t="str">
            <v>OS</v>
          </cell>
          <cell r="X727" t="str">
            <v>OS</v>
          </cell>
          <cell r="Y727" t="str">
            <v>OS</v>
          </cell>
          <cell r="Z727" t="str">
            <v>OS</v>
          </cell>
          <cell r="AA727" t="str">
            <v>OS</v>
          </cell>
          <cell r="AB727" t="str">
            <v>OS</v>
          </cell>
          <cell r="AC727" t="str">
            <v>OS</v>
          </cell>
          <cell r="AD727" t="str">
            <v>AGM-01-031-005</v>
          </cell>
          <cell r="AE727" t="str">
            <v xml:space="preserve">Raemulan Lands, Inc. </v>
          </cell>
          <cell r="AF727" t="str">
            <v>Agapeya</v>
          </cell>
          <cell r="AG727" t="str">
            <v>AGM</v>
          </cell>
          <cell r="AH727" t="str">
            <v>Eco-High</v>
          </cell>
          <cell r="AI727" t="str">
            <v>West</v>
          </cell>
          <cell r="AJ727" t="str">
            <v>With LTS</v>
          </cell>
          <cell r="AK727" t="str">
            <v>Unaffected lots</v>
          </cell>
          <cell r="AL727" t="str">
            <v>Unaffected lots</v>
          </cell>
          <cell r="AM727" t="b">
            <v>1</v>
          </cell>
          <cell r="AN727" t="str">
            <v>YES</v>
          </cell>
          <cell r="AO727" t="str">
            <v>B4 2025</v>
          </cell>
          <cell r="AP727">
            <v>70</v>
          </cell>
          <cell r="AQ727" t="str">
            <v>PCS-04-034298</v>
          </cell>
          <cell r="AR727" t="b">
            <v>1</v>
          </cell>
          <cell r="AS727" t="str">
            <v>Done</v>
          </cell>
          <cell r="AT727" t="str">
            <v>2025 - Batch 6</v>
          </cell>
          <cell r="AU727">
            <v>31</v>
          </cell>
          <cell r="AV727">
            <v>5</v>
          </cell>
          <cell r="AW727" t="str">
            <v>H+L</v>
          </cell>
          <cell r="AX727">
            <v>70</v>
          </cell>
          <cell r="AY727">
            <v>50</v>
          </cell>
          <cell r="AZ727" t="str">
            <v>Duplex</v>
          </cell>
          <cell r="BA727">
            <v>1</v>
          </cell>
          <cell r="BB727" t="str">
            <v>568 - Without Partition</v>
          </cell>
          <cell r="BC727" t="str">
            <v xml:space="preserve">Without Partition </v>
          </cell>
          <cell r="BD727" t="str">
            <v>Slant</v>
          </cell>
          <cell r="BE727" t="str">
            <v xml:space="preserve">Without Partition </v>
          </cell>
          <cell r="BF727" t="str">
            <v>PURPLE</v>
          </cell>
          <cell r="BG727">
            <v>2500000</v>
          </cell>
          <cell r="BH727">
            <v>2650000</v>
          </cell>
          <cell r="BI727">
            <v>100000</v>
          </cell>
          <cell r="BJ727">
            <v>2550000</v>
          </cell>
          <cell r="BK727">
            <v>0</v>
          </cell>
          <cell r="BL727">
            <v>2550000</v>
          </cell>
        </row>
        <row r="728">
          <cell r="D728" t="str">
            <v>OS</v>
          </cell>
          <cell r="E728"/>
          <cell r="F728">
            <v>708</v>
          </cell>
          <cell r="G728" t="str">
            <v>CLOSED</v>
          </cell>
          <cell r="H728" t="str">
            <v>OPEN</v>
          </cell>
          <cell r="I728" t="str">
            <v>WITH BRN</v>
          </cell>
          <cell r="J728" t="str">
            <v>TS</v>
          </cell>
          <cell r="K728" t="str">
            <v>TS</v>
          </cell>
          <cell r="L728" t="str">
            <v>TS</v>
          </cell>
          <cell r="M728" t="str">
            <v>TS</v>
          </cell>
          <cell r="N728" t="str">
            <v>TS</v>
          </cell>
          <cell r="O728" t="str">
            <v>TS</v>
          </cell>
          <cell r="P728" t="str">
            <v>OS</v>
          </cell>
          <cell r="Q728" t="str">
            <v>OS</v>
          </cell>
          <cell r="R728" t="str">
            <v>OS</v>
          </cell>
          <cell r="S728" t="str">
            <v>OS</v>
          </cell>
          <cell r="T728" t="str">
            <v>OS</v>
          </cell>
          <cell r="U728" t="str">
            <v>OS</v>
          </cell>
          <cell r="V728" t="str">
            <v>OS</v>
          </cell>
          <cell r="W728" t="str">
            <v>OS</v>
          </cell>
          <cell r="X728" t="str">
            <v>OS</v>
          </cell>
          <cell r="Y728" t="str">
            <v>OS</v>
          </cell>
          <cell r="Z728" t="str">
            <v>OS</v>
          </cell>
          <cell r="AA728" t="str">
            <v>OS</v>
          </cell>
          <cell r="AB728" t="str">
            <v>OS</v>
          </cell>
          <cell r="AC728" t="str">
            <v>OS</v>
          </cell>
          <cell r="AD728" t="str">
            <v>AGM-01-031-006</v>
          </cell>
          <cell r="AE728" t="str">
            <v xml:space="preserve">Raemulan Lands, Inc. </v>
          </cell>
          <cell r="AF728" t="str">
            <v>Agapeya</v>
          </cell>
          <cell r="AG728" t="str">
            <v>AGM</v>
          </cell>
          <cell r="AH728" t="str">
            <v>Eco-High</v>
          </cell>
          <cell r="AI728" t="str">
            <v>West</v>
          </cell>
          <cell r="AJ728" t="str">
            <v>With LTS</v>
          </cell>
          <cell r="AK728" t="str">
            <v>Unaffected lots</v>
          </cell>
          <cell r="AL728" t="str">
            <v>Unaffected lots</v>
          </cell>
          <cell r="AM728" t="b">
            <v>1</v>
          </cell>
          <cell r="AN728" t="str">
            <v>YES</v>
          </cell>
          <cell r="AO728" t="str">
            <v>B4 2025</v>
          </cell>
          <cell r="AP728">
            <v>70</v>
          </cell>
          <cell r="AQ728" t="str">
            <v>PCS-04-034298</v>
          </cell>
          <cell r="AR728" t="b">
            <v>1</v>
          </cell>
          <cell r="AS728" t="str">
            <v>Done</v>
          </cell>
          <cell r="AT728" t="str">
            <v>2025 - Batch 6</v>
          </cell>
          <cell r="AU728">
            <v>31</v>
          </cell>
          <cell r="AV728">
            <v>6</v>
          </cell>
          <cell r="AW728" t="str">
            <v>H+L</v>
          </cell>
          <cell r="AX728">
            <v>70</v>
          </cell>
          <cell r="AY728">
            <v>50</v>
          </cell>
          <cell r="AZ728" t="str">
            <v>Duplex</v>
          </cell>
          <cell r="BA728">
            <v>1</v>
          </cell>
          <cell r="BB728" t="str">
            <v>568 - Without Partition</v>
          </cell>
          <cell r="BC728" t="str">
            <v xml:space="preserve">Without Partition </v>
          </cell>
          <cell r="BD728" t="str">
            <v>Flat</v>
          </cell>
          <cell r="BE728" t="str">
            <v xml:space="preserve">Without Partition </v>
          </cell>
          <cell r="BF728" t="str">
            <v>PURPLE</v>
          </cell>
          <cell r="BG728">
            <v>2500000</v>
          </cell>
          <cell r="BH728">
            <v>2650000</v>
          </cell>
          <cell r="BI728">
            <v>100000</v>
          </cell>
          <cell r="BJ728">
            <v>2550000</v>
          </cell>
          <cell r="BK728">
            <v>0</v>
          </cell>
          <cell r="BL728">
            <v>2550000</v>
          </cell>
        </row>
        <row r="729">
          <cell r="D729" t="str">
            <v>OS</v>
          </cell>
          <cell r="E729"/>
          <cell r="F729">
            <v>709</v>
          </cell>
          <cell r="G729" t="str">
            <v>CLOSED</v>
          </cell>
          <cell r="H729" t="str">
            <v>OPEN</v>
          </cell>
          <cell r="I729" t="str">
            <v>TS</v>
          </cell>
          <cell r="J729" t="str">
            <v>TS</v>
          </cell>
          <cell r="K729" t="str">
            <v>TS</v>
          </cell>
          <cell r="L729" t="str">
            <v>TS</v>
          </cell>
          <cell r="M729" t="str">
            <v>TS</v>
          </cell>
          <cell r="N729" t="str">
            <v>TS</v>
          </cell>
          <cell r="O729" t="str">
            <v>TS</v>
          </cell>
          <cell r="P729" t="str">
            <v>TS</v>
          </cell>
          <cell r="Q729" t="str">
            <v>TS</v>
          </cell>
          <cell r="R729" t="str">
            <v>TS</v>
          </cell>
          <cell r="S729" t="str">
            <v>TS</v>
          </cell>
          <cell r="T729" t="str">
            <v>TS</v>
          </cell>
          <cell r="U729" t="str">
            <v>OS</v>
          </cell>
          <cell r="V729" t="str">
            <v>OS</v>
          </cell>
          <cell r="W729" t="str">
            <v>OS</v>
          </cell>
          <cell r="X729" t="str">
            <v>OS</v>
          </cell>
          <cell r="Y729" t="str">
            <v>OS</v>
          </cell>
          <cell r="Z729" t="str">
            <v>OS</v>
          </cell>
          <cell r="AA729" t="str">
            <v>OS</v>
          </cell>
          <cell r="AB729" t="str">
            <v>OS</v>
          </cell>
          <cell r="AC729" t="str">
            <v>OS</v>
          </cell>
          <cell r="AD729" t="str">
            <v>AGM-01-031-007</v>
          </cell>
          <cell r="AE729" t="str">
            <v xml:space="preserve">Raemulan Lands, Inc. </v>
          </cell>
          <cell r="AF729" t="str">
            <v>Agapeya</v>
          </cell>
          <cell r="AG729" t="str">
            <v>AGM</v>
          </cell>
          <cell r="AH729" t="str">
            <v>Eco-High</v>
          </cell>
          <cell r="AI729" t="str">
            <v>West</v>
          </cell>
          <cell r="AJ729" t="str">
            <v>With LTS</v>
          </cell>
          <cell r="AK729" t="str">
            <v>Unaffected lots</v>
          </cell>
          <cell r="AL729" t="str">
            <v>Unaffected lots</v>
          </cell>
          <cell r="AM729" t="b">
            <v>1</v>
          </cell>
          <cell r="AN729" t="str">
            <v>YES</v>
          </cell>
          <cell r="AO729" t="str">
            <v>B3 2025</v>
          </cell>
          <cell r="AP729">
            <v>70</v>
          </cell>
          <cell r="AQ729" t="str">
            <v>PCS-04-034298</v>
          </cell>
          <cell r="AR729" t="b">
            <v>1</v>
          </cell>
          <cell r="AS729" t="str">
            <v>Done</v>
          </cell>
          <cell r="AT729" t="str">
            <v>2025 - Batch 6</v>
          </cell>
          <cell r="AU729">
            <v>31</v>
          </cell>
          <cell r="AV729">
            <v>7</v>
          </cell>
          <cell r="AW729" t="str">
            <v>H+L</v>
          </cell>
          <cell r="AX729">
            <v>70</v>
          </cell>
          <cell r="AY729">
            <v>50</v>
          </cell>
          <cell r="AZ729" t="str">
            <v>Duplex</v>
          </cell>
          <cell r="BA729">
            <v>1</v>
          </cell>
          <cell r="BB729" t="str">
            <v>568 - Without Partition</v>
          </cell>
          <cell r="BC729" t="str">
            <v xml:space="preserve">Without Partition </v>
          </cell>
          <cell r="BD729" t="str">
            <v>Flat</v>
          </cell>
          <cell r="BE729" t="str">
            <v xml:space="preserve">Without Partition </v>
          </cell>
          <cell r="BF729" t="str">
            <v>PURPLE</v>
          </cell>
          <cell r="BG729">
            <v>2500000</v>
          </cell>
          <cell r="BH729">
            <v>2650000</v>
          </cell>
          <cell r="BI729">
            <v>100000</v>
          </cell>
          <cell r="BJ729">
            <v>2550000</v>
          </cell>
          <cell r="BK729">
            <v>0</v>
          </cell>
          <cell r="BL729">
            <v>2550000</v>
          </cell>
        </row>
        <row r="730">
          <cell r="D730" t="str">
            <v>OS</v>
          </cell>
          <cell r="E730"/>
          <cell r="F730">
            <v>710</v>
          </cell>
          <cell r="G730" t="str">
            <v>CLOSED</v>
          </cell>
          <cell r="H730" t="str">
            <v>TS</v>
          </cell>
          <cell r="I730" t="str">
            <v>TS</v>
          </cell>
          <cell r="J730" t="str">
            <v>TS</v>
          </cell>
          <cell r="K730" t="str">
            <v>TS</v>
          </cell>
          <cell r="L730" t="str">
            <v>TS</v>
          </cell>
          <cell r="M730" t="str">
            <v>TS</v>
          </cell>
          <cell r="N730" t="str">
            <v>TS</v>
          </cell>
          <cell r="O730" t="str">
            <v>TS</v>
          </cell>
          <cell r="P730" t="str">
            <v>OS</v>
          </cell>
          <cell r="Q730" t="str">
            <v>OS</v>
          </cell>
          <cell r="R730" t="str">
            <v>OS</v>
          </cell>
          <cell r="S730" t="str">
            <v>OS</v>
          </cell>
          <cell r="T730" t="str">
            <v>OS</v>
          </cell>
          <cell r="U730" t="str">
            <v>OS</v>
          </cell>
          <cell r="V730" t="str">
            <v>OS</v>
          </cell>
          <cell r="W730" t="str">
            <v>OS</v>
          </cell>
          <cell r="X730" t="str">
            <v>OS</v>
          </cell>
          <cell r="Y730" t="str">
            <v>OS</v>
          </cell>
          <cell r="Z730" t="str">
            <v>OS</v>
          </cell>
          <cell r="AA730" t="str">
            <v>OS</v>
          </cell>
          <cell r="AB730" t="str">
            <v>OS</v>
          </cell>
          <cell r="AC730" t="str">
            <v>OS</v>
          </cell>
          <cell r="AD730" t="str">
            <v>AGM-01-031-008</v>
          </cell>
          <cell r="AE730" t="str">
            <v xml:space="preserve">Raemulan Lands, Inc. </v>
          </cell>
          <cell r="AF730" t="str">
            <v>Agapeya</v>
          </cell>
          <cell r="AG730" t="str">
            <v>AGM</v>
          </cell>
          <cell r="AH730" t="str">
            <v>Eco-High</v>
          </cell>
          <cell r="AI730" t="str">
            <v>West</v>
          </cell>
          <cell r="AJ730" t="str">
            <v>With LTS</v>
          </cell>
          <cell r="AK730" t="str">
            <v>Unaffected lots</v>
          </cell>
          <cell r="AL730" t="str">
            <v>Unaffected lots</v>
          </cell>
          <cell r="AM730" t="b">
            <v>1</v>
          </cell>
          <cell r="AN730" t="str">
            <v>YES</v>
          </cell>
          <cell r="AO730" t="str">
            <v>B3 2025</v>
          </cell>
          <cell r="AP730">
            <v>70</v>
          </cell>
          <cell r="AQ730" t="str">
            <v>PCS-04-034298</v>
          </cell>
          <cell r="AR730" t="b">
            <v>1</v>
          </cell>
          <cell r="AS730" t="str">
            <v>Done</v>
          </cell>
          <cell r="AT730" t="str">
            <v>2025 - Batch 6</v>
          </cell>
          <cell r="AU730">
            <v>31</v>
          </cell>
          <cell r="AV730">
            <v>8</v>
          </cell>
          <cell r="AW730" t="str">
            <v>H+L</v>
          </cell>
          <cell r="AX730">
            <v>70</v>
          </cell>
          <cell r="AY730">
            <v>50</v>
          </cell>
          <cell r="AZ730" t="str">
            <v>Duplex</v>
          </cell>
          <cell r="BA730">
            <v>1</v>
          </cell>
          <cell r="BB730" t="str">
            <v>568 - Without Partition</v>
          </cell>
          <cell r="BC730" t="str">
            <v xml:space="preserve">Without Partition </v>
          </cell>
          <cell r="BD730" t="str">
            <v>Slant</v>
          </cell>
          <cell r="BE730" t="str">
            <v xml:space="preserve">Without Partition </v>
          </cell>
          <cell r="BF730" t="str">
            <v>PURPLE</v>
          </cell>
          <cell r="BG730">
            <v>2500000</v>
          </cell>
          <cell r="BH730">
            <v>2650000</v>
          </cell>
          <cell r="BI730">
            <v>100000</v>
          </cell>
          <cell r="BJ730">
            <v>2550000</v>
          </cell>
          <cell r="BK730">
            <v>0</v>
          </cell>
          <cell r="BL730">
            <v>2550000</v>
          </cell>
        </row>
        <row r="731">
          <cell r="D731" t="str">
            <v>OS</v>
          </cell>
          <cell r="E731"/>
          <cell r="F731">
            <v>711</v>
          </cell>
          <cell r="G731" t="str">
            <v>CLOSED</v>
          </cell>
          <cell r="H731" t="str">
            <v>OPEN</v>
          </cell>
          <cell r="I731" t="str">
            <v>TS</v>
          </cell>
          <cell r="J731" t="str">
            <v>TS</v>
          </cell>
          <cell r="K731" t="str">
            <v>TS</v>
          </cell>
          <cell r="L731" t="str">
            <v>TS</v>
          </cell>
          <cell r="M731" t="str">
            <v>TS</v>
          </cell>
          <cell r="N731" t="str">
            <v>OS</v>
          </cell>
          <cell r="O731" t="str">
            <v>OS</v>
          </cell>
          <cell r="P731" t="str">
            <v>OS</v>
          </cell>
          <cell r="Q731" t="str">
            <v>OS</v>
          </cell>
          <cell r="R731" t="str">
            <v>OS</v>
          </cell>
          <cell r="S731" t="str">
            <v>OS</v>
          </cell>
          <cell r="T731" t="str">
            <v>OS</v>
          </cell>
          <cell r="U731" t="str">
            <v>OS</v>
          </cell>
          <cell r="V731" t="str">
            <v>OS</v>
          </cell>
          <cell r="W731" t="str">
            <v>OS</v>
          </cell>
          <cell r="X731" t="str">
            <v>OS</v>
          </cell>
          <cell r="Y731" t="str">
            <v>OS</v>
          </cell>
          <cell r="Z731" t="str">
            <v>OS</v>
          </cell>
          <cell r="AA731" t="str">
            <v>OS</v>
          </cell>
          <cell r="AB731" t="str">
            <v>OS</v>
          </cell>
          <cell r="AC731" t="str">
            <v>OS</v>
          </cell>
          <cell r="AD731" t="str">
            <v>AGM-01-032-001</v>
          </cell>
          <cell r="AE731" t="str">
            <v xml:space="preserve">Raemulan Lands, Inc. </v>
          </cell>
          <cell r="AF731" t="str">
            <v>Agapeya</v>
          </cell>
          <cell r="AG731" t="str">
            <v>AGM</v>
          </cell>
          <cell r="AH731" t="str">
            <v>Eco-High</v>
          </cell>
          <cell r="AI731" t="str">
            <v>West</v>
          </cell>
          <cell r="AJ731" t="str">
            <v>With LTS</v>
          </cell>
          <cell r="AK731" t="str">
            <v>Unaffected lots</v>
          </cell>
          <cell r="AL731" t="str">
            <v>Unaffected lots</v>
          </cell>
          <cell r="AM731" t="b">
            <v>1</v>
          </cell>
          <cell r="AN731" t="str">
            <v>YES</v>
          </cell>
          <cell r="AO731" t="str">
            <v>B4 2025</v>
          </cell>
          <cell r="AP731">
            <v>70</v>
          </cell>
          <cell r="AQ731" t="str">
            <v>PCS-04-034298</v>
          </cell>
          <cell r="AR731" t="b">
            <v>1</v>
          </cell>
          <cell r="AS731" t="str">
            <v>Done</v>
          </cell>
          <cell r="AT731" t="str">
            <v>2025 - Batch 6</v>
          </cell>
          <cell r="AU731">
            <v>32</v>
          </cell>
          <cell r="AV731">
            <v>1</v>
          </cell>
          <cell r="AW731" t="str">
            <v>H+L</v>
          </cell>
          <cell r="AX731">
            <v>70</v>
          </cell>
          <cell r="AY731">
            <v>50</v>
          </cell>
          <cell r="AZ731" t="str">
            <v>Duplex</v>
          </cell>
          <cell r="BA731">
            <v>0.95987341772151891</v>
          </cell>
          <cell r="BB731" t="str">
            <v>568 - Without Partition</v>
          </cell>
          <cell r="BC731" t="str">
            <v xml:space="preserve">Without Partition </v>
          </cell>
          <cell r="BD731" t="str">
            <v>Flat</v>
          </cell>
          <cell r="BE731" t="str">
            <v xml:space="preserve">Without Partition </v>
          </cell>
          <cell r="BF731" t="str">
            <v>PINK</v>
          </cell>
          <cell r="BG731">
            <v>2500000</v>
          </cell>
          <cell r="BH731">
            <v>2650000</v>
          </cell>
          <cell r="BI731">
            <v>100000</v>
          </cell>
          <cell r="BJ731">
            <v>2550000</v>
          </cell>
          <cell r="BK731">
            <v>0</v>
          </cell>
          <cell r="BL731">
            <v>2550000</v>
          </cell>
        </row>
        <row r="732">
          <cell r="D732" t="str">
            <v>OS</v>
          </cell>
          <cell r="E732"/>
          <cell r="F732">
            <v>712</v>
          </cell>
          <cell r="G732" t="str">
            <v>CLOSED</v>
          </cell>
          <cell r="H732" t="str">
            <v>OPEN</v>
          </cell>
          <cell r="I732" t="str">
            <v>TS</v>
          </cell>
          <cell r="J732" t="str">
            <v>TS</v>
          </cell>
          <cell r="K732" t="str">
            <v>TS</v>
          </cell>
          <cell r="L732" t="str">
            <v>TS</v>
          </cell>
          <cell r="M732" t="str">
            <v>TS</v>
          </cell>
          <cell r="N732" t="str">
            <v>TS</v>
          </cell>
          <cell r="O732" t="str">
            <v>TS</v>
          </cell>
          <cell r="P732" t="str">
            <v>OS</v>
          </cell>
          <cell r="Q732" t="str">
            <v>OS</v>
          </cell>
          <cell r="R732" t="str">
            <v>OS</v>
          </cell>
          <cell r="S732" t="str">
            <v>OS</v>
          </cell>
          <cell r="T732" t="str">
            <v>OS</v>
          </cell>
          <cell r="U732" t="str">
            <v>OS</v>
          </cell>
          <cell r="V732" t="str">
            <v>OS</v>
          </cell>
          <cell r="W732" t="str">
            <v>OS</v>
          </cell>
          <cell r="X732" t="str">
            <v>OS</v>
          </cell>
          <cell r="Y732" t="str">
            <v>OS</v>
          </cell>
          <cell r="Z732" t="str">
            <v>OS</v>
          </cell>
          <cell r="AA732" t="str">
            <v>OS</v>
          </cell>
          <cell r="AB732" t="str">
            <v>OS</v>
          </cell>
          <cell r="AC732" t="str">
            <v>OS</v>
          </cell>
          <cell r="AD732" t="str">
            <v>AGM-01-032-002</v>
          </cell>
          <cell r="AE732" t="str">
            <v xml:space="preserve">Raemulan Lands, Inc. </v>
          </cell>
          <cell r="AF732" t="str">
            <v>Agapeya</v>
          </cell>
          <cell r="AG732" t="str">
            <v>AGM</v>
          </cell>
          <cell r="AH732" t="str">
            <v>Eco-High</v>
          </cell>
          <cell r="AI732" t="str">
            <v>West</v>
          </cell>
          <cell r="AJ732" t="str">
            <v>With LTS</v>
          </cell>
          <cell r="AK732" t="str">
            <v>Unaffected lots</v>
          </cell>
          <cell r="AL732" t="str">
            <v>Unaffected lots</v>
          </cell>
          <cell r="AM732" t="b">
            <v>1</v>
          </cell>
          <cell r="AN732" t="str">
            <v>YES</v>
          </cell>
          <cell r="AO732" t="str">
            <v>B4 2025</v>
          </cell>
          <cell r="AP732">
            <v>70</v>
          </cell>
          <cell r="AQ732" t="str">
            <v>PCS-04-034298</v>
          </cell>
          <cell r="AR732" t="b">
            <v>1</v>
          </cell>
          <cell r="AS732" t="str">
            <v>Done</v>
          </cell>
          <cell r="AT732" t="str">
            <v>2025 - Batch 6</v>
          </cell>
          <cell r="AU732">
            <v>32</v>
          </cell>
          <cell r="AV732">
            <v>2</v>
          </cell>
          <cell r="AW732" t="str">
            <v>H+L</v>
          </cell>
          <cell r="AX732">
            <v>70</v>
          </cell>
          <cell r="AY732">
            <v>50</v>
          </cell>
          <cell r="AZ732" t="str">
            <v>Duplex</v>
          </cell>
          <cell r="BA732">
            <v>0.95987341772151891</v>
          </cell>
          <cell r="BB732" t="str">
            <v>568 - Without Partition</v>
          </cell>
          <cell r="BC732" t="str">
            <v xml:space="preserve">Without Partition </v>
          </cell>
          <cell r="BD732" t="str">
            <v>Slant</v>
          </cell>
          <cell r="BE732" t="str">
            <v xml:space="preserve">Without Partition </v>
          </cell>
          <cell r="BF732" t="str">
            <v>PINK</v>
          </cell>
          <cell r="BG732">
            <v>2500000</v>
          </cell>
          <cell r="BH732">
            <v>2650000</v>
          </cell>
          <cell r="BI732">
            <v>100000</v>
          </cell>
          <cell r="BJ732">
            <v>2550000</v>
          </cell>
          <cell r="BK732">
            <v>0</v>
          </cell>
          <cell r="BL732">
            <v>2550000</v>
          </cell>
        </row>
        <row r="733">
          <cell r="D733" t="str">
            <v>OS</v>
          </cell>
          <cell r="E733"/>
          <cell r="F733">
            <v>713</v>
          </cell>
          <cell r="G733" t="str">
            <v>CLOSED</v>
          </cell>
          <cell r="H733" t="str">
            <v>OPEN</v>
          </cell>
          <cell r="I733" t="str">
            <v>TS</v>
          </cell>
          <cell r="J733" t="str">
            <v>TS</v>
          </cell>
          <cell r="K733" t="str">
            <v>TS</v>
          </cell>
          <cell r="L733" t="str">
            <v>TS</v>
          </cell>
          <cell r="M733" t="str">
            <v>TS</v>
          </cell>
          <cell r="N733" t="str">
            <v>TS</v>
          </cell>
          <cell r="O733" t="str">
            <v>TS</v>
          </cell>
          <cell r="P733" t="str">
            <v>TS</v>
          </cell>
          <cell r="Q733" t="str">
            <v>TS</v>
          </cell>
          <cell r="R733" t="str">
            <v>TS</v>
          </cell>
          <cell r="S733" t="str">
            <v>TS</v>
          </cell>
          <cell r="T733" t="str">
            <v>TS</v>
          </cell>
          <cell r="U733" t="str">
            <v>OS</v>
          </cell>
          <cell r="V733" t="str">
            <v>OS</v>
          </cell>
          <cell r="W733" t="str">
            <v>OS</v>
          </cell>
          <cell r="X733" t="str">
            <v>OS</v>
          </cell>
          <cell r="Y733" t="str">
            <v>OS</v>
          </cell>
          <cell r="Z733" t="str">
            <v>OS</v>
          </cell>
          <cell r="AA733" t="str">
            <v>OS</v>
          </cell>
          <cell r="AB733" t="str">
            <v>OS</v>
          </cell>
          <cell r="AC733" t="str">
            <v>OS</v>
          </cell>
          <cell r="AD733" t="str">
            <v>AGM-01-032-003</v>
          </cell>
          <cell r="AE733" t="str">
            <v xml:space="preserve">Raemulan Lands, Inc. </v>
          </cell>
          <cell r="AF733" t="str">
            <v>Agapeya</v>
          </cell>
          <cell r="AG733" t="str">
            <v>AGM</v>
          </cell>
          <cell r="AH733" t="str">
            <v>Eco-High</v>
          </cell>
          <cell r="AI733" t="str">
            <v>West</v>
          </cell>
          <cell r="AJ733" t="str">
            <v>With LTS</v>
          </cell>
          <cell r="AK733" t="str">
            <v>Unaffected lots</v>
          </cell>
          <cell r="AL733" t="str">
            <v>Unaffected lots</v>
          </cell>
          <cell r="AM733" t="b">
            <v>1</v>
          </cell>
          <cell r="AN733" t="str">
            <v>YES</v>
          </cell>
          <cell r="AO733" t="str">
            <v>B5 2025</v>
          </cell>
          <cell r="AP733">
            <v>70</v>
          </cell>
          <cell r="AQ733" t="str">
            <v>PCS-04-034298</v>
          </cell>
          <cell r="AR733" t="b">
            <v>1</v>
          </cell>
          <cell r="AS733" t="str">
            <v>Done</v>
          </cell>
          <cell r="AT733" t="str">
            <v>2025 - Batch 6</v>
          </cell>
          <cell r="AU733">
            <v>32</v>
          </cell>
          <cell r="AV733">
            <v>3</v>
          </cell>
          <cell r="AW733" t="str">
            <v>H+L</v>
          </cell>
          <cell r="AX733">
            <v>70</v>
          </cell>
          <cell r="AY733">
            <v>50</v>
          </cell>
          <cell r="AZ733" t="str">
            <v>Duplex</v>
          </cell>
          <cell r="BA733">
            <v>0.95987341772151891</v>
          </cell>
          <cell r="BB733" t="str">
            <v>568 - Without Partition</v>
          </cell>
          <cell r="BC733" t="str">
            <v xml:space="preserve">Without Partition </v>
          </cell>
          <cell r="BD733" t="str">
            <v>Slant</v>
          </cell>
          <cell r="BE733" t="str">
            <v xml:space="preserve">Without Partition </v>
          </cell>
          <cell r="BF733" t="str">
            <v>PINK</v>
          </cell>
          <cell r="BG733">
            <v>2500000</v>
          </cell>
          <cell r="BH733">
            <v>2650000</v>
          </cell>
          <cell r="BI733">
            <v>100000</v>
          </cell>
          <cell r="BJ733">
            <v>2550000</v>
          </cell>
          <cell r="BK733">
            <v>0</v>
          </cell>
          <cell r="BL733">
            <v>2550000</v>
          </cell>
        </row>
        <row r="734">
          <cell r="D734" t="str">
            <v>OS</v>
          </cell>
          <cell r="E734"/>
          <cell r="F734">
            <v>714</v>
          </cell>
          <cell r="G734" t="str">
            <v>CLOSED</v>
          </cell>
          <cell r="H734" t="str">
            <v>TS</v>
          </cell>
          <cell r="I734" t="str">
            <v>TS</v>
          </cell>
          <cell r="J734" t="str">
            <v>TS</v>
          </cell>
          <cell r="K734" t="str">
            <v>TS</v>
          </cell>
          <cell r="L734" t="str">
            <v>TS</v>
          </cell>
          <cell r="M734" t="str">
            <v>TS</v>
          </cell>
          <cell r="N734" t="str">
            <v>TS</v>
          </cell>
          <cell r="O734" t="str">
            <v>TS</v>
          </cell>
          <cell r="P734" t="str">
            <v>TS</v>
          </cell>
          <cell r="Q734" t="str">
            <v>TS</v>
          </cell>
          <cell r="R734" t="str">
            <v>TS</v>
          </cell>
          <cell r="S734" t="str">
            <v>TS</v>
          </cell>
          <cell r="T734" t="str">
            <v>TS</v>
          </cell>
          <cell r="U734" t="str">
            <v>TS</v>
          </cell>
          <cell r="V734" t="str">
            <v>OS</v>
          </cell>
          <cell r="W734" t="str">
            <v>TS</v>
          </cell>
          <cell r="X734" t="str">
            <v>OS</v>
          </cell>
          <cell r="Y734" t="str">
            <v>OS</v>
          </cell>
          <cell r="Z734" t="str">
            <v>OS</v>
          </cell>
          <cell r="AA734" t="str">
            <v>OS</v>
          </cell>
          <cell r="AB734" t="str">
            <v>OS</v>
          </cell>
          <cell r="AC734" t="str">
            <v>OS</v>
          </cell>
          <cell r="AD734" t="str">
            <v>AGM-01-032-004</v>
          </cell>
          <cell r="AE734" t="str">
            <v xml:space="preserve">Raemulan Lands, Inc. </v>
          </cell>
          <cell r="AF734" t="str">
            <v>Agapeya</v>
          </cell>
          <cell r="AG734" t="str">
            <v>AGM</v>
          </cell>
          <cell r="AH734" t="str">
            <v>Eco-High</v>
          </cell>
          <cell r="AI734" t="str">
            <v>West</v>
          </cell>
          <cell r="AJ734" t="str">
            <v>With LTS</v>
          </cell>
          <cell r="AK734" t="str">
            <v>Unaffected lots</v>
          </cell>
          <cell r="AL734" t="str">
            <v>Unaffected lots</v>
          </cell>
          <cell r="AM734" t="b">
            <v>1</v>
          </cell>
          <cell r="AN734" t="str">
            <v>YES</v>
          </cell>
          <cell r="AO734" t="str">
            <v>B5 2025</v>
          </cell>
          <cell r="AP734">
            <v>70</v>
          </cell>
          <cell r="AQ734" t="str">
            <v>PCS-04-034298</v>
          </cell>
          <cell r="AR734" t="b">
            <v>1</v>
          </cell>
          <cell r="AS734" t="str">
            <v>Done</v>
          </cell>
          <cell r="AT734" t="str">
            <v>2025 - Batch 6</v>
          </cell>
          <cell r="AU734">
            <v>32</v>
          </cell>
          <cell r="AV734">
            <v>4</v>
          </cell>
          <cell r="AW734" t="str">
            <v>H+L</v>
          </cell>
          <cell r="AX734">
            <v>70</v>
          </cell>
          <cell r="AY734">
            <v>50</v>
          </cell>
          <cell r="AZ734" t="str">
            <v>Duplex</v>
          </cell>
          <cell r="BA734">
            <v>0.95987341772151891</v>
          </cell>
          <cell r="BB734" t="str">
            <v>568 - Without Partition</v>
          </cell>
          <cell r="BC734" t="str">
            <v xml:space="preserve">Without Partition </v>
          </cell>
          <cell r="BD734" t="str">
            <v>Flat</v>
          </cell>
          <cell r="BE734" t="str">
            <v xml:space="preserve">Without Partition </v>
          </cell>
          <cell r="BF734" t="str">
            <v>PINK</v>
          </cell>
          <cell r="BG734">
            <v>2500000</v>
          </cell>
          <cell r="BH734">
            <v>2650000</v>
          </cell>
          <cell r="BI734">
            <v>100000</v>
          </cell>
          <cell r="BJ734">
            <v>2550000</v>
          </cell>
          <cell r="BK734">
            <v>0</v>
          </cell>
          <cell r="BL734">
            <v>2550000</v>
          </cell>
        </row>
        <row r="735">
          <cell r="D735" t="str">
            <v>OS</v>
          </cell>
          <cell r="E735"/>
          <cell r="F735">
            <v>715</v>
          </cell>
          <cell r="G735" t="str">
            <v>CLOSED</v>
          </cell>
          <cell r="H735" t="str">
            <v>TS</v>
          </cell>
          <cell r="I735" t="str">
            <v>TS</v>
          </cell>
          <cell r="J735" t="str">
            <v>TS</v>
          </cell>
          <cell r="K735" t="str">
            <v>TS</v>
          </cell>
          <cell r="L735" t="str">
            <v>TS</v>
          </cell>
          <cell r="M735" t="str">
            <v>TS</v>
          </cell>
          <cell r="N735" t="str">
            <v>TS</v>
          </cell>
          <cell r="O735" t="str">
            <v>TS</v>
          </cell>
          <cell r="P735" t="str">
            <v>OS</v>
          </cell>
          <cell r="Q735" t="str">
            <v>OS</v>
          </cell>
          <cell r="R735" t="str">
            <v>OS</v>
          </cell>
          <cell r="S735" t="str">
            <v>OS</v>
          </cell>
          <cell r="T735" t="str">
            <v>OS</v>
          </cell>
          <cell r="U735" t="str">
            <v>OS</v>
          </cell>
          <cell r="V735" t="str">
            <v>OS</v>
          </cell>
          <cell r="W735" t="str">
            <v>OS</v>
          </cell>
          <cell r="X735" t="str">
            <v>OS</v>
          </cell>
          <cell r="Y735" t="str">
            <v>OS</v>
          </cell>
          <cell r="Z735" t="str">
            <v>OS</v>
          </cell>
          <cell r="AA735" t="str">
            <v>OS</v>
          </cell>
          <cell r="AB735" t="str">
            <v>OS</v>
          </cell>
          <cell r="AC735" t="str">
            <v>OS</v>
          </cell>
          <cell r="AD735" t="str">
            <v>AGM-01-032-005</v>
          </cell>
          <cell r="AE735" t="str">
            <v xml:space="preserve">Raemulan Lands, Inc. </v>
          </cell>
          <cell r="AF735" t="str">
            <v>Agapeya</v>
          </cell>
          <cell r="AG735" t="str">
            <v>AGM</v>
          </cell>
          <cell r="AH735" t="str">
            <v>Eco-High</v>
          </cell>
          <cell r="AI735" t="str">
            <v>West</v>
          </cell>
          <cell r="AJ735" t="str">
            <v>With LTS</v>
          </cell>
          <cell r="AK735" t="str">
            <v>Unaffected lots</v>
          </cell>
          <cell r="AL735" t="str">
            <v>Unaffected lots</v>
          </cell>
          <cell r="AM735" t="b">
            <v>1</v>
          </cell>
          <cell r="AN735" t="str">
            <v>YES</v>
          </cell>
          <cell r="AO735" t="str">
            <v>B5 2025</v>
          </cell>
          <cell r="AP735">
            <v>70</v>
          </cell>
          <cell r="AQ735" t="str">
            <v>PCS-04-034298</v>
          </cell>
          <cell r="AR735" t="b">
            <v>1</v>
          </cell>
          <cell r="AS735" t="str">
            <v>Done</v>
          </cell>
          <cell r="AT735" t="str">
            <v>2025 - Batch 6</v>
          </cell>
          <cell r="AU735">
            <v>32</v>
          </cell>
          <cell r="AV735">
            <v>5</v>
          </cell>
          <cell r="AW735" t="str">
            <v>H+L</v>
          </cell>
          <cell r="AX735">
            <v>70</v>
          </cell>
          <cell r="AY735">
            <v>50</v>
          </cell>
          <cell r="AZ735" t="str">
            <v>Duplex</v>
          </cell>
          <cell r="BA735">
            <v>0.95987341772151891</v>
          </cell>
          <cell r="BB735" t="str">
            <v>568 - Without Partition</v>
          </cell>
          <cell r="BC735" t="str">
            <v xml:space="preserve">Without Partition </v>
          </cell>
          <cell r="BD735" t="str">
            <v>Slant</v>
          </cell>
          <cell r="BE735" t="str">
            <v xml:space="preserve">Without Partition </v>
          </cell>
          <cell r="BF735" t="str">
            <v>YELLOW</v>
          </cell>
          <cell r="BG735">
            <v>2500000</v>
          </cell>
          <cell r="BH735">
            <v>2650000</v>
          </cell>
          <cell r="BI735">
            <v>100000</v>
          </cell>
          <cell r="BJ735">
            <v>2550000</v>
          </cell>
          <cell r="BK735">
            <v>0</v>
          </cell>
          <cell r="BL735">
            <v>2550000</v>
          </cell>
        </row>
        <row r="736">
          <cell r="D736" t="str">
            <v>OS</v>
          </cell>
          <cell r="E736"/>
          <cell r="F736">
            <v>716</v>
          </cell>
          <cell r="G736" t="str">
            <v>CLOSED</v>
          </cell>
          <cell r="H736" t="str">
            <v>TS</v>
          </cell>
          <cell r="I736" t="str">
            <v>TS</v>
          </cell>
          <cell r="J736" t="str">
            <v>OS</v>
          </cell>
          <cell r="K736" t="str">
            <v>OS</v>
          </cell>
          <cell r="L736" t="str">
            <v>OS</v>
          </cell>
          <cell r="M736" t="str">
            <v>OS</v>
          </cell>
          <cell r="N736" t="str">
            <v>OS</v>
          </cell>
          <cell r="O736" t="str">
            <v>OS</v>
          </cell>
          <cell r="P736" t="str">
            <v>OS</v>
          </cell>
          <cell r="Q736" t="str">
            <v>OS</v>
          </cell>
          <cell r="R736" t="str">
            <v>OS</v>
          </cell>
          <cell r="S736" t="str">
            <v>OS</v>
          </cell>
          <cell r="T736" t="str">
            <v>OS</v>
          </cell>
          <cell r="U736" t="str">
            <v>OS</v>
          </cell>
          <cell r="V736" t="str">
            <v>OS</v>
          </cell>
          <cell r="W736" t="str">
            <v>OS</v>
          </cell>
          <cell r="X736" t="str">
            <v>OS</v>
          </cell>
          <cell r="Y736" t="str">
            <v>OS</v>
          </cell>
          <cell r="Z736" t="str">
            <v>OS</v>
          </cell>
          <cell r="AA736" t="str">
            <v>OS</v>
          </cell>
          <cell r="AB736" t="str">
            <v>OS</v>
          </cell>
          <cell r="AC736" t="str">
            <v>OS</v>
          </cell>
          <cell r="AD736" t="str">
            <v>AGM-01-032-006</v>
          </cell>
          <cell r="AE736" t="str">
            <v xml:space="preserve">Raemulan Lands, Inc. </v>
          </cell>
          <cell r="AF736" t="str">
            <v>Agapeya</v>
          </cell>
          <cell r="AG736" t="str">
            <v>AGM</v>
          </cell>
          <cell r="AH736" t="str">
            <v>Eco-High</v>
          </cell>
          <cell r="AI736" t="str">
            <v>West</v>
          </cell>
          <cell r="AJ736" t="str">
            <v>With LTS</v>
          </cell>
          <cell r="AK736" t="str">
            <v>Unaffected lots</v>
          </cell>
          <cell r="AL736" t="str">
            <v>Unaffected lots</v>
          </cell>
          <cell r="AM736" t="b">
            <v>1</v>
          </cell>
          <cell r="AN736" t="str">
            <v>YES</v>
          </cell>
          <cell r="AO736" t="str">
            <v>B5 2025</v>
          </cell>
          <cell r="AP736">
            <v>70</v>
          </cell>
          <cell r="AQ736" t="str">
            <v>PCS-04-034298</v>
          </cell>
          <cell r="AR736" t="b">
            <v>1</v>
          </cell>
          <cell r="AS736" t="str">
            <v>Done</v>
          </cell>
          <cell r="AT736" t="str">
            <v>2025 - Batch 6</v>
          </cell>
          <cell r="AU736">
            <v>32</v>
          </cell>
          <cell r="AV736">
            <v>6</v>
          </cell>
          <cell r="AW736" t="str">
            <v>H+L</v>
          </cell>
          <cell r="AX736">
            <v>70</v>
          </cell>
          <cell r="AY736">
            <v>50</v>
          </cell>
          <cell r="AZ736" t="str">
            <v>Duplex</v>
          </cell>
          <cell r="BA736">
            <v>0.95987341772151891</v>
          </cell>
          <cell r="BB736" t="str">
            <v>568 - Without Partition</v>
          </cell>
          <cell r="BC736" t="str">
            <v xml:space="preserve">Without Partition </v>
          </cell>
          <cell r="BD736" t="str">
            <v>Flat</v>
          </cell>
          <cell r="BE736" t="str">
            <v xml:space="preserve">Without Partition </v>
          </cell>
          <cell r="BF736" t="str">
            <v>YELLOW</v>
          </cell>
          <cell r="BG736">
            <v>2500000</v>
          </cell>
          <cell r="BH736">
            <v>2650000</v>
          </cell>
          <cell r="BI736">
            <v>100000</v>
          </cell>
          <cell r="BJ736">
            <v>2550000</v>
          </cell>
          <cell r="BK736">
            <v>0</v>
          </cell>
          <cell r="BL736">
            <v>2550000</v>
          </cell>
        </row>
        <row r="737">
          <cell r="D737" t="str">
            <v>OS</v>
          </cell>
          <cell r="E737"/>
          <cell r="F737">
            <v>717</v>
          </cell>
          <cell r="G737" t="str">
            <v>CLOSED</v>
          </cell>
          <cell r="H737" t="str">
            <v>TS</v>
          </cell>
          <cell r="I737" t="str">
            <v>TS</v>
          </cell>
          <cell r="J737" t="str">
            <v>OS</v>
          </cell>
          <cell r="K737" t="str">
            <v>OS</v>
          </cell>
          <cell r="L737" t="str">
            <v>OS</v>
          </cell>
          <cell r="M737" t="str">
            <v>OS</v>
          </cell>
          <cell r="N737" t="str">
            <v>OS</v>
          </cell>
          <cell r="O737" t="str">
            <v>OS</v>
          </cell>
          <cell r="P737" t="str">
            <v>OS</v>
          </cell>
          <cell r="Q737" t="str">
            <v>OS</v>
          </cell>
          <cell r="R737" t="str">
            <v>OS</v>
          </cell>
          <cell r="S737" t="str">
            <v>OS</v>
          </cell>
          <cell r="T737" t="str">
            <v>OS</v>
          </cell>
          <cell r="U737" t="str">
            <v>OS</v>
          </cell>
          <cell r="V737" t="str">
            <v>OS</v>
          </cell>
          <cell r="W737" t="str">
            <v>OS</v>
          </cell>
          <cell r="X737" t="str">
            <v>OS</v>
          </cell>
          <cell r="Y737" t="str">
            <v>OS</v>
          </cell>
          <cell r="Z737" t="str">
            <v>OS</v>
          </cell>
          <cell r="AA737" t="str">
            <v>OS</v>
          </cell>
          <cell r="AB737" t="str">
            <v>OS</v>
          </cell>
          <cell r="AC737" t="str">
            <v>OS</v>
          </cell>
          <cell r="AD737" t="str">
            <v>AGM-01-032-007</v>
          </cell>
          <cell r="AE737" t="str">
            <v xml:space="preserve">Raemulan Lands, Inc. </v>
          </cell>
          <cell r="AF737" t="str">
            <v>Agapeya</v>
          </cell>
          <cell r="AG737" t="str">
            <v>AGM</v>
          </cell>
          <cell r="AH737" t="str">
            <v>Eco-High</v>
          </cell>
          <cell r="AI737" t="str">
            <v>West</v>
          </cell>
          <cell r="AJ737" t="str">
            <v>With LTS</v>
          </cell>
          <cell r="AK737" t="str">
            <v>Unaffected lots</v>
          </cell>
          <cell r="AL737" t="str">
            <v>Unaffected lots</v>
          </cell>
          <cell r="AM737" t="b">
            <v>1</v>
          </cell>
          <cell r="AN737" t="str">
            <v>YES</v>
          </cell>
          <cell r="AO737" t="str">
            <v>B4 2025</v>
          </cell>
          <cell r="AP737">
            <v>70</v>
          </cell>
          <cell r="AQ737" t="str">
            <v>PCS-04-034298</v>
          </cell>
          <cell r="AR737" t="b">
            <v>1</v>
          </cell>
          <cell r="AS737" t="str">
            <v>Done</v>
          </cell>
          <cell r="AT737" t="str">
            <v>2025 - Batch 6</v>
          </cell>
          <cell r="AU737">
            <v>32</v>
          </cell>
          <cell r="AV737">
            <v>7</v>
          </cell>
          <cell r="AW737" t="str">
            <v>H+L</v>
          </cell>
          <cell r="AX737">
            <v>70</v>
          </cell>
          <cell r="AY737">
            <v>50</v>
          </cell>
          <cell r="AZ737" t="str">
            <v>Duplex</v>
          </cell>
          <cell r="BA737">
            <v>0.95987341772151891</v>
          </cell>
          <cell r="BB737" t="str">
            <v>568 - Without Partition</v>
          </cell>
          <cell r="BC737" t="str">
            <v xml:space="preserve">Without Partition </v>
          </cell>
          <cell r="BD737" t="str">
            <v>Flat</v>
          </cell>
          <cell r="BE737" t="str">
            <v xml:space="preserve">Without Partition </v>
          </cell>
          <cell r="BF737" t="str">
            <v>YELLOW</v>
          </cell>
          <cell r="BG737">
            <v>2500000</v>
          </cell>
          <cell r="BH737">
            <v>2650000</v>
          </cell>
          <cell r="BI737">
            <v>100000</v>
          </cell>
          <cell r="BJ737">
            <v>2550000</v>
          </cell>
          <cell r="BK737">
            <v>0</v>
          </cell>
          <cell r="BL737">
            <v>2550000</v>
          </cell>
        </row>
        <row r="738">
          <cell r="D738" t="str">
            <v>OS</v>
          </cell>
          <cell r="E738"/>
          <cell r="F738">
            <v>718</v>
          </cell>
          <cell r="G738" t="str">
            <v>CLOSED</v>
          </cell>
          <cell r="H738" t="str">
            <v>WITH BRN</v>
          </cell>
          <cell r="I738" t="str">
            <v>TS</v>
          </cell>
          <cell r="J738" t="str">
            <v>TS</v>
          </cell>
          <cell r="K738" t="str">
            <v>TS</v>
          </cell>
          <cell r="L738" t="str">
            <v>TS</v>
          </cell>
          <cell r="M738" t="str">
            <v>TS</v>
          </cell>
          <cell r="N738" t="str">
            <v>TS</v>
          </cell>
          <cell r="O738" t="str">
            <v>TS</v>
          </cell>
          <cell r="P738" t="str">
            <v>TS</v>
          </cell>
          <cell r="Q738" t="str">
            <v>TS</v>
          </cell>
          <cell r="R738" t="str">
            <v>TS</v>
          </cell>
          <cell r="S738" t="str">
            <v>TS</v>
          </cell>
          <cell r="T738" t="str">
            <v>TS</v>
          </cell>
          <cell r="U738" t="str">
            <v>OS</v>
          </cell>
          <cell r="V738" t="str">
            <v>OS</v>
          </cell>
          <cell r="W738" t="str">
            <v>OS</v>
          </cell>
          <cell r="X738" t="str">
            <v>OS</v>
          </cell>
          <cell r="Y738" t="str">
            <v>OS</v>
          </cell>
          <cell r="Z738" t="str">
            <v>OS</v>
          </cell>
          <cell r="AA738" t="str">
            <v>OS</v>
          </cell>
          <cell r="AB738" t="str">
            <v>OS</v>
          </cell>
          <cell r="AC738" t="str">
            <v>OS</v>
          </cell>
          <cell r="AD738" t="str">
            <v>AGM-01-032-008</v>
          </cell>
          <cell r="AE738" t="str">
            <v xml:space="preserve">Raemulan Lands, Inc. </v>
          </cell>
          <cell r="AF738" t="str">
            <v>Agapeya</v>
          </cell>
          <cell r="AG738" t="str">
            <v>AGM</v>
          </cell>
          <cell r="AH738" t="str">
            <v>Eco-High</v>
          </cell>
          <cell r="AI738" t="str">
            <v>West</v>
          </cell>
          <cell r="AJ738" t="str">
            <v>With LTS</v>
          </cell>
          <cell r="AK738" t="str">
            <v>Unaffected lots</v>
          </cell>
          <cell r="AL738" t="str">
            <v>Unaffected lots</v>
          </cell>
          <cell r="AM738" t="b">
            <v>1</v>
          </cell>
          <cell r="AN738" t="str">
            <v>YES</v>
          </cell>
          <cell r="AO738" t="str">
            <v>B4 2025</v>
          </cell>
          <cell r="AP738">
            <v>70</v>
          </cell>
          <cell r="AQ738" t="str">
            <v>PCS-04-034298</v>
          </cell>
          <cell r="AR738" t="b">
            <v>1</v>
          </cell>
          <cell r="AS738" t="str">
            <v>Done</v>
          </cell>
          <cell r="AT738" t="str">
            <v>2025 - Batch 6</v>
          </cell>
          <cell r="AU738">
            <v>32</v>
          </cell>
          <cell r="AV738">
            <v>8</v>
          </cell>
          <cell r="AW738" t="str">
            <v>H+L</v>
          </cell>
          <cell r="AX738">
            <v>70</v>
          </cell>
          <cell r="AY738">
            <v>50</v>
          </cell>
          <cell r="AZ738" t="str">
            <v>Duplex</v>
          </cell>
          <cell r="BA738">
            <v>0.95987341772151891</v>
          </cell>
          <cell r="BB738" t="str">
            <v>568 - Without Partition</v>
          </cell>
          <cell r="BC738" t="str">
            <v xml:space="preserve">Without Partition </v>
          </cell>
          <cell r="BD738" t="str">
            <v>Slant</v>
          </cell>
          <cell r="BE738" t="str">
            <v xml:space="preserve">Without Partition </v>
          </cell>
          <cell r="BF738" t="str">
            <v>YELLOW</v>
          </cell>
          <cell r="BG738">
            <v>2500000</v>
          </cell>
          <cell r="BH738">
            <v>2650000</v>
          </cell>
          <cell r="BI738">
            <v>100000</v>
          </cell>
          <cell r="BJ738">
            <v>2550000</v>
          </cell>
          <cell r="BK738">
            <v>0</v>
          </cell>
          <cell r="BL738">
            <v>2550000</v>
          </cell>
        </row>
        <row r="739">
          <cell r="D739" t="str">
            <v>OS</v>
          </cell>
          <cell r="E739"/>
          <cell r="F739">
            <v>719</v>
          </cell>
          <cell r="G739" t="str">
            <v>SOLD</v>
          </cell>
          <cell r="H739" t="str">
            <v>OS</v>
          </cell>
          <cell r="I739" t="str">
            <v>OS</v>
          </cell>
          <cell r="J739" t="str">
            <v>OS</v>
          </cell>
          <cell r="K739" t="str">
            <v>OS</v>
          </cell>
          <cell r="L739" t="str">
            <v>OS</v>
          </cell>
          <cell r="M739" t="str">
            <v>OS</v>
          </cell>
          <cell r="N739" t="str">
            <v>OS</v>
          </cell>
          <cell r="O739" t="str">
            <v>OS</v>
          </cell>
          <cell r="P739" t="str">
            <v>OS</v>
          </cell>
          <cell r="Q739" t="str">
            <v>OS</v>
          </cell>
          <cell r="R739" t="str">
            <v>OS</v>
          </cell>
          <cell r="S739" t="str">
            <v>OS</v>
          </cell>
          <cell r="T739" t="str">
            <v>OS</v>
          </cell>
          <cell r="U739" t="str">
            <v>OS</v>
          </cell>
          <cell r="V739" t="str">
            <v>OS</v>
          </cell>
          <cell r="W739" t="str">
            <v>OS</v>
          </cell>
          <cell r="X739" t="str">
            <v>OS</v>
          </cell>
          <cell r="Y739" t="str">
            <v>OS</v>
          </cell>
          <cell r="Z739" t="str">
            <v>OS</v>
          </cell>
          <cell r="AA739" t="str">
            <v>OS</v>
          </cell>
          <cell r="AB739" t="str">
            <v>OS</v>
          </cell>
          <cell r="AC739" t="str">
            <v>OS</v>
          </cell>
          <cell r="AD739" t="str">
            <v>AGM-01-033-001</v>
          </cell>
          <cell r="AE739" t="str">
            <v xml:space="preserve">Raemulan Lands, Inc. </v>
          </cell>
          <cell r="AF739" t="str">
            <v>Agapeya</v>
          </cell>
          <cell r="AG739" t="str">
            <v>AGM</v>
          </cell>
          <cell r="AH739" t="str">
            <v>Eco-High</v>
          </cell>
          <cell r="AI739" t="str">
            <v>West</v>
          </cell>
          <cell r="AJ739" t="str">
            <v>With LTS</v>
          </cell>
          <cell r="AK739" t="str">
            <v>Unaffected lots</v>
          </cell>
          <cell r="AL739" t="str">
            <v>Unaffected lots</v>
          </cell>
          <cell r="AM739" t="b">
            <v>1</v>
          </cell>
          <cell r="AN739" t="str">
            <v>YES</v>
          </cell>
          <cell r="AO739" t="str">
            <v>B5 2025</v>
          </cell>
          <cell r="AP739">
            <v>70</v>
          </cell>
          <cell r="AQ739" t="str">
            <v>PCS-04-034298</v>
          </cell>
          <cell r="AR739" t="b">
            <v>1</v>
          </cell>
          <cell r="AS739" t="str">
            <v>Done</v>
          </cell>
          <cell r="AT739" t="str">
            <v>2025 - Batch 5</v>
          </cell>
          <cell r="AU739">
            <v>33</v>
          </cell>
          <cell r="AV739">
            <v>1</v>
          </cell>
          <cell r="AW739" t="str">
            <v>H+L</v>
          </cell>
          <cell r="AX739">
            <v>70</v>
          </cell>
          <cell r="AY739">
            <v>50</v>
          </cell>
          <cell r="AZ739" t="str">
            <v>Duplex</v>
          </cell>
          <cell r="BA739">
            <v>1</v>
          </cell>
          <cell r="BB739" t="str">
            <v>568 - Without Partition</v>
          </cell>
          <cell r="BC739" t="str">
            <v xml:space="preserve">Without Partition </v>
          </cell>
          <cell r="BD739" t="str">
            <v>Slant</v>
          </cell>
          <cell r="BE739" t="str">
            <v xml:space="preserve">Without Partition </v>
          </cell>
          <cell r="BF739" t="str">
            <v>PURPLE</v>
          </cell>
          <cell r="BG739">
            <v>2500000</v>
          </cell>
          <cell r="BH739">
            <v>2650000</v>
          </cell>
          <cell r="BI739">
            <v>100000</v>
          </cell>
          <cell r="BJ739">
            <v>2550000</v>
          </cell>
          <cell r="BK739">
            <v>0</v>
          </cell>
          <cell r="BL739">
            <v>2550000</v>
          </cell>
        </row>
        <row r="740">
          <cell r="D740" t="str">
            <v>OS</v>
          </cell>
          <cell r="E740"/>
          <cell r="F740">
            <v>720</v>
          </cell>
          <cell r="G740" t="str">
            <v>SOLD</v>
          </cell>
          <cell r="H740" t="str">
            <v>OS</v>
          </cell>
          <cell r="I740" t="str">
            <v>OS</v>
          </cell>
          <cell r="J740" t="str">
            <v>OS</v>
          </cell>
          <cell r="K740" t="str">
            <v>OS</v>
          </cell>
          <cell r="L740" t="str">
            <v>OS</v>
          </cell>
          <cell r="M740" t="str">
            <v>OS</v>
          </cell>
          <cell r="N740" t="str">
            <v>OS</v>
          </cell>
          <cell r="O740" t="str">
            <v>OS</v>
          </cell>
          <cell r="P740" t="str">
            <v>OS</v>
          </cell>
          <cell r="Q740" t="str">
            <v>OS</v>
          </cell>
          <cell r="R740" t="str">
            <v>OS</v>
          </cell>
          <cell r="S740" t="str">
            <v>OS</v>
          </cell>
          <cell r="T740" t="str">
            <v>OS</v>
          </cell>
          <cell r="U740" t="str">
            <v>OS</v>
          </cell>
          <cell r="V740" t="str">
            <v>OS</v>
          </cell>
          <cell r="W740" t="str">
            <v>OS</v>
          </cell>
          <cell r="X740" t="str">
            <v>OS</v>
          </cell>
          <cell r="Y740" t="str">
            <v>OS</v>
          </cell>
          <cell r="Z740" t="str">
            <v>OS</v>
          </cell>
          <cell r="AA740" t="str">
            <v>OS</v>
          </cell>
          <cell r="AB740" t="str">
            <v>OS</v>
          </cell>
          <cell r="AC740" t="str">
            <v>OS</v>
          </cell>
          <cell r="AD740" t="str">
            <v>AGM-01-033-002</v>
          </cell>
          <cell r="AE740" t="str">
            <v xml:space="preserve">Raemulan Lands, Inc. </v>
          </cell>
          <cell r="AF740" t="str">
            <v>Agapeya</v>
          </cell>
          <cell r="AG740" t="str">
            <v>AGM</v>
          </cell>
          <cell r="AH740" t="str">
            <v>Eco-High</v>
          </cell>
          <cell r="AI740" t="str">
            <v>West</v>
          </cell>
          <cell r="AJ740" t="str">
            <v>With LTS</v>
          </cell>
          <cell r="AK740" t="str">
            <v>Unaffected lots</v>
          </cell>
          <cell r="AL740" t="str">
            <v>Unaffected lots</v>
          </cell>
          <cell r="AM740" t="b">
            <v>1</v>
          </cell>
          <cell r="AN740" t="str">
            <v>YES</v>
          </cell>
          <cell r="AO740" t="str">
            <v>B5 2025</v>
          </cell>
          <cell r="AP740">
            <v>70</v>
          </cell>
          <cell r="AQ740" t="str">
            <v>PCS-04-034298</v>
          </cell>
          <cell r="AR740" t="b">
            <v>1</v>
          </cell>
          <cell r="AS740" t="str">
            <v>Done</v>
          </cell>
          <cell r="AT740" t="str">
            <v>2025 - Batch 5</v>
          </cell>
          <cell r="AU740">
            <v>33</v>
          </cell>
          <cell r="AV740">
            <v>2</v>
          </cell>
          <cell r="AW740" t="str">
            <v>H+L</v>
          </cell>
          <cell r="AX740">
            <v>70</v>
          </cell>
          <cell r="AY740">
            <v>50</v>
          </cell>
          <cell r="AZ740" t="str">
            <v>Duplex</v>
          </cell>
          <cell r="BA740">
            <v>1</v>
          </cell>
          <cell r="BB740" t="str">
            <v>568 - Without Partition</v>
          </cell>
          <cell r="BC740" t="str">
            <v xml:space="preserve">Without Partition </v>
          </cell>
          <cell r="BD740" t="str">
            <v>Flat</v>
          </cell>
          <cell r="BE740" t="str">
            <v xml:space="preserve">Without Partition </v>
          </cell>
          <cell r="BF740" t="str">
            <v>PURPLE</v>
          </cell>
          <cell r="BG740">
            <v>2500000</v>
          </cell>
          <cell r="BH740">
            <v>2650000</v>
          </cell>
          <cell r="BI740">
            <v>100000</v>
          </cell>
          <cell r="BJ740">
            <v>2550000</v>
          </cell>
          <cell r="BK740">
            <v>0</v>
          </cell>
          <cell r="BL740">
            <v>2550000</v>
          </cell>
        </row>
        <row r="741">
          <cell r="D741" t="str">
            <v>OS</v>
          </cell>
          <cell r="E741"/>
          <cell r="F741">
            <v>721</v>
          </cell>
          <cell r="G741" t="str">
            <v>CLOSED</v>
          </cell>
          <cell r="H741" t="str">
            <v>TS</v>
          </cell>
          <cell r="I741" t="str">
            <v>TS</v>
          </cell>
          <cell r="J741" t="str">
            <v>OS</v>
          </cell>
          <cell r="K741" t="str">
            <v>OS</v>
          </cell>
          <cell r="L741" t="str">
            <v>OS</v>
          </cell>
          <cell r="M741" t="str">
            <v>OS</v>
          </cell>
          <cell r="N741" t="str">
            <v>OS</v>
          </cell>
          <cell r="O741" t="str">
            <v>OS</v>
          </cell>
          <cell r="P741" t="str">
            <v>OS</v>
          </cell>
          <cell r="Q741" t="str">
            <v>OS</v>
          </cell>
          <cell r="R741" t="str">
            <v>OS</v>
          </cell>
          <cell r="S741" t="str">
            <v>OS</v>
          </cell>
          <cell r="T741" t="str">
            <v>OS</v>
          </cell>
          <cell r="U741" t="str">
            <v>OS</v>
          </cell>
          <cell r="V741" t="str">
            <v>OS</v>
          </cell>
          <cell r="W741" t="str">
            <v>OS</v>
          </cell>
          <cell r="X741" t="str">
            <v>OS</v>
          </cell>
          <cell r="Y741" t="str">
            <v>OS</v>
          </cell>
          <cell r="Z741" t="str">
            <v>OS</v>
          </cell>
          <cell r="AA741" t="str">
            <v>OS</v>
          </cell>
          <cell r="AB741" t="str">
            <v>OS</v>
          </cell>
          <cell r="AC741" t="str">
            <v>OS</v>
          </cell>
          <cell r="AD741" t="str">
            <v>AGM-01-033-003</v>
          </cell>
          <cell r="AE741" t="str">
            <v xml:space="preserve">Raemulan Lands, Inc. </v>
          </cell>
          <cell r="AF741" t="str">
            <v>Agapeya</v>
          </cell>
          <cell r="AG741" t="str">
            <v>AGM</v>
          </cell>
          <cell r="AH741" t="str">
            <v>Eco-High</v>
          </cell>
          <cell r="AI741" t="str">
            <v>West</v>
          </cell>
          <cell r="AJ741" t="str">
            <v>With LTS</v>
          </cell>
          <cell r="AK741" t="str">
            <v>Unaffected lots</v>
          </cell>
          <cell r="AL741" t="str">
            <v>Unaffected lots</v>
          </cell>
          <cell r="AM741" t="b">
            <v>1</v>
          </cell>
          <cell r="AN741" t="str">
            <v>YES</v>
          </cell>
          <cell r="AO741" t="str">
            <v>B5 2025</v>
          </cell>
          <cell r="AP741">
            <v>70</v>
          </cell>
          <cell r="AQ741" t="str">
            <v>PCS-04-034298</v>
          </cell>
          <cell r="AR741" t="b">
            <v>1</v>
          </cell>
          <cell r="AS741" t="str">
            <v>Done</v>
          </cell>
          <cell r="AT741" t="str">
            <v>2025 - Batch 5</v>
          </cell>
          <cell r="AU741">
            <v>33</v>
          </cell>
          <cell r="AV741">
            <v>3</v>
          </cell>
          <cell r="AW741" t="str">
            <v>H+L</v>
          </cell>
          <cell r="AX741">
            <v>70</v>
          </cell>
          <cell r="AY741">
            <v>50</v>
          </cell>
          <cell r="AZ741" t="str">
            <v>Duplex</v>
          </cell>
          <cell r="BA741">
            <v>1</v>
          </cell>
          <cell r="BB741" t="str">
            <v>568 - Without Partition</v>
          </cell>
          <cell r="BC741" t="str">
            <v xml:space="preserve">Without Partition </v>
          </cell>
          <cell r="BD741" t="str">
            <v>Flat</v>
          </cell>
          <cell r="BE741" t="str">
            <v xml:space="preserve">Without Partition </v>
          </cell>
          <cell r="BF741" t="str">
            <v>GREEN</v>
          </cell>
          <cell r="BG741">
            <v>2500000</v>
          </cell>
          <cell r="BH741">
            <v>2650000</v>
          </cell>
          <cell r="BI741">
            <v>100000</v>
          </cell>
          <cell r="BJ741">
            <v>2550000</v>
          </cell>
          <cell r="BK741">
            <v>0</v>
          </cell>
          <cell r="BL741">
            <v>2550000</v>
          </cell>
        </row>
        <row r="742">
          <cell r="D742" t="str">
            <v>OS</v>
          </cell>
          <cell r="E742"/>
          <cell r="F742">
            <v>722</v>
          </cell>
          <cell r="G742" t="str">
            <v>CLOSED</v>
          </cell>
          <cell r="H742" t="str">
            <v>OPEN</v>
          </cell>
          <cell r="I742" t="str">
            <v>TS</v>
          </cell>
          <cell r="J742" t="str">
            <v>TS</v>
          </cell>
          <cell r="K742" t="str">
            <v>TS</v>
          </cell>
          <cell r="L742" t="str">
            <v>TS</v>
          </cell>
          <cell r="M742" t="str">
            <v>TS</v>
          </cell>
          <cell r="N742" t="str">
            <v>TS</v>
          </cell>
          <cell r="O742" t="str">
            <v>TS</v>
          </cell>
          <cell r="P742" t="str">
            <v>OS</v>
          </cell>
          <cell r="Q742" t="str">
            <v>OS</v>
          </cell>
          <cell r="R742" t="str">
            <v>OS</v>
          </cell>
          <cell r="S742" t="str">
            <v>OS</v>
          </cell>
          <cell r="T742" t="str">
            <v>OS</v>
          </cell>
          <cell r="U742" t="str">
            <v>OS</v>
          </cell>
          <cell r="V742" t="str">
            <v>OS</v>
          </cell>
          <cell r="W742" t="str">
            <v>OS</v>
          </cell>
          <cell r="X742" t="str">
            <v>OS</v>
          </cell>
          <cell r="Y742" t="str">
            <v>OS</v>
          </cell>
          <cell r="Z742" t="str">
            <v>OS</v>
          </cell>
          <cell r="AA742" t="str">
            <v>OS</v>
          </cell>
          <cell r="AB742" t="str">
            <v>OS</v>
          </cell>
          <cell r="AC742" t="str">
            <v>OS</v>
          </cell>
          <cell r="AD742" t="str">
            <v>AGM-01-033-004</v>
          </cell>
          <cell r="AE742" t="str">
            <v xml:space="preserve">Raemulan Lands, Inc. </v>
          </cell>
          <cell r="AF742" t="str">
            <v>Agapeya</v>
          </cell>
          <cell r="AG742" t="str">
            <v>AGM</v>
          </cell>
          <cell r="AH742" t="str">
            <v>Eco-High</v>
          </cell>
          <cell r="AI742" t="str">
            <v>West</v>
          </cell>
          <cell r="AJ742" t="str">
            <v>With LTS</v>
          </cell>
          <cell r="AK742" t="str">
            <v>Unaffected lots</v>
          </cell>
          <cell r="AL742" t="str">
            <v>Unaffected lots</v>
          </cell>
          <cell r="AM742" t="b">
            <v>1</v>
          </cell>
          <cell r="AN742" t="str">
            <v>YES</v>
          </cell>
          <cell r="AO742" t="str">
            <v>B5 2025</v>
          </cell>
          <cell r="AP742">
            <v>70</v>
          </cell>
          <cell r="AQ742" t="str">
            <v>PCS-04-034298</v>
          </cell>
          <cell r="AR742" t="b">
            <v>1</v>
          </cell>
          <cell r="AS742" t="str">
            <v>Done</v>
          </cell>
          <cell r="AT742" t="str">
            <v>2025 - Batch 5</v>
          </cell>
          <cell r="AU742">
            <v>33</v>
          </cell>
          <cell r="AV742">
            <v>4</v>
          </cell>
          <cell r="AW742" t="str">
            <v>H+L</v>
          </cell>
          <cell r="AX742">
            <v>70</v>
          </cell>
          <cell r="AY742">
            <v>50</v>
          </cell>
          <cell r="AZ742" t="str">
            <v>Duplex</v>
          </cell>
          <cell r="BA742">
            <v>1</v>
          </cell>
          <cell r="BB742" t="str">
            <v>568 - Without Partition</v>
          </cell>
          <cell r="BC742" t="str">
            <v xml:space="preserve">Without Partition </v>
          </cell>
          <cell r="BD742" t="str">
            <v>Slant</v>
          </cell>
          <cell r="BE742" t="str">
            <v xml:space="preserve">Without Partition </v>
          </cell>
          <cell r="BF742" t="str">
            <v>GREEN</v>
          </cell>
          <cell r="BG742">
            <v>2500000</v>
          </cell>
          <cell r="BH742">
            <v>2650000</v>
          </cell>
          <cell r="BI742">
            <v>100000</v>
          </cell>
          <cell r="BJ742">
            <v>2550000</v>
          </cell>
          <cell r="BK742">
            <v>0</v>
          </cell>
          <cell r="BL742">
            <v>2550000</v>
          </cell>
        </row>
        <row r="743">
          <cell r="D743" t="str">
            <v>OS</v>
          </cell>
          <cell r="E743"/>
          <cell r="F743">
            <v>723</v>
          </cell>
          <cell r="G743" t="str">
            <v>CLOSED</v>
          </cell>
          <cell r="H743" t="str">
            <v>OPEN</v>
          </cell>
          <cell r="I743" t="str">
            <v>TS</v>
          </cell>
          <cell r="J743" t="str">
            <v>TS</v>
          </cell>
          <cell r="K743" t="str">
            <v>TS</v>
          </cell>
          <cell r="L743" t="str">
            <v>TS</v>
          </cell>
          <cell r="M743" t="str">
            <v>TS</v>
          </cell>
          <cell r="N743" t="str">
            <v>TS</v>
          </cell>
          <cell r="O743" t="str">
            <v>TS</v>
          </cell>
          <cell r="P743" t="str">
            <v>OS</v>
          </cell>
          <cell r="Q743" t="str">
            <v>OS</v>
          </cell>
          <cell r="R743" t="str">
            <v>OS</v>
          </cell>
          <cell r="S743" t="str">
            <v>OS</v>
          </cell>
          <cell r="T743" t="str">
            <v>OS</v>
          </cell>
          <cell r="U743" t="str">
            <v>OS</v>
          </cell>
          <cell r="V743" t="str">
            <v>OS</v>
          </cell>
          <cell r="W743" t="str">
            <v>OS</v>
          </cell>
          <cell r="X743" t="str">
            <v>OS</v>
          </cell>
          <cell r="Y743" t="str">
            <v>OS</v>
          </cell>
          <cell r="Z743" t="str">
            <v>OS</v>
          </cell>
          <cell r="AA743" t="str">
            <v>OS</v>
          </cell>
          <cell r="AB743" t="str">
            <v>OS</v>
          </cell>
          <cell r="AC743" t="str">
            <v>OS</v>
          </cell>
          <cell r="AD743" t="str">
            <v>AGM-01-033-005</v>
          </cell>
          <cell r="AE743" t="str">
            <v xml:space="preserve">Raemulan Lands, Inc. </v>
          </cell>
          <cell r="AF743" t="str">
            <v>Agapeya</v>
          </cell>
          <cell r="AG743" t="str">
            <v>AGM</v>
          </cell>
          <cell r="AH743" t="str">
            <v>Eco-High</v>
          </cell>
          <cell r="AI743" t="str">
            <v>West</v>
          </cell>
          <cell r="AJ743" t="str">
            <v>With LTS</v>
          </cell>
          <cell r="AK743" t="str">
            <v>Unaffected lots</v>
          </cell>
          <cell r="AL743" t="str">
            <v>Unaffected lots</v>
          </cell>
          <cell r="AM743" t="b">
            <v>1</v>
          </cell>
          <cell r="AN743" t="str">
            <v>YES</v>
          </cell>
          <cell r="AO743" t="str">
            <v>B5 2025</v>
          </cell>
          <cell r="AP743">
            <v>70</v>
          </cell>
          <cell r="AQ743" t="str">
            <v>PCS-04-034298</v>
          </cell>
          <cell r="AR743" t="b">
            <v>1</v>
          </cell>
          <cell r="AS743" t="str">
            <v>Done</v>
          </cell>
          <cell r="AT743" t="str">
            <v>2025 - Batch 5</v>
          </cell>
          <cell r="AU743">
            <v>33</v>
          </cell>
          <cell r="AV743">
            <v>5</v>
          </cell>
          <cell r="AW743" t="str">
            <v>H+L</v>
          </cell>
          <cell r="AX743">
            <v>70</v>
          </cell>
          <cell r="AY743">
            <v>50</v>
          </cell>
          <cell r="AZ743" t="str">
            <v>Duplex</v>
          </cell>
          <cell r="BA743">
            <v>1</v>
          </cell>
          <cell r="BB743" t="str">
            <v>568 - Without Partition</v>
          </cell>
          <cell r="BC743" t="str">
            <v xml:space="preserve">Without Partition </v>
          </cell>
          <cell r="BD743" t="str">
            <v>Slant</v>
          </cell>
          <cell r="BE743" t="str">
            <v xml:space="preserve">Without Partition </v>
          </cell>
          <cell r="BF743" t="str">
            <v>GREEN</v>
          </cell>
          <cell r="BG743">
            <v>2500000</v>
          </cell>
          <cell r="BH743">
            <v>2650000</v>
          </cell>
          <cell r="BI743">
            <v>100000</v>
          </cell>
          <cell r="BJ743">
            <v>2550000</v>
          </cell>
          <cell r="BK743">
            <v>0</v>
          </cell>
          <cell r="BL743">
            <v>2550000</v>
          </cell>
        </row>
        <row r="744">
          <cell r="D744" t="str">
            <v>OS</v>
          </cell>
          <cell r="E744"/>
          <cell r="F744">
            <v>724</v>
          </cell>
          <cell r="G744" t="str">
            <v>UNSOLD</v>
          </cell>
          <cell r="H744" t="str">
            <v>TS</v>
          </cell>
          <cell r="I744" t="str">
            <v>TS</v>
          </cell>
          <cell r="J744" t="str">
            <v>TS</v>
          </cell>
          <cell r="K744" t="str">
            <v>TS</v>
          </cell>
          <cell r="L744" t="str">
            <v>TS</v>
          </cell>
          <cell r="M744" t="str">
            <v>TS</v>
          </cell>
          <cell r="N744" t="str">
            <v>OS</v>
          </cell>
          <cell r="O744" t="str">
            <v>OS</v>
          </cell>
          <cell r="P744" t="str">
            <v>OS</v>
          </cell>
          <cell r="Q744" t="str">
            <v>OS</v>
          </cell>
          <cell r="R744" t="str">
            <v>OS</v>
          </cell>
          <cell r="S744" t="str">
            <v>OS</v>
          </cell>
          <cell r="T744" t="str">
            <v>OS</v>
          </cell>
          <cell r="U744" t="str">
            <v>OS</v>
          </cell>
          <cell r="V744" t="str">
            <v>OS</v>
          </cell>
          <cell r="W744" t="str">
            <v>OS</v>
          </cell>
          <cell r="X744" t="str">
            <v>OS</v>
          </cell>
          <cell r="Y744" t="str">
            <v>OS</v>
          </cell>
          <cell r="Z744" t="str">
            <v>OS</v>
          </cell>
          <cell r="AA744" t="str">
            <v>OS</v>
          </cell>
          <cell r="AB744" t="str">
            <v>OS</v>
          </cell>
          <cell r="AC744" t="str">
            <v>OS</v>
          </cell>
          <cell r="AD744" t="str">
            <v>AGM-01-033-006</v>
          </cell>
          <cell r="AE744" t="str">
            <v xml:space="preserve">Raemulan Lands, Inc. </v>
          </cell>
          <cell r="AF744" t="str">
            <v>Agapeya</v>
          </cell>
          <cell r="AG744" t="str">
            <v>AGM</v>
          </cell>
          <cell r="AH744" t="str">
            <v>Eco-High</v>
          </cell>
          <cell r="AI744" t="str">
            <v>West</v>
          </cell>
          <cell r="AJ744" t="str">
            <v>With LTS</v>
          </cell>
          <cell r="AK744" t="str">
            <v>Unaffected lots</v>
          </cell>
          <cell r="AL744" t="str">
            <v>Unaffected lots</v>
          </cell>
          <cell r="AM744" t="b">
            <v>1</v>
          </cell>
          <cell r="AN744" t="str">
            <v>YES</v>
          </cell>
          <cell r="AO744" t="str">
            <v>B5 2025</v>
          </cell>
          <cell r="AP744">
            <v>70</v>
          </cell>
          <cell r="AQ744" t="str">
            <v>PCS-04-034298</v>
          </cell>
          <cell r="AR744" t="b">
            <v>1</v>
          </cell>
          <cell r="AS744" t="str">
            <v>Done</v>
          </cell>
          <cell r="AT744" t="str">
            <v>2025 - Batch 5</v>
          </cell>
          <cell r="AU744">
            <v>33</v>
          </cell>
          <cell r="AV744">
            <v>6</v>
          </cell>
          <cell r="AW744" t="str">
            <v>H+L</v>
          </cell>
          <cell r="AX744">
            <v>70</v>
          </cell>
          <cell r="AY744">
            <v>50</v>
          </cell>
          <cell r="AZ744" t="str">
            <v>Duplex</v>
          </cell>
          <cell r="BA744">
            <v>1</v>
          </cell>
          <cell r="BB744" t="str">
            <v>568 - Without Partition</v>
          </cell>
          <cell r="BC744" t="str">
            <v xml:space="preserve">Without Partition </v>
          </cell>
          <cell r="BD744" t="str">
            <v>Flat</v>
          </cell>
          <cell r="BE744" t="str">
            <v xml:space="preserve">Without Partition </v>
          </cell>
          <cell r="BF744" t="str">
            <v>GREEN</v>
          </cell>
          <cell r="BG744">
            <v>2500000</v>
          </cell>
          <cell r="BH744">
            <v>2650000</v>
          </cell>
          <cell r="BI744">
            <v>100000</v>
          </cell>
          <cell r="BJ744">
            <v>2550000</v>
          </cell>
          <cell r="BK744">
            <v>0</v>
          </cell>
          <cell r="BL744">
            <v>2550000</v>
          </cell>
        </row>
        <row r="745">
          <cell r="D745" t="str">
            <v>OS</v>
          </cell>
          <cell r="E745"/>
          <cell r="F745">
            <v>725</v>
          </cell>
          <cell r="G745" t="str">
            <v>CLOSED</v>
          </cell>
          <cell r="H745" t="str">
            <v>TS</v>
          </cell>
          <cell r="I745" t="str">
            <v>TS</v>
          </cell>
          <cell r="J745" t="str">
            <v>TS</v>
          </cell>
          <cell r="K745" t="str">
            <v>TS</v>
          </cell>
          <cell r="L745" t="str">
            <v>TS</v>
          </cell>
          <cell r="M745" t="str">
            <v>TS</v>
          </cell>
          <cell r="N745" t="str">
            <v>TS</v>
          </cell>
          <cell r="O745" t="str">
            <v>TS</v>
          </cell>
          <cell r="P745" t="str">
            <v>OS</v>
          </cell>
          <cell r="Q745" t="str">
            <v>OS</v>
          </cell>
          <cell r="R745" t="str">
            <v>OS</v>
          </cell>
          <cell r="S745" t="str">
            <v>OS</v>
          </cell>
          <cell r="T745" t="str">
            <v>OS</v>
          </cell>
          <cell r="U745" t="str">
            <v>OS</v>
          </cell>
          <cell r="V745" t="str">
            <v>OS</v>
          </cell>
          <cell r="W745" t="str">
            <v>OS</v>
          </cell>
          <cell r="X745" t="str">
            <v>OS</v>
          </cell>
          <cell r="Y745" t="str">
            <v>OS</v>
          </cell>
          <cell r="Z745" t="str">
            <v>OS</v>
          </cell>
          <cell r="AA745" t="str">
            <v>OS</v>
          </cell>
          <cell r="AB745" t="str">
            <v>OS</v>
          </cell>
          <cell r="AC745" t="str">
            <v>OS</v>
          </cell>
          <cell r="AD745" t="str">
            <v>AGM-01-033-007</v>
          </cell>
          <cell r="AE745" t="str">
            <v xml:space="preserve">Raemulan Lands, Inc. </v>
          </cell>
          <cell r="AF745" t="str">
            <v>Agapeya</v>
          </cell>
          <cell r="AG745" t="str">
            <v>AGM</v>
          </cell>
          <cell r="AH745" t="str">
            <v>Eco-High</v>
          </cell>
          <cell r="AI745" t="str">
            <v>West</v>
          </cell>
          <cell r="AJ745" t="str">
            <v>With LTS</v>
          </cell>
          <cell r="AK745" t="str">
            <v>Unaffected lots</v>
          </cell>
          <cell r="AL745" t="str">
            <v>Unaffected lots</v>
          </cell>
          <cell r="AM745" t="b">
            <v>1</v>
          </cell>
          <cell r="AN745" t="str">
            <v>YES</v>
          </cell>
          <cell r="AO745" t="str">
            <v>B5 2025</v>
          </cell>
          <cell r="AP745">
            <v>70</v>
          </cell>
          <cell r="AQ745" t="str">
            <v>PCS-04-034298</v>
          </cell>
          <cell r="AR745" t="b">
            <v>1</v>
          </cell>
          <cell r="AS745" t="str">
            <v>Done</v>
          </cell>
          <cell r="AT745" t="str">
            <v>2025 - Batch 5</v>
          </cell>
          <cell r="AU745">
            <v>33</v>
          </cell>
          <cell r="AV745">
            <v>7</v>
          </cell>
          <cell r="AW745" t="str">
            <v>H+L</v>
          </cell>
          <cell r="AX745">
            <v>70</v>
          </cell>
          <cell r="AY745">
            <v>50</v>
          </cell>
          <cell r="AZ745" t="str">
            <v>Duplex</v>
          </cell>
          <cell r="BA745">
            <v>1</v>
          </cell>
          <cell r="BB745" t="str">
            <v>568 - Without Partition</v>
          </cell>
          <cell r="BC745" t="str">
            <v xml:space="preserve">Without Partition </v>
          </cell>
          <cell r="BD745" t="str">
            <v>Slant</v>
          </cell>
          <cell r="BE745" t="str">
            <v xml:space="preserve">Without Partition </v>
          </cell>
          <cell r="BF745" t="str">
            <v>PINK</v>
          </cell>
          <cell r="BG745">
            <v>2500000</v>
          </cell>
          <cell r="BH745">
            <v>2650000</v>
          </cell>
          <cell r="BI745">
            <v>100000</v>
          </cell>
          <cell r="BJ745">
            <v>2550000</v>
          </cell>
          <cell r="BK745">
            <v>0</v>
          </cell>
          <cell r="BL745">
            <v>2550000</v>
          </cell>
        </row>
        <row r="746">
          <cell r="D746" t="str">
            <v>OS</v>
          </cell>
          <cell r="E746"/>
          <cell r="F746">
            <v>726</v>
          </cell>
          <cell r="G746" t="str">
            <v>SOLD</v>
          </cell>
          <cell r="H746" t="str">
            <v>TS</v>
          </cell>
          <cell r="I746" t="str">
            <v>TS</v>
          </cell>
          <cell r="J746" t="str">
            <v>TS</v>
          </cell>
          <cell r="K746" t="str">
            <v>TS</v>
          </cell>
          <cell r="L746" t="str">
            <v>TS</v>
          </cell>
          <cell r="M746" t="str">
            <v>TS</v>
          </cell>
          <cell r="N746" t="str">
            <v>OS</v>
          </cell>
          <cell r="O746" t="str">
            <v>OS</v>
          </cell>
          <cell r="P746" t="str">
            <v>OS</v>
          </cell>
          <cell r="Q746" t="str">
            <v>OS</v>
          </cell>
          <cell r="R746" t="str">
            <v>OS</v>
          </cell>
          <cell r="S746" t="str">
            <v>OS</v>
          </cell>
          <cell r="T746" t="str">
            <v>OS</v>
          </cell>
          <cell r="U746" t="str">
            <v>OS</v>
          </cell>
          <cell r="V746" t="str">
            <v>OS</v>
          </cell>
          <cell r="W746" t="str">
            <v>OS</v>
          </cell>
          <cell r="X746" t="str">
            <v>OS</v>
          </cell>
          <cell r="Y746" t="str">
            <v>OS</v>
          </cell>
          <cell r="Z746" t="str">
            <v>OS</v>
          </cell>
          <cell r="AA746" t="str">
            <v>OS</v>
          </cell>
          <cell r="AB746" t="str">
            <v>OS</v>
          </cell>
          <cell r="AC746" t="str">
            <v>OS</v>
          </cell>
          <cell r="AD746" t="str">
            <v>AGM-01-033-008</v>
          </cell>
          <cell r="AE746" t="str">
            <v xml:space="preserve">Raemulan Lands, Inc. </v>
          </cell>
          <cell r="AF746" t="str">
            <v>Agapeya</v>
          </cell>
          <cell r="AG746" t="str">
            <v>AGM</v>
          </cell>
          <cell r="AH746" t="str">
            <v>Eco-High</v>
          </cell>
          <cell r="AI746" t="str">
            <v>West</v>
          </cell>
          <cell r="AJ746" t="str">
            <v>With LTS</v>
          </cell>
          <cell r="AK746" t="str">
            <v>Unaffected lots</v>
          </cell>
          <cell r="AL746" t="str">
            <v>Unaffected lots</v>
          </cell>
          <cell r="AM746" t="b">
            <v>1</v>
          </cell>
          <cell r="AN746" t="str">
            <v>YES</v>
          </cell>
          <cell r="AO746" t="str">
            <v>B5 2025</v>
          </cell>
          <cell r="AP746">
            <v>70</v>
          </cell>
          <cell r="AQ746" t="str">
            <v>PCS-04-034298</v>
          </cell>
          <cell r="AR746" t="b">
            <v>1</v>
          </cell>
          <cell r="AS746" t="str">
            <v>Done</v>
          </cell>
          <cell r="AT746" t="str">
            <v>2025 - Batch 5</v>
          </cell>
          <cell r="AU746">
            <v>33</v>
          </cell>
          <cell r="AV746">
            <v>8</v>
          </cell>
          <cell r="AW746" t="str">
            <v>H+L</v>
          </cell>
          <cell r="AX746">
            <v>70</v>
          </cell>
          <cell r="AY746">
            <v>50</v>
          </cell>
          <cell r="AZ746" t="str">
            <v>Duplex</v>
          </cell>
          <cell r="BA746">
            <v>1</v>
          </cell>
          <cell r="BB746" t="str">
            <v>568 - Without Partition</v>
          </cell>
          <cell r="BC746" t="str">
            <v xml:space="preserve">Without Partition </v>
          </cell>
          <cell r="BD746" t="str">
            <v>Flat</v>
          </cell>
          <cell r="BE746" t="str">
            <v xml:space="preserve">Without Partition </v>
          </cell>
          <cell r="BF746" t="str">
            <v>PINK</v>
          </cell>
          <cell r="BG746">
            <v>2500000</v>
          </cell>
          <cell r="BH746">
            <v>2650000</v>
          </cell>
          <cell r="BI746">
            <v>100000</v>
          </cell>
          <cell r="BJ746">
            <v>2550000</v>
          </cell>
          <cell r="BK746">
            <v>0</v>
          </cell>
          <cell r="BL746">
            <v>2550000</v>
          </cell>
        </row>
        <row r="747">
          <cell r="D747" t="str">
            <v>OS</v>
          </cell>
          <cell r="E747"/>
          <cell r="F747">
            <v>727</v>
          </cell>
          <cell r="G747" t="str">
            <v>CLOSED</v>
          </cell>
          <cell r="H747" t="str">
            <v>TS</v>
          </cell>
          <cell r="I747" t="str">
            <v>TS</v>
          </cell>
          <cell r="J747" t="str">
            <v>TS</v>
          </cell>
          <cell r="K747" t="str">
            <v>TS</v>
          </cell>
          <cell r="L747" t="str">
            <v>TS</v>
          </cell>
          <cell r="M747" t="str">
            <v>TS</v>
          </cell>
          <cell r="N747" t="str">
            <v>TS</v>
          </cell>
          <cell r="O747" t="str">
            <v>TS</v>
          </cell>
          <cell r="P747" t="str">
            <v>TS</v>
          </cell>
          <cell r="Q747" t="str">
            <v>TS</v>
          </cell>
          <cell r="R747" t="str">
            <v>TS</v>
          </cell>
          <cell r="S747" t="str">
            <v>TS</v>
          </cell>
          <cell r="T747" t="str">
            <v>TS</v>
          </cell>
          <cell r="U747" t="str">
            <v>TS</v>
          </cell>
          <cell r="V747" t="str">
            <v>OS</v>
          </cell>
          <cell r="W747" t="str">
            <v>TS</v>
          </cell>
          <cell r="X747" t="str">
            <v>OS</v>
          </cell>
          <cell r="Y747" t="str">
            <v>OS</v>
          </cell>
          <cell r="Z747" t="str">
            <v>OS</v>
          </cell>
          <cell r="AA747" t="str">
            <v>OS</v>
          </cell>
          <cell r="AB747" t="str">
            <v>OS</v>
          </cell>
          <cell r="AC747" t="str">
            <v>OS</v>
          </cell>
          <cell r="AD747" t="str">
            <v>AGM-01-033-009</v>
          </cell>
          <cell r="AE747" t="str">
            <v xml:space="preserve">Raemulan Lands, Inc. </v>
          </cell>
          <cell r="AF747" t="str">
            <v>Agapeya</v>
          </cell>
          <cell r="AG747" t="str">
            <v>AGM</v>
          </cell>
          <cell r="AH747" t="str">
            <v>Eco-High</v>
          </cell>
          <cell r="AI747" t="str">
            <v>West</v>
          </cell>
          <cell r="AJ747" t="str">
            <v>With LTS</v>
          </cell>
          <cell r="AK747" t="str">
            <v>Unaffected lots</v>
          </cell>
          <cell r="AL747" t="str">
            <v>Unaffected lots</v>
          </cell>
          <cell r="AM747" t="b">
            <v>1</v>
          </cell>
          <cell r="AN747" t="str">
            <v>YES</v>
          </cell>
          <cell r="AO747" t="str">
            <v>B5 2025</v>
          </cell>
          <cell r="AP747">
            <v>70</v>
          </cell>
          <cell r="AQ747" t="str">
            <v>PCS-04-034298</v>
          </cell>
          <cell r="AR747" t="b">
            <v>1</v>
          </cell>
          <cell r="AS747" t="str">
            <v>Done</v>
          </cell>
          <cell r="AT747" t="str">
            <v>2025 - Batch 5</v>
          </cell>
          <cell r="AU747">
            <v>33</v>
          </cell>
          <cell r="AV747">
            <v>9</v>
          </cell>
          <cell r="AW747" t="str">
            <v>H+L</v>
          </cell>
          <cell r="AX747">
            <v>70</v>
          </cell>
          <cell r="AY747">
            <v>50</v>
          </cell>
          <cell r="AZ747" t="str">
            <v>Duplex</v>
          </cell>
          <cell r="BA747">
            <v>1</v>
          </cell>
          <cell r="BB747" t="str">
            <v>568 - Without Partition</v>
          </cell>
          <cell r="BC747" t="str">
            <v xml:space="preserve">Without Partition </v>
          </cell>
          <cell r="BD747" t="str">
            <v>Flat</v>
          </cell>
          <cell r="BE747" t="str">
            <v xml:space="preserve">Without Partition </v>
          </cell>
          <cell r="BF747" t="str">
            <v>PINK</v>
          </cell>
          <cell r="BG747">
            <v>2500000</v>
          </cell>
          <cell r="BH747">
            <v>2650000</v>
          </cell>
          <cell r="BI747">
            <v>100000</v>
          </cell>
          <cell r="BJ747">
            <v>2550000</v>
          </cell>
          <cell r="BK747">
            <v>0</v>
          </cell>
          <cell r="BL747">
            <v>2550000</v>
          </cell>
        </row>
        <row r="748">
          <cell r="D748" t="str">
            <v>OS</v>
          </cell>
          <cell r="E748"/>
          <cell r="F748">
            <v>728</v>
          </cell>
          <cell r="G748" t="str">
            <v>UNSOLD</v>
          </cell>
          <cell r="H748" t="str">
            <v>TS</v>
          </cell>
          <cell r="I748" t="str">
            <v>TS</v>
          </cell>
          <cell r="J748" t="str">
            <v>OS</v>
          </cell>
          <cell r="K748" t="str">
            <v>OS</v>
          </cell>
          <cell r="L748" t="str">
            <v>OS</v>
          </cell>
          <cell r="M748" t="str">
            <v>OS</v>
          </cell>
          <cell r="N748" t="str">
            <v>OS</v>
          </cell>
          <cell r="O748" t="str">
            <v>OS</v>
          </cell>
          <cell r="P748" t="str">
            <v>OS</v>
          </cell>
          <cell r="Q748" t="str">
            <v>OS</v>
          </cell>
          <cell r="R748" t="str">
            <v>OS</v>
          </cell>
          <cell r="S748" t="str">
            <v>OS</v>
          </cell>
          <cell r="T748" t="str">
            <v>OS</v>
          </cell>
          <cell r="U748" t="str">
            <v>OS</v>
          </cell>
          <cell r="V748" t="str">
            <v>OS</v>
          </cell>
          <cell r="W748" t="str">
            <v>OS</v>
          </cell>
          <cell r="X748" t="str">
            <v>OS</v>
          </cell>
          <cell r="Y748" t="str">
            <v>OS</v>
          </cell>
          <cell r="Z748" t="str">
            <v>OS</v>
          </cell>
          <cell r="AA748" t="str">
            <v>OS</v>
          </cell>
          <cell r="AB748" t="str">
            <v>OS</v>
          </cell>
          <cell r="AC748" t="str">
            <v>OS</v>
          </cell>
          <cell r="AD748" t="str">
            <v>AGM-01-033-010</v>
          </cell>
          <cell r="AE748" t="str">
            <v xml:space="preserve">Raemulan Lands, Inc. </v>
          </cell>
          <cell r="AF748" t="str">
            <v>Agapeya</v>
          </cell>
          <cell r="AG748" t="str">
            <v>AGM</v>
          </cell>
          <cell r="AH748" t="str">
            <v>Eco-High</v>
          </cell>
          <cell r="AI748" t="str">
            <v>West</v>
          </cell>
          <cell r="AJ748" t="str">
            <v>With LTS</v>
          </cell>
          <cell r="AK748" t="str">
            <v>Unaffected lots</v>
          </cell>
          <cell r="AL748" t="str">
            <v>Unaffected lots</v>
          </cell>
          <cell r="AM748" t="b">
            <v>1</v>
          </cell>
          <cell r="AN748" t="str">
            <v>YES</v>
          </cell>
          <cell r="AO748" t="str">
            <v>B5 2025</v>
          </cell>
          <cell r="AP748">
            <v>70</v>
          </cell>
          <cell r="AQ748" t="str">
            <v>PCS-04-034298</v>
          </cell>
          <cell r="AR748" t="b">
            <v>1</v>
          </cell>
          <cell r="AS748" t="str">
            <v>Done</v>
          </cell>
          <cell r="AT748" t="str">
            <v>2025 - Batch 5</v>
          </cell>
          <cell r="AU748">
            <v>33</v>
          </cell>
          <cell r="AV748">
            <v>10</v>
          </cell>
          <cell r="AW748" t="str">
            <v>H+L</v>
          </cell>
          <cell r="AX748">
            <v>70</v>
          </cell>
          <cell r="AY748">
            <v>50</v>
          </cell>
          <cell r="AZ748" t="str">
            <v>Duplex</v>
          </cell>
          <cell r="BA748">
            <v>1</v>
          </cell>
          <cell r="BB748" t="str">
            <v>568 - Without Partition</v>
          </cell>
          <cell r="BC748" t="str">
            <v xml:space="preserve">Without Partition </v>
          </cell>
          <cell r="BD748" t="str">
            <v>Slant</v>
          </cell>
          <cell r="BE748" t="str">
            <v xml:space="preserve">Without Partition </v>
          </cell>
          <cell r="BF748" t="str">
            <v>PINK</v>
          </cell>
          <cell r="BG748">
            <v>2500000</v>
          </cell>
          <cell r="BH748">
            <v>2650000</v>
          </cell>
          <cell r="BI748">
            <v>100000</v>
          </cell>
          <cell r="BJ748">
            <v>2550000</v>
          </cell>
          <cell r="BK748">
            <v>0</v>
          </cell>
          <cell r="BL748">
            <v>2550000</v>
          </cell>
        </row>
        <row r="749">
          <cell r="D749" t="str">
            <v>OPEN</v>
          </cell>
          <cell r="E749"/>
          <cell r="F749">
            <v>729</v>
          </cell>
          <cell r="G749" t="str">
            <v>CLOSED</v>
          </cell>
          <cell r="H749" t="str">
            <v>OPEN</v>
          </cell>
          <cell r="I749" t="str">
            <v>OPEN</v>
          </cell>
          <cell r="J749" t="str">
            <v>OPEN</v>
          </cell>
          <cell r="K749" t="str">
            <v>OPEN</v>
          </cell>
          <cell r="L749" t="str">
            <v>OPEN</v>
          </cell>
          <cell r="M749" t="str">
            <v>OPEN</v>
          </cell>
          <cell r="N749" t="str">
            <v>OPEN</v>
          </cell>
          <cell r="O749" t="str">
            <v>OPEN</v>
          </cell>
          <cell r="P749" t="str">
            <v>OPEN</v>
          </cell>
          <cell r="Q749" t="str">
            <v>OPEN</v>
          </cell>
          <cell r="R749" t="str">
            <v>OPEN</v>
          </cell>
          <cell r="S749" t="str">
            <v>OPEN</v>
          </cell>
          <cell r="T749" t="str">
            <v>OPEN</v>
          </cell>
          <cell r="U749" t="str">
            <v>OPEN</v>
          </cell>
          <cell r="V749" t="str">
            <v>OPEN</v>
          </cell>
          <cell r="W749" t="str">
            <v>OPEN</v>
          </cell>
          <cell r="X749" t="str">
            <v>OPEN</v>
          </cell>
          <cell r="Y749" t="str">
            <v>OPEN</v>
          </cell>
          <cell r="Z749" t="str">
            <v>OPEN</v>
          </cell>
          <cell r="AA749" t="str">
            <v>OPEN</v>
          </cell>
          <cell r="AB749" t="str">
            <v>OPEN</v>
          </cell>
          <cell r="AC749" t="str">
            <v>OPEN</v>
          </cell>
          <cell r="AD749" t="str">
            <v>AGM-01-033-011</v>
          </cell>
          <cell r="AE749" t="str">
            <v xml:space="preserve">Raemulan Lands, Inc. </v>
          </cell>
          <cell r="AF749" t="str">
            <v>Agapeya</v>
          </cell>
          <cell r="AG749" t="str">
            <v>AGM</v>
          </cell>
          <cell r="AH749" t="str">
            <v>Eco-High</v>
          </cell>
          <cell r="AI749" t="str">
            <v>West</v>
          </cell>
          <cell r="AJ749" t="str">
            <v>With LTS</v>
          </cell>
          <cell r="AK749" t="str">
            <v>Unaffected lots</v>
          </cell>
          <cell r="AL749" t="str">
            <v>Unaffected lots</v>
          </cell>
          <cell r="AM749" t="b">
            <v>1</v>
          </cell>
          <cell r="AN749" t="str">
            <v>YES</v>
          </cell>
          <cell r="AO749" t="str">
            <v>B5 - Lot Only</v>
          </cell>
          <cell r="AP749">
            <v>100</v>
          </cell>
          <cell r="AQ749" t="str">
            <v>PCS-04-034298</v>
          </cell>
          <cell r="AR749" t="b">
            <v>1</v>
          </cell>
          <cell r="AS749" t="str">
            <v>Done</v>
          </cell>
          <cell r="AT749" t="str">
            <v>Lot Only - N/A</v>
          </cell>
          <cell r="AU749">
            <v>33</v>
          </cell>
          <cell r="AV749">
            <v>11</v>
          </cell>
          <cell r="AW749" t="str">
            <v>LO</v>
          </cell>
          <cell r="AX749">
            <v>100</v>
          </cell>
          <cell r="AY749" t="str">
            <v>N/A</v>
          </cell>
          <cell r="AZ749" t="str">
            <v>Lot Only</v>
          </cell>
          <cell r="BA749" t="str">
            <v>NA</v>
          </cell>
          <cell r="BB749" t="str">
            <v>N/A</v>
          </cell>
          <cell r="BC749" t="str">
            <v>N/A - LOT ONLY</v>
          </cell>
          <cell r="BD749" t="str">
            <v>-</v>
          </cell>
          <cell r="BE749" t="str">
            <v>N/A - LOT ONLY</v>
          </cell>
          <cell r="BF749" t="str">
            <v>N/A - LOT ONLY</v>
          </cell>
          <cell r="BG749">
            <v>2500000</v>
          </cell>
          <cell r="BH749">
            <v>1600000</v>
          </cell>
          <cell r="BI749">
            <v>100000</v>
          </cell>
          <cell r="BJ749">
            <v>1500000</v>
          </cell>
          <cell r="BK749">
            <v>160714.28571428571</v>
          </cell>
          <cell r="BL749">
            <v>1339285.7142857143</v>
          </cell>
        </row>
        <row r="750">
          <cell r="D750" t="str">
            <v>OPEN</v>
          </cell>
          <cell r="E750"/>
          <cell r="F750">
            <v>730</v>
          </cell>
          <cell r="G750" t="str">
            <v>CLOSED</v>
          </cell>
          <cell r="H750" t="str">
            <v>OPEN</v>
          </cell>
          <cell r="I750" t="str">
            <v>OPEN</v>
          </cell>
          <cell r="J750" t="str">
            <v>OPEN</v>
          </cell>
          <cell r="K750" t="str">
            <v>OPEN</v>
          </cell>
          <cell r="L750" t="str">
            <v>OPEN</v>
          </cell>
          <cell r="M750" t="str">
            <v>OPEN</v>
          </cell>
          <cell r="N750" t="str">
            <v>OPEN</v>
          </cell>
          <cell r="O750" t="str">
            <v>OPEN</v>
          </cell>
          <cell r="P750" t="str">
            <v>OPEN</v>
          </cell>
          <cell r="Q750" t="str">
            <v>OPEN</v>
          </cell>
          <cell r="R750" t="str">
            <v>OPEN</v>
          </cell>
          <cell r="S750" t="str">
            <v>OPEN</v>
          </cell>
          <cell r="T750" t="str">
            <v>OPEN</v>
          </cell>
          <cell r="U750" t="str">
            <v>OPEN</v>
          </cell>
          <cell r="V750" t="str">
            <v>OPEN</v>
          </cell>
          <cell r="W750" t="str">
            <v>OPEN</v>
          </cell>
          <cell r="X750" t="str">
            <v>OPEN</v>
          </cell>
          <cell r="Y750" t="str">
            <v>OPEN</v>
          </cell>
          <cell r="Z750" t="str">
            <v>OPEN</v>
          </cell>
          <cell r="AA750" t="str">
            <v>OPEN</v>
          </cell>
          <cell r="AB750" t="str">
            <v>OPEN</v>
          </cell>
          <cell r="AC750" t="str">
            <v>OPEN</v>
          </cell>
          <cell r="AD750" t="str">
            <v>AGM-01-034-001</v>
          </cell>
          <cell r="AE750" t="str">
            <v xml:space="preserve">Raemulan Lands, Inc. </v>
          </cell>
          <cell r="AF750" t="str">
            <v>Agapeya</v>
          </cell>
          <cell r="AG750" t="str">
            <v>AGM</v>
          </cell>
          <cell r="AH750" t="str">
            <v>Eco-High</v>
          </cell>
          <cell r="AI750" t="str">
            <v>West</v>
          </cell>
          <cell r="AJ750" t="str">
            <v>With LTS</v>
          </cell>
          <cell r="AK750" t="str">
            <v>Unaffected lots</v>
          </cell>
          <cell r="AL750" t="str">
            <v>Unaffected lots</v>
          </cell>
          <cell r="AM750" t="b">
            <v>1</v>
          </cell>
          <cell r="AN750" t="str">
            <v>YES</v>
          </cell>
          <cell r="AO750" t="str">
            <v>B5 - Lot Only</v>
          </cell>
          <cell r="AP750">
            <v>100</v>
          </cell>
          <cell r="AQ750" t="str">
            <v>PCS-04-034298</v>
          </cell>
          <cell r="AR750" t="b">
            <v>1</v>
          </cell>
          <cell r="AS750" t="str">
            <v>Done</v>
          </cell>
          <cell r="AT750" t="str">
            <v>Lot Only - N/A</v>
          </cell>
          <cell r="AU750">
            <v>34</v>
          </cell>
          <cell r="AV750">
            <v>1</v>
          </cell>
          <cell r="AW750" t="str">
            <v>LO</v>
          </cell>
          <cell r="AX750">
            <v>100</v>
          </cell>
          <cell r="AY750" t="str">
            <v>N/A</v>
          </cell>
          <cell r="AZ750" t="str">
            <v>Lot Only</v>
          </cell>
          <cell r="BA750" t="str">
            <v>NA</v>
          </cell>
          <cell r="BB750" t="str">
            <v>N/A</v>
          </cell>
          <cell r="BC750" t="str">
            <v>N/A - LOT ONLY</v>
          </cell>
          <cell r="BD750" t="str">
            <v>-</v>
          </cell>
          <cell r="BE750" t="str">
            <v>N/A - LOT ONLY</v>
          </cell>
          <cell r="BF750" t="str">
            <v>N/A - LOT ONLY</v>
          </cell>
          <cell r="BG750">
            <v>2500000</v>
          </cell>
          <cell r="BH750">
            <v>1600000</v>
          </cell>
          <cell r="BI750">
            <v>100000</v>
          </cell>
          <cell r="BJ750">
            <v>1500000</v>
          </cell>
          <cell r="BK750">
            <v>160714.28571428571</v>
          </cell>
          <cell r="BL750">
            <v>1339285.7142857143</v>
          </cell>
        </row>
        <row r="751">
          <cell r="D751" t="str">
            <v>OS</v>
          </cell>
          <cell r="E751"/>
          <cell r="F751">
            <v>731</v>
          </cell>
          <cell r="G751" t="str">
            <v>CLOSED</v>
          </cell>
          <cell r="H751" t="str">
            <v>TS</v>
          </cell>
          <cell r="I751" t="str">
            <v>TS</v>
          </cell>
          <cell r="J751" t="str">
            <v>OS</v>
          </cell>
          <cell r="K751" t="str">
            <v>OS</v>
          </cell>
          <cell r="L751" t="str">
            <v>OS</v>
          </cell>
          <cell r="M751" t="str">
            <v>OS</v>
          </cell>
          <cell r="N751" t="str">
            <v>OS</v>
          </cell>
          <cell r="O751" t="str">
            <v>OS</v>
          </cell>
          <cell r="P751" t="str">
            <v>OS</v>
          </cell>
          <cell r="Q751" t="str">
            <v>OS</v>
          </cell>
          <cell r="R751" t="str">
            <v>OS</v>
          </cell>
          <cell r="S751" t="str">
            <v>OS</v>
          </cell>
          <cell r="T751" t="str">
            <v>OS</v>
          </cell>
          <cell r="U751" t="str">
            <v>OS</v>
          </cell>
          <cell r="V751" t="str">
            <v>OS</v>
          </cell>
          <cell r="W751" t="str">
            <v>OS</v>
          </cell>
          <cell r="X751" t="str">
            <v>OS</v>
          </cell>
          <cell r="Y751" t="str">
            <v>OS</v>
          </cell>
          <cell r="Z751" t="str">
            <v>OS</v>
          </cell>
          <cell r="AA751" t="str">
            <v>OS</v>
          </cell>
          <cell r="AB751" t="str">
            <v>OS</v>
          </cell>
          <cell r="AC751" t="str">
            <v>OS</v>
          </cell>
          <cell r="AD751" t="str">
            <v>AGM-01-034-002</v>
          </cell>
          <cell r="AE751" t="str">
            <v xml:space="preserve">Raemulan Lands, Inc. </v>
          </cell>
          <cell r="AF751" t="str">
            <v>Agapeya</v>
          </cell>
          <cell r="AG751" t="str">
            <v>AGM</v>
          </cell>
          <cell r="AH751" t="str">
            <v>Eco-High</v>
          </cell>
          <cell r="AI751" t="str">
            <v>West</v>
          </cell>
          <cell r="AJ751" t="str">
            <v>With LTS</v>
          </cell>
          <cell r="AK751" t="str">
            <v>Unaffected lots</v>
          </cell>
          <cell r="AL751" t="str">
            <v>Unaffected lots</v>
          </cell>
          <cell r="AM751" t="b">
            <v>1</v>
          </cell>
          <cell r="AN751" t="str">
            <v>YES</v>
          </cell>
          <cell r="AO751" t="str">
            <v>B5 2025</v>
          </cell>
          <cell r="AP751">
            <v>70</v>
          </cell>
          <cell r="AQ751" t="str">
            <v>PCS-04-034298</v>
          </cell>
          <cell r="AR751" t="b">
            <v>1</v>
          </cell>
          <cell r="AS751" t="str">
            <v>Done</v>
          </cell>
          <cell r="AT751" t="str">
            <v>2025 - Batch 6</v>
          </cell>
          <cell r="AU751">
            <v>34</v>
          </cell>
          <cell r="AV751">
            <v>2</v>
          </cell>
          <cell r="AW751" t="str">
            <v>H+L</v>
          </cell>
          <cell r="AX751">
            <v>70</v>
          </cell>
          <cell r="AY751">
            <v>50</v>
          </cell>
          <cell r="AZ751" t="str">
            <v>Duplex</v>
          </cell>
          <cell r="BA751">
            <v>1</v>
          </cell>
          <cell r="BB751" t="str">
            <v>568 - Without Partition</v>
          </cell>
          <cell r="BC751" t="str">
            <v xml:space="preserve">Without Partition </v>
          </cell>
          <cell r="BD751" t="str">
            <v>Flat</v>
          </cell>
          <cell r="BE751" t="str">
            <v xml:space="preserve">Without Partition </v>
          </cell>
          <cell r="BF751" t="str">
            <v>PURPLE</v>
          </cell>
          <cell r="BG751">
            <v>2500000</v>
          </cell>
          <cell r="BH751">
            <v>2650000</v>
          </cell>
          <cell r="BI751">
            <v>100000</v>
          </cell>
          <cell r="BJ751">
            <v>2550000</v>
          </cell>
          <cell r="BK751">
            <v>0</v>
          </cell>
          <cell r="BL751">
            <v>2550000</v>
          </cell>
        </row>
        <row r="752">
          <cell r="D752" t="str">
            <v>OS</v>
          </cell>
          <cell r="E752"/>
          <cell r="F752">
            <v>732</v>
          </cell>
          <cell r="G752" t="str">
            <v>CLOSED</v>
          </cell>
          <cell r="H752" t="str">
            <v>OPEN</v>
          </cell>
          <cell r="I752" t="str">
            <v>TS</v>
          </cell>
          <cell r="J752" t="str">
            <v>TS</v>
          </cell>
          <cell r="K752" t="str">
            <v>TS</v>
          </cell>
          <cell r="L752" t="str">
            <v>TS</v>
          </cell>
          <cell r="M752" t="str">
            <v>TS</v>
          </cell>
          <cell r="N752" t="str">
            <v>OS</v>
          </cell>
          <cell r="O752" t="str">
            <v>OS</v>
          </cell>
          <cell r="P752" t="str">
            <v>OS</v>
          </cell>
          <cell r="Q752" t="str">
            <v>OS</v>
          </cell>
          <cell r="R752" t="str">
            <v>OS</v>
          </cell>
          <cell r="S752" t="str">
            <v>OS</v>
          </cell>
          <cell r="T752" t="str">
            <v>OS</v>
          </cell>
          <cell r="U752" t="str">
            <v>OS</v>
          </cell>
          <cell r="V752" t="str">
            <v>OS</v>
          </cell>
          <cell r="W752" t="str">
            <v>OS</v>
          </cell>
          <cell r="X752" t="str">
            <v>OS</v>
          </cell>
          <cell r="Y752" t="str">
            <v>OS</v>
          </cell>
          <cell r="Z752" t="str">
            <v>OS</v>
          </cell>
          <cell r="AA752" t="str">
            <v>OS</v>
          </cell>
          <cell r="AB752" t="str">
            <v>OS</v>
          </cell>
          <cell r="AC752" t="str">
            <v>OS</v>
          </cell>
          <cell r="AD752" t="str">
            <v>AGM-01-034-003</v>
          </cell>
          <cell r="AE752" t="str">
            <v xml:space="preserve">Raemulan Lands, Inc. </v>
          </cell>
          <cell r="AF752" t="str">
            <v>Agapeya</v>
          </cell>
          <cell r="AG752" t="str">
            <v>AGM</v>
          </cell>
          <cell r="AH752" t="str">
            <v>Eco-High</v>
          </cell>
          <cell r="AI752" t="str">
            <v>West</v>
          </cell>
          <cell r="AJ752" t="str">
            <v>With LTS</v>
          </cell>
          <cell r="AK752" t="str">
            <v>Unaffected lots</v>
          </cell>
          <cell r="AL752" t="str">
            <v>Unaffected lots</v>
          </cell>
          <cell r="AM752" t="b">
            <v>1</v>
          </cell>
          <cell r="AN752" t="str">
            <v>YES</v>
          </cell>
          <cell r="AO752" t="str">
            <v>B5 2025</v>
          </cell>
          <cell r="AP752">
            <v>70</v>
          </cell>
          <cell r="AQ752" t="str">
            <v>PCS-04-034298</v>
          </cell>
          <cell r="AR752" t="b">
            <v>1</v>
          </cell>
          <cell r="AS752" t="str">
            <v>Done</v>
          </cell>
          <cell r="AT752" t="str">
            <v>2025 - Batch 6</v>
          </cell>
          <cell r="AU752">
            <v>34</v>
          </cell>
          <cell r="AV752">
            <v>3</v>
          </cell>
          <cell r="AW752" t="str">
            <v>H+L</v>
          </cell>
          <cell r="AX752">
            <v>70</v>
          </cell>
          <cell r="AY752">
            <v>50</v>
          </cell>
          <cell r="AZ752" t="str">
            <v>Duplex</v>
          </cell>
          <cell r="BA752">
            <v>1</v>
          </cell>
          <cell r="BB752" t="str">
            <v>568 - Without Partition</v>
          </cell>
          <cell r="BC752" t="str">
            <v xml:space="preserve">Without Partition </v>
          </cell>
          <cell r="BD752" t="str">
            <v>Slant</v>
          </cell>
          <cell r="BE752" t="str">
            <v xml:space="preserve">Without Partition </v>
          </cell>
          <cell r="BF752" t="str">
            <v>PURPLE</v>
          </cell>
          <cell r="BG752">
            <v>2500000</v>
          </cell>
          <cell r="BH752">
            <v>2650000</v>
          </cell>
          <cell r="BI752">
            <v>100000</v>
          </cell>
          <cell r="BJ752">
            <v>2550000</v>
          </cell>
          <cell r="BK752">
            <v>0</v>
          </cell>
          <cell r="BL752">
            <v>2550000</v>
          </cell>
        </row>
        <row r="753">
          <cell r="D753" t="str">
            <v>OS</v>
          </cell>
          <cell r="E753"/>
          <cell r="F753">
            <v>733</v>
          </cell>
          <cell r="G753" t="str">
            <v>CLOSED</v>
          </cell>
          <cell r="H753" t="str">
            <v>OPEN</v>
          </cell>
          <cell r="I753" t="str">
            <v>OPEN</v>
          </cell>
          <cell r="J753" t="str">
            <v>OPEN</v>
          </cell>
          <cell r="K753" t="str">
            <v>TS</v>
          </cell>
          <cell r="L753" t="str">
            <v>TS</v>
          </cell>
          <cell r="M753" t="str">
            <v>OPEN</v>
          </cell>
          <cell r="N753" t="str">
            <v>TS</v>
          </cell>
          <cell r="O753" t="str">
            <v>TS</v>
          </cell>
          <cell r="P753" t="str">
            <v>TS</v>
          </cell>
          <cell r="Q753" t="str">
            <v>TS</v>
          </cell>
          <cell r="R753" t="str">
            <v>TS</v>
          </cell>
          <cell r="S753" t="str">
            <v>TS</v>
          </cell>
          <cell r="T753" t="str">
            <v>TS</v>
          </cell>
          <cell r="U753" t="str">
            <v>OS</v>
          </cell>
          <cell r="V753" t="str">
            <v>OS</v>
          </cell>
          <cell r="W753" t="str">
            <v>OS</v>
          </cell>
          <cell r="X753" t="str">
            <v>OS</v>
          </cell>
          <cell r="Y753" t="str">
            <v>OS</v>
          </cell>
          <cell r="Z753" t="str">
            <v>OS</v>
          </cell>
          <cell r="AA753" t="str">
            <v>OS</v>
          </cell>
          <cell r="AB753" t="str">
            <v>OS</v>
          </cell>
          <cell r="AC753" t="str">
            <v>OS</v>
          </cell>
          <cell r="AD753" t="str">
            <v>AGM-01-034-004</v>
          </cell>
          <cell r="AE753" t="str">
            <v xml:space="preserve">Raemulan Lands, Inc. </v>
          </cell>
          <cell r="AF753" t="str">
            <v>Agapeya</v>
          </cell>
          <cell r="AG753" t="str">
            <v>AGM</v>
          </cell>
          <cell r="AH753" t="str">
            <v>Eco-High</v>
          </cell>
          <cell r="AI753" t="str">
            <v>West</v>
          </cell>
          <cell r="AJ753" t="str">
            <v>With LTS</v>
          </cell>
          <cell r="AK753" t="str">
            <v>Unaffected lots</v>
          </cell>
          <cell r="AL753" t="str">
            <v>Unaffected lots</v>
          </cell>
          <cell r="AM753" t="b">
            <v>1</v>
          </cell>
          <cell r="AN753" t="str">
            <v>YES</v>
          </cell>
          <cell r="AO753" t="str">
            <v>B5 2025</v>
          </cell>
          <cell r="AP753">
            <v>100</v>
          </cell>
          <cell r="AQ753" t="str">
            <v>PCS-04-034298</v>
          </cell>
          <cell r="AR753" t="b">
            <v>1</v>
          </cell>
          <cell r="AS753" t="str">
            <v>Done</v>
          </cell>
          <cell r="AT753" t="str">
            <v>2025 - Batch 6</v>
          </cell>
          <cell r="AU753">
            <v>34</v>
          </cell>
          <cell r="AV753">
            <v>4</v>
          </cell>
          <cell r="AW753" t="str">
            <v>H+L</v>
          </cell>
          <cell r="AX753">
            <v>100</v>
          </cell>
          <cell r="AY753">
            <v>50</v>
          </cell>
          <cell r="AZ753" t="str">
            <v>Duplex</v>
          </cell>
          <cell r="BA753">
            <v>1</v>
          </cell>
          <cell r="BB753" t="str">
            <v>568 - Without Partition</v>
          </cell>
          <cell r="BC753" t="str">
            <v xml:space="preserve">Without Partition </v>
          </cell>
          <cell r="BD753" t="str">
            <v>Slant</v>
          </cell>
          <cell r="BE753" t="str">
            <v xml:space="preserve">Without Partition </v>
          </cell>
          <cell r="BF753" t="str">
            <v>YELLOW</v>
          </cell>
          <cell r="BG753">
            <v>2500000</v>
          </cell>
          <cell r="BH753">
            <v>3100000</v>
          </cell>
          <cell r="BI753">
            <v>100000</v>
          </cell>
          <cell r="BJ753">
            <v>3000000</v>
          </cell>
          <cell r="BK753">
            <v>0</v>
          </cell>
          <cell r="BL753">
            <v>3000000</v>
          </cell>
        </row>
        <row r="754">
          <cell r="D754" t="str">
            <v>OS</v>
          </cell>
          <cell r="E754"/>
          <cell r="F754">
            <v>734</v>
          </cell>
          <cell r="G754" t="str">
            <v>CLOSED</v>
          </cell>
          <cell r="H754" t="str">
            <v>OPEN</v>
          </cell>
          <cell r="I754" t="str">
            <v>OPEN</v>
          </cell>
          <cell r="J754" t="str">
            <v>OPEN</v>
          </cell>
          <cell r="K754" t="str">
            <v>OPEN</v>
          </cell>
          <cell r="L754" t="str">
            <v>OPEN</v>
          </cell>
          <cell r="M754" t="str">
            <v>OPEN</v>
          </cell>
          <cell r="N754" t="str">
            <v>TS</v>
          </cell>
          <cell r="O754" t="str">
            <v>TS</v>
          </cell>
          <cell r="P754" t="str">
            <v>TS</v>
          </cell>
          <cell r="Q754" t="str">
            <v>TS</v>
          </cell>
          <cell r="R754" t="str">
            <v>TS</v>
          </cell>
          <cell r="S754" t="str">
            <v>TS</v>
          </cell>
          <cell r="T754" t="str">
            <v>TS</v>
          </cell>
          <cell r="U754" t="str">
            <v>OS</v>
          </cell>
          <cell r="V754" t="str">
            <v>OS</v>
          </cell>
          <cell r="W754" t="str">
            <v>OS</v>
          </cell>
          <cell r="X754" t="str">
            <v>OS</v>
          </cell>
          <cell r="Y754" t="str">
            <v>OS</v>
          </cell>
          <cell r="Z754" t="str">
            <v>OS</v>
          </cell>
          <cell r="AA754" t="str">
            <v>OS</v>
          </cell>
          <cell r="AB754" t="str">
            <v>OS</v>
          </cell>
          <cell r="AC754" t="str">
            <v>OS</v>
          </cell>
          <cell r="AD754" t="str">
            <v>AGM-01-034-005</v>
          </cell>
          <cell r="AE754" t="str">
            <v xml:space="preserve">Raemulan Lands, Inc. </v>
          </cell>
          <cell r="AF754" t="str">
            <v>Agapeya</v>
          </cell>
          <cell r="AG754" t="str">
            <v>AGM</v>
          </cell>
          <cell r="AH754" t="str">
            <v>Eco-High</v>
          </cell>
          <cell r="AI754" t="str">
            <v>West</v>
          </cell>
          <cell r="AJ754" t="str">
            <v>With LTS</v>
          </cell>
          <cell r="AK754" t="str">
            <v>Unaffected lots</v>
          </cell>
          <cell r="AL754" t="str">
            <v>Unaffected lots</v>
          </cell>
          <cell r="AM754" t="b">
            <v>1</v>
          </cell>
          <cell r="AN754" t="str">
            <v>YES</v>
          </cell>
          <cell r="AO754" t="str">
            <v>B5 2025</v>
          </cell>
          <cell r="AP754">
            <v>100</v>
          </cell>
          <cell r="AQ754" t="str">
            <v>PCS-04-034298</v>
          </cell>
          <cell r="AR754" t="b">
            <v>1</v>
          </cell>
          <cell r="AS754" t="str">
            <v>Done</v>
          </cell>
          <cell r="AT754" t="str">
            <v>2025 - Batch 6</v>
          </cell>
          <cell r="AU754">
            <v>34</v>
          </cell>
          <cell r="AV754">
            <v>5</v>
          </cell>
          <cell r="AW754" t="str">
            <v>H+L</v>
          </cell>
          <cell r="AX754">
            <v>100</v>
          </cell>
          <cell r="AY754">
            <v>50</v>
          </cell>
          <cell r="AZ754" t="str">
            <v>Duplex</v>
          </cell>
          <cell r="BA754">
            <v>1</v>
          </cell>
          <cell r="BB754" t="str">
            <v>568 - Without Partition</v>
          </cell>
          <cell r="BC754" t="str">
            <v xml:space="preserve">Without Partition </v>
          </cell>
          <cell r="BD754" t="str">
            <v>Flat</v>
          </cell>
          <cell r="BE754" t="str">
            <v xml:space="preserve">Without Partition </v>
          </cell>
          <cell r="BF754" t="str">
            <v>YELLOW</v>
          </cell>
          <cell r="BG754">
            <v>2500000</v>
          </cell>
          <cell r="BH754">
            <v>3100000</v>
          </cell>
          <cell r="BI754">
            <v>100000</v>
          </cell>
          <cell r="BJ754">
            <v>3000000</v>
          </cell>
          <cell r="BK754">
            <v>0</v>
          </cell>
          <cell r="BL754">
            <v>3000000</v>
          </cell>
        </row>
        <row r="755">
          <cell r="D755" t="str">
            <v>OS</v>
          </cell>
          <cell r="E755"/>
          <cell r="F755">
            <v>735</v>
          </cell>
          <cell r="G755" t="str">
            <v>CLOSED</v>
          </cell>
          <cell r="H755" t="str">
            <v>OPEN</v>
          </cell>
          <cell r="I755" t="str">
            <v>WITH BRN</v>
          </cell>
          <cell r="J755" t="str">
            <v>TS</v>
          </cell>
          <cell r="K755" t="str">
            <v>TS</v>
          </cell>
          <cell r="L755" t="str">
            <v>TS</v>
          </cell>
          <cell r="M755" t="str">
            <v>TS</v>
          </cell>
          <cell r="N755" t="str">
            <v>OS</v>
          </cell>
          <cell r="O755" t="str">
            <v>OS</v>
          </cell>
          <cell r="P755" t="str">
            <v>OS</v>
          </cell>
          <cell r="Q755" t="str">
            <v>OS</v>
          </cell>
          <cell r="R755" t="str">
            <v>OS</v>
          </cell>
          <cell r="S755" t="str">
            <v>OS</v>
          </cell>
          <cell r="T755" t="str">
            <v>OS</v>
          </cell>
          <cell r="U755" t="str">
            <v>OS</v>
          </cell>
          <cell r="V755" t="str">
            <v>OS</v>
          </cell>
          <cell r="W755" t="str">
            <v>OS</v>
          </cell>
          <cell r="X755" t="str">
            <v>OS</v>
          </cell>
          <cell r="Y755" t="str">
            <v>OS</v>
          </cell>
          <cell r="Z755" t="str">
            <v>OS</v>
          </cell>
          <cell r="AA755" t="str">
            <v>OS</v>
          </cell>
          <cell r="AB755" t="str">
            <v>OS</v>
          </cell>
          <cell r="AC755" t="str">
            <v>OS</v>
          </cell>
          <cell r="AD755" t="str">
            <v>AGM-01-034-006</v>
          </cell>
          <cell r="AE755" t="str">
            <v xml:space="preserve">Raemulan Lands, Inc. </v>
          </cell>
          <cell r="AF755" t="str">
            <v>Agapeya</v>
          </cell>
          <cell r="AG755" t="str">
            <v>AGM</v>
          </cell>
          <cell r="AH755" t="str">
            <v>Eco-High</v>
          </cell>
          <cell r="AI755" t="str">
            <v>West</v>
          </cell>
          <cell r="AJ755" t="str">
            <v>With LTS</v>
          </cell>
          <cell r="AK755" t="str">
            <v>Unaffected lots</v>
          </cell>
          <cell r="AL755" t="str">
            <v>Unaffected lots</v>
          </cell>
          <cell r="AM755" t="b">
            <v>1</v>
          </cell>
          <cell r="AN755" t="str">
            <v>YES</v>
          </cell>
          <cell r="AO755" t="str">
            <v>B5 2025</v>
          </cell>
          <cell r="AP755">
            <v>70</v>
          </cell>
          <cell r="AQ755" t="str">
            <v>PCS-04-034298</v>
          </cell>
          <cell r="AR755" t="b">
            <v>1</v>
          </cell>
          <cell r="AS755" t="str">
            <v>Done</v>
          </cell>
          <cell r="AT755" t="str">
            <v>2025 - Batch 6</v>
          </cell>
          <cell r="AU755">
            <v>34</v>
          </cell>
          <cell r="AV755">
            <v>6</v>
          </cell>
          <cell r="AW755" t="str">
            <v>H+L</v>
          </cell>
          <cell r="AX755">
            <v>70</v>
          </cell>
          <cell r="AY755">
            <v>50</v>
          </cell>
          <cell r="AZ755" t="str">
            <v>Duplex</v>
          </cell>
          <cell r="BA755">
            <v>1</v>
          </cell>
          <cell r="BB755" t="str">
            <v>568 - Without Partition</v>
          </cell>
          <cell r="BC755" t="str">
            <v xml:space="preserve">Without Partition </v>
          </cell>
          <cell r="BD755" t="str">
            <v>Flat</v>
          </cell>
          <cell r="BE755" t="str">
            <v xml:space="preserve">Without Partition </v>
          </cell>
          <cell r="BF755" t="str">
            <v>PURPLE</v>
          </cell>
          <cell r="BG755">
            <v>2500000</v>
          </cell>
          <cell r="BH755">
            <v>2650000</v>
          </cell>
          <cell r="BI755">
            <v>100000</v>
          </cell>
          <cell r="BJ755">
            <v>2550000</v>
          </cell>
          <cell r="BK755">
            <v>0</v>
          </cell>
          <cell r="BL755">
            <v>2550000</v>
          </cell>
        </row>
        <row r="756">
          <cell r="D756" t="str">
            <v>OS</v>
          </cell>
          <cell r="E756"/>
          <cell r="F756">
            <v>736</v>
          </cell>
          <cell r="G756" t="str">
            <v>CLOSED</v>
          </cell>
          <cell r="H756" t="str">
            <v>TS</v>
          </cell>
          <cell r="I756" t="str">
            <v>TS</v>
          </cell>
          <cell r="J756" t="str">
            <v>TS</v>
          </cell>
          <cell r="K756" t="str">
            <v>TS</v>
          </cell>
          <cell r="L756" t="str">
            <v>TS</v>
          </cell>
          <cell r="M756" t="str">
            <v>TS</v>
          </cell>
          <cell r="N756" t="str">
            <v>TS</v>
          </cell>
          <cell r="O756" t="str">
            <v>TS</v>
          </cell>
          <cell r="P756" t="str">
            <v>OS</v>
          </cell>
          <cell r="Q756" t="str">
            <v>OS</v>
          </cell>
          <cell r="R756" t="str">
            <v>OS</v>
          </cell>
          <cell r="S756" t="str">
            <v>OS</v>
          </cell>
          <cell r="T756" t="str">
            <v>OS</v>
          </cell>
          <cell r="U756" t="str">
            <v>OS</v>
          </cell>
          <cell r="V756" t="str">
            <v>OS</v>
          </cell>
          <cell r="W756" t="str">
            <v>OS</v>
          </cell>
          <cell r="X756" t="str">
            <v>OS</v>
          </cell>
          <cell r="Y756" t="str">
            <v>OS</v>
          </cell>
          <cell r="Z756" t="str">
            <v>OS</v>
          </cell>
          <cell r="AA756" t="str">
            <v>OS</v>
          </cell>
          <cell r="AB756" t="str">
            <v>OS</v>
          </cell>
          <cell r="AC756" t="str">
            <v>OS</v>
          </cell>
          <cell r="AD756" t="str">
            <v>AGM-01-034-007</v>
          </cell>
          <cell r="AE756" t="str">
            <v xml:space="preserve">Raemulan Lands, Inc. </v>
          </cell>
          <cell r="AF756" t="str">
            <v>Agapeya</v>
          </cell>
          <cell r="AG756" t="str">
            <v>AGM</v>
          </cell>
          <cell r="AH756" t="str">
            <v>Eco-High</v>
          </cell>
          <cell r="AI756" t="str">
            <v>West</v>
          </cell>
          <cell r="AJ756" t="str">
            <v>With LTS</v>
          </cell>
          <cell r="AK756" t="str">
            <v>Unaffected lots</v>
          </cell>
          <cell r="AL756" t="str">
            <v>Unaffected lots</v>
          </cell>
          <cell r="AM756" t="b">
            <v>1</v>
          </cell>
          <cell r="AN756" t="str">
            <v>YES</v>
          </cell>
          <cell r="AO756" t="str">
            <v>B5 2025</v>
          </cell>
          <cell r="AP756">
            <v>70</v>
          </cell>
          <cell r="AQ756" t="str">
            <v>PCS-04-034298</v>
          </cell>
          <cell r="AR756" t="b">
            <v>1</v>
          </cell>
          <cell r="AS756" t="str">
            <v>Done</v>
          </cell>
          <cell r="AT756" t="str">
            <v>2025 - Batch 6</v>
          </cell>
          <cell r="AU756">
            <v>34</v>
          </cell>
          <cell r="AV756">
            <v>7</v>
          </cell>
          <cell r="AW756" t="str">
            <v>H+L</v>
          </cell>
          <cell r="AX756">
            <v>70</v>
          </cell>
          <cell r="AY756">
            <v>50</v>
          </cell>
          <cell r="AZ756" t="str">
            <v>Duplex</v>
          </cell>
          <cell r="BA756">
            <v>1</v>
          </cell>
          <cell r="BB756" t="str">
            <v>568 - Without Partition</v>
          </cell>
          <cell r="BC756" t="str">
            <v xml:space="preserve">Without Partition </v>
          </cell>
          <cell r="BD756" t="str">
            <v>Slant</v>
          </cell>
          <cell r="BE756" t="str">
            <v xml:space="preserve">Without Partition </v>
          </cell>
          <cell r="BF756" t="str">
            <v>PURPLE</v>
          </cell>
          <cell r="BG756">
            <v>2500000</v>
          </cell>
          <cell r="BH756">
            <v>2650000</v>
          </cell>
          <cell r="BI756">
            <v>100000</v>
          </cell>
          <cell r="BJ756">
            <v>2550000</v>
          </cell>
          <cell r="BK756">
            <v>0</v>
          </cell>
          <cell r="BL756">
            <v>2550000</v>
          </cell>
        </row>
        <row r="757">
          <cell r="D757" t="str">
            <v>OS</v>
          </cell>
          <cell r="E757"/>
          <cell r="F757">
            <v>737</v>
          </cell>
          <cell r="G757" t="str">
            <v>CLOSED</v>
          </cell>
          <cell r="H757" t="str">
            <v>TS</v>
          </cell>
          <cell r="I757" t="str">
            <v>TS</v>
          </cell>
          <cell r="J757" t="str">
            <v>TS</v>
          </cell>
          <cell r="K757" t="str">
            <v>TS</v>
          </cell>
          <cell r="L757" t="str">
            <v>TS</v>
          </cell>
          <cell r="M757" t="str">
            <v>TS</v>
          </cell>
          <cell r="N757" t="str">
            <v>TS</v>
          </cell>
          <cell r="O757" t="str">
            <v>TS</v>
          </cell>
          <cell r="P757" t="str">
            <v>TS</v>
          </cell>
          <cell r="Q757" t="str">
            <v>TS</v>
          </cell>
          <cell r="R757" t="str">
            <v>TS</v>
          </cell>
          <cell r="S757" t="str">
            <v>TS</v>
          </cell>
          <cell r="T757" t="str">
            <v>TS</v>
          </cell>
          <cell r="U757" t="str">
            <v>OS</v>
          </cell>
          <cell r="V757" t="str">
            <v>OS</v>
          </cell>
          <cell r="W757" t="str">
            <v>OS</v>
          </cell>
          <cell r="X757" t="str">
            <v>OS</v>
          </cell>
          <cell r="Y757" t="str">
            <v>OS</v>
          </cell>
          <cell r="Z757" t="str">
            <v>OS</v>
          </cell>
          <cell r="AA757" t="str">
            <v>OS</v>
          </cell>
          <cell r="AB757" t="str">
            <v>OS</v>
          </cell>
          <cell r="AC757" t="str">
            <v>OS</v>
          </cell>
          <cell r="AD757" t="str">
            <v>AGM-01-035-001</v>
          </cell>
          <cell r="AE757" t="str">
            <v xml:space="preserve">Raemulan Lands, Inc. </v>
          </cell>
          <cell r="AF757" t="str">
            <v>Agapeya</v>
          </cell>
          <cell r="AG757" t="str">
            <v>AGM</v>
          </cell>
          <cell r="AH757" t="str">
            <v>Eco-High</v>
          </cell>
          <cell r="AI757" t="str">
            <v>West</v>
          </cell>
          <cell r="AJ757" t="str">
            <v>With LTS</v>
          </cell>
          <cell r="AK757" t="str">
            <v>Unaffected lots</v>
          </cell>
          <cell r="AL757" t="str">
            <v>Unaffected lots</v>
          </cell>
          <cell r="AM757" t="b">
            <v>1</v>
          </cell>
          <cell r="AN757" t="str">
            <v>YES</v>
          </cell>
          <cell r="AO757" t="str">
            <v>B5 2025</v>
          </cell>
          <cell r="AP757">
            <v>70</v>
          </cell>
          <cell r="AQ757" t="str">
            <v>PCS-04-034298</v>
          </cell>
          <cell r="AR757" t="b">
            <v>1</v>
          </cell>
          <cell r="AS757" t="str">
            <v>Done</v>
          </cell>
          <cell r="AT757" t="str">
            <v>2025 - Batch 6</v>
          </cell>
          <cell r="AU757">
            <v>35</v>
          </cell>
          <cell r="AV757">
            <v>1</v>
          </cell>
          <cell r="AW757" t="str">
            <v>H+L</v>
          </cell>
          <cell r="AX757">
            <v>70</v>
          </cell>
          <cell r="AY757">
            <v>50</v>
          </cell>
          <cell r="AZ757" t="str">
            <v>Duplex</v>
          </cell>
          <cell r="BA757">
            <v>1</v>
          </cell>
          <cell r="BB757" t="str">
            <v>568 - Without Partition</v>
          </cell>
          <cell r="BC757" t="str">
            <v xml:space="preserve">Without Partition </v>
          </cell>
          <cell r="BD757" t="str">
            <v>Flat</v>
          </cell>
          <cell r="BE757" t="str">
            <v xml:space="preserve">Without Partition </v>
          </cell>
          <cell r="BF757" t="str">
            <v>GREEN</v>
          </cell>
          <cell r="BG757">
            <v>2500000</v>
          </cell>
          <cell r="BH757">
            <v>2650000</v>
          </cell>
          <cell r="BI757">
            <v>100000</v>
          </cell>
          <cell r="BJ757">
            <v>2550000</v>
          </cell>
          <cell r="BK757">
            <v>0</v>
          </cell>
          <cell r="BL757">
            <v>2550000</v>
          </cell>
        </row>
        <row r="758">
          <cell r="D758" t="str">
            <v>OS</v>
          </cell>
          <cell r="E758"/>
          <cell r="F758">
            <v>738</v>
          </cell>
          <cell r="G758" t="str">
            <v>CLOSED</v>
          </cell>
          <cell r="H758" t="str">
            <v>TS</v>
          </cell>
          <cell r="I758" t="str">
            <v>TS</v>
          </cell>
          <cell r="J758" t="str">
            <v>TS</v>
          </cell>
          <cell r="K758" t="str">
            <v>TS</v>
          </cell>
          <cell r="L758" t="str">
            <v>TS</v>
          </cell>
          <cell r="M758" t="str">
            <v>TS</v>
          </cell>
          <cell r="N758" t="str">
            <v>OS</v>
          </cell>
          <cell r="O758" t="str">
            <v>OS</v>
          </cell>
          <cell r="P758" t="str">
            <v>OS</v>
          </cell>
          <cell r="Q758" t="str">
            <v>OS</v>
          </cell>
          <cell r="R758" t="str">
            <v>OS</v>
          </cell>
          <cell r="S758" t="str">
            <v>OS</v>
          </cell>
          <cell r="T758" t="str">
            <v>OS</v>
          </cell>
          <cell r="U758" t="str">
            <v>OS</v>
          </cell>
          <cell r="V758" t="str">
            <v>OS</v>
          </cell>
          <cell r="W758" t="str">
            <v>OS</v>
          </cell>
          <cell r="X758" t="str">
            <v>OS</v>
          </cell>
          <cell r="Y758" t="str">
            <v>OS</v>
          </cell>
          <cell r="Z758" t="str">
            <v>OS</v>
          </cell>
          <cell r="AA758" t="str">
            <v>OS</v>
          </cell>
          <cell r="AB758" t="str">
            <v>OS</v>
          </cell>
          <cell r="AC758" t="str">
            <v>OS</v>
          </cell>
          <cell r="AD758" t="str">
            <v>AGM-01-035-002</v>
          </cell>
          <cell r="AE758" t="str">
            <v xml:space="preserve">Raemulan Lands, Inc. </v>
          </cell>
          <cell r="AF758" t="str">
            <v>Agapeya</v>
          </cell>
          <cell r="AG758" t="str">
            <v>AGM</v>
          </cell>
          <cell r="AH758" t="str">
            <v>Eco-High</v>
          </cell>
          <cell r="AI758" t="str">
            <v>West</v>
          </cell>
          <cell r="AJ758" t="str">
            <v>With LTS</v>
          </cell>
          <cell r="AK758" t="str">
            <v>Unaffected lots</v>
          </cell>
          <cell r="AL758" t="str">
            <v>Unaffected lots</v>
          </cell>
          <cell r="AM758" t="b">
            <v>1</v>
          </cell>
          <cell r="AN758" t="str">
            <v>YES</v>
          </cell>
          <cell r="AO758" t="str">
            <v>B5 2025</v>
          </cell>
          <cell r="AP758">
            <v>70</v>
          </cell>
          <cell r="AQ758" t="str">
            <v>PCS-04-034298</v>
          </cell>
          <cell r="AR758" t="b">
            <v>1</v>
          </cell>
          <cell r="AS758" t="str">
            <v>Done</v>
          </cell>
          <cell r="AT758" t="str">
            <v>2025 - Batch 6</v>
          </cell>
          <cell r="AU758">
            <v>35</v>
          </cell>
          <cell r="AV758">
            <v>2</v>
          </cell>
          <cell r="AW758" t="str">
            <v>H+L</v>
          </cell>
          <cell r="AX758">
            <v>70</v>
          </cell>
          <cell r="AY758">
            <v>50</v>
          </cell>
          <cell r="AZ758" t="str">
            <v>Duplex</v>
          </cell>
          <cell r="BA758">
            <v>1</v>
          </cell>
          <cell r="BB758" t="str">
            <v>568 - Without Partition</v>
          </cell>
          <cell r="BC758" t="str">
            <v xml:space="preserve">Without Partition </v>
          </cell>
          <cell r="BD758" t="str">
            <v>Slant</v>
          </cell>
          <cell r="BE758" t="str">
            <v xml:space="preserve">Without Partition </v>
          </cell>
          <cell r="BF758" t="str">
            <v>GREEN</v>
          </cell>
          <cell r="BG758">
            <v>2500000</v>
          </cell>
          <cell r="BH758">
            <v>2650000</v>
          </cell>
          <cell r="BI758">
            <v>100000</v>
          </cell>
          <cell r="BJ758">
            <v>2550000</v>
          </cell>
          <cell r="BK758">
            <v>0</v>
          </cell>
          <cell r="BL758">
            <v>2550000</v>
          </cell>
        </row>
        <row r="759">
          <cell r="D759" t="str">
            <v>OS</v>
          </cell>
          <cell r="E759"/>
          <cell r="F759">
            <v>739</v>
          </cell>
          <cell r="G759" t="str">
            <v>CLOSED</v>
          </cell>
          <cell r="H759" t="str">
            <v>OPEN</v>
          </cell>
          <cell r="I759" t="str">
            <v>TS</v>
          </cell>
          <cell r="J759" t="str">
            <v>TS</v>
          </cell>
          <cell r="K759" t="str">
            <v>TS</v>
          </cell>
          <cell r="L759" t="str">
            <v>TS</v>
          </cell>
          <cell r="M759" t="str">
            <v>TS</v>
          </cell>
          <cell r="N759" t="str">
            <v>OS</v>
          </cell>
          <cell r="O759" t="str">
            <v>OS</v>
          </cell>
          <cell r="P759" t="str">
            <v>OS</v>
          </cell>
          <cell r="Q759" t="str">
            <v>OS</v>
          </cell>
          <cell r="R759" t="str">
            <v>OS</v>
          </cell>
          <cell r="S759" t="str">
            <v>OS</v>
          </cell>
          <cell r="T759" t="str">
            <v>OS</v>
          </cell>
          <cell r="U759" t="str">
            <v>OS</v>
          </cell>
          <cell r="V759" t="str">
            <v>OS</v>
          </cell>
          <cell r="W759" t="str">
            <v>OS</v>
          </cell>
          <cell r="X759" t="str">
            <v>OS</v>
          </cell>
          <cell r="Y759" t="str">
            <v>OS</v>
          </cell>
          <cell r="Z759" t="str">
            <v>OS</v>
          </cell>
          <cell r="AA759" t="str">
            <v>OS</v>
          </cell>
          <cell r="AB759" t="str">
            <v>OS</v>
          </cell>
          <cell r="AC759" t="str">
            <v>OS</v>
          </cell>
          <cell r="AD759" t="str">
            <v>AGM-01-035-003</v>
          </cell>
          <cell r="AE759" t="str">
            <v xml:space="preserve">Raemulan Lands, Inc. </v>
          </cell>
          <cell r="AF759" t="str">
            <v>Agapeya</v>
          </cell>
          <cell r="AG759" t="str">
            <v>AGM</v>
          </cell>
          <cell r="AH759" t="str">
            <v>Eco-High</v>
          </cell>
          <cell r="AI759" t="str">
            <v>West</v>
          </cell>
          <cell r="AJ759" t="str">
            <v>With LTS</v>
          </cell>
          <cell r="AK759" t="str">
            <v>Unaffected lots</v>
          </cell>
          <cell r="AL759" t="str">
            <v>Unaffected lots</v>
          </cell>
          <cell r="AM759" t="b">
            <v>1</v>
          </cell>
          <cell r="AN759" t="str">
            <v>YES</v>
          </cell>
          <cell r="AO759" t="str">
            <v>B5 2025</v>
          </cell>
          <cell r="AP759">
            <v>70</v>
          </cell>
          <cell r="AQ759" t="str">
            <v>PCS-04-034298</v>
          </cell>
          <cell r="AR759" t="b">
            <v>1</v>
          </cell>
          <cell r="AS759" t="str">
            <v>Done</v>
          </cell>
          <cell r="AT759" t="str">
            <v>2025 - Batch 6</v>
          </cell>
          <cell r="AU759">
            <v>35</v>
          </cell>
          <cell r="AV759">
            <v>3</v>
          </cell>
          <cell r="AW759" t="str">
            <v>H+L</v>
          </cell>
          <cell r="AX759">
            <v>70</v>
          </cell>
          <cell r="AY759">
            <v>50</v>
          </cell>
          <cell r="AZ759" t="str">
            <v>Duplex</v>
          </cell>
          <cell r="BA759">
            <v>1</v>
          </cell>
          <cell r="BB759" t="str">
            <v>568 - Without Partition</v>
          </cell>
          <cell r="BC759" t="str">
            <v xml:space="preserve">Without Partition </v>
          </cell>
          <cell r="BD759" t="str">
            <v>Flat</v>
          </cell>
          <cell r="BE759" t="str">
            <v xml:space="preserve">Without Partition </v>
          </cell>
          <cell r="BF759" t="str">
            <v>GREEN</v>
          </cell>
          <cell r="BG759">
            <v>2500000</v>
          </cell>
          <cell r="BH759">
            <v>2650000</v>
          </cell>
          <cell r="BI759">
            <v>100000</v>
          </cell>
          <cell r="BJ759">
            <v>2550000</v>
          </cell>
          <cell r="BK759">
            <v>0</v>
          </cell>
          <cell r="BL759">
            <v>2550000</v>
          </cell>
        </row>
        <row r="760">
          <cell r="D760" t="str">
            <v>OS</v>
          </cell>
          <cell r="E760"/>
          <cell r="F760">
            <v>740</v>
          </cell>
          <cell r="G760" t="str">
            <v>CLOSED</v>
          </cell>
          <cell r="H760" t="str">
            <v>TS</v>
          </cell>
          <cell r="I760" t="str">
            <v>TS</v>
          </cell>
          <cell r="J760" t="str">
            <v>TS</v>
          </cell>
          <cell r="K760" t="str">
            <v>TS</v>
          </cell>
          <cell r="L760" t="str">
            <v>TS</v>
          </cell>
          <cell r="M760" t="str">
            <v>TS</v>
          </cell>
          <cell r="N760" t="str">
            <v>OS</v>
          </cell>
          <cell r="O760" t="str">
            <v>OS</v>
          </cell>
          <cell r="P760" t="str">
            <v>OS</v>
          </cell>
          <cell r="Q760" t="str">
            <v>OS</v>
          </cell>
          <cell r="R760" t="str">
            <v>OS</v>
          </cell>
          <cell r="S760" t="str">
            <v>OS</v>
          </cell>
          <cell r="T760" t="str">
            <v>OS</v>
          </cell>
          <cell r="U760" t="str">
            <v>OS</v>
          </cell>
          <cell r="V760" t="str">
            <v>OS</v>
          </cell>
          <cell r="W760" t="str">
            <v>OS</v>
          </cell>
          <cell r="X760" t="str">
            <v>OS</v>
          </cell>
          <cell r="Y760" t="str">
            <v>OS</v>
          </cell>
          <cell r="Z760" t="str">
            <v>OS</v>
          </cell>
          <cell r="AA760" t="str">
            <v>OS</v>
          </cell>
          <cell r="AB760" t="str">
            <v>OS</v>
          </cell>
          <cell r="AC760" t="str">
            <v>OS</v>
          </cell>
          <cell r="AD760" t="str">
            <v>AGM-01-035-004</v>
          </cell>
          <cell r="AE760" t="str">
            <v xml:space="preserve">Raemulan Lands, Inc. </v>
          </cell>
          <cell r="AF760" t="str">
            <v>Agapeya</v>
          </cell>
          <cell r="AG760" t="str">
            <v>AGM</v>
          </cell>
          <cell r="AH760" t="str">
            <v>Eco-High</v>
          </cell>
          <cell r="AI760" t="str">
            <v>West</v>
          </cell>
          <cell r="AJ760" t="str">
            <v>With LTS</v>
          </cell>
          <cell r="AK760" t="str">
            <v>Unaffected lots</v>
          </cell>
          <cell r="AL760" t="str">
            <v>Unaffected lots</v>
          </cell>
          <cell r="AM760" t="b">
            <v>1</v>
          </cell>
          <cell r="AN760" t="str">
            <v>YES</v>
          </cell>
          <cell r="AO760" t="str">
            <v>B5 2025</v>
          </cell>
          <cell r="AP760">
            <v>70</v>
          </cell>
          <cell r="AQ760" t="str">
            <v>PCS-04-034298</v>
          </cell>
          <cell r="AR760" t="b">
            <v>1</v>
          </cell>
          <cell r="AS760" t="str">
            <v>Done</v>
          </cell>
          <cell r="AT760" t="str">
            <v>2025 - Batch 6</v>
          </cell>
          <cell r="AU760">
            <v>35</v>
          </cell>
          <cell r="AV760">
            <v>4</v>
          </cell>
          <cell r="AW760" t="str">
            <v>H+L</v>
          </cell>
          <cell r="AX760">
            <v>70</v>
          </cell>
          <cell r="AY760">
            <v>50</v>
          </cell>
          <cell r="AZ760" t="str">
            <v>Duplex</v>
          </cell>
          <cell r="BA760">
            <v>1</v>
          </cell>
          <cell r="BB760" t="str">
            <v>568 - Without Partition</v>
          </cell>
          <cell r="BC760" t="str">
            <v xml:space="preserve">Without Partition </v>
          </cell>
          <cell r="BD760" t="str">
            <v>Slant</v>
          </cell>
          <cell r="BE760" t="str">
            <v xml:space="preserve">Without Partition </v>
          </cell>
          <cell r="BF760" t="str">
            <v>GREEN</v>
          </cell>
          <cell r="BG760">
            <v>2500000</v>
          </cell>
          <cell r="BH760">
            <v>2650000</v>
          </cell>
          <cell r="BI760">
            <v>100000</v>
          </cell>
          <cell r="BJ760">
            <v>2550000</v>
          </cell>
          <cell r="BK760">
            <v>0</v>
          </cell>
          <cell r="BL760">
            <v>2550000</v>
          </cell>
        </row>
        <row r="761">
          <cell r="D761" t="str">
            <v>OS</v>
          </cell>
          <cell r="E761"/>
          <cell r="F761">
            <v>741</v>
          </cell>
          <cell r="G761" t="str">
            <v>SOLD</v>
          </cell>
          <cell r="H761" t="str">
            <v>TS</v>
          </cell>
          <cell r="I761" t="str">
            <v>TS</v>
          </cell>
          <cell r="J761" t="str">
            <v>OS</v>
          </cell>
          <cell r="K761" t="str">
            <v>OS</v>
          </cell>
          <cell r="L761" t="str">
            <v>OS</v>
          </cell>
          <cell r="M761" t="str">
            <v>OS</v>
          </cell>
          <cell r="N761" t="str">
            <v>OS</v>
          </cell>
          <cell r="O761" t="str">
            <v>OS</v>
          </cell>
          <cell r="P761" t="str">
            <v>OS</v>
          </cell>
          <cell r="Q761" t="str">
            <v>OS</v>
          </cell>
          <cell r="R761" t="str">
            <v>OS</v>
          </cell>
          <cell r="S761" t="str">
            <v>OS</v>
          </cell>
          <cell r="T761" t="str">
            <v>OS</v>
          </cell>
          <cell r="U761" t="str">
            <v>OS</v>
          </cell>
          <cell r="V761" t="str">
            <v>OS</v>
          </cell>
          <cell r="W761" t="str">
            <v>OS</v>
          </cell>
          <cell r="X761" t="str">
            <v>OS</v>
          </cell>
          <cell r="Y761" t="str">
            <v>OS</v>
          </cell>
          <cell r="Z761" t="str">
            <v>OS</v>
          </cell>
          <cell r="AA761" t="str">
            <v>OS</v>
          </cell>
          <cell r="AB761" t="str">
            <v>OS</v>
          </cell>
          <cell r="AC761" t="str">
            <v>OS</v>
          </cell>
          <cell r="AD761" t="str">
            <v>AGM-01-036-001</v>
          </cell>
          <cell r="AE761" t="str">
            <v xml:space="preserve">Raemulan Lands, Inc. </v>
          </cell>
          <cell r="AF761" t="str">
            <v>Agapeya</v>
          </cell>
          <cell r="AG761" t="str">
            <v>AGM</v>
          </cell>
          <cell r="AH761" t="str">
            <v>Eco-High</v>
          </cell>
          <cell r="AI761" t="str">
            <v>West</v>
          </cell>
          <cell r="AJ761" t="str">
            <v>With LTS</v>
          </cell>
          <cell r="AK761" t="str">
            <v>Unaffected lots</v>
          </cell>
          <cell r="AL761" t="str">
            <v>Unaffected lots</v>
          </cell>
          <cell r="AM761" t="b">
            <v>1</v>
          </cell>
          <cell r="AN761" t="str">
            <v>YES</v>
          </cell>
          <cell r="AO761" t="str">
            <v>B5 2025</v>
          </cell>
          <cell r="AP761">
            <v>95</v>
          </cell>
          <cell r="AQ761" t="str">
            <v>PCS-04-034298</v>
          </cell>
          <cell r="AR761" t="b">
            <v>1</v>
          </cell>
          <cell r="AS761" t="str">
            <v>Done</v>
          </cell>
          <cell r="AT761" t="str">
            <v>2025 - Batch 4</v>
          </cell>
          <cell r="AU761">
            <v>36</v>
          </cell>
          <cell r="AV761">
            <v>1</v>
          </cell>
          <cell r="AW761" t="str">
            <v>H+L</v>
          </cell>
          <cell r="AX761">
            <v>95</v>
          </cell>
          <cell r="AY761">
            <v>50</v>
          </cell>
          <cell r="AZ761" t="str">
            <v>Duplex</v>
          </cell>
          <cell r="BA761">
            <v>1</v>
          </cell>
          <cell r="BB761" t="str">
            <v>568 - Without Partition</v>
          </cell>
          <cell r="BC761" t="str">
            <v xml:space="preserve">Without Partition </v>
          </cell>
          <cell r="BD761" t="str">
            <v>Slant</v>
          </cell>
          <cell r="BE761" t="str">
            <v xml:space="preserve">Without Partition </v>
          </cell>
          <cell r="BF761" t="str">
            <v>PINK</v>
          </cell>
          <cell r="BG761">
            <v>2500000</v>
          </cell>
          <cell r="BH761">
            <v>3025000</v>
          </cell>
          <cell r="BI761">
            <v>100000</v>
          </cell>
          <cell r="BJ761">
            <v>2925000</v>
          </cell>
          <cell r="BK761">
            <v>0</v>
          </cell>
          <cell r="BL761">
            <v>2925000</v>
          </cell>
        </row>
        <row r="762">
          <cell r="D762" t="str">
            <v>OS</v>
          </cell>
          <cell r="E762"/>
          <cell r="F762">
            <v>742</v>
          </cell>
          <cell r="G762" t="str">
            <v>SOLD</v>
          </cell>
          <cell r="H762" t="str">
            <v>OS</v>
          </cell>
          <cell r="I762" t="str">
            <v>OS</v>
          </cell>
          <cell r="J762" t="str">
            <v>OS</v>
          </cell>
          <cell r="K762" t="str">
            <v>OS</v>
          </cell>
          <cell r="L762" t="str">
            <v>OS</v>
          </cell>
          <cell r="M762" t="str">
            <v>OS</v>
          </cell>
          <cell r="N762" t="str">
            <v>OS</v>
          </cell>
          <cell r="O762" t="str">
            <v>TS</v>
          </cell>
          <cell r="P762" t="str">
            <v>TS</v>
          </cell>
          <cell r="Q762" t="str">
            <v>TS</v>
          </cell>
          <cell r="R762" t="str">
            <v>TS</v>
          </cell>
          <cell r="S762" t="str">
            <v>TS</v>
          </cell>
          <cell r="T762" t="str">
            <v>TS</v>
          </cell>
          <cell r="U762" t="str">
            <v>OS</v>
          </cell>
          <cell r="V762" t="str">
            <v>OS</v>
          </cell>
          <cell r="W762" t="str">
            <v>OS</v>
          </cell>
          <cell r="X762" t="str">
            <v>OS</v>
          </cell>
          <cell r="Y762" t="str">
            <v>OS</v>
          </cell>
          <cell r="Z762" t="str">
            <v>OS</v>
          </cell>
          <cell r="AA762" t="str">
            <v>OS</v>
          </cell>
          <cell r="AB762" t="str">
            <v>OS</v>
          </cell>
          <cell r="AC762" t="str">
            <v>OS</v>
          </cell>
          <cell r="AD762" t="str">
            <v>AGM-01-036-002</v>
          </cell>
          <cell r="AE762" t="str">
            <v xml:space="preserve">Raemulan Lands, Inc. </v>
          </cell>
          <cell r="AF762" t="str">
            <v>Agapeya</v>
          </cell>
          <cell r="AG762" t="str">
            <v>AGM</v>
          </cell>
          <cell r="AH762" t="str">
            <v>Eco-High</v>
          </cell>
          <cell r="AI762" t="str">
            <v>West</v>
          </cell>
          <cell r="AJ762" t="str">
            <v>With LTS</v>
          </cell>
          <cell r="AK762" t="str">
            <v>Unaffected lots</v>
          </cell>
          <cell r="AL762" t="str">
            <v>Unaffected lots</v>
          </cell>
          <cell r="AM762" t="b">
            <v>1</v>
          </cell>
          <cell r="AN762" t="str">
            <v>YES</v>
          </cell>
          <cell r="AO762" t="str">
            <v>B5 2025</v>
          </cell>
          <cell r="AP762">
            <v>90</v>
          </cell>
          <cell r="AQ762" t="str">
            <v>PCS-04-034298</v>
          </cell>
          <cell r="AR762" t="b">
            <v>1</v>
          </cell>
          <cell r="AS762" t="str">
            <v>Done</v>
          </cell>
          <cell r="AT762" t="str">
            <v>2025 - Batch 4</v>
          </cell>
          <cell r="AU762">
            <v>36</v>
          </cell>
          <cell r="AV762">
            <v>2</v>
          </cell>
          <cell r="AW762" t="str">
            <v>H+L</v>
          </cell>
          <cell r="AX762">
            <v>90</v>
          </cell>
          <cell r="AY762">
            <v>50</v>
          </cell>
          <cell r="AZ762" t="str">
            <v>Duplex</v>
          </cell>
          <cell r="BA762">
            <v>1</v>
          </cell>
          <cell r="BB762" t="str">
            <v>568 - Without Partition</v>
          </cell>
          <cell r="BC762" t="str">
            <v xml:space="preserve">Without Partition </v>
          </cell>
          <cell r="BD762" t="str">
            <v>Flat</v>
          </cell>
          <cell r="BE762" t="str">
            <v xml:space="preserve">Without Partition </v>
          </cell>
          <cell r="BF762" t="str">
            <v>PINK</v>
          </cell>
          <cell r="BG762">
            <v>2500000</v>
          </cell>
          <cell r="BH762">
            <v>2950000</v>
          </cell>
          <cell r="BI762">
            <v>100000</v>
          </cell>
          <cell r="BJ762">
            <v>2850000</v>
          </cell>
          <cell r="BK762">
            <v>0</v>
          </cell>
          <cell r="BL762">
            <v>2850000</v>
          </cell>
        </row>
        <row r="763">
          <cell r="D763" t="str">
            <v>OS</v>
          </cell>
          <cell r="E763"/>
          <cell r="F763">
            <v>743</v>
          </cell>
          <cell r="G763" t="str">
            <v>CLOSED</v>
          </cell>
          <cell r="H763" t="str">
            <v>OPEN</v>
          </cell>
          <cell r="I763" t="str">
            <v>OPEN</v>
          </cell>
          <cell r="J763" t="str">
            <v>OPEN</v>
          </cell>
          <cell r="K763" t="str">
            <v>OPEN</v>
          </cell>
          <cell r="L763" t="str">
            <v>OPEN</v>
          </cell>
          <cell r="M763" t="str">
            <v>OPEN</v>
          </cell>
          <cell r="N763" t="str">
            <v>OPEN</v>
          </cell>
          <cell r="O763" t="str">
            <v>OPEN</v>
          </cell>
          <cell r="P763" t="str">
            <v>TS</v>
          </cell>
          <cell r="Q763" t="str">
            <v>TS</v>
          </cell>
          <cell r="R763" t="str">
            <v>TS</v>
          </cell>
          <cell r="S763" t="str">
            <v>TS</v>
          </cell>
          <cell r="T763" t="str">
            <v>TS</v>
          </cell>
          <cell r="U763" t="str">
            <v>OS</v>
          </cell>
          <cell r="V763" t="str">
            <v>OS</v>
          </cell>
          <cell r="W763" t="str">
            <v>OS</v>
          </cell>
          <cell r="X763" t="str">
            <v>OS</v>
          </cell>
          <cell r="Y763" t="str">
            <v>OS</v>
          </cell>
          <cell r="Z763" t="str">
            <v>OS</v>
          </cell>
          <cell r="AA763" t="str">
            <v>OS</v>
          </cell>
          <cell r="AB763" t="str">
            <v>OS</v>
          </cell>
          <cell r="AC763" t="str">
            <v>OS</v>
          </cell>
          <cell r="AD763" t="str">
            <v>AGM-01-036-003</v>
          </cell>
          <cell r="AE763" t="str">
            <v xml:space="preserve">Raemulan Lands, Inc. </v>
          </cell>
          <cell r="AF763" t="str">
            <v>Agapeya</v>
          </cell>
          <cell r="AG763" t="str">
            <v>AGM</v>
          </cell>
          <cell r="AH763" t="str">
            <v>Eco-High</v>
          </cell>
          <cell r="AI763" t="str">
            <v>West</v>
          </cell>
          <cell r="AJ763" t="str">
            <v>With LTS</v>
          </cell>
          <cell r="AK763" t="str">
            <v>Unaffected lots</v>
          </cell>
          <cell r="AL763" t="str">
            <v>Unaffected lots</v>
          </cell>
          <cell r="AM763" t="b">
            <v>1</v>
          </cell>
          <cell r="AN763" t="str">
            <v>YES</v>
          </cell>
          <cell r="AO763" t="str">
            <v>B5 2025</v>
          </cell>
          <cell r="AP763">
            <v>90</v>
          </cell>
          <cell r="AQ763" t="str">
            <v>PCS-04-034298</v>
          </cell>
          <cell r="AR763" t="b">
            <v>1</v>
          </cell>
          <cell r="AS763" t="str">
            <v>Done</v>
          </cell>
          <cell r="AT763" t="str">
            <v>2025 - Batch 4</v>
          </cell>
          <cell r="AU763">
            <v>36</v>
          </cell>
          <cell r="AV763">
            <v>3</v>
          </cell>
          <cell r="AW763" t="str">
            <v>H+L</v>
          </cell>
          <cell r="AX763">
            <v>90</v>
          </cell>
          <cell r="AY763">
            <v>50</v>
          </cell>
          <cell r="AZ763" t="str">
            <v>Duplex</v>
          </cell>
          <cell r="BA763">
            <v>1</v>
          </cell>
          <cell r="BB763" t="str">
            <v>568 - Without Partition</v>
          </cell>
          <cell r="BC763" t="str">
            <v xml:space="preserve">Without Partition </v>
          </cell>
          <cell r="BD763" t="str">
            <v>Flat</v>
          </cell>
          <cell r="BE763" t="str">
            <v xml:space="preserve">Without Partition </v>
          </cell>
          <cell r="BF763" t="str">
            <v>PINK</v>
          </cell>
          <cell r="BG763">
            <v>2500000</v>
          </cell>
          <cell r="BH763">
            <v>2950000</v>
          </cell>
          <cell r="BI763">
            <v>100000</v>
          </cell>
          <cell r="BJ763">
            <v>2850000</v>
          </cell>
          <cell r="BK763">
            <v>0</v>
          </cell>
          <cell r="BL763">
            <v>2850000</v>
          </cell>
        </row>
        <row r="764">
          <cell r="D764" t="str">
            <v>OS</v>
          </cell>
          <cell r="E764"/>
          <cell r="F764">
            <v>744</v>
          </cell>
          <cell r="G764" t="str">
            <v>SOLD</v>
          </cell>
          <cell r="H764" t="str">
            <v>OS</v>
          </cell>
          <cell r="I764" t="str">
            <v>OS</v>
          </cell>
          <cell r="J764" t="str">
            <v>OS</v>
          </cell>
          <cell r="K764" t="str">
            <v>OS</v>
          </cell>
          <cell r="L764" t="str">
            <v>OS</v>
          </cell>
          <cell r="M764" t="str">
            <v>OS</v>
          </cell>
          <cell r="N764" t="str">
            <v>OS</v>
          </cell>
          <cell r="O764" t="str">
            <v>OS</v>
          </cell>
          <cell r="P764" t="str">
            <v>OS</v>
          </cell>
          <cell r="Q764" t="str">
            <v>OS</v>
          </cell>
          <cell r="R764" t="str">
            <v>OS</v>
          </cell>
          <cell r="S764" t="str">
            <v>OS</v>
          </cell>
          <cell r="T764" t="str">
            <v>OS</v>
          </cell>
          <cell r="U764" t="str">
            <v>OS</v>
          </cell>
          <cell r="V764" t="str">
            <v>OS</v>
          </cell>
          <cell r="W764" t="str">
            <v>OS</v>
          </cell>
          <cell r="X764" t="str">
            <v>OS</v>
          </cell>
          <cell r="Y764" t="str">
            <v>OS</v>
          </cell>
          <cell r="Z764" t="str">
            <v>OS</v>
          </cell>
          <cell r="AA764" t="str">
            <v>OS</v>
          </cell>
          <cell r="AB764" t="str">
            <v>OS</v>
          </cell>
          <cell r="AC764" t="str">
            <v>OS</v>
          </cell>
          <cell r="AD764" t="str">
            <v>AGM-01-036-004</v>
          </cell>
          <cell r="AE764" t="str">
            <v xml:space="preserve">Raemulan Lands, Inc. </v>
          </cell>
          <cell r="AF764" t="str">
            <v>Agapeya</v>
          </cell>
          <cell r="AG764" t="str">
            <v>AGM</v>
          </cell>
          <cell r="AH764" t="str">
            <v>Eco-High</v>
          </cell>
          <cell r="AI764" t="str">
            <v>West</v>
          </cell>
          <cell r="AJ764" t="str">
            <v>Without LTS</v>
          </cell>
          <cell r="AK764" t="str">
            <v>for conso</v>
          </cell>
          <cell r="AL764" t="str">
            <v>Unaffected lots</v>
          </cell>
          <cell r="AM764" t="b">
            <v>1</v>
          </cell>
          <cell r="AN764" t="str">
            <v>NO</v>
          </cell>
          <cell r="AO764" t="str">
            <v>B5 2025</v>
          </cell>
          <cell r="AP764" t="str">
            <v>23/67</v>
          </cell>
          <cell r="AQ764" t="str">
            <v>PCS-04-034298/PCS-04-034695</v>
          </cell>
          <cell r="AR764" t="b">
            <v>0</v>
          </cell>
          <cell r="AS764" t="str">
            <v>For Conso</v>
          </cell>
          <cell r="AT764" t="str">
            <v>2025 - Batch 4</v>
          </cell>
          <cell r="AU764">
            <v>36</v>
          </cell>
          <cell r="AV764">
            <v>4</v>
          </cell>
          <cell r="AW764" t="str">
            <v>H+L</v>
          </cell>
          <cell r="AX764">
            <v>90</v>
          </cell>
          <cell r="AY764">
            <v>50</v>
          </cell>
          <cell r="AZ764" t="str">
            <v>Duplex</v>
          </cell>
          <cell r="BA764">
            <v>1</v>
          </cell>
          <cell r="BB764" t="str">
            <v>568 - Without Partition</v>
          </cell>
          <cell r="BC764" t="str">
            <v xml:space="preserve">Without Partition </v>
          </cell>
          <cell r="BD764" t="str">
            <v>Slant</v>
          </cell>
          <cell r="BE764" t="str">
            <v xml:space="preserve">Without Partition </v>
          </cell>
          <cell r="BF764" t="str">
            <v>PINK</v>
          </cell>
          <cell r="BG764">
            <v>2500000</v>
          </cell>
          <cell r="BH764">
            <v>2950000</v>
          </cell>
          <cell r="BI764">
            <v>100000</v>
          </cell>
          <cell r="BJ764">
            <v>2850000</v>
          </cell>
          <cell r="BK764">
            <v>0</v>
          </cell>
          <cell r="BL764">
            <v>2850000</v>
          </cell>
        </row>
        <row r="765">
          <cell r="D765" t="str">
            <v>OS</v>
          </cell>
          <cell r="E765"/>
          <cell r="F765">
            <v>745</v>
          </cell>
          <cell r="G765" t="str">
            <v>CLOSED</v>
          </cell>
          <cell r="H765" t="str">
            <v>OPEN</v>
          </cell>
          <cell r="I765" t="str">
            <v>OPEN</v>
          </cell>
          <cell r="J765" t="str">
            <v>OPEN</v>
          </cell>
          <cell r="K765" t="str">
            <v>OPEN</v>
          </cell>
          <cell r="L765" t="str">
            <v>TS</v>
          </cell>
          <cell r="M765" t="str">
            <v>OPEN</v>
          </cell>
          <cell r="N765" t="str">
            <v>TS</v>
          </cell>
          <cell r="O765" t="str">
            <v>TS</v>
          </cell>
          <cell r="P765" t="str">
            <v>TS</v>
          </cell>
          <cell r="Q765" t="str">
            <v>TS</v>
          </cell>
          <cell r="R765" t="str">
            <v>TS</v>
          </cell>
          <cell r="S765" t="str">
            <v>TS</v>
          </cell>
          <cell r="T765" t="str">
            <v>TS</v>
          </cell>
          <cell r="U765" t="str">
            <v>TS</v>
          </cell>
          <cell r="V765" t="str">
            <v>OS</v>
          </cell>
          <cell r="W765" t="str">
            <v>TS</v>
          </cell>
          <cell r="X765" t="str">
            <v>OS</v>
          </cell>
          <cell r="Y765" t="str">
            <v>OS</v>
          </cell>
          <cell r="Z765" t="str">
            <v>OS</v>
          </cell>
          <cell r="AA765" t="str">
            <v>OS</v>
          </cell>
          <cell r="AB765" t="str">
            <v>OS</v>
          </cell>
          <cell r="AC765" t="str">
            <v>OS</v>
          </cell>
          <cell r="AD765" t="str">
            <v>AGM-01-036-005</v>
          </cell>
          <cell r="AE765" t="str">
            <v xml:space="preserve">Raemulan Lands, Inc. </v>
          </cell>
          <cell r="AF765" t="str">
            <v>Agapeya</v>
          </cell>
          <cell r="AG765" t="str">
            <v>AGM</v>
          </cell>
          <cell r="AH765" t="str">
            <v>Eco-High</v>
          </cell>
          <cell r="AI765" t="str">
            <v>West</v>
          </cell>
          <cell r="AJ765" t="str">
            <v>Without LTS</v>
          </cell>
          <cell r="AK765" t="str">
            <v>Unaffected lots</v>
          </cell>
          <cell r="AL765" t="str">
            <v>Unaffected lots</v>
          </cell>
          <cell r="AM765" t="b">
            <v>0</v>
          </cell>
          <cell r="AN765" t="str">
            <v>NO</v>
          </cell>
          <cell r="AO765" t="str">
            <v>B5 2025</v>
          </cell>
          <cell r="AP765">
            <v>110</v>
          </cell>
          <cell r="AQ765" t="str">
            <v>PCS-04-034695</v>
          </cell>
          <cell r="AR765" t="b">
            <v>1</v>
          </cell>
          <cell r="AS765" t="str">
            <v>Done</v>
          </cell>
          <cell r="AT765" t="str">
            <v>2025 - Batch 4</v>
          </cell>
          <cell r="AU765">
            <v>36</v>
          </cell>
          <cell r="AV765">
            <v>5</v>
          </cell>
          <cell r="AW765" t="str">
            <v>H+L</v>
          </cell>
          <cell r="AX765">
            <v>110</v>
          </cell>
          <cell r="AY765">
            <v>50</v>
          </cell>
          <cell r="AZ765" t="str">
            <v>Duplex</v>
          </cell>
          <cell r="BA765">
            <v>1</v>
          </cell>
          <cell r="BB765" t="str">
            <v>568 - Without Partition</v>
          </cell>
          <cell r="BC765" t="str">
            <v xml:space="preserve">Without Partition </v>
          </cell>
          <cell r="BD765" t="str">
            <v>Slant</v>
          </cell>
          <cell r="BE765" t="str">
            <v xml:space="preserve">Without Partition </v>
          </cell>
          <cell r="BF765" t="str">
            <v>YELLOW</v>
          </cell>
          <cell r="BG765">
            <v>2500000</v>
          </cell>
          <cell r="BH765">
            <v>3250000</v>
          </cell>
          <cell r="BI765">
            <v>100000</v>
          </cell>
          <cell r="BJ765">
            <v>3150000</v>
          </cell>
          <cell r="BK765">
            <v>0</v>
          </cell>
          <cell r="BL765">
            <v>3150000</v>
          </cell>
        </row>
        <row r="766">
          <cell r="D766" t="str">
            <v>OS</v>
          </cell>
          <cell r="E766"/>
          <cell r="F766">
            <v>746</v>
          </cell>
          <cell r="G766" t="str">
            <v>CLOSED</v>
          </cell>
          <cell r="H766" t="str">
            <v>OPEN</v>
          </cell>
          <cell r="I766" t="str">
            <v>TS</v>
          </cell>
          <cell r="J766" t="str">
            <v>TS</v>
          </cell>
          <cell r="K766" t="str">
            <v>TS</v>
          </cell>
          <cell r="L766" t="str">
            <v>TS</v>
          </cell>
          <cell r="M766" t="str">
            <v>TS</v>
          </cell>
          <cell r="N766" t="str">
            <v>OS</v>
          </cell>
          <cell r="O766" t="str">
            <v>OS</v>
          </cell>
          <cell r="P766" t="str">
            <v>OS</v>
          </cell>
          <cell r="Q766" t="str">
            <v>OS</v>
          </cell>
          <cell r="R766" t="str">
            <v>OS</v>
          </cell>
          <cell r="S766" t="str">
            <v>OS</v>
          </cell>
          <cell r="T766" t="str">
            <v>OS</v>
          </cell>
          <cell r="U766" t="str">
            <v>OS</v>
          </cell>
          <cell r="V766" t="str">
            <v>OS</v>
          </cell>
          <cell r="W766" t="str">
            <v>OS</v>
          </cell>
          <cell r="X766" t="str">
            <v>OS</v>
          </cell>
          <cell r="Y766" t="str">
            <v>OS</v>
          </cell>
          <cell r="Z766" t="str">
            <v>OS</v>
          </cell>
          <cell r="AA766" t="str">
            <v>OS</v>
          </cell>
          <cell r="AB766" t="str">
            <v>OS</v>
          </cell>
          <cell r="AC766" t="str">
            <v>OS</v>
          </cell>
          <cell r="AD766" t="str">
            <v>AGM-01-036-006</v>
          </cell>
          <cell r="AE766" t="str">
            <v xml:space="preserve">Raemulan Lands, Inc. </v>
          </cell>
          <cell r="AF766" t="str">
            <v>Agapeya</v>
          </cell>
          <cell r="AG766" t="str">
            <v>AGM</v>
          </cell>
          <cell r="AH766" t="str">
            <v>Eco-High</v>
          </cell>
          <cell r="AI766" t="str">
            <v>West</v>
          </cell>
          <cell r="AJ766" t="str">
            <v>Without LTS</v>
          </cell>
          <cell r="AK766" t="str">
            <v>Unaffected lots</v>
          </cell>
          <cell r="AL766" t="str">
            <v>NA</v>
          </cell>
          <cell r="AM766" t="b">
            <v>0</v>
          </cell>
          <cell r="AN766" t="str">
            <v>NO</v>
          </cell>
          <cell r="AO766" t="str">
            <v>B5 2025</v>
          </cell>
          <cell r="AP766">
            <v>100</v>
          </cell>
          <cell r="AQ766" t="str">
            <v>PCS-04-034695</v>
          </cell>
          <cell r="AR766" t="b">
            <v>1</v>
          </cell>
          <cell r="AS766" t="str">
            <v>Done</v>
          </cell>
          <cell r="AT766" t="str">
            <v>2025 - Batch 4</v>
          </cell>
          <cell r="AU766">
            <v>36</v>
          </cell>
          <cell r="AV766">
            <v>6</v>
          </cell>
          <cell r="AW766" t="str">
            <v>H+L</v>
          </cell>
          <cell r="AX766">
            <v>100</v>
          </cell>
          <cell r="AY766">
            <v>50</v>
          </cell>
          <cell r="AZ766" t="str">
            <v>Duplex</v>
          </cell>
          <cell r="BA766">
            <v>1</v>
          </cell>
          <cell r="BB766" t="str">
            <v>568 - Without Partition</v>
          </cell>
          <cell r="BC766" t="str">
            <v xml:space="preserve">Without Partition </v>
          </cell>
          <cell r="BD766" t="str">
            <v>Flat</v>
          </cell>
          <cell r="BE766" t="str">
            <v xml:space="preserve">Without Partition </v>
          </cell>
          <cell r="BF766" t="str">
            <v>YELLOW</v>
          </cell>
          <cell r="BG766">
            <v>2500000</v>
          </cell>
          <cell r="BH766">
            <v>3100000</v>
          </cell>
          <cell r="BI766">
            <v>100000</v>
          </cell>
          <cell r="BJ766">
            <v>3000000</v>
          </cell>
          <cell r="BK766">
            <v>0</v>
          </cell>
          <cell r="BL766">
            <v>3000000</v>
          </cell>
        </row>
        <row r="767">
          <cell r="D767" t="str">
            <v>TS</v>
          </cell>
          <cell r="E767"/>
          <cell r="F767">
            <v>747</v>
          </cell>
          <cell r="G767" t="str">
            <v>CLOSED</v>
          </cell>
          <cell r="H767" t="str">
            <v>OPEN</v>
          </cell>
          <cell r="I767" t="str">
            <v>OPEN</v>
          </cell>
          <cell r="J767" t="str">
            <v>OPEN</v>
          </cell>
          <cell r="K767" t="str">
            <v>OPEN</v>
          </cell>
          <cell r="L767" t="str">
            <v>OPEN</v>
          </cell>
          <cell r="M767" t="str">
            <v>OPEN</v>
          </cell>
          <cell r="N767" t="str">
            <v>TS</v>
          </cell>
          <cell r="O767" t="str">
            <v>TS</v>
          </cell>
          <cell r="P767" t="str">
            <v>TS</v>
          </cell>
          <cell r="Q767" t="str">
            <v>TS</v>
          </cell>
          <cell r="R767" t="str">
            <v>TS</v>
          </cell>
          <cell r="S767" t="str">
            <v>TS</v>
          </cell>
          <cell r="T767" t="str">
            <v>TS</v>
          </cell>
          <cell r="U767" t="str">
            <v>TS - MORE THAN 30 DAYS</v>
          </cell>
          <cell r="V767" t="str">
            <v>TS</v>
          </cell>
          <cell r="W767" t="str">
            <v>TS - MORE THAN 30 DAYS</v>
          </cell>
          <cell r="X767" t="str">
            <v>TS</v>
          </cell>
          <cell r="Y767" t="str">
            <v>TS</v>
          </cell>
          <cell r="Z767" t="str">
            <v>TS</v>
          </cell>
          <cell r="AA767" t="str">
            <v>TS</v>
          </cell>
          <cell r="AB767" t="str">
            <v>TS</v>
          </cell>
          <cell r="AC767" t="str">
            <v>TS</v>
          </cell>
          <cell r="AD767" t="str">
            <v>AGM-01-037-001</v>
          </cell>
          <cell r="AE767" t="str">
            <v xml:space="preserve">Raemulan Lands, Inc. </v>
          </cell>
          <cell r="AF767" t="str">
            <v>Agapeya</v>
          </cell>
          <cell r="AG767" t="str">
            <v>AGM</v>
          </cell>
          <cell r="AH767" t="str">
            <v>Eco-High</v>
          </cell>
          <cell r="AI767" t="str">
            <v>West</v>
          </cell>
          <cell r="AJ767" t="str">
            <v>Without LTS</v>
          </cell>
          <cell r="AK767" t="str">
            <v>Unaffected lots</v>
          </cell>
          <cell r="AL767" t="str">
            <v>NA</v>
          </cell>
          <cell r="AM767" t="b">
            <v>0</v>
          </cell>
          <cell r="AN767" t="str">
            <v>NO</v>
          </cell>
          <cell r="AO767" t="str">
            <v>B5 2025</v>
          </cell>
          <cell r="AP767">
            <v>100</v>
          </cell>
          <cell r="AQ767" t="str">
            <v>PCS-04-034695</v>
          </cell>
          <cell r="AR767" t="b">
            <v>1</v>
          </cell>
          <cell r="AS767" t="str">
            <v>Done</v>
          </cell>
          <cell r="AT767" t="str">
            <v>2025 - Batch 4</v>
          </cell>
          <cell r="AU767">
            <v>37</v>
          </cell>
          <cell r="AV767">
            <v>1</v>
          </cell>
          <cell r="AW767" t="str">
            <v>H+L</v>
          </cell>
          <cell r="AX767">
            <v>100</v>
          </cell>
          <cell r="AY767">
            <v>50</v>
          </cell>
          <cell r="AZ767" t="str">
            <v>Duplex</v>
          </cell>
          <cell r="BA767">
            <v>1</v>
          </cell>
          <cell r="BB767" t="str">
            <v>568 - Without Partition</v>
          </cell>
          <cell r="BC767" t="str">
            <v xml:space="preserve">Without Partition </v>
          </cell>
          <cell r="BD767" t="str">
            <v>Slant</v>
          </cell>
          <cell r="BE767" t="str">
            <v xml:space="preserve">Without Partition </v>
          </cell>
          <cell r="BF767" t="str">
            <v>YELLOW</v>
          </cell>
          <cell r="BG767">
            <v>2500000</v>
          </cell>
          <cell r="BH767">
            <v>3100000</v>
          </cell>
          <cell r="BI767">
            <v>100000</v>
          </cell>
          <cell r="BJ767">
            <v>3000000</v>
          </cell>
          <cell r="BK767">
            <v>0</v>
          </cell>
          <cell r="BL767">
            <v>3000000</v>
          </cell>
        </row>
        <row r="768">
          <cell r="D768" t="str">
            <v>OS</v>
          </cell>
          <cell r="E768"/>
          <cell r="F768">
            <v>748</v>
          </cell>
          <cell r="G768" t="str">
            <v>CLOSED</v>
          </cell>
          <cell r="H768" t="str">
            <v>OPEN</v>
          </cell>
          <cell r="I768" t="str">
            <v>OPEN</v>
          </cell>
          <cell r="J768" t="str">
            <v>OPEN</v>
          </cell>
          <cell r="K768" t="str">
            <v>OPEN</v>
          </cell>
          <cell r="L768" t="str">
            <v>TS</v>
          </cell>
          <cell r="M768" t="str">
            <v>OPEN</v>
          </cell>
          <cell r="N768" t="str">
            <v>TS</v>
          </cell>
          <cell r="O768" t="str">
            <v>TS</v>
          </cell>
          <cell r="P768" t="str">
            <v>TS</v>
          </cell>
          <cell r="Q768" t="str">
            <v>TS</v>
          </cell>
          <cell r="R768" t="str">
            <v>TS</v>
          </cell>
          <cell r="S768" t="str">
            <v>WITH BRN</v>
          </cell>
          <cell r="T768" t="str">
            <v>TS</v>
          </cell>
          <cell r="U768" t="str">
            <v>TS</v>
          </cell>
          <cell r="V768" t="str">
            <v>OS</v>
          </cell>
          <cell r="W768" t="str">
            <v>TS</v>
          </cell>
          <cell r="X768" t="str">
            <v>OS</v>
          </cell>
          <cell r="Y768" t="str">
            <v>OS</v>
          </cell>
          <cell r="Z768" t="str">
            <v>OS</v>
          </cell>
          <cell r="AA768" t="str">
            <v>OS</v>
          </cell>
          <cell r="AB768" t="str">
            <v>OS</v>
          </cell>
          <cell r="AC768" t="str">
            <v>OS</v>
          </cell>
          <cell r="AD768" t="str">
            <v>AGM-01-037-002</v>
          </cell>
          <cell r="AE768" t="str">
            <v xml:space="preserve">Raemulan Lands, Inc. </v>
          </cell>
          <cell r="AF768" t="str">
            <v>Agapeya</v>
          </cell>
          <cell r="AG768" t="str">
            <v>AGM</v>
          </cell>
          <cell r="AH768" t="str">
            <v>Eco-High</v>
          </cell>
          <cell r="AI768" t="str">
            <v>West</v>
          </cell>
          <cell r="AJ768" t="str">
            <v>Without LTS</v>
          </cell>
          <cell r="AK768" t="str">
            <v>Unaffected lots</v>
          </cell>
          <cell r="AL768" t="str">
            <v>Unaffected lots</v>
          </cell>
          <cell r="AM768" t="b">
            <v>0</v>
          </cell>
          <cell r="AN768" t="str">
            <v>NO</v>
          </cell>
          <cell r="AO768" t="str">
            <v>B5 2025</v>
          </cell>
          <cell r="AP768">
            <v>110</v>
          </cell>
          <cell r="AQ768" t="str">
            <v>PCS-04-034695</v>
          </cell>
          <cell r="AR768" t="b">
            <v>1</v>
          </cell>
          <cell r="AS768" t="str">
            <v>Done</v>
          </cell>
          <cell r="AT768" t="str">
            <v>2025 - Batch 4</v>
          </cell>
          <cell r="AU768">
            <v>37</v>
          </cell>
          <cell r="AV768">
            <v>2</v>
          </cell>
          <cell r="AW768" t="str">
            <v>H+L</v>
          </cell>
          <cell r="AX768">
            <v>110</v>
          </cell>
          <cell r="AY768">
            <v>50</v>
          </cell>
          <cell r="AZ768" t="str">
            <v>Duplex</v>
          </cell>
          <cell r="BA768">
            <v>1</v>
          </cell>
          <cell r="BB768" t="str">
            <v>568 - Without Partition</v>
          </cell>
          <cell r="BC768" t="str">
            <v xml:space="preserve">Without Partition </v>
          </cell>
          <cell r="BD768" t="str">
            <v>Flat</v>
          </cell>
          <cell r="BE768" t="str">
            <v xml:space="preserve">Without Partition </v>
          </cell>
          <cell r="BF768" t="str">
            <v>YELLOW</v>
          </cell>
          <cell r="BG768">
            <v>2500000</v>
          </cell>
          <cell r="BH768">
            <v>3250000</v>
          </cell>
          <cell r="BI768">
            <v>100000</v>
          </cell>
          <cell r="BJ768">
            <v>3150000</v>
          </cell>
          <cell r="BK768">
            <v>0</v>
          </cell>
          <cell r="BL768">
            <v>3150000</v>
          </cell>
        </row>
        <row r="769">
          <cell r="D769" t="str">
            <v>OS</v>
          </cell>
          <cell r="E769"/>
          <cell r="F769">
            <v>749</v>
          </cell>
          <cell r="G769" t="str">
            <v>UNSOLD</v>
          </cell>
          <cell r="H769" t="str">
            <v>OS</v>
          </cell>
          <cell r="I769" t="str">
            <v>OS</v>
          </cell>
          <cell r="J769" t="str">
            <v>OS</v>
          </cell>
          <cell r="K769" t="str">
            <v>OS</v>
          </cell>
          <cell r="L769" t="str">
            <v>OS</v>
          </cell>
          <cell r="M769" t="str">
            <v>OS</v>
          </cell>
          <cell r="N769" t="str">
            <v>OS</v>
          </cell>
          <cell r="O769" t="str">
            <v>OS</v>
          </cell>
          <cell r="P769" t="str">
            <v>OS</v>
          </cell>
          <cell r="Q769" t="str">
            <v>OS</v>
          </cell>
          <cell r="R769" t="str">
            <v>OS</v>
          </cell>
          <cell r="S769" t="str">
            <v>OS</v>
          </cell>
          <cell r="T769" t="str">
            <v>OS</v>
          </cell>
          <cell r="U769" t="str">
            <v>OS</v>
          </cell>
          <cell r="V769" t="str">
            <v>OS</v>
          </cell>
          <cell r="W769" t="str">
            <v>OS</v>
          </cell>
          <cell r="X769" t="str">
            <v>OS</v>
          </cell>
          <cell r="Y769" t="str">
            <v>OS</v>
          </cell>
          <cell r="Z769" t="str">
            <v>OS</v>
          </cell>
          <cell r="AA769" t="str">
            <v>OS</v>
          </cell>
          <cell r="AB769" t="str">
            <v>OS</v>
          </cell>
          <cell r="AC769" t="str">
            <v>OS</v>
          </cell>
          <cell r="AD769" t="str">
            <v>AGM-01-037-003</v>
          </cell>
          <cell r="AE769" t="str">
            <v xml:space="preserve">Raemulan Lands, Inc. </v>
          </cell>
          <cell r="AF769" t="str">
            <v>Agapeya</v>
          </cell>
          <cell r="AG769" t="str">
            <v>AGM</v>
          </cell>
          <cell r="AH769" t="str">
            <v>Eco-High</v>
          </cell>
          <cell r="AI769" t="str">
            <v>West</v>
          </cell>
          <cell r="AJ769" t="str">
            <v>Without LTS</v>
          </cell>
          <cell r="AK769" t="str">
            <v>Unaffected lots</v>
          </cell>
          <cell r="AL769" t="str">
            <v>Unaffected lots</v>
          </cell>
          <cell r="AM769" t="b">
            <v>0</v>
          </cell>
          <cell r="AN769" t="str">
            <v>NO</v>
          </cell>
          <cell r="AO769" t="str">
            <v>B5 2025</v>
          </cell>
          <cell r="AP769">
            <v>110</v>
          </cell>
          <cell r="AQ769" t="str">
            <v>PCS-04-034695</v>
          </cell>
          <cell r="AR769" t="b">
            <v>1</v>
          </cell>
          <cell r="AS769" t="str">
            <v>Done</v>
          </cell>
          <cell r="AT769" t="str">
            <v>2025 - Batch 4</v>
          </cell>
          <cell r="AU769">
            <v>37</v>
          </cell>
          <cell r="AV769">
            <v>3</v>
          </cell>
          <cell r="AW769" t="str">
            <v>H+L</v>
          </cell>
          <cell r="AX769">
            <v>110</v>
          </cell>
          <cell r="AY769">
            <v>50</v>
          </cell>
          <cell r="AZ769" t="str">
            <v>Duplex</v>
          </cell>
          <cell r="BA769">
            <v>1</v>
          </cell>
          <cell r="BB769" t="str">
            <v>568 - Without Partition</v>
          </cell>
          <cell r="BC769" t="str">
            <v xml:space="preserve">Without Partition </v>
          </cell>
          <cell r="BD769" t="str">
            <v>Slant</v>
          </cell>
          <cell r="BE769" t="str">
            <v xml:space="preserve">Without Partition </v>
          </cell>
          <cell r="BF769" t="str">
            <v>PURPLE</v>
          </cell>
          <cell r="BG769">
            <v>2500000</v>
          </cell>
          <cell r="BH769">
            <v>3250000</v>
          </cell>
          <cell r="BI769">
            <v>100000</v>
          </cell>
          <cell r="BJ769">
            <v>3150000</v>
          </cell>
          <cell r="BK769">
            <v>0</v>
          </cell>
          <cell r="BL769">
            <v>3150000</v>
          </cell>
        </row>
        <row r="770">
          <cell r="D770" t="str">
            <v>OS</v>
          </cell>
          <cell r="E770"/>
          <cell r="F770">
            <v>750</v>
          </cell>
          <cell r="G770" t="str">
            <v>CLOSED</v>
          </cell>
          <cell r="H770" t="str">
            <v>OPEN</v>
          </cell>
          <cell r="I770" t="str">
            <v>OPEN</v>
          </cell>
          <cell r="J770" t="str">
            <v>OPEN</v>
          </cell>
          <cell r="K770" t="str">
            <v>OPEN</v>
          </cell>
          <cell r="L770" t="str">
            <v>OPEN</v>
          </cell>
          <cell r="M770" t="str">
            <v>OPEN</v>
          </cell>
          <cell r="N770" t="str">
            <v>WITH BRN</v>
          </cell>
          <cell r="O770" t="str">
            <v>TS</v>
          </cell>
          <cell r="P770" t="str">
            <v>TS</v>
          </cell>
          <cell r="Q770" t="str">
            <v>TS</v>
          </cell>
          <cell r="R770" t="str">
            <v>TS</v>
          </cell>
          <cell r="S770" t="str">
            <v>TS</v>
          </cell>
          <cell r="T770" t="str">
            <v>TS</v>
          </cell>
          <cell r="U770" t="str">
            <v>OS</v>
          </cell>
          <cell r="V770" t="str">
            <v>OS</v>
          </cell>
          <cell r="W770" t="str">
            <v>OS</v>
          </cell>
          <cell r="X770" t="str">
            <v>OS</v>
          </cell>
          <cell r="Y770" t="str">
            <v>OS</v>
          </cell>
          <cell r="Z770" t="str">
            <v>OS</v>
          </cell>
          <cell r="AA770" t="str">
            <v>OS</v>
          </cell>
          <cell r="AB770" t="str">
            <v>OS</v>
          </cell>
          <cell r="AC770" t="str">
            <v>OS</v>
          </cell>
          <cell r="AD770" t="str">
            <v>AGM-01-037-004</v>
          </cell>
          <cell r="AE770" t="str">
            <v xml:space="preserve">Raemulan Lands, Inc. </v>
          </cell>
          <cell r="AF770" t="str">
            <v>Agapeya</v>
          </cell>
          <cell r="AG770" t="str">
            <v>AGM</v>
          </cell>
          <cell r="AH770" t="str">
            <v>Eco-High</v>
          </cell>
          <cell r="AI770" t="str">
            <v>West</v>
          </cell>
          <cell r="AJ770" t="str">
            <v>Without LTS</v>
          </cell>
          <cell r="AK770" t="str">
            <v>Unaffected lots</v>
          </cell>
          <cell r="AL770" t="str">
            <v>NA</v>
          </cell>
          <cell r="AM770" t="b">
            <v>0</v>
          </cell>
          <cell r="AN770" t="str">
            <v>NO</v>
          </cell>
          <cell r="AO770" t="str">
            <v>B5 2025</v>
          </cell>
          <cell r="AP770">
            <v>100</v>
          </cell>
          <cell r="AQ770" t="str">
            <v>PCS-04-034695</v>
          </cell>
          <cell r="AR770" t="b">
            <v>1</v>
          </cell>
          <cell r="AS770" t="str">
            <v>Done</v>
          </cell>
          <cell r="AT770" t="str">
            <v>2025 - Batch 4</v>
          </cell>
          <cell r="AU770">
            <v>37</v>
          </cell>
          <cell r="AV770">
            <v>4</v>
          </cell>
          <cell r="AW770" t="str">
            <v>H+L</v>
          </cell>
          <cell r="AX770">
            <v>100</v>
          </cell>
          <cell r="AY770">
            <v>50</v>
          </cell>
          <cell r="AZ770" t="str">
            <v>Duplex</v>
          </cell>
          <cell r="BA770">
            <v>1</v>
          </cell>
          <cell r="BB770" t="str">
            <v>568 - Without Partition</v>
          </cell>
          <cell r="BC770" t="str">
            <v xml:space="preserve">Without Partition </v>
          </cell>
          <cell r="BD770" t="str">
            <v>Flat</v>
          </cell>
          <cell r="BE770" t="str">
            <v xml:space="preserve">Without Partition </v>
          </cell>
          <cell r="BF770" t="str">
            <v>PURPLE</v>
          </cell>
          <cell r="BG770">
            <v>2500000</v>
          </cell>
          <cell r="BH770">
            <v>3100000</v>
          </cell>
          <cell r="BI770">
            <v>100000</v>
          </cell>
          <cell r="BJ770">
            <v>3000000</v>
          </cell>
          <cell r="BK770">
            <v>0</v>
          </cell>
          <cell r="BL770">
            <v>3000000</v>
          </cell>
        </row>
        <row r="771">
          <cell r="D771" t="str">
            <v>OS</v>
          </cell>
          <cell r="E771"/>
          <cell r="F771">
            <v>751</v>
          </cell>
          <cell r="G771" t="str">
            <v>UNSOLD</v>
          </cell>
          <cell r="H771" t="str">
            <v>OS</v>
          </cell>
          <cell r="I771" t="str">
            <v>OS</v>
          </cell>
          <cell r="J771" t="str">
            <v>OS</v>
          </cell>
          <cell r="K771" t="str">
            <v>OS</v>
          </cell>
          <cell r="L771" t="str">
            <v>OS</v>
          </cell>
          <cell r="M771" t="str">
            <v>OS</v>
          </cell>
          <cell r="N771" t="str">
            <v>OS</v>
          </cell>
          <cell r="O771" t="str">
            <v>OS</v>
          </cell>
          <cell r="P771" t="str">
            <v>OS</v>
          </cell>
          <cell r="Q771" t="str">
            <v>OS</v>
          </cell>
          <cell r="R771" t="str">
            <v>OS</v>
          </cell>
          <cell r="S771" t="str">
            <v>OS</v>
          </cell>
          <cell r="T771" t="str">
            <v>OS</v>
          </cell>
          <cell r="U771" t="str">
            <v>OS</v>
          </cell>
          <cell r="V771" t="str">
            <v>OS</v>
          </cell>
          <cell r="W771" t="str">
            <v>OS</v>
          </cell>
          <cell r="X771" t="str">
            <v>OS</v>
          </cell>
          <cell r="Y771" t="str">
            <v>OS</v>
          </cell>
          <cell r="Z771" t="str">
            <v>OS</v>
          </cell>
          <cell r="AA771" t="str">
            <v>OS</v>
          </cell>
          <cell r="AB771" t="str">
            <v>OS</v>
          </cell>
          <cell r="AC771" t="str">
            <v>OS</v>
          </cell>
          <cell r="AD771" t="str">
            <v>AGM-01-038-001</v>
          </cell>
          <cell r="AE771" t="str">
            <v xml:space="preserve">Raemulan Lands, Inc. </v>
          </cell>
          <cell r="AF771" t="str">
            <v>Agapeya</v>
          </cell>
          <cell r="AG771" t="str">
            <v>AGM</v>
          </cell>
          <cell r="AH771" t="str">
            <v>Eco-High</v>
          </cell>
          <cell r="AI771" t="str">
            <v>West</v>
          </cell>
          <cell r="AJ771" t="str">
            <v>With LTS</v>
          </cell>
          <cell r="AK771" t="str">
            <v>Unaffected lots</v>
          </cell>
          <cell r="AL771" t="str">
            <v>Unaffected lots</v>
          </cell>
          <cell r="AM771" t="b">
            <v>1</v>
          </cell>
          <cell r="AN771" t="str">
            <v>YES</v>
          </cell>
          <cell r="AO771" t="str">
            <v>2024 Batch</v>
          </cell>
          <cell r="AP771">
            <v>70</v>
          </cell>
          <cell r="AQ771" t="str">
            <v>PCS-04-034298</v>
          </cell>
          <cell r="AR771" t="b">
            <v>1</v>
          </cell>
          <cell r="AS771" t="str">
            <v>Done</v>
          </cell>
          <cell r="AT771" t="str">
            <v>2024 Batch</v>
          </cell>
          <cell r="AU771">
            <v>38</v>
          </cell>
          <cell r="AV771">
            <v>1</v>
          </cell>
          <cell r="AW771" t="str">
            <v>H+L</v>
          </cell>
          <cell r="AX771">
            <v>70</v>
          </cell>
          <cell r="AY771">
            <v>50</v>
          </cell>
          <cell r="AZ771" t="str">
            <v>Duplex</v>
          </cell>
          <cell r="BA771">
            <v>1</v>
          </cell>
          <cell r="BB771" t="str">
            <v>326 - With Partition</v>
          </cell>
          <cell r="BC771" t="str">
            <v xml:space="preserve">Without Partition </v>
          </cell>
          <cell r="BD771" t="str">
            <v>Flat</v>
          </cell>
          <cell r="BE771" t="str">
            <v xml:space="preserve">Without Partition </v>
          </cell>
          <cell r="BF771" t="str">
            <v>YELLOW</v>
          </cell>
          <cell r="BG771">
            <v>2500000</v>
          </cell>
          <cell r="BH771">
            <v>2650000</v>
          </cell>
          <cell r="BI771">
            <v>100000</v>
          </cell>
          <cell r="BJ771">
            <v>2550000</v>
          </cell>
          <cell r="BK771">
            <v>0</v>
          </cell>
          <cell r="BL771">
            <v>2550000</v>
          </cell>
        </row>
        <row r="772">
          <cell r="D772" t="str">
            <v>OS</v>
          </cell>
          <cell r="E772"/>
          <cell r="F772">
            <v>752</v>
          </cell>
          <cell r="G772" t="str">
            <v>SOLD</v>
          </cell>
          <cell r="H772" t="str">
            <v>OS</v>
          </cell>
          <cell r="I772" t="str">
            <v>OS</v>
          </cell>
          <cell r="J772" t="str">
            <v>OS</v>
          </cell>
          <cell r="K772" t="str">
            <v>OS</v>
          </cell>
          <cell r="L772" t="str">
            <v>OS</v>
          </cell>
          <cell r="M772" t="str">
            <v>OS</v>
          </cell>
          <cell r="N772" t="str">
            <v>OS</v>
          </cell>
          <cell r="O772" t="str">
            <v>OS</v>
          </cell>
          <cell r="P772" t="str">
            <v>OS</v>
          </cell>
          <cell r="Q772" t="str">
            <v>OS</v>
          </cell>
          <cell r="R772" t="str">
            <v>OS</v>
          </cell>
          <cell r="S772" t="str">
            <v>OS</v>
          </cell>
          <cell r="T772" t="str">
            <v>OS</v>
          </cell>
          <cell r="U772" t="str">
            <v>OS</v>
          </cell>
          <cell r="V772" t="str">
            <v>OS</v>
          </cell>
          <cell r="W772" t="str">
            <v>OS</v>
          </cell>
          <cell r="X772" t="str">
            <v>OS</v>
          </cell>
          <cell r="Y772" t="str">
            <v>OS</v>
          </cell>
          <cell r="Z772" t="str">
            <v>OS</v>
          </cell>
          <cell r="AA772" t="str">
            <v>OS</v>
          </cell>
          <cell r="AB772" t="str">
            <v>OS</v>
          </cell>
          <cell r="AC772" t="str">
            <v>OS</v>
          </cell>
          <cell r="AD772" t="str">
            <v>AGM-01-038-002</v>
          </cell>
          <cell r="AE772" t="str">
            <v xml:space="preserve">Raemulan Lands, Inc. </v>
          </cell>
          <cell r="AF772" t="str">
            <v>Agapeya</v>
          </cell>
          <cell r="AG772" t="str">
            <v>AGM</v>
          </cell>
          <cell r="AH772" t="str">
            <v>Eco-High</v>
          </cell>
          <cell r="AI772" t="str">
            <v>West</v>
          </cell>
          <cell r="AJ772" t="str">
            <v>With LTS</v>
          </cell>
          <cell r="AK772" t="str">
            <v>Unaffected lots</v>
          </cell>
          <cell r="AL772" t="str">
            <v>Unaffected lots</v>
          </cell>
          <cell r="AM772" t="b">
            <v>1</v>
          </cell>
          <cell r="AN772" t="str">
            <v>YES</v>
          </cell>
          <cell r="AO772" t="str">
            <v>2024 Batch</v>
          </cell>
          <cell r="AP772">
            <v>70</v>
          </cell>
          <cell r="AQ772" t="str">
            <v>PCS-04-034298</v>
          </cell>
          <cell r="AR772" t="b">
            <v>1</v>
          </cell>
          <cell r="AS772" t="str">
            <v>Done</v>
          </cell>
          <cell r="AT772" t="str">
            <v>2024 Batch</v>
          </cell>
          <cell r="AU772">
            <v>38</v>
          </cell>
          <cell r="AV772">
            <v>2</v>
          </cell>
          <cell r="AW772" t="str">
            <v>H+L</v>
          </cell>
          <cell r="AX772">
            <v>70</v>
          </cell>
          <cell r="AY772">
            <v>50</v>
          </cell>
          <cell r="AZ772" t="str">
            <v>Duplex</v>
          </cell>
          <cell r="BA772">
            <v>1</v>
          </cell>
          <cell r="BB772" t="str">
            <v>326 - With Partition</v>
          </cell>
          <cell r="BC772" t="str">
            <v>With Partition</v>
          </cell>
          <cell r="BD772" t="str">
            <v>Slant</v>
          </cell>
          <cell r="BE772" t="str">
            <v>With Partition</v>
          </cell>
          <cell r="BF772" t="str">
            <v>YELLOW</v>
          </cell>
          <cell r="BG772">
            <v>2707500</v>
          </cell>
          <cell r="BH772">
            <v>2850000</v>
          </cell>
          <cell r="BI772">
            <v>100000</v>
          </cell>
          <cell r="BJ772">
            <v>2750000</v>
          </cell>
          <cell r="BK772">
            <v>0</v>
          </cell>
          <cell r="BL772">
            <v>2750000</v>
          </cell>
        </row>
        <row r="773">
          <cell r="D773" t="str">
            <v>OS</v>
          </cell>
          <cell r="E773"/>
          <cell r="F773">
            <v>753</v>
          </cell>
          <cell r="G773" t="str">
            <v>SOLD</v>
          </cell>
          <cell r="H773" t="str">
            <v>OS</v>
          </cell>
          <cell r="I773" t="str">
            <v>OS</v>
          </cell>
          <cell r="J773" t="str">
            <v>OS</v>
          </cell>
          <cell r="K773" t="str">
            <v>OS</v>
          </cell>
          <cell r="L773" t="str">
            <v>OS</v>
          </cell>
          <cell r="M773" t="str">
            <v>OS</v>
          </cell>
          <cell r="N773" t="str">
            <v>OS</v>
          </cell>
          <cell r="O773" t="str">
            <v>OS</v>
          </cell>
          <cell r="P773" t="str">
            <v>OS</v>
          </cell>
          <cell r="Q773" t="str">
            <v>OS</v>
          </cell>
          <cell r="R773" t="str">
            <v>OS</v>
          </cell>
          <cell r="S773" t="str">
            <v>OS</v>
          </cell>
          <cell r="T773" t="str">
            <v>OS</v>
          </cell>
          <cell r="U773" t="str">
            <v>OS</v>
          </cell>
          <cell r="V773" t="str">
            <v>OS</v>
          </cell>
          <cell r="W773" t="str">
            <v>OS</v>
          </cell>
          <cell r="X773" t="str">
            <v>OS</v>
          </cell>
          <cell r="Y773" t="str">
            <v>OS</v>
          </cell>
          <cell r="Z773" t="str">
            <v>OS</v>
          </cell>
          <cell r="AA773" t="str">
            <v>OS</v>
          </cell>
          <cell r="AB773" t="str">
            <v>OS</v>
          </cell>
          <cell r="AC773" t="str">
            <v>OS</v>
          </cell>
          <cell r="AD773" t="str">
            <v>AGM-01-038-003</v>
          </cell>
          <cell r="AE773" t="str">
            <v xml:space="preserve">Raemulan Lands, Inc. </v>
          </cell>
          <cell r="AF773" t="str">
            <v>Agapeya</v>
          </cell>
          <cell r="AG773" t="str">
            <v>AGM</v>
          </cell>
          <cell r="AH773" t="str">
            <v>Eco-High</v>
          </cell>
          <cell r="AI773" t="str">
            <v>West</v>
          </cell>
          <cell r="AJ773" t="str">
            <v>With LTS</v>
          </cell>
          <cell r="AK773" t="str">
            <v>Unaffected lots</v>
          </cell>
          <cell r="AL773" t="str">
            <v>Unaffected lots</v>
          </cell>
          <cell r="AM773" t="b">
            <v>1</v>
          </cell>
          <cell r="AN773" t="str">
            <v>YES</v>
          </cell>
          <cell r="AO773" t="str">
            <v>B1 2025</v>
          </cell>
          <cell r="AP773">
            <v>70</v>
          </cell>
          <cell r="AQ773" t="str">
            <v>PCS-04-034298</v>
          </cell>
          <cell r="AR773" t="b">
            <v>1</v>
          </cell>
          <cell r="AS773" t="str">
            <v>Done</v>
          </cell>
          <cell r="AT773" t="str">
            <v>2025 - Batch 2</v>
          </cell>
          <cell r="AU773">
            <v>38</v>
          </cell>
          <cell r="AV773">
            <v>3</v>
          </cell>
          <cell r="AW773" t="str">
            <v>H+L</v>
          </cell>
          <cell r="AX773">
            <v>70</v>
          </cell>
          <cell r="AY773">
            <v>50</v>
          </cell>
          <cell r="AZ773" t="str">
            <v>Duplex</v>
          </cell>
          <cell r="BA773">
            <v>1</v>
          </cell>
          <cell r="BB773" t="str">
            <v>568 - Without Partition</v>
          </cell>
          <cell r="BC773" t="str">
            <v xml:space="preserve">Without Partition </v>
          </cell>
          <cell r="BD773" t="str">
            <v>Slant</v>
          </cell>
          <cell r="BE773" t="str">
            <v xml:space="preserve">Without Partition </v>
          </cell>
          <cell r="BF773" t="str">
            <v>PINK</v>
          </cell>
          <cell r="BG773">
            <v>2500000</v>
          </cell>
          <cell r="BH773">
            <v>2650000</v>
          </cell>
          <cell r="BI773">
            <v>100000</v>
          </cell>
          <cell r="BJ773">
            <v>2550000</v>
          </cell>
          <cell r="BK773">
            <v>0</v>
          </cell>
          <cell r="BL773">
            <v>2550000</v>
          </cell>
        </row>
        <row r="774">
          <cell r="D774" t="str">
            <v>OS</v>
          </cell>
          <cell r="E774"/>
          <cell r="F774">
            <v>754</v>
          </cell>
          <cell r="G774" t="str">
            <v>SOLD</v>
          </cell>
          <cell r="H774" t="str">
            <v>OS</v>
          </cell>
          <cell r="I774" t="str">
            <v>OS</v>
          </cell>
          <cell r="J774" t="str">
            <v>OS</v>
          </cell>
          <cell r="K774" t="str">
            <v>OS</v>
          </cell>
          <cell r="L774" t="str">
            <v>OS</v>
          </cell>
          <cell r="M774" t="str">
            <v>OS</v>
          </cell>
          <cell r="N774" t="str">
            <v>OS</v>
          </cell>
          <cell r="O774" t="str">
            <v>OS</v>
          </cell>
          <cell r="P774" t="str">
            <v>OS</v>
          </cell>
          <cell r="Q774" t="str">
            <v>OS</v>
          </cell>
          <cell r="R774" t="str">
            <v>OS</v>
          </cell>
          <cell r="S774" t="str">
            <v>OS</v>
          </cell>
          <cell r="T774" t="str">
            <v>OS</v>
          </cell>
          <cell r="U774" t="str">
            <v>OS</v>
          </cell>
          <cell r="V774" t="str">
            <v>OS</v>
          </cell>
          <cell r="W774" t="str">
            <v>OS</v>
          </cell>
          <cell r="X774" t="str">
            <v>OS</v>
          </cell>
          <cell r="Y774" t="str">
            <v>OS</v>
          </cell>
          <cell r="Z774" t="str">
            <v>OS</v>
          </cell>
          <cell r="AA774" t="str">
            <v>OS</v>
          </cell>
          <cell r="AB774" t="str">
            <v>OS</v>
          </cell>
          <cell r="AC774" t="str">
            <v>OS</v>
          </cell>
          <cell r="AD774" t="str">
            <v>AGM-01-038-004</v>
          </cell>
          <cell r="AE774" t="str">
            <v xml:space="preserve">Raemulan Lands, Inc. </v>
          </cell>
          <cell r="AF774" t="str">
            <v>Agapeya</v>
          </cell>
          <cell r="AG774" t="str">
            <v>AGM</v>
          </cell>
          <cell r="AH774" t="str">
            <v>Eco-High</v>
          </cell>
          <cell r="AI774" t="str">
            <v>West</v>
          </cell>
          <cell r="AJ774" t="str">
            <v>With LTS</v>
          </cell>
          <cell r="AK774" t="str">
            <v>Unaffected lots</v>
          </cell>
          <cell r="AL774" t="str">
            <v>Unaffected lots</v>
          </cell>
          <cell r="AM774" t="b">
            <v>1</v>
          </cell>
          <cell r="AN774" t="str">
            <v>YES</v>
          </cell>
          <cell r="AO774" t="str">
            <v>B1 2025</v>
          </cell>
          <cell r="AP774">
            <v>70</v>
          </cell>
          <cell r="AQ774" t="str">
            <v>PCS-04-034298</v>
          </cell>
          <cell r="AR774" t="b">
            <v>1</v>
          </cell>
          <cell r="AS774" t="str">
            <v>Done</v>
          </cell>
          <cell r="AT774" t="str">
            <v>2025 - Batch 2</v>
          </cell>
          <cell r="AU774">
            <v>38</v>
          </cell>
          <cell r="AV774">
            <v>4</v>
          </cell>
          <cell r="AW774" t="str">
            <v>H+L</v>
          </cell>
          <cell r="AX774">
            <v>70</v>
          </cell>
          <cell r="AY774">
            <v>50</v>
          </cell>
          <cell r="AZ774" t="str">
            <v>Duplex</v>
          </cell>
          <cell r="BA774">
            <v>1</v>
          </cell>
          <cell r="BB774" t="str">
            <v>568 - Without Partition</v>
          </cell>
          <cell r="BC774" t="str">
            <v xml:space="preserve">Without Partition </v>
          </cell>
          <cell r="BD774" t="str">
            <v>Flat</v>
          </cell>
          <cell r="BE774" t="str">
            <v xml:space="preserve">Without Partition </v>
          </cell>
          <cell r="BF774" t="str">
            <v>PINK</v>
          </cell>
          <cell r="BG774">
            <v>2568688.7287804699</v>
          </cell>
          <cell r="BH774">
            <v>2650000</v>
          </cell>
          <cell r="BI774">
            <v>100000</v>
          </cell>
          <cell r="BJ774">
            <v>2550000</v>
          </cell>
          <cell r="BK774">
            <v>0</v>
          </cell>
          <cell r="BL774">
            <v>2550000</v>
          </cell>
        </row>
        <row r="775">
          <cell r="D775" t="str">
            <v>OS</v>
          </cell>
          <cell r="E775"/>
          <cell r="F775">
            <v>755</v>
          </cell>
          <cell r="G775" t="str">
            <v>SOLD</v>
          </cell>
          <cell r="H775" t="str">
            <v>OS</v>
          </cell>
          <cell r="I775" t="str">
            <v>OS</v>
          </cell>
          <cell r="J775" t="str">
            <v>OS</v>
          </cell>
          <cell r="K775" t="str">
            <v>OS</v>
          </cell>
          <cell r="L775" t="str">
            <v>OS</v>
          </cell>
          <cell r="M775" t="str">
            <v>OS</v>
          </cell>
          <cell r="N775" t="str">
            <v>OS</v>
          </cell>
          <cell r="O775" t="str">
            <v>OS</v>
          </cell>
          <cell r="P775" t="str">
            <v>OS</v>
          </cell>
          <cell r="Q775" t="str">
            <v>OS</v>
          </cell>
          <cell r="R775" t="str">
            <v>OS</v>
          </cell>
          <cell r="S775" t="str">
            <v>OS</v>
          </cell>
          <cell r="T775" t="str">
            <v>OS</v>
          </cell>
          <cell r="U775" t="str">
            <v>OS</v>
          </cell>
          <cell r="V775" t="str">
            <v>OS</v>
          </cell>
          <cell r="W775" t="str">
            <v>OS</v>
          </cell>
          <cell r="X775" t="str">
            <v>OS</v>
          </cell>
          <cell r="Y775" t="str">
            <v>OS</v>
          </cell>
          <cell r="Z775" t="str">
            <v>OS</v>
          </cell>
          <cell r="AA775" t="str">
            <v>OS</v>
          </cell>
          <cell r="AB775" t="str">
            <v>OS</v>
          </cell>
          <cell r="AC775" t="str">
            <v>OS</v>
          </cell>
          <cell r="AD775" t="str">
            <v>AGM-01-038-005</v>
          </cell>
          <cell r="AE775" t="str">
            <v xml:space="preserve">Raemulan Lands, Inc. </v>
          </cell>
          <cell r="AF775" t="str">
            <v>Agapeya</v>
          </cell>
          <cell r="AG775" t="str">
            <v>AGM</v>
          </cell>
          <cell r="AH775" t="str">
            <v>Eco-High</v>
          </cell>
          <cell r="AI775" t="str">
            <v>West</v>
          </cell>
          <cell r="AJ775" t="str">
            <v>With LTS</v>
          </cell>
          <cell r="AK775" t="str">
            <v>Unaffected lots</v>
          </cell>
          <cell r="AL775" t="str">
            <v>Unaffected lots</v>
          </cell>
          <cell r="AM775" t="b">
            <v>1</v>
          </cell>
          <cell r="AN775" t="str">
            <v>YES</v>
          </cell>
          <cell r="AO775" t="str">
            <v>B1 2025</v>
          </cell>
          <cell r="AP775">
            <v>70</v>
          </cell>
          <cell r="AQ775" t="str">
            <v>PCS-04-034298</v>
          </cell>
          <cell r="AR775" t="b">
            <v>1</v>
          </cell>
          <cell r="AS775" t="str">
            <v>Done</v>
          </cell>
          <cell r="AT775" t="str">
            <v>2025 - Batch 2</v>
          </cell>
          <cell r="AU775">
            <v>38</v>
          </cell>
          <cell r="AV775">
            <v>5</v>
          </cell>
          <cell r="AW775" t="str">
            <v>H+L</v>
          </cell>
          <cell r="AX775">
            <v>70</v>
          </cell>
          <cell r="AY775">
            <v>50</v>
          </cell>
          <cell r="AZ775" t="str">
            <v>Duplex</v>
          </cell>
          <cell r="BA775">
            <v>1</v>
          </cell>
          <cell r="BB775" t="str">
            <v>568 - Without Partition</v>
          </cell>
          <cell r="BC775" t="str">
            <v xml:space="preserve">Without Partition </v>
          </cell>
          <cell r="BD775" t="str">
            <v>Slant</v>
          </cell>
          <cell r="BE775" t="str">
            <v xml:space="preserve">Without Partition </v>
          </cell>
          <cell r="BF775" t="str">
            <v>PINK</v>
          </cell>
          <cell r="BG775">
            <v>2500000</v>
          </cell>
          <cell r="BH775">
            <v>2650000</v>
          </cell>
          <cell r="BI775">
            <v>100000</v>
          </cell>
          <cell r="BJ775">
            <v>2550000</v>
          </cell>
          <cell r="BK775">
            <v>0</v>
          </cell>
          <cell r="BL775">
            <v>2550000</v>
          </cell>
        </row>
        <row r="776">
          <cell r="D776" t="str">
            <v>OS</v>
          </cell>
          <cell r="E776"/>
          <cell r="F776">
            <v>756</v>
          </cell>
          <cell r="G776" t="str">
            <v>UNSOLD</v>
          </cell>
          <cell r="H776" t="str">
            <v>OPEN</v>
          </cell>
          <cell r="I776" t="str">
            <v>WITH BRN</v>
          </cell>
          <cell r="J776" t="str">
            <v>TS</v>
          </cell>
          <cell r="K776" t="str">
            <v>TS</v>
          </cell>
          <cell r="L776" t="str">
            <v>TS</v>
          </cell>
          <cell r="M776" t="str">
            <v>TS</v>
          </cell>
          <cell r="N776" t="str">
            <v>TS</v>
          </cell>
          <cell r="O776" t="str">
            <v>TS</v>
          </cell>
          <cell r="P776" t="str">
            <v>OS</v>
          </cell>
          <cell r="Q776" t="str">
            <v>OS</v>
          </cell>
          <cell r="R776" t="str">
            <v>OS</v>
          </cell>
          <cell r="S776" t="str">
            <v>OS</v>
          </cell>
          <cell r="T776" t="str">
            <v>OS</v>
          </cell>
          <cell r="U776" t="str">
            <v>OS</v>
          </cell>
          <cell r="V776" t="str">
            <v>OS</v>
          </cell>
          <cell r="W776" t="str">
            <v>OS</v>
          </cell>
          <cell r="X776" t="str">
            <v>OS</v>
          </cell>
          <cell r="Y776" t="str">
            <v>OS</v>
          </cell>
          <cell r="Z776" t="str">
            <v>OS</v>
          </cell>
          <cell r="AA776" t="str">
            <v>OS</v>
          </cell>
          <cell r="AB776" t="str">
            <v>OS</v>
          </cell>
          <cell r="AC776" t="str">
            <v>OS</v>
          </cell>
          <cell r="AD776" t="str">
            <v>AGM-01-038-006</v>
          </cell>
          <cell r="AE776" t="str">
            <v xml:space="preserve">Raemulan Lands, Inc. </v>
          </cell>
          <cell r="AF776" t="str">
            <v>Agapeya</v>
          </cell>
          <cell r="AG776" t="str">
            <v>AGM</v>
          </cell>
          <cell r="AH776" t="str">
            <v>Eco-High</v>
          </cell>
          <cell r="AI776" t="str">
            <v>West</v>
          </cell>
          <cell r="AJ776" t="str">
            <v>With LTS</v>
          </cell>
          <cell r="AK776" t="str">
            <v>Unaffected lots</v>
          </cell>
          <cell r="AL776" t="str">
            <v>Unaffected lots</v>
          </cell>
          <cell r="AM776" t="b">
            <v>1</v>
          </cell>
          <cell r="AN776" t="str">
            <v>YES</v>
          </cell>
          <cell r="AO776" t="str">
            <v>B1 2025</v>
          </cell>
          <cell r="AP776">
            <v>89</v>
          </cell>
          <cell r="AQ776" t="str">
            <v>PCS-04-034298</v>
          </cell>
          <cell r="AR776" t="b">
            <v>1</v>
          </cell>
          <cell r="AS776" t="str">
            <v>Done</v>
          </cell>
          <cell r="AT776" t="str">
            <v>2025 - Batch 2</v>
          </cell>
          <cell r="AU776">
            <v>38</v>
          </cell>
          <cell r="AV776">
            <v>6</v>
          </cell>
          <cell r="AW776" t="str">
            <v>H+L</v>
          </cell>
          <cell r="AX776">
            <v>89</v>
          </cell>
          <cell r="AY776">
            <v>50</v>
          </cell>
          <cell r="AZ776" t="str">
            <v>Duplex</v>
          </cell>
          <cell r="BA776">
            <v>1</v>
          </cell>
          <cell r="BB776" t="str">
            <v>568 - Without Partition</v>
          </cell>
          <cell r="BC776" t="str">
            <v xml:space="preserve">Without Partition </v>
          </cell>
          <cell r="BD776" t="str">
            <v>Flat</v>
          </cell>
          <cell r="BE776" t="str">
            <v xml:space="preserve">Without Partition </v>
          </cell>
          <cell r="BF776" t="str">
            <v>PINK</v>
          </cell>
          <cell r="BG776">
            <v>2568688.7287804699</v>
          </cell>
          <cell r="BH776">
            <v>2935000</v>
          </cell>
          <cell r="BI776">
            <v>100000</v>
          </cell>
          <cell r="BJ776">
            <v>2835000</v>
          </cell>
          <cell r="BK776">
            <v>0</v>
          </cell>
          <cell r="BL776">
            <v>2835000</v>
          </cell>
        </row>
        <row r="777">
          <cell r="D777" t="str">
            <v>OS</v>
          </cell>
          <cell r="E777"/>
          <cell r="F777">
            <v>757</v>
          </cell>
          <cell r="G777" t="str">
            <v>UNSOLD</v>
          </cell>
          <cell r="H777" t="str">
            <v>OS</v>
          </cell>
          <cell r="I777" t="str">
            <v>OS</v>
          </cell>
          <cell r="J777" t="str">
            <v>OS</v>
          </cell>
          <cell r="K777" t="str">
            <v>OS</v>
          </cell>
          <cell r="L777" t="str">
            <v>OS</v>
          </cell>
          <cell r="M777" t="str">
            <v>OS</v>
          </cell>
          <cell r="N777" t="str">
            <v>OS</v>
          </cell>
          <cell r="O777" t="str">
            <v>OS</v>
          </cell>
          <cell r="P777" t="str">
            <v>OS</v>
          </cell>
          <cell r="Q777" t="str">
            <v>OS</v>
          </cell>
          <cell r="R777" t="str">
            <v>OS</v>
          </cell>
          <cell r="S777" t="str">
            <v>OS</v>
          </cell>
          <cell r="T777" t="str">
            <v>OS</v>
          </cell>
          <cell r="U777" t="str">
            <v>OS</v>
          </cell>
          <cell r="V777" t="str">
            <v>OS</v>
          </cell>
          <cell r="W777" t="str">
            <v>OS</v>
          </cell>
          <cell r="X777" t="str">
            <v>OS</v>
          </cell>
          <cell r="Y777" t="str">
            <v>OS</v>
          </cell>
          <cell r="Z777" t="str">
            <v>OS</v>
          </cell>
          <cell r="AA777" t="str">
            <v>OS</v>
          </cell>
          <cell r="AB777" t="str">
            <v>OS</v>
          </cell>
          <cell r="AC777" t="str">
            <v>OS</v>
          </cell>
          <cell r="AD777" t="str">
            <v>AGM-01-038-007</v>
          </cell>
          <cell r="AE777" t="str">
            <v xml:space="preserve">Raemulan Lands, Inc. </v>
          </cell>
          <cell r="AF777" t="str">
            <v>Agapeya</v>
          </cell>
          <cell r="AG777" t="str">
            <v>AGM</v>
          </cell>
          <cell r="AH777" t="str">
            <v>Eco-High</v>
          </cell>
          <cell r="AI777" t="str">
            <v>West</v>
          </cell>
          <cell r="AJ777" t="str">
            <v>With LTS</v>
          </cell>
          <cell r="AK777" t="str">
            <v>Unaffected lots</v>
          </cell>
          <cell r="AL777" t="str">
            <v>Unaffected lots</v>
          </cell>
          <cell r="AM777" t="b">
            <v>1</v>
          </cell>
          <cell r="AN777" t="str">
            <v>YES</v>
          </cell>
          <cell r="AO777" t="str">
            <v>B1 2025</v>
          </cell>
          <cell r="AP777">
            <v>88</v>
          </cell>
          <cell r="AQ777" t="str">
            <v>PCS-04-034298</v>
          </cell>
          <cell r="AR777" t="b">
            <v>1</v>
          </cell>
          <cell r="AS777" t="str">
            <v>Done</v>
          </cell>
          <cell r="AT777" t="str">
            <v>2025 - Batch 2</v>
          </cell>
          <cell r="AU777">
            <v>38</v>
          </cell>
          <cell r="AV777">
            <v>7</v>
          </cell>
          <cell r="AW777" t="str">
            <v>H+L</v>
          </cell>
          <cell r="AX777">
            <v>88</v>
          </cell>
          <cell r="AY777">
            <v>50</v>
          </cell>
          <cell r="AZ777" t="str">
            <v>Duplex</v>
          </cell>
          <cell r="BA777">
            <v>1</v>
          </cell>
          <cell r="BB777" t="str">
            <v>568 - Without Partition</v>
          </cell>
          <cell r="BC777" t="str">
            <v xml:space="preserve">Without Partition </v>
          </cell>
          <cell r="BD777" t="str">
            <v>Slant</v>
          </cell>
          <cell r="BE777" t="str">
            <v xml:space="preserve">Without Partition </v>
          </cell>
          <cell r="BF777" t="str">
            <v>YELLOW</v>
          </cell>
          <cell r="BG777">
            <v>2568688.7287804699</v>
          </cell>
          <cell r="BH777">
            <v>2920000</v>
          </cell>
          <cell r="BI777">
            <v>100000</v>
          </cell>
          <cell r="BJ777">
            <v>2820000</v>
          </cell>
          <cell r="BK777">
            <v>0</v>
          </cell>
          <cell r="BL777">
            <v>2820000</v>
          </cell>
        </row>
        <row r="778">
          <cell r="D778" t="str">
            <v>OS</v>
          </cell>
          <cell r="E778"/>
          <cell r="F778">
            <v>758</v>
          </cell>
          <cell r="G778" t="str">
            <v>SOLD</v>
          </cell>
          <cell r="H778" t="str">
            <v>OS</v>
          </cell>
          <cell r="I778" t="str">
            <v>OS</v>
          </cell>
          <cell r="J778" t="str">
            <v>OS</v>
          </cell>
          <cell r="K778" t="str">
            <v>OS</v>
          </cell>
          <cell r="L778" t="str">
            <v>OS</v>
          </cell>
          <cell r="M778" t="str">
            <v>OS</v>
          </cell>
          <cell r="N778" t="str">
            <v>OS</v>
          </cell>
          <cell r="O778" t="str">
            <v>OS</v>
          </cell>
          <cell r="P778" t="str">
            <v>OS</v>
          </cell>
          <cell r="Q778" t="str">
            <v>OS</v>
          </cell>
          <cell r="R778" t="str">
            <v>OS</v>
          </cell>
          <cell r="S778" t="str">
            <v>OS</v>
          </cell>
          <cell r="T778" t="str">
            <v>OS</v>
          </cell>
          <cell r="U778" t="str">
            <v>OS</v>
          </cell>
          <cell r="V778" t="str">
            <v>OS</v>
          </cell>
          <cell r="W778" t="str">
            <v>OS</v>
          </cell>
          <cell r="X778" t="str">
            <v>OS</v>
          </cell>
          <cell r="Y778" t="str">
            <v>OS</v>
          </cell>
          <cell r="Z778" t="str">
            <v>OS</v>
          </cell>
          <cell r="AA778" t="str">
            <v>OS</v>
          </cell>
          <cell r="AB778" t="str">
            <v>OS</v>
          </cell>
          <cell r="AC778" t="str">
            <v>OS</v>
          </cell>
          <cell r="AD778" t="str">
            <v>AGM-01-038-008</v>
          </cell>
          <cell r="AE778" t="str">
            <v xml:space="preserve">Raemulan Lands, Inc. </v>
          </cell>
          <cell r="AF778" t="str">
            <v>Agapeya</v>
          </cell>
          <cell r="AG778" t="str">
            <v>AGM</v>
          </cell>
          <cell r="AH778" t="str">
            <v>Eco-High</v>
          </cell>
          <cell r="AI778" t="str">
            <v>West</v>
          </cell>
          <cell r="AJ778" t="str">
            <v>With LTS</v>
          </cell>
          <cell r="AK778" t="str">
            <v>Unaffected lots</v>
          </cell>
          <cell r="AL778" t="str">
            <v>Unaffected lots</v>
          </cell>
          <cell r="AM778" t="b">
            <v>1</v>
          </cell>
          <cell r="AN778" t="str">
            <v>YES</v>
          </cell>
          <cell r="AO778" t="str">
            <v>B1 2025</v>
          </cell>
          <cell r="AP778">
            <v>70</v>
          </cell>
          <cell r="AQ778" t="str">
            <v>PCS-04-034298</v>
          </cell>
          <cell r="AR778" t="b">
            <v>1</v>
          </cell>
          <cell r="AS778" t="str">
            <v>Done</v>
          </cell>
          <cell r="AT778" t="str">
            <v>2025 - Batch 2</v>
          </cell>
          <cell r="AU778">
            <v>38</v>
          </cell>
          <cell r="AV778">
            <v>8</v>
          </cell>
          <cell r="AW778" t="str">
            <v>H+L</v>
          </cell>
          <cell r="AX778">
            <v>70</v>
          </cell>
          <cell r="AY778">
            <v>50</v>
          </cell>
          <cell r="AZ778" t="str">
            <v>Duplex</v>
          </cell>
          <cell r="BA778">
            <v>1</v>
          </cell>
          <cell r="BB778" t="str">
            <v>568 - Without Partition</v>
          </cell>
          <cell r="BC778" t="str">
            <v xml:space="preserve">Without Partition </v>
          </cell>
          <cell r="BD778" t="str">
            <v>Flat</v>
          </cell>
          <cell r="BE778" t="str">
            <v xml:space="preserve">Without Partition </v>
          </cell>
          <cell r="BF778" t="str">
            <v>YELLOW</v>
          </cell>
          <cell r="BG778">
            <v>2500000</v>
          </cell>
          <cell r="BH778">
            <v>2650000</v>
          </cell>
          <cell r="BI778">
            <v>100000</v>
          </cell>
          <cell r="BJ778">
            <v>2550000</v>
          </cell>
          <cell r="BK778">
            <v>0</v>
          </cell>
          <cell r="BL778">
            <v>2550000</v>
          </cell>
        </row>
        <row r="779">
          <cell r="D779" t="str">
            <v>TS</v>
          </cell>
          <cell r="E779"/>
          <cell r="F779">
            <v>759</v>
          </cell>
          <cell r="G779" t="str">
            <v>CLOSED</v>
          </cell>
          <cell r="H779" t="str">
            <v>HOLD</v>
          </cell>
          <cell r="I779" t="str">
            <v>HOLD</v>
          </cell>
          <cell r="J779" t="str">
            <v>HOLD</v>
          </cell>
          <cell r="K779" t="str">
            <v>HOLD</v>
          </cell>
          <cell r="L779" t="str">
            <v>HOLD</v>
          </cell>
          <cell r="M779" t="str">
            <v>HOLD BY CAD</v>
          </cell>
          <cell r="N779" t="str">
            <v>HOLD</v>
          </cell>
          <cell r="O779" t="str">
            <v>HOLD</v>
          </cell>
          <cell r="P779" t="str">
            <v>HOLD</v>
          </cell>
          <cell r="Q779" t="str">
            <v>HOLD</v>
          </cell>
          <cell r="R779" t="str">
            <v>HOLD</v>
          </cell>
          <cell r="S779" t="str">
            <v>OPEN</v>
          </cell>
          <cell r="T779" t="str">
            <v>HOLD</v>
          </cell>
          <cell r="U779" t="str">
            <v>OPEN</v>
          </cell>
          <cell r="V779" t="str">
            <v>OPEN</v>
          </cell>
          <cell r="W779" t="str">
            <v>OPEN</v>
          </cell>
          <cell r="X779" t="str">
            <v>OPEN</v>
          </cell>
          <cell r="Y779" t="str">
            <v>OPEN</v>
          </cell>
          <cell r="Z779" t="str">
            <v>TS</v>
          </cell>
          <cell r="AA779" t="str">
            <v>TS</v>
          </cell>
          <cell r="AB779" t="str">
            <v>OPEN</v>
          </cell>
          <cell r="AC779" t="str">
            <v>OPEN</v>
          </cell>
          <cell r="AD779" t="str">
            <v>AGM-01-038-009</v>
          </cell>
          <cell r="AE779" t="str">
            <v xml:space="preserve">Raemulan Lands, Inc. </v>
          </cell>
          <cell r="AF779" t="str">
            <v>Agapeya</v>
          </cell>
          <cell r="AG779" t="str">
            <v>AGM</v>
          </cell>
          <cell r="AH779" t="str">
            <v>Eco-High</v>
          </cell>
          <cell r="AI779" t="str">
            <v>West</v>
          </cell>
          <cell r="AJ779" t="str">
            <v>With LTS</v>
          </cell>
          <cell r="AK779" t="str">
            <v>Unaffected lots</v>
          </cell>
          <cell r="AL779" t="str">
            <v>Unaffected lots</v>
          </cell>
          <cell r="AM779" t="b">
            <v>1</v>
          </cell>
          <cell r="AN779" t="str">
            <v>YES</v>
          </cell>
          <cell r="AO779" t="str">
            <v>2024 Batch</v>
          </cell>
          <cell r="AP779">
            <v>70</v>
          </cell>
          <cell r="AQ779" t="str">
            <v>PCS-04-034298</v>
          </cell>
          <cell r="AR779" t="b">
            <v>1</v>
          </cell>
          <cell r="AS779" t="str">
            <v>Done</v>
          </cell>
          <cell r="AT779" t="str">
            <v>2024 Batch</v>
          </cell>
          <cell r="AU779">
            <v>38</v>
          </cell>
          <cell r="AV779">
            <v>9</v>
          </cell>
          <cell r="AW779" t="str">
            <v>H+L</v>
          </cell>
          <cell r="AX779">
            <v>70</v>
          </cell>
          <cell r="AY779">
            <v>50</v>
          </cell>
          <cell r="AZ779" t="str">
            <v>Duplex</v>
          </cell>
          <cell r="BA779">
            <v>1</v>
          </cell>
          <cell r="BB779" t="str">
            <v>326 - With Partition</v>
          </cell>
          <cell r="BC779" t="str">
            <v>With Partition</v>
          </cell>
          <cell r="BD779" t="str">
            <v>Flat</v>
          </cell>
          <cell r="BE779" t="str">
            <v>With Partition</v>
          </cell>
          <cell r="BF779" t="str">
            <v>YELLOW</v>
          </cell>
          <cell r="BG779">
            <v>2707500</v>
          </cell>
          <cell r="BH779">
            <v>2850000</v>
          </cell>
          <cell r="BI779">
            <v>100000</v>
          </cell>
          <cell r="BJ779">
            <v>2750000</v>
          </cell>
          <cell r="BK779">
            <v>0</v>
          </cell>
          <cell r="BL779">
            <v>2750000</v>
          </cell>
        </row>
        <row r="780">
          <cell r="D780" t="str">
            <v>OS</v>
          </cell>
          <cell r="E780"/>
          <cell r="F780">
            <v>760</v>
          </cell>
          <cell r="G780" t="str">
            <v>SOLD</v>
          </cell>
          <cell r="H780" t="str">
            <v>OS</v>
          </cell>
          <cell r="I780" t="str">
            <v>OS</v>
          </cell>
          <cell r="J780" t="str">
            <v>OS</v>
          </cell>
          <cell r="K780" t="str">
            <v>TS</v>
          </cell>
          <cell r="L780" t="str">
            <v>TS</v>
          </cell>
          <cell r="M780" t="str">
            <v>OS</v>
          </cell>
          <cell r="N780" t="str">
            <v>TS</v>
          </cell>
          <cell r="O780" t="str">
            <v>TS</v>
          </cell>
          <cell r="P780" t="str">
            <v>OS</v>
          </cell>
          <cell r="Q780" t="str">
            <v>OS</v>
          </cell>
          <cell r="R780" t="str">
            <v>OS</v>
          </cell>
          <cell r="S780" t="str">
            <v>OS</v>
          </cell>
          <cell r="T780" t="str">
            <v>OS</v>
          </cell>
          <cell r="U780" t="str">
            <v>OS</v>
          </cell>
          <cell r="V780" t="str">
            <v>OS</v>
          </cell>
          <cell r="W780" t="str">
            <v>OS</v>
          </cell>
          <cell r="X780" t="str">
            <v>OS</v>
          </cell>
          <cell r="Y780" t="str">
            <v>OS</v>
          </cell>
          <cell r="Z780" t="str">
            <v>OS</v>
          </cell>
          <cell r="AA780" t="str">
            <v>OS</v>
          </cell>
          <cell r="AB780" t="str">
            <v>OS</v>
          </cell>
          <cell r="AC780" t="str">
            <v>OS</v>
          </cell>
          <cell r="AD780" t="str">
            <v>AGM-01-038-010</v>
          </cell>
          <cell r="AE780" t="str">
            <v xml:space="preserve">Raemulan Lands, Inc. </v>
          </cell>
          <cell r="AF780" t="str">
            <v>Agapeya</v>
          </cell>
          <cell r="AG780" t="str">
            <v>AGM</v>
          </cell>
          <cell r="AH780" t="str">
            <v>Eco-High</v>
          </cell>
          <cell r="AI780" t="str">
            <v>West</v>
          </cell>
          <cell r="AJ780" t="str">
            <v>With LTS</v>
          </cell>
          <cell r="AK780" t="str">
            <v>Unaffected lots</v>
          </cell>
          <cell r="AL780" t="str">
            <v>Unaffected lots</v>
          </cell>
          <cell r="AM780" t="b">
            <v>1</v>
          </cell>
          <cell r="AN780" t="str">
            <v>YES</v>
          </cell>
          <cell r="AO780" t="str">
            <v>2024 Batch</v>
          </cell>
          <cell r="AP780">
            <v>70</v>
          </cell>
          <cell r="AQ780" t="str">
            <v>PCS-04-034298</v>
          </cell>
          <cell r="AR780" t="b">
            <v>1</v>
          </cell>
          <cell r="AS780" t="str">
            <v>Done</v>
          </cell>
          <cell r="AT780" t="str">
            <v>2024 Batch</v>
          </cell>
          <cell r="AU780">
            <v>38</v>
          </cell>
          <cell r="AV780">
            <v>10</v>
          </cell>
          <cell r="AW780" t="str">
            <v>H+L</v>
          </cell>
          <cell r="AX780">
            <v>70</v>
          </cell>
          <cell r="AY780">
            <v>50</v>
          </cell>
          <cell r="AZ780" t="str">
            <v>Duplex</v>
          </cell>
          <cell r="BA780">
            <v>1</v>
          </cell>
          <cell r="BB780" t="str">
            <v>326 - With Partition</v>
          </cell>
          <cell r="BC780" t="str">
            <v xml:space="preserve">Without Partition </v>
          </cell>
          <cell r="BD780" t="str">
            <v>Slant</v>
          </cell>
          <cell r="BE780" t="str">
            <v xml:space="preserve">Without Partition </v>
          </cell>
          <cell r="BF780" t="str">
            <v>YELLOW</v>
          </cell>
          <cell r="BG780">
            <v>2500000</v>
          </cell>
          <cell r="BH780">
            <v>2650000</v>
          </cell>
          <cell r="BI780">
            <v>100000</v>
          </cell>
          <cell r="BJ780">
            <v>2550000</v>
          </cell>
          <cell r="BK780">
            <v>0</v>
          </cell>
          <cell r="BL780">
            <v>2550000</v>
          </cell>
        </row>
        <row r="781">
          <cell r="D781" t="str">
            <v>OS</v>
          </cell>
          <cell r="E781"/>
          <cell r="F781">
            <v>761</v>
          </cell>
          <cell r="G781" t="str">
            <v>SOLD</v>
          </cell>
          <cell r="H781" t="str">
            <v>OS</v>
          </cell>
          <cell r="I781" t="str">
            <v>OS</v>
          </cell>
          <cell r="J781" t="str">
            <v>OS</v>
          </cell>
          <cell r="K781" t="str">
            <v>OS</v>
          </cell>
          <cell r="L781" t="str">
            <v>OS</v>
          </cell>
          <cell r="M781" t="str">
            <v>OS</v>
          </cell>
          <cell r="N781" t="str">
            <v>OS</v>
          </cell>
          <cell r="O781" t="str">
            <v>OS</v>
          </cell>
          <cell r="P781" t="str">
            <v>OS</v>
          </cell>
          <cell r="Q781" t="str">
            <v>OS</v>
          </cell>
          <cell r="R781" t="str">
            <v>OS</v>
          </cell>
          <cell r="S781" t="str">
            <v>OS</v>
          </cell>
          <cell r="T781" t="str">
            <v>OS</v>
          </cell>
          <cell r="U781" t="str">
            <v>OS</v>
          </cell>
          <cell r="V781" t="str">
            <v>OS</v>
          </cell>
          <cell r="W781" t="str">
            <v>OS</v>
          </cell>
          <cell r="X781" t="str">
            <v>OS</v>
          </cell>
          <cell r="Y781" t="str">
            <v>OS</v>
          </cell>
          <cell r="Z781" t="str">
            <v>OS</v>
          </cell>
          <cell r="AA781" t="str">
            <v>OS</v>
          </cell>
          <cell r="AB781" t="str">
            <v>OS</v>
          </cell>
          <cell r="AC781" t="str">
            <v>OS</v>
          </cell>
          <cell r="AD781" t="str">
            <v>AGM-01-038-011</v>
          </cell>
          <cell r="AE781" t="str">
            <v xml:space="preserve">Raemulan Lands, Inc. </v>
          </cell>
          <cell r="AF781" t="str">
            <v>Agapeya</v>
          </cell>
          <cell r="AG781" t="str">
            <v>AGM</v>
          </cell>
          <cell r="AH781" t="str">
            <v>Eco-High</v>
          </cell>
          <cell r="AI781" t="str">
            <v>West</v>
          </cell>
          <cell r="AJ781" t="str">
            <v>With LTS</v>
          </cell>
          <cell r="AK781" t="str">
            <v>Unaffected lots</v>
          </cell>
          <cell r="AL781" t="str">
            <v>Unaffected lots</v>
          </cell>
          <cell r="AM781" t="b">
            <v>1</v>
          </cell>
          <cell r="AN781" t="str">
            <v>YES</v>
          </cell>
          <cell r="AO781" t="str">
            <v>2024 Batch</v>
          </cell>
          <cell r="AP781">
            <v>70</v>
          </cell>
          <cell r="AQ781" t="str">
            <v>PCS-04-034298</v>
          </cell>
          <cell r="AR781" t="b">
            <v>1</v>
          </cell>
          <cell r="AS781" t="str">
            <v>Done</v>
          </cell>
          <cell r="AT781" t="str">
            <v>2024 Batch</v>
          </cell>
          <cell r="AU781">
            <v>38</v>
          </cell>
          <cell r="AV781">
            <v>11</v>
          </cell>
          <cell r="AW781" t="str">
            <v>H+L</v>
          </cell>
          <cell r="AX781">
            <v>70</v>
          </cell>
          <cell r="AY781">
            <v>50</v>
          </cell>
          <cell r="AZ781" t="str">
            <v>Duplex</v>
          </cell>
          <cell r="BA781">
            <v>1</v>
          </cell>
          <cell r="BB781" t="str">
            <v>326 - With Partition</v>
          </cell>
          <cell r="BC781" t="str">
            <v>With Partition</v>
          </cell>
          <cell r="BD781" t="str">
            <v>Flat</v>
          </cell>
          <cell r="BE781" t="str">
            <v>With Partition</v>
          </cell>
          <cell r="BF781" t="str">
            <v>GREEN</v>
          </cell>
          <cell r="BG781">
            <v>2707500</v>
          </cell>
          <cell r="BH781">
            <v>2850000</v>
          </cell>
          <cell r="BI781">
            <v>100000</v>
          </cell>
          <cell r="BJ781">
            <v>2750000</v>
          </cell>
          <cell r="BK781">
            <v>0</v>
          </cell>
          <cell r="BL781">
            <v>2750000</v>
          </cell>
        </row>
        <row r="782">
          <cell r="D782" t="str">
            <v>OS</v>
          </cell>
          <cell r="E782"/>
          <cell r="F782">
            <v>762</v>
          </cell>
          <cell r="G782" t="str">
            <v>SOLD</v>
          </cell>
          <cell r="H782" t="str">
            <v>OS</v>
          </cell>
          <cell r="I782" t="str">
            <v>OS</v>
          </cell>
          <cell r="J782" t="str">
            <v>OS</v>
          </cell>
          <cell r="K782" t="str">
            <v>OS</v>
          </cell>
          <cell r="L782" t="str">
            <v>OS</v>
          </cell>
          <cell r="M782" t="str">
            <v>OS</v>
          </cell>
          <cell r="N782" t="str">
            <v>OS</v>
          </cell>
          <cell r="O782" t="str">
            <v>OS</v>
          </cell>
          <cell r="P782" t="str">
            <v>OS</v>
          </cell>
          <cell r="Q782" t="str">
            <v>OS</v>
          </cell>
          <cell r="R782" t="str">
            <v>OS</v>
          </cell>
          <cell r="S782" t="str">
            <v>OS</v>
          </cell>
          <cell r="T782" t="str">
            <v>OS</v>
          </cell>
          <cell r="U782" t="str">
            <v>OS</v>
          </cell>
          <cell r="V782" t="str">
            <v>OS</v>
          </cell>
          <cell r="W782" t="str">
            <v>OS</v>
          </cell>
          <cell r="X782" t="str">
            <v>OS</v>
          </cell>
          <cell r="Y782" t="str">
            <v>OS</v>
          </cell>
          <cell r="Z782" t="str">
            <v>OS</v>
          </cell>
          <cell r="AA782" t="str">
            <v>OS</v>
          </cell>
          <cell r="AB782" t="str">
            <v>OS</v>
          </cell>
          <cell r="AC782" t="str">
            <v>OS</v>
          </cell>
          <cell r="AD782" t="str">
            <v>AGM-01-038-012</v>
          </cell>
          <cell r="AE782" t="str">
            <v xml:space="preserve">Raemulan Lands, Inc. </v>
          </cell>
          <cell r="AF782" t="str">
            <v>Agapeya</v>
          </cell>
          <cell r="AG782" t="str">
            <v>AGM</v>
          </cell>
          <cell r="AH782" t="str">
            <v>Eco-High</v>
          </cell>
          <cell r="AI782" t="str">
            <v>West</v>
          </cell>
          <cell r="AJ782" t="str">
            <v>With LTS</v>
          </cell>
          <cell r="AK782" t="str">
            <v>Unaffected lots</v>
          </cell>
          <cell r="AL782" t="str">
            <v>Unaffected lots</v>
          </cell>
          <cell r="AM782" t="b">
            <v>1</v>
          </cell>
          <cell r="AN782" t="str">
            <v>YES</v>
          </cell>
          <cell r="AO782" t="str">
            <v>2024 Batch</v>
          </cell>
          <cell r="AP782">
            <v>70</v>
          </cell>
          <cell r="AQ782" t="str">
            <v>PCS-04-034298</v>
          </cell>
          <cell r="AR782" t="b">
            <v>1</v>
          </cell>
          <cell r="AS782" t="str">
            <v>Done</v>
          </cell>
          <cell r="AT782" t="str">
            <v>2024 Batch</v>
          </cell>
          <cell r="AU782">
            <v>38</v>
          </cell>
          <cell r="AV782">
            <v>12</v>
          </cell>
          <cell r="AW782" t="str">
            <v>H+L</v>
          </cell>
          <cell r="AX782">
            <v>70</v>
          </cell>
          <cell r="AY782">
            <v>50</v>
          </cell>
          <cell r="AZ782" t="str">
            <v>Duplex</v>
          </cell>
          <cell r="BA782">
            <v>1</v>
          </cell>
          <cell r="BB782" t="str">
            <v>326 - With Partition</v>
          </cell>
          <cell r="BC782" t="str">
            <v xml:space="preserve">Without Partition </v>
          </cell>
          <cell r="BD782" t="str">
            <v>Slant</v>
          </cell>
          <cell r="BE782" t="str">
            <v xml:space="preserve">Without Partition </v>
          </cell>
          <cell r="BF782" t="str">
            <v>GREEN</v>
          </cell>
          <cell r="BG782">
            <v>2500000</v>
          </cell>
          <cell r="BH782">
            <v>2650000</v>
          </cell>
          <cell r="BI782">
            <v>100000</v>
          </cell>
          <cell r="BJ782">
            <v>2550000</v>
          </cell>
          <cell r="BK782">
            <v>0</v>
          </cell>
          <cell r="BL782">
            <v>2550000</v>
          </cell>
        </row>
        <row r="783">
          <cell r="D783" t="str">
            <v>OS</v>
          </cell>
          <cell r="E783"/>
          <cell r="F783">
            <v>763</v>
          </cell>
          <cell r="G783" t="str">
            <v>SOLD</v>
          </cell>
          <cell r="H783" t="str">
            <v>OS</v>
          </cell>
          <cell r="I783" t="str">
            <v>OS</v>
          </cell>
          <cell r="J783" t="str">
            <v>OS</v>
          </cell>
          <cell r="K783" t="str">
            <v>OS</v>
          </cell>
          <cell r="L783" t="str">
            <v>OS</v>
          </cell>
          <cell r="M783" t="str">
            <v>OS</v>
          </cell>
          <cell r="N783" t="str">
            <v>OS</v>
          </cell>
          <cell r="O783" t="str">
            <v>OS</v>
          </cell>
          <cell r="P783" t="str">
            <v>OS</v>
          </cell>
          <cell r="Q783" t="str">
            <v>OS</v>
          </cell>
          <cell r="R783" t="str">
            <v>OS</v>
          </cell>
          <cell r="S783" t="str">
            <v>OS</v>
          </cell>
          <cell r="T783" t="str">
            <v>OS</v>
          </cell>
          <cell r="U783" t="str">
            <v>OS</v>
          </cell>
          <cell r="V783" t="str">
            <v>OS</v>
          </cell>
          <cell r="W783" t="str">
            <v>OS</v>
          </cell>
          <cell r="X783" t="str">
            <v>OS</v>
          </cell>
          <cell r="Y783" t="str">
            <v>OS</v>
          </cell>
          <cell r="Z783" t="str">
            <v>OS</v>
          </cell>
          <cell r="AA783" t="str">
            <v>OS</v>
          </cell>
          <cell r="AB783" t="str">
            <v>OS</v>
          </cell>
          <cell r="AC783" t="str">
            <v>OS</v>
          </cell>
          <cell r="AD783" t="str">
            <v>AGM-01-039-001</v>
          </cell>
          <cell r="AE783" t="str">
            <v xml:space="preserve">Raemulan Lands, Inc. </v>
          </cell>
          <cell r="AF783" t="str">
            <v>Agapeya</v>
          </cell>
          <cell r="AG783" t="str">
            <v>AGM</v>
          </cell>
          <cell r="AH783" t="str">
            <v>Eco-High</v>
          </cell>
          <cell r="AI783" t="str">
            <v>West</v>
          </cell>
          <cell r="AJ783" t="str">
            <v>With LTS</v>
          </cell>
          <cell r="AK783" t="str">
            <v>Unaffected lots</v>
          </cell>
          <cell r="AL783" t="str">
            <v>Unaffected lots</v>
          </cell>
          <cell r="AM783" t="b">
            <v>1</v>
          </cell>
          <cell r="AN783" t="str">
            <v>YES</v>
          </cell>
          <cell r="AO783" t="str">
            <v>2024 Batch</v>
          </cell>
          <cell r="AP783">
            <v>70</v>
          </cell>
          <cell r="AQ783" t="str">
            <v>PCS-04-034298</v>
          </cell>
          <cell r="AR783" t="b">
            <v>1</v>
          </cell>
          <cell r="AS783" t="str">
            <v>Done</v>
          </cell>
          <cell r="AT783" t="str">
            <v>2024 Batch</v>
          </cell>
          <cell r="AU783">
            <v>39</v>
          </cell>
          <cell r="AV783">
            <v>1</v>
          </cell>
          <cell r="AW783" t="str">
            <v>H+L</v>
          </cell>
          <cell r="AX783">
            <v>70</v>
          </cell>
          <cell r="AY783">
            <v>50</v>
          </cell>
          <cell r="AZ783" t="str">
            <v>Duplex</v>
          </cell>
          <cell r="BA783">
            <v>1</v>
          </cell>
          <cell r="BB783" t="str">
            <v>326 - With Partition</v>
          </cell>
          <cell r="BC783" t="str">
            <v xml:space="preserve">Without Partition </v>
          </cell>
          <cell r="BD783" t="str">
            <v>Slant</v>
          </cell>
          <cell r="BE783" t="str">
            <v xml:space="preserve">Without Partition </v>
          </cell>
          <cell r="BF783" t="str">
            <v>PURPLE</v>
          </cell>
          <cell r="BG783">
            <v>2500000</v>
          </cell>
          <cell r="BH783">
            <v>2650000</v>
          </cell>
          <cell r="BI783">
            <v>100000</v>
          </cell>
          <cell r="BJ783">
            <v>2550000</v>
          </cell>
          <cell r="BK783">
            <v>0</v>
          </cell>
          <cell r="BL783">
            <v>2550000</v>
          </cell>
        </row>
        <row r="784">
          <cell r="D784" t="str">
            <v>OS</v>
          </cell>
          <cell r="E784"/>
          <cell r="F784">
            <v>764</v>
          </cell>
          <cell r="G784" t="str">
            <v>SOLD</v>
          </cell>
          <cell r="H784" t="str">
            <v>OS</v>
          </cell>
          <cell r="I784" t="str">
            <v>OS</v>
          </cell>
          <cell r="J784" t="str">
            <v>OS</v>
          </cell>
          <cell r="K784" t="str">
            <v>OS</v>
          </cell>
          <cell r="L784" t="str">
            <v>OS</v>
          </cell>
          <cell r="M784" t="str">
            <v>OS</v>
          </cell>
          <cell r="N784" t="str">
            <v>OS</v>
          </cell>
          <cell r="O784" t="str">
            <v>OS</v>
          </cell>
          <cell r="P784" t="str">
            <v>OS</v>
          </cell>
          <cell r="Q784" t="str">
            <v>OS</v>
          </cell>
          <cell r="R784" t="str">
            <v>OS</v>
          </cell>
          <cell r="S784" t="str">
            <v>OS</v>
          </cell>
          <cell r="T784" t="str">
            <v>OS</v>
          </cell>
          <cell r="U784" t="str">
            <v>OS</v>
          </cell>
          <cell r="V784" t="str">
            <v>OS</v>
          </cell>
          <cell r="W784" t="str">
            <v>OS</v>
          </cell>
          <cell r="X784" t="str">
            <v>OS</v>
          </cell>
          <cell r="Y784" t="str">
            <v>OS</v>
          </cell>
          <cell r="Z784" t="str">
            <v>OS</v>
          </cell>
          <cell r="AA784" t="str">
            <v>OS</v>
          </cell>
          <cell r="AB784" t="str">
            <v>OS</v>
          </cell>
          <cell r="AC784" t="str">
            <v>OS</v>
          </cell>
          <cell r="AD784" t="str">
            <v>AGM-01-039-002</v>
          </cell>
          <cell r="AE784" t="str">
            <v xml:space="preserve">Raemulan Lands, Inc. </v>
          </cell>
          <cell r="AF784" t="str">
            <v>Agapeya</v>
          </cell>
          <cell r="AG784" t="str">
            <v>AGM</v>
          </cell>
          <cell r="AH784" t="str">
            <v>Eco-High</v>
          </cell>
          <cell r="AI784" t="str">
            <v>West</v>
          </cell>
          <cell r="AJ784" t="str">
            <v>With LTS</v>
          </cell>
          <cell r="AK784" t="str">
            <v>Unaffected lots</v>
          </cell>
          <cell r="AL784" t="str">
            <v>Unaffected lots</v>
          </cell>
          <cell r="AM784" t="b">
            <v>1</v>
          </cell>
          <cell r="AN784" t="str">
            <v>YES</v>
          </cell>
          <cell r="AO784" t="str">
            <v>2024 Batch</v>
          </cell>
          <cell r="AP784">
            <v>70</v>
          </cell>
          <cell r="AQ784" t="str">
            <v>PCS-04-034298</v>
          </cell>
          <cell r="AR784" t="b">
            <v>1</v>
          </cell>
          <cell r="AS784" t="str">
            <v>Done</v>
          </cell>
          <cell r="AT784" t="str">
            <v>2024 Batch</v>
          </cell>
          <cell r="AU784">
            <v>39</v>
          </cell>
          <cell r="AV784">
            <v>2</v>
          </cell>
          <cell r="AW784" t="str">
            <v>H+L</v>
          </cell>
          <cell r="AX784">
            <v>70</v>
          </cell>
          <cell r="AY784">
            <v>50</v>
          </cell>
          <cell r="AZ784" t="str">
            <v>Duplex</v>
          </cell>
          <cell r="BA784">
            <v>1</v>
          </cell>
          <cell r="BB784" t="str">
            <v>326 - With Partition</v>
          </cell>
          <cell r="BC784" t="str">
            <v>With Partition</v>
          </cell>
          <cell r="BD784" t="str">
            <v>Flat</v>
          </cell>
          <cell r="BE784" t="str">
            <v>With Partition</v>
          </cell>
          <cell r="BF784" t="str">
            <v>PURPLE</v>
          </cell>
          <cell r="BG784">
            <v>2500000</v>
          </cell>
          <cell r="BH784">
            <v>2850000</v>
          </cell>
          <cell r="BI784">
            <v>100000</v>
          </cell>
          <cell r="BJ784">
            <v>2750000</v>
          </cell>
          <cell r="BK784">
            <v>0</v>
          </cell>
          <cell r="BL784">
            <v>2750000</v>
          </cell>
        </row>
        <row r="785">
          <cell r="D785" t="str">
            <v>OS</v>
          </cell>
          <cell r="E785"/>
          <cell r="F785">
            <v>765</v>
          </cell>
          <cell r="G785" t="str">
            <v>SOLD</v>
          </cell>
          <cell r="H785" t="str">
            <v>OS</v>
          </cell>
          <cell r="I785" t="str">
            <v>OS</v>
          </cell>
          <cell r="J785" t="str">
            <v>OS</v>
          </cell>
          <cell r="K785" t="str">
            <v>OS</v>
          </cell>
          <cell r="L785" t="str">
            <v>OS</v>
          </cell>
          <cell r="M785" t="str">
            <v>OS</v>
          </cell>
          <cell r="N785" t="str">
            <v>OS</v>
          </cell>
          <cell r="O785" t="str">
            <v>OS</v>
          </cell>
          <cell r="P785" t="str">
            <v>OS</v>
          </cell>
          <cell r="Q785" t="str">
            <v>OS</v>
          </cell>
          <cell r="R785" t="str">
            <v>OS</v>
          </cell>
          <cell r="S785" t="str">
            <v>OS</v>
          </cell>
          <cell r="T785" t="str">
            <v>OS</v>
          </cell>
          <cell r="U785" t="str">
            <v>OS</v>
          </cell>
          <cell r="V785" t="str">
            <v>OS</v>
          </cell>
          <cell r="W785" t="str">
            <v>OS</v>
          </cell>
          <cell r="X785" t="str">
            <v>OS</v>
          </cell>
          <cell r="Y785" t="str">
            <v>OS</v>
          </cell>
          <cell r="Z785" t="str">
            <v>OS</v>
          </cell>
          <cell r="AA785" t="str">
            <v>OS</v>
          </cell>
          <cell r="AB785" t="str">
            <v>OS</v>
          </cell>
          <cell r="AC785" t="str">
            <v>OS</v>
          </cell>
          <cell r="AD785" t="str">
            <v>AGM-01-039-003</v>
          </cell>
          <cell r="AE785" t="str">
            <v xml:space="preserve">Raemulan Lands, Inc. </v>
          </cell>
          <cell r="AF785" t="str">
            <v>Agapeya</v>
          </cell>
          <cell r="AG785" t="str">
            <v>AGM</v>
          </cell>
          <cell r="AH785" t="str">
            <v>Eco-High</v>
          </cell>
          <cell r="AI785" t="str">
            <v>West</v>
          </cell>
          <cell r="AJ785" t="str">
            <v>With LTS</v>
          </cell>
          <cell r="AK785" t="str">
            <v>Unaffected lots</v>
          </cell>
          <cell r="AL785" t="str">
            <v>Unaffected lots</v>
          </cell>
          <cell r="AM785" t="b">
            <v>1</v>
          </cell>
          <cell r="AN785" t="str">
            <v>YES</v>
          </cell>
          <cell r="AO785" t="str">
            <v>2024 Batch</v>
          </cell>
          <cell r="AP785">
            <v>70</v>
          </cell>
          <cell r="AQ785" t="str">
            <v>PCS-04-034298</v>
          </cell>
          <cell r="AR785" t="b">
            <v>1</v>
          </cell>
          <cell r="AS785" t="str">
            <v>Done</v>
          </cell>
          <cell r="AT785" t="str">
            <v>2024 Batch</v>
          </cell>
          <cell r="AU785">
            <v>39</v>
          </cell>
          <cell r="AV785">
            <v>3</v>
          </cell>
          <cell r="AW785" t="str">
            <v>H+L</v>
          </cell>
          <cell r="AX785">
            <v>70</v>
          </cell>
          <cell r="AY785">
            <v>50</v>
          </cell>
          <cell r="AZ785" t="str">
            <v>Duplex</v>
          </cell>
          <cell r="BA785">
            <v>1</v>
          </cell>
          <cell r="BB785" t="str">
            <v>326 - With Partition</v>
          </cell>
          <cell r="BC785" t="str">
            <v>With Partition</v>
          </cell>
          <cell r="BD785" t="str">
            <v>Slant</v>
          </cell>
          <cell r="BE785" t="str">
            <v>With Partition</v>
          </cell>
          <cell r="BF785" t="str">
            <v>GREEN</v>
          </cell>
          <cell r="BG785">
            <v>2707500</v>
          </cell>
          <cell r="BH785">
            <v>2850000</v>
          </cell>
          <cell r="BI785">
            <v>100000</v>
          </cell>
          <cell r="BJ785">
            <v>2750000</v>
          </cell>
          <cell r="BK785">
            <v>0</v>
          </cell>
          <cell r="BL785">
            <v>2750000</v>
          </cell>
        </row>
        <row r="786">
          <cell r="D786" t="str">
            <v>OS</v>
          </cell>
          <cell r="E786"/>
          <cell r="F786">
            <v>766</v>
          </cell>
          <cell r="G786" t="str">
            <v>SOLD</v>
          </cell>
          <cell r="H786" t="str">
            <v>OS</v>
          </cell>
          <cell r="I786" t="str">
            <v>OS</v>
          </cell>
          <cell r="J786" t="str">
            <v>OS</v>
          </cell>
          <cell r="K786" t="str">
            <v>OS</v>
          </cell>
          <cell r="L786" t="str">
            <v>OS</v>
          </cell>
          <cell r="M786" t="str">
            <v>OS</v>
          </cell>
          <cell r="N786" t="str">
            <v>OS</v>
          </cell>
          <cell r="O786" t="str">
            <v>OS</v>
          </cell>
          <cell r="P786" t="str">
            <v>OS</v>
          </cell>
          <cell r="Q786" t="str">
            <v>OS</v>
          </cell>
          <cell r="R786" t="str">
            <v>OS</v>
          </cell>
          <cell r="S786" t="str">
            <v>OS</v>
          </cell>
          <cell r="T786" t="str">
            <v>OS</v>
          </cell>
          <cell r="U786" t="str">
            <v>OS</v>
          </cell>
          <cell r="V786" t="str">
            <v>OS</v>
          </cell>
          <cell r="W786" t="str">
            <v>OS</v>
          </cell>
          <cell r="X786" t="str">
            <v>OS</v>
          </cell>
          <cell r="Y786" t="str">
            <v>OS</v>
          </cell>
          <cell r="Z786" t="str">
            <v>OS</v>
          </cell>
          <cell r="AA786" t="str">
            <v>OS</v>
          </cell>
          <cell r="AB786" t="str">
            <v>OS</v>
          </cell>
          <cell r="AC786" t="str">
            <v>OS</v>
          </cell>
          <cell r="AD786" t="str">
            <v>AGM-01-039-004</v>
          </cell>
          <cell r="AE786" t="str">
            <v xml:space="preserve">Raemulan Lands, Inc. </v>
          </cell>
          <cell r="AF786" t="str">
            <v>Agapeya</v>
          </cell>
          <cell r="AG786" t="str">
            <v>AGM</v>
          </cell>
          <cell r="AH786" t="str">
            <v>Eco-High</v>
          </cell>
          <cell r="AI786" t="str">
            <v>West</v>
          </cell>
          <cell r="AJ786" t="str">
            <v>With LTS</v>
          </cell>
          <cell r="AK786" t="str">
            <v>Unaffected lots</v>
          </cell>
          <cell r="AL786" t="str">
            <v>Unaffected lots</v>
          </cell>
          <cell r="AM786" t="b">
            <v>1</v>
          </cell>
          <cell r="AN786" t="str">
            <v>YES</v>
          </cell>
          <cell r="AO786" t="str">
            <v>2024 Batch</v>
          </cell>
          <cell r="AP786">
            <v>70</v>
          </cell>
          <cell r="AQ786" t="str">
            <v>PCS-04-034298</v>
          </cell>
          <cell r="AR786" t="b">
            <v>1</v>
          </cell>
          <cell r="AS786" t="str">
            <v>Done</v>
          </cell>
          <cell r="AT786" t="str">
            <v>2024 Batch</v>
          </cell>
          <cell r="AU786">
            <v>39</v>
          </cell>
          <cell r="AV786">
            <v>4</v>
          </cell>
          <cell r="AW786" t="str">
            <v>H+L</v>
          </cell>
          <cell r="AX786">
            <v>70</v>
          </cell>
          <cell r="AY786">
            <v>50</v>
          </cell>
          <cell r="AZ786" t="str">
            <v>Duplex</v>
          </cell>
          <cell r="BA786">
            <v>1</v>
          </cell>
          <cell r="BB786" t="str">
            <v>326 - With Partition</v>
          </cell>
          <cell r="BC786" t="str">
            <v>With Partition</v>
          </cell>
          <cell r="BD786" t="str">
            <v>Flat</v>
          </cell>
          <cell r="BE786" t="str">
            <v>With Partition</v>
          </cell>
          <cell r="BF786" t="str">
            <v>GREEN</v>
          </cell>
          <cell r="BG786">
            <v>2500000</v>
          </cell>
          <cell r="BH786">
            <v>2850000</v>
          </cell>
          <cell r="BI786">
            <v>100000</v>
          </cell>
          <cell r="BJ786">
            <v>2750000</v>
          </cell>
          <cell r="BK786">
            <v>0</v>
          </cell>
          <cell r="BL786">
            <v>2750000</v>
          </cell>
        </row>
        <row r="787">
          <cell r="D787" t="str">
            <v>OS</v>
          </cell>
          <cell r="E787"/>
          <cell r="F787">
            <v>767</v>
          </cell>
          <cell r="G787" t="str">
            <v>SOLD</v>
          </cell>
          <cell r="H787" t="str">
            <v>OS</v>
          </cell>
          <cell r="I787" t="str">
            <v>OS</v>
          </cell>
          <cell r="J787" t="str">
            <v>OS</v>
          </cell>
          <cell r="K787" t="str">
            <v>OS</v>
          </cell>
          <cell r="L787" t="str">
            <v>OS</v>
          </cell>
          <cell r="M787" t="str">
            <v>OS</v>
          </cell>
          <cell r="N787" t="str">
            <v>OS</v>
          </cell>
          <cell r="O787" t="str">
            <v>OS</v>
          </cell>
          <cell r="P787" t="str">
            <v>OS</v>
          </cell>
          <cell r="Q787" t="str">
            <v>OS</v>
          </cell>
          <cell r="R787" t="str">
            <v>OS</v>
          </cell>
          <cell r="S787" t="str">
            <v>OS</v>
          </cell>
          <cell r="T787" t="str">
            <v>OS</v>
          </cell>
          <cell r="U787" t="str">
            <v>OS</v>
          </cell>
          <cell r="V787" t="str">
            <v>OS</v>
          </cell>
          <cell r="W787" t="str">
            <v>OS</v>
          </cell>
          <cell r="X787" t="str">
            <v>OS</v>
          </cell>
          <cell r="Y787" t="str">
            <v>OS</v>
          </cell>
          <cell r="Z787" t="str">
            <v>OS</v>
          </cell>
          <cell r="AA787" t="str">
            <v>OS</v>
          </cell>
          <cell r="AB787" t="str">
            <v>OS</v>
          </cell>
          <cell r="AC787" t="str">
            <v>OS</v>
          </cell>
          <cell r="AD787" t="str">
            <v>AGM-01-039-005</v>
          </cell>
          <cell r="AE787" t="str">
            <v xml:space="preserve">Raemulan Lands, Inc. </v>
          </cell>
          <cell r="AF787" t="str">
            <v>Agapeya</v>
          </cell>
          <cell r="AG787" t="str">
            <v>AGM</v>
          </cell>
          <cell r="AH787" t="str">
            <v>Eco-High</v>
          </cell>
          <cell r="AI787" t="str">
            <v>West</v>
          </cell>
          <cell r="AJ787" t="str">
            <v>With LTS</v>
          </cell>
          <cell r="AK787" t="str">
            <v>Unaffected lots</v>
          </cell>
          <cell r="AL787" t="str">
            <v>Unaffected lots</v>
          </cell>
          <cell r="AM787" t="b">
            <v>1</v>
          </cell>
          <cell r="AN787" t="str">
            <v>YES</v>
          </cell>
          <cell r="AO787" t="str">
            <v>B3 2025</v>
          </cell>
          <cell r="AP787">
            <v>70</v>
          </cell>
          <cell r="AQ787" t="str">
            <v>PCS-04-034298</v>
          </cell>
          <cell r="AR787" t="b">
            <v>1</v>
          </cell>
          <cell r="AS787" t="str">
            <v>Done</v>
          </cell>
          <cell r="AT787" t="str">
            <v>2025 - Batch 2</v>
          </cell>
          <cell r="AU787">
            <v>39</v>
          </cell>
          <cell r="AV787">
            <v>5</v>
          </cell>
          <cell r="AW787" t="str">
            <v>H+L</v>
          </cell>
          <cell r="AX787">
            <v>70</v>
          </cell>
          <cell r="AY787">
            <v>50</v>
          </cell>
          <cell r="AZ787" t="str">
            <v>Duplex</v>
          </cell>
          <cell r="BA787">
            <v>1</v>
          </cell>
          <cell r="BB787" t="str">
            <v>568 - Without Partition</v>
          </cell>
          <cell r="BC787" t="str">
            <v xml:space="preserve">Without Partition </v>
          </cell>
          <cell r="BD787" t="str">
            <v>Slant</v>
          </cell>
          <cell r="BE787" t="str">
            <v xml:space="preserve">Without Partition </v>
          </cell>
          <cell r="BF787" t="str">
            <v>GREEN</v>
          </cell>
          <cell r="BG787">
            <v>2500000</v>
          </cell>
          <cell r="BH787">
            <v>2650000</v>
          </cell>
          <cell r="BI787">
            <v>100000</v>
          </cell>
          <cell r="BJ787">
            <v>2550000</v>
          </cell>
          <cell r="BK787">
            <v>0</v>
          </cell>
          <cell r="BL787">
            <v>2550000</v>
          </cell>
        </row>
        <row r="788">
          <cell r="D788" t="str">
            <v>OS</v>
          </cell>
          <cell r="E788"/>
          <cell r="F788">
            <v>768</v>
          </cell>
          <cell r="G788" t="str">
            <v>SOLD</v>
          </cell>
          <cell r="H788" t="str">
            <v>OS</v>
          </cell>
          <cell r="I788" t="str">
            <v>OS</v>
          </cell>
          <cell r="J788" t="str">
            <v>OS</v>
          </cell>
          <cell r="K788" t="str">
            <v>OS</v>
          </cell>
          <cell r="L788" t="str">
            <v>OS</v>
          </cell>
          <cell r="M788" t="str">
            <v>OS</v>
          </cell>
          <cell r="N788" t="str">
            <v>OS</v>
          </cell>
          <cell r="O788" t="str">
            <v>OS</v>
          </cell>
          <cell r="P788" t="str">
            <v>OS</v>
          </cell>
          <cell r="Q788" t="str">
            <v>OS</v>
          </cell>
          <cell r="R788" t="str">
            <v>OS</v>
          </cell>
          <cell r="S788" t="str">
            <v>OS</v>
          </cell>
          <cell r="T788" t="str">
            <v>OS</v>
          </cell>
          <cell r="U788" t="str">
            <v>OS</v>
          </cell>
          <cell r="V788" t="str">
            <v>OS</v>
          </cell>
          <cell r="W788" t="str">
            <v>OS</v>
          </cell>
          <cell r="X788" t="str">
            <v>OS</v>
          </cell>
          <cell r="Y788" t="str">
            <v>OS</v>
          </cell>
          <cell r="Z788" t="str">
            <v>OS</v>
          </cell>
          <cell r="AA788" t="str">
            <v>OS</v>
          </cell>
          <cell r="AB788" t="str">
            <v>OS</v>
          </cell>
          <cell r="AC788" t="str">
            <v>OS</v>
          </cell>
          <cell r="AD788" t="str">
            <v>AGM-01-039-006</v>
          </cell>
          <cell r="AE788" t="str">
            <v xml:space="preserve">Raemulan Lands, Inc. </v>
          </cell>
          <cell r="AF788" t="str">
            <v>Agapeya</v>
          </cell>
          <cell r="AG788" t="str">
            <v>AGM</v>
          </cell>
          <cell r="AH788" t="str">
            <v>Eco-High</v>
          </cell>
          <cell r="AI788" t="str">
            <v>West</v>
          </cell>
          <cell r="AJ788" t="str">
            <v>With LTS</v>
          </cell>
          <cell r="AK788" t="str">
            <v>Unaffected lots</v>
          </cell>
          <cell r="AL788" t="str">
            <v>Unaffected lots</v>
          </cell>
          <cell r="AM788" t="b">
            <v>1</v>
          </cell>
          <cell r="AN788" t="str">
            <v>YES</v>
          </cell>
          <cell r="AO788" t="str">
            <v>B3 2025</v>
          </cell>
          <cell r="AP788">
            <v>89</v>
          </cell>
          <cell r="AQ788" t="str">
            <v>PCS-04-034298</v>
          </cell>
          <cell r="AR788" t="b">
            <v>1</v>
          </cell>
          <cell r="AS788" t="str">
            <v>Done</v>
          </cell>
          <cell r="AT788" t="str">
            <v>2025 - Batch 2</v>
          </cell>
          <cell r="AU788">
            <v>39</v>
          </cell>
          <cell r="AV788">
            <v>6</v>
          </cell>
          <cell r="AW788" t="str">
            <v>H+L</v>
          </cell>
          <cell r="AX788">
            <v>89</v>
          </cell>
          <cell r="AY788">
            <v>50</v>
          </cell>
          <cell r="AZ788" t="str">
            <v>Duplex</v>
          </cell>
          <cell r="BA788">
            <v>1</v>
          </cell>
          <cell r="BB788" t="str">
            <v>568 - Without Partition</v>
          </cell>
          <cell r="BC788" t="str">
            <v xml:space="preserve">Without Partition </v>
          </cell>
          <cell r="BD788" t="str">
            <v>Flat</v>
          </cell>
          <cell r="BE788" t="str">
            <v xml:space="preserve">Without Partition </v>
          </cell>
          <cell r="BF788" t="str">
            <v>GREEN</v>
          </cell>
          <cell r="BG788">
            <v>2835000</v>
          </cell>
          <cell r="BH788">
            <v>2935000</v>
          </cell>
          <cell r="BI788">
            <v>100000</v>
          </cell>
          <cell r="BJ788">
            <v>2835000</v>
          </cell>
          <cell r="BK788">
            <v>0</v>
          </cell>
          <cell r="BL788">
            <v>2835000</v>
          </cell>
        </row>
        <row r="789">
          <cell r="D789" t="str">
            <v>OS</v>
          </cell>
          <cell r="E789"/>
          <cell r="F789">
            <v>769</v>
          </cell>
          <cell r="G789" t="str">
            <v>SOLD</v>
          </cell>
          <cell r="H789" t="str">
            <v>OS</v>
          </cell>
          <cell r="I789" t="str">
            <v>OS</v>
          </cell>
          <cell r="J789" t="str">
            <v>OS</v>
          </cell>
          <cell r="K789" t="str">
            <v>OS</v>
          </cell>
          <cell r="L789" t="str">
            <v>OS</v>
          </cell>
          <cell r="M789" t="str">
            <v>OS</v>
          </cell>
          <cell r="N789" t="str">
            <v>OS</v>
          </cell>
          <cell r="O789" t="str">
            <v>OS</v>
          </cell>
          <cell r="P789" t="str">
            <v>OS</v>
          </cell>
          <cell r="Q789" t="str">
            <v>OS</v>
          </cell>
          <cell r="R789" t="str">
            <v>OS</v>
          </cell>
          <cell r="S789" t="str">
            <v>OS</v>
          </cell>
          <cell r="T789" t="str">
            <v>OS</v>
          </cell>
          <cell r="U789" t="str">
            <v>OS</v>
          </cell>
          <cell r="V789" t="str">
            <v>OS</v>
          </cell>
          <cell r="W789" t="str">
            <v>OS</v>
          </cell>
          <cell r="X789" t="str">
            <v>OS</v>
          </cell>
          <cell r="Y789" t="str">
            <v>OS</v>
          </cell>
          <cell r="Z789" t="str">
            <v>OS</v>
          </cell>
          <cell r="AA789" t="str">
            <v>OS</v>
          </cell>
          <cell r="AB789" t="str">
            <v>OS</v>
          </cell>
          <cell r="AC789" t="str">
            <v>OS</v>
          </cell>
          <cell r="AD789" t="str">
            <v>AGM-01-039-007</v>
          </cell>
          <cell r="AE789" t="str">
            <v xml:space="preserve">Raemulan Lands, Inc. </v>
          </cell>
          <cell r="AF789" t="str">
            <v>Agapeya</v>
          </cell>
          <cell r="AG789" t="str">
            <v>AGM</v>
          </cell>
          <cell r="AH789" t="str">
            <v>Eco-High</v>
          </cell>
          <cell r="AI789" t="str">
            <v>West</v>
          </cell>
          <cell r="AJ789" t="str">
            <v>With LTS</v>
          </cell>
          <cell r="AK789" t="str">
            <v>Unaffected lots</v>
          </cell>
          <cell r="AL789" t="str">
            <v>Unaffected lots</v>
          </cell>
          <cell r="AM789" t="b">
            <v>1</v>
          </cell>
          <cell r="AN789" t="str">
            <v>YES</v>
          </cell>
          <cell r="AO789" t="str">
            <v>B3 2025</v>
          </cell>
          <cell r="AP789">
            <v>89</v>
          </cell>
          <cell r="AQ789" t="str">
            <v>PCS-04-034298</v>
          </cell>
          <cell r="AR789" t="b">
            <v>1</v>
          </cell>
          <cell r="AS789" t="str">
            <v>Done</v>
          </cell>
          <cell r="AT789" t="str">
            <v>2025 - Batch 2</v>
          </cell>
          <cell r="AU789">
            <v>39</v>
          </cell>
          <cell r="AV789">
            <v>7</v>
          </cell>
          <cell r="AW789" t="str">
            <v>H+L</v>
          </cell>
          <cell r="AX789">
            <v>89</v>
          </cell>
          <cell r="AY789">
            <v>50</v>
          </cell>
          <cell r="AZ789" t="str">
            <v>Duplex</v>
          </cell>
          <cell r="BA789">
            <v>1</v>
          </cell>
          <cell r="BB789" t="str">
            <v>568 - Without Partition</v>
          </cell>
          <cell r="BC789" t="str">
            <v xml:space="preserve">Without Partition </v>
          </cell>
          <cell r="BD789" t="str">
            <v>Slant</v>
          </cell>
          <cell r="BE789" t="str">
            <v xml:space="preserve">Without Partition </v>
          </cell>
          <cell r="BF789" t="str">
            <v>PURPLE</v>
          </cell>
          <cell r="BG789">
            <v>2785000</v>
          </cell>
          <cell r="BH789">
            <v>2935000</v>
          </cell>
          <cell r="BI789">
            <v>100000</v>
          </cell>
          <cell r="BJ789">
            <v>2835000</v>
          </cell>
          <cell r="BK789">
            <v>0</v>
          </cell>
          <cell r="BL789">
            <v>2835000</v>
          </cell>
        </row>
        <row r="790">
          <cell r="D790" t="str">
            <v>OS</v>
          </cell>
          <cell r="E790"/>
          <cell r="F790">
            <v>770</v>
          </cell>
          <cell r="G790" t="str">
            <v>SOLD</v>
          </cell>
          <cell r="H790" t="str">
            <v>OS</v>
          </cell>
          <cell r="I790" t="str">
            <v>OS</v>
          </cell>
          <cell r="J790" t="str">
            <v>OS</v>
          </cell>
          <cell r="K790" t="str">
            <v>OS</v>
          </cell>
          <cell r="L790" t="str">
            <v>OS</v>
          </cell>
          <cell r="M790" t="str">
            <v>OS</v>
          </cell>
          <cell r="N790" t="str">
            <v>OS</v>
          </cell>
          <cell r="O790" t="str">
            <v>OS</v>
          </cell>
          <cell r="P790" t="str">
            <v>OS</v>
          </cell>
          <cell r="Q790" t="str">
            <v>OS</v>
          </cell>
          <cell r="R790" t="str">
            <v>OS</v>
          </cell>
          <cell r="S790" t="str">
            <v>OS</v>
          </cell>
          <cell r="T790" t="str">
            <v>OS</v>
          </cell>
          <cell r="U790" t="str">
            <v>OS</v>
          </cell>
          <cell r="V790" t="str">
            <v>OS</v>
          </cell>
          <cell r="W790" t="str">
            <v>OS</v>
          </cell>
          <cell r="X790" t="str">
            <v>OS</v>
          </cell>
          <cell r="Y790" t="str">
            <v>OS</v>
          </cell>
          <cell r="Z790" t="str">
            <v>OS</v>
          </cell>
          <cell r="AA790" t="str">
            <v>OS</v>
          </cell>
          <cell r="AB790" t="str">
            <v>OS</v>
          </cell>
          <cell r="AC790" t="str">
            <v>OS</v>
          </cell>
          <cell r="AD790" t="str">
            <v>AGM-01-039-008</v>
          </cell>
          <cell r="AE790" t="str">
            <v xml:space="preserve">Raemulan Lands, Inc. </v>
          </cell>
          <cell r="AF790" t="str">
            <v>Agapeya</v>
          </cell>
          <cell r="AG790" t="str">
            <v>AGM</v>
          </cell>
          <cell r="AH790" t="str">
            <v>Eco-High</v>
          </cell>
          <cell r="AI790" t="str">
            <v>West</v>
          </cell>
          <cell r="AJ790" t="str">
            <v>With LTS</v>
          </cell>
          <cell r="AK790" t="str">
            <v>Unaffected lots</v>
          </cell>
          <cell r="AL790" t="str">
            <v>Unaffected lots</v>
          </cell>
          <cell r="AM790" t="b">
            <v>1</v>
          </cell>
          <cell r="AN790" t="str">
            <v>YES</v>
          </cell>
          <cell r="AO790" t="str">
            <v>B3 2025</v>
          </cell>
          <cell r="AP790">
            <v>70</v>
          </cell>
          <cell r="AQ790" t="str">
            <v>PCS-04-034298</v>
          </cell>
          <cell r="AR790" t="b">
            <v>1</v>
          </cell>
          <cell r="AS790" t="str">
            <v>Done</v>
          </cell>
          <cell r="AT790" t="str">
            <v>2025 - Batch 2</v>
          </cell>
          <cell r="AU790">
            <v>39</v>
          </cell>
          <cell r="AV790">
            <v>8</v>
          </cell>
          <cell r="AW790" t="str">
            <v>H+L</v>
          </cell>
          <cell r="AX790">
            <v>70</v>
          </cell>
          <cell r="AY790">
            <v>50</v>
          </cell>
          <cell r="AZ790" t="str">
            <v>Duplex</v>
          </cell>
          <cell r="BA790">
            <v>1</v>
          </cell>
          <cell r="BB790" t="str">
            <v>568 - Without Partition</v>
          </cell>
          <cell r="BC790" t="str">
            <v xml:space="preserve">Without Partition </v>
          </cell>
          <cell r="BD790" t="str">
            <v>Flat</v>
          </cell>
          <cell r="BE790" t="str">
            <v xml:space="preserve">Without Partition </v>
          </cell>
          <cell r="BF790" t="str">
            <v>PURPLE</v>
          </cell>
          <cell r="BG790">
            <v>2500000</v>
          </cell>
          <cell r="BH790">
            <v>2650000</v>
          </cell>
          <cell r="BI790">
            <v>100000</v>
          </cell>
          <cell r="BJ790">
            <v>2550000</v>
          </cell>
          <cell r="BK790">
            <v>0</v>
          </cell>
          <cell r="BL790">
            <v>2550000</v>
          </cell>
        </row>
        <row r="791">
          <cell r="D791" t="str">
            <v>OS</v>
          </cell>
          <cell r="E791"/>
          <cell r="F791">
            <v>771</v>
          </cell>
          <cell r="G791" t="str">
            <v>SOLD</v>
          </cell>
          <cell r="H791" t="str">
            <v>OS</v>
          </cell>
          <cell r="I791" t="str">
            <v>OS</v>
          </cell>
          <cell r="J791" t="str">
            <v>OS</v>
          </cell>
          <cell r="K791" t="str">
            <v>OS</v>
          </cell>
          <cell r="L791" t="str">
            <v>OS</v>
          </cell>
          <cell r="M791" t="str">
            <v>OS</v>
          </cell>
          <cell r="N791" t="str">
            <v>OS</v>
          </cell>
          <cell r="O791" t="str">
            <v>OS</v>
          </cell>
          <cell r="P791" t="str">
            <v>OS</v>
          </cell>
          <cell r="Q791" t="str">
            <v>OS</v>
          </cell>
          <cell r="R791" t="str">
            <v>OS</v>
          </cell>
          <cell r="S791" t="str">
            <v>OS</v>
          </cell>
          <cell r="T791" t="str">
            <v>OS</v>
          </cell>
          <cell r="U791" t="str">
            <v>OS</v>
          </cell>
          <cell r="V791" t="str">
            <v>OS</v>
          </cell>
          <cell r="W791" t="str">
            <v>OS</v>
          </cell>
          <cell r="X791" t="str">
            <v>OS</v>
          </cell>
          <cell r="Y791" t="str">
            <v>OS</v>
          </cell>
          <cell r="Z791" t="str">
            <v>OS</v>
          </cell>
          <cell r="AA791" t="str">
            <v>OS</v>
          </cell>
          <cell r="AB791" t="str">
            <v>OS</v>
          </cell>
          <cell r="AC791" t="str">
            <v>OS</v>
          </cell>
          <cell r="AD791" t="str">
            <v>AGM-01-039-009</v>
          </cell>
          <cell r="AE791" t="str">
            <v xml:space="preserve">Raemulan Lands, Inc. </v>
          </cell>
          <cell r="AF791" t="str">
            <v>Agapeya</v>
          </cell>
          <cell r="AG791" t="str">
            <v>AGM</v>
          </cell>
          <cell r="AH791" t="str">
            <v>Eco-High</v>
          </cell>
          <cell r="AI791" t="str">
            <v>West</v>
          </cell>
          <cell r="AJ791" t="str">
            <v>With LTS</v>
          </cell>
          <cell r="AK791" t="str">
            <v>Unaffected lots</v>
          </cell>
          <cell r="AL791" t="str">
            <v>Unaffected lots</v>
          </cell>
          <cell r="AM791" t="b">
            <v>1</v>
          </cell>
          <cell r="AN791" t="str">
            <v>YES</v>
          </cell>
          <cell r="AO791" t="str">
            <v>2024 Batch</v>
          </cell>
          <cell r="AP791">
            <v>70</v>
          </cell>
          <cell r="AQ791" t="str">
            <v>PCS-04-034298</v>
          </cell>
          <cell r="AR791" t="b">
            <v>1</v>
          </cell>
          <cell r="AS791" t="str">
            <v>Done</v>
          </cell>
          <cell r="AT791" t="str">
            <v>2024 Batch</v>
          </cell>
          <cell r="AU791">
            <v>39</v>
          </cell>
          <cell r="AV791">
            <v>9</v>
          </cell>
          <cell r="AW791" t="str">
            <v>H+L</v>
          </cell>
          <cell r="AX791">
            <v>70</v>
          </cell>
          <cell r="AY791">
            <v>50</v>
          </cell>
          <cell r="AZ791" t="str">
            <v>Duplex</v>
          </cell>
          <cell r="BA791">
            <v>1</v>
          </cell>
          <cell r="BB791" t="str">
            <v>326 - With Partition</v>
          </cell>
          <cell r="BC791" t="str">
            <v xml:space="preserve">Without Partition </v>
          </cell>
          <cell r="BD791" t="str">
            <v>Flat</v>
          </cell>
          <cell r="BE791" t="str">
            <v xml:space="preserve">Without Partition </v>
          </cell>
          <cell r="BF791" t="str">
            <v>PURPLE</v>
          </cell>
          <cell r="BG791">
            <v>2500000</v>
          </cell>
          <cell r="BH791">
            <v>2650000</v>
          </cell>
          <cell r="BI791">
            <v>100000</v>
          </cell>
          <cell r="BJ791">
            <v>2550000</v>
          </cell>
          <cell r="BK791">
            <v>0</v>
          </cell>
          <cell r="BL791">
            <v>2550000</v>
          </cell>
        </row>
        <row r="792">
          <cell r="D792" t="str">
            <v>OS</v>
          </cell>
          <cell r="E792"/>
          <cell r="F792">
            <v>772</v>
          </cell>
          <cell r="G792" t="str">
            <v>SOLD</v>
          </cell>
          <cell r="H792" t="str">
            <v>OS</v>
          </cell>
          <cell r="I792" t="str">
            <v>OS</v>
          </cell>
          <cell r="J792" t="str">
            <v>OS</v>
          </cell>
          <cell r="K792" t="str">
            <v>OS</v>
          </cell>
          <cell r="L792" t="str">
            <v>OS</v>
          </cell>
          <cell r="M792" t="str">
            <v>OS</v>
          </cell>
          <cell r="N792" t="str">
            <v>OS</v>
          </cell>
          <cell r="O792" t="str">
            <v>OS</v>
          </cell>
          <cell r="P792" t="str">
            <v>OS</v>
          </cell>
          <cell r="Q792" t="str">
            <v>OS</v>
          </cell>
          <cell r="R792" t="str">
            <v>OS</v>
          </cell>
          <cell r="S792" t="str">
            <v>OS</v>
          </cell>
          <cell r="T792" t="str">
            <v>OS</v>
          </cell>
          <cell r="U792" t="str">
            <v>OS</v>
          </cell>
          <cell r="V792" t="str">
            <v>OS</v>
          </cell>
          <cell r="W792" t="str">
            <v>OS</v>
          </cell>
          <cell r="X792" t="str">
            <v>OS</v>
          </cell>
          <cell r="Y792" t="str">
            <v>OS</v>
          </cell>
          <cell r="Z792" t="str">
            <v>OS</v>
          </cell>
          <cell r="AA792" t="str">
            <v>OS</v>
          </cell>
          <cell r="AB792" t="str">
            <v>OS</v>
          </cell>
          <cell r="AC792" t="str">
            <v>OS</v>
          </cell>
          <cell r="AD792" t="str">
            <v>AGM-01-039-010</v>
          </cell>
          <cell r="AE792" t="str">
            <v xml:space="preserve">Raemulan Lands, Inc. </v>
          </cell>
          <cell r="AF792" t="str">
            <v>Agapeya</v>
          </cell>
          <cell r="AG792" t="str">
            <v>AGM</v>
          </cell>
          <cell r="AH792" t="str">
            <v>Eco-High</v>
          </cell>
          <cell r="AI792" t="str">
            <v>West</v>
          </cell>
          <cell r="AJ792" t="str">
            <v>With LTS</v>
          </cell>
          <cell r="AK792" t="str">
            <v>Unaffected lots</v>
          </cell>
          <cell r="AL792" t="str">
            <v>Unaffected lots</v>
          </cell>
          <cell r="AM792" t="b">
            <v>1</v>
          </cell>
          <cell r="AN792" t="str">
            <v>YES</v>
          </cell>
          <cell r="AO792" t="str">
            <v>2024 Batch</v>
          </cell>
          <cell r="AP792">
            <v>70</v>
          </cell>
          <cell r="AQ792" t="str">
            <v>PCS-04-034298</v>
          </cell>
          <cell r="AR792" t="b">
            <v>1</v>
          </cell>
          <cell r="AS792" t="str">
            <v>Done</v>
          </cell>
          <cell r="AT792" t="str">
            <v>2024 Batch</v>
          </cell>
          <cell r="AU792">
            <v>39</v>
          </cell>
          <cell r="AV792">
            <v>10</v>
          </cell>
          <cell r="AW792" t="str">
            <v>H+L</v>
          </cell>
          <cell r="AX792">
            <v>70</v>
          </cell>
          <cell r="AY792">
            <v>50</v>
          </cell>
          <cell r="AZ792" t="str">
            <v>Duplex</v>
          </cell>
          <cell r="BA792">
            <v>1</v>
          </cell>
          <cell r="BB792" t="str">
            <v>326 - With Partition</v>
          </cell>
          <cell r="BC792" t="str">
            <v>With Partition</v>
          </cell>
          <cell r="BD792" t="str">
            <v>Slant</v>
          </cell>
          <cell r="BE792" t="str">
            <v>With Partition</v>
          </cell>
          <cell r="BF792" t="str">
            <v>PURPLE</v>
          </cell>
          <cell r="BG792">
            <v>2707500</v>
          </cell>
          <cell r="BH792">
            <v>2850000</v>
          </cell>
          <cell r="BI792">
            <v>100000</v>
          </cell>
          <cell r="BJ792">
            <v>2750000</v>
          </cell>
          <cell r="BK792">
            <v>0</v>
          </cell>
          <cell r="BL792">
            <v>2750000</v>
          </cell>
        </row>
        <row r="793">
          <cell r="D793" t="str">
            <v>OS</v>
          </cell>
          <cell r="E793"/>
          <cell r="F793">
            <v>773</v>
          </cell>
          <cell r="G793" t="str">
            <v>SOLD</v>
          </cell>
          <cell r="H793" t="str">
            <v>OS</v>
          </cell>
          <cell r="I793" t="str">
            <v>OS</v>
          </cell>
          <cell r="J793" t="str">
            <v>OS</v>
          </cell>
          <cell r="K793" t="str">
            <v>OS</v>
          </cell>
          <cell r="L793" t="str">
            <v>OS</v>
          </cell>
          <cell r="M793" t="str">
            <v>OS</v>
          </cell>
          <cell r="N793" t="str">
            <v>OS</v>
          </cell>
          <cell r="O793" t="str">
            <v>OS</v>
          </cell>
          <cell r="P793" t="str">
            <v>OS</v>
          </cell>
          <cell r="Q793" t="str">
            <v>OS</v>
          </cell>
          <cell r="R793" t="str">
            <v>OS</v>
          </cell>
          <cell r="S793" t="str">
            <v>OS</v>
          </cell>
          <cell r="T793" t="str">
            <v>OS</v>
          </cell>
          <cell r="U793" t="str">
            <v>OS</v>
          </cell>
          <cell r="V793" t="str">
            <v>OS</v>
          </cell>
          <cell r="W793" t="str">
            <v>OS</v>
          </cell>
          <cell r="X793" t="str">
            <v>OS</v>
          </cell>
          <cell r="Y793" t="str">
            <v>OS</v>
          </cell>
          <cell r="Z793" t="str">
            <v>OS</v>
          </cell>
          <cell r="AA793" t="str">
            <v>OS</v>
          </cell>
          <cell r="AB793" t="str">
            <v>OS</v>
          </cell>
          <cell r="AC793" t="str">
            <v>OS</v>
          </cell>
          <cell r="AD793" t="str">
            <v>AGM-01-039-011</v>
          </cell>
          <cell r="AE793" t="str">
            <v xml:space="preserve">Raemulan Lands, Inc. </v>
          </cell>
          <cell r="AF793" t="str">
            <v>Agapeya</v>
          </cell>
          <cell r="AG793" t="str">
            <v>AGM</v>
          </cell>
          <cell r="AH793" t="str">
            <v>Eco-High</v>
          </cell>
          <cell r="AI793" t="str">
            <v>West</v>
          </cell>
          <cell r="AJ793" t="str">
            <v>With LTS</v>
          </cell>
          <cell r="AK793" t="str">
            <v>Unaffected lots</v>
          </cell>
          <cell r="AL793" t="str">
            <v>Unaffected lots</v>
          </cell>
          <cell r="AM793" t="b">
            <v>1</v>
          </cell>
          <cell r="AN793" t="str">
            <v>YES</v>
          </cell>
          <cell r="AO793" t="str">
            <v>B3 2025</v>
          </cell>
          <cell r="AP793">
            <v>70</v>
          </cell>
          <cell r="AQ793" t="str">
            <v>PCS-04-034298</v>
          </cell>
          <cell r="AR793" t="b">
            <v>1</v>
          </cell>
          <cell r="AS793" t="str">
            <v>Done</v>
          </cell>
          <cell r="AT793" t="str">
            <v>2025 - Batch 2</v>
          </cell>
          <cell r="AU793">
            <v>39</v>
          </cell>
          <cell r="AV793">
            <v>11</v>
          </cell>
          <cell r="AW793" t="str">
            <v>H+L</v>
          </cell>
          <cell r="AX793">
            <v>70</v>
          </cell>
          <cell r="AY793">
            <v>50</v>
          </cell>
          <cell r="AZ793" t="str">
            <v>Duplex</v>
          </cell>
          <cell r="BA793">
            <v>1</v>
          </cell>
          <cell r="BB793" t="str">
            <v>568 - Without Partition</v>
          </cell>
          <cell r="BC793" t="str">
            <v xml:space="preserve">Without Partition </v>
          </cell>
          <cell r="BD793" t="str">
            <v>Flat</v>
          </cell>
          <cell r="BE793" t="str">
            <v xml:space="preserve">Without Partition </v>
          </cell>
          <cell r="BF793" t="str">
            <v>PINK</v>
          </cell>
          <cell r="BG793">
            <v>2500000</v>
          </cell>
          <cell r="BH793">
            <v>2650000</v>
          </cell>
          <cell r="BI793">
            <v>100000</v>
          </cell>
          <cell r="BJ793">
            <v>2550000</v>
          </cell>
          <cell r="BK793">
            <v>0</v>
          </cell>
          <cell r="BL793">
            <v>2550000</v>
          </cell>
        </row>
        <row r="794">
          <cell r="D794" t="str">
            <v>OS</v>
          </cell>
          <cell r="E794"/>
          <cell r="F794">
            <v>774</v>
          </cell>
          <cell r="G794" t="str">
            <v>SOLD</v>
          </cell>
          <cell r="H794" t="str">
            <v>OS</v>
          </cell>
          <cell r="I794" t="str">
            <v>OS</v>
          </cell>
          <cell r="J794" t="str">
            <v>OS</v>
          </cell>
          <cell r="K794" t="str">
            <v>OS</v>
          </cell>
          <cell r="L794" t="str">
            <v>OS</v>
          </cell>
          <cell r="M794" t="str">
            <v>OS</v>
          </cell>
          <cell r="N794" t="str">
            <v>OS</v>
          </cell>
          <cell r="O794" t="str">
            <v>OS</v>
          </cell>
          <cell r="P794" t="str">
            <v>OS</v>
          </cell>
          <cell r="Q794" t="str">
            <v>OS</v>
          </cell>
          <cell r="R794" t="str">
            <v>OS</v>
          </cell>
          <cell r="S794" t="str">
            <v>OS</v>
          </cell>
          <cell r="T794" t="str">
            <v>OS</v>
          </cell>
          <cell r="U794" t="str">
            <v>OS</v>
          </cell>
          <cell r="V794" t="str">
            <v>OS</v>
          </cell>
          <cell r="W794" t="str">
            <v>OS</v>
          </cell>
          <cell r="X794" t="str">
            <v>OS</v>
          </cell>
          <cell r="Y794" t="str">
            <v>OS</v>
          </cell>
          <cell r="Z794" t="str">
            <v>OS</v>
          </cell>
          <cell r="AA794" t="str">
            <v>OS</v>
          </cell>
          <cell r="AB794" t="str">
            <v>OS</v>
          </cell>
          <cell r="AC794" t="str">
            <v>OS</v>
          </cell>
          <cell r="AD794" t="str">
            <v>AGM-01-039-012</v>
          </cell>
          <cell r="AE794" t="str">
            <v xml:space="preserve">Raemulan Lands, Inc. </v>
          </cell>
          <cell r="AF794" t="str">
            <v>Agapeya</v>
          </cell>
          <cell r="AG794" t="str">
            <v>AGM</v>
          </cell>
          <cell r="AH794" t="str">
            <v>Eco-High</v>
          </cell>
          <cell r="AI794" t="str">
            <v>West</v>
          </cell>
          <cell r="AJ794" t="str">
            <v>With LTS</v>
          </cell>
          <cell r="AK794" t="str">
            <v>Unaffected lots</v>
          </cell>
          <cell r="AL794" t="str">
            <v>Unaffected lots</v>
          </cell>
          <cell r="AM794" t="b">
            <v>1</v>
          </cell>
          <cell r="AN794" t="str">
            <v>YES</v>
          </cell>
          <cell r="AO794" t="str">
            <v>B3 2025</v>
          </cell>
          <cell r="AP794">
            <v>70</v>
          </cell>
          <cell r="AQ794" t="str">
            <v>PCS-04-034298</v>
          </cell>
          <cell r="AR794" t="b">
            <v>1</v>
          </cell>
          <cell r="AS794" t="str">
            <v>Done</v>
          </cell>
          <cell r="AT794" t="str">
            <v>2025 - Batch 2</v>
          </cell>
          <cell r="AU794">
            <v>39</v>
          </cell>
          <cell r="AV794">
            <v>12</v>
          </cell>
          <cell r="AW794" t="str">
            <v>H+L</v>
          </cell>
          <cell r="AX794">
            <v>70</v>
          </cell>
          <cell r="AY794">
            <v>50</v>
          </cell>
          <cell r="AZ794" t="str">
            <v>Duplex</v>
          </cell>
          <cell r="BA794">
            <v>1</v>
          </cell>
          <cell r="BB794" t="str">
            <v>568 - Without Partition</v>
          </cell>
          <cell r="BC794" t="str">
            <v xml:space="preserve">Without Partition </v>
          </cell>
          <cell r="BD794" t="str">
            <v>Slant</v>
          </cell>
          <cell r="BE794" t="str">
            <v xml:space="preserve">Without Partition </v>
          </cell>
          <cell r="BF794" t="str">
            <v>PINK</v>
          </cell>
          <cell r="BG794">
            <v>2500000</v>
          </cell>
          <cell r="BH794">
            <v>2650000</v>
          </cell>
          <cell r="BI794">
            <v>100000</v>
          </cell>
          <cell r="BJ794">
            <v>2550000</v>
          </cell>
          <cell r="BK794">
            <v>0</v>
          </cell>
          <cell r="BL794">
            <v>2550000</v>
          </cell>
        </row>
        <row r="795">
          <cell r="D795" t="str">
            <v>OS</v>
          </cell>
          <cell r="E795"/>
          <cell r="F795">
            <v>775</v>
          </cell>
          <cell r="G795" t="str">
            <v>CLOSED</v>
          </cell>
          <cell r="H795" t="str">
            <v>OS</v>
          </cell>
          <cell r="I795" t="str">
            <v>OS</v>
          </cell>
          <cell r="J795" t="str">
            <v>OS</v>
          </cell>
          <cell r="K795" t="str">
            <v>OS</v>
          </cell>
          <cell r="L795" t="str">
            <v>OS</v>
          </cell>
          <cell r="M795" t="str">
            <v>OS</v>
          </cell>
          <cell r="N795" t="str">
            <v>OS</v>
          </cell>
          <cell r="O795" t="str">
            <v>OS</v>
          </cell>
          <cell r="P795" t="str">
            <v>OS</v>
          </cell>
          <cell r="Q795" t="str">
            <v>OS</v>
          </cell>
          <cell r="R795" t="str">
            <v>OS</v>
          </cell>
          <cell r="S795" t="str">
            <v>OS</v>
          </cell>
          <cell r="T795" t="str">
            <v>OS</v>
          </cell>
          <cell r="U795" t="str">
            <v>OS</v>
          </cell>
          <cell r="V795" t="str">
            <v>OS</v>
          </cell>
          <cell r="W795" t="str">
            <v>OS</v>
          </cell>
          <cell r="X795" t="str">
            <v>OS</v>
          </cell>
          <cell r="Y795" t="str">
            <v>OS</v>
          </cell>
          <cell r="Z795" t="str">
            <v>OS</v>
          </cell>
          <cell r="AA795" t="str">
            <v>OS</v>
          </cell>
          <cell r="AB795" t="str">
            <v>OS</v>
          </cell>
          <cell r="AC795" t="str">
            <v>OS</v>
          </cell>
          <cell r="AD795" t="str">
            <v>AGM-01-040-001</v>
          </cell>
          <cell r="AE795" t="str">
            <v xml:space="preserve">Raemulan Lands, Inc. </v>
          </cell>
          <cell r="AF795" t="str">
            <v>Agapeya</v>
          </cell>
          <cell r="AG795" t="str">
            <v>AGM</v>
          </cell>
          <cell r="AH795" t="str">
            <v>Eco-High</v>
          </cell>
          <cell r="AI795" t="str">
            <v>West</v>
          </cell>
          <cell r="AJ795" t="str">
            <v>With LTS</v>
          </cell>
          <cell r="AK795" t="str">
            <v>Unaffected lots</v>
          </cell>
          <cell r="AL795" t="str">
            <v>Unaffected lots</v>
          </cell>
          <cell r="AM795" t="b">
            <v>1</v>
          </cell>
          <cell r="AN795" t="str">
            <v>YES</v>
          </cell>
          <cell r="AO795" t="str">
            <v>2024 Batch</v>
          </cell>
          <cell r="AP795">
            <v>70</v>
          </cell>
          <cell r="AQ795" t="str">
            <v>PCS-04-034298</v>
          </cell>
          <cell r="AR795" t="b">
            <v>1</v>
          </cell>
          <cell r="AS795" t="str">
            <v>Done</v>
          </cell>
          <cell r="AT795" t="str">
            <v>2024 Batch</v>
          </cell>
          <cell r="AU795">
            <v>40</v>
          </cell>
          <cell r="AV795">
            <v>1</v>
          </cell>
          <cell r="AW795" t="str">
            <v>H+L</v>
          </cell>
          <cell r="AX795">
            <v>70</v>
          </cell>
          <cell r="AY795">
            <v>50</v>
          </cell>
          <cell r="AZ795" t="str">
            <v>Duplex</v>
          </cell>
          <cell r="BA795">
            <v>1</v>
          </cell>
          <cell r="BB795" t="str">
            <v>326 - With Partition</v>
          </cell>
          <cell r="BC795" t="str">
            <v xml:space="preserve">Without Partition </v>
          </cell>
          <cell r="BD795" t="str">
            <v>Slant</v>
          </cell>
          <cell r="BE795" t="str">
            <v xml:space="preserve">Without Partition </v>
          </cell>
          <cell r="BF795" t="str">
            <v>YELLOW</v>
          </cell>
          <cell r="BG795">
            <v>2500000</v>
          </cell>
          <cell r="BH795">
            <v>2650000</v>
          </cell>
          <cell r="BI795">
            <v>100000</v>
          </cell>
          <cell r="BJ795">
            <v>2550000</v>
          </cell>
          <cell r="BK795">
            <v>0</v>
          </cell>
          <cell r="BL795">
            <v>2550000</v>
          </cell>
        </row>
        <row r="796">
          <cell r="D796" t="str">
            <v>OS</v>
          </cell>
          <cell r="E796"/>
          <cell r="F796">
            <v>776</v>
          </cell>
          <cell r="G796" t="str">
            <v>FOR CANCELLATION</v>
          </cell>
          <cell r="H796" t="str">
            <v>FOR CANCELLATION</v>
          </cell>
          <cell r="I796" t="str">
            <v>FOR CANCELLATION</v>
          </cell>
          <cell r="J796" t="str">
            <v>FOR CANCELLATION</v>
          </cell>
          <cell r="K796" t="str">
            <v>FOR CANCELLATION</v>
          </cell>
          <cell r="L796" t="str">
            <v>FOR CANCELLATION</v>
          </cell>
          <cell r="M796" t="str">
            <v>FOR CANCELLATION</v>
          </cell>
          <cell r="N796" t="str">
            <v>FOR CANCELLATION</v>
          </cell>
          <cell r="O796" t="str">
            <v>FOR CANCELLATION</v>
          </cell>
          <cell r="P796" t="str">
            <v>FOR CANCELLATION</v>
          </cell>
          <cell r="Q796" t="str">
            <v>FOR CANCELLATION</v>
          </cell>
          <cell r="R796" t="str">
            <v>TS</v>
          </cell>
          <cell r="S796" t="str">
            <v>TS</v>
          </cell>
          <cell r="T796" t="str">
            <v>FOR CANCELLATION</v>
          </cell>
          <cell r="U796" t="str">
            <v>OS</v>
          </cell>
          <cell r="V796" t="str">
            <v>OS</v>
          </cell>
          <cell r="W796" t="str">
            <v>OS</v>
          </cell>
          <cell r="X796" t="str">
            <v>OS</v>
          </cell>
          <cell r="Y796" t="str">
            <v>OS</v>
          </cell>
          <cell r="Z796" t="str">
            <v>OS</v>
          </cell>
          <cell r="AA796" t="str">
            <v>OS</v>
          </cell>
          <cell r="AB796" t="str">
            <v>OS</v>
          </cell>
          <cell r="AC796" t="str">
            <v>OS</v>
          </cell>
          <cell r="AD796" t="str">
            <v>AGM-01-040-002</v>
          </cell>
          <cell r="AE796" t="str">
            <v xml:space="preserve">Raemulan Lands, Inc. </v>
          </cell>
          <cell r="AF796" t="str">
            <v>Agapeya</v>
          </cell>
          <cell r="AG796" t="str">
            <v>AGM</v>
          </cell>
          <cell r="AH796" t="str">
            <v>Eco-High</v>
          </cell>
          <cell r="AI796" t="str">
            <v>West</v>
          </cell>
          <cell r="AJ796" t="str">
            <v>With LTS</v>
          </cell>
          <cell r="AK796" t="str">
            <v>Unaffected lots</v>
          </cell>
          <cell r="AL796" t="str">
            <v>Unaffected lots</v>
          </cell>
          <cell r="AM796" t="b">
            <v>1</v>
          </cell>
          <cell r="AN796" t="str">
            <v>YES</v>
          </cell>
          <cell r="AO796" t="str">
            <v>2024 Batch</v>
          </cell>
          <cell r="AP796">
            <v>70</v>
          </cell>
          <cell r="AQ796" t="str">
            <v>PCS-04-034298</v>
          </cell>
          <cell r="AR796" t="b">
            <v>1</v>
          </cell>
          <cell r="AS796" t="str">
            <v>Done</v>
          </cell>
          <cell r="AT796" t="str">
            <v>2024 Batch</v>
          </cell>
          <cell r="AU796">
            <v>40</v>
          </cell>
          <cell r="AV796">
            <v>2</v>
          </cell>
          <cell r="AW796" t="str">
            <v>H+L</v>
          </cell>
          <cell r="AX796">
            <v>70</v>
          </cell>
          <cell r="AY796">
            <v>50</v>
          </cell>
          <cell r="AZ796" t="str">
            <v>Duplex</v>
          </cell>
          <cell r="BA796">
            <v>1</v>
          </cell>
          <cell r="BB796" t="str">
            <v>326 - With Partition</v>
          </cell>
          <cell r="BC796" t="str">
            <v>With Partition</v>
          </cell>
          <cell r="BD796" t="str">
            <v>Flat</v>
          </cell>
          <cell r="BE796" t="str">
            <v>With Partition</v>
          </cell>
          <cell r="BF796" t="str">
            <v>YELLOW</v>
          </cell>
          <cell r="BG796">
            <v>2707500</v>
          </cell>
          <cell r="BH796">
            <v>2850000</v>
          </cell>
          <cell r="BI796">
            <v>100000</v>
          </cell>
          <cell r="BJ796">
            <v>2750000</v>
          </cell>
          <cell r="BK796">
            <v>0</v>
          </cell>
          <cell r="BL796">
            <v>2750000</v>
          </cell>
        </row>
        <row r="797">
          <cell r="D797" t="str">
            <v>OS</v>
          </cell>
          <cell r="E797"/>
          <cell r="F797">
            <v>777</v>
          </cell>
          <cell r="G797" t="str">
            <v>SOLD</v>
          </cell>
          <cell r="H797" t="str">
            <v>OS</v>
          </cell>
          <cell r="I797" t="str">
            <v>OS</v>
          </cell>
          <cell r="J797" t="str">
            <v>OS</v>
          </cell>
          <cell r="K797" t="str">
            <v>OS</v>
          </cell>
          <cell r="L797" t="str">
            <v>OS</v>
          </cell>
          <cell r="M797" t="str">
            <v>OS</v>
          </cell>
          <cell r="N797" t="str">
            <v>OS</v>
          </cell>
          <cell r="O797" t="str">
            <v>OS</v>
          </cell>
          <cell r="P797" t="str">
            <v>OS</v>
          </cell>
          <cell r="Q797" t="str">
            <v>OS</v>
          </cell>
          <cell r="R797" t="str">
            <v>OS</v>
          </cell>
          <cell r="S797" t="str">
            <v>OS</v>
          </cell>
          <cell r="T797" t="str">
            <v>OS</v>
          </cell>
          <cell r="U797" t="str">
            <v>OS</v>
          </cell>
          <cell r="V797" t="str">
            <v>OS</v>
          </cell>
          <cell r="W797" t="str">
            <v>OS</v>
          </cell>
          <cell r="X797" t="str">
            <v>OS</v>
          </cell>
          <cell r="Y797" t="str">
            <v>OS</v>
          </cell>
          <cell r="Z797" t="str">
            <v>OS</v>
          </cell>
          <cell r="AA797" t="str">
            <v>OS</v>
          </cell>
          <cell r="AB797" t="str">
            <v>OS</v>
          </cell>
          <cell r="AC797" t="str">
            <v>OS</v>
          </cell>
          <cell r="AD797" t="str">
            <v>AGM-01-040-003</v>
          </cell>
          <cell r="AE797" t="str">
            <v xml:space="preserve">Raemulan Lands, Inc. </v>
          </cell>
          <cell r="AF797" t="str">
            <v>Agapeya</v>
          </cell>
          <cell r="AG797" t="str">
            <v>AGM</v>
          </cell>
          <cell r="AH797" t="str">
            <v>Eco-High</v>
          </cell>
          <cell r="AI797" t="str">
            <v>West</v>
          </cell>
          <cell r="AJ797" t="str">
            <v>With LTS</v>
          </cell>
          <cell r="AK797" t="str">
            <v>Unaffected lots</v>
          </cell>
          <cell r="AL797" t="str">
            <v>Unaffected lots</v>
          </cell>
          <cell r="AM797" t="b">
            <v>1</v>
          </cell>
          <cell r="AN797" t="str">
            <v>YES</v>
          </cell>
          <cell r="AO797" t="str">
            <v>2024 Batch</v>
          </cell>
          <cell r="AP797">
            <v>70</v>
          </cell>
          <cell r="AQ797" t="str">
            <v>PCS-04-034298</v>
          </cell>
          <cell r="AR797" t="b">
            <v>1</v>
          </cell>
          <cell r="AS797" t="str">
            <v>Done</v>
          </cell>
          <cell r="AT797" t="str">
            <v>2024 Batch</v>
          </cell>
          <cell r="AU797">
            <v>40</v>
          </cell>
          <cell r="AV797">
            <v>3</v>
          </cell>
          <cell r="AW797" t="str">
            <v>H+L</v>
          </cell>
          <cell r="AX797">
            <v>70</v>
          </cell>
          <cell r="AY797">
            <v>50</v>
          </cell>
          <cell r="AZ797" t="str">
            <v>Duplex</v>
          </cell>
          <cell r="BA797">
            <v>1</v>
          </cell>
          <cell r="BB797" t="str">
            <v>326 - With Partition</v>
          </cell>
          <cell r="BC797" t="str">
            <v>With Partition</v>
          </cell>
          <cell r="BD797" t="str">
            <v>Slant</v>
          </cell>
          <cell r="BE797" t="str">
            <v>With Partition</v>
          </cell>
          <cell r="BF797" t="str">
            <v>PINK</v>
          </cell>
          <cell r="BG797">
            <v>2707500</v>
          </cell>
          <cell r="BH797">
            <v>2850000</v>
          </cell>
          <cell r="BI797">
            <v>100000</v>
          </cell>
          <cell r="BJ797">
            <v>2750000</v>
          </cell>
          <cell r="BK797">
            <v>0</v>
          </cell>
          <cell r="BL797">
            <v>2750000</v>
          </cell>
        </row>
        <row r="798">
          <cell r="D798" t="str">
            <v>OS</v>
          </cell>
          <cell r="E798"/>
          <cell r="F798">
            <v>778</v>
          </cell>
          <cell r="G798" t="str">
            <v>SOLD</v>
          </cell>
          <cell r="H798" t="str">
            <v>OS</v>
          </cell>
          <cell r="I798" t="str">
            <v>OS</v>
          </cell>
          <cell r="J798" t="str">
            <v>OS</v>
          </cell>
          <cell r="K798" t="str">
            <v>OS</v>
          </cell>
          <cell r="L798" t="str">
            <v>OS</v>
          </cell>
          <cell r="M798" t="str">
            <v>OS</v>
          </cell>
          <cell r="N798" t="str">
            <v>OS</v>
          </cell>
          <cell r="O798" t="str">
            <v>OS</v>
          </cell>
          <cell r="P798" t="str">
            <v>OS</v>
          </cell>
          <cell r="Q798" t="str">
            <v>OS</v>
          </cell>
          <cell r="R798" t="str">
            <v>OS</v>
          </cell>
          <cell r="S798" t="str">
            <v>OS</v>
          </cell>
          <cell r="T798" t="str">
            <v>OS</v>
          </cell>
          <cell r="U798" t="str">
            <v>OS</v>
          </cell>
          <cell r="V798" t="str">
            <v>OS</v>
          </cell>
          <cell r="W798" t="str">
            <v>OS</v>
          </cell>
          <cell r="X798" t="str">
            <v>OS</v>
          </cell>
          <cell r="Y798" t="str">
            <v>OS</v>
          </cell>
          <cell r="Z798" t="str">
            <v>OS</v>
          </cell>
          <cell r="AA798" t="str">
            <v>OS</v>
          </cell>
          <cell r="AB798" t="str">
            <v>OS</v>
          </cell>
          <cell r="AC798" t="str">
            <v>OS</v>
          </cell>
          <cell r="AD798" t="str">
            <v>AGM-01-040-004</v>
          </cell>
          <cell r="AE798" t="str">
            <v xml:space="preserve">Raemulan Lands, Inc. </v>
          </cell>
          <cell r="AF798" t="str">
            <v>Agapeya</v>
          </cell>
          <cell r="AG798" t="str">
            <v>AGM</v>
          </cell>
          <cell r="AH798" t="str">
            <v>Eco-High</v>
          </cell>
          <cell r="AI798" t="str">
            <v>West</v>
          </cell>
          <cell r="AJ798" t="str">
            <v>With LTS</v>
          </cell>
          <cell r="AK798" t="str">
            <v>Unaffected lots</v>
          </cell>
          <cell r="AL798" t="str">
            <v>Unaffected lots</v>
          </cell>
          <cell r="AM798" t="b">
            <v>1</v>
          </cell>
          <cell r="AN798" t="str">
            <v>YES</v>
          </cell>
          <cell r="AO798" t="str">
            <v>2024 Batch</v>
          </cell>
          <cell r="AP798">
            <v>70</v>
          </cell>
          <cell r="AQ798" t="str">
            <v>PCS-04-034298</v>
          </cell>
          <cell r="AR798" t="b">
            <v>1</v>
          </cell>
          <cell r="AS798" t="str">
            <v>Done</v>
          </cell>
          <cell r="AT798" t="str">
            <v>2024 Batch</v>
          </cell>
          <cell r="AU798">
            <v>40</v>
          </cell>
          <cell r="AV798">
            <v>4</v>
          </cell>
          <cell r="AW798" t="str">
            <v>H+L</v>
          </cell>
          <cell r="AX798">
            <v>70</v>
          </cell>
          <cell r="AY798">
            <v>50</v>
          </cell>
          <cell r="AZ798" t="str">
            <v>Duplex</v>
          </cell>
          <cell r="BA798">
            <v>1</v>
          </cell>
          <cell r="BB798" t="str">
            <v>326 - With Partition</v>
          </cell>
          <cell r="BC798" t="str">
            <v xml:space="preserve">Without Partition </v>
          </cell>
          <cell r="BD798" t="str">
            <v>Flat</v>
          </cell>
          <cell r="BE798" t="str">
            <v xml:space="preserve">Without Partition </v>
          </cell>
          <cell r="BF798" t="str">
            <v>PINK</v>
          </cell>
          <cell r="BG798">
            <v>2500000</v>
          </cell>
          <cell r="BH798">
            <v>2650000</v>
          </cell>
          <cell r="BI798">
            <v>100000</v>
          </cell>
          <cell r="BJ798">
            <v>2550000</v>
          </cell>
          <cell r="BK798">
            <v>0</v>
          </cell>
          <cell r="BL798">
            <v>2550000</v>
          </cell>
        </row>
        <row r="799">
          <cell r="D799" t="str">
            <v>OS</v>
          </cell>
          <cell r="E799"/>
          <cell r="F799">
            <v>779</v>
          </cell>
          <cell r="G799" t="str">
            <v>SOLD</v>
          </cell>
          <cell r="H799" t="str">
            <v>OS</v>
          </cell>
          <cell r="I799" t="str">
            <v>OS</v>
          </cell>
          <cell r="J799" t="str">
            <v>OS</v>
          </cell>
          <cell r="K799" t="str">
            <v>OS</v>
          </cell>
          <cell r="L799" t="str">
            <v>OS</v>
          </cell>
          <cell r="M799" t="str">
            <v>OS</v>
          </cell>
          <cell r="N799" t="str">
            <v>OS</v>
          </cell>
          <cell r="O799" t="str">
            <v>OS</v>
          </cell>
          <cell r="P799" t="str">
            <v>OS</v>
          </cell>
          <cell r="Q799" t="str">
            <v>OS</v>
          </cell>
          <cell r="R799" t="str">
            <v>OS</v>
          </cell>
          <cell r="S799" t="str">
            <v>OS</v>
          </cell>
          <cell r="T799" t="str">
            <v>OS</v>
          </cell>
          <cell r="U799" t="str">
            <v>OS</v>
          </cell>
          <cell r="V799" t="str">
            <v>OS</v>
          </cell>
          <cell r="W799" t="str">
            <v>OS</v>
          </cell>
          <cell r="X799" t="str">
            <v>OS</v>
          </cell>
          <cell r="Y799" t="str">
            <v>OS</v>
          </cell>
          <cell r="Z799" t="str">
            <v>OS</v>
          </cell>
          <cell r="AA799" t="str">
            <v>OS</v>
          </cell>
          <cell r="AB799" t="str">
            <v>OS</v>
          </cell>
          <cell r="AC799" t="str">
            <v>OS</v>
          </cell>
          <cell r="AD799" t="str">
            <v>AGM-01-040-005</v>
          </cell>
          <cell r="AE799" t="str">
            <v xml:space="preserve">Raemulan Lands, Inc. </v>
          </cell>
          <cell r="AF799" t="str">
            <v>Agapeya</v>
          </cell>
          <cell r="AG799" t="str">
            <v>AGM</v>
          </cell>
          <cell r="AH799" t="str">
            <v>Eco-High</v>
          </cell>
          <cell r="AI799" t="str">
            <v>West</v>
          </cell>
          <cell r="AJ799" t="str">
            <v>With LTS</v>
          </cell>
          <cell r="AK799" t="str">
            <v>Unaffected lots</v>
          </cell>
          <cell r="AL799" t="str">
            <v>Unaffected lots</v>
          </cell>
          <cell r="AM799" t="b">
            <v>1</v>
          </cell>
          <cell r="AN799" t="str">
            <v>YES</v>
          </cell>
          <cell r="AO799" t="str">
            <v>B1 2025</v>
          </cell>
          <cell r="AP799">
            <v>70</v>
          </cell>
          <cell r="AQ799" t="str">
            <v>PCS-04-034298</v>
          </cell>
          <cell r="AR799" t="b">
            <v>1</v>
          </cell>
          <cell r="AS799" t="str">
            <v>Done</v>
          </cell>
          <cell r="AT799" t="str">
            <v>2025 - Batch 1</v>
          </cell>
          <cell r="AU799">
            <v>40</v>
          </cell>
          <cell r="AV799">
            <v>5</v>
          </cell>
          <cell r="AW799" t="str">
            <v>H+L</v>
          </cell>
          <cell r="AX799">
            <v>70</v>
          </cell>
          <cell r="AY799">
            <v>50</v>
          </cell>
          <cell r="AZ799" t="str">
            <v>Duplex</v>
          </cell>
          <cell r="BA799">
            <v>1</v>
          </cell>
          <cell r="BB799" t="str">
            <v>568 - Without Partition</v>
          </cell>
          <cell r="BC799" t="str">
            <v xml:space="preserve">Without Partition </v>
          </cell>
          <cell r="BD799" t="str">
            <v>Slant</v>
          </cell>
          <cell r="BE799" t="str">
            <v xml:space="preserve">Without Partition </v>
          </cell>
          <cell r="BF799" t="str">
            <v>PINK</v>
          </cell>
          <cell r="BG799">
            <v>2500000</v>
          </cell>
          <cell r="BH799">
            <v>2650000</v>
          </cell>
          <cell r="BI799">
            <v>100000</v>
          </cell>
          <cell r="BJ799">
            <v>2550000</v>
          </cell>
          <cell r="BK799">
            <v>0</v>
          </cell>
          <cell r="BL799">
            <v>2550000</v>
          </cell>
        </row>
        <row r="800">
          <cell r="D800" t="str">
            <v>OS</v>
          </cell>
          <cell r="E800"/>
          <cell r="F800">
            <v>780</v>
          </cell>
          <cell r="G800" t="str">
            <v>SOLD</v>
          </cell>
          <cell r="H800" t="str">
            <v>OS</v>
          </cell>
          <cell r="I800" t="str">
            <v>OS</v>
          </cell>
          <cell r="J800" t="str">
            <v>OS</v>
          </cell>
          <cell r="K800" t="str">
            <v>OS</v>
          </cell>
          <cell r="L800" t="str">
            <v>OS</v>
          </cell>
          <cell r="M800" t="str">
            <v>OS</v>
          </cell>
          <cell r="N800" t="str">
            <v>OS</v>
          </cell>
          <cell r="O800" t="str">
            <v>OS</v>
          </cell>
          <cell r="P800" t="str">
            <v>OS</v>
          </cell>
          <cell r="Q800" t="str">
            <v>OS</v>
          </cell>
          <cell r="R800" t="str">
            <v>OS</v>
          </cell>
          <cell r="S800" t="str">
            <v>OS</v>
          </cell>
          <cell r="T800" t="str">
            <v>OS</v>
          </cell>
          <cell r="U800" t="str">
            <v>OS</v>
          </cell>
          <cell r="V800" t="str">
            <v>OS</v>
          </cell>
          <cell r="W800" t="str">
            <v>OS</v>
          </cell>
          <cell r="X800" t="str">
            <v>OS</v>
          </cell>
          <cell r="Y800" t="str">
            <v>OS</v>
          </cell>
          <cell r="Z800" t="str">
            <v>OS</v>
          </cell>
          <cell r="AA800" t="str">
            <v>OS</v>
          </cell>
          <cell r="AB800" t="str">
            <v>OS</v>
          </cell>
          <cell r="AC800" t="str">
            <v>OS</v>
          </cell>
          <cell r="AD800" t="str">
            <v>AGM-01-040-006</v>
          </cell>
          <cell r="AE800" t="str">
            <v xml:space="preserve">Raemulan Lands, Inc. </v>
          </cell>
          <cell r="AF800" t="str">
            <v>Agapeya</v>
          </cell>
          <cell r="AG800" t="str">
            <v>AGM</v>
          </cell>
          <cell r="AH800" t="str">
            <v>Eco-High</v>
          </cell>
          <cell r="AI800" t="str">
            <v>West</v>
          </cell>
          <cell r="AJ800" t="str">
            <v>With LTS</v>
          </cell>
          <cell r="AK800" t="str">
            <v>Unaffected lots</v>
          </cell>
          <cell r="AL800" t="str">
            <v>Unaffected lots</v>
          </cell>
          <cell r="AM800" t="b">
            <v>1</v>
          </cell>
          <cell r="AN800" t="str">
            <v>YES</v>
          </cell>
          <cell r="AO800" t="str">
            <v>B1 2025</v>
          </cell>
          <cell r="AP800">
            <v>89</v>
          </cell>
          <cell r="AQ800" t="str">
            <v>PCS-04-034298</v>
          </cell>
          <cell r="AR800" t="b">
            <v>1</v>
          </cell>
          <cell r="AS800" t="str">
            <v>Done</v>
          </cell>
          <cell r="AT800" t="str">
            <v>2025 - Batch 1</v>
          </cell>
          <cell r="AU800">
            <v>40</v>
          </cell>
          <cell r="AV800">
            <v>6</v>
          </cell>
          <cell r="AW800" t="str">
            <v>H+L</v>
          </cell>
          <cell r="AX800">
            <v>89</v>
          </cell>
          <cell r="AY800">
            <v>50</v>
          </cell>
          <cell r="AZ800" t="str">
            <v>Duplex</v>
          </cell>
          <cell r="BA800">
            <v>1</v>
          </cell>
          <cell r="BB800" t="str">
            <v>568 - Without Partition</v>
          </cell>
          <cell r="BC800" t="str">
            <v xml:space="preserve">Without Partition </v>
          </cell>
          <cell r="BD800" t="str">
            <v>Flat</v>
          </cell>
          <cell r="BE800" t="str">
            <v xml:space="preserve">Without Partition </v>
          </cell>
          <cell r="BF800" t="str">
            <v>PINK</v>
          </cell>
          <cell r="BG800">
            <v>2735000</v>
          </cell>
          <cell r="BH800">
            <v>2935000</v>
          </cell>
          <cell r="BI800">
            <v>100000</v>
          </cell>
          <cell r="BJ800">
            <v>2835000</v>
          </cell>
          <cell r="BK800">
            <v>0</v>
          </cell>
          <cell r="BL800">
            <v>2835000</v>
          </cell>
        </row>
        <row r="801">
          <cell r="D801" t="str">
            <v>OS</v>
          </cell>
          <cell r="E801"/>
          <cell r="F801">
            <v>781</v>
          </cell>
          <cell r="G801" t="str">
            <v>SOLD</v>
          </cell>
          <cell r="H801" t="str">
            <v>OS</v>
          </cell>
          <cell r="I801" t="str">
            <v>OS</v>
          </cell>
          <cell r="J801" t="str">
            <v>OS</v>
          </cell>
          <cell r="K801" t="str">
            <v>OS</v>
          </cell>
          <cell r="L801" t="str">
            <v>OS</v>
          </cell>
          <cell r="M801" t="str">
            <v>OS</v>
          </cell>
          <cell r="N801" t="str">
            <v>OS</v>
          </cell>
          <cell r="O801" t="str">
            <v>OS</v>
          </cell>
          <cell r="P801" t="str">
            <v>OS</v>
          </cell>
          <cell r="Q801" t="str">
            <v>OS</v>
          </cell>
          <cell r="R801" t="str">
            <v>OS</v>
          </cell>
          <cell r="S801" t="str">
            <v>OS</v>
          </cell>
          <cell r="T801" t="str">
            <v>OS</v>
          </cell>
          <cell r="U801" t="str">
            <v>OS</v>
          </cell>
          <cell r="V801" t="str">
            <v>OS</v>
          </cell>
          <cell r="W801" t="str">
            <v>OS</v>
          </cell>
          <cell r="X801" t="str">
            <v>OS</v>
          </cell>
          <cell r="Y801" t="str">
            <v>OS</v>
          </cell>
          <cell r="Z801" t="str">
            <v>OS</v>
          </cell>
          <cell r="AA801" t="str">
            <v>OS</v>
          </cell>
          <cell r="AB801" t="str">
            <v>OS</v>
          </cell>
          <cell r="AC801" t="str">
            <v>OS</v>
          </cell>
          <cell r="AD801" t="str">
            <v>AGM-01-040-007</v>
          </cell>
          <cell r="AE801" t="str">
            <v xml:space="preserve">Raemulan Lands, Inc. </v>
          </cell>
          <cell r="AF801" t="str">
            <v>Agapeya</v>
          </cell>
          <cell r="AG801" t="str">
            <v>AGM</v>
          </cell>
          <cell r="AH801" t="str">
            <v>Eco-High</v>
          </cell>
          <cell r="AI801" t="str">
            <v>West</v>
          </cell>
          <cell r="AJ801" t="str">
            <v>With LTS</v>
          </cell>
          <cell r="AK801" t="str">
            <v>Unaffected lots</v>
          </cell>
          <cell r="AL801" t="str">
            <v>Unaffected lots</v>
          </cell>
          <cell r="AM801" t="b">
            <v>1</v>
          </cell>
          <cell r="AN801" t="str">
            <v>YES</v>
          </cell>
          <cell r="AO801" t="str">
            <v>B1 2025</v>
          </cell>
          <cell r="AP801">
            <v>89</v>
          </cell>
          <cell r="AQ801" t="str">
            <v>PCS-04-034298</v>
          </cell>
          <cell r="AR801" t="b">
            <v>1</v>
          </cell>
          <cell r="AS801" t="str">
            <v>Done</v>
          </cell>
          <cell r="AT801" t="str">
            <v>2025 - Batch 1</v>
          </cell>
          <cell r="AU801">
            <v>40</v>
          </cell>
          <cell r="AV801">
            <v>7</v>
          </cell>
          <cell r="AW801" t="str">
            <v>H+L</v>
          </cell>
          <cell r="AX801">
            <v>89</v>
          </cell>
          <cell r="AY801">
            <v>50</v>
          </cell>
          <cell r="AZ801" t="str">
            <v>Duplex</v>
          </cell>
          <cell r="BA801">
            <v>1</v>
          </cell>
          <cell r="BB801" t="str">
            <v>568 - Without Partition</v>
          </cell>
          <cell r="BC801" t="str">
            <v xml:space="preserve">Without Partition </v>
          </cell>
          <cell r="BD801" t="str">
            <v>Slant</v>
          </cell>
          <cell r="BE801" t="str">
            <v xml:space="preserve">Without Partition </v>
          </cell>
          <cell r="BF801" t="str">
            <v>YELLOW</v>
          </cell>
          <cell r="BG801">
            <v>2735000</v>
          </cell>
          <cell r="BH801">
            <v>2935000</v>
          </cell>
          <cell r="BI801">
            <v>100000</v>
          </cell>
          <cell r="BJ801">
            <v>2835000</v>
          </cell>
          <cell r="BK801">
            <v>0</v>
          </cell>
          <cell r="BL801">
            <v>2835000</v>
          </cell>
        </row>
        <row r="802">
          <cell r="D802" t="str">
            <v>OS</v>
          </cell>
          <cell r="E802"/>
          <cell r="F802">
            <v>782</v>
          </cell>
          <cell r="G802" t="str">
            <v>SOLD</v>
          </cell>
          <cell r="H802" t="str">
            <v>OS</v>
          </cell>
          <cell r="I802" t="str">
            <v>OS</v>
          </cell>
          <cell r="J802" t="str">
            <v>OS</v>
          </cell>
          <cell r="K802" t="str">
            <v>OS</v>
          </cell>
          <cell r="L802" t="str">
            <v>OS</v>
          </cell>
          <cell r="M802" t="str">
            <v>OS</v>
          </cell>
          <cell r="N802" t="str">
            <v>OS</v>
          </cell>
          <cell r="O802" t="str">
            <v>OS</v>
          </cell>
          <cell r="P802" t="str">
            <v>OS</v>
          </cell>
          <cell r="Q802" t="str">
            <v>OS</v>
          </cell>
          <cell r="R802" t="str">
            <v>OS</v>
          </cell>
          <cell r="S802" t="str">
            <v>OS</v>
          </cell>
          <cell r="T802" t="str">
            <v>OS</v>
          </cell>
          <cell r="U802" t="str">
            <v>OS</v>
          </cell>
          <cell r="V802" t="str">
            <v>OS</v>
          </cell>
          <cell r="W802" t="str">
            <v>OS</v>
          </cell>
          <cell r="X802" t="str">
            <v>OS</v>
          </cell>
          <cell r="Y802" t="str">
            <v>OS</v>
          </cell>
          <cell r="Z802" t="str">
            <v>OS</v>
          </cell>
          <cell r="AA802" t="str">
            <v>OS</v>
          </cell>
          <cell r="AB802" t="str">
            <v>OS</v>
          </cell>
          <cell r="AC802" t="str">
            <v>OS</v>
          </cell>
          <cell r="AD802" t="str">
            <v>AGM-01-040-008</v>
          </cell>
          <cell r="AE802" t="str">
            <v xml:space="preserve">Raemulan Lands, Inc. </v>
          </cell>
          <cell r="AF802" t="str">
            <v>Agapeya</v>
          </cell>
          <cell r="AG802" t="str">
            <v>AGM</v>
          </cell>
          <cell r="AH802" t="str">
            <v>Eco-High</v>
          </cell>
          <cell r="AI802" t="str">
            <v>West</v>
          </cell>
          <cell r="AJ802" t="str">
            <v>With LTS</v>
          </cell>
          <cell r="AK802" t="str">
            <v>Unaffected lots</v>
          </cell>
          <cell r="AL802" t="str">
            <v>Unaffected lots</v>
          </cell>
          <cell r="AM802" t="b">
            <v>1</v>
          </cell>
          <cell r="AN802" t="str">
            <v>YES</v>
          </cell>
          <cell r="AO802" t="str">
            <v>B1 2025</v>
          </cell>
          <cell r="AP802">
            <v>70</v>
          </cell>
          <cell r="AQ802" t="str">
            <v>PCS-04-034298</v>
          </cell>
          <cell r="AR802" t="b">
            <v>1</v>
          </cell>
          <cell r="AS802" t="str">
            <v>Done</v>
          </cell>
          <cell r="AT802" t="str">
            <v>2025 - Batch 1</v>
          </cell>
          <cell r="AU802">
            <v>40</v>
          </cell>
          <cell r="AV802">
            <v>8</v>
          </cell>
          <cell r="AW802" t="str">
            <v>H+L</v>
          </cell>
          <cell r="AX802">
            <v>70</v>
          </cell>
          <cell r="AY802">
            <v>50</v>
          </cell>
          <cell r="AZ802" t="str">
            <v>Duplex</v>
          </cell>
          <cell r="BA802">
            <v>1</v>
          </cell>
          <cell r="BB802" t="str">
            <v>568 - Without Partition</v>
          </cell>
          <cell r="BC802" t="str">
            <v xml:space="preserve">Without Partition </v>
          </cell>
          <cell r="BD802" t="str">
            <v>Flat</v>
          </cell>
          <cell r="BE802" t="str">
            <v xml:space="preserve">Without Partition </v>
          </cell>
          <cell r="BF802" t="str">
            <v>YELLOW</v>
          </cell>
          <cell r="BG802">
            <v>2500000</v>
          </cell>
          <cell r="BH802">
            <v>2650000</v>
          </cell>
          <cell r="BI802">
            <v>100000</v>
          </cell>
          <cell r="BJ802">
            <v>2550000</v>
          </cell>
          <cell r="BK802">
            <v>0</v>
          </cell>
          <cell r="BL802">
            <v>2550000</v>
          </cell>
        </row>
        <row r="803">
          <cell r="D803" t="str">
            <v>OS</v>
          </cell>
          <cell r="E803"/>
          <cell r="F803">
            <v>783</v>
          </cell>
          <cell r="G803" t="str">
            <v>FOR CANCELLATION</v>
          </cell>
          <cell r="H803" t="str">
            <v>FOR CANCELLATION</v>
          </cell>
          <cell r="I803" t="str">
            <v>FOR CANCELLATION</v>
          </cell>
          <cell r="J803" t="str">
            <v>FOR CANCELLATION</v>
          </cell>
          <cell r="K803" t="str">
            <v>FOR CANCELLATION</v>
          </cell>
          <cell r="L803" t="str">
            <v>FOR CANCELLATION</v>
          </cell>
          <cell r="M803" t="str">
            <v>FOR CANCELLATION</v>
          </cell>
          <cell r="N803" t="str">
            <v>FOR CANCELLATION</v>
          </cell>
          <cell r="O803" t="str">
            <v>FOR CANCELLATION</v>
          </cell>
          <cell r="P803" t="str">
            <v>FOR CANCELLATION</v>
          </cell>
          <cell r="Q803" t="str">
            <v>FOR CANCELLATION</v>
          </cell>
          <cell r="R803" t="str">
            <v>FOR CANCELLATION</v>
          </cell>
          <cell r="S803" t="str">
            <v>WITH BRN</v>
          </cell>
          <cell r="T803" t="str">
            <v>FOR CANCELLATION</v>
          </cell>
          <cell r="U803" t="str">
            <v>TS</v>
          </cell>
          <cell r="V803" t="str">
            <v>OS</v>
          </cell>
          <cell r="W803" t="str">
            <v>TS</v>
          </cell>
          <cell r="X803" t="str">
            <v>OS</v>
          </cell>
          <cell r="Y803" t="str">
            <v>OS</v>
          </cell>
          <cell r="Z803" t="str">
            <v>OS</v>
          </cell>
          <cell r="AA803" t="str">
            <v>OS</v>
          </cell>
          <cell r="AB803" t="str">
            <v>OS</v>
          </cell>
          <cell r="AC803" t="str">
            <v>OS</v>
          </cell>
          <cell r="AD803" t="str">
            <v>AGM-01-040-009</v>
          </cell>
          <cell r="AE803" t="str">
            <v xml:space="preserve">Raemulan Lands, Inc. </v>
          </cell>
          <cell r="AF803" t="str">
            <v>Agapeya</v>
          </cell>
          <cell r="AG803" t="str">
            <v>AGM</v>
          </cell>
          <cell r="AH803" t="str">
            <v>Eco-High</v>
          </cell>
          <cell r="AI803" t="str">
            <v>West</v>
          </cell>
          <cell r="AJ803" t="str">
            <v>With LTS</v>
          </cell>
          <cell r="AK803" t="str">
            <v>Unaffected lots</v>
          </cell>
          <cell r="AL803" t="str">
            <v>Unaffected lots</v>
          </cell>
          <cell r="AM803" t="b">
            <v>1</v>
          </cell>
          <cell r="AN803" t="str">
            <v>YES</v>
          </cell>
          <cell r="AO803" t="str">
            <v>2024 Batch</v>
          </cell>
          <cell r="AP803">
            <v>70</v>
          </cell>
          <cell r="AQ803" t="str">
            <v>PCS-04-034298</v>
          </cell>
          <cell r="AR803" t="b">
            <v>1</v>
          </cell>
          <cell r="AS803" t="str">
            <v>Done</v>
          </cell>
          <cell r="AT803" t="str">
            <v>2024 Batch</v>
          </cell>
          <cell r="AU803">
            <v>40</v>
          </cell>
          <cell r="AV803">
            <v>9</v>
          </cell>
          <cell r="AW803" t="str">
            <v>H+L</v>
          </cell>
          <cell r="AX803">
            <v>70</v>
          </cell>
          <cell r="AY803">
            <v>50</v>
          </cell>
          <cell r="AZ803" t="str">
            <v>Duplex</v>
          </cell>
          <cell r="BA803">
            <v>1</v>
          </cell>
          <cell r="BB803" t="str">
            <v>326 - With Partition</v>
          </cell>
          <cell r="BC803" t="str">
            <v>With Partition</v>
          </cell>
          <cell r="BD803" t="str">
            <v>Flat</v>
          </cell>
          <cell r="BE803" t="str">
            <v>With Partition</v>
          </cell>
          <cell r="BF803" t="str">
            <v>YELLOW</v>
          </cell>
          <cell r="BG803">
            <v>2500000</v>
          </cell>
          <cell r="BH803">
            <v>2850000</v>
          </cell>
          <cell r="BI803">
            <v>100000</v>
          </cell>
          <cell r="BJ803">
            <v>2750000</v>
          </cell>
          <cell r="BK803">
            <v>0</v>
          </cell>
          <cell r="BL803">
            <v>2750000</v>
          </cell>
        </row>
        <row r="804">
          <cell r="D804" t="str">
            <v>OS</v>
          </cell>
          <cell r="E804"/>
          <cell r="F804">
            <v>784</v>
          </cell>
          <cell r="G804" t="str">
            <v>SOLD</v>
          </cell>
          <cell r="H804" t="str">
            <v>OS</v>
          </cell>
          <cell r="I804" t="str">
            <v>OS</v>
          </cell>
          <cell r="J804" t="str">
            <v>OS</v>
          </cell>
          <cell r="K804" t="str">
            <v>OS</v>
          </cell>
          <cell r="L804" t="str">
            <v>OS</v>
          </cell>
          <cell r="M804" t="str">
            <v>OS</v>
          </cell>
          <cell r="N804" t="str">
            <v>OS</v>
          </cell>
          <cell r="O804" t="str">
            <v>OS</v>
          </cell>
          <cell r="P804" t="str">
            <v>OS</v>
          </cell>
          <cell r="Q804" t="str">
            <v>OS</v>
          </cell>
          <cell r="R804" t="str">
            <v>OS</v>
          </cell>
          <cell r="S804" t="str">
            <v>OS</v>
          </cell>
          <cell r="T804" t="str">
            <v>OS</v>
          </cell>
          <cell r="U804" t="str">
            <v>OS</v>
          </cell>
          <cell r="V804" t="str">
            <v>OS</v>
          </cell>
          <cell r="W804" t="str">
            <v>OS</v>
          </cell>
          <cell r="X804" t="str">
            <v>OS</v>
          </cell>
          <cell r="Y804" t="str">
            <v>OS</v>
          </cell>
          <cell r="Z804" t="str">
            <v>OS</v>
          </cell>
          <cell r="AA804" t="str">
            <v>OS</v>
          </cell>
          <cell r="AB804" t="str">
            <v>OS</v>
          </cell>
          <cell r="AC804" t="str">
            <v>OS</v>
          </cell>
          <cell r="AD804" t="str">
            <v>AGM-01-040-010</v>
          </cell>
          <cell r="AE804" t="str">
            <v xml:space="preserve">Raemulan Lands, Inc. </v>
          </cell>
          <cell r="AF804" t="str">
            <v>Agapeya</v>
          </cell>
          <cell r="AG804" t="str">
            <v>AGM</v>
          </cell>
          <cell r="AH804" t="str">
            <v>Eco-High</v>
          </cell>
          <cell r="AI804" t="str">
            <v>West</v>
          </cell>
          <cell r="AJ804" t="str">
            <v>With LTS</v>
          </cell>
          <cell r="AK804" t="str">
            <v>Unaffected lots</v>
          </cell>
          <cell r="AL804" t="str">
            <v>Unaffected lots</v>
          </cell>
          <cell r="AM804" t="b">
            <v>1</v>
          </cell>
          <cell r="AN804" t="str">
            <v>YES</v>
          </cell>
          <cell r="AO804" t="str">
            <v>2024 Batch</v>
          </cell>
          <cell r="AP804">
            <v>70</v>
          </cell>
          <cell r="AQ804" t="str">
            <v>PCS-04-034298</v>
          </cell>
          <cell r="AR804" t="b">
            <v>1</v>
          </cell>
          <cell r="AS804" t="str">
            <v>Done</v>
          </cell>
          <cell r="AT804" t="str">
            <v>2024 Batch</v>
          </cell>
          <cell r="AU804">
            <v>40</v>
          </cell>
          <cell r="AV804">
            <v>10</v>
          </cell>
          <cell r="AW804" t="str">
            <v>H+L</v>
          </cell>
          <cell r="AX804">
            <v>70</v>
          </cell>
          <cell r="AY804">
            <v>50</v>
          </cell>
          <cell r="AZ804" t="str">
            <v>Duplex</v>
          </cell>
          <cell r="BA804">
            <v>1</v>
          </cell>
          <cell r="BB804" t="str">
            <v>326 - With Partition</v>
          </cell>
          <cell r="BC804" t="str">
            <v>With Partition</v>
          </cell>
          <cell r="BD804" t="str">
            <v>Slant</v>
          </cell>
          <cell r="BE804" t="str">
            <v>With Partition</v>
          </cell>
          <cell r="BF804" t="str">
            <v>YELLOW</v>
          </cell>
          <cell r="BG804">
            <v>2707500</v>
          </cell>
          <cell r="BH804">
            <v>2850000</v>
          </cell>
          <cell r="BI804">
            <v>100000</v>
          </cell>
          <cell r="BJ804">
            <v>2750000</v>
          </cell>
          <cell r="BK804">
            <v>0</v>
          </cell>
          <cell r="BL804">
            <v>2750000</v>
          </cell>
        </row>
        <row r="805">
          <cell r="D805" t="str">
            <v>OS</v>
          </cell>
          <cell r="E805"/>
          <cell r="F805">
            <v>785</v>
          </cell>
          <cell r="G805" t="str">
            <v>SOLD</v>
          </cell>
          <cell r="H805" t="str">
            <v>OS</v>
          </cell>
          <cell r="I805" t="str">
            <v>OS</v>
          </cell>
          <cell r="J805" t="str">
            <v>OS</v>
          </cell>
          <cell r="K805" t="str">
            <v>OS</v>
          </cell>
          <cell r="L805" t="str">
            <v>OS</v>
          </cell>
          <cell r="M805" t="str">
            <v>OS</v>
          </cell>
          <cell r="N805" t="str">
            <v>OS</v>
          </cell>
          <cell r="O805" t="str">
            <v>OS</v>
          </cell>
          <cell r="P805" t="str">
            <v>OS</v>
          </cell>
          <cell r="Q805" t="str">
            <v>OS</v>
          </cell>
          <cell r="R805" t="str">
            <v>OS</v>
          </cell>
          <cell r="S805" t="str">
            <v>OS</v>
          </cell>
          <cell r="T805" t="str">
            <v>OS</v>
          </cell>
          <cell r="U805" t="str">
            <v>OS</v>
          </cell>
          <cell r="V805" t="str">
            <v>OS</v>
          </cell>
          <cell r="W805" t="str">
            <v>OS</v>
          </cell>
          <cell r="X805" t="str">
            <v>OS</v>
          </cell>
          <cell r="Y805" t="str">
            <v>OS</v>
          </cell>
          <cell r="Z805" t="str">
            <v>OS</v>
          </cell>
          <cell r="AA805" t="str">
            <v>OS</v>
          </cell>
          <cell r="AB805" t="str">
            <v>OS</v>
          </cell>
          <cell r="AC805" t="str">
            <v>OS</v>
          </cell>
          <cell r="AD805" t="str">
            <v>AGM-01-040-011</v>
          </cell>
          <cell r="AE805" t="str">
            <v xml:space="preserve">Raemulan Lands, Inc. </v>
          </cell>
          <cell r="AF805" t="str">
            <v>Agapeya</v>
          </cell>
          <cell r="AG805" t="str">
            <v>AGM</v>
          </cell>
          <cell r="AH805" t="str">
            <v>Eco-High</v>
          </cell>
          <cell r="AI805" t="str">
            <v>West</v>
          </cell>
          <cell r="AJ805" t="str">
            <v>With LTS</v>
          </cell>
          <cell r="AK805" t="str">
            <v>Unaffected lots</v>
          </cell>
          <cell r="AL805" t="str">
            <v>Unaffected lots</v>
          </cell>
          <cell r="AM805" t="b">
            <v>1</v>
          </cell>
          <cell r="AN805" t="str">
            <v>YES</v>
          </cell>
          <cell r="AO805" t="str">
            <v>B1 2025</v>
          </cell>
          <cell r="AP805">
            <v>70</v>
          </cell>
          <cell r="AQ805" t="str">
            <v>PCS-04-034298</v>
          </cell>
          <cell r="AR805" t="b">
            <v>1</v>
          </cell>
          <cell r="AS805" t="str">
            <v>Done</v>
          </cell>
          <cell r="AT805" t="str">
            <v>2025 - Batch 1</v>
          </cell>
          <cell r="AU805">
            <v>40</v>
          </cell>
          <cell r="AV805">
            <v>11</v>
          </cell>
          <cell r="AW805" t="str">
            <v>H+L</v>
          </cell>
          <cell r="AX805">
            <v>70</v>
          </cell>
          <cell r="AY805">
            <v>50</v>
          </cell>
          <cell r="AZ805" t="str">
            <v>Duplex</v>
          </cell>
          <cell r="BA805">
            <v>1</v>
          </cell>
          <cell r="BB805" t="str">
            <v>568 - Without Partition</v>
          </cell>
          <cell r="BC805" t="str">
            <v xml:space="preserve">Without Partition </v>
          </cell>
          <cell r="BD805" t="str">
            <v>Flat</v>
          </cell>
          <cell r="BE805" t="str">
            <v xml:space="preserve">Without Partition </v>
          </cell>
          <cell r="BF805" t="str">
            <v>GREEN</v>
          </cell>
          <cell r="BG805">
            <v>2500000</v>
          </cell>
          <cell r="BH805">
            <v>2650000</v>
          </cell>
          <cell r="BI805">
            <v>100000</v>
          </cell>
          <cell r="BJ805">
            <v>2550000</v>
          </cell>
          <cell r="BK805">
            <v>0</v>
          </cell>
          <cell r="BL805">
            <v>2550000</v>
          </cell>
        </row>
        <row r="806">
          <cell r="D806" t="str">
            <v>OS</v>
          </cell>
          <cell r="E806"/>
          <cell r="F806">
            <v>786</v>
          </cell>
          <cell r="G806" t="str">
            <v>SOLD</v>
          </cell>
          <cell r="H806" t="str">
            <v>OS</v>
          </cell>
          <cell r="I806" t="str">
            <v>OS</v>
          </cell>
          <cell r="J806" t="str">
            <v>OS</v>
          </cell>
          <cell r="K806" t="str">
            <v>OS</v>
          </cell>
          <cell r="L806" t="str">
            <v>OS</v>
          </cell>
          <cell r="M806" t="str">
            <v>OS</v>
          </cell>
          <cell r="N806" t="str">
            <v>OS</v>
          </cell>
          <cell r="O806" t="str">
            <v>OS</v>
          </cell>
          <cell r="P806" t="str">
            <v>OS</v>
          </cell>
          <cell r="Q806" t="str">
            <v>OS</v>
          </cell>
          <cell r="R806" t="str">
            <v>OS</v>
          </cell>
          <cell r="S806" t="str">
            <v>OS</v>
          </cell>
          <cell r="T806" t="str">
            <v>OS</v>
          </cell>
          <cell r="U806" t="str">
            <v>OS</v>
          </cell>
          <cell r="V806" t="str">
            <v>OS</v>
          </cell>
          <cell r="W806" t="str">
            <v>OS</v>
          </cell>
          <cell r="X806" t="str">
            <v>OS</v>
          </cell>
          <cell r="Y806" t="str">
            <v>OS</v>
          </cell>
          <cell r="Z806" t="str">
            <v>OS</v>
          </cell>
          <cell r="AA806" t="str">
            <v>OS</v>
          </cell>
          <cell r="AB806" t="str">
            <v>OS</v>
          </cell>
          <cell r="AC806" t="str">
            <v>OS</v>
          </cell>
          <cell r="AD806" t="str">
            <v>AGM-01-040-012</v>
          </cell>
          <cell r="AE806" t="str">
            <v xml:space="preserve">Raemulan Lands, Inc. </v>
          </cell>
          <cell r="AF806" t="str">
            <v>Agapeya</v>
          </cell>
          <cell r="AG806" t="str">
            <v>AGM</v>
          </cell>
          <cell r="AH806" t="str">
            <v>Eco-High</v>
          </cell>
          <cell r="AI806" t="str">
            <v>West</v>
          </cell>
          <cell r="AJ806" t="str">
            <v>With LTS</v>
          </cell>
          <cell r="AK806" t="str">
            <v>Unaffected lots</v>
          </cell>
          <cell r="AL806" t="str">
            <v>Unaffected lots</v>
          </cell>
          <cell r="AM806" t="b">
            <v>1</v>
          </cell>
          <cell r="AN806" t="str">
            <v>YES</v>
          </cell>
          <cell r="AO806" t="str">
            <v>B1 2025</v>
          </cell>
          <cell r="AP806">
            <v>70</v>
          </cell>
          <cell r="AQ806" t="str">
            <v>PCS-04-034298</v>
          </cell>
          <cell r="AR806" t="b">
            <v>1</v>
          </cell>
          <cell r="AS806" t="str">
            <v>Done</v>
          </cell>
          <cell r="AT806" t="str">
            <v>2025 - Batch 1</v>
          </cell>
          <cell r="AU806">
            <v>40</v>
          </cell>
          <cell r="AV806">
            <v>12</v>
          </cell>
          <cell r="AW806" t="str">
            <v>H+L</v>
          </cell>
          <cell r="AX806">
            <v>70</v>
          </cell>
          <cell r="AY806">
            <v>50</v>
          </cell>
          <cell r="AZ806" t="str">
            <v>Duplex</v>
          </cell>
          <cell r="BA806">
            <v>1</v>
          </cell>
          <cell r="BB806" t="str">
            <v>568 - Without Partition</v>
          </cell>
          <cell r="BC806" t="str">
            <v xml:space="preserve">Without Partition </v>
          </cell>
          <cell r="BD806" t="str">
            <v>Slant</v>
          </cell>
          <cell r="BE806" t="str">
            <v xml:space="preserve">Without Partition </v>
          </cell>
          <cell r="BF806" t="str">
            <v>GREEN</v>
          </cell>
          <cell r="BG806">
            <v>2500000</v>
          </cell>
          <cell r="BH806">
            <v>2650000</v>
          </cell>
          <cell r="BI806">
            <v>100000</v>
          </cell>
          <cell r="BJ806">
            <v>2550000</v>
          </cell>
          <cell r="BK806">
            <v>0</v>
          </cell>
          <cell r="BL806">
            <v>2550000</v>
          </cell>
        </row>
        <row r="807">
          <cell r="D807" t="str">
            <v>OS</v>
          </cell>
          <cell r="E807"/>
          <cell r="F807">
            <v>787</v>
          </cell>
          <cell r="G807" t="str">
            <v>SOLD</v>
          </cell>
          <cell r="H807" t="str">
            <v>OS</v>
          </cell>
          <cell r="I807" t="str">
            <v>OS</v>
          </cell>
          <cell r="J807" t="str">
            <v>OS</v>
          </cell>
          <cell r="K807" t="str">
            <v>OS</v>
          </cell>
          <cell r="L807" t="str">
            <v>OS</v>
          </cell>
          <cell r="M807" t="str">
            <v>OS</v>
          </cell>
          <cell r="N807" t="str">
            <v>OS</v>
          </cell>
          <cell r="O807" t="str">
            <v>OS</v>
          </cell>
          <cell r="P807" t="str">
            <v>OS</v>
          </cell>
          <cell r="Q807" t="str">
            <v>OS</v>
          </cell>
          <cell r="R807" t="str">
            <v>OS</v>
          </cell>
          <cell r="S807" t="str">
            <v>OS</v>
          </cell>
          <cell r="T807" t="str">
            <v>OS</v>
          </cell>
          <cell r="U807" t="str">
            <v>OS</v>
          </cell>
          <cell r="V807" t="str">
            <v>OS</v>
          </cell>
          <cell r="W807" t="str">
            <v>OS</v>
          </cell>
          <cell r="X807" t="str">
            <v>OS</v>
          </cell>
          <cell r="Y807" t="str">
            <v>OS</v>
          </cell>
          <cell r="Z807" t="str">
            <v>OS</v>
          </cell>
          <cell r="AA807" t="str">
            <v>OS</v>
          </cell>
          <cell r="AB807" t="str">
            <v>OS</v>
          </cell>
          <cell r="AC807" t="str">
            <v>OS</v>
          </cell>
          <cell r="AD807" t="str">
            <v>AGM-01-041-001</v>
          </cell>
          <cell r="AE807" t="str">
            <v xml:space="preserve">Raemulan Lands, Inc. </v>
          </cell>
          <cell r="AF807" t="str">
            <v>Agapeya</v>
          </cell>
          <cell r="AG807" t="str">
            <v>AGM</v>
          </cell>
          <cell r="AH807" t="str">
            <v>Eco-High</v>
          </cell>
          <cell r="AI807" t="str">
            <v>West</v>
          </cell>
          <cell r="AJ807" t="str">
            <v>With LTS</v>
          </cell>
          <cell r="AK807" t="str">
            <v>Unaffected lots</v>
          </cell>
          <cell r="AL807" t="str">
            <v>Unaffected lots</v>
          </cell>
          <cell r="AM807" t="b">
            <v>1</v>
          </cell>
          <cell r="AN807" t="str">
            <v>YES</v>
          </cell>
          <cell r="AO807" t="str">
            <v>B2 2025</v>
          </cell>
          <cell r="AP807" t="str">
            <v>1/87</v>
          </cell>
          <cell r="AQ807" t="str">
            <v>PCS-04-034298/PCS-04-276764</v>
          </cell>
          <cell r="AR807" t="b">
            <v>0</v>
          </cell>
          <cell r="AS807" t="str">
            <v>Ongoing</v>
          </cell>
          <cell r="AT807" t="str">
            <v>2025 - Batch 1</v>
          </cell>
          <cell r="AU807">
            <v>41</v>
          </cell>
          <cell r="AV807">
            <v>1</v>
          </cell>
          <cell r="AW807" t="str">
            <v>H+L</v>
          </cell>
          <cell r="AX807">
            <v>89</v>
          </cell>
          <cell r="AY807">
            <v>50</v>
          </cell>
          <cell r="AZ807" t="str">
            <v>Duplex</v>
          </cell>
          <cell r="BA807">
            <v>1</v>
          </cell>
          <cell r="BB807" t="str">
            <v>568 - Without Partition</v>
          </cell>
          <cell r="BC807" t="str">
            <v xml:space="preserve">Without Partition </v>
          </cell>
          <cell r="BD807" t="str">
            <v>Slant</v>
          </cell>
          <cell r="BE807" t="str">
            <v xml:space="preserve">Without Partition </v>
          </cell>
          <cell r="BF807" t="str">
            <v>PURPLE</v>
          </cell>
          <cell r="BG807">
            <v>2885000</v>
          </cell>
          <cell r="BH807">
            <v>2935000</v>
          </cell>
          <cell r="BI807">
            <v>100000</v>
          </cell>
          <cell r="BJ807">
            <v>2835000</v>
          </cell>
          <cell r="BK807">
            <v>0</v>
          </cell>
          <cell r="BL807">
            <v>2835000</v>
          </cell>
        </row>
        <row r="808">
          <cell r="D808" t="str">
            <v>OS</v>
          </cell>
          <cell r="E808"/>
          <cell r="F808">
            <v>788</v>
          </cell>
          <cell r="G808" t="str">
            <v>SOLD</v>
          </cell>
          <cell r="H808" t="str">
            <v>OS</v>
          </cell>
          <cell r="I808" t="str">
            <v>OS</v>
          </cell>
          <cell r="J808" t="str">
            <v>OS</v>
          </cell>
          <cell r="K808" t="str">
            <v>OS</v>
          </cell>
          <cell r="L808" t="str">
            <v>OS</v>
          </cell>
          <cell r="M808" t="str">
            <v>OS</v>
          </cell>
          <cell r="N808" t="str">
            <v>OS</v>
          </cell>
          <cell r="O808" t="str">
            <v>OS</v>
          </cell>
          <cell r="P808" t="str">
            <v>OS</v>
          </cell>
          <cell r="Q808" t="str">
            <v>OS</v>
          </cell>
          <cell r="R808" t="str">
            <v>OS</v>
          </cell>
          <cell r="S808" t="str">
            <v>OS</v>
          </cell>
          <cell r="T808" t="str">
            <v>OS</v>
          </cell>
          <cell r="U808" t="str">
            <v>OS</v>
          </cell>
          <cell r="V808" t="str">
            <v>OS</v>
          </cell>
          <cell r="W808" t="str">
            <v>OS</v>
          </cell>
          <cell r="X808" t="str">
            <v>OS</v>
          </cell>
          <cell r="Y808" t="str">
            <v>OS</v>
          </cell>
          <cell r="Z808" t="str">
            <v>OS</v>
          </cell>
          <cell r="AA808" t="str">
            <v>OS</v>
          </cell>
          <cell r="AB808" t="str">
            <v>OS</v>
          </cell>
          <cell r="AC808" t="str">
            <v>OS</v>
          </cell>
          <cell r="AD808" t="str">
            <v>AGM-01-041-002</v>
          </cell>
          <cell r="AE808" t="str">
            <v xml:space="preserve">Raemulan Lands, Inc. </v>
          </cell>
          <cell r="AF808" t="str">
            <v>Agapeya</v>
          </cell>
          <cell r="AG808" t="str">
            <v>AGM</v>
          </cell>
          <cell r="AH808" t="str">
            <v>Eco-High</v>
          </cell>
          <cell r="AI808" t="str">
            <v>West</v>
          </cell>
          <cell r="AJ808" t="str">
            <v>With LTS</v>
          </cell>
          <cell r="AK808" t="str">
            <v>Unaffected lots</v>
          </cell>
          <cell r="AL808" t="str">
            <v>Unaffected lots</v>
          </cell>
          <cell r="AM808" t="b">
            <v>1</v>
          </cell>
          <cell r="AN808" t="str">
            <v>YES</v>
          </cell>
          <cell r="AO808" t="str">
            <v>B2 2025</v>
          </cell>
          <cell r="AP808">
            <v>69</v>
          </cell>
          <cell r="AQ808" t="str">
            <v>PCS-04-276764</v>
          </cell>
          <cell r="AR808" t="b">
            <v>0</v>
          </cell>
          <cell r="AS808" t="str">
            <v>Ongoing</v>
          </cell>
          <cell r="AT808" t="str">
            <v>2025 - Batch 1</v>
          </cell>
          <cell r="AU808">
            <v>41</v>
          </cell>
          <cell r="AV808">
            <v>2</v>
          </cell>
          <cell r="AW808" t="str">
            <v>H+L</v>
          </cell>
          <cell r="AX808">
            <v>70</v>
          </cell>
          <cell r="AY808">
            <v>50</v>
          </cell>
          <cell r="AZ808" t="str">
            <v>Duplex</v>
          </cell>
          <cell r="BA808">
            <v>1</v>
          </cell>
          <cell r="BB808" t="str">
            <v>568 - Without Partition</v>
          </cell>
          <cell r="BC808" t="str">
            <v xml:space="preserve">Without Partition </v>
          </cell>
          <cell r="BD808" t="str">
            <v>Flat</v>
          </cell>
          <cell r="BE808" t="str">
            <v xml:space="preserve">Without Partition </v>
          </cell>
          <cell r="BF808" t="str">
            <v>PURPLE</v>
          </cell>
          <cell r="BG808">
            <v>2500000</v>
          </cell>
          <cell r="BH808">
            <v>2650000</v>
          </cell>
          <cell r="BI808">
            <v>100000</v>
          </cell>
          <cell r="BJ808">
            <v>2550000</v>
          </cell>
          <cell r="BK808">
            <v>0</v>
          </cell>
          <cell r="BL808">
            <v>2550000</v>
          </cell>
        </row>
        <row r="809">
          <cell r="D809" t="str">
            <v>OS</v>
          </cell>
          <cell r="E809"/>
          <cell r="F809">
            <v>789</v>
          </cell>
          <cell r="G809" t="str">
            <v>SOLD</v>
          </cell>
          <cell r="H809" t="str">
            <v>OS</v>
          </cell>
          <cell r="I809" t="str">
            <v>OS</v>
          </cell>
          <cell r="J809" t="str">
            <v>OS</v>
          </cell>
          <cell r="K809" t="str">
            <v>OS</v>
          </cell>
          <cell r="L809" t="str">
            <v>OS</v>
          </cell>
          <cell r="M809" t="str">
            <v>OS</v>
          </cell>
          <cell r="N809" t="str">
            <v>OS</v>
          </cell>
          <cell r="O809" t="str">
            <v>OS</v>
          </cell>
          <cell r="P809" t="str">
            <v>OS</v>
          </cell>
          <cell r="Q809" t="str">
            <v>OS</v>
          </cell>
          <cell r="R809" t="str">
            <v>OS</v>
          </cell>
          <cell r="S809" t="str">
            <v>OS</v>
          </cell>
          <cell r="T809" t="str">
            <v>OS</v>
          </cell>
          <cell r="U809" t="str">
            <v>OS</v>
          </cell>
          <cell r="V809" t="str">
            <v>OS</v>
          </cell>
          <cell r="W809" t="str">
            <v>OS</v>
          </cell>
          <cell r="X809" t="str">
            <v>OS</v>
          </cell>
          <cell r="Y809" t="str">
            <v>OS</v>
          </cell>
          <cell r="Z809" t="str">
            <v>OS</v>
          </cell>
          <cell r="AA809" t="str">
            <v>OS</v>
          </cell>
          <cell r="AB809" t="str">
            <v>OS</v>
          </cell>
          <cell r="AC809" t="str">
            <v>OS</v>
          </cell>
          <cell r="AD809" t="str">
            <v>AGM-01-041-003</v>
          </cell>
          <cell r="AE809" t="str">
            <v xml:space="preserve">Raemulan Lands, Inc. </v>
          </cell>
          <cell r="AF809" t="str">
            <v>Agapeya</v>
          </cell>
          <cell r="AG809" t="str">
            <v>AGM</v>
          </cell>
          <cell r="AH809" t="str">
            <v>Eco-High</v>
          </cell>
          <cell r="AI809" t="str">
            <v>West</v>
          </cell>
          <cell r="AJ809" t="str">
            <v>With LTS</v>
          </cell>
          <cell r="AK809" t="str">
            <v>Unaffected lots</v>
          </cell>
          <cell r="AL809" t="str">
            <v>Unaffected lots</v>
          </cell>
          <cell r="AM809" t="b">
            <v>1</v>
          </cell>
          <cell r="AN809" t="str">
            <v>YES</v>
          </cell>
          <cell r="AO809" t="str">
            <v>B2 2025</v>
          </cell>
          <cell r="AP809">
            <v>70</v>
          </cell>
          <cell r="AQ809" t="str">
            <v>PCS-04-276764</v>
          </cell>
          <cell r="AR809" t="b">
            <v>1</v>
          </cell>
          <cell r="AS809" t="str">
            <v>Done</v>
          </cell>
          <cell r="AT809" t="str">
            <v>2025 - Batch 1</v>
          </cell>
          <cell r="AU809">
            <v>41</v>
          </cell>
          <cell r="AV809">
            <v>3</v>
          </cell>
          <cell r="AW809" t="str">
            <v>H+L</v>
          </cell>
          <cell r="AX809">
            <v>70</v>
          </cell>
          <cell r="AY809">
            <v>50</v>
          </cell>
          <cell r="AZ809" t="str">
            <v>Duplex</v>
          </cell>
          <cell r="BA809">
            <v>1</v>
          </cell>
          <cell r="BB809" t="str">
            <v>568 - Without Partition</v>
          </cell>
          <cell r="BC809" t="str">
            <v xml:space="preserve">Without Partition </v>
          </cell>
          <cell r="BD809" t="str">
            <v>Slant</v>
          </cell>
          <cell r="BE809" t="str">
            <v xml:space="preserve">Without Partition </v>
          </cell>
          <cell r="BF809" t="str">
            <v>GREEN</v>
          </cell>
          <cell r="BG809">
            <v>2500000</v>
          </cell>
          <cell r="BH809">
            <v>2650000</v>
          </cell>
          <cell r="BI809">
            <v>100000</v>
          </cell>
          <cell r="BJ809">
            <v>2550000</v>
          </cell>
          <cell r="BK809">
            <v>0</v>
          </cell>
          <cell r="BL809">
            <v>2550000</v>
          </cell>
        </row>
        <row r="810">
          <cell r="D810" t="str">
            <v>OS</v>
          </cell>
          <cell r="E810"/>
          <cell r="F810">
            <v>790</v>
          </cell>
          <cell r="G810" t="str">
            <v>SOLD</v>
          </cell>
          <cell r="H810" t="str">
            <v>OS</v>
          </cell>
          <cell r="I810" t="str">
            <v>OS</v>
          </cell>
          <cell r="J810" t="str">
            <v>OS</v>
          </cell>
          <cell r="K810" t="str">
            <v>OS</v>
          </cell>
          <cell r="L810" t="str">
            <v>OS</v>
          </cell>
          <cell r="M810" t="str">
            <v>OS</v>
          </cell>
          <cell r="N810" t="str">
            <v>OS</v>
          </cell>
          <cell r="O810" t="str">
            <v>OS</v>
          </cell>
          <cell r="P810" t="str">
            <v>OS</v>
          </cell>
          <cell r="Q810" t="str">
            <v>OS</v>
          </cell>
          <cell r="R810" t="str">
            <v>OS</v>
          </cell>
          <cell r="S810" t="str">
            <v>OS</v>
          </cell>
          <cell r="T810" t="str">
            <v>OS</v>
          </cell>
          <cell r="U810" t="str">
            <v>OS</v>
          </cell>
          <cell r="V810" t="str">
            <v>OS</v>
          </cell>
          <cell r="W810" t="str">
            <v>OS</v>
          </cell>
          <cell r="X810" t="str">
            <v>OS</v>
          </cell>
          <cell r="Y810" t="str">
            <v>OS</v>
          </cell>
          <cell r="Z810" t="str">
            <v>OS</v>
          </cell>
          <cell r="AA810" t="str">
            <v>OS</v>
          </cell>
          <cell r="AB810" t="str">
            <v>OS</v>
          </cell>
          <cell r="AC810" t="str">
            <v>OS</v>
          </cell>
          <cell r="AD810" t="str">
            <v>AGM-01-041-004</v>
          </cell>
          <cell r="AE810" t="str">
            <v xml:space="preserve">Raemulan Lands, Inc. </v>
          </cell>
          <cell r="AF810" t="str">
            <v>Agapeya</v>
          </cell>
          <cell r="AG810" t="str">
            <v>AGM</v>
          </cell>
          <cell r="AH810" t="str">
            <v>Eco-High</v>
          </cell>
          <cell r="AI810" t="str">
            <v>West</v>
          </cell>
          <cell r="AJ810" t="str">
            <v>With LTS</v>
          </cell>
          <cell r="AK810" t="str">
            <v>Unaffected lots</v>
          </cell>
          <cell r="AL810" t="str">
            <v>Unaffected lots</v>
          </cell>
          <cell r="AM810" t="b">
            <v>1</v>
          </cell>
          <cell r="AN810" t="str">
            <v>YES</v>
          </cell>
          <cell r="AO810" t="str">
            <v>B2 2025</v>
          </cell>
          <cell r="AP810">
            <v>70</v>
          </cell>
          <cell r="AQ810" t="str">
            <v>PCS-04-276764</v>
          </cell>
          <cell r="AR810" t="b">
            <v>1</v>
          </cell>
          <cell r="AS810" t="str">
            <v>Done</v>
          </cell>
          <cell r="AT810" t="str">
            <v>2025 - Batch 1</v>
          </cell>
          <cell r="AU810">
            <v>41</v>
          </cell>
          <cell r="AV810">
            <v>4</v>
          </cell>
          <cell r="AW810" t="str">
            <v>H+L</v>
          </cell>
          <cell r="AX810">
            <v>70</v>
          </cell>
          <cell r="AY810">
            <v>50</v>
          </cell>
          <cell r="AZ810" t="str">
            <v>Duplex</v>
          </cell>
          <cell r="BA810">
            <v>1</v>
          </cell>
          <cell r="BB810" t="str">
            <v>568 - Without Partition</v>
          </cell>
          <cell r="BC810" t="str">
            <v xml:space="preserve">Without Partition </v>
          </cell>
          <cell r="BD810" t="str">
            <v>Flat</v>
          </cell>
          <cell r="BE810" t="str">
            <v xml:space="preserve">Without Partition </v>
          </cell>
          <cell r="BF810" t="str">
            <v>GREEN</v>
          </cell>
          <cell r="BG810">
            <v>2500000</v>
          </cell>
          <cell r="BH810">
            <v>2650000</v>
          </cell>
          <cell r="BI810">
            <v>100000</v>
          </cell>
          <cell r="BJ810">
            <v>2550000</v>
          </cell>
          <cell r="BK810">
            <v>0</v>
          </cell>
          <cell r="BL810">
            <v>2550000</v>
          </cell>
        </row>
        <row r="811">
          <cell r="D811" t="str">
            <v>OS</v>
          </cell>
          <cell r="E811"/>
          <cell r="F811">
            <v>791</v>
          </cell>
          <cell r="G811" t="str">
            <v>UNSOLD</v>
          </cell>
          <cell r="H811" t="str">
            <v>TS - MORE THAN 30 DAYS</v>
          </cell>
          <cell r="I811" t="str">
            <v>TS - MORE THAN 30 DAYS</v>
          </cell>
          <cell r="J811" t="str">
            <v>TS</v>
          </cell>
          <cell r="K811" t="str">
            <v>TS</v>
          </cell>
          <cell r="L811" t="str">
            <v>TS</v>
          </cell>
          <cell r="M811" t="str">
            <v>TS</v>
          </cell>
          <cell r="N811" t="str">
            <v>TS</v>
          </cell>
          <cell r="O811" t="str">
            <v>TS</v>
          </cell>
          <cell r="P811" t="str">
            <v>TS</v>
          </cell>
          <cell r="Q811" t="str">
            <v>TS</v>
          </cell>
          <cell r="R811" t="str">
            <v>TS</v>
          </cell>
          <cell r="S811" t="str">
            <v>TS</v>
          </cell>
          <cell r="T811" t="str">
            <v>TS</v>
          </cell>
          <cell r="U811" t="str">
            <v>OS</v>
          </cell>
          <cell r="V811" t="str">
            <v>OS</v>
          </cell>
          <cell r="W811" t="str">
            <v>TS</v>
          </cell>
          <cell r="X811" t="str">
            <v>OS</v>
          </cell>
          <cell r="Y811" t="str">
            <v>OS</v>
          </cell>
          <cell r="Z811" t="str">
            <v>OS</v>
          </cell>
          <cell r="AA811" t="str">
            <v>OS</v>
          </cell>
          <cell r="AB811" t="str">
            <v>OS</v>
          </cell>
          <cell r="AC811" t="str">
            <v>OS</v>
          </cell>
          <cell r="AD811" t="str">
            <v>AGM-01-041-005</v>
          </cell>
          <cell r="AE811" t="str">
            <v xml:space="preserve">Raemulan Lands, Inc. </v>
          </cell>
          <cell r="AF811" t="str">
            <v>Agapeya</v>
          </cell>
          <cell r="AG811" t="str">
            <v>AGM</v>
          </cell>
          <cell r="AH811" t="str">
            <v>Eco-High</v>
          </cell>
          <cell r="AI811" t="str">
            <v>West</v>
          </cell>
          <cell r="AJ811" t="str">
            <v>With LTS</v>
          </cell>
          <cell r="AK811" t="str">
            <v>Unaffected lots</v>
          </cell>
          <cell r="AL811" t="str">
            <v>Unaffected lots</v>
          </cell>
          <cell r="AM811" t="b">
            <v>1</v>
          </cell>
          <cell r="AN811" t="str">
            <v>YES</v>
          </cell>
          <cell r="AO811" t="str">
            <v>B2 2025</v>
          </cell>
          <cell r="AP811">
            <v>70</v>
          </cell>
          <cell r="AQ811" t="str">
            <v>PCS-04-276764</v>
          </cell>
          <cell r="AR811" t="b">
            <v>1</v>
          </cell>
          <cell r="AS811" t="str">
            <v>Done</v>
          </cell>
          <cell r="AT811" t="str">
            <v>2025 - Batch 1</v>
          </cell>
          <cell r="AU811">
            <v>41</v>
          </cell>
          <cell r="AV811">
            <v>5</v>
          </cell>
          <cell r="AW811" t="str">
            <v>H+L</v>
          </cell>
          <cell r="AX811">
            <v>70</v>
          </cell>
          <cell r="AY811">
            <v>50</v>
          </cell>
          <cell r="AZ811" t="str">
            <v>Duplex</v>
          </cell>
          <cell r="BA811">
            <v>1</v>
          </cell>
          <cell r="BB811" t="str">
            <v>568 - Without Partition</v>
          </cell>
          <cell r="BC811" t="str">
            <v xml:space="preserve">Without Partition </v>
          </cell>
          <cell r="BD811" t="str">
            <v>Slant</v>
          </cell>
          <cell r="BE811" t="str">
            <v xml:space="preserve">Without Partition </v>
          </cell>
          <cell r="BF811" t="str">
            <v>GREEN</v>
          </cell>
          <cell r="BG811">
            <v>2500000</v>
          </cell>
          <cell r="BH811">
            <v>2650000</v>
          </cell>
          <cell r="BI811">
            <v>100000</v>
          </cell>
          <cell r="BJ811">
            <v>2550000</v>
          </cell>
          <cell r="BK811">
            <v>0</v>
          </cell>
          <cell r="BL811">
            <v>2550000</v>
          </cell>
        </row>
        <row r="812">
          <cell r="D812" t="str">
            <v>OS</v>
          </cell>
          <cell r="E812"/>
          <cell r="F812">
            <v>792</v>
          </cell>
          <cell r="G812" t="str">
            <v>SOLD</v>
          </cell>
          <cell r="H812" t="str">
            <v>OS</v>
          </cell>
          <cell r="I812" t="str">
            <v>OS</v>
          </cell>
          <cell r="J812" t="str">
            <v>OS</v>
          </cell>
          <cell r="K812" t="str">
            <v>OS</v>
          </cell>
          <cell r="L812" t="str">
            <v>OS</v>
          </cell>
          <cell r="M812" t="str">
            <v>OS</v>
          </cell>
          <cell r="N812" t="str">
            <v>OS</v>
          </cell>
          <cell r="O812" t="str">
            <v>OS</v>
          </cell>
          <cell r="P812" t="str">
            <v>OS</v>
          </cell>
          <cell r="Q812" t="str">
            <v>OS</v>
          </cell>
          <cell r="R812" t="str">
            <v>OS</v>
          </cell>
          <cell r="S812" t="str">
            <v>OS</v>
          </cell>
          <cell r="T812" t="str">
            <v>OS</v>
          </cell>
          <cell r="U812" t="str">
            <v>OS</v>
          </cell>
          <cell r="V812" t="str">
            <v>OS</v>
          </cell>
          <cell r="W812" t="str">
            <v>OS</v>
          </cell>
          <cell r="X812" t="str">
            <v>OS</v>
          </cell>
          <cell r="Y812" t="str">
            <v>OS</v>
          </cell>
          <cell r="Z812" t="str">
            <v>OS</v>
          </cell>
          <cell r="AA812" t="str">
            <v>OS</v>
          </cell>
          <cell r="AB812" t="str">
            <v>OS</v>
          </cell>
          <cell r="AC812" t="str">
            <v>OS</v>
          </cell>
          <cell r="AD812" t="str">
            <v>AGM-01-041-006</v>
          </cell>
          <cell r="AE812" t="str">
            <v xml:space="preserve">Raemulan Lands, Inc. </v>
          </cell>
          <cell r="AF812" t="str">
            <v>Agapeya</v>
          </cell>
          <cell r="AG812" t="str">
            <v>AGM</v>
          </cell>
          <cell r="AH812" t="str">
            <v>Eco-High</v>
          </cell>
          <cell r="AI812" t="str">
            <v>West</v>
          </cell>
          <cell r="AJ812" t="str">
            <v>With LTS</v>
          </cell>
          <cell r="AK812" t="str">
            <v>Unaffected lots</v>
          </cell>
          <cell r="AL812" t="str">
            <v>Unaffected lots</v>
          </cell>
          <cell r="AM812" t="b">
            <v>1</v>
          </cell>
          <cell r="AN812" t="str">
            <v>YES</v>
          </cell>
          <cell r="AO812" t="str">
            <v>B2 2025</v>
          </cell>
          <cell r="AP812">
            <v>70</v>
          </cell>
          <cell r="AQ812" t="str">
            <v>PCS-04-276764</v>
          </cell>
          <cell r="AR812" t="b">
            <v>1</v>
          </cell>
          <cell r="AS812" t="str">
            <v>Done</v>
          </cell>
          <cell r="AT812" t="str">
            <v>2025 - Batch 1</v>
          </cell>
          <cell r="AU812">
            <v>41</v>
          </cell>
          <cell r="AV812">
            <v>6</v>
          </cell>
          <cell r="AW812" t="str">
            <v>H+L</v>
          </cell>
          <cell r="AX812">
            <v>70</v>
          </cell>
          <cell r="AY812">
            <v>50</v>
          </cell>
          <cell r="AZ812" t="str">
            <v>Duplex</v>
          </cell>
          <cell r="BA812">
            <v>1</v>
          </cell>
          <cell r="BB812" t="str">
            <v>568 - Without Partition</v>
          </cell>
          <cell r="BC812" t="str">
            <v xml:space="preserve">Without Partition </v>
          </cell>
          <cell r="BD812" t="str">
            <v>Flat</v>
          </cell>
          <cell r="BE812" t="str">
            <v xml:space="preserve">Without Partition </v>
          </cell>
          <cell r="BF812" t="str">
            <v>GREEN</v>
          </cell>
          <cell r="BG812">
            <v>2500000</v>
          </cell>
          <cell r="BH812">
            <v>2650000</v>
          </cell>
          <cell r="BI812">
            <v>100000</v>
          </cell>
          <cell r="BJ812">
            <v>2550000</v>
          </cell>
          <cell r="BK812">
            <v>0</v>
          </cell>
          <cell r="BL812">
            <v>2550000</v>
          </cell>
        </row>
        <row r="813">
          <cell r="D813" t="str">
            <v>OS</v>
          </cell>
          <cell r="E813"/>
          <cell r="F813">
            <v>793</v>
          </cell>
          <cell r="G813" t="str">
            <v>SOLD</v>
          </cell>
          <cell r="H813" t="str">
            <v>OS</v>
          </cell>
          <cell r="I813" t="str">
            <v>OS</v>
          </cell>
          <cell r="J813" t="str">
            <v>OS</v>
          </cell>
          <cell r="K813" t="str">
            <v>OS</v>
          </cell>
          <cell r="L813" t="str">
            <v>OS</v>
          </cell>
          <cell r="M813" t="str">
            <v>OS</v>
          </cell>
          <cell r="N813" t="str">
            <v>OS</v>
          </cell>
          <cell r="O813" t="str">
            <v>OS</v>
          </cell>
          <cell r="P813" t="str">
            <v>OS</v>
          </cell>
          <cell r="Q813" t="str">
            <v>OS</v>
          </cell>
          <cell r="R813" t="str">
            <v>OS</v>
          </cell>
          <cell r="S813" t="str">
            <v>OS</v>
          </cell>
          <cell r="T813" t="str">
            <v>OS</v>
          </cell>
          <cell r="U813" t="str">
            <v>OS</v>
          </cell>
          <cell r="V813" t="str">
            <v>OS</v>
          </cell>
          <cell r="W813" t="str">
            <v>OS</v>
          </cell>
          <cell r="X813" t="str">
            <v>OS</v>
          </cell>
          <cell r="Y813" t="str">
            <v>OS</v>
          </cell>
          <cell r="Z813" t="str">
            <v>OS</v>
          </cell>
          <cell r="AA813" t="str">
            <v>OS</v>
          </cell>
          <cell r="AB813" t="str">
            <v>OS</v>
          </cell>
          <cell r="AC813" t="str">
            <v>OS</v>
          </cell>
          <cell r="AD813" t="str">
            <v>AGM-01-041-007</v>
          </cell>
          <cell r="AE813" t="str">
            <v xml:space="preserve">Raemulan Lands, Inc. </v>
          </cell>
          <cell r="AF813" t="str">
            <v>Agapeya</v>
          </cell>
          <cell r="AG813" t="str">
            <v>AGM</v>
          </cell>
          <cell r="AH813" t="str">
            <v>Eco-High</v>
          </cell>
          <cell r="AI813" t="str">
            <v>West</v>
          </cell>
          <cell r="AJ813" t="str">
            <v>With LTS</v>
          </cell>
          <cell r="AK813" t="str">
            <v>for conso</v>
          </cell>
          <cell r="AL813" t="str">
            <v>Unaffected lots</v>
          </cell>
          <cell r="AM813" t="b">
            <v>1</v>
          </cell>
          <cell r="AN813" t="str">
            <v>YES</v>
          </cell>
          <cell r="AO813" t="str">
            <v>B1 2025</v>
          </cell>
          <cell r="AP813" t="str">
            <v>69/1</v>
          </cell>
          <cell r="AQ813" t="str">
            <v>PCS-04-034298/PCS-04-276764</v>
          </cell>
          <cell r="AR813" t="b">
            <v>0</v>
          </cell>
          <cell r="AS813" t="str">
            <v>For Conso</v>
          </cell>
          <cell r="AT813" t="str">
            <v>2025 - Batch 1</v>
          </cell>
          <cell r="AU813">
            <v>41</v>
          </cell>
          <cell r="AV813">
            <v>7</v>
          </cell>
          <cell r="AW813" t="str">
            <v>H+L</v>
          </cell>
          <cell r="AX813">
            <v>70</v>
          </cell>
          <cell r="AY813">
            <v>50</v>
          </cell>
          <cell r="AZ813" t="str">
            <v>Duplex</v>
          </cell>
          <cell r="BA813">
            <v>1</v>
          </cell>
          <cell r="BB813" t="str">
            <v>568 - Without Partition</v>
          </cell>
          <cell r="BC813" t="str">
            <v xml:space="preserve">Without Partition </v>
          </cell>
          <cell r="BD813" t="str">
            <v>Slant</v>
          </cell>
          <cell r="BE813" t="str">
            <v xml:space="preserve">Without Partition </v>
          </cell>
          <cell r="BF813" t="str">
            <v>PURPLE</v>
          </cell>
          <cell r="BG813">
            <v>2500000</v>
          </cell>
          <cell r="BH813">
            <v>2650000</v>
          </cell>
          <cell r="BI813">
            <v>100000</v>
          </cell>
          <cell r="BJ813">
            <v>2550000</v>
          </cell>
          <cell r="BK813">
            <v>0</v>
          </cell>
          <cell r="BL813">
            <v>2550000</v>
          </cell>
        </row>
        <row r="814">
          <cell r="D814" t="str">
            <v>OS</v>
          </cell>
          <cell r="E814"/>
          <cell r="F814">
            <v>794</v>
          </cell>
          <cell r="G814" t="str">
            <v>SOLD</v>
          </cell>
          <cell r="H814" t="str">
            <v>OS</v>
          </cell>
          <cell r="I814" t="str">
            <v>OS</v>
          </cell>
          <cell r="J814" t="str">
            <v>OS</v>
          </cell>
          <cell r="K814" t="str">
            <v>OS</v>
          </cell>
          <cell r="L814" t="str">
            <v>OS</v>
          </cell>
          <cell r="M814" t="str">
            <v>OS</v>
          </cell>
          <cell r="N814" t="str">
            <v>OS</v>
          </cell>
          <cell r="O814" t="str">
            <v>OS</v>
          </cell>
          <cell r="P814" t="str">
            <v>OS</v>
          </cell>
          <cell r="Q814" t="str">
            <v>OS</v>
          </cell>
          <cell r="R814" t="str">
            <v>OS</v>
          </cell>
          <cell r="S814" t="str">
            <v>OS</v>
          </cell>
          <cell r="T814" t="str">
            <v>OS</v>
          </cell>
          <cell r="U814" t="str">
            <v>OS</v>
          </cell>
          <cell r="V814" t="str">
            <v>OS</v>
          </cell>
          <cell r="W814" t="str">
            <v>OS</v>
          </cell>
          <cell r="X814" t="str">
            <v>OS</v>
          </cell>
          <cell r="Y814" t="str">
            <v>OS</v>
          </cell>
          <cell r="Z814" t="str">
            <v>OS</v>
          </cell>
          <cell r="AA814" t="str">
            <v>OS</v>
          </cell>
          <cell r="AB814" t="str">
            <v>OS</v>
          </cell>
          <cell r="AC814" t="str">
            <v>OS</v>
          </cell>
          <cell r="AD814" t="str">
            <v>AGM-01-041-008</v>
          </cell>
          <cell r="AE814" t="str">
            <v xml:space="preserve">Raemulan Lands, Inc. </v>
          </cell>
          <cell r="AF814" t="str">
            <v>Agapeya</v>
          </cell>
          <cell r="AG814" t="str">
            <v>AGM</v>
          </cell>
          <cell r="AH814" t="str">
            <v>Eco-High</v>
          </cell>
          <cell r="AI814" t="str">
            <v>West</v>
          </cell>
          <cell r="AJ814" t="str">
            <v>With LTS</v>
          </cell>
          <cell r="AK814" t="str">
            <v>for conso</v>
          </cell>
          <cell r="AL814" t="str">
            <v>Unaffected lots</v>
          </cell>
          <cell r="AM814" t="b">
            <v>1</v>
          </cell>
          <cell r="AN814" t="str">
            <v>YES</v>
          </cell>
          <cell r="AO814" t="str">
            <v>B1 2025</v>
          </cell>
          <cell r="AP814" t="str">
            <v>69/1</v>
          </cell>
          <cell r="AQ814" t="str">
            <v>PCS-04-034298/PCS-04-276764</v>
          </cell>
          <cell r="AR814" t="b">
            <v>0</v>
          </cell>
          <cell r="AS814" t="str">
            <v>For Conso</v>
          </cell>
          <cell r="AT814" t="str">
            <v>2025 - Batch 1</v>
          </cell>
          <cell r="AU814">
            <v>41</v>
          </cell>
          <cell r="AV814">
            <v>8</v>
          </cell>
          <cell r="AW814" t="str">
            <v>H+L</v>
          </cell>
          <cell r="AX814">
            <v>70</v>
          </cell>
          <cell r="AY814">
            <v>50</v>
          </cell>
          <cell r="AZ814" t="str">
            <v>Duplex</v>
          </cell>
          <cell r="BA814">
            <v>1</v>
          </cell>
          <cell r="BB814" t="str">
            <v>568 - Without Partition</v>
          </cell>
          <cell r="BC814" t="str">
            <v xml:space="preserve">Without Partition </v>
          </cell>
          <cell r="BD814" t="str">
            <v>Flat</v>
          </cell>
          <cell r="BE814" t="str">
            <v xml:space="preserve">Without Partition </v>
          </cell>
          <cell r="BF814" t="str">
            <v>PURPLE</v>
          </cell>
          <cell r="BG814">
            <v>2500000</v>
          </cell>
          <cell r="BH814">
            <v>2650000</v>
          </cell>
          <cell r="BI814">
            <v>100000</v>
          </cell>
          <cell r="BJ814">
            <v>2550000</v>
          </cell>
          <cell r="BK814">
            <v>0</v>
          </cell>
          <cell r="BL814">
            <v>2550000</v>
          </cell>
        </row>
        <row r="815">
          <cell r="D815" t="str">
            <v>OS</v>
          </cell>
          <cell r="E815"/>
          <cell r="F815">
            <v>795</v>
          </cell>
          <cell r="G815" t="str">
            <v>SOLD</v>
          </cell>
          <cell r="H815" t="str">
            <v>OS</v>
          </cell>
          <cell r="I815" t="str">
            <v>OS</v>
          </cell>
          <cell r="J815" t="str">
            <v>OS</v>
          </cell>
          <cell r="K815" t="str">
            <v>OS</v>
          </cell>
          <cell r="L815" t="str">
            <v>OS</v>
          </cell>
          <cell r="M815" t="str">
            <v>OS</v>
          </cell>
          <cell r="N815" t="str">
            <v>OS</v>
          </cell>
          <cell r="O815" t="str">
            <v>OS</v>
          </cell>
          <cell r="P815" t="str">
            <v>OS</v>
          </cell>
          <cell r="Q815" t="str">
            <v>OS</v>
          </cell>
          <cell r="R815" t="str">
            <v>OS</v>
          </cell>
          <cell r="S815" t="str">
            <v>OS</v>
          </cell>
          <cell r="T815" t="str">
            <v>OS</v>
          </cell>
          <cell r="U815" t="str">
            <v>OS</v>
          </cell>
          <cell r="V815" t="str">
            <v>OS</v>
          </cell>
          <cell r="W815" t="str">
            <v>OS</v>
          </cell>
          <cell r="X815" t="str">
            <v>OS</v>
          </cell>
          <cell r="Y815" t="str">
            <v>OS</v>
          </cell>
          <cell r="Z815" t="str">
            <v>OS</v>
          </cell>
          <cell r="AA815" t="str">
            <v>OS</v>
          </cell>
          <cell r="AB815" t="str">
            <v>OS</v>
          </cell>
          <cell r="AC815" t="str">
            <v>OS</v>
          </cell>
          <cell r="AD815" t="str">
            <v>AGM-01-041-009</v>
          </cell>
          <cell r="AE815" t="str">
            <v xml:space="preserve">Raemulan Lands, Inc. </v>
          </cell>
          <cell r="AF815" t="str">
            <v>Agapeya</v>
          </cell>
          <cell r="AG815" t="str">
            <v>AGM</v>
          </cell>
          <cell r="AH815" t="str">
            <v>Eco-High</v>
          </cell>
          <cell r="AI815" t="str">
            <v>West</v>
          </cell>
          <cell r="AJ815" t="str">
            <v>With LTS</v>
          </cell>
          <cell r="AK815" t="str">
            <v>Unaffected lots</v>
          </cell>
          <cell r="AL815" t="str">
            <v>Unaffected lots</v>
          </cell>
          <cell r="AM815" t="b">
            <v>1</v>
          </cell>
          <cell r="AN815" t="str">
            <v>YES</v>
          </cell>
          <cell r="AO815" t="str">
            <v>B1 2025</v>
          </cell>
          <cell r="AP815">
            <v>70</v>
          </cell>
          <cell r="AQ815" t="str">
            <v>PCS-04-034298</v>
          </cell>
          <cell r="AR815" t="b">
            <v>1</v>
          </cell>
          <cell r="AS815" t="str">
            <v>Done</v>
          </cell>
          <cell r="AT815" t="str">
            <v>2025 - Batch 1</v>
          </cell>
          <cell r="AU815">
            <v>41</v>
          </cell>
          <cell r="AV815">
            <v>9</v>
          </cell>
          <cell r="AW815" t="str">
            <v>H+L</v>
          </cell>
          <cell r="AX815">
            <v>70</v>
          </cell>
          <cell r="AY815">
            <v>50</v>
          </cell>
          <cell r="AZ815" t="str">
            <v>Duplex</v>
          </cell>
          <cell r="BA815">
            <v>1</v>
          </cell>
          <cell r="BB815" t="str">
            <v>568 - Without Partition</v>
          </cell>
          <cell r="BC815" t="str">
            <v xml:space="preserve">Without Partition </v>
          </cell>
          <cell r="BD815" t="str">
            <v>Flat</v>
          </cell>
          <cell r="BE815" t="str">
            <v xml:space="preserve">Without Partition </v>
          </cell>
          <cell r="BF815" t="str">
            <v>PURPLE</v>
          </cell>
          <cell r="BG815">
            <v>2550000</v>
          </cell>
          <cell r="BH815">
            <v>2650000</v>
          </cell>
          <cell r="BI815">
            <v>100000</v>
          </cell>
          <cell r="BJ815">
            <v>2550000</v>
          </cell>
          <cell r="BK815">
            <v>0</v>
          </cell>
          <cell r="BL815">
            <v>2550000</v>
          </cell>
        </row>
        <row r="816">
          <cell r="D816" t="str">
            <v>OS</v>
          </cell>
          <cell r="E816"/>
          <cell r="F816">
            <v>796</v>
          </cell>
          <cell r="G816" t="str">
            <v>SOLD</v>
          </cell>
          <cell r="H816" t="str">
            <v>OS</v>
          </cell>
          <cell r="I816" t="str">
            <v>OS</v>
          </cell>
          <cell r="J816" t="str">
            <v>OS</v>
          </cell>
          <cell r="K816" t="str">
            <v>OS</v>
          </cell>
          <cell r="L816" t="str">
            <v>OS</v>
          </cell>
          <cell r="M816" t="str">
            <v>OS</v>
          </cell>
          <cell r="N816" t="str">
            <v>OS</v>
          </cell>
          <cell r="O816" t="str">
            <v>OS</v>
          </cell>
          <cell r="P816" t="str">
            <v>OS</v>
          </cell>
          <cell r="Q816" t="str">
            <v>OS</v>
          </cell>
          <cell r="R816" t="str">
            <v>OS</v>
          </cell>
          <cell r="S816" t="str">
            <v>OS</v>
          </cell>
          <cell r="T816" t="str">
            <v>OS</v>
          </cell>
          <cell r="U816" t="str">
            <v>OS</v>
          </cell>
          <cell r="V816" t="str">
            <v>OS</v>
          </cell>
          <cell r="W816" t="str">
            <v>OS</v>
          </cell>
          <cell r="X816" t="str">
            <v>OS</v>
          </cell>
          <cell r="Y816" t="str">
            <v>OS</v>
          </cell>
          <cell r="Z816" t="str">
            <v>OS</v>
          </cell>
          <cell r="AA816" t="str">
            <v>OS</v>
          </cell>
          <cell r="AB816" t="str">
            <v>OS</v>
          </cell>
          <cell r="AC816" t="str">
            <v>OS</v>
          </cell>
          <cell r="AD816" t="str">
            <v>AGM-01-041-010</v>
          </cell>
          <cell r="AE816" t="str">
            <v xml:space="preserve">Raemulan Lands, Inc. </v>
          </cell>
          <cell r="AF816" t="str">
            <v>Agapeya</v>
          </cell>
          <cell r="AG816" t="str">
            <v>AGM</v>
          </cell>
          <cell r="AH816" t="str">
            <v>Eco-High</v>
          </cell>
          <cell r="AI816" t="str">
            <v>West</v>
          </cell>
          <cell r="AJ816" t="str">
            <v>With LTS</v>
          </cell>
          <cell r="AK816" t="str">
            <v>Unaffected lots</v>
          </cell>
          <cell r="AL816" t="str">
            <v>Unaffected lots</v>
          </cell>
          <cell r="AM816" t="b">
            <v>1</v>
          </cell>
          <cell r="AN816" t="str">
            <v>YES</v>
          </cell>
          <cell r="AO816" t="str">
            <v>B1 2025</v>
          </cell>
          <cell r="AP816">
            <v>70</v>
          </cell>
          <cell r="AQ816" t="str">
            <v>PCS-04-034298</v>
          </cell>
          <cell r="AR816" t="b">
            <v>1</v>
          </cell>
          <cell r="AS816" t="str">
            <v>Done</v>
          </cell>
          <cell r="AT816" t="str">
            <v>2025 - Batch 1</v>
          </cell>
          <cell r="AU816">
            <v>41</v>
          </cell>
          <cell r="AV816">
            <v>10</v>
          </cell>
          <cell r="AW816" t="str">
            <v>H+L</v>
          </cell>
          <cell r="AX816">
            <v>70</v>
          </cell>
          <cell r="AY816">
            <v>50</v>
          </cell>
          <cell r="AZ816" t="str">
            <v>Duplex</v>
          </cell>
          <cell r="BA816">
            <v>1</v>
          </cell>
          <cell r="BB816" t="str">
            <v>568 - Without Partition</v>
          </cell>
          <cell r="BC816" t="str">
            <v xml:space="preserve">Without Partition </v>
          </cell>
          <cell r="BD816" t="str">
            <v>Slant</v>
          </cell>
          <cell r="BE816" t="str">
            <v xml:space="preserve">Without Partition </v>
          </cell>
          <cell r="BF816" t="str">
            <v>PURPLE</v>
          </cell>
          <cell r="BG816">
            <v>2500000</v>
          </cell>
          <cell r="BH816">
            <v>2650000</v>
          </cell>
          <cell r="BI816">
            <v>100000</v>
          </cell>
          <cell r="BJ816">
            <v>2550000</v>
          </cell>
          <cell r="BK816">
            <v>0</v>
          </cell>
          <cell r="BL816">
            <v>2550000</v>
          </cell>
        </row>
        <row r="817">
          <cell r="D817" t="str">
            <v>OS</v>
          </cell>
          <cell r="E817"/>
          <cell r="F817">
            <v>797</v>
          </cell>
          <cell r="G817" t="str">
            <v>SOLD</v>
          </cell>
          <cell r="H817" t="str">
            <v>OS</v>
          </cell>
          <cell r="I817" t="str">
            <v>OS</v>
          </cell>
          <cell r="J817" t="str">
            <v>OS</v>
          </cell>
          <cell r="K817" t="str">
            <v>OS</v>
          </cell>
          <cell r="L817" t="str">
            <v>OS</v>
          </cell>
          <cell r="M817" t="str">
            <v>OS</v>
          </cell>
          <cell r="N817" t="str">
            <v>OS</v>
          </cell>
          <cell r="O817" t="str">
            <v>OS</v>
          </cell>
          <cell r="P817" t="str">
            <v>OS</v>
          </cell>
          <cell r="Q817" t="str">
            <v>OS</v>
          </cell>
          <cell r="R817" t="str">
            <v>OS</v>
          </cell>
          <cell r="S817" t="str">
            <v>OS</v>
          </cell>
          <cell r="T817" t="str">
            <v>OS</v>
          </cell>
          <cell r="U817" t="str">
            <v>OS</v>
          </cell>
          <cell r="V817" t="str">
            <v>OS</v>
          </cell>
          <cell r="W817" t="str">
            <v>OS</v>
          </cell>
          <cell r="X817" t="str">
            <v>OS</v>
          </cell>
          <cell r="Y817" t="str">
            <v>OS</v>
          </cell>
          <cell r="Z817" t="str">
            <v>OS</v>
          </cell>
          <cell r="AA817" t="str">
            <v>OS</v>
          </cell>
          <cell r="AB817" t="str">
            <v>OS</v>
          </cell>
          <cell r="AC817" t="str">
            <v>OS</v>
          </cell>
          <cell r="AD817" t="str">
            <v>AGM-01-041-011</v>
          </cell>
          <cell r="AE817" t="str">
            <v xml:space="preserve">Raemulan Lands, Inc. </v>
          </cell>
          <cell r="AF817" t="str">
            <v>Agapeya</v>
          </cell>
          <cell r="AG817" t="str">
            <v>AGM</v>
          </cell>
          <cell r="AH817" t="str">
            <v>Eco-High</v>
          </cell>
          <cell r="AI817" t="str">
            <v>West</v>
          </cell>
          <cell r="AJ817" t="str">
            <v>With LTS</v>
          </cell>
          <cell r="AK817" t="str">
            <v>Unaffected lots</v>
          </cell>
          <cell r="AL817" t="str">
            <v>Unaffected lots</v>
          </cell>
          <cell r="AM817" t="b">
            <v>1</v>
          </cell>
          <cell r="AN817" t="str">
            <v>YES</v>
          </cell>
          <cell r="AO817" t="str">
            <v>B1 2025</v>
          </cell>
          <cell r="AP817">
            <v>71</v>
          </cell>
          <cell r="AQ817" t="str">
            <v>PCS-04-034298</v>
          </cell>
          <cell r="AR817" t="b">
            <v>1</v>
          </cell>
          <cell r="AS817" t="str">
            <v>Done</v>
          </cell>
          <cell r="AT817" t="str">
            <v>2025 - Batch 1</v>
          </cell>
          <cell r="AU817">
            <v>41</v>
          </cell>
          <cell r="AV817">
            <v>11</v>
          </cell>
          <cell r="AW817" t="str">
            <v>H+L</v>
          </cell>
          <cell r="AX817">
            <v>71</v>
          </cell>
          <cell r="AY817">
            <v>50</v>
          </cell>
          <cell r="AZ817" t="str">
            <v>Duplex</v>
          </cell>
          <cell r="BA817">
            <v>1</v>
          </cell>
          <cell r="BB817" t="str">
            <v>568 - Without Partition</v>
          </cell>
          <cell r="BC817" t="str">
            <v xml:space="preserve">Without Partition </v>
          </cell>
          <cell r="BD817" t="str">
            <v>Flat</v>
          </cell>
          <cell r="BE817" t="str">
            <v xml:space="preserve">Without Partition </v>
          </cell>
          <cell r="BF817" t="str">
            <v>PINK</v>
          </cell>
          <cell r="BG817">
            <v>2500000</v>
          </cell>
          <cell r="BH817">
            <v>2665000</v>
          </cell>
          <cell r="BI817">
            <v>100000</v>
          </cell>
          <cell r="BJ817">
            <v>2565000</v>
          </cell>
          <cell r="BK817">
            <v>0</v>
          </cell>
          <cell r="BL817">
            <v>2565000</v>
          </cell>
        </row>
        <row r="818">
          <cell r="D818" t="str">
            <v>OS</v>
          </cell>
          <cell r="E818"/>
          <cell r="F818">
            <v>798</v>
          </cell>
          <cell r="G818" t="str">
            <v>SOLD</v>
          </cell>
          <cell r="H818" t="str">
            <v>OS</v>
          </cell>
          <cell r="I818" t="str">
            <v>OS</v>
          </cell>
          <cell r="J818" t="str">
            <v>OS</v>
          </cell>
          <cell r="K818" t="str">
            <v>OS</v>
          </cell>
          <cell r="L818" t="str">
            <v>OS</v>
          </cell>
          <cell r="M818" t="str">
            <v>OS</v>
          </cell>
          <cell r="N818" t="str">
            <v>OS</v>
          </cell>
          <cell r="O818" t="str">
            <v>OS</v>
          </cell>
          <cell r="P818" t="str">
            <v>OS</v>
          </cell>
          <cell r="Q818" t="str">
            <v>OS</v>
          </cell>
          <cell r="R818" t="str">
            <v>OS</v>
          </cell>
          <cell r="S818" t="str">
            <v>OS</v>
          </cell>
          <cell r="T818" t="str">
            <v>OS</v>
          </cell>
          <cell r="U818" t="str">
            <v>OS</v>
          </cell>
          <cell r="V818" t="str">
            <v>OS</v>
          </cell>
          <cell r="W818" t="str">
            <v>OS</v>
          </cell>
          <cell r="X818" t="str">
            <v>OS</v>
          </cell>
          <cell r="Y818" t="str">
            <v>OS</v>
          </cell>
          <cell r="Z818" t="str">
            <v>OS</v>
          </cell>
          <cell r="AA818" t="str">
            <v>OS</v>
          </cell>
          <cell r="AB818" t="str">
            <v>OS</v>
          </cell>
          <cell r="AC818" t="str">
            <v>OS</v>
          </cell>
          <cell r="AD818" t="str">
            <v>AGM-01-041-012</v>
          </cell>
          <cell r="AE818" t="str">
            <v xml:space="preserve">Raemulan Lands, Inc. </v>
          </cell>
          <cell r="AF818" t="str">
            <v>Agapeya</v>
          </cell>
          <cell r="AG818" t="str">
            <v>AGM</v>
          </cell>
          <cell r="AH818" t="str">
            <v>Eco-High</v>
          </cell>
          <cell r="AI818" t="str">
            <v>West</v>
          </cell>
          <cell r="AJ818" t="str">
            <v>With LTS</v>
          </cell>
          <cell r="AK818" t="str">
            <v>Unaffected lots</v>
          </cell>
          <cell r="AL818" t="str">
            <v>Unaffected lots</v>
          </cell>
          <cell r="AM818" t="b">
            <v>1</v>
          </cell>
          <cell r="AN818" t="str">
            <v>YES</v>
          </cell>
          <cell r="AO818" t="str">
            <v>B1 2025</v>
          </cell>
          <cell r="AP818">
            <v>89</v>
          </cell>
          <cell r="AQ818" t="str">
            <v>PCS-04-034298</v>
          </cell>
          <cell r="AR818" t="b">
            <v>1</v>
          </cell>
          <cell r="AS818" t="str">
            <v>Done</v>
          </cell>
          <cell r="AT818" t="str">
            <v>2025 - Batch 1</v>
          </cell>
          <cell r="AU818">
            <v>41</v>
          </cell>
          <cell r="AV818">
            <v>12</v>
          </cell>
          <cell r="AW818" t="str">
            <v>H+L</v>
          </cell>
          <cell r="AX818">
            <v>89</v>
          </cell>
          <cell r="AY818">
            <v>50</v>
          </cell>
          <cell r="AZ818" t="str">
            <v>Duplex</v>
          </cell>
          <cell r="BA818">
            <v>1</v>
          </cell>
          <cell r="BB818" t="str">
            <v>568 - Without Partition</v>
          </cell>
          <cell r="BC818" t="str">
            <v xml:space="preserve">Without Partition </v>
          </cell>
          <cell r="BD818" t="str">
            <v>Flat</v>
          </cell>
          <cell r="BE818" t="str">
            <v xml:space="preserve">Without Partition </v>
          </cell>
          <cell r="BF818" t="str">
            <v>PINK</v>
          </cell>
          <cell r="BG818">
            <v>2785000</v>
          </cell>
          <cell r="BH818">
            <v>2935000</v>
          </cell>
          <cell r="BI818">
            <v>100000</v>
          </cell>
          <cell r="BJ818">
            <v>2835000</v>
          </cell>
          <cell r="BK818">
            <v>0</v>
          </cell>
          <cell r="BL818">
            <v>2835000</v>
          </cell>
        </row>
        <row r="819">
          <cell r="D819" t="str">
            <v>OS</v>
          </cell>
          <cell r="E819"/>
          <cell r="F819">
            <v>799</v>
          </cell>
          <cell r="G819" t="str">
            <v>SOLD</v>
          </cell>
          <cell r="H819" t="str">
            <v>OS</v>
          </cell>
          <cell r="I819" t="str">
            <v>OS</v>
          </cell>
          <cell r="J819" t="str">
            <v>OS</v>
          </cell>
          <cell r="K819" t="str">
            <v>OS</v>
          </cell>
          <cell r="L819" t="str">
            <v>OS</v>
          </cell>
          <cell r="M819" t="str">
            <v>OS</v>
          </cell>
          <cell r="N819" t="str">
            <v>OS</v>
          </cell>
          <cell r="O819" t="str">
            <v>OS</v>
          </cell>
          <cell r="P819" t="str">
            <v>OS</v>
          </cell>
          <cell r="Q819" t="str">
            <v>OS</v>
          </cell>
          <cell r="R819" t="str">
            <v>OS</v>
          </cell>
          <cell r="S819" t="str">
            <v>OS</v>
          </cell>
          <cell r="T819" t="str">
            <v>OS</v>
          </cell>
          <cell r="U819" t="str">
            <v>OS</v>
          </cell>
          <cell r="V819" t="str">
            <v>OS</v>
          </cell>
          <cell r="W819" t="str">
            <v>OS</v>
          </cell>
          <cell r="X819" t="str">
            <v>OS</v>
          </cell>
          <cell r="Y819" t="str">
            <v>OS</v>
          </cell>
          <cell r="Z819" t="str">
            <v>OS</v>
          </cell>
          <cell r="AA819" t="str">
            <v>OS</v>
          </cell>
          <cell r="AB819" t="str">
            <v>OS</v>
          </cell>
          <cell r="AC819" t="str">
            <v>OS</v>
          </cell>
          <cell r="AD819" t="str">
            <v>AGM-01-042-001</v>
          </cell>
          <cell r="AE819" t="str">
            <v xml:space="preserve">Raemulan Lands, Inc. </v>
          </cell>
          <cell r="AF819" t="str">
            <v>Agapeya</v>
          </cell>
          <cell r="AG819" t="str">
            <v>AGM</v>
          </cell>
          <cell r="AH819" t="str">
            <v>Eco-High</v>
          </cell>
          <cell r="AI819" t="str">
            <v>West</v>
          </cell>
          <cell r="AJ819" t="str">
            <v>With LTS</v>
          </cell>
          <cell r="AK819" t="str">
            <v>Unaffected lots</v>
          </cell>
          <cell r="AL819" t="str">
            <v>Unaffected lots</v>
          </cell>
          <cell r="AM819" t="b">
            <v>1</v>
          </cell>
          <cell r="AN819" t="str">
            <v>YES</v>
          </cell>
          <cell r="AO819" t="str">
            <v>B2 2025</v>
          </cell>
          <cell r="AP819">
            <v>89</v>
          </cell>
          <cell r="AQ819" t="str">
            <v>PCS-04-276764</v>
          </cell>
          <cell r="AR819" t="b">
            <v>1</v>
          </cell>
          <cell r="AS819" t="str">
            <v>Done</v>
          </cell>
          <cell r="AT819" t="str">
            <v>2025 - Batch 6</v>
          </cell>
          <cell r="AU819">
            <v>42</v>
          </cell>
          <cell r="AV819">
            <v>1</v>
          </cell>
          <cell r="AW819" t="str">
            <v>H+L</v>
          </cell>
          <cell r="AX819">
            <v>89</v>
          </cell>
          <cell r="AY819">
            <v>50</v>
          </cell>
          <cell r="AZ819" t="str">
            <v>Duplex</v>
          </cell>
          <cell r="BA819">
            <v>1</v>
          </cell>
          <cell r="BB819" t="str">
            <v>568 - Without Partition</v>
          </cell>
          <cell r="BC819" t="str">
            <v xml:space="preserve">Without Partition </v>
          </cell>
          <cell r="BD819" t="str">
            <v>Slant</v>
          </cell>
          <cell r="BE819" t="str">
            <v xml:space="preserve">Without Partition </v>
          </cell>
          <cell r="BF819" t="str">
            <v>YELLOW</v>
          </cell>
          <cell r="BG819">
            <v>2785000</v>
          </cell>
          <cell r="BH819">
            <v>2935000</v>
          </cell>
          <cell r="BI819">
            <v>100000</v>
          </cell>
          <cell r="BJ819">
            <v>2835000</v>
          </cell>
          <cell r="BK819">
            <v>0</v>
          </cell>
          <cell r="BL819">
            <v>2835000</v>
          </cell>
        </row>
        <row r="820">
          <cell r="D820" t="str">
            <v>OS</v>
          </cell>
          <cell r="E820"/>
          <cell r="F820">
            <v>800</v>
          </cell>
          <cell r="G820" t="str">
            <v>CLOSED</v>
          </cell>
          <cell r="H820" t="str">
            <v>OPEN</v>
          </cell>
          <cell r="I820" t="str">
            <v>TS</v>
          </cell>
          <cell r="J820" t="str">
            <v>TS</v>
          </cell>
          <cell r="K820" t="str">
            <v>TS</v>
          </cell>
          <cell r="L820" t="str">
            <v>TS</v>
          </cell>
          <cell r="M820" t="str">
            <v>TS</v>
          </cell>
          <cell r="N820" t="str">
            <v>TS</v>
          </cell>
          <cell r="O820" t="str">
            <v>TS</v>
          </cell>
          <cell r="P820" t="str">
            <v>TS</v>
          </cell>
          <cell r="Q820" t="str">
            <v>TS</v>
          </cell>
          <cell r="R820" t="str">
            <v>TS</v>
          </cell>
          <cell r="S820" t="str">
            <v>TS</v>
          </cell>
          <cell r="T820" t="str">
            <v>TS</v>
          </cell>
          <cell r="U820" t="str">
            <v>OS</v>
          </cell>
          <cell r="V820" t="str">
            <v>OS</v>
          </cell>
          <cell r="W820" t="str">
            <v>OS</v>
          </cell>
          <cell r="X820" t="str">
            <v>OS</v>
          </cell>
          <cell r="Y820" t="str">
            <v>OS</v>
          </cell>
          <cell r="Z820" t="str">
            <v>OS</v>
          </cell>
          <cell r="AA820" t="str">
            <v>OS</v>
          </cell>
          <cell r="AB820" t="str">
            <v>OS</v>
          </cell>
          <cell r="AC820" t="str">
            <v>OS</v>
          </cell>
          <cell r="AD820" t="str">
            <v>AGM-01-042-002</v>
          </cell>
          <cell r="AE820" t="str">
            <v xml:space="preserve">Raemulan Lands, Inc. </v>
          </cell>
          <cell r="AF820" t="str">
            <v>Agapeya</v>
          </cell>
          <cell r="AG820" t="str">
            <v>AGM</v>
          </cell>
          <cell r="AH820" t="str">
            <v>Eco-High</v>
          </cell>
          <cell r="AI820" t="str">
            <v>West</v>
          </cell>
          <cell r="AJ820" t="str">
            <v>With LTS</v>
          </cell>
          <cell r="AK820" t="str">
            <v>Unaffected lots</v>
          </cell>
          <cell r="AL820" t="str">
            <v>Unaffected lots</v>
          </cell>
          <cell r="AM820" t="b">
            <v>1</v>
          </cell>
          <cell r="AN820" t="str">
            <v>YES</v>
          </cell>
          <cell r="AO820" t="str">
            <v>B2 2025</v>
          </cell>
          <cell r="AP820">
            <v>70</v>
          </cell>
          <cell r="AQ820" t="str">
            <v>PCS-04-276764</v>
          </cell>
          <cell r="AR820" t="b">
            <v>1</v>
          </cell>
          <cell r="AS820" t="str">
            <v>Done</v>
          </cell>
          <cell r="AT820" t="str">
            <v>2025 - Batch 6</v>
          </cell>
          <cell r="AU820">
            <v>42</v>
          </cell>
          <cell r="AV820">
            <v>2</v>
          </cell>
          <cell r="AW820" t="str">
            <v>H+L</v>
          </cell>
          <cell r="AX820">
            <v>70</v>
          </cell>
          <cell r="AY820">
            <v>50</v>
          </cell>
          <cell r="AZ820" t="str">
            <v>Duplex</v>
          </cell>
          <cell r="BA820">
            <v>1</v>
          </cell>
          <cell r="BB820" t="str">
            <v>568 - Without Partition</v>
          </cell>
          <cell r="BC820" t="str">
            <v xml:space="preserve">Without Partition </v>
          </cell>
          <cell r="BD820" t="str">
            <v>Flat</v>
          </cell>
          <cell r="BE820" t="str">
            <v xml:space="preserve">Without Partition </v>
          </cell>
          <cell r="BF820" t="str">
            <v>YELLOW</v>
          </cell>
          <cell r="BG820">
            <v>2500000</v>
          </cell>
          <cell r="BH820">
            <v>2650000</v>
          </cell>
          <cell r="BI820">
            <v>100000</v>
          </cell>
          <cell r="BJ820">
            <v>2550000</v>
          </cell>
          <cell r="BK820">
            <v>0</v>
          </cell>
          <cell r="BL820">
            <v>2550000</v>
          </cell>
        </row>
        <row r="821">
          <cell r="D821" t="str">
            <v>OS</v>
          </cell>
          <cell r="E821"/>
          <cell r="F821">
            <v>801</v>
          </cell>
          <cell r="G821" t="str">
            <v>CLOSED</v>
          </cell>
          <cell r="H821" t="str">
            <v>TS</v>
          </cell>
          <cell r="I821" t="str">
            <v>TS</v>
          </cell>
          <cell r="J821" t="str">
            <v>TS</v>
          </cell>
          <cell r="K821" t="str">
            <v>TS</v>
          </cell>
          <cell r="L821" t="str">
            <v>TS</v>
          </cell>
          <cell r="M821" t="str">
            <v>TS</v>
          </cell>
          <cell r="N821" t="str">
            <v>OS</v>
          </cell>
          <cell r="O821" t="str">
            <v>OS</v>
          </cell>
          <cell r="P821" t="str">
            <v>OS</v>
          </cell>
          <cell r="Q821" t="str">
            <v>OS</v>
          </cell>
          <cell r="R821" t="str">
            <v>OS</v>
          </cell>
          <cell r="S821" t="str">
            <v>OS</v>
          </cell>
          <cell r="T821" t="str">
            <v>OS</v>
          </cell>
          <cell r="U821" t="str">
            <v>OS</v>
          </cell>
          <cell r="V821" t="str">
            <v>OS</v>
          </cell>
          <cell r="W821" t="str">
            <v>OS</v>
          </cell>
          <cell r="X821" t="str">
            <v>OS</v>
          </cell>
          <cell r="Y821" t="str">
            <v>OS</v>
          </cell>
          <cell r="Z821" t="str">
            <v>OS</v>
          </cell>
          <cell r="AA821" t="str">
            <v>OS</v>
          </cell>
          <cell r="AB821" t="str">
            <v>OS</v>
          </cell>
          <cell r="AC821" t="str">
            <v>OS</v>
          </cell>
          <cell r="AD821" t="str">
            <v>AGM-01-042-003</v>
          </cell>
          <cell r="AE821" t="str">
            <v xml:space="preserve">Raemulan Lands, Inc. </v>
          </cell>
          <cell r="AF821" t="str">
            <v>Agapeya</v>
          </cell>
          <cell r="AG821" t="str">
            <v>AGM</v>
          </cell>
          <cell r="AH821" t="str">
            <v>Eco-High</v>
          </cell>
          <cell r="AI821" t="str">
            <v>West</v>
          </cell>
          <cell r="AJ821" t="str">
            <v>With LTS</v>
          </cell>
          <cell r="AK821" t="str">
            <v>Unaffected lots</v>
          </cell>
          <cell r="AL821" t="str">
            <v>Unaffected lots</v>
          </cell>
          <cell r="AM821" t="b">
            <v>1</v>
          </cell>
          <cell r="AN821" t="str">
            <v>YES</v>
          </cell>
          <cell r="AO821" t="str">
            <v>B2 2025</v>
          </cell>
          <cell r="AP821">
            <v>70</v>
          </cell>
          <cell r="AQ821" t="str">
            <v>PCS-04-276764</v>
          </cell>
          <cell r="AR821" t="b">
            <v>1</v>
          </cell>
          <cell r="AS821" t="str">
            <v>Done</v>
          </cell>
          <cell r="AT821" t="str">
            <v>2025 - Batch 6</v>
          </cell>
          <cell r="AU821">
            <v>42</v>
          </cell>
          <cell r="AV821">
            <v>3</v>
          </cell>
          <cell r="AW821" t="str">
            <v>H+L</v>
          </cell>
          <cell r="AX821">
            <v>70</v>
          </cell>
          <cell r="AY821">
            <v>50</v>
          </cell>
          <cell r="AZ821" t="str">
            <v>Duplex</v>
          </cell>
          <cell r="BA821">
            <v>1</v>
          </cell>
          <cell r="BB821" t="str">
            <v>568 - Without Partition</v>
          </cell>
          <cell r="BC821" t="str">
            <v xml:space="preserve">Without Partition </v>
          </cell>
          <cell r="BD821" t="str">
            <v>Slant</v>
          </cell>
          <cell r="BE821" t="str">
            <v xml:space="preserve">Without Partition </v>
          </cell>
          <cell r="BF821" t="str">
            <v>PINK</v>
          </cell>
          <cell r="BG821">
            <v>2500000</v>
          </cell>
          <cell r="BH821">
            <v>2650000</v>
          </cell>
          <cell r="BI821">
            <v>100000</v>
          </cell>
          <cell r="BJ821">
            <v>2550000</v>
          </cell>
          <cell r="BK821">
            <v>0</v>
          </cell>
          <cell r="BL821">
            <v>2550000</v>
          </cell>
        </row>
        <row r="822">
          <cell r="D822" t="str">
            <v>OS</v>
          </cell>
          <cell r="E822"/>
          <cell r="F822">
            <v>802</v>
          </cell>
          <cell r="G822" t="str">
            <v>CLOSED</v>
          </cell>
          <cell r="H822" t="str">
            <v>OPEN</v>
          </cell>
          <cell r="I822" t="str">
            <v>OPEN</v>
          </cell>
          <cell r="J822" t="str">
            <v>TS</v>
          </cell>
          <cell r="K822" t="str">
            <v>TS</v>
          </cell>
          <cell r="L822" t="str">
            <v>TS</v>
          </cell>
          <cell r="M822" t="str">
            <v>TS</v>
          </cell>
          <cell r="N822" t="str">
            <v>OS</v>
          </cell>
          <cell r="O822" t="str">
            <v>OS</v>
          </cell>
          <cell r="P822" t="str">
            <v>OS</v>
          </cell>
          <cell r="Q822" t="str">
            <v>OS</v>
          </cell>
          <cell r="R822" t="str">
            <v>OS</v>
          </cell>
          <cell r="S822" t="str">
            <v>OS</v>
          </cell>
          <cell r="T822" t="str">
            <v>OS</v>
          </cell>
          <cell r="U822" t="str">
            <v>OS</v>
          </cell>
          <cell r="V822" t="str">
            <v>OS</v>
          </cell>
          <cell r="W822" t="str">
            <v>OS</v>
          </cell>
          <cell r="X822" t="str">
            <v>OS</v>
          </cell>
          <cell r="Y822" t="str">
            <v>OS</v>
          </cell>
          <cell r="Z822" t="str">
            <v>OS</v>
          </cell>
          <cell r="AA822" t="str">
            <v>OS</v>
          </cell>
          <cell r="AB822" t="str">
            <v>OS</v>
          </cell>
          <cell r="AC822" t="str">
            <v>OS</v>
          </cell>
          <cell r="AD822" t="str">
            <v>AGM-01-042-004</v>
          </cell>
          <cell r="AE822" t="str">
            <v xml:space="preserve">Raemulan Lands, Inc. </v>
          </cell>
          <cell r="AF822" t="str">
            <v>Agapeya</v>
          </cell>
          <cell r="AG822" t="str">
            <v>AGM</v>
          </cell>
          <cell r="AH822" t="str">
            <v>Eco-High</v>
          </cell>
          <cell r="AI822" t="str">
            <v>West</v>
          </cell>
          <cell r="AJ822" t="str">
            <v>With LTS</v>
          </cell>
          <cell r="AK822" t="str">
            <v>Unaffected lots</v>
          </cell>
          <cell r="AL822" t="str">
            <v>Unaffected lots</v>
          </cell>
          <cell r="AM822" t="b">
            <v>1</v>
          </cell>
          <cell r="AN822" t="str">
            <v>YES</v>
          </cell>
          <cell r="AO822" t="str">
            <v>B2 2025</v>
          </cell>
          <cell r="AP822">
            <v>70</v>
          </cell>
          <cell r="AQ822" t="str">
            <v>PCS-04-276764</v>
          </cell>
          <cell r="AR822" t="b">
            <v>1</v>
          </cell>
          <cell r="AS822" t="str">
            <v>Done</v>
          </cell>
          <cell r="AT822" t="str">
            <v>2025 - Batch 6</v>
          </cell>
          <cell r="AU822">
            <v>42</v>
          </cell>
          <cell r="AV822">
            <v>4</v>
          </cell>
          <cell r="AW822" t="str">
            <v>H+L</v>
          </cell>
          <cell r="AX822">
            <v>70</v>
          </cell>
          <cell r="AY822">
            <v>50</v>
          </cell>
          <cell r="AZ822" t="str">
            <v>Duplex</v>
          </cell>
          <cell r="BA822">
            <v>1</v>
          </cell>
          <cell r="BB822" t="str">
            <v>568 - Without Partition</v>
          </cell>
          <cell r="BC822" t="str">
            <v xml:space="preserve">Without Partition </v>
          </cell>
          <cell r="BD822" t="str">
            <v>Flat</v>
          </cell>
          <cell r="BE822" t="str">
            <v xml:space="preserve">Without Partition </v>
          </cell>
          <cell r="BF822" t="str">
            <v>PINK</v>
          </cell>
          <cell r="BG822">
            <v>2500000</v>
          </cell>
          <cell r="BH822">
            <v>2650000</v>
          </cell>
          <cell r="BI822">
            <v>100000</v>
          </cell>
          <cell r="BJ822">
            <v>2550000</v>
          </cell>
          <cell r="BK822">
            <v>0</v>
          </cell>
          <cell r="BL822">
            <v>2550000</v>
          </cell>
        </row>
        <row r="823">
          <cell r="D823" t="str">
            <v>OS</v>
          </cell>
          <cell r="E823"/>
          <cell r="F823">
            <v>803</v>
          </cell>
          <cell r="G823" t="str">
            <v>UNSOLD</v>
          </cell>
          <cell r="H823" t="str">
            <v>TS</v>
          </cell>
          <cell r="I823" t="str">
            <v>TS</v>
          </cell>
          <cell r="J823" t="str">
            <v>OS</v>
          </cell>
          <cell r="K823" t="str">
            <v>OS</v>
          </cell>
          <cell r="L823" t="str">
            <v>OS</v>
          </cell>
          <cell r="M823" t="str">
            <v>OS</v>
          </cell>
          <cell r="N823" t="str">
            <v>OS</v>
          </cell>
          <cell r="O823" t="str">
            <v>OS</v>
          </cell>
          <cell r="P823" t="str">
            <v>OS</v>
          </cell>
          <cell r="Q823" t="str">
            <v>OS</v>
          </cell>
          <cell r="R823" t="str">
            <v>OS</v>
          </cell>
          <cell r="S823" t="str">
            <v>OS</v>
          </cell>
          <cell r="T823" t="str">
            <v>OS</v>
          </cell>
          <cell r="U823" t="str">
            <v>OS</v>
          </cell>
          <cell r="V823" t="str">
            <v>OS</v>
          </cell>
          <cell r="W823" t="str">
            <v>OS</v>
          </cell>
          <cell r="X823" t="str">
            <v>OS</v>
          </cell>
          <cell r="Y823" t="str">
            <v>OS</v>
          </cell>
          <cell r="Z823" t="str">
            <v>OS</v>
          </cell>
          <cell r="AA823" t="str">
            <v>OS</v>
          </cell>
          <cell r="AB823" t="str">
            <v>OS</v>
          </cell>
          <cell r="AC823" t="str">
            <v>OS</v>
          </cell>
          <cell r="AD823" t="str">
            <v>AGM-01-042-005</v>
          </cell>
          <cell r="AE823" t="str">
            <v xml:space="preserve">Raemulan Lands, Inc. </v>
          </cell>
          <cell r="AF823" t="str">
            <v>Agapeya</v>
          </cell>
          <cell r="AG823" t="str">
            <v>AGM</v>
          </cell>
          <cell r="AH823" t="str">
            <v>Eco-High</v>
          </cell>
          <cell r="AI823" t="str">
            <v>West</v>
          </cell>
          <cell r="AJ823" t="str">
            <v>With LTS</v>
          </cell>
          <cell r="AK823" t="str">
            <v>Unaffected lots</v>
          </cell>
          <cell r="AL823" t="str">
            <v>Unaffected lots</v>
          </cell>
          <cell r="AM823" t="b">
            <v>1</v>
          </cell>
          <cell r="AN823" t="str">
            <v>YES</v>
          </cell>
          <cell r="AO823" t="str">
            <v>B2 2025</v>
          </cell>
          <cell r="AP823">
            <v>70</v>
          </cell>
          <cell r="AQ823" t="str">
            <v>PCS-04-276764</v>
          </cell>
          <cell r="AR823" t="b">
            <v>1</v>
          </cell>
          <cell r="AS823" t="str">
            <v>Done</v>
          </cell>
          <cell r="AT823" t="str">
            <v>2025 - Batch 6</v>
          </cell>
          <cell r="AU823">
            <v>42</v>
          </cell>
          <cell r="AV823">
            <v>5</v>
          </cell>
          <cell r="AW823" t="str">
            <v>H+L</v>
          </cell>
          <cell r="AX823">
            <v>70</v>
          </cell>
          <cell r="AY823">
            <v>50</v>
          </cell>
          <cell r="AZ823" t="str">
            <v>Duplex</v>
          </cell>
          <cell r="BA823">
            <v>1</v>
          </cell>
          <cell r="BB823" t="str">
            <v>568 - Without Partition</v>
          </cell>
          <cell r="BC823" t="str">
            <v xml:space="preserve">Without Partition </v>
          </cell>
          <cell r="BD823" t="str">
            <v>Slant</v>
          </cell>
          <cell r="BE823" t="str">
            <v xml:space="preserve">Without Partition </v>
          </cell>
          <cell r="BF823" t="str">
            <v>PINK</v>
          </cell>
          <cell r="BG823">
            <v>2500000</v>
          </cell>
          <cell r="BH823">
            <v>2650000</v>
          </cell>
          <cell r="BI823">
            <v>100000</v>
          </cell>
          <cell r="BJ823">
            <v>2550000</v>
          </cell>
          <cell r="BK823">
            <v>0</v>
          </cell>
          <cell r="BL823">
            <v>2550000</v>
          </cell>
        </row>
        <row r="824">
          <cell r="D824" t="str">
            <v>OS</v>
          </cell>
          <cell r="E824"/>
          <cell r="F824">
            <v>804</v>
          </cell>
          <cell r="G824" t="str">
            <v>CLOSED</v>
          </cell>
          <cell r="H824" t="str">
            <v>OPEN</v>
          </cell>
          <cell r="I824" t="str">
            <v>TS</v>
          </cell>
          <cell r="J824" t="str">
            <v>TS</v>
          </cell>
          <cell r="K824" t="str">
            <v>TS</v>
          </cell>
          <cell r="L824" t="str">
            <v>TS</v>
          </cell>
          <cell r="M824" t="str">
            <v>TS</v>
          </cell>
          <cell r="N824" t="str">
            <v>TS</v>
          </cell>
          <cell r="O824" t="str">
            <v>TS</v>
          </cell>
          <cell r="P824" t="str">
            <v>TS</v>
          </cell>
          <cell r="Q824" t="str">
            <v>TS</v>
          </cell>
          <cell r="R824" t="str">
            <v>TS</v>
          </cell>
          <cell r="S824" t="str">
            <v>TS</v>
          </cell>
          <cell r="T824" t="str">
            <v>TS</v>
          </cell>
          <cell r="U824" t="str">
            <v>OS</v>
          </cell>
          <cell r="V824" t="str">
            <v>OS</v>
          </cell>
          <cell r="W824" t="str">
            <v>OS</v>
          </cell>
          <cell r="X824" t="str">
            <v>OS</v>
          </cell>
          <cell r="Y824" t="str">
            <v>OS</v>
          </cell>
          <cell r="Z824" t="str">
            <v>OS</v>
          </cell>
          <cell r="AA824" t="str">
            <v>OS</v>
          </cell>
          <cell r="AB824" t="str">
            <v>OS</v>
          </cell>
          <cell r="AC824" t="str">
            <v>OS</v>
          </cell>
          <cell r="AD824" t="str">
            <v>AGM-01-042-006</v>
          </cell>
          <cell r="AE824" t="str">
            <v xml:space="preserve">Raemulan Lands, Inc. </v>
          </cell>
          <cell r="AF824" t="str">
            <v>Agapeya</v>
          </cell>
          <cell r="AG824" t="str">
            <v>AGM</v>
          </cell>
          <cell r="AH824" t="str">
            <v>Eco-High</v>
          </cell>
          <cell r="AI824" t="str">
            <v>West</v>
          </cell>
          <cell r="AJ824" t="str">
            <v>With LTS</v>
          </cell>
          <cell r="AK824" t="str">
            <v>Unaffected lots</v>
          </cell>
          <cell r="AL824" t="str">
            <v>Unaffected lots</v>
          </cell>
          <cell r="AM824" t="b">
            <v>1</v>
          </cell>
          <cell r="AN824" t="str">
            <v>YES</v>
          </cell>
          <cell r="AO824" t="str">
            <v>B2 2025</v>
          </cell>
          <cell r="AP824">
            <v>70</v>
          </cell>
          <cell r="AQ824" t="str">
            <v>PCS-04-276764</v>
          </cell>
          <cell r="AR824" t="b">
            <v>1</v>
          </cell>
          <cell r="AS824" t="str">
            <v>Done</v>
          </cell>
          <cell r="AT824" t="str">
            <v>2025 - Batch 6</v>
          </cell>
          <cell r="AU824">
            <v>42</v>
          </cell>
          <cell r="AV824">
            <v>6</v>
          </cell>
          <cell r="AW824" t="str">
            <v>H+L</v>
          </cell>
          <cell r="AX824">
            <v>70</v>
          </cell>
          <cell r="AY824">
            <v>50</v>
          </cell>
          <cell r="AZ824" t="str">
            <v>Duplex</v>
          </cell>
          <cell r="BA824">
            <v>1</v>
          </cell>
          <cell r="BB824" t="str">
            <v>568 - Without Partition</v>
          </cell>
          <cell r="BC824" t="str">
            <v xml:space="preserve">Without Partition </v>
          </cell>
          <cell r="BD824" t="str">
            <v>Flat</v>
          </cell>
          <cell r="BE824" t="str">
            <v xml:space="preserve">Without Partition </v>
          </cell>
          <cell r="BF824" t="str">
            <v>PINK</v>
          </cell>
          <cell r="BG824">
            <v>2500000</v>
          </cell>
          <cell r="BH824">
            <v>2650000</v>
          </cell>
          <cell r="BI824">
            <v>100000</v>
          </cell>
          <cell r="BJ824">
            <v>2550000</v>
          </cell>
          <cell r="BK824">
            <v>0</v>
          </cell>
          <cell r="BL824">
            <v>2550000</v>
          </cell>
        </row>
        <row r="825">
          <cell r="D825" t="str">
            <v>OS</v>
          </cell>
          <cell r="E825"/>
          <cell r="F825">
            <v>805</v>
          </cell>
          <cell r="G825" t="str">
            <v>SOLD</v>
          </cell>
          <cell r="H825" t="str">
            <v>OS</v>
          </cell>
          <cell r="I825" t="str">
            <v>OS</v>
          </cell>
          <cell r="J825" t="str">
            <v>OS</v>
          </cell>
          <cell r="K825" t="str">
            <v>OS</v>
          </cell>
          <cell r="L825" t="str">
            <v>OS</v>
          </cell>
          <cell r="M825" t="str">
            <v>OS</v>
          </cell>
          <cell r="N825" t="str">
            <v>OS</v>
          </cell>
          <cell r="O825" t="str">
            <v>OS</v>
          </cell>
          <cell r="P825" t="str">
            <v>OS</v>
          </cell>
          <cell r="Q825" t="str">
            <v>OS</v>
          </cell>
          <cell r="R825" t="str">
            <v>OS</v>
          </cell>
          <cell r="S825" t="str">
            <v>OS</v>
          </cell>
          <cell r="T825" t="str">
            <v>OS</v>
          </cell>
          <cell r="U825" t="str">
            <v>OS</v>
          </cell>
          <cell r="V825" t="str">
            <v>OS</v>
          </cell>
          <cell r="W825" t="str">
            <v>OS</v>
          </cell>
          <cell r="X825" t="str">
            <v>OS</v>
          </cell>
          <cell r="Y825" t="str">
            <v>OS</v>
          </cell>
          <cell r="Z825" t="str">
            <v>OS</v>
          </cell>
          <cell r="AA825" t="str">
            <v>OS</v>
          </cell>
          <cell r="AB825" t="str">
            <v>OS</v>
          </cell>
          <cell r="AC825" t="str">
            <v>OS</v>
          </cell>
          <cell r="AD825" t="str">
            <v>AGM-01-042-007</v>
          </cell>
          <cell r="AE825" t="str">
            <v xml:space="preserve">Raemulan Lands, Inc. </v>
          </cell>
          <cell r="AF825" t="str">
            <v>Agapeya</v>
          </cell>
          <cell r="AG825" t="str">
            <v>AGM</v>
          </cell>
          <cell r="AH825" t="str">
            <v>Eco-High</v>
          </cell>
          <cell r="AI825" t="str">
            <v>West</v>
          </cell>
          <cell r="AJ825" t="str">
            <v>With LTS</v>
          </cell>
          <cell r="AK825" t="str">
            <v>Unaffected lots</v>
          </cell>
          <cell r="AL825" t="str">
            <v>Unaffected lots</v>
          </cell>
          <cell r="AM825" t="b">
            <v>1</v>
          </cell>
          <cell r="AN825" t="str">
            <v>YES</v>
          </cell>
          <cell r="AO825" t="str">
            <v>B1 2025</v>
          </cell>
          <cell r="AP825">
            <v>70</v>
          </cell>
          <cell r="AQ825" t="str">
            <v>PCS-04-276764</v>
          </cell>
          <cell r="AR825" t="b">
            <v>1</v>
          </cell>
          <cell r="AS825" t="str">
            <v>Done</v>
          </cell>
          <cell r="AT825" t="str">
            <v>2025 - Batch 2</v>
          </cell>
          <cell r="AU825">
            <v>42</v>
          </cell>
          <cell r="AV825">
            <v>7</v>
          </cell>
          <cell r="AW825" t="str">
            <v>H+L</v>
          </cell>
          <cell r="AX825">
            <v>70</v>
          </cell>
          <cell r="AY825">
            <v>50</v>
          </cell>
          <cell r="AZ825" t="str">
            <v>Duplex</v>
          </cell>
          <cell r="BA825">
            <v>1</v>
          </cell>
          <cell r="BB825" t="str">
            <v>568 - Without Partition</v>
          </cell>
          <cell r="BC825" t="str">
            <v xml:space="preserve">Without Partition </v>
          </cell>
          <cell r="BD825" t="str">
            <v>Slant</v>
          </cell>
          <cell r="BE825" t="str">
            <v xml:space="preserve">Without Partition </v>
          </cell>
          <cell r="BF825" t="str">
            <v>YELLOW</v>
          </cell>
          <cell r="BG825">
            <v>2500000</v>
          </cell>
          <cell r="BH825">
            <v>2650000</v>
          </cell>
          <cell r="BI825">
            <v>100000</v>
          </cell>
          <cell r="BJ825">
            <v>2550000</v>
          </cell>
          <cell r="BK825">
            <v>0</v>
          </cell>
          <cell r="BL825">
            <v>2550000</v>
          </cell>
        </row>
        <row r="826">
          <cell r="D826" t="str">
            <v>OS</v>
          </cell>
          <cell r="E826"/>
          <cell r="F826">
            <v>806</v>
          </cell>
          <cell r="G826" t="str">
            <v>SOLD</v>
          </cell>
          <cell r="H826" t="str">
            <v>OS</v>
          </cell>
          <cell r="I826" t="str">
            <v>OS</v>
          </cell>
          <cell r="J826" t="str">
            <v>OS</v>
          </cell>
          <cell r="K826" t="str">
            <v>OS</v>
          </cell>
          <cell r="L826" t="str">
            <v>OS</v>
          </cell>
          <cell r="M826" t="str">
            <v>OS</v>
          </cell>
          <cell r="N826" t="str">
            <v>OS</v>
          </cell>
          <cell r="O826" t="str">
            <v>OS</v>
          </cell>
          <cell r="P826" t="str">
            <v>OS</v>
          </cell>
          <cell r="Q826" t="str">
            <v>OS</v>
          </cell>
          <cell r="R826" t="str">
            <v>OS</v>
          </cell>
          <cell r="S826" t="str">
            <v>OS</v>
          </cell>
          <cell r="T826" t="str">
            <v>OS</v>
          </cell>
          <cell r="U826" t="str">
            <v>OS</v>
          </cell>
          <cell r="V826" t="str">
            <v>OS</v>
          </cell>
          <cell r="W826" t="str">
            <v>OS</v>
          </cell>
          <cell r="X826" t="str">
            <v>OS</v>
          </cell>
          <cell r="Y826" t="str">
            <v>OS</v>
          </cell>
          <cell r="Z826" t="str">
            <v>OS</v>
          </cell>
          <cell r="AA826" t="str">
            <v>OS</v>
          </cell>
          <cell r="AB826" t="str">
            <v>OS</v>
          </cell>
          <cell r="AC826" t="str">
            <v>OS</v>
          </cell>
          <cell r="AD826" t="str">
            <v>AGM-01-042-008</v>
          </cell>
          <cell r="AE826" t="str">
            <v xml:space="preserve">Raemulan Lands, Inc. </v>
          </cell>
          <cell r="AF826" t="str">
            <v>Agapeya</v>
          </cell>
          <cell r="AG826" t="str">
            <v>AGM</v>
          </cell>
          <cell r="AH826" t="str">
            <v>Eco-High</v>
          </cell>
          <cell r="AI826" t="str">
            <v>West</v>
          </cell>
          <cell r="AJ826" t="str">
            <v>With LTS</v>
          </cell>
          <cell r="AK826" t="str">
            <v>Unaffected lots</v>
          </cell>
          <cell r="AL826" t="str">
            <v>Unaffected lots</v>
          </cell>
          <cell r="AM826" t="b">
            <v>1</v>
          </cell>
          <cell r="AN826" t="str">
            <v>YES</v>
          </cell>
          <cell r="AO826" t="str">
            <v>B1 2025</v>
          </cell>
          <cell r="AP826">
            <v>70</v>
          </cell>
          <cell r="AQ826" t="str">
            <v>PCS-04-276764</v>
          </cell>
          <cell r="AR826" t="b">
            <v>1</v>
          </cell>
          <cell r="AS826" t="str">
            <v>Done</v>
          </cell>
          <cell r="AT826" t="str">
            <v>2025 - Batch 2</v>
          </cell>
          <cell r="AU826">
            <v>42</v>
          </cell>
          <cell r="AV826">
            <v>8</v>
          </cell>
          <cell r="AW826" t="str">
            <v>H+L</v>
          </cell>
          <cell r="AX826">
            <v>70</v>
          </cell>
          <cell r="AY826">
            <v>50</v>
          </cell>
          <cell r="AZ826" t="str">
            <v>Duplex</v>
          </cell>
          <cell r="BA826">
            <v>1</v>
          </cell>
          <cell r="BB826" t="str">
            <v>568 - Without Partition</v>
          </cell>
          <cell r="BC826" t="str">
            <v xml:space="preserve">Without Partition </v>
          </cell>
          <cell r="BD826" t="str">
            <v>Flat</v>
          </cell>
          <cell r="BE826" t="str">
            <v xml:space="preserve">Without Partition </v>
          </cell>
          <cell r="BF826" t="str">
            <v>YELLOW</v>
          </cell>
          <cell r="BG826">
            <v>2500000</v>
          </cell>
          <cell r="BH826">
            <v>2650000</v>
          </cell>
          <cell r="BI826">
            <v>100000</v>
          </cell>
          <cell r="BJ826">
            <v>2550000</v>
          </cell>
          <cell r="BK826">
            <v>0</v>
          </cell>
          <cell r="BL826">
            <v>2550000</v>
          </cell>
        </row>
        <row r="827">
          <cell r="D827" t="str">
            <v>OS</v>
          </cell>
          <cell r="E827"/>
          <cell r="F827">
            <v>807</v>
          </cell>
          <cell r="G827" t="str">
            <v>SOLD</v>
          </cell>
          <cell r="H827" t="str">
            <v>OS</v>
          </cell>
          <cell r="I827" t="str">
            <v>OS</v>
          </cell>
          <cell r="J827" t="str">
            <v>OS</v>
          </cell>
          <cell r="K827" t="str">
            <v>OS</v>
          </cell>
          <cell r="L827" t="str">
            <v>OS</v>
          </cell>
          <cell r="M827" t="str">
            <v>OS</v>
          </cell>
          <cell r="N827" t="str">
            <v>OS</v>
          </cell>
          <cell r="O827" t="str">
            <v>OS</v>
          </cell>
          <cell r="P827" t="str">
            <v>OS</v>
          </cell>
          <cell r="Q827" t="str">
            <v>OS</v>
          </cell>
          <cell r="R827" t="str">
            <v>OS</v>
          </cell>
          <cell r="S827" t="str">
            <v>OS</v>
          </cell>
          <cell r="T827" t="str">
            <v>OS</v>
          </cell>
          <cell r="U827" t="str">
            <v>OS</v>
          </cell>
          <cell r="V827" t="str">
            <v>OS</v>
          </cell>
          <cell r="W827" t="str">
            <v>OS</v>
          </cell>
          <cell r="X827" t="str">
            <v>OS</v>
          </cell>
          <cell r="Y827" t="str">
            <v>OS</v>
          </cell>
          <cell r="Z827" t="str">
            <v>OS</v>
          </cell>
          <cell r="AA827" t="str">
            <v>OS</v>
          </cell>
          <cell r="AB827" t="str">
            <v>OS</v>
          </cell>
          <cell r="AC827" t="str">
            <v>OS</v>
          </cell>
          <cell r="AD827" t="str">
            <v>AGM-01-042-009</v>
          </cell>
          <cell r="AE827" t="str">
            <v xml:space="preserve">Raemulan Lands, Inc. </v>
          </cell>
          <cell r="AF827" t="str">
            <v>Agapeya</v>
          </cell>
          <cell r="AG827" t="str">
            <v>AGM</v>
          </cell>
          <cell r="AH827" t="str">
            <v>Eco-High</v>
          </cell>
          <cell r="AI827" t="str">
            <v>West</v>
          </cell>
          <cell r="AJ827" t="str">
            <v>With LTS</v>
          </cell>
          <cell r="AK827" t="str">
            <v>Unaffected lots</v>
          </cell>
          <cell r="AL827" t="str">
            <v>Unaffected lots</v>
          </cell>
          <cell r="AM827" t="b">
            <v>1</v>
          </cell>
          <cell r="AN827" t="str">
            <v>YES</v>
          </cell>
          <cell r="AO827" t="str">
            <v>B1 2025</v>
          </cell>
          <cell r="AP827">
            <v>70</v>
          </cell>
          <cell r="AQ827" t="str">
            <v>PCS-04-276764</v>
          </cell>
          <cell r="AR827" t="b">
            <v>1</v>
          </cell>
          <cell r="AS827" t="str">
            <v>Done</v>
          </cell>
          <cell r="AT827" t="str">
            <v>2025 - Batch 2</v>
          </cell>
          <cell r="AU827">
            <v>42</v>
          </cell>
          <cell r="AV827">
            <v>9</v>
          </cell>
          <cell r="AW827" t="str">
            <v>H+L</v>
          </cell>
          <cell r="AX827">
            <v>70</v>
          </cell>
          <cell r="AY827">
            <v>50</v>
          </cell>
          <cell r="AZ827" t="str">
            <v>Duplex</v>
          </cell>
          <cell r="BA827">
            <v>1</v>
          </cell>
          <cell r="BB827" t="str">
            <v>568 - Without Partition</v>
          </cell>
          <cell r="BC827" t="str">
            <v xml:space="preserve">Without Partition </v>
          </cell>
          <cell r="BD827" t="str">
            <v>Flat</v>
          </cell>
          <cell r="BE827" t="str">
            <v xml:space="preserve">Without Partition </v>
          </cell>
          <cell r="BF827" t="str">
            <v>YELLOW</v>
          </cell>
          <cell r="BG827">
            <v>2500000</v>
          </cell>
          <cell r="BH827">
            <v>2650000</v>
          </cell>
          <cell r="BI827">
            <v>100000</v>
          </cell>
          <cell r="BJ827">
            <v>2550000</v>
          </cell>
          <cell r="BK827">
            <v>0</v>
          </cell>
          <cell r="BL827">
            <v>2550000</v>
          </cell>
        </row>
        <row r="828">
          <cell r="D828" t="str">
            <v>OS</v>
          </cell>
          <cell r="E828"/>
          <cell r="F828">
            <v>808</v>
          </cell>
          <cell r="G828" t="str">
            <v>SOLD</v>
          </cell>
          <cell r="H828" t="str">
            <v>OS</v>
          </cell>
          <cell r="I828" t="str">
            <v>OS</v>
          </cell>
          <cell r="J828" t="str">
            <v>OS</v>
          </cell>
          <cell r="K828" t="str">
            <v>OS</v>
          </cell>
          <cell r="L828" t="str">
            <v>OS</v>
          </cell>
          <cell r="M828" t="str">
            <v>OS</v>
          </cell>
          <cell r="N828" t="str">
            <v>OS</v>
          </cell>
          <cell r="O828" t="str">
            <v>OS</v>
          </cell>
          <cell r="P828" t="str">
            <v>OS</v>
          </cell>
          <cell r="Q828" t="str">
            <v>OS</v>
          </cell>
          <cell r="R828" t="str">
            <v>OS</v>
          </cell>
          <cell r="S828" t="str">
            <v>OS</v>
          </cell>
          <cell r="T828" t="str">
            <v>OS</v>
          </cell>
          <cell r="U828" t="str">
            <v>OS</v>
          </cell>
          <cell r="V828" t="str">
            <v>OS</v>
          </cell>
          <cell r="W828" t="str">
            <v>OS</v>
          </cell>
          <cell r="X828" t="str">
            <v>OS</v>
          </cell>
          <cell r="Y828" t="str">
            <v>OS</v>
          </cell>
          <cell r="Z828" t="str">
            <v>OS</v>
          </cell>
          <cell r="AA828" t="str">
            <v>OS</v>
          </cell>
          <cell r="AB828" t="str">
            <v>OS</v>
          </cell>
          <cell r="AC828" t="str">
            <v>OS</v>
          </cell>
          <cell r="AD828" t="str">
            <v>AGM-01-042-010</v>
          </cell>
          <cell r="AE828" t="str">
            <v xml:space="preserve">Raemulan Lands, Inc. </v>
          </cell>
          <cell r="AF828" t="str">
            <v>Agapeya</v>
          </cell>
          <cell r="AG828" t="str">
            <v>AGM</v>
          </cell>
          <cell r="AH828" t="str">
            <v>Eco-High</v>
          </cell>
          <cell r="AI828" t="str">
            <v>West</v>
          </cell>
          <cell r="AJ828" t="str">
            <v>With LTS</v>
          </cell>
          <cell r="AK828" t="str">
            <v>Unaffected lots</v>
          </cell>
          <cell r="AL828" t="str">
            <v>Unaffected lots</v>
          </cell>
          <cell r="AM828" t="b">
            <v>1</v>
          </cell>
          <cell r="AN828" t="str">
            <v>YES</v>
          </cell>
          <cell r="AO828" t="str">
            <v>B1 2025</v>
          </cell>
          <cell r="AP828">
            <v>70</v>
          </cell>
          <cell r="AQ828" t="str">
            <v>PCS-04-276764</v>
          </cell>
          <cell r="AR828" t="b">
            <v>1</v>
          </cell>
          <cell r="AS828" t="str">
            <v>Done</v>
          </cell>
          <cell r="AT828" t="str">
            <v>2025 - Batch 2</v>
          </cell>
          <cell r="AU828">
            <v>42</v>
          </cell>
          <cell r="AV828">
            <v>10</v>
          </cell>
          <cell r="AW828" t="str">
            <v>H+L</v>
          </cell>
          <cell r="AX828">
            <v>70</v>
          </cell>
          <cell r="AY828">
            <v>50</v>
          </cell>
          <cell r="AZ828" t="str">
            <v>Duplex</v>
          </cell>
          <cell r="BA828">
            <v>1</v>
          </cell>
          <cell r="BB828" t="str">
            <v>568 - Without Partition</v>
          </cell>
          <cell r="BC828" t="str">
            <v xml:space="preserve">Without Partition </v>
          </cell>
          <cell r="BD828" t="str">
            <v>Slant</v>
          </cell>
          <cell r="BE828" t="str">
            <v xml:space="preserve">Without Partition </v>
          </cell>
          <cell r="BF828" t="str">
            <v>YELLOW</v>
          </cell>
          <cell r="BG828">
            <v>2500000</v>
          </cell>
          <cell r="BH828">
            <v>2650000</v>
          </cell>
          <cell r="BI828">
            <v>100000</v>
          </cell>
          <cell r="BJ828">
            <v>2550000</v>
          </cell>
          <cell r="BK828">
            <v>0</v>
          </cell>
          <cell r="BL828">
            <v>2550000</v>
          </cell>
        </row>
        <row r="829">
          <cell r="D829" t="str">
            <v>OS</v>
          </cell>
          <cell r="E829"/>
          <cell r="F829">
            <v>809</v>
          </cell>
          <cell r="G829" t="str">
            <v>SOLD</v>
          </cell>
          <cell r="H829" t="str">
            <v>OS</v>
          </cell>
          <cell r="I829" t="str">
            <v>OS</v>
          </cell>
          <cell r="J829" t="str">
            <v>OS</v>
          </cell>
          <cell r="K829" t="str">
            <v>OS</v>
          </cell>
          <cell r="L829" t="str">
            <v>OS</v>
          </cell>
          <cell r="M829" t="str">
            <v>OS</v>
          </cell>
          <cell r="N829" t="str">
            <v>OS</v>
          </cell>
          <cell r="O829" t="str">
            <v>OS</v>
          </cell>
          <cell r="P829" t="str">
            <v>OS</v>
          </cell>
          <cell r="Q829" t="str">
            <v>OS</v>
          </cell>
          <cell r="R829" t="str">
            <v>OS</v>
          </cell>
          <cell r="S829" t="str">
            <v>OS</v>
          </cell>
          <cell r="T829" t="str">
            <v>OS</v>
          </cell>
          <cell r="U829" t="str">
            <v>OS</v>
          </cell>
          <cell r="V829" t="str">
            <v>OS</v>
          </cell>
          <cell r="W829" t="str">
            <v>OS</v>
          </cell>
          <cell r="X829" t="str">
            <v>OS</v>
          </cell>
          <cell r="Y829" t="str">
            <v>OS</v>
          </cell>
          <cell r="Z829" t="str">
            <v>OS</v>
          </cell>
          <cell r="AA829" t="str">
            <v>OS</v>
          </cell>
          <cell r="AB829" t="str">
            <v>OS</v>
          </cell>
          <cell r="AC829" t="str">
            <v>OS</v>
          </cell>
          <cell r="AD829" t="str">
            <v>AGM-01-042-011</v>
          </cell>
          <cell r="AE829" t="str">
            <v xml:space="preserve">Raemulan Lands, Inc. </v>
          </cell>
          <cell r="AF829" t="str">
            <v>Agapeya</v>
          </cell>
          <cell r="AG829" t="str">
            <v>AGM</v>
          </cell>
          <cell r="AH829" t="str">
            <v>Eco-High</v>
          </cell>
          <cell r="AI829" t="str">
            <v>West</v>
          </cell>
          <cell r="AJ829" t="str">
            <v>With LTS</v>
          </cell>
          <cell r="AK829" t="str">
            <v>Unaffected lots</v>
          </cell>
          <cell r="AL829" t="str">
            <v>Unaffected lots</v>
          </cell>
          <cell r="AM829" t="b">
            <v>1</v>
          </cell>
          <cell r="AN829" t="str">
            <v>YES</v>
          </cell>
          <cell r="AO829" t="str">
            <v>B1 2025</v>
          </cell>
          <cell r="AP829">
            <v>70</v>
          </cell>
          <cell r="AQ829" t="str">
            <v>PCS-04-276764</v>
          </cell>
          <cell r="AR829" t="b">
            <v>1</v>
          </cell>
          <cell r="AS829" t="str">
            <v>Done</v>
          </cell>
          <cell r="AT829" t="str">
            <v>2025 - Batch 2</v>
          </cell>
          <cell r="AU829">
            <v>42</v>
          </cell>
          <cell r="AV829">
            <v>11</v>
          </cell>
          <cell r="AW829" t="str">
            <v>H+L</v>
          </cell>
          <cell r="AX829">
            <v>70</v>
          </cell>
          <cell r="AY829">
            <v>50</v>
          </cell>
          <cell r="AZ829" t="str">
            <v>Duplex</v>
          </cell>
          <cell r="BA829">
            <v>1</v>
          </cell>
          <cell r="BB829" t="str">
            <v>568 - Without Partition</v>
          </cell>
          <cell r="BC829" t="str">
            <v xml:space="preserve">Without Partition </v>
          </cell>
          <cell r="BD829" t="str">
            <v>Flat</v>
          </cell>
          <cell r="BE829" t="str">
            <v xml:space="preserve">Without Partition </v>
          </cell>
          <cell r="BF829" t="str">
            <v>GREEN</v>
          </cell>
          <cell r="BG829">
            <v>2500000</v>
          </cell>
          <cell r="BH829">
            <v>2650000</v>
          </cell>
          <cell r="BI829">
            <v>100000</v>
          </cell>
          <cell r="BJ829">
            <v>2550000</v>
          </cell>
          <cell r="BK829">
            <v>0</v>
          </cell>
          <cell r="BL829">
            <v>2550000</v>
          </cell>
        </row>
        <row r="830">
          <cell r="D830" t="str">
            <v>OS</v>
          </cell>
          <cell r="E830"/>
          <cell r="F830">
            <v>810</v>
          </cell>
          <cell r="G830" t="str">
            <v>SOLD</v>
          </cell>
          <cell r="H830" t="str">
            <v>OS</v>
          </cell>
          <cell r="I830" t="str">
            <v>OS</v>
          </cell>
          <cell r="J830" t="str">
            <v>OS</v>
          </cell>
          <cell r="K830" t="str">
            <v>OS</v>
          </cell>
          <cell r="L830" t="str">
            <v>OS</v>
          </cell>
          <cell r="M830" t="str">
            <v>OS</v>
          </cell>
          <cell r="N830" t="str">
            <v>OS</v>
          </cell>
          <cell r="O830" t="str">
            <v>OS</v>
          </cell>
          <cell r="P830" t="str">
            <v>OS</v>
          </cell>
          <cell r="Q830" t="str">
            <v>OS</v>
          </cell>
          <cell r="R830" t="str">
            <v>OS</v>
          </cell>
          <cell r="S830" t="str">
            <v>OS</v>
          </cell>
          <cell r="T830" t="str">
            <v>OS</v>
          </cell>
          <cell r="U830" t="str">
            <v>OS</v>
          </cell>
          <cell r="V830" t="str">
            <v>OS</v>
          </cell>
          <cell r="W830" t="str">
            <v>OS</v>
          </cell>
          <cell r="X830" t="str">
            <v>OS</v>
          </cell>
          <cell r="Y830" t="str">
            <v>OS</v>
          </cell>
          <cell r="Z830" t="str">
            <v>OS</v>
          </cell>
          <cell r="AA830" t="str">
            <v>OS</v>
          </cell>
          <cell r="AB830" t="str">
            <v>OS</v>
          </cell>
          <cell r="AC830" t="str">
            <v>OS</v>
          </cell>
          <cell r="AD830" t="str">
            <v>AGM-01-042-012</v>
          </cell>
          <cell r="AE830" t="str">
            <v xml:space="preserve">Raemulan Lands, Inc. </v>
          </cell>
          <cell r="AF830" t="str">
            <v>Agapeya</v>
          </cell>
          <cell r="AG830" t="str">
            <v>AGM</v>
          </cell>
          <cell r="AH830" t="str">
            <v>Eco-High</v>
          </cell>
          <cell r="AI830" t="str">
            <v>West</v>
          </cell>
          <cell r="AJ830" t="str">
            <v>With LTS</v>
          </cell>
          <cell r="AK830" t="str">
            <v>Unaffected lots</v>
          </cell>
          <cell r="AL830" t="str">
            <v>Unaffected lots</v>
          </cell>
          <cell r="AM830" t="b">
            <v>1</v>
          </cell>
          <cell r="AN830" t="str">
            <v>YES</v>
          </cell>
          <cell r="AO830" t="str">
            <v>B1 2025</v>
          </cell>
          <cell r="AP830">
            <v>89</v>
          </cell>
          <cell r="AQ830" t="str">
            <v>PCS-04-276764</v>
          </cell>
          <cell r="AR830" t="b">
            <v>1</v>
          </cell>
          <cell r="AS830" t="str">
            <v>Done</v>
          </cell>
          <cell r="AT830" t="str">
            <v>2025 - Batch 2</v>
          </cell>
          <cell r="AU830">
            <v>42</v>
          </cell>
          <cell r="AV830">
            <v>12</v>
          </cell>
          <cell r="AW830" t="str">
            <v>H+L</v>
          </cell>
          <cell r="AX830">
            <v>89</v>
          </cell>
          <cell r="AY830">
            <v>50</v>
          </cell>
          <cell r="AZ830" t="str">
            <v>Duplex</v>
          </cell>
          <cell r="BA830">
            <v>1</v>
          </cell>
          <cell r="BB830" t="str">
            <v>568 - Without Partition</v>
          </cell>
          <cell r="BC830" t="str">
            <v xml:space="preserve">Without Partition </v>
          </cell>
          <cell r="BD830" t="str">
            <v>Flat</v>
          </cell>
          <cell r="BE830" t="str">
            <v xml:space="preserve">Without Partition </v>
          </cell>
          <cell r="BF830" t="str">
            <v>GREEN</v>
          </cell>
          <cell r="BG830">
            <v>2500000</v>
          </cell>
          <cell r="BH830">
            <v>2935000</v>
          </cell>
          <cell r="BI830">
            <v>100000</v>
          </cell>
          <cell r="BJ830">
            <v>2835000</v>
          </cell>
          <cell r="BK830">
            <v>0</v>
          </cell>
          <cell r="BL830">
            <v>2835000</v>
          </cell>
        </row>
        <row r="831">
          <cell r="D831" t="str">
            <v>OS</v>
          </cell>
          <cell r="E831"/>
          <cell r="F831">
            <v>811</v>
          </cell>
          <cell r="G831" t="str">
            <v>UNSOLD</v>
          </cell>
          <cell r="H831" t="str">
            <v>TS - MORE THAN 30 DAYS</v>
          </cell>
          <cell r="I831" t="str">
            <v>TS - MORE THAN 30 DAYS</v>
          </cell>
          <cell r="J831" t="str">
            <v>TS - MORE THAN 30 DAYS</v>
          </cell>
          <cell r="K831" t="str">
            <v>TS - MORE THAN 30 DAYS</v>
          </cell>
          <cell r="L831" t="str">
            <v>TS - MORE THAN 30 DAYS</v>
          </cell>
          <cell r="M831" t="str">
            <v>TS</v>
          </cell>
          <cell r="N831" t="str">
            <v>TS - MORE THAN 30 DAYS</v>
          </cell>
          <cell r="O831" t="str">
            <v>TS - MORE THAN 30 DAYS</v>
          </cell>
          <cell r="P831" t="str">
            <v>TS - MORE THAN 30 DAYS</v>
          </cell>
          <cell r="Q831" t="str">
            <v>TS - MORE THAN 30 DAYS</v>
          </cell>
          <cell r="R831" t="str">
            <v>TS</v>
          </cell>
          <cell r="S831" t="str">
            <v>TS - MORE THAN 30 DAYS</v>
          </cell>
          <cell r="T831" t="str">
            <v>TS - MORE THAN 30 DAYS</v>
          </cell>
          <cell r="U831" t="str">
            <v>TS</v>
          </cell>
          <cell r="V831" t="str">
            <v>OS</v>
          </cell>
          <cell r="W831" t="str">
            <v>TS</v>
          </cell>
          <cell r="X831" t="str">
            <v>OS</v>
          </cell>
          <cell r="Y831" t="str">
            <v>OS</v>
          </cell>
          <cell r="Z831" t="str">
            <v>OS</v>
          </cell>
          <cell r="AA831" t="str">
            <v>OS</v>
          </cell>
          <cell r="AB831" t="str">
            <v>OS</v>
          </cell>
          <cell r="AC831" t="str">
            <v>OS</v>
          </cell>
          <cell r="AD831" t="str">
            <v>AGM-01-043-001</v>
          </cell>
          <cell r="AE831" t="str">
            <v xml:space="preserve">Raemulan Lands, Inc. </v>
          </cell>
          <cell r="AF831" t="str">
            <v>Agapeya</v>
          </cell>
          <cell r="AG831" t="str">
            <v>AGM</v>
          </cell>
          <cell r="AH831" t="str">
            <v>Eco-High</v>
          </cell>
          <cell r="AI831" t="str">
            <v>West</v>
          </cell>
          <cell r="AJ831" t="str">
            <v>With LTS</v>
          </cell>
          <cell r="AK831" t="str">
            <v>Unaffected lots</v>
          </cell>
          <cell r="AL831" t="str">
            <v>Unaffected lots</v>
          </cell>
          <cell r="AM831" t="b">
            <v>1</v>
          </cell>
          <cell r="AN831" t="str">
            <v>YES</v>
          </cell>
          <cell r="AO831" t="str">
            <v>B2 2025</v>
          </cell>
          <cell r="AP831">
            <v>89</v>
          </cell>
          <cell r="AQ831" t="str">
            <v>PCS-04-276764</v>
          </cell>
          <cell r="AR831" t="b">
            <v>1</v>
          </cell>
          <cell r="AS831" t="str">
            <v>Done</v>
          </cell>
          <cell r="AT831" t="str">
            <v>2025 - Batch 4</v>
          </cell>
          <cell r="AU831">
            <v>43</v>
          </cell>
          <cell r="AV831">
            <v>1</v>
          </cell>
          <cell r="AW831" t="str">
            <v>H+L</v>
          </cell>
          <cell r="AX831">
            <v>89</v>
          </cell>
          <cell r="AY831">
            <v>50</v>
          </cell>
          <cell r="AZ831" t="str">
            <v>Duplex</v>
          </cell>
          <cell r="BA831">
            <v>1</v>
          </cell>
          <cell r="BB831" t="str">
            <v>568 - Without Partition</v>
          </cell>
          <cell r="BC831" t="str">
            <v xml:space="preserve">Without Partition </v>
          </cell>
          <cell r="BD831" t="str">
            <v>Slant</v>
          </cell>
          <cell r="BE831" t="str">
            <v xml:space="preserve">Without Partition </v>
          </cell>
          <cell r="BF831" t="str">
            <v>PURPLE</v>
          </cell>
          <cell r="BG831">
            <v>2500000</v>
          </cell>
          <cell r="BH831">
            <v>2935000</v>
          </cell>
          <cell r="BI831">
            <v>100000</v>
          </cell>
          <cell r="BJ831">
            <v>2835000</v>
          </cell>
          <cell r="BK831">
            <v>0</v>
          </cell>
          <cell r="BL831">
            <v>2835000</v>
          </cell>
        </row>
        <row r="832">
          <cell r="D832" t="str">
            <v>OS</v>
          </cell>
          <cell r="E832"/>
          <cell r="F832">
            <v>812</v>
          </cell>
          <cell r="G832" t="str">
            <v>SOLD</v>
          </cell>
          <cell r="H832" t="str">
            <v>OS</v>
          </cell>
          <cell r="I832" t="str">
            <v>OS</v>
          </cell>
          <cell r="J832" t="str">
            <v>OS</v>
          </cell>
          <cell r="K832" t="str">
            <v>OS</v>
          </cell>
          <cell r="L832" t="str">
            <v>OS</v>
          </cell>
          <cell r="M832" t="str">
            <v>OS</v>
          </cell>
          <cell r="N832" t="str">
            <v>OS</v>
          </cell>
          <cell r="O832" t="str">
            <v>OS</v>
          </cell>
          <cell r="P832" t="str">
            <v>OS</v>
          </cell>
          <cell r="Q832" t="str">
            <v>OS</v>
          </cell>
          <cell r="R832" t="str">
            <v>OS</v>
          </cell>
          <cell r="S832" t="str">
            <v>OS</v>
          </cell>
          <cell r="T832" t="str">
            <v>OS</v>
          </cell>
          <cell r="U832" t="str">
            <v>OS</v>
          </cell>
          <cell r="V832" t="str">
            <v>OS</v>
          </cell>
          <cell r="W832" t="str">
            <v>OS</v>
          </cell>
          <cell r="X832" t="str">
            <v>OS</v>
          </cell>
          <cell r="Y832" t="str">
            <v>OS</v>
          </cell>
          <cell r="Z832" t="str">
            <v>OS</v>
          </cell>
          <cell r="AA832" t="str">
            <v>OS</v>
          </cell>
          <cell r="AB832" t="str">
            <v>OS</v>
          </cell>
          <cell r="AC832" t="str">
            <v>OS</v>
          </cell>
          <cell r="AD832" t="str">
            <v>AGM-01-043-002</v>
          </cell>
          <cell r="AE832" t="str">
            <v xml:space="preserve">Raemulan Lands, Inc. </v>
          </cell>
          <cell r="AF832" t="str">
            <v>Agapeya</v>
          </cell>
          <cell r="AG832" t="str">
            <v>AGM</v>
          </cell>
          <cell r="AH832" t="str">
            <v>Eco-High</v>
          </cell>
          <cell r="AI832" t="str">
            <v>West</v>
          </cell>
          <cell r="AJ832" t="str">
            <v>With LTS</v>
          </cell>
          <cell r="AK832" t="str">
            <v>Unaffected lots</v>
          </cell>
          <cell r="AL832" t="str">
            <v>Unaffected lots</v>
          </cell>
          <cell r="AM832" t="b">
            <v>1</v>
          </cell>
          <cell r="AN832" t="str">
            <v>YES</v>
          </cell>
          <cell r="AO832" t="str">
            <v>B2 2025</v>
          </cell>
          <cell r="AP832">
            <v>70</v>
          </cell>
          <cell r="AQ832" t="str">
            <v>PCS-04-276764</v>
          </cell>
          <cell r="AR832" t="b">
            <v>1</v>
          </cell>
          <cell r="AS832" t="str">
            <v>Done</v>
          </cell>
          <cell r="AT832" t="str">
            <v>2025 - Batch 4</v>
          </cell>
          <cell r="AU832">
            <v>43</v>
          </cell>
          <cell r="AV832">
            <v>2</v>
          </cell>
          <cell r="AW832" t="str">
            <v>H+L</v>
          </cell>
          <cell r="AX832">
            <v>70</v>
          </cell>
          <cell r="AY832">
            <v>50</v>
          </cell>
          <cell r="AZ832" t="str">
            <v>Duplex</v>
          </cell>
          <cell r="BA832">
            <v>1</v>
          </cell>
          <cell r="BB832" t="str">
            <v>568 - Without Partition</v>
          </cell>
          <cell r="BC832" t="str">
            <v xml:space="preserve">Without Partition </v>
          </cell>
          <cell r="BD832" t="str">
            <v>Flat</v>
          </cell>
          <cell r="BE832" t="str">
            <v xml:space="preserve">Without Partition </v>
          </cell>
          <cell r="BF832" t="str">
            <v>PURPLE</v>
          </cell>
          <cell r="BG832">
            <v>2500000</v>
          </cell>
          <cell r="BH832">
            <v>2650000</v>
          </cell>
          <cell r="BI832">
            <v>100000</v>
          </cell>
          <cell r="BJ832">
            <v>2550000</v>
          </cell>
          <cell r="BK832">
            <v>0</v>
          </cell>
          <cell r="BL832">
            <v>2550000</v>
          </cell>
        </row>
        <row r="833">
          <cell r="D833" t="str">
            <v>OS</v>
          </cell>
          <cell r="E833"/>
          <cell r="F833">
            <v>813</v>
          </cell>
          <cell r="G833" t="str">
            <v>SOLD</v>
          </cell>
          <cell r="H833" t="str">
            <v>OS</v>
          </cell>
          <cell r="I833" t="str">
            <v>OS</v>
          </cell>
          <cell r="J833" t="str">
            <v>OS</v>
          </cell>
          <cell r="K833" t="str">
            <v>OS</v>
          </cell>
          <cell r="L833" t="str">
            <v>OS</v>
          </cell>
          <cell r="M833" t="str">
            <v>OS</v>
          </cell>
          <cell r="N833" t="str">
            <v>OS</v>
          </cell>
          <cell r="O833" t="str">
            <v>OS</v>
          </cell>
          <cell r="P833" t="str">
            <v>OS</v>
          </cell>
          <cell r="Q833" t="str">
            <v>OS</v>
          </cell>
          <cell r="R833" t="str">
            <v>OS</v>
          </cell>
          <cell r="S833" t="str">
            <v>OS</v>
          </cell>
          <cell r="T833" t="str">
            <v>OS</v>
          </cell>
          <cell r="U833" t="str">
            <v>OS</v>
          </cell>
          <cell r="V833" t="str">
            <v>OS</v>
          </cell>
          <cell r="W833" t="str">
            <v>OS</v>
          </cell>
          <cell r="X833" t="str">
            <v>OS</v>
          </cell>
          <cell r="Y833" t="str">
            <v>OS</v>
          </cell>
          <cell r="Z833" t="str">
            <v>OS</v>
          </cell>
          <cell r="AA833" t="str">
            <v>OS</v>
          </cell>
          <cell r="AB833" t="str">
            <v>OS</v>
          </cell>
          <cell r="AC833" t="str">
            <v>OS</v>
          </cell>
          <cell r="AD833" t="str">
            <v>AGM-01-043-003</v>
          </cell>
          <cell r="AE833" t="str">
            <v xml:space="preserve">Raemulan Lands, Inc. </v>
          </cell>
          <cell r="AF833" t="str">
            <v>Agapeya</v>
          </cell>
          <cell r="AG833" t="str">
            <v>AGM</v>
          </cell>
          <cell r="AH833" t="str">
            <v>Eco-High</v>
          </cell>
          <cell r="AI833" t="str">
            <v>West</v>
          </cell>
          <cell r="AJ833" t="str">
            <v>With LTS</v>
          </cell>
          <cell r="AK833" t="str">
            <v>Unaffected lots</v>
          </cell>
          <cell r="AL833" t="str">
            <v>Unaffected lots</v>
          </cell>
          <cell r="AM833" t="b">
            <v>1</v>
          </cell>
          <cell r="AN833" t="str">
            <v>YES</v>
          </cell>
          <cell r="AO833" t="str">
            <v>B2 2025</v>
          </cell>
          <cell r="AP833">
            <v>70</v>
          </cell>
          <cell r="AQ833" t="str">
            <v>PCS-04-276764</v>
          </cell>
          <cell r="AR833" t="b">
            <v>1</v>
          </cell>
          <cell r="AS833" t="str">
            <v>Done</v>
          </cell>
          <cell r="AT833" t="str">
            <v>2025 - Batch 4</v>
          </cell>
          <cell r="AU833">
            <v>43</v>
          </cell>
          <cell r="AV833">
            <v>3</v>
          </cell>
          <cell r="AW833" t="str">
            <v>H+L</v>
          </cell>
          <cell r="AX833">
            <v>70</v>
          </cell>
          <cell r="AY833">
            <v>50</v>
          </cell>
          <cell r="AZ833" t="str">
            <v>Duplex</v>
          </cell>
          <cell r="BA833">
            <v>1</v>
          </cell>
          <cell r="BB833" t="str">
            <v>568 - Without Partition</v>
          </cell>
          <cell r="BC833" t="str">
            <v xml:space="preserve">Without Partition </v>
          </cell>
          <cell r="BD833" t="str">
            <v>Flat</v>
          </cell>
          <cell r="BE833" t="str">
            <v xml:space="preserve">Without Partition </v>
          </cell>
          <cell r="BF833" t="str">
            <v>GREEN</v>
          </cell>
          <cell r="BG833">
            <v>2500000</v>
          </cell>
          <cell r="BH833">
            <v>2650000</v>
          </cell>
          <cell r="BI833">
            <v>100000</v>
          </cell>
          <cell r="BJ833">
            <v>2550000</v>
          </cell>
          <cell r="BK833">
            <v>0</v>
          </cell>
          <cell r="BL833">
            <v>2550000</v>
          </cell>
        </row>
        <row r="834">
          <cell r="D834" t="str">
            <v>OS</v>
          </cell>
          <cell r="E834"/>
          <cell r="F834">
            <v>814</v>
          </cell>
          <cell r="G834" t="str">
            <v>SOLD</v>
          </cell>
          <cell r="H834" t="str">
            <v>OS</v>
          </cell>
          <cell r="I834" t="str">
            <v>OS</v>
          </cell>
          <cell r="J834" t="str">
            <v>OS</v>
          </cell>
          <cell r="K834" t="str">
            <v>OS</v>
          </cell>
          <cell r="L834" t="str">
            <v>OS</v>
          </cell>
          <cell r="M834" t="str">
            <v>OS</v>
          </cell>
          <cell r="N834" t="str">
            <v>OS</v>
          </cell>
          <cell r="O834" t="str">
            <v>OS</v>
          </cell>
          <cell r="P834" t="str">
            <v>OS</v>
          </cell>
          <cell r="Q834" t="str">
            <v>OS</v>
          </cell>
          <cell r="R834" t="str">
            <v>OS</v>
          </cell>
          <cell r="S834" t="str">
            <v>OS</v>
          </cell>
          <cell r="T834" t="str">
            <v>OS</v>
          </cell>
          <cell r="U834" t="str">
            <v>OS</v>
          </cell>
          <cell r="V834" t="str">
            <v>OS</v>
          </cell>
          <cell r="W834" t="str">
            <v>OS</v>
          </cell>
          <cell r="X834" t="str">
            <v>OS</v>
          </cell>
          <cell r="Y834" t="str">
            <v>OS</v>
          </cell>
          <cell r="Z834" t="str">
            <v>OS</v>
          </cell>
          <cell r="AA834" t="str">
            <v>OS</v>
          </cell>
          <cell r="AB834" t="str">
            <v>OS</v>
          </cell>
          <cell r="AC834" t="str">
            <v>OS</v>
          </cell>
          <cell r="AD834" t="str">
            <v>AGM-01-043-004</v>
          </cell>
          <cell r="AE834" t="str">
            <v xml:space="preserve">Raemulan Lands, Inc. </v>
          </cell>
          <cell r="AF834" t="str">
            <v>Agapeya</v>
          </cell>
          <cell r="AG834" t="str">
            <v>AGM</v>
          </cell>
          <cell r="AH834" t="str">
            <v>Eco-High</v>
          </cell>
          <cell r="AI834" t="str">
            <v>West</v>
          </cell>
          <cell r="AJ834" t="str">
            <v>With LTS</v>
          </cell>
          <cell r="AK834" t="str">
            <v>Unaffected lots</v>
          </cell>
          <cell r="AL834" t="str">
            <v>Unaffected lots</v>
          </cell>
          <cell r="AM834" t="b">
            <v>1</v>
          </cell>
          <cell r="AN834" t="str">
            <v>YES</v>
          </cell>
          <cell r="AO834" t="str">
            <v>B2 2025</v>
          </cell>
          <cell r="AP834">
            <v>70</v>
          </cell>
          <cell r="AQ834" t="str">
            <v>PCS-04-276764</v>
          </cell>
          <cell r="AR834" t="b">
            <v>1</v>
          </cell>
          <cell r="AS834" t="str">
            <v>Done</v>
          </cell>
          <cell r="AT834" t="str">
            <v>2025 - Batch 4</v>
          </cell>
          <cell r="AU834">
            <v>43</v>
          </cell>
          <cell r="AV834">
            <v>4</v>
          </cell>
          <cell r="AW834" t="str">
            <v>H+L</v>
          </cell>
          <cell r="AX834">
            <v>70</v>
          </cell>
          <cell r="AY834">
            <v>50</v>
          </cell>
          <cell r="AZ834" t="str">
            <v>Duplex</v>
          </cell>
          <cell r="BA834">
            <v>1</v>
          </cell>
          <cell r="BB834" t="str">
            <v>568 - Without Partition</v>
          </cell>
          <cell r="BC834" t="str">
            <v xml:space="preserve">Without Partition </v>
          </cell>
          <cell r="BD834" t="str">
            <v>Slant</v>
          </cell>
          <cell r="BE834" t="str">
            <v xml:space="preserve">Without Partition </v>
          </cell>
          <cell r="BF834" t="str">
            <v>GREEN</v>
          </cell>
          <cell r="BG834">
            <v>2500000</v>
          </cell>
          <cell r="BH834">
            <v>2650000</v>
          </cell>
          <cell r="BI834">
            <v>100000</v>
          </cell>
          <cell r="BJ834">
            <v>2550000</v>
          </cell>
          <cell r="BK834">
            <v>0</v>
          </cell>
          <cell r="BL834">
            <v>2550000</v>
          </cell>
        </row>
        <row r="835">
          <cell r="D835" t="str">
            <v>OS</v>
          </cell>
          <cell r="E835"/>
          <cell r="F835">
            <v>815</v>
          </cell>
          <cell r="G835" t="str">
            <v>SOLD</v>
          </cell>
          <cell r="H835" t="str">
            <v>OS</v>
          </cell>
          <cell r="I835" t="str">
            <v>OS</v>
          </cell>
          <cell r="J835" t="str">
            <v>OS</v>
          </cell>
          <cell r="K835" t="str">
            <v>OS</v>
          </cell>
          <cell r="L835" t="str">
            <v>OS</v>
          </cell>
          <cell r="M835" t="str">
            <v>OS</v>
          </cell>
          <cell r="N835" t="str">
            <v>OS</v>
          </cell>
          <cell r="O835" t="str">
            <v>OS</v>
          </cell>
          <cell r="P835" t="str">
            <v>OS</v>
          </cell>
          <cell r="Q835" t="str">
            <v>OS</v>
          </cell>
          <cell r="R835" t="str">
            <v>OS</v>
          </cell>
          <cell r="S835" t="str">
            <v>OS</v>
          </cell>
          <cell r="T835" t="str">
            <v>OS</v>
          </cell>
          <cell r="U835" t="str">
            <v>OS</v>
          </cell>
          <cell r="V835" t="str">
            <v>OS</v>
          </cell>
          <cell r="W835" t="str">
            <v>OS</v>
          </cell>
          <cell r="X835" t="str">
            <v>OS</v>
          </cell>
          <cell r="Y835" t="str">
            <v>OS</v>
          </cell>
          <cell r="Z835" t="str">
            <v>OS</v>
          </cell>
          <cell r="AA835" t="str">
            <v>OS</v>
          </cell>
          <cell r="AB835" t="str">
            <v>OS</v>
          </cell>
          <cell r="AC835" t="str">
            <v>OS</v>
          </cell>
          <cell r="AD835" t="str">
            <v>AGM-01-043-005</v>
          </cell>
          <cell r="AE835" t="str">
            <v xml:space="preserve">Raemulan Lands, Inc. </v>
          </cell>
          <cell r="AF835" t="str">
            <v>Agapeya</v>
          </cell>
          <cell r="AG835" t="str">
            <v>AGM</v>
          </cell>
          <cell r="AH835" t="str">
            <v>Eco-High</v>
          </cell>
          <cell r="AI835" t="str">
            <v>West</v>
          </cell>
          <cell r="AJ835" t="str">
            <v>With LTS</v>
          </cell>
          <cell r="AK835" t="str">
            <v>Unaffected lots</v>
          </cell>
          <cell r="AL835" t="str">
            <v>Unaffected lots</v>
          </cell>
          <cell r="AM835" t="b">
            <v>1</v>
          </cell>
          <cell r="AN835" t="str">
            <v>YES</v>
          </cell>
          <cell r="AO835" t="str">
            <v>B2 2025</v>
          </cell>
          <cell r="AP835">
            <v>70</v>
          </cell>
          <cell r="AQ835" t="str">
            <v>PCS-04-276764</v>
          </cell>
          <cell r="AR835" t="b">
            <v>1</v>
          </cell>
          <cell r="AS835" t="str">
            <v>Done</v>
          </cell>
          <cell r="AT835" t="str">
            <v>2025 - Batch 4</v>
          </cell>
          <cell r="AU835">
            <v>43</v>
          </cell>
          <cell r="AV835">
            <v>5</v>
          </cell>
          <cell r="AW835" t="str">
            <v>H+L</v>
          </cell>
          <cell r="AX835">
            <v>70</v>
          </cell>
          <cell r="AY835">
            <v>50</v>
          </cell>
          <cell r="AZ835" t="str">
            <v>Duplex</v>
          </cell>
          <cell r="BA835">
            <v>1</v>
          </cell>
          <cell r="BB835" t="str">
            <v>568 - Without Partition</v>
          </cell>
          <cell r="BC835" t="str">
            <v xml:space="preserve">Without Partition </v>
          </cell>
          <cell r="BD835" t="str">
            <v>Slant</v>
          </cell>
          <cell r="BE835" t="str">
            <v xml:space="preserve">Without Partition </v>
          </cell>
          <cell r="BF835" t="str">
            <v>GREEN</v>
          </cell>
          <cell r="BG835">
            <v>2500000</v>
          </cell>
          <cell r="BH835">
            <v>2650000</v>
          </cell>
          <cell r="BI835">
            <v>100000</v>
          </cell>
          <cell r="BJ835">
            <v>2550000</v>
          </cell>
          <cell r="BK835">
            <v>0</v>
          </cell>
          <cell r="BL835">
            <v>2550000</v>
          </cell>
        </row>
        <row r="836">
          <cell r="D836" t="str">
            <v>OS</v>
          </cell>
          <cell r="E836"/>
          <cell r="F836">
            <v>816</v>
          </cell>
          <cell r="G836" t="str">
            <v>SOLD</v>
          </cell>
          <cell r="H836" t="str">
            <v>OS</v>
          </cell>
          <cell r="I836" t="str">
            <v>OS</v>
          </cell>
          <cell r="J836" t="str">
            <v>OS</v>
          </cell>
          <cell r="K836" t="str">
            <v>OS</v>
          </cell>
          <cell r="L836" t="str">
            <v>OS</v>
          </cell>
          <cell r="M836" t="str">
            <v>OS</v>
          </cell>
          <cell r="N836" t="str">
            <v>OS</v>
          </cell>
          <cell r="O836" t="str">
            <v>OS</v>
          </cell>
          <cell r="P836" t="str">
            <v>OS</v>
          </cell>
          <cell r="Q836" t="str">
            <v>OS</v>
          </cell>
          <cell r="R836" t="str">
            <v>OS</v>
          </cell>
          <cell r="S836" t="str">
            <v>OS</v>
          </cell>
          <cell r="T836" t="str">
            <v>OS</v>
          </cell>
          <cell r="U836" t="str">
            <v>OS</v>
          </cell>
          <cell r="V836" t="str">
            <v>OS</v>
          </cell>
          <cell r="W836" t="str">
            <v>OS</v>
          </cell>
          <cell r="X836" t="str">
            <v>OS</v>
          </cell>
          <cell r="Y836" t="str">
            <v>OS</v>
          </cell>
          <cell r="Z836" t="str">
            <v>OS</v>
          </cell>
          <cell r="AA836" t="str">
            <v>OS</v>
          </cell>
          <cell r="AB836" t="str">
            <v>OS</v>
          </cell>
          <cell r="AC836" t="str">
            <v>OS</v>
          </cell>
          <cell r="AD836" t="str">
            <v>AGM-01-043-006</v>
          </cell>
          <cell r="AE836" t="str">
            <v xml:space="preserve">Raemulan Lands, Inc. </v>
          </cell>
          <cell r="AF836" t="str">
            <v>Agapeya</v>
          </cell>
          <cell r="AG836" t="str">
            <v>AGM</v>
          </cell>
          <cell r="AH836" t="str">
            <v>Eco-High</v>
          </cell>
          <cell r="AI836" t="str">
            <v>West</v>
          </cell>
          <cell r="AJ836" t="str">
            <v>With LTS</v>
          </cell>
          <cell r="AK836" t="str">
            <v>Unaffected lots</v>
          </cell>
          <cell r="AL836" t="str">
            <v>Unaffected lots</v>
          </cell>
          <cell r="AM836" t="b">
            <v>1</v>
          </cell>
          <cell r="AN836" t="str">
            <v>YES</v>
          </cell>
          <cell r="AO836" t="str">
            <v>B2 2025</v>
          </cell>
          <cell r="AP836">
            <v>70</v>
          </cell>
          <cell r="AQ836" t="str">
            <v>PCS-04-276764</v>
          </cell>
          <cell r="AR836" t="b">
            <v>1</v>
          </cell>
          <cell r="AS836" t="str">
            <v>Done</v>
          </cell>
          <cell r="AT836" t="str">
            <v>2025 - Batch 4</v>
          </cell>
          <cell r="AU836">
            <v>43</v>
          </cell>
          <cell r="AV836">
            <v>6</v>
          </cell>
          <cell r="AW836" t="str">
            <v>H+L</v>
          </cell>
          <cell r="AX836">
            <v>70</v>
          </cell>
          <cell r="AY836">
            <v>50</v>
          </cell>
          <cell r="AZ836" t="str">
            <v>Duplex</v>
          </cell>
          <cell r="BA836">
            <v>1</v>
          </cell>
          <cell r="BB836" t="str">
            <v>568 - Without Partition</v>
          </cell>
          <cell r="BC836" t="str">
            <v xml:space="preserve">Without Partition </v>
          </cell>
          <cell r="BD836" t="str">
            <v>Flat</v>
          </cell>
          <cell r="BE836" t="str">
            <v xml:space="preserve">Without Partition </v>
          </cell>
          <cell r="BF836" t="str">
            <v>GREEN</v>
          </cell>
          <cell r="BG836">
            <v>2500000</v>
          </cell>
          <cell r="BH836">
            <v>2650000</v>
          </cell>
          <cell r="BI836">
            <v>100000</v>
          </cell>
          <cell r="BJ836">
            <v>2550000</v>
          </cell>
          <cell r="BK836">
            <v>0</v>
          </cell>
          <cell r="BL836">
            <v>2550000</v>
          </cell>
        </row>
        <row r="837">
          <cell r="D837" t="str">
            <v>OS</v>
          </cell>
          <cell r="E837"/>
          <cell r="F837">
            <v>817</v>
          </cell>
          <cell r="G837" t="str">
            <v>SOLD</v>
          </cell>
          <cell r="H837" t="str">
            <v>OS</v>
          </cell>
          <cell r="I837" t="str">
            <v>OS</v>
          </cell>
          <cell r="J837" t="str">
            <v>OS</v>
          </cell>
          <cell r="K837" t="str">
            <v>OS</v>
          </cell>
          <cell r="L837" t="str">
            <v>OS</v>
          </cell>
          <cell r="M837" t="str">
            <v>OS</v>
          </cell>
          <cell r="N837" t="str">
            <v>OS</v>
          </cell>
          <cell r="O837" t="str">
            <v>OS</v>
          </cell>
          <cell r="P837" t="str">
            <v>OS</v>
          </cell>
          <cell r="Q837" t="str">
            <v>OS</v>
          </cell>
          <cell r="R837" t="str">
            <v>OS</v>
          </cell>
          <cell r="S837" t="str">
            <v>OS</v>
          </cell>
          <cell r="T837" t="str">
            <v>OS</v>
          </cell>
          <cell r="U837" t="str">
            <v>OS</v>
          </cell>
          <cell r="V837" t="str">
            <v>OS</v>
          </cell>
          <cell r="W837" t="str">
            <v>OS</v>
          </cell>
          <cell r="X837" t="str">
            <v>OS</v>
          </cell>
          <cell r="Y837" t="str">
            <v>OS</v>
          </cell>
          <cell r="Z837" t="str">
            <v>OS</v>
          </cell>
          <cell r="AA837" t="str">
            <v>OS</v>
          </cell>
          <cell r="AB837" t="str">
            <v>OS</v>
          </cell>
          <cell r="AC837" t="str">
            <v>OS</v>
          </cell>
          <cell r="AD837" t="str">
            <v>AGM-01-043-007</v>
          </cell>
          <cell r="AE837" t="str">
            <v xml:space="preserve">Raemulan Lands, Inc. </v>
          </cell>
          <cell r="AF837" t="str">
            <v>Agapeya</v>
          </cell>
          <cell r="AG837" t="str">
            <v>AGM</v>
          </cell>
          <cell r="AH837" t="str">
            <v>Eco-High</v>
          </cell>
          <cell r="AI837" t="str">
            <v>West</v>
          </cell>
          <cell r="AJ837" t="str">
            <v>With LTS</v>
          </cell>
          <cell r="AK837" t="str">
            <v>Unaffected lots</v>
          </cell>
          <cell r="AL837" t="str">
            <v>Unaffected lots</v>
          </cell>
          <cell r="AM837" t="b">
            <v>1</v>
          </cell>
          <cell r="AN837" t="str">
            <v>YES</v>
          </cell>
          <cell r="AO837" t="str">
            <v>B1 2025</v>
          </cell>
          <cell r="AP837">
            <v>70</v>
          </cell>
          <cell r="AQ837" t="str">
            <v>PCS-04-276764</v>
          </cell>
          <cell r="AR837" t="b">
            <v>1</v>
          </cell>
          <cell r="AS837" t="str">
            <v>Done</v>
          </cell>
          <cell r="AT837" t="str">
            <v>2025 - Batch 1</v>
          </cell>
          <cell r="AU837">
            <v>43</v>
          </cell>
          <cell r="AV837">
            <v>7</v>
          </cell>
          <cell r="AW837" t="str">
            <v>H+L</v>
          </cell>
          <cell r="AX837">
            <v>70</v>
          </cell>
          <cell r="AY837">
            <v>50</v>
          </cell>
          <cell r="AZ837" t="str">
            <v>Duplex</v>
          </cell>
          <cell r="BA837">
            <v>1</v>
          </cell>
          <cell r="BB837" t="str">
            <v>568 - Without Partition</v>
          </cell>
          <cell r="BC837" t="str">
            <v xml:space="preserve">Without Partition </v>
          </cell>
          <cell r="BD837" t="str">
            <v>Slant</v>
          </cell>
          <cell r="BE837" t="str">
            <v xml:space="preserve">Without Partition </v>
          </cell>
          <cell r="BF837" t="str">
            <v>PURPLE</v>
          </cell>
          <cell r="BG837">
            <v>2500000</v>
          </cell>
          <cell r="BH837">
            <v>2650000</v>
          </cell>
          <cell r="BI837">
            <v>100000</v>
          </cell>
          <cell r="BJ837">
            <v>2550000</v>
          </cell>
          <cell r="BK837">
            <v>0</v>
          </cell>
          <cell r="BL837">
            <v>2550000</v>
          </cell>
        </row>
        <row r="838">
          <cell r="D838" t="str">
            <v>OS</v>
          </cell>
          <cell r="E838"/>
          <cell r="F838">
            <v>818</v>
          </cell>
          <cell r="G838" t="str">
            <v>SOLD</v>
          </cell>
          <cell r="H838" t="str">
            <v>OS</v>
          </cell>
          <cell r="I838" t="str">
            <v>OS</v>
          </cell>
          <cell r="J838" t="str">
            <v>OS</v>
          </cell>
          <cell r="K838" t="str">
            <v>OS</v>
          </cell>
          <cell r="L838" t="str">
            <v>OS</v>
          </cell>
          <cell r="M838" t="str">
            <v>OS</v>
          </cell>
          <cell r="N838" t="str">
            <v>OS</v>
          </cell>
          <cell r="O838" t="str">
            <v>OS</v>
          </cell>
          <cell r="P838" t="str">
            <v>OS</v>
          </cell>
          <cell r="Q838" t="str">
            <v>OS</v>
          </cell>
          <cell r="R838" t="str">
            <v>OS</v>
          </cell>
          <cell r="S838" t="str">
            <v>OS</v>
          </cell>
          <cell r="T838" t="str">
            <v>OS</v>
          </cell>
          <cell r="U838" t="str">
            <v>OS</v>
          </cell>
          <cell r="V838" t="str">
            <v>OS</v>
          </cell>
          <cell r="W838" t="str">
            <v>OS</v>
          </cell>
          <cell r="X838" t="str">
            <v>OS</v>
          </cell>
          <cell r="Y838" t="str">
            <v>OS</v>
          </cell>
          <cell r="Z838" t="str">
            <v>OS</v>
          </cell>
          <cell r="AA838" t="str">
            <v>OS</v>
          </cell>
          <cell r="AB838" t="str">
            <v>OS</v>
          </cell>
          <cell r="AC838" t="str">
            <v>OS</v>
          </cell>
          <cell r="AD838" t="str">
            <v>AGM-01-043-008</v>
          </cell>
          <cell r="AE838" t="str">
            <v xml:space="preserve">Raemulan Lands, Inc. </v>
          </cell>
          <cell r="AF838" t="str">
            <v>Agapeya</v>
          </cell>
          <cell r="AG838" t="str">
            <v>AGM</v>
          </cell>
          <cell r="AH838" t="str">
            <v>Eco-High</v>
          </cell>
          <cell r="AI838" t="str">
            <v>West</v>
          </cell>
          <cell r="AJ838" t="str">
            <v>With LTS</v>
          </cell>
          <cell r="AK838" t="str">
            <v>Unaffected lots</v>
          </cell>
          <cell r="AL838" t="str">
            <v>Unaffected lots</v>
          </cell>
          <cell r="AM838" t="b">
            <v>1</v>
          </cell>
          <cell r="AN838" t="str">
            <v>YES</v>
          </cell>
          <cell r="AO838" t="str">
            <v>B1 2025</v>
          </cell>
          <cell r="AP838">
            <v>70</v>
          </cell>
          <cell r="AQ838" t="str">
            <v>PCS-04-276764</v>
          </cell>
          <cell r="AR838" t="b">
            <v>1</v>
          </cell>
          <cell r="AS838" t="str">
            <v>Done</v>
          </cell>
          <cell r="AT838" t="str">
            <v>2025 - Batch 1</v>
          </cell>
          <cell r="AU838">
            <v>43</v>
          </cell>
          <cell r="AV838">
            <v>8</v>
          </cell>
          <cell r="AW838" t="str">
            <v>H+L</v>
          </cell>
          <cell r="AX838">
            <v>70</v>
          </cell>
          <cell r="AY838">
            <v>50</v>
          </cell>
          <cell r="AZ838" t="str">
            <v>Duplex</v>
          </cell>
          <cell r="BA838">
            <v>1</v>
          </cell>
          <cell r="BB838" t="str">
            <v>568 - Without Partition</v>
          </cell>
          <cell r="BC838" t="str">
            <v xml:space="preserve">Without Partition </v>
          </cell>
          <cell r="BD838" t="str">
            <v>Flat</v>
          </cell>
          <cell r="BE838" t="str">
            <v xml:space="preserve">Without Partition </v>
          </cell>
          <cell r="BF838" t="str">
            <v>PURPLE</v>
          </cell>
          <cell r="BG838">
            <v>2500000</v>
          </cell>
          <cell r="BH838">
            <v>2650000</v>
          </cell>
          <cell r="BI838">
            <v>100000</v>
          </cell>
          <cell r="BJ838">
            <v>2550000</v>
          </cell>
          <cell r="BK838">
            <v>0</v>
          </cell>
          <cell r="BL838">
            <v>2550000</v>
          </cell>
        </row>
        <row r="839">
          <cell r="D839" t="str">
            <v>OS</v>
          </cell>
          <cell r="E839"/>
          <cell r="F839">
            <v>819</v>
          </cell>
          <cell r="G839" t="str">
            <v>SOLD</v>
          </cell>
          <cell r="H839" t="str">
            <v>OS</v>
          </cell>
          <cell r="I839" t="str">
            <v>OS</v>
          </cell>
          <cell r="J839" t="str">
            <v>OS</v>
          </cell>
          <cell r="K839" t="str">
            <v>OS</v>
          </cell>
          <cell r="L839" t="str">
            <v>OS</v>
          </cell>
          <cell r="M839" t="str">
            <v>OS</v>
          </cell>
          <cell r="N839" t="str">
            <v>OS</v>
          </cell>
          <cell r="O839" t="str">
            <v>OS</v>
          </cell>
          <cell r="P839" t="str">
            <v>OS</v>
          </cell>
          <cell r="Q839" t="str">
            <v>OS</v>
          </cell>
          <cell r="R839" t="str">
            <v>OS</v>
          </cell>
          <cell r="S839" t="str">
            <v>OS</v>
          </cell>
          <cell r="T839" t="str">
            <v>OS</v>
          </cell>
          <cell r="U839" t="str">
            <v>OS</v>
          </cell>
          <cell r="V839" t="str">
            <v>OS</v>
          </cell>
          <cell r="W839" t="str">
            <v>OS</v>
          </cell>
          <cell r="X839" t="str">
            <v>OS</v>
          </cell>
          <cell r="Y839" t="str">
            <v>OS</v>
          </cell>
          <cell r="Z839" t="str">
            <v>OS</v>
          </cell>
          <cell r="AA839" t="str">
            <v>OS</v>
          </cell>
          <cell r="AB839" t="str">
            <v>OS</v>
          </cell>
          <cell r="AC839" t="str">
            <v>OS</v>
          </cell>
          <cell r="AD839" t="str">
            <v>AGM-01-043-009</v>
          </cell>
          <cell r="AE839" t="str">
            <v xml:space="preserve">Raemulan Lands, Inc. </v>
          </cell>
          <cell r="AF839" t="str">
            <v>Agapeya</v>
          </cell>
          <cell r="AG839" t="str">
            <v>AGM</v>
          </cell>
          <cell r="AH839" t="str">
            <v>Eco-High</v>
          </cell>
          <cell r="AI839" t="str">
            <v>West</v>
          </cell>
          <cell r="AJ839" t="str">
            <v>With LTS</v>
          </cell>
          <cell r="AK839" t="str">
            <v>Unaffected lots</v>
          </cell>
          <cell r="AL839" t="str">
            <v>Unaffected lots</v>
          </cell>
          <cell r="AM839" t="b">
            <v>1</v>
          </cell>
          <cell r="AN839" t="str">
            <v>YES</v>
          </cell>
          <cell r="AO839" t="str">
            <v>B1 2025</v>
          </cell>
          <cell r="AP839">
            <v>70</v>
          </cell>
          <cell r="AQ839" t="str">
            <v>PCS-04-276764</v>
          </cell>
          <cell r="AR839" t="b">
            <v>1</v>
          </cell>
          <cell r="AS839" t="str">
            <v>Done</v>
          </cell>
          <cell r="AT839" t="str">
            <v>2025 - Batch 1</v>
          </cell>
          <cell r="AU839">
            <v>43</v>
          </cell>
          <cell r="AV839">
            <v>9</v>
          </cell>
          <cell r="AW839" t="str">
            <v>H+L</v>
          </cell>
          <cell r="AX839">
            <v>70</v>
          </cell>
          <cell r="AY839">
            <v>50</v>
          </cell>
          <cell r="AZ839" t="str">
            <v>Duplex</v>
          </cell>
          <cell r="BA839">
            <v>1</v>
          </cell>
          <cell r="BB839" t="str">
            <v>568 - Without Partition</v>
          </cell>
          <cell r="BC839" t="str">
            <v xml:space="preserve">Without Partition </v>
          </cell>
          <cell r="BD839" t="str">
            <v>Flat</v>
          </cell>
          <cell r="BE839" t="str">
            <v xml:space="preserve">Without Partition </v>
          </cell>
          <cell r="BF839" t="str">
            <v>PURPLE</v>
          </cell>
          <cell r="BG839">
            <v>2500000</v>
          </cell>
          <cell r="BH839">
            <v>2650000</v>
          </cell>
          <cell r="BI839">
            <v>100000</v>
          </cell>
          <cell r="BJ839">
            <v>2550000</v>
          </cell>
          <cell r="BK839">
            <v>0</v>
          </cell>
          <cell r="BL839">
            <v>2550000</v>
          </cell>
        </row>
        <row r="840">
          <cell r="D840" t="str">
            <v>OS</v>
          </cell>
          <cell r="E840"/>
          <cell r="F840">
            <v>820</v>
          </cell>
          <cell r="G840" t="str">
            <v>SOLD</v>
          </cell>
          <cell r="H840" t="str">
            <v>OS</v>
          </cell>
          <cell r="I840" t="str">
            <v>OS</v>
          </cell>
          <cell r="J840" t="str">
            <v>OS</v>
          </cell>
          <cell r="K840" t="str">
            <v>OS</v>
          </cell>
          <cell r="L840" t="str">
            <v>OS</v>
          </cell>
          <cell r="M840" t="str">
            <v>OS</v>
          </cell>
          <cell r="N840" t="str">
            <v>OS</v>
          </cell>
          <cell r="O840" t="str">
            <v>OS</v>
          </cell>
          <cell r="P840" t="str">
            <v>OS</v>
          </cell>
          <cell r="Q840" t="str">
            <v>OS</v>
          </cell>
          <cell r="R840" t="str">
            <v>OS</v>
          </cell>
          <cell r="S840" t="str">
            <v>OS</v>
          </cell>
          <cell r="T840" t="str">
            <v>OS</v>
          </cell>
          <cell r="U840" t="str">
            <v>OS</v>
          </cell>
          <cell r="V840" t="str">
            <v>OS</v>
          </cell>
          <cell r="W840" t="str">
            <v>OS</v>
          </cell>
          <cell r="X840" t="str">
            <v>OS</v>
          </cell>
          <cell r="Y840" t="str">
            <v>OS</v>
          </cell>
          <cell r="Z840" t="str">
            <v>OS</v>
          </cell>
          <cell r="AA840" t="str">
            <v>OS</v>
          </cell>
          <cell r="AB840" t="str">
            <v>TS</v>
          </cell>
          <cell r="AC840" t="str">
            <v>TS</v>
          </cell>
          <cell r="AD840" t="str">
            <v>AGM-01-043-010</v>
          </cell>
          <cell r="AE840" t="str">
            <v xml:space="preserve">Raemulan Lands, Inc. </v>
          </cell>
          <cell r="AF840" t="str">
            <v>Agapeya</v>
          </cell>
          <cell r="AG840" t="str">
            <v>AGM</v>
          </cell>
          <cell r="AH840" t="str">
            <v>Eco-High</v>
          </cell>
          <cell r="AI840" t="str">
            <v>West</v>
          </cell>
          <cell r="AJ840" t="str">
            <v>With LTS</v>
          </cell>
          <cell r="AK840" t="str">
            <v>Unaffected lots</v>
          </cell>
          <cell r="AL840" t="str">
            <v>Unaffected lots</v>
          </cell>
          <cell r="AM840" t="b">
            <v>1</v>
          </cell>
          <cell r="AN840" t="str">
            <v>YES</v>
          </cell>
          <cell r="AO840" t="str">
            <v>B1 2025</v>
          </cell>
          <cell r="AP840">
            <v>70</v>
          </cell>
          <cell r="AQ840" t="str">
            <v>PCS-04-276764</v>
          </cell>
          <cell r="AR840" t="b">
            <v>1</v>
          </cell>
          <cell r="AS840" t="str">
            <v>Done</v>
          </cell>
          <cell r="AT840" t="str">
            <v>2025 - Batch 1</v>
          </cell>
          <cell r="AU840">
            <v>43</v>
          </cell>
          <cell r="AV840">
            <v>10</v>
          </cell>
          <cell r="AW840" t="str">
            <v>H+L</v>
          </cell>
          <cell r="AX840">
            <v>70</v>
          </cell>
          <cell r="AY840">
            <v>50</v>
          </cell>
          <cell r="AZ840" t="str">
            <v>Duplex</v>
          </cell>
          <cell r="BA840">
            <v>1</v>
          </cell>
          <cell r="BB840" t="str">
            <v>568 - Without Partition</v>
          </cell>
          <cell r="BC840" t="str">
            <v xml:space="preserve">Without Partition </v>
          </cell>
          <cell r="BD840" t="str">
            <v>Slant</v>
          </cell>
          <cell r="BE840" t="str">
            <v xml:space="preserve">Without Partition </v>
          </cell>
          <cell r="BF840" t="str">
            <v>PURPLE</v>
          </cell>
          <cell r="BG840">
            <v>2500000</v>
          </cell>
          <cell r="BH840">
            <v>2650000</v>
          </cell>
          <cell r="BI840">
            <v>100000</v>
          </cell>
          <cell r="BJ840">
            <v>2550000</v>
          </cell>
          <cell r="BK840">
            <v>0</v>
          </cell>
          <cell r="BL840">
            <v>2550000</v>
          </cell>
        </row>
        <row r="841">
          <cell r="D841" t="str">
            <v>OS</v>
          </cell>
          <cell r="E841"/>
          <cell r="F841">
            <v>821</v>
          </cell>
          <cell r="G841" t="str">
            <v>SOLD</v>
          </cell>
          <cell r="H841" t="str">
            <v>OS</v>
          </cell>
          <cell r="I841" t="str">
            <v>OS</v>
          </cell>
          <cell r="J841" t="str">
            <v>OS</v>
          </cell>
          <cell r="K841" t="str">
            <v>OS</v>
          </cell>
          <cell r="L841" t="str">
            <v>OS</v>
          </cell>
          <cell r="M841" t="str">
            <v>OS</v>
          </cell>
          <cell r="N841" t="str">
            <v>OS</v>
          </cell>
          <cell r="O841" t="str">
            <v>OS</v>
          </cell>
          <cell r="P841" t="str">
            <v>OS</v>
          </cell>
          <cell r="Q841" t="str">
            <v>OS</v>
          </cell>
          <cell r="R841" t="str">
            <v>OS</v>
          </cell>
          <cell r="S841" t="str">
            <v>OS</v>
          </cell>
          <cell r="T841" t="str">
            <v>OS</v>
          </cell>
          <cell r="U841" t="str">
            <v>OS</v>
          </cell>
          <cell r="V841" t="str">
            <v>OS</v>
          </cell>
          <cell r="W841" t="str">
            <v>OS</v>
          </cell>
          <cell r="X841" t="str">
            <v>OS</v>
          </cell>
          <cell r="Y841" t="str">
            <v>OS</v>
          </cell>
          <cell r="Z841" t="str">
            <v>OS</v>
          </cell>
          <cell r="AA841" t="str">
            <v>OS</v>
          </cell>
          <cell r="AB841" t="str">
            <v>OS</v>
          </cell>
          <cell r="AC841" t="str">
            <v>OS</v>
          </cell>
          <cell r="AD841" t="str">
            <v>AGM-01-043-011</v>
          </cell>
          <cell r="AE841" t="str">
            <v xml:space="preserve">Raemulan Lands, Inc. </v>
          </cell>
          <cell r="AF841" t="str">
            <v>Agapeya</v>
          </cell>
          <cell r="AG841" t="str">
            <v>AGM</v>
          </cell>
          <cell r="AH841" t="str">
            <v>Eco-High</v>
          </cell>
          <cell r="AI841" t="str">
            <v>West</v>
          </cell>
          <cell r="AJ841" t="str">
            <v>With LTS</v>
          </cell>
          <cell r="AK841" t="str">
            <v>Unaffected lots</v>
          </cell>
          <cell r="AL841" t="str">
            <v>Unaffected lots</v>
          </cell>
          <cell r="AM841" t="b">
            <v>1</v>
          </cell>
          <cell r="AN841" t="str">
            <v>YES</v>
          </cell>
          <cell r="AO841" t="str">
            <v>B1 2025</v>
          </cell>
          <cell r="AP841">
            <v>70</v>
          </cell>
          <cell r="AQ841" t="str">
            <v>PCS-04-276764</v>
          </cell>
          <cell r="AR841" t="b">
            <v>1</v>
          </cell>
          <cell r="AS841" t="str">
            <v>Done</v>
          </cell>
          <cell r="AT841" t="str">
            <v>2025 - Batch 1</v>
          </cell>
          <cell r="AU841">
            <v>43</v>
          </cell>
          <cell r="AV841">
            <v>11</v>
          </cell>
          <cell r="AW841" t="str">
            <v>H+L</v>
          </cell>
          <cell r="AX841">
            <v>70</v>
          </cell>
          <cell r="AY841">
            <v>50</v>
          </cell>
          <cell r="AZ841" t="str">
            <v>Duplex</v>
          </cell>
          <cell r="BA841">
            <v>1</v>
          </cell>
          <cell r="BB841" t="str">
            <v>568 - Without Partition</v>
          </cell>
          <cell r="BC841" t="str">
            <v xml:space="preserve">Without Partition </v>
          </cell>
          <cell r="BD841" t="str">
            <v>Slant</v>
          </cell>
          <cell r="BE841" t="str">
            <v xml:space="preserve">Without Partition </v>
          </cell>
          <cell r="BF841" t="str">
            <v>PINK</v>
          </cell>
          <cell r="BG841">
            <v>2500000</v>
          </cell>
          <cell r="BH841">
            <v>2650000</v>
          </cell>
          <cell r="BI841">
            <v>100000</v>
          </cell>
          <cell r="BJ841">
            <v>2550000</v>
          </cell>
          <cell r="BK841">
            <v>0</v>
          </cell>
          <cell r="BL841">
            <v>2550000</v>
          </cell>
        </row>
        <row r="842">
          <cell r="D842" t="str">
            <v>OS</v>
          </cell>
          <cell r="E842"/>
          <cell r="F842">
            <v>822</v>
          </cell>
          <cell r="G842" t="str">
            <v>SOLD</v>
          </cell>
          <cell r="H842" t="str">
            <v>OS</v>
          </cell>
          <cell r="I842" t="str">
            <v>OS</v>
          </cell>
          <cell r="J842" t="str">
            <v>OS</v>
          </cell>
          <cell r="K842" t="str">
            <v>OS</v>
          </cell>
          <cell r="L842" t="str">
            <v>OS</v>
          </cell>
          <cell r="M842" t="str">
            <v>OS</v>
          </cell>
          <cell r="N842" t="str">
            <v>OS</v>
          </cell>
          <cell r="O842" t="str">
            <v>OS</v>
          </cell>
          <cell r="P842" t="str">
            <v>OS</v>
          </cell>
          <cell r="Q842" t="str">
            <v>OS</v>
          </cell>
          <cell r="R842" t="str">
            <v>OS</v>
          </cell>
          <cell r="S842" t="str">
            <v>OS</v>
          </cell>
          <cell r="T842" t="str">
            <v>OS</v>
          </cell>
          <cell r="U842" t="str">
            <v>OS</v>
          </cell>
          <cell r="V842" t="str">
            <v>OS</v>
          </cell>
          <cell r="W842" t="str">
            <v>OS</v>
          </cell>
          <cell r="X842" t="str">
            <v>OS</v>
          </cell>
          <cell r="Y842" t="str">
            <v>OS</v>
          </cell>
          <cell r="Z842" t="str">
            <v>OS</v>
          </cell>
          <cell r="AA842" t="str">
            <v>OS</v>
          </cell>
          <cell r="AB842" t="str">
            <v>OS</v>
          </cell>
          <cell r="AC842" t="str">
            <v>OS</v>
          </cell>
          <cell r="AD842" t="str">
            <v>AGM-01-043-012</v>
          </cell>
          <cell r="AE842" t="str">
            <v xml:space="preserve">Raemulan Lands, Inc. </v>
          </cell>
          <cell r="AF842" t="str">
            <v>Agapeya</v>
          </cell>
          <cell r="AG842" t="str">
            <v>AGM</v>
          </cell>
          <cell r="AH842" t="str">
            <v>Eco-High</v>
          </cell>
          <cell r="AI842" t="str">
            <v>West</v>
          </cell>
          <cell r="AJ842" t="str">
            <v>With LTS</v>
          </cell>
          <cell r="AK842" t="str">
            <v>Unaffected lots</v>
          </cell>
          <cell r="AL842" t="str">
            <v>Unaffected lots</v>
          </cell>
          <cell r="AM842" t="b">
            <v>1</v>
          </cell>
          <cell r="AN842" t="str">
            <v>YES</v>
          </cell>
          <cell r="AO842" t="str">
            <v>B1 2025</v>
          </cell>
          <cell r="AP842">
            <v>89</v>
          </cell>
          <cell r="AQ842" t="str">
            <v>PCS-04-276764</v>
          </cell>
          <cell r="AR842" t="b">
            <v>1</v>
          </cell>
          <cell r="AS842" t="str">
            <v>Done</v>
          </cell>
          <cell r="AT842" t="str">
            <v>2025 - Batch 1</v>
          </cell>
          <cell r="AU842">
            <v>43</v>
          </cell>
          <cell r="AV842">
            <v>12</v>
          </cell>
          <cell r="AW842" t="str">
            <v>H+L</v>
          </cell>
          <cell r="AX842">
            <v>89</v>
          </cell>
          <cell r="AY842">
            <v>50</v>
          </cell>
          <cell r="AZ842" t="str">
            <v>Duplex</v>
          </cell>
          <cell r="BA842">
            <v>1</v>
          </cell>
          <cell r="BB842" t="str">
            <v>568 - Without Partition</v>
          </cell>
          <cell r="BC842" t="str">
            <v xml:space="preserve">Without Partition </v>
          </cell>
          <cell r="BD842" t="str">
            <v>Flat</v>
          </cell>
          <cell r="BE842" t="str">
            <v xml:space="preserve">Without Partition </v>
          </cell>
          <cell r="BF842" t="str">
            <v>PINK</v>
          </cell>
          <cell r="BG842">
            <v>2785000</v>
          </cell>
          <cell r="BH842">
            <v>2935000</v>
          </cell>
          <cell r="BI842">
            <v>100000</v>
          </cell>
          <cell r="BJ842">
            <v>2835000</v>
          </cell>
          <cell r="BK842">
            <v>0</v>
          </cell>
          <cell r="BL842">
            <v>2835000</v>
          </cell>
        </row>
        <row r="843">
          <cell r="D843" t="str">
            <v>OS</v>
          </cell>
          <cell r="E843"/>
          <cell r="F843">
            <v>823</v>
          </cell>
          <cell r="G843" t="str">
            <v>SOLD</v>
          </cell>
          <cell r="H843" t="str">
            <v>OS</v>
          </cell>
          <cell r="I843" t="str">
            <v>OS</v>
          </cell>
          <cell r="J843" t="str">
            <v>OS</v>
          </cell>
          <cell r="K843" t="str">
            <v>OS</v>
          </cell>
          <cell r="L843" t="str">
            <v>OS</v>
          </cell>
          <cell r="M843" t="str">
            <v>OS</v>
          </cell>
          <cell r="N843" t="str">
            <v>OS</v>
          </cell>
          <cell r="O843" t="str">
            <v>OS</v>
          </cell>
          <cell r="P843" t="str">
            <v>OS</v>
          </cell>
          <cell r="Q843" t="str">
            <v>OS</v>
          </cell>
          <cell r="R843" t="str">
            <v>OS</v>
          </cell>
          <cell r="S843" t="str">
            <v>OS</v>
          </cell>
          <cell r="T843" t="str">
            <v>OS</v>
          </cell>
          <cell r="U843" t="str">
            <v>OS</v>
          </cell>
          <cell r="V843" t="str">
            <v>OS</v>
          </cell>
          <cell r="W843" t="str">
            <v>OS</v>
          </cell>
          <cell r="X843" t="str">
            <v>OS</v>
          </cell>
          <cell r="Y843" t="str">
            <v>OS</v>
          </cell>
          <cell r="Z843" t="str">
            <v>OS</v>
          </cell>
          <cell r="AA843" t="str">
            <v>OS</v>
          </cell>
          <cell r="AB843" t="str">
            <v>OS</v>
          </cell>
          <cell r="AC843" t="str">
            <v>OS</v>
          </cell>
          <cell r="AD843" t="str">
            <v>AGM-01-045-001</v>
          </cell>
          <cell r="AE843" t="str">
            <v xml:space="preserve">Raemulan Lands, Inc. </v>
          </cell>
          <cell r="AF843" t="str">
            <v>Agapeya</v>
          </cell>
          <cell r="AG843" t="str">
            <v>AGM</v>
          </cell>
          <cell r="AH843" t="str">
            <v>Eco-High</v>
          </cell>
          <cell r="AI843" t="str">
            <v>West</v>
          </cell>
          <cell r="AJ843" t="str">
            <v>With LTS</v>
          </cell>
          <cell r="AK843" t="str">
            <v>Unaffected lots</v>
          </cell>
          <cell r="AL843" t="str">
            <v>Unaffected lots</v>
          </cell>
          <cell r="AM843" t="b">
            <v>1</v>
          </cell>
          <cell r="AN843" t="str">
            <v>YES</v>
          </cell>
          <cell r="AO843" t="str">
            <v>B2 2025</v>
          </cell>
          <cell r="AP843">
            <v>70</v>
          </cell>
          <cell r="AQ843" t="str">
            <v>PCS-04-276764</v>
          </cell>
          <cell r="AR843" t="b">
            <v>1</v>
          </cell>
          <cell r="AS843" t="str">
            <v>Done</v>
          </cell>
          <cell r="AT843" t="str">
            <v>2025 - Batch 4</v>
          </cell>
          <cell r="AU843">
            <v>45</v>
          </cell>
          <cell r="AV843">
            <v>1</v>
          </cell>
          <cell r="AW843" t="str">
            <v>H+L</v>
          </cell>
          <cell r="AX843">
            <v>70</v>
          </cell>
          <cell r="AY843">
            <v>50</v>
          </cell>
          <cell r="AZ843" t="str">
            <v>Duplex</v>
          </cell>
          <cell r="BA843">
            <v>1</v>
          </cell>
          <cell r="BB843" t="str">
            <v>568 - Without Partition</v>
          </cell>
          <cell r="BC843" t="str">
            <v xml:space="preserve">Without Partition </v>
          </cell>
          <cell r="BD843" t="str">
            <v>Slant</v>
          </cell>
          <cell r="BE843" t="str">
            <v xml:space="preserve">Without Partition </v>
          </cell>
          <cell r="BF843" t="str">
            <v>YELLOW</v>
          </cell>
          <cell r="BG843">
            <v>2500000</v>
          </cell>
          <cell r="BH843">
            <v>2650000</v>
          </cell>
          <cell r="BI843">
            <v>100000</v>
          </cell>
          <cell r="BJ843">
            <v>2550000</v>
          </cell>
          <cell r="BK843">
            <v>0</v>
          </cell>
          <cell r="BL843">
            <v>2550000</v>
          </cell>
        </row>
        <row r="844">
          <cell r="D844" t="str">
            <v>OS</v>
          </cell>
          <cell r="E844"/>
          <cell r="F844">
            <v>824</v>
          </cell>
          <cell r="G844" t="str">
            <v>UNSOLD</v>
          </cell>
          <cell r="H844" t="str">
            <v>TS</v>
          </cell>
          <cell r="I844" t="str">
            <v>TS</v>
          </cell>
          <cell r="J844" t="str">
            <v>TS</v>
          </cell>
          <cell r="K844" t="str">
            <v>TS</v>
          </cell>
          <cell r="L844" t="str">
            <v>TS</v>
          </cell>
          <cell r="M844" t="str">
            <v>TS</v>
          </cell>
          <cell r="N844" t="str">
            <v>TS</v>
          </cell>
          <cell r="O844" t="str">
            <v>TS</v>
          </cell>
          <cell r="P844" t="str">
            <v>TS</v>
          </cell>
          <cell r="Q844" t="str">
            <v>TS</v>
          </cell>
          <cell r="R844" t="str">
            <v>TS</v>
          </cell>
          <cell r="S844" t="str">
            <v>TS</v>
          </cell>
          <cell r="T844" t="str">
            <v>TS</v>
          </cell>
          <cell r="U844" t="str">
            <v>OS</v>
          </cell>
          <cell r="V844" t="str">
            <v>OS</v>
          </cell>
          <cell r="W844" t="str">
            <v>OS</v>
          </cell>
          <cell r="X844" t="str">
            <v>OS</v>
          </cell>
          <cell r="Y844" t="str">
            <v>OS</v>
          </cell>
          <cell r="Z844" t="str">
            <v>OS</v>
          </cell>
          <cell r="AA844" t="str">
            <v>OS</v>
          </cell>
          <cell r="AB844" t="str">
            <v>OS</v>
          </cell>
          <cell r="AC844" t="str">
            <v>OS</v>
          </cell>
          <cell r="AD844" t="str">
            <v>AGM-01-045-002</v>
          </cell>
          <cell r="AE844" t="str">
            <v xml:space="preserve">Raemulan Lands, Inc. </v>
          </cell>
          <cell r="AF844" t="str">
            <v>Agapeya</v>
          </cell>
          <cell r="AG844" t="str">
            <v>AGM</v>
          </cell>
          <cell r="AH844" t="str">
            <v>Eco-High</v>
          </cell>
          <cell r="AI844" t="str">
            <v>West</v>
          </cell>
          <cell r="AJ844" t="str">
            <v>With LTS</v>
          </cell>
          <cell r="AK844" t="str">
            <v>Unaffected lots</v>
          </cell>
          <cell r="AL844" t="str">
            <v>Unaffected lots</v>
          </cell>
          <cell r="AM844" t="b">
            <v>1</v>
          </cell>
          <cell r="AN844" t="str">
            <v>YES</v>
          </cell>
          <cell r="AO844" t="str">
            <v>B2 2025</v>
          </cell>
          <cell r="AP844">
            <v>70</v>
          </cell>
          <cell r="AQ844" t="str">
            <v>PCS-04-276764</v>
          </cell>
          <cell r="AR844" t="b">
            <v>1</v>
          </cell>
          <cell r="AS844" t="str">
            <v>Done</v>
          </cell>
          <cell r="AT844" t="str">
            <v>2025 - Batch 4</v>
          </cell>
          <cell r="AU844">
            <v>45</v>
          </cell>
          <cell r="AV844">
            <v>2</v>
          </cell>
          <cell r="AW844" t="str">
            <v>H+L</v>
          </cell>
          <cell r="AX844">
            <v>70</v>
          </cell>
          <cell r="AY844">
            <v>50</v>
          </cell>
          <cell r="AZ844" t="str">
            <v>Duplex</v>
          </cell>
          <cell r="BA844">
            <v>1</v>
          </cell>
          <cell r="BB844" t="str">
            <v>568 - Without Partition</v>
          </cell>
          <cell r="BC844" t="str">
            <v xml:space="preserve">Without Partition </v>
          </cell>
          <cell r="BD844" t="str">
            <v>Flat</v>
          </cell>
          <cell r="BE844" t="str">
            <v xml:space="preserve">Without Partition </v>
          </cell>
          <cell r="BF844" t="str">
            <v>YELLOW</v>
          </cell>
          <cell r="BG844">
            <v>2600000</v>
          </cell>
          <cell r="BH844">
            <v>2650000</v>
          </cell>
          <cell r="BI844">
            <v>100000</v>
          </cell>
          <cell r="BJ844">
            <v>2550000</v>
          </cell>
          <cell r="BK844">
            <v>0</v>
          </cell>
          <cell r="BL844">
            <v>2550000</v>
          </cell>
        </row>
        <row r="845">
          <cell r="D845" t="str">
            <v>OS</v>
          </cell>
          <cell r="E845"/>
          <cell r="F845">
            <v>825</v>
          </cell>
          <cell r="G845" t="str">
            <v>SOLD</v>
          </cell>
          <cell r="H845" t="str">
            <v>OS</v>
          </cell>
          <cell r="I845" t="str">
            <v>OS</v>
          </cell>
          <cell r="J845" t="str">
            <v>OS</v>
          </cell>
          <cell r="K845" t="str">
            <v>OS</v>
          </cell>
          <cell r="L845" t="str">
            <v>OS</v>
          </cell>
          <cell r="M845" t="str">
            <v>OS</v>
          </cell>
          <cell r="N845" t="str">
            <v>OS</v>
          </cell>
          <cell r="O845" t="str">
            <v>OS</v>
          </cell>
          <cell r="P845" t="str">
            <v>OS</v>
          </cell>
          <cell r="Q845" t="str">
            <v>OS</v>
          </cell>
          <cell r="R845" t="str">
            <v>OS</v>
          </cell>
          <cell r="S845" t="str">
            <v>OS</v>
          </cell>
          <cell r="T845" t="str">
            <v>OS</v>
          </cell>
          <cell r="U845" t="str">
            <v>OS</v>
          </cell>
          <cell r="V845" t="str">
            <v>OS</v>
          </cell>
          <cell r="W845" t="str">
            <v>OS</v>
          </cell>
          <cell r="X845" t="str">
            <v>OS</v>
          </cell>
          <cell r="Y845" t="str">
            <v>OS</v>
          </cell>
          <cell r="Z845" t="str">
            <v>OS</v>
          </cell>
          <cell r="AA845" t="str">
            <v>OS</v>
          </cell>
          <cell r="AB845" t="str">
            <v>OS</v>
          </cell>
          <cell r="AC845" t="str">
            <v>OS</v>
          </cell>
          <cell r="AD845" t="str">
            <v>AGM-01-045-003</v>
          </cell>
          <cell r="AE845" t="str">
            <v xml:space="preserve">Raemulan Lands, Inc. </v>
          </cell>
          <cell r="AF845" t="str">
            <v>Agapeya</v>
          </cell>
          <cell r="AG845" t="str">
            <v>AGM</v>
          </cell>
          <cell r="AH845" t="str">
            <v>Eco-High</v>
          </cell>
          <cell r="AI845" t="str">
            <v>West</v>
          </cell>
          <cell r="AJ845" t="str">
            <v>With LTS</v>
          </cell>
          <cell r="AK845" t="str">
            <v>Unaffected lots</v>
          </cell>
          <cell r="AL845" t="str">
            <v>Unaffected lots</v>
          </cell>
          <cell r="AM845" t="b">
            <v>1</v>
          </cell>
          <cell r="AN845" t="str">
            <v>YES</v>
          </cell>
          <cell r="AO845" t="str">
            <v>B2 2025</v>
          </cell>
          <cell r="AP845">
            <v>70</v>
          </cell>
          <cell r="AQ845" t="str">
            <v>PCS-04-276764</v>
          </cell>
          <cell r="AR845" t="b">
            <v>1</v>
          </cell>
          <cell r="AS845" t="str">
            <v>Done</v>
          </cell>
          <cell r="AT845" t="str">
            <v>2025 - Batch 4</v>
          </cell>
          <cell r="AU845">
            <v>45</v>
          </cell>
          <cell r="AV845">
            <v>3</v>
          </cell>
          <cell r="AW845" t="str">
            <v>H+L</v>
          </cell>
          <cell r="AX845">
            <v>70</v>
          </cell>
          <cell r="AY845">
            <v>50</v>
          </cell>
          <cell r="AZ845" t="str">
            <v>Duplex</v>
          </cell>
          <cell r="BA845">
            <v>1</v>
          </cell>
          <cell r="BB845" t="str">
            <v>568 - Without Partition</v>
          </cell>
          <cell r="BC845" t="str">
            <v xml:space="preserve">Without Partition </v>
          </cell>
          <cell r="BD845" t="str">
            <v>Flat</v>
          </cell>
          <cell r="BE845" t="str">
            <v xml:space="preserve">Without Partition </v>
          </cell>
          <cell r="BF845" t="str">
            <v>PINK</v>
          </cell>
          <cell r="BG845">
            <v>2568688.7287804699</v>
          </cell>
          <cell r="BH845">
            <v>2650000</v>
          </cell>
          <cell r="BI845">
            <v>100000</v>
          </cell>
          <cell r="BJ845">
            <v>2550000</v>
          </cell>
          <cell r="BK845">
            <v>0</v>
          </cell>
          <cell r="BL845">
            <v>2550000</v>
          </cell>
        </row>
        <row r="846">
          <cell r="D846" t="str">
            <v>OS</v>
          </cell>
          <cell r="E846"/>
          <cell r="F846">
            <v>826</v>
          </cell>
          <cell r="G846" t="str">
            <v>SOLD</v>
          </cell>
          <cell r="H846" t="str">
            <v>OS</v>
          </cell>
          <cell r="I846" t="str">
            <v>OS</v>
          </cell>
          <cell r="J846" t="str">
            <v>OS</v>
          </cell>
          <cell r="K846" t="str">
            <v>OS</v>
          </cell>
          <cell r="L846" t="str">
            <v>OS</v>
          </cell>
          <cell r="M846" t="str">
            <v>OS</v>
          </cell>
          <cell r="N846" t="str">
            <v>OS</v>
          </cell>
          <cell r="O846" t="str">
            <v>OS</v>
          </cell>
          <cell r="P846" t="str">
            <v>OS</v>
          </cell>
          <cell r="Q846" t="str">
            <v>OS</v>
          </cell>
          <cell r="R846" t="str">
            <v>OS</v>
          </cell>
          <cell r="S846" t="str">
            <v>OS</v>
          </cell>
          <cell r="T846" t="str">
            <v>OS</v>
          </cell>
          <cell r="U846" t="str">
            <v>OS</v>
          </cell>
          <cell r="V846" t="str">
            <v>OS</v>
          </cell>
          <cell r="W846" t="str">
            <v>OS</v>
          </cell>
          <cell r="X846" t="str">
            <v>OS</v>
          </cell>
          <cell r="Y846" t="str">
            <v>OS</v>
          </cell>
          <cell r="Z846" t="str">
            <v>OS</v>
          </cell>
          <cell r="AA846" t="str">
            <v>OS</v>
          </cell>
          <cell r="AB846" t="str">
            <v>OS</v>
          </cell>
          <cell r="AC846" t="str">
            <v>OS</v>
          </cell>
          <cell r="AD846" t="str">
            <v>AGM-01-045-004</v>
          </cell>
          <cell r="AE846" t="str">
            <v xml:space="preserve">Raemulan Lands, Inc. </v>
          </cell>
          <cell r="AF846" t="str">
            <v>Agapeya</v>
          </cell>
          <cell r="AG846" t="str">
            <v>AGM</v>
          </cell>
          <cell r="AH846" t="str">
            <v>Eco-High</v>
          </cell>
          <cell r="AI846" t="str">
            <v>West</v>
          </cell>
          <cell r="AJ846" t="str">
            <v>With LTS</v>
          </cell>
          <cell r="AK846" t="str">
            <v>Unaffected lots</v>
          </cell>
          <cell r="AL846" t="str">
            <v>Unaffected lots</v>
          </cell>
          <cell r="AM846" t="b">
            <v>1</v>
          </cell>
          <cell r="AN846" t="str">
            <v>YES</v>
          </cell>
          <cell r="AO846" t="str">
            <v>B2 2025</v>
          </cell>
          <cell r="AP846">
            <v>70</v>
          </cell>
          <cell r="AQ846" t="str">
            <v>PCS-04-276764</v>
          </cell>
          <cell r="AR846" t="b">
            <v>1</v>
          </cell>
          <cell r="AS846" t="str">
            <v>Done</v>
          </cell>
          <cell r="AT846" t="str">
            <v>2025 - Batch 4</v>
          </cell>
          <cell r="AU846">
            <v>45</v>
          </cell>
          <cell r="AV846">
            <v>4</v>
          </cell>
          <cell r="AW846" t="str">
            <v>H+L</v>
          </cell>
          <cell r="AX846">
            <v>70</v>
          </cell>
          <cell r="AY846">
            <v>50</v>
          </cell>
          <cell r="AZ846" t="str">
            <v>Duplex</v>
          </cell>
          <cell r="BA846">
            <v>1</v>
          </cell>
          <cell r="BB846" t="str">
            <v>568 - Without Partition</v>
          </cell>
          <cell r="BC846" t="str">
            <v xml:space="preserve">Without Partition </v>
          </cell>
          <cell r="BD846" t="str">
            <v>Slant</v>
          </cell>
          <cell r="BE846" t="str">
            <v xml:space="preserve">Without Partition </v>
          </cell>
          <cell r="BF846" t="str">
            <v>PINK</v>
          </cell>
          <cell r="BG846">
            <v>2568688.7287804699</v>
          </cell>
          <cell r="BH846">
            <v>2650000</v>
          </cell>
          <cell r="BI846">
            <v>100000</v>
          </cell>
          <cell r="BJ846">
            <v>2550000</v>
          </cell>
          <cell r="BK846">
            <v>0</v>
          </cell>
          <cell r="BL846">
            <v>2550000</v>
          </cell>
        </row>
        <row r="847">
          <cell r="D847" t="str">
            <v>OS</v>
          </cell>
          <cell r="E847"/>
          <cell r="F847">
            <v>827</v>
          </cell>
          <cell r="G847" t="str">
            <v>SOLD</v>
          </cell>
          <cell r="H847" t="str">
            <v>OS</v>
          </cell>
          <cell r="I847" t="str">
            <v>OS</v>
          </cell>
          <cell r="J847" t="str">
            <v>OS</v>
          </cell>
          <cell r="K847" t="str">
            <v>OS</v>
          </cell>
          <cell r="L847" t="str">
            <v>OS</v>
          </cell>
          <cell r="M847" t="str">
            <v>OS</v>
          </cell>
          <cell r="N847" t="str">
            <v>OS</v>
          </cell>
          <cell r="O847" t="str">
            <v>OS</v>
          </cell>
          <cell r="P847" t="str">
            <v>OS</v>
          </cell>
          <cell r="Q847" t="str">
            <v>OS</v>
          </cell>
          <cell r="R847" t="str">
            <v>OS</v>
          </cell>
          <cell r="S847" t="str">
            <v>OS</v>
          </cell>
          <cell r="T847" t="str">
            <v>OS</v>
          </cell>
          <cell r="U847" t="str">
            <v>OS</v>
          </cell>
          <cell r="V847" t="str">
            <v>OS</v>
          </cell>
          <cell r="W847" t="str">
            <v>OS</v>
          </cell>
          <cell r="X847" t="str">
            <v>OS</v>
          </cell>
          <cell r="Y847" t="str">
            <v>OS</v>
          </cell>
          <cell r="Z847" t="str">
            <v>OS</v>
          </cell>
          <cell r="AA847" t="str">
            <v>OS</v>
          </cell>
          <cell r="AB847" t="str">
            <v>OS</v>
          </cell>
          <cell r="AC847" t="str">
            <v>OS</v>
          </cell>
          <cell r="AD847" t="str">
            <v>AGM-01-045-005</v>
          </cell>
          <cell r="AE847" t="str">
            <v xml:space="preserve">Raemulan Lands, Inc. </v>
          </cell>
          <cell r="AF847" t="str">
            <v>Agapeya</v>
          </cell>
          <cell r="AG847" t="str">
            <v>AGM</v>
          </cell>
          <cell r="AH847" t="str">
            <v>Eco-High</v>
          </cell>
          <cell r="AI847" t="str">
            <v>West</v>
          </cell>
          <cell r="AJ847" t="str">
            <v>With LTS</v>
          </cell>
          <cell r="AK847" t="str">
            <v>Unaffected lots</v>
          </cell>
          <cell r="AL847" t="str">
            <v>Unaffected lots</v>
          </cell>
          <cell r="AM847" t="b">
            <v>1</v>
          </cell>
          <cell r="AN847" t="str">
            <v>YES</v>
          </cell>
          <cell r="AO847" t="str">
            <v>B2 2025</v>
          </cell>
          <cell r="AP847">
            <v>70</v>
          </cell>
          <cell r="AQ847" t="str">
            <v>PCS-04-276764</v>
          </cell>
          <cell r="AR847" t="b">
            <v>1</v>
          </cell>
          <cell r="AS847" t="str">
            <v>Done</v>
          </cell>
          <cell r="AT847" t="str">
            <v>2025 - Batch 4</v>
          </cell>
          <cell r="AU847">
            <v>45</v>
          </cell>
          <cell r="AV847">
            <v>5</v>
          </cell>
          <cell r="AW847" t="str">
            <v>H+L</v>
          </cell>
          <cell r="AX847">
            <v>70</v>
          </cell>
          <cell r="AY847">
            <v>50</v>
          </cell>
          <cell r="AZ847" t="str">
            <v>Duplex</v>
          </cell>
          <cell r="BA847">
            <v>1</v>
          </cell>
          <cell r="BB847" t="str">
            <v>568 - Without Partition</v>
          </cell>
          <cell r="BC847" t="str">
            <v xml:space="preserve">Without Partition </v>
          </cell>
          <cell r="BD847" t="str">
            <v>Slant</v>
          </cell>
          <cell r="BE847" t="str">
            <v xml:space="preserve">Without Partition </v>
          </cell>
          <cell r="BF847" t="str">
            <v>PINK</v>
          </cell>
          <cell r="BG847">
            <v>2600000</v>
          </cell>
          <cell r="BH847">
            <v>2650000</v>
          </cell>
          <cell r="BI847">
            <v>100000</v>
          </cell>
          <cell r="BJ847">
            <v>2550000</v>
          </cell>
          <cell r="BK847">
            <v>0</v>
          </cell>
          <cell r="BL847">
            <v>2550000</v>
          </cell>
        </row>
        <row r="848">
          <cell r="D848" t="str">
            <v>OS</v>
          </cell>
          <cell r="E848"/>
          <cell r="F848">
            <v>828</v>
          </cell>
          <cell r="G848" t="str">
            <v>SOLD</v>
          </cell>
          <cell r="H848" t="str">
            <v>OS</v>
          </cell>
          <cell r="I848" t="str">
            <v>OS</v>
          </cell>
          <cell r="J848" t="str">
            <v>OS</v>
          </cell>
          <cell r="K848" t="str">
            <v>OS</v>
          </cell>
          <cell r="L848" t="str">
            <v>OS</v>
          </cell>
          <cell r="M848" t="str">
            <v>OS</v>
          </cell>
          <cell r="N848" t="str">
            <v>OS</v>
          </cell>
          <cell r="O848" t="str">
            <v>OS</v>
          </cell>
          <cell r="P848" t="str">
            <v>OS</v>
          </cell>
          <cell r="Q848" t="str">
            <v>OS</v>
          </cell>
          <cell r="R848" t="str">
            <v>OS</v>
          </cell>
          <cell r="S848" t="str">
            <v>OS</v>
          </cell>
          <cell r="T848" t="str">
            <v>OS</v>
          </cell>
          <cell r="U848" t="str">
            <v>OS</v>
          </cell>
          <cell r="V848" t="str">
            <v>OS</v>
          </cell>
          <cell r="W848" t="str">
            <v>OS</v>
          </cell>
          <cell r="X848" t="str">
            <v>OS</v>
          </cell>
          <cell r="Y848" t="str">
            <v>OS</v>
          </cell>
          <cell r="Z848" t="str">
            <v>OS</v>
          </cell>
          <cell r="AA848" t="str">
            <v>OS</v>
          </cell>
          <cell r="AB848" t="str">
            <v>OS</v>
          </cell>
          <cell r="AC848" t="str">
            <v>OS</v>
          </cell>
          <cell r="AD848" t="str">
            <v>AGM-01-045-006</v>
          </cell>
          <cell r="AE848" t="str">
            <v xml:space="preserve">Raemulan Lands, Inc. </v>
          </cell>
          <cell r="AF848" t="str">
            <v>Agapeya</v>
          </cell>
          <cell r="AG848" t="str">
            <v>AGM</v>
          </cell>
          <cell r="AH848" t="str">
            <v>Eco-High</v>
          </cell>
          <cell r="AI848" t="str">
            <v>West</v>
          </cell>
          <cell r="AJ848" t="str">
            <v>With LTS</v>
          </cell>
          <cell r="AK848" t="str">
            <v>Unaffected lots</v>
          </cell>
          <cell r="AL848" t="str">
            <v>Unaffected lots</v>
          </cell>
          <cell r="AM848" t="b">
            <v>1</v>
          </cell>
          <cell r="AN848" t="str">
            <v>YES</v>
          </cell>
          <cell r="AO848" t="str">
            <v>B2 2025</v>
          </cell>
          <cell r="AP848">
            <v>70</v>
          </cell>
          <cell r="AQ848" t="str">
            <v>PCS-04-276764</v>
          </cell>
          <cell r="AR848" t="b">
            <v>1</v>
          </cell>
          <cell r="AS848" t="str">
            <v>Done</v>
          </cell>
          <cell r="AT848" t="str">
            <v>2025 - Batch 4</v>
          </cell>
          <cell r="AU848">
            <v>45</v>
          </cell>
          <cell r="AV848">
            <v>6</v>
          </cell>
          <cell r="AW848" t="str">
            <v>H+L</v>
          </cell>
          <cell r="AX848">
            <v>70</v>
          </cell>
          <cell r="AY848">
            <v>50</v>
          </cell>
          <cell r="AZ848" t="str">
            <v>Duplex</v>
          </cell>
          <cell r="BA848">
            <v>1</v>
          </cell>
          <cell r="BB848" t="str">
            <v>568 - Without Partition</v>
          </cell>
          <cell r="BC848" t="str">
            <v xml:space="preserve">Without Partition </v>
          </cell>
          <cell r="BD848" t="str">
            <v>Flat</v>
          </cell>
          <cell r="BE848" t="str">
            <v xml:space="preserve">Without Partition </v>
          </cell>
          <cell r="BF848" t="str">
            <v>PINK</v>
          </cell>
          <cell r="BG848">
            <v>2531000</v>
          </cell>
          <cell r="BH848">
            <v>2650000</v>
          </cell>
          <cell r="BI848">
            <v>100000</v>
          </cell>
          <cell r="BJ848">
            <v>2550000</v>
          </cell>
          <cell r="BK848">
            <v>0</v>
          </cell>
          <cell r="BL848">
            <v>2550000</v>
          </cell>
        </row>
        <row r="849">
          <cell r="D849" t="str">
            <v>TS</v>
          </cell>
          <cell r="E849"/>
          <cell r="F849">
            <v>829</v>
          </cell>
          <cell r="G849" t="str">
            <v>SOLD</v>
          </cell>
          <cell r="H849" t="str">
            <v>OS</v>
          </cell>
          <cell r="I849" t="str">
            <v>OS</v>
          </cell>
          <cell r="J849" t="str">
            <v>OS</v>
          </cell>
          <cell r="K849" t="str">
            <v>OS</v>
          </cell>
          <cell r="L849" t="str">
            <v>OS</v>
          </cell>
          <cell r="M849" t="str">
            <v>OS</v>
          </cell>
          <cell r="N849" t="str">
            <v>OS</v>
          </cell>
          <cell r="O849" t="str">
            <v>OS</v>
          </cell>
          <cell r="P849" t="str">
            <v>OS</v>
          </cell>
          <cell r="Q849" t="str">
            <v>OS</v>
          </cell>
          <cell r="R849" t="str">
            <v>OS</v>
          </cell>
          <cell r="S849" t="str">
            <v>OS</v>
          </cell>
          <cell r="T849" t="str">
            <v>OS</v>
          </cell>
          <cell r="U849" t="str">
            <v>OS</v>
          </cell>
          <cell r="V849" t="str">
            <v>OS</v>
          </cell>
          <cell r="W849" t="str">
            <v>OS</v>
          </cell>
          <cell r="X849" t="str">
            <v>OS</v>
          </cell>
          <cell r="Y849" t="str">
            <v>OS</v>
          </cell>
          <cell r="Z849" t="str">
            <v>TS</v>
          </cell>
          <cell r="AA849" t="str">
            <v>HOLD BY CAD</v>
          </cell>
          <cell r="AB849" t="str">
            <v>OS</v>
          </cell>
          <cell r="AC849" t="str">
            <v>OS</v>
          </cell>
          <cell r="AD849" t="str">
            <v>AGM-01-045-007</v>
          </cell>
          <cell r="AE849" t="str">
            <v xml:space="preserve">Raemulan Lands, Inc. </v>
          </cell>
          <cell r="AF849" t="str">
            <v>Agapeya</v>
          </cell>
          <cell r="AG849" t="str">
            <v>AGM</v>
          </cell>
          <cell r="AH849" t="str">
            <v>Eco-High</v>
          </cell>
          <cell r="AI849" t="str">
            <v>West</v>
          </cell>
          <cell r="AJ849" t="str">
            <v>With LTS</v>
          </cell>
          <cell r="AK849" t="str">
            <v>Unaffected lots</v>
          </cell>
          <cell r="AL849" t="str">
            <v>Unaffected lots</v>
          </cell>
          <cell r="AM849" t="b">
            <v>1</v>
          </cell>
          <cell r="AN849" t="str">
            <v>YES</v>
          </cell>
          <cell r="AO849" t="str">
            <v>B1 2025</v>
          </cell>
          <cell r="AP849">
            <v>70</v>
          </cell>
          <cell r="AQ849" t="str">
            <v>PCS-04-276764</v>
          </cell>
          <cell r="AR849" t="b">
            <v>1</v>
          </cell>
          <cell r="AS849" t="str">
            <v>Done</v>
          </cell>
          <cell r="AT849" t="str">
            <v>2025 - Batch 2</v>
          </cell>
          <cell r="AU849">
            <v>45</v>
          </cell>
          <cell r="AV849">
            <v>7</v>
          </cell>
          <cell r="AW849" t="str">
            <v>H+L</v>
          </cell>
          <cell r="AX849">
            <v>70</v>
          </cell>
          <cell r="AY849">
            <v>50</v>
          </cell>
          <cell r="AZ849" t="str">
            <v>Duplex</v>
          </cell>
          <cell r="BA849">
            <v>1</v>
          </cell>
          <cell r="BB849" t="str">
            <v>568 - Without Partition</v>
          </cell>
          <cell r="BC849" t="str">
            <v xml:space="preserve">Without Partition </v>
          </cell>
          <cell r="BD849" t="str">
            <v>Slant</v>
          </cell>
          <cell r="BE849" t="str">
            <v xml:space="preserve">Without Partition </v>
          </cell>
          <cell r="BF849" t="str">
            <v>YELLOW</v>
          </cell>
          <cell r="BG849">
            <v>2500000</v>
          </cell>
          <cell r="BH849">
            <v>2650000</v>
          </cell>
          <cell r="BI849">
            <v>100000</v>
          </cell>
          <cell r="BJ849">
            <v>2550000</v>
          </cell>
          <cell r="BK849">
            <v>0</v>
          </cell>
          <cell r="BL849">
            <v>2550000</v>
          </cell>
        </row>
        <row r="850">
          <cell r="D850" t="str">
            <v>OS</v>
          </cell>
          <cell r="E850"/>
          <cell r="F850">
            <v>830</v>
          </cell>
          <cell r="G850" t="str">
            <v>SOLD</v>
          </cell>
          <cell r="H850" t="str">
            <v>OS</v>
          </cell>
          <cell r="I850" t="str">
            <v>OS</v>
          </cell>
          <cell r="J850" t="str">
            <v>OS</v>
          </cell>
          <cell r="K850" t="str">
            <v>OS</v>
          </cell>
          <cell r="L850" t="str">
            <v>OS</v>
          </cell>
          <cell r="M850" t="str">
            <v>OS</v>
          </cell>
          <cell r="N850" t="str">
            <v>OS</v>
          </cell>
          <cell r="O850" t="str">
            <v>OS</v>
          </cell>
          <cell r="P850" t="str">
            <v>OS</v>
          </cell>
          <cell r="Q850" t="str">
            <v>OS</v>
          </cell>
          <cell r="R850" t="str">
            <v>OS</v>
          </cell>
          <cell r="S850" t="str">
            <v>OS</v>
          </cell>
          <cell r="T850" t="str">
            <v>OS</v>
          </cell>
          <cell r="U850" t="str">
            <v>OS</v>
          </cell>
          <cell r="V850" t="str">
            <v>OS</v>
          </cell>
          <cell r="W850" t="str">
            <v>OS</v>
          </cell>
          <cell r="X850" t="str">
            <v>OS</v>
          </cell>
          <cell r="Y850" t="str">
            <v>OS</v>
          </cell>
          <cell r="Z850" t="str">
            <v>OS</v>
          </cell>
          <cell r="AA850" t="str">
            <v>OS</v>
          </cell>
          <cell r="AB850" t="str">
            <v>OS</v>
          </cell>
          <cell r="AC850" t="str">
            <v>OS</v>
          </cell>
          <cell r="AD850" t="str">
            <v>AGM-01-045-008</v>
          </cell>
          <cell r="AE850" t="str">
            <v xml:space="preserve">Raemulan Lands, Inc. </v>
          </cell>
          <cell r="AF850" t="str">
            <v>Agapeya</v>
          </cell>
          <cell r="AG850" t="str">
            <v>AGM</v>
          </cell>
          <cell r="AH850" t="str">
            <v>Eco-High</v>
          </cell>
          <cell r="AI850" t="str">
            <v>West</v>
          </cell>
          <cell r="AJ850" t="str">
            <v>With LTS</v>
          </cell>
          <cell r="AK850" t="str">
            <v>Unaffected lots</v>
          </cell>
          <cell r="AL850" t="str">
            <v>Unaffected lots</v>
          </cell>
          <cell r="AM850" t="b">
            <v>1</v>
          </cell>
          <cell r="AN850" t="str">
            <v>YES</v>
          </cell>
          <cell r="AO850" t="str">
            <v>B1 2025</v>
          </cell>
          <cell r="AP850">
            <v>70</v>
          </cell>
          <cell r="AQ850" t="str">
            <v>PCS-04-276764</v>
          </cell>
          <cell r="AR850" t="b">
            <v>1</v>
          </cell>
          <cell r="AS850" t="str">
            <v>Done</v>
          </cell>
          <cell r="AT850" t="str">
            <v>2025 - Batch 2</v>
          </cell>
          <cell r="AU850">
            <v>45</v>
          </cell>
          <cell r="AV850">
            <v>8</v>
          </cell>
          <cell r="AW850" t="str">
            <v>H+L</v>
          </cell>
          <cell r="AX850">
            <v>70</v>
          </cell>
          <cell r="AY850">
            <v>50</v>
          </cell>
          <cell r="AZ850" t="str">
            <v>Duplex</v>
          </cell>
          <cell r="BA850">
            <v>1</v>
          </cell>
          <cell r="BB850" t="str">
            <v>568 - Without Partition</v>
          </cell>
          <cell r="BC850" t="str">
            <v xml:space="preserve">Without Partition </v>
          </cell>
          <cell r="BD850" t="str">
            <v>Flat</v>
          </cell>
          <cell r="BE850" t="str">
            <v xml:space="preserve">Without Partition </v>
          </cell>
          <cell r="BF850" t="str">
            <v>YELLOW</v>
          </cell>
          <cell r="BG850">
            <v>2568688.7287804699</v>
          </cell>
          <cell r="BH850">
            <v>2650000</v>
          </cell>
          <cell r="BI850">
            <v>100000</v>
          </cell>
          <cell r="BJ850">
            <v>2550000</v>
          </cell>
          <cell r="BK850">
            <v>0</v>
          </cell>
          <cell r="BL850">
            <v>2550000</v>
          </cell>
        </row>
        <row r="851">
          <cell r="D851" t="str">
            <v>OS</v>
          </cell>
          <cell r="E851"/>
          <cell r="F851">
            <v>831</v>
          </cell>
          <cell r="G851" t="str">
            <v>SOLD</v>
          </cell>
          <cell r="H851" t="str">
            <v>OS</v>
          </cell>
          <cell r="I851" t="str">
            <v>OS</v>
          </cell>
          <cell r="J851" t="str">
            <v>OS</v>
          </cell>
          <cell r="K851" t="str">
            <v>OS</v>
          </cell>
          <cell r="L851" t="str">
            <v>OS</v>
          </cell>
          <cell r="M851" t="str">
            <v>OS</v>
          </cell>
          <cell r="N851" t="str">
            <v>OS</v>
          </cell>
          <cell r="O851" t="str">
            <v>OS</v>
          </cell>
          <cell r="P851" t="str">
            <v>OS</v>
          </cell>
          <cell r="Q851" t="str">
            <v>OS</v>
          </cell>
          <cell r="R851" t="str">
            <v>OS</v>
          </cell>
          <cell r="S851" t="str">
            <v>OS</v>
          </cell>
          <cell r="T851" t="str">
            <v>OS</v>
          </cell>
          <cell r="U851" t="str">
            <v>OS</v>
          </cell>
          <cell r="V851" t="str">
            <v>OS</v>
          </cell>
          <cell r="W851" t="str">
            <v>OS</v>
          </cell>
          <cell r="X851" t="str">
            <v>OS</v>
          </cell>
          <cell r="Y851" t="str">
            <v>OS</v>
          </cell>
          <cell r="Z851" t="str">
            <v>OS</v>
          </cell>
          <cell r="AA851" t="str">
            <v>OS</v>
          </cell>
          <cell r="AB851" t="str">
            <v>OS</v>
          </cell>
          <cell r="AC851" t="str">
            <v>OS</v>
          </cell>
          <cell r="AD851" t="str">
            <v>AGM-01-045-009</v>
          </cell>
          <cell r="AE851" t="str">
            <v xml:space="preserve">Raemulan Lands, Inc. </v>
          </cell>
          <cell r="AF851" t="str">
            <v>Agapeya</v>
          </cell>
          <cell r="AG851" t="str">
            <v>AGM</v>
          </cell>
          <cell r="AH851" t="str">
            <v>Eco-High</v>
          </cell>
          <cell r="AI851" t="str">
            <v>West</v>
          </cell>
          <cell r="AJ851" t="str">
            <v>With LTS</v>
          </cell>
          <cell r="AK851" t="str">
            <v>Unaffected lots</v>
          </cell>
          <cell r="AL851" t="str">
            <v>Unaffected lots</v>
          </cell>
          <cell r="AM851" t="b">
            <v>1</v>
          </cell>
          <cell r="AN851" t="str">
            <v>YES</v>
          </cell>
          <cell r="AO851" t="str">
            <v>B1 2025</v>
          </cell>
          <cell r="AP851">
            <v>70</v>
          </cell>
          <cell r="AQ851" t="str">
            <v>PCS-04-276764</v>
          </cell>
          <cell r="AR851" t="b">
            <v>1</v>
          </cell>
          <cell r="AS851" t="str">
            <v>Done</v>
          </cell>
          <cell r="AT851" t="str">
            <v>2025 - Batch 2</v>
          </cell>
          <cell r="AU851">
            <v>45</v>
          </cell>
          <cell r="AV851">
            <v>9</v>
          </cell>
          <cell r="AW851" t="str">
            <v>H+L</v>
          </cell>
          <cell r="AX851">
            <v>70</v>
          </cell>
          <cell r="AY851">
            <v>50</v>
          </cell>
          <cell r="AZ851" t="str">
            <v>Duplex</v>
          </cell>
          <cell r="BA851">
            <v>1</v>
          </cell>
          <cell r="BB851" t="str">
            <v>568 - Without Partition</v>
          </cell>
          <cell r="BC851" t="str">
            <v xml:space="preserve">Without Partition </v>
          </cell>
          <cell r="BD851" t="str">
            <v>Flat</v>
          </cell>
          <cell r="BE851" t="str">
            <v xml:space="preserve">Without Partition </v>
          </cell>
          <cell r="BF851" t="str">
            <v>YELLOW</v>
          </cell>
          <cell r="BG851">
            <v>2500000</v>
          </cell>
          <cell r="BH851">
            <v>2650000</v>
          </cell>
          <cell r="BI851">
            <v>100000</v>
          </cell>
          <cell r="BJ851">
            <v>2550000</v>
          </cell>
          <cell r="BK851">
            <v>0</v>
          </cell>
          <cell r="BL851">
            <v>2550000</v>
          </cell>
        </row>
        <row r="852">
          <cell r="D852" t="str">
            <v>OS</v>
          </cell>
          <cell r="E852"/>
          <cell r="F852">
            <v>832</v>
          </cell>
          <cell r="G852" t="str">
            <v>SOLD</v>
          </cell>
          <cell r="H852" t="str">
            <v>OS</v>
          </cell>
          <cell r="I852" t="str">
            <v>OS</v>
          </cell>
          <cell r="J852" t="str">
            <v>OS</v>
          </cell>
          <cell r="K852" t="str">
            <v>OS</v>
          </cell>
          <cell r="L852" t="str">
            <v>OS</v>
          </cell>
          <cell r="M852" t="str">
            <v>OS</v>
          </cell>
          <cell r="N852" t="str">
            <v>OS</v>
          </cell>
          <cell r="O852" t="str">
            <v>OS</v>
          </cell>
          <cell r="P852" t="str">
            <v>OS</v>
          </cell>
          <cell r="Q852" t="str">
            <v>OS</v>
          </cell>
          <cell r="R852" t="str">
            <v>OS</v>
          </cell>
          <cell r="S852" t="str">
            <v>OS</v>
          </cell>
          <cell r="T852" t="str">
            <v>OS</v>
          </cell>
          <cell r="U852" t="str">
            <v>OS</v>
          </cell>
          <cell r="V852" t="str">
            <v>OS</v>
          </cell>
          <cell r="W852" t="str">
            <v>OS</v>
          </cell>
          <cell r="X852" t="str">
            <v>OS</v>
          </cell>
          <cell r="Y852" t="str">
            <v>OS</v>
          </cell>
          <cell r="Z852" t="str">
            <v>OS</v>
          </cell>
          <cell r="AA852" t="str">
            <v>OS</v>
          </cell>
          <cell r="AB852" t="str">
            <v>OS</v>
          </cell>
          <cell r="AC852" t="str">
            <v>OS</v>
          </cell>
          <cell r="AD852" t="str">
            <v>AGM-01-045-010</v>
          </cell>
          <cell r="AE852" t="str">
            <v xml:space="preserve">Raemulan Lands, Inc. </v>
          </cell>
          <cell r="AF852" t="str">
            <v>Agapeya</v>
          </cell>
          <cell r="AG852" t="str">
            <v>AGM</v>
          </cell>
          <cell r="AH852" t="str">
            <v>Eco-High</v>
          </cell>
          <cell r="AI852" t="str">
            <v>West</v>
          </cell>
          <cell r="AJ852" t="str">
            <v>With LTS</v>
          </cell>
          <cell r="AK852" t="str">
            <v>Unaffected lots</v>
          </cell>
          <cell r="AL852" t="str">
            <v>Unaffected lots</v>
          </cell>
          <cell r="AM852" t="b">
            <v>1</v>
          </cell>
          <cell r="AN852" t="str">
            <v>YES</v>
          </cell>
          <cell r="AO852" t="str">
            <v>B1 2025</v>
          </cell>
          <cell r="AP852">
            <v>70</v>
          </cell>
          <cell r="AQ852" t="str">
            <v>PCS-04-276764</v>
          </cell>
          <cell r="AR852" t="b">
            <v>1</v>
          </cell>
          <cell r="AS852" t="str">
            <v>Done</v>
          </cell>
          <cell r="AT852" t="str">
            <v>2025 - Batch 2</v>
          </cell>
          <cell r="AU852">
            <v>45</v>
          </cell>
          <cell r="AV852">
            <v>10</v>
          </cell>
          <cell r="AW852" t="str">
            <v>H+L</v>
          </cell>
          <cell r="AX852">
            <v>70</v>
          </cell>
          <cell r="AY852">
            <v>50</v>
          </cell>
          <cell r="AZ852" t="str">
            <v>Duplex</v>
          </cell>
          <cell r="BA852">
            <v>1</v>
          </cell>
          <cell r="BB852" t="str">
            <v>568 - Without Partition</v>
          </cell>
          <cell r="BC852" t="str">
            <v xml:space="preserve">Without Partition </v>
          </cell>
          <cell r="BD852" t="str">
            <v>Slant</v>
          </cell>
          <cell r="BE852" t="str">
            <v xml:space="preserve">Without Partition </v>
          </cell>
          <cell r="BF852" t="str">
            <v>YELLOW</v>
          </cell>
          <cell r="BG852">
            <v>2500000</v>
          </cell>
          <cell r="BH852">
            <v>2650000</v>
          </cell>
          <cell r="BI852">
            <v>100000</v>
          </cell>
          <cell r="BJ852">
            <v>2550000</v>
          </cell>
          <cell r="BK852">
            <v>0</v>
          </cell>
          <cell r="BL852">
            <v>2550000</v>
          </cell>
        </row>
        <row r="853">
          <cell r="D853" t="str">
            <v>OS</v>
          </cell>
          <cell r="E853"/>
          <cell r="F853">
            <v>833</v>
          </cell>
          <cell r="G853" t="str">
            <v>SOLD</v>
          </cell>
          <cell r="H853" t="str">
            <v>OS</v>
          </cell>
          <cell r="I853" t="str">
            <v>OS</v>
          </cell>
          <cell r="J853" t="str">
            <v>OS</v>
          </cell>
          <cell r="K853" t="str">
            <v>OS</v>
          </cell>
          <cell r="L853" t="str">
            <v>OS</v>
          </cell>
          <cell r="M853" t="str">
            <v>OS</v>
          </cell>
          <cell r="N853" t="str">
            <v>OS</v>
          </cell>
          <cell r="O853" t="str">
            <v>OS</v>
          </cell>
          <cell r="P853" t="str">
            <v>OS</v>
          </cell>
          <cell r="Q853" t="str">
            <v>OS</v>
          </cell>
          <cell r="R853" t="str">
            <v>OS</v>
          </cell>
          <cell r="S853" t="str">
            <v>OS</v>
          </cell>
          <cell r="T853" t="str">
            <v>OS</v>
          </cell>
          <cell r="U853" t="str">
            <v>OS</v>
          </cell>
          <cell r="V853" t="str">
            <v>OS</v>
          </cell>
          <cell r="W853" t="str">
            <v>OS</v>
          </cell>
          <cell r="X853" t="str">
            <v>OS</v>
          </cell>
          <cell r="Y853" t="str">
            <v>OS</v>
          </cell>
          <cell r="Z853" t="str">
            <v>OS</v>
          </cell>
          <cell r="AA853" t="str">
            <v>OS</v>
          </cell>
          <cell r="AB853" t="str">
            <v>OS</v>
          </cell>
          <cell r="AC853" t="str">
            <v>OS</v>
          </cell>
          <cell r="AD853" t="str">
            <v>AGM-01-045-011</v>
          </cell>
          <cell r="AE853" t="str">
            <v xml:space="preserve">Raemulan Lands, Inc. </v>
          </cell>
          <cell r="AF853" t="str">
            <v>Agapeya</v>
          </cell>
          <cell r="AG853" t="str">
            <v>AGM</v>
          </cell>
          <cell r="AH853" t="str">
            <v>Eco-High</v>
          </cell>
          <cell r="AI853" t="str">
            <v>West</v>
          </cell>
          <cell r="AJ853" t="str">
            <v>With LTS</v>
          </cell>
          <cell r="AK853" t="str">
            <v>Unaffected lots</v>
          </cell>
          <cell r="AL853" t="str">
            <v>Unaffected lots</v>
          </cell>
          <cell r="AM853" t="b">
            <v>1</v>
          </cell>
          <cell r="AN853" t="str">
            <v>YES</v>
          </cell>
          <cell r="AO853" t="str">
            <v>B1 2025</v>
          </cell>
          <cell r="AP853">
            <v>70</v>
          </cell>
          <cell r="AQ853" t="str">
            <v>PCS-04-276764</v>
          </cell>
          <cell r="AR853" t="b">
            <v>1</v>
          </cell>
          <cell r="AS853" t="str">
            <v>Done</v>
          </cell>
          <cell r="AT853" t="str">
            <v>2025 - Batch 2</v>
          </cell>
          <cell r="AU853">
            <v>45</v>
          </cell>
          <cell r="AV853">
            <v>11</v>
          </cell>
          <cell r="AW853" t="str">
            <v>H+L</v>
          </cell>
          <cell r="AX853">
            <v>70</v>
          </cell>
          <cell r="AY853">
            <v>50</v>
          </cell>
          <cell r="AZ853" t="str">
            <v>Duplex</v>
          </cell>
          <cell r="BA853">
            <v>1</v>
          </cell>
          <cell r="BB853" t="str">
            <v>568 - Without Partition</v>
          </cell>
          <cell r="BC853" t="str">
            <v xml:space="preserve">Without Partition </v>
          </cell>
          <cell r="BD853" t="str">
            <v>Slant</v>
          </cell>
          <cell r="BE853" t="str">
            <v xml:space="preserve">Without Partition </v>
          </cell>
          <cell r="BF853" t="str">
            <v>GREEN</v>
          </cell>
          <cell r="BG853">
            <v>2500000</v>
          </cell>
          <cell r="BH853">
            <v>2650000</v>
          </cell>
          <cell r="BI853">
            <v>100000</v>
          </cell>
          <cell r="BJ853">
            <v>2550000</v>
          </cell>
          <cell r="BK853">
            <v>0</v>
          </cell>
          <cell r="BL853">
            <v>2550000</v>
          </cell>
        </row>
        <row r="854">
          <cell r="D854" t="str">
            <v>OS</v>
          </cell>
          <cell r="E854"/>
          <cell r="F854">
            <v>834</v>
          </cell>
          <cell r="G854" t="str">
            <v>SOLD</v>
          </cell>
          <cell r="H854" t="str">
            <v>OS</v>
          </cell>
          <cell r="I854" t="str">
            <v>OS</v>
          </cell>
          <cell r="J854" t="str">
            <v>OS</v>
          </cell>
          <cell r="K854" t="str">
            <v>OS</v>
          </cell>
          <cell r="L854" t="str">
            <v>OS</v>
          </cell>
          <cell r="M854" t="str">
            <v>OS</v>
          </cell>
          <cell r="N854" t="str">
            <v>OS</v>
          </cell>
          <cell r="O854" t="str">
            <v>OS</v>
          </cell>
          <cell r="P854" t="str">
            <v>OS</v>
          </cell>
          <cell r="Q854" t="str">
            <v>OS</v>
          </cell>
          <cell r="R854" t="str">
            <v>OS</v>
          </cell>
          <cell r="S854" t="str">
            <v>OS</v>
          </cell>
          <cell r="T854" t="str">
            <v>OS</v>
          </cell>
          <cell r="U854" t="str">
            <v>OS</v>
          </cell>
          <cell r="V854" t="str">
            <v>OS</v>
          </cell>
          <cell r="W854" t="str">
            <v>OS</v>
          </cell>
          <cell r="X854" t="str">
            <v>OS</v>
          </cell>
          <cell r="Y854" t="str">
            <v>OS</v>
          </cell>
          <cell r="Z854" t="str">
            <v>OS</v>
          </cell>
          <cell r="AA854" t="str">
            <v>OS</v>
          </cell>
          <cell r="AB854" t="str">
            <v>OS</v>
          </cell>
          <cell r="AC854" t="str">
            <v>OS</v>
          </cell>
          <cell r="AD854" t="str">
            <v>AGM-01-045-012</v>
          </cell>
          <cell r="AE854" t="str">
            <v xml:space="preserve">Raemulan Lands, Inc. </v>
          </cell>
          <cell r="AF854" t="str">
            <v>Agapeya</v>
          </cell>
          <cell r="AG854" t="str">
            <v>AGM</v>
          </cell>
          <cell r="AH854" t="str">
            <v>Eco-High</v>
          </cell>
          <cell r="AI854" t="str">
            <v>West</v>
          </cell>
          <cell r="AJ854" t="str">
            <v>With LTS</v>
          </cell>
          <cell r="AK854" t="str">
            <v>Unaffected lots</v>
          </cell>
          <cell r="AL854" t="str">
            <v>Unaffected lots</v>
          </cell>
          <cell r="AM854" t="b">
            <v>1</v>
          </cell>
          <cell r="AN854" t="str">
            <v>YES</v>
          </cell>
          <cell r="AO854" t="str">
            <v>B1 2025</v>
          </cell>
          <cell r="AP854">
            <v>70</v>
          </cell>
          <cell r="AQ854" t="str">
            <v>PCS-04-276764</v>
          </cell>
          <cell r="AR854" t="b">
            <v>1</v>
          </cell>
          <cell r="AS854" t="str">
            <v>Done</v>
          </cell>
          <cell r="AT854" t="str">
            <v>2025 - Batch 2</v>
          </cell>
          <cell r="AU854">
            <v>45</v>
          </cell>
          <cell r="AV854">
            <v>12</v>
          </cell>
          <cell r="AW854" t="str">
            <v>H+L</v>
          </cell>
          <cell r="AX854">
            <v>70</v>
          </cell>
          <cell r="AY854">
            <v>50</v>
          </cell>
          <cell r="AZ854" t="str">
            <v>Duplex</v>
          </cell>
          <cell r="BA854">
            <v>1</v>
          </cell>
          <cell r="BB854" t="str">
            <v>568 - Without Partition</v>
          </cell>
          <cell r="BC854" t="str">
            <v xml:space="preserve">Without Partition </v>
          </cell>
          <cell r="BD854" t="str">
            <v>Flat</v>
          </cell>
          <cell r="BE854" t="str">
            <v xml:space="preserve">Without Partition </v>
          </cell>
          <cell r="BF854" t="str">
            <v>GREEN</v>
          </cell>
          <cell r="BG854">
            <v>2500000</v>
          </cell>
          <cell r="BH854">
            <v>2650000</v>
          </cell>
          <cell r="BI854">
            <v>100000</v>
          </cell>
          <cell r="BJ854">
            <v>2550000</v>
          </cell>
          <cell r="BK854">
            <v>0</v>
          </cell>
          <cell r="BL854">
            <v>2550000</v>
          </cell>
        </row>
        <row r="855">
          <cell r="D855" t="str">
            <v>OS</v>
          </cell>
          <cell r="E855"/>
          <cell r="F855">
            <v>835</v>
          </cell>
          <cell r="G855" t="str">
            <v>SOLD</v>
          </cell>
          <cell r="H855" t="str">
            <v>OS</v>
          </cell>
          <cell r="I855" t="str">
            <v>OS</v>
          </cell>
          <cell r="J855" t="str">
            <v>OS</v>
          </cell>
          <cell r="K855" t="str">
            <v>OS</v>
          </cell>
          <cell r="L855" t="str">
            <v>OS</v>
          </cell>
          <cell r="M855" t="str">
            <v>OS</v>
          </cell>
          <cell r="N855" t="str">
            <v>OS</v>
          </cell>
          <cell r="O855" t="str">
            <v>OS</v>
          </cell>
          <cell r="P855" t="str">
            <v>OS</v>
          </cell>
          <cell r="Q855" t="str">
            <v>OS</v>
          </cell>
          <cell r="R855" t="str">
            <v>OS</v>
          </cell>
          <cell r="S855" t="str">
            <v>OS</v>
          </cell>
          <cell r="T855" t="str">
            <v>OS</v>
          </cell>
          <cell r="U855" t="str">
            <v>OS</v>
          </cell>
          <cell r="V855" t="str">
            <v>OS</v>
          </cell>
          <cell r="W855" t="str">
            <v>OS</v>
          </cell>
          <cell r="X855" t="str">
            <v>OS</v>
          </cell>
          <cell r="Y855" t="str">
            <v>OS</v>
          </cell>
          <cell r="Z855" t="str">
            <v>OS</v>
          </cell>
          <cell r="AA855" t="str">
            <v>OS</v>
          </cell>
          <cell r="AB855" t="str">
            <v>OS</v>
          </cell>
          <cell r="AC855" t="str">
            <v>OS</v>
          </cell>
          <cell r="AD855" t="str">
            <v>AGM-01-046-001</v>
          </cell>
          <cell r="AE855" t="str">
            <v xml:space="preserve">Raemulan Lands, Inc. </v>
          </cell>
          <cell r="AF855" t="str">
            <v>Agapeya</v>
          </cell>
          <cell r="AG855" t="str">
            <v>AGM</v>
          </cell>
          <cell r="AH855" t="str">
            <v>Eco-High</v>
          </cell>
          <cell r="AI855" t="str">
            <v>West</v>
          </cell>
          <cell r="AJ855" t="str">
            <v>With LTS</v>
          </cell>
          <cell r="AK855" t="str">
            <v>Unaffected lots</v>
          </cell>
          <cell r="AL855" t="str">
            <v>Unaffected lots</v>
          </cell>
          <cell r="AM855" t="b">
            <v>1</v>
          </cell>
          <cell r="AN855" t="str">
            <v>YES</v>
          </cell>
          <cell r="AO855" t="str">
            <v>B1 2025</v>
          </cell>
          <cell r="AP855">
            <v>70</v>
          </cell>
          <cell r="AQ855" t="str">
            <v>PCS-04-276764</v>
          </cell>
          <cell r="AR855" t="b">
            <v>1</v>
          </cell>
          <cell r="AS855" t="str">
            <v>Done</v>
          </cell>
          <cell r="AT855" t="str">
            <v>2025 - Batch 2</v>
          </cell>
          <cell r="AU855">
            <v>46</v>
          </cell>
          <cell r="AV855">
            <v>1</v>
          </cell>
          <cell r="AW855" t="str">
            <v>H+L</v>
          </cell>
          <cell r="AX855">
            <v>70</v>
          </cell>
          <cell r="AY855">
            <v>50</v>
          </cell>
          <cell r="AZ855" t="str">
            <v>Duplex</v>
          </cell>
          <cell r="BA855">
            <v>1</v>
          </cell>
          <cell r="BB855" t="str">
            <v>568 - Without Partition</v>
          </cell>
          <cell r="BC855" t="str">
            <v xml:space="preserve">Without Partition </v>
          </cell>
          <cell r="BD855" t="str">
            <v>Flat</v>
          </cell>
          <cell r="BE855" t="str">
            <v xml:space="preserve">Without Partition </v>
          </cell>
          <cell r="BF855" t="str">
            <v>YELLOW</v>
          </cell>
          <cell r="BG855">
            <v>2500000</v>
          </cell>
          <cell r="BH855">
            <v>2650000</v>
          </cell>
          <cell r="BI855">
            <v>100000</v>
          </cell>
          <cell r="BJ855">
            <v>2550000</v>
          </cell>
          <cell r="BK855">
            <v>0</v>
          </cell>
          <cell r="BL855">
            <v>2550000</v>
          </cell>
        </row>
        <row r="856">
          <cell r="D856" t="str">
            <v>OS</v>
          </cell>
          <cell r="E856"/>
          <cell r="F856">
            <v>836</v>
          </cell>
          <cell r="G856" t="str">
            <v>SOLD</v>
          </cell>
          <cell r="H856" t="str">
            <v>OS</v>
          </cell>
          <cell r="I856" t="str">
            <v>OS</v>
          </cell>
          <cell r="J856" t="str">
            <v>OS</v>
          </cell>
          <cell r="K856" t="str">
            <v>OS</v>
          </cell>
          <cell r="L856" t="str">
            <v>OS</v>
          </cell>
          <cell r="M856" t="str">
            <v>OS</v>
          </cell>
          <cell r="N856" t="str">
            <v>OS</v>
          </cell>
          <cell r="O856" t="str">
            <v>OS</v>
          </cell>
          <cell r="P856" t="str">
            <v>OS</v>
          </cell>
          <cell r="Q856" t="str">
            <v>OS</v>
          </cell>
          <cell r="R856" t="str">
            <v>OS</v>
          </cell>
          <cell r="S856" t="str">
            <v>OS</v>
          </cell>
          <cell r="T856" t="str">
            <v>OS</v>
          </cell>
          <cell r="U856" t="str">
            <v>OS</v>
          </cell>
          <cell r="V856" t="str">
            <v>OS</v>
          </cell>
          <cell r="W856" t="str">
            <v>OS</v>
          </cell>
          <cell r="X856" t="str">
            <v>OS</v>
          </cell>
          <cell r="Y856" t="str">
            <v>OS</v>
          </cell>
          <cell r="Z856" t="str">
            <v>OS</v>
          </cell>
          <cell r="AA856" t="str">
            <v>OS</v>
          </cell>
          <cell r="AB856" t="str">
            <v>OS</v>
          </cell>
          <cell r="AC856" t="str">
            <v>OS</v>
          </cell>
          <cell r="AD856" t="str">
            <v>AGM-01-046-002</v>
          </cell>
          <cell r="AE856" t="str">
            <v xml:space="preserve">Raemulan Lands, Inc. </v>
          </cell>
          <cell r="AF856" t="str">
            <v>Agapeya</v>
          </cell>
          <cell r="AG856" t="str">
            <v>AGM</v>
          </cell>
          <cell r="AH856" t="str">
            <v>Eco-High</v>
          </cell>
          <cell r="AI856" t="str">
            <v>West</v>
          </cell>
          <cell r="AJ856" t="str">
            <v>With LTS</v>
          </cell>
          <cell r="AK856" t="str">
            <v>Unaffected lots</v>
          </cell>
          <cell r="AL856" t="str">
            <v>Unaffected lots</v>
          </cell>
          <cell r="AM856" t="b">
            <v>1</v>
          </cell>
          <cell r="AN856" t="str">
            <v>YES</v>
          </cell>
          <cell r="AO856" t="str">
            <v>B1 2025</v>
          </cell>
          <cell r="AP856">
            <v>70</v>
          </cell>
          <cell r="AQ856" t="str">
            <v>PCS-04-276764</v>
          </cell>
          <cell r="AR856" t="b">
            <v>1</v>
          </cell>
          <cell r="AS856" t="str">
            <v>Done</v>
          </cell>
          <cell r="AT856" t="str">
            <v>2025 - Batch 2</v>
          </cell>
          <cell r="AU856">
            <v>46</v>
          </cell>
          <cell r="AV856">
            <v>2</v>
          </cell>
          <cell r="AW856" t="str">
            <v>H+L</v>
          </cell>
          <cell r="AX856">
            <v>70</v>
          </cell>
          <cell r="AY856">
            <v>50</v>
          </cell>
          <cell r="AZ856" t="str">
            <v>Duplex</v>
          </cell>
          <cell r="BA856">
            <v>1</v>
          </cell>
          <cell r="BB856" t="str">
            <v>568 - Without Partition</v>
          </cell>
          <cell r="BC856" t="str">
            <v xml:space="preserve">Without Partition </v>
          </cell>
          <cell r="BD856" t="str">
            <v>Slant</v>
          </cell>
          <cell r="BE856" t="str">
            <v xml:space="preserve">Without Partition </v>
          </cell>
          <cell r="BF856" t="str">
            <v>YELLOW</v>
          </cell>
          <cell r="BG856">
            <v>2500000</v>
          </cell>
          <cell r="BH856">
            <v>2650000</v>
          </cell>
          <cell r="BI856">
            <v>100000</v>
          </cell>
          <cell r="BJ856">
            <v>2550000</v>
          </cell>
          <cell r="BK856">
            <v>0</v>
          </cell>
          <cell r="BL856">
            <v>2550000</v>
          </cell>
        </row>
        <row r="857">
          <cell r="D857" t="str">
            <v>OS</v>
          </cell>
          <cell r="E857"/>
          <cell r="F857">
            <v>837</v>
          </cell>
          <cell r="G857" t="str">
            <v>SOLD</v>
          </cell>
          <cell r="H857" t="str">
            <v>OS</v>
          </cell>
          <cell r="I857" t="str">
            <v>OS</v>
          </cell>
          <cell r="J857" t="str">
            <v>OS</v>
          </cell>
          <cell r="K857" t="str">
            <v>OS</v>
          </cell>
          <cell r="L857" t="str">
            <v>OS</v>
          </cell>
          <cell r="M857" t="str">
            <v>OS</v>
          </cell>
          <cell r="N857" t="str">
            <v>OS</v>
          </cell>
          <cell r="O857" t="str">
            <v>OS</v>
          </cell>
          <cell r="P857" t="str">
            <v>OS</v>
          </cell>
          <cell r="Q857" t="str">
            <v>OS</v>
          </cell>
          <cell r="R857" t="str">
            <v>OS</v>
          </cell>
          <cell r="S857" t="str">
            <v>OS</v>
          </cell>
          <cell r="T857" t="str">
            <v>OS</v>
          </cell>
          <cell r="U857" t="str">
            <v>OS</v>
          </cell>
          <cell r="V857" t="str">
            <v>OS</v>
          </cell>
          <cell r="W857" t="str">
            <v>OS</v>
          </cell>
          <cell r="X857" t="str">
            <v>OS</v>
          </cell>
          <cell r="Y857" t="str">
            <v>OS</v>
          </cell>
          <cell r="Z857" t="str">
            <v>OS</v>
          </cell>
          <cell r="AA857" t="str">
            <v>OS</v>
          </cell>
          <cell r="AB857" t="str">
            <v>OS</v>
          </cell>
          <cell r="AC857" t="str">
            <v>OS</v>
          </cell>
          <cell r="AD857" t="str">
            <v>AGM-01-046-003</v>
          </cell>
          <cell r="AE857" t="str">
            <v xml:space="preserve">Raemulan Lands, Inc. </v>
          </cell>
          <cell r="AF857" t="str">
            <v>Agapeya</v>
          </cell>
          <cell r="AG857" t="str">
            <v>AGM</v>
          </cell>
          <cell r="AH857" t="str">
            <v>Eco-High</v>
          </cell>
          <cell r="AI857" t="str">
            <v>West</v>
          </cell>
          <cell r="AJ857" t="str">
            <v>With LTS</v>
          </cell>
          <cell r="AK857" t="str">
            <v>Unaffected lots</v>
          </cell>
          <cell r="AL857" t="str">
            <v>Unaffected lots</v>
          </cell>
          <cell r="AM857" t="b">
            <v>1</v>
          </cell>
          <cell r="AN857" t="str">
            <v>YES</v>
          </cell>
          <cell r="AO857" t="str">
            <v>B1 2025</v>
          </cell>
          <cell r="AP857">
            <v>70</v>
          </cell>
          <cell r="AQ857" t="str">
            <v>PCS-04-276764</v>
          </cell>
          <cell r="AR857" t="b">
            <v>1</v>
          </cell>
          <cell r="AS857" t="str">
            <v>Done</v>
          </cell>
          <cell r="AT857" t="str">
            <v>2025 - Batch 2</v>
          </cell>
          <cell r="AU857">
            <v>46</v>
          </cell>
          <cell r="AV857">
            <v>3</v>
          </cell>
          <cell r="AW857" t="str">
            <v>H+L</v>
          </cell>
          <cell r="AX857">
            <v>70</v>
          </cell>
          <cell r="AY857">
            <v>50</v>
          </cell>
          <cell r="AZ857" t="str">
            <v>Duplex</v>
          </cell>
          <cell r="BA857">
            <v>1</v>
          </cell>
          <cell r="BB857" t="str">
            <v>568 - Without Partition</v>
          </cell>
          <cell r="BC857" t="str">
            <v xml:space="preserve">Without Partition </v>
          </cell>
          <cell r="BD857" t="str">
            <v>Slant</v>
          </cell>
          <cell r="BE857" t="str">
            <v xml:space="preserve">Without Partition </v>
          </cell>
          <cell r="BF857" t="str">
            <v>YELLOW</v>
          </cell>
          <cell r="BG857">
            <v>2500000</v>
          </cell>
          <cell r="BH857">
            <v>2650000</v>
          </cell>
          <cell r="BI857">
            <v>100000</v>
          </cell>
          <cell r="BJ857">
            <v>2550000</v>
          </cell>
          <cell r="BK857">
            <v>0</v>
          </cell>
          <cell r="BL857">
            <v>2550000</v>
          </cell>
        </row>
        <row r="858">
          <cell r="D858" t="str">
            <v>OS</v>
          </cell>
          <cell r="E858"/>
          <cell r="F858">
            <v>838</v>
          </cell>
          <cell r="G858" t="str">
            <v>SOLD</v>
          </cell>
          <cell r="H858" t="str">
            <v>OS</v>
          </cell>
          <cell r="I858" t="str">
            <v>OS</v>
          </cell>
          <cell r="J858" t="str">
            <v>OS</v>
          </cell>
          <cell r="K858" t="str">
            <v>OS</v>
          </cell>
          <cell r="L858" t="str">
            <v>OS</v>
          </cell>
          <cell r="M858" t="str">
            <v>OS</v>
          </cell>
          <cell r="N858" t="str">
            <v>OS</v>
          </cell>
          <cell r="O858" t="str">
            <v>OS</v>
          </cell>
          <cell r="P858" t="str">
            <v>OS</v>
          </cell>
          <cell r="Q858" t="str">
            <v>OS</v>
          </cell>
          <cell r="R858" t="str">
            <v>OS</v>
          </cell>
          <cell r="S858" t="str">
            <v>OS</v>
          </cell>
          <cell r="T858" t="str">
            <v>OS</v>
          </cell>
          <cell r="U858" t="str">
            <v>OS</v>
          </cell>
          <cell r="V858" t="str">
            <v>OS</v>
          </cell>
          <cell r="W858" t="str">
            <v>OS</v>
          </cell>
          <cell r="X858" t="str">
            <v>OS</v>
          </cell>
          <cell r="Y858" t="str">
            <v>OS</v>
          </cell>
          <cell r="Z858" t="str">
            <v>OS</v>
          </cell>
          <cell r="AA858" t="str">
            <v>OS</v>
          </cell>
          <cell r="AB858" t="str">
            <v>OS</v>
          </cell>
          <cell r="AC858" t="str">
            <v>OS</v>
          </cell>
          <cell r="AD858" t="str">
            <v>AGM-01-046-004</v>
          </cell>
          <cell r="AE858" t="str">
            <v xml:space="preserve">Raemulan Lands, Inc. </v>
          </cell>
          <cell r="AF858" t="str">
            <v>Agapeya</v>
          </cell>
          <cell r="AG858" t="str">
            <v>AGM</v>
          </cell>
          <cell r="AH858" t="str">
            <v>Eco-High</v>
          </cell>
          <cell r="AI858" t="str">
            <v>West</v>
          </cell>
          <cell r="AJ858" t="str">
            <v>With LTS</v>
          </cell>
          <cell r="AK858" t="str">
            <v>Unaffected lots</v>
          </cell>
          <cell r="AL858" t="str">
            <v>Unaffected lots</v>
          </cell>
          <cell r="AM858" t="b">
            <v>1</v>
          </cell>
          <cell r="AN858" t="str">
            <v>YES</v>
          </cell>
          <cell r="AO858" t="str">
            <v>B1 2025</v>
          </cell>
          <cell r="AP858">
            <v>70</v>
          </cell>
          <cell r="AQ858" t="str">
            <v>PCS-04-276764</v>
          </cell>
          <cell r="AR858" t="b">
            <v>1</v>
          </cell>
          <cell r="AS858" t="str">
            <v>Done</v>
          </cell>
          <cell r="AT858" t="str">
            <v>2025 - Batch 2</v>
          </cell>
          <cell r="AU858">
            <v>46</v>
          </cell>
          <cell r="AV858">
            <v>4</v>
          </cell>
          <cell r="AW858" t="str">
            <v>H+L</v>
          </cell>
          <cell r="AX858">
            <v>70</v>
          </cell>
          <cell r="AY858">
            <v>50</v>
          </cell>
          <cell r="AZ858" t="str">
            <v>Duplex</v>
          </cell>
          <cell r="BA858">
            <v>1</v>
          </cell>
          <cell r="BB858" t="str">
            <v>568 - Without Partition</v>
          </cell>
          <cell r="BC858" t="str">
            <v xml:space="preserve">Without Partition </v>
          </cell>
          <cell r="BD858" t="str">
            <v>Flat</v>
          </cell>
          <cell r="BE858" t="str">
            <v xml:space="preserve">Without Partition </v>
          </cell>
          <cell r="BF858" t="str">
            <v>YELLOW</v>
          </cell>
          <cell r="BG858">
            <v>2500000</v>
          </cell>
          <cell r="BH858">
            <v>2650000</v>
          </cell>
          <cell r="BI858">
            <v>100000</v>
          </cell>
          <cell r="BJ858">
            <v>2550000</v>
          </cell>
          <cell r="BK858">
            <v>0</v>
          </cell>
          <cell r="BL858">
            <v>2550000</v>
          </cell>
        </row>
        <row r="859">
          <cell r="D859" t="str">
            <v>OS</v>
          </cell>
          <cell r="E859"/>
          <cell r="F859">
            <v>839</v>
          </cell>
          <cell r="G859" t="str">
            <v>SOLD</v>
          </cell>
          <cell r="H859" t="str">
            <v>OS</v>
          </cell>
          <cell r="I859" t="str">
            <v>OS</v>
          </cell>
          <cell r="J859" t="str">
            <v>OS</v>
          </cell>
          <cell r="K859" t="str">
            <v>OS</v>
          </cell>
          <cell r="L859" t="str">
            <v>OS</v>
          </cell>
          <cell r="M859" t="str">
            <v>OS</v>
          </cell>
          <cell r="N859" t="str">
            <v>OS</v>
          </cell>
          <cell r="O859" t="str">
            <v>OS</v>
          </cell>
          <cell r="P859" t="str">
            <v>OS</v>
          </cell>
          <cell r="Q859" t="str">
            <v>OS</v>
          </cell>
          <cell r="R859" t="str">
            <v>OS</v>
          </cell>
          <cell r="S859" t="str">
            <v>OS</v>
          </cell>
          <cell r="T859" t="str">
            <v>OS</v>
          </cell>
          <cell r="U859" t="str">
            <v>OS</v>
          </cell>
          <cell r="V859" t="str">
            <v>OS</v>
          </cell>
          <cell r="W859" t="str">
            <v>OS</v>
          </cell>
          <cell r="X859" t="str">
            <v>OS</v>
          </cell>
          <cell r="Y859" t="str">
            <v>OS</v>
          </cell>
          <cell r="Z859" t="str">
            <v>OS</v>
          </cell>
          <cell r="AA859" t="str">
            <v>OS</v>
          </cell>
          <cell r="AB859" t="str">
            <v>OS</v>
          </cell>
          <cell r="AC859" t="str">
            <v>OS</v>
          </cell>
          <cell r="AD859" t="str">
            <v>AGM-01-046-005</v>
          </cell>
          <cell r="AE859" t="str">
            <v xml:space="preserve">Raemulan Lands, Inc. </v>
          </cell>
          <cell r="AF859" t="str">
            <v>Agapeya</v>
          </cell>
          <cell r="AG859" t="str">
            <v>AGM</v>
          </cell>
          <cell r="AH859" t="str">
            <v>Eco-High</v>
          </cell>
          <cell r="AI859" t="str">
            <v>West</v>
          </cell>
          <cell r="AJ859" t="str">
            <v>With LTS</v>
          </cell>
          <cell r="AK859" t="str">
            <v>Unaffected lots</v>
          </cell>
          <cell r="AL859" t="str">
            <v>Unaffected lots</v>
          </cell>
          <cell r="AM859" t="b">
            <v>1</v>
          </cell>
          <cell r="AN859" t="str">
            <v>YES</v>
          </cell>
          <cell r="AO859" t="str">
            <v>B2 2025</v>
          </cell>
          <cell r="AP859">
            <v>70</v>
          </cell>
          <cell r="AQ859" t="str">
            <v>PCS-04-276764</v>
          </cell>
          <cell r="AR859" t="b">
            <v>1</v>
          </cell>
          <cell r="AS859" t="str">
            <v>Done</v>
          </cell>
          <cell r="AT859" t="str">
            <v>2025 - Batch 2</v>
          </cell>
          <cell r="AU859">
            <v>46</v>
          </cell>
          <cell r="AV859">
            <v>5</v>
          </cell>
          <cell r="AW859" t="str">
            <v>H+L</v>
          </cell>
          <cell r="AX859">
            <v>70</v>
          </cell>
          <cell r="AY859">
            <v>50</v>
          </cell>
          <cell r="AZ859" t="str">
            <v>Duplex</v>
          </cell>
          <cell r="BA859">
            <v>1</v>
          </cell>
          <cell r="BB859" t="str">
            <v>568 - Without Partition</v>
          </cell>
          <cell r="BC859" t="str">
            <v xml:space="preserve">Without Partition </v>
          </cell>
          <cell r="BD859" t="str">
            <v>Slant</v>
          </cell>
          <cell r="BE859" t="str">
            <v xml:space="preserve">Without Partition </v>
          </cell>
          <cell r="BF859" t="str">
            <v>PURPLE</v>
          </cell>
          <cell r="BG859">
            <v>2500000</v>
          </cell>
          <cell r="BH859">
            <v>2650000</v>
          </cell>
          <cell r="BI859">
            <v>100000</v>
          </cell>
          <cell r="BJ859">
            <v>2550000</v>
          </cell>
          <cell r="BK859">
            <v>0</v>
          </cell>
          <cell r="BL859">
            <v>2550000</v>
          </cell>
        </row>
        <row r="860">
          <cell r="D860" t="str">
            <v>OS</v>
          </cell>
          <cell r="E860"/>
          <cell r="F860">
            <v>840</v>
          </cell>
          <cell r="G860" t="str">
            <v>SOLD</v>
          </cell>
          <cell r="H860" t="str">
            <v>OS</v>
          </cell>
          <cell r="I860" t="str">
            <v>OS</v>
          </cell>
          <cell r="J860" t="str">
            <v>OS</v>
          </cell>
          <cell r="K860" t="str">
            <v>OS</v>
          </cell>
          <cell r="L860" t="str">
            <v>OS</v>
          </cell>
          <cell r="M860" t="str">
            <v>OS</v>
          </cell>
          <cell r="N860" t="str">
            <v>OS</v>
          </cell>
          <cell r="O860" t="str">
            <v>OS</v>
          </cell>
          <cell r="P860" t="str">
            <v>OS</v>
          </cell>
          <cell r="Q860" t="str">
            <v>OS</v>
          </cell>
          <cell r="R860" t="str">
            <v>OS</v>
          </cell>
          <cell r="S860" t="str">
            <v>OS</v>
          </cell>
          <cell r="T860" t="str">
            <v>OS</v>
          </cell>
          <cell r="U860" t="str">
            <v>OS</v>
          </cell>
          <cell r="V860" t="str">
            <v>OS</v>
          </cell>
          <cell r="W860" t="str">
            <v>OS</v>
          </cell>
          <cell r="X860" t="str">
            <v>OS</v>
          </cell>
          <cell r="Y860" t="str">
            <v>OS</v>
          </cell>
          <cell r="Z860" t="str">
            <v>OS</v>
          </cell>
          <cell r="AA860" t="str">
            <v>OS</v>
          </cell>
          <cell r="AB860" t="str">
            <v>OS</v>
          </cell>
          <cell r="AC860" t="str">
            <v>OS</v>
          </cell>
          <cell r="AD860" t="str">
            <v>AGM-01-046-006</v>
          </cell>
          <cell r="AE860" t="str">
            <v xml:space="preserve">Raemulan Lands, Inc. </v>
          </cell>
          <cell r="AF860" t="str">
            <v>Agapeya</v>
          </cell>
          <cell r="AG860" t="str">
            <v>AGM</v>
          </cell>
          <cell r="AH860" t="str">
            <v>Eco-High</v>
          </cell>
          <cell r="AI860" t="str">
            <v>West</v>
          </cell>
          <cell r="AJ860" t="str">
            <v>With LTS</v>
          </cell>
          <cell r="AK860" t="str">
            <v>Unaffected lots</v>
          </cell>
          <cell r="AL860" t="str">
            <v>Unaffected lots</v>
          </cell>
          <cell r="AM860" t="b">
            <v>1</v>
          </cell>
          <cell r="AN860" t="str">
            <v>YES</v>
          </cell>
          <cell r="AO860" t="str">
            <v>B2 2025</v>
          </cell>
          <cell r="AP860">
            <v>70</v>
          </cell>
          <cell r="AQ860" t="str">
            <v>PCS-04-276764</v>
          </cell>
          <cell r="AR860" t="b">
            <v>1</v>
          </cell>
          <cell r="AS860" t="str">
            <v>Done</v>
          </cell>
          <cell r="AT860" t="str">
            <v>2025 - Batch 2</v>
          </cell>
          <cell r="AU860">
            <v>46</v>
          </cell>
          <cell r="AV860">
            <v>6</v>
          </cell>
          <cell r="AW860" t="str">
            <v>H+L</v>
          </cell>
          <cell r="AX860">
            <v>70</v>
          </cell>
          <cell r="AY860">
            <v>50</v>
          </cell>
          <cell r="AZ860" t="str">
            <v>Duplex</v>
          </cell>
          <cell r="BA860">
            <v>1</v>
          </cell>
          <cell r="BB860" t="str">
            <v>568 - Without Partition</v>
          </cell>
          <cell r="BC860" t="str">
            <v xml:space="preserve">Without Partition </v>
          </cell>
          <cell r="BD860" t="str">
            <v>Flat</v>
          </cell>
          <cell r="BE860" t="str">
            <v xml:space="preserve">Without Partition </v>
          </cell>
          <cell r="BF860" t="str">
            <v>PURPLE</v>
          </cell>
          <cell r="BG860">
            <v>2500000</v>
          </cell>
          <cell r="BH860">
            <v>2650000</v>
          </cell>
          <cell r="BI860">
            <v>100000</v>
          </cell>
          <cell r="BJ860">
            <v>2550000</v>
          </cell>
          <cell r="BK860">
            <v>0</v>
          </cell>
          <cell r="BL860">
            <v>2550000</v>
          </cell>
        </row>
        <row r="861">
          <cell r="D861" t="str">
            <v>OS</v>
          </cell>
          <cell r="E861"/>
          <cell r="F861">
            <v>841</v>
          </cell>
          <cell r="G861" t="str">
            <v>SOLD</v>
          </cell>
          <cell r="H861" t="str">
            <v>OS</v>
          </cell>
          <cell r="I861" t="str">
            <v>OS</v>
          </cell>
          <cell r="J861" t="str">
            <v>OS</v>
          </cell>
          <cell r="K861" t="str">
            <v>OS</v>
          </cell>
          <cell r="L861" t="str">
            <v>OS</v>
          </cell>
          <cell r="M861" t="str">
            <v>OS</v>
          </cell>
          <cell r="N861" t="str">
            <v>OS</v>
          </cell>
          <cell r="O861" t="str">
            <v>OS</v>
          </cell>
          <cell r="P861" t="str">
            <v>OS</v>
          </cell>
          <cell r="Q861" t="str">
            <v>OS</v>
          </cell>
          <cell r="R861" t="str">
            <v>OS</v>
          </cell>
          <cell r="S861" t="str">
            <v>OS</v>
          </cell>
          <cell r="T861" t="str">
            <v>OS</v>
          </cell>
          <cell r="U861" t="str">
            <v>OS</v>
          </cell>
          <cell r="V861" t="str">
            <v>OS</v>
          </cell>
          <cell r="W861" t="str">
            <v>OS</v>
          </cell>
          <cell r="X861" t="str">
            <v>OS</v>
          </cell>
          <cell r="Y861" t="str">
            <v>OS</v>
          </cell>
          <cell r="Z861" t="str">
            <v>OS</v>
          </cell>
          <cell r="AA861" t="str">
            <v>OS</v>
          </cell>
          <cell r="AB861" t="str">
            <v>OS</v>
          </cell>
          <cell r="AC861" t="str">
            <v>OS</v>
          </cell>
          <cell r="AD861" t="str">
            <v>AGM-01-046-007</v>
          </cell>
          <cell r="AE861" t="str">
            <v xml:space="preserve">Raemulan Lands, Inc. </v>
          </cell>
          <cell r="AF861" t="str">
            <v>Agapeya</v>
          </cell>
          <cell r="AG861" t="str">
            <v>AGM</v>
          </cell>
          <cell r="AH861" t="str">
            <v>Eco-High</v>
          </cell>
          <cell r="AI861" t="str">
            <v>West</v>
          </cell>
          <cell r="AJ861" t="str">
            <v>With LTS</v>
          </cell>
          <cell r="AK861" t="str">
            <v>Unaffected lots</v>
          </cell>
          <cell r="AL861" t="str">
            <v>Unaffected lots</v>
          </cell>
          <cell r="AM861" t="b">
            <v>1</v>
          </cell>
          <cell r="AN861" t="str">
            <v>YES</v>
          </cell>
          <cell r="AO861" t="str">
            <v>B2 2025</v>
          </cell>
          <cell r="AP861">
            <v>70</v>
          </cell>
          <cell r="AQ861" t="str">
            <v>PCS-04-276764</v>
          </cell>
          <cell r="AR861" t="b">
            <v>1</v>
          </cell>
          <cell r="AS861" t="str">
            <v>Done</v>
          </cell>
          <cell r="AT861" t="str">
            <v>2025 - Batch 2</v>
          </cell>
          <cell r="AU861">
            <v>46</v>
          </cell>
          <cell r="AV861">
            <v>7</v>
          </cell>
          <cell r="AW861" t="str">
            <v>H+L</v>
          </cell>
          <cell r="AX861">
            <v>70</v>
          </cell>
          <cell r="AY861">
            <v>50</v>
          </cell>
          <cell r="AZ861" t="str">
            <v>Duplex</v>
          </cell>
          <cell r="BA861">
            <v>1</v>
          </cell>
          <cell r="BB861" t="str">
            <v>568 - Without Partition</v>
          </cell>
          <cell r="BC861" t="str">
            <v xml:space="preserve">Without Partition </v>
          </cell>
          <cell r="BD861" t="str">
            <v>Flat</v>
          </cell>
          <cell r="BE861" t="str">
            <v xml:space="preserve">Without Partition </v>
          </cell>
          <cell r="BF861" t="str">
            <v>PURPLE</v>
          </cell>
          <cell r="BG861">
            <v>2500000</v>
          </cell>
          <cell r="BH861">
            <v>2650000</v>
          </cell>
          <cell r="BI861">
            <v>100000</v>
          </cell>
          <cell r="BJ861">
            <v>2550000</v>
          </cell>
          <cell r="BK861">
            <v>0</v>
          </cell>
          <cell r="BL861">
            <v>2550000</v>
          </cell>
        </row>
        <row r="862">
          <cell r="D862" t="str">
            <v>OS</v>
          </cell>
          <cell r="E862"/>
          <cell r="F862">
            <v>842</v>
          </cell>
          <cell r="G862" t="str">
            <v>SOLD</v>
          </cell>
          <cell r="H862" t="str">
            <v>OS</v>
          </cell>
          <cell r="I862" t="str">
            <v>OS</v>
          </cell>
          <cell r="J862" t="str">
            <v>OS</v>
          </cell>
          <cell r="K862" t="str">
            <v>OS</v>
          </cell>
          <cell r="L862" t="str">
            <v>OS</v>
          </cell>
          <cell r="M862" t="str">
            <v>OS</v>
          </cell>
          <cell r="N862" t="str">
            <v>OS</v>
          </cell>
          <cell r="O862" t="str">
            <v>OS</v>
          </cell>
          <cell r="P862" t="str">
            <v>OS</v>
          </cell>
          <cell r="Q862" t="str">
            <v>OS</v>
          </cell>
          <cell r="R862" t="str">
            <v>OS</v>
          </cell>
          <cell r="S862" t="str">
            <v>OS</v>
          </cell>
          <cell r="T862" t="str">
            <v>OS</v>
          </cell>
          <cell r="U862" t="str">
            <v>OS</v>
          </cell>
          <cell r="V862" t="str">
            <v>OS</v>
          </cell>
          <cell r="W862" t="str">
            <v>OS</v>
          </cell>
          <cell r="X862" t="str">
            <v>OS</v>
          </cell>
          <cell r="Y862" t="str">
            <v>OS</v>
          </cell>
          <cell r="Z862" t="str">
            <v>OS</v>
          </cell>
          <cell r="AA862" t="str">
            <v>OS</v>
          </cell>
          <cell r="AB862" t="str">
            <v>OS</v>
          </cell>
          <cell r="AC862" t="str">
            <v>OS</v>
          </cell>
          <cell r="AD862" t="str">
            <v>AGM-01-046-008</v>
          </cell>
          <cell r="AE862" t="str">
            <v xml:space="preserve">Raemulan Lands, Inc. </v>
          </cell>
          <cell r="AF862" t="str">
            <v>Agapeya</v>
          </cell>
          <cell r="AG862" t="str">
            <v>AGM</v>
          </cell>
          <cell r="AH862" t="str">
            <v>Eco-High</v>
          </cell>
          <cell r="AI862" t="str">
            <v>West</v>
          </cell>
          <cell r="AJ862" t="str">
            <v>With LTS</v>
          </cell>
          <cell r="AK862" t="str">
            <v>Unaffected lots</v>
          </cell>
          <cell r="AL862" t="str">
            <v>Unaffected lots</v>
          </cell>
          <cell r="AM862" t="b">
            <v>1</v>
          </cell>
          <cell r="AN862" t="str">
            <v>YES</v>
          </cell>
          <cell r="AO862" t="str">
            <v>B2 2025</v>
          </cell>
          <cell r="AP862">
            <v>70</v>
          </cell>
          <cell r="AQ862" t="str">
            <v>PCS-04-276764</v>
          </cell>
          <cell r="AR862" t="b">
            <v>1</v>
          </cell>
          <cell r="AS862" t="str">
            <v>Done</v>
          </cell>
          <cell r="AT862" t="str">
            <v>2025 - Batch 2</v>
          </cell>
          <cell r="AU862">
            <v>46</v>
          </cell>
          <cell r="AV862">
            <v>8</v>
          </cell>
          <cell r="AW862" t="str">
            <v>H+L</v>
          </cell>
          <cell r="AX862">
            <v>70</v>
          </cell>
          <cell r="AY862">
            <v>50</v>
          </cell>
          <cell r="AZ862" t="str">
            <v>Duplex</v>
          </cell>
          <cell r="BA862">
            <v>1</v>
          </cell>
          <cell r="BB862" t="str">
            <v>568 - Without Partition</v>
          </cell>
          <cell r="BC862" t="str">
            <v xml:space="preserve">Without Partition </v>
          </cell>
          <cell r="BD862" t="str">
            <v>Slant</v>
          </cell>
          <cell r="BE862" t="str">
            <v xml:space="preserve">Without Partition </v>
          </cell>
          <cell r="BF862" t="str">
            <v>PURPLE</v>
          </cell>
          <cell r="BG862">
            <v>2500000</v>
          </cell>
          <cell r="BH862">
            <v>2650000</v>
          </cell>
          <cell r="BI862">
            <v>100000</v>
          </cell>
          <cell r="BJ862">
            <v>2550000</v>
          </cell>
          <cell r="BK862">
            <v>0</v>
          </cell>
          <cell r="BL862">
            <v>2550000</v>
          </cell>
        </row>
        <row r="863">
          <cell r="D863" t="str">
            <v>OS</v>
          </cell>
          <cell r="E863"/>
          <cell r="F863">
            <v>843</v>
          </cell>
          <cell r="G863" t="str">
            <v>SOLD</v>
          </cell>
          <cell r="H863" t="str">
            <v>OS</v>
          </cell>
          <cell r="I863" t="str">
            <v>OS</v>
          </cell>
          <cell r="J863" t="str">
            <v>OS</v>
          </cell>
          <cell r="K863" t="str">
            <v>OS</v>
          </cell>
          <cell r="L863" t="str">
            <v>OS</v>
          </cell>
          <cell r="M863" t="str">
            <v>OS</v>
          </cell>
          <cell r="N863" t="str">
            <v>OS</v>
          </cell>
          <cell r="O863" t="str">
            <v>OS</v>
          </cell>
          <cell r="P863" t="str">
            <v>OS</v>
          </cell>
          <cell r="Q863" t="str">
            <v>OS</v>
          </cell>
          <cell r="R863" t="str">
            <v>OS</v>
          </cell>
          <cell r="S863" t="str">
            <v>OS</v>
          </cell>
          <cell r="T863" t="str">
            <v>OS</v>
          </cell>
          <cell r="U863" t="str">
            <v>OS</v>
          </cell>
          <cell r="V863" t="str">
            <v>OS</v>
          </cell>
          <cell r="W863" t="str">
            <v>OS</v>
          </cell>
          <cell r="X863" t="str">
            <v>OS</v>
          </cell>
          <cell r="Y863" t="str">
            <v>OS</v>
          </cell>
          <cell r="Z863" t="str">
            <v>OS</v>
          </cell>
          <cell r="AA863" t="str">
            <v>OS</v>
          </cell>
          <cell r="AB863" t="str">
            <v>OS</v>
          </cell>
          <cell r="AC863" t="str">
            <v>OS</v>
          </cell>
          <cell r="AD863" t="str">
            <v>AGM-01-046-009</v>
          </cell>
          <cell r="AE863" t="str">
            <v xml:space="preserve">Raemulan Lands, Inc. </v>
          </cell>
          <cell r="AF863" t="str">
            <v>Agapeya</v>
          </cell>
          <cell r="AG863" t="str">
            <v>AGM</v>
          </cell>
          <cell r="AH863" t="str">
            <v>Eco-High</v>
          </cell>
          <cell r="AI863" t="str">
            <v>West</v>
          </cell>
          <cell r="AJ863" t="str">
            <v>With LTS</v>
          </cell>
          <cell r="AK863" t="str">
            <v>Unaffected lots</v>
          </cell>
          <cell r="AL863" t="str">
            <v>Unaffected lots</v>
          </cell>
          <cell r="AM863" t="b">
            <v>1</v>
          </cell>
          <cell r="AN863" t="str">
            <v>YES</v>
          </cell>
          <cell r="AO863" t="str">
            <v>B2 2025</v>
          </cell>
          <cell r="AP863">
            <v>70</v>
          </cell>
          <cell r="AQ863" t="str">
            <v>PCS-04-276764</v>
          </cell>
          <cell r="AR863" t="b">
            <v>1</v>
          </cell>
          <cell r="AS863" t="str">
            <v>Done</v>
          </cell>
          <cell r="AT863" t="str">
            <v>2025 - Batch 2</v>
          </cell>
          <cell r="AU863">
            <v>46</v>
          </cell>
          <cell r="AV863">
            <v>9</v>
          </cell>
          <cell r="AW863" t="str">
            <v>H+L</v>
          </cell>
          <cell r="AX863">
            <v>70</v>
          </cell>
          <cell r="AY863">
            <v>50</v>
          </cell>
          <cell r="AZ863" t="str">
            <v>Duplex</v>
          </cell>
          <cell r="BA863">
            <v>1</v>
          </cell>
          <cell r="BB863" t="str">
            <v>568 - Without Partition</v>
          </cell>
          <cell r="BC863" t="str">
            <v xml:space="preserve">Without Partition </v>
          </cell>
          <cell r="BD863" t="str">
            <v>Slant</v>
          </cell>
          <cell r="BE863" t="str">
            <v xml:space="preserve">Without Partition </v>
          </cell>
          <cell r="BF863" t="str">
            <v>PINK</v>
          </cell>
          <cell r="BG863">
            <v>2500000</v>
          </cell>
          <cell r="BH863">
            <v>2650000</v>
          </cell>
          <cell r="BI863">
            <v>100000</v>
          </cell>
          <cell r="BJ863">
            <v>2550000</v>
          </cell>
          <cell r="BK863">
            <v>0</v>
          </cell>
          <cell r="BL863">
            <v>2550000</v>
          </cell>
        </row>
        <row r="864">
          <cell r="D864" t="str">
            <v>OS</v>
          </cell>
          <cell r="E864"/>
          <cell r="F864">
            <v>844</v>
          </cell>
          <cell r="G864" t="str">
            <v>SOLD</v>
          </cell>
          <cell r="H864" t="str">
            <v>OS</v>
          </cell>
          <cell r="I864" t="str">
            <v>OS</v>
          </cell>
          <cell r="J864" t="str">
            <v>OS</v>
          </cell>
          <cell r="K864" t="str">
            <v>OS</v>
          </cell>
          <cell r="L864" t="str">
            <v>OS</v>
          </cell>
          <cell r="M864" t="str">
            <v>OS</v>
          </cell>
          <cell r="N864" t="str">
            <v>OS</v>
          </cell>
          <cell r="O864" t="str">
            <v>OS</v>
          </cell>
          <cell r="P864" t="str">
            <v>OS</v>
          </cell>
          <cell r="Q864" t="str">
            <v>OS</v>
          </cell>
          <cell r="R864" t="str">
            <v>OS</v>
          </cell>
          <cell r="S864" t="str">
            <v>OS</v>
          </cell>
          <cell r="T864" t="str">
            <v>OS</v>
          </cell>
          <cell r="U864" t="str">
            <v>OS</v>
          </cell>
          <cell r="V864" t="str">
            <v>OS</v>
          </cell>
          <cell r="W864" t="str">
            <v>OS</v>
          </cell>
          <cell r="X864" t="str">
            <v>OS</v>
          </cell>
          <cell r="Y864" t="str">
            <v>OS</v>
          </cell>
          <cell r="Z864" t="str">
            <v>OS</v>
          </cell>
          <cell r="AA864" t="str">
            <v>OS</v>
          </cell>
          <cell r="AB864" t="str">
            <v>OS</v>
          </cell>
          <cell r="AC864" t="str">
            <v>OS</v>
          </cell>
          <cell r="AD864" t="str">
            <v>AGM-01-046-010</v>
          </cell>
          <cell r="AE864" t="str">
            <v xml:space="preserve">Raemulan Lands, Inc. </v>
          </cell>
          <cell r="AF864" t="str">
            <v>Agapeya</v>
          </cell>
          <cell r="AG864" t="str">
            <v>AGM</v>
          </cell>
          <cell r="AH864" t="str">
            <v>Eco-High</v>
          </cell>
          <cell r="AI864" t="str">
            <v>West</v>
          </cell>
          <cell r="AJ864" t="str">
            <v>With LTS</v>
          </cell>
          <cell r="AK864" t="str">
            <v>Unaffected lots</v>
          </cell>
          <cell r="AL864" t="str">
            <v>Unaffected lots</v>
          </cell>
          <cell r="AM864" t="b">
            <v>1</v>
          </cell>
          <cell r="AN864" t="str">
            <v>YES</v>
          </cell>
          <cell r="AO864" t="str">
            <v>B2 2025</v>
          </cell>
          <cell r="AP864">
            <v>70</v>
          </cell>
          <cell r="AQ864" t="str">
            <v>PCS-04-276764</v>
          </cell>
          <cell r="AR864" t="b">
            <v>1</v>
          </cell>
          <cell r="AS864" t="str">
            <v>Done</v>
          </cell>
          <cell r="AT864" t="str">
            <v>2025 - Batch 2</v>
          </cell>
          <cell r="AU864">
            <v>46</v>
          </cell>
          <cell r="AV864">
            <v>10</v>
          </cell>
          <cell r="AW864" t="str">
            <v>H+L</v>
          </cell>
          <cell r="AX864">
            <v>70</v>
          </cell>
          <cell r="AY864">
            <v>50</v>
          </cell>
          <cell r="AZ864" t="str">
            <v>Duplex</v>
          </cell>
          <cell r="BA864">
            <v>1</v>
          </cell>
          <cell r="BB864" t="str">
            <v>568 - Without Partition</v>
          </cell>
          <cell r="BC864" t="str">
            <v xml:space="preserve">Without Partition </v>
          </cell>
          <cell r="BD864" t="str">
            <v>Flat</v>
          </cell>
          <cell r="BE864" t="str">
            <v xml:space="preserve">Without Partition </v>
          </cell>
          <cell r="BF864" t="str">
            <v>PINK</v>
          </cell>
          <cell r="BG864">
            <v>2500000</v>
          </cell>
          <cell r="BH864">
            <v>2650000</v>
          </cell>
          <cell r="BI864">
            <v>100000</v>
          </cell>
          <cell r="BJ864">
            <v>2550000</v>
          </cell>
          <cell r="BK864">
            <v>0</v>
          </cell>
          <cell r="BL864">
            <v>2550000</v>
          </cell>
        </row>
        <row r="865">
          <cell r="D865" t="str">
            <v>OS</v>
          </cell>
          <cell r="E865"/>
          <cell r="F865">
            <v>845</v>
          </cell>
          <cell r="G865" t="str">
            <v>SOLD</v>
          </cell>
          <cell r="H865" t="str">
            <v>OS</v>
          </cell>
          <cell r="I865" t="str">
            <v>OS</v>
          </cell>
          <cell r="J865" t="str">
            <v>OS</v>
          </cell>
          <cell r="K865" t="str">
            <v>OS</v>
          </cell>
          <cell r="L865" t="str">
            <v>OS</v>
          </cell>
          <cell r="M865" t="str">
            <v>OS</v>
          </cell>
          <cell r="N865" t="str">
            <v>OS</v>
          </cell>
          <cell r="O865" t="str">
            <v>OS</v>
          </cell>
          <cell r="P865" t="str">
            <v>OS</v>
          </cell>
          <cell r="Q865" t="str">
            <v>OS</v>
          </cell>
          <cell r="R865" t="str">
            <v>OS</v>
          </cell>
          <cell r="S865" t="str">
            <v>OS</v>
          </cell>
          <cell r="T865" t="str">
            <v>OS</v>
          </cell>
          <cell r="U865" t="str">
            <v>OS</v>
          </cell>
          <cell r="V865" t="str">
            <v>OS</v>
          </cell>
          <cell r="W865" t="str">
            <v>OS</v>
          </cell>
          <cell r="X865" t="str">
            <v>OS</v>
          </cell>
          <cell r="Y865" t="str">
            <v>OS</v>
          </cell>
          <cell r="Z865" t="str">
            <v>OS</v>
          </cell>
          <cell r="AA865" t="str">
            <v>OS</v>
          </cell>
          <cell r="AB865" t="str">
            <v>OS</v>
          </cell>
          <cell r="AC865" t="str">
            <v>OS</v>
          </cell>
          <cell r="AD865" t="str">
            <v>AGM-01-047-001</v>
          </cell>
          <cell r="AE865" t="str">
            <v xml:space="preserve">Raemulan Lands, Inc. </v>
          </cell>
          <cell r="AF865" t="str">
            <v>Agapeya</v>
          </cell>
          <cell r="AG865" t="str">
            <v>AGM</v>
          </cell>
          <cell r="AH865" t="str">
            <v>Eco-High</v>
          </cell>
          <cell r="AI865" t="str">
            <v>West</v>
          </cell>
          <cell r="AJ865" t="str">
            <v>With LTS</v>
          </cell>
          <cell r="AK865" t="str">
            <v>Unaffected lots</v>
          </cell>
          <cell r="AL865" t="str">
            <v>Unaffected lots</v>
          </cell>
          <cell r="AM865" t="b">
            <v>1</v>
          </cell>
          <cell r="AN865" t="str">
            <v>YES</v>
          </cell>
          <cell r="AO865" t="str">
            <v>B2 2025</v>
          </cell>
          <cell r="AP865">
            <v>70</v>
          </cell>
          <cell r="AQ865" t="str">
            <v>PCS-04-034298</v>
          </cell>
          <cell r="AR865" t="b">
            <v>1</v>
          </cell>
          <cell r="AS865" t="str">
            <v>Done</v>
          </cell>
          <cell r="AT865" t="str">
            <v>2025 - Batch 1</v>
          </cell>
          <cell r="AU865">
            <v>47</v>
          </cell>
          <cell r="AV865">
            <v>1</v>
          </cell>
          <cell r="AW865" t="str">
            <v>H+L</v>
          </cell>
          <cell r="AX865">
            <v>70</v>
          </cell>
          <cell r="AY865">
            <v>50</v>
          </cell>
          <cell r="AZ865" t="str">
            <v>Duplex</v>
          </cell>
          <cell r="BA865">
            <v>1</v>
          </cell>
          <cell r="BB865" t="str">
            <v>568 - Without Partition</v>
          </cell>
          <cell r="BC865" t="str">
            <v xml:space="preserve">Without Partition </v>
          </cell>
          <cell r="BD865" t="str">
            <v>Slant</v>
          </cell>
          <cell r="BE865" t="str">
            <v xml:space="preserve">Without Partition </v>
          </cell>
          <cell r="BF865" t="str">
            <v>PINK</v>
          </cell>
          <cell r="BG865">
            <v>2600000</v>
          </cell>
          <cell r="BH865">
            <v>2650000</v>
          </cell>
          <cell r="BI865">
            <v>100000</v>
          </cell>
          <cell r="BJ865">
            <v>2550000</v>
          </cell>
          <cell r="BK865">
            <v>0</v>
          </cell>
          <cell r="BL865">
            <v>2550000</v>
          </cell>
        </row>
        <row r="866">
          <cell r="D866" t="str">
            <v>OS</v>
          </cell>
          <cell r="E866"/>
          <cell r="F866">
            <v>846</v>
          </cell>
          <cell r="G866" t="str">
            <v>SOLD</v>
          </cell>
          <cell r="H866" t="str">
            <v>OS</v>
          </cell>
          <cell r="I866" t="str">
            <v>OS</v>
          </cell>
          <cell r="J866" t="str">
            <v>OS</v>
          </cell>
          <cell r="K866" t="str">
            <v>OS</v>
          </cell>
          <cell r="L866" t="str">
            <v>OS</v>
          </cell>
          <cell r="M866" t="str">
            <v>OS</v>
          </cell>
          <cell r="N866" t="str">
            <v>OS</v>
          </cell>
          <cell r="O866" t="str">
            <v>OS</v>
          </cell>
          <cell r="P866" t="str">
            <v>OS</v>
          </cell>
          <cell r="Q866" t="str">
            <v>OS</v>
          </cell>
          <cell r="R866" t="str">
            <v>OS</v>
          </cell>
          <cell r="S866" t="str">
            <v>OS</v>
          </cell>
          <cell r="T866" t="str">
            <v>OS</v>
          </cell>
          <cell r="U866" t="str">
            <v>OS</v>
          </cell>
          <cell r="V866" t="str">
            <v>OS</v>
          </cell>
          <cell r="W866" t="str">
            <v>OS</v>
          </cell>
          <cell r="X866" t="str">
            <v>OS</v>
          </cell>
          <cell r="Y866" t="str">
            <v>OS</v>
          </cell>
          <cell r="Z866" t="str">
            <v>OS</v>
          </cell>
          <cell r="AA866" t="str">
            <v>OS</v>
          </cell>
          <cell r="AB866" t="str">
            <v>OS</v>
          </cell>
          <cell r="AC866" t="str">
            <v>OS</v>
          </cell>
          <cell r="AD866" t="str">
            <v>AGM-01-047-002</v>
          </cell>
          <cell r="AE866" t="str">
            <v xml:space="preserve">Raemulan Lands, Inc. </v>
          </cell>
          <cell r="AF866" t="str">
            <v>Agapeya</v>
          </cell>
          <cell r="AG866" t="str">
            <v>AGM</v>
          </cell>
          <cell r="AH866" t="str">
            <v>Eco-High</v>
          </cell>
          <cell r="AI866" t="str">
            <v>West</v>
          </cell>
          <cell r="AJ866" t="str">
            <v>With LTS</v>
          </cell>
          <cell r="AK866" t="str">
            <v>Unaffected lots</v>
          </cell>
          <cell r="AL866" t="str">
            <v>Unaffected lots</v>
          </cell>
          <cell r="AM866" t="b">
            <v>1</v>
          </cell>
          <cell r="AN866" t="str">
            <v>YES</v>
          </cell>
          <cell r="AO866" t="str">
            <v>B2 2025</v>
          </cell>
          <cell r="AP866">
            <v>70</v>
          </cell>
          <cell r="AQ866" t="str">
            <v>PCS-04-034298</v>
          </cell>
          <cell r="AR866" t="b">
            <v>1</v>
          </cell>
          <cell r="AS866" t="str">
            <v>Done</v>
          </cell>
          <cell r="AT866" t="str">
            <v>2025 - Batch 1</v>
          </cell>
          <cell r="AU866">
            <v>47</v>
          </cell>
          <cell r="AV866">
            <v>2</v>
          </cell>
          <cell r="AW866" t="str">
            <v>H+L</v>
          </cell>
          <cell r="AX866">
            <v>70</v>
          </cell>
          <cell r="AY866">
            <v>50</v>
          </cell>
          <cell r="AZ866" t="str">
            <v>Duplex</v>
          </cell>
          <cell r="BA866">
            <v>1</v>
          </cell>
          <cell r="BB866" t="str">
            <v>568 - Without Partition</v>
          </cell>
          <cell r="BC866" t="str">
            <v xml:space="preserve">Without Partition </v>
          </cell>
          <cell r="BD866" t="str">
            <v>Flat</v>
          </cell>
          <cell r="BE866" t="str">
            <v xml:space="preserve">Without Partition </v>
          </cell>
          <cell r="BF866" t="str">
            <v>PINK</v>
          </cell>
          <cell r="BG866">
            <v>2500000</v>
          </cell>
          <cell r="BH866">
            <v>2650000</v>
          </cell>
          <cell r="BI866">
            <v>100000</v>
          </cell>
          <cell r="BJ866">
            <v>2550000</v>
          </cell>
          <cell r="BK866">
            <v>0</v>
          </cell>
          <cell r="BL866">
            <v>2550000</v>
          </cell>
        </row>
        <row r="867">
          <cell r="D867" t="str">
            <v>OS</v>
          </cell>
          <cell r="E867"/>
          <cell r="F867">
            <v>847</v>
          </cell>
          <cell r="G867" t="str">
            <v>SOLD</v>
          </cell>
          <cell r="H867" t="str">
            <v>OS</v>
          </cell>
          <cell r="I867" t="str">
            <v>OS</v>
          </cell>
          <cell r="J867" t="str">
            <v>OS</v>
          </cell>
          <cell r="K867" t="str">
            <v>OS</v>
          </cell>
          <cell r="L867" t="str">
            <v>OS</v>
          </cell>
          <cell r="M867" t="str">
            <v>OS</v>
          </cell>
          <cell r="N867" t="str">
            <v>OS</v>
          </cell>
          <cell r="O867" t="str">
            <v>OS</v>
          </cell>
          <cell r="P867" t="str">
            <v>OS</v>
          </cell>
          <cell r="Q867" t="str">
            <v>OS</v>
          </cell>
          <cell r="R867" t="str">
            <v>OS</v>
          </cell>
          <cell r="S867" t="str">
            <v>OS</v>
          </cell>
          <cell r="T867" t="str">
            <v>OS</v>
          </cell>
          <cell r="U867" t="str">
            <v>OS</v>
          </cell>
          <cell r="V867" t="str">
            <v>OS</v>
          </cell>
          <cell r="W867" t="str">
            <v>OS</v>
          </cell>
          <cell r="X867" t="str">
            <v>OS</v>
          </cell>
          <cell r="Y867" t="str">
            <v>OS</v>
          </cell>
          <cell r="Z867" t="str">
            <v>OS</v>
          </cell>
          <cell r="AA867" t="str">
            <v>OS</v>
          </cell>
          <cell r="AB867" t="str">
            <v>OS</v>
          </cell>
          <cell r="AC867" t="str">
            <v>OS</v>
          </cell>
          <cell r="AD867" t="str">
            <v>AGM-01-047-003</v>
          </cell>
          <cell r="AE867" t="str">
            <v xml:space="preserve">Raemulan Lands, Inc. </v>
          </cell>
          <cell r="AF867" t="str">
            <v>Agapeya</v>
          </cell>
          <cell r="AG867" t="str">
            <v>AGM</v>
          </cell>
          <cell r="AH867" t="str">
            <v>Eco-High</v>
          </cell>
          <cell r="AI867" t="str">
            <v>West</v>
          </cell>
          <cell r="AJ867" t="str">
            <v>With LTS</v>
          </cell>
          <cell r="AK867" t="str">
            <v>Unaffected lots</v>
          </cell>
          <cell r="AL867" t="str">
            <v>Unaffected lots</v>
          </cell>
          <cell r="AM867" t="b">
            <v>1</v>
          </cell>
          <cell r="AN867" t="str">
            <v>YES</v>
          </cell>
          <cell r="AO867" t="str">
            <v>B2 2025</v>
          </cell>
          <cell r="AP867">
            <v>70</v>
          </cell>
          <cell r="AQ867" t="str">
            <v>PCS-04-034298</v>
          </cell>
          <cell r="AR867" t="b">
            <v>1</v>
          </cell>
          <cell r="AS867" t="str">
            <v>Done</v>
          </cell>
          <cell r="AT867" t="str">
            <v>2025 - Batch 1</v>
          </cell>
          <cell r="AU867">
            <v>47</v>
          </cell>
          <cell r="AV867">
            <v>3</v>
          </cell>
          <cell r="AW867" t="str">
            <v>H+L</v>
          </cell>
          <cell r="AX867">
            <v>70</v>
          </cell>
          <cell r="AY867">
            <v>50</v>
          </cell>
          <cell r="AZ867" t="str">
            <v>Duplex</v>
          </cell>
          <cell r="BA867">
            <v>1</v>
          </cell>
          <cell r="BB867" t="str">
            <v>568 - Without Partition</v>
          </cell>
          <cell r="BC867" t="str">
            <v xml:space="preserve">Without Partition </v>
          </cell>
          <cell r="BD867" t="str">
            <v>Flat</v>
          </cell>
          <cell r="BE867" t="str">
            <v xml:space="preserve">Without Partition </v>
          </cell>
          <cell r="BF867" t="str">
            <v>PURPLE</v>
          </cell>
          <cell r="BG867">
            <v>2500000</v>
          </cell>
          <cell r="BH867">
            <v>2650000</v>
          </cell>
          <cell r="BI867">
            <v>100000</v>
          </cell>
          <cell r="BJ867">
            <v>2550000</v>
          </cell>
          <cell r="BK867">
            <v>0</v>
          </cell>
          <cell r="BL867">
            <v>2550000</v>
          </cell>
        </row>
        <row r="868">
          <cell r="D868" t="str">
            <v>OS</v>
          </cell>
          <cell r="E868"/>
          <cell r="F868">
            <v>848</v>
          </cell>
          <cell r="G868" t="str">
            <v>SOLD</v>
          </cell>
          <cell r="H868" t="str">
            <v>OS</v>
          </cell>
          <cell r="I868" t="str">
            <v>OS</v>
          </cell>
          <cell r="J868" t="str">
            <v>OS</v>
          </cell>
          <cell r="K868" t="str">
            <v>OS</v>
          </cell>
          <cell r="L868" t="str">
            <v>OS</v>
          </cell>
          <cell r="M868" t="str">
            <v>OS</v>
          </cell>
          <cell r="N868" t="str">
            <v>OS</v>
          </cell>
          <cell r="O868" t="str">
            <v>OS</v>
          </cell>
          <cell r="P868" t="str">
            <v>OS</v>
          </cell>
          <cell r="Q868" t="str">
            <v>OS</v>
          </cell>
          <cell r="R868" t="str">
            <v>OS</v>
          </cell>
          <cell r="S868" t="str">
            <v>OS</v>
          </cell>
          <cell r="T868" t="str">
            <v>OS</v>
          </cell>
          <cell r="U868" t="str">
            <v>OS</v>
          </cell>
          <cell r="V868" t="str">
            <v>OS</v>
          </cell>
          <cell r="W868" t="str">
            <v>OS</v>
          </cell>
          <cell r="X868" t="str">
            <v>OS</v>
          </cell>
          <cell r="Y868" t="str">
            <v>OS</v>
          </cell>
          <cell r="Z868" t="str">
            <v>OS</v>
          </cell>
          <cell r="AA868" t="str">
            <v>OS</v>
          </cell>
          <cell r="AB868" t="str">
            <v>OS</v>
          </cell>
          <cell r="AC868" t="str">
            <v>OS</v>
          </cell>
          <cell r="AD868" t="str">
            <v>AGM-01-047-004</v>
          </cell>
          <cell r="AE868" t="str">
            <v xml:space="preserve">Raemulan Lands, Inc. </v>
          </cell>
          <cell r="AF868" t="str">
            <v>Agapeya</v>
          </cell>
          <cell r="AG868" t="str">
            <v>AGM</v>
          </cell>
          <cell r="AH868" t="str">
            <v>Eco-High</v>
          </cell>
          <cell r="AI868" t="str">
            <v>West</v>
          </cell>
          <cell r="AJ868" t="str">
            <v>With LTS</v>
          </cell>
          <cell r="AK868" t="str">
            <v>Unaffected lots</v>
          </cell>
          <cell r="AL868" t="str">
            <v>Unaffected lots</v>
          </cell>
          <cell r="AM868" t="b">
            <v>1</v>
          </cell>
          <cell r="AN868" t="str">
            <v>YES</v>
          </cell>
          <cell r="AO868" t="str">
            <v>B2 2025</v>
          </cell>
          <cell r="AP868">
            <v>70</v>
          </cell>
          <cell r="AQ868" t="str">
            <v>PCS-04-034298</v>
          </cell>
          <cell r="AR868" t="b">
            <v>1</v>
          </cell>
          <cell r="AS868" t="str">
            <v>Done</v>
          </cell>
          <cell r="AT868" t="str">
            <v>2025 - Batch 1</v>
          </cell>
          <cell r="AU868">
            <v>47</v>
          </cell>
          <cell r="AV868">
            <v>4</v>
          </cell>
          <cell r="AW868" t="str">
            <v>H+L</v>
          </cell>
          <cell r="AX868">
            <v>70</v>
          </cell>
          <cell r="AY868">
            <v>50</v>
          </cell>
          <cell r="AZ868" t="str">
            <v>Duplex</v>
          </cell>
          <cell r="BA868">
            <v>1</v>
          </cell>
          <cell r="BB868" t="str">
            <v>568 - Without Partition</v>
          </cell>
          <cell r="BC868" t="str">
            <v xml:space="preserve">Without Partition </v>
          </cell>
          <cell r="BD868" t="str">
            <v>Slant</v>
          </cell>
          <cell r="BE868" t="str">
            <v xml:space="preserve">Without Partition </v>
          </cell>
          <cell r="BF868" t="str">
            <v>PURPLE</v>
          </cell>
          <cell r="BG868">
            <v>2500000</v>
          </cell>
          <cell r="BH868">
            <v>2650000</v>
          </cell>
          <cell r="BI868">
            <v>100000</v>
          </cell>
          <cell r="BJ868">
            <v>2550000</v>
          </cell>
          <cell r="BK868">
            <v>0</v>
          </cell>
          <cell r="BL868">
            <v>2550000</v>
          </cell>
        </row>
        <row r="869">
          <cell r="D869" t="str">
            <v>OS</v>
          </cell>
          <cell r="E869"/>
          <cell r="F869">
            <v>849</v>
          </cell>
          <cell r="G869" t="str">
            <v>SOLD</v>
          </cell>
          <cell r="H869" t="str">
            <v>OS</v>
          </cell>
          <cell r="I869" t="str">
            <v>OS</v>
          </cell>
          <cell r="J869" t="str">
            <v>OS</v>
          </cell>
          <cell r="K869" t="str">
            <v>OS</v>
          </cell>
          <cell r="L869" t="str">
            <v>OS</v>
          </cell>
          <cell r="M869" t="str">
            <v>OS</v>
          </cell>
          <cell r="N869" t="str">
            <v>OS</v>
          </cell>
          <cell r="O869" t="str">
            <v>OS</v>
          </cell>
          <cell r="P869" t="str">
            <v>OS</v>
          </cell>
          <cell r="Q869" t="str">
            <v>OS</v>
          </cell>
          <cell r="R869" t="str">
            <v>OS</v>
          </cell>
          <cell r="S869" t="str">
            <v>OS</v>
          </cell>
          <cell r="T869" t="str">
            <v>OS</v>
          </cell>
          <cell r="U869" t="str">
            <v>OS</v>
          </cell>
          <cell r="V869" t="str">
            <v>OS</v>
          </cell>
          <cell r="W869" t="str">
            <v>OS</v>
          </cell>
          <cell r="X869" t="str">
            <v>OS</v>
          </cell>
          <cell r="Y869" t="str">
            <v>OS</v>
          </cell>
          <cell r="Z869" t="str">
            <v>OS</v>
          </cell>
          <cell r="AA869" t="str">
            <v>OS</v>
          </cell>
          <cell r="AB869" t="str">
            <v>OS</v>
          </cell>
          <cell r="AC869" t="str">
            <v>OS</v>
          </cell>
          <cell r="AD869" t="str">
            <v>AGM-01-047-005</v>
          </cell>
          <cell r="AE869" t="str">
            <v xml:space="preserve">Raemulan Lands, Inc. </v>
          </cell>
          <cell r="AF869" t="str">
            <v>Agapeya</v>
          </cell>
          <cell r="AG869" t="str">
            <v>AGM</v>
          </cell>
          <cell r="AH869" t="str">
            <v>Eco-High</v>
          </cell>
          <cell r="AI869" t="str">
            <v>West</v>
          </cell>
          <cell r="AJ869" t="str">
            <v>With LTS</v>
          </cell>
          <cell r="AK869" t="str">
            <v>Unaffected lots</v>
          </cell>
          <cell r="AL869" t="str">
            <v>Unaffected lots</v>
          </cell>
          <cell r="AM869" t="b">
            <v>1</v>
          </cell>
          <cell r="AN869" t="str">
            <v>YES</v>
          </cell>
          <cell r="AO869" t="str">
            <v>B2 2025</v>
          </cell>
          <cell r="AP869">
            <v>70</v>
          </cell>
          <cell r="AQ869" t="str">
            <v>PCS-04-034298</v>
          </cell>
          <cell r="AR869" t="b">
            <v>1</v>
          </cell>
          <cell r="AS869" t="str">
            <v>Done</v>
          </cell>
          <cell r="AT869" t="str">
            <v>2025 - Batch 1</v>
          </cell>
          <cell r="AU869">
            <v>47</v>
          </cell>
          <cell r="AV869">
            <v>5</v>
          </cell>
          <cell r="AW869" t="str">
            <v>H+L</v>
          </cell>
          <cell r="AX869">
            <v>70</v>
          </cell>
          <cell r="AY869">
            <v>50</v>
          </cell>
          <cell r="AZ869" t="str">
            <v>Duplex</v>
          </cell>
          <cell r="BA869">
            <v>1</v>
          </cell>
          <cell r="BB869" t="str">
            <v>568 - Without Partition</v>
          </cell>
          <cell r="BC869" t="str">
            <v xml:space="preserve">Without Partition </v>
          </cell>
          <cell r="BD869" t="str">
            <v>Slant</v>
          </cell>
          <cell r="BE869" t="str">
            <v xml:space="preserve">Without Partition </v>
          </cell>
          <cell r="BF869" t="str">
            <v>PURPLE</v>
          </cell>
          <cell r="BG869">
            <v>2500000</v>
          </cell>
          <cell r="BH869">
            <v>2650000</v>
          </cell>
          <cell r="BI869">
            <v>100000</v>
          </cell>
          <cell r="BJ869">
            <v>2550000</v>
          </cell>
          <cell r="BK869">
            <v>0</v>
          </cell>
          <cell r="BL869">
            <v>2550000</v>
          </cell>
        </row>
        <row r="870">
          <cell r="D870" t="str">
            <v>OS</v>
          </cell>
          <cell r="E870"/>
          <cell r="F870">
            <v>850</v>
          </cell>
          <cell r="G870" t="str">
            <v>SOLD</v>
          </cell>
          <cell r="H870" t="str">
            <v>OS</v>
          </cell>
          <cell r="I870" t="str">
            <v>OS</v>
          </cell>
          <cell r="J870" t="str">
            <v>OS</v>
          </cell>
          <cell r="K870" t="str">
            <v>OS</v>
          </cell>
          <cell r="L870" t="str">
            <v>OS</v>
          </cell>
          <cell r="M870" t="str">
            <v>OS</v>
          </cell>
          <cell r="N870" t="str">
            <v>OS</v>
          </cell>
          <cell r="O870" t="str">
            <v>OS</v>
          </cell>
          <cell r="P870" t="str">
            <v>OS</v>
          </cell>
          <cell r="Q870" t="str">
            <v>OS</v>
          </cell>
          <cell r="R870" t="str">
            <v>OS</v>
          </cell>
          <cell r="S870" t="str">
            <v>OS</v>
          </cell>
          <cell r="T870" t="str">
            <v>OS</v>
          </cell>
          <cell r="U870" t="str">
            <v>OS</v>
          </cell>
          <cell r="V870" t="str">
            <v>OS</v>
          </cell>
          <cell r="W870" t="str">
            <v>OS</v>
          </cell>
          <cell r="X870" t="str">
            <v>OS</v>
          </cell>
          <cell r="Y870" t="str">
            <v>OS</v>
          </cell>
          <cell r="Z870" t="str">
            <v>OS</v>
          </cell>
          <cell r="AA870" t="str">
            <v>OS</v>
          </cell>
          <cell r="AB870" t="str">
            <v>OS</v>
          </cell>
          <cell r="AC870" t="str">
            <v>OS</v>
          </cell>
          <cell r="AD870" t="str">
            <v>AGM-01-047-006</v>
          </cell>
          <cell r="AE870" t="str">
            <v xml:space="preserve">Raemulan Lands, Inc. </v>
          </cell>
          <cell r="AF870" t="str">
            <v>Agapeya</v>
          </cell>
          <cell r="AG870" t="str">
            <v>AGM</v>
          </cell>
          <cell r="AH870" t="str">
            <v>Eco-High</v>
          </cell>
          <cell r="AI870" t="str">
            <v>West</v>
          </cell>
          <cell r="AJ870" t="str">
            <v>With LTS</v>
          </cell>
          <cell r="AK870" t="str">
            <v>Unaffected lots</v>
          </cell>
          <cell r="AL870" t="str">
            <v>Unaffected lots</v>
          </cell>
          <cell r="AM870" t="b">
            <v>1</v>
          </cell>
          <cell r="AN870" t="str">
            <v>YES</v>
          </cell>
          <cell r="AO870" t="str">
            <v>B2 2025</v>
          </cell>
          <cell r="AP870">
            <v>70</v>
          </cell>
          <cell r="AQ870" t="str">
            <v>PCS-04-034298</v>
          </cell>
          <cell r="AR870" t="b">
            <v>1</v>
          </cell>
          <cell r="AS870" t="str">
            <v>Done</v>
          </cell>
          <cell r="AT870" t="str">
            <v>2025 - Batch 1</v>
          </cell>
          <cell r="AU870">
            <v>47</v>
          </cell>
          <cell r="AV870">
            <v>6</v>
          </cell>
          <cell r="AW870" t="str">
            <v>H+L</v>
          </cell>
          <cell r="AX870">
            <v>70</v>
          </cell>
          <cell r="AY870">
            <v>50</v>
          </cell>
          <cell r="AZ870" t="str">
            <v>Duplex</v>
          </cell>
          <cell r="BA870">
            <v>1</v>
          </cell>
          <cell r="BB870" t="str">
            <v>568 - Without Partition</v>
          </cell>
          <cell r="BC870" t="str">
            <v xml:space="preserve">Without Partition </v>
          </cell>
          <cell r="BD870" t="str">
            <v>Flat</v>
          </cell>
          <cell r="BE870" t="str">
            <v xml:space="preserve">Without Partition </v>
          </cell>
          <cell r="BF870" t="str">
            <v>PURPLE</v>
          </cell>
          <cell r="BG870">
            <v>2500000</v>
          </cell>
          <cell r="BH870">
            <v>2650000</v>
          </cell>
          <cell r="BI870">
            <v>100000</v>
          </cell>
          <cell r="BJ870">
            <v>2550000</v>
          </cell>
          <cell r="BK870">
            <v>0</v>
          </cell>
          <cell r="BL870">
            <v>2550000</v>
          </cell>
        </row>
        <row r="871">
          <cell r="D871" t="str">
            <v>OS</v>
          </cell>
          <cell r="E871"/>
          <cell r="F871">
            <v>851</v>
          </cell>
          <cell r="G871" t="str">
            <v>SOLD</v>
          </cell>
          <cell r="H871" t="str">
            <v>OS</v>
          </cell>
          <cell r="I871" t="str">
            <v>OS</v>
          </cell>
          <cell r="J871" t="str">
            <v>OS</v>
          </cell>
          <cell r="K871" t="str">
            <v>OS</v>
          </cell>
          <cell r="L871" t="str">
            <v>OS</v>
          </cell>
          <cell r="M871" t="str">
            <v>OS</v>
          </cell>
          <cell r="N871" t="str">
            <v>OS</v>
          </cell>
          <cell r="O871" t="str">
            <v>OS</v>
          </cell>
          <cell r="P871" t="str">
            <v>OS</v>
          </cell>
          <cell r="Q871" t="str">
            <v>OS</v>
          </cell>
          <cell r="R871" t="str">
            <v>OS</v>
          </cell>
          <cell r="S871" t="str">
            <v>OS</v>
          </cell>
          <cell r="T871" t="str">
            <v>OS</v>
          </cell>
          <cell r="U871" t="str">
            <v>OS</v>
          </cell>
          <cell r="V871" t="str">
            <v>OS</v>
          </cell>
          <cell r="W871" t="str">
            <v>OS</v>
          </cell>
          <cell r="X871" t="str">
            <v>OS</v>
          </cell>
          <cell r="Y871" t="str">
            <v>OS</v>
          </cell>
          <cell r="Z871" t="str">
            <v>OS</v>
          </cell>
          <cell r="AA871" t="str">
            <v>OS</v>
          </cell>
          <cell r="AB871" t="str">
            <v>OS</v>
          </cell>
          <cell r="AC871" t="str">
            <v>OS</v>
          </cell>
          <cell r="AD871" t="str">
            <v>AGM-01-047-007</v>
          </cell>
          <cell r="AE871" t="str">
            <v xml:space="preserve">Raemulan Lands, Inc. </v>
          </cell>
          <cell r="AF871" t="str">
            <v>Agapeya</v>
          </cell>
          <cell r="AG871" t="str">
            <v>AGM</v>
          </cell>
          <cell r="AH871" t="str">
            <v>Eco-High</v>
          </cell>
          <cell r="AI871" t="str">
            <v>West</v>
          </cell>
          <cell r="AJ871" t="str">
            <v>With LTS</v>
          </cell>
          <cell r="AK871" t="str">
            <v>Unaffected lots</v>
          </cell>
          <cell r="AL871" t="str">
            <v>Unaffected lots</v>
          </cell>
          <cell r="AM871" t="b">
            <v>1</v>
          </cell>
          <cell r="AN871" t="str">
            <v>YES</v>
          </cell>
          <cell r="AO871" t="str">
            <v>B2 2025</v>
          </cell>
          <cell r="AP871">
            <v>70</v>
          </cell>
          <cell r="AQ871" t="str">
            <v>PCS-04-034298</v>
          </cell>
          <cell r="AR871" t="b">
            <v>1</v>
          </cell>
          <cell r="AS871" t="str">
            <v>Done</v>
          </cell>
          <cell r="AT871" t="str">
            <v>2025 - Batch 1</v>
          </cell>
          <cell r="AU871">
            <v>47</v>
          </cell>
          <cell r="AV871">
            <v>7</v>
          </cell>
          <cell r="AW871" t="str">
            <v>H+L</v>
          </cell>
          <cell r="AX871">
            <v>70</v>
          </cell>
          <cell r="AY871">
            <v>50</v>
          </cell>
          <cell r="AZ871" t="str">
            <v>Duplex</v>
          </cell>
          <cell r="BA871">
            <v>1</v>
          </cell>
          <cell r="BB871" t="str">
            <v>568 - Without Partition</v>
          </cell>
          <cell r="BC871" t="str">
            <v xml:space="preserve">Without Partition </v>
          </cell>
          <cell r="BD871" t="str">
            <v>Flat</v>
          </cell>
          <cell r="BE871" t="str">
            <v xml:space="preserve">Without Partition </v>
          </cell>
          <cell r="BF871" t="str">
            <v>YELLOW</v>
          </cell>
          <cell r="BG871">
            <v>2500000</v>
          </cell>
          <cell r="BH871">
            <v>2650000</v>
          </cell>
          <cell r="BI871">
            <v>100000</v>
          </cell>
          <cell r="BJ871">
            <v>2550000</v>
          </cell>
          <cell r="BK871">
            <v>0</v>
          </cell>
          <cell r="BL871">
            <v>2550000</v>
          </cell>
        </row>
        <row r="872">
          <cell r="D872" t="str">
            <v>OS</v>
          </cell>
          <cell r="E872"/>
          <cell r="F872">
            <v>852</v>
          </cell>
          <cell r="G872" t="str">
            <v>SOLD</v>
          </cell>
          <cell r="H872" t="str">
            <v>OS</v>
          </cell>
          <cell r="I872" t="str">
            <v>OS</v>
          </cell>
          <cell r="J872" t="str">
            <v>OS</v>
          </cell>
          <cell r="K872" t="str">
            <v>OS</v>
          </cell>
          <cell r="L872" t="str">
            <v>OS</v>
          </cell>
          <cell r="M872" t="str">
            <v>OS</v>
          </cell>
          <cell r="N872" t="str">
            <v>OS</v>
          </cell>
          <cell r="O872" t="str">
            <v>OS</v>
          </cell>
          <cell r="P872" t="str">
            <v>OS</v>
          </cell>
          <cell r="Q872" t="str">
            <v>OS</v>
          </cell>
          <cell r="R872" t="str">
            <v>OS</v>
          </cell>
          <cell r="S872" t="str">
            <v>OS</v>
          </cell>
          <cell r="T872" t="str">
            <v>OS</v>
          </cell>
          <cell r="U872" t="str">
            <v>OS</v>
          </cell>
          <cell r="V872" t="str">
            <v>OS</v>
          </cell>
          <cell r="W872" t="str">
            <v>OS</v>
          </cell>
          <cell r="X872" t="str">
            <v>OS</v>
          </cell>
          <cell r="Y872" t="str">
            <v>OS</v>
          </cell>
          <cell r="Z872" t="str">
            <v>OS</v>
          </cell>
          <cell r="AA872" t="str">
            <v>OS</v>
          </cell>
          <cell r="AB872" t="str">
            <v>OS</v>
          </cell>
          <cell r="AC872" t="str">
            <v>OS</v>
          </cell>
          <cell r="AD872" t="str">
            <v>AGM-01-047-008</v>
          </cell>
          <cell r="AE872" t="str">
            <v xml:space="preserve">Raemulan Lands, Inc. </v>
          </cell>
          <cell r="AF872" t="str">
            <v>Agapeya</v>
          </cell>
          <cell r="AG872" t="str">
            <v>AGM</v>
          </cell>
          <cell r="AH872" t="str">
            <v>Eco-High</v>
          </cell>
          <cell r="AI872" t="str">
            <v>West</v>
          </cell>
          <cell r="AJ872" t="str">
            <v>With LTS</v>
          </cell>
          <cell r="AK872" t="str">
            <v>Unaffected lots</v>
          </cell>
          <cell r="AL872" t="str">
            <v>Unaffected lots</v>
          </cell>
          <cell r="AM872" t="b">
            <v>1</v>
          </cell>
          <cell r="AN872" t="str">
            <v>YES</v>
          </cell>
          <cell r="AO872" t="str">
            <v>B2 2025</v>
          </cell>
          <cell r="AP872">
            <v>70</v>
          </cell>
          <cell r="AQ872" t="str">
            <v>PCS-04-034298</v>
          </cell>
          <cell r="AR872" t="b">
            <v>1</v>
          </cell>
          <cell r="AS872" t="str">
            <v>Done</v>
          </cell>
          <cell r="AT872" t="str">
            <v>2025 - Batch 1</v>
          </cell>
          <cell r="AU872">
            <v>47</v>
          </cell>
          <cell r="AV872">
            <v>8</v>
          </cell>
          <cell r="AW872" t="str">
            <v>H+L</v>
          </cell>
          <cell r="AX872">
            <v>70</v>
          </cell>
          <cell r="AY872">
            <v>50</v>
          </cell>
          <cell r="AZ872" t="str">
            <v>Duplex</v>
          </cell>
          <cell r="BA872">
            <v>1</v>
          </cell>
          <cell r="BB872" t="str">
            <v>568 - Without Partition</v>
          </cell>
          <cell r="BC872" t="str">
            <v xml:space="preserve">Without Partition </v>
          </cell>
          <cell r="BD872" t="str">
            <v>Slant</v>
          </cell>
          <cell r="BE872" t="str">
            <v xml:space="preserve">Without Partition </v>
          </cell>
          <cell r="BF872" t="str">
            <v>YELLOW</v>
          </cell>
          <cell r="BG872">
            <v>2500000</v>
          </cell>
          <cell r="BH872">
            <v>2650000</v>
          </cell>
          <cell r="BI872">
            <v>100000</v>
          </cell>
          <cell r="BJ872">
            <v>2550000</v>
          </cell>
          <cell r="BK872">
            <v>0</v>
          </cell>
          <cell r="BL872">
            <v>2550000</v>
          </cell>
        </row>
        <row r="873">
          <cell r="D873" t="str">
            <v>OS</v>
          </cell>
          <cell r="E873"/>
          <cell r="F873">
            <v>853</v>
          </cell>
          <cell r="G873" t="str">
            <v>SOLD</v>
          </cell>
          <cell r="H873" t="str">
            <v>OS</v>
          </cell>
          <cell r="I873" t="str">
            <v>OS</v>
          </cell>
          <cell r="J873" t="str">
            <v>OS</v>
          </cell>
          <cell r="K873" t="str">
            <v>OS</v>
          </cell>
          <cell r="L873" t="str">
            <v>OS</v>
          </cell>
          <cell r="M873" t="str">
            <v>OS</v>
          </cell>
          <cell r="N873" t="str">
            <v>OS</v>
          </cell>
          <cell r="O873" t="str">
            <v>OS</v>
          </cell>
          <cell r="P873" t="str">
            <v>OS</v>
          </cell>
          <cell r="Q873" t="str">
            <v>OS</v>
          </cell>
          <cell r="R873" t="str">
            <v>OS</v>
          </cell>
          <cell r="S873" t="str">
            <v>OS</v>
          </cell>
          <cell r="T873" t="str">
            <v>OS</v>
          </cell>
          <cell r="U873" t="str">
            <v>OS</v>
          </cell>
          <cell r="V873" t="str">
            <v>OS</v>
          </cell>
          <cell r="W873" t="str">
            <v>OS</v>
          </cell>
          <cell r="X873" t="str">
            <v>OS</v>
          </cell>
          <cell r="Y873" t="str">
            <v>OS</v>
          </cell>
          <cell r="Z873" t="str">
            <v>OS</v>
          </cell>
          <cell r="AA873" t="str">
            <v>OS</v>
          </cell>
          <cell r="AB873" t="str">
            <v>OS</v>
          </cell>
          <cell r="AC873" t="str">
            <v>OS</v>
          </cell>
          <cell r="AD873" t="str">
            <v>AGM-01-047-009</v>
          </cell>
          <cell r="AE873" t="str">
            <v xml:space="preserve">Raemulan Lands, Inc. </v>
          </cell>
          <cell r="AF873" t="str">
            <v>Agapeya</v>
          </cell>
          <cell r="AG873" t="str">
            <v>AGM</v>
          </cell>
          <cell r="AH873" t="str">
            <v>Eco-High</v>
          </cell>
          <cell r="AI873" t="str">
            <v>West</v>
          </cell>
          <cell r="AJ873" t="str">
            <v>With LTS</v>
          </cell>
          <cell r="AK873" t="str">
            <v>Unaffected lots</v>
          </cell>
          <cell r="AL873" t="str">
            <v>Unaffected lots</v>
          </cell>
          <cell r="AM873" t="b">
            <v>1</v>
          </cell>
          <cell r="AN873" t="str">
            <v>YES</v>
          </cell>
          <cell r="AO873" t="str">
            <v>2024 Batch</v>
          </cell>
          <cell r="AP873">
            <v>70</v>
          </cell>
          <cell r="AQ873" t="str">
            <v>PCS-04-034298</v>
          </cell>
          <cell r="AR873" t="b">
            <v>1</v>
          </cell>
          <cell r="AS873" t="str">
            <v>Done</v>
          </cell>
          <cell r="AT873" t="str">
            <v>2024 Batch</v>
          </cell>
          <cell r="AU873">
            <v>47</v>
          </cell>
          <cell r="AV873">
            <v>9</v>
          </cell>
          <cell r="AW873" t="str">
            <v>H+L</v>
          </cell>
          <cell r="AX873">
            <v>70</v>
          </cell>
          <cell r="AY873">
            <v>50</v>
          </cell>
          <cell r="AZ873" t="str">
            <v>Duplex</v>
          </cell>
          <cell r="BA873">
            <v>1</v>
          </cell>
          <cell r="BB873" t="str">
            <v>326 - With Partition</v>
          </cell>
          <cell r="BC873" t="str">
            <v>With Partition</v>
          </cell>
          <cell r="BD873" t="str">
            <v>Slant</v>
          </cell>
          <cell r="BE873" t="str">
            <v>With Partition</v>
          </cell>
          <cell r="BF873" t="str">
            <v>YELLOW</v>
          </cell>
          <cell r="BG873">
            <v>2707500</v>
          </cell>
          <cell r="BH873">
            <v>2850000</v>
          </cell>
          <cell r="BI873">
            <v>100000</v>
          </cell>
          <cell r="BJ873">
            <v>2750000</v>
          </cell>
          <cell r="BK873">
            <v>0</v>
          </cell>
          <cell r="BL873">
            <v>2750000</v>
          </cell>
        </row>
        <row r="874">
          <cell r="D874" t="str">
            <v>OS</v>
          </cell>
          <cell r="E874"/>
          <cell r="F874">
            <v>854</v>
          </cell>
          <cell r="G874" t="str">
            <v>SOLD</v>
          </cell>
          <cell r="H874" t="str">
            <v>OS</v>
          </cell>
          <cell r="I874" t="str">
            <v>OS</v>
          </cell>
          <cell r="J874" t="str">
            <v>OS</v>
          </cell>
          <cell r="K874" t="str">
            <v>OS</v>
          </cell>
          <cell r="L874" t="str">
            <v>OS</v>
          </cell>
          <cell r="M874" t="str">
            <v>OS</v>
          </cell>
          <cell r="N874" t="str">
            <v>OS</v>
          </cell>
          <cell r="O874" t="str">
            <v>OS</v>
          </cell>
          <cell r="P874" t="str">
            <v>OS</v>
          </cell>
          <cell r="Q874" t="str">
            <v>OS</v>
          </cell>
          <cell r="R874" t="str">
            <v>OS</v>
          </cell>
          <cell r="S874" t="str">
            <v>OS</v>
          </cell>
          <cell r="T874" t="str">
            <v>OS</v>
          </cell>
          <cell r="U874" t="str">
            <v>OS</v>
          </cell>
          <cell r="V874" t="str">
            <v>OS</v>
          </cell>
          <cell r="W874" t="str">
            <v>OS</v>
          </cell>
          <cell r="X874" t="str">
            <v>OS</v>
          </cell>
          <cell r="Y874" t="str">
            <v>OS</v>
          </cell>
          <cell r="Z874" t="str">
            <v>OS</v>
          </cell>
          <cell r="AA874" t="str">
            <v>OS</v>
          </cell>
          <cell r="AB874" t="str">
            <v>OS</v>
          </cell>
          <cell r="AC874" t="str">
            <v>OS</v>
          </cell>
          <cell r="AD874" t="str">
            <v>AGM-01-047-010</v>
          </cell>
          <cell r="AE874" t="str">
            <v xml:space="preserve">Raemulan Lands, Inc. </v>
          </cell>
          <cell r="AF874" t="str">
            <v>Agapeya</v>
          </cell>
          <cell r="AG874" t="str">
            <v>AGM</v>
          </cell>
          <cell r="AH874" t="str">
            <v>Eco-High</v>
          </cell>
          <cell r="AI874" t="str">
            <v>West</v>
          </cell>
          <cell r="AJ874" t="str">
            <v>With LTS</v>
          </cell>
          <cell r="AK874" t="str">
            <v>Unaffected lots</v>
          </cell>
          <cell r="AL874" t="str">
            <v>Unaffected lots</v>
          </cell>
          <cell r="AM874" t="b">
            <v>1</v>
          </cell>
          <cell r="AN874" t="str">
            <v>YES</v>
          </cell>
          <cell r="AO874" t="str">
            <v>2024 Batch</v>
          </cell>
          <cell r="AP874">
            <v>70</v>
          </cell>
          <cell r="AQ874" t="str">
            <v>PCS-04-034298</v>
          </cell>
          <cell r="AR874" t="b">
            <v>1</v>
          </cell>
          <cell r="AS874" t="str">
            <v>Done</v>
          </cell>
          <cell r="AT874" t="str">
            <v>2024 Batch</v>
          </cell>
          <cell r="AU874">
            <v>47</v>
          </cell>
          <cell r="AV874">
            <v>10</v>
          </cell>
          <cell r="AW874" t="str">
            <v>H+L</v>
          </cell>
          <cell r="AX874">
            <v>70</v>
          </cell>
          <cell r="AY874">
            <v>50</v>
          </cell>
          <cell r="AZ874" t="str">
            <v>Duplex</v>
          </cell>
          <cell r="BA874">
            <v>1</v>
          </cell>
          <cell r="BB874" t="str">
            <v>326 - With Partition</v>
          </cell>
          <cell r="BC874" t="str">
            <v xml:space="preserve">Without Partition </v>
          </cell>
          <cell r="BD874" t="str">
            <v>Flat</v>
          </cell>
          <cell r="BE874" t="str">
            <v xml:space="preserve">Without Partition </v>
          </cell>
          <cell r="BF874" t="str">
            <v>YELLOW</v>
          </cell>
          <cell r="BG874">
            <v>2450000</v>
          </cell>
          <cell r="BH874">
            <v>2650000</v>
          </cell>
          <cell r="BI874">
            <v>100000</v>
          </cell>
          <cell r="BJ874">
            <v>2550000</v>
          </cell>
          <cell r="BK874">
            <v>0</v>
          </cell>
          <cell r="BL874">
            <v>2550000</v>
          </cell>
        </row>
        <row r="875">
          <cell r="D875" t="str">
            <v>OS</v>
          </cell>
          <cell r="E875"/>
          <cell r="F875">
            <v>855</v>
          </cell>
          <cell r="G875" t="str">
            <v>SOLD</v>
          </cell>
          <cell r="H875" t="str">
            <v>OS</v>
          </cell>
          <cell r="I875" t="str">
            <v>OS</v>
          </cell>
          <cell r="J875" t="str">
            <v>OS</v>
          </cell>
          <cell r="K875" t="str">
            <v>OS</v>
          </cell>
          <cell r="L875" t="str">
            <v>OS</v>
          </cell>
          <cell r="M875" t="str">
            <v>OS</v>
          </cell>
          <cell r="N875" t="str">
            <v>OS</v>
          </cell>
          <cell r="O875" t="str">
            <v>OS</v>
          </cell>
          <cell r="P875" t="str">
            <v>OS</v>
          </cell>
          <cell r="Q875" t="str">
            <v>OS</v>
          </cell>
          <cell r="R875" t="str">
            <v>OS</v>
          </cell>
          <cell r="S875" t="str">
            <v>OS</v>
          </cell>
          <cell r="T875" t="str">
            <v>OS</v>
          </cell>
          <cell r="U875" t="str">
            <v>OS</v>
          </cell>
          <cell r="V875" t="str">
            <v>OS</v>
          </cell>
          <cell r="W875" t="str">
            <v>OS</v>
          </cell>
          <cell r="X875" t="str">
            <v>OS</v>
          </cell>
          <cell r="Y875" t="str">
            <v>OS</v>
          </cell>
          <cell r="Z875" t="str">
            <v>OS</v>
          </cell>
          <cell r="AA875" t="str">
            <v>OS</v>
          </cell>
          <cell r="AB875" t="str">
            <v>OS</v>
          </cell>
          <cell r="AC875" t="str">
            <v>OS</v>
          </cell>
          <cell r="AD875" t="str">
            <v>AGM-01-048-001</v>
          </cell>
          <cell r="AE875" t="str">
            <v xml:space="preserve">Raemulan Lands, Inc. </v>
          </cell>
          <cell r="AF875" t="str">
            <v>Agapeya</v>
          </cell>
          <cell r="AG875" t="str">
            <v>AGM</v>
          </cell>
          <cell r="AH875" t="str">
            <v>Eco-High</v>
          </cell>
          <cell r="AI875" t="str">
            <v>West</v>
          </cell>
          <cell r="AJ875" t="str">
            <v>Without LTS</v>
          </cell>
          <cell r="AK875" t="str">
            <v>for conso</v>
          </cell>
          <cell r="AL875" t="str">
            <v>Unaffected lots</v>
          </cell>
          <cell r="AM875" t="b">
            <v>1</v>
          </cell>
          <cell r="AN875" t="str">
            <v>NO</v>
          </cell>
          <cell r="AO875" t="str">
            <v>2024 Batch</v>
          </cell>
          <cell r="AP875" t="str">
            <v>28/72</v>
          </cell>
          <cell r="AQ875" t="str">
            <v>PCS-04-034298/PCS-04-034695</v>
          </cell>
          <cell r="AR875" t="b">
            <v>0</v>
          </cell>
          <cell r="AS875" t="str">
            <v>For Conso</v>
          </cell>
          <cell r="AT875" t="str">
            <v>2024 Batch</v>
          </cell>
          <cell r="AU875">
            <v>48</v>
          </cell>
          <cell r="AV875">
            <v>1</v>
          </cell>
          <cell r="AW875" t="str">
            <v>H+L</v>
          </cell>
          <cell r="AX875">
            <v>100</v>
          </cell>
          <cell r="AY875">
            <v>50</v>
          </cell>
          <cell r="AZ875" t="str">
            <v>Duplex</v>
          </cell>
          <cell r="BA875">
            <v>1</v>
          </cell>
          <cell r="BB875" t="str">
            <v>326 - With Partition</v>
          </cell>
          <cell r="BC875" t="str">
            <v>With Partition</v>
          </cell>
          <cell r="BD875" t="str">
            <v>Slant</v>
          </cell>
          <cell r="BE875" t="str">
            <v>With Partition</v>
          </cell>
          <cell r="BF875" t="str">
            <v>YELLOW</v>
          </cell>
          <cell r="BG875">
            <v>2992500</v>
          </cell>
          <cell r="BH875">
            <v>3300000</v>
          </cell>
          <cell r="BI875">
            <v>100000</v>
          </cell>
          <cell r="BJ875">
            <v>3200000</v>
          </cell>
          <cell r="BK875">
            <v>0</v>
          </cell>
          <cell r="BL875">
            <v>3200000</v>
          </cell>
        </row>
        <row r="876">
          <cell r="D876" t="str">
            <v>OS</v>
          </cell>
          <cell r="E876"/>
          <cell r="F876">
            <v>856</v>
          </cell>
          <cell r="G876" t="str">
            <v>SOLD</v>
          </cell>
          <cell r="H876" t="str">
            <v>OS</v>
          </cell>
          <cell r="I876" t="str">
            <v>OS</v>
          </cell>
          <cell r="J876" t="str">
            <v>OS</v>
          </cell>
          <cell r="K876" t="str">
            <v>OS</v>
          </cell>
          <cell r="L876" t="str">
            <v>OS</v>
          </cell>
          <cell r="M876" t="str">
            <v>OS</v>
          </cell>
          <cell r="N876" t="str">
            <v>OS</v>
          </cell>
          <cell r="O876" t="str">
            <v>OS</v>
          </cell>
          <cell r="P876" t="str">
            <v>OS</v>
          </cell>
          <cell r="Q876" t="str">
            <v>OS</v>
          </cell>
          <cell r="R876" t="str">
            <v>OS</v>
          </cell>
          <cell r="S876" t="str">
            <v>OS</v>
          </cell>
          <cell r="T876" t="str">
            <v>OS</v>
          </cell>
          <cell r="U876" t="str">
            <v>OS</v>
          </cell>
          <cell r="V876" t="str">
            <v>OS</v>
          </cell>
          <cell r="W876" t="str">
            <v>OS</v>
          </cell>
          <cell r="X876" t="str">
            <v>OS</v>
          </cell>
          <cell r="Y876" t="str">
            <v>OS</v>
          </cell>
          <cell r="Z876" t="str">
            <v>OS</v>
          </cell>
          <cell r="AA876" t="str">
            <v>OS</v>
          </cell>
          <cell r="AB876" t="str">
            <v>OS</v>
          </cell>
          <cell r="AC876" t="str">
            <v>OS</v>
          </cell>
          <cell r="AD876" t="str">
            <v>AGM-01-048-002</v>
          </cell>
          <cell r="AE876" t="str">
            <v xml:space="preserve">Raemulan Lands, Inc. </v>
          </cell>
          <cell r="AF876" t="str">
            <v>Agapeya</v>
          </cell>
          <cell r="AG876" t="str">
            <v>AGM</v>
          </cell>
          <cell r="AH876" t="str">
            <v>Eco-High</v>
          </cell>
          <cell r="AI876" t="str">
            <v>West</v>
          </cell>
          <cell r="AJ876" t="str">
            <v>Without LTS</v>
          </cell>
          <cell r="AK876" t="str">
            <v>for conso</v>
          </cell>
          <cell r="AL876" t="str">
            <v>Unaffected lots</v>
          </cell>
          <cell r="AM876" t="b">
            <v>1</v>
          </cell>
          <cell r="AN876" t="str">
            <v>NO</v>
          </cell>
          <cell r="AO876" t="str">
            <v>2024 Batch</v>
          </cell>
          <cell r="AP876" t="str">
            <v>18/52</v>
          </cell>
          <cell r="AQ876" t="str">
            <v>PCS-04-034298/PSC-04-034695</v>
          </cell>
          <cell r="AR876" t="b">
            <v>0</v>
          </cell>
          <cell r="AS876" t="str">
            <v>For Conso</v>
          </cell>
          <cell r="AT876" t="str">
            <v>2024 Batch</v>
          </cell>
          <cell r="AU876">
            <v>48</v>
          </cell>
          <cell r="AV876">
            <v>2</v>
          </cell>
          <cell r="AW876" t="str">
            <v>H+L</v>
          </cell>
          <cell r="AX876">
            <v>70</v>
          </cell>
          <cell r="AY876">
            <v>50</v>
          </cell>
          <cell r="AZ876" t="str">
            <v>Duplex</v>
          </cell>
          <cell r="BA876">
            <v>1</v>
          </cell>
          <cell r="BB876" t="str">
            <v>326 - With Partition</v>
          </cell>
          <cell r="BC876" t="str">
            <v>With Partition</v>
          </cell>
          <cell r="BD876" t="str">
            <v>Flat</v>
          </cell>
          <cell r="BE876" t="str">
            <v>With Partition</v>
          </cell>
          <cell r="BF876" t="str">
            <v>YELLOW</v>
          </cell>
          <cell r="BG876">
            <v>2500000</v>
          </cell>
          <cell r="BH876">
            <v>2850000</v>
          </cell>
          <cell r="BI876">
            <v>100000</v>
          </cell>
          <cell r="BJ876">
            <v>2750000</v>
          </cell>
          <cell r="BK876">
            <v>0</v>
          </cell>
          <cell r="BL876">
            <v>2750000</v>
          </cell>
        </row>
        <row r="877">
          <cell r="D877" t="str">
            <v>OS</v>
          </cell>
          <cell r="E877"/>
          <cell r="F877">
            <v>857</v>
          </cell>
          <cell r="G877" t="str">
            <v>SOLD</v>
          </cell>
          <cell r="H877" t="str">
            <v>OS</v>
          </cell>
          <cell r="I877" t="str">
            <v>OS</v>
          </cell>
          <cell r="J877" t="str">
            <v>OS</v>
          </cell>
          <cell r="K877" t="str">
            <v>OS</v>
          </cell>
          <cell r="L877" t="str">
            <v>OS</v>
          </cell>
          <cell r="M877" t="str">
            <v>OS</v>
          </cell>
          <cell r="N877" t="str">
            <v>OS</v>
          </cell>
          <cell r="O877" t="str">
            <v>OS</v>
          </cell>
          <cell r="P877" t="str">
            <v>OS</v>
          </cell>
          <cell r="Q877" t="str">
            <v>OS</v>
          </cell>
          <cell r="R877" t="str">
            <v>OS</v>
          </cell>
          <cell r="S877" t="str">
            <v>OS</v>
          </cell>
          <cell r="T877" t="str">
            <v>OS</v>
          </cell>
          <cell r="U877" t="str">
            <v>OS</v>
          </cell>
          <cell r="V877" t="str">
            <v>OS</v>
          </cell>
          <cell r="W877" t="str">
            <v>OS</v>
          </cell>
          <cell r="X877" t="str">
            <v>OS</v>
          </cell>
          <cell r="Y877" t="str">
            <v>OS</v>
          </cell>
          <cell r="Z877" t="str">
            <v>OS</v>
          </cell>
          <cell r="AA877" t="str">
            <v>OS</v>
          </cell>
          <cell r="AB877" t="str">
            <v>OS</v>
          </cell>
          <cell r="AC877" t="str">
            <v>OS</v>
          </cell>
          <cell r="AD877" t="str">
            <v>AGM-01-048-003</v>
          </cell>
          <cell r="AE877" t="str">
            <v xml:space="preserve">Raemulan Lands, Inc. </v>
          </cell>
          <cell r="AF877" t="str">
            <v>Agapeya</v>
          </cell>
          <cell r="AG877" t="str">
            <v>AGM</v>
          </cell>
          <cell r="AH877" t="str">
            <v>Eco-High</v>
          </cell>
          <cell r="AI877" t="str">
            <v>West</v>
          </cell>
          <cell r="AJ877" t="str">
            <v>Without LTS</v>
          </cell>
          <cell r="AK877" t="str">
            <v>for conso</v>
          </cell>
          <cell r="AL877" t="str">
            <v>Unaffected lots</v>
          </cell>
          <cell r="AM877" t="b">
            <v>1</v>
          </cell>
          <cell r="AN877" t="str">
            <v>NO</v>
          </cell>
          <cell r="AO877" t="str">
            <v>B2 2025</v>
          </cell>
          <cell r="AP877" t="str">
            <v>17/53</v>
          </cell>
          <cell r="AQ877" t="str">
            <v>PCS-04-034298/PSC-04-034695</v>
          </cell>
          <cell r="AR877" t="b">
            <v>0</v>
          </cell>
          <cell r="AS877" t="str">
            <v>For Conso</v>
          </cell>
          <cell r="AT877" t="str">
            <v>2025 - Batch 1</v>
          </cell>
          <cell r="AU877">
            <v>48</v>
          </cell>
          <cell r="AV877">
            <v>3</v>
          </cell>
          <cell r="AW877" t="str">
            <v>H+L</v>
          </cell>
          <cell r="AX877">
            <v>70</v>
          </cell>
          <cell r="AY877">
            <v>50</v>
          </cell>
          <cell r="AZ877" t="str">
            <v>Duplex</v>
          </cell>
          <cell r="BA877">
            <v>1</v>
          </cell>
          <cell r="BB877" t="str">
            <v>568 - Without Partition</v>
          </cell>
          <cell r="BC877" t="str">
            <v xml:space="preserve">Without Partition </v>
          </cell>
          <cell r="BD877" t="str">
            <v>Flat</v>
          </cell>
          <cell r="BE877" t="str">
            <v xml:space="preserve">Without Partition </v>
          </cell>
          <cell r="BF877" t="str">
            <v>YELLOW</v>
          </cell>
          <cell r="BG877">
            <v>2500000</v>
          </cell>
          <cell r="BH877">
            <v>2650000</v>
          </cell>
          <cell r="BI877">
            <v>100000</v>
          </cell>
          <cell r="BJ877">
            <v>2550000</v>
          </cell>
          <cell r="BK877">
            <v>0</v>
          </cell>
          <cell r="BL877">
            <v>2550000</v>
          </cell>
        </row>
        <row r="878">
          <cell r="D878" t="str">
            <v>OS</v>
          </cell>
          <cell r="E878"/>
          <cell r="F878">
            <v>858</v>
          </cell>
          <cell r="G878" t="str">
            <v>SOLD</v>
          </cell>
          <cell r="H878" t="str">
            <v>OS</v>
          </cell>
          <cell r="I878" t="str">
            <v>OS</v>
          </cell>
          <cell r="J878" t="str">
            <v>OS</v>
          </cell>
          <cell r="K878" t="str">
            <v>OS</v>
          </cell>
          <cell r="L878" t="str">
            <v>OS</v>
          </cell>
          <cell r="M878" t="str">
            <v>OS</v>
          </cell>
          <cell r="N878" t="str">
            <v>OS</v>
          </cell>
          <cell r="O878" t="str">
            <v>OS</v>
          </cell>
          <cell r="P878" t="str">
            <v>OS</v>
          </cell>
          <cell r="Q878" t="str">
            <v>OS</v>
          </cell>
          <cell r="R878" t="str">
            <v>OS</v>
          </cell>
          <cell r="S878" t="str">
            <v>OS</v>
          </cell>
          <cell r="T878" t="str">
            <v>OS</v>
          </cell>
          <cell r="U878" t="str">
            <v>OS</v>
          </cell>
          <cell r="V878" t="str">
            <v>OS</v>
          </cell>
          <cell r="W878" t="str">
            <v>OS</v>
          </cell>
          <cell r="X878" t="str">
            <v>OS</v>
          </cell>
          <cell r="Y878" t="str">
            <v>OS</v>
          </cell>
          <cell r="Z878" t="str">
            <v>OS</v>
          </cell>
          <cell r="AA878" t="str">
            <v>OS</v>
          </cell>
          <cell r="AB878" t="str">
            <v>OS</v>
          </cell>
          <cell r="AC878" t="str">
            <v>OS</v>
          </cell>
          <cell r="AD878" t="str">
            <v>AGM-01-048-004</v>
          </cell>
          <cell r="AE878" t="str">
            <v xml:space="preserve">Raemulan Lands, Inc. </v>
          </cell>
          <cell r="AF878" t="str">
            <v>Agapeya</v>
          </cell>
          <cell r="AG878" t="str">
            <v>AGM</v>
          </cell>
          <cell r="AH878" t="str">
            <v>Eco-High</v>
          </cell>
          <cell r="AI878" t="str">
            <v>West</v>
          </cell>
          <cell r="AJ878" t="str">
            <v>Without LTS</v>
          </cell>
          <cell r="AK878" t="str">
            <v>for conso</v>
          </cell>
          <cell r="AL878" t="str">
            <v>Unaffected lots</v>
          </cell>
          <cell r="AM878" t="b">
            <v>1</v>
          </cell>
          <cell r="AN878" t="str">
            <v>NO</v>
          </cell>
          <cell r="AO878" t="str">
            <v>B2 2025</v>
          </cell>
          <cell r="AP878" t="str">
            <v>15/55</v>
          </cell>
          <cell r="AQ878" t="str">
            <v>PCS-04-034298/PSC-04-034695</v>
          </cell>
          <cell r="AR878" t="b">
            <v>0</v>
          </cell>
          <cell r="AS878" t="str">
            <v>For Conso</v>
          </cell>
          <cell r="AT878" t="str">
            <v>2025 - Batch 1</v>
          </cell>
          <cell r="AU878">
            <v>48</v>
          </cell>
          <cell r="AV878">
            <v>4</v>
          </cell>
          <cell r="AW878" t="str">
            <v>H+L</v>
          </cell>
          <cell r="AX878">
            <v>70</v>
          </cell>
          <cell r="AY878">
            <v>50</v>
          </cell>
          <cell r="AZ878" t="str">
            <v>Duplex</v>
          </cell>
          <cell r="BA878">
            <v>1</v>
          </cell>
          <cell r="BB878" t="str">
            <v>568 - Without Partition</v>
          </cell>
          <cell r="BC878" t="str">
            <v xml:space="preserve">Without Partition </v>
          </cell>
          <cell r="BD878" t="str">
            <v>Slant</v>
          </cell>
          <cell r="BE878" t="str">
            <v xml:space="preserve">Without Partition </v>
          </cell>
          <cell r="BF878" t="str">
            <v>YELLOW</v>
          </cell>
          <cell r="BG878">
            <v>2500000</v>
          </cell>
          <cell r="BH878">
            <v>2650000</v>
          </cell>
          <cell r="BI878">
            <v>100000</v>
          </cell>
          <cell r="BJ878">
            <v>2550000</v>
          </cell>
          <cell r="BK878">
            <v>0</v>
          </cell>
          <cell r="BL878">
            <v>2550000</v>
          </cell>
        </row>
        <row r="879">
          <cell r="D879" t="str">
            <v>OS</v>
          </cell>
          <cell r="E879"/>
          <cell r="F879">
            <v>859</v>
          </cell>
          <cell r="G879" t="str">
            <v>SOLD</v>
          </cell>
          <cell r="H879" t="str">
            <v>OS</v>
          </cell>
          <cell r="I879" t="str">
            <v>OS</v>
          </cell>
          <cell r="J879" t="str">
            <v>OS</v>
          </cell>
          <cell r="K879" t="str">
            <v>OS</v>
          </cell>
          <cell r="L879" t="str">
            <v>OS</v>
          </cell>
          <cell r="M879" t="str">
            <v>OS</v>
          </cell>
          <cell r="N879" t="str">
            <v>OS</v>
          </cell>
          <cell r="O879" t="str">
            <v>OS</v>
          </cell>
          <cell r="P879" t="str">
            <v>OS</v>
          </cell>
          <cell r="Q879" t="str">
            <v>OS</v>
          </cell>
          <cell r="R879" t="str">
            <v>OS</v>
          </cell>
          <cell r="S879" t="str">
            <v>OS</v>
          </cell>
          <cell r="T879" t="str">
            <v>OS</v>
          </cell>
          <cell r="U879" t="str">
            <v>OS</v>
          </cell>
          <cell r="V879" t="str">
            <v>OS</v>
          </cell>
          <cell r="W879" t="str">
            <v>OS</v>
          </cell>
          <cell r="X879" t="str">
            <v>OS</v>
          </cell>
          <cell r="Y879" t="str">
            <v>OS</v>
          </cell>
          <cell r="Z879" t="str">
            <v>OS</v>
          </cell>
          <cell r="AA879" t="str">
            <v>OS</v>
          </cell>
          <cell r="AB879" t="str">
            <v>OS</v>
          </cell>
          <cell r="AC879" t="str">
            <v>OS</v>
          </cell>
          <cell r="AD879" t="str">
            <v>AGM-01-048-005</v>
          </cell>
          <cell r="AE879" t="str">
            <v xml:space="preserve">Raemulan Lands, Inc. </v>
          </cell>
          <cell r="AF879" t="str">
            <v>Agapeya</v>
          </cell>
          <cell r="AG879" t="str">
            <v>AGM</v>
          </cell>
          <cell r="AH879" t="str">
            <v>Eco-High</v>
          </cell>
          <cell r="AI879" t="str">
            <v>West</v>
          </cell>
          <cell r="AJ879" t="str">
            <v>Without LTS</v>
          </cell>
          <cell r="AK879" t="str">
            <v>for conso</v>
          </cell>
          <cell r="AL879" t="str">
            <v>Unaffected lots</v>
          </cell>
          <cell r="AM879" t="b">
            <v>1</v>
          </cell>
          <cell r="AN879" t="str">
            <v>NO</v>
          </cell>
          <cell r="AO879" t="str">
            <v>B2 2025</v>
          </cell>
          <cell r="AP879" t="str">
            <v>14/56</v>
          </cell>
          <cell r="AQ879" t="str">
            <v>PCS-04-034298/PSC-04-034695</v>
          </cell>
          <cell r="AR879" t="b">
            <v>0</v>
          </cell>
          <cell r="AS879" t="str">
            <v>For Conso</v>
          </cell>
          <cell r="AT879" t="str">
            <v>2025 - Batch 1</v>
          </cell>
          <cell r="AU879">
            <v>48</v>
          </cell>
          <cell r="AV879">
            <v>5</v>
          </cell>
          <cell r="AW879" t="str">
            <v>H+L</v>
          </cell>
          <cell r="AX879">
            <v>70</v>
          </cell>
          <cell r="AY879">
            <v>50</v>
          </cell>
          <cell r="AZ879" t="str">
            <v>Duplex</v>
          </cell>
          <cell r="BA879">
            <v>1</v>
          </cell>
          <cell r="BB879" t="str">
            <v>568 - Without Partition</v>
          </cell>
          <cell r="BC879" t="str">
            <v xml:space="preserve">Without Partition </v>
          </cell>
          <cell r="BD879" t="str">
            <v>Slant</v>
          </cell>
          <cell r="BE879" t="str">
            <v xml:space="preserve">Without Partition </v>
          </cell>
          <cell r="BF879" t="str">
            <v>PURPLE</v>
          </cell>
          <cell r="BG879">
            <v>2500000</v>
          </cell>
          <cell r="BH879">
            <v>2650000</v>
          </cell>
          <cell r="BI879">
            <v>100000</v>
          </cell>
          <cell r="BJ879">
            <v>2550000</v>
          </cell>
          <cell r="BK879">
            <v>0</v>
          </cell>
          <cell r="BL879">
            <v>2550000</v>
          </cell>
        </row>
        <row r="880">
          <cell r="D880" t="str">
            <v>OS</v>
          </cell>
          <cell r="E880"/>
          <cell r="F880">
            <v>860</v>
          </cell>
          <cell r="G880" t="str">
            <v>UNSOLD</v>
          </cell>
          <cell r="H880" t="str">
            <v>OS</v>
          </cell>
          <cell r="I880" t="str">
            <v>OS</v>
          </cell>
          <cell r="J880" t="str">
            <v>OS</v>
          </cell>
          <cell r="K880" t="str">
            <v>OS</v>
          </cell>
          <cell r="L880" t="str">
            <v>OS</v>
          </cell>
          <cell r="M880" t="str">
            <v>OS</v>
          </cell>
          <cell r="N880" t="str">
            <v>OS</v>
          </cell>
          <cell r="O880" t="str">
            <v>OS</v>
          </cell>
          <cell r="P880" t="str">
            <v>OS</v>
          </cell>
          <cell r="Q880" t="str">
            <v>OS</v>
          </cell>
          <cell r="R880" t="str">
            <v>OS</v>
          </cell>
          <cell r="S880" t="str">
            <v>OS</v>
          </cell>
          <cell r="T880" t="str">
            <v>OS</v>
          </cell>
          <cell r="U880" t="str">
            <v>OS</v>
          </cell>
          <cell r="V880" t="str">
            <v>OS</v>
          </cell>
          <cell r="W880" t="str">
            <v>OS</v>
          </cell>
          <cell r="X880" t="str">
            <v>OS</v>
          </cell>
          <cell r="Y880" t="str">
            <v>OS</v>
          </cell>
          <cell r="Z880" t="str">
            <v>OS</v>
          </cell>
          <cell r="AA880" t="str">
            <v>OS</v>
          </cell>
          <cell r="AB880" t="str">
            <v>OS</v>
          </cell>
          <cell r="AC880" t="str">
            <v>OS</v>
          </cell>
          <cell r="AD880" t="str">
            <v>AGM-01-048-006</v>
          </cell>
          <cell r="AE880" t="str">
            <v xml:space="preserve">Raemulan Lands, Inc. </v>
          </cell>
          <cell r="AF880" t="str">
            <v>Agapeya</v>
          </cell>
          <cell r="AG880" t="str">
            <v>AGM</v>
          </cell>
          <cell r="AH880" t="str">
            <v>Eco-High</v>
          </cell>
          <cell r="AI880" t="str">
            <v>West</v>
          </cell>
          <cell r="AJ880" t="str">
            <v>Without LTS</v>
          </cell>
          <cell r="AK880" t="str">
            <v>for conso</v>
          </cell>
          <cell r="AL880" t="str">
            <v>Unaffected lots</v>
          </cell>
          <cell r="AM880" t="b">
            <v>1</v>
          </cell>
          <cell r="AN880" t="str">
            <v>NO</v>
          </cell>
          <cell r="AO880" t="str">
            <v>B2 2025</v>
          </cell>
          <cell r="AP880" t="str">
            <v>13/57</v>
          </cell>
          <cell r="AQ880" t="str">
            <v>PCS-04-034298/PSC-04-034695</v>
          </cell>
          <cell r="AR880" t="b">
            <v>0</v>
          </cell>
          <cell r="AS880" t="str">
            <v>For Conso</v>
          </cell>
          <cell r="AT880" t="str">
            <v>2025 - Batch 1</v>
          </cell>
          <cell r="AU880">
            <v>48</v>
          </cell>
          <cell r="AV880">
            <v>6</v>
          </cell>
          <cell r="AW880" t="str">
            <v>H+L</v>
          </cell>
          <cell r="AX880">
            <v>70</v>
          </cell>
          <cell r="AY880">
            <v>50</v>
          </cell>
          <cell r="AZ880" t="str">
            <v>Duplex</v>
          </cell>
          <cell r="BA880">
            <v>1</v>
          </cell>
          <cell r="BB880" t="str">
            <v>568 - Without Partition</v>
          </cell>
          <cell r="BC880" t="str">
            <v xml:space="preserve">Without Partition </v>
          </cell>
          <cell r="BD880" t="str">
            <v>Flat</v>
          </cell>
          <cell r="BE880" t="str">
            <v xml:space="preserve">Without Partition </v>
          </cell>
          <cell r="BF880" t="str">
            <v>PURPLE</v>
          </cell>
          <cell r="BG880">
            <v>2500000</v>
          </cell>
          <cell r="BH880">
            <v>2650000</v>
          </cell>
          <cell r="BI880">
            <v>100000</v>
          </cell>
          <cell r="BJ880">
            <v>2550000</v>
          </cell>
          <cell r="BK880">
            <v>0</v>
          </cell>
          <cell r="BL880">
            <v>2550000</v>
          </cell>
        </row>
        <row r="881">
          <cell r="D881" t="str">
            <v>OS</v>
          </cell>
          <cell r="E881"/>
          <cell r="F881">
            <v>861</v>
          </cell>
          <cell r="G881" t="str">
            <v>SOLD</v>
          </cell>
          <cell r="H881" t="str">
            <v>OS</v>
          </cell>
          <cell r="I881" t="str">
            <v>OS</v>
          </cell>
          <cell r="J881" t="str">
            <v>OS</v>
          </cell>
          <cell r="K881" t="str">
            <v>OS</v>
          </cell>
          <cell r="L881" t="str">
            <v>OS</v>
          </cell>
          <cell r="M881" t="str">
            <v>OS</v>
          </cell>
          <cell r="N881" t="str">
            <v>OS</v>
          </cell>
          <cell r="O881" t="str">
            <v>OS</v>
          </cell>
          <cell r="P881" t="str">
            <v>OS</v>
          </cell>
          <cell r="Q881" t="str">
            <v>OS</v>
          </cell>
          <cell r="R881" t="str">
            <v>OS</v>
          </cell>
          <cell r="S881" t="str">
            <v>OS</v>
          </cell>
          <cell r="T881" t="str">
            <v>OS</v>
          </cell>
          <cell r="U881" t="str">
            <v>OS</v>
          </cell>
          <cell r="V881" t="str">
            <v>OS</v>
          </cell>
          <cell r="W881" t="str">
            <v>OS</v>
          </cell>
          <cell r="X881" t="str">
            <v>OS</v>
          </cell>
          <cell r="Y881" t="str">
            <v>OS</v>
          </cell>
          <cell r="Z881" t="str">
            <v>OS</v>
          </cell>
          <cell r="AA881" t="str">
            <v>OS</v>
          </cell>
          <cell r="AB881" t="str">
            <v>OS</v>
          </cell>
          <cell r="AC881" t="str">
            <v>OS</v>
          </cell>
          <cell r="AD881" t="str">
            <v>AGM-01-048-007</v>
          </cell>
          <cell r="AE881" t="str">
            <v xml:space="preserve">Raemulan Lands, Inc. </v>
          </cell>
          <cell r="AF881" t="str">
            <v>Agapeya</v>
          </cell>
          <cell r="AG881" t="str">
            <v>AGM</v>
          </cell>
          <cell r="AH881" t="str">
            <v>Eco-High</v>
          </cell>
          <cell r="AI881" t="str">
            <v>West</v>
          </cell>
          <cell r="AJ881" t="str">
            <v>Without LTS</v>
          </cell>
          <cell r="AK881" t="str">
            <v>for conso</v>
          </cell>
          <cell r="AL881" t="str">
            <v>Unaffected lots</v>
          </cell>
          <cell r="AM881" t="b">
            <v>1</v>
          </cell>
          <cell r="AN881" t="str">
            <v>NO</v>
          </cell>
          <cell r="AO881" t="str">
            <v>2024 Batch</v>
          </cell>
          <cell r="AP881" t="str">
            <v>12/58</v>
          </cell>
          <cell r="AQ881" t="str">
            <v>PCS-04-034298/PSC-04-034695</v>
          </cell>
          <cell r="AR881" t="b">
            <v>0</v>
          </cell>
          <cell r="AS881" t="str">
            <v>For Conso</v>
          </cell>
          <cell r="AT881" t="str">
            <v>2024 Batch</v>
          </cell>
          <cell r="AU881">
            <v>48</v>
          </cell>
          <cell r="AV881">
            <v>7</v>
          </cell>
          <cell r="AW881" t="str">
            <v>H+L</v>
          </cell>
          <cell r="AX881">
            <v>70</v>
          </cell>
          <cell r="AY881">
            <v>50</v>
          </cell>
          <cell r="AZ881" t="str">
            <v>Duplex</v>
          </cell>
          <cell r="BA881">
            <v>1</v>
          </cell>
          <cell r="BB881" t="str">
            <v>326 - With Partition</v>
          </cell>
          <cell r="BC881" t="str">
            <v xml:space="preserve">Without Partition </v>
          </cell>
          <cell r="BD881" t="str">
            <v>Flat</v>
          </cell>
          <cell r="BE881" t="str">
            <v xml:space="preserve">With Partition </v>
          </cell>
          <cell r="BF881" t="str">
            <v>PURPLE</v>
          </cell>
          <cell r="BG881">
            <v>2600000</v>
          </cell>
          <cell r="BH881">
            <v>2650000</v>
          </cell>
          <cell r="BI881">
            <v>100000</v>
          </cell>
          <cell r="BJ881">
            <v>2550000</v>
          </cell>
          <cell r="BK881">
            <v>0</v>
          </cell>
          <cell r="BL881">
            <v>2550000</v>
          </cell>
        </row>
        <row r="882">
          <cell r="D882" t="str">
            <v>OS</v>
          </cell>
          <cell r="E882"/>
          <cell r="F882">
            <v>862</v>
          </cell>
          <cell r="G882" t="str">
            <v>SOLD</v>
          </cell>
          <cell r="H882" t="str">
            <v>OS</v>
          </cell>
          <cell r="I882" t="str">
            <v>OS</v>
          </cell>
          <cell r="J882" t="str">
            <v>OS</v>
          </cell>
          <cell r="K882" t="str">
            <v>OS</v>
          </cell>
          <cell r="L882" t="str">
            <v>OS</v>
          </cell>
          <cell r="M882" t="str">
            <v>OS</v>
          </cell>
          <cell r="N882" t="str">
            <v>OS</v>
          </cell>
          <cell r="O882" t="str">
            <v>OS</v>
          </cell>
          <cell r="P882" t="str">
            <v>OS</v>
          </cell>
          <cell r="Q882" t="str">
            <v>OS</v>
          </cell>
          <cell r="R882" t="str">
            <v>OS</v>
          </cell>
          <cell r="S882" t="str">
            <v>OS</v>
          </cell>
          <cell r="T882" t="str">
            <v>OS</v>
          </cell>
          <cell r="U882" t="str">
            <v>TS</v>
          </cell>
          <cell r="V882" t="str">
            <v>OS</v>
          </cell>
          <cell r="W882" t="str">
            <v>TS</v>
          </cell>
          <cell r="X882" t="str">
            <v>OS</v>
          </cell>
          <cell r="Y882" t="str">
            <v>OS</v>
          </cell>
          <cell r="Z882" t="str">
            <v>OS</v>
          </cell>
          <cell r="AA882" t="str">
            <v>OS</v>
          </cell>
          <cell r="AB882" t="str">
            <v>OS</v>
          </cell>
          <cell r="AC882" t="str">
            <v>OS</v>
          </cell>
          <cell r="AD882" t="str">
            <v>AGM-01-048-008</v>
          </cell>
          <cell r="AE882" t="str">
            <v xml:space="preserve">Raemulan Lands, Inc. </v>
          </cell>
          <cell r="AF882" t="str">
            <v>Agapeya</v>
          </cell>
          <cell r="AG882" t="str">
            <v>AGM</v>
          </cell>
          <cell r="AH882" t="str">
            <v>Eco-High</v>
          </cell>
          <cell r="AI882" t="str">
            <v>West</v>
          </cell>
          <cell r="AJ882" t="str">
            <v>Without LTS</v>
          </cell>
          <cell r="AK882" t="str">
            <v>for conso</v>
          </cell>
          <cell r="AL882" t="str">
            <v>Unaffected lots</v>
          </cell>
          <cell r="AM882" t="b">
            <v>1</v>
          </cell>
          <cell r="AN882" t="str">
            <v>NO</v>
          </cell>
          <cell r="AO882" t="str">
            <v>2024 Batch</v>
          </cell>
          <cell r="AP882" t="str">
            <v>12/68</v>
          </cell>
          <cell r="AQ882" t="str">
            <v>PCS-04-034298/PSC-04-034695</v>
          </cell>
          <cell r="AR882" t="b">
            <v>0</v>
          </cell>
          <cell r="AS882" t="str">
            <v>For Conso</v>
          </cell>
          <cell r="AT882" t="str">
            <v>2024 Batch</v>
          </cell>
          <cell r="AU882">
            <v>48</v>
          </cell>
          <cell r="AV882">
            <v>8</v>
          </cell>
          <cell r="AW882" t="str">
            <v>H+L</v>
          </cell>
          <cell r="AX882">
            <v>80</v>
          </cell>
          <cell r="AY882">
            <v>50</v>
          </cell>
          <cell r="AZ882" t="str">
            <v>Duplex</v>
          </cell>
          <cell r="BA882">
            <v>1</v>
          </cell>
          <cell r="BB882" t="str">
            <v>326 - With Partition</v>
          </cell>
          <cell r="BC882" t="str">
            <v xml:space="preserve">Without Partition </v>
          </cell>
          <cell r="BD882" t="str">
            <v>Slant</v>
          </cell>
          <cell r="BE882" t="str">
            <v xml:space="preserve">Without Partition </v>
          </cell>
          <cell r="BF882" t="str">
            <v>PURPLE</v>
          </cell>
          <cell r="BG882">
            <v>2750000</v>
          </cell>
          <cell r="BH882">
            <v>2800000</v>
          </cell>
          <cell r="BI882">
            <v>100000</v>
          </cell>
          <cell r="BJ882">
            <v>2700000</v>
          </cell>
          <cell r="BK882">
            <v>0</v>
          </cell>
          <cell r="BL882">
            <v>2700000</v>
          </cell>
        </row>
        <row r="883">
          <cell r="D883" t="str">
            <v>OS</v>
          </cell>
          <cell r="E883"/>
          <cell r="F883">
            <v>863</v>
          </cell>
          <cell r="G883" t="str">
            <v>FOR CANCELLATION</v>
          </cell>
          <cell r="H883" t="str">
            <v>FOR CANCELLATION</v>
          </cell>
          <cell r="I883" t="str">
            <v>FOR CANCELLATION</v>
          </cell>
          <cell r="J883" t="str">
            <v>FOR CANCELLATION</v>
          </cell>
          <cell r="K883" t="str">
            <v>FOR CANCELLATION</v>
          </cell>
          <cell r="L883" t="str">
            <v>FOR CANCELLATION</v>
          </cell>
          <cell r="M883" t="str">
            <v>FOR CANCELLATION</v>
          </cell>
          <cell r="N883" t="str">
            <v>FOR CANCELLATION</v>
          </cell>
          <cell r="O883" t="str">
            <v>WITH BRN</v>
          </cell>
          <cell r="P883" t="str">
            <v>FOR CANCELLATION</v>
          </cell>
          <cell r="Q883" t="str">
            <v>FOR CANCELLATION</v>
          </cell>
          <cell r="R883" t="str">
            <v>FOR CANCELLATION</v>
          </cell>
          <cell r="S883" t="str">
            <v>FOR CANCELLATION</v>
          </cell>
          <cell r="T883" t="str">
            <v>FOR CANCELLATION</v>
          </cell>
          <cell r="U883" t="str">
            <v>TS</v>
          </cell>
          <cell r="V883" t="str">
            <v>OS</v>
          </cell>
          <cell r="W883" t="str">
            <v>TS</v>
          </cell>
          <cell r="X883" t="str">
            <v>OS</v>
          </cell>
          <cell r="Y883" t="str">
            <v>OS</v>
          </cell>
          <cell r="Z883" t="str">
            <v>OS</v>
          </cell>
          <cell r="AA883" t="str">
            <v>OS</v>
          </cell>
          <cell r="AB883" t="str">
            <v>OS</v>
          </cell>
          <cell r="AC883" t="str">
            <v>OS</v>
          </cell>
          <cell r="AD883" t="str">
            <v>AGM-01-048-009</v>
          </cell>
          <cell r="AE883" t="str">
            <v xml:space="preserve">Raemulan Lands, Inc. </v>
          </cell>
          <cell r="AF883" t="str">
            <v>Agapeya</v>
          </cell>
          <cell r="AG883" t="str">
            <v>AGM</v>
          </cell>
          <cell r="AH883" t="str">
            <v>Eco-High</v>
          </cell>
          <cell r="AI883" t="str">
            <v>West</v>
          </cell>
          <cell r="AJ883" t="str">
            <v>Without LTS</v>
          </cell>
          <cell r="AK883" t="str">
            <v>Unaffected lots</v>
          </cell>
          <cell r="AL883" t="str">
            <v>Unaffected lots</v>
          </cell>
          <cell r="AM883" t="b">
            <v>0</v>
          </cell>
          <cell r="AN883" t="str">
            <v>NO</v>
          </cell>
          <cell r="AO883" t="str">
            <v>2024 Batch</v>
          </cell>
          <cell r="AP883">
            <v>80</v>
          </cell>
          <cell r="AQ883" t="str">
            <v>PCS-04-034695</v>
          </cell>
          <cell r="AR883" t="b">
            <v>1</v>
          </cell>
          <cell r="AS883" t="str">
            <v>Done</v>
          </cell>
          <cell r="AT883" t="str">
            <v>2024 Batch</v>
          </cell>
          <cell r="AU883">
            <v>48</v>
          </cell>
          <cell r="AV883">
            <v>9</v>
          </cell>
          <cell r="AW883" t="str">
            <v>H+L</v>
          </cell>
          <cell r="AX883">
            <v>80</v>
          </cell>
          <cell r="AY883">
            <v>50</v>
          </cell>
          <cell r="AZ883" t="str">
            <v>Duplex</v>
          </cell>
          <cell r="BA883">
            <v>1</v>
          </cell>
          <cell r="BB883" t="str">
            <v>326 - With Partition</v>
          </cell>
          <cell r="BC883" t="str">
            <v>With Partition</v>
          </cell>
          <cell r="BD883" t="str">
            <v>Flat</v>
          </cell>
          <cell r="BE883" t="str">
            <v>With Partition</v>
          </cell>
          <cell r="BF883" t="str">
            <v>PINK</v>
          </cell>
          <cell r="BG883">
            <v>2850000</v>
          </cell>
          <cell r="BH883">
            <v>3000000</v>
          </cell>
          <cell r="BI883">
            <v>100000</v>
          </cell>
          <cell r="BJ883">
            <v>2900000</v>
          </cell>
          <cell r="BK883">
            <v>0</v>
          </cell>
          <cell r="BL883">
            <v>2900000</v>
          </cell>
        </row>
        <row r="884">
          <cell r="D884" t="str">
            <v>TS</v>
          </cell>
          <cell r="E884"/>
          <cell r="F884">
            <v>864</v>
          </cell>
          <cell r="G884" t="str">
            <v>FOR CANCELLATION</v>
          </cell>
          <cell r="H884" t="str">
            <v>FOR CANCELLATION</v>
          </cell>
          <cell r="I884" t="str">
            <v>FOR CANCELLATION</v>
          </cell>
          <cell r="J884" t="str">
            <v>FOR CANCELLATION</v>
          </cell>
          <cell r="K884" t="str">
            <v>FOR CANCELLATION</v>
          </cell>
          <cell r="L884" t="str">
            <v>FOR CANCELLATION</v>
          </cell>
          <cell r="M884" t="str">
            <v>FOR CANCELLATION</v>
          </cell>
          <cell r="N884" t="str">
            <v>FOR CANCELLATION</v>
          </cell>
          <cell r="O884" t="str">
            <v>FOR CANCELLATION</v>
          </cell>
          <cell r="P884" t="str">
            <v>FOR CANCELLATION</v>
          </cell>
          <cell r="Q884" t="str">
            <v>FOR CANCELLATION</v>
          </cell>
          <cell r="R884" t="str">
            <v>FOR CANCELLATION</v>
          </cell>
          <cell r="S884" t="str">
            <v>FOR CANCELLATION</v>
          </cell>
          <cell r="T884" t="str">
            <v>FOR CANCELLATION</v>
          </cell>
          <cell r="U884" t="str">
            <v>FOR CANCELLATION</v>
          </cell>
          <cell r="V884" t="str">
            <v>TS</v>
          </cell>
          <cell r="W884" t="str">
            <v>TS</v>
          </cell>
          <cell r="X884" t="str">
            <v>TS</v>
          </cell>
          <cell r="Y884" t="str">
            <v>TS</v>
          </cell>
          <cell r="Z884" t="str">
            <v>TS</v>
          </cell>
          <cell r="AA884" t="str">
            <v>TS</v>
          </cell>
          <cell r="AB884" t="str">
            <v>TS</v>
          </cell>
          <cell r="AC884" t="str">
            <v>TS</v>
          </cell>
          <cell r="AD884" t="str">
            <v>AGM-01-048-010</v>
          </cell>
          <cell r="AE884" t="str">
            <v xml:space="preserve">Raemulan Lands, Inc. </v>
          </cell>
          <cell r="AF884" t="str">
            <v>Agapeya</v>
          </cell>
          <cell r="AG884" t="str">
            <v>AGM</v>
          </cell>
          <cell r="AH884" t="str">
            <v>Eco-High</v>
          </cell>
          <cell r="AI884" t="str">
            <v>West</v>
          </cell>
          <cell r="AJ884" t="str">
            <v>Without LTS</v>
          </cell>
          <cell r="AK884" t="str">
            <v>Unaffected lots</v>
          </cell>
          <cell r="AL884" t="str">
            <v>Unaffected lots</v>
          </cell>
          <cell r="AM884" t="b">
            <v>0</v>
          </cell>
          <cell r="AN884" t="str">
            <v>NO</v>
          </cell>
          <cell r="AO884" t="str">
            <v>2024 Batch</v>
          </cell>
          <cell r="AP884">
            <v>70</v>
          </cell>
          <cell r="AQ884" t="str">
            <v>PCS-04-034695</v>
          </cell>
          <cell r="AR884" t="b">
            <v>1</v>
          </cell>
          <cell r="AS884" t="str">
            <v>Done</v>
          </cell>
          <cell r="AT884" t="str">
            <v>2024 Batch</v>
          </cell>
          <cell r="AU884">
            <v>48</v>
          </cell>
          <cell r="AV884">
            <v>10</v>
          </cell>
          <cell r="AW884" t="str">
            <v>H+L</v>
          </cell>
          <cell r="AX884">
            <v>70</v>
          </cell>
          <cell r="AY884">
            <v>50</v>
          </cell>
          <cell r="AZ884" t="str">
            <v>Duplex</v>
          </cell>
          <cell r="BA884">
            <v>1</v>
          </cell>
          <cell r="BB884" t="str">
            <v>326 - With Partition</v>
          </cell>
          <cell r="BC884" t="str">
            <v>With Partition</v>
          </cell>
          <cell r="BD884" t="str">
            <v>Slant</v>
          </cell>
          <cell r="BE884" t="str">
            <v>With Partition</v>
          </cell>
          <cell r="BF884" t="str">
            <v>PINK</v>
          </cell>
          <cell r="BG884">
            <v>2500000</v>
          </cell>
          <cell r="BH884">
            <v>2850000</v>
          </cell>
          <cell r="BI884">
            <v>100000</v>
          </cell>
          <cell r="BJ884">
            <v>2750000</v>
          </cell>
          <cell r="BK884">
            <v>0</v>
          </cell>
          <cell r="BL884">
            <v>2750000</v>
          </cell>
        </row>
        <row r="885">
          <cell r="D885" t="str">
            <v>OS</v>
          </cell>
          <cell r="E885"/>
          <cell r="F885">
            <v>865</v>
          </cell>
          <cell r="G885" t="str">
            <v>SOLD</v>
          </cell>
          <cell r="H885" t="str">
            <v>OS</v>
          </cell>
          <cell r="I885" t="str">
            <v>OS</v>
          </cell>
          <cell r="J885" t="str">
            <v>OS</v>
          </cell>
          <cell r="K885" t="str">
            <v>OS</v>
          </cell>
          <cell r="L885" t="str">
            <v>OS</v>
          </cell>
          <cell r="M885" t="str">
            <v>OS</v>
          </cell>
          <cell r="N885" t="str">
            <v>OS</v>
          </cell>
          <cell r="O885" t="str">
            <v>OS</v>
          </cell>
          <cell r="P885" t="str">
            <v>OS</v>
          </cell>
          <cell r="Q885" t="str">
            <v>OS</v>
          </cell>
          <cell r="R885" t="str">
            <v>OS</v>
          </cell>
          <cell r="S885" t="str">
            <v>OS</v>
          </cell>
          <cell r="T885" t="str">
            <v>OS</v>
          </cell>
          <cell r="U885" t="str">
            <v>OS</v>
          </cell>
          <cell r="V885" t="str">
            <v>OS</v>
          </cell>
          <cell r="W885" t="str">
            <v>OS</v>
          </cell>
          <cell r="X885" t="str">
            <v>OS</v>
          </cell>
          <cell r="Y885" t="str">
            <v>OS</v>
          </cell>
          <cell r="Z885" t="str">
            <v>OS</v>
          </cell>
          <cell r="AA885" t="str">
            <v>OS</v>
          </cell>
          <cell r="AB885" t="str">
            <v>OS</v>
          </cell>
          <cell r="AC885" t="str">
            <v>OS</v>
          </cell>
          <cell r="AD885" t="str">
            <v>AGM-01-048-011</v>
          </cell>
          <cell r="AE885" t="str">
            <v xml:space="preserve">Raemulan Lands, Inc. </v>
          </cell>
          <cell r="AF885" t="str">
            <v>Agapeya</v>
          </cell>
          <cell r="AG885" t="str">
            <v>AGM</v>
          </cell>
          <cell r="AH885" t="str">
            <v>Eco-High</v>
          </cell>
          <cell r="AI885" t="str">
            <v>West</v>
          </cell>
          <cell r="AJ885" t="str">
            <v>Without LTS</v>
          </cell>
          <cell r="AK885" t="str">
            <v>Unaffected lots</v>
          </cell>
          <cell r="AL885" t="str">
            <v>Unaffected lots</v>
          </cell>
          <cell r="AM885" t="b">
            <v>0</v>
          </cell>
          <cell r="AN885" t="str">
            <v>NO</v>
          </cell>
          <cell r="AO885" t="str">
            <v>B2 2025</v>
          </cell>
          <cell r="AP885">
            <v>70</v>
          </cell>
          <cell r="AQ885" t="str">
            <v>PCS-04-034695</v>
          </cell>
          <cell r="AR885" t="b">
            <v>1</v>
          </cell>
          <cell r="AS885" t="str">
            <v>Done</v>
          </cell>
          <cell r="AT885" t="str">
            <v>2025 - Batch 1</v>
          </cell>
          <cell r="AU885">
            <v>48</v>
          </cell>
          <cell r="AV885">
            <v>11</v>
          </cell>
          <cell r="AW885" t="str">
            <v>H+L</v>
          </cell>
          <cell r="AX885">
            <v>70</v>
          </cell>
          <cell r="AY885">
            <v>50</v>
          </cell>
          <cell r="AZ885" t="str">
            <v>Duplex</v>
          </cell>
          <cell r="BA885">
            <v>1</v>
          </cell>
          <cell r="BB885" t="str">
            <v>568 - Without Partition</v>
          </cell>
          <cell r="BC885" t="str">
            <v xml:space="preserve">Without Partition </v>
          </cell>
          <cell r="BD885" t="str">
            <v>Slant</v>
          </cell>
          <cell r="BE885" t="str">
            <v xml:space="preserve">Without Partition </v>
          </cell>
          <cell r="BF885" t="str">
            <v>PINK</v>
          </cell>
          <cell r="BG885">
            <v>2500000</v>
          </cell>
          <cell r="BH885">
            <v>2650000</v>
          </cell>
          <cell r="BI885">
            <v>100000</v>
          </cell>
          <cell r="BJ885">
            <v>2550000</v>
          </cell>
          <cell r="BK885">
            <v>0</v>
          </cell>
          <cell r="BL885">
            <v>2550000</v>
          </cell>
        </row>
        <row r="886">
          <cell r="D886" t="str">
            <v>OS</v>
          </cell>
          <cell r="E886"/>
          <cell r="F886">
            <v>866</v>
          </cell>
          <cell r="G886" t="str">
            <v>SOLD</v>
          </cell>
          <cell r="H886" t="str">
            <v>OS</v>
          </cell>
          <cell r="I886" t="str">
            <v>OS</v>
          </cell>
          <cell r="J886" t="str">
            <v>OS</v>
          </cell>
          <cell r="K886" t="str">
            <v>OS</v>
          </cell>
          <cell r="L886" t="str">
            <v>OS</v>
          </cell>
          <cell r="M886" t="str">
            <v>OS</v>
          </cell>
          <cell r="N886" t="str">
            <v>OS</v>
          </cell>
          <cell r="O886" t="str">
            <v>OS</v>
          </cell>
          <cell r="P886" t="str">
            <v>OS</v>
          </cell>
          <cell r="Q886" t="str">
            <v>OS</v>
          </cell>
          <cell r="R886" t="str">
            <v>OS</v>
          </cell>
          <cell r="S886" t="str">
            <v>OS</v>
          </cell>
          <cell r="T886" t="str">
            <v>OS</v>
          </cell>
          <cell r="U886" t="str">
            <v>TS</v>
          </cell>
          <cell r="V886" t="str">
            <v>OS</v>
          </cell>
          <cell r="W886" t="str">
            <v>TS</v>
          </cell>
          <cell r="X886" t="str">
            <v>OS</v>
          </cell>
          <cell r="Y886" t="str">
            <v>OS</v>
          </cell>
          <cell r="Z886" t="str">
            <v>OS</v>
          </cell>
          <cell r="AA886" t="str">
            <v>OS</v>
          </cell>
          <cell r="AB886" t="str">
            <v>OS</v>
          </cell>
          <cell r="AC886" t="str">
            <v>OS</v>
          </cell>
          <cell r="AD886" t="str">
            <v>AGM-01-048-012</v>
          </cell>
          <cell r="AE886" t="str">
            <v xml:space="preserve">Raemulan Lands, Inc. </v>
          </cell>
          <cell r="AF886" t="str">
            <v>Agapeya</v>
          </cell>
          <cell r="AG886" t="str">
            <v>AGM</v>
          </cell>
          <cell r="AH886" t="str">
            <v>Eco-High</v>
          </cell>
          <cell r="AI886" t="str">
            <v>West</v>
          </cell>
          <cell r="AJ886" t="str">
            <v>Without LTS</v>
          </cell>
          <cell r="AK886" t="str">
            <v>Unaffected lots</v>
          </cell>
          <cell r="AL886" t="str">
            <v>Unaffected lots</v>
          </cell>
          <cell r="AM886" t="b">
            <v>0</v>
          </cell>
          <cell r="AN886" t="str">
            <v>NO</v>
          </cell>
          <cell r="AO886" t="str">
            <v>B2 2025</v>
          </cell>
          <cell r="AP886">
            <v>70</v>
          </cell>
          <cell r="AQ886" t="str">
            <v>PCS-04-034695</v>
          </cell>
          <cell r="AR886" t="b">
            <v>1</v>
          </cell>
          <cell r="AS886" t="str">
            <v>Done</v>
          </cell>
          <cell r="AT886" t="str">
            <v>2025 - Batch 1</v>
          </cell>
          <cell r="AU886">
            <v>48</v>
          </cell>
          <cell r="AV886">
            <v>12</v>
          </cell>
          <cell r="AW886" t="str">
            <v>H+L</v>
          </cell>
          <cell r="AX886">
            <v>70</v>
          </cell>
          <cell r="AY886">
            <v>50</v>
          </cell>
          <cell r="AZ886" t="str">
            <v>Duplex</v>
          </cell>
          <cell r="BA886">
            <v>1</v>
          </cell>
          <cell r="BB886" t="str">
            <v>568 - Without Partition</v>
          </cell>
          <cell r="BC886" t="str">
            <v xml:space="preserve">Without Partition </v>
          </cell>
          <cell r="BD886" t="str">
            <v>Flat</v>
          </cell>
          <cell r="BE886" t="str">
            <v xml:space="preserve">Without Partition </v>
          </cell>
          <cell r="BF886" t="str">
            <v>PINK</v>
          </cell>
          <cell r="BG886">
            <v>2500000</v>
          </cell>
          <cell r="BH886">
            <v>2650000</v>
          </cell>
          <cell r="BI886">
            <v>100000</v>
          </cell>
          <cell r="BJ886">
            <v>2550000</v>
          </cell>
          <cell r="BK886">
            <v>0</v>
          </cell>
          <cell r="BL886">
            <v>2550000</v>
          </cell>
        </row>
        <row r="887">
          <cell r="D887" t="str">
            <v>OS</v>
          </cell>
          <cell r="E887"/>
          <cell r="F887">
            <v>867</v>
          </cell>
          <cell r="G887" t="str">
            <v>SOLD</v>
          </cell>
          <cell r="H887" t="str">
            <v>OS</v>
          </cell>
          <cell r="I887" t="str">
            <v>OS</v>
          </cell>
          <cell r="J887" t="str">
            <v>OS</v>
          </cell>
          <cell r="K887" t="str">
            <v>OS</v>
          </cell>
          <cell r="L887" t="str">
            <v>OS</v>
          </cell>
          <cell r="M887" t="str">
            <v>OS</v>
          </cell>
          <cell r="N887" t="str">
            <v>OS</v>
          </cell>
          <cell r="O887" t="str">
            <v>OS</v>
          </cell>
          <cell r="P887" t="str">
            <v>OS</v>
          </cell>
          <cell r="Q887" t="str">
            <v>OS</v>
          </cell>
          <cell r="R887" t="str">
            <v>OS</v>
          </cell>
          <cell r="S887" t="str">
            <v>OS</v>
          </cell>
          <cell r="T887" t="str">
            <v>OS</v>
          </cell>
          <cell r="U887" t="str">
            <v>OS</v>
          </cell>
          <cell r="V887" t="str">
            <v>OS</v>
          </cell>
          <cell r="W887" t="str">
            <v>OS</v>
          </cell>
          <cell r="X887" t="str">
            <v>OS</v>
          </cell>
          <cell r="Y887" t="str">
            <v>OS</v>
          </cell>
          <cell r="Z887" t="str">
            <v>OS</v>
          </cell>
          <cell r="AA887" t="str">
            <v>OS</v>
          </cell>
          <cell r="AB887" t="str">
            <v>OS</v>
          </cell>
          <cell r="AC887" t="str">
            <v>OS</v>
          </cell>
          <cell r="AD887" t="str">
            <v>AGM-01-048-013</v>
          </cell>
          <cell r="AE887" t="str">
            <v xml:space="preserve">Raemulan Lands, Inc. </v>
          </cell>
          <cell r="AF887" t="str">
            <v>Agapeya</v>
          </cell>
          <cell r="AG887" t="str">
            <v>AGM</v>
          </cell>
          <cell r="AH887" t="str">
            <v>Eco-High</v>
          </cell>
          <cell r="AI887" t="str">
            <v>West</v>
          </cell>
          <cell r="AJ887" t="str">
            <v>Without LTS</v>
          </cell>
          <cell r="AK887" t="str">
            <v>Unaffected lots</v>
          </cell>
          <cell r="AL887" t="str">
            <v>Unaffected lots</v>
          </cell>
          <cell r="AM887" t="b">
            <v>0</v>
          </cell>
          <cell r="AN887" t="str">
            <v>NO</v>
          </cell>
          <cell r="AO887" t="str">
            <v>B2 2025</v>
          </cell>
          <cell r="AP887">
            <v>70</v>
          </cell>
          <cell r="AQ887" t="str">
            <v>PCS-04-034695</v>
          </cell>
          <cell r="AR887" t="b">
            <v>1</v>
          </cell>
          <cell r="AS887" t="str">
            <v>Done</v>
          </cell>
          <cell r="AT887" t="str">
            <v>2025 - Batch 1</v>
          </cell>
          <cell r="AU887">
            <v>48</v>
          </cell>
          <cell r="AV887">
            <v>13</v>
          </cell>
          <cell r="AW887" t="str">
            <v>H+L</v>
          </cell>
          <cell r="AX887">
            <v>70</v>
          </cell>
          <cell r="AY887">
            <v>50</v>
          </cell>
          <cell r="AZ887" t="str">
            <v>Duplex</v>
          </cell>
          <cell r="BA887">
            <v>1</v>
          </cell>
          <cell r="BB887" t="str">
            <v>568 - Without Partition</v>
          </cell>
          <cell r="BC887" t="str">
            <v xml:space="preserve">Without Partition </v>
          </cell>
          <cell r="BD887" t="str">
            <v>Flat</v>
          </cell>
          <cell r="BE887" t="str">
            <v xml:space="preserve">Without Partition </v>
          </cell>
          <cell r="BF887" t="str">
            <v>YELLOW</v>
          </cell>
          <cell r="BG887">
            <v>2500000</v>
          </cell>
          <cell r="BH887">
            <v>2650000</v>
          </cell>
          <cell r="BI887">
            <v>100000</v>
          </cell>
          <cell r="BJ887">
            <v>2550000</v>
          </cell>
          <cell r="BK887">
            <v>0</v>
          </cell>
          <cell r="BL887">
            <v>2550000</v>
          </cell>
        </row>
        <row r="888">
          <cell r="D888" t="str">
            <v>OS</v>
          </cell>
          <cell r="E888"/>
          <cell r="F888">
            <v>868</v>
          </cell>
          <cell r="G888" t="str">
            <v>SOLD</v>
          </cell>
          <cell r="H888" t="str">
            <v>OS</v>
          </cell>
          <cell r="I888" t="str">
            <v>OS</v>
          </cell>
          <cell r="J888" t="str">
            <v>OS</v>
          </cell>
          <cell r="K888" t="str">
            <v>OS</v>
          </cell>
          <cell r="L888" t="str">
            <v>OS</v>
          </cell>
          <cell r="M888" t="str">
            <v>OS</v>
          </cell>
          <cell r="N888" t="str">
            <v>OS</v>
          </cell>
          <cell r="O888" t="str">
            <v>OS</v>
          </cell>
          <cell r="P888" t="str">
            <v>OS</v>
          </cell>
          <cell r="Q888" t="str">
            <v>OS</v>
          </cell>
          <cell r="R888" t="str">
            <v>OS</v>
          </cell>
          <cell r="S888" t="str">
            <v>OS</v>
          </cell>
          <cell r="T888" t="str">
            <v>OS</v>
          </cell>
          <cell r="U888" t="str">
            <v>OS</v>
          </cell>
          <cell r="V888" t="str">
            <v>OS</v>
          </cell>
          <cell r="W888" t="str">
            <v>OS</v>
          </cell>
          <cell r="X888" t="str">
            <v>OS</v>
          </cell>
          <cell r="Y888" t="str">
            <v>OS</v>
          </cell>
          <cell r="Z888" t="str">
            <v>OS</v>
          </cell>
          <cell r="AA888" t="str">
            <v>OS</v>
          </cell>
          <cell r="AB888" t="str">
            <v>OS</v>
          </cell>
          <cell r="AC888" t="str">
            <v>OS</v>
          </cell>
          <cell r="AD888" t="str">
            <v>AGM-01-048-014</v>
          </cell>
          <cell r="AE888" t="str">
            <v xml:space="preserve">Raemulan Lands, Inc. </v>
          </cell>
          <cell r="AF888" t="str">
            <v>Agapeya</v>
          </cell>
          <cell r="AG888" t="str">
            <v>AGM</v>
          </cell>
          <cell r="AH888" t="str">
            <v>Eco-High</v>
          </cell>
          <cell r="AI888" t="str">
            <v>West</v>
          </cell>
          <cell r="AJ888" t="str">
            <v>Without LTS</v>
          </cell>
          <cell r="AK888" t="str">
            <v>Unaffected lots</v>
          </cell>
          <cell r="AL888" t="str">
            <v>Unaffected lots</v>
          </cell>
          <cell r="AM888" t="b">
            <v>0</v>
          </cell>
          <cell r="AN888" t="str">
            <v>NO</v>
          </cell>
          <cell r="AO888" t="str">
            <v>B2 2025</v>
          </cell>
          <cell r="AP888">
            <v>70</v>
          </cell>
          <cell r="AQ888" t="str">
            <v>PCS-04-034695</v>
          </cell>
          <cell r="AR888" t="b">
            <v>1</v>
          </cell>
          <cell r="AS888" t="str">
            <v>Done</v>
          </cell>
          <cell r="AT888" t="str">
            <v>2025 - Batch 1</v>
          </cell>
          <cell r="AU888">
            <v>48</v>
          </cell>
          <cell r="AV888">
            <v>14</v>
          </cell>
          <cell r="AW888" t="str">
            <v>H+L</v>
          </cell>
          <cell r="AX888">
            <v>70</v>
          </cell>
          <cell r="AY888">
            <v>50</v>
          </cell>
          <cell r="AZ888" t="str">
            <v>Duplex</v>
          </cell>
          <cell r="BA888">
            <v>1</v>
          </cell>
          <cell r="BB888" t="str">
            <v>568 - Without Partition</v>
          </cell>
          <cell r="BC888" t="str">
            <v xml:space="preserve">Without Partition </v>
          </cell>
          <cell r="BD888" t="str">
            <v>Slant</v>
          </cell>
          <cell r="BE888" t="str">
            <v xml:space="preserve">Without Partition </v>
          </cell>
          <cell r="BF888" t="str">
            <v>YELLOW</v>
          </cell>
          <cell r="BG888">
            <v>2500000</v>
          </cell>
          <cell r="BH888">
            <v>2650000</v>
          </cell>
          <cell r="BI888">
            <v>100000</v>
          </cell>
          <cell r="BJ888">
            <v>2550000</v>
          </cell>
          <cell r="BK888">
            <v>0</v>
          </cell>
          <cell r="BL888">
            <v>2550000</v>
          </cell>
        </row>
        <row r="889">
          <cell r="D889" t="str">
            <v>OS</v>
          </cell>
          <cell r="E889"/>
          <cell r="F889">
            <v>869</v>
          </cell>
          <cell r="G889" t="str">
            <v>SOLD</v>
          </cell>
          <cell r="H889" t="str">
            <v>OS</v>
          </cell>
          <cell r="I889" t="str">
            <v>OS</v>
          </cell>
          <cell r="J889" t="str">
            <v>OS</v>
          </cell>
          <cell r="K889" t="str">
            <v>OS</v>
          </cell>
          <cell r="L889" t="str">
            <v>OS</v>
          </cell>
          <cell r="M889" t="str">
            <v>OS</v>
          </cell>
          <cell r="N889" t="str">
            <v>OS</v>
          </cell>
          <cell r="O889" t="str">
            <v>OS</v>
          </cell>
          <cell r="P889" t="str">
            <v>OS</v>
          </cell>
          <cell r="Q889" t="str">
            <v>OS</v>
          </cell>
          <cell r="R889" t="str">
            <v>OS</v>
          </cell>
          <cell r="S889" t="str">
            <v>OS</v>
          </cell>
          <cell r="T889" t="str">
            <v>OS</v>
          </cell>
          <cell r="U889" t="str">
            <v>OS</v>
          </cell>
          <cell r="V889" t="str">
            <v>OS</v>
          </cell>
          <cell r="W889" t="str">
            <v>OS</v>
          </cell>
          <cell r="X889" t="str">
            <v>OS</v>
          </cell>
          <cell r="Y889" t="str">
            <v>OS</v>
          </cell>
          <cell r="Z889" t="str">
            <v>OS</v>
          </cell>
          <cell r="AA889" t="str">
            <v>OS</v>
          </cell>
          <cell r="AB889" t="str">
            <v>OS</v>
          </cell>
          <cell r="AC889" t="str">
            <v>OS</v>
          </cell>
          <cell r="AD889" t="str">
            <v>AGM-01-048-015</v>
          </cell>
          <cell r="AE889" t="str">
            <v xml:space="preserve">Raemulan Lands, Inc. </v>
          </cell>
          <cell r="AF889" t="str">
            <v>Agapeya</v>
          </cell>
          <cell r="AG889" t="str">
            <v>AGM</v>
          </cell>
          <cell r="AH889" t="str">
            <v>Eco-High</v>
          </cell>
          <cell r="AI889" t="str">
            <v>West</v>
          </cell>
          <cell r="AJ889" t="str">
            <v>Without LTS</v>
          </cell>
          <cell r="AK889" t="str">
            <v>Unaffected lots</v>
          </cell>
          <cell r="AL889" t="str">
            <v>Unaffected lots</v>
          </cell>
          <cell r="AM889" t="b">
            <v>0</v>
          </cell>
          <cell r="AN889" t="str">
            <v>NO</v>
          </cell>
          <cell r="AO889" t="str">
            <v>2024 Batch</v>
          </cell>
          <cell r="AP889">
            <v>70</v>
          </cell>
          <cell r="AQ889" t="str">
            <v>PCS-04-034695</v>
          </cell>
          <cell r="AR889" t="b">
            <v>1</v>
          </cell>
          <cell r="AS889" t="str">
            <v>Done</v>
          </cell>
          <cell r="AT889" t="str">
            <v>2024 Batch</v>
          </cell>
          <cell r="AU889">
            <v>48</v>
          </cell>
          <cell r="AV889">
            <v>15</v>
          </cell>
          <cell r="AW889" t="str">
            <v>H+L</v>
          </cell>
          <cell r="AX889">
            <v>70</v>
          </cell>
          <cell r="AY889">
            <v>50</v>
          </cell>
          <cell r="AZ889" t="str">
            <v>Duplex</v>
          </cell>
          <cell r="BA889">
            <v>1</v>
          </cell>
          <cell r="BB889" t="str">
            <v>326 - With Partition</v>
          </cell>
          <cell r="BC889" t="str">
            <v>With Partition</v>
          </cell>
          <cell r="BD889" t="str">
            <v>Slant</v>
          </cell>
          <cell r="BE889" t="str">
            <v>With Partition</v>
          </cell>
          <cell r="BF889" t="str">
            <v>YELLOW</v>
          </cell>
          <cell r="BG889">
            <v>2707500</v>
          </cell>
          <cell r="BH889">
            <v>2850000</v>
          </cell>
          <cell r="BI889">
            <v>100000</v>
          </cell>
          <cell r="BJ889">
            <v>2750000</v>
          </cell>
          <cell r="BK889">
            <v>0</v>
          </cell>
          <cell r="BL889">
            <v>2750000</v>
          </cell>
        </row>
        <row r="890">
          <cell r="D890" t="str">
            <v>OS</v>
          </cell>
          <cell r="E890"/>
          <cell r="F890">
            <v>870</v>
          </cell>
          <cell r="G890" t="str">
            <v>FOR CANCELLATION</v>
          </cell>
          <cell r="H890" t="str">
            <v>FOR CANCELLATION</v>
          </cell>
          <cell r="I890" t="str">
            <v>FOR CANCELLATION</v>
          </cell>
          <cell r="J890" t="str">
            <v>FOR CANCELLATION</v>
          </cell>
          <cell r="K890" t="str">
            <v>FOR CANCELLATION</v>
          </cell>
          <cell r="L890" t="str">
            <v>FOR CANCELLATION</v>
          </cell>
          <cell r="M890" t="str">
            <v>FOR CANCELLATION</v>
          </cell>
          <cell r="N890" t="str">
            <v>FOR CANCELLATION</v>
          </cell>
          <cell r="O890" t="str">
            <v>FOR CANCELLATION</v>
          </cell>
          <cell r="P890" t="str">
            <v>FOR CANCELLATION</v>
          </cell>
          <cell r="Q890" t="str">
            <v>FOR CANCELLATION</v>
          </cell>
          <cell r="R890" t="str">
            <v>FOR CANCELLATION</v>
          </cell>
          <cell r="S890" t="str">
            <v>TS</v>
          </cell>
          <cell r="T890" t="str">
            <v>FOR CANCELLATION</v>
          </cell>
          <cell r="U890" t="str">
            <v>OS</v>
          </cell>
          <cell r="V890" t="str">
            <v>OS</v>
          </cell>
          <cell r="W890" t="str">
            <v>OS</v>
          </cell>
          <cell r="X890" t="str">
            <v>OS</v>
          </cell>
          <cell r="Y890" t="str">
            <v>OS</v>
          </cell>
          <cell r="Z890" t="str">
            <v>OS</v>
          </cell>
          <cell r="AA890" t="str">
            <v>OS</v>
          </cell>
          <cell r="AB890" t="str">
            <v>OS</v>
          </cell>
          <cell r="AC890" t="str">
            <v>OS</v>
          </cell>
          <cell r="AD890" t="str">
            <v>AGM-01-048-016</v>
          </cell>
          <cell r="AE890" t="str">
            <v xml:space="preserve">Raemulan Lands, Inc. </v>
          </cell>
          <cell r="AF890" t="str">
            <v>Agapeya</v>
          </cell>
          <cell r="AG890" t="str">
            <v>AGM</v>
          </cell>
          <cell r="AH890" t="str">
            <v>Eco-High</v>
          </cell>
          <cell r="AI890" t="str">
            <v>West</v>
          </cell>
          <cell r="AJ890" t="str">
            <v>Without LTS</v>
          </cell>
          <cell r="AK890" t="str">
            <v>Unaffected lots</v>
          </cell>
          <cell r="AL890" t="str">
            <v>Unaffected lots</v>
          </cell>
          <cell r="AM890" t="b">
            <v>0</v>
          </cell>
          <cell r="AN890" t="str">
            <v>NO</v>
          </cell>
          <cell r="AO890" t="str">
            <v>2024 Batch</v>
          </cell>
          <cell r="AP890">
            <v>100</v>
          </cell>
          <cell r="AQ890" t="str">
            <v>PCS-04-034695</v>
          </cell>
          <cell r="AR890" t="b">
            <v>1</v>
          </cell>
          <cell r="AS890" t="str">
            <v>Done</v>
          </cell>
          <cell r="AT890" t="str">
            <v>2024 Batch</v>
          </cell>
          <cell r="AU890">
            <v>48</v>
          </cell>
          <cell r="AV890">
            <v>16</v>
          </cell>
          <cell r="AW890" t="str">
            <v>H+L</v>
          </cell>
          <cell r="AX890">
            <v>100</v>
          </cell>
          <cell r="AY890">
            <v>50</v>
          </cell>
          <cell r="AZ890" t="str">
            <v>Duplex</v>
          </cell>
          <cell r="BA890">
            <v>1</v>
          </cell>
          <cell r="BB890" t="str">
            <v>326 - With Partition</v>
          </cell>
          <cell r="BC890" t="str">
            <v>With Partition</v>
          </cell>
          <cell r="BD890" t="str">
            <v>Flat</v>
          </cell>
          <cell r="BE890" t="str">
            <v>With Partition</v>
          </cell>
          <cell r="BF890" t="str">
            <v>YELLOW</v>
          </cell>
          <cell r="BG890">
            <v>2992500</v>
          </cell>
          <cell r="BH890">
            <v>3300000</v>
          </cell>
          <cell r="BI890">
            <v>100000</v>
          </cell>
          <cell r="BJ890">
            <v>3200000</v>
          </cell>
          <cell r="BK890">
            <v>0</v>
          </cell>
          <cell r="BL890">
            <v>3200000</v>
          </cell>
        </row>
        <row r="891">
          <cell r="D891" t="str">
            <v>OS</v>
          </cell>
          <cell r="E891"/>
          <cell r="F891">
            <v>871</v>
          </cell>
          <cell r="G891" t="str">
            <v>SOLD</v>
          </cell>
          <cell r="H891" t="str">
            <v>OS</v>
          </cell>
          <cell r="I891" t="str">
            <v>OS</v>
          </cell>
          <cell r="J891" t="str">
            <v>OS</v>
          </cell>
          <cell r="K891" t="str">
            <v>OS</v>
          </cell>
          <cell r="L891" t="str">
            <v>OS</v>
          </cell>
          <cell r="M891" t="str">
            <v>OS</v>
          </cell>
          <cell r="N891" t="str">
            <v>OS</v>
          </cell>
          <cell r="O891" t="str">
            <v>OS</v>
          </cell>
          <cell r="P891" t="str">
            <v>OS</v>
          </cell>
          <cell r="Q891" t="str">
            <v>OS</v>
          </cell>
          <cell r="R891" t="str">
            <v>OS</v>
          </cell>
          <cell r="S891" t="str">
            <v>OS</v>
          </cell>
          <cell r="T891" t="str">
            <v>OS</v>
          </cell>
          <cell r="U891" t="str">
            <v>OS</v>
          </cell>
          <cell r="V891" t="str">
            <v>OS</v>
          </cell>
          <cell r="W891" t="str">
            <v>OS</v>
          </cell>
          <cell r="X891" t="str">
            <v>OS</v>
          </cell>
          <cell r="Y891" t="str">
            <v>OS</v>
          </cell>
          <cell r="Z891" t="str">
            <v>OS</v>
          </cell>
          <cell r="AA891" t="str">
            <v>OS</v>
          </cell>
          <cell r="AB891" t="str">
            <v>OS</v>
          </cell>
          <cell r="AC891" t="str">
            <v>OS</v>
          </cell>
          <cell r="AD891" t="str">
            <v>AGM-01-049-001</v>
          </cell>
          <cell r="AE891" t="str">
            <v xml:space="preserve">Raemulan Lands, Inc. </v>
          </cell>
          <cell r="AF891" t="str">
            <v>Agapeya</v>
          </cell>
          <cell r="AG891" t="str">
            <v>AGM</v>
          </cell>
          <cell r="AH891" t="str">
            <v>Eco-High</v>
          </cell>
          <cell r="AI891" t="str">
            <v>West</v>
          </cell>
          <cell r="AJ891" t="str">
            <v>Without LTS</v>
          </cell>
          <cell r="AK891" t="str">
            <v>Unaffected lots</v>
          </cell>
          <cell r="AL891" t="str">
            <v>Unaffected lots</v>
          </cell>
          <cell r="AM891" t="b">
            <v>0</v>
          </cell>
          <cell r="AN891" t="str">
            <v>NO</v>
          </cell>
          <cell r="AO891" t="str">
            <v>B3 2025</v>
          </cell>
          <cell r="AP891">
            <v>100</v>
          </cell>
          <cell r="AQ891" t="str">
            <v>PCS-04-034695</v>
          </cell>
          <cell r="AR891" t="b">
            <v>1</v>
          </cell>
          <cell r="AS891" t="str">
            <v>Done</v>
          </cell>
          <cell r="AT891" t="str">
            <v>2025 - Batch 2</v>
          </cell>
          <cell r="AU891">
            <v>49</v>
          </cell>
          <cell r="AV891">
            <v>1</v>
          </cell>
          <cell r="AW891" t="str">
            <v>H+L</v>
          </cell>
          <cell r="AX891">
            <v>100</v>
          </cell>
          <cell r="AY891">
            <v>50</v>
          </cell>
          <cell r="AZ891" t="str">
            <v>Duplex</v>
          </cell>
          <cell r="BA891">
            <v>1</v>
          </cell>
          <cell r="BB891" t="str">
            <v>568 - Without Partition</v>
          </cell>
          <cell r="BC891" t="str">
            <v xml:space="preserve">Without Partition </v>
          </cell>
          <cell r="BD891" t="str">
            <v>Flat</v>
          </cell>
          <cell r="BE891" t="str">
            <v xml:space="preserve">Without Partition </v>
          </cell>
          <cell r="BF891" t="str">
            <v>GREEN</v>
          </cell>
          <cell r="BG891">
            <v>2950000</v>
          </cell>
          <cell r="BH891">
            <v>3100000</v>
          </cell>
          <cell r="BI891">
            <v>100000</v>
          </cell>
          <cell r="BJ891">
            <v>3000000</v>
          </cell>
          <cell r="BK891">
            <v>0</v>
          </cell>
          <cell r="BL891">
            <v>3000000</v>
          </cell>
        </row>
        <row r="892">
          <cell r="D892" t="str">
            <v>OS</v>
          </cell>
          <cell r="E892"/>
          <cell r="F892">
            <v>872</v>
          </cell>
          <cell r="G892" t="str">
            <v>SOLD</v>
          </cell>
          <cell r="H892" t="str">
            <v>OS</v>
          </cell>
          <cell r="I892" t="str">
            <v>OS</v>
          </cell>
          <cell r="J892" t="str">
            <v>OS</v>
          </cell>
          <cell r="K892" t="str">
            <v>OS</v>
          </cell>
          <cell r="L892" t="str">
            <v>OS</v>
          </cell>
          <cell r="M892" t="str">
            <v>OS</v>
          </cell>
          <cell r="N892" t="str">
            <v>OS</v>
          </cell>
          <cell r="O892" t="str">
            <v>OS</v>
          </cell>
          <cell r="P892" t="str">
            <v>OS</v>
          </cell>
          <cell r="Q892" t="str">
            <v>OS</v>
          </cell>
          <cell r="R892" t="str">
            <v>OS</v>
          </cell>
          <cell r="S892" t="str">
            <v>OS</v>
          </cell>
          <cell r="T892" t="str">
            <v>OS</v>
          </cell>
          <cell r="U892" t="str">
            <v>OS</v>
          </cell>
          <cell r="V892" t="str">
            <v>OS</v>
          </cell>
          <cell r="W892" t="str">
            <v>OS</v>
          </cell>
          <cell r="X892" t="str">
            <v>OS</v>
          </cell>
          <cell r="Y892" t="str">
            <v>OS</v>
          </cell>
          <cell r="Z892" t="str">
            <v>OS</v>
          </cell>
          <cell r="AA892" t="str">
            <v>OS</v>
          </cell>
          <cell r="AB892" t="str">
            <v>OS</v>
          </cell>
          <cell r="AC892" t="str">
            <v>OS</v>
          </cell>
          <cell r="AD892" t="str">
            <v>AGM-01-049-002</v>
          </cell>
          <cell r="AE892" t="str">
            <v xml:space="preserve">Raemulan Lands, Inc. </v>
          </cell>
          <cell r="AF892" t="str">
            <v>Agapeya</v>
          </cell>
          <cell r="AG892" t="str">
            <v>AGM</v>
          </cell>
          <cell r="AH892" t="str">
            <v>Eco-High</v>
          </cell>
          <cell r="AI892" t="str">
            <v>West</v>
          </cell>
          <cell r="AJ892" t="str">
            <v>Without LTS</v>
          </cell>
          <cell r="AK892" t="str">
            <v>Unaffected lots</v>
          </cell>
          <cell r="AL892" t="str">
            <v>Unaffected lots</v>
          </cell>
          <cell r="AM892" t="b">
            <v>0</v>
          </cell>
          <cell r="AN892" t="str">
            <v>NO</v>
          </cell>
          <cell r="AO892" t="str">
            <v>2024 Batch</v>
          </cell>
          <cell r="AP892">
            <v>70</v>
          </cell>
          <cell r="AQ892" t="str">
            <v>PCS-04-034695</v>
          </cell>
          <cell r="AR892" t="b">
            <v>1</v>
          </cell>
          <cell r="AS892" t="str">
            <v>Done</v>
          </cell>
          <cell r="AT892" t="str">
            <v>2024 Batch</v>
          </cell>
          <cell r="AU892">
            <v>49</v>
          </cell>
          <cell r="AV892">
            <v>2</v>
          </cell>
          <cell r="AW892" t="str">
            <v>H+L</v>
          </cell>
          <cell r="AX892">
            <v>70</v>
          </cell>
          <cell r="AY892">
            <v>50</v>
          </cell>
          <cell r="AZ892" t="str">
            <v>Duplex</v>
          </cell>
          <cell r="BA892">
            <v>1</v>
          </cell>
          <cell r="BB892" t="str">
            <v>326 - With Partition</v>
          </cell>
          <cell r="BC892" t="str">
            <v xml:space="preserve">Without Partition </v>
          </cell>
          <cell r="BD892" t="str">
            <v>Flat</v>
          </cell>
          <cell r="BE892" t="str">
            <v xml:space="preserve">Without Partition </v>
          </cell>
          <cell r="BF892" t="str">
            <v>PINK</v>
          </cell>
          <cell r="BG892">
            <v>2500000</v>
          </cell>
          <cell r="BH892">
            <v>2650000</v>
          </cell>
          <cell r="BI892">
            <v>100000</v>
          </cell>
          <cell r="BJ892">
            <v>2550000</v>
          </cell>
          <cell r="BK892">
            <v>0</v>
          </cell>
          <cell r="BL892">
            <v>2550000</v>
          </cell>
        </row>
        <row r="893">
          <cell r="D893" t="str">
            <v>OS</v>
          </cell>
          <cell r="E893"/>
          <cell r="F893">
            <v>873</v>
          </cell>
          <cell r="G893" t="str">
            <v>SOLD</v>
          </cell>
          <cell r="H893" t="str">
            <v>OS</v>
          </cell>
          <cell r="I893" t="str">
            <v>OS</v>
          </cell>
          <cell r="J893" t="str">
            <v>OS</v>
          </cell>
          <cell r="K893" t="str">
            <v>OS</v>
          </cell>
          <cell r="L893" t="str">
            <v>OS</v>
          </cell>
          <cell r="M893" t="str">
            <v>OS</v>
          </cell>
          <cell r="N893" t="str">
            <v>OS</v>
          </cell>
          <cell r="O893" t="str">
            <v>OS</v>
          </cell>
          <cell r="P893" t="str">
            <v>OS</v>
          </cell>
          <cell r="Q893" t="str">
            <v>OS</v>
          </cell>
          <cell r="R893" t="str">
            <v>OS</v>
          </cell>
          <cell r="S893" t="str">
            <v>OS</v>
          </cell>
          <cell r="T893" t="str">
            <v>OS</v>
          </cell>
          <cell r="U893" t="str">
            <v>OS</v>
          </cell>
          <cell r="V893" t="str">
            <v>OS</v>
          </cell>
          <cell r="W893" t="str">
            <v>OS</v>
          </cell>
          <cell r="X893" t="str">
            <v>OS</v>
          </cell>
          <cell r="Y893" t="str">
            <v>OS</v>
          </cell>
          <cell r="Z893" t="str">
            <v>OS</v>
          </cell>
          <cell r="AA893" t="str">
            <v>OS</v>
          </cell>
          <cell r="AB893" t="str">
            <v>OS</v>
          </cell>
          <cell r="AC893" t="str">
            <v>OS</v>
          </cell>
          <cell r="AD893" t="str">
            <v>AGM-01-049-003</v>
          </cell>
          <cell r="AE893" t="str">
            <v xml:space="preserve">Raemulan Lands, Inc. </v>
          </cell>
          <cell r="AF893" t="str">
            <v>Agapeya</v>
          </cell>
          <cell r="AG893" t="str">
            <v>AGM</v>
          </cell>
          <cell r="AH893" t="str">
            <v>Eco-High</v>
          </cell>
          <cell r="AI893" t="str">
            <v>West</v>
          </cell>
          <cell r="AJ893" t="str">
            <v>Without LTS</v>
          </cell>
          <cell r="AK893" t="str">
            <v>Unaffected lots</v>
          </cell>
          <cell r="AL893" t="str">
            <v>Unaffected lots</v>
          </cell>
          <cell r="AM893" t="b">
            <v>0</v>
          </cell>
          <cell r="AN893" t="str">
            <v>NO</v>
          </cell>
          <cell r="AO893" t="str">
            <v>2024 Batch</v>
          </cell>
          <cell r="AP893">
            <v>70</v>
          </cell>
          <cell r="AQ893" t="str">
            <v>PCS-04-034695</v>
          </cell>
          <cell r="AR893" t="b">
            <v>1</v>
          </cell>
          <cell r="AS893" t="str">
            <v>Done</v>
          </cell>
          <cell r="AT893" t="str">
            <v>2024 Batch</v>
          </cell>
          <cell r="AU893">
            <v>49</v>
          </cell>
          <cell r="AV893">
            <v>3</v>
          </cell>
          <cell r="AW893" t="str">
            <v>H+L</v>
          </cell>
          <cell r="AX893">
            <v>70</v>
          </cell>
          <cell r="AY893">
            <v>50</v>
          </cell>
          <cell r="AZ893" t="str">
            <v>Duplex</v>
          </cell>
          <cell r="BA893">
            <v>1</v>
          </cell>
          <cell r="BB893" t="str">
            <v>326 - With Partition</v>
          </cell>
          <cell r="BC893" t="str">
            <v>With Partition</v>
          </cell>
          <cell r="BD893" t="str">
            <v>Slant</v>
          </cell>
          <cell r="BE893" t="str">
            <v>With Partition</v>
          </cell>
          <cell r="BF893" t="str">
            <v>PINK</v>
          </cell>
          <cell r="BG893">
            <v>2707500</v>
          </cell>
          <cell r="BH893">
            <v>2850000</v>
          </cell>
          <cell r="BI893">
            <v>100000</v>
          </cell>
          <cell r="BJ893">
            <v>2750000</v>
          </cell>
          <cell r="BK893">
            <v>0</v>
          </cell>
          <cell r="BL893">
            <v>2750000</v>
          </cell>
        </row>
        <row r="894">
          <cell r="D894" t="str">
            <v>OS</v>
          </cell>
          <cell r="E894"/>
          <cell r="F894">
            <v>874</v>
          </cell>
          <cell r="G894" t="str">
            <v>SOLD</v>
          </cell>
          <cell r="H894" t="str">
            <v>OS</v>
          </cell>
          <cell r="I894" t="str">
            <v>OS</v>
          </cell>
          <cell r="J894" t="str">
            <v>OS</v>
          </cell>
          <cell r="K894" t="str">
            <v>OS</v>
          </cell>
          <cell r="L894" t="str">
            <v>OS</v>
          </cell>
          <cell r="M894" t="str">
            <v>OS</v>
          </cell>
          <cell r="N894" t="str">
            <v>OS</v>
          </cell>
          <cell r="O894" t="str">
            <v>OS</v>
          </cell>
          <cell r="P894" t="str">
            <v>OS</v>
          </cell>
          <cell r="Q894" t="str">
            <v>OS</v>
          </cell>
          <cell r="R894" t="str">
            <v>OS</v>
          </cell>
          <cell r="S894" t="str">
            <v>OS</v>
          </cell>
          <cell r="T894" t="str">
            <v>OS</v>
          </cell>
          <cell r="U894" t="str">
            <v>OS</v>
          </cell>
          <cell r="V894" t="str">
            <v>OS</v>
          </cell>
          <cell r="W894" t="str">
            <v>OS</v>
          </cell>
          <cell r="X894" t="str">
            <v>OS</v>
          </cell>
          <cell r="Y894" t="str">
            <v>OS</v>
          </cell>
          <cell r="Z894" t="str">
            <v>OS</v>
          </cell>
          <cell r="AA894" t="str">
            <v>OS</v>
          </cell>
          <cell r="AB894" t="str">
            <v>OS</v>
          </cell>
          <cell r="AC894" t="str">
            <v>OS</v>
          </cell>
          <cell r="AD894" t="str">
            <v>AGM-01-049-004</v>
          </cell>
          <cell r="AE894" t="str">
            <v xml:space="preserve">Raemulan Lands, Inc. </v>
          </cell>
          <cell r="AF894" t="str">
            <v>Agapeya</v>
          </cell>
          <cell r="AG894" t="str">
            <v>AGM</v>
          </cell>
          <cell r="AH894" t="str">
            <v>Eco-High</v>
          </cell>
          <cell r="AI894" t="str">
            <v>West</v>
          </cell>
          <cell r="AJ894" t="str">
            <v>Without LTS</v>
          </cell>
          <cell r="AK894" t="str">
            <v>Unaffected lots</v>
          </cell>
          <cell r="AL894" t="str">
            <v>Unaffected lots</v>
          </cell>
          <cell r="AM894" t="b">
            <v>0</v>
          </cell>
          <cell r="AN894" t="str">
            <v>NO</v>
          </cell>
          <cell r="AO894" t="str">
            <v>B3 2025</v>
          </cell>
          <cell r="AP894">
            <v>70</v>
          </cell>
          <cell r="AQ894" t="str">
            <v>PCS-04-034695</v>
          </cell>
          <cell r="AR894" t="b">
            <v>1</v>
          </cell>
          <cell r="AS894" t="str">
            <v>Done</v>
          </cell>
          <cell r="AT894" t="str">
            <v>2025 - Batch 2</v>
          </cell>
          <cell r="AU894">
            <v>49</v>
          </cell>
          <cell r="AV894">
            <v>4</v>
          </cell>
          <cell r="AW894" t="str">
            <v>H+L</v>
          </cell>
          <cell r="AX894">
            <v>70</v>
          </cell>
          <cell r="AY894">
            <v>50</v>
          </cell>
          <cell r="AZ894" t="str">
            <v>Duplex</v>
          </cell>
          <cell r="BA894">
            <v>1</v>
          </cell>
          <cell r="BB894" t="str">
            <v>568 - Without Partition</v>
          </cell>
          <cell r="BC894" t="str">
            <v xml:space="preserve">Without Partition </v>
          </cell>
          <cell r="BD894" t="str">
            <v>Slant</v>
          </cell>
          <cell r="BE894" t="str">
            <v xml:space="preserve">Without Partition </v>
          </cell>
          <cell r="BF894" t="str">
            <v>PINK</v>
          </cell>
          <cell r="BG894">
            <v>2568688.7287804699</v>
          </cell>
          <cell r="BH894">
            <v>2650000</v>
          </cell>
          <cell r="BI894">
            <v>100000</v>
          </cell>
          <cell r="BJ894">
            <v>2550000</v>
          </cell>
          <cell r="BK894">
            <v>0</v>
          </cell>
          <cell r="BL894">
            <v>2550000</v>
          </cell>
        </row>
        <row r="895">
          <cell r="D895" t="str">
            <v>OS</v>
          </cell>
          <cell r="E895"/>
          <cell r="F895">
            <v>875</v>
          </cell>
          <cell r="G895" t="str">
            <v>SOLD</v>
          </cell>
          <cell r="H895" t="str">
            <v>OS</v>
          </cell>
          <cell r="I895" t="str">
            <v>OS</v>
          </cell>
          <cell r="J895" t="str">
            <v>OS</v>
          </cell>
          <cell r="K895" t="str">
            <v>OS</v>
          </cell>
          <cell r="L895" t="str">
            <v>OS</v>
          </cell>
          <cell r="M895" t="str">
            <v>OS</v>
          </cell>
          <cell r="N895" t="str">
            <v>OS</v>
          </cell>
          <cell r="O895" t="str">
            <v>OS</v>
          </cell>
          <cell r="P895" t="str">
            <v>OS</v>
          </cell>
          <cell r="Q895" t="str">
            <v>OS</v>
          </cell>
          <cell r="R895" t="str">
            <v>OS</v>
          </cell>
          <cell r="S895" t="str">
            <v>OS</v>
          </cell>
          <cell r="T895" t="str">
            <v>OS</v>
          </cell>
          <cell r="U895" t="str">
            <v>OS</v>
          </cell>
          <cell r="V895" t="str">
            <v>OS</v>
          </cell>
          <cell r="W895" t="str">
            <v>OS</v>
          </cell>
          <cell r="X895" t="str">
            <v>OS</v>
          </cell>
          <cell r="Y895" t="str">
            <v>OS</v>
          </cell>
          <cell r="Z895" t="str">
            <v>OS</v>
          </cell>
          <cell r="AA895" t="str">
            <v>OS</v>
          </cell>
          <cell r="AB895" t="str">
            <v>OS</v>
          </cell>
          <cell r="AC895" t="str">
            <v>OS</v>
          </cell>
          <cell r="AD895" t="str">
            <v>AGM-01-049-005</v>
          </cell>
          <cell r="AE895" t="str">
            <v xml:space="preserve">Raemulan Lands, Inc. </v>
          </cell>
          <cell r="AF895" t="str">
            <v>Agapeya</v>
          </cell>
          <cell r="AG895" t="str">
            <v>AGM</v>
          </cell>
          <cell r="AH895" t="str">
            <v>Eco-High</v>
          </cell>
          <cell r="AI895" t="str">
            <v>West</v>
          </cell>
          <cell r="AJ895" t="str">
            <v>Without LTS</v>
          </cell>
          <cell r="AK895" t="str">
            <v>Unaffected lots</v>
          </cell>
          <cell r="AL895" t="str">
            <v>Unaffected lots</v>
          </cell>
          <cell r="AM895" t="b">
            <v>0</v>
          </cell>
          <cell r="AN895" t="str">
            <v>NO</v>
          </cell>
          <cell r="AO895" t="str">
            <v>B3 2025</v>
          </cell>
          <cell r="AP895">
            <v>70</v>
          </cell>
          <cell r="AQ895" t="str">
            <v>PCS-04-034695</v>
          </cell>
          <cell r="AR895" t="b">
            <v>1</v>
          </cell>
          <cell r="AS895" t="str">
            <v>Done</v>
          </cell>
          <cell r="AT895" t="str">
            <v>2025 - Batch 2</v>
          </cell>
          <cell r="AU895">
            <v>49</v>
          </cell>
          <cell r="AV895">
            <v>5</v>
          </cell>
          <cell r="AW895" t="str">
            <v>H+L</v>
          </cell>
          <cell r="AX895">
            <v>70</v>
          </cell>
          <cell r="AY895">
            <v>50</v>
          </cell>
          <cell r="AZ895" t="str">
            <v>Duplex</v>
          </cell>
          <cell r="BA895">
            <v>1</v>
          </cell>
          <cell r="BB895" t="str">
            <v>568 - Without Partition</v>
          </cell>
          <cell r="BC895" t="str">
            <v xml:space="preserve">Without Partition </v>
          </cell>
          <cell r="BD895" t="str">
            <v>Flat</v>
          </cell>
          <cell r="BE895" t="str">
            <v xml:space="preserve">Without Partition </v>
          </cell>
          <cell r="BF895" t="str">
            <v>PINK</v>
          </cell>
          <cell r="BG895">
            <v>2568688.7287804699</v>
          </cell>
          <cell r="BH895">
            <v>2650000</v>
          </cell>
          <cell r="BI895">
            <v>100000</v>
          </cell>
          <cell r="BJ895">
            <v>2550000</v>
          </cell>
          <cell r="BK895">
            <v>0</v>
          </cell>
          <cell r="BL895">
            <v>2550000</v>
          </cell>
        </row>
        <row r="896">
          <cell r="D896" t="str">
            <v>OS</v>
          </cell>
          <cell r="E896"/>
          <cell r="F896">
            <v>876</v>
          </cell>
          <cell r="G896" t="str">
            <v>UNSOLD</v>
          </cell>
          <cell r="H896" t="str">
            <v>OS</v>
          </cell>
          <cell r="I896" t="str">
            <v>OS</v>
          </cell>
          <cell r="J896" t="str">
            <v>OS</v>
          </cell>
          <cell r="K896" t="str">
            <v>OS</v>
          </cell>
          <cell r="L896" t="str">
            <v>OS</v>
          </cell>
          <cell r="M896" t="str">
            <v>OS</v>
          </cell>
          <cell r="N896" t="str">
            <v>OS</v>
          </cell>
          <cell r="O896" t="str">
            <v>OS</v>
          </cell>
          <cell r="P896" t="str">
            <v>OS</v>
          </cell>
          <cell r="Q896" t="str">
            <v>OS</v>
          </cell>
          <cell r="R896" t="str">
            <v>OS</v>
          </cell>
          <cell r="S896" t="str">
            <v>OS</v>
          </cell>
          <cell r="T896" t="str">
            <v>OS</v>
          </cell>
          <cell r="U896" t="str">
            <v>OS</v>
          </cell>
          <cell r="V896" t="str">
            <v>OS</v>
          </cell>
          <cell r="W896" t="str">
            <v>OS</v>
          </cell>
          <cell r="X896" t="str">
            <v>OS</v>
          </cell>
          <cell r="Y896" t="str">
            <v>OS</v>
          </cell>
          <cell r="Z896" t="str">
            <v>OS</v>
          </cell>
          <cell r="AA896" t="str">
            <v>OS</v>
          </cell>
          <cell r="AB896" t="str">
            <v>OS</v>
          </cell>
          <cell r="AC896" t="str">
            <v>OS</v>
          </cell>
          <cell r="AD896" t="str">
            <v>AGM-01-049-006</v>
          </cell>
          <cell r="AE896" t="str">
            <v xml:space="preserve">Raemulan Lands, Inc. </v>
          </cell>
          <cell r="AF896" t="str">
            <v>Agapeya</v>
          </cell>
          <cell r="AG896" t="str">
            <v>AGM</v>
          </cell>
          <cell r="AH896" t="str">
            <v>Eco-High</v>
          </cell>
          <cell r="AI896" t="str">
            <v>West</v>
          </cell>
          <cell r="AJ896" t="str">
            <v>Without LTS</v>
          </cell>
          <cell r="AK896" t="str">
            <v>Unaffected lots</v>
          </cell>
          <cell r="AL896" t="str">
            <v>Unaffected lots</v>
          </cell>
          <cell r="AM896" t="b">
            <v>0</v>
          </cell>
          <cell r="AN896" t="str">
            <v>NO</v>
          </cell>
          <cell r="AO896" t="str">
            <v>B2 2025</v>
          </cell>
          <cell r="AP896">
            <v>70</v>
          </cell>
          <cell r="AQ896" t="str">
            <v>PCS-04-034695</v>
          </cell>
          <cell r="AR896" t="b">
            <v>1</v>
          </cell>
          <cell r="AS896" t="str">
            <v>Done</v>
          </cell>
          <cell r="AT896" t="str">
            <v>2025 - Batch 2</v>
          </cell>
          <cell r="AU896">
            <v>49</v>
          </cell>
          <cell r="AV896">
            <v>6</v>
          </cell>
          <cell r="AW896" t="str">
            <v>H+L</v>
          </cell>
          <cell r="AX896">
            <v>70</v>
          </cell>
          <cell r="AY896">
            <v>50</v>
          </cell>
          <cell r="AZ896" t="str">
            <v>Duplex</v>
          </cell>
          <cell r="BA896">
            <v>1</v>
          </cell>
          <cell r="BB896" t="str">
            <v>568 - Without Partition</v>
          </cell>
          <cell r="BC896" t="str">
            <v xml:space="preserve">Without Partition </v>
          </cell>
          <cell r="BD896" t="str">
            <v>Flat</v>
          </cell>
          <cell r="BE896" t="str">
            <v xml:space="preserve">Without Partition </v>
          </cell>
          <cell r="BF896" t="str">
            <v>GREEN</v>
          </cell>
          <cell r="BG896">
            <v>2568688.7287804699</v>
          </cell>
          <cell r="BH896">
            <v>2650000</v>
          </cell>
          <cell r="BI896">
            <v>100000</v>
          </cell>
          <cell r="BJ896">
            <v>2550000</v>
          </cell>
          <cell r="BK896">
            <v>0</v>
          </cell>
          <cell r="BL896">
            <v>2550000</v>
          </cell>
        </row>
        <row r="897">
          <cell r="D897" t="str">
            <v>OS</v>
          </cell>
          <cell r="E897"/>
          <cell r="F897">
            <v>877</v>
          </cell>
          <cell r="G897" t="str">
            <v>SOLD</v>
          </cell>
          <cell r="H897" t="str">
            <v>OS</v>
          </cell>
          <cell r="I897" t="str">
            <v>OS</v>
          </cell>
          <cell r="J897" t="str">
            <v>OS</v>
          </cell>
          <cell r="K897" t="str">
            <v>OS</v>
          </cell>
          <cell r="L897" t="str">
            <v>OS</v>
          </cell>
          <cell r="M897" t="str">
            <v>OS</v>
          </cell>
          <cell r="N897" t="str">
            <v>OS</v>
          </cell>
          <cell r="O897" t="str">
            <v>OS</v>
          </cell>
          <cell r="P897" t="str">
            <v>OS</v>
          </cell>
          <cell r="Q897" t="str">
            <v>OS</v>
          </cell>
          <cell r="R897" t="str">
            <v>OS</v>
          </cell>
          <cell r="S897" t="str">
            <v>OS</v>
          </cell>
          <cell r="T897" t="str">
            <v>OS</v>
          </cell>
          <cell r="U897" t="str">
            <v>OS</v>
          </cell>
          <cell r="V897" t="str">
            <v>OS</v>
          </cell>
          <cell r="W897" t="str">
            <v>OS</v>
          </cell>
          <cell r="X897" t="str">
            <v>OS</v>
          </cell>
          <cell r="Y897" t="str">
            <v>OS</v>
          </cell>
          <cell r="Z897" t="str">
            <v>OS</v>
          </cell>
          <cell r="AA897" t="str">
            <v>OS</v>
          </cell>
          <cell r="AB897" t="str">
            <v>OS</v>
          </cell>
          <cell r="AC897" t="str">
            <v>OS</v>
          </cell>
          <cell r="AD897" t="str">
            <v>AGM-01-049-007</v>
          </cell>
          <cell r="AE897" t="str">
            <v xml:space="preserve">Raemulan Lands, Inc. </v>
          </cell>
          <cell r="AF897" t="str">
            <v>Agapeya</v>
          </cell>
          <cell r="AG897" t="str">
            <v>AGM</v>
          </cell>
          <cell r="AH897" t="str">
            <v>Eco-High</v>
          </cell>
          <cell r="AI897" t="str">
            <v>West</v>
          </cell>
          <cell r="AJ897" t="str">
            <v>Without LTS</v>
          </cell>
          <cell r="AK897" t="str">
            <v>Unaffected lots</v>
          </cell>
          <cell r="AL897" t="str">
            <v>Unaffected lots</v>
          </cell>
          <cell r="AM897" t="b">
            <v>0</v>
          </cell>
          <cell r="AN897" t="str">
            <v>NO</v>
          </cell>
          <cell r="AO897" t="str">
            <v>B2 2025</v>
          </cell>
          <cell r="AP897">
            <v>70</v>
          </cell>
          <cell r="AQ897" t="str">
            <v>PCS-04-034695</v>
          </cell>
          <cell r="AR897" t="b">
            <v>1</v>
          </cell>
          <cell r="AS897" t="str">
            <v>Done</v>
          </cell>
          <cell r="AT897" t="str">
            <v>2025 - Batch 2</v>
          </cell>
          <cell r="AU897">
            <v>49</v>
          </cell>
          <cell r="AV897">
            <v>7</v>
          </cell>
          <cell r="AW897" t="str">
            <v>H+L</v>
          </cell>
          <cell r="AX897">
            <v>70</v>
          </cell>
          <cell r="AY897">
            <v>50</v>
          </cell>
          <cell r="AZ897" t="str">
            <v>Duplex</v>
          </cell>
          <cell r="BA897">
            <v>1</v>
          </cell>
          <cell r="BB897" t="str">
            <v>568 - Without Partition</v>
          </cell>
          <cell r="BC897" t="str">
            <v xml:space="preserve">Without Partition </v>
          </cell>
          <cell r="BD897" t="str">
            <v>Slant</v>
          </cell>
          <cell r="BE897" t="str">
            <v xml:space="preserve">Without Partition </v>
          </cell>
          <cell r="BF897" t="str">
            <v>GREEN</v>
          </cell>
          <cell r="BG897">
            <v>2568688.7287804699</v>
          </cell>
          <cell r="BH897">
            <v>2650000</v>
          </cell>
          <cell r="BI897">
            <v>100000</v>
          </cell>
          <cell r="BJ897">
            <v>2550000</v>
          </cell>
          <cell r="BK897">
            <v>0</v>
          </cell>
          <cell r="BL897">
            <v>2550000</v>
          </cell>
        </row>
        <row r="898">
          <cell r="D898" t="str">
            <v>OS</v>
          </cell>
          <cell r="E898"/>
          <cell r="F898">
            <v>878</v>
          </cell>
          <cell r="G898" t="str">
            <v>SOLD</v>
          </cell>
          <cell r="H898" t="str">
            <v>OS</v>
          </cell>
          <cell r="I898" t="str">
            <v>OS</v>
          </cell>
          <cell r="J898" t="str">
            <v>OS</v>
          </cell>
          <cell r="K898" t="str">
            <v>OS</v>
          </cell>
          <cell r="L898" t="str">
            <v>OS</v>
          </cell>
          <cell r="M898" t="str">
            <v>OS</v>
          </cell>
          <cell r="N898" t="str">
            <v>OS</v>
          </cell>
          <cell r="O898" t="str">
            <v>OS</v>
          </cell>
          <cell r="P898" t="str">
            <v>OS</v>
          </cell>
          <cell r="Q898" t="str">
            <v>OS</v>
          </cell>
          <cell r="R898" t="str">
            <v>OS</v>
          </cell>
          <cell r="S898" t="str">
            <v>OS</v>
          </cell>
          <cell r="T898" t="str">
            <v>OS</v>
          </cell>
          <cell r="U898" t="str">
            <v>OS</v>
          </cell>
          <cell r="V898" t="str">
            <v>OS</v>
          </cell>
          <cell r="W898" t="str">
            <v>OS</v>
          </cell>
          <cell r="X898" t="str">
            <v>OS</v>
          </cell>
          <cell r="Y898" t="str">
            <v>OS</v>
          </cell>
          <cell r="Z898" t="str">
            <v>OS</v>
          </cell>
          <cell r="AA898" t="str">
            <v>OS</v>
          </cell>
          <cell r="AB898" t="str">
            <v>OS</v>
          </cell>
          <cell r="AC898" t="str">
            <v>OS</v>
          </cell>
          <cell r="AD898" t="str">
            <v>AGM-01-049-008</v>
          </cell>
          <cell r="AE898" t="str">
            <v xml:space="preserve">Raemulan Lands, Inc. </v>
          </cell>
          <cell r="AF898" t="str">
            <v>Agapeya</v>
          </cell>
          <cell r="AG898" t="str">
            <v>AGM</v>
          </cell>
          <cell r="AH898" t="str">
            <v>Eco-High</v>
          </cell>
          <cell r="AI898" t="str">
            <v>West</v>
          </cell>
          <cell r="AJ898" t="str">
            <v>Without LTS</v>
          </cell>
          <cell r="AK898" t="str">
            <v>Unaffected lots</v>
          </cell>
          <cell r="AL898" t="str">
            <v>Unaffected lots</v>
          </cell>
          <cell r="AM898" t="b">
            <v>0</v>
          </cell>
          <cell r="AN898" t="str">
            <v>NO</v>
          </cell>
          <cell r="AO898" t="str">
            <v>2024 Batch</v>
          </cell>
          <cell r="AP898">
            <v>70</v>
          </cell>
          <cell r="AQ898" t="str">
            <v>PCS-04-034695</v>
          </cell>
          <cell r="AR898" t="b">
            <v>1</v>
          </cell>
          <cell r="AS898" t="str">
            <v>Done</v>
          </cell>
          <cell r="AT898" t="str">
            <v>2024 Batch</v>
          </cell>
          <cell r="AU898">
            <v>49</v>
          </cell>
          <cell r="AV898">
            <v>8</v>
          </cell>
          <cell r="AW898" t="str">
            <v>H+L</v>
          </cell>
          <cell r="AX898">
            <v>70</v>
          </cell>
          <cell r="AY898">
            <v>50</v>
          </cell>
          <cell r="AZ898" t="str">
            <v>Duplex</v>
          </cell>
          <cell r="BA898">
            <v>1</v>
          </cell>
          <cell r="BB898" t="str">
            <v>326 - With Partition</v>
          </cell>
          <cell r="BC898" t="str">
            <v>With Partition</v>
          </cell>
          <cell r="BD898" t="str">
            <v>Slant</v>
          </cell>
          <cell r="BE898" t="str">
            <v>With Partition</v>
          </cell>
          <cell r="BF898" t="str">
            <v>GREEN</v>
          </cell>
          <cell r="BG898">
            <v>2707500</v>
          </cell>
          <cell r="BH898">
            <v>2850000</v>
          </cell>
          <cell r="BI898">
            <v>100000</v>
          </cell>
          <cell r="BJ898">
            <v>2750000</v>
          </cell>
          <cell r="BK898">
            <v>0</v>
          </cell>
          <cell r="BL898">
            <v>2750000</v>
          </cell>
        </row>
        <row r="899">
          <cell r="D899" t="str">
            <v>OS</v>
          </cell>
          <cell r="E899"/>
          <cell r="F899">
            <v>879</v>
          </cell>
          <cell r="G899" t="str">
            <v>SOLD</v>
          </cell>
          <cell r="H899" t="str">
            <v>OS</v>
          </cell>
          <cell r="I899" t="str">
            <v>OS</v>
          </cell>
          <cell r="J899" t="str">
            <v>OS</v>
          </cell>
          <cell r="K899" t="str">
            <v>OS</v>
          </cell>
          <cell r="L899" t="str">
            <v>OS</v>
          </cell>
          <cell r="M899" t="str">
            <v>OS</v>
          </cell>
          <cell r="N899" t="str">
            <v>OS</v>
          </cell>
          <cell r="O899" t="str">
            <v>OS</v>
          </cell>
          <cell r="P899" t="str">
            <v>OS</v>
          </cell>
          <cell r="Q899" t="str">
            <v>OS</v>
          </cell>
          <cell r="R899" t="str">
            <v>OS</v>
          </cell>
          <cell r="S899" t="str">
            <v>OS</v>
          </cell>
          <cell r="T899" t="str">
            <v>OS</v>
          </cell>
          <cell r="U899" t="str">
            <v>OS</v>
          </cell>
          <cell r="V899" t="str">
            <v>OS</v>
          </cell>
          <cell r="W899" t="str">
            <v>OS</v>
          </cell>
          <cell r="X899" t="str">
            <v>OS</v>
          </cell>
          <cell r="Y899" t="str">
            <v>OS</v>
          </cell>
          <cell r="Z899" t="str">
            <v>OS</v>
          </cell>
          <cell r="AA899" t="str">
            <v>OS</v>
          </cell>
          <cell r="AB899" t="str">
            <v>OS</v>
          </cell>
          <cell r="AC899" t="str">
            <v>OS</v>
          </cell>
          <cell r="AD899" t="str">
            <v>AGM-01-049-009</v>
          </cell>
          <cell r="AE899" t="str">
            <v xml:space="preserve">Raemulan Lands, Inc. </v>
          </cell>
          <cell r="AF899" t="str">
            <v>Agapeya</v>
          </cell>
          <cell r="AG899" t="str">
            <v>AGM</v>
          </cell>
          <cell r="AH899" t="str">
            <v>Eco-High</v>
          </cell>
          <cell r="AI899" t="str">
            <v>West</v>
          </cell>
          <cell r="AJ899" t="str">
            <v>Without LTS</v>
          </cell>
          <cell r="AK899" t="str">
            <v>Unaffected lots</v>
          </cell>
          <cell r="AL899" t="str">
            <v>Unaffected lots</v>
          </cell>
          <cell r="AM899" t="b">
            <v>0</v>
          </cell>
          <cell r="AN899" t="str">
            <v>NO</v>
          </cell>
          <cell r="AO899" t="str">
            <v>2024 Batch</v>
          </cell>
          <cell r="AP899">
            <v>70</v>
          </cell>
          <cell r="AQ899" t="str">
            <v>PCS-04-034695</v>
          </cell>
          <cell r="AR899" t="b">
            <v>1</v>
          </cell>
          <cell r="AS899" t="str">
            <v>Done</v>
          </cell>
          <cell r="AT899" t="str">
            <v>2024 Batch</v>
          </cell>
          <cell r="AU899">
            <v>49</v>
          </cell>
          <cell r="AV899">
            <v>9</v>
          </cell>
          <cell r="AW899" t="str">
            <v>H+L</v>
          </cell>
          <cell r="AX899">
            <v>70</v>
          </cell>
          <cell r="AY899">
            <v>50</v>
          </cell>
          <cell r="AZ899" t="str">
            <v>Duplex</v>
          </cell>
          <cell r="BA899">
            <v>1</v>
          </cell>
          <cell r="BB899" t="str">
            <v>326 - With Partition</v>
          </cell>
          <cell r="BC899" t="str">
            <v>With Partition</v>
          </cell>
          <cell r="BD899" t="str">
            <v>Flat</v>
          </cell>
          <cell r="BE899" t="str">
            <v>With Partition</v>
          </cell>
          <cell r="BF899" t="str">
            <v>GREEN</v>
          </cell>
          <cell r="BG899">
            <v>2707500</v>
          </cell>
          <cell r="BH899">
            <v>2850000</v>
          </cell>
          <cell r="BI899">
            <v>100000</v>
          </cell>
          <cell r="BJ899">
            <v>2750000</v>
          </cell>
          <cell r="BK899">
            <v>0</v>
          </cell>
          <cell r="BL899">
            <v>2750000</v>
          </cell>
        </row>
        <row r="900">
          <cell r="D900" t="str">
            <v>OS</v>
          </cell>
          <cell r="E900"/>
          <cell r="F900">
            <v>880</v>
          </cell>
          <cell r="G900" t="str">
            <v>SOLD</v>
          </cell>
          <cell r="H900" t="str">
            <v>OS</v>
          </cell>
          <cell r="I900" t="str">
            <v>OS</v>
          </cell>
          <cell r="J900" t="str">
            <v>OS</v>
          </cell>
          <cell r="K900" t="str">
            <v>OS</v>
          </cell>
          <cell r="L900" t="str">
            <v>OS</v>
          </cell>
          <cell r="M900" t="str">
            <v>OS</v>
          </cell>
          <cell r="N900" t="str">
            <v>OS</v>
          </cell>
          <cell r="O900" t="str">
            <v>OS</v>
          </cell>
          <cell r="P900" t="str">
            <v>OS</v>
          </cell>
          <cell r="Q900" t="str">
            <v>OS</v>
          </cell>
          <cell r="R900" t="str">
            <v>OS</v>
          </cell>
          <cell r="S900" t="str">
            <v>OS</v>
          </cell>
          <cell r="T900" t="str">
            <v>OS</v>
          </cell>
          <cell r="U900" t="str">
            <v>OS</v>
          </cell>
          <cell r="V900" t="str">
            <v>OS</v>
          </cell>
          <cell r="W900" t="str">
            <v>OS</v>
          </cell>
          <cell r="X900" t="str">
            <v>OS</v>
          </cell>
          <cell r="Y900" t="str">
            <v>OS</v>
          </cell>
          <cell r="Z900" t="str">
            <v>OS</v>
          </cell>
          <cell r="AA900" t="str">
            <v>OS</v>
          </cell>
          <cell r="AB900" t="str">
            <v>OS</v>
          </cell>
          <cell r="AC900" t="str">
            <v>OS</v>
          </cell>
          <cell r="AD900" t="str">
            <v>AGM-01-049-010</v>
          </cell>
          <cell r="AE900" t="str">
            <v xml:space="preserve">Raemulan Lands, Inc. </v>
          </cell>
          <cell r="AF900" t="str">
            <v>Agapeya</v>
          </cell>
          <cell r="AG900" t="str">
            <v>AGM</v>
          </cell>
          <cell r="AH900" t="str">
            <v>Eco-High</v>
          </cell>
          <cell r="AI900" t="str">
            <v>West</v>
          </cell>
          <cell r="AJ900" t="str">
            <v>Without LTS</v>
          </cell>
          <cell r="AK900" t="str">
            <v>NO VSR</v>
          </cell>
          <cell r="AL900" t="str">
            <v>NA</v>
          </cell>
          <cell r="AM900" t="b">
            <v>0</v>
          </cell>
          <cell r="AN900" t="str">
            <v>NO</v>
          </cell>
          <cell r="AO900" t="str">
            <v>2024 Batch</v>
          </cell>
          <cell r="AP900">
            <v>69</v>
          </cell>
          <cell r="AQ900" t="str">
            <v>PCS-04-034695</v>
          </cell>
          <cell r="AR900" t="b">
            <v>1</v>
          </cell>
          <cell r="AS900" t="str">
            <v>Done</v>
          </cell>
          <cell r="AT900" t="str">
            <v>2024 Batch</v>
          </cell>
          <cell r="AU900">
            <v>49</v>
          </cell>
          <cell r="AV900">
            <v>10</v>
          </cell>
          <cell r="AW900" t="str">
            <v>H+L</v>
          </cell>
          <cell r="AX900">
            <v>69</v>
          </cell>
          <cell r="AY900">
            <v>50</v>
          </cell>
          <cell r="AZ900" t="str">
            <v>Duplex</v>
          </cell>
          <cell r="BA900">
            <v>1</v>
          </cell>
          <cell r="BB900" t="str">
            <v>326 - With Partition</v>
          </cell>
          <cell r="BC900" t="str">
            <v>With Partition</v>
          </cell>
          <cell r="BD900" t="str">
            <v>Slant</v>
          </cell>
          <cell r="BE900" t="str">
            <v>With Partition</v>
          </cell>
          <cell r="BF900" t="str">
            <v>YELLOW</v>
          </cell>
          <cell r="BG900">
            <v>2500000</v>
          </cell>
          <cell r="BH900">
            <v>2850000</v>
          </cell>
          <cell r="BI900">
            <v>100000</v>
          </cell>
          <cell r="BJ900">
            <v>2750000</v>
          </cell>
          <cell r="BK900">
            <v>0</v>
          </cell>
          <cell r="BL900">
            <v>2750000</v>
          </cell>
        </row>
        <row r="901">
          <cell r="D901" t="str">
            <v>OS</v>
          </cell>
          <cell r="E901"/>
          <cell r="F901">
            <v>881</v>
          </cell>
          <cell r="G901" t="str">
            <v>SOLD</v>
          </cell>
          <cell r="H901" t="str">
            <v>OS</v>
          </cell>
          <cell r="I901" t="str">
            <v>OS</v>
          </cell>
          <cell r="J901" t="str">
            <v>OS</v>
          </cell>
          <cell r="K901" t="str">
            <v>OS</v>
          </cell>
          <cell r="L901" t="str">
            <v>OS</v>
          </cell>
          <cell r="M901" t="str">
            <v>OS</v>
          </cell>
          <cell r="N901" t="str">
            <v>OS</v>
          </cell>
          <cell r="O901" t="str">
            <v>OS</v>
          </cell>
          <cell r="P901" t="str">
            <v>OS</v>
          </cell>
          <cell r="Q901" t="str">
            <v>OS</v>
          </cell>
          <cell r="R901" t="str">
            <v>OS</v>
          </cell>
          <cell r="S901" t="str">
            <v>OS</v>
          </cell>
          <cell r="T901" t="str">
            <v>OS</v>
          </cell>
          <cell r="U901" t="str">
            <v>OS</v>
          </cell>
          <cell r="V901" t="str">
            <v>OS</v>
          </cell>
          <cell r="W901" t="str">
            <v>OS</v>
          </cell>
          <cell r="X901" t="str">
            <v>OS</v>
          </cell>
          <cell r="Y901" t="str">
            <v>OS</v>
          </cell>
          <cell r="Z901" t="str">
            <v>OS</v>
          </cell>
          <cell r="AA901" t="str">
            <v>OS</v>
          </cell>
          <cell r="AB901" t="str">
            <v>OS</v>
          </cell>
          <cell r="AC901" t="str">
            <v>OS</v>
          </cell>
          <cell r="AD901" t="str">
            <v>AGM-01-049-011</v>
          </cell>
          <cell r="AE901" t="str">
            <v xml:space="preserve">Raemulan Lands, Inc. </v>
          </cell>
          <cell r="AF901" t="str">
            <v>Agapeya</v>
          </cell>
          <cell r="AG901" t="str">
            <v>AGM</v>
          </cell>
          <cell r="AH901" t="str">
            <v>Eco-High</v>
          </cell>
          <cell r="AI901" t="str">
            <v>West</v>
          </cell>
          <cell r="AJ901" t="str">
            <v>Without LTS</v>
          </cell>
          <cell r="AK901" t="str">
            <v>NO VSR</v>
          </cell>
          <cell r="AL901" t="str">
            <v>NA</v>
          </cell>
          <cell r="AM901" t="b">
            <v>0</v>
          </cell>
          <cell r="AN901" t="str">
            <v>NO</v>
          </cell>
          <cell r="AO901" t="str">
            <v>2024 Batch</v>
          </cell>
          <cell r="AP901">
            <v>69</v>
          </cell>
          <cell r="AQ901" t="str">
            <v>PCS-04-034695</v>
          </cell>
          <cell r="AR901" t="b">
            <v>1</v>
          </cell>
          <cell r="AS901" t="str">
            <v>Done</v>
          </cell>
          <cell r="AT901" t="str">
            <v>2024 Batch</v>
          </cell>
          <cell r="AU901">
            <v>49</v>
          </cell>
          <cell r="AV901">
            <v>11</v>
          </cell>
          <cell r="AW901" t="str">
            <v>H+L</v>
          </cell>
          <cell r="AX901">
            <v>69</v>
          </cell>
          <cell r="AY901">
            <v>50</v>
          </cell>
          <cell r="AZ901" t="str">
            <v>Duplex</v>
          </cell>
          <cell r="BA901">
            <v>1</v>
          </cell>
          <cell r="BB901" t="str">
            <v>326 - With Partition</v>
          </cell>
          <cell r="BC901" t="str">
            <v>With Partition</v>
          </cell>
          <cell r="BD901" t="str">
            <v>Flat</v>
          </cell>
          <cell r="BE901" t="str">
            <v>With Partition</v>
          </cell>
          <cell r="BF901" t="str">
            <v>YELLOW</v>
          </cell>
          <cell r="BG901">
            <v>2707500</v>
          </cell>
          <cell r="BH901">
            <v>2850000</v>
          </cell>
          <cell r="BI901">
            <v>100000</v>
          </cell>
          <cell r="BJ901">
            <v>2750000</v>
          </cell>
          <cell r="BK901">
            <v>0</v>
          </cell>
          <cell r="BL901">
            <v>2750000</v>
          </cell>
        </row>
        <row r="902">
          <cell r="D902" t="str">
            <v>OS</v>
          </cell>
          <cell r="E902"/>
          <cell r="F902">
            <v>882</v>
          </cell>
          <cell r="G902" t="str">
            <v>SOLD</v>
          </cell>
          <cell r="H902" t="str">
            <v>OS</v>
          </cell>
          <cell r="I902" t="str">
            <v>OS</v>
          </cell>
          <cell r="J902" t="str">
            <v>OS</v>
          </cell>
          <cell r="K902" t="str">
            <v>OS</v>
          </cell>
          <cell r="L902" t="str">
            <v>OS</v>
          </cell>
          <cell r="M902" t="str">
            <v>OS</v>
          </cell>
          <cell r="N902" t="str">
            <v>OS</v>
          </cell>
          <cell r="O902" t="str">
            <v>OS</v>
          </cell>
          <cell r="P902" t="str">
            <v>OS</v>
          </cell>
          <cell r="Q902" t="str">
            <v>OS</v>
          </cell>
          <cell r="R902" t="str">
            <v>OS</v>
          </cell>
          <cell r="S902" t="str">
            <v>OS</v>
          </cell>
          <cell r="T902" t="str">
            <v>OS</v>
          </cell>
          <cell r="U902" t="str">
            <v>OS</v>
          </cell>
          <cell r="V902" t="str">
            <v>OS</v>
          </cell>
          <cell r="W902" t="str">
            <v>OS</v>
          </cell>
          <cell r="X902" t="str">
            <v>OS</v>
          </cell>
          <cell r="Y902" t="str">
            <v>OS</v>
          </cell>
          <cell r="Z902" t="str">
            <v>OS</v>
          </cell>
          <cell r="AA902" t="str">
            <v>OS</v>
          </cell>
          <cell r="AB902" t="str">
            <v>OS</v>
          </cell>
          <cell r="AC902" t="str">
            <v>OS</v>
          </cell>
          <cell r="AD902" t="str">
            <v>AGM-01-049-012</v>
          </cell>
          <cell r="AE902" t="str">
            <v xml:space="preserve">Raemulan Lands, Inc. </v>
          </cell>
          <cell r="AF902" t="str">
            <v>Agapeya</v>
          </cell>
          <cell r="AG902" t="str">
            <v>AGM</v>
          </cell>
          <cell r="AH902" t="str">
            <v>Eco-High</v>
          </cell>
          <cell r="AI902" t="str">
            <v>West</v>
          </cell>
          <cell r="AJ902" t="str">
            <v>Without LTS</v>
          </cell>
          <cell r="AK902" t="str">
            <v>Unaffected lots</v>
          </cell>
          <cell r="AL902" t="str">
            <v>Unaffected lots</v>
          </cell>
          <cell r="AM902" t="b">
            <v>0</v>
          </cell>
          <cell r="AN902" t="str">
            <v>NO</v>
          </cell>
          <cell r="AO902" t="str">
            <v>B2 2025</v>
          </cell>
          <cell r="AP902">
            <v>70</v>
          </cell>
          <cell r="AQ902" t="str">
            <v>PCS-04-034695</v>
          </cell>
          <cell r="AR902" t="b">
            <v>1</v>
          </cell>
          <cell r="AS902" t="str">
            <v>Done</v>
          </cell>
          <cell r="AT902" t="str">
            <v>2025 - Batch 2</v>
          </cell>
          <cell r="AU902">
            <v>49</v>
          </cell>
          <cell r="AV902">
            <v>12</v>
          </cell>
          <cell r="AW902" t="str">
            <v>H+L</v>
          </cell>
          <cell r="AX902">
            <v>70</v>
          </cell>
          <cell r="AY902">
            <v>50</v>
          </cell>
          <cell r="AZ902" t="str">
            <v>Duplex</v>
          </cell>
          <cell r="BA902">
            <v>1</v>
          </cell>
          <cell r="BB902" t="str">
            <v>568 - Without Partition</v>
          </cell>
          <cell r="BC902" t="str">
            <v xml:space="preserve">Without Partition </v>
          </cell>
          <cell r="BD902" t="str">
            <v>Flat</v>
          </cell>
          <cell r="BE902" t="str">
            <v xml:space="preserve">Without Partition </v>
          </cell>
          <cell r="BF902" t="str">
            <v>YELLOW</v>
          </cell>
          <cell r="BG902">
            <v>2568688.7287804699</v>
          </cell>
          <cell r="BH902">
            <v>2650000</v>
          </cell>
          <cell r="BI902">
            <v>100000</v>
          </cell>
          <cell r="BJ902">
            <v>2550000</v>
          </cell>
          <cell r="BK902">
            <v>0</v>
          </cell>
          <cell r="BL902">
            <v>2550000</v>
          </cell>
        </row>
        <row r="903">
          <cell r="D903" t="str">
            <v>OS</v>
          </cell>
          <cell r="E903"/>
          <cell r="F903">
            <v>883</v>
          </cell>
          <cell r="G903" t="str">
            <v>SOLD</v>
          </cell>
          <cell r="H903" t="str">
            <v>OS</v>
          </cell>
          <cell r="I903" t="str">
            <v>OS</v>
          </cell>
          <cell r="J903" t="str">
            <v>OS</v>
          </cell>
          <cell r="K903" t="str">
            <v>OS</v>
          </cell>
          <cell r="L903" t="str">
            <v>OS</v>
          </cell>
          <cell r="M903" t="str">
            <v>OS</v>
          </cell>
          <cell r="N903" t="str">
            <v>OS</v>
          </cell>
          <cell r="O903" t="str">
            <v>OS</v>
          </cell>
          <cell r="P903" t="str">
            <v>OS</v>
          </cell>
          <cell r="Q903" t="str">
            <v>OS</v>
          </cell>
          <cell r="R903" t="str">
            <v>OS</v>
          </cell>
          <cell r="S903" t="str">
            <v>OS</v>
          </cell>
          <cell r="T903" t="str">
            <v>OS</v>
          </cell>
          <cell r="U903" t="str">
            <v>OS</v>
          </cell>
          <cell r="V903" t="str">
            <v>OS</v>
          </cell>
          <cell r="W903" t="str">
            <v>OS</v>
          </cell>
          <cell r="X903" t="str">
            <v>OS</v>
          </cell>
          <cell r="Y903" t="str">
            <v>OS</v>
          </cell>
          <cell r="Z903" t="str">
            <v>OS</v>
          </cell>
          <cell r="AA903" t="str">
            <v>OS</v>
          </cell>
          <cell r="AB903" t="str">
            <v>OS</v>
          </cell>
          <cell r="AC903" t="str">
            <v>OS</v>
          </cell>
          <cell r="AD903" t="str">
            <v>AGM-01-049-013</v>
          </cell>
          <cell r="AE903" t="str">
            <v xml:space="preserve">Raemulan Lands, Inc. </v>
          </cell>
          <cell r="AF903" t="str">
            <v>Agapeya</v>
          </cell>
          <cell r="AG903" t="str">
            <v>AGM</v>
          </cell>
          <cell r="AH903" t="str">
            <v>Eco-High</v>
          </cell>
          <cell r="AI903" t="str">
            <v>West</v>
          </cell>
          <cell r="AJ903" t="str">
            <v>Without LTS</v>
          </cell>
          <cell r="AK903" t="str">
            <v>Unaffected lots</v>
          </cell>
          <cell r="AL903" t="str">
            <v>Unaffected lots</v>
          </cell>
          <cell r="AM903" t="b">
            <v>0</v>
          </cell>
          <cell r="AN903" t="str">
            <v>NO</v>
          </cell>
          <cell r="AO903" t="str">
            <v>B2 2025</v>
          </cell>
          <cell r="AP903">
            <v>70</v>
          </cell>
          <cell r="AQ903" t="str">
            <v>PCS-04-034695</v>
          </cell>
          <cell r="AR903" t="b">
            <v>1</v>
          </cell>
          <cell r="AS903" t="str">
            <v>Done</v>
          </cell>
          <cell r="AT903" t="str">
            <v>2025 - Batch 2</v>
          </cell>
          <cell r="AU903">
            <v>49</v>
          </cell>
          <cell r="AV903">
            <v>13</v>
          </cell>
          <cell r="AW903" t="str">
            <v>H+L</v>
          </cell>
          <cell r="AX903">
            <v>70</v>
          </cell>
          <cell r="AY903">
            <v>50</v>
          </cell>
          <cell r="AZ903" t="str">
            <v>Duplex</v>
          </cell>
          <cell r="BA903">
            <v>1</v>
          </cell>
          <cell r="BB903" t="str">
            <v>568 - Without Partition</v>
          </cell>
          <cell r="BC903" t="str">
            <v xml:space="preserve">Without Partition </v>
          </cell>
          <cell r="BD903" t="str">
            <v>Slant</v>
          </cell>
          <cell r="BE903" t="str">
            <v xml:space="preserve">Without Partition </v>
          </cell>
          <cell r="BF903" t="str">
            <v>YELLOW</v>
          </cell>
          <cell r="BG903">
            <v>2568688.7287804699</v>
          </cell>
          <cell r="BH903">
            <v>2650000</v>
          </cell>
          <cell r="BI903">
            <v>100000</v>
          </cell>
          <cell r="BJ903">
            <v>2550000</v>
          </cell>
          <cell r="BK903">
            <v>0</v>
          </cell>
          <cell r="BL903">
            <v>2550000</v>
          </cell>
        </row>
        <row r="904">
          <cell r="D904" t="str">
            <v>OS</v>
          </cell>
          <cell r="E904"/>
          <cell r="F904">
            <v>884</v>
          </cell>
          <cell r="G904" t="str">
            <v>SOLD</v>
          </cell>
          <cell r="H904" t="str">
            <v>OS</v>
          </cell>
          <cell r="I904" t="str">
            <v>OS</v>
          </cell>
          <cell r="J904" t="str">
            <v>WITH BRN</v>
          </cell>
          <cell r="K904" t="str">
            <v>TS</v>
          </cell>
          <cell r="L904" t="str">
            <v>TS</v>
          </cell>
          <cell r="M904" t="str">
            <v>OS</v>
          </cell>
          <cell r="N904" t="str">
            <v>TS</v>
          </cell>
          <cell r="O904" t="str">
            <v>TS</v>
          </cell>
          <cell r="P904" t="str">
            <v>TS</v>
          </cell>
          <cell r="Q904" t="str">
            <v>TS</v>
          </cell>
          <cell r="R904" t="str">
            <v>TS</v>
          </cell>
          <cell r="S904" t="str">
            <v>TS</v>
          </cell>
          <cell r="T904" t="str">
            <v>TS</v>
          </cell>
          <cell r="U904" t="str">
            <v>OS</v>
          </cell>
          <cell r="V904" t="str">
            <v>OS</v>
          </cell>
          <cell r="W904" t="str">
            <v>OS</v>
          </cell>
          <cell r="X904" t="str">
            <v>OS</v>
          </cell>
          <cell r="Y904" t="str">
            <v>OS</v>
          </cell>
          <cell r="Z904" t="str">
            <v>OS</v>
          </cell>
          <cell r="AA904" t="str">
            <v>OS</v>
          </cell>
          <cell r="AB904" t="str">
            <v>OS</v>
          </cell>
          <cell r="AC904" t="str">
            <v>OS</v>
          </cell>
          <cell r="AD904" t="str">
            <v>AGM-01-049-014</v>
          </cell>
          <cell r="AE904" t="str">
            <v xml:space="preserve">Raemulan Lands, Inc. </v>
          </cell>
          <cell r="AF904" t="str">
            <v>Agapeya</v>
          </cell>
          <cell r="AG904" t="str">
            <v>AGM</v>
          </cell>
          <cell r="AH904" t="str">
            <v>Eco-High</v>
          </cell>
          <cell r="AI904" t="str">
            <v>West</v>
          </cell>
          <cell r="AJ904" t="str">
            <v>Without LTS</v>
          </cell>
          <cell r="AK904" t="str">
            <v>Unaffected lots</v>
          </cell>
          <cell r="AL904" t="str">
            <v>Unaffected lots</v>
          </cell>
          <cell r="AM904" t="b">
            <v>0</v>
          </cell>
          <cell r="AN904" t="str">
            <v>NO</v>
          </cell>
          <cell r="AO904" t="str">
            <v>B2 2025</v>
          </cell>
          <cell r="AP904">
            <v>70</v>
          </cell>
          <cell r="AQ904" t="str">
            <v>PCS-04-034695</v>
          </cell>
          <cell r="AR904" t="b">
            <v>1</v>
          </cell>
          <cell r="AS904" t="str">
            <v>Done</v>
          </cell>
          <cell r="AT904" t="str">
            <v>2025 - Batch 2</v>
          </cell>
          <cell r="AU904">
            <v>49</v>
          </cell>
          <cell r="AV904">
            <v>14</v>
          </cell>
          <cell r="AW904" t="str">
            <v>H+L</v>
          </cell>
          <cell r="AX904">
            <v>70</v>
          </cell>
          <cell r="AY904">
            <v>50</v>
          </cell>
          <cell r="AZ904" t="str">
            <v>Duplex</v>
          </cell>
          <cell r="BA904">
            <v>1</v>
          </cell>
          <cell r="BB904" t="str">
            <v>568 - Without Partition</v>
          </cell>
          <cell r="BC904" t="str">
            <v xml:space="preserve">Without Partition </v>
          </cell>
          <cell r="BD904" t="str">
            <v>Slant</v>
          </cell>
          <cell r="BE904" t="str">
            <v xml:space="preserve">Without Partition </v>
          </cell>
          <cell r="BF904" t="str">
            <v>PURPLE</v>
          </cell>
          <cell r="BG904">
            <v>2500000</v>
          </cell>
          <cell r="BH904">
            <v>2650000</v>
          </cell>
          <cell r="BI904">
            <v>100000</v>
          </cell>
          <cell r="BJ904">
            <v>2550000</v>
          </cell>
          <cell r="BK904">
            <v>0</v>
          </cell>
          <cell r="BL904">
            <v>2550000</v>
          </cell>
        </row>
        <row r="905">
          <cell r="D905" t="str">
            <v>OS</v>
          </cell>
          <cell r="E905"/>
          <cell r="F905">
            <v>885</v>
          </cell>
          <cell r="G905" t="str">
            <v>SOLD</v>
          </cell>
          <cell r="H905" t="str">
            <v>FOR CANCELLATION</v>
          </cell>
          <cell r="I905" t="str">
            <v>FOR CANCELLATION</v>
          </cell>
          <cell r="J905" t="str">
            <v>TS</v>
          </cell>
          <cell r="K905" t="str">
            <v>TS</v>
          </cell>
          <cell r="L905" t="str">
            <v>TS</v>
          </cell>
          <cell r="M905" t="str">
            <v>TS</v>
          </cell>
          <cell r="N905" t="str">
            <v>OS</v>
          </cell>
          <cell r="O905" t="str">
            <v>OS</v>
          </cell>
          <cell r="P905" t="str">
            <v>OS</v>
          </cell>
          <cell r="Q905" t="str">
            <v>OS</v>
          </cell>
          <cell r="R905" t="str">
            <v>OS</v>
          </cell>
          <cell r="S905" t="str">
            <v>OS</v>
          </cell>
          <cell r="T905" t="str">
            <v>OS</v>
          </cell>
          <cell r="U905" t="str">
            <v>OS</v>
          </cell>
          <cell r="V905" t="str">
            <v>OS</v>
          </cell>
          <cell r="W905" t="str">
            <v>OS</v>
          </cell>
          <cell r="X905" t="str">
            <v>OS</v>
          </cell>
          <cell r="Y905" t="str">
            <v>OS</v>
          </cell>
          <cell r="Z905" t="str">
            <v>OS</v>
          </cell>
          <cell r="AA905" t="str">
            <v>OS</v>
          </cell>
          <cell r="AB905" t="str">
            <v>OS</v>
          </cell>
          <cell r="AC905" t="str">
            <v>OS</v>
          </cell>
          <cell r="AD905" t="str">
            <v>AGM-01-049-015</v>
          </cell>
          <cell r="AE905" t="str">
            <v xml:space="preserve">Raemulan Lands, Inc. </v>
          </cell>
          <cell r="AF905" t="str">
            <v>Agapeya</v>
          </cell>
          <cell r="AG905" t="str">
            <v>AGM</v>
          </cell>
          <cell r="AH905" t="str">
            <v>Eco-High</v>
          </cell>
          <cell r="AI905" t="str">
            <v>West</v>
          </cell>
          <cell r="AJ905" t="str">
            <v>Without LTS</v>
          </cell>
          <cell r="AK905" t="str">
            <v>Unaffected lots</v>
          </cell>
          <cell r="AL905" t="str">
            <v>Unaffected lots</v>
          </cell>
          <cell r="AM905" t="b">
            <v>0</v>
          </cell>
          <cell r="AN905" t="str">
            <v>NO</v>
          </cell>
          <cell r="AO905" t="str">
            <v>B2 2025</v>
          </cell>
          <cell r="AP905">
            <v>70</v>
          </cell>
          <cell r="AQ905" t="str">
            <v>PCS-04-034695</v>
          </cell>
          <cell r="AR905" t="b">
            <v>1</v>
          </cell>
          <cell r="AS905" t="str">
            <v>Done</v>
          </cell>
          <cell r="AT905" t="str">
            <v>2025 - Batch 2</v>
          </cell>
          <cell r="AU905">
            <v>49</v>
          </cell>
          <cell r="AV905">
            <v>15</v>
          </cell>
          <cell r="AW905" t="str">
            <v>H+L</v>
          </cell>
          <cell r="AX905">
            <v>70</v>
          </cell>
          <cell r="AY905">
            <v>50</v>
          </cell>
          <cell r="AZ905" t="str">
            <v>Duplex</v>
          </cell>
          <cell r="BA905">
            <v>1</v>
          </cell>
          <cell r="BB905" t="str">
            <v>568 - Without Partition</v>
          </cell>
          <cell r="BC905" t="str">
            <v xml:space="preserve">Without Partition </v>
          </cell>
          <cell r="BD905" t="str">
            <v>Flat</v>
          </cell>
          <cell r="BE905" t="str">
            <v xml:space="preserve">Without Partition </v>
          </cell>
          <cell r="BF905" t="str">
            <v>PURPLE</v>
          </cell>
          <cell r="BG905">
            <v>2500000</v>
          </cell>
          <cell r="BH905">
            <v>2650000</v>
          </cell>
          <cell r="BI905">
            <v>100000</v>
          </cell>
          <cell r="BJ905">
            <v>2550000</v>
          </cell>
          <cell r="BK905">
            <v>0</v>
          </cell>
          <cell r="BL905">
            <v>2550000</v>
          </cell>
        </row>
        <row r="906">
          <cell r="D906" t="str">
            <v>OS</v>
          </cell>
          <cell r="E906"/>
          <cell r="F906">
            <v>886</v>
          </cell>
          <cell r="G906" t="str">
            <v>SOLD</v>
          </cell>
          <cell r="H906" t="str">
            <v>OS</v>
          </cell>
          <cell r="I906" t="str">
            <v>OS</v>
          </cell>
          <cell r="J906" t="str">
            <v>OS</v>
          </cell>
          <cell r="K906" t="str">
            <v>OS</v>
          </cell>
          <cell r="L906" t="str">
            <v>OS</v>
          </cell>
          <cell r="M906" t="str">
            <v>OS</v>
          </cell>
          <cell r="N906" t="str">
            <v>OS</v>
          </cell>
          <cell r="O906" t="str">
            <v>OS</v>
          </cell>
          <cell r="P906" t="str">
            <v>OS</v>
          </cell>
          <cell r="Q906" t="str">
            <v>OS</v>
          </cell>
          <cell r="R906" t="str">
            <v>OS</v>
          </cell>
          <cell r="S906" t="str">
            <v>OS</v>
          </cell>
          <cell r="T906" t="str">
            <v>OS</v>
          </cell>
          <cell r="U906" t="str">
            <v>OS</v>
          </cell>
          <cell r="V906" t="str">
            <v>OS</v>
          </cell>
          <cell r="W906" t="str">
            <v>OS</v>
          </cell>
          <cell r="X906" t="str">
            <v>OS</v>
          </cell>
          <cell r="Y906" t="str">
            <v>OS</v>
          </cell>
          <cell r="Z906" t="str">
            <v>OS</v>
          </cell>
          <cell r="AA906" t="str">
            <v>OS</v>
          </cell>
          <cell r="AB906" t="str">
            <v>OS</v>
          </cell>
          <cell r="AC906" t="str">
            <v>OS</v>
          </cell>
          <cell r="AD906" t="str">
            <v>AGM-01-049-016</v>
          </cell>
          <cell r="AE906" t="str">
            <v xml:space="preserve">Raemulan Lands, Inc. </v>
          </cell>
          <cell r="AF906" t="str">
            <v>Agapeya</v>
          </cell>
          <cell r="AG906" t="str">
            <v>AGM</v>
          </cell>
          <cell r="AH906" t="str">
            <v>Eco-High</v>
          </cell>
          <cell r="AI906" t="str">
            <v>West</v>
          </cell>
          <cell r="AJ906" t="str">
            <v>Without LTS</v>
          </cell>
          <cell r="AK906" t="str">
            <v>Unaffected lots</v>
          </cell>
          <cell r="AL906" t="str">
            <v>Unaffected lots</v>
          </cell>
          <cell r="AM906" t="b">
            <v>0</v>
          </cell>
          <cell r="AN906" t="str">
            <v>NO</v>
          </cell>
          <cell r="AO906" t="str">
            <v>2024 Batch</v>
          </cell>
          <cell r="AP906">
            <v>70</v>
          </cell>
          <cell r="AQ906" t="str">
            <v>PCS-04-034695</v>
          </cell>
          <cell r="AR906" t="b">
            <v>1</v>
          </cell>
          <cell r="AS906" t="str">
            <v>Done</v>
          </cell>
          <cell r="AT906" t="str">
            <v>2024 Batch</v>
          </cell>
          <cell r="AU906">
            <v>49</v>
          </cell>
          <cell r="AV906">
            <v>16</v>
          </cell>
          <cell r="AW906" t="str">
            <v>H+L</v>
          </cell>
          <cell r="AX906">
            <v>70</v>
          </cell>
          <cell r="AY906">
            <v>50</v>
          </cell>
          <cell r="AZ906" t="str">
            <v>Duplex</v>
          </cell>
          <cell r="BA906">
            <v>1</v>
          </cell>
          <cell r="BB906" t="str">
            <v>326 - With Partition</v>
          </cell>
          <cell r="BC906" t="str">
            <v>With Partition</v>
          </cell>
          <cell r="BD906" t="str">
            <v>Flat</v>
          </cell>
          <cell r="BE906" t="str">
            <v>With Partition</v>
          </cell>
          <cell r="BF906" t="str">
            <v>PURPLE</v>
          </cell>
          <cell r="BG906">
            <v>2707500</v>
          </cell>
          <cell r="BH906">
            <v>2850000</v>
          </cell>
          <cell r="BI906">
            <v>100000</v>
          </cell>
          <cell r="BJ906">
            <v>2750000</v>
          </cell>
          <cell r="BK906">
            <v>0</v>
          </cell>
          <cell r="BL906">
            <v>2750000</v>
          </cell>
        </row>
        <row r="907">
          <cell r="D907" t="str">
            <v>OS</v>
          </cell>
          <cell r="E907"/>
          <cell r="F907">
            <v>887</v>
          </cell>
          <cell r="G907" t="str">
            <v>SOLD</v>
          </cell>
          <cell r="H907" t="str">
            <v>OS</v>
          </cell>
          <cell r="I907" t="str">
            <v>OS</v>
          </cell>
          <cell r="J907" t="str">
            <v>OS</v>
          </cell>
          <cell r="K907" t="str">
            <v>OS</v>
          </cell>
          <cell r="L907" t="str">
            <v>OS</v>
          </cell>
          <cell r="M907" t="str">
            <v>OS</v>
          </cell>
          <cell r="N907" t="str">
            <v>OS</v>
          </cell>
          <cell r="O907" t="str">
            <v>OS</v>
          </cell>
          <cell r="P907" t="str">
            <v>OS</v>
          </cell>
          <cell r="Q907" t="str">
            <v>OS</v>
          </cell>
          <cell r="R907" t="str">
            <v>OS</v>
          </cell>
          <cell r="S907" t="str">
            <v>OS</v>
          </cell>
          <cell r="T907" t="str">
            <v>OS</v>
          </cell>
          <cell r="U907" t="str">
            <v>OS</v>
          </cell>
          <cell r="V907" t="str">
            <v>OS</v>
          </cell>
          <cell r="W907" t="str">
            <v>OS</v>
          </cell>
          <cell r="X907" t="str">
            <v>OS</v>
          </cell>
          <cell r="Y907" t="str">
            <v>OS</v>
          </cell>
          <cell r="Z907" t="str">
            <v>OS</v>
          </cell>
          <cell r="AA907" t="str">
            <v>OS</v>
          </cell>
          <cell r="AB907" t="str">
            <v>OS</v>
          </cell>
          <cell r="AC907" t="str">
            <v>OS</v>
          </cell>
          <cell r="AD907" t="str">
            <v>AGM-01-049-017</v>
          </cell>
          <cell r="AE907" t="str">
            <v xml:space="preserve">Raemulan Lands, Inc. </v>
          </cell>
          <cell r="AF907" t="str">
            <v>Agapeya</v>
          </cell>
          <cell r="AG907" t="str">
            <v>AGM</v>
          </cell>
          <cell r="AH907" t="str">
            <v>Eco-High</v>
          </cell>
          <cell r="AI907" t="str">
            <v>West</v>
          </cell>
          <cell r="AJ907" t="str">
            <v>Without LTS</v>
          </cell>
          <cell r="AK907" t="str">
            <v>Unaffected lots</v>
          </cell>
          <cell r="AL907" t="str">
            <v>Unaffected lots</v>
          </cell>
          <cell r="AM907" t="b">
            <v>0</v>
          </cell>
          <cell r="AN907" t="str">
            <v>NO</v>
          </cell>
          <cell r="AO907" t="str">
            <v>2024 Batch</v>
          </cell>
          <cell r="AP907">
            <v>70</v>
          </cell>
          <cell r="AQ907" t="str">
            <v>PCS-04-034695</v>
          </cell>
          <cell r="AR907" t="b">
            <v>1</v>
          </cell>
          <cell r="AS907" t="str">
            <v>Done</v>
          </cell>
          <cell r="AT907" t="str">
            <v>2024 Batch</v>
          </cell>
          <cell r="AU907">
            <v>49</v>
          </cell>
          <cell r="AV907">
            <v>17</v>
          </cell>
          <cell r="AW907" t="str">
            <v>H+L</v>
          </cell>
          <cell r="AX907">
            <v>70</v>
          </cell>
          <cell r="AY907">
            <v>50</v>
          </cell>
          <cell r="AZ907" t="str">
            <v>Duplex</v>
          </cell>
          <cell r="BA907">
            <v>1</v>
          </cell>
          <cell r="BB907" t="str">
            <v>326 - With Partition</v>
          </cell>
          <cell r="BC907" t="str">
            <v>With Partition</v>
          </cell>
          <cell r="BD907" t="str">
            <v>Slant</v>
          </cell>
          <cell r="BE907" t="str">
            <v>With Partition</v>
          </cell>
          <cell r="BF907" t="str">
            <v>PURPLE</v>
          </cell>
          <cell r="BG907">
            <v>2707500</v>
          </cell>
          <cell r="BH907">
            <v>2850000</v>
          </cell>
          <cell r="BI907">
            <v>100000</v>
          </cell>
          <cell r="BJ907">
            <v>2750000</v>
          </cell>
          <cell r="BK907">
            <v>0</v>
          </cell>
          <cell r="BL907">
            <v>2750000</v>
          </cell>
        </row>
        <row r="908">
          <cell r="D908" t="str">
            <v>OS</v>
          </cell>
          <cell r="E908"/>
          <cell r="F908">
            <v>888</v>
          </cell>
          <cell r="G908" t="str">
            <v>SOLD</v>
          </cell>
          <cell r="H908" t="str">
            <v>OS</v>
          </cell>
          <cell r="I908" t="str">
            <v>OS</v>
          </cell>
          <cell r="J908" t="str">
            <v>OS</v>
          </cell>
          <cell r="K908" t="str">
            <v>OS</v>
          </cell>
          <cell r="L908" t="str">
            <v>OS</v>
          </cell>
          <cell r="M908" t="str">
            <v>OS</v>
          </cell>
          <cell r="N908" t="str">
            <v>FOR CANCELLATION</v>
          </cell>
          <cell r="O908" t="str">
            <v>FOR CANCELLATION</v>
          </cell>
          <cell r="P908" t="str">
            <v>FOR CANCELLATION</v>
          </cell>
          <cell r="Q908" t="str">
            <v>FOR CANCELLATION</v>
          </cell>
          <cell r="R908" t="str">
            <v>FOR CANCELLATION</v>
          </cell>
          <cell r="S908" t="str">
            <v>FOR CANCELLATION</v>
          </cell>
          <cell r="T908" t="str">
            <v>FOR CANCELLATION</v>
          </cell>
          <cell r="U908" t="str">
            <v>FOR CANCELLATION</v>
          </cell>
          <cell r="V908" t="str">
            <v>OS</v>
          </cell>
          <cell r="W908" t="str">
            <v>TS</v>
          </cell>
          <cell r="X908" t="str">
            <v>OS</v>
          </cell>
          <cell r="Y908" t="str">
            <v>OS</v>
          </cell>
          <cell r="Z908" t="str">
            <v>OS</v>
          </cell>
          <cell r="AA908" t="str">
            <v>OS</v>
          </cell>
          <cell r="AB908" t="str">
            <v>OS</v>
          </cell>
          <cell r="AC908" t="str">
            <v>OS</v>
          </cell>
          <cell r="AD908" t="str">
            <v>AGM-01-049-018</v>
          </cell>
          <cell r="AE908" t="str">
            <v xml:space="preserve">Raemulan Lands, Inc. </v>
          </cell>
          <cell r="AF908" t="str">
            <v>Agapeya</v>
          </cell>
          <cell r="AG908" t="str">
            <v>AGM</v>
          </cell>
          <cell r="AH908" t="str">
            <v>Eco-High</v>
          </cell>
          <cell r="AI908" t="str">
            <v>West</v>
          </cell>
          <cell r="AJ908" t="str">
            <v>Without LTS</v>
          </cell>
          <cell r="AK908" t="str">
            <v>Unaffected lots</v>
          </cell>
          <cell r="AL908" t="str">
            <v>NA</v>
          </cell>
          <cell r="AM908" t="b">
            <v>0</v>
          </cell>
          <cell r="AN908" t="str">
            <v>NO</v>
          </cell>
          <cell r="AO908" t="str">
            <v>B3 2025</v>
          </cell>
          <cell r="AP908">
            <v>101</v>
          </cell>
          <cell r="AQ908" t="str">
            <v>PCS-04-034695</v>
          </cell>
          <cell r="AR908" t="b">
            <v>1</v>
          </cell>
          <cell r="AS908" t="str">
            <v>Done</v>
          </cell>
          <cell r="AT908" t="str">
            <v>2025 - Batch 2</v>
          </cell>
          <cell r="AU908">
            <v>49</v>
          </cell>
          <cell r="AV908">
            <v>18</v>
          </cell>
          <cell r="AW908" t="str">
            <v>H+L</v>
          </cell>
          <cell r="AX908">
            <v>101</v>
          </cell>
          <cell r="AY908">
            <v>50</v>
          </cell>
          <cell r="AZ908" t="str">
            <v>Duplex</v>
          </cell>
          <cell r="BA908">
            <v>1</v>
          </cell>
          <cell r="BB908" t="str">
            <v>568 - Without Partition</v>
          </cell>
          <cell r="BC908" t="str">
            <v xml:space="preserve">Without Partition </v>
          </cell>
          <cell r="BD908" t="str">
            <v>Slant</v>
          </cell>
          <cell r="BE908" t="str">
            <v xml:space="preserve">Without Partition </v>
          </cell>
          <cell r="BF908" t="str">
            <v>GREEN</v>
          </cell>
          <cell r="BG908">
            <v>2950000</v>
          </cell>
          <cell r="BH908">
            <v>3115000</v>
          </cell>
          <cell r="BI908">
            <v>100000</v>
          </cell>
          <cell r="BJ908">
            <v>3015000</v>
          </cell>
          <cell r="BK908">
            <v>0</v>
          </cell>
          <cell r="BL908">
            <v>3015000</v>
          </cell>
        </row>
        <row r="909">
          <cell r="D909" t="str">
            <v>OS</v>
          </cell>
          <cell r="E909"/>
          <cell r="F909">
            <v>889</v>
          </cell>
          <cell r="G909" t="str">
            <v>SOLD</v>
          </cell>
          <cell r="H909" t="str">
            <v>OS</v>
          </cell>
          <cell r="I909" t="str">
            <v>OS</v>
          </cell>
          <cell r="J909" t="str">
            <v>OS</v>
          </cell>
          <cell r="K909" t="str">
            <v>OS</v>
          </cell>
          <cell r="L909" t="str">
            <v>OS</v>
          </cell>
          <cell r="M909" t="str">
            <v>OS</v>
          </cell>
          <cell r="N909" t="str">
            <v>OS</v>
          </cell>
          <cell r="O909" t="str">
            <v>OS</v>
          </cell>
          <cell r="P909" t="str">
            <v>OS</v>
          </cell>
          <cell r="Q909" t="str">
            <v>OS</v>
          </cell>
          <cell r="R909" t="str">
            <v>OS</v>
          </cell>
          <cell r="S909" t="str">
            <v>OS</v>
          </cell>
          <cell r="T909" t="str">
            <v>OS</v>
          </cell>
          <cell r="U909" t="str">
            <v>OS</v>
          </cell>
          <cell r="V909" t="str">
            <v>OS</v>
          </cell>
          <cell r="W909" t="str">
            <v>OS</v>
          </cell>
          <cell r="X909" t="str">
            <v>OS</v>
          </cell>
          <cell r="Y909" t="str">
            <v>OS</v>
          </cell>
          <cell r="Z909" t="str">
            <v>OS</v>
          </cell>
          <cell r="AA909" t="str">
            <v>OS</v>
          </cell>
          <cell r="AB909" t="str">
            <v>OS</v>
          </cell>
          <cell r="AC909" t="str">
            <v>OS</v>
          </cell>
          <cell r="AD909" t="str">
            <v>AGM-01-050-001</v>
          </cell>
          <cell r="AE909" t="str">
            <v xml:space="preserve">Raemulan Lands, Inc. </v>
          </cell>
          <cell r="AF909" t="str">
            <v>Agapeya</v>
          </cell>
          <cell r="AG909" t="str">
            <v>AGM</v>
          </cell>
          <cell r="AH909" t="str">
            <v>Eco-High</v>
          </cell>
          <cell r="AI909" t="str">
            <v>West</v>
          </cell>
          <cell r="AJ909" t="str">
            <v>With LTS</v>
          </cell>
          <cell r="AK909" t="str">
            <v>Unaffected lots</v>
          </cell>
          <cell r="AL909" t="str">
            <v>Unaffected lots</v>
          </cell>
          <cell r="AM909" t="b">
            <v>1</v>
          </cell>
          <cell r="AN909" t="str">
            <v>YES</v>
          </cell>
          <cell r="AO909" t="str">
            <v>B2 2025</v>
          </cell>
          <cell r="AP909">
            <v>100</v>
          </cell>
          <cell r="AQ909" t="str">
            <v>PSD-04-276567</v>
          </cell>
          <cell r="AR909" t="b">
            <v>1</v>
          </cell>
          <cell r="AS909" t="str">
            <v>Done</v>
          </cell>
          <cell r="AT909" t="str">
            <v>2025 - Batch 1</v>
          </cell>
          <cell r="AU909">
            <v>50</v>
          </cell>
          <cell r="AV909">
            <v>1</v>
          </cell>
          <cell r="AW909" t="str">
            <v>H+L</v>
          </cell>
          <cell r="AX909">
            <v>100</v>
          </cell>
          <cell r="AY909">
            <v>50</v>
          </cell>
          <cell r="AZ909" t="str">
            <v>Duplex</v>
          </cell>
          <cell r="BA909">
            <v>1</v>
          </cell>
          <cell r="BB909" t="str">
            <v>568 - Without Partition</v>
          </cell>
          <cell r="BC909" t="str">
            <v>With Partition</v>
          </cell>
          <cell r="BD909" t="str">
            <v>Slant</v>
          </cell>
          <cell r="BE909" t="str">
            <v>With Partition</v>
          </cell>
          <cell r="BF909" t="str">
            <v>GREEN</v>
          </cell>
          <cell r="BG909">
            <v>3201500</v>
          </cell>
          <cell r="BH909">
            <v>3300000</v>
          </cell>
          <cell r="BI909">
            <v>100000</v>
          </cell>
          <cell r="BJ909">
            <v>3200000</v>
          </cell>
          <cell r="BK909">
            <v>0</v>
          </cell>
          <cell r="BL909">
            <v>3200000</v>
          </cell>
        </row>
        <row r="910">
          <cell r="D910" t="str">
            <v>OS</v>
          </cell>
          <cell r="E910"/>
          <cell r="F910">
            <v>890</v>
          </cell>
          <cell r="G910" t="str">
            <v>SOLD</v>
          </cell>
          <cell r="H910" t="str">
            <v>OS</v>
          </cell>
          <cell r="I910" t="str">
            <v>OS</v>
          </cell>
          <cell r="J910" t="str">
            <v>OS</v>
          </cell>
          <cell r="K910" t="str">
            <v>OS</v>
          </cell>
          <cell r="L910" t="str">
            <v>OS</v>
          </cell>
          <cell r="M910" t="str">
            <v>OS</v>
          </cell>
          <cell r="N910" t="str">
            <v>OS</v>
          </cell>
          <cell r="O910" t="str">
            <v>OS</v>
          </cell>
          <cell r="P910" t="str">
            <v>OS</v>
          </cell>
          <cell r="Q910" t="str">
            <v>OS</v>
          </cell>
          <cell r="R910" t="str">
            <v>OS</v>
          </cell>
          <cell r="S910" t="str">
            <v>OS</v>
          </cell>
          <cell r="T910" t="str">
            <v>OS</v>
          </cell>
          <cell r="U910" t="str">
            <v>OS</v>
          </cell>
          <cell r="V910" t="str">
            <v>OS</v>
          </cell>
          <cell r="W910" t="str">
            <v>OS</v>
          </cell>
          <cell r="X910" t="str">
            <v>OS</v>
          </cell>
          <cell r="Y910" t="str">
            <v>OS</v>
          </cell>
          <cell r="Z910" t="str">
            <v>OS</v>
          </cell>
          <cell r="AA910" t="str">
            <v>OS</v>
          </cell>
          <cell r="AB910" t="str">
            <v>OS</v>
          </cell>
          <cell r="AC910" t="str">
            <v>OS</v>
          </cell>
          <cell r="AD910" t="str">
            <v>AGM-01-050-002</v>
          </cell>
          <cell r="AE910" t="str">
            <v xml:space="preserve">Raemulan Lands, Inc. </v>
          </cell>
          <cell r="AF910" t="str">
            <v>Agapeya</v>
          </cell>
          <cell r="AG910" t="str">
            <v>AGM</v>
          </cell>
          <cell r="AH910" t="str">
            <v>Eco-High</v>
          </cell>
          <cell r="AI910" t="str">
            <v>West</v>
          </cell>
          <cell r="AJ910" t="str">
            <v>With LTS</v>
          </cell>
          <cell r="AK910" t="str">
            <v>Unaffected lots</v>
          </cell>
          <cell r="AL910" t="str">
            <v>Unaffected lots</v>
          </cell>
          <cell r="AM910" t="b">
            <v>1</v>
          </cell>
          <cell r="AN910" t="str">
            <v>YES</v>
          </cell>
          <cell r="AO910" t="str">
            <v>B2 2025</v>
          </cell>
          <cell r="AP910">
            <v>70</v>
          </cell>
          <cell r="AQ910" t="str">
            <v>PSD-04-276567</v>
          </cell>
          <cell r="AR910" t="b">
            <v>1</v>
          </cell>
          <cell r="AS910" t="str">
            <v>Done</v>
          </cell>
          <cell r="AT910" t="str">
            <v>2025 - Batch 1</v>
          </cell>
          <cell r="AU910">
            <v>50</v>
          </cell>
          <cell r="AV910">
            <v>2</v>
          </cell>
          <cell r="AW910" t="str">
            <v>H+L</v>
          </cell>
          <cell r="AX910">
            <v>70</v>
          </cell>
          <cell r="AY910">
            <v>50</v>
          </cell>
          <cell r="AZ910" t="str">
            <v>Duplex</v>
          </cell>
          <cell r="BA910">
            <v>1</v>
          </cell>
          <cell r="BB910" t="str">
            <v>568 - Without Partition</v>
          </cell>
          <cell r="BC910" t="str">
            <v xml:space="preserve">Without Partition </v>
          </cell>
          <cell r="BD910" t="str">
            <v>Flat</v>
          </cell>
          <cell r="BE910" t="str">
            <v xml:space="preserve">Without Partition </v>
          </cell>
          <cell r="BF910" t="str">
            <v>GREEN</v>
          </cell>
          <cell r="BG910">
            <v>2568688.7287804699</v>
          </cell>
          <cell r="BH910">
            <v>2650000</v>
          </cell>
          <cell r="BI910">
            <v>100000</v>
          </cell>
          <cell r="BJ910">
            <v>2550000</v>
          </cell>
          <cell r="BK910">
            <v>0</v>
          </cell>
          <cell r="BL910">
            <v>2550000</v>
          </cell>
        </row>
        <row r="911">
          <cell r="D911" t="str">
            <v>OS</v>
          </cell>
          <cell r="E911"/>
          <cell r="F911">
            <v>891</v>
          </cell>
          <cell r="G911" t="str">
            <v>SOLD</v>
          </cell>
          <cell r="H911" t="str">
            <v>OS</v>
          </cell>
          <cell r="I911" t="str">
            <v>OS</v>
          </cell>
          <cell r="J911" t="str">
            <v>OS</v>
          </cell>
          <cell r="K911" t="str">
            <v>OS</v>
          </cell>
          <cell r="L911" t="str">
            <v>OS</v>
          </cell>
          <cell r="M911" t="str">
            <v>OS</v>
          </cell>
          <cell r="N911" t="str">
            <v>OS</v>
          </cell>
          <cell r="O911" t="str">
            <v>OS</v>
          </cell>
          <cell r="P911" t="str">
            <v>OS</v>
          </cell>
          <cell r="Q911" t="str">
            <v>OS</v>
          </cell>
          <cell r="R911" t="str">
            <v>OS</v>
          </cell>
          <cell r="S911" t="str">
            <v>OS</v>
          </cell>
          <cell r="T911" t="str">
            <v>OS</v>
          </cell>
          <cell r="U911" t="str">
            <v>OS</v>
          </cell>
          <cell r="V911" t="str">
            <v>OS</v>
          </cell>
          <cell r="W911" t="str">
            <v>OS</v>
          </cell>
          <cell r="X911" t="str">
            <v>OS</v>
          </cell>
          <cell r="Y911" t="str">
            <v>OS</v>
          </cell>
          <cell r="Z911" t="str">
            <v>OS</v>
          </cell>
          <cell r="AA911" t="str">
            <v>OS</v>
          </cell>
          <cell r="AB911" t="str">
            <v>OS</v>
          </cell>
          <cell r="AC911" t="str">
            <v>OS</v>
          </cell>
          <cell r="AD911" t="str">
            <v>AGM-01-050-003</v>
          </cell>
          <cell r="AE911" t="str">
            <v xml:space="preserve">Raemulan Lands, Inc. </v>
          </cell>
          <cell r="AF911" t="str">
            <v>Agapeya</v>
          </cell>
          <cell r="AG911" t="str">
            <v>AGM</v>
          </cell>
          <cell r="AH911" t="str">
            <v>Eco-High</v>
          </cell>
          <cell r="AI911" t="str">
            <v>West</v>
          </cell>
          <cell r="AJ911" t="str">
            <v>With LTS</v>
          </cell>
          <cell r="AK911" t="str">
            <v>Unaffected lots</v>
          </cell>
          <cell r="AL911" t="str">
            <v>Unaffected lots</v>
          </cell>
          <cell r="AM911" t="b">
            <v>1</v>
          </cell>
          <cell r="AN911" t="str">
            <v>YES</v>
          </cell>
          <cell r="AO911" t="str">
            <v>B1 2025</v>
          </cell>
          <cell r="AP911">
            <v>70</v>
          </cell>
          <cell r="AQ911" t="str">
            <v>PSD-04-276567</v>
          </cell>
          <cell r="AR911" t="b">
            <v>1</v>
          </cell>
          <cell r="AS911" t="str">
            <v>Done</v>
          </cell>
          <cell r="AT911" t="str">
            <v>2025 - Batch 1</v>
          </cell>
          <cell r="AU911">
            <v>50</v>
          </cell>
          <cell r="AV911">
            <v>3</v>
          </cell>
          <cell r="AW911" t="str">
            <v>H+L</v>
          </cell>
          <cell r="AX911">
            <v>70</v>
          </cell>
          <cell r="AY911">
            <v>50</v>
          </cell>
          <cell r="AZ911" t="str">
            <v>Duplex</v>
          </cell>
          <cell r="BA911">
            <v>1</v>
          </cell>
          <cell r="BB911" t="str">
            <v>568 - Without Partition</v>
          </cell>
          <cell r="BC911" t="str">
            <v xml:space="preserve">Without Partition </v>
          </cell>
          <cell r="BD911" t="str">
            <v>Flat</v>
          </cell>
          <cell r="BE911" t="str">
            <v xml:space="preserve">Without Partition </v>
          </cell>
          <cell r="BF911" t="str">
            <v>GREEN</v>
          </cell>
          <cell r="BG911">
            <v>2500000</v>
          </cell>
          <cell r="BH911">
            <v>2650000</v>
          </cell>
          <cell r="BI911">
            <v>100000</v>
          </cell>
          <cell r="BJ911">
            <v>2550000</v>
          </cell>
          <cell r="BK911">
            <v>0</v>
          </cell>
          <cell r="BL911">
            <v>2550000</v>
          </cell>
        </row>
        <row r="912">
          <cell r="D912" t="str">
            <v>OS</v>
          </cell>
          <cell r="E912"/>
          <cell r="F912">
            <v>892</v>
          </cell>
          <cell r="G912" t="str">
            <v>SOLD</v>
          </cell>
          <cell r="H912" t="str">
            <v>OS</v>
          </cell>
          <cell r="I912" t="str">
            <v>OS</v>
          </cell>
          <cell r="J912" t="str">
            <v>OS</v>
          </cell>
          <cell r="K912" t="str">
            <v>OS</v>
          </cell>
          <cell r="L912" t="str">
            <v>OS</v>
          </cell>
          <cell r="M912" t="str">
            <v>OS</v>
          </cell>
          <cell r="N912" t="str">
            <v>OS</v>
          </cell>
          <cell r="O912" t="str">
            <v>OS</v>
          </cell>
          <cell r="P912" t="str">
            <v>OS</v>
          </cell>
          <cell r="Q912" t="str">
            <v>OS</v>
          </cell>
          <cell r="R912" t="str">
            <v>OS</v>
          </cell>
          <cell r="S912" t="str">
            <v>OS</v>
          </cell>
          <cell r="T912" t="str">
            <v>OS</v>
          </cell>
          <cell r="U912" t="str">
            <v>OS</v>
          </cell>
          <cell r="V912" t="str">
            <v>OS</v>
          </cell>
          <cell r="W912" t="str">
            <v>OS</v>
          </cell>
          <cell r="X912" t="str">
            <v>OS</v>
          </cell>
          <cell r="Y912" t="str">
            <v>OS</v>
          </cell>
          <cell r="Z912" t="str">
            <v>OS</v>
          </cell>
          <cell r="AA912" t="str">
            <v>OS</v>
          </cell>
          <cell r="AB912" t="str">
            <v>OS</v>
          </cell>
          <cell r="AC912" t="str">
            <v>OS</v>
          </cell>
          <cell r="AD912" t="str">
            <v>AGM-01-050-004</v>
          </cell>
          <cell r="AE912" t="str">
            <v xml:space="preserve">Raemulan Lands, Inc. </v>
          </cell>
          <cell r="AF912" t="str">
            <v>Agapeya</v>
          </cell>
          <cell r="AG912" t="str">
            <v>AGM</v>
          </cell>
          <cell r="AH912" t="str">
            <v>Eco-High</v>
          </cell>
          <cell r="AI912" t="str">
            <v>West</v>
          </cell>
          <cell r="AJ912" t="str">
            <v>With LTS</v>
          </cell>
          <cell r="AK912" t="str">
            <v>Unaffected lots</v>
          </cell>
          <cell r="AL912" t="str">
            <v>Unaffected lots</v>
          </cell>
          <cell r="AM912" t="b">
            <v>1</v>
          </cell>
          <cell r="AN912" t="str">
            <v>YES</v>
          </cell>
          <cell r="AO912" t="str">
            <v>B1 2025</v>
          </cell>
          <cell r="AP912">
            <v>70</v>
          </cell>
          <cell r="AQ912" t="str">
            <v>PSD-04-276567</v>
          </cell>
          <cell r="AR912" t="b">
            <v>1</v>
          </cell>
          <cell r="AS912" t="str">
            <v>Done</v>
          </cell>
          <cell r="AT912" t="str">
            <v>2025 - Batch 1</v>
          </cell>
          <cell r="AU912">
            <v>50</v>
          </cell>
          <cell r="AV912">
            <v>4</v>
          </cell>
          <cell r="AW912" t="str">
            <v>H+L</v>
          </cell>
          <cell r="AX912">
            <v>70</v>
          </cell>
          <cell r="AY912">
            <v>50</v>
          </cell>
          <cell r="AZ912" t="str">
            <v>Duplex</v>
          </cell>
          <cell r="BA912">
            <v>1</v>
          </cell>
          <cell r="BB912" t="str">
            <v>568 - Without Partition</v>
          </cell>
          <cell r="BC912" t="str">
            <v xml:space="preserve">Without Partition </v>
          </cell>
          <cell r="BD912" t="str">
            <v>Slant</v>
          </cell>
          <cell r="BE912" t="str">
            <v xml:space="preserve">Without Partition </v>
          </cell>
          <cell r="BF912" t="str">
            <v>GREEN</v>
          </cell>
          <cell r="BG912">
            <v>2500000</v>
          </cell>
          <cell r="BH912">
            <v>2650000</v>
          </cell>
          <cell r="BI912">
            <v>100000</v>
          </cell>
          <cell r="BJ912">
            <v>2550000</v>
          </cell>
          <cell r="BK912">
            <v>0</v>
          </cell>
          <cell r="BL912">
            <v>2550000</v>
          </cell>
        </row>
        <row r="913">
          <cell r="D913" t="str">
            <v>OS</v>
          </cell>
          <cell r="E913"/>
          <cell r="F913">
            <v>893</v>
          </cell>
          <cell r="G913" t="str">
            <v>SOLD</v>
          </cell>
          <cell r="H913" t="str">
            <v>OS</v>
          </cell>
          <cell r="I913" t="str">
            <v>OS</v>
          </cell>
          <cell r="J913" t="str">
            <v>OS</v>
          </cell>
          <cell r="K913" t="str">
            <v>OS</v>
          </cell>
          <cell r="L913" t="str">
            <v>OS</v>
          </cell>
          <cell r="M913" t="str">
            <v>OS</v>
          </cell>
          <cell r="N913" t="str">
            <v>OS</v>
          </cell>
          <cell r="O913" t="str">
            <v>OS</v>
          </cell>
          <cell r="P913" t="str">
            <v>OS</v>
          </cell>
          <cell r="Q913" t="str">
            <v>OS</v>
          </cell>
          <cell r="R913" t="str">
            <v>OS</v>
          </cell>
          <cell r="S913" t="str">
            <v>OS</v>
          </cell>
          <cell r="T913" t="str">
            <v>OS</v>
          </cell>
          <cell r="U913" t="str">
            <v>OS</v>
          </cell>
          <cell r="V913" t="str">
            <v>OS</v>
          </cell>
          <cell r="W913" t="str">
            <v>OS</v>
          </cell>
          <cell r="X913" t="str">
            <v>OS</v>
          </cell>
          <cell r="Y913" t="str">
            <v>OS</v>
          </cell>
          <cell r="Z913" t="str">
            <v>OS</v>
          </cell>
          <cell r="AA913" t="str">
            <v>OS</v>
          </cell>
          <cell r="AB913" t="str">
            <v>TS</v>
          </cell>
          <cell r="AC913" t="str">
            <v>OS</v>
          </cell>
          <cell r="AD913" t="str">
            <v>AGM-01-050-005</v>
          </cell>
          <cell r="AE913" t="str">
            <v xml:space="preserve">Raemulan Lands, Inc. </v>
          </cell>
          <cell r="AF913" t="str">
            <v>Agapeya</v>
          </cell>
          <cell r="AG913" t="str">
            <v>AGM</v>
          </cell>
          <cell r="AH913" t="str">
            <v>Eco-High</v>
          </cell>
          <cell r="AI913" t="str">
            <v>West</v>
          </cell>
          <cell r="AJ913" t="str">
            <v>With LTS</v>
          </cell>
          <cell r="AK913" t="str">
            <v>Unaffected lots</v>
          </cell>
          <cell r="AL913" t="str">
            <v>Unaffected lots</v>
          </cell>
          <cell r="AM913" t="b">
            <v>1</v>
          </cell>
          <cell r="AN913" t="str">
            <v>YES</v>
          </cell>
          <cell r="AO913" t="str">
            <v>B1 2025</v>
          </cell>
          <cell r="AP913">
            <v>70</v>
          </cell>
          <cell r="AQ913" t="str">
            <v>PSD-04-276567</v>
          </cell>
          <cell r="AR913" t="b">
            <v>1</v>
          </cell>
          <cell r="AS913" t="str">
            <v>Done</v>
          </cell>
          <cell r="AT913" t="str">
            <v>2025 - Batch 1</v>
          </cell>
          <cell r="AU913">
            <v>50</v>
          </cell>
          <cell r="AV913">
            <v>5</v>
          </cell>
          <cell r="AW913" t="str">
            <v>H+L</v>
          </cell>
          <cell r="AX913">
            <v>70</v>
          </cell>
          <cell r="AY913">
            <v>50</v>
          </cell>
          <cell r="AZ913" t="str">
            <v>Duplex</v>
          </cell>
          <cell r="BA913">
            <v>1</v>
          </cell>
          <cell r="BB913" t="str">
            <v>568 - Without Partition</v>
          </cell>
          <cell r="BC913" t="str">
            <v xml:space="preserve">Without Partition </v>
          </cell>
          <cell r="BD913" t="str">
            <v>Slant</v>
          </cell>
          <cell r="BE913" t="str">
            <v xml:space="preserve">Without Partition </v>
          </cell>
          <cell r="BF913" t="str">
            <v>PINK</v>
          </cell>
          <cell r="BG913">
            <v>2500000</v>
          </cell>
          <cell r="BH913">
            <v>2650000</v>
          </cell>
          <cell r="BI913">
            <v>100000</v>
          </cell>
          <cell r="BJ913">
            <v>2550000</v>
          </cell>
          <cell r="BK913">
            <v>0</v>
          </cell>
          <cell r="BL913">
            <v>2550000</v>
          </cell>
        </row>
        <row r="914">
          <cell r="D914" t="str">
            <v>OS</v>
          </cell>
          <cell r="E914"/>
          <cell r="F914">
            <v>894</v>
          </cell>
          <cell r="G914" t="str">
            <v>UNSOLD</v>
          </cell>
          <cell r="H914" t="str">
            <v>TS</v>
          </cell>
          <cell r="I914" t="str">
            <v>TS</v>
          </cell>
          <cell r="J914" t="str">
            <v>TS - MORE THAN 30 DAYS</v>
          </cell>
          <cell r="K914" t="str">
            <v>TS - MORE THAN 30 DAYS</v>
          </cell>
          <cell r="L914" t="str">
            <v>TS - MORE THAN 30 DAYS</v>
          </cell>
          <cell r="M914" t="str">
            <v>TS</v>
          </cell>
          <cell r="N914" t="str">
            <v>TS</v>
          </cell>
          <cell r="O914" t="str">
            <v>TS</v>
          </cell>
          <cell r="P914" t="str">
            <v>TS</v>
          </cell>
          <cell r="Q914" t="str">
            <v>TS</v>
          </cell>
          <cell r="R914" t="str">
            <v>TS</v>
          </cell>
          <cell r="S914" t="str">
            <v>TS</v>
          </cell>
          <cell r="T914" t="str">
            <v>TS</v>
          </cell>
          <cell r="U914" t="str">
            <v>OS</v>
          </cell>
          <cell r="V914" t="str">
            <v>OS</v>
          </cell>
          <cell r="W914" t="str">
            <v>OS</v>
          </cell>
          <cell r="X914" t="str">
            <v>OS</v>
          </cell>
          <cell r="Y914" t="str">
            <v>OS</v>
          </cell>
          <cell r="Z914" t="str">
            <v>OS</v>
          </cell>
          <cell r="AA914" t="str">
            <v>OS</v>
          </cell>
          <cell r="AB914" t="str">
            <v>OS</v>
          </cell>
          <cell r="AC914" t="str">
            <v>OS</v>
          </cell>
          <cell r="AD914" t="str">
            <v>AGM-01-050-006</v>
          </cell>
          <cell r="AE914" t="str">
            <v xml:space="preserve">Raemulan Lands, Inc. </v>
          </cell>
          <cell r="AF914" t="str">
            <v>Agapeya</v>
          </cell>
          <cell r="AG914" t="str">
            <v>AGM</v>
          </cell>
          <cell r="AH914" t="str">
            <v>Eco-High</v>
          </cell>
          <cell r="AI914" t="str">
            <v>West</v>
          </cell>
          <cell r="AJ914" t="str">
            <v>With LTS</v>
          </cell>
          <cell r="AK914" t="str">
            <v>Unaffected lots</v>
          </cell>
          <cell r="AL914" t="str">
            <v>Unaffected lots</v>
          </cell>
          <cell r="AM914" t="b">
            <v>1</v>
          </cell>
          <cell r="AN914" t="str">
            <v>YES</v>
          </cell>
          <cell r="AO914" t="str">
            <v>B1 2025</v>
          </cell>
          <cell r="AP914">
            <v>70</v>
          </cell>
          <cell r="AQ914" t="str">
            <v>PSD-04-276567</v>
          </cell>
          <cell r="AR914" t="b">
            <v>1</v>
          </cell>
          <cell r="AS914" t="str">
            <v>Done</v>
          </cell>
          <cell r="AT914" t="str">
            <v>2025 - Batch 1</v>
          </cell>
          <cell r="AU914">
            <v>50</v>
          </cell>
          <cell r="AV914">
            <v>6</v>
          </cell>
          <cell r="AW914" t="str">
            <v>H+L</v>
          </cell>
          <cell r="AX914">
            <v>70</v>
          </cell>
          <cell r="AY914">
            <v>50</v>
          </cell>
          <cell r="AZ914" t="str">
            <v>Duplex</v>
          </cell>
          <cell r="BA914">
            <v>1</v>
          </cell>
          <cell r="BB914" t="str">
            <v>568 - Without Partition</v>
          </cell>
          <cell r="BC914" t="str">
            <v xml:space="preserve">Without Partition </v>
          </cell>
          <cell r="BD914" t="str">
            <v>Flat</v>
          </cell>
          <cell r="BE914" t="str">
            <v xml:space="preserve">Without Partition </v>
          </cell>
          <cell r="BF914" t="str">
            <v>PINK</v>
          </cell>
          <cell r="BG914">
            <v>2568688.7287804699</v>
          </cell>
          <cell r="BH914">
            <v>2650000</v>
          </cell>
          <cell r="BI914">
            <v>100000</v>
          </cell>
          <cell r="BJ914">
            <v>2550000</v>
          </cell>
          <cell r="BK914">
            <v>0</v>
          </cell>
          <cell r="BL914">
            <v>2550000</v>
          </cell>
        </row>
        <row r="915">
          <cell r="D915" t="str">
            <v>OS</v>
          </cell>
          <cell r="E915"/>
          <cell r="F915">
            <v>895</v>
          </cell>
          <cell r="G915" t="str">
            <v>SOLD</v>
          </cell>
          <cell r="H915" t="str">
            <v>OS</v>
          </cell>
          <cell r="I915" t="str">
            <v>OS</v>
          </cell>
          <cell r="J915" t="str">
            <v>OS</v>
          </cell>
          <cell r="K915" t="str">
            <v>OS</v>
          </cell>
          <cell r="L915" t="str">
            <v>OS</v>
          </cell>
          <cell r="M915" t="str">
            <v>OS</v>
          </cell>
          <cell r="N915" t="str">
            <v>OS</v>
          </cell>
          <cell r="O915" t="str">
            <v>OS</v>
          </cell>
          <cell r="P915" t="str">
            <v>OS</v>
          </cell>
          <cell r="Q915" t="str">
            <v>OS</v>
          </cell>
          <cell r="R915" t="str">
            <v>OS</v>
          </cell>
          <cell r="S915" t="str">
            <v>OS</v>
          </cell>
          <cell r="T915" t="str">
            <v>OS</v>
          </cell>
          <cell r="U915" t="str">
            <v>OS</v>
          </cell>
          <cell r="V915" t="str">
            <v>OS</v>
          </cell>
          <cell r="W915" t="str">
            <v>OS</v>
          </cell>
          <cell r="X915" t="str">
            <v>OS</v>
          </cell>
          <cell r="Y915" t="str">
            <v>OS</v>
          </cell>
          <cell r="Z915" t="str">
            <v>OS</v>
          </cell>
          <cell r="AA915" t="str">
            <v>OS</v>
          </cell>
          <cell r="AB915" t="str">
            <v>OS</v>
          </cell>
          <cell r="AC915" t="str">
            <v>OS</v>
          </cell>
          <cell r="AD915" t="str">
            <v>AGM-01-050-007</v>
          </cell>
          <cell r="AE915" t="str">
            <v xml:space="preserve">Raemulan Lands, Inc. </v>
          </cell>
          <cell r="AF915" t="str">
            <v>Agapeya</v>
          </cell>
          <cell r="AG915" t="str">
            <v>AGM</v>
          </cell>
          <cell r="AH915" t="str">
            <v>Eco-High</v>
          </cell>
          <cell r="AI915" t="str">
            <v>West</v>
          </cell>
          <cell r="AJ915" t="str">
            <v>With LTS</v>
          </cell>
          <cell r="AK915" t="str">
            <v>Unaffected lots</v>
          </cell>
          <cell r="AL915" t="str">
            <v>Unaffected lots</v>
          </cell>
          <cell r="AM915" t="b">
            <v>1</v>
          </cell>
          <cell r="AN915" t="str">
            <v>YES</v>
          </cell>
          <cell r="AO915" t="str">
            <v>B1 2025</v>
          </cell>
          <cell r="AP915">
            <v>70</v>
          </cell>
          <cell r="AQ915" t="str">
            <v>PSD-04-276567</v>
          </cell>
          <cell r="AR915" t="b">
            <v>1</v>
          </cell>
          <cell r="AS915" t="str">
            <v>Done</v>
          </cell>
          <cell r="AT915" t="str">
            <v>2025 - Batch 2</v>
          </cell>
          <cell r="AU915">
            <v>50</v>
          </cell>
          <cell r="AV915">
            <v>7</v>
          </cell>
          <cell r="AW915" t="str">
            <v>H+L</v>
          </cell>
          <cell r="AX915">
            <v>70</v>
          </cell>
          <cell r="AY915">
            <v>50</v>
          </cell>
          <cell r="AZ915" t="str">
            <v>Duplex</v>
          </cell>
          <cell r="BA915">
            <v>1</v>
          </cell>
          <cell r="BB915" t="str">
            <v>568 - Without Partition</v>
          </cell>
          <cell r="BC915" t="str">
            <v>With Partition</v>
          </cell>
          <cell r="BD915" t="str">
            <v>Flat</v>
          </cell>
          <cell r="BE915" t="str">
            <v>With Partition</v>
          </cell>
          <cell r="BF915" t="str">
            <v>PINK</v>
          </cell>
          <cell r="BG915">
            <v>2707500</v>
          </cell>
          <cell r="BH915">
            <v>2850000</v>
          </cell>
          <cell r="BI915">
            <v>100000</v>
          </cell>
          <cell r="BJ915">
            <v>2750000</v>
          </cell>
          <cell r="BK915">
            <v>0</v>
          </cell>
          <cell r="BL915">
            <v>2750000</v>
          </cell>
        </row>
        <row r="916">
          <cell r="D916" t="str">
            <v>OS</v>
          </cell>
          <cell r="E916"/>
          <cell r="F916">
            <v>896</v>
          </cell>
          <cell r="G916" t="str">
            <v>SOLD</v>
          </cell>
          <cell r="H916" t="str">
            <v>OS</v>
          </cell>
          <cell r="I916" t="str">
            <v>OS</v>
          </cell>
          <cell r="J916" t="str">
            <v>OS</v>
          </cell>
          <cell r="K916" t="str">
            <v>OS</v>
          </cell>
          <cell r="L916" t="str">
            <v>OS</v>
          </cell>
          <cell r="M916" t="str">
            <v>OS</v>
          </cell>
          <cell r="N916" t="str">
            <v>OS</v>
          </cell>
          <cell r="O916" t="str">
            <v>OS</v>
          </cell>
          <cell r="P916" t="str">
            <v>OS</v>
          </cell>
          <cell r="Q916" t="str">
            <v>OS</v>
          </cell>
          <cell r="R916" t="str">
            <v>OS</v>
          </cell>
          <cell r="S916" t="str">
            <v>OS</v>
          </cell>
          <cell r="T916" t="str">
            <v>OS</v>
          </cell>
          <cell r="U916" t="str">
            <v>OS</v>
          </cell>
          <cell r="V916" t="str">
            <v>OS</v>
          </cell>
          <cell r="W916" t="str">
            <v>OS</v>
          </cell>
          <cell r="X916" t="str">
            <v>OS</v>
          </cell>
          <cell r="Y916" t="str">
            <v>OS</v>
          </cell>
          <cell r="Z916" t="str">
            <v>OS</v>
          </cell>
          <cell r="AA916" t="str">
            <v>OS</v>
          </cell>
          <cell r="AB916" t="str">
            <v>OS</v>
          </cell>
          <cell r="AC916" t="str">
            <v>OS</v>
          </cell>
          <cell r="AD916" t="str">
            <v>AGM-01-050-008</v>
          </cell>
          <cell r="AE916" t="str">
            <v xml:space="preserve">Raemulan Lands, Inc. </v>
          </cell>
          <cell r="AF916" t="str">
            <v>Agapeya</v>
          </cell>
          <cell r="AG916" t="str">
            <v>AGM</v>
          </cell>
          <cell r="AH916" t="str">
            <v>Eco-High</v>
          </cell>
          <cell r="AI916" t="str">
            <v>West</v>
          </cell>
          <cell r="AJ916" t="str">
            <v>With LTS</v>
          </cell>
          <cell r="AK916" t="str">
            <v>Unaffected lots</v>
          </cell>
          <cell r="AL916" t="str">
            <v>Unaffected lots</v>
          </cell>
          <cell r="AM916" t="b">
            <v>1</v>
          </cell>
          <cell r="AN916" t="str">
            <v>YES</v>
          </cell>
          <cell r="AO916" t="str">
            <v>B1 2025</v>
          </cell>
          <cell r="AP916">
            <v>80</v>
          </cell>
          <cell r="AQ916" t="str">
            <v>PSD-04-276567</v>
          </cell>
          <cell r="AR916" t="b">
            <v>1</v>
          </cell>
          <cell r="AS916" t="str">
            <v>Done</v>
          </cell>
          <cell r="AT916" t="str">
            <v>2025 - Batch 2</v>
          </cell>
          <cell r="AU916">
            <v>50</v>
          </cell>
          <cell r="AV916">
            <v>8</v>
          </cell>
          <cell r="AW916" t="str">
            <v>H+L</v>
          </cell>
          <cell r="AX916">
            <v>80</v>
          </cell>
          <cell r="AY916">
            <v>50</v>
          </cell>
          <cell r="AZ916" t="str">
            <v>Duplex</v>
          </cell>
          <cell r="BA916">
            <v>1</v>
          </cell>
          <cell r="BB916" t="str">
            <v>568 - Without Partition</v>
          </cell>
          <cell r="BC916" t="str">
            <v xml:space="preserve">Without Partition </v>
          </cell>
          <cell r="BD916" t="str">
            <v>Slant</v>
          </cell>
          <cell r="BE916" t="str">
            <v xml:space="preserve">Without Partition </v>
          </cell>
          <cell r="BF916" t="str">
            <v>PINK</v>
          </cell>
          <cell r="BG916">
            <v>2700000</v>
          </cell>
          <cell r="BH916">
            <v>2800000</v>
          </cell>
          <cell r="BI916">
            <v>100000</v>
          </cell>
          <cell r="BJ916">
            <v>2700000</v>
          </cell>
          <cell r="BK916">
            <v>0</v>
          </cell>
          <cell r="BL916">
            <v>2700000</v>
          </cell>
        </row>
        <row r="917">
          <cell r="D917" t="str">
            <v>OS</v>
          </cell>
          <cell r="E917"/>
          <cell r="F917">
            <v>897</v>
          </cell>
          <cell r="G917" t="str">
            <v>SOLD</v>
          </cell>
          <cell r="H917" t="str">
            <v>OS</v>
          </cell>
          <cell r="I917" t="str">
            <v>OS</v>
          </cell>
          <cell r="J917" t="str">
            <v>OS</v>
          </cell>
          <cell r="K917" t="str">
            <v>OS</v>
          </cell>
          <cell r="L917" t="str">
            <v>OS</v>
          </cell>
          <cell r="M917" t="str">
            <v>OS</v>
          </cell>
          <cell r="N917" t="str">
            <v>OS</v>
          </cell>
          <cell r="O917" t="str">
            <v>OS</v>
          </cell>
          <cell r="P917" t="str">
            <v>OS</v>
          </cell>
          <cell r="Q917" t="str">
            <v>OS</v>
          </cell>
          <cell r="R917" t="str">
            <v>OS</v>
          </cell>
          <cell r="S917" t="str">
            <v>OS</v>
          </cell>
          <cell r="T917" t="str">
            <v>OS</v>
          </cell>
          <cell r="U917" t="str">
            <v>OS</v>
          </cell>
          <cell r="V917" t="str">
            <v>OS</v>
          </cell>
          <cell r="W917" t="str">
            <v>OS</v>
          </cell>
          <cell r="X917" t="str">
            <v>OS</v>
          </cell>
          <cell r="Y917" t="str">
            <v>OS</v>
          </cell>
          <cell r="Z917" t="str">
            <v>OS</v>
          </cell>
          <cell r="AA917" t="str">
            <v>OS</v>
          </cell>
          <cell r="AB917" t="str">
            <v>OS</v>
          </cell>
          <cell r="AC917" t="str">
            <v>OS</v>
          </cell>
          <cell r="AD917" t="str">
            <v>AGM-01-050-009</v>
          </cell>
          <cell r="AE917" t="str">
            <v xml:space="preserve">Raemulan Lands, Inc. </v>
          </cell>
          <cell r="AF917" t="str">
            <v>Agapeya</v>
          </cell>
          <cell r="AG917" t="str">
            <v>AGM</v>
          </cell>
          <cell r="AH917" t="str">
            <v>Eco-High</v>
          </cell>
          <cell r="AI917" t="str">
            <v>West</v>
          </cell>
          <cell r="AJ917" t="str">
            <v>With LTS</v>
          </cell>
          <cell r="AK917" t="str">
            <v>Unaffected lots</v>
          </cell>
          <cell r="AL917" t="str">
            <v>Unaffected lots</v>
          </cell>
          <cell r="AM917" t="b">
            <v>1</v>
          </cell>
          <cell r="AN917" t="str">
            <v>YES</v>
          </cell>
          <cell r="AO917" t="str">
            <v>B2 2025</v>
          </cell>
          <cell r="AP917">
            <v>80</v>
          </cell>
          <cell r="AQ917" t="str">
            <v>PSD-04-276567</v>
          </cell>
          <cell r="AR917" t="b">
            <v>1</v>
          </cell>
          <cell r="AS917" t="str">
            <v>Done</v>
          </cell>
          <cell r="AT917" t="str">
            <v>2025 - Batch 2</v>
          </cell>
          <cell r="AU917">
            <v>50</v>
          </cell>
          <cell r="AV917">
            <v>9</v>
          </cell>
          <cell r="AW917" t="str">
            <v>H+L</v>
          </cell>
          <cell r="AX917">
            <v>80</v>
          </cell>
          <cell r="AY917">
            <v>50</v>
          </cell>
          <cell r="AZ917" t="str">
            <v>Duplex</v>
          </cell>
          <cell r="BA917">
            <v>1</v>
          </cell>
          <cell r="BB917" t="str">
            <v>568 - Without Partition</v>
          </cell>
          <cell r="BC917" t="str">
            <v>With Partition</v>
          </cell>
          <cell r="BD917" t="str">
            <v>Flat</v>
          </cell>
          <cell r="BE917" t="str">
            <v>With Partition</v>
          </cell>
          <cell r="BF917" t="str">
            <v>PURPLE</v>
          </cell>
          <cell r="BG917">
            <v>2850000</v>
          </cell>
          <cell r="BH917">
            <v>3000000</v>
          </cell>
          <cell r="BI917">
            <v>100000</v>
          </cell>
          <cell r="BJ917">
            <v>2900000</v>
          </cell>
          <cell r="BK917">
            <v>0</v>
          </cell>
          <cell r="BL917">
            <v>2900000</v>
          </cell>
        </row>
        <row r="918">
          <cell r="D918" t="str">
            <v>OS</v>
          </cell>
          <cell r="E918"/>
          <cell r="F918">
            <v>898</v>
          </cell>
          <cell r="G918" t="str">
            <v>SOLD</v>
          </cell>
          <cell r="H918" t="str">
            <v>OS</v>
          </cell>
          <cell r="I918" t="str">
            <v>OS</v>
          </cell>
          <cell r="J918" t="str">
            <v>OS</v>
          </cell>
          <cell r="K918" t="str">
            <v>OS</v>
          </cell>
          <cell r="L918" t="str">
            <v>OS</v>
          </cell>
          <cell r="M918" t="str">
            <v>OS</v>
          </cell>
          <cell r="N918" t="str">
            <v>OS</v>
          </cell>
          <cell r="O918" t="str">
            <v>OS</v>
          </cell>
          <cell r="P918" t="str">
            <v>OS</v>
          </cell>
          <cell r="Q918" t="str">
            <v>OS</v>
          </cell>
          <cell r="R918" t="str">
            <v>OS</v>
          </cell>
          <cell r="S918" t="str">
            <v>OS</v>
          </cell>
          <cell r="T918" t="str">
            <v>OS</v>
          </cell>
          <cell r="U918" t="str">
            <v>OS</v>
          </cell>
          <cell r="V918" t="str">
            <v>OS</v>
          </cell>
          <cell r="W918" t="str">
            <v>OS</v>
          </cell>
          <cell r="X918" t="str">
            <v>OS</v>
          </cell>
          <cell r="Y918" t="str">
            <v>OS</v>
          </cell>
          <cell r="Z918" t="str">
            <v>OS</v>
          </cell>
          <cell r="AA918" t="str">
            <v>OS</v>
          </cell>
          <cell r="AB918" t="str">
            <v>OS</v>
          </cell>
          <cell r="AC918" t="str">
            <v>OS</v>
          </cell>
          <cell r="AD918" t="str">
            <v>AGM-01-050-010</v>
          </cell>
          <cell r="AE918" t="str">
            <v xml:space="preserve">Raemulan Lands, Inc. </v>
          </cell>
          <cell r="AF918" t="str">
            <v>Agapeya</v>
          </cell>
          <cell r="AG918" t="str">
            <v>AGM</v>
          </cell>
          <cell r="AH918" t="str">
            <v>Eco-High</v>
          </cell>
          <cell r="AI918" t="str">
            <v>West</v>
          </cell>
          <cell r="AJ918" t="str">
            <v>With LTS</v>
          </cell>
          <cell r="AK918" t="str">
            <v>Unaffected lots</v>
          </cell>
          <cell r="AL918" t="str">
            <v>Unaffected lots</v>
          </cell>
          <cell r="AM918" t="b">
            <v>1</v>
          </cell>
          <cell r="AN918" t="str">
            <v>YES</v>
          </cell>
          <cell r="AO918" t="str">
            <v>B2 2025</v>
          </cell>
          <cell r="AP918">
            <v>70</v>
          </cell>
          <cell r="AQ918" t="str">
            <v>PSD-04-276567</v>
          </cell>
          <cell r="AR918" t="b">
            <v>1</v>
          </cell>
          <cell r="AS918" t="str">
            <v>Done</v>
          </cell>
          <cell r="AT918" t="str">
            <v>2025 - Batch 2</v>
          </cell>
          <cell r="AU918">
            <v>50</v>
          </cell>
          <cell r="AV918">
            <v>10</v>
          </cell>
          <cell r="AW918" t="str">
            <v>H+L</v>
          </cell>
          <cell r="AX918">
            <v>70</v>
          </cell>
          <cell r="AY918">
            <v>50</v>
          </cell>
          <cell r="AZ918" t="str">
            <v>Duplex</v>
          </cell>
          <cell r="BA918">
            <v>1</v>
          </cell>
          <cell r="BB918" t="str">
            <v>568 - Without Partition</v>
          </cell>
          <cell r="BC918" t="str">
            <v>With Partition</v>
          </cell>
          <cell r="BD918" t="str">
            <v>Slant</v>
          </cell>
          <cell r="BE918" t="str">
            <v>With Partition</v>
          </cell>
          <cell r="BF918" t="str">
            <v>PURPLE</v>
          </cell>
          <cell r="BG918">
            <v>2707500</v>
          </cell>
          <cell r="BH918">
            <v>2850000</v>
          </cell>
          <cell r="BI918">
            <v>100000</v>
          </cell>
          <cell r="BJ918">
            <v>2750000</v>
          </cell>
          <cell r="BK918">
            <v>0</v>
          </cell>
          <cell r="BL918">
            <v>2750000</v>
          </cell>
        </row>
        <row r="919">
          <cell r="D919" t="str">
            <v>OS</v>
          </cell>
          <cell r="E919"/>
          <cell r="F919">
            <v>899</v>
          </cell>
          <cell r="G919" t="str">
            <v>SOLD</v>
          </cell>
          <cell r="H919" t="str">
            <v>OS</v>
          </cell>
          <cell r="I919" t="str">
            <v>OS</v>
          </cell>
          <cell r="J919" t="str">
            <v>OS</v>
          </cell>
          <cell r="K919" t="str">
            <v>OS</v>
          </cell>
          <cell r="L919" t="str">
            <v>OS</v>
          </cell>
          <cell r="M919" t="str">
            <v>OS</v>
          </cell>
          <cell r="N919" t="str">
            <v>OS</v>
          </cell>
          <cell r="O919" t="str">
            <v>OS</v>
          </cell>
          <cell r="P919" t="str">
            <v>OS</v>
          </cell>
          <cell r="Q919" t="str">
            <v>OS</v>
          </cell>
          <cell r="R919" t="str">
            <v>OS</v>
          </cell>
          <cell r="S919" t="str">
            <v>OS</v>
          </cell>
          <cell r="T919" t="str">
            <v>OS</v>
          </cell>
          <cell r="U919" t="str">
            <v>OS</v>
          </cell>
          <cell r="V919" t="str">
            <v>OS</v>
          </cell>
          <cell r="W919" t="str">
            <v>OS</v>
          </cell>
          <cell r="X919" t="str">
            <v>OS</v>
          </cell>
          <cell r="Y919" t="str">
            <v>OS</v>
          </cell>
          <cell r="Z919" t="str">
            <v>OS</v>
          </cell>
          <cell r="AA919" t="str">
            <v>OS</v>
          </cell>
          <cell r="AB919" t="str">
            <v>OS</v>
          </cell>
          <cell r="AC919" t="str">
            <v>OS</v>
          </cell>
          <cell r="AD919" t="str">
            <v>AGM-01-050-011</v>
          </cell>
          <cell r="AE919" t="str">
            <v xml:space="preserve">Raemulan Lands, Inc. </v>
          </cell>
          <cell r="AF919" t="str">
            <v>Agapeya</v>
          </cell>
          <cell r="AG919" t="str">
            <v>AGM</v>
          </cell>
          <cell r="AH919" t="str">
            <v>Eco-High</v>
          </cell>
          <cell r="AI919" t="str">
            <v>West</v>
          </cell>
          <cell r="AJ919" t="str">
            <v>With LTS</v>
          </cell>
          <cell r="AK919" t="str">
            <v>Unaffected lots</v>
          </cell>
          <cell r="AL919" t="str">
            <v>Unaffected lots</v>
          </cell>
          <cell r="AM919" t="b">
            <v>1</v>
          </cell>
          <cell r="AN919" t="str">
            <v>YES</v>
          </cell>
          <cell r="AO919" t="str">
            <v>B2 2025</v>
          </cell>
          <cell r="AP919">
            <v>70</v>
          </cell>
          <cell r="AQ919" t="str">
            <v>PSD-04-276567</v>
          </cell>
          <cell r="AR919" t="b">
            <v>1</v>
          </cell>
          <cell r="AS919" t="str">
            <v>Done</v>
          </cell>
          <cell r="AT919" t="str">
            <v>2025 - Batch 2</v>
          </cell>
          <cell r="AU919">
            <v>50</v>
          </cell>
          <cell r="AV919">
            <v>11</v>
          </cell>
          <cell r="AW919" t="str">
            <v>H+L</v>
          </cell>
          <cell r="AX919">
            <v>70</v>
          </cell>
          <cell r="AY919">
            <v>50</v>
          </cell>
          <cell r="AZ919" t="str">
            <v>Duplex</v>
          </cell>
          <cell r="BA919">
            <v>1</v>
          </cell>
          <cell r="BB919" t="str">
            <v>568 - Without Partition</v>
          </cell>
          <cell r="BC919" t="str">
            <v>With Partition</v>
          </cell>
          <cell r="BD919" t="str">
            <v>Slant</v>
          </cell>
          <cell r="BE919" t="str">
            <v>With Partition</v>
          </cell>
          <cell r="BF919" t="str">
            <v>PURPLE</v>
          </cell>
          <cell r="BG919">
            <v>2707500</v>
          </cell>
          <cell r="BH919">
            <v>2850000</v>
          </cell>
          <cell r="BI919">
            <v>100000</v>
          </cell>
          <cell r="BJ919">
            <v>2750000</v>
          </cell>
          <cell r="BK919">
            <v>0</v>
          </cell>
          <cell r="BL919">
            <v>2750000</v>
          </cell>
        </row>
        <row r="920">
          <cell r="D920" t="str">
            <v>OS</v>
          </cell>
          <cell r="E920"/>
          <cell r="F920">
            <v>900</v>
          </cell>
          <cell r="G920" t="str">
            <v>SOLD</v>
          </cell>
          <cell r="H920" t="str">
            <v>OS</v>
          </cell>
          <cell r="I920" t="str">
            <v>OS</v>
          </cell>
          <cell r="J920" t="str">
            <v>OS</v>
          </cell>
          <cell r="K920" t="str">
            <v>OS</v>
          </cell>
          <cell r="L920" t="str">
            <v>OS</v>
          </cell>
          <cell r="M920" t="str">
            <v>OS</v>
          </cell>
          <cell r="N920" t="str">
            <v>OS</v>
          </cell>
          <cell r="O920" t="str">
            <v>OS</v>
          </cell>
          <cell r="P920" t="str">
            <v>OS</v>
          </cell>
          <cell r="Q920" t="str">
            <v>OS</v>
          </cell>
          <cell r="R920" t="str">
            <v>OS</v>
          </cell>
          <cell r="S920" t="str">
            <v>OS</v>
          </cell>
          <cell r="T920" t="str">
            <v>OS</v>
          </cell>
          <cell r="U920" t="str">
            <v>OS</v>
          </cell>
          <cell r="V920" t="str">
            <v>OS</v>
          </cell>
          <cell r="W920" t="str">
            <v>TS</v>
          </cell>
          <cell r="X920" t="str">
            <v>OS</v>
          </cell>
          <cell r="Y920" t="str">
            <v>OS</v>
          </cell>
          <cell r="Z920" t="str">
            <v>OS</v>
          </cell>
          <cell r="AA920" t="str">
            <v>OS</v>
          </cell>
          <cell r="AB920" t="str">
            <v>OS</v>
          </cell>
          <cell r="AC920" t="str">
            <v>OS</v>
          </cell>
          <cell r="AD920" t="str">
            <v>AGM-01-050-012</v>
          </cell>
          <cell r="AE920" t="str">
            <v xml:space="preserve">Raemulan Lands, Inc. </v>
          </cell>
          <cell r="AF920" t="str">
            <v>Agapeya</v>
          </cell>
          <cell r="AG920" t="str">
            <v>AGM</v>
          </cell>
          <cell r="AH920" t="str">
            <v>Eco-High</v>
          </cell>
          <cell r="AI920" t="str">
            <v>West</v>
          </cell>
          <cell r="AJ920" t="str">
            <v>With LTS</v>
          </cell>
          <cell r="AK920" t="str">
            <v>Unaffected lots</v>
          </cell>
          <cell r="AL920" t="str">
            <v>Unaffected lots</v>
          </cell>
          <cell r="AM920" t="b">
            <v>1</v>
          </cell>
          <cell r="AN920" t="str">
            <v>YES</v>
          </cell>
          <cell r="AO920" t="str">
            <v>B2 2025</v>
          </cell>
          <cell r="AP920">
            <v>70</v>
          </cell>
          <cell r="AQ920" t="str">
            <v>PSD-04-276567</v>
          </cell>
          <cell r="AR920" t="b">
            <v>1</v>
          </cell>
          <cell r="AS920" t="str">
            <v>Done</v>
          </cell>
          <cell r="AT920" t="str">
            <v>2025 - Batch 2</v>
          </cell>
          <cell r="AU920">
            <v>50</v>
          </cell>
          <cell r="AV920">
            <v>12</v>
          </cell>
          <cell r="AW920" t="str">
            <v>H+L</v>
          </cell>
          <cell r="AX920">
            <v>70</v>
          </cell>
          <cell r="AY920">
            <v>50</v>
          </cell>
          <cell r="AZ920" t="str">
            <v>Duplex</v>
          </cell>
          <cell r="BA920">
            <v>1</v>
          </cell>
          <cell r="BB920" t="str">
            <v>568 - Without Partition</v>
          </cell>
          <cell r="BC920" t="str">
            <v xml:space="preserve">Without Partition </v>
          </cell>
          <cell r="BD920" t="str">
            <v>Flat</v>
          </cell>
          <cell r="BE920" t="str">
            <v xml:space="preserve">Without Partition </v>
          </cell>
          <cell r="BF920" t="str">
            <v>PURPLE</v>
          </cell>
          <cell r="BG920">
            <v>2707500</v>
          </cell>
          <cell r="BH920">
            <v>2650000</v>
          </cell>
          <cell r="BI920">
            <v>100000</v>
          </cell>
          <cell r="BJ920">
            <v>2550000</v>
          </cell>
          <cell r="BK920">
            <v>0</v>
          </cell>
          <cell r="BL920">
            <v>2550000</v>
          </cell>
        </row>
        <row r="921">
          <cell r="D921" t="str">
            <v>OS</v>
          </cell>
          <cell r="E921"/>
          <cell r="F921">
            <v>901</v>
          </cell>
          <cell r="G921" t="str">
            <v>SOLD</v>
          </cell>
          <cell r="H921" t="str">
            <v>OS</v>
          </cell>
          <cell r="I921" t="str">
            <v>OS</v>
          </cell>
          <cell r="J921" t="str">
            <v>OS</v>
          </cell>
          <cell r="K921" t="str">
            <v>OS</v>
          </cell>
          <cell r="L921" t="str">
            <v>OS</v>
          </cell>
          <cell r="M921" t="str">
            <v>OS</v>
          </cell>
          <cell r="N921" t="str">
            <v>FOR CANCELLATION</v>
          </cell>
          <cell r="O921" t="str">
            <v>FOR CANCELLATION</v>
          </cell>
          <cell r="P921" t="str">
            <v>FOR CANCELLATION</v>
          </cell>
          <cell r="Q921" t="str">
            <v>FOR CANCELLATION</v>
          </cell>
          <cell r="R921" t="str">
            <v>FOR CANCELLATION</v>
          </cell>
          <cell r="S921" t="str">
            <v>FOR CANCELLATION</v>
          </cell>
          <cell r="T921" t="str">
            <v>FOR CANCELLATION</v>
          </cell>
          <cell r="U921" t="str">
            <v>FOR CANCELLATION</v>
          </cell>
          <cell r="V921" t="str">
            <v>FOR CANCELLATION</v>
          </cell>
          <cell r="W921" t="str">
            <v>FOR CANCELLATION</v>
          </cell>
          <cell r="X921" t="str">
            <v>FOR CANCELLATION</v>
          </cell>
          <cell r="Y921" t="str">
            <v>FOR BRN</v>
          </cell>
          <cell r="Z921" t="str">
            <v>OS</v>
          </cell>
          <cell r="AA921" t="str">
            <v>OS</v>
          </cell>
          <cell r="AB921" t="str">
            <v>FOR BRN</v>
          </cell>
          <cell r="AC921" t="str">
            <v>FOR BRN</v>
          </cell>
          <cell r="AD921" t="str">
            <v>AGM-01-050-013</v>
          </cell>
          <cell r="AE921" t="str">
            <v xml:space="preserve">Raemulan Lands, Inc. </v>
          </cell>
          <cell r="AF921" t="str">
            <v>Agapeya</v>
          </cell>
          <cell r="AG921" t="str">
            <v>AGM</v>
          </cell>
          <cell r="AH921" t="str">
            <v>Eco-High</v>
          </cell>
          <cell r="AI921" t="str">
            <v>West</v>
          </cell>
          <cell r="AJ921" t="str">
            <v>With LTS</v>
          </cell>
          <cell r="AK921" t="str">
            <v>Unaffected lots</v>
          </cell>
          <cell r="AL921" t="str">
            <v>Unaffected lots</v>
          </cell>
          <cell r="AM921" t="b">
            <v>1</v>
          </cell>
          <cell r="AN921" t="str">
            <v>YES</v>
          </cell>
          <cell r="AO921" t="str">
            <v>2024 Batch</v>
          </cell>
          <cell r="AP921">
            <v>70</v>
          </cell>
          <cell r="AQ921" t="str">
            <v>PSD-04-276567</v>
          </cell>
          <cell r="AR921" t="b">
            <v>1</v>
          </cell>
          <cell r="AS921" t="str">
            <v>Done</v>
          </cell>
          <cell r="AT921" t="str">
            <v>2024 Batch</v>
          </cell>
          <cell r="AU921">
            <v>50</v>
          </cell>
          <cell r="AV921">
            <v>13</v>
          </cell>
          <cell r="AW921" t="str">
            <v>H+L</v>
          </cell>
          <cell r="AX921">
            <v>70</v>
          </cell>
          <cell r="AY921">
            <v>50</v>
          </cell>
          <cell r="AZ921" t="str">
            <v>Duplex</v>
          </cell>
          <cell r="BA921">
            <v>1</v>
          </cell>
          <cell r="BB921" t="str">
            <v>326 - With Partition</v>
          </cell>
          <cell r="BC921" t="str">
            <v>With Partition</v>
          </cell>
          <cell r="BD921" t="str">
            <v>Flat</v>
          </cell>
          <cell r="BE921" t="str">
            <v>With Partition</v>
          </cell>
          <cell r="BF921" t="str">
            <v>YELLOW</v>
          </cell>
          <cell r="BG921">
            <v>2750000</v>
          </cell>
          <cell r="BH921">
            <v>2850000</v>
          </cell>
          <cell r="BI921">
            <v>100000</v>
          </cell>
          <cell r="BJ921">
            <v>2750000</v>
          </cell>
          <cell r="BK921">
            <v>0</v>
          </cell>
          <cell r="BL921">
            <v>2750000</v>
          </cell>
        </row>
        <row r="922">
          <cell r="D922" t="str">
            <v>OS</v>
          </cell>
          <cell r="E922"/>
          <cell r="F922">
            <v>902</v>
          </cell>
          <cell r="G922" t="str">
            <v>SOLD</v>
          </cell>
          <cell r="H922" t="str">
            <v>OS</v>
          </cell>
          <cell r="I922" t="str">
            <v>OS</v>
          </cell>
          <cell r="J922" t="str">
            <v>OS</v>
          </cell>
          <cell r="K922" t="str">
            <v>OS</v>
          </cell>
          <cell r="L922" t="str">
            <v>OS</v>
          </cell>
          <cell r="M922" t="str">
            <v>OS</v>
          </cell>
          <cell r="N922" t="str">
            <v>OS</v>
          </cell>
          <cell r="O922" t="str">
            <v>OS</v>
          </cell>
          <cell r="P922" t="str">
            <v>OS</v>
          </cell>
          <cell r="Q922" t="str">
            <v>OS</v>
          </cell>
          <cell r="R922" t="str">
            <v>OS</v>
          </cell>
          <cell r="S922" t="str">
            <v>OS</v>
          </cell>
          <cell r="T922" t="str">
            <v>OS</v>
          </cell>
          <cell r="U922" t="str">
            <v>OS</v>
          </cell>
          <cell r="V922" t="str">
            <v>OS</v>
          </cell>
          <cell r="W922" t="str">
            <v>OS</v>
          </cell>
          <cell r="X922" t="str">
            <v>OS</v>
          </cell>
          <cell r="Y922" t="str">
            <v>OS</v>
          </cell>
          <cell r="Z922" t="str">
            <v>OS</v>
          </cell>
          <cell r="AA922" t="str">
            <v>OS</v>
          </cell>
          <cell r="AB922" t="str">
            <v>OS</v>
          </cell>
          <cell r="AC922" t="str">
            <v>OS</v>
          </cell>
          <cell r="AD922" t="str">
            <v>AGM-01-050-014</v>
          </cell>
          <cell r="AE922" t="str">
            <v xml:space="preserve">Raemulan Lands, Inc. </v>
          </cell>
          <cell r="AF922" t="str">
            <v>Agapeya</v>
          </cell>
          <cell r="AG922" t="str">
            <v>AGM</v>
          </cell>
          <cell r="AH922" t="str">
            <v>Eco-High</v>
          </cell>
          <cell r="AI922" t="str">
            <v>West</v>
          </cell>
          <cell r="AJ922" t="str">
            <v>With LTS</v>
          </cell>
          <cell r="AK922" t="str">
            <v>Unaffected lots</v>
          </cell>
          <cell r="AL922" t="str">
            <v>Unaffected lots</v>
          </cell>
          <cell r="AM922" t="b">
            <v>1</v>
          </cell>
          <cell r="AN922" t="str">
            <v>YES</v>
          </cell>
          <cell r="AO922" t="str">
            <v>2024 Batch</v>
          </cell>
          <cell r="AP922">
            <v>70</v>
          </cell>
          <cell r="AQ922" t="str">
            <v>PSD-04-276567</v>
          </cell>
          <cell r="AR922" t="b">
            <v>1</v>
          </cell>
          <cell r="AS922" t="str">
            <v>Done</v>
          </cell>
          <cell r="AT922" t="str">
            <v>2024 Batch</v>
          </cell>
          <cell r="AU922">
            <v>50</v>
          </cell>
          <cell r="AV922">
            <v>14</v>
          </cell>
          <cell r="AW922" t="str">
            <v>H+L</v>
          </cell>
          <cell r="AX922">
            <v>70</v>
          </cell>
          <cell r="AY922">
            <v>50</v>
          </cell>
          <cell r="AZ922" t="str">
            <v>Duplex</v>
          </cell>
          <cell r="BA922">
            <v>1</v>
          </cell>
          <cell r="BB922" t="str">
            <v>326 - With Partition</v>
          </cell>
          <cell r="BC922" t="str">
            <v>With Partition</v>
          </cell>
          <cell r="BD922" t="str">
            <v>Slant</v>
          </cell>
          <cell r="BE922" t="str">
            <v>With Partition</v>
          </cell>
          <cell r="BF922" t="str">
            <v>YELLOW</v>
          </cell>
          <cell r="BG922">
            <v>2500000</v>
          </cell>
          <cell r="BH922">
            <v>2850000</v>
          </cell>
          <cell r="BI922">
            <v>100000</v>
          </cell>
          <cell r="BJ922">
            <v>2750000</v>
          </cell>
          <cell r="BK922">
            <v>0</v>
          </cell>
          <cell r="BL922">
            <v>2750000</v>
          </cell>
        </row>
        <row r="923">
          <cell r="D923" t="str">
            <v>OS</v>
          </cell>
          <cell r="E923"/>
          <cell r="F923">
            <v>903</v>
          </cell>
          <cell r="G923" t="str">
            <v>UNSOLD</v>
          </cell>
          <cell r="H923" t="str">
            <v>OS</v>
          </cell>
          <cell r="I923" t="str">
            <v>OS</v>
          </cell>
          <cell r="J923" t="str">
            <v>OS</v>
          </cell>
          <cell r="K923" t="str">
            <v>OS</v>
          </cell>
          <cell r="L923" t="str">
            <v>OS</v>
          </cell>
          <cell r="M923" t="str">
            <v>OS</v>
          </cell>
          <cell r="N923" t="str">
            <v>OS</v>
          </cell>
          <cell r="O923" t="str">
            <v>OS</v>
          </cell>
          <cell r="P923" t="str">
            <v>OS</v>
          </cell>
          <cell r="Q923" t="str">
            <v>OS</v>
          </cell>
          <cell r="R923" t="str">
            <v>OS</v>
          </cell>
          <cell r="S923" t="str">
            <v>OS</v>
          </cell>
          <cell r="T923" t="str">
            <v>OS</v>
          </cell>
          <cell r="U923" t="str">
            <v>OS</v>
          </cell>
          <cell r="V923" t="str">
            <v>OS</v>
          </cell>
          <cell r="W923" t="str">
            <v>OS</v>
          </cell>
          <cell r="X923" t="str">
            <v>OS</v>
          </cell>
          <cell r="Y923" t="str">
            <v>OS</v>
          </cell>
          <cell r="Z923" t="str">
            <v>OS</v>
          </cell>
          <cell r="AA923" t="str">
            <v>OS</v>
          </cell>
          <cell r="AB923" t="str">
            <v>OS</v>
          </cell>
          <cell r="AC923" t="str">
            <v>OS</v>
          </cell>
          <cell r="AD923" t="str">
            <v>AGM-01-050-015</v>
          </cell>
          <cell r="AE923" t="str">
            <v xml:space="preserve">Raemulan Lands, Inc. </v>
          </cell>
          <cell r="AF923" t="str">
            <v>Agapeya</v>
          </cell>
          <cell r="AG923" t="str">
            <v>AGM</v>
          </cell>
          <cell r="AH923" t="str">
            <v>Eco-High</v>
          </cell>
          <cell r="AI923" t="str">
            <v>West</v>
          </cell>
          <cell r="AJ923" t="str">
            <v>With LTS</v>
          </cell>
          <cell r="AK923" t="str">
            <v>Unaffected lots</v>
          </cell>
          <cell r="AL923" t="str">
            <v>Unaffected lots</v>
          </cell>
          <cell r="AM923" t="b">
            <v>1</v>
          </cell>
          <cell r="AN923" t="str">
            <v>YES</v>
          </cell>
          <cell r="AO923" t="str">
            <v>2024 Batch</v>
          </cell>
          <cell r="AP923">
            <v>70</v>
          </cell>
          <cell r="AQ923" t="str">
            <v>PSD-04-276567</v>
          </cell>
          <cell r="AR923" t="b">
            <v>1</v>
          </cell>
          <cell r="AS923" t="str">
            <v>Done</v>
          </cell>
          <cell r="AT923" t="str">
            <v>2024 Batch</v>
          </cell>
          <cell r="AU923">
            <v>50</v>
          </cell>
          <cell r="AV923">
            <v>15</v>
          </cell>
          <cell r="AW923" t="str">
            <v>H+L</v>
          </cell>
          <cell r="AX923">
            <v>70</v>
          </cell>
          <cell r="AY923">
            <v>50</v>
          </cell>
          <cell r="AZ923" t="str">
            <v>Duplex</v>
          </cell>
          <cell r="BA923">
            <v>1</v>
          </cell>
          <cell r="BB923" t="str">
            <v>326 - With Partition</v>
          </cell>
          <cell r="BC923" t="str">
            <v>With Partition</v>
          </cell>
          <cell r="BD923" t="str">
            <v>Slant</v>
          </cell>
          <cell r="BE923" t="str">
            <v>With Partition</v>
          </cell>
          <cell r="BF923" t="str">
            <v>YELLOW</v>
          </cell>
          <cell r="BG923">
            <v>2500000</v>
          </cell>
          <cell r="BH923">
            <v>2850000</v>
          </cell>
          <cell r="BI923">
            <v>100000</v>
          </cell>
          <cell r="BJ923">
            <v>2750000</v>
          </cell>
          <cell r="BK923">
            <v>0</v>
          </cell>
          <cell r="BL923">
            <v>2750000</v>
          </cell>
        </row>
        <row r="924">
          <cell r="D924" t="str">
            <v>OS</v>
          </cell>
          <cell r="E924"/>
          <cell r="F924">
            <v>904</v>
          </cell>
          <cell r="G924" t="str">
            <v>SOLD</v>
          </cell>
          <cell r="H924" t="str">
            <v>OS</v>
          </cell>
          <cell r="I924" t="str">
            <v>OS</v>
          </cell>
          <cell r="J924" t="str">
            <v>OS</v>
          </cell>
          <cell r="K924" t="str">
            <v>OS</v>
          </cell>
          <cell r="L924" t="str">
            <v>OS</v>
          </cell>
          <cell r="M924" t="str">
            <v>OS</v>
          </cell>
          <cell r="N924" t="str">
            <v>OS</v>
          </cell>
          <cell r="O924" t="str">
            <v>OS</v>
          </cell>
          <cell r="P924" t="str">
            <v>OS</v>
          </cell>
          <cell r="Q924" t="str">
            <v>OS</v>
          </cell>
          <cell r="R924" t="str">
            <v>OS</v>
          </cell>
          <cell r="S924" t="str">
            <v>OS</v>
          </cell>
          <cell r="T924" t="str">
            <v>OS</v>
          </cell>
          <cell r="U924" t="str">
            <v>OS</v>
          </cell>
          <cell r="V924" t="str">
            <v>OS</v>
          </cell>
          <cell r="W924" t="str">
            <v>OS</v>
          </cell>
          <cell r="X924" t="str">
            <v>OS</v>
          </cell>
          <cell r="Y924" t="str">
            <v>OS</v>
          </cell>
          <cell r="Z924" t="str">
            <v>OS</v>
          </cell>
          <cell r="AA924" t="str">
            <v>OS</v>
          </cell>
          <cell r="AB924" t="str">
            <v>OS</v>
          </cell>
          <cell r="AC924" t="str">
            <v>OS</v>
          </cell>
          <cell r="AD924" t="str">
            <v>AGM-01-050-016</v>
          </cell>
          <cell r="AE924" t="str">
            <v xml:space="preserve">Raemulan Lands, Inc. </v>
          </cell>
          <cell r="AF924" t="str">
            <v>Agapeya</v>
          </cell>
          <cell r="AG924" t="str">
            <v>AGM</v>
          </cell>
          <cell r="AH924" t="str">
            <v>Eco-High</v>
          </cell>
          <cell r="AI924" t="str">
            <v>West</v>
          </cell>
          <cell r="AJ924" t="str">
            <v>With LTS</v>
          </cell>
          <cell r="AK924" t="str">
            <v>Unaffected lots</v>
          </cell>
          <cell r="AL924" t="str">
            <v>Unaffected lots</v>
          </cell>
          <cell r="AM924" t="b">
            <v>1</v>
          </cell>
          <cell r="AN924" t="str">
            <v>YES</v>
          </cell>
          <cell r="AO924" t="str">
            <v>2024 Batch</v>
          </cell>
          <cell r="AP924">
            <v>100</v>
          </cell>
          <cell r="AQ924" t="str">
            <v>PSD-04-276567</v>
          </cell>
          <cell r="AR924" t="b">
            <v>1</v>
          </cell>
          <cell r="AS924" t="str">
            <v>Done</v>
          </cell>
          <cell r="AT924" t="str">
            <v>2024 Batch</v>
          </cell>
          <cell r="AU924">
            <v>50</v>
          </cell>
          <cell r="AV924">
            <v>16</v>
          </cell>
          <cell r="AW924" t="str">
            <v>H+L</v>
          </cell>
          <cell r="AX924">
            <v>100</v>
          </cell>
          <cell r="AY924">
            <v>50</v>
          </cell>
          <cell r="AZ924" t="str">
            <v>Duplex</v>
          </cell>
          <cell r="BA924">
            <v>1</v>
          </cell>
          <cell r="BB924" t="str">
            <v>326 - With Partition</v>
          </cell>
          <cell r="BC924" t="str">
            <v>With Partition</v>
          </cell>
          <cell r="BD924" t="str">
            <v>Flat</v>
          </cell>
          <cell r="BE924" t="str">
            <v>With Partition</v>
          </cell>
          <cell r="BF924" t="str">
            <v>YELLOW</v>
          </cell>
          <cell r="BG924">
            <v>2992500</v>
          </cell>
          <cell r="BH924">
            <v>3300000</v>
          </cell>
          <cell r="BI924">
            <v>100000</v>
          </cell>
          <cell r="BJ924">
            <v>3200000</v>
          </cell>
          <cell r="BK924">
            <v>0</v>
          </cell>
          <cell r="BL924">
            <v>3200000</v>
          </cell>
        </row>
        <row r="925">
          <cell r="D925" t="str">
            <v>OS</v>
          </cell>
          <cell r="E925"/>
          <cell r="F925">
            <v>905</v>
          </cell>
          <cell r="G925" t="str">
            <v>CLOSED</v>
          </cell>
          <cell r="H925" t="str">
            <v>OPEN</v>
          </cell>
          <cell r="I925" t="str">
            <v>OPEN</v>
          </cell>
          <cell r="J925" t="str">
            <v>OPEN</v>
          </cell>
          <cell r="K925" t="str">
            <v>OPEN</v>
          </cell>
          <cell r="L925" t="str">
            <v>OPEN</v>
          </cell>
          <cell r="M925" t="str">
            <v>OPEN</v>
          </cell>
          <cell r="N925" t="str">
            <v>WITH BRN</v>
          </cell>
          <cell r="O925" t="str">
            <v>TS</v>
          </cell>
          <cell r="P925" t="str">
            <v>OS</v>
          </cell>
          <cell r="Q925" t="str">
            <v>OS</v>
          </cell>
          <cell r="R925" t="str">
            <v>OS</v>
          </cell>
          <cell r="S925" t="str">
            <v>OS</v>
          </cell>
          <cell r="T925" t="str">
            <v>OS</v>
          </cell>
          <cell r="U925" t="str">
            <v>OS</v>
          </cell>
          <cell r="V925" t="str">
            <v>OS</v>
          </cell>
          <cell r="W925" t="str">
            <v>OS</v>
          </cell>
          <cell r="X925" t="str">
            <v>OS</v>
          </cell>
          <cell r="Y925" t="str">
            <v>OS</v>
          </cell>
          <cell r="Z925" t="str">
            <v>OS</v>
          </cell>
          <cell r="AA925" t="str">
            <v>OS</v>
          </cell>
          <cell r="AB925" t="str">
            <v>OS</v>
          </cell>
          <cell r="AC925" t="str">
            <v>OS</v>
          </cell>
          <cell r="AD925" t="str">
            <v>AGM-01-051-001</v>
          </cell>
          <cell r="AE925" t="str">
            <v xml:space="preserve">Raemulan Lands, Inc. </v>
          </cell>
          <cell r="AF925" t="str">
            <v>Agapeya</v>
          </cell>
          <cell r="AG925" t="str">
            <v>AGM</v>
          </cell>
          <cell r="AH925" t="str">
            <v>Eco-High</v>
          </cell>
          <cell r="AI925" t="str">
            <v>West</v>
          </cell>
          <cell r="AJ925" t="str">
            <v>With LTS</v>
          </cell>
          <cell r="AK925" t="str">
            <v>Unaffected lots</v>
          </cell>
          <cell r="AL925" t="str">
            <v>Unaffected lots</v>
          </cell>
          <cell r="AM925" t="b">
            <v>1</v>
          </cell>
          <cell r="AN925" t="str">
            <v>YES</v>
          </cell>
          <cell r="AO925" t="str">
            <v>B5 2025</v>
          </cell>
          <cell r="AP925">
            <v>100</v>
          </cell>
          <cell r="AQ925" t="str">
            <v>PSD-04-276567</v>
          </cell>
          <cell r="AR925" t="b">
            <v>1</v>
          </cell>
          <cell r="AS925" t="str">
            <v>Done</v>
          </cell>
          <cell r="AT925" t="str">
            <v>2025 - Batch 4</v>
          </cell>
          <cell r="AU925">
            <v>51</v>
          </cell>
          <cell r="AV925">
            <v>1</v>
          </cell>
          <cell r="AW925" t="str">
            <v>H+L</v>
          </cell>
          <cell r="AX925">
            <v>100</v>
          </cell>
          <cell r="AY925">
            <v>50</v>
          </cell>
          <cell r="AZ925" t="str">
            <v>Duplex</v>
          </cell>
          <cell r="BA925">
            <v>1</v>
          </cell>
          <cell r="BB925" t="str">
            <v>568 - Without Partition</v>
          </cell>
          <cell r="BC925" t="str">
            <v xml:space="preserve">Without Partition </v>
          </cell>
          <cell r="BD925" t="str">
            <v>Slant</v>
          </cell>
          <cell r="BE925" t="str">
            <v xml:space="preserve">Without Partition </v>
          </cell>
          <cell r="BF925" t="str">
            <v>PURPLE</v>
          </cell>
          <cell r="BG925">
            <v>2500000</v>
          </cell>
          <cell r="BH925">
            <v>3100000</v>
          </cell>
          <cell r="BI925">
            <v>100000</v>
          </cell>
          <cell r="BJ925">
            <v>3000000</v>
          </cell>
          <cell r="BK925">
            <v>0</v>
          </cell>
          <cell r="BL925">
            <v>3000000</v>
          </cell>
        </row>
        <row r="926">
          <cell r="D926" t="str">
            <v>OS</v>
          </cell>
          <cell r="E926"/>
          <cell r="F926">
            <v>906</v>
          </cell>
          <cell r="G926" t="str">
            <v>SOLD</v>
          </cell>
          <cell r="H926" t="str">
            <v>TS</v>
          </cell>
          <cell r="I926" t="str">
            <v>TS</v>
          </cell>
          <cell r="J926" t="str">
            <v>TS</v>
          </cell>
          <cell r="K926" t="str">
            <v>TS</v>
          </cell>
          <cell r="L926" t="str">
            <v>TS</v>
          </cell>
          <cell r="M926" t="str">
            <v>TS</v>
          </cell>
          <cell r="N926" t="str">
            <v>OS</v>
          </cell>
          <cell r="O926" t="str">
            <v>OS</v>
          </cell>
          <cell r="P926" t="str">
            <v>OS</v>
          </cell>
          <cell r="Q926" t="str">
            <v>OS</v>
          </cell>
          <cell r="R926" t="str">
            <v>OS</v>
          </cell>
          <cell r="S926" t="str">
            <v>OS</v>
          </cell>
          <cell r="T926" t="str">
            <v>OS</v>
          </cell>
          <cell r="U926" t="str">
            <v>OS</v>
          </cell>
          <cell r="V926" t="str">
            <v>OS</v>
          </cell>
          <cell r="W926" t="str">
            <v>OS</v>
          </cell>
          <cell r="X926" t="str">
            <v>OS</v>
          </cell>
          <cell r="Y926" t="str">
            <v>OS</v>
          </cell>
          <cell r="Z926" t="str">
            <v>OS</v>
          </cell>
          <cell r="AA926" t="str">
            <v>OS</v>
          </cell>
          <cell r="AB926" t="str">
            <v>OS</v>
          </cell>
          <cell r="AC926" t="str">
            <v>OS</v>
          </cell>
          <cell r="AD926" t="str">
            <v>AGM-01-051-002</v>
          </cell>
          <cell r="AE926" t="str">
            <v xml:space="preserve">Raemulan Lands, Inc. </v>
          </cell>
          <cell r="AF926" t="str">
            <v>Agapeya</v>
          </cell>
          <cell r="AG926" t="str">
            <v>AGM</v>
          </cell>
          <cell r="AH926" t="str">
            <v>Eco-High</v>
          </cell>
          <cell r="AI926" t="str">
            <v>West</v>
          </cell>
          <cell r="AJ926" t="str">
            <v>With LTS</v>
          </cell>
          <cell r="AK926" t="str">
            <v>Unaffected lots</v>
          </cell>
          <cell r="AL926" t="str">
            <v>Unaffected lots</v>
          </cell>
          <cell r="AM926" t="b">
            <v>1</v>
          </cell>
          <cell r="AN926" t="str">
            <v>YES</v>
          </cell>
          <cell r="AO926" t="str">
            <v>B5 2025</v>
          </cell>
          <cell r="AP926">
            <v>110</v>
          </cell>
          <cell r="AQ926" t="str">
            <v>PSD-04-276567</v>
          </cell>
          <cell r="AR926" t="b">
            <v>1</v>
          </cell>
          <cell r="AS926" t="str">
            <v>Done</v>
          </cell>
          <cell r="AT926" t="str">
            <v>2025 - Batch 4</v>
          </cell>
          <cell r="AU926">
            <v>51</v>
          </cell>
          <cell r="AV926">
            <v>2</v>
          </cell>
          <cell r="AW926" t="str">
            <v>H+L</v>
          </cell>
          <cell r="AX926">
            <v>110</v>
          </cell>
          <cell r="AY926">
            <v>50</v>
          </cell>
          <cell r="AZ926" t="str">
            <v>Duplex</v>
          </cell>
          <cell r="BA926">
            <v>1</v>
          </cell>
          <cell r="BB926" t="str">
            <v>568 - Without Partition</v>
          </cell>
          <cell r="BC926" t="str">
            <v xml:space="preserve">Without Partition </v>
          </cell>
          <cell r="BD926" t="str">
            <v>Flat</v>
          </cell>
          <cell r="BE926" t="str">
            <v xml:space="preserve">Without Partition </v>
          </cell>
          <cell r="BF926" t="str">
            <v>PURPLE</v>
          </cell>
          <cell r="BG926">
            <v>2500000</v>
          </cell>
          <cell r="BH926">
            <v>3250000</v>
          </cell>
          <cell r="BI926">
            <v>100000</v>
          </cell>
          <cell r="BJ926">
            <v>3150000</v>
          </cell>
          <cell r="BK926">
            <v>0</v>
          </cell>
          <cell r="BL926">
            <v>3150000</v>
          </cell>
        </row>
        <row r="927">
          <cell r="D927" t="str">
            <v>OS</v>
          </cell>
          <cell r="E927"/>
          <cell r="F927">
            <v>907</v>
          </cell>
          <cell r="G927" t="str">
            <v>SOLD</v>
          </cell>
          <cell r="H927" t="str">
            <v>OS</v>
          </cell>
          <cell r="I927" t="str">
            <v>OS</v>
          </cell>
          <cell r="J927" t="str">
            <v>OS</v>
          </cell>
          <cell r="K927" t="str">
            <v>OS</v>
          </cell>
          <cell r="L927" t="str">
            <v>OS</v>
          </cell>
          <cell r="M927" t="str">
            <v>OS</v>
          </cell>
          <cell r="N927" t="str">
            <v>OS</v>
          </cell>
          <cell r="O927" t="str">
            <v>OS</v>
          </cell>
          <cell r="P927" t="str">
            <v>OS</v>
          </cell>
          <cell r="Q927" t="str">
            <v>OS</v>
          </cell>
          <cell r="R927" t="str">
            <v>OS</v>
          </cell>
          <cell r="S927" t="str">
            <v>OS</v>
          </cell>
          <cell r="T927" t="str">
            <v>OS</v>
          </cell>
          <cell r="U927" t="str">
            <v>OS</v>
          </cell>
          <cell r="V927" t="str">
            <v>OS</v>
          </cell>
          <cell r="W927" t="str">
            <v>OS</v>
          </cell>
          <cell r="X927" t="str">
            <v>OS</v>
          </cell>
          <cell r="Y927" t="str">
            <v>OS</v>
          </cell>
          <cell r="Z927" t="str">
            <v>OS</v>
          </cell>
          <cell r="AA927" t="str">
            <v>OS</v>
          </cell>
          <cell r="AB927" t="str">
            <v>OS</v>
          </cell>
          <cell r="AC927" t="str">
            <v>OS</v>
          </cell>
          <cell r="AD927" t="str">
            <v>AGM-01-051-003</v>
          </cell>
          <cell r="AE927" t="str">
            <v xml:space="preserve">Raemulan Lands, Inc. </v>
          </cell>
          <cell r="AF927" t="str">
            <v>Agapeya</v>
          </cell>
          <cell r="AG927" t="str">
            <v>AGM</v>
          </cell>
          <cell r="AH927" t="str">
            <v>Eco-High</v>
          </cell>
          <cell r="AI927" t="str">
            <v>West</v>
          </cell>
          <cell r="AJ927" t="str">
            <v>With LTS</v>
          </cell>
          <cell r="AK927" t="str">
            <v>Unaffected lots</v>
          </cell>
          <cell r="AL927" t="str">
            <v>Unaffected lots</v>
          </cell>
          <cell r="AM927" t="b">
            <v>1</v>
          </cell>
          <cell r="AN927" t="str">
            <v>YES</v>
          </cell>
          <cell r="AO927" t="str">
            <v>B5 2025</v>
          </cell>
          <cell r="AP927">
            <v>110</v>
          </cell>
          <cell r="AQ927" t="str">
            <v>PSD-04-276567</v>
          </cell>
          <cell r="AR927" t="b">
            <v>0</v>
          </cell>
          <cell r="AS927" t="str">
            <v>Done</v>
          </cell>
          <cell r="AT927" t="str">
            <v>2025 - Batch 4</v>
          </cell>
          <cell r="AU927">
            <v>51</v>
          </cell>
          <cell r="AV927">
            <v>3</v>
          </cell>
          <cell r="AW927" t="str">
            <v>H+L</v>
          </cell>
          <cell r="AX927">
            <v>100</v>
          </cell>
          <cell r="AY927">
            <v>50</v>
          </cell>
          <cell r="AZ927" t="str">
            <v>Duplex</v>
          </cell>
          <cell r="BA927">
            <v>1</v>
          </cell>
          <cell r="BB927" t="str">
            <v>568 - Without Partition</v>
          </cell>
          <cell r="BC927" t="str">
            <v xml:space="preserve">Without Partition </v>
          </cell>
          <cell r="BD927" t="str">
            <v>Slant</v>
          </cell>
          <cell r="BE927" t="str">
            <v xml:space="preserve">Without Partition </v>
          </cell>
          <cell r="BF927" t="str">
            <v>GREEN</v>
          </cell>
          <cell r="BG927">
            <v>2500000</v>
          </cell>
          <cell r="BH927">
            <v>3100000</v>
          </cell>
          <cell r="BI927">
            <v>100000</v>
          </cell>
          <cell r="BJ927">
            <v>3000000</v>
          </cell>
          <cell r="BK927">
            <v>0</v>
          </cell>
          <cell r="BL927">
            <v>3000000</v>
          </cell>
        </row>
        <row r="928">
          <cell r="D928" t="str">
            <v>TS</v>
          </cell>
          <cell r="E928"/>
          <cell r="F928">
            <v>908</v>
          </cell>
          <cell r="G928" t="str">
            <v>CLOSED</v>
          </cell>
          <cell r="H928" t="str">
            <v>TS</v>
          </cell>
          <cell r="I928" t="str">
            <v>TS</v>
          </cell>
          <cell r="J928" t="str">
            <v>TS</v>
          </cell>
          <cell r="K928" t="str">
            <v>TS</v>
          </cell>
          <cell r="L928" t="str">
            <v>TS</v>
          </cell>
          <cell r="M928" t="str">
            <v>TS</v>
          </cell>
          <cell r="N928" t="str">
            <v>TS</v>
          </cell>
          <cell r="O928" t="str">
            <v>TS</v>
          </cell>
          <cell r="P928" t="str">
            <v>TS</v>
          </cell>
          <cell r="Q928" t="str">
            <v>TS</v>
          </cell>
          <cell r="R928" t="str">
            <v>TS</v>
          </cell>
          <cell r="S928" t="str">
            <v>TS</v>
          </cell>
          <cell r="T928" t="str">
            <v>TS</v>
          </cell>
          <cell r="U928" t="str">
            <v>OS</v>
          </cell>
          <cell r="V928" t="str">
            <v>OS</v>
          </cell>
          <cell r="W928" t="str">
            <v>OS</v>
          </cell>
          <cell r="X928" t="str">
            <v>OS</v>
          </cell>
          <cell r="Y928" t="str">
            <v>OS</v>
          </cell>
          <cell r="Z928" t="str">
            <v>TS</v>
          </cell>
          <cell r="AA928" t="str">
            <v>TS</v>
          </cell>
          <cell r="AB928" t="str">
            <v>TS</v>
          </cell>
          <cell r="AC928" t="str">
            <v>TS</v>
          </cell>
          <cell r="AD928" t="str">
            <v>AGM-01-051-004</v>
          </cell>
          <cell r="AE928" t="str">
            <v xml:space="preserve">Raemulan Lands, Inc. </v>
          </cell>
          <cell r="AF928" t="str">
            <v>Agapeya</v>
          </cell>
          <cell r="AG928" t="str">
            <v>AGM</v>
          </cell>
          <cell r="AH928" t="str">
            <v>Eco-High</v>
          </cell>
          <cell r="AI928" t="str">
            <v>West</v>
          </cell>
          <cell r="AJ928" t="str">
            <v>With LTS</v>
          </cell>
          <cell r="AK928" t="str">
            <v>Unaffected lots</v>
          </cell>
          <cell r="AL928" t="str">
            <v>Unaffected lots</v>
          </cell>
          <cell r="AM928" t="b">
            <v>1</v>
          </cell>
          <cell r="AN928" t="str">
            <v>YES</v>
          </cell>
          <cell r="AO928" t="str">
            <v>B5 2025</v>
          </cell>
          <cell r="AP928">
            <v>100</v>
          </cell>
          <cell r="AQ928" t="str">
            <v>PSD-04-276567</v>
          </cell>
          <cell r="AR928" t="b">
            <v>1</v>
          </cell>
          <cell r="AS928" t="str">
            <v>Done</v>
          </cell>
          <cell r="AT928" t="str">
            <v>2025 - Batch 4</v>
          </cell>
          <cell r="AU928">
            <v>51</v>
          </cell>
          <cell r="AV928">
            <v>4</v>
          </cell>
          <cell r="AW928" t="str">
            <v>H+L</v>
          </cell>
          <cell r="AX928">
            <v>100</v>
          </cell>
          <cell r="AY928">
            <v>50</v>
          </cell>
          <cell r="AZ928" t="str">
            <v>Duplex</v>
          </cell>
          <cell r="BA928">
            <v>1</v>
          </cell>
          <cell r="BB928" t="str">
            <v>568 - Without Partition</v>
          </cell>
          <cell r="BC928" t="str">
            <v xml:space="preserve">Without Partition </v>
          </cell>
          <cell r="BD928" t="str">
            <v>Flat</v>
          </cell>
          <cell r="BE928" t="str">
            <v xml:space="preserve">Without Partition </v>
          </cell>
          <cell r="BF928" t="str">
            <v>GREEN</v>
          </cell>
          <cell r="BG928">
            <v>2500000</v>
          </cell>
          <cell r="BH928">
            <v>3100000</v>
          </cell>
          <cell r="BI928">
            <v>100000</v>
          </cell>
          <cell r="BJ928">
            <v>3000000</v>
          </cell>
          <cell r="BK928">
            <v>0</v>
          </cell>
          <cell r="BL928">
            <v>3000000</v>
          </cell>
        </row>
      </sheetData>
      <sheetData sheetId="1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PH"/>
      <sheetName val="Sheet1"/>
    </sheetNames>
    <sheetDataSet>
      <sheetData sheetId="0">
        <row r="14">
          <cell r="H14" t="str">
            <v>JPH-00-001-001</v>
          </cell>
          <cell r="I14" t="str">
            <v>PRIME</v>
          </cell>
          <cell r="J14" t="str">
            <v xml:space="preserve">Raemulan Lands, Inc. </v>
          </cell>
          <cell r="K14" t="str">
            <v>Penthouse at Jubilation Enclave North</v>
          </cell>
          <cell r="L14" t="str">
            <v>JPH</v>
          </cell>
          <cell r="M14" t="str">
            <v>Middle Income</v>
          </cell>
          <cell r="N14">
            <v>1</v>
          </cell>
          <cell r="O14">
            <v>1</v>
          </cell>
          <cell r="P14" t="str">
            <v>H+L</v>
          </cell>
          <cell r="Q14">
            <v>93</v>
          </cell>
          <cell r="R14">
            <v>113</v>
          </cell>
          <cell r="S14" t="str">
            <v>A</v>
          </cell>
          <cell r="T14" t="str">
            <v>End Unit</v>
          </cell>
          <cell r="U14" t="str">
            <v>PRIME</v>
          </cell>
          <cell r="V14" t="str">
            <v>End Unit - PRIME</v>
          </cell>
          <cell r="W14" t="str">
            <v>End Unit - PRIME</v>
          </cell>
          <cell r="X14">
            <v>6480848.0028914288</v>
          </cell>
          <cell r="Y14">
            <v>76848.000034285724</v>
          </cell>
          <cell r="Z14">
            <v>6404000.0028571431</v>
          </cell>
          <cell r="AA14">
            <v>686142.86</v>
          </cell>
          <cell r="AB14">
            <v>5717857.1428571427</v>
          </cell>
        </row>
        <row r="15">
          <cell r="H15" t="str">
            <v>JPH-00-001-002</v>
          </cell>
          <cell r="I15" t="str">
            <v>PRIME</v>
          </cell>
          <cell r="J15" t="str">
            <v xml:space="preserve">Raemulan Lands, Inc. </v>
          </cell>
          <cell r="K15" t="str">
            <v>Penthouse at Jubilation Enclave North</v>
          </cell>
          <cell r="L15" t="str">
            <v>JPH</v>
          </cell>
          <cell r="M15" t="str">
            <v>Middle Income</v>
          </cell>
          <cell r="N15">
            <v>1</v>
          </cell>
          <cell r="O15">
            <v>2</v>
          </cell>
          <cell r="P15" t="str">
            <v>H+L</v>
          </cell>
          <cell r="Q15">
            <v>60</v>
          </cell>
          <cell r="R15">
            <v>113</v>
          </cell>
          <cell r="S15" t="str">
            <v>B</v>
          </cell>
          <cell r="T15" t="str">
            <v>Inner Unit</v>
          </cell>
          <cell r="U15" t="str">
            <v>PRIME</v>
          </cell>
          <cell r="V15" t="str">
            <v>Inner Unit-PRIME</v>
          </cell>
          <cell r="W15" t="str">
            <v>Inner Unit-PRIME</v>
          </cell>
          <cell r="X15">
            <v>4857599.9956628568</v>
          </cell>
          <cell r="Y15">
            <v>57599.999948571429</v>
          </cell>
          <cell r="Z15">
            <v>4799999.9957142854</v>
          </cell>
          <cell r="AA15">
            <v>514285.71</v>
          </cell>
          <cell r="AB15">
            <v>4285714.2857142854</v>
          </cell>
        </row>
        <row r="16">
          <cell r="H16" t="str">
            <v>JPH-00-001-003</v>
          </cell>
          <cell r="I16" t="str">
            <v>PRIME</v>
          </cell>
          <cell r="J16" t="str">
            <v xml:space="preserve">Raemulan Lands, Inc. </v>
          </cell>
          <cell r="K16" t="str">
            <v>Penthouse at Jubilation Enclave North</v>
          </cell>
          <cell r="L16" t="str">
            <v>JPH</v>
          </cell>
          <cell r="M16" t="str">
            <v>Middle Income</v>
          </cell>
          <cell r="N16">
            <v>1</v>
          </cell>
          <cell r="O16">
            <v>3</v>
          </cell>
          <cell r="P16" t="str">
            <v>H+L</v>
          </cell>
          <cell r="Q16">
            <v>60</v>
          </cell>
          <cell r="R16">
            <v>113</v>
          </cell>
          <cell r="S16" t="str">
            <v>E</v>
          </cell>
          <cell r="T16" t="str">
            <v>Inner Unit</v>
          </cell>
          <cell r="U16" t="str">
            <v>PRIME</v>
          </cell>
          <cell r="V16" t="str">
            <v>Inner Unit-PRIME</v>
          </cell>
          <cell r="W16" t="str">
            <v>Inner Unit-PRIME</v>
          </cell>
          <cell r="X16">
            <v>4857599.9956628568</v>
          </cell>
          <cell r="Y16">
            <v>57599.999948571429</v>
          </cell>
          <cell r="Z16">
            <v>4799999.9957142854</v>
          </cell>
          <cell r="AA16">
            <v>514285.71</v>
          </cell>
          <cell r="AB16">
            <v>4285714.2857142854</v>
          </cell>
        </row>
        <row r="17">
          <cell r="H17" t="str">
            <v>JPH-00-001-004</v>
          </cell>
          <cell r="I17" t="str">
            <v>PRIME</v>
          </cell>
          <cell r="J17" t="str">
            <v xml:space="preserve">Raemulan Lands, Inc. </v>
          </cell>
          <cell r="K17" t="str">
            <v>Penthouse at Jubilation Enclave North</v>
          </cell>
          <cell r="L17" t="str">
            <v>JPH</v>
          </cell>
          <cell r="M17" t="str">
            <v>Middle Income</v>
          </cell>
          <cell r="N17">
            <v>1</v>
          </cell>
          <cell r="O17">
            <v>4</v>
          </cell>
          <cell r="P17" t="str">
            <v>H+L</v>
          </cell>
          <cell r="Q17">
            <v>80</v>
          </cell>
          <cell r="R17">
            <v>113</v>
          </cell>
          <cell r="S17" t="str">
            <v>F</v>
          </cell>
          <cell r="T17" t="str">
            <v>End Unit</v>
          </cell>
          <cell r="U17" t="str">
            <v>PRIME</v>
          </cell>
          <cell r="V17" t="str">
            <v>End Unit - PRIME</v>
          </cell>
          <cell r="W17" t="str">
            <v>End Unit - PRIME</v>
          </cell>
          <cell r="X17">
            <v>6185344</v>
          </cell>
          <cell r="Y17">
            <v>73344</v>
          </cell>
          <cell r="Z17">
            <v>6112000</v>
          </cell>
          <cell r="AA17">
            <v>654857.14285714272</v>
          </cell>
          <cell r="AB17">
            <v>5457142.8571428573</v>
          </cell>
        </row>
        <row r="18">
          <cell r="H18" t="str">
            <v>JPH-00-001-005</v>
          </cell>
          <cell r="I18" t="str">
            <v>PREMIUM</v>
          </cell>
          <cell r="J18" t="str">
            <v xml:space="preserve">Raemulan Lands, Inc. </v>
          </cell>
          <cell r="K18" t="str">
            <v>Penthouse at Jubilation Enclave North</v>
          </cell>
          <cell r="L18" t="str">
            <v>JPH</v>
          </cell>
          <cell r="M18" t="str">
            <v>Middle Income</v>
          </cell>
          <cell r="N18">
            <v>1</v>
          </cell>
          <cell r="O18">
            <v>5</v>
          </cell>
          <cell r="P18" t="str">
            <v>H+L</v>
          </cell>
          <cell r="Q18">
            <v>80</v>
          </cell>
          <cell r="R18">
            <v>113</v>
          </cell>
          <cell r="S18" t="str">
            <v>A</v>
          </cell>
          <cell r="T18" t="str">
            <v>End Unit</v>
          </cell>
          <cell r="U18" t="str">
            <v>PREMIUM</v>
          </cell>
          <cell r="V18" t="str">
            <v>End Unit - PRIME</v>
          </cell>
          <cell r="W18" t="str">
            <v>End Unit - PREMIUM</v>
          </cell>
          <cell r="X18">
            <v>6084144</v>
          </cell>
          <cell r="Y18">
            <v>72144</v>
          </cell>
          <cell r="Z18">
            <v>6012000</v>
          </cell>
          <cell r="AA18">
            <v>644142.85714285716</v>
          </cell>
          <cell r="AB18">
            <v>5367857.1428571427</v>
          </cell>
        </row>
        <row r="19">
          <cell r="H19" t="str">
            <v>JPH-00-001-006</v>
          </cell>
          <cell r="I19" t="str">
            <v>PRIME</v>
          </cell>
          <cell r="J19" t="str">
            <v xml:space="preserve">Raemulan Lands, Inc. </v>
          </cell>
          <cell r="K19" t="str">
            <v>Penthouse at Jubilation Enclave North</v>
          </cell>
          <cell r="L19" t="str">
            <v>JPH</v>
          </cell>
          <cell r="M19" t="str">
            <v>Middle Income</v>
          </cell>
          <cell r="N19">
            <v>1</v>
          </cell>
          <cell r="O19">
            <v>6</v>
          </cell>
          <cell r="P19" t="str">
            <v>H+L</v>
          </cell>
          <cell r="Q19">
            <v>60</v>
          </cell>
          <cell r="R19">
            <v>113</v>
          </cell>
          <cell r="S19" t="str">
            <v>B</v>
          </cell>
          <cell r="T19" t="str">
            <v>Inner Unit</v>
          </cell>
          <cell r="U19" t="str">
            <v>PRIME</v>
          </cell>
          <cell r="V19" t="str">
            <v>Inner Unit-PRIME</v>
          </cell>
          <cell r="W19" t="str">
            <v>Inner Unit-PRIME</v>
          </cell>
          <cell r="X19">
            <v>5262400</v>
          </cell>
          <cell r="Y19">
            <v>62400</v>
          </cell>
          <cell r="Z19">
            <v>5200000</v>
          </cell>
          <cell r="AA19">
            <v>557142.85714285716</v>
          </cell>
          <cell r="AB19">
            <v>4642857.1428571427</v>
          </cell>
        </row>
        <row r="20">
          <cell r="H20" t="str">
            <v>JPH-00-001-007</v>
          </cell>
          <cell r="I20" t="str">
            <v>PRIME</v>
          </cell>
          <cell r="J20" t="str">
            <v xml:space="preserve">Raemulan Lands, Inc. </v>
          </cell>
          <cell r="K20" t="str">
            <v>Penthouse at Jubilation Enclave North</v>
          </cell>
          <cell r="L20" t="str">
            <v>JPH</v>
          </cell>
          <cell r="M20" t="str">
            <v>Middle Income</v>
          </cell>
          <cell r="N20">
            <v>1</v>
          </cell>
          <cell r="O20">
            <v>7</v>
          </cell>
          <cell r="P20" t="str">
            <v>H+L</v>
          </cell>
          <cell r="Q20">
            <v>60</v>
          </cell>
          <cell r="R20">
            <v>113</v>
          </cell>
          <cell r="S20" t="str">
            <v>C</v>
          </cell>
          <cell r="T20" t="str">
            <v>Inner Unit</v>
          </cell>
          <cell r="U20" t="str">
            <v>PRIME</v>
          </cell>
          <cell r="V20" t="str">
            <v>Inner Unit-PRIME</v>
          </cell>
          <cell r="W20" t="str">
            <v>Inner Unit-PRIME</v>
          </cell>
          <cell r="X20">
            <v>5262400</v>
          </cell>
          <cell r="Y20">
            <v>62400</v>
          </cell>
          <cell r="Z20">
            <v>5200000</v>
          </cell>
          <cell r="AA20">
            <v>557142.85714285716</v>
          </cell>
          <cell r="AB20">
            <v>4642857.1428571427</v>
          </cell>
        </row>
        <row r="21">
          <cell r="H21" t="str">
            <v>JPH-00-001-008</v>
          </cell>
          <cell r="I21" t="str">
            <v>PRIME</v>
          </cell>
          <cell r="J21" t="str">
            <v xml:space="preserve">Raemulan Lands, Inc. </v>
          </cell>
          <cell r="K21" t="str">
            <v>Penthouse at Jubilation Enclave North</v>
          </cell>
          <cell r="L21" t="str">
            <v>JPH</v>
          </cell>
          <cell r="M21" t="str">
            <v>Middle Income</v>
          </cell>
          <cell r="N21">
            <v>1</v>
          </cell>
          <cell r="O21">
            <v>8</v>
          </cell>
          <cell r="P21" t="str">
            <v>H+L</v>
          </cell>
          <cell r="Q21">
            <v>60</v>
          </cell>
          <cell r="R21">
            <v>113</v>
          </cell>
          <cell r="S21" t="str">
            <v>D</v>
          </cell>
          <cell r="T21" t="str">
            <v>Inner Unit</v>
          </cell>
          <cell r="U21" t="str">
            <v>PRIME</v>
          </cell>
          <cell r="V21" t="str">
            <v>Inner Unit-PRIME</v>
          </cell>
          <cell r="W21" t="str">
            <v>Inner Unit-PRIME</v>
          </cell>
          <cell r="X21">
            <v>5590288</v>
          </cell>
          <cell r="Y21">
            <v>66288</v>
          </cell>
          <cell r="Z21">
            <v>5524000</v>
          </cell>
          <cell r="AA21">
            <v>591857.14285714272</v>
          </cell>
          <cell r="AB21">
            <v>4932142.8571428573</v>
          </cell>
        </row>
        <row r="22">
          <cell r="H22" t="str">
            <v>JPH-00-001-009</v>
          </cell>
          <cell r="I22" t="str">
            <v>PRIME</v>
          </cell>
          <cell r="J22" t="str">
            <v xml:space="preserve">Raemulan Lands, Inc. </v>
          </cell>
          <cell r="K22" t="str">
            <v>Penthouse at Jubilation Enclave North</v>
          </cell>
          <cell r="L22" t="str">
            <v>JPH</v>
          </cell>
          <cell r="M22" t="str">
            <v>Middle Income</v>
          </cell>
          <cell r="N22">
            <v>1</v>
          </cell>
          <cell r="O22">
            <v>9</v>
          </cell>
          <cell r="P22" t="str">
            <v>H+L</v>
          </cell>
          <cell r="Q22">
            <v>60</v>
          </cell>
          <cell r="R22">
            <v>113</v>
          </cell>
          <cell r="S22" t="str">
            <v>E</v>
          </cell>
          <cell r="T22" t="str">
            <v>Inner Unit</v>
          </cell>
          <cell r="U22" t="str">
            <v>PRIME</v>
          </cell>
          <cell r="V22" t="str">
            <v>Inner Unit-PRIME</v>
          </cell>
          <cell r="W22" t="str">
            <v>Inner Unit-PRIME</v>
          </cell>
          <cell r="X22">
            <v>4857600</v>
          </cell>
          <cell r="Y22">
            <v>57600</v>
          </cell>
          <cell r="Z22">
            <v>4800000</v>
          </cell>
          <cell r="AA22">
            <v>514285.71428571426</v>
          </cell>
          <cell r="AB22">
            <v>4285714.2857142854</v>
          </cell>
        </row>
        <row r="23">
          <cell r="H23" t="str">
            <v>JPH-00-001-010</v>
          </cell>
          <cell r="I23" t="str">
            <v>PRIME</v>
          </cell>
          <cell r="J23" t="str">
            <v xml:space="preserve">Raemulan Lands, Inc. </v>
          </cell>
          <cell r="K23" t="str">
            <v>Penthouse at Jubilation Enclave North</v>
          </cell>
          <cell r="L23" t="str">
            <v>JPH</v>
          </cell>
          <cell r="M23" t="str">
            <v>Middle Income</v>
          </cell>
          <cell r="N23">
            <v>1</v>
          </cell>
          <cell r="O23">
            <v>10</v>
          </cell>
          <cell r="P23" t="str">
            <v>H+L</v>
          </cell>
          <cell r="Q23">
            <v>80</v>
          </cell>
          <cell r="R23">
            <v>113</v>
          </cell>
          <cell r="S23" t="str">
            <v>F</v>
          </cell>
          <cell r="T23" t="str">
            <v>End Unit</v>
          </cell>
          <cell r="U23" t="str">
            <v>PRIME</v>
          </cell>
          <cell r="V23" t="str">
            <v>End Unit - PRIME</v>
          </cell>
          <cell r="W23" t="str">
            <v>End Unit - PRIME</v>
          </cell>
          <cell r="X23">
            <v>6589285.7142857146</v>
          </cell>
          <cell r="Y23">
            <v>500000</v>
          </cell>
          <cell r="Z23">
            <v>6089285.7142857146</v>
          </cell>
          <cell r="AA23">
            <v>589285.71428571432</v>
          </cell>
          <cell r="AB23">
            <v>5500000</v>
          </cell>
        </row>
        <row r="24">
          <cell r="H24" t="str">
            <v>JPH-00-001-011</v>
          </cell>
          <cell r="I24" t="str">
            <v>PREMIUM</v>
          </cell>
          <cell r="J24" t="str">
            <v xml:space="preserve">Raemulan Lands, Inc. </v>
          </cell>
          <cell r="K24" t="str">
            <v>Penthouse at Jubilation Enclave North</v>
          </cell>
          <cell r="L24" t="str">
            <v>JPH</v>
          </cell>
          <cell r="M24" t="str">
            <v>Middle Income</v>
          </cell>
          <cell r="N24">
            <v>1</v>
          </cell>
          <cell r="O24">
            <v>11</v>
          </cell>
          <cell r="P24" t="str">
            <v>H+L</v>
          </cell>
          <cell r="Q24">
            <v>80</v>
          </cell>
          <cell r="R24">
            <v>113</v>
          </cell>
          <cell r="S24" t="str">
            <v>A</v>
          </cell>
          <cell r="T24" t="str">
            <v>End Unit</v>
          </cell>
          <cell r="U24" t="str">
            <v>PREMIUM</v>
          </cell>
          <cell r="V24" t="str">
            <v>End Unit - PRIME</v>
          </cell>
          <cell r="W24" t="str">
            <v>End Unit - PREMIUM</v>
          </cell>
          <cell r="X24">
            <v>7103228</v>
          </cell>
          <cell r="Y24">
            <v>84228</v>
          </cell>
          <cell r="Z24">
            <v>7019000</v>
          </cell>
          <cell r="AA24">
            <v>752035.7142857142</v>
          </cell>
          <cell r="AB24">
            <v>6266964.2857142854</v>
          </cell>
        </row>
        <row r="25">
          <cell r="H25" t="str">
            <v>JPH-00-001-012</v>
          </cell>
          <cell r="I25" t="str">
            <v>PRIME</v>
          </cell>
          <cell r="J25" t="str">
            <v xml:space="preserve">Raemulan Lands, Inc. </v>
          </cell>
          <cell r="K25" t="str">
            <v>Penthouse at Jubilation Enclave North</v>
          </cell>
          <cell r="L25" t="str">
            <v>JPH</v>
          </cell>
          <cell r="M25" t="str">
            <v>Middle Income</v>
          </cell>
          <cell r="N25">
            <v>1</v>
          </cell>
          <cell r="O25">
            <v>12</v>
          </cell>
          <cell r="P25" t="str">
            <v>H+L</v>
          </cell>
          <cell r="Q25">
            <v>60</v>
          </cell>
          <cell r="R25">
            <v>113</v>
          </cell>
          <cell r="S25" t="str">
            <v>B</v>
          </cell>
          <cell r="T25" t="str">
            <v>Inner Unit</v>
          </cell>
          <cell r="U25" t="str">
            <v>PRIME</v>
          </cell>
          <cell r="V25" t="str">
            <v>Inner Unit-PRIME</v>
          </cell>
          <cell r="W25" t="str">
            <v>Inner Unit-PRIME</v>
          </cell>
          <cell r="X25">
            <v>5262400</v>
          </cell>
          <cell r="Y25">
            <v>62400</v>
          </cell>
          <cell r="Z25">
            <v>5200000</v>
          </cell>
          <cell r="AA25">
            <v>557142.85714285716</v>
          </cell>
          <cell r="AB25">
            <v>4642857.1428571427</v>
          </cell>
        </row>
        <row r="26">
          <cell r="H26" t="str">
            <v>JPH-00-001-013</v>
          </cell>
          <cell r="I26" t="str">
            <v>PRIME</v>
          </cell>
          <cell r="J26" t="str">
            <v xml:space="preserve">Raemulan Lands, Inc. </v>
          </cell>
          <cell r="K26" t="str">
            <v>Penthouse at Jubilation Enclave North</v>
          </cell>
          <cell r="L26" t="str">
            <v>JPH</v>
          </cell>
          <cell r="M26" t="str">
            <v>Middle Income</v>
          </cell>
          <cell r="N26">
            <v>1</v>
          </cell>
          <cell r="O26">
            <v>13</v>
          </cell>
          <cell r="P26" t="str">
            <v>H+L</v>
          </cell>
          <cell r="Q26">
            <v>60</v>
          </cell>
          <cell r="R26">
            <v>113</v>
          </cell>
          <cell r="S26" t="str">
            <v>E</v>
          </cell>
          <cell r="T26" t="str">
            <v>Inner Unit</v>
          </cell>
          <cell r="U26" t="str">
            <v>PRIME</v>
          </cell>
          <cell r="V26" t="str">
            <v>Inner Unit-PRIME</v>
          </cell>
          <cell r="W26" t="str">
            <v>Inner Unit-PRIME</v>
          </cell>
          <cell r="X26">
            <v>5792688</v>
          </cell>
          <cell r="Y26">
            <v>68688</v>
          </cell>
          <cell r="Z26">
            <v>5724000</v>
          </cell>
          <cell r="AA26">
            <v>613285.7142857142</v>
          </cell>
          <cell r="AB26">
            <v>5110714.2857142854</v>
          </cell>
        </row>
        <row r="27">
          <cell r="H27" t="str">
            <v>JPH-00-001-014</v>
          </cell>
          <cell r="I27" t="str">
            <v>PRIME</v>
          </cell>
          <cell r="J27" t="str">
            <v xml:space="preserve">Raemulan Lands, Inc. </v>
          </cell>
          <cell r="K27" t="str">
            <v>Penthouse at Jubilation Enclave North</v>
          </cell>
          <cell r="L27" t="str">
            <v>JPH</v>
          </cell>
          <cell r="M27" t="str">
            <v>Middle Income</v>
          </cell>
          <cell r="N27">
            <v>1</v>
          </cell>
          <cell r="O27">
            <v>14</v>
          </cell>
          <cell r="P27" t="str">
            <v>H+L</v>
          </cell>
          <cell r="Q27">
            <v>103</v>
          </cell>
          <cell r="R27">
            <v>113</v>
          </cell>
          <cell r="S27" t="str">
            <v>F</v>
          </cell>
          <cell r="T27" t="str">
            <v>End Unit</v>
          </cell>
          <cell r="U27" t="str">
            <v>PRIME</v>
          </cell>
          <cell r="V27" t="str">
            <v>End Unit - PRIME</v>
          </cell>
          <cell r="W27" t="str">
            <v>End Unit - PRIME</v>
          </cell>
          <cell r="X27">
            <v>7327892</v>
          </cell>
          <cell r="Y27">
            <v>86892</v>
          </cell>
          <cell r="Z27">
            <v>7241000</v>
          </cell>
          <cell r="AA27">
            <v>775821.42857142852</v>
          </cell>
          <cell r="AB27">
            <v>6465178.5714285718</v>
          </cell>
        </row>
        <row r="28">
          <cell r="H28" t="str">
            <v>JPH-00-001-015</v>
          </cell>
          <cell r="I28" t="str">
            <v>PRIME</v>
          </cell>
          <cell r="J28" t="str">
            <v xml:space="preserve">Raemulan Lands, Inc. </v>
          </cell>
          <cell r="K28" t="str">
            <v>Penthouse at Jubilation Enclave North</v>
          </cell>
          <cell r="L28" t="str">
            <v>JPH</v>
          </cell>
          <cell r="M28" t="str">
            <v>Middle Income</v>
          </cell>
          <cell r="N28">
            <v>1</v>
          </cell>
          <cell r="O28">
            <v>15</v>
          </cell>
          <cell r="P28" t="str">
            <v>H+L</v>
          </cell>
          <cell r="Q28">
            <v>86</v>
          </cell>
          <cell r="R28">
            <v>113</v>
          </cell>
          <cell r="S28" t="str">
            <v>A</v>
          </cell>
          <cell r="T28" t="str">
            <v>End Unit</v>
          </cell>
          <cell r="U28" t="str">
            <v>PRIME</v>
          </cell>
          <cell r="V28" t="str">
            <v>End Unit - PRIME</v>
          </cell>
          <cell r="W28" t="str">
            <v>End Unit - PRIME</v>
          </cell>
          <cell r="X28">
            <v>5594336</v>
          </cell>
          <cell r="Y28">
            <v>66336</v>
          </cell>
          <cell r="Z28">
            <v>5528000</v>
          </cell>
          <cell r="AA28">
            <v>592285.71</v>
          </cell>
          <cell r="AB28">
            <v>4935714.29</v>
          </cell>
        </row>
        <row r="29">
          <cell r="H29" t="str">
            <v>JPH-00-001-016</v>
          </cell>
          <cell r="I29" t="str">
            <v>PRIME</v>
          </cell>
          <cell r="J29" t="str">
            <v xml:space="preserve">Raemulan Lands, Inc. </v>
          </cell>
          <cell r="K29" t="str">
            <v>Penthouse at Jubilation Enclave North</v>
          </cell>
          <cell r="L29" t="str">
            <v>JPH</v>
          </cell>
          <cell r="M29" t="str">
            <v>Middle Income</v>
          </cell>
          <cell r="N29">
            <v>1</v>
          </cell>
          <cell r="O29">
            <v>16</v>
          </cell>
          <cell r="P29" t="str">
            <v>H+L</v>
          </cell>
          <cell r="Q29">
            <v>60</v>
          </cell>
          <cell r="R29">
            <v>113</v>
          </cell>
          <cell r="S29" t="str">
            <v>B</v>
          </cell>
          <cell r="T29" t="str">
            <v>Inner Unit</v>
          </cell>
          <cell r="U29" t="str">
            <v>PRIME</v>
          </cell>
          <cell r="V29" t="str">
            <v>Inner Unit-PRIME</v>
          </cell>
          <cell r="W29" t="str">
            <v>Inner Unit-PRIME</v>
          </cell>
          <cell r="X29">
            <v>4711872</v>
          </cell>
          <cell r="Y29">
            <v>55872</v>
          </cell>
          <cell r="Z29">
            <v>4656000</v>
          </cell>
          <cell r="AA29">
            <v>498857.14285714302</v>
          </cell>
          <cell r="AB29">
            <v>4157142.8571428573</v>
          </cell>
        </row>
        <row r="30">
          <cell r="H30" t="str">
            <v>JPH-00-001-017</v>
          </cell>
          <cell r="I30" t="str">
            <v>PRIME</v>
          </cell>
          <cell r="J30" t="str">
            <v xml:space="preserve">Raemulan Lands, Inc. </v>
          </cell>
          <cell r="K30" t="str">
            <v>Penthouse at Jubilation Enclave North</v>
          </cell>
          <cell r="L30" t="str">
            <v>JPH</v>
          </cell>
          <cell r="M30" t="str">
            <v>Middle Income</v>
          </cell>
          <cell r="N30">
            <v>1</v>
          </cell>
          <cell r="O30">
            <v>17</v>
          </cell>
          <cell r="P30" t="str">
            <v>H+L</v>
          </cell>
          <cell r="Q30">
            <v>60</v>
          </cell>
          <cell r="R30">
            <v>113</v>
          </cell>
          <cell r="S30" t="str">
            <v>E</v>
          </cell>
          <cell r="T30" t="str">
            <v>Inner Unit</v>
          </cell>
          <cell r="U30" t="str">
            <v>PRIME</v>
          </cell>
          <cell r="V30" t="str">
            <v>Inner Unit-PRIME</v>
          </cell>
          <cell r="W30" t="str">
            <v>Inner Unit-PRIME</v>
          </cell>
          <cell r="X30">
            <v>5262400</v>
          </cell>
          <cell r="Y30">
            <v>62400</v>
          </cell>
          <cell r="Z30">
            <v>5200000</v>
          </cell>
          <cell r="AA30">
            <v>557142.85714285716</v>
          </cell>
          <cell r="AB30">
            <v>4642857.1428571427</v>
          </cell>
        </row>
        <row r="31">
          <cell r="H31" t="str">
            <v>JPH-00-001-018</v>
          </cell>
          <cell r="I31" t="str">
            <v>PRIME</v>
          </cell>
          <cell r="J31" t="str">
            <v xml:space="preserve">Raemulan Lands, Inc. </v>
          </cell>
          <cell r="K31" t="str">
            <v>Penthouse at Jubilation Enclave North</v>
          </cell>
          <cell r="L31" t="str">
            <v>JPH</v>
          </cell>
          <cell r="M31" t="str">
            <v>Middle Income</v>
          </cell>
          <cell r="N31">
            <v>1</v>
          </cell>
          <cell r="O31">
            <v>18</v>
          </cell>
          <cell r="P31" t="str">
            <v>H+L</v>
          </cell>
          <cell r="Q31">
            <v>80</v>
          </cell>
          <cell r="R31">
            <v>113</v>
          </cell>
          <cell r="S31" t="str">
            <v>F</v>
          </cell>
          <cell r="T31" t="str">
            <v>End Unit</v>
          </cell>
          <cell r="U31" t="str">
            <v>PRIME</v>
          </cell>
          <cell r="V31" t="str">
            <v>End Unit - PRIME</v>
          </cell>
          <cell r="W31" t="str">
            <v>End Unit - PRIME</v>
          </cell>
          <cell r="X31">
            <v>5261590.3971085716</v>
          </cell>
          <cell r="Y31">
            <v>62390.399965714285</v>
          </cell>
          <cell r="Z31">
            <v>5199199.9971428569</v>
          </cell>
          <cell r="AA31">
            <v>557057.14</v>
          </cell>
          <cell r="AB31">
            <v>4642142.8571428573</v>
          </cell>
        </row>
        <row r="32">
          <cell r="H32" t="str">
            <v>JPH-00-001-019</v>
          </cell>
          <cell r="I32" t="str">
            <v>PRIME</v>
          </cell>
          <cell r="J32" t="str">
            <v xml:space="preserve">Raemulan Lands, Inc. </v>
          </cell>
          <cell r="K32" t="str">
            <v>Penthouse at Jubilation Enclave North</v>
          </cell>
          <cell r="L32" t="str">
            <v>JPH</v>
          </cell>
          <cell r="M32" t="str">
            <v>Middle Income</v>
          </cell>
          <cell r="N32">
            <v>1</v>
          </cell>
          <cell r="O32">
            <v>19</v>
          </cell>
          <cell r="P32" t="str">
            <v>H+L</v>
          </cell>
          <cell r="Q32">
            <v>80</v>
          </cell>
          <cell r="R32">
            <v>113</v>
          </cell>
          <cell r="S32" t="str">
            <v>A</v>
          </cell>
          <cell r="T32" t="str">
            <v>End Unit</v>
          </cell>
          <cell r="U32" t="str">
            <v>PRIME</v>
          </cell>
          <cell r="V32" t="str">
            <v>End Unit - PRIME</v>
          </cell>
          <cell r="W32" t="str">
            <v>End Unit - PRIME</v>
          </cell>
          <cell r="X32">
            <v>6589285.7142857146</v>
          </cell>
          <cell r="Y32">
            <v>500000</v>
          </cell>
          <cell r="Z32">
            <v>6089285.7142857146</v>
          </cell>
          <cell r="AA32">
            <v>589285.71428571432</v>
          </cell>
          <cell r="AB32">
            <v>5500000</v>
          </cell>
        </row>
        <row r="33">
          <cell r="H33" t="str">
            <v>JPH-00-001-020</v>
          </cell>
          <cell r="I33" t="str">
            <v>PRIME</v>
          </cell>
          <cell r="J33" t="str">
            <v xml:space="preserve">Raemulan Lands, Inc. </v>
          </cell>
          <cell r="K33" t="str">
            <v>Penthouse at Jubilation Enclave North</v>
          </cell>
          <cell r="L33" t="str">
            <v>JPH</v>
          </cell>
          <cell r="M33" t="str">
            <v>Middle Income</v>
          </cell>
          <cell r="N33">
            <v>1</v>
          </cell>
          <cell r="O33">
            <v>20</v>
          </cell>
          <cell r="P33" t="str">
            <v>H+L</v>
          </cell>
          <cell r="Q33">
            <v>60</v>
          </cell>
          <cell r="R33">
            <v>113</v>
          </cell>
          <cell r="S33" t="str">
            <v>B</v>
          </cell>
          <cell r="T33" t="str">
            <v>Inner Unit</v>
          </cell>
          <cell r="U33" t="str">
            <v>PRIME</v>
          </cell>
          <cell r="V33" t="str">
            <v>Inner Unit-PRIME</v>
          </cell>
          <cell r="W33" t="str">
            <v>Inner Unit-PRIME</v>
          </cell>
          <cell r="X33">
            <v>6406972</v>
          </cell>
          <cell r="Y33">
            <v>75972</v>
          </cell>
          <cell r="Z33">
            <v>6331000</v>
          </cell>
          <cell r="AA33">
            <v>678321.43</v>
          </cell>
          <cell r="AB33">
            <v>5652678.5700000003</v>
          </cell>
        </row>
        <row r="34">
          <cell r="H34" t="str">
            <v>JPH-00-001-021</v>
          </cell>
          <cell r="I34" t="str">
            <v>PRIME</v>
          </cell>
          <cell r="J34" t="str">
            <v xml:space="preserve">Raemulan Lands, Inc. </v>
          </cell>
          <cell r="K34" t="str">
            <v>Penthouse at Jubilation Enclave North</v>
          </cell>
          <cell r="L34" t="str">
            <v>JPH</v>
          </cell>
          <cell r="M34" t="str">
            <v>Middle Income</v>
          </cell>
          <cell r="N34">
            <v>1</v>
          </cell>
          <cell r="O34">
            <v>21</v>
          </cell>
          <cell r="P34" t="str">
            <v>H+L</v>
          </cell>
          <cell r="Q34">
            <v>60</v>
          </cell>
          <cell r="R34">
            <v>113</v>
          </cell>
          <cell r="S34" t="str">
            <v>C</v>
          </cell>
          <cell r="T34" t="str">
            <v>Inner Unit</v>
          </cell>
          <cell r="U34" t="str">
            <v>PRIME</v>
          </cell>
          <cell r="V34" t="str">
            <v>Inner Unit-PRIME</v>
          </cell>
          <cell r="W34" t="str">
            <v>Inner Unit-PRIME</v>
          </cell>
          <cell r="X34">
            <v>5792688</v>
          </cell>
          <cell r="Y34">
            <v>68688</v>
          </cell>
          <cell r="Z34">
            <v>5724000</v>
          </cell>
          <cell r="AA34">
            <v>613285.7142857142</v>
          </cell>
          <cell r="AB34">
            <v>5110714.2857142854</v>
          </cell>
        </row>
        <row r="35">
          <cell r="H35" t="str">
            <v>JPH-00-001-022</v>
          </cell>
          <cell r="I35" t="str">
            <v>PRIME</v>
          </cell>
          <cell r="J35" t="str">
            <v xml:space="preserve">Raemulan Lands, Inc. </v>
          </cell>
          <cell r="K35" t="str">
            <v>Penthouse at Jubilation Enclave North</v>
          </cell>
          <cell r="L35" t="str">
            <v>JPH</v>
          </cell>
          <cell r="M35" t="str">
            <v>Middle Income</v>
          </cell>
          <cell r="N35">
            <v>1</v>
          </cell>
          <cell r="O35">
            <v>22</v>
          </cell>
          <cell r="P35" t="str">
            <v>H+L</v>
          </cell>
          <cell r="Q35">
            <v>60</v>
          </cell>
          <cell r="R35">
            <v>113</v>
          </cell>
          <cell r="S35" t="str">
            <v>D</v>
          </cell>
          <cell r="T35" t="str">
            <v>Inner Unit</v>
          </cell>
          <cell r="U35" t="str">
            <v>PRIME</v>
          </cell>
          <cell r="V35" t="str">
            <v>Inner Unit-PRIME</v>
          </cell>
          <cell r="W35" t="str">
            <v>Inner Unit-PRIME</v>
          </cell>
          <cell r="X35">
            <v>5262400</v>
          </cell>
          <cell r="Y35">
            <v>62400</v>
          </cell>
          <cell r="Z35">
            <v>5200000</v>
          </cell>
          <cell r="AA35">
            <v>557142.85714285716</v>
          </cell>
          <cell r="AB35">
            <v>4642857.1428571427</v>
          </cell>
        </row>
        <row r="36">
          <cell r="H36" t="str">
            <v>JPH-00-001-023</v>
          </cell>
          <cell r="I36" t="str">
            <v>PREMIUM</v>
          </cell>
          <cell r="J36" t="str">
            <v xml:space="preserve">Raemulan Lands, Inc. </v>
          </cell>
          <cell r="K36" t="str">
            <v>Penthouse at Jubilation Enclave North</v>
          </cell>
          <cell r="L36" t="str">
            <v>JPH</v>
          </cell>
          <cell r="M36" t="str">
            <v>Middle Income</v>
          </cell>
          <cell r="N36">
            <v>1</v>
          </cell>
          <cell r="O36">
            <v>23</v>
          </cell>
          <cell r="P36" t="str">
            <v>H+L</v>
          </cell>
          <cell r="Q36">
            <v>60</v>
          </cell>
          <cell r="R36">
            <v>113</v>
          </cell>
          <cell r="S36" t="str">
            <v>E</v>
          </cell>
          <cell r="T36" t="str">
            <v>Inner Unit</v>
          </cell>
          <cell r="U36" t="str">
            <v>PREMIUM</v>
          </cell>
          <cell r="V36" t="str">
            <v>Inner Unit-PREMIUM</v>
          </cell>
          <cell r="W36" t="str">
            <v>Inner Unit-PREMIUM</v>
          </cell>
          <cell r="X36">
            <v>6476800</v>
          </cell>
          <cell r="Y36">
            <v>76800</v>
          </cell>
          <cell r="Z36">
            <v>6400000</v>
          </cell>
          <cell r="AA36">
            <v>685714.28571428556</v>
          </cell>
          <cell r="AB36">
            <v>5714285.7142857146</v>
          </cell>
        </row>
        <row r="37">
          <cell r="H37" t="str">
            <v>JPH-00-001-024</v>
          </cell>
          <cell r="I37" t="str">
            <v>PRIME</v>
          </cell>
          <cell r="J37" t="str">
            <v xml:space="preserve">Raemulan Lands, Inc. </v>
          </cell>
          <cell r="K37" t="str">
            <v>Penthouse at Jubilation Enclave North</v>
          </cell>
          <cell r="L37" t="str">
            <v>JPH</v>
          </cell>
          <cell r="M37" t="str">
            <v>Middle Income</v>
          </cell>
          <cell r="N37">
            <v>1</v>
          </cell>
          <cell r="O37">
            <v>24</v>
          </cell>
          <cell r="P37" t="str">
            <v>H+L</v>
          </cell>
          <cell r="Q37">
            <v>80</v>
          </cell>
          <cell r="R37">
            <v>113</v>
          </cell>
          <cell r="S37" t="str">
            <v>F</v>
          </cell>
          <cell r="T37" t="str">
            <v>End Unit</v>
          </cell>
          <cell r="U37" t="str">
            <v>PRIME</v>
          </cell>
          <cell r="V37" t="str">
            <v>End Unit - PRIME</v>
          </cell>
          <cell r="W37" t="str">
            <v>End Unit - PRIME</v>
          </cell>
          <cell r="X37">
            <v>6589285.7142857146</v>
          </cell>
          <cell r="Y37">
            <v>500000</v>
          </cell>
          <cell r="Z37">
            <v>6089285.7142857146</v>
          </cell>
          <cell r="AA37">
            <v>589285.71428571432</v>
          </cell>
          <cell r="AB37">
            <v>5500000</v>
          </cell>
        </row>
        <row r="38">
          <cell r="H38" t="str">
            <v>JPH-00-001-025</v>
          </cell>
          <cell r="I38" t="str">
            <v>PRIME</v>
          </cell>
          <cell r="J38" t="str">
            <v xml:space="preserve">Raemulan Lands, Inc. </v>
          </cell>
          <cell r="K38" t="str">
            <v>Penthouse at Jubilation Enclave North</v>
          </cell>
          <cell r="L38" t="str">
            <v>JPH</v>
          </cell>
          <cell r="M38" t="str">
            <v>Middle Income</v>
          </cell>
          <cell r="N38">
            <v>1</v>
          </cell>
          <cell r="O38">
            <v>25</v>
          </cell>
          <cell r="P38" t="str">
            <v>H+L</v>
          </cell>
          <cell r="Q38">
            <v>80</v>
          </cell>
          <cell r="R38">
            <v>113</v>
          </cell>
          <cell r="S38" t="str">
            <v>A</v>
          </cell>
          <cell r="T38" t="str">
            <v>End Unit</v>
          </cell>
          <cell r="U38" t="str">
            <v>PRIME</v>
          </cell>
          <cell r="V38" t="str">
            <v>End Unit - PRIME</v>
          </cell>
          <cell r="W38" t="str">
            <v>End Unit - PRIME</v>
          </cell>
          <cell r="X38">
            <v>6699440</v>
          </cell>
          <cell r="Y38">
            <v>79440</v>
          </cell>
          <cell r="Z38">
            <v>6620000</v>
          </cell>
          <cell r="AA38">
            <v>709285.7142857142</v>
          </cell>
          <cell r="AB38">
            <v>5910714.2857142854</v>
          </cell>
        </row>
        <row r="39">
          <cell r="H39" t="str">
            <v>JPH-00-001-026</v>
          </cell>
          <cell r="I39" t="str">
            <v>PRIME</v>
          </cell>
          <cell r="J39" t="str">
            <v xml:space="preserve">Raemulan Lands, Inc. </v>
          </cell>
          <cell r="K39" t="str">
            <v>Penthouse at Jubilation Enclave North</v>
          </cell>
          <cell r="L39" t="str">
            <v>JPH</v>
          </cell>
          <cell r="M39" t="str">
            <v>Middle Income</v>
          </cell>
          <cell r="N39">
            <v>1</v>
          </cell>
          <cell r="O39">
            <v>26</v>
          </cell>
          <cell r="P39" t="str">
            <v>H+L</v>
          </cell>
          <cell r="Q39">
            <v>60</v>
          </cell>
          <cell r="R39">
            <v>113</v>
          </cell>
          <cell r="S39" t="str">
            <v>C</v>
          </cell>
          <cell r="T39" t="str">
            <v>Inner Unit</v>
          </cell>
          <cell r="U39" t="str">
            <v>PRIME</v>
          </cell>
          <cell r="V39" t="str">
            <v>Inner Unit-PRIME</v>
          </cell>
          <cell r="W39" t="str">
            <v>Inner Unit-PRIME</v>
          </cell>
          <cell r="X39">
            <v>4857600</v>
          </cell>
          <cell r="Y39">
            <v>57600</v>
          </cell>
          <cell r="Z39">
            <v>4800000</v>
          </cell>
          <cell r="AA39">
            <v>514285.71428571426</v>
          </cell>
          <cell r="AB39">
            <v>4285714.2857142854</v>
          </cell>
        </row>
        <row r="40">
          <cell r="H40" t="str">
            <v>JPH-00-001-027</v>
          </cell>
          <cell r="I40" t="str">
            <v>PRIME</v>
          </cell>
          <cell r="J40" t="str">
            <v xml:space="preserve">Raemulan Lands, Inc. </v>
          </cell>
          <cell r="K40" t="str">
            <v>Penthouse at Jubilation Enclave North</v>
          </cell>
          <cell r="L40" t="str">
            <v>JPH</v>
          </cell>
          <cell r="M40" t="str">
            <v>Middle Income</v>
          </cell>
          <cell r="N40">
            <v>1</v>
          </cell>
          <cell r="O40">
            <v>27</v>
          </cell>
          <cell r="P40" t="str">
            <v>H+L</v>
          </cell>
          <cell r="Q40">
            <v>119</v>
          </cell>
          <cell r="R40">
            <v>113</v>
          </cell>
          <cell r="S40" t="str">
            <v>F</v>
          </cell>
          <cell r="T40" t="str">
            <v>End Unit</v>
          </cell>
          <cell r="U40" t="str">
            <v>PRIME</v>
          </cell>
          <cell r="V40" t="str">
            <v>End Unit - PRIME</v>
          </cell>
          <cell r="W40" t="str">
            <v>End Unit - PRIME</v>
          </cell>
          <cell r="X40">
            <v>6529424</v>
          </cell>
          <cell r="Y40">
            <v>77424</v>
          </cell>
          <cell r="Z40">
            <v>6452000</v>
          </cell>
          <cell r="AA40">
            <v>691285.7142857142</v>
          </cell>
          <cell r="AB40">
            <v>5760714.2857142854</v>
          </cell>
        </row>
        <row r="41">
          <cell r="H41" t="str">
            <v>JPH-00-002-001</v>
          </cell>
          <cell r="I41" t="str">
            <v>PRIME</v>
          </cell>
          <cell r="J41" t="str">
            <v xml:space="preserve">Raemulan Lands, Inc. </v>
          </cell>
          <cell r="K41" t="str">
            <v>Penthouse at Jubilation Enclave North</v>
          </cell>
          <cell r="L41" t="str">
            <v>JPH</v>
          </cell>
          <cell r="M41" t="str">
            <v>Middle Income</v>
          </cell>
          <cell r="N41">
            <v>2</v>
          </cell>
          <cell r="O41">
            <v>1</v>
          </cell>
          <cell r="P41" t="str">
            <v>H+L</v>
          </cell>
          <cell r="Q41">
            <v>132</v>
          </cell>
          <cell r="R41">
            <v>113</v>
          </cell>
          <cell r="S41" t="str">
            <v>A</v>
          </cell>
          <cell r="T41" t="str">
            <v>End Unit</v>
          </cell>
          <cell r="U41" t="str">
            <v>PRIME</v>
          </cell>
          <cell r="V41" t="str">
            <v>End Unit - PRIME</v>
          </cell>
          <cell r="W41" t="str">
            <v>End Unit - PRIME</v>
          </cell>
          <cell r="X41">
            <v>8085880</v>
          </cell>
          <cell r="Y41">
            <v>95880</v>
          </cell>
          <cell r="Z41">
            <v>7990000</v>
          </cell>
          <cell r="AA41">
            <v>856071.42857142852</v>
          </cell>
          <cell r="AB41">
            <v>7133928.5714285718</v>
          </cell>
        </row>
        <row r="42">
          <cell r="H42" t="str">
            <v>JPH-00-002-002</v>
          </cell>
          <cell r="I42" t="str">
            <v>PRIME</v>
          </cell>
          <cell r="J42" t="str">
            <v xml:space="preserve">Raemulan Lands, Inc. </v>
          </cell>
          <cell r="K42" t="str">
            <v>Penthouse at Jubilation Enclave North</v>
          </cell>
          <cell r="L42" t="str">
            <v>JPH</v>
          </cell>
          <cell r="M42" t="str">
            <v>Middle Income</v>
          </cell>
          <cell r="N42">
            <v>2</v>
          </cell>
          <cell r="O42">
            <v>2</v>
          </cell>
          <cell r="P42" t="str">
            <v>H+L</v>
          </cell>
          <cell r="Q42">
            <v>60</v>
          </cell>
          <cell r="R42">
            <v>113</v>
          </cell>
          <cell r="S42" t="str">
            <v>B</v>
          </cell>
          <cell r="T42" t="str">
            <v>Inner Unit</v>
          </cell>
          <cell r="U42" t="str">
            <v>PRIME</v>
          </cell>
          <cell r="V42" t="str">
            <v>Inner Unit-PRIME</v>
          </cell>
          <cell r="W42" t="str">
            <v>Inner Unit-PRIME</v>
          </cell>
          <cell r="X42">
            <v>5792688</v>
          </cell>
          <cell r="Y42">
            <v>68688</v>
          </cell>
          <cell r="Z42">
            <v>5724000</v>
          </cell>
          <cell r="AA42">
            <v>613285.7142857142</v>
          </cell>
          <cell r="AB42">
            <v>5110714.2857142854</v>
          </cell>
        </row>
        <row r="43">
          <cell r="H43" t="str">
            <v>JPH-00-002-003</v>
          </cell>
          <cell r="I43" t="str">
            <v>PRIME</v>
          </cell>
          <cell r="J43" t="str">
            <v xml:space="preserve">Raemulan Lands, Inc. </v>
          </cell>
          <cell r="K43" t="str">
            <v>Penthouse at Jubilation Enclave North</v>
          </cell>
          <cell r="L43" t="str">
            <v>JPH</v>
          </cell>
          <cell r="M43" t="str">
            <v>Middle Income</v>
          </cell>
          <cell r="N43">
            <v>2</v>
          </cell>
          <cell r="O43">
            <v>3</v>
          </cell>
          <cell r="P43" t="str">
            <v>H+L</v>
          </cell>
          <cell r="Q43">
            <v>60</v>
          </cell>
          <cell r="R43">
            <v>113</v>
          </cell>
          <cell r="S43" t="str">
            <v>C</v>
          </cell>
          <cell r="T43" t="str">
            <v>Inner Unit</v>
          </cell>
          <cell r="U43" t="str">
            <v>PRIME</v>
          </cell>
          <cell r="V43" t="str">
            <v>Inner Unit-PRIME</v>
          </cell>
          <cell r="W43" t="str">
            <v>Inner Unit-PRIME</v>
          </cell>
          <cell r="X43">
            <v>5792687.9956628568</v>
          </cell>
          <cell r="Y43">
            <v>68687.999948571422</v>
          </cell>
          <cell r="Z43">
            <v>5723999.9957142854</v>
          </cell>
          <cell r="AA43">
            <v>613285.71</v>
          </cell>
          <cell r="AB43">
            <v>5110714.2857142854</v>
          </cell>
        </row>
        <row r="44">
          <cell r="H44" t="str">
            <v>JPH-00-002-004</v>
          </cell>
          <cell r="I44" t="str">
            <v>PRIME</v>
          </cell>
          <cell r="J44" t="str">
            <v xml:space="preserve">Raemulan Lands, Inc. </v>
          </cell>
          <cell r="K44" t="str">
            <v>Penthouse at Jubilation Enclave North</v>
          </cell>
          <cell r="L44" t="str">
            <v>JPH</v>
          </cell>
          <cell r="M44" t="str">
            <v>Middle Income</v>
          </cell>
          <cell r="N44">
            <v>2</v>
          </cell>
          <cell r="O44">
            <v>4</v>
          </cell>
          <cell r="P44" t="str">
            <v>H+L</v>
          </cell>
          <cell r="Q44">
            <v>60</v>
          </cell>
          <cell r="R44">
            <v>113</v>
          </cell>
          <cell r="S44" t="str">
            <v>D</v>
          </cell>
          <cell r="T44" t="str">
            <v>Inner Unit</v>
          </cell>
          <cell r="U44" t="str">
            <v>PRIME</v>
          </cell>
          <cell r="V44" t="str">
            <v>Inner Unit-PRIME</v>
          </cell>
          <cell r="W44" t="str">
            <v>Inner Unit-PRIME</v>
          </cell>
          <cell r="X44">
            <v>4760448</v>
          </cell>
          <cell r="Y44">
            <v>56448</v>
          </cell>
          <cell r="Z44">
            <v>4704000</v>
          </cell>
          <cell r="AA44">
            <v>504000</v>
          </cell>
          <cell r="AB44">
            <v>4200000</v>
          </cell>
        </row>
        <row r="45">
          <cell r="H45" t="str">
            <v>JPH-00-002-005</v>
          </cell>
          <cell r="I45" t="str">
            <v>PRIME</v>
          </cell>
          <cell r="J45" t="str">
            <v xml:space="preserve">Raemulan Lands, Inc. </v>
          </cell>
          <cell r="K45" t="str">
            <v>Penthouse at Jubilation Enclave North</v>
          </cell>
          <cell r="L45" t="str">
            <v>JPH</v>
          </cell>
          <cell r="M45" t="str">
            <v>Middle Income</v>
          </cell>
          <cell r="N45">
            <v>2</v>
          </cell>
          <cell r="O45">
            <v>5</v>
          </cell>
          <cell r="P45" t="str">
            <v>H+L</v>
          </cell>
          <cell r="Q45">
            <v>60</v>
          </cell>
          <cell r="R45">
            <v>113</v>
          </cell>
          <cell r="S45" t="str">
            <v>E</v>
          </cell>
          <cell r="T45" t="str">
            <v>Inner Unit</v>
          </cell>
          <cell r="U45" t="str">
            <v>PRIME</v>
          </cell>
          <cell r="V45" t="str">
            <v>Inner Unit-PRIME</v>
          </cell>
          <cell r="W45" t="str">
            <v>Inner Unit-PRIME</v>
          </cell>
          <cell r="X45">
            <v>5667200</v>
          </cell>
          <cell r="Y45">
            <v>67200</v>
          </cell>
          <cell r="Z45">
            <v>5600000</v>
          </cell>
          <cell r="AA45">
            <v>599999.99999999988</v>
          </cell>
          <cell r="AB45">
            <v>5000000</v>
          </cell>
        </row>
        <row r="46">
          <cell r="H46" t="str">
            <v>JPH-00-002-006</v>
          </cell>
          <cell r="I46" t="str">
            <v>PRIME</v>
          </cell>
          <cell r="J46" t="str">
            <v xml:space="preserve">Raemulan Lands, Inc. </v>
          </cell>
          <cell r="K46" t="str">
            <v>Penthouse at Jubilation Enclave North</v>
          </cell>
          <cell r="L46" t="str">
            <v>JPH</v>
          </cell>
          <cell r="M46" t="str">
            <v>Middle Income</v>
          </cell>
          <cell r="N46">
            <v>2</v>
          </cell>
          <cell r="O46">
            <v>6</v>
          </cell>
          <cell r="P46" t="str">
            <v>H+L</v>
          </cell>
          <cell r="Q46">
            <v>80</v>
          </cell>
          <cell r="R46">
            <v>113</v>
          </cell>
          <cell r="S46" t="str">
            <v>F</v>
          </cell>
          <cell r="T46" t="str">
            <v>End Unit</v>
          </cell>
          <cell r="U46" t="str">
            <v>PRIME</v>
          </cell>
          <cell r="V46" t="str">
            <v>End Unit - PRIME</v>
          </cell>
          <cell r="W46" t="str">
            <v>End Unit - PRIME</v>
          </cell>
          <cell r="X46">
            <v>5778520</v>
          </cell>
          <cell r="Y46">
            <v>68520</v>
          </cell>
          <cell r="Z46">
            <v>5710000</v>
          </cell>
          <cell r="AA46">
            <v>611785.7142857142</v>
          </cell>
          <cell r="AB46">
            <v>5098214.2857142854</v>
          </cell>
        </row>
        <row r="47">
          <cell r="H47" t="str">
            <v>JPH-00-002-007</v>
          </cell>
          <cell r="I47" t="str">
            <v>PREMIUM</v>
          </cell>
          <cell r="J47" t="str">
            <v xml:space="preserve">Raemulan Lands, Inc. </v>
          </cell>
          <cell r="K47" t="str">
            <v>Penthouse at Jubilation Enclave North</v>
          </cell>
          <cell r="L47" t="str">
            <v>JPH</v>
          </cell>
          <cell r="M47" t="str">
            <v>Middle Income</v>
          </cell>
          <cell r="N47">
            <v>2</v>
          </cell>
          <cell r="O47">
            <v>7</v>
          </cell>
          <cell r="P47" t="str">
            <v>H+L</v>
          </cell>
          <cell r="Q47">
            <v>80</v>
          </cell>
          <cell r="R47">
            <v>113</v>
          </cell>
          <cell r="S47" t="str">
            <v>A</v>
          </cell>
          <cell r="T47" t="str">
            <v>End Unit</v>
          </cell>
          <cell r="U47" t="str">
            <v>PREMIUM</v>
          </cell>
          <cell r="V47" t="str">
            <v>End Unit - PRIME</v>
          </cell>
          <cell r="W47" t="str">
            <v>End Unit - PRIME</v>
          </cell>
          <cell r="X47">
            <v>6900828</v>
          </cell>
          <cell r="Y47">
            <v>81828</v>
          </cell>
          <cell r="Z47">
            <v>6819000</v>
          </cell>
          <cell r="AA47">
            <v>730607.14285714272</v>
          </cell>
          <cell r="AB47">
            <v>6088392.8571428573</v>
          </cell>
        </row>
        <row r="48">
          <cell r="H48" t="str">
            <v>JPH-00-002-008</v>
          </cell>
          <cell r="I48" t="str">
            <v>PREMIUM</v>
          </cell>
          <cell r="J48" t="str">
            <v xml:space="preserve">Raemulan Lands, Inc. </v>
          </cell>
          <cell r="K48" t="str">
            <v>Penthouse at Jubilation Enclave North</v>
          </cell>
          <cell r="L48" t="str">
            <v>JPH</v>
          </cell>
          <cell r="M48" t="str">
            <v>Middle Income</v>
          </cell>
          <cell r="N48">
            <v>2</v>
          </cell>
          <cell r="O48">
            <v>8</v>
          </cell>
          <cell r="P48" t="str">
            <v>H+L</v>
          </cell>
          <cell r="Q48">
            <v>60</v>
          </cell>
          <cell r="R48">
            <v>113</v>
          </cell>
          <cell r="S48" t="str">
            <v>B</v>
          </cell>
          <cell r="T48" t="str">
            <v>Inner Unit</v>
          </cell>
          <cell r="U48" t="str">
            <v>PREMIUM</v>
          </cell>
          <cell r="V48" t="str">
            <v>Inner Unit-PREMIUM</v>
          </cell>
          <cell r="W48" t="str">
            <v>Inner Unit-PREMIUM</v>
          </cell>
          <cell r="X48">
            <v>6710572</v>
          </cell>
          <cell r="Y48">
            <v>79572</v>
          </cell>
          <cell r="Z48">
            <v>6631000</v>
          </cell>
          <cell r="AA48">
            <v>710464.28571428568</v>
          </cell>
          <cell r="AB48">
            <v>5920535.7142857146</v>
          </cell>
        </row>
        <row r="49">
          <cell r="H49" t="str">
            <v>JPH-00-002-009</v>
          </cell>
          <cell r="I49" t="str">
            <v>PRIME</v>
          </cell>
          <cell r="J49" t="str">
            <v xml:space="preserve">Raemulan Lands, Inc. </v>
          </cell>
          <cell r="K49" t="str">
            <v>Penthouse at Jubilation Enclave North</v>
          </cell>
          <cell r="L49" t="str">
            <v>JPH</v>
          </cell>
          <cell r="M49" t="str">
            <v>Middle Income</v>
          </cell>
          <cell r="N49">
            <v>2</v>
          </cell>
          <cell r="O49">
            <v>9</v>
          </cell>
          <cell r="P49" t="str">
            <v>H+L</v>
          </cell>
          <cell r="Q49">
            <v>60</v>
          </cell>
          <cell r="R49">
            <v>113</v>
          </cell>
          <cell r="S49" t="str">
            <v>C</v>
          </cell>
          <cell r="T49" t="str">
            <v>Inner Unit</v>
          </cell>
          <cell r="U49" t="str">
            <v>PRIME</v>
          </cell>
          <cell r="V49" t="str">
            <v>Inner Unit-PRIME</v>
          </cell>
          <cell r="W49" t="str">
            <v>Inner Unit-PRIME</v>
          </cell>
          <cell r="X49">
            <v>5262400</v>
          </cell>
          <cell r="Y49">
            <v>62400</v>
          </cell>
          <cell r="Z49">
            <v>5200000</v>
          </cell>
          <cell r="AA49">
            <v>557142.85714285716</v>
          </cell>
          <cell r="AB49">
            <v>4642857.1428571427</v>
          </cell>
        </row>
        <row r="50">
          <cell r="H50" t="str">
            <v>JPH-00-002-010</v>
          </cell>
          <cell r="I50" t="str">
            <v>PREMIUM</v>
          </cell>
          <cell r="J50" t="str">
            <v xml:space="preserve">Raemulan Lands, Inc. </v>
          </cell>
          <cell r="K50" t="str">
            <v>Penthouse at Jubilation Enclave North</v>
          </cell>
          <cell r="L50" t="str">
            <v>JPH</v>
          </cell>
          <cell r="M50" t="str">
            <v>Middle Income</v>
          </cell>
          <cell r="N50">
            <v>2</v>
          </cell>
          <cell r="O50">
            <v>10</v>
          </cell>
          <cell r="P50" t="str">
            <v>H+L</v>
          </cell>
          <cell r="Q50">
            <v>60</v>
          </cell>
          <cell r="R50">
            <v>113</v>
          </cell>
          <cell r="S50" t="str">
            <v>D</v>
          </cell>
          <cell r="T50" t="str">
            <v>Inner Unit</v>
          </cell>
          <cell r="U50" t="str">
            <v>PREMIUM</v>
          </cell>
          <cell r="V50" t="str">
            <v>Inner Unit-PREMIUM</v>
          </cell>
          <cell r="W50" t="str">
            <v>Inner Unit-PREMIUM</v>
          </cell>
          <cell r="X50">
            <v>6476800</v>
          </cell>
          <cell r="Y50">
            <v>76800</v>
          </cell>
          <cell r="Z50">
            <v>6400000</v>
          </cell>
          <cell r="AA50">
            <v>685714.28571428556</v>
          </cell>
          <cell r="AB50">
            <v>5714285.7142857146</v>
          </cell>
        </row>
        <row r="51">
          <cell r="H51" t="str">
            <v>JPH-00-002-011</v>
          </cell>
          <cell r="I51" t="str">
            <v>PRIME</v>
          </cell>
          <cell r="J51" t="str">
            <v xml:space="preserve">Raemulan Lands, Inc. </v>
          </cell>
          <cell r="K51" t="str">
            <v>Penthouse at Jubilation Enclave North</v>
          </cell>
          <cell r="L51" t="str">
            <v>JPH</v>
          </cell>
          <cell r="M51" t="str">
            <v>Middle Income</v>
          </cell>
          <cell r="N51">
            <v>2</v>
          </cell>
          <cell r="O51">
            <v>11</v>
          </cell>
          <cell r="P51" t="str">
            <v>H+L</v>
          </cell>
          <cell r="Q51">
            <v>60</v>
          </cell>
          <cell r="R51">
            <v>113</v>
          </cell>
          <cell r="S51" t="str">
            <v>E</v>
          </cell>
          <cell r="T51" t="str">
            <v>Inner Unit</v>
          </cell>
          <cell r="U51" t="str">
            <v>PRIME</v>
          </cell>
          <cell r="V51" t="str">
            <v>Inner Unit-PRIME</v>
          </cell>
          <cell r="W51" t="str">
            <v>Inner Unit-PRIME</v>
          </cell>
          <cell r="X51">
            <v>5590288</v>
          </cell>
          <cell r="Y51">
            <v>66288</v>
          </cell>
          <cell r="Z51">
            <v>5524000</v>
          </cell>
          <cell r="AA51">
            <v>591857.14285714272</v>
          </cell>
          <cell r="AB51">
            <v>4932142.8571428573</v>
          </cell>
        </row>
        <row r="52">
          <cell r="H52" t="str">
            <v>JPH-00-002-012</v>
          </cell>
          <cell r="I52" t="str">
            <v>PREMIUM</v>
          </cell>
          <cell r="J52" t="str">
            <v xml:space="preserve">Raemulan Lands, Inc. </v>
          </cell>
          <cell r="K52" t="str">
            <v>Penthouse at Jubilation Enclave North</v>
          </cell>
          <cell r="L52" t="str">
            <v>JPH</v>
          </cell>
          <cell r="M52" t="str">
            <v>Middle Income</v>
          </cell>
          <cell r="N52">
            <v>2</v>
          </cell>
          <cell r="O52">
            <v>12</v>
          </cell>
          <cell r="P52" t="str">
            <v>H+L</v>
          </cell>
          <cell r="Q52">
            <v>80</v>
          </cell>
          <cell r="R52">
            <v>113</v>
          </cell>
          <cell r="S52" t="str">
            <v>F</v>
          </cell>
          <cell r="T52" t="str">
            <v>End Unit</v>
          </cell>
          <cell r="U52" t="str">
            <v>PREMIUM</v>
          </cell>
          <cell r="V52" t="str">
            <v>End Unit - PRIME</v>
          </cell>
          <cell r="W52" t="str">
            <v>End Unit - PRIME</v>
          </cell>
          <cell r="X52">
            <v>6185344</v>
          </cell>
          <cell r="Y52">
            <v>73344</v>
          </cell>
          <cell r="Z52">
            <v>6112000</v>
          </cell>
          <cell r="AA52">
            <v>654857.14285714272</v>
          </cell>
          <cell r="AB52">
            <v>5457142.8571428573</v>
          </cell>
        </row>
        <row r="53">
          <cell r="H53" t="str">
            <v>JPH-00-002-013</v>
          </cell>
          <cell r="I53" t="str">
            <v>PRIME</v>
          </cell>
          <cell r="J53" t="str">
            <v xml:space="preserve">Raemulan Lands, Inc. </v>
          </cell>
          <cell r="K53" t="str">
            <v>Penthouse at Jubilation Enclave North</v>
          </cell>
          <cell r="L53" t="str">
            <v>JPH</v>
          </cell>
          <cell r="M53" t="str">
            <v>Middle Income</v>
          </cell>
          <cell r="N53">
            <v>2</v>
          </cell>
          <cell r="O53">
            <v>13</v>
          </cell>
          <cell r="P53" t="str">
            <v>H+L</v>
          </cell>
          <cell r="Q53">
            <v>80</v>
          </cell>
          <cell r="R53">
            <v>113</v>
          </cell>
          <cell r="S53" t="str">
            <v>A</v>
          </cell>
          <cell r="T53" t="str">
            <v>End Unit</v>
          </cell>
          <cell r="U53" t="str">
            <v>PRIME</v>
          </cell>
          <cell r="V53" t="str">
            <v>End Unit - PRIME</v>
          </cell>
          <cell r="W53" t="str">
            <v>End Unit - PRIME</v>
          </cell>
          <cell r="X53">
            <v>6598240</v>
          </cell>
          <cell r="Y53">
            <v>78240</v>
          </cell>
          <cell r="Z53">
            <v>6520000</v>
          </cell>
          <cell r="AA53">
            <v>698571.4285714291</v>
          </cell>
          <cell r="AB53">
            <v>5821428.5714285709</v>
          </cell>
        </row>
        <row r="54">
          <cell r="H54" t="str">
            <v>JPH-00-002-014</v>
          </cell>
          <cell r="I54" t="str">
            <v>PREMIUM</v>
          </cell>
          <cell r="J54" t="str">
            <v xml:space="preserve">Raemulan Lands, Inc. </v>
          </cell>
          <cell r="K54" t="str">
            <v>Penthouse at Jubilation Enclave North</v>
          </cell>
          <cell r="L54" t="str">
            <v>JPH</v>
          </cell>
          <cell r="M54" t="str">
            <v>Middle Income</v>
          </cell>
          <cell r="N54">
            <v>2</v>
          </cell>
          <cell r="O54">
            <v>14</v>
          </cell>
          <cell r="P54" t="str">
            <v>H+L</v>
          </cell>
          <cell r="Q54">
            <v>60</v>
          </cell>
          <cell r="R54">
            <v>113</v>
          </cell>
          <cell r="S54" t="str">
            <v>B</v>
          </cell>
          <cell r="T54" t="str">
            <v>Inner Unit</v>
          </cell>
          <cell r="U54" t="str">
            <v>PREMIUM</v>
          </cell>
          <cell r="V54" t="str">
            <v>Inner Unit-PREMIUM</v>
          </cell>
          <cell r="W54" t="str">
            <v>Inner Unit-PREMIUM</v>
          </cell>
          <cell r="X54">
            <v>5792688</v>
          </cell>
          <cell r="Y54">
            <v>68688</v>
          </cell>
          <cell r="Z54">
            <v>5724000</v>
          </cell>
          <cell r="AA54">
            <v>613285.7142857142</v>
          </cell>
          <cell r="AB54">
            <v>5110714.2857142854</v>
          </cell>
        </row>
        <row r="55">
          <cell r="H55" t="str">
            <v>JPH-00-002-015</v>
          </cell>
          <cell r="I55" t="str">
            <v>PRIME</v>
          </cell>
          <cell r="J55" t="str">
            <v xml:space="preserve">Raemulan Lands, Inc. </v>
          </cell>
          <cell r="K55" t="str">
            <v>Penthouse at Jubilation Enclave North</v>
          </cell>
          <cell r="L55" t="str">
            <v>JPH</v>
          </cell>
          <cell r="M55" t="str">
            <v>Middle Income</v>
          </cell>
          <cell r="N55">
            <v>2</v>
          </cell>
          <cell r="O55">
            <v>15</v>
          </cell>
          <cell r="P55" t="str">
            <v>H+L</v>
          </cell>
          <cell r="Q55">
            <v>60</v>
          </cell>
          <cell r="R55">
            <v>113</v>
          </cell>
          <cell r="S55" t="str">
            <v>E</v>
          </cell>
          <cell r="T55" t="str">
            <v>Inner Unit</v>
          </cell>
          <cell r="U55" t="str">
            <v>PRIME</v>
          </cell>
          <cell r="V55" t="str">
            <v>Inner Unit-PRIME</v>
          </cell>
          <cell r="W55" t="str">
            <v>Inner Unit-PRIME</v>
          </cell>
          <cell r="X55">
            <v>5792688</v>
          </cell>
          <cell r="Y55">
            <v>68688</v>
          </cell>
          <cell r="Z55">
            <v>5724000</v>
          </cell>
          <cell r="AA55">
            <v>613285.7142857142</v>
          </cell>
          <cell r="AB55">
            <v>5110714.2857142854</v>
          </cell>
        </row>
        <row r="56">
          <cell r="H56" t="str">
            <v>JPH-00-002-016</v>
          </cell>
          <cell r="I56" t="str">
            <v>PRIME</v>
          </cell>
          <cell r="J56" t="str">
            <v xml:space="preserve">Raemulan Lands, Inc. </v>
          </cell>
          <cell r="K56" t="str">
            <v>Penthouse at Jubilation Enclave North</v>
          </cell>
          <cell r="L56" t="str">
            <v>JPH</v>
          </cell>
          <cell r="M56" t="str">
            <v>Middle Income</v>
          </cell>
          <cell r="N56">
            <v>2</v>
          </cell>
          <cell r="O56">
            <v>16</v>
          </cell>
          <cell r="P56" t="str">
            <v>H+L</v>
          </cell>
          <cell r="Q56">
            <v>103</v>
          </cell>
          <cell r="R56">
            <v>113</v>
          </cell>
          <cell r="S56" t="str">
            <v>F</v>
          </cell>
          <cell r="T56" t="str">
            <v>End Unit</v>
          </cell>
          <cell r="U56" t="str">
            <v>PRIME</v>
          </cell>
          <cell r="V56" t="str">
            <v>End Unit - PRIME</v>
          </cell>
          <cell r="W56" t="str">
            <v>End Unit - PRIME</v>
          </cell>
          <cell r="X56">
            <v>7429092</v>
          </cell>
          <cell r="Y56">
            <v>88092</v>
          </cell>
          <cell r="Z56">
            <v>7341000</v>
          </cell>
          <cell r="AA56">
            <v>786535.7142857142</v>
          </cell>
          <cell r="AB56">
            <v>6554464.2857142854</v>
          </cell>
        </row>
        <row r="57">
          <cell r="H57" t="str">
            <v>JPH-00-002-017</v>
          </cell>
          <cell r="I57" t="str">
            <v>PREMIUM</v>
          </cell>
          <cell r="J57" t="str">
            <v xml:space="preserve">Raemulan Lands, Inc. </v>
          </cell>
          <cell r="K57" t="str">
            <v>Penthouse at Jubilation Enclave North</v>
          </cell>
          <cell r="L57" t="str">
            <v>JPH</v>
          </cell>
          <cell r="M57" t="str">
            <v>Middle Income</v>
          </cell>
          <cell r="N57">
            <v>2</v>
          </cell>
          <cell r="O57">
            <v>17</v>
          </cell>
          <cell r="P57" t="str">
            <v>H+L</v>
          </cell>
          <cell r="Q57">
            <v>86</v>
          </cell>
          <cell r="R57">
            <v>113</v>
          </cell>
          <cell r="S57" t="str">
            <v>A</v>
          </cell>
          <cell r="T57" t="str">
            <v>End Unit</v>
          </cell>
          <cell r="U57" t="str">
            <v>PREMIUM</v>
          </cell>
          <cell r="V57" t="str">
            <v>End Unit - PRIME</v>
          </cell>
          <cell r="W57" t="str">
            <v>End Unit - PREMIUM</v>
          </cell>
          <cell r="X57">
            <v>7293484</v>
          </cell>
          <cell r="Y57">
            <v>86484</v>
          </cell>
          <cell r="Z57">
            <v>7207000</v>
          </cell>
          <cell r="AA57">
            <v>772178.57142857136</v>
          </cell>
          <cell r="AB57">
            <v>6434821.4285714291</v>
          </cell>
        </row>
        <row r="58">
          <cell r="H58" t="str">
            <v>JPH-00-002-018</v>
          </cell>
          <cell r="I58" t="str">
            <v>PREMIUM</v>
          </cell>
          <cell r="J58" t="str">
            <v xml:space="preserve">Raemulan Lands, Inc. </v>
          </cell>
          <cell r="K58" t="str">
            <v>Penthouse at Jubilation Enclave North</v>
          </cell>
          <cell r="L58" t="str">
            <v>JPH</v>
          </cell>
          <cell r="M58" t="str">
            <v>Middle Income</v>
          </cell>
          <cell r="N58">
            <v>2</v>
          </cell>
          <cell r="O58">
            <v>18</v>
          </cell>
          <cell r="P58" t="str">
            <v>H+L</v>
          </cell>
          <cell r="Q58">
            <v>60</v>
          </cell>
          <cell r="R58">
            <v>113</v>
          </cell>
          <cell r="S58" t="str">
            <v>B</v>
          </cell>
          <cell r="T58" t="str">
            <v>Inner Unit</v>
          </cell>
          <cell r="U58" t="str">
            <v>PREMIUM</v>
          </cell>
          <cell r="V58" t="str">
            <v>Inner Unit-PREMIUM</v>
          </cell>
          <cell r="W58" t="str">
            <v>Inner Unit-PREMIUM</v>
          </cell>
          <cell r="X58">
            <v>6476800</v>
          </cell>
          <cell r="Y58">
            <v>76800</v>
          </cell>
          <cell r="Z58">
            <v>6400000</v>
          </cell>
          <cell r="AA58">
            <v>685714.28571428556</v>
          </cell>
          <cell r="AB58">
            <v>5714285.7142857146</v>
          </cell>
        </row>
        <row r="59">
          <cell r="H59" t="str">
            <v>JPH-00-002-019</v>
          </cell>
          <cell r="I59" t="str">
            <v>PREMIUM</v>
          </cell>
          <cell r="J59" t="str">
            <v xml:space="preserve">Raemulan Lands, Inc. </v>
          </cell>
          <cell r="K59" t="str">
            <v>Penthouse at Jubilation Enclave North</v>
          </cell>
          <cell r="L59" t="str">
            <v>JPH</v>
          </cell>
          <cell r="M59" t="str">
            <v>Middle Income</v>
          </cell>
          <cell r="N59">
            <v>2</v>
          </cell>
          <cell r="O59">
            <v>19</v>
          </cell>
          <cell r="P59" t="str">
            <v>H+L</v>
          </cell>
          <cell r="Q59">
            <v>60</v>
          </cell>
          <cell r="R59">
            <v>113</v>
          </cell>
          <cell r="S59" t="str">
            <v>E</v>
          </cell>
          <cell r="T59" t="str">
            <v>Inner Unit</v>
          </cell>
          <cell r="U59" t="str">
            <v>PREMIUM</v>
          </cell>
          <cell r="V59" t="str">
            <v>Inner Unit-PREMIUM</v>
          </cell>
          <cell r="W59" t="str">
            <v>Inner Unit-PREMIUM</v>
          </cell>
          <cell r="X59">
            <v>6476800</v>
          </cell>
          <cell r="Y59">
            <v>76800</v>
          </cell>
          <cell r="Z59">
            <v>6400000</v>
          </cell>
          <cell r="AA59">
            <v>685714.28571428556</v>
          </cell>
          <cell r="AB59">
            <v>5714285.7142857146</v>
          </cell>
        </row>
        <row r="60">
          <cell r="H60" t="str">
            <v>JPH-00-002-020</v>
          </cell>
          <cell r="I60" t="str">
            <v>PRIME</v>
          </cell>
          <cell r="J60" t="str">
            <v xml:space="preserve">Raemulan Lands, Inc. </v>
          </cell>
          <cell r="K60" t="str">
            <v>Penthouse at Jubilation Enclave North</v>
          </cell>
          <cell r="L60" t="str">
            <v>JPH</v>
          </cell>
          <cell r="M60" t="str">
            <v>Middle Income</v>
          </cell>
          <cell r="N60">
            <v>2</v>
          </cell>
          <cell r="O60">
            <v>20</v>
          </cell>
          <cell r="P60" t="str">
            <v>H+L</v>
          </cell>
          <cell r="Q60">
            <v>80</v>
          </cell>
          <cell r="R60">
            <v>113</v>
          </cell>
          <cell r="S60" t="str">
            <v>F</v>
          </cell>
          <cell r="T60" t="str">
            <v>End Unit</v>
          </cell>
          <cell r="U60" t="str">
            <v>PRIME</v>
          </cell>
          <cell r="V60" t="str">
            <v>End Unit - PRIME</v>
          </cell>
          <cell r="W60" t="str">
            <v>End Unit - PRIME</v>
          </cell>
          <cell r="X60">
            <v>6589285.7142857146</v>
          </cell>
          <cell r="Y60">
            <v>500000</v>
          </cell>
          <cell r="Z60">
            <v>6089285.7142857146</v>
          </cell>
          <cell r="AA60">
            <v>589285.71428571432</v>
          </cell>
          <cell r="AB60">
            <v>5500000</v>
          </cell>
        </row>
        <row r="61">
          <cell r="H61" t="str">
            <v>JPH-00-002-021</v>
          </cell>
          <cell r="I61" t="str">
            <v>PRIME</v>
          </cell>
          <cell r="J61" t="str">
            <v xml:space="preserve">Raemulan Lands, Inc. </v>
          </cell>
          <cell r="K61" t="str">
            <v>Penthouse at Jubilation Enclave North</v>
          </cell>
          <cell r="L61" t="str">
            <v>JPH</v>
          </cell>
          <cell r="M61" t="str">
            <v>Middle Income</v>
          </cell>
          <cell r="N61">
            <v>2</v>
          </cell>
          <cell r="O61">
            <v>21</v>
          </cell>
          <cell r="P61" t="str">
            <v>H+L</v>
          </cell>
          <cell r="Q61">
            <v>80</v>
          </cell>
          <cell r="R61">
            <v>113</v>
          </cell>
          <cell r="S61" t="str">
            <v>A</v>
          </cell>
          <cell r="T61" t="str">
            <v>End Unit</v>
          </cell>
          <cell r="U61" t="str">
            <v>PRIME</v>
          </cell>
          <cell r="V61" t="str">
            <v>End Unit - PRIME</v>
          </cell>
          <cell r="W61" t="str">
            <v>End Unit - PRIME</v>
          </cell>
          <cell r="X61">
            <v>6598240.0014457144</v>
          </cell>
          <cell r="Y61">
            <v>78240.000017142855</v>
          </cell>
          <cell r="Z61">
            <v>6520000.0014285715</v>
          </cell>
          <cell r="AA61">
            <v>698571.43</v>
          </cell>
          <cell r="AB61">
            <v>5821428.5714285718</v>
          </cell>
        </row>
        <row r="62">
          <cell r="H62" t="str">
            <v>JPH-00-002-022</v>
          </cell>
          <cell r="I62" t="str">
            <v>PRIME</v>
          </cell>
          <cell r="J62" t="str">
            <v xml:space="preserve">Raemulan Lands, Inc. </v>
          </cell>
          <cell r="K62" t="str">
            <v>Penthouse at Jubilation Enclave North</v>
          </cell>
          <cell r="L62" t="str">
            <v>JPH</v>
          </cell>
          <cell r="M62" t="str">
            <v>Middle Income</v>
          </cell>
          <cell r="N62">
            <v>2</v>
          </cell>
          <cell r="O62">
            <v>22</v>
          </cell>
          <cell r="P62" t="str">
            <v>H+L</v>
          </cell>
          <cell r="Q62">
            <v>60</v>
          </cell>
          <cell r="R62">
            <v>113</v>
          </cell>
          <cell r="S62" t="str">
            <v>B</v>
          </cell>
          <cell r="T62" t="str">
            <v>Inner Unit</v>
          </cell>
          <cell r="U62" t="str">
            <v>PRIME</v>
          </cell>
          <cell r="V62" t="str">
            <v>Inner Unit-PRIME</v>
          </cell>
          <cell r="W62" t="str">
            <v>Inner Unit-PRIME</v>
          </cell>
          <cell r="X62">
            <v>5262400</v>
          </cell>
          <cell r="Y62">
            <v>62400</v>
          </cell>
          <cell r="Z62">
            <v>5200000</v>
          </cell>
          <cell r="AA62">
            <v>557142.85714285716</v>
          </cell>
          <cell r="AB62">
            <v>4642857.1428571427</v>
          </cell>
        </row>
        <row r="63">
          <cell r="H63" t="str">
            <v>JPH-00-002-023</v>
          </cell>
          <cell r="I63" t="str">
            <v>PRIME</v>
          </cell>
          <cell r="J63" t="str">
            <v xml:space="preserve">Raemulan Lands, Inc. </v>
          </cell>
          <cell r="K63" t="str">
            <v>Penthouse at Jubilation Enclave North</v>
          </cell>
          <cell r="L63" t="str">
            <v>JPH</v>
          </cell>
          <cell r="M63" t="str">
            <v>Middle Income</v>
          </cell>
          <cell r="N63">
            <v>2</v>
          </cell>
          <cell r="O63">
            <v>23</v>
          </cell>
          <cell r="P63" t="str">
            <v>H+L</v>
          </cell>
          <cell r="Q63">
            <v>60</v>
          </cell>
          <cell r="R63">
            <v>113</v>
          </cell>
          <cell r="S63" t="str">
            <v>C</v>
          </cell>
          <cell r="T63" t="str">
            <v>Inner Unit</v>
          </cell>
          <cell r="U63" t="str">
            <v>PRIME</v>
          </cell>
          <cell r="V63" t="str">
            <v>Inner Unit-PRIME</v>
          </cell>
          <cell r="W63" t="str">
            <v>Inner Unit-PRIME</v>
          </cell>
          <cell r="X63">
            <v>5262400</v>
          </cell>
          <cell r="Y63">
            <v>62400</v>
          </cell>
          <cell r="Z63">
            <v>5200000</v>
          </cell>
          <cell r="AA63">
            <v>557142.85714285716</v>
          </cell>
          <cell r="AB63">
            <v>4642857.1428571427</v>
          </cell>
        </row>
        <row r="64">
          <cell r="H64" t="str">
            <v>JPH-00-002-024</v>
          </cell>
          <cell r="I64" t="str">
            <v>PRIME</v>
          </cell>
          <cell r="J64" t="str">
            <v xml:space="preserve">Raemulan Lands, Inc. </v>
          </cell>
          <cell r="K64" t="str">
            <v>Penthouse at Jubilation Enclave North</v>
          </cell>
          <cell r="L64" t="str">
            <v>JPH</v>
          </cell>
          <cell r="M64" t="str">
            <v>Middle Income</v>
          </cell>
          <cell r="N64">
            <v>2</v>
          </cell>
          <cell r="O64">
            <v>24</v>
          </cell>
          <cell r="P64" t="str">
            <v>H+L</v>
          </cell>
          <cell r="Q64">
            <v>60</v>
          </cell>
          <cell r="R64">
            <v>113</v>
          </cell>
          <cell r="S64" t="str">
            <v>D</v>
          </cell>
          <cell r="T64" t="str">
            <v>Inner Unit</v>
          </cell>
          <cell r="U64" t="str">
            <v>PRIME</v>
          </cell>
          <cell r="V64" t="str">
            <v>Inner Unit-PRIME</v>
          </cell>
          <cell r="W64" t="str">
            <v>Inner Unit-PRIME</v>
          </cell>
          <cell r="X64">
            <v>5599193.5999999996</v>
          </cell>
          <cell r="Y64">
            <v>66393.600000000006</v>
          </cell>
          <cell r="Z64">
            <v>5532800</v>
          </cell>
          <cell r="AA64">
            <v>592799.99999999988</v>
          </cell>
          <cell r="AB64">
            <v>4940000</v>
          </cell>
        </row>
        <row r="65">
          <cell r="H65" t="str">
            <v>JPH-00-002-025</v>
          </cell>
          <cell r="I65" t="str">
            <v>PRIME</v>
          </cell>
          <cell r="J65" t="str">
            <v xml:space="preserve">Raemulan Lands, Inc. </v>
          </cell>
          <cell r="K65" t="str">
            <v>Penthouse at Jubilation Enclave North</v>
          </cell>
          <cell r="L65" t="str">
            <v>JPH</v>
          </cell>
          <cell r="M65" t="str">
            <v>Middle Income</v>
          </cell>
          <cell r="N65">
            <v>2</v>
          </cell>
          <cell r="O65">
            <v>25</v>
          </cell>
          <cell r="P65" t="str">
            <v>H+L</v>
          </cell>
          <cell r="Q65">
            <v>60</v>
          </cell>
          <cell r="R65">
            <v>113</v>
          </cell>
          <cell r="S65" t="str">
            <v>E</v>
          </cell>
          <cell r="T65" t="str">
            <v>Inner Unit</v>
          </cell>
          <cell r="U65" t="str">
            <v>PRIME</v>
          </cell>
          <cell r="V65" t="str">
            <v>Inner Unit-PRIME</v>
          </cell>
          <cell r="W65" t="str">
            <v>Inner Unit-PRIME</v>
          </cell>
          <cell r="X65">
            <v>5599193.5999999996</v>
          </cell>
          <cell r="Y65">
            <v>66393.600000000006</v>
          </cell>
          <cell r="Z65">
            <v>5532800</v>
          </cell>
          <cell r="AA65">
            <v>592799.99999999988</v>
          </cell>
          <cell r="AB65">
            <v>4940000</v>
          </cell>
        </row>
        <row r="66">
          <cell r="H66" t="str">
            <v>JPH-00-002-026</v>
          </cell>
          <cell r="I66" t="str">
            <v>PRIME</v>
          </cell>
          <cell r="J66" t="str">
            <v xml:space="preserve">Raemulan Lands, Inc. </v>
          </cell>
          <cell r="K66" t="str">
            <v>Penthouse at Jubilation Enclave North</v>
          </cell>
          <cell r="L66" t="str">
            <v>JPH</v>
          </cell>
          <cell r="M66" t="str">
            <v>Middle Income</v>
          </cell>
          <cell r="N66">
            <v>2</v>
          </cell>
          <cell r="O66">
            <v>26</v>
          </cell>
          <cell r="P66" t="str">
            <v>H+L</v>
          </cell>
          <cell r="Q66">
            <v>80</v>
          </cell>
          <cell r="R66">
            <v>113</v>
          </cell>
          <cell r="S66" t="str">
            <v>F</v>
          </cell>
          <cell r="T66" t="str">
            <v>End Unit</v>
          </cell>
          <cell r="U66" t="str">
            <v>PRIME</v>
          </cell>
          <cell r="V66" t="str">
            <v>End Unit - PRIME</v>
          </cell>
          <cell r="W66" t="str">
            <v>End Unit - PRIME</v>
          </cell>
          <cell r="X66">
            <v>5778520</v>
          </cell>
          <cell r="Y66">
            <v>68520</v>
          </cell>
          <cell r="Z66">
            <v>5710000</v>
          </cell>
          <cell r="AA66">
            <v>611785.7142857142</v>
          </cell>
          <cell r="AB66">
            <v>5098214.2857142854</v>
          </cell>
        </row>
        <row r="67">
          <cell r="H67" t="str">
            <v>JPH-00-002-027</v>
          </cell>
          <cell r="I67" t="str">
            <v>PRIME</v>
          </cell>
          <cell r="J67" t="str">
            <v xml:space="preserve">Raemulan Lands, Inc. </v>
          </cell>
          <cell r="K67" t="str">
            <v>Penthouse at Jubilation Enclave North</v>
          </cell>
          <cell r="L67" t="str">
            <v>JPH</v>
          </cell>
          <cell r="M67" t="str">
            <v>Middle Income</v>
          </cell>
          <cell r="N67">
            <v>2</v>
          </cell>
          <cell r="O67">
            <v>27</v>
          </cell>
          <cell r="P67" t="str">
            <v>H+L</v>
          </cell>
          <cell r="Q67">
            <v>80</v>
          </cell>
          <cell r="R67">
            <v>113</v>
          </cell>
          <cell r="S67" t="str">
            <v>A</v>
          </cell>
          <cell r="T67" t="str">
            <v>End Unit</v>
          </cell>
          <cell r="U67" t="str">
            <v>PRIME</v>
          </cell>
          <cell r="V67" t="str">
            <v>End Unit - PRIME</v>
          </cell>
          <cell r="W67" t="str">
            <v>End Unit - PRIME</v>
          </cell>
          <cell r="X67">
            <v>5778520</v>
          </cell>
          <cell r="Y67">
            <v>68520</v>
          </cell>
          <cell r="Z67">
            <v>5710000</v>
          </cell>
          <cell r="AA67">
            <v>611785.7142857142</v>
          </cell>
          <cell r="AB67">
            <v>5098214.2857142854</v>
          </cell>
        </row>
        <row r="68">
          <cell r="H68" t="str">
            <v>JPH-00-002-028</v>
          </cell>
          <cell r="I68" t="str">
            <v>PRIME</v>
          </cell>
          <cell r="J68" t="str">
            <v xml:space="preserve">Raemulan Lands, Inc. </v>
          </cell>
          <cell r="K68" t="str">
            <v>Penthouse at Jubilation Enclave North</v>
          </cell>
          <cell r="L68" t="str">
            <v>JPH</v>
          </cell>
          <cell r="M68" t="str">
            <v>Middle Income</v>
          </cell>
          <cell r="N68">
            <v>2</v>
          </cell>
          <cell r="O68">
            <v>28</v>
          </cell>
          <cell r="P68" t="str">
            <v>H+L</v>
          </cell>
          <cell r="Q68">
            <v>60</v>
          </cell>
          <cell r="R68">
            <v>113</v>
          </cell>
          <cell r="S68" t="str">
            <v>B</v>
          </cell>
          <cell r="T68" t="str">
            <v>Inner Unit</v>
          </cell>
          <cell r="U68" t="str">
            <v>PRIME</v>
          </cell>
          <cell r="V68" t="str">
            <v>Inner Unit-PRIME</v>
          </cell>
          <cell r="W68" t="str">
            <v>Inner Unit-PRIME</v>
          </cell>
          <cell r="X68">
            <v>5262400</v>
          </cell>
          <cell r="Y68">
            <v>62400</v>
          </cell>
          <cell r="Z68">
            <v>5200000</v>
          </cell>
          <cell r="AA68">
            <v>557142.85714285716</v>
          </cell>
          <cell r="AB68">
            <v>4642857.1428571427</v>
          </cell>
        </row>
        <row r="69">
          <cell r="H69" t="str">
            <v>JPH-00-002-029</v>
          </cell>
          <cell r="I69" t="str">
            <v>PRIME</v>
          </cell>
          <cell r="J69" t="str">
            <v xml:space="preserve">Raemulan Lands, Inc. </v>
          </cell>
          <cell r="K69" t="str">
            <v>Penthouse at Jubilation Enclave North</v>
          </cell>
          <cell r="L69" t="str">
            <v>JPH</v>
          </cell>
          <cell r="M69" t="str">
            <v>Middle Income</v>
          </cell>
          <cell r="N69">
            <v>2</v>
          </cell>
          <cell r="O69">
            <v>29</v>
          </cell>
          <cell r="P69" t="str">
            <v>H+L</v>
          </cell>
          <cell r="Q69">
            <v>60</v>
          </cell>
          <cell r="R69">
            <v>113</v>
          </cell>
          <cell r="S69" t="str">
            <v>C</v>
          </cell>
          <cell r="T69" t="str">
            <v>Inner Unit</v>
          </cell>
          <cell r="U69" t="str">
            <v>PRIME</v>
          </cell>
          <cell r="V69" t="str">
            <v>Inner Unit-PRIME</v>
          </cell>
          <cell r="W69" t="str">
            <v>Inner Unit-PRIME</v>
          </cell>
          <cell r="X69">
            <v>5893888</v>
          </cell>
          <cell r="Y69">
            <v>69888</v>
          </cell>
          <cell r="Z69">
            <v>5824000</v>
          </cell>
          <cell r="AA69">
            <v>623999.99999999988</v>
          </cell>
          <cell r="AB69">
            <v>5200000</v>
          </cell>
        </row>
        <row r="70">
          <cell r="H70" t="str">
            <v>JPH-00-002-030</v>
          </cell>
          <cell r="I70" t="str">
            <v>PRIME</v>
          </cell>
          <cell r="J70" t="str">
            <v xml:space="preserve">Raemulan Lands, Inc. </v>
          </cell>
          <cell r="K70" t="str">
            <v>Penthouse at Jubilation Enclave North</v>
          </cell>
          <cell r="L70" t="str">
            <v>JPH</v>
          </cell>
          <cell r="M70" t="str">
            <v>Middle Income</v>
          </cell>
          <cell r="N70">
            <v>2</v>
          </cell>
          <cell r="O70">
            <v>30</v>
          </cell>
          <cell r="P70" t="str">
            <v>H+L</v>
          </cell>
          <cell r="Q70">
            <v>60</v>
          </cell>
          <cell r="R70">
            <v>113</v>
          </cell>
          <cell r="S70" t="str">
            <v>D</v>
          </cell>
          <cell r="T70" t="str">
            <v>Inner Unit</v>
          </cell>
          <cell r="U70" t="str">
            <v>PRIME</v>
          </cell>
          <cell r="V70" t="str">
            <v>Inner Unit-PRIME</v>
          </cell>
          <cell r="W70" t="str">
            <v>Inner Unit-PRIME</v>
          </cell>
          <cell r="X70">
            <v>5262400</v>
          </cell>
          <cell r="Y70">
            <v>62400</v>
          </cell>
          <cell r="Z70">
            <v>5200000</v>
          </cell>
          <cell r="AA70">
            <v>557142.85714285716</v>
          </cell>
          <cell r="AB70">
            <v>4642857.1428571427</v>
          </cell>
        </row>
        <row r="71">
          <cell r="H71" t="str">
            <v>JPH-00-002-031</v>
          </cell>
          <cell r="I71" t="str">
            <v>PRIME</v>
          </cell>
          <cell r="J71" t="str">
            <v xml:space="preserve">Raemulan Lands, Inc. </v>
          </cell>
          <cell r="K71" t="str">
            <v>Penthouse at Jubilation Enclave North</v>
          </cell>
          <cell r="L71" t="str">
            <v>JPH</v>
          </cell>
          <cell r="M71" t="str">
            <v>Middle Income</v>
          </cell>
          <cell r="N71">
            <v>2</v>
          </cell>
          <cell r="O71">
            <v>31</v>
          </cell>
          <cell r="P71" t="str">
            <v>H+L</v>
          </cell>
          <cell r="Q71">
            <v>60</v>
          </cell>
          <cell r="R71">
            <v>113</v>
          </cell>
          <cell r="S71" t="str">
            <v>E</v>
          </cell>
          <cell r="T71" t="str">
            <v>Inner Unit</v>
          </cell>
          <cell r="U71" t="str">
            <v>PRIME</v>
          </cell>
          <cell r="V71" t="str">
            <v>Inner Unit-PRIME</v>
          </cell>
          <cell r="W71" t="str">
            <v>Inner Unit-PRIME</v>
          </cell>
          <cell r="X71">
            <v>5262400</v>
          </cell>
          <cell r="Y71">
            <v>62400</v>
          </cell>
          <cell r="Z71">
            <v>5200000</v>
          </cell>
          <cell r="AA71">
            <v>557142.85714285716</v>
          </cell>
          <cell r="AB71">
            <v>4642857.1428571427</v>
          </cell>
        </row>
        <row r="72">
          <cell r="H72" t="str">
            <v>JPH-00-002-032</v>
          </cell>
          <cell r="I72" t="str">
            <v>PRIME</v>
          </cell>
          <cell r="J72" t="str">
            <v xml:space="preserve">Raemulan Lands, Inc. </v>
          </cell>
          <cell r="K72" t="str">
            <v>Penthouse at Jubilation Enclave North</v>
          </cell>
          <cell r="L72" t="str">
            <v>JPH</v>
          </cell>
          <cell r="M72" t="str">
            <v>Middle Income</v>
          </cell>
          <cell r="N72">
            <v>2</v>
          </cell>
          <cell r="O72">
            <v>32</v>
          </cell>
          <cell r="P72" t="str">
            <v>H+L</v>
          </cell>
          <cell r="Q72">
            <v>98</v>
          </cell>
          <cell r="R72">
            <v>113</v>
          </cell>
          <cell r="S72" t="str">
            <v>F</v>
          </cell>
          <cell r="T72" t="str">
            <v>End Unit</v>
          </cell>
          <cell r="U72" t="str">
            <v>PRIME</v>
          </cell>
          <cell r="V72" t="str">
            <v>End Unit - PRIME</v>
          </cell>
          <cell r="W72" t="str">
            <v>End Unit - PRIME</v>
          </cell>
          <cell r="X72">
            <v>6589285.7142857146</v>
          </cell>
          <cell r="Y72">
            <v>500000</v>
          </cell>
          <cell r="Z72">
            <v>6089285.7142857146</v>
          </cell>
          <cell r="AA72">
            <v>589285.71428571432</v>
          </cell>
          <cell r="AB72">
            <v>5500000</v>
          </cell>
        </row>
        <row r="73">
          <cell r="H73" t="str">
            <v>JPH-00-003-001</v>
          </cell>
          <cell r="I73" t="str">
            <v>PRIME</v>
          </cell>
          <cell r="J73" t="str">
            <v xml:space="preserve">Raemulan Lands, Inc. </v>
          </cell>
          <cell r="K73" t="str">
            <v>Penthouse at Jubilation Enclave North</v>
          </cell>
          <cell r="L73" t="str">
            <v>JPH</v>
          </cell>
          <cell r="M73" t="str">
            <v>Middle Income</v>
          </cell>
          <cell r="N73">
            <v>3</v>
          </cell>
          <cell r="O73">
            <v>1</v>
          </cell>
          <cell r="P73" t="str">
            <v>H+L</v>
          </cell>
          <cell r="Q73">
            <v>127</v>
          </cell>
          <cell r="R73">
            <v>113</v>
          </cell>
          <cell r="S73" t="str">
            <v>A</v>
          </cell>
          <cell r="T73" t="str">
            <v>End Unit</v>
          </cell>
          <cell r="U73" t="str">
            <v>PRIME</v>
          </cell>
          <cell r="V73" t="str">
            <v>End Unit - PRIME</v>
          </cell>
          <cell r="W73" t="str">
            <v>End Unit - PRIME</v>
          </cell>
          <cell r="X73">
            <v>8089928</v>
          </cell>
          <cell r="Y73">
            <v>95928</v>
          </cell>
          <cell r="Z73">
            <v>7994000</v>
          </cell>
          <cell r="AA73">
            <v>856499.99999999988</v>
          </cell>
          <cell r="AB73">
            <v>7137500</v>
          </cell>
        </row>
        <row r="74">
          <cell r="H74" t="str">
            <v>JPH-00-003-002</v>
          </cell>
          <cell r="I74" t="str">
            <v>PREMIUM</v>
          </cell>
          <cell r="J74" t="str">
            <v xml:space="preserve">Raemulan Lands, Inc. </v>
          </cell>
          <cell r="K74" t="str">
            <v>Penthouse at Jubilation Enclave North</v>
          </cell>
          <cell r="L74" t="str">
            <v>JPH</v>
          </cell>
          <cell r="M74" t="str">
            <v>Middle Income</v>
          </cell>
          <cell r="N74">
            <v>3</v>
          </cell>
          <cell r="O74">
            <v>2</v>
          </cell>
          <cell r="P74" t="str">
            <v>H+L</v>
          </cell>
          <cell r="Q74">
            <v>60</v>
          </cell>
          <cell r="R74">
            <v>113</v>
          </cell>
          <cell r="S74" t="str">
            <v>B</v>
          </cell>
          <cell r="T74" t="str">
            <v>Inner Unit</v>
          </cell>
          <cell r="U74" t="str">
            <v>PREMIUM</v>
          </cell>
          <cell r="V74" t="str">
            <v>Inner Unit-PREMIUM</v>
          </cell>
          <cell r="W74" t="str">
            <v>Inner Unit-PREMIUM</v>
          </cell>
          <cell r="X74">
            <v>6476800</v>
          </cell>
          <cell r="Y74">
            <v>76800</v>
          </cell>
          <cell r="Z74">
            <v>6400000</v>
          </cell>
          <cell r="AA74">
            <v>685714.28571428556</v>
          </cell>
          <cell r="AB74">
            <v>5714285.7142857146</v>
          </cell>
        </row>
        <row r="75">
          <cell r="H75" t="str">
            <v>JPH-00-003-003</v>
          </cell>
          <cell r="I75" t="str">
            <v>PRIME</v>
          </cell>
          <cell r="J75" t="str">
            <v xml:space="preserve">Raemulan Lands, Inc. </v>
          </cell>
          <cell r="K75" t="str">
            <v>Penthouse at Jubilation Enclave North</v>
          </cell>
          <cell r="L75" t="str">
            <v>JPH</v>
          </cell>
          <cell r="M75" t="str">
            <v>Middle Income</v>
          </cell>
          <cell r="N75">
            <v>3</v>
          </cell>
          <cell r="O75">
            <v>3</v>
          </cell>
          <cell r="P75" t="str">
            <v>H+L</v>
          </cell>
          <cell r="Q75">
            <v>60</v>
          </cell>
          <cell r="R75">
            <v>113</v>
          </cell>
          <cell r="S75" t="str">
            <v>E</v>
          </cell>
          <cell r="T75" t="str">
            <v>Inner Unit</v>
          </cell>
          <cell r="U75" t="str">
            <v>PRIME</v>
          </cell>
          <cell r="V75" t="str">
            <v>Inner Unit-PRIME</v>
          </cell>
          <cell r="W75" t="str">
            <v>Inner Unit-PRIME</v>
          </cell>
          <cell r="X75">
            <v>4810036</v>
          </cell>
          <cell r="Y75">
            <v>57036</v>
          </cell>
          <cell r="Z75">
            <v>4753000</v>
          </cell>
          <cell r="AA75">
            <v>509250</v>
          </cell>
          <cell r="AB75">
            <v>4243750</v>
          </cell>
        </row>
        <row r="76">
          <cell r="H76" t="str">
            <v>JPH-00-003-004</v>
          </cell>
          <cell r="I76" t="str">
            <v>PRIME</v>
          </cell>
          <cell r="J76" t="str">
            <v xml:space="preserve">Raemulan Lands, Inc. </v>
          </cell>
          <cell r="K76" t="str">
            <v>Penthouse at Jubilation Enclave North</v>
          </cell>
          <cell r="L76" t="str">
            <v>JPH</v>
          </cell>
          <cell r="M76" t="str">
            <v>Middle Income</v>
          </cell>
          <cell r="N76">
            <v>3</v>
          </cell>
          <cell r="O76">
            <v>4</v>
          </cell>
          <cell r="P76" t="str">
            <v>H+L</v>
          </cell>
          <cell r="Q76">
            <v>80</v>
          </cell>
          <cell r="R76">
            <v>113</v>
          </cell>
          <cell r="S76" t="str">
            <v>F</v>
          </cell>
          <cell r="T76" t="str">
            <v>End Unit</v>
          </cell>
          <cell r="U76" t="str">
            <v>PRIME</v>
          </cell>
          <cell r="V76" t="str">
            <v>End Unit - PRIME</v>
          </cell>
          <cell r="W76" t="str">
            <v>End Unit - PRIME</v>
          </cell>
          <cell r="X76">
            <v>5677320</v>
          </cell>
          <cell r="Y76">
            <v>67320</v>
          </cell>
          <cell r="Z76">
            <v>5610000</v>
          </cell>
          <cell r="AA76">
            <v>585391.30434782605</v>
          </cell>
          <cell r="AB76">
            <v>5024608.6956521738</v>
          </cell>
        </row>
        <row r="77">
          <cell r="H77" t="str">
            <v>JPH-00-003-005</v>
          </cell>
          <cell r="I77" t="str">
            <v>PRIME</v>
          </cell>
          <cell r="J77" t="str">
            <v xml:space="preserve">Raemulan Lands, Inc. </v>
          </cell>
          <cell r="K77" t="str">
            <v>Penthouse at Jubilation Enclave North</v>
          </cell>
          <cell r="L77" t="str">
            <v>JPH</v>
          </cell>
          <cell r="M77" t="str">
            <v>Middle Income</v>
          </cell>
          <cell r="N77">
            <v>3</v>
          </cell>
          <cell r="O77">
            <v>5</v>
          </cell>
          <cell r="P77" t="str">
            <v>H+L</v>
          </cell>
          <cell r="Q77">
            <v>80</v>
          </cell>
          <cell r="R77">
            <v>113</v>
          </cell>
          <cell r="S77" t="str">
            <v>A</v>
          </cell>
          <cell r="T77" t="str">
            <v>End Unit</v>
          </cell>
          <cell r="U77" t="str">
            <v>PRIME</v>
          </cell>
          <cell r="V77" t="str">
            <v>End Unit - PRIME</v>
          </cell>
          <cell r="W77" t="str">
            <v>End Unit - PRIME</v>
          </cell>
          <cell r="X77">
            <v>6395840</v>
          </cell>
          <cell r="Y77">
            <v>75840</v>
          </cell>
          <cell r="Z77">
            <v>6320000</v>
          </cell>
          <cell r="AA77">
            <v>677142.85714285716</v>
          </cell>
          <cell r="AB77">
            <v>5642857.1428571427</v>
          </cell>
        </row>
        <row r="78">
          <cell r="H78" t="str">
            <v>JPH-00-003-006</v>
          </cell>
          <cell r="I78" t="str">
            <v>PRIME</v>
          </cell>
          <cell r="J78" t="str">
            <v xml:space="preserve">Raemulan Lands, Inc. </v>
          </cell>
          <cell r="K78" t="str">
            <v>Penthouse at Jubilation Enclave North</v>
          </cell>
          <cell r="L78" t="str">
            <v>JPH</v>
          </cell>
          <cell r="M78" t="str">
            <v>Middle Income</v>
          </cell>
          <cell r="N78">
            <v>3</v>
          </cell>
          <cell r="O78">
            <v>6</v>
          </cell>
          <cell r="P78" t="str">
            <v>H+L</v>
          </cell>
          <cell r="Q78">
            <v>60</v>
          </cell>
          <cell r="R78">
            <v>113</v>
          </cell>
          <cell r="S78" t="str">
            <v>B</v>
          </cell>
          <cell r="T78" t="str">
            <v>Inner Unit</v>
          </cell>
          <cell r="U78" t="str">
            <v>PRIME</v>
          </cell>
          <cell r="V78" t="str">
            <v>Inner Unit-PRIME</v>
          </cell>
          <cell r="W78" t="str">
            <v>Inner Unit-PRIME</v>
          </cell>
          <cell r="X78">
            <v>5590288</v>
          </cell>
          <cell r="Y78">
            <v>66288</v>
          </cell>
          <cell r="Z78">
            <v>5524000</v>
          </cell>
          <cell r="AA78">
            <v>591857.14285714272</v>
          </cell>
          <cell r="AB78">
            <v>4932142.8571428573</v>
          </cell>
        </row>
        <row r="79">
          <cell r="H79" t="str">
            <v>JPH-00-003-007</v>
          </cell>
          <cell r="I79" t="str">
            <v>PRIME</v>
          </cell>
          <cell r="J79" t="str">
            <v xml:space="preserve">Raemulan Lands, Inc. </v>
          </cell>
          <cell r="K79" t="str">
            <v>Penthouse at Jubilation Enclave North</v>
          </cell>
          <cell r="L79" t="str">
            <v>JPH</v>
          </cell>
          <cell r="M79" t="str">
            <v>Middle Income</v>
          </cell>
          <cell r="N79">
            <v>3</v>
          </cell>
          <cell r="O79">
            <v>7</v>
          </cell>
          <cell r="P79" t="str">
            <v>H+L</v>
          </cell>
          <cell r="Q79">
            <v>60</v>
          </cell>
          <cell r="R79">
            <v>113</v>
          </cell>
          <cell r="S79" t="str">
            <v>C</v>
          </cell>
          <cell r="T79" t="str">
            <v>Inner Unit</v>
          </cell>
          <cell r="U79" t="str">
            <v>PRIME</v>
          </cell>
          <cell r="V79" t="str">
            <v>Inner Unit-PRIME</v>
          </cell>
          <cell r="W79" t="str">
            <v>Inner Unit-PRIME</v>
          </cell>
          <cell r="X79">
            <v>5060000</v>
          </cell>
          <cell r="Y79">
            <v>60000</v>
          </cell>
          <cell r="Z79">
            <v>5000000</v>
          </cell>
          <cell r="AA79">
            <v>535714.28571428556</v>
          </cell>
          <cell r="AB79">
            <v>4464285.7142857146</v>
          </cell>
        </row>
        <row r="80">
          <cell r="H80" t="str">
            <v>JPH-00-003-008</v>
          </cell>
          <cell r="I80" t="str">
            <v>PRIME</v>
          </cell>
          <cell r="J80" t="str">
            <v xml:space="preserve">Raemulan Lands, Inc. </v>
          </cell>
          <cell r="K80" t="str">
            <v>Penthouse at Jubilation Enclave North</v>
          </cell>
          <cell r="L80" t="str">
            <v>JPH</v>
          </cell>
          <cell r="M80" t="str">
            <v>Middle Income</v>
          </cell>
          <cell r="N80">
            <v>3</v>
          </cell>
          <cell r="O80">
            <v>8</v>
          </cell>
          <cell r="P80" t="str">
            <v>H+L</v>
          </cell>
          <cell r="Q80">
            <v>60</v>
          </cell>
          <cell r="R80">
            <v>113</v>
          </cell>
          <cell r="S80" t="str">
            <v>D</v>
          </cell>
          <cell r="T80" t="str">
            <v>Inner Unit</v>
          </cell>
          <cell r="U80" t="str">
            <v>PRIME</v>
          </cell>
          <cell r="V80" t="str">
            <v>Inner Unit-PRIME</v>
          </cell>
          <cell r="W80" t="str">
            <v>Inner Unit-PRIME</v>
          </cell>
          <cell r="X80">
            <v>4810036</v>
          </cell>
          <cell r="Y80">
            <v>57036</v>
          </cell>
          <cell r="Z80">
            <v>4753000</v>
          </cell>
          <cell r="AA80">
            <v>509250</v>
          </cell>
          <cell r="AB80">
            <v>4243750</v>
          </cell>
        </row>
        <row r="81">
          <cell r="H81" t="str">
            <v>JPH-00-003-009</v>
          </cell>
          <cell r="I81" t="str">
            <v>PRIME</v>
          </cell>
          <cell r="J81" t="str">
            <v xml:space="preserve">Raemulan Lands, Inc. </v>
          </cell>
          <cell r="K81" t="str">
            <v>Penthouse at Jubilation Enclave North</v>
          </cell>
          <cell r="L81" t="str">
            <v>JPH</v>
          </cell>
          <cell r="M81" t="str">
            <v>Middle Income</v>
          </cell>
          <cell r="N81">
            <v>3</v>
          </cell>
          <cell r="O81">
            <v>9</v>
          </cell>
          <cell r="P81" t="str">
            <v>H+L</v>
          </cell>
          <cell r="Q81">
            <v>60</v>
          </cell>
          <cell r="R81">
            <v>113</v>
          </cell>
          <cell r="S81" t="str">
            <v>E</v>
          </cell>
          <cell r="T81" t="str">
            <v>Inner Unit</v>
          </cell>
          <cell r="U81" t="str">
            <v>PRIME</v>
          </cell>
          <cell r="V81" t="str">
            <v>Inner Unit-PRIME</v>
          </cell>
          <cell r="W81" t="str">
            <v>Inner Unit-PRIME</v>
          </cell>
          <cell r="X81">
            <v>4958800</v>
          </cell>
          <cell r="Y81">
            <v>58800</v>
          </cell>
          <cell r="Z81">
            <v>4900000</v>
          </cell>
          <cell r="AA81">
            <v>525000</v>
          </cell>
          <cell r="AB81">
            <v>4375000</v>
          </cell>
        </row>
        <row r="82">
          <cell r="H82" t="str">
            <v>JPH-00-003-010</v>
          </cell>
          <cell r="I82" t="str">
            <v>PRIME</v>
          </cell>
          <cell r="J82" t="str">
            <v xml:space="preserve">Raemulan Lands, Inc. </v>
          </cell>
          <cell r="K82" t="str">
            <v>Penthouse at Jubilation Enclave North</v>
          </cell>
          <cell r="L82" t="str">
            <v>JPH</v>
          </cell>
          <cell r="M82" t="str">
            <v>Middle Income</v>
          </cell>
          <cell r="N82">
            <v>3</v>
          </cell>
          <cell r="O82">
            <v>10</v>
          </cell>
          <cell r="P82" t="str">
            <v>H+L</v>
          </cell>
          <cell r="Q82">
            <v>80</v>
          </cell>
          <cell r="R82">
            <v>113</v>
          </cell>
          <cell r="S82" t="str">
            <v>F</v>
          </cell>
          <cell r="T82" t="str">
            <v>End Unit</v>
          </cell>
          <cell r="U82" t="str">
            <v>PRIME</v>
          </cell>
          <cell r="V82" t="str">
            <v>End Unit - PRIME</v>
          </cell>
          <cell r="W82" t="str">
            <v>End Unit - PRIME</v>
          </cell>
          <cell r="X82">
            <v>5677320</v>
          </cell>
          <cell r="Y82">
            <v>67320</v>
          </cell>
          <cell r="Z82">
            <v>5610000</v>
          </cell>
          <cell r="AA82">
            <v>601071.42857142852</v>
          </cell>
          <cell r="AB82">
            <v>5008928.5714285718</v>
          </cell>
        </row>
        <row r="83">
          <cell r="H83" t="str">
            <v>JPH-00-003-011</v>
          </cell>
          <cell r="I83" t="str">
            <v>PREMIUM</v>
          </cell>
          <cell r="J83" t="str">
            <v xml:space="preserve">Raemulan Lands, Inc. </v>
          </cell>
          <cell r="K83" t="str">
            <v>Penthouse at Jubilation Enclave North</v>
          </cell>
          <cell r="L83" t="str">
            <v>JPH</v>
          </cell>
          <cell r="M83" t="str">
            <v>Middle Income</v>
          </cell>
          <cell r="N83">
            <v>3</v>
          </cell>
          <cell r="O83">
            <v>11</v>
          </cell>
          <cell r="P83" t="str">
            <v>H+L</v>
          </cell>
          <cell r="Q83">
            <v>80</v>
          </cell>
          <cell r="R83">
            <v>113</v>
          </cell>
          <cell r="S83" t="str">
            <v>A</v>
          </cell>
          <cell r="T83" t="str">
            <v>End Unit</v>
          </cell>
          <cell r="U83" t="str">
            <v>PREMIUM</v>
          </cell>
          <cell r="V83" t="str">
            <v>End Unit - PRIME</v>
          </cell>
          <cell r="W83" t="str">
            <v>End Unit - PREMIUM</v>
          </cell>
          <cell r="X83">
            <v>6395840</v>
          </cell>
          <cell r="Y83">
            <v>75840</v>
          </cell>
          <cell r="Z83">
            <v>6320000</v>
          </cell>
          <cell r="AA83">
            <v>677142.85714285716</v>
          </cell>
          <cell r="AB83">
            <v>5642857.1428571427</v>
          </cell>
        </row>
        <row r="84">
          <cell r="H84" t="str">
            <v>JPH-00-003-012</v>
          </cell>
          <cell r="I84" t="str">
            <v>PRIME</v>
          </cell>
          <cell r="J84" t="str">
            <v xml:space="preserve">Raemulan Lands, Inc. </v>
          </cell>
          <cell r="K84" t="str">
            <v>Penthouse at Jubilation Enclave North</v>
          </cell>
          <cell r="L84" t="str">
            <v>JPH</v>
          </cell>
          <cell r="M84" t="str">
            <v>Middle Income</v>
          </cell>
          <cell r="N84">
            <v>3</v>
          </cell>
          <cell r="O84">
            <v>12</v>
          </cell>
          <cell r="P84" t="str">
            <v>H+L</v>
          </cell>
          <cell r="Q84">
            <v>60</v>
          </cell>
          <cell r="R84">
            <v>113</v>
          </cell>
          <cell r="S84" t="str">
            <v>B</v>
          </cell>
          <cell r="T84" t="str">
            <v>Inner Unit</v>
          </cell>
          <cell r="U84" t="str">
            <v>PRIME</v>
          </cell>
          <cell r="V84" t="str">
            <v>Inner Unit-PRIME</v>
          </cell>
          <cell r="W84" t="str">
            <v>Inner Unit-PRIME</v>
          </cell>
          <cell r="X84">
            <v>5667200</v>
          </cell>
          <cell r="Y84">
            <v>67200</v>
          </cell>
          <cell r="Z84">
            <v>5600000</v>
          </cell>
          <cell r="AA84">
            <v>599999.99999999988</v>
          </cell>
          <cell r="AB84">
            <v>5000000</v>
          </cell>
        </row>
        <row r="85">
          <cell r="H85" t="str">
            <v>JPH-00-003-013</v>
          </cell>
          <cell r="I85" t="str">
            <v>PRIME</v>
          </cell>
          <cell r="J85" t="str">
            <v xml:space="preserve">Raemulan Lands, Inc. </v>
          </cell>
          <cell r="K85" t="str">
            <v>Penthouse at Jubilation Enclave North</v>
          </cell>
          <cell r="L85" t="str">
            <v>JPH</v>
          </cell>
          <cell r="M85" t="str">
            <v>Middle Income</v>
          </cell>
          <cell r="N85">
            <v>3</v>
          </cell>
          <cell r="O85">
            <v>13</v>
          </cell>
          <cell r="P85" t="str">
            <v>H+L</v>
          </cell>
          <cell r="Q85">
            <v>60</v>
          </cell>
          <cell r="R85">
            <v>113</v>
          </cell>
          <cell r="S85" t="str">
            <v>E</v>
          </cell>
          <cell r="T85" t="str">
            <v>Inner Unit</v>
          </cell>
          <cell r="U85" t="str">
            <v>PRIME</v>
          </cell>
          <cell r="V85" t="str">
            <v>Inner Unit-PRIME</v>
          </cell>
          <cell r="W85" t="str">
            <v>Inner Unit-PRIME</v>
          </cell>
          <cell r="X85">
            <v>5590288</v>
          </cell>
          <cell r="Y85">
            <v>66288</v>
          </cell>
          <cell r="Z85">
            <v>5524000</v>
          </cell>
          <cell r="AA85">
            <v>591857.14285714272</v>
          </cell>
          <cell r="AB85">
            <v>4932142.8571428573</v>
          </cell>
        </row>
        <row r="86">
          <cell r="H86" t="str">
            <v>JPH-00-003-014</v>
          </cell>
          <cell r="I86" t="str">
            <v>PRIME</v>
          </cell>
          <cell r="J86" t="str">
            <v xml:space="preserve">Raemulan Lands, Inc. </v>
          </cell>
          <cell r="K86" t="str">
            <v>Penthouse at Jubilation Enclave North</v>
          </cell>
          <cell r="L86" t="str">
            <v>JPH</v>
          </cell>
          <cell r="M86" t="str">
            <v>Middle Income</v>
          </cell>
          <cell r="N86">
            <v>3</v>
          </cell>
          <cell r="O86">
            <v>14</v>
          </cell>
          <cell r="P86" t="str">
            <v>H+L</v>
          </cell>
          <cell r="Q86">
            <v>113</v>
          </cell>
          <cell r="R86">
            <v>113</v>
          </cell>
          <cell r="S86" t="str">
            <v>F</v>
          </cell>
          <cell r="T86" t="str">
            <v>End Unit</v>
          </cell>
          <cell r="U86" t="str">
            <v>PRIME</v>
          </cell>
          <cell r="V86" t="str">
            <v>End Unit - PRIME</v>
          </cell>
          <cell r="W86" t="str">
            <v>End Unit - PRIME</v>
          </cell>
          <cell r="X86">
            <v>7544460</v>
          </cell>
          <cell r="Y86">
            <v>89460</v>
          </cell>
          <cell r="Z86">
            <v>7455000</v>
          </cell>
          <cell r="AA86">
            <v>798749.99999999988</v>
          </cell>
          <cell r="AB86">
            <v>6656250</v>
          </cell>
        </row>
        <row r="87">
          <cell r="H87" t="str">
            <v>JPH-00-003-015</v>
          </cell>
          <cell r="I87" t="str">
            <v>PRIME</v>
          </cell>
          <cell r="J87" t="str">
            <v xml:space="preserve">Raemulan Lands, Inc. </v>
          </cell>
          <cell r="K87" t="str">
            <v>Penthouse at Jubilation Enclave North</v>
          </cell>
          <cell r="L87" t="str">
            <v>JPH</v>
          </cell>
          <cell r="M87" t="str">
            <v>Middle Income</v>
          </cell>
          <cell r="N87">
            <v>3</v>
          </cell>
          <cell r="O87">
            <v>15</v>
          </cell>
          <cell r="P87" t="str">
            <v>H+L</v>
          </cell>
          <cell r="Q87">
            <v>96</v>
          </cell>
          <cell r="R87">
            <v>113</v>
          </cell>
          <cell r="S87" t="str">
            <v>A</v>
          </cell>
          <cell r="T87" t="str">
            <v>End Unit</v>
          </cell>
          <cell r="U87" t="str">
            <v>PRIME</v>
          </cell>
          <cell r="V87" t="str">
            <v>End Unit - PRIME</v>
          </cell>
          <cell r="W87" t="str">
            <v>End Unit - PRIME</v>
          </cell>
          <cell r="X87">
            <v>6695766.4443371436</v>
          </cell>
          <cell r="Y87">
            <v>79396.440051428581</v>
          </cell>
          <cell r="Z87">
            <v>6616370.0042857146</v>
          </cell>
          <cell r="AA87">
            <v>708896.79</v>
          </cell>
          <cell r="AB87">
            <v>5907473.2142857146</v>
          </cell>
        </row>
        <row r="88">
          <cell r="H88" t="str">
            <v>JPH-00-003-016</v>
          </cell>
          <cell r="I88" t="str">
            <v>PREMIUM</v>
          </cell>
          <cell r="J88" t="str">
            <v xml:space="preserve">Raemulan Lands, Inc. </v>
          </cell>
          <cell r="K88" t="str">
            <v>Penthouse at Jubilation Enclave North</v>
          </cell>
          <cell r="L88" t="str">
            <v>JPH</v>
          </cell>
          <cell r="M88" t="str">
            <v>Middle Income</v>
          </cell>
          <cell r="N88">
            <v>3</v>
          </cell>
          <cell r="O88">
            <v>16</v>
          </cell>
          <cell r="P88" t="str">
            <v>H+L</v>
          </cell>
          <cell r="Q88">
            <v>60</v>
          </cell>
          <cell r="R88">
            <v>113</v>
          </cell>
          <cell r="S88" t="str">
            <v>B</v>
          </cell>
          <cell r="T88" t="str">
            <v>Inner Unit</v>
          </cell>
          <cell r="U88" t="str">
            <v>PREMIUM</v>
          </cell>
          <cell r="V88" t="str">
            <v>Inner Unit-PREMIUM</v>
          </cell>
          <cell r="W88" t="str">
            <v>Inner Unit-PREMIUM</v>
          </cell>
          <cell r="X88">
            <v>6406972</v>
          </cell>
          <cell r="Y88">
            <v>75972</v>
          </cell>
          <cell r="Z88">
            <v>6331000</v>
          </cell>
          <cell r="AA88">
            <v>678321.42857142852</v>
          </cell>
          <cell r="AB88">
            <v>5652678.5714285718</v>
          </cell>
        </row>
        <row r="89">
          <cell r="H89" t="str">
            <v>JPH-00-003-017</v>
          </cell>
          <cell r="I89" t="str">
            <v>PRIME</v>
          </cell>
          <cell r="J89" t="str">
            <v xml:space="preserve">Raemulan Lands, Inc. </v>
          </cell>
          <cell r="K89" t="str">
            <v>Penthouse at Jubilation Enclave North</v>
          </cell>
          <cell r="L89" t="str">
            <v>JPH</v>
          </cell>
          <cell r="M89" t="str">
            <v>Middle Income</v>
          </cell>
          <cell r="N89">
            <v>3</v>
          </cell>
          <cell r="O89">
            <v>17</v>
          </cell>
          <cell r="P89" t="str">
            <v>H+L</v>
          </cell>
          <cell r="Q89">
            <v>60</v>
          </cell>
          <cell r="R89">
            <v>113</v>
          </cell>
          <cell r="S89" t="str">
            <v>E</v>
          </cell>
          <cell r="T89" t="str">
            <v>Inner Unit</v>
          </cell>
          <cell r="U89" t="str">
            <v>PRIME</v>
          </cell>
          <cell r="V89" t="str">
            <v>Inner Unit-PRIME</v>
          </cell>
          <cell r="W89" t="str">
            <v>Inner Unit-PRIME</v>
          </cell>
          <cell r="X89">
            <v>5792688</v>
          </cell>
          <cell r="Y89">
            <v>68688</v>
          </cell>
          <cell r="Z89">
            <v>5724000</v>
          </cell>
          <cell r="AA89">
            <v>613285.7142857142</v>
          </cell>
          <cell r="AB89">
            <v>5110714.2857142854</v>
          </cell>
        </row>
        <row r="90">
          <cell r="H90" t="str">
            <v>JPH-00-003-018</v>
          </cell>
          <cell r="I90" t="str">
            <v>PRIME</v>
          </cell>
          <cell r="J90" t="str">
            <v xml:space="preserve">Raemulan Lands, Inc. </v>
          </cell>
          <cell r="K90" t="str">
            <v>Penthouse at Jubilation Enclave North</v>
          </cell>
          <cell r="L90" t="str">
            <v>JPH</v>
          </cell>
          <cell r="M90" t="str">
            <v>Middle Income</v>
          </cell>
          <cell r="N90">
            <v>3</v>
          </cell>
          <cell r="O90">
            <v>18</v>
          </cell>
          <cell r="P90" t="str">
            <v>H+L</v>
          </cell>
          <cell r="Q90">
            <v>80</v>
          </cell>
          <cell r="R90">
            <v>113</v>
          </cell>
          <cell r="S90" t="str">
            <v>F</v>
          </cell>
          <cell r="T90" t="str">
            <v>End Unit</v>
          </cell>
          <cell r="U90" t="str">
            <v>PRIME</v>
          </cell>
          <cell r="V90" t="str">
            <v>End Unit - PRIME</v>
          </cell>
          <cell r="W90" t="str">
            <v>End Unit - PRIME</v>
          </cell>
          <cell r="X90">
            <v>6589285.7142857146</v>
          </cell>
          <cell r="Y90">
            <v>500000</v>
          </cell>
          <cell r="Z90">
            <v>6089285.7142857146</v>
          </cell>
          <cell r="AA90">
            <v>589285.71428571432</v>
          </cell>
          <cell r="AB90">
            <v>5500000</v>
          </cell>
        </row>
        <row r="91">
          <cell r="H91" t="str">
            <v>JPH-00-003-019</v>
          </cell>
          <cell r="I91" t="str">
            <v>PRIME</v>
          </cell>
          <cell r="J91" t="str">
            <v xml:space="preserve">Raemulan Lands, Inc. </v>
          </cell>
          <cell r="K91" t="str">
            <v>Penthouse at Jubilation Enclave North</v>
          </cell>
          <cell r="L91" t="str">
            <v>JPH</v>
          </cell>
          <cell r="M91" t="str">
            <v>Middle Income</v>
          </cell>
          <cell r="N91">
            <v>3</v>
          </cell>
          <cell r="O91">
            <v>19</v>
          </cell>
          <cell r="P91" t="str">
            <v>H+L</v>
          </cell>
          <cell r="Q91">
            <v>80</v>
          </cell>
          <cell r="R91">
            <v>113</v>
          </cell>
          <cell r="S91" t="str">
            <v>A</v>
          </cell>
          <cell r="T91" t="str">
            <v>End Unit</v>
          </cell>
          <cell r="U91" t="str">
            <v>PRIME</v>
          </cell>
          <cell r="V91" t="str">
            <v>End Unit - PRIME</v>
          </cell>
          <cell r="W91" t="str">
            <v>End Unit - PRIME</v>
          </cell>
          <cell r="X91">
            <v>5778520</v>
          </cell>
          <cell r="Y91">
            <v>68520</v>
          </cell>
          <cell r="Z91">
            <v>5710000</v>
          </cell>
          <cell r="AA91">
            <v>611785.7142857142</v>
          </cell>
          <cell r="AB91">
            <v>5098214.2857142854</v>
          </cell>
        </row>
        <row r="92">
          <cell r="H92" t="str">
            <v>JPH-00-003-020</v>
          </cell>
          <cell r="I92" t="str">
            <v>PRIME</v>
          </cell>
          <cell r="J92" t="str">
            <v xml:space="preserve">Raemulan Lands, Inc. </v>
          </cell>
          <cell r="K92" t="str">
            <v>Penthouse at Jubilation Enclave North</v>
          </cell>
          <cell r="L92" t="str">
            <v>JPH</v>
          </cell>
          <cell r="M92" t="str">
            <v>Middle Income</v>
          </cell>
          <cell r="N92">
            <v>3</v>
          </cell>
          <cell r="O92">
            <v>20</v>
          </cell>
          <cell r="P92" t="str">
            <v>H+L</v>
          </cell>
          <cell r="Q92">
            <v>60</v>
          </cell>
          <cell r="R92">
            <v>113</v>
          </cell>
          <cell r="S92" t="str">
            <v>B</v>
          </cell>
          <cell r="T92" t="str">
            <v>Inner Unit</v>
          </cell>
          <cell r="U92" t="str">
            <v>PRIME</v>
          </cell>
          <cell r="V92" t="str">
            <v>Inner Unit-PRIME</v>
          </cell>
          <cell r="W92" t="str">
            <v>Inner Unit-PRIME</v>
          </cell>
          <cell r="X92">
            <v>5792688</v>
          </cell>
          <cell r="Y92">
            <v>68688</v>
          </cell>
          <cell r="Z92">
            <v>5724000</v>
          </cell>
          <cell r="AA92">
            <v>613285.7142857142</v>
          </cell>
          <cell r="AB92">
            <v>5110714.2857142854</v>
          </cell>
        </row>
        <row r="93">
          <cell r="H93" t="str">
            <v>JPH-00-003-021</v>
          </cell>
          <cell r="I93" t="str">
            <v>PRIME</v>
          </cell>
          <cell r="J93" t="str">
            <v xml:space="preserve">Raemulan Lands, Inc. </v>
          </cell>
          <cell r="K93" t="str">
            <v>Penthouse at Jubilation Enclave North</v>
          </cell>
          <cell r="L93" t="str">
            <v>JPH</v>
          </cell>
          <cell r="M93" t="str">
            <v>Middle Income</v>
          </cell>
          <cell r="N93">
            <v>3</v>
          </cell>
          <cell r="O93">
            <v>21</v>
          </cell>
          <cell r="P93" t="str">
            <v>H+L</v>
          </cell>
          <cell r="Q93">
            <v>60</v>
          </cell>
          <cell r="R93">
            <v>113</v>
          </cell>
          <cell r="S93" t="str">
            <v>C</v>
          </cell>
          <cell r="T93" t="str">
            <v>Inner Unit</v>
          </cell>
          <cell r="U93" t="str">
            <v>PRIME</v>
          </cell>
          <cell r="V93" t="str">
            <v>Inner Unit-PRIME</v>
          </cell>
          <cell r="W93" t="str">
            <v>Inner Unit-PRIME</v>
          </cell>
          <cell r="X93">
            <v>5792688</v>
          </cell>
          <cell r="Y93">
            <v>68688</v>
          </cell>
          <cell r="Z93">
            <v>5724000</v>
          </cell>
          <cell r="AA93">
            <v>613285.7142857142</v>
          </cell>
          <cell r="AB93">
            <v>5110714.2857142854</v>
          </cell>
        </row>
        <row r="94">
          <cell r="H94" t="str">
            <v>JPH-00-003-022</v>
          </cell>
          <cell r="I94" t="str">
            <v>PRIME</v>
          </cell>
          <cell r="J94" t="str">
            <v xml:space="preserve">Raemulan Lands, Inc. </v>
          </cell>
          <cell r="K94" t="str">
            <v>Penthouse at Jubilation Enclave North</v>
          </cell>
          <cell r="L94" t="str">
            <v>JPH</v>
          </cell>
          <cell r="M94" t="str">
            <v>Middle Income</v>
          </cell>
          <cell r="N94">
            <v>3</v>
          </cell>
          <cell r="O94">
            <v>22</v>
          </cell>
          <cell r="P94" t="str">
            <v>H+L</v>
          </cell>
          <cell r="Q94">
            <v>60</v>
          </cell>
          <cell r="R94">
            <v>113</v>
          </cell>
          <cell r="S94" t="str">
            <v>D</v>
          </cell>
          <cell r="T94" t="str">
            <v>Inner Unit</v>
          </cell>
          <cell r="U94" t="str">
            <v>PRIME</v>
          </cell>
          <cell r="V94" t="str">
            <v>Inner Unit-PRIME</v>
          </cell>
          <cell r="W94" t="str">
            <v>Inner Unit-PRIME</v>
          </cell>
          <cell r="X94">
            <v>5792688</v>
          </cell>
          <cell r="Y94">
            <v>68688</v>
          </cell>
          <cell r="Z94">
            <v>5724000</v>
          </cell>
          <cell r="AA94">
            <v>613285.7142857142</v>
          </cell>
          <cell r="AB94">
            <v>5110714.2857142854</v>
          </cell>
        </row>
        <row r="95">
          <cell r="H95" t="str">
            <v>JPH-00-003-023</v>
          </cell>
          <cell r="I95" t="str">
            <v>PRIME</v>
          </cell>
          <cell r="J95" t="str">
            <v xml:space="preserve">Raemulan Lands, Inc. </v>
          </cell>
          <cell r="K95" t="str">
            <v>Penthouse at Jubilation Enclave North</v>
          </cell>
          <cell r="L95" t="str">
            <v>JPH</v>
          </cell>
          <cell r="M95" t="str">
            <v>Middle Income</v>
          </cell>
          <cell r="N95">
            <v>3</v>
          </cell>
          <cell r="O95">
            <v>23</v>
          </cell>
          <cell r="P95" t="str">
            <v>H+L</v>
          </cell>
          <cell r="Q95">
            <v>60</v>
          </cell>
          <cell r="R95">
            <v>113</v>
          </cell>
          <cell r="S95" t="str">
            <v>E</v>
          </cell>
          <cell r="T95" t="str">
            <v>Inner Unit</v>
          </cell>
          <cell r="U95" t="str">
            <v>PRIME</v>
          </cell>
          <cell r="V95" t="str">
            <v>Inner Unit-PRIME</v>
          </cell>
          <cell r="W95" t="str">
            <v>Inner Unit-PRIME</v>
          </cell>
          <cell r="X95">
            <v>6375043.4000000004</v>
          </cell>
          <cell r="Y95">
            <v>75593.400000000009</v>
          </cell>
          <cell r="Z95">
            <v>6299450</v>
          </cell>
          <cell r="AA95">
            <v>674941.07142857136</v>
          </cell>
          <cell r="AB95">
            <v>5624508.9285714291</v>
          </cell>
        </row>
        <row r="96">
          <cell r="H96" t="str">
            <v>JPH-00-003-024</v>
          </cell>
          <cell r="I96" t="str">
            <v>PRIME</v>
          </cell>
          <cell r="J96" t="str">
            <v xml:space="preserve">Raemulan Lands, Inc. </v>
          </cell>
          <cell r="K96" t="str">
            <v>Penthouse at Jubilation Enclave North</v>
          </cell>
          <cell r="L96" t="str">
            <v>JPH</v>
          </cell>
          <cell r="M96" t="str">
            <v>Middle Income</v>
          </cell>
          <cell r="N96">
            <v>3</v>
          </cell>
          <cell r="O96">
            <v>24</v>
          </cell>
          <cell r="P96" t="str">
            <v>H+L</v>
          </cell>
          <cell r="Q96">
            <v>80</v>
          </cell>
          <cell r="R96">
            <v>113</v>
          </cell>
          <cell r="S96" t="str">
            <v>F</v>
          </cell>
          <cell r="T96" t="str">
            <v>End Unit</v>
          </cell>
          <cell r="U96" t="str">
            <v>PRIME</v>
          </cell>
          <cell r="V96" t="str">
            <v>End Unit - PRIME</v>
          </cell>
          <cell r="W96" t="str">
            <v>End Unit - PRIME</v>
          </cell>
          <cell r="X96">
            <v>6598240</v>
          </cell>
          <cell r="Y96">
            <v>78240</v>
          </cell>
          <cell r="Z96">
            <v>6520000</v>
          </cell>
          <cell r="AA96">
            <v>698571.42857142852</v>
          </cell>
          <cell r="AB96">
            <v>5821428.5714285718</v>
          </cell>
        </row>
        <row r="97">
          <cell r="H97" t="str">
            <v>JPH-00-003-025</v>
          </cell>
          <cell r="I97" t="str">
            <v>PRIME</v>
          </cell>
          <cell r="J97" t="str">
            <v xml:space="preserve">Raemulan Lands, Inc. </v>
          </cell>
          <cell r="K97" t="str">
            <v>Penthouse at Jubilation Enclave North</v>
          </cell>
          <cell r="L97" t="str">
            <v>JPH</v>
          </cell>
          <cell r="M97" t="str">
            <v>Middle Income</v>
          </cell>
          <cell r="N97">
            <v>3</v>
          </cell>
          <cell r="O97">
            <v>25</v>
          </cell>
          <cell r="P97" t="str">
            <v>H+L</v>
          </cell>
          <cell r="Q97">
            <v>80</v>
          </cell>
          <cell r="R97">
            <v>113</v>
          </cell>
          <cell r="S97" t="str">
            <v>A</v>
          </cell>
          <cell r="T97" t="str">
            <v>End Unit</v>
          </cell>
          <cell r="U97" t="str">
            <v>PRIME</v>
          </cell>
          <cell r="V97" t="str">
            <v>End Unit - PRIME</v>
          </cell>
          <cell r="W97" t="str">
            <v>End Unit - PRIME</v>
          </cell>
          <cell r="X97">
            <v>6466275.2000000002</v>
          </cell>
          <cell r="Y97">
            <v>76675.199999999997</v>
          </cell>
          <cell r="Z97">
            <v>6389600</v>
          </cell>
          <cell r="AA97">
            <v>684600</v>
          </cell>
          <cell r="AB97">
            <v>5705000</v>
          </cell>
        </row>
        <row r="98">
          <cell r="H98" t="str">
            <v>JPH-00-003-026</v>
          </cell>
          <cell r="I98" t="str">
            <v>PRIME</v>
          </cell>
          <cell r="J98" t="str">
            <v xml:space="preserve">Raemulan Lands, Inc. </v>
          </cell>
          <cell r="K98" t="str">
            <v>Penthouse at Jubilation Enclave North</v>
          </cell>
          <cell r="L98" t="str">
            <v>JPH</v>
          </cell>
          <cell r="M98" t="str">
            <v>Middle Income</v>
          </cell>
          <cell r="N98">
            <v>3</v>
          </cell>
          <cell r="O98">
            <v>26</v>
          </cell>
          <cell r="P98" t="str">
            <v>H+L</v>
          </cell>
          <cell r="Q98">
            <v>60</v>
          </cell>
          <cell r="R98">
            <v>113</v>
          </cell>
          <cell r="S98" t="str">
            <v>B</v>
          </cell>
          <cell r="T98" t="str">
            <v>Inner Unit</v>
          </cell>
          <cell r="U98" t="str">
            <v>PRIME</v>
          </cell>
          <cell r="V98" t="str">
            <v>Inner Unit-PRIME</v>
          </cell>
          <cell r="W98" t="str">
            <v>Inner Unit-PRIME</v>
          </cell>
          <cell r="X98">
            <v>5262400</v>
          </cell>
          <cell r="Y98">
            <v>62400</v>
          </cell>
          <cell r="Z98">
            <v>5200000</v>
          </cell>
          <cell r="AA98">
            <v>557142.85714285716</v>
          </cell>
          <cell r="AB98">
            <v>4642857.1428571427</v>
          </cell>
        </row>
        <row r="99">
          <cell r="H99" t="str">
            <v>JPH-00-003-027</v>
          </cell>
          <cell r="I99" t="str">
            <v>PRIME</v>
          </cell>
          <cell r="J99" t="str">
            <v xml:space="preserve">Raemulan Lands, Inc. </v>
          </cell>
          <cell r="K99" t="str">
            <v>Penthouse at Jubilation Enclave North</v>
          </cell>
          <cell r="L99" t="str">
            <v>JPH</v>
          </cell>
          <cell r="M99" t="str">
            <v>Middle Income</v>
          </cell>
          <cell r="N99">
            <v>3</v>
          </cell>
          <cell r="O99">
            <v>27</v>
          </cell>
          <cell r="P99" t="str">
            <v>H+L</v>
          </cell>
          <cell r="Q99">
            <v>60</v>
          </cell>
          <cell r="R99">
            <v>113</v>
          </cell>
          <cell r="S99" t="str">
            <v>C</v>
          </cell>
          <cell r="T99" t="str">
            <v>Inner Unit</v>
          </cell>
          <cell r="U99" t="str">
            <v>PRIME</v>
          </cell>
          <cell r="V99" t="str">
            <v>Inner Unit-PRIME</v>
          </cell>
          <cell r="W99" t="str">
            <v>Inner Unit-PRIME</v>
          </cell>
          <cell r="X99">
            <v>5262400</v>
          </cell>
          <cell r="Y99">
            <v>62400</v>
          </cell>
          <cell r="Z99">
            <v>5200000</v>
          </cell>
          <cell r="AA99">
            <v>557142.85714285716</v>
          </cell>
          <cell r="AB99">
            <v>4642857.1428571427</v>
          </cell>
        </row>
        <row r="100">
          <cell r="H100" t="str">
            <v>JPH-00-003-028</v>
          </cell>
          <cell r="I100" t="str">
            <v>PRIME</v>
          </cell>
          <cell r="J100" t="str">
            <v xml:space="preserve">Raemulan Lands, Inc. </v>
          </cell>
          <cell r="K100" t="str">
            <v>Penthouse at Jubilation Enclave North</v>
          </cell>
          <cell r="L100" t="str">
            <v>JPH</v>
          </cell>
          <cell r="M100" t="str">
            <v>Middle Income</v>
          </cell>
          <cell r="N100">
            <v>3</v>
          </cell>
          <cell r="O100">
            <v>28</v>
          </cell>
          <cell r="P100" t="str">
            <v>H+L</v>
          </cell>
          <cell r="Q100">
            <v>60</v>
          </cell>
          <cell r="R100">
            <v>113</v>
          </cell>
          <cell r="S100" t="str">
            <v>D</v>
          </cell>
          <cell r="T100" t="str">
            <v>Inner Unit</v>
          </cell>
          <cell r="U100" t="str">
            <v>PRIME</v>
          </cell>
          <cell r="V100" t="str">
            <v>Inner Unit-PRIME</v>
          </cell>
          <cell r="W100" t="str">
            <v>Inner Unit-PRIME</v>
          </cell>
          <cell r="X100">
            <v>5792688</v>
          </cell>
          <cell r="Y100">
            <v>68688</v>
          </cell>
          <cell r="Z100">
            <v>5724000</v>
          </cell>
          <cell r="AA100">
            <v>613285.7142857142</v>
          </cell>
          <cell r="AB100">
            <v>5110714.2857142854</v>
          </cell>
        </row>
        <row r="101">
          <cell r="H101" t="str">
            <v>JPH-00-003-029</v>
          </cell>
          <cell r="I101" t="str">
            <v>PREMIUM</v>
          </cell>
          <cell r="J101" t="str">
            <v xml:space="preserve">Raemulan Lands, Inc. </v>
          </cell>
          <cell r="K101" t="str">
            <v>Penthouse at Jubilation Enclave North</v>
          </cell>
          <cell r="L101" t="str">
            <v>JPH</v>
          </cell>
          <cell r="M101" t="str">
            <v>Middle Income</v>
          </cell>
          <cell r="N101">
            <v>3</v>
          </cell>
          <cell r="O101">
            <v>29</v>
          </cell>
          <cell r="P101" t="str">
            <v>H+L</v>
          </cell>
          <cell r="Q101">
            <v>60</v>
          </cell>
          <cell r="R101">
            <v>113</v>
          </cell>
          <cell r="S101" t="str">
            <v>E</v>
          </cell>
          <cell r="T101" t="str">
            <v>Inner Unit</v>
          </cell>
          <cell r="U101" t="str">
            <v>PREMIUM</v>
          </cell>
          <cell r="V101" t="str">
            <v>Inner Unit-PREMIUM</v>
          </cell>
          <cell r="W101" t="str">
            <v>Inner Unit-PREMIUM</v>
          </cell>
          <cell r="X101">
            <v>6476800.0043371432</v>
          </cell>
          <cell r="Y101">
            <v>76800.000051428578</v>
          </cell>
          <cell r="Z101">
            <v>6400000.0042857146</v>
          </cell>
          <cell r="AA101">
            <v>685714.29</v>
          </cell>
          <cell r="AB101">
            <v>5714285.7142857146</v>
          </cell>
        </row>
        <row r="102">
          <cell r="H102" t="str">
            <v>JPH-00-003-030</v>
          </cell>
          <cell r="I102" t="str">
            <v>PREMIUM</v>
          </cell>
          <cell r="J102" t="str">
            <v xml:space="preserve">Raemulan Lands, Inc. </v>
          </cell>
          <cell r="K102" t="str">
            <v>Penthouse at Jubilation Enclave North</v>
          </cell>
          <cell r="L102" t="str">
            <v>JPH</v>
          </cell>
          <cell r="M102" t="str">
            <v>Middle Income</v>
          </cell>
          <cell r="N102">
            <v>3</v>
          </cell>
          <cell r="O102">
            <v>30</v>
          </cell>
          <cell r="P102" t="str">
            <v>H+L</v>
          </cell>
          <cell r="Q102">
            <v>123</v>
          </cell>
          <cell r="R102">
            <v>113</v>
          </cell>
          <cell r="S102" t="str">
            <v>F</v>
          </cell>
          <cell r="T102" t="str">
            <v>End Unit</v>
          </cell>
          <cell r="U102" t="str">
            <v>PREMIUM</v>
          </cell>
          <cell r="V102" t="str">
            <v>End Unit - PRIME</v>
          </cell>
          <cell r="W102" t="str">
            <v>End Unit - PREMIUM</v>
          </cell>
          <cell r="X102">
            <v>8266016</v>
          </cell>
          <cell r="Y102">
            <v>98016</v>
          </cell>
          <cell r="Z102">
            <v>8168000</v>
          </cell>
          <cell r="AA102">
            <v>875142.85714285693</v>
          </cell>
          <cell r="AB102">
            <v>7292857.1428571427</v>
          </cell>
        </row>
        <row r="103">
          <cell r="H103" t="str">
            <v>JPH-00-004-001</v>
          </cell>
          <cell r="I103" t="str">
            <v>PRESTIGE/MODEL UNIT</v>
          </cell>
          <cell r="J103" t="str">
            <v xml:space="preserve">Raemulan Lands, Inc. </v>
          </cell>
          <cell r="K103" t="str">
            <v>Penthouse at Jubilation Enclave North</v>
          </cell>
          <cell r="L103" t="str">
            <v>JPH</v>
          </cell>
          <cell r="M103" t="str">
            <v>Middle Income</v>
          </cell>
          <cell r="N103">
            <v>4</v>
          </cell>
          <cell r="O103">
            <v>1</v>
          </cell>
          <cell r="P103" t="str">
            <v>H+L</v>
          </cell>
          <cell r="Q103">
            <v>139</v>
          </cell>
          <cell r="R103">
            <v>113</v>
          </cell>
          <cell r="S103" t="str">
            <v>A</v>
          </cell>
          <cell r="T103" t="str">
            <v>End Unit</v>
          </cell>
          <cell r="U103" t="str">
            <v>PRESTIGE/MODEL UNIT</v>
          </cell>
          <cell r="V103" t="str">
            <v>End Unit - PRESTIGE</v>
          </cell>
          <cell r="W103" t="str">
            <v>End Unit - PRESTIGE</v>
          </cell>
          <cell r="X103">
            <v>12845316</v>
          </cell>
          <cell r="Y103">
            <v>152316</v>
          </cell>
          <cell r="Z103">
            <v>12693000</v>
          </cell>
          <cell r="AA103">
            <v>1359964.2857142857</v>
          </cell>
          <cell r="AB103">
            <v>11333035.714285715</v>
          </cell>
        </row>
        <row r="104">
          <cell r="H104" t="str">
            <v>JPH-00-004-002</v>
          </cell>
          <cell r="I104" t="str">
            <v>PRESTIGE/MODEL UNIT</v>
          </cell>
          <cell r="J104" t="str">
            <v xml:space="preserve">Raemulan Lands, Inc. </v>
          </cell>
          <cell r="K104" t="str">
            <v>Penthouse at Jubilation Enclave North</v>
          </cell>
          <cell r="L104" t="str">
            <v>JPH</v>
          </cell>
          <cell r="M104" t="str">
            <v>Middle Income</v>
          </cell>
          <cell r="N104">
            <v>4</v>
          </cell>
          <cell r="O104">
            <v>2</v>
          </cell>
          <cell r="P104" t="str">
            <v>H+L</v>
          </cell>
          <cell r="Q104">
            <v>90</v>
          </cell>
          <cell r="R104">
            <v>113</v>
          </cell>
          <cell r="S104" t="str">
            <v>C</v>
          </cell>
          <cell r="T104" t="str">
            <v>Inner Unit</v>
          </cell>
          <cell r="U104" t="str">
            <v>PRESTIGE/MODEL UNIT</v>
          </cell>
          <cell r="V104" t="str">
            <v>Inner Unit -PRESTIGE</v>
          </cell>
          <cell r="W104" t="str">
            <v>Inner Unit -PRESTIGE</v>
          </cell>
          <cell r="X104">
            <v>11243320</v>
          </cell>
          <cell r="Y104">
            <v>133320</v>
          </cell>
          <cell r="Z104">
            <v>11110000</v>
          </cell>
          <cell r="AA104">
            <v>1190357.142857143</v>
          </cell>
          <cell r="AB104">
            <v>9919642.8571428563</v>
          </cell>
        </row>
        <row r="105">
          <cell r="H105" t="str">
            <v>JPH-00-004-003</v>
          </cell>
          <cell r="I105" t="str">
            <v>PRESTIGE/MODEL UNIT</v>
          </cell>
          <cell r="J105" t="str">
            <v xml:space="preserve">Raemulan Lands, Inc. </v>
          </cell>
          <cell r="K105" t="str">
            <v>Penthouse at Jubilation Enclave North</v>
          </cell>
          <cell r="L105" t="str">
            <v>JPH</v>
          </cell>
          <cell r="M105" t="str">
            <v>Middle Income</v>
          </cell>
          <cell r="N105">
            <v>4</v>
          </cell>
          <cell r="O105">
            <v>3</v>
          </cell>
          <cell r="P105" t="str">
            <v>H+L</v>
          </cell>
          <cell r="Q105">
            <v>177</v>
          </cell>
          <cell r="R105">
            <v>113</v>
          </cell>
          <cell r="S105" t="str">
            <v>F</v>
          </cell>
          <cell r="T105" t="str">
            <v>End Unit</v>
          </cell>
          <cell r="U105" t="str">
            <v>PRESTIGE/MODEL UNIT</v>
          </cell>
          <cell r="V105" t="str">
            <v>End Unit - PRESTIGE</v>
          </cell>
          <cell r="W105" t="str">
            <v>End Unit - PRESTIGE</v>
          </cell>
          <cell r="X105">
            <v>14195324</v>
          </cell>
          <cell r="Y105">
            <v>168324</v>
          </cell>
          <cell r="Z105">
            <v>14027000</v>
          </cell>
          <cell r="AA105">
            <v>1502892.857142857</v>
          </cell>
          <cell r="AB105">
            <v>12524107.142857144</v>
          </cell>
        </row>
        <row r="106">
          <cell r="H106" t="str">
            <v>JPH-00-005-001</v>
          </cell>
          <cell r="I106" t="str">
            <v>PREMIUM</v>
          </cell>
          <cell r="J106" t="str">
            <v xml:space="preserve">Raemulan Lands, Inc. </v>
          </cell>
          <cell r="K106" t="str">
            <v>Penthouse at Jubilation Enclave North</v>
          </cell>
          <cell r="L106" t="str">
            <v>JPH</v>
          </cell>
          <cell r="M106" t="str">
            <v>Middle Income</v>
          </cell>
          <cell r="N106">
            <v>5</v>
          </cell>
          <cell r="O106">
            <v>1</v>
          </cell>
          <cell r="P106" t="str">
            <v>H+L</v>
          </cell>
          <cell r="Q106">
            <v>142</v>
          </cell>
          <cell r="R106">
            <v>113</v>
          </cell>
          <cell r="S106" t="str">
            <v>A</v>
          </cell>
          <cell r="T106" t="str">
            <v>End Unit</v>
          </cell>
          <cell r="U106" t="str">
            <v>PREMIUM</v>
          </cell>
          <cell r="V106" t="str">
            <v>End Unit - PRIME</v>
          </cell>
          <cell r="W106" t="str">
            <v>End Unit - PREMIUM</v>
          </cell>
          <cell r="X106">
            <v>8869168</v>
          </cell>
          <cell r="Y106">
            <v>105168</v>
          </cell>
          <cell r="Z106">
            <v>8764000</v>
          </cell>
          <cell r="AA106">
            <v>938999.99999999988</v>
          </cell>
          <cell r="AB106">
            <v>7825000</v>
          </cell>
        </row>
        <row r="107">
          <cell r="H107" t="str">
            <v>JPH-00-005-002</v>
          </cell>
          <cell r="I107" t="str">
            <v>PRIME</v>
          </cell>
          <cell r="J107" t="str">
            <v xml:space="preserve">Raemulan Lands, Inc. </v>
          </cell>
          <cell r="K107" t="str">
            <v>Penthouse at Jubilation Enclave North</v>
          </cell>
          <cell r="L107" t="str">
            <v>JPH</v>
          </cell>
          <cell r="M107" t="str">
            <v>Middle Income</v>
          </cell>
          <cell r="N107">
            <v>5</v>
          </cell>
          <cell r="O107">
            <v>2</v>
          </cell>
          <cell r="P107" t="str">
            <v>H+L</v>
          </cell>
          <cell r="Q107">
            <v>76</v>
          </cell>
          <cell r="R107">
            <v>113</v>
          </cell>
          <cell r="S107" t="str">
            <v>B</v>
          </cell>
          <cell r="T107" t="str">
            <v>Inner Unit</v>
          </cell>
          <cell r="U107" t="str">
            <v>PRIME</v>
          </cell>
          <cell r="V107" t="str">
            <v>Inner Unit-PRIME</v>
          </cell>
          <cell r="W107" t="str">
            <v>Inner Unit-PRIME</v>
          </cell>
          <cell r="X107">
            <v>5599626.2300000004</v>
          </cell>
          <cell r="Y107">
            <v>66398.73</v>
          </cell>
          <cell r="Z107">
            <v>5533227.5</v>
          </cell>
          <cell r="AA107">
            <v>592845.80357142852</v>
          </cell>
          <cell r="AB107">
            <v>4940381.6964285718</v>
          </cell>
        </row>
        <row r="108">
          <cell r="H108" t="str">
            <v>JPH-00-005-003</v>
          </cell>
          <cell r="I108" t="str">
            <v>PRIME</v>
          </cell>
          <cell r="J108" t="str">
            <v xml:space="preserve">Raemulan Lands, Inc. </v>
          </cell>
          <cell r="K108" t="str">
            <v>Penthouse at Jubilation Enclave North</v>
          </cell>
          <cell r="L108" t="str">
            <v>JPH</v>
          </cell>
          <cell r="M108" t="str">
            <v>Middle Income</v>
          </cell>
          <cell r="N108">
            <v>5</v>
          </cell>
          <cell r="O108">
            <v>3</v>
          </cell>
          <cell r="P108" t="str">
            <v>H+L</v>
          </cell>
          <cell r="Q108">
            <v>74</v>
          </cell>
          <cell r="R108">
            <v>113</v>
          </cell>
          <cell r="S108" t="str">
            <v>E</v>
          </cell>
          <cell r="T108" t="str">
            <v>Inner Unit</v>
          </cell>
          <cell r="U108" t="str">
            <v>PRIME</v>
          </cell>
          <cell r="V108" t="str">
            <v>Inner Unit-PRIME</v>
          </cell>
          <cell r="W108" t="str">
            <v>Inner Unit-PRIME</v>
          </cell>
          <cell r="X108">
            <v>5108033.8614800004</v>
          </cell>
          <cell r="Y108">
            <v>60569.571479999999</v>
          </cell>
          <cell r="Z108">
            <v>5047464.29</v>
          </cell>
          <cell r="AA108">
            <v>540799.74535714276</v>
          </cell>
          <cell r="AB108">
            <v>4506664.5446428573</v>
          </cell>
        </row>
        <row r="109">
          <cell r="H109" t="str">
            <v>JPH-00-005-004</v>
          </cell>
          <cell r="I109" t="str">
            <v>PREMIUM</v>
          </cell>
          <cell r="J109" t="str">
            <v xml:space="preserve">Raemulan Lands, Inc. </v>
          </cell>
          <cell r="K109" t="str">
            <v>Penthouse at Jubilation Enclave North</v>
          </cell>
          <cell r="L109" t="str">
            <v>JPH</v>
          </cell>
          <cell r="M109" t="str">
            <v>Middle Income</v>
          </cell>
          <cell r="N109">
            <v>5</v>
          </cell>
          <cell r="O109">
            <v>4</v>
          </cell>
          <cell r="P109" t="str">
            <v>H+L</v>
          </cell>
          <cell r="Q109">
            <v>98</v>
          </cell>
          <cell r="R109">
            <v>113</v>
          </cell>
          <cell r="S109" t="str">
            <v>F</v>
          </cell>
          <cell r="T109" t="str">
            <v>Inner Unit</v>
          </cell>
          <cell r="U109" t="str">
            <v>PREMIUM</v>
          </cell>
          <cell r="V109" t="str">
            <v>Inner Unit-PREMIUM</v>
          </cell>
          <cell r="W109" t="str">
            <v>Inner Unit-PREMIUM</v>
          </cell>
          <cell r="X109">
            <v>5137725.2128400002</v>
          </cell>
          <cell r="Y109">
            <v>60921.642840000008</v>
          </cell>
          <cell r="Z109">
            <v>5076803.57</v>
          </cell>
          <cell r="AA109">
            <v>543943.23964285711</v>
          </cell>
          <cell r="AB109">
            <v>4532860.3303571437</v>
          </cell>
        </row>
        <row r="110">
          <cell r="H110" t="str">
            <v>JPH-00-005-005</v>
          </cell>
          <cell r="I110" t="str">
            <v>PREMIUM</v>
          </cell>
          <cell r="J110" t="str">
            <v xml:space="preserve">Raemulan Lands, Inc. </v>
          </cell>
          <cell r="K110" t="str">
            <v>Penthouse at Jubilation Enclave North</v>
          </cell>
          <cell r="L110" t="str">
            <v>JPH</v>
          </cell>
          <cell r="M110" t="str">
            <v>Middle Income</v>
          </cell>
          <cell r="N110">
            <v>5</v>
          </cell>
          <cell r="O110">
            <v>5</v>
          </cell>
          <cell r="P110" t="str">
            <v>H+L</v>
          </cell>
          <cell r="Q110">
            <v>102</v>
          </cell>
          <cell r="R110">
            <v>113</v>
          </cell>
          <cell r="S110" t="str">
            <v>A</v>
          </cell>
          <cell r="T110" t="str">
            <v>End Unit</v>
          </cell>
          <cell r="U110" t="str">
            <v>PREMIUM</v>
          </cell>
          <cell r="V110" t="str">
            <v>End Unit - PRIME</v>
          </cell>
          <cell r="W110" t="str">
            <v>End Unit - PRIME</v>
          </cell>
          <cell r="X110">
            <v>7902708</v>
          </cell>
          <cell r="Y110">
            <v>93708</v>
          </cell>
          <cell r="Z110">
            <v>7809000</v>
          </cell>
          <cell r="AA110">
            <v>836678.57142857136</v>
          </cell>
          <cell r="AB110">
            <v>6972321.4285714291</v>
          </cell>
        </row>
        <row r="111">
          <cell r="H111" t="str">
            <v>JPH-00-005-006</v>
          </cell>
          <cell r="I111" t="str">
            <v>PRIME</v>
          </cell>
          <cell r="J111" t="str">
            <v xml:space="preserve">Raemulan Lands, Inc. </v>
          </cell>
          <cell r="K111" t="str">
            <v>Penthouse at Jubilation Enclave North</v>
          </cell>
          <cell r="L111" t="str">
            <v>JPH</v>
          </cell>
          <cell r="M111" t="str">
            <v>Middle Income</v>
          </cell>
          <cell r="N111">
            <v>5</v>
          </cell>
          <cell r="O111">
            <v>6</v>
          </cell>
          <cell r="P111" t="str">
            <v>H+L</v>
          </cell>
          <cell r="Q111">
            <v>76</v>
          </cell>
          <cell r="R111">
            <v>113</v>
          </cell>
          <cell r="S111" t="str">
            <v>B</v>
          </cell>
          <cell r="T111" t="str">
            <v>Inner Unit</v>
          </cell>
          <cell r="U111" t="str">
            <v>PRIME</v>
          </cell>
          <cell r="V111" t="str">
            <v>Inner Unit-PRIME</v>
          </cell>
          <cell r="W111" t="str">
            <v>Inner Unit-PRIME</v>
          </cell>
          <cell r="X111">
            <v>5262400</v>
          </cell>
          <cell r="Y111">
            <v>62400</v>
          </cell>
          <cell r="Z111">
            <v>5200000</v>
          </cell>
          <cell r="AA111">
            <v>557142.85714285716</v>
          </cell>
          <cell r="AB111">
            <v>4642857.1428571427</v>
          </cell>
        </row>
        <row r="112">
          <cell r="H112" t="str">
            <v>JPH-00-005-007</v>
          </cell>
          <cell r="I112" t="str">
            <v>PRIME</v>
          </cell>
          <cell r="J112" t="str">
            <v xml:space="preserve">Raemulan Lands, Inc. </v>
          </cell>
          <cell r="K112" t="str">
            <v>Penthouse at Jubilation Enclave North</v>
          </cell>
          <cell r="L112" t="str">
            <v>JPH</v>
          </cell>
          <cell r="M112" t="str">
            <v>Middle Income</v>
          </cell>
          <cell r="N112">
            <v>5</v>
          </cell>
          <cell r="O112">
            <v>7</v>
          </cell>
          <cell r="P112" t="str">
            <v>H+L</v>
          </cell>
          <cell r="Q112">
            <v>78</v>
          </cell>
          <cell r="R112">
            <v>113</v>
          </cell>
          <cell r="S112" t="str">
            <v>E</v>
          </cell>
          <cell r="T112" t="str">
            <v>Inner Unit</v>
          </cell>
          <cell r="U112" t="str">
            <v>PRIME</v>
          </cell>
          <cell r="V112" t="str">
            <v>Inner Unit-PRIME</v>
          </cell>
          <cell r="W112" t="str">
            <v>Inner Unit-PRIME</v>
          </cell>
          <cell r="X112">
            <v>5262400</v>
          </cell>
          <cell r="Y112">
            <v>62400</v>
          </cell>
          <cell r="Z112">
            <v>5200000</v>
          </cell>
          <cell r="AA112">
            <v>557142.85714285716</v>
          </cell>
          <cell r="AB112">
            <v>4642857.1428571427</v>
          </cell>
        </row>
        <row r="113">
          <cell r="H113" t="str">
            <v>JPH-00-005-008</v>
          </cell>
          <cell r="I113" t="str">
            <v>PRIME</v>
          </cell>
          <cell r="J113" t="str">
            <v xml:space="preserve">Raemulan Lands, Inc. </v>
          </cell>
          <cell r="K113" t="str">
            <v>Penthouse at Jubilation Enclave North</v>
          </cell>
          <cell r="L113" t="str">
            <v>JPH</v>
          </cell>
          <cell r="M113" t="str">
            <v>Middle Income</v>
          </cell>
          <cell r="N113">
            <v>5</v>
          </cell>
          <cell r="O113">
            <v>8</v>
          </cell>
          <cell r="P113" t="str">
            <v>H+L</v>
          </cell>
          <cell r="Q113">
            <v>97</v>
          </cell>
          <cell r="R113">
            <v>113</v>
          </cell>
          <cell r="S113" t="str">
            <v>F</v>
          </cell>
          <cell r="T113" t="str">
            <v>End Unit</v>
          </cell>
          <cell r="U113" t="str">
            <v>PRIME</v>
          </cell>
          <cell r="V113" t="str">
            <v>End Unit - PRIME</v>
          </cell>
          <cell r="W113" t="str">
            <v>End Unit - PRIME</v>
          </cell>
          <cell r="X113">
            <v>5727899.7599999998</v>
          </cell>
          <cell r="Y113">
            <v>67919.759999999995</v>
          </cell>
          <cell r="Z113">
            <v>5659980</v>
          </cell>
          <cell r="AA113">
            <v>606426.42857142852</v>
          </cell>
          <cell r="AB113">
            <v>5053553.5714285718</v>
          </cell>
        </row>
        <row r="114">
          <cell r="H114" t="str">
            <v>JPH-00-006-001</v>
          </cell>
          <cell r="I114" t="str">
            <v>PREMIUM</v>
          </cell>
          <cell r="J114" t="str">
            <v xml:space="preserve">Raemulan Lands, Inc. </v>
          </cell>
          <cell r="K114" t="str">
            <v>Penthouse at Jubilation Enclave North</v>
          </cell>
          <cell r="L114" t="str">
            <v>JPH</v>
          </cell>
          <cell r="M114" t="str">
            <v>Middle Income</v>
          </cell>
          <cell r="N114">
            <v>6</v>
          </cell>
          <cell r="O114">
            <v>1</v>
          </cell>
          <cell r="P114" t="str">
            <v>H+L</v>
          </cell>
          <cell r="Q114">
            <v>104</v>
          </cell>
          <cell r="R114">
            <v>113</v>
          </cell>
          <cell r="S114" t="str">
            <v>A</v>
          </cell>
          <cell r="T114" t="str">
            <v>End Unit</v>
          </cell>
          <cell r="U114" t="str">
            <v>PREMIUM</v>
          </cell>
          <cell r="V114" t="str">
            <v>End Unit - PREMIUM</v>
          </cell>
          <cell r="W114" t="str">
            <v>End Unit - PREMIUM</v>
          </cell>
          <cell r="X114">
            <v>6780400</v>
          </cell>
          <cell r="Y114">
            <v>80400</v>
          </cell>
          <cell r="Z114">
            <v>6700000</v>
          </cell>
          <cell r="AA114">
            <v>717857.14285714272</v>
          </cell>
          <cell r="AB114">
            <v>5982142.8571428573</v>
          </cell>
        </row>
        <row r="115">
          <cell r="H115" t="str">
            <v>JPH-00-006-002</v>
          </cell>
          <cell r="I115" t="str">
            <v>PREMIUM</v>
          </cell>
          <cell r="J115" t="str">
            <v xml:space="preserve">Raemulan Lands, Inc. </v>
          </cell>
          <cell r="K115" t="str">
            <v>Penthouse at Jubilation Enclave North</v>
          </cell>
          <cell r="L115" t="str">
            <v>JPH</v>
          </cell>
          <cell r="M115" t="str">
            <v>Middle Income</v>
          </cell>
          <cell r="N115">
            <v>6</v>
          </cell>
          <cell r="O115">
            <v>2</v>
          </cell>
          <cell r="P115" t="str">
            <v>H+L</v>
          </cell>
          <cell r="Q115">
            <v>79</v>
          </cell>
          <cell r="R115">
            <v>113</v>
          </cell>
          <cell r="S115" t="str">
            <v>B</v>
          </cell>
          <cell r="T115" t="str">
            <v>Inner Unit</v>
          </cell>
          <cell r="U115" t="str">
            <v>PREMIUM</v>
          </cell>
          <cell r="V115" t="str">
            <v>Inner Unit-PREMIUM</v>
          </cell>
          <cell r="W115" t="str">
            <v>Inner Unit-PREMIUM</v>
          </cell>
          <cell r="X115">
            <v>5325397</v>
          </cell>
          <cell r="Y115">
            <v>63147</v>
          </cell>
          <cell r="Z115">
            <v>5262250</v>
          </cell>
          <cell r="AA115">
            <v>563812.5</v>
          </cell>
          <cell r="AB115">
            <v>4698437.5</v>
          </cell>
        </row>
        <row r="116">
          <cell r="H116" t="str">
            <v>JPH-00-006-003</v>
          </cell>
          <cell r="I116" t="str">
            <v>PRIME</v>
          </cell>
          <cell r="J116" t="str">
            <v xml:space="preserve">Raemulan Lands, Inc. </v>
          </cell>
          <cell r="K116" t="str">
            <v>Penthouse at Jubilation Enclave North</v>
          </cell>
          <cell r="L116" t="str">
            <v>JPH</v>
          </cell>
          <cell r="M116" t="str">
            <v>Middle Income</v>
          </cell>
          <cell r="N116">
            <v>6</v>
          </cell>
          <cell r="O116">
            <v>3</v>
          </cell>
          <cell r="P116" t="str">
            <v>H+L</v>
          </cell>
          <cell r="Q116">
            <v>81</v>
          </cell>
          <cell r="R116">
            <v>113</v>
          </cell>
          <cell r="S116" t="str">
            <v>E</v>
          </cell>
          <cell r="T116" t="str">
            <v>Inner Unit</v>
          </cell>
          <cell r="U116" t="str">
            <v>PRIME</v>
          </cell>
          <cell r="V116" t="str">
            <v>Inner Unit-PRIME</v>
          </cell>
          <cell r="W116" t="str">
            <v>Inner Unit-PRIME</v>
          </cell>
          <cell r="X116">
            <v>5262400</v>
          </cell>
          <cell r="Y116">
            <v>62400</v>
          </cell>
          <cell r="Z116">
            <v>5200000</v>
          </cell>
          <cell r="AA116">
            <v>557142.85714285716</v>
          </cell>
          <cell r="AB116">
            <v>4642857.1428571427</v>
          </cell>
        </row>
        <row r="117">
          <cell r="H117" t="str">
            <v>JPH-00-006-004</v>
          </cell>
          <cell r="I117" t="str">
            <v>PREMIUM</v>
          </cell>
          <cell r="J117" t="str">
            <v xml:space="preserve">Raemulan Lands, Inc. </v>
          </cell>
          <cell r="K117" t="str">
            <v>Penthouse at Jubilation Enclave North</v>
          </cell>
          <cell r="L117" t="str">
            <v>JPH</v>
          </cell>
          <cell r="M117" t="str">
            <v>Middle Income</v>
          </cell>
          <cell r="N117">
            <v>6</v>
          </cell>
          <cell r="O117">
            <v>4</v>
          </cell>
          <cell r="P117" t="str">
            <v>H+L</v>
          </cell>
          <cell r="Q117">
            <v>119</v>
          </cell>
          <cell r="R117">
            <v>113</v>
          </cell>
          <cell r="S117" t="str">
            <v>F</v>
          </cell>
          <cell r="T117" t="str">
            <v>End Unit</v>
          </cell>
          <cell r="U117" t="str">
            <v>PREMIUM</v>
          </cell>
          <cell r="V117" t="str">
            <v>End Unit - PREMIUM</v>
          </cell>
          <cell r="W117" t="str">
            <v>End Unit - PREMIUM</v>
          </cell>
          <cell r="X117">
            <v>7069832</v>
          </cell>
          <cell r="Y117">
            <v>83832</v>
          </cell>
          <cell r="Z117">
            <v>6986000</v>
          </cell>
          <cell r="AA117">
            <v>748499.99999999988</v>
          </cell>
          <cell r="AB117">
            <v>6237500</v>
          </cell>
        </row>
        <row r="118">
          <cell r="H118" t="str">
            <v>JPH-00-006-005</v>
          </cell>
          <cell r="I118" t="str">
            <v>PREMIUM</v>
          </cell>
          <cell r="J118" t="str">
            <v xml:space="preserve">Raemulan Lands, Inc. </v>
          </cell>
          <cell r="K118" t="str">
            <v>Penthouse at Jubilation Enclave North</v>
          </cell>
          <cell r="L118" t="str">
            <v>JPH</v>
          </cell>
          <cell r="M118" t="str">
            <v>Middle Income</v>
          </cell>
          <cell r="N118">
            <v>6</v>
          </cell>
          <cell r="O118">
            <v>5</v>
          </cell>
          <cell r="P118" t="str">
            <v>H+L</v>
          </cell>
          <cell r="Q118">
            <v>109</v>
          </cell>
          <cell r="R118">
            <v>113</v>
          </cell>
          <cell r="S118" t="str">
            <v>A</v>
          </cell>
          <cell r="T118" t="str">
            <v>End Unit</v>
          </cell>
          <cell r="U118" t="str">
            <v>PREMIUM</v>
          </cell>
          <cell r="V118" t="str">
            <v>End Unit - PREMIUM</v>
          </cell>
          <cell r="W118" t="str">
            <v>End Unit - PREMIUM</v>
          </cell>
          <cell r="X118">
            <v>8024148</v>
          </cell>
          <cell r="Y118">
            <v>95148</v>
          </cell>
          <cell r="Z118">
            <v>7929000</v>
          </cell>
          <cell r="AA118">
            <v>849535.7142857142</v>
          </cell>
          <cell r="AB118">
            <v>7079464.2857142854</v>
          </cell>
        </row>
        <row r="119">
          <cell r="H119" t="str">
            <v>JPH-00-006-006</v>
          </cell>
          <cell r="I119" t="str">
            <v>PREMIUM</v>
          </cell>
          <cell r="J119" t="str">
            <v xml:space="preserve">Raemulan Lands, Inc. </v>
          </cell>
          <cell r="K119" t="str">
            <v>Penthouse at Jubilation Enclave North</v>
          </cell>
          <cell r="L119" t="str">
            <v>JPH</v>
          </cell>
          <cell r="M119" t="str">
            <v>Middle Income</v>
          </cell>
          <cell r="N119">
            <v>6</v>
          </cell>
          <cell r="O119">
            <v>6</v>
          </cell>
          <cell r="P119" t="str">
            <v>H+L</v>
          </cell>
          <cell r="Q119">
            <v>76</v>
          </cell>
          <cell r="R119">
            <v>113</v>
          </cell>
          <cell r="S119" t="str">
            <v>B</v>
          </cell>
          <cell r="T119" t="str">
            <v>Inner Unit</v>
          </cell>
          <cell r="U119" t="str">
            <v>PREMIUM</v>
          </cell>
          <cell r="V119" t="str">
            <v>Inner Unit-PREMIUM</v>
          </cell>
          <cell r="W119" t="str">
            <v>Inner Unit-PREMIUM</v>
          </cell>
          <cell r="X119">
            <v>7218596</v>
          </cell>
          <cell r="Y119">
            <v>85596</v>
          </cell>
          <cell r="Z119">
            <v>7133000</v>
          </cell>
          <cell r="AA119">
            <v>764249.99999999988</v>
          </cell>
          <cell r="AB119">
            <v>6368750</v>
          </cell>
        </row>
        <row r="120">
          <cell r="H120" t="str">
            <v>JPH-00-006-007</v>
          </cell>
          <cell r="I120" t="str">
            <v>PREMIUM</v>
          </cell>
          <cell r="J120" t="str">
            <v xml:space="preserve">Raemulan Lands, Inc. </v>
          </cell>
          <cell r="K120" t="str">
            <v>Penthouse at Jubilation Enclave North</v>
          </cell>
          <cell r="L120" t="str">
            <v>JPH</v>
          </cell>
          <cell r="M120" t="str">
            <v>Middle Income</v>
          </cell>
          <cell r="N120">
            <v>6</v>
          </cell>
          <cell r="O120">
            <v>7</v>
          </cell>
          <cell r="P120" t="str">
            <v>H+L</v>
          </cell>
          <cell r="Q120">
            <v>77</v>
          </cell>
          <cell r="R120">
            <v>113</v>
          </cell>
          <cell r="S120" t="str">
            <v>E</v>
          </cell>
          <cell r="T120" t="str">
            <v>Inner Unit</v>
          </cell>
          <cell r="U120" t="str">
            <v>PREMIUM</v>
          </cell>
          <cell r="V120" t="str">
            <v>Inner Unit-PREMIUM</v>
          </cell>
          <cell r="W120" t="str">
            <v>Inner Unit-PREMIUM</v>
          </cell>
          <cell r="X120">
            <v>6270352</v>
          </cell>
          <cell r="Y120">
            <v>74352</v>
          </cell>
          <cell r="Z120">
            <v>6196000</v>
          </cell>
          <cell r="AA120">
            <v>663857.14285714272</v>
          </cell>
          <cell r="AB120">
            <v>5532142.8571428573</v>
          </cell>
        </row>
        <row r="121">
          <cell r="H121" t="str">
            <v>JPH-00-006-008</v>
          </cell>
          <cell r="I121" t="str">
            <v>PRIME</v>
          </cell>
          <cell r="J121" t="str">
            <v xml:space="preserve">Raemulan Lands, Inc. </v>
          </cell>
          <cell r="K121" t="str">
            <v>Penthouse at Jubilation Enclave North</v>
          </cell>
          <cell r="L121" t="str">
            <v>JPH</v>
          </cell>
          <cell r="M121" t="str">
            <v>Middle Income</v>
          </cell>
          <cell r="N121">
            <v>6</v>
          </cell>
          <cell r="O121">
            <v>8</v>
          </cell>
          <cell r="P121" t="str">
            <v>H+L</v>
          </cell>
          <cell r="Q121">
            <v>114</v>
          </cell>
          <cell r="R121">
            <v>113</v>
          </cell>
          <cell r="S121" t="str">
            <v>F</v>
          </cell>
          <cell r="T121" t="str">
            <v>End Unit</v>
          </cell>
          <cell r="U121" t="str">
            <v>PRIME</v>
          </cell>
          <cell r="V121" t="str">
            <v>End Unit - PRIME</v>
          </cell>
          <cell r="W121" t="str">
            <v>End Unit - PRIME</v>
          </cell>
          <cell r="X121">
            <v>8288280</v>
          </cell>
          <cell r="Y121">
            <v>98280</v>
          </cell>
          <cell r="Z121">
            <v>8190000</v>
          </cell>
          <cell r="AA121">
            <v>877499.99999999988</v>
          </cell>
          <cell r="AB121">
            <v>7312500</v>
          </cell>
        </row>
        <row r="122">
          <cell r="H122" t="str">
            <v>JPH-00-007-001</v>
          </cell>
          <cell r="I122" t="str">
            <v>PREMIUM</v>
          </cell>
          <cell r="J122" t="str">
            <v xml:space="preserve">Raemulan Lands, Inc. </v>
          </cell>
          <cell r="K122" t="str">
            <v>Penthouse at Jubilation Enclave North</v>
          </cell>
          <cell r="L122" t="str">
            <v>JPH</v>
          </cell>
          <cell r="M122" t="str">
            <v>Middle Income</v>
          </cell>
          <cell r="N122">
            <v>7</v>
          </cell>
          <cell r="O122">
            <v>1</v>
          </cell>
          <cell r="P122" t="str">
            <v>H+L</v>
          </cell>
          <cell r="Q122">
            <v>89</v>
          </cell>
          <cell r="R122">
            <v>113</v>
          </cell>
          <cell r="S122" t="str">
            <v>A</v>
          </cell>
          <cell r="T122" t="str">
            <v>End Unit</v>
          </cell>
          <cell r="U122" t="str">
            <v>PREMIUM</v>
          </cell>
          <cell r="V122" t="str">
            <v>End Unit - PRIME</v>
          </cell>
          <cell r="W122" t="str">
            <v>End Unit - PRIME</v>
          </cell>
          <cell r="X122">
            <v>5566000</v>
          </cell>
          <cell r="Y122">
            <v>66000</v>
          </cell>
          <cell r="Z122">
            <v>5500000</v>
          </cell>
          <cell r="AA122">
            <v>589285.7142857142</v>
          </cell>
          <cell r="AB122">
            <v>4910714.2857142854</v>
          </cell>
        </row>
        <row r="123">
          <cell r="H123" t="str">
            <v>JPH-00-007-002</v>
          </cell>
          <cell r="I123" t="str">
            <v>PRIME</v>
          </cell>
          <cell r="J123" t="str">
            <v xml:space="preserve">Raemulan Lands, Inc. </v>
          </cell>
          <cell r="K123" t="str">
            <v>Penthouse at Jubilation Enclave North</v>
          </cell>
          <cell r="L123" t="str">
            <v>JPH</v>
          </cell>
          <cell r="M123" t="str">
            <v>Middle Income</v>
          </cell>
          <cell r="N123">
            <v>7</v>
          </cell>
          <cell r="O123">
            <v>2</v>
          </cell>
          <cell r="P123" t="str">
            <v>H+L</v>
          </cell>
          <cell r="Q123">
            <v>60</v>
          </cell>
          <cell r="R123">
            <v>113</v>
          </cell>
          <cell r="S123" t="str">
            <v>B</v>
          </cell>
          <cell r="T123" t="str">
            <v>Inner Unit</v>
          </cell>
          <cell r="U123" t="str">
            <v>PRIME</v>
          </cell>
          <cell r="V123" t="str">
            <v>Inner Unit-PRIME</v>
          </cell>
          <cell r="W123" t="str">
            <v>Inner Unit-PRIME</v>
          </cell>
          <cell r="X123">
            <v>5262400</v>
          </cell>
          <cell r="Y123">
            <v>62400</v>
          </cell>
          <cell r="Z123">
            <v>5200000</v>
          </cell>
          <cell r="AA123">
            <v>557142.85714285716</v>
          </cell>
          <cell r="AB123">
            <v>4642857.1428571427</v>
          </cell>
        </row>
        <row r="124">
          <cell r="H124" t="str">
            <v>JPH-00-007-003</v>
          </cell>
          <cell r="I124" t="str">
            <v>PRIME</v>
          </cell>
          <cell r="J124" t="str">
            <v xml:space="preserve">Raemulan Lands, Inc. </v>
          </cell>
          <cell r="K124" t="str">
            <v>Penthouse at Jubilation Enclave North</v>
          </cell>
          <cell r="L124" t="str">
            <v>JPH</v>
          </cell>
          <cell r="M124" t="str">
            <v>Middle Income</v>
          </cell>
          <cell r="N124">
            <v>7</v>
          </cell>
          <cell r="O124">
            <v>3</v>
          </cell>
          <cell r="P124" t="str">
            <v>H+L</v>
          </cell>
          <cell r="Q124">
            <v>60</v>
          </cell>
          <cell r="R124">
            <v>113</v>
          </cell>
          <cell r="S124" t="str">
            <v>C</v>
          </cell>
          <cell r="T124" t="str">
            <v>Inner Unit</v>
          </cell>
          <cell r="U124" t="str">
            <v>PRIME</v>
          </cell>
          <cell r="V124" t="str">
            <v>Inner Unit-PRIME</v>
          </cell>
          <cell r="W124" t="str">
            <v>Inner Unit-PRIME</v>
          </cell>
          <cell r="X124">
            <v>5262400</v>
          </cell>
          <cell r="Y124">
            <v>62400</v>
          </cell>
          <cell r="Z124">
            <v>5200000</v>
          </cell>
          <cell r="AA124">
            <v>557142.85714285716</v>
          </cell>
          <cell r="AB124">
            <v>4642857.1428571427</v>
          </cell>
        </row>
        <row r="125">
          <cell r="H125" t="str">
            <v>JPH-00-007-004</v>
          </cell>
          <cell r="I125" t="str">
            <v>PRIME</v>
          </cell>
          <cell r="J125" t="str">
            <v xml:space="preserve">Raemulan Lands, Inc. </v>
          </cell>
          <cell r="K125" t="str">
            <v>Penthouse at Jubilation Enclave North</v>
          </cell>
          <cell r="L125" t="str">
            <v>JPH</v>
          </cell>
          <cell r="M125" t="str">
            <v>Middle Income</v>
          </cell>
          <cell r="N125">
            <v>7</v>
          </cell>
          <cell r="O125">
            <v>4</v>
          </cell>
          <cell r="P125" t="str">
            <v>H+L</v>
          </cell>
          <cell r="Q125">
            <v>60</v>
          </cell>
          <cell r="R125">
            <v>113</v>
          </cell>
          <cell r="S125" t="str">
            <v>D</v>
          </cell>
          <cell r="T125" t="str">
            <v>Inner Unit</v>
          </cell>
          <cell r="U125" t="str">
            <v>PRIME</v>
          </cell>
          <cell r="V125" t="str">
            <v>Inner Unit-PRIME</v>
          </cell>
          <cell r="W125" t="str">
            <v>Inner Unit-PRIME</v>
          </cell>
          <cell r="X125">
            <v>5060000</v>
          </cell>
          <cell r="Y125">
            <v>60000</v>
          </cell>
          <cell r="Z125">
            <v>5000000</v>
          </cell>
          <cell r="AA125">
            <v>535714.28571428556</v>
          </cell>
          <cell r="AB125">
            <v>4464285.7142857146</v>
          </cell>
        </row>
        <row r="126">
          <cell r="H126" t="str">
            <v>JPH-00-007-005</v>
          </cell>
          <cell r="I126" t="str">
            <v>PRIME</v>
          </cell>
          <cell r="J126" t="str">
            <v xml:space="preserve">Raemulan Lands, Inc. </v>
          </cell>
          <cell r="K126" t="str">
            <v>Penthouse at Jubilation Enclave North</v>
          </cell>
          <cell r="L126" t="str">
            <v>JPH</v>
          </cell>
          <cell r="M126" t="str">
            <v>Middle Income</v>
          </cell>
          <cell r="N126">
            <v>7</v>
          </cell>
          <cell r="O126">
            <v>5</v>
          </cell>
          <cell r="P126" t="str">
            <v>H+L</v>
          </cell>
          <cell r="Q126">
            <v>60</v>
          </cell>
          <cell r="R126">
            <v>113</v>
          </cell>
          <cell r="S126" t="str">
            <v>E</v>
          </cell>
          <cell r="T126" t="str">
            <v>Inner Unit</v>
          </cell>
          <cell r="U126" t="str">
            <v>PRIME</v>
          </cell>
          <cell r="V126" t="str">
            <v>Inner Unit-PRIME</v>
          </cell>
          <cell r="W126" t="str">
            <v>Inner Unit-PRIME</v>
          </cell>
          <cell r="X126">
            <v>5060000</v>
          </cell>
          <cell r="Y126">
            <v>60000</v>
          </cell>
          <cell r="Z126">
            <v>5000000</v>
          </cell>
          <cell r="AA126">
            <v>535714.28571428556</v>
          </cell>
          <cell r="AB126">
            <v>4464285.7142857146</v>
          </cell>
        </row>
        <row r="127">
          <cell r="H127" t="str">
            <v>JPH-00-007-006</v>
          </cell>
          <cell r="I127" t="str">
            <v>PRIME</v>
          </cell>
          <cell r="J127" t="str">
            <v xml:space="preserve">Raemulan Lands, Inc. </v>
          </cell>
          <cell r="K127" t="str">
            <v>Penthouse at Jubilation Enclave North</v>
          </cell>
          <cell r="L127" t="str">
            <v>JPH</v>
          </cell>
          <cell r="M127" t="str">
            <v>Middle Income</v>
          </cell>
          <cell r="N127">
            <v>7</v>
          </cell>
          <cell r="O127">
            <v>6</v>
          </cell>
          <cell r="P127" t="str">
            <v>H+L</v>
          </cell>
          <cell r="Q127">
            <v>80</v>
          </cell>
          <cell r="R127">
            <v>113</v>
          </cell>
          <cell r="S127" t="str">
            <v>F</v>
          </cell>
          <cell r="T127" t="str">
            <v>End Unit</v>
          </cell>
          <cell r="U127" t="str">
            <v>PRIME</v>
          </cell>
          <cell r="V127" t="str">
            <v>End Unit - PRIME</v>
          </cell>
          <cell r="W127" t="str">
            <v>End Unit - PRIME</v>
          </cell>
          <cell r="X127">
            <v>5778520</v>
          </cell>
          <cell r="Y127">
            <v>68520</v>
          </cell>
          <cell r="Z127">
            <v>5710000</v>
          </cell>
          <cell r="AA127">
            <v>611785.7142857142</v>
          </cell>
          <cell r="AB127">
            <v>5098214.2857142854</v>
          </cell>
        </row>
        <row r="128">
          <cell r="H128" t="str">
            <v>JPH-00-007-007</v>
          </cell>
          <cell r="I128" t="str">
            <v>PRIME</v>
          </cell>
          <cell r="J128" t="str">
            <v xml:space="preserve">Raemulan Lands, Inc. </v>
          </cell>
          <cell r="K128" t="str">
            <v>Penthouse at Jubilation Enclave North</v>
          </cell>
          <cell r="L128" t="str">
            <v>JPH</v>
          </cell>
          <cell r="M128" t="str">
            <v>Middle Income</v>
          </cell>
          <cell r="N128">
            <v>7</v>
          </cell>
          <cell r="O128">
            <v>7</v>
          </cell>
          <cell r="P128" t="str">
            <v>H+L</v>
          </cell>
          <cell r="Q128">
            <v>80</v>
          </cell>
          <cell r="R128">
            <v>113</v>
          </cell>
          <cell r="S128" t="str">
            <v>A</v>
          </cell>
          <cell r="T128" t="str">
            <v>End Unit</v>
          </cell>
          <cell r="U128" t="str">
            <v>PRIME</v>
          </cell>
          <cell r="V128" t="str">
            <v>End Unit - PRIME</v>
          </cell>
          <cell r="W128" t="str">
            <v>End Unit - PRIME</v>
          </cell>
          <cell r="X128">
            <v>6900828</v>
          </cell>
          <cell r="Y128">
            <v>81828</v>
          </cell>
          <cell r="Z128">
            <v>6819000</v>
          </cell>
          <cell r="AA128">
            <v>730607.14285714272</v>
          </cell>
          <cell r="AB128">
            <v>6088392.8571428573</v>
          </cell>
        </row>
        <row r="129">
          <cell r="H129" t="str">
            <v>JPH-00-007-008</v>
          </cell>
          <cell r="I129" t="str">
            <v>PRIME</v>
          </cell>
          <cell r="J129" t="str">
            <v xml:space="preserve">Raemulan Lands, Inc. </v>
          </cell>
          <cell r="K129" t="str">
            <v>Penthouse at Jubilation Enclave North</v>
          </cell>
          <cell r="L129" t="str">
            <v>JPH</v>
          </cell>
          <cell r="M129" t="str">
            <v>Middle Income</v>
          </cell>
          <cell r="N129">
            <v>7</v>
          </cell>
          <cell r="O129">
            <v>8</v>
          </cell>
          <cell r="P129" t="str">
            <v>H+L</v>
          </cell>
          <cell r="Q129">
            <v>60</v>
          </cell>
          <cell r="R129">
            <v>113</v>
          </cell>
          <cell r="S129" t="str">
            <v>B</v>
          </cell>
          <cell r="T129" t="str">
            <v>Inner Unit</v>
          </cell>
          <cell r="U129" t="str">
            <v>PRIME</v>
          </cell>
          <cell r="V129" t="str">
            <v>Inner Unit-PRIME</v>
          </cell>
          <cell r="W129" t="str">
            <v>Inner Unit-PRIME</v>
          </cell>
          <cell r="X129">
            <v>5262400</v>
          </cell>
          <cell r="Y129">
            <v>62400</v>
          </cell>
          <cell r="Z129">
            <v>5200000</v>
          </cell>
          <cell r="AA129">
            <v>557142.85714285716</v>
          </cell>
          <cell r="AB129">
            <v>4642857.1428571427</v>
          </cell>
        </row>
        <row r="130">
          <cell r="H130" t="str">
            <v>JPH-00-007-009</v>
          </cell>
          <cell r="I130" t="str">
            <v>PRIME</v>
          </cell>
          <cell r="J130" t="str">
            <v xml:space="preserve">Raemulan Lands, Inc. </v>
          </cell>
          <cell r="K130" t="str">
            <v>Penthouse at Jubilation Enclave North</v>
          </cell>
          <cell r="L130" t="str">
            <v>JPH</v>
          </cell>
          <cell r="M130" t="str">
            <v>Middle Income</v>
          </cell>
          <cell r="N130">
            <v>7</v>
          </cell>
          <cell r="O130">
            <v>9</v>
          </cell>
          <cell r="P130" t="str">
            <v>H+L</v>
          </cell>
          <cell r="Q130">
            <v>60</v>
          </cell>
          <cell r="R130">
            <v>113</v>
          </cell>
          <cell r="S130" t="str">
            <v>C</v>
          </cell>
          <cell r="T130" t="str">
            <v>Inner Unit</v>
          </cell>
          <cell r="U130" t="str">
            <v>PRIME</v>
          </cell>
          <cell r="V130" t="str">
            <v>Inner Unit-PRIME</v>
          </cell>
          <cell r="W130" t="str">
            <v>Inner Unit-PRIME</v>
          </cell>
          <cell r="X130">
            <v>5792688</v>
          </cell>
          <cell r="Y130">
            <v>68688</v>
          </cell>
          <cell r="Z130">
            <v>5724000</v>
          </cell>
          <cell r="AA130">
            <v>613285.7142857142</v>
          </cell>
          <cell r="AB130">
            <v>5110714.2857142854</v>
          </cell>
        </row>
        <row r="131">
          <cell r="H131" t="str">
            <v>JPH-00-007-010</v>
          </cell>
          <cell r="I131" t="str">
            <v>PREMIUM</v>
          </cell>
          <cell r="J131" t="str">
            <v xml:space="preserve">Raemulan Lands, Inc. </v>
          </cell>
          <cell r="K131" t="str">
            <v>Penthouse at Jubilation Enclave North</v>
          </cell>
          <cell r="L131" t="str">
            <v>JPH</v>
          </cell>
          <cell r="M131" t="str">
            <v>Middle Income</v>
          </cell>
          <cell r="N131">
            <v>7</v>
          </cell>
          <cell r="O131">
            <v>10</v>
          </cell>
          <cell r="P131" t="str">
            <v>H+L</v>
          </cell>
          <cell r="Q131">
            <v>60</v>
          </cell>
          <cell r="R131">
            <v>113</v>
          </cell>
          <cell r="S131" t="str">
            <v>E</v>
          </cell>
          <cell r="T131" t="str">
            <v>Inner Unit</v>
          </cell>
          <cell r="U131" t="str">
            <v>PREMIUM</v>
          </cell>
          <cell r="V131" t="str">
            <v>Inner Unit-PREMIUM</v>
          </cell>
          <cell r="W131" t="str">
            <v>Inner Unit-PREMIUM</v>
          </cell>
          <cell r="X131">
            <v>6476800</v>
          </cell>
          <cell r="Y131">
            <v>76800</v>
          </cell>
          <cell r="Z131">
            <v>6400000</v>
          </cell>
          <cell r="AA131">
            <v>685714.28571428556</v>
          </cell>
          <cell r="AB131">
            <v>5714285.7142857146</v>
          </cell>
        </row>
        <row r="132">
          <cell r="H132" t="str">
            <v>JPH-00-007-011</v>
          </cell>
          <cell r="I132" t="str">
            <v>PREMIUM</v>
          </cell>
          <cell r="J132" t="str">
            <v xml:space="preserve">Raemulan Lands, Inc. </v>
          </cell>
          <cell r="K132" t="str">
            <v>Penthouse at Jubilation Enclave North</v>
          </cell>
          <cell r="L132" t="str">
            <v>JPH</v>
          </cell>
          <cell r="M132" t="str">
            <v>Middle Income</v>
          </cell>
          <cell r="N132">
            <v>7</v>
          </cell>
          <cell r="O132">
            <v>11</v>
          </cell>
          <cell r="P132" t="str">
            <v>H+L</v>
          </cell>
          <cell r="Q132">
            <v>90</v>
          </cell>
          <cell r="R132">
            <v>113</v>
          </cell>
          <cell r="S132" t="str">
            <v>F</v>
          </cell>
          <cell r="T132" t="str">
            <v>End Unit</v>
          </cell>
          <cell r="U132" t="str">
            <v>PREMIUM</v>
          </cell>
          <cell r="V132" t="str">
            <v>End Unit - PRIME</v>
          </cell>
          <cell r="W132" t="str">
            <v>End Unit - PRIME</v>
          </cell>
          <cell r="X132">
            <v>7420996</v>
          </cell>
          <cell r="Y132">
            <v>87996</v>
          </cell>
          <cell r="Z132">
            <v>7333000</v>
          </cell>
          <cell r="AA132">
            <v>785678.57142857136</v>
          </cell>
          <cell r="AB132">
            <v>6547321.4285714291</v>
          </cell>
        </row>
        <row r="133">
          <cell r="H133" t="str">
            <v>JPH-00-007-012</v>
          </cell>
          <cell r="I133" t="str">
            <v>PRIME</v>
          </cell>
          <cell r="J133" t="str">
            <v xml:space="preserve">Raemulan Lands, Inc. </v>
          </cell>
          <cell r="K133" t="str">
            <v>Penthouse at Jubilation Enclave North</v>
          </cell>
          <cell r="L133" t="str">
            <v>JPH</v>
          </cell>
          <cell r="M133" t="str">
            <v>Middle Income</v>
          </cell>
          <cell r="N133">
            <v>7</v>
          </cell>
          <cell r="O133">
            <v>12</v>
          </cell>
          <cell r="P133" t="str">
            <v>H+L</v>
          </cell>
          <cell r="Q133">
            <v>117</v>
          </cell>
          <cell r="R133">
            <v>113</v>
          </cell>
          <cell r="S133" t="str">
            <v>A</v>
          </cell>
          <cell r="T133" t="str">
            <v>End Unit</v>
          </cell>
          <cell r="U133" t="str">
            <v>PRIME</v>
          </cell>
          <cell r="V133" t="str">
            <v>End Unit - PRIME</v>
          </cell>
          <cell r="W133" t="str">
            <v>End Unit - PRIME</v>
          </cell>
          <cell r="X133">
            <v>7878420</v>
          </cell>
          <cell r="Y133">
            <v>93420</v>
          </cell>
          <cell r="Z133">
            <v>7785000</v>
          </cell>
          <cell r="AA133">
            <v>834107.14285714272</v>
          </cell>
          <cell r="AB133">
            <v>6950892.8571428573</v>
          </cell>
        </row>
        <row r="134">
          <cell r="H134" t="str">
            <v>JPH-00-007-013</v>
          </cell>
          <cell r="I134" t="str">
            <v>PRIME</v>
          </cell>
          <cell r="J134" t="str">
            <v xml:space="preserve">Raemulan Lands, Inc. </v>
          </cell>
          <cell r="K134" t="str">
            <v>Penthouse at Jubilation Enclave North</v>
          </cell>
          <cell r="L134" t="str">
            <v>JPH</v>
          </cell>
          <cell r="M134" t="str">
            <v>Middle Income</v>
          </cell>
          <cell r="N134">
            <v>7</v>
          </cell>
          <cell r="O134">
            <v>13</v>
          </cell>
          <cell r="P134" t="str">
            <v>H+L</v>
          </cell>
          <cell r="Q134">
            <v>60</v>
          </cell>
          <cell r="R134">
            <v>113</v>
          </cell>
          <cell r="S134" t="str">
            <v>B</v>
          </cell>
          <cell r="T134" t="str">
            <v>Inner Unit</v>
          </cell>
          <cell r="U134" t="str">
            <v>PRIME</v>
          </cell>
          <cell r="V134" t="str">
            <v>Inner Unit-PRIME</v>
          </cell>
          <cell r="W134" t="str">
            <v>Inner Unit-PRIME</v>
          </cell>
          <cell r="X134">
            <v>5262400</v>
          </cell>
          <cell r="Y134">
            <v>62400</v>
          </cell>
          <cell r="Z134">
            <v>5200000</v>
          </cell>
          <cell r="AA134">
            <v>557142.85714285716</v>
          </cell>
          <cell r="AB134">
            <v>4642857.1428571427</v>
          </cell>
        </row>
        <row r="135">
          <cell r="H135" t="str">
            <v>JPH-00-007-014</v>
          </cell>
          <cell r="I135" t="str">
            <v>PREMIUM</v>
          </cell>
          <cell r="J135" t="str">
            <v xml:space="preserve">Raemulan Lands, Inc. </v>
          </cell>
          <cell r="K135" t="str">
            <v>Penthouse at Jubilation Enclave North</v>
          </cell>
          <cell r="L135" t="str">
            <v>JPH</v>
          </cell>
          <cell r="M135" t="str">
            <v>Middle Income</v>
          </cell>
          <cell r="N135">
            <v>7</v>
          </cell>
          <cell r="O135">
            <v>14</v>
          </cell>
          <cell r="P135" t="str">
            <v>H+L</v>
          </cell>
          <cell r="Q135">
            <v>60</v>
          </cell>
          <cell r="R135">
            <v>113</v>
          </cell>
          <cell r="S135" t="str">
            <v>C</v>
          </cell>
          <cell r="T135" t="str">
            <v>Inner Unit</v>
          </cell>
          <cell r="U135" t="str">
            <v>PREMIUM</v>
          </cell>
          <cell r="V135" t="str">
            <v>Inner Unit-PREMIUM</v>
          </cell>
          <cell r="W135" t="str">
            <v>Inner Unit-PREMIUM</v>
          </cell>
          <cell r="X135">
            <v>6609625</v>
          </cell>
          <cell r="Y135">
            <v>78375</v>
          </cell>
          <cell r="Z135">
            <v>6531250</v>
          </cell>
          <cell r="AA135">
            <v>699776.78571428556</v>
          </cell>
          <cell r="AB135">
            <v>5831473.2142857146</v>
          </cell>
        </row>
        <row r="136">
          <cell r="H136" t="str">
            <v>JPH-00-007-015</v>
          </cell>
          <cell r="I136" t="str">
            <v>PREMIUM</v>
          </cell>
          <cell r="J136" t="str">
            <v xml:space="preserve">Raemulan Lands, Inc. </v>
          </cell>
          <cell r="K136" t="str">
            <v>Penthouse at Jubilation Enclave North</v>
          </cell>
          <cell r="L136" t="str">
            <v>JPH</v>
          </cell>
          <cell r="M136" t="str">
            <v>Middle Income</v>
          </cell>
          <cell r="N136">
            <v>7</v>
          </cell>
          <cell r="O136">
            <v>15</v>
          </cell>
          <cell r="P136" t="str">
            <v>H+L</v>
          </cell>
          <cell r="Q136">
            <v>60</v>
          </cell>
          <cell r="R136">
            <v>113</v>
          </cell>
          <cell r="S136" t="str">
            <v>E</v>
          </cell>
          <cell r="T136" t="str">
            <v>Inner Unit</v>
          </cell>
          <cell r="U136" t="str">
            <v>PREMIUM</v>
          </cell>
          <cell r="V136" t="str">
            <v>Inner Unit-PREMIUM</v>
          </cell>
          <cell r="W136" t="str">
            <v>Inner Unit-PREMIUM</v>
          </cell>
          <cell r="X136">
            <v>6476800</v>
          </cell>
          <cell r="Y136">
            <v>76800</v>
          </cell>
          <cell r="Z136">
            <v>6400000</v>
          </cell>
          <cell r="AA136">
            <v>685714.28571428556</v>
          </cell>
          <cell r="AB136">
            <v>5714285.7142857146</v>
          </cell>
        </row>
        <row r="137">
          <cell r="H137" t="str">
            <v>JPH-00-007-016</v>
          </cell>
          <cell r="I137" t="str">
            <v>PRIME</v>
          </cell>
          <cell r="J137" t="str">
            <v xml:space="preserve">Raemulan Lands, Inc. </v>
          </cell>
          <cell r="K137" t="str">
            <v>Penthouse at Jubilation Enclave North</v>
          </cell>
          <cell r="L137" t="str">
            <v>JPH</v>
          </cell>
          <cell r="M137" t="str">
            <v>Middle Income</v>
          </cell>
          <cell r="N137">
            <v>7</v>
          </cell>
          <cell r="O137">
            <v>16</v>
          </cell>
          <cell r="P137" t="str">
            <v>H+L</v>
          </cell>
          <cell r="Q137">
            <v>90</v>
          </cell>
          <cell r="R137">
            <v>113</v>
          </cell>
          <cell r="S137" t="str">
            <v>F</v>
          </cell>
          <cell r="T137" t="str">
            <v>End Unit</v>
          </cell>
          <cell r="U137" t="str">
            <v>PRIME</v>
          </cell>
          <cell r="V137" t="str">
            <v>End Unit - PRIME</v>
          </cell>
          <cell r="W137" t="str">
            <v>End Unit - PRIME</v>
          </cell>
          <cell r="X137">
            <v>7299556</v>
          </cell>
          <cell r="Y137">
            <v>86556</v>
          </cell>
          <cell r="Z137">
            <v>7213000</v>
          </cell>
          <cell r="AA137">
            <v>772821.42857142852</v>
          </cell>
          <cell r="AB137">
            <v>6440178.5714285718</v>
          </cell>
        </row>
        <row r="138">
          <cell r="H138" t="str">
            <v>JPH-00-007-017</v>
          </cell>
          <cell r="I138" t="str">
            <v>PRIME</v>
          </cell>
          <cell r="J138" t="str">
            <v xml:space="preserve">Raemulan Lands, Inc. </v>
          </cell>
          <cell r="K138" t="str">
            <v>Penthouse at Jubilation Enclave North</v>
          </cell>
          <cell r="L138" t="str">
            <v>JPH</v>
          </cell>
          <cell r="M138" t="str">
            <v>Middle Income</v>
          </cell>
          <cell r="N138">
            <v>7</v>
          </cell>
          <cell r="O138">
            <v>17</v>
          </cell>
          <cell r="P138" t="str">
            <v>H+L</v>
          </cell>
          <cell r="Q138">
            <v>90</v>
          </cell>
          <cell r="R138">
            <v>113</v>
          </cell>
          <cell r="S138" t="str">
            <v>A</v>
          </cell>
          <cell r="T138" t="str">
            <v>End Unit</v>
          </cell>
          <cell r="U138" t="str">
            <v>PRIME</v>
          </cell>
          <cell r="V138" t="str">
            <v>End Unit - PRIME</v>
          </cell>
          <cell r="W138" t="str">
            <v>End Unit - PRIME</v>
          </cell>
          <cell r="X138">
            <v>6996968</v>
          </cell>
          <cell r="Y138">
            <v>82968</v>
          </cell>
          <cell r="Z138">
            <v>6914000</v>
          </cell>
          <cell r="AA138">
            <v>740785.7142857142</v>
          </cell>
          <cell r="AB138">
            <v>6173214.2857142854</v>
          </cell>
        </row>
        <row r="139">
          <cell r="H139" t="str">
            <v>JPH-00-007-018</v>
          </cell>
          <cell r="I139" t="str">
            <v>PREMIUM</v>
          </cell>
          <cell r="J139" t="str">
            <v xml:space="preserve">Raemulan Lands, Inc. </v>
          </cell>
          <cell r="K139" t="str">
            <v>Penthouse at Jubilation Enclave North</v>
          </cell>
          <cell r="L139" t="str">
            <v>JPH</v>
          </cell>
          <cell r="M139" t="str">
            <v>Middle Income</v>
          </cell>
          <cell r="N139">
            <v>7</v>
          </cell>
          <cell r="O139">
            <v>18</v>
          </cell>
          <cell r="P139" t="str">
            <v>H+L</v>
          </cell>
          <cell r="Q139">
            <v>60</v>
          </cell>
          <cell r="R139">
            <v>113</v>
          </cell>
          <cell r="S139" t="str">
            <v>B</v>
          </cell>
          <cell r="T139" t="str">
            <v>Inner Unit</v>
          </cell>
          <cell r="U139" t="str">
            <v>PREMIUM</v>
          </cell>
          <cell r="V139" t="str">
            <v>Inner Unit-PREMIUM</v>
          </cell>
          <cell r="W139" t="str">
            <v>Inner Unit-PREMIUM</v>
          </cell>
          <cell r="X139">
            <v>6476800.0043371432</v>
          </cell>
          <cell r="Y139">
            <v>76800.000051428578</v>
          </cell>
          <cell r="Z139">
            <v>6400000.0042857146</v>
          </cell>
          <cell r="AA139">
            <v>685714.29</v>
          </cell>
          <cell r="AB139">
            <v>5714285.7142857146</v>
          </cell>
        </row>
        <row r="140">
          <cell r="H140" t="str">
            <v>JPH-00-007-019</v>
          </cell>
          <cell r="I140" t="str">
            <v>PRIME</v>
          </cell>
          <cell r="J140" t="str">
            <v xml:space="preserve">Raemulan Lands, Inc. </v>
          </cell>
          <cell r="K140" t="str">
            <v>Penthouse at Jubilation Enclave North</v>
          </cell>
          <cell r="L140" t="str">
            <v>JPH</v>
          </cell>
          <cell r="M140" t="str">
            <v>Middle Income</v>
          </cell>
          <cell r="N140">
            <v>7</v>
          </cell>
          <cell r="O140">
            <v>19</v>
          </cell>
          <cell r="P140" t="str">
            <v>H+L</v>
          </cell>
          <cell r="Q140">
            <v>60</v>
          </cell>
          <cell r="R140">
            <v>113</v>
          </cell>
          <cell r="S140" t="str">
            <v>C</v>
          </cell>
          <cell r="T140" t="str">
            <v>Inner Unit</v>
          </cell>
          <cell r="U140" t="str">
            <v>PRIME</v>
          </cell>
          <cell r="V140" t="str">
            <v>Inner Unit-PRIME</v>
          </cell>
          <cell r="W140" t="str">
            <v>Inner Unit-PRIME</v>
          </cell>
          <cell r="X140">
            <v>5262400</v>
          </cell>
          <cell r="Y140">
            <v>62400</v>
          </cell>
          <cell r="Z140">
            <v>5200000</v>
          </cell>
          <cell r="AA140">
            <v>557142.85714285716</v>
          </cell>
          <cell r="AB140">
            <v>4642857.1428571427</v>
          </cell>
        </row>
        <row r="141">
          <cell r="H141" t="str">
            <v>JPH-00-007-020</v>
          </cell>
          <cell r="I141" t="str">
            <v>PRIME</v>
          </cell>
          <cell r="J141" t="str">
            <v xml:space="preserve">Raemulan Lands, Inc. </v>
          </cell>
          <cell r="K141" t="str">
            <v>Penthouse at Jubilation Enclave North</v>
          </cell>
          <cell r="L141" t="str">
            <v>JPH</v>
          </cell>
          <cell r="M141" t="str">
            <v>Middle Income</v>
          </cell>
          <cell r="N141">
            <v>7</v>
          </cell>
          <cell r="O141">
            <v>20</v>
          </cell>
          <cell r="P141" t="str">
            <v>H+L</v>
          </cell>
          <cell r="Q141">
            <v>60</v>
          </cell>
          <cell r="R141">
            <v>113</v>
          </cell>
          <cell r="S141" t="str">
            <v>E</v>
          </cell>
          <cell r="T141" t="str">
            <v>Inner Unit</v>
          </cell>
          <cell r="U141" t="str">
            <v>PRIME</v>
          </cell>
          <cell r="V141" t="str">
            <v>Inner Unit-PRIME</v>
          </cell>
          <cell r="W141" t="str">
            <v>Inner Unit-PRIME</v>
          </cell>
          <cell r="X141">
            <v>6461620</v>
          </cell>
          <cell r="Y141">
            <v>76620</v>
          </cell>
          <cell r="Z141">
            <v>6385000</v>
          </cell>
          <cell r="AA141">
            <v>684107.14285714272</v>
          </cell>
          <cell r="AB141">
            <v>5700892.8571428573</v>
          </cell>
        </row>
        <row r="142">
          <cell r="H142" t="str">
            <v>JPH-00-007-021</v>
          </cell>
          <cell r="I142" t="str">
            <v>PREMIUM</v>
          </cell>
          <cell r="J142" t="str">
            <v xml:space="preserve">Raemulan Lands, Inc. </v>
          </cell>
          <cell r="K142" t="str">
            <v>Penthouse at Jubilation Enclave North</v>
          </cell>
          <cell r="L142" t="str">
            <v>JPH</v>
          </cell>
          <cell r="M142" t="str">
            <v>Middle Income</v>
          </cell>
          <cell r="N142">
            <v>7</v>
          </cell>
          <cell r="O142">
            <v>21</v>
          </cell>
          <cell r="P142" t="str">
            <v>H+L</v>
          </cell>
          <cell r="Q142">
            <v>97</v>
          </cell>
          <cell r="R142">
            <v>113</v>
          </cell>
          <cell r="S142" t="str">
            <v>F</v>
          </cell>
          <cell r="T142" t="str">
            <v>End Unit</v>
          </cell>
          <cell r="U142" t="str">
            <v>PREMIUM</v>
          </cell>
          <cell r="V142" t="str">
            <v>End Unit - PRIME</v>
          </cell>
          <cell r="W142" t="str">
            <v>End Unit - PRIME</v>
          </cell>
          <cell r="X142">
            <v>6649852</v>
          </cell>
          <cell r="Y142">
            <v>78852</v>
          </cell>
          <cell r="Z142">
            <v>6571000</v>
          </cell>
          <cell r="AA142">
            <v>704035.7142857142</v>
          </cell>
          <cell r="AB142">
            <v>5866964.2857142854</v>
          </cell>
        </row>
        <row r="143">
          <cell r="H143" t="str">
            <v>JPH-00-008-001</v>
          </cell>
          <cell r="I143" t="str">
            <v>PRIME</v>
          </cell>
          <cell r="J143" t="str">
            <v xml:space="preserve">Raemulan Lands, Inc. </v>
          </cell>
          <cell r="K143" t="str">
            <v>Penthouse at Jubilation Enclave North</v>
          </cell>
          <cell r="L143" t="str">
            <v>JPH</v>
          </cell>
          <cell r="M143" t="str">
            <v>Middle Income</v>
          </cell>
          <cell r="N143">
            <v>8</v>
          </cell>
          <cell r="O143">
            <v>1</v>
          </cell>
          <cell r="P143" t="str">
            <v>H+L</v>
          </cell>
          <cell r="Q143">
            <v>110</v>
          </cell>
          <cell r="R143">
            <v>113</v>
          </cell>
          <cell r="S143" t="str">
            <v>A</v>
          </cell>
          <cell r="T143" t="str">
            <v>End Unit</v>
          </cell>
          <cell r="U143" t="str">
            <v>PRIME</v>
          </cell>
          <cell r="V143" t="str">
            <v>End Unit - PRIME</v>
          </cell>
          <cell r="W143" t="str">
            <v>End Unit - PRIME</v>
          </cell>
          <cell r="X143">
            <v>7650720</v>
          </cell>
          <cell r="Y143">
            <v>90720</v>
          </cell>
          <cell r="Z143">
            <v>7560000</v>
          </cell>
          <cell r="AA143">
            <v>810000</v>
          </cell>
          <cell r="AB143">
            <v>6750000</v>
          </cell>
        </row>
        <row r="144">
          <cell r="H144" t="str">
            <v>JPH-00-008-002</v>
          </cell>
          <cell r="I144" t="str">
            <v>PRIME</v>
          </cell>
          <cell r="J144" t="str">
            <v xml:space="preserve">Raemulan Lands, Inc. </v>
          </cell>
          <cell r="K144" t="str">
            <v>Penthouse at Jubilation Enclave North</v>
          </cell>
          <cell r="L144" t="str">
            <v>JPH</v>
          </cell>
          <cell r="M144" t="str">
            <v>Middle Income</v>
          </cell>
          <cell r="N144">
            <v>8</v>
          </cell>
          <cell r="O144">
            <v>2</v>
          </cell>
          <cell r="P144" t="str">
            <v>H+L</v>
          </cell>
          <cell r="Q144">
            <v>60</v>
          </cell>
          <cell r="R144">
            <v>113</v>
          </cell>
          <cell r="S144" t="str">
            <v>B</v>
          </cell>
          <cell r="T144" t="str">
            <v>Inner Unit</v>
          </cell>
          <cell r="U144" t="str">
            <v>PRIME</v>
          </cell>
          <cell r="V144" t="str">
            <v>Inner Unit-PRIME</v>
          </cell>
          <cell r="W144" t="str">
            <v>Inner Unit-PRIME</v>
          </cell>
          <cell r="X144">
            <v>4908200</v>
          </cell>
          <cell r="Y144">
            <v>58200</v>
          </cell>
          <cell r="Z144">
            <v>4850000</v>
          </cell>
          <cell r="AA144">
            <v>519642.8571428571</v>
          </cell>
          <cell r="AB144">
            <v>4330357.1428571427</v>
          </cell>
        </row>
        <row r="145">
          <cell r="H145" t="str">
            <v>JPH-00-008-003</v>
          </cell>
          <cell r="I145" t="str">
            <v>PREMIUM</v>
          </cell>
          <cell r="J145" t="str">
            <v xml:space="preserve">Raemulan Lands, Inc. </v>
          </cell>
          <cell r="K145" t="str">
            <v>Penthouse at Jubilation Enclave North</v>
          </cell>
          <cell r="L145" t="str">
            <v>JPH</v>
          </cell>
          <cell r="M145" t="str">
            <v>Middle Income</v>
          </cell>
          <cell r="N145">
            <v>8</v>
          </cell>
          <cell r="O145">
            <v>3</v>
          </cell>
          <cell r="P145" t="str">
            <v>H+L</v>
          </cell>
          <cell r="Q145">
            <v>60</v>
          </cell>
          <cell r="R145">
            <v>113</v>
          </cell>
          <cell r="S145" t="str">
            <v>C</v>
          </cell>
          <cell r="T145" t="str">
            <v>Inner Unit</v>
          </cell>
          <cell r="U145" t="str">
            <v>PREMIUM</v>
          </cell>
          <cell r="V145" t="str">
            <v>Inner Unit-PREMIUM</v>
          </cell>
          <cell r="W145" t="str">
            <v>Inner Unit-PREMIUM</v>
          </cell>
          <cell r="X145">
            <v>6406972</v>
          </cell>
          <cell r="Y145">
            <v>75972</v>
          </cell>
          <cell r="Z145">
            <v>6331000</v>
          </cell>
          <cell r="AA145">
            <v>678321.42857142852</v>
          </cell>
          <cell r="AB145">
            <v>5652678.5714285718</v>
          </cell>
        </row>
        <row r="146">
          <cell r="H146" t="str">
            <v>JPH-00-008-004</v>
          </cell>
          <cell r="I146" t="str">
            <v>PREMIUM</v>
          </cell>
          <cell r="J146" t="str">
            <v xml:space="preserve">Raemulan Lands, Inc. </v>
          </cell>
          <cell r="K146" t="str">
            <v>Penthouse at Jubilation Enclave North</v>
          </cell>
          <cell r="L146" t="str">
            <v>JPH</v>
          </cell>
          <cell r="M146" t="str">
            <v>Middle Income</v>
          </cell>
          <cell r="N146">
            <v>8</v>
          </cell>
          <cell r="O146">
            <v>4</v>
          </cell>
          <cell r="P146" t="str">
            <v>H+L</v>
          </cell>
          <cell r="Q146">
            <v>60</v>
          </cell>
          <cell r="R146">
            <v>113</v>
          </cell>
          <cell r="S146" t="str">
            <v>D</v>
          </cell>
          <cell r="T146" t="str">
            <v>Inner Unit</v>
          </cell>
          <cell r="U146" t="str">
            <v>PREMIUM</v>
          </cell>
          <cell r="V146" t="str">
            <v>Inner Unit-PREMIUM</v>
          </cell>
          <cell r="W146" t="str">
            <v>Inner Unit-PREMIUM</v>
          </cell>
          <cell r="X146">
            <v>6406972</v>
          </cell>
          <cell r="Y146">
            <v>75972</v>
          </cell>
          <cell r="Z146">
            <v>6331000</v>
          </cell>
          <cell r="AA146">
            <v>678321.42857142852</v>
          </cell>
          <cell r="AB146">
            <v>5652678.5714285718</v>
          </cell>
        </row>
        <row r="147">
          <cell r="H147" t="str">
            <v>JPH-00-008-005</v>
          </cell>
          <cell r="I147" t="str">
            <v>PRIME</v>
          </cell>
          <cell r="J147" t="str">
            <v xml:space="preserve">Raemulan Lands, Inc. </v>
          </cell>
          <cell r="K147" t="str">
            <v>Penthouse at Jubilation Enclave North</v>
          </cell>
          <cell r="L147" t="str">
            <v>JPH</v>
          </cell>
          <cell r="M147" t="str">
            <v>Middle Income</v>
          </cell>
          <cell r="N147">
            <v>8</v>
          </cell>
          <cell r="O147">
            <v>5</v>
          </cell>
          <cell r="P147" t="str">
            <v>H+L</v>
          </cell>
          <cell r="Q147">
            <v>60</v>
          </cell>
          <cell r="R147">
            <v>113</v>
          </cell>
          <cell r="S147" t="str">
            <v>E</v>
          </cell>
          <cell r="T147" t="str">
            <v>Inner Unit</v>
          </cell>
          <cell r="U147" t="str">
            <v>PRIME</v>
          </cell>
          <cell r="V147" t="str">
            <v>Inner Unit-PRIME</v>
          </cell>
          <cell r="W147" t="str">
            <v>Inner Unit-PRIME</v>
          </cell>
          <cell r="X147">
            <v>5060000</v>
          </cell>
          <cell r="Y147">
            <v>60000</v>
          </cell>
          <cell r="Z147">
            <v>5000000</v>
          </cell>
          <cell r="AA147">
            <v>535714.28571428556</v>
          </cell>
          <cell r="AB147">
            <v>4464285.7142857146</v>
          </cell>
        </row>
        <row r="148">
          <cell r="H148" t="str">
            <v>JPH-00-008-006</v>
          </cell>
          <cell r="I148" t="str">
            <v>PRIME</v>
          </cell>
          <cell r="J148" t="str">
            <v xml:space="preserve">Raemulan Lands, Inc. </v>
          </cell>
          <cell r="K148" t="str">
            <v>Penthouse at Jubilation Enclave North</v>
          </cell>
          <cell r="L148" t="str">
            <v>JPH</v>
          </cell>
          <cell r="M148" t="str">
            <v>Middle Income</v>
          </cell>
          <cell r="N148">
            <v>8</v>
          </cell>
          <cell r="O148">
            <v>6</v>
          </cell>
          <cell r="P148" t="str">
            <v>H+L</v>
          </cell>
          <cell r="Q148">
            <v>90</v>
          </cell>
          <cell r="R148">
            <v>113</v>
          </cell>
          <cell r="S148" t="str">
            <v>F</v>
          </cell>
          <cell r="T148" t="str">
            <v>End Unit</v>
          </cell>
          <cell r="U148" t="str">
            <v>PRIME</v>
          </cell>
          <cell r="V148" t="str">
            <v>End Unit - PRIME</v>
          </cell>
          <cell r="W148" t="str">
            <v>End Unit - PRIME</v>
          </cell>
          <cell r="X148">
            <v>5960680</v>
          </cell>
          <cell r="Y148">
            <v>70680</v>
          </cell>
          <cell r="Z148">
            <v>5890000</v>
          </cell>
          <cell r="AA148">
            <v>631071.42857142852</v>
          </cell>
          <cell r="AB148">
            <v>5258928.5714285718</v>
          </cell>
        </row>
        <row r="149">
          <cell r="H149" t="str">
            <v>JPH-00-008-007</v>
          </cell>
          <cell r="I149" t="str">
            <v>PREMIUM</v>
          </cell>
          <cell r="J149" t="str">
            <v xml:space="preserve">Raemulan Lands, Inc. </v>
          </cell>
          <cell r="K149" t="str">
            <v>Penthouse at Jubilation Enclave North</v>
          </cell>
          <cell r="L149" t="str">
            <v>JPH</v>
          </cell>
          <cell r="M149" t="str">
            <v>Middle Income</v>
          </cell>
          <cell r="N149">
            <v>8</v>
          </cell>
          <cell r="O149">
            <v>7</v>
          </cell>
          <cell r="P149" t="str">
            <v>H+L</v>
          </cell>
          <cell r="Q149">
            <v>90</v>
          </cell>
          <cell r="R149">
            <v>113</v>
          </cell>
          <cell r="S149" t="str">
            <v>A</v>
          </cell>
          <cell r="T149" t="str">
            <v>End Unit</v>
          </cell>
          <cell r="U149" t="str">
            <v>PREMIUM</v>
          </cell>
          <cell r="V149" t="str">
            <v>End Unit - PRIME</v>
          </cell>
          <cell r="W149" t="str">
            <v>End Unit - PREMIUM</v>
          </cell>
          <cell r="X149">
            <v>7522196</v>
          </cell>
          <cell r="Y149">
            <v>89196</v>
          </cell>
          <cell r="Z149">
            <v>7433000</v>
          </cell>
          <cell r="AA149">
            <v>796392.85714285704</v>
          </cell>
          <cell r="AB149">
            <v>6636607.1428571427</v>
          </cell>
        </row>
        <row r="150">
          <cell r="H150" t="str">
            <v>JPH-00-008-008</v>
          </cell>
          <cell r="I150" t="str">
            <v>PREMIUM</v>
          </cell>
          <cell r="J150" t="str">
            <v xml:space="preserve">Raemulan Lands, Inc. </v>
          </cell>
          <cell r="K150" t="str">
            <v>Penthouse at Jubilation Enclave North</v>
          </cell>
          <cell r="L150" t="str">
            <v>JPH</v>
          </cell>
          <cell r="M150" t="str">
            <v>Middle Income</v>
          </cell>
          <cell r="N150">
            <v>8</v>
          </cell>
          <cell r="O150">
            <v>8</v>
          </cell>
          <cell r="P150" t="str">
            <v>H+L</v>
          </cell>
          <cell r="Q150">
            <v>60</v>
          </cell>
          <cell r="R150">
            <v>113</v>
          </cell>
          <cell r="S150" t="str">
            <v>B</v>
          </cell>
          <cell r="T150" t="str">
            <v>Inner Unit</v>
          </cell>
          <cell r="U150" t="str">
            <v>PREMIUM</v>
          </cell>
          <cell r="V150" t="str">
            <v>Inner Unit-PREMIUM</v>
          </cell>
          <cell r="W150" t="str">
            <v>Inner Unit-PREMIUM</v>
          </cell>
          <cell r="X150">
            <v>6476800</v>
          </cell>
          <cell r="Y150">
            <v>76800</v>
          </cell>
          <cell r="Z150">
            <v>6400000</v>
          </cell>
          <cell r="AA150">
            <v>685714.28571428556</v>
          </cell>
          <cell r="AB150">
            <v>5714285.7142857146</v>
          </cell>
        </row>
        <row r="151">
          <cell r="H151" t="str">
            <v>JPH-00-008-009</v>
          </cell>
          <cell r="I151" t="str">
            <v>PRIME</v>
          </cell>
          <cell r="J151" t="str">
            <v xml:space="preserve">Raemulan Lands, Inc. </v>
          </cell>
          <cell r="K151" t="str">
            <v>Penthouse at Jubilation Enclave North</v>
          </cell>
          <cell r="L151" t="str">
            <v>JPH</v>
          </cell>
          <cell r="M151" t="str">
            <v>Middle Income</v>
          </cell>
          <cell r="N151">
            <v>8</v>
          </cell>
          <cell r="O151">
            <v>9</v>
          </cell>
          <cell r="P151" t="str">
            <v>H+L</v>
          </cell>
          <cell r="Q151">
            <v>60</v>
          </cell>
          <cell r="R151">
            <v>113</v>
          </cell>
          <cell r="S151" t="str">
            <v>C</v>
          </cell>
          <cell r="T151" t="str">
            <v>Inner Unit</v>
          </cell>
          <cell r="U151" t="str">
            <v>PRIME</v>
          </cell>
          <cell r="V151" t="str">
            <v>Inner Unit-PRIME</v>
          </cell>
          <cell r="W151" t="str">
            <v>Inner Unit-PRIME</v>
          </cell>
          <cell r="X151">
            <v>5792688</v>
          </cell>
          <cell r="Y151">
            <v>68688</v>
          </cell>
          <cell r="Z151">
            <v>5724000</v>
          </cell>
          <cell r="AA151">
            <v>613285.7142857142</v>
          </cell>
          <cell r="AB151">
            <v>5110714.2857142854</v>
          </cell>
        </row>
        <row r="152">
          <cell r="H152" t="str">
            <v>JPH-00-008-010</v>
          </cell>
          <cell r="I152" t="str">
            <v>PRIME</v>
          </cell>
          <cell r="J152" t="str">
            <v xml:space="preserve">Raemulan Lands, Inc. </v>
          </cell>
          <cell r="K152" t="str">
            <v>Penthouse at Jubilation Enclave North</v>
          </cell>
          <cell r="L152" t="str">
            <v>JPH</v>
          </cell>
          <cell r="M152" t="str">
            <v>Middle Income</v>
          </cell>
          <cell r="N152">
            <v>8</v>
          </cell>
          <cell r="O152">
            <v>10</v>
          </cell>
          <cell r="P152" t="str">
            <v>H+L</v>
          </cell>
          <cell r="Q152">
            <v>60</v>
          </cell>
          <cell r="R152">
            <v>113</v>
          </cell>
          <cell r="S152" t="str">
            <v>E</v>
          </cell>
          <cell r="T152" t="str">
            <v>Inner Unit</v>
          </cell>
          <cell r="U152" t="str">
            <v>PRIME</v>
          </cell>
          <cell r="V152" t="str">
            <v>Inner Unit-PRIME</v>
          </cell>
          <cell r="W152" t="str">
            <v>Inner Unit-PRIME</v>
          </cell>
          <cell r="X152">
            <v>5792687.9956628568</v>
          </cell>
          <cell r="Y152">
            <v>68687.999948571422</v>
          </cell>
          <cell r="Z152">
            <v>5723999.9957142854</v>
          </cell>
          <cell r="AA152">
            <v>613285.71</v>
          </cell>
          <cell r="AB152">
            <v>5110714.2857142854</v>
          </cell>
        </row>
        <row r="153">
          <cell r="H153" t="str">
            <v>JPH-00-008-011</v>
          </cell>
          <cell r="I153" t="str">
            <v>PREMIUM</v>
          </cell>
          <cell r="J153" t="str">
            <v xml:space="preserve">Raemulan Lands, Inc. </v>
          </cell>
          <cell r="K153" t="str">
            <v>Penthouse at Jubilation Enclave North</v>
          </cell>
          <cell r="L153" t="str">
            <v>JPH</v>
          </cell>
          <cell r="M153" t="str">
            <v>Middle Income</v>
          </cell>
          <cell r="N153">
            <v>8</v>
          </cell>
          <cell r="O153">
            <v>11</v>
          </cell>
          <cell r="P153" t="str">
            <v>H+L</v>
          </cell>
          <cell r="Q153">
            <v>92</v>
          </cell>
          <cell r="R153">
            <v>113</v>
          </cell>
          <cell r="S153" t="str">
            <v>F</v>
          </cell>
          <cell r="T153" t="str">
            <v>End Unit</v>
          </cell>
          <cell r="U153" t="str">
            <v>PREMIUM</v>
          </cell>
          <cell r="V153" t="str">
            <v>End Unit - PRIME</v>
          </cell>
          <cell r="W153" t="str">
            <v>End Unit - PREMIUM</v>
          </cell>
          <cell r="X153">
            <v>6263844.8399999999</v>
          </cell>
          <cell r="Y153">
            <v>74274.84</v>
          </cell>
          <cell r="Z153">
            <v>6189570</v>
          </cell>
          <cell r="AA153">
            <v>663168.2142857142</v>
          </cell>
          <cell r="AB153">
            <v>5526401.7857142854</v>
          </cell>
        </row>
        <row r="154">
          <cell r="H154" t="str">
            <v>JPH-00-008-012</v>
          </cell>
          <cell r="I154" t="str">
            <v>PREMIUM</v>
          </cell>
          <cell r="J154" t="str">
            <v xml:space="preserve">Raemulan Lands, Inc. </v>
          </cell>
          <cell r="K154" t="str">
            <v>Penthouse at Jubilation Enclave North</v>
          </cell>
          <cell r="L154" t="str">
            <v>JPH</v>
          </cell>
          <cell r="M154" t="str">
            <v>Middle Income</v>
          </cell>
          <cell r="N154">
            <v>8</v>
          </cell>
          <cell r="O154">
            <v>12</v>
          </cell>
          <cell r="P154" t="str">
            <v>H+L</v>
          </cell>
          <cell r="Q154">
            <v>91</v>
          </cell>
          <cell r="R154">
            <v>113</v>
          </cell>
          <cell r="S154" t="str">
            <v>A</v>
          </cell>
          <cell r="T154" t="str">
            <v>End Unit</v>
          </cell>
          <cell r="U154" t="str">
            <v>PREMIUM</v>
          </cell>
          <cell r="V154" t="str">
            <v>End Unit - PREMIUM</v>
          </cell>
          <cell r="W154" t="str">
            <v>End Unit - PREMIUM</v>
          </cell>
          <cell r="X154">
            <v>6509184</v>
          </cell>
          <cell r="Y154">
            <v>77184</v>
          </cell>
          <cell r="Z154">
            <v>6432000</v>
          </cell>
          <cell r="AA154">
            <v>689142.85714285716</v>
          </cell>
          <cell r="AB154">
            <v>5742857.1428571427</v>
          </cell>
        </row>
        <row r="155">
          <cell r="H155" t="str">
            <v>JPH-00-008-013</v>
          </cell>
          <cell r="I155" t="str">
            <v>PRIME</v>
          </cell>
          <cell r="J155" t="str">
            <v xml:space="preserve">Raemulan Lands, Inc. </v>
          </cell>
          <cell r="K155" t="str">
            <v>Penthouse at Jubilation Enclave North</v>
          </cell>
          <cell r="L155" t="str">
            <v>JPH</v>
          </cell>
          <cell r="M155" t="str">
            <v>Middle Income</v>
          </cell>
          <cell r="N155">
            <v>8</v>
          </cell>
          <cell r="O155">
            <v>13</v>
          </cell>
          <cell r="P155" t="str">
            <v>H+L</v>
          </cell>
          <cell r="Q155">
            <v>60</v>
          </cell>
          <cell r="R155">
            <v>113</v>
          </cell>
          <cell r="S155" t="str">
            <v>B</v>
          </cell>
          <cell r="T155" t="str">
            <v>Inner Unit</v>
          </cell>
          <cell r="U155" t="str">
            <v>PRIME</v>
          </cell>
          <cell r="V155" t="str">
            <v>Inner Unit-PRIME</v>
          </cell>
          <cell r="W155" t="str">
            <v>Inner Unit-PRIME</v>
          </cell>
          <cell r="X155">
            <v>5262400</v>
          </cell>
          <cell r="Y155">
            <v>62400</v>
          </cell>
          <cell r="Z155">
            <v>5200000</v>
          </cell>
          <cell r="AA155">
            <v>557142.85714285716</v>
          </cell>
          <cell r="AB155">
            <v>4642857.1428571427</v>
          </cell>
        </row>
        <row r="156">
          <cell r="H156" t="str">
            <v>JPH-00-008-014</v>
          </cell>
          <cell r="I156" t="str">
            <v>PREMIUM</v>
          </cell>
          <cell r="J156" t="str">
            <v xml:space="preserve">Raemulan Lands, Inc. </v>
          </cell>
          <cell r="K156" t="str">
            <v>Penthouse at Jubilation Enclave North</v>
          </cell>
          <cell r="L156" t="str">
            <v>JPH</v>
          </cell>
          <cell r="M156" t="str">
            <v>Middle Income</v>
          </cell>
          <cell r="N156">
            <v>8</v>
          </cell>
          <cell r="O156">
            <v>14</v>
          </cell>
          <cell r="P156" t="str">
            <v>H+L</v>
          </cell>
          <cell r="Q156">
            <v>60</v>
          </cell>
          <cell r="R156">
            <v>113</v>
          </cell>
          <cell r="S156" t="str">
            <v>C</v>
          </cell>
          <cell r="T156" t="str">
            <v>Inner Unit</v>
          </cell>
          <cell r="U156" t="str">
            <v>PREMIUM</v>
          </cell>
          <cell r="V156" t="str">
            <v>Inner Unit-PREMIUM</v>
          </cell>
          <cell r="W156" t="str">
            <v>Inner Unit-PREMIUM</v>
          </cell>
          <cell r="X156">
            <v>6664020</v>
          </cell>
          <cell r="Y156">
            <v>79020</v>
          </cell>
          <cell r="Z156">
            <v>6585000</v>
          </cell>
          <cell r="AA156">
            <v>705535.7142857142</v>
          </cell>
          <cell r="AB156">
            <v>5879464.2857142854</v>
          </cell>
        </row>
        <row r="157">
          <cell r="H157" t="str">
            <v>JPH-00-008-015</v>
          </cell>
          <cell r="I157" t="str">
            <v>PREMIUM</v>
          </cell>
          <cell r="J157" t="str">
            <v xml:space="preserve">Raemulan Lands, Inc. </v>
          </cell>
          <cell r="K157" t="str">
            <v>Penthouse at Jubilation Enclave North</v>
          </cell>
          <cell r="L157" t="str">
            <v>JPH</v>
          </cell>
          <cell r="M157" t="str">
            <v>Middle Income</v>
          </cell>
          <cell r="N157">
            <v>8</v>
          </cell>
          <cell r="O157">
            <v>15</v>
          </cell>
          <cell r="P157" t="str">
            <v>H+L</v>
          </cell>
          <cell r="Q157">
            <v>60</v>
          </cell>
          <cell r="R157">
            <v>113</v>
          </cell>
          <cell r="S157" t="str">
            <v>E</v>
          </cell>
          <cell r="T157" t="str">
            <v>Inner Unit</v>
          </cell>
          <cell r="U157" t="str">
            <v>PREMIUM</v>
          </cell>
          <cell r="V157" t="str">
            <v>Inner Unit-PREMIUM</v>
          </cell>
          <cell r="W157" t="str">
            <v>Inner Unit-PREMIUM</v>
          </cell>
          <cell r="X157">
            <v>6476800</v>
          </cell>
          <cell r="Y157">
            <v>76800</v>
          </cell>
          <cell r="Z157">
            <v>6400000</v>
          </cell>
          <cell r="AA157">
            <v>685714.28571428556</v>
          </cell>
          <cell r="AB157">
            <v>5714285.7142857146</v>
          </cell>
        </row>
        <row r="158">
          <cell r="H158" t="str">
            <v>JPH-00-008-016</v>
          </cell>
          <cell r="I158" t="str">
            <v>PREMIUM</v>
          </cell>
          <cell r="J158" t="str">
            <v xml:space="preserve">Raemulan Lands, Inc. </v>
          </cell>
          <cell r="K158" t="str">
            <v>Penthouse at Jubilation Enclave North</v>
          </cell>
          <cell r="L158" t="str">
            <v>JPH</v>
          </cell>
          <cell r="M158" t="str">
            <v>Middle Income</v>
          </cell>
          <cell r="N158">
            <v>8</v>
          </cell>
          <cell r="O158">
            <v>16</v>
          </cell>
          <cell r="P158" t="str">
            <v>H+L</v>
          </cell>
          <cell r="Q158">
            <v>90</v>
          </cell>
          <cell r="R158">
            <v>113</v>
          </cell>
          <cell r="S158" t="str">
            <v>F</v>
          </cell>
          <cell r="T158" t="str">
            <v>End Unit</v>
          </cell>
          <cell r="U158" t="str">
            <v>PREMIUM</v>
          </cell>
          <cell r="V158" t="str">
            <v>End Unit - PREMIUM</v>
          </cell>
          <cell r="W158" t="str">
            <v>End Unit - PREMIUM</v>
          </cell>
          <cell r="X158">
            <v>5865552</v>
          </cell>
          <cell r="Y158">
            <v>69552</v>
          </cell>
          <cell r="Z158">
            <v>5796000</v>
          </cell>
          <cell r="AA158">
            <v>620999.99999999988</v>
          </cell>
          <cell r="AB158">
            <v>5175000</v>
          </cell>
        </row>
        <row r="159">
          <cell r="H159" t="str">
            <v>JPH-00-008-017</v>
          </cell>
          <cell r="I159" t="str">
            <v>PREMIUM</v>
          </cell>
          <cell r="J159" t="str">
            <v xml:space="preserve">Raemulan Lands, Inc. </v>
          </cell>
          <cell r="K159" t="str">
            <v>Penthouse at Jubilation Enclave North</v>
          </cell>
          <cell r="L159" t="str">
            <v>JPH</v>
          </cell>
          <cell r="M159" t="str">
            <v>Middle Income</v>
          </cell>
          <cell r="N159">
            <v>8</v>
          </cell>
          <cell r="O159">
            <v>17</v>
          </cell>
          <cell r="P159" t="str">
            <v>H+L</v>
          </cell>
          <cell r="Q159">
            <v>90</v>
          </cell>
          <cell r="R159">
            <v>113</v>
          </cell>
          <cell r="S159" t="str">
            <v>A</v>
          </cell>
          <cell r="T159" t="str">
            <v>End Unit</v>
          </cell>
          <cell r="U159" t="str">
            <v>PREMIUM</v>
          </cell>
          <cell r="V159" t="str">
            <v>End Unit - PREMIUM</v>
          </cell>
          <cell r="W159" t="str">
            <v>End Unit - PREMIUM</v>
          </cell>
          <cell r="X159">
            <v>5572274.4000000004</v>
          </cell>
          <cell r="Y159">
            <v>66074.399999999994</v>
          </cell>
          <cell r="Z159">
            <v>5506200</v>
          </cell>
          <cell r="AA159">
            <v>589949.99999999988</v>
          </cell>
          <cell r="AB159">
            <v>4916250</v>
          </cell>
        </row>
        <row r="160">
          <cell r="H160" t="str">
            <v>JPH-00-008-018</v>
          </cell>
          <cell r="I160" t="str">
            <v>PREMIUM</v>
          </cell>
          <cell r="J160" t="str">
            <v xml:space="preserve">Raemulan Lands, Inc. </v>
          </cell>
          <cell r="K160" t="str">
            <v>Penthouse at Jubilation Enclave North</v>
          </cell>
          <cell r="L160" t="str">
            <v>JPH</v>
          </cell>
          <cell r="M160" t="str">
            <v>Middle Income</v>
          </cell>
          <cell r="N160">
            <v>8</v>
          </cell>
          <cell r="O160">
            <v>18</v>
          </cell>
          <cell r="P160" t="str">
            <v>H+L</v>
          </cell>
          <cell r="Q160">
            <v>60</v>
          </cell>
          <cell r="R160">
            <v>113</v>
          </cell>
          <cell r="S160" t="str">
            <v>B</v>
          </cell>
          <cell r="T160" t="str">
            <v>Inner Unit</v>
          </cell>
          <cell r="U160" t="str">
            <v>PREMIUM</v>
          </cell>
          <cell r="V160" t="str">
            <v>Inner Unit-PREMIUM</v>
          </cell>
          <cell r="W160" t="str">
            <v>Inner Unit-PREMIUM</v>
          </cell>
          <cell r="X160">
            <v>5837216</v>
          </cell>
          <cell r="Y160">
            <v>69216</v>
          </cell>
          <cell r="Z160">
            <v>5768000</v>
          </cell>
          <cell r="AA160">
            <v>617999.99999999988</v>
          </cell>
          <cell r="AB160">
            <v>5150000</v>
          </cell>
        </row>
        <row r="161">
          <cell r="H161" t="str">
            <v>JPH-00-008-019</v>
          </cell>
          <cell r="I161" t="str">
            <v>PREMIUM</v>
          </cell>
          <cell r="J161" t="str">
            <v xml:space="preserve">Raemulan Lands, Inc. </v>
          </cell>
          <cell r="K161" t="str">
            <v>Penthouse at Jubilation Enclave North</v>
          </cell>
          <cell r="L161" t="str">
            <v>JPH</v>
          </cell>
          <cell r="M161" t="str">
            <v>Middle Income</v>
          </cell>
          <cell r="N161">
            <v>8</v>
          </cell>
          <cell r="O161">
            <v>19</v>
          </cell>
          <cell r="P161" t="str">
            <v>H+L</v>
          </cell>
          <cell r="Q161">
            <v>60</v>
          </cell>
          <cell r="R161">
            <v>113</v>
          </cell>
          <cell r="S161" t="str">
            <v>C</v>
          </cell>
          <cell r="T161" t="str">
            <v>Inner Unit</v>
          </cell>
          <cell r="U161" t="str">
            <v>PREMIUM</v>
          </cell>
          <cell r="V161" t="str">
            <v>Inner Unit-PREMIUM</v>
          </cell>
          <cell r="W161" t="str">
            <v>Inner Unit-PREMIUM</v>
          </cell>
          <cell r="X161">
            <v>5837216</v>
          </cell>
          <cell r="Y161">
            <v>69216</v>
          </cell>
          <cell r="Z161">
            <v>5768000</v>
          </cell>
          <cell r="AA161">
            <v>617999.99999999988</v>
          </cell>
          <cell r="AB161">
            <v>5150000</v>
          </cell>
        </row>
        <row r="162">
          <cell r="H162" t="str">
            <v>JPH-00-008-020</v>
          </cell>
          <cell r="I162" t="str">
            <v>PREMIUM</v>
          </cell>
          <cell r="J162" t="str">
            <v xml:space="preserve">Raemulan Lands, Inc. </v>
          </cell>
          <cell r="K162" t="str">
            <v>Penthouse at Jubilation Enclave North</v>
          </cell>
          <cell r="L162" t="str">
            <v>JPH</v>
          </cell>
          <cell r="M162" t="str">
            <v>Middle Income</v>
          </cell>
          <cell r="N162">
            <v>8</v>
          </cell>
          <cell r="O162">
            <v>20</v>
          </cell>
          <cell r="P162" t="str">
            <v>H+L</v>
          </cell>
          <cell r="Q162">
            <v>60</v>
          </cell>
          <cell r="R162">
            <v>113</v>
          </cell>
          <cell r="S162" t="str">
            <v>D</v>
          </cell>
          <cell r="T162" t="str">
            <v>Inner Unit</v>
          </cell>
          <cell r="U162" t="str">
            <v>PREMIUM</v>
          </cell>
          <cell r="V162" t="str">
            <v>Inner Unit-PREMIUM</v>
          </cell>
          <cell r="W162" t="str">
            <v>Inner Unit-PREMIUM</v>
          </cell>
          <cell r="X162">
            <v>6476800</v>
          </cell>
          <cell r="Y162">
            <v>76800</v>
          </cell>
          <cell r="Z162">
            <v>6400000</v>
          </cell>
          <cell r="AA162">
            <v>685714.28571428556</v>
          </cell>
          <cell r="AB162">
            <v>5714285.7142857146</v>
          </cell>
        </row>
        <row r="163">
          <cell r="H163" t="str">
            <v>JPH-00-008-021</v>
          </cell>
          <cell r="I163" t="str">
            <v>PREMIUM</v>
          </cell>
          <cell r="J163" t="str">
            <v xml:space="preserve">Raemulan Lands, Inc. </v>
          </cell>
          <cell r="K163" t="str">
            <v>Penthouse at Jubilation Enclave North</v>
          </cell>
          <cell r="L163" t="str">
            <v>JPH</v>
          </cell>
          <cell r="M163" t="str">
            <v>Middle Income</v>
          </cell>
          <cell r="N163">
            <v>8</v>
          </cell>
          <cell r="O163">
            <v>21</v>
          </cell>
          <cell r="P163" t="str">
            <v>H+L</v>
          </cell>
          <cell r="Q163">
            <v>60</v>
          </cell>
          <cell r="R163">
            <v>113</v>
          </cell>
          <cell r="S163" t="str">
            <v>E</v>
          </cell>
          <cell r="T163" t="str">
            <v>Inner Unit</v>
          </cell>
          <cell r="U163" t="str">
            <v>PREMIUM</v>
          </cell>
          <cell r="V163" t="str">
            <v>Inner Unit-PREMIUM</v>
          </cell>
          <cell r="W163" t="str">
            <v>Inner Unit-PREMIUM</v>
          </cell>
          <cell r="X163">
            <v>5736016</v>
          </cell>
          <cell r="Y163">
            <v>68016</v>
          </cell>
          <cell r="Z163">
            <v>5668000</v>
          </cell>
          <cell r="AA163">
            <v>607285.7142857142</v>
          </cell>
          <cell r="AB163">
            <v>5060714.2857142854</v>
          </cell>
        </row>
        <row r="164">
          <cell r="H164" t="str">
            <v>JPH-00-008-022</v>
          </cell>
          <cell r="I164" t="str">
            <v>PREMIUM</v>
          </cell>
          <cell r="J164" t="str">
            <v xml:space="preserve">Raemulan Lands, Inc. </v>
          </cell>
          <cell r="K164" t="str">
            <v>Penthouse at Jubilation Enclave North</v>
          </cell>
          <cell r="L164" t="str">
            <v>JPH</v>
          </cell>
          <cell r="M164" t="str">
            <v>Middle Income</v>
          </cell>
          <cell r="N164">
            <v>8</v>
          </cell>
          <cell r="O164">
            <v>22</v>
          </cell>
          <cell r="P164" t="str">
            <v>H+L</v>
          </cell>
          <cell r="Q164">
            <v>91</v>
          </cell>
          <cell r="R164">
            <v>113</v>
          </cell>
          <cell r="S164" t="str">
            <v>F</v>
          </cell>
          <cell r="T164" t="str">
            <v>End Unit</v>
          </cell>
          <cell r="U164" t="str">
            <v>PREMIUM</v>
          </cell>
          <cell r="V164" t="str">
            <v>End Unit - PREMIUM</v>
          </cell>
          <cell r="W164" t="str">
            <v>End Unit - PREMIUM</v>
          </cell>
          <cell r="X164">
            <v>7332952</v>
          </cell>
          <cell r="Y164">
            <v>86952</v>
          </cell>
          <cell r="Z164">
            <v>7246000</v>
          </cell>
          <cell r="AA164">
            <v>776357.14285714272</v>
          </cell>
          <cell r="AB164">
            <v>6469642.8571428573</v>
          </cell>
        </row>
        <row r="165">
          <cell r="H165" t="str">
            <v>JPH-00-009-001</v>
          </cell>
          <cell r="I165" t="str">
            <v>PREMIUM</v>
          </cell>
          <cell r="J165" t="str">
            <v xml:space="preserve">Raemulan Lands, Inc. </v>
          </cell>
          <cell r="K165" t="str">
            <v>Penthouse at Jubilation Enclave North</v>
          </cell>
          <cell r="L165" t="str">
            <v>JPH</v>
          </cell>
          <cell r="M165" t="str">
            <v>Middle Income</v>
          </cell>
          <cell r="N165">
            <v>9</v>
          </cell>
          <cell r="O165">
            <v>1</v>
          </cell>
          <cell r="P165" t="str">
            <v>H+L</v>
          </cell>
          <cell r="Q165">
            <v>83</v>
          </cell>
          <cell r="R165">
            <v>113</v>
          </cell>
          <cell r="S165" t="str">
            <v>A</v>
          </cell>
          <cell r="T165" t="str">
            <v>End Unit</v>
          </cell>
          <cell r="U165" t="str">
            <v>PREMIUM</v>
          </cell>
          <cell r="V165" t="str">
            <v>End Unit - PREMIUM</v>
          </cell>
          <cell r="W165" t="str">
            <v>End Unit - PREMIUM</v>
          </cell>
          <cell r="X165">
            <v>7097156</v>
          </cell>
          <cell r="Y165">
            <v>84156</v>
          </cell>
          <cell r="Z165">
            <v>7013000</v>
          </cell>
          <cell r="AA165">
            <v>751392.85714285704</v>
          </cell>
          <cell r="AB165">
            <v>6261607.1428571427</v>
          </cell>
        </row>
        <row r="166">
          <cell r="H166" t="str">
            <v>JPH-00-009-002</v>
          </cell>
          <cell r="I166" t="str">
            <v>PREMIUM/NO CLADDING</v>
          </cell>
          <cell r="J166" t="str">
            <v xml:space="preserve">Raemulan Lands, Inc. </v>
          </cell>
          <cell r="K166" t="str">
            <v>Penthouse at Jubilation Enclave North</v>
          </cell>
          <cell r="L166" t="str">
            <v>JPH</v>
          </cell>
          <cell r="M166" t="str">
            <v>Middle Income</v>
          </cell>
          <cell r="N166">
            <v>9</v>
          </cell>
          <cell r="O166">
            <v>2</v>
          </cell>
          <cell r="P166" t="str">
            <v>H+L</v>
          </cell>
          <cell r="Q166">
            <v>60</v>
          </cell>
          <cell r="R166">
            <v>113</v>
          </cell>
          <cell r="S166" t="str">
            <v>B</v>
          </cell>
          <cell r="T166" t="str">
            <v>Inner Unit</v>
          </cell>
          <cell r="U166" t="str">
            <v>PREMIUM/NO CLADDING</v>
          </cell>
          <cell r="V166" t="str">
            <v>Inner Unit-PREMIUM</v>
          </cell>
          <cell r="W166" t="str">
            <v>Inner Unit-PREMIUM</v>
          </cell>
          <cell r="X166">
            <v>6476800</v>
          </cell>
          <cell r="Y166">
            <v>76800</v>
          </cell>
          <cell r="Z166">
            <v>6400000</v>
          </cell>
          <cell r="AA166">
            <v>685714.28571428556</v>
          </cell>
          <cell r="AB166">
            <v>5714285.7142857146</v>
          </cell>
        </row>
        <row r="167">
          <cell r="H167" t="str">
            <v>JPH-00-009-003</v>
          </cell>
          <cell r="I167" t="str">
            <v>PREMIUM/NO CLADDING</v>
          </cell>
          <cell r="J167" t="str">
            <v xml:space="preserve">Raemulan Lands, Inc. </v>
          </cell>
          <cell r="K167" t="str">
            <v>Penthouse at Jubilation Enclave North</v>
          </cell>
          <cell r="L167" t="str">
            <v>JPH</v>
          </cell>
          <cell r="M167" t="str">
            <v>Middle Income</v>
          </cell>
          <cell r="N167">
            <v>9</v>
          </cell>
          <cell r="O167">
            <v>3</v>
          </cell>
          <cell r="P167" t="str">
            <v>H+L</v>
          </cell>
          <cell r="Q167">
            <v>60</v>
          </cell>
          <cell r="R167">
            <v>113</v>
          </cell>
          <cell r="S167" t="str">
            <v>C</v>
          </cell>
          <cell r="T167" t="str">
            <v>Inner Unit</v>
          </cell>
          <cell r="U167" t="str">
            <v>PREMIUM/NO CLADDING</v>
          </cell>
          <cell r="V167" t="str">
            <v>Inner Unit-PREMIUM</v>
          </cell>
          <cell r="W167" t="str">
            <v>Inner Unit-PREMIUM</v>
          </cell>
          <cell r="X167">
            <v>6710572</v>
          </cell>
          <cell r="Y167">
            <v>79572</v>
          </cell>
          <cell r="Z167">
            <v>6631000</v>
          </cell>
          <cell r="AA167">
            <v>710464.28571428556</v>
          </cell>
          <cell r="AB167">
            <v>5920535.7142857146</v>
          </cell>
        </row>
        <row r="168">
          <cell r="H168" t="str">
            <v>JPH-00-009-004</v>
          </cell>
          <cell r="I168" t="str">
            <v>PREMIUM/NO CLADDING</v>
          </cell>
          <cell r="J168" t="str">
            <v xml:space="preserve">Raemulan Lands, Inc. </v>
          </cell>
          <cell r="K168" t="str">
            <v>Penthouse at Jubilation Enclave North</v>
          </cell>
          <cell r="L168" t="str">
            <v>JPH</v>
          </cell>
          <cell r="M168" t="str">
            <v>Middle Income</v>
          </cell>
          <cell r="N168">
            <v>9</v>
          </cell>
          <cell r="O168">
            <v>4</v>
          </cell>
          <cell r="P168" t="str">
            <v>H+L</v>
          </cell>
          <cell r="Q168">
            <v>60</v>
          </cell>
          <cell r="R168">
            <v>113</v>
          </cell>
          <cell r="S168" t="str">
            <v>D</v>
          </cell>
          <cell r="T168" t="str">
            <v>Inner Unit</v>
          </cell>
          <cell r="U168" t="str">
            <v>PREMIUM/NO CLADDING</v>
          </cell>
          <cell r="V168" t="str">
            <v>Inner Unit-PREMIUM</v>
          </cell>
          <cell r="W168" t="str">
            <v>Inner Unit-PREMIUM</v>
          </cell>
          <cell r="X168">
            <v>6476800</v>
          </cell>
          <cell r="Y168">
            <v>76800</v>
          </cell>
          <cell r="Z168">
            <v>6400000</v>
          </cell>
          <cell r="AA168">
            <v>685714.28571428556</v>
          </cell>
          <cell r="AB168">
            <v>5714285.7142857146</v>
          </cell>
        </row>
        <row r="169">
          <cell r="H169" t="str">
            <v>JPH-00-009-005</v>
          </cell>
          <cell r="I169" t="str">
            <v>PREMIUM/NO CLADDING</v>
          </cell>
          <cell r="J169" t="str">
            <v xml:space="preserve">Raemulan Lands, Inc. </v>
          </cell>
          <cell r="K169" t="str">
            <v>Penthouse at Jubilation Enclave North</v>
          </cell>
          <cell r="L169" t="str">
            <v>JPH</v>
          </cell>
          <cell r="M169" t="str">
            <v>Middle Income</v>
          </cell>
          <cell r="N169">
            <v>9</v>
          </cell>
          <cell r="O169">
            <v>5</v>
          </cell>
          <cell r="P169" t="str">
            <v>H+L</v>
          </cell>
          <cell r="Q169">
            <v>60</v>
          </cell>
          <cell r="R169">
            <v>113</v>
          </cell>
          <cell r="S169" t="str">
            <v>E</v>
          </cell>
          <cell r="T169" t="str">
            <v>Inner Unit</v>
          </cell>
          <cell r="U169" t="str">
            <v>PREMIUM/NO CLADDING</v>
          </cell>
          <cell r="V169" t="str">
            <v>Inner Unit-PREMIUM</v>
          </cell>
          <cell r="W169" t="str">
            <v>Inner Unit-PREMIUM</v>
          </cell>
          <cell r="X169">
            <v>6710572</v>
          </cell>
          <cell r="Y169">
            <v>79572</v>
          </cell>
          <cell r="Z169">
            <v>6631000</v>
          </cell>
          <cell r="AA169">
            <v>710464.28571428556</v>
          </cell>
          <cell r="AB169">
            <v>5920535.7142857146</v>
          </cell>
        </row>
        <row r="170">
          <cell r="H170" t="str">
            <v>JPH-00-009-006</v>
          </cell>
          <cell r="I170" t="str">
            <v>PREMIUM</v>
          </cell>
          <cell r="J170" t="str">
            <v xml:space="preserve">Raemulan Lands, Inc. </v>
          </cell>
          <cell r="K170" t="str">
            <v>Penthouse at Jubilation Enclave North</v>
          </cell>
          <cell r="L170" t="str">
            <v>JPH</v>
          </cell>
          <cell r="M170" t="str">
            <v>Middle Income</v>
          </cell>
          <cell r="N170">
            <v>9</v>
          </cell>
          <cell r="O170">
            <v>6</v>
          </cell>
          <cell r="P170" t="str">
            <v>H+L</v>
          </cell>
          <cell r="Q170">
            <v>80</v>
          </cell>
          <cell r="R170">
            <v>113</v>
          </cell>
          <cell r="S170" t="str">
            <v>F</v>
          </cell>
          <cell r="T170" t="str">
            <v>End Unit</v>
          </cell>
          <cell r="U170" t="str">
            <v>PREMIUM</v>
          </cell>
          <cell r="V170" t="str">
            <v>End Unit - PREMIUM</v>
          </cell>
          <cell r="W170" t="str">
            <v>End Unit - PREMIUM</v>
          </cell>
          <cell r="X170">
            <v>7003040</v>
          </cell>
          <cell r="Y170">
            <v>83040</v>
          </cell>
          <cell r="Z170">
            <v>6920000</v>
          </cell>
          <cell r="AA170">
            <v>741428.57142857183</v>
          </cell>
          <cell r="AB170">
            <v>6178571.4285714282</v>
          </cell>
        </row>
        <row r="171">
          <cell r="H171" t="str">
            <v>JPH-00-009-007</v>
          </cell>
          <cell r="I171" t="str">
            <v>PREMIUM</v>
          </cell>
          <cell r="J171" t="str">
            <v xml:space="preserve">Raemulan Lands, Inc. </v>
          </cell>
          <cell r="K171" t="str">
            <v>Penthouse at Jubilation Enclave North</v>
          </cell>
          <cell r="L171" t="str">
            <v>JPH</v>
          </cell>
          <cell r="M171" t="str">
            <v>Middle Income</v>
          </cell>
          <cell r="N171">
            <v>9</v>
          </cell>
          <cell r="O171">
            <v>7</v>
          </cell>
          <cell r="P171" t="str">
            <v>H+L</v>
          </cell>
          <cell r="Q171">
            <v>80</v>
          </cell>
          <cell r="R171">
            <v>113</v>
          </cell>
          <cell r="S171" t="str">
            <v>A</v>
          </cell>
          <cell r="T171" t="str">
            <v>End Unit</v>
          </cell>
          <cell r="U171" t="str">
            <v>PREMIUM</v>
          </cell>
          <cell r="V171" t="str">
            <v>End Unit - PREMIUM</v>
          </cell>
          <cell r="W171" t="str">
            <v>End Unit - PREMIUM</v>
          </cell>
          <cell r="X171">
            <v>6862979.2000000002</v>
          </cell>
          <cell r="Y171">
            <v>81379.199999999997</v>
          </cell>
          <cell r="Z171">
            <v>6781600</v>
          </cell>
          <cell r="AA171">
            <v>726599.99999999988</v>
          </cell>
          <cell r="AB171">
            <v>6055000</v>
          </cell>
        </row>
        <row r="172">
          <cell r="H172" t="str">
            <v>JPH-00-009-008</v>
          </cell>
          <cell r="I172" t="str">
            <v>PREMIUM</v>
          </cell>
          <cell r="J172" t="str">
            <v xml:space="preserve">Raemulan Lands, Inc. </v>
          </cell>
          <cell r="K172" t="str">
            <v>Penthouse at Jubilation Enclave North</v>
          </cell>
          <cell r="L172" t="str">
            <v>JPH</v>
          </cell>
          <cell r="M172" t="str">
            <v>Middle Income</v>
          </cell>
          <cell r="N172">
            <v>9</v>
          </cell>
          <cell r="O172">
            <v>8</v>
          </cell>
          <cell r="P172" t="str">
            <v>H+L</v>
          </cell>
          <cell r="Q172">
            <v>60</v>
          </cell>
          <cell r="R172">
            <v>113</v>
          </cell>
          <cell r="S172" t="str">
            <v>B</v>
          </cell>
          <cell r="T172" t="str">
            <v>Inner Unit</v>
          </cell>
          <cell r="U172" t="str">
            <v>PREMIUM</v>
          </cell>
          <cell r="V172" t="str">
            <v>Inner Unit-PREMIUM</v>
          </cell>
          <cell r="W172" t="str">
            <v>Inner Unit-PREMIUM</v>
          </cell>
          <cell r="X172">
            <v>6710572</v>
          </cell>
          <cell r="Y172">
            <v>79572</v>
          </cell>
          <cell r="Z172">
            <v>6631000</v>
          </cell>
          <cell r="AA172">
            <v>710464.28571428556</v>
          </cell>
          <cell r="AB172">
            <v>5920535.7142857146</v>
          </cell>
        </row>
        <row r="173">
          <cell r="H173" t="str">
            <v>JPH-00-009-009</v>
          </cell>
          <cell r="I173" t="str">
            <v>PREMIUM</v>
          </cell>
          <cell r="J173" t="str">
            <v xml:space="preserve">Raemulan Lands, Inc. </v>
          </cell>
          <cell r="K173" t="str">
            <v>Penthouse at Jubilation Enclave North</v>
          </cell>
          <cell r="L173" t="str">
            <v>JPH</v>
          </cell>
          <cell r="M173" t="str">
            <v>Middle Income</v>
          </cell>
          <cell r="N173">
            <v>9</v>
          </cell>
          <cell r="O173">
            <v>9</v>
          </cell>
          <cell r="P173" t="str">
            <v>H+L</v>
          </cell>
          <cell r="Q173">
            <v>60</v>
          </cell>
          <cell r="R173">
            <v>113</v>
          </cell>
          <cell r="S173" t="str">
            <v>C</v>
          </cell>
          <cell r="T173" t="str">
            <v>Inner Unit</v>
          </cell>
          <cell r="U173" t="str">
            <v>PREMIUM</v>
          </cell>
          <cell r="V173" t="str">
            <v>Inner Unit-PREMIUM</v>
          </cell>
          <cell r="W173" t="str">
            <v>Inner Unit-PREMIUM</v>
          </cell>
          <cell r="X173">
            <v>6710572</v>
          </cell>
          <cell r="Y173">
            <v>79572</v>
          </cell>
          <cell r="Z173">
            <v>6631000</v>
          </cell>
          <cell r="AA173">
            <v>710464.28571428556</v>
          </cell>
          <cell r="AB173">
            <v>5920535.7142857146</v>
          </cell>
        </row>
        <row r="174">
          <cell r="H174" t="str">
            <v>JPH-00-009-010</v>
          </cell>
          <cell r="I174" t="str">
            <v>PREMIUM</v>
          </cell>
          <cell r="J174" t="str">
            <v xml:space="preserve">Raemulan Lands, Inc. </v>
          </cell>
          <cell r="K174" t="str">
            <v>Penthouse at Jubilation Enclave North</v>
          </cell>
          <cell r="L174" t="str">
            <v>JPH</v>
          </cell>
          <cell r="M174" t="str">
            <v>Middle Income</v>
          </cell>
          <cell r="N174">
            <v>9</v>
          </cell>
          <cell r="O174">
            <v>10</v>
          </cell>
          <cell r="P174" t="str">
            <v>H+L</v>
          </cell>
          <cell r="Q174">
            <v>60</v>
          </cell>
          <cell r="R174">
            <v>113</v>
          </cell>
          <cell r="S174" t="str">
            <v>E</v>
          </cell>
          <cell r="T174" t="str">
            <v>Inner Unit</v>
          </cell>
          <cell r="U174" t="str">
            <v>PREMIUM</v>
          </cell>
          <cell r="V174" t="str">
            <v>Inner Unit-PREMIUM</v>
          </cell>
          <cell r="W174" t="str">
            <v>Inner Unit-PREMIUM</v>
          </cell>
          <cell r="X174">
            <v>5788640</v>
          </cell>
          <cell r="Y174">
            <v>68640</v>
          </cell>
          <cell r="Z174">
            <v>5720000</v>
          </cell>
          <cell r="AA174">
            <v>612857.14285714272</v>
          </cell>
          <cell r="AB174">
            <v>5107142.8571428573</v>
          </cell>
        </row>
        <row r="175">
          <cell r="H175" t="str">
            <v>JPH-00-009-011</v>
          </cell>
          <cell r="I175" t="str">
            <v>PREMIUM</v>
          </cell>
          <cell r="J175" t="str">
            <v xml:space="preserve">Raemulan Lands, Inc. </v>
          </cell>
          <cell r="K175" t="str">
            <v>Penthouse at Jubilation Enclave North</v>
          </cell>
          <cell r="L175" t="str">
            <v>JPH</v>
          </cell>
          <cell r="M175" t="str">
            <v>Middle Income</v>
          </cell>
          <cell r="N175">
            <v>9</v>
          </cell>
          <cell r="O175">
            <v>11</v>
          </cell>
          <cell r="P175" t="str">
            <v>H+L</v>
          </cell>
          <cell r="Q175">
            <v>99</v>
          </cell>
          <cell r="R175">
            <v>113</v>
          </cell>
          <cell r="S175" t="str">
            <v>F</v>
          </cell>
          <cell r="T175" t="str">
            <v>End Unit</v>
          </cell>
          <cell r="U175" t="str">
            <v>PREMIUM</v>
          </cell>
          <cell r="V175" t="str">
            <v>End Unit - PREMIUM</v>
          </cell>
          <cell r="W175" t="str">
            <v>End Unit - PREMIUM</v>
          </cell>
          <cell r="X175">
            <v>7458035.2000000002</v>
          </cell>
          <cell r="Y175">
            <v>88435.199999999997</v>
          </cell>
          <cell r="Z175">
            <v>7369600</v>
          </cell>
          <cell r="AA175">
            <v>789600</v>
          </cell>
          <cell r="AB175">
            <v>6580000</v>
          </cell>
        </row>
      </sheetData>
      <sheetData sheetId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ENTORY"/>
      <sheetName val="INPUT"/>
      <sheetName val="TEMP_DROPDOWN"/>
    </sheetNames>
    <sheetDataSet>
      <sheetData sheetId="0"/>
      <sheetData sheetId="1" refreshError="1"/>
      <sheetData sheetId="2">
        <row r="1">
          <cell r="A1" t="str">
            <v>AGM-01-003-007</v>
          </cell>
        </row>
        <row r="2">
          <cell r="A2" t="str">
            <v>AGM-01-009-037</v>
          </cell>
        </row>
        <row r="3">
          <cell r="A3" t="str">
            <v>AGM-01-026-047</v>
          </cell>
        </row>
        <row r="4">
          <cell r="A4" t="str">
            <v>AGM-01-027-026</v>
          </cell>
        </row>
        <row r="5">
          <cell r="A5" t="str">
            <v>AGM-01-028-012</v>
          </cell>
        </row>
        <row r="6">
          <cell r="A6" t="str">
            <v>AGM-01-029-015</v>
          </cell>
        </row>
        <row r="7">
          <cell r="A7" t="str">
            <v>AGM-01-029-022</v>
          </cell>
        </row>
        <row r="8">
          <cell r="A8" t="str">
            <v>AGM-01-029-024</v>
          </cell>
        </row>
        <row r="9">
          <cell r="A9" t="str">
            <v>AGM-01-033-011</v>
          </cell>
        </row>
        <row r="10">
          <cell r="A10" t="str">
            <v>AGM-01-034-001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ENTORY"/>
      <sheetName val="INPUT"/>
      <sheetName val="TEMP_DROPDOWN"/>
    </sheetNames>
    <sheetDataSet>
      <sheetData sheetId="0"/>
      <sheetData sheetId="1" refreshError="1"/>
      <sheetData sheetId="2">
        <row r="1">
          <cell r="A1" t="str">
            <v>JPH-00-001-007</v>
          </cell>
        </row>
        <row r="2">
          <cell r="A2" t="str">
            <v>JPH-00-001-017</v>
          </cell>
        </row>
        <row r="3">
          <cell r="A3" t="str">
            <v>JPH-00-001-020</v>
          </cell>
        </row>
        <row r="4">
          <cell r="A4" t="str">
            <v>JPH-00-001-022</v>
          </cell>
        </row>
        <row r="5">
          <cell r="A5" t="str">
            <v>JPH-00-001-024</v>
          </cell>
        </row>
        <row r="6">
          <cell r="A6" t="str">
            <v>JPH-00-002-020</v>
          </cell>
        </row>
        <row r="7">
          <cell r="A7" t="str">
            <v>JPH-00-002-021</v>
          </cell>
        </row>
        <row r="8">
          <cell r="A8" t="str">
            <v>JPH-00-002-022</v>
          </cell>
        </row>
        <row r="9">
          <cell r="A9" t="str">
            <v>JPH-00-002-023</v>
          </cell>
        </row>
        <row r="10">
          <cell r="A10" t="str">
            <v>JPH-00-002-030</v>
          </cell>
        </row>
        <row r="11">
          <cell r="A11" t="str">
            <v>JPH-00-003-018</v>
          </cell>
        </row>
        <row r="12">
          <cell r="A12" t="str">
            <v>JPH-00-003-026</v>
          </cell>
        </row>
        <row r="13">
          <cell r="A13" t="str">
            <v>JPH-00-003-027</v>
          </cell>
        </row>
        <row r="14">
          <cell r="A14" t="str">
            <v>JPH-00-005-006</v>
          </cell>
        </row>
        <row r="15">
          <cell r="A15" t="str">
            <v>JPH-00-005-007</v>
          </cell>
        </row>
        <row r="16">
          <cell r="A16" t="str">
            <v>JPH-00-006-003</v>
          </cell>
        </row>
        <row r="17">
          <cell r="A17" t="str">
            <v>JPH-00-007-013</v>
          </cell>
        </row>
        <row r="18">
          <cell r="A18" t="str">
            <v>JPH-00-007-020</v>
          </cell>
        </row>
        <row r="19">
          <cell r="A19" t="str">
            <v>JPH-00-008-022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36435-E1C6-4834-98BD-D496645E6504}">
  <sheetPr codeName="Sheet1">
    <pageSetUpPr fitToPage="1"/>
  </sheetPr>
  <dimension ref="A1:Q2357"/>
  <sheetViews>
    <sheetView showGridLines="0" zoomScale="85" zoomScaleNormal="85" zoomScaleSheetLayoutView="85" workbookViewId="0">
      <selection activeCell="F1" sqref="F1"/>
    </sheetView>
  </sheetViews>
  <sheetFormatPr defaultColWidth="4" defaultRowHeight="14.4"/>
  <cols>
    <col min="1" max="1" width="22.44140625" style="2" bestFit="1" customWidth="1"/>
    <col min="2" max="2" width="19.88671875" style="2" bestFit="1" customWidth="1"/>
    <col min="3" max="3" width="20.44140625" style="2" bestFit="1" customWidth="1"/>
    <col min="4" max="4" width="20" style="2" bestFit="1" customWidth="1"/>
    <col min="5" max="5" width="13.109375" style="2" customWidth="1"/>
    <col min="6" max="6" width="10.6640625" style="2" bestFit="1" customWidth="1"/>
    <col min="7" max="7" width="10.77734375" style="2" customWidth="1"/>
    <col min="8" max="8" width="9.5546875" style="2" customWidth="1"/>
    <col min="9" max="9" width="8" style="2" customWidth="1"/>
    <col min="10" max="10" width="18.33203125" style="2" bestFit="1" customWidth="1"/>
    <col min="11" max="11" width="28.77734375" style="2" bestFit="1" customWidth="1"/>
    <col min="12" max="12" width="14.33203125" style="3" bestFit="1" customWidth="1"/>
    <col min="13" max="13" width="13" style="4" customWidth="1"/>
    <col min="14" max="14" width="15.5546875" style="4" bestFit="1" customWidth="1"/>
    <col min="15" max="15" width="13.21875" style="3" bestFit="1" customWidth="1"/>
    <col min="16" max="16" width="14.33203125" style="5" bestFit="1" customWidth="1"/>
    <col min="17" max="17" width="1.6640625" style="2" customWidth="1"/>
    <col min="18" max="16384" width="4" style="2"/>
  </cols>
  <sheetData>
    <row r="1" spans="1:17">
      <c r="A1" s="1"/>
      <c r="D1" s="1"/>
    </row>
    <row r="2" spans="1:17">
      <c r="A2" s="6"/>
    </row>
    <row r="3" spans="1:17">
      <c r="A3" s="6"/>
    </row>
    <row r="4" spans="1:17">
      <c r="A4" s="6"/>
      <c r="B4" s="7"/>
      <c r="D4" s="7"/>
    </row>
    <row r="5" spans="1:17" s="10" customFormat="1" ht="13.8">
      <c r="A5" s="8"/>
      <c r="B5" s="9">
        <f>SUBTOTAL(3,B7:B7:B2357)</f>
        <v>2351</v>
      </c>
      <c r="C5" s="9"/>
      <c r="D5" s="9"/>
      <c r="L5" s="4"/>
      <c r="M5" s="4"/>
      <c r="N5" s="4"/>
      <c r="O5" s="4"/>
      <c r="P5" s="11"/>
    </row>
    <row r="6" spans="1:17" s="17" customFormat="1" ht="27.6">
      <c r="A6" s="8"/>
      <c r="B6" s="12" t="s">
        <v>5</v>
      </c>
      <c r="C6" s="12" t="s">
        <v>6</v>
      </c>
      <c r="D6" s="13" t="s">
        <v>7</v>
      </c>
      <c r="E6" s="13" t="s">
        <v>8</v>
      </c>
      <c r="F6" s="12" t="s">
        <v>9</v>
      </c>
      <c r="G6" s="12" t="s">
        <v>10</v>
      </c>
      <c r="H6" s="13" t="s">
        <v>11</v>
      </c>
      <c r="I6" s="13" t="s">
        <v>12</v>
      </c>
      <c r="J6" s="12" t="s">
        <v>13</v>
      </c>
      <c r="K6" s="13" t="s">
        <v>14</v>
      </c>
      <c r="L6" s="14" t="s">
        <v>15</v>
      </c>
      <c r="M6" s="14" t="s">
        <v>16</v>
      </c>
      <c r="N6" s="14" t="s">
        <v>17</v>
      </c>
      <c r="O6" s="15" t="s">
        <v>18</v>
      </c>
      <c r="P6" s="14" t="s">
        <v>19</v>
      </c>
      <c r="Q6" s="16"/>
    </row>
    <row r="7" spans="1:17" s="17" customFormat="1" ht="13.8">
      <c r="B7" s="47" t="s">
        <v>20</v>
      </c>
      <c r="C7" s="47" t="s">
        <v>0</v>
      </c>
      <c r="D7" s="47" t="s">
        <v>21</v>
      </c>
      <c r="E7" s="47" t="s">
        <v>22</v>
      </c>
      <c r="F7" s="47" t="s">
        <v>23</v>
      </c>
      <c r="G7" s="47" t="s">
        <v>24</v>
      </c>
      <c r="H7" s="47">
        <v>50</v>
      </c>
      <c r="I7" s="47">
        <v>100</v>
      </c>
      <c r="J7" s="47" t="s">
        <v>25</v>
      </c>
      <c r="K7" s="47" t="s">
        <v>26</v>
      </c>
      <c r="L7" s="48">
        <v>3490000</v>
      </c>
      <c r="M7" s="48"/>
      <c r="N7" s="48">
        <f>L7-M7</f>
        <v>3490000</v>
      </c>
      <c r="O7" s="49"/>
      <c r="P7" s="50">
        <f>N7-O7</f>
        <v>3490000</v>
      </c>
      <c r="Q7" s="28"/>
    </row>
    <row r="8" spans="1:17" s="17" customFormat="1" ht="13.8">
      <c r="B8" s="51" t="s">
        <v>27</v>
      </c>
      <c r="C8" s="20" t="s">
        <v>0</v>
      </c>
      <c r="D8" s="51" t="s">
        <v>21</v>
      </c>
      <c r="E8" s="51" t="s">
        <v>22</v>
      </c>
      <c r="F8" s="20" t="s">
        <v>23</v>
      </c>
      <c r="G8" s="20" t="s">
        <v>28</v>
      </c>
      <c r="H8" s="51">
        <v>50</v>
      </c>
      <c r="I8" s="51">
        <v>110</v>
      </c>
      <c r="J8" s="20" t="s">
        <v>25</v>
      </c>
      <c r="K8" s="20" t="s">
        <v>29</v>
      </c>
      <c r="L8" s="52">
        <v>3820000</v>
      </c>
      <c r="M8" s="52">
        <v>220000</v>
      </c>
      <c r="N8" s="52">
        <f t="shared" ref="N8:N71" si="0">L8-M8</f>
        <v>3600000</v>
      </c>
      <c r="O8" s="53"/>
      <c r="P8" s="54">
        <f t="shared" ref="P8:P71" si="1">N8-O8</f>
        <v>3600000</v>
      </c>
      <c r="Q8" s="29"/>
    </row>
    <row r="9" spans="1:17" s="17" customFormat="1" ht="13.8">
      <c r="B9" s="20" t="s">
        <v>30</v>
      </c>
      <c r="C9" s="20" t="s">
        <v>0</v>
      </c>
      <c r="D9" s="20" t="s">
        <v>21</v>
      </c>
      <c r="E9" s="20" t="s">
        <v>22</v>
      </c>
      <c r="F9" s="20" t="s">
        <v>23</v>
      </c>
      <c r="G9" s="20" t="s">
        <v>31</v>
      </c>
      <c r="H9" s="20">
        <v>50</v>
      </c>
      <c r="I9" s="20">
        <v>70</v>
      </c>
      <c r="J9" s="20" t="s">
        <v>25</v>
      </c>
      <c r="K9" s="20" t="s">
        <v>32</v>
      </c>
      <c r="L9" s="52">
        <v>2900000</v>
      </c>
      <c r="M9" s="52"/>
      <c r="N9" s="52">
        <f t="shared" si="0"/>
        <v>2900000</v>
      </c>
      <c r="O9" s="53"/>
      <c r="P9" s="54">
        <f t="shared" si="1"/>
        <v>2900000</v>
      </c>
      <c r="Q9" s="28"/>
    </row>
    <row r="10" spans="1:17" s="17" customFormat="1" ht="13.8">
      <c r="B10" s="51" t="s">
        <v>33</v>
      </c>
      <c r="C10" s="20" t="s">
        <v>0</v>
      </c>
      <c r="D10" s="51" t="s">
        <v>21</v>
      </c>
      <c r="E10" s="51" t="s">
        <v>22</v>
      </c>
      <c r="F10" s="20" t="s">
        <v>23</v>
      </c>
      <c r="G10" s="20" t="s">
        <v>34</v>
      </c>
      <c r="H10" s="51">
        <v>50</v>
      </c>
      <c r="I10" s="51">
        <v>70</v>
      </c>
      <c r="J10" s="20" t="s">
        <v>25</v>
      </c>
      <c r="K10" s="20" t="s">
        <v>35</v>
      </c>
      <c r="L10" s="52">
        <v>2900000</v>
      </c>
      <c r="M10" s="52"/>
      <c r="N10" s="52">
        <f t="shared" si="0"/>
        <v>2900000</v>
      </c>
      <c r="O10" s="53"/>
      <c r="P10" s="54">
        <f t="shared" si="1"/>
        <v>2900000</v>
      </c>
      <c r="Q10" s="29"/>
    </row>
    <row r="11" spans="1:17" s="17" customFormat="1" ht="13.8">
      <c r="B11" s="20" t="s">
        <v>36</v>
      </c>
      <c r="C11" s="20" t="s">
        <v>0</v>
      </c>
      <c r="D11" s="20" t="s">
        <v>21</v>
      </c>
      <c r="E11" s="20" t="s">
        <v>22</v>
      </c>
      <c r="F11" s="20" t="s">
        <v>23</v>
      </c>
      <c r="G11" s="20" t="s">
        <v>37</v>
      </c>
      <c r="H11" s="20">
        <v>50</v>
      </c>
      <c r="I11" s="20">
        <v>70</v>
      </c>
      <c r="J11" s="20" t="s">
        <v>25</v>
      </c>
      <c r="K11" s="20" t="s">
        <v>35</v>
      </c>
      <c r="L11" s="52">
        <v>2900000</v>
      </c>
      <c r="M11" s="52"/>
      <c r="N11" s="52">
        <f t="shared" si="0"/>
        <v>2900000</v>
      </c>
      <c r="O11" s="53"/>
      <c r="P11" s="54">
        <f t="shared" si="1"/>
        <v>2900000</v>
      </c>
      <c r="Q11" s="28"/>
    </row>
    <row r="12" spans="1:17" s="17" customFormat="1" ht="13.8">
      <c r="B12" s="51" t="s">
        <v>38</v>
      </c>
      <c r="C12" s="20" t="s">
        <v>0</v>
      </c>
      <c r="D12" s="51" t="s">
        <v>21</v>
      </c>
      <c r="E12" s="51" t="s">
        <v>22</v>
      </c>
      <c r="F12" s="20" t="s">
        <v>23</v>
      </c>
      <c r="G12" s="20" t="s">
        <v>39</v>
      </c>
      <c r="H12" s="51">
        <v>50</v>
      </c>
      <c r="I12" s="51">
        <v>70</v>
      </c>
      <c r="J12" s="20" t="s">
        <v>25</v>
      </c>
      <c r="K12" s="20" t="s">
        <v>32</v>
      </c>
      <c r="L12" s="52">
        <v>2900000</v>
      </c>
      <c r="M12" s="52"/>
      <c r="N12" s="52">
        <f t="shared" si="0"/>
        <v>2900000</v>
      </c>
      <c r="O12" s="53"/>
      <c r="P12" s="54">
        <f t="shared" si="1"/>
        <v>2900000</v>
      </c>
      <c r="Q12" s="29"/>
    </row>
    <row r="13" spans="1:17" s="17" customFormat="1" ht="13.8">
      <c r="B13" s="20" t="s">
        <v>40</v>
      </c>
      <c r="C13" s="20" t="s">
        <v>0</v>
      </c>
      <c r="D13" s="20" t="s">
        <v>21</v>
      </c>
      <c r="E13" s="20" t="s">
        <v>22</v>
      </c>
      <c r="F13" s="20" t="s">
        <v>41</v>
      </c>
      <c r="G13" s="20" t="s">
        <v>24</v>
      </c>
      <c r="H13" s="20">
        <v>50</v>
      </c>
      <c r="I13" s="20">
        <v>70</v>
      </c>
      <c r="J13" s="20" t="s">
        <v>25</v>
      </c>
      <c r="K13" s="20" t="s">
        <v>42</v>
      </c>
      <c r="L13" s="52">
        <v>2900000</v>
      </c>
      <c r="M13" s="52"/>
      <c r="N13" s="52">
        <f t="shared" si="0"/>
        <v>2900000</v>
      </c>
      <c r="O13" s="53"/>
      <c r="P13" s="54">
        <f t="shared" si="1"/>
        <v>2900000</v>
      </c>
      <c r="Q13" s="28"/>
    </row>
    <row r="14" spans="1:17" s="17" customFormat="1" ht="13.8">
      <c r="B14" s="51" t="s">
        <v>43</v>
      </c>
      <c r="C14" s="20" t="s">
        <v>0</v>
      </c>
      <c r="D14" s="51" t="s">
        <v>21</v>
      </c>
      <c r="E14" s="51" t="s">
        <v>22</v>
      </c>
      <c r="F14" s="20" t="s">
        <v>41</v>
      </c>
      <c r="G14" s="20" t="s">
        <v>28</v>
      </c>
      <c r="H14" s="51">
        <v>50</v>
      </c>
      <c r="I14" s="51">
        <v>70</v>
      </c>
      <c r="J14" s="20" t="s">
        <v>25</v>
      </c>
      <c r="K14" s="20" t="s">
        <v>44</v>
      </c>
      <c r="L14" s="52">
        <v>2900000</v>
      </c>
      <c r="M14" s="52"/>
      <c r="N14" s="52">
        <f t="shared" si="0"/>
        <v>2900000</v>
      </c>
      <c r="O14" s="53"/>
      <c r="P14" s="54">
        <f t="shared" si="1"/>
        <v>2900000</v>
      </c>
      <c r="Q14" s="29"/>
    </row>
    <row r="15" spans="1:17" s="17" customFormat="1" ht="13.8">
      <c r="B15" s="20" t="s">
        <v>45</v>
      </c>
      <c r="C15" s="20" t="s">
        <v>0</v>
      </c>
      <c r="D15" s="20" t="s">
        <v>21</v>
      </c>
      <c r="E15" s="20" t="s">
        <v>22</v>
      </c>
      <c r="F15" s="20" t="s">
        <v>41</v>
      </c>
      <c r="G15" s="20" t="s">
        <v>31</v>
      </c>
      <c r="H15" s="20">
        <v>50</v>
      </c>
      <c r="I15" s="20">
        <v>70</v>
      </c>
      <c r="J15" s="20" t="s">
        <v>25</v>
      </c>
      <c r="K15" s="20" t="s">
        <v>44</v>
      </c>
      <c r="L15" s="52">
        <v>2900000</v>
      </c>
      <c r="M15" s="52"/>
      <c r="N15" s="52">
        <f t="shared" si="0"/>
        <v>2900000</v>
      </c>
      <c r="O15" s="53"/>
      <c r="P15" s="54">
        <f t="shared" si="1"/>
        <v>2900000</v>
      </c>
      <c r="Q15" s="28"/>
    </row>
    <row r="16" spans="1:17" s="17" customFormat="1" ht="13.8">
      <c r="B16" s="51" t="s">
        <v>46</v>
      </c>
      <c r="C16" s="20" t="s">
        <v>0</v>
      </c>
      <c r="D16" s="51" t="s">
        <v>21</v>
      </c>
      <c r="E16" s="51" t="s">
        <v>22</v>
      </c>
      <c r="F16" s="20" t="s">
        <v>41</v>
      </c>
      <c r="G16" s="20" t="s">
        <v>34</v>
      </c>
      <c r="H16" s="51">
        <v>50</v>
      </c>
      <c r="I16" s="51">
        <v>70</v>
      </c>
      <c r="J16" s="20" t="s">
        <v>25</v>
      </c>
      <c r="K16" s="20" t="s">
        <v>42</v>
      </c>
      <c r="L16" s="52">
        <v>2900000</v>
      </c>
      <c r="M16" s="52"/>
      <c r="N16" s="52">
        <f t="shared" si="0"/>
        <v>2900000</v>
      </c>
      <c r="O16" s="53"/>
      <c r="P16" s="54">
        <f t="shared" si="1"/>
        <v>2900000</v>
      </c>
      <c r="Q16" s="29"/>
    </row>
    <row r="17" spans="2:17" s="17" customFormat="1" ht="13.8">
      <c r="B17" s="20" t="s">
        <v>47</v>
      </c>
      <c r="C17" s="20" t="s">
        <v>0</v>
      </c>
      <c r="D17" s="20" t="s">
        <v>21</v>
      </c>
      <c r="E17" s="20" t="s">
        <v>22</v>
      </c>
      <c r="F17" s="20" t="s">
        <v>41</v>
      </c>
      <c r="G17" s="20" t="s">
        <v>37</v>
      </c>
      <c r="H17" s="20">
        <v>50</v>
      </c>
      <c r="I17" s="20">
        <v>70</v>
      </c>
      <c r="J17" s="20" t="s">
        <v>25</v>
      </c>
      <c r="K17" s="20" t="s">
        <v>48</v>
      </c>
      <c r="L17" s="52">
        <v>2900000</v>
      </c>
      <c r="M17" s="52"/>
      <c r="N17" s="52">
        <f t="shared" si="0"/>
        <v>2900000</v>
      </c>
      <c r="O17" s="53"/>
      <c r="P17" s="54">
        <f t="shared" si="1"/>
        <v>2900000</v>
      </c>
      <c r="Q17" s="28"/>
    </row>
    <row r="18" spans="2:17" s="17" customFormat="1" ht="13.8">
      <c r="B18" s="51" t="s">
        <v>49</v>
      </c>
      <c r="C18" s="20" t="s">
        <v>0</v>
      </c>
      <c r="D18" s="51" t="s">
        <v>21</v>
      </c>
      <c r="E18" s="51" t="s">
        <v>22</v>
      </c>
      <c r="F18" s="20" t="s">
        <v>41</v>
      </c>
      <c r="G18" s="20" t="s">
        <v>39</v>
      </c>
      <c r="H18" s="51">
        <v>50</v>
      </c>
      <c r="I18" s="51">
        <v>70</v>
      </c>
      <c r="J18" s="20" t="s">
        <v>25</v>
      </c>
      <c r="K18" s="20" t="s">
        <v>50</v>
      </c>
      <c r="L18" s="52">
        <v>2900000</v>
      </c>
      <c r="M18" s="52"/>
      <c r="N18" s="52">
        <f t="shared" si="0"/>
        <v>2900000</v>
      </c>
      <c r="O18" s="53"/>
      <c r="P18" s="54">
        <f t="shared" si="1"/>
        <v>2900000</v>
      </c>
      <c r="Q18" s="29"/>
    </row>
    <row r="19" spans="2:17" s="17" customFormat="1" ht="13.8">
      <c r="B19" s="20" t="s">
        <v>51</v>
      </c>
      <c r="C19" s="20" t="s">
        <v>0</v>
      </c>
      <c r="D19" s="20" t="s">
        <v>21</v>
      </c>
      <c r="E19" s="20" t="s">
        <v>22</v>
      </c>
      <c r="F19" s="20" t="s">
        <v>41</v>
      </c>
      <c r="G19" s="20" t="s">
        <v>52</v>
      </c>
      <c r="H19" s="20">
        <v>50</v>
      </c>
      <c r="I19" s="20">
        <v>70</v>
      </c>
      <c r="J19" s="20" t="s">
        <v>25</v>
      </c>
      <c r="K19" s="20" t="s">
        <v>48</v>
      </c>
      <c r="L19" s="52">
        <v>2900000</v>
      </c>
      <c r="M19" s="52"/>
      <c r="N19" s="52">
        <f t="shared" si="0"/>
        <v>2900000</v>
      </c>
      <c r="O19" s="53"/>
      <c r="P19" s="54">
        <f t="shared" si="1"/>
        <v>2900000</v>
      </c>
      <c r="Q19" s="28"/>
    </row>
    <row r="20" spans="2:17" s="17" customFormat="1" ht="13.8">
      <c r="B20" s="51" t="s">
        <v>53</v>
      </c>
      <c r="C20" s="20" t="s">
        <v>0</v>
      </c>
      <c r="D20" s="51" t="s">
        <v>21</v>
      </c>
      <c r="E20" s="51" t="s">
        <v>22</v>
      </c>
      <c r="F20" s="20" t="s">
        <v>41</v>
      </c>
      <c r="G20" s="20" t="s">
        <v>54</v>
      </c>
      <c r="H20" s="51">
        <v>50</v>
      </c>
      <c r="I20" s="51">
        <v>70</v>
      </c>
      <c r="J20" s="20" t="s">
        <v>25</v>
      </c>
      <c r="K20" s="20" t="s">
        <v>50</v>
      </c>
      <c r="L20" s="52">
        <v>2900000</v>
      </c>
      <c r="M20" s="52"/>
      <c r="N20" s="52">
        <f t="shared" si="0"/>
        <v>2900000</v>
      </c>
      <c r="O20" s="53"/>
      <c r="P20" s="54">
        <f t="shared" si="1"/>
        <v>2900000</v>
      </c>
      <c r="Q20" s="29"/>
    </row>
    <row r="21" spans="2:17" s="17" customFormat="1" ht="13.8">
      <c r="B21" s="20" t="s">
        <v>55</v>
      </c>
      <c r="C21" s="20" t="s">
        <v>0</v>
      </c>
      <c r="D21" s="20" t="s">
        <v>21</v>
      </c>
      <c r="E21" s="20" t="s">
        <v>22</v>
      </c>
      <c r="F21" s="20" t="s">
        <v>56</v>
      </c>
      <c r="G21" s="20" t="s">
        <v>24</v>
      </c>
      <c r="H21" s="20">
        <v>50</v>
      </c>
      <c r="I21" s="20">
        <v>100</v>
      </c>
      <c r="J21" s="20" t="s">
        <v>25</v>
      </c>
      <c r="K21" s="20" t="s">
        <v>48</v>
      </c>
      <c r="L21" s="52">
        <v>3490000</v>
      </c>
      <c r="M21" s="52"/>
      <c r="N21" s="52">
        <f t="shared" si="0"/>
        <v>3490000</v>
      </c>
      <c r="O21" s="53"/>
      <c r="P21" s="54">
        <f t="shared" si="1"/>
        <v>3490000</v>
      </c>
      <c r="Q21" s="28"/>
    </row>
    <row r="22" spans="2:17" s="17" customFormat="1" ht="13.8">
      <c r="B22" s="51" t="s">
        <v>57</v>
      </c>
      <c r="C22" s="20" t="s">
        <v>0</v>
      </c>
      <c r="D22" s="51" t="s">
        <v>21</v>
      </c>
      <c r="E22" s="51" t="s">
        <v>22</v>
      </c>
      <c r="F22" s="20" t="s">
        <v>56</v>
      </c>
      <c r="G22" s="20" t="s">
        <v>28</v>
      </c>
      <c r="H22" s="51">
        <v>50</v>
      </c>
      <c r="I22" s="51">
        <v>109</v>
      </c>
      <c r="J22" s="20" t="s">
        <v>25</v>
      </c>
      <c r="K22" s="20" t="s">
        <v>50</v>
      </c>
      <c r="L22" s="52">
        <v>3655000</v>
      </c>
      <c r="M22" s="52">
        <v>55000</v>
      </c>
      <c r="N22" s="52">
        <f t="shared" si="0"/>
        <v>3600000</v>
      </c>
      <c r="O22" s="53"/>
      <c r="P22" s="54">
        <f t="shared" si="1"/>
        <v>3600000</v>
      </c>
      <c r="Q22" s="29"/>
    </row>
    <row r="23" spans="2:17" s="17" customFormat="1" ht="13.8">
      <c r="B23" s="20" t="s">
        <v>58</v>
      </c>
      <c r="C23" s="20" t="s">
        <v>0</v>
      </c>
      <c r="D23" s="20" t="s">
        <v>21</v>
      </c>
      <c r="E23" s="20" t="s">
        <v>22</v>
      </c>
      <c r="F23" s="20" t="s">
        <v>56</v>
      </c>
      <c r="G23" s="20" t="s">
        <v>31</v>
      </c>
      <c r="H23" s="20">
        <v>50</v>
      </c>
      <c r="I23" s="20">
        <v>110</v>
      </c>
      <c r="J23" s="20" t="s">
        <v>25</v>
      </c>
      <c r="K23" s="20" t="s">
        <v>48</v>
      </c>
      <c r="L23" s="52">
        <v>3820000</v>
      </c>
      <c r="M23" s="52">
        <v>220000</v>
      </c>
      <c r="N23" s="52">
        <f t="shared" si="0"/>
        <v>3600000</v>
      </c>
      <c r="O23" s="53"/>
      <c r="P23" s="54">
        <f t="shared" si="1"/>
        <v>3600000</v>
      </c>
      <c r="Q23" s="28"/>
    </row>
    <row r="24" spans="2:17" s="17" customFormat="1" ht="13.8">
      <c r="B24" s="51" t="s">
        <v>59</v>
      </c>
      <c r="C24" s="20" t="s">
        <v>0</v>
      </c>
      <c r="D24" s="51" t="s">
        <v>21</v>
      </c>
      <c r="E24" s="51" t="s">
        <v>22</v>
      </c>
      <c r="F24" s="20" t="s">
        <v>56</v>
      </c>
      <c r="G24" s="20" t="s">
        <v>34</v>
      </c>
      <c r="H24" s="51">
        <v>50</v>
      </c>
      <c r="I24" s="51">
        <v>100</v>
      </c>
      <c r="J24" s="20" t="s">
        <v>25</v>
      </c>
      <c r="K24" s="20" t="s">
        <v>50</v>
      </c>
      <c r="L24" s="52">
        <v>3490000</v>
      </c>
      <c r="M24" s="52"/>
      <c r="N24" s="52">
        <f t="shared" si="0"/>
        <v>3490000</v>
      </c>
      <c r="O24" s="53"/>
      <c r="P24" s="54">
        <f t="shared" si="1"/>
        <v>3490000</v>
      </c>
      <c r="Q24" s="29"/>
    </row>
    <row r="25" spans="2:17" s="17" customFormat="1" ht="13.8">
      <c r="B25" s="20" t="s">
        <v>60</v>
      </c>
      <c r="C25" s="20" t="s">
        <v>0</v>
      </c>
      <c r="D25" s="20" t="s">
        <v>21</v>
      </c>
      <c r="E25" s="20" t="s">
        <v>22</v>
      </c>
      <c r="F25" s="20" t="s">
        <v>61</v>
      </c>
      <c r="G25" s="20" t="s">
        <v>24</v>
      </c>
      <c r="H25" s="20">
        <v>50</v>
      </c>
      <c r="I25" s="20">
        <v>105</v>
      </c>
      <c r="J25" s="20" t="s">
        <v>25</v>
      </c>
      <c r="K25" s="20" t="s">
        <v>44</v>
      </c>
      <c r="L25" s="52">
        <v>3655000</v>
      </c>
      <c r="M25" s="52">
        <v>55000</v>
      </c>
      <c r="N25" s="52">
        <f t="shared" si="0"/>
        <v>3600000</v>
      </c>
      <c r="O25" s="53"/>
      <c r="P25" s="54">
        <f t="shared" si="1"/>
        <v>3600000</v>
      </c>
      <c r="Q25" s="28"/>
    </row>
    <row r="26" spans="2:17" s="17" customFormat="1" ht="13.8">
      <c r="B26" s="51" t="s">
        <v>62</v>
      </c>
      <c r="C26" s="20" t="s">
        <v>0</v>
      </c>
      <c r="D26" s="51" t="s">
        <v>21</v>
      </c>
      <c r="E26" s="51" t="s">
        <v>22</v>
      </c>
      <c r="F26" s="20" t="s">
        <v>61</v>
      </c>
      <c r="G26" s="20" t="s">
        <v>28</v>
      </c>
      <c r="H26" s="51">
        <v>50</v>
      </c>
      <c r="I26" s="51">
        <v>105</v>
      </c>
      <c r="J26" s="20" t="s">
        <v>25</v>
      </c>
      <c r="K26" s="20" t="s">
        <v>42</v>
      </c>
      <c r="L26" s="52">
        <v>3655000</v>
      </c>
      <c r="M26" s="52">
        <v>55000</v>
      </c>
      <c r="N26" s="52">
        <f t="shared" si="0"/>
        <v>3600000</v>
      </c>
      <c r="O26" s="53"/>
      <c r="P26" s="54">
        <f t="shared" si="1"/>
        <v>3600000</v>
      </c>
      <c r="Q26" s="29"/>
    </row>
    <row r="27" spans="2:17" s="17" customFormat="1" ht="13.8">
      <c r="B27" s="20" t="s">
        <v>63</v>
      </c>
      <c r="C27" s="20" t="s">
        <v>0</v>
      </c>
      <c r="D27" s="20" t="s">
        <v>21</v>
      </c>
      <c r="E27" s="20" t="s">
        <v>22</v>
      </c>
      <c r="F27" s="20" t="s">
        <v>61</v>
      </c>
      <c r="G27" s="20" t="s">
        <v>31</v>
      </c>
      <c r="H27" s="20">
        <v>50</v>
      </c>
      <c r="I27" s="20">
        <v>70</v>
      </c>
      <c r="J27" s="20" t="s">
        <v>25</v>
      </c>
      <c r="K27" s="20" t="s">
        <v>44</v>
      </c>
      <c r="L27" s="52">
        <v>2900000</v>
      </c>
      <c r="M27" s="52"/>
      <c r="N27" s="52">
        <f t="shared" si="0"/>
        <v>2900000</v>
      </c>
      <c r="O27" s="53"/>
      <c r="P27" s="54">
        <f t="shared" si="1"/>
        <v>2900000</v>
      </c>
      <c r="Q27" s="28"/>
    </row>
    <row r="28" spans="2:17" s="17" customFormat="1" ht="13.8">
      <c r="B28" s="51" t="s">
        <v>64</v>
      </c>
      <c r="C28" s="20" t="s">
        <v>0</v>
      </c>
      <c r="D28" s="51" t="s">
        <v>21</v>
      </c>
      <c r="E28" s="51" t="s">
        <v>22</v>
      </c>
      <c r="F28" s="20" t="s">
        <v>61</v>
      </c>
      <c r="G28" s="20" t="s">
        <v>34</v>
      </c>
      <c r="H28" s="51">
        <v>50</v>
      </c>
      <c r="I28" s="51">
        <v>70</v>
      </c>
      <c r="J28" s="20" t="s">
        <v>25</v>
      </c>
      <c r="K28" s="20" t="s">
        <v>42</v>
      </c>
      <c r="L28" s="52">
        <v>2900000</v>
      </c>
      <c r="M28" s="52"/>
      <c r="N28" s="52">
        <f t="shared" si="0"/>
        <v>2900000</v>
      </c>
      <c r="O28" s="53"/>
      <c r="P28" s="54">
        <f t="shared" si="1"/>
        <v>2900000</v>
      </c>
      <c r="Q28" s="29"/>
    </row>
    <row r="29" spans="2:17" s="17" customFormat="1" ht="13.8">
      <c r="B29" s="20" t="s">
        <v>65</v>
      </c>
      <c r="C29" s="20" t="s">
        <v>0</v>
      </c>
      <c r="D29" s="20" t="s">
        <v>21</v>
      </c>
      <c r="E29" s="20" t="s">
        <v>22</v>
      </c>
      <c r="F29" s="20" t="s">
        <v>66</v>
      </c>
      <c r="G29" s="20" t="s">
        <v>24</v>
      </c>
      <c r="H29" s="20">
        <v>50</v>
      </c>
      <c r="I29" s="20">
        <v>90</v>
      </c>
      <c r="J29" s="20" t="s">
        <v>25</v>
      </c>
      <c r="K29" s="20" t="s">
        <v>35</v>
      </c>
      <c r="L29" s="52">
        <v>3200000</v>
      </c>
      <c r="M29" s="52"/>
      <c r="N29" s="52">
        <f t="shared" si="0"/>
        <v>3200000</v>
      </c>
      <c r="O29" s="53"/>
      <c r="P29" s="54">
        <f t="shared" si="1"/>
        <v>3200000</v>
      </c>
      <c r="Q29" s="28"/>
    </row>
    <row r="30" spans="2:17" s="17" customFormat="1" ht="13.8">
      <c r="B30" s="51" t="s">
        <v>67</v>
      </c>
      <c r="C30" s="20" t="s">
        <v>0</v>
      </c>
      <c r="D30" s="51" t="s">
        <v>21</v>
      </c>
      <c r="E30" s="51" t="s">
        <v>22</v>
      </c>
      <c r="F30" s="20" t="s">
        <v>66</v>
      </c>
      <c r="G30" s="20" t="s">
        <v>28</v>
      </c>
      <c r="H30" s="51">
        <v>50</v>
      </c>
      <c r="I30" s="51">
        <v>70</v>
      </c>
      <c r="J30" s="20" t="s">
        <v>25</v>
      </c>
      <c r="K30" s="20" t="s">
        <v>32</v>
      </c>
      <c r="L30" s="52">
        <v>2900000</v>
      </c>
      <c r="M30" s="52"/>
      <c r="N30" s="52">
        <f t="shared" si="0"/>
        <v>2900000</v>
      </c>
      <c r="O30" s="53"/>
      <c r="P30" s="54">
        <f t="shared" si="1"/>
        <v>2900000</v>
      </c>
      <c r="Q30" s="29"/>
    </row>
    <row r="31" spans="2:17" s="17" customFormat="1" ht="13.8">
      <c r="B31" s="20" t="s">
        <v>68</v>
      </c>
      <c r="C31" s="20" t="s">
        <v>0</v>
      </c>
      <c r="D31" s="20" t="s">
        <v>21</v>
      </c>
      <c r="E31" s="20" t="s">
        <v>22</v>
      </c>
      <c r="F31" s="20" t="s">
        <v>66</v>
      </c>
      <c r="G31" s="20" t="s">
        <v>31</v>
      </c>
      <c r="H31" s="20">
        <v>50</v>
      </c>
      <c r="I31" s="20">
        <v>70</v>
      </c>
      <c r="J31" s="20" t="s">
        <v>25</v>
      </c>
      <c r="K31" s="20" t="s">
        <v>32</v>
      </c>
      <c r="L31" s="52">
        <v>2900000</v>
      </c>
      <c r="M31" s="52"/>
      <c r="N31" s="52">
        <f t="shared" si="0"/>
        <v>2900000</v>
      </c>
      <c r="O31" s="53"/>
      <c r="P31" s="54">
        <f t="shared" si="1"/>
        <v>2900000</v>
      </c>
      <c r="Q31" s="28"/>
    </row>
    <row r="32" spans="2:17" s="17" customFormat="1" ht="13.8">
      <c r="B32" s="51" t="s">
        <v>69</v>
      </c>
      <c r="C32" s="20" t="s">
        <v>0</v>
      </c>
      <c r="D32" s="51" t="s">
        <v>21</v>
      </c>
      <c r="E32" s="51" t="s">
        <v>22</v>
      </c>
      <c r="F32" s="20" t="s">
        <v>66</v>
      </c>
      <c r="G32" s="20" t="s">
        <v>34</v>
      </c>
      <c r="H32" s="51">
        <v>50</v>
      </c>
      <c r="I32" s="51">
        <v>70</v>
      </c>
      <c r="J32" s="20" t="s">
        <v>25</v>
      </c>
      <c r="K32" s="20" t="s">
        <v>35</v>
      </c>
      <c r="L32" s="52">
        <v>2900000</v>
      </c>
      <c r="M32" s="52"/>
      <c r="N32" s="52">
        <f t="shared" si="0"/>
        <v>2900000</v>
      </c>
      <c r="O32" s="53"/>
      <c r="P32" s="54">
        <f t="shared" si="1"/>
        <v>2900000</v>
      </c>
      <c r="Q32" s="29"/>
    </row>
    <row r="33" spans="2:17" s="17" customFormat="1" ht="13.8">
      <c r="B33" s="20" t="s">
        <v>70</v>
      </c>
      <c r="C33" s="20" t="s">
        <v>0</v>
      </c>
      <c r="D33" s="20" t="s">
        <v>21</v>
      </c>
      <c r="E33" s="20" t="s">
        <v>22</v>
      </c>
      <c r="F33" s="20" t="s">
        <v>66</v>
      </c>
      <c r="G33" s="20" t="s">
        <v>37</v>
      </c>
      <c r="H33" s="20">
        <v>50</v>
      </c>
      <c r="I33" s="20">
        <v>70</v>
      </c>
      <c r="J33" s="20" t="s">
        <v>25</v>
      </c>
      <c r="K33" s="20" t="s">
        <v>26</v>
      </c>
      <c r="L33" s="52">
        <v>2900000</v>
      </c>
      <c r="M33" s="52"/>
      <c r="N33" s="52">
        <f t="shared" si="0"/>
        <v>2900000</v>
      </c>
      <c r="O33" s="53"/>
      <c r="P33" s="54">
        <f t="shared" si="1"/>
        <v>2900000</v>
      </c>
      <c r="Q33" s="28"/>
    </row>
    <row r="34" spans="2:17" s="17" customFormat="1" ht="13.8">
      <c r="B34" s="51" t="s">
        <v>71</v>
      </c>
      <c r="C34" s="20" t="s">
        <v>0</v>
      </c>
      <c r="D34" s="51" t="s">
        <v>21</v>
      </c>
      <c r="E34" s="51" t="s">
        <v>22</v>
      </c>
      <c r="F34" s="20" t="s">
        <v>66</v>
      </c>
      <c r="G34" s="20" t="s">
        <v>39</v>
      </c>
      <c r="H34" s="51">
        <v>50</v>
      </c>
      <c r="I34" s="51">
        <v>90</v>
      </c>
      <c r="J34" s="20" t="s">
        <v>25</v>
      </c>
      <c r="K34" s="20" t="s">
        <v>29</v>
      </c>
      <c r="L34" s="52">
        <v>3200000</v>
      </c>
      <c r="M34" s="52"/>
      <c r="N34" s="52">
        <f t="shared" si="0"/>
        <v>3200000</v>
      </c>
      <c r="O34" s="53"/>
      <c r="P34" s="54">
        <f t="shared" si="1"/>
        <v>3200000</v>
      </c>
      <c r="Q34" s="29"/>
    </row>
    <row r="35" spans="2:17" s="17" customFormat="1" ht="13.8">
      <c r="B35" s="20" t="s">
        <v>72</v>
      </c>
      <c r="C35" s="20" t="s">
        <v>0</v>
      </c>
      <c r="D35" s="20" t="s">
        <v>21</v>
      </c>
      <c r="E35" s="20" t="s">
        <v>22</v>
      </c>
      <c r="F35" s="20" t="s">
        <v>73</v>
      </c>
      <c r="G35" s="20" t="s">
        <v>24</v>
      </c>
      <c r="H35" s="20">
        <v>50</v>
      </c>
      <c r="I35" s="20">
        <v>70</v>
      </c>
      <c r="J35" s="20" t="s">
        <v>25</v>
      </c>
      <c r="K35" s="20" t="s">
        <v>42</v>
      </c>
      <c r="L35" s="52">
        <v>2900000</v>
      </c>
      <c r="M35" s="52"/>
      <c r="N35" s="52">
        <f t="shared" si="0"/>
        <v>2900000</v>
      </c>
      <c r="O35" s="53"/>
      <c r="P35" s="54">
        <f t="shared" si="1"/>
        <v>2900000</v>
      </c>
      <c r="Q35" s="28"/>
    </row>
    <row r="36" spans="2:17" s="17" customFormat="1" ht="13.8">
      <c r="B36" s="51" t="s">
        <v>74</v>
      </c>
      <c r="C36" s="20" t="s">
        <v>0</v>
      </c>
      <c r="D36" s="51" t="s">
        <v>21</v>
      </c>
      <c r="E36" s="51" t="s">
        <v>22</v>
      </c>
      <c r="F36" s="20" t="s">
        <v>73</v>
      </c>
      <c r="G36" s="20" t="s">
        <v>28</v>
      </c>
      <c r="H36" s="51">
        <v>50</v>
      </c>
      <c r="I36" s="51">
        <v>70</v>
      </c>
      <c r="J36" s="20" t="s">
        <v>25</v>
      </c>
      <c r="K36" s="20" t="s">
        <v>44</v>
      </c>
      <c r="L36" s="52">
        <v>2900000</v>
      </c>
      <c r="M36" s="52"/>
      <c r="N36" s="52">
        <f t="shared" si="0"/>
        <v>2900000</v>
      </c>
      <c r="O36" s="53"/>
      <c r="P36" s="54">
        <f t="shared" si="1"/>
        <v>2900000</v>
      </c>
      <c r="Q36" s="29"/>
    </row>
    <row r="37" spans="2:17" s="17" customFormat="1" ht="13.8">
      <c r="B37" s="20" t="s">
        <v>75</v>
      </c>
      <c r="C37" s="20" t="s">
        <v>0</v>
      </c>
      <c r="D37" s="20" t="s">
        <v>21</v>
      </c>
      <c r="E37" s="20" t="s">
        <v>22</v>
      </c>
      <c r="F37" s="20" t="s">
        <v>73</v>
      </c>
      <c r="G37" s="20" t="s">
        <v>31</v>
      </c>
      <c r="H37" s="20">
        <v>50</v>
      </c>
      <c r="I37" s="20">
        <v>70</v>
      </c>
      <c r="J37" s="20" t="s">
        <v>25</v>
      </c>
      <c r="K37" s="20" t="s">
        <v>48</v>
      </c>
      <c r="L37" s="52">
        <v>2900000</v>
      </c>
      <c r="M37" s="52"/>
      <c r="N37" s="52">
        <f t="shared" si="0"/>
        <v>2900000</v>
      </c>
      <c r="O37" s="53"/>
      <c r="P37" s="54">
        <f t="shared" si="1"/>
        <v>2900000</v>
      </c>
      <c r="Q37" s="28"/>
    </row>
    <row r="38" spans="2:17" s="17" customFormat="1" ht="13.8">
      <c r="B38" s="51" t="s">
        <v>76</v>
      </c>
      <c r="C38" s="20" t="s">
        <v>0</v>
      </c>
      <c r="D38" s="51" t="s">
        <v>21</v>
      </c>
      <c r="E38" s="51" t="s">
        <v>22</v>
      </c>
      <c r="F38" s="20" t="s">
        <v>73</v>
      </c>
      <c r="G38" s="20" t="s">
        <v>34</v>
      </c>
      <c r="H38" s="51">
        <v>50</v>
      </c>
      <c r="I38" s="51">
        <v>70</v>
      </c>
      <c r="J38" s="20" t="s">
        <v>25</v>
      </c>
      <c r="K38" s="20" t="s">
        <v>50</v>
      </c>
      <c r="L38" s="52">
        <v>2900000</v>
      </c>
      <c r="M38" s="52"/>
      <c r="N38" s="52">
        <f t="shared" si="0"/>
        <v>2900000</v>
      </c>
      <c r="O38" s="53"/>
      <c r="P38" s="54">
        <f t="shared" si="1"/>
        <v>2900000</v>
      </c>
      <c r="Q38" s="29"/>
    </row>
    <row r="39" spans="2:17" s="17" customFormat="1" ht="13.8">
      <c r="B39" s="20" t="s">
        <v>77</v>
      </c>
      <c r="C39" s="20" t="s">
        <v>0</v>
      </c>
      <c r="D39" s="20" t="s">
        <v>21</v>
      </c>
      <c r="E39" s="20" t="s">
        <v>22</v>
      </c>
      <c r="F39" s="20" t="s">
        <v>73</v>
      </c>
      <c r="G39" s="20" t="s">
        <v>37</v>
      </c>
      <c r="H39" s="20">
        <v>50</v>
      </c>
      <c r="I39" s="20">
        <v>70</v>
      </c>
      <c r="J39" s="20" t="s">
        <v>25</v>
      </c>
      <c r="K39" s="20" t="s">
        <v>50</v>
      </c>
      <c r="L39" s="52">
        <v>2900000</v>
      </c>
      <c r="M39" s="52"/>
      <c r="N39" s="52">
        <f t="shared" si="0"/>
        <v>2900000</v>
      </c>
      <c r="O39" s="53"/>
      <c r="P39" s="54">
        <f t="shared" si="1"/>
        <v>2900000</v>
      </c>
      <c r="Q39" s="28"/>
    </row>
    <row r="40" spans="2:17" s="17" customFormat="1" ht="13.8">
      <c r="B40" s="51" t="s">
        <v>78</v>
      </c>
      <c r="C40" s="20" t="s">
        <v>0</v>
      </c>
      <c r="D40" s="51" t="s">
        <v>21</v>
      </c>
      <c r="E40" s="51" t="s">
        <v>22</v>
      </c>
      <c r="F40" s="20" t="s">
        <v>73</v>
      </c>
      <c r="G40" s="20" t="s">
        <v>39</v>
      </c>
      <c r="H40" s="51">
        <v>50</v>
      </c>
      <c r="I40" s="51">
        <v>70</v>
      </c>
      <c r="J40" s="20" t="s">
        <v>25</v>
      </c>
      <c r="K40" s="20" t="s">
        <v>48</v>
      </c>
      <c r="L40" s="52">
        <v>2900000</v>
      </c>
      <c r="M40" s="52"/>
      <c r="N40" s="52">
        <f t="shared" si="0"/>
        <v>2900000</v>
      </c>
      <c r="O40" s="53"/>
      <c r="P40" s="54">
        <f t="shared" si="1"/>
        <v>2900000</v>
      </c>
      <c r="Q40" s="29"/>
    </row>
    <row r="41" spans="2:17" s="17" customFormat="1" ht="13.8">
      <c r="B41" s="20" t="s">
        <v>79</v>
      </c>
      <c r="C41" s="20" t="s">
        <v>0</v>
      </c>
      <c r="D41" s="20" t="s">
        <v>21</v>
      </c>
      <c r="E41" s="20" t="s">
        <v>22</v>
      </c>
      <c r="F41" s="20" t="s">
        <v>73</v>
      </c>
      <c r="G41" s="20" t="s">
        <v>52</v>
      </c>
      <c r="H41" s="20">
        <v>50</v>
      </c>
      <c r="I41" s="20">
        <v>70</v>
      </c>
      <c r="J41" s="20" t="s">
        <v>25</v>
      </c>
      <c r="K41" s="20" t="s">
        <v>26</v>
      </c>
      <c r="L41" s="52">
        <v>2900000</v>
      </c>
      <c r="M41" s="52"/>
      <c r="N41" s="52">
        <f t="shared" si="0"/>
        <v>2900000</v>
      </c>
      <c r="O41" s="53"/>
      <c r="P41" s="54">
        <f t="shared" si="1"/>
        <v>2900000</v>
      </c>
      <c r="Q41" s="28"/>
    </row>
    <row r="42" spans="2:17" s="17" customFormat="1" ht="13.8">
      <c r="B42" s="51" t="s">
        <v>80</v>
      </c>
      <c r="C42" s="20" t="s">
        <v>0</v>
      </c>
      <c r="D42" s="51" t="s">
        <v>21</v>
      </c>
      <c r="E42" s="51" t="s">
        <v>22</v>
      </c>
      <c r="F42" s="20" t="s">
        <v>73</v>
      </c>
      <c r="G42" s="20" t="s">
        <v>54</v>
      </c>
      <c r="H42" s="51">
        <v>50</v>
      </c>
      <c r="I42" s="51">
        <v>70</v>
      </c>
      <c r="J42" s="20" t="s">
        <v>25</v>
      </c>
      <c r="K42" s="20" t="s">
        <v>29</v>
      </c>
      <c r="L42" s="52">
        <v>2900000</v>
      </c>
      <c r="M42" s="52"/>
      <c r="N42" s="52">
        <f t="shared" si="0"/>
        <v>2900000</v>
      </c>
      <c r="O42" s="53"/>
      <c r="P42" s="54">
        <f t="shared" si="1"/>
        <v>2900000</v>
      </c>
      <c r="Q42" s="29"/>
    </row>
    <row r="43" spans="2:17" s="17" customFormat="1" ht="13.8">
      <c r="B43" s="20" t="s">
        <v>81</v>
      </c>
      <c r="C43" s="20" t="s">
        <v>0</v>
      </c>
      <c r="D43" s="20" t="s">
        <v>21</v>
      </c>
      <c r="E43" s="20" t="s">
        <v>22</v>
      </c>
      <c r="F43" s="20" t="s">
        <v>73</v>
      </c>
      <c r="G43" s="20" t="s">
        <v>82</v>
      </c>
      <c r="H43" s="20">
        <v>50</v>
      </c>
      <c r="I43" s="20">
        <v>90</v>
      </c>
      <c r="J43" s="20" t="s">
        <v>25</v>
      </c>
      <c r="K43" s="20" t="s">
        <v>26</v>
      </c>
      <c r="L43" s="52">
        <v>3200000</v>
      </c>
      <c r="M43" s="52"/>
      <c r="N43" s="52">
        <f t="shared" si="0"/>
        <v>3200000</v>
      </c>
      <c r="O43" s="53"/>
      <c r="P43" s="54">
        <f t="shared" si="1"/>
        <v>3200000</v>
      </c>
      <c r="Q43" s="28"/>
    </row>
    <row r="44" spans="2:17" s="17" customFormat="1" ht="13.8">
      <c r="B44" s="51" t="s">
        <v>83</v>
      </c>
      <c r="C44" s="20" t="s">
        <v>0</v>
      </c>
      <c r="D44" s="51" t="s">
        <v>21</v>
      </c>
      <c r="E44" s="51" t="s">
        <v>22</v>
      </c>
      <c r="F44" s="20" t="s">
        <v>73</v>
      </c>
      <c r="G44" s="20" t="s">
        <v>84</v>
      </c>
      <c r="H44" s="51">
        <v>50</v>
      </c>
      <c r="I44" s="51">
        <v>80</v>
      </c>
      <c r="J44" s="20" t="s">
        <v>25</v>
      </c>
      <c r="K44" s="20" t="s">
        <v>29</v>
      </c>
      <c r="L44" s="52">
        <v>3050000</v>
      </c>
      <c r="M44" s="52"/>
      <c r="N44" s="52">
        <f t="shared" si="0"/>
        <v>3050000</v>
      </c>
      <c r="O44" s="53"/>
      <c r="P44" s="54">
        <f t="shared" si="1"/>
        <v>3050000</v>
      </c>
      <c r="Q44" s="29"/>
    </row>
    <row r="45" spans="2:17" s="17" customFormat="1" ht="13.8">
      <c r="B45" s="20" t="s">
        <v>85</v>
      </c>
      <c r="C45" s="20" t="s">
        <v>0</v>
      </c>
      <c r="D45" s="20" t="s">
        <v>21</v>
      </c>
      <c r="E45" s="20" t="s">
        <v>22</v>
      </c>
      <c r="F45" s="20" t="s">
        <v>73</v>
      </c>
      <c r="G45" s="20" t="s">
        <v>86</v>
      </c>
      <c r="H45" s="20">
        <v>50</v>
      </c>
      <c r="I45" s="20">
        <v>80</v>
      </c>
      <c r="J45" s="20" t="s">
        <v>25</v>
      </c>
      <c r="K45" s="20" t="s">
        <v>29</v>
      </c>
      <c r="L45" s="52">
        <v>3050000</v>
      </c>
      <c r="M45" s="52"/>
      <c r="N45" s="52">
        <f t="shared" si="0"/>
        <v>3050000</v>
      </c>
      <c r="O45" s="53"/>
      <c r="P45" s="54">
        <f t="shared" si="1"/>
        <v>3050000</v>
      </c>
      <c r="Q45" s="28"/>
    </row>
    <row r="46" spans="2:17" s="17" customFormat="1" ht="13.8">
      <c r="B46" s="51" t="s">
        <v>87</v>
      </c>
      <c r="C46" s="20" t="s">
        <v>0</v>
      </c>
      <c r="D46" s="51" t="s">
        <v>21</v>
      </c>
      <c r="E46" s="51" t="s">
        <v>22</v>
      </c>
      <c r="F46" s="20" t="s">
        <v>73</v>
      </c>
      <c r="G46" s="20" t="s">
        <v>88</v>
      </c>
      <c r="H46" s="51">
        <v>50</v>
      </c>
      <c r="I46" s="51">
        <v>80</v>
      </c>
      <c r="J46" s="20" t="s">
        <v>25</v>
      </c>
      <c r="K46" s="20" t="s">
        <v>26</v>
      </c>
      <c r="L46" s="52">
        <v>3050000</v>
      </c>
      <c r="M46" s="52"/>
      <c r="N46" s="52">
        <f t="shared" si="0"/>
        <v>3050000</v>
      </c>
      <c r="O46" s="53"/>
      <c r="P46" s="54">
        <f t="shared" si="1"/>
        <v>3050000</v>
      </c>
      <c r="Q46" s="29"/>
    </row>
    <row r="47" spans="2:17" s="17" customFormat="1" ht="13.8">
      <c r="B47" s="20" t="s">
        <v>89</v>
      </c>
      <c r="C47" s="20" t="s">
        <v>0</v>
      </c>
      <c r="D47" s="20" t="s">
        <v>21</v>
      </c>
      <c r="E47" s="20" t="s">
        <v>22</v>
      </c>
      <c r="F47" s="20" t="s">
        <v>73</v>
      </c>
      <c r="G47" s="20" t="s">
        <v>90</v>
      </c>
      <c r="H47" s="20">
        <v>50</v>
      </c>
      <c r="I47" s="20">
        <v>80</v>
      </c>
      <c r="J47" s="20" t="s">
        <v>25</v>
      </c>
      <c r="K47" s="20" t="s">
        <v>44</v>
      </c>
      <c r="L47" s="52">
        <v>3050000</v>
      </c>
      <c r="M47" s="52"/>
      <c r="N47" s="52">
        <f t="shared" si="0"/>
        <v>3050000</v>
      </c>
      <c r="O47" s="53"/>
      <c r="P47" s="54">
        <f t="shared" si="1"/>
        <v>3050000</v>
      </c>
      <c r="Q47" s="28"/>
    </row>
    <row r="48" spans="2:17" s="17" customFormat="1" ht="13.8">
      <c r="B48" s="51" t="s">
        <v>91</v>
      </c>
      <c r="C48" s="20" t="s">
        <v>0</v>
      </c>
      <c r="D48" s="51" t="s">
        <v>21</v>
      </c>
      <c r="E48" s="51" t="s">
        <v>22</v>
      </c>
      <c r="F48" s="20" t="s">
        <v>73</v>
      </c>
      <c r="G48" s="20" t="s">
        <v>92</v>
      </c>
      <c r="H48" s="51">
        <v>50</v>
      </c>
      <c r="I48" s="51">
        <v>80</v>
      </c>
      <c r="J48" s="20" t="s">
        <v>25</v>
      </c>
      <c r="K48" s="20" t="s">
        <v>42</v>
      </c>
      <c r="L48" s="52">
        <v>3050000</v>
      </c>
      <c r="M48" s="52"/>
      <c r="N48" s="52">
        <f t="shared" si="0"/>
        <v>3050000</v>
      </c>
      <c r="O48" s="53"/>
      <c r="P48" s="54">
        <f t="shared" si="1"/>
        <v>3050000</v>
      </c>
      <c r="Q48" s="29"/>
    </row>
    <row r="49" spans="2:17" s="17" customFormat="1" ht="13.8">
      <c r="B49" s="20" t="s">
        <v>93</v>
      </c>
      <c r="C49" s="20" t="s">
        <v>0</v>
      </c>
      <c r="D49" s="20" t="s">
        <v>94</v>
      </c>
      <c r="E49" s="20" t="s">
        <v>22</v>
      </c>
      <c r="F49" s="20" t="s">
        <v>95</v>
      </c>
      <c r="G49" s="20" t="s">
        <v>24</v>
      </c>
      <c r="H49" s="20">
        <v>50</v>
      </c>
      <c r="I49" s="20">
        <v>110</v>
      </c>
      <c r="J49" s="20" t="s">
        <v>25</v>
      </c>
      <c r="K49" s="20" t="s">
        <v>50</v>
      </c>
      <c r="L49" s="52">
        <v>3820000</v>
      </c>
      <c r="M49" s="52">
        <v>220000</v>
      </c>
      <c r="N49" s="52">
        <f t="shared" si="0"/>
        <v>3600000</v>
      </c>
      <c r="O49" s="53"/>
      <c r="P49" s="54">
        <f t="shared" si="1"/>
        <v>3600000</v>
      </c>
      <c r="Q49" s="28"/>
    </row>
    <row r="50" spans="2:17" s="17" customFormat="1" ht="13.8">
      <c r="B50" s="51" t="s">
        <v>96</v>
      </c>
      <c r="C50" s="20" t="s">
        <v>0</v>
      </c>
      <c r="D50" s="51" t="s">
        <v>94</v>
      </c>
      <c r="E50" s="51" t="s">
        <v>22</v>
      </c>
      <c r="F50" s="20" t="s">
        <v>95</v>
      </c>
      <c r="G50" s="20" t="s">
        <v>28</v>
      </c>
      <c r="H50" s="51">
        <v>50</v>
      </c>
      <c r="I50" s="51">
        <v>100</v>
      </c>
      <c r="J50" s="20" t="s">
        <v>25</v>
      </c>
      <c r="K50" s="20" t="s">
        <v>48</v>
      </c>
      <c r="L50" s="52">
        <v>3490000</v>
      </c>
      <c r="M50" s="52"/>
      <c r="N50" s="52">
        <f t="shared" si="0"/>
        <v>3490000</v>
      </c>
      <c r="O50" s="53"/>
      <c r="P50" s="54">
        <f t="shared" si="1"/>
        <v>3490000</v>
      </c>
      <c r="Q50" s="29"/>
    </row>
    <row r="51" spans="2:17" s="17" customFormat="1" ht="13.8">
      <c r="B51" s="20" t="s">
        <v>97</v>
      </c>
      <c r="C51" s="20" t="s">
        <v>0</v>
      </c>
      <c r="D51" s="20" t="s">
        <v>98</v>
      </c>
      <c r="E51" s="20" t="s">
        <v>22</v>
      </c>
      <c r="F51" s="20" t="s">
        <v>95</v>
      </c>
      <c r="G51" s="20" t="s">
        <v>31</v>
      </c>
      <c r="H51" s="20" t="s">
        <v>99</v>
      </c>
      <c r="I51" s="20">
        <v>110</v>
      </c>
      <c r="J51" s="20" t="s">
        <v>100</v>
      </c>
      <c r="K51" s="20" t="s">
        <v>101</v>
      </c>
      <c r="L51" s="52">
        <v>3173714</v>
      </c>
      <c r="M51" s="52"/>
      <c r="N51" s="52">
        <f t="shared" si="0"/>
        <v>3173714</v>
      </c>
      <c r="O51" s="53">
        <f>N51*12/112</f>
        <v>340040.78571428574</v>
      </c>
      <c r="P51" s="54">
        <f t="shared" si="1"/>
        <v>2833673.2142857141</v>
      </c>
      <c r="Q51" s="28"/>
    </row>
    <row r="52" spans="2:17" s="17" customFormat="1" ht="13.8">
      <c r="B52" s="51" t="s">
        <v>102</v>
      </c>
      <c r="C52" s="20" t="s">
        <v>0</v>
      </c>
      <c r="D52" s="51" t="s">
        <v>94</v>
      </c>
      <c r="E52" s="51" t="s">
        <v>22</v>
      </c>
      <c r="F52" s="20" t="s">
        <v>103</v>
      </c>
      <c r="G52" s="20" t="s">
        <v>24</v>
      </c>
      <c r="H52" s="51">
        <v>50</v>
      </c>
      <c r="I52" s="51">
        <v>70</v>
      </c>
      <c r="J52" s="20" t="s">
        <v>25</v>
      </c>
      <c r="K52" s="20" t="s">
        <v>50</v>
      </c>
      <c r="L52" s="52">
        <v>2900000</v>
      </c>
      <c r="M52" s="52"/>
      <c r="N52" s="52">
        <f t="shared" si="0"/>
        <v>2900000</v>
      </c>
      <c r="O52" s="53"/>
      <c r="P52" s="54">
        <f t="shared" si="1"/>
        <v>2900000</v>
      </c>
      <c r="Q52" s="29"/>
    </row>
    <row r="53" spans="2:17" s="17" customFormat="1" ht="13.8">
      <c r="B53" s="20" t="s">
        <v>104</v>
      </c>
      <c r="C53" s="20" t="s">
        <v>0</v>
      </c>
      <c r="D53" s="20" t="s">
        <v>94</v>
      </c>
      <c r="E53" s="20" t="s">
        <v>22</v>
      </c>
      <c r="F53" s="20" t="s">
        <v>103</v>
      </c>
      <c r="G53" s="20" t="s">
        <v>28</v>
      </c>
      <c r="H53" s="20">
        <v>50</v>
      </c>
      <c r="I53" s="20">
        <v>70</v>
      </c>
      <c r="J53" s="20" t="s">
        <v>25</v>
      </c>
      <c r="K53" s="20" t="s">
        <v>48</v>
      </c>
      <c r="L53" s="52">
        <v>2900000</v>
      </c>
      <c r="M53" s="52"/>
      <c r="N53" s="52">
        <f t="shared" si="0"/>
        <v>2900000</v>
      </c>
      <c r="O53" s="53"/>
      <c r="P53" s="54">
        <f t="shared" si="1"/>
        <v>2900000</v>
      </c>
      <c r="Q53" s="28"/>
    </row>
    <row r="54" spans="2:17" s="17" customFormat="1" ht="13.8">
      <c r="B54" s="51" t="s">
        <v>105</v>
      </c>
      <c r="C54" s="20" t="s">
        <v>0</v>
      </c>
      <c r="D54" s="51" t="s">
        <v>94</v>
      </c>
      <c r="E54" s="51" t="s">
        <v>22</v>
      </c>
      <c r="F54" s="20" t="s">
        <v>103</v>
      </c>
      <c r="G54" s="20" t="s">
        <v>31</v>
      </c>
      <c r="H54" s="51">
        <v>50</v>
      </c>
      <c r="I54" s="51">
        <v>110</v>
      </c>
      <c r="J54" s="20" t="s">
        <v>25</v>
      </c>
      <c r="K54" s="20" t="s">
        <v>42</v>
      </c>
      <c r="L54" s="52">
        <v>3820000</v>
      </c>
      <c r="M54" s="52">
        <v>220000</v>
      </c>
      <c r="N54" s="52">
        <f t="shared" si="0"/>
        <v>3600000</v>
      </c>
      <c r="O54" s="53"/>
      <c r="P54" s="54">
        <f t="shared" si="1"/>
        <v>3600000</v>
      </c>
      <c r="Q54" s="29"/>
    </row>
    <row r="55" spans="2:17" s="17" customFormat="1" ht="13.8">
      <c r="B55" s="20" t="s">
        <v>106</v>
      </c>
      <c r="C55" s="20" t="s">
        <v>0</v>
      </c>
      <c r="D55" s="20" t="s">
        <v>94</v>
      </c>
      <c r="E55" s="20" t="s">
        <v>22</v>
      </c>
      <c r="F55" s="20" t="s">
        <v>103</v>
      </c>
      <c r="G55" s="20" t="s">
        <v>34</v>
      </c>
      <c r="H55" s="20">
        <v>50</v>
      </c>
      <c r="I55" s="20">
        <v>118</v>
      </c>
      <c r="J55" s="20" t="s">
        <v>25</v>
      </c>
      <c r="K55" s="20" t="s">
        <v>44</v>
      </c>
      <c r="L55" s="52">
        <v>4091000</v>
      </c>
      <c r="M55" s="52"/>
      <c r="N55" s="52">
        <f t="shared" si="0"/>
        <v>4091000</v>
      </c>
      <c r="O55" s="53">
        <f>IF(N55&lt;3600001,0,N55*12%)</f>
        <v>490920</v>
      </c>
      <c r="P55" s="54">
        <f t="shared" si="1"/>
        <v>3600080</v>
      </c>
      <c r="Q55" s="28"/>
    </row>
    <row r="56" spans="2:17" s="17" customFormat="1" ht="13.8">
      <c r="B56" s="51" t="s">
        <v>107</v>
      </c>
      <c r="C56" s="20" t="s">
        <v>0</v>
      </c>
      <c r="D56" s="51" t="s">
        <v>21</v>
      </c>
      <c r="E56" s="51" t="s">
        <v>22</v>
      </c>
      <c r="F56" s="20" t="s">
        <v>108</v>
      </c>
      <c r="G56" s="20" t="s">
        <v>24</v>
      </c>
      <c r="H56" s="51">
        <v>50</v>
      </c>
      <c r="I56" s="51">
        <v>90</v>
      </c>
      <c r="J56" s="20" t="s">
        <v>25</v>
      </c>
      <c r="K56" s="20" t="s">
        <v>35</v>
      </c>
      <c r="L56" s="52">
        <v>3200000</v>
      </c>
      <c r="M56" s="52"/>
      <c r="N56" s="52">
        <f t="shared" si="0"/>
        <v>3200000</v>
      </c>
      <c r="O56" s="53"/>
      <c r="P56" s="54">
        <f t="shared" si="1"/>
        <v>3200000</v>
      </c>
      <c r="Q56" s="29"/>
    </row>
    <row r="57" spans="2:17" s="17" customFormat="1" ht="13.8">
      <c r="B57" s="20" t="s">
        <v>109</v>
      </c>
      <c r="C57" s="20" t="s">
        <v>0</v>
      </c>
      <c r="D57" s="20" t="s">
        <v>21</v>
      </c>
      <c r="E57" s="20" t="s">
        <v>22</v>
      </c>
      <c r="F57" s="20" t="s">
        <v>108</v>
      </c>
      <c r="G57" s="20" t="s">
        <v>28</v>
      </c>
      <c r="H57" s="20">
        <v>50</v>
      </c>
      <c r="I57" s="20">
        <v>70</v>
      </c>
      <c r="J57" s="20" t="s">
        <v>25</v>
      </c>
      <c r="K57" s="20" t="s">
        <v>32</v>
      </c>
      <c r="L57" s="52">
        <v>2900000</v>
      </c>
      <c r="M57" s="52"/>
      <c r="N57" s="52">
        <f t="shared" si="0"/>
        <v>2900000</v>
      </c>
      <c r="O57" s="53"/>
      <c r="P57" s="54">
        <f t="shared" si="1"/>
        <v>2900000</v>
      </c>
      <c r="Q57" s="28"/>
    </row>
    <row r="58" spans="2:17" s="17" customFormat="1" ht="13.8">
      <c r="B58" s="51" t="s">
        <v>110</v>
      </c>
      <c r="C58" s="20" t="s">
        <v>0</v>
      </c>
      <c r="D58" s="51" t="s">
        <v>21</v>
      </c>
      <c r="E58" s="51" t="s">
        <v>22</v>
      </c>
      <c r="F58" s="20" t="s">
        <v>108</v>
      </c>
      <c r="G58" s="20" t="s">
        <v>31</v>
      </c>
      <c r="H58" s="51">
        <v>50</v>
      </c>
      <c r="I58" s="51">
        <v>70</v>
      </c>
      <c r="J58" s="20" t="s">
        <v>25</v>
      </c>
      <c r="K58" s="20" t="s">
        <v>32</v>
      </c>
      <c r="L58" s="52">
        <v>2900000</v>
      </c>
      <c r="M58" s="52"/>
      <c r="N58" s="52">
        <f t="shared" si="0"/>
        <v>2900000</v>
      </c>
      <c r="O58" s="53"/>
      <c r="P58" s="54">
        <f t="shared" si="1"/>
        <v>2900000</v>
      </c>
      <c r="Q58" s="29"/>
    </row>
    <row r="59" spans="2:17" s="17" customFormat="1" ht="13.8">
      <c r="B59" s="20" t="s">
        <v>111</v>
      </c>
      <c r="C59" s="20" t="s">
        <v>0</v>
      </c>
      <c r="D59" s="20" t="s">
        <v>21</v>
      </c>
      <c r="E59" s="20" t="s">
        <v>22</v>
      </c>
      <c r="F59" s="20" t="s">
        <v>108</v>
      </c>
      <c r="G59" s="20" t="s">
        <v>34</v>
      </c>
      <c r="H59" s="20">
        <v>50</v>
      </c>
      <c r="I59" s="20">
        <v>70</v>
      </c>
      <c r="J59" s="20" t="s">
        <v>25</v>
      </c>
      <c r="K59" s="20" t="s">
        <v>35</v>
      </c>
      <c r="L59" s="52">
        <v>2900000</v>
      </c>
      <c r="M59" s="52"/>
      <c r="N59" s="52">
        <f t="shared" si="0"/>
        <v>2900000</v>
      </c>
      <c r="O59" s="53"/>
      <c r="P59" s="54">
        <f t="shared" si="1"/>
        <v>2900000</v>
      </c>
      <c r="Q59" s="28"/>
    </row>
    <row r="60" spans="2:17" s="17" customFormat="1" ht="13.8">
      <c r="B60" s="51" t="s">
        <v>112</v>
      </c>
      <c r="C60" s="20" t="s">
        <v>0</v>
      </c>
      <c r="D60" s="51" t="s">
        <v>21</v>
      </c>
      <c r="E60" s="51" t="s">
        <v>22</v>
      </c>
      <c r="F60" s="20" t="s">
        <v>108</v>
      </c>
      <c r="G60" s="20" t="s">
        <v>37</v>
      </c>
      <c r="H60" s="51">
        <v>50</v>
      </c>
      <c r="I60" s="51">
        <v>70</v>
      </c>
      <c r="J60" s="20" t="s">
        <v>25</v>
      </c>
      <c r="K60" s="20" t="s">
        <v>26</v>
      </c>
      <c r="L60" s="52">
        <v>2900000</v>
      </c>
      <c r="M60" s="52"/>
      <c r="N60" s="52">
        <f t="shared" si="0"/>
        <v>2900000</v>
      </c>
      <c r="O60" s="53"/>
      <c r="P60" s="54">
        <f t="shared" si="1"/>
        <v>2900000</v>
      </c>
      <c r="Q60" s="29"/>
    </row>
    <row r="61" spans="2:17" s="17" customFormat="1" ht="13.8">
      <c r="B61" s="20" t="s">
        <v>113</v>
      </c>
      <c r="C61" s="20" t="s">
        <v>0</v>
      </c>
      <c r="D61" s="20" t="s">
        <v>21</v>
      </c>
      <c r="E61" s="20" t="s">
        <v>22</v>
      </c>
      <c r="F61" s="20" t="s">
        <v>108</v>
      </c>
      <c r="G61" s="20" t="s">
        <v>39</v>
      </c>
      <c r="H61" s="20">
        <v>50</v>
      </c>
      <c r="I61" s="20">
        <v>70</v>
      </c>
      <c r="J61" s="20" t="s">
        <v>25</v>
      </c>
      <c r="K61" s="20" t="s">
        <v>29</v>
      </c>
      <c r="L61" s="52">
        <v>2900000</v>
      </c>
      <c r="M61" s="52"/>
      <c r="N61" s="52">
        <f t="shared" si="0"/>
        <v>2900000</v>
      </c>
      <c r="O61" s="53"/>
      <c r="P61" s="54">
        <f t="shared" si="1"/>
        <v>2900000</v>
      </c>
      <c r="Q61" s="28"/>
    </row>
    <row r="62" spans="2:17" s="17" customFormat="1" ht="13.8">
      <c r="B62" s="51" t="s">
        <v>114</v>
      </c>
      <c r="C62" s="20" t="s">
        <v>0</v>
      </c>
      <c r="D62" s="51" t="s">
        <v>21</v>
      </c>
      <c r="E62" s="51" t="s">
        <v>22</v>
      </c>
      <c r="F62" s="20" t="s">
        <v>108</v>
      </c>
      <c r="G62" s="20" t="s">
        <v>52</v>
      </c>
      <c r="H62" s="51">
        <v>50</v>
      </c>
      <c r="I62" s="51">
        <v>70</v>
      </c>
      <c r="J62" s="20" t="s">
        <v>25</v>
      </c>
      <c r="K62" s="20" t="s">
        <v>29</v>
      </c>
      <c r="L62" s="52">
        <v>2900000</v>
      </c>
      <c r="M62" s="52"/>
      <c r="N62" s="52">
        <f t="shared" si="0"/>
        <v>2900000</v>
      </c>
      <c r="O62" s="53"/>
      <c r="P62" s="54">
        <f t="shared" si="1"/>
        <v>2900000</v>
      </c>
      <c r="Q62" s="29"/>
    </row>
    <row r="63" spans="2:17" s="17" customFormat="1" ht="13.8">
      <c r="B63" s="20" t="s">
        <v>115</v>
      </c>
      <c r="C63" s="20" t="s">
        <v>0</v>
      </c>
      <c r="D63" s="20" t="s">
        <v>21</v>
      </c>
      <c r="E63" s="20" t="s">
        <v>22</v>
      </c>
      <c r="F63" s="20" t="s">
        <v>108</v>
      </c>
      <c r="G63" s="20" t="s">
        <v>54</v>
      </c>
      <c r="H63" s="20">
        <v>50</v>
      </c>
      <c r="I63" s="20">
        <v>70</v>
      </c>
      <c r="J63" s="20" t="s">
        <v>25</v>
      </c>
      <c r="K63" s="20" t="s">
        <v>26</v>
      </c>
      <c r="L63" s="52">
        <v>2900000</v>
      </c>
      <c r="M63" s="52"/>
      <c r="N63" s="52">
        <f t="shared" si="0"/>
        <v>2900000</v>
      </c>
      <c r="O63" s="53"/>
      <c r="P63" s="54">
        <f t="shared" si="1"/>
        <v>2900000</v>
      </c>
      <c r="Q63" s="28"/>
    </row>
    <row r="64" spans="2:17" s="17" customFormat="1" ht="13.8">
      <c r="B64" s="51" t="s">
        <v>116</v>
      </c>
      <c r="C64" s="20" t="s">
        <v>0</v>
      </c>
      <c r="D64" s="51" t="s">
        <v>21</v>
      </c>
      <c r="E64" s="51" t="s">
        <v>22</v>
      </c>
      <c r="F64" s="20" t="s">
        <v>108</v>
      </c>
      <c r="G64" s="20" t="s">
        <v>82</v>
      </c>
      <c r="H64" s="51">
        <v>50</v>
      </c>
      <c r="I64" s="51">
        <v>70</v>
      </c>
      <c r="J64" s="20" t="s">
        <v>25</v>
      </c>
      <c r="K64" s="20" t="s">
        <v>48</v>
      </c>
      <c r="L64" s="52">
        <v>2900000</v>
      </c>
      <c r="M64" s="52"/>
      <c r="N64" s="52">
        <f t="shared" si="0"/>
        <v>2900000</v>
      </c>
      <c r="O64" s="53"/>
      <c r="P64" s="54">
        <f t="shared" si="1"/>
        <v>2900000</v>
      </c>
      <c r="Q64" s="29"/>
    </row>
    <row r="65" spans="2:17" s="17" customFormat="1" ht="13.8">
      <c r="B65" s="20" t="s">
        <v>117</v>
      </c>
      <c r="C65" s="20" t="s">
        <v>0</v>
      </c>
      <c r="D65" s="20" t="s">
        <v>21</v>
      </c>
      <c r="E65" s="20" t="s">
        <v>22</v>
      </c>
      <c r="F65" s="20" t="s">
        <v>108</v>
      </c>
      <c r="G65" s="20" t="s">
        <v>84</v>
      </c>
      <c r="H65" s="20">
        <v>50</v>
      </c>
      <c r="I65" s="20">
        <v>70</v>
      </c>
      <c r="J65" s="20" t="s">
        <v>25</v>
      </c>
      <c r="K65" s="20" t="s">
        <v>50</v>
      </c>
      <c r="L65" s="52">
        <v>2900000</v>
      </c>
      <c r="M65" s="52"/>
      <c r="N65" s="52">
        <f t="shared" si="0"/>
        <v>2900000</v>
      </c>
      <c r="O65" s="53"/>
      <c r="P65" s="54">
        <f t="shared" si="1"/>
        <v>2900000</v>
      </c>
      <c r="Q65" s="28"/>
    </row>
    <row r="66" spans="2:17" s="17" customFormat="1" ht="13.8">
      <c r="B66" s="51" t="s">
        <v>118</v>
      </c>
      <c r="C66" s="20" t="s">
        <v>0</v>
      </c>
      <c r="D66" s="51" t="s">
        <v>94</v>
      </c>
      <c r="E66" s="51" t="s">
        <v>22</v>
      </c>
      <c r="F66" s="20" t="s">
        <v>108</v>
      </c>
      <c r="G66" s="20" t="s">
        <v>86</v>
      </c>
      <c r="H66" s="51">
        <v>50</v>
      </c>
      <c r="I66" s="51">
        <v>70</v>
      </c>
      <c r="J66" s="20" t="s">
        <v>25</v>
      </c>
      <c r="K66" s="20" t="s">
        <v>50</v>
      </c>
      <c r="L66" s="52">
        <v>2900000</v>
      </c>
      <c r="M66" s="52"/>
      <c r="N66" s="52">
        <f t="shared" si="0"/>
        <v>2900000</v>
      </c>
      <c r="O66" s="53"/>
      <c r="P66" s="54">
        <f t="shared" si="1"/>
        <v>2900000</v>
      </c>
      <c r="Q66" s="29"/>
    </row>
    <row r="67" spans="2:17" s="17" customFormat="1" ht="13.8">
      <c r="B67" s="20" t="s">
        <v>119</v>
      </c>
      <c r="C67" s="20" t="s">
        <v>0</v>
      </c>
      <c r="D67" s="20" t="s">
        <v>94</v>
      </c>
      <c r="E67" s="20" t="s">
        <v>22</v>
      </c>
      <c r="F67" s="20" t="s">
        <v>108</v>
      </c>
      <c r="G67" s="20" t="s">
        <v>88</v>
      </c>
      <c r="H67" s="20">
        <v>50</v>
      </c>
      <c r="I67" s="20">
        <v>70</v>
      </c>
      <c r="J67" s="20" t="s">
        <v>25</v>
      </c>
      <c r="K67" s="20" t="s">
        <v>48</v>
      </c>
      <c r="L67" s="52">
        <v>2900000</v>
      </c>
      <c r="M67" s="52"/>
      <c r="N67" s="52">
        <f t="shared" si="0"/>
        <v>2900000</v>
      </c>
      <c r="O67" s="53"/>
      <c r="P67" s="54">
        <f t="shared" si="1"/>
        <v>2900000</v>
      </c>
      <c r="Q67" s="28"/>
    </row>
    <row r="68" spans="2:17" s="17" customFormat="1" ht="13.8">
      <c r="B68" s="51" t="s">
        <v>120</v>
      </c>
      <c r="C68" s="20" t="s">
        <v>0</v>
      </c>
      <c r="D68" s="51" t="s">
        <v>94</v>
      </c>
      <c r="E68" s="51" t="s">
        <v>22</v>
      </c>
      <c r="F68" s="20" t="s">
        <v>108</v>
      </c>
      <c r="G68" s="20" t="s">
        <v>90</v>
      </c>
      <c r="H68" s="51">
        <v>50</v>
      </c>
      <c r="I68" s="51">
        <v>70</v>
      </c>
      <c r="J68" s="20" t="s">
        <v>25</v>
      </c>
      <c r="K68" s="20" t="s">
        <v>44</v>
      </c>
      <c r="L68" s="52">
        <v>2900000</v>
      </c>
      <c r="M68" s="52"/>
      <c r="N68" s="52">
        <f t="shared" si="0"/>
        <v>2900000</v>
      </c>
      <c r="O68" s="53"/>
      <c r="P68" s="54">
        <f t="shared" si="1"/>
        <v>2900000</v>
      </c>
      <c r="Q68" s="29"/>
    </row>
    <row r="69" spans="2:17" s="17" customFormat="1" ht="13.8">
      <c r="B69" s="20" t="s">
        <v>121</v>
      </c>
      <c r="C69" s="20" t="s">
        <v>0</v>
      </c>
      <c r="D69" s="20" t="s">
        <v>94</v>
      </c>
      <c r="E69" s="20" t="s">
        <v>22</v>
      </c>
      <c r="F69" s="20" t="s">
        <v>108</v>
      </c>
      <c r="G69" s="20" t="s">
        <v>92</v>
      </c>
      <c r="H69" s="20">
        <v>50</v>
      </c>
      <c r="I69" s="20">
        <v>70</v>
      </c>
      <c r="J69" s="20" t="s">
        <v>25</v>
      </c>
      <c r="K69" s="20" t="s">
        <v>42</v>
      </c>
      <c r="L69" s="52">
        <v>2900000</v>
      </c>
      <c r="M69" s="52"/>
      <c r="N69" s="52">
        <f t="shared" si="0"/>
        <v>2900000</v>
      </c>
      <c r="O69" s="53"/>
      <c r="P69" s="54">
        <f t="shared" si="1"/>
        <v>2900000</v>
      </c>
      <c r="Q69" s="28"/>
    </row>
    <row r="70" spans="2:17" s="17" customFormat="1" ht="13.8">
      <c r="B70" s="51" t="s">
        <v>122</v>
      </c>
      <c r="C70" s="20" t="s">
        <v>0</v>
      </c>
      <c r="D70" s="51" t="s">
        <v>94</v>
      </c>
      <c r="E70" s="51" t="s">
        <v>22</v>
      </c>
      <c r="F70" s="20" t="s">
        <v>108</v>
      </c>
      <c r="G70" s="20" t="s">
        <v>123</v>
      </c>
      <c r="H70" s="51">
        <v>50</v>
      </c>
      <c r="I70" s="51">
        <v>70</v>
      </c>
      <c r="J70" s="20" t="s">
        <v>25</v>
      </c>
      <c r="K70" s="20" t="s">
        <v>42</v>
      </c>
      <c r="L70" s="52">
        <v>2900000</v>
      </c>
      <c r="M70" s="52"/>
      <c r="N70" s="52">
        <f t="shared" si="0"/>
        <v>2900000</v>
      </c>
      <c r="O70" s="53"/>
      <c r="P70" s="54">
        <f t="shared" si="1"/>
        <v>2900000</v>
      </c>
      <c r="Q70" s="29"/>
    </row>
    <row r="71" spans="2:17" s="17" customFormat="1" ht="13.8">
      <c r="B71" s="20" t="s">
        <v>124</v>
      </c>
      <c r="C71" s="20" t="s">
        <v>0</v>
      </c>
      <c r="D71" s="20" t="s">
        <v>94</v>
      </c>
      <c r="E71" s="20" t="s">
        <v>22</v>
      </c>
      <c r="F71" s="20" t="s">
        <v>108</v>
      </c>
      <c r="G71" s="20" t="s">
        <v>125</v>
      </c>
      <c r="H71" s="20">
        <v>50</v>
      </c>
      <c r="I71" s="20">
        <v>70</v>
      </c>
      <c r="J71" s="20" t="s">
        <v>25</v>
      </c>
      <c r="K71" s="20" t="s">
        <v>44</v>
      </c>
      <c r="L71" s="52">
        <v>2900000</v>
      </c>
      <c r="M71" s="52"/>
      <c r="N71" s="52">
        <f t="shared" si="0"/>
        <v>2900000</v>
      </c>
      <c r="O71" s="53"/>
      <c r="P71" s="54">
        <f t="shared" si="1"/>
        <v>2900000</v>
      </c>
      <c r="Q71" s="28"/>
    </row>
    <row r="72" spans="2:17" s="17" customFormat="1" ht="13.8">
      <c r="B72" s="51" t="s">
        <v>126</v>
      </c>
      <c r="C72" s="20" t="s">
        <v>0</v>
      </c>
      <c r="D72" s="51" t="s">
        <v>94</v>
      </c>
      <c r="E72" s="51" t="s">
        <v>22</v>
      </c>
      <c r="F72" s="20" t="s">
        <v>108</v>
      </c>
      <c r="G72" s="20" t="s">
        <v>127</v>
      </c>
      <c r="H72" s="51">
        <v>50</v>
      </c>
      <c r="I72" s="51">
        <v>70</v>
      </c>
      <c r="J72" s="20" t="s">
        <v>25</v>
      </c>
      <c r="K72" s="20" t="s">
        <v>35</v>
      </c>
      <c r="L72" s="52">
        <v>2900000</v>
      </c>
      <c r="M72" s="52"/>
      <c r="N72" s="52">
        <f t="shared" ref="N72:N135" si="2">L72-M72</f>
        <v>2900000</v>
      </c>
      <c r="O72" s="53"/>
      <c r="P72" s="54">
        <f t="shared" ref="P72:P135" si="3">N72-O72</f>
        <v>2900000</v>
      </c>
      <c r="Q72" s="29"/>
    </row>
    <row r="73" spans="2:17" s="17" customFormat="1" ht="13.8">
      <c r="B73" s="20" t="s">
        <v>128</v>
      </c>
      <c r="C73" s="20" t="s">
        <v>0</v>
      </c>
      <c r="D73" s="20" t="s">
        <v>94</v>
      </c>
      <c r="E73" s="20" t="s">
        <v>22</v>
      </c>
      <c r="F73" s="20" t="s">
        <v>108</v>
      </c>
      <c r="G73" s="20" t="s">
        <v>129</v>
      </c>
      <c r="H73" s="20">
        <v>50</v>
      </c>
      <c r="I73" s="20">
        <v>90</v>
      </c>
      <c r="J73" s="20" t="s">
        <v>25</v>
      </c>
      <c r="K73" s="20" t="s">
        <v>32</v>
      </c>
      <c r="L73" s="52">
        <v>3200000</v>
      </c>
      <c r="M73" s="52"/>
      <c r="N73" s="52">
        <f t="shared" si="2"/>
        <v>3200000</v>
      </c>
      <c r="O73" s="53"/>
      <c r="P73" s="54">
        <f t="shared" si="3"/>
        <v>3200000</v>
      </c>
      <c r="Q73" s="28"/>
    </row>
    <row r="74" spans="2:17" s="17" customFormat="1" ht="13.8">
      <c r="B74" s="51" t="s">
        <v>130</v>
      </c>
      <c r="C74" s="20" t="s">
        <v>0</v>
      </c>
      <c r="D74" s="51" t="s">
        <v>94</v>
      </c>
      <c r="E74" s="51" t="s">
        <v>22</v>
      </c>
      <c r="F74" s="20" t="s">
        <v>108</v>
      </c>
      <c r="G74" s="20" t="s">
        <v>131</v>
      </c>
      <c r="H74" s="51">
        <v>50</v>
      </c>
      <c r="I74" s="51">
        <v>90</v>
      </c>
      <c r="J74" s="20" t="s">
        <v>25</v>
      </c>
      <c r="K74" s="20" t="s">
        <v>26</v>
      </c>
      <c r="L74" s="52">
        <v>3200000</v>
      </c>
      <c r="M74" s="52"/>
      <c r="N74" s="52">
        <f t="shared" si="2"/>
        <v>3200000</v>
      </c>
      <c r="O74" s="53"/>
      <c r="P74" s="54">
        <f t="shared" si="3"/>
        <v>3200000</v>
      </c>
      <c r="Q74" s="29"/>
    </row>
    <row r="75" spans="2:17" s="17" customFormat="1" ht="13.8">
      <c r="B75" s="20" t="s">
        <v>132</v>
      </c>
      <c r="C75" s="20" t="s">
        <v>0</v>
      </c>
      <c r="D75" s="20" t="s">
        <v>94</v>
      </c>
      <c r="E75" s="20" t="s">
        <v>22</v>
      </c>
      <c r="F75" s="20" t="s">
        <v>108</v>
      </c>
      <c r="G75" s="20" t="s">
        <v>133</v>
      </c>
      <c r="H75" s="20">
        <v>50</v>
      </c>
      <c r="I75" s="20">
        <v>70</v>
      </c>
      <c r="J75" s="20" t="s">
        <v>25</v>
      </c>
      <c r="K75" s="20" t="s">
        <v>29</v>
      </c>
      <c r="L75" s="52">
        <v>2900000</v>
      </c>
      <c r="M75" s="52"/>
      <c r="N75" s="52">
        <f t="shared" si="2"/>
        <v>2900000</v>
      </c>
      <c r="O75" s="53"/>
      <c r="P75" s="54">
        <f t="shared" si="3"/>
        <v>2900000</v>
      </c>
      <c r="Q75" s="28"/>
    </row>
    <row r="76" spans="2:17" s="17" customFormat="1" ht="13.8">
      <c r="B76" s="51" t="s">
        <v>134</v>
      </c>
      <c r="C76" s="20" t="s">
        <v>0</v>
      </c>
      <c r="D76" s="51" t="s">
        <v>94</v>
      </c>
      <c r="E76" s="51" t="s">
        <v>22</v>
      </c>
      <c r="F76" s="20" t="s">
        <v>108</v>
      </c>
      <c r="G76" s="20" t="s">
        <v>135</v>
      </c>
      <c r="H76" s="51">
        <v>50</v>
      </c>
      <c r="I76" s="51">
        <v>70</v>
      </c>
      <c r="J76" s="20" t="s">
        <v>25</v>
      </c>
      <c r="K76" s="20" t="s">
        <v>32</v>
      </c>
      <c r="L76" s="52">
        <v>2900000</v>
      </c>
      <c r="M76" s="52"/>
      <c r="N76" s="52">
        <f t="shared" si="2"/>
        <v>2900000</v>
      </c>
      <c r="O76" s="53"/>
      <c r="P76" s="54">
        <f t="shared" si="3"/>
        <v>2900000</v>
      </c>
      <c r="Q76" s="29"/>
    </row>
    <row r="77" spans="2:17" s="17" customFormat="1" ht="13.8">
      <c r="B77" s="20" t="s">
        <v>136</v>
      </c>
      <c r="C77" s="20" t="s">
        <v>0</v>
      </c>
      <c r="D77" s="20" t="s">
        <v>94</v>
      </c>
      <c r="E77" s="20" t="s">
        <v>22</v>
      </c>
      <c r="F77" s="20" t="s">
        <v>108</v>
      </c>
      <c r="G77" s="20" t="s">
        <v>137</v>
      </c>
      <c r="H77" s="20">
        <v>50</v>
      </c>
      <c r="I77" s="20">
        <v>70</v>
      </c>
      <c r="J77" s="20" t="s">
        <v>25</v>
      </c>
      <c r="K77" s="20" t="s">
        <v>35</v>
      </c>
      <c r="L77" s="52">
        <v>2900000</v>
      </c>
      <c r="M77" s="52"/>
      <c r="N77" s="52">
        <f t="shared" si="2"/>
        <v>2900000</v>
      </c>
      <c r="O77" s="53"/>
      <c r="P77" s="54">
        <f t="shared" si="3"/>
        <v>2900000</v>
      </c>
      <c r="Q77" s="28"/>
    </row>
    <row r="78" spans="2:17" s="17" customFormat="1" ht="13.8">
      <c r="B78" s="51" t="s">
        <v>138</v>
      </c>
      <c r="C78" s="20" t="s">
        <v>0</v>
      </c>
      <c r="D78" s="51" t="s">
        <v>94</v>
      </c>
      <c r="E78" s="51" t="s">
        <v>22</v>
      </c>
      <c r="F78" s="20" t="s">
        <v>108</v>
      </c>
      <c r="G78" s="20" t="s">
        <v>139</v>
      </c>
      <c r="H78" s="51">
        <v>50</v>
      </c>
      <c r="I78" s="51">
        <v>70</v>
      </c>
      <c r="J78" s="20" t="s">
        <v>25</v>
      </c>
      <c r="K78" s="20" t="s">
        <v>35</v>
      </c>
      <c r="L78" s="52">
        <v>2900000</v>
      </c>
      <c r="M78" s="52"/>
      <c r="N78" s="52">
        <f t="shared" si="2"/>
        <v>2900000</v>
      </c>
      <c r="O78" s="53"/>
      <c r="P78" s="54">
        <f t="shared" si="3"/>
        <v>2900000</v>
      </c>
      <c r="Q78" s="29"/>
    </row>
    <row r="79" spans="2:17" s="17" customFormat="1" ht="13.8">
      <c r="B79" s="20" t="s">
        <v>140</v>
      </c>
      <c r="C79" s="20" t="s">
        <v>0</v>
      </c>
      <c r="D79" s="20" t="s">
        <v>94</v>
      </c>
      <c r="E79" s="20" t="s">
        <v>22</v>
      </c>
      <c r="F79" s="20" t="s">
        <v>108</v>
      </c>
      <c r="G79" s="20" t="s">
        <v>141</v>
      </c>
      <c r="H79" s="20">
        <v>50</v>
      </c>
      <c r="I79" s="20">
        <v>70</v>
      </c>
      <c r="J79" s="20" t="s">
        <v>25</v>
      </c>
      <c r="K79" s="20" t="s">
        <v>32</v>
      </c>
      <c r="L79" s="52">
        <v>2900000</v>
      </c>
      <c r="M79" s="52"/>
      <c r="N79" s="52">
        <f t="shared" si="2"/>
        <v>2900000</v>
      </c>
      <c r="O79" s="53"/>
      <c r="P79" s="54">
        <f t="shared" si="3"/>
        <v>2900000</v>
      </c>
      <c r="Q79" s="28"/>
    </row>
    <row r="80" spans="2:17" s="17" customFormat="1" ht="13.8">
      <c r="B80" s="51" t="s">
        <v>142</v>
      </c>
      <c r="C80" s="20" t="s">
        <v>0</v>
      </c>
      <c r="D80" s="51" t="s">
        <v>94</v>
      </c>
      <c r="E80" s="51" t="s">
        <v>22</v>
      </c>
      <c r="F80" s="20" t="s">
        <v>108</v>
      </c>
      <c r="G80" s="20" t="s">
        <v>143</v>
      </c>
      <c r="H80" s="51">
        <v>50</v>
      </c>
      <c r="I80" s="51">
        <v>70</v>
      </c>
      <c r="J80" s="20" t="s">
        <v>25</v>
      </c>
      <c r="K80" s="20" t="s">
        <v>42</v>
      </c>
      <c r="L80" s="52">
        <v>2900000</v>
      </c>
      <c r="M80" s="52"/>
      <c r="N80" s="52">
        <f t="shared" si="2"/>
        <v>2900000</v>
      </c>
      <c r="O80" s="53"/>
      <c r="P80" s="54">
        <f t="shared" si="3"/>
        <v>2900000</v>
      </c>
      <c r="Q80" s="29"/>
    </row>
    <row r="81" spans="2:17" s="17" customFormat="1" ht="13.8">
      <c r="B81" s="20" t="s">
        <v>144</v>
      </c>
      <c r="C81" s="20" t="s">
        <v>0</v>
      </c>
      <c r="D81" s="20" t="s">
        <v>94</v>
      </c>
      <c r="E81" s="20" t="s">
        <v>22</v>
      </c>
      <c r="F81" s="20" t="s">
        <v>108</v>
      </c>
      <c r="G81" s="20" t="s">
        <v>145</v>
      </c>
      <c r="H81" s="20">
        <v>50</v>
      </c>
      <c r="I81" s="20">
        <v>70</v>
      </c>
      <c r="J81" s="20" t="s">
        <v>25</v>
      </c>
      <c r="K81" s="20" t="s">
        <v>44</v>
      </c>
      <c r="L81" s="52">
        <v>2900000</v>
      </c>
      <c r="M81" s="52"/>
      <c r="N81" s="52">
        <f t="shared" si="2"/>
        <v>2900000</v>
      </c>
      <c r="O81" s="53"/>
      <c r="P81" s="54">
        <f t="shared" si="3"/>
        <v>2900000</v>
      </c>
      <c r="Q81" s="28"/>
    </row>
    <row r="82" spans="2:17" s="17" customFormat="1" ht="13.8">
      <c r="B82" s="51" t="s">
        <v>146</v>
      </c>
      <c r="C82" s="20" t="s">
        <v>0</v>
      </c>
      <c r="D82" s="51" t="s">
        <v>21</v>
      </c>
      <c r="E82" s="51" t="s">
        <v>22</v>
      </c>
      <c r="F82" s="20" t="s">
        <v>108</v>
      </c>
      <c r="G82" s="20" t="s">
        <v>147</v>
      </c>
      <c r="H82" s="51">
        <v>50</v>
      </c>
      <c r="I82" s="51">
        <v>70</v>
      </c>
      <c r="J82" s="20" t="s">
        <v>25</v>
      </c>
      <c r="K82" s="20" t="s">
        <v>44</v>
      </c>
      <c r="L82" s="52">
        <v>2900000</v>
      </c>
      <c r="M82" s="52"/>
      <c r="N82" s="52">
        <f t="shared" si="2"/>
        <v>2900000</v>
      </c>
      <c r="O82" s="53"/>
      <c r="P82" s="54">
        <f t="shared" si="3"/>
        <v>2900000</v>
      </c>
      <c r="Q82" s="29"/>
    </row>
    <row r="83" spans="2:17" s="17" customFormat="1" ht="13.8">
      <c r="B83" s="20" t="s">
        <v>148</v>
      </c>
      <c r="C83" s="20" t="s">
        <v>0</v>
      </c>
      <c r="D83" s="20" t="s">
        <v>21</v>
      </c>
      <c r="E83" s="20" t="s">
        <v>22</v>
      </c>
      <c r="F83" s="20" t="s">
        <v>108</v>
      </c>
      <c r="G83" s="20" t="s">
        <v>149</v>
      </c>
      <c r="H83" s="20">
        <v>50</v>
      </c>
      <c r="I83" s="20">
        <v>70</v>
      </c>
      <c r="J83" s="20" t="s">
        <v>25</v>
      </c>
      <c r="K83" s="20" t="s">
        <v>42</v>
      </c>
      <c r="L83" s="52">
        <v>2900000</v>
      </c>
      <c r="M83" s="52"/>
      <c r="N83" s="52">
        <f t="shared" si="2"/>
        <v>2900000</v>
      </c>
      <c r="O83" s="53"/>
      <c r="P83" s="54">
        <f t="shared" si="3"/>
        <v>2900000</v>
      </c>
      <c r="Q83" s="28"/>
    </row>
    <row r="84" spans="2:17" s="17" customFormat="1" ht="13.8">
      <c r="B84" s="51" t="s">
        <v>150</v>
      </c>
      <c r="C84" s="20" t="s">
        <v>0</v>
      </c>
      <c r="D84" s="51" t="s">
        <v>21</v>
      </c>
      <c r="E84" s="51" t="s">
        <v>22</v>
      </c>
      <c r="F84" s="20" t="s">
        <v>108</v>
      </c>
      <c r="G84" s="20" t="s">
        <v>151</v>
      </c>
      <c r="H84" s="51">
        <v>50</v>
      </c>
      <c r="I84" s="51">
        <v>70</v>
      </c>
      <c r="J84" s="20" t="s">
        <v>25</v>
      </c>
      <c r="K84" s="20" t="s">
        <v>50</v>
      </c>
      <c r="L84" s="52">
        <v>2900000</v>
      </c>
      <c r="M84" s="52"/>
      <c r="N84" s="52">
        <f t="shared" si="2"/>
        <v>2900000</v>
      </c>
      <c r="O84" s="53"/>
      <c r="P84" s="54">
        <f t="shared" si="3"/>
        <v>2900000</v>
      </c>
      <c r="Q84" s="29"/>
    </row>
    <row r="85" spans="2:17" s="17" customFormat="1" ht="13.8">
      <c r="B85" s="20" t="s">
        <v>152</v>
      </c>
      <c r="C85" s="20" t="s">
        <v>0</v>
      </c>
      <c r="D85" s="20" t="s">
        <v>21</v>
      </c>
      <c r="E85" s="20" t="s">
        <v>22</v>
      </c>
      <c r="F85" s="20" t="s">
        <v>108</v>
      </c>
      <c r="G85" s="20" t="s">
        <v>153</v>
      </c>
      <c r="H85" s="20">
        <v>50</v>
      </c>
      <c r="I85" s="20">
        <v>70</v>
      </c>
      <c r="J85" s="20" t="s">
        <v>25</v>
      </c>
      <c r="K85" s="20" t="s">
        <v>48</v>
      </c>
      <c r="L85" s="52">
        <v>2900000</v>
      </c>
      <c r="M85" s="52"/>
      <c r="N85" s="52">
        <f t="shared" si="2"/>
        <v>2900000</v>
      </c>
      <c r="O85" s="53"/>
      <c r="P85" s="54">
        <f t="shared" si="3"/>
        <v>2900000</v>
      </c>
      <c r="Q85" s="28"/>
    </row>
    <row r="86" spans="2:17" s="17" customFormat="1" ht="13.8">
      <c r="B86" s="51" t="s">
        <v>154</v>
      </c>
      <c r="C86" s="20" t="s">
        <v>0</v>
      </c>
      <c r="D86" s="51" t="s">
        <v>21</v>
      </c>
      <c r="E86" s="51" t="s">
        <v>22</v>
      </c>
      <c r="F86" s="20" t="s">
        <v>108</v>
      </c>
      <c r="G86" s="20" t="s">
        <v>155</v>
      </c>
      <c r="H86" s="51">
        <v>50</v>
      </c>
      <c r="I86" s="51">
        <v>70</v>
      </c>
      <c r="J86" s="20" t="s">
        <v>25</v>
      </c>
      <c r="K86" s="20" t="s">
        <v>48</v>
      </c>
      <c r="L86" s="52">
        <v>2900000</v>
      </c>
      <c r="M86" s="52"/>
      <c r="N86" s="52">
        <f t="shared" si="2"/>
        <v>2900000</v>
      </c>
      <c r="O86" s="53"/>
      <c r="P86" s="54">
        <f t="shared" si="3"/>
        <v>2900000</v>
      </c>
      <c r="Q86" s="29"/>
    </row>
    <row r="87" spans="2:17" s="17" customFormat="1" ht="13.8">
      <c r="B87" s="20" t="s">
        <v>156</v>
      </c>
      <c r="C87" s="20" t="s">
        <v>0</v>
      </c>
      <c r="D87" s="20" t="s">
        <v>21</v>
      </c>
      <c r="E87" s="20" t="s">
        <v>22</v>
      </c>
      <c r="F87" s="20" t="s">
        <v>108</v>
      </c>
      <c r="G87" s="20" t="s">
        <v>157</v>
      </c>
      <c r="H87" s="20">
        <v>50</v>
      </c>
      <c r="I87" s="20">
        <v>70</v>
      </c>
      <c r="J87" s="20" t="s">
        <v>25</v>
      </c>
      <c r="K87" s="20" t="s">
        <v>50</v>
      </c>
      <c r="L87" s="52">
        <v>2900000</v>
      </c>
      <c r="M87" s="52"/>
      <c r="N87" s="52">
        <f t="shared" si="2"/>
        <v>2900000</v>
      </c>
      <c r="O87" s="53"/>
      <c r="P87" s="54">
        <f t="shared" si="3"/>
        <v>2900000</v>
      </c>
      <c r="Q87" s="28"/>
    </row>
    <row r="88" spans="2:17" s="17" customFormat="1" ht="13.8">
      <c r="B88" s="51" t="s">
        <v>158</v>
      </c>
      <c r="C88" s="20" t="s">
        <v>0</v>
      </c>
      <c r="D88" s="51" t="s">
        <v>21</v>
      </c>
      <c r="E88" s="51" t="s">
        <v>22</v>
      </c>
      <c r="F88" s="20" t="s">
        <v>108</v>
      </c>
      <c r="G88" s="20" t="s">
        <v>159</v>
      </c>
      <c r="H88" s="51">
        <v>50</v>
      </c>
      <c r="I88" s="51">
        <v>70</v>
      </c>
      <c r="J88" s="20" t="s">
        <v>25</v>
      </c>
      <c r="K88" s="20" t="s">
        <v>29</v>
      </c>
      <c r="L88" s="52">
        <v>2900000</v>
      </c>
      <c r="M88" s="52"/>
      <c r="N88" s="52">
        <f t="shared" si="2"/>
        <v>2900000</v>
      </c>
      <c r="O88" s="53"/>
      <c r="P88" s="54">
        <f t="shared" si="3"/>
        <v>2900000</v>
      </c>
      <c r="Q88" s="29"/>
    </row>
    <row r="89" spans="2:17" s="17" customFormat="1" ht="13.8">
      <c r="B89" s="20" t="s">
        <v>160</v>
      </c>
      <c r="C89" s="20" t="s">
        <v>0</v>
      </c>
      <c r="D89" s="20" t="s">
        <v>21</v>
      </c>
      <c r="E89" s="20" t="s">
        <v>22</v>
      </c>
      <c r="F89" s="20" t="s">
        <v>108</v>
      </c>
      <c r="G89" s="20" t="s">
        <v>161</v>
      </c>
      <c r="H89" s="20">
        <v>50</v>
      </c>
      <c r="I89" s="20">
        <v>70</v>
      </c>
      <c r="J89" s="20" t="s">
        <v>25</v>
      </c>
      <c r="K89" s="20" t="s">
        <v>26</v>
      </c>
      <c r="L89" s="52">
        <v>2900000</v>
      </c>
      <c r="M89" s="52"/>
      <c r="N89" s="52">
        <f t="shared" si="2"/>
        <v>2900000</v>
      </c>
      <c r="O89" s="53"/>
      <c r="P89" s="54">
        <f t="shared" si="3"/>
        <v>2900000</v>
      </c>
      <c r="Q89" s="28"/>
    </row>
    <row r="90" spans="2:17" s="17" customFormat="1" ht="13.8">
      <c r="B90" s="51" t="s">
        <v>162</v>
      </c>
      <c r="C90" s="20" t="s">
        <v>0</v>
      </c>
      <c r="D90" s="51" t="s">
        <v>21</v>
      </c>
      <c r="E90" s="51" t="s">
        <v>22</v>
      </c>
      <c r="F90" s="20" t="s">
        <v>108</v>
      </c>
      <c r="G90" s="20" t="s">
        <v>163</v>
      </c>
      <c r="H90" s="51">
        <v>50</v>
      </c>
      <c r="I90" s="51">
        <v>70</v>
      </c>
      <c r="J90" s="20" t="s">
        <v>25</v>
      </c>
      <c r="K90" s="20" t="s">
        <v>26</v>
      </c>
      <c r="L90" s="52">
        <v>2900000</v>
      </c>
      <c r="M90" s="52"/>
      <c r="N90" s="52">
        <f t="shared" si="2"/>
        <v>2900000</v>
      </c>
      <c r="O90" s="53"/>
      <c r="P90" s="54">
        <f t="shared" si="3"/>
        <v>2900000</v>
      </c>
      <c r="Q90" s="29"/>
    </row>
    <row r="91" spans="2:17" s="17" customFormat="1" ht="13.8">
      <c r="B91" s="20" t="s">
        <v>164</v>
      </c>
      <c r="C91" s="20" t="s">
        <v>0</v>
      </c>
      <c r="D91" s="20" t="s">
        <v>21</v>
      </c>
      <c r="E91" s="20" t="s">
        <v>22</v>
      </c>
      <c r="F91" s="20" t="s">
        <v>108</v>
      </c>
      <c r="G91" s="20" t="s">
        <v>165</v>
      </c>
      <c r="H91" s="20">
        <v>50</v>
      </c>
      <c r="I91" s="20">
        <v>90</v>
      </c>
      <c r="J91" s="20" t="s">
        <v>25</v>
      </c>
      <c r="K91" s="20" t="s">
        <v>29</v>
      </c>
      <c r="L91" s="52">
        <v>3200000</v>
      </c>
      <c r="M91" s="52"/>
      <c r="N91" s="52">
        <f t="shared" si="2"/>
        <v>3200000</v>
      </c>
      <c r="O91" s="53"/>
      <c r="P91" s="54">
        <f t="shared" si="3"/>
        <v>3200000</v>
      </c>
      <c r="Q91" s="28"/>
    </row>
    <row r="92" spans="2:17" s="17" customFormat="1" ht="13.8">
      <c r="B92" s="51" t="s">
        <v>166</v>
      </c>
      <c r="C92" s="20" t="s">
        <v>0</v>
      </c>
      <c r="D92" s="51" t="s">
        <v>21</v>
      </c>
      <c r="E92" s="51" t="s">
        <v>22</v>
      </c>
      <c r="F92" s="20" t="s">
        <v>167</v>
      </c>
      <c r="G92" s="20" t="s">
        <v>24</v>
      </c>
      <c r="H92" s="51">
        <v>50</v>
      </c>
      <c r="I92" s="51">
        <v>90</v>
      </c>
      <c r="J92" s="20" t="s">
        <v>25</v>
      </c>
      <c r="K92" s="20" t="s">
        <v>26</v>
      </c>
      <c r="L92" s="52">
        <v>3200000</v>
      </c>
      <c r="M92" s="52"/>
      <c r="N92" s="52">
        <f t="shared" si="2"/>
        <v>3200000</v>
      </c>
      <c r="O92" s="53"/>
      <c r="P92" s="54">
        <f t="shared" si="3"/>
        <v>3200000</v>
      </c>
      <c r="Q92" s="29"/>
    </row>
    <row r="93" spans="2:17" s="17" customFormat="1" ht="13.8">
      <c r="B93" s="20" t="s">
        <v>168</v>
      </c>
      <c r="C93" s="20" t="s">
        <v>0</v>
      </c>
      <c r="D93" s="20" t="s">
        <v>21</v>
      </c>
      <c r="E93" s="20" t="s">
        <v>22</v>
      </c>
      <c r="F93" s="20" t="s">
        <v>167</v>
      </c>
      <c r="G93" s="20" t="s">
        <v>28</v>
      </c>
      <c r="H93" s="20">
        <v>50</v>
      </c>
      <c r="I93" s="20">
        <v>70</v>
      </c>
      <c r="J93" s="20" t="s">
        <v>25</v>
      </c>
      <c r="K93" s="20" t="s">
        <v>29</v>
      </c>
      <c r="L93" s="52">
        <v>2900000</v>
      </c>
      <c r="M93" s="52"/>
      <c r="N93" s="52">
        <f t="shared" si="2"/>
        <v>2900000</v>
      </c>
      <c r="O93" s="53"/>
      <c r="P93" s="54">
        <f t="shared" si="3"/>
        <v>2900000</v>
      </c>
      <c r="Q93" s="28"/>
    </row>
    <row r="94" spans="2:17" s="17" customFormat="1" ht="13.8">
      <c r="B94" s="51" t="s">
        <v>169</v>
      </c>
      <c r="C94" s="20" t="s">
        <v>0</v>
      </c>
      <c r="D94" s="51" t="s">
        <v>21</v>
      </c>
      <c r="E94" s="51" t="s">
        <v>22</v>
      </c>
      <c r="F94" s="20" t="s">
        <v>167</v>
      </c>
      <c r="G94" s="20" t="s">
        <v>31</v>
      </c>
      <c r="H94" s="51">
        <v>50</v>
      </c>
      <c r="I94" s="51">
        <v>70</v>
      </c>
      <c r="J94" s="20" t="s">
        <v>25</v>
      </c>
      <c r="K94" s="20" t="s">
        <v>29</v>
      </c>
      <c r="L94" s="52">
        <v>2900000</v>
      </c>
      <c r="M94" s="52"/>
      <c r="N94" s="52">
        <f t="shared" si="2"/>
        <v>2900000</v>
      </c>
      <c r="O94" s="53"/>
      <c r="P94" s="54">
        <f t="shared" si="3"/>
        <v>2900000</v>
      </c>
      <c r="Q94" s="29"/>
    </row>
    <row r="95" spans="2:17" s="17" customFormat="1" ht="13.8">
      <c r="B95" s="20" t="s">
        <v>170</v>
      </c>
      <c r="C95" s="20" t="s">
        <v>0</v>
      </c>
      <c r="D95" s="20" t="s">
        <v>21</v>
      </c>
      <c r="E95" s="20" t="s">
        <v>22</v>
      </c>
      <c r="F95" s="20" t="s">
        <v>167</v>
      </c>
      <c r="G95" s="20" t="s">
        <v>34</v>
      </c>
      <c r="H95" s="20">
        <v>50</v>
      </c>
      <c r="I95" s="20">
        <v>70</v>
      </c>
      <c r="J95" s="20" t="s">
        <v>25</v>
      </c>
      <c r="K95" s="20" t="s">
        <v>26</v>
      </c>
      <c r="L95" s="52">
        <v>2900000</v>
      </c>
      <c r="M95" s="52"/>
      <c r="N95" s="52">
        <f t="shared" si="2"/>
        <v>2900000</v>
      </c>
      <c r="O95" s="53"/>
      <c r="P95" s="54">
        <f t="shared" si="3"/>
        <v>2900000</v>
      </c>
      <c r="Q95" s="28"/>
    </row>
    <row r="96" spans="2:17" s="17" customFormat="1" ht="13.8">
      <c r="B96" s="51" t="s">
        <v>171</v>
      </c>
      <c r="C96" s="20" t="s">
        <v>0</v>
      </c>
      <c r="D96" s="51" t="s">
        <v>21</v>
      </c>
      <c r="E96" s="51" t="s">
        <v>22</v>
      </c>
      <c r="F96" s="20" t="s">
        <v>167</v>
      </c>
      <c r="G96" s="20" t="s">
        <v>37</v>
      </c>
      <c r="H96" s="51">
        <v>50</v>
      </c>
      <c r="I96" s="51">
        <v>70</v>
      </c>
      <c r="J96" s="20" t="s">
        <v>25</v>
      </c>
      <c r="K96" s="20" t="s">
        <v>44</v>
      </c>
      <c r="L96" s="52">
        <v>2900000</v>
      </c>
      <c r="M96" s="52"/>
      <c r="N96" s="52">
        <f t="shared" si="2"/>
        <v>2900000</v>
      </c>
      <c r="O96" s="53"/>
      <c r="P96" s="54">
        <f t="shared" si="3"/>
        <v>2900000</v>
      </c>
      <c r="Q96" s="29"/>
    </row>
    <row r="97" spans="2:17" s="17" customFormat="1" ht="13.8">
      <c r="B97" s="20" t="s">
        <v>172</v>
      </c>
      <c r="C97" s="20" t="s">
        <v>0</v>
      </c>
      <c r="D97" s="20" t="s">
        <v>21</v>
      </c>
      <c r="E97" s="20" t="s">
        <v>22</v>
      </c>
      <c r="F97" s="20" t="s">
        <v>167</v>
      </c>
      <c r="G97" s="20" t="s">
        <v>39</v>
      </c>
      <c r="H97" s="20">
        <v>50</v>
      </c>
      <c r="I97" s="20">
        <v>70</v>
      </c>
      <c r="J97" s="20" t="s">
        <v>25</v>
      </c>
      <c r="K97" s="20" t="s">
        <v>42</v>
      </c>
      <c r="L97" s="52">
        <v>2900000</v>
      </c>
      <c r="M97" s="52"/>
      <c r="N97" s="52">
        <f t="shared" si="2"/>
        <v>2900000</v>
      </c>
      <c r="O97" s="53"/>
      <c r="P97" s="54">
        <f t="shared" si="3"/>
        <v>2900000</v>
      </c>
      <c r="Q97" s="28"/>
    </row>
    <row r="98" spans="2:17" s="17" customFormat="1" ht="13.8">
      <c r="B98" s="51" t="s">
        <v>173</v>
      </c>
      <c r="C98" s="20" t="s">
        <v>0</v>
      </c>
      <c r="D98" s="51" t="s">
        <v>21</v>
      </c>
      <c r="E98" s="51" t="s">
        <v>22</v>
      </c>
      <c r="F98" s="20" t="s">
        <v>167</v>
      </c>
      <c r="G98" s="20" t="s">
        <v>52</v>
      </c>
      <c r="H98" s="51">
        <v>50</v>
      </c>
      <c r="I98" s="51">
        <v>70</v>
      </c>
      <c r="J98" s="20" t="s">
        <v>25</v>
      </c>
      <c r="K98" s="20" t="s">
        <v>42</v>
      </c>
      <c r="L98" s="52">
        <v>2900000</v>
      </c>
      <c r="M98" s="52"/>
      <c r="N98" s="52">
        <f t="shared" si="2"/>
        <v>2900000</v>
      </c>
      <c r="O98" s="53"/>
      <c r="P98" s="54">
        <f t="shared" si="3"/>
        <v>2900000</v>
      </c>
      <c r="Q98" s="29"/>
    </row>
    <row r="99" spans="2:17" s="17" customFormat="1" ht="13.8">
      <c r="B99" s="20" t="s">
        <v>174</v>
      </c>
      <c r="C99" s="20" t="s">
        <v>0</v>
      </c>
      <c r="D99" s="20" t="s">
        <v>21</v>
      </c>
      <c r="E99" s="20" t="s">
        <v>22</v>
      </c>
      <c r="F99" s="20" t="s">
        <v>167</v>
      </c>
      <c r="G99" s="20" t="s">
        <v>54</v>
      </c>
      <c r="H99" s="20">
        <v>50</v>
      </c>
      <c r="I99" s="20">
        <v>70</v>
      </c>
      <c r="J99" s="20" t="s">
        <v>25</v>
      </c>
      <c r="K99" s="20" t="s">
        <v>44</v>
      </c>
      <c r="L99" s="52">
        <v>2900000</v>
      </c>
      <c r="M99" s="52"/>
      <c r="N99" s="52">
        <f t="shared" si="2"/>
        <v>2900000</v>
      </c>
      <c r="O99" s="53"/>
      <c r="P99" s="54">
        <f t="shared" si="3"/>
        <v>2900000</v>
      </c>
      <c r="Q99" s="28"/>
    </row>
    <row r="100" spans="2:17" s="17" customFormat="1" ht="13.8">
      <c r="B100" s="51" t="s">
        <v>175</v>
      </c>
      <c r="C100" s="20" t="s">
        <v>0</v>
      </c>
      <c r="D100" s="51" t="s">
        <v>21</v>
      </c>
      <c r="E100" s="51" t="s">
        <v>22</v>
      </c>
      <c r="F100" s="20" t="s">
        <v>167</v>
      </c>
      <c r="G100" s="20" t="s">
        <v>82</v>
      </c>
      <c r="H100" s="51">
        <v>50</v>
      </c>
      <c r="I100" s="51">
        <v>70</v>
      </c>
      <c r="J100" s="20" t="s">
        <v>25</v>
      </c>
      <c r="K100" s="20" t="s">
        <v>35</v>
      </c>
      <c r="L100" s="52">
        <v>2900000</v>
      </c>
      <c r="M100" s="52"/>
      <c r="N100" s="52">
        <f t="shared" si="2"/>
        <v>2900000</v>
      </c>
      <c r="O100" s="53"/>
      <c r="P100" s="54">
        <f t="shared" si="3"/>
        <v>2900000</v>
      </c>
      <c r="Q100" s="29"/>
    </row>
    <row r="101" spans="2:17" s="17" customFormat="1" ht="13.8">
      <c r="B101" s="20" t="s">
        <v>176</v>
      </c>
      <c r="C101" s="20" t="s">
        <v>0</v>
      </c>
      <c r="D101" s="20" t="s">
        <v>21</v>
      </c>
      <c r="E101" s="20" t="s">
        <v>22</v>
      </c>
      <c r="F101" s="20" t="s">
        <v>167</v>
      </c>
      <c r="G101" s="20" t="s">
        <v>84</v>
      </c>
      <c r="H101" s="20">
        <v>50</v>
      </c>
      <c r="I101" s="20">
        <v>70</v>
      </c>
      <c r="J101" s="20" t="s">
        <v>25</v>
      </c>
      <c r="K101" s="20" t="s">
        <v>32</v>
      </c>
      <c r="L101" s="52">
        <v>2900000</v>
      </c>
      <c r="M101" s="52"/>
      <c r="N101" s="52">
        <f t="shared" si="2"/>
        <v>2900000</v>
      </c>
      <c r="O101" s="53"/>
      <c r="P101" s="54">
        <f t="shared" si="3"/>
        <v>2900000</v>
      </c>
      <c r="Q101" s="28"/>
    </row>
    <row r="102" spans="2:17" s="17" customFormat="1" ht="13.8">
      <c r="B102" s="51" t="s">
        <v>177</v>
      </c>
      <c r="C102" s="20" t="s">
        <v>0</v>
      </c>
      <c r="D102" s="51" t="s">
        <v>94</v>
      </c>
      <c r="E102" s="51" t="s">
        <v>22</v>
      </c>
      <c r="F102" s="20" t="s">
        <v>167</v>
      </c>
      <c r="G102" s="20" t="s">
        <v>86</v>
      </c>
      <c r="H102" s="51">
        <v>50</v>
      </c>
      <c r="I102" s="51">
        <v>70</v>
      </c>
      <c r="J102" s="20" t="s">
        <v>25</v>
      </c>
      <c r="K102" s="20" t="s">
        <v>32</v>
      </c>
      <c r="L102" s="52">
        <v>2900000</v>
      </c>
      <c r="M102" s="52"/>
      <c r="N102" s="52">
        <f t="shared" si="2"/>
        <v>2900000</v>
      </c>
      <c r="O102" s="53"/>
      <c r="P102" s="54">
        <f t="shared" si="3"/>
        <v>2900000</v>
      </c>
      <c r="Q102" s="29"/>
    </row>
    <row r="103" spans="2:17" s="17" customFormat="1" ht="13.8">
      <c r="B103" s="20" t="s">
        <v>178</v>
      </c>
      <c r="C103" s="20" t="s">
        <v>0</v>
      </c>
      <c r="D103" s="20" t="s">
        <v>94</v>
      </c>
      <c r="E103" s="20" t="s">
        <v>22</v>
      </c>
      <c r="F103" s="20" t="s">
        <v>167</v>
      </c>
      <c r="G103" s="20" t="s">
        <v>88</v>
      </c>
      <c r="H103" s="20">
        <v>50</v>
      </c>
      <c r="I103" s="20">
        <v>70</v>
      </c>
      <c r="J103" s="20" t="s">
        <v>25</v>
      </c>
      <c r="K103" s="20" t="s">
        <v>35</v>
      </c>
      <c r="L103" s="52">
        <v>2900000</v>
      </c>
      <c r="M103" s="52"/>
      <c r="N103" s="52">
        <f t="shared" si="2"/>
        <v>2900000</v>
      </c>
      <c r="O103" s="53"/>
      <c r="P103" s="54">
        <f t="shared" si="3"/>
        <v>2900000</v>
      </c>
      <c r="Q103" s="28"/>
    </row>
    <row r="104" spans="2:17" s="17" customFormat="1" ht="13.8">
      <c r="B104" s="51" t="s">
        <v>179</v>
      </c>
      <c r="C104" s="20" t="s">
        <v>0</v>
      </c>
      <c r="D104" s="51" t="s">
        <v>94</v>
      </c>
      <c r="E104" s="51" t="s">
        <v>22</v>
      </c>
      <c r="F104" s="20" t="s">
        <v>167</v>
      </c>
      <c r="G104" s="20" t="s">
        <v>90</v>
      </c>
      <c r="H104" s="51">
        <v>50</v>
      </c>
      <c r="I104" s="51">
        <v>70</v>
      </c>
      <c r="J104" s="20" t="s">
        <v>25</v>
      </c>
      <c r="K104" s="20" t="s">
        <v>26</v>
      </c>
      <c r="L104" s="52">
        <v>2900000</v>
      </c>
      <c r="M104" s="52"/>
      <c r="N104" s="52">
        <f t="shared" si="2"/>
        <v>2900000</v>
      </c>
      <c r="O104" s="53"/>
      <c r="P104" s="54">
        <f t="shared" si="3"/>
        <v>2900000</v>
      </c>
      <c r="Q104" s="29"/>
    </row>
    <row r="105" spans="2:17" s="17" customFormat="1" ht="13.8">
      <c r="B105" s="20" t="s">
        <v>180</v>
      </c>
      <c r="C105" s="20" t="s">
        <v>0</v>
      </c>
      <c r="D105" s="20" t="s">
        <v>94</v>
      </c>
      <c r="E105" s="20" t="s">
        <v>22</v>
      </c>
      <c r="F105" s="20" t="s">
        <v>167</v>
      </c>
      <c r="G105" s="20" t="s">
        <v>92</v>
      </c>
      <c r="H105" s="20">
        <v>50</v>
      </c>
      <c r="I105" s="20">
        <v>70</v>
      </c>
      <c r="J105" s="20" t="s">
        <v>25</v>
      </c>
      <c r="K105" s="20" t="s">
        <v>29</v>
      </c>
      <c r="L105" s="52">
        <v>2900000</v>
      </c>
      <c r="M105" s="52"/>
      <c r="N105" s="52">
        <f t="shared" si="2"/>
        <v>2900000</v>
      </c>
      <c r="O105" s="53"/>
      <c r="P105" s="54">
        <f t="shared" si="3"/>
        <v>2900000</v>
      </c>
      <c r="Q105" s="28"/>
    </row>
    <row r="106" spans="2:17" s="17" customFormat="1" ht="13.8">
      <c r="B106" s="51" t="s">
        <v>181</v>
      </c>
      <c r="C106" s="20" t="s">
        <v>0</v>
      </c>
      <c r="D106" s="51" t="s">
        <v>94</v>
      </c>
      <c r="E106" s="51" t="s">
        <v>22</v>
      </c>
      <c r="F106" s="20" t="s">
        <v>167</v>
      </c>
      <c r="G106" s="20" t="s">
        <v>123</v>
      </c>
      <c r="H106" s="51">
        <v>50</v>
      </c>
      <c r="I106" s="51">
        <v>70</v>
      </c>
      <c r="J106" s="20" t="s">
        <v>25</v>
      </c>
      <c r="K106" s="20" t="s">
        <v>29</v>
      </c>
      <c r="L106" s="52">
        <v>2900000</v>
      </c>
      <c r="M106" s="52"/>
      <c r="N106" s="52">
        <f t="shared" si="2"/>
        <v>2900000</v>
      </c>
      <c r="O106" s="53"/>
      <c r="P106" s="54">
        <f t="shared" si="3"/>
        <v>2900000</v>
      </c>
      <c r="Q106" s="29"/>
    </row>
    <row r="107" spans="2:17" s="17" customFormat="1" ht="13.8">
      <c r="B107" s="20" t="s">
        <v>182</v>
      </c>
      <c r="C107" s="20" t="s">
        <v>0</v>
      </c>
      <c r="D107" s="20" t="s">
        <v>94</v>
      </c>
      <c r="E107" s="20" t="s">
        <v>22</v>
      </c>
      <c r="F107" s="20" t="s">
        <v>167</v>
      </c>
      <c r="G107" s="20" t="s">
        <v>125</v>
      </c>
      <c r="H107" s="20">
        <v>50</v>
      </c>
      <c r="I107" s="20">
        <v>70</v>
      </c>
      <c r="J107" s="20" t="s">
        <v>25</v>
      </c>
      <c r="K107" s="20" t="s">
        <v>26</v>
      </c>
      <c r="L107" s="52">
        <v>2900000</v>
      </c>
      <c r="M107" s="52"/>
      <c r="N107" s="52">
        <f t="shared" si="2"/>
        <v>2900000</v>
      </c>
      <c r="O107" s="53"/>
      <c r="P107" s="54">
        <f t="shared" si="3"/>
        <v>2900000</v>
      </c>
      <c r="Q107" s="28"/>
    </row>
    <row r="108" spans="2:17" s="17" customFormat="1" ht="13.8">
      <c r="B108" s="51" t="s">
        <v>183</v>
      </c>
      <c r="C108" s="20" t="s">
        <v>0</v>
      </c>
      <c r="D108" s="51" t="s">
        <v>94</v>
      </c>
      <c r="E108" s="51" t="s">
        <v>22</v>
      </c>
      <c r="F108" s="20" t="s">
        <v>167</v>
      </c>
      <c r="G108" s="20" t="s">
        <v>127</v>
      </c>
      <c r="H108" s="51">
        <v>50</v>
      </c>
      <c r="I108" s="51">
        <v>70</v>
      </c>
      <c r="J108" s="20" t="s">
        <v>25</v>
      </c>
      <c r="K108" s="20" t="s">
        <v>48</v>
      </c>
      <c r="L108" s="52">
        <v>2900000</v>
      </c>
      <c r="M108" s="52"/>
      <c r="N108" s="52">
        <f t="shared" si="2"/>
        <v>2900000</v>
      </c>
      <c r="O108" s="53"/>
      <c r="P108" s="54">
        <f t="shared" si="3"/>
        <v>2900000</v>
      </c>
      <c r="Q108" s="29"/>
    </row>
    <row r="109" spans="2:17" s="17" customFormat="1" ht="13.8">
      <c r="B109" s="20" t="s">
        <v>184</v>
      </c>
      <c r="C109" s="20" t="s">
        <v>0</v>
      </c>
      <c r="D109" s="20" t="s">
        <v>94</v>
      </c>
      <c r="E109" s="20" t="s">
        <v>22</v>
      </c>
      <c r="F109" s="20" t="s">
        <v>167</v>
      </c>
      <c r="G109" s="20" t="s">
        <v>129</v>
      </c>
      <c r="H109" s="20">
        <v>50</v>
      </c>
      <c r="I109" s="20">
        <v>90</v>
      </c>
      <c r="J109" s="20" t="s">
        <v>25</v>
      </c>
      <c r="K109" s="20" t="s">
        <v>50</v>
      </c>
      <c r="L109" s="52">
        <v>3200000</v>
      </c>
      <c r="M109" s="52"/>
      <c r="N109" s="52">
        <f t="shared" si="2"/>
        <v>3200000</v>
      </c>
      <c r="O109" s="53"/>
      <c r="P109" s="54">
        <f t="shared" si="3"/>
        <v>3200000</v>
      </c>
      <c r="Q109" s="28"/>
    </row>
    <row r="110" spans="2:17" s="17" customFormat="1" ht="13.8">
      <c r="B110" s="51" t="s">
        <v>185</v>
      </c>
      <c r="C110" s="20" t="s">
        <v>0</v>
      </c>
      <c r="D110" s="51" t="s">
        <v>94</v>
      </c>
      <c r="E110" s="51" t="s">
        <v>22</v>
      </c>
      <c r="F110" s="20" t="s">
        <v>167</v>
      </c>
      <c r="G110" s="20" t="s">
        <v>131</v>
      </c>
      <c r="H110" s="51">
        <v>50</v>
      </c>
      <c r="I110" s="51">
        <v>90</v>
      </c>
      <c r="J110" s="20" t="s">
        <v>25</v>
      </c>
      <c r="K110" s="20" t="s">
        <v>44</v>
      </c>
      <c r="L110" s="52">
        <v>3200000</v>
      </c>
      <c r="M110" s="52"/>
      <c r="N110" s="52">
        <f t="shared" si="2"/>
        <v>3200000</v>
      </c>
      <c r="O110" s="53"/>
      <c r="P110" s="54">
        <f t="shared" si="3"/>
        <v>3200000</v>
      </c>
      <c r="Q110" s="29"/>
    </row>
    <row r="111" spans="2:17" s="17" customFormat="1" ht="13.8">
      <c r="B111" s="20" t="s">
        <v>186</v>
      </c>
      <c r="C111" s="20" t="s">
        <v>0</v>
      </c>
      <c r="D111" s="20" t="s">
        <v>94</v>
      </c>
      <c r="E111" s="20" t="s">
        <v>22</v>
      </c>
      <c r="F111" s="20" t="s">
        <v>167</v>
      </c>
      <c r="G111" s="20" t="s">
        <v>133</v>
      </c>
      <c r="H111" s="20">
        <v>50</v>
      </c>
      <c r="I111" s="20">
        <v>70</v>
      </c>
      <c r="J111" s="20" t="s">
        <v>25</v>
      </c>
      <c r="K111" s="20" t="s">
        <v>42</v>
      </c>
      <c r="L111" s="52">
        <v>2900000</v>
      </c>
      <c r="M111" s="52"/>
      <c r="N111" s="52">
        <f t="shared" si="2"/>
        <v>2900000</v>
      </c>
      <c r="O111" s="53"/>
      <c r="P111" s="54">
        <f t="shared" si="3"/>
        <v>2900000</v>
      </c>
      <c r="Q111" s="28"/>
    </row>
    <row r="112" spans="2:17" s="17" customFormat="1" ht="13.8">
      <c r="B112" s="51" t="s">
        <v>187</v>
      </c>
      <c r="C112" s="20" t="s">
        <v>0</v>
      </c>
      <c r="D112" s="51" t="s">
        <v>94</v>
      </c>
      <c r="E112" s="51" t="s">
        <v>22</v>
      </c>
      <c r="F112" s="20" t="s">
        <v>167</v>
      </c>
      <c r="G112" s="20" t="s">
        <v>135</v>
      </c>
      <c r="H112" s="51">
        <v>50</v>
      </c>
      <c r="I112" s="51">
        <v>70</v>
      </c>
      <c r="J112" s="20" t="s">
        <v>25</v>
      </c>
      <c r="K112" s="20" t="s">
        <v>32</v>
      </c>
      <c r="L112" s="52">
        <v>2900000</v>
      </c>
      <c r="M112" s="52"/>
      <c r="N112" s="52">
        <f t="shared" si="2"/>
        <v>2900000</v>
      </c>
      <c r="O112" s="53"/>
      <c r="P112" s="54">
        <f t="shared" si="3"/>
        <v>2900000</v>
      </c>
      <c r="Q112" s="29"/>
    </row>
    <row r="113" spans="2:17" s="17" customFormat="1" ht="13.8">
      <c r="B113" s="20" t="s">
        <v>188</v>
      </c>
      <c r="C113" s="20" t="s">
        <v>0</v>
      </c>
      <c r="D113" s="20" t="s">
        <v>94</v>
      </c>
      <c r="E113" s="20" t="s">
        <v>22</v>
      </c>
      <c r="F113" s="20" t="s">
        <v>167</v>
      </c>
      <c r="G113" s="20" t="s">
        <v>137</v>
      </c>
      <c r="H113" s="20">
        <v>50</v>
      </c>
      <c r="I113" s="20">
        <v>70</v>
      </c>
      <c r="J113" s="20" t="s">
        <v>25</v>
      </c>
      <c r="K113" s="20" t="s">
        <v>35</v>
      </c>
      <c r="L113" s="52">
        <v>2900000</v>
      </c>
      <c r="M113" s="52"/>
      <c r="N113" s="52">
        <f t="shared" si="2"/>
        <v>2900000</v>
      </c>
      <c r="O113" s="53"/>
      <c r="P113" s="54">
        <f t="shared" si="3"/>
        <v>2900000</v>
      </c>
      <c r="Q113" s="28"/>
    </row>
    <row r="114" spans="2:17" s="17" customFormat="1" ht="13.8">
      <c r="B114" s="51" t="s">
        <v>189</v>
      </c>
      <c r="C114" s="20" t="s">
        <v>0</v>
      </c>
      <c r="D114" s="51" t="s">
        <v>94</v>
      </c>
      <c r="E114" s="51" t="s">
        <v>22</v>
      </c>
      <c r="F114" s="20" t="s">
        <v>167</v>
      </c>
      <c r="G114" s="20" t="s">
        <v>139</v>
      </c>
      <c r="H114" s="51">
        <v>50</v>
      </c>
      <c r="I114" s="51">
        <v>70</v>
      </c>
      <c r="J114" s="20" t="s">
        <v>25</v>
      </c>
      <c r="K114" s="20" t="s">
        <v>35</v>
      </c>
      <c r="L114" s="52">
        <v>2900000</v>
      </c>
      <c r="M114" s="52"/>
      <c r="N114" s="52">
        <f t="shared" si="2"/>
        <v>2900000</v>
      </c>
      <c r="O114" s="53"/>
      <c r="P114" s="54">
        <f t="shared" si="3"/>
        <v>2900000</v>
      </c>
      <c r="Q114" s="29"/>
    </row>
    <row r="115" spans="2:17" s="17" customFormat="1" ht="13.8">
      <c r="B115" s="20" t="s">
        <v>190</v>
      </c>
      <c r="C115" s="20" t="s">
        <v>0</v>
      </c>
      <c r="D115" s="20" t="s">
        <v>94</v>
      </c>
      <c r="E115" s="20" t="s">
        <v>22</v>
      </c>
      <c r="F115" s="20" t="s">
        <v>167</v>
      </c>
      <c r="G115" s="20" t="s">
        <v>141</v>
      </c>
      <c r="H115" s="20">
        <v>50</v>
      </c>
      <c r="I115" s="20">
        <v>70</v>
      </c>
      <c r="J115" s="20" t="s">
        <v>25</v>
      </c>
      <c r="K115" s="20" t="s">
        <v>32</v>
      </c>
      <c r="L115" s="52">
        <v>2900000</v>
      </c>
      <c r="M115" s="52"/>
      <c r="N115" s="52">
        <f t="shared" si="2"/>
        <v>2900000</v>
      </c>
      <c r="O115" s="53"/>
      <c r="P115" s="54">
        <f t="shared" si="3"/>
        <v>2900000</v>
      </c>
      <c r="Q115" s="28"/>
    </row>
    <row r="116" spans="2:17" s="17" customFormat="1" ht="13.8">
      <c r="B116" s="51" t="s">
        <v>191</v>
      </c>
      <c r="C116" s="20" t="s">
        <v>0</v>
      </c>
      <c r="D116" s="51" t="s">
        <v>94</v>
      </c>
      <c r="E116" s="51" t="s">
        <v>22</v>
      </c>
      <c r="F116" s="20" t="s">
        <v>167</v>
      </c>
      <c r="G116" s="20" t="s">
        <v>143</v>
      </c>
      <c r="H116" s="51">
        <v>50</v>
      </c>
      <c r="I116" s="51">
        <v>70</v>
      </c>
      <c r="J116" s="20" t="s">
        <v>25</v>
      </c>
      <c r="K116" s="20" t="s">
        <v>29</v>
      </c>
      <c r="L116" s="52">
        <v>2900000</v>
      </c>
      <c r="M116" s="52"/>
      <c r="N116" s="52">
        <f t="shared" si="2"/>
        <v>2900000</v>
      </c>
      <c r="O116" s="53"/>
      <c r="P116" s="54">
        <f t="shared" si="3"/>
        <v>2900000</v>
      </c>
      <c r="Q116" s="29"/>
    </row>
    <row r="117" spans="2:17" s="17" customFormat="1" ht="13.8">
      <c r="B117" s="20" t="s">
        <v>192</v>
      </c>
      <c r="C117" s="20" t="s">
        <v>0</v>
      </c>
      <c r="D117" s="20" t="s">
        <v>94</v>
      </c>
      <c r="E117" s="20" t="s">
        <v>22</v>
      </c>
      <c r="F117" s="20" t="s">
        <v>167</v>
      </c>
      <c r="G117" s="20" t="s">
        <v>145</v>
      </c>
      <c r="H117" s="20">
        <v>50</v>
      </c>
      <c r="I117" s="20">
        <v>70</v>
      </c>
      <c r="J117" s="20" t="s">
        <v>25</v>
      </c>
      <c r="K117" s="20" t="s">
        <v>26</v>
      </c>
      <c r="L117" s="52">
        <v>2900000</v>
      </c>
      <c r="M117" s="52"/>
      <c r="N117" s="52">
        <f t="shared" si="2"/>
        <v>2900000</v>
      </c>
      <c r="O117" s="53"/>
      <c r="P117" s="54">
        <f t="shared" si="3"/>
        <v>2900000</v>
      </c>
      <c r="Q117" s="28"/>
    </row>
    <row r="118" spans="2:17" s="17" customFormat="1" ht="13.8">
      <c r="B118" s="51" t="s">
        <v>193</v>
      </c>
      <c r="C118" s="20" t="s">
        <v>0</v>
      </c>
      <c r="D118" s="51" t="s">
        <v>21</v>
      </c>
      <c r="E118" s="51" t="s">
        <v>22</v>
      </c>
      <c r="F118" s="20" t="s">
        <v>167</v>
      </c>
      <c r="G118" s="20" t="s">
        <v>147</v>
      </c>
      <c r="H118" s="51">
        <v>50</v>
      </c>
      <c r="I118" s="51">
        <v>70</v>
      </c>
      <c r="J118" s="20" t="s">
        <v>25</v>
      </c>
      <c r="K118" s="20" t="s">
        <v>26</v>
      </c>
      <c r="L118" s="52">
        <v>2900000</v>
      </c>
      <c r="M118" s="52"/>
      <c r="N118" s="52">
        <f t="shared" si="2"/>
        <v>2900000</v>
      </c>
      <c r="O118" s="53"/>
      <c r="P118" s="54">
        <f t="shared" si="3"/>
        <v>2900000</v>
      </c>
      <c r="Q118" s="29"/>
    </row>
    <row r="119" spans="2:17" s="17" customFormat="1" ht="13.8">
      <c r="B119" s="20" t="s">
        <v>194</v>
      </c>
      <c r="C119" s="20" t="s">
        <v>0</v>
      </c>
      <c r="D119" s="20" t="s">
        <v>21</v>
      </c>
      <c r="E119" s="20" t="s">
        <v>22</v>
      </c>
      <c r="F119" s="20" t="s">
        <v>167</v>
      </c>
      <c r="G119" s="20" t="s">
        <v>149</v>
      </c>
      <c r="H119" s="20">
        <v>50</v>
      </c>
      <c r="I119" s="20">
        <v>70</v>
      </c>
      <c r="J119" s="20" t="s">
        <v>25</v>
      </c>
      <c r="K119" s="20" t="s">
        <v>29</v>
      </c>
      <c r="L119" s="52">
        <v>2900000</v>
      </c>
      <c r="M119" s="52"/>
      <c r="N119" s="52">
        <f t="shared" si="2"/>
        <v>2900000</v>
      </c>
      <c r="O119" s="53"/>
      <c r="P119" s="54">
        <f t="shared" si="3"/>
        <v>2900000</v>
      </c>
      <c r="Q119" s="28"/>
    </row>
    <row r="120" spans="2:17" s="17" customFormat="1" ht="13.8">
      <c r="B120" s="51" t="s">
        <v>195</v>
      </c>
      <c r="C120" s="20" t="s">
        <v>0</v>
      </c>
      <c r="D120" s="51" t="s">
        <v>21</v>
      </c>
      <c r="E120" s="51" t="s">
        <v>22</v>
      </c>
      <c r="F120" s="20" t="s">
        <v>167</v>
      </c>
      <c r="G120" s="20" t="s">
        <v>151</v>
      </c>
      <c r="H120" s="51">
        <v>50</v>
      </c>
      <c r="I120" s="51">
        <v>70</v>
      </c>
      <c r="J120" s="20" t="s">
        <v>25</v>
      </c>
      <c r="K120" s="20" t="s">
        <v>32</v>
      </c>
      <c r="L120" s="52">
        <v>2900000</v>
      </c>
      <c r="M120" s="52"/>
      <c r="N120" s="52">
        <f t="shared" si="2"/>
        <v>2900000</v>
      </c>
      <c r="O120" s="53"/>
      <c r="P120" s="54">
        <f t="shared" si="3"/>
        <v>2900000</v>
      </c>
      <c r="Q120" s="29"/>
    </row>
    <row r="121" spans="2:17" s="17" customFormat="1" ht="13.8">
      <c r="B121" s="20" t="s">
        <v>196</v>
      </c>
      <c r="C121" s="20" t="s">
        <v>0</v>
      </c>
      <c r="D121" s="20" t="s">
        <v>21</v>
      </c>
      <c r="E121" s="20" t="s">
        <v>22</v>
      </c>
      <c r="F121" s="20" t="s">
        <v>167</v>
      </c>
      <c r="G121" s="20" t="s">
        <v>153</v>
      </c>
      <c r="H121" s="20">
        <v>50</v>
      </c>
      <c r="I121" s="20">
        <v>70</v>
      </c>
      <c r="J121" s="20" t="s">
        <v>25</v>
      </c>
      <c r="K121" s="20" t="s">
        <v>35</v>
      </c>
      <c r="L121" s="52">
        <v>2900000</v>
      </c>
      <c r="M121" s="52"/>
      <c r="N121" s="52">
        <f t="shared" si="2"/>
        <v>2900000</v>
      </c>
      <c r="O121" s="53"/>
      <c r="P121" s="54">
        <f t="shared" si="3"/>
        <v>2900000</v>
      </c>
      <c r="Q121" s="28"/>
    </row>
    <row r="122" spans="2:17" s="17" customFormat="1" ht="13.8">
      <c r="B122" s="51" t="s">
        <v>197</v>
      </c>
      <c r="C122" s="20" t="s">
        <v>0</v>
      </c>
      <c r="D122" s="51" t="s">
        <v>21</v>
      </c>
      <c r="E122" s="51" t="s">
        <v>22</v>
      </c>
      <c r="F122" s="20" t="s">
        <v>167</v>
      </c>
      <c r="G122" s="20" t="s">
        <v>155</v>
      </c>
      <c r="H122" s="51">
        <v>50</v>
      </c>
      <c r="I122" s="51">
        <v>70</v>
      </c>
      <c r="J122" s="20" t="s">
        <v>25</v>
      </c>
      <c r="K122" s="20" t="s">
        <v>35</v>
      </c>
      <c r="L122" s="52">
        <v>2900000</v>
      </c>
      <c r="M122" s="52"/>
      <c r="N122" s="52">
        <f t="shared" si="2"/>
        <v>2900000</v>
      </c>
      <c r="O122" s="53"/>
      <c r="P122" s="54">
        <f t="shared" si="3"/>
        <v>2900000</v>
      </c>
      <c r="Q122" s="29"/>
    </row>
    <row r="123" spans="2:17" s="17" customFormat="1" ht="13.8">
      <c r="B123" s="20" t="s">
        <v>198</v>
      </c>
      <c r="C123" s="20" t="s">
        <v>0</v>
      </c>
      <c r="D123" s="20" t="s">
        <v>21</v>
      </c>
      <c r="E123" s="20" t="s">
        <v>22</v>
      </c>
      <c r="F123" s="20" t="s">
        <v>167</v>
      </c>
      <c r="G123" s="20" t="s">
        <v>157</v>
      </c>
      <c r="H123" s="20">
        <v>50</v>
      </c>
      <c r="I123" s="20">
        <v>70</v>
      </c>
      <c r="J123" s="20" t="s">
        <v>25</v>
      </c>
      <c r="K123" s="20" t="s">
        <v>32</v>
      </c>
      <c r="L123" s="52">
        <v>2900000</v>
      </c>
      <c r="M123" s="52"/>
      <c r="N123" s="52">
        <f t="shared" si="2"/>
        <v>2900000</v>
      </c>
      <c r="O123" s="53"/>
      <c r="P123" s="54">
        <f t="shared" si="3"/>
        <v>2900000</v>
      </c>
      <c r="Q123" s="28"/>
    </row>
    <row r="124" spans="2:17" s="17" customFormat="1" ht="13.8">
      <c r="B124" s="51" t="s">
        <v>199</v>
      </c>
      <c r="C124" s="20" t="s">
        <v>0</v>
      </c>
      <c r="D124" s="51" t="s">
        <v>21</v>
      </c>
      <c r="E124" s="51" t="s">
        <v>22</v>
      </c>
      <c r="F124" s="20" t="s">
        <v>167</v>
      </c>
      <c r="G124" s="20" t="s">
        <v>159</v>
      </c>
      <c r="H124" s="51">
        <v>50</v>
      </c>
      <c r="I124" s="51">
        <v>70</v>
      </c>
      <c r="J124" s="20" t="s">
        <v>25</v>
      </c>
      <c r="K124" s="20" t="s">
        <v>42</v>
      </c>
      <c r="L124" s="52">
        <v>2900000</v>
      </c>
      <c r="M124" s="52"/>
      <c r="N124" s="52">
        <f t="shared" si="2"/>
        <v>2900000</v>
      </c>
      <c r="O124" s="53"/>
      <c r="P124" s="54">
        <f t="shared" si="3"/>
        <v>2900000</v>
      </c>
      <c r="Q124" s="29"/>
    </row>
    <row r="125" spans="2:17" s="17" customFormat="1" ht="13.8">
      <c r="B125" s="20" t="s">
        <v>200</v>
      </c>
      <c r="C125" s="20" t="s">
        <v>0</v>
      </c>
      <c r="D125" s="20" t="s">
        <v>21</v>
      </c>
      <c r="E125" s="20" t="s">
        <v>22</v>
      </c>
      <c r="F125" s="20" t="s">
        <v>167</v>
      </c>
      <c r="G125" s="20" t="s">
        <v>161</v>
      </c>
      <c r="H125" s="20">
        <v>50</v>
      </c>
      <c r="I125" s="20">
        <v>70</v>
      </c>
      <c r="J125" s="20" t="s">
        <v>25</v>
      </c>
      <c r="K125" s="20" t="s">
        <v>44</v>
      </c>
      <c r="L125" s="52">
        <v>2900000</v>
      </c>
      <c r="M125" s="52"/>
      <c r="N125" s="52">
        <f t="shared" si="2"/>
        <v>2900000</v>
      </c>
      <c r="O125" s="53"/>
      <c r="P125" s="54">
        <f t="shared" si="3"/>
        <v>2900000</v>
      </c>
      <c r="Q125" s="28"/>
    </row>
    <row r="126" spans="2:17" s="17" customFormat="1" ht="13.8">
      <c r="B126" s="51" t="s">
        <v>201</v>
      </c>
      <c r="C126" s="20" t="s">
        <v>0</v>
      </c>
      <c r="D126" s="51" t="s">
        <v>21</v>
      </c>
      <c r="E126" s="51" t="s">
        <v>22</v>
      </c>
      <c r="F126" s="20" t="s">
        <v>167</v>
      </c>
      <c r="G126" s="20" t="s">
        <v>163</v>
      </c>
      <c r="H126" s="51">
        <v>50</v>
      </c>
      <c r="I126" s="51">
        <v>70</v>
      </c>
      <c r="J126" s="20" t="s">
        <v>25</v>
      </c>
      <c r="K126" s="20" t="s">
        <v>44</v>
      </c>
      <c r="L126" s="52">
        <v>2900000</v>
      </c>
      <c r="M126" s="52"/>
      <c r="N126" s="52">
        <f t="shared" si="2"/>
        <v>2900000</v>
      </c>
      <c r="O126" s="53"/>
      <c r="P126" s="54">
        <f t="shared" si="3"/>
        <v>2900000</v>
      </c>
      <c r="Q126" s="29"/>
    </row>
    <row r="127" spans="2:17" s="17" customFormat="1" ht="13.8">
      <c r="B127" s="20" t="s">
        <v>202</v>
      </c>
      <c r="C127" s="20" t="s">
        <v>0</v>
      </c>
      <c r="D127" s="20" t="s">
        <v>21</v>
      </c>
      <c r="E127" s="20" t="s">
        <v>22</v>
      </c>
      <c r="F127" s="20" t="s">
        <v>167</v>
      </c>
      <c r="G127" s="20" t="s">
        <v>165</v>
      </c>
      <c r="H127" s="20">
        <v>50</v>
      </c>
      <c r="I127" s="20">
        <v>90</v>
      </c>
      <c r="J127" s="20" t="s">
        <v>25</v>
      </c>
      <c r="K127" s="20" t="s">
        <v>42</v>
      </c>
      <c r="L127" s="52">
        <v>3200000</v>
      </c>
      <c r="M127" s="52"/>
      <c r="N127" s="52">
        <f t="shared" si="2"/>
        <v>3200000</v>
      </c>
      <c r="O127" s="53"/>
      <c r="P127" s="54">
        <f t="shared" si="3"/>
        <v>3200000</v>
      </c>
      <c r="Q127" s="28"/>
    </row>
    <row r="128" spans="2:17" s="17" customFormat="1" ht="13.8">
      <c r="B128" s="51" t="s">
        <v>203</v>
      </c>
      <c r="C128" s="20" t="s">
        <v>0</v>
      </c>
      <c r="D128" s="51" t="s">
        <v>204</v>
      </c>
      <c r="E128" s="51" t="s">
        <v>205</v>
      </c>
      <c r="F128" s="20" t="s">
        <v>206</v>
      </c>
      <c r="G128" s="20" t="s">
        <v>24</v>
      </c>
      <c r="H128" s="51">
        <v>50</v>
      </c>
      <c r="I128" s="51">
        <v>69</v>
      </c>
      <c r="J128" s="20" t="s">
        <v>207</v>
      </c>
      <c r="K128" s="20" t="s">
        <v>35</v>
      </c>
      <c r="L128" s="52">
        <v>2500000</v>
      </c>
      <c r="M128" s="52"/>
      <c r="N128" s="52">
        <f t="shared" si="2"/>
        <v>2500000</v>
      </c>
      <c r="O128" s="53"/>
      <c r="P128" s="54">
        <f t="shared" si="3"/>
        <v>2500000</v>
      </c>
      <c r="Q128" s="29"/>
    </row>
    <row r="129" spans="2:17" s="17" customFormat="1" ht="13.8">
      <c r="B129" s="20" t="s">
        <v>208</v>
      </c>
      <c r="C129" s="20" t="s">
        <v>0</v>
      </c>
      <c r="D129" s="20" t="s">
        <v>204</v>
      </c>
      <c r="E129" s="20" t="s">
        <v>205</v>
      </c>
      <c r="F129" s="20" t="s">
        <v>206</v>
      </c>
      <c r="G129" s="20" t="s">
        <v>28</v>
      </c>
      <c r="H129" s="20">
        <v>50</v>
      </c>
      <c r="I129" s="20">
        <v>70</v>
      </c>
      <c r="J129" s="20" t="s">
        <v>207</v>
      </c>
      <c r="K129" s="20" t="s">
        <v>32</v>
      </c>
      <c r="L129" s="52">
        <v>2500000</v>
      </c>
      <c r="M129" s="52"/>
      <c r="N129" s="52">
        <f t="shared" si="2"/>
        <v>2500000</v>
      </c>
      <c r="O129" s="53"/>
      <c r="P129" s="54">
        <f t="shared" si="3"/>
        <v>2500000</v>
      </c>
      <c r="Q129" s="28"/>
    </row>
    <row r="130" spans="2:17" s="17" customFormat="1" ht="13.8">
      <c r="B130" s="51" t="s">
        <v>209</v>
      </c>
      <c r="C130" s="20" t="s">
        <v>0</v>
      </c>
      <c r="D130" s="51" t="s">
        <v>94</v>
      </c>
      <c r="E130" s="51" t="s">
        <v>22</v>
      </c>
      <c r="F130" s="20" t="s">
        <v>206</v>
      </c>
      <c r="G130" s="20" t="s">
        <v>31</v>
      </c>
      <c r="H130" s="51">
        <v>50</v>
      </c>
      <c r="I130" s="51">
        <v>70</v>
      </c>
      <c r="J130" s="20" t="s">
        <v>207</v>
      </c>
      <c r="K130" s="20" t="s">
        <v>32</v>
      </c>
      <c r="L130" s="52">
        <v>2500000</v>
      </c>
      <c r="M130" s="52"/>
      <c r="N130" s="52">
        <f t="shared" si="2"/>
        <v>2500000</v>
      </c>
      <c r="O130" s="53"/>
      <c r="P130" s="54">
        <f t="shared" si="3"/>
        <v>2500000</v>
      </c>
      <c r="Q130" s="29"/>
    </row>
    <row r="131" spans="2:17" s="17" customFormat="1" ht="13.8">
      <c r="B131" s="20" t="s">
        <v>210</v>
      </c>
      <c r="C131" s="20" t="s">
        <v>0</v>
      </c>
      <c r="D131" s="20" t="s">
        <v>94</v>
      </c>
      <c r="E131" s="20" t="s">
        <v>22</v>
      </c>
      <c r="F131" s="20" t="s">
        <v>206</v>
      </c>
      <c r="G131" s="20" t="s">
        <v>34</v>
      </c>
      <c r="H131" s="20">
        <v>50</v>
      </c>
      <c r="I131" s="20">
        <v>70</v>
      </c>
      <c r="J131" s="20" t="s">
        <v>207</v>
      </c>
      <c r="K131" s="20" t="s">
        <v>35</v>
      </c>
      <c r="L131" s="52">
        <v>2500000</v>
      </c>
      <c r="M131" s="52"/>
      <c r="N131" s="52">
        <f t="shared" si="2"/>
        <v>2500000</v>
      </c>
      <c r="O131" s="53"/>
      <c r="P131" s="54">
        <f t="shared" si="3"/>
        <v>2500000</v>
      </c>
      <c r="Q131" s="28"/>
    </row>
    <row r="132" spans="2:17" s="17" customFormat="1" ht="13.8">
      <c r="B132" s="51" t="s">
        <v>211</v>
      </c>
      <c r="C132" s="20" t="s">
        <v>0</v>
      </c>
      <c r="D132" s="51" t="s">
        <v>94</v>
      </c>
      <c r="E132" s="51" t="s">
        <v>22</v>
      </c>
      <c r="F132" s="20" t="s">
        <v>206</v>
      </c>
      <c r="G132" s="20" t="s">
        <v>37</v>
      </c>
      <c r="H132" s="51">
        <v>50</v>
      </c>
      <c r="I132" s="51">
        <v>70</v>
      </c>
      <c r="J132" s="20" t="s">
        <v>207</v>
      </c>
      <c r="K132" s="20" t="s">
        <v>48</v>
      </c>
      <c r="L132" s="52">
        <v>2500000</v>
      </c>
      <c r="M132" s="52"/>
      <c r="N132" s="52">
        <f t="shared" si="2"/>
        <v>2500000</v>
      </c>
      <c r="O132" s="53"/>
      <c r="P132" s="54">
        <f t="shared" si="3"/>
        <v>2500000</v>
      </c>
      <c r="Q132" s="29"/>
    </row>
    <row r="133" spans="2:17" s="17" customFormat="1" ht="13.8">
      <c r="B133" s="20" t="s">
        <v>212</v>
      </c>
      <c r="C133" s="20" t="s">
        <v>0</v>
      </c>
      <c r="D133" s="20" t="s">
        <v>94</v>
      </c>
      <c r="E133" s="20" t="s">
        <v>22</v>
      </c>
      <c r="F133" s="20" t="s">
        <v>206</v>
      </c>
      <c r="G133" s="20" t="s">
        <v>39</v>
      </c>
      <c r="H133" s="20">
        <v>50</v>
      </c>
      <c r="I133" s="20">
        <v>70</v>
      </c>
      <c r="J133" s="20" t="s">
        <v>207</v>
      </c>
      <c r="K133" s="20" t="s">
        <v>50</v>
      </c>
      <c r="L133" s="52">
        <v>2500000</v>
      </c>
      <c r="M133" s="52"/>
      <c r="N133" s="52">
        <f t="shared" si="2"/>
        <v>2500000</v>
      </c>
      <c r="O133" s="53"/>
      <c r="P133" s="54">
        <f t="shared" si="3"/>
        <v>2500000</v>
      </c>
      <c r="Q133" s="28"/>
    </row>
    <row r="134" spans="2:17" s="17" customFormat="1" ht="13.8">
      <c r="B134" s="51" t="s">
        <v>213</v>
      </c>
      <c r="C134" s="20" t="s">
        <v>0</v>
      </c>
      <c r="D134" s="51" t="s">
        <v>94</v>
      </c>
      <c r="E134" s="51" t="s">
        <v>22</v>
      </c>
      <c r="F134" s="20" t="s">
        <v>206</v>
      </c>
      <c r="G134" s="20" t="s">
        <v>52</v>
      </c>
      <c r="H134" s="51">
        <v>50</v>
      </c>
      <c r="I134" s="51">
        <v>70</v>
      </c>
      <c r="J134" s="20" t="s">
        <v>207</v>
      </c>
      <c r="K134" s="20" t="s">
        <v>50</v>
      </c>
      <c r="L134" s="52">
        <v>2500000</v>
      </c>
      <c r="M134" s="52"/>
      <c r="N134" s="52">
        <f t="shared" si="2"/>
        <v>2500000</v>
      </c>
      <c r="O134" s="53"/>
      <c r="P134" s="54">
        <f t="shared" si="3"/>
        <v>2500000</v>
      </c>
      <c r="Q134" s="29"/>
    </row>
    <row r="135" spans="2:17" s="17" customFormat="1" ht="13.8">
      <c r="B135" s="20" t="s">
        <v>214</v>
      </c>
      <c r="C135" s="20" t="s">
        <v>0</v>
      </c>
      <c r="D135" s="20" t="s">
        <v>94</v>
      </c>
      <c r="E135" s="20" t="s">
        <v>22</v>
      </c>
      <c r="F135" s="20" t="s">
        <v>206</v>
      </c>
      <c r="G135" s="20" t="s">
        <v>54</v>
      </c>
      <c r="H135" s="20">
        <v>50</v>
      </c>
      <c r="I135" s="20">
        <v>70</v>
      </c>
      <c r="J135" s="20" t="s">
        <v>207</v>
      </c>
      <c r="K135" s="20" t="s">
        <v>48</v>
      </c>
      <c r="L135" s="52">
        <v>2500000</v>
      </c>
      <c r="M135" s="52"/>
      <c r="N135" s="52">
        <f t="shared" si="2"/>
        <v>2500000</v>
      </c>
      <c r="O135" s="53"/>
      <c r="P135" s="54">
        <f t="shared" si="3"/>
        <v>2500000</v>
      </c>
      <c r="Q135" s="28"/>
    </row>
    <row r="136" spans="2:17" s="17" customFormat="1" ht="13.8">
      <c r="B136" s="51" t="s">
        <v>215</v>
      </c>
      <c r="C136" s="20" t="s">
        <v>0</v>
      </c>
      <c r="D136" s="51" t="s">
        <v>94</v>
      </c>
      <c r="E136" s="51" t="s">
        <v>22</v>
      </c>
      <c r="F136" s="20" t="s">
        <v>206</v>
      </c>
      <c r="G136" s="20" t="s">
        <v>82</v>
      </c>
      <c r="H136" s="51">
        <v>50</v>
      </c>
      <c r="I136" s="51">
        <v>70</v>
      </c>
      <c r="J136" s="20" t="s">
        <v>207</v>
      </c>
      <c r="K136" s="20" t="s">
        <v>26</v>
      </c>
      <c r="L136" s="52">
        <v>2500000</v>
      </c>
      <c r="M136" s="52"/>
      <c r="N136" s="52">
        <f t="shared" ref="N136:N199" si="4">L136-M136</f>
        <v>2500000</v>
      </c>
      <c r="O136" s="53"/>
      <c r="P136" s="54">
        <f t="shared" ref="P136:P199" si="5">N136-O136</f>
        <v>2500000</v>
      </c>
      <c r="Q136" s="29"/>
    </row>
    <row r="137" spans="2:17" s="17" customFormat="1" ht="13.8">
      <c r="B137" s="20" t="s">
        <v>216</v>
      </c>
      <c r="C137" s="20" t="s">
        <v>0</v>
      </c>
      <c r="D137" s="20" t="s">
        <v>94</v>
      </c>
      <c r="E137" s="20" t="s">
        <v>22</v>
      </c>
      <c r="F137" s="20" t="s">
        <v>206</v>
      </c>
      <c r="G137" s="20" t="s">
        <v>84</v>
      </c>
      <c r="H137" s="20">
        <v>50</v>
      </c>
      <c r="I137" s="20">
        <v>70</v>
      </c>
      <c r="J137" s="20" t="s">
        <v>207</v>
      </c>
      <c r="K137" s="20" t="s">
        <v>29</v>
      </c>
      <c r="L137" s="52">
        <v>2500000</v>
      </c>
      <c r="M137" s="52"/>
      <c r="N137" s="52">
        <f t="shared" si="4"/>
        <v>2500000</v>
      </c>
      <c r="O137" s="53"/>
      <c r="P137" s="54">
        <f t="shared" si="5"/>
        <v>2500000</v>
      </c>
      <c r="Q137" s="28"/>
    </row>
    <row r="138" spans="2:17" s="17" customFormat="1" ht="13.8">
      <c r="B138" s="51" t="s">
        <v>217</v>
      </c>
      <c r="C138" s="20" t="s">
        <v>0</v>
      </c>
      <c r="D138" s="51" t="s">
        <v>94</v>
      </c>
      <c r="E138" s="51" t="s">
        <v>22</v>
      </c>
      <c r="F138" s="20" t="s">
        <v>206</v>
      </c>
      <c r="G138" s="20" t="s">
        <v>86</v>
      </c>
      <c r="H138" s="51">
        <v>50</v>
      </c>
      <c r="I138" s="51">
        <v>70</v>
      </c>
      <c r="J138" s="20" t="s">
        <v>207</v>
      </c>
      <c r="K138" s="20" t="s">
        <v>29</v>
      </c>
      <c r="L138" s="52">
        <v>2500000</v>
      </c>
      <c r="M138" s="52"/>
      <c r="N138" s="52">
        <f t="shared" si="4"/>
        <v>2500000</v>
      </c>
      <c r="O138" s="53"/>
      <c r="P138" s="54">
        <f t="shared" si="5"/>
        <v>2500000</v>
      </c>
      <c r="Q138" s="29"/>
    </row>
    <row r="139" spans="2:17" s="17" customFormat="1" ht="13.8">
      <c r="B139" s="20" t="s">
        <v>218</v>
      </c>
      <c r="C139" s="20" t="s">
        <v>0</v>
      </c>
      <c r="D139" s="20" t="s">
        <v>94</v>
      </c>
      <c r="E139" s="20" t="s">
        <v>22</v>
      </c>
      <c r="F139" s="20" t="s">
        <v>206</v>
      </c>
      <c r="G139" s="20" t="s">
        <v>88</v>
      </c>
      <c r="H139" s="20">
        <v>50</v>
      </c>
      <c r="I139" s="20">
        <v>70</v>
      </c>
      <c r="J139" s="20" t="s">
        <v>207</v>
      </c>
      <c r="K139" s="20" t="s">
        <v>26</v>
      </c>
      <c r="L139" s="52">
        <v>2500000</v>
      </c>
      <c r="M139" s="52"/>
      <c r="N139" s="52">
        <f t="shared" si="4"/>
        <v>2500000</v>
      </c>
      <c r="O139" s="53"/>
      <c r="P139" s="54">
        <f t="shared" si="5"/>
        <v>2500000</v>
      </c>
      <c r="Q139" s="28"/>
    </row>
    <row r="140" spans="2:17" s="17" customFormat="1" ht="13.8">
      <c r="B140" s="51" t="s">
        <v>219</v>
      </c>
      <c r="C140" s="20" t="s">
        <v>0</v>
      </c>
      <c r="D140" s="51" t="s">
        <v>94</v>
      </c>
      <c r="E140" s="51" t="s">
        <v>22</v>
      </c>
      <c r="F140" s="20" t="s">
        <v>206</v>
      </c>
      <c r="G140" s="20" t="s">
        <v>90</v>
      </c>
      <c r="H140" s="51">
        <v>50</v>
      </c>
      <c r="I140" s="51">
        <v>70</v>
      </c>
      <c r="J140" s="20" t="s">
        <v>207</v>
      </c>
      <c r="K140" s="20" t="s">
        <v>44</v>
      </c>
      <c r="L140" s="52">
        <v>2500000</v>
      </c>
      <c r="M140" s="52"/>
      <c r="N140" s="52">
        <f t="shared" si="4"/>
        <v>2500000</v>
      </c>
      <c r="O140" s="53"/>
      <c r="P140" s="54">
        <f t="shared" si="5"/>
        <v>2500000</v>
      </c>
      <c r="Q140" s="29"/>
    </row>
    <row r="141" spans="2:17" s="17" customFormat="1" ht="13.8">
      <c r="B141" s="20" t="s">
        <v>220</v>
      </c>
      <c r="C141" s="20" t="s">
        <v>0</v>
      </c>
      <c r="D141" s="20" t="s">
        <v>94</v>
      </c>
      <c r="E141" s="20" t="s">
        <v>22</v>
      </c>
      <c r="F141" s="20" t="s">
        <v>206</v>
      </c>
      <c r="G141" s="20" t="s">
        <v>92</v>
      </c>
      <c r="H141" s="20">
        <v>50</v>
      </c>
      <c r="I141" s="20">
        <v>70</v>
      </c>
      <c r="J141" s="20" t="s">
        <v>207</v>
      </c>
      <c r="K141" s="20" t="s">
        <v>42</v>
      </c>
      <c r="L141" s="52">
        <v>2500000</v>
      </c>
      <c r="M141" s="52"/>
      <c r="N141" s="52">
        <f t="shared" si="4"/>
        <v>2500000</v>
      </c>
      <c r="O141" s="53"/>
      <c r="P141" s="54">
        <f t="shared" si="5"/>
        <v>2500000</v>
      </c>
      <c r="Q141" s="28"/>
    </row>
    <row r="142" spans="2:17" s="17" customFormat="1" ht="13.8">
      <c r="B142" s="51" t="s">
        <v>221</v>
      </c>
      <c r="C142" s="20" t="s">
        <v>0</v>
      </c>
      <c r="D142" s="51" t="s">
        <v>94</v>
      </c>
      <c r="E142" s="51" t="s">
        <v>22</v>
      </c>
      <c r="F142" s="20" t="s">
        <v>206</v>
      </c>
      <c r="G142" s="20" t="s">
        <v>123</v>
      </c>
      <c r="H142" s="51">
        <v>50</v>
      </c>
      <c r="I142" s="51">
        <v>70</v>
      </c>
      <c r="J142" s="20" t="s">
        <v>207</v>
      </c>
      <c r="K142" s="20" t="s">
        <v>42</v>
      </c>
      <c r="L142" s="52">
        <v>2500000</v>
      </c>
      <c r="M142" s="52"/>
      <c r="N142" s="52">
        <f t="shared" si="4"/>
        <v>2500000</v>
      </c>
      <c r="O142" s="53"/>
      <c r="P142" s="54">
        <f t="shared" si="5"/>
        <v>2500000</v>
      </c>
      <c r="Q142" s="29"/>
    </row>
    <row r="143" spans="2:17" s="17" customFormat="1" ht="13.8">
      <c r="B143" s="20" t="s">
        <v>222</v>
      </c>
      <c r="C143" s="20" t="s">
        <v>0</v>
      </c>
      <c r="D143" s="20" t="s">
        <v>94</v>
      </c>
      <c r="E143" s="20" t="s">
        <v>22</v>
      </c>
      <c r="F143" s="20" t="s">
        <v>206</v>
      </c>
      <c r="G143" s="20" t="s">
        <v>125</v>
      </c>
      <c r="H143" s="20">
        <v>50</v>
      </c>
      <c r="I143" s="20">
        <v>70</v>
      </c>
      <c r="J143" s="20" t="s">
        <v>207</v>
      </c>
      <c r="K143" s="20" t="s">
        <v>44</v>
      </c>
      <c r="L143" s="52">
        <v>2500000</v>
      </c>
      <c r="M143" s="52"/>
      <c r="N143" s="52">
        <f t="shared" si="4"/>
        <v>2500000</v>
      </c>
      <c r="O143" s="53"/>
      <c r="P143" s="54">
        <f t="shared" si="5"/>
        <v>2500000</v>
      </c>
      <c r="Q143" s="28"/>
    </row>
    <row r="144" spans="2:17" s="17" customFormat="1" ht="13.8">
      <c r="B144" s="51" t="s">
        <v>223</v>
      </c>
      <c r="C144" s="20" t="s">
        <v>0</v>
      </c>
      <c r="D144" s="51" t="s">
        <v>98</v>
      </c>
      <c r="E144" s="51" t="s">
        <v>22</v>
      </c>
      <c r="F144" s="20" t="s">
        <v>206</v>
      </c>
      <c r="G144" s="20" t="s">
        <v>127</v>
      </c>
      <c r="H144" s="51" t="s">
        <v>99</v>
      </c>
      <c r="I144" s="51">
        <v>105</v>
      </c>
      <c r="J144" s="20" t="s">
        <v>100</v>
      </c>
      <c r="K144" s="20" t="s">
        <v>101</v>
      </c>
      <c r="L144" s="52">
        <v>3008714</v>
      </c>
      <c r="M144" s="52"/>
      <c r="N144" s="52">
        <f t="shared" si="4"/>
        <v>3008714</v>
      </c>
      <c r="O144" s="53">
        <f>N144*12/112</f>
        <v>322362.21428571426</v>
      </c>
      <c r="P144" s="54">
        <f t="shared" si="5"/>
        <v>2686351.7857142859</v>
      </c>
      <c r="Q144" s="29"/>
    </row>
    <row r="145" spans="2:17" s="17" customFormat="1" ht="13.8">
      <c r="B145" s="20" t="s">
        <v>224</v>
      </c>
      <c r="C145" s="20" t="s">
        <v>0</v>
      </c>
      <c r="D145" s="20" t="s">
        <v>94</v>
      </c>
      <c r="E145" s="20" t="s">
        <v>22</v>
      </c>
      <c r="F145" s="20" t="s">
        <v>206</v>
      </c>
      <c r="G145" s="20" t="s">
        <v>129</v>
      </c>
      <c r="H145" s="20">
        <v>50</v>
      </c>
      <c r="I145" s="20">
        <v>105</v>
      </c>
      <c r="J145" s="20" t="s">
        <v>207</v>
      </c>
      <c r="K145" s="20" t="s">
        <v>26</v>
      </c>
      <c r="L145" s="52">
        <v>3655000</v>
      </c>
      <c r="M145" s="52">
        <v>55000</v>
      </c>
      <c r="N145" s="52">
        <f t="shared" si="4"/>
        <v>3600000</v>
      </c>
      <c r="O145" s="53"/>
      <c r="P145" s="54">
        <f t="shared" si="5"/>
        <v>3600000</v>
      </c>
      <c r="Q145" s="28"/>
    </row>
    <row r="146" spans="2:17" s="17" customFormat="1" ht="13.8">
      <c r="B146" s="51" t="s">
        <v>225</v>
      </c>
      <c r="C146" s="20" t="s">
        <v>0</v>
      </c>
      <c r="D146" s="51" t="s">
        <v>94</v>
      </c>
      <c r="E146" s="51" t="s">
        <v>22</v>
      </c>
      <c r="F146" s="20" t="s">
        <v>206</v>
      </c>
      <c r="G146" s="20" t="s">
        <v>131</v>
      </c>
      <c r="H146" s="51">
        <v>50</v>
      </c>
      <c r="I146" s="51">
        <v>70</v>
      </c>
      <c r="J146" s="20" t="s">
        <v>207</v>
      </c>
      <c r="K146" s="20" t="s">
        <v>29</v>
      </c>
      <c r="L146" s="52">
        <v>2500000</v>
      </c>
      <c r="M146" s="52"/>
      <c r="N146" s="52">
        <f t="shared" si="4"/>
        <v>2500000</v>
      </c>
      <c r="O146" s="53"/>
      <c r="P146" s="54">
        <f t="shared" si="5"/>
        <v>2500000</v>
      </c>
      <c r="Q146" s="29"/>
    </row>
    <row r="147" spans="2:17" s="17" customFormat="1" ht="13.8">
      <c r="B147" s="20" t="s">
        <v>226</v>
      </c>
      <c r="C147" s="20" t="s">
        <v>0</v>
      </c>
      <c r="D147" s="20" t="s">
        <v>94</v>
      </c>
      <c r="E147" s="20" t="s">
        <v>22</v>
      </c>
      <c r="F147" s="20" t="s">
        <v>206</v>
      </c>
      <c r="G147" s="20" t="s">
        <v>133</v>
      </c>
      <c r="H147" s="20">
        <v>50</v>
      </c>
      <c r="I147" s="20">
        <v>70</v>
      </c>
      <c r="J147" s="20" t="s">
        <v>207</v>
      </c>
      <c r="K147" s="20" t="s">
        <v>32</v>
      </c>
      <c r="L147" s="52">
        <v>2500000</v>
      </c>
      <c r="M147" s="52"/>
      <c r="N147" s="52">
        <f t="shared" si="4"/>
        <v>2500000</v>
      </c>
      <c r="O147" s="53"/>
      <c r="P147" s="54">
        <f t="shared" si="5"/>
        <v>2500000</v>
      </c>
      <c r="Q147" s="28"/>
    </row>
    <row r="148" spans="2:17" s="17" customFormat="1" ht="13.8">
      <c r="B148" s="51" t="s">
        <v>227</v>
      </c>
      <c r="C148" s="20" t="s">
        <v>0</v>
      </c>
      <c r="D148" s="51" t="s">
        <v>94</v>
      </c>
      <c r="E148" s="51" t="s">
        <v>22</v>
      </c>
      <c r="F148" s="20" t="s">
        <v>206</v>
      </c>
      <c r="G148" s="20" t="s">
        <v>135</v>
      </c>
      <c r="H148" s="51">
        <v>50</v>
      </c>
      <c r="I148" s="51">
        <v>70</v>
      </c>
      <c r="J148" s="20" t="s">
        <v>207</v>
      </c>
      <c r="K148" s="20" t="s">
        <v>35</v>
      </c>
      <c r="L148" s="52">
        <v>2500000</v>
      </c>
      <c r="M148" s="52"/>
      <c r="N148" s="52">
        <f t="shared" si="4"/>
        <v>2500000</v>
      </c>
      <c r="O148" s="53"/>
      <c r="P148" s="54">
        <f t="shared" si="5"/>
        <v>2500000</v>
      </c>
      <c r="Q148" s="29"/>
    </row>
    <row r="149" spans="2:17" s="17" customFormat="1" ht="13.8">
      <c r="B149" s="20" t="s">
        <v>228</v>
      </c>
      <c r="C149" s="20" t="s">
        <v>0</v>
      </c>
      <c r="D149" s="20" t="s">
        <v>94</v>
      </c>
      <c r="E149" s="20" t="s">
        <v>22</v>
      </c>
      <c r="F149" s="20" t="s">
        <v>206</v>
      </c>
      <c r="G149" s="20" t="s">
        <v>137</v>
      </c>
      <c r="H149" s="20">
        <v>50</v>
      </c>
      <c r="I149" s="20">
        <v>70</v>
      </c>
      <c r="J149" s="20" t="s">
        <v>207</v>
      </c>
      <c r="K149" s="20" t="s">
        <v>35</v>
      </c>
      <c r="L149" s="52">
        <v>2500000</v>
      </c>
      <c r="M149" s="52"/>
      <c r="N149" s="52">
        <f t="shared" si="4"/>
        <v>2500000</v>
      </c>
      <c r="O149" s="53"/>
      <c r="P149" s="54">
        <f t="shared" si="5"/>
        <v>2500000</v>
      </c>
      <c r="Q149" s="28"/>
    </row>
    <row r="150" spans="2:17" s="17" customFormat="1" ht="13.8">
      <c r="B150" s="51" t="s">
        <v>229</v>
      </c>
      <c r="C150" s="20" t="s">
        <v>0</v>
      </c>
      <c r="D150" s="51" t="s">
        <v>94</v>
      </c>
      <c r="E150" s="51" t="s">
        <v>22</v>
      </c>
      <c r="F150" s="20" t="s">
        <v>206</v>
      </c>
      <c r="G150" s="20" t="s">
        <v>139</v>
      </c>
      <c r="H150" s="51">
        <v>50</v>
      </c>
      <c r="I150" s="51">
        <v>70</v>
      </c>
      <c r="J150" s="20" t="s">
        <v>207</v>
      </c>
      <c r="K150" s="20" t="s">
        <v>32</v>
      </c>
      <c r="L150" s="52">
        <v>2500000</v>
      </c>
      <c r="M150" s="52"/>
      <c r="N150" s="52">
        <f t="shared" si="4"/>
        <v>2500000</v>
      </c>
      <c r="O150" s="53"/>
      <c r="P150" s="54">
        <f t="shared" si="5"/>
        <v>2500000</v>
      </c>
      <c r="Q150" s="29"/>
    </row>
    <row r="151" spans="2:17" s="17" customFormat="1" ht="13.8">
      <c r="B151" s="20" t="s">
        <v>230</v>
      </c>
      <c r="C151" s="20" t="s">
        <v>0</v>
      </c>
      <c r="D151" s="20" t="s">
        <v>94</v>
      </c>
      <c r="E151" s="20" t="s">
        <v>22</v>
      </c>
      <c r="F151" s="20" t="s">
        <v>206</v>
      </c>
      <c r="G151" s="20" t="s">
        <v>141</v>
      </c>
      <c r="H151" s="20">
        <v>50</v>
      </c>
      <c r="I151" s="20">
        <v>70</v>
      </c>
      <c r="J151" s="20" t="s">
        <v>207</v>
      </c>
      <c r="K151" s="20" t="s">
        <v>42</v>
      </c>
      <c r="L151" s="52">
        <v>2500000</v>
      </c>
      <c r="M151" s="52"/>
      <c r="N151" s="52">
        <f t="shared" si="4"/>
        <v>2500000</v>
      </c>
      <c r="O151" s="53"/>
      <c r="P151" s="54">
        <f t="shared" si="5"/>
        <v>2500000</v>
      </c>
      <c r="Q151" s="28"/>
    </row>
    <row r="152" spans="2:17" s="17" customFormat="1" ht="13.8">
      <c r="B152" s="51" t="s">
        <v>231</v>
      </c>
      <c r="C152" s="20" t="s">
        <v>0</v>
      </c>
      <c r="D152" s="51" t="s">
        <v>94</v>
      </c>
      <c r="E152" s="51" t="s">
        <v>22</v>
      </c>
      <c r="F152" s="20" t="s">
        <v>206</v>
      </c>
      <c r="G152" s="20" t="s">
        <v>143</v>
      </c>
      <c r="H152" s="51">
        <v>50</v>
      </c>
      <c r="I152" s="51">
        <v>70</v>
      </c>
      <c r="J152" s="20" t="s">
        <v>207</v>
      </c>
      <c r="K152" s="20" t="s">
        <v>44</v>
      </c>
      <c r="L152" s="52">
        <v>2500000</v>
      </c>
      <c r="M152" s="52"/>
      <c r="N152" s="52">
        <f t="shared" si="4"/>
        <v>2500000</v>
      </c>
      <c r="O152" s="53"/>
      <c r="P152" s="54">
        <f t="shared" si="5"/>
        <v>2500000</v>
      </c>
      <c r="Q152" s="29"/>
    </row>
    <row r="153" spans="2:17" s="17" customFormat="1" ht="13.8">
      <c r="B153" s="20" t="s">
        <v>232</v>
      </c>
      <c r="C153" s="20" t="s">
        <v>0</v>
      </c>
      <c r="D153" s="20" t="s">
        <v>204</v>
      </c>
      <c r="E153" s="20" t="s">
        <v>233</v>
      </c>
      <c r="F153" s="20" t="s">
        <v>206</v>
      </c>
      <c r="G153" s="20" t="s">
        <v>145</v>
      </c>
      <c r="H153" s="20">
        <v>50</v>
      </c>
      <c r="I153" s="20">
        <v>70</v>
      </c>
      <c r="J153" s="20" t="s">
        <v>207</v>
      </c>
      <c r="K153" s="20" t="s">
        <v>44</v>
      </c>
      <c r="L153" s="52">
        <v>2500000</v>
      </c>
      <c r="M153" s="52"/>
      <c r="N153" s="52">
        <f t="shared" si="4"/>
        <v>2500000</v>
      </c>
      <c r="O153" s="53"/>
      <c r="P153" s="54">
        <f t="shared" si="5"/>
        <v>2500000</v>
      </c>
      <c r="Q153" s="28"/>
    </row>
    <row r="154" spans="2:17" s="17" customFormat="1" ht="13.8">
      <c r="B154" s="51" t="s">
        <v>234</v>
      </c>
      <c r="C154" s="20" t="s">
        <v>0</v>
      </c>
      <c r="D154" s="51" t="s">
        <v>204</v>
      </c>
      <c r="E154" s="51" t="s">
        <v>233</v>
      </c>
      <c r="F154" s="20" t="s">
        <v>206</v>
      </c>
      <c r="G154" s="20" t="s">
        <v>147</v>
      </c>
      <c r="H154" s="51">
        <v>50</v>
      </c>
      <c r="I154" s="51">
        <v>70</v>
      </c>
      <c r="J154" s="20" t="s">
        <v>207</v>
      </c>
      <c r="K154" s="20" t="s">
        <v>42</v>
      </c>
      <c r="L154" s="52">
        <v>2500000</v>
      </c>
      <c r="M154" s="52"/>
      <c r="N154" s="52">
        <f t="shared" si="4"/>
        <v>2500000</v>
      </c>
      <c r="O154" s="53"/>
      <c r="P154" s="54">
        <f t="shared" si="5"/>
        <v>2500000</v>
      </c>
      <c r="Q154" s="29"/>
    </row>
    <row r="155" spans="2:17" s="17" customFormat="1" ht="13.8">
      <c r="B155" s="20" t="s">
        <v>235</v>
      </c>
      <c r="C155" s="20" t="s">
        <v>0</v>
      </c>
      <c r="D155" s="20" t="s">
        <v>204</v>
      </c>
      <c r="E155" s="20" t="s">
        <v>233</v>
      </c>
      <c r="F155" s="20" t="s">
        <v>206</v>
      </c>
      <c r="G155" s="20" t="s">
        <v>149</v>
      </c>
      <c r="H155" s="20">
        <v>50</v>
      </c>
      <c r="I155" s="20">
        <v>70</v>
      </c>
      <c r="J155" s="20" t="s">
        <v>207</v>
      </c>
      <c r="K155" s="20" t="s">
        <v>29</v>
      </c>
      <c r="L155" s="52">
        <v>2500000</v>
      </c>
      <c r="M155" s="52"/>
      <c r="N155" s="52">
        <f t="shared" si="4"/>
        <v>2500000</v>
      </c>
      <c r="O155" s="53"/>
      <c r="P155" s="54">
        <f t="shared" si="5"/>
        <v>2500000</v>
      </c>
      <c r="Q155" s="28"/>
    </row>
    <row r="156" spans="2:17" s="17" customFormat="1" ht="13.8">
      <c r="B156" s="51" t="s">
        <v>236</v>
      </c>
      <c r="C156" s="20" t="s">
        <v>0</v>
      </c>
      <c r="D156" s="51" t="s">
        <v>204</v>
      </c>
      <c r="E156" s="51" t="s">
        <v>205</v>
      </c>
      <c r="F156" s="20" t="s">
        <v>206</v>
      </c>
      <c r="G156" s="20" t="s">
        <v>151</v>
      </c>
      <c r="H156" s="51">
        <v>50</v>
      </c>
      <c r="I156" s="51">
        <v>70</v>
      </c>
      <c r="J156" s="20" t="s">
        <v>207</v>
      </c>
      <c r="K156" s="20" t="s">
        <v>26</v>
      </c>
      <c r="L156" s="52">
        <v>2500000</v>
      </c>
      <c r="M156" s="52"/>
      <c r="N156" s="52">
        <f t="shared" si="4"/>
        <v>2500000</v>
      </c>
      <c r="O156" s="53"/>
      <c r="P156" s="54">
        <f t="shared" si="5"/>
        <v>2500000</v>
      </c>
      <c r="Q156" s="29"/>
    </row>
    <row r="157" spans="2:17" s="17" customFormat="1" ht="13.8">
      <c r="B157" s="20" t="s">
        <v>237</v>
      </c>
      <c r="C157" s="20" t="s">
        <v>0</v>
      </c>
      <c r="D157" s="20" t="s">
        <v>204</v>
      </c>
      <c r="E157" s="20" t="s">
        <v>205</v>
      </c>
      <c r="F157" s="20" t="s">
        <v>206</v>
      </c>
      <c r="G157" s="20" t="s">
        <v>153</v>
      </c>
      <c r="H157" s="20">
        <v>50</v>
      </c>
      <c r="I157" s="20">
        <v>70</v>
      </c>
      <c r="J157" s="20" t="s">
        <v>207</v>
      </c>
      <c r="K157" s="20" t="s">
        <v>26</v>
      </c>
      <c r="L157" s="52">
        <v>2500000</v>
      </c>
      <c r="M157" s="52"/>
      <c r="N157" s="52">
        <f t="shared" si="4"/>
        <v>2500000</v>
      </c>
      <c r="O157" s="53"/>
      <c r="P157" s="54">
        <f t="shared" si="5"/>
        <v>2500000</v>
      </c>
      <c r="Q157" s="28"/>
    </row>
    <row r="158" spans="2:17" s="17" customFormat="1" ht="13.8">
      <c r="B158" s="51" t="s">
        <v>238</v>
      </c>
      <c r="C158" s="20" t="s">
        <v>0</v>
      </c>
      <c r="D158" s="51" t="s">
        <v>204</v>
      </c>
      <c r="E158" s="51" t="s">
        <v>205</v>
      </c>
      <c r="F158" s="20" t="s">
        <v>206</v>
      </c>
      <c r="G158" s="20" t="s">
        <v>155</v>
      </c>
      <c r="H158" s="51">
        <v>50</v>
      </c>
      <c r="I158" s="51">
        <v>70</v>
      </c>
      <c r="J158" s="20" t="s">
        <v>207</v>
      </c>
      <c r="K158" s="20" t="s">
        <v>29</v>
      </c>
      <c r="L158" s="52">
        <v>2500000</v>
      </c>
      <c r="M158" s="52"/>
      <c r="N158" s="52">
        <f t="shared" si="4"/>
        <v>2500000</v>
      </c>
      <c r="O158" s="53"/>
      <c r="P158" s="54">
        <f t="shared" si="5"/>
        <v>2500000</v>
      </c>
      <c r="Q158" s="29"/>
    </row>
    <row r="159" spans="2:17" s="17" customFormat="1" ht="13.8">
      <c r="B159" s="20" t="s">
        <v>239</v>
      </c>
      <c r="C159" s="20" t="s">
        <v>0</v>
      </c>
      <c r="D159" s="20" t="s">
        <v>204</v>
      </c>
      <c r="E159" s="20" t="s">
        <v>205</v>
      </c>
      <c r="F159" s="20" t="s">
        <v>206</v>
      </c>
      <c r="G159" s="20" t="s">
        <v>157</v>
      </c>
      <c r="H159" s="20">
        <v>50</v>
      </c>
      <c r="I159" s="20">
        <v>70</v>
      </c>
      <c r="J159" s="20" t="s">
        <v>207</v>
      </c>
      <c r="K159" s="20" t="s">
        <v>50</v>
      </c>
      <c r="L159" s="52">
        <v>2500000</v>
      </c>
      <c r="M159" s="52"/>
      <c r="N159" s="52">
        <f t="shared" si="4"/>
        <v>2500000</v>
      </c>
      <c r="O159" s="53"/>
      <c r="P159" s="54">
        <f t="shared" si="5"/>
        <v>2500000</v>
      </c>
      <c r="Q159" s="28"/>
    </row>
    <row r="160" spans="2:17" s="17" customFormat="1" ht="13.8">
      <c r="B160" s="51" t="s">
        <v>240</v>
      </c>
      <c r="C160" s="20" t="s">
        <v>0</v>
      </c>
      <c r="D160" s="51" t="s">
        <v>204</v>
      </c>
      <c r="E160" s="51" t="s">
        <v>205</v>
      </c>
      <c r="F160" s="20" t="s">
        <v>206</v>
      </c>
      <c r="G160" s="20" t="s">
        <v>159</v>
      </c>
      <c r="H160" s="51">
        <v>50</v>
      </c>
      <c r="I160" s="51">
        <v>70</v>
      </c>
      <c r="J160" s="20" t="s">
        <v>207</v>
      </c>
      <c r="K160" s="20" t="s">
        <v>48</v>
      </c>
      <c r="L160" s="52">
        <v>2500000</v>
      </c>
      <c r="M160" s="52"/>
      <c r="N160" s="52">
        <f t="shared" si="4"/>
        <v>2500000</v>
      </c>
      <c r="O160" s="53"/>
      <c r="P160" s="54">
        <f t="shared" si="5"/>
        <v>2500000</v>
      </c>
      <c r="Q160" s="29"/>
    </row>
    <row r="161" spans="2:17" s="17" customFormat="1" ht="13.8">
      <c r="B161" s="20" t="s">
        <v>241</v>
      </c>
      <c r="C161" s="20" t="s">
        <v>0</v>
      </c>
      <c r="D161" s="20" t="s">
        <v>204</v>
      </c>
      <c r="E161" s="20" t="s">
        <v>205</v>
      </c>
      <c r="F161" s="20" t="s">
        <v>206</v>
      </c>
      <c r="G161" s="20" t="s">
        <v>161</v>
      </c>
      <c r="H161" s="20">
        <v>50</v>
      </c>
      <c r="I161" s="20">
        <v>70</v>
      </c>
      <c r="J161" s="20" t="s">
        <v>207</v>
      </c>
      <c r="K161" s="20" t="s">
        <v>48</v>
      </c>
      <c r="L161" s="52">
        <v>2500000</v>
      </c>
      <c r="M161" s="52"/>
      <c r="N161" s="52">
        <f t="shared" si="4"/>
        <v>2500000</v>
      </c>
      <c r="O161" s="53"/>
      <c r="P161" s="54">
        <f t="shared" si="5"/>
        <v>2500000</v>
      </c>
      <c r="Q161" s="28"/>
    </row>
    <row r="162" spans="2:17" s="17" customFormat="1" ht="13.8">
      <c r="B162" s="51" t="s">
        <v>242</v>
      </c>
      <c r="C162" s="20" t="s">
        <v>0</v>
      </c>
      <c r="D162" s="51" t="s">
        <v>204</v>
      </c>
      <c r="E162" s="51" t="s">
        <v>243</v>
      </c>
      <c r="F162" s="20" t="s">
        <v>206</v>
      </c>
      <c r="G162" s="20" t="s">
        <v>163</v>
      </c>
      <c r="H162" s="51">
        <v>50</v>
      </c>
      <c r="I162" s="51">
        <v>69</v>
      </c>
      <c r="J162" s="20" t="s">
        <v>207</v>
      </c>
      <c r="K162" s="20" t="s">
        <v>50</v>
      </c>
      <c r="L162" s="52">
        <v>2500000</v>
      </c>
      <c r="M162" s="52"/>
      <c r="N162" s="52">
        <f t="shared" si="4"/>
        <v>2500000</v>
      </c>
      <c r="O162" s="53"/>
      <c r="P162" s="54">
        <f t="shared" si="5"/>
        <v>2500000</v>
      </c>
      <c r="Q162" s="29"/>
    </row>
    <row r="163" spans="2:17" s="17" customFormat="1" ht="13.8">
      <c r="B163" s="20" t="s">
        <v>244</v>
      </c>
      <c r="C163" s="20" t="s">
        <v>0</v>
      </c>
      <c r="D163" s="20" t="s">
        <v>94</v>
      </c>
      <c r="E163" s="20" t="s">
        <v>22</v>
      </c>
      <c r="F163" s="20" t="s">
        <v>245</v>
      </c>
      <c r="G163" s="20" t="s">
        <v>24</v>
      </c>
      <c r="H163" s="20">
        <v>50</v>
      </c>
      <c r="I163" s="20">
        <v>90</v>
      </c>
      <c r="J163" s="20" t="s">
        <v>207</v>
      </c>
      <c r="K163" s="20" t="s">
        <v>42</v>
      </c>
      <c r="L163" s="52">
        <v>3160000</v>
      </c>
      <c r="M163" s="52"/>
      <c r="N163" s="52">
        <f t="shared" si="4"/>
        <v>3160000</v>
      </c>
      <c r="O163" s="53"/>
      <c r="P163" s="54">
        <f t="shared" si="5"/>
        <v>3160000</v>
      </c>
      <c r="Q163" s="28"/>
    </row>
    <row r="164" spans="2:17" s="17" customFormat="1" ht="13.8">
      <c r="B164" s="51" t="s">
        <v>246</v>
      </c>
      <c r="C164" s="20" t="s">
        <v>0</v>
      </c>
      <c r="D164" s="51" t="s">
        <v>94</v>
      </c>
      <c r="E164" s="51" t="s">
        <v>22</v>
      </c>
      <c r="F164" s="20" t="s">
        <v>245</v>
      </c>
      <c r="G164" s="20" t="s">
        <v>28</v>
      </c>
      <c r="H164" s="51">
        <v>50</v>
      </c>
      <c r="I164" s="51">
        <v>90</v>
      </c>
      <c r="J164" s="20" t="s">
        <v>207</v>
      </c>
      <c r="K164" s="20" t="s">
        <v>44</v>
      </c>
      <c r="L164" s="52">
        <v>3160000</v>
      </c>
      <c r="M164" s="52"/>
      <c r="N164" s="52">
        <f t="shared" si="4"/>
        <v>3160000</v>
      </c>
      <c r="O164" s="53"/>
      <c r="P164" s="54">
        <f t="shared" si="5"/>
        <v>3160000</v>
      </c>
      <c r="Q164" s="29"/>
    </row>
    <row r="165" spans="2:17" s="17" customFormat="1" ht="13.8">
      <c r="B165" s="20" t="s">
        <v>247</v>
      </c>
      <c r="C165" s="20" t="s">
        <v>0</v>
      </c>
      <c r="D165" s="20" t="s">
        <v>94</v>
      </c>
      <c r="E165" s="20" t="s">
        <v>22</v>
      </c>
      <c r="F165" s="20" t="s">
        <v>245</v>
      </c>
      <c r="G165" s="20" t="s">
        <v>31</v>
      </c>
      <c r="H165" s="20">
        <v>50</v>
      </c>
      <c r="I165" s="20">
        <v>90</v>
      </c>
      <c r="J165" s="20" t="s">
        <v>207</v>
      </c>
      <c r="K165" s="20" t="s">
        <v>44</v>
      </c>
      <c r="L165" s="52">
        <v>3160000</v>
      </c>
      <c r="M165" s="52"/>
      <c r="N165" s="52">
        <f t="shared" si="4"/>
        <v>3160000</v>
      </c>
      <c r="O165" s="53"/>
      <c r="P165" s="54">
        <f t="shared" si="5"/>
        <v>3160000</v>
      </c>
      <c r="Q165" s="28"/>
    </row>
    <row r="166" spans="2:17" s="17" customFormat="1" ht="13.8">
      <c r="B166" s="51" t="s">
        <v>248</v>
      </c>
      <c r="C166" s="20" t="s">
        <v>0</v>
      </c>
      <c r="D166" s="51" t="s">
        <v>94</v>
      </c>
      <c r="E166" s="51" t="s">
        <v>22</v>
      </c>
      <c r="F166" s="20" t="s">
        <v>245</v>
      </c>
      <c r="G166" s="20" t="s">
        <v>34</v>
      </c>
      <c r="H166" s="51">
        <v>50</v>
      </c>
      <c r="I166" s="51">
        <v>80</v>
      </c>
      <c r="J166" s="20" t="s">
        <v>207</v>
      </c>
      <c r="K166" s="20" t="s">
        <v>42</v>
      </c>
      <c r="L166" s="52">
        <v>2830000</v>
      </c>
      <c r="M166" s="52"/>
      <c r="N166" s="52">
        <f t="shared" si="4"/>
        <v>2830000</v>
      </c>
      <c r="O166" s="53"/>
      <c r="P166" s="54">
        <f t="shared" si="5"/>
        <v>2830000</v>
      </c>
      <c r="Q166" s="29"/>
    </row>
    <row r="167" spans="2:17" s="17" customFormat="1" ht="13.8">
      <c r="B167" s="20" t="s">
        <v>249</v>
      </c>
      <c r="C167" s="20" t="s">
        <v>0</v>
      </c>
      <c r="D167" s="20" t="s">
        <v>94</v>
      </c>
      <c r="E167" s="20" t="s">
        <v>22</v>
      </c>
      <c r="F167" s="20" t="s">
        <v>250</v>
      </c>
      <c r="G167" s="20" t="s">
        <v>24</v>
      </c>
      <c r="H167" s="20">
        <v>50</v>
      </c>
      <c r="I167" s="20">
        <v>80</v>
      </c>
      <c r="J167" s="20" t="s">
        <v>207</v>
      </c>
      <c r="K167" s="20" t="s">
        <v>50</v>
      </c>
      <c r="L167" s="52">
        <v>2830000</v>
      </c>
      <c r="M167" s="52"/>
      <c r="N167" s="52">
        <f t="shared" si="4"/>
        <v>2830000</v>
      </c>
      <c r="O167" s="53"/>
      <c r="P167" s="54">
        <f t="shared" si="5"/>
        <v>2830000</v>
      </c>
      <c r="Q167" s="28"/>
    </row>
    <row r="168" spans="2:17" s="17" customFormat="1" ht="13.8">
      <c r="B168" s="51" t="s">
        <v>251</v>
      </c>
      <c r="C168" s="20" t="s">
        <v>0</v>
      </c>
      <c r="D168" s="51" t="s">
        <v>94</v>
      </c>
      <c r="E168" s="51" t="s">
        <v>22</v>
      </c>
      <c r="F168" s="20" t="s">
        <v>250</v>
      </c>
      <c r="G168" s="20" t="s">
        <v>28</v>
      </c>
      <c r="H168" s="51">
        <v>50</v>
      </c>
      <c r="I168" s="51">
        <v>90</v>
      </c>
      <c r="J168" s="20" t="s">
        <v>207</v>
      </c>
      <c r="K168" s="20" t="s">
        <v>48</v>
      </c>
      <c r="L168" s="52">
        <v>3160000</v>
      </c>
      <c r="M168" s="52"/>
      <c r="N168" s="52">
        <f t="shared" si="4"/>
        <v>3160000</v>
      </c>
      <c r="O168" s="53"/>
      <c r="P168" s="54">
        <f t="shared" si="5"/>
        <v>3160000</v>
      </c>
      <c r="Q168" s="29"/>
    </row>
    <row r="169" spans="2:17" s="17" customFormat="1" ht="13.8">
      <c r="B169" s="20" t="s">
        <v>252</v>
      </c>
      <c r="C169" s="20" t="s">
        <v>0</v>
      </c>
      <c r="D169" s="20" t="s">
        <v>94</v>
      </c>
      <c r="E169" s="20" t="s">
        <v>22</v>
      </c>
      <c r="F169" s="20" t="s">
        <v>250</v>
      </c>
      <c r="G169" s="20" t="s">
        <v>31</v>
      </c>
      <c r="H169" s="20">
        <v>50</v>
      </c>
      <c r="I169" s="20">
        <v>90</v>
      </c>
      <c r="J169" s="20" t="s">
        <v>207</v>
      </c>
      <c r="K169" s="20" t="s">
        <v>48</v>
      </c>
      <c r="L169" s="52">
        <v>3160000</v>
      </c>
      <c r="M169" s="52"/>
      <c r="N169" s="52">
        <f t="shared" si="4"/>
        <v>3160000</v>
      </c>
      <c r="O169" s="53"/>
      <c r="P169" s="54">
        <f t="shared" si="5"/>
        <v>3160000</v>
      </c>
      <c r="Q169" s="28"/>
    </row>
    <row r="170" spans="2:17" s="17" customFormat="1" ht="13.8">
      <c r="B170" s="51" t="s">
        <v>253</v>
      </c>
      <c r="C170" s="20" t="s">
        <v>0</v>
      </c>
      <c r="D170" s="51" t="s">
        <v>94</v>
      </c>
      <c r="E170" s="51" t="s">
        <v>22</v>
      </c>
      <c r="F170" s="20" t="s">
        <v>250</v>
      </c>
      <c r="G170" s="20" t="s">
        <v>34</v>
      </c>
      <c r="H170" s="51">
        <v>50</v>
      </c>
      <c r="I170" s="51">
        <v>90</v>
      </c>
      <c r="J170" s="20" t="s">
        <v>207</v>
      </c>
      <c r="K170" s="20" t="s">
        <v>50</v>
      </c>
      <c r="L170" s="52">
        <v>3160000</v>
      </c>
      <c r="M170" s="52"/>
      <c r="N170" s="52">
        <f t="shared" si="4"/>
        <v>3160000</v>
      </c>
      <c r="O170" s="53"/>
      <c r="P170" s="54">
        <f t="shared" si="5"/>
        <v>3160000</v>
      </c>
      <c r="Q170" s="29"/>
    </row>
    <row r="171" spans="2:17" s="17" customFormat="1" ht="13.8">
      <c r="B171" s="20" t="s">
        <v>254</v>
      </c>
      <c r="C171" s="20" t="s">
        <v>0</v>
      </c>
      <c r="D171" s="20" t="s">
        <v>94</v>
      </c>
      <c r="E171" s="20" t="s">
        <v>22</v>
      </c>
      <c r="F171" s="20" t="s">
        <v>250</v>
      </c>
      <c r="G171" s="20" t="s">
        <v>37</v>
      </c>
      <c r="H171" s="20">
        <v>50</v>
      </c>
      <c r="I171" s="20">
        <v>90</v>
      </c>
      <c r="J171" s="20" t="s">
        <v>207</v>
      </c>
      <c r="K171" s="20" t="s">
        <v>26</v>
      </c>
      <c r="L171" s="52">
        <v>3160000</v>
      </c>
      <c r="M171" s="52"/>
      <c r="N171" s="52">
        <f t="shared" si="4"/>
        <v>3160000</v>
      </c>
      <c r="O171" s="53"/>
      <c r="P171" s="54">
        <f t="shared" si="5"/>
        <v>3160000</v>
      </c>
      <c r="Q171" s="28"/>
    </row>
    <row r="172" spans="2:17" s="17" customFormat="1" ht="13.8">
      <c r="B172" s="51" t="s">
        <v>255</v>
      </c>
      <c r="C172" s="20" t="s">
        <v>0</v>
      </c>
      <c r="D172" s="51" t="s">
        <v>94</v>
      </c>
      <c r="E172" s="51" t="s">
        <v>22</v>
      </c>
      <c r="F172" s="20" t="s">
        <v>250</v>
      </c>
      <c r="G172" s="20" t="s">
        <v>39</v>
      </c>
      <c r="H172" s="51">
        <v>50</v>
      </c>
      <c r="I172" s="51">
        <v>90</v>
      </c>
      <c r="J172" s="20" t="s">
        <v>207</v>
      </c>
      <c r="K172" s="20" t="s">
        <v>29</v>
      </c>
      <c r="L172" s="52">
        <v>3160000</v>
      </c>
      <c r="M172" s="52"/>
      <c r="N172" s="52">
        <f t="shared" si="4"/>
        <v>3160000</v>
      </c>
      <c r="O172" s="53"/>
      <c r="P172" s="54">
        <f t="shared" si="5"/>
        <v>3160000</v>
      </c>
      <c r="Q172" s="29"/>
    </row>
    <row r="173" spans="2:17" s="17" customFormat="1" ht="13.8">
      <c r="B173" s="20" t="s">
        <v>256</v>
      </c>
      <c r="C173" s="20" t="s">
        <v>0</v>
      </c>
      <c r="D173" s="20" t="s">
        <v>94</v>
      </c>
      <c r="E173" s="20" t="s">
        <v>22</v>
      </c>
      <c r="F173" s="20" t="s">
        <v>250</v>
      </c>
      <c r="G173" s="20" t="s">
        <v>52</v>
      </c>
      <c r="H173" s="20">
        <v>50</v>
      </c>
      <c r="I173" s="20">
        <v>90</v>
      </c>
      <c r="J173" s="20" t="s">
        <v>207</v>
      </c>
      <c r="K173" s="20" t="s">
        <v>29</v>
      </c>
      <c r="L173" s="52">
        <v>3160000</v>
      </c>
      <c r="M173" s="52"/>
      <c r="N173" s="52">
        <f t="shared" si="4"/>
        <v>3160000</v>
      </c>
      <c r="O173" s="53"/>
      <c r="P173" s="54">
        <f t="shared" si="5"/>
        <v>3160000</v>
      </c>
      <c r="Q173" s="28"/>
    </row>
    <row r="174" spans="2:17" s="17" customFormat="1" ht="13.8">
      <c r="B174" s="51" t="s">
        <v>257</v>
      </c>
      <c r="C174" s="20" t="s">
        <v>0</v>
      </c>
      <c r="D174" s="51" t="s">
        <v>94</v>
      </c>
      <c r="E174" s="51" t="s">
        <v>22</v>
      </c>
      <c r="F174" s="20" t="s">
        <v>250</v>
      </c>
      <c r="G174" s="20" t="s">
        <v>54</v>
      </c>
      <c r="H174" s="51">
        <v>50</v>
      </c>
      <c r="I174" s="51">
        <v>80</v>
      </c>
      <c r="J174" s="20" t="s">
        <v>207</v>
      </c>
      <c r="K174" s="20" t="s">
        <v>26</v>
      </c>
      <c r="L174" s="52">
        <v>2830000</v>
      </c>
      <c r="M174" s="52"/>
      <c r="N174" s="52">
        <f t="shared" si="4"/>
        <v>2830000</v>
      </c>
      <c r="O174" s="53"/>
      <c r="P174" s="54">
        <f t="shared" si="5"/>
        <v>2830000</v>
      </c>
      <c r="Q174" s="29"/>
    </row>
    <row r="175" spans="2:17" s="17" customFormat="1" ht="13.8">
      <c r="B175" s="20" t="s">
        <v>258</v>
      </c>
      <c r="C175" s="20" t="s">
        <v>0</v>
      </c>
      <c r="D175" s="20" t="s">
        <v>94</v>
      </c>
      <c r="E175" s="20" t="s">
        <v>22</v>
      </c>
      <c r="F175" s="20" t="s">
        <v>259</v>
      </c>
      <c r="G175" s="20" t="s">
        <v>24</v>
      </c>
      <c r="H175" s="20">
        <v>50</v>
      </c>
      <c r="I175" s="20">
        <v>80</v>
      </c>
      <c r="J175" s="20" t="s">
        <v>207</v>
      </c>
      <c r="K175" s="20" t="s">
        <v>35</v>
      </c>
      <c r="L175" s="52">
        <v>2830000</v>
      </c>
      <c r="M175" s="52"/>
      <c r="N175" s="52">
        <f t="shared" si="4"/>
        <v>2830000</v>
      </c>
      <c r="O175" s="53"/>
      <c r="P175" s="54">
        <f t="shared" si="5"/>
        <v>2830000</v>
      </c>
      <c r="Q175" s="28"/>
    </row>
    <row r="176" spans="2:17" s="17" customFormat="1" ht="13.8">
      <c r="B176" s="51" t="s">
        <v>260</v>
      </c>
      <c r="C176" s="20" t="s">
        <v>0</v>
      </c>
      <c r="D176" s="51" t="s">
        <v>94</v>
      </c>
      <c r="E176" s="51" t="s">
        <v>22</v>
      </c>
      <c r="F176" s="20" t="s">
        <v>259</v>
      </c>
      <c r="G176" s="20" t="s">
        <v>28</v>
      </c>
      <c r="H176" s="51">
        <v>50</v>
      </c>
      <c r="I176" s="51">
        <v>90</v>
      </c>
      <c r="J176" s="20" t="s">
        <v>207</v>
      </c>
      <c r="K176" s="20" t="s">
        <v>32</v>
      </c>
      <c r="L176" s="52">
        <v>3160000</v>
      </c>
      <c r="M176" s="52"/>
      <c r="N176" s="52">
        <f t="shared" si="4"/>
        <v>3160000</v>
      </c>
      <c r="O176" s="53"/>
      <c r="P176" s="54">
        <f t="shared" si="5"/>
        <v>3160000</v>
      </c>
      <c r="Q176" s="29"/>
    </row>
    <row r="177" spans="2:17" s="17" customFormat="1" ht="13.8">
      <c r="B177" s="20" t="s">
        <v>261</v>
      </c>
      <c r="C177" s="20" t="s">
        <v>0</v>
      </c>
      <c r="D177" s="20" t="s">
        <v>94</v>
      </c>
      <c r="E177" s="20" t="s">
        <v>22</v>
      </c>
      <c r="F177" s="20" t="s">
        <v>259</v>
      </c>
      <c r="G177" s="20" t="s">
        <v>31</v>
      </c>
      <c r="H177" s="20">
        <v>50</v>
      </c>
      <c r="I177" s="20">
        <v>90</v>
      </c>
      <c r="J177" s="20" t="s">
        <v>207</v>
      </c>
      <c r="K177" s="20" t="s">
        <v>32</v>
      </c>
      <c r="L177" s="52">
        <v>3160000</v>
      </c>
      <c r="M177" s="52"/>
      <c r="N177" s="52">
        <f t="shared" si="4"/>
        <v>3160000</v>
      </c>
      <c r="O177" s="53"/>
      <c r="P177" s="54">
        <f t="shared" si="5"/>
        <v>3160000</v>
      </c>
      <c r="Q177" s="28"/>
    </row>
    <row r="178" spans="2:17" s="17" customFormat="1" ht="13.8">
      <c r="B178" s="51" t="s">
        <v>262</v>
      </c>
      <c r="C178" s="20" t="s">
        <v>0</v>
      </c>
      <c r="D178" s="51" t="s">
        <v>94</v>
      </c>
      <c r="E178" s="51" t="s">
        <v>22</v>
      </c>
      <c r="F178" s="20" t="s">
        <v>259</v>
      </c>
      <c r="G178" s="20" t="s">
        <v>34</v>
      </c>
      <c r="H178" s="51">
        <v>50</v>
      </c>
      <c r="I178" s="51">
        <v>90</v>
      </c>
      <c r="J178" s="20" t="s">
        <v>207</v>
      </c>
      <c r="K178" s="20" t="s">
        <v>35</v>
      </c>
      <c r="L178" s="52">
        <v>3160000</v>
      </c>
      <c r="M178" s="52"/>
      <c r="N178" s="52">
        <f t="shared" si="4"/>
        <v>3160000</v>
      </c>
      <c r="O178" s="53"/>
      <c r="P178" s="54">
        <f t="shared" si="5"/>
        <v>3160000</v>
      </c>
      <c r="Q178" s="29"/>
    </row>
    <row r="179" spans="2:17" s="17" customFormat="1" ht="13.8">
      <c r="B179" s="20" t="s">
        <v>263</v>
      </c>
      <c r="C179" s="20" t="s">
        <v>0</v>
      </c>
      <c r="D179" s="20" t="s">
        <v>94</v>
      </c>
      <c r="E179" s="20" t="s">
        <v>22</v>
      </c>
      <c r="F179" s="20" t="s">
        <v>259</v>
      </c>
      <c r="G179" s="20" t="s">
        <v>37</v>
      </c>
      <c r="H179" s="20">
        <v>50</v>
      </c>
      <c r="I179" s="20">
        <v>84</v>
      </c>
      <c r="J179" s="20" t="s">
        <v>207</v>
      </c>
      <c r="K179" s="20" t="s">
        <v>44</v>
      </c>
      <c r="L179" s="52">
        <v>2962000</v>
      </c>
      <c r="M179" s="52"/>
      <c r="N179" s="52">
        <f t="shared" si="4"/>
        <v>2962000</v>
      </c>
      <c r="O179" s="53"/>
      <c r="P179" s="54">
        <f t="shared" si="5"/>
        <v>2962000</v>
      </c>
      <c r="Q179" s="28"/>
    </row>
    <row r="180" spans="2:17" s="17" customFormat="1" ht="13.8">
      <c r="B180" s="51" t="s">
        <v>264</v>
      </c>
      <c r="C180" s="20" t="s">
        <v>0</v>
      </c>
      <c r="D180" s="51" t="s">
        <v>94</v>
      </c>
      <c r="E180" s="51" t="s">
        <v>22</v>
      </c>
      <c r="F180" s="20" t="s">
        <v>259</v>
      </c>
      <c r="G180" s="20" t="s">
        <v>39</v>
      </c>
      <c r="H180" s="51">
        <v>50</v>
      </c>
      <c r="I180" s="51">
        <v>84</v>
      </c>
      <c r="J180" s="20" t="s">
        <v>207</v>
      </c>
      <c r="K180" s="20" t="s">
        <v>42</v>
      </c>
      <c r="L180" s="52">
        <v>2962000</v>
      </c>
      <c r="M180" s="52"/>
      <c r="N180" s="52">
        <f t="shared" si="4"/>
        <v>2962000</v>
      </c>
      <c r="O180" s="53"/>
      <c r="P180" s="54">
        <f t="shared" si="5"/>
        <v>2962000</v>
      </c>
      <c r="Q180" s="29"/>
    </row>
    <row r="181" spans="2:17" s="17" customFormat="1" ht="13.8">
      <c r="B181" s="20" t="s">
        <v>265</v>
      </c>
      <c r="C181" s="20" t="s">
        <v>0</v>
      </c>
      <c r="D181" s="20" t="s">
        <v>94</v>
      </c>
      <c r="E181" s="20" t="s">
        <v>22</v>
      </c>
      <c r="F181" s="20" t="s">
        <v>259</v>
      </c>
      <c r="G181" s="20" t="s">
        <v>52</v>
      </c>
      <c r="H181" s="20">
        <v>50</v>
      </c>
      <c r="I181" s="20">
        <v>84</v>
      </c>
      <c r="J181" s="20" t="s">
        <v>207</v>
      </c>
      <c r="K181" s="20" t="s">
        <v>42</v>
      </c>
      <c r="L181" s="52">
        <v>2962000</v>
      </c>
      <c r="M181" s="52"/>
      <c r="N181" s="52">
        <f t="shared" si="4"/>
        <v>2962000</v>
      </c>
      <c r="O181" s="53"/>
      <c r="P181" s="54">
        <f t="shared" si="5"/>
        <v>2962000</v>
      </c>
      <c r="Q181" s="28"/>
    </row>
    <row r="182" spans="2:17" s="17" customFormat="1" ht="13.8">
      <c r="B182" s="51" t="s">
        <v>266</v>
      </c>
      <c r="C182" s="20" t="s">
        <v>0</v>
      </c>
      <c r="D182" s="51" t="s">
        <v>94</v>
      </c>
      <c r="E182" s="51" t="s">
        <v>22</v>
      </c>
      <c r="F182" s="20" t="s">
        <v>259</v>
      </c>
      <c r="G182" s="20" t="s">
        <v>54</v>
      </c>
      <c r="H182" s="51">
        <v>50</v>
      </c>
      <c r="I182" s="51">
        <v>84</v>
      </c>
      <c r="J182" s="20" t="s">
        <v>207</v>
      </c>
      <c r="K182" s="20" t="s">
        <v>44</v>
      </c>
      <c r="L182" s="52">
        <v>2962000</v>
      </c>
      <c r="M182" s="52"/>
      <c r="N182" s="52">
        <f t="shared" si="4"/>
        <v>2962000</v>
      </c>
      <c r="O182" s="53"/>
      <c r="P182" s="54">
        <f t="shared" si="5"/>
        <v>2962000</v>
      </c>
      <c r="Q182" s="29"/>
    </row>
    <row r="183" spans="2:17" s="17" customFormat="1" ht="13.8">
      <c r="B183" s="20" t="s">
        <v>267</v>
      </c>
      <c r="C183" s="20" t="s">
        <v>0</v>
      </c>
      <c r="D183" s="20" t="s">
        <v>21</v>
      </c>
      <c r="E183" s="20" t="s">
        <v>22</v>
      </c>
      <c r="F183" s="20" t="s">
        <v>259</v>
      </c>
      <c r="G183" s="20" t="s">
        <v>82</v>
      </c>
      <c r="H183" s="20">
        <v>50</v>
      </c>
      <c r="I183" s="20">
        <v>84</v>
      </c>
      <c r="J183" s="20" t="s">
        <v>207</v>
      </c>
      <c r="K183" s="20" t="s">
        <v>26</v>
      </c>
      <c r="L183" s="52">
        <v>2962000</v>
      </c>
      <c r="M183" s="52"/>
      <c r="N183" s="52">
        <f t="shared" si="4"/>
        <v>2962000</v>
      </c>
      <c r="O183" s="53"/>
      <c r="P183" s="54">
        <f t="shared" si="5"/>
        <v>2962000</v>
      </c>
      <c r="Q183" s="28"/>
    </row>
    <row r="184" spans="2:17" s="17" customFormat="1" ht="13.8">
      <c r="B184" s="51" t="s">
        <v>268</v>
      </c>
      <c r="C184" s="20" t="s">
        <v>0</v>
      </c>
      <c r="D184" s="51" t="s">
        <v>21</v>
      </c>
      <c r="E184" s="51" t="s">
        <v>22</v>
      </c>
      <c r="F184" s="20" t="s">
        <v>259</v>
      </c>
      <c r="G184" s="20" t="s">
        <v>84</v>
      </c>
      <c r="H184" s="51">
        <v>50</v>
      </c>
      <c r="I184" s="51">
        <v>105</v>
      </c>
      <c r="J184" s="20" t="s">
        <v>207</v>
      </c>
      <c r="K184" s="20" t="s">
        <v>29</v>
      </c>
      <c r="L184" s="52">
        <v>3655000</v>
      </c>
      <c r="M184" s="52">
        <v>55000</v>
      </c>
      <c r="N184" s="52">
        <f t="shared" si="4"/>
        <v>3600000</v>
      </c>
      <c r="O184" s="53"/>
      <c r="P184" s="54">
        <f t="shared" si="5"/>
        <v>3600000</v>
      </c>
      <c r="Q184" s="29"/>
    </row>
    <row r="185" spans="2:17" s="17" customFormat="1" ht="13.8">
      <c r="B185" s="20" t="s">
        <v>269</v>
      </c>
      <c r="C185" s="20" t="s">
        <v>0</v>
      </c>
      <c r="D185" s="20" t="s">
        <v>21</v>
      </c>
      <c r="E185" s="20" t="s">
        <v>243</v>
      </c>
      <c r="F185" s="20" t="s">
        <v>259</v>
      </c>
      <c r="G185" s="20" t="s">
        <v>86</v>
      </c>
      <c r="H185" s="20">
        <v>50</v>
      </c>
      <c r="I185" s="20">
        <v>88</v>
      </c>
      <c r="J185" s="20" t="s">
        <v>207</v>
      </c>
      <c r="K185" s="20" t="s">
        <v>26</v>
      </c>
      <c r="L185" s="52">
        <v>3094000</v>
      </c>
      <c r="M185" s="52"/>
      <c r="N185" s="52">
        <f t="shared" si="4"/>
        <v>3094000</v>
      </c>
      <c r="O185" s="53"/>
      <c r="P185" s="54">
        <f t="shared" si="5"/>
        <v>3094000</v>
      </c>
      <c r="Q185" s="28"/>
    </row>
    <row r="186" spans="2:17" s="17" customFormat="1" ht="13.8">
      <c r="B186" s="51" t="s">
        <v>270</v>
      </c>
      <c r="C186" s="20" t="s">
        <v>0</v>
      </c>
      <c r="D186" s="51" t="s">
        <v>21</v>
      </c>
      <c r="E186" s="51" t="s">
        <v>205</v>
      </c>
      <c r="F186" s="20" t="s">
        <v>259</v>
      </c>
      <c r="G186" s="20" t="s">
        <v>88</v>
      </c>
      <c r="H186" s="51">
        <v>50</v>
      </c>
      <c r="I186" s="51">
        <v>70</v>
      </c>
      <c r="J186" s="20" t="s">
        <v>207</v>
      </c>
      <c r="K186" s="20" t="s">
        <v>29</v>
      </c>
      <c r="L186" s="52">
        <v>2500000</v>
      </c>
      <c r="M186" s="52"/>
      <c r="N186" s="52">
        <f t="shared" si="4"/>
        <v>2500000</v>
      </c>
      <c r="O186" s="53"/>
      <c r="P186" s="54">
        <f t="shared" si="5"/>
        <v>2500000</v>
      </c>
      <c r="Q186" s="29"/>
    </row>
    <row r="187" spans="2:17" s="17" customFormat="1" ht="13.8">
      <c r="B187" s="20" t="s">
        <v>271</v>
      </c>
      <c r="C187" s="20" t="s">
        <v>0</v>
      </c>
      <c r="D187" s="20" t="s">
        <v>94</v>
      </c>
      <c r="E187" s="20" t="s">
        <v>205</v>
      </c>
      <c r="F187" s="20" t="s">
        <v>259</v>
      </c>
      <c r="G187" s="20" t="s">
        <v>90</v>
      </c>
      <c r="H187" s="20">
        <v>50</v>
      </c>
      <c r="I187" s="20">
        <v>70</v>
      </c>
      <c r="J187" s="20" t="s">
        <v>207</v>
      </c>
      <c r="K187" s="20" t="s">
        <v>50</v>
      </c>
      <c r="L187" s="52">
        <v>2500000</v>
      </c>
      <c r="M187" s="52"/>
      <c r="N187" s="52">
        <f t="shared" si="4"/>
        <v>2500000</v>
      </c>
      <c r="O187" s="53"/>
      <c r="P187" s="54">
        <f t="shared" si="5"/>
        <v>2500000</v>
      </c>
      <c r="Q187" s="28"/>
    </row>
    <row r="188" spans="2:17" s="17" customFormat="1" ht="13.8">
      <c r="B188" s="51" t="s">
        <v>272</v>
      </c>
      <c r="C188" s="20" t="s">
        <v>0</v>
      </c>
      <c r="D188" s="51" t="s">
        <v>94</v>
      </c>
      <c r="E188" s="51" t="s">
        <v>22</v>
      </c>
      <c r="F188" s="20" t="s">
        <v>259</v>
      </c>
      <c r="G188" s="20" t="s">
        <v>92</v>
      </c>
      <c r="H188" s="51">
        <v>50</v>
      </c>
      <c r="I188" s="51">
        <v>70</v>
      </c>
      <c r="J188" s="20" t="s">
        <v>207</v>
      </c>
      <c r="K188" s="20" t="s">
        <v>48</v>
      </c>
      <c r="L188" s="52">
        <v>2500000</v>
      </c>
      <c r="M188" s="52"/>
      <c r="N188" s="52">
        <f t="shared" si="4"/>
        <v>2500000</v>
      </c>
      <c r="O188" s="53"/>
      <c r="P188" s="54">
        <f t="shared" si="5"/>
        <v>2500000</v>
      </c>
      <c r="Q188" s="29"/>
    </row>
    <row r="189" spans="2:17" s="17" customFormat="1" ht="13.8">
      <c r="B189" s="20" t="s">
        <v>273</v>
      </c>
      <c r="C189" s="20" t="s">
        <v>0</v>
      </c>
      <c r="D189" s="20" t="s">
        <v>94</v>
      </c>
      <c r="E189" s="20" t="s">
        <v>22</v>
      </c>
      <c r="F189" s="20" t="s">
        <v>259</v>
      </c>
      <c r="G189" s="20" t="s">
        <v>123</v>
      </c>
      <c r="H189" s="20">
        <v>50</v>
      </c>
      <c r="I189" s="20">
        <v>70</v>
      </c>
      <c r="J189" s="20" t="s">
        <v>207</v>
      </c>
      <c r="K189" s="20" t="s">
        <v>48</v>
      </c>
      <c r="L189" s="52">
        <v>2500000</v>
      </c>
      <c r="M189" s="52"/>
      <c r="N189" s="52">
        <f t="shared" si="4"/>
        <v>2500000</v>
      </c>
      <c r="O189" s="53"/>
      <c r="P189" s="54">
        <f t="shared" si="5"/>
        <v>2500000</v>
      </c>
      <c r="Q189" s="28"/>
    </row>
    <row r="190" spans="2:17" s="17" customFormat="1" ht="13.8">
      <c r="B190" s="51" t="s">
        <v>274</v>
      </c>
      <c r="C190" s="20" t="s">
        <v>0</v>
      </c>
      <c r="D190" s="51" t="s">
        <v>94</v>
      </c>
      <c r="E190" s="51" t="s">
        <v>22</v>
      </c>
      <c r="F190" s="20" t="s">
        <v>259</v>
      </c>
      <c r="G190" s="20" t="s">
        <v>125</v>
      </c>
      <c r="H190" s="51">
        <v>50</v>
      </c>
      <c r="I190" s="51">
        <v>70</v>
      </c>
      <c r="J190" s="20" t="s">
        <v>207</v>
      </c>
      <c r="K190" s="20" t="s">
        <v>50</v>
      </c>
      <c r="L190" s="52">
        <v>2500000</v>
      </c>
      <c r="M190" s="52"/>
      <c r="N190" s="52">
        <f t="shared" si="4"/>
        <v>2500000</v>
      </c>
      <c r="O190" s="53"/>
      <c r="P190" s="54">
        <f t="shared" si="5"/>
        <v>2500000</v>
      </c>
      <c r="Q190" s="29"/>
    </row>
    <row r="191" spans="2:17" s="17" customFormat="1" ht="13.8">
      <c r="B191" s="20" t="s">
        <v>275</v>
      </c>
      <c r="C191" s="20" t="s">
        <v>0</v>
      </c>
      <c r="D191" s="20" t="s">
        <v>94</v>
      </c>
      <c r="E191" s="20" t="s">
        <v>22</v>
      </c>
      <c r="F191" s="20" t="s">
        <v>276</v>
      </c>
      <c r="G191" s="20" t="s">
        <v>24</v>
      </c>
      <c r="H191" s="20">
        <v>50</v>
      </c>
      <c r="I191" s="20">
        <v>80</v>
      </c>
      <c r="J191" s="20" t="s">
        <v>207</v>
      </c>
      <c r="K191" s="20" t="s">
        <v>42</v>
      </c>
      <c r="L191" s="52">
        <v>2830000</v>
      </c>
      <c r="M191" s="52"/>
      <c r="N191" s="52">
        <f t="shared" si="4"/>
        <v>2830000</v>
      </c>
      <c r="O191" s="53"/>
      <c r="P191" s="54">
        <f t="shared" si="5"/>
        <v>2830000</v>
      </c>
      <c r="Q191" s="28"/>
    </row>
    <row r="192" spans="2:17" s="17" customFormat="1" ht="13.8">
      <c r="B192" s="51" t="s">
        <v>277</v>
      </c>
      <c r="C192" s="20" t="s">
        <v>0</v>
      </c>
      <c r="D192" s="51" t="s">
        <v>94</v>
      </c>
      <c r="E192" s="51" t="s">
        <v>22</v>
      </c>
      <c r="F192" s="20" t="s">
        <v>276</v>
      </c>
      <c r="G192" s="20" t="s">
        <v>28</v>
      </c>
      <c r="H192" s="51">
        <v>50</v>
      </c>
      <c r="I192" s="51">
        <v>90</v>
      </c>
      <c r="J192" s="20" t="s">
        <v>207</v>
      </c>
      <c r="K192" s="20" t="s">
        <v>44</v>
      </c>
      <c r="L192" s="52">
        <v>3160000</v>
      </c>
      <c r="M192" s="52"/>
      <c r="N192" s="52">
        <f t="shared" si="4"/>
        <v>3160000</v>
      </c>
      <c r="O192" s="53"/>
      <c r="P192" s="54">
        <f t="shared" si="5"/>
        <v>3160000</v>
      </c>
      <c r="Q192" s="29"/>
    </row>
    <row r="193" spans="2:17" s="17" customFormat="1" ht="13.8">
      <c r="B193" s="20" t="s">
        <v>278</v>
      </c>
      <c r="C193" s="20" t="s">
        <v>0</v>
      </c>
      <c r="D193" s="20" t="s">
        <v>21</v>
      </c>
      <c r="E193" s="20" t="s">
        <v>22</v>
      </c>
      <c r="F193" s="20" t="s">
        <v>276</v>
      </c>
      <c r="G193" s="20" t="s">
        <v>31</v>
      </c>
      <c r="H193" s="20">
        <v>50</v>
      </c>
      <c r="I193" s="20">
        <v>90</v>
      </c>
      <c r="J193" s="20" t="s">
        <v>207</v>
      </c>
      <c r="K193" s="20" t="s">
        <v>44</v>
      </c>
      <c r="L193" s="52">
        <v>3160000</v>
      </c>
      <c r="M193" s="52"/>
      <c r="N193" s="52">
        <f t="shared" si="4"/>
        <v>3160000</v>
      </c>
      <c r="O193" s="53"/>
      <c r="P193" s="54">
        <f t="shared" si="5"/>
        <v>3160000</v>
      </c>
      <c r="Q193" s="28"/>
    </row>
    <row r="194" spans="2:17" s="17" customFormat="1" ht="13.8">
      <c r="B194" s="51" t="s">
        <v>279</v>
      </c>
      <c r="C194" s="20" t="s">
        <v>0</v>
      </c>
      <c r="D194" s="51" t="s">
        <v>21</v>
      </c>
      <c r="E194" s="51" t="s">
        <v>22</v>
      </c>
      <c r="F194" s="20" t="s">
        <v>276</v>
      </c>
      <c r="G194" s="20" t="s">
        <v>34</v>
      </c>
      <c r="H194" s="51">
        <v>50</v>
      </c>
      <c r="I194" s="51">
        <v>90</v>
      </c>
      <c r="J194" s="20" t="s">
        <v>207</v>
      </c>
      <c r="K194" s="20" t="s">
        <v>42</v>
      </c>
      <c r="L194" s="52">
        <v>3160000</v>
      </c>
      <c r="M194" s="52"/>
      <c r="N194" s="52">
        <f t="shared" si="4"/>
        <v>3160000</v>
      </c>
      <c r="O194" s="53"/>
      <c r="P194" s="54">
        <f t="shared" si="5"/>
        <v>3160000</v>
      </c>
      <c r="Q194" s="29"/>
    </row>
    <row r="195" spans="2:17" s="17" customFormat="1" ht="13.8">
      <c r="B195" s="20" t="s">
        <v>280</v>
      </c>
      <c r="C195" s="20" t="s">
        <v>0</v>
      </c>
      <c r="D195" s="20" t="s">
        <v>21</v>
      </c>
      <c r="E195" s="20" t="s">
        <v>22</v>
      </c>
      <c r="F195" s="20" t="s">
        <v>276</v>
      </c>
      <c r="G195" s="20" t="s">
        <v>37</v>
      </c>
      <c r="H195" s="20">
        <v>50</v>
      </c>
      <c r="I195" s="20">
        <v>90</v>
      </c>
      <c r="J195" s="20" t="s">
        <v>207</v>
      </c>
      <c r="K195" s="20" t="s">
        <v>26</v>
      </c>
      <c r="L195" s="52">
        <v>3160000</v>
      </c>
      <c r="M195" s="52"/>
      <c r="N195" s="52">
        <f t="shared" si="4"/>
        <v>3160000</v>
      </c>
      <c r="O195" s="53"/>
      <c r="P195" s="54">
        <f t="shared" si="5"/>
        <v>3160000</v>
      </c>
      <c r="Q195" s="28"/>
    </row>
    <row r="196" spans="2:17" s="17" customFormat="1" ht="13.8">
      <c r="B196" s="51" t="s">
        <v>281</v>
      </c>
      <c r="C196" s="20" t="s">
        <v>0</v>
      </c>
      <c r="D196" s="51" t="s">
        <v>21</v>
      </c>
      <c r="E196" s="51" t="s">
        <v>22</v>
      </c>
      <c r="F196" s="20" t="s">
        <v>276</v>
      </c>
      <c r="G196" s="20" t="s">
        <v>39</v>
      </c>
      <c r="H196" s="51">
        <v>50</v>
      </c>
      <c r="I196" s="51">
        <v>90</v>
      </c>
      <c r="J196" s="20" t="s">
        <v>207</v>
      </c>
      <c r="K196" s="20" t="s">
        <v>29</v>
      </c>
      <c r="L196" s="52">
        <v>3160000</v>
      </c>
      <c r="M196" s="52"/>
      <c r="N196" s="52">
        <f t="shared" si="4"/>
        <v>3160000</v>
      </c>
      <c r="O196" s="53"/>
      <c r="P196" s="54">
        <f t="shared" si="5"/>
        <v>3160000</v>
      </c>
      <c r="Q196" s="29"/>
    </row>
    <row r="197" spans="2:17" s="17" customFormat="1" ht="13.8">
      <c r="B197" s="20" t="s">
        <v>282</v>
      </c>
      <c r="C197" s="20" t="s">
        <v>0</v>
      </c>
      <c r="D197" s="20" t="s">
        <v>94</v>
      </c>
      <c r="E197" s="20" t="s">
        <v>22</v>
      </c>
      <c r="F197" s="20" t="s">
        <v>276</v>
      </c>
      <c r="G197" s="20" t="s">
        <v>52</v>
      </c>
      <c r="H197" s="20">
        <v>50</v>
      </c>
      <c r="I197" s="20">
        <v>90</v>
      </c>
      <c r="J197" s="20" t="s">
        <v>207</v>
      </c>
      <c r="K197" s="20" t="s">
        <v>29</v>
      </c>
      <c r="L197" s="52">
        <v>3160000</v>
      </c>
      <c r="M197" s="52"/>
      <c r="N197" s="52">
        <f t="shared" si="4"/>
        <v>3160000</v>
      </c>
      <c r="O197" s="53"/>
      <c r="P197" s="54">
        <f t="shared" si="5"/>
        <v>3160000</v>
      </c>
      <c r="Q197" s="28"/>
    </row>
    <row r="198" spans="2:17" s="17" customFormat="1" ht="13.8">
      <c r="B198" s="51" t="s">
        <v>283</v>
      </c>
      <c r="C198" s="20" t="s">
        <v>0</v>
      </c>
      <c r="D198" s="51" t="s">
        <v>94</v>
      </c>
      <c r="E198" s="51" t="s">
        <v>22</v>
      </c>
      <c r="F198" s="20" t="s">
        <v>276</v>
      </c>
      <c r="G198" s="20" t="s">
        <v>54</v>
      </c>
      <c r="H198" s="51">
        <v>50</v>
      </c>
      <c r="I198" s="51">
        <v>80</v>
      </c>
      <c r="J198" s="20" t="s">
        <v>207</v>
      </c>
      <c r="K198" s="20" t="s">
        <v>26</v>
      </c>
      <c r="L198" s="52">
        <v>2830000</v>
      </c>
      <c r="M198" s="52"/>
      <c r="N198" s="52">
        <f t="shared" si="4"/>
        <v>2830000</v>
      </c>
      <c r="O198" s="53"/>
      <c r="P198" s="54">
        <f t="shared" si="5"/>
        <v>2830000</v>
      </c>
      <c r="Q198" s="29"/>
    </row>
    <row r="199" spans="2:17" s="17" customFormat="1" ht="13.8">
      <c r="B199" s="20" t="s">
        <v>284</v>
      </c>
      <c r="C199" s="20" t="s">
        <v>0</v>
      </c>
      <c r="D199" s="20" t="s">
        <v>204</v>
      </c>
      <c r="E199" s="20" t="s">
        <v>205</v>
      </c>
      <c r="F199" s="20" t="s">
        <v>285</v>
      </c>
      <c r="G199" s="20" t="s">
        <v>24</v>
      </c>
      <c r="H199" s="20">
        <v>50</v>
      </c>
      <c r="I199" s="20">
        <v>70</v>
      </c>
      <c r="J199" s="20" t="s">
        <v>207</v>
      </c>
      <c r="K199" s="20" t="s">
        <v>48</v>
      </c>
      <c r="L199" s="52">
        <v>2500000</v>
      </c>
      <c r="M199" s="52"/>
      <c r="N199" s="52">
        <f t="shared" si="4"/>
        <v>2500000</v>
      </c>
      <c r="O199" s="53"/>
      <c r="P199" s="54">
        <f t="shared" si="5"/>
        <v>2500000</v>
      </c>
      <c r="Q199" s="28"/>
    </row>
    <row r="200" spans="2:17" s="17" customFormat="1" ht="13.8">
      <c r="B200" s="51" t="s">
        <v>286</v>
      </c>
      <c r="C200" s="20" t="s">
        <v>0</v>
      </c>
      <c r="D200" s="51" t="s">
        <v>204</v>
      </c>
      <c r="E200" s="51" t="s">
        <v>205</v>
      </c>
      <c r="F200" s="20" t="s">
        <v>285</v>
      </c>
      <c r="G200" s="20" t="s">
        <v>28</v>
      </c>
      <c r="H200" s="51">
        <v>50</v>
      </c>
      <c r="I200" s="51">
        <v>70</v>
      </c>
      <c r="J200" s="20" t="s">
        <v>207</v>
      </c>
      <c r="K200" s="20" t="s">
        <v>50</v>
      </c>
      <c r="L200" s="52">
        <v>2500000</v>
      </c>
      <c r="M200" s="52"/>
      <c r="N200" s="52">
        <f t="shared" ref="N200:N263" si="6">L200-M200</f>
        <v>2500000</v>
      </c>
      <c r="O200" s="53"/>
      <c r="P200" s="54">
        <f t="shared" ref="P200:P263" si="7">N200-O200</f>
        <v>2500000</v>
      </c>
      <c r="Q200" s="29"/>
    </row>
    <row r="201" spans="2:17" s="17" customFormat="1" ht="13.8">
      <c r="B201" s="20" t="s">
        <v>287</v>
      </c>
      <c r="C201" s="20" t="s">
        <v>0</v>
      </c>
      <c r="D201" s="20" t="s">
        <v>204</v>
      </c>
      <c r="E201" s="20" t="s">
        <v>205</v>
      </c>
      <c r="F201" s="20" t="s">
        <v>285</v>
      </c>
      <c r="G201" s="20" t="s">
        <v>31</v>
      </c>
      <c r="H201" s="20">
        <v>50</v>
      </c>
      <c r="I201" s="20">
        <v>70</v>
      </c>
      <c r="J201" s="20" t="s">
        <v>207</v>
      </c>
      <c r="K201" s="20" t="s">
        <v>50</v>
      </c>
      <c r="L201" s="52">
        <v>2500000</v>
      </c>
      <c r="M201" s="52"/>
      <c r="N201" s="52">
        <f t="shared" si="6"/>
        <v>2500000</v>
      </c>
      <c r="O201" s="53"/>
      <c r="P201" s="54">
        <f t="shared" si="7"/>
        <v>2500000</v>
      </c>
      <c r="Q201" s="28"/>
    </row>
    <row r="202" spans="2:17" s="17" customFormat="1" ht="13.8">
      <c r="B202" s="51" t="s">
        <v>288</v>
      </c>
      <c r="C202" s="20" t="s">
        <v>0</v>
      </c>
      <c r="D202" s="51" t="s">
        <v>204</v>
      </c>
      <c r="E202" s="51" t="s">
        <v>243</v>
      </c>
      <c r="F202" s="20" t="s">
        <v>285</v>
      </c>
      <c r="G202" s="20" t="s">
        <v>34</v>
      </c>
      <c r="H202" s="51">
        <v>50</v>
      </c>
      <c r="I202" s="51">
        <v>70</v>
      </c>
      <c r="J202" s="20" t="s">
        <v>207</v>
      </c>
      <c r="K202" s="20" t="s">
        <v>48</v>
      </c>
      <c r="L202" s="52">
        <v>2500000</v>
      </c>
      <c r="M202" s="52"/>
      <c r="N202" s="52">
        <f t="shared" si="6"/>
        <v>2500000</v>
      </c>
      <c r="O202" s="53"/>
      <c r="P202" s="54">
        <f t="shared" si="7"/>
        <v>2500000</v>
      </c>
      <c r="Q202" s="29"/>
    </row>
    <row r="203" spans="2:17" s="17" customFormat="1" ht="13.8">
      <c r="B203" s="20" t="s">
        <v>289</v>
      </c>
      <c r="C203" s="20" t="s">
        <v>0</v>
      </c>
      <c r="D203" s="20" t="s">
        <v>204</v>
      </c>
      <c r="E203" s="20" t="s">
        <v>205</v>
      </c>
      <c r="F203" s="20" t="s">
        <v>290</v>
      </c>
      <c r="G203" s="20" t="s">
        <v>24</v>
      </c>
      <c r="H203" s="20">
        <v>50</v>
      </c>
      <c r="I203" s="20">
        <v>70</v>
      </c>
      <c r="J203" s="20" t="s">
        <v>207</v>
      </c>
      <c r="K203" s="20" t="s">
        <v>32</v>
      </c>
      <c r="L203" s="52">
        <v>2500000</v>
      </c>
      <c r="M203" s="52"/>
      <c r="N203" s="52">
        <f t="shared" si="6"/>
        <v>2500000</v>
      </c>
      <c r="O203" s="53"/>
      <c r="P203" s="54">
        <f t="shared" si="7"/>
        <v>2500000</v>
      </c>
      <c r="Q203" s="28"/>
    </row>
    <row r="204" spans="2:17" s="17" customFormat="1" ht="13.8">
      <c r="B204" s="51" t="s">
        <v>291</v>
      </c>
      <c r="C204" s="20" t="s">
        <v>0</v>
      </c>
      <c r="D204" s="51" t="s">
        <v>204</v>
      </c>
      <c r="E204" s="51" t="s">
        <v>243</v>
      </c>
      <c r="F204" s="20" t="s">
        <v>290</v>
      </c>
      <c r="G204" s="20" t="s">
        <v>28</v>
      </c>
      <c r="H204" s="51">
        <v>50</v>
      </c>
      <c r="I204" s="51">
        <v>70</v>
      </c>
      <c r="J204" s="20" t="s">
        <v>207</v>
      </c>
      <c r="K204" s="20" t="s">
        <v>35</v>
      </c>
      <c r="L204" s="52">
        <v>2500000</v>
      </c>
      <c r="M204" s="52"/>
      <c r="N204" s="52">
        <f t="shared" si="6"/>
        <v>2500000</v>
      </c>
      <c r="O204" s="53"/>
      <c r="P204" s="54">
        <f t="shared" si="7"/>
        <v>2500000</v>
      </c>
      <c r="Q204" s="29"/>
    </row>
    <row r="205" spans="2:17" s="17" customFormat="1" ht="13.8">
      <c r="B205" s="20" t="s">
        <v>292</v>
      </c>
      <c r="C205" s="20" t="s">
        <v>0</v>
      </c>
      <c r="D205" s="20" t="s">
        <v>204</v>
      </c>
      <c r="E205" s="20" t="s">
        <v>243</v>
      </c>
      <c r="F205" s="20" t="s">
        <v>290</v>
      </c>
      <c r="G205" s="20" t="s">
        <v>31</v>
      </c>
      <c r="H205" s="20">
        <v>50</v>
      </c>
      <c r="I205" s="20">
        <v>70</v>
      </c>
      <c r="J205" s="20" t="s">
        <v>207</v>
      </c>
      <c r="K205" s="20" t="s">
        <v>32</v>
      </c>
      <c r="L205" s="52">
        <v>2500000</v>
      </c>
      <c r="M205" s="52"/>
      <c r="N205" s="52">
        <f t="shared" si="6"/>
        <v>2500000</v>
      </c>
      <c r="O205" s="53"/>
      <c r="P205" s="54">
        <f t="shared" si="7"/>
        <v>2500000</v>
      </c>
      <c r="Q205" s="28"/>
    </row>
    <row r="206" spans="2:17" s="17" customFormat="1" ht="13.8">
      <c r="B206" s="51" t="s">
        <v>293</v>
      </c>
      <c r="C206" s="20" t="s">
        <v>0</v>
      </c>
      <c r="D206" s="51" t="s">
        <v>204</v>
      </c>
      <c r="E206" s="51" t="s">
        <v>243</v>
      </c>
      <c r="F206" s="20" t="s">
        <v>290</v>
      </c>
      <c r="G206" s="20" t="s">
        <v>34</v>
      </c>
      <c r="H206" s="51">
        <v>50</v>
      </c>
      <c r="I206" s="51">
        <v>70</v>
      </c>
      <c r="J206" s="20" t="s">
        <v>207</v>
      </c>
      <c r="K206" s="20" t="s">
        <v>35</v>
      </c>
      <c r="L206" s="52">
        <v>2500000</v>
      </c>
      <c r="M206" s="52"/>
      <c r="N206" s="52">
        <f t="shared" si="6"/>
        <v>2500000</v>
      </c>
      <c r="O206" s="53"/>
      <c r="P206" s="54">
        <f t="shared" si="7"/>
        <v>2500000</v>
      </c>
      <c r="Q206" s="29"/>
    </row>
    <row r="207" spans="2:17" s="17" customFormat="1" ht="13.8">
      <c r="B207" s="20" t="s">
        <v>294</v>
      </c>
      <c r="C207" s="20" t="s">
        <v>0</v>
      </c>
      <c r="D207" s="20" t="s">
        <v>98</v>
      </c>
      <c r="E207" s="20" t="s">
        <v>22</v>
      </c>
      <c r="F207" s="20" t="s">
        <v>290</v>
      </c>
      <c r="G207" s="20" t="s">
        <v>37</v>
      </c>
      <c r="H207" s="20" t="s">
        <v>99</v>
      </c>
      <c r="I207" s="20">
        <v>100</v>
      </c>
      <c r="J207" s="20" t="s">
        <v>100</v>
      </c>
      <c r="K207" s="20" t="s">
        <v>101</v>
      </c>
      <c r="L207" s="52">
        <v>2843714</v>
      </c>
      <c r="M207" s="52"/>
      <c r="N207" s="52">
        <f t="shared" si="6"/>
        <v>2843714</v>
      </c>
      <c r="O207" s="53">
        <f t="shared" ref="O207:O208" si="8">N207*12/112</f>
        <v>304683.64285714284</v>
      </c>
      <c r="P207" s="54">
        <f t="shared" si="7"/>
        <v>2539030.3571428573</v>
      </c>
      <c r="Q207" s="28"/>
    </row>
    <row r="208" spans="2:17" s="17" customFormat="1" ht="13.8">
      <c r="B208" s="51" t="s">
        <v>295</v>
      </c>
      <c r="C208" s="20" t="s">
        <v>0</v>
      </c>
      <c r="D208" s="51" t="s">
        <v>98</v>
      </c>
      <c r="E208" s="51" t="s">
        <v>22</v>
      </c>
      <c r="F208" s="20" t="s">
        <v>296</v>
      </c>
      <c r="G208" s="20" t="s">
        <v>24</v>
      </c>
      <c r="H208" s="51" t="s">
        <v>99</v>
      </c>
      <c r="I208" s="51">
        <v>100</v>
      </c>
      <c r="J208" s="20" t="s">
        <v>100</v>
      </c>
      <c r="K208" s="20" t="s">
        <v>101</v>
      </c>
      <c r="L208" s="52">
        <v>2843714</v>
      </c>
      <c r="M208" s="52"/>
      <c r="N208" s="52">
        <f t="shared" si="6"/>
        <v>2843714</v>
      </c>
      <c r="O208" s="53">
        <f t="shared" si="8"/>
        <v>304683.64285714284</v>
      </c>
      <c r="P208" s="54">
        <f t="shared" si="7"/>
        <v>2539030.3571428573</v>
      </c>
      <c r="Q208" s="29"/>
    </row>
    <row r="209" spans="2:17" s="17" customFormat="1" ht="13.8">
      <c r="B209" s="20" t="s">
        <v>297</v>
      </c>
      <c r="C209" s="20" t="s">
        <v>0</v>
      </c>
      <c r="D209" s="20" t="s">
        <v>204</v>
      </c>
      <c r="E209" s="20" t="s">
        <v>205</v>
      </c>
      <c r="F209" s="20" t="s">
        <v>296</v>
      </c>
      <c r="G209" s="20" t="s">
        <v>28</v>
      </c>
      <c r="H209" s="20">
        <v>50</v>
      </c>
      <c r="I209" s="20">
        <v>70</v>
      </c>
      <c r="J209" s="20" t="s">
        <v>207</v>
      </c>
      <c r="K209" s="20" t="s">
        <v>50</v>
      </c>
      <c r="L209" s="52">
        <v>2500000</v>
      </c>
      <c r="M209" s="52"/>
      <c r="N209" s="52">
        <f t="shared" si="6"/>
        <v>2500000</v>
      </c>
      <c r="O209" s="53"/>
      <c r="P209" s="54">
        <f t="shared" si="7"/>
        <v>2500000</v>
      </c>
      <c r="Q209" s="28"/>
    </row>
    <row r="210" spans="2:17" s="17" customFormat="1" ht="13.8">
      <c r="B210" s="51" t="s">
        <v>298</v>
      </c>
      <c r="C210" s="20" t="s">
        <v>0</v>
      </c>
      <c r="D210" s="51" t="s">
        <v>204</v>
      </c>
      <c r="E210" s="51" t="s">
        <v>205</v>
      </c>
      <c r="F210" s="20" t="s">
        <v>296</v>
      </c>
      <c r="G210" s="20" t="s">
        <v>31</v>
      </c>
      <c r="H210" s="51">
        <v>50</v>
      </c>
      <c r="I210" s="51">
        <v>70</v>
      </c>
      <c r="J210" s="20" t="s">
        <v>207</v>
      </c>
      <c r="K210" s="20" t="s">
        <v>48</v>
      </c>
      <c r="L210" s="52">
        <v>2500000</v>
      </c>
      <c r="M210" s="52"/>
      <c r="N210" s="52">
        <f t="shared" si="6"/>
        <v>2500000</v>
      </c>
      <c r="O210" s="53"/>
      <c r="P210" s="54">
        <f t="shared" si="7"/>
        <v>2500000</v>
      </c>
      <c r="Q210" s="29"/>
    </row>
    <row r="211" spans="2:17" s="17" customFormat="1" ht="13.8">
      <c r="B211" s="20" t="s">
        <v>299</v>
      </c>
      <c r="C211" s="20" t="s">
        <v>0</v>
      </c>
      <c r="D211" s="20" t="s">
        <v>204</v>
      </c>
      <c r="E211" s="20" t="s">
        <v>205</v>
      </c>
      <c r="F211" s="20" t="s">
        <v>296</v>
      </c>
      <c r="G211" s="20" t="s">
        <v>34</v>
      </c>
      <c r="H211" s="20">
        <v>50</v>
      </c>
      <c r="I211" s="20">
        <v>70</v>
      </c>
      <c r="J211" s="20" t="s">
        <v>207</v>
      </c>
      <c r="K211" s="20" t="s">
        <v>48</v>
      </c>
      <c r="L211" s="52">
        <v>2500000</v>
      </c>
      <c r="M211" s="52"/>
      <c r="N211" s="52">
        <f t="shared" si="6"/>
        <v>2500000</v>
      </c>
      <c r="O211" s="53"/>
      <c r="P211" s="54">
        <f t="shared" si="7"/>
        <v>2500000</v>
      </c>
      <c r="Q211" s="28"/>
    </row>
    <row r="212" spans="2:17" s="17" customFormat="1" ht="13.8">
      <c r="B212" s="51" t="s">
        <v>300</v>
      </c>
      <c r="C212" s="20" t="s">
        <v>0</v>
      </c>
      <c r="D212" s="51" t="s">
        <v>204</v>
      </c>
      <c r="E212" s="51" t="s">
        <v>205</v>
      </c>
      <c r="F212" s="20" t="s">
        <v>296</v>
      </c>
      <c r="G212" s="20" t="s">
        <v>37</v>
      </c>
      <c r="H212" s="51">
        <v>50</v>
      </c>
      <c r="I212" s="51">
        <v>70</v>
      </c>
      <c r="J212" s="20" t="s">
        <v>207</v>
      </c>
      <c r="K212" s="20" t="s">
        <v>50</v>
      </c>
      <c r="L212" s="52">
        <v>2500000</v>
      </c>
      <c r="M212" s="52"/>
      <c r="N212" s="52">
        <f t="shared" si="6"/>
        <v>2500000</v>
      </c>
      <c r="O212" s="53"/>
      <c r="P212" s="54">
        <f t="shared" si="7"/>
        <v>2500000</v>
      </c>
      <c r="Q212" s="29"/>
    </row>
    <row r="213" spans="2:17" s="17" customFormat="1" ht="13.8">
      <c r="B213" s="20" t="s">
        <v>301</v>
      </c>
      <c r="C213" s="20" t="s">
        <v>0</v>
      </c>
      <c r="D213" s="20" t="s">
        <v>204</v>
      </c>
      <c r="E213" s="20" t="s">
        <v>205</v>
      </c>
      <c r="F213" s="20" t="s">
        <v>296</v>
      </c>
      <c r="G213" s="20" t="s">
        <v>39</v>
      </c>
      <c r="H213" s="20">
        <v>50</v>
      </c>
      <c r="I213" s="20">
        <v>70</v>
      </c>
      <c r="J213" s="20" t="s">
        <v>207</v>
      </c>
      <c r="K213" s="20" t="s">
        <v>42</v>
      </c>
      <c r="L213" s="52">
        <v>2500000</v>
      </c>
      <c r="M213" s="52"/>
      <c r="N213" s="52">
        <f t="shared" si="6"/>
        <v>2500000</v>
      </c>
      <c r="O213" s="53"/>
      <c r="P213" s="54">
        <f t="shared" si="7"/>
        <v>2500000</v>
      </c>
      <c r="Q213" s="28"/>
    </row>
    <row r="214" spans="2:17" s="17" customFormat="1" ht="13.8">
      <c r="B214" s="51" t="s">
        <v>302</v>
      </c>
      <c r="C214" s="20" t="s">
        <v>0</v>
      </c>
      <c r="D214" s="51" t="s">
        <v>204</v>
      </c>
      <c r="E214" s="51" t="s">
        <v>205</v>
      </c>
      <c r="F214" s="20" t="s">
        <v>296</v>
      </c>
      <c r="G214" s="20" t="s">
        <v>52</v>
      </c>
      <c r="H214" s="51">
        <v>50</v>
      </c>
      <c r="I214" s="51">
        <v>70</v>
      </c>
      <c r="J214" s="20" t="s">
        <v>207</v>
      </c>
      <c r="K214" s="20" t="s">
        <v>44</v>
      </c>
      <c r="L214" s="52">
        <v>2500000</v>
      </c>
      <c r="M214" s="52"/>
      <c r="N214" s="52">
        <f t="shared" si="6"/>
        <v>2500000</v>
      </c>
      <c r="O214" s="53"/>
      <c r="P214" s="54">
        <f t="shared" si="7"/>
        <v>2500000</v>
      </c>
      <c r="Q214" s="29"/>
    </row>
    <row r="215" spans="2:17" s="17" customFormat="1" ht="13.8">
      <c r="B215" s="20" t="s">
        <v>303</v>
      </c>
      <c r="C215" s="20" t="s">
        <v>0</v>
      </c>
      <c r="D215" s="20" t="s">
        <v>204</v>
      </c>
      <c r="E215" s="20" t="s">
        <v>205</v>
      </c>
      <c r="F215" s="20" t="s">
        <v>296</v>
      </c>
      <c r="G215" s="20" t="s">
        <v>54</v>
      </c>
      <c r="H215" s="20">
        <v>50</v>
      </c>
      <c r="I215" s="20">
        <v>70</v>
      </c>
      <c r="J215" s="20" t="s">
        <v>207</v>
      </c>
      <c r="K215" s="20" t="s">
        <v>42</v>
      </c>
      <c r="L215" s="52">
        <v>2500000</v>
      </c>
      <c r="M215" s="52"/>
      <c r="N215" s="52">
        <f t="shared" si="6"/>
        <v>2500000</v>
      </c>
      <c r="O215" s="53"/>
      <c r="P215" s="54">
        <f t="shared" si="7"/>
        <v>2500000</v>
      </c>
      <c r="Q215" s="28"/>
    </row>
    <row r="216" spans="2:17" s="17" customFormat="1" ht="13.8">
      <c r="B216" s="51" t="s">
        <v>304</v>
      </c>
      <c r="C216" s="20" t="s">
        <v>0</v>
      </c>
      <c r="D216" s="51" t="s">
        <v>204</v>
      </c>
      <c r="E216" s="51" t="s">
        <v>205</v>
      </c>
      <c r="F216" s="20" t="s">
        <v>296</v>
      </c>
      <c r="G216" s="20" t="s">
        <v>82</v>
      </c>
      <c r="H216" s="51">
        <v>50</v>
      </c>
      <c r="I216" s="51">
        <v>70</v>
      </c>
      <c r="J216" s="20" t="s">
        <v>207</v>
      </c>
      <c r="K216" s="20" t="s">
        <v>44</v>
      </c>
      <c r="L216" s="52">
        <v>2500000</v>
      </c>
      <c r="M216" s="52"/>
      <c r="N216" s="52">
        <f t="shared" si="6"/>
        <v>2500000</v>
      </c>
      <c r="O216" s="53"/>
      <c r="P216" s="54">
        <f t="shared" si="7"/>
        <v>2500000</v>
      </c>
      <c r="Q216" s="29"/>
    </row>
    <row r="217" spans="2:17" s="17" customFormat="1" ht="13.8">
      <c r="B217" s="20" t="s">
        <v>305</v>
      </c>
      <c r="C217" s="20" t="s">
        <v>0</v>
      </c>
      <c r="D217" s="20" t="s">
        <v>204</v>
      </c>
      <c r="E217" s="20" t="s">
        <v>243</v>
      </c>
      <c r="F217" s="20" t="s">
        <v>306</v>
      </c>
      <c r="G217" s="20" t="s">
        <v>24</v>
      </c>
      <c r="H217" s="20">
        <v>50</v>
      </c>
      <c r="I217" s="20">
        <v>70</v>
      </c>
      <c r="J217" s="20" t="s">
        <v>207</v>
      </c>
      <c r="K217" s="20" t="s">
        <v>42</v>
      </c>
      <c r="L217" s="52">
        <v>2500000</v>
      </c>
      <c r="M217" s="52"/>
      <c r="N217" s="52">
        <f t="shared" si="6"/>
        <v>2500000</v>
      </c>
      <c r="O217" s="53"/>
      <c r="P217" s="54">
        <f t="shared" si="7"/>
        <v>2500000</v>
      </c>
      <c r="Q217" s="28"/>
    </row>
    <row r="218" spans="2:17" s="17" customFormat="1" ht="13.8">
      <c r="B218" s="51" t="s">
        <v>307</v>
      </c>
      <c r="C218" s="20" t="s">
        <v>0</v>
      </c>
      <c r="D218" s="51" t="s">
        <v>204</v>
      </c>
      <c r="E218" s="51" t="s">
        <v>243</v>
      </c>
      <c r="F218" s="20" t="s">
        <v>306</v>
      </c>
      <c r="G218" s="20" t="s">
        <v>28</v>
      </c>
      <c r="H218" s="51">
        <v>50</v>
      </c>
      <c r="I218" s="51">
        <v>70</v>
      </c>
      <c r="J218" s="20" t="s">
        <v>207</v>
      </c>
      <c r="K218" s="20" t="s">
        <v>44</v>
      </c>
      <c r="L218" s="52">
        <v>2500000</v>
      </c>
      <c r="M218" s="52"/>
      <c r="N218" s="52">
        <f t="shared" si="6"/>
        <v>2500000</v>
      </c>
      <c r="O218" s="53"/>
      <c r="P218" s="54">
        <f t="shared" si="7"/>
        <v>2500000</v>
      </c>
      <c r="Q218" s="29"/>
    </row>
    <row r="219" spans="2:17" s="17" customFormat="1" ht="13.8">
      <c r="B219" s="20" t="s">
        <v>308</v>
      </c>
      <c r="C219" s="20" t="s">
        <v>0</v>
      </c>
      <c r="D219" s="20" t="s">
        <v>204</v>
      </c>
      <c r="E219" s="20" t="s">
        <v>205</v>
      </c>
      <c r="F219" s="20" t="s">
        <v>306</v>
      </c>
      <c r="G219" s="20" t="s">
        <v>31</v>
      </c>
      <c r="H219" s="20">
        <v>50</v>
      </c>
      <c r="I219" s="20">
        <v>70</v>
      </c>
      <c r="J219" s="20" t="s">
        <v>207</v>
      </c>
      <c r="K219" s="20" t="s">
        <v>44</v>
      </c>
      <c r="L219" s="52">
        <v>2500000</v>
      </c>
      <c r="M219" s="52"/>
      <c r="N219" s="52">
        <f t="shared" si="6"/>
        <v>2500000</v>
      </c>
      <c r="O219" s="53"/>
      <c r="P219" s="54">
        <f t="shared" si="7"/>
        <v>2500000</v>
      </c>
      <c r="Q219" s="28"/>
    </row>
    <row r="220" spans="2:17" s="17" customFormat="1" ht="13.8">
      <c r="B220" s="51" t="s">
        <v>309</v>
      </c>
      <c r="C220" s="20" t="s">
        <v>0</v>
      </c>
      <c r="D220" s="51" t="s">
        <v>204</v>
      </c>
      <c r="E220" s="51" t="s">
        <v>205</v>
      </c>
      <c r="F220" s="20" t="s">
        <v>306</v>
      </c>
      <c r="G220" s="20" t="s">
        <v>34</v>
      </c>
      <c r="H220" s="51">
        <v>50</v>
      </c>
      <c r="I220" s="51">
        <v>70</v>
      </c>
      <c r="J220" s="20" t="s">
        <v>207</v>
      </c>
      <c r="K220" s="20" t="s">
        <v>42</v>
      </c>
      <c r="L220" s="52">
        <v>2500000</v>
      </c>
      <c r="M220" s="52"/>
      <c r="N220" s="52">
        <f t="shared" si="6"/>
        <v>2500000</v>
      </c>
      <c r="O220" s="53"/>
      <c r="P220" s="54">
        <f t="shared" si="7"/>
        <v>2500000</v>
      </c>
      <c r="Q220" s="29"/>
    </row>
    <row r="221" spans="2:17" s="17" customFormat="1" ht="13.8">
      <c r="B221" s="20" t="s">
        <v>310</v>
      </c>
      <c r="C221" s="20" t="s">
        <v>0</v>
      </c>
      <c r="D221" s="20" t="s">
        <v>204</v>
      </c>
      <c r="E221" s="20" t="s">
        <v>205</v>
      </c>
      <c r="F221" s="20" t="s">
        <v>306</v>
      </c>
      <c r="G221" s="20" t="s">
        <v>37</v>
      </c>
      <c r="H221" s="20">
        <v>50</v>
      </c>
      <c r="I221" s="20">
        <v>70</v>
      </c>
      <c r="J221" s="20" t="s">
        <v>207</v>
      </c>
      <c r="K221" s="20" t="s">
        <v>50</v>
      </c>
      <c r="L221" s="52">
        <v>2500000</v>
      </c>
      <c r="M221" s="52"/>
      <c r="N221" s="52">
        <f t="shared" si="6"/>
        <v>2500000</v>
      </c>
      <c r="O221" s="53"/>
      <c r="P221" s="54">
        <f t="shared" si="7"/>
        <v>2500000</v>
      </c>
      <c r="Q221" s="28"/>
    </row>
    <row r="222" spans="2:17" s="17" customFormat="1" ht="13.8">
      <c r="B222" s="51" t="s">
        <v>311</v>
      </c>
      <c r="C222" s="20" t="s">
        <v>0</v>
      </c>
      <c r="D222" s="51" t="s">
        <v>204</v>
      </c>
      <c r="E222" s="51" t="s">
        <v>205</v>
      </c>
      <c r="F222" s="20" t="s">
        <v>306</v>
      </c>
      <c r="G222" s="20" t="s">
        <v>39</v>
      </c>
      <c r="H222" s="51">
        <v>50</v>
      </c>
      <c r="I222" s="51">
        <v>70</v>
      </c>
      <c r="J222" s="20" t="s">
        <v>207</v>
      </c>
      <c r="K222" s="20" t="s">
        <v>48</v>
      </c>
      <c r="L222" s="52">
        <v>2500000</v>
      </c>
      <c r="M222" s="52"/>
      <c r="N222" s="52">
        <f t="shared" si="6"/>
        <v>2500000</v>
      </c>
      <c r="O222" s="53"/>
      <c r="P222" s="54">
        <f t="shared" si="7"/>
        <v>2500000</v>
      </c>
      <c r="Q222" s="29"/>
    </row>
    <row r="223" spans="2:17" s="17" customFormat="1" ht="13.8">
      <c r="B223" s="20" t="s">
        <v>312</v>
      </c>
      <c r="C223" s="20" t="s">
        <v>0</v>
      </c>
      <c r="D223" s="20" t="s">
        <v>313</v>
      </c>
      <c r="E223" s="20" t="s">
        <v>205</v>
      </c>
      <c r="F223" s="20" t="s">
        <v>306</v>
      </c>
      <c r="G223" s="20" t="s">
        <v>52</v>
      </c>
      <c r="H223" s="20">
        <v>50</v>
      </c>
      <c r="I223" s="20">
        <v>70</v>
      </c>
      <c r="J223" s="20" t="s">
        <v>207</v>
      </c>
      <c r="K223" s="20" t="s">
        <v>48</v>
      </c>
      <c r="L223" s="52">
        <v>2500000</v>
      </c>
      <c r="M223" s="52"/>
      <c r="N223" s="52">
        <f t="shared" si="6"/>
        <v>2500000</v>
      </c>
      <c r="O223" s="53"/>
      <c r="P223" s="54">
        <f t="shared" si="7"/>
        <v>2500000</v>
      </c>
      <c r="Q223" s="28"/>
    </row>
    <row r="224" spans="2:17" s="17" customFormat="1" ht="13.8">
      <c r="B224" s="51" t="s">
        <v>314</v>
      </c>
      <c r="C224" s="20" t="s">
        <v>0</v>
      </c>
      <c r="D224" s="51" t="s">
        <v>315</v>
      </c>
      <c r="E224" s="51" t="s">
        <v>22</v>
      </c>
      <c r="F224" s="20" t="s">
        <v>306</v>
      </c>
      <c r="G224" s="20" t="s">
        <v>54</v>
      </c>
      <c r="H224" s="51">
        <v>50</v>
      </c>
      <c r="I224" s="51">
        <v>110</v>
      </c>
      <c r="J224" s="20" t="s">
        <v>207</v>
      </c>
      <c r="K224" s="20" t="s">
        <v>50</v>
      </c>
      <c r="L224" s="52">
        <v>3820000</v>
      </c>
      <c r="M224" s="52">
        <v>220000</v>
      </c>
      <c r="N224" s="52">
        <f t="shared" si="6"/>
        <v>3600000</v>
      </c>
      <c r="O224" s="53"/>
      <c r="P224" s="54">
        <f t="shared" si="7"/>
        <v>3600000</v>
      </c>
      <c r="Q224" s="29"/>
    </row>
    <row r="225" spans="2:17" s="17" customFormat="1" ht="13.8">
      <c r="B225" s="20" t="s">
        <v>316</v>
      </c>
      <c r="C225" s="20" t="s">
        <v>0</v>
      </c>
      <c r="D225" s="20" t="s">
        <v>315</v>
      </c>
      <c r="E225" s="20" t="s">
        <v>22</v>
      </c>
      <c r="F225" s="20" t="s">
        <v>306</v>
      </c>
      <c r="G225" s="20" t="s">
        <v>82</v>
      </c>
      <c r="H225" s="20">
        <v>50</v>
      </c>
      <c r="I225" s="20">
        <v>110</v>
      </c>
      <c r="J225" s="20" t="s">
        <v>207</v>
      </c>
      <c r="K225" s="20" t="s">
        <v>26</v>
      </c>
      <c r="L225" s="52">
        <v>3820000</v>
      </c>
      <c r="M225" s="52">
        <v>220000</v>
      </c>
      <c r="N225" s="52">
        <f t="shared" si="6"/>
        <v>3600000</v>
      </c>
      <c r="O225" s="53"/>
      <c r="P225" s="54">
        <f t="shared" si="7"/>
        <v>3600000</v>
      </c>
      <c r="Q225" s="28"/>
    </row>
    <row r="226" spans="2:17" s="17" customFormat="1" ht="13.8">
      <c r="B226" s="51" t="s">
        <v>317</v>
      </c>
      <c r="C226" s="20" t="s">
        <v>0</v>
      </c>
      <c r="D226" s="51" t="s">
        <v>313</v>
      </c>
      <c r="E226" s="51" t="s">
        <v>205</v>
      </c>
      <c r="F226" s="20" t="s">
        <v>306</v>
      </c>
      <c r="G226" s="20" t="s">
        <v>84</v>
      </c>
      <c r="H226" s="51">
        <v>50</v>
      </c>
      <c r="I226" s="51">
        <v>70</v>
      </c>
      <c r="J226" s="20" t="s">
        <v>207</v>
      </c>
      <c r="K226" s="20" t="s">
        <v>29</v>
      </c>
      <c r="L226" s="52">
        <v>2500000</v>
      </c>
      <c r="M226" s="52"/>
      <c r="N226" s="52">
        <f t="shared" si="6"/>
        <v>2500000</v>
      </c>
      <c r="O226" s="53"/>
      <c r="P226" s="54">
        <f t="shared" si="7"/>
        <v>2500000</v>
      </c>
      <c r="Q226" s="29"/>
    </row>
    <row r="227" spans="2:17" s="17" customFormat="1" ht="13.8">
      <c r="B227" s="20" t="s">
        <v>318</v>
      </c>
      <c r="C227" s="20" t="s">
        <v>0</v>
      </c>
      <c r="D227" s="20" t="s">
        <v>204</v>
      </c>
      <c r="E227" s="20" t="s">
        <v>205</v>
      </c>
      <c r="F227" s="20" t="s">
        <v>306</v>
      </c>
      <c r="G227" s="20" t="s">
        <v>86</v>
      </c>
      <c r="H227" s="20">
        <v>50</v>
      </c>
      <c r="I227" s="20">
        <v>70</v>
      </c>
      <c r="J227" s="20" t="s">
        <v>207</v>
      </c>
      <c r="K227" s="20" t="s">
        <v>29</v>
      </c>
      <c r="L227" s="52">
        <v>2500000</v>
      </c>
      <c r="M227" s="52"/>
      <c r="N227" s="52">
        <f t="shared" si="6"/>
        <v>2500000</v>
      </c>
      <c r="O227" s="53"/>
      <c r="P227" s="54">
        <f t="shared" si="7"/>
        <v>2500000</v>
      </c>
      <c r="Q227" s="28"/>
    </row>
    <row r="228" spans="2:17" s="17" customFormat="1" ht="13.8">
      <c r="B228" s="51" t="s">
        <v>319</v>
      </c>
      <c r="C228" s="20" t="s">
        <v>0</v>
      </c>
      <c r="D228" s="51" t="s">
        <v>204</v>
      </c>
      <c r="E228" s="51" t="s">
        <v>243</v>
      </c>
      <c r="F228" s="20" t="s">
        <v>306</v>
      </c>
      <c r="G228" s="20" t="s">
        <v>88</v>
      </c>
      <c r="H228" s="51">
        <v>50</v>
      </c>
      <c r="I228" s="51">
        <v>70</v>
      </c>
      <c r="J228" s="20" t="s">
        <v>207</v>
      </c>
      <c r="K228" s="20" t="s">
        <v>26</v>
      </c>
      <c r="L228" s="52">
        <v>2500000</v>
      </c>
      <c r="M228" s="52"/>
      <c r="N228" s="52">
        <f t="shared" si="6"/>
        <v>2500000</v>
      </c>
      <c r="O228" s="53"/>
      <c r="P228" s="54">
        <f t="shared" si="7"/>
        <v>2500000</v>
      </c>
      <c r="Q228" s="29"/>
    </row>
    <row r="229" spans="2:17" s="17" customFormat="1" ht="13.8">
      <c r="B229" s="20" t="s">
        <v>320</v>
      </c>
      <c r="C229" s="20" t="s">
        <v>0</v>
      </c>
      <c r="D229" s="20" t="s">
        <v>204</v>
      </c>
      <c r="E229" s="20" t="s">
        <v>233</v>
      </c>
      <c r="F229" s="20" t="s">
        <v>306</v>
      </c>
      <c r="G229" s="20" t="s">
        <v>90</v>
      </c>
      <c r="H229" s="20">
        <v>50</v>
      </c>
      <c r="I229" s="20">
        <v>70</v>
      </c>
      <c r="J229" s="20" t="s">
        <v>207</v>
      </c>
      <c r="K229" s="20" t="s">
        <v>35</v>
      </c>
      <c r="L229" s="52">
        <v>2500000</v>
      </c>
      <c r="M229" s="52"/>
      <c r="N229" s="52">
        <f t="shared" si="6"/>
        <v>2500000</v>
      </c>
      <c r="O229" s="53"/>
      <c r="P229" s="54">
        <f t="shared" si="7"/>
        <v>2500000</v>
      </c>
      <c r="Q229" s="28"/>
    </row>
    <row r="230" spans="2:17" s="17" customFormat="1" ht="13.8">
      <c r="B230" s="51" t="s">
        <v>321</v>
      </c>
      <c r="C230" s="20" t="s">
        <v>0</v>
      </c>
      <c r="D230" s="51" t="s">
        <v>204</v>
      </c>
      <c r="E230" s="51" t="s">
        <v>233</v>
      </c>
      <c r="F230" s="20" t="s">
        <v>306</v>
      </c>
      <c r="G230" s="20" t="s">
        <v>92</v>
      </c>
      <c r="H230" s="51">
        <v>50</v>
      </c>
      <c r="I230" s="51">
        <v>70</v>
      </c>
      <c r="J230" s="20" t="s">
        <v>207</v>
      </c>
      <c r="K230" s="20" t="s">
        <v>32</v>
      </c>
      <c r="L230" s="52">
        <v>2500000</v>
      </c>
      <c r="M230" s="52"/>
      <c r="N230" s="52">
        <f t="shared" si="6"/>
        <v>2500000</v>
      </c>
      <c r="O230" s="53"/>
      <c r="P230" s="54">
        <f t="shared" si="7"/>
        <v>2500000</v>
      </c>
      <c r="Q230" s="29"/>
    </row>
    <row r="231" spans="2:17" s="17" customFormat="1" ht="13.8">
      <c r="B231" s="20" t="s">
        <v>322</v>
      </c>
      <c r="C231" s="20" t="s">
        <v>0</v>
      </c>
      <c r="D231" s="20" t="s">
        <v>204</v>
      </c>
      <c r="E231" s="20" t="s">
        <v>243</v>
      </c>
      <c r="F231" s="20" t="s">
        <v>306</v>
      </c>
      <c r="G231" s="20" t="s">
        <v>123</v>
      </c>
      <c r="H231" s="20">
        <v>50</v>
      </c>
      <c r="I231" s="20">
        <v>70</v>
      </c>
      <c r="J231" s="20" t="s">
        <v>207</v>
      </c>
      <c r="K231" s="20" t="s">
        <v>32</v>
      </c>
      <c r="L231" s="52">
        <v>2500000</v>
      </c>
      <c r="M231" s="52"/>
      <c r="N231" s="52">
        <f t="shared" si="6"/>
        <v>2500000</v>
      </c>
      <c r="O231" s="53"/>
      <c r="P231" s="54">
        <f t="shared" si="7"/>
        <v>2500000</v>
      </c>
      <c r="Q231" s="28"/>
    </row>
    <row r="232" spans="2:17" s="17" customFormat="1" ht="13.8">
      <c r="B232" s="51" t="s">
        <v>323</v>
      </c>
      <c r="C232" s="20" t="s">
        <v>0</v>
      </c>
      <c r="D232" s="51" t="s">
        <v>204</v>
      </c>
      <c r="E232" s="51" t="s">
        <v>205</v>
      </c>
      <c r="F232" s="20" t="s">
        <v>306</v>
      </c>
      <c r="G232" s="20" t="s">
        <v>125</v>
      </c>
      <c r="H232" s="51">
        <v>50</v>
      </c>
      <c r="I232" s="51">
        <v>70</v>
      </c>
      <c r="J232" s="20" t="s">
        <v>207</v>
      </c>
      <c r="K232" s="20" t="s">
        <v>35</v>
      </c>
      <c r="L232" s="52">
        <v>2500000</v>
      </c>
      <c r="M232" s="52"/>
      <c r="N232" s="52">
        <f t="shared" si="6"/>
        <v>2500000</v>
      </c>
      <c r="O232" s="53"/>
      <c r="P232" s="54">
        <f t="shared" si="7"/>
        <v>2500000</v>
      </c>
      <c r="Q232" s="29"/>
    </row>
    <row r="233" spans="2:17" s="17" customFormat="1" ht="13.8">
      <c r="B233" s="20" t="s">
        <v>324</v>
      </c>
      <c r="C233" s="20" t="s">
        <v>0</v>
      </c>
      <c r="D233" s="20" t="s">
        <v>313</v>
      </c>
      <c r="E233" s="20" t="s">
        <v>205</v>
      </c>
      <c r="F233" s="20" t="s">
        <v>325</v>
      </c>
      <c r="G233" s="20" t="s">
        <v>24</v>
      </c>
      <c r="H233" s="20">
        <v>50</v>
      </c>
      <c r="I233" s="20">
        <v>70</v>
      </c>
      <c r="J233" s="20" t="s">
        <v>207</v>
      </c>
      <c r="K233" s="20" t="s">
        <v>50</v>
      </c>
      <c r="L233" s="52">
        <v>2500000</v>
      </c>
      <c r="M233" s="52"/>
      <c r="N233" s="52">
        <f t="shared" si="6"/>
        <v>2500000</v>
      </c>
      <c r="O233" s="53"/>
      <c r="P233" s="54">
        <f t="shared" si="7"/>
        <v>2500000</v>
      </c>
      <c r="Q233" s="28"/>
    </row>
    <row r="234" spans="2:17" s="17" customFormat="1" ht="13.8">
      <c r="B234" s="51" t="s">
        <v>326</v>
      </c>
      <c r="C234" s="20" t="s">
        <v>0</v>
      </c>
      <c r="D234" s="51" t="s">
        <v>313</v>
      </c>
      <c r="E234" s="51" t="s">
        <v>243</v>
      </c>
      <c r="F234" s="20" t="s">
        <v>325</v>
      </c>
      <c r="G234" s="20" t="s">
        <v>28</v>
      </c>
      <c r="H234" s="51">
        <v>50</v>
      </c>
      <c r="I234" s="51">
        <v>70</v>
      </c>
      <c r="J234" s="20" t="s">
        <v>207</v>
      </c>
      <c r="K234" s="20" t="s">
        <v>48</v>
      </c>
      <c r="L234" s="52">
        <v>2500000</v>
      </c>
      <c r="M234" s="52"/>
      <c r="N234" s="52">
        <f t="shared" si="6"/>
        <v>2500000</v>
      </c>
      <c r="O234" s="53"/>
      <c r="P234" s="54">
        <f t="shared" si="7"/>
        <v>2500000</v>
      </c>
      <c r="Q234" s="29"/>
    </row>
    <row r="235" spans="2:17" s="17" customFormat="1" ht="13.8">
      <c r="B235" s="20" t="s">
        <v>327</v>
      </c>
      <c r="C235" s="20" t="s">
        <v>0</v>
      </c>
      <c r="D235" s="20" t="s">
        <v>313</v>
      </c>
      <c r="E235" s="20" t="s">
        <v>205</v>
      </c>
      <c r="F235" s="20" t="s">
        <v>325</v>
      </c>
      <c r="G235" s="20" t="s">
        <v>31</v>
      </c>
      <c r="H235" s="20">
        <v>50</v>
      </c>
      <c r="I235" s="20">
        <v>70</v>
      </c>
      <c r="J235" s="20" t="s">
        <v>207</v>
      </c>
      <c r="K235" s="20" t="s">
        <v>48</v>
      </c>
      <c r="L235" s="52">
        <v>2500000</v>
      </c>
      <c r="M235" s="52"/>
      <c r="N235" s="52">
        <f t="shared" si="6"/>
        <v>2500000</v>
      </c>
      <c r="O235" s="53"/>
      <c r="P235" s="54">
        <f t="shared" si="7"/>
        <v>2500000</v>
      </c>
      <c r="Q235" s="28"/>
    </row>
    <row r="236" spans="2:17" s="17" customFormat="1" ht="13.8">
      <c r="B236" s="51" t="s">
        <v>328</v>
      </c>
      <c r="C236" s="20" t="s">
        <v>0</v>
      </c>
      <c r="D236" s="51" t="s">
        <v>313</v>
      </c>
      <c r="E236" s="51" t="s">
        <v>205</v>
      </c>
      <c r="F236" s="20" t="s">
        <v>325</v>
      </c>
      <c r="G236" s="20" t="s">
        <v>34</v>
      </c>
      <c r="H236" s="51">
        <v>50</v>
      </c>
      <c r="I236" s="51">
        <v>70</v>
      </c>
      <c r="J236" s="20" t="s">
        <v>207</v>
      </c>
      <c r="K236" s="20" t="s">
        <v>50</v>
      </c>
      <c r="L236" s="52">
        <v>2500000</v>
      </c>
      <c r="M236" s="52"/>
      <c r="N236" s="52">
        <f t="shared" si="6"/>
        <v>2500000</v>
      </c>
      <c r="O236" s="53"/>
      <c r="P236" s="54">
        <f t="shared" si="7"/>
        <v>2500000</v>
      </c>
      <c r="Q236" s="29"/>
    </row>
    <row r="237" spans="2:17" s="17" customFormat="1" ht="13.8">
      <c r="B237" s="20" t="s">
        <v>329</v>
      </c>
      <c r="C237" s="20" t="s">
        <v>0</v>
      </c>
      <c r="D237" s="20" t="s">
        <v>313</v>
      </c>
      <c r="E237" s="20" t="s">
        <v>243</v>
      </c>
      <c r="F237" s="20" t="s">
        <v>325</v>
      </c>
      <c r="G237" s="20" t="s">
        <v>37</v>
      </c>
      <c r="H237" s="20">
        <v>50</v>
      </c>
      <c r="I237" s="20">
        <v>70</v>
      </c>
      <c r="J237" s="20" t="s">
        <v>207</v>
      </c>
      <c r="K237" s="20" t="s">
        <v>42</v>
      </c>
      <c r="L237" s="52">
        <v>2500000</v>
      </c>
      <c r="M237" s="52"/>
      <c r="N237" s="52">
        <f t="shared" si="6"/>
        <v>2500000</v>
      </c>
      <c r="O237" s="53"/>
      <c r="P237" s="54">
        <f t="shared" si="7"/>
        <v>2500000</v>
      </c>
      <c r="Q237" s="28"/>
    </row>
    <row r="238" spans="2:17" s="17" customFormat="1" ht="13.8">
      <c r="B238" s="51" t="s">
        <v>330</v>
      </c>
      <c r="C238" s="20" t="s">
        <v>0</v>
      </c>
      <c r="D238" s="51" t="s">
        <v>313</v>
      </c>
      <c r="E238" s="51" t="s">
        <v>205</v>
      </c>
      <c r="F238" s="20" t="s">
        <v>325</v>
      </c>
      <c r="G238" s="20" t="s">
        <v>39</v>
      </c>
      <c r="H238" s="51">
        <v>50</v>
      </c>
      <c r="I238" s="51">
        <v>70</v>
      </c>
      <c r="J238" s="20" t="s">
        <v>207</v>
      </c>
      <c r="K238" s="20" t="s">
        <v>44</v>
      </c>
      <c r="L238" s="52">
        <v>2500000</v>
      </c>
      <c r="M238" s="52"/>
      <c r="N238" s="52">
        <f t="shared" si="6"/>
        <v>2500000</v>
      </c>
      <c r="O238" s="53"/>
      <c r="P238" s="54">
        <f t="shared" si="7"/>
        <v>2500000</v>
      </c>
      <c r="Q238" s="29"/>
    </row>
    <row r="239" spans="2:17" s="17" customFormat="1" ht="13.8">
      <c r="B239" s="20" t="s">
        <v>331</v>
      </c>
      <c r="C239" s="20" t="s">
        <v>0</v>
      </c>
      <c r="D239" s="20" t="s">
        <v>313</v>
      </c>
      <c r="E239" s="20" t="s">
        <v>205</v>
      </c>
      <c r="F239" s="20" t="s">
        <v>325</v>
      </c>
      <c r="G239" s="20" t="s">
        <v>52</v>
      </c>
      <c r="H239" s="20">
        <v>50</v>
      </c>
      <c r="I239" s="20">
        <v>70</v>
      </c>
      <c r="J239" s="20" t="s">
        <v>207</v>
      </c>
      <c r="K239" s="20" t="s">
        <v>44</v>
      </c>
      <c r="L239" s="52">
        <v>2500000</v>
      </c>
      <c r="M239" s="52"/>
      <c r="N239" s="52">
        <f t="shared" si="6"/>
        <v>2500000</v>
      </c>
      <c r="O239" s="53"/>
      <c r="P239" s="54">
        <f t="shared" si="7"/>
        <v>2500000</v>
      </c>
      <c r="Q239" s="28"/>
    </row>
    <row r="240" spans="2:17" s="17" customFormat="1" ht="13.8">
      <c r="B240" s="51" t="s">
        <v>332</v>
      </c>
      <c r="C240" s="20" t="s">
        <v>0</v>
      </c>
      <c r="D240" s="51" t="s">
        <v>315</v>
      </c>
      <c r="E240" s="51" t="s">
        <v>22</v>
      </c>
      <c r="F240" s="20" t="s">
        <v>325</v>
      </c>
      <c r="G240" s="20" t="s">
        <v>54</v>
      </c>
      <c r="H240" s="51">
        <v>50</v>
      </c>
      <c r="I240" s="51">
        <v>110</v>
      </c>
      <c r="J240" s="20" t="s">
        <v>207</v>
      </c>
      <c r="K240" s="20" t="s">
        <v>42</v>
      </c>
      <c r="L240" s="52">
        <v>3820000</v>
      </c>
      <c r="M240" s="52">
        <v>220000</v>
      </c>
      <c r="N240" s="52">
        <f t="shared" si="6"/>
        <v>3600000</v>
      </c>
      <c r="O240" s="53"/>
      <c r="P240" s="54">
        <f t="shared" si="7"/>
        <v>3600000</v>
      </c>
      <c r="Q240" s="29"/>
    </row>
    <row r="241" spans="2:17" s="17" customFormat="1" ht="13.8">
      <c r="B241" s="20" t="s">
        <v>333</v>
      </c>
      <c r="C241" s="20" t="s">
        <v>0</v>
      </c>
      <c r="D241" s="20" t="s">
        <v>315</v>
      </c>
      <c r="E241" s="20" t="s">
        <v>22</v>
      </c>
      <c r="F241" s="20" t="s">
        <v>325</v>
      </c>
      <c r="G241" s="20" t="s">
        <v>82</v>
      </c>
      <c r="H241" s="20">
        <v>50</v>
      </c>
      <c r="I241" s="20">
        <v>110</v>
      </c>
      <c r="J241" s="20" t="s">
        <v>207</v>
      </c>
      <c r="K241" s="20" t="s">
        <v>35</v>
      </c>
      <c r="L241" s="52">
        <v>3820000</v>
      </c>
      <c r="M241" s="52">
        <v>220000</v>
      </c>
      <c r="N241" s="52">
        <f t="shared" si="6"/>
        <v>3600000</v>
      </c>
      <c r="O241" s="53"/>
      <c r="P241" s="54">
        <f t="shared" si="7"/>
        <v>3600000</v>
      </c>
      <c r="Q241" s="28"/>
    </row>
    <row r="242" spans="2:17" s="17" customFormat="1" ht="13.8">
      <c r="B242" s="51" t="s">
        <v>334</v>
      </c>
      <c r="C242" s="20" t="s">
        <v>0</v>
      </c>
      <c r="D242" s="51" t="s">
        <v>313</v>
      </c>
      <c r="E242" s="51" t="s">
        <v>205</v>
      </c>
      <c r="F242" s="20" t="s">
        <v>325</v>
      </c>
      <c r="G242" s="20" t="s">
        <v>84</v>
      </c>
      <c r="H242" s="51">
        <v>50</v>
      </c>
      <c r="I242" s="51">
        <v>70</v>
      </c>
      <c r="J242" s="20" t="s">
        <v>207</v>
      </c>
      <c r="K242" s="20" t="s">
        <v>32</v>
      </c>
      <c r="L242" s="52">
        <v>2500000</v>
      </c>
      <c r="M242" s="52"/>
      <c r="N242" s="52">
        <f t="shared" si="6"/>
        <v>2500000</v>
      </c>
      <c r="O242" s="53"/>
      <c r="P242" s="54">
        <f t="shared" si="7"/>
        <v>2500000</v>
      </c>
      <c r="Q242" s="29"/>
    </row>
    <row r="243" spans="2:17" s="17" customFormat="1" ht="13.8">
      <c r="B243" s="20" t="s">
        <v>335</v>
      </c>
      <c r="C243" s="20" t="s">
        <v>0</v>
      </c>
      <c r="D243" s="20" t="s">
        <v>313</v>
      </c>
      <c r="E243" s="20" t="s">
        <v>205</v>
      </c>
      <c r="F243" s="20" t="s">
        <v>325</v>
      </c>
      <c r="G243" s="20" t="s">
        <v>86</v>
      </c>
      <c r="H243" s="20">
        <v>50</v>
      </c>
      <c r="I243" s="20">
        <v>70</v>
      </c>
      <c r="J243" s="20" t="s">
        <v>207</v>
      </c>
      <c r="K243" s="20" t="s">
        <v>32</v>
      </c>
      <c r="L243" s="52">
        <v>2500000</v>
      </c>
      <c r="M243" s="52"/>
      <c r="N243" s="52">
        <f t="shared" si="6"/>
        <v>2500000</v>
      </c>
      <c r="O243" s="53"/>
      <c r="P243" s="54">
        <f t="shared" si="7"/>
        <v>2500000</v>
      </c>
      <c r="Q243" s="28"/>
    </row>
    <row r="244" spans="2:17" s="17" customFormat="1" ht="13.8">
      <c r="B244" s="51" t="s">
        <v>336</v>
      </c>
      <c r="C244" s="20" t="s">
        <v>0</v>
      </c>
      <c r="D244" s="51" t="s">
        <v>313</v>
      </c>
      <c r="E244" s="51" t="s">
        <v>233</v>
      </c>
      <c r="F244" s="20" t="s">
        <v>325</v>
      </c>
      <c r="G244" s="20" t="s">
        <v>88</v>
      </c>
      <c r="H244" s="51">
        <v>50</v>
      </c>
      <c r="I244" s="51">
        <v>70</v>
      </c>
      <c r="J244" s="20" t="s">
        <v>207</v>
      </c>
      <c r="K244" s="20" t="s">
        <v>35</v>
      </c>
      <c r="L244" s="52">
        <v>2500000</v>
      </c>
      <c r="M244" s="52"/>
      <c r="N244" s="52">
        <f t="shared" si="6"/>
        <v>2500000</v>
      </c>
      <c r="O244" s="53"/>
      <c r="P244" s="54">
        <f t="shared" si="7"/>
        <v>2500000</v>
      </c>
      <c r="Q244" s="29"/>
    </row>
    <row r="245" spans="2:17" s="17" customFormat="1" ht="13.8">
      <c r="B245" s="20" t="s">
        <v>337</v>
      </c>
      <c r="C245" s="20" t="s">
        <v>0</v>
      </c>
      <c r="D245" s="20" t="s">
        <v>313</v>
      </c>
      <c r="E245" s="20" t="s">
        <v>205</v>
      </c>
      <c r="F245" s="20" t="s">
        <v>325</v>
      </c>
      <c r="G245" s="20" t="s">
        <v>90</v>
      </c>
      <c r="H245" s="20">
        <v>50</v>
      </c>
      <c r="I245" s="20">
        <v>70</v>
      </c>
      <c r="J245" s="20" t="s">
        <v>207</v>
      </c>
      <c r="K245" s="20" t="s">
        <v>26</v>
      </c>
      <c r="L245" s="52">
        <v>2500000</v>
      </c>
      <c r="M245" s="52"/>
      <c r="N245" s="52">
        <f t="shared" si="6"/>
        <v>2500000</v>
      </c>
      <c r="O245" s="53"/>
      <c r="P245" s="54">
        <f t="shared" si="7"/>
        <v>2500000</v>
      </c>
      <c r="Q245" s="28"/>
    </row>
    <row r="246" spans="2:17" s="17" customFormat="1" ht="13.8">
      <c r="B246" s="51" t="s">
        <v>338</v>
      </c>
      <c r="C246" s="20" t="s">
        <v>0</v>
      </c>
      <c r="D246" s="51" t="s">
        <v>313</v>
      </c>
      <c r="E246" s="51" t="s">
        <v>243</v>
      </c>
      <c r="F246" s="20" t="s">
        <v>325</v>
      </c>
      <c r="G246" s="20" t="s">
        <v>92</v>
      </c>
      <c r="H246" s="51">
        <v>50</v>
      </c>
      <c r="I246" s="51">
        <v>70</v>
      </c>
      <c r="J246" s="20" t="s">
        <v>207</v>
      </c>
      <c r="K246" s="20" t="s">
        <v>29</v>
      </c>
      <c r="L246" s="52">
        <v>2500000</v>
      </c>
      <c r="M246" s="52"/>
      <c r="N246" s="52">
        <f t="shared" si="6"/>
        <v>2500000</v>
      </c>
      <c r="O246" s="53"/>
      <c r="P246" s="54">
        <f t="shared" si="7"/>
        <v>2500000</v>
      </c>
      <c r="Q246" s="29"/>
    </row>
    <row r="247" spans="2:17" s="17" customFormat="1" ht="13.8">
      <c r="B247" s="20" t="s">
        <v>339</v>
      </c>
      <c r="C247" s="20" t="s">
        <v>0</v>
      </c>
      <c r="D247" s="20" t="s">
        <v>313</v>
      </c>
      <c r="E247" s="20" t="s">
        <v>243</v>
      </c>
      <c r="F247" s="20" t="s">
        <v>325</v>
      </c>
      <c r="G247" s="20" t="s">
        <v>123</v>
      </c>
      <c r="H247" s="20">
        <v>50</v>
      </c>
      <c r="I247" s="20">
        <v>70</v>
      </c>
      <c r="J247" s="20" t="s">
        <v>207</v>
      </c>
      <c r="K247" s="20" t="s">
        <v>29</v>
      </c>
      <c r="L247" s="52">
        <v>2500000</v>
      </c>
      <c r="M247" s="52"/>
      <c r="N247" s="52">
        <f t="shared" si="6"/>
        <v>2500000</v>
      </c>
      <c r="O247" s="53"/>
      <c r="P247" s="54">
        <f t="shared" si="7"/>
        <v>2500000</v>
      </c>
      <c r="Q247" s="28"/>
    </row>
    <row r="248" spans="2:17" s="17" customFormat="1" ht="13.8">
      <c r="B248" s="51" t="s">
        <v>340</v>
      </c>
      <c r="C248" s="20" t="s">
        <v>0</v>
      </c>
      <c r="D248" s="51" t="s">
        <v>313</v>
      </c>
      <c r="E248" s="51" t="s">
        <v>205</v>
      </c>
      <c r="F248" s="20" t="s">
        <v>325</v>
      </c>
      <c r="G248" s="20" t="s">
        <v>125</v>
      </c>
      <c r="H248" s="51">
        <v>50</v>
      </c>
      <c r="I248" s="51">
        <v>70</v>
      </c>
      <c r="J248" s="20" t="s">
        <v>207</v>
      </c>
      <c r="K248" s="20" t="s">
        <v>26</v>
      </c>
      <c r="L248" s="52">
        <v>2500000</v>
      </c>
      <c r="M248" s="52"/>
      <c r="N248" s="52">
        <f t="shared" si="6"/>
        <v>2500000</v>
      </c>
      <c r="O248" s="53"/>
      <c r="P248" s="54">
        <f t="shared" si="7"/>
        <v>2500000</v>
      </c>
      <c r="Q248" s="29"/>
    </row>
    <row r="249" spans="2:17" s="17" customFormat="1" ht="13.8">
      <c r="B249" s="20" t="s">
        <v>341</v>
      </c>
      <c r="C249" s="20" t="s">
        <v>0</v>
      </c>
      <c r="D249" s="20" t="s">
        <v>313</v>
      </c>
      <c r="E249" s="20" t="s">
        <v>205</v>
      </c>
      <c r="F249" s="20" t="s">
        <v>342</v>
      </c>
      <c r="G249" s="20" t="s">
        <v>24</v>
      </c>
      <c r="H249" s="20">
        <v>50</v>
      </c>
      <c r="I249" s="20">
        <v>70</v>
      </c>
      <c r="J249" s="20" t="s">
        <v>207</v>
      </c>
      <c r="K249" s="20" t="s">
        <v>42</v>
      </c>
      <c r="L249" s="52">
        <v>2500000</v>
      </c>
      <c r="M249" s="52"/>
      <c r="N249" s="52">
        <f t="shared" si="6"/>
        <v>2500000</v>
      </c>
      <c r="O249" s="53"/>
      <c r="P249" s="54">
        <f t="shared" si="7"/>
        <v>2500000</v>
      </c>
      <c r="Q249" s="28"/>
    </row>
    <row r="250" spans="2:17" s="17" customFormat="1" ht="13.8">
      <c r="B250" s="51" t="s">
        <v>343</v>
      </c>
      <c r="C250" s="20" t="s">
        <v>0</v>
      </c>
      <c r="D250" s="51" t="s">
        <v>313</v>
      </c>
      <c r="E250" s="51" t="s">
        <v>243</v>
      </c>
      <c r="F250" s="20" t="s">
        <v>342</v>
      </c>
      <c r="G250" s="20" t="s">
        <v>28</v>
      </c>
      <c r="H250" s="51">
        <v>50</v>
      </c>
      <c r="I250" s="51">
        <v>70</v>
      </c>
      <c r="J250" s="20" t="s">
        <v>207</v>
      </c>
      <c r="K250" s="20" t="s">
        <v>44</v>
      </c>
      <c r="L250" s="52">
        <v>2500000</v>
      </c>
      <c r="M250" s="52"/>
      <c r="N250" s="52">
        <f t="shared" si="6"/>
        <v>2500000</v>
      </c>
      <c r="O250" s="53"/>
      <c r="P250" s="54">
        <f t="shared" si="7"/>
        <v>2500000</v>
      </c>
      <c r="Q250" s="29"/>
    </row>
    <row r="251" spans="2:17" s="17" customFormat="1" ht="13.8">
      <c r="B251" s="20" t="s">
        <v>344</v>
      </c>
      <c r="C251" s="20" t="s">
        <v>0</v>
      </c>
      <c r="D251" s="20" t="s">
        <v>313</v>
      </c>
      <c r="E251" s="20" t="s">
        <v>243</v>
      </c>
      <c r="F251" s="20" t="s">
        <v>342</v>
      </c>
      <c r="G251" s="20" t="s">
        <v>31</v>
      </c>
      <c r="H251" s="20">
        <v>50</v>
      </c>
      <c r="I251" s="20">
        <v>70</v>
      </c>
      <c r="J251" s="20" t="s">
        <v>207</v>
      </c>
      <c r="K251" s="20" t="s">
        <v>44</v>
      </c>
      <c r="L251" s="52">
        <v>2500000</v>
      </c>
      <c r="M251" s="52"/>
      <c r="N251" s="52">
        <f t="shared" si="6"/>
        <v>2500000</v>
      </c>
      <c r="O251" s="53"/>
      <c r="P251" s="54">
        <f t="shared" si="7"/>
        <v>2500000</v>
      </c>
      <c r="Q251" s="28"/>
    </row>
    <row r="252" spans="2:17" s="17" customFormat="1" ht="13.8">
      <c r="B252" s="51" t="s">
        <v>345</v>
      </c>
      <c r="C252" s="20" t="s">
        <v>0</v>
      </c>
      <c r="D252" s="51" t="s">
        <v>313</v>
      </c>
      <c r="E252" s="51" t="s">
        <v>243</v>
      </c>
      <c r="F252" s="20" t="s">
        <v>342</v>
      </c>
      <c r="G252" s="20" t="s">
        <v>34</v>
      </c>
      <c r="H252" s="51">
        <v>50</v>
      </c>
      <c r="I252" s="51">
        <v>70</v>
      </c>
      <c r="J252" s="20" t="s">
        <v>207</v>
      </c>
      <c r="K252" s="20" t="s">
        <v>42</v>
      </c>
      <c r="L252" s="52">
        <v>2500000</v>
      </c>
      <c r="M252" s="52"/>
      <c r="N252" s="52">
        <f t="shared" si="6"/>
        <v>2500000</v>
      </c>
      <c r="O252" s="53"/>
      <c r="P252" s="54">
        <f t="shared" si="7"/>
        <v>2500000</v>
      </c>
      <c r="Q252" s="29"/>
    </row>
    <row r="253" spans="2:17" s="17" customFormat="1" ht="13.8">
      <c r="B253" s="20" t="s">
        <v>346</v>
      </c>
      <c r="C253" s="20" t="s">
        <v>0</v>
      </c>
      <c r="D253" s="20" t="s">
        <v>313</v>
      </c>
      <c r="E253" s="20" t="s">
        <v>205</v>
      </c>
      <c r="F253" s="20" t="s">
        <v>342</v>
      </c>
      <c r="G253" s="20" t="s">
        <v>37</v>
      </c>
      <c r="H253" s="20">
        <v>50</v>
      </c>
      <c r="I253" s="20">
        <v>70</v>
      </c>
      <c r="J253" s="20" t="s">
        <v>207</v>
      </c>
      <c r="K253" s="20" t="s">
        <v>50</v>
      </c>
      <c r="L253" s="52">
        <v>2500000</v>
      </c>
      <c r="M253" s="52"/>
      <c r="N253" s="52">
        <f t="shared" si="6"/>
        <v>2500000</v>
      </c>
      <c r="O253" s="53"/>
      <c r="P253" s="54">
        <f t="shared" si="7"/>
        <v>2500000</v>
      </c>
      <c r="Q253" s="28"/>
    </row>
    <row r="254" spans="2:17" s="17" customFormat="1" ht="13.8">
      <c r="B254" s="51" t="s">
        <v>347</v>
      </c>
      <c r="C254" s="20" t="s">
        <v>0</v>
      </c>
      <c r="D254" s="51" t="s">
        <v>313</v>
      </c>
      <c r="E254" s="51" t="s">
        <v>205</v>
      </c>
      <c r="F254" s="20" t="s">
        <v>342</v>
      </c>
      <c r="G254" s="20" t="s">
        <v>39</v>
      </c>
      <c r="H254" s="51">
        <v>50</v>
      </c>
      <c r="I254" s="51">
        <v>70</v>
      </c>
      <c r="J254" s="20" t="s">
        <v>207</v>
      </c>
      <c r="K254" s="20" t="s">
        <v>48</v>
      </c>
      <c r="L254" s="52">
        <v>2500000</v>
      </c>
      <c r="M254" s="52"/>
      <c r="N254" s="52">
        <f t="shared" si="6"/>
        <v>2500000</v>
      </c>
      <c r="O254" s="53"/>
      <c r="P254" s="54">
        <f t="shared" si="7"/>
        <v>2500000</v>
      </c>
      <c r="Q254" s="29"/>
    </row>
    <row r="255" spans="2:17" s="17" customFormat="1" ht="13.8">
      <c r="B255" s="20" t="s">
        <v>348</v>
      </c>
      <c r="C255" s="20" t="s">
        <v>0</v>
      </c>
      <c r="D255" s="20" t="s">
        <v>313</v>
      </c>
      <c r="E255" s="20" t="s">
        <v>243</v>
      </c>
      <c r="F255" s="20" t="s">
        <v>342</v>
      </c>
      <c r="G255" s="20" t="s">
        <v>52</v>
      </c>
      <c r="H255" s="20">
        <v>50</v>
      </c>
      <c r="I255" s="20">
        <v>70</v>
      </c>
      <c r="J255" s="20" t="s">
        <v>207</v>
      </c>
      <c r="K255" s="20" t="s">
        <v>48</v>
      </c>
      <c r="L255" s="52">
        <v>2500000</v>
      </c>
      <c r="M255" s="52"/>
      <c r="N255" s="52">
        <f t="shared" si="6"/>
        <v>2500000</v>
      </c>
      <c r="O255" s="53"/>
      <c r="P255" s="54">
        <f t="shared" si="7"/>
        <v>2500000</v>
      </c>
      <c r="Q255" s="28"/>
    </row>
    <row r="256" spans="2:17" s="17" customFormat="1" ht="13.8">
      <c r="B256" s="51" t="s">
        <v>349</v>
      </c>
      <c r="C256" s="20" t="s">
        <v>0</v>
      </c>
      <c r="D256" s="51" t="s">
        <v>315</v>
      </c>
      <c r="E256" s="51" t="s">
        <v>22</v>
      </c>
      <c r="F256" s="20" t="s">
        <v>342</v>
      </c>
      <c r="G256" s="20" t="s">
        <v>54</v>
      </c>
      <c r="H256" s="51">
        <v>50</v>
      </c>
      <c r="I256" s="51">
        <v>110</v>
      </c>
      <c r="J256" s="20" t="s">
        <v>207</v>
      </c>
      <c r="K256" s="20" t="s">
        <v>50</v>
      </c>
      <c r="L256" s="52">
        <v>3820000</v>
      </c>
      <c r="M256" s="52">
        <v>220000</v>
      </c>
      <c r="N256" s="52">
        <f t="shared" si="6"/>
        <v>3600000</v>
      </c>
      <c r="O256" s="53"/>
      <c r="P256" s="54">
        <f t="shared" si="7"/>
        <v>3600000</v>
      </c>
      <c r="Q256" s="29"/>
    </row>
    <row r="257" spans="2:17" s="17" customFormat="1" ht="13.8">
      <c r="B257" s="20" t="s">
        <v>350</v>
      </c>
      <c r="C257" s="20" t="s">
        <v>0</v>
      </c>
      <c r="D257" s="20" t="s">
        <v>315</v>
      </c>
      <c r="E257" s="20" t="s">
        <v>22</v>
      </c>
      <c r="F257" s="20" t="s">
        <v>342</v>
      </c>
      <c r="G257" s="20" t="s">
        <v>82</v>
      </c>
      <c r="H257" s="20">
        <v>50</v>
      </c>
      <c r="I257" s="20">
        <v>110</v>
      </c>
      <c r="J257" s="20" t="s">
        <v>207</v>
      </c>
      <c r="K257" s="20" t="s">
        <v>26</v>
      </c>
      <c r="L257" s="52">
        <v>3820000</v>
      </c>
      <c r="M257" s="52">
        <v>220000</v>
      </c>
      <c r="N257" s="52">
        <f t="shared" si="6"/>
        <v>3600000</v>
      </c>
      <c r="O257" s="53"/>
      <c r="P257" s="54">
        <f t="shared" si="7"/>
        <v>3600000</v>
      </c>
      <c r="Q257" s="28"/>
    </row>
    <row r="258" spans="2:17" s="17" customFormat="1" ht="13.8">
      <c r="B258" s="51" t="s">
        <v>351</v>
      </c>
      <c r="C258" s="20" t="s">
        <v>0</v>
      </c>
      <c r="D258" s="51" t="s">
        <v>313</v>
      </c>
      <c r="E258" s="51" t="s">
        <v>243</v>
      </c>
      <c r="F258" s="20" t="s">
        <v>342</v>
      </c>
      <c r="G258" s="20" t="s">
        <v>84</v>
      </c>
      <c r="H258" s="51">
        <v>50</v>
      </c>
      <c r="I258" s="51">
        <v>70</v>
      </c>
      <c r="J258" s="20" t="s">
        <v>207</v>
      </c>
      <c r="K258" s="20" t="s">
        <v>29</v>
      </c>
      <c r="L258" s="52">
        <v>2500000</v>
      </c>
      <c r="M258" s="52"/>
      <c r="N258" s="52">
        <f t="shared" si="6"/>
        <v>2500000</v>
      </c>
      <c r="O258" s="53"/>
      <c r="P258" s="54">
        <f t="shared" si="7"/>
        <v>2500000</v>
      </c>
      <c r="Q258" s="29"/>
    </row>
    <row r="259" spans="2:17" s="17" customFormat="1" ht="13.8">
      <c r="B259" s="20" t="s">
        <v>352</v>
      </c>
      <c r="C259" s="20" t="s">
        <v>0</v>
      </c>
      <c r="D259" s="20" t="s">
        <v>313</v>
      </c>
      <c r="E259" s="20" t="s">
        <v>243</v>
      </c>
      <c r="F259" s="20" t="s">
        <v>342</v>
      </c>
      <c r="G259" s="20" t="s">
        <v>86</v>
      </c>
      <c r="H259" s="20">
        <v>50</v>
      </c>
      <c r="I259" s="20">
        <v>70</v>
      </c>
      <c r="J259" s="20" t="s">
        <v>207</v>
      </c>
      <c r="K259" s="20" t="s">
        <v>29</v>
      </c>
      <c r="L259" s="52">
        <v>2500000</v>
      </c>
      <c r="M259" s="52"/>
      <c r="N259" s="52">
        <f t="shared" si="6"/>
        <v>2500000</v>
      </c>
      <c r="O259" s="53"/>
      <c r="P259" s="54">
        <f t="shared" si="7"/>
        <v>2500000</v>
      </c>
      <c r="Q259" s="28"/>
    </row>
    <row r="260" spans="2:17" s="17" customFormat="1" ht="13.8">
      <c r="B260" s="51" t="s">
        <v>353</v>
      </c>
      <c r="C260" s="20" t="s">
        <v>0</v>
      </c>
      <c r="D260" s="51" t="s">
        <v>313</v>
      </c>
      <c r="E260" s="51" t="s">
        <v>233</v>
      </c>
      <c r="F260" s="20" t="s">
        <v>342</v>
      </c>
      <c r="G260" s="20" t="s">
        <v>88</v>
      </c>
      <c r="H260" s="51">
        <v>50</v>
      </c>
      <c r="I260" s="51">
        <v>70</v>
      </c>
      <c r="J260" s="20" t="s">
        <v>207</v>
      </c>
      <c r="K260" s="20" t="s">
        <v>26</v>
      </c>
      <c r="L260" s="52">
        <v>2500000</v>
      </c>
      <c r="M260" s="52"/>
      <c r="N260" s="52">
        <f t="shared" si="6"/>
        <v>2500000</v>
      </c>
      <c r="O260" s="53"/>
      <c r="P260" s="54">
        <f t="shared" si="7"/>
        <v>2500000</v>
      </c>
      <c r="Q260" s="29"/>
    </row>
    <row r="261" spans="2:17" s="17" customFormat="1" ht="13.8">
      <c r="B261" s="20" t="s">
        <v>354</v>
      </c>
      <c r="C261" s="20" t="s">
        <v>0</v>
      </c>
      <c r="D261" s="20" t="s">
        <v>313</v>
      </c>
      <c r="E261" s="20" t="s">
        <v>233</v>
      </c>
      <c r="F261" s="20" t="s">
        <v>342</v>
      </c>
      <c r="G261" s="20" t="s">
        <v>90</v>
      </c>
      <c r="H261" s="20">
        <v>50</v>
      </c>
      <c r="I261" s="20">
        <v>70</v>
      </c>
      <c r="J261" s="20" t="s">
        <v>207</v>
      </c>
      <c r="K261" s="20" t="s">
        <v>35</v>
      </c>
      <c r="L261" s="52">
        <v>2500000</v>
      </c>
      <c r="M261" s="52"/>
      <c r="N261" s="52">
        <f t="shared" si="6"/>
        <v>2500000</v>
      </c>
      <c r="O261" s="53"/>
      <c r="P261" s="54">
        <f t="shared" si="7"/>
        <v>2500000</v>
      </c>
      <c r="Q261" s="28"/>
    </row>
    <row r="262" spans="2:17" s="17" customFormat="1" ht="13.8">
      <c r="B262" s="51" t="s">
        <v>355</v>
      </c>
      <c r="C262" s="20" t="s">
        <v>0</v>
      </c>
      <c r="D262" s="51" t="s">
        <v>313</v>
      </c>
      <c r="E262" s="51" t="s">
        <v>233</v>
      </c>
      <c r="F262" s="20" t="s">
        <v>342</v>
      </c>
      <c r="G262" s="20" t="s">
        <v>92</v>
      </c>
      <c r="H262" s="51">
        <v>50</v>
      </c>
      <c r="I262" s="51">
        <v>70</v>
      </c>
      <c r="J262" s="20" t="s">
        <v>207</v>
      </c>
      <c r="K262" s="20" t="s">
        <v>32</v>
      </c>
      <c r="L262" s="52">
        <v>2500000</v>
      </c>
      <c r="M262" s="52"/>
      <c r="N262" s="52">
        <f t="shared" si="6"/>
        <v>2500000</v>
      </c>
      <c r="O262" s="53"/>
      <c r="P262" s="54">
        <f t="shared" si="7"/>
        <v>2500000</v>
      </c>
      <c r="Q262" s="29"/>
    </row>
    <row r="263" spans="2:17" s="17" customFormat="1" ht="13.8">
      <c r="B263" s="20" t="s">
        <v>356</v>
      </c>
      <c r="C263" s="20" t="s">
        <v>0</v>
      </c>
      <c r="D263" s="20" t="s">
        <v>313</v>
      </c>
      <c r="E263" s="20" t="s">
        <v>243</v>
      </c>
      <c r="F263" s="20" t="s">
        <v>342</v>
      </c>
      <c r="G263" s="20" t="s">
        <v>123</v>
      </c>
      <c r="H263" s="20">
        <v>50</v>
      </c>
      <c r="I263" s="20">
        <v>70</v>
      </c>
      <c r="J263" s="20" t="s">
        <v>207</v>
      </c>
      <c r="K263" s="20" t="s">
        <v>32</v>
      </c>
      <c r="L263" s="52">
        <v>2500000</v>
      </c>
      <c r="M263" s="52"/>
      <c r="N263" s="52">
        <f t="shared" si="6"/>
        <v>2500000</v>
      </c>
      <c r="O263" s="53"/>
      <c r="P263" s="54">
        <f t="shared" si="7"/>
        <v>2500000</v>
      </c>
      <c r="Q263" s="28"/>
    </row>
    <row r="264" spans="2:17" s="17" customFormat="1" ht="13.8">
      <c r="B264" s="51" t="s">
        <v>357</v>
      </c>
      <c r="C264" s="20" t="s">
        <v>0</v>
      </c>
      <c r="D264" s="51" t="s">
        <v>313</v>
      </c>
      <c r="E264" s="51" t="s">
        <v>205</v>
      </c>
      <c r="F264" s="20" t="s">
        <v>342</v>
      </c>
      <c r="G264" s="20" t="s">
        <v>125</v>
      </c>
      <c r="H264" s="51">
        <v>50</v>
      </c>
      <c r="I264" s="51">
        <v>70</v>
      </c>
      <c r="J264" s="20" t="s">
        <v>207</v>
      </c>
      <c r="K264" s="20" t="s">
        <v>35</v>
      </c>
      <c r="L264" s="52">
        <v>2500000</v>
      </c>
      <c r="M264" s="52"/>
      <c r="N264" s="52">
        <f t="shared" ref="N264:N327" si="9">L264-M264</f>
        <v>2500000</v>
      </c>
      <c r="O264" s="53"/>
      <c r="P264" s="54">
        <f t="shared" ref="P264:P327" si="10">N264-O264</f>
        <v>2500000</v>
      </c>
      <c r="Q264" s="29"/>
    </row>
    <row r="265" spans="2:17" s="17" customFormat="1" ht="13.8">
      <c r="B265" s="20" t="s">
        <v>358</v>
      </c>
      <c r="C265" s="20" t="s">
        <v>0</v>
      </c>
      <c r="D265" s="20" t="s">
        <v>313</v>
      </c>
      <c r="E265" s="20" t="s">
        <v>243</v>
      </c>
      <c r="F265" s="20" t="s">
        <v>359</v>
      </c>
      <c r="G265" s="20" t="s">
        <v>24</v>
      </c>
      <c r="H265" s="20">
        <v>50</v>
      </c>
      <c r="I265" s="20">
        <v>70</v>
      </c>
      <c r="J265" s="20" t="s">
        <v>207</v>
      </c>
      <c r="K265" s="20" t="s">
        <v>50</v>
      </c>
      <c r="L265" s="52">
        <v>2500000</v>
      </c>
      <c r="M265" s="52"/>
      <c r="N265" s="52">
        <f t="shared" si="9"/>
        <v>2500000</v>
      </c>
      <c r="O265" s="53"/>
      <c r="P265" s="54">
        <f t="shared" si="10"/>
        <v>2500000</v>
      </c>
      <c r="Q265" s="28"/>
    </row>
    <row r="266" spans="2:17" s="17" customFormat="1" ht="13.8">
      <c r="B266" s="51" t="s">
        <v>360</v>
      </c>
      <c r="C266" s="20" t="s">
        <v>0</v>
      </c>
      <c r="D266" s="51" t="s">
        <v>313</v>
      </c>
      <c r="E266" s="51" t="s">
        <v>205</v>
      </c>
      <c r="F266" s="20" t="s">
        <v>359</v>
      </c>
      <c r="G266" s="20" t="s">
        <v>28</v>
      </c>
      <c r="H266" s="51">
        <v>50</v>
      </c>
      <c r="I266" s="51">
        <v>70</v>
      </c>
      <c r="J266" s="20" t="s">
        <v>207</v>
      </c>
      <c r="K266" s="20" t="s">
        <v>48</v>
      </c>
      <c r="L266" s="52">
        <v>2500000</v>
      </c>
      <c r="M266" s="52"/>
      <c r="N266" s="52">
        <f t="shared" si="9"/>
        <v>2500000</v>
      </c>
      <c r="O266" s="53"/>
      <c r="P266" s="54">
        <f t="shared" si="10"/>
        <v>2500000</v>
      </c>
      <c r="Q266" s="29"/>
    </row>
    <row r="267" spans="2:17" s="17" customFormat="1" ht="13.8">
      <c r="B267" s="20" t="s">
        <v>361</v>
      </c>
      <c r="C267" s="20" t="s">
        <v>0</v>
      </c>
      <c r="D267" s="20" t="s">
        <v>313</v>
      </c>
      <c r="E267" s="20" t="s">
        <v>205</v>
      </c>
      <c r="F267" s="20" t="s">
        <v>359</v>
      </c>
      <c r="G267" s="20" t="s">
        <v>31</v>
      </c>
      <c r="H267" s="20">
        <v>50</v>
      </c>
      <c r="I267" s="20">
        <v>70</v>
      </c>
      <c r="J267" s="20" t="s">
        <v>207</v>
      </c>
      <c r="K267" s="20" t="s">
        <v>48</v>
      </c>
      <c r="L267" s="52">
        <v>2500000</v>
      </c>
      <c r="M267" s="52"/>
      <c r="N267" s="52">
        <f t="shared" si="9"/>
        <v>2500000</v>
      </c>
      <c r="O267" s="53"/>
      <c r="P267" s="54">
        <f t="shared" si="10"/>
        <v>2500000</v>
      </c>
      <c r="Q267" s="28"/>
    </row>
    <row r="268" spans="2:17" s="17" customFormat="1" ht="13.8">
      <c r="B268" s="51" t="s">
        <v>362</v>
      </c>
      <c r="C268" s="20" t="s">
        <v>0</v>
      </c>
      <c r="D268" s="51" t="s">
        <v>313</v>
      </c>
      <c r="E268" s="51" t="s">
        <v>243</v>
      </c>
      <c r="F268" s="20" t="s">
        <v>359</v>
      </c>
      <c r="G268" s="20" t="s">
        <v>34</v>
      </c>
      <c r="H268" s="51">
        <v>50</v>
      </c>
      <c r="I268" s="51">
        <v>70</v>
      </c>
      <c r="J268" s="20" t="s">
        <v>207</v>
      </c>
      <c r="K268" s="20" t="s">
        <v>50</v>
      </c>
      <c r="L268" s="52">
        <v>2500000</v>
      </c>
      <c r="M268" s="52"/>
      <c r="N268" s="52">
        <f t="shared" si="9"/>
        <v>2500000</v>
      </c>
      <c r="O268" s="53"/>
      <c r="P268" s="54">
        <f t="shared" si="10"/>
        <v>2500000</v>
      </c>
      <c r="Q268" s="29"/>
    </row>
    <row r="269" spans="2:17" s="17" customFormat="1" ht="13.8">
      <c r="B269" s="20" t="s">
        <v>363</v>
      </c>
      <c r="C269" s="20" t="s">
        <v>0</v>
      </c>
      <c r="D269" s="20" t="s">
        <v>313</v>
      </c>
      <c r="E269" s="20" t="s">
        <v>205</v>
      </c>
      <c r="F269" s="20" t="s">
        <v>359</v>
      </c>
      <c r="G269" s="20" t="s">
        <v>37</v>
      </c>
      <c r="H269" s="20">
        <v>50</v>
      </c>
      <c r="I269" s="20">
        <v>70</v>
      </c>
      <c r="J269" s="20" t="s">
        <v>207</v>
      </c>
      <c r="K269" s="20" t="s">
        <v>42</v>
      </c>
      <c r="L269" s="52">
        <v>2500000</v>
      </c>
      <c r="M269" s="52"/>
      <c r="N269" s="52">
        <f t="shared" si="9"/>
        <v>2500000</v>
      </c>
      <c r="O269" s="53"/>
      <c r="P269" s="54">
        <f t="shared" si="10"/>
        <v>2500000</v>
      </c>
      <c r="Q269" s="28"/>
    </row>
    <row r="270" spans="2:17" s="17" customFormat="1" ht="13.8">
      <c r="B270" s="51" t="s">
        <v>364</v>
      </c>
      <c r="C270" s="20" t="s">
        <v>0</v>
      </c>
      <c r="D270" s="51" t="s">
        <v>313</v>
      </c>
      <c r="E270" s="51" t="s">
        <v>205</v>
      </c>
      <c r="F270" s="20" t="s">
        <v>359</v>
      </c>
      <c r="G270" s="20" t="s">
        <v>39</v>
      </c>
      <c r="H270" s="51">
        <v>50</v>
      </c>
      <c r="I270" s="51">
        <v>70</v>
      </c>
      <c r="J270" s="20" t="s">
        <v>207</v>
      </c>
      <c r="K270" s="20" t="s">
        <v>44</v>
      </c>
      <c r="L270" s="52">
        <v>2500000</v>
      </c>
      <c r="M270" s="52"/>
      <c r="N270" s="52">
        <f t="shared" si="9"/>
        <v>2500000</v>
      </c>
      <c r="O270" s="53"/>
      <c r="P270" s="54">
        <f t="shared" si="10"/>
        <v>2500000</v>
      </c>
      <c r="Q270" s="29"/>
    </row>
    <row r="271" spans="2:17" s="17" customFormat="1" ht="13.8">
      <c r="B271" s="20" t="s">
        <v>365</v>
      </c>
      <c r="C271" s="20" t="s">
        <v>0</v>
      </c>
      <c r="D271" s="20" t="s">
        <v>313</v>
      </c>
      <c r="E271" s="20" t="s">
        <v>205</v>
      </c>
      <c r="F271" s="20" t="s">
        <v>359</v>
      </c>
      <c r="G271" s="20" t="s">
        <v>52</v>
      </c>
      <c r="H271" s="20">
        <v>50</v>
      </c>
      <c r="I271" s="20">
        <v>70</v>
      </c>
      <c r="J271" s="20" t="s">
        <v>207</v>
      </c>
      <c r="K271" s="20" t="s">
        <v>44</v>
      </c>
      <c r="L271" s="52">
        <v>2500000</v>
      </c>
      <c r="M271" s="52"/>
      <c r="N271" s="52">
        <f t="shared" si="9"/>
        <v>2500000</v>
      </c>
      <c r="O271" s="53"/>
      <c r="P271" s="54">
        <f t="shared" si="10"/>
        <v>2500000</v>
      </c>
      <c r="Q271" s="28"/>
    </row>
    <row r="272" spans="2:17" s="17" customFormat="1" ht="13.8">
      <c r="B272" s="51" t="s">
        <v>366</v>
      </c>
      <c r="C272" s="20" t="s">
        <v>0</v>
      </c>
      <c r="D272" s="51" t="s">
        <v>315</v>
      </c>
      <c r="E272" s="51" t="s">
        <v>22</v>
      </c>
      <c r="F272" s="20" t="s">
        <v>359</v>
      </c>
      <c r="G272" s="20" t="s">
        <v>54</v>
      </c>
      <c r="H272" s="51">
        <v>50</v>
      </c>
      <c r="I272" s="51">
        <v>110</v>
      </c>
      <c r="J272" s="20" t="s">
        <v>207</v>
      </c>
      <c r="K272" s="20" t="s">
        <v>42</v>
      </c>
      <c r="L272" s="52">
        <v>3820000</v>
      </c>
      <c r="M272" s="52">
        <v>220000</v>
      </c>
      <c r="N272" s="52">
        <f t="shared" si="9"/>
        <v>3600000</v>
      </c>
      <c r="O272" s="53"/>
      <c r="P272" s="54">
        <f t="shared" si="10"/>
        <v>3600000</v>
      </c>
      <c r="Q272" s="29"/>
    </row>
    <row r="273" spans="2:17" s="17" customFormat="1" ht="13.8">
      <c r="B273" s="20" t="s">
        <v>367</v>
      </c>
      <c r="C273" s="20" t="s">
        <v>0</v>
      </c>
      <c r="D273" s="20" t="s">
        <v>315</v>
      </c>
      <c r="E273" s="20" t="s">
        <v>22</v>
      </c>
      <c r="F273" s="20" t="s">
        <v>359</v>
      </c>
      <c r="G273" s="20" t="s">
        <v>82</v>
      </c>
      <c r="H273" s="20">
        <v>50</v>
      </c>
      <c r="I273" s="20">
        <v>110</v>
      </c>
      <c r="J273" s="20" t="s">
        <v>207</v>
      </c>
      <c r="K273" s="20" t="s">
        <v>35</v>
      </c>
      <c r="L273" s="52">
        <v>3820000</v>
      </c>
      <c r="M273" s="52">
        <v>220000</v>
      </c>
      <c r="N273" s="52">
        <f t="shared" si="9"/>
        <v>3600000</v>
      </c>
      <c r="O273" s="53"/>
      <c r="P273" s="54">
        <f t="shared" si="10"/>
        <v>3600000</v>
      </c>
      <c r="Q273" s="28"/>
    </row>
    <row r="274" spans="2:17" s="17" customFormat="1" ht="13.8">
      <c r="B274" s="51" t="s">
        <v>368</v>
      </c>
      <c r="C274" s="20" t="s">
        <v>0</v>
      </c>
      <c r="D274" s="51" t="s">
        <v>313</v>
      </c>
      <c r="E274" s="51" t="s">
        <v>205</v>
      </c>
      <c r="F274" s="20" t="s">
        <v>359</v>
      </c>
      <c r="G274" s="20" t="s">
        <v>84</v>
      </c>
      <c r="H274" s="51">
        <v>50</v>
      </c>
      <c r="I274" s="51">
        <v>70</v>
      </c>
      <c r="J274" s="20" t="s">
        <v>207</v>
      </c>
      <c r="K274" s="20" t="s">
        <v>32</v>
      </c>
      <c r="L274" s="52">
        <v>2500000</v>
      </c>
      <c r="M274" s="52"/>
      <c r="N274" s="52">
        <f t="shared" si="9"/>
        <v>2500000</v>
      </c>
      <c r="O274" s="53"/>
      <c r="P274" s="54">
        <f t="shared" si="10"/>
        <v>2500000</v>
      </c>
      <c r="Q274" s="29"/>
    </row>
    <row r="275" spans="2:17" s="17" customFormat="1" ht="13.8">
      <c r="B275" s="20" t="s">
        <v>369</v>
      </c>
      <c r="C275" s="20" t="s">
        <v>0</v>
      </c>
      <c r="D275" s="20" t="s">
        <v>313</v>
      </c>
      <c r="E275" s="20" t="s">
        <v>205</v>
      </c>
      <c r="F275" s="20" t="s">
        <v>359</v>
      </c>
      <c r="G275" s="20" t="s">
        <v>86</v>
      </c>
      <c r="H275" s="20">
        <v>50</v>
      </c>
      <c r="I275" s="20">
        <v>70</v>
      </c>
      <c r="J275" s="20" t="s">
        <v>207</v>
      </c>
      <c r="K275" s="20" t="s">
        <v>32</v>
      </c>
      <c r="L275" s="52">
        <v>2500000</v>
      </c>
      <c r="M275" s="52"/>
      <c r="N275" s="52">
        <f t="shared" si="9"/>
        <v>2500000</v>
      </c>
      <c r="O275" s="53"/>
      <c r="P275" s="54">
        <f t="shared" si="10"/>
        <v>2500000</v>
      </c>
      <c r="Q275" s="28"/>
    </row>
    <row r="276" spans="2:17" s="17" customFormat="1" ht="13.8">
      <c r="B276" s="51" t="s">
        <v>370</v>
      </c>
      <c r="C276" s="20" t="s">
        <v>0</v>
      </c>
      <c r="D276" s="51" t="s">
        <v>313</v>
      </c>
      <c r="E276" s="51" t="s">
        <v>233</v>
      </c>
      <c r="F276" s="20" t="s">
        <v>359</v>
      </c>
      <c r="G276" s="20" t="s">
        <v>88</v>
      </c>
      <c r="H276" s="51">
        <v>50</v>
      </c>
      <c r="I276" s="51">
        <v>70</v>
      </c>
      <c r="J276" s="20" t="s">
        <v>207</v>
      </c>
      <c r="K276" s="20" t="s">
        <v>35</v>
      </c>
      <c r="L276" s="52">
        <v>2500000</v>
      </c>
      <c r="M276" s="52"/>
      <c r="N276" s="52">
        <f t="shared" si="9"/>
        <v>2500000</v>
      </c>
      <c r="O276" s="53"/>
      <c r="P276" s="54">
        <f t="shared" si="10"/>
        <v>2500000</v>
      </c>
      <c r="Q276" s="29"/>
    </row>
    <row r="277" spans="2:17" s="17" customFormat="1" ht="13.8">
      <c r="B277" s="20" t="s">
        <v>371</v>
      </c>
      <c r="C277" s="20" t="s">
        <v>0</v>
      </c>
      <c r="D277" s="20" t="s">
        <v>313</v>
      </c>
      <c r="E277" s="20" t="s">
        <v>233</v>
      </c>
      <c r="F277" s="20" t="s">
        <v>359</v>
      </c>
      <c r="G277" s="20" t="s">
        <v>90</v>
      </c>
      <c r="H277" s="20">
        <v>50</v>
      </c>
      <c r="I277" s="20">
        <v>70</v>
      </c>
      <c r="J277" s="20" t="s">
        <v>207</v>
      </c>
      <c r="K277" s="20" t="s">
        <v>26</v>
      </c>
      <c r="L277" s="52">
        <v>2500000</v>
      </c>
      <c r="M277" s="52"/>
      <c r="N277" s="52">
        <f t="shared" si="9"/>
        <v>2500000</v>
      </c>
      <c r="O277" s="53"/>
      <c r="P277" s="54">
        <f t="shared" si="10"/>
        <v>2500000</v>
      </c>
      <c r="Q277" s="28"/>
    </row>
    <row r="278" spans="2:17" s="17" customFormat="1" ht="13.8">
      <c r="B278" s="51" t="s">
        <v>372</v>
      </c>
      <c r="C278" s="20" t="s">
        <v>0</v>
      </c>
      <c r="D278" s="51" t="s">
        <v>313</v>
      </c>
      <c r="E278" s="51" t="s">
        <v>233</v>
      </c>
      <c r="F278" s="20" t="s">
        <v>359</v>
      </c>
      <c r="G278" s="20" t="s">
        <v>92</v>
      </c>
      <c r="H278" s="51">
        <v>50</v>
      </c>
      <c r="I278" s="51">
        <v>70</v>
      </c>
      <c r="J278" s="20" t="s">
        <v>207</v>
      </c>
      <c r="K278" s="20" t="s">
        <v>29</v>
      </c>
      <c r="L278" s="52">
        <v>2500000</v>
      </c>
      <c r="M278" s="52"/>
      <c r="N278" s="52">
        <f t="shared" si="9"/>
        <v>2500000</v>
      </c>
      <c r="O278" s="53"/>
      <c r="P278" s="54">
        <f t="shared" si="10"/>
        <v>2500000</v>
      </c>
      <c r="Q278" s="29"/>
    </row>
    <row r="279" spans="2:17" s="17" customFormat="1" ht="13.8">
      <c r="B279" s="20" t="s">
        <v>373</v>
      </c>
      <c r="C279" s="20" t="s">
        <v>0</v>
      </c>
      <c r="D279" s="20" t="s">
        <v>313</v>
      </c>
      <c r="E279" s="20" t="s">
        <v>205</v>
      </c>
      <c r="F279" s="20" t="s">
        <v>359</v>
      </c>
      <c r="G279" s="20" t="s">
        <v>123</v>
      </c>
      <c r="H279" s="20">
        <v>50</v>
      </c>
      <c r="I279" s="20">
        <v>70</v>
      </c>
      <c r="J279" s="20" t="s">
        <v>207</v>
      </c>
      <c r="K279" s="20" t="s">
        <v>29</v>
      </c>
      <c r="L279" s="52">
        <v>2500000</v>
      </c>
      <c r="M279" s="52"/>
      <c r="N279" s="52">
        <f t="shared" si="9"/>
        <v>2500000</v>
      </c>
      <c r="O279" s="53"/>
      <c r="P279" s="54">
        <f t="shared" si="10"/>
        <v>2500000</v>
      </c>
      <c r="Q279" s="28"/>
    </row>
    <row r="280" spans="2:17" s="17" customFormat="1" ht="13.8">
      <c r="B280" s="51" t="s">
        <v>374</v>
      </c>
      <c r="C280" s="20" t="s">
        <v>0</v>
      </c>
      <c r="D280" s="51" t="s">
        <v>313</v>
      </c>
      <c r="E280" s="51" t="s">
        <v>243</v>
      </c>
      <c r="F280" s="20" t="s">
        <v>359</v>
      </c>
      <c r="G280" s="20" t="s">
        <v>125</v>
      </c>
      <c r="H280" s="51">
        <v>50</v>
      </c>
      <c r="I280" s="51">
        <v>70</v>
      </c>
      <c r="J280" s="20" t="s">
        <v>207</v>
      </c>
      <c r="K280" s="20" t="s">
        <v>26</v>
      </c>
      <c r="L280" s="52">
        <v>2500000</v>
      </c>
      <c r="M280" s="52"/>
      <c r="N280" s="52">
        <f t="shared" si="9"/>
        <v>2500000</v>
      </c>
      <c r="O280" s="53"/>
      <c r="P280" s="54">
        <f t="shared" si="10"/>
        <v>2500000</v>
      </c>
      <c r="Q280" s="29"/>
    </row>
    <row r="281" spans="2:17" s="17" customFormat="1" ht="13.8">
      <c r="B281" s="20" t="s">
        <v>375</v>
      </c>
      <c r="C281" s="20" t="s">
        <v>0</v>
      </c>
      <c r="D281" s="20" t="s">
        <v>313</v>
      </c>
      <c r="E281" s="20" t="s">
        <v>243</v>
      </c>
      <c r="F281" s="20" t="s">
        <v>376</v>
      </c>
      <c r="G281" s="20" t="s">
        <v>24</v>
      </c>
      <c r="H281" s="20">
        <v>50</v>
      </c>
      <c r="I281" s="20">
        <v>70</v>
      </c>
      <c r="J281" s="20" t="s">
        <v>207</v>
      </c>
      <c r="K281" s="20" t="s">
        <v>44</v>
      </c>
      <c r="L281" s="52">
        <v>2500000</v>
      </c>
      <c r="M281" s="52"/>
      <c r="N281" s="52">
        <f t="shared" si="9"/>
        <v>2500000</v>
      </c>
      <c r="O281" s="53"/>
      <c r="P281" s="54">
        <f t="shared" si="10"/>
        <v>2500000</v>
      </c>
      <c r="Q281" s="28"/>
    </row>
    <row r="282" spans="2:17" s="17" customFormat="1" ht="13.8">
      <c r="B282" s="51" t="s">
        <v>377</v>
      </c>
      <c r="C282" s="20" t="s">
        <v>0</v>
      </c>
      <c r="D282" s="51" t="s">
        <v>313</v>
      </c>
      <c r="E282" s="51" t="s">
        <v>205</v>
      </c>
      <c r="F282" s="20" t="s">
        <v>376</v>
      </c>
      <c r="G282" s="20" t="s">
        <v>28</v>
      </c>
      <c r="H282" s="51">
        <v>50</v>
      </c>
      <c r="I282" s="51">
        <v>70</v>
      </c>
      <c r="J282" s="20" t="s">
        <v>207</v>
      </c>
      <c r="K282" s="20" t="s">
        <v>42</v>
      </c>
      <c r="L282" s="52">
        <v>2500000</v>
      </c>
      <c r="M282" s="52"/>
      <c r="N282" s="52">
        <f t="shared" si="9"/>
        <v>2500000</v>
      </c>
      <c r="O282" s="53"/>
      <c r="P282" s="54">
        <f t="shared" si="10"/>
        <v>2500000</v>
      </c>
      <c r="Q282" s="29"/>
    </row>
    <row r="283" spans="2:17" s="17" customFormat="1" ht="13.8">
      <c r="B283" s="20" t="s">
        <v>378</v>
      </c>
      <c r="C283" s="20" t="s">
        <v>0</v>
      </c>
      <c r="D283" s="20" t="s">
        <v>313</v>
      </c>
      <c r="E283" s="20" t="s">
        <v>205</v>
      </c>
      <c r="F283" s="20" t="s">
        <v>376</v>
      </c>
      <c r="G283" s="20" t="s">
        <v>31</v>
      </c>
      <c r="H283" s="20">
        <v>50</v>
      </c>
      <c r="I283" s="20">
        <v>70</v>
      </c>
      <c r="J283" s="20" t="s">
        <v>207</v>
      </c>
      <c r="K283" s="20" t="s">
        <v>29</v>
      </c>
      <c r="L283" s="52">
        <v>2500000</v>
      </c>
      <c r="M283" s="52"/>
      <c r="N283" s="52">
        <f t="shared" si="9"/>
        <v>2500000</v>
      </c>
      <c r="O283" s="53"/>
      <c r="P283" s="54">
        <f t="shared" si="10"/>
        <v>2500000</v>
      </c>
      <c r="Q283" s="28"/>
    </row>
    <row r="284" spans="2:17" s="17" customFormat="1" ht="13.8">
      <c r="B284" s="51" t="s">
        <v>379</v>
      </c>
      <c r="C284" s="20" t="s">
        <v>0</v>
      </c>
      <c r="D284" s="51" t="s">
        <v>313</v>
      </c>
      <c r="E284" s="51" t="s">
        <v>205</v>
      </c>
      <c r="F284" s="20" t="s">
        <v>376</v>
      </c>
      <c r="G284" s="20" t="s">
        <v>34</v>
      </c>
      <c r="H284" s="51">
        <v>50</v>
      </c>
      <c r="I284" s="51">
        <v>70</v>
      </c>
      <c r="J284" s="20" t="s">
        <v>207</v>
      </c>
      <c r="K284" s="20" t="s">
        <v>26</v>
      </c>
      <c r="L284" s="52">
        <v>2500000</v>
      </c>
      <c r="M284" s="52"/>
      <c r="N284" s="52">
        <f t="shared" si="9"/>
        <v>2500000</v>
      </c>
      <c r="O284" s="53"/>
      <c r="P284" s="54">
        <f t="shared" si="10"/>
        <v>2500000</v>
      </c>
      <c r="Q284" s="29"/>
    </row>
    <row r="285" spans="2:17" s="17" customFormat="1" ht="13.8">
      <c r="B285" s="20" t="s">
        <v>380</v>
      </c>
      <c r="C285" s="20" t="s">
        <v>0</v>
      </c>
      <c r="D285" s="20" t="s">
        <v>313</v>
      </c>
      <c r="E285" s="20" t="s">
        <v>233</v>
      </c>
      <c r="F285" s="20" t="s">
        <v>376</v>
      </c>
      <c r="G285" s="20" t="s">
        <v>37</v>
      </c>
      <c r="H285" s="20">
        <v>50</v>
      </c>
      <c r="I285" s="20">
        <v>70</v>
      </c>
      <c r="J285" s="20" t="s">
        <v>207</v>
      </c>
      <c r="K285" s="20" t="s">
        <v>26</v>
      </c>
      <c r="L285" s="52">
        <v>2500000</v>
      </c>
      <c r="M285" s="52"/>
      <c r="N285" s="52">
        <f t="shared" si="9"/>
        <v>2500000</v>
      </c>
      <c r="O285" s="53"/>
      <c r="P285" s="54">
        <f t="shared" si="10"/>
        <v>2500000</v>
      </c>
      <c r="Q285" s="28"/>
    </row>
    <row r="286" spans="2:17" s="17" customFormat="1" ht="13.8">
      <c r="B286" s="51" t="s">
        <v>381</v>
      </c>
      <c r="C286" s="20" t="s">
        <v>0</v>
      </c>
      <c r="D286" s="51" t="s">
        <v>313</v>
      </c>
      <c r="E286" s="51" t="s">
        <v>233</v>
      </c>
      <c r="F286" s="20" t="s">
        <v>376</v>
      </c>
      <c r="G286" s="20" t="s">
        <v>39</v>
      </c>
      <c r="H286" s="51">
        <v>50</v>
      </c>
      <c r="I286" s="51">
        <v>70</v>
      </c>
      <c r="J286" s="20" t="s">
        <v>207</v>
      </c>
      <c r="K286" s="20" t="s">
        <v>29</v>
      </c>
      <c r="L286" s="52">
        <v>2500000</v>
      </c>
      <c r="M286" s="52"/>
      <c r="N286" s="52">
        <f t="shared" si="9"/>
        <v>2500000</v>
      </c>
      <c r="O286" s="53"/>
      <c r="P286" s="54">
        <f t="shared" si="10"/>
        <v>2500000</v>
      </c>
      <c r="Q286" s="29"/>
    </row>
    <row r="287" spans="2:17" s="17" customFormat="1" ht="13.8">
      <c r="B287" s="20" t="s">
        <v>382</v>
      </c>
      <c r="C287" s="20" t="s">
        <v>0</v>
      </c>
      <c r="D287" s="20" t="s">
        <v>313</v>
      </c>
      <c r="E287" s="20" t="s">
        <v>233</v>
      </c>
      <c r="F287" s="20" t="s">
        <v>376</v>
      </c>
      <c r="G287" s="20" t="s">
        <v>52</v>
      </c>
      <c r="H287" s="20">
        <v>50</v>
      </c>
      <c r="I287" s="20">
        <v>70</v>
      </c>
      <c r="J287" s="20" t="s">
        <v>207</v>
      </c>
      <c r="K287" s="20" t="s">
        <v>50</v>
      </c>
      <c r="L287" s="52">
        <v>2500000</v>
      </c>
      <c r="M287" s="52"/>
      <c r="N287" s="52">
        <f t="shared" si="9"/>
        <v>2500000</v>
      </c>
      <c r="O287" s="53"/>
      <c r="P287" s="54">
        <f t="shared" si="10"/>
        <v>2500000</v>
      </c>
      <c r="Q287" s="28"/>
    </row>
    <row r="288" spans="2:17" s="17" customFormat="1" ht="13.8">
      <c r="B288" s="51" t="s">
        <v>383</v>
      </c>
      <c r="C288" s="20" t="s">
        <v>0</v>
      </c>
      <c r="D288" s="51" t="s">
        <v>313</v>
      </c>
      <c r="E288" s="51" t="s">
        <v>233</v>
      </c>
      <c r="F288" s="20" t="s">
        <v>376</v>
      </c>
      <c r="G288" s="20" t="s">
        <v>54</v>
      </c>
      <c r="H288" s="51">
        <v>50</v>
      </c>
      <c r="I288" s="51">
        <v>70</v>
      </c>
      <c r="J288" s="20" t="s">
        <v>207</v>
      </c>
      <c r="K288" s="20" t="s">
        <v>48</v>
      </c>
      <c r="L288" s="52">
        <v>2500000</v>
      </c>
      <c r="M288" s="52"/>
      <c r="N288" s="52">
        <f t="shared" si="9"/>
        <v>2500000</v>
      </c>
      <c r="O288" s="53"/>
      <c r="P288" s="54">
        <f t="shared" si="10"/>
        <v>2500000</v>
      </c>
      <c r="Q288" s="29"/>
    </row>
    <row r="289" spans="2:17" s="17" customFormat="1" ht="13.8">
      <c r="B289" s="20" t="s">
        <v>384</v>
      </c>
      <c r="C289" s="20" t="s">
        <v>0</v>
      </c>
      <c r="D289" s="20" t="s">
        <v>313</v>
      </c>
      <c r="E289" s="20" t="s">
        <v>233</v>
      </c>
      <c r="F289" s="20" t="s">
        <v>376</v>
      </c>
      <c r="G289" s="20" t="s">
        <v>82</v>
      </c>
      <c r="H289" s="20">
        <v>50</v>
      </c>
      <c r="I289" s="20">
        <v>70</v>
      </c>
      <c r="J289" s="20" t="s">
        <v>207</v>
      </c>
      <c r="K289" s="20" t="s">
        <v>48</v>
      </c>
      <c r="L289" s="52">
        <v>2500000</v>
      </c>
      <c r="M289" s="52"/>
      <c r="N289" s="52">
        <f t="shared" si="9"/>
        <v>2500000</v>
      </c>
      <c r="O289" s="53"/>
      <c r="P289" s="54">
        <f t="shared" si="10"/>
        <v>2500000</v>
      </c>
      <c r="Q289" s="28"/>
    </row>
    <row r="290" spans="2:17" s="17" customFormat="1" ht="13.8">
      <c r="B290" s="51" t="s">
        <v>385</v>
      </c>
      <c r="C290" s="20" t="s">
        <v>0</v>
      </c>
      <c r="D290" s="51" t="s">
        <v>315</v>
      </c>
      <c r="E290" s="51" t="s">
        <v>22</v>
      </c>
      <c r="F290" s="20" t="s">
        <v>376</v>
      </c>
      <c r="G290" s="20" t="s">
        <v>84</v>
      </c>
      <c r="H290" s="51">
        <v>50</v>
      </c>
      <c r="I290" s="51">
        <v>109</v>
      </c>
      <c r="J290" s="20" t="s">
        <v>207</v>
      </c>
      <c r="K290" s="20" t="s">
        <v>50</v>
      </c>
      <c r="L290" s="52">
        <v>3787000</v>
      </c>
      <c r="M290" s="52">
        <v>187000</v>
      </c>
      <c r="N290" s="52">
        <f t="shared" si="9"/>
        <v>3600000</v>
      </c>
      <c r="O290" s="53"/>
      <c r="P290" s="54">
        <f t="shared" si="10"/>
        <v>3600000</v>
      </c>
      <c r="Q290" s="29"/>
    </row>
    <row r="291" spans="2:17" s="17" customFormat="1" ht="13.8">
      <c r="B291" s="20" t="s">
        <v>386</v>
      </c>
      <c r="C291" s="20" t="s">
        <v>0</v>
      </c>
      <c r="D291" s="20" t="s">
        <v>315</v>
      </c>
      <c r="E291" s="20" t="s">
        <v>22</v>
      </c>
      <c r="F291" s="20" t="s">
        <v>376</v>
      </c>
      <c r="G291" s="20" t="s">
        <v>86</v>
      </c>
      <c r="H291" s="20">
        <v>50</v>
      </c>
      <c r="I291" s="20">
        <v>110</v>
      </c>
      <c r="J291" s="20" t="s">
        <v>207</v>
      </c>
      <c r="K291" s="20" t="s">
        <v>29</v>
      </c>
      <c r="L291" s="52">
        <v>3820000</v>
      </c>
      <c r="M291" s="52">
        <v>220000</v>
      </c>
      <c r="N291" s="52">
        <f t="shared" si="9"/>
        <v>3600000</v>
      </c>
      <c r="O291" s="53"/>
      <c r="P291" s="54">
        <f t="shared" si="10"/>
        <v>3600000</v>
      </c>
      <c r="Q291" s="28"/>
    </row>
    <row r="292" spans="2:17" s="17" customFormat="1" ht="13.8">
      <c r="B292" s="51" t="s">
        <v>387</v>
      </c>
      <c r="C292" s="20" t="s">
        <v>0</v>
      </c>
      <c r="D292" s="51" t="s">
        <v>313</v>
      </c>
      <c r="E292" s="51" t="s">
        <v>233</v>
      </c>
      <c r="F292" s="20" t="s">
        <v>376</v>
      </c>
      <c r="G292" s="20" t="s">
        <v>88</v>
      </c>
      <c r="H292" s="51">
        <v>50</v>
      </c>
      <c r="I292" s="51">
        <v>70</v>
      </c>
      <c r="J292" s="20" t="s">
        <v>207</v>
      </c>
      <c r="K292" s="20" t="s">
        <v>26</v>
      </c>
      <c r="L292" s="52">
        <v>2500000</v>
      </c>
      <c r="M292" s="52"/>
      <c r="N292" s="52">
        <f t="shared" si="9"/>
        <v>2500000</v>
      </c>
      <c r="O292" s="53"/>
      <c r="P292" s="54">
        <f t="shared" si="10"/>
        <v>2500000</v>
      </c>
      <c r="Q292" s="29"/>
    </row>
    <row r="293" spans="2:17" s="17" customFormat="1" ht="13.8">
      <c r="B293" s="20" t="s">
        <v>388</v>
      </c>
      <c r="C293" s="20" t="s">
        <v>0</v>
      </c>
      <c r="D293" s="20" t="s">
        <v>313</v>
      </c>
      <c r="E293" s="20" t="s">
        <v>233</v>
      </c>
      <c r="F293" s="20" t="s">
        <v>376</v>
      </c>
      <c r="G293" s="20" t="s">
        <v>90</v>
      </c>
      <c r="H293" s="20">
        <v>50</v>
      </c>
      <c r="I293" s="20">
        <v>70</v>
      </c>
      <c r="J293" s="20" t="s">
        <v>207</v>
      </c>
      <c r="K293" s="20" t="s">
        <v>26</v>
      </c>
      <c r="L293" s="52">
        <v>2500000</v>
      </c>
      <c r="M293" s="52"/>
      <c r="N293" s="52">
        <f t="shared" si="9"/>
        <v>2500000</v>
      </c>
      <c r="O293" s="53"/>
      <c r="P293" s="54">
        <f t="shared" si="10"/>
        <v>2500000</v>
      </c>
      <c r="Q293" s="28"/>
    </row>
    <row r="294" spans="2:17" s="17" customFormat="1" ht="13.8">
      <c r="B294" s="51" t="s">
        <v>389</v>
      </c>
      <c r="C294" s="20" t="s">
        <v>0</v>
      </c>
      <c r="D294" s="51" t="s">
        <v>313</v>
      </c>
      <c r="E294" s="51" t="s">
        <v>233</v>
      </c>
      <c r="F294" s="20" t="s">
        <v>376</v>
      </c>
      <c r="G294" s="20" t="s">
        <v>92</v>
      </c>
      <c r="H294" s="51">
        <v>50</v>
      </c>
      <c r="I294" s="51">
        <v>70</v>
      </c>
      <c r="J294" s="20" t="s">
        <v>207</v>
      </c>
      <c r="K294" s="20" t="s">
        <v>29</v>
      </c>
      <c r="L294" s="52">
        <v>2500000</v>
      </c>
      <c r="M294" s="52"/>
      <c r="N294" s="52">
        <f t="shared" si="9"/>
        <v>2500000</v>
      </c>
      <c r="O294" s="53"/>
      <c r="P294" s="54">
        <f t="shared" si="10"/>
        <v>2500000</v>
      </c>
      <c r="Q294" s="29"/>
    </row>
    <row r="295" spans="2:17" s="17" customFormat="1" ht="13.8">
      <c r="B295" s="20" t="s">
        <v>390</v>
      </c>
      <c r="C295" s="20" t="s">
        <v>0</v>
      </c>
      <c r="D295" s="20" t="s">
        <v>313</v>
      </c>
      <c r="E295" s="20" t="s">
        <v>233</v>
      </c>
      <c r="F295" s="20" t="s">
        <v>376</v>
      </c>
      <c r="G295" s="20" t="s">
        <v>123</v>
      </c>
      <c r="H295" s="20">
        <v>50</v>
      </c>
      <c r="I295" s="20">
        <v>70</v>
      </c>
      <c r="J295" s="20" t="s">
        <v>207</v>
      </c>
      <c r="K295" s="20" t="s">
        <v>32</v>
      </c>
      <c r="L295" s="52">
        <v>2500000</v>
      </c>
      <c r="M295" s="52"/>
      <c r="N295" s="52">
        <f t="shared" si="9"/>
        <v>2500000</v>
      </c>
      <c r="O295" s="53"/>
      <c r="P295" s="54">
        <f t="shared" si="10"/>
        <v>2500000</v>
      </c>
      <c r="Q295" s="28"/>
    </row>
    <row r="296" spans="2:17" s="17" customFormat="1" ht="13.8">
      <c r="B296" s="51" t="s">
        <v>391</v>
      </c>
      <c r="C296" s="20" t="s">
        <v>0</v>
      </c>
      <c r="D296" s="51" t="s">
        <v>313</v>
      </c>
      <c r="E296" s="51" t="s">
        <v>233</v>
      </c>
      <c r="F296" s="20" t="s">
        <v>376</v>
      </c>
      <c r="G296" s="20" t="s">
        <v>125</v>
      </c>
      <c r="H296" s="51">
        <v>50</v>
      </c>
      <c r="I296" s="51">
        <v>70</v>
      </c>
      <c r="J296" s="20" t="s">
        <v>207</v>
      </c>
      <c r="K296" s="20" t="s">
        <v>35</v>
      </c>
      <c r="L296" s="52">
        <v>2500000</v>
      </c>
      <c r="M296" s="52"/>
      <c r="N296" s="52">
        <f t="shared" si="9"/>
        <v>2500000</v>
      </c>
      <c r="O296" s="53"/>
      <c r="P296" s="54">
        <f t="shared" si="10"/>
        <v>2500000</v>
      </c>
      <c r="Q296" s="29"/>
    </row>
    <row r="297" spans="2:17" s="17" customFormat="1" ht="13.8">
      <c r="B297" s="20" t="s">
        <v>392</v>
      </c>
      <c r="C297" s="20" t="s">
        <v>0</v>
      </c>
      <c r="D297" s="20" t="s">
        <v>313</v>
      </c>
      <c r="E297" s="20" t="s">
        <v>233</v>
      </c>
      <c r="F297" s="20" t="s">
        <v>376</v>
      </c>
      <c r="G297" s="20" t="s">
        <v>127</v>
      </c>
      <c r="H297" s="20">
        <v>50</v>
      </c>
      <c r="I297" s="20">
        <v>70</v>
      </c>
      <c r="J297" s="20" t="s">
        <v>207</v>
      </c>
      <c r="K297" s="20" t="s">
        <v>32</v>
      </c>
      <c r="L297" s="52">
        <v>2500000</v>
      </c>
      <c r="M297" s="52"/>
      <c r="N297" s="52">
        <f t="shared" si="9"/>
        <v>2500000</v>
      </c>
      <c r="O297" s="53"/>
      <c r="P297" s="54">
        <f t="shared" si="10"/>
        <v>2500000</v>
      </c>
      <c r="Q297" s="28"/>
    </row>
    <row r="298" spans="2:17" s="17" customFormat="1" ht="13.8">
      <c r="B298" s="51" t="s">
        <v>393</v>
      </c>
      <c r="C298" s="20" t="s">
        <v>0</v>
      </c>
      <c r="D298" s="51" t="s">
        <v>313</v>
      </c>
      <c r="E298" s="51" t="s">
        <v>243</v>
      </c>
      <c r="F298" s="20" t="s">
        <v>376</v>
      </c>
      <c r="G298" s="20" t="s">
        <v>129</v>
      </c>
      <c r="H298" s="51">
        <v>50</v>
      </c>
      <c r="I298" s="51">
        <v>70</v>
      </c>
      <c r="J298" s="20" t="s">
        <v>207</v>
      </c>
      <c r="K298" s="20" t="s">
        <v>35</v>
      </c>
      <c r="L298" s="52">
        <v>2500000</v>
      </c>
      <c r="M298" s="52"/>
      <c r="N298" s="52">
        <f t="shared" si="9"/>
        <v>2500000</v>
      </c>
      <c r="O298" s="53"/>
      <c r="P298" s="54">
        <f t="shared" si="10"/>
        <v>2500000</v>
      </c>
      <c r="Q298" s="29"/>
    </row>
    <row r="299" spans="2:17" s="17" customFormat="1" ht="13.8">
      <c r="B299" s="20" t="s">
        <v>394</v>
      </c>
      <c r="C299" s="20" t="s">
        <v>0</v>
      </c>
      <c r="D299" s="20" t="s">
        <v>395</v>
      </c>
      <c r="E299" s="20" t="s">
        <v>233</v>
      </c>
      <c r="F299" s="20" t="s">
        <v>396</v>
      </c>
      <c r="G299" s="20" t="s">
        <v>24</v>
      </c>
      <c r="H299" s="20">
        <v>50</v>
      </c>
      <c r="I299" s="20">
        <v>80</v>
      </c>
      <c r="J299" s="20" t="s">
        <v>207</v>
      </c>
      <c r="K299" s="20" t="s">
        <v>48</v>
      </c>
      <c r="L299" s="52">
        <v>2830000</v>
      </c>
      <c r="M299" s="52"/>
      <c r="N299" s="52">
        <f t="shared" si="9"/>
        <v>2830000</v>
      </c>
      <c r="O299" s="53"/>
      <c r="P299" s="54">
        <f t="shared" si="10"/>
        <v>2830000</v>
      </c>
      <c r="Q299" s="28"/>
    </row>
    <row r="300" spans="2:17" s="17" customFormat="1" ht="13.8">
      <c r="B300" s="51" t="s">
        <v>397</v>
      </c>
      <c r="C300" s="20" t="s">
        <v>0</v>
      </c>
      <c r="D300" s="51" t="s">
        <v>395</v>
      </c>
      <c r="E300" s="51" t="s">
        <v>233</v>
      </c>
      <c r="F300" s="20" t="s">
        <v>396</v>
      </c>
      <c r="G300" s="20" t="s">
        <v>28</v>
      </c>
      <c r="H300" s="51">
        <v>50</v>
      </c>
      <c r="I300" s="51">
        <v>70</v>
      </c>
      <c r="J300" s="20" t="s">
        <v>207</v>
      </c>
      <c r="K300" s="20" t="s">
        <v>50</v>
      </c>
      <c r="L300" s="52">
        <v>2500000</v>
      </c>
      <c r="M300" s="52"/>
      <c r="N300" s="52">
        <f t="shared" si="9"/>
        <v>2500000</v>
      </c>
      <c r="O300" s="53"/>
      <c r="P300" s="54">
        <f t="shared" si="10"/>
        <v>2500000</v>
      </c>
      <c r="Q300" s="29"/>
    </row>
    <row r="301" spans="2:17" s="17" customFormat="1" ht="13.8">
      <c r="B301" s="20" t="s">
        <v>398</v>
      </c>
      <c r="C301" s="20" t="s">
        <v>0</v>
      </c>
      <c r="D301" s="20" t="s">
        <v>395</v>
      </c>
      <c r="E301" s="20" t="s">
        <v>233</v>
      </c>
      <c r="F301" s="20" t="s">
        <v>396</v>
      </c>
      <c r="G301" s="20" t="s">
        <v>31</v>
      </c>
      <c r="H301" s="20">
        <v>50</v>
      </c>
      <c r="I301" s="20">
        <v>70</v>
      </c>
      <c r="J301" s="20" t="s">
        <v>207</v>
      </c>
      <c r="K301" s="20" t="s">
        <v>50</v>
      </c>
      <c r="L301" s="52">
        <v>2500000</v>
      </c>
      <c r="M301" s="52"/>
      <c r="N301" s="52">
        <f t="shared" si="9"/>
        <v>2500000</v>
      </c>
      <c r="O301" s="53"/>
      <c r="P301" s="54">
        <f t="shared" si="10"/>
        <v>2500000</v>
      </c>
      <c r="Q301" s="28"/>
    </row>
    <row r="302" spans="2:17" s="17" customFormat="1" ht="13.8">
      <c r="B302" s="51" t="s">
        <v>399</v>
      </c>
      <c r="C302" s="20" t="s">
        <v>0</v>
      </c>
      <c r="D302" s="51" t="s">
        <v>395</v>
      </c>
      <c r="E302" s="51" t="s">
        <v>233</v>
      </c>
      <c r="F302" s="20" t="s">
        <v>396</v>
      </c>
      <c r="G302" s="20" t="s">
        <v>34</v>
      </c>
      <c r="H302" s="51">
        <v>50</v>
      </c>
      <c r="I302" s="51">
        <v>80</v>
      </c>
      <c r="J302" s="20" t="s">
        <v>207</v>
      </c>
      <c r="K302" s="20" t="s">
        <v>48</v>
      </c>
      <c r="L302" s="52">
        <v>2830000</v>
      </c>
      <c r="M302" s="52"/>
      <c r="N302" s="52">
        <f t="shared" si="9"/>
        <v>2830000</v>
      </c>
      <c r="O302" s="53"/>
      <c r="P302" s="54">
        <f t="shared" si="10"/>
        <v>2830000</v>
      </c>
      <c r="Q302" s="29"/>
    </row>
    <row r="303" spans="2:17" s="17" customFormat="1" ht="13.8">
      <c r="B303" s="20" t="s">
        <v>400</v>
      </c>
      <c r="C303" s="20" t="s">
        <v>0</v>
      </c>
      <c r="D303" s="20" t="s">
        <v>395</v>
      </c>
      <c r="E303" s="20" t="s">
        <v>233</v>
      </c>
      <c r="F303" s="20" t="s">
        <v>396</v>
      </c>
      <c r="G303" s="20" t="s">
        <v>37</v>
      </c>
      <c r="H303" s="20">
        <v>50</v>
      </c>
      <c r="I303" s="20">
        <v>80</v>
      </c>
      <c r="J303" s="20" t="s">
        <v>207</v>
      </c>
      <c r="K303" s="20" t="s">
        <v>44</v>
      </c>
      <c r="L303" s="52">
        <v>2830000</v>
      </c>
      <c r="M303" s="52"/>
      <c r="N303" s="52">
        <f t="shared" si="9"/>
        <v>2830000</v>
      </c>
      <c r="O303" s="53"/>
      <c r="P303" s="54">
        <f t="shared" si="10"/>
        <v>2830000</v>
      </c>
      <c r="Q303" s="28"/>
    </row>
    <row r="304" spans="2:17" s="17" customFormat="1" ht="13.8">
      <c r="B304" s="51" t="s">
        <v>401</v>
      </c>
      <c r="C304" s="20" t="s">
        <v>0</v>
      </c>
      <c r="D304" s="51" t="s">
        <v>395</v>
      </c>
      <c r="E304" s="51" t="s">
        <v>233</v>
      </c>
      <c r="F304" s="20" t="s">
        <v>396</v>
      </c>
      <c r="G304" s="20" t="s">
        <v>39</v>
      </c>
      <c r="H304" s="51">
        <v>50</v>
      </c>
      <c r="I304" s="51">
        <v>80</v>
      </c>
      <c r="J304" s="20" t="s">
        <v>207</v>
      </c>
      <c r="K304" s="20" t="s">
        <v>42</v>
      </c>
      <c r="L304" s="52">
        <v>2830000</v>
      </c>
      <c r="M304" s="52"/>
      <c r="N304" s="52">
        <f t="shared" si="9"/>
        <v>2830000</v>
      </c>
      <c r="O304" s="53"/>
      <c r="P304" s="54">
        <f t="shared" si="10"/>
        <v>2830000</v>
      </c>
      <c r="Q304" s="29"/>
    </row>
    <row r="305" spans="2:17" s="17" customFormat="1" ht="13.8">
      <c r="B305" s="20" t="s">
        <v>402</v>
      </c>
      <c r="C305" s="20" t="s">
        <v>0</v>
      </c>
      <c r="D305" s="20" t="s">
        <v>395</v>
      </c>
      <c r="E305" s="20" t="s">
        <v>233</v>
      </c>
      <c r="F305" s="20" t="s">
        <v>396</v>
      </c>
      <c r="G305" s="20" t="s">
        <v>52</v>
      </c>
      <c r="H305" s="20">
        <v>50</v>
      </c>
      <c r="I305" s="20">
        <v>70</v>
      </c>
      <c r="J305" s="20" t="s">
        <v>207</v>
      </c>
      <c r="K305" s="20" t="s">
        <v>42</v>
      </c>
      <c r="L305" s="52">
        <v>2500000</v>
      </c>
      <c r="M305" s="52"/>
      <c r="N305" s="52">
        <f t="shared" si="9"/>
        <v>2500000</v>
      </c>
      <c r="O305" s="53"/>
      <c r="P305" s="54">
        <f t="shared" si="10"/>
        <v>2500000</v>
      </c>
      <c r="Q305" s="28"/>
    </row>
    <row r="306" spans="2:17" s="17" customFormat="1" ht="13.8">
      <c r="B306" s="51" t="s">
        <v>403</v>
      </c>
      <c r="C306" s="20" t="s">
        <v>0</v>
      </c>
      <c r="D306" s="51" t="s">
        <v>395</v>
      </c>
      <c r="E306" s="51" t="s">
        <v>233</v>
      </c>
      <c r="F306" s="20" t="s">
        <v>396</v>
      </c>
      <c r="G306" s="20" t="s">
        <v>54</v>
      </c>
      <c r="H306" s="51">
        <v>50</v>
      </c>
      <c r="I306" s="51">
        <v>80</v>
      </c>
      <c r="J306" s="20" t="s">
        <v>207</v>
      </c>
      <c r="K306" s="20" t="s">
        <v>44</v>
      </c>
      <c r="L306" s="52">
        <v>2830000</v>
      </c>
      <c r="M306" s="52"/>
      <c r="N306" s="52">
        <f t="shared" si="9"/>
        <v>2830000</v>
      </c>
      <c r="O306" s="53"/>
      <c r="P306" s="54">
        <f t="shared" si="10"/>
        <v>2830000</v>
      </c>
      <c r="Q306" s="29"/>
    </row>
    <row r="307" spans="2:17" s="17" customFormat="1" ht="13.8">
      <c r="B307" s="20" t="s">
        <v>404</v>
      </c>
      <c r="C307" s="20" t="s">
        <v>0</v>
      </c>
      <c r="D307" s="20" t="s">
        <v>98</v>
      </c>
      <c r="E307" s="20" t="s">
        <v>22</v>
      </c>
      <c r="F307" s="20" t="s">
        <v>396</v>
      </c>
      <c r="G307" s="20" t="s">
        <v>82</v>
      </c>
      <c r="H307" s="20" t="s">
        <v>99</v>
      </c>
      <c r="I307" s="20">
        <v>100</v>
      </c>
      <c r="J307" s="20" t="s">
        <v>100</v>
      </c>
      <c r="K307" s="20" t="s">
        <v>101</v>
      </c>
      <c r="L307" s="52">
        <v>2843714</v>
      </c>
      <c r="M307" s="52"/>
      <c r="N307" s="52">
        <f t="shared" si="9"/>
        <v>2843714</v>
      </c>
      <c r="O307" s="53">
        <f>N307*12/112</f>
        <v>304683.64285714284</v>
      </c>
      <c r="P307" s="54">
        <f t="shared" si="10"/>
        <v>2539030.3571428573</v>
      </c>
      <c r="Q307" s="28"/>
    </row>
    <row r="308" spans="2:17" s="17" customFormat="1" ht="13.8">
      <c r="B308" s="51" t="s">
        <v>405</v>
      </c>
      <c r="C308" s="20" t="s">
        <v>0</v>
      </c>
      <c r="D308" s="51" t="s">
        <v>21</v>
      </c>
      <c r="E308" s="51" t="s">
        <v>22</v>
      </c>
      <c r="F308" s="20" t="s">
        <v>406</v>
      </c>
      <c r="G308" s="20" t="s">
        <v>24</v>
      </c>
      <c r="H308" s="51">
        <v>50</v>
      </c>
      <c r="I308" s="51">
        <v>105</v>
      </c>
      <c r="J308" s="20" t="s">
        <v>207</v>
      </c>
      <c r="K308" s="20" t="s">
        <v>26</v>
      </c>
      <c r="L308" s="52">
        <v>3655000</v>
      </c>
      <c r="M308" s="52">
        <v>55000</v>
      </c>
      <c r="N308" s="52">
        <f t="shared" si="9"/>
        <v>3600000</v>
      </c>
      <c r="O308" s="53"/>
      <c r="P308" s="54">
        <f t="shared" si="10"/>
        <v>3600000</v>
      </c>
      <c r="Q308" s="29"/>
    </row>
    <row r="309" spans="2:17" s="17" customFormat="1" ht="13.8">
      <c r="B309" s="20" t="s">
        <v>407</v>
      </c>
      <c r="C309" s="20" t="s">
        <v>0</v>
      </c>
      <c r="D309" s="20" t="s">
        <v>21</v>
      </c>
      <c r="E309" s="20" t="s">
        <v>22</v>
      </c>
      <c r="F309" s="20" t="s">
        <v>406</v>
      </c>
      <c r="G309" s="20" t="s">
        <v>28</v>
      </c>
      <c r="H309" s="20">
        <v>50</v>
      </c>
      <c r="I309" s="20">
        <v>105</v>
      </c>
      <c r="J309" s="20" t="s">
        <v>207</v>
      </c>
      <c r="K309" s="20" t="s">
        <v>29</v>
      </c>
      <c r="L309" s="52">
        <v>3655000</v>
      </c>
      <c r="M309" s="52">
        <v>55000</v>
      </c>
      <c r="N309" s="52">
        <f t="shared" si="9"/>
        <v>3600000</v>
      </c>
      <c r="O309" s="53"/>
      <c r="P309" s="54">
        <f t="shared" si="10"/>
        <v>3600000</v>
      </c>
      <c r="Q309" s="28"/>
    </row>
    <row r="310" spans="2:17" s="17" customFormat="1" ht="13.8">
      <c r="B310" s="51" t="s">
        <v>408</v>
      </c>
      <c r="C310" s="20" t="s">
        <v>0</v>
      </c>
      <c r="D310" s="51" t="s">
        <v>395</v>
      </c>
      <c r="E310" s="51" t="s">
        <v>233</v>
      </c>
      <c r="F310" s="20" t="s">
        <v>409</v>
      </c>
      <c r="G310" s="20" t="s">
        <v>24</v>
      </c>
      <c r="H310" s="51">
        <v>50</v>
      </c>
      <c r="I310" s="51">
        <v>90</v>
      </c>
      <c r="J310" s="20" t="s">
        <v>207</v>
      </c>
      <c r="K310" s="20" t="s">
        <v>26</v>
      </c>
      <c r="L310" s="52">
        <v>3160000</v>
      </c>
      <c r="M310" s="52"/>
      <c r="N310" s="52">
        <f t="shared" si="9"/>
        <v>3160000</v>
      </c>
      <c r="O310" s="53"/>
      <c r="P310" s="54">
        <f t="shared" si="10"/>
        <v>3160000</v>
      </c>
      <c r="Q310" s="29"/>
    </row>
    <row r="311" spans="2:17" s="17" customFormat="1" ht="13.8">
      <c r="B311" s="20" t="s">
        <v>410</v>
      </c>
      <c r="C311" s="20" t="s">
        <v>0</v>
      </c>
      <c r="D311" s="20" t="s">
        <v>395</v>
      </c>
      <c r="E311" s="20" t="s">
        <v>233</v>
      </c>
      <c r="F311" s="20" t="s">
        <v>409</v>
      </c>
      <c r="G311" s="20" t="s">
        <v>28</v>
      </c>
      <c r="H311" s="20">
        <v>50</v>
      </c>
      <c r="I311" s="20">
        <v>80</v>
      </c>
      <c r="J311" s="20" t="s">
        <v>207</v>
      </c>
      <c r="K311" s="20" t="s">
        <v>29</v>
      </c>
      <c r="L311" s="52">
        <v>2830000</v>
      </c>
      <c r="M311" s="52"/>
      <c r="N311" s="52">
        <f t="shared" si="9"/>
        <v>2830000</v>
      </c>
      <c r="O311" s="53"/>
      <c r="P311" s="54">
        <f t="shared" si="10"/>
        <v>2830000</v>
      </c>
      <c r="Q311" s="28"/>
    </row>
    <row r="312" spans="2:17" s="17" customFormat="1" ht="13.8">
      <c r="B312" s="51" t="s">
        <v>411</v>
      </c>
      <c r="C312" s="20" t="s">
        <v>0</v>
      </c>
      <c r="D312" s="51" t="s">
        <v>395</v>
      </c>
      <c r="E312" s="51" t="s">
        <v>233</v>
      </c>
      <c r="F312" s="20" t="s">
        <v>409</v>
      </c>
      <c r="G312" s="20" t="s">
        <v>31</v>
      </c>
      <c r="H312" s="51">
        <v>50</v>
      </c>
      <c r="I312" s="51">
        <v>80</v>
      </c>
      <c r="J312" s="20" t="s">
        <v>207</v>
      </c>
      <c r="K312" s="20" t="s">
        <v>29</v>
      </c>
      <c r="L312" s="52">
        <v>2830000</v>
      </c>
      <c r="M312" s="52"/>
      <c r="N312" s="52">
        <f t="shared" si="9"/>
        <v>2830000</v>
      </c>
      <c r="O312" s="53"/>
      <c r="P312" s="54">
        <f t="shared" si="10"/>
        <v>2830000</v>
      </c>
      <c r="Q312" s="29"/>
    </row>
    <row r="313" spans="2:17" s="17" customFormat="1" ht="13.8">
      <c r="B313" s="20" t="s">
        <v>412</v>
      </c>
      <c r="C313" s="20" t="s">
        <v>0</v>
      </c>
      <c r="D313" s="20" t="s">
        <v>395</v>
      </c>
      <c r="E313" s="20" t="s">
        <v>233</v>
      </c>
      <c r="F313" s="20" t="s">
        <v>409</v>
      </c>
      <c r="G313" s="20" t="s">
        <v>34</v>
      </c>
      <c r="H313" s="20">
        <v>50</v>
      </c>
      <c r="I313" s="20">
        <v>90</v>
      </c>
      <c r="J313" s="20" t="s">
        <v>207</v>
      </c>
      <c r="K313" s="20" t="s">
        <v>26</v>
      </c>
      <c r="L313" s="52">
        <v>3160000</v>
      </c>
      <c r="M313" s="52"/>
      <c r="N313" s="52">
        <f t="shared" si="9"/>
        <v>3160000</v>
      </c>
      <c r="O313" s="53"/>
      <c r="P313" s="54">
        <f t="shared" si="10"/>
        <v>3160000</v>
      </c>
      <c r="Q313" s="28"/>
    </row>
    <row r="314" spans="2:17" s="17" customFormat="1" ht="13.8">
      <c r="B314" s="51" t="s">
        <v>413</v>
      </c>
      <c r="C314" s="20" t="s">
        <v>0</v>
      </c>
      <c r="D314" s="51" t="s">
        <v>395</v>
      </c>
      <c r="E314" s="51" t="s">
        <v>233</v>
      </c>
      <c r="F314" s="20" t="s">
        <v>409</v>
      </c>
      <c r="G314" s="20" t="s">
        <v>37</v>
      </c>
      <c r="H314" s="51">
        <v>50</v>
      </c>
      <c r="I314" s="51">
        <v>90</v>
      </c>
      <c r="J314" s="20" t="s">
        <v>207</v>
      </c>
      <c r="K314" s="20" t="s">
        <v>42</v>
      </c>
      <c r="L314" s="52">
        <v>3160000</v>
      </c>
      <c r="M314" s="52"/>
      <c r="N314" s="52">
        <f t="shared" si="9"/>
        <v>3160000</v>
      </c>
      <c r="O314" s="53"/>
      <c r="P314" s="54">
        <f t="shared" si="10"/>
        <v>3160000</v>
      </c>
      <c r="Q314" s="29"/>
    </row>
    <row r="315" spans="2:17" s="17" customFormat="1" ht="13.8">
      <c r="B315" s="20" t="s">
        <v>414</v>
      </c>
      <c r="C315" s="20" t="s">
        <v>0</v>
      </c>
      <c r="D315" s="20" t="s">
        <v>395</v>
      </c>
      <c r="E315" s="20" t="s">
        <v>233</v>
      </c>
      <c r="F315" s="20" t="s">
        <v>409</v>
      </c>
      <c r="G315" s="20" t="s">
        <v>39</v>
      </c>
      <c r="H315" s="20">
        <v>50</v>
      </c>
      <c r="I315" s="20">
        <v>80</v>
      </c>
      <c r="J315" s="20" t="s">
        <v>207</v>
      </c>
      <c r="K315" s="20" t="s">
        <v>44</v>
      </c>
      <c r="L315" s="52">
        <v>2830000</v>
      </c>
      <c r="M315" s="52"/>
      <c r="N315" s="52">
        <f t="shared" si="9"/>
        <v>2830000</v>
      </c>
      <c r="O315" s="53"/>
      <c r="P315" s="54">
        <f t="shared" si="10"/>
        <v>2830000</v>
      </c>
      <c r="Q315" s="28"/>
    </row>
    <row r="316" spans="2:17" s="17" customFormat="1" ht="13.8">
      <c r="B316" s="51" t="s">
        <v>415</v>
      </c>
      <c r="C316" s="20" t="s">
        <v>0</v>
      </c>
      <c r="D316" s="51" t="s">
        <v>395</v>
      </c>
      <c r="E316" s="51" t="s">
        <v>233</v>
      </c>
      <c r="F316" s="20" t="s">
        <v>409</v>
      </c>
      <c r="G316" s="20" t="s">
        <v>52</v>
      </c>
      <c r="H316" s="51">
        <v>50</v>
      </c>
      <c r="I316" s="51">
        <v>80</v>
      </c>
      <c r="J316" s="20" t="s">
        <v>207</v>
      </c>
      <c r="K316" s="20" t="s">
        <v>44</v>
      </c>
      <c r="L316" s="52">
        <v>2830000</v>
      </c>
      <c r="M316" s="52"/>
      <c r="N316" s="52">
        <f t="shared" si="9"/>
        <v>2830000</v>
      </c>
      <c r="O316" s="53"/>
      <c r="P316" s="54">
        <f t="shared" si="10"/>
        <v>2830000</v>
      </c>
      <c r="Q316" s="29"/>
    </row>
    <row r="317" spans="2:17" s="17" customFormat="1" ht="13.8">
      <c r="B317" s="20" t="s">
        <v>416</v>
      </c>
      <c r="C317" s="20" t="s">
        <v>0</v>
      </c>
      <c r="D317" s="20" t="s">
        <v>417</v>
      </c>
      <c r="E317" s="20" t="s">
        <v>22</v>
      </c>
      <c r="F317" s="20" t="s">
        <v>409</v>
      </c>
      <c r="G317" s="20" t="s">
        <v>54</v>
      </c>
      <c r="H317" s="20">
        <v>50</v>
      </c>
      <c r="I317" s="20">
        <v>100</v>
      </c>
      <c r="J317" s="20" t="s">
        <v>207</v>
      </c>
      <c r="K317" s="20" t="s">
        <v>42</v>
      </c>
      <c r="L317" s="52">
        <v>3490000</v>
      </c>
      <c r="M317" s="52"/>
      <c r="N317" s="52">
        <f t="shared" si="9"/>
        <v>3490000</v>
      </c>
      <c r="O317" s="53"/>
      <c r="P317" s="54">
        <f t="shared" si="10"/>
        <v>3490000</v>
      </c>
      <c r="Q317" s="28"/>
    </row>
    <row r="318" spans="2:17" s="17" customFormat="1" ht="13.8">
      <c r="B318" s="51" t="s">
        <v>418</v>
      </c>
      <c r="C318" s="20" t="s">
        <v>0</v>
      </c>
      <c r="D318" s="51" t="s">
        <v>417</v>
      </c>
      <c r="E318" s="51" t="s">
        <v>22</v>
      </c>
      <c r="F318" s="20" t="s">
        <v>419</v>
      </c>
      <c r="G318" s="20" t="s">
        <v>24</v>
      </c>
      <c r="H318" s="51">
        <v>50</v>
      </c>
      <c r="I318" s="51">
        <v>100</v>
      </c>
      <c r="J318" s="20" t="s">
        <v>207</v>
      </c>
      <c r="K318" s="20" t="s">
        <v>48</v>
      </c>
      <c r="L318" s="52">
        <v>3490000</v>
      </c>
      <c r="M318" s="52"/>
      <c r="N318" s="52">
        <f t="shared" si="9"/>
        <v>3490000</v>
      </c>
      <c r="O318" s="53"/>
      <c r="P318" s="54">
        <f t="shared" si="10"/>
        <v>3490000</v>
      </c>
      <c r="Q318" s="29"/>
    </row>
    <row r="319" spans="2:17" s="17" customFormat="1" ht="13.8">
      <c r="B319" s="20" t="s">
        <v>420</v>
      </c>
      <c r="C319" s="20" t="s">
        <v>0</v>
      </c>
      <c r="D319" s="20" t="s">
        <v>395</v>
      </c>
      <c r="E319" s="20" t="s">
        <v>233</v>
      </c>
      <c r="F319" s="20" t="s">
        <v>419</v>
      </c>
      <c r="G319" s="20" t="s">
        <v>28</v>
      </c>
      <c r="H319" s="20">
        <v>50</v>
      </c>
      <c r="I319" s="20">
        <v>80</v>
      </c>
      <c r="J319" s="20" t="s">
        <v>207</v>
      </c>
      <c r="K319" s="20" t="s">
        <v>50</v>
      </c>
      <c r="L319" s="52">
        <v>2830000</v>
      </c>
      <c r="M319" s="52"/>
      <c r="N319" s="52">
        <f t="shared" si="9"/>
        <v>2830000</v>
      </c>
      <c r="O319" s="53"/>
      <c r="P319" s="54">
        <f t="shared" si="10"/>
        <v>2830000</v>
      </c>
      <c r="Q319" s="28"/>
    </row>
    <row r="320" spans="2:17" s="17" customFormat="1" ht="13.8">
      <c r="B320" s="51" t="s">
        <v>421</v>
      </c>
      <c r="C320" s="20" t="s">
        <v>0</v>
      </c>
      <c r="D320" s="51" t="s">
        <v>395</v>
      </c>
      <c r="E320" s="51" t="s">
        <v>233</v>
      </c>
      <c r="F320" s="20" t="s">
        <v>419</v>
      </c>
      <c r="G320" s="20" t="s">
        <v>31</v>
      </c>
      <c r="H320" s="51">
        <v>50</v>
      </c>
      <c r="I320" s="51">
        <v>80</v>
      </c>
      <c r="J320" s="20" t="s">
        <v>207</v>
      </c>
      <c r="K320" s="20" t="s">
        <v>50</v>
      </c>
      <c r="L320" s="52">
        <v>2830000</v>
      </c>
      <c r="M320" s="52"/>
      <c r="N320" s="52">
        <f t="shared" si="9"/>
        <v>2830000</v>
      </c>
      <c r="O320" s="53"/>
      <c r="P320" s="54">
        <f t="shared" si="10"/>
        <v>2830000</v>
      </c>
      <c r="Q320" s="29"/>
    </row>
    <row r="321" spans="2:17" s="17" customFormat="1" ht="13.8">
      <c r="B321" s="20" t="s">
        <v>422</v>
      </c>
      <c r="C321" s="20" t="s">
        <v>0</v>
      </c>
      <c r="D321" s="20" t="s">
        <v>395</v>
      </c>
      <c r="E321" s="20" t="s">
        <v>233</v>
      </c>
      <c r="F321" s="20" t="s">
        <v>419</v>
      </c>
      <c r="G321" s="20" t="s">
        <v>34</v>
      </c>
      <c r="H321" s="20">
        <v>50</v>
      </c>
      <c r="I321" s="20">
        <v>90</v>
      </c>
      <c r="J321" s="20" t="s">
        <v>207</v>
      </c>
      <c r="K321" s="20" t="s">
        <v>48</v>
      </c>
      <c r="L321" s="52">
        <v>3160000</v>
      </c>
      <c r="M321" s="52"/>
      <c r="N321" s="52">
        <f t="shared" si="9"/>
        <v>3160000</v>
      </c>
      <c r="O321" s="53"/>
      <c r="P321" s="54">
        <f t="shared" si="10"/>
        <v>3160000</v>
      </c>
      <c r="Q321" s="28"/>
    </row>
    <row r="322" spans="2:17" s="17" customFormat="1" ht="13.8">
      <c r="B322" s="51" t="s">
        <v>423</v>
      </c>
      <c r="C322" s="20" t="s">
        <v>0</v>
      </c>
      <c r="D322" s="51" t="s">
        <v>395</v>
      </c>
      <c r="E322" s="51" t="s">
        <v>233</v>
      </c>
      <c r="F322" s="20" t="s">
        <v>419</v>
      </c>
      <c r="G322" s="20" t="s">
        <v>37</v>
      </c>
      <c r="H322" s="51">
        <v>50</v>
      </c>
      <c r="I322" s="51">
        <v>90</v>
      </c>
      <c r="J322" s="20" t="s">
        <v>207</v>
      </c>
      <c r="K322" s="20" t="s">
        <v>32</v>
      </c>
      <c r="L322" s="52">
        <v>3160000</v>
      </c>
      <c r="M322" s="52"/>
      <c r="N322" s="52">
        <f t="shared" si="9"/>
        <v>3160000</v>
      </c>
      <c r="O322" s="53"/>
      <c r="P322" s="54">
        <f t="shared" si="10"/>
        <v>3160000</v>
      </c>
      <c r="Q322" s="29"/>
    </row>
    <row r="323" spans="2:17" s="17" customFormat="1" ht="13.8">
      <c r="B323" s="20" t="s">
        <v>424</v>
      </c>
      <c r="C323" s="20" t="s">
        <v>0</v>
      </c>
      <c r="D323" s="20" t="s">
        <v>395</v>
      </c>
      <c r="E323" s="20" t="s">
        <v>233</v>
      </c>
      <c r="F323" s="20" t="s">
        <v>419</v>
      </c>
      <c r="G323" s="20" t="s">
        <v>39</v>
      </c>
      <c r="H323" s="20">
        <v>50</v>
      </c>
      <c r="I323" s="20">
        <v>80</v>
      </c>
      <c r="J323" s="20" t="s">
        <v>207</v>
      </c>
      <c r="K323" s="20" t="s">
        <v>35</v>
      </c>
      <c r="L323" s="52">
        <v>2830000</v>
      </c>
      <c r="M323" s="52"/>
      <c r="N323" s="52">
        <f t="shared" si="9"/>
        <v>2830000</v>
      </c>
      <c r="O323" s="53"/>
      <c r="P323" s="54">
        <f t="shared" si="10"/>
        <v>2830000</v>
      </c>
      <c r="Q323" s="28"/>
    </row>
    <row r="324" spans="2:17" s="17" customFormat="1" ht="13.8">
      <c r="B324" s="51" t="s">
        <v>425</v>
      </c>
      <c r="C324" s="20" t="s">
        <v>0</v>
      </c>
      <c r="D324" s="51" t="s">
        <v>395</v>
      </c>
      <c r="E324" s="51" t="s">
        <v>233</v>
      </c>
      <c r="F324" s="20" t="s">
        <v>419</v>
      </c>
      <c r="G324" s="20" t="s">
        <v>52</v>
      </c>
      <c r="H324" s="51">
        <v>50</v>
      </c>
      <c r="I324" s="51">
        <v>80</v>
      </c>
      <c r="J324" s="20" t="s">
        <v>207</v>
      </c>
      <c r="K324" s="20" t="s">
        <v>35</v>
      </c>
      <c r="L324" s="52">
        <v>2830000</v>
      </c>
      <c r="M324" s="52"/>
      <c r="N324" s="52">
        <f t="shared" si="9"/>
        <v>2830000</v>
      </c>
      <c r="O324" s="53"/>
      <c r="P324" s="54">
        <f t="shared" si="10"/>
        <v>2830000</v>
      </c>
      <c r="Q324" s="29"/>
    </row>
    <row r="325" spans="2:17" s="17" customFormat="1" ht="13.8">
      <c r="B325" s="20" t="s">
        <v>426</v>
      </c>
      <c r="C325" s="20" t="s">
        <v>0</v>
      </c>
      <c r="D325" s="20" t="s">
        <v>417</v>
      </c>
      <c r="E325" s="20" t="s">
        <v>22</v>
      </c>
      <c r="F325" s="20" t="s">
        <v>419</v>
      </c>
      <c r="G325" s="20" t="s">
        <v>54</v>
      </c>
      <c r="H325" s="20">
        <v>50</v>
      </c>
      <c r="I325" s="20">
        <v>100</v>
      </c>
      <c r="J325" s="20" t="s">
        <v>207</v>
      </c>
      <c r="K325" s="20" t="s">
        <v>32</v>
      </c>
      <c r="L325" s="52">
        <v>3490000</v>
      </c>
      <c r="M325" s="52"/>
      <c r="N325" s="52">
        <f t="shared" si="9"/>
        <v>3490000</v>
      </c>
      <c r="O325" s="53"/>
      <c r="P325" s="54">
        <f t="shared" si="10"/>
        <v>3490000</v>
      </c>
      <c r="Q325" s="28"/>
    </row>
    <row r="326" spans="2:17" s="17" customFormat="1" ht="13.8">
      <c r="B326" s="51" t="s">
        <v>427</v>
      </c>
      <c r="C326" s="20" t="s">
        <v>0</v>
      </c>
      <c r="D326" s="51" t="s">
        <v>395</v>
      </c>
      <c r="E326" s="51" t="s">
        <v>243</v>
      </c>
      <c r="F326" s="20" t="s">
        <v>428</v>
      </c>
      <c r="G326" s="20" t="s">
        <v>24</v>
      </c>
      <c r="H326" s="51">
        <v>50</v>
      </c>
      <c r="I326" s="51">
        <v>70</v>
      </c>
      <c r="J326" s="20" t="s">
        <v>207</v>
      </c>
      <c r="K326" s="20" t="s">
        <v>35</v>
      </c>
      <c r="L326" s="52">
        <v>2500000</v>
      </c>
      <c r="M326" s="52"/>
      <c r="N326" s="52">
        <f t="shared" si="9"/>
        <v>2500000</v>
      </c>
      <c r="O326" s="53"/>
      <c r="P326" s="54">
        <f t="shared" si="10"/>
        <v>2500000</v>
      </c>
      <c r="Q326" s="29"/>
    </row>
    <row r="327" spans="2:17" s="17" customFormat="1" ht="13.8">
      <c r="B327" s="20" t="s">
        <v>429</v>
      </c>
      <c r="C327" s="20" t="s">
        <v>0</v>
      </c>
      <c r="D327" s="20" t="s">
        <v>395</v>
      </c>
      <c r="E327" s="20" t="s">
        <v>233</v>
      </c>
      <c r="F327" s="20" t="s">
        <v>428</v>
      </c>
      <c r="G327" s="20" t="s">
        <v>28</v>
      </c>
      <c r="H327" s="20">
        <v>50</v>
      </c>
      <c r="I327" s="20">
        <v>70</v>
      </c>
      <c r="J327" s="20" t="s">
        <v>207</v>
      </c>
      <c r="K327" s="20" t="s">
        <v>32</v>
      </c>
      <c r="L327" s="52">
        <v>2500000</v>
      </c>
      <c r="M327" s="52"/>
      <c r="N327" s="52">
        <f t="shared" si="9"/>
        <v>2500000</v>
      </c>
      <c r="O327" s="53"/>
      <c r="P327" s="54">
        <f t="shared" si="10"/>
        <v>2500000</v>
      </c>
      <c r="Q327" s="28"/>
    </row>
    <row r="328" spans="2:17" s="17" customFormat="1" ht="13.8">
      <c r="B328" s="51" t="s">
        <v>430</v>
      </c>
      <c r="C328" s="20" t="s">
        <v>0</v>
      </c>
      <c r="D328" s="51" t="s">
        <v>395</v>
      </c>
      <c r="E328" s="51" t="s">
        <v>233</v>
      </c>
      <c r="F328" s="20" t="s">
        <v>428</v>
      </c>
      <c r="G328" s="20" t="s">
        <v>31</v>
      </c>
      <c r="H328" s="51">
        <v>50</v>
      </c>
      <c r="I328" s="51">
        <v>70</v>
      </c>
      <c r="J328" s="20" t="s">
        <v>207</v>
      </c>
      <c r="K328" s="20" t="s">
        <v>32</v>
      </c>
      <c r="L328" s="52">
        <v>2500000</v>
      </c>
      <c r="M328" s="52"/>
      <c r="N328" s="52">
        <f t="shared" ref="N328:N391" si="11">L328-M328</f>
        <v>2500000</v>
      </c>
      <c r="O328" s="53"/>
      <c r="P328" s="54">
        <f t="shared" ref="P328:P391" si="12">N328-O328</f>
        <v>2500000</v>
      </c>
      <c r="Q328" s="29"/>
    </row>
    <row r="329" spans="2:17" s="17" customFormat="1" ht="13.8">
      <c r="B329" s="20" t="s">
        <v>431</v>
      </c>
      <c r="C329" s="20" t="s">
        <v>0</v>
      </c>
      <c r="D329" s="20" t="s">
        <v>395</v>
      </c>
      <c r="E329" s="20" t="s">
        <v>243</v>
      </c>
      <c r="F329" s="20" t="s">
        <v>428</v>
      </c>
      <c r="G329" s="20" t="s">
        <v>34</v>
      </c>
      <c r="H329" s="20">
        <v>50</v>
      </c>
      <c r="I329" s="20">
        <v>83</v>
      </c>
      <c r="J329" s="20" t="s">
        <v>207</v>
      </c>
      <c r="K329" s="20" t="s">
        <v>35</v>
      </c>
      <c r="L329" s="52">
        <v>2929000</v>
      </c>
      <c r="M329" s="52"/>
      <c r="N329" s="52">
        <f t="shared" si="11"/>
        <v>2929000</v>
      </c>
      <c r="O329" s="53"/>
      <c r="P329" s="54">
        <f t="shared" si="12"/>
        <v>2929000</v>
      </c>
      <c r="Q329" s="28"/>
    </row>
    <row r="330" spans="2:17" s="17" customFormat="1" ht="13.8">
      <c r="B330" s="51" t="s">
        <v>432</v>
      </c>
      <c r="C330" s="20" t="s">
        <v>0</v>
      </c>
      <c r="D330" s="51" t="s">
        <v>395</v>
      </c>
      <c r="E330" s="51" t="s">
        <v>233</v>
      </c>
      <c r="F330" s="20" t="s">
        <v>428</v>
      </c>
      <c r="G330" s="20" t="s">
        <v>37</v>
      </c>
      <c r="H330" s="51">
        <v>50</v>
      </c>
      <c r="I330" s="51">
        <v>83</v>
      </c>
      <c r="J330" s="20" t="s">
        <v>207</v>
      </c>
      <c r="K330" s="20" t="s">
        <v>42</v>
      </c>
      <c r="L330" s="52">
        <v>2929000</v>
      </c>
      <c r="M330" s="52"/>
      <c r="N330" s="52">
        <f t="shared" si="11"/>
        <v>2929000</v>
      </c>
      <c r="O330" s="53"/>
      <c r="P330" s="54">
        <f t="shared" si="12"/>
        <v>2929000</v>
      </c>
      <c r="Q330" s="29"/>
    </row>
    <row r="331" spans="2:17" s="17" customFormat="1" ht="13.8">
      <c r="B331" s="20" t="s">
        <v>433</v>
      </c>
      <c r="C331" s="20" t="s">
        <v>0</v>
      </c>
      <c r="D331" s="20" t="s">
        <v>395</v>
      </c>
      <c r="E331" s="20" t="s">
        <v>233</v>
      </c>
      <c r="F331" s="20" t="s">
        <v>428</v>
      </c>
      <c r="G331" s="20" t="s">
        <v>39</v>
      </c>
      <c r="H331" s="20">
        <v>50</v>
      </c>
      <c r="I331" s="20">
        <v>70</v>
      </c>
      <c r="J331" s="20" t="s">
        <v>207</v>
      </c>
      <c r="K331" s="20" t="s">
        <v>44</v>
      </c>
      <c r="L331" s="52">
        <v>2500000</v>
      </c>
      <c r="M331" s="52"/>
      <c r="N331" s="52">
        <f t="shared" si="11"/>
        <v>2500000</v>
      </c>
      <c r="O331" s="53"/>
      <c r="P331" s="54">
        <f t="shared" si="12"/>
        <v>2500000</v>
      </c>
      <c r="Q331" s="28"/>
    </row>
    <row r="332" spans="2:17" s="17" customFormat="1" ht="13.8">
      <c r="B332" s="51" t="s">
        <v>434</v>
      </c>
      <c r="C332" s="20" t="s">
        <v>0</v>
      </c>
      <c r="D332" s="51" t="s">
        <v>395</v>
      </c>
      <c r="E332" s="51" t="s">
        <v>243</v>
      </c>
      <c r="F332" s="20" t="s">
        <v>428</v>
      </c>
      <c r="G332" s="20" t="s">
        <v>52</v>
      </c>
      <c r="H332" s="51">
        <v>50</v>
      </c>
      <c r="I332" s="51">
        <v>70</v>
      </c>
      <c r="J332" s="20" t="s">
        <v>207</v>
      </c>
      <c r="K332" s="20" t="s">
        <v>44</v>
      </c>
      <c r="L332" s="52">
        <v>2500000</v>
      </c>
      <c r="M332" s="52"/>
      <c r="N332" s="52">
        <f t="shared" si="11"/>
        <v>2500000</v>
      </c>
      <c r="O332" s="53"/>
      <c r="P332" s="54">
        <f t="shared" si="12"/>
        <v>2500000</v>
      </c>
      <c r="Q332" s="29"/>
    </row>
    <row r="333" spans="2:17" s="17" customFormat="1" ht="13.8">
      <c r="B333" s="20" t="s">
        <v>435</v>
      </c>
      <c r="C333" s="20" t="s">
        <v>0</v>
      </c>
      <c r="D333" s="20" t="s">
        <v>395</v>
      </c>
      <c r="E333" s="20" t="s">
        <v>243</v>
      </c>
      <c r="F333" s="20" t="s">
        <v>428</v>
      </c>
      <c r="G333" s="20" t="s">
        <v>54</v>
      </c>
      <c r="H333" s="20">
        <v>50</v>
      </c>
      <c r="I333" s="20">
        <v>70</v>
      </c>
      <c r="J333" s="20" t="s">
        <v>207</v>
      </c>
      <c r="K333" s="20" t="s">
        <v>42</v>
      </c>
      <c r="L333" s="52">
        <v>2500000</v>
      </c>
      <c r="M333" s="52"/>
      <c r="N333" s="52">
        <f t="shared" si="11"/>
        <v>2500000</v>
      </c>
      <c r="O333" s="53"/>
      <c r="P333" s="54">
        <f t="shared" si="12"/>
        <v>2500000</v>
      </c>
      <c r="Q333" s="28"/>
    </row>
    <row r="334" spans="2:17" s="17" customFormat="1" ht="13.8">
      <c r="B334" s="51" t="s">
        <v>436</v>
      </c>
      <c r="C334" s="20" t="s">
        <v>0</v>
      </c>
      <c r="D334" s="51" t="s">
        <v>21</v>
      </c>
      <c r="E334" s="51" t="s">
        <v>205</v>
      </c>
      <c r="F334" s="20" t="s">
        <v>437</v>
      </c>
      <c r="G334" s="20" t="s">
        <v>24</v>
      </c>
      <c r="H334" s="51">
        <v>50</v>
      </c>
      <c r="I334" s="51">
        <v>79</v>
      </c>
      <c r="J334" s="20" t="s">
        <v>207</v>
      </c>
      <c r="K334" s="20" t="s">
        <v>44</v>
      </c>
      <c r="L334" s="52">
        <v>2797000</v>
      </c>
      <c r="M334" s="52"/>
      <c r="N334" s="52">
        <f t="shared" si="11"/>
        <v>2797000</v>
      </c>
      <c r="O334" s="53"/>
      <c r="P334" s="54">
        <f t="shared" si="12"/>
        <v>2797000</v>
      </c>
      <c r="Q334" s="29"/>
    </row>
    <row r="335" spans="2:17" s="17" customFormat="1" ht="13.8">
      <c r="B335" s="20" t="s">
        <v>438</v>
      </c>
      <c r="C335" s="20" t="s">
        <v>0</v>
      </c>
      <c r="D335" s="20" t="s">
        <v>21</v>
      </c>
      <c r="E335" s="20" t="s">
        <v>22</v>
      </c>
      <c r="F335" s="20" t="s">
        <v>437</v>
      </c>
      <c r="G335" s="20" t="s">
        <v>28</v>
      </c>
      <c r="H335" s="20">
        <v>50</v>
      </c>
      <c r="I335" s="20">
        <v>70</v>
      </c>
      <c r="J335" s="20" t="s">
        <v>207</v>
      </c>
      <c r="K335" s="20" t="s">
        <v>42</v>
      </c>
      <c r="L335" s="52">
        <v>2500000</v>
      </c>
      <c r="M335" s="52"/>
      <c r="N335" s="52">
        <f t="shared" si="11"/>
        <v>2500000</v>
      </c>
      <c r="O335" s="53"/>
      <c r="P335" s="54">
        <f t="shared" si="12"/>
        <v>2500000</v>
      </c>
      <c r="Q335" s="28"/>
    </row>
    <row r="336" spans="2:17" s="17" customFormat="1" ht="13.8">
      <c r="B336" s="51" t="s">
        <v>439</v>
      </c>
      <c r="C336" s="20" t="s">
        <v>0</v>
      </c>
      <c r="D336" s="51" t="s">
        <v>21</v>
      </c>
      <c r="E336" s="51" t="s">
        <v>22</v>
      </c>
      <c r="F336" s="20" t="s">
        <v>437</v>
      </c>
      <c r="G336" s="20" t="s">
        <v>31</v>
      </c>
      <c r="H336" s="51">
        <v>50</v>
      </c>
      <c r="I336" s="51">
        <v>70</v>
      </c>
      <c r="J336" s="20" t="s">
        <v>207</v>
      </c>
      <c r="K336" s="20" t="s">
        <v>42</v>
      </c>
      <c r="L336" s="52">
        <v>2500000</v>
      </c>
      <c r="M336" s="52"/>
      <c r="N336" s="52">
        <f t="shared" si="11"/>
        <v>2500000</v>
      </c>
      <c r="O336" s="53"/>
      <c r="P336" s="54">
        <f t="shared" si="12"/>
        <v>2500000</v>
      </c>
      <c r="Q336" s="29"/>
    </row>
    <row r="337" spans="2:17" s="17" customFormat="1" ht="13.8">
      <c r="B337" s="20" t="s">
        <v>440</v>
      </c>
      <c r="C337" s="20" t="s">
        <v>0</v>
      </c>
      <c r="D337" s="20" t="s">
        <v>21</v>
      </c>
      <c r="E337" s="20" t="s">
        <v>22</v>
      </c>
      <c r="F337" s="20" t="s">
        <v>437</v>
      </c>
      <c r="G337" s="20" t="s">
        <v>34</v>
      </c>
      <c r="H337" s="20">
        <v>50</v>
      </c>
      <c r="I337" s="20">
        <v>70</v>
      </c>
      <c r="J337" s="20" t="s">
        <v>207</v>
      </c>
      <c r="K337" s="20" t="s">
        <v>44</v>
      </c>
      <c r="L337" s="52">
        <v>2500000</v>
      </c>
      <c r="M337" s="52"/>
      <c r="N337" s="52">
        <f t="shared" si="11"/>
        <v>2500000</v>
      </c>
      <c r="O337" s="53"/>
      <c r="P337" s="54">
        <f t="shared" si="12"/>
        <v>2500000</v>
      </c>
      <c r="Q337" s="28"/>
    </row>
    <row r="338" spans="2:17" s="17" customFormat="1" ht="13.8">
      <c r="B338" s="51" t="s">
        <v>441</v>
      </c>
      <c r="C338" s="20" t="s">
        <v>0</v>
      </c>
      <c r="D338" s="51" t="s">
        <v>21</v>
      </c>
      <c r="E338" s="51" t="s">
        <v>22</v>
      </c>
      <c r="F338" s="20" t="s">
        <v>437</v>
      </c>
      <c r="G338" s="20" t="s">
        <v>37</v>
      </c>
      <c r="H338" s="51">
        <v>50</v>
      </c>
      <c r="I338" s="51">
        <v>70</v>
      </c>
      <c r="J338" s="20" t="s">
        <v>207</v>
      </c>
      <c r="K338" s="20" t="s">
        <v>35</v>
      </c>
      <c r="L338" s="52">
        <v>2500000</v>
      </c>
      <c r="M338" s="52"/>
      <c r="N338" s="52">
        <f t="shared" si="11"/>
        <v>2500000</v>
      </c>
      <c r="O338" s="53"/>
      <c r="P338" s="54">
        <f t="shared" si="12"/>
        <v>2500000</v>
      </c>
      <c r="Q338" s="29"/>
    </row>
    <row r="339" spans="2:17" s="17" customFormat="1" ht="13.8">
      <c r="B339" s="20" t="s">
        <v>442</v>
      </c>
      <c r="C339" s="20" t="s">
        <v>0</v>
      </c>
      <c r="D339" s="20" t="s">
        <v>21</v>
      </c>
      <c r="E339" s="20" t="s">
        <v>22</v>
      </c>
      <c r="F339" s="20" t="s">
        <v>437</v>
      </c>
      <c r="G339" s="20" t="s">
        <v>39</v>
      </c>
      <c r="H339" s="20">
        <v>50</v>
      </c>
      <c r="I339" s="20">
        <v>70</v>
      </c>
      <c r="J339" s="20" t="s">
        <v>207</v>
      </c>
      <c r="K339" s="20" t="s">
        <v>32</v>
      </c>
      <c r="L339" s="52">
        <v>2500000</v>
      </c>
      <c r="M339" s="52"/>
      <c r="N339" s="52">
        <f t="shared" si="11"/>
        <v>2500000</v>
      </c>
      <c r="O339" s="53"/>
      <c r="P339" s="54">
        <f t="shared" si="12"/>
        <v>2500000</v>
      </c>
      <c r="Q339" s="28"/>
    </row>
    <row r="340" spans="2:17" s="17" customFormat="1" ht="13.8">
      <c r="B340" s="51" t="s">
        <v>443</v>
      </c>
      <c r="C340" s="20" t="s">
        <v>0</v>
      </c>
      <c r="D340" s="51" t="s">
        <v>21</v>
      </c>
      <c r="E340" s="51" t="s">
        <v>22</v>
      </c>
      <c r="F340" s="20" t="s">
        <v>437</v>
      </c>
      <c r="G340" s="20" t="s">
        <v>52</v>
      </c>
      <c r="H340" s="51">
        <v>50</v>
      </c>
      <c r="I340" s="51">
        <v>70</v>
      </c>
      <c r="J340" s="20" t="s">
        <v>207</v>
      </c>
      <c r="K340" s="20" t="s">
        <v>32</v>
      </c>
      <c r="L340" s="52">
        <v>2500000</v>
      </c>
      <c r="M340" s="52"/>
      <c r="N340" s="52">
        <f t="shared" si="11"/>
        <v>2500000</v>
      </c>
      <c r="O340" s="53"/>
      <c r="P340" s="54">
        <f t="shared" si="12"/>
        <v>2500000</v>
      </c>
      <c r="Q340" s="29"/>
    </row>
    <row r="341" spans="2:17" s="17" customFormat="1" ht="13.8">
      <c r="B341" s="20" t="s">
        <v>444</v>
      </c>
      <c r="C341" s="20" t="s">
        <v>0</v>
      </c>
      <c r="D341" s="20" t="s">
        <v>21</v>
      </c>
      <c r="E341" s="20" t="s">
        <v>22</v>
      </c>
      <c r="F341" s="20" t="s">
        <v>437</v>
      </c>
      <c r="G341" s="20" t="s">
        <v>54</v>
      </c>
      <c r="H341" s="20">
        <v>50</v>
      </c>
      <c r="I341" s="20">
        <v>70</v>
      </c>
      <c r="J341" s="20" t="s">
        <v>207</v>
      </c>
      <c r="K341" s="20" t="s">
        <v>35</v>
      </c>
      <c r="L341" s="52">
        <v>2500000</v>
      </c>
      <c r="M341" s="52"/>
      <c r="N341" s="52">
        <f t="shared" si="11"/>
        <v>2500000</v>
      </c>
      <c r="O341" s="53"/>
      <c r="P341" s="54">
        <f t="shared" si="12"/>
        <v>2500000</v>
      </c>
      <c r="Q341" s="28"/>
    </row>
    <row r="342" spans="2:17" s="17" customFormat="1" ht="13.8">
      <c r="B342" s="51" t="s">
        <v>445</v>
      </c>
      <c r="C342" s="20" t="s">
        <v>0</v>
      </c>
      <c r="D342" s="51" t="s">
        <v>21</v>
      </c>
      <c r="E342" s="51" t="s">
        <v>22</v>
      </c>
      <c r="F342" s="20" t="s">
        <v>437</v>
      </c>
      <c r="G342" s="20" t="s">
        <v>82</v>
      </c>
      <c r="H342" s="51">
        <v>50</v>
      </c>
      <c r="I342" s="51">
        <v>70</v>
      </c>
      <c r="J342" s="20" t="s">
        <v>207</v>
      </c>
      <c r="K342" s="20" t="s">
        <v>48</v>
      </c>
      <c r="L342" s="52">
        <v>2500000</v>
      </c>
      <c r="M342" s="52"/>
      <c r="N342" s="52">
        <f t="shared" si="11"/>
        <v>2500000</v>
      </c>
      <c r="O342" s="53"/>
      <c r="P342" s="54">
        <f t="shared" si="12"/>
        <v>2500000</v>
      </c>
      <c r="Q342" s="29"/>
    </row>
    <row r="343" spans="2:17" s="17" customFormat="1" ht="13.8">
      <c r="B343" s="20" t="s">
        <v>446</v>
      </c>
      <c r="C343" s="20" t="s">
        <v>0</v>
      </c>
      <c r="D343" s="20" t="s">
        <v>21</v>
      </c>
      <c r="E343" s="20" t="s">
        <v>22</v>
      </c>
      <c r="F343" s="20" t="s">
        <v>437</v>
      </c>
      <c r="G343" s="20" t="s">
        <v>84</v>
      </c>
      <c r="H343" s="20">
        <v>50</v>
      </c>
      <c r="I343" s="20">
        <v>70</v>
      </c>
      <c r="J343" s="20" t="s">
        <v>207</v>
      </c>
      <c r="K343" s="20" t="s">
        <v>50</v>
      </c>
      <c r="L343" s="52">
        <v>2500000</v>
      </c>
      <c r="M343" s="52"/>
      <c r="N343" s="52">
        <f t="shared" si="11"/>
        <v>2500000</v>
      </c>
      <c r="O343" s="53"/>
      <c r="P343" s="54">
        <f t="shared" si="12"/>
        <v>2500000</v>
      </c>
      <c r="Q343" s="28"/>
    </row>
    <row r="344" spans="2:17" s="17" customFormat="1" ht="13.8">
      <c r="B344" s="51" t="s">
        <v>447</v>
      </c>
      <c r="C344" s="20" t="s">
        <v>0</v>
      </c>
      <c r="D344" s="51" t="s">
        <v>395</v>
      </c>
      <c r="E344" s="51" t="s">
        <v>233</v>
      </c>
      <c r="F344" s="20" t="s">
        <v>437</v>
      </c>
      <c r="G344" s="20" t="s">
        <v>86</v>
      </c>
      <c r="H344" s="51">
        <v>50</v>
      </c>
      <c r="I344" s="51">
        <v>70</v>
      </c>
      <c r="J344" s="20" t="s">
        <v>207</v>
      </c>
      <c r="K344" s="20" t="s">
        <v>50</v>
      </c>
      <c r="L344" s="52">
        <v>2500000</v>
      </c>
      <c r="M344" s="52"/>
      <c r="N344" s="52">
        <f t="shared" si="11"/>
        <v>2500000</v>
      </c>
      <c r="O344" s="53"/>
      <c r="P344" s="54">
        <f t="shared" si="12"/>
        <v>2500000</v>
      </c>
      <c r="Q344" s="29"/>
    </row>
    <row r="345" spans="2:17" s="17" customFormat="1" ht="13.8">
      <c r="B345" s="20" t="s">
        <v>448</v>
      </c>
      <c r="C345" s="20" t="s">
        <v>0</v>
      </c>
      <c r="D345" s="20" t="s">
        <v>395</v>
      </c>
      <c r="E345" s="20" t="s">
        <v>233</v>
      </c>
      <c r="F345" s="20" t="s">
        <v>437</v>
      </c>
      <c r="G345" s="20" t="s">
        <v>88</v>
      </c>
      <c r="H345" s="20">
        <v>50</v>
      </c>
      <c r="I345" s="20">
        <v>70</v>
      </c>
      <c r="J345" s="20" t="s">
        <v>207</v>
      </c>
      <c r="K345" s="20" t="s">
        <v>48</v>
      </c>
      <c r="L345" s="52">
        <v>2500000</v>
      </c>
      <c r="M345" s="52"/>
      <c r="N345" s="52">
        <f t="shared" si="11"/>
        <v>2500000</v>
      </c>
      <c r="O345" s="53"/>
      <c r="P345" s="54">
        <f t="shared" si="12"/>
        <v>2500000</v>
      </c>
      <c r="Q345" s="28"/>
    </row>
    <row r="346" spans="2:17" s="17" customFormat="1" ht="13.8">
      <c r="B346" s="51" t="s">
        <v>449</v>
      </c>
      <c r="C346" s="20" t="s">
        <v>0</v>
      </c>
      <c r="D346" s="51" t="s">
        <v>395</v>
      </c>
      <c r="E346" s="51" t="s">
        <v>233</v>
      </c>
      <c r="F346" s="20" t="s">
        <v>437</v>
      </c>
      <c r="G346" s="20" t="s">
        <v>90</v>
      </c>
      <c r="H346" s="51">
        <v>50</v>
      </c>
      <c r="I346" s="51">
        <v>70</v>
      </c>
      <c r="J346" s="20" t="s">
        <v>207</v>
      </c>
      <c r="K346" s="20" t="s">
        <v>26</v>
      </c>
      <c r="L346" s="52">
        <v>2500000</v>
      </c>
      <c r="M346" s="52"/>
      <c r="N346" s="52">
        <f t="shared" si="11"/>
        <v>2500000</v>
      </c>
      <c r="O346" s="53"/>
      <c r="P346" s="54">
        <f t="shared" si="12"/>
        <v>2500000</v>
      </c>
      <c r="Q346" s="29"/>
    </row>
    <row r="347" spans="2:17" s="17" customFormat="1" ht="13.8">
      <c r="B347" s="20" t="s">
        <v>450</v>
      </c>
      <c r="C347" s="20" t="s">
        <v>0</v>
      </c>
      <c r="D347" s="20" t="s">
        <v>395</v>
      </c>
      <c r="E347" s="20" t="s">
        <v>233</v>
      </c>
      <c r="F347" s="20" t="s">
        <v>437</v>
      </c>
      <c r="G347" s="20" t="s">
        <v>92</v>
      </c>
      <c r="H347" s="20">
        <v>50</v>
      </c>
      <c r="I347" s="20">
        <v>70</v>
      </c>
      <c r="J347" s="20" t="s">
        <v>207</v>
      </c>
      <c r="K347" s="20" t="s">
        <v>29</v>
      </c>
      <c r="L347" s="52">
        <v>2500000</v>
      </c>
      <c r="M347" s="52"/>
      <c r="N347" s="52">
        <f t="shared" si="11"/>
        <v>2500000</v>
      </c>
      <c r="O347" s="53"/>
      <c r="P347" s="54">
        <f t="shared" si="12"/>
        <v>2500000</v>
      </c>
      <c r="Q347" s="28"/>
    </row>
    <row r="348" spans="2:17" s="17" customFormat="1" ht="13.8">
      <c r="B348" s="51" t="s">
        <v>451</v>
      </c>
      <c r="C348" s="20" t="s">
        <v>0</v>
      </c>
      <c r="D348" s="51" t="s">
        <v>395</v>
      </c>
      <c r="E348" s="51" t="s">
        <v>233</v>
      </c>
      <c r="F348" s="20" t="s">
        <v>437</v>
      </c>
      <c r="G348" s="20" t="s">
        <v>123</v>
      </c>
      <c r="H348" s="51">
        <v>50</v>
      </c>
      <c r="I348" s="51">
        <v>70</v>
      </c>
      <c r="J348" s="20" t="s">
        <v>207</v>
      </c>
      <c r="K348" s="20" t="s">
        <v>29</v>
      </c>
      <c r="L348" s="52">
        <v>2500000</v>
      </c>
      <c r="M348" s="52"/>
      <c r="N348" s="52">
        <f t="shared" si="11"/>
        <v>2500000</v>
      </c>
      <c r="O348" s="53"/>
      <c r="P348" s="54">
        <f t="shared" si="12"/>
        <v>2500000</v>
      </c>
      <c r="Q348" s="29"/>
    </row>
    <row r="349" spans="2:17" s="17" customFormat="1" ht="13.8">
      <c r="B349" s="20" t="s">
        <v>452</v>
      </c>
      <c r="C349" s="20" t="s">
        <v>0</v>
      </c>
      <c r="D349" s="20" t="s">
        <v>395</v>
      </c>
      <c r="E349" s="20" t="s">
        <v>233</v>
      </c>
      <c r="F349" s="20" t="s">
        <v>437</v>
      </c>
      <c r="G349" s="20" t="s">
        <v>125</v>
      </c>
      <c r="H349" s="20">
        <v>50</v>
      </c>
      <c r="I349" s="20">
        <v>79</v>
      </c>
      <c r="J349" s="20" t="s">
        <v>207</v>
      </c>
      <c r="K349" s="20" t="s">
        <v>26</v>
      </c>
      <c r="L349" s="52">
        <v>2797000</v>
      </c>
      <c r="M349" s="52"/>
      <c r="N349" s="52">
        <f t="shared" si="11"/>
        <v>2797000</v>
      </c>
      <c r="O349" s="53"/>
      <c r="P349" s="54">
        <f t="shared" si="12"/>
        <v>2797000</v>
      </c>
      <c r="Q349" s="28"/>
    </row>
    <row r="350" spans="2:17" s="17" customFormat="1" ht="13.8">
      <c r="B350" s="51" t="s">
        <v>453</v>
      </c>
      <c r="C350" s="20" t="s">
        <v>0</v>
      </c>
      <c r="D350" s="51" t="s">
        <v>21</v>
      </c>
      <c r="E350" s="51" t="s">
        <v>22</v>
      </c>
      <c r="F350" s="20" t="s">
        <v>437</v>
      </c>
      <c r="G350" s="20" t="s">
        <v>127</v>
      </c>
      <c r="H350" s="51">
        <v>50</v>
      </c>
      <c r="I350" s="51">
        <v>79</v>
      </c>
      <c r="J350" s="20" t="s">
        <v>207</v>
      </c>
      <c r="K350" s="20" t="s">
        <v>50</v>
      </c>
      <c r="L350" s="52">
        <v>2797000</v>
      </c>
      <c r="M350" s="52"/>
      <c r="N350" s="52">
        <f t="shared" si="11"/>
        <v>2797000</v>
      </c>
      <c r="O350" s="53"/>
      <c r="P350" s="54">
        <f t="shared" si="12"/>
        <v>2797000</v>
      </c>
      <c r="Q350" s="29"/>
    </row>
    <row r="351" spans="2:17" s="17" customFormat="1" ht="13.8">
      <c r="B351" s="20" t="s">
        <v>454</v>
      </c>
      <c r="C351" s="20" t="s">
        <v>0</v>
      </c>
      <c r="D351" s="20" t="s">
        <v>21</v>
      </c>
      <c r="E351" s="20" t="s">
        <v>22</v>
      </c>
      <c r="F351" s="20" t="s">
        <v>437</v>
      </c>
      <c r="G351" s="20" t="s">
        <v>129</v>
      </c>
      <c r="H351" s="20">
        <v>50</v>
      </c>
      <c r="I351" s="20">
        <v>70</v>
      </c>
      <c r="J351" s="20" t="s">
        <v>207</v>
      </c>
      <c r="K351" s="20" t="s">
        <v>48</v>
      </c>
      <c r="L351" s="52">
        <v>2500000</v>
      </c>
      <c r="M351" s="52"/>
      <c r="N351" s="52">
        <f t="shared" si="11"/>
        <v>2500000</v>
      </c>
      <c r="O351" s="53"/>
      <c r="P351" s="54">
        <f t="shared" si="12"/>
        <v>2500000</v>
      </c>
      <c r="Q351" s="28"/>
    </row>
    <row r="352" spans="2:17" s="17" customFormat="1" ht="13.8">
      <c r="B352" s="51" t="s">
        <v>455</v>
      </c>
      <c r="C352" s="20" t="s">
        <v>0</v>
      </c>
      <c r="D352" s="51" t="s">
        <v>21</v>
      </c>
      <c r="E352" s="51" t="s">
        <v>22</v>
      </c>
      <c r="F352" s="20" t="s">
        <v>437</v>
      </c>
      <c r="G352" s="20" t="s">
        <v>131</v>
      </c>
      <c r="H352" s="51">
        <v>50</v>
      </c>
      <c r="I352" s="51">
        <v>70</v>
      </c>
      <c r="J352" s="20" t="s">
        <v>207</v>
      </c>
      <c r="K352" s="20" t="s">
        <v>48</v>
      </c>
      <c r="L352" s="52">
        <v>2500000</v>
      </c>
      <c r="M352" s="52"/>
      <c r="N352" s="52">
        <f t="shared" si="11"/>
        <v>2500000</v>
      </c>
      <c r="O352" s="53"/>
      <c r="P352" s="54">
        <f t="shared" si="12"/>
        <v>2500000</v>
      </c>
      <c r="Q352" s="29"/>
    </row>
    <row r="353" spans="2:17" s="17" customFormat="1" ht="13.8">
      <c r="B353" s="20" t="s">
        <v>456</v>
      </c>
      <c r="C353" s="20" t="s">
        <v>0</v>
      </c>
      <c r="D353" s="20" t="s">
        <v>21</v>
      </c>
      <c r="E353" s="20" t="s">
        <v>22</v>
      </c>
      <c r="F353" s="20" t="s">
        <v>437</v>
      </c>
      <c r="G353" s="20" t="s">
        <v>133</v>
      </c>
      <c r="H353" s="20">
        <v>50</v>
      </c>
      <c r="I353" s="20">
        <v>70</v>
      </c>
      <c r="J353" s="20" t="s">
        <v>207</v>
      </c>
      <c r="K353" s="20" t="s">
        <v>50</v>
      </c>
      <c r="L353" s="52">
        <v>2500000</v>
      </c>
      <c r="M353" s="52"/>
      <c r="N353" s="52">
        <f t="shared" si="11"/>
        <v>2500000</v>
      </c>
      <c r="O353" s="53"/>
      <c r="P353" s="54">
        <f t="shared" si="12"/>
        <v>2500000</v>
      </c>
      <c r="Q353" s="28"/>
    </row>
    <row r="354" spans="2:17" s="17" customFormat="1" ht="13.8">
      <c r="B354" s="51" t="s">
        <v>457</v>
      </c>
      <c r="C354" s="20" t="s">
        <v>0</v>
      </c>
      <c r="D354" s="51" t="s">
        <v>21</v>
      </c>
      <c r="E354" s="51" t="s">
        <v>22</v>
      </c>
      <c r="F354" s="20" t="s">
        <v>437</v>
      </c>
      <c r="G354" s="20" t="s">
        <v>135</v>
      </c>
      <c r="H354" s="51">
        <v>50</v>
      </c>
      <c r="I354" s="51">
        <v>70</v>
      </c>
      <c r="J354" s="20" t="s">
        <v>207</v>
      </c>
      <c r="K354" s="20" t="s">
        <v>32</v>
      </c>
      <c r="L354" s="52">
        <v>2500000</v>
      </c>
      <c r="M354" s="52"/>
      <c r="N354" s="52">
        <f t="shared" si="11"/>
        <v>2500000</v>
      </c>
      <c r="O354" s="53"/>
      <c r="P354" s="54">
        <f t="shared" si="12"/>
        <v>2500000</v>
      </c>
      <c r="Q354" s="29"/>
    </row>
    <row r="355" spans="2:17" s="17" customFormat="1" ht="13.8">
      <c r="B355" s="20" t="s">
        <v>458</v>
      </c>
      <c r="C355" s="20" t="s">
        <v>0</v>
      </c>
      <c r="D355" s="20" t="s">
        <v>21</v>
      </c>
      <c r="E355" s="20" t="s">
        <v>22</v>
      </c>
      <c r="F355" s="20" t="s">
        <v>437</v>
      </c>
      <c r="G355" s="20" t="s">
        <v>137</v>
      </c>
      <c r="H355" s="20">
        <v>50</v>
      </c>
      <c r="I355" s="20">
        <v>70</v>
      </c>
      <c r="J355" s="20" t="s">
        <v>207</v>
      </c>
      <c r="K355" s="20" t="s">
        <v>35</v>
      </c>
      <c r="L355" s="52">
        <v>2500000</v>
      </c>
      <c r="M355" s="52"/>
      <c r="N355" s="52">
        <f t="shared" si="11"/>
        <v>2500000</v>
      </c>
      <c r="O355" s="53"/>
      <c r="P355" s="54">
        <f t="shared" si="12"/>
        <v>2500000</v>
      </c>
      <c r="Q355" s="28"/>
    </row>
    <row r="356" spans="2:17" s="17" customFormat="1" ht="13.8">
      <c r="B356" s="51" t="s">
        <v>459</v>
      </c>
      <c r="C356" s="20" t="s">
        <v>0</v>
      </c>
      <c r="D356" s="51" t="s">
        <v>21</v>
      </c>
      <c r="E356" s="51" t="s">
        <v>22</v>
      </c>
      <c r="F356" s="20" t="s">
        <v>437</v>
      </c>
      <c r="G356" s="20" t="s">
        <v>139</v>
      </c>
      <c r="H356" s="51">
        <v>50</v>
      </c>
      <c r="I356" s="51">
        <v>70</v>
      </c>
      <c r="J356" s="20" t="s">
        <v>207</v>
      </c>
      <c r="K356" s="20" t="s">
        <v>35</v>
      </c>
      <c r="L356" s="52">
        <v>2500000</v>
      </c>
      <c r="M356" s="52"/>
      <c r="N356" s="52">
        <f t="shared" si="11"/>
        <v>2500000</v>
      </c>
      <c r="O356" s="53"/>
      <c r="P356" s="54">
        <f t="shared" si="12"/>
        <v>2500000</v>
      </c>
      <c r="Q356" s="29"/>
    </row>
    <row r="357" spans="2:17" s="17" customFormat="1" ht="13.8">
      <c r="B357" s="20" t="s">
        <v>460</v>
      </c>
      <c r="C357" s="20" t="s">
        <v>0</v>
      </c>
      <c r="D357" s="20" t="s">
        <v>21</v>
      </c>
      <c r="E357" s="20" t="s">
        <v>22</v>
      </c>
      <c r="F357" s="20" t="s">
        <v>437</v>
      </c>
      <c r="G357" s="20" t="s">
        <v>141</v>
      </c>
      <c r="H357" s="20">
        <v>50</v>
      </c>
      <c r="I357" s="20">
        <v>70</v>
      </c>
      <c r="J357" s="20" t="s">
        <v>207</v>
      </c>
      <c r="K357" s="20" t="s">
        <v>32</v>
      </c>
      <c r="L357" s="52">
        <v>2500000</v>
      </c>
      <c r="M357" s="52"/>
      <c r="N357" s="52">
        <f t="shared" si="11"/>
        <v>2500000</v>
      </c>
      <c r="O357" s="53"/>
      <c r="P357" s="54">
        <f t="shared" si="12"/>
        <v>2500000</v>
      </c>
      <c r="Q357" s="28"/>
    </row>
    <row r="358" spans="2:17" s="17" customFormat="1" ht="13.8">
      <c r="B358" s="51" t="s">
        <v>461</v>
      </c>
      <c r="C358" s="20" t="s">
        <v>0</v>
      </c>
      <c r="D358" s="51" t="s">
        <v>21</v>
      </c>
      <c r="E358" s="51" t="s">
        <v>22</v>
      </c>
      <c r="F358" s="20" t="s">
        <v>437</v>
      </c>
      <c r="G358" s="20" t="s">
        <v>143</v>
      </c>
      <c r="H358" s="51">
        <v>50</v>
      </c>
      <c r="I358" s="51">
        <v>70</v>
      </c>
      <c r="J358" s="20" t="s">
        <v>207</v>
      </c>
      <c r="K358" s="20" t="s">
        <v>42</v>
      </c>
      <c r="L358" s="52">
        <v>2500000</v>
      </c>
      <c r="M358" s="52"/>
      <c r="N358" s="52">
        <f t="shared" si="11"/>
        <v>2500000</v>
      </c>
      <c r="O358" s="53"/>
      <c r="P358" s="54">
        <f t="shared" si="12"/>
        <v>2500000</v>
      </c>
      <c r="Q358" s="29"/>
    </row>
    <row r="359" spans="2:17" s="17" customFormat="1" ht="13.8">
      <c r="B359" s="20" t="s">
        <v>462</v>
      </c>
      <c r="C359" s="20" t="s">
        <v>0</v>
      </c>
      <c r="D359" s="20" t="s">
        <v>21</v>
      </c>
      <c r="E359" s="20" t="s">
        <v>22</v>
      </c>
      <c r="F359" s="20" t="s">
        <v>437</v>
      </c>
      <c r="G359" s="20" t="s">
        <v>145</v>
      </c>
      <c r="H359" s="20">
        <v>50</v>
      </c>
      <c r="I359" s="20">
        <v>70</v>
      </c>
      <c r="J359" s="20" t="s">
        <v>207</v>
      </c>
      <c r="K359" s="20" t="s">
        <v>44</v>
      </c>
      <c r="L359" s="52">
        <v>2500000</v>
      </c>
      <c r="M359" s="52"/>
      <c r="N359" s="52">
        <f t="shared" si="11"/>
        <v>2500000</v>
      </c>
      <c r="O359" s="53"/>
      <c r="P359" s="54">
        <f t="shared" si="12"/>
        <v>2500000</v>
      </c>
      <c r="Q359" s="28"/>
    </row>
    <row r="360" spans="2:17" s="17" customFormat="1" ht="13.8">
      <c r="B360" s="51" t="s">
        <v>463</v>
      </c>
      <c r="C360" s="20" t="s">
        <v>0</v>
      </c>
      <c r="D360" s="51" t="s">
        <v>21</v>
      </c>
      <c r="E360" s="51" t="s">
        <v>22</v>
      </c>
      <c r="F360" s="20" t="s">
        <v>437</v>
      </c>
      <c r="G360" s="20" t="s">
        <v>147</v>
      </c>
      <c r="H360" s="51">
        <v>50</v>
      </c>
      <c r="I360" s="51">
        <v>70</v>
      </c>
      <c r="J360" s="20" t="s">
        <v>207</v>
      </c>
      <c r="K360" s="20" t="s">
        <v>44</v>
      </c>
      <c r="L360" s="52">
        <v>2500000</v>
      </c>
      <c r="M360" s="52"/>
      <c r="N360" s="52">
        <f t="shared" si="11"/>
        <v>2500000</v>
      </c>
      <c r="O360" s="53"/>
      <c r="P360" s="54">
        <f t="shared" si="12"/>
        <v>2500000</v>
      </c>
      <c r="Q360" s="29"/>
    </row>
    <row r="361" spans="2:17" s="17" customFormat="1" ht="13.8">
      <c r="B361" s="20" t="s">
        <v>464</v>
      </c>
      <c r="C361" s="20" t="s">
        <v>0</v>
      </c>
      <c r="D361" s="20" t="s">
        <v>21</v>
      </c>
      <c r="E361" s="20" t="s">
        <v>22</v>
      </c>
      <c r="F361" s="20" t="s">
        <v>437</v>
      </c>
      <c r="G361" s="20" t="s">
        <v>149</v>
      </c>
      <c r="H361" s="20">
        <v>50</v>
      </c>
      <c r="I361" s="20">
        <v>70</v>
      </c>
      <c r="J361" s="20" t="s">
        <v>207</v>
      </c>
      <c r="K361" s="20" t="s">
        <v>42</v>
      </c>
      <c r="L361" s="52">
        <v>2500000</v>
      </c>
      <c r="M361" s="52"/>
      <c r="N361" s="52">
        <f t="shared" si="11"/>
        <v>2500000</v>
      </c>
      <c r="O361" s="53"/>
      <c r="P361" s="54">
        <f t="shared" si="12"/>
        <v>2500000</v>
      </c>
      <c r="Q361" s="28"/>
    </row>
    <row r="362" spans="2:17" s="17" customFormat="1" ht="13.8">
      <c r="B362" s="51" t="s">
        <v>465</v>
      </c>
      <c r="C362" s="20" t="s">
        <v>0</v>
      </c>
      <c r="D362" s="51" t="s">
        <v>21</v>
      </c>
      <c r="E362" s="51" t="s">
        <v>22</v>
      </c>
      <c r="F362" s="20" t="s">
        <v>437</v>
      </c>
      <c r="G362" s="20" t="s">
        <v>151</v>
      </c>
      <c r="H362" s="51">
        <v>50</v>
      </c>
      <c r="I362" s="51">
        <v>70</v>
      </c>
      <c r="J362" s="20" t="s">
        <v>207</v>
      </c>
      <c r="K362" s="20" t="s">
        <v>29</v>
      </c>
      <c r="L362" s="52">
        <v>2500000</v>
      </c>
      <c r="M362" s="52"/>
      <c r="N362" s="52">
        <f t="shared" si="11"/>
        <v>2500000</v>
      </c>
      <c r="O362" s="53"/>
      <c r="P362" s="54">
        <f t="shared" si="12"/>
        <v>2500000</v>
      </c>
      <c r="Q362" s="29"/>
    </row>
    <row r="363" spans="2:17" s="17" customFormat="1" ht="13.8">
      <c r="B363" s="20" t="s">
        <v>466</v>
      </c>
      <c r="C363" s="20" t="s">
        <v>0</v>
      </c>
      <c r="D363" s="20" t="s">
        <v>21</v>
      </c>
      <c r="E363" s="20" t="s">
        <v>22</v>
      </c>
      <c r="F363" s="20" t="s">
        <v>437</v>
      </c>
      <c r="G363" s="20" t="s">
        <v>153</v>
      </c>
      <c r="H363" s="20">
        <v>50</v>
      </c>
      <c r="I363" s="20">
        <v>70</v>
      </c>
      <c r="J363" s="20" t="s">
        <v>207</v>
      </c>
      <c r="K363" s="20" t="s">
        <v>26</v>
      </c>
      <c r="L363" s="52">
        <v>2500000</v>
      </c>
      <c r="M363" s="52"/>
      <c r="N363" s="52">
        <f t="shared" si="11"/>
        <v>2500000</v>
      </c>
      <c r="O363" s="53"/>
      <c r="P363" s="54">
        <f t="shared" si="12"/>
        <v>2500000</v>
      </c>
      <c r="Q363" s="28"/>
    </row>
    <row r="364" spans="2:17" s="17" customFormat="1" ht="13.8">
      <c r="B364" s="51" t="s">
        <v>467</v>
      </c>
      <c r="C364" s="20" t="s">
        <v>0</v>
      </c>
      <c r="D364" s="51" t="s">
        <v>21</v>
      </c>
      <c r="E364" s="51" t="s">
        <v>22</v>
      </c>
      <c r="F364" s="20" t="s">
        <v>437</v>
      </c>
      <c r="G364" s="20" t="s">
        <v>155</v>
      </c>
      <c r="H364" s="51">
        <v>50</v>
      </c>
      <c r="I364" s="51">
        <v>70</v>
      </c>
      <c r="J364" s="20" t="s">
        <v>207</v>
      </c>
      <c r="K364" s="20" t="s">
        <v>26</v>
      </c>
      <c r="L364" s="52">
        <v>2500000</v>
      </c>
      <c r="M364" s="52"/>
      <c r="N364" s="52">
        <f t="shared" si="11"/>
        <v>2500000</v>
      </c>
      <c r="O364" s="53"/>
      <c r="P364" s="54">
        <f t="shared" si="12"/>
        <v>2500000</v>
      </c>
      <c r="Q364" s="29"/>
    </row>
    <row r="365" spans="2:17" s="17" customFormat="1" ht="13.8">
      <c r="B365" s="20" t="s">
        <v>468</v>
      </c>
      <c r="C365" s="20" t="s">
        <v>0</v>
      </c>
      <c r="D365" s="20" t="s">
        <v>21</v>
      </c>
      <c r="E365" s="20" t="s">
        <v>22</v>
      </c>
      <c r="F365" s="20" t="s">
        <v>437</v>
      </c>
      <c r="G365" s="20" t="s">
        <v>157</v>
      </c>
      <c r="H365" s="20">
        <v>50</v>
      </c>
      <c r="I365" s="20">
        <v>79</v>
      </c>
      <c r="J365" s="20" t="s">
        <v>207</v>
      </c>
      <c r="K365" s="20" t="s">
        <v>29</v>
      </c>
      <c r="L365" s="52">
        <v>2797000</v>
      </c>
      <c r="M365" s="52"/>
      <c r="N365" s="52">
        <f t="shared" si="11"/>
        <v>2797000</v>
      </c>
      <c r="O365" s="53"/>
      <c r="P365" s="54">
        <f t="shared" si="12"/>
        <v>2797000</v>
      </c>
      <c r="Q365" s="28"/>
    </row>
    <row r="366" spans="2:17" s="17" customFormat="1" ht="13.8">
      <c r="B366" s="51" t="s">
        <v>469</v>
      </c>
      <c r="C366" s="20" t="s">
        <v>0</v>
      </c>
      <c r="D366" s="51" t="s">
        <v>98</v>
      </c>
      <c r="E366" s="51" t="s">
        <v>22</v>
      </c>
      <c r="F366" s="20" t="s">
        <v>470</v>
      </c>
      <c r="G366" s="20" t="s">
        <v>24</v>
      </c>
      <c r="H366" s="51" t="s">
        <v>99</v>
      </c>
      <c r="I366" s="51">
        <v>74</v>
      </c>
      <c r="J366" s="20" t="s">
        <v>100</v>
      </c>
      <c r="K366" s="20" t="s">
        <v>101</v>
      </c>
      <c r="L366" s="52">
        <v>1985714</v>
      </c>
      <c r="M366" s="52"/>
      <c r="N366" s="52">
        <f t="shared" si="11"/>
        <v>1985714</v>
      </c>
      <c r="O366" s="53">
        <f>N366*12/112</f>
        <v>212755.07142857142</v>
      </c>
      <c r="P366" s="54">
        <f t="shared" si="12"/>
        <v>1772958.9285714286</v>
      </c>
      <c r="Q366" s="29"/>
    </row>
    <row r="367" spans="2:17" s="17" customFormat="1" ht="13.8">
      <c r="B367" s="20" t="s">
        <v>471</v>
      </c>
      <c r="C367" s="20" t="s">
        <v>0</v>
      </c>
      <c r="D367" s="20" t="s">
        <v>21</v>
      </c>
      <c r="E367" s="20" t="s">
        <v>243</v>
      </c>
      <c r="F367" s="20" t="s">
        <v>470</v>
      </c>
      <c r="G367" s="20" t="s">
        <v>28</v>
      </c>
      <c r="H367" s="20">
        <v>50</v>
      </c>
      <c r="I367" s="20">
        <v>70</v>
      </c>
      <c r="J367" s="20" t="s">
        <v>207</v>
      </c>
      <c r="K367" s="20" t="s">
        <v>50</v>
      </c>
      <c r="L367" s="52">
        <v>2500000</v>
      </c>
      <c r="M367" s="52"/>
      <c r="N367" s="52">
        <f t="shared" si="11"/>
        <v>2500000</v>
      </c>
      <c r="O367" s="53"/>
      <c r="P367" s="54">
        <f t="shared" si="12"/>
        <v>2500000</v>
      </c>
      <c r="Q367" s="28"/>
    </row>
    <row r="368" spans="2:17" s="17" customFormat="1" ht="13.8">
      <c r="B368" s="51" t="s">
        <v>472</v>
      </c>
      <c r="C368" s="20" t="s">
        <v>0</v>
      </c>
      <c r="D368" s="51" t="s">
        <v>21</v>
      </c>
      <c r="E368" s="51" t="s">
        <v>22</v>
      </c>
      <c r="F368" s="20" t="s">
        <v>470</v>
      </c>
      <c r="G368" s="20" t="s">
        <v>31</v>
      </c>
      <c r="H368" s="51">
        <v>50</v>
      </c>
      <c r="I368" s="51">
        <v>70</v>
      </c>
      <c r="J368" s="20" t="s">
        <v>207</v>
      </c>
      <c r="K368" s="20" t="s">
        <v>48</v>
      </c>
      <c r="L368" s="52">
        <v>2500000</v>
      </c>
      <c r="M368" s="52"/>
      <c r="N368" s="52">
        <f t="shared" si="11"/>
        <v>2500000</v>
      </c>
      <c r="O368" s="53"/>
      <c r="P368" s="54">
        <f t="shared" si="12"/>
        <v>2500000</v>
      </c>
      <c r="Q368" s="29"/>
    </row>
    <row r="369" spans="2:17" s="17" customFormat="1" ht="13.8">
      <c r="B369" s="20" t="s">
        <v>473</v>
      </c>
      <c r="C369" s="20" t="s">
        <v>0</v>
      </c>
      <c r="D369" s="20" t="s">
        <v>21</v>
      </c>
      <c r="E369" s="20" t="s">
        <v>22</v>
      </c>
      <c r="F369" s="20" t="s">
        <v>470</v>
      </c>
      <c r="G369" s="20" t="s">
        <v>34</v>
      </c>
      <c r="H369" s="20">
        <v>50</v>
      </c>
      <c r="I369" s="20">
        <v>70</v>
      </c>
      <c r="J369" s="20" t="s">
        <v>207</v>
      </c>
      <c r="K369" s="20" t="s">
        <v>48</v>
      </c>
      <c r="L369" s="52">
        <v>2500000</v>
      </c>
      <c r="M369" s="52"/>
      <c r="N369" s="52">
        <f t="shared" si="11"/>
        <v>2500000</v>
      </c>
      <c r="O369" s="53"/>
      <c r="P369" s="54">
        <f t="shared" si="12"/>
        <v>2500000</v>
      </c>
      <c r="Q369" s="28"/>
    </row>
    <row r="370" spans="2:17" s="17" customFormat="1" ht="13.8">
      <c r="B370" s="51" t="s">
        <v>474</v>
      </c>
      <c r="C370" s="20" t="s">
        <v>0</v>
      </c>
      <c r="D370" s="51" t="s">
        <v>21</v>
      </c>
      <c r="E370" s="51" t="s">
        <v>22</v>
      </c>
      <c r="F370" s="20" t="s">
        <v>470</v>
      </c>
      <c r="G370" s="20" t="s">
        <v>37</v>
      </c>
      <c r="H370" s="51">
        <v>50</v>
      </c>
      <c r="I370" s="51">
        <v>70</v>
      </c>
      <c r="J370" s="20" t="s">
        <v>207</v>
      </c>
      <c r="K370" s="20" t="s">
        <v>50</v>
      </c>
      <c r="L370" s="52">
        <v>2500000</v>
      </c>
      <c r="M370" s="52"/>
      <c r="N370" s="52">
        <f t="shared" si="11"/>
        <v>2500000</v>
      </c>
      <c r="O370" s="53"/>
      <c r="P370" s="54">
        <f t="shared" si="12"/>
        <v>2500000</v>
      </c>
      <c r="Q370" s="29"/>
    </row>
    <row r="371" spans="2:17" s="17" customFormat="1" ht="13.8">
      <c r="B371" s="20" t="s">
        <v>475</v>
      </c>
      <c r="C371" s="20" t="s">
        <v>0</v>
      </c>
      <c r="D371" s="20" t="s">
        <v>21</v>
      </c>
      <c r="E371" s="20" t="s">
        <v>22</v>
      </c>
      <c r="F371" s="20" t="s">
        <v>470</v>
      </c>
      <c r="G371" s="20" t="s">
        <v>39</v>
      </c>
      <c r="H371" s="20">
        <v>50</v>
      </c>
      <c r="I371" s="20">
        <v>70</v>
      </c>
      <c r="J371" s="20" t="s">
        <v>207</v>
      </c>
      <c r="K371" s="20" t="s">
        <v>32</v>
      </c>
      <c r="L371" s="52">
        <v>2500000</v>
      </c>
      <c r="M371" s="52"/>
      <c r="N371" s="52">
        <f t="shared" si="11"/>
        <v>2500000</v>
      </c>
      <c r="O371" s="53"/>
      <c r="P371" s="54">
        <f t="shared" si="12"/>
        <v>2500000</v>
      </c>
      <c r="Q371" s="28"/>
    </row>
    <row r="372" spans="2:17" s="17" customFormat="1" ht="13.8">
      <c r="B372" s="51" t="s">
        <v>476</v>
      </c>
      <c r="C372" s="20" t="s">
        <v>0</v>
      </c>
      <c r="D372" s="51" t="s">
        <v>21</v>
      </c>
      <c r="E372" s="51" t="s">
        <v>22</v>
      </c>
      <c r="F372" s="20" t="s">
        <v>470</v>
      </c>
      <c r="G372" s="20" t="s">
        <v>52</v>
      </c>
      <c r="H372" s="51">
        <v>50</v>
      </c>
      <c r="I372" s="51">
        <v>70</v>
      </c>
      <c r="J372" s="20" t="s">
        <v>207</v>
      </c>
      <c r="K372" s="20" t="s">
        <v>35</v>
      </c>
      <c r="L372" s="52">
        <v>2500000</v>
      </c>
      <c r="M372" s="52"/>
      <c r="N372" s="52">
        <f t="shared" si="11"/>
        <v>2500000</v>
      </c>
      <c r="O372" s="53"/>
      <c r="P372" s="54">
        <f t="shared" si="12"/>
        <v>2500000</v>
      </c>
      <c r="Q372" s="29"/>
    </row>
    <row r="373" spans="2:17" s="17" customFormat="1" ht="13.8">
      <c r="B373" s="20" t="s">
        <v>477</v>
      </c>
      <c r="C373" s="20" t="s">
        <v>0</v>
      </c>
      <c r="D373" s="20" t="s">
        <v>21</v>
      </c>
      <c r="E373" s="20" t="s">
        <v>22</v>
      </c>
      <c r="F373" s="20" t="s">
        <v>470</v>
      </c>
      <c r="G373" s="20" t="s">
        <v>54</v>
      </c>
      <c r="H373" s="20">
        <v>50</v>
      </c>
      <c r="I373" s="20">
        <v>70</v>
      </c>
      <c r="J373" s="20" t="s">
        <v>207</v>
      </c>
      <c r="K373" s="20" t="s">
        <v>35</v>
      </c>
      <c r="L373" s="52">
        <v>2500000</v>
      </c>
      <c r="M373" s="52"/>
      <c r="N373" s="52">
        <f t="shared" si="11"/>
        <v>2500000</v>
      </c>
      <c r="O373" s="53"/>
      <c r="P373" s="54">
        <f t="shared" si="12"/>
        <v>2500000</v>
      </c>
      <c r="Q373" s="28"/>
    </row>
    <row r="374" spans="2:17" s="17" customFormat="1" ht="13.8">
      <c r="B374" s="51" t="s">
        <v>478</v>
      </c>
      <c r="C374" s="20" t="s">
        <v>0</v>
      </c>
      <c r="D374" s="51" t="s">
        <v>21</v>
      </c>
      <c r="E374" s="51" t="s">
        <v>243</v>
      </c>
      <c r="F374" s="20" t="s">
        <v>470</v>
      </c>
      <c r="G374" s="20" t="s">
        <v>82</v>
      </c>
      <c r="H374" s="51">
        <v>50</v>
      </c>
      <c r="I374" s="51">
        <v>72</v>
      </c>
      <c r="J374" s="20" t="s">
        <v>207</v>
      </c>
      <c r="K374" s="20" t="s">
        <v>32</v>
      </c>
      <c r="L374" s="52">
        <v>2566000</v>
      </c>
      <c r="M374" s="52"/>
      <c r="N374" s="52">
        <f t="shared" si="11"/>
        <v>2566000</v>
      </c>
      <c r="O374" s="53"/>
      <c r="P374" s="54">
        <f t="shared" si="12"/>
        <v>2566000</v>
      </c>
      <c r="Q374" s="29"/>
    </row>
    <row r="375" spans="2:17" s="17" customFormat="1" ht="13.8">
      <c r="B375" s="20" t="s">
        <v>479</v>
      </c>
      <c r="C375" s="20" t="s">
        <v>0</v>
      </c>
      <c r="D375" s="20" t="s">
        <v>21</v>
      </c>
      <c r="E375" s="20" t="s">
        <v>243</v>
      </c>
      <c r="F375" s="20" t="s">
        <v>480</v>
      </c>
      <c r="G375" s="20" t="s">
        <v>24</v>
      </c>
      <c r="H375" s="20">
        <v>50</v>
      </c>
      <c r="I375" s="20">
        <v>73</v>
      </c>
      <c r="J375" s="20" t="s">
        <v>207</v>
      </c>
      <c r="K375" s="20" t="s">
        <v>29</v>
      </c>
      <c r="L375" s="52">
        <v>2599000</v>
      </c>
      <c r="M375" s="52"/>
      <c r="N375" s="52">
        <f t="shared" si="11"/>
        <v>2599000</v>
      </c>
      <c r="O375" s="53"/>
      <c r="P375" s="54">
        <f t="shared" si="12"/>
        <v>2599000</v>
      </c>
      <c r="Q375" s="28"/>
    </row>
    <row r="376" spans="2:17" s="17" customFormat="1" ht="13.8">
      <c r="B376" s="51" t="s">
        <v>481</v>
      </c>
      <c r="C376" s="20" t="s">
        <v>0</v>
      </c>
      <c r="D376" s="51" t="s">
        <v>21</v>
      </c>
      <c r="E376" s="51" t="s">
        <v>243</v>
      </c>
      <c r="F376" s="20" t="s">
        <v>480</v>
      </c>
      <c r="G376" s="20" t="s">
        <v>28</v>
      </c>
      <c r="H376" s="51">
        <v>50</v>
      </c>
      <c r="I376" s="51">
        <v>70</v>
      </c>
      <c r="J376" s="20" t="s">
        <v>207</v>
      </c>
      <c r="K376" s="20" t="s">
        <v>26</v>
      </c>
      <c r="L376" s="52">
        <v>2500000</v>
      </c>
      <c r="M376" s="52"/>
      <c r="N376" s="52">
        <f t="shared" si="11"/>
        <v>2500000</v>
      </c>
      <c r="O376" s="53"/>
      <c r="P376" s="54">
        <f t="shared" si="12"/>
        <v>2500000</v>
      </c>
      <c r="Q376" s="29"/>
    </row>
    <row r="377" spans="2:17" s="17" customFormat="1" ht="13.8">
      <c r="B377" s="20" t="s">
        <v>482</v>
      </c>
      <c r="C377" s="20" t="s">
        <v>0</v>
      </c>
      <c r="D377" s="20" t="s">
        <v>21</v>
      </c>
      <c r="E377" s="20" t="s">
        <v>243</v>
      </c>
      <c r="F377" s="20" t="s">
        <v>480</v>
      </c>
      <c r="G377" s="20" t="s">
        <v>31</v>
      </c>
      <c r="H377" s="20">
        <v>50</v>
      </c>
      <c r="I377" s="20">
        <v>70</v>
      </c>
      <c r="J377" s="20" t="s">
        <v>207</v>
      </c>
      <c r="K377" s="20" t="s">
        <v>44</v>
      </c>
      <c r="L377" s="52">
        <v>2500000</v>
      </c>
      <c r="M377" s="52"/>
      <c r="N377" s="52">
        <f t="shared" si="11"/>
        <v>2500000</v>
      </c>
      <c r="O377" s="53"/>
      <c r="P377" s="54">
        <f t="shared" si="12"/>
        <v>2500000</v>
      </c>
      <c r="Q377" s="28"/>
    </row>
    <row r="378" spans="2:17" s="17" customFormat="1" ht="13.8">
      <c r="B378" s="51" t="s">
        <v>483</v>
      </c>
      <c r="C378" s="20" t="s">
        <v>0</v>
      </c>
      <c r="D378" s="51" t="s">
        <v>21</v>
      </c>
      <c r="E378" s="51" t="s">
        <v>243</v>
      </c>
      <c r="F378" s="20" t="s">
        <v>480</v>
      </c>
      <c r="G378" s="20" t="s">
        <v>34</v>
      </c>
      <c r="H378" s="51">
        <v>50</v>
      </c>
      <c r="I378" s="51">
        <v>70</v>
      </c>
      <c r="J378" s="20" t="s">
        <v>207</v>
      </c>
      <c r="K378" s="20" t="s">
        <v>42</v>
      </c>
      <c r="L378" s="52">
        <v>2500000</v>
      </c>
      <c r="M378" s="52"/>
      <c r="N378" s="52">
        <f t="shared" si="11"/>
        <v>2500000</v>
      </c>
      <c r="O378" s="53"/>
      <c r="P378" s="54">
        <f t="shared" si="12"/>
        <v>2500000</v>
      </c>
      <c r="Q378" s="29"/>
    </row>
    <row r="379" spans="2:17" s="17" customFormat="1" ht="13.8">
      <c r="B379" s="20" t="s">
        <v>484</v>
      </c>
      <c r="C379" s="20" t="s">
        <v>0</v>
      </c>
      <c r="D379" s="20" t="s">
        <v>21</v>
      </c>
      <c r="E379" s="20" t="s">
        <v>243</v>
      </c>
      <c r="F379" s="20" t="s">
        <v>480</v>
      </c>
      <c r="G379" s="20" t="s">
        <v>37</v>
      </c>
      <c r="H379" s="20">
        <v>50</v>
      </c>
      <c r="I379" s="20">
        <v>70</v>
      </c>
      <c r="J379" s="20" t="s">
        <v>207</v>
      </c>
      <c r="K379" s="20" t="s">
        <v>42</v>
      </c>
      <c r="L379" s="52">
        <v>2500000</v>
      </c>
      <c r="M379" s="52"/>
      <c r="N379" s="52">
        <f t="shared" si="11"/>
        <v>2500000</v>
      </c>
      <c r="O379" s="53"/>
      <c r="P379" s="54">
        <f t="shared" si="12"/>
        <v>2500000</v>
      </c>
      <c r="Q379" s="28"/>
    </row>
    <row r="380" spans="2:17" s="17" customFormat="1" ht="13.8">
      <c r="B380" s="51" t="s">
        <v>485</v>
      </c>
      <c r="C380" s="20" t="s">
        <v>0</v>
      </c>
      <c r="D380" s="51" t="s">
        <v>21</v>
      </c>
      <c r="E380" s="51" t="s">
        <v>22</v>
      </c>
      <c r="F380" s="20" t="s">
        <v>480</v>
      </c>
      <c r="G380" s="20" t="s">
        <v>39</v>
      </c>
      <c r="H380" s="51">
        <v>50</v>
      </c>
      <c r="I380" s="51">
        <v>70</v>
      </c>
      <c r="J380" s="20" t="s">
        <v>207</v>
      </c>
      <c r="K380" s="20" t="s">
        <v>44</v>
      </c>
      <c r="L380" s="52">
        <v>2500000</v>
      </c>
      <c r="M380" s="52"/>
      <c r="N380" s="52">
        <f t="shared" si="11"/>
        <v>2500000</v>
      </c>
      <c r="O380" s="53"/>
      <c r="P380" s="54">
        <f t="shared" si="12"/>
        <v>2500000</v>
      </c>
      <c r="Q380" s="29"/>
    </row>
    <row r="381" spans="2:17" s="17" customFormat="1" ht="13.8">
      <c r="B381" s="20" t="s">
        <v>486</v>
      </c>
      <c r="C381" s="20" t="s">
        <v>0</v>
      </c>
      <c r="D381" s="20" t="s">
        <v>21</v>
      </c>
      <c r="E381" s="20" t="s">
        <v>22</v>
      </c>
      <c r="F381" s="20" t="s">
        <v>480</v>
      </c>
      <c r="G381" s="20" t="s">
        <v>52</v>
      </c>
      <c r="H381" s="20">
        <v>50</v>
      </c>
      <c r="I381" s="20">
        <v>70</v>
      </c>
      <c r="J381" s="20" t="s">
        <v>207</v>
      </c>
      <c r="K381" s="20" t="s">
        <v>35</v>
      </c>
      <c r="L381" s="52">
        <v>2500000</v>
      </c>
      <c r="M381" s="52"/>
      <c r="N381" s="52">
        <f t="shared" si="11"/>
        <v>2500000</v>
      </c>
      <c r="O381" s="53"/>
      <c r="P381" s="54">
        <f t="shared" si="12"/>
        <v>2500000</v>
      </c>
      <c r="Q381" s="28"/>
    </row>
    <row r="382" spans="2:17" s="17" customFormat="1" ht="13.8">
      <c r="B382" s="51" t="s">
        <v>487</v>
      </c>
      <c r="C382" s="20" t="s">
        <v>0</v>
      </c>
      <c r="D382" s="51" t="s">
        <v>21</v>
      </c>
      <c r="E382" s="51" t="s">
        <v>22</v>
      </c>
      <c r="F382" s="20" t="s">
        <v>480</v>
      </c>
      <c r="G382" s="20" t="s">
        <v>54</v>
      </c>
      <c r="H382" s="51">
        <v>50</v>
      </c>
      <c r="I382" s="51">
        <v>70</v>
      </c>
      <c r="J382" s="20" t="s">
        <v>207</v>
      </c>
      <c r="K382" s="20" t="s">
        <v>32</v>
      </c>
      <c r="L382" s="52">
        <v>2500000</v>
      </c>
      <c r="M382" s="52"/>
      <c r="N382" s="52">
        <f t="shared" si="11"/>
        <v>2500000</v>
      </c>
      <c r="O382" s="53"/>
      <c r="P382" s="54">
        <f t="shared" si="12"/>
        <v>2500000</v>
      </c>
      <c r="Q382" s="29"/>
    </row>
    <row r="383" spans="2:17" s="17" customFormat="1" ht="13.8">
      <c r="B383" s="20" t="s">
        <v>488</v>
      </c>
      <c r="C383" s="20" t="s">
        <v>0</v>
      </c>
      <c r="D383" s="20" t="s">
        <v>21</v>
      </c>
      <c r="E383" s="20" t="s">
        <v>22</v>
      </c>
      <c r="F383" s="20" t="s">
        <v>480</v>
      </c>
      <c r="G383" s="20" t="s">
        <v>82</v>
      </c>
      <c r="H383" s="20">
        <v>50</v>
      </c>
      <c r="I383" s="20">
        <v>70</v>
      </c>
      <c r="J383" s="20" t="s">
        <v>207</v>
      </c>
      <c r="K383" s="20" t="s">
        <v>32</v>
      </c>
      <c r="L383" s="52">
        <v>2500000</v>
      </c>
      <c r="M383" s="52"/>
      <c r="N383" s="52">
        <f t="shared" si="11"/>
        <v>2500000</v>
      </c>
      <c r="O383" s="53"/>
      <c r="P383" s="54">
        <f t="shared" si="12"/>
        <v>2500000</v>
      </c>
      <c r="Q383" s="28"/>
    </row>
    <row r="384" spans="2:17" s="17" customFormat="1" ht="13.8">
      <c r="B384" s="51" t="s">
        <v>489</v>
      </c>
      <c r="C384" s="20" t="s">
        <v>0</v>
      </c>
      <c r="D384" s="51" t="s">
        <v>21</v>
      </c>
      <c r="E384" s="51" t="s">
        <v>22</v>
      </c>
      <c r="F384" s="20" t="s">
        <v>480</v>
      </c>
      <c r="G384" s="20" t="s">
        <v>84</v>
      </c>
      <c r="H384" s="51">
        <v>50</v>
      </c>
      <c r="I384" s="51">
        <v>70</v>
      </c>
      <c r="J384" s="20" t="s">
        <v>207</v>
      </c>
      <c r="K384" s="20" t="s">
        <v>35</v>
      </c>
      <c r="L384" s="52">
        <v>2500000</v>
      </c>
      <c r="M384" s="52"/>
      <c r="N384" s="52">
        <f t="shared" si="11"/>
        <v>2500000</v>
      </c>
      <c r="O384" s="53"/>
      <c r="P384" s="54">
        <f t="shared" si="12"/>
        <v>2500000</v>
      </c>
      <c r="Q384" s="29"/>
    </row>
    <row r="385" spans="2:17" s="17" customFormat="1" ht="13.8">
      <c r="B385" s="20" t="s">
        <v>490</v>
      </c>
      <c r="C385" s="20" t="s">
        <v>0</v>
      </c>
      <c r="D385" s="20" t="s">
        <v>21</v>
      </c>
      <c r="E385" s="20" t="s">
        <v>243</v>
      </c>
      <c r="F385" s="20" t="s">
        <v>480</v>
      </c>
      <c r="G385" s="20" t="s">
        <v>86</v>
      </c>
      <c r="H385" s="20">
        <v>50</v>
      </c>
      <c r="I385" s="20">
        <v>70</v>
      </c>
      <c r="J385" s="20" t="s">
        <v>207</v>
      </c>
      <c r="K385" s="20" t="s">
        <v>48</v>
      </c>
      <c r="L385" s="52">
        <v>2500000</v>
      </c>
      <c r="M385" s="52"/>
      <c r="N385" s="52">
        <f t="shared" si="11"/>
        <v>2500000</v>
      </c>
      <c r="O385" s="53"/>
      <c r="P385" s="54">
        <f t="shared" si="12"/>
        <v>2500000</v>
      </c>
      <c r="Q385" s="28"/>
    </row>
    <row r="386" spans="2:17" s="17" customFormat="1" ht="13.8">
      <c r="B386" s="51" t="s">
        <v>491</v>
      </c>
      <c r="C386" s="20" t="s">
        <v>0</v>
      </c>
      <c r="D386" s="51" t="s">
        <v>21</v>
      </c>
      <c r="E386" s="51" t="s">
        <v>22</v>
      </c>
      <c r="F386" s="20" t="s">
        <v>480</v>
      </c>
      <c r="G386" s="20" t="s">
        <v>88</v>
      </c>
      <c r="H386" s="51">
        <v>50</v>
      </c>
      <c r="I386" s="51">
        <v>70</v>
      </c>
      <c r="J386" s="20" t="s">
        <v>207</v>
      </c>
      <c r="K386" s="20" t="s">
        <v>50</v>
      </c>
      <c r="L386" s="52">
        <v>2500000</v>
      </c>
      <c r="M386" s="52"/>
      <c r="N386" s="52">
        <f t="shared" si="11"/>
        <v>2500000</v>
      </c>
      <c r="O386" s="53"/>
      <c r="P386" s="54">
        <f t="shared" si="12"/>
        <v>2500000</v>
      </c>
      <c r="Q386" s="29"/>
    </row>
    <row r="387" spans="2:17" s="17" customFormat="1" ht="13.8">
      <c r="B387" s="20" t="s">
        <v>492</v>
      </c>
      <c r="C387" s="20" t="s">
        <v>0</v>
      </c>
      <c r="D387" s="20" t="s">
        <v>21</v>
      </c>
      <c r="E387" s="20" t="s">
        <v>22</v>
      </c>
      <c r="F387" s="20" t="s">
        <v>480</v>
      </c>
      <c r="G387" s="20" t="s">
        <v>90</v>
      </c>
      <c r="H387" s="20">
        <v>50</v>
      </c>
      <c r="I387" s="20">
        <v>70</v>
      </c>
      <c r="J387" s="20" t="s">
        <v>207</v>
      </c>
      <c r="K387" s="20" t="s">
        <v>50</v>
      </c>
      <c r="L387" s="52">
        <v>2500000</v>
      </c>
      <c r="M387" s="52"/>
      <c r="N387" s="52">
        <f t="shared" si="11"/>
        <v>2500000</v>
      </c>
      <c r="O387" s="53"/>
      <c r="P387" s="54">
        <f t="shared" si="12"/>
        <v>2500000</v>
      </c>
      <c r="Q387" s="28"/>
    </row>
    <row r="388" spans="2:17" s="17" customFormat="1" ht="13.8">
      <c r="B388" s="51" t="s">
        <v>493</v>
      </c>
      <c r="C388" s="20" t="s">
        <v>0</v>
      </c>
      <c r="D388" s="51" t="s">
        <v>21</v>
      </c>
      <c r="E388" s="51" t="s">
        <v>22</v>
      </c>
      <c r="F388" s="20" t="s">
        <v>480</v>
      </c>
      <c r="G388" s="20" t="s">
        <v>92</v>
      </c>
      <c r="H388" s="51">
        <v>50</v>
      </c>
      <c r="I388" s="51">
        <v>70</v>
      </c>
      <c r="J388" s="20" t="s">
        <v>207</v>
      </c>
      <c r="K388" s="20" t="s">
        <v>48</v>
      </c>
      <c r="L388" s="52">
        <v>2500000</v>
      </c>
      <c r="M388" s="52"/>
      <c r="N388" s="52">
        <f t="shared" si="11"/>
        <v>2500000</v>
      </c>
      <c r="O388" s="53"/>
      <c r="P388" s="54">
        <f t="shared" si="12"/>
        <v>2500000</v>
      </c>
      <c r="Q388" s="29"/>
    </row>
    <row r="389" spans="2:17" s="17" customFormat="1" ht="13.8">
      <c r="B389" s="20" t="s">
        <v>494</v>
      </c>
      <c r="C389" s="20" t="s">
        <v>0</v>
      </c>
      <c r="D389" s="20" t="s">
        <v>21</v>
      </c>
      <c r="E389" s="20" t="s">
        <v>205</v>
      </c>
      <c r="F389" s="20" t="s">
        <v>480</v>
      </c>
      <c r="G389" s="20" t="s">
        <v>123</v>
      </c>
      <c r="H389" s="20">
        <v>50</v>
      </c>
      <c r="I389" s="20">
        <v>70</v>
      </c>
      <c r="J389" s="20" t="s">
        <v>207</v>
      </c>
      <c r="K389" s="20" t="s">
        <v>26</v>
      </c>
      <c r="L389" s="52">
        <v>2500000</v>
      </c>
      <c r="M389" s="52"/>
      <c r="N389" s="52">
        <f t="shared" si="11"/>
        <v>2500000</v>
      </c>
      <c r="O389" s="53"/>
      <c r="P389" s="54">
        <f t="shared" si="12"/>
        <v>2500000</v>
      </c>
      <c r="Q389" s="28"/>
    </row>
    <row r="390" spans="2:17" s="17" customFormat="1" ht="13.8">
      <c r="B390" s="51" t="s">
        <v>495</v>
      </c>
      <c r="C390" s="20" t="s">
        <v>0</v>
      </c>
      <c r="D390" s="51" t="s">
        <v>21</v>
      </c>
      <c r="E390" s="51" t="s">
        <v>22</v>
      </c>
      <c r="F390" s="20" t="s">
        <v>480</v>
      </c>
      <c r="G390" s="20" t="s">
        <v>125</v>
      </c>
      <c r="H390" s="51">
        <v>50</v>
      </c>
      <c r="I390" s="51">
        <v>70</v>
      </c>
      <c r="J390" s="20" t="s">
        <v>207</v>
      </c>
      <c r="K390" s="20" t="s">
        <v>29</v>
      </c>
      <c r="L390" s="52">
        <v>2500000</v>
      </c>
      <c r="M390" s="52"/>
      <c r="N390" s="52">
        <f t="shared" si="11"/>
        <v>2500000</v>
      </c>
      <c r="O390" s="53"/>
      <c r="P390" s="54">
        <f t="shared" si="12"/>
        <v>2500000</v>
      </c>
      <c r="Q390" s="29"/>
    </row>
    <row r="391" spans="2:17" s="17" customFormat="1" ht="13.8">
      <c r="B391" s="20" t="s">
        <v>496</v>
      </c>
      <c r="C391" s="20" t="s">
        <v>0</v>
      </c>
      <c r="D391" s="20" t="s">
        <v>21</v>
      </c>
      <c r="E391" s="20" t="s">
        <v>22</v>
      </c>
      <c r="F391" s="20" t="s">
        <v>480</v>
      </c>
      <c r="G391" s="20" t="s">
        <v>127</v>
      </c>
      <c r="H391" s="20">
        <v>50</v>
      </c>
      <c r="I391" s="20">
        <v>70</v>
      </c>
      <c r="J391" s="20" t="s">
        <v>207</v>
      </c>
      <c r="K391" s="20" t="s">
        <v>29</v>
      </c>
      <c r="L391" s="52">
        <v>2500000</v>
      </c>
      <c r="M391" s="52"/>
      <c r="N391" s="52">
        <f t="shared" si="11"/>
        <v>2500000</v>
      </c>
      <c r="O391" s="53"/>
      <c r="P391" s="54">
        <f t="shared" si="12"/>
        <v>2500000</v>
      </c>
      <c r="Q391" s="28"/>
    </row>
    <row r="392" spans="2:17" s="17" customFormat="1" ht="13.8">
      <c r="B392" s="51" t="s">
        <v>497</v>
      </c>
      <c r="C392" s="20" t="s">
        <v>0</v>
      </c>
      <c r="D392" s="51" t="s">
        <v>21</v>
      </c>
      <c r="E392" s="51" t="s">
        <v>22</v>
      </c>
      <c r="F392" s="20" t="s">
        <v>480</v>
      </c>
      <c r="G392" s="20" t="s">
        <v>129</v>
      </c>
      <c r="H392" s="51">
        <v>50</v>
      </c>
      <c r="I392" s="51">
        <v>70</v>
      </c>
      <c r="J392" s="20" t="s">
        <v>207</v>
      </c>
      <c r="K392" s="20" t="s">
        <v>26</v>
      </c>
      <c r="L392" s="52">
        <v>2500000</v>
      </c>
      <c r="M392" s="52"/>
      <c r="N392" s="52">
        <f t="shared" ref="N392:N455" si="13">L392-M392</f>
        <v>2500000</v>
      </c>
      <c r="O392" s="53"/>
      <c r="P392" s="54">
        <f t="shared" ref="P392:P455" si="14">N392-O392</f>
        <v>2500000</v>
      </c>
      <c r="Q392" s="29"/>
    </row>
    <row r="393" spans="2:17" s="17" customFormat="1" ht="13.8">
      <c r="B393" s="20" t="s">
        <v>498</v>
      </c>
      <c r="C393" s="20" t="s">
        <v>0</v>
      </c>
      <c r="D393" s="20" t="s">
        <v>21</v>
      </c>
      <c r="E393" s="20" t="s">
        <v>22</v>
      </c>
      <c r="F393" s="20" t="s">
        <v>480</v>
      </c>
      <c r="G393" s="20" t="s">
        <v>131</v>
      </c>
      <c r="H393" s="20">
        <v>50</v>
      </c>
      <c r="I393" s="20">
        <v>70</v>
      </c>
      <c r="J393" s="20" t="s">
        <v>207</v>
      </c>
      <c r="K393" s="20" t="s">
        <v>44</v>
      </c>
      <c r="L393" s="52">
        <v>2500000</v>
      </c>
      <c r="M393" s="52"/>
      <c r="N393" s="52">
        <f t="shared" si="13"/>
        <v>2500000</v>
      </c>
      <c r="O393" s="53"/>
      <c r="P393" s="54">
        <f t="shared" si="14"/>
        <v>2500000</v>
      </c>
      <c r="Q393" s="28"/>
    </row>
    <row r="394" spans="2:17" s="17" customFormat="1" ht="13.8">
      <c r="B394" s="51" t="s">
        <v>499</v>
      </c>
      <c r="C394" s="20" t="s">
        <v>0</v>
      </c>
      <c r="D394" s="51" t="s">
        <v>21</v>
      </c>
      <c r="E394" s="51" t="s">
        <v>22</v>
      </c>
      <c r="F394" s="20" t="s">
        <v>480</v>
      </c>
      <c r="G394" s="20" t="s">
        <v>133</v>
      </c>
      <c r="H394" s="51">
        <v>50</v>
      </c>
      <c r="I394" s="51">
        <v>70</v>
      </c>
      <c r="J394" s="20" t="s">
        <v>207</v>
      </c>
      <c r="K394" s="20" t="s">
        <v>42</v>
      </c>
      <c r="L394" s="52">
        <v>2500000</v>
      </c>
      <c r="M394" s="52"/>
      <c r="N394" s="52">
        <f t="shared" si="13"/>
        <v>2500000</v>
      </c>
      <c r="O394" s="53"/>
      <c r="P394" s="54">
        <f t="shared" si="14"/>
        <v>2500000</v>
      </c>
      <c r="Q394" s="29"/>
    </row>
    <row r="395" spans="2:17" s="17" customFormat="1" ht="13.8">
      <c r="B395" s="20" t="s">
        <v>500</v>
      </c>
      <c r="C395" s="20" t="s">
        <v>0</v>
      </c>
      <c r="D395" s="20" t="s">
        <v>21</v>
      </c>
      <c r="E395" s="20" t="s">
        <v>22</v>
      </c>
      <c r="F395" s="20" t="s">
        <v>480</v>
      </c>
      <c r="G395" s="20" t="s">
        <v>135</v>
      </c>
      <c r="H395" s="20">
        <v>50</v>
      </c>
      <c r="I395" s="20">
        <v>70</v>
      </c>
      <c r="J395" s="20" t="s">
        <v>207</v>
      </c>
      <c r="K395" s="20" t="s">
        <v>42</v>
      </c>
      <c r="L395" s="52">
        <v>2500000</v>
      </c>
      <c r="M395" s="52"/>
      <c r="N395" s="52">
        <f t="shared" si="13"/>
        <v>2500000</v>
      </c>
      <c r="O395" s="53"/>
      <c r="P395" s="54">
        <f t="shared" si="14"/>
        <v>2500000</v>
      </c>
      <c r="Q395" s="28"/>
    </row>
    <row r="396" spans="2:17" s="17" customFormat="1" ht="13.8">
      <c r="B396" s="51" t="s">
        <v>501</v>
      </c>
      <c r="C396" s="20" t="s">
        <v>0</v>
      </c>
      <c r="D396" s="51" t="s">
        <v>21</v>
      </c>
      <c r="E396" s="51" t="s">
        <v>22</v>
      </c>
      <c r="F396" s="20" t="s">
        <v>480</v>
      </c>
      <c r="G396" s="20" t="s">
        <v>137</v>
      </c>
      <c r="H396" s="51">
        <v>50</v>
      </c>
      <c r="I396" s="51">
        <v>70</v>
      </c>
      <c r="J396" s="20" t="s">
        <v>207</v>
      </c>
      <c r="K396" s="20" t="s">
        <v>44</v>
      </c>
      <c r="L396" s="52">
        <v>2500000</v>
      </c>
      <c r="M396" s="52"/>
      <c r="N396" s="52">
        <f t="shared" si="13"/>
        <v>2500000</v>
      </c>
      <c r="O396" s="53"/>
      <c r="P396" s="54">
        <f t="shared" si="14"/>
        <v>2500000</v>
      </c>
      <c r="Q396" s="29"/>
    </row>
    <row r="397" spans="2:17" s="17" customFormat="1" ht="13.8">
      <c r="B397" s="20" t="s">
        <v>502</v>
      </c>
      <c r="C397" s="20" t="s">
        <v>0</v>
      </c>
      <c r="D397" s="20" t="s">
        <v>21</v>
      </c>
      <c r="E397" s="20" t="s">
        <v>22</v>
      </c>
      <c r="F397" s="20" t="s">
        <v>480</v>
      </c>
      <c r="G397" s="20" t="s">
        <v>139</v>
      </c>
      <c r="H397" s="20">
        <v>50</v>
      </c>
      <c r="I397" s="20">
        <v>70</v>
      </c>
      <c r="J397" s="20" t="s">
        <v>207</v>
      </c>
      <c r="K397" s="20" t="s">
        <v>35</v>
      </c>
      <c r="L397" s="52">
        <v>2500000</v>
      </c>
      <c r="M397" s="52"/>
      <c r="N397" s="52">
        <f t="shared" si="13"/>
        <v>2500000</v>
      </c>
      <c r="O397" s="53"/>
      <c r="P397" s="54">
        <f t="shared" si="14"/>
        <v>2500000</v>
      </c>
      <c r="Q397" s="28"/>
    </row>
    <row r="398" spans="2:17" s="17" customFormat="1" ht="13.8">
      <c r="B398" s="51" t="s">
        <v>503</v>
      </c>
      <c r="C398" s="20" t="s">
        <v>0</v>
      </c>
      <c r="D398" s="51" t="s">
        <v>21</v>
      </c>
      <c r="E398" s="51" t="s">
        <v>22</v>
      </c>
      <c r="F398" s="20" t="s">
        <v>480</v>
      </c>
      <c r="G398" s="20" t="s">
        <v>141</v>
      </c>
      <c r="H398" s="51">
        <v>50</v>
      </c>
      <c r="I398" s="51">
        <v>70</v>
      </c>
      <c r="J398" s="20" t="s">
        <v>207</v>
      </c>
      <c r="K398" s="20" t="s">
        <v>32</v>
      </c>
      <c r="L398" s="52">
        <v>2500000</v>
      </c>
      <c r="M398" s="52"/>
      <c r="N398" s="52">
        <f t="shared" si="13"/>
        <v>2500000</v>
      </c>
      <c r="O398" s="53"/>
      <c r="P398" s="54">
        <f t="shared" si="14"/>
        <v>2500000</v>
      </c>
      <c r="Q398" s="29"/>
    </row>
    <row r="399" spans="2:17" s="17" customFormat="1" ht="13.8">
      <c r="B399" s="20" t="s">
        <v>504</v>
      </c>
      <c r="C399" s="20" t="s">
        <v>0</v>
      </c>
      <c r="D399" s="20" t="s">
        <v>21</v>
      </c>
      <c r="E399" s="20" t="s">
        <v>22</v>
      </c>
      <c r="F399" s="20" t="s">
        <v>480</v>
      </c>
      <c r="G399" s="20" t="s">
        <v>143</v>
      </c>
      <c r="H399" s="20">
        <v>50</v>
      </c>
      <c r="I399" s="20">
        <v>70</v>
      </c>
      <c r="J399" s="20" t="s">
        <v>207</v>
      </c>
      <c r="K399" s="20" t="s">
        <v>32</v>
      </c>
      <c r="L399" s="52">
        <v>2500000</v>
      </c>
      <c r="M399" s="52"/>
      <c r="N399" s="52">
        <f t="shared" si="13"/>
        <v>2500000</v>
      </c>
      <c r="O399" s="53"/>
      <c r="P399" s="54">
        <f t="shared" si="14"/>
        <v>2500000</v>
      </c>
      <c r="Q399" s="28"/>
    </row>
    <row r="400" spans="2:17" s="17" customFormat="1" ht="13.8">
      <c r="B400" s="51" t="s">
        <v>505</v>
      </c>
      <c r="C400" s="20" t="s">
        <v>0</v>
      </c>
      <c r="D400" s="51" t="s">
        <v>21</v>
      </c>
      <c r="E400" s="51" t="s">
        <v>243</v>
      </c>
      <c r="F400" s="20" t="s">
        <v>480</v>
      </c>
      <c r="G400" s="20" t="s">
        <v>145</v>
      </c>
      <c r="H400" s="51">
        <v>50</v>
      </c>
      <c r="I400" s="51">
        <v>83</v>
      </c>
      <c r="J400" s="20" t="s">
        <v>207</v>
      </c>
      <c r="K400" s="20" t="s">
        <v>35</v>
      </c>
      <c r="L400" s="52">
        <v>2929000</v>
      </c>
      <c r="M400" s="52"/>
      <c r="N400" s="52">
        <f t="shared" si="13"/>
        <v>2929000</v>
      </c>
      <c r="O400" s="53"/>
      <c r="P400" s="54">
        <f t="shared" si="14"/>
        <v>2929000</v>
      </c>
      <c r="Q400" s="29"/>
    </row>
    <row r="401" spans="2:17" s="17" customFormat="1" ht="13.8">
      <c r="B401" s="20" t="s">
        <v>506</v>
      </c>
      <c r="C401" s="20" t="s">
        <v>0</v>
      </c>
      <c r="D401" s="20" t="s">
        <v>21</v>
      </c>
      <c r="E401" s="20" t="s">
        <v>22</v>
      </c>
      <c r="F401" s="20" t="s">
        <v>480</v>
      </c>
      <c r="G401" s="20" t="s">
        <v>147</v>
      </c>
      <c r="H401" s="20">
        <v>50</v>
      </c>
      <c r="I401" s="20">
        <v>83</v>
      </c>
      <c r="J401" s="20" t="s">
        <v>207</v>
      </c>
      <c r="K401" s="20" t="s">
        <v>42</v>
      </c>
      <c r="L401" s="52">
        <v>2929000</v>
      </c>
      <c r="M401" s="52"/>
      <c r="N401" s="52">
        <f t="shared" si="13"/>
        <v>2929000</v>
      </c>
      <c r="O401" s="53"/>
      <c r="P401" s="54">
        <f t="shared" si="14"/>
        <v>2929000</v>
      </c>
      <c r="Q401" s="28"/>
    </row>
    <row r="402" spans="2:17" s="17" customFormat="1" ht="13.8">
      <c r="B402" s="51" t="s">
        <v>507</v>
      </c>
      <c r="C402" s="20" t="s">
        <v>0</v>
      </c>
      <c r="D402" s="51" t="s">
        <v>21</v>
      </c>
      <c r="E402" s="51" t="s">
        <v>22</v>
      </c>
      <c r="F402" s="20" t="s">
        <v>480</v>
      </c>
      <c r="G402" s="20" t="s">
        <v>149</v>
      </c>
      <c r="H402" s="51">
        <v>50</v>
      </c>
      <c r="I402" s="51">
        <v>70</v>
      </c>
      <c r="J402" s="20" t="s">
        <v>207</v>
      </c>
      <c r="K402" s="20" t="s">
        <v>44</v>
      </c>
      <c r="L402" s="52">
        <v>2500000</v>
      </c>
      <c r="M402" s="52"/>
      <c r="N402" s="52">
        <f t="shared" si="13"/>
        <v>2500000</v>
      </c>
      <c r="O402" s="53"/>
      <c r="P402" s="54">
        <f t="shared" si="14"/>
        <v>2500000</v>
      </c>
      <c r="Q402" s="29"/>
    </row>
    <row r="403" spans="2:17" s="17" customFormat="1" ht="13.8">
      <c r="B403" s="20" t="s">
        <v>508</v>
      </c>
      <c r="C403" s="20" t="s">
        <v>0</v>
      </c>
      <c r="D403" s="20" t="s">
        <v>21</v>
      </c>
      <c r="E403" s="20" t="s">
        <v>22</v>
      </c>
      <c r="F403" s="20" t="s">
        <v>480</v>
      </c>
      <c r="G403" s="20" t="s">
        <v>151</v>
      </c>
      <c r="H403" s="20">
        <v>50</v>
      </c>
      <c r="I403" s="20">
        <v>70</v>
      </c>
      <c r="J403" s="20" t="s">
        <v>207</v>
      </c>
      <c r="K403" s="20" t="s">
        <v>44</v>
      </c>
      <c r="L403" s="52">
        <v>2500000</v>
      </c>
      <c r="M403" s="52"/>
      <c r="N403" s="52">
        <f t="shared" si="13"/>
        <v>2500000</v>
      </c>
      <c r="O403" s="53"/>
      <c r="P403" s="54">
        <f t="shared" si="14"/>
        <v>2500000</v>
      </c>
      <c r="Q403" s="28"/>
    </row>
    <row r="404" spans="2:17" s="17" customFormat="1" ht="13.8">
      <c r="B404" s="51" t="s">
        <v>509</v>
      </c>
      <c r="C404" s="20" t="s">
        <v>0</v>
      </c>
      <c r="D404" s="51" t="s">
        <v>21</v>
      </c>
      <c r="E404" s="51" t="s">
        <v>22</v>
      </c>
      <c r="F404" s="20" t="s">
        <v>480</v>
      </c>
      <c r="G404" s="20" t="s">
        <v>153</v>
      </c>
      <c r="H404" s="51">
        <v>50</v>
      </c>
      <c r="I404" s="51">
        <v>70</v>
      </c>
      <c r="J404" s="20" t="s">
        <v>207</v>
      </c>
      <c r="K404" s="20" t="s">
        <v>42</v>
      </c>
      <c r="L404" s="52">
        <v>2500000</v>
      </c>
      <c r="M404" s="52"/>
      <c r="N404" s="52">
        <f t="shared" si="13"/>
        <v>2500000</v>
      </c>
      <c r="O404" s="53"/>
      <c r="P404" s="54">
        <f t="shared" si="14"/>
        <v>2500000</v>
      </c>
      <c r="Q404" s="29"/>
    </row>
    <row r="405" spans="2:17" s="17" customFormat="1" ht="13.8">
      <c r="B405" s="20" t="s">
        <v>510</v>
      </c>
      <c r="C405" s="20" t="s">
        <v>0</v>
      </c>
      <c r="D405" s="20" t="s">
        <v>21</v>
      </c>
      <c r="E405" s="20" t="s">
        <v>22</v>
      </c>
      <c r="F405" s="20" t="s">
        <v>480</v>
      </c>
      <c r="G405" s="20" t="s">
        <v>155</v>
      </c>
      <c r="H405" s="20">
        <v>50</v>
      </c>
      <c r="I405" s="20">
        <v>70</v>
      </c>
      <c r="J405" s="20" t="s">
        <v>207</v>
      </c>
      <c r="K405" s="20" t="s">
        <v>29</v>
      </c>
      <c r="L405" s="52">
        <v>2500000</v>
      </c>
      <c r="M405" s="52"/>
      <c r="N405" s="52">
        <f t="shared" si="13"/>
        <v>2500000</v>
      </c>
      <c r="O405" s="53"/>
      <c r="P405" s="54">
        <f t="shared" si="14"/>
        <v>2500000</v>
      </c>
      <c r="Q405" s="28"/>
    </row>
    <row r="406" spans="2:17" s="17" customFormat="1" ht="13.8">
      <c r="B406" s="51" t="s">
        <v>511</v>
      </c>
      <c r="C406" s="20" t="s">
        <v>0</v>
      </c>
      <c r="D406" s="51" t="s">
        <v>21</v>
      </c>
      <c r="E406" s="51" t="s">
        <v>22</v>
      </c>
      <c r="F406" s="20" t="s">
        <v>480</v>
      </c>
      <c r="G406" s="20" t="s">
        <v>157</v>
      </c>
      <c r="H406" s="51">
        <v>50</v>
      </c>
      <c r="I406" s="51">
        <v>70</v>
      </c>
      <c r="J406" s="20" t="s">
        <v>207</v>
      </c>
      <c r="K406" s="20" t="s">
        <v>26</v>
      </c>
      <c r="L406" s="52">
        <v>2500000</v>
      </c>
      <c r="M406" s="52"/>
      <c r="N406" s="52">
        <f t="shared" si="13"/>
        <v>2500000</v>
      </c>
      <c r="O406" s="53"/>
      <c r="P406" s="54">
        <f t="shared" si="14"/>
        <v>2500000</v>
      </c>
      <c r="Q406" s="29"/>
    </row>
    <row r="407" spans="2:17" s="17" customFormat="1" ht="13.8">
      <c r="B407" s="20" t="s">
        <v>512</v>
      </c>
      <c r="C407" s="20" t="s">
        <v>0</v>
      </c>
      <c r="D407" s="20" t="s">
        <v>21</v>
      </c>
      <c r="E407" s="20" t="s">
        <v>22</v>
      </c>
      <c r="F407" s="20" t="s">
        <v>480</v>
      </c>
      <c r="G407" s="20" t="s">
        <v>159</v>
      </c>
      <c r="H407" s="20">
        <v>50</v>
      </c>
      <c r="I407" s="20">
        <v>70</v>
      </c>
      <c r="J407" s="20" t="s">
        <v>207</v>
      </c>
      <c r="K407" s="20" t="s">
        <v>26</v>
      </c>
      <c r="L407" s="52">
        <v>2500000</v>
      </c>
      <c r="M407" s="52"/>
      <c r="N407" s="52">
        <f t="shared" si="13"/>
        <v>2500000</v>
      </c>
      <c r="O407" s="53"/>
      <c r="P407" s="54">
        <f t="shared" si="14"/>
        <v>2500000</v>
      </c>
      <c r="Q407" s="28"/>
    </row>
    <row r="408" spans="2:17" s="17" customFormat="1" ht="13.8">
      <c r="B408" s="51" t="s">
        <v>513</v>
      </c>
      <c r="C408" s="20" t="s">
        <v>0</v>
      </c>
      <c r="D408" s="51" t="s">
        <v>21</v>
      </c>
      <c r="E408" s="51" t="s">
        <v>22</v>
      </c>
      <c r="F408" s="20" t="s">
        <v>480</v>
      </c>
      <c r="G408" s="20" t="s">
        <v>161</v>
      </c>
      <c r="H408" s="51">
        <v>50</v>
      </c>
      <c r="I408" s="51">
        <v>70</v>
      </c>
      <c r="J408" s="20" t="s">
        <v>207</v>
      </c>
      <c r="K408" s="20" t="s">
        <v>29</v>
      </c>
      <c r="L408" s="52">
        <v>2500000</v>
      </c>
      <c r="M408" s="52"/>
      <c r="N408" s="52">
        <f t="shared" si="13"/>
        <v>2500000</v>
      </c>
      <c r="O408" s="53"/>
      <c r="P408" s="54">
        <f t="shared" si="14"/>
        <v>2500000</v>
      </c>
      <c r="Q408" s="29"/>
    </row>
    <row r="409" spans="2:17" s="17" customFormat="1" ht="13.8">
      <c r="B409" s="20" t="s">
        <v>514</v>
      </c>
      <c r="C409" s="20" t="s">
        <v>0</v>
      </c>
      <c r="D409" s="20" t="s">
        <v>21</v>
      </c>
      <c r="E409" s="20" t="s">
        <v>22</v>
      </c>
      <c r="F409" s="20" t="s">
        <v>480</v>
      </c>
      <c r="G409" s="20" t="s">
        <v>163</v>
      </c>
      <c r="H409" s="20">
        <v>50</v>
      </c>
      <c r="I409" s="20">
        <v>70</v>
      </c>
      <c r="J409" s="20" t="s">
        <v>207</v>
      </c>
      <c r="K409" s="20" t="s">
        <v>50</v>
      </c>
      <c r="L409" s="52">
        <v>2500000</v>
      </c>
      <c r="M409" s="52"/>
      <c r="N409" s="52">
        <f t="shared" si="13"/>
        <v>2500000</v>
      </c>
      <c r="O409" s="53"/>
      <c r="P409" s="54">
        <f t="shared" si="14"/>
        <v>2500000</v>
      </c>
      <c r="Q409" s="28"/>
    </row>
    <row r="410" spans="2:17" s="17" customFormat="1" ht="13.8">
      <c r="B410" s="51" t="s">
        <v>515</v>
      </c>
      <c r="C410" s="20" t="s">
        <v>0</v>
      </c>
      <c r="D410" s="51" t="s">
        <v>21</v>
      </c>
      <c r="E410" s="51" t="s">
        <v>22</v>
      </c>
      <c r="F410" s="20" t="s">
        <v>480</v>
      </c>
      <c r="G410" s="20" t="s">
        <v>165</v>
      </c>
      <c r="H410" s="51">
        <v>50</v>
      </c>
      <c r="I410" s="51">
        <v>70</v>
      </c>
      <c r="J410" s="20" t="s">
        <v>207</v>
      </c>
      <c r="K410" s="20" t="s">
        <v>48</v>
      </c>
      <c r="L410" s="52">
        <v>2500000</v>
      </c>
      <c r="M410" s="52"/>
      <c r="N410" s="52">
        <f t="shared" si="13"/>
        <v>2500000</v>
      </c>
      <c r="O410" s="53"/>
      <c r="P410" s="54">
        <f t="shared" si="14"/>
        <v>2500000</v>
      </c>
      <c r="Q410" s="29"/>
    </row>
    <row r="411" spans="2:17" s="17" customFormat="1" ht="13.8">
      <c r="B411" s="20" t="s">
        <v>516</v>
      </c>
      <c r="C411" s="20" t="s">
        <v>0</v>
      </c>
      <c r="D411" s="20" t="s">
        <v>21</v>
      </c>
      <c r="E411" s="20" t="s">
        <v>22</v>
      </c>
      <c r="F411" s="20" t="s">
        <v>480</v>
      </c>
      <c r="G411" s="20" t="s">
        <v>517</v>
      </c>
      <c r="H411" s="20">
        <v>50</v>
      </c>
      <c r="I411" s="20">
        <v>70</v>
      </c>
      <c r="J411" s="20" t="s">
        <v>207</v>
      </c>
      <c r="K411" s="20" t="s">
        <v>48</v>
      </c>
      <c r="L411" s="52">
        <v>2500000</v>
      </c>
      <c r="M411" s="52"/>
      <c r="N411" s="52">
        <f t="shared" si="13"/>
        <v>2500000</v>
      </c>
      <c r="O411" s="53"/>
      <c r="P411" s="54">
        <f t="shared" si="14"/>
        <v>2500000</v>
      </c>
      <c r="Q411" s="28"/>
    </row>
    <row r="412" spans="2:17" s="17" customFormat="1" ht="13.8">
      <c r="B412" s="51" t="s">
        <v>518</v>
      </c>
      <c r="C412" s="20" t="s">
        <v>0</v>
      </c>
      <c r="D412" s="51" t="s">
        <v>21</v>
      </c>
      <c r="E412" s="51" t="s">
        <v>22</v>
      </c>
      <c r="F412" s="20" t="s">
        <v>480</v>
      </c>
      <c r="G412" s="20" t="s">
        <v>519</v>
      </c>
      <c r="H412" s="51">
        <v>50</v>
      </c>
      <c r="I412" s="51">
        <v>70</v>
      </c>
      <c r="J412" s="20" t="s">
        <v>207</v>
      </c>
      <c r="K412" s="20" t="s">
        <v>50</v>
      </c>
      <c r="L412" s="52">
        <v>2500000</v>
      </c>
      <c r="M412" s="52"/>
      <c r="N412" s="52">
        <f t="shared" si="13"/>
        <v>2500000</v>
      </c>
      <c r="O412" s="53"/>
      <c r="P412" s="54">
        <f t="shared" si="14"/>
        <v>2500000</v>
      </c>
      <c r="Q412" s="29"/>
    </row>
    <row r="413" spans="2:17" s="17" customFormat="1" ht="13.8">
      <c r="B413" s="20" t="s">
        <v>520</v>
      </c>
      <c r="C413" s="20" t="s">
        <v>0</v>
      </c>
      <c r="D413" s="20" t="s">
        <v>21</v>
      </c>
      <c r="E413" s="20" t="s">
        <v>22</v>
      </c>
      <c r="F413" s="20" t="s">
        <v>480</v>
      </c>
      <c r="G413" s="20" t="s">
        <v>521</v>
      </c>
      <c r="H413" s="20">
        <v>50</v>
      </c>
      <c r="I413" s="20">
        <v>70</v>
      </c>
      <c r="J413" s="20" t="s">
        <v>207</v>
      </c>
      <c r="K413" s="20" t="s">
        <v>32</v>
      </c>
      <c r="L413" s="52">
        <v>2500000</v>
      </c>
      <c r="M413" s="52"/>
      <c r="N413" s="52">
        <f t="shared" si="13"/>
        <v>2500000</v>
      </c>
      <c r="O413" s="53"/>
      <c r="P413" s="54">
        <f t="shared" si="14"/>
        <v>2500000</v>
      </c>
      <c r="Q413" s="28"/>
    </row>
    <row r="414" spans="2:17" s="17" customFormat="1" ht="13.8">
      <c r="B414" s="51" t="s">
        <v>522</v>
      </c>
      <c r="C414" s="20" t="s">
        <v>0</v>
      </c>
      <c r="D414" s="51" t="s">
        <v>21</v>
      </c>
      <c r="E414" s="51" t="s">
        <v>22</v>
      </c>
      <c r="F414" s="20" t="s">
        <v>480</v>
      </c>
      <c r="G414" s="20" t="s">
        <v>523</v>
      </c>
      <c r="H414" s="51">
        <v>50</v>
      </c>
      <c r="I414" s="51">
        <v>70</v>
      </c>
      <c r="J414" s="20" t="s">
        <v>207</v>
      </c>
      <c r="K414" s="20" t="s">
        <v>35</v>
      </c>
      <c r="L414" s="52">
        <v>2500000</v>
      </c>
      <c r="M414" s="52"/>
      <c r="N414" s="52">
        <f t="shared" si="13"/>
        <v>2500000</v>
      </c>
      <c r="O414" s="53"/>
      <c r="P414" s="54">
        <f t="shared" si="14"/>
        <v>2500000</v>
      </c>
      <c r="Q414" s="29"/>
    </row>
    <row r="415" spans="2:17" s="17" customFormat="1" ht="13.8">
      <c r="B415" s="20" t="s">
        <v>524</v>
      </c>
      <c r="C415" s="20" t="s">
        <v>0</v>
      </c>
      <c r="D415" s="20" t="s">
        <v>21</v>
      </c>
      <c r="E415" s="20" t="s">
        <v>22</v>
      </c>
      <c r="F415" s="20" t="s">
        <v>480</v>
      </c>
      <c r="G415" s="20" t="s">
        <v>525</v>
      </c>
      <c r="H415" s="20">
        <v>50</v>
      </c>
      <c r="I415" s="20">
        <v>70</v>
      </c>
      <c r="J415" s="20" t="s">
        <v>207</v>
      </c>
      <c r="K415" s="20" t="s">
        <v>35</v>
      </c>
      <c r="L415" s="52">
        <v>2500000</v>
      </c>
      <c r="M415" s="52"/>
      <c r="N415" s="52">
        <f t="shared" si="13"/>
        <v>2500000</v>
      </c>
      <c r="O415" s="53"/>
      <c r="P415" s="54">
        <f t="shared" si="14"/>
        <v>2500000</v>
      </c>
      <c r="Q415" s="28"/>
    </row>
    <row r="416" spans="2:17" s="17" customFormat="1" ht="13.8">
      <c r="B416" s="51" t="s">
        <v>526</v>
      </c>
      <c r="C416" s="20" t="s">
        <v>0</v>
      </c>
      <c r="D416" s="51" t="s">
        <v>21</v>
      </c>
      <c r="E416" s="51" t="s">
        <v>22</v>
      </c>
      <c r="F416" s="20" t="s">
        <v>480</v>
      </c>
      <c r="G416" s="20" t="s">
        <v>527</v>
      </c>
      <c r="H416" s="51">
        <v>50</v>
      </c>
      <c r="I416" s="51">
        <v>70</v>
      </c>
      <c r="J416" s="20" t="s">
        <v>207</v>
      </c>
      <c r="K416" s="20" t="s">
        <v>32</v>
      </c>
      <c r="L416" s="52">
        <v>2500000</v>
      </c>
      <c r="M416" s="52"/>
      <c r="N416" s="52">
        <f t="shared" si="13"/>
        <v>2500000</v>
      </c>
      <c r="O416" s="53"/>
      <c r="P416" s="54">
        <f t="shared" si="14"/>
        <v>2500000</v>
      </c>
      <c r="Q416" s="29"/>
    </row>
    <row r="417" spans="2:17" s="17" customFormat="1" ht="13.8">
      <c r="B417" s="20" t="s">
        <v>528</v>
      </c>
      <c r="C417" s="20" t="s">
        <v>0</v>
      </c>
      <c r="D417" s="20" t="s">
        <v>21</v>
      </c>
      <c r="E417" s="20" t="s">
        <v>22</v>
      </c>
      <c r="F417" s="20" t="s">
        <v>480</v>
      </c>
      <c r="G417" s="20" t="s">
        <v>529</v>
      </c>
      <c r="H417" s="20">
        <v>50</v>
      </c>
      <c r="I417" s="20">
        <v>70</v>
      </c>
      <c r="J417" s="20" t="s">
        <v>207</v>
      </c>
      <c r="K417" s="20" t="s">
        <v>42</v>
      </c>
      <c r="L417" s="52">
        <v>2500000</v>
      </c>
      <c r="M417" s="52"/>
      <c r="N417" s="52">
        <f t="shared" si="13"/>
        <v>2500000</v>
      </c>
      <c r="O417" s="53"/>
      <c r="P417" s="54">
        <f t="shared" si="14"/>
        <v>2500000</v>
      </c>
      <c r="Q417" s="28"/>
    </row>
    <row r="418" spans="2:17" s="17" customFormat="1" ht="13.8">
      <c r="B418" s="51" t="s">
        <v>530</v>
      </c>
      <c r="C418" s="20" t="s">
        <v>0</v>
      </c>
      <c r="D418" s="51" t="s">
        <v>21</v>
      </c>
      <c r="E418" s="51" t="s">
        <v>22</v>
      </c>
      <c r="F418" s="20" t="s">
        <v>480</v>
      </c>
      <c r="G418" s="20" t="s">
        <v>531</v>
      </c>
      <c r="H418" s="51">
        <v>50</v>
      </c>
      <c r="I418" s="51">
        <v>70</v>
      </c>
      <c r="J418" s="20" t="s">
        <v>207</v>
      </c>
      <c r="K418" s="20" t="s">
        <v>44</v>
      </c>
      <c r="L418" s="52">
        <v>2500000</v>
      </c>
      <c r="M418" s="52"/>
      <c r="N418" s="52">
        <f t="shared" si="13"/>
        <v>2500000</v>
      </c>
      <c r="O418" s="53"/>
      <c r="P418" s="54">
        <f t="shared" si="14"/>
        <v>2500000</v>
      </c>
      <c r="Q418" s="29"/>
    </row>
    <row r="419" spans="2:17" s="17" customFormat="1" ht="13.8">
      <c r="B419" s="20" t="s">
        <v>532</v>
      </c>
      <c r="C419" s="20" t="s">
        <v>0</v>
      </c>
      <c r="D419" s="20" t="s">
        <v>21</v>
      </c>
      <c r="E419" s="20" t="s">
        <v>22</v>
      </c>
      <c r="F419" s="20" t="s">
        <v>480</v>
      </c>
      <c r="G419" s="20" t="s">
        <v>533</v>
      </c>
      <c r="H419" s="20">
        <v>50</v>
      </c>
      <c r="I419" s="20">
        <v>70</v>
      </c>
      <c r="J419" s="20" t="s">
        <v>207</v>
      </c>
      <c r="K419" s="20" t="s">
        <v>44</v>
      </c>
      <c r="L419" s="52">
        <v>2500000</v>
      </c>
      <c r="M419" s="52"/>
      <c r="N419" s="52">
        <f t="shared" si="13"/>
        <v>2500000</v>
      </c>
      <c r="O419" s="53"/>
      <c r="P419" s="54">
        <f t="shared" si="14"/>
        <v>2500000</v>
      </c>
      <c r="Q419" s="28"/>
    </row>
    <row r="420" spans="2:17" s="17" customFormat="1" ht="13.8">
      <c r="B420" s="51" t="s">
        <v>534</v>
      </c>
      <c r="C420" s="20" t="s">
        <v>0</v>
      </c>
      <c r="D420" s="51" t="s">
        <v>21</v>
      </c>
      <c r="E420" s="51" t="s">
        <v>22</v>
      </c>
      <c r="F420" s="20" t="s">
        <v>480</v>
      </c>
      <c r="G420" s="20" t="s">
        <v>535</v>
      </c>
      <c r="H420" s="51">
        <v>50</v>
      </c>
      <c r="I420" s="51">
        <v>70</v>
      </c>
      <c r="J420" s="20" t="s">
        <v>207</v>
      </c>
      <c r="K420" s="20" t="s">
        <v>42</v>
      </c>
      <c r="L420" s="52">
        <v>2500000</v>
      </c>
      <c r="M420" s="52"/>
      <c r="N420" s="52">
        <f t="shared" si="13"/>
        <v>2500000</v>
      </c>
      <c r="O420" s="53"/>
      <c r="P420" s="54">
        <f t="shared" si="14"/>
        <v>2500000</v>
      </c>
      <c r="Q420" s="29"/>
    </row>
    <row r="421" spans="2:17" s="17" customFormat="1" ht="13.8">
      <c r="B421" s="20" t="s">
        <v>536</v>
      </c>
      <c r="C421" s="20" t="s">
        <v>0</v>
      </c>
      <c r="D421" s="20" t="s">
        <v>21</v>
      </c>
      <c r="E421" s="20" t="s">
        <v>22</v>
      </c>
      <c r="F421" s="20" t="s">
        <v>480</v>
      </c>
      <c r="G421" s="20" t="s">
        <v>537</v>
      </c>
      <c r="H421" s="20">
        <v>50</v>
      </c>
      <c r="I421" s="20">
        <v>70</v>
      </c>
      <c r="J421" s="20" t="s">
        <v>207</v>
      </c>
      <c r="K421" s="20" t="s">
        <v>29</v>
      </c>
      <c r="L421" s="52">
        <v>2500000</v>
      </c>
      <c r="M421" s="52"/>
      <c r="N421" s="52">
        <f t="shared" si="13"/>
        <v>2500000</v>
      </c>
      <c r="O421" s="53"/>
      <c r="P421" s="54">
        <f t="shared" si="14"/>
        <v>2500000</v>
      </c>
      <c r="Q421" s="28"/>
    </row>
    <row r="422" spans="2:17" s="17" customFormat="1" ht="13.8">
      <c r="B422" s="51" t="s">
        <v>538</v>
      </c>
      <c r="C422" s="20" t="s">
        <v>0</v>
      </c>
      <c r="D422" s="51" t="s">
        <v>21</v>
      </c>
      <c r="E422" s="51" t="s">
        <v>22</v>
      </c>
      <c r="F422" s="20" t="s">
        <v>480</v>
      </c>
      <c r="G422" s="20" t="s">
        <v>539</v>
      </c>
      <c r="H422" s="51">
        <v>50</v>
      </c>
      <c r="I422" s="51">
        <v>70</v>
      </c>
      <c r="J422" s="20" t="s">
        <v>207</v>
      </c>
      <c r="K422" s="20" t="s">
        <v>26</v>
      </c>
      <c r="L422" s="52">
        <v>2500000</v>
      </c>
      <c r="M422" s="52"/>
      <c r="N422" s="52">
        <f t="shared" si="13"/>
        <v>2500000</v>
      </c>
      <c r="O422" s="53"/>
      <c r="P422" s="54">
        <f t="shared" si="14"/>
        <v>2500000</v>
      </c>
      <c r="Q422" s="29"/>
    </row>
    <row r="423" spans="2:17" s="17" customFormat="1" ht="13.8">
      <c r="B423" s="20" t="s">
        <v>540</v>
      </c>
      <c r="C423" s="20" t="s">
        <v>0</v>
      </c>
      <c r="D423" s="20" t="s">
        <v>21</v>
      </c>
      <c r="E423" s="20" t="s">
        <v>22</v>
      </c>
      <c r="F423" s="20" t="s">
        <v>480</v>
      </c>
      <c r="G423" s="20" t="s">
        <v>541</v>
      </c>
      <c r="H423" s="20">
        <v>50</v>
      </c>
      <c r="I423" s="20">
        <v>70</v>
      </c>
      <c r="J423" s="20" t="s">
        <v>207</v>
      </c>
      <c r="K423" s="20" t="s">
        <v>26</v>
      </c>
      <c r="L423" s="52">
        <v>2500000</v>
      </c>
      <c r="M423" s="52"/>
      <c r="N423" s="52">
        <f t="shared" si="13"/>
        <v>2500000</v>
      </c>
      <c r="O423" s="53"/>
      <c r="P423" s="54">
        <f t="shared" si="14"/>
        <v>2500000</v>
      </c>
      <c r="Q423" s="28"/>
    </row>
    <row r="424" spans="2:17" s="17" customFormat="1" ht="13.8">
      <c r="B424" s="51" t="s">
        <v>542</v>
      </c>
      <c r="C424" s="20" t="s">
        <v>0</v>
      </c>
      <c r="D424" s="51" t="s">
        <v>21</v>
      </c>
      <c r="E424" s="51" t="s">
        <v>22</v>
      </c>
      <c r="F424" s="20" t="s">
        <v>480</v>
      </c>
      <c r="G424" s="20" t="s">
        <v>543</v>
      </c>
      <c r="H424" s="51">
        <v>50</v>
      </c>
      <c r="I424" s="51">
        <v>70</v>
      </c>
      <c r="J424" s="20" t="s">
        <v>207</v>
      </c>
      <c r="K424" s="20" t="s">
        <v>29</v>
      </c>
      <c r="L424" s="52">
        <v>2500000</v>
      </c>
      <c r="M424" s="52"/>
      <c r="N424" s="52">
        <f t="shared" si="13"/>
        <v>2500000</v>
      </c>
      <c r="O424" s="53"/>
      <c r="P424" s="54">
        <f t="shared" si="14"/>
        <v>2500000</v>
      </c>
      <c r="Q424" s="29"/>
    </row>
    <row r="425" spans="2:17" s="17" customFormat="1" ht="13.8">
      <c r="B425" s="20" t="s">
        <v>544</v>
      </c>
      <c r="C425" s="20" t="s">
        <v>0</v>
      </c>
      <c r="D425" s="20" t="s">
        <v>21</v>
      </c>
      <c r="E425" s="20" t="s">
        <v>22</v>
      </c>
      <c r="F425" s="20" t="s">
        <v>480</v>
      </c>
      <c r="G425" s="20" t="s">
        <v>545</v>
      </c>
      <c r="H425" s="20">
        <v>50</v>
      </c>
      <c r="I425" s="20">
        <v>70</v>
      </c>
      <c r="J425" s="20" t="s">
        <v>207</v>
      </c>
      <c r="K425" s="20" t="s">
        <v>50</v>
      </c>
      <c r="L425" s="52">
        <v>2500000</v>
      </c>
      <c r="M425" s="52"/>
      <c r="N425" s="52">
        <f t="shared" si="13"/>
        <v>2500000</v>
      </c>
      <c r="O425" s="53"/>
      <c r="P425" s="54">
        <f t="shared" si="14"/>
        <v>2500000</v>
      </c>
      <c r="Q425" s="28"/>
    </row>
    <row r="426" spans="2:17" s="17" customFormat="1" ht="13.8">
      <c r="B426" s="51" t="s">
        <v>546</v>
      </c>
      <c r="C426" s="20" t="s">
        <v>0</v>
      </c>
      <c r="D426" s="51" t="s">
        <v>21</v>
      </c>
      <c r="E426" s="51" t="s">
        <v>243</v>
      </c>
      <c r="F426" s="20" t="s">
        <v>480</v>
      </c>
      <c r="G426" s="20" t="s">
        <v>547</v>
      </c>
      <c r="H426" s="51">
        <v>50</v>
      </c>
      <c r="I426" s="51">
        <v>73</v>
      </c>
      <c r="J426" s="20" t="s">
        <v>207</v>
      </c>
      <c r="K426" s="20" t="s">
        <v>48</v>
      </c>
      <c r="L426" s="52">
        <v>2599000</v>
      </c>
      <c r="M426" s="52"/>
      <c r="N426" s="52">
        <f t="shared" si="13"/>
        <v>2599000</v>
      </c>
      <c r="O426" s="53"/>
      <c r="P426" s="54">
        <f t="shared" si="14"/>
        <v>2599000</v>
      </c>
      <c r="Q426" s="29"/>
    </row>
    <row r="427" spans="2:17" s="17" customFormat="1" ht="13.8">
      <c r="B427" s="20" t="s">
        <v>548</v>
      </c>
      <c r="C427" s="20" t="s">
        <v>0</v>
      </c>
      <c r="D427" s="20" t="s">
        <v>21</v>
      </c>
      <c r="E427" s="20" t="s">
        <v>22</v>
      </c>
      <c r="F427" s="20" t="s">
        <v>549</v>
      </c>
      <c r="G427" s="20" t="s">
        <v>24</v>
      </c>
      <c r="H427" s="20">
        <v>50</v>
      </c>
      <c r="I427" s="20">
        <v>73</v>
      </c>
      <c r="J427" s="20" t="s">
        <v>207</v>
      </c>
      <c r="K427" s="20" t="s">
        <v>32</v>
      </c>
      <c r="L427" s="52">
        <v>2599000</v>
      </c>
      <c r="M427" s="52"/>
      <c r="N427" s="52">
        <f t="shared" si="13"/>
        <v>2599000</v>
      </c>
      <c r="O427" s="53"/>
      <c r="P427" s="54">
        <f t="shared" si="14"/>
        <v>2599000</v>
      </c>
      <c r="Q427" s="28"/>
    </row>
    <row r="428" spans="2:17" s="17" customFormat="1" ht="13.8">
      <c r="B428" s="51" t="s">
        <v>550</v>
      </c>
      <c r="C428" s="20" t="s">
        <v>0</v>
      </c>
      <c r="D428" s="51" t="s">
        <v>21</v>
      </c>
      <c r="E428" s="51" t="s">
        <v>22</v>
      </c>
      <c r="F428" s="20" t="s">
        <v>549</v>
      </c>
      <c r="G428" s="20" t="s">
        <v>28</v>
      </c>
      <c r="H428" s="51">
        <v>50</v>
      </c>
      <c r="I428" s="51">
        <v>70</v>
      </c>
      <c r="J428" s="20" t="s">
        <v>207</v>
      </c>
      <c r="K428" s="20" t="s">
        <v>35</v>
      </c>
      <c r="L428" s="52">
        <v>2500000</v>
      </c>
      <c r="M428" s="52"/>
      <c r="N428" s="52">
        <f t="shared" si="13"/>
        <v>2500000</v>
      </c>
      <c r="O428" s="53"/>
      <c r="P428" s="54">
        <f t="shared" si="14"/>
        <v>2500000</v>
      </c>
      <c r="Q428" s="29"/>
    </row>
    <row r="429" spans="2:17" s="17" customFormat="1" ht="13.8">
      <c r="B429" s="20" t="s">
        <v>551</v>
      </c>
      <c r="C429" s="20" t="s">
        <v>0</v>
      </c>
      <c r="D429" s="20" t="s">
        <v>21</v>
      </c>
      <c r="E429" s="20" t="s">
        <v>22</v>
      </c>
      <c r="F429" s="20" t="s">
        <v>549</v>
      </c>
      <c r="G429" s="20" t="s">
        <v>31</v>
      </c>
      <c r="H429" s="20">
        <v>50</v>
      </c>
      <c r="I429" s="20">
        <v>70</v>
      </c>
      <c r="J429" s="20" t="s">
        <v>207</v>
      </c>
      <c r="K429" s="20" t="s">
        <v>48</v>
      </c>
      <c r="L429" s="52">
        <v>2500000</v>
      </c>
      <c r="M429" s="52"/>
      <c r="N429" s="52">
        <f t="shared" si="13"/>
        <v>2500000</v>
      </c>
      <c r="O429" s="53"/>
      <c r="P429" s="54">
        <f t="shared" si="14"/>
        <v>2500000</v>
      </c>
      <c r="Q429" s="28"/>
    </row>
    <row r="430" spans="2:17" s="17" customFormat="1" ht="13.8">
      <c r="B430" s="51" t="s">
        <v>552</v>
      </c>
      <c r="C430" s="20" t="s">
        <v>0</v>
      </c>
      <c r="D430" s="51" t="s">
        <v>21</v>
      </c>
      <c r="E430" s="51" t="s">
        <v>22</v>
      </c>
      <c r="F430" s="20" t="s">
        <v>549</v>
      </c>
      <c r="G430" s="20" t="s">
        <v>34</v>
      </c>
      <c r="H430" s="51">
        <v>50</v>
      </c>
      <c r="I430" s="51">
        <v>70</v>
      </c>
      <c r="J430" s="20" t="s">
        <v>207</v>
      </c>
      <c r="K430" s="20" t="s">
        <v>50</v>
      </c>
      <c r="L430" s="52">
        <v>2500000</v>
      </c>
      <c r="M430" s="52"/>
      <c r="N430" s="52">
        <f t="shared" si="13"/>
        <v>2500000</v>
      </c>
      <c r="O430" s="53"/>
      <c r="P430" s="54">
        <f t="shared" si="14"/>
        <v>2500000</v>
      </c>
      <c r="Q430" s="29"/>
    </row>
    <row r="431" spans="2:17" s="17" customFormat="1" ht="13.8">
      <c r="B431" s="20" t="s">
        <v>553</v>
      </c>
      <c r="C431" s="20" t="s">
        <v>0</v>
      </c>
      <c r="D431" s="20" t="s">
        <v>21</v>
      </c>
      <c r="E431" s="20" t="s">
        <v>22</v>
      </c>
      <c r="F431" s="20" t="s">
        <v>549</v>
      </c>
      <c r="G431" s="20" t="s">
        <v>37</v>
      </c>
      <c r="H431" s="20">
        <v>50</v>
      </c>
      <c r="I431" s="20">
        <v>70</v>
      </c>
      <c r="J431" s="20" t="s">
        <v>207</v>
      </c>
      <c r="K431" s="20" t="s">
        <v>50</v>
      </c>
      <c r="L431" s="52">
        <v>2500000</v>
      </c>
      <c r="M431" s="52"/>
      <c r="N431" s="52">
        <f t="shared" si="13"/>
        <v>2500000</v>
      </c>
      <c r="O431" s="53"/>
      <c r="P431" s="54">
        <f t="shared" si="14"/>
        <v>2500000</v>
      </c>
      <c r="Q431" s="28"/>
    </row>
    <row r="432" spans="2:17" s="17" customFormat="1" ht="13.8">
      <c r="B432" s="51" t="s">
        <v>554</v>
      </c>
      <c r="C432" s="20" t="s">
        <v>0</v>
      </c>
      <c r="D432" s="51" t="s">
        <v>21</v>
      </c>
      <c r="E432" s="51" t="s">
        <v>22</v>
      </c>
      <c r="F432" s="20" t="s">
        <v>549</v>
      </c>
      <c r="G432" s="20" t="s">
        <v>39</v>
      </c>
      <c r="H432" s="51">
        <v>50</v>
      </c>
      <c r="I432" s="51">
        <v>70</v>
      </c>
      <c r="J432" s="20" t="s">
        <v>207</v>
      </c>
      <c r="K432" s="20" t="s">
        <v>48</v>
      </c>
      <c r="L432" s="52">
        <v>2500000</v>
      </c>
      <c r="M432" s="52"/>
      <c r="N432" s="52">
        <f t="shared" si="13"/>
        <v>2500000</v>
      </c>
      <c r="O432" s="53"/>
      <c r="P432" s="54">
        <f t="shared" si="14"/>
        <v>2500000</v>
      </c>
      <c r="Q432" s="29"/>
    </row>
    <row r="433" spans="2:17" s="17" customFormat="1" ht="13.8">
      <c r="B433" s="20" t="s">
        <v>555</v>
      </c>
      <c r="C433" s="20" t="s">
        <v>0</v>
      </c>
      <c r="D433" s="20" t="s">
        <v>21</v>
      </c>
      <c r="E433" s="20" t="s">
        <v>22</v>
      </c>
      <c r="F433" s="20" t="s">
        <v>549</v>
      </c>
      <c r="G433" s="20" t="s">
        <v>52</v>
      </c>
      <c r="H433" s="20">
        <v>50</v>
      </c>
      <c r="I433" s="20">
        <v>70</v>
      </c>
      <c r="J433" s="20" t="s">
        <v>207</v>
      </c>
      <c r="K433" s="20" t="s">
        <v>26</v>
      </c>
      <c r="L433" s="52">
        <v>2500000</v>
      </c>
      <c r="M433" s="52"/>
      <c r="N433" s="52">
        <f t="shared" si="13"/>
        <v>2500000</v>
      </c>
      <c r="O433" s="53"/>
      <c r="P433" s="54">
        <f t="shared" si="14"/>
        <v>2500000</v>
      </c>
      <c r="Q433" s="28"/>
    </row>
    <row r="434" spans="2:17" s="17" customFormat="1" ht="13.8">
      <c r="B434" s="51" t="s">
        <v>556</v>
      </c>
      <c r="C434" s="20" t="s">
        <v>0</v>
      </c>
      <c r="D434" s="51" t="s">
        <v>21</v>
      </c>
      <c r="E434" s="51" t="s">
        <v>22</v>
      </c>
      <c r="F434" s="20" t="s">
        <v>549</v>
      </c>
      <c r="G434" s="20" t="s">
        <v>54</v>
      </c>
      <c r="H434" s="51">
        <v>50</v>
      </c>
      <c r="I434" s="51">
        <v>70</v>
      </c>
      <c r="J434" s="20" t="s">
        <v>207</v>
      </c>
      <c r="K434" s="20" t="s">
        <v>29</v>
      </c>
      <c r="L434" s="52">
        <v>2500000</v>
      </c>
      <c r="M434" s="52"/>
      <c r="N434" s="52">
        <f t="shared" si="13"/>
        <v>2500000</v>
      </c>
      <c r="O434" s="53"/>
      <c r="P434" s="54">
        <f t="shared" si="14"/>
        <v>2500000</v>
      </c>
      <c r="Q434" s="29"/>
    </row>
    <row r="435" spans="2:17" s="17" customFormat="1" ht="13.8">
      <c r="B435" s="20" t="s">
        <v>557</v>
      </c>
      <c r="C435" s="20" t="s">
        <v>0</v>
      </c>
      <c r="D435" s="20" t="s">
        <v>21</v>
      </c>
      <c r="E435" s="20" t="s">
        <v>243</v>
      </c>
      <c r="F435" s="20" t="s">
        <v>549</v>
      </c>
      <c r="G435" s="20" t="s">
        <v>82</v>
      </c>
      <c r="H435" s="20">
        <v>50</v>
      </c>
      <c r="I435" s="20">
        <v>70</v>
      </c>
      <c r="J435" s="20" t="s">
        <v>207</v>
      </c>
      <c r="K435" s="20" t="s">
        <v>29</v>
      </c>
      <c r="L435" s="52">
        <v>2500000</v>
      </c>
      <c r="M435" s="52"/>
      <c r="N435" s="52">
        <f t="shared" si="13"/>
        <v>2500000</v>
      </c>
      <c r="O435" s="53"/>
      <c r="P435" s="54">
        <f t="shared" si="14"/>
        <v>2500000</v>
      </c>
      <c r="Q435" s="28"/>
    </row>
    <row r="436" spans="2:17" s="17" customFormat="1" ht="13.8">
      <c r="B436" s="51" t="s">
        <v>558</v>
      </c>
      <c r="C436" s="20" t="s">
        <v>0</v>
      </c>
      <c r="D436" s="51" t="s">
        <v>21</v>
      </c>
      <c r="E436" s="51" t="s">
        <v>243</v>
      </c>
      <c r="F436" s="20" t="s">
        <v>549</v>
      </c>
      <c r="G436" s="20" t="s">
        <v>84</v>
      </c>
      <c r="H436" s="51">
        <v>50</v>
      </c>
      <c r="I436" s="51">
        <v>70</v>
      </c>
      <c r="J436" s="20" t="s">
        <v>207</v>
      </c>
      <c r="K436" s="20" t="s">
        <v>26</v>
      </c>
      <c r="L436" s="52">
        <v>2500000</v>
      </c>
      <c r="M436" s="52"/>
      <c r="N436" s="52">
        <f t="shared" si="13"/>
        <v>2500000</v>
      </c>
      <c r="O436" s="53"/>
      <c r="P436" s="54">
        <f t="shared" si="14"/>
        <v>2500000</v>
      </c>
      <c r="Q436" s="29"/>
    </row>
    <row r="437" spans="2:17" s="17" customFormat="1" ht="13.8">
      <c r="B437" s="20" t="s">
        <v>559</v>
      </c>
      <c r="C437" s="20" t="s">
        <v>0</v>
      </c>
      <c r="D437" s="20" t="s">
        <v>21</v>
      </c>
      <c r="E437" s="20" t="s">
        <v>243</v>
      </c>
      <c r="F437" s="20" t="s">
        <v>549</v>
      </c>
      <c r="G437" s="20" t="s">
        <v>86</v>
      </c>
      <c r="H437" s="20">
        <v>50</v>
      </c>
      <c r="I437" s="20">
        <v>70</v>
      </c>
      <c r="J437" s="20" t="s">
        <v>207</v>
      </c>
      <c r="K437" s="20" t="s">
        <v>44</v>
      </c>
      <c r="L437" s="52">
        <v>2500000</v>
      </c>
      <c r="M437" s="52"/>
      <c r="N437" s="52">
        <f t="shared" si="13"/>
        <v>2500000</v>
      </c>
      <c r="O437" s="53"/>
      <c r="P437" s="54">
        <f t="shared" si="14"/>
        <v>2500000</v>
      </c>
      <c r="Q437" s="28"/>
    </row>
    <row r="438" spans="2:17" s="17" customFormat="1" ht="13.8">
      <c r="B438" s="51" t="s">
        <v>560</v>
      </c>
      <c r="C438" s="20" t="s">
        <v>0</v>
      </c>
      <c r="D438" s="51" t="s">
        <v>21</v>
      </c>
      <c r="E438" s="51" t="s">
        <v>22</v>
      </c>
      <c r="F438" s="20" t="s">
        <v>549</v>
      </c>
      <c r="G438" s="20" t="s">
        <v>88</v>
      </c>
      <c r="H438" s="51">
        <v>50</v>
      </c>
      <c r="I438" s="51">
        <v>70</v>
      </c>
      <c r="J438" s="20" t="s">
        <v>207</v>
      </c>
      <c r="K438" s="20" t="s">
        <v>42</v>
      </c>
      <c r="L438" s="52">
        <v>2500000</v>
      </c>
      <c r="M438" s="52"/>
      <c r="N438" s="52">
        <f t="shared" si="13"/>
        <v>2500000</v>
      </c>
      <c r="O438" s="53"/>
      <c r="P438" s="54">
        <f t="shared" si="14"/>
        <v>2500000</v>
      </c>
      <c r="Q438" s="29"/>
    </row>
    <row r="439" spans="2:17" s="17" customFormat="1" ht="13.8">
      <c r="B439" s="20" t="s">
        <v>561</v>
      </c>
      <c r="C439" s="20" t="s">
        <v>0</v>
      </c>
      <c r="D439" s="20" t="s">
        <v>21</v>
      </c>
      <c r="E439" s="20" t="s">
        <v>22</v>
      </c>
      <c r="F439" s="20" t="s">
        <v>549</v>
      </c>
      <c r="G439" s="20" t="s">
        <v>90</v>
      </c>
      <c r="H439" s="20">
        <v>50</v>
      </c>
      <c r="I439" s="20">
        <v>70</v>
      </c>
      <c r="J439" s="20" t="s">
        <v>207</v>
      </c>
      <c r="K439" s="20" t="s">
        <v>42</v>
      </c>
      <c r="L439" s="52">
        <v>2500000</v>
      </c>
      <c r="M439" s="52"/>
      <c r="N439" s="52">
        <f t="shared" si="13"/>
        <v>2500000</v>
      </c>
      <c r="O439" s="53"/>
      <c r="P439" s="54">
        <f t="shared" si="14"/>
        <v>2500000</v>
      </c>
      <c r="Q439" s="28"/>
    </row>
    <row r="440" spans="2:17" s="17" customFormat="1" ht="13.8">
      <c r="B440" s="51" t="s">
        <v>562</v>
      </c>
      <c r="C440" s="20" t="s">
        <v>0</v>
      </c>
      <c r="D440" s="51" t="s">
        <v>21</v>
      </c>
      <c r="E440" s="51" t="s">
        <v>22</v>
      </c>
      <c r="F440" s="20" t="s">
        <v>549</v>
      </c>
      <c r="G440" s="20" t="s">
        <v>92</v>
      </c>
      <c r="H440" s="51">
        <v>50</v>
      </c>
      <c r="I440" s="51">
        <v>70</v>
      </c>
      <c r="J440" s="20" t="s">
        <v>207</v>
      </c>
      <c r="K440" s="20" t="s">
        <v>44</v>
      </c>
      <c r="L440" s="52">
        <v>2500000</v>
      </c>
      <c r="M440" s="52"/>
      <c r="N440" s="52">
        <f t="shared" si="13"/>
        <v>2500000</v>
      </c>
      <c r="O440" s="53"/>
      <c r="P440" s="54">
        <f t="shared" si="14"/>
        <v>2500000</v>
      </c>
      <c r="Q440" s="29"/>
    </row>
    <row r="441" spans="2:17" s="17" customFormat="1" ht="13.8">
      <c r="B441" s="20" t="s">
        <v>563</v>
      </c>
      <c r="C441" s="20" t="s">
        <v>0</v>
      </c>
      <c r="D441" s="20" t="s">
        <v>21</v>
      </c>
      <c r="E441" s="20" t="s">
        <v>22</v>
      </c>
      <c r="F441" s="20" t="s">
        <v>549</v>
      </c>
      <c r="G441" s="20" t="s">
        <v>123</v>
      </c>
      <c r="H441" s="20">
        <v>50</v>
      </c>
      <c r="I441" s="20">
        <v>70</v>
      </c>
      <c r="J441" s="20" t="s">
        <v>207</v>
      </c>
      <c r="K441" s="20" t="s">
        <v>35</v>
      </c>
      <c r="L441" s="52">
        <v>2500000</v>
      </c>
      <c r="M441" s="52"/>
      <c r="N441" s="52">
        <f t="shared" si="13"/>
        <v>2500000</v>
      </c>
      <c r="O441" s="53"/>
      <c r="P441" s="54">
        <f t="shared" si="14"/>
        <v>2500000</v>
      </c>
      <c r="Q441" s="28"/>
    </row>
    <row r="442" spans="2:17" s="17" customFormat="1" ht="13.8">
      <c r="B442" s="51" t="s">
        <v>564</v>
      </c>
      <c r="C442" s="20" t="s">
        <v>0</v>
      </c>
      <c r="D442" s="51" t="s">
        <v>21</v>
      </c>
      <c r="E442" s="51" t="s">
        <v>22</v>
      </c>
      <c r="F442" s="20" t="s">
        <v>549</v>
      </c>
      <c r="G442" s="20" t="s">
        <v>125</v>
      </c>
      <c r="H442" s="51">
        <v>50</v>
      </c>
      <c r="I442" s="51">
        <v>70</v>
      </c>
      <c r="J442" s="20" t="s">
        <v>207</v>
      </c>
      <c r="K442" s="20" t="s">
        <v>32</v>
      </c>
      <c r="L442" s="52">
        <v>2500000</v>
      </c>
      <c r="M442" s="52"/>
      <c r="N442" s="52">
        <f t="shared" si="13"/>
        <v>2500000</v>
      </c>
      <c r="O442" s="53"/>
      <c r="P442" s="54">
        <f t="shared" si="14"/>
        <v>2500000</v>
      </c>
      <c r="Q442" s="29"/>
    </row>
    <row r="443" spans="2:17" s="17" customFormat="1" ht="13.8">
      <c r="B443" s="20" t="s">
        <v>565</v>
      </c>
      <c r="C443" s="20" t="s">
        <v>0</v>
      </c>
      <c r="D443" s="20" t="s">
        <v>21</v>
      </c>
      <c r="E443" s="20" t="s">
        <v>22</v>
      </c>
      <c r="F443" s="20" t="s">
        <v>549</v>
      </c>
      <c r="G443" s="20" t="s">
        <v>127</v>
      </c>
      <c r="H443" s="20">
        <v>50</v>
      </c>
      <c r="I443" s="20">
        <v>70</v>
      </c>
      <c r="J443" s="20" t="s">
        <v>207</v>
      </c>
      <c r="K443" s="20" t="s">
        <v>32</v>
      </c>
      <c r="L443" s="52">
        <v>2500000</v>
      </c>
      <c r="M443" s="52"/>
      <c r="N443" s="52">
        <f t="shared" si="13"/>
        <v>2500000</v>
      </c>
      <c r="O443" s="53"/>
      <c r="P443" s="54">
        <f t="shared" si="14"/>
        <v>2500000</v>
      </c>
      <c r="Q443" s="28"/>
    </row>
    <row r="444" spans="2:17" s="17" customFormat="1" ht="13.8">
      <c r="B444" s="51" t="s">
        <v>566</v>
      </c>
      <c r="C444" s="20" t="s">
        <v>0</v>
      </c>
      <c r="D444" s="51" t="s">
        <v>21</v>
      </c>
      <c r="E444" s="51" t="s">
        <v>22</v>
      </c>
      <c r="F444" s="20" t="s">
        <v>549</v>
      </c>
      <c r="G444" s="20" t="s">
        <v>129</v>
      </c>
      <c r="H444" s="51">
        <v>50</v>
      </c>
      <c r="I444" s="51">
        <v>70</v>
      </c>
      <c r="J444" s="20" t="s">
        <v>207</v>
      </c>
      <c r="K444" s="20" t="s">
        <v>35</v>
      </c>
      <c r="L444" s="52">
        <v>2500000</v>
      </c>
      <c r="M444" s="52"/>
      <c r="N444" s="52">
        <f t="shared" si="13"/>
        <v>2500000</v>
      </c>
      <c r="O444" s="53"/>
      <c r="P444" s="54">
        <f t="shared" si="14"/>
        <v>2500000</v>
      </c>
      <c r="Q444" s="29"/>
    </row>
    <row r="445" spans="2:17" s="17" customFormat="1" ht="13.8">
      <c r="B445" s="20" t="s">
        <v>567</v>
      </c>
      <c r="C445" s="20" t="s">
        <v>0</v>
      </c>
      <c r="D445" s="20" t="s">
        <v>21</v>
      </c>
      <c r="E445" s="20" t="s">
        <v>22</v>
      </c>
      <c r="F445" s="20" t="s">
        <v>549</v>
      </c>
      <c r="G445" s="20" t="s">
        <v>131</v>
      </c>
      <c r="H445" s="20">
        <v>50</v>
      </c>
      <c r="I445" s="20">
        <v>70</v>
      </c>
      <c r="J445" s="20" t="s">
        <v>207</v>
      </c>
      <c r="K445" s="20" t="s">
        <v>48</v>
      </c>
      <c r="L445" s="52">
        <v>2500000</v>
      </c>
      <c r="M445" s="52"/>
      <c r="N445" s="52">
        <f t="shared" si="13"/>
        <v>2500000</v>
      </c>
      <c r="O445" s="53"/>
      <c r="P445" s="54">
        <f t="shared" si="14"/>
        <v>2500000</v>
      </c>
      <c r="Q445" s="28"/>
    </row>
    <row r="446" spans="2:17" s="17" customFormat="1" ht="13.8">
      <c r="B446" s="51" t="s">
        <v>568</v>
      </c>
      <c r="C446" s="20" t="s">
        <v>0</v>
      </c>
      <c r="D446" s="51" t="s">
        <v>21</v>
      </c>
      <c r="E446" s="51" t="s">
        <v>22</v>
      </c>
      <c r="F446" s="20" t="s">
        <v>549</v>
      </c>
      <c r="G446" s="20" t="s">
        <v>133</v>
      </c>
      <c r="H446" s="51">
        <v>50</v>
      </c>
      <c r="I446" s="51">
        <v>70</v>
      </c>
      <c r="J446" s="20" t="s">
        <v>207</v>
      </c>
      <c r="K446" s="20" t="s">
        <v>50</v>
      </c>
      <c r="L446" s="52">
        <v>2500000</v>
      </c>
      <c r="M446" s="52"/>
      <c r="N446" s="52">
        <f t="shared" si="13"/>
        <v>2500000</v>
      </c>
      <c r="O446" s="53"/>
      <c r="P446" s="54">
        <f t="shared" si="14"/>
        <v>2500000</v>
      </c>
      <c r="Q446" s="29"/>
    </row>
    <row r="447" spans="2:17" s="17" customFormat="1" ht="13.8">
      <c r="B447" s="20" t="s">
        <v>569</v>
      </c>
      <c r="C447" s="20" t="s">
        <v>0</v>
      </c>
      <c r="D447" s="20" t="s">
        <v>21</v>
      </c>
      <c r="E447" s="20" t="s">
        <v>22</v>
      </c>
      <c r="F447" s="20" t="s">
        <v>549</v>
      </c>
      <c r="G447" s="20" t="s">
        <v>135</v>
      </c>
      <c r="H447" s="20">
        <v>50</v>
      </c>
      <c r="I447" s="20">
        <v>70</v>
      </c>
      <c r="J447" s="20" t="s">
        <v>207</v>
      </c>
      <c r="K447" s="20" t="s">
        <v>50</v>
      </c>
      <c r="L447" s="52">
        <v>2500000</v>
      </c>
      <c r="M447" s="52"/>
      <c r="N447" s="52">
        <f t="shared" si="13"/>
        <v>2500000</v>
      </c>
      <c r="O447" s="53"/>
      <c r="P447" s="54">
        <f t="shared" si="14"/>
        <v>2500000</v>
      </c>
      <c r="Q447" s="28"/>
    </row>
    <row r="448" spans="2:17" s="17" customFormat="1" ht="13.8">
      <c r="B448" s="51" t="s">
        <v>570</v>
      </c>
      <c r="C448" s="20" t="s">
        <v>0</v>
      </c>
      <c r="D448" s="51" t="s">
        <v>21</v>
      </c>
      <c r="E448" s="51" t="s">
        <v>22</v>
      </c>
      <c r="F448" s="20" t="s">
        <v>549</v>
      </c>
      <c r="G448" s="20" t="s">
        <v>137</v>
      </c>
      <c r="H448" s="51">
        <v>50</v>
      </c>
      <c r="I448" s="51">
        <v>70</v>
      </c>
      <c r="J448" s="20" t="s">
        <v>207</v>
      </c>
      <c r="K448" s="20" t="s">
        <v>48</v>
      </c>
      <c r="L448" s="52">
        <v>2500000</v>
      </c>
      <c r="M448" s="52"/>
      <c r="N448" s="52">
        <f t="shared" si="13"/>
        <v>2500000</v>
      </c>
      <c r="O448" s="53"/>
      <c r="P448" s="54">
        <f t="shared" si="14"/>
        <v>2500000</v>
      </c>
      <c r="Q448" s="29"/>
    </row>
    <row r="449" spans="2:17" s="17" customFormat="1" ht="13.8">
      <c r="B449" s="20" t="s">
        <v>571</v>
      </c>
      <c r="C449" s="20" t="s">
        <v>0</v>
      </c>
      <c r="D449" s="20" t="s">
        <v>21</v>
      </c>
      <c r="E449" s="20" t="s">
        <v>22</v>
      </c>
      <c r="F449" s="20" t="s">
        <v>549</v>
      </c>
      <c r="G449" s="20" t="s">
        <v>139</v>
      </c>
      <c r="H449" s="20">
        <v>50</v>
      </c>
      <c r="I449" s="20">
        <v>70</v>
      </c>
      <c r="J449" s="20" t="s">
        <v>207</v>
      </c>
      <c r="K449" s="20" t="s">
        <v>26</v>
      </c>
      <c r="L449" s="52">
        <v>2500000</v>
      </c>
      <c r="M449" s="52"/>
      <c r="N449" s="52">
        <f t="shared" si="13"/>
        <v>2500000</v>
      </c>
      <c r="O449" s="53"/>
      <c r="P449" s="54">
        <f t="shared" si="14"/>
        <v>2500000</v>
      </c>
      <c r="Q449" s="28"/>
    </row>
    <row r="450" spans="2:17" s="17" customFormat="1" ht="13.8">
      <c r="B450" s="51" t="s">
        <v>572</v>
      </c>
      <c r="C450" s="20" t="s">
        <v>0</v>
      </c>
      <c r="D450" s="51" t="s">
        <v>21</v>
      </c>
      <c r="E450" s="51" t="s">
        <v>22</v>
      </c>
      <c r="F450" s="20" t="s">
        <v>549</v>
      </c>
      <c r="G450" s="20" t="s">
        <v>141</v>
      </c>
      <c r="H450" s="51">
        <v>50</v>
      </c>
      <c r="I450" s="51">
        <v>70</v>
      </c>
      <c r="J450" s="20" t="s">
        <v>207</v>
      </c>
      <c r="K450" s="20" t="s">
        <v>29</v>
      </c>
      <c r="L450" s="52">
        <v>2500000</v>
      </c>
      <c r="M450" s="52"/>
      <c r="N450" s="52">
        <f t="shared" si="13"/>
        <v>2500000</v>
      </c>
      <c r="O450" s="53"/>
      <c r="P450" s="54">
        <f t="shared" si="14"/>
        <v>2500000</v>
      </c>
      <c r="Q450" s="29"/>
    </row>
    <row r="451" spans="2:17" s="17" customFormat="1" ht="13.8">
      <c r="B451" s="20" t="s">
        <v>573</v>
      </c>
      <c r="C451" s="20" t="s">
        <v>0</v>
      </c>
      <c r="D451" s="20" t="s">
        <v>21</v>
      </c>
      <c r="E451" s="20" t="s">
        <v>22</v>
      </c>
      <c r="F451" s="20" t="s">
        <v>549</v>
      </c>
      <c r="G451" s="20" t="s">
        <v>143</v>
      </c>
      <c r="H451" s="20">
        <v>50</v>
      </c>
      <c r="I451" s="20">
        <v>70</v>
      </c>
      <c r="J451" s="20" t="s">
        <v>207</v>
      </c>
      <c r="K451" s="20" t="s">
        <v>29</v>
      </c>
      <c r="L451" s="52">
        <v>2500000</v>
      </c>
      <c r="M451" s="52"/>
      <c r="N451" s="52">
        <f t="shared" si="13"/>
        <v>2500000</v>
      </c>
      <c r="O451" s="53"/>
      <c r="P451" s="54">
        <f t="shared" si="14"/>
        <v>2500000</v>
      </c>
      <c r="Q451" s="28"/>
    </row>
    <row r="452" spans="2:17" s="17" customFormat="1" ht="13.8">
      <c r="B452" s="51" t="s">
        <v>574</v>
      </c>
      <c r="C452" s="20" t="s">
        <v>0</v>
      </c>
      <c r="D452" s="51" t="s">
        <v>21</v>
      </c>
      <c r="E452" s="51" t="s">
        <v>243</v>
      </c>
      <c r="F452" s="20" t="s">
        <v>549</v>
      </c>
      <c r="G452" s="20" t="s">
        <v>145</v>
      </c>
      <c r="H452" s="51">
        <v>50</v>
      </c>
      <c r="I452" s="51">
        <v>83</v>
      </c>
      <c r="J452" s="20" t="s">
        <v>207</v>
      </c>
      <c r="K452" s="20" t="s">
        <v>26</v>
      </c>
      <c r="L452" s="52">
        <v>2929000</v>
      </c>
      <c r="M452" s="52"/>
      <c r="N452" s="52">
        <f t="shared" si="13"/>
        <v>2929000</v>
      </c>
      <c r="O452" s="53"/>
      <c r="P452" s="54">
        <f t="shared" si="14"/>
        <v>2929000</v>
      </c>
      <c r="Q452" s="29"/>
    </row>
    <row r="453" spans="2:17" s="17" customFormat="1" ht="13.8">
      <c r="B453" s="20" t="s">
        <v>575</v>
      </c>
      <c r="C453" s="20" t="s">
        <v>0</v>
      </c>
      <c r="D453" s="20" t="s">
        <v>21</v>
      </c>
      <c r="E453" s="20" t="s">
        <v>22</v>
      </c>
      <c r="F453" s="20" t="s">
        <v>549</v>
      </c>
      <c r="G453" s="20" t="s">
        <v>147</v>
      </c>
      <c r="H453" s="20">
        <v>50</v>
      </c>
      <c r="I453" s="20">
        <v>83</v>
      </c>
      <c r="J453" s="20" t="s">
        <v>207</v>
      </c>
      <c r="K453" s="20" t="s">
        <v>50</v>
      </c>
      <c r="L453" s="52">
        <v>2929000</v>
      </c>
      <c r="M453" s="52"/>
      <c r="N453" s="52">
        <f t="shared" si="13"/>
        <v>2929000</v>
      </c>
      <c r="O453" s="53"/>
      <c r="P453" s="54">
        <f t="shared" si="14"/>
        <v>2929000</v>
      </c>
      <c r="Q453" s="28"/>
    </row>
    <row r="454" spans="2:17" s="17" customFormat="1" ht="13.8">
      <c r="B454" s="51" t="s">
        <v>576</v>
      </c>
      <c r="C454" s="20" t="s">
        <v>0</v>
      </c>
      <c r="D454" s="51" t="s">
        <v>21</v>
      </c>
      <c r="E454" s="51" t="s">
        <v>22</v>
      </c>
      <c r="F454" s="20" t="s">
        <v>549</v>
      </c>
      <c r="G454" s="20" t="s">
        <v>149</v>
      </c>
      <c r="H454" s="51">
        <v>50</v>
      </c>
      <c r="I454" s="51">
        <v>70</v>
      </c>
      <c r="J454" s="20" t="s">
        <v>207</v>
      </c>
      <c r="K454" s="20" t="s">
        <v>48</v>
      </c>
      <c r="L454" s="52">
        <v>2500000</v>
      </c>
      <c r="M454" s="52"/>
      <c r="N454" s="52">
        <f t="shared" si="13"/>
        <v>2500000</v>
      </c>
      <c r="O454" s="53"/>
      <c r="P454" s="54">
        <f t="shared" si="14"/>
        <v>2500000</v>
      </c>
      <c r="Q454" s="29"/>
    </row>
    <row r="455" spans="2:17" s="17" customFormat="1" ht="13.8">
      <c r="B455" s="20" t="s">
        <v>577</v>
      </c>
      <c r="C455" s="20" t="s">
        <v>0</v>
      </c>
      <c r="D455" s="20" t="s">
        <v>21</v>
      </c>
      <c r="E455" s="20" t="s">
        <v>22</v>
      </c>
      <c r="F455" s="20" t="s">
        <v>549</v>
      </c>
      <c r="G455" s="20" t="s">
        <v>151</v>
      </c>
      <c r="H455" s="20">
        <v>50</v>
      </c>
      <c r="I455" s="20">
        <v>70</v>
      </c>
      <c r="J455" s="20" t="s">
        <v>207</v>
      </c>
      <c r="K455" s="20" t="s">
        <v>48</v>
      </c>
      <c r="L455" s="52">
        <v>2500000</v>
      </c>
      <c r="M455" s="52"/>
      <c r="N455" s="52">
        <f t="shared" si="13"/>
        <v>2500000</v>
      </c>
      <c r="O455" s="53"/>
      <c r="P455" s="54">
        <f t="shared" si="14"/>
        <v>2500000</v>
      </c>
      <c r="Q455" s="28"/>
    </row>
    <row r="456" spans="2:17" s="17" customFormat="1" ht="13.8">
      <c r="B456" s="51" t="s">
        <v>578</v>
      </c>
      <c r="C456" s="20" t="s">
        <v>0</v>
      </c>
      <c r="D456" s="51" t="s">
        <v>21</v>
      </c>
      <c r="E456" s="51" t="s">
        <v>22</v>
      </c>
      <c r="F456" s="20" t="s">
        <v>549</v>
      </c>
      <c r="G456" s="20" t="s">
        <v>153</v>
      </c>
      <c r="H456" s="51">
        <v>50</v>
      </c>
      <c r="I456" s="51">
        <v>70</v>
      </c>
      <c r="J456" s="20" t="s">
        <v>207</v>
      </c>
      <c r="K456" s="20" t="s">
        <v>50</v>
      </c>
      <c r="L456" s="52">
        <v>2500000</v>
      </c>
      <c r="M456" s="52"/>
      <c r="N456" s="52">
        <f t="shared" ref="N456:N519" si="15">L456-M456</f>
        <v>2500000</v>
      </c>
      <c r="O456" s="53"/>
      <c r="P456" s="54">
        <f t="shared" ref="P456:P519" si="16">N456-O456</f>
        <v>2500000</v>
      </c>
      <c r="Q456" s="29"/>
    </row>
    <row r="457" spans="2:17" s="17" customFormat="1" ht="13.8">
      <c r="B457" s="20" t="s">
        <v>579</v>
      </c>
      <c r="C457" s="20" t="s">
        <v>0</v>
      </c>
      <c r="D457" s="20" t="s">
        <v>21</v>
      </c>
      <c r="E457" s="20" t="s">
        <v>22</v>
      </c>
      <c r="F457" s="20" t="s">
        <v>549</v>
      </c>
      <c r="G457" s="20" t="s">
        <v>155</v>
      </c>
      <c r="H457" s="20">
        <v>50</v>
      </c>
      <c r="I457" s="20">
        <v>70</v>
      </c>
      <c r="J457" s="20" t="s">
        <v>207</v>
      </c>
      <c r="K457" s="20" t="s">
        <v>32</v>
      </c>
      <c r="L457" s="52">
        <v>2500000</v>
      </c>
      <c r="M457" s="52"/>
      <c r="N457" s="52">
        <f t="shared" si="15"/>
        <v>2500000</v>
      </c>
      <c r="O457" s="53"/>
      <c r="P457" s="54">
        <f t="shared" si="16"/>
        <v>2500000</v>
      </c>
      <c r="Q457" s="28"/>
    </row>
    <row r="458" spans="2:17" s="17" customFormat="1" ht="13.8">
      <c r="B458" s="51" t="s">
        <v>580</v>
      </c>
      <c r="C458" s="20" t="s">
        <v>0</v>
      </c>
      <c r="D458" s="51" t="s">
        <v>21</v>
      </c>
      <c r="E458" s="51" t="s">
        <v>22</v>
      </c>
      <c r="F458" s="20" t="s">
        <v>549</v>
      </c>
      <c r="G458" s="20" t="s">
        <v>157</v>
      </c>
      <c r="H458" s="51">
        <v>50</v>
      </c>
      <c r="I458" s="51">
        <v>70</v>
      </c>
      <c r="J458" s="20" t="s">
        <v>207</v>
      </c>
      <c r="K458" s="20" t="s">
        <v>35</v>
      </c>
      <c r="L458" s="52">
        <v>2500000</v>
      </c>
      <c r="M458" s="52"/>
      <c r="N458" s="52">
        <f t="shared" si="15"/>
        <v>2500000</v>
      </c>
      <c r="O458" s="53"/>
      <c r="P458" s="54">
        <f t="shared" si="16"/>
        <v>2500000</v>
      </c>
      <c r="Q458" s="29"/>
    </row>
    <row r="459" spans="2:17" s="17" customFormat="1" ht="13.8">
      <c r="B459" s="20" t="s">
        <v>581</v>
      </c>
      <c r="C459" s="20" t="s">
        <v>0</v>
      </c>
      <c r="D459" s="20" t="s">
        <v>21</v>
      </c>
      <c r="E459" s="20" t="s">
        <v>22</v>
      </c>
      <c r="F459" s="20" t="s">
        <v>549</v>
      </c>
      <c r="G459" s="20" t="s">
        <v>159</v>
      </c>
      <c r="H459" s="20">
        <v>50</v>
      </c>
      <c r="I459" s="20">
        <v>70</v>
      </c>
      <c r="J459" s="20" t="s">
        <v>207</v>
      </c>
      <c r="K459" s="20" t="s">
        <v>35</v>
      </c>
      <c r="L459" s="52">
        <v>2500000</v>
      </c>
      <c r="M459" s="52"/>
      <c r="N459" s="52">
        <f t="shared" si="15"/>
        <v>2500000</v>
      </c>
      <c r="O459" s="53"/>
      <c r="P459" s="54">
        <f t="shared" si="16"/>
        <v>2500000</v>
      </c>
      <c r="Q459" s="28"/>
    </row>
    <row r="460" spans="2:17" s="17" customFormat="1" ht="13.8">
      <c r="B460" s="51" t="s">
        <v>582</v>
      </c>
      <c r="C460" s="20" t="s">
        <v>0</v>
      </c>
      <c r="D460" s="51" t="s">
        <v>21</v>
      </c>
      <c r="E460" s="51" t="s">
        <v>22</v>
      </c>
      <c r="F460" s="20" t="s">
        <v>549</v>
      </c>
      <c r="G460" s="20" t="s">
        <v>161</v>
      </c>
      <c r="H460" s="51">
        <v>50</v>
      </c>
      <c r="I460" s="51">
        <v>70</v>
      </c>
      <c r="J460" s="20" t="s">
        <v>207</v>
      </c>
      <c r="K460" s="20" t="s">
        <v>32</v>
      </c>
      <c r="L460" s="52">
        <v>2500000</v>
      </c>
      <c r="M460" s="52"/>
      <c r="N460" s="52">
        <f t="shared" si="15"/>
        <v>2500000</v>
      </c>
      <c r="O460" s="53"/>
      <c r="P460" s="54">
        <f t="shared" si="16"/>
        <v>2500000</v>
      </c>
      <c r="Q460" s="29"/>
    </row>
    <row r="461" spans="2:17" s="17" customFormat="1" ht="13.8">
      <c r="B461" s="20" t="s">
        <v>583</v>
      </c>
      <c r="C461" s="20" t="s">
        <v>0</v>
      </c>
      <c r="D461" s="20" t="s">
        <v>21</v>
      </c>
      <c r="E461" s="20" t="s">
        <v>22</v>
      </c>
      <c r="F461" s="20" t="s">
        <v>549</v>
      </c>
      <c r="G461" s="20" t="s">
        <v>163</v>
      </c>
      <c r="H461" s="20">
        <v>50</v>
      </c>
      <c r="I461" s="20">
        <v>70</v>
      </c>
      <c r="J461" s="20" t="s">
        <v>207</v>
      </c>
      <c r="K461" s="20" t="s">
        <v>42</v>
      </c>
      <c r="L461" s="52">
        <v>2500000</v>
      </c>
      <c r="M461" s="52"/>
      <c r="N461" s="52">
        <f t="shared" si="15"/>
        <v>2500000</v>
      </c>
      <c r="O461" s="53"/>
      <c r="P461" s="54">
        <f t="shared" si="16"/>
        <v>2500000</v>
      </c>
      <c r="Q461" s="28"/>
    </row>
    <row r="462" spans="2:17" s="17" customFormat="1" ht="13.8">
      <c r="B462" s="51" t="s">
        <v>584</v>
      </c>
      <c r="C462" s="20" t="s">
        <v>0</v>
      </c>
      <c r="D462" s="51" t="s">
        <v>21</v>
      </c>
      <c r="E462" s="51" t="s">
        <v>22</v>
      </c>
      <c r="F462" s="20" t="s">
        <v>549</v>
      </c>
      <c r="G462" s="20" t="s">
        <v>165</v>
      </c>
      <c r="H462" s="51">
        <v>50</v>
      </c>
      <c r="I462" s="51">
        <v>70</v>
      </c>
      <c r="J462" s="20" t="s">
        <v>207</v>
      </c>
      <c r="K462" s="20" t="s">
        <v>44</v>
      </c>
      <c r="L462" s="52">
        <v>2500000</v>
      </c>
      <c r="M462" s="52"/>
      <c r="N462" s="52">
        <f t="shared" si="15"/>
        <v>2500000</v>
      </c>
      <c r="O462" s="53"/>
      <c r="P462" s="54">
        <f t="shared" si="16"/>
        <v>2500000</v>
      </c>
      <c r="Q462" s="29"/>
    </row>
    <row r="463" spans="2:17" s="17" customFormat="1" ht="13.8">
      <c r="B463" s="20" t="s">
        <v>585</v>
      </c>
      <c r="C463" s="20" t="s">
        <v>0</v>
      </c>
      <c r="D463" s="20" t="s">
        <v>21</v>
      </c>
      <c r="E463" s="20" t="s">
        <v>22</v>
      </c>
      <c r="F463" s="20" t="s">
        <v>549</v>
      </c>
      <c r="G463" s="20" t="s">
        <v>517</v>
      </c>
      <c r="H463" s="20">
        <v>50</v>
      </c>
      <c r="I463" s="20">
        <v>70</v>
      </c>
      <c r="J463" s="20" t="s">
        <v>207</v>
      </c>
      <c r="K463" s="20" t="s">
        <v>44</v>
      </c>
      <c r="L463" s="52">
        <v>2500000</v>
      </c>
      <c r="M463" s="52"/>
      <c r="N463" s="52">
        <f t="shared" si="15"/>
        <v>2500000</v>
      </c>
      <c r="O463" s="53"/>
      <c r="P463" s="54">
        <f t="shared" si="16"/>
        <v>2500000</v>
      </c>
      <c r="Q463" s="28"/>
    </row>
    <row r="464" spans="2:17" s="17" customFormat="1" ht="13.8">
      <c r="B464" s="51" t="s">
        <v>586</v>
      </c>
      <c r="C464" s="20" t="s">
        <v>0</v>
      </c>
      <c r="D464" s="51" t="s">
        <v>21</v>
      </c>
      <c r="E464" s="51" t="s">
        <v>22</v>
      </c>
      <c r="F464" s="20" t="s">
        <v>549</v>
      </c>
      <c r="G464" s="20" t="s">
        <v>519</v>
      </c>
      <c r="H464" s="51">
        <v>50</v>
      </c>
      <c r="I464" s="51">
        <v>70</v>
      </c>
      <c r="J464" s="20" t="s">
        <v>207</v>
      </c>
      <c r="K464" s="20" t="s">
        <v>42</v>
      </c>
      <c r="L464" s="52">
        <v>2500000</v>
      </c>
      <c r="M464" s="52"/>
      <c r="N464" s="52">
        <f t="shared" si="15"/>
        <v>2500000</v>
      </c>
      <c r="O464" s="53"/>
      <c r="P464" s="54">
        <f t="shared" si="16"/>
        <v>2500000</v>
      </c>
      <c r="Q464" s="29"/>
    </row>
    <row r="465" spans="2:17" s="17" customFormat="1" ht="13.8">
      <c r="B465" s="20" t="s">
        <v>587</v>
      </c>
      <c r="C465" s="20" t="s">
        <v>0</v>
      </c>
      <c r="D465" s="20" t="s">
        <v>21</v>
      </c>
      <c r="E465" s="20" t="s">
        <v>22</v>
      </c>
      <c r="F465" s="20" t="s">
        <v>549</v>
      </c>
      <c r="G465" s="20" t="s">
        <v>521</v>
      </c>
      <c r="H465" s="20">
        <v>50</v>
      </c>
      <c r="I465" s="20">
        <v>70</v>
      </c>
      <c r="J465" s="20" t="s">
        <v>207</v>
      </c>
      <c r="K465" s="20" t="s">
        <v>29</v>
      </c>
      <c r="L465" s="52">
        <v>2500000</v>
      </c>
      <c r="M465" s="52"/>
      <c r="N465" s="52">
        <f t="shared" si="15"/>
        <v>2500000</v>
      </c>
      <c r="O465" s="53"/>
      <c r="P465" s="54">
        <f t="shared" si="16"/>
        <v>2500000</v>
      </c>
      <c r="Q465" s="28"/>
    </row>
    <row r="466" spans="2:17" s="17" customFormat="1" ht="13.8">
      <c r="B466" s="51" t="s">
        <v>588</v>
      </c>
      <c r="C466" s="20" t="s">
        <v>0</v>
      </c>
      <c r="D466" s="51" t="s">
        <v>21</v>
      </c>
      <c r="E466" s="51" t="s">
        <v>22</v>
      </c>
      <c r="F466" s="20" t="s">
        <v>549</v>
      </c>
      <c r="G466" s="20" t="s">
        <v>523</v>
      </c>
      <c r="H466" s="51">
        <v>50</v>
      </c>
      <c r="I466" s="51">
        <v>70</v>
      </c>
      <c r="J466" s="20" t="s">
        <v>207</v>
      </c>
      <c r="K466" s="20" t="s">
        <v>26</v>
      </c>
      <c r="L466" s="52">
        <v>2500000</v>
      </c>
      <c r="M466" s="52"/>
      <c r="N466" s="52">
        <f t="shared" si="15"/>
        <v>2500000</v>
      </c>
      <c r="O466" s="53"/>
      <c r="P466" s="54">
        <f t="shared" si="16"/>
        <v>2500000</v>
      </c>
      <c r="Q466" s="29"/>
    </row>
    <row r="467" spans="2:17" s="17" customFormat="1" ht="13.8">
      <c r="B467" s="20" t="s">
        <v>589</v>
      </c>
      <c r="C467" s="20" t="s">
        <v>0</v>
      </c>
      <c r="D467" s="20" t="s">
        <v>21</v>
      </c>
      <c r="E467" s="20" t="s">
        <v>243</v>
      </c>
      <c r="F467" s="20" t="s">
        <v>549</v>
      </c>
      <c r="G467" s="20" t="s">
        <v>525</v>
      </c>
      <c r="H467" s="20">
        <v>50</v>
      </c>
      <c r="I467" s="20">
        <v>70</v>
      </c>
      <c r="J467" s="20" t="s">
        <v>207</v>
      </c>
      <c r="K467" s="20" t="s">
        <v>26</v>
      </c>
      <c r="L467" s="52">
        <v>2500000</v>
      </c>
      <c r="M467" s="52"/>
      <c r="N467" s="52">
        <f t="shared" si="15"/>
        <v>2500000</v>
      </c>
      <c r="O467" s="53"/>
      <c r="P467" s="54">
        <f t="shared" si="16"/>
        <v>2500000</v>
      </c>
      <c r="Q467" s="28"/>
    </row>
    <row r="468" spans="2:17" s="17" customFormat="1" ht="13.8">
      <c r="B468" s="51" t="s">
        <v>590</v>
      </c>
      <c r="C468" s="20" t="s">
        <v>0</v>
      </c>
      <c r="D468" s="51" t="s">
        <v>21</v>
      </c>
      <c r="E468" s="51" t="s">
        <v>22</v>
      </c>
      <c r="F468" s="20" t="s">
        <v>549</v>
      </c>
      <c r="G468" s="20" t="s">
        <v>527</v>
      </c>
      <c r="H468" s="51">
        <v>50</v>
      </c>
      <c r="I468" s="51">
        <v>70</v>
      </c>
      <c r="J468" s="20" t="s">
        <v>207</v>
      </c>
      <c r="K468" s="20" t="s">
        <v>29</v>
      </c>
      <c r="L468" s="52">
        <v>2500000</v>
      </c>
      <c r="M468" s="52"/>
      <c r="N468" s="52">
        <f t="shared" si="15"/>
        <v>2500000</v>
      </c>
      <c r="O468" s="53"/>
      <c r="P468" s="54">
        <f t="shared" si="16"/>
        <v>2500000</v>
      </c>
      <c r="Q468" s="29"/>
    </row>
    <row r="469" spans="2:17" s="17" customFormat="1" ht="13.8">
      <c r="B469" s="20" t="s">
        <v>591</v>
      </c>
      <c r="C469" s="20" t="s">
        <v>0</v>
      </c>
      <c r="D469" s="20" t="s">
        <v>21</v>
      </c>
      <c r="E469" s="20" t="s">
        <v>243</v>
      </c>
      <c r="F469" s="20" t="s">
        <v>549</v>
      </c>
      <c r="G469" s="20" t="s">
        <v>529</v>
      </c>
      <c r="H469" s="20">
        <v>50</v>
      </c>
      <c r="I469" s="20">
        <v>70</v>
      </c>
      <c r="J469" s="20" t="s">
        <v>207</v>
      </c>
      <c r="K469" s="20" t="s">
        <v>50</v>
      </c>
      <c r="L469" s="52">
        <v>2500000</v>
      </c>
      <c r="M469" s="52"/>
      <c r="N469" s="52">
        <f t="shared" si="15"/>
        <v>2500000</v>
      </c>
      <c r="O469" s="53"/>
      <c r="P469" s="54">
        <f t="shared" si="16"/>
        <v>2500000</v>
      </c>
      <c r="Q469" s="28"/>
    </row>
    <row r="470" spans="2:17" s="17" customFormat="1" ht="13.8">
      <c r="B470" s="51" t="s">
        <v>592</v>
      </c>
      <c r="C470" s="20" t="s">
        <v>0</v>
      </c>
      <c r="D470" s="51" t="s">
        <v>21</v>
      </c>
      <c r="E470" s="51" t="s">
        <v>22</v>
      </c>
      <c r="F470" s="20" t="s">
        <v>549</v>
      </c>
      <c r="G470" s="20" t="s">
        <v>531</v>
      </c>
      <c r="H470" s="51">
        <v>50</v>
      </c>
      <c r="I470" s="51">
        <v>70</v>
      </c>
      <c r="J470" s="20" t="s">
        <v>207</v>
      </c>
      <c r="K470" s="20" t="s">
        <v>48</v>
      </c>
      <c r="L470" s="52">
        <v>2500000</v>
      </c>
      <c r="M470" s="52"/>
      <c r="N470" s="52">
        <f t="shared" si="15"/>
        <v>2500000</v>
      </c>
      <c r="O470" s="53"/>
      <c r="P470" s="54">
        <f t="shared" si="16"/>
        <v>2500000</v>
      </c>
      <c r="Q470" s="29"/>
    </row>
    <row r="471" spans="2:17" s="17" customFormat="1" ht="13.8">
      <c r="B471" s="20" t="s">
        <v>593</v>
      </c>
      <c r="C471" s="20" t="s">
        <v>0</v>
      </c>
      <c r="D471" s="20" t="s">
        <v>21</v>
      </c>
      <c r="E471" s="20" t="s">
        <v>22</v>
      </c>
      <c r="F471" s="20" t="s">
        <v>549</v>
      </c>
      <c r="G471" s="20" t="s">
        <v>533</v>
      </c>
      <c r="H471" s="20">
        <v>50</v>
      </c>
      <c r="I471" s="20">
        <v>70</v>
      </c>
      <c r="J471" s="20" t="s">
        <v>207</v>
      </c>
      <c r="K471" s="20" t="s">
        <v>48</v>
      </c>
      <c r="L471" s="52">
        <v>2500000</v>
      </c>
      <c r="M471" s="52"/>
      <c r="N471" s="52">
        <f t="shared" si="15"/>
        <v>2500000</v>
      </c>
      <c r="O471" s="53"/>
      <c r="P471" s="54">
        <f t="shared" si="16"/>
        <v>2500000</v>
      </c>
      <c r="Q471" s="28"/>
    </row>
    <row r="472" spans="2:17" s="17" customFormat="1" ht="13.8">
      <c r="B472" s="51" t="s">
        <v>594</v>
      </c>
      <c r="C472" s="20" t="s">
        <v>0</v>
      </c>
      <c r="D472" s="51" t="s">
        <v>21</v>
      </c>
      <c r="E472" s="51" t="s">
        <v>22</v>
      </c>
      <c r="F472" s="20" t="s">
        <v>549</v>
      </c>
      <c r="G472" s="20" t="s">
        <v>535</v>
      </c>
      <c r="H472" s="51">
        <v>50</v>
      </c>
      <c r="I472" s="51">
        <v>70</v>
      </c>
      <c r="J472" s="20" t="s">
        <v>207</v>
      </c>
      <c r="K472" s="20" t="s">
        <v>50</v>
      </c>
      <c r="L472" s="52">
        <v>2500000</v>
      </c>
      <c r="M472" s="52"/>
      <c r="N472" s="52">
        <f t="shared" si="15"/>
        <v>2500000</v>
      </c>
      <c r="O472" s="53"/>
      <c r="P472" s="54">
        <f t="shared" si="16"/>
        <v>2500000</v>
      </c>
      <c r="Q472" s="29"/>
    </row>
    <row r="473" spans="2:17" s="17" customFormat="1" ht="13.8">
      <c r="B473" s="20" t="s">
        <v>595</v>
      </c>
      <c r="C473" s="20" t="s">
        <v>0</v>
      </c>
      <c r="D473" s="20" t="s">
        <v>21</v>
      </c>
      <c r="E473" s="20" t="s">
        <v>22</v>
      </c>
      <c r="F473" s="20" t="s">
        <v>549</v>
      </c>
      <c r="G473" s="20" t="s">
        <v>537</v>
      </c>
      <c r="H473" s="20">
        <v>50</v>
      </c>
      <c r="I473" s="20">
        <v>70</v>
      </c>
      <c r="J473" s="20" t="s">
        <v>207</v>
      </c>
      <c r="K473" s="20" t="s">
        <v>32</v>
      </c>
      <c r="L473" s="52">
        <v>2500000</v>
      </c>
      <c r="M473" s="52"/>
      <c r="N473" s="52">
        <f t="shared" si="15"/>
        <v>2500000</v>
      </c>
      <c r="O473" s="53"/>
      <c r="P473" s="54">
        <f t="shared" si="16"/>
        <v>2500000</v>
      </c>
      <c r="Q473" s="28"/>
    </row>
    <row r="474" spans="2:17" s="17" customFormat="1" ht="13.8">
      <c r="B474" s="51" t="s">
        <v>596</v>
      </c>
      <c r="C474" s="20" t="s">
        <v>0</v>
      </c>
      <c r="D474" s="51" t="s">
        <v>21</v>
      </c>
      <c r="E474" s="51" t="s">
        <v>22</v>
      </c>
      <c r="F474" s="20" t="s">
        <v>549</v>
      </c>
      <c r="G474" s="20" t="s">
        <v>539</v>
      </c>
      <c r="H474" s="51">
        <v>50</v>
      </c>
      <c r="I474" s="51">
        <v>70</v>
      </c>
      <c r="J474" s="20" t="s">
        <v>207</v>
      </c>
      <c r="K474" s="20" t="s">
        <v>35</v>
      </c>
      <c r="L474" s="52">
        <v>2500000</v>
      </c>
      <c r="M474" s="52"/>
      <c r="N474" s="52">
        <f t="shared" si="15"/>
        <v>2500000</v>
      </c>
      <c r="O474" s="53"/>
      <c r="P474" s="54">
        <f t="shared" si="16"/>
        <v>2500000</v>
      </c>
      <c r="Q474" s="29"/>
    </row>
    <row r="475" spans="2:17" s="17" customFormat="1" ht="13.8">
      <c r="B475" s="20" t="s">
        <v>597</v>
      </c>
      <c r="C475" s="20" t="s">
        <v>0</v>
      </c>
      <c r="D475" s="20" t="s">
        <v>21</v>
      </c>
      <c r="E475" s="20" t="s">
        <v>22</v>
      </c>
      <c r="F475" s="20" t="s">
        <v>549</v>
      </c>
      <c r="G475" s="20" t="s">
        <v>541</v>
      </c>
      <c r="H475" s="20">
        <v>50</v>
      </c>
      <c r="I475" s="20">
        <v>70</v>
      </c>
      <c r="J475" s="20" t="s">
        <v>207</v>
      </c>
      <c r="K475" s="20" t="s">
        <v>35</v>
      </c>
      <c r="L475" s="52">
        <v>2500000</v>
      </c>
      <c r="M475" s="52"/>
      <c r="N475" s="52">
        <f t="shared" si="15"/>
        <v>2500000</v>
      </c>
      <c r="O475" s="53"/>
      <c r="P475" s="54">
        <f t="shared" si="16"/>
        <v>2500000</v>
      </c>
      <c r="Q475" s="28"/>
    </row>
    <row r="476" spans="2:17" s="17" customFormat="1" ht="13.8">
      <c r="B476" s="51" t="s">
        <v>598</v>
      </c>
      <c r="C476" s="20" t="s">
        <v>0</v>
      </c>
      <c r="D476" s="51" t="s">
        <v>21</v>
      </c>
      <c r="E476" s="51" t="s">
        <v>22</v>
      </c>
      <c r="F476" s="20" t="s">
        <v>549</v>
      </c>
      <c r="G476" s="20" t="s">
        <v>543</v>
      </c>
      <c r="H476" s="51">
        <v>50</v>
      </c>
      <c r="I476" s="51">
        <v>70</v>
      </c>
      <c r="J476" s="20" t="s">
        <v>207</v>
      </c>
      <c r="K476" s="20" t="s">
        <v>32</v>
      </c>
      <c r="L476" s="52">
        <v>2500000</v>
      </c>
      <c r="M476" s="52"/>
      <c r="N476" s="52">
        <f t="shared" si="15"/>
        <v>2500000</v>
      </c>
      <c r="O476" s="53"/>
      <c r="P476" s="54">
        <f t="shared" si="16"/>
        <v>2500000</v>
      </c>
      <c r="Q476" s="29"/>
    </row>
    <row r="477" spans="2:17" s="17" customFormat="1" ht="13.8">
      <c r="B477" s="20" t="s">
        <v>599</v>
      </c>
      <c r="C477" s="20" t="s">
        <v>0</v>
      </c>
      <c r="D477" s="20" t="s">
        <v>21</v>
      </c>
      <c r="E477" s="20" t="s">
        <v>22</v>
      </c>
      <c r="F477" s="20" t="s">
        <v>549</v>
      </c>
      <c r="G477" s="20" t="s">
        <v>545</v>
      </c>
      <c r="H477" s="20">
        <v>50</v>
      </c>
      <c r="I477" s="20">
        <v>70</v>
      </c>
      <c r="J477" s="20" t="s">
        <v>207</v>
      </c>
      <c r="K477" s="20" t="s">
        <v>42</v>
      </c>
      <c r="L477" s="52">
        <v>2500000</v>
      </c>
      <c r="M477" s="52"/>
      <c r="N477" s="52">
        <f t="shared" si="15"/>
        <v>2500000</v>
      </c>
      <c r="O477" s="53"/>
      <c r="P477" s="54">
        <f t="shared" si="16"/>
        <v>2500000</v>
      </c>
      <c r="Q477" s="28"/>
    </row>
    <row r="478" spans="2:17" s="17" customFormat="1" ht="13.8">
      <c r="B478" s="51" t="s">
        <v>600</v>
      </c>
      <c r="C478" s="20" t="s">
        <v>0</v>
      </c>
      <c r="D478" s="51" t="s">
        <v>21</v>
      </c>
      <c r="E478" s="51" t="s">
        <v>22</v>
      </c>
      <c r="F478" s="20" t="s">
        <v>549</v>
      </c>
      <c r="G478" s="20" t="s">
        <v>547</v>
      </c>
      <c r="H478" s="51">
        <v>50</v>
      </c>
      <c r="I478" s="51">
        <v>73</v>
      </c>
      <c r="J478" s="20" t="s">
        <v>207</v>
      </c>
      <c r="K478" s="20" t="s">
        <v>44</v>
      </c>
      <c r="L478" s="52">
        <v>2599000</v>
      </c>
      <c r="M478" s="52"/>
      <c r="N478" s="52">
        <f t="shared" si="15"/>
        <v>2599000</v>
      </c>
      <c r="O478" s="53"/>
      <c r="P478" s="54">
        <f t="shared" si="16"/>
        <v>2599000</v>
      </c>
      <c r="Q478" s="29"/>
    </row>
    <row r="479" spans="2:17" s="17" customFormat="1" ht="13.8">
      <c r="B479" s="20" t="s">
        <v>601</v>
      </c>
      <c r="C479" s="20" t="s">
        <v>0</v>
      </c>
      <c r="D479" s="20" t="s">
        <v>21</v>
      </c>
      <c r="E479" s="20" t="s">
        <v>22</v>
      </c>
      <c r="F479" s="20" t="s">
        <v>602</v>
      </c>
      <c r="G479" s="20" t="s">
        <v>24</v>
      </c>
      <c r="H479" s="20">
        <v>50</v>
      </c>
      <c r="I479" s="20">
        <v>83</v>
      </c>
      <c r="J479" s="20" t="s">
        <v>207</v>
      </c>
      <c r="K479" s="20" t="s">
        <v>44</v>
      </c>
      <c r="L479" s="52">
        <v>2929000</v>
      </c>
      <c r="M479" s="52"/>
      <c r="N479" s="52">
        <f t="shared" si="15"/>
        <v>2929000</v>
      </c>
      <c r="O479" s="53"/>
      <c r="P479" s="54">
        <f t="shared" si="16"/>
        <v>2929000</v>
      </c>
      <c r="Q479" s="28"/>
    </row>
    <row r="480" spans="2:17" s="17" customFormat="1" ht="13.8">
      <c r="B480" s="51" t="s">
        <v>603</v>
      </c>
      <c r="C480" s="20" t="s">
        <v>0</v>
      </c>
      <c r="D480" s="51" t="s">
        <v>21</v>
      </c>
      <c r="E480" s="51" t="s">
        <v>22</v>
      </c>
      <c r="F480" s="20" t="s">
        <v>602</v>
      </c>
      <c r="G480" s="20" t="s">
        <v>28</v>
      </c>
      <c r="H480" s="51">
        <v>50</v>
      </c>
      <c r="I480" s="51">
        <v>70</v>
      </c>
      <c r="J480" s="20" t="s">
        <v>207</v>
      </c>
      <c r="K480" s="20" t="s">
        <v>42</v>
      </c>
      <c r="L480" s="52">
        <v>2500000</v>
      </c>
      <c r="M480" s="52"/>
      <c r="N480" s="52">
        <f t="shared" si="15"/>
        <v>2500000</v>
      </c>
      <c r="O480" s="53"/>
      <c r="P480" s="54">
        <f t="shared" si="16"/>
        <v>2500000</v>
      </c>
      <c r="Q480" s="29"/>
    </row>
    <row r="481" spans="2:17" s="17" customFormat="1" ht="13.8">
      <c r="B481" s="20" t="s">
        <v>604</v>
      </c>
      <c r="C481" s="20" t="s">
        <v>0</v>
      </c>
      <c r="D481" s="20" t="s">
        <v>21</v>
      </c>
      <c r="E481" s="20" t="s">
        <v>22</v>
      </c>
      <c r="F481" s="20" t="s">
        <v>602</v>
      </c>
      <c r="G481" s="20" t="s">
        <v>31</v>
      </c>
      <c r="H481" s="20">
        <v>50</v>
      </c>
      <c r="I481" s="20">
        <v>70</v>
      </c>
      <c r="J481" s="20" t="s">
        <v>207</v>
      </c>
      <c r="K481" s="20" t="s">
        <v>42</v>
      </c>
      <c r="L481" s="52">
        <v>2500000</v>
      </c>
      <c r="M481" s="52"/>
      <c r="N481" s="52">
        <f t="shared" si="15"/>
        <v>2500000</v>
      </c>
      <c r="O481" s="53"/>
      <c r="P481" s="54">
        <f t="shared" si="16"/>
        <v>2500000</v>
      </c>
      <c r="Q481" s="28"/>
    </row>
    <row r="482" spans="2:17" s="17" customFormat="1" ht="13.8">
      <c r="B482" s="51" t="s">
        <v>605</v>
      </c>
      <c r="C482" s="20" t="s">
        <v>0</v>
      </c>
      <c r="D482" s="51" t="s">
        <v>21</v>
      </c>
      <c r="E482" s="51" t="s">
        <v>22</v>
      </c>
      <c r="F482" s="20" t="s">
        <v>602</v>
      </c>
      <c r="G482" s="20" t="s">
        <v>34</v>
      </c>
      <c r="H482" s="51">
        <v>50</v>
      </c>
      <c r="I482" s="51">
        <v>70</v>
      </c>
      <c r="J482" s="20" t="s">
        <v>207</v>
      </c>
      <c r="K482" s="20" t="s">
        <v>44</v>
      </c>
      <c r="L482" s="52">
        <v>2500000</v>
      </c>
      <c r="M482" s="52"/>
      <c r="N482" s="52">
        <f t="shared" si="15"/>
        <v>2500000</v>
      </c>
      <c r="O482" s="53"/>
      <c r="P482" s="54">
        <f t="shared" si="16"/>
        <v>2500000</v>
      </c>
      <c r="Q482" s="29"/>
    </row>
    <row r="483" spans="2:17" s="17" customFormat="1" ht="13.8">
      <c r="B483" s="20" t="s">
        <v>606</v>
      </c>
      <c r="C483" s="20" t="s">
        <v>0</v>
      </c>
      <c r="D483" s="20" t="s">
        <v>21</v>
      </c>
      <c r="E483" s="20" t="s">
        <v>22</v>
      </c>
      <c r="F483" s="20" t="s">
        <v>602</v>
      </c>
      <c r="G483" s="20" t="s">
        <v>37</v>
      </c>
      <c r="H483" s="20">
        <v>50</v>
      </c>
      <c r="I483" s="20">
        <v>70</v>
      </c>
      <c r="J483" s="20" t="s">
        <v>207</v>
      </c>
      <c r="K483" s="20" t="s">
        <v>26</v>
      </c>
      <c r="L483" s="52">
        <v>2500000</v>
      </c>
      <c r="M483" s="52"/>
      <c r="N483" s="52">
        <f t="shared" si="15"/>
        <v>2500000</v>
      </c>
      <c r="O483" s="53"/>
      <c r="P483" s="54">
        <f t="shared" si="16"/>
        <v>2500000</v>
      </c>
      <c r="Q483" s="28"/>
    </row>
    <row r="484" spans="2:17" s="17" customFormat="1" ht="13.8">
      <c r="B484" s="51" t="s">
        <v>607</v>
      </c>
      <c r="C484" s="20" t="s">
        <v>0</v>
      </c>
      <c r="D484" s="51" t="s">
        <v>21</v>
      </c>
      <c r="E484" s="51" t="s">
        <v>22</v>
      </c>
      <c r="F484" s="20" t="s">
        <v>602</v>
      </c>
      <c r="G484" s="20" t="s">
        <v>39</v>
      </c>
      <c r="H484" s="51">
        <v>50</v>
      </c>
      <c r="I484" s="51">
        <v>70</v>
      </c>
      <c r="J484" s="20" t="s">
        <v>207</v>
      </c>
      <c r="K484" s="20" t="s">
        <v>29</v>
      </c>
      <c r="L484" s="52">
        <v>2500000</v>
      </c>
      <c r="M484" s="52"/>
      <c r="N484" s="52">
        <f t="shared" si="15"/>
        <v>2500000</v>
      </c>
      <c r="O484" s="53"/>
      <c r="P484" s="54">
        <f t="shared" si="16"/>
        <v>2500000</v>
      </c>
      <c r="Q484" s="29"/>
    </row>
    <row r="485" spans="2:17" s="17" customFormat="1" ht="13.8">
      <c r="B485" s="20" t="s">
        <v>608</v>
      </c>
      <c r="C485" s="20" t="s">
        <v>0</v>
      </c>
      <c r="D485" s="20" t="s">
        <v>21</v>
      </c>
      <c r="E485" s="20" t="s">
        <v>22</v>
      </c>
      <c r="F485" s="20" t="s">
        <v>602</v>
      </c>
      <c r="G485" s="20" t="s">
        <v>52</v>
      </c>
      <c r="H485" s="20">
        <v>50</v>
      </c>
      <c r="I485" s="20">
        <v>70</v>
      </c>
      <c r="J485" s="20" t="s">
        <v>207</v>
      </c>
      <c r="K485" s="20" t="s">
        <v>29</v>
      </c>
      <c r="L485" s="52">
        <v>2500000</v>
      </c>
      <c r="M485" s="52"/>
      <c r="N485" s="52">
        <f t="shared" si="15"/>
        <v>2500000</v>
      </c>
      <c r="O485" s="53"/>
      <c r="P485" s="54">
        <f t="shared" si="16"/>
        <v>2500000</v>
      </c>
      <c r="Q485" s="28"/>
    </row>
    <row r="486" spans="2:17" s="17" customFormat="1" ht="13.8">
      <c r="B486" s="51" t="s">
        <v>609</v>
      </c>
      <c r="C486" s="20" t="s">
        <v>0</v>
      </c>
      <c r="D486" s="51" t="s">
        <v>21</v>
      </c>
      <c r="E486" s="51" t="s">
        <v>22</v>
      </c>
      <c r="F486" s="20" t="s">
        <v>602</v>
      </c>
      <c r="G486" s="20" t="s">
        <v>54</v>
      </c>
      <c r="H486" s="51">
        <v>50</v>
      </c>
      <c r="I486" s="51">
        <v>70</v>
      </c>
      <c r="J486" s="20" t="s">
        <v>207</v>
      </c>
      <c r="K486" s="20" t="s">
        <v>26</v>
      </c>
      <c r="L486" s="52">
        <v>2500000</v>
      </c>
      <c r="M486" s="52"/>
      <c r="N486" s="52">
        <f t="shared" si="15"/>
        <v>2500000</v>
      </c>
      <c r="O486" s="53"/>
      <c r="P486" s="54">
        <f t="shared" si="16"/>
        <v>2500000</v>
      </c>
      <c r="Q486" s="29"/>
    </row>
    <row r="487" spans="2:17" s="17" customFormat="1" ht="13.8">
      <c r="B487" s="20" t="s">
        <v>610</v>
      </c>
      <c r="C487" s="20" t="s">
        <v>0</v>
      </c>
      <c r="D487" s="20" t="s">
        <v>21</v>
      </c>
      <c r="E487" s="20" t="s">
        <v>22</v>
      </c>
      <c r="F487" s="20" t="s">
        <v>602</v>
      </c>
      <c r="G487" s="20" t="s">
        <v>82</v>
      </c>
      <c r="H487" s="20">
        <v>50</v>
      </c>
      <c r="I487" s="20">
        <v>70</v>
      </c>
      <c r="J487" s="20" t="s">
        <v>207</v>
      </c>
      <c r="K487" s="20" t="s">
        <v>48</v>
      </c>
      <c r="L487" s="52">
        <v>2500000</v>
      </c>
      <c r="M487" s="52"/>
      <c r="N487" s="52">
        <f t="shared" si="15"/>
        <v>2500000</v>
      </c>
      <c r="O487" s="53"/>
      <c r="P487" s="54">
        <f t="shared" si="16"/>
        <v>2500000</v>
      </c>
      <c r="Q487" s="28"/>
    </row>
    <row r="488" spans="2:17" s="17" customFormat="1" ht="13.8">
      <c r="B488" s="51" t="s">
        <v>611</v>
      </c>
      <c r="C488" s="20" t="s">
        <v>0</v>
      </c>
      <c r="D488" s="51" t="s">
        <v>21</v>
      </c>
      <c r="E488" s="51" t="s">
        <v>22</v>
      </c>
      <c r="F488" s="20" t="s">
        <v>602</v>
      </c>
      <c r="G488" s="20" t="s">
        <v>84</v>
      </c>
      <c r="H488" s="51">
        <v>50</v>
      </c>
      <c r="I488" s="51">
        <v>70</v>
      </c>
      <c r="J488" s="20" t="s">
        <v>207</v>
      </c>
      <c r="K488" s="20" t="s">
        <v>50</v>
      </c>
      <c r="L488" s="52">
        <v>2500000</v>
      </c>
      <c r="M488" s="52"/>
      <c r="N488" s="52">
        <f t="shared" si="15"/>
        <v>2500000</v>
      </c>
      <c r="O488" s="53"/>
      <c r="P488" s="54">
        <f t="shared" si="16"/>
        <v>2500000</v>
      </c>
      <c r="Q488" s="29"/>
    </row>
    <row r="489" spans="2:17" s="17" customFormat="1" ht="13.8">
      <c r="B489" s="20" t="s">
        <v>612</v>
      </c>
      <c r="C489" s="20" t="s">
        <v>0</v>
      </c>
      <c r="D489" s="20" t="s">
        <v>21</v>
      </c>
      <c r="E489" s="20" t="s">
        <v>22</v>
      </c>
      <c r="F489" s="20" t="s">
        <v>602</v>
      </c>
      <c r="G489" s="20" t="s">
        <v>86</v>
      </c>
      <c r="H489" s="20">
        <v>50</v>
      </c>
      <c r="I489" s="20">
        <v>70</v>
      </c>
      <c r="J489" s="20" t="s">
        <v>207</v>
      </c>
      <c r="K489" s="20" t="s">
        <v>50</v>
      </c>
      <c r="L489" s="52">
        <v>2500000</v>
      </c>
      <c r="M489" s="52"/>
      <c r="N489" s="52">
        <f t="shared" si="15"/>
        <v>2500000</v>
      </c>
      <c r="O489" s="53"/>
      <c r="P489" s="54">
        <f t="shared" si="16"/>
        <v>2500000</v>
      </c>
      <c r="Q489" s="28"/>
    </row>
    <row r="490" spans="2:17" s="17" customFormat="1" ht="13.8">
      <c r="B490" s="51" t="s">
        <v>613</v>
      </c>
      <c r="C490" s="20" t="s">
        <v>0</v>
      </c>
      <c r="D490" s="51" t="s">
        <v>21</v>
      </c>
      <c r="E490" s="51" t="s">
        <v>22</v>
      </c>
      <c r="F490" s="20" t="s">
        <v>602</v>
      </c>
      <c r="G490" s="20" t="s">
        <v>88</v>
      </c>
      <c r="H490" s="51">
        <v>50</v>
      </c>
      <c r="I490" s="51">
        <v>70</v>
      </c>
      <c r="J490" s="20" t="s">
        <v>207</v>
      </c>
      <c r="K490" s="20" t="s">
        <v>48</v>
      </c>
      <c r="L490" s="52">
        <v>2500000</v>
      </c>
      <c r="M490" s="52"/>
      <c r="N490" s="52">
        <f t="shared" si="15"/>
        <v>2500000</v>
      </c>
      <c r="O490" s="53"/>
      <c r="P490" s="54">
        <f t="shared" si="16"/>
        <v>2500000</v>
      </c>
      <c r="Q490" s="29"/>
    </row>
    <row r="491" spans="2:17" s="17" customFormat="1" ht="13.8">
      <c r="B491" s="20" t="s">
        <v>614</v>
      </c>
      <c r="C491" s="20" t="s">
        <v>0</v>
      </c>
      <c r="D491" s="20" t="s">
        <v>21</v>
      </c>
      <c r="E491" s="20" t="s">
        <v>22</v>
      </c>
      <c r="F491" s="20" t="s">
        <v>602</v>
      </c>
      <c r="G491" s="20" t="s">
        <v>90</v>
      </c>
      <c r="H491" s="20">
        <v>50</v>
      </c>
      <c r="I491" s="20">
        <v>70</v>
      </c>
      <c r="J491" s="20" t="s">
        <v>207</v>
      </c>
      <c r="K491" s="20" t="s">
        <v>35</v>
      </c>
      <c r="L491" s="52">
        <v>2500000</v>
      </c>
      <c r="M491" s="52"/>
      <c r="N491" s="52">
        <f t="shared" si="15"/>
        <v>2500000</v>
      </c>
      <c r="O491" s="53"/>
      <c r="P491" s="54">
        <f t="shared" si="16"/>
        <v>2500000</v>
      </c>
      <c r="Q491" s="28"/>
    </row>
    <row r="492" spans="2:17" s="17" customFormat="1" ht="13.8">
      <c r="B492" s="51" t="s">
        <v>615</v>
      </c>
      <c r="C492" s="20" t="s">
        <v>0</v>
      </c>
      <c r="D492" s="51" t="s">
        <v>21</v>
      </c>
      <c r="E492" s="51" t="s">
        <v>22</v>
      </c>
      <c r="F492" s="20" t="s">
        <v>602</v>
      </c>
      <c r="G492" s="20" t="s">
        <v>92</v>
      </c>
      <c r="H492" s="51">
        <v>50</v>
      </c>
      <c r="I492" s="51">
        <v>70</v>
      </c>
      <c r="J492" s="20" t="s">
        <v>207</v>
      </c>
      <c r="K492" s="20" t="s">
        <v>32</v>
      </c>
      <c r="L492" s="52">
        <v>2500000</v>
      </c>
      <c r="M492" s="52"/>
      <c r="N492" s="52">
        <f t="shared" si="15"/>
        <v>2500000</v>
      </c>
      <c r="O492" s="53"/>
      <c r="P492" s="54">
        <f t="shared" si="16"/>
        <v>2500000</v>
      </c>
      <c r="Q492" s="29"/>
    </row>
    <row r="493" spans="2:17" s="17" customFormat="1" ht="13.8">
      <c r="B493" s="20" t="s">
        <v>616</v>
      </c>
      <c r="C493" s="20" t="s">
        <v>0</v>
      </c>
      <c r="D493" s="20" t="s">
        <v>21</v>
      </c>
      <c r="E493" s="20" t="s">
        <v>22</v>
      </c>
      <c r="F493" s="20" t="s">
        <v>602</v>
      </c>
      <c r="G493" s="20" t="s">
        <v>123</v>
      </c>
      <c r="H493" s="20">
        <v>50</v>
      </c>
      <c r="I493" s="20">
        <v>70</v>
      </c>
      <c r="J493" s="20" t="s">
        <v>207</v>
      </c>
      <c r="K493" s="20" t="s">
        <v>32</v>
      </c>
      <c r="L493" s="52">
        <v>2500000</v>
      </c>
      <c r="M493" s="52"/>
      <c r="N493" s="52">
        <f t="shared" si="15"/>
        <v>2500000</v>
      </c>
      <c r="O493" s="53"/>
      <c r="P493" s="54">
        <f t="shared" si="16"/>
        <v>2500000</v>
      </c>
      <c r="Q493" s="28"/>
    </row>
    <row r="494" spans="2:17" s="17" customFormat="1" ht="13.8">
      <c r="B494" s="51" t="s">
        <v>617</v>
      </c>
      <c r="C494" s="20" t="s">
        <v>0</v>
      </c>
      <c r="D494" s="51" t="s">
        <v>21</v>
      </c>
      <c r="E494" s="51" t="s">
        <v>22</v>
      </c>
      <c r="F494" s="20" t="s">
        <v>602</v>
      </c>
      <c r="G494" s="20" t="s">
        <v>125</v>
      </c>
      <c r="H494" s="51">
        <v>50</v>
      </c>
      <c r="I494" s="51">
        <v>70</v>
      </c>
      <c r="J494" s="20" t="s">
        <v>207</v>
      </c>
      <c r="K494" s="20" t="s">
        <v>35</v>
      </c>
      <c r="L494" s="52">
        <v>2500000</v>
      </c>
      <c r="M494" s="52"/>
      <c r="N494" s="52">
        <f t="shared" si="15"/>
        <v>2500000</v>
      </c>
      <c r="O494" s="53"/>
      <c r="P494" s="54">
        <f t="shared" si="16"/>
        <v>2500000</v>
      </c>
      <c r="Q494" s="29"/>
    </row>
    <row r="495" spans="2:17" s="17" customFormat="1" ht="13.8">
      <c r="B495" s="20" t="s">
        <v>618</v>
      </c>
      <c r="C495" s="20" t="s">
        <v>0</v>
      </c>
      <c r="D495" s="20" t="s">
        <v>21</v>
      </c>
      <c r="E495" s="20" t="s">
        <v>22</v>
      </c>
      <c r="F495" s="20" t="s">
        <v>602</v>
      </c>
      <c r="G495" s="20" t="s">
        <v>127</v>
      </c>
      <c r="H495" s="20">
        <v>50</v>
      </c>
      <c r="I495" s="20">
        <v>70</v>
      </c>
      <c r="J495" s="20" t="s">
        <v>207</v>
      </c>
      <c r="K495" s="20" t="s">
        <v>44</v>
      </c>
      <c r="L495" s="52">
        <v>2500000</v>
      </c>
      <c r="M495" s="52"/>
      <c r="N495" s="52">
        <f t="shared" si="15"/>
        <v>2500000</v>
      </c>
      <c r="O495" s="53"/>
      <c r="P495" s="54">
        <f t="shared" si="16"/>
        <v>2500000</v>
      </c>
      <c r="Q495" s="28"/>
    </row>
    <row r="496" spans="2:17" s="17" customFormat="1" ht="13.8">
      <c r="B496" s="51" t="s">
        <v>619</v>
      </c>
      <c r="C496" s="20" t="s">
        <v>0</v>
      </c>
      <c r="D496" s="51" t="s">
        <v>21</v>
      </c>
      <c r="E496" s="51" t="s">
        <v>22</v>
      </c>
      <c r="F496" s="20" t="s">
        <v>602</v>
      </c>
      <c r="G496" s="20" t="s">
        <v>129</v>
      </c>
      <c r="H496" s="51">
        <v>50</v>
      </c>
      <c r="I496" s="51">
        <v>70</v>
      </c>
      <c r="J496" s="20" t="s">
        <v>207</v>
      </c>
      <c r="K496" s="20" t="s">
        <v>42</v>
      </c>
      <c r="L496" s="52">
        <v>2500000</v>
      </c>
      <c r="M496" s="52"/>
      <c r="N496" s="52">
        <f t="shared" si="15"/>
        <v>2500000</v>
      </c>
      <c r="O496" s="53"/>
      <c r="P496" s="54">
        <f t="shared" si="16"/>
        <v>2500000</v>
      </c>
      <c r="Q496" s="29"/>
    </row>
    <row r="497" spans="2:17" s="17" customFormat="1" ht="13.8">
      <c r="B497" s="20" t="s">
        <v>620</v>
      </c>
      <c r="C497" s="20" t="s">
        <v>0</v>
      </c>
      <c r="D497" s="20" t="s">
        <v>21</v>
      </c>
      <c r="E497" s="20" t="s">
        <v>22</v>
      </c>
      <c r="F497" s="20" t="s">
        <v>602</v>
      </c>
      <c r="G497" s="20" t="s">
        <v>131</v>
      </c>
      <c r="H497" s="20">
        <v>50</v>
      </c>
      <c r="I497" s="20">
        <v>70</v>
      </c>
      <c r="J497" s="20" t="s">
        <v>207</v>
      </c>
      <c r="K497" s="20" t="s">
        <v>42</v>
      </c>
      <c r="L497" s="52">
        <v>2500000</v>
      </c>
      <c r="M497" s="52"/>
      <c r="N497" s="52">
        <f t="shared" si="15"/>
        <v>2500000</v>
      </c>
      <c r="O497" s="53"/>
      <c r="P497" s="54">
        <f t="shared" si="16"/>
        <v>2500000</v>
      </c>
      <c r="Q497" s="28"/>
    </row>
    <row r="498" spans="2:17" s="17" customFormat="1" ht="13.8">
      <c r="B498" s="51" t="s">
        <v>621</v>
      </c>
      <c r="C498" s="20" t="s">
        <v>0</v>
      </c>
      <c r="D498" s="51" t="s">
        <v>21</v>
      </c>
      <c r="E498" s="51" t="s">
        <v>22</v>
      </c>
      <c r="F498" s="20" t="s">
        <v>602</v>
      </c>
      <c r="G498" s="20" t="s">
        <v>133</v>
      </c>
      <c r="H498" s="51">
        <v>50</v>
      </c>
      <c r="I498" s="51">
        <v>70</v>
      </c>
      <c r="J498" s="20" t="s">
        <v>207</v>
      </c>
      <c r="K498" s="20" t="s">
        <v>44</v>
      </c>
      <c r="L498" s="52">
        <v>2500000</v>
      </c>
      <c r="M498" s="52"/>
      <c r="N498" s="52">
        <f t="shared" si="15"/>
        <v>2500000</v>
      </c>
      <c r="O498" s="53"/>
      <c r="P498" s="54">
        <f t="shared" si="16"/>
        <v>2500000</v>
      </c>
      <c r="Q498" s="29"/>
    </row>
    <row r="499" spans="2:17" s="17" customFormat="1" ht="13.8">
      <c r="B499" s="20" t="s">
        <v>622</v>
      </c>
      <c r="C499" s="20" t="s">
        <v>0</v>
      </c>
      <c r="D499" s="20" t="s">
        <v>21</v>
      </c>
      <c r="E499" s="20" t="s">
        <v>22</v>
      </c>
      <c r="F499" s="20" t="s">
        <v>602</v>
      </c>
      <c r="G499" s="20" t="s">
        <v>135</v>
      </c>
      <c r="H499" s="20">
        <v>50</v>
      </c>
      <c r="I499" s="20">
        <v>70</v>
      </c>
      <c r="J499" s="20" t="s">
        <v>207</v>
      </c>
      <c r="K499" s="20" t="s">
        <v>26</v>
      </c>
      <c r="L499" s="52">
        <v>2500000</v>
      </c>
      <c r="M499" s="52"/>
      <c r="N499" s="52">
        <f t="shared" si="15"/>
        <v>2500000</v>
      </c>
      <c r="O499" s="53"/>
      <c r="P499" s="54">
        <f t="shared" si="16"/>
        <v>2500000</v>
      </c>
      <c r="Q499" s="28"/>
    </row>
    <row r="500" spans="2:17" s="17" customFormat="1" ht="13.8">
      <c r="B500" s="51" t="s">
        <v>623</v>
      </c>
      <c r="C500" s="20" t="s">
        <v>0</v>
      </c>
      <c r="D500" s="51" t="s">
        <v>21</v>
      </c>
      <c r="E500" s="51" t="s">
        <v>22</v>
      </c>
      <c r="F500" s="20" t="s">
        <v>602</v>
      </c>
      <c r="G500" s="20" t="s">
        <v>137</v>
      </c>
      <c r="H500" s="51">
        <v>50</v>
      </c>
      <c r="I500" s="51">
        <v>70</v>
      </c>
      <c r="J500" s="20" t="s">
        <v>207</v>
      </c>
      <c r="K500" s="20" t="s">
        <v>29</v>
      </c>
      <c r="L500" s="52">
        <v>2500000</v>
      </c>
      <c r="M500" s="52"/>
      <c r="N500" s="52">
        <f t="shared" si="15"/>
        <v>2500000</v>
      </c>
      <c r="O500" s="53"/>
      <c r="P500" s="54">
        <f t="shared" si="16"/>
        <v>2500000</v>
      </c>
      <c r="Q500" s="29"/>
    </row>
    <row r="501" spans="2:17" s="17" customFormat="1" ht="13.8">
      <c r="B501" s="20" t="s">
        <v>624</v>
      </c>
      <c r="C501" s="20" t="s">
        <v>0</v>
      </c>
      <c r="D501" s="20" t="s">
        <v>21</v>
      </c>
      <c r="E501" s="20" t="s">
        <v>22</v>
      </c>
      <c r="F501" s="20" t="s">
        <v>602</v>
      </c>
      <c r="G501" s="20" t="s">
        <v>139</v>
      </c>
      <c r="H501" s="20">
        <v>50</v>
      </c>
      <c r="I501" s="20">
        <v>70</v>
      </c>
      <c r="J501" s="20" t="s">
        <v>207</v>
      </c>
      <c r="K501" s="20" t="s">
        <v>29</v>
      </c>
      <c r="L501" s="52">
        <v>2500000</v>
      </c>
      <c r="M501" s="52"/>
      <c r="N501" s="52">
        <f t="shared" si="15"/>
        <v>2500000</v>
      </c>
      <c r="O501" s="53"/>
      <c r="P501" s="54">
        <f t="shared" si="16"/>
        <v>2500000</v>
      </c>
      <c r="Q501" s="28"/>
    </row>
    <row r="502" spans="2:17" s="17" customFormat="1" ht="13.8">
      <c r="B502" s="51" t="s">
        <v>625</v>
      </c>
      <c r="C502" s="20" t="s">
        <v>0</v>
      </c>
      <c r="D502" s="51" t="s">
        <v>21</v>
      </c>
      <c r="E502" s="51" t="s">
        <v>22</v>
      </c>
      <c r="F502" s="20" t="s">
        <v>602</v>
      </c>
      <c r="G502" s="20" t="s">
        <v>141</v>
      </c>
      <c r="H502" s="51">
        <v>50</v>
      </c>
      <c r="I502" s="51">
        <v>70</v>
      </c>
      <c r="J502" s="20" t="s">
        <v>207</v>
      </c>
      <c r="K502" s="20" t="s">
        <v>26</v>
      </c>
      <c r="L502" s="52">
        <v>2500000</v>
      </c>
      <c r="M502" s="52"/>
      <c r="N502" s="52">
        <f t="shared" si="15"/>
        <v>2500000</v>
      </c>
      <c r="O502" s="53"/>
      <c r="P502" s="54">
        <f t="shared" si="16"/>
        <v>2500000</v>
      </c>
      <c r="Q502" s="29"/>
    </row>
    <row r="503" spans="2:17" s="17" customFormat="1" ht="13.8">
      <c r="B503" s="20" t="s">
        <v>626</v>
      </c>
      <c r="C503" s="20" t="s">
        <v>0</v>
      </c>
      <c r="D503" s="20" t="s">
        <v>21</v>
      </c>
      <c r="E503" s="20" t="s">
        <v>22</v>
      </c>
      <c r="F503" s="20" t="s">
        <v>602</v>
      </c>
      <c r="G503" s="20" t="s">
        <v>143</v>
      </c>
      <c r="H503" s="20">
        <v>50</v>
      </c>
      <c r="I503" s="20">
        <v>70</v>
      </c>
      <c r="J503" s="20" t="s">
        <v>207</v>
      </c>
      <c r="K503" s="20" t="s">
        <v>48</v>
      </c>
      <c r="L503" s="52">
        <v>2500000</v>
      </c>
      <c r="M503" s="52"/>
      <c r="N503" s="52">
        <f t="shared" si="15"/>
        <v>2500000</v>
      </c>
      <c r="O503" s="53"/>
      <c r="P503" s="54">
        <f t="shared" si="16"/>
        <v>2500000</v>
      </c>
      <c r="Q503" s="28"/>
    </row>
    <row r="504" spans="2:17" s="17" customFormat="1" ht="13.8">
      <c r="B504" s="51" t="s">
        <v>627</v>
      </c>
      <c r="C504" s="20" t="s">
        <v>0</v>
      </c>
      <c r="D504" s="51" t="s">
        <v>21</v>
      </c>
      <c r="E504" s="51" t="s">
        <v>22</v>
      </c>
      <c r="F504" s="20" t="s">
        <v>602</v>
      </c>
      <c r="G504" s="20" t="s">
        <v>145</v>
      </c>
      <c r="H504" s="51">
        <v>50</v>
      </c>
      <c r="I504" s="51">
        <v>93</v>
      </c>
      <c r="J504" s="20" t="s">
        <v>207</v>
      </c>
      <c r="K504" s="20" t="s">
        <v>50</v>
      </c>
      <c r="L504" s="52">
        <v>3259000</v>
      </c>
      <c r="M504" s="52"/>
      <c r="N504" s="52">
        <f t="shared" si="15"/>
        <v>3259000</v>
      </c>
      <c r="O504" s="53"/>
      <c r="P504" s="54">
        <f t="shared" si="16"/>
        <v>3259000</v>
      </c>
      <c r="Q504" s="29"/>
    </row>
    <row r="505" spans="2:17" s="17" customFormat="1" ht="13.8">
      <c r="B505" s="20" t="s">
        <v>628</v>
      </c>
      <c r="C505" s="20" t="s">
        <v>0</v>
      </c>
      <c r="D505" s="20" t="s">
        <v>98</v>
      </c>
      <c r="E505" s="20" t="s">
        <v>22</v>
      </c>
      <c r="F505" s="20" t="s">
        <v>602</v>
      </c>
      <c r="G505" s="20" t="s">
        <v>147</v>
      </c>
      <c r="H505" s="20" t="s">
        <v>99</v>
      </c>
      <c r="I505" s="20">
        <v>93</v>
      </c>
      <c r="J505" s="20" t="s">
        <v>100</v>
      </c>
      <c r="K505" s="20" t="s">
        <v>101</v>
      </c>
      <c r="L505" s="52">
        <v>2612714</v>
      </c>
      <c r="M505" s="52"/>
      <c r="N505" s="52">
        <f t="shared" si="15"/>
        <v>2612714</v>
      </c>
      <c r="O505" s="53">
        <f>N505*12/112</f>
        <v>279933.64285714284</v>
      </c>
      <c r="P505" s="54">
        <f t="shared" si="16"/>
        <v>2332780.3571428573</v>
      </c>
      <c r="Q505" s="28"/>
    </row>
    <row r="506" spans="2:17" s="17" customFormat="1" ht="13.8">
      <c r="B506" s="51" t="s">
        <v>629</v>
      </c>
      <c r="C506" s="20" t="s">
        <v>0</v>
      </c>
      <c r="D506" s="51" t="s">
        <v>21</v>
      </c>
      <c r="E506" s="51" t="s">
        <v>22</v>
      </c>
      <c r="F506" s="20" t="s">
        <v>602</v>
      </c>
      <c r="G506" s="20" t="s">
        <v>149</v>
      </c>
      <c r="H506" s="51">
        <v>50</v>
      </c>
      <c r="I506" s="51">
        <v>70</v>
      </c>
      <c r="J506" s="20" t="s">
        <v>207</v>
      </c>
      <c r="K506" s="20" t="s">
        <v>32</v>
      </c>
      <c r="L506" s="52">
        <v>2500000</v>
      </c>
      <c r="M506" s="52"/>
      <c r="N506" s="52">
        <f t="shared" si="15"/>
        <v>2500000</v>
      </c>
      <c r="O506" s="53"/>
      <c r="P506" s="54">
        <f t="shared" si="16"/>
        <v>2500000</v>
      </c>
      <c r="Q506" s="29"/>
    </row>
    <row r="507" spans="2:17" s="17" customFormat="1" ht="13.8">
      <c r="B507" s="20" t="s">
        <v>630</v>
      </c>
      <c r="C507" s="20" t="s">
        <v>0</v>
      </c>
      <c r="D507" s="20" t="s">
        <v>21</v>
      </c>
      <c r="E507" s="20" t="s">
        <v>22</v>
      </c>
      <c r="F507" s="20" t="s">
        <v>602</v>
      </c>
      <c r="G507" s="20" t="s">
        <v>151</v>
      </c>
      <c r="H507" s="20">
        <v>50</v>
      </c>
      <c r="I507" s="20">
        <v>70</v>
      </c>
      <c r="J507" s="20" t="s">
        <v>207</v>
      </c>
      <c r="K507" s="20" t="s">
        <v>35</v>
      </c>
      <c r="L507" s="52">
        <v>2500000</v>
      </c>
      <c r="M507" s="52"/>
      <c r="N507" s="52">
        <f t="shared" si="15"/>
        <v>2500000</v>
      </c>
      <c r="O507" s="53"/>
      <c r="P507" s="54">
        <f t="shared" si="16"/>
        <v>2500000</v>
      </c>
      <c r="Q507" s="28"/>
    </row>
    <row r="508" spans="2:17" s="17" customFormat="1" ht="13.8">
      <c r="B508" s="51" t="s">
        <v>631</v>
      </c>
      <c r="C508" s="20" t="s">
        <v>0</v>
      </c>
      <c r="D508" s="51" t="s">
        <v>21</v>
      </c>
      <c r="E508" s="51" t="s">
        <v>22</v>
      </c>
      <c r="F508" s="20" t="s">
        <v>602</v>
      </c>
      <c r="G508" s="20" t="s">
        <v>153</v>
      </c>
      <c r="H508" s="51">
        <v>50</v>
      </c>
      <c r="I508" s="51">
        <v>70</v>
      </c>
      <c r="J508" s="20" t="s">
        <v>207</v>
      </c>
      <c r="K508" s="20" t="s">
        <v>35</v>
      </c>
      <c r="L508" s="52">
        <v>2500000</v>
      </c>
      <c r="M508" s="52"/>
      <c r="N508" s="52">
        <f t="shared" si="15"/>
        <v>2500000</v>
      </c>
      <c r="O508" s="53"/>
      <c r="P508" s="54">
        <f t="shared" si="16"/>
        <v>2500000</v>
      </c>
      <c r="Q508" s="29"/>
    </row>
    <row r="509" spans="2:17" s="17" customFormat="1" ht="13.8">
      <c r="B509" s="20" t="s">
        <v>632</v>
      </c>
      <c r="C509" s="20" t="s">
        <v>0</v>
      </c>
      <c r="D509" s="20" t="s">
        <v>21</v>
      </c>
      <c r="E509" s="20" t="s">
        <v>22</v>
      </c>
      <c r="F509" s="20" t="s">
        <v>602</v>
      </c>
      <c r="G509" s="20" t="s">
        <v>155</v>
      </c>
      <c r="H509" s="20">
        <v>50</v>
      </c>
      <c r="I509" s="20">
        <v>70</v>
      </c>
      <c r="J509" s="20" t="s">
        <v>207</v>
      </c>
      <c r="K509" s="20" t="s">
        <v>32</v>
      </c>
      <c r="L509" s="52">
        <v>2500000</v>
      </c>
      <c r="M509" s="52"/>
      <c r="N509" s="52">
        <f t="shared" si="15"/>
        <v>2500000</v>
      </c>
      <c r="O509" s="53"/>
      <c r="P509" s="54">
        <f t="shared" si="16"/>
        <v>2500000</v>
      </c>
      <c r="Q509" s="28"/>
    </row>
    <row r="510" spans="2:17" s="17" customFormat="1" ht="13.8">
      <c r="B510" s="51" t="s">
        <v>633</v>
      </c>
      <c r="C510" s="20" t="s">
        <v>0</v>
      </c>
      <c r="D510" s="51" t="s">
        <v>21</v>
      </c>
      <c r="E510" s="51" t="s">
        <v>22</v>
      </c>
      <c r="F510" s="20" t="s">
        <v>602</v>
      </c>
      <c r="G510" s="20" t="s">
        <v>157</v>
      </c>
      <c r="H510" s="51">
        <v>50</v>
      </c>
      <c r="I510" s="51">
        <v>70</v>
      </c>
      <c r="J510" s="20" t="s">
        <v>207</v>
      </c>
      <c r="K510" s="20" t="s">
        <v>42</v>
      </c>
      <c r="L510" s="52">
        <v>2500000</v>
      </c>
      <c r="M510" s="52"/>
      <c r="N510" s="52">
        <f t="shared" si="15"/>
        <v>2500000</v>
      </c>
      <c r="O510" s="53"/>
      <c r="P510" s="54">
        <f t="shared" si="16"/>
        <v>2500000</v>
      </c>
      <c r="Q510" s="29"/>
    </row>
    <row r="511" spans="2:17" s="17" customFormat="1" ht="13.8">
      <c r="B511" s="20" t="s">
        <v>634</v>
      </c>
      <c r="C511" s="20" t="s">
        <v>0</v>
      </c>
      <c r="D511" s="20" t="s">
        <v>21</v>
      </c>
      <c r="E511" s="20" t="s">
        <v>22</v>
      </c>
      <c r="F511" s="20" t="s">
        <v>602</v>
      </c>
      <c r="G511" s="20" t="s">
        <v>159</v>
      </c>
      <c r="H511" s="20">
        <v>50</v>
      </c>
      <c r="I511" s="20">
        <v>70</v>
      </c>
      <c r="J511" s="20" t="s">
        <v>207</v>
      </c>
      <c r="K511" s="20" t="s">
        <v>44</v>
      </c>
      <c r="L511" s="52">
        <v>2500000</v>
      </c>
      <c r="M511" s="52"/>
      <c r="N511" s="52">
        <f t="shared" si="15"/>
        <v>2500000</v>
      </c>
      <c r="O511" s="53"/>
      <c r="P511" s="54">
        <f t="shared" si="16"/>
        <v>2500000</v>
      </c>
      <c r="Q511" s="28"/>
    </row>
    <row r="512" spans="2:17" s="17" customFormat="1" ht="13.8">
      <c r="B512" s="51" t="s">
        <v>635</v>
      </c>
      <c r="C512" s="20" t="s">
        <v>0</v>
      </c>
      <c r="D512" s="51" t="s">
        <v>21</v>
      </c>
      <c r="E512" s="51" t="s">
        <v>22</v>
      </c>
      <c r="F512" s="20" t="s">
        <v>602</v>
      </c>
      <c r="G512" s="20" t="s">
        <v>161</v>
      </c>
      <c r="H512" s="51">
        <v>50</v>
      </c>
      <c r="I512" s="51">
        <v>70</v>
      </c>
      <c r="J512" s="20" t="s">
        <v>207</v>
      </c>
      <c r="K512" s="20" t="s">
        <v>44</v>
      </c>
      <c r="L512" s="52">
        <v>2500000</v>
      </c>
      <c r="M512" s="52"/>
      <c r="N512" s="52">
        <f t="shared" si="15"/>
        <v>2500000</v>
      </c>
      <c r="O512" s="53"/>
      <c r="P512" s="54">
        <f t="shared" si="16"/>
        <v>2500000</v>
      </c>
      <c r="Q512" s="29"/>
    </row>
    <row r="513" spans="2:17" s="17" customFormat="1" ht="13.8">
      <c r="B513" s="20" t="s">
        <v>636</v>
      </c>
      <c r="C513" s="20" t="s">
        <v>0</v>
      </c>
      <c r="D513" s="20" t="s">
        <v>21</v>
      </c>
      <c r="E513" s="20" t="s">
        <v>22</v>
      </c>
      <c r="F513" s="20" t="s">
        <v>602</v>
      </c>
      <c r="G513" s="20" t="s">
        <v>163</v>
      </c>
      <c r="H513" s="20">
        <v>50</v>
      </c>
      <c r="I513" s="20">
        <v>70</v>
      </c>
      <c r="J513" s="20" t="s">
        <v>207</v>
      </c>
      <c r="K513" s="20" t="s">
        <v>42</v>
      </c>
      <c r="L513" s="52">
        <v>2500000</v>
      </c>
      <c r="M513" s="52"/>
      <c r="N513" s="52">
        <f t="shared" si="15"/>
        <v>2500000</v>
      </c>
      <c r="O513" s="53"/>
      <c r="P513" s="54">
        <f t="shared" si="16"/>
        <v>2500000</v>
      </c>
      <c r="Q513" s="28"/>
    </row>
    <row r="514" spans="2:17" s="17" customFormat="1" ht="13.8">
      <c r="B514" s="51" t="s">
        <v>637</v>
      </c>
      <c r="C514" s="20" t="s">
        <v>0</v>
      </c>
      <c r="D514" s="51" t="s">
        <v>21</v>
      </c>
      <c r="E514" s="51" t="s">
        <v>22</v>
      </c>
      <c r="F514" s="20" t="s">
        <v>602</v>
      </c>
      <c r="G514" s="20" t="s">
        <v>165</v>
      </c>
      <c r="H514" s="51">
        <v>50</v>
      </c>
      <c r="I514" s="51">
        <v>70</v>
      </c>
      <c r="J514" s="20" t="s">
        <v>207</v>
      </c>
      <c r="K514" s="20" t="s">
        <v>48</v>
      </c>
      <c r="L514" s="52">
        <v>2500000</v>
      </c>
      <c r="M514" s="52"/>
      <c r="N514" s="52">
        <f t="shared" si="15"/>
        <v>2500000</v>
      </c>
      <c r="O514" s="53"/>
      <c r="P514" s="54">
        <f t="shared" si="16"/>
        <v>2500000</v>
      </c>
      <c r="Q514" s="29"/>
    </row>
    <row r="515" spans="2:17" s="17" customFormat="1" ht="13.8">
      <c r="B515" s="20" t="s">
        <v>638</v>
      </c>
      <c r="C515" s="20" t="s">
        <v>0</v>
      </c>
      <c r="D515" s="20" t="s">
        <v>21</v>
      </c>
      <c r="E515" s="20" t="s">
        <v>22</v>
      </c>
      <c r="F515" s="20" t="s">
        <v>602</v>
      </c>
      <c r="G515" s="20" t="s">
        <v>517</v>
      </c>
      <c r="H515" s="20">
        <v>50</v>
      </c>
      <c r="I515" s="20">
        <v>70</v>
      </c>
      <c r="J515" s="20" t="s">
        <v>207</v>
      </c>
      <c r="K515" s="20" t="s">
        <v>50</v>
      </c>
      <c r="L515" s="52">
        <v>2500000</v>
      </c>
      <c r="M515" s="52"/>
      <c r="N515" s="52">
        <f t="shared" si="15"/>
        <v>2500000</v>
      </c>
      <c r="O515" s="53"/>
      <c r="P515" s="54">
        <f t="shared" si="16"/>
        <v>2500000</v>
      </c>
      <c r="Q515" s="28"/>
    </row>
    <row r="516" spans="2:17" s="17" customFormat="1" ht="13.8">
      <c r="B516" s="51" t="s">
        <v>639</v>
      </c>
      <c r="C516" s="20" t="s">
        <v>0</v>
      </c>
      <c r="D516" s="51" t="s">
        <v>21</v>
      </c>
      <c r="E516" s="51" t="s">
        <v>22</v>
      </c>
      <c r="F516" s="20" t="s">
        <v>602</v>
      </c>
      <c r="G516" s="20" t="s">
        <v>519</v>
      </c>
      <c r="H516" s="51">
        <v>50</v>
      </c>
      <c r="I516" s="51">
        <v>70</v>
      </c>
      <c r="J516" s="20" t="s">
        <v>207</v>
      </c>
      <c r="K516" s="20" t="s">
        <v>32</v>
      </c>
      <c r="L516" s="52">
        <v>2500000</v>
      </c>
      <c r="M516" s="52"/>
      <c r="N516" s="52">
        <f t="shared" si="15"/>
        <v>2500000</v>
      </c>
      <c r="O516" s="53"/>
      <c r="P516" s="54">
        <f t="shared" si="16"/>
        <v>2500000</v>
      </c>
      <c r="Q516" s="29"/>
    </row>
    <row r="517" spans="2:17" s="17" customFormat="1" ht="13.8">
      <c r="B517" s="20" t="s">
        <v>640</v>
      </c>
      <c r="C517" s="20" t="s">
        <v>0</v>
      </c>
      <c r="D517" s="20" t="s">
        <v>21</v>
      </c>
      <c r="E517" s="20" t="s">
        <v>22</v>
      </c>
      <c r="F517" s="20" t="s">
        <v>602</v>
      </c>
      <c r="G517" s="20" t="s">
        <v>521</v>
      </c>
      <c r="H517" s="20">
        <v>50</v>
      </c>
      <c r="I517" s="20">
        <v>70</v>
      </c>
      <c r="J517" s="20" t="s">
        <v>207</v>
      </c>
      <c r="K517" s="20" t="s">
        <v>35</v>
      </c>
      <c r="L517" s="52">
        <v>2500000</v>
      </c>
      <c r="M517" s="52"/>
      <c r="N517" s="52">
        <f t="shared" si="15"/>
        <v>2500000</v>
      </c>
      <c r="O517" s="53"/>
      <c r="P517" s="54">
        <f t="shared" si="16"/>
        <v>2500000</v>
      </c>
      <c r="Q517" s="28"/>
    </row>
    <row r="518" spans="2:17" s="17" customFormat="1" ht="13.8">
      <c r="B518" s="51" t="s">
        <v>641</v>
      </c>
      <c r="C518" s="20" t="s">
        <v>0</v>
      </c>
      <c r="D518" s="51" t="s">
        <v>21</v>
      </c>
      <c r="E518" s="51" t="s">
        <v>22</v>
      </c>
      <c r="F518" s="20" t="s">
        <v>602</v>
      </c>
      <c r="G518" s="20" t="s">
        <v>523</v>
      </c>
      <c r="H518" s="51">
        <v>50</v>
      </c>
      <c r="I518" s="51">
        <v>70</v>
      </c>
      <c r="J518" s="20" t="s">
        <v>207</v>
      </c>
      <c r="K518" s="20" t="s">
        <v>35</v>
      </c>
      <c r="L518" s="52">
        <v>2500000</v>
      </c>
      <c r="M518" s="52"/>
      <c r="N518" s="52">
        <f t="shared" si="15"/>
        <v>2500000</v>
      </c>
      <c r="O518" s="53"/>
      <c r="P518" s="54">
        <f t="shared" si="16"/>
        <v>2500000</v>
      </c>
      <c r="Q518" s="29"/>
    </row>
    <row r="519" spans="2:17" s="17" customFormat="1" ht="13.8">
      <c r="B519" s="20" t="s">
        <v>642</v>
      </c>
      <c r="C519" s="20" t="s">
        <v>0</v>
      </c>
      <c r="D519" s="20" t="s">
        <v>21</v>
      </c>
      <c r="E519" s="20" t="s">
        <v>22</v>
      </c>
      <c r="F519" s="20" t="s">
        <v>602</v>
      </c>
      <c r="G519" s="20" t="s">
        <v>525</v>
      </c>
      <c r="H519" s="20">
        <v>50</v>
      </c>
      <c r="I519" s="20">
        <v>84</v>
      </c>
      <c r="J519" s="20" t="s">
        <v>207</v>
      </c>
      <c r="K519" s="20" t="s">
        <v>32</v>
      </c>
      <c r="L519" s="52">
        <v>2962000</v>
      </c>
      <c r="M519" s="52"/>
      <c r="N519" s="52">
        <f t="shared" si="15"/>
        <v>2962000</v>
      </c>
      <c r="O519" s="53"/>
      <c r="P519" s="54">
        <f t="shared" si="16"/>
        <v>2962000</v>
      </c>
      <c r="Q519" s="28"/>
    </row>
    <row r="520" spans="2:17" s="17" customFormat="1" ht="13.8">
      <c r="B520" s="51" t="s">
        <v>643</v>
      </c>
      <c r="C520" s="20" t="s">
        <v>0</v>
      </c>
      <c r="D520" s="51" t="s">
        <v>21</v>
      </c>
      <c r="E520" s="51" t="s">
        <v>22</v>
      </c>
      <c r="F520" s="20" t="s">
        <v>644</v>
      </c>
      <c r="G520" s="20" t="s">
        <v>24</v>
      </c>
      <c r="H520" s="51">
        <v>50</v>
      </c>
      <c r="I520" s="51">
        <v>81</v>
      </c>
      <c r="J520" s="20" t="s">
        <v>207</v>
      </c>
      <c r="K520" s="20" t="s">
        <v>26</v>
      </c>
      <c r="L520" s="52">
        <v>2863000</v>
      </c>
      <c r="M520" s="52"/>
      <c r="N520" s="52">
        <f t="shared" ref="N520:N583" si="17">L520-M520</f>
        <v>2863000</v>
      </c>
      <c r="O520" s="53"/>
      <c r="P520" s="54">
        <f t="shared" ref="P520:P583" si="18">N520-O520</f>
        <v>2863000</v>
      </c>
      <c r="Q520" s="29"/>
    </row>
    <row r="521" spans="2:17" s="17" customFormat="1" ht="13.8">
      <c r="B521" s="20" t="s">
        <v>645</v>
      </c>
      <c r="C521" s="20" t="s">
        <v>0</v>
      </c>
      <c r="D521" s="20" t="s">
        <v>21</v>
      </c>
      <c r="E521" s="20" t="s">
        <v>22</v>
      </c>
      <c r="F521" s="20" t="s">
        <v>644</v>
      </c>
      <c r="G521" s="20" t="s">
        <v>28</v>
      </c>
      <c r="H521" s="20">
        <v>50</v>
      </c>
      <c r="I521" s="20">
        <v>70</v>
      </c>
      <c r="J521" s="20" t="s">
        <v>207</v>
      </c>
      <c r="K521" s="20" t="s">
        <v>29</v>
      </c>
      <c r="L521" s="52">
        <v>2500000</v>
      </c>
      <c r="M521" s="52"/>
      <c r="N521" s="52">
        <f t="shared" si="17"/>
        <v>2500000</v>
      </c>
      <c r="O521" s="53"/>
      <c r="P521" s="54">
        <f t="shared" si="18"/>
        <v>2500000</v>
      </c>
      <c r="Q521" s="28"/>
    </row>
    <row r="522" spans="2:17" s="17" customFormat="1" ht="13.8">
      <c r="B522" s="51" t="s">
        <v>646</v>
      </c>
      <c r="C522" s="20" t="s">
        <v>0</v>
      </c>
      <c r="D522" s="51" t="s">
        <v>21</v>
      </c>
      <c r="E522" s="51" t="s">
        <v>22</v>
      </c>
      <c r="F522" s="20" t="s">
        <v>644</v>
      </c>
      <c r="G522" s="20" t="s">
        <v>31</v>
      </c>
      <c r="H522" s="51">
        <v>50</v>
      </c>
      <c r="I522" s="51">
        <v>70</v>
      </c>
      <c r="J522" s="20" t="s">
        <v>207</v>
      </c>
      <c r="K522" s="20" t="s">
        <v>29</v>
      </c>
      <c r="L522" s="52">
        <v>2500000</v>
      </c>
      <c r="M522" s="52"/>
      <c r="N522" s="52">
        <f t="shared" si="17"/>
        <v>2500000</v>
      </c>
      <c r="O522" s="53"/>
      <c r="P522" s="54">
        <f t="shared" si="18"/>
        <v>2500000</v>
      </c>
      <c r="Q522" s="29"/>
    </row>
    <row r="523" spans="2:17" s="17" customFormat="1" ht="13.8">
      <c r="B523" s="20" t="s">
        <v>647</v>
      </c>
      <c r="C523" s="20" t="s">
        <v>0</v>
      </c>
      <c r="D523" s="20" t="s">
        <v>21</v>
      </c>
      <c r="E523" s="20" t="s">
        <v>22</v>
      </c>
      <c r="F523" s="20" t="s">
        <v>644</v>
      </c>
      <c r="G523" s="20" t="s">
        <v>34</v>
      </c>
      <c r="H523" s="20">
        <v>50</v>
      </c>
      <c r="I523" s="20">
        <v>70</v>
      </c>
      <c r="J523" s="20" t="s">
        <v>207</v>
      </c>
      <c r="K523" s="20" t="s">
        <v>26</v>
      </c>
      <c r="L523" s="52">
        <v>2500000</v>
      </c>
      <c r="M523" s="52"/>
      <c r="N523" s="52">
        <f t="shared" si="17"/>
        <v>2500000</v>
      </c>
      <c r="O523" s="53"/>
      <c r="P523" s="54">
        <f t="shared" si="18"/>
        <v>2500000</v>
      </c>
      <c r="Q523" s="28"/>
    </row>
    <row r="524" spans="2:17" s="17" customFormat="1" ht="13.8">
      <c r="B524" s="51" t="s">
        <v>648</v>
      </c>
      <c r="C524" s="20" t="s">
        <v>0</v>
      </c>
      <c r="D524" s="51" t="s">
        <v>21</v>
      </c>
      <c r="E524" s="51" t="s">
        <v>22</v>
      </c>
      <c r="F524" s="20" t="s">
        <v>644</v>
      </c>
      <c r="G524" s="20" t="s">
        <v>37</v>
      </c>
      <c r="H524" s="51">
        <v>50</v>
      </c>
      <c r="I524" s="51">
        <v>70</v>
      </c>
      <c r="J524" s="20" t="s">
        <v>207</v>
      </c>
      <c r="K524" s="20" t="s">
        <v>48</v>
      </c>
      <c r="L524" s="52">
        <v>2500000</v>
      </c>
      <c r="M524" s="52"/>
      <c r="N524" s="52">
        <f t="shared" si="17"/>
        <v>2500000</v>
      </c>
      <c r="O524" s="53"/>
      <c r="P524" s="54">
        <f t="shared" si="18"/>
        <v>2500000</v>
      </c>
      <c r="Q524" s="29"/>
    </row>
    <row r="525" spans="2:17" s="17" customFormat="1" ht="13.8">
      <c r="B525" s="20" t="s">
        <v>649</v>
      </c>
      <c r="C525" s="20" t="s">
        <v>0</v>
      </c>
      <c r="D525" s="20" t="s">
        <v>21</v>
      </c>
      <c r="E525" s="20" t="s">
        <v>22</v>
      </c>
      <c r="F525" s="20" t="s">
        <v>644</v>
      </c>
      <c r="G525" s="20" t="s">
        <v>39</v>
      </c>
      <c r="H525" s="20">
        <v>50</v>
      </c>
      <c r="I525" s="20">
        <v>70</v>
      </c>
      <c r="J525" s="20" t="s">
        <v>207</v>
      </c>
      <c r="K525" s="20" t="s">
        <v>50</v>
      </c>
      <c r="L525" s="52">
        <v>2500000</v>
      </c>
      <c r="M525" s="52"/>
      <c r="N525" s="52">
        <f t="shared" si="17"/>
        <v>2500000</v>
      </c>
      <c r="O525" s="53"/>
      <c r="P525" s="54">
        <f t="shared" si="18"/>
        <v>2500000</v>
      </c>
      <c r="Q525" s="28"/>
    </row>
    <row r="526" spans="2:17" s="17" customFormat="1" ht="13.8">
      <c r="B526" s="51" t="s">
        <v>650</v>
      </c>
      <c r="C526" s="20" t="s">
        <v>0</v>
      </c>
      <c r="D526" s="51" t="s">
        <v>21</v>
      </c>
      <c r="E526" s="51" t="s">
        <v>22</v>
      </c>
      <c r="F526" s="20" t="s">
        <v>644</v>
      </c>
      <c r="G526" s="20" t="s">
        <v>52</v>
      </c>
      <c r="H526" s="51">
        <v>50</v>
      </c>
      <c r="I526" s="51">
        <v>70</v>
      </c>
      <c r="J526" s="20" t="s">
        <v>207</v>
      </c>
      <c r="K526" s="20" t="s">
        <v>50</v>
      </c>
      <c r="L526" s="52">
        <v>2500000</v>
      </c>
      <c r="M526" s="52"/>
      <c r="N526" s="52">
        <f t="shared" si="17"/>
        <v>2500000</v>
      </c>
      <c r="O526" s="53"/>
      <c r="P526" s="54">
        <f t="shared" si="18"/>
        <v>2500000</v>
      </c>
      <c r="Q526" s="29"/>
    </row>
    <row r="527" spans="2:17" s="17" customFormat="1" ht="13.8">
      <c r="B527" s="20" t="s">
        <v>651</v>
      </c>
      <c r="C527" s="20" t="s">
        <v>0</v>
      </c>
      <c r="D527" s="20" t="s">
        <v>21</v>
      </c>
      <c r="E527" s="20" t="s">
        <v>22</v>
      </c>
      <c r="F527" s="20" t="s">
        <v>644</v>
      </c>
      <c r="G527" s="20" t="s">
        <v>54</v>
      </c>
      <c r="H527" s="20">
        <v>50</v>
      </c>
      <c r="I527" s="20">
        <v>71</v>
      </c>
      <c r="J527" s="20" t="s">
        <v>207</v>
      </c>
      <c r="K527" s="20" t="s">
        <v>48</v>
      </c>
      <c r="L527" s="52">
        <v>2533000</v>
      </c>
      <c r="M527" s="52"/>
      <c r="N527" s="52">
        <f t="shared" si="17"/>
        <v>2533000</v>
      </c>
      <c r="O527" s="53"/>
      <c r="P527" s="54">
        <f t="shared" si="18"/>
        <v>2533000</v>
      </c>
      <c r="Q527" s="28"/>
    </row>
    <row r="528" spans="2:17" s="17" customFormat="1" ht="13.8">
      <c r="B528" s="51" t="s">
        <v>652</v>
      </c>
      <c r="C528" s="20" t="s">
        <v>0</v>
      </c>
      <c r="D528" s="51" t="s">
        <v>21</v>
      </c>
      <c r="E528" s="51" t="s">
        <v>22</v>
      </c>
      <c r="F528" s="20" t="s">
        <v>644</v>
      </c>
      <c r="G528" s="20" t="s">
        <v>82</v>
      </c>
      <c r="H528" s="51">
        <v>50</v>
      </c>
      <c r="I528" s="51">
        <v>71</v>
      </c>
      <c r="J528" s="20" t="s">
        <v>207</v>
      </c>
      <c r="K528" s="20" t="s">
        <v>32</v>
      </c>
      <c r="L528" s="52">
        <v>2533000</v>
      </c>
      <c r="M528" s="52"/>
      <c r="N528" s="52">
        <f t="shared" si="17"/>
        <v>2533000</v>
      </c>
      <c r="O528" s="53"/>
      <c r="P528" s="54">
        <f t="shared" si="18"/>
        <v>2533000</v>
      </c>
      <c r="Q528" s="29"/>
    </row>
    <row r="529" spans="2:17" s="17" customFormat="1" ht="13.8">
      <c r="B529" s="20" t="s">
        <v>653</v>
      </c>
      <c r="C529" s="20" t="s">
        <v>0</v>
      </c>
      <c r="D529" s="20" t="s">
        <v>21</v>
      </c>
      <c r="E529" s="20" t="s">
        <v>22</v>
      </c>
      <c r="F529" s="20" t="s">
        <v>644</v>
      </c>
      <c r="G529" s="20" t="s">
        <v>84</v>
      </c>
      <c r="H529" s="20">
        <v>50</v>
      </c>
      <c r="I529" s="20">
        <v>70</v>
      </c>
      <c r="J529" s="20" t="s">
        <v>207</v>
      </c>
      <c r="K529" s="20" t="s">
        <v>35</v>
      </c>
      <c r="L529" s="52">
        <v>2500000</v>
      </c>
      <c r="M529" s="52"/>
      <c r="N529" s="52">
        <f t="shared" si="17"/>
        <v>2500000</v>
      </c>
      <c r="O529" s="53"/>
      <c r="P529" s="54">
        <f t="shared" si="18"/>
        <v>2500000</v>
      </c>
      <c r="Q529" s="28"/>
    </row>
    <row r="530" spans="2:17" s="17" customFormat="1" ht="13.8">
      <c r="B530" s="51" t="s">
        <v>654</v>
      </c>
      <c r="C530" s="20" t="s">
        <v>0</v>
      </c>
      <c r="D530" s="51" t="s">
        <v>21</v>
      </c>
      <c r="E530" s="51" t="s">
        <v>22</v>
      </c>
      <c r="F530" s="20" t="s">
        <v>644</v>
      </c>
      <c r="G530" s="20" t="s">
        <v>86</v>
      </c>
      <c r="H530" s="51">
        <v>50</v>
      </c>
      <c r="I530" s="51">
        <v>70</v>
      </c>
      <c r="J530" s="20" t="s">
        <v>207</v>
      </c>
      <c r="K530" s="20" t="s">
        <v>35</v>
      </c>
      <c r="L530" s="52">
        <v>2500000</v>
      </c>
      <c r="M530" s="52"/>
      <c r="N530" s="52">
        <f t="shared" si="17"/>
        <v>2500000</v>
      </c>
      <c r="O530" s="53"/>
      <c r="P530" s="54">
        <f t="shared" si="18"/>
        <v>2500000</v>
      </c>
      <c r="Q530" s="29"/>
    </row>
    <row r="531" spans="2:17" s="17" customFormat="1" ht="13.8">
      <c r="B531" s="20" t="s">
        <v>655</v>
      </c>
      <c r="C531" s="20" t="s">
        <v>0</v>
      </c>
      <c r="D531" s="20" t="s">
        <v>21</v>
      </c>
      <c r="E531" s="20" t="s">
        <v>22</v>
      </c>
      <c r="F531" s="20" t="s">
        <v>644</v>
      </c>
      <c r="G531" s="20" t="s">
        <v>88</v>
      </c>
      <c r="H531" s="20">
        <v>50</v>
      </c>
      <c r="I531" s="20">
        <v>70</v>
      </c>
      <c r="J531" s="20" t="s">
        <v>207</v>
      </c>
      <c r="K531" s="20" t="s">
        <v>32</v>
      </c>
      <c r="L531" s="52">
        <v>2500000</v>
      </c>
      <c r="M531" s="52"/>
      <c r="N531" s="52">
        <f t="shared" si="17"/>
        <v>2500000</v>
      </c>
      <c r="O531" s="53"/>
      <c r="P531" s="54">
        <f t="shared" si="18"/>
        <v>2500000</v>
      </c>
      <c r="Q531" s="28"/>
    </row>
    <row r="532" spans="2:17" s="17" customFormat="1" ht="13.8">
      <c r="B532" s="51" t="s">
        <v>656</v>
      </c>
      <c r="C532" s="20" t="s">
        <v>0</v>
      </c>
      <c r="D532" s="51" t="s">
        <v>21</v>
      </c>
      <c r="E532" s="51" t="s">
        <v>22</v>
      </c>
      <c r="F532" s="20" t="s">
        <v>644</v>
      </c>
      <c r="G532" s="20" t="s">
        <v>90</v>
      </c>
      <c r="H532" s="51">
        <v>50</v>
      </c>
      <c r="I532" s="51">
        <v>70</v>
      </c>
      <c r="J532" s="20" t="s">
        <v>207</v>
      </c>
      <c r="K532" s="20" t="s">
        <v>42</v>
      </c>
      <c r="L532" s="52">
        <v>2500000</v>
      </c>
      <c r="M532" s="52"/>
      <c r="N532" s="52">
        <f t="shared" si="17"/>
        <v>2500000</v>
      </c>
      <c r="O532" s="53"/>
      <c r="P532" s="54">
        <f t="shared" si="18"/>
        <v>2500000</v>
      </c>
      <c r="Q532" s="29"/>
    </row>
    <row r="533" spans="2:17" s="17" customFormat="1" ht="13.8">
      <c r="B533" s="20" t="s">
        <v>657</v>
      </c>
      <c r="C533" s="20" t="s">
        <v>0</v>
      </c>
      <c r="D533" s="20" t="s">
        <v>21</v>
      </c>
      <c r="E533" s="20" t="s">
        <v>22</v>
      </c>
      <c r="F533" s="20" t="s">
        <v>644</v>
      </c>
      <c r="G533" s="20" t="s">
        <v>92</v>
      </c>
      <c r="H533" s="20">
        <v>50</v>
      </c>
      <c r="I533" s="20">
        <v>70</v>
      </c>
      <c r="J533" s="20" t="s">
        <v>207</v>
      </c>
      <c r="K533" s="20" t="s">
        <v>44</v>
      </c>
      <c r="L533" s="52">
        <v>2500000</v>
      </c>
      <c r="M533" s="52"/>
      <c r="N533" s="52">
        <f t="shared" si="17"/>
        <v>2500000</v>
      </c>
      <c r="O533" s="53"/>
      <c r="P533" s="54">
        <f t="shared" si="18"/>
        <v>2500000</v>
      </c>
      <c r="Q533" s="28"/>
    </row>
    <row r="534" spans="2:17" s="17" customFormat="1" ht="13.8">
      <c r="B534" s="51" t="s">
        <v>658</v>
      </c>
      <c r="C534" s="20" t="s">
        <v>0</v>
      </c>
      <c r="D534" s="51" t="s">
        <v>21</v>
      </c>
      <c r="E534" s="51" t="s">
        <v>22</v>
      </c>
      <c r="F534" s="20" t="s">
        <v>644</v>
      </c>
      <c r="G534" s="20" t="s">
        <v>123</v>
      </c>
      <c r="H534" s="51">
        <v>50</v>
      </c>
      <c r="I534" s="51">
        <v>70</v>
      </c>
      <c r="J534" s="20" t="s">
        <v>207</v>
      </c>
      <c r="K534" s="20" t="s">
        <v>44</v>
      </c>
      <c r="L534" s="52">
        <v>2500000</v>
      </c>
      <c r="M534" s="52"/>
      <c r="N534" s="52">
        <f t="shared" si="17"/>
        <v>2500000</v>
      </c>
      <c r="O534" s="53"/>
      <c r="P534" s="54">
        <f t="shared" si="18"/>
        <v>2500000</v>
      </c>
      <c r="Q534" s="29"/>
    </row>
    <row r="535" spans="2:17" s="17" customFormat="1" ht="13.8">
      <c r="B535" s="20" t="s">
        <v>659</v>
      </c>
      <c r="C535" s="20" t="s">
        <v>0</v>
      </c>
      <c r="D535" s="20" t="s">
        <v>21</v>
      </c>
      <c r="E535" s="20" t="s">
        <v>22</v>
      </c>
      <c r="F535" s="20" t="s">
        <v>644</v>
      </c>
      <c r="G535" s="20" t="s">
        <v>125</v>
      </c>
      <c r="H535" s="20">
        <v>50</v>
      </c>
      <c r="I535" s="20">
        <v>81</v>
      </c>
      <c r="J535" s="20" t="s">
        <v>207</v>
      </c>
      <c r="K535" s="20" t="s">
        <v>42</v>
      </c>
      <c r="L535" s="52">
        <v>2863000</v>
      </c>
      <c r="M535" s="52"/>
      <c r="N535" s="52">
        <f t="shared" si="17"/>
        <v>2863000</v>
      </c>
      <c r="O535" s="53"/>
      <c r="P535" s="54">
        <f t="shared" si="18"/>
        <v>2863000</v>
      </c>
      <c r="Q535" s="28"/>
    </row>
    <row r="536" spans="2:17" s="17" customFormat="1" ht="13.8">
      <c r="B536" s="51" t="s">
        <v>660</v>
      </c>
      <c r="C536" s="20" t="s">
        <v>0</v>
      </c>
      <c r="D536" s="51" t="s">
        <v>21</v>
      </c>
      <c r="E536" s="51" t="s">
        <v>22</v>
      </c>
      <c r="F536" s="20" t="s">
        <v>661</v>
      </c>
      <c r="G536" s="20" t="s">
        <v>24</v>
      </c>
      <c r="H536" s="51">
        <v>50</v>
      </c>
      <c r="I536" s="51">
        <v>85</v>
      </c>
      <c r="J536" s="20" t="s">
        <v>207</v>
      </c>
      <c r="K536" s="20" t="s">
        <v>32</v>
      </c>
      <c r="L536" s="52">
        <v>2995000</v>
      </c>
      <c r="M536" s="52"/>
      <c r="N536" s="52">
        <f t="shared" si="17"/>
        <v>2995000</v>
      </c>
      <c r="O536" s="53"/>
      <c r="P536" s="54">
        <f t="shared" si="18"/>
        <v>2995000</v>
      </c>
      <c r="Q536" s="29"/>
    </row>
    <row r="537" spans="2:17" s="17" customFormat="1" ht="13.8">
      <c r="B537" s="20" t="s">
        <v>662</v>
      </c>
      <c r="C537" s="20" t="s">
        <v>0</v>
      </c>
      <c r="D537" s="20" t="s">
        <v>21</v>
      </c>
      <c r="E537" s="20" t="s">
        <v>22</v>
      </c>
      <c r="F537" s="20" t="s">
        <v>661</v>
      </c>
      <c r="G537" s="20" t="s">
        <v>28</v>
      </c>
      <c r="H537" s="20">
        <v>50</v>
      </c>
      <c r="I537" s="20">
        <v>70</v>
      </c>
      <c r="J537" s="20" t="s">
        <v>207</v>
      </c>
      <c r="K537" s="20" t="s">
        <v>35</v>
      </c>
      <c r="L537" s="52">
        <v>2500000</v>
      </c>
      <c r="M537" s="52"/>
      <c r="N537" s="52">
        <f t="shared" si="17"/>
        <v>2500000</v>
      </c>
      <c r="O537" s="53"/>
      <c r="P537" s="54">
        <f t="shared" si="18"/>
        <v>2500000</v>
      </c>
      <c r="Q537" s="28"/>
    </row>
    <row r="538" spans="2:17" s="17" customFormat="1" ht="13.8">
      <c r="B538" s="51" t="s">
        <v>663</v>
      </c>
      <c r="C538" s="20" t="s">
        <v>0</v>
      </c>
      <c r="D538" s="51" t="s">
        <v>21</v>
      </c>
      <c r="E538" s="51" t="s">
        <v>22</v>
      </c>
      <c r="F538" s="20" t="s">
        <v>661</v>
      </c>
      <c r="G538" s="20" t="s">
        <v>31</v>
      </c>
      <c r="H538" s="51">
        <v>50</v>
      </c>
      <c r="I538" s="51">
        <v>70</v>
      </c>
      <c r="J538" s="20" t="s">
        <v>207</v>
      </c>
      <c r="K538" s="20" t="s">
        <v>35</v>
      </c>
      <c r="L538" s="52">
        <v>2500000</v>
      </c>
      <c r="M538" s="52"/>
      <c r="N538" s="52">
        <f t="shared" si="17"/>
        <v>2500000</v>
      </c>
      <c r="O538" s="53"/>
      <c r="P538" s="54">
        <f t="shared" si="18"/>
        <v>2500000</v>
      </c>
      <c r="Q538" s="29"/>
    </row>
    <row r="539" spans="2:17" s="17" customFormat="1" ht="13.8">
      <c r="B539" s="20" t="s">
        <v>664</v>
      </c>
      <c r="C539" s="20" t="s">
        <v>0</v>
      </c>
      <c r="D539" s="20" t="s">
        <v>21</v>
      </c>
      <c r="E539" s="20" t="s">
        <v>22</v>
      </c>
      <c r="F539" s="20" t="s">
        <v>661</v>
      </c>
      <c r="G539" s="20" t="s">
        <v>34</v>
      </c>
      <c r="H539" s="20">
        <v>50</v>
      </c>
      <c r="I539" s="20">
        <v>70</v>
      </c>
      <c r="J539" s="20" t="s">
        <v>207</v>
      </c>
      <c r="K539" s="20" t="s">
        <v>32</v>
      </c>
      <c r="L539" s="52">
        <v>2500000</v>
      </c>
      <c r="M539" s="52"/>
      <c r="N539" s="52">
        <f t="shared" si="17"/>
        <v>2500000</v>
      </c>
      <c r="O539" s="53"/>
      <c r="P539" s="54">
        <f t="shared" si="18"/>
        <v>2500000</v>
      </c>
      <c r="Q539" s="28"/>
    </row>
    <row r="540" spans="2:17" s="17" customFormat="1" ht="13.8">
      <c r="B540" s="51" t="s">
        <v>665</v>
      </c>
      <c r="C540" s="20" t="s">
        <v>0</v>
      </c>
      <c r="D540" s="51" t="s">
        <v>21</v>
      </c>
      <c r="E540" s="51" t="s">
        <v>22</v>
      </c>
      <c r="F540" s="20" t="s">
        <v>661</v>
      </c>
      <c r="G540" s="20" t="s">
        <v>37</v>
      </c>
      <c r="H540" s="51">
        <v>50</v>
      </c>
      <c r="I540" s="51">
        <v>70</v>
      </c>
      <c r="J540" s="20" t="s">
        <v>207</v>
      </c>
      <c r="K540" s="20" t="s">
        <v>42</v>
      </c>
      <c r="L540" s="52">
        <v>2500000</v>
      </c>
      <c r="M540" s="52"/>
      <c r="N540" s="52">
        <f t="shared" si="17"/>
        <v>2500000</v>
      </c>
      <c r="O540" s="53"/>
      <c r="P540" s="54">
        <f t="shared" si="18"/>
        <v>2500000</v>
      </c>
      <c r="Q540" s="29"/>
    </row>
    <row r="541" spans="2:17" s="17" customFormat="1" ht="13.8">
      <c r="B541" s="20" t="s">
        <v>666</v>
      </c>
      <c r="C541" s="20" t="s">
        <v>0</v>
      </c>
      <c r="D541" s="20" t="s">
        <v>21</v>
      </c>
      <c r="E541" s="20" t="s">
        <v>22</v>
      </c>
      <c r="F541" s="20" t="s">
        <v>661</v>
      </c>
      <c r="G541" s="20" t="s">
        <v>39</v>
      </c>
      <c r="H541" s="20">
        <v>50</v>
      </c>
      <c r="I541" s="20">
        <v>70</v>
      </c>
      <c r="J541" s="20" t="s">
        <v>207</v>
      </c>
      <c r="K541" s="20" t="s">
        <v>44</v>
      </c>
      <c r="L541" s="52">
        <v>2500000</v>
      </c>
      <c r="M541" s="52"/>
      <c r="N541" s="52">
        <f t="shared" si="17"/>
        <v>2500000</v>
      </c>
      <c r="O541" s="53"/>
      <c r="P541" s="54">
        <f t="shared" si="18"/>
        <v>2500000</v>
      </c>
      <c r="Q541" s="28"/>
    </row>
    <row r="542" spans="2:17" s="17" customFormat="1" ht="13.8">
      <c r="B542" s="51" t="s">
        <v>667</v>
      </c>
      <c r="C542" s="20" t="s">
        <v>0</v>
      </c>
      <c r="D542" s="51" t="s">
        <v>21</v>
      </c>
      <c r="E542" s="51" t="s">
        <v>22</v>
      </c>
      <c r="F542" s="20" t="s">
        <v>661</v>
      </c>
      <c r="G542" s="20" t="s">
        <v>52</v>
      </c>
      <c r="H542" s="51">
        <v>50</v>
      </c>
      <c r="I542" s="51">
        <v>70</v>
      </c>
      <c r="J542" s="20" t="s">
        <v>207</v>
      </c>
      <c r="K542" s="20" t="s">
        <v>44</v>
      </c>
      <c r="L542" s="52">
        <v>2500000</v>
      </c>
      <c r="M542" s="52"/>
      <c r="N542" s="52">
        <f t="shared" si="17"/>
        <v>2500000</v>
      </c>
      <c r="O542" s="53"/>
      <c r="P542" s="54">
        <f t="shared" si="18"/>
        <v>2500000</v>
      </c>
      <c r="Q542" s="29"/>
    </row>
    <row r="543" spans="2:17" s="17" customFormat="1" ht="13.8">
      <c r="B543" s="20" t="s">
        <v>668</v>
      </c>
      <c r="C543" s="20" t="s">
        <v>0</v>
      </c>
      <c r="D543" s="20" t="s">
        <v>21</v>
      </c>
      <c r="E543" s="20" t="s">
        <v>22</v>
      </c>
      <c r="F543" s="20" t="s">
        <v>661</v>
      </c>
      <c r="G543" s="20" t="s">
        <v>54</v>
      </c>
      <c r="H543" s="20">
        <v>50</v>
      </c>
      <c r="I543" s="20">
        <v>70</v>
      </c>
      <c r="J543" s="20" t="s">
        <v>207</v>
      </c>
      <c r="K543" s="20" t="s">
        <v>42</v>
      </c>
      <c r="L543" s="52">
        <v>2500000</v>
      </c>
      <c r="M543" s="52"/>
      <c r="N543" s="52">
        <f t="shared" si="17"/>
        <v>2500000</v>
      </c>
      <c r="O543" s="53"/>
      <c r="P543" s="54">
        <f t="shared" si="18"/>
        <v>2500000</v>
      </c>
      <c r="Q543" s="28"/>
    </row>
    <row r="544" spans="2:17" s="17" customFormat="1" ht="13.8">
      <c r="B544" s="51" t="s">
        <v>669</v>
      </c>
      <c r="C544" s="20" t="s">
        <v>0</v>
      </c>
      <c r="D544" s="51" t="s">
        <v>21</v>
      </c>
      <c r="E544" s="51" t="s">
        <v>22</v>
      </c>
      <c r="F544" s="20" t="s">
        <v>661</v>
      </c>
      <c r="G544" s="20" t="s">
        <v>82</v>
      </c>
      <c r="H544" s="51">
        <v>50</v>
      </c>
      <c r="I544" s="51">
        <v>70</v>
      </c>
      <c r="J544" s="20" t="s">
        <v>207</v>
      </c>
      <c r="K544" s="20" t="s">
        <v>29</v>
      </c>
      <c r="L544" s="52">
        <v>2500000</v>
      </c>
      <c r="M544" s="52"/>
      <c r="N544" s="52">
        <f t="shared" si="17"/>
        <v>2500000</v>
      </c>
      <c r="O544" s="53"/>
      <c r="P544" s="54">
        <f t="shared" si="18"/>
        <v>2500000</v>
      </c>
      <c r="Q544" s="29"/>
    </row>
    <row r="545" spans="2:17" s="17" customFormat="1" ht="13.8">
      <c r="B545" s="20" t="s">
        <v>670</v>
      </c>
      <c r="C545" s="20" t="s">
        <v>0</v>
      </c>
      <c r="D545" s="20" t="s">
        <v>21</v>
      </c>
      <c r="E545" s="20" t="s">
        <v>22</v>
      </c>
      <c r="F545" s="20" t="s">
        <v>661</v>
      </c>
      <c r="G545" s="20" t="s">
        <v>84</v>
      </c>
      <c r="H545" s="20">
        <v>50</v>
      </c>
      <c r="I545" s="20">
        <v>70</v>
      </c>
      <c r="J545" s="20" t="s">
        <v>207</v>
      </c>
      <c r="K545" s="20" t="s">
        <v>26</v>
      </c>
      <c r="L545" s="52">
        <v>2500000</v>
      </c>
      <c r="M545" s="52"/>
      <c r="N545" s="52">
        <f t="shared" si="17"/>
        <v>2500000</v>
      </c>
      <c r="O545" s="53"/>
      <c r="P545" s="54">
        <f t="shared" si="18"/>
        <v>2500000</v>
      </c>
      <c r="Q545" s="28"/>
    </row>
    <row r="546" spans="2:17" s="17" customFormat="1" ht="13.8">
      <c r="B546" s="51" t="s">
        <v>671</v>
      </c>
      <c r="C546" s="20" t="s">
        <v>0</v>
      </c>
      <c r="D546" s="51" t="s">
        <v>21</v>
      </c>
      <c r="E546" s="51" t="s">
        <v>22</v>
      </c>
      <c r="F546" s="20" t="s">
        <v>661</v>
      </c>
      <c r="G546" s="20" t="s">
        <v>86</v>
      </c>
      <c r="H546" s="51">
        <v>50</v>
      </c>
      <c r="I546" s="51">
        <v>70</v>
      </c>
      <c r="J546" s="20" t="s">
        <v>207</v>
      </c>
      <c r="K546" s="20" t="s">
        <v>26</v>
      </c>
      <c r="L546" s="52">
        <v>2500000</v>
      </c>
      <c r="M546" s="52"/>
      <c r="N546" s="52">
        <f t="shared" si="17"/>
        <v>2500000</v>
      </c>
      <c r="O546" s="53"/>
      <c r="P546" s="54">
        <f t="shared" si="18"/>
        <v>2500000</v>
      </c>
      <c r="Q546" s="29"/>
    </row>
    <row r="547" spans="2:17" s="17" customFormat="1" ht="13.8">
      <c r="B547" s="20" t="s">
        <v>672</v>
      </c>
      <c r="C547" s="20" t="s">
        <v>0</v>
      </c>
      <c r="D547" s="20" t="s">
        <v>21</v>
      </c>
      <c r="E547" s="20" t="s">
        <v>22</v>
      </c>
      <c r="F547" s="20" t="s">
        <v>661</v>
      </c>
      <c r="G547" s="20" t="s">
        <v>88</v>
      </c>
      <c r="H547" s="20">
        <v>50</v>
      </c>
      <c r="I547" s="20">
        <v>70</v>
      </c>
      <c r="J547" s="20" t="s">
        <v>207</v>
      </c>
      <c r="K547" s="20" t="s">
        <v>29</v>
      </c>
      <c r="L547" s="52">
        <v>2500000</v>
      </c>
      <c r="M547" s="52"/>
      <c r="N547" s="52">
        <f t="shared" si="17"/>
        <v>2500000</v>
      </c>
      <c r="O547" s="53"/>
      <c r="P547" s="54">
        <f t="shared" si="18"/>
        <v>2500000</v>
      </c>
      <c r="Q547" s="28"/>
    </row>
    <row r="548" spans="2:17" s="17" customFormat="1" ht="13.8">
      <c r="B548" s="51" t="s">
        <v>673</v>
      </c>
      <c r="C548" s="20" t="s">
        <v>0</v>
      </c>
      <c r="D548" s="51" t="s">
        <v>21</v>
      </c>
      <c r="E548" s="51" t="s">
        <v>22</v>
      </c>
      <c r="F548" s="20" t="s">
        <v>661</v>
      </c>
      <c r="G548" s="20" t="s">
        <v>90</v>
      </c>
      <c r="H548" s="51">
        <v>50</v>
      </c>
      <c r="I548" s="51">
        <v>70</v>
      </c>
      <c r="J548" s="20" t="s">
        <v>207</v>
      </c>
      <c r="K548" s="20" t="s">
        <v>50</v>
      </c>
      <c r="L548" s="52">
        <v>2500000</v>
      </c>
      <c r="M548" s="52"/>
      <c r="N548" s="52">
        <f t="shared" si="17"/>
        <v>2500000</v>
      </c>
      <c r="O548" s="53"/>
      <c r="P548" s="54">
        <f t="shared" si="18"/>
        <v>2500000</v>
      </c>
      <c r="Q548" s="29"/>
    </row>
    <row r="549" spans="2:17" s="17" customFormat="1" ht="13.8">
      <c r="B549" s="20" t="s">
        <v>674</v>
      </c>
      <c r="C549" s="20" t="s">
        <v>0</v>
      </c>
      <c r="D549" s="20" t="s">
        <v>21</v>
      </c>
      <c r="E549" s="20" t="s">
        <v>22</v>
      </c>
      <c r="F549" s="20" t="s">
        <v>661</v>
      </c>
      <c r="G549" s="20" t="s">
        <v>92</v>
      </c>
      <c r="H549" s="20">
        <v>50</v>
      </c>
      <c r="I549" s="20">
        <v>70</v>
      </c>
      <c r="J549" s="20" t="s">
        <v>207</v>
      </c>
      <c r="K549" s="20" t="s">
        <v>48</v>
      </c>
      <c r="L549" s="52">
        <v>2500000</v>
      </c>
      <c r="M549" s="52"/>
      <c r="N549" s="52">
        <f t="shared" si="17"/>
        <v>2500000</v>
      </c>
      <c r="O549" s="53"/>
      <c r="P549" s="54">
        <f t="shared" si="18"/>
        <v>2500000</v>
      </c>
      <c r="Q549" s="28"/>
    </row>
    <row r="550" spans="2:17" s="17" customFormat="1" ht="13.8">
      <c r="B550" s="51" t="s">
        <v>675</v>
      </c>
      <c r="C550" s="20" t="s">
        <v>0</v>
      </c>
      <c r="D550" s="51" t="s">
        <v>21</v>
      </c>
      <c r="E550" s="51" t="s">
        <v>22</v>
      </c>
      <c r="F550" s="20" t="s">
        <v>661</v>
      </c>
      <c r="G550" s="20" t="s">
        <v>123</v>
      </c>
      <c r="H550" s="51">
        <v>50</v>
      </c>
      <c r="I550" s="51">
        <v>70</v>
      </c>
      <c r="J550" s="20" t="s">
        <v>207</v>
      </c>
      <c r="K550" s="20" t="s">
        <v>48</v>
      </c>
      <c r="L550" s="52">
        <v>2500000</v>
      </c>
      <c r="M550" s="52"/>
      <c r="N550" s="52">
        <f t="shared" si="17"/>
        <v>2500000</v>
      </c>
      <c r="O550" s="53"/>
      <c r="P550" s="54">
        <f t="shared" si="18"/>
        <v>2500000</v>
      </c>
      <c r="Q550" s="29"/>
    </row>
    <row r="551" spans="2:17" s="17" customFormat="1" ht="13.8">
      <c r="B551" s="20" t="s">
        <v>676</v>
      </c>
      <c r="C551" s="20" t="s">
        <v>0</v>
      </c>
      <c r="D551" s="20" t="s">
        <v>21</v>
      </c>
      <c r="E551" s="20" t="s">
        <v>22</v>
      </c>
      <c r="F551" s="20" t="s">
        <v>661</v>
      </c>
      <c r="G551" s="20" t="s">
        <v>125</v>
      </c>
      <c r="H551" s="20">
        <v>50</v>
      </c>
      <c r="I551" s="20">
        <v>70</v>
      </c>
      <c r="J551" s="20" t="s">
        <v>207</v>
      </c>
      <c r="K551" s="20" t="s">
        <v>50</v>
      </c>
      <c r="L551" s="52">
        <v>2500000</v>
      </c>
      <c r="M551" s="52"/>
      <c r="N551" s="52">
        <f t="shared" si="17"/>
        <v>2500000</v>
      </c>
      <c r="O551" s="53"/>
      <c r="P551" s="54">
        <f t="shared" si="18"/>
        <v>2500000</v>
      </c>
      <c r="Q551" s="28"/>
    </row>
    <row r="552" spans="2:17" s="17" customFormat="1" ht="13.8">
      <c r="B552" s="51" t="s">
        <v>677</v>
      </c>
      <c r="C552" s="20" t="s">
        <v>0</v>
      </c>
      <c r="D552" s="51" t="s">
        <v>21</v>
      </c>
      <c r="E552" s="51" t="s">
        <v>22</v>
      </c>
      <c r="F552" s="20" t="s">
        <v>661</v>
      </c>
      <c r="G552" s="20" t="s">
        <v>127</v>
      </c>
      <c r="H552" s="51">
        <v>50</v>
      </c>
      <c r="I552" s="51">
        <v>70</v>
      </c>
      <c r="J552" s="20" t="s">
        <v>207</v>
      </c>
      <c r="K552" s="20" t="s">
        <v>32</v>
      </c>
      <c r="L552" s="52">
        <v>2500000</v>
      </c>
      <c r="M552" s="52"/>
      <c r="N552" s="52">
        <f t="shared" si="17"/>
        <v>2500000</v>
      </c>
      <c r="O552" s="53"/>
      <c r="P552" s="54">
        <f t="shared" si="18"/>
        <v>2500000</v>
      </c>
      <c r="Q552" s="29"/>
    </row>
    <row r="553" spans="2:17" s="17" customFormat="1" ht="13.8">
      <c r="B553" s="20" t="s">
        <v>678</v>
      </c>
      <c r="C553" s="20" t="s">
        <v>0</v>
      </c>
      <c r="D553" s="20" t="s">
        <v>21</v>
      </c>
      <c r="E553" s="20" t="s">
        <v>22</v>
      </c>
      <c r="F553" s="20" t="s">
        <v>661</v>
      </c>
      <c r="G553" s="20" t="s">
        <v>129</v>
      </c>
      <c r="H553" s="20">
        <v>50</v>
      </c>
      <c r="I553" s="20">
        <v>70</v>
      </c>
      <c r="J553" s="20" t="s">
        <v>207</v>
      </c>
      <c r="K553" s="20" t="s">
        <v>35</v>
      </c>
      <c r="L553" s="52">
        <v>2500000</v>
      </c>
      <c r="M553" s="52"/>
      <c r="N553" s="52">
        <f t="shared" si="17"/>
        <v>2500000</v>
      </c>
      <c r="O553" s="53"/>
      <c r="P553" s="54">
        <f t="shared" si="18"/>
        <v>2500000</v>
      </c>
      <c r="Q553" s="28"/>
    </row>
    <row r="554" spans="2:17" s="17" customFormat="1" ht="13.8">
      <c r="B554" s="51" t="s">
        <v>679</v>
      </c>
      <c r="C554" s="20" t="s">
        <v>0</v>
      </c>
      <c r="D554" s="51" t="s">
        <v>21</v>
      </c>
      <c r="E554" s="51" t="s">
        <v>22</v>
      </c>
      <c r="F554" s="20" t="s">
        <v>661</v>
      </c>
      <c r="G554" s="20" t="s">
        <v>131</v>
      </c>
      <c r="H554" s="51">
        <v>50</v>
      </c>
      <c r="I554" s="51">
        <v>70</v>
      </c>
      <c r="J554" s="20" t="s">
        <v>207</v>
      </c>
      <c r="K554" s="20" t="s">
        <v>35</v>
      </c>
      <c r="L554" s="52">
        <v>2500000</v>
      </c>
      <c r="M554" s="52"/>
      <c r="N554" s="52">
        <f t="shared" si="17"/>
        <v>2500000</v>
      </c>
      <c r="O554" s="53"/>
      <c r="P554" s="54">
        <f t="shared" si="18"/>
        <v>2500000</v>
      </c>
      <c r="Q554" s="29"/>
    </row>
    <row r="555" spans="2:17" s="17" customFormat="1" ht="13.8">
      <c r="B555" s="20" t="s">
        <v>680</v>
      </c>
      <c r="C555" s="20" t="s">
        <v>0</v>
      </c>
      <c r="D555" s="20" t="s">
        <v>21</v>
      </c>
      <c r="E555" s="20" t="s">
        <v>22</v>
      </c>
      <c r="F555" s="20" t="s">
        <v>661</v>
      </c>
      <c r="G555" s="20" t="s">
        <v>133</v>
      </c>
      <c r="H555" s="20">
        <v>50</v>
      </c>
      <c r="I555" s="20">
        <v>110</v>
      </c>
      <c r="J555" s="20" t="s">
        <v>207</v>
      </c>
      <c r="K555" s="20" t="s">
        <v>32</v>
      </c>
      <c r="L555" s="52">
        <v>3820000</v>
      </c>
      <c r="M555" s="52">
        <v>220000</v>
      </c>
      <c r="N555" s="52">
        <f t="shared" si="17"/>
        <v>3600000</v>
      </c>
      <c r="O555" s="53"/>
      <c r="P555" s="54">
        <f t="shared" si="18"/>
        <v>3600000</v>
      </c>
      <c r="Q555" s="28"/>
    </row>
    <row r="556" spans="2:17" s="17" customFormat="1" ht="13.8">
      <c r="B556" s="51" t="s">
        <v>681</v>
      </c>
      <c r="C556" s="20" t="s">
        <v>0</v>
      </c>
      <c r="D556" s="51" t="s">
        <v>682</v>
      </c>
      <c r="E556" s="51" t="s">
        <v>22</v>
      </c>
      <c r="F556" s="20" t="s">
        <v>683</v>
      </c>
      <c r="G556" s="20" t="s">
        <v>24</v>
      </c>
      <c r="H556" s="51" t="s">
        <v>99</v>
      </c>
      <c r="I556" s="51">
        <v>100</v>
      </c>
      <c r="J556" s="20" t="s">
        <v>684</v>
      </c>
      <c r="K556" s="20"/>
      <c r="L556" s="52">
        <v>0</v>
      </c>
      <c r="M556" s="52"/>
      <c r="N556" s="52">
        <f t="shared" si="17"/>
        <v>0</v>
      </c>
      <c r="O556" s="53"/>
      <c r="P556" s="54">
        <f t="shared" si="18"/>
        <v>0</v>
      </c>
      <c r="Q556" s="29"/>
    </row>
    <row r="557" spans="2:17" s="17" customFormat="1" ht="13.8">
      <c r="B557" s="20" t="s">
        <v>685</v>
      </c>
      <c r="C557" s="20" t="s">
        <v>0</v>
      </c>
      <c r="D557" s="20" t="s">
        <v>682</v>
      </c>
      <c r="E557" s="20" t="s">
        <v>22</v>
      </c>
      <c r="F557" s="20" t="s">
        <v>683</v>
      </c>
      <c r="G557" s="20" t="s">
        <v>28</v>
      </c>
      <c r="H557" s="20" t="s">
        <v>99</v>
      </c>
      <c r="I557" s="20">
        <v>81</v>
      </c>
      <c r="J557" s="20" t="s">
        <v>684</v>
      </c>
      <c r="K557" s="20"/>
      <c r="L557" s="52">
        <v>0</v>
      </c>
      <c r="M557" s="52"/>
      <c r="N557" s="52">
        <f t="shared" si="17"/>
        <v>0</v>
      </c>
      <c r="O557" s="53"/>
      <c r="P557" s="54">
        <f t="shared" si="18"/>
        <v>0</v>
      </c>
      <c r="Q557" s="28"/>
    </row>
    <row r="558" spans="2:17" s="17" customFormat="1" ht="13.8">
      <c r="B558" s="51" t="s">
        <v>686</v>
      </c>
      <c r="C558" s="20" t="s">
        <v>0</v>
      </c>
      <c r="D558" s="51" t="s">
        <v>682</v>
      </c>
      <c r="E558" s="51" t="s">
        <v>22</v>
      </c>
      <c r="F558" s="20" t="s">
        <v>683</v>
      </c>
      <c r="G558" s="20" t="s">
        <v>31</v>
      </c>
      <c r="H558" s="51" t="s">
        <v>99</v>
      </c>
      <c r="I558" s="51">
        <v>81</v>
      </c>
      <c r="J558" s="20" t="s">
        <v>684</v>
      </c>
      <c r="K558" s="20"/>
      <c r="L558" s="52">
        <v>0</v>
      </c>
      <c r="M558" s="52"/>
      <c r="N558" s="52">
        <f t="shared" si="17"/>
        <v>0</v>
      </c>
      <c r="O558" s="53"/>
      <c r="P558" s="54">
        <f t="shared" si="18"/>
        <v>0</v>
      </c>
      <c r="Q558" s="29"/>
    </row>
    <row r="559" spans="2:17" s="17" customFormat="1" ht="13.8">
      <c r="B559" s="20" t="s">
        <v>687</v>
      </c>
      <c r="C559" s="20" t="s">
        <v>0</v>
      </c>
      <c r="D559" s="20" t="s">
        <v>682</v>
      </c>
      <c r="E559" s="20" t="s">
        <v>22</v>
      </c>
      <c r="F559" s="20" t="s">
        <v>683</v>
      </c>
      <c r="G559" s="20" t="s">
        <v>34</v>
      </c>
      <c r="H559" s="20" t="s">
        <v>99</v>
      </c>
      <c r="I559" s="20">
        <v>81</v>
      </c>
      <c r="J559" s="20" t="s">
        <v>684</v>
      </c>
      <c r="K559" s="20"/>
      <c r="L559" s="52">
        <v>0</v>
      </c>
      <c r="M559" s="52"/>
      <c r="N559" s="52">
        <f t="shared" si="17"/>
        <v>0</v>
      </c>
      <c r="O559" s="53"/>
      <c r="P559" s="54">
        <f t="shared" si="18"/>
        <v>0</v>
      </c>
      <c r="Q559" s="28"/>
    </row>
    <row r="560" spans="2:17" s="17" customFormat="1" ht="13.8">
      <c r="B560" s="51" t="s">
        <v>688</v>
      </c>
      <c r="C560" s="20" t="s">
        <v>0</v>
      </c>
      <c r="D560" s="51" t="s">
        <v>682</v>
      </c>
      <c r="E560" s="51" t="s">
        <v>22</v>
      </c>
      <c r="F560" s="20" t="s">
        <v>683</v>
      </c>
      <c r="G560" s="20" t="s">
        <v>37</v>
      </c>
      <c r="H560" s="51" t="s">
        <v>99</v>
      </c>
      <c r="I560" s="51">
        <v>81</v>
      </c>
      <c r="J560" s="20" t="s">
        <v>684</v>
      </c>
      <c r="K560" s="20"/>
      <c r="L560" s="52">
        <v>0</v>
      </c>
      <c r="M560" s="52"/>
      <c r="N560" s="52">
        <f t="shared" si="17"/>
        <v>0</v>
      </c>
      <c r="O560" s="53"/>
      <c r="P560" s="54">
        <f t="shared" si="18"/>
        <v>0</v>
      </c>
      <c r="Q560" s="29"/>
    </row>
    <row r="561" spans="2:17" s="17" customFormat="1" ht="13.8">
      <c r="B561" s="20" t="s">
        <v>689</v>
      </c>
      <c r="C561" s="20" t="s">
        <v>0</v>
      </c>
      <c r="D561" s="20" t="s">
        <v>682</v>
      </c>
      <c r="E561" s="20" t="s">
        <v>22</v>
      </c>
      <c r="F561" s="20" t="s">
        <v>683</v>
      </c>
      <c r="G561" s="20" t="s">
        <v>39</v>
      </c>
      <c r="H561" s="20" t="s">
        <v>99</v>
      </c>
      <c r="I561" s="20">
        <v>81</v>
      </c>
      <c r="J561" s="20" t="s">
        <v>684</v>
      </c>
      <c r="K561" s="20"/>
      <c r="L561" s="52">
        <v>0</v>
      </c>
      <c r="M561" s="52"/>
      <c r="N561" s="52">
        <f t="shared" si="17"/>
        <v>0</v>
      </c>
      <c r="O561" s="53"/>
      <c r="P561" s="54">
        <f t="shared" si="18"/>
        <v>0</v>
      </c>
      <c r="Q561" s="28"/>
    </row>
    <row r="562" spans="2:17" s="17" customFormat="1" ht="13.8">
      <c r="B562" s="51" t="s">
        <v>690</v>
      </c>
      <c r="C562" s="20" t="s">
        <v>0</v>
      </c>
      <c r="D562" s="51" t="s">
        <v>682</v>
      </c>
      <c r="E562" s="51" t="s">
        <v>22</v>
      </c>
      <c r="F562" s="20" t="s">
        <v>683</v>
      </c>
      <c r="G562" s="20" t="s">
        <v>52</v>
      </c>
      <c r="H562" s="51" t="s">
        <v>99</v>
      </c>
      <c r="I562" s="51">
        <v>80</v>
      </c>
      <c r="J562" s="20" t="s">
        <v>684</v>
      </c>
      <c r="K562" s="20"/>
      <c r="L562" s="52">
        <v>0</v>
      </c>
      <c r="M562" s="52"/>
      <c r="N562" s="52">
        <f t="shared" si="17"/>
        <v>0</v>
      </c>
      <c r="O562" s="53"/>
      <c r="P562" s="54">
        <f t="shared" si="18"/>
        <v>0</v>
      </c>
      <c r="Q562" s="29"/>
    </row>
    <row r="563" spans="2:17" s="17" customFormat="1" ht="13.8">
      <c r="B563" s="20" t="s">
        <v>691</v>
      </c>
      <c r="C563" s="20" t="s">
        <v>0</v>
      </c>
      <c r="D563" s="20" t="s">
        <v>682</v>
      </c>
      <c r="E563" s="20" t="s">
        <v>22</v>
      </c>
      <c r="F563" s="20" t="s">
        <v>683</v>
      </c>
      <c r="G563" s="20" t="s">
        <v>54</v>
      </c>
      <c r="H563" s="20" t="s">
        <v>99</v>
      </c>
      <c r="I563" s="20">
        <v>80</v>
      </c>
      <c r="J563" s="20" t="s">
        <v>684</v>
      </c>
      <c r="K563" s="20"/>
      <c r="L563" s="52">
        <v>0</v>
      </c>
      <c r="M563" s="52"/>
      <c r="N563" s="52">
        <f t="shared" si="17"/>
        <v>0</v>
      </c>
      <c r="O563" s="53"/>
      <c r="P563" s="54">
        <f t="shared" si="18"/>
        <v>0</v>
      </c>
      <c r="Q563" s="28"/>
    </row>
    <row r="564" spans="2:17" s="17" customFormat="1" ht="13.8">
      <c r="B564" s="51" t="s">
        <v>692</v>
      </c>
      <c r="C564" s="20" t="s">
        <v>0</v>
      </c>
      <c r="D564" s="51" t="s">
        <v>682</v>
      </c>
      <c r="E564" s="51" t="s">
        <v>22</v>
      </c>
      <c r="F564" s="20" t="s">
        <v>683</v>
      </c>
      <c r="G564" s="20" t="s">
        <v>82</v>
      </c>
      <c r="H564" s="51" t="s">
        <v>99</v>
      </c>
      <c r="I564" s="51">
        <v>80</v>
      </c>
      <c r="J564" s="20" t="s">
        <v>684</v>
      </c>
      <c r="K564" s="20"/>
      <c r="L564" s="52">
        <v>0</v>
      </c>
      <c r="M564" s="52"/>
      <c r="N564" s="52">
        <f t="shared" si="17"/>
        <v>0</v>
      </c>
      <c r="O564" s="53"/>
      <c r="P564" s="54">
        <f t="shared" si="18"/>
        <v>0</v>
      </c>
      <c r="Q564" s="29"/>
    </row>
    <row r="565" spans="2:17" s="17" customFormat="1" ht="13.8">
      <c r="B565" s="20" t="s">
        <v>693</v>
      </c>
      <c r="C565" s="20" t="s">
        <v>0</v>
      </c>
      <c r="D565" s="20" t="s">
        <v>682</v>
      </c>
      <c r="E565" s="20" t="s">
        <v>22</v>
      </c>
      <c r="F565" s="20" t="s">
        <v>683</v>
      </c>
      <c r="G565" s="20" t="s">
        <v>84</v>
      </c>
      <c r="H565" s="20" t="s">
        <v>99</v>
      </c>
      <c r="I565" s="20">
        <v>81</v>
      </c>
      <c r="J565" s="20" t="s">
        <v>684</v>
      </c>
      <c r="K565" s="20"/>
      <c r="L565" s="52">
        <v>0</v>
      </c>
      <c r="M565" s="52"/>
      <c r="N565" s="52">
        <f t="shared" si="17"/>
        <v>0</v>
      </c>
      <c r="O565" s="53"/>
      <c r="P565" s="54">
        <f t="shared" si="18"/>
        <v>0</v>
      </c>
      <c r="Q565" s="28"/>
    </row>
    <row r="566" spans="2:17" s="17" customFormat="1" ht="13.8">
      <c r="B566" s="51" t="s">
        <v>694</v>
      </c>
      <c r="C566" s="20" t="s">
        <v>0</v>
      </c>
      <c r="D566" s="51" t="s">
        <v>682</v>
      </c>
      <c r="E566" s="51" t="s">
        <v>22</v>
      </c>
      <c r="F566" s="20" t="s">
        <v>683</v>
      </c>
      <c r="G566" s="20" t="s">
        <v>86</v>
      </c>
      <c r="H566" s="51" t="s">
        <v>99</v>
      </c>
      <c r="I566" s="51">
        <v>80</v>
      </c>
      <c r="J566" s="20" t="s">
        <v>684</v>
      </c>
      <c r="K566" s="20"/>
      <c r="L566" s="52">
        <v>0</v>
      </c>
      <c r="M566" s="52"/>
      <c r="N566" s="52">
        <f t="shared" si="17"/>
        <v>0</v>
      </c>
      <c r="O566" s="53"/>
      <c r="P566" s="54">
        <f t="shared" si="18"/>
        <v>0</v>
      </c>
      <c r="Q566" s="29"/>
    </row>
    <row r="567" spans="2:17" s="17" customFormat="1" ht="13.8">
      <c r="B567" s="20" t="s">
        <v>695</v>
      </c>
      <c r="C567" s="20" t="s">
        <v>0</v>
      </c>
      <c r="D567" s="20" t="s">
        <v>682</v>
      </c>
      <c r="E567" s="20" t="s">
        <v>22</v>
      </c>
      <c r="F567" s="20" t="s">
        <v>683</v>
      </c>
      <c r="G567" s="20" t="s">
        <v>88</v>
      </c>
      <c r="H567" s="20" t="s">
        <v>99</v>
      </c>
      <c r="I567" s="20">
        <v>80</v>
      </c>
      <c r="J567" s="20" t="s">
        <v>684</v>
      </c>
      <c r="K567" s="20"/>
      <c r="L567" s="52">
        <v>0</v>
      </c>
      <c r="M567" s="52"/>
      <c r="N567" s="52">
        <f t="shared" si="17"/>
        <v>0</v>
      </c>
      <c r="O567" s="53"/>
      <c r="P567" s="54">
        <f t="shared" si="18"/>
        <v>0</v>
      </c>
      <c r="Q567" s="28"/>
    </row>
    <row r="568" spans="2:17" s="17" customFormat="1" ht="13.8">
      <c r="B568" s="51" t="s">
        <v>696</v>
      </c>
      <c r="C568" s="20" t="s">
        <v>0</v>
      </c>
      <c r="D568" s="51" t="s">
        <v>682</v>
      </c>
      <c r="E568" s="51" t="s">
        <v>22</v>
      </c>
      <c r="F568" s="20" t="s">
        <v>683</v>
      </c>
      <c r="G568" s="20" t="s">
        <v>90</v>
      </c>
      <c r="H568" s="51" t="s">
        <v>99</v>
      </c>
      <c r="I568" s="51">
        <v>80</v>
      </c>
      <c r="J568" s="20" t="s">
        <v>684</v>
      </c>
      <c r="K568" s="20"/>
      <c r="L568" s="52">
        <v>0</v>
      </c>
      <c r="M568" s="52"/>
      <c r="N568" s="52">
        <f t="shared" si="17"/>
        <v>0</v>
      </c>
      <c r="O568" s="53"/>
      <c r="P568" s="54">
        <f t="shared" si="18"/>
        <v>0</v>
      </c>
      <c r="Q568" s="29"/>
    </row>
    <row r="569" spans="2:17" s="17" customFormat="1" ht="13.8">
      <c r="B569" s="20" t="s">
        <v>697</v>
      </c>
      <c r="C569" s="20" t="s">
        <v>0</v>
      </c>
      <c r="D569" s="20" t="s">
        <v>682</v>
      </c>
      <c r="E569" s="20" t="s">
        <v>22</v>
      </c>
      <c r="F569" s="20" t="s">
        <v>683</v>
      </c>
      <c r="G569" s="20" t="s">
        <v>92</v>
      </c>
      <c r="H569" s="20" t="s">
        <v>99</v>
      </c>
      <c r="I569" s="20">
        <v>81</v>
      </c>
      <c r="J569" s="20" t="s">
        <v>684</v>
      </c>
      <c r="K569" s="20"/>
      <c r="L569" s="52">
        <v>0</v>
      </c>
      <c r="M569" s="52"/>
      <c r="N569" s="52">
        <f t="shared" si="17"/>
        <v>0</v>
      </c>
      <c r="O569" s="53"/>
      <c r="P569" s="54">
        <f t="shared" si="18"/>
        <v>0</v>
      </c>
      <c r="Q569" s="28"/>
    </row>
    <row r="570" spans="2:17" s="17" customFormat="1" ht="13.8">
      <c r="B570" s="51" t="s">
        <v>698</v>
      </c>
      <c r="C570" s="20" t="s">
        <v>0</v>
      </c>
      <c r="D570" s="51" t="s">
        <v>682</v>
      </c>
      <c r="E570" s="51" t="s">
        <v>22</v>
      </c>
      <c r="F570" s="20" t="s">
        <v>683</v>
      </c>
      <c r="G570" s="20" t="s">
        <v>123</v>
      </c>
      <c r="H570" s="51" t="s">
        <v>99</v>
      </c>
      <c r="I570" s="51">
        <v>80</v>
      </c>
      <c r="J570" s="20" t="s">
        <v>684</v>
      </c>
      <c r="K570" s="20"/>
      <c r="L570" s="52">
        <v>0</v>
      </c>
      <c r="M570" s="52"/>
      <c r="N570" s="52">
        <f t="shared" si="17"/>
        <v>0</v>
      </c>
      <c r="O570" s="53"/>
      <c r="P570" s="54">
        <f t="shared" si="18"/>
        <v>0</v>
      </c>
      <c r="Q570" s="29"/>
    </row>
    <row r="571" spans="2:17" s="17" customFormat="1" ht="13.8">
      <c r="B571" s="20" t="s">
        <v>699</v>
      </c>
      <c r="C571" s="20" t="s">
        <v>0</v>
      </c>
      <c r="D571" s="20" t="s">
        <v>682</v>
      </c>
      <c r="E571" s="20" t="s">
        <v>22</v>
      </c>
      <c r="F571" s="20" t="s">
        <v>683</v>
      </c>
      <c r="G571" s="20" t="s">
        <v>125</v>
      </c>
      <c r="H571" s="20" t="s">
        <v>99</v>
      </c>
      <c r="I571" s="20">
        <v>80</v>
      </c>
      <c r="J571" s="20" t="s">
        <v>684</v>
      </c>
      <c r="K571" s="20"/>
      <c r="L571" s="52">
        <v>0</v>
      </c>
      <c r="M571" s="52"/>
      <c r="N571" s="52">
        <f t="shared" si="17"/>
        <v>0</v>
      </c>
      <c r="O571" s="53"/>
      <c r="P571" s="54">
        <f t="shared" si="18"/>
        <v>0</v>
      </c>
      <c r="Q571" s="28"/>
    </row>
    <row r="572" spans="2:17" s="17" customFormat="1" ht="13.8">
      <c r="B572" s="51" t="s">
        <v>700</v>
      </c>
      <c r="C572" s="20" t="s">
        <v>0</v>
      </c>
      <c r="D572" s="51" t="s">
        <v>682</v>
      </c>
      <c r="E572" s="51" t="s">
        <v>22</v>
      </c>
      <c r="F572" s="20" t="s">
        <v>683</v>
      </c>
      <c r="G572" s="20" t="s">
        <v>127</v>
      </c>
      <c r="H572" s="51" t="s">
        <v>99</v>
      </c>
      <c r="I572" s="51">
        <v>80</v>
      </c>
      <c r="J572" s="20" t="s">
        <v>684</v>
      </c>
      <c r="K572" s="20"/>
      <c r="L572" s="52">
        <v>0</v>
      </c>
      <c r="M572" s="52"/>
      <c r="N572" s="52">
        <f t="shared" si="17"/>
        <v>0</v>
      </c>
      <c r="O572" s="53"/>
      <c r="P572" s="54">
        <f t="shared" si="18"/>
        <v>0</v>
      </c>
      <c r="Q572" s="29"/>
    </row>
    <row r="573" spans="2:17" s="17" customFormat="1" ht="13.8">
      <c r="B573" s="20" t="s">
        <v>701</v>
      </c>
      <c r="C573" s="20" t="s">
        <v>0</v>
      </c>
      <c r="D573" s="20" t="s">
        <v>682</v>
      </c>
      <c r="E573" s="20" t="s">
        <v>22</v>
      </c>
      <c r="F573" s="20" t="s">
        <v>683</v>
      </c>
      <c r="G573" s="20" t="s">
        <v>129</v>
      </c>
      <c r="H573" s="20" t="s">
        <v>99</v>
      </c>
      <c r="I573" s="20">
        <v>80</v>
      </c>
      <c r="J573" s="20" t="s">
        <v>684</v>
      </c>
      <c r="K573" s="20"/>
      <c r="L573" s="52">
        <v>0</v>
      </c>
      <c r="M573" s="52"/>
      <c r="N573" s="52">
        <f t="shared" si="17"/>
        <v>0</v>
      </c>
      <c r="O573" s="53"/>
      <c r="P573" s="54">
        <f t="shared" si="18"/>
        <v>0</v>
      </c>
      <c r="Q573" s="28"/>
    </row>
    <row r="574" spans="2:17" s="17" customFormat="1" ht="13.8">
      <c r="B574" s="51" t="s">
        <v>702</v>
      </c>
      <c r="C574" s="20" t="s">
        <v>0</v>
      </c>
      <c r="D574" s="51" t="s">
        <v>682</v>
      </c>
      <c r="E574" s="51" t="s">
        <v>22</v>
      </c>
      <c r="F574" s="20" t="s">
        <v>683</v>
      </c>
      <c r="G574" s="20" t="s">
        <v>131</v>
      </c>
      <c r="H574" s="51" t="s">
        <v>99</v>
      </c>
      <c r="I574" s="51">
        <v>81</v>
      </c>
      <c r="J574" s="20" t="s">
        <v>684</v>
      </c>
      <c r="K574" s="20"/>
      <c r="L574" s="52">
        <v>0</v>
      </c>
      <c r="M574" s="52"/>
      <c r="N574" s="52">
        <f t="shared" si="17"/>
        <v>0</v>
      </c>
      <c r="O574" s="53"/>
      <c r="P574" s="54">
        <f t="shared" si="18"/>
        <v>0</v>
      </c>
      <c r="Q574" s="29"/>
    </row>
    <row r="575" spans="2:17" s="17" customFormat="1" ht="13.8">
      <c r="B575" s="20" t="s">
        <v>703</v>
      </c>
      <c r="C575" s="20" t="s">
        <v>0</v>
      </c>
      <c r="D575" s="20" t="s">
        <v>682</v>
      </c>
      <c r="E575" s="20" t="s">
        <v>22</v>
      </c>
      <c r="F575" s="20" t="s">
        <v>683</v>
      </c>
      <c r="G575" s="20" t="s">
        <v>133</v>
      </c>
      <c r="H575" s="20" t="s">
        <v>99</v>
      </c>
      <c r="I575" s="20">
        <v>81</v>
      </c>
      <c r="J575" s="20" t="s">
        <v>684</v>
      </c>
      <c r="K575" s="20"/>
      <c r="L575" s="52">
        <v>0</v>
      </c>
      <c r="M575" s="52"/>
      <c r="N575" s="52">
        <f t="shared" si="17"/>
        <v>0</v>
      </c>
      <c r="O575" s="53"/>
      <c r="P575" s="54">
        <f t="shared" si="18"/>
        <v>0</v>
      </c>
      <c r="Q575" s="28"/>
    </row>
    <row r="576" spans="2:17" s="17" customFormat="1" ht="13.8">
      <c r="B576" s="51" t="s">
        <v>704</v>
      </c>
      <c r="C576" s="20" t="s">
        <v>0</v>
      </c>
      <c r="D576" s="51" t="s">
        <v>682</v>
      </c>
      <c r="E576" s="51" t="s">
        <v>22</v>
      </c>
      <c r="F576" s="20" t="s">
        <v>683</v>
      </c>
      <c r="G576" s="20" t="s">
        <v>135</v>
      </c>
      <c r="H576" s="51" t="s">
        <v>99</v>
      </c>
      <c r="I576" s="51">
        <v>81</v>
      </c>
      <c r="J576" s="20" t="s">
        <v>684</v>
      </c>
      <c r="K576" s="20"/>
      <c r="L576" s="52">
        <v>0</v>
      </c>
      <c r="M576" s="52"/>
      <c r="N576" s="52">
        <f t="shared" si="17"/>
        <v>0</v>
      </c>
      <c r="O576" s="53"/>
      <c r="P576" s="54">
        <f t="shared" si="18"/>
        <v>0</v>
      </c>
      <c r="Q576" s="29"/>
    </row>
    <row r="577" spans="2:17" s="17" customFormat="1" ht="13.8">
      <c r="B577" s="20" t="s">
        <v>705</v>
      </c>
      <c r="C577" s="20" t="s">
        <v>0</v>
      </c>
      <c r="D577" s="20" t="s">
        <v>682</v>
      </c>
      <c r="E577" s="20" t="s">
        <v>22</v>
      </c>
      <c r="F577" s="20" t="s">
        <v>706</v>
      </c>
      <c r="G577" s="20" t="s">
        <v>24</v>
      </c>
      <c r="H577" s="20" t="s">
        <v>99</v>
      </c>
      <c r="I577" s="20">
        <v>150</v>
      </c>
      <c r="J577" s="20" t="s">
        <v>684</v>
      </c>
      <c r="K577" s="20"/>
      <c r="L577" s="52">
        <v>0</v>
      </c>
      <c r="M577" s="52"/>
      <c r="N577" s="52">
        <f t="shared" si="17"/>
        <v>0</v>
      </c>
      <c r="O577" s="53"/>
      <c r="P577" s="54">
        <f t="shared" si="18"/>
        <v>0</v>
      </c>
      <c r="Q577" s="28"/>
    </row>
    <row r="578" spans="2:17" s="17" customFormat="1" ht="13.8">
      <c r="B578" s="51" t="s">
        <v>707</v>
      </c>
      <c r="C578" s="20" t="s">
        <v>0</v>
      </c>
      <c r="D578" s="51" t="s">
        <v>682</v>
      </c>
      <c r="E578" s="51" t="s">
        <v>22</v>
      </c>
      <c r="F578" s="20" t="s">
        <v>706</v>
      </c>
      <c r="G578" s="20" t="s">
        <v>28</v>
      </c>
      <c r="H578" s="51" t="s">
        <v>99</v>
      </c>
      <c r="I578" s="51">
        <v>81</v>
      </c>
      <c r="J578" s="20" t="s">
        <v>684</v>
      </c>
      <c r="K578" s="20"/>
      <c r="L578" s="52">
        <v>0</v>
      </c>
      <c r="M578" s="52"/>
      <c r="N578" s="52">
        <f t="shared" si="17"/>
        <v>0</v>
      </c>
      <c r="O578" s="53"/>
      <c r="P578" s="54">
        <f t="shared" si="18"/>
        <v>0</v>
      </c>
      <c r="Q578" s="29"/>
    </row>
    <row r="579" spans="2:17" s="17" customFormat="1" ht="13.8">
      <c r="B579" s="20" t="s">
        <v>708</v>
      </c>
      <c r="C579" s="20" t="s">
        <v>0</v>
      </c>
      <c r="D579" s="20" t="s">
        <v>682</v>
      </c>
      <c r="E579" s="20" t="s">
        <v>22</v>
      </c>
      <c r="F579" s="20" t="s">
        <v>706</v>
      </c>
      <c r="G579" s="20" t="s">
        <v>31</v>
      </c>
      <c r="H579" s="20" t="s">
        <v>99</v>
      </c>
      <c r="I579" s="20">
        <v>80</v>
      </c>
      <c r="J579" s="20" t="s">
        <v>684</v>
      </c>
      <c r="K579" s="20"/>
      <c r="L579" s="52">
        <v>0</v>
      </c>
      <c r="M579" s="52"/>
      <c r="N579" s="52">
        <f t="shared" si="17"/>
        <v>0</v>
      </c>
      <c r="O579" s="53"/>
      <c r="P579" s="54">
        <f t="shared" si="18"/>
        <v>0</v>
      </c>
      <c r="Q579" s="28"/>
    </row>
    <row r="580" spans="2:17" s="17" customFormat="1" ht="13.8">
      <c r="B580" s="51" t="s">
        <v>709</v>
      </c>
      <c r="C580" s="20" t="s">
        <v>0</v>
      </c>
      <c r="D580" s="51" t="s">
        <v>682</v>
      </c>
      <c r="E580" s="51" t="s">
        <v>22</v>
      </c>
      <c r="F580" s="20" t="s">
        <v>706</v>
      </c>
      <c r="G580" s="20" t="s">
        <v>34</v>
      </c>
      <c r="H580" s="51" t="s">
        <v>99</v>
      </c>
      <c r="I580" s="51">
        <v>80</v>
      </c>
      <c r="J580" s="20" t="s">
        <v>684</v>
      </c>
      <c r="K580" s="20"/>
      <c r="L580" s="52">
        <v>0</v>
      </c>
      <c r="M580" s="52"/>
      <c r="N580" s="52">
        <f t="shared" si="17"/>
        <v>0</v>
      </c>
      <c r="O580" s="53"/>
      <c r="P580" s="54">
        <f t="shared" si="18"/>
        <v>0</v>
      </c>
      <c r="Q580" s="29"/>
    </row>
    <row r="581" spans="2:17" s="17" customFormat="1" ht="13.8">
      <c r="B581" s="20" t="s">
        <v>710</v>
      </c>
      <c r="C581" s="20" t="s">
        <v>0</v>
      </c>
      <c r="D581" s="20" t="s">
        <v>682</v>
      </c>
      <c r="E581" s="20" t="s">
        <v>22</v>
      </c>
      <c r="F581" s="20" t="s">
        <v>706</v>
      </c>
      <c r="G581" s="20" t="s">
        <v>37</v>
      </c>
      <c r="H581" s="20" t="s">
        <v>99</v>
      </c>
      <c r="I581" s="20">
        <v>80</v>
      </c>
      <c r="J581" s="20" t="s">
        <v>684</v>
      </c>
      <c r="K581" s="20"/>
      <c r="L581" s="52">
        <v>0</v>
      </c>
      <c r="M581" s="52"/>
      <c r="N581" s="52">
        <f t="shared" si="17"/>
        <v>0</v>
      </c>
      <c r="O581" s="53"/>
      <c r="P581" s="54">
        <f t="shared" si="18"/>
        <v>0</v>
      </c>
      <c r="Q581" s="28"/>
    </row>
    <row r="582" spans="2:17" s="17" customFormat="1" ht="13.8">
      <c r="B582" s="51" t="s">
        <v>711</v>
      </c>
      <c r="C582" s="20" t="s">
        <v>0</v>
      </c>
      <c r="D582" s="51" t="s">
        <v>682</v>
      </c>
      <c r="E582" s="51" t="s">
        <v>22</v>
      </c>
      <c r="F582" s="20" t="s">
        <v>706</v>
      </c>
      <c r="G582" s="20" t="s">
        <v>39</v>
      </c>
      <c r="H582" s="51" t="s">
        <v>99</v>
      </c>
      <c r="I582" s="51">
        <v>81</v>
      </c>
      <c r="J582" s="20" t="s">
        <v>684</v>
      </c>
      <c r="K582" s="20"/>
      <c r="L582" s="52">
        <v>0</v>
      </c>
      <c r="M582" s="52"/>
      <c r="N582" s="52">
        <f t="shared" si="17"/>
        <v>0</v>
      </c>
      <c r="O582" s="53"/>
      <c r="P582" s="54">
        <f t="shared" si="18"/>
        <v>0</v>
      </c>
      <c r="Q582" s="29"/>
    </row>
    <row r="583" spans="2:17" s="17" customFormat="1" ht="13.8">
      <c r="B583" s="20" t="s">
        <v>712</v>
      </c>
      <c r="C583" s="20" t="s">
        <v>0</v>
      </c>
      <c r="D583" s="20" t="s">
        <v>682</v>
      </c>
      <c r="E583" s="20" t="s">
        <v>22</v>
      </c>
      <c r="F583" s="20" t="s">
        <v>706</v>
      </c>
      <c r="G583" s="20" t="s">
        <v>52</v>
      </c>
      <c r="H583" s="20" t="s">
        <v>99</v>
      </c>
      <c r="I583" s="20">
        <v>81</v>
      </c>
      <c r="J583" s="20" t="s">
        <v>684</v>
      </c>
      <c r="K583" s="20"/>
      <c r="L583" s="52">
        <v>0</v>
      </c>
      <c r="M583" s="52"/>
      <c r="N583" s="52">
        <f t="shared" si="17"/>
        <v>0</v>
      </c>
      <c r="O583" s="53"/>
      <c r="P583" s="54">
        <f t="shared" si="18"/>
        <v>0</v>
      </c>
      <c r="Q583" s="28"/>
    </row>
    <row r="584" spans="2:17" s="17" customFormat="1" ht="13.8">
      <c r="B584" s="51" t="s">
        <v>713</v>
      </c>
      <c r="C584" s="20" t="s">
        <v>0</v>
      </c>
      <c r="D584" s="51" t="s">
        <v>682</v>
      </c>
      <c r="E584" s="51" t="s">
        <v>22</v>
      </c>
      <c r="F584" s="20" t="s">
        <v>706</v>
      </c>
      <c r="G584" s="20" t="s">
        <v>54</v>
      </c>
      <c r="H584" s="51" t="s">
        <v>99</v>
      </c>
      <c r="I584" s="51">
        <v>81</v>
      </c>
      <c r="J584" s="20" t="s">
        <v>684</v>
      </c>
      <c r="K584" s="20"/>
      <c r="L584" s="52">
        <v>0</v>
      </c>
      <c r="M584" s="52"/>
      <c r="N584" s="52">
        <f t="shared" ref="N584:N598" si="19">L584-M584</f>
        <v>0</v>
      </c>
      <c r="O584" s="53"/>
      <c r="P584" s="54">
        <f t="shared" ref="P584:P598" si="20">N584-O584</f>
        <v>0</v>
      </c>
      <c r="Q584" s="29"/>
    </row>
    <row r="585" spans="2:17" s="17" customFormat="1" ht="13.8">
      <c r="B585" s="20" t="s">
        <v>714</v>
      </c>
      <c r="C585" s="20" t="s">
        <v>0</v>
      </c>
      <c r="D585" s="20" t="s">
        <v>682</v>
      </c>
      <c r="E585" s="20" t="s">
        <v>22</v>
      </c>
      <c r="F585" s="20" t="s">
        <v>706</v>
      </c>
      <c r="G585" s="20" t="s">
        <v>82</v>
      </c>
      <c r="H585" s="20" t="s">
        <v>99</v>
      </c>
      <c r="I585" s="20">
        <v>81</v>
      </c>
      <c r="J585" s="20" t="s">
        <v>684</v>
      </c>
      <c r="K585" s="20"/>
      <c r="L585" s="52">
        <v>0</v>
      </c>
      <c r="M585" s="52"/>
      <c r="N585" s="52">
        <f t="shared" si="19"/>
        <v>0</v>
      </c>
      <c r="O585" s="53"/>
      <c r="P585" s="54">
        <f t="shared" si="20"/>
        <v>0</v>
      </c>
      <c r="Q585" s="28"/>
    </row>
    <row r="586" spans="2:17" s="17" customFormat="1" ht="13.8">
      <c r="B586" s="51" t="s">
        <v>715</v>
      </c>
      <c r="C586" s="20" t="s">
        <v>0</v>
      </c>
      <c r="D586" s="51" t="s">
        <v>682</v>
      </c>
      <c r="E586" s="51" t="s">
        <v>22</v>
      </c>
      <c r="F586" s="20" t="s">
        <v>706</v>
      </c>
      <c r="G586" s="20" t="s">
        <v>84</v>
      </c>
      <c r="H586" s="51" t="s">
        <v>99</v>
      </c>
      <c r="I586" s="51">
        <v>80</v>
      </c>
      <c r="J586" s="20" t="s">
        <v>684</v>
      </c>
      <c r="K586" s="20"/>
      <c r="L586" s="52">
        <v>0</v>
      </c>
      <c r="M586" s="52"/>
      <c r="N586" s="52">
        <f t="shared" si="19"/>
        <v>0</v>
      </c>
      <c r="O586" s="53"/>
      <c r="P586" s="54">
        <f t="shared" si="20"/>
        <v>0</v>
      </c>
      <c r="Q586" s="29"/>
    </row>
    <row r="587" spans="2:17" s="17" customFormat="1" ht="13.8">
      <c r="B587" s="20" t="s">
        <v>716</v>
      </c>
      <c r="C587" s="20" t="s">
        <v>0</v>
      </c>
      <c r="D587" s="20" t="s">
        <v>682</v>
      </c>
      <c r="E587" s="20" t="s">
        <v>22</v>
      </c>
      <c r="F587" s="20" t="s">
        <v>706</v>
      </c>
      <c r="G587" s="20" t="s">
        <v>86</v>
      </c>
      <c r="H587" s="20" t="s">
        <v>99</v>
      </c>
      <c r="I587" s="20">
        <v>80</v>
      </c>
      <c r="J587" s="20" t="s">
        <v>684</v>
      </c>
      <c r="K587" s="20"/>
      <c r="L587" s="52">
        <v>0</v>
      </c>
      <c r="M587" s="52"/>
      <c r="N587" s="52">
        <f t="shared" si="19"/>
        <v>0</v>
      </c>
      <c r="O587" s="53"/>
      <c r="P587" s="54">
        <f t="shared" si="20"/>
        <v>0</v>
      </c>
      <c r="Q587" s="28"/>
    </row>
    <row r="588" spans="2:17" s="17" customFormat="1" ht="13.8">
      <c r="B588" s="51" t="s">
        <v>717</v>
      </c>
      <c r="C588" s="20" t="s">
        <v>0</v>
      </c>
      <c r="D588" s="51" t="s">
        <v>682</v>
      </c>
      <c r="E588" s="51" t="s">
        <v>22</v>
      </c>
      <c r="F588" s="20" t="s">
        <v>706</v>
      </c>
      <c r="G588" s="20" t="s">
        <v>88</v>
      </c>
      <c r="H588" s="51" t="s">
        <v>99</v>
      </c>
      <c r="I588" s="51">
        <v>81</v>
      </c>
      <c r="J588" s="20" t="s">
        <v>684</v>
      </c>
      <c r="K588" s="20"/>
      <c r="L588" s="52">
        <v>0</v>
      </c>
      <c r="M588" s="52"/>
      <c r="N588" s="52">
        <f t="shared" si="19"/>
        <v>0</v>
      </c>
      <c r="O588" s="53"/>
      <c r="P588" s="54">
        <f t="shared" si="20"/>
        <v>0</v>
      </c>
      <c r="Q588" s="29"/>
    </row>
    <row r="589" spans="2:17" s="17" customFormat="1" ht="13.8">
      <c r="B589" s="20" t="s">
        <v>718</v>
      </c>
      <c r="C589" s="20" t="s">
        <v>0</v>
      </c>
      <c r="D589" s="20" t="s">
        <v>682</v>
      </c>
      <c r="E589" s="20" t="s">
        <v>22</v>
      </c>
      <c r="F589" s="20" t="s">
        <v>706</v>
      </c>
      <c r="G589" s="20" t="s">
        <v>90</v>
      </c>
      <c r="H589" s="20" t="s">
        <v>99</v>
      </c>
      <c r="I589" s="20">
        <v>94</v>
      </c>
      <c r="J589" s="20" t="s">
        <v>684</v>
      </c>
      <c r="K589" s="20"/>
      <c r="L589" s="52">
        <v>0</v>
      </c>
      <c r="M589" s="52"/>
      <c r="N589" s="52">
        <f t="shared" si="19"/>
        <v>0</v>
      </c>
      <c r="O589" s="53"/>
      <c r="P589" s="54">
        <f t="shared" si="20"/>
        <v>0</v>
      </c>
      <c r="Q589" s="28"/>
    </row>
    <row r="590" spans="2:17" s="17" customFormat="1" ht="13.8">
      <c r="B590" s="51" t="s">
        <v>719</v>
      </c>
      <c r="C590" s="20" t="s">
        <v>0</v>
      </c>
      <c r="D590" s="51" t="s">
        <v>682</v>
      </c>
      <c r="E590" s="51" t="s">
        <v>22</v>
      </c>
      <c r="F590" s="20" t="s">
        <v>706</v>
      </c>
      <c r="G590" s="20" t="s">
        <v>92</v>
      </c>
      <c r="H590" s="51" t="s">
        <v>99</v>
      </c>
      <c r="I590" s="51">
        <v>96</v>
      </c>
      <c r="J590" s="20" t="s">
        <v>684</v>
      </c>
      <c r="K590" s="20"/>
      <c r="L590" s="52">
        <v>0</v>
      </c>
      <c r="M590" s="52"/>
      <c r="N590" s="52">
        <f t="shared" si="19"/>
        <v>0</v>
      </c>
      <c r="O590" s="53"/>
      <c r="P590" s="54">
        <f t="shared" si="20"/>
        <v>0</v>
      </c>
      <c r="Q590" s="29"/>
    </row>
    <row r="591" spans="2:17" s="17" customFormat="1" ht="13.8">
      <c r="B591" s="20" t="s">
        <v>720</v>
      </c>
      <c r="C591" s="20" t="s">
        <v>0</v>
      </c>
      <c r="D591" s="20" t="s">
        <v>682</v>
      </c>
      <c r="E591" s="20" t="s">
        <v>22</v>
      </c>
      <c r="F591" s="20" t="s">
        <v>706</v>
      </c>
      <c r="G591" s="20" t="s">
        <v>123</v>
      </c>
      <c r="H591" s="20" t="s">
        <v>99</v>
      </c>
      <c r="I591" s="20">
        <v>99</v>
      </c>
      <c r="J591" s="20" t="s">
        <v>684</v>
      </c>
      <c r="K591" s="20"/>
      <c r="L591" s="52">
        <v>0</v>
      </c>
      <c r="M591" s="52"/>
      <c r="N591" s="52">
        <f t="shared" si="19"/>
        <v>0</v>
      </c>
      <c r="O591" s="53"/>
      <c r="P591" s="54">
        <f t="shared" si="20"/>
        <v>0</v>
      </c>
      <c r="Q591" s="28"/>
    </row>
    <row r="592" spans="2:17" s="17" customFormat="1" ht="13.8">
      <c r="B592" s="51" t="s">
        <v>721</v>
      </c>
      <c r="C592" s="20" t="s">
        <v>0</v>
      </c>
      <c r="D592" s="51" t="s">
        <v>682</v>
      </c>
      <c r="E592" s="51" t="s">
        <v>22</v>
      </c>
      <c r="F592" s="20" t="s">
        <v>706</v>
      </c>
      <c r="G592" s="20" t="s">
        <v>125</v>
      </c>
      <c r="H592" s="51" t="s">
        <v>99</v>
      </c>
      <c r="I592" s="51">
        <v>101</v>
      </c>
      <c r="J592" s="20" t="s">
        <v>684</v>
      </c>
      <c r="K592" s="20"/>
      <c r="L592" s="52">
        <v>0</v>
      </c>
      <c r="M592" s="52"/>
      <c r="N592" s="52">
        <f t="shared" si="19"/>
        <v>0</v>
      </c>
      <c r="O592" s="53"/>
      <c r="P592" s="54">
        <f t="shared" si="20"/>
        <v>0</v>
      </c>
      <c r="Q592" s="29"/>
    </row>
    <row r="593" spans="2:17" s="17" customFormat="1" ht="13.8">
      <c r="B593" s="20" t="s">
        <v>722</v>
      </c>
      <c r="C593" s="20" t="s">
        <v>0</v>
      </c>
      <c r="D593" s="20" t="s">
        <v>682</v>
      </c>
      <c r="E593" s="20" t="s">
        <v>22</v>
      </c>
      <c r="F593" s="20" t="s">
        <v>706</v>
      </c>
      <c r="G593" s="20" t="s">
        <v>127</v>
      </c>
      <c r="H593" s="20" t="s">
        <v>99</v>
      </c>
      <c r="I593" s="20">
        <v>101</v>
      </c>
      <c r="J593" s="20" t="s">
        <v>684</v>
      </c>
      <c r="K593" s="20"/>
      <c r="L593" s="52">
        <v>0</v>
      </c>
      <c r="M593" s="52"/>
      <c r="N593" s="52">
        <f t="shared" si="19"/>
        <v>0</v>
      </c>
      <c r="O593" s="53"/>
      <c r="P593" s="54">
        <f t="shared" si="20"/>
        <v>0</v>
      </c>
      <c r="Q593" s="28"/>
    </row>
    <row r="594" spans="2:17" s="17" customFormat="1" ht="13.8">
      <c r="B594" s="51" t="s">
        <v>723</v>
      </c>
      <c r="C594" s="20" t="s">
        <v>0</v>
      </c>
      <c r="D594" s="51" t="s">
        <v>682</v>
      </c>
      <c r="E594" s="51" t="s">
        <v>22</v>
      </c>
      <c r="F594" s="20" t="s">
        <v>706</v>
      </c>
      <c r="G594" s="20" t="s">
        <v>129</v>
      </c>
      <c r="H594" s="51" t="s">
        <v>99</v>
      </c>
      <c r="I594" s="51">
        <v>101</v>
      </c>
      <c r="J594" s="20" t="s">
        <v>684</v>
      </c>
      <c r="K594" s="20"/>
      <c r="L594" s="52">
        <v>0</v>
      </c>
      <c r="M594" s="52"/>
      <c r="N594" s="52">
        <f t="shared" si="19"/>
        <v>0</v>
      </c>
      <c r="O594" s="53"/>
      <c r="P594" s="54">
        <f t="shared" si="20"/>
        <v>0</v>
      </c>
      <c r="Q594" s="29"/>
    </row>
    <row r="595" spans="2:17" s="17" customFormat="1" ht="13.8">
      <c r="B595" s="20" t="s">
        <v>724</v>
      </c>
      <c r="C595" s="20" t="s">
        <v>0</v>
      </c>
      <c r="D595" s="20" t="s">
        <v>682</v>
      </c>
      <c r="E595" s="20" t="s">
        <v>22</v>
      </c>
      <c r="F595" s="20" t="s">
        <v>706</v>
      </c>
      <c r="G595" s="20" t="s">
        <v>131</v>
      </c>
      <c r="H595" s="20" t="s">
        <v>99</v>
      </c>
      <c r="I595" s="20">
        <v>100</v>
      </c>
      <c r="J595" s="20" t="s">
        <v>684</v>
      </c>
      <c r="K595" s="20"/>
      <c r="L595" s="52">
        <v>0</v>
      </c>
      <c r="M595" s="52"/>
      <c r="N595" s="52">
        <f t="shared" si="19"/>
        <v>0</v>
      </c>
      <c r="O595" s="53"/>
      <c r="P595" s="54">
        <f t="shared" si="20"/>
        <v>0</v>
      </c>
      <c r="Q595" s="28"/>
    </row>
    <row r="596" spans="2:17" s="17" customFormat="1" ht="13.8">
      <c r="B596" s="51" t="s">
        <v>725</v>
      </c>
      <c r="C596" s="20" t="s">
        <v>0</v>
      </c>
      <c r="D596" s="51" t="s">
        <v>682</v>
      </c>
      <c r="E596" s="51" t="s">
        <v>22</v>
      </c>
      <c r="F596" s="20" t="s">
        <v>706</v>
      </c>
      <c r="G596" s="20" t="s">
        <v>133</v>
      </c>
      <c r="H596" s="51" t="s">
        <v>99</v>
      </c>
      <c r="I596" s="51">
        <v>97</v>
      </c>
      <c r="J596" s="20" t="s">
        <v>684</v>
      </c>
      <c r="K596" s="20"/>
      <c r="L596" s="52">
        <v>0</v>
      </c>
      <c r="M596" s="52"/>
      <c r="N596" s="52">
        <f t="shared" si="19"/>
        <v>0</v>
      </c>
      <c r="O596" s="53"/>
      <c r="P596" s="54">
        <f t="shared" si="20"/>
        <v>0</v>
      </c>
      <c r="Q596" s="29"/>
    </row>
    <row r="597" spans="2:17" s="17" customFormat="1" ht="13.8">
      <c r="B597" s="20" t="s">
        <v>726</v>
      </c>
      <c r="C597" s="20" t="s">
        <v>0</v>
      </c>
      <c r="D597" s="20" t="s">
        <v>682</v>
      </c>
      <c r="E597" s="20" t="s">
        <v>22</v>
      </c>
      <c r="F597" s="20" t="s">
        <v>706</v>
      </c>
      <c r="G597" s="20" t="s">
        <v>135</v>
      </c>
      <c r="H597" s="20" t="s">
        <v>99</v>
      </c>
      <c r="I597" s="20">
        <v>93</v>
      </c>
      <c r="J597" s="20" t="s">
        <v>684</v>
      </c>
      <c r="K597" s="20"/>
      <c r="L597" s="52">
        <v>0</v>
      </c>
      <c r="M597" s="52"/>
      <c r="N597" s="52">
        <f t="shared" si="19"/>
        <v>0</v>
      </c>
      <c r="O597" s="53"/>
      <c r="P597" s="54">
        <f t="shared" si="20"/>
        <v>0</v>
      </c>
      <c r="Q597" s="28"/>
    </row>
    <row r="598" spans="2:17" s="17" customFormat="1" ht="13.8">
      <c r="B598" s="51" t="s">
        <v>727</v>
      </c>
      <c r="C598" s="20" t="s">
        <v>0</v>
      </c>
      <c r="D598" s="51" t="s">
        <v>682</v>
      </c>
      <c r="E598" s="51" t="s">
        <v>22</v>
      </c>
      <c r="F598" s="20" t="s">
        <v>706</v>
      </c>
      <c r="G598" s="20" t="s">
        <v>137</v>
      </c>
      <c r="H598" s="51" t="s">
        <v>99</v>
      </c>
      <c r="I598" s="51">
        <v>88</v>
      </c>
      <c r="J598" s="20" t="s">
        <v>684</v>
      </c>
      <c r="K598" s="20"/>
      <c r="L598" s="52">
        <v>0</v>
      </c>
      <c r="M598" s="52"/>
      <c r="N598" s="52">
        <f t="shared" si="19"/>
        <v>0</v>
      </c>
      <c r="O598" s="53"/>
      <c r="P598" s="54">
        <f t="shared" si="20"/>
        <v>0</v>
      </c>
      <c r="Q598" s="30"/>
    </row>
    <row r="599" spans="2:17" s="17" customFormat="1" ht="13.8">
      <c r="B599" s="55" t="s">
        <v>728</v>
      </c>
      <c r="C599" s="20" t="s">
        <v>1</v>
      </c>
      <c r="D599" s="22" t="s">
        <v>729</v>
      </c>
      <c r="E599" s="56" t="s">
        <v>243</v>
      </c>
      <c r="F599" s="20" t="str">
        <f>"Block "&amp;TEXT(VALUE(MID(B599,8,3)),"00")</f>
        <v>Block 07</v>
      </c>
      <c r="G599" s="20" t="str">
        <f>"Lot "&amp;TEXT(VALUE(RIGHT(B599,3)),"00")</f>
        <v>Lot 01</v>
      </c>
      <c r="H599" s="55">
        <v>55</v>
      </c>
      <c r="I599" s="57">
        <v>118</v>
      </c>
      <c r="J599" s="57" t="s">
        <v>730</v>
      </c>
      <c r="K599" s="20" t="s">
        <v>731</v>
      </c>
      <c r="L599" s="58">
        <f>IFERROR(INDEX([1]INVENTORY!$I$6:$AI$262,MATCH($B599,[1]INVENTORY!$I$6:$I$262,0),8),"NA")</f>
        <v>4600000</v>
      </c>
      <c r="M599" s="58"/>
      <c r="N599" s="58">
        <f>L599-M599</f>
        <v>4600000</v>
      </c>
      <c r="O599" s="58">
        <f>IFERROR(INDEX([1]INVENTORY!$I$6:$AI$262,MATCH($B599,[1]INVENTORY!$I$6:$I$262,0),9),"NA")</f>
        <v>492857.14285714284</v>
      </c>
      <c r="P599" s="58">
        <f>IFERROR(INDEX([1]INVENTORY!$I$6:$AI$262,MATCH($B599,[1]INVENTORY!$I$6:$I$262,0),10),"NA")</f>
        <v>4107142.8571428573</v>
      </c>
      <c r="Q599" s="18"/>
    </row>
    <row r="600" spans="2:17" s="17" customFormat="1" ht="13.8">
      <c r="B600" s="55" t="s">
        <v>732</v>
      </c>
      <c r="C600" s="20" t="s">
        <v>1</v>
      </c>
      <c r="D600" s="22" t="s">
        <v>729</v>
      </c>
      <c r="E600" s="56" t="s">
        <v>243</v>
      </c>
      <c r="F600" s="20" t="str">
        <f t="shared" ref="F600:F663" si="21">"Block "&amp;TEXT(VALUE(MID(B600,8,3)),"00")</f>
        <v>Block 07</v>
      </c>
      <c r="G600" s="20" t="str">
        <f t="shared" ref="G600:G663" si="22">"Lot "&amp;TEXT(VALUE(RIGHT(B600,3)),"00")</f>
        <v>Lot 02</v>
      </c>
      <c r="H600" s="55">
        <v>55</v>
      </c>
      <c r="I600" s="57">
        <v>142</v>
      </c>
      <c r="J600" s="57" t="s">
        <v>730</v>
      </c>
      <c r="K600" s="20" t="s">
        <v>733</v>
      </c>
      <c r="L600" s="58">
        <f>IFERROR(INDEX([1]INVENTORY!$I$6:$AI$262,MATCH($B600,[1]INVENTORY!$I$6:$I$262,0),8),"NA")</f>
        <v>4600000</v>
      </c>
      <c r="M600" s="58"/>
      <c r="N600" s="58">
        <f t="shared" ref="N600:N663" si="23">L600-M600</f>
        <v>4600000</v>
      </c>
      <c r="O600" s="58">
        <f>IFERROR(INDEX([1]INVENTORY!$I$6:$AI$262,MATCH($B600,[1]INVENTORY!$I$6:$I$262,0),9),"NA")</f>
        <v>492857.14285714284</v>
      </c>
      <c r="P600" s="58">
        <f>IFERROR(INDEX([1]INVENTORY!$I$6:$AI$262,MATCH($B600,[1]INVENTORY!$I$6:$I$262,0),10),"NA")</f>
        <v>4107142.8571428573</v>
      </c>
      <c r="Q600" s="18"/>
    </row>
    <row r="601" spans="2:17" s="17" customFormat="1" ht="13.8">
      <c r="B601" s="55" t="s">
        <v>734</v>
      </c>
      <c r="C601" s="20" t="s">
        <v>1</v>
      </c>
      <c r="D601" s="22" t="s">
        <v>729</v>
      </c>
      <c r="E601" s="56" t="s">
        <v>243</v>
      </c>
      <c r="F601" s="20" t="str">
        <f t="shared" si="21"/>
        <v>Block 07</v>
      </c>
      <c r="G601" s="20" t="str">
        <f t="shared" si="22"/>
        <v>Lot 03</v>
      </c>
      <c r="H601" s="55">
        <v>55</v>
      </c>
      <c r="I601" s="57">
        <v>96</v>
      </c>
      <c r="J601" s="57" t="s">
        <v>730</v>
      </c>
      <c r="K601" s="20" t="s">
        <v>735</v>
      </c>
      <c r="L601" s="58">
        <f>IFERROR(INDEX([1]INVENTORY!$I$6:$AI$262,MATCH($B601,[1]INVENTORY!$I$6:$I$262,0),8),"NA")</f>
        <v>3600000</v>
      </c>
      <c r="M601" s="58"/>
      <c r="N601" s="58">
        <f t="shared" si="23"/>
        <v>3600000</v>
      </c>
      <c r="O601" s="58">
        <f>IFERROR(INDEX([1]INVENTORY!$I$6:$AI$262,MATCH($B601,[1]INVENTORY!$I$6:$I$262,0),9),"NA")</f>
        <v>0</v>
      </c>
      <c r="P601" s="58">
        <f>IFERROR(INDEX([1]INVENTORY!$I$6:$AI$262,MATCH($B601,[1]INVENTORY!$I$6:$I$262,0),10),"NA")</f>
        <v>3600000</v>
      </c>
      <c r="Q601" s="18"/>
    </row>
    <row r="602" spans="2:17" s="17" customFormat="1" ht="13.8">
      <c r="B602" s="55" t="s">
        <v>736</v>
      </c>
      <c r="C602" s="20" t="s">
        <v>1</v>
      </c>
      <c r="D602" s="22" t="s">
        <v>729</v>
      </c>
      <c r="E602" s="56" t="s">
        <v>233</v>
      </c>
      <c r="F602" s="20" t="str">
        <f t="shared" si="21"/>
        <v>Block 07</v>
      </c>
      <c r="G602" s="20" t="str">
        <f t="shared" si="22"/>
        <v>Lot 04</v>
      </c>
      <c r="H602" s="55">
        <v>55</v>
      </c>
      <c r="I602" s="57">
        <v>96</v>
      </c>
      <c r="J602" s="57" t="s">
        <v>730</v>
      </c>
      <c r="K602" s="20" t="s">
        <v>737</v>
      </c>
      <c r="L602" s="58">
        <f>IFERROR(INDEX([1]INVENTORY!$I$6:$AI$262,MATCH($B602,[1]INVENTORY!$I$6:$I$262,0),8),"NA")</f>
        <v>3600000</v>
      </c>
      <c r="M602" s="58"/>
      <c r="N602" s="58">
        <f t="shared" si="23"/>
        <v>3600000</v>
      </c>
      <c r="O602" s="58">
        <f>IFERROR(INDEX([1]INVENTORY!$I$6:$AI$262,MATCH($B602,[1]INVENTORY!$I$6:$I$262,0),9),"NA")</f>
        <v>0</v>
      </c>
      <c r="P602" s="58">
        <f>IFERROR(INDEX([1]INVENTORY!$I$6:$AI$262,MATCH($B602,[1]INVENTORY!$I$6:$I$262,0),10),"NA")</f>
        <v>3600000</v>
      </c>
      <c r="Q602" s="18"/>
    </row>
    <row r="603" spans="2:17" s="17" customFormat="1" ht="13.8">
      <c r="B603" s="55" t="s">
        <v>738</v>
      </c>
      <c r="C603" s="20" t="s">
        <v>1</v>
      </c>
      <c r="D603" s="22" t="s">
        <v>729</v>
      </c>
      <c r="E603" s="56" t="s">
        <v>233</v>
      </c>
      <c r="F603" s="20" t="str">
        <f t="shared" si="21"/>
        <v>Block 07</v>
      </c>
      <c r="G603" s="20" t="str">
        <f t="shared" si="22"/>
        <v>Lot 05</v>
      </c>
      <c r="H603" s="55">
        <v>55</v>
      </c>
      <c r="I603" s="57">
        <v>96</v>
      </c>
      <c r="J603" s="57" t="s">
        <v>730</v>
      </c>
      <c r="K603" s="20" t="s">
        <v>737</v>
      </c>
      <c r="L603" s="58">
        <f>IFERROR(INDEX([1]INVENTORY!$I$6:$AI$262,MATCH($B603,[1]INVENTORY!$I$6:$I$262,0),8),"NA")</f>
        <v>3600000</v>
      </c>
      <c r="M603" s="58"/>
      <c r="N603" s="58">
        <f t="shared" si="23"/>
        <v>3600000</v>
      </c>
      <c r="O603" s="58">
        <f>IFERROR(INDEX([1]INVENTORY!$I$6:$AI$262,MATCH($B603,[1]INVENTORY!$I$6:$I$262,0),9),"NA")</f>
        <v>0</v>
      </c>
      <c r="P603" s="58">
        <f>IFERROR(INDEX([1]INVENTORY!$I$6:$AI$262,MATCH($B603,[1]INVENTORY!$I$6:$I$262,0),10),"NA")</f>
        <v>3600000</v>
      </c>
      <c r="Q603" s="18"/>
    </row>
    <row r="604" spans="2:17" s="17" customFormat="1" ht="13.8">
      <c r="B604" s="55" t="s">
        <v>739</v>
      </c>
      <c r="C604" s="20" t="s">
        <v>1</v>
      </c>
      <c r="D604" s="22" t="s">
        <v>729</v>
      </c>
      <c r="E604" s="56" t="s">
        <v>233</v>
      </c>
      <c r="F604" s="20" t="str">
        <f t="shared" si="21"/>
        <v>Block 07</v>
      </c>
      <c r="G604" s="20" t="str">
        <f t="shared" si="22"/>
        <v>Lot 06</v>
      </c>
      <c r="H604" s="55">
        <v>55</v>
      </c>
      <c r="I604" s="57">
        <v>96</v>
      </c>
      <c r="J604" s="57" t="s">
        <v>730</v>
      </c>
      <c r="K604" s="20" t="s">
        <v>735</v>
      </c>
      <c r="L604" s="58">
        <f>IFERROR(INDEX([1]INVENTORY!$I$6:$AI$262,MATCH($B604,[1]INVENTORY!$I$6:$I$262,0),8),"NA")</f>
        <v>3600000</v>
      </c>
      <c r="M604" s="58"/>
      <c r="N604" s="58">
        <f t="shared" si="23"/>
        <v>3600000</v>
      </c>
      <c r="O604" s="58">
        <f>IFERROR(INDEX([1]INVENTORY!$I$6:$AI$262,MATCH($B604,[1]INVENTORY!$I$6:$I$262,0),9),"NA")</f>
        <v>0</v>
      </c>
      <c r="P604" s="58">
        <f>IFERROR(INDEX([1]INVENTORY!$I$6:$AI$262,MATCH($B604,[1]INVENTORY!$I$6:$I$262,0),10),"NA")</f>
        <v>3600000</v>
      </c>
      <c r="Q604" s="18"/>
    </row>
    <row r="605" spans="2:17" s="17" customFormat="1" ht="13.8">
      <c r="B605" s="55" t="s">
        <v>740</v>
      </c>
      <c r="C605" s="20" t="s">
        <v>1</v>
      </c>
      <c r="D605" s="22" t="s">
        <v>729</v>
      </c>
      <c r="E605" s="56" t="s">
        <v>233</v>
      </c>
      <c r="F605" s="20" t="str">
        <f t="shared" si="21"/>
        <v>Block 07</v>
      </c>
      <c r="G605" s="20" t="str">
        <f t="shared" si="22"/>
        <v>Lot 07</v>
      </c>
      <c r="H605" s="55">
        <v>55</v>
      </c>
      <c r="I605" s="57">
        <v>96</v>
      </c>
      <c r="J605" s="57" t="s">
        <v>730</v>
      </c>
      <c r="K605" s="20" t="s">
        <v>733</v>
      </c>
      <c r="L605" s="58">
        <f>IFERROR(INDEX([1]INVENTORY!$I$6:$AI$262,MATCH($B605,[1]INVENTORY!$I$6:$I$262,0),8),"NA")</f>
        <v>3600000</v>
      </c>
      <c r="M605" s="58"/>
      <c r="N605" s="58">
        <f t="shared" si="23"/>
        <v>3600000</v>
      </c>
      <c r="O605" s="58">
        <f>IFERROR(INDEX([1]INVENTORY!$I$6:$AI$262,MATCH($B605,[1]INVENTORY!$I$6:$I$262,0),9),"NA")</f>
        <v>0</v>
      </c>
      <c r="P605" s="58">
        <f>IFERROR(INDEX([1]INVENTORY!$I$6:$AI$262,MATCH($B605,[1]INVENTORY!$I$6:$I$262,0),10),"NA")</f>
        <v>3600000</v>
      </c>
      <c r="Q605" s="18"/>
    </row>
    <row r="606" spans="2:17" s="17" customFormat="1" ht="13.8">
      <c r="B606" s="55" t="s">
        <v>741</v>
      </c>
      <c r="C606" s="20" t="s">
        <v>1</v>
      </c>
      <c r="D606" s="22" t="s">
        <v>729</v>
      </c>
      <c r="E606" s="56" t="s">
        <v>243</v>
      </c>
      <c r="F606" s="20" t="str">
        <f t="shared" si="21"/>
        <v>Block 07</v>
      </c>
      <c r="G606" s="20" t="str">
        <f t="shared" si="22"/>
        <v>Lot 08</v>
      </c>
      <c r="H606" s="55">
        <v>55</v>
      </c>
      <c r="I606" s="57">
        <v>96</v>
      </c>
      <c r="J606" s="57" t="s">
        <v>730</v>
      </c>
      <c r="K606" s="20" t="s">
        <v>731</v>
      </c>
      <c r="L606" s="58">
        <f>IFERROR(INDEX([1]INVENTORY!$I$6:$AI$262,MATCH($B606,[1]INVENTORY!$I$6:$I$262,0),8),"NA")</f>
        <v>3600000</v>
      </c>
      <c r="M606" s="58"/>
      <c r="N606" s="58">
        <f t="shared" si="23"/>
        <v>3600000</v>
      </c>
      <c r="O606" s="58">
        <f>IFERROR(INDEX([1]INVENTORY!$I$6:$AI$262,MATCH($B606,[1]INVENTORY!$I$6:$I$262,0),9),"NA")</f>
        <v>0</v>
      </c>
      <c r="P606" s="58">
        <f>IFERROR(INDEX([1]INVENTORY!$I$6:$AI$262,MATCH($B606,[1]INVENTORY!$I$6:$I$262,0),10),"NA")</f>
        <v>3600000</v>
      </c>
      <c r="Q606" s="18"/>
    </row>
    <row r="607" spans="2:17" s="17" customFormat="1" ht="13.8">
      <c r="B607" s="55" t="s">
        <v>742</v>
      </c>
      <c r="C607" s="20" t="s">
        <v>1</v>
      </c>
      <c r="D607" s="22" t="s">
        <v>729</v>
      </c>
      <c r="E607" s="56" t="s">
        <v>243</v>
      </c>
      <c r="F607" s="20" t="str">
        <f t="shared" si="21"/>
        <v>Block 07</v>
      </c>
      <c r="G607" s="20" t="str">
        <f t="shared" si="22"/>
        <v>Lot 33</v>
      </c>
      <c r="H607" s="55">
        <v>55</v>
      </c>
      <c r="I607" s="57">
        <v>80</v>
      </c>
      <c r="J607" s="57" t="s">
        <v>743</v>
      </c>
      <c r="K607" s="20" t="s">
        <v>731</v>
      </c>
      <c r="L607" s="58">
        <f>IFERROR(INDEX([1]INVENTORY!$I$6:$AI$262,MATCH($B607,[1]INVENTORY!$I$6:$I$262,0),8),"NA")</f>
        <v>3600000</v>
      </c>
      <c r="M607" s="58"/>
      <c r="N607" s="58">
        <f t="shared" si="23"/>
        <v>3600000</v>
      </c>
      <c r="O607" s="58">
        <f>IFERROR(INDEX([1]INVENTORY!$I$6:$AI$262,MATCH($B607,[1]INVENTORY!$I$6:$I$262,0),9),"NA")</f>
        <v>0</v>
      </c>
      <c r="P607" s="58">
        <f>IFERROR(INDEX([1]INVENTORY!$I$6:$AI$262,MATCH($B607,[1]INVENTORY!$I$6:$I$262,0),10),"NA")</f>
        <v>3600000</v>
      </c>
      <c r="Q607" s="18"/>
    </row>
    <row r="608" spans="2:17" s="17" customFormat="1" ht="13.8">
      <c r="B608" s="55" t="s">
        <v>744</v>
      </c>
      <c r="C608" s="20" t="s">
        <v>1</v>
      </c>
      <c r="D608" s="22" t="s">
        <v>729</v>
      </c>
      <c r="E608" s="56" t="s">
        <v>243</v>
      </c>
      <c r="F608" s="20" t="str">
        <f t="shared" si="21"/>
        <v>Block 07</v>
      </c>
      <c r="G608" s="20" t="str">
        <f t="shared" si="22"/>
        <v>Lot 34</v>
      </c>
      <c r="H608" s="55">
        <v>55</v>
      </c>
      <c r="I608" s="57">
        <v>80</v>
      </c>
      <c r="J608" s="57" t="s">
        <v>743</v>
      </c>
      <c r="K608" s="20" t="s">
        <v>733</v>
      </c>
      <c r="L608" s="58">
        <f>IFERROR(INDEX([1]INVENTORY!$I$6:$AI$262,MATCH($B608,[1]INVENTORY!$I$6:$I$262,0),8),"NA")</f>
        <v>3600000</v>
      </c>
      <c r="M608" s="58"/>
      <c r="N608" s="58">
        <f t="shared" si="23"/>
        <v>3600000</v>
      </c>
      <c r="O608" s="58">
        <f>IFERROR(INDEX([1]INVENTORY!$I$6:$AI$262,MATCH($B608,[1]INVENTORY!$I$6:$I$262,0),9),"NA")</f>
        <v>0</v>
      </c>
      <c r="P608" s="58">
        <f>IFERROR(INDEX([1]INVENTORY!$I$6:$AI$262,MATCH($B608,[1]INVENTORY!$I$6:$I$262,0),10),"NA")</f>
        <v>3600000</v>
      </c>
      <c r="Q608" s="18"/>
    </row>
    <row r="609" spans="2:17" s="17" customFormat="1" ht="13.8">
      <c r="B609" s="55" t="s">
        <v>745</v>
      </c>
      <c r="C609" s="20" t="s">
        <v>1</v>
      </c>
      <c r="D609" s="22" t="s">
        <v>729</v>
      </c>
      <c r="E609" s="56" t="s">
        <v>243</v>
      </c>
      <c r="F609" s="20" t="str">
        <f t="shared" si="21"/>
        <v>Block 07</v>
      </c>
      <c r="G609" s="20" t="str">
        <f t="shared" si="22"/>
        <v>Lot 35</v>
      </c>
      <c r="H609" s="55">
        <v>55</v>
      </c>
      <c r="I609" s="57">
        <v>80</v>
      </c>
      <c r="J609" s="57" t="s">
        <v>743</v>
      </c>
      <c r="K609" s="20" t="s">
        <v>735</v>
      </c>
      <c r="L609" s="58">
        <f>IFERROR(INDEX([1]INVENTORY!$I$6:$AI$262,MATCH($B609,[1]INVENTORY!$I$6:$I$262,0),8),"NA")</f>
        <v>3600000</v>
      </c>
      <c r="M609" s="58"/>
      <c r="N609" s="58">
        <f t="shared" si="23"/>
        <v>3600000</v>
      </c>
      <c r="O609" s="58">
        <f>IFERROR(INDEX([1]INVENTORY!$I$6:$AI$262,MATCH($B609,[1]INVENTORY!$I$6:$I$262,0),9),"NA")</f>
        <v>0</v>
      </c>
      <c r="P609" s="58">
        <f>IFERROR(INDEX([1]INVENTORY!$I$6:$AI$262,MATCH($B609,[1]INVENTORY!$I$6:$I$262,0),10),"NA")</f>
        <v>3600000</v>
      </c>
      <c r="Q609" s="18"/>
    </row>
    <row r="610" spans="2:17" s="17" customFormat="1" ht="13.8">
      <c r="B610" s="55" t="s">
        <v>746</v>
      </c>
      <c r="C610" s="20" t="s">
        <v>1</v>
      </c>
      <c r="D610" s="22" t="s">
        <v>729</v>
      </c>
      <c r="E610" s="56" t="s">
        <v>243</v>
      </c>
      <c r="F610" s="20" t="str">
        <f t="shared" si="21"/>
        <v>Block 07</v>
      </c>
      <c r="G610" s="20" t="str">
        <f t="shared" si="22"/>
        <v>Lot 36</v>
      </c>
      <c r="H610" s="55">
        <v>55</v>
      </c>
      <c r="I610" s="57">
        <v>80</v>
      </c>
      <c r="J610" s="57" t="s">
        <v>743</v>
      </c>
      <c r="K610" s="20" t="s">
        <v>737</v>
      </c>
      <c r="L610" s="58">
        <f>IFERROR(INDEX([1]INVENTORY!$I$6:$AI$262,MATCH($B610,[1]INVENTORY!$I$6:$I$262,0),8),"NA")</f>
        <v>3600000</v>
      </c>
      <c r="M610" s="58"/>
      <c r="N610" s="58">
        <f t="shared" si="23"/>
        <v>3600000</v>
      </c>
      <c r="O610" s="58">
        <f>IFERROR(INDEX([1]INVENTORY!$I$6:$AI$262,MATCH($B610,[1]INVENTORY!$I$6:$I$262,0),9),"NA")</f>
        <v>0</v>
      </c>
      <c r="P610" s="58">
        <f>IFERROR(INDEX([1]INVENTORY!$I$6:$AI$262,MATCH($B610,[1]INVENTORY!$I$6:$I$262,0),10),"NA")</f>
        <v>3600000</v>
      </c>
      <c r="Q610" s="18"/>
    </row>
    <row r="611" spans="2:17" s="17" customFormat="1" ht="13.8">
      <c r="B611" s="55" t="s">
        <v>747</v>
      </c>
      <c r="C611" s="20" t="s">
        <v>1</v>
      </c>
      <c r="D611" s="22" t="s">
        <v>729</v>
      </c>
      <c r="E611" s="56" t="s">
        <v>243</v>
      </c>
      <c r="F611" s="20" t="str">
        <f t="shared" si="21"/>
        <v>Block 07</v>
      </c>
      <c r="G611" s="20" t="str">
        <f t="shared" si="22"/>
        <v>Lot 45</v>
      </c>
      <c r="H611" s="55">
        <v>55</v>
      </c>
      <c r="I611" s="57">
        <v>80</v>
      </c>
      <c r="J611" s="57" t="s">
        <v>743</v>
      </c>
      <c r="K611" s="20" t="s">
        <v>731</v>
      </c>
      <c r="L611" s="58">
        <f>IFERROR(INDEX([1]INVENTORY!$I$6:$AI$262,MATCH($B611,[1]INVENTORY!$I$6:$I$262,0),8),"NA")</f>
        <v>3600000</v>
      </c>
      <c r="M611" s="58"/>
      <c r="N611" s="58">
        <f t="shared" si="23"/>
        <v>3600000</v>
      </c>
      <c r="O611" s="58">
        <f>IFERROR(INDEX([1]INVENTORY!$I$6:$AI$262,MATCH($B611,[1]INVENTORY!$I$6:$I$262,0),9),"NA")</f>
        <v>0</v>
      </c>
      <c r="P611" s="58">
        <f>IFERROR(INDEX([1]INVENTORY!$I$6:$AI$262,MATCH($B611,[1]INVENTORY!$I$6:$I$262,0),10),"NA")</f>
        <v>3600000</v>
      </c>
      <c r="Q611" s="18"/>
    </row>
    <row r="612" spans="2:17" s="17" customFormat="1" ht="13.8">
      <c r="B612" s="55" t="s">
        <v>748</v>
      </c>
      <c r="C612" s="20" t="s">
        <v>1</v>
      </c>
      <c r="D612" s="22" t="s">
        <v>729</v>
      </c>
      <c r="E612" s="56" t="s">
        <v>243</v>
      </c>
      <c r="F612" s="20" t="str">
        <f t="shared" si="21"/>
        <v>Block 07</v>
      </c>
      <c r="G612" s="20" t="str">
        <f t="shared" si="22"/>
        <v>Lot 46</v>
      </c>
      <c r="H612" s="55">
        <v>55</v>
      </c>
      <c r="I612" s="57">
        <v>80</v>
      </c>
      <c r="J612" s="57" t="s">
        <v>743</v>
      </c>
      <c r="K612" s="20" t="s">
        <v>733</v>
      </c>
      <c r="L612" s="58">
        <f>IFERROR(INDEX([1]INVENTORY!$I$6:$AI$262,MATCH($B612,[1]INVENTORY!$I$6:$I$262,0),8),"NA")</f>
        <v>3600000</v>
      </c>
      <c r="M612" s="58"/>
      <c r="N612" s="58">
        <f t="shared" si="23"/>
        <v>3600000</v>
      </c>
      <c r="O612" s="58">
        <f>IFERROR(INDEX([1]INVENTORY!$I$6:$AI$262,MATCH($B612,[1]INVENTORY!$I$6:$I$262,0),9),"NA")</f>
        <v>0</v>
      </c>
      <c r="P612" s="58">
        <f>IFERROR(INDEX([1]INVENTORY!$I$6:$AI$262,MATCH($B612,[1]INVENTORY!$I$6:$I$262,0),10),"NA")</f>
        <v>3600000</v>
      </c>
      <c r="Q612" s="18"/>
    </row>
    <row r="613" spans="2:17" s="17" customFormat="1" ht="13.8">
      <c r="B613" s="55" t="s">
        <v>749</v>
      </c>
      <c r="C613" s="20" t="s">
        <v>1</v>
      </c>
      <c r="D613" s="22" t="s">
        <v>729</v>
      </c>
      <c r="E613" s="56" t="s">
        <v>233</v>
      </c>
      <c r="F613" s="20" t="str">
        <f t="shared" si="21"/>
        <v>Block 06</v>
      </c>
      <c r="G613" s="20" t="str">
        <f t="shared" si="22"/>
        <v>Lot 15</v>
      </c>
      <c r="H613" s="55">
        <v>55</v>
      </c>
      <c r="I613" s="57">
        <v>96</v>
      </c>
      <c r="J613" s="57" t="s">
        <v>730</v>
      </c>
      <c r="K613" s="20" t="s">
        <v>750</v>
      </c>
      <c r="L613" s="58">
        <f>IFERROR(INDEX([1]INVENTORY!$I$6:$AI$262,MATCH($B613,[1]INVENTORY!$I$6:$I$262,0),8),"NA")</f>
        <v>3600000</v>
      </c>
      <c r="M613" s="58"/>
      <c r="N613" s="58">
        <f t="shared" si="23"/>
        <v>3600000</v>
      </c>
      <c r="O613" s="58">
        <f>IFERROR(INDEX([1]INVENTORY!$I$6:$AI$262,MATCH($B613,[1]INVENTORY!$I$6:$I$262,0),9),"NA")</f>
        <v>0</v>
      </c>
      <c r="P613" s="58">
        <f>IFERROR(INDEX([1]INVENTORY!$I$6:$AI$262,MATCH($B613,[1]INVENTORY!$I$6:$I$262,0),10),"NA")</f>
        <v>3600000</v>
      </c>
      <c r="Q613" s="18"/>
    </row>
    <row r="614" spans="2:17" s="17" customFormat="1" ht="13.8">
      <c r="B614" s="55" t="s">
        <v>751</v>
      </c>
      <c r="C614" s="20" t="s">
        <v>1</v>
      </c>
      <c r="D614" s="22" t="s">
        <v>729</v>
      </c>
      <c r="E614" s="56" t="s">
        <v>233</v>
      </c>
      <c r="F614" s="20" t="str">
        <f t="shared" si="21"/>
        <v>Block 06</v>
      </c>
      <c r="G614" s="20" t="str">
        <f t="shared" si="22"/>
        <v>Lot 16</v>
      </c>
      <c r="H614" s="55">
        <v>55</v>
      </c>
      <c r="I614" s="57">
        <v>96</v>
      </c>
      <c r="J614" s="57" t="s">
        <v>730</v>
      </c>
      <c r="K614" s="20" t="s">
        <v>752</v>
      </c>
      <c r="L614" s="58">
        <f>IFERROR(INDEX([1]INVENTORY!$I$6:$AI$262,MATCH($B614,[1]INVENTORY!$I$6:$I$262,0),8),"NA")</f>
        <v>3600000</v>
      </c>
      <c r="M614" s="58"/>
      <c r="N614" s="58">
        <f t="shared" si="23"/>
        <v>3600000</v>
      </c>
      <c r="O614" s="58">
        <f>IFERROR(INDEX([1]INVENTORY!$I$6:$AI$262,MATCH($B614,[1]INVENTORY!$I$6:$I$262,0),9),"NA")</f>
        <v>0</v>
      </c>
      <c r="P614" s="58">
        <f>IFERROR(INDEX([1]INVENTORY!$I$6:$AI$262,MATCH($B614,[1]INVENTORY!$I$6:$I$262,0),10),"NA")</f>
        <v>3600000</v>
      </c>
      <c r="Q614" s="18"/>
    </row>
    <row r="615" spans="2:17" s="17" customFormat="1" ht="13.8">
      <c r="B615" s="55" t="s">
        <v>753</v>
      </c>
      <c r="C615" s="20" t="s">
        <v>1</v>
      </c>
      <c r="D615" s="22" t="s">
        <v>729</v>
      </c>
      <c r="E615" s="56" t="s">
        <v>233</v>
      </c>
      <c r="F615" s="20" t="str">
        <f t="shared" si="21"/>
        <v>Block 06</v>
      </c>
      <c r="G615" s="20" t="str">
        <f t="shared" si="22"/>
        <v>Lot 17</v>
      </c>
      <c r="H615" s="55">
        <v>55</v>
      </c>
      <c r="I615" s="57">
        <v>96</v>
      </c>
      <c r="J615" s="57" t="s">
        <v>730</v>
      </c>
      <c r="K615" s="20" t="s">
        <v>752</v>
      </c>
      <c r="L615" s="58">
        <f>IFERROR(INDEX([1]INVENTORY!$I$6:$AI$262,MATCH($B615,[1]INVENTORY!$I$6:$I$262,0),8),"NA")</f>
        <v>3600000</v>
      </c>
      <c r="M615" s="58"/>
      <c r="N615" s="58">
        <f t="shared" si="23"/>
        <v>3600000</v>
      </c>
      <c r="O615" s="58">
        <f>IFERROR(INDEX([1]INVENTORY!$I$6:$AI$262,MATCH($B615,[1]INVENTORY!$I$6:$I$262,0),9),"NA")</f>
        <v>0</v>
      </c>
      <c r="P615" s="58">
        <f>IFERROR(INDEX([1]INVENTORY!$I$6:$AI$262,MATCH($B615,[1]INVENTORY!$I$6:$I$262,0),10),"NA")</f>
        <v>3600000</v>
      </c>
      <c r="Q615" s="18"/>
    </row>
    <row r="616" spans="2:17" s="17" customFormat="1" ht="13.8">
      <c r="B616" s="55" t="s">
        <v>754</v>
      </c>
      <c r="C616" s="20" t="s">
        <v>1</v>
      </c>
      <c r="D616" s="22" t="s">
        <v>729</v>
      </c>
      <c r="E616" s="56" t="s">
        <v>233</v>
      </c>
      <c r="F616" s="20" t="str">
        <f t="shared" si="21"/>
        <v>Block 06</v>
      </c>
      <c r="G616" s="20" t="str">
        <f t="shared" si="22"/>
        <v>Lot 18</v>
      </c>
      <c r="H616" s="55">
        <v>55</v>
      </c>
      <c r="I616" s="57">
        <v>96</v>
      </c>
      <c r="J616" s="57" t="s">
        <v>730</v>
      </c>
      <c r="K616" s="20" t="s">
        <v>750</v>
      </c>
      <c r="L616" s="58">
        <f>IFERROR(INDEX([1]INVENTORY!$I$6:$AI$262,MATCH($B616,[1]INVENTORY!$I$6:$I$262,0),8),"NA")</f>
        <v>3600000</v>
      </c>
      <c r="M616" s="58"/>
      <c r="N616" s="58">
        <f t="shared" si="23"/>
        <v>3600000</v>
      </c>
      <c r="O616" s="58">
        <f>IFERROR(INDEX([1]INVENTORY!$I$6:$AI$262,MATCH($B616,[1]INVENTORY!$I$6:$I$262,0),9),"NA")</f>
        <v>0</v>
      </c>
      <c r="P616" s="58">
        <f>IFERROR(INDEX([1]INVENTORY!$I$6:$AI$262,MATCH($B616,[1]INVENTORY!$I$6:$I$262,0),10),"NA")</f>
        <v>3600000</v>
      </c>
      <c r="Q616" s="18"/>
    </row>
    <row r="617" spans="2:17" s="17" customFormat="1" ht="13.8">
      <c r="B617" s="55" t="s">
        <v>755</v>
      </c>
      <c r="C617" s="20" t="s">
        <v>1</v>
      </c>
      <c r="D617" s="22" t="s">
        <v>729</v>
      </c>
      <c r="E617" s="56" t="s">
        <v>233</v>
      </c>
      <c r="F617" s="20" t="str">
        <f t="shared" si="21"/>
        <v>Block 06</v>
      </c>
      <c r="G617" s="20" t="str">
        <f t="shared" si="22"/>
        <v>Lot 19</v>
      </c>
      <c r="H617" s="55">
        <v>55</v>
      </c>
      <c r="I617" s="57">
        <v>96</v>
      </c>
      <c r="J617" s="57" t="s">
        <v>730</v>
      </c>
      <c r="K617" s="20" t="s">
        <v>735</v>
      </c>
      <c r="L617" s="58">
        <f>IFERROR(INDEX([1]INVENTORY!$I$6:$AI$262,MATCH($B617,[1]INVENTORY!$I$6:$I$262,0),8),"NA")</f>
        <v>3600000</v>
      </c>
      <c r="M617" s="58"/>
      <c r="N617" s="58">
        <f t="shared" si="23"/>
        <v>3600000</v>
      </c>
      <c r="O617" s="58">
        <f>IFERROR(INDEX([1]INVENTORY!$I$6:$AI$262,MATCH($B617,[1]INVENTORY!$I$6:$I$262,0),9),"NA")</f>
        <v>0</v>
      </c>
      <c r="P617" s="58">
        <f>IFERROR(INDEX([1]INVENTORY!$I$6:$AI$262,MATCH($B617,[1]INVENTORY!$I$6:$I$262,0),10),"NA")</f>
        <v>3600000</v>
      </c>
      <c r="Q617" s="18"/>
    </row>
    <row r="618" spans="2:17" s="17" customFormat="1" ht="13.8">
      <c r="B618" s="55" t="s">
        <v>756</v>
      </c>
      <c r="C618" s="20" t="s">
        <v>1</v>
      </c>
      <c r="D618" s="22" t="s">
        <v>729</v>
      </c>
      <c r="E618" s="56" t="s">
        <v>233</v>
      </c>
      <c r="F618" s="20" t="str">
        <f t="shared" si="21"/>
        <v>Block 06</v>
      </c>
      <c r="G618" s="20" t="str">
        <f t="shared" si="22"/>
        <v>Lot 20</v>
      </c>
      <c r="H618" s="55">
        <v>55</v>
      </c>
      <c r="I618" s="57">
        <v>96</v>
      </c>
      <c r="J618" s="57" t="s">
        <v>730</v>
      </c>
      <c r="K618" s="20" t="s">
        <v>737</v>
      </c>
      <c r="L618" s="58">
        <f>IFERROR(INDEX([1]INVENTORY!$I$6:$AI$262,MATCH($B618,[1]INVENTORY!$I$6:$I$262,0),8),"NA")</f>
        <v>3600000</v>
      </c>
      <c r="M618" s="58"/>
      <c r="N618" s="58">
        <f t="shared" si="23"/>
        <v>3600000</v>
      </c>
      <c r="O618" s="58">
        <f>IFERROR(INDEX([1]INVENTORY!$I$6:$AI$262,MATCH($B618,[1]INVENTORY!$I$6:$I$262,0),9),"NA")</f>
        <v>0</v>
      </c>
      <c r="P618" s="58">
        <f>IFERROR(INDEX([1]INVENTORY!$I$6:$AI$262,MATCH($B618,[1]INVENTORY!$I$6:$I$262,0),10),"NA")</f>
        <v>3600000</v>
      </c>
      <c r="Q618" s="18"/>
    </row>
    <row r="619" spans="2:17" s="17" customFormat="1" ht="13.8">
      <c r="B619" s="55" t="s">
        <v>757</v>
      </c>
      <c r="C619" s="20" t="s">
        <v>1</v>
      </c>
      <c r="D619" s="22" t="s">
        <v>729</v>
      </c>
      <c r="E619" s="56" t="s">
        <v>233</v>
      </c>
      <c r="F619" s="20" t="str">
        <f t="shared" si="21"/>
        <v>Block 06</v>
      </c>
      <c r="G619" s="20" t="str">
        <f t="shared" si="22"/>
        <v>Lot 21</v>
      </c>
      <c r="H619" s="55">
        <v>55</v>
      </c>
      <c r="I619" s="57">
        <v>96</v>
      </c>
      <c r="J619" s="57" t="s">
        <v>730</v>
      </c>
      <c r="K619" s="20" t="s">
        <v>737</v>
      </c>
      <c r="L619" s="58">
        <f>IFERROR(INDEX([1]INVENTORY!$I$6:$AI$262,MATCH($B619,[1]INVENTORY!$I$6:$I$262,0),8),"NA")</f>
        <v>3600000</v>
      </c>
      <c r="M619" s="58"/>
      <c r="N619" s="58">
        <f t="shared" si="23"/>
        <v>3600000</v>
      </c>
      <c r="O619" s="58">
        <f>IFERROR(INDEX([1]INVENTORY!$I$6:$AI$262,MATCH($B619,[1]INVENTORY!$I$6:$I$262,0),9),"NA")</f>
        <v>0</v>
      </c>
      <c r="P619" s="58">
        <f>IFERROR(INDEX([1]INVENTORY!$I$6:$AI$262,MATCH($B619,[1]INVENTORY!$I$6:$I$262,0),10),"NA")</f>
        <v>3600000</v>
      </c>
      <c r="Q619" s="18"/>
    </row>
    <row r="620" spans="2:17" s="17" customFormat="1" ht="13.8">
      <c r="B620" s="55" t="s">
        <v>758</v>
      </c>
      <c r="C620" s="20" t="s">
        <v>1</v>
      </c>
      <c r="D620" s="22" t="s">
        <v>729</v>
      </c>
      <c r="E620" s="56" t="s">
        <v>233</v>
      </c>
      <c r="F620" s="20" t="str">
        <f t="shared" si="21"/>
        <v>Block 06</v>
      </c>
      <c r="G620" s="20" t="str">
        <f t="shared" si="22"/>
        <v>Lot 22</v>
      </c>
      <c r="H620" s="55">
        <v>55</v>
      </c>
      <c r="I620" s="57">
        <v>96</v>
      </c>
      <c r="J620" s="57" t="s">
        <v>730</v>
      </c>
      <c r="K620" s="20" t="s">
        <v>735</v>
      </c>
      <c r="L620" s="58">
        <f>IFERROR(INDEX([1]INVENTORY!$I$6:$AI$262,MATCH($B620,[1]INVENTORY!$I$6:$I$262,0),8),"NA")</f>
        <v>3600000</v>
      </c>
      <c r="M620" s="58"/>
      <c r="N620" s="58">
        <f t="shared" si="23"/>
        <v>3600000</v>
      </c>
      <c r="O620" s="58">
        <f>IFERROR(INDEX([1]INVENTORY!$I$6:$AI$262,MATCH($B620,[1]INVENTORY!$I$6:$I$262,0),9),"NA")</f>
        <v>0</v>
      </c>
      <c r="P620" s="58">
        <f>IFERROR(INDEX([1]INVENTORY!$I$6:$AI$262,MATCH($B620,[1]INVENTORY!$I$6:$I$262,0),10),"NA")</f>
        <v>3600000</v>
      </c>
      <c r="Q620" s="18"/>
    </row>
    <row r="621" spans="2:17" s="17" customFormat="1" ht="13.8">
      <c r="B621" s="55" t="s">
        <v>759</v>
      </c>
      <c r="C621" s="20" t="s">
        <v>1</v>
      </c>
      <c r="D621" s="22" t="s">
        <v>729</v>
      </c>
      <c r="E621" s="56" t="s">
        <v>243</v>
      </c>
      <c r="F621" s="20" t="str">
        <f t="shared" si="21"/>
        <v>Block 07</v>
      </c>
      <c r="G621" s="20" t="str">
        <f t="shared" si="22"/>
        <v>Lot 31</v>
      </c>
      <c r="H621" s="55">
        <v>55</v>
      </c>
      <c r="I621" s="57">
        <v>80</v>
      </c>
      <c r="J621" s="57" t="s">
        <v>743</v>
      </c>
      <c r="K621" s="20" t="s">
        <v>733</v>
      </c>
      <c r="L621" s="58">
        <f>IFERROR(INDEX([1]INVENTORY!$I$6:$AI$262,MATCH($B621,[1]INVENTORY!$I$6:$I$262,0),8),"NA")</f>
        <v>3600000</v>
      </c>
      <c r="M621" s="58"/>
      <c r="N621" s="58">
        <f t="shared" si="23"/>
        <v>3600000</v>
      </c>
      <c r="O621" s="58">
        <f>IFERROR(INDEX([1]INVENTORY!$I$6:$AI$262,MATCH($B621,[1]INVENTORY!$I$6:$I$262,0),9),"NA")</f>
        <v>0</v>
      </c>
      <c r="P621" s="58">
        <f>IFERROR(INDEX([1]INVENTORY!$I$6:$AI$262,MATCH($B621,[1]INVENTORY!$I$6:$I$262,0),10),"NA")</f>
        <v>3600000</v>
      </c>
      <c r="Q621" s="18"/>
    </row>
    <row r="622" spans="2:17" s="17" customFormat="1" ht="13.8">
      <c r="B622" s="55" t="s">
        <v>760</v>
      </c>
      <c r="C622" s="20" t="s">
        <v>1</v>
      </c>
      <c r="D622" s="22" t="s">
        <v>729</v>
      </c>
      <c r="E622" s="56" t="s">
        <v>243</v>
      </c>
      <c r="F622" s="20" t="str">
        <f t="shared" si="21"/>
        <v>Block 07</v>
      </c>
      <c r="G622" s="20" t="str">
        <f t="shared" si="22"/>
        <v>Lot 32</v>
      </c>
      <c r="H622" s="55">
        <v>55</v>
      </c>
      <c r="I622" s="57">
        <v>80</v>
      </c>
      <c r="J622" s="57" t="s">
        <v>743</v>
      </c>
      <c r="K622" s="20" t="s">
        <v>731</v>
      </c>
      <c r="L622" s="58">
        <f>IFERROR(INDEX([1]INVENTORY!$I$6:$AI$262,MATCH($B622,[1]INVENTORY!$I$6:$I$262,0),8),"NA")</f>
        <v>3600000</v>
      </c>
      <c r="M622" s="58"/>
      <c r="N622" s="58">
        <f t="shared" si="23"/>
        <v>3600000</v>
      </c>
      <c r="O622" s="58">
        <f>IFERROR(INDEX([1]INVENTORY!$I$6:$AI$262,MATCH($B622,[1]INVENTORY!$I$6:$I$262,0),9),"NA")</f>
        <v>0</v>
      </c>
      <c r="P622" s="58">
        <f>IFERROR(INDEX([1]INVENTORY!$I$6:$AI$262,MATCH($B622,[1]INVENTORY!$I$6:$I$262,0),10),"NA")</f>
        <v>3600000</v>
      </c>
      <c r="Q622" s="18"/>
    </row>
    <row r="623" spans="2:17" s="17" customFormat="1" ht="13.8">
      <c r="B623" s="55" t="s">
        <v>761</v>
      </c>
      <c r="C623" s="20" t="s">
        <v>1</v>
      </c>
      <c r="D623" s="22" t="s">
        <v>729</v>
      </c>
      <c r="E623" s="56" t="s">
        <v>243</v>
      </c>
      <c r="F623" s="20" t="str">
        <f t="shared" si="21"/>
        <v>Block 07</v>
      </c>
      <c r="G623" s="20" t="str">
        <f t="shared" si="22"/>
        <v>Lot 37</v>
      </c>
      <c r="H623" s="55">
        <v>55</v>
      </c>
      <c r="I623" s="57">
        <v>80</v>
      </c>
      <c r="J623" s="57" t="s">
        <v>743</v>
      </c>
      <c r="K623" s="20" t="s">
        <v>737</v>
      </c>
      <c r="L623" s="58">
        <f>IFERROR(INDEX([1]INVENTORY!$I$6:$AI$262,MATCH($B623,[1]INVENTORY!$I$6:$I$262,0),8),"NA")</f>
        <v>3600000</v>
      </c>
      <c r="M623" s="58"/>
      <c r="N623" s="58">
        <f t="shared" si="23"/>
        <v>3600000</v>
      </c>
      <c r="O623" s="58">
        <f>IFERROR(INDEX([1]INVENTORY!$I$6:$AI$262,MATCH($B623,[1]INVENTORY!$I$6:$I$262,0),9),"NA")</f>
        <v>0</v>
      </c>
      <c r="P623" s="58">
        <f>IFERROR(INDEX([1]INVENTORY!$I$6:$AI$262,MATCH($B623,[1]INVENTORY!$I$6:$I$262,0),10),"NA")</f>
        <v>3600000</v>
      </c>
      <c r="Q623" s="18"/>
    </row>
    <row r="624" spans="2:17" s="17" customFormat="1" ht="13.8">
      <c r="B624" s="55" t="s">
        <v>762</v>
      </c>
      <c r="C624" s="20" t="s">
        <v>1</v>
      </c>
      <c r="D624" s="22" t="s">
        <v>729</v>
      </c>
      <c r="E624" s="56" t="s">
        <v>243</v>
      </c>
      <c r="F624" s="20" t="str">
        <f t="shared" si="21"/>
        <v>Block 07</v>
      </c>
      <c r="G624" s="20" t="str">
        <f t="shared" si="22"/>
        <v>Lot 38</v>
      </c>
      <c r="H624" s="55">
        <v>55</v>
      </c>
      <c r="I624" s="57">
        <v>80</v>
      </c>
      <c r="J624" s="57" t="s">
        <v>743</v>
      </c>
      <c r="K624" s="20" t="s">
        <v>735</v>
      </c>
      <c r="L624" s="58">
        <f>IFERROR(INDEX([1]INVENTORY!$I$6:$AI$262,MATCH($B624,[1]INVENTORY!$I$6:$I$262,0),8),"NA")</f>
        <v>3600000</v>
      </c>
      <c r="M624" s="58"/>
      <c r="N624" s="58">
        <f t="shared" si="23"/>
        <v>3600000</v>
      </c>
      <c r="O624" s="58">
        <f>IFERROR(INDEX([1]INVENTORY!$I$6:$AI$262,MATCH($B624,[1]INVENTORY!$I$6:$I$262,0),9),"NA")</f>
        <v>0</v>
      </c>
      <c r="P624" s="58">
        <f>IFERROR(INDEX([1]INVENTORY!$I$6:$AI$262,MATCH($B624,[1]INVENTORY!$I$6:$I$262,0),10),"NA")</f>
        <v>3600000</v>
      </c>
      <c r="Q624" s="18"/>
    </row>
    <row r="625" spans="2:17" s="17" customFormat="1" ht="13.8">
      <c r="B625" s="55" t="s">
        <v>763</v>
      </c>
      <c r="C625" s="20" t="s">
        <v>1</v>
      </c>
      <c r="D625" s="22" t="s">
        <v>729</v>
      </c>
      <c r="E625" s="56" t="s">
        <v>243</v>
      </c>
      <c r="F625" s="20" t="str">
        <f t="shared" si="21"/>
        <v>Block 07</v>
      </c>
      <c r="G625" s="20" t="str">
        <f t="shared" si="22"/>
        <v>Lot 39</v>
      </c>
      <c r="H625" s="55">
        <v>55</v>
      </c>
      <c r="I625" s="57">
        <v>80</v>
      </c>
      <c r="J625" s="57" t="s">
        <v>743</v>
      </c>
      <c r="K625" s="20" t="s">
        <v>750</v>
      </c>
      <c r="L625" s="58">
        <f>IFERROR(INDEX([1]INVENTORY!$I$6:$AI$262,MATCH($B625,[1]INVENTORY!$I$6:$I$262,0),8),"NA")</f>
        <v>3600000</v>
      </c>
      <c r="M625" s="58"/>
      <c r="N625" s="58">
        <f t="shared" si="23"/>
        <v>3600000</v>
      </c>
      <c r="O625" s="58">
        <f>IFERROR(INDEX([1]INVENTORY!$I$6:$AI$262,MATCH($B625,[1]INVENTORY!$I$6:$I$262,0),9),"NA")</f>
        <v>0</v>
      </c>
      <c r="P625" s="58">
        <f>IFERROR(INDEX([1]INVENTORY!$I$6:$AI$262,MATCH($B625,[1]INVENTORY!$I$6:$I$262,0),10),"NA")</f>
        <v>3600000</v>
      </c>
      <c r="Q625" s="18"/>
    </row>
    <row r="626" spans="2:17" s="17" customFormat="1" ht="13.8">
      <c r="B626" s="55" t="s">
        <v>764</v>
      </c>
      <c r="C626" s="20" t="s">
        <v>1</v>
      </c>
      <c r="D626" s="22" t="s">
        <v>729</v>
      </c>
      <c r="E626" s="56" t="s">
        <v>243</v>
      </c>
      <c r="F626" s="20" t="str">
        <f t="shared" si="21"/>
        <v>Block 07</v>
      </c>
      <c r="G626" s="20" t="str">
        <f t="shared" si="22"/>
        <v>Lot 44</v>
      </c>
      <c r="H626" s="55">
        <v>55</v>
      </c>
      <c r="I626" s="57">
        <v>80</v>
      </c>
      <c r="J626" s="57" t="s">
        <v>743</v>
      </c>
      <c r="K626" s="20" t="s">
        <v>731</v>
      </c>
      <c r="L626" s="58">
        <f>IFERROR(INDEX([1]INVENTORY!$I$6:$AI$262,MATCH($B626,[1]INVENTORY!$I$6:$I$262,0),8),"NA")</f>
        <v>3600000</v>
      </c>
      <c r="M626" s="58"/>
      <c r="N626" s="58">
        <f t="shared" si="23"/>
        <v>3600000</v>
      </c>
      <c r="O626" s="58">
        <f>IFERROR(INDEX([1]INVENTORY!$I$6:$AI$262,MATCH($B626,[1]INVENTORY!$I$6:$I$262,0),9),"NA")</f>
        <v>0</v>
      </c>
      <c r="P626" s="58">
        <f>IFERROR(INDEX([1]INVENTORY!$I$6:$AI$262,MATCH($B626,[1]INVENTORY!$I$6:$I$262,0),10),"NA")</f>
        <v>3600000</v>
      </c>
      <c r="Q626" s="18"/>
    </row>
    <row r="627" spans="2:17" s="17" customFormat="1" ht="13.8">
      <c r="B627" s="55" t="s">
        <v>765</v>
      </c>
      <c r="C627" s="20" t="s">
        <v>1</v>
      </c>
      <c r="D627" s="22" t="s">
        <v>729</v>
      </c>
      <c r="E627" s="56" t="s">
        <v>243</v>
      </c>
      <c r="F627" s="20" t="str">
        <f t="shared" si="21"/>
        <v>Block 09</v>
      </c>
      <c r="G627" s="20" t="str">
        <f t="shared" si="22"/>
        <v>Lot 01</v>
      </c>
      <c r="H627" s="55">
        <v>55</v>
      </c>
      <c r="I627" s="57">
        <v>91</v>
      </c>
      <c r="J627" s="57" t="s">
        <v>730</v>
      </c>
      <c r="K627" s="20" t="s">
        <v>750</v>
      </c>
      <c r="L627" s="58">
        <f>IFERROR(INDEX([1]INVENTORY!$I$6:$AI$262,MATCH($B627,[1]INVENTORY!$I$6:$I$262,0),8),"NA")</f>
        <v>3600000</v>
      </c>
      <c r="M627" s="58"/>
      <c r="N627" s="58">
        <f t="shared" si="23"/>
        <v>3600000</v>
      </c>
      <c r="O627" s="58">
        <f>IFERROR(INDEX([1]INVENTORY!$I$6:$AI$262,MATCH($B627,[1]INVENTORY!$I$6:$I$262,0),9),"NA")</f>
        <v>0</v>
      </c>
      <c r="P627" s="58">
        <f>IFERROR(INDEX([1]INVENTORY!$I$6:$AI$262,MATCH($B627,[1]INVENTORY!$I$6:$I$262,0),10),"NA")</f>
        <v>3600000</v>
      </c>
      <c r="Q627" s="18"/>
    </row>
    <row r="628" spans="2:17" s="17" customFormat="1" ht="13.8">
      <c r="B628" s="55" t="s">
        <v>766</v>
      </c>
      <c r="C628" s="20" t="s">
        <v>1</v>
      </c>
      <c r="D628" s="22" t="s">
        <v>729</v>
      </c>
      <c r="E628" s="56" t="s">
        <v>233</v>
      </c>
      <c r="F628" s="20" t="str">
        <f t="shared" si="21"/>
        <v>Block 09</v>
      </c>
      <c r="G628" s="20" t="str">
        <f t="shared" si="22"/>
        <v>Lot 02</v>
      </c>
      <c r="H628" s="55">
        <v>55</v>
      </c>
      <c r="I628" s="57">
        <v>87</v>
      </c>
      <c r="J628" s="57" t="s">
        <v>743</v>
      </c>
      <c r="K628" s="20" t="s">
        <v>752</v>
      </c>
      <c r="L628" s="58">
        <f>IFERROR(INDEX([1]INVENTORY!$I$6:$AI$262,MATCH($B628,[1]INVENTORY!$I$6:$I$262,0),8),"NA")</f>
        <v>3600000</v>
      </c>
      <c r="M628" s="58"/>
      <c r="N628" s="58">
        <f t="shared" si="23"/>
        <v>3600000</v>
      </c>
      <c r="O628" s="58">
        <f>IFERROR(INDEX([1]INVENTORY!$I$6:$AI$262,MATCH($B628,[1]INVENTORY!$I$6:$I$262,0),9),"NA")</f>
        <v>0</v>
      </c>
      <c r="P628" s="58">
        <f>IFERROR(INDEX([1]INVENTORY!$I$6:$AI$262,MATCH($B628,[1]INVENTORY!$I$6:$I$262,0),10),"NA")</f>
        <v>3600000</v>
      </c>
      <c r="Q628" s="18"/>
    </row>
    <row r="629" spans="2:17" s="17" customFormat="1" ht="13.8">
      <c r="B629" s="55" t="s">
        <v>767</v>
      </c>
      <c r="C629" s="20" t="s">
        <v>1</v>
      </c>
      <c r="D629" s="22" t="s">
        <v>729</v>
      </c>
      <c r="E629" s="56" t="s">
        <v>243</v>
      </c>
      <c r="F629" s="20" t="str">
        <f t="shared" si="21"/>
        <v>Block 09</v>
      </c>
      <c r="G629" s="20" t="str">
        <f t="shared" si="22"/>
        <v>Lot 03</v>
      </c>
      <c r="H629" s="55">
        <v>55</v>
      </c>
      <c r="I629" s="57">
        <v>87</v>
      </c>
      <c r="J629" s="57" t="s">
        <v>743</v>
      </c>
      <c r="K629" s="20" t="s">
        <v>752</v>
      </c>
      <c r="L629" s="58">
        <f>IFERROR(INDEX([1]INVENTORY!$I$6:$AI$262,MATCH($B629,[1]INVENTORY!$I$6:$I$262,0),8),"NA")</f>
        <v>3600000</v>
      </c>
      <c r="M629" s="58"/>
      <c r="N629" s="58">
        <f t="shared" si="23"/>
        <v>3600000</v>
      </c>
      <c r="O629" s="58">
        <f>IFERROR(INDEX([1]INVENTORY!$I$6:$AI$262,MATCH($B629,[1]INVENTORY!$I$6:$I$262,0),9),"NA")</f>
        <v>0</v>
      </c>
      <c r="P629" s="58">
        <f>IFERROR(INDEX([1]INVENTORY!$I$6:$AI$262,MATCH($B629,[1]INVENTORY!$I$6:$I$262,0),10),"NA")</f>
        <v>3600000</v>
      </c>
      <c r="Q629" s="18"/>
    </row>
    <row r="630" spans="2:17" s="17" customFormat="1" ht="13.8">
      <c r="B630" s="55" t="s">
        <v>768</v>
      </c>
      <c r="C630" s="20" t="s">
        <v>1</v>
      </c>
      <c r="D630" s="22" t="s">
        <v>729</v>
      </c>
      <c r="E630" s="56" t="s">
        <v>243</v>
      </c>
      <c r="F630" s="20" t="str">
        <f t="shared" si="21"/>
        <v>Block 09</v>
      </c>
      <c r="G630" s="20" t="str">
        <f t="shared" si="22"/>
        <v>Lot 04</v>
      </c>
      <c r="H630" s="55">
        <v>55</v>
      </c>
      <c r="I630" s="57">
        <v>87</v>
      </c>
      <c r="J630" s="57" t="s">
        <v>743</v>
      </c>
      <c r="K630" s="20" t="s">
        <v>750</v>
      </c>
      <c r="L630" s="58">
        <f>IFERROR(INDEX([1]INVENTORY!$I$6:$AI$262,MATCH($B630,[1]INVENTORY!$I$6:$I$262,0),8),"NA")</f>
        <v>3600000</v>
      </c>
      <c r="M630" s="58"/>
      <c r="N630" s="58">
        <f t="shared" si="23"/>
        <v>3600000</v>
      </c>
      <c r="O630" s="58">
        <f>IFERROR(INDEX([1]INVENTORY!$I$6:$AI$262,MATCH($B630,[1]INVENTORY!$I$6:$I$262,0),9),"NA")</f>
        <v>0</v>
      </c>
      <c r="P630" s="58">
        <f>IFERROR(INDEX([1]INVENTORY!$I$6:$AI$262,MATCH($B630,[1]INVENTORY!$I$6:$I$262,0),10),"NA")</f>
        <v>3600000</v>
      </c>
      <c r="Q630" s="18"/>
    </row>
    <row r="631" spans="2:17" s="17" customFormat="1" ht="13.8">
      <c r="B631" s="55" t="s">
        <v>769</v>
      </c>
      <c r="C631" s="20" t="s">
        <v>1</v>
      </c>
      <c r="D631" s="22" t="s">
        <v>729</v>
      </c>
      <c r="E631" s="56" t="s">
        <v>243</v>
      </c>
      <c r="F631" s="20" t="str">
        <f t="shared" si="21"/>
        <v>Block 06</v>
      </c>
      <c r="G631" s="20" t="str">
        <f t="shared" si="22"/>
        <v>Lot 09</v>
      </c>
      <c r="H631" s="55">
        <v>55</v>
      </c>
      <c r="I631" s="57">
        <v>96</v>
      </c>
      <c r="J631" s="57" t="s">
        <v>730</v>
      </c>
      <c r="K631" s="20" t="s">
        <v>737</v>
      </c>
      <c r="L631" s="58">
        <f>IFERROR(INDEX([1]INVENTORY!$I$6:$AI$262,MATCH($B631,[1]INVENTORY!$I$6:$I$262,0),8),"NA")</f>
        <v>3600000</v>
      </c>
      <c r="M631" s="58"/>
      <c r="N631" s="58">
        <f t="shared" si="23"/>
        <v>3600000</v>
      </c>
      <c r="O631" s="58">
        <f>IFERROR(INDEX([1]INVENTORY!$I$6:$AI$262,MATCH($B631,[1]INVENTORY!$I$6:$I$262,0),9),"NA")</f>
        <v>0</v>
      </c>
      <c r="P631" s="58">
        <f>IFERROR(INDEX([1]INVENTORY!$I$6:$AI$262,MATCH($B631,[1]INVENTORY!$I$6:$I$262,0),10),"NA")</f>
        <v>3600000</v>
      </c>
      <c r="Q631" s="18"/>
    </row>
    <row r="632" spans="2:17" s="17" customFormat="1" ht="13.8">
      <c r="B632" s="55" t="s">
        <v>770</v>
      </c>
      <c r="C632" s="20" t="s">
        <v>1</v>
      </c>
      <c r="D632" s="22" t="s">
        <v>729</v>
      </c>
      <c r="E632" s="56" t="s">
        <v>233</v>
      </c>
      <c r="F632" s="20" t="str">
        <f t="shared" si="21"/>
        <v>Block 06</v>
      </c>
      <c r="G632" s="20" t="str">
        <f t="shared" si="22"/>
        <v>Lot 10</v>
      </c>
      <c r="H632" s="55">
        <v>55</v>
      </c>
      <c r="I632" s="57">
        <v>96</v>
      </c>
      <c r="J632" s="57" t="s">
        <v>730</v>
      </c>
      <c r="K632" s="20" t="s">
        <v>735</v>
      </c>
      <c r="L632" s="58">
        <f>IFERROR(INDEX([1]INVENTORY!$I$6:$AI$262,MATCH($B632,[1]INVENTORY!$I$6:$I$262,0),8),"NA")</f>
        <v>3600000</v>
      </c>
      <c r="M632" s="58"/>
      <c r="N632" s="58">
        <f t="shared" si="23"/>
        <v>3600000</v>
      </c>
      <c r="O632" s="58">
        <f>IFERROR(INDEX([1]INVENTORY!$I$6:$AI$262,MATCH($B632,[1]INVENTORY!$I$6:$I$262,0),9),"NA")</f>
        <v>0</v>
      </c>
      <c r="P632" s="58">
        <f>IFERROR(INDEX([1]INVENTORY!$I$6:$AI$262,MATCH($B632,[1]INVENTORY!$I$6:$I$262,0),10),"NA")</f>
        <v>3600000</v>
      </c>
      <c r="Q632" s="18"/>
    </row>
    <row r="633" spans="2:17" s="17" customFormat="1" ht="13.8">
      <c r="B633" s="55" t="s">
        <v>771</v>
      </c>
      <c r="C633" s="20" t="s">
        <v>1</v>
      </c>
      <c r="D633" s="22" t="s">
        <v>729</v>
      </c>
      <c r="E633" s="56" t="s">
        <v>233</v>
      </c>
      <c r="F633" s="20" t="str">
        <f t="shared" si="21"/>
        <v>Block 06</v>
      </c>
      <c r="G633" s="20" t="str">
        <f t="shared" si="22"/>
        <v>Lot 11</v>
      </c>
      <c r="H633" s="55">
        <v>55</v>
      </c>
      <c r="I633" s="57">
        <v>96</v>
      </c>
      <c r="J633" s="57" t="s">
        <v>730</v>
      </c>
      <c r="K633" s="20" t="s">
        <v>733</v>
      </c>
      <c r="L633" s="58">
        <f>IFERROR(INDEX([1]INVENTORY!$I$6:$AI$262,MATCH($B633,[1]INVENTORY!$I$6:$I$262,0),8),"NA")</f>
        <v>3600000</v>
      </c>
      <c r="M633" s="58"/>
      <c r="N633" s="58">
        <f t="shared" si="23"/>
        <v>3600000</v>
      </c>
      <c r="O633" s="58">
        <f>IFERROR(INDEX([1]INVENTORY!$I$6:$AI$262,MATCH($B633,[1]INVENTORY!$I$6:$I$262,0),9),"NA")</f>
        <v>0</v>
      </c>
      <c r="P633" s="58">
        <f>IFERROR(INDEX([1]INVENTORY!$I$6:$AI$262,MATCH($B633,[1]INVENTORY!$I$6:$I$262,0),10),"NA")</f>
        <v>3600000</v>
      </c>
      <c r="Q633" s="18"/>
    </row>
    <row r="634" spans="2:17" s="17" customFormat="1" ht="13.8">
      <c r="B634" s="55" t="s">
        <v>772</v>
      </c>
      <c r="C634" s="20" t="s">
        <v>1</v>
      </c>
      <c r="D634" s="22" t="s">
        <v>729</v>
      </c>
      <c r="E634" s="56" t="s">
        <v>233</v>
      </c>
      <c r="F634" s="20" t="str">
        <f t="shared" si="21"/>
        <v>Block 06</v>
      </c>
      <c r="G634" s="20" t="str">
        <f t="shared" si="22"/>
        <v>Lot 12</v>
      </c>
      <c r="H634" s="55">
        <v>55</v>
      </c>
      <c r="I634" s="57">
        <v>96</v>
      </c>
      <c r="J634" s="57" t="s">
        <v>730</v>
      </c>
      <c r="K634" s="20" t="s">
        <v>731</v>
      </c>
      <c r="L634" s="58">
        <f>IFERROR(INDEX([1]INVENTORY!$I$6:$AI$262,MATCH($B634,[1]INVENTORY!$I$6:$I$262,0),8),"NA")</f>
        <v>3600000</v>
      </c>
      <c r="M634" s="58"/>
      <c r="N634" s="58">
        <f t="shared" si="23"/>
        <v>3600000</v>
      </c>
      <c r="O634" s="58">
        <f>IFERROR(INDEX([1]INVENTORY!$I$6:$AI$262,MATCH($B634,[1]INVENTORY!$I$6:$I$262,0),9),"NA")</f>
        <v>0</v>
      </c>
      <c r="P634" s="58">
        <f>IFERROR(INDEX([1]INVENTORY!$I$6:$AI$262,MATCH($B634,[1]INVENTORY!$I$6:$I$262,0),10),"NA")</f>
        <v>3600000</v>
      </c>
      <c r="Q634" s="18"/>
    </row>
    <row r="635" spans="2:17" s="17" customFormat="1" ht="13.8">
      <c r="B635" s="55" t="s">
        <v>773</v>
      </c>
      <c r="C635" s="20" t="s">
        <v>1</v>
      </c>
      <c r="D635" s="22" t="s">
        <v>729</v>
      </c>
      <c r="E635" s="56" t="s">
        <v>233</v>
      </c>
      <c r="F635" s="20" t="str">
        <f t="shared" si="21"/>
        <v>Block 06</v>
      </c>
      <c r="G635" s="20" t="str">
        <f t="shared" si="22"/>
        <v>Lot 13</v>
      </c>
      <c r="H635" s="55">
        <v>55</v>
      </c>
      <c r="I635" s="57">
        <v>96</v>
      </c>
      <c r="J635" s="57" t="s">
        <v>730</v>
      </c>
      <c r="K635" s="20" t="s">
        <v>731</v>
      </c>
      <c r="L635" s="58">
        <f>IFERROR(INDEX([1]INVENTORY!$I$6:$AI$262,MATCH($B635,[1]INVENTORY!$I$6:$I$262,0),8),"NA")</f>
        <v>3600000</v>
      </c>
      <c r="M635" s="58"/>
      <c r="N635" s="58">
        <f t="shared" si="23"/>
        <v>3600000</v>
      </c>
      <c r="O635" s="58">
        <f>IFERROR(INDEX([1]INVENTORY!$I$6:$AI$262,MATCH($B635,[1]INVENTORY!$I$6:$I$262,0),9),"NA")</f>
        <v>0</v>
      </c>
      <c r="P635" s="58">
        <f>IFERROR(INDEX([1]INVENTORY!$I$6:$AI$262,MATCH($B635,[1]INVENTORY!$I$6:$I$262,0),10),"NA")</f>
        <v>3600000</v>
      </c>
      <c r="Q635" s="18"/>
    </row>
    <row r="636" spans="2:17" s="17" customFormat="1" ht="13.8">
      <c r="B636" s="55" t="s">
        <v>774</v>
      </c>
      <c r="C636" s="20" t="s">
        <v>1</v>
      </c>
      <c r="D636" s="22" t="s">
        <v>729</v>
      </c>
      <c r="E636" s="56" t="s">
        <v>233</v>
      </c>
      <c r="F636" s="20" t="str">
        <f t="shared" si="21"/>
        <v>Block 06</v>
      </c>
      <c r="G636" s="20" t="str">
        <f t="shared" si="22"/>
        <v>Lot 14</v>
      </c>
      <c r="H636" s="55">
        <v>55</v>
      </c>
      <c r="I636" s="57">
        <v>96</v>
      </c>
      <c r="J636" s="57" t="s">
        <v>730</v>
      </c>
      <c r="K636" s="20" t="s">
        <v>733</v>
      </c>
      <c r="L636" s="58">
        <f>IFERROR(INDEX([1]INVENTORY!$I$6:$AI$262,MATCH($B636,[1]INVENTORY!$I$6:$I$262,0),8),"NA")</f>
        <v>3600000</v>
      </c>
      <c r="M636" s="58"/>
      <c r="N636" s="58">
        <f t="shared" si="23"/>
        <v>3600000</v>
      </c>
      <c r="O636" s="58">
        <f>IFERROR(INDEX([1]INVENTORY!$I$6:$AI$262,MATCH($B636,[1]INVENTORY!$I$6:$I$262,0),9),"NA")</f>
        <v>0</v>
      </c>
      <c r="P636" s="58">
        <f>IFERROR(INDEX([1]INVENTORY!$I$6:$AI$262,MATCH($B636,[1]INVENTORY!$I$6:$I$262,0),10),"NA")</f>
        <v>3600000</v>
      </c>
      <c r="Q636" s="18"/>
    </row>
    <row r="637" spans="2:17" s="17" customFormat="1" ht="13.8">
      <c r="B637" s="55" t="s">
        <v>775</v>
      </c>
      <c r="C637" s="20" t="s">
        <v>1</v>
      </c>
      <c r="D637" s="22" t="s">
        <v>729</v>
      </c>
      <c r="E637" s="56" t="s">
        <v>243</v>
      </c>
      <c r="F637" s="20" t="str">
        <f t="shared" si="21"/>
        <v>Block 07</v>
      </c>
      <c r="G637" s="20" t="str">
        <f t="shared" si="22"/>
        <v>Lot 40</v>
      </c>
      <c r="H637" s="55">
        <v>55</v>
      </c>
      <c r="I637" s="57">
        <v>80</v>
      </c>
      <c r="J637" s="57" t="s">
        <v>743</v>
      </c>
      <c r="K637" s="20" t="s">
        <v>752</v>
      </c>
      <c r="L637" s="58">
        <f>IFERROR(INDEX([1]INVENTORY!$I$6:$AI$262,MATCH($B637,[1]INVENTORY!$I$6:$I$262,0),8),"NA")</f>
        <v>3600000</v>
      </c>
      <c r="M637" s="58"/>
      <c r="N637" s="58">
        <f t="shared" si="23"/>
        <v>3600000</v>
      </c>
      <c r="O637" s="58">
        <f>IFERROR(INDEX([1]INVENTORY!$I$6:$AI$262,MATCH($B637,[1]INVENTORY!$I$6:$I$262,0),9),"NA")</f>
        <v>0</v>
      </c>
      <c r="P637" s="58">
        <f>IFERROR(INDEX([1]INVENTORY!$I$6:$AI$262,MATCH($B637,[1]INVENTORY!$I$6:$I$262,0),10),"NA")</f>
        <v>3600000</v>
      </c>
      <c r="Q637" s="18"/>
    </row>
    <row r="638" spans="2:17" s="17" customFormat="1" ht="13.8">
      <c r="B638" s="55" t="s">
        <v>776</v>
      </c>
      <c r="C638" s="20" t="s">
        <v>1</v>
      </c>
      <c r="D638" s="22" t="s">
        <v>729</v>
      </c>
      <c r="E638" s="56" t="s">
        <v>243</v>
      </c>
      <c r="F638" s="20" t="str">
        <f t="shared" si="21"/>
        <v>Block 07</v>
      </c>
      <c r="G638" s="20" t="str">
        <f t="shared" si="22"/>
        <v>Lot 41</v>
      </c>
      <c r="H638" s="55">
        <v>55</v>
      </c>
      <c r="I638" s="57">
        <v>80</v>
      </c>
      <c r="J638" s="57" t="s">
        <v>743</v>
      </c>
      <c r="K638" s="20" t="s">
        <v>752</v>
      </c>
      <c r="L638" s="58">
        <f>IFERROR(INDEX([1]INVENTORY!$I$6:$AI$262,MATCH($B638,[1]INVENTORY!$I$6:$I$262,0),8),"NA")</f>
        <v>3600000</v>
      </c>
      <c r="M638" s="58"/>
      <c r="N638" s="58">
        <f t="shared" si="23"/>
        <v>3600000</v>
      </c>
      <c r="O638" s="58">
        <f>IFERROR(INDEX([1]INVENTORY!$I$6:$AI$262,MATCH($B638,[1]INVENTORY!$I$6:$I$262,0),9),"NA")</f>
        <v>0</v>
      </c>
      <c r="P638" s="58">
        <f>IFERROR(INDEX([1]INVENTORY!$I$6:$AI$262,MATCH($B638,[1]INVENTORY!$I$6:$I$262,0),10),"NA")</f>
        <v>3600000</v>
      </c>
      <c r="Q638" s="18"/>
    </row>
    <row r="639" spans="2:17" s="17" customFormat="1" ht="13.8">
      <c r="B639" s="55" t="s">
        <v>777</v>
      </c>
      <c r="C639" s="20" t="s">
        <v>1</v>
      </c>
      <c r="D639" s="22" t="s">
        <v>729</v>
      </c>
      <c r="E639" s="56" t="s">
        <v>243</v>
      </c>
      <c r="F639" s="20" t="str">
        <f t="shared" si="21"/>
        <v>Block 07</v>
      </c>
      <c r="G639" s="20" t="str">
        <f t="shared" si="22"/>
        <v>Lot 42</v>
      </c>
      <c r="H639" s="55">
        <v>55</v>
      </c>
      <c r="I639" s="57">
        <v>80</v>
      </c>
      <c r="J639" s="57" t="s">
        <v>743</v>
      </c>
      <c r="K639" s="20" t="s">
        <v>750</v>
      </c>
      <c r="L639" s="58">
        <f>IFERROR(INDEX([1]INVENTORY!$I$6:$AI$262,MATCH($B639,[1]INVENTORY!$I$6:$I$262,0),8),"NA")</f>
        <v>3600000</v>
      </c>
      <c r="M639" s="58"/>
      <c r="N639" s="58">
        <f t="shared" si="23"/>
        <v>3600000</v>
      </c>
      <c r="O639" s="58">
        <f>IFERROR(INDEX([1]INVENTORY!$I$6:$AI$262,MATCH($B639,[1]INVENTORY!$I$6:$I$262,0),9),"NA")</f>
        <v>0</v>
      </c>
      <c r="P639" s="58">
        <f>IFERROR(INDEX([1]INVENTORY!$I$6:$AI$262,MATCH($B639,[1]INVENTORY!$I$6:$I$262,0),10),"NA")</f>
        <v>3600000</v>
      </c>
      <c r="Q639" s="18"/>
    </row>
    <row r="640" spans="2:17" s="17" customFormat="1" ht="13.8">
      <c r="B640" s="55" t="s">
        <v>778</v>
      </c>
      <c r="C640" s="20" t="s">
        <v>1</v>
      </c>
      <c r="D640" s="22" t="s">
        <v>729</v>
      </c>
      <c r="E640" s="56" t="s">
        <v>243</v>
      </c>
      <c r="F640" s="20" t="str">
        <f t="shared" si="21"/>
        <v>Block 07</v>
      </c>
      <c r="G640" s="20" t="str">
        <f t="shared" si="22"/>
        <v>Lot 43</v>
      </c>
      <c r="H640" s="55">
        <v>55</v>
      </c>
      <c r="I640" s="57">
        <v>80</v>
      </c>
      <c r="J640" s="57" t="s">
        <v>743</v>
      </c>
      <c r="K640" s="20" t="s">
        <v>733</v>
      </c>
      <c r="L640" s="58">
        <f>IFERROR(INDEX([1]INVENTORY!$I$6:$AI$262,MATCH($B640,[1]INVENTORY!$I$6:$I$262,0),8),"NA")</f>
        <v>3600000</v>
      </c>
      <c r="M640" s="58"/>
      <c r="N640" s="58">
        <f t="shared" si="23"/>
        <v>3600000</v>
      </c>
      <c r="O640" s="58">
        <f>IFERROR(INDEX([1]INVENTORY!$I$6:$AI$262,MATCH($B640,[1]INVENTORY!$I$6:$I$262,0),9),"NA")</f>
        <v>0</v>
      </c>
      <c r="P640" s="58">
        <f>IFERROR(INDEX([1]INVENTORY!$I$6:$AI$262,MATCH($B640,[1]INVENTORY!$I$6:$I$262,0),10),"NA")</f>
        <v>3600000</v>
      </c>
      <c r="Q640" s="18"/>
    </row>
    <row r="641" spans="2:17" s="17" customFormat="1" ht="13.8">
      <c r="B641" s="55" t="s">
        <v>779</v>
      </c>
      <c r="C641" s="20" t="s">
        <v>1</v>
      </c>
      <c r="D641" s="22" t="s">
        <v>729</v>
      </c>
      <c r="E641" s="56" t="s">
        <v>233</v>
      </c>
      <c r="F641" s="20" t="str">
        <f t="shared" si="21"/>
        <v>Block 09</v>
      </c>
      <c r="G641" s="20" t="str">
        <f t="shared" si="22"/>
        <v>Lot 07</v>
      </c>
      <c r="H641" s="55">
        <v>55</v>
      </c>
      <c r="I641" s="57">
        <v>92</v>
      </c>
      <c r="J641" s="57" t="s">
        <v>730</v>
      </c>
      <c r="K641" s="20" t="s">
        <v>735</v>
      </c>
      <c r="L641" s="58">
        <f>IFERROR(INDEX([1]INVENTORY!$I$6:$AI$262,MATCH($B641,[1]INVENTORY!$I$6:$I$262,0),8),"NA")</f>
        <v>3600000</v>
      </c>
      <c r="M641" s="58"/>
      <c r="N641" s="58">
        <f t="shared" si="23"/>
        <v>3600000</v>
      </c>
      <c r="O641" s="58">
        <f>IFERROR(INDEX([1]INVENTORY!$I$6:$AI$262,MATCH($B641,[1]INVENTORY!$I$6:$I$262,0),9),"NA")</f>
        <v>0</v>
      </c>
      <c r="P641" s="58">
        <f>IFERROR(INDEX([1]INVENTORY!$I$6:$AI$262,MATCH($B641,[1]INVENTORY!$I$6:$I$262,0),10),"NA")</f>
        <v>3600000</v>
      </c>
      <c r="Q641" s="18"/>
    </row>
    <row r="642" spans="2:17" s="17" customFormat="1" ht="13.8">
      <c r="B642" s="55" t="s">
        <v>780</v>
      </c>
      <c r="C642" s="20" t="s">
        <v>1</v>
      </c>
      <c r="D642" s="22" t="s">
        <v>729</v>
      </c>
      <c r="E642" s="56" t="s">
        <v>233</v>
      </c>
      <c r="F642" s="20" t="str">
        <f t="shared" si="21"/>
        <v>Block 09</v>
      </c>
      <c r="G642" s="20" t="str">
        <f t="shared" si="22"/>
        <v>Lot 08</v>
      </c>
      <c r="H642" s="55">
        <v>55</v>
      </c>
      <c r="I642" s="57">
        <v>93</v>
      </c>
      <c r="J642" s="57" t="s">
        <v>730</v>
      </c>
      <c r="K642" s="20" t="s">
        <v>737</v>
      </c>
      <c r="L642" s="58">
        <f>IFERROR(INDEX([1]INVENTORY!$I$6:$AI$262,MATCH($B642,[1]INVENTORY!$I$6:$I$262,0),8),"NA")</f>
        <v>3600000</v>
      </c>
      <c r="M642" s="58"/>
      <c r="N642" s="58">
        <f t="shared" si="23"/>
        <v>3600000</v>
      </c>
      <c r="O642" s="58">
        <f>IFERROR(INDEX([1]INVENTORY!$I$6:$AI$262,MATCH($B642,[1]INVENTORY!$I$6:$I$262,0),9),"NA")</f>
        <v>0</v>
      </c>
      <c r="P642" s="58">
        <f>IFERROR(INDEX([1]INVENTORY!$I$6:$AI$262,MATCH($B642,[1]INVENTORY!$I$6:$I$262,0),10),"NA")</f>
        <v>3600000</v>
      </c>
      <c r="Q642" s="18"/>
    </row>
    <row r="643" spans="2:17" s="17" customFormat="1" ht="13.8">
      <c r="B643" s="55" t="s">
        <v>781</v>
      </c>
      <c r="C643" s="20" t="s">
        <v>1</v>
      </c>
      <c r="D643" s="22" t="s">
        <v>729</v>
      </c>
      <c r="E643" s="56" t="s">
        <v>243</v>
      </c>
      <c r="F643" s="20" t="str">
        <f t="shared" si="21"/>
        <v>Block 09</v>
      </c>
      <c r="G643" s="20" t="str">
        <f t="shared" si="22"/>
        <v>Lot 05</v>
      </c>
      <c r="H643" s="55">
        <v>55</v>
      </c>
      <c r="I643" s="57">
        <v>88</v>
      </c>
      <c r="J643" s="57" t="s">
        <v>743</v>
      </c>
      <c r="K643" s="20" t="s">
        <v>737</v>
      </c>
      <c r="L643" s="58">
        <f>IFERROR(INDEX([1]INVENTORY!$I$6:$AI$262,MATCH($B643,[1]INVENTORY!$I$6:$I$262,0),8),"NA")</f>
        <v>3600000</v>
      </c>
      <c r="M643" s="58"/>
      <c r="N643" s="58">
        <f t="shared" si="23"/>
        <v>3600000</v>
      </c>
      <c r="O643" s="58">
        <f>IFERROR(INDEX([1]INVENTORY!$I$6:$AI$262,MATCH($B643,[1]INVENTORY!$I$6:$I$262,0),9),"NA")</f>
        <v>0</v>
      </c>
      <c r="P643" s="58">
        <f>IFERROR(INDEX([1]INVENTORY!$I$6:$AI$262,MATCH($B643,[1]INVENTORY!$I$6:$I$262,0),10),"NA")</f>
        <v>3600000</v>
      </c>
      <c r="Q643" s="18"/>
    </row>
    <row r="644" spans="2:17" s="17" customFormat="1" ht="13.8">
      <c r="B644" s="55" t="s">
        <v>782</v>
      </c>
      <c r="C644" s="20" t="s">
        <v>1</v>
      </c>
      <c r="D644" s="22" t="s">
        <v>729</v>
      </c>
      <c r="E644" s="56" t="s">
        <v>233</v>
      </c>
      <c r="F644" s="20" t="str">
        <f t="shared" si="21"/>
        <v>Block 09</v>
      </c>
      <c r="G644" s="20" t="str">
        <f t="shared" si="22"/>
        <v>Lot 06</v>
      </c>
      <c r="H644" s="55">
        <v>55</v>
      </c>
      <c r="I644" s="57">
        <v>90</v>
      </c>
      <c r="J644" s="57" t="s">
        <v>730</v>
      </c>
      <c r="K644" s="20" t="s">
        <v>735</v>
      </c>
      <c r="L644" s="58">
        <f>IFERROR(INDEX([1]INVENTORY!$I$6:$AI$262,MATCH($B644,[1]INVENTORY!$I$6:$I$262,0),8),"NA")</f>
        <v>3600000</v>
      </c>
      <c r="M644" s="58"/>
      <c r="N644" s="58">
        <f t="shared" si="23"/>
        <v>3600000</v>
      </c>
      <c r="O644" s="58">
        <f>IFERROR(INDEX([1]INVENTORY!$I$6:$AI$262,MATCH($B644,[1]INVENTORY!$I$6:$I$262,0),9),"NA")</f>
        <v>0</v>
      </c>
      <c r="P644" s="58">
        <f>IFERROR(INDEX([1]INVENTORY!$I$6:$AI$262,MATCH($B644,[1]INVENTORY!$I$6:$I$262,0),10),"NA")</f>
        <v>3600000</v>
      </c>
      <c r="Q644" s="18"/>
    </row>
    <row r="645" spans="2:17" s="17" customFormat="1" ht="13.8">
      <c r="B645" s="55" t="s">
        <v>783</v>
      </c>
      <c r="C645" s="20" t="s">
        <v>1</v>
      </c>
      <c r="D645" s="22" t="s">
        <v>784</v>
      </c>
      <c r="E645" s="56" t="s">
        <v>22</v>
      </c>
      <c r="F645" s="20" t="str">
        <f t="shared" si="21"/>
        <v>Block 200</v>
      </c>
      <c r="G645" s="20" t="str">
        <f t="shared" si="22"/>
        <v>Lot 04</v>
      </c>
      <c r="H645" s="55">
        <v>55</v>
      </c>
      <c r="I645" s="59">
        <v>104</v>
      </c>
      <c r="J645" s="57" t="s">
        <v>743</v>
      </c>
      <c r="K645" s="20" t="s">
        <v>750</v>
      </c>
      <c r="L645" s="58">
        <f>IFERROR(INDEX([1]INVENTORY!$I$6:$AI$262,MATCH($B645,[1]INVENTORY!$I$6:$I$262,0),8),"NA")</f>
        <v>4600000</v>
      </c>
      <c r="M645" s="58"/>
      <c r="N645" s="58">
        <f t="shared" si="23"/>
        <v>4600000</v>
      </c>
      <c r="O645" s="58">
        <f>IFERROR(INDEX([1]INVENTORY!$I$6:$AI$262,MATCH($B645,[1]INVENTORY!$I$6:$I$262,0),9),"NA")</f>
        <v>492857.14285714284</v>
      </c>
      <c r="P645" s="58">
        <f>IFERROR(INDEX([1]INVENTORY!$I$6:$AI$262,MATCH($B645,[1]INVENTORY!$I$6:$I$262,0),10),"NA")</f>
        <v>4107142.8571428573</v>
      </c>
      <c r="Q645" s="18"/>
    </row>
    <row r="646" spans="2:17" s="17" customFormat="1" ht="13.8">
      <c r="B646" s="55" t="s">
        <v>785</v>
      </c>
      <c r="C646" s="20" t="s">
        <v>1</v>
      </c>
      <c r="D646" s="22" t="s">
        <v>784</v>
      </c>
      <c r="E646" s="56" t="s">
        <v>22</v>
      </c>
      <c r="F646" s="20" t="str">
        <f t="shared" si="21"/>
        <v>Block 200</v>
      </c>
      <c r="G646" s="20" t="str">
        <f t="shared" si="22"/>
        <v>Lot 05</v>
      </c>
      <c r="H646" s="55">
        <v>55</v>
      </c>
      <c r="I646" s="59">
        <v>112</v>
      </c>
      <c r="J646" s="57" t="s">
        <v>743</v>
      </c>
      <c r="K646" s="20" t="s">
        <v>752</v>
      </c>
      <c r="L646" s="58">
        <f>IFERROR(INDEX([1]INVENTORY!$I$6:$AI$262,MATCH($B646,[1]INVENTORY!$I$6:$I$262,0),8),"NA")</f>
        <v>4600000</v>
      </c>
      <c r="M646" s="58"/>
      <c r="N646" s="58">
        <f t="shared" si="23"/>
        <v>4600000</v>
      </c>
      <c r="O646" s="58">
        <f>IFERROR(INDEX([1]INVENTORY!$I$6:$AI$262,MATCH($B646,[1]INVENTORY!$I$6:$I$262,0),9),"NA")</f>
        <v>492857.14285714284</v>
      </c>
      <c r="P646" s="58">
        <f>IFERROR(INDEX([1]INVENTORY!$I$6:$AI$262,MATCH($B646,[1]INVENTORY!$I$6:$I$262,0),10),"NA")</f>
        <v>4107142.8571428573</v>
      </c>
      <c r="Q646" s="18"/>
    </row>
    <row r="647" spans="2:17" s="17" customFormat="1" ht="13.8">
      <c r="B647" s="55" t="s">
        <v>786</v>
      </c>
      <c r="C647" s="20" t="s">
        <v>1</v>
      </c>
      <c r="D647" s="22" t="s">
        <v>787</v>
      </c>
      <c r="E647" s="56" t="s">
        <v>243</v>
      </c>
      <c r="F647" s="20" t="str">
        <f t="shared" si="21"/>
        <v>Block 07</v>
      </c>
      <c r="G647" s="20" t="str">
        <f t="shared" si="22"/>
        <v>Lot 25</v>
      </c>
      <c r="H647" s="55">
        <v>55</v>
      </c>
      <c r="I647" s="57">
        <v>105</v>
      </c>
      <c r="J647" s="57" t="s">
        <v>730</v>
      </c>
      <c r="K647" s="20" t="s">
        <v>735</v>
      </c>
      <c r="L647" s="58">
        <f>IFERROR(INDEX([1]INVENTORY!$I$6:$AI$262,MATCH($B647,[1]INVENTORY!$I$6:$I$262,0),8),"NA")</f>
        <v>4600000</v>
      </c>
      <c r="M647" s="58"/>
      <c r="N647" s="58">
        <f t="shared" si="23"/>
        <v>4600000</v>
      </c>
      <c r="O647" s="58">
        <f>IFERROR(INDEX([1]INVENTORY!$I$6:$AI$262,MATCH($B647,[1]INVENTORY!$I$6:$I$262,0),9),"NA")</f>
        <v>492857.14285714284</v>
      </c>
      <c r="P647" s="58">
        <f>IFERROR(INDEX([1]INVENTORY!$I$6:$AI$262,MATCH($B647,[1]INVENTORY!$I$6:$I$262,0),10),"NA")</f>
        <v>4107142.8571428573</v>
      </c>
      <c r="Q647" s="18"/>
    </row>
    <row r="648" spans="2:17" s="17" customFormat="1" ht="13.8">
      <c r="B648" s="55" t="s">
        <v>788</v>
      </c>
      <c r="C648" s="20" t="s">
        <v>1</v>
      </c>
      <c r="D648" s="22" t="s">
        <v>787</v>
      </c>
      <c r="E648" s="56" t="s">
        <v>243</v>
      </c>
      <c r="F648" s="20" t="str">
        <f t="shared" si="21"/>
        <v>Block 07</v>
      </c>
      <c r="G648" s="20" t="str">
        <f t="shared" si="22"/>
        <v>Lot 26</v>
      </c>
      <c r="H648" s="55">
        <v>55</v>
      </c>
      <c r="I648" s="57">
        <v>80</v>
      </c>
      <c r="J648" s="57" t="s">
        <v>743</v>
      </c>
      <c r="K648" s="20" t="s">
        <v>737</v>
      </c>
      <c r="L648" s="58">
        <f>IFERROR(INDEX([1]INVENTORY!$I$6:$AI$262,MATCH($B648,[1]INVENTORY!$I$6:$I$262,0),8),"NA")</f>
        <v>3600000</v>
      </c>
      <c r="M648" s="58"/>
      <c r="N648" s="58">
        <f t="shared" si="23"/>
        <v>3600000</v>
      </c>
      <c r="O648" s="58">
        <f>IFERROR(INDEX([1]INVENTORY!$I$6:$AI$262,MATCH($B648,[1]INVENTORY!$I$6:$I$262,0),9),"NA")</f>
        <v>0</v>
      </c>
      <c r="P648" s="58">
        <f>IFERROR(INDEX([1]INVENTORY!$I$6:$AI$262,MATCH($B648,[1]INVENTORY!$I$6:$I$262,0),10),"NA")</f>
        <v>3600000</v>
      </c>
      <c r="Q648" s="18"/>
    </row>
    <row r="649" spans="2:17" s="17" customFormat="1" ht="13.8">
      <c r="B649" s="55" t="s">
        <v>789</v>
      </c>
      <c r="C649" s="20" t="s">
        <v>1</v>
      </c>
      <c r="D649" s="22" t="s">
        <v>787</v>
      </c>
      <c r="E649" s="56" t="s">
        <v>233</v>
      </c>
      <c r="F649" s="20" t="str">
        <f t="shared" si="21"/>
        <v>Block 09</v>
      </c>
      <c r="G649" s="20" t="str">
        <f t="shared" si="22"/>
        <v>Lot 13</v>
      </c>
      <c r="H649" s="55">
        <v>55</v>
      </c>
      <c r="I649" s="57">
        <v>102</v>
      </c>
      <c r="J649" s="57" t="s">
        <v>730</v>
      </c>
      <c r="K649" s="20" t="s">
        <v>752</v>
      </c>
      <c r="L649" s="58">
        <f>IFERROR(INDEX([1]INVENTORY!$I$6:$AI$262,MATCH($B649,[1]INVENTORY!$I$6:$I$262,0),8),"NA")</f>
        <v>4600000</v>
      </c>
      <c r="M649" s="58"/>
      <c r="N649" s="58">
        <f t="shared" si="23"/>
        <v>4600000</v>
      </c>
      <c r="O649" s="58">
        <f>IFERROR(INDEX([1]INVENTORY!$I$6:$AI$262,MATCH($B649,[1]INVENTORY!$I$6:$I$262,0),9),"NA")</f>
        <v>492857.14285714284</v>
      </c>
      <c r="P649" s="58">
        <f>IFERROR(INDEX([1]INVENTORY!$I$6:$AI$262,MATCH($B649,[1]INVENTORY!$I$6:$I$262,0),10),"NA")</f>
        <v>4107142.8571428573</v>
      </c>
      <c r="Q649" s="18"/>
    </row>
    <row r="650" spans="2:17" s="17" customFormat="1" ht="13.8">
      <c r="B650" s="55" t="s">
        <v>790</v>
      </c>
      <c r="C650" s="20" t="s">
        <v>1</v>
      </c>
      <c r="D650" s="22" t="s">
        <v>787</v>
      </c>
      <c r="E650" s="56" t="s">
        <v>243</v>
      </c>
      <c r="F650" s="20" t="str">
        <f t="shared" si="21"/>
        <v>Block 09</v>
      </c>
      <c r="G650" s="20" t="str">
        <f t="shared" si="22"/>
        <v>Lot 14</v>
      </c>
      <c r="H650" s="55">
        <v>55</v>
      </c>
      <c r="I650" s="57">
        <v>104</v>
      </c>
      <c r="J650" s="57" t="s">
        <v>730</v>
      </c>
      <c r="K650" s="20" t="s">
        <v>750</v>
      </c>
      <c r="L650" s="58">
        <f>IFERROR(INDEX([1]INVENTORY!$I$6:$AI$262,MATCH($B650,[1]INVENTORY!$I$6:$I$262,0),8),"NA")</f>
        <v>4600000</v>
      </c>
      <c r="M650" s="58"/>
      <c r="N650" s="58">
        <f t="shared" si="23"/>
        <v>4600000</v>
      </c>
      <c r="O650" s="58">
        <f>IFERROR(INDEX([1]INVENTORY!$I$6:$AI$262,MATCH($B650,[1]INVENTORY!$I$6:$I$262,0),9),"NA")</f>
        <v>492857.14285714284</v>
      </c>
      <c r="P650" s="58">
        <f>IFERROR(INDEX([1]INVENTORY!$I$6:$AI$262,MATCH($B650,[1]INVENTORY!$I$6:$I$262,0),10),"NA")</f>
        <v>4107142.8571428573</v>
      </c>
      <c r="Q650" s="18"/>
    </row>
    <row r="651" spans="2:17" s="17" customFormat="1" ht="13.8">
      <c r="B651" s="55" t="s">
        <v>791</v>
      </c>
      <c r="C651" s="20" t="s">
        <v>1</v>
      </c>
      <c r="D651" s="22" t="s">
        <v>787</v>
      </c>
      <c r="E651" s="56" t="s">
        <v>243</v>
      </c>
      <c r="F651" s="20" t="str">
        <f t="shared" si="21"/>
        <v>Block 07</v>
      </c>
      <c r="G651" s="20" t="str">
        <f t="shared" si="22"/>
        <v>Lot 27</v>
      </c>
      <c r="H651" s="55">
        <v>55</v>
      </c>
      <c r="I651" s="57">
        <v>80</v>
      </c>
      <c r="J651" s="57" t="s">
        <v>743</v>
      </c>
      <c r="K651" s="20" t="s">
        <v>750</v>
      </c>
      <c r="L651" s="58">
        <f>IFERROR(INDEX([1]INVENTORY!$I$6:$AI$262,MATCH($B651,[1]INVENTORY!$I$6:$I$262,0),8),"NA")</f>
        <v>3600000</v>
      </c>
      <c r="M651" s="58"/>
      <c r="N651" s="58">
        <f t="shared" si="23"/>
        <v>3600000</v>
      </c>
      <c r="O651" s="58">
        <f>IFERROR(INDEX([1]INVENTORY!$I$6:$AI$262,MATCH($B651,[1]INVENTORY!$I$6:$I$262,0),9),"NA")</f>
        <v>0</v>
      </c>
      <c r="P651" s="58">
        <f>IFERROR(INDEX([1]INVENTORY!$I$6:$AI$262,MATCH($B651,[1]INVENTORY!$I$6:$I$262,0),10),"NA")</f>
        <v>3600000</v>
      </c>
      <c r="Q651" s="18"/>
    </row>
    <row r="652" spans="2:17" s="17" customFormat="1" ht="13.8">
      <c r="B652" s="55" t="s">
        <v>792</v>
      </c>
      <c r="C652" s="20" t="s">
        <v>1</v>
      </c>
      <c r="D652" s="22" t="s">
        <v>787</v>
      </c>
      <c r="E652" s="56" t="s">
        <v>243</v>
      </c>
      <c r="F652" s="20" t="str">
        <f t="shared" si="21"/>
        <v>Block 07</v>
      </c>
      <c r="G652" s="20" t="str">
        <f t="shared" si="22"/>
        <v>Lot 28</v>
      </c>
      <c r="H652" s="55">
        <v>55</v>
      </c>
      <c r="I652" s="57">
        <v>80</v>
      </c>
      <c r="J652" s="57" t="s">
        <v>743</v>
      </c>
      <c r="K652" s="20" t="s">
        <v>752</v>
      </c>
      <c r="L652" s="58">
        <f>IFERROR(INDEX([1]INVENTORY!$I$6:$AI$262,MATCH($B652,[1]INVENTORY!$I$6:$I$262,0),8),"NA")</f>
        <v>3600000</v>
      </c>
      <c r="M652" s="58"/>
      <c r="N652" s="58">
        <f t="shared" si="23"/>
        <v>3600000</v>
      </c>
      <c r="O652" s="58">
        <f>IFERROR(INDEX([1]INVENTORY!$I$6:$AI$262,MATCH($B652,[1]INVENTORY!$I$6:$I$262,0),9),"NA")</f>
        <v>0</v>
      </c>
      <c r="P652" s="58">
        <f>IFERROR(INDEX([1]INVENTORY!$I$6:$AI$262,MATCH($B652,[1]INVENTORY!$I$6:$I$262,0),10),"NA")</f>
        <v>3600000</v>
      </c>
      <c r="Q652" s="18"/>
    </row>
    <row r="653" spans="2:17" s="17" customFormat="1" ht="13.8">
      <c r="B653" s="55" t="s">
        <v>793</v>
      </c>
      <c r="C653" s="20" t="s">
        <v>1</v>
      </c>
      <c r="D653" s="22" t="s">
        <v>787</v>
      </c>
      <c r="E653" s="56" t="s">
        <v>233</v>
      </c>
      <c r="F653" s="20" t="str">
        <f t="shared" si="21"/>
        <v>Block 06</v>
      </c>
      <c r="G653" s="20" t="str">
        <f t="shared" si="22"/>
        <v>Lot 05</v>
      </c>
      <c r="H653" s="55">
        <v>55</v>
      </c>
      <c r="I653" s="57">
        <v>96</v>
      </c>
      <c r="J653" s="57" t="s">
        <v>730</v>
      </c>
      <c r="K653" s="20" t="s">
        <v>752</v>
      </c>
      <c r="L653" s="58">
        <f>IFERROR(INDEX([1]INVENTORY!$I$6:$AI$262,MATCH($B653,[1]INVENTORY!$I$6:$I$262,0),8),"NA")</f>
        <v>3600000</v>
      </c>
      <c r="M653" s="58"/>
      <c r="N653" s="58">
        <f t="shared" si="23"/>
        <v>3600000</v>
      </c>
      <c r="O653" s="58">
        <f>IFERROR(INDEX([1]INVENTORY!$I$6:$AI$262,MATCH($B653,[1]INVENTORY!$I$6:$I$262,0),9),"NA")</f>
        <v>0</v>
      </c>
      <c r="P653" s="58">
        <f>IFERROR(INDEX([1]INVENTORY!$I$6:$AI$262,MATCH($B653,[1]INVENTORY!$I$6:$I$262,0),10),"NA")</f>
        <v>3600000</v>
      </c>
      <c r="Q653" s="18"/>
    </row>
    <row r="654" spans="2:17" s="17" customFormat="1" ht="13.8">
      <c r="B654" s="55" t="s">
        <v>794</v>
      </c>
      <c r="C654" s="20" t="s">
        <v>1</v>
      </c>
      <c r="D654" s="22" t="s">
        <v>787</v>
      </c>
      <c r="E654" s="56" t="s">
        <v>233</v>
      </c>
      <c r="F654" s="20" t="str">
        <f t="shared" si="21"/>
        <v>Block 06</v>
      </c>
      <c r="G654" s="20" t="str">
        <f t="shared" si="22"/>
        <v>Lot 06</v>
      </c>
      <c r="H654" s="55">
        <v>55</v>
      </c>
      <c r="I654" s="57">
        <v>96</v>
      </c>
      <c r="J654" s="57" t="s">
        <v>730</v>
      </c>
      <c r="K654" s="20" t="s">
        <v>750</v>
      </c>
      <c r="L654" s="58">
        <f>IFERROR(INDEX([1]INVENTORY!$I$6:$AI$262,MATCH($B654,[1]INVENTORY!$I$6:$I$262,0),8),"NA")</f>
        <v>3600000</v>
      </c>
      <c r="M654" s="58"/>
      <c r="N654" s="58">
        <f t="shared" si="23"/>
        <v>3600000</v>
      </c>
      <c r="O654" s="58">
        <f>IFERROR(INDEX([1]INVENTORY!$I$6:$AI$262,MATCH($B654,[1]INVENTORY!$I$6:$I$262,0),9),"NA")</f>
        <v>0</v>
      </c>
      <c r="P654" s="58">
        <f>IFERROR(INDEX([1]INVENTORY!$I$6:$AI$262,MATCH($B654,[1]INVENTORY!$I$6:$I$262,0),10),"NA")</f>
        <v>3600000</v>
      </c>
      <c r="Q654" s="18"/>
    </row>
    <row r="655" spans="2:17" s="17" customFormat="1" ht="13.8">
      <c r="B655" s="55" t="s">
        <v>795</v>
      </c>
      <c r="C655" s="20" t="s">
        <v>1</v>
      </c>
      <c r="D655" s="22" t="s">
        <v>787</v>
      </c>
      <c r="E655" s="56" t="s">
        <v>243</v>
      </c>
      <c r="F655" s="20" t="str">
        <f t="shared" si="21"/>
        <v>Block 06</v>
      </c>
      <c r="G655" s="20" t="str">
        <f t="shared" si="22"/>
        <v>Lot 07</v>
      </c>
      <c r="H655" s="55">
        <v>55</v>
      </c>
      <c r="I655" s="57">
        <v>96</v>
      </c>
      <c r="J655" s="57" t="s">
        <v>730</v>
      </c>
      <c r="K655" s="20" t="s">
        <v>735</v>
      </c>
      <c r="L655" s="58">
        <f>IFERROR(INDEX([1]INVENTORY!$I$6:$AI$262,MATCH($B655,[1]INVENTORY!$I$6:$I$262,0),8),"NA")</f>
        <v>3600000</v>
      </c>
      <c r="M655" s="58"/>
      <c r="N655" s="58">
        <f t="shared" si="23"/>
        <v>3600000</v>
      </c>
      <c r="O655" s="58">
        <f>IFERROR(INDEX([1]INVENTORY!$I$6:$AI$262,MATCH($B655,[1]INVENTORY!$I$6:$I$262,0),9),"NA")</f>
        <v>0</v>
      </c>
      <c r="P655" s="58">
        <f>IFERROR(INDEX([1]INVENTORY!$I$6:$AI$262,MATCH($B655,[1]INVENTORY!$I$6:$I$262,0),10),"NA")</f>
        <v>3600000</v>
      </c>
      <c r="Q655" s="18"/>
    </row>
    <row r="656" spans="2:17" s="17" customFormat="1" ht="13.8">
      <c r="B656" s="55" t="s">
        <v>796</v>
      </c>
      <c r="C656" s="20" t="s">
        <v>1</v>
      </c>
      <c r="D656" s="22" t="s">
        <v>787</v>
      </c>
      <c r="E656" s="56" t="s">
        <v>233</v>
      </c>
      <c r="F656" s="20" t="str">
        <f t="shared" si="21"/>
        <v>Block 06</v>
      </c>
      <c r="G656" s="20" t="str">
        <f t="shared" si="22"/>
        <v>Lot 08</v>
      </c>
      <c r="H656" s="55">
        <v>55</v>
      </c>
      <c r="I656" s="57">
        <v>96</v>
      </c>
      <c r="J656" s="57" t="s">
        <v>730</v>
      </c>
      <c r="K656" s="20" t="s">
        <v>737</v>
      </c>
      <c r="L656" s="58">
        <f>IFERROR(INDEX([1]INVENTORY!$I$6:$AI$262,MATCH($B656,[1]INVENTORY!$I$6:$I$262,0),8),"NA")</f>
        <v>3600000</v>
      </c>
      <c r="M656" s="58"/>
      <c r="N656" s="58">
        <f t="shared" si="23"/>
        <v>3600000</v>
      </c>
      <c r="O656" s="58">
        <f>IFERROR(INDEX([1]INVENTORY!$I$6:$AI$262,MATCH($B656,[1]INVENTORY!$I$6:$I$262,0),9),"NA")</f>
        <v>0</v>
      </c>
      <c r="P656" s="58">
        <f>IFERROR(INDEX([1]INVENTORY!$I$6:$AI$262,MATCH($B656,[1]INVENTORY!$I$6:$I$262,0),10),"NA")</f>
        <v>3600000</v>
      </c>
      <c r="Q656" s="18"/>
    </row>
    <row r="657" spans="2:17" s="17" customFormat="1" ht="13.8">
      <c r="B657" s="55" t="s">
        <v>797</v>
      </c>
      <c r="C657" s="20" t="s">
        <v>1</v>
      </c>
      <c r="D657" s="22" t="s">
        <v>787</v>
      </c>
      <c r="E657" s="56" t="s">
        <v>233</v>
      </c>
      <c r="F657" s="20" t="str">
        <f t="shared" si="21"/>
        <v>Block 07</v>
      </c>
      <c r="G657" s="20" t="str">
        <f t="shared" si="22"/>
        <v>Lot 10</v>
      </c>
      <c r="H657" s="55">
        <v>55</v>
      </c>
      <c r="I657" s="57">
        <v>96</v>
      </c>
      <c r="J657" s="57" t="s">
        <v>730</v>
      </c>
      <c r="K657" s="20" t="s">
        <v>733</v>
      </c>
      <c r="L657" s="58">
        <f>IFERROR(INDEX([1]INVENTORY!$I$6:$AI$262,MATCH($B657,[1]INVENTORY!$I$6:$I$262,0),8),"NA")</f>
        <v>3600000</v>
      </c>
      <c r="M657" s="58"/>
      <c r="N657" s="58">
        <f t="shared" si="23"/>
        <v>3600000</v>
      </c>
      <c r="O657" s="58">
        <f>IFERROR(INDEX([1]INVENTORY!$I$6:$AI$262,MATCH($B657,[1]INVENTORY!$I$6:$I$262,0),9),"NA")</f>
        <v>0</v>
      </c>
      <c r="P657" s="58">
        <f>IFERROR(INDEX([1]INVENTORY!$I$6:$AI$262,MATCH($B657,[1]INVENTORY!$I$6:$I$262,0),10),"NA")</f>
        <v>3600000</v>
      </c>
      <c r="Q657" s="18"/>
    </row>
    <row r="658" spans="2:17" s="17" customFormat="1" ht="13.8">
      <c r="B658" s="55" t="s">
        <v>798</v>
      </c>
      <c r="C658" s="20" t="s">
        <v>1</v>
      </c>
      <c r="D658" s="22" t="s">
        <v>787</v>
      </c>
      <c r="E658" s="56" t="s">
        <v>243</v>
      </c>
      <c r="F658" s="20" t="str">
        <f t="shared" si="21"/>
        <v>Block 07</v>
      </c>
      <c r="G658" s="20" t="str">
        <f t="shared" si="22"/>
        <v>Lot 11</v>
      </c>
      <c r="H658" s="55">
        <v>55</v>
      </c>
      <c r="I658" s="57">
        <v>96</v>
      </c>
      <c r="J658" s="57" t="s">
        <v>730</v>
      </c>
      <c r="K658" s="20" t="s">
        <v>750</v>
      </c>
      <c r="L658" s="58">
        <f>IFERROR(INDEX([1]INVENTORY!$I$6:$AI$262,MATCH($B658,[1]INVENTORY!$I$6:$I$262,0),8),"NA")</f>
        <v>3600000</v>
      </c>
      <c r="M658" s="58"/>
      <c r="N658" s="58">
        <f t="shared" si="23"/>
        <v>3600000</v>
      </c>
      <c r="O658" s="58">
        <f>IFERROR(INDEX([1]INVENTORY!$I$6:$AI$262,MATCH($B658,[1]INVENTORY!$I$6:$I$262,0),9),"NA")</f>
        <v>0</v>
      </c>
      <c r="P658" s="58">
        <f>IFERROR(INDEX([1]INVENTORY!$I$6:$AI$262,MATCH($B658,[1]INVENTORY!$I$6:$I$262,0),10),"NA")</f>
        <v>3600000</v>
      </c>
      <c r="Q658" s="18"/>
    </row>
    <row r="659" spans="2:17" s="17" customFormat="1" ht="13.8">
      <c r="B659" s="55" t="s">
        <v>799</v>
      </c>
      <c r="C659" s="20" t="s">
        <v>1</v>
      </c>
      <c r="D659" s="22" t="s">
        <v>787</v>
      </c>
      <c r="E659" s="56" t="s">
        <v>233</v>
      </c>
      <c r="F659" s="20" t="str">
        <f t="shared" si="21"/>
        <v>Block 07</v>
      </c>
      <c r="G659" s="20" t="str">
        <f t="shared" si="22"/>
        <v>Lot 12</v>
      </c>
      <c r="H659" s="55">
        <v>55</v>
      </c>
      <c r="I659" s="57">
        <v>96</v>
      </c>
      <c r="J659" s="57" t="s">
        <v>730</v>
      </c>
      <c r="K659" s="20" t="s">
        <v>752</v>
      </c>
      <c r="L659" s="58">
        <f>IFERROR(INDEX([1]INVENTORY!$I$6:$AI$262,MATCH($B659,[1]INVENTORY!$I$6:$I$262,0),8),"NA")</f>
        <v>3600000</v>
      </c>
      <c r="M659" s="58"/>
      <c r="N659" s="58">
        <f t="shared" si="23"/>
        <v>3600000</v>
      </c>
      <c r="O659" s="58">
        <f>IFERROR(INDEX([1]INVENTORY!$I$6:$AI$262,MATCH($B659,[1]INVENTORY!$I$6:$I$262,0),9),"NA")</f>
        <v>0</v>
      </c>
      <c r="P659" s="58">
        <f>IFERROR(INDEX([1]INVENTORY!$I$6:$AI$262,MATCH($B659,[1]INVENTORY!$I$6:$I$262,0),10),"NA")</f>
        <v>3600000</v>
      </c>
      <c r="Q659" s="18"/>
    </row>
    <row r="660" spans="2:17" s="17" customFormat="1" ht="13.8">
      <c r="B660" s="55" t="s">
        <v>800</v>
      </c>
      <c r="C660" s="20" t="s">
        <v>1</v>
      </c>
      <c r="D660" s="22" t="s">
        <v>787</v>
      </c>
      <c r="E660" s="56" t="s">
        <v>233</v>
      </c>
      <c r="F660" s="20" t="str">
        <f t="shared" si="21"/>
        <v>Block 07</v>
      </c>
      <c r="G660" s="20" t="str">
        <f t="shared" si="22"/>
        <v>Lot 13</v>
      </c>
      <c r="H660" s="55">
        <v>55</v>
      </c>
      <c r="I660" s="57">
        <v>96</v>
      </c>
      <c r="J660" s="57" t="s">
        <v>730</v>
      </c>
      <c r="K660" s="20" t="s">
        <v>752</v>
      </c>
      <c r="L660" s="58">
        <f>IFERROR(INDEX([1]INVENTORY!$I$6:$AI$262,MATCH($B660,[1]INVENTORY!$I$6:$I$262,0),8),"NA")</f>
        <v>3600000</v>
      </c>
      <c r="M660" s="58"/>
      <c r="N660" s="58">
        <f t="shared" si="23"/>
        <v>3600000</v>
      </c>
      <c r="O660" s="58">
        <f>IFERROR(INDEX([1]INVENTORY!$I$6:$AI$262,MATCH($B660,[1]INVENTORY!$I$6:$I$262,0),9),"NA")</f>
        <v>0</v>
      </c>
      <c r="P660" s="58">
        <f>IFERROR(INDEX([1]INVENTORY!$I$6:$AI$262,MATCH($B660,[1]INVENTORY!$I$6:$I$262,0),10),"NA")</f>
        <v>3600000</v>
      </c>
      <c r="Q660" s="18"/>
    </row>
    <row r="661" spans="2:17" s="17" customFormat="1" ht="13.8">
      <c r="B661" s="55" t="s">
        <v>801</v>
      </c>
      <c r="C661" s="20" t="s">
        <v>1</v>
      </c>
      <c r="D661" s="22" t="s">
        <v>787</v>
      </c>
      <c r="E661" s="56" t="s">
        <v>233</v>
      </c>
      <c r="F661" s="20" t="str">
        <f t="shared" si="21"/>
        <v>Block 07</v>
      </c>
      <c r="G661" s="20" t="str">
        <f t="shared" si="22"/>
        <v>Lot 14</v>
      </c>
      <c r="H661" s="55">
        <v>55</v>
      </c>
      <c r="I661" s="57">
        <v>96</v>
      </c>
      <c r="J661" s="57" t="s">
        <v>730</v>
      </c>
      <c r="K661" s="20" t="s">
        <v>750</v>
      </c>
      <c r="L661" s="58">
        <f>IFERROR(INDEX([1]INVENTORY!$I$6:$AI$262,MATCH($B661,[1]INVENTORY!$I$6:$I$262,0),8),"NA")</f>
        <v>3600000</v>
      </c>
      <c r="M661" s="58"/>
      <c r="N661" s="58">
        <f t="shared" si="23"/>
        <v>3600000</v>
      </c>
      <c r="O661" s="58">
        <f>IFERROR(INDEX([1]INVENTORY!$I$6:$AI$262,MATCH($B661,[1]INVENTORY!$I$6:$I$262,0),9),"NA")</f>
        <v>0</v>
      </c>
      <c r="P661" s="58">
        <f>IFERROR(INDEX([1]INVENTORY!$I$6:$AI$262,MATCH($B661,[1]INVENTORY!$I$6:$I$262,0),10),"NA")</f>
        <v>3600000</v>
      </c>
      <c r="Q661" s="18"/>
    </row>
    <row r="662" spans="2:17" s="17" customFormat="1" ht="13.8">
      <c r="B662" s="55" t="s">
        <v>802</v>
      </c>
      <c r="C662" s="20" t="s">
        <v>1</v>
      </c>
      <c r="D662" s="22" t="s">
        <v>787</v>
      </c>
      <c r="E662" s="56" t="s">
        <v>243</v>
      </c>
      <c r="F662" s="20" t="str">
        <f t="shared" si="21"/>
        <v>Block 07</v>
      </c>
      <c r="G662" s="20" t="str">
        <f t="shared" si="22"/>
        <v>Lot 29</v>
      </c>
      <c r="H662" s="55">
        <v>55</v>
      </c>
      <c r="I662" s="57">
        <v>80</v>
      </c>
      <c r="J662" s="57" t="s">
        <v>743</v>
      </c>
      <c r="K662" s="20" t="s">
        <v>752</v>
      </c>
      <c r="L662" s="58">
        <f>IFERROR(INDEX([1]INVENTORY!$I$6:$AI$262,MATCH($B662,[1]INVENTORY!$I$6:$I$262,0),8),"NA")</f>
        <v>3600000</v>
      </c>
      <c r="M662" s="58"/>
      <c r="N662" s="58">
        <f t="shared" si="23"/>
        <v>3600000</v>
      </c>
      <c r="O662" s="58">
        <f>IFERROR(INDEX([1]INVENTORY!$I$6:$AI$262,MATCH($B662,[1]INVENTORY!$I$6:$I$262,0),9),"NA")</f>
        <v>0</v>
      </c>
      <c r="P662" s="58">
        <f>IFERROR(INDEX([1]INVENTORY!$I$6:$AI$262,MATCH($B662,[1]INVENTORY!$I$6:$I$262,0),10),"NA")</f>
        <v>3600000</v>
      </c>
      <c r="Q662" s="18"/>
    </row>
    <row r="663" spans="2:17" s="17" customFormat="1" ht="13.8">
      <c r="B663" s="55" t="s">
        <v>803</v>
      </c>
      <c r="C663" s="20" t="s">
        <v>1</v>
      </c>
      <c r="D663" s="22" t="s">
        <v>787</v>
      </c>
      <c r="E663" s="56" t="s">
        <v>243</v>
      </c>
      <c r="F663" s="20" t="str">
        <f t="shared" si="21"/>
        <v>Block 07</v>
      </c>
      <c r="G663" s="20" t="str">
        <f t="shared" si="22"/>
        <v>Lot 30</v>
      </c>
      <c r="H663" s="55">
        <v>55</v>
      </c>
      <c r="I663" s="57">
        <v>80</v>
      </c>
      <c r="J663" s="57" t="s">
        <v>743</v>
      </c>
      <c r="K663" s="20" t="s">
        <v>750</v>
      </c>
      <c r="L663" s="58">
        <f>IFERROR(INDEX([1]INVENTORY!$I$6:$AI$262,MATCH($B663,[1]INVENTORY!$I$6:$I$262,0),8),"NA")</f>
        <v>3600000</v>
      </c>
      <c r="M663" s="58"/>
      <c r="N663" s="58">
        <f t="shared" si="23"/>
        <v>3600000</v>
      </c>
      <c r="O663" s="58">
        <f>IFERROR(INDEX([1]INVENTORY!$I$6:$AI$262,MATCH($B663,[1]INVENTORY!$I$6:$I$262,0),9),"NA")</f>
        <v>0</v>
      </c>
      <c r="P663" s="58">
        <f>IFERROR(INDEX([1]INVENTORY!$I$6:$AI$262,MATCH($B663,[1]INVENTORY!$I$6:$I$262,0),10),"NA")</f>
        <v>3600000</v>
      </c>
      <c r="Q663" s="18"/>
    </row>
    <row r="664" spans="2:17" s="17" customFormat="1" ht="13.8">
      <c r="B664" s="55" t="s">
        <v>804</v>
      </c>
      <c r="C664" s="20" t="s">
        <v>1</v>
      </c>
      <c r="D664" s="22" t="s">
        <v>787</v>
      </c>
      <c r="E664" s="56" t="s">
        <v>233</v>
      </c>
      <c r="F664" s="20" t="str">
        <f t="shared" ref="F664:F727" si="24">"Block "&amp;TEXT(VALUE(MID(B664,8,3)),"00")</f>
        <v>Block 09</v>
      </c>
      <c r="G664" s="20" t="str">
        <f t="shared" ref="G664:G727" si="25">"Lot "&amp;TEXT(VALUE(RIGHT(B664,3)),"00")</f>
        <v>Lot 11</v>
      </c>
      <c r="H664" s="55">
        <v>55</v>
      </c>
      <c r="I664" s="57">
        <v>98</v>
      </c>
      <c r="J664" s="57" t="s">
        <v>730</v>
      </c>
      <c r="K664" s="20" t="s">
        <v>731</v>
      </c>
      <c r="L664" s="58">
        <f>IFERROR(INDEX([1]INVENTORY!$I$6:$AI$262,MATCH($B664,[1]INVENTORY!$I$6:$I$262,0),8),"NA")</f>
        <v>4634000</v>
      </c>
      <c r="M664" s="58"/>
      <c r="N664" s="58">
        <f t="shared" ref="N664:N727" si="26">L664-M664</f>
        <v>4634000</v>
      </c>
      <c r="O664" s="58">
        <f>IFERROR(INDEX([1]INVENTORY!$I$6:$AI$262,MATCH($B664,[1]INVENTORY!$I$6:$I$262,0),9),"NA")</f>
        <v>496500</v>
      </c>
      <c r="P664" s="58">
        <f>IFERROR(INDEX([1]INVENTORY!$I$6:$AI$262,MATCH($B664,[1]INVENTORY!$I$6:$I$262,0),10),"NA")</f>
        <v>4137500</v>
      </c>
      <c r="Q664" s="18"/>
    </row>
    <row r="665" spans="2:17" s="17" customFormat="1" ht="13.8">
      <c r="B665" s="55" t="s">
        <v>805</v>
      </c>
      <c r="C665" s="20" t="s">
        <v>1</v>
      </c>
      <c r="D665" s="22" t="s">
        <v>787</v>
      </c>
      <c r="E665" s="56" t="s">
        <v>233</v>
      </c>
      <c r="F665" s="20" t="str">
        <f t="shared" si="24"/>
        <v>Block 09</v>
      </c>
      <c r="G665" s="20" t="str">
        <f t="shared" si="25"/>
        <v>Lot 12</v>
      </c>
      <c r="H665" s="55">
        <v>55</v>
      </c>
      <c r="I665" s="57">
        <v>100</v>
      </c>
      <c r="J665" s="57" t="s">
        <v>730</v>
      </c>
      <c r="K665" s="20" t="s">
        <v>733</v>
      </c>
      <c r="L665" s="58">
        <f>IFERROR(INDEX([1]INVENTORY!$I$6:$AI$262,MATCH($B665,[1]INVENTORY!$I$6:$I$262,0),8),"NA")</f>
        <v>4600000</v>
      </c>
      <c r="M665" s="58"/>
      <c r="N665" s="58">
        <f t="shared" si="26"/>
        <v>4600000</v>
      </c>
      <c r="O665" s="58">
        <f>IFERROR(INDEX([1]INVENTORY!$I$6:$AI$262,MATCH($B665,[1]INVENTORY!$I$6:$I$262,0),9),"NA")</f>
        <v>492857.14285714284</v>
      </c>
      <c r="P665" s="58">
        <f>IFERROR(INDEX([1]INVENTORY!$I$6:$AI$262,MATCH($B665,[1]INVENTORY!$I$6:$I$262,0),10),"NA")</f>
        <v>4107142.8571428573</v>
      </c>
      <c r="Q665" s="18"/>
    </row>
    <row r="666" spans="2:17" s="17" customFormat="1" ht="13.8">
      <c r="B666" s="55" t="s">
        <v>806</v>
      </c>
      <c r="C666" s="20" t="s">
        <v>1</v>
      </c>
      <c r="D666" s="22" t="s">
        <v>787</v>
      </c>
      <c r="E666" s="56" t="s">
        <v>233</v>
      </c>
      <c r="F666" s="20" t="str">
        <f t="shared" si="24"/>
        <v>Block 06</v>
      </c>
      <c r="G666" s="20" t="str">
        <f t="shared" si="25"/>
        <v>Lot 03</v>
      </c>
      <c r="H666" s="55">
        <v>55</v>
      </c>
      <c r="I666" s="57">
        <v>96</v>
      </c>
      <c r="J666" s="57" t="s">
        <v>730</v>
      </c>
      <c r="K666" s="20" t="s">
        <v>750</v>
      </c>
      <c r="L666" s="58">
        <f>IFERROR(INDEX([1]INVENTORY!$I$6:$AI$262,MATCH($B666,[1]INVENTORY!$I$6:$I$262,0),8),"NA")</f>
        <v>3600000</v>
      </c>
      <c r="M666" s="58"/>
      <c r="N666" s="58">
        <f t="shared" si="26"/>
        <v>3600000</v>
      </c>
      <c r="O666" s="58">
        <f>IFERROR(INDEX([1]INVENTORY!$I$6:$AI$262,MATCH($B666,[1]INVENTORY!$I$6:$I$262,0),9),"NA")</f>
        <v>0</v>
      </c>
      <c r="P666" s="58">
        <f>IFERROR(INDEX([1]INVENTORY!$I$6:$AI$262,MATCH($B666,[1]INVENTORY!$I$6:$I$262,0),10),"NA")</f>
        <v>3600000</v>
      </c>
      <c r="Q666" s="18"/>
    </row>
    <row r="667" spans="2:17" s="17" customFormat="1" ht="13.8">
      <c r="B667" s="55" t="s">
        <v>807</v>
      </c>
      <c r="C667" s="20" t="s">
        <v>1</v>
      </c>
      <c r="D667" s="22" t="s">
        <v>787</v>
      </c>
      <c r="E667" s="56" t="s">
        <v>233</v>
      </c>
      <c r="F667" s="20" t="str">
        <f t="shared" si="24"/>
        <v>Block 06</v>
      </c>
      <c r="G667" s="20" t="str">
        <f t="shared" si="25"/>
        <v>Lot 04</v>
      </c>
      <c r="H667" s="55">
        <v>55</v>
      </c>
      <c r="I667" s="57">
        <v>96</v>
      </c>
      <c r="J667" s="57" t="s">
        <v>730</v>
      </c>
      <c r="K667" s="20" t="s">
        <v>752</v>
      </c>
      <c r="L667" s="58">
        <f>IFERROR(INDEX([1]INVENTORY!$I$6:$AI$262,MATCH($B667,[1]INVENTORY!$I$6:$I$262,0),8),"NA")</f>
        <v>3600000</v>
      </c>
      <c r="M667" s="58"/>
      <c r="N667" s="58">
        <f t="shared" si="26"/>
        <v>3600000</v>
      </c>
      <c r="O667" s="58">
        <f>IFERROR(INDEX([1]INVENTORY!$I$6:$AI$262,MATCH($B667,[1]INVENTORY!$I$6:$I$262,0),9),"NA")</f>
        <v>0</v>
      </c>
      <c r="P667" s="58">
        <f>IFERROR(INDEX([1]INVENTORY!$I$6:$AI$262,MATCH($B667,[1]INVENTORY!$I$6:$I$262,0),10),"NA")</f>
        <v>3600000</v>
      </c>
      <c r="Q667" s="18"/>
    </row>
    <row r="668" spans="2:17" s="17" customFormat="1" ht="13.8">
      <c r="B668" s="55" t="s">
        <v>808</v>
      </c>
      <c r="C668" s="20" t="s">
        <v>1</v>
      </c>
      <c r="D668" s="22" t="s">
        <v>787</v>
      </c>
      <c r="E668" s="56" t="s">
        <v>233</v>
      </c>
      <c r="F668" s="20" t="str">
        <f t="shared" si="24"/>
        <v>Block 06</v>
      </c>
      <c r="G668" s="20" t="str">
        <f t="shared" si="25"/>
        <v>Lot 23</v>
      </c>
      <c r="H668" s="55">
        <v>55</v>
      </c>
      <c r="I668" s="57">
        <v>96</v>
      </c>
      <c r="J668" s="57" t="s">
        <v>730</v>
      </c>
      <c r="K668" s="20" t="s">
        <v>733</v>
      </c>
      <c r="L668" s="58">
        <f>IFERROR(INDEX([1]INVENTORY!$I$6:$AI$262,MATCH($B668,[1]INVENTORY!$I$6:$I$262,0),8),"NA")</f>
        <v>3600000</v>
      </c>
      <c r="M668" s="58"/>
      <c r="N668" s="58">
        <f t="shared" si="26"/>
        <v>3600000</v>
      </c>
      <c r="O668" s="58">
        <f>IFERROR(INDEX([1]INVENTORY!$I$6:$AI$262,MATCH($B668,[1]INVENTORY!$I$6:$I$262,0),9),"NA")</f>
        <v>0</v>
      </c>
      <c r="P668" s="58">
        <f>IFERROR(INDEX([1]INVENTORY!$I$6:$AI$262,MATCH($B668,[1]INVENTORY!$I$6:$I$262,0),10),"NA")</f>
        <v>3600000</v>
      </c>
      <c r="Q668" s="18"/>
    </row>
    <row r="669" spans="2:17" s="17" customFormat="1" ht="13.8">
      <c r="B669" s="55" t="s">
        <v>809</v>
      </c>
      <c r="C669" s="20" t="s">
        <v>1</v>
      </c>
      <c r="D669" s="22" t="s">
        <v>787</v>
      </c>
      <c r="E669" s="56" t="s">
        <v>243</v>
      </c>
      <c r="F669" s="20" t="str">
        <f t="shared" si="24"/>
        <v>Block 06</v>
      </c>
      <c r="G669" s="20" t="str">
        <f t="shared" si="25"/>
        <v>Lot 24</v>
      </c>
      <c r="H669" s="55">
        <v>55</v>
      </c>
      <c r="I669" s="59">
        <v>124</v>
      </c>
      <c r="J669" s="57" t="s">
        <v>730</v>
      </c>
      <c r="K669" s="20" t="s">
        <v>731</v>
      </c>
      <c r="L669" s="58">
        <f>IFERROR(INDEX([1]INVENTORY!$I$6:$AI$262,MATCH($B669,[1]INVENTORY!$I$6:$I$262,0),8),"NA")</f>
        <v>4600000</v>
      </c>
      <c r="M669" s="58"/>
      <c r="N669" s="58">
        <f t="shared" si="26"/>
        <v>4600000</v>
      </c>
      <c r="O669" s="58">
        <f>IFERROR(INDEX([1]INVENTORY!$I$6:$AI$262,MATCH($B669,[1]INVENTORY!$I$6:$I$262,0),9),"NA")</f>
        <v>492857.14285714284</v>
      </c>
      <c r="P669" s="58">
        <f>IFERROR(INDEX([1]INVENTORY!$I$6:$AI$262,MATCH($B669,[1]INVENTORY!$I$6:$I$262,0),10),"NA")</f>
        <v>4107142.8571428573</v>
      </c>
      <c r="Q669" s="18"/>
    </row>
    <row r="670" spans="2:17" s="17" customFormat="1" ht="13.8">
      <c r="B670" s="55" t="s">
        <v>810</v>
      </c>
      <c r="C670" s="20" t="s">
        <v>1</v>
      </c>
      <c r="D670" s="22" t="s">
        <v>787</v>
      </c>
      <c r="E670" s="56" t="s">
        <v>233</v>
      </c>
      <c r="F670" s="20" t="str">
        <f t="shared" si="24"/>
        <v>Block 07</v>
      </c>
      <c r="G670" s="20" t="str">
        <f t="shared" si="25"/>
        <v>Lot 09</v>
      </c>
      <c r="H670" s="55">
        <v>55</v>
      </c>
      <c r="I670" s="57">
        <v>96</v>
      </c>
      <c r="J670" s="57" t="s">
        <v>730</v>
      </c>
      <c r="K670" s="20" t="s">
        <v>731</v>
      </c>
      <c r="L670" s="58">
        <f>IFERROR(INDEX([1]INVENTORY!$I$6:$AI$262,MATCH($B670,[1]INVENTORY!$I$6:$I$262,0),8),"NA")</f>
        <v>3600000</v>
      </c>
      <c r="M670" s="58"/>
      <c r="N670" s="58">
        <f t="shared" si="26"/>
        <v>3600000</v>
      </c>
      <c r="O670" s="58">
        <f>IFERROR(INDEX([1]INVENTORY!$I$6:$AI$262,MATCH($B670,[1]INVENTORY!$I$6:$I$262,0),9),"NA")</f>
        <v>0</v>
      </c>
      <c r="P670" s="58">
        <f>IFERROR(INDEX([1]INVENTORY!$I$6:$AI$262,MATCH($B670,[1]INVENTORY!$I$6:$I$262,0),10),"NA")</f>
        <v>3600000</v>
      </c>
      <c r="Q670" s="18"/>
    </row>
    <row r="671" spans="2:17" s="17" customFormat="1" ht="13.8">
      <c r="B671" s="55" t="s">
        <v>811</v>
      </c>
      <c r="C671" s="20" t="s">
        <v>1</v>
      </c>
      <c r="D671" s="22" t="s">
        <v>787</v>
      </c>
      <c r="E671" s="56" t="s">
        <v>233</v>
      </c>
      <c r="F671" s="20" t="str">
        <f t="shared" si="24"/>
        <v>Block 07</v>
      </c>
      <c r="G671" s="20" t="str">
        <f t="shared" si="25"/>
        <v>Lot 15</v>
      </c>
      <c r="H671" s="55">
        <v>55</v>
      </c>
      <c r="I671" s="57">
        <v>96</v>
      </c>
      <c r="J671" s="57" t="s">
        <v>730</v>
      </c>
      <c r="K671" s="20" t="s">
        <v>735</v>
      </c>
      <c r="L671" s="58">
        <f>IFERROR(INDEX([1]INVENTORY!$I$6:$AI$262,MATCH($B671,[1]INVENTORY!$I$6:$I$262,0),8),"NA")</f>
        <v>3600000</v>
      </c>
      <c r="M671" s="58"/>
      <c r="N671" s="58">
        <f t="shared" si="26"/>
        <v>3600000</v>
      </c>
      <c r="O671" s="58">
        <f>IFERROR(INDEX([1]INVENTORY!$I$6:$AI$262,MATCH($B671,[1]INVENTORY!$I$6:$I$262,0),9),"NA")</f>
        <v>0</v>
      </c>
      <c r="P671" s="58">
        <f>IFERROR(INDEX([1]INVENTORY!$I$6:$AI$262,MATCH($B671,[1]INVENTORY!$I$6:$I$262,0),10),"NA")</f>
        <v>3600000</v>
      </c>
      <c r="Q671" s="18"/>
    </row>
    <row r="672" spans="2:17" s="17" customFormat="1" ht="13.8">
      <c r="B672" s="55" t="s">
        <v>812</v>
      </c>
      <c r="C672" s="20" t="s">
        <v>1</v>
      </c>
      <c r="D672" s="22" t="s">
        <v>787</v>
      </c>
      <c r="E672" s="56" t="s">
        <v>233</v>
      </c>
      <c r="F672" s="20" t="str">
        <f t="shared" si="24"/>
        <v>Block 07</v>
      </c>
      <c r="G672" s="20" t="str">
        <f t="shared" si="25"/>
        <v>Lot 16</v>
      </c>
      <c r="H672" s="55">
        <v>55</v>
      </c>
      <c r="I672" s="57">
        <v>96</v>
      </c>
      <c r="J672" s="57" t="s">
        <v>730</v>
      </c>
      <c r="K672" s="20" t="s">
        <v>737</v>
      </c>
      <c r="L672" s="58">
        <f>IFERROR(INDEX([1]INVENTORY!$I$6:$AI$262,MATCH($B672,[1]INVENTORY!$I$6:$I$262,0),8),"NA")</f>
        <v>3600000</v>
      </c>
      <c r="M672" s="58"/>
      <c r="N672" s="58">
        <f t="shared" si="26"/>
        <v>3600000</v>
      </c>
      <c r="O672" s="58">
        <f>IFERROR(INDEX([1]INVENTORY!$I$6:$AI$262,MATCH($B672,[1]INVENTORY!$I$6:$I$262,0),9),"NA")</f>
        <v>0</v>
      </c>
      <c r="P672" s="58">
        <f>IFERROR(INDEX([1]INVENTORY!$I$6:$AI$262,MATCH($B672,[1]INVENTORY!$I$6:$I$262,0),10),"NA")</f>
        <v>3600000</v>
      </c>
      <c r="Q672" s="18"/>
    </row>
    <row r="673" spans="2:17" s="17" customFormat="1" ht="13.8">
      <c r="B673" s="55" t="s">
        <v>813</v>
      </c>
      <c r="C673" s="20" t="s">
        <v>1</v>
      </c>
      <c r="D673" s="22" t="s">
        <v>787</v>
      </c>
      <c r="E673" s="56" t="s">
        <v>233</v>
      </c>
      <c r="F673" s="20" t="str">
        <f t="shared" si="24"/>
        <v>Block 07</v>
      </c>
      <c r="G673" s="20" t="str">
        <f t="shared" si="25"/>
        <v>Lot 17</v>
      </c>
      <c r="H673" s="55">
        <v>55</v>
      </c>
      <c r="I673" s="57">
        <v>96</v>
      </c>
      <c r="J673" s="57" t="s">
        <v>730</v>
      </c>
      <c r="K673" s="20" t="s">
        <v>737</v>
      </c>
      <c r="L673" s="58">
        <f>IFERROR(INDEX([1]INVENTORY!$I$6:$AI$262,MATCH($B673,[1]INVENTORY!$I$6:$I$262,0),8),"NA")</f>
        <v>3600000</v>
      </c>
      <c r="M673" s="58"/>
      <c r="N673" s="58">
        <f t="shared" si="26"/>
        <v>3600000</v>
      </c>
      <c r="O673" s="58">
        <f>IFERROR(INDEX([1]INVENTORY!$I$6:$AI$262,MATCH($B673,[1]INVENTORY!$I$6:$I$262,0),9),"NA")</f>
        <v>0</v>
      </c>
      <c r="P673" s="58">
        <f>IFERROR(INDEX([1]INVENTORY!$I$6:$AI$262,MATCH($B673,[1]INVENTORY!$I$6:$I$262,0),10),"NA")</f>
        <v>3600000</v>
      </c>
      <c r="Q673" s="18"/>
    </row>
    <row r="674" spans="2:17" s="17" customFormat="1" ht="13.8">
      <c r="B674" s="55" t="s">
        <v>814</v>
      </c>
      <c r="C674" s="20" t="s">
        <v>1</v>
      </c>
      <c r="D674" s="22" t="s">
        <v>787</v>
      </c>
      <c r="E674" s="56" t="s">
        <v>233</v>
      </c>
      <c r="F674" s="20" t="str">
        <f t="shared" si="24"/>
        <v>Block 07</v>
      </c>
      <c r="G674" s="20" t="str">
        <f t="shared" si="25"/>
        <v>Lot 18</v>
      </c>
      <c r="H674" s="55">
        <v>55</v>
      </c>
      <c r="I674" s="57">
        <v>96</v>
      </c>
      <c r="J674" s="57" t="s">
        <v>730</v>
      </c>
      <c r="K674" s="20" t="s">
        <v>735</v>
      </c>
      <c r="L674" s="58">
        <f>IFERROR(INDEX([1]INVENTORY!$I$6:$AI$262,MATCH($B674,[1]INVENTORY!$I$6:$I$262,0),8),"NA")</f>
        <v>3600000</v>
      </c>
      <c r="M674" s="58"/>
      <c r="N674" s="58">
        <f t="shared" si="26"/>
        <v>3600000</v>
      </c>
      <c r="O674" s="58">
        <f>IFERROR(INDEX([1]INVENTORY!$I$6:$AI$262,MATCH($B674,[1]INVENTORY!$I$6:$I$262,0),9),"NA")</f>
        <v>0</v>
      </c>
      <c r="P674" s="58">
        <f>IFERROR(INDEX([1]INVENTORY!$I$6:$AI$262,MATCH($B674,[1]INVENTORY!$I$6:$I$262,0),10),"NA")</f>
        <v>3600000</v>
      </c>
      <c r="Q674" s="18"/>
    </row>
    <row r="675" spans="2:17" s="17" customFormat="1" ht="13.8">
      <c r="B675" s="55" t="s">
        <v>815</v>
      </c>
      <c r="C675" s="20" t="s">
        <v>1</v>
      </c>
      <c r="D675" s="22" t="s">
        <v>787</v>
      </c>
      <c r="E675" s="56" t="s">
        <v>233</v>
      </c>
      <c r="F675" s="20" t="str">
        <f t="shared" si="24"/>
        <v>Block 07</v>
      </c>
      <c r="G675" s="20" t="str">
        <f t="shared" si="25"/>
        <v>Lot 19</v>
      </c>
      <c r="H675" s="55">
        <v>55</v>
      </c>
      <c r="I675" s="57">
        <v>96</v>
      </c>
      <c r="J675" s="57" t="s">
        <v>730</v>
      </c>
      <c r="K675" s="20" t="s">
        <v>733</v>
      </c>
      <c r="L675" s="58">
        <f>IFERROR(INDEX([1]INVENTORY!$I$6:$AI$262,MATCH($B675,[1]INVENTORY!$I$6:$I$262,0),8),"NA")</f>
        <v>3600000</v>
      </c>
      <c r="M675" s="58"/>
      <c r="N675" s="58">
        <f t="shared" si="26"/>
        <v>3600000</v>
      </c>
      <c r="O675" s="58">
        <f>IFERROR(INDEX([1]INVENTORY!$I$6:$AI$262,MATCH($B675,[1]INVENTORY!$I$6:$I$262,0),9),"NA")</f>
        <v>0</v>
      </c>
      <c r="P675" s="58">
        <f>IFERROR(INDEX([1]INVENTORY!$I$6:$AI$262,MATCH($B675,[1]INVENTORY!$I$6:$I$262,0),10),"NA")</f>
        <v>3600000</v>
      </c>
      <c r="Q675" s="18"/>
    </row>
    <row r="676" spans="2:17" s="17" customFormat="1" ht="13.8">
      <c r="B676" s="55" t="s">
        <v>816</v>
      </c>
      <c r="C676" s="20" t="s">
        <v>1</v>
      </c>
      <c r="D676" s="22" t="s">
        <v>787</v>
      </c>
      <c r="E676" s="56" t="s">
        <v>233</v>
      </c>
      <c r="F676" s="20" t="str">
        <f t="shared" si="24"/>
        <v>Block 07</v>
      </c>
      <c r="G676" s="20" t="str">
        <f t="shared" si="25"/>
        <v>Lot 20</v>
      </c>
      <c r="H676" s="55">
        <v>55</v>
      </c>
      <c r="I676" s="57">
        <v>96</v>
      </c>
      <c r="J676" s="57" t="s">
        <v>730</v>
      </c>
      <c r="K676" s="20" t="s">
        <v>731</v>
      </c>
      <c r="L676" s="58">
        <f>IFERROR(INDEX([1]INVENTORY!$I$6:$AI$262,MATCH($B676,[1]INVENTORY!$I$6:$I$262,0),8),"NA")</f>
        <v>3600000</v>
      </c>
      <c r="M676" s="58"/>
      <c r="N676" s="58">
        <f t="shared" si="26"/>
        <v>3600000</v>
      </c>
      <c r="O676" s="58">
        <f>IFERROR(INDEX([1]INVENTORY!$I$6:$AI$262,MATCH($B676,[1]INVENTORY!$I$6:$I$262,0),9),"NA")</f>
        <v>0</v>
      </c>
      <c r="P676" s="58">
        <f>IFERROR(INDEX([1]INVENTORY!$I$6:$AI$262,MATCH($B676,[1]INVENTORY!$I$6:$I$262,0),10),"NA")</f>
        <v>3600000</v>
      </c>
      <c r="Q676" s="18"/>
    </row>
    <row r="677" spans="2:17" s="17" customFormat="1" ht="13.8">
      <c r="B677" s="55" t="s">
        <v>817</v>
      </c>
      <c r="C677" s="20" t="s">
        <v>1</v>
      </c>
      <c r="D677" s="22" t="s">
        <v>787</v>
      </c>
      <c r="E677" s="56" t="s">
        <v>233</v>
      </c>
      <c r="F677" s="20" t="str">
        <f t="shared" si="24"/>
        <v>Block 07</v>
      </c>
      <c r="G677" s="20" t="str">
        <f t="shared" si="25"/>
        <v>Lot 21</v>
      </c>
      <c r="H677" s="55">
        <v>55</v>
      </c>
      <c r="I677" s="57">
        <v>96</v>
      </c>
      <c r="J677" s="57" t="s">
        <v>730</v>
      </c>
      <c r="K677" s="20" t="s">
        <v>731</v>
      </c>
      <c r="L677" s="58">
        <f>IFERROR(INDEX([1]INVENTORY!$I$6:$AI$262,MATCH($B677,[1]INVENTORY!$I$6:$I$262,0),8),"NA")</f>
        <v>3600000</v>
      </c>
      <c r="M677" s="58"/>
      <c r="N677" s="58">
        <f t="shared" si="26"/>
        <v>3600000</v>
      </c>
      <c r="O677" s="58">
        <f>IFERROR(INDEX([1]INVENTORY!$I$6:$AI$262,MATCH($B677,[1]INVENTORY!$I$6:$I$262,0),9),"NA")</f>
        <v>0</v>
      </c>
      <c r="P677" s="58">
        <f>IFERROR(INDEX([1]INVENTORY!$I$6:$AI$262,MATCH($B677,[1]INVENTORY!$I$6:$I$262,0),10),"NA")</f>
        <v>3600000</v>
      </c>
      <c r="Q677" s="18"/>
    </row>
    <row r="678" spans="2:17" s="17" customFormat="1" ht="13.8">
      <c r="B678" s="55" t="s">
        <v>818</v>
      </c>
      <c r="C678" s="20" t="s">
        <v>1</v>
      </c>
      <c r="D678" s="22" t="s">
        <v>787</v>
      </c>
      <c r="E678" s="56" t="s">
        <v>243</v>
      </c>
      <c r="F678" s="20" t="str">
        <f t="shared" si="24"/>
        <v>Block 07</v>
      </c>
      <c r="G678" s="20" t="str">
        <f t="shared" si="25"/>
        <v>Lot 22</v>
      </c>
      <c r="H678" s="55">
        <v>55</v>
      </c>
      <c r="I678" s="57">
        <v>96</v>
      </c>
      <c r="J678" s="57" t="s">
        <v>730</v>
      </c>
      <c r="K678" s="20" t="s">
        <v>733</v>
      </c>
      <c r="L678" s="58">
        <f>IFERROR(INDEX([1]INVENTORY!$I$6:$AI$262,MATCH($B678,[1]INVENTORY!$I$6:$I$262,0),8),"NA")</f>
        <v>3600000</v>
      </c>
      <c r="M678" s="58"/>
      <c r="N678" s="58">
        <f t="shared" si="26"/>
        <v>3600000</v>
      </c>
      <c r="O678" s="58">
        <f>IFERROR(INDEX([1]INVENTORY!$I$6:$AI$262,MATCH($B678,[1]INVENTORY!$I$6:$I$262,0),9),"NA")</f>
        <v>0</v>
      </c>
      <c r="P678" s="58">
        <f>IFERROR(INDEX([1]INVENTORY!$I$6:$AI$262,MATCH($B678,[1]INVENTORY!$I$6:$I$262,0),10),"NA")</f>
        <v>3600000</v>
      </c>
      <c r="Q678" s="18"/>
    </row>
    <row r="679" spans="2:17" s="17" customFormat="1" ht="13.8">
      <c r="B679" s="55" t="s">
        <v>819</v>
      </c>
      <c r="C679" s="20" t="s">
        <v>1</v>
      </c>
      <c r="D679" s="22" t="s">
        <v>787</v>
      </c>
      <c r="E679" s="56" t="s">
        <v>233</v>
      </c>
      <c r="F679" s="20" t="str">
        <f t="shared" si="24"/>
        <v>Block 07</v>
      </c>
      <c r="G679" s="20" t="str">
        <f t="shared" si="25"/>
        <v>Lot 23</v>
      </c>
      <c r="H679" s="55">
        <v>55</v>
      </c>
      <c r="I679" s="57">
        <v>96</v>
      </c>
      <c r="J679" s="57" t="s">
        <v>730</v>
      </c>
      <c r="K679" s="20" t="s">
        <v>750</v>
      </c>
      <c r="L679" s="58">
        <f>IFERROR(INDEX([1]INVENTORY!$I$6:$AI$262,MATCH($B679,[1]INVENTORY!$I$6:$I$262,0),8),"NA")</f>
        <v>3600000</v>
      </c>
      <c r="M679" s="58"/>
      <c r="N679" s="58">
        <f t="shared" si="26"/>
        <v>3600000</v>
      </c>
      <c r="O679" s="58">
        <f>IFERROR(INDEX([1]INVENTORY!$I$6:$AI$262,MATCH($B679,[1]INVENTORY!$I$6:$I$262,0),9),"NA")</f>
        <v>0</v>
      </c>
      <c r="P679" s="58">
        <f>IFERROR(INDEX([1]INVENTORY!$I$6:$AI$262,MATCH($B679,[1]INVENTORY!$I$6:$I$262,0),10),"NA")</f>
        <v>3600000</v>
      </c>
      <c r="Q679" s="18"/>
    </row>
    <row r="680" spans="2:17" s="17" customFormat="1" ht="13.8">
      <c r="B680" s="55" t="s">
        <v>820</v>
      </c>
      <c r="C680" s="20" t="s">
        <v>1</v>
      </c>
      <c r="D680" s="22" t="s">
        <v>787</v>
      </c>
      <c r="E680" s="56" t="s">
        <v>243</v>
      </c>
      <c r="F680" s="20" t="str">
        <f t="shared" si="24"/>
        <v>Block 07</v>
      </c>
      <c r="G680" s="20" t="str">
        <f t="shared" si="25"/>
        <v>Lot 24</v>
      </c>
      <c r="H680" s="55">
        <v>55</v>
      </c>
      <c r="I680" s="57">
        <v>126</v>
      </c>
      <c r="J680" s="57" t="s">
        <v>730</v>
      </c>
      <c r="K680" s="20" t="s">
        <v>752</v>
      </c>
      <c r="L680" s="58">
        <f>IFERROR(INDEX([1]INVENTORY!$I$6:$AI$262,MATCH($B680,[1]INVENTORY!$I$6:$I$262,0),8),"NA")</f>
        <v>4600000</v>
      </c>
      <c r="M680" s="58"/>
      <c r="N680" s="58">
        <f t="shared" si="26"/>
        <v>4600000</v>
      </c>
      <c r="O680" s="58">
        <f>IFERROR(INDEX([1]INVENTORY!$I$6:$AI$262,MATCH($B680,[1]INVENTORY!$I$6:$I$262,0),9),"NA")</f>
        <v>492857.14285714284</v>
      </c>
      <c r="P680" s="58">
        <f>IFERROR(INDEX([1]INVENTORY!$I$6:$AI$262,MATCH($B680,[1]INVENTORY!$I$6:$I$262,0),10),"NA")</f>
        <v>4107142.8571428573</v>
      </c>
      <c r="Q680" s="18"/>
    </row>
    <row r="681" spans="2:17" s="17" customFormat="1" ht="13.8">
      <c r="B681" s="55" t="s">
        <v>821</v>
      </c>
      <c r="C681" s="20" t="s">
        <v>1</v>
      </c>
      <c r="D681" s="22" t="s">
        <v>787</v>
      </c>
      <c r="E681" s="56" t="s">
        <v>233</v>
      </c>
      <c r="F681" s="20" t="str">
        <f t="shared" si="24"/>
        <v>Block 09</v>
      </c>
      <c r="G681" s="20" t="str">
        <f t="shared" si="25"/>
        <v>Lot 09</v>
      </c>
      <c r="H681" s="55">
        <v>55</v>
      </c>
      <c r="I681" s="57">
        <v>95</v>
      </c>
      <c r="J681" s="57" t="s">
        <v>730</v>
      </c>
      <c r="K681" s="20" t="s">
        <v>733</v>
      </c>
      <c r="L681" s="58">
        <f>IFERROR(INDEX([1]INVENTORY!$I$6:$AI$262,MATCH($B681,[1]INVENTORY!$I$6:$I$262,0),8),"NA")</f>
        <v>3600000</v>
      </c>
      <c r="M681" s="58"/>
      <c r="N681" s="58">
        <f t="shared" si="26"/>
        <v>3600000</v>
      </c>
      <c r="O681" s="58">
        <f>IFERROR(INDEX([1]INVENTORY!$I$6:$AI$262,MATCH($B681,[1]INVENTORY!$I$6:$I$262,0),9),"NA")</f>
        <v>0</v>
      </c>
      <c r="P681" s="58">
        <f>IFERROR(INDEX([1]INVENTORY!$I$6:$AI$262,MATCH($B681,[1]INVENTORY!$I$6:$I$262,0),10),"NA")</f>
        <v>3600000</v>
      </c>
      <c r="Q681" s="18"/>
    </row>
    <row r="682" spans="2:17" s="17" customFormat="1" ht="13.8">
      <c r="B682" s="55" t="s">
        <v>822</v>
      </c>
      <c r="C682" s="20" t="s">
        <v>1</v>
      </c>
      <c r="D682" s="22" t="s">
        <v>787</v>
      </c>
      <c r="E682" s="56" t="s">
        <v>233</v>
      </c>
      <c r="F682" s="20" t="str">
        <f t="shared" si="24"/>
        <v>Block 09</v>
      </c>
      <c r="G682" s="20" t="str">
        <f t="shared" si="25"/>
        <v>Lot 10</v>
      </c>
      <c r="H682" s="55">
        <v>55</v>
      </c>
      <c r="I682" s="57">
        <v>97</v>
      </c>
      <c r="J682" s="57" t="s">
        <v>730</v>
      </c>
      <c r="K682" s="20" t="s">
        <v>731</v>
      </c>
      <c r="L682" s="58">
        <f>IFERROR(INDEX([1]INVENTORY!$I$6:$AI$262,MATCH($B682,[1]INVENTORY!$I$6:$I$262,0),8),"NA")</f>
        <v>4623500</v>
      </c>
      <c r="M682" s="58"/>
      <c r="N682" s="58">
        <f t="shared" si="26"/>
        <v>4623500</v>
      </c>
      <c r="O682" s="58">
        <f>IFERROR(INDEX([1]INVENTORY!$I$6:$AI$262,MATCH($B682,[1]INVENTORY!$I$6:$I$262,0),9),"NA")</f>
        <v>495375</v>
      </c>
      <c r="P682" s="58">
        <f>IFERROR(INDEX([1]INVENTORY!$I$6:$AI$262,MATCH($B682,[1]INVENTORY!$I$6:$I$262,0),10),"NA")</f>
        <v>4128125</v>
      </c>
      <c r="Q682" s="18"/>
    </row>
    <row r="683" spans="2:17" s="17" customFormat="1" ht="13.8">
      <c r="B683" s="55" t="s">
        <v>823</v>
      </c>
      <c r="C683" s="20" t="s">
        <v>1</v>
      </c>
      <c r="D683" s="22" t="s">
        <v>787</v>
      </c>
      <c r="E683" s="56" t="s">
        <v>233</v>
      </c>
      <c r="F683" s="20" t="str">
        <f t="shared" si="24"/>
        <v>Block 09</v>
      </c>
      <c r="G683" s="20" t="str">
        <f t="shared" si="25"/>
        <v>Lot 21</v>
      </c>
      <c r="H683" s="55">
        <v>55</v>
      </c>
      <c r="I683" s="57">
        <v>93</v>
      </c>
      <c r="J683" s="57" t="s">
        <v>730</v>
      </c>
      <c r="K683" s="20" t="s">
        <v>733</v>
      </c>
      <c r="L683" s="58">
        <f>IFERROR(INDEX([1]INVENTORY!$I$6:$AI$262,MATCH($B683,[1]INVENTORY!$I$6:$I$262,0),8),"NA")</f>
        <v>3600000</v>
      </c>
      <c r="M683" s="58"/>
      <c r="N683" s="58">
        <f t="shared" si="26"/>
        <v>3600000</v>
      </c>
      <c r="O683" s="58">
        <f>IFERROR(INDEX([1]INVENTORY!$I$6:$AI$262,MATCH($B683,[1]INVENTORY!$I$6:$I$262,0),9),"NA")</f>
        <v>0</v>
      </c>
      <c r="P683" s="58">
        <f>IFERROR(INDEX([1]INVENTORY!$I$6:$AI$262,MATCH($B683,[1]INVENTORY!$I$6:$I$262,0),10),"NA")</f>
        <v>3600000</v>
      </c>
      <c r="Q683" s="18"/>
    </row>
    <row r="684" spans="2:17" s="17" customFormat="1" ht="13.8">
      <c r="B684" s="55" t="s">
        <v>824</v>
      </c>
      <c r="C684" s="20" t="s">
        <v>1</v>
      </c>
      <c r="D684" s="22" t="s">
        <v>787</v>
      </c>
      <c r="E684" s="56" t="s">
        <v>233</v>
      </c>
      <c r="F684" s="20" t="str">
        <f t="shared" si="24"/>
        <v>Block 09</v>
      </c>
      <c r="G684" s="20" t="str">
        <f t="shared" si="25"/>
        <v>Lot 22</v>
      </c>
      <c r="H684" s="55">
        <v>55</v>
      </c>
      <c r="I684" s="57">
        <v>91</v>
      </c>
      <c r="J684" s="57" t="s">
        <v>730</v>
      </c>
      <c r="K684" s="20" t="s">
        <v>731</v>
      </c>
      <c r="L684" s="58">
        <f>IFERROR(INDEX([1]INVENTORY!$I$6:$AI$262,MATCH($B684,[1]INVENTORY!$I$6:$I$262,0),8),"NA")</f>
        <v>3600000</v>
      </c>
      <c r="M684" s="58"/>
      <c r="N684" s="58">
        <f t="shared" si="26"/>
        <v>3600000</v>
      </c>
      <c r="O684" s="58">
        <f>IFERROR(INDEX([1]INVENTORY!$I$6:$AI$262,MATCH($B684,[1]INVENTORY!$I$6:$I$262,0),9),"NA")</f>
        <v>0</v>
      </c>
      <c r="P684" s="58">
        <f>IFERROR(INDEX([1]INVENTORY!$I$6:$AI$262,MATCH($B684,[1]INVENTORY!$I$6:$I$262,0),10),"NA")</f>
        <v>3600000</v>
      </c>
      <c r="Q684" s="18"/>
    </row>
    <row r="685" spans="2:17" s="17" customFormat="1" ht="13.8">
      <c r="B685" s="55" t="s">
        <v>825</v>
      </c>
      <c r="C685" s="20" t="s">
        <v>1</v>
      </c>
      <c r="D685" s="22" t="s">
        <v>787</v>
      </c>
      <c r="E685" s="56" t="s">
        <v>233</v>
      </c>
      <c r="F685" s="20" t="str">
        <f t="shared" si="24"/>
        <v>Block 09</v>
      </c>
      <c r="G685" s="20" t="str">
        <f t="shared" si="25"/>
        <v>Lot 23</v>
      </c>
      <c r="H685" s="55">
        <v>55</v>
      </c>
      <c r="I685" s="57">
        <v>90</v>
      </c>
      <c r="J685" s="57" t="s">
        <v>730</v>
      </c>
      <c r="K685" s="20" t="s">
        <v>731</v>
      </c>
      <c r="L685" s="58">
        <f>IFERROR(INDEX([1]INVENTORY!$I$6:$AI$262,MATCH($B685,[1]INVENTORY!$I$6:$I$262,0),8),"NA")</f>
        <v>3600000</v>
      </c>
      <c r="M685" s="58"/>
      <c r="N685" s="58">
        <f t="shared" si="26"/>
        <v>3600000</v>
      </c>
      <c r="O685" s="58">
        <f>IFERROR(INDEX([1]INVENTORY!$I$6:$AI$262,MATCH($B685,[1]INVENTORY!$I$6:$I$262,0),9),"NA")</f>
        <v>0</v>
      </c>
      <c r="P685" s="58">
        <f>IFERROR(INDEX([1]INVENTORY!$I$6:$AI$262,MATCH($B685,[1]INVENTORY!$I$6:$I$262,0),10),"NA")</f>
        <v>3600000</v>
      </c>
      <c r="Q685" s="18"/>
    </row>
    <row r="686" spans="2:17" s="17" customFormat="1" ht="13.8">
      <c r="B686" s="55" t="s">
        <v>826</v>
      </c>
      <c r="C686" s="20" t="s">
        <v>1</v>
      </c>
      <c r="D686" s="22" t="s">
        <v>787</v>
      </c>
      <c r="E686" s="56" t="s">
        <v>233</v>
      </c>
      <c r="F686" s="20" t="str">
        <f t="shared" si="24"/>
        <v>Block 09</v>
      </c>
      <c r="G686" s="20" t="str">
        <f t="shared" si="25"/>
        <v>Lot 24</v>
      </c>
      <c r="H686" s="55">
        <v>55</v>
      </c>
      <c r="I686" s="57">
        <v>89</v>
      </c>
      <c r="J686" s="57" t="s">
        <v>743</v>
      </c>
      <c r="K686" s="20" t="s">
        <v>733</v>
      </c>
      <c r="L686" s="58">
        <f>IFERROR(INDEX([1]INVENTORY!$I$6:$AI$262,MATCH($B686,[1]INVENTORY!$I$6:$I$262,0),8),"NA")</f>
        <v>3600000</v>
      </c>
      <c r="M686" s="58"/>
      <c r="N686" s="58">
        <f t="shared" si="26"/>
        <v>3600000</v>
      </c>
      <c r="O686" s="58">
        <f>IFERROR(INDEX([1]INVENTORY!$I$6:$AI$262,MATCH($B686,[1]INVENTORY!$I$6:$I$262,0),9),"NA")</f>
        <v>0</v>
      </c>
      <c r="P686" s="58">
        <f>IFERROR(INDEX([1]INVENTORY!$I$6:$AI$262,MATCH($B686,[1]INVENTORY!$I$6:$I$262,0),10),"NA")</f>
        <v>3600000</v>
      </c>
      <c r="Q686" s="18"/>
    </row>
    <row r="687" spans="2:17" s="17" customFormat="1" ht="13.8">
      <c r="B687" s="55" t="s">
        <v>827</v>
      </c>
      <c r="C687" s="20" t="s">
        <v>1</v>
      </c>
      <c r="D687" s="22" t="s">
        <v>787</v>
      </c>
      <c r="E687" s="56" t="s">
        <v>233</v>
      </c>
      <c r="F687" s="20" t="str">
        <f t="shared" si="24"/>
        <v>Block 09</v>
      </c>
      <c r="G687" s="20" t="str">
        <f t="shared" si="25"/>
        <v>Lot 25</v>
      </c>
      <c r="H687" s="55">
        <v>55</v>
      </c>
      <c r="I687" s="57">
        <v>91</v>
      </c>
      <c r="J687" s="57" t="s">
        <v>730</v>
      </c>
      <c r="K687" s="20" t="s">
        <v>735</v>
      </c>
      <c r="L687" s="58">
        <f>IFERROR(INDEX([1]INVENTORY!$I$6:$AI$262,MATCH($B687,[1]INVENTORY!$I$6:$I$262,0),8),"NA")</f>
        <v>3600000</v>
      </c>
      <c r="M687" s="58"/>
      <c r="N687" s="58">
        <f t="shared" si="26"/>
        <v>3600000</v>
      </c>
      <c r="O687" s="58">
        <f>IFERROR(INDEX([1]INVENTORY!$I$6:$AI$262,MATCH($B687,[1]INVENTORY!$I$6:$I$262,0),9),"NA")</f>
        <v>0</v>
      </c>
      <c r="P687" s="58">
        <f>IFERROR(INDEX([1]INVENTORY!$I$6:$AI$262,MATCH($B687,[1]INVENTORY!$I$6:$I$262,0),10),"NA")</f>
        <v>3600000</v>
      </c>
      <c r="Q687" s="18"/>
    </row>
    <row r="688" spans="2:17" s="17" customFormat="1" ht="13.8">
      <c r="B688" s="55" t="s">
        <v>828</v>
      </c>
      <c r="C688" s="20" t="s">
        <v>1</v>
      </c>
      <c r="D688" s="22" t="s">
        <v>787</v>
      </c>
      <c r="E688" s="56" t="s">
        <v>243</v>
      </c>
      <c r="F688" s="20" t="str">
        <f t="shared" si="24"/>
        <v>Block 09</v>
      </c>
      <c r="G688" s="20" t="str">
        <f t="shared" si="25"/>
        <v>Lot 26</v>
      </c>
      <c r="H688" s="55">
        <v>55</v>
      </c>
      <c r="I688" s="57">
        <v>110</v>
      </c>
      <c r="J688" s="57" t="s">
        <v>730</v>
      </c>
      <c r="K688" s="20" t="s">
        <v>737</v>
      </c>
      <c r="L688" s="58">
        <f>IFERROR(INDEX([1]INVENTORY!$I$6:$AI$262,MATCH($B688,[1]INVENTORY!$I$6:$I$262,0),8),"NA")</f>
        <v>4600000</v>
      </c>
      <c r="M688" s="58"/>
      <c r="N688" s="58">
        <f t="shared" si="26"/>
        <v>4600000</v>
      </c>
      <c r="O688" s="58">
        <f>IFERROR(INDEX([1]INVENTORY!$I$6:$AI$262,MATCH($B688,[1]INVENTORY!$I$6:$I$262,0),9),"NA")</f>
        <v>492857.14285714284</v>
      </c>
      <c r="P688" s="58">
        <f>IFERROR(INDEX([1]INVENTORY!$I$6:$AI$262,MATCH($B688,[1]INVENTORY!$I$6:$I$262,0),10),"NA")</f>
        <v>4107142.8571428573</v>
      </c>
      <c r="Q688" s="18"/>
    </row>
    <row r="689" spans="2:17" s="17" customFormat="1" ht="13.8">
      <c r="B689" s="55" t="s">
        <v>829</v>
      </c>
      <c r="C689" s="20" t="s">
        <v>1</v>
      </c>
      <c r="D689" s="22" t="s">
        <v>830</v>
      </c>
      <c r="E689" s="56" t="s">
        <v>243</v>
      </c>
      <c r="F689" s="20" t="str">
        <f t="shared" si="24"/>
        <v>Block 05</v>
      </c>
      <c r="G689" s="20" t="str">
        <f t="shared" si="25"/>
        <v>Lot 03</v>
      </c>
      <c r="H689" s="55">
        <v>55</v>
      </c>
      <c r="I689" s="57">
        <v>80</v>
      </c>
      <c r="J689" s="57" t="s">
        <v>743</v>
      </c>
      <c r="K689" s="20" t="s">
        <v>735</v>
      </c>
      <c r="L689" s="58">
        <f>IFERROR(INDEX([1]INVENTORY!$I$6:$AI$262,MATCH($B689,[1]INVENTORY!$I$6:$I$262,0),8),"NA")</f>
        <v>3600000</v>
      </c>
      <c r="M689" s="58"/>
      <c r="N689" s="58">
        <f t="shared" si="26"/>
        <v>3600000</v>
      </c>
      <c r="O689" s="58">
        <f>IFERROR(INDEX([1]INVENTORY!$I$6:$AI$262,MATCH($B689,[1]INVENTORY!$I$6:$I$262,0),9),"NA")</f>
        <v>0</v>
      </c>
      <c r="P689" s="58">
        <f>IFERROR(INDEX([1]INVENTORY!$I$6:$AI$262,MATCH($B689,[1]INVENTORY!$I$6:$I$262,0),10),"NA")</f>
        <v>3600000</v>
      </c>
      <c r="Q689" s="18"/>
    </row>
    <row r="690" spans="2:17" s="17" customFormat="1" ht="13.8">
      <c r="B690" s="55" t="s">
        <v>831</v>
      </c>
      <c r="C690" s="20" t="s">
        <v>1</v>
      </c>
      <c r="D690" s="22" t="s">
        <v>830</v>
      </c>
      <c r="E690" s="56" t="s">
        <v>243</v>
      </c>
      <c r="F690" s="20" t="str">
        <f t="shared" si="24"/>
        <v>Block 05</v>
      </c>
      <c r="G690" s="20" t="str">
        <f t="shared" si="25"/>
        <v>Lot 04</v>
      </c>
      <c r="H690" s="55">
        <v>55</v>
      </c>
      <c r="I690" s="57">
        <v>80</v>
      </c>
      <c r="J690" s="57" t="s">
        <v>743</v>
      </c>
      <c r="K690" s="20" t="s">
        <v>737</v>
      </c>
      <c r="L690" s="58">
        <f>IFERROR(INDEX([1]INVENTORY!$I$6:$AI$262,MATCH($B690,[1]INVENTORY!$I$6:$I$262,0),8),"NA")</f>
        <v>3600000</v>
      </c>
      <c r="M690" s="58"/>
      <c r="N690" s="58">
        <f t="shared" si="26"/>
        <v>3600000</v>
      </c>
      <c r="O690" s="58">
        <f>IFERROR(INDEX([1]INVENTORY!$I$6:$AI$262,MATCH($B690,[1]INVENTORY!$I$6:$I$262,0),9),"NA")</f>
        <v>0</v>
      </c>
      <c r="P690" s="58">
        <f>IFERROR(INDEX([1]INVENTORY!$I$6:$AI$262,MATCH($B690,[1]INVENTORY!$I$6:$I$262,0),10),"NA")</f>
        <v>3600000</v>
      </c>
      <c r="Q690" s="18"/>
    </row>
    <row r="691" spans="2:17" s="17" customFormat="1" ht="13.8">
      <c r="B691" s="55" t="s">
        <v>832</v>
      </c>
      <c r="C691" s="20" t="s">
        <v>1</v>
      </c>
      <c r="D691" s="22" t="s">
        <v>830</v>
      </c>
      <c r="E691" s="56" t="s">
        <v>243</v>
      </c>
      <c r="F691" s="20" t="str">
        <f t="shared" si="24"/>
        <v>Block 06</v>
      </c>
      <c r="G691" s="20" t="str">
        <f t="shared" si="25"/>
        <v>Lot 37</v>
      </c>
      <c r="H691" s="55">
        <v>55</v>
      </c>
      <c r="I691" s="57">
        <v>80</v>
      </c>
      <c r="J691" s="57" t="s">
        <v>743</v>
      </c>
      <c r="K691" s="20" t="s">
        <v>737</v>
      </c>
      <c r="L691" s="58">
        <f>IFERROR(INDEX([1]INVENTORY!$I$6:$AI$262,MATCH($B691,[1]INVENTORY!$I$6:$I$262,0),8),"NA")</f>
        <v>3600000</v>
      </c>
      <c r="M691" s="58"/>
      <c r="N691" s="58">
        <f t="shared" si="26"/>
        <v>3600000</v>
      </c>
      <c r="O691" s="58">
        <f>IFERROR(INDEX([1]INVENTORY!$I$6:$AI$262,MATCH($B691,[1]INVENTORY!$I$6:$I$262,0),9),"NA")</f>
        <v>0</v>
      </c>
      <c r="P691" s="58">
        <f>IFERROR(INDEX([1]INVENTORY!$I$6:$AI$262,MATCH($B691,[1]INVENTORY!$I$6:$I$262,0),10),"NA")</f>
        <v>3600000</v>
      </c>
      <c r="Q691" s="18"/>
    </row>
    <row r="692" spans="2:17" s="17" customFormat="1" ht="13.8">
      <c r="B692" s="55" t="s">
        <v>833</v>
      </c>
      <c r="C692" s="20" t="s">
        <v>1</v>
      </c>
      <c r="D692" s="22" t="s">
        <v>830</v>
      </c>
      <c r="E692" s="56" t="s">
        <v>243</v>
      </c>
      <c r="F692" s="20" t="str">
        <f t="shared" si="24"/>
        <v>Block 06</v>
      </c>
      <c r="G692" s="20" t="str">
        <f t="shared" si="25"/>
        <v>Lot 38</v>
      </c>
      <c r="H692" s="55">
        <v>55</v>
      </c>
      <c r="I692" s="57">
        <v>80</v>
      </c>
      <c r="J692" s="57" t="s">
        <v>743</v>
      </c>
      <c r="K692" s="20" t="s">
        <v>735</v>
      </c>
      <c r="L692" s="58">
        <f>IFERROR(INDEX([1]INVENTORY!$I$6:$AI$262,MATCH($B692,[1]INVENTORY!$I$6:$I$262,0),8),"NA")</f>
        <v>3600000</v>
      </c>
      <c r="M692" s="58"/>
      <c r="N692" s="58">
        <f t="shared" si="26"/>
        <v>3600000</v>
      </c>
      <c r="O692" s="58">
        <f>IFERROR(INDEX([1]INVENTORY!$I$6:$AI$262,MATCH($B692,[1]INVENTORY!$I$6:$I$262,0),9),"NA")</f>
        <v>0</v>
      </c>
      <c r="P692" s="58">
        <f>IFERROR(INDEX([1]INVENTORY!$I$6:$AI$262,MATCH($B692,[1]INVENTORY!$I$6:$I$262,0),10),"NA")</f>
        <v>3600000</v>
      </c>
      <c r="Q692" s="18"/>
    </row>
    <row r="693" spans="2:17" s="17" customFormat="1" ht="13.8">
      <c r="B693" s="55" t="s">
        <v>834</v>
      </c>
      <c r="C693" s="20" t="s">
        <v>1</v>
      </c>
      <c r="D693" s="22" t="s">
        <v>830</v>
      </c>
      <c r="E693" s="56" t="s">
        <v>243</v>
      </c>
      <c r="F693" s="20" t="str">
        <f t="shared" si="24"/>
        <v>Block 06</v>
      </c>
      <c r="G693" s="20" t="str">
        <f t="shared" si="25"/>
        <v>Lot 39</v>
      </c>
      <c r="H693" s="55">
        <v>55</v>
      </c>
      <c r="I693" s="57">
        <v>80</v>
      </c>
      <c r="J693" s="57" t="s">
        <v>743</v>
      </c>
      <c r="K693" s="20" t="s">
        <v>750</v>
      </c>
      <c r="L693" s="58">
        <f>IFERROR(INDEX([1]INVENTORY!$I$6:$AI$262,MATCH($B693,[1]INVENTORY!$I$6:$I$262,0),8),"NA")</f>
        <v>3600000</v>
      </c>
      <c r="M693" s="58"/>
      <c r="N693" s="58">
        <f t="shared" si="26"/>
        <v>3600000</v>
      </c>
      <c r="O693" s="58">
        <f>IFERROR(INDEX([1]INVENTORY!$I$6:$AI$262,MATCH($B693,[1]INVENTORY!$I$6:$I$262,0),9),"NA")</f>
        <v>0</v>
      </c>
      <c r="P693" s="58">
        <f>IFERROR(INDEX([1]INVENTORY!$I$6:$AI$262,MATCH($B693,[1]INVENTORY!$I$6:$I$262,0),10),"NA")</f>
        <v>3600000</v>
      </c>
      <c r="Q693" s="18"/>
    </row>
    <row r="694" spans="2:17" s="17" customFormat="1" ht="13.8">
      <c r="B694" s="55" t="s">
        <v>835</v>
      </c>
      <c r="C694" s="20" t="s">
        <v>1</v>
      </c>
      <c r="D694" s="22" t="s">
        <v>830</v>
      </c>
      <c r="E694" s="56" t="s">
        <v>243</v>
      </c>
      <c r="F694" s="20" t="str">
        <f t="shared" si="24"/>
        <v>Block 06</v>
      </c>
      <c r="G694" s="20" t="str">
        <f t="shared" si="25"/>
        <v>Lot 40</v>
      </c>
      <c r="H694" s="55">
        <v>55</v>
      </c>
      <c r="I694" s="57">
        <v>80</v>
      </c>
      <c r="J694" s="57" t="s">
        <v>743</v>
      </c>
      <c r="K694" s="20" t="s">
        <v>752</v>
      </c>
      <c r="L694" s="58">
        <f>IFERROR(INDEX([1]INVENTORY!$I$6:$AI$262,MATCH($B694,[1]INVENTORY!$I$6:$I$262,0),8),"NA")</f>
        <v>3600000</v>
      </c>
      <c r="M694" s="58"/>
      <c r="N694" s="58">
        <f t="shared" si="26"/>
        <v>3600000</v>
      </c>
      <c r="O694" s="58">
        <f>IFERROR(INDEX([1]INVENTORY!$I$6:$AI$262,MATCH($B694,[1]INVENTORY!$I$6:$I$262,0),9),"NA")</f>
        <v>0</v>
      </c>
      <c r="P694" s="58">
        <f>IFERROR(INDEX([1]INVENTORY!$I$6:$AI$262,MATCH($B694,[1]INVENTORY!$I$6:$I$262,0),10),"NA")</f>
        <v>3600000</v>
      </c>
      <c r="Q694" s="18"/>
    </row>
    <row r="695" spans="2:17" s="17" customFormat="1" ht="13.8">
      <c r="B695" s="55" t="s">
        <v>836</v>
      </c>
      <c r="C695" s="20" t="s">
        <v>1</v>
      </c>
      <c r="D695" s="22" t="s">
        <v>830</v>
      </c>
      <c r="E695" s="56" t="s">
        <v>243</v>
      </c>
      <c r="F695" s="20" t="str">
        <f t="shared" si="24"/>
        <v>Block 06</v>
      </c>
      <c r="G695" s="20" t="str">
        <f t="shared" si="25"/>
        <v>Lot 41</v>
      </c>
      <c r="H695" s="55">
        <v>55</v>
      </c>
      <c r="I695" s="57">
        <v>80</v>
      </c>
      <c r="J695" s="57" t="s">
        <v>743</v>
      </c>
      <c r="K695" s="20" t="s">
        <v>752</v>
      </c>
      <c r="L695" s="58">
        <f>IFERROR(INDEX([1]INVENTORY!$I$6:$AI$262,MATCH($B695,[1]INVENTORY!$I$6:$I$262,0),8),"NA")</f>
        <v>3600000</v>
      </c>
      <c r="M695" s="58"/>
      <c r="N695" s="58">
        <f t="shared" si="26"/>
        <v>3600000</v>
      </c>
      <c r="O695" s="58">
        <f>IFERROR(INDEX([1]INVENTORY!$I$6:$AI$262,MATCH($B695,[1]INVENTORY!$I$6:$I$262,0),9),"NA")</f>
        <v>0</v>
      </c>
      <c r="P695" s="58">
        <f>IFERROR(INDEX([1]INVENTORY!$I$6:$AI$262,MATCH($B695,[1]INVENTORY!$I$6:$I$262,0),10),"NA")</f>
        <v>3600000</v>
      </c>
      <c r="Q695" s="18"/>
    </row>
    <row r="696" spans="2:17" s="17" customFormat="1" ht="13.8">
      <c r="B696" s="55" t="s">
        <v>837</v>
      </c>
      <c r="C696" s="20" t="s">
        <v>1</v>
      </c>
      <c r="D696" s="22" t="s">
        <v>830</v>
      </c>
      <c r="E696" s="56" t="s">
        <v>233</v>
      </c>
      <c r="F696" s="20" t="str">
        <f t="shared" si="24"/>
        <v>Block 06</v>
      </c>
      <c r="G696" s="20" t="str">
        <f t="shared" si="25"/>
        <v>Lot 42</v>
      </c>
      <c r="H696" s="55">
        <v>55</v>
      </c>
      <c r="I696" s="57">
        <v>80</v>
      </c>
      <c r="J696" s="57" t="s">
        <v>743</v>
      </c>
      <c r="K696" s="20" t="s">
        <v>750</v>
      </c>
      <c r="L696" s="58">
        <f>IFERROR(INDEX([1]INVENTORY!$I$6:$AI$262,MATCH($B696,[1]INVENTORY!$I$6:$I$262,0),8),"NA")</f>
        <v>3600000</v>
      </c>
      <c r="M696" s="58"/>
      <c r="N696" s="58">
        <f t="shared" si="26"/>
        <v>3600000</v>
      </c>
      <c r="O696" s="58">
        <f>IFERROR(INDEX([1]INVENTORY!$I$6:$AI$262,MATCH($B696,[1]INVENTORY!$I$6:$I$262,0),9),"NA")</f>
        <v>0</v>
      </c>
      <c r="P696" s="58">
        <f>IFERROR(INDEX([1]INVENTORY!$I$6:$AI$262,MATCH($B696,[1]INVENTORY!$I$6:$I$262,0),10),"NA")</f>
        <v>3600000</v>
      </c>
      <c r="Q696" s="18"/>
    </row>
    <row r="697" spans="2:17" s="17" customFormat="1" ht="13.8">
      <c r="B697" s="55" t="s">
        <v>838</v>
      </c>
      <c r="C697" s="20" t="s">
        <v>1</v>
      </c>
      <c r="D697" s="22" t="s">
        <v>830</v>
      </c>
      <c r="E697" s="56" t="s">
        <v>233</v>
      </c>
      <c r="F697" s="20" t="str">
        <f t="shared" si="24"/>
        <v>Block 09</v>
      </c>
      <c r="G697" s="20" t="str">
        <f t="shared" si="25"/>
        <v>Lot 17</v>
      </c>
      <c r="H697" s="55">
        <v>55</v>
      </c>
      <c r="I697" s="57">
        <v>99</v>
      </c>
      <c r="J697" s="57" t="s">
        <v>730</v>
      </c>
      <c r="K697" s="20" t="s">
        <v>750</v>
      </c>
      <c r="L697" s="58">
        <f>IFERROR(INDEX([1]INVENTORY!$I$6:$AI$262,MATCH($B697,[1]INVENTORY!$I$6:$I$262,0),8),"NA")</f>
        <v>4644500</v>
      </c>
      <c r="M697" s="58"/>
      <c r="N697" s="58">
        <f t="shared" si="26"/>
        <v>4644500</v>
      </c>
      <c r="O697" s="58">
        <f>IFERROR(INDEX([1]INVENTORY!$I$6:$AI$262,MATCH($B697,[1]INVENTORY!$I$6:$I$262,0),9),"NA")</f>
        <v>497625</v>
      </c>
      <c r="P697" s="58">
        <f>IFERROR(INDEX([1]INVENTORY!$I$6:$AI$262,MATCH($B697,[1]INVENTORY!$I$6:$I$262,0),10),"NA")</f>
        <v>4146875</v>
      </c>
      <c r="Q697" s="18"/>
    </row>
    <row r="698" spans="2:17" s="17" customFormat="1" ht="13.8">
      <c r="B698" s="55" t="s">
        <v>839</v>
      </c>
      <c r="C698" s="20" t="s">
        <v>1</v>
      </c>
      <c r="D698" s="22" t="s">
        <v>830</v>
      </c>
      <c r="E698" s="56" t="s">
        <v>233</v>
      </c>
      <c r="F698" s="20" t="str">
        <f t="shared" si="24"/>
        <v>Block 09</v>
      </c>
      <c r="G698" s="20" t="str">
        <f t="shared" si="25"/>
        <v>Lot 18</v>
      </c>
      <c r="H698" s="55">
        <v>55</v>
      </c>
      <c r="I698" s="57">
        <v>96</v>
      </c>
      <c r="J698" s="57" t="s">
        <v>730</v>
      </c>
      <c r="K698" s="20" t="s">
        <v>752</v>
      </c>
      <c r="L698" s="58">
        <f>IFERROR(INDEX([1]INVENTORY!$I$6:$AI$262,MATCH($B698,[1]INVENTORY!$I$6:$I$262,0),8),"NA")</f>
        <v>3600000</v>
      </c>
      <c r="M698" s="58"/>
      <c r="N698" s="58">
        <f t="shared" si="26"/>
        <v>3600000</v>
      </c>
      <c r="O698" s="58">
        <f>IFERROR(INDEX([1]INVENTORY!$I$6:$AI$262,MATCH($B698,[1]INVENTORY!$I$6:$I$262,0),9),"NA")</f>
        <v>0</v>
      </c>
      <c r="P698" s="58">
        <f>IFERROR(INDEX([1]INVENTORY!$I$6:$AI$262,MATCH($B698,[1]INVENTORY!$I$6:$I$262,0),10),"NA")</f>
        <v>3600000</v>
      </c>
      <c r="Q698" s="18"/>
    </row>
    <row r="699" spans="2:17" s="17" customFormat="1" ht="13.8">
      <c r="B699" s="55" t="s">
        <v>840</v>
      </c>
      <c r="C699" s="20" t="s">
        <v>1</v>
      </c>
      <c r="D699" s="22" t="s">
        <v>830</v>
      </c>
      <c r="E699" s="56" t="s">
        <v>243</v>
      </c>
      <c r="F699" s="20" t="str">
        <f t="shared" si="24"/>
        <v>Block 05</v>
      </c>
      <c r="G699" s="20" t="str">
        <f t="shared" si="25"/>
        <v>Lot 05</v>
      </c>
      <c r="H699" s="55">
        <v>55</v>
      </c>
      <c r="I699" s="57">
        <v>80</v>
      </c>
      <c r="J699" s="57" t="s">
        <v>743</v>
      </c>
      <c r="K699" s="20" t="s">
        <v>737</v>
      </c>
      <c r="L699" s="58">
        <f>IFERROR(INDEX([1]INVENTORY!$I$6:$AI$262,MATCH($B699,[1]INVENTORY!$I$6:$I$262,0),8),"NA")</f>
        <v>3600000</v>
      </c>
      <c r="M699" s="58"/>
      <c r="N699" s="58">
        <f t="shared" si="26"/>
        <v>3600000</v>
      </c>
      <c r="O699" s="58">
        <f>IFERROR(INDEX([1]INVENTORY!$I$6:$AI$262,MATCH($B699,[1]INVENTORY!$I$6:$I$262,0),9),"NA")</f>
        <v>0</v>
      </c>
      <c r="P699" s="58">
        <f>IFERROR(INDEX([1]INVENTORY!$I$6:$AI$262,MATCH($B699,[1]INVENTORY!$I$6:$I$262,0),10),"NA")</f>
        <v>3600000</v>
      </c>
      <c r="Q699" s="18"/>
    </row>
    <row r="700" spans="2:17" s="17" customFormat="1" ht="13.8">
      <c r="B700" s="55" t="s">
        <v>841</v>
      </c>
      <c r="C700" s="20" t="s">
        <v>1</v>
      </c>
      <c r="D700" s="22" t="s">
        <v>830</v>
      </c>
      <c r="E700" s="56" t="s">
        <v>243</v>
      </c>
      <c r="F700" s="20" t="str">
        <f t="shared" si="24"/>
        <v>Block 05</v>
      </c>
      <c r="G700" s="20" t="str">
        <f t="shared" si="25"/>
        <v>Lot 06</v>
      </c>
      <c r="H700" s="55">
        <v>55</v>
      </c>
      <c r="I700" s="57">
        <v>80</v>
      </c>
      <c r="J700" s="57" t="s">
        <v>743</v>
      </c>
      <c r="K700" s="20" t="s">
        <v>735</v>
      </c>
      <c r="L700" s="58">
        <f>IFERROR(INDEX([1]INVENTORY!$I$6:$AI$262,MATCH($B700,[1]INVENTORY!$I$6:$I$262,0),8),"NA")</f>
        <v>3600000</v>
      </c>
      <c r="M700" s="58"/>
      <c r="N700" s="58">
        <f t="shared" si="26"/>
        <v>3600000</v>
      </c>
      <c r="O700" s="58">
        <f>IFERROR(INDEX([1]INVENTORY!$I$6:$AI$262,MATCH($B700,[1]INVENTORY!$I$6:$I$262,0),9),"NA")</f>
        <v>0</v>
      </c>
      <c r="P700" s="58">
        <f>IFERROR(INDEX([1]INVENTORY!$I$6:$AI$262,MATCH($B700,[1]INVENTORY!$I$6:$I$262,0),10),"NA")</f>
        <v>3600000</v>
      </c>
      <c r="Q700" s="18"/>
    </row>
    <row r="701" spans="2:17" s="17" customFormat="1" ht="13.8">
      <c r="B701" s="55" t="s">
        <v>842</v>
      </c>
      <c r="C701" s="20" t="s">
        <v>1</v>
      </c>
      <c r="D701" s="22" t="s">
        <v>830</v>
      </c>
      <c r="E701" s="56" t="s">
        <v>233</v>
      </c>
      <c r="F701" s="20" t="str">
        <f t="shared" si="24"/>
        <v>Block 05</v>
      </c>
      <c r="G701" s="20" t="str">
        <f t="shared" si="25"/>
        <v>Lot 43</v>
      </c>
      <c r="H701" s="55">
        <v>55</v>
      </c>
      <c r="I701" s="57">
        <v>90</v>
      </c>
      <c r="J701" s="57" t="s">
        <v>730</v>
      </c>
      <c r="K701" s="20" t="s">
        <v>750</v>
      </c>
      <c r="L701" s="58">
        <f>IFERROR(INDEX([1]INVENTORY!$I$6:$AI$262,MATCH($B701,[1]INVENTORY!$I$6:$I$262,0),8),"NA")</f>
        <v>3600000</v>
      </c>
      <c r="M701" s="58"/>
      <c r="N701" s="58">
        <f t="shared" si="26"/>
        <v>3600000</v>
      </c>
      <c r="O701" s="58">
        <f>IFERROR(INDEX([1]INVENTORY!$I$6:$AI$262,MATCH($B701,[1]INVENTORY!$I$6:$I$262,0),9),"NA")</f>
        <v>0</v>
      </c>
      <c r="P701" s="58">
        <f>IFERROR(INDEX([1]INVENTORY!$I$6:$AI$262,MATCH($B701,[1]INVENTORY!$I$6:$I$262,0),10),"NA")</f>
        <v>3600000</v>
      </c>
      <c r="Q701" s="18"/>
    </row>
    <row r="702" spans="2:17" s="17" customFormat="1" ht="13.8">
      <c r="B702" s="55" t="s">
        <v>843</v>
      </c>
      <c r="C702" s="20" t="s">
        <v>1</v>
      </c>
      <c r="D702" s="22" t="s">
        <v>830</v>
      </c>
      <c r="E702" s="56" t="s">
        <v>233</v>
      </c>
      <c r="F702" s="20" t="str">
        <f t="shared" si="24"/>
        <v>Block 05</v>
      </c>
      <c r="G702" s="20" t="str">
        <f t="shared" si="25"/>
        <v>Lot 44</v>
      </c>
      <c r="H702" s="55">
        <v>55</v>
      </c>
      <c r="I702" s="57">
        <v>90</v>
      </c>
      <c r="J702" s="57" t="s">
        <v>730</v>
      </c>
      <c r="K702" s="20" t="s">
        <v>752</v>
      </c>
      <c r="L702" s="58">
        <f>IFERROR(INDEX([1]INVENTORY!$I$6:$AI$262,MATCH($B702,[1]INVENTORY!$I$6:$I$262,0),8),"NA")</f>
        <v>3600000</v>
      </c>
      <c r="M702" s="58"/>
      <c r="N702" s="58">
        <f t="shared" si="26"/>
        <v>3600000</v>
      </c>
      <c r="O702" s="58">
        <f>IFERROR(INDEX([1]INVENTORY!$I$6:$AI$262,MATCH($B702,[1]INVENTORY!$I$6:$I$262,0),9),"NA")</f>
        <v>0</v>
      </c>
      <c r="P702" s="58">
        <f>IFERROR(INDEX([1]INVENTORY!$I$6:$AI$262,MATCH($B702,[1]INVENTORY!$I$6:$I$262,0),10),"NA")</f>
        <v>3600000</v>
      </c>
      <c r="Q702" s="18"/>
    </row>
    <row r="703" spans="2:17" s="17" customFormat="1" ht="13.8">
      <c r="B703" s="55" t="s">
        <v>844</v>
      </c>
      <c r="C703" s="20" t="s">
        <v>1</v>
      </c>
      <c r="D703" s="22" t="s">
        <v>830</v>
      </c>
      <c r="E703" s="56" t="s">
        <v>243</v>
      </c>
      <c r="F703" s="20" t="str">
        <f t="shared" si="24"/>
        <v>Block 06</v>
      </c>
      <c r="G703" s="20" t="str">
        <f t="shared" si="25"/>
        <v>Lot 31</v>
      </c>
      <c r="H703" s="55">
        <v>55</v>
      </c>
      <c r="I703" s="57">
        <v>80</v>
      </c>
      <c r="J703" s="57" t="s">
        <v>743</v>
      </c>
      <c r="K703" s="20" t="s">
        <v>733</v>
      </c>
      <c r="L703" s="58">
        <f>IFERROR(INDEX([1]INVENTORY!$I$6:$AI$262,MATCH($B703,[1]INVENTORY!$I$6:$I$262,0),8),"NA")</f>
        <v>3600000</v>
      </c>
      <c r="M703" s="58"/>
      <c r="N703" s="58">
        <f t="shared" si="26"/>
        <v>3600000</v>
      </c>
      <c r="O703" s="58">
        <f>IFERROR(INDEX([1]INVENTORY!$I$6:$AI$262,MATCH($B703,[1]INVENTORY!$I$6:$I$262,0),9),"NA")</f>
        <v>0</v>
      </c>
      <c r="P703" s="58">
        <f>IFERROR(INDEX([1]INVENTORY!$I$6:$AI$262,MATCH($B703,[1]INVENTORY!$I$6:$I$262,0),10),"NA")</f>
        <v>3600000</v>
      </c>
      <c r="Q703" s="18"/>
    </row>
    <row r="704" spans="2:17" s="17" customFormat="1" ht="13.8">
      <c r="B704" s="55" t="s">
        <v>845</v>
      </c>
      <c r="C704" s="20" t="s">
        <v>1</v>
      </c>
      <c r="D704" s="22" t="s">
        <v>830</v>
      </c>
      <c r="E704" s="56" t="s">
        <v>243</v>
      </c>
      <c r="F704" s="20" t="str">
        <f t="shared" si="24"/>
        <v>Block 06</v>
      </c>
      <c r="G704" s="20" t="str">
        <f t="shared" si="25"/>
        <v>Lot 32</v>
      </c>
      <c r="H704" s="55">
        <v>55</v>
      </c>
      <c r="I704" s="57">
        <v>80</v>
      </c>
      <c r="J704" s="57" t="s">
        <v>743</v>
      </c>
      <c r="K704" s="20" t="s">
        <v>731</v>
      </c>
      <c r="L704" s="58">
        <f>IFERROR(INDEX([1]INVENTORY!$I$6:$AI$262,MATCH($B704,[1]INVENTORY!$I$6:$I$262,0),8),"NA")</f>
        <v>3600000</v>
      </c>
      <c r="M704" s="58"/>
      <c r="N704" s="58">
        <f t="shared" si="26"/>
        <v>3600000</v>
      </c>
      <c r="O704" s="58">
        <f>IFERROR(INDEX([1]INVENTORY!$I$6:$AI$262,MATCH($B704,[1]INVENTORY!$I$6:$I$262,0),9),"NA")</f>
        <v>0</v>
      </c>
      <c r="P704" s="58">
        <f>IFERROR(INDEX([1]INVENTORY!$I$6:$AI$262,MATCH($B704,[1]INVENTORY!$I$6:$I$262,0),10),"NA")</f>
        <v>3600000</v>
      </c>
      <c r="Q704" s="18"/>
    </row>
    <row r="705" spans="2:17" s="17" customFormat="1" ht="13.8">
      <c r="B705" s="55" t="s">
        <v>846</v>
      </c>
      <c r="C705" s="20" t="s">
        <v>1</v>
      </c>
      <c r="D705" s="22" t="s">
        <v>830</v>
      </c>
      <c r="E705" s="56" t="s">
        <v>243</v>
      </c>
      <c r="F705" s="20" t="str">
        <f t="shared" si="24"/>
        <v>Block 06</v>
      </c>
      <c r="G705" s="20" t="str">
        <f t="shared" si="25"/>
        <v>Lot 33</v>
      </c>
      <c r="H705" s="55">
        <v>55</v>
      </c>
      <c r="I705" s="57">
        <v>80</v>
      </c>
      <c r="J705" s="57" t="s">
        <v>743</v>
      </c>
      <c r="K705" s="20" t="s">
        <v>731</v>
      </c>
      <c r="L705" s="58">
        <f>IFERROR(INDEX([1]INVENTORY!$I$6:$AI$262,MATCH($B705,[1]INVENTORY!$I$6:$I$262,0),8),"NA")</f>
        <v>3600000</v>
      </c>
      <c r="M705" s="58"/>
      <c r="N705" s="58">
        <f t="shared" si="26"/>
        <v>3600000</v>
      </c>
      <c r="O705" s="58">
        <f>IFERROR(INDEX([1]INVENTORY!$I$6:$AI$262,MATCH($B705,[1]INVENTORY!$I$6:$I$262,0),9),"NA")</f>
        <v>0</v>
      </c>
      <c r="P705" s="58">
        <f>IFERROR(INDEX([1]INVENTORY!$I$6:$AI$262,MATCH($B705,[1]INVENTORY!$I$6:$I$262,0),10),"NA")</f>
        <v>3600000</v>
      </c>
      <c r="Q705" s="18"/>
    </row>
    <row r="706" spans="2:17" s="17" customFormat="1" ht="13.8">
      <c r="B706" s="55" t="s">
        <v>847</v>
      </c>
      <c r="C706" s="20" t="s">
        <v>1</v>
      </c>
      <c r="D706" s="22" t="s">
        <v>830</v>
      </c>
      <c r="E706" s="56" t="s">
        <v>243</v>
      </c>
      <c r="F706" s="20" t="str">
        <f t="shared" si="24"/>
        <v>Block 06</v>
      </c>
      <c r="G706" s="20" t="str">
        <f t="shared" si="25"/>
        <v>Lot 34</v>
      </c>
      <c r="H706" s="55">
        <v>55</v>
      </c>
      <c r="I706" s="57">
        <v>80</v>
      </c>
      <c r="J706" s="57" t="s">
        <v>743</v>
      </c>
      <c r="K706" s="20" t="s">
        <v>733</v>
      </c>
      <c r="L706" s="58">
        <f>IFERROR(INDEX([1]INVENTORY!$I$6:$AI$262,MATCH($B706,[1]INVENTORY!$I$6:$I$262,0),8),"NA")</f>
        <v>3600000</v>
      </c>
      <c r="M706" s="58"/>
      <c r="N706" s="58">
        <f t="shared" si="26"/>
        <v>3600000</v>
      </c>
      <c r="O706" s="58">
        <f>IFERROR(INDEX([1]INVENTORY!$I$6:$AI$262,MATCH($B706,[1]INVENTORY!$I$6:$I$262,0),9),"NA")</f>
        <v>0</v>
      </c>
      <c r="P706" s="58">
        <f>IFERROR(INDEX([1]INVENTORY!$I$6:$AI$262,MATCH($B706,[1]INVENTORY!$I$6:$I$262,0),10),"NA")</f>
        <v>3600000</v>
      </c>
      <c r="Q706" s="18"/>
    </row>
    <row r="707" spans="2:17" s="17" customFormat="1" ht="13.8">
      <c r="B707" s="55" t="s">
        <v>848</v>
      </c>
      <c r="C707" s="20" t="s">
        <v>1</v>
      </c>
      <c r="D707" s="22" t="s">
        <v>830</v>
      </c>
      <c r="E707" s="56" t="s">
        <v>243</v>
      </c>
      <c r="F707" s="20" t="str">
        <f t="shared" si="24"/>
        <v>Block 06</v>
      </c>
      <c r="G707" s="20" t="str">
        <f t="shared" si="25"/>
        <v>Lot 35</v>
      </c>
      <c r="H707" s="55">
        <v>55</v>
      </c>
      <c r="I707" s="57">
        <v>80</v>
      </c>
      <c r="J707" s="57" t="s">
        <v>743</v>
      </c>
      <c r="K707" s="20" t="s">
        <v>735</v>
      </c>
      <c r="L707" s="58">
        <f>IFERROR(INDEX([1]INVENTORY!$I$6:$AI$262,MATCH($B707,[1]INVENTORY!$I$6:$I$262,0),8),"NA")</f>
        <v>3600000</v>
      </c>
      <c r="M707" s="58"/>
      <c r="N707" s="58">
        <f t="shared" si="26"/>
        <v>3600000</v>
      </c>
      <c r="O707" s="58">
        <f>IFERROR(INDEX([1]INVENTORY!$I$6:$AI$262,MATCH($B707,[1]INVENTORY!$I$6:$I$262,0),9),"NA")</f>
        <v>0</v>
      </c>
      <c r="P707" s="58">
        <f>IFERROR(INDEX([1]INVENTORY!$I$6:$AI$262,MATCH($B707,[1]INVENTORY!$I$6:$I$262,0),10),"NA")</f>
        <v>3600000</v>
      </c>
      <c r="Q707" s="18"/>
    </row>
    <row r="708" spans="2:17" s="17" customFormat="1" ht="13.8">
      <c r="B708" s="55" t="s">
        <v>849</v>
      </c>
      <c r="C708" s="20" t="s">
        <v>1</v>
      </c>
      <c r="D708" s="22" t="s">
        <v>830</v>
      </c>
      <c r="E708" s="56" t="s">
        <v>243</v>
      </c>
      <c r="F708" s="20" t="str">
        <f t="shared" si="24"/>
        <v>Block 06</v>
      </c>
      <c r="G708" s="20" t="str">
        <f t="shared" si="25"/>
        <v>Lot 36</v>
      </c>
      <c r="H708" s="55">
        <v>55</v>
      </c>
      <c r="I708" s="57">
        <v>80</v>
      </c>
      <c r="J708" s="57" t="s">
        <v>743</v>
      </c>
      <c r="K708" s="20" t="s">
        <v>737</v>
      </c>
      <c r="L708" s="58">
        <f>IFERROR(INDEX([1]INVENTORY!$I$6:$AI$262,MATCH($B708,[1]INVENTORY!$I$6:$I$262,0),8),"NA")</f>
        <v>3600000</v>
      </c>
      <c r="M708" s="58"/>
      <c r="N708" s="58">
        <f t="shared" si="26"/>
        <v>3600000</v>
      </c>
      <c r="O708" s="58">
        <f>IFERROR(INDEX([1]INVENTORY!$I$6:$AI$262,MATCH($B708,[1]INVENTORY!$I$6:$I$262,0),9),"NA")</f>
        <v>0</v>
      </c>
      <c r="P708" s="58">
        <f>IFERROR(INDEX([1]INVENTORY!$I$6:$AI$262,MATCH($B708,[1]INVENTORY!$I$6:$I$262,0),10),"NA")</f>
        <v>3600000</v>
      </c>
      <c r="Q708" s="18"/>
    </row>
    <row r="709" spans="2:17" s="17" customFormat="1" ht="13.8">
      <c r="B709" s="55" t="s">
        <v>850</v>
      </c>
      <c r="C709" s="20" t="s">
        <v>1</v>
      </c>
      <c r="D709" s="22" t="s">
        <v>830</v>
      </c>
      <c r="E709" s="56" t="s">
        <v>243</v>
      </c>
      <c r="F709" s="20" t="str">
        <f t="shared" si="24"/>
        <v>Block 06</v>
      </c>
      <c r="G709" s="20" t="str">
        <f t="shared" si="25"/>
        <v>Lot 43</v>
      </c>
      <c r="H709" s="55">
        <v>55</v>
      </c>
      <c r="I709" s="57">
        <v>80</v>
      </c>
      <c r="J709" s="57" t="s">
        <v>743</v>
      </c>
      <c r="K709" s="20" t="s">
        <v>733</v>
      </c>
      <c r="L709" s="58">
        <f>IFERROR(INDEX([1]INVENTORY!$I$6:$AI$262,MATCH($B709,[1]INVENTORY!$I$6:$I$262,0),8),"NA")</f>
        <v>3600000</v>
      </c>
      <c r="M709" s="58"/>
      <c r="N709" s="58">
        <f t="shared" si="26"/>
        <v>3600000</v>
      </c>
      <c r="O709" s="58">
        <f>IFERROR(INDEX([1]INVENTORY!$I$6:$AI$262,MATCH($B709,[1]INVENTORY!$I$6:$I$262,0),9),"NA")</f>
        <v>0</v>
      </c>
      <c r="P709" s="58">
        <f>IFERROR(INDEX([1]INVENTORY!$I$6:$AI$262,MATCH($B709,[1]INVENTORY!$I$6:$I$262,0),10),"NA")</f>
        <v>3600000</v>
      </c>
      <c r="Q709" s="18"/>
    </row>
    <row r="710" spans="2:17" s="17" customFormat="1" ht="13.8">
      <c r="B710" s="55" t="s">
        <v>851</v>
      </c>
      <c r="C710" s="20" t="s">
        <v>1</v>
      </c>
      <c r="D710" s="22" t="s">
        <v>830</v>
      </c>
      <c r="E710" s="56" t="s">
        <v>243</v>
      </c>
      <c r="F710" s="20" t="str">
        <f t="shared" si="24"/>
        <v>Block 06</v>
      </c>
      <c r="G710" s="20" t="str">
        <f t="shared" si="25"/>
        <v>Lot 44</v>
      </c>
      <c r="H710" s="55">
        <v>55</v>
      </c>
      <c r="I710" s="57">
        <v>80</v>
      </c>
      <c r="J710" s="57" t="s">
        <v>743</v>
      </c>
      <c r="K710" s="20" t="s">
        <v>731</v>
      </c>
      <c r="L710" s="58">
        <f>IFERROR(INDEX([1]INVENTORY!$I$6:$AI$262,MATCH($B710,[1]INVENTORY!$I$6:$I$262,0),8),"NA")</f>
        <v>3600000</v>
      </c>
      <c r="M710" s="58"/>
      <c r="N710" s="58">
        <f t="shared" si="26"/>
        <v>3600000</v>
      </c>
      <c r="O710" s="58">
        <f>IFERROR(INDEX([1]INVENTORY!$I$6:$AI$262,MATCH($B710,[1]INVENTORY!$I$6:$I$262,0),9),"NA")</f>
        <v>0</v>
      </c>
      <c r="P710" s="58">
        <f>IFERROR(INDEX([1]INVENTORY!$I$6:$AI$262,MATCH($B710,[1]INVENTORY!$I$6:$I$262,0),10),"NA")</f>
        <v>3600000</v>
      </c>
      <c r="Q710" s="18"/>
    </row>
    <row r="711" spans="2:17" s="17" customFormat="1" ht="13.8">
      <c r="B711" s="55" t="s">
        <v>852</v>
      </c>
      <c r="C711" s="20" t="s">
        <v>1</v>
      </c>
      <c r="D711" s="22" t="s">
        <v>830</v>
      </c>
      <c r="E711" s="56" t="s">
        <v>233</v>
      </c>
      <c r="F711" s="20" t="str">
        <f t="shared" si="24"/>
        <v>Block 06</v>
      </c>
      <c r="G711" s="20" t="str">
        <f t="shared" si="25"/>
        <v>Lot 45</v>
      </c>
      <c r="H711" s="55">
        <v>55</v>
      </c>
      <c r="I711" s="57">
        <v>80</v>
      </c>
      <c r="J711" s="57" t="s">
        <v>743</v>
      </c>
      <c r="K711" s="20" t="s">
        <v>731</v>
      </c>
      <c r="L711" s="58">
        <f>IFERROR(INDEX([1]INVENTORY!$I$6:$AI$262,MATCH($B711,[1]INVENTORY!$I$6:$I$262,0),8),"NA")</f>
        <v>3600000</v>
      </c>
      <c r="M711" s="58"/>
      <c r="N711" s="58">
        <f t="shared" si="26"/>
        <v>3600000</v>
      </c>
      <c r="O711" s="58">
        <f>IFERROR(INDEX([1]INVENTORY!$I$6:$AI$262,MATCH($B711,[1]INVENTORY!$I$6:$I$262,0),9),"NA")</f>
        <v>0</v>
      </c>
      <c r="P711" s="58">
        <f>IFERROR(INDEX([1]INVENTORY!$I$6:$AI$262,MATCH($B711,[1]INVENTORY!$I$6:$I$262,0),10),"NA")</f>
        <v>3600000</v>
      </c>
      <c r="Q711" s="18"/>
    </row>
    <row r="712" spans="2:17" s="17" customFormat="1" ht="13.8">
      <c r="B712" s="55" t="s">
        <v>853</v>
      </c>
      <c r="C712" s="20" t="s">
        <v>1</v>
      </c>
      <c r="D712" s="22" t="s">
        <v>830</v>
      </c>
      <c r="E712" s="56" t="s">
        <v>243</v>
      </c>
      <c r="F712" s="20" t="str">
        <f t="shared" si="24"/>
        <v>Block 06</v>
      </c>
      <c r="G712" s="20" t="str">
        <f t="shared" si="25"/>
        <v>Lot 46</v>
      </c>
      <c r="H712" s="55">
        <v>55</v>
      </c>
      <c r="I712" s="57">
        <v>80</v>
      </c>
      <c r="J712" s="57" t="s">
        <v>743</v>
      </c>
      <c r="K712" s="20" t="s">
        <v>733</v>
      </c>
      <c r="L712" s="58">
        <f>IFERROR(INDEX([1]INVENTORY!$I$6:$AI$262,MATCH($B712,[1]INVENTORY!$I$6:$I$262,0),8),"NA")</f>
        <v>3600000</v>
      </c>
      <c r="M712" s="58"/>
      <c r="N712" s="58">
        <f t="shared" si="26"/>
        <v>3600000</v>
      </c>
      <c r="O712" s="58">
        <f>IFERROR(INDEX([1]INVENTORY!$I$6:$AI$262,MATCH($B712,[1]INVENTORY!$I$6:$I$262,0),9),"NA")</f>
        <v>0</v>
      </c>
      <c r="P712" s="58">
        <f>IFERROR(INDEX([1]INVENTORY!$I$6:$AI$262,MATCH($B712,[1]INVENTORY!$I$6:$I$262,0),10),"NA")</f>
        <v>3600000</v>
      </c>
      <c r="Q712" s="18"/>
    </row>
    <row r="713" spans="2:17" s="17" customFormat="1" ht="13.8">
      <c r="B713" s="55" t="s">
        <v>854</v>
      </c>
      <c r="C713" s="20" t="s">
        <v>1</v>
      </c>
      <c r="D713" s="22" t="s">
        <v>830</v>
      </c>
      <c r="E713" s="56" t="s">
        <v>243</v>
      </c>
      <c r="F713" s="20" t="str">
        <f t="shared" si="24"/>
        <v>Block 08</v>
      </c>
      <c r="G713" s="20" t="str">
        <f t="shared" si="25"/>
        <v>Lot 12</v>
      </c>
      <c r="H713" s="55">
        <v>55</v>
      </c>
      <c r="I713" s="57">
        <v>82</v>
      </c>
      <c r="J713" s="57" t="s">
        <v>743</v>
      </c>
      <c r="K713" s="20" t="s">
        <v>750</v>
      </c>
      <c r="L713" s="58">
        <f>IFERROR(INDEX([1]INVENTORY!$I$6:$AI$262,MATCH($B713,[1]INVENTORY!$I$6:$I$262,0),8),"NA")</f>
        <v>3600000</v>
      </c>
      <c r="M713" s="58"/>
      <c r="N713" s="58">
        <f t="shared" si="26"/>
        <v>3600000</v>
      </c>
      <c r="O713" s="58">
        <f>IFERROR(INDEX([1]INVENTORY!$I$6:$AI$262,MATCH($B713,[1]INVENTORY!$I$6:$I$262,0),9),"NA")</f>
        <v>0</v>
      </c>
      <c r="P713" s="58">
        <f>IFERROR(INDEX([1]INVENTORY!$I$6:$AI$262,MATCH($B713,[1]INVENTORY!$I$6:$I$262,0),10),"NA")</f>
        <v>3600000</v>
      </c>
      <c r="Q713" s="18"/>
    </row>
    <row r="714" spans="2:17" s="17" customFormat="1" ht="13.8">
      <c r="B714" s="55" t="s">
        <v>855</v>
      </c>
      <c r="C714" s="20" t="s">
        <v>1</v>
      </c>
      <c r="D714" s="22" t="s">
        <v>830</v>
      </c>
      <c r="E714" s="56" t="s">
        <v>243</v>
      </c>
      <c r="F714" s="20" t="str">
        <f t="shared" si="24"/>
        <v>Block 08</v>
      </c>
      <c r="G714" s="20" t="str">
        <f t="shared" si="25"/>
        <v>Lot 13</v>
      </c>
      <c r="H714" s="55">
        <v>55</v>
      </c>
      <c r="I714" s="57">
        <v>82</v>
      </c>
      <c r="J714" s="57" t="s">
        <v>743</v>
      </c>
      <c r="K714" s="20" t="s">
        <v>752</v>
      </c>
      <c r="L714" s="58">
        <f>IFERROR(INDEX([1]INVENTORY!$I$6:$AI$262,MATCH($B714,[1]INVENTORY!$I$6:$I$262,0),8),"NA")</f>
        <v>3600000</v>
      </c>
      <c r="M714" s="58"/>
      <c r="N714" s="58">
        <f t="shared" si="26"/>
        <v>3600000</v>
      </c>
      <c r="O714" s="58">
        <f>IFERROR(INDEX([1]INVENTORY!$I$6:$AI$262,MATCH($B714,[1]INVENTORY!$I$6:$I$262,0),9),"NA")</f>
        <v>0</v>
      </c>
      <c r="P714" s="58">
        <f>IFERROR(INDEX([1]INVENTORY!$I$6:$AI$262,MATCH($B714,[1]INVENTORY!$I$6:$I$262,0),10),"NA")</f>
        <v>3600000</v>
      </c>
      <c r="Q714" s="18"/>
    </row>
    <row r="715" spans="2:17" s="17" customFormat="1" ht="13.8">
      <c r="B715" s="55" t="s">
        <v>856</v>
      </c>
      <c r="C715" s="20" t="s">
        <v>1</v>
      </c>
      <c r="D715" s="22" t="s">
        <v>830</v>
      </c>
      <c r="E715" s="56" t="s">
        <v>243</v>
      </c>
      <c r="F715" s="20" t="str">
        <f t="shared" si="24"/>
        <v>Block 08</v>
      </c>
      <c r="G715" s="20" t="str">
        <f t="shared" si="25"/>
        <v>Lot 14</v>
      </c>
      <c r="H715" s="55">
        <v>55</v>
      </c>
      <c r="I715" s="57">
        <v>87</v>
      </c>
      <c r="J715" s="57" t="s">
        <v>743</v>
      </c>
      <c r="K715" s="20" t="s">
        <v>752</v>
      </c>
      <c r="L715" s="58">
        <f>IFERROR(INDEX([1]INVENTORY!$I$6:$AI$262,MATCH($B715,[1]INVENTORY!$I$6:$I$262,0),8),"NA")</f>
        <v>3600000</v>
      </c>
      <c r="M715" s="58"/>
      <c r="N715" s="58">
        <f t="shared" si="26"/>
        <v>3600000</v>
      </c>
      <c r="O715" s="58">
        <f>IFERROR(INDEX([1]INVENTORY!$I$6:$AI$262,MATCH($B715,[1]INVENTORY!$I$6:$I$262,0),9),"NA")</f>
        <v>0</v>
      </c>
      <c r="P715" s="58">
        <f>IFERROR(INDEX([1]INVENTORY!$I$6:$AI$262,MATCH($B715,[1]INVENTORY!$I$6:$I$262,0),10),"NA")</f>
        <v>3600000</v>
      </c>
      <c r="Q715" s="18"/>
    </row>
    <row r="716" spans="2:17" s="17" customFormat="1" ht="13.8">
      <c r="B716" s="55" t="s">
        <v>857</v>
      </c>
      <c r="C716" s="20" t="s">
        <v>1</v>
      </c>
      <c r="D716" s="22" t="s">
        <v>830</v>
      </c>
      <c r="E716" s="56" t="s">
        <v>243</v>
      </c>
      <c r="F716" s="20" t="str">
        <f t="shared" si="24"/>
        <v>Block 08</v>
      </c>
      <c r="G716" s="20" t="str">
        <f t="shared" si="25"/>
        <v>Lot 15</v>
      </c>
      <c r="H716" s="55">
        <v>55</v>
      </c>
      <c r="I716" s="57">
        <v>87</v>
      </c>
      <c r="J716" s="57" t="s">
        <v>743</v>
      </c>
      <c r="K716" s="20" t="s">
        <v>750</v>
      </c>
      <c r="L716" s="58">
        <f>IFERROR(INDEX([1]INVENTORY!$I$6:$AI$262,MATCH($B716,[1]INVENTORY!$I$6:$I$262,0),8),"NA")</f>
        <v>3600000</v>
      </c>
      <c r="M716" s="58"/>
      <c r="N716" s="58">
        <f t="shared" si="26"/>
        <v>3600000</v>
      </c>
      <c r="O716" s="58">
        <f>IFERROR(INDEX([1]INVENTORY!$I$6:$AI$262,MATCH($B716,[1]INVENTORY!$I$6:$I$262,0),9),"NA")</f>
        <v>0</v>
      </c>
      <c r="P716" s="58">
        <f>IFERROR(INDEX([1]INVENTORY!$I$6:$AI$262,MATCH($B716,[1]INVENTORY!$I$6:$I$262,0),10),"NA")</f>
        <v>3600000</v>
      </c>
      <c r="Q716" s="18"/>
    </row>
    <row r="717" spans="2:17" s="17" customFormat="1" ht="13.8">
      <c r="B717" s="55" t="s">
        <v>858</v>
      </c>
      <c r="C717" s="20" t="s">
        <v>1</v>
      </c>
      <c r="D717" s="22" t="s">
        <v>830</v>
      </c>
      <c r="E717" s="56" t="s">
        <v>243</v>
      </c>
      <c r="F717" s="20" t="str">
        <f t="shared" si="24"/>
        <v>Block 08</v>
      </c>
      <c r="G717" s="20" t="str">
        <f t="shared" si="25"/>
        <v>Lot 20</v>
      </c>
      <c r="H717" s="55">
        <v>55</v>
      </c>
      <c r="I717" s="57">
        <v>83</v>
      </c>
      <c r="J717" s="57" t="s">
        <v>743</v>
      </c>
      <c r="K717" s="20" t="s">
        <v>733</v>
      </c>
      <c r="L717" s="58">
        <f>IFERROR(INDEX([1]INVENTORY!$I$6:$AI$262,MATCH($B717,[1]INVENTORY!$I$6:$I$262,0),8),"NA")</f>
        <v>3600000</v>
      </c>
      <c r="M717" s="58"/>
      <c r="N717" s="58">
        <f t="shared" si="26"/>
        <v>3600000</v>
      </c>
      <c r="O717" s="58">
        <f>IFERROR(INDEX([1]INVENTORY!$I$6:$AI$262,MATCH($B717,[1]INVENTORY!$I$6:$I$262,0),9),"NA")</f>
        <v>0</v>
      </c>
      <c r="P717" s="58">
        <f>IFERROR(INDEX([1]INVENTORY!$I$6:$AI$262,MATCH($B717,[1]INVENTORY!$I$6:$I$262,0),10),"NA")</f>
        <v>3600000</v>
      </c>
      <c r="Q717" s="18"/>
    </row>
    <row r="718" spans="2:17" s="17" customFormat="1" ht="13.8">
      <c r="B718" s="55" t="s">
        <v>859</v>
      </c>
      <c r="C718" s="20" t="s">
        <v>1</v>
      </c>
      <c r="D718" s="22" t="s">
        <v>830</v>
      </c>
      <c r="E718" s="56" t="s">
        <v>243</v>
      </c>
      <c r="F718" s="20" t="str">
        <f t="shared" si="24"/>
        <v>Block 08</v>
      </c>
      <c r="G718" s="20" t="str">
        <f t="shared" si="25"/>
        <v>Lot 21</v>
      </c>
      <c r="H718" s="55">
        <v>55</v>
      </c>
      <c r="I718" s="57">
        <v>82</v>
      </c>
      <c r="J718" s="57" t="s">
        <v>743</v>
      </c>
      <c r="K718" s="20" t="s">
        <v>731</v>
      </c>
      <c r="L718" s="58">
        <f>IFERROR(INDEX([1]INVENTORY!$I$6:$AI$262,MATCH($B718,[1]INVENTORY!$I$6:$I$262,0),8),"NA")</f>
        <v>3600000</v>
      </c>
      <c r="M718" s="58"/>
      <c r="N718" s="58">
        <f t="shared" si="26"/>
        <v>3600000</v>
      </c>
      <c r="O718" s="58">
        <f>IFERROR(INDEX([1]INVENTORY!$I$6:$AI$262,MATCH($B718,[1]INVENTORY!$I$6:$I$262,0),9),"NA")</f>
        <v>0</v>
      </c>
      <c r="P718" s="58">
        <f>IFERROR(INDEX([1]INVENTORY!$I$6:$AI$262,MATCH($B718,[1]INVENTORY!$I$6:$I$262,0),10),"NA")</f>
        <v>3600000</v>
      </c>
      <c r="Q718" s="18"/>
    </row>
    <row r="719" spans="2:17" s="17" customFormat="1" ht="13.8">
      <c r="B719" s="55" t="s">
        <v>860</v>
      </c>
      <c r="C719" s="20" t="s">
        <v>1</v>
      </c>
      <c r="D719" s="22" t="s">
        <v>830</v>
      </c>
      <c r="E719" s="56" t="s">
        <v>243</v>
      </c>
      <c r="F719" s="20" t="str">
        <f t="shared" si="24"/>
        <v>Block 08</v>
      </c>
      <c r="G719" s="20" t="str">
        <f t="shared" si="25"/>
        <v>Lot 22</v>
      </c>
      <c r="H719" s="55">
        <v>55</v>
      </c>
      <c r="I719" s="57">
        <v>82</v>
      </c>
      <c r="J719" s="57" t="s">
        <v>743</v>
      </c>
      <c r="K719" s="20" t="s">
        <v>731</v>
      </c>
      <c r="L719" s="58">
        <f>IFERROR(INDEX([1]INVENTORY!$I$6:$AI$262,MATCH($B719,[1]INVENTORY!$I$6:$I$262,0),8),"NA")</f>
        <v>3600000</v>
      </c>
      <c r="M719" s="58"/>
      <c r="N719" s="58">
        <f t="shared" si="26"/>
        <v>3600000</v>
      </c>
      <c r="O719" s="58">
        <f>IFERROR(INDEX([1]INVENTORY!$I$6:$AI$262,MATCH($B719,[1]INVENTORY!$I$6:$I$262,0),9),"NA")</f>
        <v>0</v>
      </c>
      <c r="P719" s="58">
        <f>IFERROR(INDEX([1]INVENTORY!$I$6:$AI$262,MATCH($B719,[1]INVENTORY!$I$6:$I$262,0),10),"NA")</f>
        <v>3600000</v>
      </c>
      <c r="Q719" s="18"/>
    </row>
    <row r="720" spans="2:17" s="17" customFormat="1" ht="13.8">
      <c r="B720" s="55" t="s">
        <v>861</v>
      </c>
      <c r="C720" s="20" t="s">
        <v>1</v>
      </c>
      <c r="D720" s="22" t="s">
        <v>830</v>
      </c>
      <c r="E720" s="56" t="s">
        <v>243</v>
      </c>
      <c r="F720" s="20" t="str">
        <f t="shared" si="24"/>
        <v>Block 08</v>
      </c>
      <c r="G720" s="20" t="str">
        <f t="shared" si="25"/>
        <v>Lot 23</v>
      </c>
      <c r="H720" s="55">
        <v>55</v>
      </c>
      <c r="I720" s="57">
        <v>82</v>
      </c>
      <c r="J720" s="57" t="s">
        <v>743</v>
      </c>
      <c r="K720" s="20" t="s">
        <v>733</v>
      </c>
      <c r="L720" s="58">
        <f>IFERROR(INDEX([1]INVENTORY!$I$6:$AI$262,MATCH($B720,[1]INVENTORY!$I$6:$I$262,0),8),"NA")</f>
        <v>3600000</v>
      </c>
      <c r="M720" s="58"/>
      <c r="N720" s="58">
        <f t="shared" si="26"/>
        <v>3600000</v>
      </c>
      <c r="O720" s="58">
        <f>IFERROR(INDEX([1]INVENTORY!$I$6:$AI$262,MATCH($B720,[1]INVENTORY!$I$6:$I$262,0),9),"NA")</f>
        <v>0</v>
      </c>
      <c r="P720" s="58">
        <f>IFERROR(INDEX([1]INVENTORY!$I$6:$AI$262,MATCH($B720,[1]INVENTORY!$I$6:$I$262,0),10),"NA")</f>
        <v>3600000</v>
      </c>
      <c r="Q720" s="18"/>
    </row>
    <row r="721" spans="2:17" s="17" customFormat="1" ht="13.8">
      <c r="B721" s="55" t="s">
        <v>862</v>
      </c>
      <c r="C721" s="20" t="s">
        <v>1</v>
      </c>
      <c r="D721" s="22" t="s">
        <v>830</v>
      </c>
      <c r="E721" s="56" t="s">
        <v>243</v>
      </c>
      <c r="F721" s="20" t="str">
        <f t="shared" si="24"/>
        <v>Block 08</v>
      </c>
      <c r="G721" s="20" t="str">
        <f t="shared" si="25"/>
        <v>Lot 24</v>
      </c>
      <c r="H721" s="55">
        <v>55</v>
      </c>
      <c r="I721" s="57">
        <v>82</v>
      </c>
      <c r="J721" s="57" t="s">
        <v>743</v>
      </c>
      <c r="K721" s="20" t="s">
        <v>750</v>
      </c>
      <c r="L721" s="58">
        <f>IFERROR(INDEX([1]INVENTORY!$I$6:$AI$262,MATCH($B721,[1]INVENTORY!$I$6:$I$262,0),8),"NA")</f>
        <v>3600000</v>
      </c>
      <c r="M721" s="58"/>
      <c r="N721" s="58">
        <f t="shared" si="26"/>
        <v>3600000</v>
      </c>
      <c r="O721" s="58">
        <f>IFERROR(INDEX([1]INVENTORY!$I$6:$AI$262,MATCH($B721,[1]INVENTORY!$I$6:$I$262,0),9),"NA")</f>
        <v>0</v>
      </c>
      <c r="P721" s="58">
        <f>IFERROR(INDEX([1]INVENTORY!$I$6:$AI$262,MATCH($B721,[1]INVENTORY!$I$6:$I$262,0),10),"NA")</f>
        <v>3600000</v>
      </c>
      <c r="Q721" s="18"/>
    </row>
    <row r="722" spans="2:17" s="17" customFormat="1" ht="13.8">
      <c r="B722" s="55" t="s">
        <v>863</v>
      </c>
      <c r="C722" s="20" t="s">
        <v>1</v>
      </c>
      <c r="D722" s="22" t="s">
        <v>830</v>
      </c>
      <c r="E722" s="56" t="s">
        <v>243</v>
      </c>
      <c r="F722" s="20" t="str">
        <f t="shared" si="24"/>
        <v>Block 08</v>
      </c>
      <c r="G722" s="20" t="str">
        <f t="shared" si="25"/>
        <v>Lot 25</v>
      </c>
      <c r="H722" s="55">
        <v>55</v>
      </c>
      <c r="I722" s="59">
        <v>87</v>
      </c>
      <c r="J722" s="57" t="s">
        <v>743</v>
      </c>
      <c r="K722" s="20" t="s">
        <v>752</v>
      </c>
      <c r="L722" s="58">
        <f>IFERROR(INDEX([1]INVENTORY!$I$6:$AI$262,MATCH($B722,[1]INVENTORY!$I$6:$I$262,0),8),"NA")</f>
        <v>3600000</v>
      </c>
      <c r="M722" s="58"/>
      <c r="N722" s="58">
        <f t="shared" si="26"/>
        <v>3600000</v>
      </c>
      <c r="O722" s="58">
        <f>IFERROR(INDEX([1]INVENTORY!$I$6:$AI$262,MATCH($B722,[1]INVENTORY!$I$6:$I$262,0),9),"NA")</f>
        <v>0</v>
      </c>
      <c r="P722" s="58">
        <f>IFERROR(INDEX([1]INVENTORY!$I$6:$AI$262,MATCH($B722,[1]INVENTORY!$I$6:$I$262,0),10),"NA")</f>
        <v>3600000</v>
      </c>
      <c r="Q722" s="18"/>
    </row>
    <row r="723" spans="2:17" s="17" customFormat="1" ht="13.8">
      <c r="B723" s="55" t="s">
        <v>864</v>
      </c>
      <c r="C723" s="20" t="s">
        <v>1</v>
      </c>
      <c r="D723" s="22" t="s">
        <v>830</v>
      </c>
      <c r="E723" s="56" t="s">
        <v>243</v>
      </c>
      <c r="F723" s="20" t="str">
        <f t="shared" si="24"/>
        <v>Block 08</v>
      </c>
      <c r="G723" s="20" t="str">
        <f t="shared" si="25"/>
        <v>Lot 26</v>
      </c>
      <c r="H723" s="55">
        <v>55</v>
      </c>
      <c r="I723" s="57">
        <v>93</v>
      </c>
      <c r="J723" s="57" t="s">
        <v>730</v>
      </c>
      <c r="K723" s="20" t="s">
        <v>752</v>
      </c>
      <c r="L723" s="58">
        <f>IFERROR(INDEX([1]INVENTORY!$I$6:$AI$262,MATCH($B723,[1]INVENTORY!$I$6:$I$262,0),8),"NA")</f>
        <v>3600000</v>
      </c>
      <c r="M723" s="58"/>
      <c r="N723" s="58">
        <f t="shared" si="26"/>
        <v>3600000</v>
      </c>
      <c r="O723" s="58">
        <f>IFERROR(INDEX([1]INVENTORY!$I$6:$AI$262,MATCH($B723,[1]INVENTORY!$I$6:$I$262,0),9),"NA")</f>
        <v>0</v>
      </c>
      <c r="P723" s="58">
        <f>IFERROR(INDEX([1]INVENTORY!$I$6:$AI$262,MATCH($B723,[1]INVENTORY!$I$6:$I$262,0),10),"NA")</f>
        <v>3600000</v>
      </c>
      <c r="Q723" s="18"/>
    </row>
    <row r="724" spans="2:17" s="17" customFormat="1" ht="13.8">
      <c r="B724" s="55" t="s">
        <v>865</v>
      </c>
      <c r="C724" s="20" t="s">
        <v>1</v>
      </c>
      <c r="D724" s="22" t="s">
        <v>830</v>
      </c>
      <c r="E724" s="56" t="s">
        <v>233</v>
      </c>
      <c r="F724" s="20" t="str">
        <f t="shared" si="24"/>
        <v>Block 08</v>
      </c>
      <c r="G724" s="20" t="str">
        <f t="shared" si="25"/>
        <v>Lot 27</v>
      </c>
      <c r="H724" s="55">
        <v>55</v>
      </c>
      <c r="I724" s="57">
        <v>92</v>
      </c>
      <c r="J724" s="57" t="s">
        <v>730</v>
      </c>
      <c r="K724" s="20" t="s">
        <v>750</v>
      </c>
      <c r="L724" s="58">
        <f>IFERROR(INDEX([1]INVENTORY!$I$6:$AI$262,MATCH($B724,[1]INVENTORY!$I$6:$I$262,0),8),"NA")</f>
        <v>3600000</v>
      </c>
      <c r="M724" s="58"/>
      <c r="N724" s="58">
        <f t="shared" si="26"/>
        <v>3600000</v>
      </c>
      <c r="O724" s="58">
        <f>IFERROR(INDEX([1]INVENTORY!$I$6:$AI$262,MATCH($B724,[1]INVENTORY!$I$6:$I$262,0),9),"NA")</f>
        <v>0</v>
      </c>
      <c r="P724" s="58">
        <f>IFERROR(INDEX([1]INVENTORY!$I$6:$AI$262,MATCH($B724,[1]INVENTORY!$I$6:$I$262,0),10),"NA")</f>
        <v>3600000</v>
      </c>
      <c r="Q724" s="18"/>
    </row>
    <row r="725" spans="2:17" s="17" customFormat="1" ht="13.8">
      <c r="B725" s="55" t="s">
        <v>866</v>
      </c>
      <c r="C725" s="20" t="s">
        <v>1</v>
      </c>
      <c r="D725" s="22" t="s">
        <v>830</v>
      </c>
      <c r="E725" s="56" t="s">
        <v>243</v>
      </c>
      <c r="F725" s="20" t="str">
        <f t="shared" si="24"/>
        <v>Block 08</v>
      </c>
      <c r="G725" s="20" t="str">
        <f t="shared" si="25"/>
        <v>Lot 28</v>
      </c>
      <c r="H725" s="55">
        <v>55</v>
      </c>
      <c r="I725" s="57">
        <v>90</v>
      </c>
      <c r="J725" s="57" t="s">
        <v>730</v>
      </c>
      <c r="K725" s="20" t="s">
        <v>737</v>
      </c>
      <c r="L725" s="58">
        <f>IFERROR(INDEX([1]INVENTORY!$I$6:$AI$262,MATCH($B725,[1]INVENTORY!$I$6:$I$262,0),8),"NA")</f>
        <v>3600000</v>
      </c>
      <c r="M725" s="58"/>
      <c r="N725" s="58">
        <f t="shared" si="26"/>
        <v>3600000</v>
      </c>
      <c r="O725" s="58">
        <f>IFERROR(INDEX([1]INVENTORY!$I$6:$AI$262,MATCH($B725,[1]INVENTORY!$I$6:$I$262,0),9),"NA")</f>
        <v>0</v>
      </c>
      <c r="P725" s="58">
        <f>IFERROR(INDEX([1]INVENTORY!$I$6:$AI$262,MATCH($B725,[1]INVENTORY!$I$6:$I$262,0),10),"NA")</f>
        <v>3600000</v>
      </c>
      <c r="Q725" s="18"/>
    </row>
    <row r="726" spans="2:17" s="17" customFormat="1" ht="13.8">
      <c r="B726" s="55" t="s">
        <v>867</v>
      </c>
      <c r="C726" s="20" t="s">
        <v>1</v>
      </c>
      <c r="D726" s="22" t="s">
        <v>830</v>
      </c>
      <c r="E726" s="56" t="s">
        <v>243</v>
      </c>
      <c r="F726" s="20" t="str">
        <f t="shared" si="24"/>
        <v>Block 08</v>
      </c>
      <c r="G726" s="20" t="str">
        <f t="shared" si="25"/>
        <v>Lot 29</v>
      </c>
      <c r="H726" s="55">
        <v>55</v>
      </c>
      <c r="I726" s="57">
        <v>88</v>
      </c>
      <c r="J726" s="57" t="s">
        <v>743</v>
      </c>
      <c r="K726" s="20" t="s">
        <v>735</v>
      </c>
      <c r="L726" s="58">
        <f>IFERROR(INDEX([1]INVENTORY!$I$6:$AI$262,MATCH($B726,[1]INVENTORY!$I$6:$I$262,0),8),"NA")</f>
        <v>3600000</v>
      </c>
      <c r="M726" s="58"/>
      <c r="N726" s="58">
        <f t="shared" si="26"/>
        <v>3600000</v>
      </c>
      <c r="O726" s="58">
        <f>IFERROR(INDEX([1]INVENTORY!$I$6:$AI$262,MATCH($B726,[1]INVENTORY!$I$6:$I$262,0),9),"NA")</f>
        <v>0</v>
      </c>
      <c r="P726" s="58">
        <f>IFERROR(INDEX([1]INVENTORY!$I$6:$AI$262,MATCH($B726,[1]INVENTORY!$I$6:$I$262,0),10),"NA")</f>
        <v>3600000</v>
      </c>
      <c r="Q726" s="18"/>
    </row>
    <row r="727" spans="2:17" s="17" customFormat="1" ht="13.8">
      <c r="B727" s="55" t="s">
        <v>868</v>
      </c>
      <c r="C727" s="20" t="s">
        <v>1</v>
      </c>
      <c r="D727" s="22" t="s">
        <v>830</v>
      </c>
      <c r="E727" s="56" t="s">
        <v>243</v>
      </c>
      <c r="F727" s="20" t="str">
        <f t="shared" si="24"/>
        <v>Block 08</v>
      </c>
      <c r="G727" s="20" t="str">
        <f t="shared" si="25"/>
        <v>Lot 30</v>
      </c>
      <c r="H727" s="55">
        <v>55</v>
      </c>
      <c r="I727" s="57">
        <v>86</v>
      </c>
      <c r="J727" s="57" t="s">
        <v>743</v>
      </c>
      <c r="K727" s="20" t="s">
        <v>735</v>
      </c>
      <c r="L727" s="58">
        <f>IFERROR(INDEX([1]INVENTORY!$I$6:$AI$262,MATCH($B727,[1]INVENTORY!$I$6:$I$262,0),8),"NA")</f>
        <v>3600000</v>
      </c>
      <c r="M727" s="58"/>
      <c r="N727" s="58">
        <f t="shared" si="26"/>
        <v>3600000</v>
      </c>
      <c r="O727" s="58">
        <f>IFERROR(INDEX([1]INVENTORY!$I$6:$AI$262,MATCH($B727,[1]INVENTORY!$I$6:$I$262,0),9),"NA")</f>
        <v>0</v>
      </c>
      <c r="P727" s="58">
        <f>IFERROR(INDEX([1]INVENTORY!$I$6:$AI$262,MATCH($B727,[1]INVENTORY!$I$6:$I$262,0),10),"NA")</f>
        <v>3600000</v>
      </c>
      <c r="Q727" s="18"/>
    </row>
    <row r="728" spans="2:17" s="17" customFormat="1" ht="13.8">
      <c r="B728" s="55" t="s">
        <v>869</v>
      </c>
      <c r="C728" s="20" t="s">
        <v>1</v>
      </c>
      <c r="D728" s="22" t="s">
        <v>830</v>
      </c>
      <c r="E728" s="56" t="s">
        <v>243</v>
      </c>
      <c r="F728" s="20" t="str">
        <f t="shared" ref="F728:F791" si="27">"Block "&amp;TEXT(VALUE(MID(B728,8,3)),"00")</f>
        <v>Block 08</v>
      </c>
      <c r="G728" s="20" t="str">
        <f t="shared" ref="G728:G791" si="28">"Lot "&amp;TEXT(VALUE(RIGHT(B728,3)),"00")</f>
        <v>Lot 31</v>
      </c>
      <c r="H728" s="55">
        <v>55</v>
      </c>
      <c r="I728" s="57">
        <v>84</v>
      </c>
      <c r="J728" s="57" t="s">
        <v>743</v>
      </c>
      <c r="K728" s="20" t="s">
        <v>737</v>
      </c>
      <c r="L728" s="58">
        <f>IFERROR(INDEX([1]INVENTORY!$I$6:$AI$262,MATCH($B728,[1]INVENTORY!$I$6:$I$262,0),8),"NA")</f>
        <v>3600000</v>
      </c>
      <c r="M728" s="58"/>
      <c r="N728" s="58">
        <f t="shared" ref="N728:N791" si="29">L728-M728</f>
        <v>3600000</v>
      </c>
      <c r="O728" s="58">
        <f>IFERROR(INDEX([1]INVENTORY!$I$6:$AI$262,MATCH($B728,[1]INVENTORY!$I$6:$I$262,0),9),"NA")</f>
        <v>0</v>
      </c>
      <c r="P728" s="58">
        <f>IFERROR(INDEX([1]INVENTORY!$I$6:$AI$262,MATCH($B728,[1]INVENTORY!$I$6:$I$262,0),10),"NA")</f>
        <v>3600000</v>
      </c>
      <c r="Q728" s="18"/>
    </row>
    <row r="729" spans="2:17" s="17" customFormat="1" ht="13.8">
      <c r="B729" s="55" t="s">
        <v>870</v>
      </c>
      <c r="C729" s="20" t="s">
        <v>1</v>
      </c>
      <c r="D729" s="22" t="s">
        <v>830</v>
      </c>
      <c r="E729" s="56" t="s">
        <v>233</v>
      </c>
      <c r="F729" s="20" t="str">
        <f t="shared" si="27"/>
        <v>Block 09</v>
      </c>
      <c r="G729" s="20" t="str">
        <f t="shared" si="28"/>
        <v>Lot 19</v>
      </c>
      <c r="H729" s="55">
        <v>55</v>
      </c>
      <c r="I729" s="57">
        <v>95</v>
      </c>
      <c r="J729" s="57" t="s">
        <v>730</v>
      </c>
      <c r="K729" s="20" t="s">
        <v>752</v>
      </c>
      <c r="L729" s="58">
        <f>IFERROR(INDEX([1]INVENTORY!$I$6:$AI$262,MATCH($B729,[1]INVENTORY!$I$6:$I$262,0),8),"NA")</f>
        <v>3600000</v>
      </c>
      <c r="M729" s="58"/>
      <c r="N729" s="58">
        <f t="shared" si="29"/>
        <v>3600000</v>
      </c>
      <c r="O729" s="58">
        <f>IFERROR(INDEX([1]INVENTORY!$I$6:$AI$262,MATCH($B729,[1]INVENTORY!$I$6:$I$262,0),9),"NA")</f>
        <v>0</v>
      </c>
      <c r="P729" s="58">
        <f>IFERROR(INDEX([1]INVENTORY!$I$6:$AI$262,MATCH($B729,[1]INVENTORY!$I$6:$I$262,0),10),"NA")</f>
        <v>3600000</v>
      </c>
      <c r="Q729" s="18"/>
    </row>
    <row r="730" spans="2:17" s="17" customFormat="1" ht="13.8">
      <c r="B730" s="55" t="s">
        <v>871</v>
      </c>
      <c r="C730" s="20" t="s">
        <v>1</v>
      </c>
      <c r="D730" s="22" t="s">
        <v>830</v>
      </c>
      <c r="E730" s="56" t="s">
        <v>233</v>
      </c>
      <c r="F730" s="20" t="str">
        <f t="shared" si="27"/>
        <v>Block 09</v>
      </c>
      <c r="G730" s="20" t="str">
        <f t="shared" si="28"/>
        <v>Lot 20</v>
      </c>
      <c r="H730" s="55">
        <v>55</v>
      </c>
      <c r="I730" s="57">
        <v>94</v>
      </c>
      <c r="J730" s="57" t="s">
        <v>730</v>
      </c>
      <c r="K730" s="20" t="s">
        <v>750</v>
      </c>
      <c r="L730" s="58">
        <f>IFERROR(INDEX([1]INVENTORY!$I$6:$AI$262,MATCH($B730,[1]INVENTORY!$I$6:$I$262,0),8),"NA")</f>
        <v>3600000</v>
      </c>
      <c r="M730" s="58"/>
      <c r="N730" s="58">
        <f t="shared" si="29"/>
        <v>3600000</v>
      </c>
      <c r="O730" s="58">
        <f>IFERROR(INDEX([1]INVENTORY!$I$6:$AI$262,MATCH($B730,[1]INVENTORY!$I$6:$I$262,0),9),"NA")</f>
        <v>0</v>
      </c>
      <c r="P730" s="58">
        <f>IFERROR(INDEX([1]INVENTORY!$I$6:$AI$262,MATCH($B730,[1]INVENTORY!$I$6:$I$262,0),10),"NA")</f>
        <v>3600000</v>
      </c>
      <c r="Q730" s="18"/>
    </row>
    <row r="731" spans="2:17" s="17" customFormat="1" ht="13.8">
      <c r="B731" s="55" t="s">
        <v>872</v>
      </c>
      <c r="C731" s="20" t="s">
        <v>1</v>
      </c>
      <c r="D731" s="22" t="s">
        <v>873</v>
      </c>
      <c r="E731" s="56" t="s">
        <v>22</v>
      </c>
      <c r="F731" s="20" t="str">
        <f t="shared" si="27"/>
        <v>Block 05</v>
      </c>
      <c r="G731" s="20" t="str">
        <f t="shared" si="28"/>
        <v>Lot 07</v>
      </c>
      <c r="H731" s="55">
        <v>55</v>
      </c>
      <c r="I731" s="57">
        <v>80</v>
      </c>
      <c r="J731" s="57" t="s">
        <v>743</v>
      </c>
      <c r="K731" s="20" t="s">
        <v>733</v>
      </c>
      <c r="L731" s="58">
        <f>IFERROR(INDEX([1]INVENTORY!$I$6:$AI$262,MATCH($B731,[1]INVENTORY!$I$6:$I$262,0),8),"NA")</f>
        <v>3600000</v>
      </c>
      <c r="M731" s="58"/>
      <c r="N731" s="58">
        <f t="shared" si="29"/>
        <v>3600000</v>
      </c>
      <c r="O731" s="58">
        <f>IFERROR(INDEX([1]INVENTORY!$I$6:$AI$262,MATCH($B731,[1]INVENTORY!$I$6:$I$262,0),9),"NA")</f>
        <v>0</v>
      </c>
      <c r="P731" s="58">
        <f>IFERROR(INDEX([1]INVENTORY!$I$6:$AI$262,MATCH($B731,[1]INVENTORY!$I$6:$I$262,0),10),"NA")</f>
        <v>3600000</v>
      </c>
      <c r="Q731" s="18"/>
    </row>
    <row r="732" spans="2:17" s="17" customFormat="1" ht="13.8">
      <c r="B732" s="55" t="s">
        <v>874</v>
      </c>
      <c r="C732" s="20" t="s">
        <v>1</v>
      </c>
      <c r="D732" s="22" t="s">
        <v>873</v>
      </c>
      <c r="E732" s="56" t="s">
        <v>22</v>
      </c>
      <c r="F732" s="20" t="str">
        <f t="shared" si="27"/>
        <v>Block 05</v>
      </c>
      <c r="G732" s="20" t="str">
        <f t="shared" si="28"/>
        <v>Lot 08</v>
      </c>
      <c r="H732" s="55">
        <v>55</v>
      </c>
      <c r="I732" s="57">
        <v>80</v>
      </c>
      <c r="J732" s="57" t="s">
        <v>743</v>
      </c>
      <c r="K732" s="20" t="s">
        <v>731</v>
      </c>
      <c r="L732" s="58">
        <f>IFERROR(INDEX([1]INVENTORY!$I$6:$AI$262,MATCH($B732,[1]INVENTORY!$I$6:$I$262,0),8),"NA")</f>
        <v>3600000</v>
      </c>
      <c r="M732" s="58"/>
      <c r="N732" s="58">
        <f t="shared" si="29"/>
        <v>3600000</v>
      </c>
      <c r="O732" s="58">
        <f>IFERROR(INDEX([1]INVENTORY!$I$6:$AI$262,MATCH($B732,[1]INVENTORY!$I$6:$I$262,0),9),"NA")</f>
        <v>0</v>
      </c>
      <c r="P732" s="58">
        <f>IFERROR(INDEX([1]INVENTORY!$I$6:$AI$262,MATCH($B732,[1]INVENTORY!$I$6:$I$262,0),10),"NA")</f>
        <v>3600000</v>
      </c>
      <c r="Q732" s="18"/>
    </row>
    <row r="733" spans="2:17" s="17" customFormat="1" ht="13.8">
      <c r="B733" s="55" t="s">
        <v>875</v>
      </c>
      <c r="C733" s="20" t="s">
        <v>1</v>
      </c>
      <c r="D733" s="22" t="s">
        <v>873</v>
      </c>
      <c r="E733" s="56" t="s">
        <v>22</v>
      </c>
      <c r="F733" s="20" t="str">
        <f t="shared" si="27"/>
        <v>Block 05</v>
      </c>
      <c r="G733" s="20" t="str">
        <f t="shared" si="28"/>
        <v>Lot 09</v>
      </c>
      <c r="H733" s="55">
        <v>55</v>
      </c>
      <c r="I733" s="57">
        <v>80</v>
      </c>
      <c r="J733" s="57" t="s">
        <v>743</v>
      </c>
      <c r="K733" s="20" t="s">
        <v>731</v>
      </c>
      <c r="L733" s="58">
        <f>IFERROR(INDEX([1]INVENTORY!$I$6:$AI$262,MATCH($B733,[1]INVENTORY!$I$6:$I$262,0),8),"NA")</f>
        <v>3600000</v>
      </c>
      <c r="M733" s="58"/>
      <c r="N733" s="58">
        <f t="shared" si="29"/>
        <v>3600000</v>
      </c>
      <c r="O733" s="58">
        <f>IFERROR(INDEX([1]INVENTORY!$I$6:$AI$262,MATCH($B733,[1]INVENTORY!$I$6:$I$262,0),9),"NA")</f>
        <v>0</v>
      </c>
      <c r="P733" s="58">
        <f>IFERROR(INDEX([1]INVENTORY!$I$6:$AI$262,MATCH($B733,[1]INVENTORY!$I$6:$I$262,0),10),"NA")</f>
        <v>3600000</v>
      </c>
      <c r="Q733" s="18"/>
    </row>
    <row r="734" spans="2:17" s="17" customFormat="1" ht="13.8">
      <c r="B734" s="55" t="s">
        <v>876</v>
      </c>
      <c r="C734" s="20" t="s">
        <v>1</v>
      </c>
      <c r="D734" s="22" t="s">
        <v>873</v>
      </c>
      <c r="E734" s="56" t="s">
        <v>22</v>
      </c>
      <c r="F734" s="20" t="str">
        <f t="shared" si="27"/>
        <v>Block 05</v>
      </c>
      <c r="G734" s="20" t="str">
        <f t="shared" si="28"/>
        <v>Lot 10</v>
      </c>
      <c r="H734" s="55">
        <v>55</v>
      </c>
      <c r="I734" s="57">
        <v>80</v>
      </c>
      <c r="J734" s="57" t="s">
        <v>743</v>
      </c>
      <c r="K734" s="20" t="s">
        <v>733</v>
      </c>
      <c r="L734" s="58">
        <f>IFERROR(INDEX([1]INVENTORY!$I$6:$AI$262,MATCH($B734,[1]INVENTORY!$I$6:$I$262,0),8),"NA")</f>
        <v>3600000</v>
      </c>
      <c r="M734" s="58"/>
      <c r="N734" s="58">
        <f t="shared" si="29"/>
        <v>3600000</v>
      </c>
      <c r="O734" s="58">
        <f>IFERROR(INDEX([1]INVENTORY!$I$6:$AI$262,MATCH($B734,[1]INVENTORY!$I$6:$I$262,0),9),"NA")</f>
        <v>0</v>
      </c>
      <c r="P734" s="58">
        <f>IFERROR(INDEX([1]INVENTORY!$I$6:$AI$262,MATCH($B734,[1]INVENTORY!$I$6:$I$262,0),10),"NA")</f>
        <v>3600000</v>
      </c>
      <c r="Q734" s="18"/>
    </row>
    <row r="735" spans="2:17" s="17" customFormat="1" ht="13.8">
      <c r="B735" s="55" t="s">
        <v>877</v>
      </c>
      <c r="C735" s="20" t="s">
        <v>1</v>
      </c>
      <c r="D735" s="22" t="s">
        <v>873</v>
      </c>
      <c r="E735" s="56" t="s">
        <v>233</v>
      </c>
      <c r="F735" s="20" t="str">
        <f t="shared" si="27"/>
        <v>Block 05</v>
      </c>
      <c r="G735" s="20" t="str">
        <f t="shared" si="28"/>
        <v>Lot 11</v>
      </c>
      <c r="H735" s="55">
        <v>55</v>
      </c>
      <c r="I735" s="57">
        <v>80</v>
      </c>
      <c r="J735" s="57" t="s">
        <v>743</v>
      </c>
      <c r="K735" s="20" t="s">
        <v>750</v>
      </c>
      <c r="L735" s="58">
        <f>IFERROR(INDEX([1]INVENTORY!$I$6:$AI$262,MATCH($B735,[1]INVENTORY!$I$6:$I$262,0),8),"NA")</f>
        <v>3600000</v>
      </c>
      <c r="M735" s="58"/>
      <c r="N735" s="58">
        <f t="shared" si="29"/>
        <v>3600000</v>
      </c>
      <c r="O735" s="58">
        <f>IFERROR(INDEX([1]INVENTORY!$I$6:$AI$262,MATCH($B735,[1]INVENTORY!$I$6:$I$262,0),9),"NA")</f>
        <v>0</v>
      </c>
      <c r="P735" s="58">
        <f>IFERROR(INDEX([1]INVENTORY!$I$6:$AI$262,MATCH($B735,[1]INVENTORY!$I$6:$I$262,0),10),"NA")</f>
        <v>3600000</v>
      </c>
      <c r="Q735" s="18"/>
    </row>
    <row r="736" spans="2:17" s="17" customFormat="1" ht="13.8">
      <c r="B736" s="55" t="s">
        <v>878</v>
      </c>
      <c r="C736" s="20" t="s">
        <v>1</v>
      </c>
      <c r="D736" s="22" t="s">
        <v>873</v>
      </c>
      <c r="E736" s="56" t="s">
        <v>22</v>
      </c>
      <c r="F736" s="20" t="str">
        <f t="shared" si="27"/>
        <v>Block 05</v>
      </c>
      <c r="G736" s="20" t="str">
        <f t="shared" si="28"/>
        <v>Lot 13</v>
      </c>
      <c r="H736" s="55">
        <v>55</v>
      </c>
      <c r="I736" s="57">
        <v>80</v>
      </c>
      <c r="J736" s="57" t="s">
        <v>743</v>
      </c>
      <c r="K736" s="20" t="s">
        <v>752</v>
      </c>
      <c r="L736" s="58">
        <f>IFERROR(INDEX([1]INVENTORY!$I$6:$AI$262,MATCH($B736,[1]INVENTORY!$I$6:$I$262,0),8),"NA")</f>
        <v>3600000</v>
      </c>
      <c r="M736" s="58"/>
      <c r="N736" s="58">
        <f t="shared" si="29"/>
        <v>3600000</v>
      </c>
      <c r="O736" s="58">
        <f>IFERROR(INDEX([1]INVENTORY!$I$6:$AI$262,MATCH($B736,[1]INVENTORY!$I$6:$I$262,0),9),"NA")</f>
        <v>0</v>
      </c>
      <c r="P736" s="58">
        <f>IFERROR(INDEX([1]INVENTORY!$I$6:$AI$262,MATCH($B736,[1]INVENTORY!$I$6:$I$262,0),10),"NA")</f>
        <v>3600000</v>
      </c>
      <c r="Q736" s="18"/>
    </row>
    <row r="737" spans="2:17" s="17" customFormat="1" ht="13.8">
      <c r="B737" s="55" t="s">
        <v>879</v>
      </c>
      <c r="C737" s="20" t="s">
        <v>1</v>
      </c>
      <c r="D737" s="22" t="s">
        <v>873</v>
      </c>
      <c r="E737" s="56" t="s">
        <v>22</v>
      </c>
      <c r="F737" s="20" t="str">
        <f t="shared" si="27"/>
        <v>Block 05</v>
      </c>
      <c r="G737" s="20" t="str">
        <f t="shared" si="28"/>
        <v>Lot 14</v>
      </c>
      <c r="H737" s="55">
        <v>55</v>
      </c>
      <c r="I737" s="57">
        <v>80</v>
      </c>
      <c r="J737" s="57" t="s">
        <v>743</v>
      </c>
      <c r="K737" s="20" t="s">
        <v>750</v>
      </c>
      <c r="L737" s="58">
        <f>IFERROR(INDEX([1]INVENTORY!$I$6:$AI$262,MATCH($B737,[1]INVENTORY!$I$6:$I$262,0),8),"NA")</f>
        <v>3600000</v>
      </c>
      <c r="M737" s="58"/>
      <c r="N737" s="58">
        <f t="shared" si="29"/>
        <v>3600000</v>
      </c>
      <c r="O737" s="58">
        <f>IFERROR(INDEX([1]INVENTORY!$I$6:$AI$262,MATCH($B737,[1]INVENTORY!$I$6:$I$262,0),9),"NA")</f>
        <v>0</v>
      </c>
      <c r="P737" s="58">
        <f>IFERROR(INDEX([1]INVENTORY!$I$6:$AI$262,MATCH($B737,[1]INVENTORY!$I$6:$I$262,0),10),"NA")</f>
        <v>3600000</v>
      </c>
      <c r="Q737" s="18"/>
    </row>
    <row r="738" spans="2:17" s="17" customFormat="1" ht="13.8">
      <c r="B738" s="55" t="s">
        <v>880</v>
      </c>
      <c r="C738" s="20" t="s">
        <v>1</v>
      </c>
      <c r="D738" s="22" t="s">
        <v>873</v>
      </c>
      <c r="E738" s="56" t="s">
        <v>22</v>
      </c>
      <c r="F738" s="20" t="str">
        <f t="shared" si="27"/>
        <v>Block 05</v>
      </c>
      <c r="G738" s="20" t="str">
        <f t="shared" si="28"/>
        <v>Lot 15</v>
      </c>
      <c r="H738" s="55">
        <v>55</v>
      </c>
      <c r="I738" s="57">
        <v>80</v>
      </c>
      <c r="J738" s="57" t="s">
        <v>743</v>
      </c>
      <c r="K738" s="20" t="s">
        <v>735</v>
      </c>
      <c r="L738" s="58">
        <f>IFERROR(INDEX([1]INVENTORY!$I$6:$AI$262,MATCH($B738,[1]INVENTORY!$I$6:$I$262,0),8),"NA")</f>
        <v>3600000</v>
      </c>
      <c r="M738" s="58"/>
      <c r="N738" s="58">
        <f t="shared" si="29"/>
        <v>3600000</v>
      </c>
      <c r="O738" s="58">
        <f>IFERROR(INDEX([1]INVENTORY!$I$6:$AI$262,MATCH($B738,[1]INVENTORY!$I$6:$I$262,0),9),"NA")</f>
        <v>0</v>
      </c>
      <c r="P738" s="58">
        <f>IFERROR(INDEX([1]INVENTORY!$I$6:$AI$262,MATCH($B738,[1]INVENTORY!$I$6:$I$262,0),10),"NA")</f>
        <v>3600000</v>
      </c>
      <c r="Q738" s="18"/>
    </row>
    <row r="739" spans="2:17" s="17" customFormat="1" ht="13.8">
      <c r="B739" s="55" t="s">
        <v>881</v>
      </c>
      <c r="C739" s="20" t="s">
        <v>1</v>
      </c>
      <c r="D739" s="22" t="s">
        <v>873</v>
      </c>
      <c r="E739" s="56" t="s">
        <v>22</v>
      </c>
      <c r="F739" s="20" t="str">
        <f t="shared" si="27"/>
        <v>Block 05</v>
      </c>
      <c r="G739" s="20" t="str">
        <f t="shared" si="28"/>
        <v>Lot 16</v>
      </c>
      <c r="H739" s="55">
        <v>55</v>
      </c>
      <c r="I739" s="57">
        <v>80</v>
      </c>
      <c r="J739" s="57" t="s">
        <v>743</v>
      </c>
      <c r="K739" s="20" t="s">
        <v>737</v>
      </c>
      <c r="L739" s="58">
        <f>IFERROR(INDEX([1]INVENTORY!$I$6:$AI$262,MATCH($B739,[1]INVENTORY!$I$6:$I$262,0),8),"NA")</f>
        <v>3600000</v>
      </c>
      <c r="M739" s="58"/>
      <c r="N739" s="58">
        <f t="shared" si="29"/>
        <v>3600000</v>
      </c>
      <c r="O739" s="58">
        <f>IFERROR(INDEX([1]INVENTORY!$I$6:$AI$262,MATCH($B739,[1]INVENTORY!$I$6:$I$262,0),9),"NA")</f>
        <v>0</v>
      </c>
      <c r="P739" s="58">
        <f>IFERROR(INDEX([1]INVENTORY!$I$6:$AI$262,MATCH($B739,[1]INVENTORY!$I$6:$I$262,0),10),"NA")</f>
        <v>3600000</v>
      </c>
      <c r="Q739" s="18"/>
    </row>
    <row r="740" spans="2:17" s="17" customFormat="1" ht="13.8">
      <c r="B740" s="55" t="s">
        <v>882</v>
      </c>
      <c r="C740" s="20" t="s">
        <v>1</v>
      </c>
      <c r="D740" s="22" t="s">
        <v>873</v>
      </c>
      <c r="E740" s="56" t="s">
        <v>22</v>
      </c>
      <c r="F740" s="20" t="str">
        <f t="shared" si="27"/>
        <v>Block 05</v>
      </c>
      <c r="G740" s="20" t="str">
        <f t="shared" si="28"/>
        <v>Lot 33</v>
      </c>
      <c r="H740" s="55">
        <v>55</v>
      </c>
      <c r="I740" s="57">
        <v>80</v>
      </c>
      <c r="J740" s="57" t="s">
        <v>743</v>
      </c>
      <c r="K740" s="20" t="s">
        <v>752</v>
      </c>
      <c r="L740" s="58">
        <f>IFERROR(INDEX([1]INVENTORY!$I$6:$AI$262,MATCH($B740,[1]INVENTORY!$I$6:$I$262,0),8),"NA")</f>
        <v>3600000</v>
      </c>
      <c r="M740" s="58"/>
      <c r="N740" s="58">
        <f t="shared" si="29"/>
        <v>3600000</v>
      </c>
      <c r="O740" s="58">
        <f>IFERROR(INDEX([1]INVENTORY!$I$6:$AI$262,MATCH($B740,[1]INVENTORY!$I$6:$I$262,0),9),"NA")</f>
        <v>0</v>
      </c>
      <c r="P740" s="58">
        <f>IFERROR(INDEX([1]INVENTORY!$I$6:$AI$262,MATCH($B740,[1]INVENTORY!$I$6:$I$262,0),10),"NA")</f>
        <v>3600000</v>
      </c>
      <c r="Q740" s="18"/>
    </row>
    <row r="741" spans="2:17" s="17" customFormat="1" ht="13.8">
      <c r="B741" s="55" t="s">
        <v>883</v>
      </c>
      <c r="C741" s="20" t="s">
        <v>1</v>
      </c>
      <c r="D741" s="22" t="s">
        <v>873</v>
      </c>
      <c r="E741" s="56" t="s">
        <v>22</v>
      </c>
      <c r="F741" s="20" t="str">
        <f t="shared" si="27"/>
        <v>Block 05</v>
      </c>
      <c r="G741" s="20" t="str">
        <f t="shared" si="28"/>
        <v>Lot 34</v>
      </c>
      <c r="H741" s="55">
        <v>55</v>
      </c>
      <c r="I741" s="57">
        <v>80</v>
      </c>
      <c r="J741" s="57" t="s">
        <v>743</v>
      </c>
      <c r="K741" s="20" t="s">
        <v>750</v>
      </c>
      <c r="L741" s="58">
        <f>IFERROR(INDEX([1]INVENTORY!$I$6:$AI$262,MATCH($B741,[1]INVENTORY!$I$6:$I$262,0),8),"NA")</f>
        <v>3600000</v>
      </c>
      <c r="M741" s="58"/>
      <c r="N741" s="58">
        <f t="shared" si="29"/>
        <v>3600000</v>
      </c>
      <c r="O741" s="58">
        <f>IFERROR(INDEX([1]INVENTORY!$I$6:$AI$262,MATCH($B741,[1]INVENTORY!$I$6:$I$262,0),9),"NA")</f>
        <v>0</v>
      </c>
      <c r="P741" s="58">
        <f>IFERROR(INDEX([1]INVENTORY!$I$6:$AI$262,MATCH($B741,[1]INVENTORY!$I$6:$I$262,0),10),"NA")</f>
        <v>3600000</v>
      </c>
      <c r="Q741" s="18"/>
    </row>
    <row r="742" spans="2:17" s="17" customFormat="1" ht="13.8">
      <c r="B742" s="55" t="s">
        <v>884</v>
      </c>
      <c r="C742" s="20" t="s">
        <v>1</v>
      </c>
      <c r="D742" s="22" t="s">
        <v>873</v>
      </c>
      <c r="E742" s="56" t="s">
        <v>22</v>
      </c>
      <c r="F742" s="20" t="str">
        <f t="shared" si="27"/>
        <v>Block 05</v>
      </c>
      <c r="G742" s="20" t="str">
        <f t="shared" si="28"/>
        <v>Lot 39</v>
      </c>
      <c r="H742" s="55">
        <v>55</v>
      </c>
      <c r="I742" s="57">
        <v>80</v>
      </c>
      <c r="J742" s="57" t="s">
        <v>743</v>
      </c>
      <c r="K742" s="20" t="s">
        <v>735</v>
      </c>
      <c r="L742" s="58">
        <f>IFERROR(INDEX([1]INVENTORY!$I$6:$AI$262,MATCH($B742,[1]INVENTORY!$I$6:$I$262,0),8),"NA")</f>
        <v>3600000</v>
      </c>
      <c r="M742" s="58"/>
      <c r="N742" s="58">
        <f t="shared" si="29"/>
        <v>3600000</v>
      </c>
      <c r="O742" s="58">
        <f>IFERROR(INDEX([1]INVENTORY!$I$6:$AI$262,MATCH($B742,[1]INVENTORY!$I$6:$I$262,0),9),"NA")</f>
        <v>0</v>
      </c>
      <c r="P742" s="58">
        <f>IFERROR(INDEX([1]INVENTORY!$I$6:$AI$262,MATCH($B742,[1]INVENTORY!$I$6:$I$262,0),10),"NA")</f>
        <v>3600000</v>
      </c>
      <c r="Q742" s="18"/>
    </row>
    <row r="743" spans="2:17" s="17" customFormat="1" ht="13.8">
      <c r="B743" s="55" t="s">
        <v>885</v>
      </c>
      <c r="C743" s="20" t="s">
        <v>1</v>
      </c>
      <c r="D743" s="22" t="s">
        <v>873</v>
      </c>
      <c r="E743" s="56" t="s">
        <v>22</v>
      </c>
      <c r="F743" s="20" t="str">
        <f t="shared" si="27"/>
        <v>Block 05</v>
      </c>
      <c r="G743" s="20" t="str">
        <f t="shared" si="28"/>
        <v>Lot 40</v>
      </c>
      <c r="H743" s="55">
        <v>55</v>
      </c>
      <c r="I743" s="57">
        <v>80</v>
      </c>
      <c r="J743" s="57" t="s">
        <v>743</v>
      </c>
      <c r="K743" s="20" t="s">
        <v>737</v>
      </c>
      <c r="L743" s="58">
        <f>IFERROR(INDEX([1]INVENTORY!$I$6:$AI$262,MATCH($B743,[1]INVENTORY!$I$6:$I$262,0),8),"NA")</f>
        <v>3600000</v>
      </c>
      <c r="M743" s="58"/>
      <c r="N743" s="58">
        <f t="shared" si="29"/>
        <v>3600000</v>
      </c>
      <c r="O743" s="58">
        <f>IFERROR(INDEX([1]INVENTORY!$I$6:$AI$262,MATCH($B743,[1]INVENTORY!$I$6:$I$262,0),9),"NA")</f>
        <v>0</v>
      </c>
      <c r="P743" s="58">
        <f>IFERROR(INDEX([1]INVENTORY!$I$6:$AI$262,MATCH($B743,[1]INVENTORY!$I$6:$I$262,0),10),"NA")</f>
        <v>3600000</v>
      </c>
      <c r="Q743" s="18"/>
    </row>
    <row r="744" spans="2:17" s="17" customFormat="1" ht="13.8">
      <c r="B744" s="55" t="s">
        <v>886</v>
      </c>
      <c r="C744" s="20" t="s">
        <v>1</v>
      </c>
      <c r="D744" s="22" t="s">
        <v>873</v>
      </c>
      <c r="E744" s="56" t="s">
        <v>22</v>
      </c>
      <c r="F744" s="20" t="str">
        <f t="shared" si="27"/>
        <v>Block 05</v>
      </c>
      <c r="G744" s="20" t="str">
        <f t="shared" si="28"/>
        <v>Lot 41</v>
      </c>
      <c r="H744" s="55">
        <v>55</v>
      </c>
      <c r="I744" s="57">
        <v>80</v>
      </c>
      <c r="J744" s="57" t="s">
        <v>743</v>
      </c>
      <c r="K744" s="20" t="s">
        <v>737</v>
      </c>
      <c r="L744" s="58">
        <f>IFERROR(INDEX([1]INVENTORY!$I$6:$AI$262,MATCH($B744,[1]INVENTORY!$I$6:$I$262,0),8),"NA")</f>
        <v>3600000</v>
      </c>
      <c r="M744" s="58"/>
      <c r="N744" s="58">
        <f t="shared" si="29"/>
        <v>3600000</v>
      </c>
      <c r="O744" s="58">
        <f>IFERROR(INDEX([1]INVENTORY!$I$6:$AI$262,MATCH($B744,[1]INVENTORY!$I$6:$I$262,0),9),"NA")</f>
        <v>0</v>
      </c>
      <c r="P744" s="58">
        <f>IFERROR(INDEX([1]INVENTORY!$I$6:$AI$262,MATCH($B744,[1]INVENTORY!$I$6:$I$262,0),10),"NA")</f>
        <v>3600000</v>
      </c>
      <c r="Q744" s="18"/>
    </row>
    <row r="745" spans="2:17" s="17" customFormat="1" ht="13.8">
      <c r="B745" s="55" t="s">
        <v>887</v>
      </c>
      <c r="C745" s="20" t="s">
        <v>1</v>
      </c>
      <c r="D745" s="22" t="s">
        <v>873</v>
      </c>
      <c r="E745" s="56" t="s">
        <v>22</v>
      </c>
      <c r="F745" s="20" t="str">
        <f t="shared" si="27"/>
        <v>Block 05</v>
      </c>
      <c r="G745" s="20" t="str">
        <f t="shared" si="28"/>
        <v>Lot 42</v>
      </c>
      <c r="H745" s="55">
        <v>55</v>
      </c>
      <c r="I745" s="57">
        <v>90</v>
      </c>
      <c r="J745" s="57" t="s">
        <v>730</v>
      </c>
      <c r="K745" s="20" t="s">
        <v>735</v>
      </c>
      <c r="L745" s="58">
        <f>IFERROR(INDEX([1]INVENTORY!$I$6:$AI$262,MATCH($B745,[1]INVENTORY!$I$6:$I$262,0),8),"NA")</f>
        <v>3600000</v>
      </c>
      <c r="M745" s="58"/>
      <c r="N745" s="58">
        <f t="shared" si="29"/>
        <v>3600000</v>
      </c>
      <c r="O745" s="58">
        <f>IFERROR(INDEX([1]INVENTORY!$I$6:$AI$262,MATCH($B745,[1]INVENTORY!$I$6:$I$262,0),9),"NA")</f>
        <v>0</v>
      </c>
      <c r="P745" s="58">
        <f>IFERROR(INDEX([1]INVENTORY!$I$6:$AI$262,MATCH($B745,[1]INVENTORY!$I$6:$I$262,0),10),"NA")</f>
        <v>3600000</v>
      </c>
      <c r="Q745" s="18"/>
    </row>
    <row r="746" spans="2:17" s="17" customFormat="1" ht="13.8">
      <c r="B746" s="55" t="s">
        <v>888</v>
      </c>
      <c r="C746" s="20" t="s">
        <v>1</v>
      </c>
      <c r="D746" s="22" t="s">
        <v>873</v>
      </c>
      <c r="E746" s="56" t="s">
        <v>243</v>
      </c>
      <c r="F746" s="20" t="str">
        <f t="shared" si="27"/>
        <v>Block 05</v>
      </c>
      <c r="G746" s="20" t="str">
        <f t="shared" si="28"/>
        <v>Lot 12</v>
      </c>
      <c r="H746" s="55">
        <v>55</v>
      </c>
      <c r="I746" s="57">
        <v>80</v>
      </c>
      <c r="J746" s="57" t="s">
        <v>743</v>
      </c>
      <c r="K746" s="20" t="s">
        <v>752</v>
      </c>
      <c r="L746" s="58">
        <f>IFERROR(INDEX([1]INVENTORY!$I$6:$AI$262,MATCH($B746,[1]INVENTORY!$I$6:$I$262,0),8),"NA")</f>
        <v>3600000</v>
      </c>
      <c r="M746" s="58"/>
      <c r="N746" s="58">
        <f t="shared" si="29"/>
        <v>3600000</v>
      </c>
      <c r="O746" s="58">
        <f>IFERROR(INDEX([1]INVENTORY!$I$6:$AI$262,MATCH($B746,[1]INVENTORY!$I$6:$I$262,0),9),"NA")</f>
        <v>0</v>
      </c>
      <c r="P746" s="58">
        <f>IFERROR(INDEX([1]INVENTORY!$I$6:$AI$262,MATCH($B746,[1]INVENTORY!$I$6:$I$262,0),10),"NA")</f>
        <v>3600000</v>
      </c>
      <c r="Q746" s="18"/>
    </row>
    <row r="747" spans="2:17" s="17" customFormat="1" ht="13.8">
      <c r="B747" s="55" t="s">
        <v>889</v>
      </c>
      <c r="C747" s="20" t="s">
        <v>1</v>
      </c>
      <c r="D747" s="22" t="s">
        <v>873</v>
      </c>
      <c r="E747" s="56" t="s">
        <v>22</v>
      </c>
      <c r="F747" s="20" t="str">
        <f t="shared" si="27"/>
        <v>Block 05</v>
      </c>
      <c r="G747" s="20" t="str">
        <f t="shared" si="28"/>
        <v>Lot 17</v>
      </c>
      <c r="H747" s="55">
        <v>55</v>
      </c>
      <c r="I747" s="57">
        <v>80</v>
      </c>
      <c r="J747" s="57" t="s">
        <v>743</v>
      </c>
      <c r="K747" s="20" t="s">
        <v>737</v>
      </c>
      <c r="L747" s="58">
        <f>IFERROR(INDEX([1]INVENTORY!$I$6:$AI$262,MATCH($B747,[1]INVENTORY!$I$6:$I$262,0),8),"NA")</f>
        <v>3600000</v>
      </c>
      <c r="M747" s="58"/>
      <c r="N747" s="58">
        <f t="shared" si="29"/>
        <v>3600000</v>
      </c>
      <c r="O747" s="58">
        <f>IFERROR(INDEX([1]INVENTORY!$I$6:$AI$262,MATCH($B747,[1]INVENTORY!$I$6:$I$262,0),9),"NA")</f>
        <v>0</v>
      </c>
      <c r="P747" s="58">
        <f>IFERROR(INDEX([1]INVENTORY!$I$6:$AI$262,MATCH($B747,[1]INVENTORY!$I$6:$I$262,0),10),"NA")</f>
        <v>3600000</v>
      </c>
      <c r="Q747" s="18"/>
    </row>
    <row r="748" spans="2:17" s="17" customFormat="1" ht="13.8">
      <c r="B748" s="55" t="s">
        <v>890</v>
      </c>
      <c r="C748" s="20" t="s">
        <v>1</v>
      </c>
      <c r="D748" s="22" t="s">
        <v>873</v>
      </c>
      <c r="E748" s="56" t="s">
        <v>22</v>
      </c>
      <c r="F748" s="20" t="str">
        <f t="shared" si="27"/>
        <v>Block 05</v>
      </c>
      <c r="G748" s="20" t="str">
        <f t="shared" si="28"/>
        <v>Lot 18</v>
      </c>
      <c r="H748" s="55">
        <v>55</v>
      </c>
      <c r="I748" s="57">
        <v>80</v>
      </c>
      <c r="J748" s="57" t="s">
        <v>743</v>
      </c>
      <c r="K748" s="20" t="s">
        <v>735</v>
      </c>
      <c r="L748" s="58">
        <f>IFERROR(INDEX([1]INVENTORY!$I$6:$AI$262,MATCH($B748,[1]INVENTORY!$I$6:$I$262,0),8),"NA")</f>
        <v>3600000</v>
      </c>
      <c r="M748" s="58"/>
      <c r="N748" s="58">
        <f t="shared" si="29"/>
        <v>3600000</v>
      </c>
      <c r="O748" s="58">
        <f>IFERROR(INDEX([1]INVENTORY!$I$6:$AI$262,MATCH($B748,[1]INVENTORY!$I$6:$I$262,0),9),"NA")</f>
        <v>0</v>
      </c>
      <c r="P748" s="58">
        <f>IFERROR(INDEX([1]INVENTORY!$I$6:$AI$262,MATCH($B748,[1]INVENTORY!$I$6:$I$262,0),10),"NA")</f>
        <v>3600000</v>
      </c>
      <c r="Q748" s="18"/>
    </row>
    <row r="749" spans="2:17" s="17" customFormat="1" ht="13.8">
      <c r="B749" s="55" t="s">
        <v>891</v>
      </c>
      <c r="C749" s="20" t="s">
        <v>1</v>
      </c>
      <c r="D749" s="22" t="s">
        <v>873</v>
      </c>
      <c r="E749" s="56" t="s">
        <v>22</v>
      </c>
      <c r="F749" s="20" t="str">
        <f t="shared" si="27"/>
        <v>Block 05</v>
      </c>
      <c r="G749" s="20" t="str">
        <f t="shared" si="28"/>
        <v>Lot 19</v>
      </c>
      <c r="H749" s="55">
        <v>55</v>
      </c>
      <c r="I749" s="57">
        <v>80</v>
      </c>
      <c r="J749" s="57" t="s">
        <v>743</v>
      </c>
      <c r="K749" s="20" t="s">
        <v>733</v>
      </c>
      <c r="L749" s="58">
        <f>IFERROR(INDEX([1]INVENTORY!$I$6:$AI$262,MATCH($B749,[1]INVENTORY!$I$6:$I$262,0),8),"NA")</f>
        <v>3600000</v>
      </c>
      <c r="M749" s="58"/>
      <c r="N749" s="58">
        <f t="shared" si="29"/>
        <v>3600000</v>
      </c>
      <c r="O749" s="58">
        <f>IFERROR(INDEX([1]INVENTORY!$I$6:$AI$262,MATCH($B749,[1]INVENTORY!$I$6:$I$262,0),9),"NA")</f>
        <v>0</v>
      </c>
      <c r="P749" s="58">
        <f>IFERROR(INDEX([1]INVENTORY!$I$6:$AI$262,MATCH($B749,[1]INVENTORY!$I$6:$I$262,0),10),"NA")</f>
        <v>3600000</v>
      </c>
      <c r="Q749" s="18"/>
    </row>
    <row r="750" spans="2:17" s="17" customFormat="1" ht="13.8">
      <c r="B750" s="55" t="s">
        <v>892</v>
      </c>
      <c r="C750" s="20" t="s">
        <v>1</v>
      </c>
      <c r="D750" s="22" t="s">
        <v>873</v>
      </c>
      <c r="E750" s="56" t="s">
        <v>22</v>
      </c>
      <c r="F750" s="20" t="str">
        <f t="shared" si="27"/>
        <v>Block 05</v>
      </c>
      <c r="G750" s="20" t="str">
        <f t="shared" si="28"/>
        <v>Lot 20</v>
      </c>
      <c r="H750" s="55">
        <v>55</v>
      </c>
      <c r="I750" s="57">
        <v>80</v>
      </c>
      <c r="J750" s="57" t="s">
        <v>743</v>
      </c>
      <c r="K750" s="20" t="s">
        <v>731</v>
      </c>
      <c r="L750" s="58">
        <f>IFERROR(INDEX([1]INVENTORY!$I$6:$AI$262,MATCH($B750,[1]INVENTORY!$I$6:$I$262,0),8),"NA")</f>
        <v>3600000</v>
      </c>
      <c r="M750" s="58"/>
      <c r="N750" s="58">
        <f t="shared" si="29"/>
        <v>3600000</v>
      </c>
      <c r="O750" s="58">
        <f>IFERROR(INDEX([1]INVENTORY!$I$6:$AI$262,MATCH($B750,[1]INVENTORY!$I$6:$I$262,0),9),"NA")</f>
        <v>0</v>
      </c>
      <c r="P750" s="58">
        <f>IFERROR(INDEX([1]INVENTORY!$I$6:$AI$262,MATCH($B750,[1]INVENTORY!$I$6:$I$262,0),10),"NA")</f>
        <v>3600000</v>
      </c>
      <c r="Q750" s="18"/>
    </row>
    <row r="751" spans="2:17" s="17" customFormat="1" ht="13.8">
      <c r="B751" s="55" t="s">
        <v>893</v>
      </c>
      <c r="C751" s="20" t="s">
        <v>1</v>
      </c>
      <c r="D751" s="22" t="s">
        <v>873</v>
      </c>
      <c r="E751" s="56" t="s">
        <v>22</v>
      </c>
      <c r="F751" s="20" t="str">
        <f t="shared" si="27"/>
        <v>Block 05</v>
      </c>
      <c r="G751" s="20" t="str">
        <f t="shared" si="28"/>
        <v>Lot 21</v>
      </c>
      <c r="H751" s="55">
        <v>55</v>
      </c>
      <c r="I751" s="57">
        <v>80</v>
      </c>
      <c r="J751" s="57" t="s">
        <v>743</v>
      </c>
      <c r="K751" s="20" t="s">
        <v>731</v>
      </c>
      <c r="L751" s="58">
        <f>IFERROR(INDEX([1]INVENTORY!$I$6:$AI$262,MATCH($B751,[1]INVENTORY!$I$6:$I$262,0),8),"NA")</f>
        <v>3600000</v>
      </c>
      <c r="M751" s="58"/>
      <c r="N751" s="58">
        <f t="shared" si="29"/>
        <v>3600000</v>
      </c>
      <c r="O751" s="58">
        <f>IFERROR(INDEX([1]INVENTORY!$I$6:$AI$262,MATCH($B751,[1]INVENTORY!$I$6:$I$262,0),9),"NA")</f>
        <v>0</v>
      </c>
      <c r="P751" s="58">
        <f>IFERROR(INDEX([1]INVENTORY!$I$6:$AI$262,MATCH($B751,[1]INVENTORY!$I$6:$I$262,0),10),"NA")</f>
        <v>3600000</v>
      </c>
      <c r="Q751" s="18"/>
    </row>
    <row r="752" spans="2:17" s="17" customFormat="1" ht="13.8">
      <c r="B752" s="55" t="s">
        <v>894</v>
      </c>
      <c r="C752" s="20" t="s">
        <v>1</v>
      </c>
      <c r="D752" s="22" t="s">
        <v>873</v>
      </c>
      <c r="E752" s="56" t="s">
        <v>22</v>
      </c>
      <c r="F752" s="20" t="str">
        <f t="shared" si="27"/>
        <v>Block 05</v>
      </c>
      <c r="G752" s="20" t="str">
        <f t="shared" si="28"/>
        <v>Lot 22</v>
      </c>
      <c r="H752" s="55">
        <v>55</v>
      </c>
      <c r="I752" s="57">
        <v>80</v>
      </c>
      <c r="J752" s="57" t="s">
        <v>743</v>
      </c>
      <c r="K752" s="20" t="s">
        <v>733</v>
      </c>
      <c r="L752" s="58">
        <f>IFERROR(INDEX([1]INVENTORY!$I$6:$AI$262,MATCH($B752,[1]INVENTORY!$I$6:$I$262,0),8),"NA")</f>
        <v>3600000</v>
      </c>
      <c r="M752" s="58"/>
      <c r="N752" s="58">
        <f t="shared" si="29"/>
        <v>3600000</v>
      </c>
      <c r="O752" s="58">
        <f>IFERROR(INDEX([1]INVENTORY!$I$6:$AI$262,MATCH($B752,[1]INVENTORY!$I$6:$I$262,0),9),"NA")</f>
        <v>0</v>
      </c>
      <c r="P752" s="58">
        <f>IFERROR(INDEX([1]INVENTORY!$I$6:$AI$262,MATCH($B752,[1]INVENTORY!$I$6:$I$262,0),10),"NA")</f>
        <v>3600000</v>
      </c>
      <c r="Q752" s="18"/>
    </row>
    <row r="753" spans="2:17" s="17" customFormat="1" ht="13.8">
      <c r="B753" s="55" t="s">
        <v>895</v>
      </c>
      <c r="C753" s="20" t="s">
        <v>1</v>
      </c>
      <c r="D753" s="22" t="s">
        <v>873</v>
      </c>
      <c r="E753" s="56" t="s">
        <v>22</v>
      </c>
      <c r="F753" s="20" t="str">
        <f t="shared" si="27"/>
        <v>Block 05</v>
      </c>
      <c r="G753" s="20" t="str">
        <f t="shared" si="28"/>
        <v>Lot 25</v>
      </c>
      <c r="H753" s="55">
        <v>55</v>
      </c>
      <c r="I753" s="57">
        <v>98</v>
      </c>
      <c r="J753" s="57" t="s">
        <v>730</v>
      </c>
      <c r="K753" s="20" t="s">
        <v>733</v>
      </c>
      <c r="L753" s="58">
        <f>IFERROR(INDEX([1]INVENTORY!$I$6:$AI$262,MATCH($B753,[1]INVENTORY!$I$6:$I$262,0),8),"NA")</f>
        <v>4634000</v>
      </c>
      <c r="M753" s="58"/>
      <c r="N753" s="58">
        <f t="shared" si="29"/>
        <v>4634000</v>
      </c>
      <c r="O753" s="58">
        <f>IFERROR(INDEX([1]INVENTORY!$I$6:$AI$262,MATCH($B753,[1]INVENTORY!$I$6:$I$262,0),9),"NA")</f>
        <v>496500</v>
      </c>
      <c r="P753" s="58">
        <f>IFERROR(INDEX([1]INVENTORY!$I$6:$AI$262,MATCH($B753,[1]INVENTORY!$I$6:$I$262,0),10),"NA")</f>
        <v>4137500</v>
      </c>
      <c r="Q753" s="18"/>
    </row>
    <row r="754" spans="2:17" s="17" customFormat="1" ht="13.8">
      <c r="B754" s="55" t="s">
        <v>896</v>
      </c>
      <c r="C754" s="20" t="s">
        <v>1</v>
      </c>
      <c r="D754" s="22" t="s">
        <v>873</v>
      </c>
      <c r="E754" s="56" t="s">
        <v>22</v>
      </c>
      <c r="F754" s="20" t="str">
        <f t="shared" si="27"/>
        <v>Block 05</v>
      </c>
      <c r="G754" s="20" t="str">
        <f t="shared" si="28"/>
        <v>Lot 26</v>
      </c>
      <c r="H754" s="55">
        <v>55</v>
      </c>
      <c r="I754" s="57">
        <v>80</v>
      </c>
      <c r="J754" s="57" t="s">
        <v>743</v>
      </c>
      <c r="K754" s="20" t="s">
        <v>731</v>
      </c>
      <c r="L754" s="58">
        <f>IFERROR(INDEX([1]INVENTORY!$I$6:$AI$262,MATCH($B754,[1]INVENTORY!$I$6:$I$262,0),8),"NA")</f>
        <v>3600000</v>
      </c>
      <c r="M754" s="58"/>
      <c r="N754" s="58">
        <f t="shared" si="29"/>
        <v>3600000</v>
      </c>
      <c r="O754" s="58">
        <f>IFERROR(INDEX([1]INVENTORY!$I$6:$AI$262,MATCH($B754,[1]INVENTORY!$I$6:$I$262,0),9),"NA")</f>
        <v>0</v>
      </c>
      <c r="P754" s="58">
        <f>IFERROR(INDEX([1]INVENTORY!$I$6:$AI$262,MATCH($B754,[1]INVENTORY!$I$6:$I$262,0),10),"NA")</f>
        <v>3600000</v>
      </c>
      <c r="Q754" s="18"/>
    </row>
    <row r="755" spans="2:17" s="17" customFormat="1" ht="13.8">
      <c r="B755" s="55" t="s">
        <v>897</v>
      </c>
      <c r="C755" s="20" t="s">
        <v>1</v>
      </c>
      <c r="D755" s="22" t="s">
        <v>873</v>
      </c>
      <c r="E755" s="56" t="s">
        <v>22</v>
      </c>
      <c r="F755" s="20" t="str">
        <f t="shared" si="27"/>
        <v>Block 05</v>
      </c>
      <c r="G755" s="20" t="str">
        <f t="shared" si="28"/>
        <v>Lot 27</v>
      </c>
      <c r="H755" s="55">
        <v>55</v>
      </c>
      <c r="I755" s="57">
        <v>80</v>
      </c>
      <c r="J755" s="57" t="s">
        <v>743</v>
      </c>
      <c r="K755" s="20" t="s">
        <v>735</v>
      </c>
      <c r="L755" s="58">
        <f>IFERROR(INDEX([1]INVENTORY!$I$6:$AI$262,MATCH($B755,[1]INVENTORY!$I$6:$I$262,0),8),"NA")</f>
        <v>3600000</v>
      </c>
      <c r="M755" s="58"/>
      <c r="N755" s="58">
        <f t="shared" si="29"/>
        <v>3600000</v>
      </c>
      <c r="O755" s="58">
        <f>IFERROR(INDEX([1]INVENTORY!$I$6:$AI$262,MATCH($B755,[1]INVENTORY!$I$6:$I$262,0),9),"NA")</f>
        <v>0</v>
      </c>
      <c r="P755" s="58">
        <f>IFERROR(INDEX([1]INVENTORY!$I$6:$AI$262,MATCH($B755,[1]INVENTORY!$I$6:$I$262,0),10),"NA")</f>
        <v>3600000</v>
      </c>
      <c r="Q755" s="18"/>
    </row>
    <row r="756" spans="2:17" s="17" customFormat="1" ht="13.8">
      <c r="B756" s="55" t="s">
        <v>898</v>
      </c>
      <c r="C756" s="20" t="s">
        <v>1</v>
      </c>
      <c r="D756" s="22" t="s">
        <v>873</v>
      </c>
      <c r="E756" s="56" t="s">
        <v>22</v>
      </c>
      <c r="F756" s="20" t="str">
        <f t="shared" si="27"/>
        <v>Block 05</v>
      </c>
      <c r="G756" s="20" t="str">
        <f t="shared" si="28"/>
        <v>Lot 28</v>
      </c>
      <c r="H756" s="55">
        <v>55</v>
      </c>
      <c r="I756" s="57">
        <v>80</v>
      </c>
      <c r="J756" s="57" t="s">
        <v>743</v>
      </c>
      <c r="K756" s="20" t="s">
        <v>737</v>
      </c>
      <c r="L756" s="58">
        <f>IFERROR(INDEX([1]INVENTORY!$I$6:$AI$262,MATCH($B756,[1]INVENTORY!$I$6:$I$262,0),8),"NA")</f>
        <v>3600000</v>
      </c>
      <c r="M756" s="58"/>
      <c r="N756" s="58">
        <f t="shared" si="29"/>
        <v>3600000</v>
      </c>
      <c r="O756" s="58">
        <f>IFERROR(INDEX([1]INVENTORY!$I$6:$AI$262,MATCH($B756,[1]INVENTORY!$I$6:$I$262,0),9),"NA")</f>
        <v>0</v>
      </c>
      <c r="P756" s="58">
        <f>IFERROR(INDEX([1]INVENTORY!$I$6:$AI$262,MATCH($B756,[1]INVENTORY!$I$6:$I$262,0),10),"NA")</f>
        <v>3600000</v>
      </c>
      <c r="Q756" s="18"/>
    </row>
    <row r="757" spans="2:17" s="17" customFormat="1" ht="13.8">
      <c r="B757" s="55" t="s">
        <v>899</v>
      </c>
      <c r="C757" s="20" t="s">
        <v>1</v>
      </c>
      <c r="D757" s="22" t="s">
        <v>873</v>
      </c>
      <c r="E757" s="56" t="s">
        <v>22</v>
      </c>
      <c r="F757" s="20" t="str">
        <f t="shared" si="27"/>
        <v>Block 05</v>
      </c>
      <c r="G757" s="20" t="str">
        <f t="shared" si="28"/>
        <v>Lot 29</v>
      </c>
      <c r="H757" s="55">
        <v>55</v>
      </c>
      <c r="I757" s="57">
        <v>80</v>
      </c>
      <c r="J757" s="57" t="s">
        <v>743</v>
      </c>
      <c r="K757" s="20" t="s">
        <v>737</v>
      </c>
      <c r="L757" s="58">
        <f>IFERROR(INDEX([1]INVENTORY!$I$6:$AI$262,MATCH($B757,[1]INVENTORY!$I$6:$I$262,0),8),"NA")</f>
        <v>3600000</v>
      </c>
      <c r="M757" s="58"/>
      <c r="N757" s="58">
        <f t="shared" si="29"/>
        <v>3600000</v>
      </c>
      <c r="O757" s="58">
        <f>IFERROR(INDEX([1]INVENTORY!$I$6:$AI$262,MATCH($B757,[1]INVENTORY!$I$6:$I$262,0),9),"NA")</f>
        <v>0</v>
      </c>
      <c r="P757" s="58">
        <f>IFERROR(INDEX([1]INVENTORY!$I$6:$AI$262,MATCH($B757,[1]INVENTORY!$I$6:$I$262,0),10),"NA")</f>
        <v>3600000</v>
      </c>
      <c r="Q757" s="18"/>
    </row>
    <row r="758" spans="2:17" s="17" customFormat="1" ht="13.8">
      <c r="B758" s="55" t="s">
        <v>900</v>
      </c>
      <c r="C758" s="20" t="s">
        <v>1</v>
      </c>
      <c r="D758" s="22" t="s">
        <v>873</v>
      </c>
      <c r="E758" s="56" t="s">
        <v>22</v>
      </c>
      <c r="F758" s="20" t="str">
        <f t="shared" si="27"/>
        <v>Block 05</v>
      </c>
      <c r="G758" s="20" t="str">
        <f t="shared" si="28"/>
        <v>Lot 30</v>
      </c>
      <c r="H758" s="55">
        <v>55</v>
      </c>
      <c r="I758" s="57">
        <v>80</v>
      </c>
      <c r="J758" s="57" t="s">
        <v>743</v>
      </c>
      <c r="K758" s="20" t="s">
        <v>735</v>
      </c>
      <c r="L758" s="58">
        <f>IFERROR(INDEX([1]INVENTORY!$I$6:$AI$262,MATCH($B758,[1]INVENTORY!$I$6:$I$262,0),8),"NA")</f>
        <v>3600000</v>
      </c>
      <c r="M758" s="58"/>
      <c r="N758" s="58">
        <f t="shared" si="29"/>
        <v>3600000</v>
      </c>
      <c r="O758" s="58">
        <f>IFERROR(INDEX([1]INVENTORY!$I$6:$AI$262,MATCH($B758,[1]INVENTORY!$I$6:$I$262,0),9),"NA")</f>
        <v>0</v>
      </c>
      <c r="P758" s="58">
        <f>IFERROR(INDEX([1]INVENTORY!$I$6:$AI$262,MATCH($B758,[1]INVENTORY!$I$6:$I$262,0),10),"NA")</f>
        <v>3600000</v>
      </c>
      <c r="Q758" s="18"/>
    </row>
    <row r="759" spans="2:17" s="17" customFormat="1" ht="13.8">
      <c r="B759" s="55" t="s">
        <v>901</v>
      </c>
      <c r="C759" s="20" t="s">
        <v>1</v>
      </c>
      <c r="D759" s="22" t="s">
        <v>873</v>
      </c>
      <c r="E759" s="56" t="s">
        <v>22</v>
      </c>
      <c r="F759" s="20" t="str">
        <f t="shared" si="27"/>
        <v>Block 05</v>
      </c>
      <c r="G759" s="20" t="str">
        <f t="shared" si="28"/>
        <v>Lot 31</v>
      </c>
      <c r="H759" s="55">
        <v>55</v>
      </c>
      <c r="I759" s="57">
        <v>80</v>
      </c>
      <c r="J759" s="57" t="s">
        <v>743</v>
      </c>
      <c r="K759" s="20" t="s">
        <v>750</v>
      </c>
      <c r="L759" s="58">
        <f>IFERROR(INDEX([1]INVENTORY!$I$6:$AI$262,MATCH($B759,[1]INVENTORY!$I$6:$I$262,0),8),"NA")</f>
        <v>3600000</v>
      </c>
      <c r="M759" s="58"/>
      <c r="N759" s="58">
        <f t="shared" si="29"/>
        <v>3600000</v>
      </c>
      <c r="O759" s="58">
        <f>IFERROR(INDEX([1]INVENTORY!$I$6:$AI$262,MATCH($B759,[1]INVENTORY!$I$6:$I$262,0),9),"NA")</f>
        <v>0</v>
      </c>
      <c r="P759" s="58">
        <f>IFERROR(INDEX([1]INVENTORY!$I$6:$AI$262,MATCH($B759,[1]INVENTORY!$I$6:$I$262,0),10),"NA")</f>
        <v>3600000</v>
      </c>
      <c r="Q759" s="18"/>
    </row>
    <row r="760" spans="2:17" s="17" customFormat="1" ht="13.8">
      <c r="B760" s="55" t="s">
        <v>902</v>
      </c>
      <c r="C760" s="20" t="s">
        <v>1</v>
      </c>
      <c r="D760" s="22" t="s">
        <v>873</v>
      </c>
      <c r="E760" s="56" t="s">
        <v>22</v>
      </c>
      <c r="F760" s="20" t="str">
        <f t="shared" si="27"/>
        <v>Block 05</v>
      </c>
      <c r="G760" s="20" t="str">
        <f t="shared" si="28"/>
        <v>Lot 32</v>
      </c>
      <c r="H760" s="55">
        <v>55</v>
      </c>
      <c r="I760" s="57">
        <v>80</v>
      </c>
      <c r="J760" s="57" t="s">
        <v>743</v>
      </c>
      <c r="K760" s="20" t="s">
        <v>752</v>
      </c>
      <c r="L760" s="58">
        <f>IFERROR(INDEX([1]INVENTORY!$I$6:$AI$262,MATCH($B760,[1]INVENTORY!$I$6:$I$262,0),8),"NA")</f>
        <v>3600000</v>
      </c>
      <c r="M760" s="58"/>
      <c r="N760" s="58">
        <f t="shared" si="29"/>
        <v>3600000</v>
      </c>
      <c r="O760" s="58">
        <f>IFERROR(INDEX([1]INVENTORY!$I$6:$AI$262,MATCH($B760,[1]INVENTORY!$I$6:$I$262,0),9),"NA")</f>
        <v>0</v>
      </c>
      <c r="P760" s="58">
        <f>IFERROR(INDEX([1]INVENTORY!$I$6:$AI$262,MATCH($B760,[1]INVENTORY!$I$6:$I$262,0),10),"NA")</f>
        <v>3600000</v>
      </c>
      <c r="Q760" s="18"/>
    </row>
    <row r="761" spans="2:17" s="17" customFormat="1" ht="13.8">
      <c r="B761" s="55" t="s">
        <v>903</v>
      </c>
      <c r="C761" s="20" t="s">
        <v>1</v>
      </c>
      <c r="D761" s="22" t="s">
        <v>873</v>
      </c>
      <c r="E761" s="56" t="s">
        <v>243</v>
      </c>
      <c r="F761" s="20" t="str">
        <f t="shared" si="27"/>
        <v>Block 05</v>
      </c>
      <c r="G761" s="20" t="str">
        <f t="shared" si="28"/>
        <v>Lot 35</v>
      </c>
      <c r="H761" s="55">
        <v>55</v>
      </c>
      <c r="I761" s="57">
        <v>80</v>
      </c>
      <c r="J761" s="57" t="s">
        <v>743</v>
      </c>
      <c r="K761" s="20" t="s">
        <v>733</v>
      </c>
      <c r="L761" s="58">
        <f>IFERROR(INDEX([1]INVENTORY!$I$6:$AI$262,MATCH($B761,[1]INVENTORY!$I$6:$I$262,0),8),"NA")</f>
        <v>3600000</v>
      </c>
      <c r="M761" s="58"/>
      <c r="N761" s="58">
        <f t="shared" si="29"/>
        <v>3600000</v>
      </c>
      <c r="O761" s="58">
        <f>IFERROR(INDEX([1]INVENTORY!$I$6:$AI$262,MATCH($B761,[1]INVENTORY!$I$6:$I$262,0),9),"NA")</f>
        <v>0</v>
      </c>
      <c r="P761" s="58">
        <f>IFERROR(INDEX([1]INVENTORY!$I$6:$AI$262,MATCH($B761,[1]INVENTORY!$I$6:$I$262,0),10),"NA")</f>
        <v>3600000</v>
      </c>
      <c r="Q761" s="18"/>
    </row>
    <row r="762" spans="2:17" s="17" customFormat="1" ht="13.8">
      <c r="B762" s="55" t="s">
        <v>904</v>
      </c>
      <c r="C762" s="20" t="s">
        <v>1</v>
      </c>
      <c r="D762" s="22" t="s">
        <v>873</v>
      </c>
      <c r="E762" s="56" t="s">
        <v>243</v>
      </c>
      <c r="F762" s="20" t="str">
        <f t="shared" si="27"/>
        <v>Block 05</v>
      </c>
      <c r="G762" s="20" t="str">
        <f t="shared" si="28"/>
        <v>Lot 36</v>
      </c>
      <c r="H762" s="55">
        <v>55</v>
      </c>
      <c r="I762" s="57">
        <v>80</v>
      </c>
      <c r="J762" s="57" t="s">
        <v>743</v>
      </c>
      <c r="K762" s="20" t="s">
        <v>731</v>
      </c>
      <c r="L762" s="58">
        <f>IFERROR(INDEX([1]INVENTORY!$I$6:$AI$262,MATCH($B762,[1]INVENTORY!$I$6:$I$262,0),8),"NA")</f>
        <v>3600000</v>
      </c>
      <c r="M762" s="58"/>
      <c r="N762" s="58">
        <f t="shared" si="29"/>
        <v>3600000</v>
      </c>
      <c r="O762" s="58">
        <f>IFERROR(INDEX([1]INVENTORY!$I$6:$AI$262,MATCH($B762,[1]INVENTORY!$I$6:$I$262,0),9),"NA")</f>
        <v>0</v>
      </c>
      <c r="P762" s="58">
        <f>IFERROR(INDEX([1]INVENTORY!$I$6:$AI$262,MATCH($B762,[1]INVENTORY!$I$6:$I$262,0),10),"NA")</f>
        <v>3600000</v>
      </c>
      <c r="Q762" s="18"/>
    </row>
    <row r="763" spans="2:17" s="17" customFormat="1" ht="13.8">
      <c r="B763" s="55" t="s">
        <v>905</v>
      </c>
      <c r="C763" s="20" t="s">
        <v>1</v>
      </c>
      <c r="D763" s="22" t="s">
        <v>873</v>
      </c>
      <c r="E763" s="56" t="s">
        <v>243</v>
      </c>
      <c r="F763" s="20" t="str">
        <f t="shared" si="27"/>
        <v>Block 05</v>
      </c>
      <c r="G763" s="20" t="str">
        <f t="shared" si="28"/>
        <v>Lot 37</v>
      </c>
      <c r="H763" s="55">
        <v>55</v>
      </c>
      <c r="I763" s="57">
        <v>80</v>
      </c>
      <c r="J763" s="57" t="s">
        <v>743</v>
      </c>
      <c r="K763" s="20" t="s">
        <v>731</v>
      </c>
      <c r="L763" s="58">
        <f>IFERROR(INDEX([1]INVENTORY!$I$6:$AI$262,MATCH($B763,[1]INVENTORY!$I$6:$I$262,0),8),"NA")</f>
        <v>3600000</v>
      </c>
      <c r="M763" s="58"/>
      <c r="N763" s="58">
        <f t="shared" si="29"/>
        <v>3600000</v>
      </c>
      <c r="O763" s="58">
        <f>IFERROR(INDEX([1]INVENTORY!$I$6:$AI$262,MATCH($B763,[1]INVENTORY!$I$6:$I$262,0),9),"NA")</f>
        <v>0</v>
      </c>
      <c r="P763" s="58">
        <f>IFERROR(INDEX([1]INVENTORY!$I$6:$AI$262,MATCH($B763,[1]INVENTORY!$I$6:$I$262,0),10),"NA")</f>
        <v>3600000</v>
      </c>
      <c r="Q763" s="18"/>
    </row>
    <row r="764" spans="2:17" s="17" customFormat="1" ht="13.8">
      <c r="B764" s="55" t="s">
        <v>906</v>
      </c>
      <c r="C764" s="20" t="s">
        <v>1</v>
      </c>
      <c r="D764" s="22" t="s">
        <v>873</v>
      </c>
      <c r="E764" s="56" t="s">
        <v>243</v>
      </c>
      <c r="F764" s="20" t="str">
        <f t="shared" si="27"/>
        <v>Block 05</v>
      </c>
      <c r="G764" s="20" t="str">
        <f t="shared" si="28"/>
        <v>Lot 38</v>
      </c>
      <c r="H764" s="55">
        <v>55</v>
      </c>
      <c r="I764" s="57">
        <v>80</v>
      </c>
      <c r="J764" s="57" t="s">
        <v>743</v>
      </c>
      <c r="K764" s="20" t="s">
        <v>733</v>
      </c>
      <c r="L764" s="58">
        <f>IFERROR(INDEX([1]INVENTORY!$I$6:$AI$262,MATCH($B764,[1]INVENTORY!$I$6:$I$262,0),8),"NA")</f>
        <v>3600000</v>
      </c>
      <c r="M764" s="58"/>
      <c r="N764" s="58">
        <f t="shared" si="29"/>
        <v>3600000</v>
      </c>
      <c r="O764" s="58">
        <f>IFERROR(INDEX([1]INVENTORY!$I$6:$AI$262,MATCH($B764,[1]INVENTORY!$I$6:$I$262,0),9),"NA")</f>
        <v>0</v>
      </c>
      <c r="P764" s="58">
        <f>IFERROR(INDEX([1]INVENTORY!$I$6:$AI$262,MATCH($B764,[1]INVENTORY!$I$6:$I$262,0),10),"NA")</f>
        <v>3600000</v>
      </c>
      <c r="Q764" s="18"/>
    </row>
    <row r="765" spans="2:17" s="17" customFormat="1" ht="13.8">
      <c r="B765" s="55" t="s">
        <v>907</v>
      </c>
      <c r="C765" s="20" t="s">
        <v>1</v>
      </c>
      <c r="D765" s="22" t="s">
        <v>873</v>
      </c>
      <c r="E765" s="56" t="s">
        <v>22</v>
      </c>
      <c r="F765" s="20" t="str">
        <f t="shared" si="27"/>
        <v>Block 06</v>
      </c>
      <c r="G765" s="20" t="str">
        <f t="shared" si="28"/>
        <v>Lot 27</v>
      </c>
      <c r="H765" s="55">
        <v>55</v>
      </c>
      <c r="I765" s="57">
        <v>80</v>
      </c>
      <c r="J765" s="57" t="s">
        <v>743</v>
      </c>
      <c r="K765" s="20" t="s">
        <v>750</v>
      </c>
      <c r="L765" s="58">
        <f>IFERROR(INDEX([1]INVENTORY!$I$6:$AI$262,MATCH($B765,[1]INVENTORY!$I$6:$I$262,0),8),"NA")</f>
        <v>3600000</v>
      </c>
      <c r="M765" s="58"/>
      <c r="N765" s="58">
        <f t="shared" si="29"/>
        <v>3600000</v>
      </c>
      <c r="O765" s="58">
        <f>IFERROR(INDEX([1]INVENTORY!$I$6:$AI$262,MATCH($B765,[1]INVENTORY!$I$6:$I$262,0),9),"NA")</f>
        <v>0</v>
      </c>
      <c r="P765" s="58">
        <f>IFERROR(INDEX([1]INVENTORY!$I$6:$AI$262,MATCH($B765,[1]INVENTORY!$I$6:$I$262,0),10),"NA")</f>
        <v>3600000</v>
      </c>
      <c r="Q765" s="18"/>
    </row>
    <row r="766" spans="2:17" s="17" customFormat="1" ht="13.8">
      <c r="B766" s="55" t="s">
        <v>908</v>
      </c>
      <c r="C766" s="20" t="s">
        <v>1</v>
      </c>
      <c r="D766" s="22" t="s">
        <v>873</v>
      </c>
      <c r="E766" s="56" t="s">
        <v>22</v>
      </c>
      <c r="F766" s="20" t="str">
        <f t="shared" si="27"/>
        <v>Block 06</v>
      </c>
      <c r="G766" s="20" t="str">
        <f t="shared" si="28"/>
        <v>Lot 28</v>
      </c>
      <c r="H766" s="55">
        <v>55</v>
      </c>
      <c r="I766" s="57">
        <v>80</v>
      </c>
      <c r="J766" s="57" t="s">
        <v>743</v>
      </c>
      <c r="K766" s="20" t="s">
        <v>752</v>
      </c>
      <c r="L766" s="58">
        <f>IFERROR(INDEX([1]INVENTORY!$I$6:$AI$262,MATCH($B766,[1]INVENTORY!$I$6:$I$262,0),8),"NA")</f>
        <v>3600000</v>
      </c>
      <c r="M766" s="58"/>
      <c r="N766" s="58">
        <f t="shared" si="29"/>
        <v>3600000</v>
      </c>
      <c r="O766" s="58">
        <f>IFERROR(INDEX([1]INVENTORY!$I$6:$AI$262,MATCH($B766,[1]INVENTORY!$I$6:$I$262,0),9),"NA")</f>
        <v>0</v>
      </c>
      <c r="P766" s="58">
        <f>IFERROR(INDEX([1]INVENTORY!$I$6:$AI$262,MATCH($B766,[1]INVENTORY!$I$6:$I$262,0),10),"NA")</f>
        <v>3600000</v>
      </c>
      <c r="Q766" s="18"/>
    </row>
    <row r="767" spans="2:17" s="17" customFormat="1" ht="13.8">
      <c r="B767" s="55" t="s">
        <v>909</v>
      </c>
      <c r="C767" s="20" t="s">
        <v>1</v>
      </c>
      <c r="D767" s="22" t="s">
        <v>873</v>
      </c>
      <c r="E767" s="56" t="s">
        <v>22</v>
      </c>
      <c r="F767" s="20" t="str">
        <f t="shared" si="27"/>
        <v>Block 06</v>
      </c>
      <c r="G767" s="20" t="str">
        <f t="shared" si="28"/>
        <v>Lot 29</v>
      </c>
      <c r="H767" s="55">
        <v>55</v>
      </c>
      <c r="I767" s="57">
        <v>80</v>
      </c>
      <c r="J767" s="57" t="s">
        <v>743</v>
      </c>
      <c r="K767" s="20" t="s">
        <v>752</v>
      </c>
      <c r="L767" s="58">
        <f>IFERROR(INDEX([1]INVENTORY!$I$6:$AI$262,MATCH($B767,[1]INVENTORY!$I$6:$I$262,0),8),"NA")</f>
        <v>3600000</v>
      </c>
      <c r="M767" s="58"/>
      <c r="N767" s="58">
        <f t="shared" si="29"/>
        <v>3600000</v>
      </c>
      <c r="O767" s="58">
        <f>IFERROR(INDEX([1]INVENTORY!$I$6:$AI$262,MATCH($B767,[1]INVENTORY!$I$6:$I$262,0),9),"NA")</f>
        <v>0</v>
      </c>
      <c r="P767" s="58">
        <f>IFERROR(INDEX([1]INVENTORY!$I$6:$AI$262,MATCH($B767,[1]INVENTORY!$I$6:$I$262,0),10),"NA")</f>
        <v>3600000</v>
      </c>
      <c r="Q767" s="18"/>
    </row>
    <row r="768" spans="2:17" s="17" customFormat="1" ht="13.8">
      <c r="B768" s="55" t="s">
        <v>910</v>
      </c>
      <c r="C768" s="20" t="s">
        <v>1</v>
      </c>
      <c r="D768" s="22" t="s">
        <v>873</v>
      </c>
      <c r="E768" s="56" t="s">
        <v>22</v>
      </c>
      <c r="F768" s="20" t="str">
        <f t="shared" si="27"/>
        <v>Block 06</v>
      </c>
      <c r="G768" s="20" t="str">
        <f t="shared" si="28"/>
        <v>Lot 30</v>
      </c>
      <c r="H768" s="55">
        <v>55</v>
      </c>
      <c r="I768" s="57">
        <v>80</v>
      </c>
      <c r="J768" s="57" t="s">
        <v>743</v>
      </c>
      <c r="K768" s="20" t="s">
        <v>750</v>
      </c>
      <c r="L768" s="58">
        <f>IFERROR(INDEX([1]INVENTORY!$I$6:$AI$262,MATCH($B768,[1]INVENTORY!$I$6:$I$262,0),8),"NA")</f>
        <v>3600000</v>
      </c>
      <c r="M768" s="58"/>
      <c r="N768" s="58">
        <f t="shared" si="29"/>
        <v>3600000</v>
      </c>
      <c r="O768" s="58">
        <f>IFERROR(INDEX([1]INVENTORY!$I$6:$AI$262,MATCH($B768,[1]INVENTORY!$I$6:$I$262,0),9),"NA")</f>
        <v>0</v>
      </c>
      <c r="P768" s="58">
        <f>IFERROR(INDEX([1]INVENTORY!$I$6:$AI$262,MATCH($B768,[1]INVENTORY!$I$6:$I$262,0),10),"NA")</f>
        <v>3600000</v>
      </c>
      <c r="Q768" s="18"/>
    </row>
    <row r="769" spans="2:17" s="17" customFormat="1" ht="13.8">
      <c r="B769" s="55" t="s">
        <v>911</v>
      </c>
      <c r="C769" s="20" t="s">
        <v>1</v>
      </c>
      <c r="D769" s="22" t="s">
        <v>873</v>
      </c>
      <c r="E769" s="56" t="s">
        <v>22</v>
      </c>
      <c r="F769" s="20" t="str">
        <f t="shared" si="27"/>
        <v>Block 08</v>
      </c>
      <c r="G769" s="20" t="str">
        <f t="shared" si="28"/>
        <v>Lot 08</v>
      </c>
      <c r="H769" s="55">
        <v>55</v>
      </c>
      <c r="I769" s="57">
        <v>83</v>
      </c>
      <c r="J769" s="57" t="s">
        <v>743</v>
      </c>
      <c r="K769" s="20" t="s">
        <v>733</v>
      </c>
      <c r="L769" s="58">
        <f>IFERROR(INDEX([1]INVENTORY!$I$6:$AI$262,MATCH($B769,[1]INVENTORY!$I$6:$I$262,0),8),"NA")</f>
        <v>3600000</v>
      </c>
      <c r="M769" s="58"/>
      <c r="N769" s="58">
        <f t="shared" si="29"/>
        <v>3600000</v>
      </c>
      <c r="O769" s="58">
        <f>IFERROR(INDEX([1]INVENTORY!$I$6:$AI$262,MATCH($B769,[1]INVENTORY!$I$6:$I$262,0),9),"NA")</f>
        <v>0</v>
      </c>
      <c r="P769" s="58">
        <f>IFERROR(INDEX([1]INVENTORY!$I$6:$AI$262,MATCH($B769,[1]INVENTORY!$I$6:$I$262,0),10),"NA")</f>
        <v>3600000</v>
      </c>
      <c r="Q769" s="18"/>
    </row>
    <row r="770" spans="2:17" s="17" customFormat="1" ht="13.8">
      <c r="B770" s="55" t="s">
        <v>912</v>
      </c>
      <c r="C770" s="20" t="s">
        <v>1</v>
      </c>
      <c r="D770" s="22" t="s">
        <v>873</v>
      </c>
      <c r="E770" s="56" t="s">
        <v>22</v>
      </c>
      <c r="F770" s="20" t="str">
        <f t="shared" si="27"/>
        <v>Block 08</v>
      </c>
      <c r="G770" s="20" t="str">
        <f t="shared" si="28"/>
        <v>Lot 09</v>
      </c>
      <c r="H770" s="55">
        <v>55</v>
      </c>
      <c r="I770" s="57">
        <v>81</v>
      </c>
      <c r="J770" s="57" t="s">
        <v>743</v>
      </c>
      <c r="K770" s="20" t="s">
        <v>731</v>
      </c>
      <c r="L770" s="58">
        <f>IFERROR(INDEX([1]INVENTORY!$I$6:$AI$262,MATCH($B770,[1]INVENTORY!$I$6:$I$262,0),8),"NA")</f>
        <v>3600000</v>
      </c>
      <c r="M770" s="58"/>
      <c r="N770" s="58">
        <f t="shared" si="29"/>
        <v>3600000</v>
      </c>
      <c r="O770" s="58">
        <f>IFERROR(INDEX([1]INVENTORY!$I$6:$AI$262,MATCH($B770,[1]INVENTORY!$I$6:$I$262,0),9),"NA")</f>
        <v>0</v>
      </c>
      <c r="P770" s="58">
        <f>IFERROR(INDEX([1]INVENTORY!$I$6:$AI$262,MATCH($B770,[1]INVENTORY!$I$6:$I$262,0),10),"NA")</f>
        <v>3600000</v>
      </c>
      <c r="Q770" s="18"/>
    </row>
    <row r="771" spans="2:17" s="17" customFormat="1" ht="13.8">
      <c r="B771" s="55" t="s">
        <v>913</v>
      </c>
      <c r="C771" s="20" t="s">
        <v>1</v>
      </c>
      <c r="D771" s="22" t="s">
        <v>873</v>
      </c>
      <c r="E771" s="56" t="s">
        <v>22</v>
      </c>
      <c r="F771" s="20" t="str">
        <f t="shared" si="27"/>
        <v>Block 08</v>
      </c>
      <c r="G771" s="20" t="str">
        <f t="shared" si="28"/>
        <v>Lot 10</v>
      </c>
      <c r="H771" s="55">
        <v>55</v>
      </c>
      <c r="I771" s="57">
        <v>80</v>
      </c>
      <c r="J771" s="57" t="s">
        <v>743</v>
      </c>
      <c r="K771" s="20" t="s">
        <v>731</v>
      </c>
      <c r="L771" s="58">
        <f>IFERROR(INDEX([1]INVENTORY!$I$6:$AI$262,MATCH($B771,[1]INVENTORY!$I$6:$I$262,0),8),"NA")</f>
        <v>3600000</v>
      </c>
      <c r="M771" s="58"/>
      <c r="N771" s="58">
        <f t="shared" si="29"/>
        <v>3600000</v>
      </c>
      <c r="O771" s="58">
        <f>IFERROR(INDEX([1]INVENTORY!$I$6:$AI$262,MATCH($B771,[1]INVENTORY!$I$6:$I$262,0),9),"NA")</f>
        <v>0</v>
      </c>
      <c r="P771" s="58">
        <f>IFERROR(INDEX([1]INVENTORY!$I$6:$AI$262,MATCH($B771,[1]INVENTORY!$I$6:$I$262,0),10),"NA")</f>
        <v>3600000</v>
      </c>
      <c r="Q771" s="18"/>
    </row>
    <row r="772" spans="2:17" s="17" customFormat="1" ht="13.8">
      <c r="B772" s="55" t="s">
        <v>914</v>
      </c>
      <c r="C772" s="20" t="s">
        <v>1</v>
      </c>
      <c r="D772" s="22" t="s">
        <v>873</v>
      </c>
      <c r="E772" s="56" t="s">
        <v>22</v>
      </c>
      <c r="F772" s="20" t="str">
        <f t="shared" si="27"/>
        <v>Block 08</v>
      </c>
      <c r="G772" s="20" t="str">
        <f t="shared" si="28"/>
        <v>Lot 11</v>
      </c>
      <c r="H772" s="55">
        <v>55</v>
      </c>
      <c r="I772" s="57">
        <v>83</v>
      </c>
      <c r="J772" s="57" t="s">
        <v>743</v>
      </c>
      <c r="K772" s="20" t="s">
        <v>733</v>
      </c>
      <c r="L772" s="58">
        <f>IFERROR(INDEX([1]INVENTORY!$I$6:$AI$262,MATCH($B772,[1]INVENTORY!$I$6:$I$262,0),8),"NA")</f>
        <v>3600000</v>
      </c>
      <c r="M772" s="58"/>
      <c r="N772" s="58">
        <f t="shared" si="29"/>
        <v>3600000</v>
      </c>
      <c r="O772" s="58">
        <f>IFERROR(INDEX([1]INVENTORY!$I$6:$AI$262,MATCH($B772,[1]INVENTORY!$I$6:$I$262,0),9),"NA")</f>
        <v>0</v>
      </c>
      <c r="P772" s="58">
        <f>IFERROR(INDEX([1]INVENTORY!$I$6:$AI$262,MATCH($B772,[1]INVENTORY!$I$6:$I$262,0),10),"NA")</f>
        <v>3600000</v>
      </c>
      <c r="Q772" s="18"/>
    </row>
    <row r="773" spans="2:17" s="17" customFormat="1" ht="13.8">
      <c r="B773" s="55" t="s">
        <v>915</v>
      </c>
      <c r="C773" s="20" t="s">
        <v>1</v>
      </c>
      <c r="D773" s="22" t="s">
        <v>873</v>
      </c>
      <c r="E773" s="56" t="s">
        <v>22</v>
      </c>
      <c r="F773" s="20" t="str">
        <f t="shared" si="27"/>
        <v>Block 08</v>
      </c>
      <c r="G773" s="20" t="str">
        <f t="shared" si="28"/>
        <v>Lot 16</v>
      </c>
      <c r="H773" s="55">
        <v>55</v>
      </c>
      <c r="I773" s="57">
        <v>89</v>
      </c>
      <c r="J773" s="57" t="s">
        <v>743</v>
      </c>
      <c r="K773" s="20" t="s">
        <v>737</v>
      </c>
      <c r="L773" s="58">
        <f>IFERROR(INDEX([1]INVENTORY!$I$6:$AI$262,MATCH($B773,[1]INVENTORY!$I$6:$I$262,0),8),"NA")</f>
        <v>3600000</v>
      </c>
      <c r="M773" s="58"/>
      <c r="N773" s="58">
        <f t="shared" si="29"/>
        <v>3600000</v>
      </c>
      <c r="O773" s="58">
        <f>IFERROR(INDEX([1]INVENTORY!$I$6:$AI$262,MATCH($B773,[1]INVENTORY!$I$6:$I$262,0),9),"NA")</f>
        <v>0</v>
      </c>
      <c r="P773" s="58">
        <f>IFERROR(INDEX([1]INVENTORY!$I$6:$AI$262,MATCH($B773,[1]INVENTORY!$I$6:$I$262,0),10),"NA")</f>
        <v>3600000</v>
      </c>
      <c r="Q773" s="18"/>
    </row>
    <row r="774" spans="2:17" s="17" customFormat="1" ht="13.8">
      <c r="B774" s="55" t="s">
        <v>916</v>
      </c>
      <c r="C774" s="20" t="s">
        <v>1</v>
      </c>
      <c r="D774" s="22" t="s">
        <v>873</v>
      </c>
      <c r="E774" s="56" t="s">
        <v>22</v>
      </c>
      <c r="F774" s="20" t="str">
        <f t="shared" si="27"/>
        <v>Block 08</v>
      </c>
      <c r="G774" s="20" t="str">
        <f t="shared" si="28"/>
        <v>Lot 17</v>
      </c>
      <c r="H774" s="55">
        <v>55</v>
      </c>
      <c r="I774" s="57">
        <v>85</v>
      </c>
      <c r="J774" s="57" t="s">
        <v>743</v>
      </c>
      <c r="K774" s="20" t="s">
        <v>735</v>
      </c>
      <c r="L774" s="58">
        <f>IFERROR(INDEX([1]INVENTORY!$I$6:$AI$262,MATCH($B774,[1]INVENTORY!$I$6:$I$262,0),8),"NA")</f>
        <v>3600000</v>
      </c>
      <c r="M774" s="58"/>
      <c r="N774" s="58">
        <f t="shared" si="29"/>
        <v>3600000</v>
      </c>
      <c r="O774" s="58">
        <f>IFERROR(INDEX([1]INVENTORY!$I$6:$AI$262,MATCH($B774,[1]INVENTORY!$I$6:$I$262,0),9),"NA")</f>
        <v>0</v>
      </c>
      <c r="P774" s="58">
        <f>IFERROR(INDEX([1]INVENTORY!$I$6:$AI$262,MATCH($B774,[1]INVENTORY!$I$6:$I$262,0),10),"NA")</f>
        <v>3600000</v>
      </c>
      <c r="Q774" s="18"/>
    </row>
    <row r="775" spans="2:17" s="17" customFormat="1" ht="13.8">
      <c r="B775" s="55" t="s">
        <v>917</v>
      </c>
      <c r="C775" s="20" t="s">
        <v>1</v>
      </c>
      <c r="D775" s="22" t="s">
        <v>873</v>
      </c>
      <c r="E775" s="56" t="s">
        <v>22</v>
      </c>
      <c r="F775" s="20" t="str">
        <f t="shared" si="27"/>
        <v>Block 08</v>
      </c>
      <c r="G775" s="20" t="str">
        <f t="shared" si="28"/>
        <v>Lot 18</v>
      </c>
      <c r="H775" s="55">
        <v>55</v>
      </c>
      <c r="I775" s="57">
        <v>82</v>
      </c>
      <c r="J775" s="57" t="s">
        <v>743</v>
      </c>
      <c r="K775" s="20" t="s">
        <v>735</v>
      </c>
      <c r="L775" s="58">
        <f>IFERROR(INDEX([1]INVENTORY!$I$6:$AI$262,MATCH($B775,[1]INVENTORY!$I$6:$I$262,0),8),"NA")</f>
        <v>3600000</v>
      </c>
      <c r="M775" s="58"/>
      <c r="N775" s="58">
        <f t="shared" si="29"/>
        <v>3600000</v>
      </c>
      <c r="O775" s="58">
        <f>IFERROR(INDEX([1]INVENTORY!$I$6:$AI$262,MATCH($B775,[1]INVENTORY!$I$6:$I$262,0),9),"NA")</f>
        <v>0</v>
      </c>
      <c r="P775" s="58">
        <f>IFERROR(INDEX([1]INVENTORY!$I$6:$AI$262,MATCH($B775,[1]INVENTORY!$I$6:$I$262,0),10),"NA")</f>
        <v>3600000</v>
      </c>
      <c r="Q775" s="18"/>
    </row>
    <row r="776" spans="2:17" s="17" customFormat="1" ht="13.8">
      <c r="B776" s="55" t="s">
        <v>918</v>
      </c>
      <c r="C776" s="20" t="s">
        <v>1</v>
      </c>
      <c r="D776" s="22" t="s">
        <v>873</v>
      </c>
      <c r="E776" s="56" t="s">
        <v>22</v>
      </c>
      <c r="F776" s="20" t="str">
        <f t="shared" si="27"/>
        <v>Block 08</v>
      </c>
      <c r="G776" s="20" t="str">
        <f t="shared" si="28"/>
        <v>Lot 19</v>
      </c>
      <c r="H776" s="55">
        <v>55</v>
      </c>
      <c r="I776" s="57">
        <v>81</v>
      </c>
      <c r="J776" s="57" t="s">
        <v>743</v>
      </c>
      <c r="K776" s="20" t="s">
        <v>737</v>
      </c>
      <c r="L776" s="58">
        <f>IFERROR(INDEX([1]INVENTORY!$I$6:$AI$262,MATCH($B776,[1]INVENTORY!$I$6:$I$262,0),8),"NA")</f>
        <v>3600000</v>
      </c>
      <c r="M776" s="58"/>
      <c r="N776" s="58">
        <f t="shared" si="29"/>
        <v>3600000</v>
      </c>
      <c r="O776" s="58">
        <f>IFERROR(INDEX([1]INVENTORY!$I$6:$AI$262,MATCH($B776,[1]INVENTORY!$I$6:$I$262,0),9),"NA")</f>
        <v>0</v>
      </c>
      <c r="P776" s="58">
        <f>IFERROR(INDEX([1]INVENTORY!$I$6:$AI$262,MATCH($B776,[1]INVENTORY!$I$6:$I$262,0),10),"NA")</f>
        <v>3600000</v>
      </c>
      <c r="Q776" s="18"/>
    </row>
    <row r="777" spans="2:17" s="17" customFormat="1" ht="13.8">
      <c r="B777" s="55" t="s">
        <v>919</v>
      </c>
      <c r="C777" s="20" t="s">
        <v>1</v>
      </c>
      <c r="D777" s="22" t="s">
        <v>873</v>
      </c>
      <c r="E777" s="56" t="s">
        <v>22</v>
      </c>
      <c r="F777" s="20" t="str">
        <f t="shared" si="27"/>
        <v>Block 08</v>
      </c>
      <c r="G777" s="20" t="str">
        <f t="shared" si="28"/>
        <v>Lot 32</v>
      </c>
      <c r="H777" s="55">
        <v>55</v>
      </c>
      <c r="I777" s="57">
        <v>85</v>
      </c>
      <c r="J777" s="57" t="s">
        <v>743</v>
      </c>
      <c r="K777" s="20" t="s">
        <v>752</v>
      </c>
      <c r="L777" s="58">
        <f>IFERROR(INDEX([1]INVENTORY!$I$6:$AI$262,MATCH($B777,[1]INVENTORY!$I$6:$I$262,0),8),"NA")</f>
        <v>3600000</v>
      </c>
      <c r="M777" s="58"/>
      <c r="N777" s="58">
        <f t="shared" si="29"/>
        <v>3600000</v>
      </c>
      <c r="O777" s="58">
        <f>IFERROR(INDEX([1]INVENTORY!$I$6:$AI$262,MATCH($B777,[1]INVENTORY!$I$6:$I$262,0),9),"NA")</f>
        <v>0</v>
      </c>
      <c r="P777" s="58">
        <f>IFERROR(INDEX([1]INVENTORY!$I$6:$AI$262,MATCH($B777,[1]INVENTORY!$I$6:$I$262,0),10),"NA")</f>
        <v>3600000</v>
      </c>
      <c r="Q777" s="18"/>
    </row>
    <row r="778" spans="2:17" s="17" customFormat="1" ht="13.8">
      <c r="B778" s="55" t="s">
        <v>920</v>
      </c>
      <c r="C778" s="20" t="s">
        <v>1</v>
      </c>
      <c r="D778" s="22" t="s">
        <v>873</v>
      </c>
      <c r="E778" s="56" t="s">
        <v>22</v>
      </c>
      <c r="F778" s="20" t="str">
        <f t="shared" si="27"/>
        <v>Block 08</v>
      </c>
      <c r="G778" s="20" t="str">
        <f t="shared" si="28"/>
        <v>Lot 33</v>
      </c>
      <c r="H778" s="55">
        <v>55</v>
      </c>
      <c r="I778" s="57">
        <v>83</v>
      </c>
      <c r="J778" s="57" t="s">
        <v>743</v>
      </c>
      <c r="K778" s="20" t="s">
        <v>750</v>
      </c>
      <c r="L778" s="58">
        <f>IFERROR(INDEX([1]INVENTORY!$I$6:$AI$262,MATCH($B778,[1]INVENTORY!$I$6:$I$262,0),8),"NA")</f>
        <v>3600000</v>
      </c>
      <c r="M778" s="58"/>
      <c r="N778" s="58">
        <f t="shared" si="29"/>
        <v>3600000</v>
      </c>
      <c r="O778" s="58">
        <f>IFERROR(INDEX([1]INVENTORY!$I$6:$AI$262,MATCH($B778,[1]INVENTORY!$I$6:$I$262,0),9),"NA")</f>
        <v>0</v>
      </c>
      <c r="P778" s="58">
        <f>IFERROR(INDEX([1]INVENTORY!$I$6:$AI$262,MATCH($B778,[1]INVENTORY!$I$6:$I$262,0),10),"NA")</f>
        <v>3600000</v>
      </c>
      <c r="Q778" s="18"/>
    </row>
    <row r="779" spans="2:17" s="17" customFormat="1" ht="13.8">
      <c r="B779" s="55" t="s">
        <v>921</v>
      </c>
      <c r="C779" s="20" t="s">
        <v>1</v>
      </c>
      <c r="D779" s="22" t="s">
        <v>922</v>
      </c>
      <c r="E779" s="56" t="s">
        <v>22</v>
      </c>
      <c r="F779" s="20" t="str">
        <f t="shared" si="27"/>
        <v>Block 02</v>
      </c>
      <c r="G779" s="20" t="str">
        <f t="shared" si="28"/>
        <v>Lot 03</v>
      </c>
      <c r="H779" s="55">
        <v>55</v>
      </c>
      <c r="I779" s="57">
        <v>80</v>
      </c>
      <c r="J779" s="57" t="s">
        <v>743</v>
      </c>
      <c r="K779" s="20" t="s">
        <v>731</v>
      </c>
      <c r="L779" s="58">
        <f>IFERROR(INDEX([1]INVENTORY!$I$6:$AI$262,MATCH($B779,[1]INVENTORY!$I$6:$I$262,0),8),"NA")</f>
        <v>3600000</v>
      </c>
      <c r="M779" s="58"/>
      <c r="N779" s="58">
        <f t="shared" si="29"/>
        <v>3600000</v>
      </c>
      <c r="O779" s="58">
        <f>IFERROR(INDEX([1]INVENTORY!$I$6:$AI$262,MATCH($B779,[1]INVENTORY!$I$6:$I$262,0),9),"NA")</f>
        <v>0</v>
      </c>
      <c r="P779" s="58">
        <f>IFERROR(INDEX([1]INVENTORY!$I$6:$AI$262,MATCH($B779,[1]INVENTORY!$I$6:$I$262,0),10),"NA")</f>
        <v>3600000</v>
      </c>
      <c r="Q779" s="18"/>
    </row>
    <row r="780" spans="2:17" s="17" customFormat="1" ht="13.8">
      <c r="B780" s="55" t="s">
        <v>923</v>
      </c>
      <c r="C780" s="20" t="s">
        <v>1</v>
      </c>
      <c r="D780" s="22" t="s">
        <v>922</v>
      </c>
      <c r="E780" s="56" t="s">
        <v>22</v>
      </c>
      <c r="F780" s="20" t="str">
        <f t="shared" si="27"/>
        <v>Block 02</v>
      </c>
      <c r="G780" s="20" t="str">
        <f t="shared" si="28"/>
        <v>Lot 04</v>
      </c>
      <c r="H780" s="55">
        <v>55</v>
      </c>
      <c r="I780" s="57">
        <v>80</v>
      </c>
      <c r="J780" s="57" t="s">
        <v>743</v>
      </c>
      <c r="K780" s="20" t="s">
        <v>733</v>
      </c>
      <c r="L780" s="58">
        <f>IFERROR(INDEX([1]INVENTORY!$I$6:$AI$262,MATCH($B780,[1]INVENTORY!$I$6:$I$262,0),8),"NA")</f>
        <v>3600000</v>
      </c>
      <c r="M780" s="58"/>
      <c r="N780" s="58">
        <f t="shared" si="29"/>
        <v>3600000</v>
      </c>
      <c r="O780" s="58">
        <f>IFERROR(INDEX([1]INVENTORY!$I$6:$AI$262,MATCH($B780,[1]INVENTORY!$I$6:$I$262,0),9),"NA")</f>
        <v>0</v>
      </c>
      <c r="P780" s="58">
        <f>IFERROR(INDEX([1]INVENTORY!$I$6:$AI$262,MATCH($B780,[1]INVENTORY!$I$6:$I$262,0),10),"NA")</f>
        <v>3600000</v>
      </c>
      <c r="Q780" s="18"/>
    </row>
    <row r="781" spans="2:17" s="17" customFormat="1" ht="13.8">
      <c r="B781" s="55" t="s">
        <v>924</v>
      </c>
      <c r="C781" s="20" t="s">
        <v>1</v>
      </c>
      <c r="D781" s="22" t="s">
        <v>922</v>
      </c>
      <c r="E781" s="56" t="s">
        <v>22</v>
      </c>
      <c r="F781" s="20" t="str">
        <f t="shared" si="27"/>
        <v>Block 02</v>
      </c>
      <c r="G781" s="20" t="str">
        <f t="shared" si="28"/>
        <v>Lot 05</v>
      </c>
      <c r="H781" s="55">
        <v>55</v>
      </c>
      <c r="I781" s="57">
        <v>80</v>
      </c>
      <c r="J781" s="57" t="s">
        <v>743</v>
      </c>
      <c r="K781" s="20" t="s">
        <v>750</v>
      </c>
      <c r="L781" s="58">
        <f>IFERROR(INDEX([1]INVENTORY!$I$6:$AI$262,MATCH($B781,[1]INVENTORY!$I$6:$I$262,0),8),"NA")</f>
        <v>3600000</v>
      </c>
      <c r="M781" s="58"/>
      <c r="N781" s="58">
        <f t="shared" si="29"/>
        <v>3600000</v>
      </c>
      <c r="O781" s="58">
        <f>IFERROR(INDEX([1]INVENTORY!$I$6:$AI$262,MATCH($B781,[1]INVENTORY!$I$6:$I$262,0),9),"NA")</f>
        <v>0</v>
      </c>
      <c r="P781" s="58">
        <f>IFERROR(INDEX([1]INVENTORY!$I$6:$AI$262,MATCH($B781,[1]INVENTORY!$I$6:$I$262,0),10),"NA")</f>
        <v>3600000</v>
      </c>
      <c r="Q781" s="18"/>
    </row>
    <row r="782" spans="2:17" s="17" customFormat="1" ht="13.8">
      <c r="B782" s="55" t="s">
        <v>925</v>
      </c>
      <c r="C782" s="20" t="s">
        <v>1</v>
      </c>
      <c r="D782" s="22" t="s">
        <v>922</v>
      </c>
      <c r="E782" s="56" t="s">
        <v>22</v>
      </c>
      <c r="F782" s="20" t="str">
        <f t="shared" si="27"/>
        <v>Block 02</v>
      </c>
      <c r="G782" s="20" t="str">
        <f t="shared" si="28"/>
        <v>Lot 06</v>
      </c>
      <c r="H782" s="55">
        <v>55</v>
      </c>
      <c r="I782" s="57">
        <v>80</v>
      </c>
      <c r="J782" s="57" t="s">
        <v>743</v>
      </c>
      <c r="K782" s="20" t="s">
        <v>752</v>
      </c>
      <c r="L782" s="58">
        <f>IFERROR(INDEX([1]INVENTORY!$I$6:$AI$262,MATCH($B782,[1]INVENTORY!$I$6:$I$262,0),8),"NA")</f>
        <v>3600000</v>
      </c>
      <c r="M782" s="58"/>
      <c r="N782" s="58">
        <f t="shared" si="29"/>
        <v>3600000</v>
      </c>
      <c r="O782" s="58">
        <f>IFERROR(INDEX([1]INVENTORY!$I$6:$AI$262,MATCH($B782,[1]INVENTORY!$I$6:$I$262,0),9),"NA")</f>
        <v>0</v>
      </c>
      <c r="P782" s="58">
        <f>IFERROR(INDEX([1]INVENTORY!$I$6:$AI$262,MATCH($B782,[1]INVENTORY!$I$6:$I$262,0),10),"NA")</f>
        <v>3600000</v>
      </c>
      <c r="Q782" s="18"/>
    </row>
    <row r="783" spans="2:17" s="17" customFormat="1" ht="13.8">
      <c r="B783" s="55" t="s">
        <v>926</v>
      </c>
      <c r="C783" s="20" t="s">
        <v>1</v>
      </c>
      <c r="D783" s="22" t="s">
        <v>922</v>
      </c>
      <c r="E783" s="56" t="s">
        <v>22</v>
      </c>
      <c r="F783" s="20" t="str">
        <f t="shared" si="27"/>
        <v>Block 02</v>
      </c>
      <c r="G783" s="20" t="str">
        <f t="shared" si="28"/>
        <v>Lot 07</v>
      </c>
      <c r="H783" s="55">
        <v>55</v>
      </c>
      <c r="I783" s="57">
        <v>80</v>
      </c>
      <c r="J783" s="57" t="s">
        <v>743</v>
      </c>
      <c r="K783" s="20" t="s">
        <v>752</v>
      </c>
      <c r="L783" s="58">
        <f>IFERROR(INDEX([1]INVENTORY!$I$6:$AI$262,MATCH($B783,[1]INVENTORY!$I$6:$I$262,0),8),"NA")</f>
        <v>3600000</v>
      </c>
      <c r="M783" s="58"/>
      <c r="N783" s="58">
        <f t="shared" si="29"/>
        <v>3600000</v>
      </c>
      <c r="O783" s="58">
        <f>IFERROR(INDEX([1]INVENTORY!$I$6:$AI$262,MATCH($B783,[1]INVENTORY!$I$6:$I$262,0),9),"NA")</f>
        <v>0</v>
      </c>
      <c r="P783" s="58">
        <f>IFERROR(INDEX([1]INVENTORY!$I$6:$AI$262,MATCH($B783,[1]INVENTORY!$I$6:$I$262,0),10),"NA")</f>
        <v>3600000</v>
      </c>
      <c r="Q783" s="18"/>
    </row>
    <row r="784" spans="2:17" s="17" customFormat="1" ht="13.8">
      <c r="B784" s="55" t="s">
        <v>927</v>
      </c>
      <c r="C784" s="20" t="s">
        <v>1</v>
      </c>
      <c r="D784" s="22" t="s">
        <v>922</v>
      </c>
      <c r="E784" s="56" t="s">
        <v>22</v>
      </c>
      <c r="F784" s="20" t="str">
        <f t="shared" si="27"/>
        <v>Block 02</v>
      </c>
      <c r="G784" s="20" t="str">
        <f t="shared" si="28"/>
        <v>Lot 08</v>
      </c>
      <c r="H784" s="55">
        <v>55</v>
      </c>
      <c r="I784" s="57">
        <v>80</v>
      </c>
      <c r="J784" s="57" t="s">
        <v>743</v>
      </c>
      <c r="K784" s="20" t="s">
        <v>750</v>
      </c>
      <c r="L784" s="58">
        <f>IFERROR(INDEX([1]INVENTORY!$I$6:$AI$262,MATCH($B784,[1]INVENTORY!$I$6:$I$262,0),8),"NA")</f>
        <v>3600000</v>
      </c>
      <c r="M784" s="58"/>
      <c r="N784" s="58">
        <f t="shared" si="29"/>
        <v>3600000</v>
      </c>
      <c r="O784" s="58">
        <f>IFERROR(INDEX([1]INVENTORY!$I$6:$AI$262,MATCH($B784,[1]INVENTORY!$I$6:$I$262,0),9),"NA")</f>
        <v>0</v>
      </c>
      <c r="P784" s="58">
        <f>IFERROR(INDEX([1]INVENTORY!$I$6:$AI$262,MATCH($B784,[1]INVENTORY!$I$6:$I$262,0),10),"NA")</f>
        <v>3600000</v>
      </c>
      <c r="Q784" s="18"/>
    </row>
    <row r="785" spans="2:17" s="17" customFormat="1" ht="13.8">
      <c r="B785" s="55" t="s">
        <v>928</v>
      </c>
      <c r="C785" s="20" t="s">
        <v>1</v>
      </c>
      <c r="D785" s="22" t="s">
        <v>922</v>
      </c>
      <c r="E785" s="56" t="s">
        <v>22</v>
      </c>
      <c r="F785" s="20" t="str">
        <f t="shared" si="27"/>
        <v>Block 02</v>
      </c>
      <c r="G785" s="20" t="str">
        <f t="shared" si="28"/>
        <v>Lot 09</v>
      </c>
      <c r="H785" s="55">
        <v>55</v>
      </c>
      <c r="I785" s="57">
        <v>80</v>
      </c>
      <c r="J785" s="57" t="s">
        <v>743</v>
      </c>
      <c r="K785" s="20" t="s">
        <v>735</v>
      </c>
      <c r="L785" s="58">
        <f>IFERROR(INDEX([1]INVENTORY!$I$6:$AI$262,MATCH($B785,[1]INVENTORY!$I$6:$I$262,0),8),"NA")</f>
        <v>3600000</v>
      </c>
      <c r="M785" s="58"/>
      <c r="N785" s="58">
        <f t="shared" si="29"/>
        <v>3600000</v>
      </c>
      <c r="O785" s="58">
        <f>IFERROR(INDEX([1]INVENTORY!$I$6:$AI$262,MATCH($B785,[1]INVENTORY!$I$6:$I$262,0),9),"NA")</f>
        <v>0</v>
      </c>
      <c r="P785" s="58">
        <f>IFERROR(INDEX([1]INVENTORY!$I$6:$AI$262,MATCH($B785,[1]INVENTORY!$I$6:$I$262,0),10),"NA")</f>
        <v>3600000</v>
      </c>
      <c r="Q785" s="18"/>
    </row>
    <row r="786" spans="2:17" s="17" customFormat="1" ht="13.8">
      <c r="B786" s="55" t="s">
        <v>929</v>
      </c>
      <c r="C786" s="20" t="s">
        <v>1</v>
      </c>
      <c r="D786" s="22" t="s">
        <v>922</v>
      </c>
      <c r="E786" s="56" t="s">
        <v>22</v>
      </c>
      <c r="F786" s="20" t="str">
        <f t="shared" si="27"/>
        <v>Block 02</v>
      </c>
      <c r="G786" s="20" t="str">
        <f t="shared" si="28"/>
        <v>Lot 10</v>
      </c>
      <c r="H786" s="55">
        <v>55</v>
      </c>
      <c r="I786" s="57">
        <v>80</v>
      </c>
      <c r="J786" s="57" t="s">
        <v>743</v>
      </c>
      <c r="K786" s="20" t="s">
        <v>737</v>
      </c>
      <c r="L786" s="58">
        <f>IFERROR(INDEX([1]INVENTORY!$I$6:$AI$262,MATCH($B786,[1]INVENTORY!$I$6:$I$262,0),8),"NA")</f>
        <v>3600000</v>
      </c>
      <c r="M786" s="58"/>
      <c r="N786" s="58">
        <f t="shared" si="29"/>
        <v>3600000</v>
      </c>
      <c r="O786" s="58">
        <f>IFERROR(INDEX([1]INVENTORY!$I$6:$AI$262,MATCH($B786,[1]INVENTORY!$I$6:$I$262,0),9),"NA")</f>
        <v>0</v>
      </c>
      <c r="P786" s="58">
        <f>IFERROR(INDEX([1]INVENTORY!$I$6:$AI$262,MATCH($B786,[1]INVENTORY!$I$6:$I$262,0),10),"NA")</f>
        <v>3600000</v>
      </c>
      <c r="Q786" s="18"/>
    </row>
    <row r="787" spans="2:17" s="17" customFormat="1" ht="13.8">
      <c r="B787" s="55" t="s">
        <v>930</v>
      </c>
      <c r="C787" s="20" t="s">
        <v>1</v>
      </c>
      <c r="D787" s="22" t="s">
        <v>922</v>
      </c>
      <c r="E787" s="56" t="s">
        <v>22</v>
      </c>
      <c r="F787" s="20" t="str">
        <f t="shared" si="27"/>
        <v>Block 02</v>
      </c>
      <c r="G787" s="20" t="str">
        <f t="shared" si="28"/>
        <v>Lot 11</v>
      </c>
      <c r="H787" s="55">
        <v>55</v>
      </c>
      <c r="I787" s="57">
        <v>80</v>
      </c>
      <c r="J787" s="57" t="s">
        <v>743</v>
      </c>
      <c r="K787" s="20" t="s">
        <v>737</v>
      </c>
      <c r="L787" s="58">
        <f>IFERROR(INDEX([1]INVENTORY!$I$6:$AI$262,MATCH($B787,[1]INVENTORY!$I$6:$I$262,0),8),"NA")</f>
        <v>3600000</v>
      </c>
      <c r="M787" s="58"/>
      <c r="N787" s="58">
        <f t="shared" si="29"/>
        <v>3600000</v>
      </c>
      <c r="O787" s="58">
        <f>IFERROR(INDEX([1]INVENTORY!$I$6:$AI$262,MATCH($B787,[1]INVENTORY!$I$6:$I$262,0),9),"NA")</f>
        <v>0</v>
      </c>
      <c r="P787" s="58">
        <f>IFERROR(INDEX([1]INVENTORY!$I$6:$AI$262,MATCH($B787,[1]INVENTORY!$I$6:$I$262,0),10),"NA")</f>
        <v>3600000</v>
      </c>
      <c r="Q787" s="18"/>
    </row>
    <row r="788" spans="2:17" s="17" customFormat="1" ht="13.8">
      <c r="B788" s="55" t="s">
        <v>931</v>
      </c>
      <c r="C788" s="20" t="s">
        <v>1</v>
      </c>
      <c r="D788" s="22" t="s">
        <v>922</v>
      </c>
      <c r="E788" s="56" t="s">
        <v>22</v>
      </c>
      <c r="F788" s="20" t="str">
        <f t="shared" si="27"/>
        <v>Block 02</v>
      </c>
      <c r="G788" s="20" t="str">
        <f t="shared" si="28"/>
        <v>Lot 12</v>
      </c>
      <c r="H788" s="55">
        <v>55</v>
      </c>
      <c r="I788" s="57">
        <v>80</v>
      </c>
      <c r="J788" s="57" t="s">
        <v>743</v>
      </c>
      <c r="K788" s="20" t="s">
        <v>735</v>
      </c>
      <c r="L788" s="58">
        <f>IFERROR(INDEX([1]INVENTORY!$I$6:$AI$262,MATCH($B788,[1]INVENTORY!$I$6:$I$262,0),8),"NA")</f>
        <v>3600000</v>
      </c>
      <c r="M788" s="58"/>
      <c r="N788" s="58">
        <f t="shared" si="29"/>
        <v>3600000</v>
      </c>
      <c r="O788" s="58">
        <f>IFERROR(INDEX([1]INVENTORY!$I$6:$AI$262,MATCH($B788,[1]INVENTORY!$I$6:$I$262,0),9),"NA")</f>
        <v>0</v>
      </c>
      <c r="P788" s="58">
        <f>IFERROR(INDEX([1]INVENTORY!$I$6:$AI$262,MATCH($B788,[1]INVENTORY!$I$6:$I$262,0),10),"NA")</f>
        <v>3600000</v>
      </c>
      <c r="Q788" s="18"/>
    </row>
    <row r="789" spans="2:17" s="17" customFormat="1" ht="13.8">
      <c r="B789" s="55" t="s">
        <v>932</v>
      </c>
      <c r="C789" s="20" t="s">
        <v>1</v>
      </c>
      <c r="D789" s="22" t="s">
        <v>922</v>
      </c>
      <c r="E789" s="56" t="s">
        <v>22</v>
      </c>
      <c r="F789" s="20" t="str">
        <f t="shared" si="27"/>
        <v>Block 02</v>
      </c>
      <c r="G789" s="20" t="str">
        <f t="shared" si="28"/>
        <v>Lot 13</v>
      </c>
      <c r="H789" s="55">
        <v>55</v>
      </c>
      <c r="I789" s="57">
        <v>80</v>
      </c>
      <c r="J789" s="57" t="s">
        <v>743</v>
      </c>
      <c r="K789" s="20" t="s">
        <v>733</v>
      </c>
      <c r="L789" s="58">
        <f>IFERROR(INDEX([1]INVENTORY!$I$6:$AI$262,MATCH($B789,[1]INVENTORY!$I$6:$I$262,0),8),"NA")</f>
        <v>3600000</v>
      </c>
      <c r="M789" s="58"/>
      <c r="N789" s="58">
        <f t="shared" si="29"/>
        <v>3600000</v>
      </c>
      <c r="O789" s="58">
        <f>IFERROR(INDEX([1]INVENTORY!$I$6:$AI$262,MATCH($B789,[1]INVENTORY!$I$6:$I$262,0),9),"NA")</f>
        <v>0</v>
      </c>
      <c r="P789" s="58">
        <f>IFERROR(INDEX([1]INVENTORY!$I$6:$AI$262,MATCH($B789,[1]INVENTORY!$I$6:$I$262,0),10),"NA")</f>
        <v>3600000</v>
      </c>
      <c r="Q789" s="18"/>
    </row>
    <row r="790" spans="2:17" s="17" customFormat="1" ht="13.8">
      <c r="B790" s="55" t="s">
        <v>933</v>
      </c>
      <c r="C790" s="20" t="s">
        <v>1</v>
      </c>
      <c r="D790" s="22" t="s">
        <v>922</v>
      </c>
      <c r="E790" s="56" t="s">
        <v>22</v>
      </c>
      <c r="F790" s="20" t="str">
        <f t="shared" si="27"/>
        <v>Block 02</v>
      </c>
      <c r="G790" s="20" t="str">
        <f t="shared" si="28"/>
        <v>Lot 14</v>
      </c>
      <c r="H790" s="55">
        <v>55</v>
      </c>
      <c r="I790" s="57">
        <v>80</v>
      </c>
      <c r="J790" s="57" t="s">
        <v>743</v>
      </c>
      <c r="K790" s="20" t="s">
        <v>731</v>
      </c>
      <c r="L790" s="58">
        <f>IFERROR(INDEX([1]INVENTORY!$I$6:$AI$262,MATCH($B790,[1]INVENTORY!$I$6:$I$262,0),8),"NA")</f>
        <v>3600000</v>
      </c>
      <c r="M790" s="58"/>
      <c r="N790" s="58">
        <f t="shared" si="29"/>
        <v>3600000</v>
      </c>
      <c r="O790" s="58">
        <f>IFERROR(INDEX([1]INVENTORY!$I$6:$AI$262,MATCH($B790,[1]INVENTORY!$I$6:$I$262,0),9),"NA")</f>
        <v>0</v>
      </c>
      <c r="P790" s="58">
        <f>IFERROR(INDEX([1]INVENTORY!$I$6:$AI$262,MATCH($B790,[1]INVENTORY!$I$6:$I$262,0),10),"NA")</f>
        <v>3600000</v>
      </c>
      <c r="Q790" s="18"/>
    </row>
    <row r="791" spans="2:17" s="17" customFormat="1" ht="13.8">
      <c r="B791" s="55" t="s">
        <v>934</v>
      </c>
      <c r="C791" s="20" t="s">
        <v>1</v>
      </c>
      <c r="D791" s="22" t="s">
        <v>922</v>
      </c>
      <c r="E791" s="56" t="s">
        <v>22</v>
      </c>
      <c r="F791" s="20" t="str">
        <f t="shared" si="27"/>
        <v>Block 100</v>
      </c>
      <c r="G791" s="20" t="str">
        <f t="shared" si="28"/>
        <v>Lot 01</v>
      </c>
      <c r="H791" s="55">
        <v>55</v>
      </c>
      <c r="I791" s="57">
        <v>95</v>
      </c>
      <c r="J791" s="57" t="s">
        <v>730</v>
      </c>
      <c r="K791" s="20" t="s">
        <v>750</v>
      </c>
      <c r="L791" s="58">
        <f>IFERROR(INDEX([1]INVENTORY!$I$6:$AI$262,MATCH($B791,[1]INVENTORY!$I$6:$I$262,0),8),"NA")</f>
        <v>3600000</v>
      </c>
      <c r="M791" s="58"/>
      <c r="N791" s="58">
        <f t="shared" si="29"/>
        <v>3600000</v>
      </c>
      <c r="O791" s="58">
        <f>IFERROR(INDEX([1]INVENTORY!$I$6:$AI$262,MATCH($B791,[1]INVENTORY!$I$6:$I$262,0),9),"NA")</f>
        <v>0</v>
      </c>
      <c r="P791" s="58">
        <f>IFERROR(INDEX([1]INVENTORY!$I$6:$AI$262,MATCH($B791,[1]INVENTORY!$I$6:$I$262,0),10),"NA")</f>
        <v>3600000</v>
      </c>
      <c r="Q791" s="18"/>
    </row>
    <row r="792" spans="2:17" s="17" customFormat="1" ht="13.8">
      <c r="B792" s="55" t="s">
        <v>935</v>
      </c>
      <c r="C792" s="20" t="s">
        <v>1</v>
      </c>
      <c r="D792" s="22" t="s">
        <v>922</v>
      </c>
      <c r="E792" s="56" t="s">
        <v>22</v>
      </c>
      <c r="F792" s="20" t="str">
        <f t="shared" ref="F792:F855" si="30">"Block "&amp;TEXT(VALUE(MID(B792,8,3)),"00")</f>
        <v>Block 100</v>
      </c>
      <c r="G792" s="20" t="str">
        <f t="shared" ref="G792:G855" si="31">"Lot "&amp;TEXT(VALUE(RIGHT(B792,3)),"00")</f>
        <v>Lot 02</v>
      </c>
      <c r="H792" s="55">
        <v>55</v>
      </c>
      <c r="I792" s="57">
        <v>93</v>
      </c>
      <c r="J792" s="57" t="s">
        <v>730</v>
      </c>
      <c r="K792" s="20" t="s">
        <v>752</v>
      </c>
      <c r="L792" s="58">
        <f>IFERROR(INDEX([1]INVENTORY!$I$6:$AI$262,MATCH($B792,[1]INVENTORY!$I$6:$I$262,0),8),"NA")</f>
        <v>3600000</v>
      </c>
      <c r="M792" s="58"/>
      <c r="N792" s="58">
        <f t="shared" ref="N792:N857" si="32">L792-M792</f>
        <v>3600000</v>
      </c>
      <c r="O792" s="58">
        <f>IFERROR(INDEX([1]INVENTORY!$I$6:$AI$262,MATCH($B792,[1]INVENTORY!$I$6:$I$262,0),9),"NA")</f>
        <v>0</v>
      </c>
      <c r="P792" s="58">
        <f>IFERROR(INDEX([1]INVENTORY!$I$6:$AI$262,MATCH($B792,[1]INVENTORY!$I$6:$I$262,0),10),"NA")</f>
        <v>3600000</v>
      </c>
      <c r="Q792" s="18"/>
    </row>
    <row r="793" spans="2:17" s="17" customFormat="1" ht="13.8">
      <c r="B793" s="55" t="s">
        <v>936</v>
      </c>
      <c r="C793" s="20" t="s">
        <v>1</v>
      </c>
      <c r="D793" s="22" t="s">
        <v>922</v>
      </c>
      <c r="E793" s="56" t="s">
        <v>22</v>
      </c>
      <c r="F793" s="20" t="str">
        <f t="shared" si="30"/>
        <v>Block 100</v>
      </c>
      <c r="G793" s="20" t="str">
        <f t="shared" si="31"/>
        <v>Lot 03</v>
      </c>
      <c r="H793" s="55">
        <v>55</v>
      </c>
      <c r="I793" s="57">
        <v>94</v>
      </c>
      <c r="J793" s="57" t="s">
        <v>730</v>
      </c>
      <c r="K793" s="20" t="s">
        <v>731</v>
      </c>
      <c r="L793" s="58">
        <f>IFERROR(INDEX([1]INVENTORY!$I$6:$AI$262,MATCH($B793,[1]INVENTORY!$I$6:$I$262,0),8),"NA")</f>
        <v>3600000</v>
      </c>
      <c r="M793" s="58"/>
      <c r="N793" s="58">
        <f t="shared" si="32"/>
        <v>3600000</v>
      </c>
      <c r="O793" s="58">
        <f>IFERROR(INDEX([1]INVENTORY!$I$6:$AI$262,MATCH($B793,[1]INVENTORY!$I$6:$I$262,0),9),"NA")</f>
        <v>0</v>
      </c>
      <c r="P793" s="58">
        <f>IFERROR(INDEX([1]INVENTORY!$I$6:$AI$262,MATCH($B793,[1]INVENTORY!$I$6:$I$262,0),10),"NA")</f>
        <v>3600000</v>
      </c>
      <c r="Q793" s="18"/>
    </row>
    <row r="794" spans="2:17" s="17" customFormat="1" ht="13.8">
      <c r="B794" s="55" t="s">
        <v>937</v>
      </c>
      <c r="C794" s="20" t="s">
        <v>1</v>
      </c>
      <c r="D794" s="22" t="s">
        <v>922</v>
      </c>
      <c r="E794" s="56" t="s">
        <v>22</v>
      </c>
      <c r="F794" s="20" t="str">
        <f t="shared" si="30"/>
        <v>Block 100</v>
      </c>
      <c r="G794" s="20" t="str">
        <f t="shared" si="31"/>
        <v>Lot 04</v>
      </c>
      <c r="H794" s="55">
        <v>55</v>
      </c>
      <c r="I794" s="57">
        <v>94</v>
      </c>
      <c r="J794" s="57" t="s">
        <v>730</v>
      </c>
      <c r="K794" s="20" t="s">
        <v>733</v>
      </c>
      <c r="L794" s="58">
        <f>IFERROR(INDEX([1]INVENTORY!$I$6:$AI$262,MATCH($B794,[1]INVENTORY!$I$6:$I$262,0),8),"NA")</f>
        <v>3600000</v>
      </c>
      <c r="M794" s="58"/>
      <c r="N794" s="58">
        <f t="shared" si="32"/>
        <v>3600000</v>
      </c>
      <c r="O794" s="58">
        <f>IFERROR(INDEX([1]INVENTORY!$I$6:$AI$262,MATCH($B794,[1]INVENTORY!$I$6:$I$262,0),9),"NA")</f>
        <v>0</v>
      </c>
      <c r="P794" s="58">
        <f>IFERROR(INDEX([1]INVENTORY!$I$6:$AI$262,MATCH($B794,[1]INVENTORY!$I$6:$I$262,0),10),"NA")</f>
        <v>3600000</v>
      </c>
      <c r="Q794" s="18"/>
    </row>
    <row r="795" spans="2:17" s="17" customFormat="1" ht="13.8">
      <c r="B795" s="55" t="s">
        <v>938</v>
      </c>
      <c r="C795" s="20" t="s">
        <v>1</v>
      </c>
      <c r="D795" s="22" t="s">
        <v>922</v>
      </c>
      <c r="E795" s="56" t="s">
        <v>22</v>
      </c>
      <c r="F795" s="20" t="str">
        <f t="shared" si="30"/>
        <v>Block 100</v>
      </c>
      <c r="G795" s="20" t="str">
        <f t="shared" si="31"/>
        <v>Lot 05</v>
      </c>
      <c r="H795" s="55">
        <v>55</v>
      </c>
      <c r="I795" s="57">
        <v>99</v>
      </c>
      <c r="J795" s="57" t="s">
        <v>730</v>
      </c>
      <c r="K795" s="20" t="s">
        <v>733</v>
      </c>
      <c r="L795" s="58">
        <f>IFERROR(INDEX([1]INVENTORY!$I$6:$AI$262,MATCH($B795,[1]INVENTORY!$I$6:$I$262,0),8),"NA")</f>
        <v>4644500</v>
      </c>
      <c r="M795" s="58"/>
      <c r="N795" s="58">
        <f t="shared" si="32"/>
        <v>4644500</v>
      </c>
      <c r="O795" s="58">
        <f>IFERROR(INDEX([1]INVENTORY!$I$6:$AI$262,MATCH($B795,[1]INVENTORY!$I$6:$I$262,0),9),"NA")</f>
        <v>497625</v>
      </c>
      <c r="P795" s="58">
        <f>IFERROR(INDEX([1]INVENTORY!$I$6:$AI$262,MATCH($B795,[1]INVENTORY!$I$6:$I$262,0),10),"NA")</f>
        <v>4146875</v>
      </c>
      <c r="Q795" s="18"/>
    </row>
    <row r="796" spans="2:17" s="17" customFormat="1" ht="13.8">
      <c r="B796" s="55" t="s">
        <v>939</v>
      </c>
      <c r="C796" s="20" t="s">
        <v>1</v>
      </c>
      <c r="D796" s="22" t="s">
        <v>922</v>
      </c>
      <c r="E796" s="56" t="s">
        <v>22</v>
      </c>
      <c r="F796" s="20" t="str">
        <f t="shared" si="30"/>
        <v>Block 100</v>
      </c>
      <c r="G796" s="20" t="str">
        <f t="shared" si="31"/>
        <v>Lot 06</v>
      </c>
      <c r="H796" s="55">
        <v>55</v>
      </c>
      <c r="I796" s="57">
        <v>118</v>
      </c>
      <c r="J796" s="57" t="s">
        <v>730</v>
      </c>
      <c r="K796" s="20" t="s">
        <v>731</v>
      </c>
      <c r="L796" s="58">
        <f>IFERROR(INDEX([1]INVENTORY!$I$6:$AI$262,MATCH($B796,[1]INVENTORY!$I$6:$I$262,0),8),"NA")</f>
        <v>4600000</v>
      </c>
      <c r="M796" s="58"/>
      <c r="N796" s="58">
        <f t="shared" si="32"/>
        <v>4600000</v>
      </c>
      <c r="O796" s="58">
        <f>IFERROR(INDEX([1]INVENTORY!$I$6:$AI$262,MATCH($B796,[1]INVENTORY!$I$6:$I$262,0),9),"NA")</f>
        <v>492857.14285714284</v>
      </c>
      <c r="P796" s="58">
        <f>IFERROR(INDEX([1]INVENTORY!$I$6:$AI$262,MATCH($B796,[1]INVENTORY!$I$6:$I$262,0),10),"NA")</f>
        <v>4107142.8571428573</v>
      </c>
      <c r="Q796" s="18"/>
    </row>
    <row r="797" spans="2:17" s="17" customFormat="1" ht="13.8">
      <c r="B797" s="55" t="s">
        <v>940</v>
      </c>
      <c r="C797" s="20" t="s">
        <v>1</v>
      </c>
      <c r="D797" s="22" t="s">
        <v>922</v>
      </c>
      <c r="E797" s="56" t="s">
        <v>22</v>
      </c>
      <c r="F797" s="20" t="str">
        <f t="shared" si="30"/>
        <v>Block 01</v>
      </c>
      <c r="G797" s="20" t="str">
        <f t="shared" si="31"/>
        <v>Lot 02</v>
      </c>
      <c r="H797" s="55">
        <v>55</v>
      </c>
      <c r="I797" s="57">
        <v>81</v>
      </c>
      <c r="J797" s="57" t="s">
        <v>743</v>
      </c>
      <c r="K797" s="20" t="s">
        <v>733</v>
      </c>
      <c r="L797" s="58">
        <f>IFERROR(INDEX([1]INVENTORY!$I$6:$AI$262,MATCH($B797,[1]INVENTORY!$I$6:$I$262,0),8),"NA")</f>
        <v>3600000</v>
      </c>
      <c r="M797" s="58"/>
      <c r="N797" s="58">
        <f t="shared" si="32"/>
        <v>3600000</v>
      </c>
      <c r="O797" s="58">
        <f>IFERROR(INDEX([1]INVENTORY!$I$6:$AI$262,MATCH($B797,[1]INVENTORY!$I$6:$I$262,0),9),"NA")</f>
        <v>0</v>
      </c>
      <c r="P797" s="58">
        <f>IFERROR(INDEX([1]INVENTORY!$I$6:$AI$262,MATCH($B797,[1]INVENTORY!$I$6:$I$262,0),10),"NA")</f>
        <v>3600000</v>
      </c>
      <c r="Q797" s="18"/>
    </row>
    <row r="798" spans="2:17" s="17" customFormat="1" ht="13.8">
      <c r="B798" s="55" t="s">
        <v>941</v>
      </c>
      <c r="C798" s="20" t="s">
        <v>1</v>
      </c>
      <c r="D798" s="22" t="s">
        <v>922</v>
      </c>
      <c r="E798" s="56" t="s">
        <v>22</v>
      </c>
      <c r="F798" s="20" t="str">
        <f t="shared" si="30"/>
        <v>Block 01</v>
      </c>
      <c r="G798" s="20" t="str">
        <f t="shared" si="31"/>
        <v>Lot 03</v>
      </c>
      <c r="H798" s="55">
        <v>55</v>
      </c>
      <c r="I798" s="57">
        <v>81</v>
      </c>
      <c r="J798" s="57" t="s">
        <v>743</v>
      </c>
      <c r="K798" s="20" t="s">
        <v>731</v>
      </c>
      <c r="L798" s="58">
        <f>IFERROR(INDEX([1]INVENTORY!$I$6:$AI$262,MATCH($B798,[1]INVENTORY!$I$6:$I$262,0),8),"NA")</f>
        <v>3600000</v>
      </c>
      <c r="M798" s="58"/>
      <c r="N798" s="58">
        <f t="shared" si="32"/>
        <v>3600000</v>
      </c>
      <c r="O798" s="58">
        <f>IFERROR(INDEX([1]INVENTORY!$I$6:$AI$262,MATCH($B798,[1]INVENTORY!$I$6:$I$262,0),9),"NA")</f>
        <v>0</v>
      </c>
      <c r="P798" s="58">
        <f>IFERROR(INDEX([1]INVENTORY!$I$6:$AI$262,MATCH($B798,[1]INVENTORY!$I$6:$I$262,0),10),"NA")</f>
        <v>3600000</v>
      </c>
      <c r="Q798" s="18"/>
    </row>
    <row r="799" spans="2:17" s="17" customFormat="1" ht="13.8">
      <c r="B799" s="55" t="s">
        <v>942</v>
      </c>
      <c r="C799" s="20" t="s">
        <v>1</v>
      </c>
      <c r="D799" s="22" t="s">
        <v>922</v>
      </c>
      <c r="E799" s="56" t="s">
        <v>22</v>
      </c>
      <c r="F799" s="20" t="str">
        <f t="shared" si="30"/>
        <v>Block 01</v>
      </c>
      <c r="G799" s="20" t="str">
        <f t="shared" si="31"/>
        <v>Lot 04</v>
      </c>
      <c r="H799" s="55">
        <v>55</v>
      </c>
      <c r="I799" s="57">
        <v>98</v>
      </c>
      <c r="J799" s="57" t="s">
        <v>730</v>
      </c>
      <c r="K799" s="20" t="s">
        <v>737</v>
      </c>
      <c r="L799" s="58">
        <f>IFERROR(INDEX([1]INVENTORY!$I$6:$AI$262,MATCH($B799,[1]INVENTORY!$I$6:$I$262,0),8),"NA")</f>
        <v>4634000</v>
      </c>
      <c r="M799" s="58"/>
      <c r="N799" s="58">
        <f t="shared" si="32"/>
        <v>4634000</v>
      </c>
      <c r="O799" s="58">
        <f>IFERROR(INDEX([1]INVENTORY!$I$6:$AI$262,MATCH($B799,[1]INVENTORY!$I$6:$I$262,0),9),"NA")</f>
        <v>496500</v>
      </c>
      <c r="P799" s="58">
        <f>IFERROR(INDEX([1]INVENTORY!$I$6:$AI$262,MATCH($B799,[1]INVENTORY!$I$6:$I$262,0),10),"NA")</f>
        <v>4137500</v>
      </c>
      <c r="Q799" s="18"/>
    </row>
    <row r="800" spans="2:17" s="17" customFormat="1" ht="13.8">
      <c r="B800" s="55" t="s">
        <v>943</v>
      </c>
      <c r="C800" s="20" t="s">
        <v>1</v>
      </c>
      <c r="D800" s="22" t="s">
        <v>922</v>
      </c>
      <c r="E800" s="56" t="s">
        <v>22</v>
      </c>
      <c r="F800" s="20" t="str">
        <f t="shared" si="30"/>
        <v>Block 01</v>
      </c>
      <c r="G800" s="20" t="str">
        <f t="shared" si="31"/>
        <v>Lot 05</v>
      </c>
      <c r="H800" s="55">
        <v>55</v>
      </c>
      <c r="I800" s="57">
        <v>82</v>
      </c>
      <c r="J800" s="57" t="s">
        <v>743</v>
      </c>
      <c r="K800" s="20" t="s">
        <v>735</v>
      </c>
      <c r="L800" s="58">
        <f>IFERROR(INDEX([1]INVENTORY!$I$6:$AI$262,MATCH($B800,[1]INVENTORY!$I$6:$I$262,0),8),"NA")</f>
        <v>3600000</v>
      </c>
      <c r="M800" s="58"/>
      <c r="N800" s="58">
        <f t="shared" si="32"/>
        <v>3600000</v>
      </c>
      <c r="O800" s="58">
        <f>IFERROR(INDEX([1]INVENTORY!$I$6:$AI$262,MATCH($B800,[1]INVENTORY!$I$6:$I$262,0),9),"NA")</f>
        <v>0</v>
      </c>
      <c r="P800" s="58">
        <f>IFERROR(INDEX([1]INVENTORY!$I$6:$AI$262,MATCH($B800,[1]INVENTORY!$I$6:$I$262,0),10),"NA")</f>
        <v>3600000</v>
      </c>
      <c r="Q800" s="18"/>
    </row>
    <row r="801" spans="2:17" s="17" customFormat="1" ht="13.8">
      <c r="B801" s="55" t="s">
        <v>944</v>
      </c>
      <c r="C801" s="20" t="s">
        <v>1</v>
      </c>
      <c r="D801" s="22" t="s">
        <v>922</v>
      </c>
      <c r="E801" s="56" t="s">
        <v>22</v>
      </c>
      <c r="F801" s="20" t="str">
        <f t="shared" si="30"/>
        <v>Block 02</v>
      </c>
      <c r="G801" s="20" t="str">
        <f t="shared" si="31"/>
        <v>Lot 01</v>
      </c>
      <c r="H801" s="55">
        <v>55</v>
      </c>
      <c r="I801" s="57">
        <v>80</v>
      </c>
      <c r="J801" s="57" t="s">
        <v>743</v>
      </c>
      <c r="K801" s="20" t="s">
        <v>733</v>
      </c>
      <c r="L801" s="58">
        <f>IFERROR(INDEX([1]INVENTORY!$I$6:$AI$262,MATCH($B801,[1]INVENTORY!$I$6:$I$262,0),8),"NA")</f>
        <v>3600000</v>
      </c>
      <c r="M801" s="58"/>
      <c r="N801" s="58">
        <f t="shared" si="32"/>
        <v>3600000</v>
      </c>
      <c r="O801" s="58">
        <f>IFERROR(INDEX([1]INVENTORY!$I$6:$AI$262,MATCH($B801,[1]INVENTORY!$I$6:$I$262,0),9),"NA")</f>
        <v>0</v>
      </c>
      <c r="P801" s="58">
        <f>IFERROR(INDEX([1]INVENTORY!$I$6:$AI$262,MATCH($B801,[1]INVENTORY!$I$6:$I$262,0),10),"NA")</f>
        <v>3600000</v>
      </c>
      <c r="Q801" s="18"/>
    </row>
    <row r="802" spans="2:17" s="17" customFormat="1" ht="13.8">
      <c r="B802" s="55" t="s">
        <v>945</v>
      </c>
      <c r="C802" s="20" t="s">
        <v>1</v>
      </c>
      <c r="D802" s="22" t="s">
        <v>922</v>
      </c>
      <c r="E802" s="56" t="s">
        <v>22</v>
      </c>
      <c r="F802" s="20" t="str">
        <f t="shared" si="30"/>
        <v>Block 02</v>
      </c>
      <c r="G802" s="20" t="str">
        <f t="shared" si="31"/>
        <v>Lot 02</v>
      </c>
      <c r="H802" s="55">
        <v>55</v>
      </c>
      <c r="I802" s="57">
        <v>80</v>
      </c>
      <c r="J802" s="57" t="s">
        <v>743</v>
      </c>
      <c r="K802" s="20" t="s">
        <v>731</v>
      </c>
      <c r="L802" s="58">
        <f>IFERROR(INDEX([1]INVENTORY!$I$6:$AI$262,MATCH($B802,[1]INVENTORY!$I$6:$I$262,0),8),"NA")</f>
        <v>3600000</v>
      </c>
      <c r="M802" s="58"/>
      <c r="N802" s="58">
        <f t="shared" si="32"/>
        <v>3600000</v>
      </c>
      <c r="O802" s="58">
        <f>IFERROR(INDEX([1]INVENTORY!$I$6:$AI$262,MATCH($B802,[1]INVENTORY!$I$6:$I$262,0),9),"NA")</f>
        <v>0</v>
      </c>
      <c r="P802" s="58">
        <f>IFERROR(INDEX([1]INVENTORY!$I$6:$AI$262,MATCH($B802,[1]INVENTORY!$I$6:$I$262,0),10),"NA")</f>
        <v>3600000</v>
      </c>
      <c r="Q802" s="18"/>
    </row>
    <row r="803" spans="2:17" s="17" customFormat="1" ht="13.8">
      <c r="B803" s="55" t="s">
        <v>946</v>
      </c>
      <c r="C803" s="20" t="s">
        <v>1</v>
      </c>
      <c r="D803" s="22" t="s">
        <v>922</v>
      </c>
      <c r="E803" s="56" t="s">
        <v>22</v>
      </c>
      <c r="F803" s="20" t="str">
        <f t="shared" si="30"/>
        <v>Block 02</v>
      </c>
      <c r="G803" s="20" t="str">
        <f t="shared" si="31"/>
        <v>Lot 15</v>
      </c>
      <c r="H803" s="55">
        <v>55</v>
      </c>
      <c r="I803" s="57">
        <v>80</v>
      </c>
      <c r="J803" s="57" t="s">
        <v>743</v>
      </c>
      <c r="K803" s="20" t="s">
        <v>731</v>
      </c>
      <c r="L803" s="58">
        <f>IFERROR(INDEX([1]INVENTORY!$I$6:$AI$262,MATCH($B803,[1]INVENTORY!$I$6:$I$262,0),8),"NA")</f>
        <v>3600000</v>
      </c>
      <c r="M803" s="58"/>
      <c r="N803" s="58">
        <f t="shared" si="32"/>
        <v>3600000</v>
      </c>
      <c r="O803" s="58">
        <f>IFERROR(INDEX([1]INVENTORY!$I$6:$AI$262,MATCH($B803,[1]INVENTORY!$I$6:$I$262,0),9),"NA")</f>
        <v>0</v>
      </c>
      <c r="P803" s="58">
        <f>IFERROR(INDEX([1]INVENTORY!$I$6:$AI$262,MATCH($B803,[1]INVENTORY!$I$6:$I$262,0),10),"NA")</f>
        <v>3600000</v>
      </c>
      <c r="Q803" s="18"/>
    </row>
    <row r="804" spans="2:17" s="17" customFormat="1" ht="13.8">
      <c r="B804" s="55" t="s">
        <v>947</v>
      </c>
      <c r="C804" s="20" t="s">
        <v>1</v>
      </c>
      <c r="D804" s="22" t="s">
        <v>922</v>
      </c>
      <c r="E804" s="56" t="s">
        <v>22</v>
      </c>
      <c r="F804" s="20" t="str">
        <f t="shared" si="30"/>
        <v>Block 02</v>
      </c>
      <c r="G804" s="20" t="str">
        <f t="shared" si="31"/>
        <v>Lot 16</v>
      </c>
      <c r="H804" s="55">
        <v>55</v>
      </c>
      <c r="I804" s="57">
        <v>80</v>
      </c>
      <c r="J804" s="57" t="s">
        <v>743</v>
      </c>
      <c r="K804" s="20" t="s">
        <v>733</v>
      </c>
      <c r="L804" s="58">
        <f>IFERROR(INDEX([1]INVENTORY!$I$6:$AI$262,MATCH($B804,[1]INVENTORY!$I$6:$I$262,0),8),"NA")</f>
        <v>3600000</v>
      </c>
      <c r="M804" s="58"/>
      <c r="N804" s="58">
        <f t="shared" si="32"/>
        <v>3600000</v>
      </c>
      <c r="O804" s="58">
        <f>IFERROR(INDEX([1]INVENTORY!$I$6:$AI$262,MATCH($B804,[1]INVENTORY!$I$6:$I$262,0),9),"NA")</f>
        <v>0</v>
      </c>
      <c r="P804" s="58">
        <f>IFERROR(INDEX([1]INVENTORY!$I$6:$AI$262,MATCH($B804,[1]INVENTORY!$I$6:$I$262,0),10),"NA")</f>
        <v>3600000</v>
      </c>
      <c r="Q804" s="18"/>
    </row>
    <row r="805" spans="2:17" s="17" customFormat="1" ht="13.8">
      <c r="B805" s="55" t="s">
        <v>948</v>
      </c>
      <c r="C805" s="20" t="s">
        <v>1</v>
      </c>
      <c r="D805" s="22" t="s">
        <v>922</v>
      </c>
      <c r="E805" s="56" t="s">
        <v>22</v>
      </c>
      <c r="F805" s="20" t="str">
        <f t="shared" si="30"/>
        <v>Block 02</v>
      </c>
      <c r="G805" s="20" t="str">
        <f t="shared" si="31"/>
        <v>Lot 17</v>
      </c>
      <c r="H805" s="55">
        <v>55</v>
      </c>
      <c r="I805" s="57">
        <v>80</v>
      </c>
      <c r="J805" s="57" t="s">
        <v>743</v>
      </c>
      <c r="K805" s="20" t="s">
        <v>750</v>
      </c>
      <c r="L805" s="58">
        <f>IFERROR(INDEX([1]INVENTORY!$I$6:$AI$262,MATCH($B805,[1]INVENTORY!$I$6:$I$262,0),8),"NA")</f>
        <v>3600000</v>
      </c>
      <c r="M805" s="58"/>
      <c r="N805" s="58">
        <f t="shared" si="32"/>
        <v>3600000</v>
      </c>
      <c r="O805" s="58">
        <f>IFERROR(INDEX([1]INVENTORY!$I$6:$AI$262,MATCH($B805,[1]INVENTORY!$I$6:$I$262,0),9),"NA")</f>
        <v>0</v>
      </c>
      <c r="P805" s="58">
        <f>IFERROR(INDEX([1]INVENTORY!$I$6:$AI$262,MATCH($B805,[1]INVENTORY!$I$6:$I$262,0),10),"NA")</f>
        <v>3600000</v>
      </c>
      <c r="Q805" s="18"/>
    </row>
    <row r="806" spans="2:17" s="17" customFormat="1" ht="13.8">
      <c r="B806" s="55" t="s">
        <v>949</v>
      </c>
      <c r="C806" s="20" t="s">
        <v>1</v>
      </c>
      <c r="D806" s="22" t="s">
        <v>922</v>
      </c>
      <c r="E806" s="56" t="s">
        <v>22</v>
      </c>
      <c r="F806" s="20" t="str">
        <f t="shared" si="30"/>
        <v>Block 02</v>
      </c>
      <c r="G806" s="20" t="str">
        <f t="shared" si="31"/>
        <v>Lot 18</v>
      </c>
      <c r="H806" s="55">
        <v>55</v>
      </c>
      <c r="I806" s="57">
        <v>80</v>
      </c>
      <c r="J806" s="57" t="s">
        <v>743</v>
      </c>
      <c r="K806" s="20" t="s">
        <v>752</v>
      </c>
      <c r="L806" s="58">
        <f>IFERROR(INDEX([1]INVENTORY!$I$6:$AI$262,MATCH($B806,[1]INVENTORY!$I$6:$I$262,0),8),"NA")</f>
        <v>3600000</v>
      </c>
      <c r="M806" s="58"/>
      <c r="N806" s="58">
        <f t="shared" si="32"/>
        <v>3600000</v>
      </c>
      <c r="O806" s="58">
        <f>IFERROR(INDEX([1]INVENTORY!$I$6:$AI$262,MATCH($B806,[1]INVENTORY!$I$6:$I$262,0),9),"NA")</f>
        <v>0</v>
      </c>
      <c r="P806" s="58">
        <f>IFERROR(INDEX([1]INVENTORY!$I$6:$AI$262,MATCH($B806,[1]INVENTORY!$I$6:$I$262,0),10),"NA")</f>
        <v>3600000</v>
      </c>
      <c r="Q806" s="18"/>
    </row>
    <row r="807" spans="2:17" s="17" customFormat="1" ht="13.8">
      <c r="B807" s="55" t="s">
        <v>950</v>
      </c>
      <c r="C807" s="20" t="s">
        <v>1</v>
      </c>
      <c r="D807" s="22" t="s">
        <v>922</v>
      </c>
      <c r="E807" s="56" t="s">
        <v>22</v>
      </c>
      <c r="F807" s="20" t="str">
        <f t="shared" si="30"/>
        <v>Block 02</v>
      </c>
      <c r="G807" s="20" t="str">
        <f t="shared" si="31"/>
        <v>Lot 19</v>
      </c>
      <c r="H807" s="55">
        <v>55</v>
      </c>
      <c r="I807" s="57">
        <v>80</v>
      </c>
      <c r="J807" s="57" t="s">
        <v>743</v>
      </c>
      <c r="K807" s="20" t="s">
        <v>752</v>
      </c>
      <c r="L807" s="58">
        <f>IFERROR(INDEX([1]INVENTORY!$I$6:$AI$262,MATCH($B807,[1]INVENTORY!$I$6:$I$262,0),8),"NA")</f>
        <v>3600000</v>
      </c>
      <c r="M807" s="58"/>
      <c r="N807" s="58">
        <f t="shared" si="32"/>
        <v>3600000</v>
      </c>
      <c r="O807" s="58">
        <f>IFERROR(INDEX([1]INVENTORY!$I$6:$AI$262,MATCH($B807,[1]INVENTORY!$I$6:$I$262,0),9),"NA")</f>
        <v>0</v>
      </c>
      <c r="P807" s="58">
        <f>IFERROR(INDEX([1]INVENTORY!$I$6:$AI$262,MATCH($B807,[1]INVENTORY!$I$6:$I$262,0),10),"NA")</f>
        <v>3600000</v>
      </c>
      <c r="Q807" s="18"/>
    </row>
    <row r="808" spans="2:17" s="17" customFormat="1" ht="13.8">
      <c r="B808" s="55" t="s">
        <v>951</v>
      </c>
      <c r="C808" s="20" t="s">
        <v>1</v>
      </c>
      <c r="D808" s="22" t="s">
        <v>922</v>
      </c>
      <c r="E808" s="56" t="s">
        <v>22</v>
      </c>
      <c r="F808" s="20" t="str">
        <f t="shared" si="30"/>
        <v>Block 08</v>
      </c>
      <c r="G808" s="20" t="str">
        <f t="shared" si="31"/>
        <v>Lot 02</v>
      </c>
      <c r="H808" s="55">
        <v>55</v>
      </c>
      <c r="I808" s="57">
        <v>80</v>
      </c>
      <c r="J808" s="57" t="s">
        <v>743</v>
      </c>
      <c r="K808" s="20" t="s">
        <v>750</v>
      </c>
      <c r="L808" s="58">
        <f>IFERROR(INDEX([1]INVENTORY!$I$6:$AI$262,MATCH($B808,[1]INVENTORY!$I$6:$I$262,0),8),"NA")</f>
        <v>3600000</v>
      </c>
      <c r="M808" s="58"/>
      <c r="N808" s="58">
        <f t="shared" si="32"/>
        <v>3600000</v>
      </c>
      <c r="O808" s="58">
        <f>IFERROR(INDEX([1]INVENTORY!$I$6:$AI$262,MATCH($B808,[1]INVENTORY!$I$6:$I$262,0),9),"NA")</f>
        <v>0</v>
      </c>
      <c r="P808" s="58">
        <f>IFERROR(INDEX([1]INVENTORY!$I$6:$AI$262,MATCH($B808,[1]INVENTORY!$I$6:$I$262,0),10),"NA")</f>
        <v>3600000</v>
      </c>
      <c r="Q808" s="18"/>
    </row>
    <row r="809" spans="2:17" s="17" customFormat="1" ht="13.8">
      <c r="B809" s="55" t="s">
        <v>952</v>
      </c>
      <c r="C809" s="20" t="s">
        <v>1</v>
      </c>
      <c r="D809" s="22" t="s">
        <v>922</v>
      </c>
      <c r="E809" s="56" t="s">
        <v>22</v>
      </c>
      <c r="F809" s="20" t="str">
        <f t="shared" si="30"/>
        <v>Block 08</v>
      </c>
      <c r="G809" s="20" t="str">
        <f t="shared" si="31"/>
        <v>Lot 03</v>
      </c>
      <c r="H809" s="55">
        <v>55</v>
      </c>
      <c r="I809" s="57">
        <v>83</v>
      </c>
      <c r="J809" s="57" t="s">
        <v>743</v>
      </c>
      <c r="K809" s="20" t="s">
        <v>752</v>
      </c>
      <c r="L809" s="58">
        <f>IFERROR(INDEX([1]INVENTORY!$I$6:$AI$262,MATCH($B809,[1]INVENTORY!$I$6:$I$262,0),8),"NA")</f>
        <v>3600000</v>
      </c>
      <c r="M809" s="58"/>
      <c r="N809" s="58">
        <f t="shared" si="32"/>
        <v>3600000</v>
      </c>
      <c r="O809" s="58">
        <f>IFERROR(INDEX([1]INVENTORY!$I$6:$AI$262,MATCH($B809,[1]INVENTORY!$I$6:$I$262,0),9),"NA")</f>
        <v>0</v>
      </c>
      <c r="P809" s="58">
        <f>IFERROR(INDEX([1]INVENTORY!$I$6:$AI$262,MATCH($B809,[1]INVENTORY!$I$6:$I$262,0),10),"NA")</f>
        <v>3600000</v>
      </c>
      <c r="Q809" s="18"/>
    </row>
    <row r="810" spans="2:17" s="17" customFormat="1" ht="13.8">
      <c r="B810" s="55" t="s">
        <v>953</v>
      </c>
      <c r="C810" s="20" t="s">
        <v>1</v>
      </c>
      <c r="D810" s="22" t="s">
        <v>922</v>
      </c>
      <c r="E810" s="56" t="s">
        <v>22</v>
      </c>
      <c r="F810" s="20" t="str">
        <f t="shared" si="30"/>
        <v>Block 08</v>
      </c>
      <c r="G810" s="20" t="str">
        <f t="shared" si="31"/>
        <v>Lot 04</v>
      </c>
      <c r="H810" s="55">
        <v>55</v>
      </c>
      <c r="I810" s="57">
        <v>80</v>
      </c>
      <c r="J810" s="57" t="s">
        <v>743</v>
      </c>
      <c r="K810" s="20" t="s">
        <v>737</v>
      </c>
      <c r="L810" s="58">
        <f>IFERROR(INDEX([1]INVENTORY!$I$6:$AI$262,MATCH($B810,[1]INVENTORY!$I$6:$I$262,0),8),"NA")</f>
        <v>3600000</v>
      </c>
      <c r="M810" s="58"/>
      <c r="N810" s="58">
        <f t="shared" si="32"/>
        <v>3600000</v>
      </c>
      <c r="O810" s="58">
        <f>IFERROR(INDEX([1]INVENTORY!$I$6:$AI$262,MATCH($B810,[1]INVENTORY!$I$6:$I$262,0),9),"NA")</f>
        <v>0</v>
      </c>
      <c r="P810" s="58">
        <f>IFERROR(INDEX([1]INVENTORY!$I$6:$AI$262,MATCH($B810,[1]INVENTORY!$I$6:$I$262,0),10),"NA")</f>
        <v>3600000</v>
      </c>
      <c r="Q810" s="18"/>
    </row>
    <row r="811" spans="2:17" s="17" customFormat="1" ht="13.8">
      <c r="B811" s="55" t="s">
        <v>954</v>
      </c>
      <c r="C811" s="20" t="s">
        <v>1</v>
      </c>
      <c r="D811" s="22" t="s">
        <v>922</v>
      </c>
      <c r="E811" s="56" t="s">
        <v>22</v>
      </c>
      <c r="F811" s="20" t="str">
        <f t="shared" si="30"/>
        <v>Block 08</v>
      </c>
      <c r="G811" s="20" t="str">
        <f t="shared" si="31"/>
        <v>Lot 05</v>
      </c>
      <c r="H811" s="55">
        <v>55</v>
      </c>
      <c r="I811" s="57">
        <v>93</v>
      </c>
      <c r="J811" s="57" t="s">
        <v>730</v>
      </c>
      <c r="K811" s="20" t="s">
        <v>735</v>
      </c>
      <c r="L811" s="58">
        <f>IFERROR(INDEX([1]INVENTORY!$I$6:$AI$262,MATCH($B811,[1]INVENTORY!$I$6:$I$262,0),8),"NA")</f>
        <v>3600000</v>
      </c>
      <c r="M811" s="58"/>
      <c r="N811" s="58">
        <f t="shared" si="32"/>
        <v>3600000</v>
      </c>
      <c r="O811" s="58">
        <f>IFERROR(INDEX([1]INVENTORY!$I$6:$AI$262,MATCH($B811,[1]INVENTORY!$I$6:$I$262,0),9),"NA")</f>
        <v>0</v>
      </c>
      <c r="P811" s="58">
        <f>IFERROR(INDEX([1]INVENTORY!$I$6:$AI$262,MATCH($B811,[1]INVENTORY!$I$6:$I$262,0),10),"NA")</f>
        <v>3600000</v>
      </c>
      <c r="Q811" s="18"/>
    </row>
    <row r="812" spans="2:17" s="17" customFormat="1" ht="13.8">
      <c r="B812" s="55" t="s">
        <v>955</v>
      </c>
      <c r="C812" s="20" t="s">
        <v>1</v>
      </c>
      <c r="D812" s="22" t="s">
        <v>922</v>
      </c>
      <c r="E812" s="56" t="s">
        <v>22</v>
      </c>
      <c r="F812" s="20" t="str">
        <f t="shared" si="30"/>
        <v>Block 02</v>
      </c>
      <c r="G812" s="20" t="str">
        <f t="shared" si="31"/>
        <v>Lot 20</v>
      </c>
      <c r="H812" s="55">
        <v>55</v>
      </c>
      <c r="I812" s="57">
        <v>80</v>
      </c>
      <c r="J812" s="57" t="s">
        <v>743</v>
      </c>
      <c r="K812" s="20" t="s">
        <v>750</v>
      </c>
      <c r="L812" s="58">
        <f>IFERROR(INDEX([1]INVENTORY!$I$6:$AI$262,MATCH($B812,[1]INVENTORY!$I$6:$I$262,0),8),"NA")</f>
        <v>3600000</v>
      </c>
      <c r="M812" s="58"/>
      <c r="N812" s="58">
        <f t="shared" si="32"/>
        <v>3600000</v>
      </c>
      <c r="O812" s="58">
        <f>IFERROR(INDEX([1]INVENTORY!$I$6:$AI$262,MATCH($B812,[1]INVENTORY!$I$6:$I$262,0),9),"NA")</f>
        <v>0</v>
      </c>
      <c r="P812" s="58">
        <f>IFERROR(INDEX([1]INVENTORY!$I$6:$AI$262,MATCH($B812,[1]INVENTORY!$I$6:$I$262,0),10),"NA")</f>
        <v>3600000</v>
      </c>
      <c r="Q812" s="18"/>
    </row>
    <row r="813" spans="2:17" s="17" customFormat="1" ht="13.8">
      <c r="B813" s="55" t="s">
        <v>956</v>
      </c>
      <c r="C813" s="20" t="s">
        <v>1</v>
      </c>
      <c r="D813" s="22" t="s">
        <v>922</v>
      </c>
      <c r="E813" s="56" t="s">
        <v>22</v>
      </c>
      <c r="F813" s="20" t="str">
        <f t="shared" si="30"/>
        <v>Block 02</v>
      </c>
      <c r="G813" s="20" t="str">
        <f t="shared" si="31"/>
        <v>Lot 21</v>
      </c>
      <c r="H813" s="55">
        <v>55</v>
      </c>
      <c r="I813" s="57">
        <v>80</v>
      </c>
      <c r="J813" s="57" t="s">
        <v>743</v>
      </c>
      <c r="K813" s="20" t="s">
        <v>735</v>
      </c>
      <c r="L813" s="58">
        <f>IFERROR(INDEX([1]INVENTORY!$I$6:$AI$262,MATCH($B813,[1]INVENTORY!$I$6:$I$262,0),8),"NA")</f>
        <v>3600000</v>
      </c>
      <c r="M813" s="58"/>
      <c r="N813" s="58">
        <f t="shared" si="32"/>
        <v>3600000</v>
      </c>
      <c r="O813" s="58">
        <f>IFERROR(INDEX([1]INVENTORY!$I$6:$AI$262,MATCH($B813,[1]INVENTORY!$I$6:$I$262,0),9),"NA")</f>
        <v>0</v>
      </c>
      <c r="P813" s="58">
        <f>IFERROR(INDEX([1]INVENTORY!$I$6:$AI$262,MATCH($B813,[1]INVENTORY!$I$6:$I$262,0),10),"NA")</f>
        <v>3600000</v>
      </c>
      <c r="Q813" s="18"/>
    </row>
    <row r="814" spans="2:17" s="17" customFormat="1" ht="13.8">
      <c r="B814" s="55" t="s">
        <v>957</v>
      </c>
      <c r="C814" s="20" t="s">
        <v>1</v>
      </c>
      <c r="D814" s="22" t="s">
        <v>922</v>
      </c>
      <c r="E814" s="56" t="s">
        <v>22</v>
      </c>
      <c r="F814" s="20" t="str">
        <f t="shared" si="30"/>
        <v>Block 02</v>
      </c>
      <c r="G814" s="20" t="str">
        <f t="shared" si="31"/>
        <v>Lot 22</v>
      </c>
      <c r="H814" s="55">
        <v>55</v>
      </c>
      <c r="I814" s="57">
        <v>80</v>
      </c>
      <c r="J814" s="57" t="s">
        <v>743</v>
      </c>
      <c r="K814" s="20" t="s">
        <v>737</v>
      </c>
      <c r="L814" s="58">
        <f>IFERROR(INDEX([1]INVENTORY!$I$6:$AI$262,MATCH($B814,[1]INVENTORY!$I$6:$I$262,0),8),"NA")</f>
        <v>3600000</v>
      </c>
      <c r="M814" s="58"/>
      <c r="N814" s="58">
        <f t="shared" si="32"/>
        <v>3600000</v>
      </c>
      <c r="O814" s="58">
        <f>IFERROR(INDEX([1]INVENTORY!$I$6:$AI$262,MATCH($B814,[1]INVENTORY!$I$6:$I$262,0),9),"NA")</f>
        <v>0</v>
      </c>
      <c r="P814" s="58">
        <f>IFERROR(INDEX([1]INVENTORY!$I$6:$AI$262,MATCH($B814,[1]INVENTORY!$I$6:$I$262,0),10),"NA")</f>
        <v>3600000</v>
      </c>
      <c r="Q814" s="18"/>
    </row>
    <row r="815" spans="2:17" s="17" customFormat="1" ht="13.8">
      <c r="B815" s="55" t="s">
        <v>958</v>
      </c>
      <c r="C815" s="20" t="s">
        <v>1</v>
      </c>
      <c r="D815" s="22" t="s">
        <v>922</v>
      </c>
      <c r="E815" s="56" t="s">
        <v>22</v>
      </c>
      <c r="F815" s="20" t="str">
        <f t="shared" si="30"/>
        <v>Block 02</v>
      </c>
      <c r="G815" s="20" t="str">
        <f t="shared" si="31"/>
        <v>Lot 23</v>
      </c>
      <c r="H815" s="55">
        <v>55</v>
      </c>
      <c r="I815" s="57">
        <v>80</v>
      </c>
      <c r="J815" s="57" t="s">
        <v>743</v>
      </c>
      <c r="K815" s="20" t="s">
        <v>737</v>
      </c>
      <c r="L815" s="58">
        <f>IFERROR(INDEX([1]INVENTORY!$I$6:$AI$262,MATCH($B815,[1]INVENTORY!$I$6:$I$262,0),8),"NA")</f>
        <v>3600000</v>
      </c>
      <c r="M815" s="58"/>
      <c r="N815" s="58">
        <f t="shared" si="32"/>
        <v>3600000</v>
      </c>
      <c r="O815" s="58">
        <f>IFERROR(INDEX([1]INVENTORY!$I$6:$AI$262,MATCH($B815,[1]INVENTORY!$I$6:$I$262,0),9),"NA")</f>
        <v>0</v>
      </c>
      <c r="P815" s="58">
        <f>IFERROR(INDEX([1]INVENTORY!$I$6:$AI$262,MATCH($B815,[1]INVENTORY!$I$6:$I$262,0),10),"NA")</f>
        <v>3600000</v>
      </c>
      <c r="Q815" s="18"/>
    </row>
    <row r="816" spans="2:17" s="17" customFormat="1" ht="13.8">
      <c r="B816" s="55" t="s">
        <v>959</v>
      </c>
      <c r="C816" s="20" t="s">
        <v>1</v>
      </c>
      <c r="D816" s="22" t="s">
        <v>922</v>
      </c>
      <c r="E816" s="56" t="s">
        <v>22</v>
      </c>
      <c r="F816" s="20" t="str">
        <f t="shared" si="30"/>
        <v>Block 02</v>
      </c>
      <c r="G816" s="20" t="str">
        <f t="shared" si="31"/>
        <v>Lot 24</v>
      </c>
      <c r="H816" s="55">
        <v>55</v>
      </c>
      <c r="I816" s="57">
        <v>80</v>
      </c>
      <c r="J816" s="57" t="s">
        <v>743</v>
      </c>
      <c r="K816" s="20" t="s">
        <v>735</v>
      </c>
      <c r="L816" s="58">
        <f>IFERROR(INDEX([1]INVENTORY!$I$6:$AI$262,MATCH($B816,[1]INVENTORY!$I$6:$I$262,0),8),"NA")</f>
        <v>3600000</v>
      </c>
      <c r="M816" s="58"/>
      <c r="N816" s="58">
        <f t="shared" si="32"/>
        <v>3600000</v>
      </c>
      <c r="O816" s="58">
        <f>IFERROR(INDEX([1]INVENTORY!$I$6:$AI$262,MATCH($B816,[1]INVENTORY!$I$6:$I$262,0),9),"NA")</f>
        <v>0</v>
      </c>
      <c r="P816" s="58">
        <f>IFERROR(INDEX([1]INVENTORY!$I$6:$AI$262,MATCH($B816,[1]INVENTORY!$I$6:$I$262,0),10),"NA")</f>
        <v>3600000</v>
      </c>
      <c r="Q816" s="18"/>
    </row>
    <row r="817" spans="2:17" s="17" customFormat="1" ht="13.8">
      <c r="B817" s="55" t="s">
        <v>960</v>
      </c>
      <c r="C817" s="20" t="s">
        <v>1</v>
      </c>
      <c r="D817" s="22" t="s">
        <v>922</v>
      </c>
      <c r="E817" s="56" t="s">
        <v>22</v>
      </c>
      <c r="F817" s="20" t="str">
        <f t="shared" si="30"/>
        <v>Block 02</v>
      </c>
      <c r="G817" s="20" t="str">
        <f t="shared" si="31"/>
        <v>Lot 25</v>
      </c>
      <c r="H817" s="55">
        <v>55</v>
      </c>
      <c r="I817" s="57">
        <v>80</v>
      </c>
      <c r="J817" s="57" t="s">
        <v>743</v>
      </c>
      <c r="K817" s="20" t="s">
        <v>731</v>
      </c>
      <c r="L817" s="58">
        <f>IFERROR(INDEX([1]INVENTORY!$I$6:$AI$262,MATCH($B817,[1]INVENTORY!$I$6:$I$262,0),8),"NA")</f>
        <v>3600000</v>
      </c>
      <c r="M817" s="58"/>
      <c r="N817" s="58">
        <f t="shared" si="32"/>
        <v>3600000</v>
      </c>
      <c r="O817" s="58">
        <f>IFERROR(INDEX([1]INVENTORY!$I$6:$AI$262,MATCH($B817,[1]INVENTORY!$I$6:$I$262,0),9),"NA")</f>
        <v>0</v>
      </c>
      <c r="P817" s="58">
        <f>IFERROR(INDEX([1]INVENTORY!$I$6:$AI$262,MATCH($B817,[1]INVENTORY!$I$6:$I$262,0),10),"NA")</f>
        <v>3600000</v>
      </c>
      <c r="Q817" s="18"/>
    </row>
    <row r="818" spans="2:17" s="17" customFormat="1" ht="13.8">
      <c r="B818" s="55" t="s">
        <v>961</v>
      </c>
      <c r="C818" s="20" t="s">
        <v>1</v>
      </c>
      <c r="D818" s="22" t="s">
        <v>922</v>
      </c>
      <c r="E818" s="56" t="s">
        <v>22</v>
      </c>
      <c r="F818" s="20" t="str">
        <f t="shared" si="30"/>
        <v>Block 02</v>
      </c>
      <c r="G818" s="20" t="str">
        <f t="shared" si="31"/>
        <v>Lot 26</v>
      </c>
      <c r="H818" s="55">
        <v>55</v>
      </c>
      <c r="I818" s="57">
        <v>80</v>
      </c>
      <c r="J818" s="57" t="s">
        <v>743</v>
      </c>
      <c r="K818" s="20" t="s">
        <v>733</v>
      </c>
      <c r="L818" s="58">
        <f>IFERROR(INDEX([1]INVENTORY!$I$6:$AI$262,MATCH($B818,[1]INVENTORY!$I$6:$I$262,0),8),"NA")</f>
        <v>3600000</v>
      </c>
      <c r="M818" s="58"/>
      <c r="N818" s="58">
        <f t="shared" si="32"/>
        <v>3600000</v>
      </c>
      <c r="O818" s="58">
        <f>IFERROR(INDEX([1]INVENTORY!$I$6:$AI$262,MATCH($B818,[1]INVENTORY!$I$6:$I$262,0),9),"NA")</f>
        <v>0</v>
      </c>
      <c r="P818" s="58">
        <f>IFERROR(INDEX([1]INVENTORY!$I$6:$AI$262,MATCH($B818,[1]INVENTORY!$I$6:$I$262,0),10),"NA")</f>
        <v>3600000</v>
      </c>
      <c r="Q818" s="18"/>
    </row>
    <row r="819" spans="2:17" s="17" customFormat="1" ht="13.8">
      <c r="B819" s="55" t="s">
        <v>962</v>
      </c>
      <c r="C819" s="20" t="s">
        <v>1</v>
      </c>
      <c r="D819" s="22" t="s">
        <v>922</v>
      </c>
      <c r="E819" s="56" t="s">
        <v>22</v>
      </c>
      <c r="F819" s="20" t="str">
        <f t="shared" si="30"/>
        <v>Block 10</v>
      </c>
      <c r="G819" s="20" t="str">
        <f t="shared" si="31"/>
        <v>Lot 03</v>
      </c>
      <c r="H819" s="55">
        <v>55</v>
      </c>
      <c r="I819" s="57">
        <v>80</v>
      </c>
      <c r="J819" s="57" t="s">
        <v>743</v>
      </c>
      <c r="K819" s="20" t="s">
        <v>731</v>
      </c>
      <c r="L819" s="58">
        <f>IFERROR(INDEX([1]INVENTORY!$I$6:$AI$262,MATCH($B819,[1]INVENTORY!$I$6:$I$262,0),8),"NA")</f>
        <v>3600000</v>
      </c>
      <c r="M819" s="58"/>
      <c r="N819" s="58">
        <f t="shared" si="32"/>
        <v>3600000</v>
      </c>
      <c r="O819" s="58">
        <f>IFERROR(INDEX([1]INVENTORY!$I$6:$AI$262,MATCH($B819,[1]INVENTORY!$I$6:$I$262,0),9),"NA")</f>
        <v>0</v>
      </c>
      <c r="P819" s="58">
        <f>IFERROR(INDEX([1]INVENTORY!$I$6:$AI$262,MATCH($B819,[1]INVENTORY!$I$6:$I$262,0),10),"NA")</f>
        <v>3600000</v>
      </c>
      <c r="Q819" s="18"/>
    </row>
    <row r="820" spans="2:17" s="17" customFormat="1" ht="13.8">
      <c r="B820" s="55" t="s">
        <v>963</v>
      </c>
      <c r="C820" s="20" t="s">
        <v>1</v>
      </c>
      <c r="D820" s="22" t="s">
        <v>922</v>
      </c>
      <c r="E820" s="56" t="s">
        <v>22</v>
      </c>
      <c r="F820" s="20" t="str">
        <f t="shared" si="30"/>
        <v>Block 10</v>
      </c>
      <c r="G820" s="20" t="str">
        <f t="shared" si="31"/>
        <v>Lot 04</v>
      </c>
      <c r="H820" s="55">
        <v>55</v>
      </c>
      <c r="I820" s="57">
        <v>95</v>
      </c>
      <c r="J820" s="57" t="s">
        <v>730</v>
      </c>
      <c r="K820" s="20" t="s">
        <v>733</v>
      </c>
      <c r="L820" s="58">
        <f>IFERROR(INDEX([1]INVENTORY!$I$6:$AI$262,MATCH($B820,[1]INVENTORY!$I$6:$I$262,0),8),"NA")</f>
        <v>3600000</v>
      </c>
      <c r="M820" s="58"/>
      <c r="N820" s="58">
        <f t="shared" si="32"/>
        <v>3600000</v>
      </c>
      <c r="O820" s="58">
        <f>IFERROR(INDEX([1]INVENTORY!$I$6:$AI$262,MATCH($B820,[1]INVENTORY!$I$6:$I$262,0),9),"NA")</f>
        <v>0</v>
      </c>
      <c r="P820" s="58">
        <f>IFERROR(INDEX([1]INVENTORY!$I$6:$AI$262,MATCH($B820,[1]INVENTORY!$I$6:$I$262,0),10),"NA")</f>
        <v>3600000</v>
      </c>
      <c r="Q820" s="18"/>
    </row>
    <row r="821" spans="2:17" s="17" customFormat="1" ht="13.8">
      <c r="B821" s="55" t="s">
        <v>964</v>
      </c>
      <c r="C821" s="20" t="s">
        <v>1</v>
      </c>
      <c r="D821" s="22" t="s">
        <v>922</v>
      </c>
      <c r="E821" s="56" t="s">
        <v>22</v>
      </c>
      <c r="F821" s="20" t="str">
        <f t="shared" si="30"/>
        <v>Block 10</v>
      </c>
      <c r="G821" s="20" t="str">
        <f t="shared" si="31"/>
        <v>Lot 05</v>
      </c>
      <c r="H821" s="55">
        <v>55</v>
      </c>
      <c r="I821" s="57">
        <v>89</v>
      </c>
      <c r="J821" s="57" t="s">
        <v>743</v>
      </c>
      <c r="K821" s="20" t="s">
        <v>735</v>
      </c>
      <c r="L821" s="58">
        <f>IFERROR(INDEX([1]INVENTORY!$I$6:$AI$262,MATCH($B821,[1]INVENTORY!$I$6:$I$262,0),8),"NA")</f>
        <v>3600000</v>
      </c>
      <c r="M821" s="58"/>
      <c r="N821" s="58">
        <f t="shared" si="32"/>
        <v>3600000</v>
      </c>
      <c r="O821" s="58">
        <f>IFERROR(INDEX([1]INVENTORY!$I$6:$AI$262,MATCH($B821,[1]INVENTORY!$I$6:$I$262,0),9),"NA")</f>
        <v>0</v>
      </c>
      <c r="P821" s="58">
        <f>IFERROR(INDEX([1]INVENTORY!$I$6:$AI$262,MATCH($B821,[1]INVENTORY!$I$6:$I$262,0),10),"NA")</f>
        <v>3600000</v>
      </c>
      <c r="Q821" s="18"/>
    </row>
    <row r="822" spans="2:17" s="17" customFormat="1" ht="13.8">
      <c r="B822" s="55" t="s">
        <v>965</v>
      </c>
      <c r="C822" s="20" t="s">
        <v>1</v>
      </c>
      <c r="D822" s="22" t="s">
        <v>922</v>
      </c>
      <c r="E822" s="56" t="s">
        <v>22</v>
      </c>
      <c r="F822" s="20" t="str">
        <f t="shared" si="30"/>
        <v>Block 10</v>
      </c>
      <c r="G822" s="20" t="str">
        <f t="shared" si="31"/>
        <v>Lot 06</v>
      </c>
      <c r="H822" s="55">
        <v>55</v>
      </c>
      <c r="I822" s="57">
        <v>80</v>
      </c>
      <c r="J822" s="57" t="s">
        <v>743</v>
      </c>
      <c r="K822" s="20" t="s">
        <v>737</v>
      </c>
      <c r="L822" s="58">
        <f>IFERROR(INDEX([1]INVENTORY!$I$6:$AI$262,MATCH($B822,[1]INVENTORY!$I$6:$I$262,0),8),"NA")</f>
        <v>3600000</v>
      </c>
      <c r="M822" s="58"/>
      <c r="N822" s="58">
        <f t="shared" si="32"/>
        <v>3600000</v>
      </c>
      <c r="O822" s="58">
        <f>IFERROR(INDEX([1]INVENTORY!$I$6:$AI$262,MATCH($B822,[1]INVENTORY!$I$6:$I$262,0),9),"NA")</f>
        <v>0</v>
      </c>
      <c r="P822" s="58">
        <f>IFERROR(INDEX([1]INVENTORY!$I$6:$AI$262,MATCH($B822,[1]INVENTORY!$I$6:$I$262,0),10),"NA")</f>
        <v>3600000</v>
      </c>
      <c r="Q822" s="18"/>
    </row>
    <row r="823" spans="2:17" s="17" customFormat="1" ht="13.8">
      <c r="B823" s="55" t="s">
        <v>966</v>
      </c>
      <c r="C823" s="20" t="s">
        <v>1</v>
      </c>
      <c r="D823" s="22" t="s">
        <v>967</v>
      </c>
      <c r="E823" s="56" t="s">
        <v>22</v>
      </c>
      <c r="F823" s="20" t="str">
        <f t="shared" si="30"/>
        <v>Block 01</v>
      </c>
      <c r="G823" s="20" t="str">
        <f t="shared" si="31"/>
        <v>Lot 01</v>
      </c>
      <c r="H823" s="55">
        <v>55</v>
      </c>
      <c r="I823" s="57">
        <v>101</v>
      </c>
      <c r="J823" s="57" t="s">
        <v>968</v>
      </c>
      <c r="K823" s="20" t="s">
        <v>731</v>
      </c>
      <c r="L823" s="58">
        <f>IFERROR(INDEX([1]INVENTORY!$I$6:$AI$262,MATCH($B823,[1]INVENTORY!$I$6:$I$262,0),8),"NA")</f>
        <v>5070500</v>
      </c>
      <c r="M823" s="58"/>
      <c r="N823" s="58">
        <f t="shared" si="32"/>
        <v>5070500</v>
      </c>
      <c r="O823" s="58">
        <f>IFERROR(INDEX([1]INVENTORY!$I$6:$AI$262,MATCH($B823,[1]INVENTORY!$I$6:$I$262,0),9),"NA")</f>
        <v>543267.85714285716</v>
      </c>
      <c r="P823" s="58">
        <f>IFERROR(INDEX([1]INVENTORY!$I$6:$AI$262,MATCH($B823,[1]INVENTORY!$I$6:$I$262,0),10),"NA")</f>
        <v>4527232.1428571427</v>
      </c>
      <c r="Q823" s="18"/>
    </row>
    <row r="824" spans="2:17" s="17" customFormat="1" ht="13.8">
      <c r="B824" s="55" t="s">
        <v>969</v>
      </c>
      <c r="C824" s="20" t="s">
        <v>1</v>
      </c>
      <c r="D824" s="22" t="s">
        <v>967</v>
      </c>
      <c r="E824" s="56" t="s">
        <v>22</v>
      </c>
      <c r="F824" s="20" t="str">
        <f t="shared" si="30"/>
        <v>Block 08</v>
      </c>
      <c r="G824" s="20" t="str">
        <f t="shared" si="31"/>
        <v>Lot 01</v>
      </c>
      <c r="H824" s="55">
        <v>55</v>
      </c>
      <c r="I824" s="57">
        <v>80</v>
      </c>
      <c r="J824" s="57" t="s">
        <v>968</v>
      </c>
      <c r="K824" s="20" t="s">
        <v>752</v>
      </c>
      <c r="L824" s="58">
        <f>IFERROR(INDEX([1]INVENTORY!$I$6:$AI$262,MATCH($B824,[1]INVENTORY!$I$6:$I$262,0),8),"NA")</f>
        <v>4350000</v>
      </c>
      <c r="M824" s="58"/>
      <c r="N824" s="58">
        <f t="shared" si="32"/>
        <v>4350000</v>
      </c>
      <c r="O824" s="58">
        <f>IFERROR(INDEX([1]INVENTORY!$I$6:$AI$262,MATCH($B824,[1]INVENTORY!$I$6:$I$262,0),9),"NA")</f>
        <v>466071.42857142858</v>
      </c>
      <c r="P824" s="58">
        <f>IFERROR(INDEX([1]INVENTORY!$I$6:$AI$262,MATCH($B824,[1]INVENTORY!$I$6:$I$262,0),10),"NA")</f>
        <v>3883928.5714285714</v>
      </c>
      <c r="Q824" s="18"/>
    </row>
    <row r="825" spans="2:17" s="17" customFormat="1" ht="13.8">
      <c r="B825" s="55" t="s">
        <v>970</v>
      </c>
      <c r="C825" s="20" t="s">
        <v>1</v>
      </c>
      <c r="D825" s="22" t="s">
        <v>967</v>
      </c>
      <c r="E825" s="56" t="s">
        <v>22</v>
      </c>
      <c r="F825" s="20" t="str">
        <f t="shared" si="30"/>
        <v>Block 200</v>
      </c>
      <c r="G825" s="20" t="str">
        <f t="shared" si="31"/>
        <v>Lot 01</v>
      </c>
      <c r="H825" s="55">
        <v>55</v>
      </c>
      <c r="I825" s="57">
        <v>129</v>
      </c>
      <c r="J825" s="57" t="s">
        <v>968</v>
      </c>
      <c r="K825" s="20" t="s">
        <v>737</v>
      </c>
      <c r="L825" s="58">
        <f>IFERROR(INDEX([1]INVENTORY!$I$6:$AI$262,MATCH($B825,[1]INVENTORY!$I$6:$I$262,0),8),"NA")</f>
        <v>5864500</v>
      </c>
      <c r="M825" s="58"/>
      <c r="N825" s="58">
        <f t="shared" si="32"/>
        <v>5864500</v>
      </c>
      <c r="O825" s="58">
        <f>IFERROR(INDEX([1]INVENTORY!$I$6:$AI$262,MATCH($B825,[1]INVENTORY!$I$6:$I$262,0),9),"NA")</f>
        <v>628339.28571428568</v>
      </c>
      <c r="P825" s="58">
        <f>IFERROR(INDEX([1]INVENTORY!$I$6:$AI$262,MATCH($B825,[1]INVENTORY!$I$6:$I$262,0),10),"NA")</f>
        <v>5236160.7142857146</v>
      </c>
      <c r="Q825" s="18"/>
    </row>
    <row r="826" spans="2:17" s="17" customFormat="1" ht="13.8">
      <c r="B826" s="55" t="s">
        <v>971</v>
      </c>
      <c r="C826" s="20" t="s">
        <v>1</v>
      </c>
      <c r="D826" s="22" t="s">
        <v>972</v>
      </c>
      <c r="E826" s="56" t="s">
        <v>22</v>
      </c>
      <c r="F826" s="20" t="str">
        <f t="shared" si="30"/>
        <v>Block 05</v>
      </c>
      <c r="G826" s="20" t="str">
        <f t="shared" si="31"/>
        <v>Lot 23</v>
      </c>
      <c r="H826" s="55">
        <v>55</v>
      </c>
      <c r="I826" s="57">
        <v>80</v>
      </c>
      <c r="J826" s="57" t="s">
        <v>743</v>
      </c>
      <c r="K826" s="20" t="s">
        <v>750</v>
      </c>
      <c r="L826" s="58">
        <f>IFERROR(INDEX([1]INVENTORY!$I$6:$AI$262,MATCH($B826,[1]INVENTORY!$I$6:$I$262,0),8),"NA")</f>
        <v>3600000</v>
      </c>
      <c r="M826" s="58"/>
      <c r="N826" s="58">
        <f t="shared" si="32"/>
        <v>3600000</v>
      </c>
      <c r="O826" s="58">
        <f>IFERROR(INDEX([1]INVENTORY!$I$6:$AI$262,MATCH($B826,[1]INVENTORY!$I$6:$I$262,0),9),"NA")</f>
        <v>0</v>
      </c>
      <c r="P826" s="58">
        <f>IFERROR(INDEX([1]INVENTORY!$I$6:$AI$262,MATCH($B826,[1]INVENTORY!$I$6:$I$262,0),10),"NA")</f>
        <v>3600000</v>
      </c>
      <c r="Q826" s="18"/>
    </row>
    <row r="827" spans="2:17" s="17" customFormat="1" ht="13.8">
      <c r="B827" s="55" t="s">
        <v>973</v>
      </c>
      <c r="C827" s="20" t="s">
        <v>1</v>
      </c>
      <c r="D827" s="22" t="s">
        <v>972</v>
      </c>
      <c r="E827" s="56" t="s">
        <v>22</v>
      </c>
      <c r="F827" s="20" t="str">
        <f t="shared" si="30"/>
        <v>Block 05</v>
      </c>
      <c r="G827" s="20" t="str">
        <f t="shared" si="31"/>
        <v>Lot 45</v>
      </c>
      <c r="H827" s="55">
        <v>55</v>
      </c>
      <c r="I827" s="57">
        <v>90</v>
      </c>
      <c r="J827" s="57" t="s">
        <v>730</v>
      </c>
      <c r="K827" s="20" t="s">
        <v>752</v>
      </c>
      <c r="L827" s="58">
        <f>IFERROR(INDEX([1]INVENTORY!$I$6:$AI$262,MATCH($B827,[1]INVENTORY!$I$6:$I$262,0),8),"NA")</f>
        <v>3600000</v>
      </c>
      <c r="M827" s="58"/>
      <c r="N827" s="58">
        <f t="shared" si="32"/>
        <v>3600000</v>
      </c>
      <c r="O827" s="58">
        <f>IFERROR(INDEX([1]INVENTORY!$I$6:$AI$262,MATCH($B827,[1]INVENTORY!$I$6:$I$262,0),9),"NA")</f>
        <v>0</v>
      </c>
      <c r="P827" s="58">
        <f>IFERROR(INDEX([1]INVENTORY!$I$6:$AI$262,MATCH($B827,[1]INVENTORY!$I$6:$I$262,0),10),"NA")</f>
        <v>3600000</v>
      </c>
      <c r="Q827" s="18"/>
    </row>
    <row r="828" spans="2:17" s="17" customFormat="1" ht="13.8">
      <c r="B828" s="55" t="s">
        <v>974</v>
      </c>
      <c r="C828" s="20" t="s">
        <v>1</v>
      </c>
      <c r="D828" s="22" t="s">
        <v>972</v>
      </c>
      <c r="E828" s="56" t="s">
        <v>22</v>
      </c>
      <c r="F828" s="20" t="str">
        <f t="shared" si="30"/>
        <v>Block 06</v>
      </c>
      <c r="G828" s="20" t="str">
        <f t="shared" si="31"/>
        <v>Lot 26</v>
      </c>
      <c r="H828" s="55">
        <v>55</v>
      </c>
      <c r="I828" s="57">
        <v>80</v>
      </c>
      <c r="J828" s="57" t="s">
        <v>743</v>
      </c>
      <c r="K828" s="20" t="s">
        <v>735</v>
      </c>
      <c r="L828" s="58">
        <f>IFERROR(INDEX([1]INVENTORY!$I$6:$AI$262,MATCH($B828,[1]INVENTORY!$I$6:$I$262,0),8),"NA")</f>
        <v>3600000</v>
      </c>
      <c r="M828" s="58"/>
      <c r="N828" s="58">
        <f t="shared" si="32"/>
        <v>3600000</v>
      </c>
      <c r="O828" s="58">
        <f>IFERROR(INDEX([1]INVENTORY!$I$6:$AI$262,MATCH($B828,[1]INVENTORY!$I$6:$I$262,0),9),"NA")</f>
        <v>0</v>
      </c>
      <c r="P828" s="58">
        <f>IFERROR(INDEX([1]INVENTORY!$I$6:$AI$262,MATCH($B828,[1]INVENTORY!$I$6:$I$262,0),10),"NA")</f>
        <v>3600000</v>
      </c>
      <c r="Q828" s="18"/>
    </row>
    <row r="829" spans="2:17" s="17" customFormat="1" ht="13.8">
      <c r="B829" s="55" t="s">
        <v>975</v>
      </c>
      <c r="C829" s="20" t="s">
        <v>1</v>
      </c>
      <c r="D829" s="22" t="s">
        <v>972</v>
      </c>
      <c r="E829" s="56" t="s">
        <v>22</v>
      </c>
      <c r="F829" s="20" t="str">
        <f t="shared" si="30"/>
        <v>Block 11</v>
      </c>
      <c r="G829" s="20" t="str">
        <f t="shared" si="31"/>
        <v>Lot 03</v>
      </c>
      <c r="H829" s="55">
        <v>55</v>
      </c>
      <c r="I829" s="57">
        <v>80</v>
      </c>
      <c r="J829" s="57" t="s">
        <v>743</v>
      </c>
      <c r="K829" s="20" t="s">
        <v>733</v>
      </c>
      <c r="L829" s="58">
        <f>IFERROR(INDEX([1]INVENTORY!$I$6:$AI$262,MATCH($B829,[1]INVENTORY!$I$6:$I$262,0),8),"NA")</f>
        <v>3600000</v>
      </c>
      <c r="M829" s="58"/>
      <c r="N829" s="58">
        <f t="shared" si="32"/>
        <v>3600000</v>
      </c>
      <c r="O829" s="58">
        <f>IFERROR(INDEX([1]INVENTORY!$I$6:$AI$262,MATCH($B829,[1]INVENTORY!$I$6:$I$262,0),9),"NA")</f>
        <v>0</v>
      </c>
      <c r="P829" s="58">
        <f>IFERROR(INDEX([1]INVENTORY!$I$6:$AI$262,MATCH($B829,[1]INVENTORY!$I$6:$I$262,0),10),"NA")</f>
        <v>3600000</v>
      </c>
      <c r="Q829" s="18"/>
    </row>
    <row r="830" spans="2:17" s="17" customFormat="1" ht="13.8">
      <c r="B830" s="55" t="s">
        <v>976</v>
      </c>
      <c r="C830" s="20" t="s">
        <v>1</v>
      </c>
      <c r="D830" s="22" t="s">
        <v>972</v>
      </c>
      <c r="E830" s="56" t="s">
        <v>22</v>
      </c>
      <c r="F830" s="20" t="str">
        <f t="shared" si="30"/>
        <v>Block 11</v>
      </c>
      <c r="G830" s="20" t="str">
        <f t="shared" si="31"/>
        <v>Lot 06</v>
      </c>
      <c r="H830" s="55">
        <v>55</v>
      </c>
      <c r="I830" s="57">
        <v>80</v>
      </c>
      <c r="J830" s="57" t="s">
        <v>743</v>
      </c>
      <c r="K830" s="20" t="s">
        <v>750</v>
      </c>
      <c r="L830" s="58">
        <f>IFERROR(INDEX([1]INVENTORY!$I$6:$AI$262,MATCH($B830,[1]INVENTORY!$I$6:$I$262,0),8),"NA")</f>
        <v>3600000</v>
      </c>
      <c r="M830" s="58"/>
      <c r="N830" s="58">
        <f t="shared" si="32"/>
        <v>3600000</v>
      </c>
      <c r="O830" s="58">
        <f>IFERROR(INDEX([1]INVENTORY!$I$6:$AI$262,MATCH($B830,[1]INVENTORY!$I$6:$I$262,0),9),"NA")</f>
        <v>0</v>
      </c>
      <c r="P830" s="58">
        <f>IFERROR(INDEX([1]INVENTORY!$I$6:$AI$262,MATCH($B830,[1]INVENTORY!$I$6:$I$262,0),10),"NA")</f>
        <v>3600000</v>
      </c>
      <c r="Q830" s="18"/>
    </row>
    <row r="831" spans="2:17" s="17" customFormat="1" ht="13.8">
      <c r="B831" s="55" t="s">
        <v>977</v>
      </c>
      <c r="C831" s="20" t="s">
        <v>1</v>
      </c>
      <c r="D831" s="22" t="s">
        <v>972</v>
      </c>
      <c r="E831" s="56" t="s">
        <v>22</v>
      </c>
      <c r="F831" s="20" t="str">
        <f t="shared" si="30"/>
        <v>Block 12</v>
      </c>
      <c r="G831" s="20" t="str">
        <f t="shared" si="31"/>
        <v>Lot 03</v>
      </c>
      <c r="H831" s="55">
        <v>55</v>
      </c>
      <c r="I831" s="57">
        <v>90</v>
      </c>
      <c r="J831" s="57" t="s">
        <v>730</v>
      </c>
      <c r="K831" s="20" t="s">
        <v>733</v>
      </c>
      <c r="L831" s="58">
        <f>IFERROR(INDEX([1]INVENTORY!$I$6:$AI$262,MATCH($B831,[1]INVENTORY!$I$6:$I$262,0),8),"NA")</f>
        <v>3600000</v>
      </c>
      <c r="M831" s="58"/>
      <c r="N831" s="58">
        <f t="shared" si="32"/>
        <v>3600000</v>
      </c>
      <c r="O831" s="58">
        <f>IFERROR(INDEX([1]INVENTORY!$I$6:$AI$262,MATCH($B831,[1]INVENTORY!$I$6:$I$262,0),9),"NA")</f>
        <v>0</v>
      </c>
      <c r="P831" s="58">
        <f>IFERROR(INDEX([1]INVENTORY!$I$6:$AI$262,MATCH($B831,[1]INVENTORY!$I$6:$I$262,0),10),"NA")</f>
        <v>3600000</v>
      </c>
      <c r="Q831" s="18"/>
    </row>
    <row r="832" spans="2:17" s="17" customFormat="1" ht="13.8">
      <c r="B832" s="55" t="s">
        <v>978</v>
      </c>
      <c r="C832" s="20" t="s">
        <v>1</v>
      </c>
      <c r="D832" s="22" t="s">
        <v>972</v>
      </c>
      <c r="E832" s="56" t="s">
        <v>22</v>
      </c>
      <c r="F832" s="20" t="str">
        <f t="shared" si="30"/>
        <v>Block 12</v>
      </c>
      <c r="G832" s="20" t="str">
        <f t="shared" si="31"/>
        <v>Lot 06</v>
      </c>
      <c r="H832" s="55">
        <v>55</v>
      </c>
      <c r="I832" s="57">
        <v>90</v>
      </c>
      <c r="J832" s="57" t="s">
        <v>730</v>
      </c>
      <c r="K832" s="20" t="s">
        <v>752</v>
      </c>
      <c r="L832" s="58">
        <f>IFERROR(INDEX([1]INVENTORY!$I$6:$AI$262,MATCH($B832,[1]INVENTORY!$I$6:$I$262,0),8),"NA")</f>
        <v>3600000</v>
      </c>
      <c r="M832" s="58"/>
      <c r="N832" s="58">
        <f t="shared" si="32"/>
        <v>3600000</v>
      </c>
      <c r="O832" s="58">
        <f>IFERROR(INDEX([1]INVENTORY!$I$6:$AI$262,MATCH($B832,[1]INVENTORY!$I$6:$I$262,0),9),"NA")</f>
        <v>0</v>
      </c>
      <c r="P832" s="58">
        <f>IFERROR(INDEX([1]INVENTORY!$I$6:$AI$262,MATCH($B832,[1]INVENTORY!$I$6:$I$262,0),10),"NA")</f>
        <v>3600000</v>
      </c>
      <c r="Q832" s="18"/>
    </row>
    <row r="833" spans="2:17" s="17" customFormat="1" ht="13.8">
      <c r="B833" s="55" t="s">
        <v>979</v>
      </c>
      <c r="C833" s="20" t="s">
        <v>1</v>
      </c>
      <c r="D833" s="22" t="s">
        <v>980</v>
      </c>
      <c r="E833" s="56" t="s">
        <v>22</v>
      </c>
      <c r="F833" s="20" t="str">
        <f t="shared" si="30"/>
        <v>Block 05</v>
      </c>
      <c r="G833" s="20" t="str">
        <f t="shared" si="31"/>
        <v>Lot 01</v>
      </c>
      <c r="H833" s="55" t="s">
        <v>981</v>
      </c>
      <c r="I833" s="57">
        <v>127</v>
      </c>
      <c r="J833" s="57" t="s">
        <v>100</v>
      </c>
      <c r="K833" s="20" t="s">
        <v>982</v>
      </c>
      <c r="L833" s="58">
        <f>IFERROR(INDEX([1]INVENTORY!$I$6:$AI$262,MATCH($B833,[1]INVENTORY!$I$6:$I$262,0),8),"NA")</f>
        <v>4196500</v>
      </c>
      <c r="M833" s="58"/>
      <c r="N833" s="58">
        <f t="shared" si="32"/>
        <v>4196500</v>
      </c>
      <c r="O833" s="58">
        <f>IFERROR(INDEX([1]INVENTORY!$I$6:$AI$262,MATCH($B833,[1]INVENTORY!$I$6:$I$262,0),9),"NA")</f>
        <v>449625</v>
      </c>
      <c r="P833" s="58">
        <f>IFERROR(INDEX([1]INVENTORY!$I$6:$AI$262,MATCH($B833,[1]INVENTORY!$I$6:$I$262,0),10),"NA")</f>
        <v>3746875</v>
      </c>
      <c r="Q833" s="18"/>
    </row>
    <row r="834" spans="2:17" s="17" customFormat="1" ht="13.8">
      <c r="B834" s="55" t="s">
        <v>983</v>
      </c>
      <c r="C834" s="20" t="s">
        <v>1</v>
      </c>
      <c r="D834" s="22" t="s">
        <v>980</v>
      </c>
      <c r="E834" s="56" t="s">
        <v>22</v>
      </c>
      <c r="F834" s="20" t="str">
        <f t="shared" si="30"/>
        <v>Block 05</v>
      </c>
      <c r="G834" s="20" t="str">
        <f t="shared" si="31"/>
        <v>Lot 02</v>
      </c>
      <c r="H834" s="55" t="s">
        <v>981</v>
      </c>
      <c r="I834" s="57">
        <v>121</v>
      </c>
      <c r="J834" s="57" t="s">
        <v>100</v>
      </c>
      <c r="K834" s="20" t="s">
        <v>982</v>
      </c>
      <c r="L834" s="58">
        <f>IFERROR(INDEX([1]INVENTORY!$I$6:$AI$262,MATCH($B834,[1]INVENTORY!$I$6:$I$262,0),8),"NA")</f>
        <v>4033500</v>
      </c>
      <c r="M834" s="58"/>
      <c r="N834" s="58">
        <f t="shared" si="32"/>
        <v>4033500</v>
      </c>
      <c r="O834" s="58">
        <f>IFERROR(INDEX([1]INVENTORY!$I$6:$AI$262,MATCH($B834,[1]INVENTORY!$I$6:$I$262,0),9),"NA")</f>
        <v>432160.71428571426</v>
      </c>
      <c r="P834" s="58">
        <f>IFERROR(INDEX([1]INVENTORY!$I$6:$AI$262,MATCH($B834,[1]INVENTORY!$I$6:$I$262,0),10),"NA")</f>
        <v>3601339.2857142859</v>
      </c>
      <c r="Q834" s="18"/>
    </row>
    <row r="835" spans="2:17" s="17" customFormat="1" ht="13.8">
      <c r="B835" s="55" t="s">
        <v>984</v>
      </c>
      <c r="C835" s="20" t="s">
        <v>1</v>
      </c>
      <c r="D835" s="22" t="s">
        <v>980</v>
      </c>
      <c r="E835" s="56" t="s">
        <v>22</v>
      </c>
      <c r="F835" s="20" t="str">
        <f t="shared" si="30"/>
        <v>Block 05</v>
      </c>
      <c r="G835" s="20" t="str">
        <f t="shared" si="31"/>
        <v>Lot 24</v>
      </c>
      <c r="H835" s="55" t="s">
        <v>981</v>
      </c>
      <c r="I835" s="57">
        <v>98</v>
      </c>
      <c r="J835" s="57" t="s">
        <v>100</v>
      </c>
      <c r="K835" s="20" t="s">
        <v>982</v>
      </c>
      <c r="L835" s="58">
        <f>IFERROR(INDEX([1]INVENTORY!$I$6:$AI$262,MATCH($B835,[1]INVENTORY!$I$6:$I$262,0),8),"NA")</f>
        <v>3192000</v>
      </c>
      <c r="M835" s="58"/>
      <c r="N835" s="58">
        <f t="shared" si="32"/>
        <v>3192000</v>
      </c>
      <c r="O835" s="58">
        <f>IFERROR(INDEX([1]INVENTORY!$I$6:$AI$262,MATCH($B835,[1]INVENTORY!$I$6:$I$262,0),9),"NA")</f>
        <v>342000</v>
      </c>
      <c r="P835" s="58">
        <f>IFERROR(INDEX([1]INVENTORY!$I$6:$AI$262,MATCH($B835,[1]INVENTORY!$I$6:$I$262,0),10),"NA")</f>
        <v>2850000</v>
      </c>
      <c r="Q835" s="18"/>
    </row>
    <row r="836" spans="2:17" s="17" customFormat="1" ht="13.8">
      <c r="B836" s="55" t="s">
        <v>985</v>
      </c>
      <c r="C836" s="20" t="s">
        <v>1</v>
      </c>
      <c r="D836" s="22" t="s">
        <v>980</v>
      </c>
      <c r="E836" s="56" t="s">
        <v>22</v>
      </c>
      <c r="F836" s="20" t="str">
        <f t="shared" si="30"/>
        <v>Block 06</v>
      </c>
      <c r="G836" s="20" t="str">
        <f t="shared" si="31"/>
        <v>Lot 01</v>
      </c>
      <c r="H836" s="55" t="s">
        <v>981</v>
      </c>
      <c r="I836" s="57">
        <v>118</v>
      </c>
      <c r="J836" s="57" t="s">
        <v>100</v>
      </c>
      <c r="K836" s="20" t="s">
        <v>982</v>
      </c>
      <c r="L836" s="58">
        <f>IFERROR(INDEX([1]INVENTORY!$I$6:$AI$262,MATCH($B836,[1]INVENTORY!$I$6:$I$262,0),8),"NA")</f>
        <v>3902000</v>
      </c>
      <c r="M836" s="58"/>
      <c r="N836" s="58">
        <f t="shared" si="32"/>
        <v>3902000</v>
      </c>
      <c r="O836" s="58">
        <f>IFERROR(INDEX([1]INVENTORY!$I$6:$AI$262,MATCH($B836,[1]INVENTORY!$I$6:$I$262,0),9),"NA")</f>
        <v>418071.42857142858</v>
      </c>
      <c r="P836" s="58">
        <f>IFERROR(INDEX([1]INVENTORY!$I$6:$AI$262,MATCH($B836,[1]INVENTORY!$I$6:$I$262,0),10),"NA")</f>
        <v>3483928.5714285714</v>
      </c>
      <c r="Q836" s="18"/>
    </row>
    <row r="837" spans="2:17" s="17" customFormat="1" ht="13.8">
      <c r="B837" s="55" t="s">
        <v>986</v>
      </c>
      <c r="C837" s="20" t="s">
        <v>1</v>
      </c>
      <c r="D837" s="22" t="s">
        <v>980</v>
      </c>
      <c r="E837" s="56" t="s">
        <v>22</v>
      </c>
      <c r="F837" s="20" t="str">
        <f t="shared" si="30"/>
        <v>Block 06</v>
      </c>
      <c r="G837" s="20" t="str">
        <f t="shared" si="31"/>
        <v>Lot 02</v>
      </c>
      <c r="H837" s="55" t="s">
        <v>981</v>
      </c>
      <c r="I837" s="57">
        <v>142</v>
      </c>
      <c r="J837" s="57" t="s">
        <v>100</v>
      </c>
      <c r="K837" s="20" t="s">
        <v>982</v>
      </c>
      <c r="L837" s="58">
        <f>IFERROR(INDEX([1]INVENTORY!$I$6:$AI$262,MATCH($B837,[1]INVENTORY!$I$6:$I$262,0),8),"NA")</f>
        <v>4754000</v>
      </c>
      <c r="M837" s="58"/>
      <c r="N837" s="58">
        <f t="shared" si="32"/>
        <v>4754000</v>
      </c>
      <c r="O837" s="58">
        <f>IFERROR(INDEX([1]INVENTORY!$I$6:$AI$262,MATCH($B837,[1]INVENTORY!$I$6:$I$262,0),9),"NA")</f>
        <v>509357.14285714284</v>
      </c>
      <c r="P837" s="58">
        <f>IFERROR(INDEX([1]INVENTORY!$I$6:$AI$262,MATCH($B837,[1]INVENTORY!$I$6:$I$262,0),10),"NA")</f>
        <v>4244642.8571428573</v>
      </c>
      <c r="Q837" s="18"/>
    </row>
    <row r="838" spans="2:17" s="17" customFormat="1" ht="13.8">
      <c r="B838" s="55" t="s">
        <v>987</v>
      </c>
      <c r="C838" s="20" t="s">
        <v>1</v>
      </c>
      <c r="D838" s="22" t="s">
        <v>980</v>
      </c>
      <c r="E838" s="56" t="s">
        <v>22</v>
      </c>
      <c r="F838" s="20" t="str">
        <f t="shared" si="30"/>
        <v>Block 06</v>
      </c>
      <c r="G838" s="20" t="str">
        <f t="shared" si="31"/>
        <v>Lot 25</v>
      </c>
      <c r="H838" s="55" t="s">
        <v>981</v>
      </c>
      <c r="I838" s="57">
        <v>105</v>
      </c>
      <c r="J838" s="57" t="s">
        <v>100</v>
      </c>
      <c r="K838" s="20" t="s">
        <v>982</v>
      </c>
      <c r="L838" s="58">
        <f>IFERROR(INDEX([1]INVENTORY!$I$6:$AI$262,MATCH($B838,[1]INVENTORY!$I$6:$I$262,0),8),"NA")</f>
        <v>3465500</v>
      </c>
      <c r="M838" s="58"/>
      <c r="N838" s="58">
        <f t="shared" si="32"/>
        <v>3465500</v>
      </c>
      <c r="O838" s="58">
        <f>IFERROR(INDEX([1]INVENTORY!$I$6:$AI$262,MATCH($B838,[1]INVENTORY!$I$6:$I$262,0),9),"NA")</f>
        <v>371303.57142857142</v>
      </c>
      <c r="P838" s="58">
        <f>IFERROR(INDEX([1]INVENTORY!$I$6:$AI$262,MATCH($B838,[1]INVENTORY!$I$6:$I$262,0),10),"NA")</f>
        <v>3094196.4285714286</v>
      </c>
      <c r="Q838" s="18"/>
    </row>
    <row r="839" spans="2:17" s="17" customFormat="1" ht="13.8">
      <c r="B839" s="55" t="s">
        <v>988</v>
      </c>
      <c r="C839" s="20" t="s">
        <v>1</v>
      </c>
      <c r="D839" s="22" t="s">
        <v>980</v>
      </c>
      <c r="E839" s="56" t="s">
        <v>22</v>
      </c>
      <c r="F839" s="20" t="str">
        <f t="shared" si="30"/>
        <v>Block 08</v>
      </c>
      <c r="G839" s="20" t="str">
        <f t="shared" si="31"/>
        <v>Lot 06</v>
      </c>
      <c r="H839" s="55" t="s">
        <v>981</v>
      </c>
      <c r="I839" s="57">
        <v>162</v>
      </c>
      <c r="J839" s="57" t="s">
        <v>100</v>
      </c>
      <c r="K839" s="20" t="s">
        <v>982</v>
      </c>
      <c r="L839" s="58">
        <f>IFERROR(INDEX([1]INVENTORY!$I$6:$AI$262,MATCH($B839,[1]INVENTORY!$I$6:$I$262,0),8),"NA")</f>
        <v>5464000</v>
      </c>
      <c r="M839" s="58"/>
      <c r="N839" s="58">
        <f t="shared" si="32"/>
        <v>5464000</v>
      </c>
      <c r="O839" s="58">
        <f>IFERROR(INDEX([1]INVENTORY!$I$6:$AI$262,MATCH($B839,[1]INVENTORY!$I$6:$I$262,0),9),"NA")</f>
        <v>585428.57142857148</v>
      </c>
      <c r="P839" s="58">
        <f>IFERROR(INDEX([1]INVENTORY!$I$6:$AI$262,MATCH($B839,[1]INVENTORY!$I$6:$I$262,0),10),"NA")</f>
        <v>4878571.4285714282</v>
      </c>
      <c r="Q839" s="18"/>
    </row>
    <row r="840" spans="2:17" s="17" customFormat="1" ht="13.8">
      <c r="B840" s="55" t="s">
        <v>989</v>
      </c>
      <c r="C840" s="20" t="s">
        <v>1</v>
      </c>
      <c r="D840" s="22" t="s">
        <v>980</v>
      </c>
      <c r="E840" s="56" t="s">
        <v>22</v>
      </c>
      <c r="F840" s="20" t="str">
        <f t="shared" si="30"/>
        <v>Block 08</v>
      </c>
      <c r="G840" s="20" t="str">
        <f t="shared" si="31"/>
        <v>Lot 07</v>
      </c>
      <c r="H840" s="55" t="s">
        <v>981</v>
      </c>
      <c r="I840" s="57">
        <v>115</v>
      </c>
      <c r="J840" s="57" t="s">
        <v>100</v>
      </c>
      <c r="K840" s="20" t="s">
        <v>982</v>
      </c>
      <c r="L840" s="58">
        <f>IFERROR(INDEX([1]INVENTORY!$I$6:$AI$262,MATCH($B840,[1]INVENTORY!$I$6:$I$262,0),8),"NA")</f>
        <v>3770500</v>
      </c>
      <c r="M840" s="58"/>
      <c r="N840" s="58">
        <f t="shared" si="32"/>
        <v>3770500</v>
      </c>
      <c r="O840" s="58">
        <f>IFERROR(INDEX([1]INVENTORY!$I$6:$AI$262,MATCH($B840,[1]INVENTORY!$I$6:$I$262,0),9),"NA")</f>
        <v>403982.14285714284</v>
      </c>
      <c r="P840" s="58">
        <f>IFERROR(INDEX([1]INVENTORY!$I$6:$AI$262,MATCH($B840,[1]INVENTORY!$I$6:$I$262,0),10),"NA")</f>
        <v>3366517.8571428573</v>
      </c>
      <c r="Q840" s="18"/>
    </row>
    <row r="841" spans="2:17" s="17" customFormat="1" ht="13.8">
      <c r="B841" s="55" t="s">
        <v>990</v>
      </c>
      <c r="C841" s="20" t="s">
        <v>1</v>
      </c>
      <c r="D841" s="22" t="s">
        <v>980</v>
      </c>
      <c r="E841" s="56" t="s">
        <v>22</v>
      </c>
      <c r="F841" s="20" t="str">
        <f t="shared" si="30"/>
        <v>Block 09</v>
      </c>
      <c r="G841" s="20" t="str">
        <f t="shared" si="31"/>
        <v>Lot 15</v>
      </c>
      <c r="H841" s="55" t="s">
        <v>981</v>
      </c>
      <c r="I841" s="57">
        <v>105</v>
      </c>
      <c r="J841" s="57" t="s">
        <v>100</v>
      </c>
      <c r="K841" s="20" t="s">
        <v>982</v>
      </c>
      <c r="L841" s="58">
        <f>IFERROR(INDEX([1]INVENTORY!$I$6:$AI$262,MATCH($B841,[1]INVENTORY!$I$6:$I$262,0),8),"NA")</f>
        <v>3465500</v>
      </c>
      <c r="M841" s="58"/>
      <c r="N841" s="58">
        <f t="shared" si="32"/>
        <v>3465500</v>
      </c>
      <c r="O841" s="58">
        <f>IFERROR(INDEX([1]INVENTORY!$I$6:$AI$262,MATCH($B841,[1]INVENTORY!$I$6:$I$262,0),9),"NA")</f>
        <v>371303.57142857142</v>
      </c>
      <c r="P841" s="58">
        <f>IFERROR(INDEX([1]INVENTORY!$I$6:$AI$262,MATCH($B841,[1]INVENTORY!$I$6:$I$262,0),10),"NA")</f>
        <v>3094196.4285714286</v>
      </c>
      <c r="Q841" s="18"/>
    </row>
    <row r="842" spans="2:17" s="17" customFormat="1" ht="13.8">
      <c r="B842" s="55" t="s">
        <v>991</v>
      </c>
      <c r="C842" s="20" t="s">
        <v>1</v>
      </c>
      <c r="D842" s="22" t="s">
        <v>980</v>
      </c>
      <c r="E842" s="56" t="s">
        <v>22</v>
      </c>
      <c r="F842" s="20" t="str">
        <f t="shared" si="30"/>
        <v>Block 09</v>
      </c>
      <c r="G842" s="20" t="str">
        <f t="shared" si="31"/>
        <v>Lot 16</v>
      </c>
      <c r="H842" s="55" t="s">
        <v>981</v>
      </c>
      <c r="I842" s="57">
        <v>100</v>
      </c>
      <c r="J842" s="57" t="s">
        <v>100</v>
      </c>
      <c r="K842" s="20" t="s">
        <v>982</v>
      </c>
      <c r="L842" s="58">
        <f>IFERROR(INDEX([1]INVENTORY!$I$6:$AI$262,MATCH($B842,[1]INVENTORY!$I$6:$I$262,0),8),"NA")</f>
        <v>3213000</v>
      </c>
      <c r="M842" s="58"/>
      <c r="N842" s="58">
        <f t="shared" si="32"/>
        <v>3213000</v>
      </c>
      <c r="O842" s="58">
        <f>IFERROR(INDEX([1]INVENTORY!$I$6:$AI$262,MATCH($B842,[1]INVENTORY!$I$6:$I$262,0),9),"NA")</f>
        <v>344250</v>
      </c>
      <c r="P842" s="58">
        <f>IFERROR(INDEX([1]INVENTORY!$I$6:$AI$262,MATCH($B842,[1]INVENTORY!$I$6:$I$262,0),10),"NA")</f>
        <v>2868750</v>
      </c>
      <c r="Q842" s="18"/>
    </row>
    <row r="843" spans="2:17" s="17" customFormat="1" ht="13.8">
      <c r="B843" s="55" t="s">
        <v>992</v>
      </c>
      <c r="C843" s="20" t="s">
        <v>1</v>
      </c>
      <c r="D843" s="22" t="s">
        <v>980</v>
      </c>
      <c r="E843" s="56" t="s">
        <v>22</v>
      </c>
      <c r="F843" s="20" t="str">
        <f t="shared" si="30"/>
        <v>Block 09</v>
      </c>
      <c r="G843" s="20" t="str">
        <f t="shared" si="31"/>
        <v>Lot 27</v>
      </c>
      <c r="H843" s="55" t="s">
        <v>981</v>
      </c>
      <c r="I843" s="57">
        <v>146</v>
      </c>
      <c r="J843" s="57" t="s">
        <v>100</v>
      </c>
      <c r="K843" s="20" t="s">
        <v>982</v>
      </c>
      <c r="L843" s="58">
        <f>IFERROR(INDEX([1]INVENTORY!$I$6:$AI$262,MATCH($B843,[1]INVENTORY!$I$6:$I$262,0),8),"NA")</f>
        <v>4896000</v>
      </c>
      <c r="M843" s="58"/>
      <c r="N843" s="58">
        <f t="shared" si="32"/>
        <v>4896000</v>
      </c>
      <c r="O843" s="58">
        <f>IFERROR(INDEX([1]INVENTORY!$I$6:$AI$262,MATCH($B843,[1]INVENTORY!$I$6:$I$262,0),9),"NA")</f>
        <v>524571.42857142852</v>
      </c>
      <c r="P843" s="58">
        <f>IFERROR(INDEX([1]INVENTORY!$I$6:$AI$262,MATCH($B843,[1]INVENTORY!$I$6:$I$262,0),10),"NA")</f>
        <v>4371428.5714285718</v>
      </c>
      <c r="Q843" s="18"/>
    </row>
    <row r="844" spans="2:17" s="17" customFormat="1" ht="13.8">
      <c r="B844" s="55" t="s">
        <v>993</v>
      </c>
      <c r="C844" s="20" t="s">
        <v>1</v>
      </c>
      <c r="D844" s="22" t="s">
        <v>980</v>
      </c>
      <c r="E844" s="56" t="s">
        <v>22</v>
      </c>
      <c r="F844" s="20" t="str">
        <f t="shared" si="30"/>
        <v>Block 10</v>
      </c>
      <c r="G844" s="20" t="str">
        <f t="shared" si="31"/>
        <v>Lot 01</v>
      </c>
      <c r="H844" s="55" t="s">
        <v>981</v>
      </c>
      <c r="I844" s="57">
        <v>100</v>
      </c>
      <c r="J844" s="57" t="s">
        <v>100</v>
      </c>
      <c r="K844" s="20" t="s">
        <v>982</v>
      </c>
      <c r="L844" s="58">
        <f>IFERROR(INDEX([1]INVENTORY!$I$6:$AI$262,MATCH($B844,[1]INVENTORY!$I$6:$I$262,0),8),"NA")</f>
        <v>3213000</v>
      </c>
      <c r="M844" s="58"/>
      <c r="N844" s="58">
        <f t="shared" si="32"/>
        <v>3213000</v>
      </c>
      <c r="O844" s="58">
        <f>IFERROR(INDEX([1]INVENTORY!$I$6:$AI$262,MATCH($B844,[1]INVENTORY!$I$6:$I$262,0),9),"NA")</f>
        <v>344250</v>
      </c>
      <c r="P844" s="58">
        <f>IFERROR(INDEX([1]INVENTORY!$I$6:$AI$262,MATCH($B844,[1]INVENTORY!$I$6:$I$262,0),10),"NA")</f>
        <v>2868750</v>
      </c>
      <c r="Q844" s="18"/>
    </row>
    <row r="845" spans="2:17" s="17" customFormat="1" ht="13.8">
      <c r="B845" s="55" t="s">
        <v>994</v>
      </c>
      <c r="C845" s="20" t="s">
        <v>1</v>
      </c>
      <c r="D845" s="22" t="s">
        <v>980</v>
      </c>
      <c r="E845" s="56" t="s">
        <v>22</v>
      </c>
      <c r="F845" s="20" t="str">
        <f t="shared" si="30"/>
        <v>Block 10</v>
      </c>
      <c r="G845" s="20" t="str">
        <f t="shared" si="31"/>
        <v>Lot 02</v>
      </c>
      <c r="H845" s="55" t="s">
        <v>981</v>
      </c>
      <c r="I845" s="57">
        <v>100</v>
      </c>
      <c r="J845" s="57" t="s">
        <v>100</v>
      </c>
      <c r="K845" s="20" t="s">
        <v>982</v>
      </c>
      <c r="L845" s="58">
        <f>IFERROR(INDEX([1]INVENTORY!$I$6:$AI$262,MATCH($B845,[1]INVENTORY!$I$6:$I$262,0),8),"NA")</f>
        <v>3213000</v>
      </c>
      <c r="M845" s="58"/>
      <c r="N845" s="58">
        <f t="shared" si="32"/>
        <v>3213000</v>
      </c>
      <c r="O845" s="58">
        <f>IFERROR(INDEX([1]INVENTORY!$I$6:$AI$262,MATCH($B845,[1]INVENTORY!$I$6:$I$262,0),9),"NA")</f>
        <v>344250</v>
      </c>
      <c r="P845" s="58">
        <f>IFERROR(INDEX([1]INVENTORY!$I$6:$AI$262,MATCH($B845,[1]INVENTORY!$I$6:$I$262,0),10),"NA")</f>
        <v>2868750</v>
      </c>
      <c r="Q845" s="18"/>
    </row>
    <row r="846" spans="2:17" s="17" customFormat="1" ht="13.8">
      <c r="B846" s="55" t="s">
        <v>995</v>
      </c>
      <c r="C846" s="20" t="s">
        <v>1</v>
      </c>
      <c r="D846" s="22" t="s">
        <v>980</v>
      </c>
      <c r="E846" s="56" t="s">
        <v>22</v>
      </c>
      <c r="F846" s="20" t="str">
        <f t="shared" si="30"/>
        <v>Block 11</v>
      </c>
      <c r="G846" s="20" t="str">
        <f t="shared" si="31"/>
        <v>Lot 01</v>
      </c>
      <c r="H846" s="55" t="s">
        <v>981</v>
      </c>
      <c r="I846" s="57">
        <v>100</v>
      </c>
      <c r="J846" s="57" t="s">
        <v>100</v>
      </c>
      <c r="K846" s="20" t="s">
        <v>982</v>
      </c>
      <c r="L846" s="58">
        <f>IFERROR(INDEX([1]INVENTORY!$I$6:$AI$262,MATCH($B846,[1]INVENTORY!$I$6:$I$262,0),8),"NA")</f>
        <v>3213000</v>
      </c>
      <c r="M846" s="58"/>
      <c r="N846" s="58">
        <f t="shared" si="32"/>
        <v>3213000</v>
      </c>
      <c r="O846" s="58">
        <f>IFERROR(INDEX([1]INVENTORY!$I$6:$AI$262,MATCH($B846,[1]INVENTORY!$I$6:$I$262,0),9),"NA")</f>
        <v>344250</v>
      </c>
      <c r="P846" s="58">
        <f>IFERROR(INDEX([1]INVENTORY!$I$6:$AI$262,MATCH($B846,[1]INVENTORY!$I$6:$I$262,0),10),"NA")</f>
        <v>2868750</v>
      </c>
      <c r="Q846" s="18"/>
    </row>
    <row r="847" spans="2:17" s="17" customFormat="1" ht="13.8">
      <c r="B847" s="55" t="s">
        <v>996</v>
      </c>
      <c r="C847" s="20" t="s">
        <v>1</v>
      </c>
      <c r="D847" s="22" t="s">
        <v>980</v>
      </c>
      <c r="E847" s="56" t="s">
        <v>22</v>
      </c>
      <c r="F847" s="20" t="str">
        <f t="shared" si="30"/>
        <v>Block 11</v>
      </c>
      <c r="G847" s="20" t="str">
        <f t="shared" si="31"/>
        <v>Lot 02</v>
      </c>
      <c r="H847" s="55" t="s">
        <v>981</v>
      </c>
      <c r="I847" s="57">
        <v>100</v>
      </c>
      <c r="J847" s="57" t="s">
        <v>100</v>
      </c>
      <c r="K847" s="20" t="s">
        <v>982</v>
      </c>
      <c r="L847" s="58">
        <f>IFERROR(INDEX([1]INVENTORY!$I$6:$AI$262,MATCH($B847,[1]INVENTORY!$I$6:$I$262,0),8),"NA")</f>
        <v>3213000</v>
      </c>
      <c r="M847" s="58"/>
      <c r="N847" s="58">
        <f t="shared" si="32"/>
        <v>3213000</v>
      </c>
      <c r="O847" s="58">
        <f>IFERROR(INDEX([1]INVENTORY!$I$6:$AI$262,MATCH($B847,[1]INVENTORY!$I$6:$I$262,0),9),"NA")</f>
        <v>344250</v>
      </c>
      <c r="P847" s="58">
        <f>IFERROR(INDEX([1]INVENTORY!$I$6:$AI$262,MATCH($B847,[1]INVENTORY!$I$6:$I$262,0),10),"NA")</f>
        <v>2868750</v>
      </c>
      <c r="Q847" s="18"/>
    </row>
    <row r="848" spans="2:17" s="17" customFormat="1" ht="13.8">
      <c r="B848" s="55" t="s">
        <v>997</v>
      </c>
      <c r="C848" s="20" t="s">
        <v>1</v>
      </c>
      <c r="D848" s="22" t="s">
        <v>980</v>
      </c>
      <c r="E848" s="56" t="s">
        <v>22</v>
      </c>
      <c r="F848" s="20" t="str">
        <f t="shared" si="30"/>
        <v>Block 11</v>
      </c>
      <c r="G848" s="20" t="str">
        <f t="shared" si="31"/>
        <v>Lot 04</v>
      </c>
      <c r="H848" s="55" t="s">
        <v>981</v>
      </c>
      <c r="I848" s="57">
        <v>106</v>
      </c>
      <c r="J848" s="57" t="s">
        <v>100</v>
      </c>
      <c r="K848" s="20" t="s">
        <v>982</v>
      </c>
      <c r="L848" s="58">
        <f>IFERROR(INDEX([1]INVENTORY!$I$6:$AI$262,MATCH($B848,[1]INVENTORY!$I$6:$I$262,0),8),"NA")</f>
        <v>3476000</v>
      </c>
      <c r="M848" s="58"/>
      <c r="N848" s="58">
        <f t="shared" si="32"/>
        <v>3476000</v>
      </c>
      <c r="O848" s="58">
        <f>IFERROR(INDEX([1]INVENTORY!$I$6:$AI$262,MATCH($B848,[1]INVENTORY!$I$6:$I$262,0),9),"NA")</f>
        <v>372428.57142857142</v>
      </c>
      <c r="P848" s="58">
        <f>IFERROR(INDEX([1]INVENTORY!$I$6:$AI$262,MATCH($B848,[1]INVENTORY!$I$6:$I$262,0),10),"NA")</f>
        <v>3103571.4285714286</v>
      </c>
      <c r="Q848" s="18"/>
    </row>
    <row r="849" spans="2:17" s="17" customFormat="1" ht="13.8">
      <c r="B849" s="55" t="s">
        <v>998</v>
      </c>
      <c r="C849" s="20" t="s">
        <v>1</v>
      </c>
      <c r="D849" s="22" t="s">
        <v>980</v>
      </c>
      <c r="E849" s="56" t="s">
        <v>22</v>
      </c>
      <c r="F849" s="20" t="str">
        <f t="shared" si="30"/>
        <v>Block 11</v>
      </c>
      <c r="G849" s="20" t="str">
        <f t="shared" si="31"/>
        <v>Lot 05</v>
      </c>
      <c r="H849" s="55" t="s">
        <v>981</v>
      </c>
      <c r="I849" s="57">
        <v>102</v>
      </c>
      <c r="J849" s="57" t="s">
        <v>100</v>
      </c>
      <c r="K849" s="20" t="s">
        <v>982</v>
      </c>
      <c r="L849" s="58">
        <f>IFERROR(INDEX([1]INVENTORY!$I$6:$AI$262,MATCH($B849,[1]INVENTORY!$I$6:$I$262,0),8),"NA")</f>
        <v>3334000</v>
      </c>
      <c r="M849" s="58"/>
      <c r="N849" s="58">
        <f t="shared" si="32"/>
        <v>3334000</v>
      </c>
      <c r="O849" s="58">
        <f>IFERROR(INDEX([1]INVENTORY!$I$6:$AI$262,MATCH($B849,[1]INVENTORY!$I$6:$I$262,0),9),"NA")</f>
        <v>357214.28571428574</v>
      </c>
      <c r="P849" s="58">
        <f>IFERROR(INDEX([1]INVENTORY!$I$6:$AI$262,MATCH($B849,[1]INVENTORY!$I$6:$I$262,0),10),"NA")</f>
        <v>2976785.7142857141</v>
      </c>
      <c r="Q849" s="18"/>
    </row>
    <row r="850" spans="2:17" s="17" customFormat="1" ht="13.8">
      <c r="B850" s="55" t="s">
        <v>999</v>
      </c>
      <c r="C850" s="20" t="s">
        <v>1</v>
      </c>
      <c r="D850" s="22" t="s">
        <v>980</v>
      </c>
      <c r="E850" s="56" t="s">
        <v>22</v>
      </c>
      <c r="F850" s="20" t="str">
        <f t="shared" si="30"/>
        <v>Block 12</v>
      </c>
      <c r="G850" s="20" t="str">
        <f t="shared" si="31"/>
        <v>Lot 01</v>
      </c>
      <c r="H850" s="55" t="s">
        <v>981</v>
      </c>
      <c r="I850" s="57">
        <v>100</v>
      </c>
      <c r="J850" s="57" t="s">
        <v>100</v>
      </c>
      <c r="K850" s="20" t="s">
        <v>982</v>
      </c>
      <c r="L850" s="58">
        <f>IFERROR(INDEX([1]INVENTORY!$I$6:$AI$262,MATCH($B850,[1]INVENTORY!$I$6:$I$262,0),8),"NA")</f>
        <v>3213000</v>
      </c>
      <c r="M850" s="58"/>
      <c r="N850" s="58">
        <f t="shared" si="32"/>
        <v>3213000</v>
      </c>
      <c r="O850" s="58">
        <f>IFERROR(INDEX([1]INVENTORY!$I$6:$AI$262,MATCH($B850,[1]INVENTORY!$I$6:$I$262,0),9),"NA")</f>
        <v>344250</v>
      </c>
      <c r="P850" s="58">
        <f>IFERROR(INDEX([1]INVENTORY!$I$6:$AI$262,MATCH($B850,[1]INVENTORY!$I$6:$I$262,0),10),"NA")</f>
        <v>2868750</v>
      </c>
      <c r="Q850" s="18"/>
    </row>
    <row r="851" spans="2:17" s="17" customFormat="1" ht="13.8">
      <c r="B851" s="55" t="s">
        <v>1000</v>
      </c>
      <c r="C851" s="20" t="s">
        <v>1</v>
      </c>
      <c r="D851" s="22" t="s">
        <v>980</v>
      </c>
      <c r="E851" s="56" t="s">
        <v>22</v>
      </c>
      <c r="F851" s="20" t="str">
        <f t="shared" si="30"/>
        <v>Block 12</v>
      </c>
      <c r="G851" s="20" t="str">
        <f t="shared" si="31"/>
        <v>Lot 02</v>
      </c>
      <c r="H851" s="55" t="s">
        <v>981</v>
      </c>
      <c r="I851" s="57">
        <v>98</v>
      </c>
      <c r="J851" s="57" t="s">
        <v>100</v>
      </c>
      <c r="K851" s="20" t="s">
        <v>982</v>
      </c>
      <c r="L851" s="58">
        <f>IFERROR(INDEX([1]INVENTORY!$I$6:$AI$262,MATCH($B851,[1]INVENTORY!$I$6:$I$262,0),8),"NA")</f>
        <v>3192000</v>
      </c>
      <c r="M851" s="58"/>
      <c r="N851" s="58">
        <f t="shared" si="32"/>
        <v>3192000</v>
      </c>
      <c r="O851" s="58">
        <f>IFERROR(INDEX([1]INVENTORY!$I$6:$AI$262,MATCH($B851,[1]INVENTORY!$I$6:$I$262,0),9),"NA")</f>
        <v>342000</v>
      </c>
      <c r="P851" s="58">
        <f>IFERROR(INDEX([1]INVENTORY!$I$6:$AI$262,MATCH($B851,[1]INVENTORY!$I$6:$I$262,0),10),"NA")</f>
        <v>2850000</v>
      </c>
      <c r="Q851" s="18"/>
    </row>
    <row r="852" spans="2:17" s="17" customFormat="1" ht="13.8">
      <c r="B852" s="55" t="s">
        <v>1001</v>
      </c>
      <c r="C852" s="20" t="s">
        <v>1</v>
      </c>
      <c r="D852" s="22" t="s">
        <v>980</v>
      </c>
      <c r="E852" s="56" t="s">
        <v>22</v>
      </c>
      <c r="F852" s="20" t="str">
        <f t="shared" si="30"/>
        <v>Block 12</v>
      </c>
      <c r="G852" s="20" t="str">
        <f t="shared" si="31"/>
        <v>Lot 04</v>
      </c>
      <c r="H852" s="55" t="s">
        <v>981</v>
      </c>
      <c r="I852" s="57">
        <v>103</v>
      </c>
      <c r="J852" s="57" t="s">
        <v>100</v>
      </c>
      <c r="K852" s="20" t="s">
        <v>982</v>
      </c>
      <c r="L852" s="58">
        <f>IFERROR(INDEX([1]INVENTORY!$I$6:$AI$262,MATCH($B852,[1]INVENTORY!$I$6:$I$262,0),8),"NA")</f>
        <v>3344500</v>
      </c>
      <c r="M852" s="58"/>
      <c r="N852" s="58">
        <f t="shared" si="32"/>
        <v>3344500</v>
      </c>
      <c r="O852" s="58">
        <f>IFERROR(INDEX([1]INVENTORY!$I$6:$AI$262,MATCH($B852,[1]INVENTORY!$I$6:$I$262,0),9),"NA")</f>
        <v>358339.28571428574</v>
      </c>
      <c r="P852" s="58">
        <f>IFERROR(INDEX([1]INVENTORY!$I$6:$AI$262,MATCH($B852,[1]INVENTORY!$I$6:$I$262,0),10),"NA")</f>
        <v>2986160.7142857141</v>
      </c>
      <c r="Q852" s="18"/>
    </row>
    <row r="853" spans="2:17" s="17" customFormat="1" ht="13.8">
      <c r="B853" s="55" t="s">
        <v>1002</v>
      </c>
      <c r="C853" s="20" t="s">
        <v>1</v>
      </c>
      <c r="D853" s="22" t="s">
        <v>980</v>
      </c>
      <c r="E853" s="56" t="s">
        <v>22</v>
      </c>
      <c r="F853" s="20" t="str">
        <f t="shared" si="30"/>
        <v>Block 12</v>
      </c>
      <c r="G853" s="20" t="str">
        <f t="shared" si="31"/>
        <v>Lot 05</v>
      </c>
      <c r="H853" s="55" t="s">
        <v>981</v>
      </c>
      <c r="I853" s="57">
        <v>102</v>
      </c>
      <c r="J853" s="57" t="s">
        <v>100</v>
      </c>
      <c r="K853" s="20" t="s">
        <v>982</v>
      </c>
      <c r="L853" s="58">
        <f>IFERROR(INDEX([1]INVENTORY!$I$6:$AI$262,MATCH($B853,[1]INVENTORY!$I$6:$I$262,0),8),"NA")</f>
        <v>3334000</v>
      </c>
      <c r="M853" s="58"/>
      <c r="N853" s="58">
        <f t="shared" si="32"/>
        <v>3334000</v>
      </c>
      <c r="O853" s="58">
        <f>IFERROR(INDEX([1]INVENTORY!$I$6:$AI$262,MATCH($B853,[1]INVENTORY!$I$6:$I$262,0),9),"NA")</f>
        <v>357214.28571428574</v>
      </c>
      <c r="P853" s="58">
        <f>IFERROR(INDEX([1]INVENTORY!$I$6:$AI$262,MATCH($B853,[1]INVENTORY!$I$6:$I$262,0),10),"NA")</f>
        <v>2976785.7142857141</v>
      </c>
      <c r="Q853" s="18"/>
    </row>
    <row r="854" spans="2:17" s="17" customFormat="1" ht="13.8">
      <c r="B854" s="55" t="s">
        <v>1003</v>
      </c>
      <c r="C854" s="20" t="s">
        <v>1</v>
      </c>
      <c r="D854" s="22" t="s">
        <v>980</v>
      </c>
      <c r="E854" s="56" t="s">
        <v>22</v>
      </c>
      <c r="F854" s="20" t="str">
        <f t="shared" si="30"/>
        <v>Block 200</v>
      </c>
      <c r="G854" s="20" t="str">
        <f t="shared" si="31"/>
        <v>Lot 02</v>
      </c>
      <c r="H854" s="55" t="s">
        <v>981</v>
      </c>
      <c r="I854" s="57">
        <v>131</v>
      </c>
      <c r="J854" s="57" t="s">
        <v>100</v>
      </c>
      <c r="K854" s="20" t="s">
        <v>982</v>
      </c>
      <c r="L854" s="58">
        <f>IFERROR(INDEX([1]INVENTORY!$I$6:$AI$262,MATCH($B854,[1]INVENTORY!$I$6:$I$262,0),8),"NA")</f>
        <v>4338500</v>
      </c>
      <c r="M854" s="58"/>
      <c r="N854" s="58">
        <f t="shared" si="32"/>
        <v>4338500</v>
      </c>
      <c r="O854" s="58">
        <f>IFERROR(INDEX([1]INVENTORY!$I$6:$AI$262,MATCH($B854,[1]INVENTORY!$I$6:$I$262,0),9),"NA")</f>
        <v>464839.28571428574</v>
      </c>
      <c r="P854" s="58">
        <f>IFERROR(INDEX([1]INVENTORY!$I$6:$AI$262,MATCH($B854,[1]INVENTORY!$I$6:$I$262,0),10),"NA")</f>
        <v>3873660.7142857141</v>
      </c>
      <c r="Q854" s="18"/>
    </row>
    <row r="855" spans="2:17" s="17" customFormat="1" ht="13.8">
      <c r="B855" s="55" t="s">
        <v>1004</v>
      </c>
      <c r="C855" s="20" t="s">
        <v>1</v>
      </c>
      <c r="D855" s="22" t="s">
        <v>980</v>
      </c>
      <c r="E855" s="56" t="s">
        <v>22</v>
      </c>
      <c r="F855" s="20" t="str">
        <f t="shared" si="30"/>
        <v>Block 200</v>
      </c>
      <c r="G855" s="20" t="str">
        <f t="shared" si="31"/>
        <v>Lot 03</v>
      </c>
      <c r="H855" s="55" t="s">
        <v>981</v>
      </c>
      <c r="I855" s="57">
        <v>122</v>
      </c>
      <c r="J855" s="57" t="s">
        <v>100</v>
      </c>
      <c r="K855" s="20" t="s">
        <v>982</v>
      </c>
      <c r="L855" s="58">
        <f>IFERROR(INDEX([1]INVENTORY!$I$6:$AI$262,MATCH($B855,[1]INVENTORY!$I$6:$I$262,0),8),"NA")</f>
        <v>4044000</v>
      </c>
      <c r="M855" s="58"/>
      <c r="N855" s="58">
        <f t="shared" si="32"/>
        <v>4044000</v>
      </c>
      <c r="O855" s="58">
        <f>IFERROR(INDEX([1]INVENTORY!$I$6:$AI$262,MATCH($B855,[1]INVENTORY!$I$6:$I$262,0),9),"NA")</f>
        <v>433285.71428571426</v>
      </c>
      <c r="P855" s="58">
        <f>IFERROR(INDEX([1]INVENTORY!$I$6:$AI$262,MATCH($B855,[1]INVENTORY!$I$6:$I$262,0),10),"NA")</f>
        <v>3610714.2857142859</v>
      </c>
      <c r="Q855" s="18"/>
    </row>
    <row r="856" spans="2:17">
      <c r="B856" s="19" t="s">
        <v>1005</v>
      </c>
      <c r="C856" s="20" t="s">
        <v>2</v>
      </c>
      <c r="D856" s="20" t="str">
        <f>IFERROR(INDEX('[2]PRICELIST, 908u'!$G$7:$AX$914,MATCH($B856,'[2]PRICELIST, 908u'!$G$7:$G$914,0),18),"NA")</f>
        <v>2024 Batch</v>
      </c>
      <c r="E856" s="20" t="str">
        <f>IFERROR(INDEX([3]AGM!$D$21:$BL$928,MATCH($B856,[3]AGM!$AD$21:$AD$928,0),1),"NA")</f>
        <v>CLOSED</v>
      </c>
      <c r="F856" s="20" t="str">
        <f>"Block "&amp;TEXT(VALUE(MID(B856,8,3)),"00")</f>
        <v>Block 01</v>
      </c>
      <c r="G856" s="20" t="str">
        <f t="shared" ref="G856:G919" si="33">"Lot "&amp;TEXT(VALUE(RIGHT(B856,3)),"00")</f>
        <v>Lot 01</v>
      </c>
      <c r="H856" s="20">
        <f>IFERROR(INDEX('[2]PRICELIST, 908u'!$G$7:$AX$914,MATCH($B856,'[2]PRICELIST, 908u'!$G$7:$G$914,0),23),"NA")</f>
        <v>50</v>
      </c>
      <c r="I856" s="20">
        <f>IFERROR(INDEX('[2]PRICELIST, 908u'!$G$7:$AX$914,MATCH($B856,'[2]PRICELIST, 908u'!$G$7:$G$914,0),22),"NA")</f>
        <v>70</v>
      </c>
      <c r="J856" s="20" t="s">
        <v>25</v>
      </c>
      <c r="K856" s="20" t="str">
        <f>IFERROR(INDEX('[2]PRICELIST, 908u'!$G$7:$AX$914,MATCH($B856,'[2]PRICELIST, 908u'!$G$7:$G$914,0),30),"NA")</f>
        <v>Flat / GREEN</v>
      </c>
      <c r="L856" s="20">
        <f>IFERROR(INDEX('[2]PRICELIST, 908u'!$G$7:$AX$914,MATCH($B856,'[2]PRICELIST, 908u'!$G$7:$G$914,0),40),"NA")</f>
        <v>2850000</v>
      </c>
      <c r="M856" s="20">
        <f>IFERROR(INDEX('[2]PRICELIST, 908u'!$G$7:$AX$914,MATCH($B856,'[2]PRICELIST, 908u'!$G$7:$G$914,0),41),"NA")</f>
        <v>100000</v>
      </c>
      <c r="N856" s="58">
        <f t="shared" si="32"/>
        <v>2750000</v>
      </c>
      <c r="O856" s="60"/>
      <c r="P856" s="60">
        <f>N856-O856</f>
        <v>2750000</v>
      </c>
    </row>
    <row r="857" spans="2:17">
      <c r="B857" s="19" t="s">
        <v>1006</v>
      </c>
      <c r="C857" s="20" t="s">
        <v>2</v>
      </c>
      <c r="D857" s="20" t="str">
        <f>IFERROR(INDEX('[2]PRICELIST, 908u'!$G$7:$AX$914,MATCH($B857,'[2]PRICELIST, 908u'!$G$7:$G$914,0),18),"NA")</f>
        <v>2024 Batch</v>
      </c>
      <c r="E857" s="20" t="str">
        <f>IFERROR(INDEX([3]AGM!$D$21:$BL$928,MATCH($B857,[3]AGM!$AD$21:$AD$928,0),1),"NA")</f>
        <v>CLOSED</v>
      </c>
      <c r="F857" s="20" t="str">
        <f t="shared" ref="F857:F920" si="34">"Block "&amp;TEXT(VALUE(MID(B857,8,3)),"00")</f>
        <v>Block 01</v>
      </c>
      <c r="G857" s="20" t="str">
        <f t="shared" si="33"/>
        <v>Lot 02</v>
      </c>
      <c r="H857" s="20">
        <f>IFERROR(INDEX('[2]PRICELIST, 908u'!$G$7:$AX$914,MATCH($B857,'[2]PRICELIST, 908u'!$G$7:$G$914,0),23),"NA")</f>
        <v>50</v>
      </c>
      <c r="I857" s="20">
        <f>IFERROR(INDEX('[2]PRICELIST, 908u'!$G$7:$AX$914,MATCH($B857,'[2]PRICELIST, 908u'!$G$7:$G$914,0),22),"NA")</f>
        <v>70</v>
      </c>
      <c r="J857" s="20" t="s">
        <v>207</v>
      </c>
      <c r="K857" s="20" t="str">
        <f>IFERROR(INDEX('[2]PRICELIST, 908u'!$G$7:$AX$914,MATCH($B857,'[2]PRICELIST, 908u'!$G$7:$G$914,0),30),"NA")</f>
        <v>Slant / GREEN</v>
      </c>
      <c r="L857" s="20">
        <f>IFERROR(INDEX('[2]PRICELIST, 908u'!$G$7:$AX$914,MATCH($B857,'[2]PRICELIST, 908u'!$G$7:$G$914,0),40),"NA")</f>
        <v>2650000</v>
      </c>
      <c r="M857" s="20">
        <f>IFERROR(INDEX('[2]PRICELIST, 908u'!$G$7:$AX$914,MATCH($B857,'[2]PRICELIST, 908u'!$G$7:$G$914,0),41),"NA")</f>
        <v>100000</v>
      </c>
      <c r="N857" s="58">
        <f t="shared" si="32"/>
        <v>2550000</v>
      </c>
      <c r="O857" s="60"/>
      <c r="P857" s="60">
        <f t="shared" ref="P857:P920" si="35">N857-O857</f>
        <v>2550000</v>
      </c>
    </row>
    <row r="858" spans="2:17">
      <c r="B858" s="20" t="s">
        <v>1007</v>
      </c>
      <c r="C858" s="20" t="s">
        <v>2</v>
      </c>
      <c r="D858" s="20" t="str">
        <f>IFERROR(INDEX('[2]PRICELIST, 908u'!$G$7:$AX$914,MATCH($B858,'[2]PRICELIST, 908u'!$G$7:$G$914,0),18),"NA")</f>
        <v>2025 - Batch 6</v>
      </c>
      <c r="E858" s="20" t="str">
        <f>IFERROR(INDEX([3]AGM!$D$21:$BL$928,MATCH($B858,[3]AGM!$AD$21:$AD$928,0),1),"NA")</f>
        <v>CLOSED</v>
      </c>
      <c r="F858" s="20" t="str">
        <f t="shared" si="34"/>
        <v>Block 01</v>
      </c>
      <c r="G858" s="20" t="str">
        <f t="shared" si="33"/>
        <v>Lot 03</v>
      </c>
      <c r="H858" s="20">
        <f>IFERROR(INDEX('[2]PRICELIST, 908u'!$G$7:$AX$914,MATCH($B858,'[2]PRICELIST, 908u'!$G$7:$G$914,0),23),"NA")</f>
        <v>50</v>
      </c>
      <c r="I858" s="20">
        <f>IFERROR(INDEX('[2]PRICELIST, 908u'!$G$7:$AX$914,MATCH($B858,'[2]PRICELIST, 908u'!$G$7:$G$914,0),22),"NA")</f>
        <v>70</v>
      </c>
      <c r="J858" s="20" t="s">
        <v>1008</v>
      </c>
      <c r="K858" s="20" t="str">
        <f>IFERROR(INDEX('[2]PRICELIST, 908u'!$G$7:$AX$914,MATCH($B858,'[2]PRICELIST, 908u'!$G$7:$G$914,0),30),"NA")</f>
        <v>Slant / GREEN</v>
      </c>
      <c r="L858" s="20">
        <f>IFERROR(INDEX('[2]PRICELIST, 908u'!$G$7:$AX$914,MATCH($B858,'[2]PRICELIST, 908u'!$G$7:$G$914,0),40),"NA")</f>
        <v>2650000</v>
      </c>
      <c r="M858" s="20">
        <f>IFERROR(INDEX('[2]PRICELIST, 908u'!$G$7:$AX$914,MATCH($B858,'[2]PRICELIST, 908u'!$G$7:$G$914,0),41),"NA")</f>
        <v>100000</v>
      </c>
      <c r="N858" s="58">
        <f t="shared" ref="N858:N921" si="36">L858-M858</f>
        <v>2550000</v>
      </c>
      <c r="O858" s="60"/>
      <c r="P858" s="60">
        <f t="shared" si="35"/>
        <v>2550000</v>
      </c>
    </row>
    <row r="859" spans="2:17">
      <c r="B859" s="20" t="s">
        <v>1009</v>
      </c>
      <c r="C859" s="20" t="s">
        <v>2</v>
      </c>
      <c r="D859" s="20" t="str">
        <f>IFERROR(INDEX('[2]PRICELIST, 908u'!$G$7:$AX$914,MATCH($B859,'[2]PRICELIST, 908u'!$G$7:$G$914,0),18),"NA")</f>
        <v>2025 - Batch 6</v>
      </c>
      <c r="E859" s="20" t="str">
        <f>IFERROR(INDEX([3]AGM!$D$21:$BL$928,MATCH($B859,[3]AGM!$AD$21:$AD$928,0),1),"NA")</f>
        <v>CLOSED</v>
      </c>
      <c r="F859" s="20" t="str">
        <f t="shared" si="34"/>
        <v>Block 01</v>
      </c>
      <c r="G859" s="20" t="str">
        <f t="shared" si="33"/>
        <v>Lot 04</v>
      </c>
      <c r="H859" s="20">
        <f>IFERROR(INDEX('[2]PRICELIST, 908u'!$G$7:$AX$914,MATCH($B859,'[2]PRICELIST, 908u'!$G$7:$G$914,0),23),"NA")</f>
        <v>50</v>
      </c>
      <c r="I859" s="20">
        <f>IFERROR(INDEX('[2]PRICELIST, 908u'!$G$7:$AX$914,MATCH($B859,'[2]PRICELIST, 908u'!$G$7:$G$914,0),22),"NA")</f>
        <v>70</v>
      </c>
      <c r="J859" s="20" t="s">
        <v>1008</v>
      </c>
      <c r="K859" s="20" t="str">
        <f>IFERROR(INDEX('[2]PRICELIST, 908u'!$G$7:$AX$914,MATCH($B859,'[2]PRICELIST, 908u'!$G$7:$G$914,0),30),"NA")</f>
        <v>Flat / GREEN</v>
      </c>
      <c r="L859" s="20">
        <f>IFERROR(INDEX('[2]PRICELIST, 908u'!$G$7:$AX$914,MATCH($B859,'[2]PRICELIST, 908u'!$G$7:$G$914,0),40),"NA")</f>
        <v>2650000</v>
      </c>
      <c r="M859" s="20">
        <f>IFERROR(INDEX('[2]PRICELIST, 908u'!$G$7:$AX$914,MATCH($B859,'[2]PRICELIST, 908u'!$G$7:$G$914,0),41),"NA")</f>
        <v>100000</v>
      </c>
      <c r="N859" s="58">
        <f t="shared" si="36"/>
        <v>2550000</v>
      </c>
      <c r="O859" s="60"/>
      <c r="P859" s="60">
        <f t="shared" si="35"/>
        <v>2550000</v>
      </c>
    </row>
    <row r="860" spans="2:17">
      <c r="B860" s="20" t="s">
        <v>1010</v>
      </c>
      <c r="C860" s="20" t="s">
        <v>2</v>
      </c>
      <c r="D860" s="20" t="str">
        <f>IFERROR(INDEX('[2]PRICELIST, 908u'!$G$7:$AX$914,MATCH($B860,'[2]PRICELIST, 908u'!$G$7:$G$914,0),18),"NA")</f>
        <v>2025 - Batch 6</v>
      </c>
      <c r="E860" s="20" t="str">
        <f>IFERROR(INDEX([3]AGM!$D$21:$BL$928,MATCH($B860,[3]AGM!$AD$21:$AD$928,0),1),"NA")</f>
        <v>CLOSED</v>
      </c>
      <c r="F860" s="20" t="str">
        <f t="shared" si="34"/>
        <v>Block 01</v>
      </c>
      <c r="G860" s="20" t="str">
        <f t="shared" si="33"/>
        <v>Lot 05</v>
      </c>
      <c r="H860" s="20">
        <f>IFERROR(INDEX('[2]PRICELIST, 908u'!$G$7:$AX$914,MATCH($B860,'[2]PRICELIST, 908u'!$G$7:$G$914,0),23),"NA")</f>
        <v>50</v>
      </c>
      <c r="I860" s="20">
        <f>IFERROR(INDEX('[2]PRICELIST, 908u'!$G$7:$AX$914,MATCH($B860,'[2]PRICELIST, 908u'!$G$7:$G$914,0),22),"NA")</f>
        <v>70</v>
      </c>
      <c r="J860" s="20" t="s">
        <v>1008</v>
      </c>
      <c r="K860" s="20" t="str">
        <f>IFERROR(INDEX('[2]PRICELIST, 908u'!$G$7:$AX$914,MATCH($B860,'[2]PRICELIST, 908u'!$G$7:$G$914,0),30),"NA")</f>
        <v>Flat / PURPLE</v>
      </c>
      <c r="L860" s="20">
        <f>IFERROR(INDEX('[2]PRICELIST, 908u'!$G$7:$AX$914,MATCH($B860,'[2]PRICELIST, 908u'!$G$7:$G$914,0),40),"NA")</f>
        <v>2650000</v>
      </c>
      <c r="M860" s="20">
        <f>IFERROR(INDEX('[2]PRICELIST, 908u'!$G$7:$AX$914,MATCH($B860,'[2]PRICELIST, 908u'!$G$7:$G$914,0),41),"NA")</f>
        <v>100000</v>
      </c>
      <c r="N860" s="58">
        <f t="shared" si="36"/>
        <v>2550000</v>
      </c>
      <c r="O860" s="60"/>
      <c r="P860" s="60">
        <f t="shared" si="35"/>
        <v>2550000</v>
      </c>
    </row>
    <row r="861" spans="2:17">
      <c r="B861" s="20" t="s">
        <v>1011</v>
      </c>
      <c r="C861" s="20" t="s">
        <v>2</v>
      </c>
      <c r="D861" s="20" t="str">
        <f>IFERROR(INDEX('[2]PRICELIST, 908u'!$G$7:$AX$914,MATCH($B861,'[2]PRICELIST, 908u'!$G$7:$G$914,0),18),"NA")</f>
        <v>2025 - Batch 6</v>
      </c>
      <c r="E861" s="20" t="str">
        <f>IFERROR(INDEX([3]AGM!$D$21:$BL$928,MATCH($B861,[3]AGM!$AD$21:$AD$928,0),1),"NA")</f>
        <v>CLOSED</v>
      </c>
      <c r="F861" s="20" t="str">
        <f t="shared" si="34"/>
        <v>Block 01</v>
      </c>
      <c r="G861" s="20" t="str">
        <f t="shared" si="33"/>
        <v>Lot 06</v>
      </c>
      <c r="H861" s="20">
        <f>IFERROR(INDEX('[2]PRICELIST, 908u'!$G$7:$AX$914,MATCH($B861,'[2]PRICELIST, 908u'!$G$7:$G$914,0),23),"NA")</f>
        <v>50</v>
      </c>
      <c r="I861" s="20">
        <f>IFERROR(INDEX('[2]PRICELIST, 908u'!$G$7:$AX$914,MATCH($B861,'[2]PRICELIST, 908u'!$G$7:$G$914,0),22),"NA")</f>
        <v>70</v>
      </c>
      <c r="J861" s="20" t="s">
        <v>1008</v>
      </c>
      <c r="K861" s="20" t="str">
        <f>IFERROR(INDEX('[2]PRICELIST, 908u'!$G$7:$AX$914,MATCH($B861,'[2]PRICELIST, 908u'!$G$7:$G$914,0),30),"NA")</f>
        <v>Slant / PURPLE</v>
      </c>
      <c r="L861" s="20">
        <f>IFERROR(INDEX('[2]PRICELIST, 908u'!$G$7:$AX$914,MATCH($B861,'[2]PRICELIST, 908u'!$G$7:$G$914,0),40),"NA")</f>
        <v>2650000</v>
      </c>
      <c r="M861" s="20">
        <f>IFERROR(INDEX('[2]PRICELIST, 908u'!$G$7:$AX$914,MATCH($B861,'[2]PRICELIST, 908u'!$G$7:$G$914,0),41),"NA")</f>
        <v>100000</v>
      </c>
      <c r="N861" s="58">
        <f t="shared" si="36"/>
        <v>2550000</v>
      </c>
      <c r="O861" s="60"/>
      <c r="P861" s="60">
        <f t="shared" si="35"/>
        <v>2550000</v>
      </c>
    </row>
    <row r="862" spans="2:17">
      <c r="B862" s="20" t="s">
        <v>1012</v>
      </c>
      <c r="C862" s="20" t="s">
        <v>2</v>
      </c>
      <c r="D862" s="20" t="str">
        <f>IFERROR(INDEX('[2]PRICELIST, 908u'!$G$7:$AX$914,MATCH($B862,'[2]PRICELIST, 908u'!$G$7:$G$914,0),18),"NA")</f>
        <v>2025 - Batch 6</v>
      </c>
      <c r="E862" s="20" t="str">
        <f>IFERROR(INDEX([3]AGM!$D$21:$BL$928,MATCH($B862,[3]AGM!$AD$21:$AD$928,0),1),"NA")</f>
        <v>CLOSED</v>
      </c>
      <c r="F862" s="20" t="str">
        <f t="shared" si="34"/>
        <v>Block 01</v>
      </c>
      <c r="G862" s="20" t="str">
        <f t="shared" si="33"/>
        <v>Lot 07</v>
      </c>
      <c r="H862" s="20">
        <f>IFERROR(INDEX('[2]PRICELIST, 908u'!$G$7:$AX$914,MATCH($B862,'[2]PRICELIST, 908u'!$G$7:$G$914,0),23),"NA")</f>
        <v>50</v>
      </c>
      <c r="I862" s="20">
        <f>IFERROR(INDEX('[2]PRICELIST, 908u'!$G$7:$AX$914,MATCH($B862,'[2]PRICELIST, 908u'!$G$7:$G$914,0),22),"NA")</f>
        <v>70</v>
      </c>
      <c r="J862" s="20" t="s">
        <v>1008</v>
      </c>
      <c r="K862" s="20" t="str">
        <f>IFERROR(INDEX('[2]PRICELIST, 908u'!$G$7:$AX$914,MATCH($B862,'[2]PRICELIST, 908u'!$G$7:$G$914,0),30),"NA")</f>
        <v>Slant / PURPLE</v>
      </c>
      <c r="L862" s="20">
        <f>IFERROR(INDEX('[2]PRICELIST, 908u'!$G$7:$AX$914,MATCH($B862,'[2]PRICELIST, 908u'!$G$7:$G$914,0),40),"NA")</f>
        <v>2650000</v>
      </c>
      <c r="M862" s="20">
        <f>IFERROR(INDEX('[2]PRICELIST, 908u'!$G$7:$AX$914,MATCH($B862,'[2]PRICELIST, 908u'!$G$7:$G$914,0),41),"NA")</f>
        <v>100000</v>
      </c>
      <c r="N862" s="58">
        <f t="shared" si="36"/>
        <v>2550000</v>
      </c>
      <c r="O862" s="60"/>
      <c r="P862" s="60">
        <f t="shared" si="35"/>
        <v>2550000</v>
      </c>
    </row>
    <row r="863" spans="2:17">
      <c r="B863" s="20" t="s">
        <v>1013</v>
      </c>
      <c r="C863" s="20" t="s">
        <v>2</v>
      </c>
      <c r="D863" s="20" t="str">
        <f>IFERROR(INDEX('[2]PRICELIST, 908u'!$G$7:$AX$914,MATCH($B863,'[2]PRICELIST, 908u'!$G$7:$G$914,0),18),"NA")</f>
        <v>2025 - Batch 6</v>
      </c>
      <c r="E863" s="20" t="str">
        <f>IFERROR(INDEX([3]AGM!$D$21:$BL$928,MATCH($B863,[3]AGM!$AD$21:$AD$928,0),1),"NA")</f>
        <v>CLOSED</v>
      </c>
      <c r="F863" s="20" t="str">
        <f t="shared" si="34"/>
        <v>Block 01</v>
      </c>
      <c r="G863" s="20" t="str">
        <f t="shared" si="33"/>
        <v>Lot 08</v>
      </c>
      <c r="H863" s="20">
        <f>IFERROR(INDEX('[2]PRICELIST, 908u'!$G$7:$AX$914,MATCH($B863,'[2]PRICELIST, 908u'!$G$7:$G$914,0),23),"NA")</f>
        <v>50</v>
      </c>
      <c r="I863" s="20">
        <f>IFERROR(INDEX('[2]PRICELIST, 908u'!$G$7:$AX$914,MATCH($B863,'[2]PRICELIST, 908u'!$G$7:$G$914,0),22),"NA")</f>
        <v>70</v>
      </c>
      <c r="J863" s="20" t="s">
        <v>1008</v>
      </c>
      <c r="K863" s="20" t="str">
        <f>IFERROR(INDEX('[2]PRICELIST, 908u'!$G$7:$AX$914,MATCH($B863,'[2]PRICELIST, 908u'!$G$7:$G$914,0),30),"NA")</f>
        <v>Flat / PURPLE</v>
      </c>
      <c r="L863" s="20">
        <f>IFERROR(INDEX('[2]PRICELIST, 908u'!$G$7:$AX$914,MATCH($B863,'[2]PRICELIST, 908u'!$G$7:$G$914,0),40),"NA")</f>
        <v>2650000</v>
      </c>
      <c r="M863" s="20">
        <f>IFERROR(INDEX('[2]PRICELIST, 908u'!$G$7:$AX$914,MATCH($B863,'[2]PRICELIST, 908u'!$G$7:$G$914,0),41),"NA")</f>
        <v>100000</v>
      </c>
      <c r="N863" s="58">
        <f t="shared" si="36"/>
        <v>2550000</v>
      </c>
      <c r="O863" s="60"/>
      <c r="P863" s="60">
        <f t="shared" si="35"/>
        <v>2550000</v>
      </c>
    </row>
    <row r="864" spans="2:17">
      <c r="B864" s="20" t="s">
        <v>1014</v>
      </c>
      <c r="C864" s="20" t="s">
        <v>2</v>
      </c>
      <c r="D864" s="20" t="str">
        <f>IFERROR(INDEX('[2]PRICELIST, 908u'!$G$7:$AX$914,MATCH($B864,'[2]PRICELIST, 908u'!$G$7:$G$914,0),18),"NA")</f>
        <v>2025 - Batch 6</v>
      </c>
      <c r="E864" s="20" t="str">
        <f>IFERROR(INDEX([3]AGM!$D$21:$BL$928,MATCH($B864,[3]AGM!$AD$21:$AD$928,0),1),"NA")</f>
        <v>CLOSED</v>
      </c>
      <c r="F864" s="20" t="str">
        <f t="shared" si="34"/>
        <v>Block 01</v>
      </c>
      <c r="G864" s="20" t="str">
        <f t="shared" si="33"/>
        <v>Lot 09</v>
      </c>
      <c r="H864" s="20">
        <f>IFERROR(INDEX('[2]PRICELIST, 908u'!$G$7:$AX$914,MATCH($B864,'[2]PRICELIST, 908u'!$G$7:$G$914,0),23),"NA")</f>
        <v>50</v>
      </c>
      <c r="I864" s="20">
        <f>IFERROR(INDEX('[2]PRICELIST, 908u'!$G$7:$AX$914,MATCH($B864,'[2]PRICELIST, 908u'!$G$7:$G$914,0),22),"NA")</f>
        <v>70</v>
      </c>
      <c r="J864" s="20" t="s">
        <v>1008</v>
      </c>
      <c r="K864" s="20" t="str">
        <f>IFERROR(INDEX('[2]PRICELIST, 908u'!$G$7:$AX$914,MATCH($B864,'[2]PRICELIST, 908u'!$G$7:$G$914,0),30),"NA")</f>
        <v>Flat / PINK</v>
      </c>
      <c r="L864" s="20">
        <f>IFERROR(INDEX('[2]PRICELIST, 908u'!$G$7:$AX$914,MATCH($B864,'[2]PRICELIST, 908u'!$G$7:$G$914,0),40),"NA")</f>
        <v>2650000</v>
      </c>
      <c r="M864" s="20">
        <f>IFERROR(INDEX('[2]PRICELIST, 908u'!$G$7:$AX$914,MATCH($B864,'[2]PRICELIST, 908u'!$G$7:$G$914,0),41),"NA")</f>
        <v>100000</v>
      </c>
      <c r="N864" s="58">
        <f t="shared" si="36"/>
        <v>2550000</v>
      </c>
      <c r="O864" s="60"/>
      <c r="P864" s="60">
        <f t="shared" si="35"/>
        <v>2550000</v>
      </c>
    </row>
    <row r="865" spans="2:16">
      <c r="B865" s="20" t="s">
        <v>1015</v>
      </c>
      <c r="C865" s="20" t="s">
        <v>2</v>
      </c>
      <c r="D865" s="20" t="str">
        <f>IFERROR(INDEX('[2]PRICELIST, 908u'!$G$7:$AX$914,MATCH($B865,'[2]PRICELIST, 908u'!$G$7:$G$914,0),18),"NA")</f>
        <v>2025 - Batch 6</v>
      </c>
      <c r="E865" s="20" t="str">
        <f>IFERROR(INDEX([3]AGM!$D$21:$BL$928,MATCH($B865,[3]AGM!$AD$21:$AD$928,0),1),"NA")</f>
        <v>CLOSED</v>
      </c>
      <c r="F865" s="20" t="str">
        <f t="shared" si="34"/>
        <v>Block 01</v>
      </c>
      <c r="G865" s="20" t="str">
        <f t="shared" si="33"/>
        <v>Lot 10</v>
      </c>
      <c r="H865" s="20">
        <f>IFERROR(INDEX('[2]PRICELIST, 908u'!$G$7:$AX$914,MATCH($B865,'[2]PRICELIST, 908u'!$G$7:$G$914,0),23),"NA")</f>
        <v>50</v>
      </c>
      <c r="I865" s="20">
        <f>IFERROR(INDEX('[2]PRICELIST, 908u'!$G$7:$AX$914,MATCH($B865,'[2]PRICELIST, 908u'!$G$7:$G$914,0),22),"NA")</f>
        <v>119</v>
      </c>
      <c r="J865" s="20" t="s">
        <v>1008</v>
      </c>
      <c r="K865" s="20" t="str">
        <f>IFERROR(INDEX('[2]PRICELIST, 908u'!$G$7:$AX$914,MATCH($B865,'[2]PRICELIST, 908u'!$G$7:$G$914,0),30),"NA")</f>
        <v>Slant / PINK</v>
      </c>
      <c r="L865" s="20">
        <f>IFERROR(INDEX('[2]PRICELIST, 908u'!$G$7:$AX$914,MATCH($B865,'[2]PRICELIST, 908u'!$G$7:$G$914,0),40),"NA")</f>
        <v>3400000</v>
      </c>
      <c r="M865" s="20">
        <f>IFERROR(INDEX('[2]PRICELIST, 908u'!$G$7:$AX$914,MATCH($B865,'[2]PRICELIST, 908u'!$G$7:$G$914,0),41),"NA")</f>
        <v>100000</v>
      </c>
      <c r="N865" s="58">
        <f t="shared" si="36"/>
        <v>3300000</v>
      </c>
      <c r="O865" s="60"/>
      <c r="P865" s="60">
        <f t="shared" si="35"/>
        <v>3300000</v>
      </c>
    </row>
    <row r="866" spans="2:16">
      <c r="B866" s="20" t="s">
        <v>1016</v>
      </c>
      <c r="C866" s="20" t="s">
        <v>2</v>
      </c>
      <c r="D866" s="20" t="str">
        <f>IFERROR(INDEX('[2]PRICELIST, 908u'!$G$7:$AX$914,MATCH($B866,'[2]PRICELIST, 908u'!$G$7:$G$914,0),18),"NA")</f>
        <v>2025 - Batch 6</v>
      </c>
      <c r="E866" s="20" t="str">
        <f>IFERROR(INDEX([3]AGM!$D$21:$BL$928,MATCH($B866,[3]AGM!$AD$21:$AD$928,0),1),"NA")</f>
        <v>OS</v>
      </c>
      <c r="F866" s="20" t="str">
        <f t="shared" si="34"/>
        <v>Block 02</v>
      </c>
      <c r="G866" s="20" t="str">
        <f t="shared" si="33"/>
        <v>Lot 01</v>
      </c>
      <c r="H866" s="20">
        <f>IFERROR(INDEX('[2]PRICELIST, 908u'!$G$7:$AX$914,MATCH($B866,'[2]PRICELIST, 908u'!$G$7:$G$914,0),23),"NA")</f>
        <v>50</v>
      </c>
      <c r="I866" s="20">
        <f>IFERROR(INDEX('[2]PRICELIST, 908u'!$G$7:$AX$914,MATCH($B866,'[2]PRICELIST, 908u'!$G$7:$G$914,0),22),"NA")</f>
        <v>70</v>
      </c>
      <c r="J866" s="20" t="s">
        <v>207</v>
      </c>
      <c r="K866" s="20" t="str">
        <f>IFERROR(INDEX('[2]PRICELIST, 908u'!$G$7:$AX$914,MATCH($B866,'[2]PRICELIST, 908u'!$G$7:$G$914,0),30),"NA")</f>
        <v>Slant / PURPLE</v>
      </c>
      <c r="L866" s="20">
        <f>IFERROR(INDEX('[2]PRICELIST, 908u'!$G$7:$AX$914,MATCH($B866,'[2]PRICELIST, 908u'!$G$7:$G$914,0),40),"NA")</f>
        <v>2650000</v>
      </c>
      <c r="M866" s="20">
        <f>IFERROR(INDEX('[2]PRICELIST, 908u'!$G$7:$AX$914,MATCH($B866,'[2]PRICELIST, 908u'!$G$7:$G$914,0),41),"NA")</f>
        <v>100000</v>
      </c>
      <c r="N866" s="58">
        <f t="shared" si="36"/>
        <v>2550000</v>
      </c>
      <c r="O866" s="60"/>
      <c r="P866" s="60">
        <f t="shared" si="35"/>
        <v>2550000</v>
      </c>
    </row>
    <row r="867" spans="2:16">
      <c r="B867" s="20" t="s">
        <v>1017</v>
      </c>
      <c r="C867" s="20" t="s">
        <v>2</v>
      </c>
      <c r="D867" s="20" t="str">
        <f>IFERROR(INDEX('[2]PRICELIST, 908u'!$G$7:$AX$914,MATCH($B867,'[2]PRICELIST, 908u'!$G$7:$G$914,0),18),"NA")</f>
        <v>2025 - Batch 6</v>
      </c>
      <c r="E867" s="20" t="str">
        <f>IFERROR(INDEX([3]AGM!$D$21:$BL$928,MATCH($B867,[3]AGM!$AD$21:$AD$928,0),1),"NA")</f>
        <v>OS</v>
      </c>
      <c r="F867" s="20" t="str">
        <f t="shared" si="34"/>
        <v>Block 02</v>
      </c>
      <c r="G867" s="20" t="str">
        <f t="shared" si="33"/>
        <v>Lot 02</v>
      </c>
      <c r="H867" s="20">
        <f>IFERROR(INDEX('[2]PRICELIST, 908u'!$G$7:$AX$914,MATCH($B867,'[2]PRICELIST, 908u'!$G$7:$G$914,0),23),"NA")</f>
        <v>50</v>
      </c>
      <c r="I867" s="20">
        <f>IFERROR(INDEX('[2]PRICELIST, 908u'!$G$7:$AX$914,MATCH($B867,'[2]PRICELIST, 908u'!$G$7:$G$914,0),22),"NA")</f>
        <v>70</v>
      </c>
      <c r="J867" s="20" t="s">
        <v>207</v>
      </c>
      <c r="K867" s="20" t="str">
        <f>IFERROR(INDEX('[2]PRICELIST, 908u'!$G$7:$AX$914,MATCH($B867,'[2]PRICELIST, 908u'!$G$7:$G$914,0),30),"NA")</f>
        <v>Flat / PURPLE</v>
      </c>
      <c r="L867" s="20">
        <f>IFERROR(INDEX('[2]PRICELIST, 908u'!$G$7:$AX$914,MATCH($B867,'[2]PRICELIST, 908u'!$G$7:$G$914,0),40),"NA")</f>
        <v>2650000</v>
      </c>
      <c r="M867" s="20">
        <f>IFERROR(INDEX('[2]PRICELIST, 908u'!$G$7:$AX$914,MATCH($B867,'[2]PRICELIST, 908u'!$G$7:$G$914,0),41),"NA")</f>
        <v>100000</v>
      </c>
      <c r="N867" s="58">
        <f t="shared" si="36"/>
        <v>2550000</v>
      </c>
      <c r="O867" s="60"/>
      <c r="P867" s="60">
        <f t="shared" si="35"/>
        <v>2550000</v>
      </c>
    </row>
    <row r="868" spans="2:16">
      <c r="B868" s="20" t="s">
        <v>1018</v>
      </c>
      <c r="C868" s="20" t="s">
        <v>2</v>
      </c>
      <c r="D868" s="20" t="str">
        <f>IFERROR(INDEX('[2]PRICELIST, 908u'!$G$7:$AX$914,MATCH($B868,'[2]PRICELIST, 908u'!$G$7:$G$914,0),18),"NA")</f>
        <v>2025 - Batch 6</v>
      </c>
      <c r="E868" s="20" t="str">
        <f>IFERROR(INDEX([3]AGM!$D$21:$BL$928,MATCH($B868,[3]AGM!$AD$21:$AD$928,0),1),"NA")</f>
        <v>OS</v>
      </c>
      <c r="F868" s="20" t="str">
        <f t="shared" si="34"/>
        <v>Block 02</v>
      </c>
      <c r="G868" s="20" t="str">
        <f t="shared" si="33"/>
        <v>Lot 03</v>
      </c>
      <c r="H868" s="20">
        <f>IFERROR(INDEX('[2]PRICELIST, 908u'!$G$7:$AX$914,MATCH($B868,'[2]PRICELIST, 908u'!$G$7:$G$914,0),23),"NA")</f>
        <v>50</v>
      </c>
      <c r="I868" s="20">
        <f>IFERROR(INDEX('[2]PRICELIST, 908u'!$G$7:$AX$914,MATCH($B868,'[2]PRICELIST, 908u'!$G$7:$G$914,0),22),"NA")</f>
        <v>70</v>
      </c>
      <c r="J868" s="20" t="s">
        <v>207</v>
      </c>
      <c r="K868" s="20" t="str">
        <f>IFERROR(INDEX('[2]PRICELIST, 908u'!$G$7:$AX$914,MATCH($B868,'[2]PRICELIST, 908u'!$G$7:$G$914,0),30),"NA")</f>
        <v>Flat / PURPLE</v>
      </c>
      <c r="L868" s="20">
        <f>IFERROR(INDEX('[2]PRICELIST, 908u'!$G$7:$AX$914,MATCH($B868,'[2]PRICELIST, 908u'!$G$7:$G$914,0),40),"NA")</f>
        <v>2650000</v>
      </c>
      <c r="M868" s="20">
        <f>IFERROR(INDEX('[2]PRICELIST, 908u'!$G$7:$AX$914,MATCH($B868,'[2]PRICELIST, 908u'!$G$7:$G$914,0),41),"NA")</f>
        <v>100000</v>
      </c>
      <c r="N868" s="58">
        <f t="shared" si="36"/>
        <v>2550000</v>
      </c>
      <c r="O868" s="60"/>
      <c r="P868" s="60">
        <f t="shared" si="35"/>
        <v>2550000</v>
      </c>
    </row>
    <row r="869" spans="2:16">
      <c r="B869" s="20" t="s">
        <v>1019</v>
      </c>
      <c r="C869" s="20" t="s">
        <v>2</v>
      </c>
      <c r="D869" s="20" t="str">
        <f>IFERROR(INDEX('[2]PRICELIST, 908u'!$G$7:$AX$914,MATCH($B869,'[2]PRICELIST, 908u'!$G$7:$G$914,0),18),"NA")</f>
        <v>2025 - Batch 6</v>
      </c>
      <c r="E869" s="20" t="str">
        <f>IFERROR(INDEX([3]AGM!$D$21:$BL$928,MATCH($B869,[3]AGM!$AD$21:$AD$928,0),1),"NA")</f>
        <v>OS</v>
      </c>
      <c r="F869" s="20" t="str">
        <f t="shared" si="34"/>
        <v>Block 02</v>
      </c>
      <c r="G869" s="20" t="str">
        <f t="shared" si="33"/>
        <v>Lot 04</v>
      </c>
      <c r="H869" s="20">
        <f>IFERROR(INDEX('[2]PRICELIST, 908u'!$G$7:$AX$914,MATCH($B869,'[2]PRICELIST, 908u'!$G$7:$G$914,0),23),"NA")</f>
        <v>50</v>
      </c>
      <c r="I869" s="20">
        <f>IFERROR(INDEX('[2]PRICELIST, 908u'!$G$7:$AX$914,MATCH($B869,'[2]PRICELIST, 908u'!$G$7:$G$914,0),22),"NA")</f>
        <v>70</v>
      </c>
      <c r="J869" s="20" t="s">
        <v>207</v>
      </c>
      <c r="K869" s="20" t="str">
        <f>IFERROR(INDEX('[2]PRICELIST, 908u'!$G$7:$AX$914,MATCH($B869,'[2]PRICELIST, 908u'!$G$7:$G$914,0),30),"NA")</f>
        <v>Slant / PURPLE</v>
      </c>
      <c r="L869" s="20">
        <f>IFERROR(INDEX('[2]PRICELIST, 908u'!$G$7:$AX$914,MATCH($B869,'[2]PRICELIST, 908u'!$G$7:$G$914,0),40),"NA")</f>
        <v>2650000</v>
      </c>
      <c r="M869" s="20">
        <f>IFERROR(INDEX('[2]PRICELIST, 908u'!$G$7:$AX$914,MATCH($B869,'[2]PRICELIST, 908u'!$G$7:$G$914,0),41),"NA")</f>
        <v>100000</v>
      </c>
      <c r="N869" s="58">
        <f t="shared" si="36"/>
        <v>2550000</v>
      </c>
      <c r="O869" s="60"/>
      <c r="P869" s="60">
        <f t="shared" si="35"/>
        <v>2550000</v>
      </c>
    </row>
    <row r="870" spans="2:16">
      <c r="B870" s="20" t="s">
        <v>1020</v>
      </c>
      <c r="C870" s="20" t="s">
        <v>2</v>
      </c>
      <c r="D870" s="20" t="str">
        <f>IFERROR(INDEX('[2]PRICELIST, 908u'!$G$7:$AX$914,MATCH($B870,'[2]PRICELIST, 908u'!$G$7:$G$914,0),18),"NA")</f>
        <v>2025 - Batch 6</v>
      </c>
      <c r="E870" s="20" t="str">
        <f>IFERROR(INDEX([3]AGM!$D$21:$BL$928,MATCH($B870,[3]AGM!$AD$21:$AD$928,0),1),"NA")</f>
        <v>OS</v>
      </c>
      <c r="F870" s="20" t="str">
        <f t="shared" si="34"/>
        <v>Block 02</v>
      </c>
      <c r="G870" s="20" t="str">
        <f t="shared" si="33"/>
        <v>Lot 05</v>
      </c>
      <c r="H870" s="20">
        <f>IFERROR(INDEX('[2]PRICELIST, 908u'!$G$7:$AX$914,MATCH($B870,'[2]PRICELIST, 908u'!$G$7:$G$914,0),23),"NA")</f>
        <v>50</v>
      </c>
      <c r="I870" s="20">
        <f>IFERROR(INDEX('[2]PRICELIST, 908u'!$G$7:$AX$914,MATCH($B870,'[2]PRICELIST, 908u'!$G$7:$G$914,0),22),"NA")</f>
        <v>70</v>
      </c>
      <c r="J870" s="20" t="s">
        <v>207</v>
      </c>
      <c r="K870" s="20" t="str">
        <f>IFERROR(INDEX('[2]PRICELIST, 908u'!$G$7:$AX$914,MATCH($B870,'[2]PRICELIST, 908u'!$G$7:$G$914,0),30),"NA")</f>
        <v>Slant / PINK</v>
      </c>
      <c r="L870" s="20">
        <f>IFERROR(INDEX('[2]PRICELIST, 908u'!$G$7:$AX$914,MATCH($B870,'[2]PRICELIST, 908u'!$G$7:$G$914,0),40),"NA")</f>
        <v>2650000</v>
      </c>
      <c r="M870" s="20">
        <f>IFERROR(INDEX('[2]PRICELIST, 908u'!$G$7:$AX$914,MATCH($B870,'[2]PRICELIST, 908u'!$G$7:$G$914,0),41),"NA")</f>
        <v>100000</v>
      </c>
      <c r="N870" s="58">
        <f t="shared" si="36"/>
        <v>2550000</v>
      </c>
      <c r="O870" s="60"/>
      <c r="P870" s="60">
        <f t="shared" si="35"/>
        <v>2550000</v>
      </c>
    </row>
    <row r="871" spans="2:16">
      <c r="B871" s="20" t="s">
        <v>1021</v>
      </c>
      <c r="C871" s="20" t="s">
        <v>2</v>
      </c>
      <c r="D871" s="20" t="str">
        <f>IFERROR(INDEX('[2]PRICELIST, 908u'!$G$7:$AX$914,MATCH($B871,'[2]PRICELIST, 908u'!$G$7:$G$914,0),18),"NA")</f>
        <v>2025 - Batch 6</v>
      </c>
      <c r="E871" s="20" t="str">
        <f>IFERROR(INDEX([3]AGM!$D$21:$BL$928,MATCH($B871,[3]AGM!$AD$21:$AD$928,0),1),"NA")</f>
        <v>OS</v>
      </c>
      <c r="F871" s="20" t="str">
        <f t="shared" si="34"/>
        <v>Block 02</v>
      </c>
      <c r="G871" s="20" t="str">
        <f t="shared" si="33"/>
        <v>Lot 06</v>
      </c>
      <c r="H871" s="20">
        <f>IFERROR(INDEX('[2]PRICELIST, 908u'!$G$7:$AX$914,MATCH($B871,'[2]PRICELIST, 908u'!$G$7:$G$914,0),23),"NA")</f>
        <v>50</v>
      </c>
      <c r="I871" s="20">
        <f>IFERROR(INDEX('[2]PRICELIST, 908u'!$G$7:$AX$914,MATCH($B871,'[2]PRICELIST, 908u'!$G$7:$G$914,0),22),"NA")</f>
        <v>70</v>
      </c>
      <c r="J871" s="20" t="s">
        <v>207</v>
      </c>
      <c r="K871" s="20" t="str">
        <f>IFERROR(INDEX('[2]PRICELIST, 908u'!$G$7:$AX$914,MATCH($B871,'[2]PRICELIST, 908u'!$G$7:$G$914,0),30),"NA")</f>
        <v>Flat / PINK</v>
      </c>
      <c r="L871" s="20">
        <f>IFERROR(INDEX('[2]PRICELIST, 908u'!$G$7:$AX$914,MATCH($B871,'[2]PRICELIST, 908u'!$G$7:$G$914,0),40),"NA")</f>
        <v>2650000</v>
      </c>
      <c r="M871" s="20">
        <f>IFERROR(INDEX('[2]PRICELIST, 908u'!$G$7:$AX$914,MATCH($B871,'[2]PRICELIST, 908u'!$G$7:$G$914,0),41),"NA")</f>
        <v>100000</v>
      </c>
      <c r="N871" s="58">
        <f t="shared" si="36"/>
        <v>2550000</v>
      </c>
      <c r="O871" s="60"/>
      <c r="P871" s="60">
        <f t="shared" si="35"/>
        <v>2550000</v>
      </c>
    </row>
    <row r="872" spans="2:16">
      <c r="B872" s="20" t="s">
        <v>1022</v>
      </c>
      <c r="C872" s="20" t="s">
        <v>2</v>
      </c>
      <c r="D872" s="20" t="str">
        <f>IFERROR(INDEX('[2]PRICELIST, 908u'!$G$7:$AX$914,MATCH($B872,'[2]PRICELIST, 908u'!$G$7:$G$914,0),18),"NA")</f>
        <v>2025 - Batch 6</v>
      </c>
      <c r="E872" s="20" t="str">
        <f>IFERROR(INDEX([3]AGM!$D$21:$BL$928,MATCH($B872,[3]AGM!$AD$21:$AD$928,0),1),"NA")</f>
        <v>OS</v>
      </c>
      <c r="F872" s="20" t="str">
        <f t="shared" si="34"/>
        <v>Block 02</v>
      </c>
      <c r="G872" s="20" t="str">
        <f t="shared" si="33"/>
        <v>Lot 07</v>
      </c>
      <c r="H872" s="20">
        <f>IFERROR(INDEX('[2]PRICELIST, 908u'!$G$7:$AX$914,MATCH($B872,'[2]PRICELIST, 908u'!$G$7:$G$914,0),23),"NA")</f>
        <v>50</v>
      </c>
      <c r="I872" s="20">
        <f>IFERROR(INDEX('[2]PRICELIST, 908u'!$G$7:$AX$914,MATCH($B872,'[2]PRICELIST, 908u'!$G$7:$G$914,0),22),"NA")</f>
        <v>70</v>
      </c>
      <c r="J872" s="20" t="s">
        <v>207</v>
      </c>
      <c r="K872" s="20" t="str">
        <f>IFERROR(INDEX('[2]PRICELIST, 908u'!$G$7:$AX$914,MATCH($B872,'[2]PRICELIST, 908u'!$G$7:$G$914,0),30),"NA")</f>
        <v>Flat / PINK</v>
      </c>
      <c r="L872" s="20">
        <f>IFERROR(INDEX('[2]PRICELIST, 908u'!$G$7:$AX$914,MATCH($B872,'[2]PRICELIST, 908u'!$G$7:$G$914,0),40),"NA")</f>
        <v>2650000</v>
      </c>
      <c r="M872" s="20">
        <f>IFERROR(INDEX('[2]PRICELIST, 908u'!$G$7:$AX$914,MATCH($B872,'[2]PRICELIST, 908u'!$G$7:$G$914,0),41),"NA")</f>
        <v>100000</v>
      </c>
      <c r="N872" s="58">
        <f t="shared" si="36"/>
        <v>2550000</v>
      </c>
      <c r="O872" s="60"/>
      <c r="P872" s="60">
        <f t="shared" si="35"/>
        <v>2550000</v>
      </c>
    </row>
    <row r="873" spans="2:16">
      <c r="B873" s="20" t="s">
        <v>1023</v>
      </c>
      <c r="C873" s="20" t="s">
        <v>2</v>
      </c>
      <c r="D873" s="20" t="str">
        <f>IFERROR(INDEX('[2]PRICELIST, 908u'!$G$7:$AX$914,MATCH($B873,'[2]PRICELIST, 908u'!$G$7:$G$914,0),18),"NA")</f>
        <v>2025 - Batch 6</v>
      </c>
      <c r="E873" s="20" t="str">
        <f>IFERROR(INDEX([3]AGM!$D$21:$BL$928,MATCH($B873,[3]AGM!$AD$21:$AD$928,0),1),"NA")</f>
        <v>OS</v>
      </c>
      <c r="F873" s="20" t="str">
        <f t="shared" si="34"/>
        <v>Block 02</v>
      </c>
      <c r="G873" s="20" t="str">
        <f t="shared" si="33"/>
        <v>Lot 08</v>
      </c>
      <c r="H873" s="20">
        <f>IFERROR(INDEX('[2]PRICELIST, 908u'!$G$7:$AX$914,MATCH($B873,'[2]PRICELIST, 908u'!$G$7:$G$914,0),23),"NA")</f>
        <v>50</v>
      </c>
      <c r="I873" s="20">
        <f>IFERROR(INDEX('[2]PRICELIST, 908u'!$G$7:$AX$914,MATCH($B873,'[2]PRICELIST, 908u'!$G$7:$G$914,0),22),"NA")</f>
        <v>70</v>
      </c>
      <c r="J873" s="20" t="s">
        <v>207</v>
      </c>
      <c r="K873" s="20" t="str">
        <f>IFERROR(INDEX('[2]PRICELIST, 908u'!$G$7:$AX$914,MATCH($B873,'[2]PRICELIST, 908u'!$G$7:$G$914,0),30),"NA")</f>
        <v>Slant / PINK</v>
      </c>
      <c r="L873" s="20">
        <f>IFERROR(INDEX('[2]PRICELIST, 908u'!$G$7:$AX$914,MATCH($B873,'[2]PRICELIST, 908u'!$G$7:$G$914,0),40),"NA")</f>
        <v>2650000</v>
      </c>
      <c r="M873" s="20">
        <f>IFERROR(INDEX('[2]PRICELIST, 908u'!$G$7:$AX$914,MATCH($B873,'[2]PRICELIST, 908u'!$G$7:$G$914,0),41),"NA")</f>
        <v>100000</v>
      </c>
      <c r="N873" s="58">
        <f t="shared" si="36"/>
        <v>2550000</v>
      </c>
      <c r="O873" s="60"/>
      <c r="P873" s="60">
        <f t="shared" si="35"/>
        <v>2550000</v>
      </c>
    </row>
    <row r="874" spans="2:16">
      <c r="B874" s="20" t="s">
        <v>1024</v>
      </c>
      <c r="C874" s="20" t="s">
        <v>2</v>
      </c>
      <c r="D874" s="20" t="str">
        <f>IFERROR(INDEX('[2]PRICELIST, 908u'!$G$7:$AX$914,MATCH($B874,'[2]PRICELIST, 908u'!$G$7:$G$914,0),18),"NA")</f>
        <v>Lot Only - N/A</v>
      </c>
      <c r="E874" s="20" t="str">
        <f>IFERROR(INDEX([3]AGM!$D$21:$BL$928,MATCH($B874,[3]AGM!$AD$21:$AD$928,0),1),"NA")</f>
        <v>OS</v>
      </c>
      <c r="F874" s="20" t="str">
        <f t="shared" si="34"/>
        <v>Block 02</v>
      </c>
      <c r="G874" s="20" t="str">
        <f t="shared" si="33"/>
        <v>Lot 09</v>
      </c>
      <c r="H874" s="20" t="str">
        <f>IFERROR(INDEX('[2]PRICELIST, 908u'!$G$7:$AX$914,MATCH($B874,'[2]PRICELIST, 908u'!$G$7:$G$914,0),23),"NA")</f>
        <v>N/A</v>
      </c>
      <c r="I874" s="20">
        <f>IFERROR(INDEX('[2]PRICELIST, 908u'!$G$7:$AX$914,MATCH($B874,'[2]PRICELIST, 908u'!$G$7:$G$914,0),22),"NA")</f>
        <v>115</v>
      </c>
      <c r="J874" s="20" t="s">
        <v>100</v>
      </c>
      <c r="K874" s="37" t="s">
        <v>1025</v>
      </c>
      <c r="L874" s="20">
        <f>IFERROR(INDEX('[2]PRICELIST, 908u'!$G$7:$AX$914,MATCH($B874,'[2]PRICELIST, 908u'!$G$7:$G$914,0),40),"NA")</f>
        <v>1825000</v>
      </c>
      <c r="M874" s="20">
        <f>IFERROR(INDEX('[2]PRICELIST, 908u'!$G$7:$AX$914,MATCH($B874,'[2]PRICELIST, 908u'!$G$7:$G$914,0),41),"NA")</f>
        <v>100000</v>
      </c>
      <c r="N874" s="58">
        <f t="shared" si="36"/>
        <v>1725000</v>
      </c>
      <c r="O874" s="60"/>
      <c r="P874" s="60">
        <f t="shared" si="35"/>
        <v>1725000</v>
      </c>
    </row>
    <row r="875" spans="2:16">
      <c r="B875" s="20" t="s">
        <v>1026</v>
      </c>
      <c r="C875" s="20" t="s">
        <v>2</v>
      </c>
      <c r="D875" s="20" t="str">
        <f>IFERROR(INDEX('[2]PRICELIST, 908u'!$G$7:$AX$914,MATCH($B875,'[2]PRICELIST, 908u'!$G$7:$G$914,0),18),"NA")</f>
        <v>2025 - Batch 6</v>
      </c>
      <c r="E875" s="20" t="str">
        <f>IFERROR(INDEX([3]AGM!$D$21:$BL$928,MATCH($B875,[3]AGM!$AD$21:$AD$928,0),1),"NA")</f>
        <v>OS</v>
      </c>
      <c r="F875" s="20" t="str">
        <f t="shared" si="34"/>
        <v>Block 02</v>
      </c>
      <c r="G875" s="20" t="str">
        <f t="shared" si="33"/>
        <v>Lot 10</v>
      </c>
      <c r="H875" s="20">
        <f>IFERROR(INDEX('[2]PRICELIST, 908u'!$G$7:$AX$914,MATCH($B875,'[2]PRICELIST, 908u'!$G$7:$G$914,0),23),"NA")</f>
        <v>50</v>
      </c>
      <c r="I875" s="20">
        <f>IFERROR(INDEX('[2]PRICELIST, 908u'!$G$7:$AX$914,MATCH($B875,'[2]PRICELIST, 908u'!$G$7:$G$914,0),22),"NA")</f>
        <v>97</v>
      </c>
      <c r="J875" s="20" t="s">
        <v>207</v>
      </c>
      <c r="K875" s="20" t="str">
        <f>IFERROR(INDEX('[2]PRICELIST, 908u'!$G$7:$AX$914,MATCH($B875,'[2]PRICELIST, 908u'!$G$7:$G$914,0),30),"NA")</f>
        <v>Slant / YELLOW</v>
      </c>
      <c r="L875" s="20">
        <f>IFERROR(INDEX('[2]PRICELIST, 908u'!$G$7:$AX$914,MATCH($B875,'[2]PRICELIST, 908u'!$G$7:$G$914,0),40),"NA")</f>
        <v>3055000</v>
      </c>
      <c r="M875" s="20">
        <f>IFERROR(INDEX('[2]PRICELIST, 908u'!$G$7:$AX$914,MATCH($B875,'[2]PRICELIST, 908u'!$G$7:$G$914,0),41),"NA")</f>
        <v>100000</v>
      </c>
      <c r="N875" s="58">
        <f t="shared" si="36"/>
        <v>2955000</v>
      </c>
      <c r="O875" s="60"/>
      <c r="P875" s="60">
        <f t="shared" si="35"/>
        <v>2955000</v>
      </c>
    </row>
    <row r="876" spans="2:16">
      <c r="B876" s="20" t="s">
        <v>1027</v>
      </c>
      <c r="C876" s="20" t="s">
        <v>2</v>
      </c>
      <c r="D876" s="20" t="str">
        <f>IFERROR(INDEX('[2]PRICELIST, 908u'!$G$7:$AX$914,MATCH($B876,'[2]PRICELIST, 908u'!$G$7:$G$914,0),18),"NA")</f>
        <v>2025 - Batch 6</v>
      </c>
      <c r="E876" s="20" t="str">
        <f>IFERROR(INDEX([3]AGM!$D$21:$BL$928,MATCH($B876,[3]AGM!$AD$21:$AD$928,0),1),"NA")</f>
        <v>OS</v>
      </c>
      <c r="F876" s="20" t="str">
        <f t="shared" si="34"/>
        <v>Block 02</v>
      </c>
      <c r="G876" s="20" t="str">
        <f t="shared" si="33"/>
        <v>Lot 11</v>
      </c>
      <c r="H876" s="20">
        <f>IFERROR(INDEX('[2]PRICELIST, 908u'!$G$7:$AX$914,MATCH($B876,'[2]PRICELIST, 908u'!$G$7:$G$914,0),23),"NA")</f>
        <v>50</v>
      </c>
      <c r="I876" s="20">
        <f>IFERROR(INDEX('[2]PRICELIST, 908u'!$G$7:$AX$914,MATCH($B876,'[2]PRICELIST, 908u'!$G$7:$G$914,0),22),"NA")</f>
        <v>83</v>
      </c>
      <c r="J876" s="20" t="s">
        <v>207</v>
      </c>
      <c r="K876" s="20" t="str">
        <f>IFERROR(INDEX('[2]PRICELIST, 908u'!$G$7:$AX$914,MATCH($B876,'[2]PRICELIST, 908u'!$G$7:$G$914,0),30),"NA")</f>
        <v>Flat / YELLOW</v>
      </c>
      <c r="L876" s="20">
        <f>IFERROR(INDEX('[2]PRICELIST, 908u'!$G$7:$AX$914,MATCH($B876,'[2]PRICELIST, 908u'!$G$7:$G$914,0),40),"NA")</f>
        <v>2845000</v>
      </c>
      <c r="M876" s="20">
        <f>IFERROR(INDEX('[2]PRICELIST, 908u'!$G$7:$AX$914,MATCH($B876,'[2]PRICELIST, 908u'!$G$7:$G$914,0),41),"NA")</f>
        <v>100000</v>
      </c>
      <c r="N876" s="58">
        <f t="shared" si="36"/>
        <v>2745000</v>
      </c>
      <c r="O876" s="60"/>
      <c r="P876" s="60">
        <f t="shared" si="35"/>
        <v>2745000</v>
      </c>
    </row>
    <row r="877" spans="2:16">
      <c r="B877" s="20" t="s">
        <v>1028</v>
      </c>
      <c r="C877" s="20" t="s">
        <v>2</v>
      </c>
      <c r="D877" s="20" t="str">
        <f>IFERROR(INDEX('[2]PRICELIST, 908u'!$G$7:$AX$914,MATCH($B877,'[2]PRICELIST, 908u'!$G$7:$G$914,0),18),"NA")</f>
        <v>2025 - Batch 6</v>
      </c>
      <c r="E877" s="20" t="str">
        <f>IFERROR(INDEX([3]AGM!$D$21:$BL$928,MATCH($B877,[3]AGM!$AD$21:$AD$928,0),1),"NA")</f>
        <v>OS</v>
      </c>
      <c r="F877" s="20" t="str">
        <f t="shared" si="34"/>
        <v>Block 02</v>
      </c>
      <c r="G877" s="20" t="str">
        <f t="shared" si="33"/>
        <v>Lot 12</v>
      </c>
      <c r="H877" s="20">
        <f>IFERROR(INDEX('[2]PRICELIST, 908u'!$G$7:$AX$914,MATCH($B877,'[2]PRICELIST, 908u'!$G$7:$G$914,0),23),"NA")</f>
        <v>50</v>
      </c>
      <c r="I877" s="20">
        <f>IFERROR(INDEX('[2]PRICELIST, 908u'!$G$7:$AX$914,MATCH($B877,'[2]PRICELIST, 908u'!$G$7:$G$914,0),22),"NA")</f>
        <v>128</v>
      </c>
      <c r="J877" s="20" t="s">
        <v>207</v>
      </c>
      <c r="K877" s="20" t="str">
        <f>IFERROR(INDEX('[2]PRICELIST, 908u'!$G$7:$AX$914,MATCH($B877,'[2]PRICELIST, 908u'!$G$7:$G$914,0),30),"NA")</f>
        <v>Slant / YELLOW</v>
      </c>
      <c r="L877" s="20">
        <f>IFERROR(INDEX('[2]PRICELIST, 908u'!$G$7:$AX$914,MATCH($B877,'[2]PRICELIST, 908u'!$G$7:$G$914,0),40),"NA")</f>
        <v>3520000</v>
      </c>
      <c r="M877" s="20">
        <f>IFERROR(INDEX('[2]PRICELIST, 908u'!$G$7:$AX$914,MATCH($B877,'[2]PRICELIST, 908u'!$G$7:$G$914,0),41),"NA")</f>
        <v>150000</v>
      </c>
      <c r="N877" s="58">
        <f t="shared" si="36"/>
        <v>3370000</v>
      </c>
      <c r="O877" s="60"/>
      <c r="P877" s="60">
        <f t="shared" si="35"/>
        <v>3370000</v>
      </c>
    </row>
    <row r="878" spans="2:16">
      <c r="B878" s="20" t="s">
        <v>1029</v>
      </c>
      <c r="C878" s="20" t="s">
        <v>2</v>
      </c>
      <c r="D878" s="20" t="str">
        <f>IFERROR(INDEX('[2]PRICELIST, 908u'!$G$7:$AX$914,MATCH($B878,'[2]PRICELIST, 908u'!$G$7:$G$914,0),18),"NA")</f>
        <v>2025 - Batch 6</v>
      </c>
      <c r="E878" s="20" t="str">
        <f>IFERROR(INDEX([3]AGM!$D$21:$BL$928,MATCH($B878,[3]AGM!$AD$21:$AD$928,0),1),"NA")</f>
        <v>OS</v>
      </c>
      <c r="F878" s="20" t="str">
        <f t="shared" si="34"/>
        <v>Block 02</v>
      </c>
      <c r="G878" s="20" t="str">
        <f t="shared" si="33"/>
        <v>Lot 13</v>
      </c>
      <c r="H878" s="20">
        <f>IFERROR(INDEX('[2]PRICELIST, 908u'!$G$7:$AX$914,MATCH($B878,'[2]PRICELIST, 908u'!$G$7:$G$914,0),23),"NA")</f>
        <v>50</v>
      </c>
      <c r="I878" s="20">
        <f>IFERROR(INDEX('[2]PRICELIST, 908u'!$G$7:$AX$914,MATCH($B878,'[2]PRICELIST, 908u'!$G$7:$G$914,0),22),"NA")</f>
        <v>99</v>
      </c>
      <c r="J878" s="20" t="s">
        <v>207</v>
      </c>
      <c r="K878" s="20" t="str">
        <f>IFERROR(INDEX('[2]PRICELIST, 908u'!$G$7:$AX$914,MATCH($B878,'[2]PRICELIST, 908u'!$G$7:$G$914,0),30),"NA")</f>
        <v>Flat / YELLOW</v>
      </c>
      <c r="L878" s="20">
        <f>IFERROR(INDEX('[2]PRICELIST, 908u'!$G$7:$AX$914,MATCH($B878,'[2]PRICELIST, 908u'!$G$7:$G$914,0),40),"NA")</f>
        <v>3085000</v>
      </c>
      <c r="M878" s="20">
        <f>IFERROR(INDEX('[2]PRICELIST, 908u'!$G$7:$AX$914,MATCH($B878,'[2]PRICELIST, 908u'!$G$7:$G$914,0),41),"NA")</f>
        <v>100000</v>
      </c>
      <c r="N878" s="58">
        <f t="shared" si="36"/>
        <v>2985000</v>
      </c>
      <c r="O878" s="60"/>
      <c r="P878" s="60">
        <f t="shared" si="35"/>
        <v>2985000</v>
      </c>
    </row>
    <row r="879" spans="2:16">
      <c r="B879" s="20" t="s">
        <v>1030</v>
      </c>
      <c r="C879" s="20" t="s">
        <v>2</v>
      </c>
      <c r="D879" s="20" t="str">
        <f>IFERROR(INDEX('[2]PRICELIST, 908u'!$G$7:$AX$914,MATCH($B879,'[2]PRICELIST, 908u'!$G$7:$G$914,0),18),"NA")</f>
        <v>2025 - Batch 6</v>
      </c>
      <c r="E879" s="20" t="str">
        <f>IFERROR(INDEX([3]AGM!$D$21:$BL$928,MATCH($B879,[3]AGM!$AD$21:$AD$928,0),1),"NA")</f>
        <v>OS</v>
      </c>
      <c r="F879" s="20" t="str">
        <f t="shared" si="34"/>
        <v>Block 02</v>
      </c>
      <c r="G879" s="20" t="str">
        <f t="shared" si="33"/>
        <v>Lot 14</v>
      </c>
      <c r="H879" s="20">
        <f>IFERROR(INDEX('[2]PRICELIST, 908u'!$G$7:$AX$914,MATCH($B879,'[2]PRICELIST, 908u'!$G$7:$G$914,0),23),"NA")</f>
        <v>50</v>
      </c>
      <c r="I879" s="20">
        <f>IFERROR(INDEX('[2]PRICELIST, 908u'!$G$7:$AX$914,MATCH($B879,'[2]PRICELIST, 908u'!$G$7:$G$914,0),22),"NA")</f>
        <v>70</v>
      </c>
      <c r="J879" s="20" t="s">
        <v>207</v>
      </c>
      <c r="K879" s="20" t="str">
        <f>IFERROR(INDEX('[2]PRICELIST, 908u'!$G$7:$AX$914,MATCH($B879,'[2]PRICELIST, 908u'!$G$7:$G$914,0),30),"NA")</f>
        <v>Flat / GREEN</v>
      </c>
      <c r="L879" s="20">
        <f>IFERROR(INDEX('[2]PRICELIST, 908u'!$G$7:$AX$914,MATCH($B879,'[2]PRICELIST, 908u'!$G$7:$G$914,0),40),"NA")</f>
        <v>2650000</v>
      </c>
      <c r="M879" s="20">
        <f>IFERROR(INDEX('[2]PRICELIST, 908u'!$G$7:$AX$914,MATCH($B879,'[2]PRICELIST, 908u'!$G$7:$G$914,0),41),"NA")</f>
        <v>100000</v>
      </c>
      <c r="N879" s="58">
        <f t="shared" si="36"/>
        <v>2550000</v>
      </c>
      <c r="O879" s="60"/>
      <c r="P879" s="60">
        <f t="shared" si="35"/>
        <v>2550000</v>
      </c>
    </row>
    <row r="880" spans="2:16">
      <c r="B880" s="20" t="s">
        <v>1031</v>
      </c>
      <c r="C880" s="20" t="s">
        <v>2</v>
      </c>
      <c r="D880" s="20" t="str">
        <f>IFERROR(INDEX('[2]PRICELIST, 908u'!$G$7:$AX$914,MATCH($B880,'[2]PRICELIST, 908u'!$G$7:$G$914,0),18),"NA")</f>
        <v>2025 - Batch 6</v>
      </c>
      <c r="E880" s="20" t="str">
        <f>IFERROR(INDEX([3]AGM!$D$21:$BL$928,MATCH($B880,[3]AGM!$AD$21:$AD$928,0),1),"NA")</f>
        <v>OS</v>
      </c>
      <c r="F880" s="20" t="str">
        <f t="shared" si="34"/>
        <v>Block 02</v>
      </c>
      <c r="G880" s="20" t="str">
        <f t="shared" si="33"/>
        <v>Lot 15</v>
      </c>
      <c r="H880" s="20">
        <f>IFERROR(INDEX('[2]PRICELIST, 908u'!$G$7:$AX$914,MATCH($B880,'[2]PRICELIST, 908u'!$G$7:$G$914,0),23),"NA")</f>
        <v>50</v>
      </c>
      <c r="I880" s="20">
        <f>IFERROR(INDEX('[2]PRICELIST, 908u'!$G$7:$AX$914,MATCH($B880,'[2]PRICELIST, 908u'!$G$7:$G$914,0),22),"NA")</f>
        <v>70</v>
      </c>
      <c r="J880" s="20" t="s">
        <v>207</v>
      </c>
      <c r="K880" s="20" t="str">
        <f>IFERROR(INDEX('[2]PRICELIST, 908u'!$G$7:$AX$914,MATCH($B880,'[2]PRICELIST, 908u'!$G$7:$G$914,0),30),"NA")</f>
        <v>Slant / GREEN</v>
      </c>
      <c r="L880" s="20">
        <f>IFERROR(INDEX('[2]PRICELIST, 908u'!$G$7:$AX$914,MATCH($B880,'[2]PRICELIST, 908u'!$G$7:$G$914,0),40),"NA")</f>
        <v>2650000</v>
      </c>
      <c r="M880" s="20">
        <f>IFERROR(INDEX('[2]PRICELIST, 908u'!$G$7:$AX$914,MATCH($B880,'[2]PRICELIST, 908u'!$G$7:$G$914,0),41),"NA")</f>
        <v>100000</v>
      </c>
      <c r="N880" s="58">
        <f t="shared" si="36"/>
        <v>2550000</v>
      </c>
      <c r="O880" s="60"/>
      <c r="P880" s="60">
        <f t="shared" si="35"/>
        <v>2550000</v>
      </c>
    </row>
    <row r="881" spans="2:16">
      <c r="B881" s="20" t="s">
        <v>1032</v>
      </c>
      <c r="C881" s="20" t="s">
        <v>2</v>
      </c>
      <c r="D881" s="20" t="str">
        <f>IFERROR(INDEX('[2]PRICELIST, 908u'!$G$7:$AX$914,MATCH($B881,'[2]PRICELIST, 908u'!$G$7:$G$914,0),18),"NA")</f>
        <v>2025 - Batch 6</v>
      </c>
      <c r="E881" s="20" t="str">
        <f>IFERROR(INDEX([3]AGM!$D$21:$BL$928,MATCH($B881,[3]AGM!$AD$21:$AD$928,0),1),"NA")</f>
        <v>OS</v>
      </c>
      <c r="F881" s="20" t="str">
        <f t="shared" si="34"/>
        <v>Block 02</v>
      </c>
      <c r="G881" s="20" t="str">
        <f t="shared" si="33"/>
        <v>Lot 16</v>
      </c>
      <c r="H881" s="20">
        <f>IFERROR(INDEX('[2]PRICELIST, 908u'!$G$7:$AX$914,MATCH($B881,'[2]PRICELIST, 908u'!$G$7:$G$914,0),23),"NA")</f>
        <v>50</v>
      </c>
      <c r="I881" s="20">
        <f>IFERROR(INDEX('[2]PRICELIST, 908u'!$G$7:$AX$914,MATCH($B881,'[2]PRICELIST, 908u'!$G$7:$G$914,0),22),"NA")</f>
        <v>70</v>
      </c>
      <c r="J881" s="20" t="s">
        <v>207</v>
      </c>
      <c r="K881" s="20" t="str">
        <f>IFERROR(INDEX('[2]PRICELIST, 908u'!$G$7:$AX$914,MATCH($B881,'[2]PRICELIST, 908u'!$G$7:$G$914,0),30),"NA")</f>
        <v>Slant / GREEN</v>
      </c>
      <c r="L881" s="20">
        <f>IFERROR(INDEX('[2]PRICELIST, 908u'!$G$7:$AX$914,MATCH($B881,'[2]PRICELIST, 908u'!$G$7:$G$914,0),40),"NA")</f>
        <v>2650000</v>
      </c>
      <c r="M881" s="20">
        <f>IFERROR(INDEX('[2]PRICELIST, 908u'!$G$7:$AX$914,MATCH($B881,'[2]PRICELIST, 908u'!$G$7:$G$914,0),41),"NA")</f>
        <v>100000</v>
      </c>
      <c r="N881" s="58">
        <f t="shared" si="36"/>
        <v>2550000</v>
      </c>
      <c r="O881" s="60"/>
      <c r="P881" s="60">
        <f t="shared" si="35"/>
        <v>2550000</v>
      </c>
    </row>
    <row r="882" spans="2:16">
      <c r="B882" s="20" t="s">
        <v>1033</v>
      </c>
      <c r="C882" s="20" t="s">
        <v>2</v>
      </c>
      <c r="D882" s="20" t="str">
        <f>IFERROR(INDEX('[2]PRICELIST, 908u'!$G$7:$AX$914,MATCH($B882,'[2]PRICELIST, 908u'!$G$7:$G$914,0),18),"NA")</f>
        <v>2025 - Batch 6</v>
      </c>
      <c r="E882" s="20" t="str">
        <f>IFERROR(INDEX([3]AGM!$D$21:$BL$928,MATCH($B882,[3]AGM!$AD$21:$AD$928,0),1),"NA")</f>
        <v>OS</v>
      </c>
      <c r="F882" s="20" t="str">
        <f t="shared" si="34"/>
        <v>Block 02</v>
      </c>
      <c r="G882" s="20" t="str">
        <f t="shared" si="33"/>
        <v>Lot 17</v>
      </c>
      <c r="H882" s="20">
        <f>IFERROR(INDEX('[2]PRICELIST, 908u'!$G$7:$AX$914,MATCH($B882,'[2]PRICELIST, 908u'!$G$7:$G$914,0),23),"NA")</f>
        <v>50</v>
      </c>
      <c r="I882" s="20">
        <f>IFERROR(INDEX('[2]PRICELIST, 908u'!$G$7:$AX$914,MATCH($B882,'[2]PRICELIST, 908u'!$G$7:$G$914,0),22),"NA")</f>
        <v>70</v>
      </c>
      <c r="J882" s="20" t="s">
        <v>207</v>
      </c>
      <c r="K882" s="20" t="str">
        <f>IFERROR(INDEX('[2]PRICELIST, 908u'!$G$7:$AX$914,MATCH($B882,'[2]PRICELIST, 908u'!$G$7:$G$914,0),30),"NA")</f>
        <v>Flat / GREEN</v>
      </c>
      <c r="L882" s="20">
        <f>IFERROR(INDEX('[2]PRICELIST, 908u'!$G$7:$AX$914,MATCH($B882,'[2]PRICELIST, 908u'!$G$7:$G$914,0),40),"NA")</f>
        <v>2650000</v>
      </c>
      <c r="M882" s="20">
        <f>IFERROR(INDEX('[2]PRICELIST, 908u'!$G$7:$AX$914,MATCH($B882,'[2]PRICELIST, 908u'!$G$7:$G$914,0),41),"NA")</f>
        <v>100000</v>
      </c>
      <c r="N882" s="58">
        <f t="shared" si="36"/>
        <v>2550000</v>
      </c>
      <c r="O882" s="60"/>
      <c r="P882" s="60">
        <f t="shared" si="35"/>
        <v>2550000</v>
      </c>
    </row>
    <row r="883" spans="2:16">
      <c r="B883" s="20" t="s">
        <v>1034</v>
      </c>
      <c r="C883" s="20" t="s">
        <v>2</v>
      </c>
      <c r="D883" s="20" t="str">
        <f>IFERROR(INDEX('[2]PRICELIST, 908u'!$G$7:$AX$914,MATCH($B883,'[2]PRICELIST, 908u'!$G$7:$G$914,0),18),"NA")</f>
        <v>2025 - Batch 6</v>
      </c>
      <c r="E883" s="20" t="str">
        <f>IFERROR(INDEX([3]AGM!$D$21:$BL$928,MATCH($B883,[3]AGM!$AD$21:$AD$928,0),1),"NA")</f>
        <v>OS</v>
      </c>
      <c r="F883" s="20" t="str">
        <f t="shared" si="34"/>
        <v>Block 02</v>
      </c>
      <c r="G883" s="20" t="str">
        <f t="shared" si="33"/>
        <v>Lot 18</v>
      </c>
      <c r="H883" s="20">
        <f>IFERROR(INDEX('[2]PRICELIST, 908u'!$G$7:$AX$914,MATCH($B883,'[2]PRICELIST, 908u'!$G$7:$G$914,0),23),"NA")</f>
        <v>50</v>
      </c>
      <c r="I883" s="20">
        <f>IFERROR(INDEX('[2]PRICELIST, 908u'!$G$7:$AX$914,MATCH($B883,'[2]PRICELIST, 908u'!$G$7:$G$914,0),22),"NA")</f>
        <v>70</v>
      </c>
      <c r="J883" s="20" t="s">
        <v>207</v>
      </c>
      <c r="K883" s="20" t="str">
        <f>IFERROR(INDEX('[2]PRICELIST, 908u'!$G$7:$AX$914,MATCH($B883,'[2]PRICELIST, 908u'!$G$7:$G$914,0),30),"NA")</f>
        <v>Flat / PINK</v>
      </c>
      <c r="L883" s="20">
        <f>IFERROR(INDEX('[2]PRICELIST, 908u'!$G$7:$AX$914,MATCH($B883,'[2]PRICELIST, 908u'!$G$7:$G$914,0),40),"NA")</f>
        <v>2650000</v>
      </c>
      <c r="M883" s="20">
        <f>IFERROR(INDEX('[2]PRICELIST, 908u'!$G$7:$AX$914,MATCH($B883,'[2]PRICELIST, 908u'!$G$7:$G$914,0),41),"NA")</f>
        <v>100000</v>
      </c>
      <c r="N883" s="58">
        <f t="shared" si="36"/>
        <v>2550000</v>
      </c>
      <c r="O883" s="60"/>
      <c r="P883" s="60">
        <f t="shared" si="35"/>
        <v>2550000</v>
      </c>
    </row>
    <row r="884" spans="2:16">
      <c r="B884" s="20" t="s">
        <v>1035</v>
      </c>
      <c r="C884" s="20" t="s">
        <v>2</v>
      </c>
      <c r="D884" s="20" t="str">
        <f>IFERROR(INDEX('[2]PRICELIST, 908u'!$G$7:$AX$914,MATCH($B884,'[2]PRICELIST, 908u'!$G$7:$G$914,0),18),"NA")</f>
        <v>2025 - Batch 6</v>
      </c>
      <c r="E884" s="20" t="str">
        <f>IFERROR(INDEX([3]AGM!$D$21:$BL$928,MATCH($B884,[3]AGM!$AD$21:$AD$928,0),1),"NA")</f>
        <v>OS</v>
      </c>
      <c r="F884" s="20" t="str">
        <f t="shared" si="34"/>
        <v>Block 02</v>
      </c>
      <c r="G884" s="20" t="str">
        <f t="shared" si="33"/>
        <v>Lot 19</v>
      </c>
      <c r="H884" s="20">
        <f>IFERROR(INDEX('[2]PRICELIST, 908u'!$G$7:$AX$914,MATCH($B884,'[2]PRICELIST, 908u'!$G$7:$G$914,0),23),"NA")</f>
        <v>50</v>
      </c>
      <c r="I884" s="20">
        <f>IFERROR(INDEX('[2]PRICELIST, 908u'!$G$7:$AX$914,MATCH($B884,'[2]PRICELIST, 908u'!$G$7:$G$914,0),22),"NA")</f>
        <v>70</v>
      </c>
      <c r="J884" s="20" t="s">
        <v>207</v>
      </c>
      <c r="K884" s="20" t="str">
        <f>IFERROR(INDEX('[2]PRICELIST, 908u'!$G$7:$AX$914,MATCH($B884,'[2]PRICELIST, 908u'!$G$7:$G$914,0),30),"NA")</f>
        <v>Slant / PINK</v>
      </c>
      <c r="L884" s="20">
        <f>IFERROR(INDEX('[2]PRICELIST, 908u'!$G$7:$AX$914,MATCH($B884,'[2]PRICELIST, 908u'!$G$7:$G$914,0),40),"NA")</f>
        <v>2650000</v>
      </c>
      <c r="M884" s="20">
        <f>IFERROR(INDEX('[2]PRICELIST, 908u'!$G$7:$AX$914,MATCH($B884,'[2]PRICELIST, 908u'!$G$7:$G$914,0),41),"NA")</f>
        <v>100000</v>
      </c>
      <c r="N884" s="58">
        <f t="shared" si="36"/>
        <v>2550000</v>
      </c>
      <c r="O884" s="60"/>
      <c r="P884" s="60">
        <f t="shared" si="35"/>
        <v>2550000</v>
      </c>
    </row>
    <row r="885" spans="2:16">
      <c r="B885" s="20" t="s">
        <v>1036</v>
      </c>
      <c r="C885" s="20" t="s">
        <v>2</v>
      </c>
      <c r="D885" s="20" t="str">
        <f>IFERROR(INDEX('[2]PRICELIST, 908u'!$G$7:$AX$914,MATCH($B885,'[2]PRICELIST, 908u'!$G$7:$G$914,0),18),"NA")</f>
        <v>2025 - Batch 6</v>
      </c>
      <c r="E885" s="20" t="str">
        <f>IFERROR(INDEX([3]AGM!$D$21:$BL$928,MATCH($B885,[3]AGM!$AD$21:$AD$928,0),1),"NA")</f>
        <v>OS</v>
      </c>
      <c r="F885" s="20" t="str">
        <f t="shared" si="34"/>
        <v>Block 02</v>
      </c>
      <c r="G885" s="20" t="str">
        <f t="shared" si="33"/>
        <v>Lot 20</v>
      </c>
      <c r="H885" s="20">
        <f>IFERROR(INDEX('[2]PRICELIST, 908u'!$G$7:$AX$914,MATCH($B885,'[2]PRICELIST, 908u'!$G$7:$G$914,0),23),"NA")</f>
        <v>50</v>
      </c>
      <c r="I885" s="20">
        <f>IFERROR(INDEX('[2]PRICELIST, 908u'!$G$7:$AX$914,MATCH($B885,'[2]PRICELIST, 908u'!$G$7:$G$914,0),22),"NA")</f>
        <v>70</v>
      </c>
      <c r="J885" s="20" t="s">
        <v>207</v>
      </c>
      <c r="K885" s="20" t="str">
        <f>IFERROR(INDEX('[2]PRICELIST, 908u'!$G$7:$AX$914,MATCH($B885,'[2]PRICELIST, 908u'!$G$7:$G$914,0),30),"NA")</f>
        <v>Slant / PINK</v>
      </c>
      <c r="L885" s="20">
        <f>IFERROR(INDEX('[2]PRICELIST, 908u'!$G$7:$AX$914,MATCH($B885,'[2]PRICELIST, 908u'!$G$7:$G$914,0),40),"NA")</f>
        <v>2650000</v>
      </c>
      <c r="M885" s="20">
        <f>IFERROR(INDEX('[2]PRICELIST, 908u'!$G$7:$AX$914,MATCH($B885,'[2]PRICELIST, 908u'!$G$7:$G$914,0),41),"NA")</f>
        <v>100000</v>
      </c>
      <c r="N885" s="58">
        <f t="shared" si="36"/>
        <v>2550000</v>
      </c>
      <c r="O885" s="60"/>
      <c r="P885" s="60">
        <f t="shared" si="35"/>
        <v>2550000</v>
      </c>
    </row>
    <row r="886" spans="2:16">
      <c r="B886" s="20" t="s">
        <v>1037</v>
      </c>
      <c r="C886" s="20" t="s">
        <v>2</v>
      </c>
      <c r="D886" s="20" t="str">
        <f>IFERROR(INDEX('[2]PRICELIST, 908u'!$G$7:$AX$914,MATCH($B886,'[2]PRICELIST, 908u'!$G$7:$G$914,0),18),"NA")</f>
        <v>2025 - Batch 6</v>
      </c>
      <c r="E886" s="20" t="str">
        <f>IFERROR(INDEX([3]AGM!$D$21:$BL$928,MATCH($B886,[3]AGM!$AD$21:$AD$928,0),1),"NA")</f>
        <v>OS</v>
      </c>
      <c r="F886" s="20" t="str">
        <f t="shared" si="34"/>
        <v>Block 02</v>
      </c>
      <c r="G886" s="20" t="str">
        <f t="shared" si="33"/>
        <v>Lot 21</v>
      </c>
      <c r="H886" s="20">
        <f>IFERROR(INDEX('[2]PRICELIST, 908u'!$G$7:$AX$914,MATCH($B886,'[2]PRICELIST, 908u'!$G$7:$G$914,0),23),"NA")</f>
        <v>50</v>
      </c>
      <c r="I886" s="20">
        <f>IFERROR(INDEX('[2]PRICELIST, 908u'!$G$7:$AX$914,MATCH($B886,'[2]PRICELIST, 908u'!$G$7:$G$914,0),22),"NA")</f>
        <v>96</v>
      </c>
      <c r="J886" s="20" t="s">
        <v>207</v>
      </c>
      <c r="K886" s="20" t="str">
        <f>IFERROR(INDEX('[2]PRICELIST, 908u'!$G$7:$AX$914,MATCH($B886,'[2]PRICELIST, 908u'!$G$7:$G$914,0),30),"NA")</f>
        <v>Flat / PINK</v>
      </c>
      <c r="L886" s="20">
        <f>IFERROR(INDEX('[2]PRICELIST, 908u'!$G$7:$AX$914,MATCH($B886,'[2]PRICELIST, 908u'!$G$7:$G$914,0),40),"NA")</f>
        <v>3040000</v>
      </c>
      <c r="M886" s="20">
        <f>IFERROR(INDEX('[2]PRICELIST, 908u'!$G$7:$AX$914,MATCH($B886,'[2]PRICELIST, 908u'!$G$7:$G$914,0),41),"NA")</f>
        <v>100000</v>
      </c>
      <c r="N886" s="58">
        <f t="shared" si="36"/>
        <v>2940000</v>
      </c>
      <c r="O886" s="60"/>
      <c r="P886" s="60">
        <f t="shared" si="35"/>
        <v>2940000</v>
      </c>
    </row>
    <row r="887" spans="2:16">
      <c r="B887" s="20" t="s">
        <v>1038</v>
      </c>
      <c r="C887" s="20" t="s">
        <v>2</v>
      </c>
      <c r="D887" s="20" t="str">
        <f>IFERROR(INDEX('[2]PRICELIST, 908u'!$G$7:$AX$914,MATCH($B887,'[2]PRICELIST, 908u'!$G$7:$G$914,0),18),"NA")</f>
        <v>2025 - Batch 5</v>
      </c>
      <c r="E887" s="20" t="str">
        <f>IFERROR(INDEX([3]AGM!$D$21:$BL$928,MATCH($B887,[3]AGM!$AD$21:$AD$928,0),1),"NA")</f>
        <v>OS</v>
      </c>
      <c r="F887" s="20" t="str">
        <f t="shared" si="34"/>
        <v>Block 03</v>
      </c>
      <c r="G887" s="20" t="str">
        <f t="shared" si="33"/>
        <v>Lot 01</v>
      </c>
      <c r="H887" s="20">
        <f>IFERROR(INDEX('[2]PRICELIST, 908u'!$G$7:$AX$914,MATCH($B887,'[2]PRICELIST, 908u'!$G$7:$G$914,0),23),"NA")</f>
        <v>50</v>
      </c>
      <c r="I887" s="20">
        <f>IFERROR(INDEX('[2]PRICELIST, 908u'!$G$7:$AX$914,MATCH($B887,'[2]PRICELIST, 908u'!$G$7:$G$914,0),22),"NA")</f>
        <v>88</v>
      </c>
      <c r="J887" s="20" t="s">
        <v>207</v>
      </c>
      <c r="K887" s="20" t="str">
        <f>IFERROR(INDEX('[2]PRICELIST, 908u'!$G$7:$AX$914,MATCH($B887,'[2]PRICELIST, 908u'!$G$7:$G$914,0),30),"NA")</f>
        <v>Slant / YELLOW</v>
      </c>
      <c r="L887" s="20">
        <f>IFERROR(INDEX('[2]PRICELIST, 908u'!$G$7:$AX$914,MATCH($B887,'[2]PRICELIST, 908u'!$G$7:$G$914,0),40),"NA")</f>
        <v>2920000</v>
      </c>
      <c r="M887" s="20">
        <f>IFERROR(INDEX('[2]PRICELIST, 908u'!$G$7:$AX$914,MATCH($B887,'[2]PRICELIST, 908u'!$G$7:$G$914,0),41),"NA")</f>
        <v>100000</v>
      </c>
      <c r="N887" s="58">
        <f t="shared" si="36"/>
        <v>2820000</v>
      </c>
      <c r="O887" s="60"/>
      <c r="P887" s="60">
        <f t="shared" si="35"/>
        <v>2820000</v>
      </c>
    </row>
    <row r="888" spans="2:16">
      <c r="B888" s="20" t="s">
        <v>1039</v>
      </c>
      <c r="C888" s="20" t="s">
        <v>2</v>
      </c>
      <c r="D888" s="20" t="str">
        <f>IFERROR(INDEX('[2]PRICELIST, 908u'!$G$7:$AX$914,MATCH($B888,'[2]PRICELIST, 908u'!$G$7:$G$914,0),18),"NA")</f>
        <v>2025 - Batch 5</v>
      </c>
      <c r="E888" s="20" t="str">
        <f>IFERROR(INDEX([3]AGM!$D$21:$BL$928,MATCH($B888,[3]AGM!$AD$21:$AD$928,0),1),"NA")</f>
        <v>OS</v>
      </c>
      <c r="F888" s="20" t="str">
        <f t="shared" si="34"/>
        <v>Block 03</v>
      </c>
      <c r="G888" s="20" t="str">
        <f t="shared" si="33"/>
        <v>Lot 02</v>
      </c>
      <c r="H888" s="20">
        <f>IFERROR(INDEX('[2]PRICELIST, 908u'!$G$7:$AX$914,MATCH($B888,'[2]PRICELIST, 908u'!$G$7:$G$914,0),23),"NA")</f>
        <v>50</v>
      </c>
      <c r="I888" s="20">
        <f>IFERROR(INDEX('[2]PRICELIST, 908u'!$G$7:$AX$914,MATCH($B888,'[2]PRICELIST, 908u'!$G$7:$G$914,0),22),"NA")</f>
        <v>70</v>
      </c>
      <c r="J888" s="20" t="s">
        <v>207</v>
      </c>
      <c r="K888" s="20" t="str">
        <f>IFERROR(INDEX('[2]PRICELIST, 908u'!$G$7:$AX$914,MATCH($B888,'[2]PRICELIST, 908u'!$G$7:$G$914,0),30),"NA")</f>
        <v>Flat / YELLOW</v>
      </c>
      <c r="L888" s="20">
        <f>IFERROR(INDEX('[2]PRICELIST, 908u'!$G$7:$AX$914,MATCH($B888,'[2]PRICELIST, 908u'!$G$7:$G$914,0),40),"NA")</f>
        <v>2650000</v>
      </c>
      <c r="M888" s="20">
        <f>IFERROR(INDEX('[2]PRICELIST, 908u'!$G$7:$AX$914,MATCH($B888,'[2]PRICELIST, 908u'!$G$7:$G$914,0),41),"NA")</f>
        <v>100000</v>
      </c>
      <c r="N888" s="58">
        <f t="shared" si="36"/>
        <v>2550000</v>
      </c>
      <c r="O888" s="60"/>
      <c r="P888" s="60">
        <f t="shared" si="35"/>
        <v>2550000</v>
      </c>
    </row>
    <row r="889" spans="2:16">
      <c r="B889" s="20" t="s">
        <v>1040</v>
      </c>
      <c r="C889" s="20" t="s">
        <v>2</v>
      </c>
      <c r="D889" s="20" t="str">
        <f>IFERROR(INDEX('[2]PRICELIST, 908u'!$G$7:$AX$914,MATCH($B889,'[2]PRICELIST, 908u'!$G$7:$G$914,0),18),"NA")</f>
        <v>2025 - Batch 5</v>
      </c>
      <c r="E889" s="20" t="str">
        <f>IFERROR(INDEX([3]AGM!$D$21:$BL$928,MATCH($B889,[3]AGM!$AD$21:$AD$928,0),1),"NA")</f>
        <v>OS</v>
      </c>
      <c r="F889" s="20" t="str">
        <f t="shared" si="34"/>
        <v>Block 03</v>
      </c>
      <c r="G889" s="20" t="str">
        <f t="shared" si="33"/>
        <v>Lot 03</v>
      </c>
      <c r="H889" s="20">
        <f>IFERROR(INDEX('[2]PRICELIST, 908u'!$G$7:$AX$914,MATCH($B889,'[2]PRICELIST, 908u'!$G$7:$G$914,0),23),"NA")</f>
        <v>50</v>
      </c>
      <c r="I889" s="20">
        <f>IFERROR(INDEX('[2]PRICELIST, 908u'!$G$7:$AX$914,MATCH($B889,'[2]PRICELIST, 908u'!$G$7:$G$914,0),22),"NA")</f>
        <v>70</v>
      </c>
      <c r="J889" s="20" t="s">
        <v>207</v>
      </c>
      <c r="K889" s="20" t="str">
        <f>IFERROR(INDEX('[2]PRICELIST, 908u'!$G$7:$AX$914,MATCH($B889,'[2]PRICELIST, 908u'!$G$7:$G$914,0),30),"NA")</f>
        <v>Flat / YELLOW</v>
      </c>
      <c r="L889" s="20">
        <f>IFERROR(INDEX('[2]PRICELIST, 908u'!$G$7:$AX$914,MATCH($B889,'[2]PRICELIST, 908u'!$G$7:$G$914,0),40),"NA")</f>
        <v>2650000</v>
      </c>
      <c r="M889" s="20">
        <f>IFERROR(INDEX('[2]PRICELIST, 908u'!$G$7:$AX$914,MATCH($B889,'[2]PRICELIST, 908u'!$G$7:$G$914,0),41),"NA")</f>
        <v>100000</v>
      </c>
      <c r="N889" s="58">
        <f t="shared" si="36"/>
        <v>2550000</v>
      </c>
      <c r="O889" s="60"/>
      <c r="P889" s="60">
        <f t="shared" si="35"/>
        <v>2550000</v>
      </c>
    </row>
    <row r="890" spans="2:16">
      <c r="B890" s="20" t="s">
        <v>1041</v>
      </c>
      <c r="C890" s="20" t="s">
        <v>2</v>
      </c>
      <c r="D890" s="20" t="str">
        <f>IFERROR(INDEX('[2]PRICELIST, 908u'!$G$7:$AX$914,MATCH($B890,'[2]PRICELIST, 908u'!$G$7:$G$914,0),18),"NA")</f>
        <v>2025 - Batch 5</v>
      </c>
      <c r="E890" s="20" t="str">
        <f>IFERROR(INDEX([3]AGM!$D$21:$BL$928,MATCH($B890,[3]AGM!$AD$21:$AD$928,0),1),"NA")</f>
        <v>OS</v>
      </c>
      <c r="F890" s="20" t="str">
        <f t="shared" si="34"/>
        <v>Block 03</v>
      </c>
      <c r="G890" s="20" t="str">
        <f t="shared" si="33"/>
        <v>Lot 04</v>
      </c>
      <c r="H890" s="20">
        <f>IFERROR(INDEX('[2]PRICELIST, 908u'!$G$7:$AX$914,MATCH($B890,'[2]PRICELIST, 908u'!$G$7:$G$914,0),23),"NA")</f>
        <v>50</v>
      </c>
      <c r="I890" s="20">
        <f>IFERROR(INDEX('[2]PRICELIST, 908u'!$G$7:$AX$914,MATCH($B890,'[2]PRICELIST, 908u'!$G$7:$G$914,0),22),"NA")</f>
        <v>70</v>
      </c>
      <c r="J890" s="20" t="s">
        <v>207</v>
      </c>
      <c r="K890" s="20" t="str">
        <f>IFERROR(INDEX('[2]PRICELIST, 908u'!$G$7:$AX$914,MATCH($B890,'[2]PRICELIST, 908u'!$G$7:$G$914,0),30),"NA")</f>
        <v>Slant / YELLOW</v>
      </c>
      <c r="L890" s="20">
        <f>IFERROR(INDEX('[2]PRICELIST, 908u'!$G$7:$AX$914,MATCH($B890,'[2]PRICELIST, 908u'!$G$7:$G$914,0),40),"NA")</f>
        <v>2650000</v>
      </c>
      <c r="M890" s="20">
        <f>IFERROR(INDEX('[2]PRICELIST, 908u'!$G$7:$AX$914,MATCH($B890,'[2]PRICELIST, 908u'!$G$7:$G$914,0),41),"NA")</f>
        <v>100000</v>
      </c>
      <c r="N890" s="58">
        <f t="shared" si="36"/>
        <v>2550000</v>
      </c>
      <c r="O890" s="60"/>
      <c r="P890" s="60">
        <f t="shared" si="35"/>
        <v>2550000</v>
      </c>
    </row>
    <row r="891" spans="2:16">
      <c r="B891" s="20" t="s">
        <v>1042</v>
      </c>
      <c r="C891" s="20" t="s">
        <v>2</v>
      </c>
      <c r="D891" s="20" t="str">
        <f>IFERROR(INDEX('[2]PRICELIST, 908u'!$G$7:$AX$914,MATCH($B891,'[2]PRICELIST, 908u'!$G$7:$G$914,0),18),"NA")</f>
        <v>2025 - Batch 5</v>
      </c>
      <c r="E891" s="20" t="str">
        <f>IFERROR(INDEX([3]AGM!$D$21:$BL$928,MATCH($B891,[3]AGM!$AD$21:$AD$928,0),1),"NA")</f>
        <v>OS</v>
      </c>
      <c r="F891" s="20" t="str">
        <f t="shared" si="34"/>
        <v>Block 03</v>
      </c>
      <c r="G891" s="20" t="str">
        <f t="shared" si="33"/>
        <v>Lot 05</v>
      </c>
      <c r="H891" s="20">
        <f>IFERROR(INDEX('[2]PRICELIST, 908u'!$G$7:$AX$914,MATCH($B891,'[2]PRICELIST, 908u'!$G$7:$G$914,0),23),"NA")</f>
        <v>50</v>
      </c>
      <c r="I891" s="20">
        <f>IFERROR(INDEX('[2]PRICELIST, 908u'!$G$7:$AX$914,MATCH($B891,'[2]PRICELIST, 908u'!$G$7:$G$914,0),22),"NA")</f>
        <v>70</v>
      </c>
      <c r="J891" s="20" t="s">
        <v>207</v>
      </c>
      <c r="K891" s="20" t="str">
        <f>IFERROR(INDEX('[2]PRICELIST, 908u'!$G$7:$AX$914,MATCH($B891,'[2]PRICELIST, 908u'!$G$7:$G$914,0),30),"NA")</f>
        <v>Slant / PURPLE</v>
      </c>
      <c r="L891" s="20">
        <f>IFERROR(INDEX('[2]PRICELIST, 908u'!$G$7:$AX$914,MATCH($B891,'[2]PRICELIST, 908u'!$G$7:$G$914,0),40),"NA")</f>
        <v>2650000</v>
      </c>
      <c r="M891" s="20">
        <f>IFERROR(INDEX('[2]PRICELIST, 908u'!$G$7:$AX$914,MATCH($B891,'[2]PRICELIST, 908u'!$G$7:$G$914,0),41),"NA")</f>
        <v>100000</v>
      </c>
      <c r="N891" s="58">
        <f t="shared" si="36"/>
        <v>2550000</v>
      </c>
      <c r="O891" s="60"/>
      <c r="P891" s="60">
        <f t="shared" si="35"/>
        <v>2550000</v>
      </c>
    </row>
    <row r="892" spans="2:16">
      <c r="B892" s="20" t="s">
        <v>1043</v>
      </c>
      <c r="C892" s="20" t="s">
        <v>2</v>
      </c>
      <c r="D892" s="20" t="str">
        <f>IFERROR(INDEX('[2]PRICELIST, 908u'!$G$7:$AX$914,MATCH($B892,'[2]PRICELIST, 908u'!$G$7:$G$914,0),18),"NA")</f>
        <v>2025 - Batch 5</v>
      </c>
      <c r="E892" s="20" t="str">
        <f>IFERROR(INDEX([3]AGM!$D$21:$BL$928,MATCH($B892,[3]AGM!$AD$21:$AD$928,0),1),"NA")</f>
        <v>TS</v>
      </c>
      <c r="F892" s="20" t="str">
        <f t="shared" si="34"/>
        <v>Block 03</v>
      </c>
      <c r="G892" s="20" t="str">
        <f t="shared" si="33"/>
        <v>Lot 06</v>
      </c>
      <c r="H892" s="20">
        <f>IFERROR(INDEX('[2]PRICELIST, 908u'!$G$7:$AX$914,MATCH($B892,'[2]PRICELIST, 908u'!$G$7:$G$914,0),23),"NA")</f>
        <v>50</v>
      </c>
      <c r="I892" s="20">
        <f>IFERROR(INDEX('[2]PRICELIST, 908u'!$G$7:$AX$914,MATCH($B892,'[2]PRICELIST, 908u'!$G$7:$G$914,0),22),"NA")</f>
        <v>70</v>
      </c>
      <c r="J892" s="20" t="s">
        <v>207</v>
      </c>
      <c r="K892" s="20" t="str">
        <f>IFERROR(INDEX('[2]PRICELIST, 908u'!$G$7:$AX$914,MATCH($B892,'[2]PRICELIST, 908u'!$G$7:$G$914,0),30),"NA")</f>
        <v>Flat / PURPLE</v>
      </c>
      <c r="L892" s="20">
        <f>IFERROR(INDEX('[2]PRICELIST, 908u'!$G$7:$AX$914,MATCH($B892,'[2]PRICELIST, 908u'!$G$7:$G$914,0),40),"NA")</f>
        <v>2650000</v>
      </c>
      <c r="M892" s="20">
        <f>IFERROR(INDEX('[2]PRICELIST, 908u'!$G$7:$AX$914,MATCH($B892,'[2]PRICELIST, 908u'!$G$7:$G$914,0),41),"NA")</f>
        <v>100000</v>
      </c>
      <c r="N892" s="58">
        <f t="shared" si="36"/>
        <v>2550000</v>
      </c>
      <c r="O892" s="60"/>
      <c r="P892" s="60">
        <f t="shared" si="35"/>
        <v>2550000</v>
      </c>
    </row>
    <row r="893" spans="2:16">
      <c r="B893" s="20" t="s">
        <v>1044</v>
      </c>
      <c r="C893" s="20" t="s">
        <v>2</v>
      </c>
      <c r="D893" s="20" t="str">
        <f>IFERROR(INDEX('[2]PRICELIST, 908u'!$G$7:$AX$914,MATCH($B893,'[2]PRICELIST, 908u'!$G$7:$G$914,0),18),"NA")</f>
        <v>Lot Only - N/A</v>
      </c>
      <c r="E893" s="20" t="str">
        <f>IFERROR(INDEX([3]AGM!$D$21:$BL$928,MATCH($B893,[3]AGM!$AD$21:$AD$928,0),1),"NA")</f>
        <v>OPEN</v>
      </c>
      <c r="F893" s="20" t="str">
        <f t="shared" si="34"/>
        <v>Block 03</v>
      </c>
      <c r="G893" s="20" t="str">
        <f t="shared" si="33"/>
        <v>Lot 07</v>
      </c>
      <c r="H893" s="20" t="str">
        <f>IFERROR(INDEX('[2]PRICELIST, 908u'!$G$7:$AX$914,MATCH($B893,'[2]PRICELIST, 908u'!$G$7:$G$914,0),23),"NA")</f>
        <v>N/A</v>
      </c>
      <c r="I893" s="20">
        <f>IFERROR(INDEX('[2]PRICELIST, 908u'!$G$7:$AX$914,MATCH($B893,'[2]PRICELIST, 908u'!$G$7:$G$914,0),22),"NA")</f>
        <v>111</v>
      </c>
      <c r="J893" s="20" t="s">
        <v>100</v>
      </c>
      <c r="K893" s="37" t="s">
        <v>1025</v>
      </c>
      <c r="L893" s="20">
        <f>IFERROR(INDEX('[2]PRICELIST, 908u'!$G$7:$AX$914,MATCH($B893,'[2]PRICELIST, 908u'!$G$7:$G$914,0),40),"NA")</f>
        <v>1765000</v>
      </c>
      <c r="M893" s="20">
        <f>IFERROR(INDEX('[2]PRICELIST, 908u'!$G$7:$AX$914,MATCH($B893,'[2]PRICELIST, 908u'!$G$7:$G$914,0),41),"NA")</f>
        <v>100000</v>
      </c>
      <c r="N893" s="58">
        <f t="shared" si="36"/>
        <v>1665000</v>
      </c>
      <c r="O893" s="60"/>
      <c r="P893" s="60">
        <f t="shared" si="35"/>
        <v>1665000</v>
      </c>
    </row>
    <row r="894" spans="2:16">
      <c r="B894" s="20" t="s">
        <v>1045</v>
      </c>
      <c r="C894" s="20" t="s">
        <v>2</v>
      </c>
      <c r="D894" s="20" t="str">
        <f>IFERROR(INDEX('[2]PRICELIST, 908u'!$G$7:$AX$914,MATCH($B894,'[2]PRICELIST, 908u'!$G$7:$G$914,0),18),"NA")</f>
        <v>2025 - Batch 5</v>
      </c>
      <c r="E894" s="20" t="str">
        <f>IFERROR(INDEX([3]AGM!$D$21:$BL$928,MATCH($B894,[3]AGM!$AD$21:$AD$928,0),1),"NA")</f>
        <v>OS</v>
      </c>
      <c r="F894" s="20" t="str">
        <f t="shared" si="34"/>
        <v>Block 05</v>
      </c>
      <c r="G894" s="20" t="str">
        <f t="shared" si="33"/>
        <v>Lot 01</v>
      </c>
      <c r="H894" s="20">
        <f>IFERROR(INDEX('[2]PRICELIST, 908u'!$G$7:$AX$914,MATCH($B894,'[2]PRICELIST, 908u'!$G$7:$G$914,0),23),"NA")</f>
        <v>50</v>
      </c>
      <c r="I894" s="20">
        <f>IFERROR(INDEX('[2]PRICELIST, 908u'!$G$7:$AX$914,MATCH($B894,'[2]PRICELIST, 908u'!$G$7:$G$914,0),22),"NA")</f>
        <v>95</v>
      </c>
      <c r="J894" s="20" t="s">
        <v>207</v>
      </c>
      <c r="K894" s="20" t="str">
        <f>IFERROR(INDEX('[2]PRICELIST, 908u'!$G$7:$AX$914,MATCH($B894,'[2]PRICELIST, 908u'!$G$7:$G$914,0),30),"NA")</f>
        <v>Flat / GREEN</v>
      </c>
      <c r="L894" s="20">
        <f>IFERROR(INDEX('[2]PRICELIST, 908u'!$G$7:$AX$914,MATCH($B894,'[2]PRICELIST, 908u'!$G$7:$G$914,0),40),"NA")</f>
        <v>3025000</v>
      </c>
      <c r="M894" s="20">
        <f>IFERROR(INDEX('[2]PRICELIST, 908u'!$G$7:$AX$914,MATCH($B894,'[2]PRICELIST, 908u'!$G$7:$G$914,0),41),"NA")</f>
        <v>100000</v>
      </c>
      <c r="N894" s="58">
        <f t="shared" si="36"/>
        <v>2925000</v>
      </c>
      <c r="O894" s="60"/>
      <c r="P894" s="60">
        <f t="shared" si="35"/>
        <v>2925000</v>
      </c>
    </row>
    <row r="895" spans="2:16">
      <c r="B895" s="20" t="s">
        <v>1046</v>
      </c>
      <c r="C895" s="20" t="s">
        <v>2</v>
      </c>
      <c r="D895" s="20" t="str">
        <f>IFERROR(INDEX('[2]PRICELIST, 908u'!$G$7:$AX$914,MATCH($B895,'[2]PRICELIST, 908u'!$G$7:$G$914,0),18),"NA")</f>
        <v>2025 - Batch 5</v>
      </c>
      <c r="E895" s="20" t="str">
        <f>IFERROR(INDEX([3]AGM!$D$21:$BL$928,MATCH($B895,[3]AGM!$AD$21:$AD$928,0),1),"NA")</f>
        <v>OS</v>
      </c>
      <c r="F895" s="20" t="str">
        <f t="shared" si="34"/>
        <v>Block 05</v>
      </c>
      <c r="G895" s="20" t="str">
        <f t="shared" si="33"/>
        <v>Lot 02</v>
      </c>
      <c r="H895" s="20">
        <f>IFERROR(INDEX('[2]PRICELIST, 908u'!$G$7:$AX$914,MATCH($B895,'[2]PRICELIST, 908u'!$G$7:$G$914,0),23),"NA")</f>
        <v>50</v>
      </c>
      <c r="I895" s="20">
        <f>IFERROR(INDEX('[2]PRICELIST, 908u'!$G$7:$AX$914,MATCH($B895,'[2]PRICELIST, 908u'!$G$7:$G$914,0),22),"NA")</f>
        <v>80</v>
      </c>
      <c r="J895" s="20" t="s">
        <v>207</v>
      </c>
      <c r="K895" s="20" t="str">
        <f>IFERROR(INDEX('[2]PRICELIST, 908u'!$G$7:$AX$914,MATCH($B895,'[2]PRICELIST, 908u'!$G$7:$G$914,0),30),"NA")</f>
        <v>Slant / GREEN</v>
      </c>
      <c r="L895" s="20">
        <f>IFERROR(INDEX('[2]PRICELIST, 908u'!$G$7:$AX$914,MATCH($B895,'[2]PRICELIST, 908u'!$G$7:$G$914,0),40),"NA")</f>
        <v>2800000</v>
      </c>
      <c r="M895" s="20">
        <f>IFERROR(INDEX('[2]PRICELIST, 908u'!$G$7:$AX$914,MATCH($B895,'[2]PRICELIST, 908u'!$G$7:$G$914,0),41),"NA")</f>
        <v>100000</v>
      </c>
      <c r="N895" s="58">
        <f t="shared" si="36"/>
        <v>2700000</v>
      </c>
      <c r="O895" s="60"/>
      <c r="P895" s="60">
        <f t="shared" si="35"/>
        <v>2700000</v>
      </c>
    </row>
    <row r="896" spans="2:16">
      <c r="B896" s="20" t="s">
        <v>1047</v>
      </c>
      <c r="C896" s="20" t="s">
        <v>2</v>
      </c>
      <c r="D896" s="20" t="str">
        <f>IFERROR(INDEX('[2]PRICELIST, 908u'!$G$7:$AX$914,MATCH($B896,'[2]PRICELIST, 908u'!$G$7:$G$914,0),18),"NA")</f>
        <v>2025 - Batch 6</v>
      </c>
      <c r="E896" s="20" t="str">
        <f>IFERROR(INDEX([3]AGM!$D$21:$BL$928,MATCH($B896,[3]AGM!$AD$21:$AD$928,0),1),"NA")</f>
        <v>OS</v>
      </c>
      <c r="F896" s="20" t="str">
        <f t="shared" si="34"/>
        <v>Block 05</v>
      </c>
      <c r="G896" s="20" t="str">
        <f t="shared" si="33"/>
        <v>Lot 03</v>
      </c>
      <c r="H896" s="20">
        <f>IFERROR(INDEX('[2]PRICELIST, 908u'!$G$7:$AX$914,MATCH($B896,'[2]PRICELIST, 908u'!$G$7:$G$914,0),23),"NA")</f>
        <v>50</v>
      </c>
      <c r="I896" s="20">
        <f>IFERROR(INDEX('[2]PRICELIST, 908u'!$G$7:$AX$914,MATCH($B896,'[2]PRICELIST, 908u'!$G$7:$G$914,0),22),"NA")</f>
        <v>80</v>
      </c>
      <c r="J896" s="20" t="s">
        <v>207</v>
      </c>
      <c r="K896" s="20" t="str">
        <f>IFERROR(INDEX('[2]PRICELIST, 908u'!$G$7:$AX$914,MATCH($B896,'[2]PRICELIST, 908u'!$G$7:$G$914,0),30),"NA")</f>
        <v>Slant / GREEN</v>
      </c>
      <c r="L896" s="20">
        <f>IFERROR(INDEX('[2]PRICELIST, 908u'!$G$7:$AX$914,MATCH($B896,'[2]PRICELIST, 908u'!$G$7:$G$914,0),40),"NA")</f>
        <v>2800000</v>
      </c>
      <c r="M896" s="20">
        <f>IFERROR(INDEX('[2]PRICELIST, 908u'!$G$7:$AX$914,MATCH($B896,'[2]PRICELIST, 908u'!$G$7:$G$914,0),41),"NA")</f>
        <v>100000</v>
      </c>
      <c r="N896" s="58">
        <f t="shared" si="36"/>
        <v>2700000</v>
      </c>
      <c r="O896" s="60"/>
      <c r="P896" s="60">
        <f t="shared" si="35"/>
        <v>2700000</v>
      </c>
    </row>
    <row r="897" spans="2:16">
      <c r="B897" s="20" t="s">
        <v>1048</v>
      </c>
      <c r="C897" s="20" t="s">
        <v>2</v>
      </c>
      <c r="D897" s="20" t="str">
        <f>IFERROR(INDEX('[2]PRICELIST, 908u'!$G$7:$AX$914,MATCH($B897,'[2]PRICELIST, 908u'!$G$7:$G$914,0),18),"NA")</f>
        <v>2025 - Batch 6</v>
      </c>
      <c r="E897" s="20" t="str">
        <f>IFERROR(INDEX([3]AGM!$D$21:$BL$928,MATCH($B897,[3]AGM!$AD$21:$AD$928,0),1),"NA")</f>
        <v>OS</v>
      </c>
      <c r="F897" s="20" t="str">
        <f t="shared" si="34"/>
        <v>Block 05</v>
      </c>
      <c r="G897" s="20" t="str">
        <f t="shared" si="33"/>
        <v>Lot 04</v>
      </c>
      <c r="H897" s="20">
        <f>IFERROR(INDEX('[2]PRICELIST, 908u'!$G$7:$AX$914,MATCH($B897,'[2]PRICELIST, 908u'!$G$7:$G$914,0),23),"NA")</f>
        <v>50</v>
      </c>
      <c r="I897" s="20">
        <f>IFERROR(INDEX('[2]PRICELIST, 908u'!$G$7:$AX$914,MATCH($B897,'[2]PRICELIST, 908u'!$G$7:$G$914,0),22),"NA")</f>
        <v>70</v>
      </c>
      <c r="J897" s="20" t="s">
        <v>207</v>
      </c>
      <c r="K897" s="20" t="str">
        <f>IFERROR(INDEX('[2]PRICELIST, 908u'!$G$7:$AX$914,MATCH($B897,'[2]PRICELIST, 908u'!$G$7:$G$914,0),30),"NA")</f>
        <v>Flat / GREEN</v>
      </c>
      <c r="L897" s="20">
        <f>IFERROR(INDEX('[2]PRICELIST, 908u'!$G$7:$AX$914,MATCH($B897,'[2]PRICELIST, 908u'!$G$7:$G$914,0),40),"NA")</f>
        <v>2650000</v>
      </c>
      <c r="M897" s="20">
        <f>IFERROR(INDEX('[2]PRICELIST, 908u'!$G$7:$AX$914,MATCH($B897,'[2]PRICELIST, 908u'!$G$7:$G$914,0),41),"NA")</f>
        <v>100000</v>
      </c>
      <c r="N897" s="58">
        <f t="shared" si="36"/>
        <v>2550000</v>
      </c>
      <c r="O897" s="60"/>
      <c r="P897" s="60">
        <f t="shared" si="35"/>
        <v>2550000</v>
      </c>
    </row>
    <row r="898" spans="2:16">
      <c r="B898" s="20" t="s">
        <v>1049</v>
      </c>
      <c r="C898" s="20" t="s">
        <v>2</v>
      </c>
      <c r="D898" s="20" t="str">
        <f>IFERROR(INDEX('[2]PRICELIST, 908u'!$G$7:$AX$914,MATCH($B898,'[2]PRICELIST, 908u'!$G$7:$G$914,0),18),"NA")</f>
        <v>2025 - Batch 6</v>
      </c>
      <c r="E898" s="20" t="str">
        <f>IFERROR(INDEX([3]AGM!$D$21:$BL$928,MATCH($B898,[3]AGM!$AD$21:$AD$928,0),1),"NA")</f>
        <v>OS</v>
      </c>
      <c r="F898" s="20" t="str">
        <f t="shared" si="34"/>
        <v>Block 05</v>
      </c>
      <c r="G898" s="20" t="str">
        <f t="shared" si="33"/>
        <v>Lot 05</v>
      </c>
      <c r="H898" s="20">
        <f>IFERROR(INDEX('[2]PRICELIST, 908u'!$G$7:$AX$914,MATCH($B898,'[2]PRICELIST, 908u'!$G$7:$G$914,0),23),"NA")</f>
        <v>50</v>
      </c>
      <c r="I898" s="20">
        <f>IFERROR(INDEX('[2]PRICELIST, 908u'!$G$7:$AX$914,MATCH($B898,'[2]PRICELIST, 908u'!$G$7:$G$914,0),22),"NA")</f>
        <v>70</v>
      </c>
      <c r="J898" s="20" t="s">
        <v>207</v>
      </c>
      <c r="K898" s="20" t="str">
        <f>IFERROR(INDEX('[2]PRICELIST, 908u'!$G$7:$AX$914,MATCH($B898,'[2]PRICELIST, 908u'!$G$7:$G$914,0),30),"NA")</f>
        <v>Flat / PINK</v>
      </c>
      <c r="L898" s="20">
        <f>IFERROR(INDEX('[2]PRICELIST, 908u'!$G$7:$AX$914,MATCH($B898,'[2]PRICELIST, 908u'!$G$7:$G$914,0),40),"NA")</f>
        <v>2650000</v>
      </c>
      <c r="M898" s="20">
        <f>IFERROR(INDEX('[2]PRICELIST, 908u'!$G$7:$AX$914,MATCH($B898,'[2]PRICELIST, 908u'!$G$7:$G$914,0),41),"NA")</f>
        <v>100000</v>
      </c>
      <c r="N898" s="58">
        <f t="shared" si="36"/>
        <v>2550000</v>
      </c>
      <c r="O898" s="60"/>
      <c r="P898" s="60">
        <f t="shared" si="35"/>
        <v>2550000</v>
      </c>
    </row>
    <row r="899" spans="2:16">
      <c r="B899" s="20" t="s">
        <v>1050</v>
      </c>
      <c r="C899" s="20" t="s">
        <v>2</v>
      </c>
      <c r="D899" s="20" t="str">
        <f>IFERROR(INDEX('[2]PRICELIST, 908u'!$G$7:$AX$914,MATCH($B899,'[2]PRICELIST, 908u'!$G$7:$G$914,0),18),"NA")</f>
        <v>2025 - Batch 6</v>
      </c>
      <c r="E899" s="20" t="str">
        <f>IFERROR(INDEX([3]AGM!$D$21:$BL$928,MATCH($B899,[3]AGM!$AD$21:$AD$928,0),1),"NA")</f>
        <v>OS</v>
      </c>
      <c r="F899" s="20" t="str">
        <f t="shared" si="34"/>
        <v>Block 05</v>
      </c>
      <c r="G899" s="20" t="str">
        <f t="shared" si="33"/>
        <v>Lot 06</v>
      </c>
      <c r="H899" s="20">
        <f>IFERROR(INDEX('[2]PRICELIST, 908u'!$G$7:$AX$914,MATCH($B899,'[2]PRICELIST, 908u'!$G$7:$G$914,0),23),"NA")</f>
        <v>50</v>
      </c>
      <c r="I899" s="20">
        <f>IFERROR(INDEX('[2]PRICELIST, 908u'!$G$7:$AX$914,MATCH($B899,'[2]PRICELIST, 908u'!$G$7:$G$914,0),22),"NA")</f>
        <v>70</v>
      </c>
      <c r="J899" s="20" t="s">
        <v>207</v>
      </c>
      <c r="K899" s="20" t="str">
        <f>IFERROR(INDEX('[2]PRICELIST, 908u'!$G$7:$AX$914,MATCH($B899,'[2]PRICELIST, 908u'!$G$7:$G$914,0),30),"NA")</f>
        <v>Slant / PINK</v>
      </c>
      <c r="L899" s="20">
        <f>IFERROR(INDEX('[2]PRICELIST, 908u'!$G$7:$AX$914,MATCH($B899,'[2]PRICELIST, 908u'!$G$7:$G$914,0),40),"NA")</f>
        <v>2650000</v>
      </c>
      <c r="M899" s="20">
        <f>IFERROR(INDEX('[2]PRICELIST, 908u'!$G$7:$AX$914,MATCH($B899,'[2]PRICELIST, 908u'!$G$7:$G$914,0),41),"NA")</f>
        <v>100000</v>
      </c>
      <c r="N899" s="58">
        <f t="shared" si="36"/>
        <v>2550000</v>
      </c>
      <c r="O899" s="60"/>
      <c r="P899" s="60">
        <f t="shared" si="35"/>
        <v>2550000</v>
      </c>
    </row>
    <row r="900" spans="2:16">
      <c r="B900" s="20" t="s">
        <v>1051</v>
      </c>
      <c r="C900" s="20" t="s">
        <v>2</v>
      </c>
      <c r="D900" s="20" t="str">
        <f>IFERROR(INDEX('[2]PRICELIST, 908u'!$G$7:$AX$914,MATCH($B900,'[2]PRICELIST, 908u'!$G$7:$G$914,0),18),"NA")</f>
        <v>2025 - Batch 6</v>
      </c>
      <c r="E900" s="20" t="str">
        <f>IFERROR(INDEX([3]AGM!$D$21:$BL$928,MATCH($B900,[3]AGM!$AD$21:$AD$928,0),1),"NA")</f>
        <v>OS</v>
      </c>
      <c r="F900" s="20" t="str">
        <f t="shared" si="34"/>
        <v>Block 05</v>
      </c>
      <c r="G900" s="20" t="str">
        <f t="shared" si="33"/>
        <v>Lot 07</v>
      </c>
      <c r="H900" s="20">
        <f>IFERROR(INDEX('[2]PRICELIST, 908u'!$G$7:$AX$914,MATCH($B900,'[2]PRICELIST, 908u'!$G$7:$G$914,0),23),"NA")</f>
        <v>50</v>
      </c>
      <c r="I900" s="20">
        <f>IFERROR(INDEX('[2]PRICELIST, 908u'!$G$7:$AX$914,MATCH($B900,'[2]PRICELIST, 908u'!$G$7:$G$914,0),22),"NA")</f>
        <v>70</v>
      </c>
      <c r="J900" s="20" t="s">
        <v>207</v>
      </c>
      <c r="K900" s="20" t="str">
        <f>IFERROR(INDEX('[2]PRICELIST, 908u'!$G$7:$AX$914,MATCH($B900,'[2]PRICELIST, 908u'!$G$7:$G$914,0),30),"NA")</f>
        <v>Slant / PINK</v>
      </c>
      <c r="L900" s="20">
        <f>IFERROR(INDEX('[2]PRICELIST, 908u'!$G$7:$AX$914,MATCH($B900,'[2]PRICELIST, 908u'!$G$7:$G$914,0),40),"NA")</f>
        <v>2650000</v>
      </c>
      <c r="M900" s="20">
        <f>IFERROR(INDEX('[2]PRICELIST, 908u'!$G$7:$AX$914,MATCH($B900,'[2]PRICELIST, 908u'!$G$7:$G$914,0),41),"NA")</f>
        <v>100000</v>
      </c>
      <c r="N900" s="58">
        <f t="shared" si="36"/>
        <v>2550000</v>
      </c>
      <c r="O900" s="60"/>
      <c r="P900" s="60">
        <f t="shared" si="35"/>
        <v>2550000</v>
      </c>
    </row>
    <row r="901" spans="2:16">
      <c r="B901" s="20" t="s">
        <v>1052</v>
      </c>
      <c r="C901" s="20" t="s">
        <v>2</v>
      </c>
      <c r="D901" s="20" t="str">
        <f>IFERROR(INDEX('[2]PRICELIST, 908u'!$G$7:$AX$914,MATCH($B901,'[2]PRICELIST, 908u'!$G$7:$G$914,0),18),"NA")</f>
        <v>2025 - Batch 6</v>
      </c>
      <c r="E901" s="20" t="str">
        <f>IFERROR(INDEX([3]AGM!$D$21:$BL$928,MATCH($B901,[3]AGM!$AD$21:$AD$928,0),1),"NA")</f>
        <v>OS</v>
      </c>
      <c r="F901" s="20" t="str">
        <f t="shared" si="34"/>
        <v>Block 05</v>
      </c>
      <c r="G901" s="20" t="str">
        <f t="shared" si="33"/>
        <v>Lot 08</v>
      </c>
      <c r="H901" s="20">
        <f>IFERROR(INDEX('[2]PRICELIST, 908u'!$G$7:$AX$914,MATCH($B901,'[2]PRICELIST, 908u'!$G$7:$G$914,0),23),"NA")</f>
        <v>50</v>
      </c>
      <c r="I901" s="20">
        <f>IFERROR(INDEX('[2]PRICELIST, 908u'!$G$7:$AX$914,MATCH($B901,'[2]PRICELIST, 908u'!$G$7:$G$914,0),22),"NA")</f>
        <v>70</v>
      </c>
      <c r="J901" s="20" t="s">
        <v>207</v>
      </c>
      <c r="K901" s="20" t="str">
        <f>IFERROR(INDEX('[2]PRICELIST, 908u'!$G$7:$AX$914,MATCH($B901,'[2]PRICELIST, 908u'!$G$7:$G$914,0),30),"NA")</f>
        <v>Flat / PINK</v>
      </c>
      <c r="L901" s="20">
        <f>IFERROR(INDEX('[2]PRICELIST, 908u'!$G$7:$AX$914,MATCH($B901,'[2]PRICELIST, 908u'!$G$7:$G$914,0),40),"NA")</f>
        <v>2650000</v>
      </c>
      <c r="M901" s="20">
        <f>IFERROR(INDEX('[2]PRICELIST, 908u'!$G$7:$AX$914,MATCH($B901,'[2]PRICELIST, 908u'!$G$7:$G$914,0),41),"NA")</f>
        <v>100000</v>
      </c>
      <c r="N901" s="58">
        <f t="shared" si="36"/>
        <v>2550000</v>
      </c>
      <c r="O901" s="60"/>
      <c r="P901" s="60">
        <f t="shared" si="35"/>
        <v>2550000</v>
      </c>
    </row>
    <row r="902" spans="2:16">
      <c r="B902" s="20" t="s">
        <v>1053</v>
      </c>
      <c r="C902" s="20" t="s">
        <v>2</v>
      </c>
      <c r="D902" s="20" t="str">
        <f>IFERROR(INDEX('[2]PRICELIST, 908u'!$G$7:$AX$914,MATCH($B902,'[2]PRICELIST, 908u'!$G$7:$G$914,0),18),"NA")</f>
        <v>2025 - Batch 6</v>
      </c>
      <c r="E902" s="20" t="str">
        <f>IFERROR(INDEX([3]AGM!$D$21:$BL$928,MATCH($B902,[3]AGM!$AD$21:$AD$928,0),1),"NA")</f>
        <v>OS</v>
      </c>
      <c r="F902" s="20" t="str">
        <f t="shared" si="34"/>
        <v>Block 05</v>
      </c>
      <c r="G902" s="20" t="str">
        <f t="shared" si="33"/>
        <v>Lot 09</v>
      </c>
      <c r="H902" s="20">
        <f>IFERROR(INDEX('[2]PRICELIST, 908u'!$G$7:$AX$914,MATCH($B902,'[2]PRICELIST, 908u'!$G$7:$G$914,0),23),"NA")</f>
        <v>50</v>
      </c>
      <c r="I902" s="20">
        <f>IFERROR(INDEX('[2]PRICELIST, 908u'!$G$7:$AX$914,MATCH($B902,'[2]PRICELIST, 908u'!$G$7:$G$914,0),22),"NA")</f>
        <v>70</v>
      </c>
      <c r="J902" s="20" t="s">
        <v>207</v>
      </c>
      <c r="K902" s="20" t="str">
        <f>IFERROR(INDEX('[2]PRICELIST, 908u'!$G$7:$AX$914,MATCH($B902,'[2]PRICELIST, 908u'!$G$7:$G$914,0),30),"NA")</f>
        <v>Flat / PURPLE</v>
      </c>
      <c r="L902" s="20">
        <f>IFERROR(INDEX('[2]PRICELIST, 908u'!$G$7:$AX$914,MATCH($B902,'[2]PRICELIST, 908u'!$G$7:$G$914,0),40),"NA")</f>
        <v>2650000</v>
      </c>
      <c r="M902" s="20">
        <f>IFERROR(INDEX('[2]PRICELIST, 908u'!$G$7:$AX$914,MATCH($B902,'[2]PRICELIST, 908u'!$G$7:$G$914,0),41),"NA")</f>
        <v>100000</v>
      </c>
      <c r="N902" s="58">
        <f t="shared" si="36"/>
        <v>2550000</v>
      </c>
      <c r="O902" s="60"/>
      <c r="P902" s="60">
        <f t="shared" si="35"/>
        <v>2550000</v>
      </c>
    </row>
    <row r="903" spans="2:16">
      <c r="B903" s="20" t="s">
        <v>1054</v>
      </c>
      <c r="C903" s="20" t="s">
        <v>2</v>
      </c>
      <c r="D903" s="20" t="str">
        <f>IFERROR(INDEX('[2]PRICELIST, 908u'!$G$7:$AX$914,MATCH($B903,'[2]PRICELIST, 908u'!$G$7:$G$914,0),18),"NA")</f>
        <v>2025 - Batch 6</v>
      </c>
      <c r="E903" s="20" t="str">
        <f>IFERROR(INDEX([3]AGM!$D$21:$BL$928,MATCH($B903,[3]AGM!$AD$21:$AD$928,0),1),"NA")</f>
        <v>OS</v>
      </c>
      <c r="F903" s="20" t="str">
        <f t="shared" si="34"/>
        <v>Block 05</v>
      </c>
      <c r="G903" s="20" t="str">
        <f t="shared" si="33"/>
        <v>Lot 10</v>
      </c>
      <c r="H903" s="20">
        <f>IFERROR(INDEX('[2]PRICELIST, 908u'!$G$7:$AX$914,MATCH($B903,'[2]PRICELIST, 908u'!$G$7:$G$914,0),23),"NA")</f>
        <v>50</v>
      </c>
      <c r="I903" s="20">
        <f>IFERROR(INDEX('[2]PRICELIST, 908u'!$G$7:$AX$914,MATCH($B903,'[2]PRICELIST, 908u'!$G$7:$G$914,0),22),"NA")</f>
        <v>70</v>
      </c>
      <c r="J903" s="20" t="s">
        <v>207</v>
      </c>
      <c r="K903" s="20" t="str">
        <f>IFERROR(INDEX('[2]PRICELIST, 908u'!$G$7:$AX$914,MATCH($B903,'[2]PRICELIST, 908u'!$G$7:$G$914,0),30),"NA")</f>
        <v>Slant / PURPLE</v>
      </c>
      <c r="L903" s="20">
        <f>IFERROR(INDEX('[2]PRICELIST, 908u'!$G$7:$AX$914,MATCH($B903,'[2]PRICELIST, 908u'!$G$7:$G$914,0),40),"NA")</f>
        <v>2650000</v>
      </c>
      <c r="M903" s="20">
        <f>IFERROR(INDEX('[2]PRICELIST, 908u'!$G$7:$AX$914,MATCH($B903,'[2]PRICELIST, 908u'!$G$7:$G$914,0),41),"NA")</f>
        <v>100000</v>
      </c>
      <c r="N903" s="58">
        <f t="shared" si="36"/>
        <v>2550000</v>
      </c>
      <c r="O903" s="60"/>
      <c r="P903" s="60">
        <f t="shared" si="35"/>
        <v>2550000</v>
      </c>
    </row>
    <row r="904" spans="2:16">
      <c r="B904" s="20" t="s">
        <v>1055</v>
      </c>
      <c r="C904" s="20" t="s">
        <v>2</v>
      </c>
      <c r="D904" s="20" t="str">
        <f>IFERROR(INDEX('[2]PRICELIST, 908u'!$G$7:$AX$914,MATCH($B904,'[2]PRICELIST, 908u'!$G$7:$G$914,0),18),"NA")</f>
        <v>2025 - Batch 6</v>
      </c>
      <c r="E904" s="20" t="str">
        <f>IFERROR(INDEX([3]AGM!$D$21:$BL$928,MATCH($B904,[3]AGM!$AD$21:$AD$928,0),1),"NA")</f>
        <v>OS</v>
      </c>
      <c r="F904" s="20" t="str">
        <f t="shared" si="34"/>
        <v>Block 05</v>
      </c>
      <c r="G904" s="20" t="str">
        <f t="shared" si="33"/>
        <v>Lot 11</v>
      </c>
      <c r="H904" s="20">
        <f>IFERROR(INDEX('[2]PRICELIST, 908u'!$G$7:$AX$914,MATCH($B904,'[2]PRICELIST, 908u'!$G$7:$G$914,0),23),"NA")</f>
        <v>50</v>
      </c>
      <c r="I904" s="20">
        <f>IFERROR(INDEX('[2]PRICELIST, 908u'!$G$7:$AX$914,MATCH($B904,'[2]PRICELIST, 908u'!$G$7:$G$914,0),22),"NA")</f>
        <v>107</v>
      </c>
      <c r="J904" s="20" t="s">
        <v>207</v>
      </c>
      <c r="K904" s="20" t="str">
        <f>IFERROR(INDEX('[2]PRICELIST, 908u'!$G$7:$AX$914,MATCH($B904,'[2]PRICELIST, 908u'!$G$7:$G$914,0),30),"NA")</f>
        <v>Slant / PURPLE</v>
      </c>
      <c r="L904" s="20">
        <f>IFERROR(INDEX('[2]PRICELIST, 908u'!$G$7:$AX$914,MATCH($B904,'[2]PRICELIST, 908u'!$G$7:$G$914,0),40),"NA")</f>
        <v>3205000</v>
      </c>
      <c r="M904" s="20">
        <f>IFERROR(INDEX('[2]PRICELIST, 908u'!$G$7:$AX$914,MATCH($B904,'[2]PRICELIST, 908u'!$G$7:$G$914,0),41),"NA")</f>
        <v>100000</v>
      </c>
      <c r="N904" s="58">
        <f t="shared" si="36"/>
        <v>3105000</v>
      </c>
      <c r="O904" s="60"/>
      <c r="P904" s="60">
        <f t="shared" si="35"/>
        <v>3105000</v>
      </c>
    </row>
    <row r="905" spans="2:16">
      <c r="B905" s="20" t="s">
        <v>1056</v>
      </c>
      <c r="C905" s="20" t="s">
        <v>2</v>
      </c>
      <c r="D905" s="20" t="str">
        <f>IFERROR(INDEX('[2]PRICELIST, 908u'!$G$7:$AX$914,MATCH($B905,'[2]PRICELIST, 908u'!$G$7:$G$914,0),18),"NA")</f>
        <v>2025 - Batch 6</v>
      </c>
      <c r="E905" s="20" t="str">
        <f>IFERROR(INDEX([3]AGM!$D$21:$BL$928,MATCH($B905,[3]AGM!$AD$21:$AD$928,0),1),"NA")</f>
        <v>OS</v>
      </c>
      <c r="F905" s="20" t="str">
        <f t="shared" si="34"/>
        <v>Block 05</v>
      </c>
      <c r="G905" s="20" t="str">
        <f t="shared" si="33"/>
        <v>Lot 12</v>
      </c>
      <c r="H905" s="20">
        <f>IFERROR(INDEX('[2]PRICELIST, 908u'!$G$7:$AX$914,MATCH($B905,'[2]PRICELIST, 908u'!$G$7:$G$914,0),23),"NA")</f>
        <v>50</v>
      </c>
      <c r="I905" s="20">
        <f>IFERROR(INDEX('[2]PRICELIST, 908u'!$G$7:$AX$914,MATCH($B905,'[2]PRICELIST, 908u'!$G$7:$G$914,0),22),"NA")</f>
        <v>107</v>
      </c>
      <c r="J905" s="20" t="s">
        <v>207</v>
      </c>
      <c r="K905" s="20" t="str">
        <f>IFERROR(INDEX('[2]PRICELIST, 908u'!$G$7:$AX$914,MATCH($B905,'[2]PRICELIST, 908u'!$G$7:$G$914,0),30),"NA")</f>
        <v>Flat / PURPLE</v>
      </c>
      <c r="L905" s="20">
        <f>IFERROR(INDEX('[2]PRICELIST, 908u'!$G$7:$AX$914,MATCH($B905,'[2]PRICELIST, 908u'!$G$7:$G$914,0),40),"NA")</f>
        <v>3205000</v>
      </c>
      <c r="M905" s="20">
        <f>IFERROR(INDEX('[2]PRICELIST, 908u'!$G$7:$AX$914,MATCH($B905,'[2]PRICELIST, 908u'!$G$7:$G$914,0),41),"NA")</f>
        <v>100000</v>
      </c>
      <c r="N905" s="58">
        <f t="shared" si="36"/>
        <v>3105000</v>
      </c>
      <c r="O905" s="60"/>
      <c r="P905" s="60">
        <f t="shared" si="35"/>
        <v>3105000</v>
      </c>
    </row>
    <row r="906" spans="2:16">
      <c r="B906" s="20" t="s">
        <v>1057</v>
      </c>
      <c r="C906" s="20" t="s">
        <v>2</v>
      </c>
      <c r="D906" s="20" t="str">
        <f>IFERROR(INDEX('[2]PRICELIST, 908u'!$G$7:$AX$914,MATCH($B906,'[2]PRICELIST, 908u'!$G$7:$G$914,0),18),"NA")</f>
        <v>2025 - Batch 6</v>
      </c>
      <c r="E906" s="20" t="str">
        <f>IFERROR(INDEX([3]AGM!$D$21:$BL$928,MATCH($B906,[3]AGM!$AD$21:$AD$928,0),1),"NA")</f>
        <v>OS</v>
      </c>
      <c r="F906" s="20" t="str">
        <f t="shared" si="34"/>
        <v>Block 05</v>
      </c>
      <c r="G906" s="20" t="str">
        <f t="shared" si="33"/>
        <v>Lot 13</v>
      </c>
      <c r="H906" s="20">
        <f>IFERROR(INDEX('[2]PRICELIST, 908u'!$G$7:$AX$914,MATCH($B906,'[2]PRICELIST, 908u'!$G$7:$G$914,0),23),"NA")</f>
        <v>50</v>
      </c>
      <c r="I906" s="20">
        <f>IFERROR(INDEX('[2]PRICELIST, 908u'!$G$7:$AX$914,MATCH($B906,'[2]PRICELIST, 908u'!$G$7:$G$914,0),22),"NA")</f>
        <v>70</v>
      </c>
      <c r="J906" s="20" t="s">
        <v>207</v>
      </c>
      <c r="K906" s="20" t="str">
        <f>IFERROR(INDEX('[2]PRICELIST, 908u'!$G$7:$AX$914,MATCH($B906,'[2]PRICELIST, 908u'!$G$7:$G$914,0),30),"NA")</f>
        <v>Flat / YELLOW</v>
      </c>
      <c r="L906" s="20">
        <f>IFERROR(INDEX('[2]PRICELIST, 908u'!$G$7:$AX$914,MATCH($B906,'[2]PRICELIST, 908u'!$G$7:$G$914,0),40),"NA")</f>
        <v>2650000</v>
      </c>
      <c r="M906" s="20">
        <f>IFERROR(INDEX('[2]PRICELIST, 908u'!$G$7:$AX$914,MATCH($B906,'[2]PRICELIST, 908u'!$G$7:$G$914,0),41),"NA")</f>
        <v>100000</v>
      </c>
      <c r="N906" s="58">
        <f t="shared" si="36"/>
        <v>2550000</v>
      </c>
      <c r="O906" s="60"/>
      <c r="P906" s="60">
        <f t="shared" si="35"/>
        <v>2550000</v>
      </c>
    </row>
    <row r="907" spans="2:16">
      <c r="B907" s="20" t="s">
        <v>1058</v>
      </c>
      <c r="C907" s="20" t="s">
        <v>2</v>
      </c>
      <c r="D907" s="20" t="str">
        <f>IFERROR(INDEX('[2]PRICELIST, 908u'!$G$7:$AX$914,MATCH($B907,'[2]PRICELIST, 908u'!$G$7:$G$914,0),18),"NA")</f>
        <v>2025 - Batch 6</v>
      </c>
      <c r="E907" s="20" t="str">
        <f>IFERROR(INDEX([3]AGM!$D$21:$BL$928,MATCH($B907,[3]AGM!$AD$21:$AD$928,0),1),"NA")</f>
        <v>OS</v>
      </c>
      <c r="F907" s="20" t="str">
        <f t="shared" si="34"/>
        <v>Block 05</v>
      </c>
      <c r="G907" s="20" t="str">
        <f t="shared" si="33"/>
        <v>Lot 14</v>
      </c>
      <c r="H907" s="20">
        <f>IFERROR(INDEX('[2]PRICELIST, 908u'!$G$7:$AX$914,MATCH($B907,'[2]PRICELIST, 908u'!$G$7:$G$914,0),23),"NA")</f>
        <v>50</v>
      </c>
      <c r="I907" s="20">
        <f>IFERROR(INDEX('[2]PRICELIST, 908u'!$G$7:$AX$914,MATCH($B907,'[2]PRICELIST, 908u'!$G$7:$G$914,0),22),"NA")</f>
        <v>70</v>
      </c>
      <c r="J907" s="20" t="s">
        <v>207</v>
      </c>
      <c r="K907" s="20" t="str">
        <f>IFERROR(INDEX('[2]PRICELIST, 908u'!$G$7:$AX$914,MATCH($B907,'[2]PRICELIST, 908u'!$G$7:$G$914,0),30),"NA")</f>
        <v>Slant / YELLOW</v>
      </c>
      <c r="L907" s="20">
        <f>IFERROR(INDEX('[2]PRICELIST, 908u'!$G$7:$AX$914,MATCH($B907,'[2]PRICELIST, 908u'!$G$7:$G$914,0),40),"NA")</f>
        <v>2650000</v>
      </c>
      <c r="M907" s="20">
        <f>IFERROR(INDEX('[2]PRICELIST, 908u'!$G$7:$AX$914,MATCH($B907,'[2]PRICELIST, 908u'!$G$7:$G$914,0),41),"NA")</f>
        <v>100000</v>
      </c>
      <c r="N907" s="58">
        <f t="shared" si="36"/>
        <v>2550000</v>
      </c>
      <c r="O907" s="60"/>
      <c r="P907" s="60">
        <f t="shared" si="35"/>
        <v>2550000</v>
      </c>
    </row>
    <row r="908" spans="2:16">
      <c r="B908" s="20" t="s">
        <v>1059</v>
      </c>
      <c r="C908" s="20" t="s">
        <v>2</v>
      </c>
      <c r="D908" s="20" t="str">
        <f>IFERROR(INDEX('[2]PRICELIST, 908u'!$G$7:$AX$914,MATCH($B908,'[2]PRICELIST, 908u'!$G$7:$G$914,0),18),"NA")</f>
        <v>2025 - Batch 6</v>
      </c>
      <c r="E908" s="20" t="str">
        <f>IFERROR(INDEX([3]AGM!$D$21:$BL$928,MATCH($B908,[3]AGM!$AD$21:$AD$928,0),1),"NA")</f>
        <v>OS</v>
      </c>
      <c r="F908" s="20" t="str">
        <f t="shared" si="34"/>
        <v>Block 05</v>
      </c>
      <c r="G908" s="20" t="str">
        <f t="shared" si="33"/>
        <v>Lot 15</v>
      </c>
      <c r="H908" s="20">
        <f>IFERROR(INDEX('[2]PRICELIST, 908u'!$G$7:$AX$914,MATCH($B908,'[2]PRICELIST, 908u'!$G$7:$G$914,0),23),"NA")</f>
        <v>50</v>
      </c>
      <c r="I908" s="20">
        <f>IFERROR(INDEX('[2]PRICELIST, 908u'!$G$7:$AX$914,MATCH($B908,'[2]PRICELIST, 908u'!$G$7:$G$914,0),22),"NA")</f>
        <v>70</v>
      </c>
      <c r="J908" s="20" t="s">
        <v>207</v>
      </c>
      <c r="K908" s="20" t="str">
        <f>IFERROR(INDEX('[2]PRICELIST, 908u'!$G$7:$AX$914,MATCH($B908,'[2]PRICELIST, 908u'!$G$7:$G$914,0),30),"NA")</f>
        <v>Slant / YELLOW</v>
      </c>
      <c r="L908" s="20">
        <f>IFERROR(INDEX('[2]PRICELIST, 908u'!$G$7:$AX$914,MATCH($B908,'[2]PRICELIST, 908u'!$G$7:$G$914,0),40),"NA")</f>
        <v>2650000</v>
      </c>
      <c r="M908" s="20">
        <f>IFERROR(INDEX('[2]PRICELIST, 908u'!$G$7:$AX$914,MATCH($B908,'[2]PRICELIST, 908u'!$G$7:$G$914,0),41),"NA")</f>
        <v>100000</v>
      </c>
      <c r="N908" s="58">
        <f t="shared" si="36"/>
        <v>2550000</v>
      </c>
      <c r="O908" s="60"/>
      <c r="P908" s="60">
        <f t="shared" si="35"/>
        <v>2550000</v>
      </c>
    </row>
    <row r="909" spans="2:16">
      <c r="B909" s="20" t="s">
        <v>1060</v>
      </c>
      <c r="C909" s="20" t="s">
        <v>2</v>
      </c>
      <c r="D909" s="20" t="str">
        <f>IFERROR(INDEX('[2]PRICELIST, 908u'!$G$7:$AX$914,MATCH($B909,'[2]PRICELIST, 908u'!$G$7:$G$914,0),18),"NA")</f>
        <v>2025 - Batch 6</v>
      </c>
      <c r="E909" s="20" t="str">
        <f>IFERROR(INDEX([3]AGM!$D$21:$BL$928,MATCH($B909,[3]AGM!$AD$21:$AD$928,0),1),"NA")</f>
        <v>OS</v>
      </c>
      <c r="F909" s="20" t="str">
        <f t="shared" si="34"/>
        <v>Block 05</v>
      </c>
      <c r="G909" s="20" t="str">
        <f t="shared" si="33"/>
        <v>Lot 16</v>
      </c>
      <c r="H909" s="20">
        <f>IFERROR(INDEX('[2]PRICELIST, 908u'!$G$7:$AX$914,MATCH($B909,'[2]PRICELIST, 908u'!$G$7:$G$914,0),23),"NA")</f>
        <v>50</v>
      </c>
      <c r="I909" s="20">
        <f>IFERROR(INDEX('[2]PRICELIST, 908u'!$G$7:$AX$914,MATCH($B909,'[2]PRICELIST, 908u'!$G$7:$G$914,0),22),"NA")</f>
        <v>70</v>
      </c>
      <c r="J909" s="20" t="s">
        <v>207</v>
      </c>
      <c r="K909" s="20" t="str">
        <f>IFERROR(INDEX('[2]PRICELIST, 908u'!$G$7:$AX$914,MATCH($B909,'[2]PRICELIST, 908u'!$G$7:$G$914,0),30),"NA")</f>
        <v>Flat / YELLOW</v>
      </c>
      <c r="L909" s="20">
        <f>IFERROR(INDEX('[2]PRICELIST, 908u'!$G$7:$AX$914,MATCH($B909,'[2]PRICELIST, 908u'!$G$7:$G$914,0),40),"NA")</f>
        <v>2650000</v>
      </c>
      <c r="M909" s="20">
        <f>IFERROR(INDEX('[2]PRICELIST, 908u'!$G$7:$AX$914,MATCH($B909,'[2]PRICELIST, 908u'!$G$7:$G$914,0),41),"NA")</f>
        <v>100000</v>
      </c>
      <c r="N909" s="58">
        <f t="shared" si="36"/>
        <v>2550000</v>
      </c>
      <c r="O909" s="60"/>
      <c r="P909" s="60">
        <f t="shared" si="35"/>
        <v>2550000</v>
      </c>
    </row>
    <row r="910" spans="2:16">
      <c r="B910" s="20" t="s">
        <v>1061</v>
      </c>
      <c r="C910" s="20" t="s">
        <v>2</v>
      </c>
      <c r="D910" s="20" t="str">
        <f>IFERROR(INDEX('[2]PRICELIST, 908u'!$G$7:$AX$914,MATCH($B910,'[2]PRICELIST, 908u'!$G$7:$G$914,0),18),"NA")</f>
        <v>2025 - Batch 6</v>
      </c>
      <c r="E910" s="20" t="str">
        <f>IFERROR(INDEX([3]AGM!$D$21:$BL$928,MATCH($B910,[3]AGM!$AD$21:$AD$928,0),1),"NA")</f>
        <v>OS</v>
      </c>
      <c r="F910" s="20" t="str">
        <f t="shared" si="34"/>
        <v>Block 05</v>
      </c>
      <c r="G910" s="20" t="str">
        <f t="shared" si="33"/>
        <v>Lot 17</v>
      </c>
      <c r="H910" s="20">
        <f>IFERROR(INDEX('[2]PRICELIST, 908u'!$G$7:$AX$914,MATCH($B910,'[2]PRICELIST, 908u'!$G$7:$G$914,0),23),"NA")</f>
        <v>50</v>
      </c>
      <c r="I910" s="20">
        <f>IFERROR(INDEX('[2]PRICELIST, 908u'!$G$7:$AX$914,MATCH($B910,'[2]PRICELIST, 908u'!$G$7:$G$914,0),22),"NA")</f>
        <v>70</v>
      </c>
      <c r="J910" s="20" t="s">
        <v>207</v>
      </c>
      <c r="K910" s="20" t="str">
        <f>IFERROR(INDEX('[2]PRICELIST, 908u'!$G$7:$AX$914,MATCH($B910,'[2]PRICELIST, 908u'!$G$7:$G$914,0),30),"NA")</f>
        <v>Flat / PURPLE</v>
      </c>
      <c r="L910" s="20">
        <f>IFERROR(INDEX('[2]PRICELIST, 908u'!$G$7:$AX$914,MATCH($B910,'[2]PRICELIST, 908u'!$G$7:$G$914,0),40),"NA")</f>
        <v>2650000</v>
      </c>
      <c r="M910" s="20">
        <f>IFERROR(INDEX('[2]PRICELIST, 908u'!$G$7:$AX$914,MATCH($B910,'[2]PRICELIST, 908u'!$G$7:$G$914,0),41),"NA")</f>
        <v>100000</v>
      </c>
      <c r="N910" s="58">
        <f t="shared" si="36"/>
        <v>2550000</v>
      </c>
      <c r="O910" s="60"/>
      <c r="P910" s="60">
        <f t="shared" si="35"/>
        <v>2550000</v>
      </c>
    </row>
    <row r="911" spans="2:16">
      <c r="B911" s="20" t="s">
        <v>1062</v>
      </c>
      <c r="C911" s="20" t="s">
        <v>2</v>
      </c>
      <c r="D911" s="20" t="str">
        <f>IFERROR(INDEX('[2]PRICELIST, 908u'!$G$7:$AX$914,MATCH($B911,'[2]PRICELIST, 908u'!$G$7:$G$914,0),18),"NA")</f>
        <v>2025 - Batch 6</v>
      </c>
      <c r="E911" s="20" t="str">
        <f>IFERROR(INDEX([3]AGM!$D$21:$BL$928,MATCH($B911,[3]AGM!$AD$21:$AD$928,0),1),"NA")</f>
        <v>OS</v>
      </c>
      <c r="F911" s="20" t="str">
        <f t="shared" si="34"/>
        <v>Block 05</v>
      </c>
      <c r="G911" s="20" t="str">
        <f t="shared" si="33"/>
        <v>Lot 18</v>
      </c>
      <c r="H911" s="20">
        <f>IFERROR(INDEX('[2]PRICELIST, 908u'!$G$7:$AX$914,MATCH($B911,'[2]PRICELIST, 908u'!$G$7:$G$914,0),23),"NA")</f>
        <v>50</v>
      </c>
      <c r="I911" s="20">
        <f>IFERROR(INDEX('[2]PRICELIST, 908u'!$G$7:$AX$914,MATCH($B911,'[2]PRICELIST, 908u'!$G$7:$G$914,0),22),"NA")</f>
        <v>70</v>
      </c>
      <c r="J911" s="20" t="s">
        <v>207</v>
      </c>
      <c r="K911" s="20" t="str">
        <f>IFERROR(INDEX('[2]PRICELIST, 908u'!$G$7:$AX$914,MATCH($B911,'[2]PRICELIST, 908u'!$G$7:$G$914,0),30),"NA")</f>
        <v>Slant / PURPLE</v>
      </c>
      <c r="L911" s="20">
        <f>IFERROR(INDEX('[2]PRICELIST, 908u'!$G$7:$AX$914,MATCH($B911,'[2]PRICELIST, 908u'!$G$7:$G$914,0),40),"NA")</f>
        <v>2650000</v>
      </c>
      <c r="M911" s="20">
        <f>IFERROR(INDEX('[2]PRICELIST, 908u'!$G$7:$AX$914,MATCH($B911,'[2]PRICELIST, 908u'!$G$7:$G$914,0),41),"NA")</f>
        <v>100000</v>
      </c>
      <c r="N911" s="58">
        <f t="shared" si="36"/>
        <v>2550000</v>
      </c>
      <c r="O911" s="60"/>
      <c r="P911" s="60">
        <f t="shared" si="35"/>
        <v>2550000</v>
      </c>
    </row>
    <row r="912" spans="2:16">
      <c r="B912" s="20" t="s">
        <v>1063</v>
      </c>
      <c r="C912" s="20" t="s">
        <v>2</v>
      </c>
      <c r="D912" s="20" t="str">
        <f>IFERROR(INDEX('[2]PRICELIST, 908u'!$G$7:$AX$914,MATCH($B912,'[2]PRICELIST, 908u'!$G$7:$G$914,0),18),"NA")</f>
        <v>2025 - Batch 5</v>
      </c>
      <c r="E912" s="20" t="str">
        <f>IFERROR(INDEX([3]AGM!$D$21:$BL$928,MATCH($B912,[3]AGM!$AD$21:$AD$928,0),1),"NA")</f>
        <v>OS</v>
      </c>
      <c r="F912" s="20" t="str">
        <f t="shared" si="34"/>
        <v>Block 05</v>
      </c>
      <c r="G912" s="20" t="str">
        <f t="shared" si="33"/>
        <v>Lot 19</v>
      </c>
      <c r="H912" s="20">
        <f>IFERROR(INDEX('[2]PRICELIST, 908u'!$G$7:$AX$914,MATCH($B912,'[2]PRICELIST, 908u'!$G$7:$G$914,0),23),"NA")</f>
        <v>50</v>
      </c>
      <c r="I912" s="20">
        <f>IFERROR(INDEX('[2]PRICELIST, 908u'!$G$7:$AX$914,MATCH($B912,'[2]PRICELIST, 908u'!$G$7:$G$914,0),22),"NA")</f>
        <v>70</v>
      </c>
      <c r="J912" s="20" t="s">
        <v>207</v>
      </c>
      <c r="K912" s="20" t="str">
        <f>IFERROR(INDEX('[2]PRICELIST, 908u'!$G$7:$AX$914,MATCH($B912,'[2]PRICELIST, 908u'!$G$7:$G$914,0),30),"NA")</f>
        <v>Slant / PURPLE</v>
      </c>
      <c r="L912" s="20">
        <f>IFERROR(INDEX('[2]PRICELIST, 908u'!$G$7:$AX$914,MATCH($B912,'[2]PRICELIST, 908u'!$G$7:$G$914,0),40),"NA")</f>
        <v>2650000</v>
      </c>
      <c r="M912" s="20">
        <f>IFERROR(INDEX('[2]PRICELIST, 908u'!$G$7:$AX$914,MATCH($B912,'[2]PRICELIST, 908u'!$G$7:$G$914,0),41),"NA")</f>
        <v>100000</v>
      </c>
      <c r="N912" s="58">
        <f t="shared" si="36"/>
        <v>2550000</v>
      </c>
      <c r="O912" s="60"/>
      <c r="P912" s="60">
        <f t="shared" si="35"/>
        <v>2550000</v>
      </c>
    </row>
    <row r="913" spans="2:16">
      <c r="B913" s="20" t="s">
        <v>1064</v>
      </c>
      <c r="C913" s="20" t="s">
        <v>2</v>
      </c>
      <c r="D913" s="20" t="str">
        <f>IFERROR(INDEX('[2]PRICELIST, 908u'!$G$7:$AX$914,MATCH($B913,'[2]PRICELIST, 908u'!$G$7:$G$914,0),18),"NA")</f>
        <v>2025 - Batch 5</v>
      </c>
      <c r="E913" s="20" t="str">
        <f>IFERROR(INDEX([3]AGM!$D$21:$BL$928,MATCH($B913,[3]AGM!$AD$21:$AD$928,0),1),"NA")</f>
        <v>OS</v>
      </c>
      <c r="F913" s="20" t="str">
        <f t="shared" si="34"/>
        <v>Block 05</v>
      </c>
      <c r="G913" s="20" t="str">
        <f t="shared" si="33"/>
        <v>Lot 20</v>
      </c>
      <c r="H913" s="20">
        <f>IFERROR(INDEX('[2]PRICELIST, 908u'!$G$7:$AX$914,MATCH($B913,'[2]PRICELIST, 908u'!$G$7:$G$914,0),23),"NA")</f>
        <v>50</v>
      </c>
      <c r="I913" s="20">
        <f>IFERROR(INDEX('[2]PRICELIST, 908u'!$G$7:$AX$914,MATCH($B913,'[2]PRICELIST, 908u'!$G$7:$G$914,0),22),"NA")</f>
        <v>80</v>
      </c>
      <c r="J913" s="20" t="s">
        <v>207</v>
      </c>
      <c r="K913" s="20" t="str">
        <f>IFERROR(INDEX('[2]PRICELIST, 908u'!$G$7:$AX$914,MATCH($B913,'[2]PRICELIST, 908u'!$G$7:$G$914,0),30),"NA")</f>
        <v>Flat / PURPLE</v>
      </c>
      <c r="L913" s="20">
        <f>IFERROR(INDEX('[2]PRICELIST, 908u'!$G$7:$AX$914,MATCH($B913,'[2]PRICELIST, 908u'!$G$7:$G$914,0),40),"NA")</f>
        <v>2800000</v>
      </c>
      <c r="M913" s="20">
        <f>IFERROR(INDEX('[2]PRICELIST, 908u'!$G$7:$AX$914,MATCH($B913,'[2]PRICELIST, 908u'!$G$7:$G$914,0),41),"NA")</f>
        <v>100000</v>
      </c>
      <c r="N913" s="58">
        <f t="shared" si="36"/>
        <v>2700000</v>
      </c>
      <c r="O913" s="60"/>
      <c r="P913" s="60">
        <f t="shared" si="35"/>
        <v>2700000</v>
      </c>
    </row>
    <row r="914" spans="2:16">
      <c r="B914" s="20" t="s">
        <v>1065</v>
      </c>
      <c r="C914" s="20" t="s">
        <v>2</v>
      </c>
      <c r="D914" s="20" t="str">
        <f>IFERROR(INDEX('[2]PRICELIST, 908u'!$G$7:$AX$914,MATCH($B914,'[2]PRICELIST, 908u'!$G$7:$G$914,0),18),"NA")</f>
        <v>2025 - Batch 5</v>
      </c>
      <c r="E914" s="20" t="str">
        <f>IFERROR(INDEX([3]AGM!$D$21:$BL$928,MATCH($B914,[3]AGM!$AD$21:$AD$928,0),1),"NA")</f>
        <v>OS</v>
      </c>
      <c r="F914" s="20" t="str">
        <f t="shared" si="34"/>
        <v>Block 05</v>
      </c>
      <c r="G914" s="20" t="str">
        <f t="shared" si="33"/>
        <v>Lot 21</v>
      </c>
      <c r="H914" s="20">
        <f>IFERROR(INDEX('[2]PRICELIST, 908u'!$G$7:$AX$914,MATCH($B914,'[2]PRICELIST, 908u'!$G$7:$G$914,0),23),"NA")</f>
        <v>50</v>
      </c>
      <c r="I914" s="20">
        <f>IFERROR(INDEX('[2]PRICELIST, 908u'!$G$7:$AX$914,MATCH($B914,'[2]PRICELIST, 908u'!$G$7:$G$914,0),22),"NA")</f>
        <v>80</v>
      </c>
      <c r="J914" s="20" t="s">
        <v>207</v>
      </c>
      <c r="K914" s="20" t="str">
        <f>IFERROR(INDEX('[2]PRICELIST, 908u'!$G$7:$AX$914,MATCH($B914,'[2]PRICELIST, 908u'!$G$7:$G$914,0),30),"NA")</f>
        <v>Flat / PINK</v>
      </c>
      <c r="L914" s="20">
        <f>IFERROR(INDEX('[2]PRICELIST, 908u'!$G$7:$AX$914,MATCH($B914,'[2]PRICELIST, 908u'!$G$7:$G$914,0),40),"NA")</f>
        <v>2800000</v>
      </c>
      <c r="M914" s="20">
        <f>IFERROR(INDEX('[2]PRICELIST, 908u'!$G$7:$AX$914,MATCH($B914,'[2]PRICELIST, 908u'!$G$7:$G$914,0),41),"NA")</f>
        <v>100000</v>
      </c>
      <c r="N914" s="58">
        <f t="shared" si="36"/>
        <v>2700000</v>
      </c>
      <c r="O914" s="60"/>
      <c r="P914" s="60">
        <f t="shared" si="35"/>
        <v>2700000</v>
      </c>
    </row>
    <row r="915" spans="2:16">
      <c r="B915" s="20" t="s">
        <v>1066</v>
      </c>
      <c r="C915" s="20" t="s">
        <v>2</v>
      </c>
      <c r="D915" s="20" t="str">
        <f>IFERROR(INDEX('[2]PRICELIST, 908u'!$G$7:$AX$914,MATCH($B915,'[2]PRICELIST, 908u'!$G$7:$G$914,0),18),"NA")</f>
        <v>2025 - Batch 5</v>
      </c>
      <c r="E915" s="20" t="str">
        <f>IFERROR(INDEX([3]AGM!$D$21:$BL$928,MATCH($B915,[3]AGM!$AD$21:$AD$928,0),1),"NA")</f>
        <v>OS</v>
      </c>
      <c r="F915" s="20" t="str">
        <f t="shared" si="34"/>
        <v>Block 05</v>
      </c>
      <c r="G915" s="20" t="str">
        <f t="shared" si="33"/>
        <v>Lot 22</v>
      </c>
      <c r="H915" s="20">
        <f>IFERROR(INDEX('[2]PRICELIST, 908u'!$G$7:$AX$914,MATCH($B915,'[2]PRICELIST, 908u'!$G$7:$G$914,0),23),"NA")</f>
        <v>50</v>
      </c>
      <c r="I915" s="20">
        <f>IFERROR(INDEX('[2]PRICELIST, 908u'!$G$7:$AX$914,MATCH($B915,'[2]PRICELIST, 908u'!$G$7:$G$914,0),22),"NA")</f>
        <v>95</v>
      </c>
      <c r="J915" s="20" t="s">
        <v>207</v>
      </c>
      <c r="K915" s="20" t="str">
        <f>IFERROR(INDEX('[2]PRICELIST, 908u'!$G$7:$AX$914,MATCH($B915,'[2]PRICELIST, 908u'!$G$7:$G$914,0),30),"NA")</f>
        <v>Slant / PINK</v>
      </c>
      <c r="L915" s="20">
        <f>IFERROR(INDEX('[2]PRICELIST, 908u'!$G$7:$AX$914,MATCH($B915,'[2]PRICELIST, 908u'!$G$7:$G$914,0),40),"NA")</f>
        <v>3025000</v>
      </c>
      <c r="M915" s="20">
        <f>IFERROR(INDEX('[2]PRICELIST, 908u'!$G$7:$AX$914,MATCH($B915,'[2]PRICELIST, 908u'!$G$7:$G$914,0),41),"NA")</f>
        <v>100000</v>
      </c>
      <c r="N915" s="58">
        <f t="shared" si="36"/>
        <v>2925000</v>
      </c>
      <c r="O915" s="60"/>
      <c r="P915" s="60">
        <f t="shared" si="35"/>
        <v>2925000</v>
      </c>
    </row>
    <row r="916" spans="2:16">
      <c r="B916" s="20" t="s">
        <v>1067</v>
      </c>
      <c r="C916" s="20" t="s">
        <v>2</v>
      </c>
      <c r="D916" s="20" t="str">
        <f>IFERROR(INDEX('[2]PRICELIST, 908u'!$G$7:$AX$914,MATCH($B916,'[2]PRICELIST, 908u'!$G$7:$G$914,0),18),"NA")</f>
        <v>2024 Batch</v>
      </c>
      <c r="E916" s="20" t="str">
        <f>IFERROR(INDEX([3]AGM!$D$21:$BL$928,MATCH($B916,[3]AGM!$AD$21:$AD$928,0),1),"NA")</f>
        <v>OS</v>
      </c>
      <c r="F916" s="20" t="str">
        <f t="shared" si="34"/>
        <v>Block 06</v>
      </c>
      <c r="G916" s="20" t="str">
        <f t="shared" si="33"/>
        <v>Lot 01</v>
      </c>
      <c r="H916" s="20">
        <f>IFERROR(INDEX('[2]PRICELIST, 908u'!$G$7:$AX$914,MATCH($B916,'[2]PRICELIST, 908u'!$G$7:$G$914,0),23),"NA")</f>
        <v>50</v>
      </c>
      <c r="I916" s="20">
        <f>IFERROR(INDEX('[2]PRICELIST, 908u'!$G$7:$AX$914,MATCH($B916,'[2]PRICELIST, 908u'!$G$7:$G$914,0),22),"NA")</f>
        <v>100</v>
      </c>
      <c r="J916" s="20" t="s">
        <v>207</v>
      </c>
      <c r="K916" s="20" t="str">
        <f>IFERROR(INDEX('[2]PRICELIST, 908u'!$G$7:$AX$914,MATCH($B916,'[2]PRICELIST, 908u'!$G$7:$G$914,0),30),"NA")</f>
        <v>Slant / PINK</v>
      </c>
      <c r="L916" s="20">
        <f>IFERROR(INDEX('[2]PRICELIST, 908u'!$G$7:$AX$914,MATCH($B916,'[2]PRICELIST, 908u'!$G$7:$G$914,0),40),"NA")</f>
        <v>3100000</v>
      </c>
      <c r="M916" s="20">
        <f>IFERROR(INDEX('[2]PRICELIST, 908u'!$G$7:$AX$914,MATCH($B916,'[2]PRICELIST, 908u'!$G$7:$G$914,0),41),"NA")</f>
        <v>100000</v>
      </c>
      <c r="N916" s="58">
        <f t="shared" si="36"/>
        <v>3000000</v>
      </c>
      <c r="O916" s="60"/>
      <c r="P916" s="60">
        <f t="shared" si="35"/>
        <v>3000000</v>
      </c>
    </row>
    <row r="917" spans="2:16">
      <c r="B917" s="20" t="s">
        <v>1068</v>
      </c>
      <c r="C917" s="20" t="s">
        <v>2</v>
      </c>
      <c r="D917" s="20" t="str">
        <f>IFERROR(INDEX('[2]PRICELIST, 908u'!$G$7:$AX$914,MATCH($B917,'[2]PRICELIST, 908u'!$G$7:$G$914,0),18),"NA")</f>
        <v>2024 Batch</v>
      </c>
      <c r="E917" s="20" t="str">
        <f>IFERROR(INDEX([3]AGM!$D$21:$BL$928,MATCH($B917,[3]AGM!$AD$21:$AD$928,0),1),"NA")</f>
        <v>OS</v>
      </c>
      <c r="F917" s="20" t="str">
        <f t="shared" si="34"/>
        <v>Block 06</v>
      </c>
      <c r="G917" s="20" t="str">
        <f t="shared" si="33"/>
        <v>Lot 02</v>
      </c>
      <c r="H917" s="20">
        <f>IFERROR(INDEX('[2]PRICELIST, 908u'!$G$7:$AX$914,MATCH($B917,'[2]PRICELIST, 908u'!$G$7:$G$914,0),23),"NA")</f>
        <v>50</v>
      </c>
      <c r="I917" s="20">
        <f>IFERROR(INDEX('[2]PRICELIST, 908u'!$G$7:$AX$914,MATCH($B917,'[2]PRICELIST, 908u'!$G$7:$G$914,0),22),"NA")</f>
        <v>70</v>
      </c>
      <c r="J917" s="20" t="s">
        <v>25</v>
      </c>
      <c r="K917" s="20" t="str">
        <f>IFERROR(INDEX('[2]PRICELIST, 908u'!$G$7:$AX$914,MATCH($B917,'[2]PRICELIST, 908u'!$G$7:$G$914,0),30),"NA")</f>
        <v>Flat / YELLOW</v>
      </c>
      <c r="L917" s="20">
        <f>IFERROR(INDEX('[2]PRICELIST, 908u'!$G$7:$AX$914,MATCH($B917,'[2]PRICELIST, 908u'!$G$7:$G$914,0),40),"NA")</f>
        <v>2850000</v>
      </c>
      <c r="M917" s="20">
        <f>IFERROR(INDEX('[2]PRICELIST, 908u'!$G$7:$AX$914,MATCH($B917,'[2]PRICELIST, 908u'!$G$7:$G$914,0),41),"NA")</f>
        <v>100000</v>
      </c>
      <c r="N917" s="58">
        <f t="shared" si="36"/>
        <v>2750000</v>
      </c>
      <c r="O917" s="60"/>
      <c r="P917" s="60">
        <f t="shared" si="35"/>
        <v>2750000</v>
      </c>
    </row>
    <row r="918" spans="2:16">
      <c r="B918" s="20" t="s">
        <v>1069</v>
      </c>
      <c r="C918" s="20" t="s">
        <v>2</v>
      </c>
      <c r="D918" s="20" t="str">
        <f>IFERROR(INDEX('[2]PRICELIST, 908u'!$G$7:$AX$914,MATCH($B918,'[2]PRICELIST, 908u'!$G$7:$G$914,0),18),"NA")</f>
        <v>2024 Batch</v>
      </c>
      <c r="E918" s="20" t="str">
        <f>IFERROR(INDEX([3]AGM!$D$21:$BL$928,MATCH($B918,[3]AGM!$AD$21:$AD$928,0),1),"NA")</f>
        <v>OS</v>
      </c>
      <c r="F918" s="20" t="str">
        <f t="shared" si="34"/>
        <v>Block 06</v>
      </c>
      <c r="G918" s="20" t="str">
        <f t="shared" si="33"/>
        <v>Lot 03</v>
      </c>
      <c r="H918" s="20">
        <f>IFERROR(INDEX('[2]PRICELIST, 908u'!$G$7:$AX$914,MATCH($B918,'[2]PRICELIST, 908u'!$G$7:$G$914,0),23),"NA")</f>
        <v>50</v>
      </c>
      <c r="I918" s="20">
        <f>IFERROR(INDEX('[2]PRICELIST, 908u'!$G$7:$AX$914,MATCH($B918,'[2]PRICELIST, 908u'!$G$7:$G$914,0),22),"NA")</f>
        <v>70</v>
      </c>
      <c r="J918" s="20" t="s">
        <v>207</v>
      </c>
      <c r="K918" s="20" t="str">
        <f>IFERROR(INDEX('[2]PRICELIST, 908u'!$G$7:$AX$914,MATCH($B918,'[2]PRICELIST, 908u'!$G$7:$G$914,0),30),"NA")</f>
        <v>Slant / YELLOW</v>
      </c>
      <c r="L918" s="20">
        <f>IFERROR(INDEX('[2]PRICELIST, 908u'!$G$7:$AX$914,MATCH($B918,'[2]PRICELIST, 908u'!$G$7:$G$914,0),40),"NA")</f>
        <v>2650000</v>
      </c>
      <c r="M918" s="20">
        <f>IFERROR(INDEX('[2]PRICELIST, 908u'!$G$7:$AX$914,MATCH($B918,'[2]PRICELIST, 908u'!$G$7:$G$914,0),41),"NA")</f>
        <v>100000</v>
      </c>
      <c r="N918" s="58">
        <f t="shared" si="36"/>
        <v>2550000</v>
      </c>
      <c r="O918" s="60"/>
      <c r="P918" s="60">
        <f t="shared" si="35"/>
        <v>2550000</v>
      </c>
    </row>
    <row r="919" spans="2:16">
      <c r="B919" s="20" t="s">
        <v>1070</v>
      </c>
      <c r="C919" s="20" t="s">
        <v>2</v>
      </c>
      <c r="D919" s="20" t="str">
        <f>IFERROR(INDEX('[2]PRICELIST, 908u'!$G$7:$AX$914,MATCH($B919,'[2]PRICELIST, 908u'!$G$7:$G$914,0),18),"NA")</f>
        <v>2024 Batch</v>
      </c>
      <c r="E919" s="20" t="str">
        <f>IFERROR(INDEX([3]AGM!$D$21:$BL$928,MATCH($B919,[3]AGM!$AD$21:$AD$928,0),1),"NA")</f>
        <v>OS</v>
      </c>
      <c r="F919" s="20" t="str">
        <f t="shared" si="34"/>
        <v>Block 06</v>
      </c>
      <c r="G919" s="20" t="str">
        <f t="shared" si="33"/>
        <v>Lot 04</v>
      </c>
      <c r="H919" s="20">
        <f>IFERROR(INDEX('[2]PRICELIST, 908u'!$G$7:$AX$914,MATCH($B919,'[2]PRICELIST, 908u'!$G$7:$G$914,0),23),"NA")</f>
        <v>50</v>
      </c>
      <c r="I919" s="20">
        <f>IFERROR(INDEX('[2]PRICELIST, 908u'!$G$7:$AX$914,MATCH($B919,'[2]PRICELIST, 908u'!$G$7:$G$914,0),22),"NA")</f>
        <v>70</v>
      </c>
      <c r="J919" s="20" t="s">
        <v>25</v>
      </c>
      <c r="K919" s="20" t="str">
        <f>IFERROR(INDEX('[2]PRICELIST, 908u'!$G$7:$AX$914,MATCH($B919,'[2]PRICELIST, 908u'!$G$7:$G$914,0),30),"NA")</f>
        <v>Slant / YELLOW</v>
      </c>
      <c r="L919" s="20">
        <f>IFERROR(INDEX('[2]PRICELIST, 908u'!$G$7:$AX$914,MATCH($B919,'[2]PRICELIST, 908u'!$G$7:$G$914,0),40),"NA")</f>
        <v>2850000</v>
      </c>
      <c r="M919" s="20">
        <f>IFERROR(INDEX('[2]PRICELIST, 908u'!$G$7:$AX$914,MATCH($B919,'[2]PRICELIST, 908u'!$G$7:$G$914,0),41),"NA")</f>
        <v>100000</v>
      </c>
      <c r="N919" s="58">
        <f t="shared" si="36"/>
        <v>2750000</v>
      </c>
      <c r="O919" s="60"/>
      <c r="P919" s="60">
        <f t="shared" si="35"/>
        <v>2750000</v>
      </c>
    </row>
    <row r="920" spans="2:16">
      <c r="B920" s="21" t="s">
        <v>1071</v>
      </c>
      <c r="C920" s="20" t="s">
        <v>2</v>
      </c>
      <c r="D920" s="20" t="str">
        <f>IFERROR(INDEX('[2]PRICELIST, 908u'!$G$7:$AX$914,MATCH($B920,'[2]PRICELIST, 908u'!$G$7:$G$914,0),18),"NA")</f>
        <v>2024 Batch</v>
      </c>
      <c r="E920" s="20" t="str">
        <f>IFERROR(INDEX([3]AGM!$D$21:$BL$928,MATCH($B920,[3]AGM!$AD$21:$AD$928,0),1),"NA")</f>
        <v>OS</v>
      </c>
      <c r="F920" s="20" t="str">
        <f t="shared" si="34"/>
        <v>Block 06</v>
      </c>
      <c r="G920" s="20" t="str">
        <f t="shared" ref="G920:G983" si="37">"Lot "&amp;TEXT(VALUE(RIGHT(B920,3)),"00")</f>
        <v>Lot 05</v>
      </c>
      <c r="H920" s="20">
        <f>IFERROR(INDEX('[2]PRICELIST, 908u'!$G$7:$AX$914,MATCH($B920,'[2]PRICELIST, 908u'!$G$7:$G$914,0),23),"NA")</f>
        <v>50</v>
      </c>
      <c r="I920" s="20">
        <f>IFERROR(INDEX('[2]PRICELIST, 908u'!$G$7:$AX$914,MATCH($B920,'[2]PRICELIST, 908u'!$G$7:$G$914,0),22),"NA")</f>
        <v>70</v>
      </c>
      <c r="J920" s="20" t="s">
        <v>25</v>
      </c>
      <c r="K920" s="20" t="str">
        <f>IFERROR(INDEX('[2]PRICELIST, 908u'!$G$7:$AX$914,MATCH($B920,'[2]PRICELIST, 908u'!$G$7:$G$914,0),30),"NA")</f>
        <v>Flat / YELLOW</v>
      </c>
      <c r="L920" s="20">
        <f>IFERROR(INDEX('[2]PRICELIST, 908u'!$G$7:$AX$914,MATCH($B920,'[2]PRICELIST, 908u'!$G$7:$G$914,0),40),"NA")</f>
        <v>2850000</v>
      </c>
      <c r="M920" s="20">
        <f>IFERROR(INDEX('[2]PRICELIST, 908u'!$G$7:$AX$914,MATCH($B920,'[2]PRICELIST, 908u'!$G$7:$G$914,0),41),"NA")</f>
        <v>100000</v>
      </c>
      <c r="N920" s="58">
        <f t="shared" si="36"/>
        <v>2750000</v>
      </c>
      <c r="O920" s="60"/>
      <c r="P920" s="60">
        <f t="shared" si="35"/>
        <v>2750000</v>
      </c>
    </row>
    <row r="921" spans="2:16">
      <c r="B921" s="21" t="s">
        <v>1072</v>
      </c>
      <c r="C921" s="20" t="s">
        <v>2</v>
      </c>
      <c r="D921" s="20" t="str">
        <f>IFERROR(INDEX('[2]PRICELIST, 908u'!$G$7:$AX$914,MATCH($B921,'[2]PRICELIST, 908u'!$G$7:$G$914,0),18),"NA")</f>
        <v>2024 Batch</v>
      </c>
      <c r="E921" s="20" t="str">
        <f>IFERROR(INDEX([3]AGM!$D$21:$BL$928,MATCH($B921,[3]AGM!$AD$21:$AD$928,0),1),"NA")</f>
        <v>OS</v>
      </c>
      <c r="F921" s="20" t="str">
        <f t="shared" ref="F921:F984" si="38">"Block "&amp;TEXT(VALUE(MID(B921,8,3)),"00")</f>
        <v>Block 06</v>
      </c>
      <c r="G921" s="20" t="str">
        <f t="shared" si="37"/>
        <v>Lot 06</v>
      </c>
      <c r="H921" s="20">
        <f>IFERROR(INDEX('[2]PRICELIST, 908u'!$G$7:$AX$914,MATCH($B921,'[2]PRICELIST, 908u'!$G$7:$G$914,0),23),"NA")</f>
        <v>50</v>
      </c>
      <c r="I921" s="20">
        <f>IFERROR(INDEX('[2]PRICELIST, 908u'!$G$7:$AX$914,MATCH($B921,'[2]PRICELIST, 908u'!$G$7:$G$914,0),22),"NA")</f>
        <v>70</v>
      </c>
      <c r="J921" s="20" t="s">
        <v>25</v>
      </c>
      <c r="K921" s="20" t="str">
        <f>IFERROR(INDEX('[2]PRICELIST, 908u'!$G$7:$AX$914,MATCH($B921,'[2]PRICELIST, 908u'!$G$7:$G$914,0),30),"NA")</f>
        <v>Flat / GREEN</v>
      </c>
      <c r="L921" s="20">
        <f>IFERROR(INDEX('[2]PRICELIST, 908u'!$G$7:$AX$914,MATCH($B921,'[2]PRICELIST, 908u'!$G$7:$G$914,0),40),"NA")</f>
        <v>2850000</v>
      </c>
      <c r="M921" s="20">
        <f>IFERROR(INDEX('[2]PRICELIST, 908u'!$G$7:$AX$914,MATCH($B921,'[2]PRICELIST, 908u'!$G$7:$G$914,0),41),"NA")</f>
        <v>100000</v>
      </c>
      <c r="N921" s="58">
        <f t="shared" si="36"/>
        <v>2750000</v>
      </c>
      <c r="O921" s="60"/>
      <c r="P921" s="60">
        <f t="shared" ref="P921:P984" si="39">N921-O921</f>
        <v>2750000</v>
      </c>
    </row>
    <row r="922" spans="2:16">
      <c r="B922" s="20" t="s">
        <v>1073</v>
      </c>
      <c r="C922" s="20" t="s">
        <v>2</v>
      </c>
      <c r="D922" s="20" t="str">
        <f>IFERROR(INDEX('[2]PRICELIST, 908u'!$G$7:$AX$914,MATCH($B922,'[2]PRICELIST, 908u'!$G$7:$G$914,0),18),"NA")</f>
        <v>2024 Batch</v>
      </c>
      <c r="E922" s="20" t="str">
        <f>IFERROR(INDEX([3]AGM!$D$21:$BL$928,MATCH($B922,[3]AGM!$AD$21:$AD$928,0),1),"NA")</f>
        <v>OS</v>
      </c>
      <c r="F922" s="20" t="str">
        <f t="shared" si="38"/>
        <v>Block 06</v>
      </c>
      <c r="G922" s="20" t="str">
        <f t="shared" si="37"/>
        <v>Lot 07</v>
      </c>
      <c r="H922" s="20">
        <f>IFERROR(INDEX('[2]PRICELIST, 908u'!$G$7:$AX$914,MATCH($B922,'[2]PRICELIST, 908u'!$G$7:$G$914,0),23),"NA")</f>
        <v>50</v>
      </c>
      <c r="I922" s="20">
        <f>IFERROR(INDEX('[2]PRICELIST, 908u'!$G$7:$AX$914,MATCH($B922,'[2]PRICELIST, 908u'!$G$7:$G$914,0),22),"NA")</f>
        <v>70</v>
      </c>
      <c r="J922" s="20" t="s">
        <v>25</v>
      </c>
      <c r="K922" s="20" t="str">
        <f>IFERROR(INDEX('[2]PRICELIST, 908u'!$G$7:$AX$914,MATCH($B922,'[2]PRICELIST, 908u'!$G$7:$G$914,0),30),"NA")</f>
        <v>Slant / GREEN</v>
      </c>
      <c r="L922" s="20">
        <f>IFERROR(INDEX('[2]PRICELIST, 908u'!$G$7:$AX$914,MATCH($B922,'[2]PRICELIST, 908u'!$G$7:$G$914,0),40),"NA")</f>
        <v>2850000</v>
      </c>
      <c r="M922" s="20">
        <f>IFERROR(INDEX('[2]PRICELIST, 908u'!$G$7:$AX$914,MATCH($B922,'[2]PRICELIST, 908u'!$G$7:$G$914,0),41),"NA")</f>
        <v>100000</v>
      </c>
      <c r="N922" s="58">
        <f t="shared" ref="N922:N985" si="40">L922-M922</f>
        <v>2750000</v>
      </c>
      <c r="O922" s="60"/>
      <c r="P922" s="60">
        <f t="shared" si="39"/>
        <v>2750000</v>
      </c>
    </row>
    <row r="923" spans="2:16">
      <c r="B923" s="20" t="s">
        <v>1074</v>
      </c>
      <c r="C923" s="20" t="s">
        <v>2</v>
      </c>
      <c r="D923" s="20" t="str">
        <f>IFERROR(INDEX('[2]PRICELIST, 908u'!$G$7:$AX$914,MATCH($B923,'[2]PRICELIST, 908u'!$G$7:$G$914,0),18),"NA")</f>
        <v>2024 Batch</v>
      </c>
      <c r="E923" s="20" t="str">
        <f>IFERROR(INDEX([3]AGM!$D$21:$BL$928,MATCH($B923,[3]AGM!$AD$21:$AD$928,0),1),"NA")</f>
        <v>TS</v>
      </c>
      <c r="F923" s="20" t="str">
        <f t="shared" si="38"/>
        <v>Block 06</v>
      </c>
      <c r="G923" s="20" t="str">
        <f t="shared" si="37"/>
        <v>Lot 08</v>
      </c>
      <c r="H923" s="20">
        <f>IFERROR(INDEX('[2]PRICELIST, 908u'!$G$7:$AX$914,MATCH($B923,'[2]PRICELIST, 908u'!$G$7:$G$914,0),23),"NA")</f>
        <v>50</v>
      </c>
      <c r="I923" s="20">
        <f>IFERROR(INDEX('[2]PRICELIST, 908u'!$G$7:$AX$914,MATCH($B923,'[2]PRICELIST, 908u'!$G$7:$G$914,0),22),"NA")</f>
        <v>70</v>
      </c>
      <c r="J923" s="20" t="s">
        <v>207</v>
      </c>
      <c r="K923" s="20" t="str">
        <f>IFERROR(INDEX('[2]PRICELIST, 908u'!$G$7:$AX$914,MATCH($B923,'[2]PRICELIST, 908u'!$G$7:$G$914,0),30),"NA")</f>
        <v>Slant / GREEN</v>
      </c>
      <c r="L923" s="20">
        <f>IFERROR(INDEX('[2]PRICELIST, 908u'!$G$7:$AX$914,MATCH($B923,'[2]PRICELIST, 908u'!$G$7:$G$914,0),40),"NA")</f>
        <v>2650000</v>
      </c>
      <c r="M923" s="20">
        <f>IFERROR(INDEX('[2]PRICELIST, 908u'!$G$7:$AX$914,MATCH($B923,'[2]PRICELIST, 908u'!$G$7:$G$914,0),41),"NA")</f>
        <v>100000</v>
      </c>
      <c r="N923" s="58">
        <f t="shared" si="40"/>
        <v>2550000</v>
      </c>
      <c r="O923" s="60"/>
      <c r="P923" s="60">
        <f t="shared" si="39"/>
        <v>2550000</v>
      </c>
    </row>
    <row r="924" spans="2:16">
      <c r="B924" s="20" t="s">
        <v>1075</v>
      </c>
      <c r="C924" s="20" t="s">
        <v>2</v>
      </c>
      <c r="D924" s="20" t="str">
        <f>IFERROR(INDEX('[2]PRICELIST, 908u'!$G$7:$AX$914,MATCH($B924,'[2]PRICELIST, 908u'!$G$7:$G$914,0),18),"NA")</f>
        <v>2024 Batch</v>
      </c>
      <c r="E924" s="20" t="str">
        <f>IFERROR(INDEX([3]AGM!$D$21:$BL$928,MATCH($B924,[3]AGM!$AD$21:$AD$928,0),1),"NA")</f>
        <v>OS</v>
      </c>
      <c r="F924" s="20" t="str">
        <f t="shared" si="38"/>
        <v>Block 06</v>
      </c>
      <c r="G924" s="20" t="str">
        <f t="shared" si="37"/>
        <v>Lot 09</v>
      </c>
      <c r="H924" s="20">
        <f>IFERROR(INDEX('[2]PRICELIST, 908u'!$G$7:$AX$914,MATCH($B924,'[2]PRICELIST, 908u'!$G$7:$G$914,0),23),"NA")</f>
        <v>50</v>
      </c>
      <c r="I924" s="20">
        <f>IFERROR(INDEX('[2]PRICELIST, 908u'!$G$7:$AX$914,MATCH($B924,'[2]PRICELIST, 908u'!$G$7:$G$914,0),22),"NA")</f>
        <v>70</v>
      </c>
      <c r="J924" s="20" t="s">
        <v>207</v>
      </c>
      <c r="K924" s="20" t="str">
        <f>IFERROR(INDEX('[2]PRICELIST, 908u'!$G$7:$AX$914,MATCH($B924,'[2]PRICELIST, 908u'!$G$7:$G$914,0),30),"NA")</f>
        <v>Flat / GREEN</v>
      </c>
      <c r="L924" s="20">
        <f>IFERROR(INDEX('[2]PRICELIST, 908u'!$G$7:$AX$914,MATCH($B924,'[2]PRICELIST, 908u'!$G$7:$G$914,0),40),"NA")</f>
        <v>2650000</v>
      </c>
      <c r="M924" s="20">
        <f>IFERROR(INDEX('[2]PRICELIST, 908u'!$G$7:$AX$914,MATCH($B924,'[2]PRICELIST, 908u'!$G$7:$G$914,0),41),"NA")</f>
        <v>100000</v>
      </c>
      <c r="N924" s="58">
        <f t="shared" si="40"/>
        <v>2550000</v>
      </c>
      <c r="O924" s="60"/>
      <c r="P924" s="60">
        <f t="shared" si="39"/>
        <v>2550000</v>
      </c>
    </row>
    <row r="925" spans="2:16">
      <c r="B925" s="20" t="s">
        <v>1076</v>
      </c>
      <c r="C925" s="20" t="s">
        <v>2</v>
      </c>
      <c r="D925" s="20" t="str">
        <f>IFERROR(INDEX('[2]PRICELIST, 908u'!$G$7:$AX$914,MATCH($B925,'[2]PRICELIST, 908u'!$G$7:$G$914,0),18),"NA")</f>
        <v>2024 Batch</v>
      </c>
      <c r="E925" s="20" t="str">
        <f>IFERROR(INDEX([3]AGM!$D$21:$BL$928,MATCH($B925,[3]AGM!$AD$21:$AD$928,0),1),"NA")</f>
        <v>OS</v>
      </c>
      <c r="F925" s="20" t="str">
        <f t="shared" si="38"/>
        <v>Block 06</v>
      </c>
      <c r="G925" s="20" t="str">
        <f t="shared" si="37"/>
        <v>Lot 10</v>
      </c>
      <c r="H925" s="20">
        <f>IFERROR(INDEX('[2]PRICELIST, 908u'!$G$7:$AX$914,MATCH($B925,'[2]PRICELIST, 908u'!$G$7:$G$914,0),23),"NA")</f>
        <v>50</v>
      </c>
      <c r="I925" s="20">
        <f>IFERROR(INDEX('[2]PRICELIST, 908u'!$G$7:$AX$914,MATCH($B925,'[2]PRICELIST, 908u'!$G$7:$G$914,0),22),"NA")</f>
        <v>70</v>
      </c>
      <c r="J925" s="20" t="s">
        <v>25</v>
      </c>
      <c r="K925" s="20" t="str">
        <f>IFERROR(INDEX('[2]PRICELIST, 908u'!$G$7:$AX$914,MATCH($B925,'[2]PRICELIST, 908u'!$G$7:$G$914,0),30),"NA")</f>
        <v>Flat / PURPLE</v>
      </c>
      <c r="L925" s="20">
        <f>IFERROR(INDEX('[2]PRICELIST, 908u'!$G$7:$AX$914,MATCH($B925,'[2]PRICELIST, 908u'!$G$7:$G$914,0),40),"NA")</f>
        <v>2850000</v>
      </c>
      <c r="M925" s="20">
        <f>IFERROR(INDEX('[2]PRICELIST, 908u'!$G$7:$AX$914,MATCH($B925,'[2]PRICELIST, 908u'!$G$7:$G$914,0),41),"NA")</f>
        <v>100000</v>
      </c>
      <c r="N925" s="58">
        <f t="shared" si="40"/>
        <v>2750000</v>
      </c>
      <c r="O925" s="60"/>
      <c r="P925" s="60">
        <f t="shared" si="39"/>
        <v>2750000</v>
      </c>
    </row>
    <row r="926" spans="2:16">
      <c r="B926" s="20" t="s">
        <v>1077</v>
      </c>
      <c r="C926" s="20" t="s">
        <v>2</v>
      </c>
      <c r="D926" s="20" t="str">
        <f>IFERROR(INDEX('[2]PRICELIST, 908u'!$G$7:$AX$914,MATCH($B926,'[2]PRICELIST, 908u'!$G$7:$G$914,0),18),"NA")</f>
        <v>2024 Batch</v>
      </c>
      <c r="E926" s="20" t="str">
        <f>IFERROR(INDEX([3]AGM!$D$21:$BL$928,MATCH($B926,[3]AGM!$AD$21:$AD$928,0),1),"NA")</f>
        <v>OS</v>
      </c>
      <c r="F926" s="20" t="str">
        <f t="shared" si="38"/>
        <v>Block 06</v>
      </c>
      <c r="G926" s="20" t="str">
        <f t="shared" si="37"/>
        <v>Lot 11</v>
      </c>
      <c r="H926" s="20">
        <f>IFERROR(INDEX('[2]PRICELIST, 908u'!$G$7:$AX$914,MATCH($B926,'[2]PRICELIST, 908u'!$G$7:$G$914,0),23),"NA")</f>
        <v>50</v>
      </c>
      <c r="I926" s="20">
        <f>IFERROR(INDEX('[2]PRICELIST, 908u'!$G$7:$AX$914,MATCH($B926,'[2]PRICELIST, 908u'!$G$7:$G$914,0),22),"NA")</f>
        <v>70</v>
      </c>
      <c r="J926" s="20" t="s">
        <v>25</v>
      </c>
      <c r="K926" s="20" t="str">
        <f>IFERROR(INDEX('[2]PRICELIST, 908u'!$G$7:$AX$914,MATCH($B926,'[2]PRICELIST, 908u'!$G$7:$G$914,0),30),"NA")</f>
        <v>Slant / PURPLE</v>
      </c>
      <c r="L926" s="20">
        <f>IFERROR(INDEX('[2]PRICELIST, 908u'!$G$7:$AX$914,MATCH($B926,'[2]PRICELIST, 908u'!$G$7:$G$914,0),40),"NA")</f>
        <v>2850000</v>
      </c>
      <c r="M926" s="20">
        <f>IFERROR(INDEX('[2]PRICELIST, 908u'!$G$7:$AX$914,MATCH($B926,'[2]PRICELIST, 908u'!$G$7:$G$914,0),41),"NA")</f>
        <v>100000</v>
      </c>
      <c r="N926" s="58">
        <f t="shared" si="40"/>
        <v>2750000</v>
      </c>
      <c r="O926" s="60"/>
      <c r="P926" s="60">
        <f t="shared" si="39"/>
        <v>2750000</v>
      </c>
    </row>
    <row r="927" spans="2:16">
      <c r="B927" s="20" t="s">
        <v>1078</v>
      </c>
      <c r="C927" s="20" t="s">
        <v>2</v>
      </c>
      <c r="D927" s="20" t="str">
        <f>IFERROR(INDEX('[2]PRICELIST, 908u'!$G$7:$AX$914,MATCH($B927,'[2]PRICELIST, 908u'!$G$7:$G$914,0),18),"NA")</f>
        <v>2024 Batch</v>
      </c>
      <c r="E927" s="20" t="str">
        <f>IFERROR(INDEX([3]AGM!$D$21:$BL$928,MATCH($B927,[3]AGM!$AD$21:$AD$928,0),1),"NA")</f>
        <v>OS</v>
      </c>
      <c r="F927" s="20" t="str">
        <f t="shared" si="38"/>
        <v>Block 06</v>
      </c>
      <c r="G927" s="20" t="str">
        <f t="shared" si="37"/>
        <v>Lot 12</v>
      </c>
      <c r="H927" s="20">
        <f>IFERROR(INDEX('[2]PRICELIST, 908u'!$G$7:$AX$914,MATCH($B927,'[2]PRICELIST, 908u'!$G$7:$G$914,0),23),"NA")</f>
        <v>50</v>
      </c>
      <c r="I927" s="20">
        <f>IFERROR(INDEX('[2]PRICELIST, 908u'!$G$7:$AX$914,MATCH($B927,'[2]PRICELIST, 908u'!$G$7:$G$914,0),22),"NA")</f>
        <v>70</v>
      </c>
      <c r="J927" s="20" t="s">
        <v>25</v>
      </c>
      <c r="K927" s="20" t="str">
        <f>IFERROR(INDEX('[2]PRICELIST, 908u'!$G$7:$AX$914,MATCH($B927,'[2]PRICELIST, 908u'!$G$7:$G$914,0),30),"NA")</f>
        <v>Slant / PURPLE</v>
      </c>
      <c r="L927" s="20">
        <f>IFERROR(INDEX('[2]PRICELIST, 908u'!$G$7:$AX$914,MATCH($B927,'[2]PRICELIST, 908u'!$G$7:$G$914,0),40),"NA")</f>
        <v>2850000</v>
      </c>
      <c r="M927" s="20">
        <f>IFERROR(INDEX('[2]PRICELIST, 908u'!$G$7:$AX$914,MATCH($B927,'[2]PRICELIST, 908u'!$G$7:$G$914,0),41),"NA")</f>
        <v>100000</v>
      </c>
      <c r="N927" s="58">
        <f t="shared" si="40"/>
        <v>2750000</v>
      </c>
      <c r="O927" s="60"/>
      <c r="P927" s="60">
        <f t="shared" si="39"/>
        <v>2750000</v>
      </c>
    </row>
    <row r="928" spans="2:16">
      <c r="B928" s="20" t="s">
        <v>1079</v>
      </c>
      <c r="C928" s="20" t="s">
        <v>2</v>
      </c>
      <c r="D928" s="20" t="str">
        <f>IFERROR(INDEX('[2]PRICELIST, 908u'!$G$7:$AX$914,MATCH($B928,'[2]PRICELIST, 908u'!$G$7:$G$914,0),18),"NA")</f>
        <v>2024 Batch</v>
      </c>
      <c r="E928" s="20" t="str">
        <f>IFERROR(INDEX([3]AGM!$D$21:$BL$928,MATCH($B928,[3]AGM!$AD$21:$AD$928,0),1),"NA")</f>
        <v>OS</v>
      </c>
      <c r="F928" s="20" t="str">
        <f t="shared" si="38"/>
        <v>Block 06</v>
      </c>
      <c r="G928" s="20" t="str">
        <f t="shared" si="37"/>
        <v>Lot 13</v>
      </c>
      <c r="H928" s="20">
        <f>IFERROR(INDEX('[2]PRICELIST, 908u'!$G$7:$AX$914,MATCH($B928,'[2]PRICELIST, 908u'!$G$7:$G$914,0),23),"NA")</f>
        <v>50</v>
      </c>
      <c r="I928" s="20">
        <f>IFERROR(INDEX('[2]PRICELIST, 908u'!$G$7:$AX$914,MATCH($B928,'[2]PRICELIST, 908u'!$G$7:$G$914,0),22),"NA")</f>
        <v>70</v>
      </c>
      <c r="J928" s="20" t="s">
        <v>25</v>
      </c>
      <c r="K928" s="20" t="str">
        <f>IFERROR(INDEX('[2]PRICELIST, 908u'!$G$7:$AX$914,MATCH($B928,'[2]PRICELIST, 908u'!$G$7:$G$914,0),30),"NA")</f>
        <v>Flat / PURPLE</v>
      </c>
      <c r="L928" s="20">
        <f>IFERROR(INDEX('[2]PRICELIST, 908u'!$G$7:$AX$914,MATCH($B928,'[2]PRICELIST, 908u'!$G$7:$G$914,0),40),"NA")</f>
        <v>2850000</v>
      </c>
      <c r="M928" s="20">
        <f>IFERROR(INDEX('[2]PRICELIST, 908u'!$G$7:$AX$914,MATCH($B928,'[2]PRICELIST, 908u'!$G$7:$G$914,0),41),"NA")</f>
        <v>100000</v>
      </c>
      <c r="N928" s="58">
        <f t="shared" si="40"/>
        <v>2750000</v>
      </c>
      <c r="O928" s="60"/>
      <c r="P928" s="60">
        <f t="shared" si="39"/>
        <v>2750000</v>
      </c>
    </row>
    <row r="929" spans="2:16">
      <c r="B929" s="20" t="s">
        <v>1080</v>
      </c>
      <c r="C929" s="20" t="s">
        <v>2</v>
      </c>
      <c r="D929" s="20" t="str">
        <f>IFERROR(INDEX('[2]PRICELIST, 908u'!$G$7:$AX$914,MATCH($B929,'[2]PRICELIST, 908u'!$G$7:$G$914,0),18),"NA")</f>
        <v>2024 Batch</v>
      </c>
      <c r="E929" s="20" t="str">
        <f>IFERROR(INDEX([3]AGM!$D$21:$BL$928,MATCH($B929,[3]AGM!$AD$21:$AD$928,0),1),"NA")</f>
        <v>OS</v>
      </c>
      <c r="F929" s="20" t="str">
        <f t="shared" si="38"/>
        <v>Block 06</v>
      </c>
      <c r="G929" s="20" t="str">
        <f t="shared" si="37"/>
        <v>Lot 14</v>
      </c>
      <c r="H929" s="20">
        <f>IFERROR(INDEX('[2]PRICELIST, 908u'!$G$7:$AX$914,MATCH($B929,'[2]PRICELIST, 908u'!$G$7:$G$914,0),23),"NA")</f>
        <v>50</v>
      </c>
      <c r="I929" s="20">
        <f>IFERROR(INDEX('[2]PRICELIST, 908u'!$G$7:$AX$914,MATCH($B929,'[2]PRICELIST, 908u'!$G$7:$G$914,0),22),"NA")</f>
        <v>70</v>
      </c>
      <c r="J929" s="20" t="s">
        <v>25</v>
      </c>
      <c r="K929" s="20" t="str">
        <f>IFERROR(INDEX('[2]PRICELIST, 908u'!$G$7:$AX$914,MATCH($B929,'[2]PRICELIST, 908u'!$G$7:$G$914,0),30),"NA")</f>
        <v>Flat / PINK</v>
      </c>
      <c r="L929" s="20">
        <f>IFERROR(INDEX('[2]PRICELIST, 908u'!$G$7:$AX$914,MATCH($B929,'[2]PRICELIST, 908u'!$G$7:$G$914,0),40),"NA")</f>
        <v>2850000</v>
      </c>
      <c r="M929" s="20">
        <f>IFERROR(INDEX('[2]PRICELIST, 908u'!$G$7:$AX$914,MATCH($B929,'[2]PRICELIST, 908u'!$G$7:$G$914,0),41),"NA")</f>
        <v>100000</v>
      </c>
      <c r="N929" s="58">
        <f t="shared" si="40"/>
        <v>2750000</v>
      </c>
      <c r="O929" s="60"/>
      <c r="P929" s="60">
        <f t="shared" si="39"/>
        <v>2750000</v>
      </c>
    </row>
    <row r="930" spans="2:16">
      <c r="B930" s="20" t="s">
        <v>1081</v>
      </c>
      <c r="C930" s="20" t="s">
        <v>2</v>
      </c>
      <c r="D930" s="20" t="str">
        <f>IFERROR(INDEX('[2]PRICELIST, 908u'!$G$7:$AX$914,MATCH($B930,'[2]PRICELIST, 908u'!$G$7:$G$914,0),18),"NA")</f>
        <v>2024 Batch</v>
      </c>
      <c r="E930" s="20" t="str">
        <f>IFERROR(INDEX([3]AGM!$D$21:$BL$928,MATCH($B930,[3]AGM!$AD$21:$AD$928,0),1),"NA")</f>
        <v>OS</v>
      </c>
      <c r="F930" s="20" t="str">
        <f t="shared" si="38"/>
        <v>Block 06</v>
      </c>
      <c r="G930" s="20" t="str">
        <f t="shared" si="37"/>
        <v>Lot 15</v>
      </c>
      <c r="H930" s="20">
        <f>IFERROR(INDEX('[2]PRICELIST, 908u'!$G$7:$AX$914,MATCH($B930,'[2]PRICELIST, 908u'!$G$7:$G$914,0),23),"NA")</f>
        <v>50</v>
      </c>
      <c r="I930" s="20">
        <f>IFERROR(INDEX('[2]PRICELIST, 908u'!$G$7:$AX$914,MATCH($B930,'[2]PRICELIST, 908u'!$G$7:$G$914,0),22),"NA")</f>
        <v>70</v>
      </c>
      <c r="J930" s="20" t="s">
        <v>25</v>
      </c>
      <c r="K930" s="20" t="str">
        <f>IFERROR(INDEX('[2]PRICELIST, 908u'!$G$7:$AX$914,MATCH($B930,'[2]PRICELIST, 908u'!$G$7:$G$914,0),30),"NA")</f>
        <v>Slant / PINK</v>
      </c>
      <c r="L930" s="20">
        <f>IFERROR(INDEX('[2]PRICELIST, 908u'!$G$7:$AX$914,MATCH($B930,'[2]PRICELIST, 908u'!$G$7:$G$914,0),40),"NA")</f>
        <v>2850000</v>
      </c>
      <c r="M930" s="20">
        <f>IFERROR(INDEX('[2]PRICELIST, 908u'!$G$7:$AX$914,MATCH($B930,'[2]PRICELIST, 908u'!$G$7:$G$914,0),41),"NA")</f>
        <v>100000</v>
      </c>
      <c r="N930" s="58">
        <f t="shared" si="40"/>
        <v>2750000</v>
      </c>
      <c r="O930" s="60"/>
      <c r="P930" s="60">
        <f t="shared" si="39"/>
        <v>2750000</v>
      </c>
    </row>
    <row r="931" spans="2:16">
      <c r="B931" s="20" t="s">
        <v>1082</v>
      </c>
      <c r="C931" s="20" t="s">
        <v>2</v>
      </c>
      <c r="D931" s="20" t="str">
        <f>IFERROR(INDEX('[2]PRICELIST, 908u'!$G$7:$AX$914,MATCH($B931,'[2]PRICELIST, 908u'!$G$7:$G$914,0),18),"NA")</f>
        <v>2024 Batch</v>
      </c>
      <c r="E931" s="20" t="str">
        <f>IFERROR(INDEX([3]AGM!$D$21:$BL$928,MATCH($B931,[3]AGM!$AD$21:$AD$928,0),1),"NA")</f>
        <v>OS</v>
      </c>
      <c r="F931" s="20" t="str">
        <f t="shared" si="38"/>
        <v>Block 06</v>
      </c>
      <c r="G931" s="20" t="str">
        <f t="shared" si="37"/>
        <v>Lot 16</v>
      </c>
      <c r="H931" s="20">
        <f>IFERROR(INDEX('[2]PRICELIST, 908u'!$G$7:$AX$914,MATCH($B931,'[2]PRICELIST, 908u'!$G$7:$G$914,0),23),"NA")</f>
        <v>50</v>
      </c>
      <c r="I931" s="20">
        <f>IFERROR(INDEX('[2]PRICELIST, 908u'!$G$7:$AX$914,MATCH($B931,'[2]PRICELIST, 908u'!$G$7:$G$914,0),22),"NA")</f>
        <v>70</v>
      </c>
      <c r="J931" s="20" t="s">
        <v>207</v>
      </c>
      <c r="K931" s="20" t="str">
        <f>IFERROR(INDEX('[2]PRICELIST, 908u'!$G$7:$AX$914,MATCH($B931,'[2]PRICELIST, 908u'!$G$7:$G$914,0),30),"NA")</f>
        <v>Slant / PINK</v>
      </c>
      <c r="L931" s="20">
        <f>IFERROR(INDEX('[2]PRICELIST, 908u'!$G$7:$AX$914,MATCH($B931,'[2]PRICELIST, 908u'!$G$7:$G$914,0),40),"NA")</f>
        <v>2650000</v>
      </c>
      <c r="M931" s="20">
        <f>IFERROR(INDEX('[2]PRICELIST, 908u'!$G$7:$AX$914,MATCH($B931,'[2]PRICELIST, 908u'!$G$7:$G$914,0),41),"NA")</f>
        <v>100000</v>
      </c>
      <c r="N931" s="58">
        <f t="shared" si="40"/>
        <v>2550000</v>
      </c>
      <c r="O931" s="60"/>
      <c r="P931" s="60">
        <f t="shared" si="39"/>
        <v>2550000</v>
      </c>
    </row>
    <row r="932" spans="2:16">
      <c r="B932" s="20" t="s">
        <v>1083</v>
      </c>
      <c r="C932" s="20" t="s">
        <v>2</v>
      </c>
      <c r="D932" s="20" t="str">
        <f>IFERROR(INDEX('[2]PRICELIST, 908u'!$G$7:$AX$914,MATCH($B932,'[2]PRICELIST, 908u'!$G$7:$G$914,0),18),"NA")</f>
        <v>2024 Batch</v>
      </c>
      <c r="E932" s="20" t="str">
        <f>IFERROR(INDEX([3]AGM!$D$21:$BL$928,MATCH($B932,[3]AGM!$AD$21:$AD$928,0),1),"NA")</f>
        <v>OS</v>
      </c>
      <c r="F932" s="20" t="str">
        <f t="shared" si="38"/>
        <v>Block 06</v>
      </c>
      <c r="G932" s="20" t="str">
        <f t="shared" si="37"/>
        <v>Lot 17</v>
      </c>
      <c r="H932" s="20">
        <f>IFERROR(INDEX('[2]PRICELIST, 908u'!$G$7:$AX$914,MATCH($B932,'[2]PRICELIST, 908u'!$G$7:$G$914,0),23),"NA")</f>
        <v>50</v>
      </c>
      <c r="I932" s="20">
        <f>IFERROR(INDEX('[2]PRICELIST, 908u'!$G$7:$AX$914,MATCH($B932,'[2]PRICELIST, 908u'!$G$7:$G$914,0),22),"NA")</f>
        <v>70</v>
      </c>
      <c r="J932" s="20" t="s">
        <v>207</v>
      </c>
      <c r="K932" s="20" t="str">
        <f>IFERROR(INDEX('[2]PRICELIST, 908u'!$G$7:$AX$914,MATCH($B932,'[2]PRICELIST, 908u'!$G$7:$G$914,0),30),"NA")</f>
        <v>Flat / PINK</v>
      </c>
      <c r="L932" s="20">
        <f>IFERROR(INDEX('[2]PRICELIST, 908u'!$G$7:$AX$914,MATCH($B932,'[2]PRICELIST, 908u'!$G$7:$G$914,0),40),"NA")</f>
        <v>2650000</v>
      </c>
      <c r="M932" s="20">
        <f>IFERROR(INDEX('[2]PRICELIST, 908u'!$G$7:$AX$914,MATCH($B932,'[2]PRICELIST, 908u'!$G$7:$G$914,0),41),"NA")</f>
        <v>100000</v>
      </c>
      <c r="N932" s="58">
        <f t="shared" si="40"/>
        <v>2550000</v>
      </c>
      <c r="O932" s="60"/>
      <c r="P932" s="60">
        <f t="shared" si="39"/>
        <v>2550000</v>
      </c>
    </row>
    <row r="933" spans="2:16">
      <c r="B933" s="20" t="s">
        <v>1084</v>
      </c>
      <c r="C933" s="20" t="s">
        <v>2</v>
      </c>
      <c r="D933" s="20" t="str">
        <f>IFERROR(INDEX('[2]PRICELIST, 908u'!$G$7:$AX$914,MATCH($B933,'[2]PRICELIST, 908u'!$G$7:$G$914,0),18),"NA")</f>
        <v>2024 Batch</v>
      </c>
      <c r="E933" s="20" t="str">
        <f>IFERROR(INDEX([3]AGM!$D$21:$BL$928,MATCH($B933,[3]AGM!$AD$21:$AD$928,0),1),"NA")</f>
        <v>OS</v>
      </c>
      <c r="F933" s="20" t="str">
        <f t="shared" si="38"/>
        <v>Block 06</v>
      </c>
      <c r="G933" s="20" t="str">
        <f t="shared" si="37"/>
        <v>Lot 18</v>
      </c>
      <c r="H933" s="20">
        <f>IFERROR(INDEX('[2]PRICELIST, 908u'!$G$7:$AX$914,MATCH($B933,'[2]PRICELIST, 908u'!$G$7:$G$914,0),23),"NA")</f>
        <v>50</v>
      </c>
      <c r="I933" s="20">
        <f>IFERROR(INDEX('[2]PRICELIST, 908u'!$G$7:$AX$914,MATCH($B933,'[2]PRICELIST, 908u'!$G$7:$G$914,0),22),"NA")</f>
        <v>70</v>
      </c>
      <c r="J933" s="20" t="s">
        <v>207</v>
      </c>
      <c r="K933" s="20" t="str">
        <f>IFERROR(INDEX('[2]PRICELIST, 908u'!$G$7:$AX$914,MATCH($B933,'[2]PRICELIST, 908u'!$G$7:$G$914,0),30),"NA")</f>
        <v>Flat / YELLOW</v>
      </c>
      <c r="L933" s="20">
        <f>IFERROR(INDEX('[2]PRICELIST, 908u'!$G$7:$AX$914,MATCH($B933,'[2]PRICELIST, 908u'!$G$7:$G$914,0),40),"NA")</f>
        <v>2650000</v>
      </c>
      <c r="M933" s="20">
        <f>IFERROR(INDEX('[2]PRICELIST, 908u'!$G$7:$AX$914,MATCH($B933,'[2]PRICELIST, 908u'!$G$7:$G$914,0),41),"NA")</f>
        <v>100000</v>
      </c>
      <c r="N933" s="58">
        <f t="shared" si="40"/>
        <v>2550000</v>
      </c>
      <c r="O933" s="60"/>
      <c r="P933" s="60">
        <f t="shared" si="39"/>
        <v>2550000</v>
      </c>
    </row>
    <row r="934" spans="2:16">
      <c r="B934" s="20" t="s">
        <v>1085</v>
      </c>
      <c r="C934" s="20" t="s">
        <v>2</v>
      </c>
      <c r="D934" s="20" t="str">
        <f>IFERROR(INDEX('[2]PRICELIST, 908u'!$G$7:$AX$914,MATCH($B934,'[2]PRICELIST, 908u'!$G$7:$G$914,0),18),"NA")</f>
        <v>2024 Batch</v>
      </c>
      <c r="E934" s="20" t="str">
        <f>IFERROR(INDEX([3]AGM!$D$21:$BL$928,MATCH($B934,[3]AGM!$AD$21:$AD$928,0),1),"NA")</f>
        <v>OS</v>
      </c>
      <c r="F934" s="20" t="str">
        <f t="shared" si="38"/>
        <v>Block 06</v>
      </c>
      <c r="G934" s="20" t="str">
        <f t="shared" si="37"/>
        <v>Lot 19</v>
      </c>
      <c r="H934" s="20">
        <f>IFERROR(INDEX('[2]PRICELIST, 908u'!$G$7:$AX$914,MATCH($B934,'[2]PRICELIST, 908u'!$G$7:$G$914,0),23),"NA")</f>
        <v>50</v>
      </c>
      <c r="I934" s="20">
        <f>IFERROR(INDEX('[2]PRICELIST, 908u'!$G$7:$AX$914,MATCH($B934,'[2]PRICELIST, 908u'!$G$7:$G$914,0),22),"NA")</f>
        <v>70</v>
      </c>
      <c r="J934" s="20" t="s">
        <v>25</v>
      </c>
      <c r="K934" s="20" t="str">
        <f>IFERROR(INDEX('[2]PRICELIST, 908u'!$G$7:$AX$914,MATCH($B934,'[2]PRICELIST, 908u'!$G$7:$G$914,0),30),"NA")</f>
        <v>Slant / YELLOW</v>
      </c>
      <c r="L934" s="20">
        <f>IFERROR(INDEX('[2]PRICELIST, 908u'!$G$7:$AX$914,MATCH($B934,'[2]PRICELIST, 908u'!$G$7:$G$914,0),40),"NA")</f>
        <v>2850000</v>
      </c>
      <c r="M934" s="20">
        <f>IFERROR(INDEX('[2]PRICELIST, 908u'!$G$7:$AX$914,MATCH($B934,'[2]PRICELIST, 908u'!$G$7:$G$914,0),41),"NA")</f>
        <v>100000</v>
      </c>
      <c r="N934" s="58">
        <f t="shared" si="40"/>
        <v>2750000</v>
      </c>
      <c r="O934" s="60"/>
      <c r="P934" s="60">
        <f t="shared" si="39"/>
        <v>2750000</v>
      </c>
    </row>
    <row r="935" spans="2:16">
      <c r="B935" s="20" t="s">
        <v>1086</v>
      </c>
      <c r="C935" s="20" t="s">
        <v>2</v>
      </c>
      <c r="D935" s="20" t="str">
        <f>IFERROR(INDEX('[2]PRICELIST, 908u'!$G$7:$AX$914,MATCH($B935,'[2]PRICELIST, 908u'!$G$7:$G$914,0),18),"NA")</f>
        <v>2024 Batch</v>
      </c>
      <c r="E935" s="20" t="str">
        <f>IFERROR(INDEX([3]AGM!$D$21:$BL$928,MATCH($B935,[3]AGM!$AD$21:$AD$928,0),1),"NA")</f>
        <v>OS</v>
      </c>
      <c r="F935" s="20" t="str">
        <f t="shared" si="38"/>
        <v>Block 06</v>
      </c>
      <c r="G935" s="20" t="str">
        <f t="shared" si="37"/>
        <v>Lot 20</v>
      </c>
      <c r="H935" s="20">
        <f>IFERROR(INDEX('[2]PRICELIST, 908u'!$G$7:$AX$914,MATCH($B935,'[2]PRICELIST, 908u'!$G$7:$G$914,0),23),"NA")</f>
        <v>50</v>
      </c>
      <c r="I935" s="20">
        <f>IFERROR(INDEX('[2]PRICELIST, 908u'!$G$7:$AX$914,MATCH($B935,'[2]PRICELIST, 908u'!$G$7:$G$914,0),22),"NA")</f>
        <v>70</v>
      </c>
      <c r="J935" s="20" t="s">
        <v>25</v>
      </c>
      <c r="K935" s="20" t="str">
        <f>IFERROR(INDEX('[2]PRICELIST, 908u'!$G$7:$AX$914,MATCH($B935,'[2]PRICELIST, 908u'!$G$7:$G$914,0),30),"NA")</f>
        <v>Slant / YELLOW</v>
      </c>
      <c r="L935" s="20">
        <f>IFERROR(INDEX('[2]PRICELIST, 908u'!$G$7:$AX$914,MATCH($B935,'[2]PRICELIST, 908u'!$G$7:$G$914,0),40),"NA")</f>
        <v>2850000</v>
      </c>
      <c r="M935" s="20">
        <f>IFERROR(INDEX('[2]PRICELIST, 908u'!$G$7:$AX$914,MATCH($B935,'[2]PRICELIST, 908u'!$G$7:$G$914,0),41),"NA")</f>
        <v>100000</v>
      </c>
      <c r="N935" s="58">
        <f t="shared" si="40"/>
        <v>2750000</v>
      </c>
      <c r="O935" s="60"/>
      <c r="P935" s="60">
        <f t="shared" si="39"/>
        <v>2750000</v>
      </c>
    </row>
    <row r="936" spans="2:16">
      <c r="B936" s="20" t="s">
        <v>1087</v>
      </c>
      <c r="C936" s="20" t="s">
        <v>2</v>
      </c>
      <c r="D936" s="20" t="str">
        <f>IFERROR(INDEX('[2]PRICELIST, 908u'!$G$7:$AX$914,MATCH($B936,'[2]PRICELIST, 908u'!$G$7:$G$914,0),18),"NA")</f>
        <v>2024 Batch</v>
      </c>
      <c r="E936" s="20" t="str">
        <f>IFERROR(INDEX([3]AGM!$D$21:$BL$928,MATCH($B936,[3]AGM!$AD$21:$AD$928,0),1),"NA")</f>
        <v>OS</v>
      </c>
      <c r="F936" s="20" t="str">
        <f t="shared" si="38"/>
        <v>Block 06</v>
      </c>
      <c r="G936" s="20" t="str">
        <f t="shared" si="37"/>
        <v>Lot 21</v>
      </c>
      <c r="H936" s="20">
        <f>IFERROR(INDEX('[2]PRICELIST, 908u'!$G$7:$AX$914,MATCH($B936,'[2]PRICELIST, 908u'!$G$7:$G$914,0),23),"NA")</f>
        <v>50</v>
      </c>
      <c r="I936" s="20">
        <f>IFERROR(INDEX('[2]PRICELIST, 908u'!$G$7:$AX$914,MATCH($B936,'[2]PRICELIST, 908u'!$G$7:$G$914,0),22),"NA")</f>
        <v>78</v>
      </c>
      <c r="J936" s="20" t="s">
        <v>207</v>
      </c>
      <c r="K936" s="20" t="str">
        <f>IFERROR(INDEX('[2]PRICELIST, 908u'!$G$7:$AX$914,MATCH($B936,'[2]PRICELIST, 908u'!$G$7:$G$914,0),30),"NA")</f>
        <v>Flat / YELLOW</v>
      </c>
      <c r="L936" s="20">
        <f>IFERROR(INDEX('[2]PRICELIST, 908u'!$G$7:$AX$914,MATCH($B936,'[2]PRICELIST, 908u'!$G$7:$G$914,0),40),"NA")</f>
        <v>2770000</v>
      </c>
      <c r="M936" s="20">
        <f>IFERROR(INDEX('[2]PRICELIST, 908u'!$G$7:$AX$914,MATCH($B936,'[2]PRICELIST, 908u'!$G$7:$G$914,0),41),"NA")</f>
        <v>100000</v>
      </c>
      <c r="N936" s="58">
        <f t="shared" si="40"/>
        <v>2670000</v>
      </c>
      <c r="O936" s="60"/>
      <c r="P936" s="60">
        <f t="shared" si="39"/>
        <v>2670000</v>
      </c>
    </row>
    <row r="937" spans="2:16">
      <c r="B937" s="20" t="s">
        <v>1088</v>
      </c>
      <c r="C937" s="20" t="s">
        <v>2</v>
      </c>
      <c r="D937" s="20" t="str">
        <f>IFERROR(INDEX('[2]PRICELIST, 908u'!$G$7:$AX$914,MATCH($B937,'[2]PRICELIST, 908u'!$G$7:$G$914,0),18),"NA")</f>
        <v>2024 Batch</v>
      </c>
      <c r="E937" s="20" t="str">
        <f>IFERROR(INDEX([3]AGM!$D$21:$BL$928,MATCH($B937,[3]AGM!$AD$21:$AD$928,0),1),"NA")</f>
        <v>OS</v>
      </c>
      <c r="F937" s="20" t="str">
        <f t="shared" si="38"/>
        <v>Block 06</v>
      </c>
      <c r="G937" s="20" t="str">
        <f t="shared" si="37"/>
        <v>Lot 22</v>
      </c>
      <c r="H937" s="20">
        <f>IFERROR(INDEX('[2]PRICELIST, 908u'!$G$7:$AX$914,MATCH($B937,'[2]PRICELIST, 908u'!$G$7:$G$914,0),23),"NA")</f>
        <v>50</v>
      </c>
      <c r="I937" s="20">
        <f>IFERROR(INDEX('[2]PRICELIST, 908u'!$G$7:$AX$914,MATCH($B937,'[2]PRICELIST, 908u'!$G$7:$G$914,0),22),"NA")</f>
        <v>78</v>
      </c>
      <c r="J937" s="20" t="s">
        <v>25</v>
      </c>
      <c r="K937" s="20" t="str">
        <f>IFERROR(INDEX('[2]PRICELIST, 908u'!$G$7:$AX$914,MATCH($B937,'[2]PRICELIST, 908u'!$G$7:$G$914,0),30),"NA")</f>
        <v>Slant / GREEN</v>
      </c>
      <c r="L937" s="20">
        <f>IFERROR(INDEX('[2]PRICELIST, 908u'!$G$7:$AX$914,MATCH($B937,'[2]PRICELIST, 908u'!$G$7:$G$914,0),40),"NA")</f>
        <v>2770000</v>
      </c>
      <c r="M937" s="20">
        <f>IFERROR(INDEX('[2]PRICELIST, 908u'!$G$7:$AX$914,MATCH($B937,'[2]PRICELIST, 908u'!$G$7:$G$914,0),41),"NA")</f>
        <v>100000</v>
      </c>
      <c r="N937" s="58">
        <f t="shared" si="40"/>
        <v>2670000</v>
      </c>
      <c r="O937" s="60"/>
      <c r="P937" s="60">
        <f t="shared" si="39"/>
        <v>2670000</v>
      </c>
    </row>
    <row r="938" spans="2:16">
      <c r="B938" s="20" t="s">
        <v>1089</v>
      </c>
      <c r="C938" s="20" t="s">
        <v>2</v>
      </c>
      <c r="D938" s="20" t="str">
        <f>IFERROR(INDEX('[2]PRICELIST, 908u'!$G$7:$AX$914,MATCH($B938,'[2]PRICELIST, 908u'!$G$7:$G$914,0),18),"NA")</f>
        <v>2024 Batch</v>
      </c>
      <c r="E938" s="20" t="str">
        <f>IFERROR(INDEX([3]AGM!$D$21:$BL$928,MATCH($B938,[3]AGM!$AD$21:$AD$928,0),1),"NA")</f>
        <v>OS</v>
      </c>
      <c r="F938" s="20" t="str">
        <f t="shared" si="38"/>
        <v>Block 06</v>
      </c>
      <c r="G938" s="20" t="str">
        <f t="shared" si="37"/>
        <v>Lot 23</v>
      </c>
      <c r="H938" s="20">
        <f>IFERROR(INDEX('[2]PRICELIST, 908u'!$G$7:$AX$914,MATCH($B938,'[2]PRICELIST, 908u'!$G$7:$G$914,0),23),"NA")</f>
        <v>50</v>
      </c>
      <c r="I938" s="20">
        <f>IFERROR(INDEX('[2]PRICELIST, 908u'!$G$7:$AX$914,MATCH($B938,'[2]PRICELIST, 908u'!$G$7:$G$914,0),22),"NA")</f>
        <v>70</v>
      </c>
      <c r="J938" s="20" t="s">
        <v>25</v>
      </c>
      <c r="K938" s="20" t="str">
        <f>IFERROR(INDEX('[2]PRICELIST, 908u'!$G$7:$AX$914,MATCH($B938,'[2]PRICELIST, 908u'!$G$7:$G$914,0),30),"NA")</f>
        <v>Flat / GREEN</v>
      </c>
      <c r="L938" s="20">
        <f>IFERROR(INDEX('[2]PRICELIST, 908u'!$G$7:$AX$914,MATCH($B938,'[2]PRICELIST, 908u'!$G$7:$G$914,0),40),"NA")</f>
        <v>2850000</v>
      </c>
      <c r="M938" s="20">
        <f>IFERROR(INDEX('[2]PRICELIST, 908u'!$G$7:$AX$914,MATCH($B938,'[2]PRICELIST, 908u'!$G$7:$G$914,0),41),"NA")</f>
        <v>100000</v>
      </c>
      <c r="N938" s="58">
        <f t="shared" si="40"/>
        <v>2750000</v>
      </c>
      <c r="O938" s="60"/>
      <c r="P938" s="60">
        <f t="shared" si="39"/>
        <v>2750000</v>
      </c>
    </row>
    <row r="939" spans="2:16">
      <c r="B939" s="20" t="s">
        <v>1090</v>
      </c>
      <c r="C939" s="20" t="s">
        <v>2</v>
      </c>
      <c r="D939" s="20" t="str">
        <f>IFERROR(INDEX('[2]PRICELIST, 908u'!$G$7:$AX$914,MATCH($B939,'[2]PRICELIST, 908u'!$G$7:$G$914,0),18),"NA")</f>
        <v>2024 Batch</v>
      </c>
      <c r="E939" s="20" t="str">
        <f>IFERROR(INDEX([3]AGM!$D$21:$BL$928,MATCH($B939,[3]AGM!$AD$21:$AD$928,0),1),"NA")</f>
        <v>OS</v>
      </c>
      <c r="F939" s="20" t="str">
        <f t="shared" si="38"/>
        <v>Block 06</v>
      </c>
      <c r="G939" s="20" t="str">
        <f t="shared" si="37"/>
        <v>Lot 24</v>
      </c>
      <c r="H939" s="20">
        <f>IFERROR(INDEX('[2]PRICELIST, 908u'!$G$7:$AX$914,MATCH($B939,'[2]PRICELIST, 908u'!$G$7:$G$914,0),23),"NA")</f>
        <v>50</v>
      </c>
      <c r="I939" s="20">
        <f>IFERROR(INDEX('[2]PRICELIST, 908u'!$G$7:$AX$914,MATCH($B939,'[2]PRICELIST, 908u'!$G$7:$G$914,0),22),"NA")</f>
        <v>70</v>
      </c>
      <c r="J939" s="20" t="s">
        <v>25</v>
      </c>
      <c r="K939" s="20" t="str">
        <f>IFERROR(INDEX('[2]PRICELIST, 908u'!$G$7:$AX$914,MATCH($B939,'[2]PRICELIST, 908u'!$G$7:$G$914,0),30),"NA")</f>
        <v>Flat / GREEN</v>
      </c>
      <c r="L939" s="20">
        <f>IFERROR(INDEX('[2]PRICELIST, 908u'!$G$7:$AX$914,MATCH($B939,'[2]PRICELIST, 908u'!$G$7:$G$914,0),40),"NA")</f>
        <v>2850000</v>
      </c>
      <c r="M939" s="20">
        <f>IFERROR(INDEX('[2]PRICELIST, 908u'!$G$7:$AX$914,MATCH($B939,'[2]PRICELIST, 908u'!$G$7:$G$914,0),41),"NA")</f>
        <v>100000</v>
      </c>
      <c r="N939" s="58">
        <f t="shared" si="40"/>
        <v>2750000</v>
      </c>
      <c r="O939" s="60"/>
      <c r="P939" s="60">
        <f t="shared" si="39"/>
        <v>2750000</v>
      </c>
    </row>
    <row r="940" spans="2:16">
      <c r="B940" s="20" t="s">
        <v>1091</v>
      </c>
      <c r="C940" s="20" t="s">
        <v>2</v>
      </c>
      <c r="D940" s="20" t="str">
        <f>IFERROR(INDEX('[2]PRICELIST, 908u'!$G$7:$AX$914,MATCH($B940,'[2]PRICELIST, 908u'!$G$7:$G$914,0),18),"NA")</f>
        <v>2024 Batch</v>
      </c>
      <c r="E940" s="20" t="str">
        <f>IFERROR(INDEX([3]AGM!$D$21:$BL$928,MATCH($B940,[3]AGM!$AD$21:$AD$928,0),1),"NA")</f>
        <v>OS</v>
      </c>
      <c r="F940" s="20" t="str">
        <f t="shared" si="38"/>
        <v>Block 06</v>
      </c>
      <c r="G940" s="20" t="str">
        <f t="shared" si="37"/>
        <v>Lot 25</v>
      </c>
      <c r="H940" s="20">
        <f>IFERROR(INDEX('[2]PRICELIST, 908u'!$G$7:$AX$914,MATCH($B940,'[2]PRICELIST, 908u'!$G$7:$G$914,0),23),"NA")</f>
        <v>50</v>
      </c>
      <c r="I940" s="20">
        <f>IFERROR(INDEX('[2]PRICELIST, 908u'!$G$7:$AX$914,MATCH($B940,'[2]PRICELIST, 908u'!$G$7:$G$914,0),22),"NA")</f>
        <v>70</v>
      </c>
      <c r="J940" s="20" t="s">
        <v>207</v>
      </c>
      <c r="K940" s="20" t="str">
        <f>IFERROR(INDEX('[2]PRICELIST, 908u'!$G$7:$AX$914,MATCH($B940,'[2]PRICELIST, 908u'!$G$7:$G$914,0),30),"NA")</f>
        <v>Slant / GREEN</v>
      </c>
      <c r="L940" s="20">
        <f>IFERROR(INDEX('[2]PRICELIST, 908u'!$G$7:$AX$914,MATCH($B940,'[2]PRICELIST, 908u'!$G$7:$G$914,0),40),"NA")</f>
        <v>2650000</v>
      </c>
      <c r="M940" s="20">
        <f>IFERROR(INDEX('[2]PRICELIST, 908u'!$G$7:$AX$914,MATCH($B940,'[2]PRICELIST, 908u'!$G$7:$G$914,0),41),"NA")</f>
        <v>100000</v>
      </c>
      <c r="N940" s="58">
        <f t="shared" si="40"/>
        <v>2550000</v>
      </c>
      <c r="O940" s="60"/>
      <c r="P940" s="60">
        <f t="shared" si="39"/>
        <v>2550000</v>
      </c>
    </row>
    <row r="941" spans="2:16">
      <c r="B941" s="20" t="s">
        <v>1092</v>
      </c>
      <c r="C941" s="20" t="s">
        <v>2</v>
      </c>
      <c r="D941" s="20" t="str">
        <f>IFERROR(INDEX('[2]PRICELIST, 908u'!$G$7:$AX$914,MATCH($B941,'[2]PRICELIST, 908u'!$G$7:$G$914,0),18),"NA")</f>
        <v>2024 Batch</v>
      </c>
      <c r="E941" s="20" t="str">
        <f>IFERROR(INDEX([3]AGM!$D$21:$BL$928,MATCH($B941,[3]AGM!$AD$21:$AD$928,0),1),"NA")</f>
        <v>OS</v>
      </c>
      <c r="F941" s="20" t="str">
        <f t="shared" si="38"/>
        <v>Block 06</v>
      </c>
      <c r="G941" s="20" t="str">
        <f t="shared" si="37"/>
        <v>Lot 26</v>
      </c>
      <c r="H941" s="20">
        <f>IFERROR(INDEX('[2]PRICELIST, 908u'!$G$7:$AX$914,MATCH($B941,'[2]PRICELIST, 908u'!$G$7:$G$914,0),23),"NA")</f>
        <v>50</v>
      </c>
      <c r="I941" s="20">
        <f>IFERROR(INDEX('[2]PRICELIST, 908u'!$G$7:$AX$914,MATCH($B941,'[2]PRICELIST, 908u'!$G$7:$G$914,0),22),"NA")</f>
        <v>70</v>
      </c>
      <c r="J941" s="20" t="s">
        <v>207</v>
      </c>
      <c r="K941" s="20" t="str">
        <f>IFERROR(INDEX('[2]PRICELIST, 908u'!$G$7:$AX$914,MATCH($B941,'[2]PRICELIST, 908u'!$G$7:$G$914,0),30),"NA")</f>
        <v>Slant / YELLOW</v>
      </c>
      <c r="L941" s="20">
        <f>IFERROR(INDEX('[2]PRICELIST, 908u'!$G$7:$AX$914,MATCH($B941,'[2]PRICELIST, 908u'!$G$7:$G$914,0),40),"NA")</f>
        <v>2650000</v>
      </c>
      <c r="M941" s="20">
        <f>IFERROR(INDEX('[2]PRICELIST, 908u'!$G$7:$AX$914,MATCH($B941,'[2]PRICELIST, 908u'!$G$7:$G$914,0),41),"NA")</f>
        <v>100000</v>
      </c>
      <c r="N941" s="58">
        <f t="shared" si="40"/>
        <v>2550000</v>
      </c>
      <c r="O941" s="60"/>
      <c r="P941" s="60">
        <f t="shared" si="39"/>
        <v>2550000</v>
      </c>
    </row>
    <row r="942" spans="2:16">
      <c r="B942" s="20" t="s">
        <v>1093</v>
      </c>
      <c r="C942" s="20" t="s">
        <v>2</v>
      </c>
      <c r="D942" s="20" t="str">
        <f>IFERROR(INDEX('[2]PRICELIST, 908u'!$G$7:$AX$914,MATCH($B942,'[2]PRICELIST, 908u'!$G$7:$G$914,0),18),"NA")</f>
        <v>2024 Batch</v>
      </c>
      <c r="E942" s="20" t="str">
        <f>IFERROR(INDEX([3]AGM!$D$21:$BL$928,MATCH($B942,[3]AGM!$AD$21:$AD$928,0),1),"NA")</f>
        <v>OS</v>
      </c>
      <c r="F942" s="20" t="str">
        <f t="shared" si="38"/>
        <v>Block 06</v>
      </c>
      <c r="G942" s="20" t="str">
        <f t="shared" si="37"/>
        <v>Lot 27</v>
      </c>
      <c r="H942" s="20">
        <f>IFERROR(INDEX('[2]PRICELIST, 908u'!$G$7:$AX$914,MATCH($B942,'[2]PRICELIST, 908u'!$G$7:$G$914,0),23),"NA")</f>
        <v>50</v>
      </c>
      <c r="I942" s="20">
        <f>IFERROR(INDEX('[2]PRICELIST, 908u'!$G$7:$AX$914,MATCH($B942,'[2]PRICELIST, 908u'!$G$7:$G$914,0),22),"NA")</f>
        <v>70</v>
      </c>
      <c r="J942" s="20" t="s">
        <v>207</v>
      </c>
      <c r="K942" s="20" t="str">
        <f>IFERROR(INDEX('[2]PRICELIST, 908u'!$G$7:$AX$914,MATCH($B942,'[2]PRICELIST, 908u'!$G$7:$G$914,0),30),"NA")</f>
        <v>Flat / YELLOW</v>
      </c>
      <c r="L942" s="20">
        <f>IFERROR(INDEX('[2]PRICELIST, 908u'!$G$7:$AX$914,MATCH($B942,'[2]PRICELIST, 908u'!$G$7:$G$914,0),40),"NA")</f>
        <v>2650000</v>
      </c>
      <c r="M942" s="20">
        <f>IFERROR(INDEX('[2]PRICELIST, 908u'!$G$7:$AX$914,MATCH($B942,'[2]PRICELIST, 908u'!$G$7:$G$914,0),41),"NA")</f>
        <v>100000</v>
      </c>
      <c r="N942" s="58">
        <f t="shared" si="40"/>
        <v>2550000</v>
      </c>
      <c r="O942" s="60"/>
      <c r="P942" s="60">
        <f t="shared" si="39"/>
        <v>2550000</v>
      </c>
    </row>
    <row r="943" spans="2:16">
      <c r="B943" s="20" t="s">
        <v>1094</v>
      </c>
      <c r="C943" s="20" t="s">
        <v>2</v>
      </c>
      <c r="D943" s="20" t="str">
        <f>IFERROR(INDEX('[2]PRICELIST, 908u'!$G$7:$AX$914,MATCH($B943,'[2]PRICELIST, 908u'!$G$7:$G$914,0),18),"NA")</f>
        <v>2024 Batch</v>
      </c>
      <c r="E943" s="20" t="str">
        <f>IFERROR(INDEX([3]AGM!$D$21:$BL$928,MATCH($B943,[3]AGM!$AD$21:$AD$928,0),1),"NA")</f>
        <v>OS</v>
      </c>
      <c r="F943" s="20" t="str">
        <f t="shared" si="38"/>
        <v>Block 06</v>
      </c>
      <c r="G943" s="20" t="str">
        <f t="shared" si="37"/>
        <v>Lot 28</v>
      </c>
      <c r="H943" s="20">
        <f>IFERROR(INDEX('[2]PRICELIST, 908u'!$G$7:$AX$914,MATCH($B943,'[2]PRICELIST, 908u'!$G$7:$G$914,0),23),"NA")</f>
        <v>50</v>
      </c>
      <c r="I943" s="20">
        <f>IFERROR(INDEX('[2]PRICELIST, 908u'!$G$7:$AX$914,MATCH($B943,'[2]PRICELIST, 908u'!$G$7:$G$914,0),22),"NA")</f>
        <v>70</v>
      </c>
      <c r="J943" s="20" t="s">
        <v>207</v>
      </c>
      <c r="K943" s="20" t="str">
        <f>IFERROR(INDEX('[2]PRICELIST, 908u'!$G$7:$AX$914,MATCH($B943,'[2]PRICELIST, 908u'!$G$7:$G$914,0),30),"NA")</f>
        <v>Flat / YELLOW</v>
      </c>
      <c r="L943" s="20">
        <f>IFERROR(INDEX('[2]PRICELIST, 908u'!$G$7:$AX$914,MATCH($B943,'[2]PRICELIST, 908u'!$G$7:$G$914,0),40),"NA")</f>
        <v>2650000</v>
      </c>
      <c r="M943" s="20">
        <f>IFERROR(INDEX('[2]PRICELIST, 908u'!$G$7:$AX$914,MATCH($B943,'[2]PRICELIST, 908u'!$G$7:$G$914,0),41),"NA")</f>
        <v>100000</v>
      </c>
      <c r="N943" s="58">
        <f t="shared" si="40"/>
        <v>2550000</v>
      </c>
      <c r="O943" s="60"/>
      <c r="P943" s="60">
        <f t="shared" si="39"/>
        <v>2550000</v>
      </c>
    </row>
    <row r="944" spans="2:16">
      <c r="B944" s="20" t="s">
        <v>1095</v>
      </c>
      <c r="C944" s="20" t="s">
        <v>2</v>
      </c>
      <c r="D944" s="20" t="str">
        <f>IFERROR(INDEX('[2]PRICELIST, 908u'!$G$7:$AX$914,MATCH($B944,'[2]PRICELIST, 908u'!$G$7:$G$914,0),18),"NA")</f>
        <v>2024 Batch</v>
      </c>
      <c r="E944" s="20" t="str">
        <f>IFERROR(INDEX([3]AGM!$D$21:$BL$928,MATCH($B944,[3]AGM!$AD$21:$AD$928,0),1),"NA")</f>
        <v>OS</v>
      </c>
      <c r="F944" s="20" t="str">
        <f t="shared" si="38"/>
        <v>Block 06</v>
      </c>
      <c r="G944" s="20" t="str">
        <f t="shared" si="37"/>
        <v>Lot 29</v>
      </c>
      <c r="H944" s="20">
        <f>IFERROR(INDEX('[2]PRICELIST, 908u'!$G$7:$AX$914,MATCH($B944,'[2]PRICELIST, 908u'!$G$7:$G$914,0),23),"NA")</f>
        <v>50</v>
      </c>
      <c r="I944" s="20">
        <f>IFERROR(INDEX('[2]PRICELIST, 908u'!$G$7:$AX$914,MATCH($B944,'[2]PRICELIST, 908u'!$G$7:$G$914,0),22),"NA")</f>
        <v>70</v>
      </c>
      <c r="J944" s="20" t="s">
        <v>25</v>
      </c>
      <c r="K944" s="20" t="str">
        <f>IFERROR(INDEX('[2]PRICELIST, 908u'!$G$7:$AX$914,MATCH($B944,'[2]PRICELIST, 908u'!$G$7:$G$914,0),30),"NA")</f>
        <v>Slant / YELLOW</v>
      </c>
      <c r="L944" s="20">
        <f>IFERROR(INDEX('[2]PRICELIST, 908u'!$G$7:$AX$914,MATCH($B944,'[2]PRICELIST, 908u'!$G$7:$G$914,0),40),"NA")</f>
        <v>2850000</v>
      </c>
      <c r="M944" s="20">
        <f>IFERROR(INDEX('[2]PRICELIST, 908u'!$G$7:$AX$914,MATCH($B944,'[2]PRICELIST, 908u'!$G$7:$G$914,0),41),"NA")</f>
        <v>100000</v>
      </c>
      <c r="N944" s="58">
        <f t="shared" si="40"/>
        <v>2750000</v>
      </c>
      <c r="O944" s="60"/>
      <c r="P944" s="60">
        <f t="shared" si="39"/>
        <v>2750000</v>
      </c>
    </row>
    <row r="945" spans="2:16">
      <c r="B945" s="20" t="s">
        <v>1096</v>
      </c>
      <c r="C945" s="20" t="s">
        <v>2</v>
      </c>
      <c r="D945" s="20" t="str">
        <f>IFERROR(INDEX('[2]PRICELIST, 908u'!$G$7:$AX$914,MATCH($B945,'[2]PRICELIST, 908u'!$G$7:$G$914,0),18),"NA")</f>
        <v>2024 Batch</v>
      </c>
      <c r="E945" s="20" t="str">
        <f>IFERROR(INDEX([3]AGM!$D$21:$BL$928,MATCH($B945,[3]AGM!$AD$21:$AD$928,0),1),"NA")</f>
        <v>OS</v>
      </c>
      <c r="F945" s="20" t="str">
        <f t="shared" si="38"/>
        <v>Block 06</v>
      </c>
      <c r="G945" s="20" t="str">
        <f t="shared" si="37"/>
        <v>Lot 30</v>
      </c>
      <c r="H945" s="20">
        <f>IFERROR(INDEX('[2]PRICELIST, 908u'!$G$7:$AX$914,MATCH($B945,'[2]PRICELIST, 908u'!$G$7:$G$914,0),23),"NA")</f>
        <v>50</v>
      </c>
      <c r="I945" s="20">
        <f>IFERROR(INDEX('[2]PRICELIST, 908u'!$G$7:$AX$914,MATCH($B945,'[2]PRICELIST, 908u'!$G$7:$G$914,0),22),"NA")</f>
        <v>70</v>
      </c>
      <c r="J945" s="20" t="s">
        <v>25</v>
      </c>
      <c r="K945" s="20" t="str">
        <f>IFERROR(INDEX('[2]PRICELIST, 908u'!$G$7:$AX$914,MATCH($B945,'[2]PRICELIST, 908u'!$G$7:$G$914,0),30),"NA")</f>
        <v>Slant / PINK</v>
      </c>
      <c r="L945" s="20">
        <f>IFERROR(INDEX('[2]PRICELIST, 908u'!$G$7:$AX$914,MATCH($B945,'[2]PRICELIST, 908u'!$G$7:$G$914,0),40),"NA")</f>
        <v>2850000</v>
      </c>
      <c r="M945" s="20">
        <f>IFERROR(INDEX('[2]PRICELIST, 908u'!$G$7:$AX$914,MATCH($B945,'[2]PRICELIST, 908u'!$G$7:$G$914,0),41),"NA")</f>
        <v>100000</v>
      </c>
      <c r="N945" s="58">
        <f t="shared" si="40"/>
        <v>2750000</v>
      </c>
      <c r="O945" s="60"/>
      <c r="P945" s="60">
        <f t="shared" si="39"/>
        <v>2750000</v>
      </c>
    </row>
    <row r="946" spans="2:16">
      <c r="B946" s="20" t="s">
        <v>1097</v>
      </c>
      <c r="C946" s="20" t="s">
        <v>2</v>
      </c>
      <c r="D946" s="20" t="str">
        <f>IFERROR(INDEX('[2]PRICELIST, 908u'!$G$7:$AX$914,MATCH($B946,'[2]PRICELIST, 908u'!$G$7:$G$914,0),18),"NA")</f>
        <v>2024 Batch</v>
      </c>
      <c r="E946" s="20" t="str">
        <f>IFERROR(INDEX([3]AGM!$D$21:$BL$928,MATCH($B946,[3]AGM!$AD$21:$AD$928,0),1),"NA")</f>
        <v>OS</v>
      </c>
      <c r="F946" s="20" t="str">
        <f t="shared" si="38"/>
        <v>Block 06</v>
      </c>
      <c r="G946" s="20" t="str">
        <f t="shared" si="37"/>
        <v>Lot 31</v>
      </c>
      <c r="H946" s="20">
        <f>IFERROR(INDEX('[2]PRICELIST, 908u'!$G$7:$AX$914,MATCH($B946,'[2]PRICELIST, 908u'!$G$7:$G$914,0),23),"NA")</f>
        <v>50</v>
      </c>
      <c r="I946" s="20">
        <f>IFERROR(INDEX('[2]PRICELIST, 908u'!$G$7:$AX$914,MATCH($B946,'[2]PRICELIST, 908u'!$G$7:$G$914,0),22),"NA")</f>
        <v>70</v>
      </c>
      <c r="J946" s="20" t="s">
        <v>207</v>
      </c>
      <c r="K946" s="20" t="str">
        <f>IFERROR(INDEX('[2]PRICELIST, 908u'!$G$7:$AX$914,MATCH($B946,'[2]PRICELIST, 908u'!$G$7:$G$914,0),30),"NA")</f>
        <v>Flat / PINK</v>
      </c>
      <c r="L946" s="20">
        <f>IFERROR(INDEX('[2]PRICELIST, 908u'!$G$7:$AX$914,MATCH($B946,'[2]PRICELIST, 908u'!$G$7:$G$914,0),40),"NA")</f>
        <v>2650000</v>
      </c>
      <c r="M946" s="20">
        <f>IFERROR(INDEX('[2]PRICELIST, 908u'!$G$7:$AX$914,MATCH($B946,'[2]PRICELIST, 908u'!$G$7:$G$914,0),41),"NA")</f>
        <v>100000</v>
      </c>
      <c r="N946" s="58">
        <f t="shared" si="40"/>
        <v>2550000</v>
      </c>
      <c r="O946" s="60"/>
      <c r="P946" s="60">
        <f t="shared" si="39"/>
        <v>2550000</v>
      </c>
    </row>
    <row r="947" spans="2:16">
      <c r="B947" s="20" t="s">
        <v>1098</v>
      </c>
      <c r="C947" s="20" t="s">
        <v>2</v>
      </c>
      <c r="D947" s="20" t="str">
        <f>IFERROR(INDEX('[2]PRICELIST, 908u'!$G$7:$AX$914,MATCH($B947,'[2]PRICELIST, 908u'!$G$7:$G$914,0),18),"NA")</f>
        <v>2024 Batch</v>
      </c>
      <c r="E947" s="20" t="str">
        <f>IFERROR(INDEX([3]AGM!$D$21:$BL$928,MATCH($B947,[3]AGM!$AD$21:$AD$928,0),1),"NA")</f>
        <v>OS</v>
      </c>
      <c r="F947" s="20" t="str">
        <f t="shared" si="38"/>
        <v>Block 06</v>
      </c>
      <c r="G947" s="20" t="str">
        <f t="shared" si="37"/>
        <v>Lot 32</v>
      </c>
      <c r="H947" s="20">
        <f>IFERROR(INDEX('[2]PRICELIST, 908u'!$G$7:$AX$914,MATCH($B947,'[2]PRICELIST, 908u'!$G$7:$G$914,0),23),"NA")</f>
        <v>50</v>
      </c>
      <c r="I947" s="20">
        <f>IFERROR(INDEX('[2]PRICELIST, 908u'!$G$7:$AX$914,MATCH($B947,'[2]PRICELIST, 908u'!$G$7:$G$914,0),22),"NA")</f>
        <v>70</v>
      </c>
      <c r="J947" s="20" t="s">
        <v>25</v>
      </c>
      <c r="K947" s="20" t="str">
        <f>IFERROR(INDEX('[2]PRICELIST, 908u'!$G$7:$AX$914,MATCH($B947,'[2]PRICELIST, 908u'!$G$7:$G$914,0),30),"NA")</f>
        <v>Flat / PINK</v>
      </c>
      <c r="L947" s="20">
        <f>IFERROR(INDEX('[2]PRICELIST, 908u'!$G$7:$AX$914,MATCH($B947,'[2]PRICELIST, 908u'!$G$7:$G$914,0),40),"NA")</f>
        <v>2850000</v>
      </c>
      <c r="M947" s="20">
        <f>IFERROR(INDEX('[2]PRICELIST, 908u'!$G$7:$AX$914,MATCH($B947,'[2]PRICELIST, 908u'!$G$7:$G$914,0),41),"NA")</f>
        <v>100000</v>
      </c>
      <c r="N947" s="58">
        <f t="shared" si="40"/>
        <v>2750000</v>
      </c>
      <c r="O947" s="60"/>
      <c r="P947" s="60">
        <f t="shared" si="39"/>
        <v>2750000</v>
      </c>
    </row>
    <row r="948" spans="2:16">
      <c r="B948" s="20" t="s">
        <v>1099</v>
      </c>
      <c r="C948" s="20" t="s">
        <v>2</v>
      </c>
      <c r="D948" s="20" t="str">
        <f>IFERROR(INDEX('[2]PRICELIST, 908u'!$G$7:$AX$914,MATCH($B948,'[2]PRICELIST, 908u'!$G$7:$G$914,0),18),"NA")</f>
        <v>2024 Batch</v>
      </c>
      <c r="E948" s="20" t="str">
        <f>IFERROR(INDEX([3]AGM!$D$21:$BL$928,MATCH($B948,[3]AGM!$AD$21:$AD$928,0),1),"NA")</f>
        <v>OS</v>
      </c>
      <c r="F948" s="20" t="str">
        <f t="shared" si="38"/>
        <v>Block 06</v>
      </c>
      <c r="G948" s="20" t="str">
        <f t="shared" si="37"/>
        <v>Lot 33</v>
      </c>
      <c r="H948" s="20">
        <f>IFERROR(INDEX('[2]PRICELIST, 908u'!$G$7:$AX$914,MATCH($B948,'[2]PRICELIST, 908u'!$G$7:$G$914,0),23),"NA")</f>
        <v>50</v>
      </c>
      <c r="I948" s="20">
        <f>IFERROR(INDEX('[2]PRICELIST, 908u'!$G$7:$AX$914,MATCH($B948,'[2]PRICELIST, 908u'!$G$7:$G$914,0),22),"NA")</f>
        <v>70</v>
      </c>
      <c r="J948" s="20" t="s">
        <v>25</v>
      </c>
      <c r="K948" s="20" t="str">
        <f>IFERROR(INDEX('[2]PRICELIST, 908u'!$G$7:$AX$914,MATCH($B948,'[2]PRICELIST, 908u'!$G$7:$G$914,0),30),"NA")</f>
        <v>Slant / PINK</v>
      </c>
      <c r="L948" s="20">
        <f>IFERROR(INDEX('[2]PRICELIST, 908u'!$G$7:$AX$914,MATCH($B948,'[2]PRICELIST, 908u'!$G$7:$G$914,0),40),"NA")</f>
        <v>2850000</v>
      </c>
      <c r="M948" s="20">
        <f>IFERROR(INDEX('[2]PRICELIST, 908u'!$G$7:$AX$914,MATCH($B948,'[2]PRICELIST, 908u'!$G$7:$G$914,0),41),"NA")</f>
        <v>100000</v>
      </c>
      <c r="N948" s="58">
        <f t="shared" si="40"/>
        <v>2750000</v>
      </c>
      <c r="O948" s="60"/>
      <c r="P948" s="60">
        <f t="shared" si="39"/>
        <v>2750000</v>
      </c>
    </row>
    <row r="949" spans="2:16">
      <c r="B949" s="20" t="s">
        <v>1100</v>
      </c>
      <c r="C949" s="20" t="s">
        <v>2</v>
      </c>
      <c r="D949" s="20" t="str">
        <f>IFERROR(INDEX('[2]PRICELIST, 908u'!$G$7:$AX$914,MATCH($B949,'[2]PRICELIST, 908u'!$G$7:$G$914,0),18),"NA")</f>
        <v>2024 Batch</v>
      </c>
      <c r="E949" s="20" t="str">
        <f>IFERROR(INDEX([3]AGM!$D$21:$BL$928,MATCH($B949,[3]AGM!$AD$21:$AD$928,0),1),"NA")</f>
        <v>OS</v>
      </c>
      <c r="F949" s="20" t="str">
        <f t="shared" si="38"/>
        <v>Block 06</v>
      </c>
      <c r="G949" s="20" t="str">
        <f t="shared" si="37"/>
        <v>Lot 34</v>
      </c>
      <c r="H949" s="20">
        <f>IFERROR(INDEX('[2]PRICELIST, 908u'!$G$7:$AX$914,MATCH($B949,'[2]PRICELIST, 908u'!$G$7:$G$914,0),23),"NA")</f>
        <v>50</v>
      </c>
      <c r="I949" s="20">
        <f>IFERROR(INDEX('[2]PRICELIST, 908u'!$G$7:$AX$914,MATCH($B949,'[2]PRICELIST, 908u'!$G$7:$G$914,0),22),"NA")</f>
        <v>70</v>
      </c>
      <c r="J949" s="20" t="s">
        <v>25</v>
      </c>
      <c r="K949" s="20" t="str">
        <f>IFERROR(INDEX('[2]PRICELIST, 908u'!$G$7:$AX$914,MATCH($B949,'[2]PRICELIST, 908u'!$G$7:$G$914,0),30),"NA")</f>
        <v>Slant / PURPLE</v>
      </c>
      <c r="L949" s="20">
        <f>IFERROR(INDEX('[2]PRICELIST, 908u'!$G$7:$AX$914,MATCH($B949,'[2]PRICELIST, 908u'!$G$7:$G$914,0),40),"NA")</f>
        <v>2850000</v>
      </c>
      <c r="M949" s="20">
        <f>IFERROR(INDEX('[2]PRICELIST, 908u'!$G$7:$AX$914,MATCH($B949,'[2]PRICELIST, 908u'!$G$7:$G$914,0),41),"NA")</f>
        <v>100000</v>
      </c>
      <c r="N949" s="58">
        <f t="shared" si="40"/>
        <v>2750000</v>
      </c>
      <c r="O949" s="60"/>
      <c r="P949" s="60">
        <f t="shared" si="39"/>
        <v>2750000</v>
      </c>
    </row>
    <row r="950" spans="2:16">
      <c r="B950" s="20" t="s">
        <v>1101</v>
      </c>
      <c r="C950" s="20" t="s">
        <v>2</v>
      </c>
      <c r="D950" s="20" t="str">
        <f>IFERROR(INDEX('[2]PRICELIST, 908u'!$G$7:$AX$914,MATCH($B950,'[2]PRICELIST, 908u'!$G$7:$G$914,0),18),"NA")</f>
        <v>2024 Batch</v>
      </c>
      <c r="E950" s="20" t="str">
        <f>IFERROR(INDEX([3]AGM!$D$21:$BL$928,MATCH($B950,[3]AGM!$AD$21:$AD$928,0),1),"NA")</f>
        <v>OS</v>
      </c>
      <c r="F950" s="20" t="str">
        <f t="shared" si="38"/>
        <v>Block 06</v>
      </c>
      <c r="G950" s="20" t="str">
        <f t="shared" si="37"/>
        <v>Lot 35</v>
      </c>
      <c r="H950" s="20">
        <f>IFERROR(INDEX('[2]PRICELIST, 908u'!$G$7:$AX$914,MATCH($B950,'[2]PRICELIST, 908u'!$G$7:$G$914,0),23),"NA")</f>
        <v>50</v>
      </c>
      <c r="I950" s="20">
        <f>IFERROR(INDEX('[2]PRICELIST, 908u'!$G$7:$AX$914,MATCH($B950,'[2]PRICELIST, 908u'!$G$7:$G$914,0),22),"NA")</f>
        <v>70</v>
      </c>
      <c r="J950" s="20" t="s">
        <v>207</v>
      </c>
      <c r="K950" s="20" t="str">
        <f>IFERROR(INDEX('[2]PRICELIST, 908u'!$G$7:$AX$914,MATCH($B950,'[2]PRICELIST, 908u'!$G$7:$G$914,0),30),"NA")</f>
        <v>Flat / PURPLE</v>
      </c>
      <c r="L950" s="20">
        <f>IFERROR(INDEX('[2]PRICELIST, 908u'!$G$7:$AX$914,MATCH($B950,'[2]PRICELIST, 908u'!$G$7:$G$914,0),40),"NA")</f>
        <v>2650000</v>
      </c>
      <c r="M950" s="20">
        <f>IFERROR(INDEX('[2]PRICELIST, 908u'!$G$7:$AX$914,MATCH($B950,'[2]PRICELIST, 908u'!$G$7:$G$914,0),41),"NA")</f>
        <v>100000</v>
      </c>
      <c r="N950" s="58">
        <f t="shared" si="40"/>
        <v>2550000</v>
      </c>
      <c r="O950" s="60"/>
      <c r="P950" s="60">
        <f t="shared" si="39"/>
        <v>2550000</v>
      </c>
    </row>
    <row r="951" spans="2:16">
      <c r="B951" s="20" t="s">
        <v>1102</v>
      </c>
      <c r="C951" s="20" t="s">
        <v>2</v>
      </c>
      <c r="D951" s="20" t="str">
        <f>IFERROR(INDEX('[2]PRICELIST, 908u'!$G$7:$AX$914,MATCH($B951,'[2]PRICELIST, 908u'!$G$7:$G$914,0),18),"NA")</f>
        <v>2024 Batch</v>
      </c>
      <c r="E951" s="20" t="str">
        <f>IFERROR(INDEX([3]AGM!$D$21:$BL$928,MATCH($B951,[3]AGM!$AD$21:$AD$928,0),1),"NA")</f>
        <v>OS</v>
      </c>
      <c r="F951" s="20" t="str">
        <f t="shared" si="38"/>
        <v>Block 06</v>
      </c>
      <c r="G951" s="20" t="str">
        <f t="shared" si="37"/>
        <v>Lot 36</v>
      </c>
      <c r="H951" s="20">
        <f>IFERROR(INDEX('[2]PRICELIST, 908u'!$G$7:$AX$914,MATCH($B951,'[2]PRICELIST, 908u'!$G$7:$G$914,0),23),"NA")</f>
        <v>50</v>
      </c>
      <c r="I951" s="20">
        <f>IFERROR(INDEX('[2]PRICELIST, 908u'!$G$7:$AX$914,MATCH($B951,'[2]PRICELIST, 908u'!$G$7:$G$914,0),22),"NA")</f>
        <v>70</v>
      </c>
      <c r="J951" s="20" t="s">
        <v>207</v>
      </c>
      <c r="K951" s="20" t="str">
        <f>IFERROR(INDEX('[2]PRICELIST, 908u'!$G$7:$AX$914,MATCH($B951,'[2]PRICELIST, 908u'!$G$7:$G$914,0),30),"NA")</f>
        <v>Flat / PURPLE</v>
      </c>
      <c r="L951" s="20">
        <f>IFERROR(INDEX('[2]PRICELIST, 908u'!$G$7:$AX$914,MATCH($B951,'[2]PRICELIST, 908u'!$G$7:$G$914,0),40),"NA")</f>
        <v>2650000</v>
      </c>
      <c r="M951" s="20">
        <f>IFERROR(INDEX('[2]PRICELIST, 908u'!$G$7:$AX$914,MATCH($B951,'[2]PRICELIST, 908u'!$G$7:$G$914,0),41),"NA")</f>
        <v>100000</v>
      </c>
      <c r="N951" s="58">
        <f t="shared" si="40"/>
        <v>2550000</v>
      </c>
      <c r="O951" s="60"/>
      <c r="P951" s="60">
        <f t="shared" si="39"/>
        <v>2550000</v>
      </c>
    </row>
    <row r="952" spans="2:16">
      <c r="B952" s="20" t="s">
        <v>1103</v>
      </c>
      <c r="C952" s="20" t="s">
        <v>2</v>
      </c>
      <c r="D952" s="20" t="str">
        <f>IFERROR(INDEX('[2]PRICELIST, 908u'!$G$7:$AX$914,MATCH($B952,'[2]PRICELIST, 908u'!$G$7:$G$914,0),18),"NA")</f>
        <v>2024 Batch</v>
      </c>
      <c r="E952" s="20" t="str">
        <f>IFERROR(INDEX([3]AGM!$D$21:$BL$928,MATCH($B952,[3]AGM!$AD$21:$AD$928,0),1),"NA")</f>
        <v>OS</v>
      </c>
      <c r="F952" s="20" t="str">
        <f t="shared" si="38"/>
        <v>Block 06</v>
      </c>
      <c r="G952" s="20" t="str">
        <f t="shared" si="37"/>
        <v>Lot 37</v>
      </c>
      <c r="H952" s="20">
        <f>IFERROR(INDEX('[2]PRICELIST, 908u'!$G$7:$AX$914,MATCH($B952,'[2]PRICELIST, 908u'!$G$7:$G$914,0),23),"NA")</f>
        <v>50</v>
      </c>
      <c r="I952" s="20">
        <f>IFERROR(INDEX('[2]PRICELIST, 908u'!$G$7:$AX$914,MATCH($B952,'[2]PRICELIST, 908u'!$G$7:$G$914,0),22),"NA")</f>
        <v>70</v>
      </c>
      <c r="J952" s="20" t="s">
        <v>25</v>
      </c>
      <c r="K952" s="20" t="str">
        <f>IFERROR(INDEX('[2]PRICELIST, 908u'!$G$7:$AX$914,MATCH($B952,'[2]PRICELIST, 908u'!$G$7:$G$914,0),30),"NA")</f>
        <v>Slant / PURPLE</v>
      </c>
      <c r="L952" s="20">
        <f>IFERROR(INDEX('[2]PRICELIST, 908u'!$G$7:$AX$914,MATCH($B952,'[2]PRICELIST, 908u'!$G$7:$G$914,0),40),"NA")</f>
        <v>2850000</v>
      </c>
      <c r="M952" s="20">
        <f>IFERROR(INDEX('[2]PRICELIST, 908u'!$G$7:$AX$914,MATCH($B952,'[2]PRICELIST, 908u'!$G$7:$G$914,0),41),"NA")</f>
        <v>100000</v>
      </c>
      <c r="N952" s="58">
        <f t="shared" si="40"/>
        <v>2750000</v>
      </c>
      <c r="O952" s="60"/>
      <c r="P952" s="60">
        <f t="shared" si="39"/>
        <v>2750000</v>
      </c>
    </row>
    <row r="953" spans="2:16">
      <c r="B953" s="20" t="s">
        <v>1104</v>
      </c>
      <c r="C953" s="20" t="s">
        <v>2</v>
      </c>
      <c r="D953" s="20" t="str">
        <f>IFERROR(INDEX('[2]PRICELIST, 908u'!$G$7:$AX$914,MATCH($B953,'[2]PRICELIST, 908u'!$G$7:$G$914,0),18),"NA")</f>
        <v>2024 Batch</v>
      </c>
      <c r="E953" s="20" t="str">
        <f>IFERROR(INDEX([3]AGM!$D$21:$BL$928,MATCH($B953,[3]AGM!$AD$21:$AD$928,0),1),"NA")</f>
        <v>OS</v>
      </c>
      <c r="F953" s="20" t="str">
        <f t="shared" si="38"/>
        <v>Block 06</v>
      </c>
      <c r="G953" s="20" t="str">
        <f t="shared" si="37"/>
        <v>Lot 38</v>
      </c>
      <c r="H953" s="20">
        <f>IFERROR(INDEX('[2]PRICELIST, 908u'!$G$7:$AX$914,MATCH($B953,'[2]PRICELIST, 908u'!$G$7:$G$914,0),23),"NA")</f>
        <v>50</v>
      </c>
      <c r="I953" s="20">
        <f>IFERROR(INDEX('[2]PRICELIST, 908u'!$G$7:$AX$914,MATCH($B953,'[2]PRICELIST, 908u'!$G$7:$G$914,0),22),"NA")</f>
        <v>70</v>
      </c>
      <c r="J953" s="20" t="s">
        <v>207</v>
      </c>
      <c r="K953" s="20" t="str">
        <f>IFERROR(INDEX('[2]PRICELIST, 908u'!$G$7:$AX$914,MATCH($B953,'[2]PRICELIST, 908u'!$G$7:$G$914,0),30),"NA")</f>
        <v>Slant / GREEN</v>
      </c>
      <c r="L953" s="20">
        <f>IFERROR(INDEX('[2]PRICELIST, 908u'!$G$7:$AX$914,MATCH($B953,'[2]PRICELIST, 908u'!$G$7:$G$914,0),40),"NA")</f>
        <v>2650000</v>
      </c>
      <c r="M953" s="20">
        <f>IFERROR(INDEX('[2]PRICELIST, 908u'!$G$7:$AX$914,MATCH($B953,'[2]PRICELIST, 908u'!$G$7:$G$914,0),41),"NA")</f>
        <v>100000</v>
      </c>
      <c r="N953" s="58">
        <f t="shared" si="40"/>
        <v>2550000</v>
      </c>
      <c r="O953" s="60"/>
      <c r="P953" s="60">
        <f t="shared" si="39"/>
        <v>2550000</v>
      </c>
    </row>
    <row r="954" spans="2:16">
      <c r="B954" s="20" t="s">
        <v>1105</v>
      </c>
      <c r="C954" s="20" t="s">
        <v>2</v>
      </c>
      <c r="D954" s="20" t="str">
        <f>IFERROR(INDEX('[2]PRICELIST, 908u'!$G$7:$AX$914,MATCH($B954,'[2]PRICELIST, 908u'!$G$7:$G$914,0),18),"NA")</f>
        <v>2024 Batch</v>
      </c>
      <c r="E954" s="20" t="str">
        <f>IFERROR(INDEX([3]AGM!$D$21:$BL$928,MATCH($B954,[3]AGM!$AD$21:$AD$928,0),1),"NA")</f>
        <v>OS</v>
      </c>
      <c r="F954" s="20" t="str">
        <f t="shared" si="38"/>
        <v>Block 06</v>
      </c>
      <c r="G954" s="20" t="str">
        <f t="shared" si="37"/>
        <v>Lot 39</v>
      </c>
      <c r="H954" s="20">
        <f>IFERROR(INDEX('[2]PRICELIST, 908u'!$G$7:$AX$914,MATCH($B954,'[2]PRICELIST, 908u'!$G$7:$G$914,0),23),"NA")</f>
        <v>50</v>
      </c>
      <c r="I954" s="20">
        <f>IFERROR(INDEX('[2]PRICELIST, 908u'!$G$7:$AX$914,MATCH($B954,'[2]PRICELIST, 908u'!$G$7:$G$914,0),22),"NA")</f>
        <v>70</v>
      </c>
      <c r="J954" s="20" t="s">
        <v>25</v>
      </c>
      <c r="K954" s="20" t="str">
        <f>IFERROR(INDEX('[2]PRICELIST, 908u'!$G$7:$AX$914,MATCH($B954,'[2]PRICELIST, 908u'!$G$7:$G$914,0),30),"NA")</f>
        <v>Flat / GREEN</v>
      </c>
      <c r="L954" s="20">
        <f>IFERROR(INDEX('[2]PRICELIST, 908u'!$G$7:$AX$914,MATCH($B954,'[2]PRICELIST, 908u'!$G$7:$G$914,0),40),"NA")</f>
        <v>2850000</v>
      </c>
      <c r="M954" s="20">
        <f>IFERROR(INDEX('[2]PRICELIST, 908u'!$G$7:$AX$914,MATCH($B954,'[2]PRICELIST, 908u'!$G$7:$G$914,0),41),"NA")</f>
        <v>100000</v>
      </c>
      <c r="N954" s="58">
        <f t="shared" si="40"/>
        <v>2750000</v>
      </c>
      <c r="O954" s="60"/>
      <c r="P954" s="60">
        <f t="shared" si="39"/>
        <v>2750000</v>
      </c>
    </row>
    <row r="955" spans="2:16">
      <c r="B955" s="20" t="s">
        <v>1106</v>
      </c>
      <c r="C955" s="20" t="s">
        <v>2</v>
      </c>
      <c r="D955" s="20" t="str">
        <f>IFERROR(INDEX('[2]PRICELIST, 908u'!$G$7:$AX$914,MATCH($B955,'[2]PRICELIST, 908u'!$G$7:$G$914,0),18),"NA")</f>
        <v>2024 Batch</v>
      </c>
      <c r="E955" s="20" t="str">
        <f>IFERROR(INDEX([3]AGM!$D$21:$BL$928,MATCH($B955,[3]AGM!$AD$21:$AD$928,0),1),"NA")</f>
        <v>OS</v>
      </c>
      <c r="F955" s="20" t="str">
        <f t="shared" si="38"/>
        <v>Block 06</v>
      </c>
      <c r="G955" s="20" t="str">
        <f t="shared" si="37"/>
        <v>Lot 40</v>
      </c>
      <c r="H955" s="20">
        <f>IFERROR(INDEX('[2]PRICELIST, 908u'!$G$7:$AX$914,MATCH($B955,'[2]PRICELIST, 908u'!$G$7:$G$914,0),23),"NA")</f>
        <v>50</v>
      </c>
      <c r="I955" s="20">
        <f>IFERROR(INDEX('[2]PRICELIST, 908u'!$G$7:$AX$914,MATCH($B955,'[2]PRICELIST, 908u'!$G$7:$G$914,0),22),"NA")</f>
        <v>70</v>
      </c>
      <c r="J955" s="20" t="s">
        <v>25</v>
      </c>
      <c r="K955" s="20" t="str">
        <f>IFERROR(INDEX('[2]PRICELIST, 908u'!$G$7:$AX$914,MATCH($B955,'[2]PRICELIST, 908u'!$G$7:$G$914,0),30),"NA")</f>
        <v>Flat / GREEN</v>
      </c>
      <c r="L955" s="20">
        <f>IFERROR(INDEX('[2]PRICELIST, 908u'!$G$7:$AX$914,MATCH($B955,'[2]PRICELIST, 908u'!$G$7:$G$914,0),40),"NA")</f>
        <v>2850000</v>
      </c>
      <c r="M955" s="20">
        <f>IFERROR(INDEX('[2]PRICELIST, 908u'!$G$7:$AX$914,MATCH($B955,'[2]PRICELIST, 908u'!$G$7:$G$914,0),41),"NA")</f>
        <v>100000</v>
      </c>
      <c r="N955" s="58">
        <f t="shared" si="40"/>
        <v>2750000</v>
      </c>
      <c r="O955" s="60"/>
      <c r="P955" s="60">
        <f t="shared" si="39"/>
        <v>2750000</v>
      </c>
    </row>
    <row r="956" spans="2:16">
      <c r="B956" s="20" t="s">
        <v>1107</v>
      </c>
      <c r="C956" s="20" t="s">
        <v>2</v>
      </c>
      <c r="D956" s="20" t="str">
        <f>IFERROR(INDEX('[2]PRICELIST, 908u'!$G$7:$AX$914,MATCH($B956,'[2]PRICELIST, 908u'!$G$7:$G$914,0),18),"NA")</f>
        <v>2024 Batch</v>
      </c>
      <c r="E956" s="20" t="str">
        <f>IFERROR(INDEX([3]AGM!$D$21:$BL$928,MATCH($B956,[3]AGM!$AD$21:$AD$928,0),1),"NA")</f>
        <v>OS</v>
      </c>
      <c r="F956" s="20" t="str">
        <f t="shared" si="38"/>
        <v>Block 06</v>
      </c>
      <c r="G956" s="20" t="str">
        <f t="shared" si="37"/>
        <v>Lot 41</v>
      </c>
      <c r="H956" s="20">
        <f>IFERROR(INDEX('[2]PRICELIST, 908u'!$G$7:$AX$914,MATCH($B956,'[2]PRICELIST, 908u'!$G$7:$G$914,0),23),"NA")</f>
        <v>50</v>
      </c>
      <c r="I956" s="20">
        <f>IFERROR(INDEX('[2]PRICELIST, 908u'!$G$7:$AX$914,MATCH($B956,'[2]PRICELIST, 908u'!$G$7:$G$914,0),22),"NA")</f>
        <v>70</v>
      </c>
      <c r="J956" s="20" t="s">
        <v>25</v>
      </c>
      <c r="K956" s="20" t="str">
        <f>IFERROR(INDEX('[2]PRICELIST, 908u'!$G$7:$AX$914,MATCH($B956,'[2]PRICELIST, 908u'!$G$7:$G$914,0),30),"NA")</f>
        <v>Slant / GREEN</v>
      </c>
      <c r="L956" s="20">
        <f>IFERROR(INDEX('[2]PRICELIST, 908u'!$G$7:$AX$914,MATCH($B956,'[2]PRICELIST, 908u'!$G$7:$G$914,0),40),"NA")</f>
        <v>2850000</v>
      </c>
      <c r="M956" s="20">
        <f>IFERROR(INDEX('[2]PRICELIST, 908u'!$G$7:$AX$914,MATCH($B956,'[2]PRICELIST, 908u'!$G$7:$G$914,0),41),"NA")</f>
        <v>100000</v>
      </c>
      <c r="N956" s="58">
        <f t="shared" si="40"/>
        <v>2750000</v>
      </c>
      <c r="O956" s="60"/>
      <c r="P956" s="60">
        <f t="shared" si="39"/>
        <v>2750000</v>
      </c>
    </row>
    <row r="957" spans="2:16">
      <c r="B957" s="20" t="s">
        <v>1108</v>
      </c>
      <c r="C957" s="20" t="s">
        <v>2</v>
      </c>
      <c r="D957" s="20" t="str">
        <f>IFERROR(INDEX('[2]PRICELIST, 908u'!$G$7:$AX$914,MATCH($B957,'[2]PRICELIST, 908u'!$G$7:$G$914,0),18),"NA")</f>
        <v>2024 Batch</v>
      </c>
      <c r="E957" s="20" t="str">
        <f>IFERROR(INDEX([3]AGM!$D$21:$BL$928,MATCH($B957,[3]AGM!$AD$21:$AD$928,0),1),"NA")</f>
        <v>OS</v>
      </c>
      <c r="F957" s="20" t="str">
        <f t="shared" si="38"/>
        <v>Block 06</v>
      </c>
      <c r="G957" s="20" t="str">
        <f t="shared" si="37"/>
        <v>Lot 42</v>
      </c>
      <c r="H957" s="20">
        <f>IFERROR(INDEX('[2]PRICELIST, 908u'!$G$7:$AX$914,MATCH($B957,'[2]PRICELIST, 908u'!$G$7:$G$914,0),23),"NA")</f>
        <v>50</v>
      </c>
      <c r="I957" s="20">
        <f>IFERROR(INDEX('[2]PRICELIST, 908u'!$G$7:$AX$914,MATCH($B957,'[2]PRICELIST, 908u'!$G$7:$G$914,0),22),"NA")</f>
        <v>100</v>
      </c>
      <c r="J957" s="20" t="s">
        <v>25</v>
      </c>
      <c r="K957" s="20" t="str">
        <f>IFERROR(INDEX('[2]PRICELIST, 908u'!$G$7:$AX$914,MATCH($B957,'[2]PRICELIST, 908u'!$G$7:$G$914,0),30),"NA")</f>
        <v>Flat / PINK</v>
      </c>
      <c r="L957" s="20">
        <f>IFERROR(INDEX('[2]PRICELIST, 908u'!$G$7:$AX$914,MATCH($B957,'[2]PRICELIST, 908u'!$G$7:$G$914,0),40),"NA")</f>
        <v>3300000</v>
      </c>
      <c r="M957" s="20">
        <f>IFERROR(INDEX('[2]PRICELIST, 908u'!$G$7:$AX$914,MATCH($B957,'[2]PRICELIST, 908u'!$G$7:$G$914,0),41),"NA")</f>
        <v>100000</v>
      </c>
      <c r="N957" s="58">
        <f t="shared" si="40"/>
        <v>3200000</v>
      </c>
      <c r="O957" s="60"/>
      <c r="P957" s="60">
        <f t="shared" si="39"/>
        <v>3200000</v>
      </c>
    </row>
    <row r="958" spans="2:16">
      <c r="B958" s="20" t="s">
        <v>1109</v>
      </c>
      <c r="C958" s="20" t="s">
        <v>2</v>
      </c>
      <c r="D958" s="20" t="str">
        <f>IFERROR(INDEX('[2]PRICELIST, 908u'!$G$7:$AX$914,MATCH($B958,'[2]PRICELIST, 908u'!$G$7:$G$914,0),18),"NA")</f>
        <v>2024 Batch</v>
      </c>
      <c r="E958" s="20" t="str">
        <f>IFERROR(INDEX([3]AGM!$D$21:$BL$928,MATCH($B958,[3]AGM!$AD$21:$AD$928,0),1),"NA")</f>
        <v>OS</v>
      </c>
      <c r="F958" s="20" t="str">
        <f t="shared" si="38"/>
        <v>Block 07</v>
      </c>
      <c r="G958" s="20" t="str">
        <f t="shared" si="37"/>
        <v>Lot 01</v>
      </c>
      <c r="H958" s="20">
        <f>IFERROR(INDEX('[2]PRICELIST, 908u'!$G$7:$AX$914,MATCH($B958,'[2]PRICELIST, 908u'!$G$7:$G$914,0),23),"NA")</f>
        <v>50</v>
      </c>
      <c r="I958" s="20">
        <f>IFERROR(INDEX('[2]PRICELIST, 908u'!$G$7:$AX$914,MATCH($B958,'[2]PRICELIST, 908u'!$G$7:$G$914,0),22),"NA")</f>
        <v>100</v>
      </c>
      <c r="J958" s="20" t="s">
        <v>25</v>
      </c>
      <c r="K958" s="20" t="str">
        <f>IFERROR(INDEX('[2]PRICELIST, 908u'!$G$7:$AX$914,MATCH($B958,'[2]PRICELIST, 908u'!$G$7:$G$914,0),30),"NA")</f>
        <v>Flat / PINK</v>
      </c>
      <c r="L958" s="20">
        <f>IFERROR(INDEX('[2]PRICELIST, 908u'!$G$7:$AX$914,MATCH($B958,'[2]PRICELIST, 908u'!$G$7:$G$914,0),40),"NA")</f>
        <v>3300000</v>
      </c>
      <c r="M958" s="20">
        <f>IFERROR(INDEX('[2]PRICELIST, 908u'!$G$7:$AX$914,MATCH($B958,'[2]PRICELIST, 908u'!$G$7:$G$914,0),41),"NA")</f>
        <v>100000</v>
      </c>
      <c r="N958" s="58">
        <f t="shared" si="40"/>
        <v>3200000</v>
      </c>
      <c r="O958" s="60"/>
      <c r="P958" s="60">
        <f t="shared" si="39"/>
        <v>3200000</v>
      </c>
    </row>
    <row r="959" spans="2:16">
      <c r="B959" s="20" t="s">
        <v>1110</v>
      </c>
      <c r="C959" s="20" t="s">
        <v>2</v>
      </c>
      <c r="D959" s="20" t="str">
        <f>IFERROR(INDEX('[2]PRICELIST, 908u'!$G$7:$AX$914,MATCH($B959,'[2]PRICELIST, 908u'!$G$7:$G$914,0),18),"NA")</f>
        <v>2024 Batch</v>
      </c>
      <c r="E959" s="20" t="str">
        <f>IFERROR(INDEX([3]AGM!$D$21:$BL$928,MATCH($B959,[3]AGM!$AD$21:$AD$928,0),1),"NA")</f>
        <v>OS</v>
      </c>
      <c r="F959" s="20" t="str">
        <f t="shared" si="38"/>
        <v>Block 07</v>
      </c>
      <c r="G959" s="20" t="str">
        <f t="shared" si="37"/>
        <v>Lot 02</v>
      </c>
      <c r="H959" s="20">
        <f>IFERROR(INDEX('[2]PRICELIST, 908u'!$G$7:$AX$914,MATCH($B959,'[2]PRICELIST, 908u'!$G$7:$G$914,0),23),"NA")</f>
        <v>50</v>
      </c>
      <c r="I959" s="20">
        <f>IFERROR(INDEX('[2]PRICELIST, 908u'!$G$7:$AX$914,MATCH($B959,'[2]PRICELIST, 908u'!$G$7:$G$914,0),22),"NA")</f>
        <v>70</v>
      </c>
      <c r="J959" s="20" t="s">
        <v>207</v>
      </c>
      <c r="K959" s="20" t="str">
        <f>IFERROR(INDEX('[2]PRICELIST, 908u'!$G$7:$AX$914,MATCH($B959,'[2]PRICELIST, 908u'!$G$7:$G$914,0),30),"NA")</f>
        <v>Flat / YELLOW</v>
      </c>
      <c r="L959" s="20">
        <f>IFERROR(INDEX('[2]PRICELIST, 908u'!$G$7:$AX$914,MATCH($B959,'[2]PRICELIST, 908u'!$G$7:$G$914,0),40),"NA")</f>
        <v>2650000</v>
      </c>
      <c r="M959" s="20">
        <f>IFERROR(INDEX('[2]PRICELIST, 908u'!$G$7:$AX$914,MATCH($B959,'[2]PRICELIST, 908u'!$G$7:$G$914,0),41),"NA")</f>
        <v>100000</v>
      </c>
      <c r="N959" s="58">
        <f t="shared" si="40"/>
        <v>2550000</v>
      </c>
      <c r="O959" s="60"/>
      <c r="P959" s="60">
        <f t="shared" si="39"/>
        <v>2550000</v>
      </c>
    </row>
    <row r="960" spans="2:16">
      <c r="B960" s="20" t="s">
        <v>1111</v>
      </c>
      <c r="C960" s="20" t="s">
        <v>2</v>
      </c>
      <c r="D960" s="20" t="str">
        <f>IFERROR(INDEX('[2]PRICELIST, 908u'!$G$7:$AX$914,MATCH($B960,'[2]PRICELIST, 908u'!$G$7:$G$914,0),18),"NA")</f>
        <v>2024 Batch</v>
      </c>
      <c r="E960" s="20" t="str">
        <f>IFERROR(INDEX([3]AGM!$D$21:$BL$928,MATCH($B960,[3]AGM!$AD$21:$AD$928,0),1),"NA")</f>
        <v>OS</v>
      </c>
      <c r="F960" s="20" t="str">
        <f t="shared" si="38"/>
        <v>Block 07</v>
      </c>
      <c r="G960" s="20" t="str">
        <f t="shared" si="37"/>
        <v>Lot 03</v>
      </c>
      <c r="H960" s="20">
        <f>IFERROR(INDEX('[2]PRICELIST, 908u'!$G$7:$AX$914,MATCH($B960,'[2]PRICELIST, 908u'!$G$7:$G$914,0),23),"NA")</f>
        <v>50</v>
      </c>
      <c r="I960" s="20">
        <f>IFERROR(INDEX('[2]PRICELIST, 908u'!$G$7:$AX$914,MATCH($B960,'[2]PRICELIST, 908u'!$G$7:$G$914,0),22),"NA")</f>
        <v>70</v>
      </c>
      <c r="J960" s="20" t="s">
        <v>25</v>
      </c>
      <c r="K960" s="20" t="str">
        <f>IFERROR(INDEX('[2]PRICELIST, 908u'!$G$7:$AX$914,MATCH($B960,'[2]PRICELIST, 908u'!$G$7:$G$914,0),30),"NA")</f>
        <v>Slant / YELLOW</v>
      </c>
      <c r="L960" s="20">
        <f>IFERROR(INDEX('[2]PRICELIST, 908u'!$G$7:$AX$914,MATCH($B960,'[2]PRICELIST, 908u'!$G$7:$G$914,0),40),"NA")</f>
        <v>2850000</v>
      </c>
      <c r="M960" s="20">
        <f>IFERROR(INDEX('[2]PRICELIST, 908u'!$G$7:$AX$914,MATCH($B960,'[2]PRICELIST, 908u'!$G$7:$G$914,0),41),"NA")</f>
        <v>100000</v>
      </c>
      <c r="N960" s="58">
        <f t="shared" si="40"/>
        <v>2750000</v>
      </c>
      <c r="O960" s="60"/>
      <c r="P960" s="60">
        <f t="shared" si="39"/>
        <v>2750000</v>
      </c>
    </row>
    <row r="961" spans="2:16">
      <c r="B961" s="20" t="s">
        <v>1112</v>
      </c>
      <c r="C961" s="20" t="s">
        <v>2</v>
      </c>
      <c r="D961" s="20" t="str">
        <f>IFERROR(INDEX('[2]PRICELIST, 908u'!$G$7:$AX$914,MATCH($B961,'[2]PRICELIST, 908u'!$G$7:$G$914,0),18),"NA")</f>
        <v>2024 Batch</v>
      </c>
      <c r="E961" s="20" t="str">
        <f>IFERROR(INDEX([3]AGM!$D$21:$BL$928,MATCH($B961,[3]AGM!$AD$21:$AD$928,0),1),"NA")</f>
        <v>OS</v>
      </c>
      <c r="F961" s="20" t="str">
        <f t="shared" si="38"/>
        <v>Block 07</v>
      </c>
      <c r="G961" s="20" t="str">
        <f t="shared" si="37"/>
        <v>Lot 04</v>
      </c>
      <c r="H961" s="20">
        <f>IFERROR(INDEX('[2]PRICELIST, 908u'!$G$7:$AX$914,MATCH($B961,'[2]PRICELIST, 908u'!$G$7:$G$914,0),23),"NA")</f>
        <v>50</v>
      </c>
      <c r="I961" s="20">
        <f>IFERROR(INDEX('[2]PRICELIST, 908u'!$G$7:$AX$914,MATCH($B961,'[2]PRICELIST, 908u'!$G$7:$G$914,0),22),"NA")</f>
        <v>70</v>
      </c>
      <c r="J961" s="20" t="s">
        <v>207</v>
      </c>
      <c r="K961" s="20" t="str">
        <f>IFERROR(INDEX('[2]PRICELIST, 908u'!$G$7:$AX$914,MATCH($B961,'[2]PRICELIST, 908u'!$G$7:$G$914,0),30),"NA")</f>
        <v>Slant / YELLOW</v>
      </c>
      <c r="L961" s="20">
        <f>IFERROR(INDEX('[2]PRICELIST, 908u'!$G$7:$AX$914,MATCH($B961,'[2]PRICELIST, 908u'!$G$7:$G$914,0),40),"NA")</f>
        <v>2650000</v>
      </c>
      <c r="M961" s="20">
        <f>IFERROR(INDEX('[2]PRICELIST, 908u'!$G$7:$AX$914,MATCH($B961,'[2]PRICELIST, 908u'!$G$7:$G$914,0),41),"NA")</f>
        <v>100000</v>
      </c>
      <c r="N961" s="58">
        <f t="shared" si="40"/>
        <v>2550000</v>
      </c>
      <c r="O961" s="60"/>
      <c r="P961" s="60">
        <f t="shared" si="39"/>
        <v>2550000</v>
      </c>
    </row>
    <row r="962" spans="2:16">
      <c r="B962" s="20" t="s">
        <v>1113</v>
      </c>
      <c r="C962" s="20" t="s">
        <v>2</v>
      </c>
      <c r="D962" s="20" t="str">
        <f>IFERROR(INDEX('[2]PRICELIST, 908u'!$G$7:$AX$914,MATCH($B962,'[2]PRICELIST, 908u'!$G$7:$G$914,0),18),"NA")</f>
        <v>2024 Batch</v>
      </c>
      <c r="E962" s="20" t="str">
        <f>IFERROR(INDEX([3]AGM!$D$21:$BL$928,MATCH($B962,[3]AGM!$AD$21:$AD$928,0),1),"NA")</f>
        <v>OS</v>
      </c>
      <c r="F962" s="20" t="str">
        <f t="shared" si="38"/>
        <v>Block 07</v>
      </c>
      <c r="G962" s="20" t="str">
        <f t="shared" si="37"/>
        <v>Lot 05</v>
      </c>
      <c r="H962" s="20">
        <f>IFERROR(INDEX('[2]PRICELIST, 908u'!$G$7:$AX$914,MATCH($B962,'[2]PRICELIST, 908u'!$G$7:$G$914,0),23),"NA")</f>
        <v>50</v>
      </c>
      <c r="I962" s="20">
        <f>IFERROR(INDEX('[2]PRICELIST, 908u'!$G$7:$AX$914,MATCH($B962,'[2]PRICELIST, 908u'!$G$7:$G$914,0),22),"NA")</f>
        <v>70</v>
      </c>
      <c r="J962" s="20" t="s">
        <v>207</v>
      </c>
      <c r="K962" s="20" t="str">
        <f>IFERROR(INDEX('[2]PRICELIST, 908u'!$G$7:$AX$914,MATCH($B962,'[2]PRICELIST, 908u'!$G$7:$G$914,0),30),"NA")</f>
        <v>Flat / YELLOW</v>
      </c>
      <c r="L962" s="20">
        <f>IFERROR(INDEX('[2]PRICELIST, 908u'!$G$7:$AX$914,MATCH($B962,'[2]PRICELIST, 908u'!$G$7:$G$914,0),40),"NA")</f>
        <v>2650000</v>
      </c>
      <c r="M962" s="20">
        <f>IFERROR(INDEX('[2]PRICELIST, 908u'!$G$7:$AX$914,MATCH($B962,'[2]PRICELIST, 908u'!$G$7:$G$914,0),41),"NA")</f>
        <v>100000</v>
      </c>
      <c r="N962" s="58">
        <f t="shared" si="40"/>
        <v>2550000</v>
      </c>
      <c r="O962" s="60"/>
      <c r="P962" s="60">
        <f t="shared" si="39"/>
        <v>2550000</v>
      </c>
    </row>
    <row r="963" spans="2:16">
      <c r="B963" s="20" t="s">
        <v>1114</v>
      </c>
      <c r="C963" s="20" t="s">
        <v>2</v>
      </c>
      <c r="D963" s="20" t="str">
        <f>IFERROR(INDEX('[2]PRICELIST, 908u'!$G$7:$AX$914,MATCH($B963,'[2]PRICELIST, 908u'!$G$7:$G$914,0),18),"NA")</f>
        <v>2024 Batch</v>
      </c>
      <c r="E963" s="20" t="str">
        <f>IFERROR(INDEX([3]AGM!$D$21:$BL$928,MATCH($B963,[3]AGM!$AD$21:$AD$928,0),1),"NA")</f>
        <v>OS</v>
      </c>
      <c r="F963" s="20" t="str">
        <f t="shared" si="38"/>
        <v>Block 07</v>
      </c>
      <c r="G963" s="20" t="str">
        <f t="shared" si="37"/>
        <v>Lot 06</v>
      </c>
      <c r="H963" s="20">
        <f>IFERROR(INDEX('[2]PRICELIST, 908u'!$G$7:$AX$914,MATCH($B963,'[2]PRICELIST, 908u'!$G$7:$G$914,0),23),"NA")</f>
        <v>50</v>
      </c>
      <c r="I963" s="20">
        <f>IFERROR(INDEX('[2]PRICELIST, 908u'!$G$7:$AX$914,MATCH($B963,'[2]PRICELIST, 908u'!$G$7:$G$914,0),22),"NA")</f>
        <v>70</v>
      </c>
      <c r="J963" s="20" t="s">
        <v>25</v>
      </c>
      <c r="K963" s="20" t="str">
        <f>IFERROR(INDEX('[2]PRICELIST, 908u'!$G$7:$AX$914,MATCH($B963,'[2]PRICELIST, 908u'!$G$7:$G$914,0),30),"NA")</f>
        <v>Flat / GREEN</v>
      </c>
      <c r="L963" s="20">
        <f>IFERROR(INDEX('[2]PRICELIST, 908u'!$G$7:$AX$914,MATCH($B963,'[2]PRICELIST, 908u'!$G$7:$G$914,0),40),"NA")</f>
        <v>2850000</v>
      </c>
      <c r="M963" s="20">
        <f>IFERROR(INDEX('[2]PRICELIST, 908u'!$G$7:$AX$914,MATCH($B963,'[2]PRICELIST, 908u'!$G$7:$G$914,0),41),"NA")</f>
        <v>100000</v>
      </c>
      <c r="N963" s="58">
        <f t="shared" si="40"/>
        <v>2750000</v>
      </c>
      <c r="O963" s="60"/>
      <c r="P963" s="60">
        <f t="shared" si="39"/>
        <v>2750000</v>
      </c>
    </row>
    <row r="964" spans="2:16">
      <c r="B964" s="20" t="s">
        <v>1115</v>
      </c>
      <c r="C964" s="20" t="s">
        <v>2</v>
      </c>
      <c r="D964" s="20" t="str">
        <f>IFERROR(INDEX('[2]PRICELIST, 908u'!$G$7:$AX$914,MATCH($B964,'[2]PRICELIST, 908u'!$G$7:$G$914,0),18),"NA")</f>
        <v>2024 Batch</v>
      </c>
      <c r="E964" s="20" t="str">
        <f>IFERROR(INDEX([3]AGM!$D$21:$BL$928,MATCH($B964,[3]AGM!$AD$21:$AD$928,0),1),"NA")</f>
        <v>OS</v>
      </c>
      <c r="F964" s="20" t="str">
        <f t="shared" si="38"/>
        <v>Block 07</v>
      </c>
      <c r="G964" s="20" t="str">
        <f t="shared" si="37"/>
        <v>Lot 07</v>
      </c>
      <c r="H964" s="20">
        <f>IFERROR(INDEX('[2]PRICELIST, 908u'!$G$7:$AX$914,MATCH($B964,'[2]PRICELIST, 908u'!$G$7:$G$914,0),23),"NA")</f>
        <v>50</v>
      </c>
      <c r="I964" s="20">
        <f>IFERROR(INDEX('[2]PRICELIST, 908u'!$G$7:$AX$914,MATCH($B964,'[2]PRICELIST, 908u'!$G$7:$G$914,0),22),"NA")</f>
        <v>70</v>
      </c>
      <c r="J964" s="20" t="s">
        <v>25</v>
      </c>
      <c r="K964" s="20" t="str">
        <f>IFERROR(INDEX('[2]PRICELIST, 908u'!$G$7:$AX$914,MATCH($B964,'[2]PRICELIST, 908u'!$G$7:$G$914,0),30),"NA")</f>
        <v>Slant / GREEN</v>
      </c>
      <c r="L964" s="20">
        <f>IFERROR(INDEX('[2]PRICELIST, 908u'!$G$7:$AX$914,MATCH($B964,'[2]PRICELIST, 908u'!$G$7:$G$914,0),40),"NA")</f>
        <v>2850000</v>
      </c>
      <c r="M964" s="20">
        <f>IFERROR(INDEX('[2]PRICELIST, 908u'!$G$7:$AX$914,MATCH($B964,'[2]PRICELIST, 908u'!$G$7:$G$914,0),41),"NA")</f>
        <v>100000</v>
      </c>
      <c r="N964" s="58">
        <f t="shared" si="40"/>
        <v>2750000</v>
      </c>
      <c r="O964" s="60"/>
      <c r="P964" s="60">
        <f t="shared" si="39"/>
        <v>2750000</v>
      </c>
    </row>
    <row r="965" spans="2:16">
      <c r="B965" s="20" t="s">
        <v>1116</v>
      </c>
      <c r="C965" s="20" t="s">
        <v>2</v>
      </c>
      <c r="D965" s="20" t="str">
        <f>IFERROR(INDEX('[2]PRICELIST, 908u'!$G$7:$AX$914,MATCH($B965,'[2]PRICELIST, 908u'!$G$7:$G$914,0),18),"NA")</f>
        <v>2024 Batch</v>
      </c>
      <c r="E965" s="20" t="str">
        <f>IFERROR(INDEX([3]AGM!$D$21:$BL$928,MATCH($B965,[3]AGM!$AD$21:$AD$928,0),1),"NA")</f>
        <v>OS</v>
      </c>
      <c r="F965" s="20" t="str">
        <f t="shared" si="38"/>
        <v>Block 07</v>
      </c>
      <c r="G965" s="20" t="str">
        <f t="shared" si="37"/>
        <v>Lot 08</v>
      </c>
      <c r="H965" s="20">
        <f>IFERROR(INDEX('[2]PRICELIST, 908u'!$G$7:$AX$914,MATCH($B965,'[2]PRICELIST, 908u'!$G$7:$G$914,0),23),"NA")</f>
        <v>50</v>
      </c>
      <c r="I965" s="20">
        <f>IFERROR(INDEX('[2]PRICELIST, 908u'!$G$7:$AX$914,MATCH($B965,'[2]PRICELIST, 908u'!$G$7:$G$914,0),22),"NA")</f>
        <v>70</v>
      </c>
      <c r="J965" s="20" t="s">
        <v>25</v>
      </c>
      <c r="K965" s="20" t="str">
        <f>IFERROR(INDEX('[2]PRICELIST, 908u'!$G$7:$AX$914,MATCH($B965,'[2]PRICELIST, 908u'!$G$7:$G$914,0),30),"NA")</f>
        <v>Slant / GREEN</v>
      </c>
      <c r="L965" s="20">
        <f>IFERROR(INDEX('[2]PRICELIST, 908u'!$G$7:$AX$914,MATCH($B965,'[2]PRICELIST, 908u'!$G$7:$G$914,0),40),"NA")</f>
        <v>2850000</v>
      </c>
      <c r="M965" s="20">
        <f>IFERROR(INDEX('[2]PRICELIST, 908u'!$G$7:$AX$914,MATCH($B965,'[2]PRICELIST, 908u'!$G$7:$G$914,0),41),"NA")</f>
        <v>100000</v>
      </c>
      <c r="N965" s="58">
        <f t="shared" si="40"/>
        <v>2750000</v>
      </c>
      <c r="O965" s="60"/>
      <c r="P965" s="60">
        <f t="shared" si="39"/>
        <v>2750000</v>
      </c>
    </row>
    <row r="966" spans="2:16">
      <c r="B966" s="20" t="s">
        <v>1117</v>
      </c>
      <c r="C966" s="20" t="s">
        <v>2</v>
      </c>
      <c r="D966" s="20" t="str">
        <f>IFERROR(INDEX('[2]PRICELIST, 908u'!$G$7:$AX$914,MATCH($B966,'[2]PRICELIST, 908u'!$G$7:$G$914,0),18),"NA")</f>
        <v>2024 Batch</v>
      </c>
      <c r="E966" s="20" t="str">
        <f>IFERROR(INDEX([3]AGM!$D$21:$BL$928,MATCH($B966,[3]AGM!$AD$21:$AD$928,0),1),"NA")</f>
        <v>OS</v>
      </c>
      <c r="F966" s="20" t="str">
        <f t="shared" si="38"/>
        <v>Block 07</v>
      </c>
      <c r="G966" s="20" t="str">
        <f t="shared" si="37"/>
        <v>Lot 09</v>
      </c>
      <c r="H966" s="20">
        <f>IFERROR(INDEX('[2]PRICELIST, 908u'!$G$7:$AX$914,MATCH($B966,'[2]PRICELIST, 908u'!$G$7:$G$914,0),23),"NA")</f>
        <v>50</v>
      </c>
      <c r="I966" s="20">
        <f>IFERROR(INDEX('[2]PRICELIST, 908u'!$G$7:$AX$914,MATCH($B966,'[2]PRICELIST, 908u'!$G$7:$G$914,0),22),"NA")</f>
        <v>70</v>
      </c>
      <c r="J966" s="20" t="s">
        <v>25</v>
      </c>
      <c r="K966" s="20" t="str">
        <f>IFERROR(INDEX('[2]PRICELIST, 908u'!$G$7:$AX$914,MATCH($B966,'[2]PRICELIST, 908u'!$G$7:$G$914,0),30),"NA")</f>
        <v>Flat / GREEN</v>
      </c>
      <c r="L966" s="20">
        <f>IFERROR(INDEX('[2]PRICELIST, 908u'!$G$7:$AX$914,MATCH($B966,'[2]PRICELIST, 908u'!$G$7:$G$914,0),40),"NA")</f>
        <v>2850000</v>
      </c>
      <c r="M966" s="20">
        <f>IFERROR(INDEX('[2]PRICELIST, 908u'!$G$7:$AX$914,MATCH($B966,'[2]PRICELIST, 908u'!$G$7:$G$914,0),41),"NA")</f>
        <v>100000</v>
      </c>
      <c r="N966" s="58">
        <f t="shared" si="40"/>
        <v>2750000</v>
      </c>
      <c r="O966" s="60"/>
      <c r="P966" s="60">
        <f t="shared" si="39"/>
        <v>2750000</v>
      </c>
    </row>
    <row r="967" spans="2:16">
      <c r="B967" s="20" t="s">
        <v>1118</v>
      </c>
      <c r="C967" s="20" t="s">
        <v>2</v>
      </c>
      <c r="D967" s="20" t="str">
        <f>IFERROR(INDEX('[2]PRICELIST, 908u'!$G$7:$AX$914,MATCH($B967,'[2]PRICELIST, 908u'!$G$7:$G$914,0),18),"NA")</f>
        <v>2024 Batch</v>
      </c>
      <c r="E967" s="20" t="str">
        <f>IFERROR(INDEX([3]AGM!$D$21:$BL$928,MATCH($B967,[3]AGM!$AD$21:$AD$928,0),1),"NA")</f>
        <v>OS</v>
      </c>
      <c r="F967" s="20" t="str">
        <f t="shared" si="38"/>
        <v>Block 07</v>
      </c>
      <c r="G967" s="20" t="str">
        <f t="shared" si="37"/>
        <v>Lot 10</v>
      </c>
      <c r="H967" s="20">
        <f>IFERROR(INDEX('[2]PRICELIST, 908u'!$G$7:$AX$914,MATCH($B967,'[2]PRICELIST, 908u'!$G$7:$G$914,0),23),"NA")</f>
        <v>50</v>
      </c>
      <c r="I967" s="20">
        <f>IFERROR(INDEX('[2]PRICELIST, 908u'!$G$7:$AX$914,MATCH($B967,'[2]PRICELIST, 908u'!$G$7:$G$914,0),22),"NA")</f>
        <v>70</v>
      </c>
      <c r="J967" s="20" t="s">
        <v>25</v>
      </c>
      <c r="K967" s="20" t="str">
        <f>IFERROR(INDEX('[2]PRICELIST, 908u'!$G$7:$AX$914,MATCH($B967,'[2]PRICELIST, 908u'!$G$7:$G$914,0),30),"NA")</f>
        <v>Flat / PURPLE</v>
      </c>
      <c r="L967" s="20">
        <f>IFERROR(INDEX('[2]PRICELIST, 908u'!$G$7:$AX$914,MATCH($B967,'[2]PRICELIST, 908u'!$G$7:$G$914,0),40),"NA")</f>
        <v>2850000</v>
      </c>
      <c r="M967" s="20">
        <f>IFERROR(INDEX('[2]PRICELIST, 908u'!$G$7:$AX$914,MATCH($B967,'[2]PRICELIST, 908u'!$G$7:$G$914,0),41),"NA")</f>
        <v>100000</v>
      </c>
      <c r="N967" s="58">
        <f t="shared" si="40"/>
        <v>2750000</v>
      </c>
      <c r="O967" s="60"/>
      <c r="P967" s="60">
        <f t="shared" si="39"/>
        <v>2750000</v>
      </c>
    </row>
    <row r="968" spans="2:16">
      <c r="B968" s="20" t="s">
        <v>1119</v>
      </c>
      <c r="C968" s="20" t="s">
        <v>2</v>
      </c>
      <c r="D968" s="20" t="str">
        <f>IFERROR(INDEX('[2]PRICELIST, 908u'!$G$7:$AX$914,MATCH($B968,'[2]PRICELIST, 908u'!$G$7:$G$914,0),18),"NA")</f>
        <v>2024 Batch</v>
      </c>
      <c r="E968" s="20" t="str">
        <f>IFERROR(INDEX([3]AGM!$D$21:$BL$928,MATCH($B968,[3]AGM!$AD$21:$AD$928,0),1),"NA")</f>
        <v>OS</v>
      </c>
      <c r="F968" s="20" t="str">
        <f t="shared" si="38"/>
        <v>Block 07</v>
      </c>
      <c r="G968" s="20" t="str">
        <f t="shared" si="37"/>
        <v>Lot 11</v>
      </c>
      <c r="H968" s="20">
        <f>IFERROR(INDEX('[2]PRICELIST, 908u'!$G$7:$AX$914,MATCH($B968,'[2]PRICELIST, 908u'!$G$7:$G$914,0),23),"NA")</f>
        <v>50</v>
      </c>
      <c r="I968" s="20">
        <f>IFERROR(INDEX('[2]PRICELIST, 908u'!$G$7:$AX$914,MATCH($B968,'[2]PRICELIST, 908u'!$G$7:$G$914,0),22),"NA")</f>
        <v>70</v>
      </c>
      <c r="J968" s="20" t="s">
        <v>25</v>
      </c>
      <c r="K968" s="20" t="str">
        <f>IFERROR(INDEX('[2]PRICELIST, 908u'!$G$7:$AX$914,MATCH($B968,'[2]PRICELIST, 908u'!$G$7:$G$914,0),30),"NA")</f>
        <v>Slant / PURPLE</v>
      </c>
      <c r="L968" s="20">
        <f>IFERROR(INDEX('[2]PRICELIST, 908u'!$G$7:$AX$914,MATCH($B968,'[2]PRICELIST, 908u'!$G$7:$G$914,0),40),"NA")</f>
        <v>2850000</v>
      </c>
      <c r="M968" s="20">
        <f>IFERROR(INDEX('[2]PRICELIST, 908u'!$G$7:$AX$914,MATCH($B968,'[2]PRICELIST, 908u'!$G$7:$G$914,0),41),"NA")</f>
        <v>100000</v>
      </c>
      <c r="N968" s="58">
        <f t="shared" si="40"/>
        <v>2750000</v>
      </c>
      <c r="O968" s="60"/>
      <c r="P968" s="60">
        <f t="shared" si="39"/>
        <v>2750000</v>
      </c>
    </row>
    <row r="969" spans="2:16">
      <c r="B969" s="20" t="s">
        <v>1120</v>
      </c>
      <c r="C969" s="20" t="s">
        <v>2</v>
      </c>
      <c r="D969" s="20" t="str">
        <f>IFERROR(INDEX('[2]PRICELIST, 908u'!$G$7:$AX$914,MATCH($B969,'[2]PRICELIST, 908u'!$G$7:$G$914,0),18),"NA")</f>
        <v>2024 Batch</v>
      </c>
      <c r="E969" s="20" t="str">
        <f>IFERROR(INDEX([3]AGM!$D$21:$BL$928,MATCH($B969,[3]AGM!$AD$21:$AD$928,0),1),"NA")</f>
        <v>OS</v>
      </c>
      <c r="F969" s="20" t="str">
        <f t="shared" si="38"/>
        <v>Block 07</v>
      </c>
      <c r="G969" s="20" t="str">
        <f t="shared" si="37"/>
        <v>Lot 12</v>
      </c>
      <c r="H969" s="20">
        <f>IFERROR(INDEX('[2]PRICELIST, 908u'!$G$7:$AX$914,MATCH($B969,'[2]PRICELIST, 908u'!$G$7:$G$914,0),23),"NA")</f>
        <v>50</v>
      </c>
      <c r="I969" s="20">
        <f>IFERROR(INDEX('[2]PRICELIST, 908u'!$G$7:$AX$914,MATCH($B969,'[2]PRICELIST, 908u'!$G$7:$G$914,0),22),"NA")</f>
        <v>70</v>
      </c>
      <c r="J969" s="20" t="s">
        <v>25</v>
      </c>
      <c r="K969" s="20" t="str">
        <f>IFERROR(INDEX('[2]PRICELIST, 908u'!$G$7:$AX$914,MATCH($B969,'[2]PRICELIST, 908u'!$G$7:$G$914,0),30),"NA")</f>
        <v>Slant / PURPLE</v>
      </c>
      <c r="L969" s="20">
        <f>IFERROR(INDEX('[2]PRICELIST, 908u'!$G$7:$AX$914,MATCH($B969,'[2]PRICELIST, 908u'!$G$7:$G$914,0),40),"NA")</f>
        <v>2850000</v>
      </c>
      <c r="M969" s="20">
        <f>IFERROR(INDEX('[2]PRICELIST, 908u'!$G$7:$AX$914,MATCH($B969,'[2]PRICELIST, 908u'!$G$7:$G$914,0),41),"NA")</f>
        <v>100000</v>
      </c>
      <c r="N969" s="58">
        <f t="shared" si="40"/>
        <v>2750000</v>
      </c>
      <c r="O969" s="60"/>
      <c r="P969" s="60">
        <f t="shared" si="39"/>
        <v>2750000</v>
      </c>
    </row>
    <row r="970" spans="2:16">
      <c r="B970" s="20" t="s">
        <v>1121</v>
      </c>
      <c r="C970" s="20" t="s">
        <v>2</v>
      </c>
      <c r="D970" s="20" t="str">
        <f>IFERROR(INDEX('[2]PRICELIST, 908u'!$G$7:$AX$914,MATCH($B970,'[2]PRICELIST, 908u'!$G$7:$G$914,0),18),"NA")</f>
        <v>2024 Batch</v>
      </c>
      <c r="E970" s="20" t="str">
        <f>IFERROR(INDEX([3]AGM!$D$21:$BL$928,MATCH($B970,[3]AGM!$AD$21:$AD$928,0),1),"NA")</f>
        <v>OS</v>
      </c>
      <c r="F970" s="20" t="str">
        <f t="shared" si="38"/>
        <v>Block 07</v>
      </c>
      <c r="G970" s="20" t="str">
        <f t="shared" si="37"/>
        <v>Lot 13</v>
      </c>
      <c r="H970" s="20">
        <f>IFERROR(INDEX('[2]PRICELIST, 908u'!$G$7:$AX$914,MATCH($B970,'[2]PRICELIST, 908u'!$G$7:$G$914,0),23),"NA")</f>
        <v>50</v>
      </c>
      <c r="I970" s="20">
        <f>IFERROR(INDEX('[2]PRICELIST, 908u'!$G$7:$AX$914,MATCH($B970,'[2]PRICELIST, 908u'!$G$7:$G$914,0),22),"NA")</f>
        <v>70</v>
      </c>
      <c r="J970" s="20" t="s">
        <v>25</v>
      </c>
      <c r="K970" s="20" t="str">
        <f>IFERROR(INDEX('[2]PRICELIST, 908u'!$G$7:$AX$914,MATCH($B970,'[2]PRICELIST, 908u'!$G$7:$G$914,0),30),"NA")</f>
        <v>Flat / PURPLE</v>
      </c>
      <c r="L970" s="20">
        <f>IFERROR(INDEX('[2]PRICELIST, 908u'!$G$7:$AX$914,MATCH($B970,'[2]PRICELIST, 908u'!$G$7:$G$914,0),40),"NA")</f>
        <v>2850000</v>
      </c>
      <c r="M970" s="20">
        <f>IFERROR(INDEX('[2]PRICELIST, 908u'!$G$7:$AX$914,MATCH($B970,'[2]PRICELIST, 908u'!$G$7:$G$914,0),41),"NA")</f>
        <v>100000</v>
      </c>
      <c r="N970" s="58">
        <f t="shared" si="40"/>
        <v>2750000</v>
      </c>
      <c r="O970" s="60"/>
      <c r="P970" s="60">
        <f t="shared" si="39"/>
        <v>2750000</v>
      </c>
    </row>
    <row r="971" spans="2:16">
      <c r="B971" s="20" t="s">
        <v>1122</v>
      </c>
      <c r="C971" s="20" t="s">
        <v>2</v>
      </c>
      <c r="D971" s="20" t="str">
        <f>IFERROR(INDEX('[2]PRICELIST, 908u'!$G$7:$AX$914,MATCH($B971,'[2]PRICELIST, 908u'!$G$7:$G$914,0),18),"NA")</f>
        <v>2024 Batch</v>
      </c>
      <c r="E971" s="20" t="str">
        <f>IFERROR(INDEX([3]AGM!$D$21:$BL$928,MATCH($B971,[3]AGM!$AD$21:$AD$928,0),1),"NA")</f>
        <v>OS</v>
      </c>
      <c r="F971" s="20" t="str">
        <f t="shared" si="38"/>
        <v>Block 07</v>
      </c>
      <c r="G971" s="20" t="str">
        <f t="shared" si="37"/>
        <v>Lot 14</v>
      </c>
      <c r="H971" s="20">
        <f>IFERROR(INDEX('[2]PRICELIST, 908u'!$G$7:$AX$914,MATCH($B971,'[2]PRICELIST, 908u'!$G$7:$G$914,0),23),"NA")</f>
        <v>50</v>
      </c>
      <c r="I971" s="20">
        <f>IFERROR(INDEX('[2]PRICELIST, 908u'!$G$7:$AX$914,MATCH($B971,'[2]PRICELIST, 908u'!$G$7:$G$914,0),22),"NA")</f>
        <v>70</v>
      </c>
      <c r="J971" s="20" t="s">
        <v>25</v>
      </c>
      <c r="K971" s="20" t="str">
        <f>IFERROR(INDEX('[2]PRICELIST, 908u'!$G$7:$AX$914,MATCH($B971,'[2]PRICELIST, 908u'!$G$7:$G$914,0),30),"NA")</f>
        <v>Flat / PINK</v>
      </c>
      <c r="L971" s="20">
        <f>IFERROR(INDEX('[2]PRICELIST, 908u'!$G$7:$AX$914,MATCH($B971,'[2]PRICELIST, 908u'!$G$7:$G$914,0),40),"NA")</f>
        <v>2850000</v>
      </c>
      <c r="M971" s="20">
        <f>IFERROR(INDEX('[2]PRICELIST, 908u'!$G$7:$AX$914,MATCH($B971,'[2]PRICELIST, 908u'!$G$7:$G$914,0),41),"NA")</f>
        <v>100000</v>
      </c>
      <c r="N971" s="58">
        <f t="shared" si="40"/>
        <v>2750000</v>
      </c>
      <c r="O971" s="60"/>
      <c r="P971" s="60">
        <f t="shared" si="39"/>
        <v>2750000</v>
      </c>
    </row>
    <row r="972" spans="2:16">
      <c r="B972" s="20" t="s">
        <v>1123</v>
      </c>
      <c r="C972" s="20" t="s">
        <v>2</v>
      </c>
      <c r="D972" s="20" t="str">
        <f>IFERROR(INDEX('[2]PRICELIST, 908u'!$G$7:$AX$914,MATCH($B972,'[2]PRICELIST, 908u'!$G$7:$G$914,0),18),"NA")</f>
        <v>2024 Batch</v>
      </c>
      <c r="E972" s="20" t="str">
        <f>IFERROR(INDEX([3]AGM!$D$21:$BL$928,MATCH($B972,[3]AGM!$AD$21:$AD$928,0),1),"NA")</f>
        <v>OS</v>
      </c>
      <c r="F972" s="20" t="str">
        <f t="shared" si="38"/>
        <v>Block 07</v>
      </c>
      <c r="G972" s="20" t="str">
        <f t="shared" si="37"/>
        <v>Lot 15</v>
      </c>
      <c r="H972" s="20">
        <f>IFERROR(INDEX('[2]PRICELIST, 908u'!$G$7:$AX$914,MATCH($B972,'[2]PRICELIST, 908u'!$G$7:$G$914,0),23),"NA")</f>
        <v>50</v>
      </c>
      <c r="I972" s="20">
        <f>IFERROR(INDEX('[2]PRICELIST, 908u'!$G$7:$AX$914,MATCH($B972,'[2]PRICELIST, 908u'!$G$7:$G$914,0),22),"NA")</f>
        <v>70</v>
      </c>
      <c r="J972" s="20" t="s">
        <v>25</v>
      </c>
      <c r="K972" s="20" t="str">
        <f>IFERROR(INDEX('[2]PRICELIST, 908u'!$G$7:$AX$914,MATCH($B972,'[2]PRICELIST, 908u'!$G$7:$G$914,0),30),"NA")</f>
        <v>Slant / PINK</v>
      </c>
      <c r="L972" s="20">
        <f>IFERROR(INDEX('[2]PRICELIST, 908u'!$G$7:$AX$914,MATCH($B972,'[2]PRICELIST, 908u'!$G$7:$G$914,0),40),"NA")</f>
        <v>2850000</v>
      </c>
      <c r="M972" s="20">
        <f>IFERROR(INDEX('[2]PRICELIST, 908u'!$G$7:$AX$914,MATCH($B972,'[2]PRICELIST, 908u'!$G$7:$G$914,0),41),"NA")</f>
        <v>100000</v>
      </c>
      <c r="N972" s="58">
        <f t="shared" si="40"/>
        <v>2750000</v>
      </c>
      <c r="O972" s="60"/>
      <c r="P972" s="60">
        <f t="shared" si="39"/>
        <v>2750000</v>
      </c>
    </row>
    <row r="973" spans="2:16">
      <c r="B973" s="20" t="s">
        <v>1124</v>
      </c>
      <c r="C973" s="20" t="s">
        <v>2</v>
      </c>
      <c r="D973" s="20" t="str">
        <f>IFERROR(INDEX('[2]PRICELIST, 908u'!$G$7:$AX$914,MATCH($B973,'[2]PRICELIST, 908u'!$G$7:$G$914,0),18),"NA")</f>
        <v>2024 Batch</v>
      </c>
      <c r="E973" s="20" t="str">
        <f>IFERROR(INDEX([3]AGM!$D$21:$BL$928,MATCH($B973,[3]AGM!$AD$21:$AD$928,0),1),"NA")</f>
        <v>OS</v>
      </c>
      <c r="F973" s="20" t="str">
        <f t="shared" si="38"/>
        <v>Block 07</v>
      </c>
      <c r="G973" s="20" t="str">
        <f t="shared" si="37"/>
        <v>Lot 16</v>
      </c>
      <c r="H973" s="20">
        <f>IFERROR(INDEX('[2]PRICELIST, 908u'!$G$7:$AX$914,MATCH($B973,'[2]PRICELIST, 908u'!$G$7:$G$914,0),23),"NA")</f>
        <v>50</v>
      </c>
      <c r="I973" s="20">
        <f>IFERROR(INDEX('[2]PRICELIST, 908u'!$G$7:$AX$914,MATCH($B973,'[2]PRICELIST, 908u'!$G$7:$G$914,0),22),"NA")</f>
        <v>70</v>
      </c>
      <c r="J973" s="20" t="s">
        <v>25</v>
      </c>
      <c r="K973" s="20" t="str">
        <f>IFERROR(INDEX('[2]PRICELIST, 908u'!$G$7:$AX$914,MATCH($B973,'[2]PRICELIST, 908u'!$G$7:$G$914,0),30),"NA")</f>
        <v>Slant / PINK</v>
      </c>
      <c r="L973" s="20">
        <f>IFERROR(INDEX('[2]PRICELIST, 908u'!$G$7:$AX$914,MATCH($B973,'[2]PRICELIST, 908u'!$G$7:$G$914,0),40),"NA")</f>
        <v>2850000</v>
      </c>
      <c r="M973" s="20">
        <f>IFERROR(INDEX('[2]PRICELIST, 908u'!$G$7:$AX$914,MATCH($B973,'[2]PRICELIST, 908u'!$G$7:$G$914,0),41),"NA")</f>
        <v>100000</v>
      </c>
      <c r="N973" s="58">
        <f t="shared" si="40"/>
        <v>2750000</v>
      </c>
      <c r="O973" s="60"/>
      <c r="P973" s="60">
        <f t="shared" si="39"/>
        <v>2750000</v>
      </c>
    </row>
    <row r="974" spans="2:16">
      <c r="B974" s="20" t="s">
        <v>1125</v>
      </c>
      <c r="C974" s="20" t="s">
        <v>2</v>
      </c>
      <c r="D974" s="20" t="str">
        <f>IFERROR(INDEX('[2]PRICELIST, 908u'!$G$7:$AX$914,MATCH($B974,'[2]PRICELIST, 908u'!$G$7:$G$914,0),18),"NA")</f>
        <v>2024 Batch</v>
      </c>
      <c r="E974" s="20" t="str">
        <f>IFERROR(INDEX([3]AGM!$D$21:$BL$928,MATCH($B974,[3]AGM!$AD$21:$AD$928,0),1),"NA")</f>
        <v>OS</v>
      </c>
      <c r="F974" s="20" t="str">
        <f t="shared" si="38"/>
        <v>Block 07</v>
      </c>
      <c r="G974" s="20" t="str">
        <f t="shared" si="37"/>
        <v>Lot 17</v>
      </c>
      <c r="H974" s="20">
        <f>IFERROR(INDEX('[2]PRICELIST, 908u'!$G$7:$AX$914,MATCH($B974,'[2]PRICELIST, 908u'!$G$7:$G$914,0),23),"NA")</f>
        <v>50</v>
      </c>
      <c r="I974" s="20">
        <f>IFERROR(INDEX('[2]PRICELIST, 908u'!$G$7:$AX$914,MATCH($B974,'[2]PRICELIST, 908u'!$G$7:$G$914,0),22),"NA")</f>
        <v>70</v>
      </c>
      <c r="J974" s="20" t="s">
        <v>25</v>
      </c>
      <c r="K974" s="20" t="str">
        <f>IFERROR(INDEX('[2]PRICELIST, 908u'!$G$7:$AX$914,MATCH($B974,'[2]PRICELIST, 908u'!$G$7:$G$914,0),30),"NA")</f>
        <v>Flat / PINK</v>
      </c>
      <c r="L974" s="20">
        <f>IFERROR(INDEX('[2]PRICELIST, 908u'!$G$7:$AX$914,MATCH($B974,'[2]PRICELIST, 908u'!$G$7:$G$914,0),40),"NA")</f>
        <v>2850000</v>
      </c>
      <c r="M974" s="20">
        <f>IFERROR(INDEX('[2]PRICELIST, 908u'!$G$7:$AX$914,MATCH($B974,'[2]PRICELIST, 908u'!$G$7:$G$914,0),41),"NA")</f>
        <v>100000</v>
      </c>
      <c r="N974" s="58">
        <f t="shared" si="40"/>
        <v>2750000</v>
      </c>
      <c r="O974" s="60"/>
      <c r="P974" s="60">
        <f t="shared" si="39"/>
        <v>2750000</v>
      </c>
    </row>
    <row r="975" spans="2:16">
      <c r="B975" s="20" t="s">
        <v>1126</v>
      </c>
      <c r="C975" s="20" t="s">
        <v>2</v>
      </c>
      <c r="D975" s="20" t="str">
        <f>IFERROR(INDEX('[2]PRICELIST, 908u'!$G$7:$AX$914,MATCH($B975,'[2]PRICELIST, 908u'!$G$7:$G$914,0),18),"NA")</f>
        <v>2024 Batch</v>
      </c>
      <c r="E975" s="20" t="str">
        <f>IFERROR(INDEX([3]AGM!$D$21:$BL$928,MATCH($B975,[3]AGM!$AD$21:$AD$928,0),1),"NA")</f>
        <v>OS</v>
      </c>
      <c r="F975" s="20" t="str">
        <f t="shared" si="38"/>
        <v>Block 07</v>
      </c>
      <c r="G975" s="20" t="str">
        <f t="shared" si="37"/>
        <v>Lot 18</v>
      </c>
      <c r="H975" s="20">
        <f>IFERROR(INDEX('[2]PRICELIST, 908u'!$G$7:$AX$914,MATCH($B975,'[2]PRICELIST, 908u'!$G$7:$G$914,0),23),"NA")</f>
        <v>50</v>
      </c>
      <c r="I975" s="20">
        <f>IFERROR(INDEX('[2]PRICELIST, 908u'!$G$7:$AX$914,MATCH($B975,'[2]PRICELIST, 908u'!$G$7:$G$914,0),22),"NA")</f>
        <v>70</v>
      </c>
      <c r="J975" s="20" t="s">
        <v>25</v>
      </c>
      <c r="K975" s="20" t="str">
        <f>IFERROR(INDEX('[2]PRICELIST, 908u'!$G$7:$AX$914,MATCH($B975,'[2]PRICELIST, 908u'!$G$7:$G$914,0),30),"NA")</f>
        <v>Flat / YELLOW</v>
      </c>
      <c r="L975" s="20">
        <f>IFERROR(INDEX('[2]PRICELIST, 908u'!$G$7:$AX$914,MATCH($B975,'[2]PRICELIST, 908u'!$G$7:$G$914,0),40),"NA")</f>
        <v>2850000</v>
      </c>
      <c r="M975" s="20">
        <f>IFERROR(INDEX('[2]PRICELIST, 908u'!$G$7:$AX$914,MATCH($B975,'[2]PRICELIST, 908u'!$G$7:$G$914,0),41),"NA")</f>
        <v>100000</v>
      </c>
      <c r="N975" s="58">
        <f t="shared" si="40"/>
        <v>2750000</v>
      </c>
      <c r="O975" s="60"/>
      <c r="P975" s="60">
        <f t="shared" si="39"/>
        <v>2750000</v>
      </c>
    </row>
    <row r="976" spans="2:16">
      <c r="B976" s="20" t="s">
        <v>1127</v>
      </c>
      <c r="C976" s="20" t="s">
        <v>2</v>
      </c>
      <c r="D976" s="20" t="str">
        <f>IFERROR(INDEX('[2]PRICELIST, 908u'!$G$7:$AX$914,MATCH($B976,'[2]PRICELIST, 908u'!$G$7:$G$914,0),18),"NA")</f>
        <v>2024 Batch</v>
      </c>
      <c r="E976" s="20" t="str">
        <f>IFERROR(INDEX([3]AGM!$D$21:$BL$928,MATCH($B976,[3]AGM!$AD$21:$AD$928,0),1),"NA")</f>
        <v>OS</v>
      </c>
      <c r="F976" s="20" t="str">
        <f t="shared" si="38"/>
        <v>Block 07</v>
      </c>
      <c r="G976" s="20" t="str">
        <f t="shared" si="37"/>
        <v>Lot 19</v>
      </c>
      <c r="H976" s="20">
        <f>IFERROR(INDEX('[2]PRICELIST, 908u'!$G$7:$AX$914,MATCH($B976,'[2]PRICELIST, 908u'!$G$7:$G$914,0),23),"NA")</f>
        <v>50</v>
      </c>
      <c r="I976" s="20">
        <f>IFERROR(INDEX('[2]PRICELIST, 908u'!$G$7:$AX$914,MATCH($B976,'[2]PRICELIST, 908u'!$G$7:$G$914,0),22),"NA")</f>
        <v>70</v>
      </c>
      <c r="J976" s="20" t="s">
        <v>25</v>
      </c>
      <c r="K976" s="20" t="str">
        <f>IFERROR(INDEX('[2]PRICELIST, 908u'!$G$7:$AX$914,MATCH($B976,'[2]PRICELIST, 908u'!$G$7:$G$914,0),30),"NA")</f>
        <v>Slant / YELLOW</v>
      </c>
      <c r="L976" s="20">
        <f>IFERROR(INDEX('[2]PRICELIST, 908u'!$G$7:$AX$914,MATCH($B976,'[2]PRICELIST, 908u'!$G$7:$G$914,0),40),"NA")</f>
        <v>2850000</v>
      </c>
      <c r="M976" s="20">
        <f>IFERROR(INDEX('[2]PRICELIST, 908u'!$G$7:$AX$914,MATCH($B976,'[2]PRICELIST, 908u'!$G$7:$G$914,0),41),"NA")</f>
        <v>100000</v>
      </c>
      <c r="N976" s="58">
        <f t="shared" si="40"/>
        <v>2750000</v>
      </c>
      <c r="O976" s="60"/>
      <c r="P976" s="60">
        <f t="shared" si="39"/>
        <v>2750000</v>
      </c>
    </row>
    <row r="977" spans="2:16">
      <c r="B977" s="20" t="s">
        <v>1128</v>
      </c>
      <c r="C977" s="20" t="s">
        <v>2</v>
      </c>
      <c r="D977" s="20" t="str">
        <f>IFERROR(INDEX('[2]PRICELIST, 908u'!$G$7:$AX$914,MATCH($B977,'[2]PRICELIST, 908u'!$G$7:$G$914,0),18),"NA")</f>
        <v>2024 Batch</v>
      </c>
      <c r="E977" s="20" t="str">
        <f>IFERROR(INDEX([3]AGM!$D$21:$BL$928,MATCH($B977,[3]AGM!$AD$21:$AD$928,0),1),"NA")</f>
        <v>OS</v>
      </c>
      <c r="F977" s="20" t="str">
        <f t="shared" si="38"/>
        <v>Block 07</v>
      </c>
      <c r="G977" s="20" t="str">
        <f t="shared" si="37"/>
        <v>Lot 20</v>
      </c>
      <c r="H977" s="20">
        <f>IFERROR(INDEX('[2]PRICELIST, 908u'!$G$7:$AX$914,MATCH($B977,'[2]PRICELIST, 908u'!$G$7:$G$914,0),23),"NA")</f>
        <v>50</v>
      </c>
      <c r="I977" s="20">
        <f>IFERROR(INDEX('[2]PRICELIST, 908u'!$G$7:$AX$914,MATCH($B977,'[2]PRICELIST, 908u'!$G$7:$G$914,0),22),"NA")</f>
        <v>70</v>
      </c>
      <c r="J977" s="20" t="s">
        <v>25</v>
      </c>
      <c r="K977" s="20" t="str">
        <f>IFERROR(INDEX('[2]PRICELIST, 908u'!$G$7:$AX$914,MATCH($B977,'[2]PRICELIST, 908u'!$G$7:$G$914,0),30),"NA")</f>
        <v>Slant / YELLOW</v>
      </c>
      <c r="L977" s="20">
        <f>IFERROR(INDEX('[2]PRICELIST, 908u'!$G$7:$AX$914,MATCH($B977,'[2]PRICELIST, 908u'!$G$7:$G$914,0),40),"NA")</f>
        <v>2850000</v>
      </c>
      <c r="M977" s="20">
        <f>IFERROR(INDEX('[2]PRICELIST, 908u'!$G$7:$AX$914,MATCH($B977,'[2]PRICELIST, 908u'!$G$7:$G$914,0),41),"NA")</f>
        <v>100000</v>
      </c>
      <c r="N977" s="58">
        <f t="shared" si="40"/>
        <v>2750000</v>
      </c>
      <c r="O977" s="60"/>
      <c r="P977" s="60">
        <f t="shared" si="39"/>
        <v>2750000</v>
      </c>
    </row>
    <row r="978" spans="2:16">
      <c r="B978" s="20" t="s">
        <v>1129</v>
      </c>
      <c r="C978" s="20" t="s">
        <v>2</v>
      </c>
      <c r="D978" s="20" t="str">
        <f>IFERROR(INDEX('[2]PRICELIST, 908u'!$G$7:$AX$914,MATCH($B978,'[2]PRICELIST, 908u'!$G$7:$G$914,0),18),"NA")</f>
        <v>2024 Batch</v>
      </c>
      <c r="E978" s="20" t="str">
        <f>IFERROR(INDEX([3]AGM!$D$21:$BL$928,MATCH($B978,[3]AGM!$AD$21:$AD$928,0),1),"NA")</f>
        <v>OS</v>
      </c>
      <c r="F978" s="20" t="str">
        <f t="shared" si="38"/>
        <v>Block 07</v>
      </c>
      <c r="G978" s="20" t="str">
        <f t="shared" si="37"/>
        <v>Lot 21</v>
      </c>
      <c r="H978" s="20">
        <f>IFERROR(INDEX('[2]PRICELIST, 908u'!$G$7:$AX$914,MATCH($B978,'[2]PRICELIST, 908u'!$G$7:$G$914,0),23),"NA")</f>
        <v>50</v>
      </c>
      <c r="I978" s="20">
        <f>IFERROR(INDEX('[2]PRICELIST, 908u'!$G$7:$AX$914,MATCH($B978,'[2]PRICELIST, 908u'!$G$7:$G$914,0),22),"NA")</f>
        <v>78</v>
      </c>
      <c r="J978" s="20" t="s">
        <v>25</v>
      </c>
      <c r="K978" s="20" t="str">
        <f>IFERROR(INDEX('[2]PRICELIST, 908u'!$G$7:$AX$914,MATCH($B978,'[2]PRICELIST, 908u'!$G$7:$G$914,0),30),"NA")</f>
        <v>Flat / YELLOW</v>
      </c>
      <c r="L978" s="20">
        <f>IFERROR(INDEX('[2]PRICELIST, 908u'!$G$7:$AX$914,MATCH($B978,'[2]PRICELIST, 908u'!$G$7:$G$914,0),40),"NA")</f>
        <v>2970000</v>
      </c>
      <c r="M978" s="20">
        <f>IFERROR(INDEX('[2]PRICELIST, 908u'!$G$7:$AX$914,MATCH($B978,'[2]PRICELIST, 908u'!$G$7:$G$914,0),41),"NA")</f>
        <v>100000</v>
      </c>
      <c r="N978" s="58">
        <f t="shared" si="40"/>
        <v>2870000</v>
      </c>
      <c r="O978" s="60"/>
      <c r="P978" s="60">
        <f t="shared" si="39"/>
        <v>2870000</v>
      </c>
    </row>
    <row r="979" spans="2:16">
      <c r="B979" s="20" t="s">
        <v>1130</v>
      </c>
      <c r="C979" s="20" t="s">
        <v>2</v>
      </c>
      <c r="D979" s="20" t="str">
        <f>IFERROR(INDEX('[2]PRICELIST, 908u'!$G$7:$AX$914,MATCH($B979,'[2]PRICELIST, 908u'!$G$7:$G$914,0),18),"NA")</f>
        <v>2024 Batch</v>
      </c>
      <c r="E979" s="20" t="str">
        <f>IFERROR(INDEX([3]AGM!$D$21:$BL$928,MATCH($B979,[3]AGM!$AD$21:$AD$928,0),1),"NA")</f>
        <v>OS</v>
      </c>
      <c r="F979" s="20" t="str">
        <f t="shared" si="38"/>
        <v>Block 07</v>
      </c>
      <c r="G979" s="20" t="str">
        <f t="shared" si="37"/>
        <v>Lot 22</v>
      </c>
      <c r="H979" s="20">
        <f>IFERROR(INDEX('[2]PRICELIST, 908u'!$G$7:$AX$914,MATCH($B979,'[2]PRICELIST, 908u'!$G$7:$G$914,0),23),"NA")</f>
        <v>50</v>
      </c>
      <c r="I979" s="20">
        <f>IFERROR(INDEX('[2]PRICELIST, 908u'!$G$7:$AX$914,MATCH($B979,'[2]PRICELIST, 908u'!$G$7:$G$914,0),22),"NA")</f>
        <v>78</v>
      </c>
      <c r="J979" s="20" t="s">
        <v>25</v>
      </c>
      <c r="K979" s="20" t="str">
        <f>IFERROR(INDEX('[2]PRICELIST, 908u'!$G$7:$AX$914,MATCH($B979,'[2]PRICELIST, 908u'!$G$7:$G$914,0),30),"NA")</f>
        <v>Slant / GREEN</v>
      </c>
      <c r="L979" s="20">
        <f>IFERROR(INDEX('[2]PRICELIST, 908u'!$G$7:$AX$914,MATCH($B979,'[2]PRICELIST, 908u'!$G$7:$G$914,0),40),"NA")</f>
        <v>2970000</v>
      </c>
      <c r="M979" s="20">
        <f>IFERROR(INDEX('[2]PRICELIST, 908u'!$G$7:$AX$914,MATCH($B979,'[2]PRICELIST, 908u'!$G$7:$G$914,0),41),"NA")</f>
        <v>100000</v>
      </c>
      <c r="N979" s="58">
        <f t="shared" si="40"/>
        <v>2870000</v>
      </c>
      <c r="O979" s="60"/>
      <c r="P979" s="60">
        <f t="shared" si="39"/>
        <v>2870000</v>
      </c>
    </row>
    <row r="980" spans="2:16">
      <c r="B980" s="20" t="s">
        <v>1131</v>
      </c>
      <c r="C980" s="20" t="s">
        <v>2</v>
      </c>
      <c r="D980" s="20" t="str">
        <f>IFERROR(INDEX('[2]PRICELIST, 908u'!$G$7:$AX$914,MATCH($B980,'[2]PRICELIST, 908u'!$G$7:$G$914,0),18),"NA")</f>
        <v>2024 Batch</v>
      </c>
      <c r="E980" s="20" t="str">
        <f>IFERROR(INDEX([3]AGM!$D$21:$BL$928,MATCH($B980,[3]AGM!$AD$21:$AD$928,0),1),"NA")</f>
        <v>OS</v>
      </c>
      <c r="F980" s="20" t="str">
        <f t="shared" si="38"/>
        <v>Block 07</v>
      </c>
      <c r="G980" s="20" t="str">
        <f t="shared" si="37"/>
        <v>Lot 23</v>
      </c>
      <c r="H980" s="20">
        <f>IFERROR(INDEX('[2]PRICELIST, 908u'!$G$7:$AX$914,MATCH($B980,'[2]PRICELIST, 908u'!$G$7:$G$914,0),23),"NA")</f>
        <v>50</v>
      </c>
      <c r="I980" s="20">
        <f>IFERROR(INDEX('[2]PRICELIST, 908u'!$G$7:$AX$914,MATCH($B980,'[2]PRICELIST, 908u'!$G$7:$G$914,0),22),"NA")</f>
        <v>70</v>
      </c>
      <c r="J980" s="20" t="s">
        <v>25</v>
      </c>
      <c r="K980" s="20" t="str">
        <f>IFERROR(INDEX('[2]PRICELIST, 908u'!$G$7:$AX$914,MATCH($B980,'[2]PRICELIST, 908u'!$G$7:$G$914,0),30),"NA")</f>
        <v>Flat / GREEN</v>
      </c>
      <c r="L980" s="20">
        <f>IFERROR(INDEX('[2]PRICELIST, 908u'!$G$7:$AX$914,MATCH($B980,'[2]PRICELIST, 908u'!$G$7:$G$914,0),40),"NA")</f>
        <v>2850000</v>
      </c>
      <c r="M980" s="20">
        <f>IFERROR(INDEX('[2]PRICELIST, 908u'!$G$7:$AX$914,MATCH($B980,'[2]PRICELIST, 908u'!$G$7:$G$914,0),41),"NA")</f>
        <v>100000</v>
      </c>
      <c r="N980" s="58">
        <f t="shared" si="40"/>
        <v>2750000</v>
      </c>
      <c r="O980" s="60"/>
      <c r="P980" s="60">
        <f t="shared" si="39"/>
        <v>2750000</v>
      </c>
    </row>
    <row r="981" spans="2:16">
      <c r="B981" s="20" t="s">
        <v>1132</v>
      </c>
      <c r="C981" s="20" t="s">
        <v>2</v>
      </c>
      <c r="D981" s="20" t="str">
        <f>IFERROR(INDEX('[2]PRICELIST, 908u'!$G$7:$AX$914,MATCH($B981,'[2]PRICELIST, 908u'!$G$7:$G$914,0),18),"NA")</f>
        <v>2024 Batch</v>
      </c>
      <c r="E981" s="20" t="str">
        <f>IFERROR(INDEX([3]AGM!$D$21:$BL$928,MATCH($B981,[3]AGM!$AD$21:$AD$928,0),1),"NA")</f>
        <v>OS</v>
      </c>
      <c r="F981" s="20" t="str">
        <f t="shared" si="38"/>
        <v>Block 07</v>
      </c>
      <c r="G981" s="20" t="str">
        <f t="shared" si="37"/>
        <v>Lot 24</v>
      </c>
      <c r="H981" s="20">
        <f>IFERROR(INDEX('[2]PRICELIST, 908u'!$G$7:$AX$914,MATCH($B981,'[2]PRICELIST, 908u'!$G$7:$G$914,0),23),"NA")</f>
        <v>50</v>
      </c>
      <c r="I981" s="20">
        <f>IFERROR(INDEX('[2]PRICELIST, 908u'!$G$7:$AX$914,MATCH($B981,'[2]PRICELIST, 908u'!$G$7:$G$914,0),22),"NA")</f>
        <v>70</v>
      </c>
      <c r="J981" s="20" t="s">
        <v>25</v>
      </c>
      <c r="K981" s="20" t="str">
        <f>IFERROR(INDEX('[2]PRICELIST, 908u'!$G$7:$AX$914,MATCH($B981,'[2]PRICELIST, 908u'!$G$7:$G$914,0),30),"NA")</f>
        <v>Flat / GREEN</v>
      </c>
      <c r="L981" s="20">
        <f>IFERROR(INDEX('[2]PRICELIST, 908u'!$G$7:$AX$914,MATCH($B981,'[2]PRICELIST, 908u'!$G$7:$G$914,0),40),"NA")</f>
        <v>2850000</v>
      </c>
      <c r="M981" s="20">
        <f>IFERROR(INDEX('[2]PRICELIST, 908u'!$G$7:$AX$914,MATCH($B981,'[2]PRICELIST, 908u'!$G$7:$G$914,0),41),"NA")</f>
        <v>100000</v>
      </c>
      <c r="N981" s="58">
        <f t="shared" si="40"/>
        <v>2750000</v>
      </c>
      <c r="O981" s="60"/>
      <c r="P981" s="60">
        <f t="shared" si="39"/>
        <v>2750000</v>
      </c>
    </row>
    <row r="982" spans="2:16">
      <c r="B982" s="20" t="s">
        <v>1133</v>
      </c>
      <c r="C982" s="20" t="s">
        <v>2</v>
      </c>
      <c r="D982" s="20" t="str">
        <f>IFERROR(INDEX('[2]PRICELIST, 908u'!$G$7:$AX$914,MATCH($B982,'[2]PRICELIST, 908u'!$G$7:$G$914,0),18),"NA")</f>
        <v>2024 Batch</v>
      </c>
      <c r="E982" s="20" t="str">
        <f>IFERROR(INDEX([3]AGM!$D$21:$BL$928,MATCH($B982,[3]AGM!$AD$21:$AD$928,0),1),"NA")</f>
        <v>OS</v>
      </c>
      <c r="F982" s="20" t="str">
        <f t="shared" si="38"/>
        <v>Block 07</v>
      </c>
      <c r="G982" s="20" t="str">
        <f t="shared" si="37"/>
        <v>Lot 25</v>
      </c>
      <c r="H982" s="20">
        <f>IFERROR(INDEX('[2]PRICELIST, 908u'!$G$7:$AX$914,MATCH($B982,'[2]PRICELIST, 908u'!$G$7:$G$914,0),23),"NA")</f>
        <v>50</v>
      </c>
      <c r="I982" s="20">
        <f>IFERROR(INDEX('[2]PRICELIST, 908u'!$G$7:$AX$914,MATCH($B982,'[2]PRICELIST, 908u'!$G$7:$G$914,0),22),"NA")</f>
        <v>70</v>
      </c>
      <c r="J982" s="20" t="s">
        <v>25</v>
      </c>
      <c r="K982" s="20" t="str">
        <f>IFERROR(INDEX('[2]PRICELIST, 908u'!$G$7:$AX$914,MATCH($B982,'[2]PRICELIST, 908u'!$G$7:$G$914,0),30),"NA")</f>
        <v>Slant / GREEN</v>
      </c>
      <c r="L982" s="20">
        <f>IFERROR(INDEX('[2]PRICELIST, 908u'!$G$7:$AX$914,MATCH($B982,'[2]PRICELIST, 908u'!$G$7:$G$914,0),40),"NA")</f>
        <v>2850000</v>
      </c>
      <c r="M982" s="20">
        <f>IFERROR(INDEX('[2]PRICELIST, 908u'!$G$7:$AX$914,MATCH($B982,'[2]PRICELIST, 908u'!$G$7:$G$914,0),41),"NA")</f>
        <v>100000</v>
      </c>
      <c r="N982" s="58">
        <f t="shared" si="40"/>
        <v>2750000</v>
      </c>
      <c r="O982" s="60"/>
      <c r="P982" s="60">
        <f t="shared" si="39"/>
        <v>2750000</v>
      </c>
    </row>
    <row r="983" spans="2:16">
      <c r="B983" s="20" t="s">
        <v>1134</v>
      </c>
      <c r="C983" s="20" t="s">
        <v>2</v>
      </c>
      <c r="D983" s="20" t="str">
        <f>IFERROR(INDEX('[2]PRICELIST, 908u'!$G$7:$AX$914,MATCH($B983,'[2]PRICELIST, 908u'!$G$7:$G$914,0),18),"NA")</f>
        <v>2024 Batch</v>
      </c>
      <c r="E983" s="20" t="str">
        <f>IFERROR(INDEX([3]AGM!$D$21:$BL$928,MATCH($B983,[3]AGM!$AD$21:$AD$928,0),1),"NA")</f>
        <v>OS</v>
      </c>
      <c r="F983" s="20" t="str">
        <f t="shared" si="38"/>
        <v>Block 07</v>
      </c>
      <c r="G983" s="20" t="str">
        <f t="shared" si="37"/>
        <v>Lot 26</v>
      </c>
      <c r="H983" s="20">
        <f>IFERROR(INDEX('[2]PRICELIST, 908u'!$G$7:$AX$914,MATCH($B983,'[2]PRICELIST, 908u'!$G$7:$G$914,0),23),"NA")</f>
        <v>50</v>
      </c>
      <c r="I983" s="20">
        <f>IFERROR(INDEX('[2]PRICELIST, 908u'!$G$7:$AX$914,MATCH($B983,'[2]PRICELIST, 908u'!$G$7:$G$914,0),22),"NA")</f>
        <v>70</v>
      </c>
      <c r="J983" s="20" t="s">
        <v>25</v>
      </c>
      <c r="K983" s="20" t="str">
        <f>IFERROR(INDEX('[2]PRICELIST, 908u'!$G$7:$AX$914,MATCH($B983,'[2]PRICELIST, 908u'!$G$7:$G$914,0),30),"NA")</f>
        <v>Slant / YELLOW</v>
      </c>
      <c r="L983" s="20">
        <f>IFERROR(INDEX('[2]PRICELIST, 908u'!$G$7:$AX$914,MATCH($B983,'[2]PRICELIST, 908u'!$G$7:$G$914,0),40),"NA")</f>
        <v>2850000</v>
      </c>
      <c r="M983" s="20">
        <f>IFERROR(INDEX('[2]PRICELIST, 908u'!$G$7:$AX$914,MATCH($B983,'[2]PRICELIST, 908u'!$G$7:$G$914,0),41),"NA")</f>
        <v>100000</v>
      </c>
      <c r="N983" s="58">
        <f t="shared" si="40"/>
        <v>2750000</v>
      </c>
      <c r="O983" s="60"/>
      <c r="P983" s="60">
        <f t="shared" si="39"/>
        <v>2750000</v>
      </c>
    </row>
    <row r="984" spans="2:16">
      <c r="B984" s="20" t="s">
        <v>1135</v>
      </c>
      <c r="C984" s="20" t="s">
        <v>2</v>
      </c>
      <c r="D984" s="20" t="str">
        <f>IFERROR(INDEX('[2]PRICELIST, 908u'!$G$7:$AX$914,MATCH($B984,'[2]PRICELIST, 908u'!$G$7:$G$914,0),18),"NA")</f>
        <v>2024 Batch</v>
      </c>
      <c r="E984" s="20" t="str">
        <f>IFERROR(INDEX([3]AGM!$D$21:$BL$928,MATCH($B984,[3]AGM!$AD$21:$AD$928,0),1),"NA")</f>
        <v>OS</v>
      </c>
      <c r="F984" s="20" t="str">
        <f t="shared" si="38"/>
        <v>Block 07</v>
      </c>
      <c r="G984" s="20" t="str">
        <f t="shared" ref="G984:G1047" si="41">"Lot "&amp;TEXT(VALUE(RIGHT(B984,3)),"00")</f>
        <v>Lot 27</v>
      </c>
      <c r="H984" s="20">
        <f>IFERROR(INDEX('[2]PRICELIST, 908u'!$G$7:$AX$914,MATCH($B984,'[2]PRICELIST, 908u'!$G$7:$G$914,0),23),"NA")</f>
        <v>50</v>
      </c>
      <c r="I984" s="20">
        <f>IFERROR(INDEX('[2]PRICELIST, 908u'!$G$7:$AX$914,MATCH($B984,'[2]PRICELIST, 908u'!$G$7:$G$914,0),22),"NA")</f>
        <v>70</v>
      </c>
      <c r="J984" s="20" t="s">
        <v>25</v>
      </c>
      <c r="K984" s="20" t="str">
        <f>IFERROR(INDEX('[2]PRICELIST, 908u'!$G$7:$AX$914,MATCH($B984,'[2]PRICELIST, 908u'!$G$7:$G$914,0),30),"NA")</f>
        <v>Flat / YELLOW</v>
      </c>
      <c r="L984" s="20">
        <f>IFERROR(INDEX('[2]PRICELIST, 908u'!$G$7:$AX$914,MATCH($B984,'[2]PRICELIST, 908u'!$G$7:$G$914,0),40),"NA")</f>
        <v>2850000</v>
      </c>
      <c r="M984" s="20">
        <f>IFERROR(INDEX('[2]PRICELIST, 908u'!$G$7:$AX$914,MATCH($B984,'[2]PRICELIST, 908u'!$G$7:$G$914,0),41),"NA")</f>
        <v>100000</v>
      </c>
      <c r="N984" s="58">
        <f t="shared" si="40"/>
        <v>2750000</v>
      </c>
      <c r="O984" s="60"/>
      <c r="P984" s="60">
        <f t="shared" si="39"/>
        <v>2750000</v>
      </c>
    </row>
    <row r="985" spans="2:16">
      <c r="B985" s="20" t="s">
        <v>1136</v>
      </c>
      <c r="C985" s="20" t="s">
        <v>2</v>
      </c>
      <c r="D985" s="20" t="str">
        <f>IFERROR(INDEX('[2]PRICELIST, 908u'!$G$7:$AX$914,MATCH($B985,'[2]PRICELIST, 908u'!$G$7:$G$914,0),18),"NA")</f>
        <v>2024 Batch</v>
      </c>
      <c r="E985" s="20" t="str">
        <f>IFERROR(INDEX([3]AGM!$D$21:$BL$928,MATCH($B985,[3]AGM!$AD$21:$AD$928,0),1),"NA")</f>
        <v>OS</v>
      </c>
      <c r="F985" s="20" t="str">
        <f t="shared" ref="F985:F1048" si="42">"Block "&amp;TEXT(VALUE(MID(B985,8,3)),"00")</f>
        <v>Block 07</v>
      </c>
      <c r="G985" s="20" t="str">
        <f t="shared" si="41"/>
        <v>Lot 28</v>
      </c>
      <c r="H985" s="20">
        <f>IFERROR(INDEX('[2]PRICELIST, 908u'!$G$7:$AX$914,MATCH($B985,'[2]PRICELIST, 908u'!$G$7:$G$914,0),23),"NA")</f>
        <v>50</v>
      </c>
      <c r="I985" s="20">
        <f>IFERROR(INDEX('[2]PRICELIST, 908u'!$G$7:$AX$914,MATCH($B985,'[2]PRICELIST, 908u'!$G$7:$G$914,0),22),"NA")</f>
        <v>70</v>
      </c>
      <c r="J985" s="20" t="s">
        <v>25</v>
      </c>
      <c r="K985" s="20" t="str">
        <f>IFERROR(INDEX('[2]PRICELIST, 908u'!$G$7:$AX$914,MATCH($B985,'[2]PRICELIST, 908u'!$G$7:$G$914,0),30),"NA")</f>
        <v>Flat / YELLOW</v>
      </c>
      <c r="L985" s="20">
        <f>IFERROR(INDEX('[2]PRICELIST, 908u'!$G$7:$AX$914,MATCH($B985,'[2]PRICELIST, 908u'!$G$7:$G$914,0),40),"NA")</f>
        <v>2850000</v>
      </c>
      <c r="M985" s="20">
        <f>IFERROR(INDEX('[2]PRICELIST, 908u'!$G$7:$AX$914,MATCH($B985,'[2]PRICELIST, 908u'!$G$7:$G$914,0),41),"NA")</f>
        <v>100000</v>
      </c>
      <c r="N985" s="58">
        <f t="shared" si="40"/>
        <v>2750000</v>
      </c>
      <c r="O985" s="60"/>
      <c r="P985" s="60">
        <f t="shared" ref="P985:P1048" si="43">N985-O985</f>
        <v>2750000</v>
      </c>
    </row>
    <row r="986" spans="2:16">
      <c r="B986" s="20" t="s">
        <v>1137</v>
      </c>
      <c r="C986" s="20" t="s">
        <v>2</v>
      </c>
      <c r="D986" s="20" t="str">
        <f>IFERROR(INDEX('[2]PRICELIST, 908u'!$G$7:$AX$914,MATCH($B986,'[2]PRICELIST, 908u'!$G$7:$G$914,0),18),"NA")</f>
        <v>2024 Batch</v>
      </c>
      <c r="E986" s="20" t="str">
        <f>IFERROR(INDEX([3]AGM!$D$21:$BL$928,MATCH($B986,[3]AGM!$AD$21:$AD$928,0),1),"NA")</f>
        <v>OS</v>
      </c>
      <c r="F986" s="20" t="str">
        <f t="shared" si="42"/>
        <v>Block 07</v>
      </c>
      <c r="G986" s="20" t="str">
        <f t="shared" si="41"/>
        <v>Lot 29</v>
      </c>
      <c r="H986" s="20">
        <f>IFERROR(INDEX('[2]PRICELIST, 908u'!$G$7:$AX$914,MATCH($B986,'[2]PRICELIST, 908u'!$G$7:$G$914,0),23),"NA")</f>
        <v>50</v>
      </c>
      <c r="I986" s="20">
        <f>IFERROR(INDEX('[2]PRICELIST, 908u'!$G$7:$AX$914,MATCH($B986,'[2]PRICELIST, 908u'!$G$7:$G$914,0),22),"NA")</f>
        <v>70</v>
      </c>
      <c r="J986" s="20" t="s">
        <v>25</v>
      </c>
      <c r="K986" s="20" t="str">
        <f>IFERROR(INDEX('[2]PRICELIST, 908u'!$G$7:$AX$914,MATCH($B986,'[2]PRICELIST, 908u'!$G$7:$G$914,0),30),"NA")</f>
        <v>Slant / YELLOW</v>
      </c>
      <c r="L986" s="20">
        <f>IFERROR(INDEX('[2]PRICELIST, 908u'!$G$7:$AX$914,MATCH($B986,'[2]PRICELIST, 908u'!$G$7:$G$914,0),40),"NA")</f>
        <v>2850000</v>
      </c>
      <c r="M986" s="20">
        <f>IFERROR(INDEX('[2]PRICELIST, 908u'!$G$7:$AX$914,MATCH($B986,'[2]PRICELIST, 908u'!$G$7:$G$914,0),41),"NA")</f>
        <v>100000</v>
      </c>
      <c r="N986" s="58">
        <f t="shared" ref="N986:N1049" si="44">L986-M986</f>
        <v>2750000</v>
      </c>
      <c r="O986" s="60"/>
      <c r="P986" s="60">
        <f t="shared" si="43"/>
        <v>2750000</v>
      </c>
    </row>
    <row r="987" spans="2:16">
      <c r="B987" s="20" t="s">
        <v>1138</v>
      </c>
      <c r="C987" s="20" t="s">
        <v>2</v>
      </c>
      <c r="D987" s="20" t="str">
        <f>IFERROR(INDEX('[2]PRICELIST, 908u'!$G$7:$AX$914,MATCH($B987,'[2]PRICELIST, 908u'!$G$7:$G$914,0),18),"NA")</f>
        <v>2024 Batch</v>
      </c>
      <c r="E987" s="20" t="str">
        <f>IFERROR(INDEX([3]AGM!$D$21:$BL$928,MATCH($B987,[3]AGM!$AD$21:$AD$928,0),1),"NA")</f>
        <v>OS</v>
      </c>
      <c r="F987" s="20" t="str">
        <f t="shared" si="42"/>
        <v>Block 07</v>
      </c>
      <c r="G987" s="20" t="str">
        <f t="shared" si="41"/>
        <v>Lot 30</v>
      </c>
      <c r="H987" s="20">
        <f>IFERROR(INDEX('[2]PRICELIST, 908u'!$G$7:$AX$914,MATCH($B987,'[2]PRICELIST, 908u'!$G$7:$G$914,0),23),"NA")</f>
        <v>50</v>
      </c>
      <c r="I987" s="20">
        <f>IFERROR(INDEX('[2]PRICELIST, 908u'!$G$7:$AX$914,MATCH($B987,'[2]PRICELIST, 908u'!$G$7:$G$914,0),22),"NA")</f>
        <v>70</v>
      </c>
      <c r="J987" s="20" t="s">
        <v>25</v>
      </c>
      <c r="K987" s="20" t="str">
        <f>IFERROR(INDEX('[2]PRICELIST, 908u'!$G$7:$AX$914,MATCH($B987,'[2]PRICELIST, 908u'!$G$7:$G$914,0),30),"NA")</f>
        <v>Slant / PINK</v>
      </c>
      <c r="L987" s="20">
        <f>IFERROR(INDEX('[2]PRICELIST, 908u'!$G$7:$AX$914,MATCH($B987,'[2]PRICELIST, 908u'!$G$7:$G$914,0),40),"NA")</f>
        <v>2850000</v>
      </c>
      <c r="M987" s="20">
        <f>IFERROR(INDEX('[2]PRICELIST, 908u'!$G$7:$AX$914,MATCH($B987,'[2]PRICELIST, 908u'!$G$7:$G$914,0),41),"NA")</f>
        <v>100000</v>
      </c>
      <c r="N987" s="58">
        <f t="shared" si="44"/>
        <v>2750000</v>
      </c>
      <c r="O987" s="60"/>
      <c r="P987" s="60">
        <f t="shared" si="43"/>
        <v>2750000</v>
      </c>
    </row>
    <row r="988" spans="2:16">
      <c r="B988" s="20" t="s">
        <v>1139</v>
      </c>
      <c r="C988" s="20" t="s">
        <v>2</v>
      </c>
      <c r="D988" s="20" t="str">
        <f>IFERROR(INDEX('[2]PRICELIST, 908u'!$G$7:$AX$914,MATCH($B988,'[2]PRICELIST, 908u'!$G$7:$G$914,0),18),"NA")</f>
        <v>2024 Batch</v>
      </c>
      <c r="E988" s="20" t="str">
        <f>IFERROR(INDEX([3]AGM!$D$21:$BL$928,MATCH($B988,[3]AGM!$AD$21:$AD$928,0),1),"NA")</f>
        <v>OS</v>
      </c>
      <c r="F988" s="20" t="str">
        <f t="shared" si="42"/>
        <v>Block 07</v>
      </c>
      <c r="G988" s="20" t="str">
        <f t="shared" si="41"/>
        <v>Lot 31</v>
      </c>
      <c r="H988" s="20">
        <f>IFERROR(INDEX('[2]PRICELIST, 908u'!$G$7:$AX$914,MATCH($B988,'[2]PRICELIST, 908u'!$G$7:$G$914,0),23),"NA")</f>
        <v>50</v>
      </c>
      <c r="I988" s="20">
        <f>IFERROR(INDEX('[2]PRICELIST, 908u'!$G$7:$AX$914,MATCH($B988,'[2]PRICELIST, 908u'!$G$7:$G$914,0),22),"NA")</f>
        <v>70</v>
      </c>
      <c r="J988" s="20" t="s">
        <v>25</v>
      </c>
      <c r="K988" s="20" t="str">
        <f>IFERROR(INDEX('[2]PRICELIST, 908u'!$G$7:$AX$914,MATCH($B988,'[2]PRICELIST, 908u'!$G$7:$G$914,0),30),"NA")</f>
        <v>Flat / PINK</v>
      </c>
      <c r="L988" s="20">
        <f>IFERROR(INDEX('[2]PRICELIST, 908u'!$G$7:$AX$914,MATCH($B988,'[2]PRICELIST, 908u'!$G$7:$G$914,0),40),"NA")</f>
        <v>2850000</v>
      </c>
      <c r="M988" s="20">
        <f>IFERROR(INDEX('[2]PRICELIST, 908u'!$G$7:$AX$914,MATCH($B988,'[2]PRICELIST, 908u'!$G$7:$G$914,0),41),"NA")</f>
        <v>100000</v>
      </c>
      <c r="N988" s="58">
        <f t="shared" si="44"/>
        <v>2750000</v>
      </c>
      <c r="O988" s="60"/>
      <c r="P988" s="60">
        <f t="shared" si="43"/>
        <v>2750000</v>
      </c>
    </row>
    <row r="989" spans="2:16">
      <c r="B989" s="20" t="s">
        <v>1140</v>
      </c>
      <c r="C989" s="20" t="s">
        <v>2</v>
      </c>
      <c r="D989" s="20" t="str">
        <f>IFERROR(INDEX('[2]PRICELIST, 908u'!$G$7:$AX$914,MATCH($B989,'[2]PRICELIST, 908u'!$G$7:$G$914,0),18),"NA")</f>
        <v>2024 Batch</v>
      </c>
      <c r="E989" s="20" t="str">
        <f>IFERROR(INDEX([3]AGM!$D$21:$BL$928,MATCH($B989,[3]AGM!$AD$21:$AD$928,0),1),"NA")</f>
        <v>OS</v>
      </c>
      <c r="F989" s="20" t="str">
        <f t="shared" si="42"/>
        <v>Block 07</v>
      </c>
      <c r="G989" s="20" t="str">
        <f t="shared" si="41"/>
        <v>Lot 32</v>
      </c>
      <c r="H989" s="20">
        <f>IFERROR(INDEX('[2]PRICELIST, 908u'!$G$7:$AX$914,MATCH($B989,'[2]PRICELIST, 908u'!$G$7:$G$914,0),23),"NA")</f>
        <v>50</v>
      </c>
      <c r="I989" s="20">
        <f>IFERROR(INDEX('[2]PRICELIST, 908u'!$G$7:$AX$914,MATCH($B989,'[2]PRICELIST, 908u'!$G$7:$G$914,0),22),"NA")</f>
        <v>70</v>
      </c>
      <c r="J989" s="20" t="s">
        <v>25</v>
      </c>
      <c r="K989" s="20" t="str">
        <f>IFERROR(INDEX('[2]PRICELIST, 908u'!$G$7:$AX$914,MATCH($B989,'[2]PRICELIST, 908u'!$G$7:$G$914,0),30),"NA")</f>
        <v>Flat / PINK</v>
      </c>
      <c r="L989" s="20">
        <f>IFERROR(INDEX('[2]PRICELIST, 908u'!$G$7:$AX$914,MATCH($B989,'[2]PRICELIST, 908u'!$G$7:$G$914,0),40),"NA")</f>
        <v>2850000</v>
      </c>
      <c r="M989" s="20">
        <f>IFERROR(INDEX('[2]PRICELIST, 908u'!$G$7:$AX$914,MATCH($B989,'[2]PRICELIST, 908u'!$G$7:$G$914,0),41),"NA")</f>
        <v>100000</v>
      </c>
      <c r="N989" s="58">
        <f t="shared" si="44"/>
        <v>2750000</v>
      </c>
      <c r="O989" s="60"/>
      <c r="P989" s="60">
        <f t="shared" si="43"/>
        <v>2750000</v>
      </c>
    </row>
    <row r="990" spans="2:16">
      <c r="B990" s="20" t="s">
        <v>1141</v>
      </c>
      <c r="C990" s="20" t="s">
        <v>2</v>
      </c>
      <c r="D990" s="20" t="str">
        <f>IFERROR(INDEX('[2]PRICELIST, 908u'!$G$7:$AX$914,MATCH($B990,'[2]PRICELIST, 908u'!$G$7:$G$914,0),18),"NA")</f>
        <v>2024 Batch</v>
      </c>
      <c r="E990" s="20" t="str">
        <f>IFERROR(INDEX([3]AGM!$D$21:$BL$928,MATCH($B990,[3]AGM!$AD$21:$AD$928,0),1),"NA")</f>
        <v>OS</v>
      </c>
      <c r="F990" s="20" t="str">
        <f t="shared" si="42"/>
        <v>Block 07</v>
      </c>
      <c r="G990" s="20" t="str">
        <f t="shared" si="41"/>
        <v>Lot 33</v>
      </c>
      <c r="H990" s="20">
        <f>IFERROR(INDEX('[2]PRICELIST, 908u'!$G$7:$AX$914,MATCH($B990,'[2]PRICELIST, 908u'!$G$7:$G$914,0),23),"NA")</f>
        <v>50</v>
      </c>
      <c r="I990" s="20">
        <f>IFERROR(INDEX('[2]PRICELIST, 908u'!$G$7:$AX$914,MATCH($B990,'[2]PRICELIST, 908u'!$G$7:$G$914,0),22),"NA")</f>
        <v>70</v>
      </c>
      <c r="J990" s="20" t="s">
        <v>25</v>
      </c>
      <c r="K990" s="20" t="str">
        <f>IFERROR(INDEX('[2]PRICELIST, 908u'!$G$7:$AX$914,MATCH($B990,'[2]PRICELIST, 908u'!$G$7:$G$914,0),30),"NA")</f>
        <v>Slant / PINK</v>
      </c>
      <c r="L990" s="20">
        <f>IFERROR(INDEX('[2]PRICELIST, 908u'!$G$7:$AX$914,MATCH($B990,'[2]PRICELIST, 908u'!$G$7:$G$914,0),40),"NA")</f>
        <v>2850000</v>
      </c>
      <c r="M990" s="20">
        <f>IFERROR(INDEX('[2]PRICELIST, 908u'!$G$7:$AX$914,MATCH($B990,'[2]PRICELIST, 908u'!$G$7:$G$914,0),41),"NA")</f>
        <v>100000</v>
      </c>
      <c r="N990" s="58">
        <f t="shared" si="44"/>
        <v>2750000</v>
      </c>
      <c r="O990" s="60"/>
      <c r="P990" s="60">
        <f t="shared" si="43"/>
        <v>2750000</v>
      </c>
    </row>
    <row r="991" spans="2:16">
      <c r="B991" s="20" t="s">
        <v>1142</v>
      </c>
      <c r="C991" s="20" t="s">
        <v>2</v>
      </c>
      <c r="D991" s="20" t="str">
        <f>IFERROR(INDEX('[2]PRICELIST, 908u'!$G$7:$AX$914,MATCH($B991,'[2]PRICELIST, 908u'!$G$7:$G$914,0),18),"NA")</f>
        <v>2024 Batch</v>
      </c>
      <c r="E991" s="20" t="str">
        <f>IFERROR(INDEX([3]AGM!$D$21:$BL$928,MATCH($B991,[3]AGM!$AD$21:$AD$928,0),1),"NA")</f>
        <v>OS</v>
      </c>
      <c r="F991" s="20" t="str">
        <f t="shared" si="42"/>
        <v>Block 07</v>
      </c>
      <c r="G991" s="20" t="str">
        <f t="shared" si="41"/>
        <v>Lot 34</v>
      </c>
      <c r="H991" s="20">
        <f>IFERROR(INDEX('[2]PRICELIST, 908u'!$G$7:$AX$914,MATCH($B991,'[2]PRICELIST, 908u'!$G$7:$G$914,0),23),"NA")</f>
        <v>50</v>
      </c>
      <c r="I991" s="20">
        <f>IFERROR(INDEX('[2]PRICELIST, 908u'!$G$7:$AX$914,MATCH($B991,'[2]PRICELIST, 908u'!$G$7:$G$914,0),22),"NA")</f>
        <v>70</v>
      </c>
      <c r="J991" s="20" t="s">
        <v>25</v>
      </c>
      <c r="K991" s="20" t="str">
        <f>IFERROR(INDEX('[2]PRICELIST, 908u'!$G$7:$AX$914,MATCH($B991,'[2]PRICELIST, 908u'!$G$7:$G$914,0),30),"NA")</f>
        <v>Slant / PURPLE</v>
      </c>
      <c r="L991" s="20">
        <f>IFERROR(INDEX('[2]PRICELIST, 908u'!$G$7:$AX$914,MATCH($B991,'[2]PRICELIST, 908u'!$G$7:$G$914,0),40),"NA")</f>
        <v>2850000</v>
      </c>
      <c r="M991" s="20">
        <f>IFERROR(INDEX('[2]PRICELIST, 908u'!$G$7:$AX$914,MATCH($B991,'[2]PRICELIST, 908u'!$G$7:$G$914,0),41),"NA")</f>
        <v>100000</v>
      </c>
      <c r="N991" s="58">
        <f t="shared" si="44"/>
        <v>2750000</v>
      </c>
      <c r="O991" s="60"/>
      <c r="P991" s="60">
        <f t="shared" si="43"/>
        <v>2750000</v>
      </c>
    </row>
    <row r="992" spans="2:16">
      <c r="B992" s="20" t="s">
        <v>1143</v>
      </c>
      <c r="C992" s="20" t="s">
        <v>2</v>
      </c>
      <c r="D992" s="20" t="str">
        <f>IFERROR(INDEX('[2]PRICELIST, 908u'!$G$7:$AX$914,MATCH($B992,'[2]PRICELIST, 908u'!$G$7:$G$914,0),18),"NA")</f>
        <v>2024 Batch</v>
      </c>
      <c r="E992" s="20" t="str">
        <f>IFERROR(INDEX([3]AGM!$D$21:$BL$928,MATCH($B992,[3]AGM!$AD$21:$AD$928,0),1),"NA")</f>
        <v>OS</v>
      </c>
      <c r="F992" s="20" t="str">
        <f t="shared" si="42"/>
        <v>Block 07</v>
      </c>
      <c r="G992" s="20" t="str">
        <f t="shared" si="41"/>
        <v>Lot 35</v>
      </c>
      <c r="H992" s="20">
        <f>IFERROR(INDEX('[2]PRICELIST, 908u'!$G$7:$AX$914,MATCH($B992,'[2]PRICELIST, 908u'!$G$7:$G$914,0),23),"NA")</f>
        <v>50</v>
      </c>
      <c r="I992" s="20">
        <f>IFERROR(INDEX('[2]PRICELIST, 908u'!$G$7:$AX$914,MATCH($B992,'[2]PRICELIST, 908u'!$G$7:$G$914,0),22),"NA")</f>
        <v>70</v>
      </c>
      <c r="J992" s="20" t="s">
        <v>207</v>
      </c>
      <c r="K992" s="20" t="str">
        <f>IFERROR(INDEX('[2]PRICELIST, 908u'!$G$7:$AX$914,MATCH($B992,'[2]PRICELIST, 908u'!$G$7:$G$914,0),30),"NA")</f>
        <v>Flat / PURPLE</v>
      </c>
      <c r="L992" s="20">
        <f>IFERROR(INDEX('[2]PRICELIST, 908u'!$G$7:$AX$914,MATCH($B992,'[2]PRICELIST, 908u'!$G$7:$G$914,0),40),"NA")</f>
        <v>2650000</v>
      </c>
      <c r="M992" s="20">
        <f>IFERROR(INDEX('[2]PRICELIST, 908u'!$G$7:$AX$914,MATCH($B992,'[2]PRICELIST, 908u'!$G$7:$G$914,0),41),"NA")</f>
        <v>100000</v>
      </c>
      <c r="N992" s="58">
        <f t="shared" si="44"/>
        <v>2550000</v>
      </c>
      <c r="O992" s="60"/>
      <c r="P992" s="60">
        <f t="shared" si="43"/>
        <v>2550000</v>
      </c>
    </row>
    <row r="993" spans="2:16">
      <c r="B993" s="20" t="s">
        <v>1144</v>
      </c>
      <c r="C993" s="20" t="s">
        <v>2</v>
      </c>
      <c r="D993" s="20" t="str">
        <f>IFERROR(INDEX('[2]PRICELIST, 908u'!$G$7:$AX$914,MATCH($B993,'[2]PRICELIST, 908u'!$G$7:$G$914,0),18),"NA")</f>
        <v>2024 Batch</v>
      </c>
      <c r="E993" s="20" t="str">
        <f>IFERROR(INDEX([3]AGM!$D$21:$BL$928,MATCH($B993,[3]AGM!$AD$21:$AD$928,0),1),"NA")</f>
        <v>TS</v>
      </c>
      <c r="F993" s="20" t="str">
        <f t="shared" si="42"/>
        <v>Block 07</v>
      </c>
      <c r="G993" s="20" t="str">
        <f t="shared" si="41"/>
        <v>Lot 36</v>
      </c>
      <c r="H993" s="20">
        <f>IFERROR(INDEX('[2]PRICELIST, 908u'!$G$7:$AX$914,MATCH($B993,'[2]PRICELIST, 908u'!$G$7:$G$914,0),23),"NA")</f>
        <v>50</v>
      </c>
      <c r="I993" s="20">
        <f>IFERROR(INDEX('[2]PRICELIST, 908u'!$G$7:$AX$914,MATCH($B993,'[2]PRICELIST, 908u'!$G$7:$G$914,0),22),"NA")</f>
        <v>70</v>
      </c>
      <c r="J993" s="20" t="s">
        <v>207</v>
      </c>
      <c r="K993" s="20" t="str">
        <f>IFERROR(INDEX('[2]PRICELIST, 908u'!$G$7:$AX$914,MATCH($B993,'[2]PRICELIST, 908u'!$G$7:$G$914,0),30),"NA")</f>
        <v>Flat / PURPLE</v>
      </c>
      <c r="L993" s="20">
        <f>IFERROR(INDEX('[2]PRICELIST, 908u'!$G$7:$AX$914,MATCH($B993,'[2]PRICELIST, 908u'!$G$7:$G$914,0),40),"NA")</f>
        <v>2650000</v>
      </c>
      <c r="M993" s="20">
        <f>IFERROR(INDEX('[2]PRICELIST, 908u'!$G$7:$AX$914,MATCH($B993,'[2]PRICELIST, 908u'!$G$7:$G$914,0),41),"NA")</f>
        <v>100000</v>
      </c>
      <c r="N993" s="58">
        <f t="shared" si="44"/>
        <v>2550000</v>
      </c>
      <c r="O993" s="60"/>
      <c r="P993" s="60">
        <f t="shared" si="43"/>
        <v>2550000</v>
      </c>
    </row>
    <row r="994" spans="2:16">
      <c r="B994" s="20" t="s">
        <v>1145</v>
      </c>
      <c r="C994" s="20" t="s">
        <v>2</v>
      </c>
      <c r="D994" s="20" t="str">
        <f>IFERROR(INDEX('[2]PRICELIST, 908u'!$G$7:$AX$914,MATCH($B994,'[2]PRICELIST, 908u'!$G$7:$G$914,0),18),"NA")</f>
        <v>2024 Batch</v>
      </c>
      <c r="E994" s="20" t="str">
        <f>IFERROR(INDEX([3]AGM!$D$21:$BL$928,MATCH($B994,[3]AGM!$AD$21:$AD$928,0),1),"NA")</f>
        <v>OS</v>
      </c>
      <c r="F994" s="20" t="str">
        <f t="shared" si="42"/>
        <v>Block 07</v>
      </c>
      <c r="G994" s="20" t="str">
        <f t="shared" si="41"/>
        <v>Lot 37</v>
      </c>
      <c r="H994" s="20">
        <f>IFERROR(INDEX('[2]PRICELIST, 908u'!$G$7:$AX$914,MATCH($B994,'[2]PRICELIST, 908u'!$G$7:$G$914,0),23),"NA")</f>
        <v>50</v>
      </c>
      <c r="I994" s="20">
        <f>IFERROR(INDEX('[2]PRICELIST, 908u'!$G$7:$AX$914,MATCH($B994,'[2]PRICELIST, 908u'!$G$7:$G$914,0),22),"NA")</f>
        <v>70</v>
      </c>
      <c r="J994" s="20" t="s">
        <v>25</v>
      </c>
      <c r="K994" s="20" t="str">
        <f>IFERROR(INDEX('[2]PRICELIST, 908u'!$G$7:$AX$914,MATCH($B994,'[2]PRICELIST, 908u'!$G$7:$G$914,0),30),"NA")</f>
        <v>Slant / PURPLE</v>
      </c>
      <c r="L994" s="20">
        <f>IFERROR(INDEX('[2]PRICELIST, 908u'!$G$7:$AX$914,MATCH($B994,'[2]PRICELIST, 908u'!$G$7:$G$914,0),40),"NA")</f>
        <v>2850000</v>
      </c>
      <c r="M994" s="20">
        <f>IFERROR(INDEX('[2]PRICELIST, 908u'!$G$7:$AX$914,MATCH($B994,'[2]PRICELIST, 908u'!$G$7:$G$914,0),41),"NA")</f>
        <v>100000</v>
      </c>
      <c r="N994" s="58">
        <f t="shared" si="44"/>
        <v>2750000</v>
      </c>
      <c r="O994" s="60"/>
      <c r="P994" s="60">
        <f t="shared" si="43"/>
        <v>2750000</v>
      </c>
    </row>
    <row r="995" spans="2:16">
      <c r="B995" s="20" t="s">
        <v>1146</v>
      </c>
      <c r="C995" s="20" t="s">
        <v>2</v>
      </c>
      <c r="D995" s="20" t="str">
        <f>IFERROR(INDEX('[2]PRICELIST, 908u'!$G$7:$AX$914,MATCH($B995,'[2]PRICELIST, 908u'!$G$7:$G$914,0),18),"NA")</f>
        <v>2024 Batch</v>
      </c>
      <c r="E995" s="20" t="str">
        <f>IFERROR(INDEX([3]AGM!$D$21:$BL$928,MATCH($B995,[3]AGM!$AD$21:$AD$928,0),1),"NA")</f>
        <v>OS</v>
      </c>
      <c r="F995" s="20" t="str">
        <f t="shared" si="42"/>
        <v>Block 07</v>
      </c>
      <c r="G995" s="20" t="str">
        <f t="shared" si="41"/>
        <v>Lot 38</v>
      </c>
      <c r="H995" s="20">
        <f>IFERROR(INDEX('[2]PRICELIST, 908u'!$G$7:$AX$914,MATCH($B995,'[2]PRICELIST, 908u'!$G$7:$G$914,0),23),"NA")</f>
        <v>50</v>
      </c>
      <c r="I995" s="20">
        <f>IFERROR(INDEX('[2]PRICELIST, 908u'!$G$7:$AX$914,MATCH($B995,'[2]PRICELIST, 908u'!$G$7:$G$914,0),22),"NA")</f>
        <v>70</v>
      </c>
      <c r="J995" s="20" t="s">
        <v>207</v>
      </c>
      <c r="K995" s="20" t="str">
        <f>IFERROR(INDEX('[2]PRICELIST, 908u'!$G$7:$AX$914,MATCH($B995,'[2]PRICELIST, 908u'!$G$7:$G$914,0),30),"NA")</f>
        <v>Slant / GREEN</v>
      </c>
      <c r="L995" s="20">
        <f>IFERROR(INDEX('[2]PRICELIST, 908u'!$G$7:$AX$914,MATCH($B995,'[2]PRICELIST, 908u'!$G$7:$G$914,0),40),"NA")</f>
        <v>2650000</v>
      </c>
      <c r="M995" s="20">
        <f>IFERROR(INDEX('[2]PRICELIST, 908u'!$G$7:$AX$914,MATCH($B995,'[2]PRICELIST, 908u'!$G$7:$G$914,0),41),"NA")</f>
        <v>100000</v>
      </c>
      <c r="N995" s="58">
        <f t="shared" si="44"/>
        <v>2550000</v>
      </c>
      <c r="O995" s="60"/>
      <c r="P995" s="60">
        <f t="shared" si="43"/>
        <v>2550000</v>
      </c>
    </row>
    <row r="996" spans="2:16">
      <c r="B996" s="20" t="s">
        <v>1147</v>
      </c>
      <c r="C996" s="20" t="s">
        <v>2</v>
      </c>
      <c r="D996" s="20" t="str">
        <f>IFERROR(INDEX('[2]PRICELIST, 908u'!$G$7:$AX$914,MATCH($B996,'[2]PRICELIST, 908u'!$G$7:$G$914,0),18),"NA")</f>
        <v>2024 Batch</v>
      </c>
      <c r="E996" s="20" t="str">
        <f>IFERROR(INDEX([3]AGM!$D$21:$BL$928,MATCH($B996,[3]AGM!$AD$21:$AD$928,0),1),"NA")</f>
        <v>OS</v>
      </c>
      <c r="F996" s="20" t="str">
        <f t="shared" si="42"/>
        <v>Block 07</v>
      </c>
      <c r="G996" s="20" t="str">
        <f t="shared" si="41"/>
        <v>Lot 39</v>
      </c>
      <c r="H996" s="20">
        <f>IFERROR(INDEX('[2]PRICELIST, 908u'!$G$7:$AX$914,MATCH($B996,'[2]PRICELIST, 908u'!$G$7:$G$914,0),23),"NA")</f>
        <v>50</v>
      </c>
      <c r="I996" s="20">
        <f>IFERROR(INDEX('[2]PRICELIST, 908u'!$G$7:$AX$914,MATCH($B996,'[2]PRICELIST, 908u'!$G$7:$G$914,0),22),"NA")</f>
        <v>70</v>
      </c>
      <c r="J996" s="20" t="s">
        <v>207</v>
      </c>
      <c r="K996" s="20" t="str">
        <f>IFERROR(INDEX('[2]PRICELIST, 908u'!$G$7:$AX$914,MATCH($B996,'[2]PRICELIST, 908u'!$G$7:$G$914,0),30),"NA")</f>
        <v>Flat / GREEN</v>
      </c>
      <c r="L996" s="20">
        <f>IFERROR(INDEX('[2]PRICELIST, 908u'!$G$7:$AX$914,MATCH($B996,'[2]PRICELIST, 908u'!$G$7:$G$914,0),40),"NA")</f>
        <v>2650000</v>
      </c>
      <c r="M996" s="20">
        <f>IFERROR(INDEX('[2]PRICELIST, 908u'!$G$7:$AX$914,MATCH($B996,'[2]PRICELIST, 908u'!$G$7:$G$914,0),41),"NA")</f>
        <v>100000</v>
      </c>
      <c r="N996" s="58">
        <f t="shared" si="44"/>
        <v>2550000</v>
      </c>
      <c r="O996" s="60"/>
      <c r="P996" s="60">
        <f t="shared" si="43"/>
        <v>2550000</v>
      </c>
    </row>
    <row r="997" spans="2:16">
      <c r="B997" s="20" t="s">
        <v>1148</v>
      </c>
      <c r="C997" s="20" t="s">
        <v>2</v>
      </c>
      <c r="D997" s="20" t="str">
        <f>IFERROR(INDEX('[2]PRICELIST, 908u'!$G$7:$AX$914,MATCH($B997,'[2]PRICELIST, 908u'!$G$7:$G$914,0),18),"NA")</f>
        <v>2024 Batch</v>
      </c>
      <c r="E997" s="20" t="str">
        <f>IFERROR(INDEX([3]AGM!$D$21:$BL$928,MATCH($B997,[3]AGM!$AD$21:$AD$928,0),1),"NA")</f>
        <v>OS</v>
      </c>
      <c r="F997" s="20" t="str">
        <f t="shared" si="42"/>
        <v>Block 07</v>
      </c>
      <c r="G997" s="20" t="str">
        <f t="shared" si="41"/>
        <v>Lot 40</v>
      </c>
      <c r="H997" s="20">
        <f>IFERROR(INDEX('[2]PRICELIST, 908u'!$G$7:$AX$914,MATCH($B997,'[2]PRICELIST, 908u'!$G$7:$G$914,0),23),"NA")</f>
        <v>50</v>
      </c>
      <c r="I997" s="20">
        <f>IFERROR(INDEX('[2]PRICELIST, 908u'!$G$7:$AX$914,MATCH($B997,'[2]PRICELIST, 908u'!$G$7:$G$914,0),22),"NA")</f>
        <v>70</v>
      </c>
      <c r="J997" s="20" t="s">
        <v>25</v>
      </c>
      <c r="K997" s="20" t="str">
        <f>IFERROR(INDEX('[2]PRICELIST, 908u'!$G$7:$AX$914,MATCH($B997,'[2]PRICELIST, 908u'!$G$7:$G$914,0),30),"NA")</f>
        <v>Flat / GREEN</v>
      </c>
      <c r="L997" s="20">
        <f>IFERROR(INDEX('[2]PRICELIST, 908u'!$G$7:$AX$914,MATCH($B997,'[2]PRICELIST, 908u'!$G$7:$G$914,0),40),"NA")</f>
        <v>2850000</v>
      </c>
      <c r="M997" s="20">
        <f>IFERROR(INDEX('[2]PRICELIST, 908u'!$G$7:$AX$914,MATCH($B997,'[2]PRICELIST, 908u'!$G$7:$G$914,0),41),"NA")</f>
        <v>100000</v>
      </c>
      <c r="N997" s="58">
        <f t="shared" si="44"/>
        <v>2750000</v>
      </c>
      <c r="O997" s="60"/>
      <c r="P997" s="60">
        <f t="shared" si="43"/>
        <v>2750000</v>
      </c>
    </row>
    <row r="998" spans="2:16">
      <c r="B998" s="20" t="s">
        <v>1149</v>
      </c>
      <c r="C998" s="20" t="s">
        <v>2</v>
      </c>
      <c r="D998" s="20" t="str">
        <f>IFERROR(INDEX('[2]PRICELIST, 908u'!$G$7:$AX$914,MATCH($B998,'[2]PRICELIST, 908u'!$G$7:$G$914,0),18),"NA")</f>
        <v>2024 Batch</v>
      </c>
      <c r="E998" s="20" t="str">
        <f>IFERROR(INDEX([3]AGM!$D$21:$BL$928,MATCH($B998,[3]AGM!$AD$21:$AD$928,0),1),"NA")</f>
        <v>OS</v>
      </c>
      <c r="F998" s="20" t="str">
        <f t="shared" si="42"/>
        <v>Block 07</v>
      </c>
      <c r="G998" s="20" t="str">
        <f t="shared" si="41"/>
        <v>Lot 41</v>
      </c>
      <c r="H998" s="20">
        <f>IFERROR(INDEX('[2]PRICELIST, 908u'!$G$7:$AX$914,MATCH($B998,'[2]PRICELIST, 908u'!$G$7:$G$914,0),23),"NA")</f>
        <v>50</v>
      </c>
      <c r="I998" s="20">
        <f>IFERROR(INDEX('[2]PRICELIST, 908u'!$G$7:$AX$914,MATCH($B998,'[2]PRICELIST, 908u'!$G$7:$G$914,0),22),"NA")</f>
        <v>70</v>
      </c>
      <c r="J998" s="20" t="s">
        <v>207</v>
      </c>
      <c r="K998" s="20" t="str">
        <f>IFERROR(INDEX('[2]PRICELIST, 908u'!$G$7:$AX$914,MATCH($B998,'[2]PRICELIST, 908u'!$G$7:$G$914,0),30),"NA")</f>
        <v>Slant / GREEN</v>
      </c>
      <c r="L998" s="20">
        <f>IFERROR(INDEX('[2]PRICELIST, 908u'!$G$7:$AX$914,MATCH($B998,'[2]PRICELIST, 908u'!$G$7:$G$914,0),40),"NA")</f>
        <v>2650000</v>
      </c>
      <c r="M998" s="20">
        <f>IFERROR(INDEX('[2]PRICELIST, 908u'!$G$7:$AX$914,MATCH($B998,'[2]PRICELIST, 908u'!$G$7:$G$914,0),41),"NA")</f>
        <v>100000</v>
      </c>
      <c r="N998" s="58">
        <f t="shared" si="44"/>
        <v>2550000</v>
      </c>
      <c r="O998" s="60"/>
      <c r="P998" s="60">
        <f t="shared" si="43"/>
        <v>2550000</v>
      </c>
    </row>
    <row r="999" spans="2:16">
      <c r="B999" s="20" t="s">
        <v>1150</v>
      </c>
      <c r="C999" s="20" t="s">
        <v>2</v>
      </c>
      <c r="D999" s="20" t="str">
        <f>IFERROR(INDEX('[2]PRICELIST, 908u'!$G$7:$AX$914,MATCH($B999,'[2]PRICELIST, 908u'!$G$7:$G$914,0),18),"NA")</f>
        <v>2024 Batch</v>
      </c>
      <c r="E999" s="20" t="str">
        <f>IFERROR(INDEX([3]AGM!$D$21:$BL$928,MATCH($B999,[3]AGM!$AD$21:$AD$928,0),1),"NA")</f>
        <v>OS</v>
      </c>
      <c r="F999" s="20" t="str">
        <f t="shared" si="42"/>
        <v>Block 07</v>
      </c>
      <c r="G999" s="20" t="str">
        <f t="shared" si="41"/>
        <v>Lot 42</v>
      </c>
      <c r="H999" s="20">
        <f>IFERROR(INDEX('[2]PRICELIST, 908u'!$G$7:$AX$914,MATCH($B999,'[2]PRICELIST, 908u'!$G$7:$G$914,0),23),"NA")</f>
        <v>50</v>
      </c>
      <c r="I999" s="20">
        <f>IFERROR(INDEX('[2]PRICELIST, 908u'!$G$7:$AX$914,MATCH($B999,'[2]PRICELIST, 908u'!$G$7:$G$914,0),22),"NA")</f>
        <v>100</v>
      </c>
      <c r="J999" s="20" t="s">
        <v>25</v>
      </c>
      <c r="K999" s="20" t="str">
        <f>IFERROR(INDEX('[2]PRICELIST, 908u'!$G$7:$AX$914,MATCH($B999,'[2]PRICELIST, 908u'!$G$7:$G$914,0),30),"NA")</f>
        <v>Slant / PINK</v>
      </c>
      <c r="L999" s="20">
        <f>IFERROR(INDEX('[2]PRICELIST, 908u'!$G$7:$AX$914,MATCH($B999,'[2]PRICELIST, 908u'!$G$7:$G$914,0),40),"NA")</f>
        <v>3300000</v>
      </c>
      <c r="M999" s="20">
        <f>IFERROR(INDEX('[2]PRICELIST, 908u'!$G$7:$AX$914,MATCH($B999,'[2]PRICELIST, 908u'!$G$7:$G$914,0),41),"NA")</f>
        <v>100000</v>
      </c>
      <c r="N999" s="58">
        <f t="shared" si="44"/>
        <v>3200000</v>
      </c>
      <c r="O999" s="60"/>
      <c r="P999" s="60">
        <f t="shared" si="43"/>
        <v>3200000</v>
      </c>
    </row>
    <row r="1000" spans="2:16">
      <c r="B1000" s="20" t="s">
        <v>1151</v>
      </c>
      <c r="C1000" s="20" t="s">
        <v>2</v>
      </c>
      <c r="D1000" s="20" t="str">
        <f>IFERROR(INDEX('[2]PRICELIST, 908u'!$G$7:$AX$914,MATCH($B1000,'[2]PRICELIST, 908u'!$G$7:$G$914,0),18),"NA")</f>
        <v>2024 Batch</v>
      </c>
      <c r="E1000" s="20" t="str">
        <f>IFERROR(INDEX([3]AGM!$D$21:$BL$928,MATCH($B1000,[3]AGM!$AD$21:$AD$928,0),1),"NA")</f>
        <v>OS</v>
      </c>
      <c r="F1000" s="20" t="str">
        <f t="shared" si="42"/>
        <v>Block 08</v>
      </c>
      <c r="G1000" s="20" t="str">
        <f t="shared" si="41"/>
        <v>Lot 01</v>
      </c>
      <c r="H1000" s="20">
        <f>IFERROR(INDEX('[2]PRICELIST, 908u'!$G$7:$AX$914,MATCH($B1000,'[2]PRICELIST, 908u'!$G$7:$G$914,0),23),"NA")</f>
        <v>50</v>
      </c>
      <c r="I1000" s="20">
        <f>IFERROR(INDEX('[2]PRICELIST, 908u'!$G$7:$AX$914,MATCH($B1000,'[2]PRICELIST, 908u'!$G$7:$G$914,0),22),"NA")</f>
        <v>89</v>
      </c>
      <c r="J1000" s="20" t="s">
        <v>25</v>
      </c>
      <c r="K1000" s="20" t="str">
        <f>IFERROR(INDEX('[2]PRICELIST, 908u'!$G$7:$AX$914,MATCH($B1000,'[2]PRICELIST, 908u'!$G$7:$G$914,0),30),"NA")</f>
        <v>Flat / PURPLE</v>
      </c>
      <c r="L1000" s="20">
        <f>IFERROR(INDEX('[2]PRICELIST, 908u'!$G$7:$AX$914,MATCH($B1000,'[2]PRICELIST, 908u'!$G$7:$G$914,0),40),"NA")</f>
        <v>3135000</v>
      </c>
      <c r="M1000" s="20">
        <f>IFERROR(INDEX('[2]PRICELIST, 908u'!$G$7:$AX$914,MATCH($B1000,'[2]PRICELIST, 908u'!$G$7:$G$914,0),41),"NA")</f>
        <v>100000</v>
      </c>
      <c r="N1000" s="58">
        <f t="shared" si="44"/>
        <v>3035000</v>
      </c>
      <c r="O1000" s="60"/>
      <c r="P1000" s="60">
        <f t="shared" si="43"/>
        <v>3035000</v>
      </c>
    </row>
    <row r="1001" spans="2:16">
      <c r="B1001" s="20" t="s">
        <v>1152</v>
      </c>
      <c r="C1001" s="20" t="s">
        <v>2</v>
      </c>
      <c r="D1001" s="20" t="str">
        <f>IFERROR(INDEX('[2]PRICELIST, 908u'!$G$7:$AX$914,MATCH($B1001,'[2]PRICELIST, 908u'!$G$7:$G$914,0),18),"NA")</f>
        <v>2024 Batch</v>
      </c>
      <c r="E1001" s="20" t="str">
        <f>IFERROR(INDEX([3]AGM!$D$21:$BL$928,MATCH($B1001,[3]AGM!$AD$21:$AD$928,0),1),"NA")</f>
        <v>OS</v>
      </c>
      <c r="F1001" s="20" t="str">
        <f t="shared" si="42"/>
        <v>Block 08</v>
      </c>
      <c r="G1001" s="20" t="str">
        <f t="shared" si="41"/>
        <v>Lot 02</v>
      </c>
      <c r="H1001" s="20">
        <f>IFERROR(INDEX('[2]PRICELIST, 908u'!$G$7:$AX$914,MATCH($B1001,'[2]PRICELIST, 908u'!$G$7:$G$914,0),23),"NA")</f>
        <v>50</v>
      </c>
      <c r="I1001" s="20">
        <f>IFERROR(INDEX('[2]PRICELIST, 908u'!$G$7:$AX$914,MATCH($B1001,'[2]PRICELIST, 908u'!$G$7:$G$914,0),22),"NA")</f>
        <v>70</v>
      </c>
      <c r="J1001" s="20" t="s">
        <v>207</v>
      </c>
      <c r="K1001" s="20" t="str">
        <f>IFERROR(INDEX('[2]PRICELIST, 908u'!$G$7:$AX$914,MATCH($B1001,'[2]PRICELIST, 908u'!$G$7:$G$914,0),30),"NA")</f>
        <v>Slant / PURPLE</v>
      </c>
      <c r="L1001" s="20">
        <f>IFERROR(INDEX('[2]PRICELIST, 908u'!$G$7:$AX$914,MATCH($B1001,'[2]PRICELIST, 908u'!$G$7:$G$914,0),40),"NA")</f>
        <v>2650000</v>
      </c>
      <c r="M1001" s="20">
        <f>IFERROR(INDEX('[2]PRICELIST, 908u'!$G$7:$AX$914,MATCH($B1001,'[2]PRICELIST, 908u'!$G$7:$G$914,0),41),"NA")</f>
        <v>100000</v>
      </c>
      <c r="N1001" s="58">
        <f t="shared" si="44"/>
        <v>2550000</v>
      </c>
      <c r="O1001" s="60"/>
      <c r="P1001" s="60">
        <f t="shared" si="43"/>
        <v>2550000</v>
      </c>
    </row>
    <row r="1002" spans="2:16">
      <c r="B1002" s="20" t="s">
        <v>1153</v>
      </c>
      <c r="C1002" s="20" t="s">
        <v>2</v>
      </c>
      <c r="D1002" s="20" t="str">
        <f>IFERROR(INDEX('[2]PRICELIST, 908u'!$G$7:$AX$914,MATCH($B1002,'[2]PRICELIST, 908u'!$G$7:$G$914,0),18),"NA")</f>
        <v>2024 Batch</v>
      </c>
      <c r="E1002" s="20" t="str">
        <f>IFERROR(INDEX([3]AGM!$D$21:$BL$928,MATCH($B1002,[3]AGM!$AD$21:$AD$928,0),1),"NA")</f>
        <v>OS</v>
      </c>
      <c r="F1002" s="20" t="str">
        <f t="shared" si="42"/>
        <v>Block 08</v>
      </c>
      <c r="G1002" s="20" t="str">
        <f t="shared" si="41"/>
        <v>Lot 03</v>
      </c>
      <c r="H1002" s="20">
        <f>IFERROR(INDEX('[2]PRICELIST, 908u'!$G$7:$AX$914,MATCH($B1002,'[2]PRICELIST, 908u'!$G$7:$G$914,0),23),"NA")</f>
        <v>50</v>
      </c>
      <c r="I1002" s="20">
        <f>IFERROR(INDEX('[2]PRICELIST, 908u'!$G$7:$AX$914,MATCH($B1002,'[2]PRICELIST, 908u'!$G$7:$G$914,0),22),"NA")</f>
        <v>70</v>
      </c>
      <c r="J1002" s="20" t="s">
        <v>25</v>
      </c>
      <c r="K1002" s="20" t="str">
        <f>IFERROR(INDEX('[2]PRICELIST, 908u'!$G$7:$AX$914,MATCH($B1002,'[2]PRICELIST, 908u'!$G$7:$G$914,0),30),"NA")</f>
        <v>Slant / PURPLE</v>
      </c>
      <c r="L1002" s="20">
        <f>IFERROR(INDEX('[2]PRICELIST, 908u'!$G$7:$AX$914,MATCH($B1002,'[2]PRICELIST, 908u'!$G$7:$G$914,0),40),"NA")</f>
        <v>2850000</v>
      </c>
      <c r="M1002" s="20">
        <f>IFERROR(INDEX('[2]PRICELIST, 908u'!$G$7:$AX$914,MATCH($B1002,'[2]PRICELIST, 908u'!$G$7:$G$914,0),41),"NA")</f>
        <v>100000</v>
      </c>
      <c r="N1002" s="58">
        <f t="shared" si="44"/>
        <v>2750000</v>
      </c>
      <c r="O1002" s="60"/>
      <c r="P1002" s="60">
        <f t="shared" si="43"/>
        <v>2750000</v>
      </c>
    </row>
    <row r="1003" spans="2:16">
      <c r="B1003" s="20" t="s">
        <v>1154</v>
      </c>
      <c r="C1003" s="20" t="s">
        <v>2</v>
      </c>
      <c r="D1003" s="20" t="str">
        <f>IFERROR(INDEX('[2]PRICELIST, 908u'!$G$7:$AX$914,MATCH($B1003,'[2]PRICELIST, 908u'!$G$7:$G$914,0),18),"NA")</f>
        <v>2024 Batch</v>
      </c>
      <c r="E1003" s="20" t="str">
        <f>IFERROR(INDEX([3]AGM!$D$21:$BL$928,MATCH($B1003,[3]AGM!$AD$21:$AD$928,0),1),"NA")</f>
        <v>OS</v>
      </c>
      <c r="F1003" s="20" t="str">
        <f t="shared" si="42"/>
        <v>Block 08</v>
      </c>
      <c r="G1003" s="20" t="str">
        <f t="shared" si="41"/>
        <v>Lot 04</v>
      </c>
      <c r="H1003" s="20">
        <f>IFERROR(INDEX('[2]PRICELIST, 908u'!$G$7:$AX$914,MATCH($B1003,'[2]PRICELIST, 908u'!$G$7:$G$914,0),23),"NA")</f>
        <v>50</v>
      </c>
      <c r="I1003" s="20">
        <f>IFERROR(INDEX('[2]PRICELIST, 908u'!$G$7:$AX$914,MATCH($B1003,'[2]PRICELIST, 908u'!$G$7:$G$914,0),22),"NA")</f>
        <v>70</v>
      </c>
      <c r="J1003" s="20" t="s">
        <v>25</v>
      </c>
      <c r="K1003" s="20" t="str">
        <f>IFERROR(INDEX('[2]PRICELIST, 908u'!$G$7:$AX$914,MATCH($B1003,'[2]PRICELIST, 908u'!$G$7:$G$914,0),30),"NA")</f>
        <v>Flat / PURPLE</v>
      </c>
      <c r="L1003" s="20">
        <f>IFERROR(INDEX('[2]PRICELIST, 908u'!$G$7:$AX$914,MATCH($B1003,'[2]PRICELIST, 908u'!$G$7:$G$914,0),40),"NA")</f>
        <v>2850000</v>
      </c>
      <c r="M1003" s="20">
        <f>IFERROR(INDEX('[2]PRICELIST, 908u'!$G$7:$AX$914,MATCH($B1003,'[2]PRICELIST, 908u'!$G$7:$G$914,0),41),"NA")</f>
        <v>100000</v>
      </c>
      <c r="N1003" s="58">
        <f t="shared" si="44"/>
        <v>2750000</v>
      </c>
      <c r="O1003" s="60"/>
      <c r="P1003" s="60">
        <f t="shared" si="43"/>
        <v>2750000</v>
      </c>
    </row>
    <row r="1004" spans="2:16">
      <c r="B1004" s="20" t="s">
        <v>1155</v>
      </c>
      <c r="C1004" s="20" t="s">
        <v>2</v>
      </c>
      <c r="D1004" s="20" t="str">
        <f>IFERROR(INDEX('[2]PRICELIST, 908u'!$G$7:$AX$914,MATCH($B1004,'[2]PRICELIST, 908u'!$G$7:$G$914,0),18),"NA")</f>
        <v>2024 Batch</v>
      </c>
      <c r="E1004" s="20" t="str">
        <f>IFERROR(INDEX([3]AGM!$D$21:$BL$928,MATCH($B1004,[3]AGM!$AD$21:$AD$928,0),1),"NA")</f>
        <v>OS</v>
      </c>
      <c r="F1004" s="20" t="str">
        <f t="shared" si="42"/>
        <v>Block 08</v>
      </c>
      <c r="G1004" s="20" t="str">
        <f t="shared" si="41"/>
        <v>Lot 05</v>
      </c>
      <c r="H1004" s="20">
        <f>IFERROR(INDEX('[2]PRICELIST, 908u'!$G$7:$AX$914,MATCH($B1004,'[2]PRICELIST, 908u'!$G$7:$G$914,0),23),"NA")</f>
        <v>50</v>
      </c>
      <c r="I1004" s="20">
        <f>IFERROR(INDEX('[2]PRICELIST, 908u'!$G$7:$AX$914,MATCH($B1004,'[2]PRICELIST, 908u'!$G$7:$G$914,0),22),"NA")</f>
        <v>70</v>
      </c>
      <c r="J1004" s="20" t="s">
        <v>207</v>
      </c>
      <c r="K1004" s="20" t="str">
        <f>IFERROR(INDEX('[2]PRICELIST, 908u'!$G$7:$AX$914,MATCH($B1004,'[2]PRICELIST, 908u'!$G$7:$G$914,0),30),"NA")</f>
        <v>Flat / PINK</v>
      </c>
      <c r="L1004" s="20">
        <f>IFERROR(INDEX('[2]PRICELIST, 908u'!$G$7:$AX$914,MATCH($B1004,'[2]PRICELIST, 908u'!$G$7:$G$914,0),40),"NA")</f>
        <v>2650000</v>
      </c>
      <c r="M1004" s="20">
        <f>IFERROR(INDEX('[2]PRICELIST, 908u'!$G$7:$AX$914,MATCH($B1004,'[2]PRICELIST, 908u'!$G$7:$G$914,0),41),"NA")</f>
        <v>100000</v>
      </c>
      <c r="N1004" s="58">
        <f t="shared" si="44"/>
        <v>2550000</v>
      </c>
      <c r="O1004" s="60"/>
      <c r="P1004" s="60">
        <f t="shared" si="43"/>
        <v>2550000</v>
      </c>
    </row>
    <row r="1005" spans="2:16">
      <c r="B1005" s="20" t="s">
        <v>1156</v>
      </c>
      <c r="C1005" s="20" t="s">
        <v>2</v>
      </c>
      <c r="D1005" s="20" t="str">
        <f>IFERROR(INDEX('[2]PRICELIST, 908u'!$G$7:$AX$914,MATCH($B1005,'[2]PRICELIST, 908u'!$G$7:$G$914,0),18),"NA")</f>
        <v>2024 Batch</v>
      </c>
      <c r="E1005" s="20" t="str">
        <f>IFERROR(INDEX([3]AGM!$D$21:$BL$928,MATCH($B1005,[3]AGM!$AD$21:$AD$928,0),1),"NA")</f>
        <v>OS</v>
      </c>
      <c r="F1005" s="20" t="str">
        <f t="shared" si="42"/>
        <v>Block 08</v>
      </c>
      <c r="G1005" s="20" t="str">
        <f t="shared" si="41"/>
        <v>Lot 06</v>
      </c>
      <c r="H1005" s="20">
        <f>IFERROR(INDEX('[2]PRICELIST, 908u'!$G$7:$AX$914,MATCH($B1005,'[2]PRICELIST, 908u'!$G$7:$G$914,0),23),"NA")</f>
        <v>50</v>
      </c>
      <c r="I1005" s="20">
        <f>IFERROR(INDEX('[2]PRICELIST, 908u'!$G$7:$AX$914,MATCH($B1005,'[2]PRICELIST, 908u'!$G$7:$G$914,0),22),"NA")</f>
        <v>70</v>
      </c>
      <c r="J1005" s="20" t="s">
        <v>25</v>
      </c>
      <c r="K1005" s="20" t="str">
        <f>IFERROR(INDEX('[2]PRICELIST, 908u'!$G$7:$AX$914,MATCH($B1005,'[2]PRICELIST, 908u'!$G$7:$G$914,0),30),"NA")</f>
        <v>Slant / PINK</v>
      </c>
      <c r="L1005" s="20">
        <f>IFERROR(INDEX('[2]PRICELIST, 908u'!$G$7:$AX$914,MATCH($B1005,'[2]PRICELIST, 908u'!$G$7:$G$914,0),40),"NA")</f>
        <v>2850000</v>
      </c>
      <c r="M1005" s="20">
        <f>IFERROR(INDEX('[2]PRICELIST, 908u'!$G$7:$AX$914,MATCH($B1005,'[2]PRICELIST, 908u'!$G$7:$G$914,0),41),"NA")</f>
        <v>100000</v>
      </c>
      <c r="N1005" s="58">
        <f t="shared" si="44"/>
        <v>2750000</v>
      </c>
      <c r="O1005" s="60"/>
      <c r="P1005" s="60">
        <f t="shared" si="43"/>
        <v>2750000</v>
      </c>
    </row>
    <row r="1006" spans="2:16">
      <c r="B1006" s="20" t="s">
        <v>1157</v>
      </c>
      <c r="C1006" s="20" t="s">
        <v>2</v>
      </c>
      <c r="D1006" s="20" t="str">
        <f>IFERROR(INDEX('[2]PRICELIST, 908u'!$G$7:$AX$914,MATCH($B1006,'[2]PRICELIST, 908u'!$G$7:$G$914,0),18),"NA")</f>
        <v>2024 Batch</v>
      </c>
      <c r="E1006" s="20" t="str">
        <f>IFERROR(INDEX([3]AGM!$D$21:$BL$928,MATCH($B1006,[3]AGM!$AD$21:$AD$928,0),1),"NA")</f>
        <v>OS</v>
      </c>
      <c r="F1006" s="20" t="str">
        <f t="shared" si="42"/>
        <v>Block 08</v>
      </c>
      <c r="G1006" s="20" t="str">
        <f t="shared" si="41"/>
        <v>Lot 07</v>
      </c>
      <c r="H1006" s="20">
        <f>IFERROR(INDEX('[2]PRICELIST, 908u'!$G$7:$AX$914,MATCH($B1006,'[2]PRICELIST, 908u'!$G$7:$G$914,0),23),"NA")</f>
        <v>50</v>
      </c>
      <c r="I1006" s="20">
        <f>IFERROR(INDEX('[2]PRICELIST, 908u'!$G$7:$AX$914,MATCH($B1006,'[2]PRICELIST, 908u'!$G$7:$G$914,0),22),"NA")</f>
        <v>70</v>
      </c>
      <c r="J1006" s="20" t="s">
        <v>25</v>
      </c>
      <c r="K1006" s="20" t="str">
        <f>IFERROR(INDEX('[2]PRICELIST, 908u'!$G$7:$AX$914,MATCH($B1006,'[2]PRICELIST, 908u'!$G$7:$G$914,0),30),"NA")</f>
        <v>Slant / PINK</v>
      </c>
      <c r="L1006" s="20">
        <f>IFERROR(INDEX('[2]PRICELIST, 908u'!$G$7:$AX$914,MATCH($B1006,'[2]PRICELIST, 908u'!$G$7:$G$914,0),40),"NA")</f>
        <v>2850000</v>
      </c>
      <c r="M1006" s="20">
        <f>IFERROR(INDEX('[2]PRICELIST, 908u'!$G$7:$AX$914,MATCH($B1006,'[2]PRICELIST, 908u'!$G$7:$G$914,0),41),"NA")</f>
        <v>100000</v>
      </c>
      <c r="N1006" s="58">
        <f t="shared" si="44"/>
        <v>2750000</v>
      </c>
      <c r="O1006" s="60"/>
      <c r="P1006" s="60">
        <f t="shared" si="43"/>
        <v>2750000</v>
      </c>
    </row>
    <row r="1007" spans="2:16">
      <c r="B1007" s="20" t="s">
        <v>1158</v>
      </c>
      <c r="C1007" s="20" t="s">
        <v>2</v>
      </c>
      <c r="D1007" s="20" t="str">
        <f>IFERROR(INDEX('[2]PRICELIST, 908u'!$G$7:$AX$914,MATCH($B1007,'[2]PRICELIST, 908u'!$G$7:$G$914,0),18),"NA")</f>
        <v>2024 Batch</v>
      </c>
      <c r="E1007" s="20" t="str">
        <f>IFERROR(INDEX([3]AGM!$D$21:$BL$928,MATCH($B1007,[3]AGM!$AD$21:$AD$928,0),1),"NA")</f>
        <v>OS</v>
      </c>
      <c r="F1007" s="20" t="str">
        <f t="shared" si="42"/>
        <v>Block 08</v>
      </c>
      <c r="G1007" s="20" t="str">
        <f t="shared" si="41"/>
        <v>Lot 08</v>
      </c>
      <c r="H1007" s="20">
        <f>IFERROR(INDEX('[2]PRICELIST, 908u'!$G$7:$AX$914,MATCH($B1007,'[2]PRICELIST, 908u'!$G$7:$G$914,0),23),"NA")</f>
        <v>50</v>
      </c>
      <c r="I1007" s="20">
        <f>IFERROR(INDEX('[2]PRICELIST, 908u'!$G$7:$AX$914,MATCH($B1007,'[2]PRICELIST, 908u'!$G$7:$G$914,0),22),"NA")</f>
        <v>70</v>
      </c>
      <c r="J1007" s="20" t="s">
        <v>25</v>
      </c>
      <c r="K1007" s="20" t="str">
        <f>IFERROR(INDEX('[2]PRICELIST, 908u'!$G$7:$AX$914,MATCH($B1007,'[2]PRICELIST, 908u'!$G$7:$G$914,0),30),"NA")</f>
        <v>Flat / PINK</v>
      </c>
      <c r="L1007" s="20">
        <f>IFERROR(INDEX('[2]PRICELIST, 908u'!$G$7:$AX$914,MATCH($B1007,'[2]PRICELIST, 908u'!$G$7:$G$914,0),40),"NA")</f>
        <v>2850000</v>
      </c>
      <c r="M1007" s="20">
        <f>IFERROR(INDEX('[2]PRICELIST, 908u'!$G$7:$AX$914,MATCH($B1007,'[2]PRICELIST, 908u'!$G$7:$G$914,0),41),"NA")</f>
        <v>100000</v>
      </c>
      <c r="N1007" s="58">
        <f t="shared" si="44"/>
        <v>2750000</v>
      </c>
      <c r="O1007" s="60"/>
      <c r="P1007" s="60">
        <f t="shared" si="43"/>
        <v>2750000</v>
      </c>
    </row>
    <row r="1008" spans="2:16">
      <c r="B1008" s="20" t="s">
        <v>1159</v>
      </c>
      <c r="C1008" s="20" t="s">
        <v>2</v>
      </c>
      <c r="D1008" s="20" t="str">
        <f>IFERROR(INDEX('[2]PRICELIST, 908u'!$G$7:$AX$914,MATCH($B1008,'[2]PRICELIST, 908u'!$G$7:$G$914,0),18),"NA")</f>
        <v>2024 Batch</v>
      </c>
      <c r="E1008" s="20" t="str">
        <f>IFERROR(INDEX([3]AGM!$D$21:$BL$928,MATCH($B1008,[3]AGM!$AD$21:$AD$928,0),1),"NA")</f>
        <v>OS</v>
      </c>
      <c r="F1008" s="20" t="str">
        <f t="shared" si="42"/>
        <v>Block 08</v>
      </c>
      <c r="G1008" s="20" t="str">
        <f t="shared" si="41"/>
        <v>Lot 09</v>
      </c>
      <c r="H1008" s="20">
        <f>IFERROR(INDEX('[2]PRICELIST, 908u'!$G$7:$AX$914,MATCH($B1008,'[2]PRICELIST, 908u'!$G$7:$G$914,0),23),"NA")</f>
        <v>50</v>
      </c>
      <c r="I1008" s="20">
        <f>IFERROR(INDEX('[2]PRICELIST, 908u'!$G$7:$AX$914,MATCH($B1008,'[2]PRICELIST, 908u'!$G$7:$G$914,0),22),"NA")</f>
        <v>70</v>
      </c>
      <c r="J1008" s="20" t="s">
        <v>25</v>
      </c>
      <c r="K1008" s="20" t="str">
        <f>IFERROR(INDEX('[2]PRICELIST, 908u'!$G$7:$AX$914,MATCH($B1008,'[2]PRICELIST, 908u'!$G$7:$G$914,0),30),"NA")</f>
        <v>Flat / YELLOW</v>
      </c>
      <c r="L1008" s="20">
        <f>IFERROR(INDEX('[2]PRICELIST, 908u'!$G$7:$AX$914,MATCH($B1008,'[2]PRICELIST, 908u'!$G$7:$G$914,0),40),"NA")</f>
        <v>2850000</v>
      </c>
      <c r="M1008" s="20">
        <f>IFERROR(INDEX('[2]PRICELIST, 908u'!$G$7:$AX$914,MATCH($B1008,'[2]PRICELIST, 908u'!$G$7:$G$914,0),41),"NA")</f>
        <v>100000</v>
      </c>
      <c r="N1008" s="58">
        <f t="shared" si="44"/>
        <v>2750000</v>
      </c>
      <c r="O1008" s="60"/>
      <c r="P1008" s="60">
        <f t="shared" si="43"/>
        <v>2750000</v>
      </c>
    </row>
    <row r="1009" spans="2:16">
      <c r="B1009" s="20" t="s">
        <v>1160</v>
      </c>
      <c r="C1009" s="20" t="s">
        <v>2</v>
      </c>
      <c r="D1009" s="20" t="str">
        <f>IFERROR(INDEX('[2]PRICELIST, 908u'!$G$7:$AX$914,MATCH($B1009,'[2]PRICELIST, 908u'!$G$7:$G$914,0),18),"NA")</f>
        <v>2024 Batch</v>
      </c>
      <c r="E1009" s="20" t="str">
        <f>IFERROR(INDEX([3]AGM!$D$21:$BL$928,MATCH($B1009,[3]AGM!$AD$21:$AD$928,0),1),"NA")</f>
        <v>OS</v>
      </c>
      <c r="F1009" s="20" t="str">
        <f t="shared" si="42"/>
        <v>Block 08</v>
      </c>
      <c r="G1009" s="20" t="str">
        <f t="shared" si="41"/>
        <v>Lot 10</v>
      </c>
      <c r="H1009" s="20">
        <f>IFERROR(INDEX('[2]PRICELIST, 908u'!$G$7:$AX$914,MATCH($B1009,'[2]PRICELIST, 908u'!$G$7:$G$914,0),23),"NA")</f>
        <v>50</v>
      </c>
      <c r="I1009" s="20">
        <f>IFERROR(INDEX('[2]PRICELIST, 908u'!$G$7:$AX$914,MATCH($B1009,'[2]PRICELIST, 908u'!$G$7:$G$914,0),22),"NA")</f>
        <v>70</v>
      </c>
      <c r="J1009" s="20" t="s">
        <v>25</v>
      </c>
      <c r="K1009" s="20" t="str">
        <f>IFERROR(INDEX('[2]PRICELIST, 908u'!$G$7:$AX$914,MATCH($B1009,'[2]PRICELIST, 908u'!$G$7:$G$914,0),30),"NA")</f>
        <v>Slant / YELLOW</v>
      </c>
      <c r="L1009" s="20">
        <f>IFERROR(INDEX('[2]PRICELIST, 908u'!$G$7:$AX$914,MATCH($B1009,'[2]PRICELIST, 908u'!$G$7:$G$914,0),40),"NA")</f>
        <v>2850000</v>
      </c>
      <c r="M1009" s="20">
        <f>IFERROR(INDEX('[2]PRICELIST, 908u'!$G$7:$AX$914,MATCH($B1009,'[2]PRICELIST, 908u'!$G$7:$G$914,0),41),"NA")</f>
        <v>100000</v>
      </c>
      <c r="N1009" s="58">
        <f t="shared" si="44"/>
        <v>2750000</v>
      </c>
      <c r="O1009" s="60"/>
      <c r="P1009" s="60">
        <f t="shared" si="43"/>
        <v>2750000</v>
      </c>
    </row>
    <row r="1010" spans="2:16">
      <c r="B1010" s="20" t="s">
        <v>1161</v>
      </c>
      <c r="C1010" s="20" t="s">
        <v>2</v>
      </c>
      <c r="D1010" s="20" t="str">
        <f>IFERROR(INDEX('[2]PRICELIST, 908u'!$G$7:$AX$914,MATCH($B1010,'[2]PRICELIST, 908u'!$G$7:$G$914,0),18),"NA")</f>
        <v>2024 Batch</v>
      </c>
      <c r="E1010" s="20" t="str">
        <f>IFERROR(INDEX([3]AGM!$D$21:$BL$928,MATCH($B1010,[3]AGM!$AD$21:$AD$928,0),1),"NA")</f>
        <v>OS</v>
      </c>
      <c r="F1010" s="20" t="str">
        <f t="shared" si="42"/>
        <v>Block 08</v>
      </c>
      <c r="G1010" s="20" t="str">
        <f t="shared" si="41"/>
        <v>Lot 11</v>
      </c>
      <c r="H1010" s="20">
        <f>IFERROR(INDEX('[2]PRICELIST, 908u'!$G$7:$AX$914,MATCH($B1010,'[2]PRICELIST, 908u'!$G$7:$G$914,0),23),"NA")</f>
        <v>50</v>
      </c>
      <c r="I1010" s="20">
        <f>IFERROR(INDEX('[2]PRICELIST, 908u'!$G$7:$AX$914,MATCH($B1010,'[2]PRICELIST, 908u'!$G$7:$G$914,0),22),"NA")</f>
        <v>70</v>
      </c>
      <c r="J1010" s="20" t="s">
        <v>25</v>
      </c>
      <c r="K1010" s="20" t="str">
        <f>IFERROR(INDEX('[2]PRICELIST, 908u'!$G$7:$AX$914,MATCH($B1010,'[2]PRICELIST, 908u'!$G$7:$G$914,0),30),"NA")</f>
        <v>Slant / YELLOW</v>
      </c>
      <c r="L1010" s="20">
        <f>IFERROR(INDEX('[2]PRICELIST, 908u'!$G$7:$AX$914,MATCH($B1010,'[2]PRICELIST, 908u'!$G$7:$G$914,0),40),"NA")</f>
        <v>2850000</v>
      </c>
      <c r="M1010" s="20">
        <f>IFERROR(INDEX('[2]PRICELIST, 908u'!$G$7:$AX$914,MATCH($B1010,'[2]PRICELIST, 908u'!$G$7:$G$914,0),41),"NA")</f>
        <v>100000</v>
      </c>
      <c r="N1010" s="58">
        <f t="shared" si="44"/>
        <v>2750000</v>
      </c>
      <c r="O1010" s="60"/>
      <c r="P1010" s="60">
        <f t="shared" si="43"/>
        <v>2750000</v>
      </c>
    </row>
    <row r="1011" spans="2:16">
      <c r="B1011" s="20" t="s">
        <v>1162</v>
      </c>
      <c r="C1011" s="20" t="s">
        <v>2</v>
      </c>
      <c r="D1011" s="20" t="str">
        <f>IFERROR(INDEX('[2]PRICELIST, 908u'!$G$7:$AX$914,MATCH($B1011,'[2]PRICELIST, 908u'!$G$7:$G$914,0),18),"NA")</f>
        <v>2024 Batch</v>
      </c>
      <c r="E1011" s="20" t="str">
        <f>IFERROR(INDEX([3]AGM!$D$21:$BL$928,MATCH($B1011,[3]AGM!$AD$21:$AD$928,0),1),"NA")</f>
        <v>OS</v>
      </c>
      <c r="F1011" s="20" t="str">
        <f t="shared" si="42"/>
        <v>Block 08</v>
      </c>
      <c r="G1011" s="20" t="str">
        <f t="shared" si="41"/>
        <v>Lot 12</v>
      </c>
      <c r="H1011" s="20">
        <f>IFERROR(INDEX('[2]PRICELIST, 908u'!$G$7:$AX$914,MATCH($B1011,'[2]PRICELIST, 908u'!$G$7:$G$914,0),23),"NA")</f>
        <v>50</v>
      </c>
      <c r="I1011" s="20">
        <f>IFERROR(INDEX('[2]PRICELIST, 908u'!$G$7:$AX$914,MATCH($B1011,'[2]PRICELIST, 908u'!$G$7:$G$914,0),22),"NA")</f>
        <v>70</v>
      </c>
      <c r="J1011" s="20" t="s">
        <v>25</v>
      </c>
      <c r="K1011" s="20" t="str">
        <f>IFERROR(INDEX('[2]PRICELIST, 908u'!$G$7:$AX$914,MATCH($B1011,'[2]PRICELIST, 908u'!$G$7:$G$914,0),30),"NA")</f>
        <v>Flat / YELLOW</v>
      </c>
      <c r="L1011" s="20">
        <f>IFERROR(INDEX('[2]PRICELIST, 908u'!$G$7:$AX$914,MATCH($B1011,'[2]PRICELIST, 908u'!$G$7:$G$914,0),40),"NA")</f>
        <v>2850000</v>
      </c>
      <c r="M1011" s="20">
        <f>IFERROR(INDEX('[2]PRICELIST, 908u'!$G$7:$AX$914,MATCH($B1011,'[2]PRICELIST, 908u'!$G$7:$G$914,0),41),"NA")</f>
        <v>100000</v>
      </c>
      <c r="N1011" s="58">
        <f t="shared" si="44"/>
        <v>2750000</v>
      </c>
      <c r="O1011" s="60"/>
      <c r="P1011" s="60">
        <f t="shared" si="43"/>
        <v>2750000</v>
      </c>
    </row>
    <row r="1012" spans="2:16">
      <c r="B1012" s="20" t="s">
        <v>1163</v>
      </c>
      <c r="C1012" s="20" t="s">
        <v>2</v>
      </c>
      <c r="D1012" s="20" t="str">
        <f>IFERROR(INDEX('[2]PRICELIST, 908u'!$G$7:$AX$914,MATCH($B1012,'[2]PRICELIST, 908u'!$G$7:$G$914,0),18),"NA")</f>
        <v>2024 Batch</v>
      </c>
      <c r="E1012" s="20" t="str">
        <f>IFERROR(INDEX([3]AGM!$D$21:$BL$928,MATCH($B1012,[3]AGM!$AD$21:$AD$928,0),1),"NA")</f>
        <v>OS</v>
      </c>
      <c r="F1012" s="20" t="str">
        <f t="shared" si="42"/>
        <v>Block 08</v>
      </c>
      <c r="G1012" s="20" t="str">
        <f t="shared" si="41"/>
        <v>Lot 13</v>
      </c>
      <c r="H1012" s="20">
        <f>IFERROR(INDEX('[2]PRICELIST, 908u'!$G$7:$AX$914,MATCH($B1012,'[2]PRICELIST, 908u'!$G$7:$G$914,0),23),"NA")</f>
        <v>50</v>
      </c>
      <c r="I1012" s="20">
        <f>IFERROR(INDEX('[2]PRICELIST, 908u'!$G$7:$AX$914,MATCH($B1012,'[2]PRICELIST, 908u'!$G$7:$G$914,0),22),"NA")</f>
        <v>70</v>
      </c>
      <c r="J1012" s="20" t="s">
        <v>207</v>
      </c>
      <c r="K1012" s="20" t="str">
        <f>IFERROR(INDEX('[2]PRICELIST, 908u'!$G$7:$AX$914,MATCH($B1012,'[2]PRICELIST, 908u'!$G$7:$G$914,0),30),"NA")</f>
        <v>Flat / GREEN</v>
      </c>
      <c r="L1012" s="20">
        <f>IFERROR(INDEX('[2]PRICELIST, 908u'!$G$7:$AX$914,MATCH($B1012,'[2]PRICELIST, 908u'!$G$7:$G$914,0),40),"NA")</f>
        <v>2650000</v>
      </c>
      <c r="M1012" s="20">
        <f>IFERROR(INDEX('[2]PRICELIST, 908u'!$G$7:$AX$914,MATCH($B1012,'[2]PRICELIST, 908u'!$G$7:$G$914,0),41),"NA")</f>
        <v>100000</v>
      </c>
      <c r="N1012" s="58">
        <f t="shared" si="44"/>
        <v>2550000</v>
      </c>
      <c r="O1012" s="60"/>
      <c r="P1012" s="60">
        <f t="shared" si="43"/>
        <v>2550000</v>
      </c>
    </row>
    <row r="1013" spans="2:16">
      <c r="B1013" s="20" t="s">
        <v>1164</v>
      </c>
      <c r="C1013" s="20" t="s">
        <v>2</v>
      </c>
      <c r="D1013" s="20" t="str">
        <f>IFERROR(INDEX('[2]PRICELIST, 908u'!$G$7:$AX$914,MATCH($B1013,'[2]PRICELIST, 908u'!$G$7:$G$914,0),18),"NA")</f>
        <v>2024 Batch</v>
      </c>
      <c r="E1013" s="20" t="str">
        <f>IFERROR(INDEX([3]AGM!$D$21:$BL$928,MATCH($B1013,[3]AGM!$AD$21:$AD$928,0),1),"NA")</f>
        <v>OS</v>
      </c>
      <c r="F1013" s="20" t="str">
        <f t="shared" si="42"/>
        <v>Block 08</v>
      </c>
      <c r="G1013" s="20" t="str">
        <f t="shared" si="41"/>
        <v>Lot 14</v>
      </c>
      <c r="H1013" s="20">
        <f>IFERROR(INDEX('[2]PRICELIST, 908u'!$G$7:$AX$914,MATCH($B1013,'[2]PRICELIST, 908u'!$G$7:$G$914,0),23),"NA")</f>
        <v>50</v>
      </c>
      <c r="I1013" s="20">
        <f>IFERROR(INDEX('[2]PRICELIST, 908u'!$G$7:$AX$914,MATCH($B1013,'[2]PRICELIST, 908u'!$G$7:$G$914,0),22),"NA")</f>
        <v>70</v>
      </c>
      <c r="J1013" s="20" t="s">
        <v>25</v>
      </c>
      <c r="K1013" s="20" t="str">
        <f>IFERROR(INDEX('[2]PRICELIST, 908u'!$G$7:$AX$914,MATCH($B1013,'[2]PRICELIST, 908u'!$G$7:$G$914,0),30),"NA")</f>
        <v>Slant / GREEN</v>
      </c>
      <c r="L1013" s="20">
        <f>IFERROR(INDEX('[2]PRICELIST, 908u'!$G$7:$AX$914,MATCH($B1013,'[2]PRICELIST, 908u'!$G$7:$G$914,0),40),"NA")</f>
        <v>2850000</v>
      </c>
      <c r="M1013" s="20">
        <f>IFERROR(INDEX('[2]PRICELIST, 908u'!$G$7:$AX$914,MATCH($B1013,'[2]PRICELIST, 908u'!$G$7:$G$914,0),41),"NA")</f>
        <v>100000</v>
      </c>
      <c r="N1013" s="58">
        <f t="shared" si="44"/>
        <v>2750000</v>
      </c>
      <c r="O1013" s="60"/>
      <c r="P1013" s="60">
        <f t="shared" si="43"/>
        <v>2750000</v>
      </c>
    </row>
    <row r="1014" spans="2:16">
      <c r="B1014" s="20" t="s">
        <v>1165</v>
      </c>
      <c r="C1014" s="20" t="s">
        <v>2</v>
      </c>
      <c r="D1014" s="20" t="str">
        <f>IFERROR(INDEX('[2]PRICELIST, 908u'!$G$7:$AX$914,MATCH($B1014,'[2]PRICELIST, 908u'!$G$7:$G$914,0),18),"NA")</f>
        <v>2024 Batch</v>
      </c>
      <c r="E1014" s="20" t="str">
        <f>IFERROR(INDEX([3]AGM!$D$21:$BL$928,MATCH($B1014,[3]AGM!$AD$21:$AD$928,0),1),"NA")</f>
        <v>OS</v>
      </c>
      <c r="F1014" s="20" t="str">
        <f t="shared" si="42"/>
        <v>Block 08</v>
      </c>
      <c r="G1014" s="20" t="str">
        <f t="shared" si="41"/>
        <v>Lot 15</v>
      </c>
      <c r="H1014" s="20">
        <f>IFERROR(INDEX('[2]PRICELIST, 908u'!$G$7:$AX$914,MATCH($B1014,'[2]PRICELIST, 908u'!$G$7:$G$914,0),23),"NA")</f>
        <v>50</v>
      </c>
      <c r="I1014" s="20">
        <f>IFERROR(INDEX('[2]PRICELIST, 908u'!$G$7:$AX$914,MATCH($B1014,'[2]PRICELIST, 908u'!$G$7:$G$914,0),22),"NA")</f>
        <v>70</v>
      </c>
      <c r="J1014" s="20" t="s">
        <v>25</v>
      </c>
      <c r="K1014" s="20" t="str">
        <f>IFERROR(INDEX('[2]PRICELIST, 908u'!$G$7:$AX$914,MATCH($B1014,'[2]PRICELIST, 908u'!$G$7:$G$914,0),30),"NA")</f>
        <v>Slant / GREEN</v>
      </c>
      <c r="L1014" s="20">
        <f>IFERROR(INDEX('[2]PRICELIST, 908u'!$G$7:$AX$914,MATCH($B1014,'[2]PRICELIST, 908u'!$G$7:$G$914,0),40),"NA")</f>
        <v>2850000</v>
      </c>
      <c r="M1014" s="20">
        <f>IFERROR(INDEX('[2]PRICELIST, 908u'!$G$7:$AX$914,MATCH($B1014,'[2]PRICELIST, 908u'!$G$7:$G$914,0),41),"NA")</f>
        <v>100000</v>
      </c>
      <c r="N1014" s="58">
        <f t="shared" si="44"/>
        <v>2750000</v>
      </c>
      <c r="O1014" s="60"/>
      <c r="P1014" s="60">
        <f t="shared" si="43"/>
        <v>2750000</v>
      </c>
    </row>
    <row r="1015" spans="2:16">
      <c r="B1015" s="20" t="s">
        <v>1166</v>
      </c>
      <c r="C1015" s="20" t="s">
        <v>2</v>
      </c>
      <c r="D1015" s="20" t="str">
        <f>IFERROR(INDEX('[2]PRICELIST, 908u'!$G$7:$AX$914,MATCH($B1015,'[2]PRICELIST, 908u'!$G$7:$G$914,0),18),"NA")</f>
        <v>2024 Batch</v>
      </c>
      <c r="E1015" s="20" t="str">
        <f>IFERROR(INDEX([3]AGM!$D$21:$BL$928,MATCH($B1015,[3]AGM!$AD$21:$AD$928,0),1),"NA")</f>
        <v>OS</v>
      </c>
      <c r="F1015" s="20" t="str">
        <f t="shared" si="42"/>
        <v>Block 08</v>
      </c>
      <c r="G1015" s="20" t="str">
        <f t="shared" si="41"/>
        <v>Lot 16</v>
      </c>
      <c r="H1015" s="20">
        <f>IFERROR(INDEX('[2]PRICELIST, 908u'!$G$7:$AX$914,MATCH($B1015,'[2]PRICELIST, 908u'!$G$7:$G$914,0),23),"NA")</f>
        <v>50</v>
      </c>
      <c r="I1015" s="20">
        <f>IFERROR(INDEX('[2]PRICELIST, 908u'!$G$7:$AX$914,MATCH($B1015,'[2]PRICELIST, 908u'!$G$7:$G$914,0),22),"NA")</f>
        <v>70</v>
      </c>
      <c r="J1015" s="20" t="s">
        <v>25</v>
      </c>
      <c r="K1015" s="20" t="str">
        <f>IFERROR(INDEX('[2]PRICELIST, 908u'!$G$7:$AX$914,MATCH($B1015,'[2]PRICELIST, 908u'!$G$7:$G$914,0),30),"NA")</f>
        <v>Flat / GREEN</v>
      </c>
      <c r="L1015" s="20">
        <f>IFERROR(INDEX('[2]PRICELIST, 908u'!$G$7:$AX$914,MATCH($B1015,'[2]PRICELIST, 908u'!$G$7:$G$914,0),40),"NA")</f>
        <v>2850000</v>
      </c>
      <c r="M1015" s="20">
        <f>IFERROR(INDEX('[2]PRICELIST, 908u'!$G$7:$AX$914,MATCH($B1015,'[2]PRICELIST, 908u'!$G$7:$G$914,0),41),"NA")</f>
        <v>100000</v>
      </c>
      <c r="N1015" s="58">
        <f t="shared" si="44"/>
        <v>2750000</v>
      </c>
      <c r="O1015" s="60"/>
      <c r="P1015" s="60">
        <f t="shared" si="43"/>
        <v>2750000</v>
      </c>
    </row>
    <row r="1016" spans="2:16">
      <c r="B1016" s="20" t="s">
        <v>1167</v>
      </c>
      <c r="C1016" s="20" t="s">
        <v>2</v>
      </c>
      <c r="D1016" s="20" t="str">
        <f>IFERROR(INDEX('[2]PRICELIST, 908u'!$G$7:$AX$914,MATCH($B1016,'[2]PRICELIST, 908u'!$G$7:$G$914,0),18),"NA")</f>
        <v>2024 Batch</v>
      </c>
      <c r="E1016" s="20" t="str">
        <f>IFERROR(INDEX([3]AGM!$D$21:$BL$928,MATCH($B1016,[3]AGM!$AD$21:$AD$928,0),1),"NA")</f>
        <v>OS</v>
      </c>
      <c r="F1016" s="20" t="str">
        <f t="shared" si="42"/>
        <v>Block 08</v>
      </c>
      <c r="G1016" s="20" t="str">
        <f t="shared" si="41"/>
        <v>Lot 17</v>
      </c>
      <c r="H1016" s="20">
        <f>IFERROR(INDEX('[2]PRICELIST, 908u'!$G$7:$AX$914,MATCH($B1016,'[2]PRICELIST, 908u'!$G$7:$G$914,0),23),"NA")</f>
        <v>50</v>
      </c>
      <c r="I1016" s="20">
        <f>IFERROR(INDEX('[2]PRICELIST, 908u'!$G$7:$AX$914,MATCH($B1016,'[2]PRICELIST, 908u'!$G$7:$G$914,0),22),"NA")</f>
        <v>70</v>
      </c>
      <c r="J1016" s="20" t="s">
        <v>25</v>
      </c>
      <c r="K1016" s="20" t="str">
        <f>IFERROR(INDEX('[2]PRICELIST, 908u'!$G$7:$AX$914,MATCH($B1016,'[2]PRICELIST, 908u'!$G$7:$G$914,0),30),"NA")</f>
        <v>Flat / PURPLE</v>
      </c>
      <c r="L1016" s="20">
        <f>IFERROR(INDEX('[2]PRICELIST, 908u'!$G$7:$AX$914,MATCH($B1016,'[2]PRICELIST, 908u'!$G$7:$G$914,0),40),"NA")</f>
        <v>2850000</v>
      </c>
      <c r="M1016" s="20">
        <f>IFERROR(INDEX('[2]PRICELIST, 908u'!$G$7:$AX$914,MATCH($B1016,'[2]PRICELIST, 908u'!$G$7:$G$914,0),41),"NA")</f>
        <v>100000</v>
      </c>
      <c r="N1016" s="58">
        <f t="shared" si="44"/>
        <v>2750000</v>
      </c>
      <c r="O1016" s="60"/>
      <c r="P1016" s="60">
        <f t="shared" si="43"/>
        <v>2750000</v>
      </c>
    </row>
    <row r="1017" spans="2:16">
      <c r="B1017" s="20" t="s">
        <v>1168</v>
      </c>
      <c r="C1017" s="20" t="s">
        <v>2</v>
      </c>
      <c r="D1017" s="20" t="str">
        <f>IFERROR(INDEX('[2]PRICELIST, 908u'!$G$7:$AX$914,MATCH($B1017,'[2]PRICELIST, 908u'!$G$7:$G$914,0),18),"NA")</f>
        <v>2024 Batch</v>
      </c>
      <c r="E1017" s="20" t="str">
        <f>IFERROR(INDEX([3]AGM!$D$21:$BL$928,MATCH($B1017,[3]AGM!$AD$21:$AD$928,0),1),"NA")</f>
        <v>OS</v>
      </c>
      <c r="F1017" s="20" t="str">
        <f t="shared" si="42"/>
        <v>Block 08</v>
      </c>
      <c r="G1017" s="20" t="str">
        <f t="shared" si="41"/>
        <v>Lot 18</v>
      </c>
      <c r="H1017" s="20">
        <f>IFERROR(INDEX('[2]PRICELIST, 908u'!$G$7:$AX$914,MATCH($B1017,'[2]PRICELIST, 908u'!$G$7:$G$914,0),23),"NA")</f>
        <v>50</v>
      </c>
      <c r="I1017" s="20">
        <f>IFERROR(INDEX('[2]PRICELIST, 908u'!$G$7:$AX$914,MATCH($B1017,'[2]PRICELIST, 908u'!$G$7:$G$914,0),22),"NA")</f>
        <v>70</v>
      </c>
      <c r="J1017" s="20" t="s">
        <v>207</v>
      </c>
      <c r="K1017" s="20" t="str">
        <f>IFERROR(INDEX('[2]PRICELIST, 908u'!$G$7:$AX$914,MATCH($B1017,'[2]PRICELIST, 908u'!$G$7:$G$914,0),30),"NA")</f>
        <v>Slant / PURPLE</v>
      </c>
      <c r="L1017" s="20">
        <f>IFERROR(INDEX('[2]PRICELIST, 908u'!$G$7:$AX$914,MATCH($B1017,'[2]PRICELIST, 908u'!$G$7:$G$914,0),40),"NA")</f>
        <v>2650000</v>
      </c>
      <c r="M1017" s="20">
        <f>IFERROR(INDEX('[2]PRICELIST, 908u'!$G$7:$AX$914,MATCH($B1017,'[2]PRICELIST, 908u'!$G$7:$G$914,0),41),"NA")</f>
        <v>100000</v>
      </c>
      <c r="N1017" s="58">
        <f t="shared" si="44"/>
        <v>2550000</v>
      </c>
      <c r="O1017" s="60"/>
      <c r="P1017" s="60">
        <f t="shared" si="43"/>
        <v>2550000</v>
      </c>
    </row>
    <row r="1018" spans="2:16">
      <c r="B1018" s="20" t="s">
        <v>1169</v>
      </c>
      <c r="C1018" s="20" t="s">
        <v>2</v>
      </c>
      <c r="D1018" s="20" t="str">
        <f>IFERROR(INDEX('[2]PRICELIST, 908u'!$G$7:$AX$914,MATCH($B1018,'[2]PRICELIST, 908u'!$G$7:$G$914,0),18),"NA")</f>
        <v>2024 Batch</v>
      </c>
      <c r="E1018" s="20" t="str">
        <f>IFERROR(INDEX([3]AGM!$D$21:$BL$928,MATCH($B1018,[3]AGM!$AD$21:$AD$928,0),1),"NA")</f>
        <v>OS</v>
      </c>
      <c r="F1018" s="20" t="str">
        <f t="shared" si="42"/>
        <v>Block 08</v>
      </c>
      <c r="G1018" s="20" t="str">
        <f t="shared" si="41"/>
        <v>Lot 19</v>
      </c>
      <c r="H1018" s="20">
        <f>IFERROR(INDEX('[2]PRICELIST, 908u'!$G$7:$AX$914,MATCH($B1018,'[2]PRICELIST, 908u'!$G$7:$G$914,0),23),"NA")</f>
        <v>50</v>
      </c>
      <c r="I1018" s="20">
        <f>IFERROR(INDEX('[2]PRICELIST, 908u'!$G$7:$AX$914,MATCH($B1018,'[2]PRICELIST, 908u'!$G$7:$G$914,0),22),"NA")</f>
        <v>70</v>
      </c>
      <c r="J1018" s="20" t="s">
        <v>25</v>
      </c>
      <c r="K1018" s="20" t="str">
        <f>IFERROR(INDEX('[2]PRICELIST, 908u'!$G$7:$AX$914,MATCH($B1018,'[2]PRICELIST, 908u'!$G$7:$G$914,0),30),"NA")</f>
        <v>Slant / PURPLE</v>
      </c>
      <c r="L1018" s="20">
        <f>IFERROR(INDEX('[2]PRICELIST, 908u'!$G$7:$AX$914,MATCH($B1018,'[2]PRICELIST, 908u'!$G$7:$G$914,0),40),"NA")</f>
        <v>2850000</v>
      </c>
      <c r="M1018" s="20">
        <f>IFERROR(INDEX('[2]PRICELIST, 908u'!$G$7:$AX$914,MATCH($B1018,'[2]PRICELIST, 908u'!$G$7:$G$914,0),41),"NA")</f>
        <v>100000</v>
      </c>
      <c r="N1018" s="58">
        <f t="shared" si="44"/>
        <v>2750000</v>
      </c>
      <c r="O1018" s="60"/>
      <c r="P1018" s="60">
        <f t="shared" si="43"/>
        <v>2750000</v>
      </c>
    </row>
    <row r="1019" spans="2:16">
      <c r="B1019" s="20" t="s">
        <v>1170</v>
      </c>
      <c r="C1019" s="20" t="s">
        <v>2</v>
      </c>
      <c r="D1019" s="20" t="str">
        <f>IFERROR(INDEX('[2]PRICELIST, 908u'!$G$7:$AX$914,MATCH($B1019,'[2]PRICELIST, 908u'!$G$7:$G$914,0),18),"NA")</f>
        <v>2024 Batch</v>
      </c>
      <c r="E1019" s="20" t="str">
        <f>IFERROR(INDEX([3]AGM!$D$21:$BL$928,MATCH($B1019,[3]AGM!$AD$21:$AD$928,0),1),"NA")</f>
        <v>OS</v>
      </c>
      <c r="F1019" s="20" t="str">
        <f t="shared" si="42"/>
        <v>Block 08</v>
      </c>
      <c r="G1019" s="20" t="str">
        <f t="shared" si="41"/>
        <v>Lot 20</v>
      </c>
      <c r="H1019" s="20">
        <f>IFERROR(INDEX('[2]PRICELIST, 908u'!$G$7:$AX$914,MATCH($B1019,'[2]PRICELIST, 908u'!$G$7:$G$914,0),23),"NA")</f>
        <v>50</v>
      </c>
      <c r="I1019" s="20">
        <f>IFERROR(INDEX('[2]PRICELIST, 908u'!$G$7:$AX$914,MATCH($B1019,'[2]PRICELIST, 908u'!$G$7:$G$914,0),22),"NA")</f>
        <v>70</v>
      </c>
      <c r="J1019" s="20" t="s">
        <v>25</v>
      </c>
      <c r="K1019" s="20" t="str">
        <f>IFERROR(INDEX('[2]PRICELIST, 908u'!$G$7:$AX$914,MATCH($B1019,'[2]PRICELIST, 908u'!$G$7:$G$914,0),30),"NA")</f>
        <v>Flat / PURPLE</v>
      </c>
      <c r="L1019" s="20">
        <f>IFERROR(INDEX('[2]PRICELIST, 908u'!$G$7:$AX$914,MATCH($B1019,'[2]PRICELIST, 908u'!$G$7:$G$914,0),40),"NA")</f>
        <v>2850000</v>
      </c>
      <c r="M1019" s="20">
        <f>IFERROR(INDEX('[2]PRICELIST, 908u'!$G$7:$AX$914,MATCH($B1019,'[2]PRICELIST, 908u'!$G$7:$G$914,0),41),"NA")</f>
        <v>100000</v>
      </c>
      <c r="N1019" s="58">
        <f t="shared" si="44"/>
        <v>2750000</v>
      </c>
      <c r="O1019" s="60"/>
      <c r="P1019" s="60">
        <f t="shared" si="43"/>
        <v>2750000</v>
      </c>
    </row>
    <row r="1020" spans="2:16">
      <c r="B1020" s="20" t="s">
        <v>1171</v>
      </c>
      <c r="C1020" s="20" t="s">
        <v>2</v>
      </c>
      <c r="D1020" s="20" t="str">
        <f>IFERROR(INDEX('[2]PRICELIST, 908u'!$G$7:$AX$914,MATCH($B1020,'[2]PRICELIST, 908u'!$G$7:$G$914,0),18),"NA")</f>
        <v>2024 Batch</v>
      </c>
      <c r="E1020" s="20" t="str">
        <f>IFERROR(INDEX([3]AGM!$D$21:$BL$928,MATCH($B1020,[3]AGM!$AD$21:$AD$928,0),1),"NA")</f>
        <v>OS</v>
      </c>
      <c r="F1020" s="20" t="str">
        <f t="shared" si="42"/>
        <v>Block 08</v>
      </c>
      <c r="G1020" s="20" t="str">
        <f t="shared" si="41"/>
        <v>Lot 21</v>
      </c>
      <c r="H1020" s="20">
        <f>IFERROR(INDEX('[2]PRICELIST, 908u'!$G$7:$AX$914,MATCH($B1020,'[2]PRICELIST, 908u'!$G$7:$G$914,0),23),"NA")</f>
        <v>50</v>
      </c>
      <c r="I1020" s="20">
        <f>IFERROR(INDEX('[2]PRICELIST, 908u'!$G$7:$AX$914,MATCH($B1020,'[2]PRICELIST, 908u'!$G$7:$G$914,0),22),"NA")</f>
        <v>70</v>
      </c>
      <c r="J1020" s="20" t="s">
        <v>25</v>
      </c>
      <c r="K1020" s="20" t="str">
        <f>IFERROR(INDEX('[2]PRICELIST, 908u'!$G$7:$AX$914,MATCH($B1020,'[2]PRICELIST, 908u'!$G$7:$G$914,0),30),"NA")</f>
        <v>Flat / PINK</v>
      </c>
      <c r="L1020" s="20">
        <f>IFERROR(INDEX('[2]PRICELIST, 908u'!$G$7:$AX$914,MATCH($B1020,'[2]PRICELIST, 908u'!$G$7:$G$914,0),40),"NA")</f>
        <v>2850000</v>
      </c>
      <c r="M1020" s="20">
        <f>IFERROR(INDEX('[2]PRICELIST, 908u'!$G$7:$AX$914,MATCH($B1020,'[2]PRICELIST, 908u'!$G$7:$G$914,0),41),"NA")</f>
        <v>100000</v>
      </c>
      <c r="N1020" s="58">
        <f t="shared" si="44"/>
        <v>2750000</v>
      </c>
      <c r="O1020" s="60"/>
      <c r="P1020" s="60">
        <f t="shared" si="43"/>
        <v>2750000</v>
      </c>
    </row>
    <row r="1021" spans="2:16">
      <c r="B1021" s="20" t="s">
        <v>1172</v>
      </c>
      <c r="C1021" s="20" t="s">
        <v>2</v>
      </c>
      <c r="D1021" s="20" t="str">
        <f>IFERROR(INDEX('[2]PRICELIST, 908u'!$G$7:$AX$914,MATCH($B1021,'[2]PRICELIST, 908u'!$G$7:$G$914,0),18),"NA")</f>
        <v>2024 Batch</v>
      </c>
      <c r="E1021" s="20" t="str">
        <f>IFERROR(INDEX([3]AGM!$D$21:$BL$928,MATCH($B1021,[3]AGM!$AD$21:$AD$928,0),1),"NA")</f>
        <v>OS</v>
      </c>
      <c r="F1021" s="20" t="str">
        <f t="shared" si="42"/>
        <v>Block 08</v>
      </c>
      <c r="G1021" s="20" t="str">
        <f t="shared" si="41"/>
        <v>Lot 22</v>
      </c>
      <c r="H1021" s="20">
        <f>IFERROR(INDEX('[2]PRICELIST, 908u'!$G$7:$AX$914,MATCH($B1021,'[2]PRICELIST, 908u'!$G$7:$G$914,0),23),"NA")</f>
        <v>50</v>
      </c>
      <c r="I1021" s="20">
        <f>IFERROR(INDEX('[2]PRICELIST, 908u'!$G$7:$AX$914,MATCH($B1021,'[2]PRICELIST, 908u'!$G$7:$G$914,0),22),"NA")</f>
        <v>70</v>
      </c>
      <c r="J1021" s="20" t="s">
        <v>25</v>
      </c>
      <c r="K1021" s="20" t="str">
        <f>IFERROR(INDEX('[2]PRICELIST, 908u'!$G$7:$AX$914,MATCH($B1021,'[2]PRICELIST, 908u'!$G$7:$G$914,0),30),"NA")</f>
        <v>Slant / PINK</v>
      </c>
      <c r="L1021" s="20">
        <f>IFERROR(INDEX('[2]PRICELIST, 908u'!$G$7:$AX$914,MATCH($B1021,'[2]PRICELIST, 908u'!$G$7:$G$914,0),40),"NA")</f>
        <v>2850000</v>
      </c>
      <c r="M1021" s="20">
        <f>IFERROR(INDEX('[2]PRICELIST, 908u'!$G$7:$AX$914,MATCH($B1021,'[2]PRICELIST, 908u'!$G$7:$G$914,0),41),"NA")</f>
        <v>100000</v>
      </c>
      <c r="N1021" s="58">
        <f t="shared" si="44"/>
        <v>2750000</v>
      </c>
      <c r="O1021" s="60"/>
      <c r="P1021" s="60">
        <f t="shared" si="43"/>
        <v>2750000</v>
      </c>
    </row>
    <row r="1022" spans="2:16">
      <c r="B1022" s="20" t="s">
        <v>1173</v>
      </c>
      <c r="C1022" s="20" t="s">
        <v>2</v>
      </c>
      <c r="D1022" s="20" t="str">
        <f>IFERROR(INDEX('[2]PRICELIST, 908u'!$G$7:$AX$914,MATCH($B1022,'[2]PRICELIST, 908u'!$G$7:$G$914,0),18),"NA")</f>
        <v>2024 Batch</v>
      </c>
      <c r="E1022" s="20" t="str">
        <f>IFERROR(INDEX([3]AGM!$D$21:$BL$928,MATCH($B1022,[3]AGM!$AD$21:$AD$928,0),1),"NA")</f>
        <v>OS</v>
      </c>
      <c r="F1022" s="20" t="str">
        <f t="shared" si="42"/>
        <v>Block 08</v>
      </c>
      <c r="G1022" s="20" t="str">
        <f t="shared" si="41"/>
        <v>Lot 23</v>
      </c>
      <c r="H1022" s="20">
        <f>IFERROR(INDEX('[2]PRICELIST, 908u'!$G$7:$AX$914,MATCH($B1022,'[2]PRICELIST, 908u'!$G$7:$G$914,0),23),"NA")</f>
        <v>50</v>
      </c>
      <c r="I1022" s="20">
        <f>IFERROR(INDEX('[2]PRICELIST, 908u'!$G$7:$AX$914,MATCH($B1022,'[2]PRICELIST, 908u'!$G$7:$G$914,0),22),"NA")</f>
        <v>70</v>
      </c>
      <c r="J1022" s="20" t="s">
        <v>25</v>
      </c>
      <c r="K1022" s="20" t="str">
        <f>IFERROR(INDEX('[2]PRICELIST, 908u'!$G$7:$AX$914,MATCH($B1022,'[2]PRICELIST, 908u'!$G$7:$G$914,0),30),"NA")</f>
        <v>Slant / PINK</v>
      </c>
      <c r="L1022" s="20">
        <f>IFERROR(INDEX('[2]PRICELIST, 908u'!$G$7:$AX$914,MATCH($B1022,'[2]PRICELIST, 908u'!$G$7:$G$914,0),40),"NA")</f>
        <v>2850000</v>
      </c>
      <c r="M1022" s="20">
        <f>IFERROR(INDEX('[2]PRICELIST, 908u'!$G$7:$AX$914,MATCH($B1022,'[2]PRICELIST, 908u'!$G$7:$G$914,0),41),"NA")</f>
        <v>100000</v>
      </c>
      <c r="N1022" s="58">
        <f t="shared" si="44"/>
        <v>2750000</v>
      </c>
      <c r="O1022" s="60"/>
      <c r="P1022" s="60">
        <f t="shared" si="43"/>
        <v>2750000</v>
      </c>
    </row>
    <row r="1023" spans="2:16">
      <c r="B1023" s="20" t="s">
        <v>1174</v>
      </c>
      <c r="C1023" s="20" t="s">
        <v>2</v>
      </c>
      <c r="D1023" s="20" t="str">
        <f>IFERROR(INDEX('[2]PRICELIST, 908u'!$G$7:$AX$914,MATCH($B1023,'[2]PRICELIST, 908u'!$G$7:$G$914,0),18),"NA")</f>
        <v>2024 Batch</v>
      </c>
      <c r="E1023" s="20" t="str">
        <f>IFERROR(INDEX([3]AGM!$D$21:$BL$928,MATCH($B1023,[3]AGM!$AD$21:$AD$928,0),1),"NA")</f>
        <v>OS</v>
      </c>
      <c r="F1023" s="20" t="str">
        <f t="shared" si="42"/>
        <v>Block 08</v>
      </c>
      <c r="G1023" s="20" t="str">
        <f t="shared" si="41"/>
        <v>Lot 24</v>
      </c>
      <c r="H1023" s="20">
        <f>IFERROR(INDEX('[2]PRICELIST, 908u'!$G$7:$AX$914,MATCH($B1023,'[2]PRICELIST, 908u'!$G$7:$G$914,0),23),"NA")</f>
        <v>50</v>
      </c>
      <c r="I1023" s="20">
        <f>IFERROR(INDEX('[2]PRICELIST, 908u'!$G$7:$AX$914,MATCH($B1023,'[2]PRICELIST, 908u'!$G$7:$G$914,0),22),"NA")</f>
        <v>70</v>
      </c>
      <c r="J1023" s="20" t="s">
        <v>25</v>
      </c>
      <c r="K1023" s="20" t="str">
        <f>IFERROR(INDEX('[2]PRICELIST, 908u'!$G$7:$AX$914,MATCH($B1023,'[2]PRICELIST, 908u'!$G$7:$G$914,0),30),"NA")</f>
        <v>Flat / PINK</v>
      </c>
      <c r="L1023" s="20">
        <f>IFERROR(INDEX('[2]PRICELIST, 908u'!$G$7:$AX$914,MATCH($B1023,'[2]PRICELIST, 908u'!$G$7:$G$914,0),40),"NA")</f>
        <v>2850000</v>
      </c>
      <c r="M1023" s="20">
        <f>IFERROR(INDEX('[2]PRICELIST, 908u'!$G$7:$AX$914,MATCH($B1023,'[2]PRICELIST, 908u'!$G$7:$G$914,0),41),"NA")</f>
        <v>100000</v>
      </c>
      <c r="N1023" s="58">
        <f t="shared" si="44"/>
        <v>2750000</v>
      </c>
      <c r="O1023" s="60"/>
      <c r="P1023" s="60">
        <f t="shared" si="43"/>
        <v>2750000</v>
      </c>
    </row>
    <row r="1024" spans="2:16">
      <c r="B1024" s="20" t="s">
        <v>1175</v>
      </c>
      <c r="C1024" s="20" t="s">
        <v>2</v>
      </c>
      <c r="D1024" s="20" t="str">
        <f>IFERROR(INDEX('[2]PRICELIST, 908u'!$G$7:$AX$914,MATCH($B1024,'[2]PRICELIST, 908u'!$G$7:$G$914,0),18),"NA")</f>
        <v>2024 Batch</v>
      </c>
      <c r="E1024" s="20" t="str">
        <f>IFERROR(INDEX([3]AGM!$D$21:$BL$928,MATCH($B1024,[3]AGM!$AD$21:$AD$928,0),1),"NA")</f>
        <v>OS</v>
      </c>
      <c r="F1024" s="20" t="str">
        <f t="shared" si="42"/>
        <v>Block 08</v>
      </c>
      <c r="G1024" s="20" t="str">
        <f t="shared" si="41"/>
        <v>Lot 25</v>
      </c>
      <c r="H1024" s="20">
        <f>IFERROR(INDEX('[2]PRICELIST, 908u'!$G$7:$AX$914,MATCH($B1024,'[2]PRICELIST, 908u'!$G$7:$G$914,0),23),"NA")</f>
        <v>50</v>
      </c>
      <c r="I1024" s="20">
        <f>IFERROR(INDEX('[2]PRICELIST, 908u'!$G$7:$AX$914,MATCH($B1024,'[2]PRICELIST, 908u'!$G$7:$G$914,0),22),"NA")</f>
        <v>70</v>
      </c>
      <c r="J1024" s="20" t="s">
        <v>25</v>
      </c>
      <c r="K1024" s="20" t="str">
        <f>IFERROR(INDEX('[2]PRICELIST, 908u'!$G$7:$AX$914,MATCH($B1024,'[2]PRICELIST, 908u'!$G$7:$G$914,0),30),"NA")</f>
        <v>Flat / YELLOW</v>
      </c>
      <c r="L1024" s="20">
        <f>IFERROR(INDEX('[2]PRICELIST, 908u'!$G$7:$AX$914,MATCH($B1024,'[2]PRICELIST, 908u'!$G$7:$G$914,0),40),"NA")</f>
        <v>2850000</v>
      </c>
      <c r="M1024" s="20">
        <f>IFERROR(INDEX('[2]PRICELIST, 908u'!$G$7:$AX$914,MATCH($B1024,'[2]PRICELIST, 908u'!$G$7:$G$914,0),41),"NA")</f>
        <v>100000</v>
      </c>
      <c r="N1024" s="58">
        <f t="shared" si="44"/>
        <v>2750000</v>
      </c>
      <c r="O1024" s="60"/>
      <c r="P1024" s="60">
        <f t="shared" si="43"/>
        <v>2750000</v>
      </c>
    </row>
    <row r="1025" spans="2:16">
      <c r="B1025" s="20" t="s">
        <v>1176</v>
      </c>
      <c r="C1025" s="20" t="s">
        <v>2</v>
      </c>
      <c r="D1025" s="20" t="str">
        <f>IFERROR(INDEX('[2]PRICELIST, 908u'!$G$7:$AX$914,MATCH($B1025,'[2]PRICELIST, 908u'!$G$7:$G$914,0),18),"NA")</f>
        <v>2024 Batch</v>
      </c>
      <c r="E1025" s="20" t="str">
        <f>IFERROR(INDEX([3]AGM!$D$21:$BL$928,MATCH($B1025,[3]AGM!$AD$21:$AD$928,0),1),"NA")</f>
        <v>OS</v>
      </c>
      <c r="F1025" s="20" t="str">
        <f t="shared" si="42"/>
        <v>Block 08</v>
      </c>
      <c r="G1025" s="20" t="str">
        <f t="shared" si="41"/>
        <v>Lot 26</v>
      </c>
      <c r="H1025" s="20">
        <f>IFERROR(INDEX('[2]PRICELIST, 908u'!$G$7:$AX$914,MATCH($B1025,'[2]PRICELIST, 908u'!$G$7:$G$914,0),23),"NA")</f>
        <v>50</v>
      </c>
      <c r="I1025" s="20">
        <f>IFERROR(INDEX('[2]PRICELIST, 908u'!$G$7:$AX$914,MATCH($B1025,'[2]PRICELIST, 908u'!$G$7:$G$914,0),22),"NA")</f>
        <v>70</v>
      </c>
      <c r="J1025" s="20" t="s">
        <v>25</v>
      </c>
      <c r="K1025" s="20" t="str">
        <f>IFERROR(INDEX('[2]PRICELIST, 908u'!$G$7:$AX$914,MATCH($B1025,'[2]PRICELIST, 908u'!$G$7:$G$914,0),30),"NA")</f>
        <v>Slant / YELLOW</v>
      </c>
      <c r="L1025" s="20">
        <f>IFERROR(INDEX('[2]PRICELIST, 908u'!$G$7:$AX$914,MATCH($B1025,'[2]PRICELIST, 908u'!$G$7:$G$914,0),40),"NA")</f>
        <v>2850000</v>
      </c>
      <c r="M1025" s="20">
        <f>IFERROR(INDEX('[2]PRICELIST, 908u'!$G$7:$AX$914,MATCH($B1025,'[2]PRICELIST, 908u'!$G$7:$G$914,0),41),"NA")</f>
        <v>100000</v>
      </c>
      <c r="N1025" s="58">
        <f t="shared" si="44"/>
        <v>2750000</v>
      </c>
      <c r="O1025" s="60"/>
      <c r="P1025" s="60">
        <f t="shared" si="43"/>
        <v>2750000</v>
      </c>
    </row>
    <row r="1026" spans="2:16">
      <c r="B1026" s="20" t="s">
        <v>1177</v>
      </c>
      <c r="C1026" s="20" t="s">
        <v>2</v>
      </c>
      <c r="D1026" s="20" t="str">
        <f>IFERROR(INDEX('[2]PRICELIST, 908u'!$G$7:$AX$914,MATCH($B1026,'[2]PRICELIST, 908u'!$G$7:$G$914,0),18),"NA")</f>
        <v>2024 Batch</v>
      </c>
      <c r="E1026" s="20" t="str">
        <f>IFERROR(INDEX([3]AGM!$D$21:$BL$928,MATCH($B1026,[3]AGM!$AD$21:$AD$928,0),1),"NA")</f>
        <v>OS</v>
      </c>
      <c r="F1026" s="20" t="str">
        <f t="shared" si="42"/>
        <v>Block 08</v>
      </c>
      <c r="G1026" s="20" t="str">
        <f t="shared" si="41"/>
        <v>Lot 27</v>
      </c>
      <c r="H1026" s="20">
        <f>IFERROR(INDEX('[2]PRICELIST, 908u'!$G$7:$AX$914,MATCH($B1026,'[2]PRICELIST, 908u'!$G$7:$G$914,0),23),"NA")</f>
        <v>50</v>
      </c>
      <c r="I1026" s="20">
        <f>IFERROR(INDEX('[2]PRICELIST, 908u'!$G$7:$AX$914,MATCH($B1026,'[2]PRICELIST, 908u'!$G$7:$G$914,0),22),"NA")</f>
        <v>70</v>
      </c>
      <c r="J1026" s="20" t="s">
        <v>25</v>
      </c>
      <c r="K1026" s="20" t="str">
        <f>IFERROR(INDEX('[2]PRICELIST, 908u'!$G$7:$AX$914,MATCH($B1026,'[2]PRICELIST, 908u'!$G$7:$G$914,0),30),"NA")</f>
        <v>Flat / YELLOW</v>
      </c>
      <c r="L1026" s="20">
        <f>IFERROR(INDEX('[2]PRICELIST, 908u'!$G$7:$AX$914,MATCH($B1026,'[2]PRICELIST, 908u'!$G$7:$G$914,0),40),"NA")</f>
        <v>2850000</v>
      </c>
      <c r="M1026" s="20">
        <f>IFERROR(INDEX('[2]PRICELIST, 908u'!$G$7:$AX$914,MATCH($B1026,'[2]PRICELIST, 908u'!$G$7:$G$914,0),41),"NA")</f>
        <v>100000</v>
      </c>
      <c r="N1026" s="58">
        <f t="shared" si="44"/>
        <v>2750000</v>
      </c>
      <c r="O1026" s="60"/>
      <c r="P1026" s="60">
        <f t="shared" si="43"/>
        <v>2750000</v>
      </c>
    </row>
    <row r="1027" spans="2:16">
      <c r="B1027" s="20" t="s">
        <v>1178</v>
      </c>
      <c r="C1027" s="20" t="s">
        <v>2</v>
      </c>
      <c r="D1027" s="20" t="str">
        <f>IFERROR(INDEX('[2]PRICELIST, 908u'!$G$7:$AX$914,MATCH($B1027,'[2]PRICELIST, 908u'!$G$7:$G$914,0),18),"NA")</f>
        <v>2024 Batch</v>
      </c>
      <c r="E1027" s="20" t="str">
        <f>IFERROR(INDEX([3]AGM!$D$21:$BL$928,MATCH($B1027,[3]AGM!$AD$21:$AD$928,0),1),"NA")</f>
        <v>OS</v>
      </c>
      <c r="F1027" s="20" t="str">
        <f t="shared" si="42"/>
        <v>Block 08</v>
      </c>
      <c r="G1027" s="20" t="str">
        <f t="shared" si="41"/>
        <v>Lot 28</v>
      </c>
      <c r="H1027" s="20">
        <f>IFERROR(INDEX('[2]PRICELIST, 908u'!$G$7:$AX$914,MATCH($B1027,'[2]PRICELIST, 908u'!$G$7:$G$914,0),23),"NA")</f>
        <v>50</v>
      </c>
      <c r="I1027" s="20">
        <f>IFERROR(INDEX('[2]PRICELIST, 908u'!$G$7:$AX$914,MATCH($B1027,'[2]PRICELIST, 908u'!$G$7:$G$914,0),22),"NA")</f>
        <v>81</v>
      </c>
      <c r="J1027" s="20" t="s">
        <v>25</v>
      </c>
      <c r="K1027" s="20" t="str">
        <f>IFERROR(INDEX('[2]PRICELIST, 908u'!$G$7:$AX$914,MATCH($B1027,'[2]PRICELIST, 908u'!$G$7:$G$914,0),30),"NA")</f>
        <v>Slant / YELLOW</v>
      </c>
      <c r="L1027" s="20">
        <f>IFERROR(INDEX('[2]PRICELIST, 908u'!$G$7:$AX$914,MATCH($B1027,'[2]PRICELIST, 908u'!$G$7:$G$914,0),40),"NA")</f>
        <v>3015000</v>
      </c>
      <c r="M1027" s="20">
        <f>IFERROR(INDEX('[2]PRICELIST, 908u'!$G$7:$AX$914,MATCH($B1027,'[2]PRICELIST, 908u'!$G$7:$G$914,0),41),"NA")</f>
        <v>100000</v>
      </c>
      <c r="N1027" s="58">
        <f t="shared" si="44"/>
        <v>2915000</v>
      </c>
      <c r="O1027" s="60"/>
      <c r="P1027" s="60">
        <f t="shared" si="43"/>
        <v>2915000</v>
      </c>
    </row>
    <row r="1028" spans="2:16">
      <c r="B1028" s="20" t="s">
        <v>1179</v>
      </c>
      <c r="C1028" s="20" t="s">
        <v>2</v>
      </c>
      <c r="D1028" s="20" t="str">
        <f>IFERROR(INDEX('[2]PRICELIST, 908u'!$G$7:$AX$914,MATCH($B1028,'[2]PRICELIST, 908u'!$G$7:$G$914,0),18),"NA")</f>
        <v>2024 Batch</v>
      </c>
      <c r="E1028" s="20" t="str">
        <f>IFERROR(INDEX([3]AGM!$D$21:$BL$928,MATCH($B1028,[3]AGM!$AD$21:$AD$928,0),1),"NA")</f>
        <v>OS</v>
      </c>
      <c r="F1028" s="20" t="str">
        <f t="shared" si="42"/>
        <v>Block 09</v>
      </c>
      <c r="G1028" s="20" t="str">
        <f t="shared" si="41"/>
        <v>Lot 01</v>
      </c>
      <c r="H1028" s="20">
        <f>IFERROR(INDEX('[2]PRICELIST, 908u'!$G$7:$AX$914,MATCH($B1028,'[2]PRICELIST, 908u'!$G$7:$G$914,0),23),"NA")</f>
        <v>50</v>
      </c>
      <c r="I1028" s="20">
        <f>IFERROR(INDEX('[2]PRICELIST, 908u'!$G$7:$AX$914,MATCH($B1028,'[2]PRICELIST, 908u'!$G$7:$G$914,0),22),"NA")</f>
        <v>88</v>
      </c>
      <c r="J1028" s="20" t="s">
        <v>25</v>
      </c>
      <c r="K1028" s="20" t="str">
        <f>IFERROR(INDEX('[2]PRICELIST, 908u'!$G$7:$AX$914,MATCH($B1028,'[2]PRICELIST, 908u'!$G$7:$G$914,0),30),"NA")</f>
        <v>Flat / YELLOW</v>
      </c>
      <c r="L1028" s="20">
        <f>IFERROR(INDEX('[2]PRICELIST, 908u'!$G$7:$AX$914,MATCH($B1028,'[2]PRICELIST, 908u'!$G$7:$G$914,0),40),"NA")</f>
        <v>3120000</v>
      </c>
      <c r="M1028" s="20">
        <f>IFERROR(INDEX('[2]PRICELIST, 908u'!$G$7:$AX$914,MATCH($B1028,'[2]PRICELIST, 908u'!$G$7:$G$914,0),41),"NA")</f>
        <v>100000</v>
      </c>
      <c r="N1028" s="58">
        <f t="shared" si="44"/>
        <v>3020000</v>
      </c>
      <c r="O1028" s="60"/>
      <c r="P1028" s="60">
        <f t="shared" si="43"/>
        <v>3020000</v>
      </c>
    </row>
    <row r="1029" spans="2:16">
      <c r="B1029" s="20" t="s">
        <v>1180</v>
      </c>
      <c r="C1029" s="20" t="s">
        <v>2</v>
      </c>
      <c r="D1029" s="20" t="str">
        <f>IFERROR(INDEX('[2]PRICELIST, 908u'!$G$7:$AX$914,MATCH($B1029,'[2]PRICELIST, 908u'!$G$7:$G$914,0),18),"NA")</f>
        <v>2024 Batch</v>
      </c>
      <c r="E1029" s="20" t="str">
        <f>IFERROR(INDEX([3]AGM!$D$21:$BL$928,MATCH($B1029,[3]AGM!$AD$21:$AD$928,0),1),"NA")</f>
        <v>OS</v>
      </c>
      <c r="F1029" s="20" t="str">
        <f t="shared" si="42"/>
        <v>Block 09</v>
      </c>
      <c r="G1029" s="20" t="str">
        <f t="shared" si="41"/>
        <v>Lot 02</v>
      </c>
      <c r="H1029" s="20">
        <f>IFERROR(INDEX('[2]PRICELIST, 908u'!$G$7:$AX$914,MATCH($B1029,'[2]PRICELIST, 908u'!$G$7:$G$914,0),23),"NA")</f>
        <v>50</v>
      </c>
      <c r="I1029" s="20">
        <f>IFERROR(INDEX('[2]PRICELIST, 908u'!$G$7:$AX$914,MATCH($B1029,'[2]PRICELIST, 908u'!$G$7:$G$914,0),22),"NA")</f>
        <v>70</v>
      </c>
      <c r="J1029" s="20" t="s">
        <v>207</v>
      </c>
      <c r="K1029" s="20" t="str">
        <f>IFERROR(INDEX('[2]PRICELIST, 908u'!$G$7:$AX$914,MATCH($B1029,'[2]PRICELIST, 908u'!$G$7:$G$914,0),30),"NA")</f>
        <v>Slant / YELLOW</v>
      </c>
      <c r="L1029" s="20">
        <f>IFERROR(INDEX('[2]PRICELIST, 908u'!$G$7:$AX$914,MATCH($B1029,'[2]PRICELIST, 908u'!$G$7:$G$914,0),40),"NA")</f>
        <v>2650000</v>
      </c>
      <c r="M1029" s="20">
        <f>IFERROR(INDEX('[2]PRICELIST, 908u'!$G$7:$AX$914,MATCH($B1029,'[2]PRICELIST, 908u'!$G$7:$G$914,0),41),"NA")</f>
        <v>100000</v>
      </c>
      <c r="N1029" s="58">
        <f t="shared" si="44"/>
        <v>2550000</v>
      </c>
      <c r="O1029" s="60"/>
      <c r="P1029" s="60">
        <f t="shared" si="43"/>
        <v>2550000</v>
      </c>
    </row>
    <row r="1030" spans="2:16">
      <c r="B1030" s="20" t="s">
        <v>1181</v>
      </c>
      <c r="C1030" s="20" t="s">
        <v>2</v>
      </c>
      <c r="D1030" s="20" t="str">
        <f>IFERROR(INDEX('[2]PRICELIST, 908u'!$G$7:$AX$914,MATCH($B1030,'[2]PRICELIST, 908u'!$G$7:$G$914,0),18),"NA")</f>
        <v>2024 Batch</v>
      </c>
      <c r="E1030" s="20" t="str">
        <f>IFERROR(INDEX([3]AGM!$D$21:$BL$928,MATCH($B1030,[3]AGM!$AD$21:$AD$928,0),1),"NA")</f>
        <v>OS</v>
      </c>
      <c r="F1030" s="20" t="str">
        <f t="shared" si="42"/>
        <v>Block 09</v>
      </c>
      <c r="G1030" s="20" t="str">
        <f t="shared" si="41"/>
        <v>Lot 03</v>
      </c>
      <c r="H1030" s="20">
        <f>IFERROR(INDEX('[2]PRICELIST, 908u'!$G$7:$AX$914,MATCH($B1030,'[2]PRICELIST, 908u'!$G$7:$G$914,0),23),"NA")</f>
        <v>50</v>
      </c>
      <c r="I1030" s="20">
        <f>IFERROR(INDEX('[2]PRICELIST, 908u'!$G$7:$AX$914,MATCH($B1030,'[2]PRICELIST, 908u'!$G$7:$G$914,0),22),"NA")</f>
        <v>70</v>
      </c>
      <c r="J1030" s="20" t="s">
        <v>25</v>
      </c>
      <c r="K1030" s="20" t="str">
        <f>IFERROR(INDEX('[2]PRICELIST, 908u'!$G$7:$AX$914,MATCH($B1030,'[2]PRICELIST, 908u'!$G$7:$G$914,0),30),"NA")</f>
        <v>Slant / YELLOW</v>
      </c>
      <c r="L1030" s="20">
        <f>IFERROR(INDEX('[2]PRICELIST, 908u'!$G$7:$AX$914,MATCH($B1030,'[2]PRICELIST, 908u'!$G$7:$G$914,0),40),"NA")</f>
        <v>2850000</v>
      </c>
      <c r="M1030" s="20">
        <f>IFERROR(INDEX('[2]PRICELIST, 908u'!$G$7:$AX$914,MATCH($B1030,'[2]PRICELIST, 908u'!$G$7:$G$914,0),41),"NA")</f>
        <v>100000</v>
      </c>
      <c r="N1030" s="58">
        <f t="shared" si="44"/>
        <v>2750000</v>
      </c>
      <c r="O1030" s="60"/>
      <c r="P1030" s="60">
        <f t="shared" si="43"/>
        <v>2750000</v>
      </c>
    </row>
    <row r="1031" spans="2:16">
      <c r="B1031" s="20" t="s">
        <v>1182</v>
      </c>
      <c r="C1031" s="20" t="s">
        <v>2</v>
      </c>
      <c r="D1031" s="20" t="str">
        <f>IFERROR(INDEX('[2]PRICELIST, 908u'!$G$7:$AX$914,MATCH($B1031,'[2]PRICELIST, 908u'!$G$7:$G$914,0),18),"NA")</f>
        <v>2024 Batch</v>
      </c>
      <c r="E1031" s="20" t="str">
        <f>IFERROR(INDEX([3]AGM!$D$21:$BL$928,MATCH($B1031,[3]AGM!$AD$21:$AD$928,0),1),"NA")</f>
        <v>OS</v>
      </c>
      <c r="F1031" s="20" t="str">
        <f t="shared" si="42"/>
        <v>Block 09</v>
      </c>
      <c r="G1031" s="20" t="str">
        <f t="shared" si="41"/>
        <v>Lot 04</v>
      </c>
      <c r="H1031" s="20">
        <f>IFERROR(INDEX('[2]PRICELIST, 908u'!$G$7:$AX$914,MATCH($B1031,'[2]PRICELIST, 908u'!$G$7:$G$914,0),23),"NA")</f>
        <v>50</v>
      </c>
      <c r="I1031" s="20">
        <f>IFERROR(INDEX('[2]PRICELIST, 908u'!$G$7:$AX$914,MATCH($B1031,'[2]PRICELIST, 908u'!$G$7:$G$914,0),22),"NA")</f>
        <v>70</v>
      </c>
      <c r="J1031" s="20" t="s">
        <v>207</v>
      </c>
      <c r="K1031" s="20" t="str">
        <f>IFERROR(INDEX('[2]PRICELIST, 908u'!$G$7:$AX$914,MATCH($B1031,'[2]PRICELIST, 908u'!$G$7:$G$914,0),30),"NA")</f>
        <v>Flat / YELLOW</v>
      </c>
      <c r="L1031" s="20">
        <f>IFERROR(INDEX('[2]PRICELIST, 908u'!$G$7:$AX$914,MATCH($B1031,'[2]PRICELIST, 908u'!$G$7:$G$914,0),40),"NA")</f>
        <v>2650000</v>
      </c>
      <c r="M1031" s="20">
        <f>IFERROR(INDEX('[2]PRICELIST, 908u'!$G$7:$AX$914,MATCH($B1031,'[2]PRICELIST, 908u'!$G$7:$G$914,0),41),"NA")</f>
        <v>100000</v>
      </c>
      <c r="N1031" s="58">
        <f t="shared" si="44"/>
        <v>2550000</v>
      </c>
      <c r="O1031" s="60"/>
      <c r="P1031" s="60">
        <f t="shared" si="43"/>
        <v>2550000</v>
      </c>
    </row>
    <row r="1032" spans="2:16">
      <c r="B1032" s="20" t="s">
        <v>1183</v>
      </c>
      <c r="C1032" s="20" t="s">
        <v>2</v>
      </c>
      <c r="D1032" s="20" t="str">
        <f>IFERROR(INDEX('[2]PRICELIST, 908u'!$G$7:$AX$914,MATCH($B1032,'[2]PRICELIST, 908u'!$G$7:$G$914,0),18),"NA")</f>
        <v>2024 Batch</v>
      </c>
      <c r="E1032" s="20" t="str">
        <f>IFERROR(INDEX([3]AGM!$D$21:$BL$928,MATCH($B1032,[3]AGM!$AD$21:$AD$928,0),1),"NA")</f>
        <v>OS</v>
      </c>
      <c r="F1032" s="20" t="str">
        <f t="shared" si="42"/>
        <v>Block 09</v>
      </c>
      <c r="G1032" s="20" t="str">
        <f t="shared" si="41"/>
        <v>Lot 05</v>
      </c>
      <c r="H1032" s="20">
        <f>IFERROR(INDEX('[2]PRICELIST, 908u'!$G$7:$AX$914,MATCH($B1032,'[2]PRICELIST, 908u'!$G$7:$G$914,0),23),"NA")</f>
        <v>50</v>
      </c>
      <c r="I1032" s="20">
        <f>IFERROR(INDEX('[2]PRICELIST, 908u'!$G$7:$AX$914,MATCH($B1032,'[2]PRICELIST, 908u'!$G$7:$G$914,0),22),"NA")</f>
        <v>70</v>
      </c>
      <c r="J1032" s="20" t="s">
        <v>25</v>
      </c>
      <c r="K1032" s="20" t="str">
        <f>IFERROR(INDEX('[2]PRICELIST, 908u'!$G$7:$AX$914,MATCH($B1032,'[2]PRICELIST, 908u'!$G$7:$G$914,0),30),"NA")</f>
        <v>Flat / GREEN</v>
      </c>
      <c r="L1032" s="20">
        <f>IFERROR(INDEX('[2]PRICELIST, 908u'!$G$7:$AX$914,MATCH($B1032,'[2]PRICELIST, 908u'!$G$7:$G$914,0),40),"NA")</f>
        <v>2850000</v>
      </c>
      <c r="M1032" s="20">
        <f>IFERROR(INDEX('[2]PRICELIST, 908u'!$G$7:$AX$914,MATCH($B1032,'[2]PRICELIST, 908u'!$G$7:$G$914,0),41),"NA")</f>
        <v>100000</v>
      </c>
      <c r="N1032" s="58">
        <f t="shared" si="44"/>
        <v>2750000</v>
      </c>
      <c r="O1032" s="60"/>
      <c r="P1032" s="60">
        <f t="shared" si="43"/>
        <v>2750000</v>
      </c>
    </row>
    <row r="1033" spans="2:16">
      <c r="B1033" s="20" t="s">
        <v>1184</v>
      </c>
      <c r="C1033" s="20" t="s">
        <v>2</v>
      </c>
      <c r="D1033" s="20" t="str">
        <f>IFERROR(INDEX('[2]PRICELIST, 908u'!$G$7:$AX$914,MATCH($B1033,'[2]PRICELIST, 908u'!$G$7:$G$914,0),18),"NA")</f>
        <v>2024 Batch</v>
      </c>
      <c r="E1033" s="20" t="str">
        <f>IFERROR(INDEX([3]AGM!$D$21:$BL$928,MATCH($B1033,[3]AGM!$AD$21:$AD$928,0),1),"NA")</f>
        <v>OS</v>
      </c>
      <c r="F1033" s="20" t="str">
        <f t="shared" si="42"/>
        <v>Block 09</v>
      </c>
      <c r="G1033" s="20" t="str">
        <f t="shared" si="41"/>
        <v>Lot 06</v>
      </c>
      <c r="H1033" s="20">
        <f>IFERROR(INDEX('[2]PRICELIST, 908u'!$G$7:$AX$914,MATCH($B1033,'[2]PRICELIST, 908u'!$G$7:$G$914,0),23),"NA")</f>
        <v>50</v>
      </c>
      <c r="I1033" s="20">
        <f>IFERROR(INDEX('[2]PRICELIST, 908u'!$G$7:$AX$914,MATCH($B1033,'[2]PRICELIST, 908u'!$G$7:$G$914,0),22),"NA")</f>
        <v>70</v>
      </c>
      <c r="J1033" s="20" t="s">
        <v>207</v>
      </c>
      <c r="K1033" s="20" t="str">
        <f>IFERROR(INDEX('[2]PRICELIST, 908u'!$G$7:$AX$914,MATCH($B1033,'[2]PRICELIST, 908u'!$G$7:$G$914,0),30),"NA")</f>
        <v>Slant / GREEN</v>
      </c>
      <c r="L1033" s="20">
        <f>IFERROR(INDEX('[2]PRICELIST, 908u'!$G$7:$AX$914,MATCH($B1033,'[2]PRICELIST, 908u'!$G$7:$G$914,0),40),"NA")</f>
        <v>2650000</v>
      </c>
      <c r="M1033" s="20">
        <f>IFERROR(INDEX('[2]PRICELIST, 908u'!$G$7:$AX$914,MATCH($B1033,'[2]PRICELIST, 908u'!$G$7:$G$914,0),41),"NA")</f>
        <v>100000</v>
      </c>
      <c r="N1033" s="58">
        <f t="shared" si="44"/>
        <v>2550000</v>
      </c>
      <c r="O1033" s="60"/>
      <c r="P1033" s="60">
        <f t="shared" si="43"/>
        <v>2550000</v>
      </c>
    </row>
    <row r="1034" spans="2:16">
      <c r="B1034" s="20" t="s">
        <v>1185</v>
      </c>
      <c r="C1034" s="20" t="s">
        <v>2</v>
      </c>
      <c r="D1034" s="20" t="str">
        <f>IFERROR(INDEX('[2]PRICELIST, 908u'!$G$7:$AX$914,MATCH($B1034,'[2]PRICELIST, 908u'!$G$7:$G$914,0),18),"NA")</f>
        <v>2024 Batch</v>
      </c>
      <c r="E1034" s="20" t="str">
        <f>IFERROR(INDEX([3]AGM!$D$21:$BL$928,MATCH($B1034,[3]AGM!$AD$21:$AD$928,0),1),"NA")</f>
        <v>OS</v>
      </c>
      <c r="F1034" s="20" t="str">
        <f t="shared" si="42"/>
        <v>Block 09</v>
      </c>
      <c r="G1034" s="20" t="str">
        <f t="shared" si="41"/>
        <v>Lot 07</v>
      </c>
      <c r="H1034" s="20">
        <f>IFERROR(INDEX('[2]PRICELIST, 908u'!$G$7:$AX$914,MATCH($B1034,'[2]PRICELIST, 908u'!$G$7:$G$914,0),23),"NA")</f>
        <v>50</v>
      </c>
      <c r="I1034" s="20">
        <f>IFERROR(INDEX('[2]PRICELIST, 908u'!$G$7:$AX$914,MATCH($B1034,'[2]PRICELIST, 908u'!$G$7:$G$914,0),22),"NA")</f>
        <v>70</v>
      </c>
      <c r="J1034" s="20" t="s">
        <v>25</v>
      </c>
      <c r="K1034" s="20" t="str">
        <f>IFERROR(INDEX('[2]PRICELIST, 908u'!$G$7:$AX$914,MATCH($B1034,'[2]PRICELIST, 908u'!$G$7:$G$914,0),30),"NA")</f>
        <v>Slant / GREEN</v>
      </c>
      <c r="L1034" s="20">
        <f>IFERROR(INDEX('[2]PRICELIST, 908u'!$G$7:$AX$914,MATCH($B1034,'[2]PRICELIST, 908u'!$G$7:$G$914,0),40),"NA")</f>
        <v>2850000</v>
      </c>
      <c r="M1034" s="20">
        <f>IFERROR(INDEX('[2]PRICELIST, 908u'!$G$7:$AX$914,MATCH($B1034,'[2]PRICELIST, 908u'!$G$7:$G$914,0),41),"NA")</f>
        <v>100000</v>
      </c>
      <c r="N1034" s="58">
        <f t="shared" si="44"/>
        <v>2750000</v>
      </c>
      <c r="O1034" s="60"/>
      <c r="P1034" s="60">
        <f t="shared" si="43"/>
        <v>2750000</v>
      </c>
    </row>
    <row r="1035" spans="2:16">
      <c r="B1035" s="20" t="s">
        <v>1186</v>
      </c>
      <c r="C1035" s="20" t="s">
        <v>2</v>
      </c>
      <c r="D1035" s="20" t="str">
        <f>IFERROR(INDEX('[2]PRICELIST, 908u'!$G$7:$AX$914,MATCH($B1035,'[2]PRICELIST, 908u'!$G$7:$G$914,0),18),"NA")</f>
        <v>2024 Batch</v>
      </c>
      <c r="E1035" s="20" t="str">
        <f>IFERROR(INDEX([3]AGM!$D$21:$BL$928,MATCH($B1035,[3]AGM!$AD$21:$AD$928,0),1),"NA")</f>
        <v>OS</v>
      </c>
      <c r="F1035" s="20" t="str">
        <f t="shared" si="42"/>
        <v>Block 09</v>
      </c>
      <c r="G1035" s="20" t="str">
        <f t="shared" si="41"/>
        <v>Lot 08</v>
      </c>
      <c r="H1035" s="20">
        <f>IFERROR(INDEX('[2]PRICELIST, 908u'!$G$7:$AX$914,MATCH($B1035,'[2]PRICELIST, 908u'!$G$7:$G$914,0),23),"NA")</f>
        <v>50</v>
      </c>
      <c r="I1035" s="20">
        <f>IFERROR(INDEX('[2]PRICELIST, 908u'!$G$7:$AX$914,MATCH($B1035,'[2]PRICELIST, 908u'!$G$7:$G$914,0),22),"NA")</f>
        <v>70</v>
      </c>
      <c r="J1035" s="20" t="s">
        <v>25</v>
      </c>
      <c r="K1035" s="20" t="str">
        <f>IFERROR(INDEX('[2]PRICELIST, 908u'!$G$7:$AX$914,MATCH($B1035,'[2]PRICELIST, 908u'!$G$7:$G$914,0),30),"NA")</f>
        <v>Flat / GREEN</v>
      </c>
      <c r="L1035" s="20">
        <f>IFERROR(INDEX('[2]PRICELIST, 908u'!$G$7:$AX$914,MATCH($B1035,'[2]PRICELIST, 908u'!$G$7:$G$914,0),40),"NA")</f>
        <v>2850000</v>
      </c>
      <c r="M1035" s="20">
        <f>IFERROR(INDEX('[2]PRICELIST, 908u'!$G$7:$AX$914,MATCH($B1035,'[2]PRICELIST, 908u'!$G$7:$G$914,0),41),"NA")</f>
        <v>100000</v>
      </c>
      <c r="N1035" s="58">
        <f t="shared" si="44"/>
        <v>2750000</v>
      </c>
      <c r="O1035" s="60"/>
      <c r="P1035" s="60">
        <f t="shared" si="43"/>
        <v>2750000</v>
      </c>
    </row>
    <row r="1036" spans="2:16">
      <c r="B1036" s="20" t="s">
        <v>1187</v>
      </c>
      <c r="C1036" s="20" t="s">
        <v>2</v>
      </c>
      <c r="D1036" s="20" t="str">
        <f>IFERROR(INDEX('[2]PRICELIST, 908u'!$G$7:$AX$914,MATCH($B1036,'[2]PRICELIST, 908u'!$G$7:$G$914,0),18),"NA")</f>
        <v>2024 Batch</v>
      </c>
      <c r="E1036" s="20" t="str">
        <f>IFERROR(INDEX([3]AGM!$D$21:$BL$928,MATCH($B1036,[3]AGM!$AD$21:$AD$928,0),1),"NA")</f>
        <v>OS</v>
      </c>
      <c r="F1036" s="20" t="str">
        <f t="shared" si="42"/>
        <v>Block 09</v>
      </c>
      <c r="G1036" s="20" t="str">
        <f t="shared" si="41"/>
        <v>Lot 09</v>
      </c>
      <c r="H1036" s="20">
        <f>IFERROR(INDEX('[2]PRICELIST, 908u'!$G$7:$AX$914,MATCH($B1036,'[2]PRICELIST, 908u'!$G$7:$G$914,0),23),"NA")</f>
        <v>50</v>
      </c>
      <c r="I1036" s="20">
        <f>IFERROR(INDEX('[2]PRICELIST, 908u'!$G$7:$AX$914,MATCH($B1036,'[2]PRICELIST, 908u'!$G$7:$G$914,0),22),"NA")</f>
        <v>70</v>
      </c>
      <c r="J1036" s="20" t="s">
        <v>25</v>
      </c>
      <c r="K1036" s="20" t="str">
        <f>IFERROR(INDEX('[2]PRICELIST, 908u'!$G$7:$AX$914,MATCH($B1036,'[2]PRICELIST, 908u'!$G$7:$G$914,0),30),"NA")</f>
        <v>Flat / PURPLE</v>
      </c>
      <c r="L1036" s="20">
        <f>IFERROR(INDEX('[2]PRICELIST, 908u'!$G$7:$AX$914,MATCH($B1036,'[2]PRICELIST, 908u'!$G$7:$G$914,0),40),"NA")</f>
        <v>2850000</v>
      </c>
      <c r="M1036" s="20">
        <f>IFERROR(INDEX('[2]PRICELIST, 908u'!$G$7:$AX$914,MATCH($B1036,'[2]PRICELIST, 908u'!$G$7:$G$914,0),41),"NA")</f>
        <v>100000</v>
      </c>
      <c r="N1036" s="58">
        <f t="shared" si="44"/>
        <v>2750000</v>
      </c>
      <c r="O1036" s="60"/>
      <c r="P1036" s="60">
        <f t="shared" si="43"/>
        <v>2750000</v>
      </c>
    </row>
    <row r="1037" spans="2:16">
      <c r="B1037" s="20" t="s">
        <v>1188</v>
      </c>
      <c r="C1037" s="20" t="s">
        <v>2</v>
      </c>
      <c r="D1037" s="20" t="str">
        <f>IFERROR(INDEX('[2]PRICELIST, 908u'!$G$7:$AX$914,MATCH($B1037,'[2]PRICELIST, 908u'!$G$7:$G$914,0),18),"NA")</f>
        <v>2024 Batch</v>
      </c>
      <c r="E1037" s="20" t="str">
        <f>IFERROR(INDEX([3]AGM!$D$21:$BL$928,MATCH($B1037,[3]AGM!$AD$21:$AD$928,0),1),"NA")</f>
        <v>OS</v>
      </c>
      <c r="F1037" s="20" t="str">
        <f t="shared" si="42"/>
        <v>Block 09</v>
      </c>
      <c r="G1037" s="20" t="str">
        <f t="shared" si="41"/>
        <v>Lot 10</v>
      </c>
      <c r="H1037" s="20">
        <f>IFERROR(INDEX('[2]PRICELIST, 908u'!$G$7:$AX$914,MATCH($B1037,'[2]PRICELIST, 908u'!$G$7:$G$914,0),23),"NA")</f>
        <v>50</v>
      </c>
      <c r="I1037" s="20">
        <f>IFERROR(INDEX('[2]PRICELIST, 908u'!$G$7:$AX$914,MATCH($B1037,'[2]PRICELIST, 908u'!$G$7:$G$914,0),22),"NA")</f>
        <v>70</v>
      </c>
      <c r="J1037" s="20" t="s">
        <v>25</v>
      </c>
      <c r="K1037" s="20" t="str">
        <f>IFERROR(INDEX('[2]PRICELIST, 908u'!$G$7:$AX$914,MATCH($B1037,'[2]PRICELIST, 908u'!$G$7:$G$914,0),30),"NA")</f>
        <v>Slant / PURPLE</v>
      </c>
      <c r="L1037" s="20">
        <f>IFERROR(INDEX('[2]PRICELIST, 908u'!$G$7:$AX$914,MATCH($B1037,'[2]PRICELIST, 908u'!$G$7:$G$914,0),40),"NA")</f>
        <v>2850000</v>
      </c>
      <c r="M1037" s="20">
        <f>IFERROR(INDEX('[2]PRICELIST, 908u'!$G$7:$AX$914,MATCH($B1037,'[2]PRICELIST, 908u'!$G$7:$G$914,0),41),"NA")</f>
        <v>100000</v>
      </c>
      <c r="N1037" s="58">
        <f t="shared" si="44"/>
        <v>2750000</v>
      </c>
      <c r="O1037" s="60"/>
      <c r="P1037" s="60">
        <f t="shared" si="43"/>
        <v>2750000</v>
      </c>
    </row>
    <row r="1038" spans="2:16">
      <c r="B1038" s="20" t="s">
        <v>1189</v>
      </c>
      <c r="C1038" s="20" t="s">
        <v>2</v>
      </c>
      <c r="D1038" s="20" t="str">
        <f>IFERROR(INDEX('[2]PRICELIST, 908u'!$G$7:$AX$914,MATCH($B1038,'[2]PRICELIST, 908u'!$G$7:$G$914,0),18),"NA")</f>
        <v>2024 Batch</v>
      </c>
      <c r="E1038" s="20" t="str">
        <f>IFERROR(INDEX([3]AGM!$D$21:$BL$928,MATCH($B1038,[3]AGM!$AD$21:$AD$928,0),1),"NA")</f>
        <v>OS</v>
      </c>
      <c r="F1038" s="20" t="str">
        <f t="shared" si="42"/>
        <v>Block 09</v>
      </c>
      <c r="G1038" s="20" t="str">
        <f t="shared" si="41"/>
        <v>Lot 11</v>
      </c>
      <c r="H1038" s="20">
        <f>IFERROR(INDEX('[2]PRICELIST, 908u'!$G$7:$AX$914,MATCH($B1038,'[2]PRICELIST, 908u'!$G$7:$G$914,0),23),"NA")</f>
        <v>50</v>
      </c>
      <c r="I1038" s="20">
        <f>IFERROR(INDEX('[2]PRICELIST, 908u'!$G$7:$AX$914,MATCH($B1038,'[2]PRICELIST, 908u'!$G$7:$G$914,0),22),"NA")</f>
        <v>70</v>
      </c>
      <c r="J1038" s="20" t="s">
        <v>207</v>
      </c>
      <c r="K1038" s="20" t="str">
        <f>IFERROR(INDEX('[2]PRICELIST, 908u'!$G$7:$AX$914,MATCH($B1038,'[2]PRICELIST, 908u'!$G$7:$G$914,0),30),"NA")</f>
        <v>Slant / PURPLE</v>
      </c>
      <c r="L1038" s="20">
        <f>IFERROR(INDEX('[2]PRICELIST, 908u'!$G$7:$AX$914,MATCH($B1038,'[2]PRICELIST, 908u'!$G$7:$G$914,0),40),"NA")</f>
        <v>2650000</v>
      </c>
      <c r="M1038" s="20">
        <f>IFERROR(INDEX('[2]PRICELIST, 908u'!$G$7:$AX$914,MATCH($B1038,'[2]PRICELIST, 908u'!$G$7:$G$914,0),41),"NA")</f>
        <v>100000</v>
      </c>
      <c r="N1038" s="58">
        <f t="shared" si="44"/>
        <v>2550000</v>
      </c>
      <c r="O1038" s="60"/>
      <c r="P1038" s="60">
        <f t="shared" si="43"/>
        <v>2550000</v>
      </c>
    </row>
    <row r="1039" spans="2:16">
      <c r="B1039" s="20" t="s">
        <v>1190</v>
      </c>
      <c r="C1039" s="20" t="s">
        <v>2</v>
      </c>
      <c r="D1039" s="20" t="str">
        <f>IFERROR(INDEX('[2]PRICELIST, 908u'!$G$7:$AX$914,MATCH($B1039,'[2]PRICELIST, 908u'!$G$7:$G$914,0),18),"NA")</f>
        <v>2024 Batch</v>
      </c>
      <c r="E1039" s="20" t="str">
        <f>IFERROR(INDEX([3]AGM!$D$21:$BL$928,MATCH($B1039,[3]AGM!$AD$21:$AD$928,0),1),"NA")</f>
        <v>OS</v>
      </c>
      <c r="F1039" s="20" t="str">
        <f t="shared" si="42"/>
        <v>Block 09</v>
      </c>
      <c r="G1039" s="20" t="str">
        <f t="shared" si="41"/>
        <v>Lot 12</v>
      </c>
      <c r="H1039" s="20">
        <f>IFERROR(INDEX('[2]PRICELIST, 908u'!$G$7:$AX$914,MATCH($B1039,'[2]PRICELIST, 908u'!$G$7:$G$914,0),23),"NA")</f>
        <v>50</v>
      </c>
      <c r="I1039" s="20">
        <f>IFERROR(INDEX('[2]PRICELIST, 908u'!$G$7:$AX$914,MATCH($B1039,'[2]PRICELIST, 908u'!$G$7:$G$914,0),22),"NA")</f>
        <v>70</v>
      </c>
      <c r="J1039" s="20" t="s">
        <v>25</v>
      </c>
      <c r="K1039" s="20" t="str">
        <f>IFERROR(INDEX('[2]PRICELIST, 908u'!$G$7:$AX$914,MATCH($B1039,'[2]PRICELIST, 908u'!$G$7:$G$914,0),30),"NA")</f>
        <v>Flat / PURPLE</v>
      </c>
      <c r="L1039" s="20">
        <f>IFERROR(INDEX('[2]PRICELIST, 908u'!$G$7:$AX$914,MATCH($B1039,'[2]PRICELIST, 908u'!$G$7:$G$914,0),40),"NA")</f>
        <v>2850000</v>
      </c>
      <c r="M1039" s="20">
        <f>IFERROR(INDEX('[2]PRICELIST, 908u'!$G$7:$AX$914,MATCH($B1039,'[2]PRICELIST, 908u'!$G$7:$G$914,0),41),"NA")</f>
        <v>100000</v>
      </c>
      <c r="N1039" s="58">
        <f t="shared" si="44"/>
        <v>2750000</v>
      </c>
      <c r="O1039" s="60"/>
      <c r="P1039" s="60">
        <f t="shared" si="43"/>
        <v>2750000</v>
      </c>
    </row>
    <row r="1040" spans="2:16">
      <c r="B1040" s="20" t="s">
        <v>1191</v>
      </c>
      <c r="C1040" s="20" t="s">
        <v>2</v>
      </c>
      <c r="D1040" s="20" t="str">
        <f>IFERROR(INDEX('[2]PRICELIST, 908u'!$G$7:$AX$914,MATCH($B1040,'[2]PRICELIST, 908u'!$G$7:$G$914,0),18),"NA")</f>
        <v>2024 Batch</v>
      </c>
      <c r="E1040" s="20" t="str">
        <f>IFERROR(INDEX([3]AGM!$D$21:$BL$928,MATCH($B1040,[3]AGM!$AD$21:$AD$928,0),1),"NA")</f>
        <v>OS</v>
      </c>
      <c r="F1040" s="20" t="str">
        <f t="shared" si="42"/>
        <v>Block 09</v>
      </c>
      <c r="G1040" s="20" t="str">
        <f t="shared" si="41"/>
        <v>Lot 13</v>
      </c>
      <c r="H1040" s="20">
        <f>IFERROR(INDEX('[2]PRICELIST, 908u'!$G$7:$AX$914,MATCH($B1040,'[2]PRICELIST, 908u'!$G$7:$G$914,0),23),"NA")</f>
        <v>50</v>
      </c>
      <c r="I1040" s="20">
        <f>IFERROR(INDEX('[2]PRICELIST, 908u'!$G$7:$AX$914,MATCH($B1040,'[2]PRICELIST, 908u'!$G$7:$G$914,0),22),"NA")</f>
        <v>70</v>
      </c>
      <c r="J1040" s="20" t="s">
        <v>25</v>
      </c>
      <c r="K1040" s="20" t="str">
        <f>IFERROR(INDEX('[2]PRICELIST, 908u'!$G$7:$AX$914,MATCH($B1040,'[2]PRICELIST, 908u'!$G$7:$G$914,0),30),"NA")</f>
        <v>Flat / PINK</v>
      </c>
      <c r="L1040" s="20">
        <f>IFERROR(INDEX('[2]PRICELIST, 908u'!$G$7:$AX$914,MATCH($B1040,'[2]PRICELIST, 908u'!$G$7:$G$914,0),40),"NA")</f>
        <v>2850000</v>
      </c>
      <c r="M1040" s="20">
        <f>IFERROR(INDEX('[2]PRICELIST, 908u'!$G$7:$AX$914,MATCH($B1040,'[2]PRICELIST, 908u'!$G$7:$G$914,0),41),"NA")</f>
        <v>100000</v>
      </c>
      <c r="N1040" s="58">
        <f t="shared" si="44"/>
        <v>2750000</v>
      </c>
      <c r="O1040" s="60"/>
      <c r="P1040" s="60">
        <f t="shared" si="43"/>
        <v>2750000</v>
      </c>
    </row>
    <row r="1041" spans="2:16">
      <c r="B1041" s="20" t="s">
        <v>1192</v>
      </c>
      <c r="C1041" s="20" t="s">
        <v>2</v>
      </c>
      <c r="D1041" s="20" t="str">
        <f>IFERROR(INDEX('[2]PRICELIST, 908u'!$G$7:$AX$914,MATCH($B1041,'[2]PRICELIST, 908u'!$G$7:$G$914,0),18),"NA")</f>
        <v>2024 Batch</v>
      </c>
      <c r="E1041" s="20" t="str">
        <f>IFERROR(INDEX([3]AGM!$D$21:$BL$928,MATCH($B1041,[3]AGM!$AD$21:$AD$928,0),1),"NA")</f>
        <v>OS</v>
      </c>
      <c r="F1041" s="20" t="str">
        <f t="shared" si="42"/>
        <v>Block 09</v>
      </c>
      <c r="G1041" s="20" t="str">
        <f t="shared" si="41"/>
        <v>Lot 14</v>
      </c>
      <c r="H1041" s="20">
        <f>IFERROR(INDEX('[2]PRICELIST, 908u'!$G$7:$AX$914,MATCH($B1041,'[2]PRICELIST, 908u'!$G$7:$G$914,0),23),"NA")</f>
        <v>50</v>
      </c>
      <c r="I1041" s="20">
        <f>IFERROR(INDEX('[2]PRICELIST, 908u'!$G$7:$AX$914,MATCH($B1041,'[2]PRICELIST, 908u'!$G$7:$G$914,0),22),"NA")</f>
        <v>70</v>
      </c>
      <c r="J1041" s="20" t="s">
        <v>25</v>
      </c>
      <c r="K1041" s="20" t="str">
        <f>IFERROR(INDEX('[2]PRICELIST, 908u'!$G$7:$AX$914,MATCH($B1041,'[2]PRICELIST, 908u'!$G$7:$G$914,0),30),"NA")</f>
        <v>Slant / PINK</v>
      </c>
      <c r="L1041" s="20">
        <f>IFERROR(INDEX('[2]PRICELIST, 908u'!$G$7:$AX$914,MATCH($B1041,'[2]PRICELIST, 908u'!$G$7:$G$914,0),40),"NA")</f>
        <v>2850000</v>
      </c>
      <c r="M1041" s="20">
        <f>IFERROR(INDEX('[2]PRICELIST, 908u'!$G$7:$AX$914,MATCH($B1041,'[2]PRICELIST, 908u'!$G$7:$G$914,0),41),"NA")</f>
        <v>100000</v>
      </c>
      <c r="N1041" s="58">
        <f t="shared" si="44"/>
        <v>2750000</v>
      </c>
      <c r="O1041" s="60"/>
      <c r="P1041" s="60">
        <f t="shared" si="43"/>
        <v>2750000</v>
      </c>
    </row>
    <row r="1042" spans="2:16">
      <c r="B1042" s="20" t="s">
        <v>1193</v>
      </c>
      <c r="C1042" s="20" t="s">
        <v>2</v>
      </c>
      <c r="D1042" s="20" t="str">
        <f>IFERROR(INDEX('[2]PRICELIST, 908u'!$G$7:$AX$914,MATCH($B1042,'[2]PRICELIST, 908u'!$G$7:$G$914,0),18),"NA")</f>
        <v>2024 Batch</v>
      </c>
      <c r="E1042" s="20" t="str">
        <f>IFERROR(INDEX([3]AGM!$D$21:$BL$928,MATCH($B1042,[3]AGM!$AD$21:$AD$928,0),1),"NA")</f>
        <v>OS</v>
      </c>
      <c r="F1042" s="20" t="str">
        <f t="shared" si="42"/>
        <v>Block 09</v>
      </c>
      <c r="G1042" s="20" t="str">
        <f t="shared" si="41"/>
        <v>Lot 15</v>
      </c>
      <c r="H1042" s="20">
        <f>IFERROR(INDEX('[2]PRICELIST, 908u'!$G$7:$AX$914,MATCH($B1042,'[2]PRICELIST, 908u'!$G$7:$G$914,0),23),"NA")</f>
        <v>50</v>
      </c>
      <c r="I1042" s="20">
        <f>IFERROR(INDEX('[2]PRICELIST, 908u'!$G$7:$AX$914,MATCH($B1042,'[2]PRICELIST, 908u'!$G$7:$G$914,0),22),"NA")</f>
        <v>70</v>
      </c>
      <c r="J1042" s="20" t="s">
        <v>25</v>
      </c>
      <c r="K1042" s="20" t="str">
        <f>IFERROR(INDEX('[2]PRICELIST, 908u'!$G$7:$AX$914,MATCH($B1042,'[2]PRICELIST, 908u'!$G$7:$G$914,0),30),"NA")</f>
        <v>Slant / PINK</v>
      </c>
      <c r="L1042" s="20">
        <f>IFERROR(INDEX('[2]PRICELIST, 908u'!$G$7:$AX$914,MATCH($B1042,'[2]PRICELIST, 908u'!$G$7:$G$914,0),40),"NA")</f>
        <v>2650000</v>
      </c>
      <c r="M1042" s="20">
        <f>IFERROR(INDEX('[2]PRICELIST, 908u'!$G$7:$AX$914,MATCH($B1042,'[2]PRICELIST, 908u'!$G$7:$G$914,0),41),"NA")</f>
        <v>100000</v>
      </c>
      <c r="N1042" s="58">
        <f t="shared" si="44"/>
        <v>2550000</v>
      </c>
      <c r="O1042" s="60"/>
      <c r="P1042" s="60">
        <f t="shared" si="43"/>
        <v>2550000</v>
      </c>
    </row>
    <row r="1043" spans="2:16">
      <c r="B1043" s="20" t="s">
        <v>1194</v>
      </c>
      <c r="C1043" s="20" t="s">
        <v>2</v>
      </c>
      <c r="D1043" s="20" t="str">
        <f>IFERROR(INDEX('[2]PRICELIST, 908u'!$G$7:$AX$914,MATCH($B1043,'[2]PRICELIST, 908u'!$G$7:$G$914,0),18),"NA")</f>
        <v>2024 Batch</v>
      </c>
      <c r="E1043" s="20" t="str">
        <f>IFERROR(INDEX([3]AGM!$D$21:$BL$928,MATCH($B1043,[3]AGM!$AD$21:$AD$928,0),1),"NA")</f>
        <v>OS</v>
      </c>
      <c r="F1043" s="20" t="str">
        <f t="shared" si="42"/>
        <v>Block 09</v>
      </c>
      <c r="G1043" s="20" t="str">
        <f t="shared" si="41"/>
        <v>Lot 16</v>
      </c>
      <c r="H1043" s="20">
        <f>IFERROR(INDEX('[2]PRICELIST, 908u'!$G$7:$AX$914,MATCH($B1043,'[2]PRICELIST, 908u'!$G$7:$G$914,0),23),"NA")</f>
        <v>50</v>
      </c>
      <c r="I1043" s="20">
        <f>IFERROR(INDEX('[2]PRICELIST, 908u'!$G$7:$AX$914,MATCH($B1043,'[2]PRICELIST, 908u'!$G$7:$G$914,0),22),"NA")</f>
        <v>70</v>
      </c>
      <c r="J1043" s="20" t="s">
        <v>25</v>
      </c>
      <c r="K1043" s="20" t="str">
        <f>IFERROR(INDEX('[2]PRICELIST, 908u'!$G$7:$AX$914,MATCH($B1043,'[2]PRICELIST, 908u'!$G$7:$G$914,0),30),"NA")</f>
        <v>Flat / PINK</v>
      </c>
      <c r="L1043" s="20">
        <f>IFERROR(INDEX('[2]PRICELIST, 908u'!$G$7:$AX$914,MATCH($B1043,'[2]PRICELIST, 908u'!$G$7:$G$914,0),40),"NA")</f>
        <v>2850000</v>
      </c>
      <c r="M1043" s="20">
        <f>IFERROR(INDEX('[2]PRICELIST, 908u'!$G$7:$AX$914,MATCH($B1043,'[2]PRICELIST, 908u'!$G$7:$G$914,0),41),"NA")</f>
        <v>100000</v>
      </c>
      <c r="N1043" s="58">
        <f t="shared" si="44"/>
        <v>2750000</v>
      </c>
      <c r="O1043" s="60"/>
      <c r="P1043" s="60">
        <f t="shared" si="43"/>
        <v>2750000</v>
      </c>
    </row>
    <row r="1044" spans="2:16">
      <c r="B1044" s="20" t="s">
        <v>1195</v>
      </c>
      <c r="C1044" s="20" t="s">
        <v>2</v>
      </c>
      <c r="D1044" s="20" t="str">
        <f>IFERROR(INDEX('[2]PRICELIST, 908u'!$G$7:$AX$914,MATCH($B1044,'[2]PRICELIST, 908u'!$G$7:$G$914,0),18),"NA")</f>
        <v>2024 Batch</v>
      </c>
      <c r="E1044" s="20" t="str">
        <f>IFERROR(INDEX([3]AGM!$D$21:$BL$928,MATCH($B1044,[3]AGM!$AD$21:$AD$928,0),1),"NA")</f>
        <v>OS</v>
      </c>
      <c r="F1044" s="20" t="str">
        <f t="shared" si="42"/>
        <v>Block 09</v>
      </c>
      <c r="G1044" s="20" t="str">
        <f t="shared" si="41"/>
        <v>Lot 17</v>
      </c>
      <c r="H1044" s="20">
        <f>IFERROR(INDEX('[2]PRICELIST, 908u'!$G$7:$AX$914,MATCH($B1044,'[2]PRICELIST, 908u'!$G$7:$G$914,0),23),"NA")</f>
        <v>50</v>
      </c>
      <c r="I1044" s="20">
        <f>IFERROR(INDEX('[2]PRICELIST, 908u'!$G$7:$AX$914,MATCH($B1044,'[2]PRICELIST, 908u'!$G$7:$G$914,0),22),"NA")</f>
        <v>70</v>
      </c>
      <c r="J1044" s="20" t="s">
        <v>25</v>
      </c>
      <c r="K1044" s="20" t="str">
        <f>IFERROR(INDEX('[2]PRICELIST, 908u'!$G$7:$AX$914,MATCH($B1044,'[2]PRICELIST, 908u'!$G$7:$G$914,0),30),"NA")</f>
        <v>Flat / YELLOW</v>
      </c>
      <c r="L1044" s="20">
        <f>IFERROR(INDEX('[2]PRICELIST, 908u'!$G$7:$AX$914,MATCH($B1044,'[2]PRICELIST, 908u'!$G$7:$G$914,0),40),"NA")</f>
        <v>2850000</v>
      </c>
      <c r="M1044" s="20">
        <f>IFERROR(INDEX('[2]PRICELIST, 908u'!$G$7:$AX$914,MATCH($B1044,'[2]PRICELIST, 908u'!$G$7:$G$914,0),41),"NA")</f>
        <v>100000</v>
      </c>
      <c r="N1044" s="58">
        <f t="shared" si="44"/>
        <v>2750000</v>
      </c>
      <c r="O1044" s="60"/>
      <c r="P1044" s="60">
        <f t="shared" si="43"/>
        <v>2750000</v>
      </c>
    </row>
    <row r="1045" spans="2:16">
      <c r="B1045" s="20" t="s">
        <v>1196</v>
      </c>
      <c r="C1045" s="20" t="s">
        <v>2</v>
      </c>
      <c r="D1045" s="20" t="str">
        <f>IFERROR(INDEX('[2]PRICELIST, 908u'!$G$7:$AX$914,MATCH($B1045,'[2]PRICELIST, 908u'!$G$7:$G$914,0),18),"NA")</f>
        <v>2024 Batch</v>
      </c>
      <c r="E1045" s="20" t="str">
        <f>IFERROR(INDEX([3]AGM!$D$21:$BL$928,MATCH($B1045,[3]AGM!$AD$21:$AD$928,0),1),"NA")</f>
        <v>OS</v>
      </c>
      <c r="F1045" s="20" t="str">
        <f t="shared" si="42"/>
        <v>Block 09</v>
      </c>
      <c r="G1045" s="20" t="str">
        <f t="shared" si="41"/>
        <v>Lot 18</v>
      </c>
      <c r="H1045" s="20">
        <f>IFERROR(INDEX('[2]PRICELIST, 908u'!$G$7:$AX$914,MATCH($B1045,'[2]PRICELIST, 908u'!$G$7:$G$914,0),23),"NA")</f>
        <v>50</v>
      </c>
      <c r="I1045" s="20">
        <f>IFERROR(INDEX('[2]PRICELIST, 908u'!$G$7:$AX$914,MATCH($B1045,'[2]PRICELIST, 908u'!$G$7:$G$914,0),22),"NA")</f>
        <v>70</v>
      </c>
      <c r="J1045" s="20" t="s">
        <v>25</v>
      </c>
      <c r="K1045" s="20" t="str">
        <f>IFERROR(INDEX('[2]PRICELIST, 908u'!$G$7:$AX$914,MATCH($B1045,'[2]PRICELIST, 908u'!$G$7:$G$914,0),30),"NA")</f>
        <v>Slant / YELLOW</v>
      </c>
      <c r="L1045" s="20">
        <f>IFERROR(INDEX('[2]PRICELIST, 908u'!$G$7:$AX$914,MATCH($B1045,'[2]PRICELIST, 908u'!$G$7:$G$914,0),40),"NA")</f>
        <v>2850000</v>
      </c>
      <c r="M1045" s="20">
        <f>IFERROR(INDEX('[2]PRICELIST, 908u'!$G$7:$AX$914,MATCH($B1045,'[2]PRICELIST, 908u'!$G$7:$G$914,0),41),"NA")</f>
        <v>100000</v>
      </c>
      <c r="N1045" s="58">
        <f t="shared" si="44"/>
        <v>2750000</v>
      </c>
      <c r="O1045" s="60"/>
      <c r="P1045" s="60">
        <f t="shared" si="43"/>
        <v>2750000</v>
      </c>
    </row>
    <row r="1046" spans="2:16">
      <c r="B1046" s="20" t="s">
        <v>1197</v>
      </c>
      <c r="C1046" s="20" t="s">
        <v>2</v>
      </c>
      <c r="D1046" s="20" t="str">
        <f>IFERROR(INDEX('[2]PRICELIST, 908u'!$G$7:$AX$914,MATCH($B1046,'[2]PRICELIST, 908u'!$G$7:$G$914,0),18),"NA")</f>
        <v>2024 Batch</v>
      </c>
      <c r="E1046" s="20" t="str">
        <f>IFERROR(INDEX([3]AGM!$D$21:$BL$928,MATCH($B1046,[3]AGM!$AD$21:$AD$928,0),1),"NA")</f>
        <v>OS</v>
      </c>
      <c r="F1046" s="20" t="str">
        <f t="shared" si="42"/>
        <v>Block 09</v>
      </c>
      <c r="G1046" s="20" t="str">
        <f t="shared" si="41"/>
        <v>Lot 19</v>
      </c>
      <c r="H1046" s="20">
        <f>IFERROR(INDEX('[2]PRICELIST, 908u'!$G$7:$AX$914,MATCH($B1046,'[2]PRICELIST, 908u'!$G$7:$G$914,0),23),"NA")</f>
        <v>50</v>
      </c>
      <c r="I1046" s="20">
        <f>IFERROR(INDEX('[2]PRICELIST, 908u'!$G$7:$AX$914,MATCH($B1046,'[2]PRICELIST, 908u'!$G$7:$G$914,0),22),"NA")</f>
        <v>70</v>
      </c>
      <c r="J1046" s="20" t="s">
        <v>25</v>
      </c>
      <c r="K1046" s="20" t="str">
        <f>IFERROR(INDEX('[2]PRICELIST, 908u'!$G$7:$AX$914,MATCH($B1046,'[2]PRICELIST, 908u'!$G$7:$G$914,0),30),"NA")</f>
        <v>Slant / YELLOW</v>
      </c>
      <c r="L1046" s="20">
        <f>IFERROR(INDEX('[2]PRICELIST, 908u'!$G$7:$AX$914,MATCH($B1046,'[2]PRICELIST, 908u'!$G$7:$G$914,0),40),"NA")</f>
        <v>2850000</v>
      </c>
      <c r="M1046" s="20">
        <f>IFERROR(INDEX('[2]PRICELIST, 908u'!$G$7:$AX$914,MATCH($B1046,'[2]PRICELIST, 908u'!$G$7:$G$914,0),41),"NA")</f>
        <v>100000</v>
      </c>
      <c r="N1046" s="58">
        <f t="shared" si="44"/>
        <v>2750000</v>
      </c>
      <c r="O1046" s="60"/>
      <c r="P1046" s="60">
        <f t="shared" si="43"/>
        <v>2750000</v>
      </c>
    </row>
    <row r="1047" spans="2:16">
      <c r="B1047" s="20" t="s">
        <v>1198</v>
      </c>
      <c r="C1047" s="20" t="s">
        <v>2</v>
      </c>
      <c r="D1047" s="20" t="str">
        <f>IFERROR(INDEX('[2]PRICELIST, 908u'!$G$7:$AX$914,MATCH($B1047,'[2]PRICELIST, 908u'!$G$7:$G$914,0),18),"NA")</f>
        <v>2024 Batch</v>
      </c>
      <c r="E1047" s="20" t="str">
        <f>IFERROR(INDEX([3]AGM!$D$21:$BL$928,MATCH($B1047,[3]AGM!$AD$21:$AD$928,0),1),"NA")</f>
        <v>OS</v>
      </c>
      <c r="F1047" s="20" t="str">
        <f t="shared" si="42"/>
        <v>Block 09</v>
      </c>
      <c r="G1047" s="20" t="str">
        <f t="shared" si="41"/>
        <v>Lot 20</v>
      </c>
      <c r="H1047" s="20">
        <f>IFERROR(INDEX('[2]PRICELIST, 908u'!$G$7:$AX$914,MATCH($B1047,'[2]PRICELIST, 908u'!$G$7:$G$914,0),23),"NA")</f>
        <v>50</v>
      </c>
      <c r="I1047" s="20">
        <f>IFERROR(INDEX('[2]PRICELIST, 908u'!$G$7:$AX$914,MATCH($B1047,'[2]PRICELIST, 908u'!$G$7:$G$914,0),22),"NA")</f>
        <v>70</v>
      </c>
      <c r="J1047" s="20" t="s">
        <v>25</v>
      </c>
      <c r="K1047" s="20" t="str">
        <f>IFERROR(INDEX('[2]PRICELIST, 908u'!$G$7:$AX$914,MATCH($B1047,'[2]PRICELIST, 908u'!$G$7:$G$914,0),30),"NA")</f>
        <v>Flat / YELLOW</v>
      </c>
      <c r="L1047" s="20">
        <f>IFERROR(INDEX('[2]PRICELIST, 908u'!$G$7:$AX$914,MATCH($B1047,'[2]PRICELIST, 908u'!$G$7:$G$914,0),40),"NA")</f>
        <v>2850000</v>
      </c>
      <c r="M1047" s="20">
        <f>IFERROR(INDEX('[2]PRICELIST, 908u'!$G$7:$AX$914,MATCH($B1047,'[2]PRICELIST, 908u'!$G$7:$G$914,0),41),"NA")</f>
        <v>100000</v>
      </c>
      <c r="N1047" s="58">
        <f t="shared" si="44"/>
        <v>2750000</v>
      </c>
      <c r="O1047" s="60"/>
      <c r="P1047" s="60">
        <f t="shared" si="43"/>
        <v>2750000</v>
      </c>
    </row>
    <row r="1048" spans="2:16">
      <c r="B1048" s="20" t="s">
        <v>1199</v>
      </c>
      <c r="C1048" s="20" t="s">
        <v>2</v>
      </c>
      <c r="D1048" s="20" t="str">
        <f>IFERROR(INDEX('[2]PRICELIST, 908u'!$G$7:$AX$914,MATCH($B1048,'[2]PRICELIST, 908u'!$G$7:$G$914,0),18),"NA")</f>
        <v>2024 Batch</v>
      </c>
      <c r="E1048" s="20" t="str">
        <f>IFERROR(INDEX([3]AGM!$D$21:$BL$928,MATCH($B1048,[3]AGM!$AD$21:$AD$928,0),1),"NA")</f>
        <v>OS</v>
      </c>
      <c r="F1048" s="20" t="str">
        <f t="shared" si="42"/>
        <v>Block 09</v>
      </c>
      <c r="G1048" s="20" t="str">
        <f t="shared" ref="G1048:G1111" si="45">"Lot "&amp;TEXT(VALUE(RIGHT(B1048,3)),"00")</f>
        <v>Lot 21</v>
      </c>
      <c r="H1048" s="20">
        <f>IFERROR(INDEX('[2]PRICELIST, 908u'!$G$7:$AX$914,MATCH($B1048,'[2]PRICELIST, 908u'!$G$7:$G$914,0),23),"NA")</f>
        <v>50</v>
      </c>
      <c r="I1048" s="20">
        <f>IFERROR(INDEX('[2]PRICELIST, 908u'!$G$7:$AX$914,MATCH($B1048,'[2]PRICELIST, 908u'!$G$7:$G$914,0),22),"NA")</f>
        <v>70</v>
      </c>
      <c r="J1048" s="20" t="s">
        <v>207</v>
      </c>
      <c r="K1048" s="20" t="str">
        <f>IFERROR(INDEX('[2]PRICELIST, 908u'!$G$7:$AX$914,MATCH($B1048,'[2]PRICELIST, 908u'!$G$7:$G$914,0),30),"NA")</f>
        <v>Flat / GREEN</v>
      </c>
      <c r="L1048" s="20">
        <f>IFERROR(INDEX('[2]PRICELIST, 908u'!$G$7:$AX$914,MATCH($B1048,'[2]PRICELIST, 908u'!$G$7:$G$914,0),40),"NA")</f>
        <v>2650000</v>
      </c>
      <c r="M1048" s="20">
        <f>IFERROR(INDEX('[2]PRICELIST, 908u'!$G$7:$AX$914,MATCH($B1048,'[2]PRICELIST, 908u'!$G$7:$G$914,0),41),"NA")</f>
        <v>100000</v>
      </c>
      <c r="N1048" s="58">
        <f t="shared" si="44"/>
        <v>2550000</v>
      </c>
      <c r="O1048" s="60"/>
      <c r="P1048" s="60">
        <f t="shared" si="43"/>
        <v>2550000</v>
      </c>
    </row>
    <row r="1049" spans="2:16">
      <c r="B1049" s="20" t="s">
        <v>1200</v>
      </c>
      <c r="C1049" s="20" t="s">
        <v>2</v>
      </c>
      <c r="D1049" s="20" t="str">
        <f>IFERROR(INDEX('[2]PRICELIST, 908u'!$G$7:$AX$914,MATCH($B1049,'[2]PRICELIST, 908u'!$G$7:$G$914,0),18),"NA")</f>
        <v>2024 Batch</v>
      </c>
      <c r="E1049" s="20" t="str">
        <f>IFERROR(INDEX([3]AGM!$D$21:$BL$928,MATCH($B1049,[3]AGM!$AD$21:$AD$928,0),1),"NA")</f>
        <v>OS</v>
      </c>
      <c r="F1049" s="20" t="str">
        <f t="shared" ref="F1049:F1112" si="46">"Block "&amp;TEXT(VALUE(MID(B1049,8,3)),"00")</f>
        <v>Block 09</v>
      </c>
      <c r="G1049" s="20" t="str">
        <f t="shared" si="45"/>
        <v>Lot 22</v>
      </c>
      <c r="H1049" s="20">
        <f>IFERROR(INDEX('[2]PRICELIST, 908u'!$G$7:$AX$914,MATCH($B1049,'[2]PRICELIST, 908u'!$G$7:$G$914,0),23),"NA")</f>
        <v>50</v>
      </c>
      <c r="I1049" s="20">
        <f>IFERROR(INDEX('[2]PRICELIST, 908u'!$G$7:$AX$914,MATCH($B1049,'[2]PRICELIST, 908u'!$G$7:$G$914,0),22),"NA")</f>
        <v>70</v>
      </c>
      <c r="J1049" s="20" t="s">
        <v>25</v>
      </c>
      <c r="K1049" s="20" t="str">
        <f>IFERROR(INDEX('[2]PRICELIST, 908u'!$G$7:$AX$914,MATCH($B1049,'[2]PRICELIST, 908u'!$G$7:$G$914,0),30),"NA")</f>
        <v>Slant / GREEN</v>
      </c>
      <c r="L1049" s="20">
        <f>IFERROR(INDEX('[2]PRICELIST, 908u'!$G$7:$AX$914,MATCH($B1049,'[2]PRICELIST, 908u'!$G$7:$G$914,0),40),"NA")</f>
        <v>2850000</v>
      </c>
      <c r="M1049" s="20">
        <f>IFERROR(INDEX('[2]PRICELIST, 908u'!$G$7:$AX$914,MATCH($B1049,'[2]PRICELIST, 908u'!$G$7:$G$914,0),41),"NA")</f>
        <v>100000</v>
      </c>
      <c r="N1049" s="58">
        <f t="shared" si="44"/>
        <v>2750000</v>
      </c>
      <c r="O1049" s="60"/>
      <c r="P1049" s="60">
        <f t="shared" ref="P1049:P1112" si="47">N1049-O1049</f>
        <v>2750000</v>
      </c>
    </row>
    <row r="1050" spans="2:16">
      <c r="B1050" s="20" t="s">
        <v>1201</v>
      </c>
      <c r="C1050" s="20" t="s">
        <v>2</v>
      </c>
      <c r="D1050" s="20" t="str">
        <f>IFERROR(INDEX('[2]PRICELIST, 908u'!$G$7:$AX$914,MATCH($B1050,'[2]PRICELIST, 908u'!$G$7:$G$914,0),18),"NA")</f>
        <v>2024 Batch</v>
      </c>
      <c r="E1050" s="20" t="str">
        <f>IFERROR(INDEX([3]AGM!$D$21:$BL$928,MATCH($B1050,[3]AGM!$AD$21:$AD$928,0),1),"NA")</f>
        <v>OS</v>
      </c>
      <c r="F1050" s="20" t="str">
        <f t="shared" si="46"/>
        <v>Block 09</v>
      </c>
      <c r="G1050" s="20" t="str">
        <f t="shared" si="45"/>
        <v>Lot 23</v>
      </c>
      <c r="H1050" s="20">
        <f>IFERROR(INDEX('[2]PRICELIST, 908u'!$G$7:$AX$914,MATCH($B1050,'[2]PRICELIST, 908u'!$G$7:$G$914,0),23),"NA")</f>
        <v>50</v>
      </c>
      <c r="I1050" s="20">
        <f>IFERROR(INDEX('[2]PRICELIST, 908u'!$G$7:$AX$914,MATCH($B1050,'[2]PRICELIST, 908u'!$G$7:$G$914,0),22),"NA")</f>
        <v>70</v>
      </c>
      <c r="J1050" s="20" t="s">
        <v>25</v>
      </c>
      <c r="K1050" s="20" t="str">
        <f>IFERROR(INDEX('[2]PRICELIST, 908u'!$G$7:$AX$914,MATCH($B1050,'[2]PRICELIST, 908u'!$G$7:$G$914,0),30),"NA")</f>
        <v>Slant / GREEN</v>
      </c>
      <c r="L1050" s="20">
        <f>IFERROR(INDEX('[2]PRICELIST, 908u'!$G$7:$AX$914,MATCH($B1050,'[2]PRICELIST, 908u'!$G$7:$G$914,0),40),"NA")</f>
        <v>2850000</v>
      </c>
      <c r="M1050" s="20">
        <f>IFERROR(INDEX('[2]PRICELIST, 908u'!$G$7:$AX$914,MATCH($B1050,'[2]PRICELIST, 908u'!$G$7:$G$914,0),41),"NA")</f>
        <v>100000</v>
      </c>
      <c r="N1050" s="58">
        <f t="shared" ref="N1050:N1113" si="48">L1050-M1050</f>
        <v>2750000</v>
      </c>
      <c r="O1050" s="60"/>
      <c r="P1050" s="60">
        <f t="shared" si="47"/>
        <v>2750000</v>
      </c>
    </row>
    <row r="1051" spans="2:16">
      <c r="B1051" s="20" t="s">
        <v>1202</v>
      </c>
      <c r="C1051" s="20" t="s">
        <v>2</v>
      </c>
      <c r="D1051" s="20" t="str">
        <f>IFERROR(INDEX('[2]PRICELIST, 908u'!$G$7:$AX$914,MATCH($B1051,'[2]PRICELIST, 908u'!$G$7:$G$914,0),18),"NA")</f>
        <v>2024 Batch</v>
      </c>
      <c r="E1051" s="20" t="str">
        <f>IFERROR(INDEX([3]AGM!$D$21:$BL$928,MATCH($B1051,[3]AGM!$AD$21:$AD$928,0),1),"NA")</f>
        <v>OS</v>
      </c>
      <c r="F1051" s="20" t="str">
        <f t="shared" si="46"/>
        <v>Block 09</v>
      </c>
      <c r="G1051" s="20" t="str">
        <f t="shared" si="45"/>
        <v>Lot 24</v>
      </c>
      <c r="H1051" s="20">
        <f>IFERROR(INDEX('[2]PRICELIST, 908u'!$G$7:$AX$914,MATCH($B1051,'[2]PRICELIST, 908u'!$G$7:$G$914,0),23),"NA")</f>
        <v>50</v>
      </c>
      <c r="I1051" s="20">
        <f>IFERROR(INDEX('[2]PRICELIST, 908u'!$G$7:$AX$914,MATCH($B1051,'[2]PRICELIST, 908u'!$G$7:$G$914,0),22),"NA")</f>
        <v>70</v>
      </c>
      <c r="J1051" s="20" t="s">
        <v>207</v>
      </c>
      <c r="K1051" s="20" t="str">
        <f>IFERROR(INDEX('[2]PRICELIST, 908u'!$G$7:$AX$914,MATCH($B1051,'[2]PRICELIST, 908u'!$G$7:$G$914,0),30),"NA")</f>
        <v>Flat / GREEN</v>
      </c>
      <c r="L1051" s="20">
        <f>IFERROR(INDEX('[2]PRICELIST, 908u'!$G$7:$AX$914,MATCH($B1051,'[2]PRICELIST, 908u'!$G$7:$G$914,0),40),"NA")</f>
        <v>2650000</v>
      </c>
      <c r="M1051" s="20">
        <f>IFERROR(INDEX('[2]PRICELIST, 908u'!$G$7:$AX$914,MATCH($B1051,'[2]PRICELIST, 908u'!$G$7:$G$914,0),41),"NA")</f>
        <v>100000</v>
      </c>
      <c r="N1051" s="58">
        <f t="shared" si="48"/>
        <v>2550000</v>
      </c>
      <c r="O1051" s="60"/>
      <c r="P1051" s="60">
        <f t="shared" si="47"/>
        <v>2550000</v>
      </c>
    </row>
    <row r="1052" spans="2:16">
      <c r="B1052" s="20" t="s">
        <v>1203</v>
      </c>
      <c r="C1052" s="20" t="s">
        <v>2</v>
      </c>
      <c r="D1052" s="20" t="str">
        <f>IFERROR(INDEX('[2]PRICELIST, 908u'!$G$7:$AX$914,MATCH($B1052,'[2]PRICELIST, 908u'!$G$7:$G$914,0),18),"NA")</f>
        <v>2024 Batch</v>
      </c>
      <c r="E1052" s="20" t="str">
        <f>IFERROR(INDEX([3]AGM!$D$21:$BL$928,MATCH($B1052,[3]AGM!$AD$21:$AD$928,0),1),"NA")</f>
        <v>OS</v>
      </c>
      <c r="F1052" s="20" t="str">
        <f t="shared" si="46"/>
        <v>Block 09</v>
      </c>
      <c r="G1052" s="20" t="str">
        <f t="shared" si="45"/>
        <v>Lot 25</v>
      </c>
      <c r="H1052" s="20">
        <f>IFERROR(INDEX('[2]PRICELIST, 908u'!$G$7:$AX$914,MATCH($B1052,'[2]PRICELIST, 908u'!$G$7:$G$914,0),23),"NA")</f>
        <v>50</v>
      </c>
      <c r="I1052" s="20">
        <f>IFERROR(INDEX('[2]PRICELIST, 908u'!$G$7:$AX$914,MATCH($B1052,'[2]PRICELIST, 908u'!$G$7:$G$914,0),22),"NA")</f>
        <v>70</v>
      </c>
      <c r="J1052" s="20" t="s">
        <v>207</v>
      </c>
      <c r="K1052" s="20" t="str">
        <f>IFERROR(INDEX('[2]PRICELIST, 908u'!$G$7:$AX$914,MATCH($B1052,'[2]PRICELIST, 908u'!$G$7:$G$914,0),30),"NA")</f>
        <v>Flat / PURPLE</v>
      </c>
      <c r="L1052" s="20">
        <f>IFERROR(INDEX('[2]PRICELIST, 908u'!$G$7:$AX$914,MATCH($B1052,'[2]PRICELIST, 908u'!$G$7:$G$914,0),40),"NA")</f>
        <v>2650000</v>
      </c>
      <c r="M1052" s="20">
        <f>IFERROR(INDEX('[2]PRICELIST, 908u'!$G$7:$AX$914,MATCH($B1052,'[2]PRICELIST, 908u'!$G$7:$G$914,0),41),"NA")</f>
        <v>100000</v>
      </c>
      <c r="N1052" s="58">
        <f t="shared" si="48"/>
        <v>2550000</v>
      </c>
      <c r="O1052" s="60"/>
      <c r="P1052" s="60">
        <f t="shared" si="47"/>
        <v>2550000</v>
      </c>
    </row>
    <row r="1053" spans="2:16">
      <c r="B1053" s="20" t="s">
        <v>1204</v>
      </c>
      <c r="C1053" s="20" t="s">
        <v>2</v>
      </c>
      <c r="D1053" s="20" t="str">
        <f>IFERROR(INDEX('[2]PRICELIST, 908u'!$G$7:$AX$914,MATCH($B1053,'[2]PRICELIST, 908u'!$G$7:$G$914,0),18),"NA")</f>
        <v>2024 Batch</v>
      </c>
      <c r="E1053" s="20" t="str">
        <f>IFERROR(INDEX([3]AGM!$D$21:$BL$928,MATCH($B1053,[3]AGM!$AD$21:$AD$928,0),1),"NA")</f>
        <v>OS</v>
      </c>
      <c r="F1053" s="20" t="str">
        <f t="shared" si="46"/>
        <v>Block 09</v>
      </c>
      <c r="G1053" s="20" t="str">
        <f t="shared" si="45"/>
        <v>Lot 26</v>
      </c>
      <c r="H1053" s="20">
        <f>IFERROR(INDEX('[2]PRICELIST, 908u'!$G$7:$AX$914,MATCH($B1053,'[2]PRICELIST, 908u'!$G$7:$G$914,0),23),"NA")</f>
        <v>50</v>
      </c>
      <c r="I1053" s="20">
        <f>IFERROR(INDEX('[2]PRICELIST, 908u'!$G$7:$AX$914,MATCH($B1053,'[2]PRICELIST, 908u'!$G$7:$G$914,0),22),"NA")</f>
        <v>80</v>
      </c>
      <c r="J1053" s="20" t="s">
        <v>25</v>
      </c>
      <c r="K1053" s="20" t="str">
        <f>IFERROR(INDEX('[2]PRICELIST, 908u'!$G$7:$AX$914,MATCH($B1053,'[2]PRICELIST, 908u'!$G$7:$G$914,0),30),"NA")</f>
        <v>Slant / PURPLE</v>
      </c>
      <c r="L1053" s="20">
        <f>IFERROR(INDEX('[2]PRICELIST, 908u'!$G$7:$AX$914,MATCH($B1053,'[2]PRICELIST, 908u'!$G$7:$G$914,0),40),"NA")</f>
        <v>3000000</v>
      </c>
      <c r="M1053" s="20">
        <f>IFERROR(INDEX('[2]PRICELIST, 908u'!$G$7:$AX$914,MATCH($B1053,'[2]PRICELIST, 908u'!$G$7:$G$914,0),41),"NA")</f>
        <v>100000</v>
      </c>
      <c r="N1053" s="58">
        <f t="shared" si="48"/>
        <v>2900000</v>
      </c>
      <c r="O1053" s="60"/>
      <c r="P1053" s="60">
        <f t="shared" si="47"/>
        <v>2900000</v>
      </c>
    </row>
    <row r="1054" spans="2:16">
      <c r="B1054" s="20" t="s">
        <v>1205</v>
      </c>
      <c r="C1054" s="20" t="s">
        <v>2</v>
      </c>
      <c r="D1054" s="20" t="str">
        <f>IFERROR(INDEX('[2]PRICELIST, 908u'!$G$7:$AX$914,MATCH($B1054,'[2]PRICELIST, 908u'!$G$7:$G$914,0),18),"NA")</f>
        <v>2024 Batch</v>
      </c>
      <c r="E1054" s="20" t="str">
        <f>IFERROR(INDEX([3]AGM!$D$21:$BL$928,MATCH($B1054,[3]AGM!$AD$21:$AD$928,0),1),"NA")</f>
        <v>OS</v>
      </c>
      <c r="F1054" s="20" t="str">
        <f t="shared" si="46"/>
        <v>Block 09</v>
      </c>
      <c r="G1054" s="20" t="str">
        <f t="shared" si="45"/>
        <v>Lot 27</v>
      </c>
      <c r="H1054" s="20">
        <f>IFERROR(INDEX('[2]PRICELIST, 908u'!$G$7:$AX$914,MATCH($B1054,'[2]PRICELIST, 908u'!$G$7:$G$914,0),23),"NA")</f>
        <v>50</v>
      </c>
      <c r="I1054" s="20">
        <f>IFERROR(INDEX('[2]PRICELIST, 908u'!$G$7:$AX$914,MATCH($B1054,'[2]PRICELIST, 908u'!$G$7:$G$914,0),22),"NA")</f>
        <v>80</v>
      </c>
      <c r="J1054" s="20" t="s">
        <v>25</v>
      </c>
      <c r="K1054" s="20" t="str">
        <f>IFERROR(INDEX('[2]PRICELIST, 908u'!$G$7:$AX$914,MATCH($B1054,'[2]PRICELIST, 908u'!$G$7:$G$914,0),30),"NA")</f>
        <v>Slant / PURPLE</v>
      </c>
      <c r="L1054" s="20">
        <f>IFERROR(INDEX('[2]PRICELIST, 908u'!$G$7:$AX$914,MATCH($B1054,'[2]PRICELIST, 908u'!$G$7:$G$914,0),40),"NA")</f>
        <v>3000000</v>
      </c>
      <c r="M1054" s="20">
        <f>IFERROR(INDEX('[2]PRICELIST, 908u'!$G$7:$AX$914,MATCH($B1054,'[2]PRICELIST, 908u'!$G$7:$G$914,0),41),"NA")</f>
        <v>100000</v>
      </c>
      <c r="N1054" s="58">
        <f t="shared" si="48"/>
        <v>2900000</v>
      </c>
      <c r="O1054" s="60"/>
      <c r="P1054" s="60">
        <f t="shared" si="47"/>
        <v>2900000</v>
      </c>
    </row>
    <row r="1055" spans="2:16">
      <c r="B1055" s="20" t="s">
        <v>1206</v>
      </c>
      <c r="C1055" s="20" t="s">
        <v>2</v>
      </c>
      <c r="D1055" s="20" t="str">
        <f>IFERROR(INDEX('[2]PRICELIST, 908u'!$G$7:$AX$914,MATCH($B1055,'[2]PRICELIST, 908u'!$G$7:$G$914,0),18),"NA")</f>
        <v>2024 Batch</v>
      </c>
      <c r="E1055" s="20" t="str">
        <f>IFERROR(INDEX([3]AGM!$D$21:$BL$928,MATCH($B1055,[3]AGM!$AD$21:$AD$928,0),1),"NA")</f>
        <v>OS</v>
      </c>
      <c r="F1055" s="20" t="str">
        <f t="shared" si="46"/>
        <v>Block 09</v>
      </c>
      <c r="G1055" s="20" t="str">
        <f t="shared" si="45"/>
        <v>Lot 28</v>
      </c>
      <c r="H1055" s="20">
        <f>IFERROR(INDEX('[2]PRICELIST, 908u'!$G$7:$AX$914,MATCH($B1055,'[2]PRICELIST, 908u'!$G$7:$G$914,0),23),"NA")</f>
        <v>50</v>
      </c>
      <c r="I1055" s="20">
        <f>IFERROR(INDEX('[2]PRICELIST, 908u'!$G$7:$AX$914,MATCH($B1055,'[2]PRICELIST, 908u'!$G$7:$G$914,0),22),"NA")</f>
        <v>100</v>
      </c>
      <c r="J1055" s="20" t="s">
        <v>25</v>
      </c>
      <c r="K1055" s="20" t="str">
        <f>IFERROR(INDEX('[2]PRICELIST, 908u'!$G$7:$AX$914,MATCH($B1055,'[2]PRICELIST, 908u'!$G$7:$G$914,0),30),"NA")</f>
        <v>Flat / PURPLE</v>
      </c>
      <c r="L1055" s="20">
        <f>IFERROR(INDEX('[2]PRICELIST, 908u'!$G$7:$AX$914,MATCH($B1055,'[2]PRICELIST, 908u'!$G$7:$G$914,0),40),"NA")</f>
        <v>3300000</v>
      </c>
      <c r="M1055" s="20">
        <f>IFERROR(INDEX('[2]PRICELIST, 908u'!$G$7:$AX$914,MATCH($B1055,'[2]PRICELIST, 908u'!$G$7:$G$914,0),41),"NA")</f>
        <v>100000</v>
      </c>
      <c r="N1055" s="58">
        <f t="shared" si="48"/>
        <v>3200000</v>
      </c>
      <c r="O1055" s="60"/>
      <c r="P1055" s="60">
        <f t="shared" si="47"/>
        <v>3200000</v>
      </c>
    </row>
    <row r="1056" spans="2:16">
      <c r="B1056" s="20" t="s">
        <v>1207</v>
      </c>
      <c r="C1056" s="20" t="s">
        <v>2</v>
      </c>
      <c r="D1056" s="20" t="str">
        <f>IFERROR(INDEX('[2]PRICELIST, 908u'!$G$7:$AX$914,MATCH($B1056,'[2]PRICELIST, 908u'!$G$7:$G$914,0),18),"NA")</f>
        <v>Lot Only - N/A</v>
      </c>
      <c r="E1056" s="20" t="str">
        <f>IFERROR(INDEX([3]AGM!$D$21:$BL$928,MATCH($B1056,[3]AGM!$AD$21:$AD$928,0),1),"NA")</f>
        <v>OS</v>
      </c>
      <c r="F1056" s="20" t="str">
        <f t="shared" si="46"/>
        <v>Block 09</v>
      </c>
      <c r="G1056" s="20" t="str">
        <f t="shared" si="45"/>
        <v>Lot 29</v>
      </c>
      <c r="H1056" s="20" t="str">
        <f>IFERROR(INDEX('[2]PRICELIST, 908u'!$G$7:$AX$914,MATCH($B1056,'[2]PRICELIST, 908u'!$G$7:$G$914,0),23),"NA")</f>
        <v>N/A</v>
      </c>
      <c r="I1056" s="20">
        <f>IFERROR(INDEX('[2]PRICELIST, 908u'!$G$7:$AX$914,MATCH($B1056,'[2]PRICELIST, 908u'!$G$7:$G$914,0),22),"NA")</f>
        <v>126</v>
      </c>
      <c r="J1056" s="20" t="s">
        <v>100</v>
      </c>
      <c r="K1056" s="37" t="s">
        <v>1025</v>
      </c>
      <c r="L1056" s="20">
        <f>IFERROR(INDEX('[2]PRICELIST, 908u'!$G$7:$AX$914,MATCH($B1056,'[2]PRICELIST, 908u'!$G$7:$G$914,0),40),"NA")</f>
        <v>2040000</v>
      </c>
      <c r="M1056" s="20">
        <f>IFERROR(INDEX('[2]PRICELIST, 908u'!$G$7:$AX$914,MATCH($B1056,'[2]PRICELIST, 908u'!$G$7:$G$914,0),41),"NA")</f>
        <v>100000</v>
      </c>
      <c r="N1056" s="58">
        <f t="shared" si="48"/>
        <v>1940000</v>
      </c>
      <c r="O1056" s="60"/>
      <c r="P1056" s="60">
        <f t="shared" si="47"/>
        <v>1940000</v>
      </c>
    </row>
    <row r="1057" spans="2:16">
      <c r="B1057" s="20" t="s">
        <v>1208</v>
      </c>
      <c r="C1057" s="20" t="s">
        <v>2</v>
      </c>
      <c r="D1057" s="20" t="str">
        <f>IFERROR(INDEX('[2]PRICELIST, 908u'!$G$7:$AX$914,MATCH($B1057,'[2]PRICELIST, 908u'!$G$7:$G$914,0),18),"NA")</f>
        <v>2024 Batch</v>
      </c>
      <c r="E1057" s="20" t="str">
        <f>IFERROR(INDEX([3]AGM!$D$21:$BL$928,MATCH($B1057,[3]AGM!$AD$21:$AD$928,0),1),"NA")</f>
        <v>OS</v>
      </c>
      <c r="F1057" s="20" t="str">
        <f t="shared" si="46"/>
        <v>Block 09</v>
      </c>
      <c r="G1057" s="20" t="str">
        <f t="shared" si="45"/>
        <v>Lot 30</v>
      </c>
      <c r="H1057" s="20">
        <f>IFERROR(INDEX('[2]PRICELIST, 908u'!$G$7:$AX$914,MATCH($B1057,'[2]PRICELIST, 908u'!$G$7:$G$914,0),23),"NA")</f>
        <v>50</v>
      </c>
      <c r="I1057" s="20">
        <f>IFERROR(INDEX('[2]PRICELIST, 908u'!$G$7:$AX$914,MATCH($B1057,'[2]PRICELIST, 908u'!$G$7:$G$914,0),22),"NA")</f>
        <v>80</v>
      </c>
      <c r="J1057" s="20" t="s">
        <v>25</v>
      </c>
      <c r="K1057" s="20" t="str">
        <f>IFERROR(INDEX('[2]PRICELIST, 908u'!$G$7:$AX$914,MATCH($B1057,'[2]PRICELIST, 908u'!$G$7:$G$914,0),30),"NA")</f>
        <v>Flat / GREEN</v>
      </c>
      <c r="L1057" s="20">
        <f>IFERROR(INDEX('[2]PRICELIST, 908u'!$G$7:$AX$914,MATCH($B1057,'[2]PRICELIST, 908u'!$G$7:$G$914,0),40),"NA")</f>
        <v>3000000</v>
      </c>
      <c r="M1057" s="20">
        <f>IFERROR(INDEX('[2]PRICELIST, 908u'!$G$7:$AX$914,MATCH($B1057,'[2]PRICELIST, 908u'!$G$7:$G$914,0),41),"NA")</f>
        <v>100000</v>
      </c>
      <c r="N1057" s="58">
        <f t="shared" si="48"/>
        <v>2900000</v>
      </c>
      <c r="O1057" s="60"/>
      <c r="P1057" s="60">
        <f t="shared" si="47"/>
        <v>2900000</v>
      </c>
    </row>
    <row r="1058" spans="2:16">
      <c r="B1058" s="20" t="s">
        <v>1209</v>
      </c>
      <c r="C1058" s="20" t="s">
        <v>2</v>
      </c>
      <c r="D1058" s="20" t="str">
        <f>IFERROR(INDEX('[2]PRICELIST, 908u'!$G$7:$AX$914,MATCH($B1058,'[2]PRICELIST, 908u'!$G$7:$G$914,0),18),"NA")</f>
        <v>2024 Batch</v>
      </c>
      <c r="E1058" s="20" t="str">
        <f>IFERROR(INDEX([3]AGM!$D$21:$BL$928,MATCH($B1058,[3]AGM!$AD$21:$AD$928,0),1),"NA")</f>
        <v>OS</v>
      </c>
      <c r="F1058" s="20" t="str">
        <f t="shared" si="46"/>
        <v>Block 09</v>
      </c>
      <c r="G1058" s="20" t="str">
        <f t="shared" si="45"/>
        <v>Lot 31</v>
      </c>
      <c r="H1058" s="20">
        <f>IFERROR(INDEX('[2]PRICELIST, 908u'!$G$7:$AX$914,MATCH($B1058,'[2]PRICELIST, 908u'!$G$7:$G$914,0),23),"NA")</f>
        <v>50</v>
      </c>
      <c r="I1058" s="20">
        <f>IFERROR(INDEX('[2]PRICELIST, 908u'!$G$7:$AX$914,MATCH($B1058,'[2]PRICELIST, 908u'!$G$7:$G$914,0),22),"NA")</f>
        <v>80</v>
      </c>
      <c r="J1058" s="20" t="s">
        <v>25</v>
      </c>
      <c r="K1058" s="20" t="str">
        <f>IFERROR(INDEX('[2]PRICELIST, 908u'!$G$7:$AX$914,MATCH($B1058,'[2]PRICELIST, 908u'!$G$7:$G$914,0),30),"NA")</f>
        <v>Slant / GREEN</v>
      </c>
      <c r="L1058" s="20">
        <f>IFERROR(INDEX('[2]PRICELIST, 908u'!$G$7:$AX$914,MATCH($B1058,'[2]PRICELIST, 908u'!$G$7:$G$914,0),40),"NA")</f>
        <v>3000000</v>
      </c>
      <c r="M1058" s="20">
        <f>IFERROR(INDEX('[2]PRICELIST, 908u'!$G$7:$AX$914,MATCH($B1058,'[2]PRICELIST, 908u'!$G$7:$G$914,0),41),"NA")</f>
        <v>100000</v>
      </c>
      <c r="N1058" s="58">
        <f t="shared" si="48"/>
        <v>2900000</v>
      </c>
      <c r="O1058" s="60"/>
      <c r="P1058" s="60">
        <f t="shared" si="47"/>
        <v>2900000</v>
      </c>
    </row>
    <row r="1059" spans="2:16">
      <c r="B1059" s="20" t="s">
        <v>1210</v>
      </c>
      <c r="C1059" s="20" t="s">
        <v>2</v>
      </c>
      <c r="D1059" s="20" t="str">
        <f>IFERROR(INDEX('[2]PRICELIST, 908u'!$G$7:$AX$914,MATCH($B1059,'[2]PRICELIST, 908u'!$G$7:$G$914,0),18),"NA")</f>
        <v>2024 Batch</v>
      </c>
      <c r="E1059" s="20" t="str">
        <f>IFERROR(INDEX([3]AGM!$D$21:$BL$928,MATCH($B1059,[3]AGM!$AD$21:$AD$928,0),1),"NA")</f>
        <v>OS</v>
      </c>
      <c r="F1059" s="20" t="str">
        <f t="shared" si="46"/>
        <v>Block 09</v>
      </c>
      <c r="G1059" s="20" t="str">
        <f t="shared" si="45"/>
        <v>Lot 32</v>
      </c>
      <c r="H1059" s="20">
        <f>IFERROR(INDEX('[2]PRICELIST, 908u'!$G$7:$AX$914,MATCH($B1059,'[2]PRICELIST, 908u'!$G$7:$G$914,0),23),"NA")</f>
        <v>50</v>
      </c>
      <c r="I1059" s="20">
        <f>IFERROR(INDEX('[2]PRICELIST, 908u'!$G$7:$AX$914,MATCH($B1059,'[2]PRICELIST, 908u'!$G$7:$G$914,0),22),"NA")</f>
        <v>70</v>
      </c>
      <c r="J1059" s="20" t="s">
        <v>25</v>
      </c>
      <c r="K1059" s="20" t="str">
        <f>IFERROR(INDEX('[2]PRICELIST, 908u'!$G$7:$AX$914,MATCH($B1059,'[2]PRICELIST, 908u'!$G$7:$G$914,0),30),"NA")</f>
        <v>Slant / YELLOW</v>
      </c>
      <c r="L1059" s="20">
        <f>IFERROR(INDEX('[2]PRICELIST, 908u'!$G$7:$AX$914,MATCH($B1059,'[2]PRICELIST, 908u'!$G$7:$G$914,0),40),"NA")</f>
        <v>2850000</v>
      </c>
      <c r="M1059" s="20">
        <f>IFERROR(INDEX('[2]PRICELIST, 908u'!$G$7:$AX$914,MATCH($B1059,'[2]PRICELIST, 908u'!$G$7:$G$914,0),41),"NA")</f>
        <v>100000</v>
      </c>
      <c r="N1059" s="58">
        <f t="shared" si="48"/>
        <v>2750000</v>
      </c>
      <c r="O1059" s="60"/>
      <c r="P1059" s="60">
        <f t="shared" si="47"/>
        <v>2750000</v>
      </c>
    </row>
    <row r="1060" spans="2:16">
      <c r="B1060" s="20" t="s">
        <v>1211</v>
      </c>
      <c r="C1060" s="20" t="s">
        <v>2</v>
      </c>
      <c r="D1060" s="20" t="str">
        <f>IFERROR(INDEX('[2]PRICELIST, 908u'!$G$7:$AX$914,MATCH($B1060,'[2]PRICELIST, 908u'!$G$7:$G$914,0),18),"NA")</f>
        <v>2024 Batch</v>
      </c>
      <c r="E1060" s="20" t="str">
        <f>IFERROR(INDEX([3]AGM!$D$21:$BL$928,MATCH($B1060,[3]AGM!$AD$21:$AD$928,0),1),"NA")</f>
        <v>OS</v>
      </c>
      <c r="F1060" s="20" t="str">
        <f t="shared" si="46"/>
        <v>Block 09</v>
      </c>
      <c r="G1060" s="20" t="str">
        <f t="shared" si="45"/>
        <v>Lot 33</v>
      </c>
      <c r="H1060" s="20">
        <f>IFERROR(INDEX('[2]PRICELIST, 908u'!$G$7:$AX$914,MATCH($B1060,'[2]PRICELIST, 908u'!$G$7:$G$914,0),23),"NA")</f>
        <v>50</v>
      </c>
      <c r="I1060" s="20">
        <f>IFERROR(INDEX('[2]PRICELIST, 908u'!$G$7:$AX$914,MATCH($B1060,'[2]PRICELIST, 908u'!$G$7:$G$914,0),22),"NA")</f>
        <v>70</v>
      </c>
      <c r="J1060" s="20" t="s">
        <v>25</v>
      </c>
      <c r="K1060" s="20" t="str">
        <f>IFERROR(INDEX('[2]PRICELIST, 908u'!$G$7:$AX$914,MATCH($B1060,'[2]PRICELIST, 908u'!$G$7:$G$914,0),30),"NA")</f>
        <v>Flat / YELLOW</v>
      </c>
      <c r="L1060" s="20">
        <f>IFERROR(INDEX('[2]PRICELIST, 908u'!$G$7:$AX$914,MATCH($B1060,'[2]PRICELIST, 908u'!$G$7:$G$914,0),40),"NA")</f>
        <v>2850000</v>
      </c>
      <c r="M1060" s="20">
        <f>IFERROR(INDEX('[2]PRICELIST, 908u'!$G$7:$AX$914,MATCH($B1060,'[2]PRICELIST, 908u'!$G$7:$G$914,0),41),"NA")</f>
        <v>100000</v>
      </c>
      <c r="N1060" s="58">
        <f t="shared" si="48"/>
        <v>2750000</v>
      </c>
      <c r="O1060" s="60"/>
      <c r="P1060" s="60">
        <f t="shared" si="47"/>
        <v>2750000</v>
      </c>
    </row>
    <row r="1061" spans="2:16">
      <c r="B1061" s="20" t="s">
        <v>1212</v>
      </c>
      <c r="C1061" s="20" t="s">
        <v>2</v>
      </c>
      <c r="D1061" s="20" t="str">
        <f>IFERROR(INDEX('[2]PRICELIST, 908u'!$G$7:$AX$914,MATCH($B1061,'[2]PRICELIST, 908u'!$G$7:$G$914,0),18),"NA")</f>
        <v>2024 Batch</v>
      </c>
      <c r="E1061" s="20" t="str">
        <f>IFERROR(INDEX([3]AGM!$D$21:$BL$928,MATCH($B1061,[3]AGM!$AD$21:$AD$928,0),1),"NA")</f>
        <v>OS</v>
      </c>
      <c r="F1061" s="20" t="str">
        <f t="shared" si="46"/>
        <v>Block 09</v>
      </c>
      <c r="G1061" s="20" t="str">
        <f t="shared" si="45"/>
        <v>Lot 34</v>
      </c>
      <c r="H1061" s="20">
        <f>IFERROR(INDEX('[2]PRICELIST, 908u'!$G$7:$AX$914,MATCH($B1061,'[2]PRICELIST, 908u'!$G$7:$G$914,0),23),"NA")</f>
        <v>50</v>
      </c>
      <c r="I1061" s="20">
        <f>IFERROR(INDEX('[2]PRICELIST, 908u'!$G$7:$AX$914,MATCH($B1061,'[2]PRICELIST, 908u'!$G$7:$G$914,0),22),"NA")</f>
        <v>70</v>
      </c>
      <c r="J1061" s="20" t="s">
        <v>25</v>
      </c>
      <c r="K1061" s="20" t="str">
        <f>IFERROR(INDEX('[2]PRICELIST, 908u'!$G$7:$AX$914,MATCH($B1061,'[2]PRICELIST, 908u'!$G$7:$G$914,0),30),"NA")</f>
        <v>Flat / YELLOW</v>
      </c>
      <c r="L1061" s="20">
        <f>IFERROR(INDEX('[2]PRICELIST, 908u'!$G$7:$AX$914,MATCH($B1061,'[2]PRICELIST, 908u'!$G$7:$G$914,0),40),"NA")</f>
        <v>2850000</v>
      </c>
      <c r="M1061" s="20">
        <f>IFERROR(INDEX('[2]PRICELIST, 908u'!$G$7:$AX$914,MATCH($B1061,'[2]PRICELIST, 908u'!$G$7:$G$914,0),41),"NA")</f>
        <v>100000</v>
      </c>
      <c r="N1061" s="58">
        <f t="shared" si="48"/>
        <v>2750000</v>
      </c>
      <c r="O1061" s="60"/>
      <c r="P1061" s="60">
        <f t="shared" si="47"/>
        <v>2750000</v>
      </c>
    </row>
    <row r="1062" spans="2:16">
      <c r="B1062" s="20" t="s">
        <v>1213</v>
      </c>
      <c r="C1062" s="20" t="s">
        <v>2</v>
      </c>
      <c r="D1062" s="20" t="str">
        <f>IFERROR(INDEX('[2]PRICELIST, 908u'!$G$7:$AX$914,MATCH($B1062,'[2]PRICELIST, 908u'!$G$7:$G$914,0),18),"NA")</f>
        <v>2024 Batch</v>
      </c>
      <c r="E1062" s="20" t="str">
        <f>IFERROR(INDEX([3]AGM!$D$21:$BL$928,MATCH($B1062,[3]AGM!$AD$21:$AD$928,0),1),"NA")</f>
        <v>OS</v>
      </c>
      <c r="F1062" s="20" t="str">
        <f t="shared" si="46"/>
        <v>Block 09</v>
      </c>
      <c r="G1062" s="20" t="str">
        <f t="shared" si="45"/>
        <v>Lot 35</v>
      </c>
      <c r="H1062" s="20">
        <f>IFERROR(INDEX('[2]PRICELIST, 908u'!$G$7:$AX$914,MATCH($B1062,'[2]PRICELIST, 908u'!$G$7:$G$914,0),23),"NA")</f>
        <v>50</v>
      </c>
      <c r="I1062" s="20">
        <f>IFERROR(INDEX('[2]PRICELIST, 908u'!$G$7:$AX$914,MATCH($B1062,'[2]PRICELIST, 908u'!$G$7:$G$914,0),22),"NA")</f>
        <v>70</v>
      </c>
      <c r="J1062" s="20" t="s">
        <v>25</v>
      </c>
      <c r="K1062" s="20" t="str">
        <f>IFERROR(INDEX('[2]PRICELIST, 908u'!$G$7:$AX$914,MATCH($B1062,'[2]PRICELIST, 908u'!$G$7:$G$914,0),30),"NA")</f>
        <v>Slant / YELLOW</v>
      </c>
      <c r="L1062" s="20">
        <f>IFERROR(INDEX('[2]PRICELIST, 908u'!$G$7:$AX$914,MATCH($B1062,'[2]PRICELIST, 908u'!$G$7:$G$914,0),40),"NA")</f>
        <v>2850000</v>
      </c>
      <c r="M1062" s="20">
        <f>IFERROR(INDEX('[2]PRICELIST, 908u'!$G$7:$AX$914,MATCH($B1062,'[2]PRICELIST, 908u'!$G$7:$G$914,0),41),"NA")</f>
        <v>100000</v>
      </c>
      <c r="N1062" s="58">
        <f t="shared" si="48"/>
        <v>2750000</v>
      </c>
      <c r="O1062" s="60"/>
      <c r="P1062" s="60">
        <f t="shared" si="47"/>
        <v>2750000</v>
      </c>
    </row>
    <row r="1063" spans="2:16">
      <c r="B1063" s="20" t="s">
        <v>1214</v>
      </c>
      <c r="C1063" s="20" t="s">
        <v>2</v>
      </c>
      <c r="D1063" s="20" t="str">
        <f>IFERROR(INDEX('[2]PRICELIST, 908u'!$G$7:$AX$914,MATCH($B1063,'[2]PRICELIST, 908u'!$G$7:$G$914,0),18),"NA")</f>
        <v>2024 Batch</v>
      </c>
      <c r="E1063" s="20" t="str">
        <f>IFERROR(INDEX([3]AGM!$D$21:$BL$928,MATCH($B1063,[3]AGM!$AD$21:$AD$928,0),1),"NA")</f>
        <v>OS</v>
      </c>
      <c r="F1063" s="20" t="str">
        <f t="shared" si="46"/>
        <v>Block 09</v>
      </c>
      <c r="G1063" s="20" t="str">
        <f t="shared" si="45"/>
        <v>Lot 36</v>
      </c>
      <c r="H1063" s="20">
        <f>IFERROR(INDEX('[2]PRICELIST, 908u'!$G$7:$AX$914,MATCH($B1063,'[2]PRICELIST, 908u'!$G$7:$G$914,0),23),"NA")</f>
        <v>50</v>
      </c>
      <c r="I1063" s="20">
        <f>IFERROR(INDEX('[2]PRICELIST, 908u'!$G$7:$AX$914,MATCH($B1063,'[2]PRICELIST, 908u'!$G$7:$G$914,0),22),"NA")</f>
        <v>70</v>
      </c>
      <c r="J1063" s="20" t="s">
        <v>25</v>
      </c>
      <c r="K1063" s="20" t="str">
        <f>IFERROR(INDEX('[2]PRICELIST, 908u'!$G$7:$AX$914,MATCH($B1063,'[2]PRICELIST, 908u'!$G$7:$G$914,0),30),"NA")</f>
        <v>Slant / PINK</v>
      </c>
      <c r="L1063" s="20">
        <f>IFERROR(INDEX('[2]PRICELIST, 908u'!$G$7:$AX$914,MATCH($B1063,'[2]PRICELIST, 908u'!$G$7:$G$914,0),40),"NA")</f>
        <v>2850000</v>
      </c>
      <c r="M1063" s="20">
        <f>IFERROR(INDEX('[2]PRICELIST, 908u'!$G$7:$AX$914,MATCH($B1063,'[2]PRICELIST, 908u'!$G$7:$G$914,0),41),"NA")</f>
        <v>100000</v>
      </c>
      <c r="N1063" s="58">
        <f t="shared" si="48"/>
        <v>2750000</v>
      </c>
      <c r="O1063" s="60"/>
      <c r="P1063" s="60">
        <f t="shared" si="47"/>
        <v>2750000</v>
      </c>
    </row>
    <row r="1064" spans="2:16">
      <c r="B1064" s="20" t="s">
        <v>1215</v>
      </c>
      <c r="C1064" s="20" t="s">
        <v>2</v>
      </c>
      <c r="D1064" s="20" t="str">
        <f>IFERROR(INDEX('[2]PRICELIST, 908u'!$G$7:$AX$914,MATCH($B1064,'[2]PRICELIST, 908u'!$G$7:$G$914,0),18),"NA")</f>
        <v>2024 Batch</v>
      </c>
      <c r="E1064" s="20" t="str">
        <f>IFERROR(INDEX([3]AGM!$D$21:$BL$928,MATCH($B1064,[3]AGM!$AD$21:$AD$928,0),1),"NA")</f>
        <v>OPEN</v>
      </c>
      <c r="F1064" s="20" t="str">
        <f t="shared" si="46"/>
        <v>Block 09</v>
      </c>
      <c r="G1064" s="20" t="str">
        <f t="shared" si="45"/>
        <v>Lot 37</v>
      </c>
      <c r="H1064" s="20">
        <f>IFERROR(INDEX('[2]PRICELIST, 908u'!$G$7:$AX$914,MATCH($B1064,'[2]PRICELIST, 908u'!$G$7:$G$914,0),23),"NA")</f>
        <v>50</v>
      </c>
      <c r="I1064" s="20">
        <f>IFERROR(INDEX('[2]PRICELIST, 908u'!$G$7:$AX$914,MATCH($B1064,'[2]PRICELIST, 908u'!$G$7:$G$914,0),22),"NA")</f>
        <v>70</v>
      </c>
      <c r="J1064" s="20" t="s">
        <v>25</v>
      </c>
      <c r="K1064" s="20" t="str">
        <f>IFERROR(INDEX('[2]PRICELIST, 908u'!$G$7:$AX$914,MATCH($B1064,'[2]PRICELIST, 908u'!$G$7:$G$914,0),30),"NA")</f>
        <v>Flat / PINK</v>
      </c>
      <c r="L1064" s="20">
        <f>IFERROR(INDEX('[2]PRICELIST, 908u'!$G$7:$AX$914,MATCH($B1064,'[2]PRICELIST, 908u'!$G$7:$G$914,0),40),"NA")</f>
        <v>2850000</v>
      </c>
      <c r="M1064" s="20">
        <f>IFERROR(INDEX('[2]PRICELIST, 908u'!$G$7:$AX$914,MATCH($B1064,'[2]PRICELIST, 908u'!$G$7:$G$914,0),41),"NA")</f>
        <v>100000</v>
      </c>
      <c r="N1064" s="58">
        <f t="shared" si="48"/>
        <v>2750000</v>
      </c>
      <c r="O1064" s="60"/>
      <c r="P1064" s="60">
        <f t="shared" si="47"/>
        <v>2750000</v>
      </c>
    </row>
    <row r="1065" spans="2:16">
      <c r="B1065" s="20" t="s">
        <v>1216</v>
      </c>
      <c r="C1065" s="20" t="s">
        <v>2</v>
      </c>
      <c r="D1065" s="20" t="str">
        <f>IFERROR(INDEX('[2]PRICELIST, 908u'!$G$7:$AX$914,MATCH($B1065,'[2]PRICELIST, 908u'!$G$7:$G$914,0),18),"NA")</f>
        <v>2024 Batch</v>
      </c>
      <c r="E1065" s="20" t="str">
        <f>IFERROR(INDEX([3]AGM!$D$21:$BL$928,MATCH($B1065,[3]AGM!$AD$21:$AD$928,0),1),"NA")</f>
        <v>OS</v>
      </c>
      <c r="F1065" s="20" t="str">
        <f t="shared" si="46"/>
        <v>Block 09</v>
      </c>
      <c r="G1065" s="20" t="str">
        <f t="shared" si="45"/>
        <v>Lot 38</v>
      </c>
      <c r="H1065" s="20">
        <f>IFERROR(INDEX('[2]PRICELIST, 908u'!$G$7:$AX$914,MATCH($B1065,'[2]PRICELIST, 908u'!$G$7:$G$914,0),23),"NA")</f>
        <v>50</v>
      </c>
      <c r="I1065" s="20">
        <f>IFERROR(INDEX('[2]PRICELIST, 908u'!$G$7:$AX$914,MATCH($B1065,'[2]PRICELIST, 908u'!$G$7:$G$914,0),22),"NA")</f>
        <v>70</v>
      </c>
      <c r="J1065" s="20" t="s">
        <v>25</v>
      </c>
      <c r="K1065" s="20" t="str">
        <f>IFERROR(INDEX('[2]PRICELIST, 908u'!$G$7:$AX$914,MATCH($B1065,'[2]PRICELIST, 908u'!$G$7:$G$914,0),30),"NA")</f>
        <v>Flat / PINK</v>
      </c>
      <c r="L1065" s="20">
        <f>IFERROR(INDEX('[2]PRICELIST, 908u'!$G$7:$AX$914,MATCH($B1065,'[2]PRICELIST, 908u'!$G$7:$G$914,0),40),"NA")</f>
        <v>2850000</v>
      </c>
      <c r="M1065" s="20">
        <f>IFERROR(INDEX('[2]PRICELIST, 908u'!$G$7:$AX$914,MATCH($B1065,'[2]PRICELIST, 908u'!$G$7:$G$914,0),41),"NA")</f>
        <v>100000</v>
      </c>
      <c r="N1065" s="58">
        <f t="shared" si="48"/>
        <v>2750000</v>
      </c>
      <c r="O1065" s="60"/>
      <c r="P1065" s="60">
        <f t="shared" si="47"/>
        <v>2750000</v>
      </c>
    </row>
    <row r="1066" spans="2:16">
      <c r="B1066" s="20" t="s">
        <v>1217</v>
      </c>
      <c r="C1066" s="20" t="s">
        <v>2</v>
      </c>
      <c r="D1066" s="20" t="str">
        <f>IFERROR(INDEX('[2]PRICELIST, 908u'!$G$7:$AX$914,MATCH($B1066,'[2]PRICELIST, 908u'!$G$7:$G$914,0),18),"NA")</f>
        <v>2024 Batch</v>
      </c>
      <c r="E1066" s="20" t="str">
        <f>IFERROR(INDEX([3]AGM!$D$21:$BL$928,MATCH($B1066,[3]AGM!$AD$21:$AD$928,0),1),"NA")</f>
        <v>OS</v>
      </c>
      <c r="F1066" s="20" t="str">
        <f t="shared" si="46"/>
        <v>Block 09</v>
      </c>
      <c r="G1066" s="20" t="str">
        <f t="shared" si="45"/>
        <v>Lot 39</v>
      </c>
      <c r="H1066" s="20">
        <f>IFERROR(INDEX('[2]PRICELIST, 908u'!$G$7:$AX$914,MATCH($B1066,'[2]PRICELIST, 908u'!$G$7:$G$914,0),23),"NA")</f>
        <v>50</v>
      </c>
      <c r="I1066" s="20">
        <f>IFERROR(INDEX('[2]PRICELIST, 908u'!$G$7:$AX$914,MATCH($B1066,'[2]PRICELIST, 908u'!$G$7:$G$914,0),22),"NA")</f>
        <v>70</v>
      </c>
      <c r="J1066" s="20" t="s">
        <v>25</v>
      </c>
      <c r="K1066" s="20" t="str">
        <f>IFERROR(INDEX('[2]PRICELIST, 908u'!$G$7:$AX$914,MATCH($B1066,'[2]PRICELIST, 908u'!$G$7:$G$914,0),30),"NA")</f>
        <v>Slant / PINK</v>
      </c>
      <c r="L1066" s="20">
        <f>IFERROR(INDEX('[2]PRICELIST, 908u'!$G$7:$AX$914,MATCH($B1066,'[2]PRICELIST, 908u'!$G$7:$G$914,0),40),"NA")</f>
        <v>2850000</v>
      </c>
      <c r="M1066" s="20">
        <f>IFERROR(INDEX('[2]PRICELIST, 908u'!$G$7:$AX$914,MATCH($B1066,'[2]PRICELIST, 908u'!$G$7:$G$914,0),41),"NA")</f>
        <v>100000</v>
      </c>
      <c r="N1066" s="58">
        <f t="shared" si="48"/>
        <v>2750000</v>
      </c>
      <c r="O1066" s="60"/>
      <c r="P1066" s="60">
        <f t="shared" si="47"/>
        <v>2750000</v>
      </c>
    </row>
    <row r="1067" spans="2:16">
      <c r="B1067" s="20" t="s">
        <v>1218</v>
      </c>
      <c r="C1067" s="20" t="s">
        <v>2</v>
      </c>
      <c r="D1067" s="20" t="str">
        <f>IFERROR(INDEX('[2]PRICELIST, 908u'!$G$7:$AX$914,MATCH($B1067,'[2]PRICELIST, 908u'!$G$7:$G$914,0),18),"NA")</f>
        <v>2024 Batch</v>
      </c>
      <c r="E1067" s="20" t="str">
        <f>IFERROR(INDEX([3]AGM!$D$21:$BL$928,MATCH($B1067,[3]AGM!$AD$21:$AD$928,0),1),"NA")</f>
        <v>OS</v>
      </c>
      <c r="F1067" s="20" t="str">
        <f t="shared" si="46"/>
        <v>Block 09</v>
      </c>
      <c r="G1067" s="20" t="str">
        <f t="shared" si="45"/>
        <v>Lot 40</v>
      </c>
      <c r="H1067" s="20">
        <f>IFERROR(INDEX('[2]PRICELIST, 908u'!$G$7:$AX$914,MATCH($B1067,'[2]PRICELIST, 908u'!$G$7:$G$914,0),23),"NA")</f>
        <v>50</v>
      </c>
      <c r="I1067" s="20">
        <f>IFERROR(INDEX('[2]PRICELIST, 908u'!$G$7:$AX$914,MATCH($B1067,'[2]PRICELIST, 908u'!$G$7:$G$914,0),22),"NA")</f>
        <v>70</v>
      </c>
      <c r="J1067" s="20" t="s">
        <v>25</v>
      </c>
      <c r="K1067" s="20" t="str">
        <f>IFERROR(INDEX('[2]PRICELIST, 908u'!$G$7:$AX$914,MATCH($B1067,'[2]PRICELIST, 908u'!$G$7:$G$914,0),30),"NA")</f>
        <v>Slant / PURPLE</v>
      </c>
      <c r="L1067" s="20">
        <f>IFERROR(INDEX('[2]PRICELIST, 908u'!$G$7:$AX$914,MATCH($B1067,'[2]PRICELIST, 908u'!$G$7:$G$914,0),40),"NA")</f>
        <v>2850000</v>
      </c>
      <c r="M1067" s="20">
        <f>IFERROR(INDEX('[2]PRICELIST, 908u'!$G$7:$AX$914,MATCH($B1067,'[2]PRICELIST, 908u'!$G$7:$G$914,0),41),"NA")</f>
        <v>100000</v>
      </c>
      <c r="N1067" s="58">
        <f t="shared" si="48"/>
        <v>2750000</v>
      </c>
      <c r="O1067" s="60"/>
      <c r="P1067" s="60">
        <f t="shared" si="47"/>
        <v>2750000</v>
      </c>
    </row>
    <row r="1068" spans="2:16">
      <c r="B1068" s="20" t="s">
        <v>1219</v>
      </c>
      <c r="C1068" s="20" t="s">
        <v>2</v>
      </c>
      <c r="D1068" s="20" t="str">
        <f>IFERROR(INDEX('[2]PRICELIST, 908u'!$G$7:$AX$914,MATCH($B1068,'[2]PRICELIST, 908u'!$G$7:$G$914,0),18),"NA")</f>
        <v>2024 Batch</v>
      </c>
      <c r="E1068" s="20" t="str">
        <f>IFERROR(INDEX([3]AGM!$D$21:$BL$928,MATCH($B1068,[3]AGM!$AD$21:$AD$928,0),1),"NA")</f>
        <v>OS</v>
      </c>
      <c r="F1068" s="20" t="str">
        <f t="shared" si="46"/>
        <v>Block 09</v>
      </c>
      <c r="G1068" s="20" t="str">
        <f t="shared" si="45"/>
        <v>Lot 41</v>
      </c>
      <c r="H1068" s="20">
        <f>IFERROR(INDEX('[2]PRICELIST, 908u'!$G$7:$AX$914,MATCH($B1068,'[2]PRICELIST, 908u'!$G$7:$G$914,0),23),"NA")</f>
        <v>50</v>
      </c>
      <c r="I1068" s="20">
        <f>IFERROR(INDEX('[2]PRICELIST, 908u'!$G$7:$AX$914,MATCH($B1068,'[2]PRICELIST, 908u'!$G$7:$G$914,0),22),"NA")</f>
        <v>70</v>
      </c>
      <c r="J1068" s="20" t="s">
        <v>25</v>
      </c>
      <c r="K1068" s="20" t="str">
        <f>IFERROR(INDEX('[2]PRICELIST, 908u'!$G$7:$AX$914,MATCH($B1068,'[2]PRICELIST, 908u'!$G$7:$G$914,0),30),"NA")</f>
        <v>Flat / PURPLE</v>
      </c>
      <c r="L1068" s="20">
        <f>IFERROR(INDEX('[2]PRICELIST, 908u'!$G$7:$AX$914,MATCH($B1068,'[2]PRICELIST, 908u'!$G$7:$G$914,0),40),"NA")</f>
        <v>2850000</v>
      </c>
      <c r="M1068" s="20">
        <f>IFERROR(INDEX('[2]PRICELIST, 908u'!$G$7:$AX$914,MATCH($B1068,'[2]PRICELIST, 908u'!$G$7:$G$914,0),41),"NA")</f>
        <v>100000</v>
      </c>
      <c r="N1068" s="58">
        <f t="shared" si="48"/>
        <v>2750000</v>
      </c>
      <c r="O1068" s="60"/>
      <c r="P1068" s="60">
        <f t="shared" si="47"/>
        <v>2750000</v>
      </c>
    </row>
    <row r="1069" spans="2:16">
      <c r="B1069" s="20" t="s">
        <v>1220</v>
      </c>
      <c r="C1069" s="20" t="s">
        <v>2</v>
      </c>
      <c r="D1069" s="20" t="str">
        <f>IFERROR(INDEX('[2]PRICELIST, 908u'!$G$7:$AX$914,MATCH($B1069,'[2]PRICELIST, 908u'!$G$7:$G$914,0),18),"NA")</f>
        <v>2024 Batch</v>
      </c>
      <c r="E1069" s="20" t="str">
        <f>IFERROR(INDEX([3]AGM!$D$21:$BL$928,MATCH($B1069,[3]AGM!$AD$21:$AD$928,0),1),"NA")</f>
        <v>OS</v>
      </c>
      <c r="F1069" s="20" t="str">
        <f t="shared" si="46"/>
        <v>Block 09</v>
      </c>
      <c r="G1069" s="20" t="str">
        <f t="shared" si="45"/>
        <v>Lot 42</v>
      </c>
      <c r="H1069" s="20">
        <f>IFERROR(INDEX('[2]PRICELIST, 908u'!$G$7:$AX$914,MATCH($B1069,'[2]PRICELIST, 908u'!$G$7:$G$914,0),23),"NA")</f>
        <v>50</v>
      </c>
      <c r="I1069" s="20">
        <f>IFERROR(INDEX('[2]PRICELIST, 908u'!$G$7:$AX$914,MATCH($B1069,'[2]PRICELIST, 908u'!$G$7:$G$914,0),22),"NA")</f>
        <v>70</v>
      </c>
      <c r="J1069" s="20" t="s">
        <v>207</v>
      </c>
      <c r="K1069" s="20" t="str">
        <f>IFERROR(INDEX('[2]PRICELIST, 908u'!$G$7:$AX$914,MATCH($B1069,'[2]PRICELIST, 908u'!$G$7:$G$914,0),30),"NA")</f>
        <v>Flat / PURPLE</v>
      </c>
      <c r="L1069" s="20">
        <f>IFERROR(INDEX('[2]PRICELIST, 908u'!$G$7:$AX$914,MATCH($B1069,'[2]PRICELIST, 908u'!$G$7:$G$914,0),40),"NA")</f>
        <v>2650000</v>
      </c>
      <c r="M1069" s="20">
        <f>IFERROR(INDEX('[2]PRICELIST, 908u'!$G$7:$AX$914,MATCH($B1069,'[2]PRICELIST, 908u'!$G$7:$G$914,0),41),"NA")</f>
        <v>100000</v>
      </c>
      <c r="N1069" s="58">
        <f t="shared" si="48"/>
        <v>2550000</v>
      </c>
      <c r="O1069" s="60"/>
      <c r="P1069" s="60">
        <f t="shared" si="47"/>
        <v>2550000</v>
      </c>
    </row>
    <row r="1070" spans="2:16">
      <c r="B1070" s="20" t="s">
        <v>1221</v>
      </c>
      <c r="C1070" s="20" t="s">
        <v>2</v>
      </c>
      <c r="D1070" s="20" t="str">
        <f>IFERROR(INDEX('[2]PRICELIST, 908u'!$G$7:$AX$914,MATCH($B1070,'[2]PRICELIST, 908u'!$G$7:$G$914,0),18),"NA")</f>
        <v>2024 Batch</v>
      </c>
      <c r="E1070" s="20" t="str">
        <f>IFERROR(INDEX([3]AGM!$D$21:$BL$928,MATCH($B1070,[3]AGM!$AD$21:$AD$928,0),1),"NA")</f>
        <v>OS</v>
      </c>
      <c r="F1070" s="20" t="str">
        <f t="shared" si="46"/>
        <v>Block 09</v>
      </c>
      <c r="G1070" s="20" t="str">
        <f t="shared" si="45"/>
        <v>Lot 43</v>
      </c>
      <c r="H1070" s="20">
        <f>IFERROR(INDEX('[2]PRICELIST, 908u'!$G$7:$AX$914,MATCH($B1070,'[2]PRICELIST, 908u'!$G$7:$G$914,0),23),"NA")</f>
        <v>50</v>
      </c>
      <c r="I1070" s="20">
        <f>IFERROR(INDEX('[2]PRICELIST, 908u'!$G$7:$AX$914,MATCH($B1070,'[2]PRICELIST, 908u'!$G$7:$G$914,0),22),"NA")</f>
        <v>70</v>
      </c>
      <c r="J1070" s="20" t="s">
        <v>207</v>
      </c>
      <c r="K1070" s="20" t="str">
        <f>IFERROR(INDEX('[2]PRICELIST, 908u'!$G$7:$AX$914,MATCH($B1070,'[2]PRICELIST, 908u'!$G$7:$G$914,0),30),"NA")</f>
        <v>Slant / PURPLE</v>
      </c>
      <c r="L1070" s="20">
        <f>IFERROR(INDEX('[2]PRICELIST, 908u'!$G$7:$AX$914,MATCH($B1070,'[2]PRICELIST, 908u'!$G$7:$G$914,0),40),"NA")</f>
        <v>2650000</v>
      </c>
      <c r="M1070" s="20">
        <f>IFERROR(INDEX('[2]PRICELIST, 908u'!$G$7:$AX$914,MATCH($B1070,'[2]PRICELIST, 908u'!$G$7:$G$914,0),41),"NA")</f>
        <v>100000</v>
      </c>
      <c r="N1070" s="58">
        <f t="shared" si="48"/>
        <v>2550000</v>
      </c>
      <c r="O1070" s="60"/>
      <c r="P1070" s="60">
        <f t="shared" si="47"/>
        <v>2550000</v>
      </c>
    </row>
    <row r="1071" spans="2:16">
      <c r="B1071" s="20" t="s">
        <v>1222</v>
      </c>
      <c r="C1071" s="20" t="s">
        <v>2</v>
      </c>
      <c r="D1071" s="20" t="str">
        <f>IFERROR(INDEX('[2]PRICELIST, 908u'!$G$7:$AX$914,MATCH($B1071,'[2]PRICELIST, 908u'!$G$7:$G$914,0),18),"NA")</f>
        <v>2024 Batch</v>
      </c>
      <c r="E1071" s="20" t="str">
        <f>IFERROR(INDEX([3]AGM!$D$21:$BL$928,MATCH($B1071,[3]AGM!$AD$21:$AD$928,0),1),"NA")</f>
        <v>OS</v>
      </c>
      <c r="F1071" s="20" t="str">
        <f t="shared" si="46"/>
        <v>Block 09</v>
      </c>
      <c r="G1071" s="20" t="str">
        <f t="shared" si="45"/>
        <v>Lot 44</v>
      </c>
      <c r="H1071" s="20">
        <f>IFERROR(INDEX('[2]PRICELIST, 908u'!$G$7:$AX$914,MATCH($B1071,'[2]PRICELIST, 908u'!$G$7:$G$914,0),23),"NA")</f>
        <v>50</v>
      </c>
      <c r="I1071" s="20">
        <f>IFERROR(INDEX('[2]PRICELIST, 908u'!$G$7:$AX$914,MATCH($B1071,'[2]PRICELIST, 908u'!$G$7:$G$914,0),22),"NA")</f>
        <v>70</v>
      </c>
      <c r="J1071" s="20" t="s">
        <v>25</v>
      </c>
      <c r="K1071" s="20" t="str">
        <f>IFERROR(INDEX('[2]PRICELIST, 908u'!$G$7:$AX$914,MATCH($B1071,'[2]PRICELIST, 908u'!$G$7:$G$914,0),30),"NA")</f>
        <v>Slant / GREEN</v>
      </c>
      <c r="L1071" s="20">
        <f>IFERROR(INDEX('[2]PRICELIST, 908u'!$G$7:$AX$914,MATCH($B1071,'[2]PRICELIST, 908u'!$G$7:$G$914,0),40),"NA")</f>
        <v>2850000</v>
      </c>
      <c r="M1071" s="20">
        <f>IFERROR(INDEX('[2]PRICELIST, 908u'!$G$7:$AX$914,MATCH($B1071,'[2]PRICELIST, 908u'!$G$7:$G$914,0),41),"NA")</f>
        <v>100000</v>
      </c>
      <c r="N1071" s="58">
        <f t="shared" si="48"/>
        <v>2750000</v>
      </c>
      <c r="O1071" s="60"/>
      <c r="P1071" s="60">
        <f t="shared" si="47"/>
        <v>2750000</v>
      </c>
    </row>
    <row r="1072" spans="2:16">
      <c r="B1072" s="20" t="s">
        <v>1223</v>
      </c>
      <c r="C1072" s="20" t="s">
        <v>2</v>
      </c>
      <c r="D1072" s="20" t="str">
        <f>IFERROR(INDEX('[2]PRICELIST, 908u'!$G$7:$AX$914,MATCH($B1072,'[2]PRICELIST, 908u'!$G$7:$G$914,0),18),"NA")</f>
        <v>2024 Batch</v>
      </c>
      <c r="E1072" s="20" t="str">
        <f>IFERROR(INDEX([3]AGM!$D$21:$BL$928,MATCH($B1072,[3]AGM!$AD$21:$AD$928,0),1),"NA")</f>
        <v>OS</v>
      </c>
      <c r="F1072" s="20" t="str">
        <f t="shared" si="46"/>
        <v>Block 09</v>
      </c>
      <c r="G1072" s="20" t="str">
        <f t="shared" si="45"/>
        <v>Lot 45</v>
      </c>
      <c r="H1072" s="20">
        <f>IFERROR(INDEX('[2]PRICELIST, 908u'!$G$7:$AX$914,MATCH($B1072,'[2]PRICELIST, 908u'!$G$7:$G$914,0),23),"NA")</f>
        <v>50</v>
      </c>
      <c r="I1072" s="20">
        <f>IFERROR(INDEX('[2]PRICELIST, 908u'!$G$7:$AX$914,MATCH($B1072,'[2]PRICELIST, 908u'!$G$7:$G$914,0),22),"NA")</f>
        <v>70</v>
      </c>
      <c r="J1072" s="20" t="s">
        <v>25</v>
      </c>
      <c r="K1072" s="20" t="str">
        <f>IFERROR(INDEX('[2]PRICELIST, 908u'!$G$7:$AX$914,MATCH($B1072,'[2]PRICELIST, 908u'!$G$7:$G$914,0),30),"NA")</f>
        <v>Flat / GREEN</v>
      </c>
      <c r="L1072" s="20">
        <f>IFERROR(INDEX('[2]PRICELIST, 908u'!$G$7:$AX$914,MATCH($B1072,'[2]PRICELIST, 908u'!$G$7:$G$914,0),40),"NA")</f>
        <v>2850000</v>
      </c>
      <c r="M1072" s="20">
        <f>IFERROR(INDEX('[2]PRICELIST, 908u'!$G$7:$AX$914,MATCH($B1072,'[2]PRICELIST, 908u'!$G$7:$G$914,0),41),"NA")</f>
        <v>100000</v>
      </c>
      <c r="N1072" s="58">
        <f t="shared" si="48"/>
        <v>2750000</v>
      </c>
      <c r="O1072" s="60"/>
      <c r="P1072" s="60">
        <f t="shared" si="47"/>
        <v>2750000</v>
      </c>
    </row>
    <row r="1073" spans="2:16">
      <c r="B1073" s="20" t="s">
        <v>1224</v>
      </c>
      <c r="C1073" s="20" t="s">
        <v>2</v>
      </c>
      <c r="D1073" s="20" t="str">
        <f>IFERROR(INDEX('[2]PRICELIST, 908u'!$G$7:$AX$914,MATCH($B1073,'[2]PRICELIST, 908u'!$G$7:$G$914,0),18),"NA")</f>
        <v>2024 Batch</v>
      </c>
      <c r="E1073" s="20" t="str">
        <f>IFERROR(INDEX([3]AGM!$D$21:$BL$928,MATCH($B1073,[3]AGM!$AD$21:$AD$928,0),1),"NA")</f>
        <v>OS</v>
      </c>
      <c r="F1073" s="20" t="str">
        <f t="shared" si="46"/>
        <v>Block 09</v>
      </c>
      <c r="G1073" s="20" t="str">
        <f t="shared" si="45"/>
        <v>Lot 46</v>
      </c>
      <c r="H1073" s="20">
        <f>IFERROR(INDEX('[2]PRICELIST, 908u'!$G$7:$AX$914,MATCH($B1073,'[2]PRICELIST, 908u'!$G$7:$G$914,0),23),"NA")</f>
        <v>50</v>
      </c>
      <c r="I1073" s="20">
        <f>IFERROR(INDEX('[2]PRICELIST, 908u'!$G$7:$AX$914,MATCH($B1073,'[2]PRICELIST, 908u'!$G$7:$G$914,0),22),"NA")</f>
        <v>70</v>
      </c>
      <c r="J1073" s="20" t="s">
        <v>25</v>
      </c>
      <c r="K1073" s="20" t="str">
        <f>IFERROR(INDEX('[2]PRICELIST, 908u'!$G$7:$AX$914,MATCH($B1073,'[2]PRICELIST, 908u'!$G$7:$G$914,0),30),"NA")</f>
        <v>Flat / GREEN</v>
      </c>
      <c r="L1073" s="20">
        <f>IFERROR(INDEX('[2]PRICELIST, 908u'!$G$7:$AX$914,MATCH($B1073,'[2]PRICELIST, 908u'!$G$7:$G$914,0),40),"NA")</f>
        <v>2850000</v>
      </c>
      <c r="M1073" s="20">
        <f>IFERROR(INDEX('[2]PRICELIST, 908u'!$G$7:$AX$914,MATCH($B1073,'[2]PRICELIST, 908u'!$G$7:$G$914,0),41),"NA")</f>
        <v>100000</v>
      </c>
      <c r="N1073" s="58">
        <f t="shared" si="48"/>
        <v>2750000</v>
      </c>
      <c r="O1073" s="60"/>
      <c r="P1073" s="60">
        <f t="shared" si="47"/>
        <v>2750000</v>
      </c>
    </row>
    <row r="1074" spans="2:16">
      <c r="B1074" s="20" t="s">
        <v>1225</v>
      </c>
      <c r="C1074" s="20" t="s">
        <v>2</v>
      </c>
      <c r="D1074" s="20" t="str">
        <f>IFERROR(INDEX('[2]PRICELIST, 908u'!$G$7:$AX$914,MATCH($B1074,'[2]PRICELIST, 908u'!$G$7:$G$914,0),18),"NA")</f>
        <v>2024 Batch</v>
      </c>
      <c r="E1074" s="20" t="str">
        <f>IFERROR(INDEX([3]AGM!$D$21:$BL$928,MATCH($B1074,[3]AGM!$AD$21:$AD$928,0),1),"NA")</f>
        <v>OS</v>
      </c>
      <c r="F1074" s="20" t="str">
        <f t="shared" si="46"/>
        <v>Block 09</v>
      </c>
      <c r="G1074" s="20" t="str">
        <f t="shared" si="45"/>
        <v>Lot 47</v>
      </c>
      <c r="H1074" s="20">
        <f>IFERROR(INDEX('[2]PRICELIST, 908u'!$G$7:$AX$914,MATCH($B1074,'[2]PRICELIST, 908u'!$G$7:$G$914,0),23),"NA")</f>
        <v>50</v>
      </c>
      <c r="I1074" s="20">
        <f>IFERROR(INDEX('[2]PRICELIST, 908u'!$G$7:$AX$914,MATCH($B1074,'[2]PRICELIST, 908u'!$G$7:$G$914,0),22),"NA")</f>
        <v>70</v>
      </c>
      <c r="J1074" s="20" t="s">
        <v>207</v>
      </c>
      <c r="K1074" s="20" t="str">
        <f>IFERROR(INDEX('[2]PRICELIST, 908u'!$G$7:$AX$914,MATCH($B1074,'[2]PRICELIST, 908u'!$G$7:$G$914,0),30),"NA")</f>
        <v>Slant / GREEN</v>
      </c>
      <c r="L1074" s="20">
        <f>IFERROR(INDEX('[2]PRICELIST, 908u'!$G$7:$AX$914,MATCH($B1074,'[2]PRICELIST, 908u'!$G$7:$G$914,0),40),"NA")</f>
        <v>2650000</v>
      </c>
      <c r="M1074" s="20">
        <f>IFERROR(INDEX('[2]PRICELIST, 908u'!$G$7:$AX$914,MATCH($B1074,'[2]PRICELIST, 908u'!$G$7:$G$914,0),41),"NA")</f>
        <v>100000</v>
      </c>
      <c r="N1074" s="58">
        <f t="shared" si="48"/>
        <v>2550000</v>
      </c>
      <c r="O1074" s="60"/>
      <c r="P1074" s="60">
        <f t="shared" si="47"/>
        <v>2550000</v>
      </c>
    </row>
    <row r="1075" spans="2:16">
      <c r="B1075" s="20" t="s">
        <v>1226</v>
      </c>
      <c r="C1075" s="20" t="s">
        <v>2</v>
      </c>
      <c r="D1075" s="20" t="str">
        <f>IFERROR(INDEX('[2]PRICELIST, 908u'!$G$7:$AX$914,MATCH($B1075,'[2]PRICELIST, 908u'!$G$7:$G$914,0),18),"NA")</f>
        <v>2024 Batch</v>
      </c>
      <c r="E1075" s="20" t="str">
        <f>IFERROR(INDEX([3]AGM!$D$21:$BL$928,MATCH($B1075,[3]AGM!$AD$21:$AD$928,0),1),"NA")</f>
        <v>OS</v>
      </c>
      <c r="F1075" s="20" t="str">
        <f t="shared" si="46"/>
        <v>Block 09</v>
      </c>
      <c r="G1075" s="20" t="str">
        <f t="shared" si="45"/>
        <v>Lot 48</v>
      </c>
      <c r="H1075" s="20">
        <f>IFERROR(INDEX('[2]PRICELIST, 908u'!$G$7:$AX$914,MATCH($B1075,'[2]PRICELIST, 908u'!$G$7:$G$914,0),23),"NA")</f>
        <v>50</v>
      </c>
      <c r="I1075" s="20">
        <f>IFERROR(INDEX('[2]PRICELIST, 908u'!$G$7:$AX$914,MATCH($B1075,'[2]PRICELIST, 908u'!$G$7:$G$914,0),22),"NA")</f>
        <v>70</v>
      </c>
      <c r="J1075" s="20" t="s">
        <v>207</v>
      </c>
      <c r="K1075" s="20" t="str">
        <f>IFERROR(INDEX('[2]PRICELIST, 908u'!$G$7:$AX$914,MATCH($B1075,'[2]PRICELIST, 908u'!$G$7:$G$914,0),30),"NA")</f>
        <v>Slant / YELLOW</v>
      </c>
      <c r="L1075" s="20">
        <f>IFERROR(INDEX('[2]PRICELIST, 908u'!$G$7:$AX$914,MATCH($B1075,'[2]PRICELIST, 908u'!$G$7:$G$914,0),40),"NA")</f>
        <v>2650000</v>
      </c>
      <c r="M1075" s="20">
        <f>IFERROR(INDEX('[2]PRICELIST, 908u'!$G$7:$AX$914,MATCH($B1075,'[2]PRICELIST, 908u'!$G$7:$G$914,0),41),"NA")</f>
        <v>100000</v>
      </c>
      <c r="N1075" s="58">
        <f t="shared" si="48"/>
        <v>2550000</v>
      </c>
      <c r="O1075" s="60"/>
      <c r="P1075" s="60">
        <f t="shared" si="47"/>
        <v>2550000</v>
      </c>
    </row>
    <row r="1076" spans="2:16">
      <c r="B1076" s="20" t="s">
        <v>1227</v>
      </c>
      <c r="C1076" s="20" t="s">
        <v>2</v>
      </c>
      <c r="D1076" s="20" t="str">
        <f>IFERROR(INDEX('[2]PRICELIST, 908u'!$G$7:$AX$914,MATCH($B1076,'[2]PRICELIST, 908u'!$G$7:$G$914,0),18),"NA")</f>
        <v>2024 Batch</v>
      </c>
      <c r="E1076" s="20" t="str">
        <f>IFERROR(INDEX([3]AGM!$D$21:$BL$928,MATCH($B1076,[3]AGM!$AD$21:$AD$928,0),1),"NA")</f>
        <v>OS</v>
      </c>
      <c r="F1076" s="20" t="str">
        <f t="shared" si="46"/>
        <v>Block 09</v>
      </c>
      <c r="G1076" s="20" t="str">
        <f t="shared" si="45"/>
        <v>Lot 49</v>
      </c>
      <c r="H1076" s="20">
        <f>IFERROR(INDEX('[2]PRICELIST, 908u'!$G$7:$AX$914,MATCH($B1076,'[2]PRICELIST, 908u'!$G$7:$G$914,0),23),"NA")</f>
        <v>50</v>
      </c>
      <c r="I1076" s="20">
        <f>IFERROR(INDEX('[2]PRICELIST, 908u'!$G$7:$AX$914,MATCH($B1076,'[2]PRICELIST, 908u'!$G$7:$G$914,0),22),"NA")</f>
        <v>70</v>
      </c>
      <c r="J1076" s="20" t="s">
        <v>25</v>
      </c>
      <c r="K1076" s="20" t="str">
        <f>IFERROR(INDEX('[2]PRICELIST, 908u'!$G$7:$AX$914,MATCH($B1076,'[2]PRICELIST, 908u'!$G$7:$G$914,0),30),"NA")</f>
        <v>Flat / YELLOW</v>
      </c>
      <c r="L1076" s="20">
        <f>IFERROR(INDEX('[2]PRICELIST, 908u'!$G$7:$AX$914,MATCH($B1076,'[2]PRICELIST, 908u'!$G$7:$G$914,0),40),"NA")</f>
        <v>2850000</v>
      </c>
      <c r="M1076" s="20">
        <f>IFERROR(INDEX('[2]PRICELIST, 908u'!$G$7:$AX$914,MATCH($B1076,'[2]PRICELIST, 908u'!$G$7:$G$914,0),41),"NA")</f>
        <v>100000</v>
      </c>
      <c r="N1076" s="58">
        <f t="shared" si="48"/>
        <v>2750000</v>
      </c>
      <c r="O1076" s="60"/>
      <c r="P1076" s="60">
        <f t="shared" si="47"/>
        <v>2750000</v>
      </c>
    </row>
    <row r="1077" spans="2:16">
      <c r="B1077" s="20" t="s">
        <v>1228</v>
      </c>
      <c r="C1077" s="20" t="s">
        <v>2</v>
      </c>
      <c r="D1077" s="20" t="str">
        <f>IFERROR(INDEX('[2]PRICELIST, 908u'!$G$7:$AX$914,MATCH($B1077,'[2]PRICELIST, 908u'!$G$7:$G$914,0),18),"NA")</f>
        <v>2024 Batch</v>
      </c>
      <c r="E1077" s="20" t="str">
        <f>IFERROR(INDEX([3]AGM!$D$21:$BL$928,MATCH($B1077,[3]AGM!$AD$21:$AD$928,0),1),"NA")</f>
        <v>OS</v>
      </c>
      <c r="F1077" s="20" t="str">
        <f t="shared" si="46"/>
        <v>Block 09</v>
      </c>
      <c r="G1077" s="20" t="str">
        <f t="shared" si="45"/>
        <v>Lot 50</v>
      </c>
      <c r="H1077" s="20">
        <f>IFERROR(INDEX('[2]PRICELIST, 908u'!$G$7:$AX$914,MATCH($B1077,'[2]PRICELIST, 908u'!$G$7:$G$914,0),23),"NA")</f>
        <v>50</v>
      </c>
      <c r="I1077" s="20">
        <f>IFERROR(INDEX('[2]PRICELIST, 908u'!$G$7:$AX$914,MATCH($B1077,'[2]PRICELIST, 908u'!$G$7:$G$914,0),22),"NA")</f>
        <v>70</v>
      </c>
      <c r="J1077" s="20" t="s">
        <v>25</v>
      </c>
      <c r="K1077" s="20" t="str">
        <f>IFERROR(INDEX('[2]PRICELIST, 908u'!$G$7:$AX$914,MATCH($B1077,'[2]PRICELIST, 908u'!$G$7:$G$914,0),30),"NA")</f>
        <v>Flat / YELLOW</v>
      </c>
      <c r="L1077" s="20">
        <f>IFERROR(INDEX('[2]PRICELIST, 908u'!$G$7:$AX$914,MATCH($B1077,'[2]PRICELIST, 908u'!$G$7:$G$914,0),40),"NA")</f>
        <v>2850000</v>
      </c>
      <c r="M1077" s="20">
        <f>IFERROR(INDEX('[2]PRICELIST, 908u'!$G$7:$AX$914,MATCH($B1077,'[2]PRICELIST, 908u'!$G$7:$G$914,0),41),"NA")</f>
        <v>100000</v>
      </c>
      <c r="N1077" s="58">
        <f t="shared" si="48"/>
        <v>2750000</v>
      </c>
      <c r="O1077" s="60"/>
      <c r="P1077" s="60">
        <f t="shared" si="47"/>
        <v>2750000</v>
      </c>
    </row>
    <row r="1078" spans="2:16">
      <c r="B1078" s="20" t="s">
        <v>1229</v>
      </c>
      <c r="C1078" s="20" t="s">
        <v>2</v>
      </c>
      <c r="D1078" s="20" t="str">
        <f>IFERROR(INDEX('[2]PRICELIST, 908u'!$G$7:$AX$914,MATCH($B1078,'[2]PRICELIST, 908u'!$G$7:$G$914,0),18),"NA")</f>
        <v>2024 Batch</v>
      </c>
      <c r="E1078" s="20" t="str">
        <f>IFERROR(INDEX([3]AGM!$D$21:$BL$928,MATCH($B1078,[3]AGM!$AD$21:$AD$928,0),1),"NA")</f>
        <v>OS</v>
      </c>
      <c r="F1078" s="20" t="str">
        <f t="shared" si="46"/>
        <v>Block 09</v>
      </c>
      <c r="G1078" s="20" t="str">
        <f t="shared" si="45"/>
        <v>Lot 51</v>
      </c>
      <c r="H1078" s="20">
        <f>IFERROR(INDEX('[2]PRICELIST, 908u'!$G$7:$AX$914,MATCH($B1078,'[2]PRICELIST, 908u'!$G$7:$G$914,0),23),"NA")</f>
        <v>50</v>
      </c>
      <c r="I1078" s="20">
        <f>IFERROR(INDEX('[2]PRICELIST, 908u'!$G$7:$AX$914,MATCH($B1078,'[2]PRICELIST, 908u'!$G$7:$G$914,0),22),"NA")</f>
        <v>70</v>
      </c>
      <c r="J1078" s="20" t="s">
        <v>25</v>
      </c>
      <c r="K1078" s="20" t="str">
        <f>IFERROR(INDEX('[2]PRICELIST, 908u'!$G$7:$AX$914,MATCH($B1078,'[2]PRICELIST, 908u'!$G$7:$G$914,0),30),"NA")</f>
        <v>Slant / YELLOW</v>
      </c>
      <c r="L1078" s="20">
        <f>IFERROR(INDEX('[2]PRICELIST, 908u'!$G$7:$AX$914,MATCH($B1078,'[2]PRICELIST, 908u'!$G$7:$G$914,0),40),"NA")</f>
        <v>2850000</v>
      </c>
      <c r="M1078" s="20">
        <f>IFERROR(INDEX('[2]PRICELIST, 908u'!$G$7:$AX$914,MATCH($B1078,'[2]PRICELIST, 908u'!$G$7:$G$914,0),41),"NA")</f>
        <v>100000</v>
      </c>
      <c r="N1078" s="58">
        <f t="shared" si="48"/>
        <v>2750000</v>
      </c>
      <c r="O1078" s="60"/>
      <c r="P1078" s="60">
        <f t="shared" si="47"/>
        <v>2750000</v>
      </c>
    </row>
    <row r="1079" spans="2:16">
      <c r="B1079" s="20" t="s">
        <v>1230</v>
      </c>
      <c r="C1079" s="20" t="s">
        <v>2</v>
      </c>
      <c r="D1079" s="20" t="str">
        <f>IFERROR(INDEX('[2]PRICELIST, 908u'!$G$7:$AX$914,MATCH($B1079,'[2]PRICELIST, 908u'!$G$7:$G$914,0),18),"NA")</f>
        <v>2024 Batch</v>
      </c>
      <c r="E1079" s="20" t="str">
        <f>IFERROR(INDEX([3]AGM!$D$21:$BL$928,MATCH($B1079,[3]AGM!$AD$21:$AD$928,0),1),"NA")</f>
        <v>OS</v>
      </c>
      <c r="F1079" s="20" t="str">
        <f t="shared" si="46"/>
        <v>Block 09</v>
      </c>
      <c r="G1079" s="20" t="str">
        <f t="shared" si="45"/>
        <v>Lot 52</v>
      </c>
      <c r="H1079" s="20">
        <f>IFERROR(INDEX('[2]PRICELIST, 908u'!$G$7:$AX$914,MATCH($B1079,'[2]PRICELIST, 908u'!$G$7:$G$914,0),23),"NA")</f>
        <v>50</v>
      </c>
      <c r="I1079" s="20">
        <f>IFERROR(INDEX('[2]PRICELIST, 908u'!$G$7:$AX$914,MATCH($B1079,'[2]PRICELIST, 908u'!$G$7:$G$914,0),22),"NA")</f>
        <v>70</v>
      </c>
      <c r="J1079" s="20" t="s">
        <v>25</v>
      </c>
      <c r="K1079" s="20" t="str">
        <f>IFERROR(INDEX('[2]PRICELIST, 908u'!$G$7:$AX$914,MATCH($B1079,'[2]PRICELIST, 908u'!$G$7:$G$914,0),30),"NA")</f>
        <v>Slant / PINK</v>
      </c>
      <c r="L1079" s="20">
        <f>IFERROR(INDEX('[2]PRICELIST, 908u'!$G$7:$AX$914,MATCH($B1079,'[2]PRICELIST, 908u'!$G$7:$G$914,0),40),"NA")</f>
        <v>2850000</v>
      </c>
      <c r="M1079" s="20">
        <f>IFERROR(INDEX('[2]PRICELIST, 908u'!$G$7:$AX$914,MATCH($B1079,'[2]PRICELIST, 908u'!$G$7:$G$914,0),41),"NA")</f>
        <v>100000</v>
      </c>
      <c r="N1079" s="58">
        <f t="shared" si="48"/>
        <v>2750000</v>
      </c>
      <c r="O1079" s="60"/>
      <c r="P1079" s="60">
        <f t="shared" si="47"/>
        <v>2750000</v>
      </c>
    </row>
    <row r="1080" spans="2:16">
      <c r="B1080" s="20" t="s">
        <v>1231</v>
      </c>
      <c r="C1080" s="20" t="s">
        <v>2</v>
      </c>
      <c r="D1080" s="20" t="str">
        <f>IFERROR(INDEX('[2]PRICELIST, 908u'!$G$7:$AX$914,MATCH($B1080,'[2]PRICELIST, 908u'!$G$7:$G$914,0),18),"NA")</f>
        <v>2024 Batch</v>
      </c>
      <c r="E1080" s="20" t="str">
        <f>IFERROR(INDEX([3]AGM!$D$21:$BL$928,MATCH($B1080,[3]AGM!$AD$21:$AD$928,0),1),"NA")</f>
        <v>OS</v>
      </c>
      <c r="F1080" s="20" t="str">
        <f t="shared" si="46"/>
        <v>Block 09</v>
      </c>
      <c r="G1080" s="20" t="str">
        <f t="shared" si="45"/>
        <v>Lot 53</v>
      </c>
      <c r="H1080" s="20">
        <f>IFERROR(INDEX('[2]PRICELIST, 908u'!$G$7:$AX$914,MATCH($B1080,'[2]PRICELIST, 908u'!$G$7:$G$914,0),23),"NA")</f>
        <v>50</v>
      </c>
      <c r="I1080" s="20">
        <f>IFERROR(INDEX('[2]PRICELIST, 908u'!$G$7:$AX$914,MATCH($B1080,'[2]PRICELIST, 908u'!$G$7:$G$914,0),22),"NA")</f>
        <v>70</v>
      </c>
      <c r="J1080" s="20" t="s">
        <v>25</v>
      </c>
      <c r="K1080" s="20" t="str">
        <f>IFERROR(INDEX('[2]PRICELIST, 908u'!$G$7:$AX$914,MATCH($B1080,'[2]PRICELIST, 908u'!$G$7:$G$914,0),30),"NA")</f>
        <v>Flat / PINK</v>
      </c>
      <c r="L1080" s="20">
        <f>IFERROR(INDEX('[2]PRICELIST, 908u'!$G$7:$AX$914,MATCH($B1080,'[2]PRICELIST, 908u'!$G$7:$G$914,0),40),"NA")</f>
        <v>2850000</v>
      </c>
      <c r="M1080" s="20">
        <f>IFERROR(INDEX('[2]PRICELIST, 908u'!$G$7:$AX$914,MATCH($B1080,'[2]PRICELIST, 908u'!$G$7:$G$914,0),41),"NA")</f>
        <v>100000</v>
      </c>
      <c r="N1080" s="58">
        <f t="shared" si="48"/>
        <v>2750000</v>
      </c>
      <c r="O1080" s="60"/>
      <c r="P1080" s="60">
        <f t="shared" si="47"/>
        <v>2750000</v>
      </c>
    </row>
    <row r="1081" spans="2:16">
      <c r="B1081" s="20" t="s">
        <v>1232</v>
      </c>
      <c r="C1081" s="20" t="s">
        <v>2</v>
      </c>
      <c r="D1081" s="20" t="str">
        <f>IFERROR(INDEX('[2]PRICELIST, 908u'!$G$7:$AX$914,MATCH($B1081,'[2]PRICELIST, 908u'!$G$7:$G$914,0),18),"NA")</f>
        <v>2024 Batch</v>
      </c>
      <c r="E1081" s="20" t="str">
        <f>IFERROR(INDEX([3]AGM!$D$21:$BL$928,MATCH($B1081,[3]AGM!$AD$21:$AD$928,0),1),"NA")</f>
        <v>OS</v>
      </c>
      <c r="F1081" s="20" t="str">
        <f t="shared" si="46"/>
        <v>Block 09</v>
      </c>
      <c r="G1081" s="20" t="str">
        <f t="shared" si="45"/>
        <v>Lot 54</v>
      </c>
      <c r="H1081" s="20">
        <f>IFERROR(INDEX('[2]PRICELIST, 908u'!$G$7:$AX$914,MATCH($B1081,'[2]PRICELIST, 908u'!$G$7:$G$914,0),23),"NA")</f>
        <v>50</v>
      </c>
      <c r="I1081" s="20">
        <f>IFERROR(INDEX('[2]PRICELIST, 908u'!$G$7:$AX$914,MATCH($B1081,'[2]PRICELIST, 908u'!$G$7:$G$914,0),22),"NA")</f>
        <v>70</v>
      </c>
      <c r="J1081" s="20" t="s">
        <v>25</v>
      </c>
      <c r="K1081" s="20" t="str">
        <f>IFERROR(INDEX('[2]PRICELIST, 908u'!$G$7:$AX$914,MATCH($B1081,'[2]PRICELIST, 908u'!$G$7:$G$914,0),30),"NA")</f>
        <v>Flat / PINK</v>
      </c>
      <c r="L1081" s="20">
        <f>IFERROR(INDEX('[2]PRICELIST, 908u'!$G$7:$AX$914,MATCH($B1081,'[2]PRICELIST, 908u'!$G$7:$G$914,0),40),"NA")</f>
        <v>2850000</v>
      </c>
      <c r="M1081" s="20">
        <f>IFERROR(INDEX('[2]PRICELIST, 908u'!$G$7:$AX$914,MATCH($B1081,'[2]PRICELIST, 908u'!$G$7:$G$914,0),41),"NA")</f>
        <v>100000</v>
      </c>
      <c r="N1081" s="58">
        <f t="shared" si="48"/>
        <v>2750000</v>
      </c>
      <c r="O1081" s="60"/>
      <c r="P1081" s="60">
        <f t="shared" si="47"/>
        <v>2750000</v>
      </c>
    </row>
    <row r="1082" spans="2:16">
      <c r="B1082" s="20" t="s">
        <v>1233</v>
      </c>
      <c r="C1082" s="20" t="s">
        <v>2</v>
      </c>
      <c r="D1082" s="20" t="str">
        <f>IFERROR(INDEX('[2]PRICELIST, 908u'!$G$7:$AX$914,MATCH($B1082,'[2]PRICELIST, 908u'!$G$7:$G$914,0),18),"NA")</f>
        <v>2024 Batch</v>
      </c>
      <c r="E1082" s="20" t="str">
        <f>IFERROR(INDEX([3]AGM!$D$21:$BL$928,MATCH($B1082,[3]AGM!$AD$21:$AD$928,0),1),"NA")</f>
        <v>OS</v>
      </c>
      <c r="F1082" s="20" t="str">
        <f t="shared" si="46"/>
        <v>Block 09</v>
      </c>
      <c r="G1082" s="20" t="str">
        <f t="shared" si="45"/>
        <v>Lot 55</v>
      </c>
      <c r="H1082" s="20">
        <f>IFERROR(INDEX('[2]PRICELIST, 908u'!$G$7:$AX$914,MATCH($B1082,'[2]PRICELIST, 908u'!$G$7:$G$914,0),23),"NA")</f>
        <v>50</v>
      </c>
      <c r="I1082" s="20">
        <f>IFERROR(INDEX('[2]PRICELIST, 908u'!$G$7:$AX$914,MATCH($B1082,'[2]PRICELIST, 908u'!$G$7:$G$914,0),22),"NA")</f>
        <v>88</v>
      </c>
      <c r="J1082" s="20" t="s">
        <v>25</v>
      </c>
      <c r="K1082" s="20" t="str">
        <f>IFERROR(INDEX('[2]PRICELIST, 908u'!$G$7:$AX$914,MATCH($B1082,'[2]PRICELIST, 908u'!$G$7:$G$914,0),30),"NA")</f>
        <v>Slant / PINK</v>
      </c>
      <c r="L1082" s="20">
        <f>IFERROR(INDEX('[2]PRICELIST, 908u'!$G$7:$AX$914,MATCH($B1082,'[2]PRICELIST, 908u'!$G$7:$G$914,0),40),"NA")</f>
        <v>3120000</v>
      </c>
      <c r="M1082" s="20">
        <f>IFERROR(INDEX('[2]PRICELIST, 908u'!$G$7:$AX$914,MATCH($B1082,'[2]PRICELIST, 908u'!$G$7:$G$914,0),41),"NA")</f>
        <v>100000</v>
      </c>
      <c r="N1082" s="58">
        <f t="shared" si="48"/>
        <v>3020000</v>
      </c>
      <c r="O1082" s="60"/>
      <c r="P1082" s="60">
        <f t="shared" si="47"/>
        <v>3020000</v>
      </c>
    </row>
    <row r="1083" spans="2:16">
      <c r="B1083" s="20" t="s">
        <v>1234</v>
      </c>
      <c r="C1083" s="20" t="s">
        <v>2</v>
      </c>
      <c r="D1083" s="20" t="str">
        <f>IFERROR(INDEX('[2]PRICELIST, 908u'!$G$7:$AX$914,MATCH($B1083,'[2]PRICELIST, 908u'!$G$7:$G$914,0),18),"NA")</f>
        <v>2025 - Batch 4</v>
      </c>
      <c r="E1083" s="20" t="str">
        <f>IFERROR(INDEX([3]AGM!$D$21:$BL$928,MATCH($B1083,[3]AGM!$AD$21:$AD$928,0),1),"NA")</f>
        <v>OS</v>
      </c>
      <c r="F1083" s="20" t="str">
        <f t="shared" si="46"/>
        <v>Block 10</v>
      </c>
      <c r="G1083" s="20" t="str">
        <f t="shared" si="45"/>
        <v>Lot 01</v>
      </c>
      <c r="H1083" s="20">
        <f>IFERROR(INDEX('[2]PRICELIST, 908u'!$G$7:$AX$914,MATCH($B1083,'[2]PRICELIST, 908u'!$G$7:$G$914,0),23),"NA")</f>
        <v>50</v>
      </c>
      <c r="I1083" s="20">
        <f>IFERROR(INDEX('[2]PRICELIST, 908u'!$G$7:$AX$914,MATCH($B1083,'[2]PRICELIST, 908u'!$G$7:$G$914,0),22),"NA")</f>
        <v>88</v>
      </c>
      <c r="J1083" s="20" t="s">
        <v>207</v>
      </c>
      <c r="K1083" s="20" t="str">
        <f>IFERROR(INDEX('[2]PRICELIST, 908u'!$G$7:$AX$914,MATCH($B1083,'[2]PRICELIST, 908u'!$G$7:$G$914,0),30),"NA")</f>
        <v>Slant / YELLOW</v>
      </c>
      <c r="L1083" s="20">
        <f>IFERROR(INDEX('[2]PRICELIST, 908u'!$G$7:$AX$914,MATCH($B1083,'[2]PRICELIST, 908u'!$G$7:$G$914,0),40),"NA")</f>
        <v>2920000</v>
      </c>
      <c r="M1083" s="20">
        <f>IFERROR(INDEX('[2]PRICELIST, 908u'!$G$7:$AX$914,MATCH($B1083,'[2]PRICELIST, 908u'!$G$7:$G$914,0),41),"NA")</f>
        <v>100000</v>
      </c>
      <c r="N1083" s="58">
        <f t="shared" si="48"/>
        <v>2820000</v>
      </c>
      <c r="O1083" s="60"/>
      <c r="P1083" s="60">
        <f t="shared" si="47"/>
        <v>2820000</v>
      </c>
    </row>
    <row r="1084" spans="2:16">
      <c r="B1084" s="20" t="s">
        <v>1235</v>
      </c>
      <c r="C1084" s="20" t="s">
        <v>2</v>
      </c>
      <c r="D1084" s="20" t="str">
        <f>IFERROR(INDEX('[2]PRICELIST, 908u'!$G$7:$AX$914,MATCH($B1084,'[2]PRICELIST, 908u'!$G$7:$G$914,0),18),"NA")</f>
        <v>2025 - Batch 4</v>
      </c>
      <c r="E1084" s="20" t="str">
        <f>IFERROR(INDEX([3]AGM!$D$21:$BL$928,MATCH($B1084,[3]AGM!$AD$21:$AD$928,0),1),"NA")</f>
        <v>OS</v>
      </c>
      <c r="F1084" s="20" t="str">
        <f t="shared" si="46"/>
        <v>Block 10</v>
      </c>
      <c r="G1084" s="20" t="str">
        <f t="shared" si="45"/>
        <v>Lot 02</v>
      </c>
      <c r="H1084" s="20">
        <f>IFERROR(INDEX('[2]PRICELIST, 908u'!$G$7:$AX$914,MATCH($B1084,'[2]PRICELIST, 908u'!$G$7:$G$914,0),23),"NA")</f>
        <v>50</v>
      </c>
      <c r="I1084" s="20">
        <f>IFERROR(INDEX('[2]PRICELIST, 908u'!$G$7:$AX$914,MATCH($B1084,'[2]PRICELIST, 908u'!$G$7:$G$914,0),22),"NA")</f>
        <v>70</v>
      </c>
      <c r="J1084" s="20" t="s">
        <v>207</v>
      </c>
      <c r="K1084" s="20" t="str">
        <f>IFERROR(INDEX('[2]PRICELIST, 908u'!$G$7:$AX$914,MATCH($B1084,'[2]PRICELIST, 908u'!$G$7:$G$914,0),30),"NA")</f>
        <v>Flat / YELLOW</v>
      </c>
      <c r="L1084" s="20">
        <f>IFERROR(INDEX('[2]PRICELIST, 908u'!$G$7:$AX$914,MATCH($B1084,'[2]PRICELIST, 908u'!$G$7:$G$914,0),40),"NA")</f>
        <v>2650000</v>
      </c>
      <c r="M1084" s="20">
        <f>IFERROR(INDEX('[2]PRICELIST, 908u'!$G$7:$AX$914,MATCH($B1084,'[2]PRICELIST, 908u'!$G$7:$G$914,0),41),"NA")</f>
        <v>100000</v>
      </c>
      <c r="N1084" s="58">
        <f t="shared" si="48"/>
        <v>2550000</v>
      </c>
      <c r="O1084" s="60"/>
      <c r="P1084" s="60">
        <f t="shared" si="47"/>
        <v>2550000</v>
      </c>
    </row>
    <row r="1085" spans="2:16">
      <c r="B1085" s="20" t="s">
        <v>1236</v>
      </c>
      <c r="C1085" s="20" t="s">
        <v>2</v>
      </c>
      <c r="D1085" s="20" t="str">
        <f>IFERROR(INDEX('[2]PRICELIST, 908u'!$G$7:$AX$914,MATCH($B1085,'[2]PRICELIST, 908u'!$G$7:$G$914,0),18),"NA")</f>
        <v>2025 - Batch 4</v>
      </c>
      <c r="E1085" s="20" t="str">
        <f>IFERROR(INDEX([3]AGM!$D$21:$BL$928,MATCH($B1085,[3]AGM!$AD$21:$AD$928,0),1),"NA")</f>
        <v>OS</v>
      </c>
      <c r="F1085" s="20" t="str">
        <f t="shared" si="46"/>
        <v>Block 10</v>
      </c>
      <c r="G1085" s="20" t="str">
        <f t="shared" si="45"/>
        <v>Lot 03</v>
      </c>
      <c r="H1085" s="20">
        <f>IFERROR(INDEX('[2]PRICELIST, 908u'!$G$7:$AX$914,MATCH($B1085,'[2]PRICELIST, 908u'!$G$7:$G$914,0),23),"NA")</f>
        <v>50</v>
      </c>
      <c r="I1085" s="20">
        <f>IFERROR(INDEX('[2]PRICELIST, 908u'!$G$7:$AX$914,MATCH($B1085,'[2]PRICELIST, 908u'!$G$7:$G$914,0),22),"NA")</f>
        <v>70</v>
      </c>
      <c r="J1085" s="20" t="s">
        <v>207</v>
      </c>
      <c r="K1085" s="20" t="str">
        <f>IFERROR(INDEX('[2]PRICELIST, 908u'!$G$7:$AX$914,MATCH($B1085,'[2]PRICELIST, 908u'!$G$7:$G$914,0),30),"NA")</f>
        <v>Flat / YELLOW</v>
      </c>
      <c r="L1085" s="20">
        <f>IFERROR(INDEX('[2]PRICELIST, 908u'!$G$7:$AX$914,MATCH($B1085,'[2]PRICELIST, 908u'!$G$7:$G$914,0),40),"NA")</f>
        <v>2650000</v>
      </c>
      <c r="M1085" s="20">
        <f>IFERROR(INDEX('[2]PRICELIST, 908u'!$G$7:$AX$914,MATCH($B1085,'[2]PRICELIST, 908u'!$G$7:$G$914,0),41),"NA")</f>
        <v>100000</v>
      </c>
      <c r="N1085" s="58">
        <f t="shared" si="48"/>
        <v>2550000</v>
      </c>
      <c r="O1085" s="60"/>
      <c r="P1085" s="60">
        <f t="shared" si="47"/>
        <v>2550000</v>
      </c>
    </row>
    <row r="1086" spans="2:16">
      <c r="B1086" s="20" t="s">
        <v>1237</v>
      </c>
      <c r="C1086" s="20" t="s">
        <v>2</v>
      </c>
      <c r="D1086" s="20" t="str">
        <f>IFERROR(INDEX('[2]PRICELIST, 908u'!$G$7:$AX$914,MATCH($B1086,'[2]PRICELIST, 908u'!$G$7:$G$914,0),18),"NA")</f>
        <v>2025 - Batch 4</v>
      </c>
      <c r="E1086" s="20" t="str">
        <f>IFERROR(INDEX([3]AGM!$D$21:$BL$928,MATCH($B1086,[3]AGM!$AD$21:$AD$928,0),1),"NA")</f>
        <v>OS</v>
      </c>
      <c r="F1086" s="20" t="str">
        <f t="shared" si="46"/>
        <v>Block 10</v>
      </c>
      <c r="G1086" s="20" t="str">
        <f t="shared" si="45"/>
        <v>Lot 04</v>
      </c>
      <c r="H1086" s="20">
        <f>IFERROR(INDEX('[2]PRICELIST, 908u'!$G$7:$AX$914,MATCH($B1086,'[2]PRICELIST, 908u'!$G$7:$G$914,0),23),"NA")</f>
        <v>50</v>
      </c>
      <c r="I1086" s="20">
        <f>IFERROR(INDEX('[2]PRICELIST, 908u'!$G$7:$AX$914,MATCH($B1086,'[2]PRICELIST, 908u'!$G$7:$G$914,0),22),"NA")</f>
        <v>70</v>
      </c>
      <c r="J1086" s="20" t="s">
        <v>207</v>
      </c>
      <c r="K1086" s="20" t="str">
        <f>IFERROR(INDEX('[2]PRICELIST, 908u'!$G$7:$AX$914,MATCH($B1086,'[2]PRICELIST, 908u'!$G$7:$G$914,0),30),"NA")</f>
        <v>Slant / YELLOW</v>
      </c>
      <c r="L1086" s="20">
        <f>IFERROR(INDEX('[2]PRICELIST, 908u'!$G$7:$AX$914,MATCH($B1086,'[2]PRICELIST, 908u'!$G$7:$G$914,0),40),"NA")</f>
        <v>2650000</v>
      </c>
      <c r="M1086" s="20">
        <f>IFERROR(INDEX('[2]PRICELIST, 908u'!$G$7:$AX$914,MATCH($B1086,'[2]PRICELIST, 908u'!$G$7:$G$914,0),41),"NA")</f>
        <v>100000</v>
      </c>
      <c r="N1086" s="58">
        <f t="shared" si="48"/>
        <v>2550000</v>
      </c>
      <c r="O1086" s="60"/>
      <c r="P1086" s="60">
        <f t="shared" si="47"/>
        <v>2550000</v>
      </c>
    </row>
    <row r="1087" spans="2:16">
      <c r="B1087" s="20" t="s">
        <v>1238</v>
      </c>
      <c r="C1087" s="20" t="s">
        <v>2</v>
      </c>
      <c r="D1087" s="20" t="str">
        <f>IFERROR(INDEX('[2]PRICELIST, 908u'!$G$7:$AX$914,MATCH($B1087,'[2]PRICELIST, 908u'!$G$7:$G$914,0),18),"NA")</f>
        <v>2025 - Batch 5</v>
      </c>
      <c r="E1087" s="20" t="str">
        <f>IFERROR(INDEX([3]AGM!$D$21:$BL$928,MATCH($B1087,[3]AGM!$AD$21:$AD$928,0),1),"NA")</f>
        <v>OS</v>
      </c>
      <c r="F1087" s="20" t="str">
        <f t="shared" si="46"/>
        <v>Block 10</v>
      </c>
      <c r="G1087" s="20" t="str">
        <f t="shared" si="45"/>
        <v>Lot 05</v>
      </c>
      <c r="H1087" s="20">
        <f>IFERROR(INDEX('[2]PRICELIST, 908u'!$G$7:$AX$914,MATCH($B1087,'[2]PRICELIST, 908u'!$G$7:$G$914,0),23),"NA")</f>
        <v>50</v>
      </c>
      <c r="I1087" s="20">
        <f>IFERROR(INDEX('[2]PRICELIST, 908u'!$G$7:$AX$914,MATCH($B1087,'[2]PRICELIST, 908u'!$G$7:$G$914,0),22),"NA")</f>
        <v>70</v>
      </c>
      <c r="J1087" s="20" t="s">
        <v>207</v>
      </c>
      <c r="K1087" s="20" t="str">
        <f>IFERROR(INDEX('[2]PRICELIST, 908u'!$G$7:$AX$914,MATCH($B1087,'[2]PRICELIST, 908u'!$G$7:$G$914,0),30),"NA")</f>
        <v>Slant / PINK</v>
      </c>
      <c r="L1087" s="20">
        <f>IFERROR(INDEX('[2]PRICELIST, 908u'!$G$7:$AX$914,MATCH($B1087,'[2]PRICELIST, 908u'!$G$7:$G$914,0),40),"NA")</f>
        <v>2650000</v>
      </c>
      <c r="M1087" s="20">
        <f>IFERROR(INDEX('[2]PRICELIST, 908u'!$G$7:$AX$914,MATCH($B1087,'[2]PRICELIST, 908u'!$G$7:$G$914,0),41),"NA")</f>
        <v>100000</v>
      </c>
      <c r="N1087" s="58">
        <f t="shared" si="48"/>
        <v>2550000</v>
      </c>
      <c r="O1087" s="60"/>
      <c r="P1087" s="60">
        <f t="shared" si="47"/>
        <v>2550000</v>
      </c>
    </row>
    <row r="1088" spans="2:16">
      <c r="B1088" s="20" t="s">
        <v>1239</v>
      </c>
      <c r="C1088" s="20" t="s">
        <v>2</v>
      </c>
      <c r="D1088" s="20" t="str">
        <f>IFERROR(INDEX('[2]PRICELIST, 908u'!$G$7:$AX$914,MATCH($B1088,'[2]PRICELIST, 908u'!$G$7:$G$914,0),18),"NA")</f>
        <v>2025 - Batch 5</v>
      </c>
      <c r="E1088" s="20" t="str">
        <f>IFERROR(INDEX([3]AGM!$D$21:$BL$928,MATCH($B1088,[3]AGM!$AD$21:$AD$928,0),1),"NA")</f>
        <v>OS</v>
      </c>
      <c r="F1088" s="20" t="str">
        <f t="shared" si="46"/>
        <v>Block 10</v>
      </c>
      <c r="G1088" s="20" t="str">
        <f t="shared" si="45"/>
        <v>Lot 06</v>
      </c>
      <c r="H1088" s="20">
        <f>IFERROR(INDEX('[2]PRICELIST, 908u'!$G$7:$AX$914,MATCH($B1088,'[2]PRICELIST, 908u'!$G$7:$G$914,0),23),"NA")</f>
        <v>50</v>
      </c>
      <c r="I1088" s="20">
        <f>IFERROR(INDEX('[2]PRICELIST, 908u'!$G$7:$AX$914,MATCH($B1088,'[2]PRICELIST, 908u'!$G$7:$G$914,0),22),"NA")</f>
        <v>70</v>
      </c>
      <c r="J1088" s="20" t="s">
        <v>207</v>
      </c>
      <c r="K1088" s="20" t="str">
        <f>IFERROR(INDEX('[2]PRICELIST, 908u'!$G$7:$AX$914,MATCH($B1088,'[2]PRICELIST, 908u'!$G$7:$G$914,0),30),"NA")</f>
        <v>Flat / PINK</v>
      </c>
      <c r="L1088" s="20">
        <f>IFERROR(INDEX('[2]PRICELIST, 908u'!$G$7:$AX$914,MATCH($B1088,'[2]PRICELIST, 908u'!$G$7:$G$914,0),40),"NA")</f>
        <v>2650000</v>
      </c>
      <c r="M1088" s="20">
        <f>IFERROR(INDEX('[2]PRICELIST, 908u'!$G$7:$AX$914,MATCH($B1088,'[2]PRICELIST, 908u'!$G$7:$G$914,0),41),"NA")</f>
        <v>100000</v>
      </c>
      <c r="N1088" s="58">
        <f t="shared" si="48"/>
        <v>2550000</v>
      </c>
      <c r="O1088" s="60"/>
      <c r="P1088" s="60">
        <f t="shared" si="47"/>
        <v>2550000</v>
      </c>
    </row>
    <row r="1089" spans="2:16">
      <c r="B1089" s="20" t="s">
        <v>1240</v>
      </c>
      <c r="C1089" s="20" t="s">
        <v>2</v>
      </c>
      <c r="D1089" s="20" t="str">
        <f>IFERROR(INDEX('[2]PRICELIST, 908u'!$G$7:$AX$914,MATCH($B1089,'[2]PRICELIST, 908u'!$G$7:$G$914,0),18),"NA")</f>
        <v>2025 - Batch 5</v>
      </c>
      <c r="E1089" s="20" t="str">
        <f>IFERROR(INDEX([3]AGM!$D$21:$BL$928,MATCH($B1089,[3]AGM!$AD$21:$AD$928,0),1),"NA")</f>
        <v>OS</v>
      </c>
      <c r="F1089" s="20" t="str">
        <f t="shared" si="46"/>
        <v>Block 10</v>
      </c>
      <c r="G1089" s="20" t="str">
        <f t="shared" si="45"/>
        <v>Lot 07</v>
      </c>
      <c r="H1089" s="20">
        <f>IFERROR(INDEX('[2]PRICELIST, 908u'!$G$7:$AX$914,MATCH($B1089,'[2]PRICELIST, 908u'!$G$7:$G$914,0),23),"NA")</f>
        <v>50</v>
      </c>
      <c r="I1089" s="20">
        <f>IFERROR(INDEX('[2]PRICELIST, 908u'!$G$7:$AX$914,MATCH($B1089,'[2]PRICELIST, 908u'!$G$7:$G$914,0),22),"NA")</f>
        <v>70</v>
      </c>
      <c r="J1089" s="20" t="s">
        <v>207</v>
      </c>
      <c r="K1089" s="20" t="str">
        <f>IFERROR(INDEX('[2]PRICELIST, 908u'!$G$7:$AX$914,MATCH($B1089,'[2]PRICELIST, 908u'!$G$7:$G$914,0),30),"NA")</f>
        <v>Flat / PINK</v>
      </c>
      <c r="L1089" s="20">
        <f>IFERROR(INDEX('[2]PRICELIST, 908u'!$G$7:$AX$914,MATCH($B1089,'[2]PRICELIST, 908u'!$G$7:$G$914,0),40),"NA")</f>
        <v>2650000</v>
      </c>
      <c r="M1089" s="20">
        <f>IFERROR(INDEX('[2]PRICELIST, 908u'!$G$7:$AX$914,MATCH($B1089,'[2]PRICELIST, 908u'!$G$7:$G$914,0),41),"NA")</f>
        <v>100000</v>
      </c>
      <c r="N1089" s="58">
        <f t="shared" si="48"/>
        <v>2550000</v>
      </c>
      <c r="O1089" s="60"/>
      <c r="P1089" s="60">
        <f t="shared" si="47"/>
        <v>2550000</v>
      </c>
    </row>
    <row r="1090" spans="2:16">
      <c r="B1090" s="20" t="s">
        <v>1241</v>
      </c>
      <c r="C1090" s="20" t="s">
        <v>2</v>
      </c>
      <c r="D1090" s="20" t="str">
        <f>IFERROR(INDEX('[2]PRICELIST, 908u'!$G$7:$AX$914,MATCH($B1090,'[2]PRICELIST, 908u'!$G$7:$G$914,0),18),"NA")</f>
        <v>2025 - Batch 5</v>
      </c>
      <c r="E1090" s="20" t="str">
        <f>IFERROR(INDEX([3]AGM!$D$21:$BL$928,MATCH($B1090,[3]AGM!$AD$21:$AD$928,0),1),"NA")</f>
        <v>OS</v>
      </c>
      <c r="F1090" s="20" t="str">
        <f t="shared" si="46"/>
        <v>Block 10</v>
      </c>
      <c r="G1090" s="20" t="str">
        <f t="shared" si="45"/>
        <v>Lot 08</v>
      </c>
      <c r="H1090" s="20">
        <f>IFERROR(INDEX('[2]PRICELIST, 908u'!$G$7:$AX$914,MATCH($B1090,'[2]PRICELIST, 908u'!$G$7:$G$914,0),23),"NA")</f>
        <v>50</v>
      </c>
      <c r="I1090" s="20">
        <f>IFERROR(INDEX('[2]PRICELIST, 908u'!$G$7:$AX$914,MATCH($B1090,'[2]PRICELIST, 908u'!$G$7:$G$914,0),22),"NA")</f>
        <v>90</v>
      </c>
      <c r="J1090" s="20" t="s">
        <v>207</v>
      </c>
      <c r="K1090" s="20" t="str">
        <f>IFERROR(INDEX('[2]PRICELIST, 908u'!$G$7:$AX$914,MATCH($B1090,'[2]PRICELIST, 908u'!$G$7:$G$914,0),30),"NA")</f>
        <v>Slant / PINK</v>
      </c>
      <c r="L1090" s="20">
        <f>IFERROR(INDEX('[2]PRICELIST, 908u'!$G$7:$AX$914,MATCH($B1090,'[2]PRICELIST, 908u'!$G$7:$G$914,0),40),"NA")</f>
        <v>2950000</v>
      </c>
      <c r="M1090" s="20">
        <f>IFERROR(INDEX('[2]PRICELIST, 908u'!$G$7:$AX$914,MATCH($B1090,'[2]PRICELIST, 908u'!$G$7:$G$914,0),41),"NA")</f>
        <v>100000</v>
      </c>
      <c r="N1090" s="58">
        <f t="shared" si="48"/>
        <v>2850000</v>
      </c>
      <c r="O1090" s="60"/>
      <c r="P1090" s="60">
        <f t="shared" si="47"/>
        <v>2850000</v>
      </c>
    </row>
    <row r="1091" spans="2:16">
      <c r="B1091" s="20" t="s">
        <v>1242</v>
      </c>
      <c r="C1091" s="20" t="s">
        <v>2</v>
      </c>
      <c r="D1091" s="20" t="str">
        <f>IFERROR(INDEX('[2]PRICELIST, 908u'!$G$7:$AX$914,MATCH($B1091,'[2]PRICELIST, 908u'!$G$7:$G$914,0),18),"NA")</f>
        <v>2025 - Batch 5</v>
      </c>
      <c r="E1091" s="20" t="str">
        <f>IFERROR(INDEX([3]AGM!$D$21:$BL$928,MATCH($B1091,[3]AGM!$AD$21:$AD$928,0),1),"NA")</f>
        <v>OS</v>
      </c>
      <c r="F1091" s="20" t="str">
        <f t="shared" si="46"/>
        <v>Block 10</v>
      </c>
      <c r="G1091" s="20" t="str">
        <f t="shared" si="45"/>
        <v>Lot 09</v>
      </c>
      <c r="H1091" s="20">
        <f>IFERROR(INDEX('[2]PRICELIST, 908u'!$G$7:$AX$914,MATCH($B1091,'[2]PRICELIST, 908u'!$G$7:$G$914,0),23),"NA")</f>
        <v>50</v>
      </c>
      <c r="I1091" s="20">
        <f>IFERROR(INDEX('[2]PRICELIST, 908u'!$G$7:$AX$914,MATCH($B1091,'[2]PRICELIST, 908u'!$G$7:$G$914,0),22),"NA")</f>
        <v>90</v>
      </c>
      <c r="J1091" s="20" t="s">
        <v>207</v>
      </c>
      <c r="K1091" s="20" t="str">
        <f>IFERROR(INDEX('[2]PRICELIST, 908u'!$G$7:$AX$914,MATCH($B1091,'[2]PRICELIST, 908u'!$G$7:$G$914,0),30),"NA")</f>
        <v>Flat / GREEN</v>
      </c>
      <c r="L1091" s="20">
        <f>IFERROR(INDEX('[2]PRICELIST, 908u'!$G$7:$AX$914,MATCH($B1091,'[2]PRICELIST, 908u'!$G$7:$G$914,0),40),"NA")</f>
        <v>2950000</v>
      </c>
      <c r="M1091" s="20">
        <f>IFERROR(INDEX('[2]PRICELIST, 908u'!$G$7:$AX$914,MATCH($B1091,'[2]PRICELIST, 908u'!$G$7:$G$914,0),41),"NA")</f>
        <v>100000</v>
      </c>
      <c r="N1091" s="58">
        <f t="shared" si="48"/>
        <v>2850000</v>
      </c>
      <c r="O1091" s="60"/>
      <c r="P1091" s="60">
        <f t="shared" si="47"/>
        <v>2850000</v>
      </c>
    </row>
    <row r="1092" spans="2:16">
      <c r="B1092" s="20" t="s">
        <v>1243</v>
      </c>
      <c r="C1092" s="20" t="s">
        <v>2</v>
      </c>
      <c r="D1092" s="20" t="str">
        <f>IFERROR(INDEX('[2]PRICELIST, 908u'!$G$7:$AX$914,MATCH($B1092,'[2]PRICELIST, 908u'!$G$7:$G$914,0),18),"NA")</f>
        <v>2025 - Batch 5</v>
      </c>
      <c r="E1092" s="20" t="str">
        <f>IFERROR(INDEX([3]AGM!$D$21:$BL$928,MATCH($B1092,[3]AGM!$AD$21:$AD$928,0),1),"NA")</f>
        <v>OS</v>
      </c>
      <c r="F1092" s="20" t="str">
        <f t="shared" si="46"/>
        <v>Block 10</v>
      </c>
      <c r="G1092" s="20" t="str">
        <f t="shared" si="45"/>
        <v>Lot 10</v>
      </c>
      <c r="H1092" s="20">
        <f>IFERROR(INDEX('[2]PRICELIST, 908u'!$G$7:$AX$914,MATCH($B1092,'[2]PRICELIST, 908u'!$G$7:$G$914,0),23),"NA")</f>
        <v>50</v>
      </c>
      <c r="I1092" s="20">
        <f>IFERROR(INDEX('[2]PRICELIST, 908u'!$G$7:$AX$914,MATCH($B1092,'[2]PRICELIST, 908u'!$G$7:$G$914,0),22),"NA")</f>
        <v>70</v>
      </c>
      <c r="J1092" s="20" t="s">
        <v>207</v>
      </c>
      <c r="K1092" s="20" t="str">
        <f>IFERROR(INDEX('[2]PRICELIST, 908u'!$G$7:$AX$914,MATCH($B1092,'[2]PRICELIST, 908u'!$G$7:$G$914,0),30),"NA")</f>
        <v>Slant / GREEN</v>
      </c>
      <c r="L1092" s="20">
        <f>IFERROR(INDEX('[2]PRICELIST, 908u'!$G$7:$AX$914,MATCH($B1092,'[2]PRICELIST, 908u'!$G$7:$G$914,0),40),"NA")</f>
        <v>2650000</v>
      </c>
      <c r="M1092" s="20">
        <f>IFERROR(INDEX('[2]PRICELIST, 908u'!$G$7:$AX$914,MATCH($B1092,'[2]PRICELIST, 908u'!$G$7:$G$914,0),41),"NA")</f>
        <v>100000</v>
      </c>
      <c r="N1092" s="58">
        <f t="shared" si="48"/>
        <v>2550000</v>
      </c>
      <c r="O1092" s="60"/>
      <c r="P1092" s="60">
        <f t="shared" si="47"/>
        <v>2550000</v>
      </c>
    </row>
    <row r="1093" spans="2:16">
      <c r="B1093" s="20" t="s">
        <v>1244</v>
      </c>
      <c r="C1093" s="20" t="s">
        <v>2</v>
      </c>
      <c r="D1093" s="20" t="str">
        <f>IFERROR(INDEX('[2]PRICELIST, 908u'!$G$7:$AX$914,MATCH($B1093,'[2]PRICELIST, 908u'!$G$7:$G$914,0),18),"NA")</f>
        <v>2025 - Batch 5</v>
      </c>
      <c r="E1093" s="20" t="str">
        <f>IFERROR(INDEX([3]AGM!$D$21:$BL$928,MATCH($B1093,[3]AGM!$AD$21:$AD$928,0),1),"NA")</f>
        <v>OS</v>
      </c>
      <c r="F1093" s="20" t="str">
        <f t="shared" si="46"/>
        <v>Block 10</v>
      </c>
      <c r="G1093" s="20" t="str">
        <f t="shared" si="45"/>
        <v>Lot 11</v>
      </c>
      <c r="H1093" s="20">
        <f>IFERROR(INDEX('[2]PRICELIST, 908u'!$G$7:$AX$914,MATCH($B1093,'[2]PRICELIST, 908u'!$G$7:$G$914,0),23),"NA")</f>
        <v>50</v>
      </c>
      <c r="I1093" s="20">
        <f>IFERROR(INDEX('[2]PRICELIST, 908u'!$G$7:$AX$914,MATCH($B1093,'[2]PRICELIST, 908u'!$G$7:$G$914,0),22),"NA")</f>
        <v>70</v>
      </c>
      <c r="J1093" s="20" t="s">
        <v>207</v>
      </c>
      <c r="K1093" s="20" t="str">
        <f>IFERROR(INDEX('[2]PRICELIST, 908u'!$G$7:$AX$914,MATCH($B1093,'[2]PRICELIST, 908u'!$G$7:$G$914,0),30),"NA")</f>
        <v>Slant / GREEN</v>
      </c>
      <c r="L1093" s="20">
        <f>IFERROR(INDEX('[2]PRICELIST, 908u'!$G$7:$AX$914,MATCH($B1093,'[2]PRICELIST, 908u'!$G$7:$G$914,0),40),"NA")</f>
        <v>2650000</v>
      </c>
      <c r="M1093" s="20">
        <f>IFERROR(INDEX('[2]PRICELIST, 908u'!$G$7:$AX$914,MATCH($B1093,'[2]PRICELIST, 908u'!$G$7:$G$914,0),41),"NA")</f>
        <v>100000</v>
      </c>
      <c r="N1093" s="58">
        <f t="shared" si="48"/>
        <v>2550000</v>
      </c>
      <c r="O1093" s="60"/>
      <c r="P1093" s="60">
        <f t="shared" si="47"/>
        <v>2550000</v>
      </c>
    </row>
    <row r="1094" spans="2:16">
      <c r="B1094" s="20" t="s">
        <v>1245</v>
      </c>
      <c r="C1094" s="20" t="s">
        <v>2</v>
      </c>
      <c r="D1094" s="20" t="str">
        <f>IFERROR(INDEX('[2]PRICELIST, 908u'!$G$7:$AX$914,MATCH($B1094,'[2]PRICELIST, 908u'!$G$7:$G$914,0),18),"NA")</f>
        <v>2025 - Batch 5</v>
      </c>
      <c r="E1094" s="20" t="str">
        <f>IFERROR(INDEX([3]AGM!$D$21:$BL$928,MATCH($B1094,[3]AGM!$AD$21:$AD$928,0),1),"NA")</f>
        <v>OS</v>
      </c>
      <c r="F1094" s="20" t="str">
        <f t="shared" si="46"/>
        <v>Block 10</v>
      </c>
      <c r="G1094" s="20" t="str">
        <f t="shared" si="45"/>
        <v>Lot 12</v>
      </c>
      <c r="H1094" s="20">
        <f>IFERROR(INDEX('[2]PRICELIST, 908u'!$G$7:$AX$914,MATCH($B1094,'[2]PRICELIST, 908u'!$G$7:$G$914,0),23),"NA")</f>
        <v>50</v>
      </c>
      <c r="I1094" s="20">
        <f>IFERROR(INDEX('[2]PRICELIST, 908u'!$G$7:$AX$914,MATCH($B1094,'[2]PRICELIST, 908u'!$G$7:$G$914,0),22),"NA")</f>
        <v>70</v>
      </c>
      <c r="J1094" s="20" t="s">
        <v>207</v>
      </c>
      <c r="K1094" s="20" t="str">
        <f>IFERROR(INDEX('[2]PRICELIST, 908u'!$G$7:$AX$914,MATCH($B1094,'[2]PRICELIST, 908u'!$G$7:$G$914,0),30),"NA")</f>
        <v>Flat / GREEN</v>
      </c>
      <c r="L1094" s="20">
        <f>IFERROR(INDEX('[2]PRICELIST, 908u'!$G$7:$AX$914,MATCH($B1094,'[2]PRICELIST, 908u'!$G$7:$G$914,0),40),"NA")</f>
        <v>2650000</v>
      </c>
      <c r="M1094" s="20">
        <f>IFERROR(INDEX('[2]PRICELIST, 908u'!$G$7:$AX$914,MATCH($B1094,'[2]PRICELIST, 908u'!$G$7:$G$914,0),41),"NA")</f>
        <v>100000</v>
      </c>
      <c r="N1094" s="58">
        <f t="shared" si="48"/>
        <v>2550000</v>
      </c>
      <c r="O1094" s="60"/>
      <c r="P1094" s="60">
        <f t="shared" si="47"/>
        <v>2550000</v>
      </c>
    </row>
    <row r="1095" spans="2:16">
      <c r="B1095" s="20" t="s">
        <v>1246</v>
      </c>
      <c r="C1095" s="20" t="s">
        <v>2</v>
      </c>
      <c r="D1095" s="20" t="str">
        <f>IFERROR(INDEX('[2]PRICELIST, 908u'!$G$7:$AX$914,MATCH($B1095,'[2]PRICELIST, 908u'!$G$7:$G$914,0),18),"NA")</f>
        <v>2025 - Batch 5</v>
      </c>
      <c r="E1095" s="20" t="str">
        <f>IFERROR(INDEX([3]AGM!$D$21:$BL$928,MATCH($B1095,[3]AGM!$AD$21:$AD$928,0),1),"NA")</f>
        <v>OS</v>
      </c>
      <c r="F1095" s="20" t="str">
        <f t="shared" si="46"/>
        <v>Block 10</v>
      </c>
      <c r="G1095" s="20" t="str">
        <f t="shared" si="45"/>
        <v>Lot 13</v>
      </c>
      <c r="H1095" s="20">
        <f>IFERROR(INDEX('[2]PRICELIST, 908u'!$G$7:$AX$914,MATCH($B1095,'[2]PRICELIST, 908u'!$G$7:$G$914,0),23),"NA")</f>
        <v>50</v>
      </c>
      <c r="I1095" s="20">
        <f>IFERROR(INDEX('[2]PRICELIST, 908u'!$G$7:$AX$914,MATCH($B1095,'[2]PRICELIST, 908u'!$G$7:$G$914,0),22),"NA")</f>
        <v>70</v>
      </c>
      <c r="J1095" s="20" t="s">
        <v>207</v>
      </c>
      <c r="K1095" s="20" t="str">
        <f>IFERROR(INDEX('[2]PRICELIST, 908u'!$G$7:$AX$914,MATCH($B1095,'[2]PRICELIST, 908u'!$G$7:$G$914,0),30),"NA")</f>
        <v>Slant / YELLOW</v>
      </c>
      <c r="L1095" s="20">
        <f>IFERROR(INDEX('[2]PRICELIST, 908u'!$G$7:$AX$914,MATCH($B1095,'[2]PRICELIST, 908u'!$G$7:$G$914,0),40),"NA")</f>
        <v>2650000</v>
      </c>
      <c r="M1095" s="20">
        <f>IFERROR(INDEX('[2]PRICELIST, 908u'!$G$7:$AX$914,MATCH($B1095,'[2]PRICELIST, 908u'!$G$7:$G$914,0),41),"NA")</f>
        <v>100000</v>
      </c>
      <c r="N1095" s="58">
        <f t="shared" si="48"/>
        <v>2550000</v>
      </c>
      <c r="O1095" s="60"/>
      <c r="P1095" s="60">
        <f t="shared" si="47"/>
        <v>2550000</v>
      </c>
    </row>
    <row r="1096" spans="2:16">
      <c r="B1096" s="20" t="s">
        <v>1247</v>
      </c>
      <c r="C1096" s="20" t="s">
        <v>2</v>
      </c>
      <c r="D1096" s="20" t="str">
        <f>IFERROR(INDEX('[2]PRICELIST, 908u'!$G$7:$AX$914,MATCH($B1096,'[2]PRICELIST, 908u'!$G$7:$G$914,0),18),"NA")</f>
        <v>2025 - Batch 5</v>
      </c>
      <c r="E1096" s="20" t="str">
        <f>IFERROR(INDEX([3]AGM!$D$21:$BL$928,MATCH($B1096,[3]AGM!$AD$21:$AD$928,0),1),"NA")</f>
        <v>OS</v>
      </c>
      <c r="F1096" s="20" t="str">
        <f t="shared" si="46"/>
        <v>Block 10</v>
      </c>
      <c r="G1096" s="20" t="str">
        <f t="shared" si="45"/>
        <v>Lot 14</v>
      </c>
      <c r="H1096" s="20">
        <f>IFERROR(INDEX('[2]PRICELIST, 908u'!$G$7:$AX$914,MATCH($B1096,'[2]PRICELIST, 908u'!$G$7:$G$914,0),23),"NA")</f>
        <v>50</v>
      </c>
      <c r="I1096" s="20">
        <f>IFERROR(INDEX('[2]PRICELIST, 908u'!$G$7:$AX$914,MATCH($B1096,'[2]PRICELIST, 908u'!$G$7:$G$914,0),22),"NA")</f>
        <v>70</v>
      </c>
      <c r="J1096" s="20" t="s">
        <v>207</v>
      </c>
      <c r="K1096" s="20" t="str">
        <f>IFERROR(INDEX('[2]PRICELIST, 908u'!$G$7:$AX$914,MATCH($B1096,'[2]PRICELIST, 908u'!$G$7:$G$914,0),30),"NA")</f>
        <v>Flat / YELLOW</v>
      </c>
      <c r="L1096" s="20">
        <f>IFERROR(INDEX('[2]PRICELIST, 908u'!$G$7:$AX$914,MATCH($B1096,'[2]PRICELIST, 908u'!$G$7:$G$914,0),40),"NA")</f>
        <v>2650000</v>
      </c>
      <c r="M1096" s="20">
        <f>IFERROR(INDEX('[2]PRICELIST, 908u'!$G$7:$AX$914,MATCH($B1096,'[2]PRICELIST, 908u'!$G$7:$G$914,0),41),"NA")</f>
        <v>100000</v>
      </c>
      <c r="N1096" s="58">
        <f t="shared" si="48"/>
        <v>2550000</v>
      </c>
      <c r="O1096" s="60"/>
      <c r="P1096" s="60">
        <f t="shared" si="47"/>
        <v>2550000</v>
      </c>
    </row>
    <row r="1097" spans="2:16">
      <c r="B1097" s="20" t="s">
        <v>1248</v>
      </c>
      <c r="C1097" s="20" t="s">
        <v>2</v>
      </c>
      <c r="D1097" s="20" t="str">
        <f>IFERROR(INDEX('[2]PRICELIST, 908u'!$G$7:$AX$914,MATCH($B1097,'[2]PRICELIST, 908u'!$G$7:$G$914,0),18),"NA")</f>
        <v>2025 - Batch 4</v>
      </c>
      <c r="E1097" s="20" t="str">
        <f>IFERROR(INDEX([3]AGM!$D$21:$BL$928,MATCH($B1097,[3]AGM!$AD$21:$AD$928,0),1),"NA")</f>
        <v>OS</v>
      </c>
      <c r="F1097" s="20" t="str">
        <f t="shared" si="46"/>
        <v>Block 10</v>
      </c>
      <c r="G1097" s="20" t="str">
        <f t="shared" si="45"/>
        <v>Lot 15</v>
      </c>
      <c r="H1097" s="20">
        <f>IFERROR(INDEX('[2]PRICELIST, 908u'!$G$7:$AX$914,MATCH($B1097,'[2]PRICELIST, 908u'!$G$7:$G$914,0),23),"NA")</f>
        <v>50</v>
      </c>
      <c r="I1097" s="20">
        <f>IFERROR(INDEX('[2]PRICELIST, 908u'!$G$7:$AX$914,MATCH($B1097,'[2]PRICELIST, 908u'!$G$7:$G$914,0),22),"NA")</f>
        <v>70</v>
      </c>
      <c r="J1097" s="20" t="s">
        <v>207</v>
      </c>
      <c r="K1097" s="20" t="str">
        <f>IFERROR(INDEX('[2]PRICELIST, 908u'!$G$7:$AX$914,MATCH($B1097,'[2]PRICELIST, 908u'!$G$7:$G$914,0),30),"NA")</f>
        <v>Flat / YELLOW</v>
      </c>
      <c r="L1097" s="20">
        <f>IFERROR(INDEX('[2]PRICELIST, 908u'!$G$7:$AX$914,MATCH($B1097,'[2]PRICELIST, 908u'!$G$7:$G$914,0),40),"NA")</f>
        <v>2650000</v>
      </c>
      <c r="M1097" s="20">
        <f>IFERROR(INDEX('[2]PRICELIST, 908u'!$G$7:$AX$914,MATCH($B1097,'[2]PRICELIST, 908u'!$G$7:$G$914,0),41),"NA")</f>
        <v>100000</v>
      </c>
      <c r="N1097" s="58">
        <f t="shared" si="48"/>
        <v>2550000</v>
      </c>
      <c r="O1097" s="60"/>
      <c r="P1097" s="60">
        <f t="shared" si="47"/>
        <v>2550000</v>
      </c>
    </row>
    <row r="1098" spans="2:16">
      <c r="B1098" s="20" t="s">
        <v>1249</v>
      </c>
      <c r="C1098" s="20" t="s">
        <v>2</v>
      </c>
      <c r="D1098" s="20" t="str">
        <f>IFERROR(INDEX('[2]PRICELIST, 908u'!$G$7:$AX$914,MATCH($B1098,'[2]PRICELIST, 908u'!$G$7:$G$914,0),18),"NA")</f>
        <v>2025 - Batch 4</v>
      </c>
      <c r="E1098" s="20" t="str">
        <f>IFERROR(INDEX([3]AGM!$D$21:$BL$928,MATCH($B1098,[3]AGM!$AD$21:$AD$928,0),1),"NA")</f>
        <v>OS</v>
      </c>
      <c r="F1098" s="20" t="str">
        <f t="shared" si="46"/>
        <v>Block 10</v>
      </c>
      <c r="G1098" s="20" t="str">
        <f t="shared" si="45"/>
        <v>Lot 16</v>
      </c>
      <c r="H1098" s="20">
        <f>IFERROR(INDEX('[2]PRICELIST, 908u'!$G$7:$AX$914,MATCH($B1098,'[2]PRICELIST, 908u'!$G$7:$G$914,0),23),"NA")</f>
        <v>50</v>
      </c>
      <c r="I1098" s="20">
        <f>IFERROR(INDEX('[2]PRICELIST, 908u'!$G$7:$AX$914,MATCH($B1098,'[2]PRICELIST, 908u'!$G$7:$G$914,0),22),"NA")</f>
        <v>90</v>
      </c>
      <c r="J1098" s="20" t="s">
        <v>207</v>
      </c>
      <c r="K1098" s="20" t="str">
        <f>IFERROR(INDEX('[2]PRICELIST, 908u'!$G$7:$AX$914,MATCH($B1098,'[2]PRICELIST, 908u'!$G$7:$G$914,0),30),"NA")</f>
        <v>Slant / YELLOW</v>
      </c>
      <c r="L1098" s="20">
        <f>IFERROR(INDEX('[2]PRICELIST, 908u'!$G$7:$AX$914,MATCH($B1098,'[2]PRICELIST, 908u'!$G$7:$G$914,0),40),"NA")</f>
        <v>2950000</v>
      </c>
      <c r="M1098" s="20">
        <f>IFERROR(INDEX('[2]PRICELIST, 908u'!$G$7:$AX$914,MATCH($B1098,'[2]PRICELIST, 908u'!$G$7:$G$914,0),41),"NA")</f>
        <v>100000</v>
      </c>
      <c r="N1098" s="58">
        <f t="shared" si="48"/>
        <v>2850000</v>
      </c>
      <c r="O1098" s="60"/>
      <c r="P1098" s="60">
        <f t="shared" si="47"/>
        <v>2850000</v>
      </c>
    </row>
    <row r="1099" spans="2:16">
      <c r="B1099" s="20" t="s">
        <v>1250</v>
      </c>
      <c r="C1099" s="20" t="s">
        <v>2</v>
      </c>
      <c r="D1099" s="20" t="str">
        <f>IFERROR(INDEX('[2]PRICELIST, 908u'!$G$7:$AX$914,MATCH($B1099,'[2]PRICELIST, 908u'!$G$7:$G$914,0),18),"NA")</f>
        <v>2025 - Batch 4</v>
      </c>
      <c r="E1099" s="20" t="str">
        <f>IFERROR(INDEX([3]AGM!$D$21:$BL$928,MATCH($B1099,[3]AGM!$AD$21:$AD$928,0),1),"NA")</f>
        <v>OS</v>
      </c>
      <c r="F1099" s="20" t="str">
        <f t="shared" si="46"/>
        <v>Block 11</v>
      </c>
      <c r="G1099" s="20" t="str">
        <f t="shared" si="45"/>
        <v>Lot 01</v>
      </c>
      <c r="H1099" s="20">
        <f>IFERROR(INDEX('[2]PRICELIST, 908u'!$G$7:$AX$914,MATCH($B1099,'[2]PRICELIST, 908u'!$G$7:$G$914,0),23),"NA")</f>
        <v>50</v>
      </c>
      <c r="I1099" s="20">
        <f>IFERROR(INDEX('[2]PRICELIST, 908u'!$G$7:$AX$914,MATCH($B1099,'[2]PRICELIST, 908u'!$G$7:$G$914,0),22),"NA")</f>
        <v>90</v>
      </c>
      <c r="J1099" s="20" t="s">
        <v>207</v>
      </c>
      <c r="K1099" s="20" t="str">
        <f>IFERROR(INDEX('[2]PRICELIST, 908u'!$G$7:$AX$914,MATCH($B1099,'[2]PRICELIST, 908u'!$G$7:$G$914,0),30),"NA")</f>
        <v>Slant / PINK</v>
      </c>
      <c r="L1099" s="20">
        <f>IFERROR(INDEX('[2]PRICELIST, 908u'!$G$7:$AX$914,MATCH($B1099,'[2]PRICELIST, 908u'!$G$7:$G$914,0),40),"NA")</f>
        <v>2950000</v>
      </c>
      <c r="M1099" s="20">
        <f>IFERROR(INDEX('[2]PRICELIST, 908u'!$G$7:$AX$914,MATCH($B1099,'[2]PRICELIST, 908u'!$G$7:$G$914,0),41),"NA")</f>
        <v>100000</v>
      </c>
      <c r="N1099" s="58">
        <f t="shared" si="48"/>
        <v>2850000</v>
      </c>
      <c r="O1099" s="60"/>
      <c r="P1099" s="60">
        <f t="shared" si="47"/>
        <v>2850000</v>
      </c>
    </row>
    <row r="1100" spans="2:16">
      <c r="B1100" s="20" t="s">
        <v>1251</v>
      </c>
      <c r="C1100" s="20" t="s">
        <v>2</v>
      </c>
      <c r="D1100" s="20" t="str">
        <f>IFERROR(INDEX('[2]PRICELIST, 908u'!$G$7:$AX$914,MATCH($B1100,'[2]PRICELIST, 908u'!$G$7:$G$914,0),18),"NA")</f>
        <v>2025 - Batch 4</v>
      </c>
      <c r="E1100" s="20" t="str">
        <f>IFERROR(INDEX([3]AGM!$D$21:$BL$928,MATCH($B1100,[3]AGM!$AD$21:$AD$928,0),1),"NA")</f>
        <v>OS</v>
      </c>
      <c r="F1100" s="20" t="str">
        <f t="shared" si="46"/>
        <v>Block 11</v>
      </c>
      <c r="G1100" s="20" t="str">
        <f t="shared" si="45"/>
        <v>Lot 02</v>
      </c>
      <c r="H1100" s="20">
        <f>IFERROR(INDEX('[2]PRICELIST, 908u'!$G$7:$AX$914,MATCH($B1100,'[2]PRICELIST, 908u'!$G$7:$G$914,0),23),"NA")</f>
        <v>50</v>
      </c>
      <c r="I1100" s="20">
        <f>IFERROR(INDEX('[2]PRICELIST, 908u'!$G$7:$AX$914,MATCH($B1100,'[2]PRICELIST, 908u'!$G$7:$G$914,0),22),"NA")</f>
        <v>70</v>
      </c>
      <c r="J1100" s="20" t="s">
        <v>207</v>
      </c>
      <c r="K1100" s="20" t="str">
        <f>IFERROR(INDEX('[2]PRICELIST, 908u'!$G$7:$AX$914,MATCH($B1100,'[2]PRICELIST, 908u'!$G$7:$G$914,0),30),"NA")</f>
        <v>Flat / PINK</v>
      </c>
      <c r="L1100" s="20">
        <f>IFERROR(INDEX('[2]PRICELIST, 908u'!$G$7:$AX$914,MATCH($B1100,'[2]PRICELIST, 908u'!$G$7:$G$914,0),40),"NA")</f>
        <v>2650000</v>
      </c>
      <c r="M1100" s="20">
        <f>IFERROR(INDEX('[2]PRICELIST, 908u'!$G$7:$AX$914,MATCH($B1100,'[2]PRICELIST, 908u'!$G$7:$G$914,0),41),"NA")</f>
        <v>100000</v>
      </c>
      <c r="N1100" s="58">
        <f t="shared" si="48"/>
        <v>2550000</v>
      </c>
      <c r="O1100" s="60"/>
      <c r="P1100" s="60">
        <f t="shared" si="47"/>
        <v>2550000</v>
      </c>
    </row>
    <row r="1101" spans="2:16">
      <c r="B1101" s="20" t="s">
        <v>1252</v>
      </c>
      <c r="C1101" s="20" t="s">
        <v>2</v>
      </c>
      <c r="D1101" s="20" t="str">
        <f>IFERROR(INDEX('[2]PRICELIST, 908u'!$G$7:$AX$914,MATCH($B1101,'[2]PRICELIST, 908u'!$G$7:$G$914,0),18),"NA")</f>
        <v>2025 - Batch 4</v>
      </c>
      <c r="E1101" s="20" t="str">
        <f>IFERROR(INDEX([3]AGM!$D$21:$BL$928,MATCH($B1101,[3]AGM!$AD$21:$AD$928,0),1),"NA")</f>
        <v>OS</v>
      </c>
      <c r="F1101" s="20" t="str">
        <f t="shared" si="46"/>
        <v>Block 11</v>
      </c>
      <c r="G1101" s="20" t="str">
        <f t="shared" si="45"/>
        <v>Lot 03</v>
      </c>
      <c r="H1101" s="20">
        <f>IFERROR(INDEX('[2]PRICELIST, 908u'!$G$7:$AX$914,MATCH($B1101,'[2]PRICELIST, 908u'!$G$7:$G$914,0),23),"NA")</f>
        <v>50</v>
      </c>
      <c r="I1101" s="20">
        <f>IFERROR(INDEX('[2]PRICELIST, 908u'!$G$7:$AX$914,MATCH($B1101,'[2]PRICELIST, 908u'!$G$7:$G$914,0),22),"NA")</f>
        <v>70</v>
      </c>
      <c r="J1101" s="20" t="s">
        <v>207</v>
      </c>
      <c r="K1101" s="20" t="str">
        <f>IFERROR(INDEX('[2]PRICELIST, 908u'!$G$7:$AX$914,MATCH($B1101,'[2]PRICELIST, 908u'!$G$7:$G$914,0),30),"NA")</f>
        <v>Flat / PINK</v>
      </c>
      <c r="L1101" s="20">
        <f>IFERROR(INDEX('[2]PRICELIST, 908u'!$G$7:$AX$914,MATCH($B1101,'[2]PRICELIST, 908u'!$G$7:$G$914,0),40),"NA")</f>
        <v>2650000</v>
      </c>
      <c r="M1101" s="20">
        <f>IFERROR(INDEX('[2]PRICELIST, 908u'!$G$7:$AX$914,MATCH($B1101,'[2]PRICELIST, 908u'!$G$7:$G$914,0),41),"NA")</f>
        <v>100000</v>
      </c>
      <c r="N1101" s="58">
        <f t="shared" si="48"/>
        <v>2550000</v>
      </c>
      <c r="O1101" s="60"/>
      <c r="P1101" s="60">
        <f t="shared" si="47"/>
        <v>2550000</v>
      </c>
    </row>
    <row r="1102" spans="2:16">
      <c r="B1102" s="20" t="s">
        <v>1253</v>
      </c>
      <c r="C1102" s="20" t="s">
        <v>2</v>
      </c>
      <c r="D1102" s="20" t="str">
        <f>IFERROR(INDEX('[2]PRICELIST, 908u'!$G$7:$AX$914,MATCH($B1102,'[2]PRICELIST, 908u'!$G$7:$G$914,0),18),"NA")</f>
        <v>2025 - Batch 4</v>
      </c>
      <c r="E1102" s="20" t="str">
        <f>IFERROR(INDEX([3]AGM!$D$21:$BL$928,MATCH($B1102,[3]AGM!$AD$21:$AD$928,0),1),"NA")</f>
        <v>OS</v>
      </c>
      <c r="F1102" s="20" t="str">
        <f t="shared" si="46"/>
        <v>Block 11</v>
      </c>
      <c r="G1102" s="20" t="str">
        <f t="shared" si="45"/>
        <v>Lot 04</v>
      </c>
      <c r="H1102" s="20">
        <f>IFERROR(INDEX('[2]PRICELIST, 908u'!$G$7:$AX$914,MATCH($B1102,'[2]PRICELIST, 908u'!$G$7:$G$914,0),23),"NA")</f>
        <v>50</v>
      </c>
      <c r="I1102" s="20">
        <f>IFERROR(INDEX('[2]PRICELIST, 908u'!$G$7:$AX$914,MATCH($B1102,'[2]PRICELIST, 908u'!$G$7:$G$914,0),22),"NA")</f>
        <v>70</v>
      </c>
      <c r="J1102" s="20" t="s">
        <v>207</v>
      </c>
      <c r="K1102" s="20" t="str">
        <f>IFERROR(INDEX('[2]PRICELIST, 908u'!$G$7:$AX$914,MATCH($B1102,'[2]PRICELIST, 908u'!$G$7:$G$914,0),30),"NA")</f>
        <v>Slant / PINK</v>
      </c>
      <c r="L1102" s="20">
        <f>IFERROR(INDEX('[2]PRICELIST, 908u'!$G$7:$AX$914,MATCH($B1102,'[2]PRICELIST, 908u'!$G$7:$G$914,0),40),"NA")</f>
        <v>2650000</v>
      </c>
      <c r="M1102" s="20">
        <f>IFERROR(INDEX('[2]PRICELIST, 908u'!$G$7:$AX$914,MATCH($B1102,'[2]PRICELIST, 908u'!$G$7:$G$914,0),41),"NA")</f>
        <v>100000</v>
      </c>
      <c r="N1102" s="58">
        <f t="shared" si="48"/>
        <v>2550000</v>
      </c>
      <c r="O1102" s="60"/>
      <c r="P1102" s="60">
        <f t="shared" si="47"/>
        <v>2550000</v>
      </c>
    </row>
    <row r="1103" spans="2:16">
      <c r="B1103" s="20" t="s">
        <v>1254</v>
      </c>
      <c r="C1103" s="20" t="s">
        <v>2</v>
      </c>
      <c r="D1103" s="20" t="str">
        <f>IFERROR(INDEX('[2]PRICELIST, 908u'!$G$7:$AX$914,MATCH($B1103,'[2]PRICELIST, 908u'!$G$7:$G$914,0),18),"NA")</f>
        <v>2025 - Batch 4</v>
      </c>
      <c r="E1103" s="20" t="str">
        <f>IFERROR(INDEX([3]AGM!$D$21:$BL$928,MATCH($B1103,[3]AGM!$AD$21:$AD$928,0),1),"NA")</f>
        <v>OS</v>
      </c>
      <c r="F1103" s="20" t="str">
        <f t="shared" si="46"/>
        <v>Block 11</v>
      </c>
      <c r="G1103" s="20" t="str">
        <f t="shared" si="45"/>
        <v>Lot 05</v>
      </c>
      <c r="H1103" s="20">
        <f>IFERROR(INDEX('[2]PRICELIST, 908u'!$G$7:$AX$914,MATCH($B1103,'[2]PRICELIST, 908u'!$G$7:$G$914,0),23),"NA")</f>
        <v>50</v>
      </c>
      <c r="I1103" s="20">
        <f>IFERROR(INDEX('[2]PRICELIST, 908u'!$G$7:$AX$914,MATCH($B1103,'[2]PRICELIST, 908u'!$G$7:$G$914,0),22),"NA")</f>
        <v>70</v>
      </c>
      <c r="J1103" s="20" t="s">
        <v>207</v>
      </c>
      <c r="K1103" s="20" t="str">
        <f>IFERROR(INDEX('[2]PRICELIST, 908u'!$G$7:$AX$914,MATCH($B1103,'[2]PRICELIST, 908u'!$G$7:$G$914,0),30),"NA")</f>
        <v>Slant / YELLOW</v>
      </c>
      <c r="L1103" s="20">
        <f>IFERROR(INDEX('[2]PRICELIST, 908u'!$G$7:$AX$914,MATCH($B1103,'[2]PRICELIST, 908u'!$G$7:$G$914,0),40),"NA")</f>
        <v>2650000</v>
      </c>
      <c r="M1103" s="20">
        <f>IFERROR(INDEX('[2]PRICELIST, 908u'!$G$7:$AX$914,MATCH($B1103,'[2]PRICELIST, 908u'!$G$7:$G$914,0),41),"NA")</f>
        <v>100000</v>
      </c>
      <c r="N1103" s="58">
        <f t="shared" si="48"/>
        <v>2550000</v>
      </c>
      <c r="O1103" s="60"/>
      <c r="P1103" s="60">
        <f t="shared" si="47"/>
        <v>2550000</v>
      </c>
    </row>
    <row r="1104" spans="2:16">
      <c r="B1104" s="20" t="s">
        <v>1255</v>
      </c>
      <c r="C1104" s="20" t="s">
        <v>2</v>
      </c>
      <c r="D1104" s="20" t="str">
        <f>IFERROR(INDEX('[2]PRICELIST, 908u'!$G$7:$AX$914,MATCH($B1104,'[2]PRICELIST, 908u'!$G$7:$G$914,0),18),"NA")</f>
        <v>2025 - Batch 4</v>
      </c>
      <c r="E1104" s="20" t="str">
        <f>IFERROR(INDEX([3]AGM!$D$21:$BL$928,MATCH($B1104,[3]AGM!$AD$21:$AD$928,0),1),"NA")</f>
        <v>OS</v>
      </c>
      <c r="F1104" s="20" t="str">
        <f t="shared" si="46"/>
        <v>Block 11</v>
      </c>
      <c r="G1104" s="20" t="str">
        <f t="shared" si="45"/>
        <v>Lot 06</v>
      </c>
      <c r="H1104" s="20">
        <f>IFERROR(INDEX('[2]PRICELIST, 908u'!$G$7:$AX$914,MATCH($B1104,'[2]PRICELIST, 908u'!$G$7:$G$914,0),23),"NA")</f>
        <v>50</v>
      </c>
      <c r="I1104" s="20">
        <f>IFERROR(INDEX('[2]PRICELIST, 908u'!$G$7:$AX$914,MATCH($B1104,'[2]PRICELIST, 908u'!$G$7:$G$914,0),22),"NA")</f>
        <v>70</v>
      </c>
      <c r="J1104" s="20" t="s">
        <v>207</v>
      </c>
      <c r="K1104" s="20" t="str">
        <f>IFERROR(INDEX('[2]PRICELIST, 908u'!$G$7:$AX$914,MATCH($B1104,'[2]PRICELIST, 908u'!$G$7:$G$914,0),30),"NA")</f>
        <v>Flat / YELLOW</v>
      </c>
      <c r="L1104" s="20">
        <f>IFERROR(INDEX('[2]PRICELIST, 908u'!$G$7:$AX$914,MATCH($B1104,'[2]PRICELIST, 908u'!$G$7:$G$914,0),40),"NA")</f>
        <v>2650000</v>
      </c>
      <c r="M1104" s="20">
        <f>IFERROR(INDEX('[2]PRICELIST, 908u'!$G$7:$AX$914,MATCH($B1104,'[2]PRICELIST, 908u'!$G$7:$G$914,0),41),"NA")</f>
        <v>100000</v>
      </c>
      <c r="N1104" s="58">
        <f t="shared" si="48"/>
        <v>2550000</v>
      </c>
      <c r="O1104" s="60"/>
      <c r="P1104" s="60">
        <f t="shared" si="47"/>
        <v>2550000</v>
      </c>
    </row>
    <row r="1105" spans="2:16">
      <c r="B1105" s="20" t="s">
        <v>1256</v>
      </c>
      <c r="C1105" s="20" t="s">
        <v>2</v>
      </c>
      <c r="D1105" s="20" t="str">
        <f>IFERROR(INDEX('[2]PRICELIST, 908u'!$G$7:$AX$914,MATCH($B1105,'[2]PRICELIST, 908u'!$G$7:$G$914,0),18),"NA")</f>
        <v>2025 - Batch 4</v>
      </c>
      <c r="E1105" s="20" t="str">
        <f>IFERROR(INDEX([3]AGM!$D$21:$BL$928,MATCH($B1105,[3]AGM!$AD$21:$AD$928,0),1),"NA")</f>
        <v>OS</v>
      </c>
      <c r="F1105" s="20" t="str">
        <f t="shared" si="46"/>
        <v>Block 11</v>
      </c>
      <c r="G1105" s="20" t="str">
        <f t="shared" si="45"/>
        <v>Lot 07</v>
      </c>
      <c r="H1105" s="20">
        <f>IFERROR(INDEX('[2]PRICELIST, 908u'!$G$7:$AX$914,MATCH($B1105,'[2]PRICELIST, 908u'!$G$7:$G$914,0),23),"NA")</f>
        <v>50</v>
      </c>
      <c r="I1105" s="20">
        <f>IFERROR(INDEX('[2]PRICELIST, 908u'!$G$7:$AX$914,MATCH($B1105,'[2]PRICELIST, 908u'!$G$7:$G$914,0),22),"NA")</f>
        <v>70</v>
      </c>
      <c r="J1105" s="20" t="s">
        <v>207</v>
      </c>
      <c r="K1105" s="20" t="str">
        <f>IFERROR(INDEX('[2]PRICELIST, 908u'!$G$7:$AX$914,MATCH($B1105,'[2]PRICELIST, 908u'!$G$7:$G$914,0),30),"NA")</f>
        <v>Flat / YELLOW</v>
      </c>
      <c r="L1105" s="20">
        <f>IFERROR(INDEX('[2]PRICELIST, 908u'!$G$7:$AX$914,MATCH($B1105,'[2]PRICELIST, 908u'!$G$7:$G$914,0),40),"NA")</f>
        <v>2650000</v>
      </c>
      <c r="M1105" s="20">
        <f>IFERROR(INDEX('[2]PRICELIST, 908u'!$G$7:$AX$914,MATCH($B1105,'[2]PRICELIST, 908u'!$G$7:$G$914,0),41),"NA")</f>
        <v>100000</v>
      </c>
      <c r="N1105" s="58">
        <f t="shared" si="48"/>
        <v>2550000</v>
      </c>
      <c r="O1105" s="60"/>
      <c r="P1105" s="60">
        <f t="shared" si="47"/>
        <v>2550000</v>
      </c>
    </row>
    <row r="1106" spans="2:16">
      <c r="B1106" s="20" t="s">
        <v>1257</v>
      </c>
      <c r="C1106" s="20" t="s">
        <v>2</v>
      </c>
      <c r="D1106" s="20" t="str">
        <f>IFERROR(INDEX('[2]PRICELIST, 908u'!$G$7:$AX$914,MATCH($B1106,'[2]PRICELIST, 908u'!$G$7:$G$914,0),18),"NA")</f>
        <v>2025 - Batch 4</v>
      </c>
      <c r="E1106" s="20" t="str">
        <f>IFERROR(INDEX([3]AGM!$D$21:$BL$928,MATCH($B1106,[3]AGM!$AD$21:$AD$928,0),1),"NA")</f>
        <v>OS</v>
      </c>
      <c r="F1106" s="20" t="str">
        <f t="shared" si="46"/>
        <v>Block 11</v>
      </c>
      <c r="G1106" s="20" t="str">
        <f t="shared" si="45"/>
        <v>Lot 08</v>
      </c>
      <c r="H1106" s="20">
        <f>IFERROR(INDEX('[2]PRICELIST, 908u'!$G$7:$AX$914,MATCH($B1106,'[2]PRICELIST, 908u'!$G$7:$G$914,0),23),"NA")</f>
        <v>50</v>
      </c>
      <c r="I1106" s="20">
        <f>IFERROR(INDEX('[2]PRICELIST, 908u'!$G$7:$AX$914,MATCH($B1106,'[2]PRICELIST, 908u'!$G$7:$G$914,0),22),"NA")</f>
        <v>90</v>
      </c>
      <c r="J1106" s="20" t="s">
        <v>207</v>
      </c>
      <c r="K1106" s="20" t="str">
        <f>IFERROR(INDEX('[2]PRICELIST, 908u'!$G$7:$AX$914,MATCH($B1106,'[2]PRICELIST, 908u'!$G$7:$G$914,0),30),"NA")</f>
        <v>Slant / YELLOW</v>
      </c>
      <c r="L1106" s="20">
        <f>IFERROR(INDEX('[2]PRICELIST, 908u'!$G$7:$AX$914,MATCH($B1106,'[2]PRICELIST, 908u'!$G$7:$G$914,0),40),"NA")</f>
        <v>2950000</v>
      </c>
      <c r="M1106" s="20">
        <f>IFERROR(INDEX('[2]PRICELIST, 908u'!$G$7:$AX$914,MATCH($B1106,'[2]PRICELIST, 908u'!$G$7:$G$914,0),41),"NA")</f>
        <v>100000</v>
      </c>
      <c r="N1106" s="58">
        <f t="shared" si="48"/>
        <v>2850000</v>
      </c>
      <c r="O1106" s="60"/>
      <c r="P1106" s="60">
        <f t="shared" si="47"/>
        <v>2850000</v>
      </c>
    </row>
    <row r="1107" spans="2:16">
      <c r="B1107" s="20" t="s">
        <v>1258</v>
      </c>
      <c r="C1107" s="20" t="s">
        <v>2</v>
      </c>
      <c r="D1107" s="20" t="str">
        <f>IFERROR(INDEX('[2]PRICELIST, 908u'!$G$7:$AX$914,MATCH($B1107,'[2]PRICELIST, 908u'!$G$7:$G$914,0),18),"NA")</f>
        <v>2025 - Batch 4</v>
      </c>
      <c r="E1107" s="20" t="str">
        <f>IFERROR(INDEX([3]AGM!$D$21:$BL$928,MATCH($B1107,[3]AGM!$AD$21:$AD$928,0),1),"NA")</f>
        <v>OS</v>
      </c>
      <c r="F1107" s="20" t="str">
        <f t="shared" si="46"/>
        <v>Block 11</v>
      </c>
      <c r="G1107" s="20" t="str">
        <f t="shared" si="45"/>
        <v>Lot 09</v>
      </c>
      <c r="H1107" s="20">
        <f>IFERROR(INDEX('[2]PRICELIST, 908u'!$G$7:$AX$914,MATCH($B1107,'[2]PRICELIST, 908u'!$G$7:$G$914,0),23),"NA")</f>
        <v>50</v>
      </c>
      <c r="I1107" s="20">
        <f>IFERROR(INDEX('[2]PRICELIST, 908u'!$G$7:$AX$914,MATCH($B1107,'[2]PRICELIST, 908u'!$G$7:$G$914,0),22),"NA")</f>
        <v>90</v>
      </c>
      <c r="J1107" s="20" t="s">
        <v>207</v>
      </c>
      <c r="K1107" s="20" t="str">
        <f>IFERROR(INDEX('[2]PRICELIST, 908u'!$G$7:$AX$914,MATCH($B1107,'[2]PRICELIST, 908u'!$G$7:$G$914,0),30),"NA")</f>
        <v>Flat / PURPLE</v>
      </c>
      <c r="L1107" s="20">
        <f>IFERROR(INDEX('[2]PRICELIST, 908u'!$G$7:$AX$914,MATCH($B1107,'[2]PRICELIST, 908u'!$G$7:$G$914,0),40),"NA")</f>
        <v>2950000</v>
      </c>
      <c r="M1107" s="20">
        <f>IFERROR(INDEX('[2]PRICELIST, 908u'!$G$7:$AX$914,MATCH($B1107,'[2]PRICELIST, 908u'!$G$7:$G$914,0),41),"NA")</f>
        <v>100000</v>
      </c>
      <c r="N1107" s="58">
        <f t="shared" si="48"/>
        <v>2850000</v>
      </c>
      <c r="O1107" s="60"/>
      <c r="P1107" s="60">
        <f t="shared" si="47"/>
        <v>2850000</v>
      </c>
    </row>
    <row r="1108" spans="2:16">
      <c r="B1108" s="22" t="s">
        <v>1259</v>
      </c>
      <c r="C1108" s="20" t="s">
        <v>2</v>
      </c>
      <c r="D1108" s="20" t="str">
        <f>IFERROR(INDEX('[2]PRICELIST, 908u'!$G$7:$AX$914,MATCH($B1108,'[2]PRICELIST, 908u'!$G$7:$G$914,0),18),"NA")</f>
        <v>2025 - Batch 4</v>
      </c>
      <c r="E1108" s="20" t="str">
        <f>IFERROR(INDEX([3]AGM!$D$21:$BL$928,MATCH($B1108,[3]AGM!$AD$21:$AD$928,0),1),"NA")</f>
        <v>OS</v>
      </c>
      <c r="F1108" s="20" t="str">
        <f t="shared" si="46"/>
        <v>Block 11</v>
      </c>
      <c r="G1108" s="20" t="str">
        <f t="shared" si="45"/>
        <v>Lot 10</v>
      </c>
      <c r="H1108" s="20">
        <f>IFERROR(INDEX('[2]PRICELIST, 908u'!$G$7:$AX$914,MATCH($B1108,'[2]PRICELIST, 908u'!$G$7:$G$914,0),23),"NA")</f>
        <v>50</v>
      </c>
      <c r="I1108" s="20">
        <f>IFERROR(INDEX('[2]PRICELIST, 908u'!$G$7:$AX$914,MATCH($B1108,'[2]PRICELIST, 908u'!$G$7:$G$914,0),22),"NA")</f>
        <v>70</v>
      </c>
      <c r="J1108" s="20" t="s">
        <v>207</v>
      </c>
      <c r="K1108" s="20" t="str">
        <f>IFERROR(INDEX('[2]PRICELIST, 908u'!$G$7:$AX$914,MATCH($B1108,'[2]PRICELIST, 908u'!$G$7:$G$914,0),30),"NA")</f>
        <v>Slant / PURPLE</v>
      </c>
      <c r="L1108" s="20">
        <f>IFERROR(INDEX('[2]PRICELIST, 908u'!$G$7:$AX$914,MATCH($B1108,'[2]PRICELIST, 908u'!$G$7:$G$914,0),40),"NA")</f>
        <v>2650000</v>
      </c>
      <c r="M1108" s="20">
        <f>IFERROR(INDEX('[2]PRICELIST, 908u'!$G$7:$AX$914,MATCH($B1108,'[2]PRICELIST, 908u'!$G$7:$G$914,0),41),"NA")</f>
        <v>100000</v>
      </c>
      <c r="N1108" s="58">
        <f t="shared" si="48"/>
        <v>2550000</v>
      </c>
      <c r="O1108" s="60"/>
      <c r="P1108" s="60">
        <f t="shared" si="47"/>
        <v>2550000</v>
      </c>
    </row>
    <row r="1109" spans="2:16">
      <c r="B1109" s="22" t="s">
        <v>1260</v>
      </c>
      <c r="C1109" s="20" t="s">
        <v>2</v>
      </c>
      <c r="D1109" s="20" t="str">
        <f>IFERROR(INDEX('[2]PRICELIST, 908u'!$G$7:$AX$914,MATCH($B1109,'[2]PRICELIST, 908u'!$G$7:$G$914,0),18),"NA")</f>
        <v>2025 - Batch 4</v>
      </c>
      <c r="E1109" s="20" t="str">
        <f>IFERROR(INDEX([3]AGM!$D$21:$BL$928,MATCH($B1109,[3]AGM!$AD$21:$AD$928,0),1),"NA")</f>
        <v>OS</v>
      </c>
      <c r="F1109" s="20" t="str">
        <f t="shared" si="46"/>
        <v>Block 11</v>
      </c>
      <c r="G1109" s="20" t="str">
        <f t="shared" si="45"/>
        <v>Lot 11</v>
      </c>
      <c r="H1109" s="20">
        <f>IFERROR(INDEX('[2]PRICELIST, 908u'!$G$7:$AX$914,MATCH($B1109,'[2]PRICELIST, 908u'!$G$7:$G$914,0),23),"NA")</f>
        <v>50</v>
      </c>
      <c r="I1109" s="20">
        <f>IFERROR(INDEX('[2]PRICELIST, 908u'!$G$7:$AX$914,MATCH($B1109,'[2]PRICELIST, 908u'!$G$7:$G$914,0),22),"NA")</f>
        <v>70</v>
      </c>
      <c r="J1109" s="20" t="s">
        <v>207</v>
      </c>
      <c r="K1109" s="20" t="str">
        <f>IFERROR(INDEX('[2]PRICELIST, 908u'!$G$7:$AX$914,MATCH($B1109,'[2]PRICELIST, 908u'!$G$7:$G$914,0),30),"NA")</f>
        <v>Slant / PURPLE</v>
      </c>
      <c r="L1109" s="20">
        <f>IFERROR(INDEX('[2]PRICELIST, 908u'!$G$7:$AX$914,MATCH($B1109,'[2]PRICELIST, 908u'!$G$7:$G$914,0),40),"NA")</f>
        <v>2650000</v>
      </c>
      <c r="M1109" s="20">
        <f>IFERROR(INDEX('[2]PRICELIST, 908u'!$G$7:$AX$914,MATCH($B1109,'[2]PRICELIST, 908u'!$G$7:$G$914,0),41),"NA")</f>
        <v>100000</v>
      </c>
      <c r="N1109" s="58">
        <f t="shared" si="48"/>
        <v>2550000</v>
      </c>
      <c r="O1109" s="60"/>
      <c r="P1109" s="60">
        <f t="shared" si="47"/>
        <v>2550000</v>
      </c>
    </row>
    <row r="1110" spans="2:16">
      <c r="B1110" s="22" t="s">
        <v>1261</v>
      </c>
      <c r="C1110" s="20" t="s">
        <v>2</v>
      </c>
      <c r="D1110" s="20" t="str">
        <f>IFERROR(INDEX('[2]PRICELIST, 908u'!$G$7:$AX$914,MATCH($B1110,'[2]PRICELIST, 908u'!$G$7:$G$914,0),18),"NA")</f>
        <v>2025 - Batch 4</v>
      </c>
      <c r="E1110" s="20" t="str">
        <f>IFERROR(INDEX([3]AGM!$D$21:$BL$928,MATCH($B1110,[3]AGM!$AD$21:$AD$928,0),1),"NA")</f>
        <v>OS</v>
      </c>
      <c r="F1110" s="20" t="str">
        <f t="shared" si="46"/>
        <v>Block 11</v>
      </c>
      <c r="G1110" s="20" t="str">
        <f t="shared" si="45"/>
        <v>Lot 12</v>
      </c>
      <c r="H1110" s="20">
        <f>IFERROR(INDEX('[2]PRICELIST, 908u'!$G$7:$AX$914,MATCH($B1110,'[2]PRICELIST, 908u'!$G$7:$G$914,0),23),"NA")</f>
        <v>50</v>
      </c>
      <c r="I1110" s="20">
        <f>IFERROR(INDEX('[2]PRICELIST, 908u'!$G$7:$AX$914,MATCH($B1110,'[2]PRICELIST, 908u'!$G$7:$G$914,0),22),"NA")</f>
        <v>70</v>
      </c>
      <c r="J1110" s="20" t="s">
        <v>207</v>
      </c>
      <c r="K1110" s="20" t="str">
        <f>IFERROR(INDEX('[2]PRICELIST, 908u'!$G$7:$AX$914,MATCH($B1110,'[2]PRICELIST, 908u'!$G$7:$G$914,0),30),"NA")</f>
        <v>Flat / PURPLE</v>
      </c>
      <c r="L1110" s="20">
        <f>IFERROR(INDEX('[2]PRICELIST, 908u'!$G$7:$AX$914,MATCH($B1110,'[2]PRICELIST, 908u'!$G$7:$G$914,0),40),"NA")</f>
        <v>2650000</v>
      </c>
      <c r="M1110" s="20">
        <f>IFERROR(INDEX('[2]PRICELIST, 908u'!$G$7:$AX$914,MATCH($B1110,'[2]PRICELIST, 908u'!$G$7:$G$914,0),41),"NA")</f>
        <v>100000</v>
      </c>
      <c r="N1110" s="58">
        <f t="shared" si="48"/>
        <v>2550000</v>
      </c>
      <c r="O1110" s="60"/>
      <c r="P1110" s="60">
        <f t="shared" si="47"/>
        <v>2550000</v>
      </c>
    </row>
    <row r="1111" spans="2:16">
      <c r="B1111" s="20" t="s">
        <v>1262</v>
      </c>
      <c r="C1111" s="20" t="s">
        <v>2</v>
      </c>
      <c r="D1111" s="20" t="str">
        <f>IFERROR(INDEX('[2]PRICELIST, 908u'!$G$7:$AX$914,MATCH($B1111,'[2]PRICELIST, 908u'!$G$7:$G$914,0),18),"NA")</f>
        <v>2025 - Batch 4</v>
      </c>
      <c r="E1111" s="20" t="str">
        <f>IFERROR(INDEX([3]AGM!$D$21:$BL$928,MATCH($B1111,[3]AGM!$AD$21:$AD$928,0),1),"NA")</f>
        <v>OS</v>
      </c>
      <c r="F1111" s="20" t="str">
        <f t="shared" si="46"/>
        <v>Block 11</v>
      </c>
      <c r="G1111" s="20" t="str">
        <f t="shared" si="45"/>
        <v>Lot 13</v>
      </c>
      <c r="H1111" s="20">
        <f>IFERROR(INDEX('[2]PRICELIST, 908u'!$G$7:$AX$914,MATCH($B1111,'[2]PRICELIST, 908u'!$G$7:$G$914,0),23),"NA")</f>
        <v>50</v>
      </c>
      <c r="I1111" s="20">
        <f>IFERROR(INDEX('[2]PRICELIST, 908u'!$G$7:$AX$914,MATCH($B1111,'[2]PRICELIST, 908u'!$G$7:$G$914,0),22),"NA")</f>
        <v>70</v>
      </c>
      <c r="J1111" s="20" t="s">
        <v>207</v>
      </c>
      <c r="K1111" s="20" t="str">
        <f>IFERROR(INDEX('[2]PRICELIST, 908u'!$G$7:$AX$914,MATCH($B1111,'[2]PRICELIST, 908u'!$G$7:$G$914,0),30),"NA")</f>
        <v>Flat / GREEN</v>
      </c>
      <c r="L1111" s="20">
        <f>IFERROR(INDEX('[2]PRICELIST, 908u'!$G$7:$AX$914,MATCH($B1111,'[2]PRICELIST, 908u'!$G$7:$G$914,0),40),"NA")</f>
        <v>2650000</v>
      </c>
      <c r="M1111" s="20">
        <f>IFERROR(INDEX('[2]PRICELIST, 908u'!$G$7:$AX$914,MATCH($B1111,'[2]PRICELIST, 908u'!$G$7:$G$914,0),41),"NA")</f>
        <v>100000</v>
      </c>
      <c r="N1111" s="58">
        <f t="shared" si="48"/>
        <v>2550000</v>
      </c>
      <c r="O1111" s="60"/>
      <c r="P1111" s="60">
        <f t="shared" si="47"/>
        <v>2550000</v>
      </c>
    </row>
    <row r="1112" spans="2:16">
      <c r="B1112" s="20" t="s">
        <v>1263</v>
      </c>
      <c r="C1112" s="20" t="s">
        <v>2</v>
      </c>
      <c r="D1112" s="20" t="str">
        <f>IFERROR(INDEX('[2]PRICELIST, 908u'!$G$7:$AX$914,MATCH($B1112,'[2]PRICELIST, 908u'!$G$7:$G$914,0),18),"NA")</f>
        <v>2025 - Batch 4</v>
      </c>
      <c r="E1112" s="20" t="str">
        <f>IFERROR(INDEX([3]AGM!$D$21:$BL$928,MATCH($B1112,[3]AGM!$AD$21:$AD$928,0),1),"NA")</f>
        <v>OS</v>
      </c>
      <c r="F1112" s="20" t="str">
        <f t="shared" si="46"/>
        <v>Block 11</v>
      </c>
      <c r="G1112" s="20" t="str">
        <f t="shared" ref="G1112:G1175" si="49">"Lot "&amp;TEXT(VALUE(RIGHT(B1112,3)),"00")</f>
        <v>Lot 14</v>
      </c>
      <c r="H1112" s="20">
        <f>IFERROR(INDEX('[2]PRICELIST, 908u'!$G$7:$AX$914,MATCH($B1112,'[2]PRICELIST, 908u'!$G$7:$G$914,0),23),"NA")</f>
        <v>50</v>
      </c>
      <c r="I1112" s="20">
        <f>IFERROR(INDEX('[2]PRICELIST, 908u'!$G$7:$AX$914,MATCH($B1112,'[2]PRICELIST, 908u'!$G$7:$G$914,0),22),"NA")</f>
        <v>70</v>
      </c>
      <c r="J1112" s="20" t="s">
        <v>207</v>
      </c>
      <c r="K1112" s="20" t="str">
        <f>IFERROR(INDEX('[2]PRICELIST, 908u'!$G$7:$AX$914,MATCH($B1112,'[2]PRICELIST, 908u'!$G$7:$G$914,0),30),"NA")</f>
        <v>Slant / GREEN</v>
      </c>
      <c r="L1112" s="20">
        <f>IFERROR(INDEX('[2]PRICELIST, 908u'!$G$7:$AX$914,MATCH($B1112,'[2]PRICELIST, 908u'!$G$7:$G$914,0),40),"NA")</f>
        <v>2650000</v>
      </c>
      <c r="M1112" s="20">
        <f>IFERROR(INDEX('[2]PRICELIST, 908u'!$G$7:$AX$914,MATCH($B1112,'[2]PRICELIST, 908u'!$G$7:$G$914,0),41),"NA")</f>
        <v>100000</v>
      </c>
      <c r="N1112" s="58">
        <f t="shared" si="48"/>
        <v>2550000</v>
      </c>
      <c r="O1112" s="60"/>
      <c r="P1112" s="60">
        <f t="shared" si="47"/>
        <v>2550000</v>
      </c>
    </row>
    <row r="1113" spans="2:16">
      <c r="B1113" s="20" t="s">
        <v>1264</v>
      </c>
      <c r="C1113" s="20" t="s">
        <v>2</v>
      </c>
      <c r="D1113" s="20" t="str">
        <f>IFERROR(INDEX('[2]PRICELIST, 908u'!$G$7:$AX$914,MATCH($B1113,'[2]PRICELIST, 908u'!$G$7:$G$914,0),18),"NA")</f>
        <v>2025 - Batch 4</v>
      </c>
      <c r="E1113" s="20" t="str">
        <f>IFERROR(INDEX([3]AGM!$D$21:$BL$928,MATCH($B1113,[3]AGM!$AD$21:$AD$928,0),1),"NA")</f>
        <v>OS</v>
      </c>
      <c r="F1113" s="20" t="str">
        <f t="shared" ref="F1113:F1176" si="50">"Block "&amp;TEXT(VALUE(MID(B1113,8,3)),"00")</f>
        <v>Block 11</v>
      </c>
      <c r="G1113" s="20" t="str">
        <f t="shared" si="49"/>
        <v>Lot 15</v>
      </c>
      <c r="H1113" s="20">
        <f>IFERROR(INDEX('[2]PRICELIST, 908u'!$G$7:$AX$914,MATCH($B1113,'[2]PRICELIST, 908u'!$G$7:$G$914,0),23),"NA")</f>
        <v>50</v>
      </c>
      <c r="I1113" s="20">
        <f>IFERROR(INDEX('[2]PRICELIST, 908u'!$G$7:$AX$914,MATCH($B1113,'[2]PRICELIST, 908u'!$G$7:$G$914,0),22),"NA")</f>
        <v>70</v>
      </c>
      <c r="J1113" s="20" t="s">
        <v>207</v>
      </c>
      <c r="K1113" s="20" t="str">
        <f>IFERROR(INDEX('[2]PRICELIST, 908u'!$G$7:$AX$914,MATCH($B1113,'[2]PRICELIST, 908u'!$G$7:$G$914,0),30),"NA")</f>
        <v>Slant / GREEN</v>
      </c>
      <c r="L1113" s="20">
        <f>IFERROR(INDEX('[2]PRICELIST, 908u'!$G$7:$AX$914,MATCH($B1113,'[2]PRICELIST, 908u'!$G$7:$G$914,0),40),"NA")</f>
        <v>2650000</v>
      </c>
      <c r="M1113" s="20">
        <f>IFERROR(INDEX('[2]PRICELIST, 908u'!$G$7:$AX$914,MATCH($B1113,'[2]PRICELIST, 908u'!$G$7:$G$914,0),41),"NA")</f>
        <v>100000</v>
      </c>
      <c r="N1113" s="58">
        <f t="shared" si="48"/>
        <v>2550000</v>
      </c>
      <c r="O1113" s="60"/>
      <c r="P1113" s="60">
        <f t="shared" ref="P1113:P1176" si="51">N1113-O1113</f>
        <v>2550000</v>
      </c>
    </row>
    <row r="1114" spans="2:16">
      <c r="B1114" s="20" t="s">
        <v>1265</v>
      </c>
      <c r="C1114" s="20" t="s">
        <v>2</v>
      </c>
      <c r="D1114" s="20" t="str">
        <f>IFERROR(INDEX('[2]PRICELIST, 908u'!$G$7:$AX$914,MATCH($B1114,'[2]PRICELIST, 908u'!$G$7:$G$914,0),18),"NA")</f>
        <v>2025 - Batch 4</v>
      </c>
      <c r="E1114" s="20" t="str">
        <f>IFERROR(INDEX([3]AGM!$D$21:$BL$928,MATCH($B1114,[3]AGM!$AD$21:$AD$928,0),1),"NA")</f>
        <v>OS</v>
      </c>
      <c r="F1114" s="20" t="str">
        <f t="shared" si="50"/>
        <v>Block 11</v>
      </c>
      <c r="G1114" s="20" t="str">
        <f t="shared" si="49"/>
        <v>Lot 16</v>
      </c>
      <c r="H1114" s="20">
        <f>IFERROR(INDEX('[2]PRICELIST, 908u'!$G$7:$AX$914,MATCH($B1114,'[2]PRICELIST, 908u'!$G$7:$G$914,0),23),"NA")</f>
        <v>50</v>
      </c>
      <c r="I1114" s="20">
        <f>IFERROR(INDEX('[2]PRICELIST, 908u'!$G$7:$AX$914,MATCH($B1114,'[2]PRICELIST, 908u'!$G$7:$G$914,0),22),"NA")</f>
        <v>90</v>
      </c>
      <c r="J1114" s="20" t="s">
        <v>207</v>
      </c>
      <c r="K1114" s="20" t="str">
        <f>IFERROR(INDEX('[2]PRICELIST, 908u'!$G$7:$AX$914,MATCH($B1114,'[2]PRICELIST, 908u'!$G$7:$G$914,0),30),"NA")</f>
        <v>Flat / GREEN</v>
      </c>
      <c r="L1114" s="20">
        <f>IFERROR(INDEX('[2]PRICELIST, 908u'!$G$7:$AX$914,MATCH($B1114,'[2]PRICELIST, 908u'!$G$7:$G$914,0),40),"NA")</f>
        <v>2950000</v>
      </c>
      <c r="M1114" s="20">
        <f>IFERROR(INDEX('[2]PRICELIST, 908u'!$G$7:$AX$914,MATCH($B1114,'[2]PRICELIST, 908u'!$G$7:$G$914,0),41),"NA")</f>
        <v>100000</v>
      </c>
      <c r="N1114" s="58">
        <f t="shared" ref="N1114:N1177" si="52">L1114-M1114</f>
        <v>2850000</v>
      </c>
      <c r="O1114" s="60"/>
      <c r="P1114" s="60">
        <f t="shared" si="51"/>
        <v>2850000</v>
      </c>
    </row>
    <row r="1115" spans="2:16">
      <c r="B1115" s="20" t="s">
        <v>1266</v>
      </c>
      <c r="C1115" s="20" t="s">
        <v>2</v>
      </c>
      <c r="D1115" s="20" t="str">
        <f>IFERROR(INDEX('[2]PRICELIST, 908u'!$G$7:$AX$914,MATCH($B1115,'[2]PRICELIST, 908u'!$G$7:$G$914,0),18),"NA")</f>
        <v>Lot Only - N/A</v>
      </c>
      <c r="E1115" s="20" t="str">
        <f>IFERROR(INDEX([3]AGM!$D$21:$BL$928,MATCH($B1115,[3]AGM!$AD$21:$AD$928,0),1),"NA")</f>
        <v>OS</v>
      </c>
      <c r="F1115" s="20" t="str">
        <f t="shared" si="50"/>
        <v>Block 12</v>
      </c>
      <c r="G1115" s="20" t="str">
        <f t="shared" si="49"/>
        <v>Lot 01</v>
      </c>
      <c r="H1115" s="20" t="str">
        <f>IFERROR(INDEX('[2]PRICELIST, 908u'!$G$7:$AX$914,MATCH($B1115,'[2]PRICELIST, 908u'!$G$7:$G$914,0),23),"NA")</f>
        <v>N/A</v>
      </c>
      <c r="I1115" s="20">
        <f>IFERROR(INDEX('[2]PRICELIST, 908u'!$G$7:$AX$914,MATCH($B1115,'[2]PRICELIST, 908u'!$G$7:$G$914,0),22),"NA")</f>
        <v>100</v>
      </c>
      <c r="J1115" s="20" t="s">
        <v>100</v>
      </c>
      <c r="K1115" s="37" t="s">
        <v>1025</v>
      </c>
      <c r="L1115" s="20">
        <f>IFERROR(INDEX('[2]PRICELIST, 908u'!$G$7:$AX$914,MATCH($B1115,'[2]PRICELIST, 908u'!$G$7:$G$914,0),40),"NA")</f>
        <v>1600000</v>
      </c>
      <c r="M1115" s="20">
        <f>IFERROR(INDEX('[2]PRICELIST, 908u'!$G$7:$AX$914,MATCH($B1115,'[2]PRICELIST, 908u'!$G$7:$G$914,0),41),"NA")</f>
        <v>100000</v>
      </c>
      <c r="N1115" s="58">
        <f t="shared" si="52"/>
        <v>1500000</v>
      </c>
      <c r="O1115" s="60"/>
      <c r="P1115" s="60">
        <f t="shared" si="51"/>
        <v>1500000</v>
      </c>
    </row>
    <row r="1116" spans="2:16">
      <c r="B1116" s="20" t="s">
        <v>1267</v>
      </c>
      <c r="C1116" s="20" t="s">
        <v>2</v>
      </c>
      <c r="D1116" s="20" t="str">
        <f>IFERROR(INDEX('[2]PRICELIST, 908u'!$G$7:$AX$914,MATCH($B1116,'[2]PRICELIST, 908u'!$G$7:$G$914,0),18),"NA")</f>
        <v>2025 - Batch 4</v>
      </c>
      <c r="E1116" s="20" t="str">
        <f>IFERROR(INDEX([3]AGM!$D$21:$BL$928,MATCH($B1116,[3]AGM!$AD$21:$AD$928,0),1),"NA")</f>
        <v>OS</v>
      </c>
      <c r="F1116" s="20" t="str">
        <f t="shared" si="50"/>
        <v>Block 12</v>
      </c>
      <c r="G1116" s="20" t="str">
        <f t="shared" si="49"/>
        <v>Lot 02</v>
      </c>
      <c r="H1116" s="20">
        <f>IFERROR(INDEX('[2]PRICELIST, 908u'!$G$7:$AX$914,MATCH($B1116,'[2]PRICELIST, 908u'!$G$7:$G$914,0),23),"NA")</f>
        <v>50</v>
      </c>
      <c r="I1116" s="20">
        <f>IFERROR(INDEX('[2]PRICELIST, 908u'!$G$7:$AX$914,MATCH($B1116,'[2]PRICELIST, 908u'!$G$7:$G$914,0),22),"NA")</f>
        <v>70</v>
      </c>
      <c r="J1116" s="20" t="s">
        <v>207</v>
      </c>
      <c r="K1116" s="20" t="str">
        <f>IFERROR(INDEX('[2]PRICELIST, 908u'!$G$7:$AX$914,MATCH($B1116,'[2]PRICELIST, 908u'!$G$7:$G$914,0),30),"NA")</f>
        <v>Slant / PINK</v>
      </c>
      <c r="L1116" s="20">
        <f>IFERROR(INDEX('[2]PRICELIST, 908u'!$G$7:$AX$914,MATCH($B1116,'[2]PRICELIST, 908u'!$G$7:$G$914,0),40),"NA")</f>
        <v>2650000</v>
      </c>
      <c r="M1116" s="20">
        <f>IFERROR(INDEX('[2]PRICELIST, 908u'!$G$7:$AX$914,MATCH($B1116,'[2]PRICELIST, 908u'!$G$7:$G$914,0),41),"NA")</f>
        <v>100000</v>
      </c>
      <c r="N1116" s="58">
        <f t="shared" si="52"/>
        <v>2550000</v>
      </c>
      <c r="O1116" s="60"/>
      <c r="P1116" s="60">
        <f t="shared" si="51"/>
        <v>2550000</v>
      </c>
    </row>
    <row r="1117" spans="2:16">
      <c r="B1117" s="20" t="s">
        <v>1268</v>
      </c>
      <c r="C1117" s="20" t="s">
        <v>2</v>
      </c>
      <c r="D1117" s="20" t="str">
        <f>IFERROR(INDEX('[2]PRICELIST, 908u'!$G$7:$AX$914,MATCH($B1117,'[2]PRICELIST, 908u'!$G$7:$G$914,0),18),"NA")</f>
        <v>2025 - Batch 4</v>
      </c>
      <c r="E1117" s="20" t="str">
        <f>IFERROR(INDEX([3]AGM!$D$21:$BL$928,MATCH($B1117,[3]AGM!$AD$21:$AD$928,0),1),"NA")</f>
        <v>OS</v>
      </c>
      <c r="F1117" s="20" t="str">
        <f t="shared" si="50"/>
        <v>Block 12</v>
      </c>
      <c r="G1117" s="20" t="str">
        <f t="shared" si="49"/>
        <v>Lot 03</v>
      </c>
      <c r="H1117" s="20">
        <f>IFERROR(INDEX('[2]PRICELIST, 908u'!$G$7:$AX$914,MATCH($B1117,'[2]PRICELIST, 908u'!$G$7:$G$914,0),23),"NA")</f>
        <v>50</v>
      </c>
      <c r="I1117" s="20">
        <f>IFERROR(INDEX('[2]PRICELIST, 908u'!$G$7:$AX$914,MATCH($B1117,'[2]PRICELIST, 908u'!$G$7:$G$914,0),22),"NA")</f>
        <v>70</v>
      </c>
      <c r="J1117" s="20" t="s">
        <v>207</v>
      </c>
      <c r="K1117" s="20" t="str">
        <f>IFERROR(INDEX('[2]PRICELIST, 908u'!$G$7:$AX$914,MATCH($B1117,'[2]PRICELIST, 908u'!$G$7:$G$914,0),30),"NA")</f>
        <v>Flat / PINK</v>
      </c>
      <c r="L1117" s="20">
        <f>IFERROR(INDEX('[2]PRICELIST, 908u'!$G$7:$AX$914,MATCH($B1117,'[2]PRICELIST, 908u'!$G$7:$G$914,0),40),"NA")</f>
        <v>2650000</v>
      </c>
      <c r="M1117" s="20">
        <f>IFERROR(INDEX('[2]PRICELIST, 908u'!$G$7:$AX$914,MATCH($B1117,'[2]PRICELIST, 908u'!$G$7:$G$914,0),41),"NA")</f>
        <v>100000</v>
      </c>
      <c r="N1117" s="58">
        <f t="shared" si="52"/>
        <v>2550000</v>
      </c>
      <c r="O1117" s="60"/>
      <c r="P1117" s="60">
        <f t="shared" si="51"/>
        <v>2550000</v>
      </c>
    </row>
    <row r="1118" spans="2:16">
      <c r="B1118" s="20" t="s">
        <v>1269</v>
      </c>
      <c r="C1118" s="20" t="s">
        <v>2</v>
      </c>
      <c r="D1118" s="20" t="str">
        <f>IFERROR(INDEX('[2]PRICELIST, 908u'!$G$7:$AX$914,MATCH($B1118,'[2]PRICELIST, 908u'!$G$7:$G$914,0),18),"NA")</f>
        <v>2025 - Batch 4</v>
      </c>
      <c r="E1118" s="20" t="str">
        <f>IFERROR(INDEX([3]AGM!$D$21:$BL$928,MATCH($B1118,[3]AGM!$AD$21:$AD$928,0),1),"NA")</f>
        <v>OS</v>
      </c>
      <c r="F1118" s="20" t="str">
        <f t="shared" si="50"/>
        <v>Block 12</v>
      </c>
      <c r="G1118" s="20" t="str">
        <f t="shared" si="49"/>
        <v>Lot 04</v>
      </c>
      <c r="H1118" s="20">
        <f>IFERROR(INDEX('[2]PRICELIST, 908u'!$G$7:$AX$914,MATCH($B1118,'[2]PRICELIST, 908u'!$G$7:$G$914,0),23),"NA")</f>
        <v>50</v>
      </c>
      <c r="I1118" s="20">
        <f>IFERROR(INDEX('[2]PRICELIST, 908u'!$G$7:$AX$914,MATCH($B1118,'[2]PRICELIST, 908u'!$G$7:$G$914,0),22),"NA")</f>
        <v>70</v>
      </c>
      <c r="J1118" s="20" t="s">
        <v>207</v>
      </c>
      <c r="K1118" s="20" t="str">
        <f>IFERROR(INDEX('[2]PRICELIST, 908u'!$G$7:$AX$914,MATCH($B1118,'[2]PRICELIST, 908u'!$G$7:$G$914,0),30),"NA")</f>
        <v>Flat / PINK</v>
      </c>
      <c r="L1118" s="20">
        <f>IFERROR(INDEX('[2]PRICELIST, 908u'!$G$7:$AX$914,MATCH($B1118,'[2]PRICELIST, 908u'!$G$7:$G$914,0),40),"NA")</f>
        <v>2650000</v>
      </c>
      <c r="M1118" s="20">
        <f>IFERROR(INDEX('[2]PRICELIST, 908u'!$G$7:$AX$914,MATCH($B1118,'[2]PRICELIST, 908u'!$G$7:$G$914,0),41),"NA")</f>
        <v>100000</v>
      </c>
      <c r="N1118" s="58">
        <f t="shared" si="52"/>
        <v>2550000</v>
      </c>
      <c r="O1118" s="60"/>
      <c r="P1118" s="60">
        <f t="shared" si="51"/>
        <v>2550000</v>
      </c>
    </row>
    <row r="1119" spans="2:16">
      <c r="B1119" s="20" t="s">
        <v>1270</v>
      </c>
      <c r="C1119" s="20" t="s">
        <v>2</v>
      </c>
      <c r="D1119" s="20" t="str">
        <f>IFERROR(INDEX('[2]PRICELIST, 908u'!$G$7:$AX$914,MATCH($B1119,'[2]PRICELIST, 908u'!$G$7:$G$914,0),18),"NA")</f>
        <v>2025 - Batch 4</v>
      </c>
      <c r="E1119" s="20" t="str">
        <f>IFERROR(INDEX([3]AGM!$D$21:$BL$928,MATCH($B1119,[3]AGM!$AD$21:$AD$928,0),1),"NA")</f>
        <v>OS</v>
      </c>
      <c r="F1119" s="20" t="str">
        <f t="shared" si="50"/>
        <v>Block 12</v>
      </c>
      <c r="G1119" s="20" t="str">
        <f t="shared" si="49"/>
        <v>Lot 05</v>
      </c>
      <c r="H1119" s="20">
        <f>IFERROR(INDEX('[2]PRICELIST, 908u'!$G$7:$AX$914,MATCH($B1119,'[2]PRICELIST, 908u'!$G$7:$G$914,0),23),"NA")</f>
        <v>50</v>
      </c>
      <c r="I1119" s="20">
        <f>IFERROR(INDEX('[2]PRICELIST, 908u'!$G$7:$AX$914,MATCH($B1119,'[2]PRICELIST, 908u'!$G$7:$G$914,0),22),"NA")</f>
        <v>70</v>
      </c>
      <c r="J1119" s="20" t="s">
        <v>207</v>
      </c>
      <c r="K1119" s="20" t="str">
        <f>IFERROR(INDEX('[2]PRICELIST, 908u'!$G$7:$AX$914,MATCH($B1119,'[2]PRICELIST, 908u'!$G$7:$G$914,0),30),"NA")</f>
        <v>Slant / PINK</v>
      </c>
      <c r="L1119" s="20">
        <f>IFERROR(INDEX('[2]PRICELIST, 908u'!$G$7:$AX$914,MATCH($B1119,'[2]PRICELIST, 908u'!$G$7:$G$914,0),40),"NA")</f>
        <v>2650000</v>
      </c>
      <c r="M1119" s="20">
        <f>IFERROR(INDEX('[2]PRICELIST, 908u'!$G$7:$AX$914,MATCH($B1119,'[2]PRICELIST, 908u'!$G$7:$G$914,0),41),"NA")</f>
        <v>100000</v>
      </c>
      <c r="N1119" s="58">
        <f t="shared" si="52"/>
        <v>2550000</v>
      </c>
      <c r="O1119" s="60"/>
      <c r="P1119" s="60">
        <f t="shared" si="51"/>
        <v>2550000</v>
      </c>
    </row>
    <row r="1120" spans="2:16">
      <c r="B1120" s="20" t="s">
        <v>1271</v>
      </c>
      <c r="C1120" s="20" t="s">
        <v>2</v>
      </c>
      <c r="D1120" s="20" t="str">
        <f>IFERROR(INDEX('[2]PRICELIST, 908u'!$G$7:$AX$914,MATCH($B1120,'[2]PRICELIST, 908u'!$G$7:$G$914,0),18),"NA")</f>
        <v>2025 - Batch 4</v>
      </c>
      <c r="E1120" s="20" t="str">
        <f>IFERROR(INDEX([3]AGM!$D$21:$BL$928,MATCH($B1120,[3]AGM!$AD$21:$AD$928,0),1),"NA")</f>
        <v>OS</v>
      </c>
      <c r="F1120" s="20" t="str">
        <f t="shared" si="50"/>
        <v>Block 12</v>
      </c>
      <c r="G1120" s="20" t="str">
        <f t="shared" si="49"/>
        <v>Lot 06</v>
      </c>
      <c r="H1120" s="20">
        <f>IFERROR(INDEX('[2]PRICELIST, 908u'!$G$7:$AX$914,MATCH($B1120,'[2]PRICELIST, 908u'!$G$7:$G$914,0),23),"NA")</f>
        <v>50</v>
      </c>
      <c r="I1120" s="20">
        <f>IFERROR(INDEX('[2]PRICELIST, 908u'!$G$7:$AX$914,MATCH($B1120,'[2]PRICELIST, 908u'!$G$7:$G$914,0),22),"NA")</f>
        <v>70</v>
      </c>
      <c r="J1120" s="20" t="s">
        <v>207</v>
      </c>
      <c r="K1120" s="20" t="str">
        <f>IFERROR(INDEX('[2]PRICELIST, 908u'!$G$7:$AX$914,MATCH($B1120,'[2]PRICELIST, 908u'!$G$7:$G$914,0),30),"NA")</f>
        <v>Slant / PURPLE</v>
      </c>
      <c r="L1120" s="20">
        <f>IFERROR(INDEX('[2]PRICELIST, 908u'!$G$7:$AX$914,MATCH($B1120,'[2]PRICELIST, 908u'!$G$7:$G$914,0),40),"NA")</f>
        <v>2650000</v>
      </c>
      <c r="M1120" s="20">
        <f>IFERROR(INDEX('[2]PRICELIST, 908u'!$G$7:$AX$914,MATCH($B1120,'[2]PRICELIST, 908u'!$G$7:$G$914,0),41),"NA")</f>
        <v>100000</v>
      </c>
      <c r="N1120" s="58">
        <f t="shared" si="52"/>
        <v>2550000</v>
      </c>
      <c r="O1120" s="60"/>
      <c r="P1120" s="60">
        <f t="shared" si="51"/>
        <v>2550000</v>
      </c>
    </row>
    <row r="1121" spans="2:16">
      <c r="B1121" s="20" t="s">
        <v>1272</v>
      </c>
      <c r="C1121" s="20" t="s">
        <v>2</v>
      </c>
      <c r="D1121" s="20" t="str">
        <f>IFERROR(INDEX('[2]PRICELIST, 908u'!$G$7:$AX$914,MATCH($B1121,'[2]PRICELIST, 908u'!$G$7:$G$914,0),18),"NA")</f>
        <v>2025 - Batch 4</v>
      </c>
      <c r="E1121" s="20" t="str">
        <f>IFERROR(INDEX([3]AGM!$D$21:$BL$928,MATCH($B1121,[3]AGM!$AD$21:$AD$928,0),1),"NA")</f>
        <v>OS</v>
      </c>
      <c r="F1121" s="20" t="str">
        <f t="shared" si="50"/>
        <v>Block 12</v>
      </c>
      <c r="G1121" s="20" t="str">
        <f t="shared" si="49"/>
        <v>Lot 07</v>
      </c>
      <c r="H1121" s="20">
        <f>IFERROR(INDEX('[2]PRICELIST, 908u'!$G$7:$AX$914,MATCH($B1121,'[2]PRICELIST, 908u'!$G$7:$G$914,0),23),"NA")</f>
        <v>50</v>
      </c>
      <c r="I1121" s="20">
        <f>IFERROR(INDEX('[2]PRICELIST, 908u'!$G$7:$AX$914,MATCH($B1121,'[2]PRICELIST, 908u'!$G$7:$G$914,0),22),"NA")</f>
        <v>70</v>
      </c>
      <c r="J1121" s="20" t="s">
        <v>207</v>
      </c>
      <c r="K1121" s="20" t="str">
        <f>IFERROR(INDEX('[2]PRICELIST, 908u'!$G$7:$AX$914,MATCH($B1121,'[2]PRICELIST, 908u'!$G$7:$G$914,0),30),"NA")</f>
        <v>Flat / PURPLE</v>
      </c>
      <c r="L1121" s="20">
        <f>IFERROR(INDEX('[2]PRICELIST, 908u'!$G$7:$AX$914,MATCH($B1121,'[2]PRICELIST, 908u'!$G$7:$G$914,0),40),"NA")</f>
        <v>2650000</v>
      </c>
      <c r="M1121" s="20">
        <f>IFERROR(INDEX('[2]PRICELIST, 908u'!$G$7:$AX$914,MATCH($B1121,'[2]PRICELIST, 908u'!$G$7:$G$914,0),41),"NA")</f>
        <v>100000</v>
      </c>
      <c r="N1121" s="58">
        <f t="shared" si="52"/>
        <v>2550000</v>
      </c>
      <c r="O1121" s="60"/>
      <c r="P1121" s="60">
        <f t="shared" si="51"/>
        <v>2550000</v>
      </c>
    </row>
    <row r="1122" spans="2:16">
      <c r="B1122" s="20" t="s">
        <v>1273</v>
      </c>
      <c r="C1122" s="20" t="s">
        <v>2</v>
      </c>
      <c r="D1122" s="20" t="str">
        <f>IFERROR(INDEX('[2]PRICELIST, 908u'!$G$7:$AX$914,MATCH($B1122,'[2]PRICELIST, 908u'!$G$7:$G$914,0),18),"NA")</f>
        <v>2025 - Batch 3</v>
      </c>
      <c r="E1122" s="20" t="str">
        <f>IFERROR(INDEX([3]AGM!$D$21:$BL$928,MATCH($B1122,[3]AGM!$AD$21:$AD$928,0),1),"NA")</f>
        <v>OS</v>
      </c>
      <c r="F1122" s="20" t="str">
        <f t="shared" si="50"/>
        <v>Block 12</v>
      </c>
      <c r="G1122" s="20" t="str">
        <f t="shared" si="49"/>
        <v>Lot 08</v>
      </c>
      <c r="H1122" s="20">
        <f>IFERROR(INDEX('[2]PRICELIST, 908u'!$G$7:$AX$914,MATCH($B1122,'[2]PRICELIST, 908u'!$G$7:$G$914,0),23),"NA")</f>
        <v>50</v>
      </c>
      <c r="I1122" s="20">
        <f>IFERROR(INDEX('[2]PRICELIST, 908u'!$G$7:$AX$914,MATCH($B1122,'[2]PRICELIST, 908u'!$G$7:$G$914,0),22),"NA")</f>
        <v>70</v>
      </c>
      <c r="J1122" s="20" t="s">
        <v>207</v>
      </c>
      <c r="K1122" s="20" t="str">
        <f>IFERROR(INDEX('[2]PRICELIST, 908u'!$G$7:$AX$914,MATCH($B1122,'[2]PRICELIST, 908u'!$G$7:$G$914,0),30),"NA")</f>
        <v>Flat / PURPLE</v>
      </c>
      <c r="L1122" s="20">
        <f>IFERROR(INDEX('[2]PRICELIST, 908u'!$G$7:$AX$914,MATCH($B1122,'[2]PRICELIST, 908u'!$G$7:$G$914,0),40),"NA")</f>
        <v>2650000</v>
      </c>
      <c r="M1122" s="20">
        <f>IFERROR(INDEX('[2]PRICELIST, 908u'!$G$7:$AX$914,MATCH($B1122,'[2]PRICELIST, 908u'!$G$7:$G$914,0),41),"NA")</f>
        <v>100000</v>
      </c>
      <c r="N1122" s="58">
        <f t="shared" si="52"/>
        <v>2550000</v>
      </c>
      <c r="O1122" s="60"/>
      <c r="P1122" s="60">
        <f t="shared" si="51"/>
        <v>2550000</v>
      </c>
    </row>
    <row r="1123" spans="2:16">
      <c r="B1123" s="20" t="s">
        <v>1274</v>
      </c>
      <c r="C1123" s="20" t="s">
        <v>2</v>
      </c>
      <c r="D1123" s="20" t="str">
        <f>IFERROR(INDEX('[2]PRICELIST, 908u'!$G$7:$AX$914,MATCH($B1123,'[2]PRICELIST, 908u'!$G$7:$G$914,0),18),"NA")</f>
        <v>2025 - Batch 3</v>
      </c>
      <c r="E1123" s="20" t="str">
        <f>IFERROR(INDEX([3]AGM!$D$21:$BL$928,MATCH($B1123,[3]AGM!$AD$21:$AD$928,0),1),"NA")</f>
        <v>OS</v>
      </c>
      <c r="F1123" s="20" t="str">
        <f t="shared" si="50"/>
        <v>Block 12</v>
      </c>
      <c r="G1123" s="20" t="str">
        <f t="shared" si="49"/>
        <v>Lot 09</v>
      </c>
      <c r="H1123" s="20">
        <f>IFERROR(INDEX('[2]PRICELIST, 908u'!$G$7:$AX$914,MATCH($B1123,'[2]PRICELIST, 908u'!$G$7:$G$914,0),23),"NA")</f>
        <v>50</v>
      </c>
      <c r="I1123" s="20">
        <f>IFERROR(INDEX('[2]PRICELIST, 908u'!$G$7:$AX$914,MATCH($B1123,'[2]PRICELIST, 908u'!$G$7:$G$914,0),22),"NA")</f>
        <v>70</v>
      </c>
      <c r="J1123" s="20" t="s">
        <v>207</v>
      </c>
      <c r="K1123" s="20" t="str">
        <f>IFERROR(INDEX('[2]PRICELIST, 908u'!$G$7:$AX$914,MATCH($B1123,'[2]PRICELIST, 908u'!$G$7:$G$914,0),30),"NA")</f>
        <v>Slant / PURPLE</v>
      </c>
      <c r="L1123" s="20">
        <f>IFERROR(INDEX('[2]PRICELIST, 908u'!$G$7:$AX$914,MATCH($B1123,'[2]PRICELIST, 908u'!$G$7:$G$914,0),40),"NA")</f>
        <v>2650000</v>
      </c>
      <c r="M1123" s="20">
        <f>IFERROR(INDEX('[2]PRICELIST, 908u'!$G$7:$AX$914,MATCH($B1123,'[2]PRICELIST, 908u'!$G$7:$G$914,0),41),"NA")</f>
        <v>100000</v>
      </c>
      <c r="N1123" s="58">
        <f t="shared" si="52"/>
        <v>2550000</v>
      </c>
      <c r="O1123" s="60"/>
      <c r="P1123" s="60">
        <f t="shared" si="51"/>
        <v>2550000</v>
      </c>
    </row>
    <row r="1124" spans="2:16">
      <c r="B1124" s="20" t="s">
        <v>1275</v>
      </c>
      <c r="C1124" s="20" t="s">
        <v>2</v>
      </c>
      <c r="D1124" s="20" t="str">
        <f>IFERROR(INDEX('[2]PRICELIST, 908u'!$G$7:$AX$914,MATCH($B1124,'[2]PRICELIST, 908u'!$G$7:$G$914,0),18),"NA")</f>
        <v>2025 - Batch 3</v>
      </c>
      <c r="E1124" s="20" t="str">
        <f>IFERROR(INDEX([3]AGM!$D$21:$BL$928,MATCH($B1124,[3]AGM!$AD$21:$AD$928,0),1),"NA")</f>
        <v>OS</v>
      </c>
      <c r="F1124" s="20" t="str">
        <f t="shared" si="50"/>
        <v>Block 12</v>
      </c>
      <c r="G1124" s="20" t="str">
        <f t="shared" si="49"/>
        <v>Lot 10</v>
      </c>
      <c r="H1124" s="20">
        <f>IFERROR(INDEX('[2]PRICELIST, 908u'!$G$7:$AX$914,MATCH($B1124,'[2]PRICELIST, 908u'!$G$7:$G$914,0),23),"NA")</f>
        <v>50</v>
      </c>
      <c r="I1124" s="20">
        <f>IFERROR(INDEX('[2]PRICELIST, 908u'!$G$7:$AX$914,MATCH($B1124,'[2]PRICELIST, 908u'!$G$7:$G$914,0),22),"NA")</f>
        <v>70</v>
      </c>
      <c r="J1124" s="20" t="s">
        <v>207</v>
      </c>
      <c r="K1124" s="20" t="str">
        <f>IFERROR(INDEX('[2]PRICELIST, 908u'!$G$7:$AX$914,MATCH($B1124,'[2]PRICELIST, 908u'!$G$7:$G$914,0),30),"NA")</f>
        <v>Slant / GREEN</v>
      </c>
      <c r="L1124" s="20">
        <f>IFERROR(INDEX('[2]PRICELIST, 908u'!$G$7:$AX$914,MATCH($B1124,'[2]PRICELIST, 908u'!$G$7:$G$914,0),40),"NA")</f>
        <v>2650000</v>
      </c>
      <c r="M1124" s="20">
        <f>IFERROR(INDEX('[2]PRICELIST, 908u'!$G$7:$AX$914,MATCH($B1124,'[2]PRICELIST, 908u'!$G$7:$G$914,0),41),"NA")</f>
        <v>100000</v>
      </c>
      <c r="N1124" s="58">
        <f t="shared" si="52"/>
        <v>2550000</v>
      </c>
      <c r="O1124" s="60"/>
      <c r="P1124" s="60">
        <f t="shared" si="51"/>
        <v>2550000</v>
      </c>
    </row>
    <row r="1125" spans="2:16">
      <c r="B1125" s="22" t="s">
        <v>1276</v>
      </c>
      <c r="C1125" s="20" t="s">
        <v>2</v>
      </c>
      <c r="D1125" s="20" t="str">
        <f>IFERROR(INDEX('[2]PRICELIST, 908u'!$G$7:$AX$914,MATCH($B1125,'[2]PRICELIST, 908u'!$G$7:$G$914,0),18),"NA")</f>
        <v>2025 - Batch 3</v>
      </c>
      <c r="E1125" s="20" t="str">
        <f>IFERROR(INDEX([3]AGM!$D$21:$BL$928,MATCH($B1125,[3]AGM!$AD$21:$AD$928,0),1),"NA")</f>
        <v>OS</v>
      </c>
      <c r="F1125" s="20" t="str">
        <f t="shared" si="50"/>
        <v>Block 12</v>
      </c>
      <c r="G1125" s="20" t="str">
        <f t="shared" si="49"/>
        <v>Lot 11</v>
      </c>
      <c r="H1125" s="20">
        <f>IFERROR(INDEX('[2]PRICELIST, 908u'!$G$7:$AX$914,MATCH($B1125,'[2]PRICELIST, 908u'!$G$7:$G$914,0),23),"NA")</f>
        <v>50</v>
      </c>
      <c r="I1125" s="20">
        <f>IFERROR(INDEX('[2]PRICELIST, 908u'!$G$7:$AX$914,MATCH($B1125,'[2]PRICELIST, 908u'!$G$7:$G$914,0),22),"NA")</f>
        <v>70</v>
      </c>
      <c r="J1125" s="20" t="s">
        <v>207</v>
      </c>
      <c r="K1125" s="20" t="str">
        <f>IFERROR(INDEX('[2]PRICELIST, 908u'!$G$7:$AX$914,MATCH($B1125,'[2]PRICELIST, 908u'!$G$7:$G$914,0),30),"NA")</f>
        <v>Flat / GREEN</v>
      </c>
      <c r="L1125" s="20">
        <f>IFERROR(INDEX('[2]PRICELIST, 908u'!$G$7:$AX$914,MATCH($B1125,'[2]PRICELIST, 908u'!$G$7:$G$914,0),40),"NA")</f>
        <v>2650000</v>
      </c>
      <c r="M1125" s="20">
        <f>IFERROR(INDEX('[2]PRICELIST, 908u'!$G$7:$AX$914,MATCH($B1125,'[2]PRICELIST, 908u'!$G$7:$G$914,0),41),"NA")</f>
        <v>100000</v>
      </c>
      <c r="N1125" s="58">
        <f t="shared" si="52"/>
        <v>2550000</v>
      </c>
      <c r="O1125" s="60"/>
      <c r="P1125" s="60">
        <f t="shared" si="51"/>
        <v>2550000</v>
      </c>
    </row>
    <row r="1126" spans="2:16">
      <c r="B1126" s="20" t="s">
        <v>1277</v>
      </c>
      <c r="C1126" s="20" t="s">
        <v>2</v>
      </c>
      <c r="D1126" s="20" t="str">
        <f>IFERROR(INDEX('[2]PRICELIST, 908u'!$G$7:$AX$914,MATCH($B1126,'[2]PRICELIST, 908u'!$G$7:$G$914,0),18),"NA")</f>
        <v>2025 - Batch 3</v>
      </c>
      <c r="E1126" s="20" t="str">
        <f>IFERROR(INDEX([3]AGM!$D$21:$BL$928,MATCH($B1126,[3]AGM!$AD$21:$AD$928,0),1),"NA")</f>
        <v>OS</v>
      </c>
      <c r="F1126" s="20" t="str">
        <f t="shared" si="50"/>
        <v>Block 12</v>
      </c>
      <c r="G1126" s="20" t="str">
        <f t="shared" si="49"/>
        <v>Lot 12</v>
      </c>
      <c r="H1126" s="20">
        <f>IFERROR(INDEX('[2]PRICELIST, 908u'!$G$7:$AX$914,MATCH($B1126,'[2]PRICELIST, 908u'!$G$7:$G$914,0),23),"NA")</f>
        <v>50</v>
      </c>
      <c r="I1126" s="20">
        <f>IFERROR(INDEX('[2]PRICELIST, 908u'!$G$7:$AX$914,MATCH($B1126,'[2]PRICELIST, 908u'!$G$7:$G$914,0),22),"NA")</f>
        <v>70</v>
      </c>
      <c r="J1126" s="20" t="s">
        <v>207</v>
      </c>
      <c r="K1126" s="20" t="str">
        <f>IFERROR(INDEX('[2]PRICELIST, 908u'!$G$7:$AX$914,MATCH($B1126,'[2]PRICELIST, 908u'!$G$7:$G$914,0),30),"NA")</f>
        <v>Flat / GREEN</v>
      </c>
      <c r="L1126" s="20">
        <f>IFERROR(INDEX('[2]PRICELIST, 908u'!$G$7:$AX$914,MATCH($B1126,'[2]PRICELIST, 908u'!$G$7:$G$914,0),40),"NA")</f>
        <v>2650000</v>
      </c>
      <c r="M1126" s="20">
        <f>IFERROR(INDEX('[2]PRICELIST, 908u'!$G$7:$AX$914,MATCH($B1126,'[2]PRICELIST, 908u'!$G$7:$G$914,0),41),"NA")</f>
        <v>100000</v>
      </c>
      <c r="N1126" s="58">
        <f t="shared" si="52"/>
        <v>2550000</v>
      </c>
      <c r="O1126" s="60"/>
      <c r="P1126" s="60">
        <f t="shared" si="51"/>
        <v>2550000</v>
      </c>
    </row>
    <row r="1127" spans="2:16">
      <c r="B1127" s="20" t="s">
        <v>1278</v>
      </c>
      <c r="C1127" s="20" t="s">
        <v>2</v>
      </c>
      <c r="D1127" s="20" t="str">
        <f>IFERROR(INDEX('[2]PRICELIST, 908u'!$G$7:$AX$914,MATCH($B1127,'[2]PRICELIST, 908u'!$G$7:$G$914,0),18),"NA")</f>
        <v>2025 - Batch 3</v>
      </c>
      <c r="E1127" s="20" t="str">
        <f>IFERROR(INDEX([3]AGM!$D$21:$BL$928,MATCH($B1127,[3]AGM!$AD$21:$AD$928,0),1),"NA")</f>
        <v>OS</v>
      </c>
      <c r="F1127" s="20" t="str">
        <f t="shared" si="50"/>
        <v>Block 12</v>
      </c>
      <c r="G1127" s="20" t="str">
        <f t="shared" si="49"/>
        <v>Lot 13</v>
      </c>
      <c r="H1127" s="20">
        <f>IFERROR(INDEX('[2]PRICELIST, 908u'!$G$7:$AX$914,MATCH($B1127,'[2]PRICELIST, 908u'!$G$7:$G$914,0),23),"NA")</f>
        <v>50</v>
      </c>
      <c r="I1127" s="20">
        <f>IFERROR(INDEX('[2]PRICELIST, 908u'!$G$7:$AX$914,MATCH($B1127,'[2]PRICELIST, 908u'!$G$7:$G$914,0),22),"NA")</f>
        <v>70</v>
      </c>
      <c r="J1127" s="20" t="s">
        <v>207</v>
      </c>
      <c r="K1127" s="20" t="str">
        <f>IFERROR(INDEX('[2]PRICELIST, 908u'!$G$7:$AX$914,MATCH($B1127,'[2]PRICELIST, 908u'!$G$7:$G$914,0),30),"NA")</f>
        <v>Slant / GREEN</v>
      </c>
      <c r="L1127" s="20">
        <f>IFERROR(INDEX('[2]PRICELIST, 908u'!$G$7:$AX$914,MATCH($B1127,'[2]PRICELIST, 908u'!$G$7:$G$914,0),40),"NA")</f>
        <v>2650000</v>
      </c>
      <c r="M1127" s="20">
        <f>IFERROR(INDEX('[2]PRICELIST, 908u'!$G$7:$AX$914,MATCH($B1127,'[2]PRICELIST, 908u'!$G$7:$G$914,0),41),"NA")</f>
        <v>100000</v>
      </c>
      <c r="N1127" s="58">
        <f t="shared" si="52"/>
        <v>2550000</v>
      </c>
      <c r="O1127" s="60"/>
      <c r="P1127" s="60">
        <f t="shared" si="51"/>
        <v>2550000</v>
      </c>
    </row>
    <row r="1128" spans="2:16">
      <c r="B1128" s="22" t="s">
        <v>1279</v>
      </c>
      <c r="C1128" s="20" t="s">
        <v>2</v>
      </c>
      <c r="D1128" s="20" t="str">
        <f>IFERROR(INDEX('[2]PRICELIST, 908u'!$G$7:$AX$914,MATCH($B1128,'[2]PRICELIST, 908u'!$G$7:$G$914,0),18),"NA")</f>
        <v>2025 - Batch 6</v>
      </c>
      <c r="E1128" s="20" t="str">
        <f>IFERROR(INDEX([3]AGM!$D$21:$BL$928,MATCH($B1128,[3]AGM!$AD$21:$AD$928,0),1),"NA")</f>
        <v>OS</v>
      </c>
      <c r="F1128" s="20" t="str">
        <f t="shared" si="50"/>
        <v>Block 15</v>
      </c>
      <c r="G1128" s="20" t="str">
        <f t="shared" si="49"/>
        <v>Lot 01</v>
      </c>
      <c r="H1128" s="20">
        <f>IFERROR(INDEX('[2]PRICELIST, 908u'!$G$7:$AX$914,MATCH($B1128,'[2]PRICELIST, 908u'!$G$7:$G$914,0),23),"NA")</f>
        <v>50</v>
      </c>
      <c r="I1128" s="20">
        <f>IFERROR(INDEX('[2]PRICELIST, 908u'!$G$7:$AX$914,MATCH($B1128,'[2]PRICELIST, 908u'!$G$7:$G$914,0),22),"NA")</f>
        <v>90</v>
      </c>
      <c r="J1128" s="20" t="s">
        <v>207</v>
      </c>
      <c r="K1128" s="20" t="str">
        <f>IFERROR(INDEX('[2]PRICELIST, 908u'!$G$7:$AX$914,MATCH($B1128,'[2]PRICELIST, 908u'!$G$7:$G$914,0),30),"NA")</f>
        <v>Slant / PURPLE</v>
      </c>
      <c r="L1128" s="20">
        <f>IFERROR(INDEX('[2]PRICELIST, 908u'!$G$7:$AX$914,MATCH($B1128,'[2]PRICELIST, 908u'!$G$7:$G$914,0),40),"NA")</f>
        <v>2950000</v>
      </c>
      <c r="M1128" s="20">
        <f>IFERROR(INDEX('[2]PRICELIST, 908u'!$G$7:$AX$914,MATCH($B1128,'[2]PRICELIST, 908u'!$G$7:$G$914,0),41),"NA")</f>
        <v>100000</v>
      </c>
      <c r="N1128" s="58">
        <f t="shared" si="52"/>
        <v>2850000</v>
      </c>
      <c r="O1128" s="60"/>
      <c r="P1128" s="60">
        <f t="shared" si="51"/>
        <v>2850000</v>
      </c>
    </row>
    <row r="1129" spans="2:16">
      <c r="B1129" s="22" t="s">
        <v>1280</v>
      </c>
      <c r="C1129" s="20" t="s">
        <v>2</v>
      </c>
      <c r="D1129" s="20" t="str">
        <f>IFERROR(INDEX('[2]PRICELIST, 908u'!$G$7:$AX$914,MATCH($B1129,'[2]PRICELIST, 908u'!$G$7:$G$914,0),18),"NA")</f>
        <v>2025 - Batch 6</v>
      </c>
      <c r="E1129" s="20" t="str">
        <f>IFERROR(INDEX([3]AGM!$D$21:$BL$928,MATCH($B1129,[3]AGM!$AD$21:$AD$928,0),1),"NA")</f>
        <v>OS</v>
      </c>
      <c r="F1129" s="20" t="str">
        <f t="shared" si="50"/>
        <v>Block 15</v>
      </c>
      <c r="G1129" s="20" t="str">
        <f t="shared" si="49"/>
        <v>Lot 02</v>
      </c>
      <c r="H1129" s="20">
        <f>IFERROR(INDEX('[2]PRICELIST, 908u'!$G$7:$AX$914,MATCH($B1129,'[2]PRICELIST, 908u'!$G$7:$G$914,0),23),"NA")</f>
        <v>50</v>
      </c>
      <c r="I1129" s="20">
        <f>IFERROR(INDEX('[2]PRICELIST, 908u'!$G$7:$AX$914,MATCH($B1129,'[2]PRICELIST, 908u'!$G$7:$G$914,0),22),"NA")</f>
        <v>70</v>
      </c>
      <c r="J1129" s="20" t="s">
        <v>207</v>
      </c>
      <c r="K1129" s="20" t="str">
        <f>IFERROR(INDEX('[2]PRICELIST, 908u'!$G$7:$AX$914,MATCH($B1129,'[2]PRICELIST, 908u'!$G$7:$G$914,0),30),"NA")</f>
        <v>Flat / PURPLE</v>
      </c>
      <c r="L1129" s="20">
        <f>IFERROR(INDEX('[2]PRICELIST, 908u'!$G$7:$AX$914,MATCH($B1129,'[2]PRICELIST, 908u'!$G$7:$G$914,0),40),"NA")</f>
        <v>2650000</v>
      </c>
      <c r="M1129" s="20">
        <f>IFERROR(INDEX('[2]PRICELIST, 908u'!$G$7:$AX$914,MATCH($B1129,'[2]PRICELIST, 908u'!$G$7:$G$914,0),41),"NA")</f>
        <v>100000</v>
      </c>
      <c r="N1129" s="58">
        <f t="shared" si="52"/>
        <v>2550000</v>
      </c>
      <c r="O1129" s="60"/>
      <c r="P1129" s="60">
        <f t="shared" si="51"/>
        <v>2550000</v>
      </c>
    </row>
    <row r="1130" spans="2:16">
      <c r="B1130" s="22" t="s">
        <v>1281</v>
      </c>
      <c r="C1130" s="20" t="s">
        <v>2</v>
      </c>
      <c r="D1130" s="20" t="str">
        <f>IFERROR(INDEX('[2]PRICELIST, 908u'!$G$7:$AX$914,MATCH($B1130,'[2]PRICELIST, 908u'!$G$7:$G$914,0),18),"NA")</f>
        <v>2025 - Batch 6</v>
      </c>
      <c r="E1130" s="20" t="str">
        <f>IFERROR(INDEX([3]AGM!$D$21:$BL$928,MATCH($B1130,[3]AGM!$AD$21:$AD$928,0),1),"NA")</f>
        <v>OS</v>
      </c>
      <c r="F1130" s="20" t="str">
        <f t="shared" si="50"/>
        <v>Block 15</v>
      </c>
      <c r="G1130" s="20" t="str">
        <f t="shared" si="49"/>
        <v>Lot 03</v>
      </c>
      <c r="H1130" s="20">
        <f>IFERROR(INDEX('[2]PRICELIST, 908u'!$G$7:$AX$914,MATCH($B1130,'[2]PRICELIST, 908u'!$G$7:$G$914,0),23),"NA")</f>
        <v>50</v>
      </c>
      <c r="I1130" s="20">
        <f>IFERROR(INDEX('[2]PRICELIST, 908u'!$G$7:$AX$914,MATCH($B1130,'[2]PRICELIST, 908u'!$G$7:$G$914,0),22),"NA")</f>
        <v>70</v>
      </c>
      <c r="J1130" s="20" t="s">
        <v>207</v>
      </c>
      <c r="K1130" s="20" t="str">
        <f>IFERROR(INDEX('[2]PRICELIST, 908u'!$G$7:$AX$914,MATCH($B1130,'[2]PRICELIST, 908u'!$G$7:$G$914,0),30),"NA")</f>
        <v>Flat / PURPLE</v>
      </c>
      <c r="L1130" s="20">
        <f>IFERROR(INDEX('[2]PRICELIST, 908u'!$G$7:$AX$914,MATCH($B1130,'[2]PRICELIST, 908u'!$G$7:$G$914,0),40),"NA")</f>
        <v>2650000</v>
      </c>
      <c r="M1130" s="20">
        <f>IFERROR(INDEX('[2]PRICELIST, 908u'!$G$7:$AX$914,MATCH($B1130,'[2]PRICELIST, 908u'!$G$7:$G$914,0),41),"NA")</f>
        <v>100000</v>
      </c>
      <c r="N1130" s="58">
        <f t="shared" si="52"/>
        <v>2550000</v>
      </c>
      <c r="O1130" s="60"/>
      <c r="P1130" s="60">
        <f t="shared" si="51"/>
        <v>2550000</v>
      </c>
    </row>
    <row r="1131" spans="2:16">
      <c r="B1131" s="20" t="s">
        <v>1282</v>
      </c>
      <c r="C1131" s="20" t="s">
        <v>2</v>
      </c>
      <c r="D1131" s="20" t="str">
        <f>IFERROR(INDEX('[2]PRICELIST, 908u'!$G$7:$AX$914,MATCH($B1131,'[2]PRICELIST, 908u'!$G$7:$G$914,0),18),"NA")</f>
        <v>2025 - Batch 6</v>
      </c>
      <c r="E1131" s="20" t="str">
        <f>IFERROR(INDEX([3]AGM!$D$21:$BL$928,MATCH($B1131,[3]AGM!$AD$21:$AD$928,0),1),"NA")</f>
        <v>OS</v>
      </c>
      <c r="F1131" s="20" t="str">
        <f t="shared" si="50"/>
        <v>Block 15</v>
      </c>
      <c r="G1131" s="20" t="str">
        <f t="shared" si="49"/>
        <v>Lot 04</v>
      </c>
      <c r="H1131" s="20">
        <f>IFERROR(INDEX('[2]PRICELIST, 908u'!$G$7:$AX$914,MATCH($B1131,'[2]PRICELIST, 908u'!$G$7:$G$914,0),23),"NA")</f>
        <v>50</v>
      </c>
      <c r="I1131" s="20">
        <f>IFERROR(INDEX('[2]PRICELIST, 908u'!$G$7:$AX$914,MATCH($B1131,'[2]PRICELIST, 908u'!$G$7:$G$914,0),22),"NA")</f>
        <v>70</v>
      </c>
      <c r="J1131" s="20" t="s">
        <v>207</v>
      </c>
      <c r="K1131" s="20" t="str">
        <f>IFERROR(INDEX('[2]PRICELIST, 908u'!$G$7:$AX$914,MATCH($B1131,'[2]PRICELIST, 908u'!$G$7:$G$914,0),30),"NA")</f>
        <v>Slant / PURPLE</v>
      </c>
      <c r="L1131" s="20">
        <f>IFERROR(INDEX('[2]PRICELIST, 908u'!$G$7:$AX$914,MATCH($B1131,'[2]PRICELIST, 908u'!$G$7:$G$914,0),40),"NA")</f>
        <v>2650000</v>
      </c>
      <c r="M1131" s="20">
        <f>IFERROR(INDEX('[2]PRICELIST, 908u'!$G$7:$AX$914,MATCH($B1131,'[2]PRICELIST, 908u'!$G$7:$G$914,0),41),"NA")</f>
        <v>100000</v>
      </c>
      <c r="N1131" s="58">
        <f t="shared" si="52"/>
        <v>2550000</v>
      </c>
      <c r="O1131" s="60"/>
      <c r="P1131" s="60">
        <f t="shared" si="51"/>
        <v>2550000</v>
      </c>
    </row>
    <row r="1132" spans="2:16">
      <c r="B1132" s="20" t="s">
        <v>1283</v>
      </c>
      <c r="C1132" s="20" t="s">
        <v>2</v>
      </c>
      <c r="D1132" s="20" t="str">
        <f>IFERROR(INDEX('[2]PRICELIST, 908u'!$G$7:$AX$914,MATCH($B1132,'[2]PRICELIST, 908u'!$G$7:$G$914,0),18),"NA")</f>
        <v>2025 - Batch 6</v>
      </c>
      <c r="E1132" s="20" t="str">
        <f>IFERROR(INDEX([3]AGM!$D$21:$BL$928,MATCH($B1132,[3]AGM!$AD$21:$AD$928,0),1),"NA")</f>
        <v>OS</v>
      </c>
      <c r="F1132" s="20" t="str">
        <f t="shared" si="50"/>
        <v>Block 15</v>
      </c>
      <c r="G1132" s="20" t="str">
        <f t="shared" si="49"/>
        <v>Lot 05</v>
      </c>
      <c r="H1132" s="20">
        <f>IFERROR(INDEX('[2]PRICELIST, 908u'!$G$7:$AX$914,MATCH($B1132,'[2]PRICELIST, 908u'!$G$7:$G$914,0),23),"NA")</f>
        <v>50</v>
      </c>
      <c r="I1132" s="20">
        <f>IFERROR(INDEX('[2]PRICELIST, 908u'!$G$7:$AX$914,MATCH($B1132,'[2]PRICELIST, 908u'!$G$7:$G$914,0),22),"NA")</f>
        <v>70</v>
      </c>
      <c r="J1132" s="20" t="s">
        <v>207</v>
      </c>
      <c r="K1132" s="20" t="str">
        <f>IFERROR(INDEX('[2]PRICELIST, 908u'!$G$7:$AX$914,MATCH($B1132,'[2]PRICELIST, 908u'!$G$7:$G$914,0),30),"NA")</f>
        <v>Slant / PINK</v>
      </c>
      <c r="L1132" s="20">
        <f>IFERROR(INDEX('[2]PRICELIST, 908u'!$G$7:$AX$914,MATCH($B1132,'[2]PRICELIST, 908u'!$G$7:$G$914,0),40),"NA")</f>
        <v>2650000</v>
      </c>
      <c r="M1132" s="20">
        <f>IFERROR(INDEX('[2]PRICELIST, 908u'!$G$7:$AX$914,MATCH($B1132,'[2]PRICELIST, 908u'!$G$7:$G$914,0),41),"NA")</f>
        <v>100000</v>
      </c>
      <c r="N1132" s="58">
        <f t="shared" si="52"/>
        <v>2550000</v>
      </c>
      <c r="O1132" s="60"/>
      <c r="P1132" s="60">
        <f t="shared" si="51"/>
        <v>2550000</v>
      </c>
    </row>
    <row r="1133" spans="2:16">
      <c r="B1133" s="20" t="s">
        <v>1284</v>
      </c>
      <c r="C1133" s="20" t="s">
        <v>2</v>
      </c>
      <c r="D1133" s="20" t="str">
        <f>IFERROR(INDEX('[2]PRICELIST, 908u'!$G$7:$AX$914,MATCH($B1133,'[2]PRICELIST, 908u'!$G$7:$G$914,0),18),"NA")</f>
        <v>2025 - Batch 6</v>
      </c>
      <c r="E1133" s="20" t="str">
        <f>IFERROR(INDEX([3]AGM!$D$21:$BL$928,MATCH($B1133,[3]AGM!$AD$21:$AD$928,0),1),"NA")</f>
        <v>OS</v>
      </c>
      <c r="F1133" s="20" t="str">
        <f t="shared" si="50"/>
        <v>Block 15</v>
      </c>
      <c r="G1133" s="20" t="str">
        <f t="shared" si="49"/>
        <v>Lot 06</v>
      </c>
      <c r="H1133" s="20">
        <f>IFERROR(INDEX('[2]PRICELIST, 908u'!$G$7:$AX$914,MATCH($B1133,'[2]PRICELIST, 908u'!$G$7:$G$914,0),23),"NA")</f>
        <v>50</v>
      </c>
      <c r="I1133" s="20">
        <f>IFERROR(INDEX('[2]PRICELIST, 908u'!$G$7:$AX$914,MATCH($B1133,'[2]PRICELIST, 908u'!$G$7:$G$914,0),22),"NA")</f>
        <v>70</v>
      </c>
      <c r="J1133" s="20" t="s">
        <v>207</v>
      </c>
      <c r="K1133" s="20" t="str">
        <f>IFERROR(INDEX('[2]PRICELIST, 908u'!$G$7:$AX$914,MATCH($B1133,'[2]PRICELIST, 908u'!$G$7:$G$914,0),30),"NA")</f>
        <v>Flat / PINK</v>
      </c>
      <c r="L1133" s="20">
        <f>IFERROR(INDEX('[2]PRICELIST, 908u'!$G$7:$AX$914,MATCH($B1133,'[2]PRICELIST, 908u'!$G$7:$G$914,0),40),"NA")</f>
        <v>2650000</v>
      </c>
      <c r="M1133" s="20">
        <f>IFERROR(INDEX('[2]PRICELIST, 908u'!$G$7:$AX$914,MATCH($B1133,'[2]PRICELIST, 908u'!$G$7:$G$914,0),41),"NA")</f>
        <v>100000</v>
      </c>
      <c r="N1133" s="58">
        <f t="shared" si="52"/>
        <v>2550000</v>
      </c>
      <c r="O1133" s="60"/>
      <c r="P1133" s="60">
        <f t="shared" si="51"/>
        <v>2550000</v>
      </c>
    </row>
    <row r="1134" spans="2:16">
      <c r="B1134" s="22" t="s">
        <v>1285</v>
      </c>
      <c r="C1134" s="20" t="s">
        <v>2</v>
      </c>
      <c r="D1134" s="20" t="str">
        <f>IFERROR(INDEX('[2]PRICELIST, 908u'!$G$7:$AX$914,MATCH($B1134,'[2]PRICELIST, 908u'!$G$7:$G$914,0),18),"NA")</f>
        <v>2025 - Batch 6</v>
      </c>
      <c r="E1134" s="20" t="str">
        <f>IFERROR(INDEX([3]AGM!$D$21:$BL$928,MATCH($B1134,[3]AGM!$AD$21:$AD$928,0),1),"NA")</f>
        <v>OS</v>
      </c>
      <c r="F1134" s="20" t="str">
        <f t="shared" si="50"/>
        <v>Block 15</v>
      </c>
      <c r="G1134" s="20" t="str">
        <f t="shared" si="49"/>
        <v>Lot 07</v>
      </c>
      <c r="H1134" s="20">
        <f>IFERROR(INDEX('[2]PRICELIST, 908u'!$G$7:$AX$914,MATCH($B1134,'[2]PRICELIST, 908u'!$G$7:$G$914,0),23),"NA")</f>
        <v>50</v>
      </c>
      <c r="I1134" s="20">
        <f>IFERROR(INDEX('[2]PRICELIST, 908u'!$G$7:$AX$914,MATCH($B1134,'[2]PRICELIST, 908u'!$G$7:$G$914,0),22),"NA")</f>
        <v>70</v>
      </c>
      <c r="J1134" s="20" t="s">
        <v>207</v>
      </c>
      <c r="K1134" s="20" t="str">
        <f>IFERROR(INDEX('[2]PRICELIST, 908u'!$G$7:$AX$914,MATCH($B1134,'[2]PRICELIST, 908u'!$G$7:$G$914,0),30),"NA")</f>
        <v>Flat / PINK</v>
      </c>
      <c r="L1134" s="20">
        <f>IFERROR(INDEX('[2]PRICELIST, 908u'!$G$7:$AX$914,MATCH($B1134,'[2]PRICELIST, 908u'!$G$7:$G$914,0),40),"NA")</f>
        <v>2650000</v>
      </c>
      <c r="M1134" s="20">
        <f>IFERROR(INDEX('[2]PRICELIST, 908u'!$G$7:$AX$914,MATCH($B1134,'[2]PRICELIST, 908u'!$G$7:$G$914,0),41),"NA")</f>
        <v>100000</v>
      </c>
      <c r="N1134" s="58">
        <f t="shared" si="52"/>
        <v>2550000</v>
      </c>
      <c r="O1134" s="60"/>
      <c r="P1134" s="60">
        <f t="shared" si="51"/>
        <v>2550000</v>
      </c>
    </row>
    <row r="1135" spans="2:16">
      <c r="B1135" s="22" t="s">
        <v>1286</v>
      </c>
      <c r="C1135" s="20" t="s">
        <v>2</v>
      </c>
      <c r="D1135" s="20" t="str">
        <f>IFERROR(INDEX('[2]PRICELIST, 908u'!$G$7:$AX$914,MATCH($B1135,'[2]PRICELIST, 908u'!$G$7:$G$914,0),18),"NA")</f>
        <v>2025 - Batch 6</v>
      </c>
      <c r="E1135" s="20" t="str">
        <f>IFERROR(INDEX([3]AGM!$D$21:$BL$928,MATCH($B1135,[3]AGM!$AD$21:$AD$928,0),1),"NA")</f>
        <v>OS</v>
      </c>
      <c r="F1135" s="20" t="str">
        <f t="shared" si="50"/>
        <v>Block 15</v>
      </c>
      <c r="G1135" s="20" t="str">
        <f t="shared" si="49"/>
        <v>Lot 08</v>
      </c>
      <c r="H1135" s="20">
        <f>IFERROR(INDEX('[2]PRICELIST, 908u'!$G$7:$AX$914,MATCH($B1135,'[2]PRICELIST, 908u'!$G$7:$G$914,0),23),"NA")</f>
        <v>50</v>
      </c>
      <c r="I1135" s="20">
        <f>IFERROR(INDEX('[2]PRICELIST, 908u'!$G$7:$AX$914,MATCH($B1135,'[2]PRICELIST, 908u'!$G$7:$G$914,0),22),"NA")</f>
        <v>90</v>
      </c>
      <c r="J1135" s="20" t="s">
        <v>207</v>
      </c>
      <c r="K1135" s="20" t="str">
        <f>IFERROR(INDEX('[2]PRICELIST, 908u'!$G$7:$AX$914,MATCH($B1135,'[2]PRICELIST, 908u'!$G$7:$G$914,0),30),"NA")</f>
        <v>Slant / PINK</v>
      </c>
      <c r="L1135" s="20">
        <f>IFERROR(INDEX('[2]PRICELIST, 908u'!$G$7:$AX$914,MATCH($B1135,'[2]PRICELIST, 908u'!$G$7:$G$914,0),40),"NA")</f>
        <v>2950000</v>
      </c>
      <c r="M1135" s="20">
        <f>IFERROR(INDEX('[2]PRICELIST, 908u'!$G$7:$AX$914,MATCH($B1135,'[2]PRICELIST, 908u'!$G$7:$G$914,0),41),"NA")</f>
        <v>100000</v>
      </c>
      <c r="N1135" s="58">
        <f t="shared" si="52"/>
        <v>2850000</v>
      </c>
      <c r="O1135" s="60"/>
      <c r="P1135" s="60">
        <f t="shared" si="51"/>
        <v>2850000</v>
      </c>
    </row>
    <row r="1136" spans="2:16">
      <c r="B1136" s="22" t="s">
        <v>1287</v>
      </c>
      <c r="C1136" s="20" t="s">
        <v>2</v>
      </c>
      <c r="D1136" s="20" t="str">
        <f>IFERROR(INDEX('[2]PRICELIST, 908u'!$G$7:$AX$914,MATCH($B1136,'[2]PRICELIST, 908u'!$G$7:$G$914,0),18),"NA")</f>
        <v>2025 - Batch 6</v>
      </c>
      <c r="E1136" s="20" t="str">
        <f>IFERROR(INDEX([3]AGM!$D$21:$BL$928,MATCH($B1136,[3]AGM!$AD$21:$AD$928,0),1),"NA")</f>
        <v>OS</v>
      </c>
      <c r="F1136" s="20" t="str">
        <f t="shared" si="50"/>
        <v>Block 15</v>
      </c>
      <c r="G1136" s="20" t="str">
        <f t="shared" si="49"/>
        <v>Lot 09</v>
      </c>
      <c r="H1136" s="20">
        <f>IFERROR(INDEX('[2]PRICELIST, 908u'!$G$7:$AX$914,MATCH($B1136,'[2]PRICELIST, 908u'!$G$7:$G$914,0),23),"NA")</f>
        <v>50</v>
      </c>
      <c r="I1136" s="20">
        <f>IFERROR(INDEX('[2]PRICELIST, 908u'!$G$7:$AX$914,MATCH($B1136,'[2]PRICELIST, 908u'!$G$7:$G$914,0),22),"NA")</f>
        <v>90</v>
      </c>
      <c r="J1136" s="20" t="s">
        <v>207</v>
      </c>
      <c r="K1136" s="20" t="str">
        <f>IFERROR(INDEX('[2]PRICELIST, 908u'!$G$7:$AX$914,MATCH($B1136,'[2]PRICELIST, 908u'!$G$7:$G$914,0),30),"NA")</f>
        <v>Flat / GREEN</v>
      </c>
      <c r="L1136" s="20">
        <f>IFERROR(INDEX('[2]PRICELIST, 908u'!$G$7:$AX$914,MATCH($B1136,'[2]PRICELIST, 908u'!$G$7:$G$914,0),40),"NA")</f>
        <v>2950000</v>
      </c>
      <c r="M1136" s="20">
        <f>IFERROR(INDEX('[2]PRICELIST, 908u'!$G$7:$AX$914,MATCH($B1136,'[2]PRICELIST, 908u'!$G$7:$G$914,0),41),"NA")</f>
        <v>100000</v>
      </c>
      <c r="N1136" s="58">
        <f t="shared" si="52"/>
        <v>2850000</v>
      </c>
      <c r="O1136" s="60"/>
      <c r="P1136" s="60">
        <f t="shared" si="51"/>
        <v>2850000</v>
      </c>
    </row>
    <row r="1137" spans="2:16">
      <c r="B1137" s="20" t="s">
        <v>1288</v>
      </c>
      <c r="C1137" s="20" t="s">
        <v>2</v>
      </c>
      <c r="D1137" s="20" t="str">
        <f>IFERROR(INDEX('[2]PRICELIST, 908u'!$G$7:$AX$914,MATCH($B1137,'[2]PRICELIST, 908u'!$G$7:$G$914,0),18),"NA")</f>
        <v>2025 - Batch 6</v>
      </c>
      <c r="E1137" s="20" t="str">
        <f>IFERROR(INDEX([3]AGM!$D$21:$BL$928,MATCH($B1137,[3]AGM!$AD$21:$AD$928,0),1),"NA")</f>
        <v>OS</v>
      </c>
      <c r="F1137" s="20" t="str">
        <f t="shared" si="50"/>
        <v>Block 15</v>
      </c>
      <c r="G1137" s="20" t="str">
        <f t="shared" si="49"/>
        <v>Lot 10</v>
      </c>
      <c r="H1137" s="20">
        <f>IFERROR(INDEX('[2]PRICELIST, 908u'!$G$7:$AX$914,MATCH($B1137,'[2]PRICELIST, 908u'!$G$7:$G$914,0),23),"NA")</f>
        <v>50</v>
      </c>
      <c r="I1137" s="20">
        <f>IFERROR(INDEX('[2]PRICELIST, 908u'!$G$7:$AX$914,MATCH($B1137,'[2]PRICELIST, 908u'!$G$7:$G$914,0),22),"NA")</f>
        <v>70</v>
      </c>
      <c r="J1137" s="20" t="s">
        <v>207</v>
      </c>
      <c r="K1137" s="20" t="str">
        <f>IFERROR(INDEX('[2]PRICELIST, 908u'!$G$7:$AX$914,MATCH($B1137,'[2]PRICELIST, 908u'!$G$7:$G$914,0),30),"NA")</f>
        <v>Slant / GREEN</v>
      </c>
      <c r="L1137" s="20">
        <f>IFERROR(INDEX('[2]PRICELIST, 908u'!$G$7:$AX$914,MATCH($B1137,'[2]PRICELIST, 908u'!$G$7:$G$914,0),40),"NA")</f>
        <v>2650000</v>
      </c>
      <c r="M1137" s="20">
        <f>IFERROR(INDEX('[2]PRICELIST, 908u'!$G$7:$AX$914,MATCH($B1137,'[2]PRICELIST, 908u'!$G$7:$G$914,0),41),"NA")</f>
        <v>100000</v>
      </c>
      <c r="N1137" s="58">
        <f t="shared" si="52"/>
        <v>2550000</v>
      </c>
      <c r="O1137" s="60"/>
      <c r="P1137" s="60">
        <f t="shared" si="51"/>
        <v>2550000</v>
      </c>
    </row>
    <row r="1138" spans="2:16">
      <c r="B1138" s="20" t="s">
        <v>1289</v>
      </c>
      <c r="C1138" s="20" t="s">
        <v>2</v>
      </c>
      <c r="D1138" s="20" t="str">
        <f>IFERROR(INDEX('[2]PRICELIST, 908u'!$G$7:$AX$914,MATCH($B1138,'[2]PRICELIST, 908u'!$G$7:$G$914,0),18),"NA")</f>
        <v>2025 - Batch 6</v>
      </c>
      <c r="E1138" s="20" t="str">
        <f>IFERROR(INDEX([3]AGM!$D$21:$BL$928,MATCH($B1138,[3]AGM!$AD$21:$AD$928,0),1),"NA")</f>
        <v>OS</v>
      </c>
      <c r="F1138" s="20" t="str">
        <f t="shared" si="50"/>
        <v>Block 15</v>
      </c>
      <c r="G1138" s="20" t="str">
        <f t="shared" si="49"/>
        <v>Lot 11</v>
      </c>
      <c r="H1138" s="20">
        <f>IFERROR(INDEX('[2]PRICELIST, 908u'!$G$7:$AX$914,MATCH($B1138,'[2]PRICELIST, 908u'!$G$7:$G$914,0),23),"NA")</f>
        <v>50</v>
      </c>
      <c r="I1138" s="20">
        <f>IFERROR(INDEX('[2]PRICELIST, 908u'!$G$7:$AX$914,MATCH($B1138,'[2]PRICELIST, 908u'!$G$7:$G$914,0),22),"NA")</f>
        <v>70</v>
      </c>
      <c r="J1138" s="20" t="s">
        <v>207</v>
      </c>
      <c r="K1138" s="20" t="str">
        <f>IFERROR(INDEX('[2]PRICELIST, 908u'!$G$7:$AX$914,MATCH($B1138,'[2]PRICELIST, 908u'!$G$7:$G$914,0),30),"NA")</f>
        <v>Slant / GREEN</v>
      </c>
      <c r="L1138" s="20">
        <f>IFERROR(INDEX('[2]PRICELIST, 908u'!$G$7:$AX$914,MATCH($B1138,'[2]PRICELIST, 908u'!$G$7:$G$914,0),40),"NA")</f>
        <v>2650000</v>
      </c>
      <c r="M1138" s="20">
        <f>IFERROR(INDEX('[2]PRICELIST, 908u'!$G$7:$AX$914,MATCH($B1138,'[2]PRICELIST, 908u'!$G$7:$G$914,0),41),"NA")</f>
        <v>100000</v>
      </c>
      <c r="N1138" s="58">
        <f t="shared" si="52"/>
        <v>2550000</v>
      </c>
      <c r="O1138" s="60"/>
      <c r="P1138" s="60">
        <f t="shared" si="51"/>
        <v>2550000</v>
      </c>
    </row>
    <row r="1139" spans="2:16">
      <c r="B1139" s="20" t="s">
        <v>1290</v>
      </c>
      <c r="C1139" s="20" t="s">
        <v>2</v>
      </c>
      <c r="D1139" s="20" t="str">
        <f>IFERROR(INDEX('[2]PRICELIST, 908u'!$G$7:$AX$914,MATCH($B1139,'[2]PRICELIST, 908u'!$G$7:$G$914,0),18),"NA")</f>
        <v>2025 - Batch 6</v>
      </c>
      <c r="E1139" s="20" t="str">
        <f>IFERROR(INDEX([3]AGM!$D$21:$BL$928,MATCH($B1139,[3]AGM!$AD$21:$AD$928,0),1),"NA")</f>
        <v>OS</v>
      </c>
      <c r="F1139" s="20" t="str">
        <f t="shared" si="50"/>
        <v>Block 15</v>
      </c>
      <c r="G1139" s="20" t="str">
        <f t="shared" si="49"/>
        <v>Lot 12</v>
      </c>
      <c r="H1139" s="20">
        <f>IFERROR(INDEX('[2]PRICELIST, 908u'!$G$7:$AX$914,MATCH($B1139,'[2]PRICELIST, 908u'!$G$7:$G$914,0),23),"NA")</f>
        <v>50</v>
      </c>
      <c r="I1139" s="20">
        <f>IFERROR(INDEX('[2]PRICELIST, 908u'!$G$7:$AX$914,MATCH($B1139,'[2]PRICELIST, 908u'!$G$7:$G$914,0),22),"NA")</f>
        <v>70</v>
      </c>
      <c r="J1139" s="20" t="s">
        <v>207</v>
      </c>
      <c r="K1139" s="20" t="str">
        <f>IFERROR(INDEX('[2]PRICELIST, 908u'!$G$7:$AX$914,MATCH($B1139,'[2]PRICELIST, 908u'!$G$7:$G$914,0),30),"NA")</f>
        <v>Flat / GREEN</v>
      </c>
      <c r="L1139" s="20">
        <f>IFERROR(INDEX('[2]PRICELIST, 908u'!$G$7:$AX$914,MATCH($B1139,'[2]PRICELIST, 908u'!$G$7:$G$914,0),40),"NA")</f>
        <v>2650000</v>
      </c>
      <c r="M1139" s="20">
        <f>IFERROR(INDEX('[2]PRICELIST, 908u'!$G$7:$AX$914,MATCH($B1139,'[2]PRICELIST, 908u'!$G$7:$G$914,0),41),"NA")</f>
        <v>100000</v>
      </c>
      <c r="N1139" s="58">
        <f t="shared" si="52"/>
        <v>2550000</v>
      </c>
      <c r="O1139" s="60"/>
      <c r="P1139" s="60">
        <f t="shared" si="51"/>
        <v>2550000</v>
      </c>
    </row>
    <row r="1140" spans="2:16">
      <c r="B1140" s="20" t="s">
        <v>1291</v>
      </c>
      <c r="C1140" s="20" t="s">
        <v>2</v>
      </c>
      <c r="D1140" s="20" t="str">
        <f>IFERROR(INDEX('[2]PRICELIST, 908u'!$G$7:$AX$914,MATCH($B1140,'[2]PRICELIST, 908u'!$G$7:$G$914,0),18),"NA")</f>
        <v>2025 - Batch 6</v>
      </c>
      <c r="E1140" s="20" t="str">
        <f>IFERROR(INDEX([3]AGM!$D$21:$BL$928,MATCH($B1140,[3]AGM!$AD$21:$AD$928,0),1),"NA")</f>
        <v>OS</v>
      </c>
      <c r="F1140" s="20" t="str">
        <f t="shared" si="50"/>
        <v>Block 15</v>
      </c>
      <c r="G1140" s="20" t="str">
        <f t="shared" si="49"/>
        <v>Lot 13</v>
      </c>
      <c r="H1140" s="20">
        <f>IFERROR(INDEX('[2]PRICELIST, 908u'!$G$7:$AX$914,MATCH($B1140,'[2]PRICELIST, 908u'!$G$7:$G$914,0),23),"NA")</f>
        <v>50</v>
      </c>
      <c r="I1140" s="20">
        <f>IFERROR(INDEX('[2]PRICELIST, 908u'!$G$7:$AX$914,MATCH($B1140,'[2]PRICELIST, 908u'!$G$7:$G$914,0),22),"NA")</f>
        <v>70</v>
      </c>
      <c r="J1140" s="20" t="s">
        <v>207</v>
      </c>
      <c r="K1140" s="20" t="str">
        <f>IFERROR(INDEX('[2]PRICELIST, 908u'!$G$7:$AX$914,MATCH($B1140,'[2]PRICELIST, 908u'!$G$7:$G$914,0),30),"NA")</f>
        <v>Flat / PURPLE</v>
      </c>
      <c r="L1140" s="20">
        <f>IFERROR(INDEX('[2]PRICELIST, 908u'!$G$7:$AX$914,MATCH($B1140,'[2]PRICELIST, 908u'!$G$7:$G$914,0),40),"NA")</f>
        <v>2650000</v>
      </c>
      <c r="M1140" s="20">
        <f>IFERROR(INDEX('[2]PRICELIST, 908u'!$G$7:$AX$914,MATCH($B1140,'[2]PRICELIST, 908u'!$G$7:$G$914,0),41),"NA")</f>
        <v>100000</v>
      </c>
      <c r="N1140" s="58">
        <f t="shared" si="52"/>
        <v>2550000</v>
      </c>
      <c r="O1140" s="60"/>
      <c r="P1140" s="60">
        <f t="shared" si="51"/>
        <v>2550000</v>
      </c>
    </row>
    <row r="1141" spans="2:16">
      <c r="B1141" s="20" t="s">
        <v>1292</v>
      </c>
      <c r="C1141" s="20" t="s">
        <v>2</v>
      </c>
      <c r="D1141" s="20" t="str">
        <f>IFERROR(INDEX('[2]PRICELIST, 908u'!$G$7:$AX$914,MATCH($B1141,'[2]PRICELIST, 908u'!$G$7:$G$914,0),18),"NA")</f>
        <v>2025 - Batch 6</v>
      </c>
      <c r="E1141" s="20" t="str">
        <f>IFERROR(INDEX([3]AGM!$D$21:$BL$928,MATCH($B1141,[3]AGM!$AD$21:$AD$928,0),1),"NA")</f>
        <v>OS</v>
      </c>
      <c r="F1141" s="20" t="str">
        <f t="shared" si="50"/>
        <v>Block 15</v>
      </c>
      <c r="G1141" s="20" t="str">
        <f t="shared" si="49"/>
        <v>Lot 14</v>
      </c>
      <c r="H1141" s="20">
        <f>IFERROR(INDEX('[2]PRICELIST, 908u'!$G$7:$AX$914,MATCH($B1141,'[2]PRICELIST, 908u'!$G$7:$G$914,0),23),"NA")</f>
        <v>50</v>
      </c>
      <c r="I1141" s="20">
        <f>IFERROR(INDEX('[2]PRICELIST, 908u'!$G$7:$AX$914,MATCH($B1141,'[2]PRICELIST, 908u'!$G$7:$G$914,0),22),"NA")</f>
        <v>70</v>
      </c>
      <c r="J1141" s="20" t="s">
        <v>207</v>
      </c>
      <c r="K1141" s="20" t="str">
        <f>IFERROR(INDEX('[2]PRICELIST, 908u'!$G$7:$AX$914,MATCH($B1141,'[2]PRICELIST, 908u'!$G$7:$G$914,0),30),"NA")</f>
        <v>Slant / PURPLE</v>
      </c>
      <c r="L1141" s="20">
        <f>IFERROR(INDEX('[2]PRICELIST, 908u'!$G$7:$AX$914,MATCH($B1141,'[2]PRICELIST, 908u'!$G$7:$G$914,0),40),"NA")</f>
        <v>2650000</v>
      </c>
      <c r="M1141" s="20">
        <f>IFERROR(INDEX('[2]PRICELIST, 908u'!$G$7:$AX$914,MATCH($B1141,'[2]PRICELIST, 908u'!$G$7:$G$914,0),41),"NA")</f>
        <v>100000</v>
      </c>
      <c r="N1141" s="58">
        <f t="shared" si="52"/>
        <v>2550000</v>
      </c>
      <c r="O1141" s="60"/>
      <c r="P1141" s="60">
        <f t="shared" si="51"/>
        <v>2550000</v>
      </c>
    </row>
    <row r="1142" spans="2:16">
      <c r="B1142" s="20" t="s">
        <v>1293</v>
      </c>
      <c r="C1142" s="20" t="s">
        <v>2</v>
      </c>
      <c r="D1142" s="20" t="str">
        <f>IFERROR(INDEX('[2]PRICELIST, 908u'!$G$7:$AX$914,MATCH($B1142,'[2]PRICELIST, 908u'!$G$7:$G$914,0),18),"NA")</f>
        <v>2025 - Batch 6</v>
      </c>
      <c r="E1142" s="20" t="str">
        <f>IFERROR(INDEX([3]AGM!$D$21:$BL$928,MATCH($B1142,[3]AGM!$AD$21:$AD$928,0),1),"NA")</f>
        <v>OS</v>
      </c>
      <c r="F1142" s="20" t="str">
        <f t="shared" si="50"/>
        <v>Block 15</v>
      </c>
      <c r="G1142" s="20" t="str">
        <f t="shared" si="49"/>
        <v>Lot 15</v>
      </c>
      <c r="H1142" s="20">
        <f>IFERROR(INDEX('[2]PRICELIST, 908u'!$G$7:$AX$914,MATCH($B1142,'[2]PRICELIST, 908u'!$G$7:$G$914,0),23),"NA")</f>
        <v>50</v>
      </c>
      <c r="I1142" s="20">
        <f>IFERROR(INDEX('[2]PRICELIST, 908u'!$G$7:$AX$914,MATCH($B1142,'[2]PRICELIST, 908u'!$G$7:$G$914,0),22),"NA")</f>
        <v>70</v>
      </c>
      <c r="J1142" s="20" t="s">
        <v>207</v>
      </c>
      <c r="K1142" s="20" t="str">
        <f>IFERROR(INDEX('[2]PRICELIST, 908u'!$G$7:$AX$914,MATCH($B1142,'[2]PRICELIST, 908u'!$G$7:$G$914,0),30),"NA")</f>
        <v>Slant / PURPLE</v>
      </c>
      <c r="L1142" s="20">
        <f>IFERROR(INDEX('[2]PRICELIST, 908u'!$G$7:$AX$914,MATCH($B1142,'[2]PRICELIST, 908u'!$G$7:$G$914,0),40),"NA")</f>
        <v>2650000</v>
      </c>
      <c r="M1142" s="20">
        <f>IFERROR(INDEX('[2]PRICELIST, 908u'!$G$7:$AX$914,MATCH($B1142,'[2]PRICELIST, 908u'!$G$7:$G$914,0),41),"NA")</f>
        <v>100000</v>
      </c>
      <c r="N1142" s="58">
        <f t="shared" si="52"/>
        <v>2550000</v>
      </c>
      <c r="O1142" s="60"/>
      <c r="P1142" s="60">
        <f t="shared" si="51"/>
        <v>2550000</v>
      </c>
    </row>
    <row r="1143" spans="2:16">
      <c r="B1143" s="22" t="s">
        <v>1294</v>
      </c>
      <c r="C1143" s="20" t="s">
        <v>2</v>
      </c>
      <c r="D1143" s="20" t="str">
        <f>IFERROR(INDEX('[2]PRICELIST, 908u'!$G$7:$AX$914,MATCH($B1143,'[2]PRICELIST, 908u'!$G$7:$G$914,0),18),"NA")</f>
        <v>2025 - Batch 6</v>
      </c>
      <c r="E1143" s="20" t="str">
        <f>IFERROR(INDEX([3]AGM!$D$21:$BL$928,MATCH($B1143,[3]AGM!$AD$21:$AD$928,0),1),"NA")</f>
        <v>OS</v>
      </c>
      <c r="F1143" s="20" t="str">
        <f t="shared" si="50"/>
        <v>Block 15</v>
      </c>
      <c r="G1143" s="20" t="str">
        <f t="shared" si="49"/>
        <v>Lot 16</v>
      </c>
      <c r="H1143" s="20">
        <f>IFERROR(INDEX('[2]PRICELIST, 908u'!$G$7:$AX$914,MATCH($B1143,'[2]PRICELIST, 908u'!$G$7:$G$914,0),23),"NA")</f>
        <v>50</v>
      </c>
      <c r="I1143" s="20">
        <f>IFERROR(INDEX('[2]PRICELIST, 908u'!$G$7:$AX$914,MATCH($B1143,'[2]PRICELIST, 908u'!$G$7:$G$914,0),22),"NA")</f>
        <v>90</v>
      </c>
      <c r="J1143" s="20" t="s">
        <v>207</v>
      </c>
      <c r="K1143" s="20" t="str">
        <f>IFERROR(INDEX('[2]PRICELIST, 908u'!$G$7:$AX$914,MATCH($B1143,'[2]PRICELIST, 908u'!$G$7:$G$914,0),30),"NA")</f>
        <v>Flat / PURPLE</v>
      </c>
      <c r="L1143" s="20">
        <f>IFERROR(INDEX('[2]PRICELIST, 908u'!$G$7:$AX$914,MATCH($B1143,'[2]PRICELIST, 908u'!$G$7:$G$914,0),40),"NA")</f>
        <v>2950000</v>
      </c>
      <c r="M1143" s="20">
        <f>IFERROR(INDEX('[2]PRICELIST, 908u'!$G$7:$AX$914,MATCH($B1143,'[2]PRICELIST, 908u'!$G$7:$G$914,0),41),"NA")</f>
        <v>100000</v>
      </c>
      <c r="N1143" s="58">
        <f t="shared" si="52"/>
        <v>2850000</v>
      </c>
      <c r="O1143" s="60"/>
      <c r="P1143" s="60">
        <f t="shared" si="51"/>
        <v>2850000</v>
      </c>
    </row>
    <row r="1144" spans="2:16">
      <c r="B1144" s="20" t="s">
        <v>1295</v>
      </c>
      <c r="C1144" s="20" t="s">
        <v>2</v>
      </c>
      <c r="D1144" s="20" t="str">
        <f>IFERROR(INDEX('[2]PRICELIST, 908u'!$G$7:$AX$914,MATCH($B1144,'[2]PRICELIST, 908u'!$G$7:$G$914,0),18),"NA")</f>
        <v>2025 - Batch 5</v>
      </c>
      <c r="E1144" s="20" t="str">
        <f>IFERROR(INDEX([3]AGM!$D$21:$BL$928,MATCH($B1144,[3]AGM!$AD$21:$AD$928,0),1),"NA")</f>
        <v>OS</v>
      </c>
      <c r="F1144" s="20" t="str">
        <f t="shared" si="50"/>
        <v>Block 16</v>
      </c>
      <c r="G1144" s="20" t="str">
        <f t="shared" si="49"/>
        <v>Lot 01</v>
      </c>
      <c r="H1144" s="20">
        <f>IFERROR(INDEX('[2]PRICELIST, 908u'!$G$7:$AX$914,MATCH($B1144,'[2]PRICELIST, 908u'!$G$7:$G$914,0),23),"NA")</f>
        <v>50</v>
      </c>
      <c r="I1144" s="20">
        <f>IFERROR(INDEX('[2]PRICELIST, 908u'!$G$7:$AX$914,MATCH($B1144,'[2]PRICELIST, 908u'!$G$7:$G$914,0),22),"NA")</f>
        <v>90</v>
      </c>
      <c r="J1144" s="20" t="s">
        <v>207</v>
      </c>
      <c r="K1144" s="20" t="str">
        <f>IFERROR(INDEX('[2]PRICELIST, 908u'!$G$7:$AX$914,MATCH($B1144,'[2]PRICELIST, 908u'!$G$7:$G$914,0),30),"NA")</f>
        <v>Slant / PINK</v>
      </c>
      <c r="L1144" s="20">
        <f>IFERROR(INDEX('[2]PRICELIST, 908u'!$G$7:$AX$914,MATCH($B1144,'[2]PRICELIST, 908u'!$G$7:$G$914,0),40),"NA")</f>
        <v>2950000</v>
      </c>
      <c r="M1144" s="20">
        <f>IFERROR(INDEX('[2]PRICELIST, 908u'!$G$7:$AX$914,MATCH($B1144,'[2]PRICELIST, 908u'!$G$7:$G$914,0),41),"NA")</f>
        <v>100000</v>
      </c>
      <c r="N1144" s="58">
        <f t="shared" si="52"/>
        <v>2850000</v>
      </c>
      <c r="O1144" s="60"/>
      <c r="P1144" s="60">
        <f t="shared" si="51"/>
        <v>2850000</v>
      </c>
    </row>
    <row r="1145" spans="2:16">
      <c r="B1145" s="20" t="s">
        <v>1296</v>
      </c>
      <c r="C1145" s="20" t="s">
        <v>2</v>
      </c>
      <c r="D1145" s="20" t="str">
        <f>IFERROR(INDEX('[2]PRICELIST, 908u'!$G$7:$AX$914,MATCH($B1145,'[2]PRICELIST, 908u'!$G$7:$G$914,0),18),"NA")</f>
        <v>2025 - Batch 5</v>
      </c>
      <c r="E1145" s="20" t="str">
        <f>IFERROR(INDEX([3]AGM!$D$21:$BL$928,MATCH($B1145,[3]AGM!$AD$21:$AD$928,0),1),"NA")</f>
        <v>OS</v>
      </c>
      <c r="F1145" s="20" t="str">
        <f t="shared" si="50"/>
        <v>Block 16</v>
      </c>
      <c r="G1145" s="20" t="str">
        <f t="shared" si="49"/>
        <v>Lot 02</v>
      </c>
      <c r="H1145" s="20">
        <f>IFERROR(INDEX('[2]PRICELIST, 908u'!$G$7:$AX$914,MATCH($B1145,'[2]PRICELIST, 908u'!$G$7:$G$914,0),23),"NA")</f>
        <v>50</v>
      </c>
      <c r="I1145" s="20">
        <f>IFERROR(INDEX('[2]PRICELIST, 908u'!$G$7:$AX$914,MATCH($B1145,'[2]PRICELIST, 908u'!$G$7:$G$914,0),22),"NA")</f>
        <v>70</v>
      </c>
      <c r="J1145" s="20" t="s">
        <v>207</v>
      </c>
      <c r="K1145" s="20" t="str">
        <f>IFERROR(INDEX('[2]PRICELIST, 908u'!$G$7:$AX$914,MATCH($B1145,'[2]PRICELIST, 908u'!$G$7:$G$914,0),30),"NA")</f>
        <v>Flat / PINK</v>
      </c>
      <c r="L1145" s="20">
        <f>IFERROR(INDEX('[2]PRICELIST, 908u'!$G$7:$AX$914,MATCH($B1145,'[2]PRICELIST, 908u'!$G$7:$G$914,0),40),"NA")</f>
        <v>2650000</v>
      </c>
      <c r="M1145" s="20">
        <f>IFERROR(INDEX('[2]PRICELIST, 908u'!$G$7:$AX$914,MATCH($B1145,'[2]PRICELIST, 908u'!$G$7:$G$914,0),41),"NA")</f>
        <v>100000</v>
      </c>
      <c r="N1145" s="58">
        <f t="shared" si="52"/>
        <v>2550000</v>
      </c>
      <c r="O1145" s="60"/>
      <c r="P1145" s="60">
        <f t="shared" si="51"/>
        <v>2550000</v>
      </c>
    </row>
    <row r="1146" spans="2:16">
      <c r="B1146" s="20" t="s">
        <v>1297</v>
      </c>
      <c r="C1146" s="20" t="s">
        <v>2</v>
      </c>
      <c r="D1146" s="20" t="str">
        <f>IFERROR(INDEX('[2]PRICELIST, 908u'!$G$7:$AX$914,MATCH($B1146,'[2]PRICELIST, 908u'!$G$7:$G$914,0),18),"NA")</f>
        <v>2025 - Batch 5</v>
      </c>
      <c r="E1146" s="20" t="str">
        <f>IFERROR(INDEX([3]AGM!$D$21:$BL$928,MATCH($B1146,[3]AGM!$AD$21:$AD$928,0),1),"NA")</f>
        <v>OS</v>
      </c>
      <c r="F1146" s="20" t="str">
        <f t="shared" si="50"/>
        <v>Block 16</v>
      </c>
      <c r="G1146" s="20" t="str">
        <f t="shared" si="49"/>
        <v>Lot 03</v>
      </c>
      <c r="H1146" s="20">
        <f>IFERROR(INDEX('[2]PRICELIST, 908u'!$G$7:$AX$914,MATCH($B1146,'[2]PRICELIST, 908u'!$G$7:$G$914,0),23),"NA")</f>
        <v>50</v>
      </c>
      <c r="I1146" s="20">
        <f>IFERROR(INDEX('[2]PRICELIST, 908u'!$G$7:$AX$914,MATCH($B1146,'[2]PRICELIST, 908u'!$G$7:$G$914,0),22),"NA")</f>
        <v>70</v>
      </c>
      <c r="J1146" s="20" t="s">
        <v>207</v>
      </c>
      <c r="K1146" s="20" t="str">
        <f>IFERROR(INDEX('[2]PRICELIST, 908u'!$G$7:$AX$914,MATCH($B1146,'[2]PRICELIST, 908u'!$G$7:$G$914,0),30),"NA")</f>
        <v>Flat / PINK</v>
      </c>
      <c r="L1146" s="20">
        <f>IFERROR(INDEX('[2]PRICELIST, 908u'!$G$7:$AX$914,MATCH($B1146,'[2]PRICELIST, 908u'!$G$7:$G$914,0),40),"NA")</f>
        <v>2650000</v>
      </c>
      <c r="M1146" s="20">
        <f>IFERROR(INDEX('[2]PRICELIST, 908u'!$G$7:$AX$914,MATCH($B1146,'[2]PRICELIST, 908u'!$G$7:$G$914,0),41),"NA")</f>
        <v>100000</v>
      </c>
      <c r="N1146" s="58">
        <f t="shared" si="52"/>
        <v>2550000</v>
      </c>
      <c r="O1146" s="60"/>
      <c r="P1146" s="60">
        <f t="shared" si="51"/>
        <v>2550000</v>
      </c>
    </row>
    <row r="1147" spans="2:16">
      <c r="B1147" s="20" t="s">
        <v>1298</v>
      </c>
      <c r="C1147" s="20" t="s">
        <v>2</v>
      </c>
      <c r="D1147" s="20" t="str">
        <f>IFERROR(INDEX('[2]PRICELIST, 908u'!$G$7:$AX$914,MATCH($B1147,'[2]PRICELIST, 908u'!$G$7:$G$914,0),18),"NA")</f>
        <v>2025 - Batch 5</v>
      </c>
      <c r="E1147" s="20" t="str">
        <f>IFERROR(INDEX([3]AGM!$D$21:$BL$928,MATCH($B1147,[3]AGM!$AD$21:$AD$928,0),1),"NA")</f>
        <v>OS</v>
      </c>
      <c r="F1147" s="20" t="str">
        <f t="shared" si="50"/>
        <v>Block 16</v>
      </c>
      <c r="G1147" s="20" t="str">
        <f t="shared" si="49"/>
        <v>Lot 04</v>
      </c>
      <c r="H1147" s="20">
        <f>IFERROR(INDEX('[2]PRICELIST, 908u'!$G$7:$AX$914,MATCH($B1147,'[2]PRICELIST, 908u'!$G$7:$G$914,0),23),"NA")</f>
        <v>50</v>
      </c>
      <c r="I1147" s="20">
        <f>IFERROR(INDEX('[2]PRICELIST, 908u'!$G$7:$AX$914,MATCH($B1147,'[2]PRICELIST, 908u'!$G$7:$G$914,0),22),"NA")</f>
        <v>70</v>
      </c>
      <c r="J1147" s="20" t="s">
        <v>207</v>
      </c>
      <c r="K1147" s="20" t="str">
        <f>IFERROR(INDEX('[2]PRICELIST, 908u'!$G$7:$AX$914,MATCH($B1147,'[2]PRICELIST, 908u'!$G$7:$G$914,0),30),"NA")</f>
        <v>Slant / PINK</v>
      </c>
      <c r="L1147" s="20">
        <f>IFERROR(INDEX('[2]PRICELIST, 908u'!$G$7:$AX$914,MATCH($B1147,'[2]PRICELIST, 908u'!$G$7:$G$914,0),40),"NA")</f>
        <v>2650000</v>
      </c>
      <c r="M1147" s="20">
        <f>IFERROR(INDEX('[2]PRICELIST, 908u'!$G$7:$AX$914,MATCH($B1147,'[2]PRICELIST, 908u'!$G$7:$G$914,0),41),"NA")</f>
        <v>100000</v>
      </c>
      <c r="N1147" s="58">
        <f t="shared" si="52"/>
        <v>2550000</v>
      </c>
      <c r="O1147" s="60"/>
      <c r="P1147" s="60">
        <f t="shared" si="51"/>
        <v>2550000</v>
      </c>
    </row>
    <row r="1148" spans="2:16">
      <c r="B1148" s="20" t="s">
        <v>1299</v>
      </c>
      <c r="C1148" s="20" t="s">
        <v>2</v>
      </c>
      <c r="D1148" s="20" t="str">
        <f>IFERROR(INDEX('[2]PRICELIST, 908u'!$G$7:$AX$914,MATCH($B1148,'[2]PRICELIST, 908u'!$G$7:$G$914,0),18),"NA")</f>
        <v>2025 - Batch 5</v>
      </c>
      <c r="E1148" s="20" t="str">
        <f>IFERROR(INDEX([3]AGM!$D$21:$BL$928,MATCH($B1148,[3]AGM!$AD$21:$AD$928,0),1),"NA")</f>
        <v>OS</v>
      </c>
      <c r="F1148" s="20" t="str">
        <f t="shared" si="50"/>
        <v>Block 16</v>
      </c>
      <c r="G1148" s="20" t="str">
        <f t="shared" si="49"/>
        <v>Lot 05</v>
      </c>
      <c r="H1148" s="20">
        <f>IFERROR(INDEX('[2]PRICELIST, 908u'!$G$7:$AX$914,MATCH($B1148,'[2]PRICELIST, 908u'!$G$7:$G$914,0),23),"NA")</f>
        <v>50</v>
      </c>
      <c r="I1148" s="20">
        <f>IFERROR(INDEX('[2]PRICELIST, 908u'!$G$7:$AX$914,MATCH($B1148,'[2]PRICELIST, 908u'!$G$7:$G$914,0),22),"NA")</f>
        <v>70</v>
      </c>
      <c r="J1148" s="20" t="s">
        <v>207</v>
      </c>
      <c r="K1148" s="20" t="str">
        <f>IFERROR(INDEX('[2]PRICELIST, 908u'!$G$7:$AX$914,MATCH($B1148,'[2]PRICELIST, 908u'!$G$7:$G$914,0),30),"NA")</f>
        <v>Slant / YELLOW</v>
      </c>
      <c r="L1148" s="20">
        <f>IFERROR(INDEX('[2]PRICELIST, 908u'!$G$7:$AX$914,MATCH($B1148,'[2]PRICELIST, 908u'!$G$7:$G$914,0),40),"NA")</f>
        <v>2650000</v>
      </c>
      <c r="M1148" s="20">
        <f>IFERROR(INDEX('[2]PRICELIST, 908u'!$G$7:$AX$914,MATCH($B1148,'[2]PRICELIST, 908u'!$G$7:$G$914,0),41),"NA")</f>
        <v>100000</v>
      </c>
      <c r="N1148" s="58">
        <f t="shared" si="52"/>
        <v>2550000</v>
      </c>
      <c r="O1148" s="60"/>
      <c r="P1148" s="60">
        <f t="shared" si="51"/>
        <v>2550000</v>
      </c>
    </row>
    <row r="1149" spans="2:16">
      <c r="B1149" s="20" t="s">
        <v>1300</v>
      </c>
      <c r="C1149" s="20" t="s">
        <v>2</v>
      </c>
      <c r="D1149" s="20" t="str">
        <f>IFERROR(INDEX('[2]PRICELIST, 908u'!$G$7:$AX$914,MATCH($B1149,'[2]PRICELIST, 908u'!$G$7:$G$914,0),18),"NA")</f>
        <v>2025 - Batch 5</v>
      </c>
      <c r="E1149" s="20" t="str">
        <f>IFERROR(INDEX([3]AGM!$D$21:$BL$928,MATCH($B1149,[3]AGM!$AD$21:$AD$928,0),1),"NA")</f>
        <v>OS</v>
      </c>
      <c r="F1149" s="20" t="str">
        <f t="shared" si="50"/>
        <v>Block 16</v>
      </c>
      <c r="G1149" s="20" t="str">
        <f t="shared" si="49"/>
        <v>Lot 06</v>
      </c>
      <c r="H1149" s="20">
        <f>IFERROR(INDEX('[2]PRICELIST, 908u'!$G$7:$AX$914,MATCH($B1149,'[2]PRICELIST, 908u'!$G$7:$G$914,0),23),"NA")</f>
        <v>50</v>
      </c>
      <c r="I1149" s="20">
        <f>IFERROR(INDEX('[2]PRICELIST, 908u'!$G$7:$AX$914,MATCH($B1149,'[2]PRICELIST, 908u'!$G$7:$G$914,0),22),"NA")</f>
        <v>70</v>
      </c>
      <c r="J1149" s="20" t="s">
        <v>207</v>
      </c>
      <c r="K1149" s="20" t="str">
        <f>IFERROR(INDEX('[2]PRICELIST, 908u'!$G$7:$AX$914,MATCH($B1149,'[2]PRICELIST, 908u'!$G$7:$G$914,0),30),"NA")</f>
        <v>Flat / YELLOW</v>
      </c>
      <c r="L1149" s="20">
        <f>IFERROR(INDEX('[2]PRICELIST, 908u'!$G$7:$AX$914,MATCH($B1149,'[2]PRICELIST, 908u'!$G$7:$G$914,0),40),"NA")</f>
        <v>2650000</v>
      </c>
      <c r="M1149" s="20">
        <f>IFERROR(INDEX('[2]PRICELIST, 908u'!$G$7:$AX$914,MATCH($B1149,'[2]PRICELIST, 908u'!$G$7:$G$914,0),41),"NA")</f>
        <v>100000</v>
      </c>
      <c r="N1149" s="58">
        <f t="shared" si="52"/>
        <v>2550000</v>
      </c>
      <c r="O1149" s="60"/>
      <c r="P1149" s="60">
        <f t="shared" si="51"/>
        <v>2550000</v>
      </c>
    </row>
    <row r="1150" spans="2:16">
      <c r="B1150" s="20" t="s">
        <v>1301</v>
      </c>
      <c r="C1150" s="20" t="s">
        <v>2</v>
      </c>
      <c r="D1150" s="20" t="str">
        <f>IFERROR(INDEX('[2]PRICELIST, 908u'!$G$7:$AX$914,MATCH($B1150,'[2]PRICELIST, 908u'!$G$7:$G$914,0),18),"NA")</f>
        <v>2025 - Batch 5</v>
      </c>
      <c r="E1150" s="20" t="str">
        <f>IFERROR(INDEX([3]AGM!$D$21:$BL$928,MATCH($B1150,[3]AGM!$AD$21:$AD$928,0),1),"NA")</f>
        <v>OS</v>
      </c>
      <c r="F1150" s="20" t="str">
        <f t="shared" si="50"/>
        <v>Block 16</v>
      </c>
      <c r="G1150" s="20" t="str">
        <f t="shared" si="49"/>
        <v>Lot 07</v>
      </c>
      <c r="H1150" s="20">
        <f>IFERROR(INDEX('[2]PRICELIST, 908u'!$G$7:$AX$914,MATCH($B1150,'[2]PRICELIST, 908u'!$G$7:$G$914,0),23),"NA")</f>
        <v>50</v>
      </c>
      <c r="I1150" s="20">
        <f>IFERROR(INDEX('[2]PRICELIST, 908u'!$G$7:$AX$914,MATCH($B1150,'[2]PRICELIST, 908u'!$G$7:$G$914,0),22),"NA")</f>
        <v>70</v>
      </c>
      <c r="J1150" s="20" t="s">
        <v>207</v>
      </c>
      <c r="K1150" s="20" t="str">
        <f>IFERROR(INDEX('[2]PRICELIST, 908u'!$G$7:$AX$914,MATCH($B1150,'[2]PRICELIST, 908u'!$G$7:$G$914,0),30),"NA")</f>
        <v>Flat / YELLOW</v>
      </c>
      <c r="L1150" s="20">
        <f>IFERROR(INDEX('[2]PRICELIST, 908u'!$G$7:$AX$914,MATCH($B1150,'[2]PRICELIST, 908u'!$G$7:$G$914,0),40),"NA")</f>
        <v>2650000</v>
      </c>
      <c r="M1150" s="20">
        <f>IFERROR(INDEX('[2]PRICELIST, 908u'!$G$7:$AX$914,MATCH($B1150,'[2]PRICELIST, 908u'!$G$7:$G$914,0),41),"NA")</f>
        <v>100000</v>
      </c>
      <c r="N1150" s="58">
        <f t="shared" si="52"/>
        <v>2550000</v>
      </c>
      <c r="O1150" s="60"/>
      <c r="P1150" s="60">
        <f t="shared" si="51"/>
        <v>2550000</v>
      </c>
    </row>
    <row r="1151" spans="2:16">
      <c r="B1151" s="22" t="s">
        <v>1302</v>
      </c>
      <c r="C1151" s="20" t="s">
        <v>2</v>
      </c>
      <c r="D1151" s="20" t="str">
        <f>IFERROR(INDEX('[2]PRICELIST, 908u'!$G$7:$AX$914,MATCH($B1151,'[2]PRICELIST, 908u'!$G$7:$G$914,0),18),"NA")</f>
        <v>2025 - Batch 5</v>
      </c>
      <c r="E1151" s="20" t="str">
        <f>IFERROR(INDEX([3]AGM!$D$21:$BL$928,MATCH($B1151,[3]AGM!$AD$21:$AD$928,0),1),"NA")</f>
        <v>OS</v>
      </c>
      <c r="F1151" s="20" t="str">
        <f t="shared" si="50"/>
        <v>Block 16</v>
      </c>
      <c r="G1151" s="20" t="str">
        <f t="shared" si="49"/>
        <v>Lot 08</v>
      </c>
      <c r="H1151" s="20">
        <f>IFERROR(INDEX('[2]PRICELIST, 908u'!$G$7:$AX$914,MATCH($B1151,'[2]PRICELIST, 908u'!$G$7:$G$914,0),23),"NA")</f>
        <v>50</v>
      </c>
      <c r="I1151" s="20">
        <f>IFERROR(INDEX('[2]PRICELIST, 908u'!$G$7:$AX$914,MATCH($B1151,'[2]PRICELIST, 908u'!$G$7:$G$914,0),22),"NA")</f>
        <v>90</v>
      </c>
      <c r="J1151" s="20" t="s">
        <v>207</v>
      </c>
      <c r="K1151" s="20" t="str">
        <f>IFERROR(INDEX('[2]PRICELIST, 908u'!$G$7:$AX$914,MATCH($B1151,'[2]PRICELIST, 908u'!$G$7:$G$914,0),30),"NA")</f>
        <v>Slant / YELLOW</v>
      </c>
      <c r="L1151" s="20">
        <f>IFERROR(INDEX('[2]PRICELIST, 908u'!$G$7:$AX$914,MATCH($B1151,'[2]PRICELIST, 908u'!$G$7:$G$914,0),40),"NA")</f>
        <v>2950000</v>
      </c>
      <c r="M1151" s="20">
        <f>IFERROR(INDEX('[2]PRICELIST, 908u'!$G$7:$AX$914,MATCH($B1151,'[2]PRICELIST, 908u'!$G$7:$G$914,0),41),"NA")</f>
        <v>100000</v>
      </c>
      <c r="N1151" s="58">
        <f t="shared" si="52"/>
        <v>2850000</v>
      </c>
      <c r="O1151" s="60"/>
      <c r="P1151" s="60">
        <f t="shared" si="51"/>
        <v>2850000</v>
      </c>
    </row>
    <row r="1152" spans="2:16">
      <c r="B1152" s="20" t="s">
        <v>1303</v>
      </c>
      <c r="C1152" s="20" t="s">
        <v>2</v>
      </c>
      <c r="D1152" s="20" t="str">
        <f>IFERROR(INDEX('[2]PRICELIST, 908u'!$G$7:$AX$914,MATCH($B1152,'[2]PRICELIST, 908u'!$G$7:$G$914,0),18),"NA")</f>
        <v>2025 - Batch 5</v>
      </c>
      <c r="E1152" s="20" t="str">
        <f>IFERROR(INDEX([3]AGM!$D$21:$BL$928,MATCH($B1152,[3]AGM!$AD$21:$AD$928,0),1),"NA")</f>
        <v>OS</v>
      </c>
      <c r="F1152" s="20" t="str">
        <f t="shared" si="50"/>
        <v>Block 16</v>
      </c>
      <c r="G1152" s="20" t="str">
        <f t="shared" si="49"/>
        <v>Lot 09</v>
      </c>
      <c r="H1152" s="20">
        <f>IFERROR(INDEX('[2]PRICELIST, 908u'!$G$7:$AX$914,MATCH($B1152,'[2]PRICELIST, 908u'!$G$7:$G$914,0),23),"NA")</f>
        <v>50</v>
      </c>
      <c r="I1152" s="20">
        <f>IFERROR(INDEX('[2]PRICELIST, 908u'!$G$7:$AX$914,MATCH($B1152,'[2]PRICELIST, 908u'!$G$7:$G$914,0),22),"NA")</f>
        <v>88</v>
      </c>
      <c r="J1152" s="20" t="s">
        <v>207</v>
      </c>
      <c r="K1152" s="20" t="str">
        <f>IFERROR(INDEX('[2]PRICELIST, 908u'!$G$7:$AX$914,MATCH($B1152,'[2]PRICELIST, 908u'!$G$7:$G$914,0),30),"NA")</f>
        <v>Flat / PURPLE</v>
      </c>
      <c r="L1152" s="20">
        <f>IFERROR(INDEX('[2]PRICELIST, 908u'!$G$7:$AX$914,MATCH($B1152,'[2]PRICELIST, 908u'!$G$7:$G$914,0),40),"NA")</f>
        <v>2920000</v>
      </c>
      <c r="M1152" s="20">
        <f>IFERROR(INDEX('[2]PRICELIST, 908u'!$G$7:$AX$914,MATCH($B1152,'[2]PRICELIST, 908u'!$G$7:$G$914,0),41),"NA")</f>
        <v>100000</v>
      </c>
      <c r="N1152" s="58">
        <f t="shared" si="52"/>
        <v>2820000</v>
      </c>
      <c r="O1152" s="60"/>
      <c r="P1152" s="60">
        <f t="shared" si="51"/>
        <v>2820000</v>
      </c>
    </row>
    <row r="1153" spans="2:16">
      <c r="B1153" s="20" t="s">
        <v>1304</v>
      </c>
      <c r="C1153" s="20" t="s">
        <v>2</v>
      </c>
      <c r="D1153" s="20" t="str">
        <f>IFERROR(INDEX('[2]PRICELIST, 908u'!$G$7:$AX$914,MATCH($B1153,'[2]PRICELIST, 908u'!$G$7:$G$914,0),18),"NA")</f>
        <v>2025 - Batch 5</v>
      </c>
      <c r="E1153" s="20" t="str">
        <f>IFERROR(INDEX([3]AGM!$D$21:$BL$928,MATCH($B1153,[3]AGM!$AD$21:$AD$928,0),1),"NA")</f>
        <v>OS</v>
      </c>
      <c r="F1153" s="20" t="str">
        <f t="shared" si="50"/>
        <v>Block 16</v>
      </c>
      <c r="G1153" s="20" t="str">
        <f t="shared" si="49"/>
        <v>Lot 10</v>
      </c>
      <c r="H1153" s="20">
        <f>IFERROR(INDEX('[2]PRICELIST, 908u'!$G$7:$AX$914,MATCH($B1153,'[2]PRICELIST, 908u'!$G$7:$G$914,0),23),"NA")</f>
        <v>50</v>
      </c>
      <c r="I1153" s="20">
        <f>IFERROR(INDEX('[2]PRICELIST, 908u'!$G$7:$AX$914,MATCH($B1153,'[2]PRICELIST, 908u'!$G$7:$G$914,0),22),"NA")</f>
        <v>70</v>
      </c>
      <c r="J1153" s="20" t="s">
        <v>207</v>
      </c>
      <c r="K1153" s="20" t="str">
        <f>IFERROR(INDEX('[2]PRICELIST, 908u'!$G$7:$AX$914,MATCH($B1153,'[2]PRICELIST, 908u'!$G$7:$G$914,0),30),"NA")</f>
        <v>Slant / PURPLE</v>
      </c>
      <c r="L1153" s="20">
        <f>IFERROR(INDEX('[2]PRICELIST, 908u'!$G$7:$AX$914,MATCH($B1153,'[2]PRICELIST, 908u'!$G$7:$G$914,0),40),"NA")</f>
        <v>2650000</v>
      </c>
      <c r="M1153" s="20">
        <f>IFERROR(INDEX('[2]PRICELIST, 908u'!$G$7:$AX$914,MATCH($B1153,'[2]PRICELIST, 908u'!$G$7:$G$914,0),41),"NA")</f>
        <v>100000</v>
      </c>
      <c r="N1153" s="58">
        <f t="shared" si="52"/>
        <v>2550000</v>
      </c>
      <c r="O1153" s="60"/>
      <c r="P1153" s="60">
        <f t="shared" si="51"/>
        <v>2550000</v>
      </c>
    </row>
    <row r="1154" spans="2:16">
      <c r="B1154" s="20" t="s">
        <v>1305</v>
      </c>
      <c r="C1154" s="20" t="s">
        <v>2</v>
      </c>
      <c r="D1154" s="20" t="str">
        <f>IFERROR(INDEX('[2]PRICELIST, 908u'!$G$7:$AX$914,MATCH($B1154,'[2]PRICELIST, 908u'!$G$7:$G$914,0),18),"NA")</f>
        <v>2025 - Batch 5</v>
      </c>
      <c r="E1154" s="20" t="str">
        <f>IFERROR(INDEX([3]AGM!$D$21:$BL$928,MATCH($B1154,[3]AGM!$AD$21:$AD$928,0),1),"NA")</f>
        <v>OS</v>
      </c>
      <c r="F1154" s="20" t="str">
        <f t="shared" si="50"/>
        <v>Block 16</v>
      </c>
      <c r="G1154" s="20" t="str">
        <f t="shared" si="49"/>
        <v>Lot 11</v>
      </c>
      <c r="H1154" s="20">
        <f>IFERROR(INDEX('[2]PRICELIST, 908u'!$G$7:$AX$914,MATCH($B1154,'[2]PRICELIST, 908u'!$G$7:$G$914,0),23),"NA")</f>
        <v>50</v>
      </c>
      <c r="I1154" s="20">
        <f>IFERROR(INDEX('[2]PRICELIST, 908u'!$G$7:$AX$914,MATCH($B1154,'[2]PRICELIST, 908u'!$G$7:$G$914,0),22),"NA")</f>
        <v>70</v>
      </c>
      <c r="J1154" s="20" t="s">
        <v>207</v>
      </c>
      <c r="K1154" s="20" t="str">
        <f>IFERROR(INDEX('[2]PRICELIST, 908u'!$G$7:$AX$914,MATCH($B1154,'[2]PRICELIST, 908u'!$G$7:$G$914,0),30),"NA")</f>
        <v>Slant / PURPLE</v>
      </c>
      <c r="L1154" s="20">
        <f>IFERROR(INDEX('[2]PRICELIST, 908u'!$G$7:$AX$914,MATCH($B1154,'[2]PRICELIST, 908u'!$G$7:$G$914,0),40),"NA")</f>
        <v>2650000</v>
      </c>
      <c r="M1154" s="20">
        <f>IFERROR(INDEX('[2]PRICELIST, 908u'!$G$7:$AX$914,MATCH($B1154,'[2]PRICELIST, 908u'!$G$7:$G$914,0),41),"NA")</f>
        <v>100000</v>
      </c>
      <c r="N1154" s="58">
        <f t="shared" si="52"/>
        <v>2550000</v>
      </c>
      <c r="O1154" s="60"/>
      <c r="P1154" s="60">
        <f t="shared" si="51"/>
        <v>2550000</v>
      </c>
    </row>
    <row r="1155" spans="2:16">
      <c r="B1155" s="20" t="s">
        <v>1306</v>
      </c>
      <c r="C1155" s="20" t="s">
        <v>2</v>
      </c>
      <c r="D1155" s="20" t="str">
        <f>IFERROR(INDEX('[2]PRICELIST, 908u'!$G$7:$AX$914,MATCH($B1155,'[2]PRICELIST, 908u'!$G$7:$G$914,0),18),"NA")</f>
        <v>2025 - Batch 5</v>
      </c>
      <c r="E1155" s="20" t="str">
        <f>IFERROR(INDEX([3]AGM!$D$21:$BL$928,MATCH($B1155,[3]AGM!$AD$21:$AD$928,0),1),"NA")</f>
        <v>OS</v>
      </c>
      <c r="F1155" s="20" t="str">
        <f t="shared" si="50"/>
        <v>Block 16</v>
      </c>
      <c r="G1155" s="20" t="str">
        <f t="shared" si="49"/>
        <v>Lot 12</v>
      </c>
      <c r="H1155" s="20">
        <f>IFERROR(INDEX('[2]PRICELIST, 908u'!$G$7:$AX$914,MATCH($B1155,'[2]PRICELIST, 908u'!$G$7:$G$914,0),23),"NA")</f>
        <v>50</v>
      </c>
      <c r="I1155" s="20">
        <f>IFERROR(INDEX('[2]PRICELIST, 908u'!$G$7:$AX$914,MATCH($B1155,'[2]PRICELIST, 908u'!$G$7:$G$914,0),22),"NA")</f>
        <v>70</v>
      </c>
      <c r="J1155" s="20" t="s">
        <v>207</v>
      </c>
      <c r="K1155" s="20" t="str">
        <f>IFERROR(INDEX('[2]PRICELIST, 908u'!$G$7:$AX$914,MATCH($B1155,'[2]PRICELIST, 908u'!$G$7:$G$914,0),30),"NA")</f>
        <v>Flat / PURPLE</v>
      </c>
      <c r="L1155" s="20">
        <f>IFERROR(INDEX('[2]PRICELIST, 908u'!$G$7:$AX$914,MATCH($B1155,'[2]PRICELIST, 908u'!$G$7:$G$914,0),40),"NA")</f>
        <v>2650000</v>
      </c>
      <c r="M1155" s="20">
        <f>IFERROR(INDEX('[2]PRICELIST, 908u'!$G$7:$AX$914,MATCH($B1155,'[2]PRICELIST, 908u'!$G$7:$G$914,0),41),"NA")</f>
        <v>100000</v>
      </c>
      <c r="N1155" s="58">
        <f t="shared" si="52"/>
        <v>2550000</v>
      </c>
      <c r="O1155" s="60"/>
      <c r="P1155" s="60">
        <f t="shared" si="51"/>
        <v>2550000</v>
      </c>
    </row>
    <row r="1156" spans="2:16">
      <c r="B1156" s="20" t="s">
        <v>1307</v>
      </c>
      <c r="C1156" s="20" t="s">
        <v>2</v>
      </c>
      <c r="D1156" s="20" t="str">
        <f>IFERROR(INDEX('[2]PRICELIST, 908u'!$G$7:$AX$914,MATCH($B1156,'[2]PRICELIST, 908u'!$G$7:$G$914,0),18),"NA")</f>
        <v>2025 - Batch 5</v>
      </c>
      <c r="E1156" s="20" t="str">
        <f>IFERROR(INDEX([3]AGM!$D$21:$BL$928,MATCH($B1156,[3]AGM!$AD$21:$AD$928,0),1),"NA")</f>
        <v>OS</v>
      </c>
      <c r="F1156" s="20" t="str">
        <f t="shared" si="50"/>
        <v>Block 16</v>
      </c>
      <c r="G1156" s="20" t="str">
        <f t="shared" si="49"/>
        <v>Lot 13</v>
      </c>
      <c r="H1156" s="20">
        <f>IFERROR(INDEX('[2]PRICELIST, 908u'!$G$7:$AX$914,MATCH($B1156,'[2]PRICELIST, 908u'!$G$7:$G$914,0),23),"NA")</f>
        <v>50</v>
      </c>
      <c r="I1156" s="20">
        <f>IFERROR(INDEX('[2]PRICELIST, 908u'!$G$7:$AX$914,MATCH($B1156,'[2]PRICELIST, 908u'!$G$7:$G$914,0),22),"NA")</f>
        <v>70</v>
      </c>
      <c r="J1156" s="20" t="s">
        <v>207</v>
      </c>
      <c r="K1156" s="20" t="str">
        <f>IFERROR(INDEX('[2]PRICELIST, 908u'!$G$7:$AX$914,MATCH($B1156,'[2]PRICELIST, 908u'!$G$7:$G$914,0),30),"NA")</f>
        <v>Flat / GREEN</v>
      </c>
      <c r="L1156" s="20">
        <f>IFERROR(INDEX('[2]PRICELIST, 908u'!$G$7:$AX$914,MATCH($B1156,'[2]PRICELIST, 908u'!$G$7:$G$914,0),40),"NA")</f>
        <v>2650000</v>
      </c>
      <c r="M1156" s="20">
        <f>IFERROR(INDEX('[2]PRICELIST, 908u'!$G$7:$AX$914,MATCH($B1156,'[2]PRICELIST, 908u'!$G$7:$G$914,0),41),"NA")</f>
        <v>100000</v>
      </c>
      <c r="N1156" s="58">
        <f t="shared" si="52"/>
        <v>2550000</v>
      </c>
      <c r="O1156" s="60"/>
      <c r="P1156" s="60">
        <f t="shared" si="51"/>
        <v>2550000</v>
      </c>
    </row>
    <row r="1157" spans="2:16">
      <c r="B1157" s="20" t="s">
        <v>1308</v>
      </c>
      <c r="C1157" s="20" t="s">
        <v>2</v>
      </c>
      <c r="D1157" s="20" t="str">
        <f>IFERROR(INDEX('[2]PRICELIST, 908u'!$G$7:$AX$914,MATCH($B1157,'[2]PRICELIST, 908u'!$G$7:$G$914,0),18),"NA")</f>
        <v>2025 - Batch 5</v>
      </c>
      <c r="E1157" s="20" t="str">
        <f>IFERROR(INDEX([3]AGM!$D$21:$BL$928,MATCH($B1157,[3]AGM!$AD$21:$AD$928,0),1),"NA")</f>
        <v>OS</v>
      </c>
      <c r="F1157" s="20" t="str">
        <f t="shared" si="50"/>
        <v>Block 16</v>
      </c>
      <c r="G1157" s="20" t="str">
        <f t="shared" si="49"/>
        <v>Lot 14</v>
      </c>
      <c r="H1157" s="20">
        <f>IFERROR(INDEX('[2]PRICELIST, 908u'!$G$7:$AX$914,MATCH($B1157,'[2]PRICELIST, 908u'!$G$7:$G$914,0),23),"NA")</f>
        <v>50</v>
      </c>
      <c r="I1157" s="20">
        <f>IFERROR(INDEX('[2]PRICELIST, 908u'!$G$7:$AX$914,MATCH($B1157,'[2]PRICELIST, 908u'!$G$7:$G$914,0),22),"NA")</f>
        <v>70</v>
      </c>
      <c r="J1157" s="20" t="s">
        <v>207</v>
      </c>
      <c r="K1157" s="20" t="str">
        <f>IFERROR(INDEX('[2]PRICELIST, 908u'!$G$7:$AX$914,MATCH($B1157,'[2]PRICELIST, 908u'!$G$7:$G$914,0),30),"NA")</f>
        <v>Slant / GREEN</v>
      </c>
      <c r="L1157" s="20">
        <f>IFERROR(INDEX('[2]PRICELIST, 908u'!$G$7:$AX$914,MATCH($B1157,'[2]PRICELIST, 908u'!$G$7:$G$914,0),40),"NA")</f>
        <v>2650000</v>
      </c>
      <c r="M1157" s="20">
        <f>IFERROR(INDEX('[2]PRICELIST, 908u'!$G$7:$AX$914,MATCH($B1157,'[2]PRICELIST, 908u'!$G$7:$G$914,0),41),"NA")</f>
        <v>100000</v>
      </c>
      <c r="N1157" s="58">
        <f t="shared" si="52"/>
        <v>2550000</v>
      </c>
      <c r="O1157" s="60"/>
      <c r="P1157" s="60">
        <f t="shared" si="51"/>
        <v>2550000</v>
      </c>
    </row>
    <row r="1158" spans="2:16">
      <c r="B1158" s="20" t="s">
        <v>1309</v>
      </c>
      <c r="C1158" s="20" t="s">
        <v>2</v>
      </c>
      <c r="D1158" s="20" t="str">
        <f>IFERROR(INDEX('[2]PRICELIST, 908u'!$G$7:$AX$914,MATCH($B1158,'[2]PRICELIST, 908u'!$G$7:$G$914,0),18),"NA")</f>
        <v>2025 - Batch 5</v>
      </c>
      <c r="E1158" s="20" t="str">
        <f>IFERROR(INDEX([3]AGM!$D$21:$BL$928,MATCH($B1158,[3]AGM!$AD$21:$AD$928,0),1),"NA")</f>
        <v>OS</v>
      </c>
      <c r="F1158" s="20" t="str">
        <f t="shared" si="50"/>
        <v>Block 16</v>
      </c>
      <c r="G1158" s="20" t="str">
        <f t="shared" si="49"/>
        <v>Lot 15</v>
      </c>
      <c r="H1158" s="20">
        <f>IFERROR(INDEX('[2]PRICELIST, 908u'!$G$7:$AX$914,MATCH($B1158,'[2]PRICELIST, 908u'!$G$7:$G$914,0),23),"NA")</f>
        <v>50</v>
      </c>
      <c r="I1158" s="20">
        <f>IFERROR(INDEX('[2]PRICELIST, 908u'!$G$7:$AX$914,MATCH($B1158,'[2]PRICELIST, 908u'!$G$7:$G$914,0),22),"NA")</f>
        <v>70</v>
      </c>
      <c r="J1158" s="20" t="s">
        <v>207</v>
      </c>
      <c r="K1158" s="20" t="str">
        <f>IFERROR(INDEX('[2]PRICELIST, 908u'!$G$7:$AX$914,MATCH($B1158,'[2]PRICELIST, 908u'!$G$7:$G$914,0),30),"NA")</f>
        <v>Slant / GREEN</v>
      </c>
      <c r="L1158" s="20">
        <f>IFERROR(INDEX('[2]PRICELIST, 908u'!$G$7:$AX$914,MATCH($B1158,'[2]PRICELIST, 908u'!$G$7:$G$914,0),40),"NA")</f>
        <v>2650000</v>
      </c>
      <c r="M1158" s="20">
        <f>IFERROR(INDEX('[2]PRICELIST, 908u'!$G$7:$AX$914,MATCH($B1158,'[2]PRICELIST, 908u'!$G$7:$G$914,0),41),"NA")</f>
        <v>100000</v>
      </c>
      <c r="N1158" s="58">
        <f t="shared" si="52"/>
        <v>2550000</v>
      </c>
      <c r="O1158" s="60"/>
      <c r="P1158" s="60">
        <f t="shared" si="51"/>
        <v>2550000</v>
      </c>
    </row>
    <row r="1159" spans="2:16">
      <c r="B1159" s="20" t="s">
        <v>1310</v>
      </c>
      <c r="C1159" s="20" t="s">
        <v>2</v>
      </c>
      <c r="D1159" s="20" t="str">
        <f>IFERROR(INDEX('[2]PRICELIST, 908u'!$G$7:$AX$914,MATCH($B1159,'[2]PRICELIST, 908u'!$G$7:$G$914,0),18),"NA")</f>
        <v>2025 - Batch 5</v>
      </c>
      <c r="E1159" s="20" t="str">
        <f>IFERROR(INDEX([3]AGM!$D$21:$BL$928,MATCH($B1159,[3]AGM!$AD$21:$AD$928,0),1),"NA")</f>
        <v>OS</v>
      </c>
      <c r="F1159" s="20" t="str">
        <f t="shared" si="50"/>
        <v>Block 16</v>
      </c>
      <c r="G1159" s="20" t="str">
        <f t="shared" si="49"/>
        <v>Lot 16</v>
      </c>
      <c r="H1159" s="20">
        <f>IFERROR(INDEX('[2]PRICELIST, 908u'!$G$7:$AX$914,MATCH($B1159,'[2]PRICELIST, 908u'!$G$7:$G$914,0),23),"NA")</f>
        <v>50</v>
      </c>
      <c r="I1159" s="20">
        <f>IFERROR(INDEX('[2]PRICELIST, 908u'!$G$7:$AX$914,MATCH($B1159,'[2]PRICELIST, 908u'!$G$7:$G$914,0),22),"NA")</f>
        <v>90</v>
      </c>
      <c r="J1159" s="20" t="s">
        <v>207</v>
      </c>
      <c r="K1159" s="20" t="str">
        <f>IFERROR(INDEX('[2]PRICELIST, 908u'!$G$7:$AX$914,MATCH($B1159,'[2]PRICELIST, 908u'!$G$7:$G$914,0),30),"NA")</f>
        <v>Flat / GREEN</v>
      </c>
      <c r="L1159" s="20">
        <f>IFERROR(INDEX('[2]PRICELIST, 908u'!$G$7:$AX$914,MATCH($B1159,'[2]PRICELIST, 908u'!$G$7:$G$914,0),40),"NA")</f>
        <v>2950000</v>
      </c>
      <c r="M1159" s="20">
        <f>IFERROR(INDEX('[2]PRICELIST, 908u'!$G$7:$AX$914,MATCH($B1159,'[2]PRICELIST, 908u'!$G$7:$G$914,0),41),"NA")</f>
        <v>100000</v>
      </c>
      <c r="N1159" s="58">
        <f t="shared" si="52"/>
        <v>2850000</v>
      </c>
      <c r="O1159" s="60"/>
      <c r="P1159" s="60">
        <f t="shared" si="51"/>
        <v>2850000</v>
      </c>
    </row>
    <row r="1160" spans="2:16">
      <c r="B1160" s="20" t="s">
        <v>1311</v>
      </c>
      <c r="C1160" s="20" t="s">
        <v>2</v>
      </c>
      <c r="D1160" s="20" t="str">
        <f>IFERROR(INDEX('[2]PRICELIST, 908u'!$G$7:$AX$914,MATCH($B1160,'[2]PRICELIST, 908u'!$G$7:$G$914,0),18),"NA")</f>
        <v>2025 - Batch 3</v>
      </c>
      <c r="E1160" s="20" t="str">
        <f>IFERROR(INDEX([3]AGM!$D$21:$BL$928,MATCH($B1160,[3]AGM!$AD$21:$AD$928,0),1),"NA")</f>
        <v>OS</v>
      </c>
      <c r="F1160" s="20" t="str">
        <f t="shared" si="50"/>
        <v>Block 17</v>
      </c>
      <c r="G1160" s="20" t="str">
        <f t="shared" si="49"/>
        <v>Lot 01</v>
      </c>
      <c r="H1160" s="20">
        <f>IFERROR(INDEX('[2]PRICELIST, 908u'!$G$7:$AX$914,MATCH($B1160,'[2]PRICELIST, 908u'!$G$7:$G$914,0),23),"NA")</f>
        <v>50</v>
      </c>
      <c r="I1160" s="20">
        <f>IFERROR(INDEX('[2]PRICELIST, 908u'!$G$7:$AX$914,MATCH($B1160,'[2]PRICELIST, 908u'!$G$7:$G$914,0),22),"NA")</f>
        <v>97</v>
      </c>
      <c r="J1160" s="20" t="s">
        <v>207</v>
      </c>
      <c r="K1160" s="20" t="str">
        <f>IFERROR(INDEX('[2]PRICELIST, 908u'!$G$7:$AX$914,MATCH($B1160,'[2]PRICELIST, 908u'!$G$7:$G$914,0),30),"NA")</f>
        <v>Slant / GREEN</v>
      </c>
      <c r="L1160" s="20">
        <f>IFERROR(INDEX('[2]PRICELIST, 908u'!$G$7:$AX$914,MATCH($B1160,'[2]PRICELIST, 908u'!$G$7:$G$914,0),40),"NA")</f>
        <v>3055000</v>
      </c>
      <c r="M1160" s="20">
        <f>IFERROR(INDEX('[2]PRICELIST, 908u'!$G$7:$AX$914,MATCH($B1160,'[2]PRICELIST, 908u'!$G$7:$G$914,0),41),"NA")</f>
        <v>100000</v>
      </c>
      <c r="N1160" s="58">
        <f t="shared" si="52"/>
        <v>2955000</v>
      </c>
      <c r="O1160" s="60"/>
      <c r="P1160" s="60">
        <f t="shared" si="51"/>
        <v>2955000</v>
      </c>
    </row>
    <row r="1161" spans="2:16">
      <c r="B1161" s="20" t="s">
        <v>1312</v>
      </c>
      <c r="C1161" s="20" t="s">
        <v>2</v>
      </c>
      <c r="D1161" s="20" t="str">
        <f>IFERROR(INDEX('[2]PRICELIST, 908u'!$G$7:$AX$914,MATCH($B1161,'[2]PRICELIST, 908u'!$G$7:$G$914,0),18),"NA")</f>
        <v>2025 - Batch 3</v>
      </c>
      <c r="E1161" s="20" t="str">
        <f>IFERROR(INDEX([3]AGM!$D$21:$BL$928,MATCH($B1161,[3]AGM!$AD$21:$AD$928,0),1),"NA")</f>
        <v>OS</v>
      </c>
      <c r="F1161" s="20" t="str">
        <f t="shared" si="50"/>
        <v>Block 17</v>
      </c>
      <c r="G1161" s="20" t="str">
        <f t="shared" si="49"/>
        <v>Lot 02</v>
      </c>
      <c r="H1161" s="20">
        <f>IFERROR(INDEX('[2]PRICELIST, 908u'!$G$7:$AX$914,MATCH($B1161,'[2]PRICELIST, 908u'!$G$7:$G$914,0),23),"NA")</f>
        <v>50</v>
      </c>
      <c r="I1161" s="20">
        <f>IFERROR(INDEX('[2]PRICELIST, 908u'!$G$7:$AX$914,MATCH($B1161,'[2]PRICELIST, 908u'!$G$7:$G$914,0),22),"NA")</f>
        <v>80</v>
      </c>
      <c r="J1161" s="20" t="s">
        <v>207</v>
      </c>
      <c r="K1161" s="20" t="str">
        <f>IFERROR(INDEX('[2]PRICELIST, 908u'!$G$7:$AX$914,MATCH($B1161,'[2]PRICELIST, 908u'!$G$7:$G$914,0),30),"NA")</f>
        <v>Flat / GREEN</v>
      </c>
      <c r="L1161" s="20">
        <f>IFERROR(INDEX('[2]PRICELIST, 908u'!$G$7:$AX$914,MATCH($B1161,'[2]PRICELIST, 908u'!$G$7:$G$914,0),40),"NA")</f>
        <v>2800000</v>
      </c>
      <c r="M1161" s="20">
        <f>IFERROR(INDEX('[2]PRICELIST, 908u'!$G$7:$AX$914,MATCH($B1161,'[2]PRICELIST, 908u'!$G$7:$G$914,0),41),"NA")</f>
        <v>100000</v>
      </c>
      <c r="N1161" s="58">
        <f t="shared" si="52"/>
        <v>2700000</v>
      </c>
      <c r="O1161" s="60"/>
      <c r="P1161" s="60">
        <f t="shared" si="51"/>
        <v>2700000</v>
      </c>
    </row>
    <row r="1162" spans="2:16">
      <c r="B1162" s="20" t="s">
        <v>1313</v>
      </c>
      <c r="C1162" s="20" t="s">
        <v>2</v>
      </c>
      <c r="D1162" s="20" t="str">
        <f>IFERROR(INDEX('[2]PRICELIST, 908u'!$G$7:$AX$914,MATCH($B1162,'[2]PRICELIST, 908u'!$G$7:$G$914,0),18),"NA")</f>
        <v>2025 - Batch 3</v>
      </c>
      <c r="E1162" s="20" t="str">
        <f>IFERROR(INDEX([3]AGM!$D$21:$BL$928,MATCH($B1162,[3]AGM!$AD$21:$AD$928,0),1),"NA")</f>
        <v>OS</v>
      </c>
      <c r="F1162" s="20" t="str">
        <f t="shared" si="50"/>
        <v>Block 17</v>
      </c>
      <c r="G1162" s="20" t="str">
        <f t="shared" si="49"/>
        <v>Lot 03</v>
      </c>
      <c r="H1162" s="20">
        <f>IFERROR(INDEX('[2]PRICELIST, 908u'!$G$7:$AX$914,MATCH($B1162,'[2]PRICELIST, 908u'!$G$7:$G$914,0),23),"NA")</f>
        <v>50</v>
      </c>
      <c r="I1162" s="20">
        <f>IFERROR(INDEX('[2]PRICELIST, 908u'!$G$7:$AX$914,MATCH($B1162,'[2]PRICELIST, 908u'!$G$7:$G$914,0),22),"NA")</f>
        <v>80</v>
      </c>
      <c r="J1162" s="20" t="s">
        <v>207</v>
      </c>
      <c r="K1162" s="20" t="str">
        <f>IFERROR(INDEX('[2]PRICELIST, 908u'!$G$7:$AX$914,MATCH($B1162,'[2]PRICELIST, 908u'!$G$7:$G$914,0),30),"NA")</f>
        <v>Flat / GREEN</v>
      </c>
      <c r="L1162" s="20">
        <f>IFERROR(INDEX('[2]PRICELIST, 908u'!$G$7:$AX$914,MATCH($B1162,'[2]PRICELIST, 908u'!$G$7:$G$914,0),40),"NA")</f>
        <v>2800000</v>
      </c>
      <c r="M1162" s="20">
        <f>IFERROR(INDEX('[2]PRICELIST, 908u'!$G$7:$AX$914,MATCH($B1162,'[2]PRICELIST, 908u'!$G$7:$G$914,0),41),"NA")</f>
        <v>100000</v>
      </c>
      <c r="N1162" s="58">
        <f t="shared" si="52"/>
        <v>2700000</v>
      </c>
      <c r="O1162" s="60"/>
      <c r="P1162" s="60">
        <f t="shared" si="51"/>
        <v>2700000</v>
      </c>
    </row>
    <row r="1163" spans="2:16">
      <c r="B1163" s="20" t="s">
        <v>1314</v>
      </c>
      <c r="C1163" s="20" t="s">
        <v>2</v>
      </c>
      <c r="D1163" s="20" t="str">
        <f>IFERROR(INDEX('[2]PRICELIST, 908u'!$G$7:$AX$914,MATCH($B1163,'[2]PRICELIST, 908u'!$G$7:$G$914,0),18),"NA")</f>
        <v>2025 - Batch 3</v>
      </c>
      <c r="E1163" s="20" t="str">
        <f>IFERROR(INDEX([3]AGM!$D$21:$BL$928,MATCH($B1163,[3]AGM!$AD$21:$AD$928,0),1),"NA")</f>
        <v>OS</v>
      </c>
      <c r="F1163" s="20" t="str">
        <f t="shared" si="50"/>
        <v>Block 17</v>
      </c>
      <c r="G1163" s="20" t="str">
        <f t="shared" si="49"/>
        <v>Lot 04</v>
      </c>
      <c r="H1163" s="20">
        <f>IFERROR(INDEX('[2]PRICELIST, 908u'!$G$7:$AX$914,MATCH($B1163,'[2]PRICELIST, 908u'!$G$7:$G$914,0),23),"NA")</f>
        <v>50</v>
      </c>
      <c r="I1163" s="20">
        <f>IFERROR(INDEX('[2]PRICELIST, 908u'!$G$7:$AX$914,MATCH($B1163,'[2]PRICELIST, 908u'!$G$7:$G$914,0),22),"NA")</f>
        <v>98</v>
      </c>
      <c r="J1163" s="20" t="s">
        <v>207</v>
      </c>
      <c r="K1163" s="20" t="str">
        <f>IFERROR(INDEX('[2]PRICELIST, 908u'!$G$7:$AX$914,MATCH($B1163,'[2]PRICELIST, 908u'!$G$7:$G$914,0),30),"NA")</f>
        <v>Slant / GREEN</v>
      </c>
      <c r="L1163" s="20">
        <f>IFERROR(INDEX('[2]PRICELIST, 908u'!$G$7:$AX$914,MATCH($B1163,'[2]PRICELIST, 908u'!$G$7:$G$914,0),40),"NA")</f>
        <v>3070000</v>
      </c>
      <c r="M1163" s="20">
        <f>IFERROR(INDEX('[2]PRICELIST, 908u'!$G$7:$AX$914,MATCH($B1163,'[2]PRICELIST, 908u'!$G$7:$G$914,0),41),"NA")</f>
        <v>100000</v>
      </c>
      <c r="N1163" s="58">
        <f t="shared" si="52"/>
        <v>2970000</v>
      </c>
      <c r="O1163" s="60"/>
      <c r="P1163" s="60">
        <f t="shared" si="51"/>
        <v>2970000</v>
      </c>
    </row>
    <row r="1164" spans="2:16">
      <c r="B1164" s="20" t="s">
        <v>1315</v>
      </c>
      <c r="C1164" s="20" t="s">
        <v>2</v>
      </c>
      <c r="D1164" s="20" t="str">
        <f>IFERROR(INDEX('[2]PRICELIST, 908u'!$G$7:$AX$914,MATCH($B1164,'[2]PRICELIST, 908u'!$G$7:$G$914,0),18),"NA")</f>
        <v>2025 - Batch 3</v>
      </c>
      <c r="E1164" s="20" t="str">
        <f>IFERROR(INDEX([3]AGM!$D$21:$BL$928,MATCH($B1164,[3]AGM!$AD$21:$AD$928,0),1),"NA")</f>
        <v>OS</v>
      </c>
      <c r="F1164" s="20" t="str">
        <f t="shared" si="50"/>
        <v>Block 17</v>
      </c>
      <c r="G1164" s="20" t="str">
        <f t="shared" si="49"/>
        <v>Lot 05</v>
      </c>
      <c r="H1164" s="20">
        <f>IFERROR(INDEX('[2]PRICELIST, 908u'!$G$7:$AX$914,MATCH($B1164,'[2]PRICELIST, 908u'!$G$7:$G$914,0),23),"NA")</f>
        <v>50</v>
      </c>
      <c r="I1164" s="20">
        <f>IFERROR(INDEX('[2]PRICELIST, 908u'!$G$7:$AX$914,MATCH($B1164,'[2]PRICELIST, 908u'!$G$7:$G$914,0),22),"NA")</f>
        <v>80</v>
      </c>
      <c r="J1164" s="20" t="s">
        <v>207</v>
      </c>
      <c r="K1164" s="20" t="str">
        <f>IFERROR(INDEX('[2]PRICELIST, 908u'!$G$7:$AX$914,MATCH($B1164,'[2]PRICELIST, 908u'!$G$7:$G$914,0),30),"NA")</f>
        <v>Flat / PINK</v>
      </c>
      <c r="L1164" s="20">
        <f>IFERROR(INDEX('[2]PRICELIST, 908u'!$G$7:$AX$914,MATCH($B1164,'[2]PRICELIST, 908u'!$G$7:$G$914,0),40),"NA")</f>
        <v>2800000</v>
      </c>
      <c r="M1164" s="20">
        <f>IFERROR(INDEX('[2]PRICELIST, 908u'!$G$7:$AX$914,MATCH($B1164,'[2]PRICELIST, 908u'!$G$7:$G$914,0),41),"NA")</f>
        <v>100000</v>
      </c>
      <c r="N1164" s="58">
        <f t="shared" si="52"/>
        <v>2700000</v>
      </c>
      <c r="O1164" s="60"/>
      <c r="P1164" s="60">
        <f t="shared" si="51"/>
        <v>2700000</v>
      </c>
    </row>
    <row r="1165" spans="2:16">
      <c r="B1165" s="20" t="s">
        <v>1316</v>
      </c>
      <c r="C1165" s="20" t="s">
        <v>2</v>
      </c>
      <c r="D1165" s="20" t="str">
        <f>IFERROR(INDEX('[2]PRICELIST, 908u'!$G$7:$AX$914,MATCH($B1165,'[2]PRICELIST, 908u'!$G$7:$G$914,0),18),"NA")</f>
        <v>2025 - Batch 3</v>
      </c>
      <c r="E1165" s="20" t="str">
        <f>IFERROR(INDEX([3]AGM!$D$21:$BL$928,MATCH($B1165,[3]AGM!$AD$21:$AD$928,0),1),"NA")</f>
        <v>OS</v>
      </c>
      <c r="F1165" s="20" t="str">
        <f t="shared" si="50"/>
        <v>Block 17</v>
      </c>
      <c r="G1165" s="20" t="str">
        <f t="shared" si="49"/>
        <v>Lot 06</v>
      </c>
      <c r="H1165" s="20">
        <f>IFERROR(INDEX('[2]PRICELIST, 908u'!$G$7:$AX$914,MATCH($B1165,'[2]PRICELIST, 908u'!$G$7:$G$914,0),23),"NA")</f>
        <v>50</v>
      </c>
      <c r="I1165" s="20">
        <f>IFERROR(INDEX('[2]PRICELIST, 908u'!$G$7:$AX$914,MATCH($B1165,'[2]PRICELIST, 908u'!$G$7:$G$914,0),22),"NA")</f>
        <v>70</v>
      </c>
      <c r="J1165" s="20" t="s">
        <v>207</v>
      </c>
      <c r="K1165" s="20" t="str">
        <f>IFERROR(INDEX('[2]PRICELIST, 908u'!$G$7:$AX$914,MATCH($B1165,'[2]PRICELIST, 908u'!$G$7:$G$914,0),30),"NA")</f>
        <v>Slant / PINK</v>
      </c>
      <c r="L1165" s="20">
        <f>IFERROR(INDEX('[2]PRICELIST, 908u'!$G$7:$AX$914,MATCH($B1165,'[2]PRICELIST, 908u'!$G$7:$G$914,0),40),"NA")</f>
        <v>2650000</v>
      </c>
      <c r="M1165" s="20">
        <f>IFERROR(INDEX('[2]PRICELIST, 908u'!$G$7:$AX$914,MATCH($B1165,'[2]PRICELIST, 908u'!$G$7:$G$914,0),41),"NA")</f>
        <v>100000</v>
      </c>
      <c r="N1165" s="58">
        <f t="shared" si="52"/>
        <v>2550000</v>
      </c>
      <c r="O1165" s="60"/>
      <c r="P1165" s="60">
        <f t="shared" si="51"/>
        <v>2550000</v>
      </c>
    </row>
    <row r="1166" spans="2:16">
      <c r="B1166" s="22" t="s">
        <v>1317</v>
      </c>
      <c r="C1166" s="20" t="s">
        <v>2</v>
      </c>
      <c r="D1166" s="20" t="str">
        <f>IFERROR(INDEX('[2]PRICELIST, 908u'!$G$7:$AX$914,MATCH($B1166,'[2]PRICELIST, 908u'!$G$7:$G$914,0),18),"NA")</f>
        <v>2025 - Batch 3</v>
      </c>
      <c r="E1166" s="20" t="str">
        <f>IFERROR(INDEX([3]AGM!$D$21:$BL$928,MATCH($B1166,[3]AGM!$AD$21:$AD$928,0),1),"NA")</f>
        <v>OS</v>
      </c>
      <c r="F1166" s="20" t="str">
        <f t="shared" si="50"/>
        <v>Block 17</v>
      </c>
      <c r="G1166" s="20" t="str">
        <f t="shared" si="49"/>
        <v>Lot 07</v>
      </c>
      <c r="H1166" s="20">
        <f>IFERROR(INDEX('[2]PRICELIST, 908u'!$G$7:$AX$914,MATCH($B1166,'[2]PRICELIST, 908u'!$G$7:$G$914,0),23),"NA")</f>
        <v>50</v>
      </c>
      <c r="I1166" s="20">
        <f>IFERROR(INDEX('[2]PRICELIST, 908u'!$G$7:$AX$914,MATCH($B1166,'[2]PRICELIST, 908u'!$G$7:$G$914,0),22),"NA")</f>
        <v>70</v>
      </c>
      <c r="J1166" s="20" t="s">
        <v>207</v>
      </c>
      <c r="K1166" s="20" t="str">
        <f>IFERROR(INDEX('[2]PRICELIST, 908u'!$G$7:$AX$914,MATCH($B1166,'[2]PRICELIST, 908u'!$G$7:$G$914,0),30),"NA")</f>
        <v>Slant / PINK</v>
      </c>
      <c r="L1166" s="20">
        <f>IFERROR(INDEX('[2]PRICELIST, 908u'!$G$7:$AX$914,MATCH($B1166,'[2]PRICELIST, 908u'!$G$7:$G$914,0),40),"NA")</f>
        <v>2650000</v>
      </c>
      <c r="M1166" s="20">
        <f>IFERROR(INDEX('[2]PRICELIST, 908u'!$G$7:$AX$914,MATCH($B1166,'[2]PRICELIST, 908u'!$G$7:$G$914,0),41),"NA")</f>
        <v>100000</v>
      </c>
      <c r="N1166" s="58">
        <f t="shared" si="52"/>
        <v>2550000</v>
      </c>
      <c r="O1166" s="60"/>
      <c r="P1166" s="60">
        <f t="shared" si="51"/>
        <v>2550000</v>
      </c>
    </row>
    <row r="1167" spans="2:16">
      <c r="B1167" s="22" t="s">
        <v>1318</v>
      </c>
      <c r="C1167" s="20" t="s">
        <v>2</v>
      </c>
      <c r="D1167" s="20" t="str">
        <f>IFERROR(INDEX('[2]PRICELIST, 908u'!$G$7:$AX$914,MATCH($B1167,'[2]PRICELIST, 908u'!$G$7:$G$914,0),18),"NA")</f>
        <v>2025 - Batch 3</v>
      </c>
      <c r="E1167" s="20" t="str">
        <f>IFERROR(INDEX([3]AGM!$D$21:$BL$928,MATCH($B1167,[3]AGM!$AD$21:$AD$928,0),1),"NA")</f>
        <v>OS</v>
      </c>
      <c r="F1167" s="20" t="str">
        <f t="shared" si="50"/>
        <v>Block 17</v>
      </c>
      <c r="G1167" s="20" t="str">
        <f t="shared" si="49"/>
        <v>Lot 08</v>
      </c>
      <c r="H1167" s="20">
        <f>IFERROR(INDEX('[2]PRICELIST, 908u'!$G$7:$AX$914,MATCH($B1167,'[2]PRICELIST, 908u'!$G$7:$G$914,0),23),"NA")</f>
        <v>50</v>
      </c>
      <c r="I1167" s="20">
        <f>IFERROR(INDEX('[2]PRICELIST, 908u'!$G$7:$AX$914,MATCH($B1167,'[2]PRICELIST, 908u'!$G$7:$G$914,0),22),"NA")</f>
        <v>80</v>
      </c>
      <c r="J1167" s="20" t="s">
        <v>207</v>
      </c>
      <c r="K1167" s="20" t="str">
        <f>IFERROR(INDEX('[2]PRICELIST, 908u'!$G$7:$AX$914,MATCH($B1167,'[2]PRICELIST, 908u'!$G$7:$G$914,0),30),"NA")</f>
        <v>Flat / PINK</v>
      </c>
      <c r="L1167" s="20">
        <f>IFERROR(INDEX('[2]PRICELIST, 908u'!$G$7:$AX$914,MATCH($B1167,'[2]PRICELIST, 908u'!$G$7:$G$914,0),40),"NA")</f>
        <v>2800000</v>
      </c>
      <c r="M1167" s="20">
        <f>IFERROR(INDEX('[2]PRICELIST, 908u'!$G$7:$AX$914,MATCH($B1167,'[2]PRICELIST, 908u'!$G$7:$G$914,0),41),"NA")</f>
        <v>100000</v>
      </c>
      <c r="N1167" s="58">
        <f t="shared" si="52"/>
        <v>2700000</v>
      </c>
      <c r="O1167" s="60"/>
      <c r="P1167" s="60">
        <f t="shared" si="51"/>
        <v>2700000</v>
      </c>
    </row>
    <row r="1168" spans="2:16">
      <c r="B1168" s="22" t="s">
        <v>1319</v>
      </c>
      <c r="C1168" s="20" t="s">
        <v>2</v>
      </c>
      <c r="D1168" s="20" t="str">
        <f>IFERROR(INDEX('[2]PRICELIST, 908u'!$G$7:$AX$914,MATCH($B1168,'[2]PRICELIST, 908u'!$G$7:$G$914,0),18),"NA")</f>
        <v>Lot Only - N/A</v>
      </c>
      <c r="E1168" s="20" t="str">
        <f>IFERROR(INDEX([3]AGM!$D$21:$BL$928,MATCH($B1168,[3]AGM!$AD$21:$AD$928,0),1),"NA")</f>
        <v>OS</v>
      </c>
      <c r="F1168" s="20" t="str">
        <f t="shared" si="50"/>
        <v>Block 17</v>
      </c>
      <c r="G1168" s="20" t="str">
        <f t="shared" si="49"/>
        <v>Lot 09</v>
      </c>
      <c r="H1168" s="20" t="str">
        <f>IFERROR(INDEX('[2]PRICELIST, 908u'!$G$7:$AX$914,MATCH($B1168,'[2]PRICELIST, 908u'!$G$7:$G$914,0),23),"NA")</f>
        <v>N/A</v>
      </c>
      <c r="I1168" s="20">
        <f>IFERROR(INDEX('[2]PRICELIST, 908u'!$G$7:$AX$914,MATCH($B1168,'[2]PRICELIST, 908u'!$G$7:$G$914,0),22),"NA")</f>
        <v>102</v>
      </c>
      <c r="J1168" s="20" t="s">
        <v>100</v>
      </c>
      <c r="K1168" s="37" t="s">
        <v>1025</v>
      </c>
      <c r="L1168" s="20">
        <f>IFERROR(INDEX('[2]PRICELIST, 908u'!$G$7:$AX$914,MATCH($B1168,'[2]PRICELIST, 908u'!$G$7:$G$914,0),40),"NA")</f>
        <v>1630000</v>
      </c>
      <c r="M1168" s="20">
        <f>IFERROR(INDEX('[2]PRICELIST, 908u'!$G$7:$AX$914,MATCH($B1168,'[2]PRICELIST, 908u'!$G$7:$G$914,0),41),"NA")</f>
        <v>100000</v>
      </c>
      <c r="N1168" s="58">
        <f t="shared" si="52"/>
        <v>1530000</v>
      </c>
      <c r="O1168" s="60"/>
      <c r="P1168" s="60">
        <f t="shared" si="51"/>
        <v>1530000</v>
      </c>
    </row>
    <row r="1169" spans="2:16">
      <c r="B1169" s="20" t="s">
        <v>1320</v>
      </c>
      <c r="C1169" s="20" t="s">
        <v>2</v>
      </c>
      <c r="D1169" s="20" t="str">
        <f>IFERROR(INDEX('[2]PRICELIST, 908u'!$G$7:$AX$914,MATCH($B1169,'[2]PRICELIST, 908u'!$G$7:$G$914,0),18),"NA")</f>
        <v>2025 - Batch 3</v>
      </c>
      <c r="E1169" s="20" t="str">
        <f>IFERROR(INDEX([3]AGM!$D$21:$BL$928,MATCH($B1169,[3]AGM!$AD$21:$AD$928,0),1),"NA")</f>
        <v>OS</v>
      </c>
      <c r="F1169" s="20" t="str">
        <f t="shared" si="50"/>
        <v>Block 18</v>
      </c>
      <c r="G1169" s="20" t="str">
        <f t="shared" si="49"/>
        <v>Lot 01</v>
      </c>
      <c r="H1169" s="20">
        <f>IFERROR(INDEX('[2]PRICELIST, 908u'!$G$7:$AX$914,MATCH($B1169,'[2]PRICELIST, 908u'!$G$7:$G$914,0),23),"NA")</f>
        <v>50</v>
      </c>
      <c r="I1169" s="20">
        <f>IFERROR(INDEX('[2]PRICELIST, 908u'!$G$7:$AX$914,MATCH($B1169,'[2]PRICELIST, 908u'!$G$7:$G$914,0),22),"NA")</f>
        <v>97</v>
      </c>
      <c r="J1169" s="20" t="s">
        <v>207</v>
      </c>
      <c r="K1169" s="20" t="str">
        <f>IFERROR(INDEX('[2]PRICELIST, 908u'!$G$7:$AX$914,MATCH($B1169,'[2]PRICELIST, 908u'!$G$7:$G$914,0),30),"NA")</f>
        <v>Flat / YELLOW</v>
      </c>
      <c r="L1169" s="20">
        <f>IFERROR(INDEX('[2]PRICELIST, 908u'!$G$7:$AX$914,MATCH($B1169,'[2]PRICELIST, 908u'!$G$7:$G$914,0),40),"NA")</f>
        <v>3055000</v>
      </c>
      <c r="M1169" s="20">
        <f>IFERROR(INDEX('[2]PRICELIST, 908u'!$G$7:$AX$914,MATCH($B1169,'[2]PRICELIST, 908u'!$G$7:$G$914,0),41),"NA")</f>
        <v>100000</v>
      </c>
      <c r="N1169" s="58">
        <f t="shared" si="52"/>
        <v>2955000</v>
      </c>
      <c r="O1169" s="60"/>
      <c r="P1169" s="60">
        <f t="shared" si="51"/>
        <v>2955000</v>
      </c>
    </row>
    <row r="1170" spans="2:16">
      <c r="B1170" s="20" t="s">
        <v>1321</v>
      </c>
      <c r="C1170" s="20" t="s">
        <v>2</v>
      </c>
      <c r="D1170" s="20" t="str">
        <f>IFERROR(INDEX('[2]PRICELIST, 908u'!$G$7:$AX$914,MATCH($B1170,'[2]PRICELIST, 908u'!$G$7:$G$914,0),18),"NA")</f>
        <v>2025 - Batch 3</v>
      </c>
      <c r="E1170" s="20" t="str">
        <f>IFERROR(INDEX([3]AGM!$D$21:$BL$928,MATCH($B1170,[3]AGM!$AD$21:$AD$928,0),1),"NA")</f>
        <v>OS</v>
      </c>
      <c r="F1170" s="20" t="str">
        <f t="shared" si="50"/>
        <v>Block 18</v>
      </c>
      <c r="G1170" s="20" t="str">
        <f t="shared" si="49"/>
        <v>Lot 02</v>
      </c>
      <c r="H1170" s="20">
        <f>IFERROR(INDEX('[2]PRICELIST, 908u'!$G$7:$AX$914,MATCH($B1170,'[2]PRICELIST, 908u'!$G$7:$G$914,0),23),"NA")</f>
        <v>50</v>
      </c>
      <c r="I1170" s="20">
        <f>IFERROR(INDEX('[2]PRICELIST, 908u'!$G$7:$AX$914,MATCH($B1170,'[2]PRICELIST, 908u'!$G$7:$G$914,0),22),"NA")</f>
        <v>80</v>
      </c>
      <c r="J1170" s="20" t="s">
        <v>207</v>
      </c>
      <c r="K1170" s="20" t="str">
        <f>IFERROR(INDEX('[2]PRICELIST, 908u'!$G$7:$AX$914,MATCH($B1170,'[2]PRICELIST, 908u'!$G$7:$G$914,0),30),"NA")</f>
        <v>Slant / YELLOW</v>
      </c>
      <c r="L1170" s="20">
        <f>IFERROR(INDEX('[2]PRICELIST, 908u'!$G$7:$AX$914,MATCH($B1170,'[2]PRICELIST, 908u'!$G$7:$G$914,0),40),"NA")</f>
        <v>2800000</v>
      </c>
      <c r="M1170" s="20">
        <f>IFERROR(INDEX('[2]PRICELIST, 908u'!$G$7:$AX$914,MATCH($B1170,'[2]PRICELIST, 908u'!$G$7:$G$914,0),41),"NA")</f>
        <v>100000</v>
      </c>
      <c r="N1170" s="58">
        <f t="shared" si="52"/>
        <v>2700000</v>
      </c>
      <c r="O1170" s="60"/>
      <c r="P1170" s="60">
        <f t="shared" si="51"/>
        <v>2700000</v>
      </c>
    </row>
    <row r="1171" spans="2:16">
      <c r="B1171" s="20" t="s">
        <v>1322</v>
      </c>
      <c r="C1171" s="20" t="s">
        <v>2</v>
      </c>
      <c r="D1171" s="20" t="str">
        <f>IFERROR(INDEX('[2]PRICELIST, 908u'!$G$7:$AX$914,MATCH($B1171,'[2]PRICELIST, 908u'!$G$7:$G$914,0),18),"NA")</f>
        <v>2025 - Batch 3</v>
      </c>
      <c r="E1171" s="20" t="str">
        <f>IFERROR(INDEX([3]AGM!$D$21:$BL$928,MATCH($B1171,[3]AGM!$AD$21:$AD$928,0),1),"NA")</f>
        <v>OS</v>
      </c>
      <c r="F1171" s="20" t="str">
        <f t="shared" si="50"/>
        <v>Block 18</v>
      </c>
      <c r="G1171" s="20" t="str">
        <f t="shared" si="49"/>
        <v>Lot 03</v>
      </c>
      <c r="H1171" s="20">
        <f>IFERROR(INDEX('[2]PRICELIST, 908u'!$G$7:$AX$914,MATCH($B1171,'[2]PRICELIST, 908u'!$G$7:$G$914,0),23),"NA")</f>
        <v>50</v>
      </c>
      <c r="I1171" s="20">
        <f>IFERROR(INDEX('[2]PRICELIST, 908u'!$G$7:$AX$914,MATCH($B1171,'[2]PRICELIST, 908u'!$G$7:$G$914,0),22),"NA")</f>
        <v>80</v>
      </c>
      <c r="J1171" s="20" t="s">
        <v>207</v>
      </c>
      <c r="K1171" s="20" t="str">
        <f>IFERROR(INDEX('[2]PRICELIST, 908u'!$G$7:$AX$914,MATCH($B1171,'[2]PRICELIST, 908u'!$G$7:$G$914,0),30),"NA")</f>
        <v>Slant / YELLOW</v>
      </c>
      <c r="L1171" s="20">
        <f>IFERROR(INDEX('[2]PRICELIST, 908u'!$G$7:$AX$914,MATCH($B1171,'[2]PRICELIST, 908u'!$G$7:$G$914,0),40),"NA")</f>
        <v>2800000</v>
      </c>
      <c r="M1171" s="20">
        <f>IFERROR(INDEX('[2]PRICELIST, 908u'!$G$7:$AX$914,MATCH($B1171,'[2]PRICELIST, 908u'!$G$7:$G$914,0),41),"NA")</f>
        <v>100000</v>
      </c>
      <c r="N1171" s="58">
        <f t="shared" si="52"/>
        <v>2700000</v>
      </c>
      <c r="O1171" s="60"/>
      <c r="P1171" s="60">
        <f t="shared" si="51"/>
        <v>2700000</v>
      </c>
    </row>
    <row r="1172" spans="2:16">
      <c r="B1172" s="20" t="s">
        <v>1323</v>
      </c>
      <c r="C1172" s="20" t="s">
        <v>2</v>
      </c>
      <c r="D1172" s="20" t="str">
        <f>IFERROR(INDEX('[2]PRICELIST, 908u'!$G$7:$AX$914,MATCH($B1172,'[2]PRICELIST, 908u'!$G$7:$G$914,0),18),"NA")</f>
        <v>2025 - Batch 3</v>
      </c>
      <c r="E1172" s="20" t="str">
        <f>IFERROR(INDEX([3]AGM!$D$21:$BL$928,MATCH($B1172,[3]AGM!$AD$21:$AD$928,0),1),"NA")</f>
        <v>OS</v>
      </c>
      <c r="F1172" s="20" t="str">
        <f t="shared" si="50"/>
        <v>Block 18</v>
      </c>
      <c r="G1172" s="20" t="str">
        <f t="shared" si="49"/>
        <v>Lot 04</v>
      </c>
      <c r="H1172" s="20">
        <f>IFERROR(INDEX('[2]PRICELIST, 908u'!$G$7:$AX$914,MATCH($B1172,'[2]PRICELIST, 908u'!$G$7:$G$914,0),23),"NA")</f>
        <v>50</v>
      </c>
      <c r="I1172" s="20">
        <f>IFERROR(INDEX('[2]PRICELIST, 908u'!$G$7:$AX$914,MATCH($B1172,'[2]PRICELIST, 908u'!$G$7:$G$914,0),22),"NA")</f>
        <v>70</v>
      </c>
      <c r="J1172" s="20" t="s">
        <v>207</v>
      </c>
      <c r="K1172" s="20" t="str">
        <f>IFERROR(INDEX('[2]PRICELIST, 908u'!$G$7:$AX$914,MATCH($B1172,'[2]PRICELIST, 908u'!$G$7:$G$914,0),30),"NA")</f>
        <v>Flat / YELLOW</v>
      </c>
      <c r="L1172" s="20">
        <f>IFERROR(INDEX('[2]PRICELIST, 908u'!$G$7:$AX$914,MATCH($B1172,'[2]PRICELIST, 908u'!$G$7:$G$914,0),40),"NA")</f>
        <v>2650000</v>
      </c>
      <c r="M1172" s="20">
        <f>IFERROR(INDEX('[2]PRICELIST, 908u'!$G$7:$AX$914,MATCH($B1172,'[2]PRICELIST, 908u'!$G$7:$G$914,0),41),"NA")</f>
        <v>100000</v>
      </c>
      <c r="N1172" s="58">
        <f t="shared" si="52"/>
        <v>2550000</v>
      </c>
      <c r="O1172" s="60"/>
      <c r="P1172" s="60">
        <f t="shared" si="51"/>
        <v>2550000</v>
      </c>
    </row>
    <row r="1173" spans="2:16">
      <c r="B1173" s="20" t="s">
        <v>1324</v>
      </c>
      <c r="C1173" s="20" t="s">
        <v>2</v>
      </c>
      <c r="D1173" s="20" t="str">
        <f>IFERROR(INDEX('[2]PRICELIST, 908u'!$G$7:$AX$914,MATCH($B1173,'[2]PRICELIST, 908u'!$G$7:$G$914,0),18),"NA")</f>
        <v>2025 - Batch 3</v>
      </c>
      <c r="E1173" s="20" t="str">
        <f>IFERROR(INDEX([3]AGM!$D$21:$BL$928,MATCH($B1173,[3]AGM!$AD$21:$AD$928,0),1),"NA")</f>
        <v>OS</v>
      </c>
      <c r="F1173" s="20" t="str">
        <f t="shared" si="50"/>
        <v>Block 18</v>
      </c>
      <c r="G1173" s="20" t="str">
        <f t="shared" si="49"/>
        <v>Lot 05</v>
      </c>
      <c r="H1173" s="20">
        <f>IFERROR(INDEX('[2]PRICELIST, 908u'!$G$7:$AX$914,MATCH($B1173,'[2]PRICELIST, 908u'!$G$7:$G$914,0),23),"NA")</f>
        <v>50</v>
      </c>
      <c r="I1173" s="20">
        <f>IFERROR(INDEX('[2]PRICELIST, 908u'!$G$7:$AX$914,MATCH($B1173,'[2]PRICELIST, 908u'!$G$7:$G$914,0),22),"NA")</f>
        <v>70</v>
      </c>
      <c r="J1173" s="20" t="s">
        <v>207</v>
      </c>
      <c r="K1173" s="20" t="str">
        <f>IFERROR(INDEX('[2]PRICELIST, 908u'!$G$7:$AX$914,MATCH($B1173,'[2]PRICELIST, 908u'!$G$7:$G$914,0),30),"NA")</f>
        <v>Flat / PURPLE</v>
      </c>
      <c r="L1173" s="20">
        <f>IFERROR(INDEX('[2]PRICELIST, 908u'!$G$7:$AX$914,MATCH($B1173,'[2]PRICELIST, 908u'!$G$7:$G$914,0),40),"NA")</f>
        <v>2650000</v>
      </c>
      <c r="M1173" s="20">
        <f>IFERROR(INDEX('[2]PRICELIST, 908u'!$G$7:$AX$914,MATCH($B1173,'[2]PRICELIST, 908u'!$G$7:$G$914,0),41),"NA")</f>
        <v>100000</v>
      </c>
      <c r="N1173" s="58">
        <f t="shared" si="52"/>
        <v>2550000</v>
      </c>
      <c r="O1173" s="60"/>
      <c r="P1173" s="60">
        <f t="shared" si="51"/>
        <v>2550000</v>
      </c>
    </row>
    <row r="1174" spans="2:16">
      <c r="B1174" s="20" t="s">
        <v>1325</v>
      </c>
      <c r="C1174" s="20" t="s">
        <v>2</v>
      </c>
      <c r="D1174" s="20" t="str">
        <f>IFERROR(INDEX('[2]PRICELIST, 908u'!$G$7:$AX$914,MATCH($B1174,'[2]PRICELIST, 908u'!$G$7:$G$914,0),18),"NA")</f>
        <v>2025 - Batch 3</v>
      </c>
      <c r="E1174" s="20" t="str">
        <f>IFERROR(INDEX([3]AGM!$D$21:$BL$928,MATCH($B1174,[3]AGM!$AD$21:$AD$928,0),1),"NA")</f>
        <v>OS</v>
      </c>
      <c r="F1174" s="20" t="str">
        <f t="shared" si="50"/>
        <v>Block 18</v>
      </c>
      <c r="G1174" s="20" t="str">
        <f t="shared" si="49"/>
        <v>Lot 06</v>
      </c>
      <c r="H1174" s="20">
        <f>IFERROR(INDEX('[2]PRICELIST, 908u'!$G$7:$AX$914,MATCH($B1174,'[2]PRICELIST, 908u'!$G$7:$G$914,0),23),"NA")</f>
        <v>50</v>
      </c>
      <c r="I1174" s="20">
        <f>IFERROR(INDEX('[2]PRICELIST, 908u'!$G$7:$AX$914,MATCH($B1174,'[2]PRICELIST, 908u'!$G$7:$G$914,0),22),"NA")</f>
        <v>80</v>
      </c>
      <c r="J1174" s="20" t="s">
        <v>207</v>
      </c>
      <c r="K1174" s="20" t="str">
        <f>IFERROR(INDEX('[2]PRICELIST, 908u'!$G$7:$AX$914,MATCH($B1174,'[2]PRICELIST, 908u'!$G$7:$G$914,0),30),"NA")</f>
        <v>Slant / PURPLE</v>
      </c>
      <c r="L1174" s="20">
        <f>IFERROR(INDEX('[2]PRICELIST, 908u'!$G$7:$AX$914,MATCH($B1174,'[2]PRICELIST, 908u'!$G$7:$G$914,0),40),"NA")</f>
        <v>2800000</v>
      </c>
      <c r="M1174" s="20">
        <f>IFERROR(INDEX('[2]PRICELIST, 908u'!$G$7:$AX$914,MATCH($B1174,'[2]PRICELIST, 908u'!$G$7:$G$914,0),41),"NA")</f>
        <v>100000</v>
      </c>
      <c r="N1174" s="58">
        <f t="shared" si="52"/>
        <v>2700000</v>
      </c>
      <c r="O1174" s="60"/>
      <c r="P1174" s="60">
        <f t="shared" si="51"/>
        <v>2700000</v>
      </c>
    </row>
    <row r="1175" spans="2:16">
      <c r="B1175" s="20" t="s">
        <v>1326</v>
      </c>
      <c r="C1175" s="20" t="s">
        <v>2</v>
      </c>
      <c r="D1175" s="20" t="str">
        <f>IFERROR(INDEX('[2]PRICELIST, 908u'!$G$7:$AX$914,MATCH($B1175,'[2]PRICELIST, 908u'!$G$7:$G$914,0),18),"NA")</f>
        <v>2025 - Batch 3</v>
      </c>
      <c r="E1175" s="20" t="str">
        <f>IFERROR(INDEX([3]AGM!$D$21:$BL$928,MATCH($B1175,[3]AGM!$AD$21:$AD$928,0),1),"NA")</f>
        <v>OS</v>
      </c>
      <c r="F1175" s="20" t="str">
        <f t="shared" si="50"/>
        <v>Block 18</v>
      </c>
      <c r="G1175" s="20" t="str">
        <f t="shared" si="49"/>
        <v>Lot 07</v>
      </c>
      <c r="H1175" s="20">
        <f>IFERROR(INDEX('[2]PRICELIST, 908u'!$G$7:$AX$914,MATCH($B1175,'[2]PRICELIST, 908u'!$G$7:$G$914,0),23),"NA")</f>
        <v>50</v>
      </c>
      <c r="I1175" s="20">
        <f>IFERROR(INDEX('[2]PRICELIST, 908u'!$G$7:$AX$914,MATCH($B1175,'[2]PRICELIST, 908u'!$G$7:$G$914,0),22),"NA")</f>
        <v>70</v>
      </c>
      <c r="J1175" s="20" t="s">
        <v>207</v>
      </c>
      <c r="K1175" s="20" t="str">
        <f>IFERROR(INDEX('[2]PRICELIST, 908u'!$G$7:$AX$914,MATCH($B1175,'[2]PRICELIST, 908u'!$G$7:$G$914,0),30),"NA")</f>
        <v>Flat / PURPLE</v>
      </c>
      <c r="L1175" s="20">
        <f>IFERROR(INDEX('[2]PRICELIST, 908u'!$G$7:$AX$914,MATCH($B1175,'[2]PRICELIST, 908u'!$G$7:$G$914,0),40),"NA")</f>
        <v>2650000</v>
      </c>
      <c r="M1175" s="20">
        <f>IFERROR(INDEX('[2]PRICELIST, 908u'!$G$7:$AX$914,MATCH($B1175,'[2]PRICELIST, 908u'!$G$7:$G$914,0),41),"NA")</f>
        <v>100000</v>
      </c>
      <c r="N1175" s="58">
        <f t="shared" si="52"/>
        <v>2550000</v>
      </c>
      <c r="O1175" s="60"/>
      <c r="P1175" s="60">
        <f t="shared" si="51"/>
        <v>2550000</v>
      </c>
    </row>
    <row r="1176" spans="2:16">
      <c r="B1176" s="20" t="s">
        <v>1327</v>
      </c>
      <c r="C1176" s="20" t="s">
        <v>2</v>
      </c>
      <c r="D1176" s="20" t="str">
        <f>IFERROR(INDEX('[2]PRICELIST, 908u'!$G$7:$AX$914,MATCH($B1176,'[2]PRICELIST, 908u'!$G$7:$G$914,0),18),"NA")</f>
        <v>2025 - Batch 3</v>
      </c>
      <c r="E1176" s="20" t="str">
        <f>IFERROR(INDEX([3]AGM!$D$21:$BL$928,MATCH($B1176,[3]AGM!$AD$21:$AD$928,0),1),"NA")</f>
        <v>OS</v>
      </c>
      <c r="F1176" s="20" t="str">
        <f t="shared" si="50"/>
        <v>Block 18</v>
      </c>
      <c r="G1176" s="20" t="str">
        <f t="shared" ref="G1176:G1239" si="53">"Lot "&amp;TEXT(VALUE(RIGHT(B1176,3)),"00")</f>
        <v>Lot 08</v>
      </c>
      <c r="H1176" s="20">
        <f>IFERROR(INDEX('[2]PRICELIST, 908u'!$G$7:$AX$914,MATCH($B1176,'[2]PRICELIST, 908u'!$G$7:$G$914,0),23),"NA")</f>
        <v>50</v>
      </c>
      <c r="I1176" s="20">
        <f>IFERROR(INDEX('[2]PRICELIST, 908u'!$G$7:$AX$914,MATCH($B1176,'[2]PRICELIST, 908u'!$G$7:$G$914,0),22),"NA")</f>
        <v>70</v>
      </c>
      <c r="J1176" s="20" t="s">
        <v>207</v>
      </c>
      <c r="K1176" s="20" t="str">
        <f>IFERROR(INDEX('[2]PRICELIST, 908u'!$G$7:$AX$914,MATCH($B1176,'[2]PRICELIST, 908u'!$G$7:$G$914,0),30),"NA")</f>
        <v>Slant / PURPLE</v>
      </c>
      <c r="L1176" s="20">
        <f>IFERROR(INDEX('[2]PRICELIST, 908u'!$G$7:$AX$914,MATCH($B1176,'[2]PRICELIST, 908u'!$G$7:$G$914,0),40),"NA")</f>
        <v>2650000</v>
      </c>
      <c r="M1176" s="20">
        <f>IFERROR(INDEX('[2]PRICELIST, 908u'!$G$7:$AX$914,MATCH($B1176,'[2]PRICELIST, 908u'!$G$7:$G$914,0),41),"NA")</f>
        <v>100000</v>
      </c>
      <c r="N1176" s="58">
        <f t="shared" si="52"/>
        <v>2550000</v>
      </c>
      <c r="O1176" s="60"/>
      <c r="P1176" s="60">
        <f t="shared" si="51"/>
        <v>2550000</v>
      </c>
    </row>
    <row r="1177" spans="2:16">
      <c r="B1177" s="20" t="s">
        <v>1328</v>
      </c>
      <c r="C1177" s="20" t="s">
        <v>2</v>
      </c>
      <c r="D1177" s="20" t="str">
        <f>IFERROR(INDEX('[2]PRICELIST, 908u'!$G$7:$AX$914,MATCH($B1177,'[2]PRICELIST, 908u'!$G$7:$G$914,0),18),"NA")</f>
        <v>2025 - Batch 3</v>
      </c>
      <c r="E1177" s="20" t="str">
        <f>IFERROR(INDEX([3]AGM!$D$21:$BL$928,MATCH($B1177,[3]AGM!$AD$21:$AD$928,0),1),"NA")</f>
        <v>OS</v>
      </c>
      <c r="F1177" s="20" t="str">
        <f t="shared" ref="F1177:F1240" si="54">"Block "&amp;TEXT(VALUE(MID(B1177,8,3)),"00")</f>
        <v>Block 18</v>
      </c>
      <c r="G1177" s="20" t="str">
        <f t="shared" si="53"/>
        <v>Lot 09</v>
      </c>
      <c r="H1177" s="20">
        <f>IFERROR(INDEX('[2]PRICELIST, 908u'!$G$7:$AX$914,MATCH($B1177,'[2]PRICELIST, 908u'!$G$7:$G$914,0),23),"NA")</f>
        <v>50</v>
      </c>
      <c r="I1177" s="20">
        <f>IFERROR(INDEX('[2]PRICELIST, 908u'!$G$7:$AX$914,MATCH($B1177,'[2]PRICELIST, 908u'!$G$7:$G$914,0),22),"NA")</f>
        <v>70</v>
      </c>
      <c r="J1177" s="20" t="s">
        <v>207</v>
      </c>
      <c r="K1177" s="20" t="str">
        <f>IFERROR(INDEX('[2]PRICELIST, 908u'!$G$7:$AX$914,MATCH($B1177,'[2]PRICELIST, 908u'!$G$7:$G$914,0),30),"NA")</f>
        <v>Slant / PINK</v>
      </c>
      <c r="L1177" s="20">
        <f>IFERROR(INDEX('[2]PRICELIST, 908u'!$G$7:$AX$914,MATCH($B1177,'[2]PRICELIST, 908u'!$G$7:$G$914,0),40),"NA")</f>
        <v>2650000</v>
      </c>
      <c r="M1177" s="20">
        <f>IFERROR(INDEX('[2]PRICELIST, 908u'!$G$7:$AX$914,MATCH($B1177,'[2]PRICELIST, 908u'!$G$7:$G$914,0),41),"NA")</f>
        <v>100000</v>
      </c>
      <c r="N1177" s="58">
        <f t="shared" si="52"/>
        <v>2550000</v>
      </c>
      <c r="O1177" s="60"/>
      <c r="P1177" s="60">
        <f t="shared" ref="P1177:P1240" si="55">N1177-O1177</f>
        <v>2550000</v>
      </c>
    </row>
    <row r="1178" spans="2:16">
      <c r="B1178" s="20" t="s">
        <v>1329</v>
      </c>
      <c r="C1178" s="20" t="s">
        <v>2</v>
      </c>
      <c r="D1178" s="20" t="str">
        <f>IFERROR(INDEX('[2]PRICELIST, 908u'!$G$7:$AX$914,MATCH($B1178,'[2]PRICELIST, 908u'!$G$7:$G$914,0),18),"NA")</f>
        <v>2025 - Batch 3</v>
      </c>
      <c r="E1178" s="20" t="str">
        <f>IFERROR(INDEX([3]AGM!$D$21:$BL$928,MATCH($B1178,[3]AGM!$AD$21:$AD$928,0),1),"NA")</f>
        <v>OS</v>
      </c>
      <c r="F1178" s="20" t="str">
        <f t="shared" si="54"/>
        <v>Block 18</v>
      </c>
      <c r="G1178" s="20" t="str">
        <f t="shared" si="53"/>
        <v>Lot 10</v>
      </c>
      <c r="H1178" s="20">
        <f>IFERROR(INDEX('[2]PRICELIST, 908u'!$G$7:$AX$914,MATCH($B1178,'[2]PRICELIST, 908u'!$G$7:$G$914,0),23),"NA")</f>
        <v>50</v>
      </c>
      <c r="I1178" s="20">
        <f>IFERROR(INDEX('[2]PRICELIST, 908u'!$G$7:$AX$914,MATCH($B1178,'[2]PRICELIST, 908u'!$G$7:$G$914,0),22),"NA")</f>
        <v>70</v>
      </c>
      <c r="J1178" s="20" t="s">
        <v>207</v>
      </c>
      <c r="K1178" s="20" t="str">
        <f>IFERROR(INDEX('[2]PRICELIST, 908u'!$G$7:$AX$914,MATCH($B1178,'[2]PRICELIST, 908u'!$G$7:$G$914,0),30),"NA")</f>
        <v>Flat / PINK</v>
      </c>
      <c r="L1178" s="20">
        <f>IFERROR(INDEX('[2]PRICELIST, 908u'!$G$7:$AX$914,MATCH($B1178,'[2]PRICELIST, 908u'!$G$7:$G$914,0),40),"NA")</f>
        <v>2650000</v>
      </c>
      <c r="M1178" s="20">
        <f>IFERROR(INDEX('[2]PRICELIST, 908u'!$G$7:$AX$914,MATCH($B1178,'[2]PRICELIST, 908u'!$G$7:$G$914,0),41),"NA")</f>
        <v>100000</v>
      </c>
      <c r="N1178" s="58">
        <f t="shared" ref="N1178:N1241" si="56">L1178-M1178</f>
        <v>2550000</v>
      </c>
      <c r="O1178" s="60"/>
      <c r="P1178" s="60">
        <f t="shared" si="55"/>
        <v>2550000</v>
      </c>
    </row>
    <row r="1179" spans="2:16">
      <c r="B1179" s="20" t="s">
        <v>1330</v>
      </c>
      <c r="C1179" s="20" t="s">
        <v>2</v>
      </c>
      <c r="D1179" s="20" t="str">
        <f>IFERROR(INDEX('[2]PRICELIST, 908u'!$G$7:$AX$914,MATCH($B1179,'[2]PRICELIST, 908u'!$G$7:$G$914,0),18),"NA")</f>
        <v>2025 - Batch 3</v>
      </c>
      <c r="E1179" s="20" t="str">
        <f>IFERROR(INDEX([3]AGM!$D$21:$BL$928,MATCH($B1179,[3]AGM!$AD$21:$AD$928,0),1),"NA")</f>
        <v>OS</v>
      </c>
      <c r="F1179" s="20" t="str">
        <f t="shared" si="54"/>
        <v>Block 18</v>
      </c>
      <c r="G1179" s="20" t="str">
        <f t="shared" si="53"/>
        <v>Lot 11</v>
      </c>
      <c r="H1179" s="20">
        <f>IFERROR(INDEX('[2]PRICELIST, 908u'!$G$7:$AX$914,MATCH($B1179,'[2]PRICELIST, 908u'!$G$7:$G$914,0),23),"NA")</f>
        <v>50</v>
      </c>
      <c r="I1179" s="20">
        <f>IFERROR(INDEX('[2]PRICELIST, 908u'!$G$7:$AX$914,MATCH($B1179,'[2]PRICELIST, 908u'!$G$7:$G$914,0),22),"NA")</f>
        <v>70</v>
      </c>
      <c r="J1179" s="20" t="s">
        <v>207</v>
      </c>
      <c r="K1179" s="20" t="str">
        <f>IFERROR(INDEX('[2]PRICELIST, 908u'!$G$7:$AX$914,MATCH($B1179,'[2]PRICELIST, 908u'!$G$7:$G$914,0),30),"NA")</f>
        <v>Flat / PINK</v>
      </c>
      <c r="L1179" s="20">
        <f>IFERROR(INDEX('[2]PRICELIST, 908u'!$G$7:$AX$914,MATCH($B1179,'[2]PRICELIST, 908u'!$G$7:$G$914,0),40),"NA")</f>
        <v>2650000</v>
      </c>
      <c r="M1179" s="20">
        <f>IFERROR(INDEX('[2]PRICELIST, 908u'!$G$7:$AX$914,MATCH($B1179,'[2]PRICELIST, 908u'!$G$7:$G$914,0),41),"NA")</f>
        <v>100000</v>
      </c>
      <c r="N1179" s="58">
        <f t="shared" si="56"/>
        <v>2550000</v>
      </c>
      <c r="O1179" s="60"/>
      <c r="P1179" s="60">
        <f t="shared" si="55"/>
        <v>2550000</v>
      </c>
    </row>
    <row r="1180" spans="2:16">
      <c r="B1180" s="20" t="s">
        <v>1331</v>
      </c>
      <c r="C1180" s="20" t="s">
        <v>2</v>
      </c>
      <c r="D1180" s="20" t="str">
        <f>IFERROR(INDEX('[2]PRICELIST, 908u'!$G$7:$AX$914,MATCH($B1180,'[2]PRICELIST, 908u'!$G$7:$G$914,0),18),"NA")</f>
        <v>2025 - Batch 3</v>
      </c>
      <c r="E1180" s="20" t="str">
        <f>IFERROR(INDEX([3]AGM!$D$21:$BL$928,MATCH($B1180,[3]AGM!$AD$21:$AD$928,0),1),"NA")</f>
        <v>OS</v>
      </c>
      <c r="F1180" s="20" t="str">
        <f t="shared" si="54"/>
        <v>Block 18</v>
      </c>
      <c r="G1180" s="20" t="str">
        <f t="shared" si="53"/>
        <v>Lot 12</v>
      </c>
      <c r="H1180" s="20">
        <f>IFERROR(INDEX('[2]PRICELIST, 908u'!$G$7:$AX$914,MATCH($B1180,'[2]PRICELIST, 908u'!$G$7:$G$914,0),23),"NA")</f>
        <v>50</v>
      </c>
      <c r="I1180" s="20">
        <f>IFERROR(INDEX('[2]PRICELIST, 908u'!$G$7:$AX$914,MATCH($B1180,'[2]PRICELIST, 908u'!$G$7:$G$914,0),22),"NA")</f>
        <v>70</v>
      </c>
      <c r="J1180" s="20" t="s">
        <v>207</v>
      </c>
      <c r="K1180" s="20" t="str">
        <f>IFERROR(INDEX('[2]PRICELIST, 908u'!$G$7:$AX$914,MATCH($B1180,'[2]PRICELIST, 908u'!$G$7:$G$914,0),30),"NA")</f>
        <v>Slant / PINK</v>
      </c>
      <c r="L1180" s="20">
        <f>IFERROR(INDEX('[2]PRICELIST, 908u'!$G$7:$AX$914,MATCH($B1180,'[2]PRICELIST, 908u'!$G$7:$G$914,0),40),"NA")</f>
        <v>2650000</v>
      </c>
      <c r="M1180" s="20">
        <f>IFERROR(INDEX('[2]PRICELIST, 908u'!$G$7:$AX$914,MATCH($B1180,'[2]PRICELIST, 908u'!$G$7:$G$914,0),41),"NA")</f>
        <v>100000</v>
      </c>
      <c r="N1180" s="58">
        <f t="shared" si="56"/>
        <v>2550000</v>
      </c>
      <c r="O1180" s="60"/>
      <c r="P1180" s="60">
        <f t="shared" si="55"/>
        <v>2550000</v>
      </c>
    </row>
    <row r="1181" spans="2:16">
      <c r="B1181" s="20" t="s">
        <v>1332</v>
      </c>
      <c r="C1181" s="20" t="s">
        <v>2</v>
      </c>
      <c r="D1181" s="20" t="str">
        <f>IFERROR(INDEX('[2]PRICELIST, 908u'!$G$7:$AX$914,MATCH($B1181,'[2]PRICELIST, 908u'!$G$7:$G$914,0),18),"NA")</f>
        <v>Lot Only - N/A</v>
      </c>
      <c r="E1181" s="20" t="str">
        <f>IFERROR(INDEX([3]AGM!$D$21:$BL$928,MATCH($B1181,[3]AGM!$AD$21:$AD$928,0),1),"NA")</f>
        <v>OS</v>
      </c>
      <c r="F1181" s="20" t="str">
        <f t="shared" si="54"/>
        <v>Block 18</v>
      </c>
      <c r="G1181" s="20" t="str">
        <f t="shared" si="53"/>
        <v>Lot 13</v>
      </c>
      <c r="H1181" s="20" t="str">
        <f>IFERROR(INDEX('[2]PRICELIST, 908u'!$G$7:$AX$914,MATCH($B1181,'[2]PRICELIST, 908u'!$G$7:$G$914,0),23),"NA")</f>
        <v>N/A</v>
      </c>
      <c r="I1181" s="20">
        <f>IFERROR(INDEX('[2]PRICELIST, 908u'!$G$7:$AX$914,MATCH($B1181,'[2]PRICELIST, 908u'!$G$7:$G$914,0),22),"NA")</f>
        <v>104</v>
      </c>
      <c r="J1181" s="20" t="s">
        <v>100</v>
      </c>
      <c r="K1181" s="37" t="s">
        <v>1025</v>
      </c>
      <c r="L1181" s="20">
        <f>IFERROR(INDEX('[2]PRICELIST, 908u'!$G$7:$AX$914,MATCH($B1181,'[2]PRICELIST, 908u'!$G$7:$G$914,0),40),"NA")</f>
        <v>1660000</v>
      </c>
      <c r="M1181" s="20">
        <f>IFERROR(INDEX('[2]PRICELIST, 908u'!$G$7:$AX$914,MATCH($B1181,'[2]PRICELIST, 908u'!$G$7:$G$914,0),41),"NA")</f>
        <v>100000</v>
      </c>
      <c r="N1181" s="58">
        <f t="shared" si="56"/>
        <v>1560000</v>
      </c>
      <c r="O1181" s="60"/>
      <c r="P1181" s="60">
        <f t="shared" si="55"/>
        <v>1560000</v>
      </c>
    </row>
    <row r="1182" spans="2:16">
      <c r="B1182" s="20" t="s">
        <v>1333</v>
      </c>
      <c r="C1182" s="20" t="s">
        <v>2</v>
      </c>
      <c r="D1182" s="20" t="str">
        <f>IFERROR(INDEX('[2]PRICELIST, 908u'!$G$7:$AX$914,MATCH($B1182,'[2]PRICELIST, 908u'!$G$7:$G$914,0),18),"NA")</f>
        <v>2025 - Batch 5</v>
      </c>
      <c r="E1182" s="20" t="str">
        <f>IFERROR(INDEX([3]AGM!$D$21:$BL$928,MATCH($B1182,[3]AGM!$AD$21:$AD$928,0),1),"NA")</f>
        <v>OS</v>
      </c>
      <c r="F1182" s="20" t="str">
        <f t="shared" si="54"/>
        <v>Block 19</v>
      </c>
      <c r="G1182" s="20" t="str">
        <f t="shared" si="53"/>
        <v>Lot 01</v>
      </c>
      <c r="H1182" s="20">
        <f>IFERROR(INDEX('[2]PRICELIST, 908u'!$G$7:$AX$914,MATCH($B1182,'[2]PRICELIST, 908u'!$G$7:$G$914,0),23),"NA")</f>
        <v>50</v>
      </c>
      <c r="I1182" s="20">
        <f>IFERROR(INDEX('[2]PRICELIST, 908u'!$G$7:$AX$914,MATCH($B1182,'[2]PRICELIST, 908u'!$G$7:$G$914,0),22),"NA")</f>
        <v>70</v>
      </c>
      <c r="J1182" s="20" t="s">
        <v>207</v>
      </c>
      <c r="K1182" s="20" t="str">
        <f>IFERROR(INDEX('[2]PRICELIST, 908u'!$G$7:$AX$914,MATCH($B1182,'[2]PRICELIST, 908u'!$G$7:$G$914,0),30),"NA")</f>
        <v>Slant / PINK</v>
      </c>
      <c r="L1182" s="20">
        <f>IFERROR(INDEX('[2]PRICELIST, 908u'!$G$7:$AX$914,MATCH($B1182,'[2]PRICELIST, 908u'!$G$7:$G$914,0),40),"NA")</f>
        <v>2650000</v>
      </c>
      <c r="M1182" s="20">
        <f>IFERROR(INDEX('[2]PRICELIST, 908u'!$G$7:$AX$914,MATCH($B1182,'[2]PRICELIST, 908u'!$G$7:$G$914,0),41),"NA")</f>
        <v>100000</v>
      </c>
      <c r="N1182" s="58">
        <f t="shared" si="56"/>
        <v>2550000</v>
      </c>
      <c r="O1182" s="60"/>
      <c r="P1182" s="60">
        <f t="shared" si="55"/>
        <v>2550000</v>
      </c>
    </row>
    <row r="1183" spans="2:16">
      <c r="B1183" s="20" t="s">
        <v>1334</v>
      </c>
      <c r="C1183" s="20" t="s">
        <v>2</v>
      </c>
      <c r="D1183" s="20" t="str">
        <f>IFERROR(INDEX('[2]PRICELIST, 908u'!$G$7:$AX$914,MATCH($B1183,'[2]PRICELIST, 908u'!$G$7:$G$914,0),18),"NA")</f>
        <v>2025 - Batch 5</v>
      </c>
      <c r="E1183" s="20" t="str">
        <f>IFERROR(INDEX([3]AGM!$D$21:$BL$928,MATCH($B1183,[3]AGM!$AD$21:$AD$928,0),1),"NA")</f>
        <v>OS</v>
      </c>
      <c r="F1183" s="20" t="str">
        <f t="shared" si="54"/>
        <v>Block 19</v>
      </c>
      <c r="G1183" s="20" t="str">
        <f t="shared" si="53"/>
        <v>Lot 02</v>
      </c>
      <c r="H1183" s="20">
        <f>IFERROR(INDEX('[2]PRICELIST, 908u'!$G$7:$AX$914,MATCH($B1183,'[2]PRICELIST, 908u'!$G$7:$G$914,0),23),"NA")</f>
        <v>50</v>
      </c>
      <c r="I1183" s="20">
        <f>IFERROR(INDEX('[2]PRICELIST, 908u'!$G$7:$AX$914,MATCH($B1183,'[2]PRICELIST, 908u'!$G$7:$G$914,0),22),"NA")</f>
        <v>70</v>
      </c>
      <c r="J1183" s="20" t="s">
        <v>207</v>
      </c>
      <c r="K1183" s="20" t="str">
        <f>IFERROR(INDEX('[2]PRICELIST, 908u'!$G$7:$AX$914,MATCH($B1183,'[2]PRICELIST, 908u'!$G$7:$G$914,0),30),"NA")</f>
        <v>Flat / PINK</v>
      </c>
      <c r="L1183" s="20">
        <f>IFERROR(INDEX('[2]PRICELIST, 908u'!$G$7:$AX$914,MATCH($B1183,'[2]PRICELIST, 908u'!$G$7:$G$914,0),40),"NA")</f>
        <v>2650000</v>
      </c>
      <c r="M1183" s="20">
        <f>IFERROR(INDEX('[2]PRICELIST, 908u'!$G$7:$AX$914,MATCH($B1183,'[2]PRICELIST, 908u'!$G$7:$G$914,0),41),"NA")</f>
        <v>100000</v>
      </c>
      <c r="N1183" s="58">
        <f t="shared" si="56"/>
        <v>2550000</v>
      </c>
      <c r="O1183" s="60"/>
      <c r="P1183" s="60">
        <f t="shared" si="55"/>
        <v>2550000</v>
      </c>
    </row>
    <row r="1184" spans="2:16">
      <c r="B1184" s="20" t="s">
        <v>1335</v>
      </c>
      <c r="C1184" s="20" t="s">
        <v>2</v>
      </c>
      <c r="D1184" s="20" t="str">
        <f>IFERROR(INDEX('[2]PRICELIST, 908u'!$G$7:$AX$914,MATCH($B1184,'[2]PRICELIST, 908u'!$G$7:$G$914,0),18),"NA")</f>
        <v>2025 - Batch 5</v>
      </c>
      <c r="E1184" s="20" t="str">
        <f>IFERROR(INDEX([3]AGM!$D$21:$BL$928,MATCH($B1184,[3]AGM!$AD$21:$AD$928,0),1),"NA")</f>
        <v>OS</v>
      </c>
      <c r="F1184" s="20" t="str">
        <f t="shared" si="54"/>
        <v>Block 19</v>
      </c>
      <c r="G1184" s="20" t="str">
        <f t="shared" si="53"/>
        <v>Lot 03</v>
      </c>
      <c r="H1184" s="20">
        <f>IFERROR(INDEX('[2]PRICELIST, 908u'!$G$7:$AX$914,MATCH($B1184,'[2]PRICELIST, 908u'!$G$7:$G$914,0),23),"NA")</f>
        <v>50</v>
      </c>
      <c r="I1184" s="20">
        <f>IFERROR(INDEX('[2]PRICELIST, 908u'!$G$7:$AX$914,MATCH($B1184,'[2]PRICELIST, 908u'!$G$7:$G$914,0),22),"NA")</f>
        <v>70</v>
      </c>
      <c r="J1184" s="20" t="s">
        <v>207</v>
      </c>
      <c r="K1184" s="20" t="str">
        <f>IFERROR(INDEX('[2]PRICELIST, 908u'!$G$7:$AX$914,MATCH($B1184,'[2]PRICELIST, 908u'!$G$7:$G$914,0),30),"NA")</f>
        <v>Flat / PINK</v>
      </c>
      <c r="L1184" s="20">
        <f>IFERROR(INDEX('[2]PRICELIST, 908u'!$G$7:$AX$914,MATCH($B1184,'[2]PRICELIST, 908u'!$G$7:$G$914,0),40),"NA")</f>
        <v>2650000</v>
      </c>
      <c r="M1184" s="20">
        <f>IFERROR(INDEX('[2]PRICELIST, 908u'!$G$7:$AX$914,MATCH($B1184,'[2]PRICELIST, 908u'!$G$7:$G$914,0),41),"NA")</f>
        <v>100000</v>
      </c>
      <c r="N1184" s="58">
        <f t="shared" si="56"/>
        <v>2550000</v>
      </c>
      <c r="O1184" s="60"/>
      <c r="P1184" s="60">
        <f t="shared" si="55"/>
        <v>2550000</v>
      </c>
    </row>
    <row r="1185" spans="2:16">
      <c r="B1185" s="20" t="s">
        <v>1336</v>
      </c>
      <c r="C1185" s="20" t="s">
        <v>2</v>
      </c>
      <c r="D1185" s="20" t="str">
        <f>IFERROR(INDEX('[2]PRICELIST, 908u'!$G$7:$AX$914,MATCH($B1185,'[2]PRICELIST, 908u'!$G$7:$G$914,0),18),"NA")</f>
        <v>2025 - Batch 5</v>
      </c>
      <c r="E1185" s="20" t="str">
        <f>IFERROR(INDEX([3]AGM!$D$21:$BL$928,MATCH($B1185,[3]AGM!$AD$21:$AD$928,0),1),"NA")</f>
        <v>OS</v>
      </c>
      <c r="F1185" s="20" t="str">
        <f t="shared" si="54"/>
        <v>Block 19</v>
      </c>
      <c r="G1185" s="20" t="str">
        <f t="shared" si="53"/>
        <v>Lot 04</v>
      </c>
      <c r="H1185" s="20">
        <f>IFERROR(INDEX('[2]PRICELIST, 908u'!$G$7:$AX$914,MATCH($B1185,'[2]PRICELIST, 908u'!$G$7:$G$914,0),23),"NA")</f>
        <v>50</v>
      </c>
      <c r="I1185" s="20">
        <f>IFERROR(INDEX('[2]PRICELIST, 908u'!$G$7:$AX$914,MATCH($B1185,'[2]PRICELIST, 908u'!$G$7:$G$914,0),22),"NA")</f>
        <v>70</v>
      </c>
      <c r="J1185" s="20" t="s">
        <v>207</v>
      </c>
      <c r="K1185" s="20" t="str">
        <f>IFERROR(INDEX('[2]PRICELIST, 908u'!$G$7:$AX$914,MATCH($B1185,'[2]PRICELIST, 908u'!$G$7:$G$914,0),30),"NA")</f>
        <v>Slant / PINK</v>
      </c>
      <c r="L1185" s="20">
        <f>IFERROR(INDEX('[2]PRICELIST, 908u'!$G$7:$AX$914,MATCH($B1185,'[2]PRICELIST, 908u'!$G$7:$G$914,0),40),"NA")</f>
        <v>2650000</v>
      </c>
      <c r="M1185" s="20">
        <f>IFERROR(INDEX('[2]PRICELIST, 908u'!$G$7:$AX$914,MATCH($B1185,'[2]PRICELIST, 908u'!$G$7:$G$914,0),41),"NA")</f>
        <v>100000</v>
      </c>
      <c r="N1185" s="58">
        <f t="shared" si="56"/>
        <v>2550000</v>
      </c>
      <c r="O1185" s="60"/>
      <c r="P1185" s="60">
        <f t="shared" si="55"/>
        <v>2550000</v>
      </c>
    </row>
    <row r="1186" spans="2:16">
      <c r="B1186" s="20" t="s">
        <v>1337</v>
      </c>
      <c r="C1186" s="20" t="s">
        <v>2</v>
      </c>
      <c r="D1186" s="20" t="str">
        <f>IFERROR(INDEX('[2]PRICELIST, 908u'!$G$7:$AX$914,MATCH($B1186,'[2]PRICELIST, 908u'!$G$7:$G$914,0),18),"NA")</f>
        <v>2025 - Batch 5</v>
      </c>
      <c r="E1186" s="20" t="str">
        <f>IFERROR(INDEX([3]AGM!$D$21:$BL$928,MATCH($B1186,[3]AGM!$AD$21:$AD$928,0),1),"NA")</f>
        <v>OS</v>
      </c>
      <c r="F1186" s="20" t="str">
        <f t="shared" si="54"/>
        <v>Block 19</v>
      </c>
      <c r="G1186" s="20" t="str">
        <f t="shared" si="53"/>
        <v>Lot 05</v>
      </c>
      <c r="H1186" s="20">
        <f>IFERROR(INDEX('[2]PRICELIST, 908u'!$G$7:$AX$914,MATCH($B1186,'[2]PRICELIST, 908u'!$G$7:$G$914,0),23),"NA")</f>
        <v>50</v>
      </c>
      <c r="I1186" s="20">
        <f>IFERROR(INDEX('[2]PRICELIST, 908u'!$G$7:$AX$914,MATCH($B1186,'[2]PRICELIST, 908u'!$G$7:$G$914,0),22),"NA")</f>
        <v>70</v>
      </c>
      <c r="J1186" s="20" t="s">
        <v>207</v>
      </c>
      <c r="K1186" s="20" t="str">
        <f>IFERROR(INDEX('[2]PRICELIST, 908u'!$G$7:$AX$914,MATCH($B1186,'[2]PRICELIST, 908u'!$G$7:$G$914,0),30),"NA")</f>
        <v>Flat / GREEN</v>
      </c>
      <c r="L1186" s="20">
        <f>IFERROR(INDEX('[2]PRICELIST, 908u'!$G$7:$AX$914,MATCH($B1186,'[2]PRICELIST, 908u'!$G$7:$G$914,0),40),"NA")</f>
        <v>2650000</v>
      </c>
      <c r="M1186" s="20">
        <f>IFERROR(INDEX('[2]PRICELIST, 908u'!$G$7:$AX$914,MATCH($B1186,'[2]PRICELIST, 908u'!$G$7:$G$914,0),41),"NA")</f>
        <v>100000</v>
      </c>
      <c r="N1186" s="58">
        <f t="shared" si="56"/>
        <v>2550000</v>
      </c>
      <c r="O1186" s="60"/>
      <c r="P1186" s="60">
        <f t="shared" si="55"/>
        <v>2550000</v>
      </c>
    </row>
    <row r="1187" spans="2:16">
      <c r="B1187" s="20" t="s">
        <v>1338</v>
      </c>
      <c r="C1187" s="20" t="s">
        <v>2</v>
      </c>
      <c r="D1187" s="20" t="str">
        <f>IFERROR(INDEX('[2]PRICELIST, 908u'!$G$7:$AX$914,MATCH($B1187,'[2]PRICELIST, 908u'!$G$7:$G$914,0),18),"NA")</f>
        <v>2025 - Batch 5</v>
      </c>
      <c r="E1187" s="20" t="str">
        <f>IFERROR(INDEX([3]AGM!$D$21:$BL$928,MATCH($B1187,[3]AGM!$AD$21:$AD$928,0),1),"NA")</f>
        <v>OS</v>
      </c>
      <c r="F1187" s="20" t="str">
        <f t="shared" si="54"/>
        <v>Block 19</v>
      </c>
      <c r="G1187" s="20" t="str">
        <f t="shared" si="53"/>
        <v>Lot 06</v>
      </c>
      <c r="H1187" s="20">
        <f>IFERROR(INDEX('[2]PRICELIST, 908u'!$G$7:$AX$914,MATCH($B1187,'[2]PRICELIST, 908u'!$G$7:$G$914,0),23),"NA")</f>
        <v>50</v>
      </c>
      <c r="I1187" s="20">
        <f>IFERROR(INDEX('[2]PRICELIST, 908u'!$G$7:$AX$914,MATCH($B1187,'[2]PRICELIST, 908u'!$G$7:$G$914,0),22),"NA")</f>
        <v>70</v>
      </c>
      <c r="J1187" s="20" t="s">
        <v>207</v>
      </c>
      <c r="K1187" s="20" t="str">
        <f>IFERROR(INDEX('[2]PRICELIST, 908u'!$G$7:$AX$914,MATCH($B1187,'[2]PRICELIST, 908u'!$G$7:$G$914,0),30),"NA")</f>
        <v>Slant / GREEN</v>
      </c>
      <c r="L1187" s="20">
        <f>IFERROR(INDEX('[2]PRICELIST, 908u'!$G$7:$AX$914,MATCH($B1187,'[2]PRICELIST, 908u'!$G$7:$G$914,0),40),"NA")</f>
        <v>2650000</v>
      </c>
      <c r="M1187" s="20">
        <f>IFERROR(INDEX('[2]PRICELIST, 908u'!$G$7:$AX$914,MATCH($B1187,'[2]PRICELIST, 908u'!$G$7:$G$914,0),41),"NA")</f>
        <v>100000</v>
      </c>
      <c r="N1187" s="58">
        <f t="shared" si="56"/>
        <v>2550000</v>
      </c>
      <c r="O1187" s="60"/>
      <c r="P1187" s="60">
        <f t="shared" si="55"/>
        <v>2550000</v>
      </c>
    </row>
    <row r="1188" spans="2:16">
      <c r="B1188" s="20" t="s">
        <v>1339</v>
      </c>
      <c r="C1188" s="20" t="s">
        <v>2</v>
      </c>
      <c r="D1188" s="20" t="str">
        <f>IFERROR(INDEX('[2]PRICELIST, 908u'!$G$7:$AX$914,MATCH($B1188,'[2]PRICELIST, 908u'!$G$7:$G$914,0),18),"NA")</f>
        <v>2025 - Batch 5</v>
      </c>
      <c r="E1188" s="20" t="str">
        <f>IFERROR(INDEX([3]AGM!$D$21:$BL$928,MATCH($B1188,[3]AGM!$AD$21:$AD$928,0),1),"NA")</f>
        <v>OS</v>
      </c>
      <c r="F1188" s="20" t="str">
        <f t="shared" si="54"/>
        <v>Block 19</v>
      </c>
      <c r="G1188" s="20" t="str">
        <f t="shared" si="53"/>
        <v>Lot 07</v>
      </c>
      <c r="H1188" s="20">
        <f>IFERROR(INDEX('[2]PRICELIST, 908u'!$G$7:$AX$914,MATCH($B1188,'[2]PRICELIST, 908u'!$G$7:$G$914,0),23),"NA")</f>
        <v>50</v>
      </c>
      <c r="I1188" s="20">
        <f>IFERROR(INDEX('[2]PRICELIST, 908u'!$G$7:$AX$914,MATCH($B1188,'[2]PRICELIST, 908u'!$G$7:$G$914,0),22),"NA")</f>
        <v>70</v>
      </c>
      <c r="J1188" s="20" t="s">
        <v>207</v>
      </c>
      <c r="K1188" s="20" t="str">
        <f>IFERROR(INDEX('[2]PRICELIST, 908u'!$G$7:$AX$914,MATCH($B1188,'[2]PRICELIST, 908u'!$G$7:$G$914,0),30),"NA")</f>
        <v>Slant / GREEN</v>
      </c>
      <c r="L1188" s="20">
        <f>IFERROR(INDEX('[2]PRICELIST, 908u'!$G$7:$AX$914,MATCH($B1188,'[2]PRICELIST, 908u'!$G$7:$G$914,0),40),"NA")</f>
        <v>2650000</v>
      </c>
      <c r="M1188" s="20">
        <f>IFERROR(INDEX('[2]PRICELIST, 908u'!$G$7:$AX$914,MATCH($B1188,'[2]PRICELIST, 908u'!$G$7:$G$914,0),41),"NA")</f>
        <v>100000</v>
      </c>
      <c r="N1188" s="58">
        <f t="shared" si="56"/>
        <v>2550000</v>
      </c>
      <c r="O1188" s="60"/>
      <c r="P1188" s="60">
        <f t="shared" si="55"/>
        <v>2550000</v>
      </c>
    </row>
    <row r="1189" spans="2:16">
      <c r="B1189" s="20" t="s">
        <v>1340</v>
      </c>
      <c r="C1189" s="20" t="s">
        <v>2</v>
      </c>
      <c r="D1189" s="20" t="str">
        <f>IFERROR(INDEX('[2]PRICELIST, 908u'!$G$7:$AX$914,MATCH($B1189,'[2]PRICELIST, 908u'!$G$7:$G$914,0),18),"NA")</f>
        <v>2025 - Batch 5</v>
      </c>
      <c r="E1189" s="20" t="str">
        <f>IFERROR(INDEX([3]AGM!$D$21:$BL$928,MATCH($B1189,[3]AGM!$AD$21:$AD$928,0),1),"NA")</f>
        <v>OS</v>
      </c>
      <c r="F1189" s="20" t="str">
        <f t="shared" si="54"/>
        <v>Block 19</v>
      </c>
      <c r="G1189" s="20" t="str">
        <f t="shared" si="53"/>
        <v>Lot 08</v>
      </c>
      <c r="H1189" s="20">
        <f>IFERROR(INDEX('[2]PRICELIST, 908u'!$G$7:$AX$914,MATCH($B1189,'[2]PRICELIST, 908u'!$G$7:$G$914,0),23),"NA")</f>
        <v>50</v>
      </c>
      <c r="I1189" s="20">
        <f>IFERROR(INDEX('[2]PRICELIST, 908u'!$G$7:$AX$914,MATCH($B1189,'[2]PRICELIST, 908u'!$G$7:$G$914,0),22),"NA")</f>
        <v>70</v>
      </c>
      <c r="J1189" s="20" t="s">
        <v>207</v>
      </c>
      <c r="K1189" s="20" t="str">
        <f>IFERROR(INDEX('[2]PRICELIST, 908u'!$G$7:$AX$914,MATCH($B1189,'[2]PRICELIST, 908u'!$G$7:$G$914,0),30),"NA")</f>
        <v>Flat / GREEN</v>
      </c>
      <c r="L1189" s="20">
        <f>IFERROR(INDEX('[2]PRICELIST, 908u'!$G$7:$AX$914,MATCH($B1189,'[2]PRICELIST, 908u'!$G$7:$G$914,0),40),"NA")</f>
        <v>2650000</v>
      </c>
      <c r="M1189" s="20">
        <f>IFERROR(INDEX('[2]PRICELIST, 908u'!$G$7:$AX$914,MATCH($B1189,'[2]PRICELIST, 908u'!$G$7:$G$914,0),41),"NA")</f>
        <v>100000</v>
      </c>
      <c r="N1189" s="58">
        <f t="shared" si="56"/>
        <v>2550000</v>
      </c>
      <c r="O1189" s="60"/>
      <c r="P1189" s="60">
        <f t="shared" si="55"/>
        <v>2550000</v>
      </c>
    </row>
    <row r="1190" spans="2:16">
      <c r="B1190" s="20" t="s">
        <v>1341</v>
      </c>
      <c r="C1190" s="20" t="s">
        <v>2</v>
      </c>
      <c r="D1190" s="20" t="str">
        <f>IFERROR(INDEX('[2]PRICELIST, 908u'!$G$7:$AX$914,MATCH($B1190,'[2]PRICELIST, 908u'!$G$7:$G$914,0),18),"NA")</f>
        <v>2025 - Batch 5</v>
      </c>
      <c r="E1190" s="20" t="str">
        <f>IFERROR(INDEX([3]AGM!$D$21:$BL$928,MATCH($B1190,[3]AGM!$AD$21:$AD$928,0),1),"NA")</f>
        <v>OS</v>
      </c>
      <c r="F1190" s="20" t="str">
        <f t="shared" si="54"/>
        <v>Block 20</v>
      </c>
      <c r="G1190" s="20" t="str">
        <f t="shared" si="53"/>
        <v>Lot 01</v>
      </c>
      <c r="H1190" s="20">
        <f>IFERROR(INDEX('[2]PRICELIST, 908u'!$G$7:$AX$914,MATCH($B1190,'[2]PRICELIST, 908u'!$G$7:$G$914,0),23),"NA")</f>
        <v>50</v>
      </c>
      <c r="I1190" s="20">
        <f>IFERROR(INDEX('[2]PRICELIST, 908u'!$G$7:$AX$914,MATCH($B1190,'[2]PRICELIST, 908u'!$G$7:$G$914,0),22),"NA")</f>
        <v>70</v>
      </c>
      <c r="J1190" s="20" t="s">
        <v>207</v>
      </c>
      <c r="K1190" s="20" t="str">
        <f>IFERROR(INDEX('[2]PRICELIST, 908u'!$G$7:$AX$914,MATCH($B1190,'[2]PRICELIST, 908u'!$G$7:$G$914,0),30),"NA")</f>
        <v>Slant / PURPLE</v>
      </c>
      <c r="L1190" s="20">
        <f>IFERROR(INDEX('[2]PRICELIST, 908u'!$G$7:$AX$914,MATCH($B1190,'[2]PRICELIST, 908u'!$G$7:$G$914,0),40),"NA")</f>
        <v>2650000</v>
      </c>
      <c r="M1190" s="20">
        <f>IFERROR(INDEX('[2]PRICELIST, 908u'!$G$7:$AX$914,MATCH($B1190,'[2]PRICELIST, 908u'!$G$7:$G$914,0),41),"NA")</f>
        <v>100000</v>
      </c>
      <c r="N1190" s="58">
        <f t="shared" si="56"/>
        <v>2550000</v>
      </c>
      <c r="O1190" s="60"/>
      <c r="P1190" s="60">
        <f t="shared" si="55"/>
        <v>2550000</v>
      </c>
    </row>
    <row r="1191" spans="2:16">
      <c r="B1191" s="20" t="s">
        <v>1342</v>
      </c>
      <c r="C1191" s="20" t="s">
        <v>2</v>
      </c>
      <c r="D1191" s="20" t="str">
        <f>IFERROR(INDEX('[2]PRICELIST, 908u'!$G$7:$AX$914,MATCH($B1191,'[2]PRICELIST, 908u'!$G$7:$G$914,0),18),"NA")</f>
        <v>2025 - Batch 5</v>
      </c>
      <c r="E1191" s="20" t="str">
        <f>IFERROR(INDEX([3]AGM!$D$21:$BL$928,MATCH($B1191,[3]AGM!$AD$21:$AD$928,0),1),"NA")</f>
        <v>OS</v>
      </c>
      <c r="F1191" s="20" t="str">
        <f t="shared" si="54"/>
        <v>Block 20</v>
      </c>
      <c r="G1191" s="20" t="str">
        <f t="shared" si="53"/>
        <v>Lot 02</v>
      </c>
      <c r="H1191" s="20">
        <f>IFERROR(INDEX('[2]PRICELIST, 908u'!$G$7:$AX$914,MATCH($B1191,'[2]PRICELIST, 908u'!$G$7:$G$914,0),23),"NA")</f>
        <v>50</v>
      </c>
      <c r="I1191" s="20">
        <f>IFERROR(INDEX('[2]PRICELIST, 908u'!$G$7:$AX$914,MATCH($B1191,'[2]PRICELIST, 908u'!$G$7:$G$914,0),22),"NA")</f>
        <v>70</v>
      </c>
      <c r="J1191" s="20" t="s">
        <v>207</v>
      </c>
      <c r="K1191" s="20" t="str">
        <f>IFERROR(INDEX('[2]PRICELIST, 908u'!$G$7:$AX$914,MATCH($B1191,'[2]PRICELIST, 908u'!$G$7:$G$914,0),30),"NA")</f>
        <v>Flat / PURPLE</v>
      </c>
      <c r="L1191" s="20">
        <f>IFERROR(INDEX('[2]PRICELIST, 908u'!$G$7:$AX$914,MATCH($B1191,'[2]PRICELIST, 908u'!$G$7:$G$914,0),40),"NA")</f>
        <v>2650000</v>
      </c>
      <c r="M1191" s="20">
        <f>IFERROR(INDEX('[2]PRICELIST, 908u'!$G$7:$AX$914,MATCH($B1191,'[2]PRICELIST, 908u'!$G$7:$G$914,0),41),"NA")</f>
        <v>100000</v>
      </c>
      <c r="N1191" s="58">
        <f t="shared" si="56"/>
        <v>2550000</v>
      </c>
      <c r="O1191" s="60"/>
      <c r="P1191" s="60">
        <f t="shared" si="55"/>
        <v>2550000</v>
      </c>
    </row>
    <row r="1192" spans="2:16">
      <c r="B1192" s="20" t="s">
        <v>1343</v>
      </c>
      <c r="C1192" s="20" t="s">
        <v>2</v>
      </c>
      <c r="D1192" s="20" t="str">
        <f>IFERROR(INDEX('[2]PRICELIST, 908u'!$G$7:$AX$914,MATCH($B1192,'[2]PRICELIST, 908u'!$G$7:$G$914,0),18),"NA")</f>
        <v>2025 - Batch 5</v>
      </c>
      <c r="E1192" s="20" t="str">
        <f>IFERROR(INDEX([3]AGM!$D$21:$BL$928,MATCH($B1192,[3]AGM!$AD$21:$AD$928,0),1),"NA")</f>
        <v>OS</v>
      </c>
      <c r="F1192" s="20" t="str">
        <f t="shared" si="54"/>
        <v>Block 20</v>
      </c>
      <c r="G1192" s="20" t="str">
        <f t="shared" si="53"/>
        <v>Lot 03</v>
      </c>
      <c r="H1192" s="20">
        <f>IFERROR(INDEX('[2]PRICELIST, 908u'!$G$7:$AX$914,MATCH($B1192,'[2]PRICELIST, 908u'!$G$7:$G$914,0),23),"NA")</f>
        <v>50</v>
      </c>
      <c r="I1192" s="20">
        <f>IFERROR(INDEX('[2]PRICELIST, 908u'!$G$7:$AX$914,MATCH($B1192,'[2]PRICELIST, 908u'!$G$7:$G$914,0),22),"NA")</f>
        <v>70</v>
      </c>
      <c r="J1192" s="20" t="s">
        <v>207</v>
      </c>
      <c r="K1192" s="20" t="str">
        <f>IFERROR(INDEX('[2]PRICELIST, 908u'!$G$7:$AX$914,MATCH($B1192,'[2]PRICELIST, 908u'!$G$7:$G$914,0),30),"NA")</f>
        <v>Flat / PURPLE</v>
      </c>
      <c r="L1192" s="20">
        <f>IFERROR(INDEX('[2]PRICELIST, 908u'!$G$7:$AX$914,MATCH($B1192,'[2]PRICELIST, 908u'!$G$7:$G$914,0),40),"NA")</f>
        <v>2650000</v>
      </c>
      <c r="M1192" s="20">
        <f>IFERROR(INDEX('[2]PRICELIST, 908u'!$G$7:$AX$914,MATCH($B1192,'[2]PRICELIST, 908u'!$G$7:$G$914,0),41),"NA")</f>
        <v>100000</v>
      </c>
      <c r="N1192" s="58">
        <f t="shared" si="56"/>
        <v>2550000</v>
      </c>
      <c r="O1192" s="60"/>
      <c r="P1192" s="60">
        <f t="shared" si="55"/>
        <v>2550000</v>
      </c>
    </row>
    <row r="1193" spans="2:16">
      <c r="B1193" s="20" t="s">
        <v>1344</v>
      </c>
      <c r="C1193" s="20" t="s">
        <v>2</v>
      </c>
      <c r="D1193" s="20" t="str">
        <f>IFERROR(INDEX('[2]PRICELIST, 908u'!$G$7:$AX$914,MATCH($B1193,'[2]PRICELIST, 908u'!$G$7:$G$914,0),18),"NA")</f>
        <v>2025 - Batch 5</v>
      </c>
      <c r="E1193" s="20" t="str">
        <f>IFERROR(INDEX([3]AGM!$D$21:$BL$928,MATCH($B1193,[3]AGM!$AD$21:$AD$928,0),1),"NA")</f>
        <v>OS</v>
      </c>
      <c r="F1193" s="20" t="str">
        <f t="shared" si="54"/>
        <v>Block 20</v>
      </c>
      <c r="G1193" s="20" t="str">
        <f t="shared" si="53"/>
        <v>Lot 04</v>
      </c>
      <c r="H1193" s="20">
        <f>IFERROR(INDEX('[2]PRICELIST, 908u'!$G$7:$AX$914,MATCH($B1193,'[2]PRICELIST, 908u'!$G$7:$G$914,0),23),"NA")</f>
        <v>50</v>
      </c>
      <c r="I1193" s="20">
        <f>IFERROR(INDEX('[2]PRICELIST, 908u'!$G$7:$AX$914,MATCH($B1193,'[2]PRICELIST, 908u'!$G$7:$G$914,0),22),"NA")</f>
        <v>70</v>
      </c>
      <c r="J1193" s="20" t="s">
        <v>207</v>
      </c>
      <c r="K1193" s="20" t="str">
        <f>IFERROR(INDEX('[2]PRICELIST, 908u'!$G$7:$AX$914,MATCH($B1193,'[2]PRICELIST, 908u'!$G$7:$G$914,0),30),"NA")</f>
        <v>Slant / PURPLE</v>
      </c>
      <c r="L1193" s="20">
        <f>IFERROR(INDEX('[2]PRICELIST, 908u'!$G$7:$AX$914,MATCH($B1193,'[2]PRICELIST, 908u'!$G$7:$G$914,0),40),"NA")</f>
        <v>2650000</v>
      </c>
      <c r="M1193" s="20">
        <f>IFERROR(INDEX('[2]PRICELIST, 908u'!$G$7:$AX$914,MATCH($B1193,'[2]PRICELIST, 908u'!$G$7:$G$914,0),41),"NA")</f>
        <v>100000</v>
      </c>
      <c r="N1193" s="58">
        <f t="shared" si="56"/>
        <v>2550000</v>
      </c>
      <c r="O1193" s="60"/>
      <c r="P1193" s="60">
        <f t="shared" si="55"/>
        <v>2550000</v>
      </c>
    </row>
    <row r="1194" spans="2:16">
      <c r="B1194" s="20" t="s">
        <v>1345</v>
      </c>
      <c r="C1194" s="20" t="s">
        <v>2</v>
      </c>
      <c r="D1194" s="20" t="str">
        <f>IFERROR(INDEX('[2]PRICELIST, 908u'!$G$7:$AX$914,MATCH($B1194,'[2]PRICELIST, 908u'!$G$7:$G$914,0),18),"NA")</f>
        <v>2025 - Batch 5</v>
      </c>
      <c r="E1194" s="20" t="str">
        <f>IFERROR(INDEX([3]AGM!$D$21:$BL$928,MATCH($B1194,[3]AGM!$AD$21:$AD$928,0),1),"NA")</f>
        <v>OS</v>
      </c>
      <c r="F1194" s="20" t="str">
        <f t="shared" si="54"/>
        <v>Block 20</v>
      </c>
      <c r="G1194" s="20" t="str">
        <f t="shared" si="53"/>
        <v>Lot 05</v>
      </c>
      <c r="H1194" s="20">
        <f>IFERROR(INDEX('[2]PRICELIST, 908u'!$G$7:$AX$914,MATCH($B1194,'[2]PRICELIST, 908u'!$G$7:$G$914,0),23),"NA")</f>
        <v>50</v>
      </c>
      <c r="I1194" s="20">
        <f>IFERROR(INDEX('[2]PRICELIST, 908u'!$G$7:$AX$914,MATCH($B1194,'[2]PRICELIST, 908u'!$G$7:$G$914,0),22),"NA")</f>
        <v>70</v>
      </c>
      <c r="J1194" s="20" t="s">
        <v>207</v>
      </c>
      <c r="K1194" s="20" t="str">
        <f>IFERROR(INDEX('[2]PRICELIST, 908u'!$G$7:$AX$914,MATCH($B1194,'[2]PRICELIST, 908u'!$G$7:$G$914,0),30),"NA")</f>
        <v>Flat / YELLOW</v>
      </c>
      <c r="L1194" s="20">
        <f>IFERROR(INDEX('[2]PRICELIST, 908u'!$G$7:$AX$914,MATCH($B1194,'[2]PRICELIST, 908u'!$G$7:$G$914,0),40),"NA")</f>
        <v>2650000</v>
      </c>
      <c r="M1194" s="20">
        <f>IFERROR(INDEX('[2]PRICELIST, 908u'!$G$7:$AX$914,MATCH($B1194,'[2]PRICELIST, 908u'!$G$7:$G$914,0),41),"NA")</f>
        <v>100000</v>
      </c>
      <c r="N1194" s="58">
        <f t="shared" si="56"/>
        <v>2550000</v>
      </c>
      <c r="O1194" s="60"/>
      <c r="P1194" s="60">
        <f t="shared" si="55"/>
        <v>2550000</v>
      </c>
    </row>
    <row r="1195" spans="2:16">
      <c r="B1195" s="20" t="s">
        <v>1346</v>
      </c>
      <c r="C1195" s="20" t="s">
        <v>2</v>
      </c>
      <c r="D1195" s="20" t="str">
        <f>IFERROR(INDEX('[2]PRICELIST, 908u'!$G$7:$AX$914,MATCH($B1195,'[2]PRICELIST, 908u'!$G$7:$G$914,0),18),"NA")</f>
        <v>2025 - Batch 5</v>
      </c>
      <c r="E1195" s="20" t="str">
        <f>IFERROR(INDEX([3]AGM!$D$21:$BL$928,MATCH($B1195,[3]AGM!$AD$21:$AD$928,0),1),"NA")</f>
        <v>OS</v>
      </c>
      <c r="F1195" s="20" t="str">
        <f t="shared" si="54"/>
        <v>Block 20</v>
      </c>
      <c r="G1195" s="20" t="str">
        <f t="shared" si="53"/>
        <v>Lot 06</v>
      </c>
      <c r="H1195" s="20">
        <f>IFERROR(INDEX('[2]PRICELIST, 908u'!$G$7:$AX$914,MATCH($B1195,'[2]PRICELIST, 908u'!$G$7:$G$914,0),23),"NA")</f>
        <v>50</v>
      </c>
      <c r="I1195" s="20">
        <f>IFERROR(INDEX('[2]PRICELIST, 908u'!$G$7:$AX$914,MATCH($B1195,'[2]PRICELIST, 908u'!$G$7:$G$914,0),22),"NA")</f>
        <v>70</v>
      </c>
      <c r="J1195" s="20" t="s">
        <v>207</v>
      </c>
      <c r="K1195" s="20" t="str">
        <f>IFERROR(INDEX('[2]PRICELIST, 908u'!$G$7:$AX$914,MATCH($B1195,'[2]PRICELIST, 908u'!$G$7:$G$914,0),30),"NA")</f>
        <v>Slant / YELLOW</v>
      </c>
      <c r="L1195" s="20">
        <f>IFERROR(INDEX('[2]PRICELIST, 908u'!$G$7:$AX$914,MATCH($B1195,'[2]PRICELIST, 908u'!$G$7:$G$914,0),40),"NA")</f>
        <v>2650000</v>
      </c>
      <c r="M1195" s="20">
        <f>IFERROR(INDEX('[2]PRICELIST, 908u'!$G$7:$AX$914,MATCH($B1195,'[2]PRICELIST, 908u'!$G$7:$G$914,0),41),"NA")</f>
        <v>100000</v>
      </c>
      <c r="N1195" s="58">
        <f t="shared" si="56"/>
        <v>2550000</v>
      </c>
      <c r="O1195" s="60"/>
      <c r="P1195" s="60">
        <f t="shared" si="55"/>
        <v>2550000</v>
      </c>
    </row>
    <row r="1196" spans="2:16">
      <c r="B1196" s="20" t="s">
        <v>1347</v>
      </c>
      <c r="C1196" s="20" t="s">
        <v>2</v>
      </c>
      <c r="D1196" s="20" t="str">
        <f>IFERROR(INDEX('[2]PRICELIST, 908u'!$G$7:$AX$914,MATCH($B1196,'[2]PRICELIST, 908u'!$G$7:$G$914,0),18),"NA")</f>
        <v>2025 - Batch 5</v>
      </c>
      <c r="E1196" s="20" t="str">
        <f>IFERROR(INDEX([3]AGM!$D$21:$BL$928,MATCH($B1196,[3]AGM!$AD$21:$AD$928,0),1),"NA")</f>
        <v>OS</v>
      </c>
      <c r="F1196" s="20" t="str">
        <f t="shared" si="54"/>
        <v>Block 20</v>
      </c>
      <c r="G1196" s="20" t="str">
        <f t="shared" si="53"/>
        <v>Lot 07</v>
      </c>
      <c r="H1196" s="20">
        <f>IFERROR(INDEX('[2]PRICELIST, 908u'!$G$7:$AX$914,MATCH($B1196,'[2]PRICELIST, 908u'!$G$7:$G$914,0),23),"NA")</f>
        <v>50</v>
      </c>
      <c r="I1196" s="20">
        <f>IFERROR(INDEX('[2]PRICELIST, 908u'!$G$7:$AX$914,MATCH($B1196,'[2]PRICELIST, 908u'!$G$7:$G$914,0),22),"NA")</f>
        <v>70</v>
      </c>
      <c r="J1196" s="20" t="s">
        <v>207</v>
      </c>
      <c r="K1196" s="20" t="str">
        <f>IFERROR(INDEX('[2]PRICELIST, 908u'!$G$7:$AX$914,MATCH($B1196,'[2]PRICELIST, 908u'!$G$7:$G$914,0),30),"NA")</f>
        <v>Slant / YELLOW</v>
      </c>
      <c r="L1196" s="20">
        <f>IFERROR(INDEX('[2]PRICELIST, 908u'!$G$7:$AX$914,MATCH($B1196,'[2]PRICELIST, 908u'!$G$7:$G$914,0),40),"NA")</f>
        <v>2650000</v>
      </c>
      <c r="M1196" s="20">
        <f>IFERROR(INDEX('[2]PRICELIST, 908u'!$G$7:$AX$914,MATCH($B1196,'[2]PRICELIST, 908u'!$G$7:$G$914,0),41),"NA")</f>
        <v>100000</v>
      </c>
      <c r="N1196" s="58">
        <f t="shared" si="56"/>
        <v>2550000</v>
      </c>
      <c r="O1196" s="60"/>
      <c r="P1196" s="60">
        <f t="shared" si="55"/>
        <v>2550000</v>
      </c>
    </row>
    <row r="1197" spans="2:16">
      <c r="B1197" s="20" t="s">
        <v>1348</v>
      </c>
      <c r="C1197" s="20" t="s">
        <v>2</v>
      </c>
      <c r="D1197" s="20" t="str">
        <f>IFERROR(INDEX('[2]PRICELIST, 908u'!$G$7:$AX$914,MATCH($B1197,'[2]PRICELIST, 908u'!$G$7:$G$914,0),18),"NA")</f>
        <v>2025 - Batch 5</v>
      </c>
      <c r="E1197" s="20" t="str">
        <f>IFERROR(INDEX([3]AGM!$D$21:$BL$928,MATCH($B1197,[3]AGM!$AD$21:$AD$928,0),1),"NA")</f>
        <v>OS</v>
      </c>
      <c r="F1197" s="20" t="str">
        <f t="shared" si="54"/>
        <v>Block 20</v>
      </c>
      <c r="G1197" s="20" t="str">
        <f t="shared" si="53"/>
        <v>Lot 08</v>
      </c>
      <c r="H1197" s="20">
        <f>IFERROR(INDEX('[2]PRICELIST, 908u'!$G$7:$AX$914,MATCH($B1197,'[2]PRICELIST, 908u'!$G$7:$G$914,0),23),"NA")</f>
        <v>50</v>
      </c>
      <c r="I1197" s="20">
        <f>IFERROR(INDEX('[2]PRICELIST, 908u'!$G$7:$AX$914,MATCH($B1197,'[2]PRICELIST, 908u'!$G$7:$G$914,0),22),"NA")</f>
        <v>70</v>
      </c>
      <c r="J1197" s="20" t="s">
        <v>207</v>
      </c>
      <c r="K1197" s="20" t="str">
        <f>IFERROR(INDEX('[2]PRICELIST, 908u'!$G$7:$AX$914,MATCH($B1197,'[2]PRICELIST, 908u'!$G$7:$G$914,0),30),"NA")</f>
        <v>Flat / YELLOW</v>
      </c>
      <c r="L1197" s="20">
        <f>IFERROR(INDEX('[2]PRICELIST, 908u'!$G$7:$AX$914,MATCH($B1197,'[2]PRICELIST, 908u'!$G$7:$G$914,0),40),"NA")</f>
        <v>2650000</v>
      </c>
      <c r="M1197" s="20">
        <f>IFERROR(INDEX('[2]PRICELIST, 908u'!$G$7:$AX$914,MATCH($B1197,'[2]PRICELIST, 908u'!$G$7:$G$914,0),41),"NA")</f>
        <v>100000</v>
      </c>
      <c r="N1197" s="58">
        <f t="shared" si="56"/>
        <v>2550000</v>
      </c>
      <c r="O1197" s="60"/>
      <c r="P1197" s="60">
        <f t="shared" si="55"/>
        <v>2550000</v>
      </c>
    </row>
    <row r="1198" spans="2:16">
      <c r="B1198" s="20" t="s">
        <v>1349</v>
      </c>
      <c r="C1198" s="20" t="s">
        <v>2</v>
      </c>
      <c r="D1198" s="20" t="str">
        <f>IFERROR(INDEX('[2]PRICELIST, 908u'!$G$7:$AX$914,MATCH($B1198,'[2]PRICELIST, 908u'!$G$7:$G$914,0),18),"NA")</f>
        <v>2025 - Batch 4</v>
      </c>
      <c r="E1198" s="20" t="str">
        <f>IFERROR(INDEX([3]AGM!$D$21:$BL$928,MATCH($B1198,[3]AGM!$AD$21:$AD$928,0),1),"NA")</f>
        <v>OS</v>
      </c>
      <c r="F1198" s="20" t="str">
        <f t="shared" si="54"/>
        <v>Block 21</v>
      </c>
      <c r="G1198" s="20" t="str">
        <f t="shared" si="53"/>
        <v>Lot 01</v>
      </c>
      <c r="H1198" s="20">
        <f>IFERROR(INDEX('[2]PRICELIST, 908u'!$G$7:$AX$914,MATCH($B1198,'[2]PRICELIST, 908u'!$G$7:$G$914,0),23),"NA")</f>
        <v>50</v>
      </c>
      <c r="I1198" s="20">
        <f>IFERROR(INDEX('[2]PRICELIST, 908u'!$G$7:$AX$914,MATCH($B1198,'[2]PRICELIST, 908u'!$G$7:$G$914,0),22),"NA")</f>
        <v>90</v>
      </c>
      <c r="J1198" s="20" t="s">
        <v>207</v>
      </c>
      <c r="K1198" s="20" t="str">
        <f>IFERROR(INDEX('[2]PRICELIST, 908u'!$G$7:$AX$914,MATCH($B1198,'[2]PRICELIST, 908u'!$G$7:$G$914,0),30),"NA")</f>
        <v>Slant / PINK</v>
      </c>
      <c r="L1198" s="20">
        <f>IFERROR(INDEX('[2]PRICELIST, 908u'!$G$7:$AX$914,MATCH($B1198,'[2]PRICELIST, 908u'!$G$7:$G$914,0),40),"NA")</f>
        <v>2950000</v>
      </c>
      <c r="M1198" s="20">
        <f>IFERROR(INDEX('[2]PRICELIST, 908u'!$G$7:$AX$914,MATCH($B1198,'[2]PRICELIST, 908u'!$G$7:$G$914,0),41),"NA")</f>
        <v>100000</v>
      </c>
      <c r="N1198" s="58">
        <f t="shared" si="56"/>
        <v>2850000</v>
      </c>
      <c r="O1198" s="60"/>
      <c r="P1198" s="60">
        <f t="shared" si="55"/>
        <v>2850000</v>
      </c>
    </row>
    <row r="1199" spans="2:16">
      <c r="B1199" s="20" t="s">
        <v>1350</v>
      </c>
      <c r="C1199" s="20" t="s">
        <v>2</v>
      </c>
      <c r="D1199" s="20" t="str">
        <f>IFERROR(INDEX('[2]PRICELIST, 908u'!$G$7:$AX$914,MATCH($B1199,'[2]PRICELIST, 908u'!$G$7:$G$914,0),18),"NA")</f>
        <v>2025 - Batch 4</v>
      </c>
      <c r="E1199" s="20" t="str">
        <f>IFERROR(INDEX([3]AGM!$D$21:$BL$928,MATCH($B1199,[3]AGM!$AD$21:$AD$928,0),1),"NA")</f>
        <v>OS</v>
      </c>
      <c r="F1199" s="20" t="str">
        <f t="shared" si="54"/>
        <v>Block 21</v>
      </c>
      <c r="G1199" s="20" t="str">
        <f t="shared" si="53"/>
        <v>Lot 02</v>
      </c>
      <c r="H1199" s="20">
        <f>IFERROR(INDEX('[2]PRICELIST, 908u'!$G$7:$AX$914,MATCH($B1199,'[2]PRICELIST, 908u'!$G$7:$G$914,0),23),"NA")</f>
        <v>50</v>
      </c>
      <c r="I1199" s="20">
        <f>IFERROR(INDEX('[2]PRICELIST, 908u'!$G$7:$AX$914,MATCH($B1199,'[2]PRICELIST, 908u'!$G$7:$G$914,0),22),"NA")</f>
        <v>90</v>
      </c>
      <c r="J1199" s="20" t="s">
        <v>207</v>
      </c>
      <c r="K1199" s="20" t="str">
        <f>IFERROR(INDEX('[2]PRICELIST, 908u'!$G$7:$AX$914,MATCH($B1199,'[2]PRICELIST, 908u'!$G$7:$G$914,0),30),"NA")</f>
        <v>Flat / PINK</v>
      </c>
      <c r="L1199" s="20">
        <f>IFERROR(INDEX('[2]PRICELIST, 908u'!$G$7:$AX$914,MATCH($B1199,'[2]PRICELIST, 908u'!$G$7:$G$914,0),40),"NA")</f>
        <v>2950000</v>
      </c>
      <c r="M1199" s="20">
        <f>IFERROR(INDEX('[2]PRICELIST, 908u'!$G$7:$AX$914,MATCH($B1199,'[2]PRICELIST, 908u'!$G$7:$G$914,0),41),"NA")</f>
        <v>100000</v>
      </c>
      <c r="N1199" s="58">
        <f t="shared" si="56"/>
        <v>2850000</v>
      </c>
      <c r="O1199" s="60"/>
      <c r="P1199" s="60">
        <f t="shared" si="55"/>
        <v>2850000</v>
      </c>
    </row>
    <row r="1200" spans="2:16">
      <c r="B1200" s="20" t="s">
        <v>1351</v>
      </c>
      <c r="C1200" s="20" t="s">
        <v>2</v>
      </c>
      <c r="D1200" s="20" t="str">
        <f>IFERROR(INDEX('[2]PRICELIST, 908u'!$G$7:$AX$914,MATCH($B1200,'[2]PRICELIST, 908u'!$G$7:$G$914,0),18),"NA")</f>
        <v>2025 - Batch 4</v>
      </c>
      <c r="E1200" s="20" t="str">
        <f>IFERROR(INDEX([3]AGM!$D$21:$BL$928,MATCH($B1200,[3]AGM!$AD$21:$AD$928,0),1),"NA")</f>
        <v>OS</v>
      </c>
      <c r="F1200" s="20" t="str">
        <f t="shared" si="54"/>
        <v>Block 21</v>
      </c>
      <c r="G1200" s="20" t="str">
        <f t="shared" si="53"/>
        <v>Lot 03</v>
      </c>
      <c r="H1200" s="20">
        <f>IFERROR(INDEX('[2]PRICELIST, 908u'!$G$7:$AX$914,MATCH($B1200,'[2]PRICELIST, 908u'!$G$7:$G$914,0),23),"NA")</f>
        <v>50</v>
      </c>
      <c r="I1200" s="20">
        <f>IFERROR(INDEX('[2]PRICELIST, 908u'!$G$7:$AX$914,MATCH($B1200,'[2]PRICELIST, 908u'!$G$7:$G$914,0),22),"NA")</f>
        <v>90</v>
      </c>
      <c r="J1200" s="20" t="s">
        <v>207</v>
      </c>
      <c r="K1200" s="20" t="str">
        <f>IFERROR(INDEX('[2]PRICELIST, 908u'!$G$7:$AX$914,MATCH($B1200,'[2]PRICELIST, 908u'!$G$7:$G$914,0),30),"NA")</f>
        <v>Flat / PINK</v>
      </c>
      <c r="L1200" s="20">
        <f>IFERROR(INDEX('[2]PRICELIST, 908u'!$G$7:$AX$914,MATCH($B1200,'[2]PRICELIST, 908u'!$G$7:$G$914,0),40),"NA")</f>
        <v>2950000</v>
      </c>
      <c r="M1200" s="20">
        <f>IFERROR(INDEX('[2]PRICELIST, 908u'!$G$7:$AX$914,MATCH($B1200,'[2]PRICELIST, 908u'!$G$7:$G$914,0),41),"NA")</f>
        <v>100000</v>
      </c>
      <c r="N1200" s="58">
        <f t="shared" si="56"/>
        <v>2850000</v>
      </c>
      <c r="O1200" s="60"/>
      <c r="P1200" s="60">
        <f t="shared" si="55"/>
        <v>2850000</v>
      </c>
    </row>
    <row r="1201" spans="2:16">
      <c r="B1201" s="22" t="s">
        <v>1352</v>
      </c>
      <c r="C1201" s="20" t="s">
        <v>2</v>
      </c>
      <c r="D1201" s="20" t="str">
        <f>IFERROR(INDEX('[2]PRICELIST, 908u'!$G$7:$AX$914,MATCH($B1201,'[2]PRICELIST, 908u'!$G$7:$G$914,0),18),"NA")</f>
        <v>2025 - Batch 4</v>
      </c>
      <c r="E1201" s="20" t="str">
        <f>IFERROR(INDEX([3]AGM!$D$21:$BL$928,MATCH($B1201,[3]AGM!$AD$21:$AD$928,0),1),"NA")</f>
        <v>OS</v>
      </c>
      <c r="F1201" s="20" t="str">
        <f t="shared" si="54"/>
        <v>Block 21</v>
      </c>
      <c r="G1201" s="20" t="str">
        <f t="shared" si="53"/>
        <v>Lot 04</v>
      </c>
      <c r="H1201" s="20">
        <f>IFERROR(INDEX('[2]PRICELIST, 908u'!$G$7:$AX$914,MATCH($B1201,'[2]PRICELIST, 908u'!$G$7:$G$914,0),23),"NA")</f>
        <v>50</v>
      </c>
      <c r="I1201" s="20">
        <f>IFERROR(INDEX('[2]PRICELIST, 908u'!$G$7:$AX$914,MATCH($B1201,'[2]PRICELIST, 908u'!$G$7:$G$914,0),22),"NA")</f>
        <v>80</v>
      </c>
      <c r="J1201" s="20" t="s">
        <v>207</v>
      </c>
      <c r="K1201" s="20" t="str">
        <f>IFERROR(INDEX('[2]PRICELIST, 908u'!$G$7:$AX$914,MATCH($B1201,'[2]PRICELIST, 908u'!$G$7:$G$914,0),30),"NA")</f>
        <v>Slant / PINK</v>
      </c>
      <c r="L1201" s="20">
        <f>IFERROR(INDEX('[2]PRICELIST, 908u'!$G$7:$AX$914,MATCH($B1201,'[2]PRICELIST, 908u'!$G$7:$G$914,0),40),"NA")</f>
        <v>2800000</v>
      </c>
      <c r="M1201" s="20">
        <f>IFERROR(INDEX('[2]PRICELIST, 908u'!$G$7:$AX$914,MATCH($B1201,'[2]PRICELIST, 908u'!$G$7:$G$914,0),41),"NA")</f>
        <v>100000</v>
      </c>
      <c r="N1201" s="58">
        <f t="shared" si="56"/>
        <v>2700000</v>
      </c>
      <c r="O1201" s="60"/>
      <c r="P1201" s="60">
        <f t="shared" si="55"/>
        <v>2700000</v>
      </c>
    </row>
    <row r="1202" spans="2:16">
      <c r="B1202" s="22" t="s">
        <v>1353</v>
      </c>
      <c r="C1202" s="20" t="s">
        <v>2</v>
      </c>
      <c r="D1202" s="20" t="str">
        <f>IFERROR(INDEX('[2]PRICELIST, 908u'!$G$7:$AX$914,MATCH($B1202,'[2]PRICELIST, 908u'!$G$7:$G$914,0),18),"NA")</f>
        <v>2025 - Batch 4</v>
      </c>
      <c r="E1202" s="20" t="str">
        <f>IFERROR(INDEX([3]AGM!$D$21:$BL$928,MATCH($B1202,[3]AGM!$AD$21:$AD$928,0),1),"NA")</f>
        <v>OS</v>
      </c>
      <c r="F1202" s="20" t="str">
        <f t="shared" si="54"/>
        <v>Block 21</v>
      </c>
      <c r="G1202" s="20" t="str">
        <f t="shared" si="53"/>
        <v>Lot 05</v>
      </c>
      <c r="H1202" s="20">
        <f>IFERROR(INDEX('[2]PRICELIST, 908u'!$G$7:$AX$914,MATCH($B1202,'[2]PRICELIST, 908u'!$G$7:$G$914,0),23),"NA")</f>
        <v>50</v>
      </c>
      <c r="I1202" s="20">
        <f>IFERROR(INDEX('[2]PRICELIST, 908u'!$G$7:$AX$914,MATCH($B1202,'[2]PRICELIST, 908u'!$G$7:$G$914,0),22),"NA")</f>
        <v>80</v>
      </c>
      <c r="J1202" s="20" t="s">
        <v>207</v>
      </c>
      <c r="K1202" s="20" t="str">
        <f>IFERROR(INDEX('[2]PRICELIST, 908u'!$G$7:$AX$914,MATCH($B1202,'[2]PRICELIST, 908u'!$G$7:$G$914,0),30),"NA")</f>
        <v>Flat / GREEN</v>
      </c>
      <c r="L1202" s="20">
        <f>IFERROR(INDEX('[2]PRICELIST, 908u'!$G$7:$AX$914,MATCH($B1202,'[2]PRICELIST, 908u'!$G$7:$G$914,0),40),"NA")</f>
        <v>2800000</v>
      </c>
      <c r="M1202" s="20">
        <f>IFERROR(INDEX('[2]PRICELIST, 908u'!$G$7:$AX$914,MATCH($B1202,'[2]PRICELIST, 908u'!$G$7:$G$914,0),41),"NA")</f>
        <v>100000</v>
      </c>
      <c r="N1202" s="58">
        <f t="shared" si="56"/>
        <v>2700000</v>
      </c>
      <c r="O1202" s="60"/>
      <c r="P1202" s="60">
        <f t="shared" si="55"/>
        <v>2700000</v>
      </c>
    </row>
    <row r="1203" spans="2:16">
      <c r="B1203" s="20" t="s">
        <v>1354</v>
      </c>
      <c r="C1203" s="20" t="s">
        <v>2</v>
      </c>
      <c r="D1203" s="20" t="str">
        <f>IFERROR(INDEX('[2]PRICELIST, 908u'!$G$7:$AX$914,MATCH($B1203,'[2]PRICELIST, 908u'!$G$7:$G$914,0),18),"NA")</f>
        <v>2025 - Batch 4</v>
      </c>
      <c r="E1203" s="20" t="str">
        <f>IFERROR(INDEX([3]AGM!$D$21:$BL$928,MATCH($B1203,[3]AGM!$AD$21:$AD$928,0),1),"NA")</f>
        <v>OS</v>
      </c>
      <c r="F1203" s="20" t="str">
        <f t="shared" si="54"/>
        <v>Block 21</v>
      </c>
      <c r="G1203" s="20" t="str">
        <f t="shared" si="53"/>
        <v>Lot 06</v>
      </c>
      <c r="H1203" s="20">
        <f>IFERROR(INDEX('[2]PRICELIST, 908u'!$G$7:$AX$914,MATCH($B1203,'[2]PRICELIST, 908u'!$G$7:$G$914,0),23),"NA")</f>
        <v>50</v>
      </c>
      <c r="I1203" s="20">
        <f>IFERROR(INDEX('[2]PRICELIST, 908u'!$G$7:$AX$914,MATCH($B1203,'[2]PRICELIST, 908u'!$G$7:$G$914,0),22),"NA")</f>
        <v>90</v>
      </c>
      <c r="J1203" s="20" t="s">
        <v>207</v>
      </c>
      <c r="K1203" s="20" t="str">
        <f>IFERROR(INDEX('[2]PRICELIST, 908u'!$G$7:$AX$914,MATCH($B1203,'[2]PRICELIST, 908u'!$G$7:$G$914,0),30),"NA")</f>
        <v>Slant / GREEN</v>
      </c>
      <c r="L1203" s="20">
        <f>IFERROR(INDEX('[2]PRICELIST, 908u'!$G$7:$AX$914,MATCH($B1203,'[2]PRICELIST, 908u'!$G$7:$G$914,0),40),"NA")</f>
        <v>2950000</v>
      </c>
      <c r="M1203" s="20">
        <f>IFERROR(INDEX('[2]PRICELIST, 908u'!$G$7:$AX$914,MATCH($B1203,'[2]PRICELIST, 908u'!$G$7:$G$914,0),41),"NA")</f>
        <v>100000</v>
      </c>
      <c r="N1203" s="58">
        <f t="shared" si="56"/>
        <v>2850000</v>
      </c>
      <c r="O1203" s="60"/>
      <c r="P1203" s="60">
        <f t="shared" si="55"/>
        <v>2850000</v>
      </c>
    </row>
    <row r="1204" spans="2:16">
      <c r="B1204" s="20" t="s">
        <v>1355</v>
      </c>
      <c r="C1204" s="20" t="s">
        <v>2</v>
      </c>
      <c r="D1204" s="20" t="str">
        <f>IFERROR(INDEX('[2]PRICELIST, 908u'!$G$7:$AX$914,MATCH($B1204,'[2]PRICELIST, 908u'!$G$7:$G$914,0),18),"NA")</f>
        <v>2025 - Batch 4</v>
      </c>
      <c r="E1204" s="20" t="str">
        <f>IFERROR(INDEX([3]AGM!$D$21:$BL$928,MATCH($B1204,[3]AGM!$AD$21:$AD$928,0),1),"NA")</f>
        <v>OS</v>
      </c>
      <c r="F1204" s="20" t="str">
        <f t="shared" si="54"/>
        <v>Block 21</v>
      </c>
      <c r="G1204" s="20" t="str">
        <f t="shared" si="53"/>
        <v>Lot 07</v>
      </c>
      <c r="H1204" s="20">
        <f>IFERROR(INDEX('[2]PRICELIST, 908u'!$G$7:$AX$914,MATCH($B1204,'[2]PRICELIST, 908u'!$G$7:$G$914,0),23),"NA")</f>
        <v>50</v>
      </c>
      <c r="I1204" s="20">
        <f>IFERROR(INDEX('[2]PRICELIST, 908u'!$G$7:$AX$914,MATCH($B1204,'[2]PRICELIST, 908u'!$G$7:$G$914,0),22),"NA")</f>
        <v>90</v>
      </c>
      <c r="J1204" s="20" t="s">
        <v>207</v>
      </c>
      <c r="K1204" s="20" t="str">
        <f>IFERROR(INDEX('[2]PRICELIST, 908u'!$G$7:$AX$914,MATCH($B1204,'[2]PRICELIST, 908u'!$G$7:$G$914,0),30),"NA")</f>
        <v>Slant / GREEN</v>
      </c>
      <c r="L1204" s="20">
        <f>IFERROR(INDEX('[2]PRICELIST, 908u'!$G$7:$AX$914,MATCH($B1204,'[2]PRICELIST, 908u'!$G$7:$G$914,0),40),"NA")</f>
        <v>2950000</v>
      </c>
      <c r="M1204" s="20">
        <f>IFERROR(INDEX('[2]PRICELIST, 908u'!$G$7:$AX$914,MATCH($B1204,'[2]PRICELIST, 908u'!$G$7:$G$914,0),41),"NA")</f>
        <v>100000</v>
      </c>
      <c r="N1204" s="58">
        <f t="shared" si="56"/>
        <v>2850000</v>
      </c>
      <c r="O1204" s="60"/>
      <c r="P1204" s="60">
        <f t="shared" si="55"/>
        <v>2850000</v>
      </c>
    </row>
    <row r="1205" spans="2:16">
      <c r="B1205" s="20" t="s">
        <v>1356</v>
      </c>
      <c r="C1205" s="20" t="s">
        <v>2</v>
      </c>
      <c r="D1205" s="20" t="str">
        <f>IFERROR(INDEX('[2]PRICELIST, 908u'!$G$7:$AX$914,MATCH($B1205,'[2]PRICELIST, 908u'!$G$7:$G$914,0),18),"NA")</f>
        <v>2025 - Batch 4</v>
      </c>
      <c r="E1205" s="20" t="str">
        <f>IFERROR(INDEX([3]AGM!$D$21:$BL$928,MATCH($B1205,[3]AGM!$AD$21:$AD$928,0),1),"NA")</f>
        <v>OS</v>
      </c>
      <c r="F1205" s="20" t="str">
        <f t="shared" si="54"/>
        <v>Block 21</v>
      </c>
      <c r="G1205" s="20" t="str">
        <f t="shared" si="53"/>
        <v>Lot 08</v>
      </c>
      <c r="H1205" s="20">
        <f>IFERROR(INDEX('[2]PRICELIST, 908u'!$G$7:$AX$914,MATCH($B1205,'[2]PRICELIST, 908u'!$G$7:$G$914,0),23),"NA")</f>
        <v>50</v>
      </c>
      <c r="I1205" s="20">
        <f>IFERROR(INDEX('[2]PRICELIST, 908u'!$G$7:$AX$914,MATCH($B1205,'[2]PRICELIST, 908u'!$G$7:$G$914,0),22),"NA")</f>
        <v>90</v>
      </c>
      <c r="J1205" s="20" t="s">
        <v>207</v>
      </c>
      <c r="K1205" s="20" t="str">
        <f>IFERROR(INDEX('[2]PRICELIST, 908u'!$G$7:$AX$914,MATCH($B1205,'[2]PRICELIST, 908u'!$G$7:$G$914,0),30),"NA")</f>
        <v>Flat / GREEN</v>
      </c>
      <c r="L1205" s="20">
        <f>IFERROR(INDEX('[2]PRICELIST, 908u'!$G$7:$AX$914,MATCH($B1205,'[2]PRICELIST, 908u'!$G$7:$G$914,0),40),"NA")</f>
        <v>2950000</v>
      </c>
      <c r="M1205" s="20">
        <f>IFERROR(INDEX('[2]PRICELIST, 908u'!$G$7:$AX$914,MATCH($B1205,'[2]PRICELIST, 908u'!$G$7:$G$914,0),41),"NA")</f>
        <v>100000</v>
      </c>
      <c r="N1205" s="58">
        <f t="shared" si="56"/>
        <v>2850000</v>
      </c>
      <c r="O1205" s="60"/>
      <c r="P1205" s="60">
        <f t="shared" si="55"/>
        <v>2850000</v>
      </c>
    </row>
    <row r="1206" spans="2:16">
      <c r="B1206" s="22" t="s">
        <v>1357</v>
      </c>
      <c r="C1206" s="20" t="s">
        <v>2</v>
      </c>
      <c r="D1206" s="20" t="str">
        <f>IFERROR(INDEX('[2]PRICELIST, 908u'!$G$7:$AX$914,MATCH($B1206,'[2]PRICELIST, 908u'!$G$7:$G$914,0),18),"NA")</f>
        <v>2025 - Batch 3</v>
      </c>
      <c r="E1206" s="20" t="str">
        <f>IFERROR(INDEX([3]AGM!$D$21:$BL$928,MATCH($B1206,[3]AGM!$AD$21:$AD$928,0),1),"NA")</f>
        <v>OS</v>
      </c>
      <c r="F1206" s="20" t="str">
        <f t="shared" si="54"/>
        <v>Block 22</v>
      </c>
      <c r="G1206" s="20" t="str">
        <f t="shared" si="53"/>
        <v>Lot 01</v>
      </c>
      <c r="H1206" s="20">
        <f>IFERROR(INDEX('[2]PRICELIST, 908u'!$G$7:$AX$914,MATCH($B1206,'[2]PRICELIST, 908u'!$G$7:$G$914,0),23),"NA")</f>
        <v>50</v>
      </c>
      <c r="I1206" s="20">
        <f>IFERROR(INDEX('[2]PRICELIST, 908u'!$G$7:$AX$914,MATCH($B1206,'[2]PRICELIST, 908u'!$G$7:$G$914,0),22),"NA")</f>
        <v>80</v>
      </c>
      <c r="J1206" s="20" t="s">
        <v>207</v>
      </c>
      <c r="K1206" s="20" t="str">
        <f>IFERROR(INDEX('[2]PRICELIST, 908u'!$G$7:$AX$914,MATCH($B1206,'[2]PRICELIST, 908u'!$G$7:$G$914,0),30),"NA")</f>
        <v>Flat / YELLOW</v>
      </c>
      <c r="L1206" s="20">
        <f>IFERROR(INDEX('[2]PRICELIST, 908u'!$G$7:$AX$914,MATCH($B1206,'[2]PRICELIST, 908u'!$G$7:$G$914,0),40),"NA")</f>
        <v>2800000</v>
      </c>
      <c r="M1206" s="20">
        <f>IFERROR(INDEX('[2]PRICELIST, 908u'!$G$7:$AX$914,MATCH($B1206,'[2]PRICELIST, 908u'!$G$7:$G$914,0),41),"NA")</f>
        <v>100000</v>
      </c>
      <c r="N1206" s="58">
        <f t="shared" si="56"/>
        <v>2700000</v>
      </c>
      <c r="O1206" s="60"/>
      <c r="P1206" s="60">
        <f t="shared" si="55"/>
        <v>2700000</v>
      </c>
    </row>
    <row r="1207" spans="2:16">
      <c r="B1207" s="20" t="s">
        <v>1358</v>
      </c>
      <c r="C1207" s="20" t="s">
        <v>2</v>
      </c>
      <c r="D1207" s="20" t="str">
        <f>IFERROR(INDEX('[2]PRICELIST, 908u'!$G$7:$AX$914,MATCH($B1207,'[2]PRICELIST, 908u'!$G$7:$G$914,0),18),"NA")</f>
        <v>2025 - Batch 3</v>
      </c>
      <c r="E1207" s="20" t="str">
        <f>IFERROR(INDEX([3]AGM!$D$21:$BL$928,MATCH($B1207,[3]AGM!$AD$21:$AD$928,0),1),"NA")</f>
        <v>OS</v>
      </c>
      <c r="F1207" s="20" t="str">
        <f t="shared" si="54"/>
        <v>Block 22</v>
      </c>
      <c r="G1207" s="20" t="str">
        <f t="shared" si="53"/>
        <v>Lot 02</v>
      </c>
      <c r="H1207" s="20">
        <f>IFERROR(INDEX('[2]PRICELIST, 908u'!$G$7:$AX$914,MATCH($B1207,'[2]PRICELIST, 908u'!$G$7:$G$914,0),23),"NA")</f>
        <v>50</v>
      </c>
      <c r="I1207" s="20">
        <f>IFERROR(INDEX('[2]PRICELIST, 908u'!$G$7:$AX$914,MATCH($B1207,'[2]PRICELIST, 908u'!$G$7:$G$914,0),22),"NA")</f>
        <v>90</v>
      </c>
      <c r="J1207" s="20" t="s">
        <v>207</v>
      </c>
      <c r="K1207" s="20" t="str">
        <f>IFERROR(INDEX('[2]PRICELIST, 908u'!$G$7:$AX$914,MATCH($B1207,'[2]PRICELIST, 908u'!$G$7:$G$914,0),30),"NA")</f>
        <v>Slant / YELLOW</v>
      </c>
      <c r="L1207" s="20">
        <f>IFERROR(INDEX('[2]PRICELIST, 908u'!$G$7:$AX$914,MATCH($B1207,'[2]PRICELIST, 908u'!$G$7:$G$914,0),40),"NA")</f>
        <v>2950000</v>
      </c>
      <c r="M1207" s="20">
        <f>IFERROR(INDEX('[2]PRICELIST, 908u'!$G$7:$AX$914,MATCH($B1207,'[2]PRICELIST, 908u'!$G$7:$G$914,0),41),"NA")</f>
        <v>100000</v>
      </c>
      <c r="N1207" s="58">
        <f t="shared" si="56"/>
        <v>2850000</v>
      </c>
      <c r="O1207" s="60"/>
      <c r="P1207" s="60">
        <f t="shared" si="55"/>
        <v>2850000</v>
      </c>
    </row>
    <row r="1208" spans="2:16">
      <c r="B1208" s="20" t="s">
        <v>1359</v>
      </c>
      <c r="C1208" s="20" t="s">
        <v>2</v>
      </c>
      <c r="D1208" s="20" t="str">
        <f>IFERROR(INDEX('[2]PRICELIST, 908u'!$G$7:$AX$914,MATCH($B1208,'[2]PRICELIST, 908u'!$G$7:$G$914,0),18),"NA")</f>
        <v>2025 - Batch 3</v>
      </c>
      <c r="E1208" s="20" t="str">
        <f>IFERROR(INDEX([3]AGM!$D$21:$BL$928,MATCH($B1208,[3]AGM!$AD$21:$AD$928,0),1),"NA")</f>
        <v>OS</v>
      </c>
      <c r="F1208" s="20" t="str">
        <f t="shared" si="54"/>
        <v>Block 22</v>
      </c>
      <c r="G1208" s="20" t="str">
        <f t="shared" si="53"/>
        <v>Lot 03</v>
      </c>
      <c r="H1208" s="20">
        <f>IFERROR(INDEX('[2]PRICELIST, 908u'!$G$7:$AX$914,MATCH($B1208,'[2]PRICELIST, 908u'!$G$7:$G$914,0),23),"NA")</f>
        <v>50</v>
      </c>
      <c r="I1208" s="20">
        <f>IFERROR(INDEX('[2]PRICELIST, 908u'!$G$7:$AX$914,MATCH($B1208,'[2]PRICELIST, 908u'!$G$7:$G$914,0),22),"NA")</f>
        <v>90</v>
      </c>
      <c r="J1208" s="20" t="s">
        <v>207</v>
      </c>
      <c r="K1208" s="20" t="str">
        <f>IFERROR(INDEX('[2]PRICELIST, 908u'!$G$7:$AX$914,MATCH($B1208,'[2]PRICELIST, 908u'!$G$7:$G$914,0),30),"NA")</f>
        <v>Slant / YELLOW</v>
      </c>
      <c r="L1208" s="20">
        <f>IFERROR(INDEX('[2]PRICELIST, 908u'!$G$7:$AX$914,MATCH($B1208,'[2]PRICELIST, 908u'!$G$7:$G$914,0),40),"NA")</f>
        <v>2950000</v>
      </c>
      <c r="M1208" s="20">
        <f>IFERROR(INDEX('[2]PRICELIST, 908u'!$G$7:$AX$914,MATCH($B1208,'[2]PRICELIST, 908u'!$G$7:$G$914,0),41),"NA")</f>
        <v>100000</v>
      </c>
      <c r="N1208" s="58">
        <f t="shared" si="56"/>
        <v>2850000</v>
      </c>
      <c r="O1208" s="60"/>
      <c r="P1208" s="60">
        <f t="shared" si="55"/>
        <v>2850000</v>
      </c>
    </row>
    <row r="1209" spans="2:16">
      <c r="B1209" s="20" t="s">
        <v>1360</v>
      </c>
      <c r="C1209" s="20" t="s">
        <v>2</v>
      </c>
      <c r="D1209" s="20" t="str">
        <f>IFERROR(INDEX('[2]PRICELIST, 908u'!$G$7:$AX$914,MATCH($B1209,'[2]PRICELIST, 908u'!$G$7:$G$914,0),18),"NA")</f>
        <v>2025 - Batch 3</v>
      </c>
      <c r="E1209" s="20" t="str">
        <f>IFERROR(INDEX([3]AGM!$D$21:$BL$928,MATCH($B1209,[3]AGM!$AD$21:$AD$928,0),1),"NA")</f>
        <v>OS</v>
      </c>
      <c r="F1209" s="20" t="str">
        <f t="shared" si="54"/>
        <v>Block 22</v>
      </c>
      <c r="G1209" s="20" t="str">
        <f t="shared" si="53"/>
        <v>Lot 04</v>
      </c>
      <c r="H1209" s="20">
        <f>IFERROR(INDEX('[2]PRICELIST, 908u'!$G$7:$AX$914,MATCH($B1209,'[2]PRICELIST, 908u'!$G$7:$G$914,0),23),"NA")</f>
        <v>50</v>
      </c>
      <c r="I1209" s="20">
        <f>IFERROR(INDEX('[2]PRICELIST, 908u'!$G$7:$AX$914,MATCH($B1209,'[2]PRICELIST, 908u'!$G$7:$G$914,0),22),"NA")</f>
        <v>90</v>
      </c>
      <c r="J1209" s="20" t="s">
        <v>207</v>
      </c>
      <c r="K1209" s="20" t="str">
        <f>IFERROR(INDEX('[2]PRICELIST, 908u'!$G$7:$AX$914,MATCH($B1209,'[2]PRICELIST, 908u'!$G$7:$G$914,0),30),"NA")</f>
        <v>Flat / YELLOW</v>
      </c>
      <c r="L1209" s="20">
        <f>IFERROR(INDEX('[2]PRICELIST, 908u'!$G$7:$AX$914,MATCH($B1209,'[2]PRICELIST, 908u'!$G$7:$G$914,0),40),"NA")</f>
        <v>2950000</v>
      </c>
      <c r="M1209" s="20">
        <f>IFERROR(INDEX('[2]PRICELIST, 908u'!$G$7:$AX$914,MATCH($B1209,'[2]PRICELIST, 908u'!$G$7:$G$914,0),41),"NA")</f>
        <v>100000</v>
      </c>
      <c r="N1209" s="58">
        <f t="shared" si="56"/>
        <v>2850000</v>
      </c>
      <c r="O1209" s="60"/>
      <c r="P1209" s="60">
        <f t="shared" si="55"/>
        <v>2850000</v>
      </c>
    </row>
    <row r="1210" spans="2:16">
      <c r="B1210" s="20" t="s">
        <v>1361</v>
      </c>
      <c r="C1210" s="20" t="s">
        <v>2</v>
      </c>
      <c r="D1210" s="20" t="str">
        <f>IFERROR(INDEX('[2]PRICELIST, 908u'!$G$7:$AX$914,MATCH($B1210,'[2]PRICELIST, 908u'!$G$7:$G$914,0),18),"NA")</f>
        <v>Lot Only - N/A</v>
      </c>
      <c r="E1210" s="20" t="str">
        <f>IFERROR(INDEX([3]AGM!$D$21:$BL$928,MATCH($B1210,[3]AGM!$AD$21:$AD$928,0),1),"NA")</f>
        <v>OS</v>
      </c>
      <c r="F1210" s="20" t="str">
        <f t="shared" si="54"/>
        <v>Block 22</v>
      </c>
      <c r="G1210" s="20" t="str">
        <f t="shared" si="53"/>
        <v>Lot 05</v>
      </c>
      <c r="H1210" s="20" t="str">
        <f>IFERROR(INDEX('[2]PRICELIST, 908u'!$G$7:$AX$914,MATCH($B1210,'[2]PRICELIST, 908u'!$G$7:$G$914,0),23),"NA")</f>
        <v>N/A</v>
      </c>
      <c r="I1210" s="20">
        <f>IFERROR(INDEX('[2]PRICELIST, 908u'!$G$7:$AX$914,MATCH($B1210,'[2]PRICELIST, 908u'!$G$7:$G$914,0),22),"NA")</f>
        <v>109</v>
      </c>
      <c r="J1210" s="20" t="s">
        <v>100</v>
      </c>
      <c r="K1210" s="37" t="s">
        <v>1025</v>
      </c>
      <c r="L1210" s="20">
        <f>IFERROR(INDEX('[2]PRICELIST, 908u'!$G$7:$AX$914,MATCH($B1210,'[2]PRICELIST, 908u'!$G$7:$G$914,0),40),"NA")</f>
        <v>1735000</v>
      </c>
      <c r="M1210" s="20">
        <f>IFERROR(INDEX('[2]PRICELIST, 908u'!$G$7:$AX$914,MATCH($B1210,'[2]PRICELIST, 908u'!$G$7:$G$914,0),41),"NA")</f>
        <v>100000</v>
      </c>
      <c r="N1210" s="58">
        <f t="shared" si="56"/>
        <v>1635000</v>
      </c>
      <c r="O1210" s="60"/>
      <c r="P1210" s="60">
        <f t="shared" si="55"/>
        <v>1635000</v>
      </c>
    </row>
    <row r="1211" spans="2:16">
      <c r="B1211" s="20" t="s">
        <v>1362</v>
      </c>
      <c r="C1211" s="20" t="s">
        <v>2</v>
      </c>
      <c r="D1211" s="20" t="str">
        <f>IFERROR(INDEX('[2]PRICELIST, 908u'!$G$7:$AX$914,MATCH($B1211,'[2]PRICELIST, 908u'!$G$7:$G$914,0),18),"NA")</f>
        <v>2025 - Batch 3</v>
      </c>
      <c r="E1211" s="20" t="str">
        <f>IFERROR(INDEX([3]AGM!$D$21:$BL$928,MATCH($B1211,[3]AGM!$AD$21:$AD$928,0),1),"NA")</f>
        <v>OS</v>
      </c>
      <c r="F1211" s="20" t="str">
        <f t="shared" si="54"/>
        <v>Block 22</v>
      </c>
      <c r="G1211" s="20" t="str">
        <f t="shared" si="53"/>
        <v>Lot 06</v>
      </c>
      <c r="H1211" s="20">
        <f>IFERROR(INDEX('[2]PRICELIST, 908u'!$G$7:$AX$914,MATCH($B1211,'[2]PRICELIST, 908u'!$G$7:$G$914,0),23),"NA")</f>
        <v>50</v>
      </c>
      <c r="I1211" s="20">
        <f>IFERROR(INDEX('[2]PRICELIST, 908u'!$G$7:$AX$914,MATCH($B1211,'[2]PRICELIST, 908u'!$G$7:$G$914,0),22),"NA")</f>
        <v>80</v>
      </c>
      <c r="J1211" s="20" t="s">
        <v>207</v>
      </c>
      <c r="K1211" s="20" t="str">
        <f>IFERROR(INDEX('[2]PRICELIST, 908u'!$G$7:$AX$914,MATCH($B1211,'[2]PRICELIST, 908u'!$G$7:$G$914,0),30),"NA")</f>
        <v>Slant / PURPLE</v>
      </c>
      <c r="L1211" s="20">
        <f>IFERROR(INDEX('[2]PRICELIST, 908u'!$G$7:$AX$914,MATCH($B1211,'[2]PRICELIST, 908u'!$G$7:$G$914,0),40),"NA")</f>
        <v>2800000</v>
      </c>
      <c r="M1211" s="20">
        <f>IFERROR(INDEX('[2]PRICELIST, 908u'!$G$7:$AX$914,MATCH($B1211,'[2]PRICELIST, 908u'!$G$7:$G$914,0),41),"NA")</f>
        <v>100000</v>
      </c>
      <c r="N1211" s="58">
        <f t="shared" si="56"/>
        <v>2700000</v>
      </c>
      <c r="O1211" s="60"/>
      <c r="P1211" s="60">
        <f t="shared" si="55"/>
        <v>2700000</v>
      </c>
    </row>
    <row r="1212" spans="2:16">
      <c r="B1212" s="22" t="s">
        <v>1363</v>
      </c>
      <c r="C1212" s="20" t="s">
        <v>2</v>
      </c>
      <c r="D1212" s="20" t="str">
        <f>IFERROR(INDEX('[2]PRICELIST, 908u'!$G$7:$AX$914,MATCH($B1212,'[2]PRICELIST, 908u'!$G$7:$G$914,0),18),"NA")</f>
        <v>2025 - Batch 3</v>
      </c>
      <c r="E1212" s="20" t="str">
        <f>IFERROR(INDEX([3]AGM!$D$21:$BL$928,MATCH($B1212,[3]AGM!$AD$21:$AD$928,0),1),"NA")</f>
        <v>OS</v>
      </c>
      <c r="F1212" s="20" t="str">
        <f t="shared" si="54"/>
        <v>Block 22</v>
      </c>
      <c r="G1212" s="20" t="str">
        <f t="shared" si="53"/>
        <v>Lot 07</v>
      </c>
      <c r="H1212" s="20">
        <f>IFERROR(INDEX('[2]PRICELIST, 908u'!$G$7:$AX$914,MATCH($B1212,'[2]PRICELIST, 908u'!$G$7:$G$914,0),23),"NA")</f>
        <v>50</v>
      </c>
      <c r="I1212" s="20">
        <f>IFERROR(INDEX('[2]PRICELIST, 908u'!$G$7:$AX$914,MATCH($B1212,'[2]PRICELIST, 908u'!$G$7:$G$914,0),22),"NA")</f>
        <v>70</v>
      </c>
      <c r="J1212" s="20" t="s">
        <v>207</v>
      </c>
      <c r="K1212" s="20" t="str">
        <f>IFERROR(INDEX('[2]PRICELIST, 908u'!$G$7:$AX$914,MATCH($B1212,'[2]PRICELIST, 908u'!$G$7:$G$914,0),30),"NA")</f>
        <v>Flat / PURPLE</v>
      </c>
      <c r="L1212" s="20">
        <f>IFERROR(INDEX('[2]PRICELIST, 908u'!$G$7:$AX$914,MATCH($B1212,'[2]PRICELIST, 908u'!$G$7:$G$914,0),40),"NA")</f>
        <v>2650000</v>
      </c>
      <c r="M1212" s="20">
        <f>IFERROR(INDEX('[2]PRICELIST, 908u'!$G$7:$AX$914,MATCH($B1212,'[2]PRICELIST, 908u'!$G$7:$G$914,0),41),"NA")</f>
        <v>100000</v>
      </c>
      <c r="N1212" s="58">
        <f t="shared" si="56"/>
        <v>2550000</v>
      </c>
      <c r="O1212" s="60"/>
      <c r="P1212" s="60">
        <f t="shared" si="55"/>
        <v>2550000</v>
      </c>
    </row>
    <row r="1213" spans="2:16">
      <c r="B1213" s="22" t="s">
        <v>1364</v>
      </c>
      <c r="C1213" s="20" t="s">
        <v>2</v>
      </c>
      <c r="D1213" s="20" t="str">
        <f>IFERROR(INDEX('[2]PRICELIST, 908u'!$G$7:$AX$914,MATCH($B1213,'[2]PRICELIST, 908u'!$G$7:$G$914,0),18),"NA")</f>
        <v>2025 - Batch 3</v>
      </c>
      <c r="E1213" s="20" t="str">
        <f>IFERROR(INDEX([3]AGM!$D$21:$BL$928,MATCH($B1213,[3]AGM!$AD$21:$AD$928,0),1),"NA")</f>
        <v>OS</v>
      </c>
      <c r="F1213" s="20" t="str">
        <f t="shared" si="54"/>
        <v>Block 22</v>
      </c>
      <c r="G1213" s="20" t="str">
        <f t="shared" si="53"/>
        <v>Lot 08</v>
      </c>
      <c r="H1213" s="20">
        <f>IFERROR(INDEX('[2]PRICELIST, 908u'!$G$7:$AX$914,MATCH($B1213,'[2]PRICELIST, 908u'!$G$7:$G$914,0),23),"NA")</f>
        <v>50</v>
      </c>
      <c r="I1213" s="20">
        <f>IFERROR(INDEX('[2]PRICELIST, 908u'!$G$7:$AX$914,MATCH($B1213,'[2]PRICELIST, 908u'!$G$7:$G$914,0),22),"NA")</f>
        <v>70</v>
      </c>
      <c r="J1213" s="20" t="s">
        <v>207</v>
      </c>
      <c r="K1213" s="20" t="str">
        <f>IFERROR(INDEX('[2]PRICELIST, 908u'!$G$7:$AX$914,MATCH($B1213,'[2]PRICELIST, 908u'!$G$7:$G$914,0),30),"NA")</f>
        <v>Flat / PURPLE</v>
      </c>
      <c r="L1213" s="20">
        <f>IFERROR(INDEX('[2]PRICELIST, 908u'!$G$7:$AX$914,MATCH($B1213,'[2]PRICELIST, 908u'!$G$7:$G$914,0),40),"NA")</f>
        <v>2650000</v>
      </c>
      <c r="M1213" s="20">
        <f>IFERROR(INDEX('[2]PRICELIST, 908u'!$G$7:$AX$914,MATCH($B1213,'[2]PRICELIST, 908u'!$G$7:$G$914,0),41),"NA")</f>
        <v>100000</v>
      </c>
      <c r="N1213" s="58">
        <f t="shared" si="56"/>
        <v>2550000</v>
      </c>
      <c r="O1213" s="60"/>
      <c r="P1213" s="60">
        <f t="shared" si="55"/>
        <v>2550000</v>
      </c>
    </row>
    <row r="1214" spans="2:16">
      <c r="B1214" s="20" t="s">
        <v>1365</v>
      </c>
      <c r="C1214" s="20" t="s">
        <v>2</v>
      </c>
      <c r="D1214" s="20" t="str">
        <f>IFERROR(INDEX('[2]PRICELIST, 908u'!$G$7:$AX$914,MATCH($B1214,'[2]PRICELIST, 908u'!$G$7:$G$914,0),18),"NA")</f>
        <v>2025 - Batch 3</v>
      </c>
      <c r="E1214" s="20" t="str">
        <f>IFERROR(INDEX([3]AGM!$D$21:$BL$928,MATCH($B1214,[3]AGM!$AD$21:$AD$928,0),1),"NA")</f>
        <v>OS</v>
      </c>
      <c r="F1214" s="20" t="str">
        <f t="shared" si="54"/>
        <v>Block 22</v>
      </c>
      <c r="G1214" s="20" t="str">
        <f t="shared" si="53"/>
        <v>Lot 09</v>
      </c>
      <c r="H1214" s="20">
        <f>IFERROR(INDEX('[2]PRICELIST, 908u'!$G$7:$AX$914,MATCH($B1214,'[2]PRICELIST, 908u'!$G$7:$G$914,0),23),"NA")</f>
        <v>50</v>
      </c>
      <c r="I1214" s="20">
        <f>IFERROR(INDEX('[2]PRICELIST, 908u'!$G$7:$AX$914,MATCH($B1214,'[2]PRICELIST, 908u'!$G$7:$G$914,0),22),"NA")</f>
        <v>70</v>
      </c>
      <c r="J1214" s="20" t="s">
        <v>207</v>
      </c>
      <c r="K1214" s="20" t="str">
        <f>IFERROR(INDEX('[2]PRICELIST, 908u'!$G$7:$AX$914,MATCH($B1214,'[2]PRICELIST, 908u'!$G$7:$G$914,0),30),"NA")</f>
        <v>Slant / PURPLE</v>
      </c>
      <c r="L1214" s="20">
        <f>IFERROR(INDEX('[2]PRICELIST, 908u'!$G$7:$AX$914,MATCH($B1214,'[2]PRICELIST, 908u'!$G$7:$G$914,0),40),"NA")</f>
        <v>2650000</v>
      </c>
      <c r="M1214" s="20">
        <f>IFERROR(INDEX('[2]PRICELIST, 908u'!$G$7:$AX$914,MATCH($B1214,'[2]PRICELIST, 908u'!$G$7:$G$914,0),41),"NA")</f>
        <v>100000</v>
      </c>
      <c r="N1214" s="58">
        <f t="shared" si="56"/>
        <v>2550000</v>
      </c>
      <c r="O1214" s="60"/>
      <c r="P1214" s="60">
        <f t="shared" si="55"/>
        <v>2550000</v>
      </c>
    </row>
    <row r="1215" spans="2:16">
      <c r="B1215" s="20" t="s">
        <v>1366</v>
      </c>
      <c r="C1215" s="20" t="s">
        <v>2</v>
      </c>
      <c r="D1215" s="20" t="str">
        <f>IFERROR(INDEX('[2]PRICELIST, 908u'!$G$7:$AX$914,MATCH($B1215,'[2]PRICELIST, 908u'!$G$7:$G$914,0),18),"NA")</f>
        <v>2025 - Batch 3</v>
      </c>
      <c r="E1215" s="20" t="str">
        <f>IFERROR(INDEX([3]AGM!$D$21:$BL$928,MATCH($B1215,[3]AGM!$AD$21:$AD$928,0),1),"NA")</f>
        <v>OS</v>
      </c>
      <c r="F1215" s="20" t="str">
        <f t="shared" si="54"/>
        <v>Block 22</v>
      </c>
      <c r="G1215" s="20" t="str">
        <f t="shared" si="53"/>
        <v>Lot 10</v>
      </c>
      <c r="H1215" s="20">
        <f>IFERROR(INDEX('[2]PRICELIST, 908u'!$G$7:$AX$914,MATCH($B1215,'[2]PRICELIST, 908u'!$G$7:$G$914,0),23),"NA")</f>
        <v>50</v>
      </c>
      <c r="I1215" s="20">
        <f>IFERROR(INDEX('[2]PRICELIST, 908u'!$G$7:$AX$914,MATCH($B1215,'[2]PRICELIST, 908u'!$G$7:$G$914,0),22),"NA")</f>
        <v>70</v>
      </c>
      <c r="J1215" s="20" t="s">
        <v>207</v>
      </c>
      <c r="K1215" s="20" t="str">
        <f>IFERROR(INDEX('[2]PRICELIST, 908u'!$G$7:$AX$914,MATCH($B1215,'[2]PRICELIST, 908u'!$G$7:$G$914,0),30),"NA")</f>
        <v>Slant / GREEN</v>
      </c>
      <c r="L1215" s="20">
        <f>IFERROR(INDEX('[2]PRICELIST, 908u'!$G$7:$AX$914,MATCH($B1215,'[2]PRICELIST, 908u'!$G$7:$G$914,0),40),"NA")</f>
        <v>2650000</v>
      </c>
      <c r="M1215" s="20">
        <f>IFERROR(INDEX('[2]PRICELIST, 908u'!$G$7:$AX$914,MATCH($B1215,'[2]PRICELIST, 908u'!$G$7:$G$914,0),41),"NA")</f>
        <v>100000</v>
      </c>
      <c r="N1215" s="58">
        <f t="shared" si="56"/>
        <v>2550000</v>
      </c>
      <c r="O1215" s="60"/>
      <c r="P1215" s="60">
        <f t="shared" si="55"/>
        <v>2550000</v>
      </c>
    </row>
    <row r="1216" spans="2:16">
      <c r="B1216" s="20" t="s">
        <v>1367</v>
      </c>
      <c r="C1216" s="20" t="s">
        <v>2</v>
      </c>
      <c r="D1216" s="20" t="str">
        <f>IFERROR(INDEX('[2]PRICELIST, 908u'!$G$7:$AX$914,MATCH($B1216,'[2]PRICELIST, 908u'!$G$7:$G$914,0),18),"NA")</f>
        <v>2025 - Batch 3</v>
      </c>
      <c r="E1216" s="20" t="str">
        <f>IFERROR(INDEX([3]AGM!$D$21:$BL$928,MATCH($B1216,[3]AGM!$AD$21:$AD$928,0),1),"NA")</f>
        <v>OS</v>
      </c>
      <c r="F1216" s="20" t="str">
        <f t="shared" si="54"/>
        <v>Block 22</v>
      </c>
      <c r="G1216" s="20" t="str">
        <f t="shared" si="53"/>
        <v>Lot 11</v>
      </c>
      <c r="H1216" s="20">
        <f>IFERROR(INDEX('[2]PRICELIST, 908u'!$G$7:$AX$914,MATCH($B1216,'[2]PRICELIST, 908u'!$G$7:$G$914,0),23),"NA")</f>
        <v>50</v>
      </c>
      <c r="I1216" s="20">
        <f>IFERROR(INDEX('[2]PRICELIST, 908u'!$G$7:$AX$914,MATCH($B1216,'[2]PRICELIST, 908u'!$G$7:$G$914,0),22),"NA")</f>
        <v>70</v>
      </c>
      <c r="J1216" s="20" t="s">
        <v>207</v>
      </c>
      <c r="K1216" s="20" t="str">
        <f>IFERROR(INDEX('[2]PRICELIST, 908u'!$G$7:$AX$914,MATCH($B1216,'[2]PRICELIST, 908u'!$G$7:$G$914,0),30),"NA")</f>
        <v>Flat / GREEN</v>
      </c>
      <c r="L1216" s="20">
        <f>IFERROR(INDEX('[2]PRICELIST, 908u'!$G$7:$AX$914,MATCH($B1216,'[2]PRICELIST, 908u'!$G$7:$G$914,0),40),"NA")</f>
        <v>2650000</v>
      </c>
      <c r="M1216" s="20">
        <f>IFERROR(INDEX('[2]PRICELIST, 908u'!$G$7:$AX$914,MATCH($B1216,'[2]PRICELIST, 908u'!$G$7:$G$914,0),41),"NA")</f>
        <v>100000</v>
      </c>
      <c r="N1216" s="58">
        <f t="shared" si="56"/>
        <v>2550000</v>
      </c>
      <c r="O1216" s="60"/>
      <c r="P1216" s="60">
        <f t="shared" si="55"/>
        <v>2550000</v>
      </c>
    </row>
    <row r="1217" spans="2:16">
      <c r="B1217" s="20" t="s">
        <v>1368</v>
      </c>
      <c r="C1217" s="20" t="s">
        <v>2</v>
      </c>
      <c r="D1217" s="20" t="str">
        <f>IFERROR(INDEX('[2]PRICELIST, 908u'!$G$7:$AX$914,MATCH($B1217,'[2]PRICELIST, 908u'!$G$7:$G$914,0),18),"NA")</f>
        <v>2025 - Batch 3</v>
      </c>
      <c r="E1217" s="20" t="str">
        <f>IFERROR(INDEX([3]AGM!$D$21:$BL$928,MATCH($B1217,[3]AGM!$AD$21:$AD$928,0),1),"NA")</f>
        <v>OS</v>
      </c>
      <c r="F1217" s="20" t="str">
        <f t="shared" si="54"/>
        <v>Block 22</v>
      </c>
      <c r="G1217" s="20" t="str">
        <f t="shared" si="53"/>
        <v>Lot 12</v>
      </c>
      <c r="H1217" s="20">
        <f>IFERROR(INDEX('[2]PRICELIST, 908u'!$G$7:$AX$914,MATCH($B1217,'[2]PRICELIST, 908u'!$G$7:$G$914,0),23),"NA")</f>
        <v>50</v>
      </c>
      <c r="I1217" s="20">
        <f>IFERROR(INDEX('[2]PRICELIST, 908u'!$G$7:$AX$914,MATCH($B1217,'[2]PRICELIST, 908u'!$G$7:$G$914,0),22),"NA")</f>
        <v>90</v>
      </c>
      <c r="J1217" s="20" t="s">
        <v>207</v>
      </c>
      <c r="K1217" s="20" t="str">
        <f>IFERROR(INDEX('[2]PRICELIST, 908u'!$G$7:$AX$914,MATCH($B1217,'[2]PRICELIST, 908u'!$G$7:$G$914,0),30),"NA")</f>
        <v>Flat / GREEN</v>
      </c>
      <c r="L1217" s="20">
        <f>IFERROR(INDEX('[2]PRICELIST, 908u'!$G$7:$AX$914,MATCH($B1217,'[2]PRICELIST, 908u'!$G$7:$G$914,0),40),"NA")</f>
        <v>2950000</v>
      </c>
      <c r="M1217" s="20">
        <f>IFERROR(INDEX('[2]PRICELIST, 908u'!$G$7:$AX$914,MATCH($B1217,'[2]PRICELIST, 908u'!$G$7:$G$914,0),41),"NA")</f>
        <v>100000</v>
      </c>
      <c r="N1217" s="58">
        <f t="shared" si="56"/>
        <v>2850000</v>
      </c>
      <c r="O1217" s="60"/>
      <c r="P1217" s="60">
        <f t="shared" si="55"/>
        <v>2850000</v>
      </c>
    </row>
    <row r="1218" spans="2:16">
      <c r="B1218" s="20" t="s">
        <v>1369</v>
      </c>
      <c r="C1218" s="20" t="s">
        <v>2</v>
      </c>
      <c r="D1218" s="20" t="str">
        <f>IFERROR(INDEX('[2]PRICELIST, 908u'!$G$7:$AX$914,MATCH($B1218,'[2]PRICELIST, 908u'!$G$7:$G$914,0),18),"NA")</f>
        <v>2025 - Batch 3</v>
      </c>
      <c r="E1218" s="20" t="str">
        <f>IFERROR(INDEX([3]AGM!$D$21:$BL$928,MATCH($B1218,[3]AGM!$AD$21:$AD$928,0),1),"NA")</f>
        <v>OS</v>
      </c>
      <c r="F1218" s="20" t="str">
        <f t="shared" si="54"/>
        <v>Block 22</v>
      </c>
      <c r="G1218" s="20" t="str">
        <f t="shared" si="53"/>
        <v>Lot 13</v>
      </c>
      <c r="H1218" s="20">
        <f>IFERROR(INDEX('[2]PRICELIST, 908u'!$G$7:$AX$914,MATCH($B1218,'[2]PRICELIST, 908u'!$G$7:$G$914,0),23),"NA")</f>
        <v>50</v>
      </c>
      <c r="I1218" s="20">
        <f>IFERROR(INDEX('[2]PRICELIST, 908u'!$G$7:$AX$914,MATCH($B1218,'[2]PRICELIST, 908u'!$G$7:$G$914,0),22),"NA")</f>
        <v>80</v>
      </c>
      <c r="J1218" s="20" t="s">
        <v>207</v>
      </c>
      <c r="K1218" s="20" t="str">
        <f>IFERROR(INDEX('[2]PRICELIST, 908u'!$G$7:$AX$914,MATCH($B1218,'[2]PRICELIST, 908u'!$G$7:$G$914,0),30),"NA")</f>
        <v>Slant / GREEN</v>
      </c>
      <c r="L1218" s="20">
        <f>IFERROR(INDEX('[2]PRICELIST, 908u'!$G$7:$AX$914,MATCH($B1218,'[2]PRICELIST, 908u'!$G$7:$G$914,0),40),"NA")</f>
        <v>2800000</v>
      </c>
      <c r="M1218" s="20">
        <f>IFERROR(INDEX('[2]PRICELIST, 908u'!$G$7:$AX$914,MATCH($B1218,'[2]PRICELIST, 908u'!$G$7:$G$914,0),41),"NA")</f>
        <v>100000</v>
      </c>
      <c r="N1218" s="58">
        <f t="shared" si="56"/>
        <v>2700000</v>
      </c>
      <c r="O1218" s="60"/>
      <c r="P1218" s="60">
        <f t="shared" si="55"/>
        <v>2700000</v>
      </c>
    </row>
    <row r="1219" spans="2:16">
      <c r="B1219" s="20" t="s">
        <v>1370</v>
      </c>
      <c r="C1219" s="20" t="s">
        <v>2</v>
      </c>
      <c r="D1219" s="20" t="str">
        <f>IFERROR(INDEX('[2]PRICELIST, 908u'!$G$7:$AX$914,MATCH($B1219,'[2]PRICELIST, 908u'!$G$7:$G$914,0),18),"NA")</f>
        <v>2025 - Batch 4</v>
      </c>
      <c r="E1219" s="20" t="str">
        <f>IFERROR(INDEX([3]AGM!$D$21:$BL$928,MATCH($B1219,[3]AGM!$AD$21:$AD$928,0),1),"NA")</f>
        <v>OS</v>
      </c>
      <c r="F1219" s="20" t="str">
        <f t="shared" si="54"/>
        <v>Block 23</v>
      </c>
      <c r="G1219" s="20" t="str">
        <f t="shared" si="53"/>
        <v>Lot 01</v>
      </c>
      <c r="H1219" s="20">
        <f>IFERROR(INDEX('[2]PRICELIST, 908u'!$G$7:$AX$914,MATCH($B1219,'[2]PRICELIST, 908u'!$G$7:$G$914,0),23),"NA")</f>
        <v>50</v>
      </c>
      <c r="I1219" s="20">
        <f>IFERROR(INDEX('[2]PRICELIST, 908u'!$G$7:$AX$914,MATCH($B1219,'[2]PRICELIST, 908u'!$G$7:$G$914,0),22),"NA")</f>
        <v>96</v>
      </c>
      <c r="J1219" s="20" t="s">
        <v>207</v>
      </c>
      <c r="K1219" s="20" t="str">
        <f>IFERROR(INDEX('[2]PRICELIST, 908u'!$G$7:$AX$914,MATCH($B1219,'[2]PRICELIST, 908u'!$G$7:$G$914,0),30),"NA")</f>
        <v>Slant / PINK</v>
      </c>
      <c r="L1219" s="20">
        <f>IFERROR(INDEX('[2]PRICELIST, 908u'!$G$7:$AX$914,MATCH($B1219,'[2]PRICELIST, 908u'!$G$7:$G$914,0),40),"NA")</f>
        <v>3040000</v>
      </c>
      <c r="M1219" s="20">
        <f>IFERROR(INDEX('[2]PRICELIST, 908u'!$G$7:$AX$914,MATCH($B1219,'[2]PRICELIST, 908u'!$G$7:$G$914,0),41),"NA")</f>
        <v>100000</v>
      </c>
      <c r="N1219" s="58">
        <f t="shared" si="56"/>
        <v>2940000</v>
      </c>
      <c r="O1219" s="60"/>
      <c r="P1219" s="60">
        <f t="shared" si="55"/>
        <v>2940000</v>
      </c>
    </row>
    <row r="1220" spans="2:16">
      <c r="B1220" s="20" t="s">
        <v>1371</v>
      </c>
      <c r="C1220" s="20" t="s">
        <v>2</v>
      </c>
      <c r="D1220" s="20" t="str">
        <f>IFERROR(INDEX('[2]PRICELIST, 908u'!$G$7:$AX$914,MATCH($B1220,'[2]PRICELIST, 908u'!$G$7:$G$914,0),18),"NA")</f>
        <v>2025 - Batch 4</v>
      </c>
      <c r="E1220" s="20" t="str">
        <f>IFERROR(INDEX([3]AGM!$D$21:$BL$928,MATCH($B1220,[3]AGM!$AD$21:$AD$928,0),1),"NA")</f>
        <v>OS</v>
      </c>
      <c r="F1220" s="20" t="str">
        <f t="shared" si="54"/>
        <v>Block 23</v>
      </c>
      <c r="G1220" s="20" t="str">
        <f t="shared" si="53"/>
        <v>Lot 02</v>
      </c>
      <c r="H1220" s="20">
        <f>IFERROR(INDEX('[2]PRICELIST, 908u'!$G$7:$AX$914,MATCH($B1220,'[2]PRICELIST, 908u'!$G$7:$G$914,0),23),"NA")</f>
        <v>50</v>
      </c>
      <c r="I1220" s="20">
        <f>IFERROR(INDEX('[2]PRICELIST, 908u'!$G$7:$AX$914,MATCH($B1220,'[2]PRICELIST, 908u'!$G$7:$G$914,0),22),"NA")</f>
        <v>70</v>
      </c>
      <c r="J1220" s="20" t="s">
        <v>207</v>
      </c>
      <c r="K1220" s="20" t="str">
        <f>IFERROR(INDEX('[2]PRICELIST, 908u'!$G$7:$AX$914,MATCH($B1220,'[2]PRICELIST, 908u'!$G$7:$G$914,0),30),"NA")</f>
        <v>Flat / PINK</v>
      </c>
      <c r="L1220" s="20">
        <f>IFERROR(INDEX('[2]PRICELIST, 908u'!$G$7:$AX$914,MATCH($B1220,'[2]PRICELIST, 908u'!$G$7:$G$914,0),40),"NA")</f>
        <v>2650000</v>
      </c>
      <c r="M1220" s="20">
        <f>IFERROR(INDEX('[2]PRICELIST, 908u'!$G$7:$AX$914,MATCH($B1220,'[2]PRICELIST, 908u'!$G$7:$G$914,0),41),"NA")</f>
        <v>100000</v>
      </c>
      <c r="N1220" s="58">
        <f t="shared" si="56"/>
        <v>2550000</v>
      </c>
      <c r="O1220" s="60"/>
      <c r="P1220" s="60">
        <f t="shared" si="55"/>
        <v>2550000</v>
      </c>
    </row>
    <row r="1221" spans="2:16">
      <c r="B1221" s="20" t="s">
        <v>1372</v>
      </c>
      <c r="C1221" s="20" t="s">
        <v>2</v>
      </c>
      <c r="D1221" s="20" t="str">
        <f>IFERROR(INDEX('[2]PRICELIST, 908u'!$G$7:$AX$914,MATCH($B1221,'[2]PRICELIST, 908u'!$G$7:$G$914,0),18),"NA")</f>
        <v>2025 - Batch 4</v>
      </c>
      <c r="E1221" s="20" t="str">
        <f>IFERROR(INDEX([3]AGM!$D$21:$BL$928,MATCH($B1221,[3]AGM!$AD$21:$AD$928,0),1),"NA")</f>
        <v>OS</v>
      </c>
      <c r="F1221" s="20" t="str">
        <f t="shared" si="54"/>
        <v>Block 23</v>
      </c>
      <c r="G1221" s="20" t="str">
        <f t="shared" si="53"/>
        <v>Lot 03</v>
      </c>
      <c r="H1221" s="20">
        <f>IFERROR(INDEX('[2]PRICELIST, 908u'!$G$7:$AX$914,MATCH($B1221,'[2]PRICELIST, 908u'!$G$7:$G$914,0),23),"NA")</f>
        <v>50</v>
      </c>
      <c r="I1221" s="20">
        <f>IFERROR(INDEX('[2]PRICELIST, 908u'!$G$7:$AX$914,MATCH($B1221,'[2]PRICELIST, 908u'!$G$7:$G$914,0),22),"NA")</f>
        <v>70</v>
      </c>
      <c r="J1221" s="20" t="s">
        <v>207</v>
      </c>
      <c r="K1221" s="20" t="str">
        <f>IFERROR(INDEX('[2]PRICELIST, 908u'!$G$7:$AX$914,MATCH($B1221,'[2]PRICELIST, 908u'!$G$7:$G$914,0),30),"NA")</f>
        <v>Flat / YELLOW</v>
      </c>
      <c r="L1221" s="20">
        <f>IFERROR(INDEX('[2]PRICELIST, 908u'!$G$7:$AX$914,MATCH($B1221,'[2]PRICELIST, 908u'!$G$7:$G$914,0),40),"NA")</f>
        <v>2650000</v>
      </c>
      <c r="M1221" s="20">
        <f>IFERROR(INDEX('[2]PRICELIST, 908u'!$G$7:$AX$914,MATCH($B1221,'[2]PRICELIST, 908u'!$G$7:$G$914,0),41),"NA")</f>
        <v>100000</v>
      </c>
      <c r="N1221" s="58">
        <f t="shared" si="56"/>
        <v>2550000</v>
      </c>
      <c r="O1221" s="60"/>
      <c r="P1221" s="60">
        <f t="shared" si="55"/>
        <v>2550000</v>
      </c>
    </row>
    <row r="1222" spans="2:16">
      <c r="B1222" s="20" t="s">
        <v>1373</v>
      </c>
      <c r="C1222" s="20" t="s">
        <v>2</v>
      </c>
      <c r="D1222" s="20" t="str">
        <f>IFERROR(INDEX('[2]PRICELIST, 908u'!$G$7:$AX$914,MATCH($B1222,'[2]PRICELIST, 908u'!$G$7:$G$914,0),18),"NA")</f>
        <v>2025 - Batch 4</v>
      </c>
      <c r="E1222" s="20" t="str">
        <f>IFERROR(INDEX([3]AGM!$D$21:$BL$928,MATCH($B1222,[3]AGM!$AD$21:$AD$928,0),1),"NA")</f>
        <v>HOLD</v>
      </c>
      <c r="F1222" s="20" t="str">
        <f t="shared" si="54"/>
        <v>Block 23</v>
      </c>
      <c r="G1222" s="20" t="str">
        <f t="shared" si="53"/>
        <v>Lot 04</v>
      </c>
      <c r="H1222" s="20">
        <f>IFERROR(INDEX('[2]PRICELIST, 908u'!$G$7:$AX$914,MATCH($B1222,'[2]PRICELIST, 908u'!$G$7:$G$914,0),23),"NA")</f>
        <v>50</v>
      </c>
      <c r="I1222" s="20">
        <f>IFERROR(INDEX('[2]PRICELIST, 908u'!$G$7:$AX$914,MATCH($B1222,'[2]PRICELIST, 908u'!$G$7:$G$914,0),22),"NA")</f>
        <v>70</v>
      </c>
      <c r="J1222" s="20" t="s">
        <v>207</v>
      </c>
      <c r="K1222" s="20" t="str">
        <f>IFERROR(INDEX('[2]PRICELIST, 908u'!$G$7:$AX$914,MATCH($B1222,'[2]PRICELIST, 908u'!$G$7:$G$914,0),30),"NA")</f>
        <v>Slant / YELLOW</v>
      </c>
      <c r="L1222" s="20">
        <f>IFERROR(INDEX('[2]PRICELIST, 908u'!$G$7:$AX$914,MATCH($B1222,'[2]PRICELIST, 908u'!$G$7:$G$914,0),40),"NA")</f>
        <v>2650000</v>
      </c>
      <c r="M1222" s="20">
        <f>IFERROR(INDEX('[2]PRICELIST, 908u'!$G$7:$AX$914,MATCH($B1222,'[2]PRICELIST, 908u'!$G$7:$G$914,0),41),"NA")</f>
        <v>100000</v>
      </c>
      <c r="N1222" s="58">
        <f t="shared" si="56"/>
        <v>2550000</v>
      </c>
      <c r="O1222" s="60"/>
      <c r="P1222" s="60">
        <f t="shared" si="55"/>
        <v>2550000</v>
      </c>
    </row>
    <row r="1223" spans="2:16">
      <c r="B1223" s="20" t="s">
        <v>1374</v>
      </c>
      <c r="C1223" s="20" t="s">
        <v>2</v>
      </c>
      <c r="D1223" s="20" t="str">
        <f>IFERROR(INDEX('[2]PRICELIST, 908u'!$G$7:$AX$914,MATCH($B1223,'[2]PRICELIST, 908u'!$G$7:$G$914,0),18),"NA")</f>
        <v>2025 - Batch 4</v>
      </c>
      <c r="E1223" s="20" t="str">
        <f>IFERROR(INDEX([3]AGM!$D$21:$BL$928,MATCH($B1223,[3]AGM!$AD$21:$AD$928,0),1),"NA")</f>
        <v>OS</v>
      </c>
      <c r="F1223" s="20" t="str">
        <f t="shared" si="54"/>
        <v>Block 23</v>
      </c>
      <c r="G1223" s="20" t="str">
        <f t="shared" si="53"/>
        <v>Lot 05</v>
      </c>
      <c r="H1223" s="20">
        <f>IFERROR(INDEX('[2]PRICELIST, 908u'!$G$7:$AX$914,MATCH($B1223,'[2]PRICELIST, 908u'!$G$7:$G$914,0),23),"NA")</f>
        <v>50</v>
      </c>
      <c r="I1223" s="20">
        <f>IFERROR(INDEX('[2]PRICELIST, 908u'!$G$7:$AX$914,MATCH($B1223,'[2]PRICELIST, 908u'!$G$7:$G$914,0),22),"NA")</f>
        <v>70</v>
      </c>
      <c r="J1223" s="20" t="s">
        <v>207</v>
      </c>
      <c r="K1223" s="20" t="str">
        <f>IFERROR(INDEX('[2]PRICELIST, 908u'!$G$7:$AX$914,MATCH($B1223,'[2]PRICELIST, 908u'!$G$7:$G$914,0),30),"NA")</f>
        <v>Slant / YELLOW</v>
      </c>
      <c r="L1223" s="20">
        <f>IFERROR(INDEX('[2]PRICELIST, 908u'!$G$7:$AX$914,MATCH($B1223,'[2]PRICELIST, 908u'!$G$7:$G$914,0),40),"NA")</f>
        <v>2650000</v>
      </c>
      <c r="M1223" s="20">
        <f>IFERROR(INDEX('[2]PRICELIST, 908u'!$G$7:$AX$914,MATCH($B1223,'[2]PRICELIST, 908u'!$G$7:$G$914,0),41),"NA")</f>
        <v>100000</v>
      </c>
      <c r="N1223" s="58">
        <f t="shared" si="56"/>
        <v>2550000</v>
      </c>
      <c r="O1223" s="60"/>
      <c r="P1223" s="60">
        <f t="shared" si="55"/>
        <v>2550000</v>
      </c>
    </row>
    <row r="1224" spans="2:16">
      <c r="B1224" s="20" t="s">
        <v>1375</v>
      </c>
      <c r="C1224" s="20" t="s">
        <v>2</v>
      </c>
      <c r="D1224" s="20" t="str">
        <f>IFERROR(INDEX('[2]PRICELIST, 908u'!$G$7:$AX$914,MATCH($B1224,'[2]PRICELIST, 908u'!$G$7:$G$914,0),18),"NA")</f>
        <v>2025 - Batch 4</v>
      </c>
      <c r="E1224" s="20" t="str">
        <f>IFERROR(INDEX([3]AGM!$D$21:$BL$928,MATCH($B1224,[3]AGM!$AD$21:$AD$928,0),1),"NA")</f>
        <v>OS</v>
      </c>
      <c r="F1224" s="20" t="str">
        <f t="shared" si="54"/>
        <v>Block 23</v>
      </c>
      <c r="G1224" s="20" t="str">
        <f t="shared" si="53"/>
        <v>Lot 06</v>
      </c>
      <c r="H1224" s="20">
        <f>IFERROR(INDEX('[2]PRICELIST, 908u'!$G$7:$AX$914,MATCH($B1224,'[2]PRICELIST, 908u'!$G$7:$G$914,0),23),"NA")</f>
        <v>50</v>
      </c>
      <c r="I1224" s="20">
        <f>IFERROR(INDEX('[2]PRICELIST, 908u'!$G$7:$AX$914,MATCH($B1224,'[2]PRICELIST, 908u'!$G$7:$G$914,0),22),"NA")</f>
        <v>70</v>
      </c>
      <c r="J1224" s="20" t="s">
        <v>207</v>
      </c>
      <c r="K1224" s="20" t="str">
        <f>IFERROR(INDEX('[2]PRICELIST, 908u'!$G$7:$AX$914,MATCH($B1224,'[2]PRICELIST, 908u'!$G$7:$G$914,0),30),"NA")</f>
        <v>Flat / YELLOW</v>
      </c>
      <c r="L1224" s="20">
        <f>IFERROR(INDEX('[2]PRICELIST, 908u'!$G$7:$AX$914,MATCH($B1224,'[2]PRICELIST, 908u'!$G$7:$G$914,0),40),"NA")</f>
        <v>2650000</v>
      </c>
      <c r="M1224" s="20">
        <f>IFERROR(INDEX('[2]PRICELIST, 908u'!$G$7:$AX$914,MATCH($B1224,'[2]PRICELIST, 908u'!$G$7:$G$914,0),41),"NA")</f>
        <v>100000</v>
      </c>
      <c r="N1224" s="58">
        <f t="shared" si="56"/>
        <v>2550000</v>
      </c>
      <c r="O1224" s="60"/>
      <c r="P1224" s="60">
        <f t="shared" si="55"/>
        <v>2550000</v>
      </c>
    </row>
    <row r="1225" spans="2:16">
      <c r="B1225" s="20" t="s">
        <v>1376</v>
      </c>
      <c r="C1225" s="20" t="s">
        <v>2</v>
      </c>
      <c r="D1225" s="20" t="str">
        <f>IFERROR(INDEX('[2]PRICELIST, 908u'!$G$7:$AX$914,MATCH($B1225,'[2]PRICELIST, 908u'!$G$7:$G$914,0),18),"NA")</f>
        <v>2025 - Batch 6</v>
      </c>
      <c r="E1225" s="20" t="str">
        <f>IFERROR(INDEX([3]AGM!$D$21:$BL$928,MATCH($B1225,[3]AGM!$AD$21:$AD$928,0),1),"NA")</f>
        <v>OS</v>
      </c>
      <c r="F1225" s="20" t="str">
        <f t="shared" si="54"/>
        <v>Block 23</v>
      </c>
      <c r="G1225" s="20" t="str">
        <f t="shared" si="53"/>
        <v>Lot 07</v>
      </c>
      <c r="H1225" s="20">
        <f>IFERROR(INDEX('[2]PRICELIST, 908u'!$G$7:$AX$914,MATCH($B1225,'[2]PRICELIST, 908u'!$G$7:$G$914,0),23),"NA")</f>
        <v>50</v>
      </c>
      <c r="I1225" s="20">
        <f>IFERROR(INDEX('[2]PRICELIST, 908u'!$G$7:$AX$914,MATCH($B1225,'[2]PRICELIST, 908u'!$G$7:$G$914,0),22),"NA")</f>
        <v>70</v>
      </c>
      <c r="J1225" s="20" t="s">
        <v>207</v>
      </c>
      <c r="K1225" s="20" t="str">
        <f>IFERROR(INDEX('[2]PRICELIST, 908u'!$G$7:$AX$914,MATCH($B1225,'[2]PRICELIST, 908u'!$G$7:$G$914,0),30),"NA")</f>
        <v>Flat / GREEN</v>
      </c>
      <c r="L1225" s="20">
        <f>IFERROR(INDEX('[2]PRICELIST, 908u'!$G$7:$AX$914,MATCH($B1225,'[2]PRICELIST, 908u'!$G$7:$G$914,0),40),"NA")</f>
        <v>2650000</v>
      </c>
      <c r="M1225" s="20">
        <f>IFERROR(INDEX('[2]PRICELIST, 908u'!$G$7:$AX$914,MATCH($B1225,'[2]PRICELIST, 908u'!$G$7:$G$914,0),41),"NA")</f>
        <v>100000</v>
      </c>
      <c r="N1225" s="58">
        <f t="shared" si="56"/>
        <v>2550000</v>
      </c>
      <c r="O1225" s="60"/>
      <c r="P1225" s="60">
        <f t="shared" si="55"/>
        <v>2550000</v>
      </c>
    </row>
    <row r="1226" spans="2:16">
      <c r="B1226" s="20" t="s">
        <v>1377</v>
      </c>
      <c r="C1226" s="20" t="s">
        <v>2</v>
      </c>
      <c r="D1226" s="20" t="str">
        <f>IFERROR(INDEX('[2]PRICELIST, 908u'!$G$7:$AX$914,MATCH($B1226,'[2]PRICELIST, 908u'!$G$7:$G$914,0),18),"NA")</f>
        <v>2025 - Batch 6</v>
      </c>
      <c r="E1226" s="20" t="str">
        <f>IFERROR(INDEX([3]AGM!$D$21:$BL$928,MATCH($B1226,[3]AGM!$AD$21:$AD$928,0),1),"NA")</f>
        <v>OS</v>
      </c>
      <c r="F1226" s="20" t="str">
        <f t="shared" si="54"/>
        <v>Block 23</v>
      </c>
      <c r="G1226" s="20" t="str">
        <f t="shared" si="53"/>
        <v>Lot 08</v>
      </c>
      <c r="H1226" s="20">
        <f>IFERROR(INDEX('[2]PRICELIST, 908u'!$G$7:$AX$914,MATCH($B1226,'[2]PRICELIST, 908u'!$G$7:$G$914,0),23),"NA")</f>
        <v>50</v>
      </c>
      <c r="I1226" s="20">
        <f>IFERROR(INDEX('[2]PRICELIST, 908u'!$G$7:$AX$914,MATCH($B1226,'[2]PRICELIST, 908u'!$G$7:$G$914,0),22),"NA")</f>
        <v>70</v>
      </c>
      <c r="J1226" s="20" t="s">
        <v>207</v>
      </c>
      <c r="K1226" s="20" t="str">
        <f>IFERROR(INDEX('[2]PRICELIST, 908u'!$G$7:$AX$914,MATCH($B1226,'[2]PRICELIST, 908u'!$G$7:$G$914,0),30),"NA")</f>
        <v>Slant / GREEN</v>
      </c>
      <c r="L1226" s="20">
        <f>IFERROR(INDEX('[2]PRICELIST, 908u'!$G$7:$AX$914,MATCH($B1226,'[2]PRICELIST, 908u'!$G$7:$G$914,0),40),"NA")</f>
        <v>2650000</v>
      </c>
      <c r="M1226" s="20">
        <f>IFERROR(INDEX('[2]PRICELIST, 908u'!$G$7:$AX$914,MATCH($B1226,'[2]PRICELIST, 908u'!$G$7:$G$914,0),41),"NA")</f>
        <v>100000</v>
      </c>
      <c r="N1226" s="58">
        <f t="shared" si="56"/>
        <v>2550000</v>
      </c>
      <c r="O1226" s="60"/>
      <c r="P1226" s="60">
        <f t="shared" si="55"/>
        <v>2550000</v>
      </c>
    </row>
    <row r="1227" spans="2:16">
      <c r="B1227" s="20" t="s">
        <v>1378</v>
      </c>
      <c r="C1227" s="20" t="s">
        <v>2</v>
      </c>
      <c r="D1227" s="20" t="str">
        <f>IFERROR(INDEX('[2]PRICELIST, 908u'!$G$7:$AX$914,MATCH($B1227,'[2]PRICELIST, 908u'!$G$7:$G$914,0),18),"NA")</f>
        <v>2025 - Batch 6</v>
      </c>
      <c r="E1227" s="20" t="str">
        <f>IFERROR(INDEX([3]AGM!$D$21:$BL$928,MATCH($B1227,[3]AGM!$AD$21:$AD$928,0),1),"NA")</f>
        <v>OS</v>
      </c>
      <c r="F1227" s="20" t="str">
        <f t="shared" si="54"/>
        <v>Block 23</v>
      </c>
      <c r="G1227" s="20" t="str">
        <f t="shared" si="53"/>
        <v>Lot 09</v>
      </c>
      <c r="H1227" s="20">
        <f>IFERROR(INDEX('[2]PRICELIST, 908u'!$G$7:$AX$914,MATCH($B1227,'[2]PRICELIST, 908u'!$G$7:$G$914,0),23),"NA")</f>
        <v>50</v>
      </c>
      <c r="I1227" s="20">
        <f>IFERROR(INDEX('[2]PRICELIST, 908u'!$G$7:$AX$914,MATCH($B1227,'[2]PRICELIST, 908u'!$G$7:$G$914,0),22),"NA")</f>
        <v>70</v>
      </c>
      <c r="J1227" s="20" t="s">
        <v>207</v>
      </c>
      <c r="K1227" s="20" t="str">
        <f>IFERROR(INDEX('[2]PRICELIST, 908u'!$G$7:$AX$914,MATCH($B1227,'[2]PRICELIST, 908u'!$G$7:$G$914,0),30),"NA")</f>
        <v>Slant / GREEN</v>
      </c>
      <c r="L1227" s="20">
        <f>IFERROR(INDEX('[2]PRICELIST, 908u'!$G$7:$AX$914,MATCH($B1227,'[2]PRICELIST, 908u'!$G$7:$G$914,0),40),"NA")</f>
        <v>2650000</v>
      </c>
      <c r="M1227" s="20">
        <f>IFERROR(INDEX('[2]PRICELIST, 908u'!$G$7:$AX$914,MATCH($B1227,'[2]PRICELIST, 908u'!$G$7:$G$914,0),41),"NA")</f>
        <v>100000</v>
      </c>
      <c r="N1227" s="58">
        <f t="shared" si="56"/>
        <v>2550000</v>
      </c>
      <c r="O1227" s="60"/>
      <c r="P1227" s="60">
        <f t="shared" si="55"/>
        <v>2550000</v>
      </c>
    </row>
    <row r="1228" spans="2:16">
      <c r="B1228" s="20" t="s">
        <v>1379</v>
      </c>
      <c r="C1228" s="20" t="s">
        <v>2</v>
      </c>
      <c r="D1228" s="20" t="str">
        <f>IFERROR(INDEX('[2]PRICELIST, 908u'!$G$7:$AX$914,MATCH($B1228,'[2]PRICELIST, 908u'!$G$7:$G$914,0),18),"NA")</f>
        <v>2025 - Batch 6</v>
      </c>
      <c r="E1228" s="20" t="str">
        <f>IFERROR(INDEX([3]AGM!$D$21:$BL$928,MATCH($B1228,[3]AGM!$AD$21:$AD$928,0),1),"NA")</f>
        <v>OS</v>
      </c>
      <c r="F1228" s="20" t="str">
        <f t="shared" si="54"/>
        <v>Block 23</v>
      </c>
      <c r="G1228" s="20" t="str">
        <f t="shared" si="53"/>
        <v>Lot 10</v>
      </c>
      <c r="H1228" s="20">
        <f>IFERROR(INDEX('[2]PRICELIST, 908u'!$G$7:$AX$914,MATCH($B1228,'[2]PRICELIST, 908u'!$G$7:$G$914,0),23),"NA")</f>
        <v>50</v>
      </c>
      <c r="I1228" s="20">
        <f>IFERROR(INDEX('[2]PRICELIST, 908u'!$G$7:$AX$914,MATCH($B1228,'[2]PRICELIST, 908u'!$G$7:$G$914,0),22),"NA")</f>
        <v>70</v>
      </c>
      <c r="J1228" s="20" t="s">
        <v>207</v>
      </c>
      <c r="K1228" s="20" t="str">
        <f>IFERROR(INDEX('[2]PRICELIST, 908u'!$G$7:$AX$914,MATCH($B1228,'[2]PRICELIST, 908u'!$G$7:$G$914,0),30),"NA")</f>
        <v>Flat / GREEN</v>
      </c>
      <c r="L1228" s="20">
        <f>IFERROR(INDEX('[2]PRICELIST, 908u'!$G$7:$AX$914,MATCH($B1228,'[2]PRICELIST, 908u'!$G$7:$G$914,0),40),"NA")</f>
        <v>2650000</v>
      </c>
      <c r="M1228" s="20">
        <f>IFERROR(INDEX('[2]PRICELIST, 908u'!$G$7:$AX$914,MATCH($B1228,'[2]PRICELIST, 908u'!$G$7:$G$914,0),41),"NA")</f>
        <v>100000</v>
      </c>
      <c r="N1228" s="58">
        <f t="shared" si="56"/>
        <v>2550000</v>
      </c>
      <c r="O1228" s="60"/>
      <c r="P1228" s="60">
        <f t="shared" si="55"/>
        <v>2550000</v>
      </c>
    </row>
    <row r="1229" spans="2:16">
      <c r="B1229" s="20" t="s">
        <v>1380</v>
      </c>
      <c r="C1229" s="20" t="s">
        <v>2</v>
      </c>
      <c r="D1229" s="20" t="str">
        <f>IFERROR(INDEX('[2]PRICELIST, 908u'!$G$7:$AX$914,MATCH($B1229,'[2]PRICELIST, 908u'!$G$7:$G$914,0),18),"NA")</f>
        <v>2025 - Batch 6</v>
      </c>
      <c r="E1229" s="20" t="str">
        <f>IFERROR(INDEX([3]AGM!$D$21:$BL$928,MATCH($B1229,[3]AGM!$AD$21:$AD$928,0),1),"NA")</f>
        <v>OS</v>
      </c>
      <c r="F1229" s="20" t="str">
        <f t="shared" si="54"/>
        <v>Block 23</v>
      </c>
      <c r="G1229" s="20" t="str">
        <f t="shared" si="53"/>
        <v>Lot 11</v>
      </c>
      <c r="H1229" s="20">
        <f>IFERROR(INDEX('[2]PRICELIST, 908u'!$G$7:$AX$914,MATCH($B1229,'[2]PRICELIST, 908u'!$G$7:$G$914,0),23),"NA")</f>
        <v>50</v>
      </c>
      <c r="I1229" s="20">
        <f>IFERROR(INDEX('[2]PRICELIST, 908u'!$G$7:$AX$914,MATCH($B1229,'[2]PRICELIST, 908u'!$G$7:$G$914,0),22),"NA")</f>
        <v>70</v>
      </c>
      <c r="J1229" s="20" t="s">
        <v>207</v>
      </c>
      <c r="K1229" s="20" t="str">
        <f>IFERROR(INDEX('[2]PRICELIST, 908u'!$G$7:$AX$914,MATCH($B1229,'[2]PRICELIST, 908u'!$G$7:$G$914,0),30),"NA")</f>
        <v>Flat / PURPLE</v>
      </c>
      <c r="L1229" s="20">
        <f>IFERROR(INDEX('[2]PRICELIST, 908u'!$G$7:$AX$914,MATCH($B1229,'[2]PRICELIST, 908u'!$G$7:$G$914,0),40),"NA")</f>
        <v>2650000</v>
      </c>
      <c r="M1229" s="20">
        <f>IFERROR(INDEX('[2]PRICELIST, 908u'!$G$7:$AX$914,MATCH($B1229,'[2]PRICELIST, 908u'!$G$7:$G$914,0),41),"NA")</f>
        <v>100000</v>
      </c>
      <c r="N1229" s="58">
        <f t="shared" si="56"/>
        <v>2550000</v>
      </c>
      <c r="O1229" s="60"/>
      <c r="P1229" s="60">
        <f t="shared" si="55"/>
        <v>2550000</v>
      </c>
    </row>
    <row r="1230" spans="2:16">
      <c r="B1230" s="20" t="s">
        <v>1381</v>
      </c>
      <c r="C1230" s="20" t="s">
        <v>2</v>
      </c>
      <c r="D1230" s="20" t="str">
        <f>IFERROR(INDEX('[2]PRICELIST, 908u'!$G$7:$AX$914,MATCH($B1230,'[2]PRICELIST, 908u'!$G$7:$G$914,0),18),"NA")</f>
        <v>2025 - Batch 6</v>
      </c>
      <c r="E1230" s="20" t="str">
        <f>IFERROR(INDEX([3]AGM!$D$21:$BL$928,MATCH($B1230,[3]AGM!$AD$21:$AD$928,0),1),"NA")</f>
        <v>OS</v>
      </c>
      <c r="F1230" s="20" t="str">
        <f t="shared" si="54"/>
        <v>Block 23</v>
      </c>
      <c r="G1230" s="20" t="str">
        <f t="shared" si="53"/>
        <v>Lot 12</v>
      </c>
      <c r="H1230" s="20">
        <f>IFERROR(INDEX('[2]PRICELIST, 908u'!$G$7:$AX$914,MATCH($B1230,'[2]PRICELIST, 908u'!$G$7:$G$914,0),23),"NA")</f>
        <v>50</v>
      </c>
      <c r="I1230" s="20">
        <f>IFERROR(INDEX('[2]PRICELIST, 908u'!$G$7:$AX$914,MATCH($B1230,'[2]PRICELIST, 908u'!$G$7:$G$914,0),22),"NA")</f>
        <v>70</v>
      </c>
      <c r="J1230" s="20" t="s">
        <v>207</v>
      </c>
      <c r="K1230" s="20" t="str">
        <f>IFERROR(INDEX('[2]PRICELIST, 908u'!$G$7:$AX$914,MATCH($B1230,'[2]PRICELIST, 908u'!$G$7:$G$914,0),30),"NA")</f>
        <v>Slant / PURPLE</v>
      </c>
      <c r="L1230" s="20">
        <f>IFERROR(INDEX('[2]PRICELIST, 908u'!$G$7:$AX$914,MATCH($B1230,'[2]PRICELIST, 908u'!$G$7:$G$914,0),40),"NA")</f>
        <v>2650000</v>
      </c>
      <c r="M1230" s="20">
        <f>IFERROR(INDEX('[2]PRICELIST, 908u'!$G$7:$AX$914,MATCH($B1230,'[2]PRICELIST, 908u'!$G$7:$G$914,0),41),"NA")</f>
        <v>100000</v>
      </c>
      <c r="N1230" s="58">
        <f t="shared" si="56"/>
        <v>2550000</v>
      </c>
      <c r="O1230" s="60"/>
      <c r="P1230" s="60">
        <f t="shared" si="55"/>
        <v>2550000</v>
      </c>
    </row>
    <row r="1231" spans="2:16">
      <c r="B1231" s="20" t="s">
        <v>1382</v>
      </c>
      <c r="C1231" s="20" t="s">
        <v>2</v>
      </c>
      <c r="D1231" s="20" t="str">
        <f>IFERROR(INDEX('[2]PRICELIST, 908u'!$G$7:$AX$914,MATCH($B1231,'[2]PRICELIST, 908u'!$G$7:$G$914,0),18),"NA")</f>
        <v>2025 - Batch 6</v>
      </c>
      <c r="E1231" s="20" t="str">
        <f>IFERROR(INDEX([3]AGM!$D$21:$BL$928,MATCH($B1231,[3]AGM!$AD$21:$AD$928,0),1),"NA")</f>
        <v>OS</v>
      </c>
      <c r="F1231" s="20" t="str">
        <f t="shared" si="54"/>
        <v>Block 23</v>
      </c>
      <c r="G1231" s="20" t="str">
        <f t="shared" si="53"/>
        <v>Lot 13</v>
      </c>
      <c r="H1231" s="20">
        <f>IFERROR(INDEX('[2]PRICELIST, 908u'!$G$7:$AX$914,MATCH($B1231,'[2]PRICELIST, 908u'!$G$7:$G$914,0),23),"NA")</f>
        <v>50</v>
      </c>
      <c r="I1231" s="20">
        <f>IFERROR(INDEX('[2]PRICELIST, 908u'!$G$7:$AX$914,MATCH($B1231,'[2]PRICELIST, 908u'!$G$7:$G$914,0),22),"NA")</f>
        <v>70</v>
      </c>
      <c r="J1231" s="20" t="s">
        <v>207</v>
      </c>
      <c r="K1231" s="20" t="str">
        <f>IFERROR(INDEX('[2]PRICELIST, 908u'!$G$7:$AX$914,MATCH($B1231,'[2]PRICELIST, 908u'!$G$7:$G$914,0),30),"NA")</f>
        <v>Slant / PURPLE</v>
      </c>
      <c r="L1231" s="20">
        <f>IFERROR(INDEX('[2]PRICELIST, 908u'!$G$7:$AX$914,MATCH($B1231,'[2]PRICELIST, 908u'!$G$7:$G$914,0),40),"NA")</f>
        <v>2650000</v>
      </c>
      <c r="M1231" s="20">
        <f>IFERROR(INDEX('[2]PRICELIST, 908u'!$G$7:$AX$914,MATCH($B1231,'[2]PRICELIST, 908u'!$G$7:$G$914,0),41),"NA")</f>
        <v>100000</v>
      </c>
      <c r="N1231" s="58">
        <f t="shared" si="56"/>
        <v>2550000</v>
      </c>
      <c r="O1231" s="60"/>
      <c r="P1231" s="60">
        <f t="shared" si="55"/>
        <v>2550000</v>
      </c>
    </row>
    <row r="1232" spans="2:16">
      <c r="B1232" s="20" t="s">
        <v>1383</v>
      </c>
      <c r="C1232" s="20" t="s">
        <v>2</v>
      </c>
      <c r="D1232" s="20" t="str">
        <f>IFERROR(INDEX('[2]PRICELIST, 908u'!$G$7:$AX$914,MATCH($B1232,'[2]PRICELIST, 908u'!$G$7:$G$914,0),18),"NA")</f>
        <v>2025 - Batch 6</v>
      </c>
      <c r="E1232" s="20" t="str">
        <f>IFERROR(INDEX([3]AGM!$D$21:$BL$928,MATCH($B1232,[3]AGM!$AD$21:$AD$928,0),1),"NA")</f>
        <v>OS</v>
      </c>
      <c r="F1232" s="20" t="str">
        <f t="shared" si="54"/>
        <v>Block 23</v>
      </c>
      <c r="G1232" s="20" t="str">
        <f t="shared" si="53"/>
        <v>Lot 14</v>
      </c>
      <c r="H1232" s="20">
        <f>IFERROR(INDEX('[2]PRICELIST, 908u'!$G$7:$AX$914,MATCH($B1232,'[2]PRICELIST, 908u'!$G$7:$G$914,0),23),"NA")</f>
        <v>50</v>
      </c>
      <c r="I1232" s="20">
        <f>IFERROR(INDEX('[2]PRICELIST, 908u'!$G$7:$AX$914,MATCH($B1232,'[2]PRICELIST, 908u'!$G$7:$G$914,0),22),"NA")</f>
        <v>70</v>
      </c>
      <c r="J1232" s="20" t="s">
        <v>207</v>
      </c>
      <c r="K1232" s="20" t="str">
        <f>IFERROR(INDEX('[2]PRICELIST, 908u'!$G$7:$AX$914,MATCH($B1232,'[2]PRICELIST, 908u'!$G$7:$G$914,0),30),"NA")</f>
        <v>Flat / PURPLE</v>
      </c>
      <c r="L1232" s="20">
        <f>IFERROR(INDEX('[2]PRICELIST, 908u'!$G$7:$AX$914,MATCH($B1232,'[2]PRICELIST, 908u'!$G$7:$G$914,0),40),"NA")</f>
        <v>2650000</v>
      </c>
      <c r="M1232" s="20">
        <f>IFERROR(INDEX('[2]PRICELIST, 908u'!$G$7:$AX$914,MATCH($B1232,'[2]PRICELIST, 908u'!$G$7:$G$914,0),41),"NA")</f>
        <v>100000</v>
      </c>
      <c r="N1232" s="58">
        <f t="shared" si="56"/>
        <v>2550000</v>
      </c>
      <c r="O1232" s="60"/>
      <c r="P1232" s="60">
        <f t="shared" si="55"/>
        <v>2550000</v>
      </c>
    </row>
    <row r="1233" spans="2:16">
      <c r="B1233" s="20" t="s">
        <v>1384</v>
      </c>
      <c r="C1233" s="20" t="s">
        <v>2</v>
      </c>
      <c r="D1233" s="20" t="str">
        <f>IFERROR(INDEX('[2]PRICELIST, 908u'!$G$7:$AX$914,MATCH($B1233,'[2]PRICELIST, 908u'!$G$7:$G$914,0),18),"NA")</f>
        <v>2025 - Batch 6</v>
      </c>
      <c r="E1233" s="20" t="str">
        <f>IFERROR(INDEX([3]AGM!$D$21:$BL$928,MATCH($B1233,[3]AGM!$AD$21:$AD$928,0),1),"NA")</f>
        <v>OS</v>
      </c>
      <c r="F1233" s="20" t="str">
        <f t="shared" si="54"/>
        <v>Block 23</v>
      </c>
      <c r="G1233" s="20" t="str">
        <f t="shared" si="53"/>
        <v>Lot 15</v>
      </c>
      <c r="H1233" s="20">
        <f>IFERROR(INDEX('[2]PRICELIST, 908u'!$G$7:$AX$914,MATCH($B1233,'[2]PRICELIST, 908u'!$G$7:$G$914,0),23),"NA")</f>
        <v>50</v>
      </c>
      <c r="I1233" s="20">
        <f>IFERROR(INDEX('[2]PRICELIST, 908u'!$G$7:$AX$914,MATCH($B1233,'[2]PRICELIST, 908u'!$G$7:$G$914,0),22),"NA")</f>
        <v>70</v>
      </c>
      <c r="J1233" s="20" t="s">
        <v>207</v>
      </c>
      <c r="K1233" s="20" t="str">
        <f>IFERROR(INDEX('[2]PRICELIST, 908u'!$G$7:$AX$914,MATCH($B1233,'[2]PRICELIST, 908u'!$G$7:$G$914,0),30),"NA")</f>
        <v>Flat / PINK</v>
      </c>
      <c r="L1233" s="20">
        <f>IFERROR(INDEX('[2]PRICELIST, 908u'!$G$7:$AX$914,MATCH($B1233,'[2]PRICELIST, 908u'!$G$7:$G$914,0),40),"NA")</f>
        <v>2650000</v>
      </c>
      <c r="M1233" s="20">
        <f>IFERROR(INDEX('[2]PRICELIST, 908u'!$G$7:$AX$914,MATCH($B1233,'[2]PRICELIST, 908u'!$G$7:$G$914,0),41),"NA")</f>
        <v>100000</v>
      </c>
      <c r="N1233" s="58">
        <f t="shared" si="56"/>
        <v>2550000</v>
      </c>
      <c r="O1233" s="60"/>
      <c r="P1233" s="60">
        <f t="shared" si="55"/>
        <v>2550000</v>
      </c>
    </row>
    <row r="1234" spans="2:16">
      <c r="B1234" s="20" t="s">
        <v>1385</v>
      </c>
      <c r="C1234" s="20" t="s">
        <v>2</v>
      </c>
      <c r="D1234" s="20" t="str">
        <f>IFERROR(INDEX('[2]PRICELIST, 908u'!$G$7:$AX$914,MATCH($B1234,'[2]PRICELIST, 908u'!$G$7:$G$914,0),18),"NA")</f>
        <v>2025 - Batch 6</v>
      </c>
      <c r="E1234" s="20" t="str">
        <f>IFERROR(INDEX([3]AGM!$D$21:$BL$928,MATCH($B1234,[3]AGM!$AD$21:$AD$928,0),1),"NA")</f>
        <v>OS</v>
      </c>
      <c r="F1234" s="20" t="str">
        <f t="shared" si="54"/>
        <v>Block 23</v>
      </c>
      <c r="G1234" s="20" t="str">
        <f t="shared" si="53"/>
        <v>Lot 16</v>
      </c>
      <c r="H1234" s="20">
        <f>IFERROR(INDEX('[2]PRICELIST, 908u'!$G$7:$AX$914,MATCH($B1234,'[2]PRICELIST, 908u'!$G$7:$G$914,0),23),"NA")</f>
        <v>50</v>
      </c>
      <c r="I1234" s="20">
        <f>IFERROR(INDEX('[2]PRICELIST, 908u'!$G$7:$AX$914,MATCH($B1234,'[2]PRICELIST, 908u'!$G$7:$G$914,0),22),"NA")</f>
        <v>70</v>
      </c>
      <c r="J1234" s="20" t="s">
        <v>207</v>
      </c>
      <c r="K1234" s="20" t="str">
        <f>IFERROR(INDEX('[2]PRICELIST, 908u'!$G$7:$AX$914,MATCH($B1234,'[2]PRICELIST, 908u'!$G$7:$G$914,0),30),"NA")</f>
        <v>Slant / PINK</v>
      </c>
      <c r="L1234" s="20">
        <f>IFERROR(INDEX('[2]PRICELIST, 908u'!$G$7:$AX$914,MATCH($B1234,'[2]PRICELIST, 908u'!$G$7:$G$914,0),40),"NA")</f>
        <v>2650000</v>
      </c>
      <c r="M1234" s="20">
        <f>IFERROR(INDEX('[2]PRICELIST, 908u'!$G$7:$AX$914,MATCH($B1234,'[2]PRICELIST, 908u'!$G$7:$G$914,0),41),"NA")</f>
        <v>100000</v>
      </c>
      <c r="N1234" s="58">
        <f t="shared" si="56"/>
        <v>2550000</v>
      </c>
      <c r="O1234" s="60"/>
      <c r="P1234" s="60">
        <f t="shared" si="55"/>
        <v>2550000</v>
      </c>
    </row>
    <row r="1235" spans="2:16">
      <c r="B1235" s="20" t="s">
        <v>1386</v>
      </c>
      <c r="C1235" s="20" t="s">
        <v>2</v>
      </c>
      <c r="D1235" s="20" t="str">
        <f>IFERROR(INDEX('[2]PRICELIST, 908u'!$G$7:$AX$914,MATCH($B1235,'[2]PRICELIST, 908u'!$G$7:$G$914,0),18),"NA")</f>
        <v>2025 - Batch 6</v>
      </c>
      <c r="E1235" s="20" t="str">
        <f>IFERROR(INDEX([3]AGM!$D$21:$BL$928,MATCH($B1235,[3]AGM!$AD$21:$AD$928,0),1),"NA")</f>
        <v>OS</v>
      </c>
      <c r="F1235" s="20" t="str">
        <f t="shared" si="54"/>
        <v>Block 23</v>
      </c>
      <c r="G1235" s="20" t="str">
        <f t="shared" si="53"/>
        <v>Lot 17</v>
      </c>
      <c r="H1235" s="20">
        <f>IFERROR(INDEX('[2]PRICELIST, 908u'!$G$7:$AX$914,MATCH($B1235,'[2]PRICELIST, 908u'!$G$7:$G$914,0),23),"NA")</f>
        <v>50</v>
      </c>
      <c r="I1235" s="20">
        <f>IFERROR(INDEX('[2]PRICELIST, 908u'!$G$7:$AX$914,MATCH($B1235,'[2]PRICELIST, 908u'!$G$7:$G$914,0),22),"NA")</f>
        <v>70</v>
      </c>
      <c r="J1235" s="20" t="s">
        <v>207</v>
      </c>
      <c r="K1235" s="20" t="str">
        <f>IFERROR(INDEX('[2]PRICELIST, 908u'!$G$7:$AX$914,MATCH($B1235,'[2]PRICELIST, 908u'!$G$7:$G$914,0),30),"NA")</f>
        <v>Slant / PINK</v>
      </c>
      <c r="L1235" s="20">
        <f>IFERROR(INDEX('[2]PRICELIST, 908u'!$G$7:$AX$914,MATCH($B1235,'[2]PRICELIST, 908u'!$G$7:$G$914,0),40),"NA")</f>
        <v>2650000</v>
      </c>
      <c r="M1235" s="20">
        <f>IFERROR(INDEX('[2]PRICELIST, 908u'!$G$7:$AX$914,MATCH($B1235,'[2]PRICELIST, 908u'!$G$7:$G$914,0),41),"NA")</f>
        <v>100000</v>
      </c>
      <c r="N1235" s="58">
        <f t="shared" si="56"/>
        <v>2550000</v>
      </c>
      <c r="O1235" s="60"/>
      <c r="P1235" s="60">
        <f t="shared" si="55"/>
        <v>2550000</v>
      </c>
    </row>
    <row r="1236" spans="2:16">
      <c r="B1236" s="20" t="s">
        <v>1387</v>
      </c>
      <c r="C1236" s="20" t="s">
        <v>2</v>
      </c>
      <c r="D1236" s="20" t="str">
        <f>IFERROR(INDEX('[2]PRICELIST, 908u'!$G$7:$AX$914,MATCH($B1236,'[2]PRICELIST, 908u'!$G$7:$G$914,0),18),"NA")</f>
        <v>2025 - Batch 6</v>
      </c>
      <c r="E1236" s="20" t="str">
        <f>IFERROR(INDEX([3]AGM!$D$21:$BL$928,MATCH($B1236,[3]AGM!$AD$21:$AD$928,0),1),"NA")</f>
        <v>OS</v>
      </c>
      <c r="F1236" s="20" t="str">
        <f t="shared" si="54"/>
        <v>Block 23</v>
      </c>
      <c r="G1236" s="20" t="str">
        <f t="shared" si="53"/>
        <v>Lot 18</v>
      </c>
      <c r="H1236" s="20">
        <f>IFERROR(INDEX('[2]PRICELIST, 908u'!$G$7:$AX$914,MATCH($B1236,'[2]PRICELIST, 908u'!$G$7:$G$914,0),23),"NA")</f>
        <v>50</v>
      </c>
      <c r="I1236" s="20">
        <f>IFERROR(INDEX('[2]PRICELIST, 908u'!$G$7:$AX$914,MATCH($B1236,'[2]PRICELIST, 908u'!$G$7:$G$914,0),22),"NA")</f>
        <v>70</v>
      </c>
      <c r="J1236" s="20" t="s">
        <v>207</v>
      </c>
      <c r="K1236" s="20" t="str">
        <f>IFERROR(INDEX('[2]PRICELIST, 908u'!$G$7:$AX$914,MATCH($B1236,'[2]PRICELIST, 908u'!$G$7:$G$914,0),30),"NA")</f>
        <v>Flat / PINK</v>
      </c>
      <c r="L1236" s="20">
        <f>IFERROR(INDEX('[2]PRICELIST, 908u'!$G$7:$AX$914,MATCH($B1236,'[2]PRICELIST, 908u'!$G$7:$G$914,0),40),"NA")</f>
        <v>2650000</v>
      </c>
      <c r="M1236" s="20">
        <f>IFERROR(INDEX('[2]PRICELIST, 908u'!$G$7:$AX$914,MATCH($B1236,'[2]PRICELIST, 908u'!$G$7:$G$914,0),41),"NA")</f>
        <v>100000</v>
      </c>
      <c r="N1236" s="58">
        <f t="shared" si="56"/>
        <v>2550000</v>
      </c>
      <c r="O1236" s="60"/>
      <c r="P1236" s="60">
        <f t="shared" si="55"/>
        <v>2550000</v>
      </c>
    </row>
    <row r="1237" spans="2:16">
      <c r="B1237" s="20" t="s">
        <v>1388</v>
      </c>
      <c r="C1237" s="20" t="s">
        <v>2</v>
      </c>
      <c r="D1237" s="20" t="str">
        <f>IFERROR(INDEX('[2]PRICELIST, 908u'!$G$7:$AX$914,MATCH($B1237,'[2]PRICELIST, 908u'!$G$7:$G$914,0),18),"NA")</f>
        <v>2025 - Batch 5</v>
      </c>
      <c r="E1237" s="20" t="str">
        <f>IFERROR(INDEX([3]AGM!$D$21:$BL$928,MATCH($B1237,[3]AGM!$AD$21:$AD$928,0),1),"NA")</f>
        <v>OS</v>
      </c>
      <c r="F1237" s="20" t="str">
        <f t="shared" si="54"/>
        <v>Block 23</v>
      </c>
      <c r="G1237" s="20" t="str">
        <f t="shared" si="53"/>
        <v>Lot 19</v>
      </c>
      <c r="H1237" s="20">
        <f>IFERROR(INDEX('[2]PRICELIST, 908u'!$G$7:$AX$914,MATCH($B1237,'[2]PRICELIST, 908u'!$G$7:$G$914,0),23),"NA")</f>
        <v>50</v>
      </c>
      <c r="I1237" s="20">
        <f>IFERROR(INDEX('[2]PRICELIST, 908u'!$G$7:$AX$914,MATCH($B1237,'[2]PRICELIST, 908u'!$G$7:$G$914,0),22),"NA")</f>
        <v>70</v>
      </c>
      <c r="J1237" s="20" t="s">
        <v>207</v>
      </c>
      <c r="K1237" s="20" t="str">
        <f>IFERROR(INDEX('[2]PRICELIST, 908u'!$G$7:$AX$914,MATCH($B1237,'[2]PRICELIST, 908u'!$G$7:$G$914,0),30),"NA")</f>
        <v>Flat / YELLOW</v>
      </c>
      <c r="L1237" s="20">
        <f>IFERROR(INDEX('[2]PRICELIST, 908u'!$G$7:$AX$914,MATCH($B1237,'[2]PRICELIST, 908u'!$G$7:$G$914,0),40),"NA")</f>
        <v>2650000</v>
      </c>
      <c r="M1237" s="20">
        <f>IFERROR(INDEX('[2]PRICELIST, 908u'!$G$7:$AX$914,MATCH($B1237,'[2]PRICELIST, 908u'!$G$7:$G$914,0),41),"NA")</f>
        <v>100000</v>
      </c>
      <c r="N1237" s="58">
        <f t="shared" si="56"/>
        <v>2550000</v>
      </c>
      <c r="O1237" s="60"/>
      <c r="P1237" s="60">
        <f t="shared" si="55"/>
        <v>2550000</v>
      </c>
    </row>
    <row r="1238" spans="2:16">
      <c r="B1238" s="20" t="s">
        <v>1389</v>
      </c>
      <c r="C1238" s="20" t="s">
        <v>2</v>
      </c>
      <c r="D1238" s="20" t="str">
        <f>IFERROR(INDEX('[2]PRICELIST, 908u'!$G$7:$AX$914,MATCH($B1238,'[2]PRICELIST, 908u'!$G$7:$G$914,0),18),"NA")</f>
        <v>2025 - Batch 5</v>
      </c>
      <c r="E1238" s="20" t="str">
        <f>IFERROR(INDEX([3]AGM!$D$21:$BL$928,MATCH($B1238,[3]AGM!$AD$21:$AD$928,0),1),"NA")</f>
        <v>OS</v>
      </c>
      <c r="F1238" s="20" t="str">
        <f t="shared" si="54"/>
        <v>Block 23</v>
      </c>
      <c r="G1238" s="20" t="str">
        <f t="shared" si="53"/>
        <v>Lot 20</v>
      </c>
      <c r="H1238" s="20">
        <f>IFERROR(INDEX('[2]PRICELIST, 908u'!$G$7:$AX$914,MATCH($B1238,'[2]PRICELIST, 908u'!$G$7:$G$914,0),23),"NA")</f>
        <v>50</v>
      </c>
      <c r="I1238" s="20">
        <f>IFERROR(INDEX('[2]PRICELIST, 908u'!$G$7:$AX$914,MATCH($B1238,'[2]PRICELIST, 908u'!$G$7:$G$914,0),22),"NA")</f>
        <v>70</v>
      </c>
      <c r="J1238" s="20" t="s">
        <v>207</v>
      </c>
      <c r="K1238" s="20" t="str">
        <f>IFERROR(INDEX('[2]PRICELIST, 908u'!$G$7:$AX$914,MATCH($B1238,'[2]PRICELIST, 908u'!$G$7:$G$914,0),30),"NA")</f>
        <v>Slant / YELLOW</v>
      </c>
      <c r="L1238" s="20">
        <f>IFERROR(INDEX('[2]PRICELIST, 908u'!$G$7:$AX$914,MATCH($B1238,'[2]PRICELIST, 908u'!$G$7:$G$914,0),40),"NA")</f>
        <v>2650000</v>
      </c>
      <c r="M1238" s="20">
        <f>IFERROR(INDEX('[2]PRICELIST, 908u'!$G$7:$AX$914,MATCH($B1238,'[2]PRICELIST, 908u'!$G$7:$G$914,0),41),"NA")</f>
        <v>100000</v>
      </c>
      <c r="N1238" s="58">
        <f t="shared" si="56"/>
        <v>2550000</v>
      </c>
      <c r="O1238" s="60"/>
      <c r="P1238" s="60">
        <f t="shared" si="55"/>
        <v>2550000</v>
      </c>
    </row>
    <row r="1239" spans="2:16">
      <c r="B1239" s="20" t="s">
        <v>1390</v>
      </c>
      <c r="C1239" s="20" t="s">
        <v>2</v>
      </c>
      <c r="D1239" s="20" t="str">
        <f>IFERROR(INDEX('[2]PRICELIST, 908u'!$G$7:$AX$914,MATCH($B1239,'[2]PRICELIST, 908u'!$G$7:$G$914,0),18),"NA")</f>
        <v>2025 - Batch 5</v>
      </c>
      <c r="E1239" s="20" t="str">
        <f>IFERROR(INDEX([3]AGM!$D$21:$BL$928,MATCH($B1239,[3]AGM!$AD$21:$AD$928,0),1),"NA")</f>
        <v>OS</v>
      </c>
      <c r="F1239" s="20" t="str">
        <f t="shared" si="54"/>
        <v>Block 23</v>
      </c>
      <c r="G1239" s="20" t="str">
        <f t="shared" si="53"/>
        <v>Lot 21</v>
      </c>
      <c r="H1239" s="20">
        <f>IFERROR(INDEX('[2]PRICELIST, 908u'!$G$7:$AX$914,MATCH($B1239,'[2]PRICELIST, 908u'!$G$7:$G$914,0),23),"NA")</f>
        <v>50</v>
      </c>
      <c r="I1239" s="20">
        <f>IFERROR(INDEX('[2]PRICELIST, 908u'!$G$7:$AX$914,MATCH($B1239,'[2]PRICELIST, 908u'!$G$7:$G$914,0),22),"NA")</f>
        <v>70</v>
      </c>
      <c r="J1239" s="20" t="s">
        <v>207</v>
      </c>
      <c r="K1239" s="20" t="str">
        <f>IFERROR(INDEX('[2]PRICELIST, 908u'!$G$7:$AX$914,MATCH($B1239,'[2]PRICELIST, 908u'!$G$7:$G$914,0),30),"NA")</f>
        <v>Slant / YELLOW</v>
      </c>
      <c r="L1239" s="20">
        <f>IFERROR(INDEX('[2]PRICELIST, 908u'!$G$7:$AX$914,MATCH($B1239,'[2]PRICELIST, 908u'!$G$7:$G$914,0),40),"NA")</f>
        <v>2650000</v>
      </c>
      <c r="M1239" s="20">
        <f>IFERROR(INDEX('[2]PRICELIST, 908u'!$G$7:$AX$914,MATCH($B1239,'[2]PRICELIST, 908u'!$G$7:$G$914,0),41),"NA")</f>
        <v>100000</v>
      </c>
      <c r="N1239" s="58">
        <f t="shared" si="56"/>
        <v>2550000</v>
      </c>
      <c r="O1239" s="60"/>
      <c r="P1239" s="60">
        <f t="shared" si="55"/>
        <v>2550000</v>
      </c>
    </row>
    <row r="1240" spans="2:16">
      <c r="B1240" s="20" t="s">
        <v>1391</v>
      </c>
      <c r="C1240" s="20" t="s">
        <v>2</v>
      </c>
      <c r="D1240" s="20" t="str">
        <f>IFERROR(INDEX('[2]PRICELIST, 908u'!$G$7:$AX$914,MATCH($B1240,'[2]PRICELIST, 908u'!$G$7:$G$914,0),18),"NA")</f>
        <v>2025 - Batch 5</v>
      </c>
      <c r="E1240" s="20" t="str">
        <f>IFERROR(INDEX([3]AGM!$D$21:$BL$928,MATCH($B1240,[3]AGM!$AD$21:$AD$928,0),1),"NA")</f>
        <v>OS</v>
      </c>
      <c r="F1240" s="20" t="str">
        <f t="shared" si="54"/>
        <v>Block 23</v>
      </c>
      <c r="G1240" s="20" t="str">
        <f t="shared" ref="G1240:G1303" si="57">"Lot "&amp;TEXT(VALUE(RIGHT(B1240,3)),"00")</f>
        <v>Lot 22</v>
      </c>
      <c r="H1240" s="20">
        <f>IFERROR(INDEX('[2]PRICELIST, 908u'!$G$7:$AX$914,MATCH($B1240,'[2]PRICELIST, 908u'!$G$7:$G$914,0),23),"NA")</f>
        <v>50</v>
      </c>
      <c r="I1240" s="20">
        <f>IFERROR(INDEX('[2]PRICELIST, 908u'!$G$7:$AX$914,MATCH($B1240,'[2]PRICELIST, 908u'!$G$7:$G$914,0),22),"NA")</f>
        <v>70</v>
      </c>
      <c r="J1240" s="20" t="s">
        <v>207</v>
      </c>
      <c r="K1240" s="20" t="str">
        <f>IFERROR(INDEX('[2]PRICELIST, 908u'!$G$7:$AX$914,MATCH($B1240,'[2]PRICELIST, 908u'!$G$7:$G$914,0),30),"NA")</f>
        <v>Flat / YELLOW</v>
      </c>
      <c r="L1240" s="20">
        <f>IFERROR(INDEX('[2]PRICELIST, 908u'!$G$7:$AX$914,MATCH($B1240,'[2]PRICELIST, 908u'!$G$7:$G$914,0),40),"NA")</f>
        <v>2650000</v>
      </c>
      <c r="M1240" s="20">
        <f>IFERROR(INDEX('[2]PRICELIST, 908u'!$G$7:$AX$914,MATCH($B1240,'[2]PRICELIST, 908u'!$G$7:$G$914,0),41),"NA")</f>
        <v>100000</v>
      </c>
      <c r="N1240" s="58">
        <f t="shared" si="56"/>
        <v>2550000</v>
      </c>
      <c r="O1240" s="60"/>
      <c r="P1240" s="60">
        <f t="shared" si="55"/>
        <v>2550000</v>
      </c>
    </row>
    <row r="1241" spans="2:16">
      <c r="B1241" s="20" t="s">
        <v>1392</v>
      </c>
      <c r="C1241" s="20" t="s">
        <v>2</v>
      </c>
      <c r="D1241" s="20" t="str">
        <f>IFERROR(INDEX('[2]PRICELIST, 908u'!$G$7:$AX$914,MATCH($B1241,'[2]PRICELIST, 908u'!$G$7:$G$914,0),18),"NA")</f>
        <v>2025 - Batch 5</v>
      </c>
      <c r="E1241" s="20" t="str">
        <f>IFERROR(INDEX([3]AGM!$D$21:$BL$928,MATCH($B1241,[3]AGM!$AD$21:$AD$928,0),1),"NA")</f>
        <v>OS</v>
      </c>
      <c r="F1241" s="20" t="str">
        <f t="shared" ref="F1241:F1304" si="58">"Block "&amp;TEXT(VALUE(MID(B1241,8,3)),"00")</f>
        <v>Block 23</v>
      </c>
      <c r="G1241" s="20" t="str">
        <f t="shared" si="57"/>
        <v>Lot 23</v>
      </c>
      <c r="H1241" s="20">
        <f>IFERROR(INDEX('[2]PRICELIST, 908u'!$G$7:$AX$914,MATCH($B1241,'[2]PRICELIST, 908u'!$G$7:$G$914,0),23),"NA")</f>
        <v>50</v>
      </c>
      <c r="I1241" s="20">
        <f>IFERROR(INDEX('[2]PRICELIST, 908u'!$G$7:$AX$914,MATCH($B1241,'[2]PRICELIST, 908u'!$G$7:$G$914,0),22),"NA")</f>
        <v>70</v>
      </c>
      <c r="J1241" s="20" t="s">
        <v>207</v>
      </c>
      <c r="K1241" s="20" t="str">
        <f>IFERROR(INDEX('[2]PRICELIST, 908u'!$G$7:$AX$914,MATCH($B1241,'[2]PRICELIST, 908u'!$G$7:$G$914,0),30),"NA")</f>
        <v>Flat / GREEN</v>
      </c>
      <c r="L1241" s="20">
        <f>IFERROR(INDEX('[2]PRICELIST, 908u'!$G$7:$AX$914,MATCH($B1241,'[2]PRICELIST, 908u'!$G$7:$G$914,0),40),"NA")</f>
        <v>2650000</v>
      </c>
      <c r="M1241" s="20">
        <f>IFERROR(INDEX('[2]PRICELIST, 908u'!$G$7:$AX$914,MATCH($B1241,'[2]PRICELIST, 908u'!$G$7:$G$914,0),41),"NA")</f>
        <v>100000</v>
      </c>
      <c r="N1241" s="58">
        <f t="shared" si="56"/>
        <v>2550000</v>
      </c>
      <c r="O1241" s="60"/>
      <c r="P1241" s="60">
        <f t="shared" ref="P1241:P1304" si="59">N1241-O1241</f>
        <v>2550000</v>
      </c>
    </row>
    <row r="1242" spans="2:16">
      <c r="B1242" s="20" t="s">
        <v>1393</v>
      </c>
      <c r="C1242" s="20" t="s">
        <v>2</v>
      </c>
      <c r="D1242" s="20" t="str">
        <f>IFERROR(INDEX('[2]PRICELIST, 908u'!$G$7:$AX$914,MATCH($B1242,'[2]PRICELIST, 908u'!$G$7:$G$914,0),18),"NA")</f>
        <v>2025 - Batch 5</v>
      </c>
      <c r="E1242" s="20" t="str">
        <f>IFERROR(INDEX([3]AGM!$D$21:$BL$928,MATCH($B1242,[3]AGM!$AD$21:$AD$928,0),1),"NA")</f>
        <v>OS</v>
      </c>
      <c r="F1242" s="20" t="str">
        <f t="shared" si="58"/>
        <v>Block 23</v>
      </c>
      <c r="G1242" s="20" t="str">
        <f t="shared" si="57"/>
        <v>Lot 24</v>
      </c>
      <c r="H1242" s="20">
        <f>IFERROR(INDEX('[2]PRICELIST, 908u'!$G$7:$AX$914,MATCH($B1242,'[2]PRICELIST, 908u'!$G$7:$G$914,0),23),"NA")</f>
        <v>50</v>
      </c>
      <c r="I1242" s="20">
        <f>IFERROR(INDEX('[2]PRICELIST, 908u'!$G$7:$AX$914,MATCH($B1242,'[2]PRICELIST, 908u'!$G$7:$G$914,0),22),"NA")</f>
        <v>70</v>
      </c>
      <c r="J1242" s="20" t="s">
        <v>207</v>
      </c>
      <c r="K1242" s="20" t="str">
        <f>IFERROR(INDEX('[2]PRICELIST, 908u'!$G$7:$AX$914,MATCH($B1242,'[2]PRICELIST, 908u'!$G$7:$G$914,0),30),"NA")</f>
        <v>Slant / GREEN</v>
      </c>
      <c r="L1242" s="20">
        <f>IFERROR(INDEX('[2]PRICELIST, 908u'!$G$7:$AX$914,MATCH($B1242,'[2]PRICELIST, 908u'!$G$7:$G$914,0),40),"NA")</f>
        <v>2650000</v>
      </c>
      <c r="M1242" s="20">
        <f>IFERROR(INDEX('[2]PRICELIST, 908u'!$G$7:$AX$914,MATCH($B1242,'[2]PRICELIST, 908u'!$G$7:$G$914,0),41),"NA")</f>
        <v>100000</v>
      </c>
      <c r="N1242" s="58">
        <f t="shared" ref="N1242:N1305" si="60">L1242-M1242</f>
        <v>2550000</v>
      </c>
      <c r="O1242" s="60"/>
      <c r="P1242" s="60">
        <f t="shared" si="59"/>
        <v>2550000</v>
      </c>
    </row>
    <row r="1243" spans="2:16">
      <c r="B1243" s="20" t="s">
        <v>1394</v>
      </c>
      <c r="C1243" s="20" t="s">
        <v>2</v>
      </c>
      <c r="D1243" s="20" t="str">
        <f>IFERROR(INDEX('[2]PRICELIST, 908u'!$G$7:$AX$914,MATCH($B1243,'[2]PRICELIST, 908u'!$G$7:$G$914,0),18),"NA")</f>
        <v>2025 - Batch 4</v>
      </c>
      <c r="E1243" s="20" t="str">
        <f>IFERROR(INDEX([3]AGM!$D$21:$BL$928,MATCH($B1243,[3]AGM!$AD$21:$AD$928,0),1),"NA")</f>
        <v>OS</v>
      </c>
      <c r="F1243" s="20" t="str">
        <f t="shared" si="58"/>
        <v>Block 23</v>
      </c>
      <c r="G1243" s="20" t="str">
        <f t="shared" si="57"/>
        <v>Lot 25</v>
      </c>
      <c r="H1243" s="20">
        <f>IFERROR(INDEX('[2]PRICELIST, 908u'!$G$7:$AX$914,MATCH($B1243,'[2]PRICELIST, 908u'!$G$7:$G$914,0),23),"NA")</f>
        <v>50</v>
      </c>
      <c r="I1243" s="20">
        <f>IFERROR(INDEX('[2]PRICELIST, 908u'!$G$7:$AX$914,MATCH($B1243,'[2]PRICELIST, 908u'!$G$7:$G$914,0),22),"NA")</f>
        <v>70</v>
      </c>
      <c r="J1243" s="20" t="s">
        <v>207</v>
      </c>
      <c r="K1243" s="20" t="str">
        <f>IFERROR(INDEX('[2]PRICELIST, 908u'!$G$7:$AX$914,MATCH($B1243,'[2]PRICELIST, 908u'!$G$7:$G$914,0),30),"NA")</f>
        <v>Slant / GREEN</v>
      </c>
      <c r="L1243" s="20">
        <f>IFERROR(INDEX('[2]PRICELIST, 908u'!$G$7:$AX$914,MATCH($B1243,'[2]PRICELIST, 908u'!$G$7:$G$914,0),40),"NA")</f>
        <v>2650000</v>
      </c>
      <c r="M1243" s="20">
        <f>IFERROR(INDEX('[2]PRICELIST, 908u'!$G$7:$AX$914,MATCH($B1243,'[2]PRICELIST, 908u'!$G$7:$G$914,0),41),"NA")</f>
        <v>100000</v>
      </c>
      <c r="N1243" s="58">
        <f t="shared" si="60"/>
        <v>2550000</v>
      </c>
      <c r="O1243" s="60"/>
      <c r="P1243" s="60">
        <f t="shared" si="59"/>
        <v>2550000</v>
      </c>
    </row>
    <row r="1244" spans="2:16">
      <c r="B1244" s="20" t="s">
        <v>1395</v>
      </c>
      <c r="C1244" s="20" t="s">
        <v>2</v>
      </c>
      <c r="D1244" s="20" t="str">
        <f>IFERROR(INDEX('[2]PRICELIST, 908u'!$G$7:$AX$914,MATCH($B1244,'[2]PRICELIST, 908u'!$G$7:$G$914,0),18),"NA")</f>
        <v>2025 - Batch 4</v>
      </c>
      <c r="E1244" s="20" t="str">
        <f>IFERROR(INDEX([3]AGM!$D$21:$BL$928,MATCH($B1244,[3]AGM!$AD$21:$AD$928,0),1),"NA")</f>
        <v>OS</v>
      </c>
      <c r="F1244" s="20" t="str">
        <f t="shared" si="58"/>
        <v>Block 23</v>
      </c>
      <c r="G1244" s="20" t="str">
        <f t="shared" si="57"/>
        <v>Lot 26</v>
      </c>
      <c r="H1244" s="20">
        <f>IFERROR(INDEX('[2]PRICELIST, 908u'!$G$7:$AX$914,MATCH($B1244,'[2]PRICELIST, 908u'!$G$7:$G$914,0),23),"NA")</f>
        <v>50</v>
      </c>
      <c r="I1244" s="20">
        <f>IFERROR(INDEX('[2]PRICELIST, 908u'!$G$7:$AX$914,MATCH($B1244,'[2]PRICELIST, 908u'!$G$7:$G$914,0),22),"NA")</f>
        <v>70</v>
      </c>
      <c r="J1244" s="20" t="s">
        <v>207</v>
      </c>
      <c r="K1244" s="20" t="str">
        <f>IFERROR(INDEX('[2]PRICELIST, 908u'!$G$7:$AX$914,MATCH($B1244,'[2]PRICELIST, 908u'!$G$7:$G$914,0),30),"NA")</f>
        <v>Flat / GREEN</v>
      </c>
      <c r="L1244" s="20">
        <f>IFERROR(INDEX('[2]PRICELIST, 908u'!$G$7:$AX$914,MATCH($B1244,'[2]PRICELIST, 908u'!$G$7:$G$914,0),40),"NA")</f>
        <v>2650000</v>
      </c>
      <c r="M1244" s="20">
        <f>IFERROR(INDEX('[2]PRICELIST, 908u'!$G$7:$AX$914,MATCH($B1244,'[2]PRICELIST, 908u'!$G$7:$G$914,0),41),"NA")</f>
        <v>100000</v>
      </c>
      <c r="N1244" s="58">
        <f t="shared" si="60"/>
        <v>2550000</v>
      </c>
      <c r="O1244" s="60"/>
      <c r="P1244" s="60">
        <f t="shared" si="59"/>
        <v>2550000</v>
      </c>
    </row>
    <row r="1245" spans="2:16">
      <c r="B1245" s="20" t="s">
        <v>1396</v>
      </c>
      <c r="C1245" s="20" t="s">
        <v>2</v>
      </c>
      <c r="D1245" s="20" t="str">
        <f>IFERROR(INDEX('[2]PRICELIST, 908u'!$G$7:$AX$914,MATCH($B1245,'[2]PRICELIST, 908u'!$G$7:$G$914,0),18),"NA")</f>
        <v>2025 - Batch 4</v>
      </c>
      <c r="E1245" s="20" t="str">
        <f>IFERROR(INDEX([3]AGM!$D$21:$BL$928,MATCH($B1245,[3]AGM!$AD$21:$AD$928,0),1),"NA")</f>
        <v>OS</v>
      </c>
      <c r="F1245" s="20" t="str">
        <f t="shared" si="58"/>
        <v>Block 23</v>
      </c>
      <c r="G1245" s="20" t="str">
        <f t="shared" si="57"/>
        <v>Lot 27</v>
      </c>
      <c r="H1245" s="20">
        <f>IFERROR(INDEX('[2]PRICELIST, 908u'!$G$7:$AX$914,MATCH($B1245,'[2]PRICELIST, 908u'!$G$7:$G$914,0),23),"NA")</f>
        <v>50</v>
      </c>
      <c r="I1245" s="20">
        <f>IFERROR(INDEX('[2]PRICELIST, 908u'!$G$7:$AX$914,MATCH($B1245,'[2]PRICELIST, 908u'!$G$7:$G$914,0),22),"NA")</f>
        <v>70</v>
      </c>
      <c r="J1245" s="20" t="s">
        <v>207</v>
      </c>
      <c r="K1245" s="20" t="str">
        <f>IFERROR(INDEX('[2]PRICELIST, 908u'!$G$7:$AX$914,MATCH($B1245,'[2]PRICELIST, 908u'!$G$7:$G$914,0),30),"NA")</f>
        <v>Flat / PURPLE</v>
      </c>
      <c r="L1245" s="20">
        <f>IFERROR(INDEX('[2]PRICELIST, 908u'!$G$7:$AX$914,MATCH($B1245,'[2]PRICELIST, 908u'!$G$7:$G$914,0),40),"NA")</f>
        <v>2650000</v>
      </c>
      <c r="M1245" s="20">
        <f>IFERROR(INDEX('[2]PRICELIST, 908u'!$G$7:$AX$914,MATCH($B1245,'[2]PRICELIST, 908u'!$G$7:$G$914,0),41),"NA")</f>
        <v>100000</v>
      </c>
      <c r="N1245" s="58">
        <f t="shared" si="60"/>
        <v>2550000</v>
      </c>
      <c r="O1245" s="60"/>
      <c r="P1245" s="60">
        <f t="shared" si="59"/>
        <v>2550000</v>
      </c>
    </row>
    <row r="1246" spans="2:16">
      <c r="B1246" s="20" t="s">
        <v>1397</v>
      </c>
      <c r="C1246" s="20" t="s">
        <v>2</v>
      </c>
      <c r="D1246" s="20" t="str">
        <f>IFERROR(INDEX('[2]PRICELIST, 908u'!$G$7:$AX$914,MATCH($B1246,'[2]PRICELIST, 908u'!$G$7:$G$914,0),18),"NA")</f>
        <v>2025 - Batch 4</v>
      </c>
      <c r="E1246" s="20" t="str">
        <f>IFERROR(INDEX([3]AGM!$D$21:$BL$928,MATCH($B1246,[3]AGM!$AD$21:$AD$928,0),1),"NA")</f>
        <v>OS</v>
      </c>
      <c r="F1246" s="20" t="str">
        <f t="shared" si="58"/>
        <v>Block 23</v>
      </c>
      <c r="G1246" s="20" t="str">
        <f t="shared" si="57"/>
        <v>Lot 28</v>
      </c>
      <c r="H1246" s="20">
        <f>IFERROR(INDEX('[2]PRICELIST, 908u'!$G$7:$AX$914,MATCH($B1246,'[2]PRICELIST, 908u'!$G$7:$G$914,0),23),"NA")</f>
        <v>50</v>
      </c>
      <c r="I1246" s="20">
        <f>IFERROR(INDEX('[2]PRICELIST, 908u'!$G$7:$AX$914,MATCH($B1246,'[2]PRICELIST, 908u'!$G$7:$G$914,0),22),"NA")</f>
        <v>70</v>
      </c>
      <c r="J1246" s="20" t="s">
        <v>25</v>
      </c>
      <c r="K1246" s="20" t="str">
        <f>IFERROR(INDEX('[2]PRICELIST, 908u'!$G$7:$AX$914,MATCH($B1246,'[2]PRICELIST, 908u'!$G$7:$G$914,0),30),"NA")</f>
        <v>Slant / PURPLE</v>
      </c>
      <c r="L1246" s="20">
        <f>IFERROR(INDEX('[2]PRICELIST, 908u'!$G$7:$AX$914,MATCH($B1246,'[2]PRICELIST, 908u'!$G$7:$G$914,0),40),"NA")</f>
        <v>2850000</v>
      </c>
      <c r="M1246" s="20">
        <f>IFERROR(INDEX('[2]PRICELIST, 908u'!$G$7:$AX$914,MATCH($B1246,'[2]PRICELIST, 908u'!$G$7:$G$914,0),41),"NA")</f>
        <v>100000</v>
      </c>
      <c r="N1246" s="58">
        <f t="shared" si="60"/>
        <v>2750000</v>
      </c>
      <c r="O1246" s="60"/>
      <c r="P1246" s="60">
        <f t="shared" si="59"/>
        <v>2750000</v>
      </c>
    </row>
    <row r="1247" spans="2:16">
      <c r="B1247" s="20" t="s">
        <v>1398</v>
      </c>
      <c r="C1247" s="20" t="s">
        <v>2</v>
      </c>
      <c r="D1247" s="20" t="str">
        <f>IFERROR(INDEX('[2]PRICELIST, 908u'!$G$7:$AX$914,MATCH($B1247,'[2]PRICELIST, 908u'!$G$7:$G$914,0),18),"NA")</f>
        <v>2025 - Batch 4</v>
      </c>
      <c r="E1247" s="20" t="str">
        <f>IFERROR(INDEX([3]AGM!$D$21:$BL$928,MATCH($B1247,[3]AGM!$AD$21:$AD$928,0),1),"NA")</f>
        <v>OS</v>
      </c>
      <c r="F1247" s="20" t="str">
        <f t="shared" si="58"/>
        <v>Block 23</v>
      </c>
      <c r="G1247" s="20" t="str">
        <f t="shared" si="57"/>
        <v>Lot 29</v>
      </c>
      <c r="H1247" s="20">
        <f>IFERROR(INDEX('[2]PRICELIST, 908u'!$G$7:$AX$914,MATCH($B1247,'[2]PRICELIST, 908u'!$G$7:$G$914,0),23),"NA")</f>
        <v>50</v>
      </c>
      <c r="I1247" s="20">
        <f>IFERROR(INDEX('[2]PRICELIST, 908u'!$G$7:$AX$914,MATCH($B1247,'[2]PRICELIST, 908u'!$G$7:$G$914,0),22),"NA")</f>
        <v>70</v>
      </c>
      <c r="J1247" s="20" t="s">
        <v>207</v>
      </c>
      <c r="K1247" s="20" t="str">
        <f>IFERROR(INDEX('[2]PRICELIST, 908u'!$G$7:$AX$914,MATCH($B1247,'[2]PRICELIST, 908u'!$G$7:$G$914,0),30),"NA")</f>
        <v>Slant / PURPLE</v>
      </c>
      <c r="L1247" s="20">
        <f>IFERROR(INDEX('[2]PRICELIST, 908u'!$G$7:$AX$914,MATCH($B1247,'[2]PRICELIST, 908u'!$G$7:$G$914,0),40),"NA")</f>
        <v>2650000</v>
      </c>
      <c r="M1247" s="20">
        <f>IFERROR(INDEX('[2]PRICELIST, 908u'!$G$7:$AX$914,MATCH($B1247,'[2]PRICELIST, 908u'!$G$7:$G$914,0),41),"NA")</f>
        <v>100000</v>
      </c>
      <c r="N1247" s="58">
        <f t="shared" si="60"/>
        <v>2550000</v>
      </c>
      <c r="O1247" s="60"/>
      <c r="P1247" s="60">
        <f t="shared" si="59"/>
        <v>2550000</v>
      </c>
    </row>
    <row r="1248" spans="2:16">
      <c r="B1248" s="20" t="s">
        <v>1399</v>
      </c>
      <c r="C1248" s="20" t="s">
        <v>2</v>
      </c>
      <c r="D1248" s="20" t="str">
        <f>IFERROR(INDEX('[2]PRICELIST, 908u'!$G$7:$AX$914,MATCH($B1248,'[2]PRICELIST, 908u'!$G$7:$G$914,0),18),"NA")</f>
        <v>2025 - Batch 4</v>
      </c>
      <c r="E1248" s="20" t="str">
        <f>IFERROR(INDEX([3]AGM!$D$21:$BL$928,MATCH($B1248,[3]AGM!$AD$21:$AD$928,0),1),"NA")</f>
        <v>OS</v>
      </c>
      <c r="F1248" s="20" t="str">
        <f t="shared" si="58"/>
        <v>Block 23</v>
      </c>
      <c r="G1248" s="20" t="str">
        <f t="shared" si="57"/>
        <v>Lot 30</v>
      </c>
      <c r="H1248" s="20">
        <f>IFERROR(INDEX('[2]PRICELIST, 908u'!$G$7:$AX$914,MATCH($B1248,'[2]PRICELIST, 908u'!$G$7:$G$914,0),23),"NA")</f>
        <v>50</v>
      </c>
      <c r="I1248" s="20">
        <f>IFERROR(INDEX('[2]PRICELIST, 908u'!$G$7:$AX$914,MATCH($B1248,'[2]PRICELIST, 908u'!$G$7:$G$914,0),22),"NA")</f>
        <v>81</v>
      </c>
      <c r="J1248" s="20" t="s">
        <v>207</v>
      </c>
      <c r="K1248" s="20" t="str">
        <f>IFERROR(INDEX('[2]PRICELIST, 908u'!$G$7:$AX$914,MATCH($B1248,'[2]PRICELIST, 908u'!$G$7:$G$914,0),30),"NA")</f>
        <v>Flat / PURPLE</v>
      </c>
      <c r="L1248" s="20">
        <f>IFERROR(INDEX('[2]PRICELIST, 908u'!$G$7:$AX$914,MATCH($B1248,'[2]PRICELIST, 908u'!$G$7:$G$914,0),40),"NA")</f>
        <v>2815000</v>
      </c>
      <c r="M1248" s="20">
        <f>IFERROR(INDEX('[2]PRICELIST, 908u'!$G$7:$AX$914,MATCH($B1248,'[2]PRICELIST, 908u'!$G$7:$G$914,0),41),"NA")</f>
        <v>100000</v>
      </c>
      <c r="N1248" s="58">
        <f t="shared" si="60"/>
        <v>2715000</v>
      </c>
      <c r="O1248" s="60"/>
      <c r="P1248" s="60">
        <f t="shared" si="59"/>
        <v>2715000</v>
      </c>
    </row>
    <row r="1249" spans="2:16">
      <c r="B1249" s="20" t="s">
        <v>1400</v>
      </c>
      <c r="C1249" s="20" t="s">
        <v>2</v>
      </c>
      <c r="D1249" s="20" t="str">
        <f>IFERROR(INDEX('[2]PRICELIST, 908u'!$G$7:$AX$914,MATCH($B1249,'[2]PRICELIST, 908u'!$G$7:$G$914,0),18),"NA")</f>
        <v>2025 - Batch 2</v>
      </c>
      <c r="E1249" s="20" t="str">
        <f>IFERROR(INDEX([3]AGM!$D$21:$BL$928,MATCH($B1249,[3]AGM!$AD$21:$AD$928,0),1),"NA")</f>
        <v>OS</v>
      </c>
      <c r="F1249" s="20" t="str">
        <f t="shared" si="58"/>
        <v>Block 23</v>
      </c>
      <c r="G1249" s="20" t="str">
        <f t="shared" si="57"/>
        <v>Lot 31</v>
      </c>
      <c r="H1249" s="20">
        <f>IFERROR(INDEX('[2]PRICELIST, 908u'!$G$7:$AX$914,MATCH($B1249,'[2]PRICELIST, 908u'!$G$7:$G$914,0),23),"NA")</f>
        <v>50</v>
      </c>
      <c r="I1249" s="20">
        <f>IFERROR(INDEX('[2]PRICELIST, 908u'!$G$7:$AX$914,MATCH($B1249,'[2]PRICELIST, 908u'!$G$7:$G$914,0),22),"NA")</f>
        <v>81</v>
      </c>
      <c r="J1249" s="20" t="s">
        <v>207</v>
      </c>
      <c r="K1249" s="20" t="str">
        <f>IFERROR(INDEX('[2]PRICELIST, 908u'!$G$7:$AX$914,MATCH($B1249,'[2]PRICELIST, 908u'!$G$7:$G$914,0),30),"NA")</f>
        <v>Slant / PINK</v>
      </c>
      <c r="L1249" s="20">
        <f>IFERROR(INDEX('[2]PRICELIST, 908u'!$G$7:$AX$914,MATCH($B1249,'[2]PRICELIST, 908u'!$G$7:$G$914,0),40),"NA")</f>
        <v>2815000</v>
      </c>
      <c r="M1249" s="20">
        <f>IFERROR(INDEX('[2]PRICELIST, 908u'!$G$7:$AX$914,MATCH($B1249,'[2]PRICELIST, 908u'!$G$7:$G$914,0),41),"NA")</f>
        <v>100000</v>
      </c>
      <c r="N1249" s="58">
        <f t="shared" si="60"/>
        <v>2715000</v>
      </c>
      <c r="O1249" s="60"/>
      <c r="P1249" s="60">
        <f t="shared" si="59"/>
        <v>2715000</v>
      </c>
    </row>
    <row r="1250" spans="2:16">
      <c r="B1250" s="20" t="s">
        <v>1401</v>
      </c>
      <c r="C1250" s="20" t="s">
        <v>2</v>
      </c>
      <c r="D1250" s="20" t="str">
        <f>IFERROR(INDEX('[2]PRICELIST, 908u'!$G$7:$AX$914,MATCH($B1250,'[2]PRICELIST, 908u'!$G$7:$G$914,0),18),"NA")</f>
        <v>2025 - Batch 2</v>
      </c>
      <c r="E1250" s="20" t="str">
        <f>IFERROR(INDEX([3]AGM!$D$21:$BL$928,MATCH($B1250,[3]AGM!$AD$21:$AD$928,0),1),"NA")</f>
        <v>OS</v>
      </c>
      <c r="F1250" s="20" t="str">
        <f t="shared" si="58"/>
        <v>Block 23</v>
      </c>
      <c r="G1250" s="20" t="str">
        <f t="shared" si="57"/>
        <v>Lot 32</v>
      </c>
      <c r="H1250" s="20">
        <f>IFERROR(INDEX('[2]PRICELIST, 908u'!$G$7:$AX$914,MATCH($B1250,'[2]PRICELIST, 908u'!$G$7:$G$914,0),23),"NA")</f>
        <v>50</v>
      </c>
      <c r="I1250" s="20">
        <f>IFERROR(INDEX('[2]PRICELIST, 908u'!$G$7:$AX$914,MATCH($B1250,'[2]PRICELIST, 908u'!$G$7:$G$914,0),22),"NA")</f>
        <v>70</v>
      </c>
      <c r="J1250" s="20" t="s">
        <v>207</v>
      </c>
      <c r="K1250" s="20" t="str">
        <f>IFERROR(INDEX('[2]PRICELIST, 908u'!$G$7:$AX$914,MATCH($B1250,'[2]PRICELIST, 908u'!$G$7:$G$914,0),30),"NA")</f>
        <v>Flat / PINK</v>
      </c>
      <c r="L1250" s="20">
        <f>IFERROR(INDEX('[2]PRICELIST, 908u'!$G$7:$AX$914,MATCH($B1250,'[2]PRICELIST, 908u'!$G$7:$G$914,0),40),"NA")</f>
        <v>2650000</v>
      </c>
      <c r="M1250" s="20">
        <f>IFERROR(INDEX('[2]PRICELIST, 908u'!$G$7:$AX$914,MATCH($B1250,'[2]PRICELIST, 908u'!$G$7:$G$914,0),41),"NA")</f>
        <v>100000</v>
      </c>
      <c r="N1250" s="58">
        <f t="shared" si="60"/>
        <v>2550000</v>
      </c>
      <c r="O1250" s="60"/>
      <c r="P1250" s="60">
        <f t="shared" si="59"/>
        <v>2550000</v>
      </c>
    </row>
    <row r="1251" spans="2:16">
      <c r="B1251" s="20" t="s">
        <v>1402</v>
      </c>
      <c r="C1251" s="20" t="s">
        <v>2</v>
      </c>
      <c r="D1251" s="20" t="str">
        <f>IFERROR(INDEX('[2]PRICELIST, 908u'!$G$7:$AX$914,MATCH($B1251,'[2]PRICELIST, 908u'!$G$7:$G$914,0),18),"NA")</f>
        <v>2025 - Batch 2</v>
      </c>
      <c r="E1251" s="20" t="str">
        <f>IFERROR(INDEX([3]AGM!$D$21:$BL$928,MATCH($B1251,[3]AGM!$AD$21:$AD$928,0),1),"NA")</f>
        <v>OS</v>
      </c>
      <c r="F1251" s="20" t="str">
        <f t="shared" si="58"/>
        <v>Block 23</v>
      </c>
      <c r="G1251" s="20" t="str">
        <f t="shared" si="57"/>
        <v>Lot 33</v>
      </c>
      <c r="H1251" s="20">
        <f>IFERROR(INDEX('[2]PRICELIST, 908u'!$G$7:$AX$914,MATCH($B1251,'[2]PRICELIST, 908u'!$G$7:$G$914,0),23),"NA")</f>
        <v>50</v>
      </c>
      <c r="I1251" s="20">
        <f>IFERROR(INDEX('[2]PRICELIST, 908u'!$G$7:$AX$914,MATCH($B1251,'[2]PRICELIST, 908u'!$G$7:$G$914,0),22),"NA")</f>
        <v>70</v>
      </c>
      <c r="J1251" s="20" t="s">
        <v>207</v>
      </c>
      <c r="K1251" s="20" t="str">
        <f>IFERROR(INDEX('[2]PRICELIST, 908u'!$G$7:$AX$914,MATCH($B1251,'[2]PRICELIST, 908u'!$G$7:$G$914,0),30),"NA")</f>
        <v>Flat / PINK</v>
      </c>
      <c r="L1251" s="20">
        <f>IFERROR(INDEX('[2]PRICELIST, 908u'!$G$7:$AX$914,MATCH($B1251,'[2]PRICELIST, 908u'!$G$7:$G$914,0),40),"NA")</f>
        <v>2650000</v>
      </c>
      <c r="M1251" s="20">
        <f>IFERROR(INDEX('[2]PRICELIST, 908u'!$G$7:$AX$914,MATCH($B1251,'[2]PRICELIST, 908u'!$G$7:$G$914,0),41),"NA")</f>
        <v>100000</v>
      </c>
      <c r="N1251" s="58">
        <f t="shared" si="60"/>
        <v>2550000</v>
      </c>
      <c r="O1251" s="60"/>
      <c r="P1251" s="60">
        <f t="shared" si="59"/>
        <v>2550000</v>
      </c>
    </row>
    <row r="1252" spans="2:16">
      <c r="B1252" s="20" t="s">
        <v>1403</v>
      </c>
      <c r="C1252" s="20" t="s">
        <v>2</v>
      </c>
      <c r="D1252" s="20" t="str">
        <f>IFERROR(INDEX('[2]PRICELIST, 908u'!$G$7:$AX$914,MATCH($B1252,'[2]PRICELIST, 908u'!$G$7:$G$914,0),18),"NA")</f>
        <v>2025 - Batch 2</v>
      </c>
      <c r="E1252" s="20" t="str">
        <f>IFERROR(INDEX([3]AGM!$D$21:$BL$928,MATCH($B1252,[3]AGM!$AD$21:$AD$928,0),1),"NA")</f>
        <v>OS</v>
      </c>
      <c r="F1252" s="20" t="str">
        <f t="shared" si="58"/>
        <v>Block 23</v>
      </c>
      <c r="G1252" s="20" t="str">
        <f t="shared" si="57"/>
        <v>Lot 34</v>
      </c>
      <c r="H1252" s="20">
        <f>IFERROR(INDEX('[2]PRICELIST, 908u'!$G$7:$AX$914,MATCH($B1252,'[2]PRICELIST, 908u'!$G$7:$G$914,0),23),"NA")</f>
        <v>50</v>
      </c>
      <c r="I1252" s="20">
        <f>IFERROR(INDEX('[2]PRICELIST, 908u'!$G$7:$AX$914,MATCH($B1252,'[2]PRICELIST, 908u'!$G$7:$G$914,0),22),"NA")</f>
        <v>70</v>
      </c>
      <c r="J1252" s="20" t="s">
        <v>207</v>
      </c>
      <c r="K1252" s="20" t="str">
        <f>IFERROR(INDEX('[2]PRICELIST, 908u'!$G$7:$AX$914,MATCH($B1252,'[2]PRICELIST, 908u'!$G$7:$G$914,0),30),"NA")</f>
        <v>Slant / PINK</v>
      </c>
      <c r="L1252" s="20">
        <f>IFERROR(INDEX('[2]PRICELIST, 908u'!$G$7:$AX$914,MATCH($B1252,'[2]PRICELIST, 908u'!$G$7:$G$914,0),40),"NA")</f>
        <v>2650000</v>
      </c>
      <c r="M1252" s="20">
        <f>IFERROR(INDEX('[2]PRICELIST, 908u'!$G$7:$AX$914,MATCH($B1252,'[2]PRICELIST, 908u'!$G$7:$G$914,0),41),"NA")</f>
        <v>100000</v>
      </c>
      <c r="N1252" s="58">
        <f t="shared" si="60"/>
        <v>2550000</v>
      </c>
      <c r="O1252" s="60"/>
      <c r="P1252" s="60">
        <f t="shared" si="59"/>
        <v>2550000</v>
      </c>
    </row>
    <row r="1253" spans="2:16">
      <c r="B1253" s="20" t="s">
        <v>1404</v>
      </c>
      <c r="C1253" s="20" t="s">
        <v>2</v>
      </c>
      <c r="D1253" s="20" t="str">
        <f>IFERROR(INDEX('[2]PRICELIST, 908u'!$G$7:$AX$914,MATCH($B1253,'[2]PRICELIST, 908u'!$G$7:$G$914,0),18),"NA")</f>
        <v>2025 - Batch 2</v>
      </c>
      <c r="E1253" s="20" t="str">
        <f>IFERROR(INDEX([3]AGM!$D$21:$BL$928,MATCH($B1253,[3]AGM!$AD$21:$AD$928,0),1),"NA")</f>
        <v>OS</v>
      </c>
      <c r="F1253" s="20" t="str">
        <f t="shared" si="58"/>
        <v>Block 23</v>
      </c>
      <c r="G1253" s="20" t="str">
        <f t="shared" si="57"/>
        <v>Lot 35</v>
      </c>
      <c r="H1253" s="20">
        <f>IFERROR(INDEX('[2]PRICELIST, 908u'!$G$7:$AX$914,MATCH($B1253,'[2]PRICELIST, 908u'!$G$7:$G$914,0),23),"NA")</f>
        <v>50</v>
      </c>
      <c r="I1253" s="20">
        <f>IFERROR(INDEX('[2]PRICELIST, 908u'!$G$7:$AX$914,MATCH($B1253,'[2]PRICELIST, 908u'!$G$7:$G$914,0),22),"NA")</f>
        <v>70</v>
      </c>
      <c r="J1253" s="20" t="s">
        <v>207</v>
      </c>
      <c r="K1253" s="20" t="str">
        <f>IFERROR(INDEX('[2]PRICELIST, 908u'!$G$7:$AX$914,MATCH($B1253,'[2]PRICELIST, 908u'!$G$7:$G$914,0),30),"NA")</f>
        <v>Slant / PURPLE</v>
      </c>
      <c r="L1253" s="20">
        <f>IFERROR(INDEX('[2]PRICELIST, 908u'!$G$7:$AX$914,MATCH($B1253,'[2]PRICELIST, 908u'!$G$7:$G$914,0),40),"NA")</f>
        <v>2650000</v>
      </c>
      <c r="M1253" s="20">
        <f>IFERROR(INDEX('[2]PRICELIST, 908u'!$G$7:$AX$914,MATCH($B1253,'[2]PRICELIST, 908u'!$G$7:$G$914,0),41),"NA")</f>
        <v>100000</v>
      </c>
      <c r="N1253" s="58">
        <f t="shared" si="60"/>
        <v>2550000</v>
      </c>
      <c r="O1253" s="60"/>
      <c r="P1253" s="60">
        <f t="shared" si="59"/>
        <v>2550000</v>
      </c>
    </row>
    <row r="1254" spans="2:16">
      <c r="B1254" s="20" t="s">
        <v>1405</v>
      </c>
      <c r="C1254" s="20" t="s">
        <v>2</v>
      </c>
      <c r="D1254" s="20" t="str">
        <f>IFERROR(INDEX('[2]PRICELIST, 908u'!$G$7:$AX$914,MATCH($B1254,'[2]PRICELIST, 908u'!$G$7:$G$914,0),18),"NA")</f>
        <v>2025 - Batch 2</v>
      </c>
      <c r="E1254" s="20" t="str">
        <f>IFERROR(INDEX([3]AGM!$D$21:$BL$928,MATCH($B1254,[3]AGM!$AD$21:$AD$928,0),1),"NA")</f>
        <v>OS</v>
      </c>
      <c r="F1254" s="20" t="str">
        <f t="shared" si="58"/>
        <v>Block 23</v>
      </c>
      <c r="G1254" s="20" t="str">
        <f t="shared" si="57"/>
        <v>Lot 36</v>
      </c>
      <c r="H1254" s="20">
        <f>IFERROR(INDEX('[2]PRICELIST, 908u'!$G$7:$AX$914,MATCH($B1254,'[2]PRICELIST, 908u'!$G$7:$G$914,0),23),"NA")</f>
        <v>50</v>
      </c>
      <c r="I1254" s="20">
        <f>IFERROR(INDEX('[2]PRICELIST, 908u'!$G$7:$AX$914,MATCH($B1254,'[2]PRICELIST, 908u'!$G$7:$G$914,0),22),"NA")</f>
        <v>70</v>
      </c>
      <c r="J1254" s="20" t="s">
        <v>207</v>
      </c>
      <c r="K1254" s="20" t="str">
        <f>IFERROR(INDEX('[2]PRICELIST, 908u'!$G$7:$AX$914,MATCH($B1254,'[2]PRICELIST, 908u'!$G$7:$G$914,0),30),"NA")</f>
        <v>Flat / PURPLE</v>
      </c>
      <c r="L1254" s="20">
        <f>IFERROR(INDEX('[2]PRICELIST, 908u'!$G$7:$AX$914,MATCH($B1254,'[2]PRICELIST, 908u'!$G$7:$G$914,0),40),"NA")</f>
        <v>2650000</v>
      </c>
      <c r="M1254" s="20">
        <f>IFERROR(INDEX('[2]PRICELIST, 908u'!$G$7:$AX$914,MATCH($B1254,'[2]PRICELIST, 908u'!$G$7:$G$914,0),41),"NA")</f>
        <v>100000</v>
      </c>
      <c r="N1254" s="58">
        <f t="shared" si="60"/>
        <v>2550000</v>
      </c>
      <c r="O1254" s="60"/>
      <c r="P1254" s="60">
        <f t="shared" si="59"/>
        <v>2550000</v>
      </c>
    </row>
    <row r="1255" spans="2:16">
      <c r="B1255" s="20" t="s">
        <v>1406</v>
      </c>
      <c r="C1255" s="20" t="s">
        <v>2</v>
      </c>
      <c r="D1255" s="20" t="str">
        <f>IFERROR(INDEX('[2]PRICELIST, 908u'!$G$7:$AX$914,MATCH($B1255,'[2]PRICELIST, 908u'!$G$7:$G$914,0),18),"NA")</f>
        <v>2025 - Batch 3</v>
      </c>
      <c r="E1255" s="20" t="str">
        <f>IFERROR(INDEX([3]AGM!$D$21:$BL$928,MATCH($B1255,[3]AGM!$AD$21:$AD$928,0),1),"NA")</f>
        <v>OS</v>
      </c>
      <c r="F1255" s="20" t="str">
        <f t="shared" si="58"/>
        <v>Block 23</v>
      </c>
      <c r="G1255" s="20" t="str">
        <f t="shared" si="57"/>
        <v>Lot 37</v>
      </c>
      <c r="H1255" s="20">
        <f>IFERROR(INDEX('[2]PRICELIST, 908u'!$G$7:$AX$914,MATCH($B1255,'[2]PRICELIST, 908u'!$G$7:$G$914,0),23),"NA")</f>
        <v>50</v>
      </c>
      <c r="I1255" s="20">
        <f>IFERROR(INDEX('[2]PRICELIST, 908u'!$G$7:$AX$914,MATCH($B1255,'[2]PRICELIST, 908u'!$G$7:$G$914,0),22),"NA")</f>
        <v>70</v>
      </c>
      <c r="J1255" s="20" t="s">
        <v>207</v>
      </c>
      <c r="K1255" s="20" t="str">
        <f>IFERROR(INDEX('[2]PRICELIST, 908u'!$G$7:$AX$914,MATCH($B1255,'[2]PRICELIST, 908u'!$G$7:$G$914,0),30),"NA")</f>
        <v>Flat / PURPLE</v>
      </c>
      <c r="L1255" s="20">
        <f>IFERROR(INDEX('[2]PRICELIST, 908u'!$G$7:$AX$914,MATCH($B1255,'[2]PRICELIST, 908u'!$G$7:$G$914,0),40),"NA")</f>
        <v>2650000</v>
      </c>
      <c r="M1255" s="20">
        <f>IFERROR(INDEX('[2]PRICELIST, 908u'!$G$7:$AX$914,MATCH($B1255,'[2]PRICELIST, 908u'!$G$7:$G$914,0),41),"NA")</f>
        <v>100000</v>
      </c>
      <c r="N1255" s="58">
        <f t="shared" si="60"/>
        <v>2550000</v>
      </c>
      <c r="O1255" s="60"/>
      <c r="P1255" s="60">
        <f t="shared" si="59"/>
        <v>2550000</v>
      </c>
    </row>
    <row r="1256" spans="2:16">
      <c r="B1256" s="20" t="s">
        <v>1407</v>
      </c>
      <c r="C1256" s="20" t="s">
        <v>2</v>
      </c>
      <c r="D1256" s="20" t="str">
        <f>IFERROR(INDEX('[2]PRICELIST, 908u'!$G$7:$AX$914,MATCH($B1256,'[2]PRICELIST, 908u'!$G$7:$G$914,0),18),"NA")</f>
        <v>2025 - Batch 3</v>
      </c>
      <c r="E1256" s="20" t="str">
        <f>IFERROR(INDEX([3]AGM!$D$21:$BL$928,MATCH($B1256,[3]AGM!$AD$21:$AD$928,0),1),"NA")</f>
        <v>OS</v>
      </c>
      <c r="F1256" s="20" t="str">
        <f t="shared" si="58"/>
        <v>Block 23</v>
      </c>
      <c r="G1256" s="20" t="str">
        <f t="shared" si="57"/>
        <v>Lot 38</v>
      </c>
      <c r="H1256" s="20">
        <f>IFERROR(INDEX('[2]PRICELIST, 908u'!$G$7:$AX$914,MATCH($B1256,'[2]PRICELIST, 908u'!$G$7:$G$914,0),23),"NA")</f>
        <v>50</v>
      </c>
      <c r="I1256" s="20">
        <f>IFERROR(INDEX('[2]PRICELIST, 908u'!$G$7:$AX$914,MATCH($B1256,'[2]PRICELIST, 908u'!$G$7:$G$914,0),22),"NA")</f>
        <v>70</v>
      </c>
      <c r="J1256" s="20" t="s">
        <v>207</v>
      </c>
      <c r="K1256" s="20" t="str">
        <f>IFERROR(INDEX('[2]PRICELIST, 908u'!$G$7:$AX$914,MATCH($B1256,'[2]PRICELIST, 908u'!$G$7:$G$914,0),30),"NA")</f>
        <v>Slant / PURPLE</v>
      </c>
      <c r="L1256" s="20">
        <f>IFERROR(INDEX('[2]PRICELIST, 908u'!$G$7:$AX$914,MATCH($B1256,'[2]PRICELIST, 908u'!$G$7:$G$914,0),40),"NA")</f>
        <v>2650000</v>
      </c>
      <c r="M1256" s="20">
        <f>IFERROR(INDEX('[2]PRICELIST, 908u'!$G$7:$AX$914,MATCH($B1256,'[2]PRICELIST, 908u'!$G$7:$G$914,0),41),"NA")</f>
        <v>100000</v>
      </c>
      <c r="N1256" s="58">
        <f t="shared" si="60"/>
        <v>2550000</v>
      </c>
      <c r="O1256" s="60"/>
      <c r="P1256" s="60">
        <f t="shared" si="59"/>
        <v>2550000</v>
      </c>
    </row>
    <row r="1257" spans="2:16">
      <c r="B1257" s="20" t="s">
        <v>1408</v>
      </c>
      <c r="C1257" s="20" t="s">
        <v>2</v>
      </c>
      <c r="D1257" s="20" t="str">
        <f>IFERROR(INDEX('[2]PRICELIST, 908u'!$G$7:$AX$914,MATCH($B1257,'[2]PRICELIST, 908u'!$G$7:$G$914,0),18),"NA")</f>
        <v>2025 - Batch 3</v>
      </c>
      <c r="E1257" s="20" t="str">
        <f>IFERROR(INDEX([3]AGM!$D$21:$BL$928,MATCH($B1257,[3]AGM!$AD$21:$AD$928,0),1),"NA")</f>
        <v>OS</v>
      </c>
      <c r="F1257" s="20" t="str">
        <f t="shared" si="58"/>
        <v>Block 23</v>
      </c>
      <c r="G1257" s="20" t="str">
        <f t="shared" si="57"/>
        <v>Lot 39</v>
      </c>
      <c r="H1257" s="20">
        <f>IFERROR(INDEX('[2]PRICELIST, 908u'!$G$7:$AX$914,MATCH($B1257,'[2]PRICELIST, 908u'!$G$7:$G$914,0),23),"NA")</f>
        <v>50</v>
      </c>
      <c r="I1257" s="20">
        <f>IFERROR(INDEX('[2]PRICELIST, 908u'!$G$7:$AX$914,MATCH($B1257,'[2]PRICELIST, 908u'!$G$7:$G$914,0),22),"NA")</f>
        <v>70</v>
      </c>
      <c r="J1257" s="20" t="s">
        <v>207</v>
      </c>
      <c r="K1257" s="20" t="str">
        <f>IFERROR(INDEX('[2]PRICELIST, 908u'!$G$7:$AX$914,MATCH($B1257,'[2]PRICELIST, 908u'!$G$7:$G$914,0),30),"NA")</f>
        <v>Slant / GREEN</v>
      </c>
      <c r="L1257" s="20">
        <f>IFERROR(INDEX('[2]PRICELIST, 908u'!$G$7:$AX$914,MATCH($B1257,'[2]PRICELIST, 908u'!$G$7:$G$914,0),40),"NA")</f>
        <v>2650000</v>
      </c>
      <c r="M1257" s="20">
        <f>IFERROR(INDEX('[2]PRICELIST, 908u'!$G$7:$AX$914,MATCH($B1257,'[2]PRICELIST, 908u'!$G$7:$G$914,0),41),"NA")</f>
        <v>100000</v>
      </c>
      <c r="N1257" s="58">
        <f t="shared" si="60"/>
        <v>2550000</v>
      </c>
      <c r="O1257" s="60"/>
      <c r="P1257" s="60">
        <f t="shared" si="59"/>
        <v>2550000</v>
      </c>
    </row>
    <row r="1258" spans="2:16">
      <c r="B1258" s="20" t="s">
        <v>1409</v>
      </c>
      <c r="C1258" s="20" t="s">
        <v>2</v>
      </c>
      <c r="D1258" s="20" t="str">
        <f>IFERROR(INDEX('[2]PRICELIST, 908u'!$G$7:$AX$914,MATCH($B1258,'[2]PRICELIST, 908u'!$G$7:$G$914,0),18),"NA")</f>
        <v>2025 - Batch 3</v>
      </c>
      <c r="E1258" s="20" t="str">
        <f>IFERROR(INDEX([3]AGM!$D$21:$BL$928,MATCH($B1258,[3]AGM!$AD$21:$AD$928,0),1),"NA")</f>
        <v>OS</v>
      </c>
      <c r="F1258" s="20" t="str">
        <f t="shared" si="58"/>
        <v>Block 23</v>
      </c>
      <c r="G1258" s="20" t="str">
        <f t="shared" si="57"/>
        <v>Lot 40</v>
      </c>
      <c r="H1258" s="20">
        <f>IFERROR(INDEX('[2]PRICELIST, 908u'!$G$7:$AX$914,MATCH($B1258,'[2]PRICELIST, 908u'!$G$7:$G$914,0),23),"NA")</f>
        <v>50</v>
      </c>
      <c r="I1258" s="20">
        <f>IFERROR(INDEX('[2]PRICELIST, 908u'!$G$7:$AX$914,MATCH($B1258,'[2]PRICELIST, 908u'!$G$7:$G$914,0),22),"NA")</f>
        <v>70</v>
      </c>
      <c r="J1258" s="20" t="s">
        <v>207</v>
      </c>
      <c r="K1258" s="20" t="str">
        <f>IFERROR(INDEX('[2]PRICELIST, 908u'!$G$7:$AX$914,MATCH($B1258,'[2]PRICELIST, 908u'!$G$7:$G$914,0),30),"NA")</f>
        <v>Flat / GREEN</v>
      </c>
      <c r="L1258" s="20">
        <f>IFERROR(INDEX('[2]PRICELIST, 908u'!$G$7:$AX$914,MATCH($B1258,'[2]PRICELIST, 908u'!$G$7:$G$914,0),40),"NA")</f>
        <v>2650000</v>
      </c>
      <c r="M1258" s="20">
        <f>IFERROR(INDEX('[2]PRICELIST, 908u'!$G$7:$AX$914,MATCH($B1258,'[2]PRICELIST, 908u'!$G$7:$G$914,0),41),"NA")</f>
        <v>100000</v>
      </c>
      <c r="N1258" s="58">
        <f t="shared" si="60"/>
        <v>2550000</v>
      </c>
      <c r="O1258" s="60"/>
      <c r="P1258" s="60">
        <f t="shared" si="59"/>
        <v>2550000</v>
      </c>
    </row>
    <row r="1259" spans="2:16">
      <c r="B1259" s="20" t="s">
        <v>1410</v>
      </c>
      <c r="C1259" s="20" t="s">
        <v>2</v>
      </c>
      <c r="D1259" s="20" t="str">
        <f>IFERROR(INDEX('[2]PRICELIST, 908u'!$G$7:$AX$914,MATCH($B1259,'[2]PRICELIST, 908u'!$G$7:$G$914,0),18),"NA")</f>
        <v>2025 - Batch 3</v>
      </c>
      <c r="E1259" s="20" t="str">
        <f>IFERROR(INDEX([3]AGM!$D$21:$BL$928,MATCH($B1259,[3]AGM!$AD$21:$AD$928,0),1),"NA")</f>
        <v>HOLD</v>
      </c>
      <c r="F1259" s="20" t="str">
        <f t="shared" si="58"/>
        <v>Block 23</v>
      </c>
      <c r="G1259" s="20" t="str">
        <f t="shared" si="57"/>
        <v>Lot 41</v>
      </c>
      <c r="H1259" s="20">
        <f>IFERROR(INDEX('[2]PRICELIST, 908u'!$G$7:$AX$914,MATCH($B1259,'[2]PRICELIST, 908u'!$G$7:$G$914,0),23),"NA")</f>
        <v>50</v>
      </c>
      <c r="I1259" s="20">
        <f>IFERROR(INDEX('[2]PRICELIST, 908u'!$G$7:$AX$914,MATCH($B1259,'[2]PRICELIST, 908u'!$G$7:$G$914,0),22),"NA")</f>
        <v>70</v>
      </c>
      <c r="J1259" s="20" t="s">
        <v>207</v>
      </c>
      <c r="K1259" s="20" t="str">
        <f>IFERROR(INDEX('[2]PRICELIST, 908u'!$G$7:$AX$914,MATCH($B1259,'[2]PRICELIST, 908u'!$G$7:$G$914,0),30),"NA")</f>
        <v>Flat / GREEN</v>
      </c>
      <c r="L1259" s="20">
        <f>IFERROR(INDEX('[2]PRICELIST, 908u'!$G$7:$AX$914,MATCH($B1259,'[2]PRICELIST, 908u'!$G$7:$G$914,0),40),"NA")</f>
        <v>2650000</v>
      </c>
      <c r="M1259" s="20">
        <f>IFERROR(INDEX('[2]PRICELIST, 908u'!$G$7:$AX$914,MATCH($B1259,'[2]PRICELIST, 908u'!$G$7:$G$914,0),41),"NA")</f>
        <v>100000</v>
      </c>
      <c r="N1259" s="58">
        <f t="shared" si="60"/>
        <v>2550000</v>
      </c>
      <c r="O1259" s="60"/>
      <c r="P1259" s="60">
        <f t="shared" si="59"/>
        <v>2550000</v>
      </c>
    </row>
    <row r="1260" spans="2:16">
      <c r="B1260" s="20" t="s">
        <v>1411</v>
      </c>
      <c r="C1260" s="20" t="s">
        <v>2</v>
      </c>
      <c r="D1260" s="20" t="str">
        <f>IFERROR(INDEX('[2]PRICELIST, 908u'!$G$7:$AX$914,MATCH($B1260,'[2]PRICELIST, 908u'!$G$7:$G$914,0),18),"NA")</f>
        <v>2025 - Batch 3</v>
      </c>
      <c r="E1260" s="20" t="str">
        <f>IFERROR(INDEX([3]AGM!$D$21:$BL$928,MATCH($B1260,[3]AGM!$AD$21:$AD$928,0),1),"NA")</f>
        <v>OS</v>
      </c>
      <c r="F1260" s="20" t="str">
        <f t="shared" si="58"/>
        <v>Block 23</v>
      </c>
      <c r="G1260" s="20" t="str">
        <f t="shared" si="57"/>
        <v>Lot 42</v>
      </c>
      <c r="H1260" s="20">
        <f>IFERROR(INDEX('[2]PRICELIST, 908u'!$G$7:$AX$914,MATCH($B1260,'[2]PRICELIST, 908u'!$G$7:$G$914,0),23),"NA")</f>
        <v>50</v>
      </c>
      <c r="I1260" s="20">
        <f>IFERROR(INDEX('[2]PRICELIST, 908u'!$G$7:$AX$914,MATCH($B1260,'[2]PRICELIST, 908u'!$G$7:$G$914,0),22),"NA")</f>
        <v>70</v>
      </c>
      <c r="J1260" s="20" t="s">
        <v>207</v>
      </c>
      <c r="K1260" s="20" t="str">
        <f>IFERROR(INDEX('[2]PRICELIST, 908u'!$G$7:$AX$914,MATCH($B1260,'[2]PRICELIST, 908u'!$G$7:$G$914,0),30),"NA")</f>
        <v>Slant / GREEN</v>
      </c>
      <c r="L1260" s="20">
        <f>IFERROR(INDEX('[2]PRICELIST, 908u'!$G$7:$AX$914,MATCH($B1260,'[2]PRICELIST, 908u'!$G$7:$G$914,0),40),"NA")</f>
        <v>2650000</v>
      </c>
      <c r="M1260" s="20">
        <f>IFERROR(INDEX('[2]PRICELIST, 908u'!$G$7:$AX$914,MATCH($B1260,'[2]PRICELIST, 908u'!$G$7:$G$914,0),41),"NA")</f>
        <v>100000</v>
      </c>
      <c r="N1260" s="58">
        <f t="shared" si="60"/>
        <v>2550000</v>
      </c>
      <c r="O1260" s="60"/>
      <c r="P1260" s="60">
        <f t="shared" si="59"/>
        <v>2550000</v>
      </c>
    </row>
    <row r="1261" spans="2:16">
      <c r="B1261" s="20" t="s">
        <v>1412</v>
      </c>
      <c r="C1261" s="20" t="s">
        <v>2</v>
      </c>
      <c r="D1261" s="20" t="str">
        <f>IFERROR(INDEX('[2]PRICELIST, 908u'!$G$7:$AX$914,MATCH($B1261,'[2]PRICELIST, 908u'!$G$7:$G$914,0),18),"NA")</f>
        <v>2025 - Batch 4</v>
      </c>
      <c r="E1261" s="20" t="str">
        <f>IFERROR(INDEX([3]AGM!$D$21:$BL$928,MATCH($B1261,[3]AGM!$AD$21:$AD$928,0),1),"NA")</f>
        <v>OS</v>
      </c>
      <c r="F1261" s="20" t="str">
        <f t="shared" si="58"/>
        <v>Block 23</v>
      </c>
      <c r="G1261" s="20" t="str">
        <f t="shared" si="57"/>
        <v>Lot 43</v>
      </c>
      <c r="H1261" s="20">
        <f>IFERROR(INDEX('[2]PRICELIST, 908u'!$G$7:$AX$914,MATCH($B1261,'[2]PRICELIST, 908u'!$G$7:$G$914,0),23),"NA")</f>
        <v>50</v>
      </c>
      <c r="I1261" s="20">
        <f>IFERROR(INDEX('[2]PRICELIST, 908u'!$G$7:$AX$914,MATCH($B1261,'[2]PRICELIST, 908u'!$G$7:$G$914,0),22),"NA")</f>
        <v>70</v>
      </c>
      <c r="J1261" s="20" t="s">
        <v>207</v>
      </c>
      <c r="K1261" s="20" t="str">
        <f>IFERROR(INDEX('[2]PRICELIST, 908u'!$G$7:$AX$914,MATCH($B1261,'[2]PRICELIST, 908u'!$G$7:$G$914,0),30),"NA")</f>
        <v>Slant / YELLOW</v>
      </c>
      <c r="L1261" s="20">
        <f>IFERROR(INDEX('[2]PRICELIST, 908u'!$G$7:$AX$914,MATCH($B1261,'[2]PRICELIST, 908u'!$G$7:$G$914,0),40),"NA")</f>
        <v>2650000</v>
      </c>
      <c r="M1261" s="20">
        <f>IFERROR(INDEX('[2]PRICELIST, 908u'!$G$7:$AX$914,MATCH($B1261,'[2]PRICELIST, 908u'!$G$7:$G$914,0),41),"NA")</f>
        <v>100000</v>
      </c>
      <c r="N1261" s="58">
        <f t="shared" si="60"/>
        <v>2550000</v>
      </c>
      <c r="O1261" s="60"/>
      <c r="P1261" s="60">
        <f t="shared" si="59"/>
        <v>2550000</v>
      </c>
    </row>
    <row r="1262" spans="2:16">
      <c r="B1262" s="20" t="s">
        <v>1413</v>
      </c>
      <c r="C1262" s="20" t="s">
        <v>2</v>
      </c>
      <c r="D1262" s="20" t="str">
        <f>IFERROR(INDEX('[2]PRICELIST, 908u'!$G$7:$AX$914,MATCH($B1262,'[2]PRICELIST, 908u'!$G$7:$G$914,0),18),"NA")</f>
        <v>2025 - Batch 4</v>
      </c>
      <c r="E1262" s="20" t="str">
        <f>IFERROR(INDEX([3]AGM!$D$21:$BL$928,MATCH($B1262,[3]AGM!$AD$21:$AD$928,0),1),"NA")</f>
        <v>OS</v>
      </c>
      <c r="F1262" s="20" t="str">
        <f t="shared" si="58"/>
        <v>Block 23</v>
      </c>
      <c r="G1262" s="20" t="str">
        <f t="shared" si="57"/>
        <v>Lot 44</v>
      </c>
      <c r="H1262" s="20">
        <f>IFERROR(INDEX('[2]PRICELIST, 908u'!$G$7:$AX$914,MATCH($B1262,'[2]PRICELIST, 908u'!$G$7:$G$914,0),23),"NA")</f>
        <v>50</v>
      </c>
      <c r="I1262" s="20">
        <f>IFERROR(INDEX('[2]PRICELIST, 908u'!$G$7:$AX$914,MATCH($B1262,'[2]PRICELIST, 908u'!$G$7:$G$914,0),22),"NA")</f>
        <v>70</v>
      </c>
      <c r="J1262" s="20" t="s">
        <v>207</v>
      </c>
      <c r="K1262" s="20" t="str">
        <f>IFERROR(INDEX('[2]PRICELIST, 908u'!$G$7:$AX$914,MATCH($B1262,'[2]PRICELIST, 908u'!$G$7:$G$914,0),30),"NA")</f>
        <v>Flat / YELLOW</v>
      </c>
      <c r="L1262" s="20">
        <f>IFERROR(INDEX('[2]PRICELIST, 908u'!$G$7:$AX$914,MATCH($B1262,'[2]PRICELIST, 908u'!$G$7:$G$914,0),40),"NA")</f>
        <v>2650000</v>
      </c>
      <c r="M1262" s="20">
        <f>IFERROR(INDEX('[2]PRICELIST, 908u'!$G$7:$AX$914,MATCH($B1262,'[2]PRICELIST, 908u'!$G$7:$G$914,0),41),"NA")</f>
        <v>100000</v>
      </c>
      <c r="N1262" s="58">
        <f t="shared" si="60"/>
        <v>2550000</v>
      </c>
      <c r="O1262" s="60"/>
      <c r="P1262" s="60">
        <f t="shared" si="59"/>
        <v>2550000</v>
      </c>
    </row>
    <row r="1263" spans="2:16">
      <c r="B1263" s="20" t="s">
        <v>1414</v>
      </c>
      <c r="C1263" s="20" t="s">
        <v>2</v>
      </c>
      <c r="D1263" s="20" t="str">
        <f>IFERROR(INDEX('[2]PRICELIST, 908u'!$G$7:$AX$914,MATCH($B1263,'[2]PRICELIST, 908u'!$G$7:$G$914,0),18),"NA")</f>
        <v>2025 - Batch 4</v>
      </c>
      <c r="E1263" s="20" t="str">
        <f>IFERROR(INDEX([3]AGM!$D$21:$BL$928,MATCH($B1263,[3]AGM!$AD$21:$AD$928,0),1),"NA")</f>
        <v>OS</v>
      </c>
      <c r="F1263" s="20" t="str">
        <f t="shared" si="58"/>
        <v>Block 23</v>
      </c>
      <c r="G1263" s="20" t="str">
        <f t="shared" si="57"/>
        <v>Lot 45</v>
      </c>
      <c r="H1263" s="20">
        <f>IFERROR(INDEX('[2]PRICELIST, 908u'!$G$7:$AX$914,MATCH($B1263,'[2]PRICELIST, 908u'!$G$7:$G$914,0),23),"NA")</f>
        <v>50</v>
      </c>
      <c r="I1263" s="20">
        <f>IFERROR(INDEX('[2]PRICELIST, 908u'!$G$7:$AX$914,MATCH($B1263,'[2]PRICELIST, 908u'!$G$7:$G$914,0),22),"NA")</f>
        <v>70</v>
      </c>
      <c r="J1263" s="20" t="s">
        <v>207</v>
      </c>
      <c r="K1263" s="20" t="str">
        <f>IFERROR(INDEX('[2]PRICELIST, 908u'!$G$7:$AX$914,MATCH($B1263,'[2]PRICELIST, 908u'!$G$7:$G$914,0),30),"NA")</f>
        <v>Flat / YELLOW</v>
      </c>
      <c r="L1263" s="20">
        <f>IFERROR(INDEX('[2]PRICELIST, 908u'!$G$7:$AX$914,MATCH($B1263,'[2]PRICELIST, 908u'!$G$7:$G$914,0),40),"NA")</f>
        <v>2650000</v>
      </c>
      <c r="M1263" s="20">
        <f>IFERROR(INDEX('[2]PRICELIST, 908u'!$G$7:$AX$914,MATCH($B1263,'[2]PRICELIST, 908u'!$G$7:$G$914,0),41),"NA")</f>
        <v>100000</v>
      </c>
      <c r="N1263" s="58">
        <f t="shared" si="60"/>
        <v>2550000</v>
      </c>
      <c r="O1263" s="60"/>
      <c r="P1263" s="60">
        <f t="shared" si="59"/>
        <v>2550000</v>
      </c>
    </row>
    <row r="1264" spans="2:16">
      <c r="B1264" s="20" t="s">
        <v>1415</v>
      </c>
      <c r="C1264" s="20" t="s">
        <v>2</v>
      </c>
      <c r="D1264" s="20" t="str">
        <f>IFERROR(INDEX('[2]PRICELIST, 908u'!$G$7:$AX$914,MATCH($B1264,'[2]PRICELIST, 908u'!$G$7:$G$914,0),18),"NA")</f>
        <v>2025 - Batch 4</v>
      </c>
      <c r="E1264" s="20" t="str">
        <f>IFERROR(INDEX([3]AGM!$D$21:$BL$928,MATCH($B1264,[3]AGM!$AD$21:$AD$928,0),1),"NA")</f>
        <v>OS</v>
      </c>
      <c r="F1264" s="20" t="str">
        <f t="shared" si="58"/>
        <v>Block 23</v>
      </c>
      <c r="G1264" s="20" t="str">
        <f t="shared" si="57"/>
        <v>Lot 46</v>
      </c>
      <c r="H1264" s="20">
        <f>IFERROR(INDEX('[2]PRICELIST, 908u'!$G$7:$AX$914,MATCH($B1264,'[2]PRICELIST, 908u'!$G$7:$G$914,0),23),"NA")</f>
        <v>50</v>
      </c>
      <c r="I1264" s="20">
        <f>IFERROR(INDEX('[2]PRICELIST, 908u'!$G$7:$AX$914,MATCH($B1264,'[2]PRICELIST, 908u'!$G$7:$G$914,0),22),"NA")</f>
        <v>70</v>
      </c>
      <c r="J1264" s="20" t="s">
        <v>207</v>
      </c>
      <c r="K1264" s="20" t="str">
        <f>IFERROR(INDEX('[2]PRICELIST, 908u'!$G$7:$AX$914,MATCH($B1264,'[2]PRICELIST, 908u'!$G$7:$G$914,0),30),"NA")</f>
        <v>Slant / YELLOW</v>
      </c>
      <c r="L1264" s="20">
        <f>IFERROR(INDEX('[2]PRICELIST, 908u'!$G$7:$AX$914,MATCH($B1264,'[2]PRICELIST, 908u'!$G$7:$G$914,0),40),"NA")</f>
        <v>2650000</v>
      </c>
      <c r="M1264" s="20">
        <f>IFERROR(INDEX('[2]PRICELIST, 908u'!$G$7:$AX$914,MATCH($B1264,'[2]PRICELIST, 908u'!$G$7:$G$914,0),41),"NA")</f>
        <v>100000</v>
      </c>
      <c r="N1264" s="58">
        <f t="shared" si="60"/>
        <v>2550000</v>
      </c>
      <c r="O1264" s="60"/>
      <c r="P1264" s="60">
        <f t="shared" si="59"/>
        <v>2550000</v>
      </c>
    </row>
    <row r="1265" spans="2:16">
      <c r="B1265" s="20" t="s">
        <v>1416</v>
      </c>
      <c r="C1265" s="20" t="s">
        <v>2</v>
      </c>
      <c r="D1265" s="20" t="str">
        <f>IFERROR(INDEX('[2]PRICELIST, 908u'!$G$7:$AX$914,MATCH($B1265,'[2]PRICELIST, 908u'!$G$7:$G$914,0),18),"NA")</f>
        <v>2025 - Batch 4</v>
      </c>
      <c r="E1265" s="20" t="str">
        <f>IFERROR(INDEX([3]AGM!$D$21:$BL$928,MATCH($B1265,[3]AGM!$AD$21:$AD$928,0),1),"NA")</f>
        <v>OS</v>
      </c>
      <c r="F1265" s="20" t="str">
        <f t="shared" si="58"/>
        <v>Block 23</v>
      </c>
      <c r="G1265" s="20" t="str">
        <f t="shared" si="57"/>
        <v>Lot 47</v>
      </c>
      <c r="H1265" s="20">
        <f>IFERROR(INDEX('[2]PRICELIST, 908u'!$G$7:$AX$914,MATCH($B1265,'[2]PRICELIST, 908u'!$G$7:$G$914,0),23),"NA")</f>
        <v>50</v>
      </c>
      <c r="I1265" s="20">
        <f>IFERROR(INDEX('[2]PRICELIST, 908u'!$G$7:$AX$914,MATCH($B1265,'[2]PRICELIST, 908u'!$G$7:$G$914,0),22),"NA")</f>
        <v>70</v>
      </c>
      <c r="J1265" s="20" t="s">
        <v>207</v>
      </c>
      <c r="K1265" s="20" t="str">
        <f>IFERROR(INDEX('[2]PRICELIST, 908u'!$G$7:$AX$914,MATCH($B1265,'[2]PRICELIST, 908u'!$G$7:$G$914,0),30),"NA")</f>
        <v>Slant / PINK</v>
      </c>
      <c r="L1265" s="20">
        <f>IFERROR(INDEX('[2]PRICELIST, 908u'!$G$7:$AX$914,MATCH($B1265,'[2]PRICELIST, 908u'!$G$7:$G$914,0),40),"NA")</f>
        <v>2650000</v>
      </c>
      <c r="M1265" s="20">
        <f>IFERROR(INDEX('[2]PRICELIST, 908u'!$G$7:$AX$914,MATCH($B1265,'[2]PRICELIST, 908u'!$G$7:$G$914,0),41),"NA")</f>
        <v>100000</v>
      </c>
      <c r="N1265" s="58">
        <f t="shared" si="60"/>
        <v>2550000</v>
      </c>
      <c r="O1265" s="60"/>
      <c r="P1265" s="60">
        <f t="shared" si="59"/>
        <v>2550000</v>
      </c>
    </row>
    <row r="1266" spans="2:16">
      <c r="B1266" s="20" t="s">
        <v>1417</v>
      </c>
      <c r="C1266" s="20" t="s">
        <v>2</v>
      </c>
      <c r="D1266" s="20" t="str">
        <f>IFERROR(INDEX('[2]PRICELIST, 908u'!$G$7:$AX$914,MATCH($B1266,'[2]PRICELIST, 908u'!$G$7:$G$914,0),18),"NA")</f>
        <v>2025 - Batch 4</v>
      </c>
      <c r="E1266" s="20" t="str">
        <f>IFERROR(INDEX([3]AGM!$D$21:$BL$928,MATCH($B1266,[3]AGM!$AD$21:$AD$928,0),1),"NA")</f>
        <v>OS</v>
      </c>
      <c r="F1266" s="20" t="str">
        <f t="shared" si="58"/>
        <v>Block 23</v>
      </c>
      <c r="G1266" s="20" t="str">
        <f t="shared" si="57"/>
        <v>Lot 48</v>
      </c>
      <c r="H1266" s="20">
        <f>IFERROR(INDEX('[2]PRICELIST, 908u'!$G$7:$AX$914,MATCH($B1266,'[2]PRICELIST, 908u'!$G$7:$G$914,0),23),"NA")</f>
        <v>50</v>
      </c>
      <c r="I1266" s="20">
        <f>IFERROR(INDEX('[2]PRICELIST, 908u'!$G$7:$AX$914,MATCH($B1266,'[2]PRICELIST, 908u'!$G$7:$G$914,0),22),"NA")</f>
        <v>70</v>
      </c>
      <c r="J1266" s="20" t="s">
        <v>207</v>
      </c>
      <c r="K1266" s="20" t="str">
        <f>IFERROR(INDEX('[2]PRICELIST, 908u'!$G$7:$AX$914,MATCH($B1266,'[2]PRICELIST, 908u'!$G$7:$G$914,0),30),"NA")</f>
        <v>Flat / PINK</v>
      </c>
      <c r="L1266" s="20">
        <f>IFERROR(INDEX('[2]PRICELIST, 908u'!$G$7:$AX$914,MATCH($B1266,'[2]PRICELIST, 908u'!$G$7:$G$914,0),40),"NA")</f>
        <v>2650000</v>
      </c>
      <c r="M1266" s="20">
        <f>IFERROR(INDEX('[2]PRICELIST, 908u'!$G$7:$AX$914,MATCH($B1266,'[2]PRICELIST, 908u'!$G$7:$G$914,0),41),"NA")</f>
        <v>100000</v>
      </c>
      <c r="N1266" s="58">
        <f t="shared" si="60"/>
        <v>2550000</v>
      </c>
      <c r="O1266" s="60"/>
      <c r="P1266" s="60">
        <f t="shared" si="59"/>
        <v>2550000</v>
      </c>
    </row>
    <row r="1267" spans="2:16">
      <c r="B1267" s="20" t="s">
        <v>1418</v>
      </c>
      <c r="C1267" s="20" t="s">
        <v>2</v>
      </c>
      <c r="D1267" s="20" t="str">
        <f>IFERROR(INDEX('[2]PRICELIST, 908u'!$G$7:$AX$914,MATCH($B1267,'[2]PRICELIST, 908u'!$G$7:$G$914,0),18),"NA")</f>
        <v>2025 - Batch 4</v>
      </c>
      <c r="E1267" s="20" t="str">
        <f>IFERROR(INDEX([3]AGM!$D$21:$BL$928,MATCH($B1267,[3]AGM!$AD$21:$AD$928,0),1),"NA")</f>
        <v>OS</v>
      </c>
      <c r="F1267" s="20" t="str">
        <f t="shared" si="58"/>
        <v>Block 23</v>
      </c>
      <c r="G1267" s="20" t="str">
        <f t="shared" si="57"/>
        <v>Lot 49</v>
      </c>
      <c r="H1267" s="20">
        <f>IFERROR(INDEX('[2]PRICELIST, 908u'!$G$7:$AX$914,MATCH($B1267,'[2]PRICELIST, 908u'!$G$7:$G$914,0),23),"NA")</f>
        <v>50</v>
      </c>
      <c r="I1267" s="20">
        <f>IFERROR(INDEX('[2]PRICELIST, 908u'!$G$7:$AX$914,MATCH($B1267,'[2]PRICELIST, 908u'!$G$7:$G$914,0),22),"NA")</f>
        <v>70</v>
      </c>
      <c r="J1267" s="20" t="s">
        <v>207</v>
      </c>
      <c r="K1267" s="20" t="str">
        <f>IFERROR(INDEX('[2]PRICELIST, 908u'!$G$7:$AX$914,MATCH($B1267,'[2]PRICELIST, 908u'!$G$7:$G$914,0),30),"NA")</f>
        <v>Flat / PINK</v>
      </c>
      <c r="L1267" s="20">
        <f>IFERROR(INDEX('[2]PRICELIST, 908u'!$G$7:$AX$914,MATCH($B1267,'[2]PRICELIST, 908u'!$G$7:$G$914,0),40),"NA")</f>
        <v>2650000</v>
      </c>
      <c r="M1267" s="20">
        <f>IFERROR(INDEX('[2]PRICELIST, 908u'!$G$7:$AX$914,MATCH($B1267,'[2]PRICELIST, 908u'!$G$7:$G$914,0),41),"NA")</f>
        <v>100000</v>
      </c>
      <c r="N1267" s="58">
        <f t="shared" si="60"/>
        <v>2550000</v>
      </c>
      <c r="O1267" s="60"/>
      <c r="P1267" s="60">
        <f t="shared" si="59"/>
        <v>2550000</v>
      </c>
    </row>
    <row r="1268" spans="2:16">
      <c r="B1268" s="20" t="s">
        <v>1419</v>
      </c>
      <c r="C1268" s="20" t="s">
        <v>2</v>
      </c>
      <c r="D1268" s="20" t="str">
        <f>IFERROR(INDEX('[2]PRICELIST, 908u'!$G$7:$AX$914,MATCH($B1268,'[2]PRICELIST, 908u'!$G$7:$G$914,0),18),"NA")</f>
        <v>2025 - Batch 4</v>
      </c>
      <c r="E1268" s="20" t="str">
        <f>IFERROR(INDEX([3]AGM!$D$21:$BL$928,MATCH($B1268,[3]AGM!$AD$21:$AD$928,0),1),"NA")</f>
        <v>OS</v>
      </c>
      <c r="F1268" s="20" t="str">
        <f t="shared" si="58"/>
        <v>Block 23</v>
      </c>
      <c r="G1268" s="20" t="str">
        <f t="shared" si="57"/>
        <v>Lot 50</v>
      </c>
      <c r="H1268" s="20">
        <f>IFERROR(INDEX('[2]PRICELIST, 908u'!$G$7:$AX$914,MATCH($B1268,'[2]PRICELIST, 908u'!$G$7:$G$914,0),23),"NA")</f>
        <v>50</v>
      </c>
      <c r="I1268" s="20">
        <f>IFERROR(INDEX('[2]PRICELIST, 908u'!$G$7:$AX$914,MATCH($B1268,'[2]PRICELIST, 908u'!$G$7:$G$914,0),22),"NA")</f>
        <v>70</v>
      </c>
      <c r="J1268" s="20" t="s">
        <v>207</v>
      </c>
      <c r="K1268" s="20" t="str">
        <f>IFERROR(INDEX('[2]PRICELIST, 908u'!$G$7:$AX$914,MATCH($B1268,'[2]PRICELIST, 908u'!$G$7:$G$914,0),30),"NA")</f>
        <v>Slant / PINK</v>
      </c>
      <c r="L1268" s="20">
        <f>IFERROR(INDEX('[2]PRICELIST, 908u'!$G$7:$AX$914,MATCH($B1268,'[2]PRICELIST, 908u'!$G$7:$G$914,0),40),"NA")</f>
        <v>2650000</v>
      </c>
      <c r="M1268" s="20">
        <f>IFERROR(INDEX('[2]PRICELIST, 908u'!$G$7:$AX$914,MATCH($B1268,'[2]PRICELIST, 908u'!$G$7:$G$914,0),41),"NA")</f>
        <v>100000</v>
      </c>
      <c r="N1268" s="58">
        <f t="shared" si="60"/>
        <v>2550000</v>
      </c>
      <c r="O1268" s="60"/>
      <c r="P1268" s="60">
        <f t="shared" si="59"/>
        <v>2550000</v>
      </c>
    </row>
    <row r="1269" spans="2:16">
      <c r="B1269" s="20" t="s">
        <v>1420</v>
      </c>
      <c r="C1269" s="20" t="s">
        <v>2</v>
      </c>
      <c r="D1269" s="20" t="str">
        <f>IFERROR(INDEX('[2]PRICELIST, 908u'!$G$7:$AX$914,MATCH($B1269,'[2]PRICELIST, 908u'!$G$7:$G$914,0),18),"NA")</f>
        <v>2025 - Batch 3</v>
      </c>
      <c r="E1269" s="20" t="str">
        <f>IFERROR(INDEX([3]AGM!$D$21:$BL$928,MATCH($B1269,[3]AGM!$AD$21:$AD$928,0),1),"NA")</f>
        <v>OS</v>
      </c>
      <c r="F1269" s="20" t="str">
        <f t="shared" si="58"/>
        <v>Block 23</v>
      </c>
      <c r="G1269" s="20" t="str">
        <f t="shared" si="57"/>
        <v>Lot 51</v>
      </c>
      <c r="H1269" s="20">
        <f>IFERROR(INDEX('[2]PRICELIST, 908u'!$G$7:$AX$914,MATCH($B1269,'[2]PRICELIST, 908u'!$G$7:$G$914,0),23),"NA")</f>
        <v>50</v>
      </c>
      <c r="I1269" s="20">
        <f>IFERROR(INDEX('[2]PRICELIST, 908u'!$G$7:$AX$914,MATCH($B1269,'[2]PRICELIST, 908u'!$G$7:$G$914,0),22),"NA")</f>
        <v>70</v>
      </c>
      <c r="J1269" s="20" t="s">
        <v>207</v>
      </c>
      <c r="K1269" s="20" t="str">
        <f>IFERROR(INDEX('[2]PRICELIST, 908u'!$G$7:$AX$914,MATCH($B1269,'[2]PRICELIST, 908u'!$G$7:$G$914,0),30),"NA")</f>
        <v>Slant / PURPLE</v>
      </c>
      <c r="L1269" s="20">
        <f>IFERROR(INDEX('[2]PRICELIST, 908u'!$G$7:$AX$914,MATCH($B1269,'[2]PRICELIST, 908u'!$G$7:$G$914,0),40),"NA")</f>
        <v>2650000</v>
      </c>
      <c r="M1269" s="20">
        <f>IFERROR(INDEX('[2]PRICELIST, 908u'!$G$7:$AX$914,MATCH($B1269,'[2]PRICELIST, 908u'!$G$7:$G$914,0),41),"NA")</f>
        <v>100000</v>
      </c>
      <c r="N1269" s="58">
        <f t="shared" si="60"/>
        <v>2550000</v>
      </c>
      <c r="O1269" s="60"/>
      <c r="P1269" s="60">
        <f t="shared" si="59"/>
        <v>2550000</v>
      </c>
    </row>
    <row r="1270" spans="2:16">
      <c r="B1270" s="20" t="s">
        <v>1421</v>
      </c>
      <c r="C1270" s="20" t="s">
        <v>2</v>
      </c>
      <c r="D1270" s="20" t="str">
        <f>IFERROR(INDEX('[2]PRICELIST, 908u'!$G$7:$AX$914,MATCH($B1270,'[2]PRICELIST, 908u'!$G$7:$G$914,0),18),"NA")</f>
        <v>2025 - Batch 3</v>
      </c>
      <c r="E1270" s="20" t="str">
        <f>IFERROR(INDEX([3]AGM!$D$21:$BL$928,MATCH($B1270,[3]AGM!$AD$21:$AD$928,0),1),"NA")</f>
        <v>OS</v>
      </c>
      <c r="F1270" s="20" t="str">
        <f t="shared" si="58"/>
        <v>Block 23</v>
      </c>
      <c r="G1270" s="20" t="str">
        <f t="shared" si="57"/>
        <v>Lot 52</v>
      </c>
      <c r="H1270" s="20">
        <f>IFERROR(INDEX('[2]PRICELIST, 908u'!$G$7:$AX$914,MATCH($B1270,'[2]PRICELIST, 908u'!$G$7:$G$914,0),23),"NA")</f>
        <v>50</v>
      </c>
      <c r="I1270" s="20">
        <f>IFERROR(INDEX('[2]PRICELIST, 908u'!$G$7:$AX$914,MATCH($B1270,'[2]PRICELIST, 908u'!$G$7:$G$914,0),22),"NA")</f>
        <v>70</v>
      </c>
      <c r="J1270" s="20" t="s">
        <v>207</v>
      </c>
      <c r="K1270" s="20" t="str">
        <f>IFERROR(INDEX('[2]PRICELIST, 908u'!$G$7:$AX$914,MATCH($B1270,'[2]PRICELIST, 908u'!$G$7:$G$914,0),30),"NA")</f>
        <v>Flat / PURPLE</v>
      </c>
      <c r="L1270" s="20">
        <f>IFERROR(INDEX('[2]PRICELIST, 908u'!$G$7:$AX$914,MATCH($B1270,'[2]PRICELIST, 908u'!$G$7:$G$914,0),40),"NA")</f>
        <v>2650000</v>
      </c>
      <c r="M1270" s="20">
        <f>IFERROR(INDEX('[2]PRICELIST, 908u'!$G$7:$AX$914,MATCH($B1270,'[2]PRICELIST, 908u'!$G$7:$G$914,0),41),"NA")</f>
        <v>100000</v>
      </c>
      <c r="N1270" s="58">
        <f t="shared" si="60"/>
        <v>2550000</v>
      </c>
      <c r="O1270" s="60"/>
      <c r="P1270" s="60">
        <f t="shared" si="59"/>
        <v>2550000</v>
      </c>
    </row>
    <row r="1271" spans="2:16">
      <c r="B1271" s="20" t="s">
        <v>1422</v>
      </c>
      <c r="C1271" s="20" t="s">
        <v>2</v>
      </c>
      <c r="D1271" s="20" t="str">
        <f>IFERROR(INDEX('[2]PRICELIST, 908u'!$G$7:$AX$914,MATCH($B1271,'[2]PRICELIST, 908u'!$G$7:$G$914,0),18),"NA")</f>
        <v>2025 - Batch 3</v>
      </c>
      <c r="E1271" s="20" t="str">
        <f>IFERROR(INDEX([3]AGM!$D$21:$BL$928,MATCH($B1271,[3]AGM!$AD$21:$AD$928,0),1),"NA")</f>
        <v>OS</v>
      </c>
      <c r="F1271" s="20" t="str">
        <f t="shared" si="58"/>
        <v>Block 23</v>
      </c>
      <c r="G1271" s="20" t="str">
        <f t="shared" si="57"/>
        <v>Lot 53</v>
      </c>
      <c r="H1271" s="20">
        <f>IFERROR(INDEX('[2]PRICELIST, 908u'!$G$7:$AX$914,MATCH($B1271,'[2]PRICELIST, 908u'!$G$7:$G$914,0),23),"NA")</f>
        <v>50</v>
      </c>
      <c r="I1271" s="20">
        <f>IFERROR(INDEX('[2]PRICELIST, 908u'!$G$7:$AX$914,MATCH($B1271,'[2]PRICELIST, 908u'!$G$7:$G$914,0),22),"NA")</f>
        <v>70</v>
      </c>
      <c r="J1271" s="20" t="s">
        <v>207</v>
      </c>
      <c r="K1271" s="20" t="str">
        <f>IFERROR(INDEX('[2]PRICELIST, 908u'!$G$7:$AX$914,MATCH($B1271,'[2]PRICELIST, 908u'!$G$7:$G$914,0),30),"NA")</f>
        <v>Flat / PURPLE</v>
      </c>
      <c r="L1271" s="20">
        <f>IFERROR(INDEX('[2]PRICELIST, 908u'!$G$7:$AX$914,MATCH($B1271,'[2]PRICELIST, 908u'!$G$7:$G$914,0),40),"NA")</f>
        <v>2650000</v>
      </c>
      <c r="M1271" s="20">
        <f>IFERROR(INDEX('[2]PRICELIST, 908u'!$G$7:$AX$914,MATCH($B1271,'[2]PRICELIST, 908u'!$G$7:$G$914,0),41),"NA")</f>
        <v>100000</v>
      </c>
      <c r="N1271" s="58">
        <f t="shared" si="60"/>
        <v>2550000</v>
      </c>
      <c r="O1271" s="60"/>
      <c r="P1271" s="60">
        <f t="shared" si="59"/>
        <v>2550000</v>
      </c>
    </row>
    <row r="1272" spans="2:16">
      <c r="B1272" s="20" t="s">
        <v>1423</v>
      </c>
      <c r="C1272" s="20" t="s">
        <v>2</v>
      </c>
      <c r="D1272" s="20" t="str">
        <f>IFERROR(INDEX('[2]PRICELIST, 908u'!$G$7:$AX$914,MATCH($B1272,'[2]PRICELIST, 908u'!$G$7:$G$914,0),18),"NA")</f>
        <v>2025 - Batch 3</v>
      </c>
      <c r="E1272" s="20" t="str">
        <f>IFERROR(INDEX([3]AGM!$D$21:$BL$928,MATCH($B1272,[3]AGM!$AD$21:$AD$928,0),1),"NA")</f>
        <v>OS</v>
      </c>
      <c r="F1272" s="20" t="str">
        <f t="shared" si="58"/>
        <v>Block 23</v>
      </c>
      <c r="G1272" s="20" t="str">
        <f t="shared" si="57"/>
        <v>Lot 54</v>
      </c>
      <c r="H1272" s="20">
        <f>IFERROR(INDEX('[2]PRICELIST, 908u'!$G$7:$AX$914,MATCH($B1272,'[2]PRICELIST, 908u'!$G$7:$G$914,0),23),"NA")</f>
        <v>50</v>
      </c>
      <c r="I1272" s="20">
        <f>IFERROR(INDEX('[2]PRICELIST, 908u'!$G$7:$AX$914,MATCH($B1272,'[2]PRICELIST, 908u'!$G$7:$G$914,0),22),"NA")</f>
        <v>70</v>
      </c>
      <c r="J1272" s="20" t="s">
        <v>207</v>
      </c>
      <c r="K1272" s="20" t="str">
        <f>IFERROR(INDEX('[2]PRICELIST, 908u'!$G$7:$AX$914,MATCH($B1272,'[2]PRICELIST, 908u'!$G$7:$G$914,0),30),"NA")</f>
        <v>Slant / PURPLE</v>
      </c>
      <c r="L1272" s="20">
        <f>IFERROR(INDEX('[2]PRICELIST, 908u'!$G$7:$AX$914,MATCH($B1272,'[2]PRICELIST, 908u'!$G$7:$G$914,0),40),"NA")</f>
        <v>2650000</v>
      </c>
      <c r="M1272" s="20">
        <f>IFERROR(INDEX('[2]PRICELIST, 908u'!$G$7:$AX$914,MATCH($B1272,'[2]PRICELIST, 908u'!$G$7:$G$914,0),41),"NA")</f>
        <v>100000</v>
      </c>
      <c r="N1272" s="58">
        <f t="shared" si="60"/>
        <v>2550000</v>
      </c>
      <c r="O1272" s="60"/>
      <c r="P1272" s="60">
        <f t="shared" si="59"/>
        <v>2550000</v>
      </c>
    </row>
    <row r="1273" spans="2:16">
      <c r="B1273" s="20" t="s">
        <v>1424</v>
      </c>
      <c r="C1273" s="20" t="s">
        <v>2</v>
      </c>
      <c r="D1273" s="20" t="str">
        <f>IFERROR(INDEX('[2]PRICELIST, 908u'!$G$7:$AX$914,MATCH($B1273,'[2]PRICELIST, 908u'!$G$7:$G$914,0),18),"NA")</f>
        <v>2025 - Batch 3</v>
      </c>
      <c r="E1273" s="20" t="str">
        <f>IFERROR(INDEX([3]AGM!$D$21:$BL$928,MATCH($B1273,[3]AGM!$AD$21:$AD$928,0),1),"NA")</f>
        <v>OS</v>
      </c>
      <c r="F1273" s="20" t="str">
        <f t="shared" si="58"/>
        <v>Block 23</v>
      </c>
      <c r="G1273" s="20" t="str">
        <f t="shared" si="57"/>
        <v>Lot 55</v>
      </c>
      <c r="H1273" s="20">
        <f>IFERROR(INDEX('[2]PRICELIST, 908u'!$G$7:$AX$914,MATCH($B1273,'[2]PRICELIST, 908u'!$G$7:$G$914,0),23),"NA")</f>
        <v>50</v>
      </c>
      <c r="I1273" s="20">
        <f>IFERROR(INDEX('[2]PRICELIST, 908u'!$G$7:$AX$914,MATCH($B1273,'[2]PRICELIST, 908u'!$G$7:$G$914,0),22),"NA")</f>
        <v>70</v>
      </c>
      <c r="J1273" s="20" t="s">
        <v>207</v>
      </c>
      <c r="K1273" s="20" t="str">
        <f>IFERROR(INDEX('[2]PRICELIST, 908u'!$G$7:$AX$914,MATCH($B1273,'[2]PRICELIST, 908u'!$G$7:$G$914,0),30),"NA")</f>
        <v>Slant / GREEN</v>
      </c>
      <c r="L1273" s="20">
        <f>IFERROR(INDEX('[2]PRICELIST, 908u'!$G$7:$AX$914,MATCH($B1273,'[2]PRICELIST, 908u'!$G$7:$G$914,0),40),"NA")</f>
        <v>2650000</v>
      </c>
      <c r="M1273" s="20">
        <f>IFERROR(INDEX('[2]PRICELIST, 908u'!$G$7:$AX$914,MATCH($B1273,'[2]PRICELIST, 908u'!$G$7:$G$914,0),41),"NA")</f>
        <v>100000</v>
      </c>
      <c r="N1273" s="58">
        <f t="shared" si="60"/>
        <v>2550000</v>
      </c>
      <c r="O1273" s="60"/>
      <c r="P1273" s="60">
        <f t="shared" si="59"/>
        <v>2550000</v>
      </c>
    </row>
    <row r="1274" spans="2:16">
      <c r="B1274" s="20" t="s">
        <v>1425</v>
      </c>
      <c r="C1274" s="20" t="s">
        <v>2</v>
      </c>
      <c r="D1274" s="20" t="str">
        <f>IFERROR(INDEX('[2]PRICELIST, 908u'!$G$7:$AX$914,MATCH($B1274,'[2]PRICELIST, 908u'!$G$7:$G$914,0),18),"NA")</f>
        <v>2025 - Batch 3</v>
      </c>
      <c r="E1274" s="20" t="str">
        <f>IFERROR(INDEX([3]AGM!$D$21:$BL$928,MATCH($B1274,[3]AGM!$AD$21:$AD$928,0),1),"NA")</f>
        <v>OS</v>
      </c>
      <c r="F1274" s="20" t="str">
        <f t="shared" si="58"/>
        <v>Block 23</v>
      </c>
      <c r="G1274" s="20" t="str">
        <f t="shared" si="57"/>
        <v>Lot 56</v>
      </c>
      <c r="H1274" s="20">
        <f>IFERROR(INDEX('[2]PRICELIST, 908u'!$G$7:$AX$914,MATCH($B1274,'[2]PRICELIST, 908u'!$G$7:$G$914,0),23),"NA")</f>
        <v>50</v>
      </c>
      <c r="I1274" s="20">
        <f>IFERROR(INDEX('[2]PRICELIST, 908u'!$G$7:$AX$914,MATCH($B1274,'[2]PRICELIST, 908u'!$G$7:$G$914,0),22),"NA")</f>
        <v>70</v>
      </c>
      <c r="J1274" s="20" t="s">
        <v>207</v>
      </c>
      <c r="K1274" s="20" t="str">
        <f>IFERROR(INDEX('[2]PRICELIST, 908u'!$G$7:$AX$914,MATCH($B1274,'[2]PRICELIST, 908u'!$G$7:$G$914,0),30),"NA")</f>
        <v>Flat / GREEN</v>
      </c>
      <c r="L1274" s="20">
        <f>IFERROR(INDEX('[2]PRICELIST, 908u'!$G$7:$AX$914,MATCH($B1274,'[2]PRICELIST, 908u'!$G$7:$G$914,0),40),"NA")</f>
        <v>2650000</v>
      </c>
      <c r="M1274" s="20">
        <f>IFERROR(INDEX('[2]PRICELIST, 908u'!$G$7:$AX$914,MATCH($B1274,'[2]PRICELIST, 908u'!$G$7:$G$914,0),41),"NA")</f>
        <v>100000</v>
      </c>
      <c r="N1274" s="58">
        <f t="shared" si="60"/>
        <v>2550000</v>
      </c>
      <c r="O1274" s="60"/>
      <c r="P1274" s="60">
        <f t="shared" si="59"/>
        <v>2550000</v>
      </c>
    </row>
    <row r="1275" spans="2:16">
      <c r="B1275" s="20" t="s">
        <v>1426</v>
      </c>
      <c r="C1275" s="20" t="s">
        <v>2</v>
      </c>
      <c r="D1275" s="20" t="str">
        <f>IFERROR(INDEX('[2]PRICELIST, 908u'!$G$7:$AX$914,MATCH($B1275,'[2]PRICELIST, 908u'!$G$7:$G$914,0),18),"NA")</f>
        <v>2025 - Batch 3</v>
      </c>
      <c r="E1275" s="20" t="str">
        <f>IFERROR(INDEX([3]AGM!$D$21:$BL$928,MATCH($B1275,[3]AGM!$AD$21:$AD$928,0),1),"NA")</f>
        <v>OS</v>
      </c>
      <c r="F1275" s="20" t="str">
        <f t="shared" si="58"/>
        <v>Block 23</v>
      </c>
      <c r="G1275" s="20" t="str">
        <f t="shared" si="57"/>
        <v>Lot 57</v>
      </c>
      <c r="H1275" s="20">
        <f>IFERROR(INDEX('[2]PRICELIST, 908u'!$G$7:$AX$914,MATCH($B1275,'[2]PRICELIST, 908u'!$G$7:$G$914,0),23),"NA")</f>
        <v>50</v>
      </c>
      <c r="I1275" s="20">
        <f>IFERROR(INDEX('[2]PRICELIST, 908u'!$G$7:$AX$914,MATCH($B1275,'[2]PRICELIST, 908u'!$G$7:$G$914,0),22),"NA")</f>
        <v>70</v>
      </c>
      <c r="J1275" s="20" t="s">
        <v>207</v>
      </c>
      <c r="K1275" s="20" t="str">
        <f>IFERROR(INDEX('[2]PRICELIST, 908u'!$G$7:$AX$914,MATCH($B1275,'[2]PRICELIST, 908u'!$G$7:$G$914,0),30),"NA")</f>
        <v>Flat / GREEN</v>
      </c>
      <c r="L1275" s="20">
        <f>IFERROR(INDEX('[2]PRICELIST, 908u'!$G$7:$AX$914,MATCH($B1275,'[2]PRICELIST, 908u'!$G$7:$G$914,0),40),"NA")</f>
        <v>2650000</v>
      </c>
      <c r="M1275" s="20">
        <f>IFERROR(INDEX('[2]PRICELIST, 908u'!$G$7:$AX$914,MATCH($B1275,'[2]PRICELIST, 908u'!$G$7:$G$914,0),41),"NA")</f>
        <v>100000</v>
      </c>
      <c r="N1275" s="58">
        <f t="shared" si="60"/>
        <v>2550000</v>
      </c>
      <c r="O1275" s="60"/>
      <c r="P1275" s="60">
        <f t="shared" si="59"/>
        <v>2550000</v>
      </c>
    </row>
    <row r="1276" spans="2:16">
      <c r="B1276" s="20" t="s">
        <v>1427</v>
      </c>
      <c r="C1276" s="20" t="s">
        <v>2</v>
      </c>
      <c r="D1276" s="20" t="str">
        <f>IFERROR(INDEX('[2]PRICELIST, 908u'!$G$7:$AX$914,MATCH($B1276,'[2]PRICELIST, 908u'!$G$7:$G$914,0),18),"NA")</f>
        <v>2025 - Batch 3</v>
      </c>
      <c r="E1276" s="20" t="str">
        <f>IFERROR(INDEX([3]AGM!$D$21:$BL$928,MATCH($B1276,[3]AGM!$AD$21:$AD$928,0),1),"NA")</f>
        <v>OS</v>
      </c>
      <c r="F1276" s="20" t="str">
        <f t="shared" si="58"/>
        <v>Block 23</v>
      </c>
      <c r="G1276" s="20" t="str">
        <f t="shared" si="57"/>
        <v>Lot 58</v>
      </c>
      <c r="H1276" s="20">
        <f>IFERROR(INDEX('[2]PRICELIST, 908u'!$G$7:$AX$914,MATCH($B1276,'[2]PRICELIST, 908u'!$G$7:$G$914,0),23),"NA")</f>
        <v>50</v>
      </c>
      <c r="I1276" s="20">
        <f>IFERROR(INDEX('[2]PRICELIST, 908u'!$G$7:$AX$914,MATCH($B1276,'[2]PRICELIST, 908u'!$G$7:$G$914,0),22),"NA")</f>
        <v>80</v>
      </c>
      <c r="J1276" s="20" t="s">
        <v>207</v>
      </c>
      <c r="K1276" s="20" t="str">
        <f>IFERROR(INDEX('[2]PRICELIST, 908u'!$G$7:$AX$914,MATCH($B1276,'[2]PRICELIST, 908u'!$G$7:$G$914,0),30),"NA")</f>
        <v>Slant / GREEN</v>
      </c>
      <c r="L1276" s="20">
        <f>IFERROR(INDEX('[2]PRICELIST, 908u'!$G$7:$AX$914,MATCH($B1276,'[2]PRICELIST, 908u'!$G$7:$G$914,0),40),"NA")</f>
        <v>2800000</v>
      </c>
      <c r="M1276" s="20">
        <f>IFERROR(INDEX('[2]PRICELIST, 908u'!$G$7:$AX$914,MATCH($B1276,'[2]PRICELIST, 908u'!$G$7:$G$914,0),41),"NA")</f>
        <v>100000</v>
      </c>
      <c r="N1276" s="58">
        <f t="shared" si="60"/>
        <v>2700000</v>
      </c>
      <c r="O1276" s="60"/>
      <c r="P1276" s="60">
        <f t="shared" si="59"/>
        <v>2700000</v>
      </c>
    </row>
    <row r="1277" spans="2:16">
      <c r="B1277" s="20" t="s">
        <v>1428</v>
      </c>
      <c r="C1277" s="20" t="s">
        <v>2</v>
      </c>
      <c r="D1277" s="20" t="str">
        <f>IFERROR(INDEX('[2]PRICELIST, 908u'!$G$7:$AX$914,MATCH($B1277,'[2]PRICELIST, 908u'!$G$7:$G$914,0),18),"NA")</f>
        <v>Lot Only - N/A</v>
      </c>
      <c r="E1277" s="20" t="str">
        <f>IFERROR(INDEX([3]AGM!$D$21:$BL$928,MATCH($B1277,[3]AGM!$AD$21:$AD$928,0),1),"NA")</f>
        <v>OS</v>
      </c>
      <c r="F1277" s="20" t="str">
        <f t="shared" si="58"/>
        <v>Block 23</v>
      </c>
      <c r="G1277" s="20" t="str">
        <f t="shared" si="57"/>
        <v>Lot 59</v>
      </c>
      <c r="H1277" s="20" t="str">
        <f>IFERROR(INDEX('[2]PRICELIST, 908u'!$G$7:$AX$914,MATCH($B1277,'[2]PRICELIST, 908u'!$G$7:$G$914,0),23),"NA")</f>
        <v>N/A</v>
      </c>
      <c r="I1277" s="20">
        <f>IFERROR(INDEX('[2]PRICELIST, 908u'!$G$7:$AX$914,MATCH($B1277,'[2]PRICELIST, 908u'!$G$7:$G$914,0),22),"NA")</f>
        <v>113</v>
      </c>
      <c r="J1277" s="20" t="s">
        <v>100</v>
      </c>
      <c r="K1277" s="37" t="s">
        <v>1025</v>
      </c>
      <c r="L1277" s="20">
        <f>IFERROR(INDEX('[2]PRICELIST, 908u'!$G$7:$AX$914,MATCH($B1277,'[2]PRICELIST, 908u'!$G$7:$G$914,0),40),"NA")</f>
        <v>1845000</v>
      </c>
      <c r="M1277" s="20">
        <f>IFERROR(INDEX('[2]PRICELIST, 908u'!$G$7:$AX$914,MATCH($B1277,'[2]PRICELIST, 908u'!$G$7:$G$914,0),41),"NA")</f>
        <v>100000</v>
      </c>
      <c r="N1277" s="58">
        <f t="shared" si="60"/>
        <v>1745000</v>
      </c>
      <c r="O1277" s="60"/>
      <c r="P1277" s="60">
        <f t="shared" si="59"/>
        <v>1745000</v>
      </c>
    </row>
    <row r="1278" spans="2:16">
      <c r="B1278" s="20" t="s">
        <v>1429</v>
      </c>
      <c r="C1278" s="20" t="s">
        <v>2</v>
      </c>
      <c r="D1278" s="20" t="str">
        <f>IFERROR(INDEX('[2]PRICELIST, 908u'!$G$7:$AX$914,MATCH($B1278,'[2]PRICELIST, 908u'!$G$7:$G$914,0),18),"NA")</f>
        <v>2025 - Batch 1</v>
      </c>
      <c r="E1278" s="20" t="str">
        <f>IFERROR(INDEX([3]AGM!$D$21:$BL$928,MATCH($B1278,[3]AGM!$AD$21:$AD$928,0),1),"NA")</f>
        <v>OS</v>
      </c>
      <c r="F1278" s="20" t="str">
        <f t="shared" si="58"/>
        <v>Block 24</v>
      </c>
      <c r="G1278" s="20" t="str">
        <f t="shared" si="57"/>
        <v>Lot 01</v>
      </c>
      <c r="H1278" s="20">
        <f>IFERROR(INDEX('[2]PRICELIST, 908u'!$G$7:$AX$914,MATCH($B1278,'[2]PRICELIST, 908u'!$G$7:$G$914,0),23),"NA")</f>
        <v>50</v>
      </c>
      <c r="I1278" s="20">
        <f>IFERROR(INDEX('[2]PRICELIST, 908u'!$G$7:$AX$914,MATCH($B1278,'[2]PRICELIST, 908u'!$G$7:$G$914,0),22),"NA")</f>
        <v>105</v>
      </c>
      <c r="J1278" s="20" t="s">
        <v>207</v>
      </c>
      <c r="K1278" s="20" t="str">
        <f>IFERROR(INDEX('[2]PRICELIST, 908u'!$G$7:$AX$914,MATCH($B1278,'[2]PRICELIST, 908u'!$G$7:$G$914,0),30),"NA")</f>
        <v>Flat / PURPLE</v>
      </c>
      <c r="L1278" s="20">
        <f>IFERROR(INDEX('[2]PRICELIST, 908u'!$G$7:$AX$914,MATCH($B1278,'[2]PRICELIST, 908u'!$G$7:$G$914,0),40),"NA")</f>
        <v>3175000</v>
      </c>
      <c r="M1278" s="20">
        <f>IFERROR(INDEX('[2]PRICELIST, 908u'!$G$7:$AX$914,MATCH($B1278,'[2]PRICELIST, 908u'!$G$7:$G$914,0),41),"NA")</f>
        <v>100000</v>
      </c>
      <c r="N1278" s="58">
        <f t="shared" si="60"/>
        <v>3075000</v>
      </c>
      <c r="O1278" s="60"/>
      <c r="P1278" s="60">
        <f t="shared" si="59"/>
        <v>3075000</v>
      </c>
    </row>
    <row r="1279" spans="2:16">
      <c r="B1279" s="20" t="s">
        <v>1430</v>
      </c>
      <c r="C1279" s="20" t="s">
        <v>2</v>
      </c>
      <c r="D1279" s="20" t="str">
        <f>IFERROR(INDEX('[2]PRICELIST, 908u'!$G$7:$AX$914,MATCH($B1279,'[2]PRICELIST, 908u'!$G$7:$G$914,0),18),"NA")</f>
        <v>2025 - Batch 1</v>
      </c>
      <c r="E1279" s="20" t="str">
        <f>IFERROR(INDEX([3]AGM!$D$21:$BL$928,MATCH($B1279,[3]AGM!$AD$21:$AD$928,0),1),"NA")</f>
        <v>OS</v>
      </c>
      <c r="F1279" s="20" t="str">
        <f t="shared" si="58"/>
        <v>Block 24</v>
      </c>
      <c r="G1279" s="20" t="str">
        <f t="shared" si="57"/>
        <v>Lot 02</v>
      </c>
      <c r="H1279" s="20">
        <f>IFERROR(INDEX('[2]PRICELIST, 908u'!$G$7:$AX$914,MATCH($B1279,'[2]PRICELIST, 908u'!$G$7:$G$914,0),23),"NA")</f>
        <v>50</v>
      </c>
      <c r="I1279" s="20">
        <f>IFERROR(INDEX('[2]PRICELIST, 908u'!$G$7:$AX$914,MATCH($B1279,'[2]PRICELIST, 908u'!$G$7:$G$914,0),22),"NA")</f>
        <v>70</v>
      </c>
      <c r="J1279" s="20" t="s">
        <v>207</v>
      </c>
      <c r="K1279" s="20" t="str">
        <f>IFERROR(INDEX('[2]PRICELIST, 908u'!$G$7:$AX$914,MATCH($B1279,'[2]PRICELIST, 908u'!$G$7:$G$914,0),30),"NA")</f>
        <v>Slant / PURPLE</v>
      </c>
      <c r="L1279" s="20">
        <f>IFERROR(INDEX('[2]PRICELIST, 908u'!$G$7:$AX$914,MATCH($B1279,'[2]PRICELIST, 908u'!$G$7:$G$914,0),40),"NA")</f>
        <v>2650000</v>
      </c>
      <c r="M1279" s="20">
        <f>IFERROR(INDEX('[2]PRICELIST, 908u'!$G$7:$AX$914,MATCH($B1279,'[2]PRICELIST, 908u'!$G$7:$G$914,0),41),"NA")</f>
        <v>100000</v>
      </c>
      <c r="N1279" s="58">
        <f t="shared" si="60"/>
        <v>2550000</v>
      </c>
      <c r="O1279" s="60"/>
      <c r="P1279" s="60">
        <f t="shared" si="59"/>
        <v>2550000</v>
      </c>
    </row>
    <row r="1280" spans="2:16">
      <c r="B1280" s="20" t="s">
        <v>1431</v>
      </c>
      <c r="C1280" s="20" t="s">
        <v>2</v>
      </c>
      <c r="D1280" s="20" t="str">
        <f>IFERROR(INDEX('[2]PRICELIST, 908u'!$G$7:$AX$914,MATCH($B1280,'[2]PRICELIST, 908u'!$G$7:$G$914,0),18),"NA")</f>
        <v>2025 - Batch 1</v>
      </c>
      <c r="E1280" s="20" t="str">
        <f>IFERROR(INDEX([3]AGM!$D$21:$BL$928,MATCH($B1280,[3]AGM!$AD$21:$AD$928,0),1),"NA")</f>
        <v>OS</v>
      </c>
      <c r="F1280" s="20" t="str">
        <f t="shared" si="58"/>
        <v>Block 24</v>
      </c>
      <c r="G1280" s="20" t="str">
        <f t="shared" si="57"/>
        <v>Lot 03</v>
      </c>
      <c r="H1280" s="20">
        <f>IFERROR(INDEX('[2]PRICELIST, 908u'!$G$7:$AX$914,MATCH($B1280,'[2]PRICELIST, 908u'!$G$7:$G$914,0),23),"NA")</f>
        <v>50</v>
      </c>
      <c r="I1280" s="20">
        <f>IFERROR(INDEX('[2]PRICELIST, 908u'!$G$7:$AX$914,MATCH($B1280,'[2]PRICELIST, 908u'!$G$7:$G$914,0),22),"NA")</f>
        <v>70</v>
      </c>
      <c r="J1280" s="20" t="s">
        <v>207</v>
      </c>
      <c r="K1280" s="20" t="str">
        <f>IFERROR(INDEX('[2]PRICELIST, 908u'!$G$7:$AX$914,MATCH($B1280,'[2]PRICELIST, 908u'!$G$7:$G$914,0),30),"NA")</f>
        <v>Slant / PURPLE</v>
      </c>
      <c r="L1280" s="20">
        <f>IFERROR(INDEX('[2]PRICELIST, 908u'!$G$7:$AX$914,MATCH($B1280,'[2]PRICELIST, 908u'!$G$7:$G$914,0),40),"NA")</f>
        <v>2650000</v>
      </c>
      <c r="M1280" s="20">
        <f>IFERROR(INDEX('[2]PRICELIST, 908u'!$G$7:$AX$914,MATCH($B1280,'[2]PRICELIST, 908u'!$G$7:$G$914,0),41),"NA")</f>
        <v>100000</v>
      </c>
      <c r="N1280" s="58">
        <f t="shared" si="60"/>
        <v>2550000</v>
      </c>
      <c r="O1280" s="60"/>
      <c r="P1280" s="60">
        <f t="shared" si="59"/>
        <v>2550000</v>
      </c>
    </row>
    <row r="1281" spans="2:16">
      <c r="B1281" s="20" t="s">
        <v>1432</v>
      </c>
      <c r="C1281" s="20" t="s">
        <v>2</v>
      </c>
      <c r="D1281" s="20" t="str">
        <f>IFERROR(INDEX('[2]PRICELIST, 908u'!$G$7:$AX$914,MATCH($B1281,'[2]PRICELIST, 908u'!$G$7:$G$914,0),18),"NA")</f>
        <v>2025 - Batch 1</v>
      </c>
      <c r="E1281" s="20" t="str">
        <f>IFERROR(INDEX([3]AGM!$D$21:$BL$928,MATCH($B1281,[3]AGM!$AD$21:$AD$928,0),1),"NA")</f>
        <v>OS</v>
      </c>
      <c r="F1281" s="20" t="str">
        <f t="shared" si="58"/>
        <v>Block 24</v>
      </c>
      <c r="G1281" s="20" t="str">
        <f t="shared" si="57"/>
        <v>Lot 04</v>
      </c>
      <c r="H1281" s="20">
        <f>IFERROR(INDEX('[2]PRICELIST, 908u'!$G$7:$AX$914,MATCH($B1281,'[2]PRICELIST, 908u'!$G$7:$G$914,0),23),"NA")</f>
        <v>50</v>
      </c>
      <c r="I1281" s="20">
        <f>IFERROR(INDEX('[2]PRICELIST, 908u'!$G$7:$AX$914,MATCH($B1281,'[2]PRICELIST, 908u'!$G$7:$G$914,0),22),"NA")</f>
        <v>70</v>
      </c>
      <c r="J1281" s="20" t="s">
        <v>207</v>
      </c>
      <c r="K1281" s="20" t="str">
        <f>IFERROR(INDEX('[2]PRICELIST, 908u'!$G$7:$AX$914,MATCH($B1281,'[2]PRICELIST, 908u'!$G$7:$G$914,0),30),"NA")</f>
        <v>Flat / PURPLE</v>
      </c>
      <c r="L1281" s="20">
        <f>IFERROR(INDEX('[2]PRICELIST, 908u'!$G$7:$AX$914,MATCH($B1281,'[2]PRICELIST, 908u'!$G$7:$G$914,0),40),"NA")</f>
        <v>2650000</v>
      </c>
      <c r="M1281" s="20">
        <f>IFERROR(INDEX('[2]PRICELIST, 908u'!$G$7:$AX$914,MATCH($B1281,'[2]PRICELIST, 908u'!$G$7:$G$914,0),41),"NA")</f>
        <v>100000</v>
      </c>
      <c r="N1281" s="58">
        <f t="shared" si="60"/>
        <v>2550000</v>
      </c>
      <c r="O1281" s="60"/>
      <c r="P1281" s="60">
        <f t="shared" si="59"/>
        <v>2550000</v>
      </c>
    </row>
    <row r="1282" spans="2:16">
      <c r="B1282" s="20" t="s">
        <v>1433</v>
      </c>
      <c r="C1282" s="20" t="s">
        <v>2</v>
      </c>
      <c r="D1282" s="20" t="str">
        <f>IFERROR(INDEX('[2]PRICELIST, 908u'!$G$7:$AX$914,MATCH($B1282,'[2]PRICELIST, 908u'!$G$7:$G$914,0),18),"NA")</f>
        <v>2025 - Batch 5</v>
      </c>
      <c r="E1282" s="20" t="str">
        <f>IFERROR(INDEX([3]AGM!$D$21:$BL$928,MATCH($B1282,[3]AGM!$AD$21:$AD$928,0),1),"NA")</f>
        <v>OS</v>
      </c>
      <c r="F1282" s="20" t="str">
        <f t="shared" si="58"/>
        <v>Block 24</v>
      </c>
      <c r="G1282" s="20" t="str">
        <f t="shared" si="57"/>
        <v>Lot 05</v>
      </c>
      <c r="H1282" s="20">
        <f>IFERROR(INDEX('[2]PRICELIST, 908u'!$G$7:$AX$914,MATCH($B1282,'[2]PRICELIST, 908u'!$G$7:$G$914,0),23),"NA")</f>
        <v>50</v>
      </c>
      <c r="I1282" s="20">
        <f>IFERROR(INDEX('[2]PRICELIST, 908u'!$G$7:$AX$914,MATCH($B1282,'[2]PRICELIST, 908u'!$G$7:$G$914,0),22),"NA")</f>
        <v>70</v>
      </c>
      <c r="J1282" s="20" t="s">
        <v>207</v>
      </c>
      <c r="K1282" s="20" t="str">
        <f>IFERROR(INDEX('[2]PRICELIST, 908u'!$G$7:$AX$914,MATCH($B1282,'[2]PRICELIST, 908u'!$G$7:$G$914,0),30),"NA")</f>
        <v>Flat / PINK</v>
      </c>
      <c r="L1282" s="20">
        <f>IFERROR(INDEX('[2]PRICELIST, 908u'!$G$7:$AX$914,MATCH($B1282,'[2]PRICELIST, 908u'!$G$7:$G$914,0),40),"NA")</f>
        <v>2650000</v>
      </c>
      <c r="M1282" s="20">
        <f>IFERROR(INDEX('[2]PRICELIST, 908u'!$G$7:$AX$914,MATCH($B1282,'[2]PRICELIST, 908u'!$G$7:$G$914,0),41),"NA")</f>
        <v>100000</v>
      </c>
      <c r="N1282" s="58">
        <f t="shared" si="60"/>
        <v>2550000</v>
      </c>
      <c r="O1282" s="60"/>
      <c r="P1282" s="60">
        <f t="shared" si="59"/>
        <v>2550000</v>
      </c>
    </row>
    <row r="1283" spans="2:16">
      <c r="B1283" s="20" t="s">
        <v>1434</v>
      </c>
      <c r="C1283" s="20" t="s">
        <v>2</v>
      </c>
      <c r="D1283" s="20" t="str">
        <f>IFERROR(INDEX('[2]PRICELIST, 908u'!$G$7:$AX$914,MATCH($B1283,'[2]PRICELIST, 908u'!$G$7:$G$914,0),18),"NA")</f>
        <v>2025 - Batch 5</v>
      </c>
      <c r="E1283" s="20" t="str">
        <f>IFERROR(INDEX([3]AGM!$D$21:$BL$928,MATCH($B1283,[3]AGM!$AD$21:$AD$928,0),1),"NA")</f>
        <v>OS</v>
      </c>
      <c r="F1283" s="20" t="str">
        <f t="shared" si="58"/>
        <v>Block 24</v>
      </c>
      <c r="G1283" s="20" t="str">
        <f t="shared" si="57"/>
        <v>Lot 06</v>
      </c>
      <c r="H1283" s="20">
        <f>IFERROR(INDEX('[2]PRICELIST, 908u'!$G$7:$AX$914,MATCH($B1283,'[2]PRICELIST, 908u'!$G$7:$G$914,0),23),"NA")</f>
        <v>50</v>
      </c>
      <c r="I1283" s="20">
        <f>IFERROR(INDEX('[2]PRICELIST, 908u'!$G$7:$AX$914,MATCH($B1283,'[2]PRICELIST, 908u'!$G$7:$G$914,0),22),"NA")</f>
        <v>70</v>
      </c>
      <c r="J1283" s="20" t="s">
        <v>207</v>
      </c>
      <c r="K1283" s="20" t="str">
        <f>IFERROR(INDEX('[2]PRICELIST, 908u'!$G$7:$AX$914,MATCH($B1283,'[2]PRICELIST, 908u'!$G$7:$G$914,0),30),"NA")</f>
        <v>Slant / PINK</v>
      </c>
      <c r="L1283" s="20">
        <f>IFERROR(INDEX('[2]PRICELIST, 908u'!$G$7:$AX$914,MATCH($B1283,'[2]PRICELIST, 908u'!$G$7:$G$914,0),40),"NA")</f>
        <v>2650000</v>
      </c>
      <c r="M1283" s="20">
        <f>IFERROR(INDEX('[2]PRICELIST, 908u'!$G$7:$AX$914,MATCH($B1283,'[2]PRICELIST, 908u'!$G$7:$G$914,0),41),"NA")</f>
        <v>100000</v>
      </c>
      <c r="N1283" s="58">
        <f t="shared" si="60"/>
        <v>2550000</v>
      </c>
      <c r="O1283" s="60"/>
      <c r="P1283" s="60">
        <f t="shared" si="59"/>
        <v>2550000</v>
      </c>
    </row>
    <row r="1284" spans="2:16">
      <c r="B1284" s="20" t="s">
        <v>1435</v>
      </c>
      <c r="C1284" s="20" t="s">
        <v>2</v>
      </c>
      <c r="D1284" s="20" t="str">
        <f>IFERROR(INDEX('[2]PRICELIST, 908u'!$G$7:$AX$914,MATCH($B1284,'[2]PRICELIST, 908u'!$G$7:$G$914,0),18),"NA")</f>
        <v>2025 - Batch 5</v>
      </c>
      <c r="E1284" s="20" t="str">
        <f>IFERROR(INDEX([3]AGM!$D$21:$BL$928,MATCH($B1284,[3]AGM!$AD$21:$AD$928,0),1),"NA")</f>
        <v>OS</v>
      </c>
      <c r="F1284" s="20" t="str">
        <f t="shared" si="58"/>
        <v>Block 24</v>
      </c>
      <c r="G1284" s="20" t="str">
        <f t="shared" si="57"/>
        <v>Lot 07</v>
      </c>
      <c r="H1284" s="20">
        <f>IFERROR(INDEX('[2]PRICELIST, 908u'!$G$7:$AX$914,MATCH($B1284,'[2]PRICELIST, 908u'!$G$7:$G$914,0),23),"NA")</f>
        <v>50</v>
      </c>
      <c r="I1284" s="20">
        <f>IFERROR(INDEX('[2]PRICELIST, 908u'!$G$7:$AX$914,MATCH($B1284,'[2]PRICELIST, 908u'!$G$7:$G$914,0),22),"NA")</f>
        <v>70</v>
      </c>
      <c r="J1284" s="20" t="s">
        <v>207</v>
      </c>
      <c r="K1284" s="20" t="str">
        <f>IFERROR(INDEX('[2]PRICELIST, 908u'!$G$7:$AX$914,MATCH($B1284,'[2]PRICELIST, 908u'!$G$7:$G$914,0),30),"NA")</f>
        <v>Slant / PINK</v>
      </c>
      <c r="L1284" s="20">
        <f>IFERROR(INDEX('[2]PRICELIST, 908u'!$G$7:$AX$914,MATCH($B1284,'[2]PRICELIST, 908u'!$G$7:$G$914,0),40),"NA")</f>
        <v>2650000</v>
      </c>
      <c r="M1284" s="20">
        <f>IFERROR(INDEX('[2]PRICELIST, 908u'!$G$7:$AX$914,MATCH($B1284,'[2]PRICELIST, 908u'!$G$7:$G$914,0),41),"NA")</f>
        <v>100000</v>
      </c>
      <c r="N1284" s="58">
        <f t="shared" si="60"/>
        <v>2550000</v>
      </c>
      <c r="O1284" s="60"/>
      <c r="P1284" s="60">
        <f t="shared" si="59"/>
        <v>2550000</v>
      </c>
    </row>
    <row r="1285" spans="2:16">
      <c r="B1285" s="20" t="s">
        <v>1436</v>
      </c>
      <c r="C1285" s="20" t="s">
        <v>2</v>
      </c>
      <c r="D1285" s="20" t="str">
        <f>IFERROR(INDEX('[2]PRICELIST, 908u'!$G$7:$AX$914,MATCH($B1285,'[2]PRICELIST, 908u'!$G$7:$G$914,0),18),"NA")</f>
        <v>2025 - Batch 5</v>
      </c>
      <c r="E1285" s="20" t="str">
        <f>IFERROR(INDEX([3]AGM!$D$21:$BL$928,MATCH($B1285,[3]AGM!$AD$21:$AD$928,0),1),"NA")</f>
        <v>OS</v>
      </c>
      <c r="F1285" s="20" t="str">
        <f t="shared" si="58"/>
        <v>Block 24</v>
      </c>
      <c r="G1285" s="20" t="str">
        <f t="shared" si="57"/>
        <v>Lot 08</v>
      </c>
      <c r="H1285" s="20">
        <f>IFERROR(INDEX('[2]PRICELIST, 908u'!$G$7:$AX$914,MATCH($B1285,'[2]PRICELIST, 908u'!$G$7:$G$914,0),23),"NA")</f>
        <v>50</v>
      </c>
      <c r="I1285" s="20">
        <f>IFERROR(INDEX('[2]PRICELIST, 908u'!$G$7:$AX$914,MATCH($B1285,'[2]PRICELIST, 908u'!$G$7:$G$914,0),22),"NA")</f>
        <v>70</v>
      </c>
      <c r="J1285" s="20" t="s">
        <v>207</v>
      </c>
      <c r="K1285" s="20" t="str">
        <f>IFERROR(INDEX('[2]PRICELIST, 908u'!$G$7:$AX$914,MATCH($B1285,'[2]PRICELIST, 908u'!$G$7:$G$914,0),30),"NA")</f>
        <v>Flat / PINK</v>
      </c>
      <c r="L1285" s="20">
        <f>IFERROR(INDEX('[2]PRICELIST, 908u'!$G$7:$AX$914,MATCH($B1285,'[2]PRICELIST, 908u'!$G$7:$G$914,0),40),"NA")</f>
        <v>2650000</v>
      </c>
      <c r="M1285" s="20">
        <f>IFERROR(INDEX('[2]PRICELIST, 908u'!$G$7:$AX$914,MATCH($B1285,'[2]PRICELIST, 908u'!$G$7:$G$914,0),41),"NA")</f>
        <v>100000</v>
      </c>
      <c r="N1285" s="58">
        <f t="shared" si="60"/>
        <v>2550000</v>
      </c>
      <c r="O1285" s="60"/>
      <c r="P1285" s="60">
        <f t="shared" si="59"/>
        <v>2550000</v>
      </c>
    </row>
    <row r="1286" spans="2:16">
      <c r="B1286" s="20" t="s">
        <v>1437</v>
      </c>
      <c r="C1286" s="20" t="s">
        <v>2</v>
      </c>
      <c r="D1286" s="20" t="str">
        <f>IFERROR(INDEX('[2]PRICELIST, 908u'!$G$7:$AX$914,MATCH($B1286,'[2]PRICELIST, 908u'!$G$7:$G$914,0),18),"NA")</f>
        <v>2025 - Batch 5</v>
      </c>
      <c r="E1286" s="20" t="str">
        <f>IFERROR(INDEX([3]AGM!$D$21:$BL$928,MATCH($B1286,[3]AGM!$AD$21:$AD$928,0),1),"NA")</f>
        <v>OS</v>
      </c>
      <c r="F1286" s="20" t="str">
        <f t="shared" si="58"/>
        <v>Block 24</v>
      </c>
      <c r="G1286" s="20" t="str">
        <f t="shared" si="57"/>
        <v>Lot 09</v>
      </c>
      <c r="H1286" s="20">
        <f>IFERROR(INDEX('[2]PRICELIST, 908u'!$G$7:$AX$914,MATCH($B1286,'[2]PRICELIST, 908u'!$G$7:$G$914,0),23),"NA")</f>
        <v>50</v>
      </c>
      <c r="I1286" s="20">
        <f>IFERROR(INDEX('[2]PRICELIST, 908u'!$G$7:$AX$914,MATCH($B1286,'[2]PRICELIST, 908u'!$G$7:$G$914,0),22),"NA")</f>
        <v>70</v>
      </c>
      <c r="J1286" s="20" t="s">
        <v>207</v>
      </c>
      <c r="K1286" s="20" t="str">
        <f>IFERROR(INDEX('[2]PRICELIST, 908u'!$G$7:$AX$914,MATCH($B1286,'[2]PRICELIST, 908u'!$G$7:$G$914,0),30),"NA")</f>
        <v>Flat / YELLOW</v>
      </c>
      <c r="L1286" s="20">
        <f>IFERROR(INDEX('[2]PRICELIST, 908u'!$G$7:$AX$914,MATCH($B1286,'[2]PRICELIST, 908u'!$G$7:$G$914,0),40),"NA")</f>
        <v>2650000</v>
      </c>
      <c r="M1286" s="20">
        <f>IFERROR(INDEX('[2]PRICELIST, 908u'!$G$7:$AX$914,MATCH($B1286,'[2]PRICELIST, 908u'!$G$7:$G$914,0),41),"NA")</f>
        <v>100000</v>
      </c>
      <c r="N1286" s="58">
        <f t="shared" si="60"/>
        <v>2550000</v>
      </c>
      <c r="O1286" s="60"/>
      <c r="P1286" s="60">
        <f t="shared" si="59"/>
        <v>2550000</v>
      </c>
    </row>
    <row r="1287" spans="2:16">
      <c r="B1287" s="20" t="s">
        <v>1438</v>
      </c>
      <c r="C1287" s="20" t="s">
        <v>2</v>
      </c>
      <c r="D1287" s="20" t="str">
        <f>IFERROR(INDEX('[2]PRICELIST, 908u'!$G$7:$AX$914,MATCH($B1287,'[2]PRICELIST, 908u'!$G$7:$G$914,0),18),"NA")</f>
        <v>2025 - Batch 5</v>
      </c>
      <c r="E1287" s="20" t="str">
        <f>IFERROR(INDEX([3]AGM!$D$21:$BL$928,MATCH($B1287,[3]AGM!$AD$21:$AD$928,0),1),"NA")</f>
        <v>OS</v>
      </c>
      <c r="F1287" s="20" t="str">
        <f t="shared" si="58"/>
        <v>Block 24</v>
      </c>
      <c r="G1287" s="20" t="str">
        <f t="shared" si="57"/>
        <v>Lot 10</v>
      </c>
      <c r="H1287" s="20">
        <f>IFERROR(INDEX('[2]PRICELIST, 908u'!$G$7:$AX$914,MATCH($B1287,'[2]PRICELIST, 908u'!$G$7:$G$914,0),23),"NA")</f>
        <v>50</v>
      </c>
      <c r="I1287" s="20">
        <f>IFERROR(INDEX('[2]PRICELIST, 908u'!$G$7:$AX$914,MATCH($B1287,'[2]PRICELIST, 908u'!$G$7:$G$914,0),22),"NA")</f>
        <v>70</v>
      </c>
      <c r="J1287" s="20" t="s">
        <v>207</v>
      </c>
      <c r="K1287" s="20" t="str">
        <f>IFERROR(INDEX('[2]PRICELIST, 908u'!$G$7:$AX$914,MATCH($B1287,'[2]PRICELIST, 908u'!$G$7:$G$914,0),30),"NA")</f>
        <v>Slant / YELLOW</v>
      </c>
      <c r="L1287" s="20">
        <f>IFERROR(INDEX('[2]PRICELIST, 908u'!$G$7:$AX$914,MATCH($B1287,'[2]PRICELIST, 908u'!$G$7:$G$914,0),40),"NA")</f>
        <v>2650000</v>
      </c>
      <c r="M1287" s="20">
        <f>IFERROR(INDEX('[2]PRICELIST, 908u'!$G$7:$AX$914,MATCH($B1287,'[2]PRICELIST, 908u'!$G$7:$G$914,0),41),"NA")</f>
        <v>100000</v>
      </c>
      <c r="N1287" s="58">
        <f t="shared" si="60"/>
        <v>2550000</v>
      </c>
      <c r="O1287" s="60"/>
      <c r="P1287" s="60">
        <f t="shared" si="59"/>
        <v>2550000</v>
      </c>
    </row>
    <row r="1288" spans="2:16">
      <c r="B1288" s="20" t="s">
        <v>1439</v>
      </c>
      <c r="C1288" s="20" t="s">
        <v>2</v>
      </c>
      <c r="D1288" s="20" t="str">
        <f>IFERROR(INDEX('[2]PRICELIST, 908u'!$G$7:$AX$914,MATCH($B1288,'[2]PRICELIST, 908u'!$G$7:$G$914,0),18),"NA")</f>
        <v>2025 - Batch 4</v>
      </c>
      <c r="E1288" s="20" t="str">
        <f>IFERROR(INDEX([3]AGM!$D$21:$BL$928,MATCH($B1288,[3]AGM!$AD$21:$AD$928,0),1),"NA")</f>
        <v>OS</v>
      </c>
      <c r="F1288" s="20" t="str">
        <f t="shared" si="58"/>
        <v>Block 24</v>
      </c>
      <c r="G1288" s="20" t="str">
        <f t="shared" si="57"/>
        <v>Lot 11</v>
      </c>
      <c r="H1288" s="20">
        <f>IFERROR(INDEX('[2]PRICELIST, 908u'!$G$7:$AX$914,MATCH($B1288,'[2]PRICELIST, 908u'!$G$7:$G$914,0),23),"NA")</f>
        <v>50</v>
      </c>
      <c r="I1288" s="20">
        <f>IFERROR(INDEX('[2]PRICELIST, 908u'!$G$7:$AX$914,MATCH($B1288,'[2]PRICELIST, 908u'!$G$7:$G$914,0),22),"NA")</f>
        <v>70</v>
      </c>
      <c r="J1288" s="20" t="s">
        <v>207</v>
      </c>
      <c r="K1288" s="20" t="str">
        <f>IFERROR(INDEX('[2]PRICELIST, 908u'!$G$7:$AX$914,MATCH($B1288,'[2]PRICELIST, 908u'!$G$7:$G$914,0),30),"NA")</f>
        <v>Slant / YELLOW</v>
      </c>
      <c r="L1288" s="20">
        <f>IFERROR(INDEX('[2]PRICELIST, 908u'!$G$7:$AX$914,MATCH($B1288,'[2]PRICELIST, 908u'!$G$7:$G$914,0),40),"NA")</f>
        <v>2650000</v>
      </c>
      <c r="M1288" s="20">
        <f>IFERROR(INDEX('[2]PRICELIST, 908u'!$G$7:$AX$914,MATCH($B1288,'[2]PRICELIST, 908u'!$G$7:$G$914,0),41),"NA")</f>
        <v>100000</v>
      </c>
      <c r="N1288" s="58">
        <f t="shared" si="60"/>
        <v>2550000</v>
      </c>
      <c r="O1288" s="60"/>
      <c r="P1288" s="60">
        <f t="shared" si="59"/>
        <v>2550000</v>
      </c>
    </row>
    <row r="1289" spans="2:16">
      <c r="B1289" s="20" t="s">
        <v>1440</v>
      </c>
      <c r="C1289" s="20" t="s">
        <v>2</v>
      </c>
      <c r="D1289" s="20" t="str">
        <f>IFERROR(INDEX('[2]PRICELIST, 908u'!$G$7:$AX$914,MATCH($B1289,'[2]PRICELIST, 908u'!$G$7:$G$914,0),18),"NA")</f>
        <v>2025 - Batch 4</v>
      </c>
      <c r="E1289" s="20" t="str">
        <f>IFERROR(INDEX([3]AGM!$D$21:$BL$928,MATCH($B1289,[3]AGM!$AD$21:$AD$928,0),1),"NA")</f>
        <v>OS</v>
      </c>
      <c r="F1289" s="20" t="str">
        <f t="shared" si="58"/>
        <v>Block 24</v>
      </c>
      <c r="G1289" s="20" t="str">
        <f t="shared" si="57"/>
        <v>Lot 12</v>
      </c>
      <c r="H1289" s="20">
        <f>IFERROR(INDEX('[2]PRICELIST, 908u'!$G$7:$AX$914,MATCH($B1289,'[2]PRICELIST, 908u'!$G$7:$G$914,0),23),"NA")</f>
        <v>50</v>
      </c>
      <c r="I1289" s="20">
        <f>IFERROR(INDEX('[2]PRICELIST, 908u'!$G$7:$AX$914,MATCH($B1289,'[2]PRICELIST, 908u'!$G$7:$G$914,0),22),"NA")</f>
        <v>70</v>
      </c>
      <c r="J1289" s="20" t="s">
        <v>207</v>
      </c>
      <c r="K1289" s="20" t="str">
        <f>IFERROR(INDEX('[2]PRICELIST, 908u'!$G$7:$AX$914,MATCH($B1289,'[2]PRICELIST, 908u'!$G$7:$G$914,0),30),"NA")</f>
        <v>Flat / YELLOW</v>
      </c>
      <c r="L1289" s="20">
        <f>IFERROR(INDEX('[2]PRICELIST, 908u'!$G$7:$AX$914,MATCH($B1289,'[2]PRICELIST, 908u'!$G$7:$G$914,0),40),"NA")</f>
        <v>2650000</v>
      </c>
      <c r="M1289" s="20">
        <f>IFERROR(INDEX('[2]PRICELIST, 908u'!$G$7:$AX$914,MATCH($B1289,'[2]PRICELIST, 908u'!$G$7:$G$914,0),41),"NA")</f>
        <v>100000</v>
      </c>
      <c r="N1289" s="58">
        <f t="shared" si="60"/>
        <v>2550000</v>
      </c>
      <c r="O1289" s="60"/>
      <c r="P1289" s="60">
        <f t="shared" si="59"/>
        <v>2550000</v>
      </c>
    </row>
    <row r="1290" spans="2:16">
      <c r="B1290" s="20" t="s">
        <v>1441</v>
      </c>
      <c r="C1290" s="20" t="s">
        <v>2</v>
      </c>
      <c r="D1290" s="20" t="str">
        <f>IFERROR(INDEX('[2]PRICELIST, 908u'!$G$7:$AX$914,MATCH($B1290,'[2]PRICELIST, 908u'!$G$7:$G$914,0),18),"NA")</f>
        <v>2025 - Batch 4</v>
      </c>
      <c r="E1290" s="20" t="str">
        <f>IFERROR(INDEX([3]AGM!$D$21:$BL$928,MATCH($B1290,[3]AGM!$AD$21:$AD$928,0),1),"NA")</f>
        <v>OS</v>
      </c>
      <c r="F1290" s="20" t="str">
        <f t="shared" si="58"/>
        <v>Block 24</v>
      </c>
      <c r="G1290" s="20" t="str">
        <f t="shared" si="57"/>
        <v>Lot 13</v>
      </c>
      <c r="H1290" s="20">
        <f>IFERROR(INDEX('[2]PRICELIST, 908u'!$G$7:$AX$914,MATCH($B1290,'[2]PRICELIST, 908u'!$G$7:$G$914,0),23),"NA")</f>
        <v>50</v>
      </c>
      <c r="I1290" s="20">
        <f>IFERROR(INDEX('[2]PRICELIST, 908u'!$G$7:$AX$914,MATCH($B1290,'[2]PRICELIST, 908u'!$G$7:$G$914,0),22),"NA")</f>
        <v>70</v>
      </c>
      <c r="J1290" s="20" t="s">
        <v>207</v>
      </c>
      <c r="K1290" s="20" t="str">
        <f>IFERROR(INDEX('[2]PRICELIST, 908u'!$G$7:$AX$914,MATCH($B1290,'[2]PRICELIST, 908u'!$G$7:$G$914,0),30),"NA")</f>
        <v>Flat / GREEN</v>
      </c>
      <c r="L1290" s="20">
        <f>IFERROR(INDEX('[2]PRICELIST, 908u'!$G$7:$AX$914,MATCH($B1290,'[2]PRICELIST, 908u'!$G$7:$G$914,0),40),"NA")</f>
        <v>2650000</v>
      </c>
      <c r="M1290" s="20">
        <f>IFERROR(INDEX('[2]PRICELIST, 908u'!$G$7:$AX$914,MATCH($B1290,'[2]PRICELIST, 908u'!$G$7:$G$914,0),41),"NA")</f>
        <v>100000</v>
      </c>
      <c r="N1290" s="58">
        <f t="shared" si="60"/>
        <v>2550000</v>
      </c>
      <c r="O1290" s="60"/>
      <c r="P1290" s="60">
        <f t="shared" si="59"/>
        <v>2550000</v>
      </c>
    </row>
    <row r="1291" spans="2:16">
      <c r="B1291" s="20" t="s">
        <v>1442</v>
      </c>
      <c r="C1291" s="20" t="s">
        <v>2</v>
      </c>
      <c r="D1291" s="20" t="str">
        <f>IFERROR(INDEX('[2]PRICELIST, 908u'!$G$7:$AX$914,MATCH($B1291,'[2]PRICELIST, 908u'!$G$7:$G$914,0),18),"NA")</f>
        <v>2025 - Batch 4</v>
      </c>
      <c r="E1291" s="20" t="str">
        <f>IFERROR(INDEX([3]AGM!$D$21:$BL$928,MATCH($B1291,[3]AGM!$AD$21:$AD$928,0),1),"NA")</f>
        <v>OS</v>
      </c>
      <c r="F1291" s="20" t="str">
        <f t="shared" si="58"/>
        <v>Block 24</v>
      </c>
      <c r="G1291" s="20" t="str">
        <f t="shared" si="57"/>
        <v>Lot 14</v>
      </c>
      <c r="H1291" s="20">
        <f>IFERROR(INDEX('[2]PRICELIST, 908u'!$G$7:$AX$914,MATCH($B1291,'[2]PRICELIST, 908u'!$G$7:$G$914,0),23),"NA")</f>
        <v>50</v>
      </c>
      <c r="I1291" s="20">
        <f>IFERROR(INDEX('[2]PRICELIST, 908u'!$G$7:$AX$914,MATCH($B1291,'[2]PRICELIST, 908u'!$G$7:$G$914,0),22),"NA")</f>
        <v>70</v>
      </c>
      <c r="J1291" s="20" t="s">
        <v>207</v>
      </c>
      <c r="K1291" s="20" t="str">
        <f>IFERROR(INDEX('[2]PRICELIST, 908u'!$G$7:$AX$914,MATCH($B1291,'[2]PRICELIST, 908u'!$G$7:$G$914,0),30),"NA")</f>
        <v>Slant / GREEN</v>
      </c>
      <c r="L1291" s="20">
        <f>IFERROR(INDEX('[2]PRICELIST, 908u'!$G$7:$AX$914,MATCH($B1291,'[2]PRICELIST, 908u'!$G$7:$G$914,0),40),"NA")</f>
        <v>2650000</v>
      </c>
      <c r="M1291" s="20">
        <f>IFERROR(INDEX('[2]PRICELIST, 908u'!$G$7:$AX$914,MATCH($B1291,'[2]PRICELIST, 908u'!$G$7:$G$914,0),41),"NA")</f>
        <v>100000</v>
      </c>
      <c r="N1291" s="58">
        <f t="shared" si="60"/>
        <v>2550000</v>
      </c>
      <c r="O1291" s="60"/>
      <c r="P1291" s="60">
        <f t="shared" si="59"/>
        <v>2550000</v>
      </c>
    </row>
    <row r="1292" spans="2:16">
      <c r="B1292" s="20" t="s">
        <v>1443</v>
      </c>
      <c r="C1292" s="20" t="s">
        <v>2</v>
      </c>
      <c r="D1292" s="20" t="str">
        <f>IFERROR(INDEX('[2]PRICELIST, 908u'!$G$7:$AX$914,MATCH($B1292,'[2]PRICELIST, 908u'!$G$7:$G$914,0),18),"NA")</f>
        <v>2025 - Batch 4</v>
      </c>
      <c r="E1292" s="20" t="str">
        <f>IFERROR(INDEX([3]AGM!$D$21:$BL$928,MATCH($B1292,[3]AGM!$AD$21:$AD$928,0),1),"NA")</f>
        <v>OS</v>
      </c>
      <c r="F1292" s="20" t="str">
        <f t="shared" si="58"/>
        <v>Block 24</v>
      </c>
      <c r="G1292" s="20" t="str">
        <f t="shared" si="57"/>
        <v>Lot 15</v>
      </c>
      <c r="H1292" s="20">
        <f>IFERROR(INDEX('[2]PRICELIST, 908u'!$G$7:$AX$914,MATCH($B1292,'[2]PRICELIST, 908u'!$G$7:$G$914,0),23),"NA")</f>
        <v>50</v>
      </c>
      <c r="I1292" s="20">
        <f>IFERROR(INDEX('[2]PRICELIST, 908u'!$G$7:$AX$914,MATCH($B1292,'[2]PRICELIST, 908u'!$G$7:$G$914,0),22),"NA")</f>
        <v>70</v>
      </c>
      <c r="J1292" s="20" t="s">
        <v>207</v>
      </c>
      <c r="K1292" s="20" t="str">
        <f>IFERROR(INDEX('[2]PRICELIST, 908u'!$G$7:$AX$914,MATCH($B1292,'[2]PRICELIST, 908u'!$G$7:$G$914,0),30),"NA")</f>
        <v>Slant / GREEN</v>
      </c>
      <c r="L1292" s="20">
        <f>IFERROR(INDEX('[2]PRICELIST, 908u'!$G$7:$AX$914,MATCH($B1292,'[2]PRICELIST, 908u'!$G$7:$G$914,0),40),"NA")</f>
        <v>2650000</v>
      </c>
      <c r="M1292" s="20">
        <f>IFERROR(INDEX('[2]PRICELIST, 908u'!$G$7:$AX$914,MATCH($B1292,'[2]PRICELIST, 908u'!$G$7:$G$914,0),41),"NA")</f>
        <v>100000</v>
      </c>
      <c r="N1292" s="58">
        <f t="shared" si="60"/>
        <v>2550000</v>
      </c>
      <c r="O1292" s="60"/>
      <c r="P1292" s="60">
        <f t="shared" si="59"/>
        <v>2550000</v>
      </c>
    </row>
    <row r="1293" spans="2:16">
      <c r="B1293" s="20" t="s">
        <v>1444</v>
      </c>
      <c r="C1293" s="20" t="s">
        <v>2</v>
      </c>
      <c r="D1293" s="20" t="str">
        <f>IFERROR(INDEX('[2]PRICELIST, 908u'!$G$7:$AX$914,MATCH($B1293,'[2]PRICELIST, 908u'!$G$7:$G$914,0),18),"NA")</f>
        <v>2025 - Batch 4</v>
      </c>
      <c r="E1293" s="20" t="str">
        <f>IFERROR(INDEX([3]AGM!$D$21:$BL$928,MATCH($B1293,[3]AGM!$AD$21:$AD$928,0),1),"NA")</f>
        <v>OS</v>
      </c>
      <c r="F1293" s="20" t="str">
        <f t="shared" si="58"/>
        <v>Block 24</v>
      </c>
      <c r="G1293" s="20" t="str">
        <f t="shared" si="57"/>
        <v>Lot 16</v>
      </c>
      <c r="H1293" s="20">
        <f>IFERROR(INDEX('[2]PRICELIST, 908u'!$G$7:$AX$914,MATCH($B1293,'[2]PRICELIST, 908u'!$G$7:$G$914,0),23),"NA")</f>
        <v>50</v>
      </c>
      <c r="I1293" s="20">
        <f>IFERROR(INDEX('[2]PRICELIST, 908u'!$G$7:$AX$914,MATCH($B1293,'[2]PRICELIST, 908u'!$G$7:$G$914,0),22),"NA")</f>
        <v>70</v>
      </c>
      <c r="J1293" s="20" t="s">
        <v>207</v>
      </c>
      <c r="K1293" s="20" t="str">
        <f>IFERROR(INDEX('[2]PRICELIST, 908u'!$G$7:$AX$914,MATCH($B1293,'[2]PRICELIST, 908u'!$G$7:$G$914,0),30),"NA")</f>
        <v>Flat / GREEN</v>
      </c>
      <c r="L1293" s="20">
        <f>IFERROR(INDEX('[2]PRICELIST, 908u'!$G$7:$AX$914,MATCH($B1293,'[2]PRICELIST, 908u'!$G$7:$G$914,0),40),"NA")</f>
        <v>2650000</v>
      </c>
      <c r="M1293" s="20">
        <f>IFERROR(INDEX('[2]PRICELIST, 908u'!$G$7:$AX$914,MATCH($B1293,'[2]PRICELIST, 908u'!$G$7:$G$914,0),41),"NA")</f>
        <v>100000</v>
      </c>
      <c r="N1293" s="58">
        <f t="shared" si="60"/>
        <v>2550000</v>
      </c>
      <c r="O1293" s="60"/>
      <c r="P1293" s="60">
        <f t="shared" si="59"/>
        <v>2550000</v>
      </c>
    </row>
    <row r="1294" spans="2:16">
      <c r="B1294" s="20" t="s">
        <v>1445</v>
      </c>
      <c r="C1294" s="20" t="s">
        <v>2</v>
      </c>
      <c r="D1294" s="20" t="str">
        <f>IFERROR(INDEX('[2]PRICELIST, 908u'!$G$7:$AX$914,MATCH($B1294,'[2]PRICELIST, 908u'!$G$7:$G$914,0),18),"NA")</f>
        <v>2025 - Batch 5</v>
      </c>
      <c r="E1294" s="20" t="str">
        <f>IFERROR(INDEX([3]AGM!$D$21:$BL$928,MATCH($B1294,[3]AGM!$AD$21:$AD$928,0),1),"NA")</f>
        <v>OS</v>
      </c>
      <c r="F1294" s="20" t="str">
        <f t="shared" si="58"/>
        <v>Block 24</v>
      </c>
      <c r="G1294" s="20" t="str">
        <f t="shared" si="57"/>
        <v>Lot 17</v>
      </c>
      <c r="H1294" s="20">
        <f>IFERROR(INDEX('[2]PRICELIST, 908u'!$G$7:$AX$914,MATCH($B1294,'[2]PRICELIST, 908u'!$G$7:$G$914,0),23),"NA")</f>
        <v>50</v>
      </c>
      <c r="I1294" s="20">
        <f>IFERROR(INDEX('[2]PRICELIST, 908u'!$G$7:$AX$914,MATCH($B1294,'[2]PRICELIST, 908u'!$G$7:$G$914,0),22),"NA")</f>
        <v>70</v>
      </c>
      <c r="J1294" s="20" t="s">
        <v>207</v>
      </c>
      <c r="K1294" s="20" t="str">
        <f>IFERROR(INDEX('[2]PRICELIST, 908u'!$G$7:$AX$914,MATCH($B1294,'[2]PRICELIST, 908u'!$G$7:$G$914,0),30),"NA")</f>
        <v>Flat / PURPLE</v>
      </c>
      <c r="L1294" s="20">
        <f>IFERROR(INDEX('[2]PRICELIST, 908u'!$G$7:$AX$914,MATCH($B1294,'[2]PRICELIST, 908u'!$G$7:$G$914,0),40),"NA")</f>
        <v>2650000</v>
      </c>
      <c r="M1294" s="20">
        <f>IFERROR(INDEX('[2]PRICELIST, 908u'!$G$7:$AX$914,MATCH($B1294,'[2]PRICELIST, 908u'!$G$7:$G$914,0),41),"NA")</f>
        <v>100000</v>
      </c>
      <c r="N1294" s="58">
        <f t="shared" si="60"/>
        <v>2550000</v>
      </c>
      <c r="O1294" s="60"/>
      <c r="P1294" s="60">
        <f t="shared" si="59"/>
        <v>2550000</v>
      </c>
    </row>
    <row r="1295" spans="2:16">
      <c r="B1295" s="20" t="s">
        <v>1446</v>
      </c>
      <c r="C1295" s="20" t="s">
        <v>2</v>
      </c>
      <c r="D1295" s="20" t="str">
        <f>IFERROR(INDEX('[2]PRICELIST, 908u'!$G$7:$AX$914,MATCH($B1295,'[2]PRICELIST, 908u'!$G$7:$G$914,0),18),"NA")</f>
        <v>2025 - Batch 5</v>
      </c>
      <c r="E1295" s="20" t="str">
        <f>IFERROR(INDEX([3]AGM!$D$21:$BL$928,MATCH($B1295,[3]AGM!$AD$21:$AD$928,0),1),"NA")</f>
        <v>OS</v>
      </c>
      <c r="F1295" s="20" t="str">
        <f t="shared" si="58"/>
        <v>Block 24</v>
      </c>
      <c r="G1295" s="20" t="str">
        <f t="shared" si="57"/>
        <v>Lot 18</v>
      </c>
      <c r="H1295" s="20">
        <f>IFERROR(INDEX('[2]PRICELIST, 908u'!$G$7:$AX$914,MATCH($B1295,'[2]PRICELIST, 908u'!$G$7:$G$914,0),23),"NA")</f>
        <v>50</v>
      </c>
      <c r="I1295" s="20">
        <f>IFERROR(INDEX('[2]PRICELIST, 908u'!$G$7:$AX$914,MATCH($B1295,'[2]PRICELIST, 908u'!$G$7:$G$914,0),22),"NA")</f>
        <v>70</v>
      </c>
      <c r="J1295" s="20" t="s">
        <v>207</v>
      </c>
      <c r="K1295" s="20" t="str">
        <f>IFERROR(INDEX('[2]PRICELIST, 908u'!$G$7:$AX$914,MATCH($B1295,'[2]PRICELIST, 908u'!$G$7:$G$914,0),30),"NA")</f>
        <v>Slant / PURPLE</v>
      </c>
      <c r="L1295" s="20">
        <f>IFERROR(INDEX('[2]PRICELIST, 908u'!$G$7:$AX$914,MATCH($B1295,'[2]PRICELIST, 908u'!$G$7:$G$914,0),40),"NA")</f>
        <v>2650000</v>
      </c>
      <c r="M1295" s="20">
        <f>IFERROR(INDEX('[2]PRICELIST, 908u'!$G$7:$AX$914,MATCH($B1295,'[2]PRICELIST, 908u'!$G$7:$G$914,0),41),"NA")</f>
        <v>100000</v>
      </c>
      <c r="N1295" s="58">
        <f t="shared" si="60"/>
        <v>2550000</v>
      </c>
      <c r="O1295" s="60"/>
      <c r="P1295" s="60">
        <f t="shared" si="59"/>
        <v>2550000</v>
      </c>
    </row>
    <row r="1296" spans="2:16">
      <c r="B1296" s="20" t="s">
        <v>1447</v>
      </c>
      <c r="C1296" s="20" t="s">
        <v>2</v>
      </c>
      <c r="D1296" s="20" t="str">
        <f>IFERROR(INDEX('[2]PRICELIST, 908u'!$G$7:$AX$914,MATCH($B1296,'[2]PRICELIST, 908u'!$G$7:$G$914,0),18),"NA")</f>
        <v>2025 - Batch 5</v>
      </c>
      <c r="E1296" s="20" t="str">
        <f>IFERROR(INDEX([3]AGM!$D$21:$BL$928,MATCH($B1296,[3]AGM!$AD$21:$AD$928,0),1),"NA")</f>
        <v>OS</v>
      </c>
      <c r="F1296" s="20" t="str">
        <f t="shared" si="58"/>
        <v>Block 24</v>
      </c>
      <c r="G1296" s="20" t="str">
        <f t="shared" si="57"/>
        <v>Lot 19</v>
      </c>
      <c r="H1296" s="20">
        <f>IFERROR(INDEX('[2]PRICELIST, 908u'!$G$7:$AX$914,MATCH($B1296,'[2]PRICELIST, 908u'!$G$7:$G$914,0),23),"NA")</f>
        <v>50</v>
      </c>
      <c r="I1296" s="20">
        <f>IFERROR(INDEX('[2]PRICELIST, 908u'!$G$7:$AX$914,MATCH($B1296,'[2]PRICELIST, 908u'!$G$7:$G$914,0),22),"NA")</f>
        <v>70</v>
      </c>
      <c r="J1296" s="20" t="s">
        <v>207</v>
      </c>
      <c r="K1296" s="20" t="str">
        <f>IFERROR(INDEX('[2]PRICELIST, 908u'!$G$7:$AX$914,MATCH($B1296,'[2]PRICELIST, 908u'!$G$7:$G$914,0),30),"NA")</f>
        <v>Slant / PURPLE</v>
      </c>
      <c r="L1296" s="20">
        <f>IFERROR(INDEX('[2]PRICELIST, 908u'!$G$7:$AX$914,MATCH($B1296,'[2]PRICELIST, 908u'!$G$7:$G$914,0),40),"NA")</f>
        <v>2650000</v>
      </c>
      <c r="M1296" s="20">
        <f>IFERROR(INDEX('[2]PRICELIST, 908u'!$G$7:$AX$914,MATCH($B1296,'[2]PRICELIST, 908u'!$G$7:$G$914,0),41),"NA")</f>
        <v>100000</v>
      </c>
      <c r="N1296" s="58">
        <f t="shared" si="60"/>
        <v>2550000</v>
      </c>
      <c r="O1296" s="60"/>
      <c r="P1296" s="60">
        <f t="shared" si="59"/>
        <v>2550000</v>
      </c>
    </row>
    <row r="1297" spans="2:16">
      <c r="B1297" s="20" t="s">
        <v>1448</v>
      </c>
      <c r="C1297" s="20" t="s">
        <v>2</v>
      </c>
      <c r="D1297" s="20" t="str">
        <f>IFERROR(INDEX('[2]PRICELIST, 908u'!$G$7:$AX$914,MATCH($B1297,'[2]PRICELIST, 908u'!$G$7:$G$914,0),18),"NA")</f>
        <v>2025 - Batch 5</v>
      </c>
      <c r="E1297" s="20" t="str">
        <f>IFERROR(INDEX([3]AGM!$D$21:$BL$928,MATCH($B1297,[3]AGM!$AD$21:$AD$928,0),1),"NA")</f>
        <v>OS</v>
      </c>
      <c r="F1297" s="20" t="str">
        <f t="shared" si="58"/>
        <v>Block 24</v>
      </c>
      <c r="G1297" s="20" t="str">
        <f t="shared" si="57"/>
        <v>Lot 20</v>
      </c>
      <c r="H1297" s="20">
        <f>IFERROR(INDEX('[2]PRICELIST, 908u'!$G$7:$AX$914,MATCH($B1297,'[2]PRICELIST, 908u'!$G$7:$G$914,0),23),"NA")</f>
        <v>50</v>
      </c>
      <c r="I1297" s="20">
        <f>IFERROR(INDEX('[2]PRICELIST, 908u'!$G$7:$AX$914,MATCH($B1297,'[2]PRICELIST, 908u'!$G$7:$G$914,0),22),"NA")</f>
        <v>70</v>
      </c>
      <c r="J1297" s="20" t="s">
        <v>207</v>
      </c>
      <c r="K1297" s="20" t="str">
        <f>IFERROR(INDEX('[2]PRICELIST, 908u'!$G$7:$AX$914,MATCH($B1297,'[2]PRICELIST, 908u'!$G$7:$G$914,0),30),"NA")</f>
        <v>Flat / PURPLE</v>
      </c>
      <c r="L1297" s="20">
        <f>IFERROR(INDEX('[2]PRICELIST, 908u'!$G$7:$AX$914,MATCH($B1297,'[2]PRICELIST, 908u'!$G$7:$G$914,0),40),"NA")</f>
        <v>2650000</v>
      </c>
      <c r="M1297" s="20">
        <f>IFERROR(INDEX('[2]PRICELIST, 908u'!$G$7:$AX$914,MATCH($B1297,'[2]PRICELIST, 908u'!$G$7:$G$914,0),41),"NA")</f>
        <v>100000</v>
      </c>
      <c r="N1297" s="58">
        <f t="shared" si="60"/>
        <v>2550000</v>
      </c>
      <c r="O1297" s="60"/>
      <c r="P1297" s="60">
        <f t="shared" si="59"/>
        <v>2550000</v>
      </c>
    </row>
    <row r="1298" spans="2:16">
      <c r="B1298" s="20" t="s">
        <v>1449</v>
      </c>
      <c r="C1298" s="20" t="s">
        <v>2</v>
      </c>
      <c r="D1298" s="20" t="str">
        <f>IFERROR(INDEX('[2]PRICELIST, 908u'!$G$7:$AX$914,MATCH($B1298,'[2]PRICELIST, 908u'!$G$7:$G$914,0),18),"NA")</f>
        <v>2025 - Batch 5</v>
      </c>
      <c r="E1298" s="20" t="str">
        <f>IFERROR(INDEX([3]AGM!$D$21:$BL$928,MATCH($B1298,[3]AGM!$AD$21:$AD$928,0),1),"NA")</f>
        <v>OS</v>
      </c>
      <c r="F1298" s="20" t="str">
        <f t="shared" si="58"/>
        <v>Block 24</v>
      </c>
      <c r="G1298" s="20" t="str">
        <f t="shared" si="57"/>
        <v>Lot 21</v>
      </c>
      <c r="H1298" s="20">
        <f>IFERROR(INDEX('[2]PRICELIST, 908u'!$G$7:$AX$914,MATCH($B1298,'[2]PRICELIST, 908u'!$G$7:$G$914,0),23),"NA")</f>
        <v>50</v>
      </c>
      <c r="I1298" s="20">
        <f>IFERROR(INDEX('[2]PRICELIST, 908u'!$G$7:$AX$914,MATCH($B1298,'[2]PRICELIST, 908u'!$G$7:$G$914,0),22),"NA")</f>
        <v>70</v>
      </c>
      <c r="J1298" s="20" t="s">
        <v>207</v>
      </c>
      <c r="K1298" s="20" t="str">
        <f>IFERROR(INDEX('[2]PRICELIST, 908u'!$G$7:$AX$914,MATCH($B1298,'[2]PRICELIST, 908u'!$G$7:$G$914,0),30),"NA")</f>
        <v>Flat / PINK</v>
      </c>
      <c r="L1298" s="20">
        <f>IFERROR(INDEX('[2]PRICELIST, 908u'!$G$7:$AX$914,MATCH($B1298,'[2]PRICELIST, 908u'!$G$7:$G$914,0),40),"NA")</f>
        <v>2650000</v>
      </c>
      <c r="M1298" s="20">
        <f>IFERROR(INDEX('[2]PRICELIST, 908u'!$G$7:$AX$914,MATCH($B1298,'[2]PRICELIST, 908u'!$G$7:$G$914,0),41),"NA")</f>
        <v>100000</v>
      </c>
      <c r="N1298" s="58">
        <f t="shared" si="60"/>
        <v>2550000</v>
      </c>
      <c r="O1298" s="60"/>
      <c r="P1298" s="60">
        <f t="shared" si="59"/>
        <v>2550000</v>
      </c>
    </row>
    <row r="1299" spans="2:16">
      <c r="B1299" s="20" t="s">
        <v>1450</v>
      </c>
      <c r="C1299" s="20" t="s">
        <v>2</v>
      </c>
      <c r="D1299" s="20" t="str">
        <f>IFERROR(INDEX('[2]PRICELIST, 908u'!$G$7:$AX$914,MATCH($B1299,'[2]PRICELIST, 908u'!$G$7:$G$914,0),18),"NA")</f>
        <v>2025 - Batch 5</v>
      </c>
      <c r="E1299" s="20" t="str">
        <f>IFERROR(INDEX([3]AGM!$D$21:$BL$928,MATCH($B1299,[3]AGM!$AD$21:$AD$928,0),1),"NA")</f>
        <v>OS</v>
      </c>
      <c r="F1299" s="20" t="str">
        <f t="shared" si="58"/>
        <v>Block 24</v>
      </c>
      <c r="G1299" s="20" t="str">
        <f t="shared" si="57"/>
        <v>Lot 22</v>
      </c>
      <c r="H1299" s="20">
        <f>IFERROR(INDEX('[2]PRICELIST, 908u'!$G$7:$AX$914,MATCH($B1299,'[2]PRICELIST, 908u'!$G$7:$G$914,0),23),"NA")</f>
        <v>50</v>
      </c>
      <c r="I1299" s="20">
        <f>IFERROR(INDEX('[2]PRICELIST, 908u'!$G$7:$AX$914,MATCH($B1299,'[2]PRICELIST, 908u'!$G$7:$G$914,0),22),"NA")</f>
        <v>70</v>
      </c>
      <c r="J1299" s="20" t="s">
        <v>207</v>
      </c>
      <c r="K1299" s="20" t="str">
        <f>IFERROR(INDEX('[2]PRICELIST, 908u'!$G$7:$AX$914,MATCH($B1299,'[2]PRICELIST, 908u'!$G$7:$G$914,0),30),"NA")</f>
        <v>Slant / PINK</v>
      </c>
      <c r="L1299" s="20">
        <f>IFERROR(INDEX('[2]PRICELIST, 908u'!$G$7:$AX$914,MATCH($B1299,'[2]PRICELIST, 908u'!$G$7:$G$914,0),40),"NA")</f>
        <v>2650000</v>
      </c>
      <c r="M1299" s="20">
        <f>IFERROR(INDEX('[2]PRICELIST, 908u'!$G$7:$AX$914,MATCH($B1299,'[2]PRICELIST, 908u'!$G$7:$G$914,0),41),"NA")</f>
        <v>100000</v>
      </c>
      <c r="N1299" s="58">
        <f t="shared" si="60"/>
        <v>2550000</v>
      </c>
      <c r="O1299" s="60"/>
      <c r="P1299" s="60">
        <f t="shared" si="59"/>
        <v>2550000</v>
      </c>
    </row>
    <row r="1300" spans="2:16">
      <c r="B1300" s="20" t="s">
        <v>1451</v>
      </c>
      <c r="C1300" s="20" t="s">
        <v>2</v>
      </c>
      <c r="D1300" s="20" t="str">
        <f>IFERROR(INDEX('[2]PRICELIST, 908u'!$G$7:$AX$914,MATCH($B1300,'[2]PRICELIST, 908u'!$G$7:$G$914,0),18),"NA")</f>
        <v>2025 - Batch 1</v>
      </c>
      <c r="E1300" s="20" t="str">
        <f>IFERROR(INDEX([3]AGM!$D$21:$BL$928,MATCH($B1300,[3]AGM!$AD$21:$AD$928,0),1),"NA")</f>
        <v>OS</v>
      </c>
      <c r="F1300" s="20" t="str">
        <f t="shared" si="58"/>
        <v>Block 24</v>
      </c>
      <c r="G1300" s="20" t="str">
        <f t="shared" si="57"/>
        <v>Lot 23</v>
      </c>
      <c r="H1300" s="20">
        <f>IFERROR(INDEX('[2]PRICELIST, 908u'!$G$7:$AX$914,MATCH($B1300,'[2]PRICELIST, 908u'!$G$7:$G$914,0),23),"NA")</f>
        <v>50</v>
      </c>
      <c r="I1300" s="20">
        <f>IFERROR(INDEX('[2]PRICELIST, 908u'!$G$7:$AX$914,MATCH($B1300,'[2]PRICELIST, 908u'!$G$7:$G$914,0),22),"NA")</f>
        <v>70</v>
      </c>
      <c r="J1300" s="20" t="s">
        <v>207</v>
      </c>
      <c r="K1300" s="20" t="str">
        <f>IFERROR(INDEX('[2]PRICELIST, 908u'!$G$7:$AX$914,MATCH($B1300,'[2]PRICELIST, 908u'!$G$7:$G$914,0),30),"NA")</f>
        <v>Slant / PINK</v>
      </c>
      <c r="L1300" s="20">
        <f>IFERROR(INDEX('[2]PRICELIST, 908u'!$G$7:$AX$914,MATCH($B1300,'[2]PRICELIST, 908u'!$G$7:$G$914,0),40),"NA")</f>
        <v>2650000</v>
      </c>
      <c r="M1300" s="20">
        <f>IFERROR(INDEX('[2]PRICELIST, 908u'!$G$7:$AX$914,MATCH($B1300,'[2]PRICELIST, 908u'!$G$7:$G$914,0),41),"NA")</f>
        <v>100000</v>
      </c>
      <c r="N1300" s="58">
        <f t="shared" si="60"/>
        <v>2550000</v>
      </c>
      <c r="O1300" s="60"/>
      <c r="P1300" s="60">
        <f t="shared" si="59"/>
        <v>2550000</v>
      </c>
    </row>
    <row r="1301" spans="2:16">
      <c r="B1301" s="20" t="s">
        <v>1452</v>
      </c>
      <c r="C1301" s="20" t="s">
        <v>2</v>
      </c>
      <c r="D1301" s="20" t="str">
        <f>IFERROR(INDEX('[2]PRICELIST, 908u'!$G$7:$AX$914,MATCH($B1301,'[2]PRICELIST, 908u'!$G$7:$G$914,0),18),"NA")</f>
        <v>2025 - Batch 1</v>
      </c>
      <c r="E1301" s="20" t="str">
        <f>IFERROR(INDEX([3]AGM!$D$21:$BL$928,MATCH($B1301,[3]AGM!$AD$21:$AD$928,0),1),"NA")</f>
        <v>OS</v>
      </c>
      <c r="F1301" s="20" t="str">
        <f t="shared" si="58"/>
        <v>Block 24</v>
      </c>
      <c r="G1301" s="20" t="str">
        <f t="shared" si="57"/>
        <v>Lot 24</v>
      </c>
      <c r="H1301" s="20">
        <f>IFERROR(INDEX('[2]PRICELIST, 908u'!$G$7:$AX$914,MATCH($B1301,'[2]PRICELIST, 908u'!$G$7:$G$914,0),23),"NA")</f>
        <v>50</v>
      </c>
      <c r="I1301" s="20">
        <f>IFERROR(INDEX('[2]PRICELIST, 908u'!$G$7:$AX$914,MATCH($B1301,'[2]PRICELIST, 908u'!$G$7:$G$914,0),22),"NA")</f>
        <v>70</v>
      </c>
      <c r="J1301" s="20" t="s">
        <v>207</v>
      </c>
      <c r="K1301" s="20" t="str">
        <f>IFERROR(INDEX('[2]PRICELIST, 908u'!$G$7:$AX$914,MATCH($B1301,'[2]PRICELIST, 908u'!$G$7:$G$914,0),30),"NA")</f>
        <v>Flat / PINK</v>
      </c>
      <c r="L1301" s="20">
        <f>IFERROR(INDEX('[2]PRICELIST, 908u'!$G$7:$AX$914,MATCH($B1301,'[2]PRICELIST, 908u'!$G$7:$G$914,0),40),"NA")</f>
        <v>2650000</v>
      </c>
      <c r="M1301" s="20">
        <f>IFERROR(INDEX('[2]PRICELIST, 908u'!$G$7:$AX$914,MATCH($B1301,'[2]PRICELIST, 908u'!$G$7:$G$914,0),41),"NA")</f>
        <v>100000</v>
      </c>
      <c r="N1301" s="58">
        <f t="shared" si="60"/>
        <v>2550000</v>
      </c>
      <c r="O1301" s="60"/>
      <c r="P1301" s="60">
        <f t="shared" si="59"/>
        <v>2550000</v>
      </c>
    </row>
    <row r="1302" spans="2:16">
      <c r="B1302" s="20" t="s">
        <v>1453</v>
      </c>
      <c r="C1302" s="20" t="s">
        <v>2</v>
      </c>
      <c r="D1302" s="20" t="str">
        <f>IFERROR(INDEX('[2]PRICELIST, 908u'!$G$7:$AX$914,MATCH($B1302,'[2]PRICELIST, 908u'!$G$7:$G$914,0),18),"NA")</f>
        <v>2025 - Batch 1</v>
      </c>
      <c r="E1302" s="20" t="str">
        <f>IFERROR(INDEX([3]AGM!$D$21:$BL$928,MATCH($B1302,[3]AGM!$AD$21:$AD$928,0),1),"NA")</f>
        <v>OS</v>
      </c>
      <c r="F1302" s="20" t="str">
        <f t="shared" si="58"/>
        <v>Block 24</v>
      </c>
      <c r="G1302" s="20" t="str">
        <f t="shared" si="57"/>
        <v>Lot 25</v>
      </c>
      <c r="H1302" s="20">
        <f>IFERROR(INDEX('[2]PRICELIST, 908u'!$G$7:$AX$914,MATCH($B1302,'[2]PRICELIST, 908u'!$G$7:$G$914,0),23),"NA")</f>
        <v>50</v>
      </c>
      <c r="I1302" s="20">
        <f>IFERROR(INDEX('[2]PRICELIST, 908u'!$G$7:$AX$914,MATCH($B1302,'[2]PRICELIST, 908u'!$G$7:$G$914,0),22),"NA")</f>
        <v>70</v>
      </c>
      <c r="J1302" s="20" t="s">
        <v>207</v>
      </c>
      <c r="K1302" s="20" t="str">
        <f>IFERROR(INDEX('[2]PRICELIST, 908u'!$G$7:$AX$914,MATCH($B1302,'[2]PRICELIST, 908u'!$G$7:$G$914,0),30),"NA")</f>
        <v>Flat / YELLOW</v>
      </c>
      <c r="L1302" s="20">
        <f>IFERROR(INDEX('[2]PRICELIST, 908u'!$G$7:$AX$914,MATCH($B1302,'[2]PRICELIST, 908u'!$G$7:$G$914,0),40),"NA")</f>
        <v>2650000</v>
      </c>
      <c r="M1302" s="20">
        <f>IFERROR(INDEX('[2]PRICELIST, 908u'!$G$7:$AX$914,MATCH($B1302,'[2]PRICELIST, 908u'!$G$7:$G$914,0),41),"NA")</f>
        <v>100000</v>
      </c>
      <c r="N1302" s="58">
        <f t="shared" si="60"/>
        <v>2550000</v>
      </c>
      <c r="O1302" s="60"/>
      <c r="P1302" s="60">
        <f t="shared" si="59"/>
        <v>2550000</v>
      </c>
    </row>
    <row r="1303" spans="2:16">
      <c r="B1303" s="20" t="s">
        <v>1454</v>
      </c>
      <c r="C1303" s="20" t="s">
        <v>2</v>
      </c>
      <c r="D1303" s="20" t="str">
        <f>IFERROR(INDEX('[2]PRICELIST, 908u'!$G$7:$AX$914,MATCH($B1303,'[2]PRICELIST, 908u'!$G$7:$G$914,0),18),"NA")</f>
        <v>2025 - Batch 1</v>
      </c>
      <c r="E1303" s="20" t="str">
        <f>IFERROR(INDEX([3]AGM!$D$21:$BL$928,MATCH($B1303,[3]AGM!$AD$21:$AD$928,0),1),"NA")</f>
        <v>OS</v>
      </c>
      <c r="F1303" s="20" t="str">
        <f t="shared" si="58"/>
        <v>Block 24</v>
      </c>
      <c r="G1303" s="20" t="str">
        <f t="shared" si="57"/>
        <v>Lot 26</v>
      </c>
      <c r="H1303" s="20">
        <f>IFERROR(INDEX('[2]PRICELIST, 908u'!$G$7:$AX$914,MATCH($B1303,'[2]PRICELIST, 908u'!$G$7:$G$914,0),23),"NA")</f>
        <v>50</v>
      </c>
      <c r="I1303" s="20">
        <f>IFERROR(INDEX('[2]PRICELIST, 908u'!$G$7:$AX$914,MATCH($B1303,'[2]PRICELIST, 908u'!$G$7:$G$914,0),22),"NA")</f>
        <v>70</v>
      </c>
      <c r="J1303" s="20" t="s">
        <v>207</v>
      </c>
      <c r="K1303" s="20" t="str">
        <f>IFERROR(INDEX('[2]PRICELIST, 908u'!$G$7:$AX$914,MATCH($B1303,'[2]PRICELIST, 908u'!$G$7:$G$914,0),30),"NA")</f>
        <v>Slant / YELLOW</v>
      </c>
      <c r="L1303" s="20">
        <f>IFERROR(INDEX('[2]PRICELIST, 908u'!$G$7:$AX$914,MATCH($B1303,'[2]PRICELIST, 908u'!$G$7:$G$914,0),40),"NA")</f>
        <v>2650000</v>
      </c>
      <c r="M1303" s="20">
        <f>IFERROR(INDEX('[2]PRICELIST, 908u'!$G$7:$AX$914,MATCH($B1303,'[2]PRICELIST, 908u'!$G$7:$G$914,0),41),"NA")</f>
        <v>100000</v>
      </c>
      <c r="N1303" s="58">
        <f t="shared" si="60"/>
        <v>2550000</v>
      </c>
      <c r="O1303" s="60"/>
      <c r="P1303" s="60">
        <f t="shared" si="59"/>
        <v>2550000</v>
      </c>
    </row>
    <row r="1304" spans="2:16">
      <c r="B1304" s="20" t="s">
        <v>1455</v>
      </c>
      <c r="C1304" s="20" t="s">
        <v>2</v>
      </c>
      <c r="D1304" s="20" t="str">
        <f>IFERROR(INDEX('[2]PRICELIST, 908u'!$G$7:$AX$914,MATCH($B1304,'[2]PRICELIST, 908u'!$G$7:$G$914,0),18),"NA")</f>
        <v>2025 - Batch 1</v>
      </c>
      <c r="E1304" s="20" t="str">
        <f>IFERROR(INDEX([3]AGM!$D$21:$BL$928,MATCH($B1304,[3]AGM!$AD$21:$AD$928,0),1),"NA")</f>
        <v>OS</v>
      </c>
      <c r="F1304" s="20" t="str">
        <f t="shared" si="58"/>
        <v>Block 24</v>
      </c>
      <c r="G1304" s="20" t="str">
        <f t="shared" ref="G1304:G1367" si="61">"Lot "&amp;TEXT(VALUE(RIGHT(B1304,3)),"00")</f>
        <v>Lot 27</v>
      </c>
      <c r="H1304" s="20">
        <f>IFERROR(INDEX('[2]PRICELIST, 908u'!$G$7:$AX$914,MATCH($B1304,'[2]PRICELIST, 908u'!$G$7:$G$914,0),23),"NA")</f>
        <v>50</v>
      </c>
      <c r="I1304" s="20">
        <f>IFERROR(INDEX('[2]PRICELIST, 908u'!$G$7:$AX$914,MATCH($B1304,'[2]PRICELIST, 908u'!$G$7:$G$914,0),22),"NA")</f>
        <v>70</v>
      </c>
      <c r="J1304" s="20" t="s">
        <v>207</v>
      </c>
      <c r="K1304" s="20" t="str">
        <f>IFERROR(INDEX('[2]PRICELIST, 908u'!$G$7:$AX$914,MATCH($B1304,'[2]PRICELIST, 908u'!$G$7:$G$914,0),30),"NA")</f>
        <v>Slant / YELLOW</v>
      </c>
      <c r="L1304" s="20">
        <f>IFERROR(INDEX('[2]PRICELIST, 908u'!$G$7:$AX$914,MATCH($B1304,'[2]PRICELIST, 908u'!$G$7:$G$914,0),40),"NA")</f>
        <v>2650000</v>
      </c>
      <c r="M1304" s="20">
        <f>IFERROR(INDEX('[2]PRICELIST, 908u'!$G$7:$AX$914,MATCH($B1304,'[2]PRICELIST, 908u'!$G$7:$G$914,0),41),"NA")</f>
        <v>100000</v>
      </c>
      <c r="N1304" s="58">
        <f t="shared" si="60"/>
        <v>2550000</v>
      </c>
      <c r="O1304" s="60"/>
      <c r="P1304" s="60">
        <f t="shared" si="59"/>
        <v>2550000</v>
      </c>
    </row>
    <row r="1305" spans="2:16">
      <c r="B1305" s="20" t="s">
        <v>1456</v>
      </c>
      <c r="C1305" s="20" t="s">
        <v>2</v>
      </c>
      <c r="D1305" s="20" t="str">
        <f>IFERROR(INDEX('[2]PRICELIST, 908u'!$G$7:$AX$914,MATCH($B1305,'[2]PRICELIST, 908u'!$G$7:$G$914,0),18),"NA")</f>
        <v>2025 - Batch 1</v>
      </c>
      <c r="E1305" s="20" t="str">
        <f>IFERROR(INDEX([3]AGM!$D$21:$BL$928,MATCH($B1305,[3]AGM!$AD$21:$AD$928,0),1),"NA")</f>
        <v>OS</v>
      </c>
      <c r="F1305" s="20" t="str">
        <f t="shared" ref="F1305:F1368" si="62">"Block "&amp;TEXT(VALUE(MID(B1305,8,3)),"00")</f>
        <v>Block 24</v>
      </c>
      <c r="G1305" s="20" t="str">
        <f t="shared" si="61"/>
        <v>Lot 28</v>
      </c>
      <c r="H1305" s="20">
        <f>IFERROR(INDEX('[2]PRICELIST, 908u'!$G$7:$AX$914,MATCH($B1305,'[2]PRICELIST, 908u'!$G$7:$G$914,0),23),"NA")</f>
        <v>50</v>
      </c>
      <c r="I1305" s="20">
        <f>IFERROR(INDEX('[2]PRICELIST, 908u'!$G$7:$AX$914,MATCH($B1305,'[2]PRICELIST, 908u'!$G$7:$G$914,0),22),"NA")</f>
        <v>81</v>
      </c>
      <c r="J1305" s="20" t="s">
        <v>207</v>
      </c>
      <c r="K1305" s="20" t="str">
        <f>IFERROR(INDEX('[2]PRICELIST, 908u'!$G$7:$AX$914,MATCH($B1305,'[2]PRICELIST, 908u'!$G$7:$G$914,0),30),"NA")</f>
        <v>Flat / YELLOW</v>
      </c>
      <c r="L1305" s="20">
        <f>IFERROR(INDEX('[2]PRICELIST, 908u'!$G$7:$AX$914,MATCH($B1305,'[2]PRICELIST, 908u'!$G$7:$G$914,0),40),"NA")</f>
        <v>2815000</v>
      </c>
      <c r="M1305" s="20">
        <f>IFERROR(INDEX('[2]PRICELIST, 908u'!$G$7:$AX$914,MATCH($B1305,'[2]PRICELIST, 908u'!$G$7:$G$914,0),41),"NA")</f>
        <v>100000</v>
      </c>
      <c r="N1305" s="58">
        <f t="shared" si="60"/>
        <v>2715000</v>
      </c>
      <c r="O1305" s="60"/>
      <c r="P1305" s="60">
        <f t="shared" ref="P1305:P1368" si="63">N1305-O1305</f>
        <v>2715000</v>
      </c>
    </row>
    <row r="1306" spans="2:16">
      <c r="B1306" s="20" t="s">
        <v>1457</v>
      </c>
      <c r="C1306" s="20" t="s">
        <v>2</v>
      </c>
      <c r="D1306" s="20" t="str">
        <f>IFERROR(INDEX('[2]PRICELIST, 908u'!$G$7:$AX$914,MATCH($B1306,'[2]PRICELIST, 908u'!$G$7:$G$914,0),18),"NA")</f>
        <v>2025 - Batch 1</v>
      </c>
      <c r="E1306" s="20" t="str">
        <f>IFERROR(INDEX([3]AGM!$D$21:$BL$928,MATCH($B1306,[3]AGM!$AD$21:$AD$928,0),1),"NA")</f>
        <v>OS</v>
      </c>
      <c r="F1306" s="20" t="str">
        <f t="shared" si="62"/>
        <v>Block 24</v>
      </c>
      <c r="G1306" s="20" t="str">
        <f t="shared" si="61"/>
        <v>Lot 29</v>
      </c>
      <c r="H1306" s="20">
        <f>IFERROR(INDEX('[2]PRICELIST, 908u'!$G$7:$AX$914,MATCH($B1306,'[2]PRICELIST, 908u'!$G$7:$G$914,0),23),"NA")</f>
        <v>50</v>
      </c>
      <c r="I1306" s="20">
        <f>IFERROR(INDEX('[2]PRICELIST, 908u'!$G$7:$AX$914,MATCH($B1306,'[2]PRICELIST, 908u'!$G$7:$G$914,0),22),"NA")</f>
        <v>81</v>
      </c>
      <c r="J1306" s="20" t="s">
        <v>207</v>
      </c>
      <c r="K1306" s="20" t="str">
        <f>IFERROR(INDEX('[2]PRICELIST, 908u'!$G$7:$AX$914,MATCH($B1306,'[2]PRICELIST, 908u'!$G$7:$G$914,0),30),"NA")</f>
        <v>Slant / GREEN</v>
      </c>
      <c r="L1306" s="20">
        <f>IFERROR(INDEX('[2]PRICELIST, 908u'!$G$7:$AX$914,MATCH($B1306,'[2]PRICELIST, 908u'!$G$7:$G$914,0),40),"NA")</f>
        <v>2815000</v>
      </c>
      <c r="M1306" s="20">
        <f>IFERROR(INDEX('[2]PRICELIST, 908u'!$G$7:$AX$914,MATCH($B1306,'[2]PRICELIST, 908u'!$G$7:$G$914,0),41),"NA")</f>
        <v>100000</v>
      </c>
      <c r="N1306" s="58">
        <f t="shared" ref="N1306:N1369" si="64">L1306-M1306</f>
        <v>2715000</v>
      </c>
      <c r="O1306" s="60"/>
      <c r="P1306" s="60">
        <f t="shared" si="63"/>
        <v>2715000</v>
      </c>
    </row>
    <row r="1307" spans="2:16">
      <c r="B1307" s="20" t="s">
        <v>1458</v>
      </c>
      <c r="C1307" s="20" t="s">
        <v>2</v>
      </c>
      <c r="D1307" s="20" t="str">
        <f>IFERROR(INDEX('[2]PRICELIST, 908u'!$G$7:$AX$914,MATCH($B1307,'[2]PRICELIST, 908u'!$G$7:$G$914,0),18),"NA")</f>
        <v>2025 - Batch 1</v>
      </c>
      <c r="E1307" s="20" t="str">
        <f>IFERROR(INDEX([3]AGM!$D$21:$BL$928,MATCH($B1307,[3]AGM!$AD$21:$AD$928,0),1),"NA")</f>
        <v>OS</v>
      </c>
      <c r="F1307" s="20" t="str">
        <f t="shared" si="62"/>
        <v>Block 24</v>
      </c>
      <c r="G1307" s="20" t="str">
        <f t="shared" si="61"/>
        <v>Lot 30</v>
      </c>
      <c r="H1307" s="20">
        <f>IFERROR(INDEX('[2]PRICELIST, 908u'!$G$7:$AX$914,MATCH($B1307,'[2]PRICELIST, 908u'!$G$7:$G$914,0),23),"NA")</f>
        <v>50</v>
      </c>
      <c r="I1307" s="20">
        <f>IFERROR(INDEX('[2]PRICELIST, 908u'!$G$7:$AX$914,MATCH($B1307,'[2]PRICELIST, 908u'!$G$7:$G$914,0),22),"NA")</f>
        <v>70</v>
      </c>
      <c r="J1307" s="20" t="s">
        <v>207</v>
      </c>
      <c r="K1307" s="20" t="str">
        <f>IFERROR(INDEX('[2]PRICELIST, 908u'!$G$7:$AX$914,MATCH($B1307,'[2]PRICELIST, 908u'!$G$7:$G$914,0),30),"NA")</f>
        <v>Flat / GREEN</v>
      </c>
      <c r="L1307" s="20">
        <f>IFERROR(INDEX('[2]PRICELIST, 908u'!$G$7:$AX$914,MATCH($B1307,'[2]PRICELIST, 908u'!$G$7:$G$914,0),40),"NA")</f>
        <v>2650000</v>
      </c>
      <c r="M1307" s="20">
        <f>IFERROR(INDEX('[2]PRICELIST, 908u'!$G$7:$AX$914,MATCH($B1307,'[2]PRICELIST, 908u'!$G$7:$G$914,0),41),"NA")</f>
        <v>100000</v>
      </c>
      <c r="N1307" s="58">
        <f t="shared" si="64"/>
        <v>2550000</v>
      </c>
      <c r="O1307" s="60"/>
      <c r="P1307" s="60">
        <f t="shared" si="63"/>
        <v>2550000</v>
      </c>
    </row>
    <row r="1308" spans="2:16">
      <c r="B1308" s="20" t="s">
        <v>1459</v>
      </c>
      <c r="C1308" s="20" t="s">
        <v>2</v>
      </c>
      <c r="D1308" s="20" t="str">
        <f>IFERROR(INDEX('[2]PRICELIST, 908u'!$G$7:$AX$914,MATCH($B1308,'[2]PRICELIST, 908u'!$G$7:$G$914,0),18),"NA")</f>
        <v>2025 - Batch 1</v>
      </c>
      <c r="E1308" s="20" t="str">
        <f>IFERROR(INDEX([3]AGM!$D$21:$BL$928,MATCH($B1308,[3]AGM!$AD$21:$AD$928,0),1),"NA")</f>
        <v>OS</v>
      </c>
      <c r="F1308" s="20" t="str">
        <f t="shared" si="62"/>
        <v>Block 24</v>
      </c>
      <c r="G1308" s="20" t="str">
        <f t="shared" si="61"/>
        <v>Lot 31</v>
      </c>
      <c r="H1308" s="20">
        <f>IFERROR(INDEX('[2]PRICELIST, 908u'!$G$7:$AX$914,MATCH($B1308,'[2]PRICELIST, 908u'!$G$7:$G$914,0),23),"NA")</f>
        <v>50</v>
      </c>
      <c r="I1308" s="20">
        <f>IFERROR(INDEX('[2]PRICELIST, 908u'!$G$7:$AX$914,MATCH($B1308,'[2]PRICELIST, 908u'!$G$7:$G$914,0),22),"NA")</f>
        <v>70</v>
      </c>
      <c r="J1308" s="20" t="s">
        <v>207</v>
      </c>
      <c r="K1308" s="20" t="str">
        <f>IFERROR(INDEX('[2]PRICELIST, 908u'!$G$7:$AX$914,MATCH($B1308,'[2]PRICELIST, 908u'!$G$7:$G$914,0),30),"NA")</f>
        <v>Flat / GREEN</v>
      </c>
      <c r="L1308" s="20">
        <f>IFERROR(INDEX('[2]PRICELIST, 908u'!$G$7:$AX$914,MATCH($B1308,'[2]PRICELIST, 908u'!$G$7:$G$914,0),40),"NA")</f>
        <v>2650000</v>
      </c>
      <c r="M1308" s="20">
        <f>IFERROR(INDEX('[2]PRICELIST, 908u'!$G$7:$AX$914,MATCH($B1308,'[2]PRICELIST, 908u'!$G$7:$G$914,0),41),"NA")</f>
        <v>100000</v>
      </c>
      <c r="N1308" s="58">
        <f t="shared" si="64"/>
        <v>2550000</v>
      </c>
      <c r="O1308" s="60"/>
      <c r="P1308" s="60">
        <f t="shared" si="63"/>
        <v>2550000</v>
      </c>
    </row>
    <row r="1309" spans="2:16">
      <c r="B1309" s="20" t="s">
        <v>1460</v>
      </c>
      <c r="C1309" s="20" t="s">
        <v>2</v>
      </c>
      <c r="D1309" s="20" t="str">
        <f>IFERROR(INDEX('[2]PRICELIST, 908u'!$G$7:$AX$914,MATCH($B1309,'[2]PRICELIST, 908u'!$G$7:$G$914,0),18),"NA")</f>
        <v>2025 - Batch 1</v>
      </c>
      <c r="E1309" s="20" t="str">
        <f>IFERROR(INDEX([3]AGM!$D$21:$BL$928,MATCH($B1309,[3]AGM!$AD$21:$AD$928,0),1),"NA")</f>
        <v>OS</v>
      </c>
      <c r="F1309" s="20" t="str">
        <f t="shared" si="62"/>
        <v>Block 24</v>
      </c>
      <c r="G1309" s="20" t="str">
        <f t="shared" si="61"/>
        <v>Lot 32</v>
      </c>
      <c r="H1309" s="20">
        <f>IFERROR(INDEX('[2]PRICELIST, 908u'!$G$7:$AX$914,MATCH($B1309,'[2]PRICELIST, 908u'!$G$7:$G$914,0),23),"NA")</f>
        <v>50</v>
      </c>
      <c r="I1309" s="20">
        <f>IFERROR(INDEX('[2]PRICELIST, 908u'!$G$7:$AX$914,MATCH($B1309,'[2]PRICELIST, 908u'!$G$7:$G$914,0),22),"NA")</f>
        <v>70</v>
      </c>
      <c r="J1309" s="20" t="s">
        <v>207</v>
      </c>
      <c r="K1309" s="20" t="str">
        <f>IFERROR(INDEX('[2]PRICELIST, 908u'!$G$7:$AX$914,MATCH($B1309,'[2]PRICELIST, 908u'!$G$7:$G$914,0),30),"NA")</f>
        <v>Slant / GREEN</v>
      </c>
      <c r="L1309" s="20">
        <f>IFERROR(INDEX('[2]PRICELIST, 908u'!$G$7:$AX$914,MATCH($B1309,'[2]PRICELIST, 908u'!$G$7:$G$914,0),40),"NA")</f>
        <v>2650000</v>
      </c>
      <c r="M1309" s="20">
        <f>IFERROR(INDEX('[2]PRICELIST, 908u'!$G$7:$AX$914,MATCH($B1309,'[2]PRICELIST, 908u'!$G$7:$G$914,0),41),"NA")</f>
        <v>100000</v>
      </c>
      <c r="N1309" s="58">
        <f t="shared" si="64"/>
        <v>2550000</v>
      </c>
      <c r="O1309" s="60"/>
      <c r="P1309" s="60">
        <f t="shared" si="63"/>
        <v>2550000</v>
      </c>
    </row>
    <row r="1310" spans="2:16">
      <c r="B1310" s="20" t="s">
        <v>1461</v>
      </c>
      <c r="C1310" s="20" t="s">
        <v>2</v>
      </c>
      <c r="D1310" s="20" t="str">
        <f>IFERROR(INDEX('[2]PRICELIST, 908u'!$G$7:$AX$914,MATCH($B1310,'[2]PRICELIST, 908u'!$G$7:$G$914,0),18),"NA")</f>
        <v>2025 - Batch 1</v>
      </c>
      <c r="E1310" s="20" t="str">
        <f>IFERROR(INDEX([3]AGM!$D$21:$BL$928,MATCH($B1310,[3]AGM!$AD$21:$AD$928,0),1),"NA")</f>
        <v>OS</v>
      </c>
      <c r="F1310" s="20" t="str">
        <f t="shared" si="62"/>
        <v>Block 24</v>
      </c>
      <c r="G1310" s="20" t="str">
        <f t="shared" si="61"/>
        <v>Lot 33</v>
      </c>
      <c r="H1310" s="20">
        <f>IFERROR(INDEX('[2]PRICELIST, 908u'!$G$7:$AX$914,MATCH($B1310,'[2]PRICELIST, 908u'!$G$7:$G$914,0),23),"NA")</f>
        <v>50</v>
      </c>
      <c r="I1310" s="20">
        <f>IFERROR(INDEX('[2]PRICELIST, 908u'!$G$7:$AX$914,MATCH($B1310,'[2]PRICELIST, 908u'!$G$7:$G$914,0),22),"NA")</f>
        <v>70</v>
      </c>
      <c r="J1310" s="20" t="s">
        <v>207</v>
      </c>
      <c r="K1310" s="20" t="str">
        <f>IFERROR(INDEX('[2]PRICELIST, 908u'!$G$7:$AX$914,MATCH($B1310,'[2]PRICELIST, 908u'!$G$7:$G$914,0),30),"NA")</f>
        <v>Slant / YELLOW</v>
      </c>
      <c r="L1310" s="20">
        <f>IFERROR(INDEX('[2]PRICELIST, 908u'!$G$7:$AX$914,MATCH($B1310,'[2]PRICELIST, 908u'!$G$7:$G$914,0),40),"NA")</f>
        <v>2650000</v>
      </c>
      <c r="M1310" s="20">
        <f>IFERROR(INDEX('[2]PRICELIST, 908u'!$G$7:$AX$914,MATCH($B1310,'[2]PRICELIST, 908u'!$G$7:$G$914,0),41),"NA")</f>
        <v>100000</v>
      </c>
      <c r="N1310" s="58">
        <f t="shared" si="64"/>
        <v>2550000</v>
      </c>
      <c r="O1310" s="60"/>
      <c r="P1310" s="60">
        <f t="shared" si="63"/>
        <v>2550000</v>
      </c>
    </row>
    <row r="1311" spans="2:16">
      <c r="B1311" s="20" t="s">
        <v>1462</v>
      </c>
      <c r="C1311" s="20" t="s">
        <v>2</v>
      </c>
      <c r="D1311" s="20" t="str">
        <f>IFERROR(INDEX('[2]PRICELIST, 908u'!$G$7:$AX$914,MATCH($B1311,'[2]PRICELIST, 908u'!$G$7:$G$914,0),18),"NA")</f>
        <v>2025 - Batch 1</v>
      </c>
      <c r="E1311" s="20" t="str">
        <f>IFERROR(INDEX([3]AGM!$D$21:$BL$928,MATCH($B1311,[3]AGM!$AD$21:$AD$928,0),1),"NA")</f>
        <v>OS</v>
      </c>
      <c r="F1311" s="20" t="str">
        <f t="shared" si="62"/>
        <v>Block 24</v>
      </c>
      <c r="G1311" s="20" t="str">
        <f t="shared" si="61"/>
        <v>Lot 34</v>
      </c>
      <c r="H1311" s="20">
        <f>IFERROR(INDEX('[2]PRICELIST, 908u'!$G$7:$AX$914,MATCH($B1311,'[2]PRICELIST, 908u'!$G$7:$G$914,0),23),"NA")</f>
        <v>50</v>
      </c>
      <c r="I1311" s="20">
        <f>IFERROR(INDEX('[2]PRICELIST, 908u'!$G$7:$AX$914,MATCH($B1311,'[2]PRICELIST, 908u'!$G$7:$G$914,0),22),"NA")</f>
        <v>70</v>
      </c>
      <c r="J1311" s="20" t="s">
        <v>207</v>
      </c>
      <c r="K1311" s="20" t="str">
        <f>IFERROR(INDEX('[2]PRICELIST, 908u'!$G$7:$AX$914,MATCH($B1311,'[2]PRICELIST, 908u'!$G$7:$G$914,0),30),"NA")</f>
        <v>Flat / YELLOW</v>
      </c>
      <c r="L1311" s="20">
        <f>IFERROR(INDEX('[2]PRICELIST, 908u'!$G$7:$AX$914,MATCH($B1311,'[2]PRICELIST, 908u'!$G$7:$G$914,0),40),"NA")</f>
        <v>2650000</v>
      </c>
      <c r="M1311" s="20">
        <f>IFERROR(INDEX('[2]PRICELIST, 908u'!$G$7:$AX$914,MATCH($B1311,'[2]PRICELIST, 908u'!$G$7:$G$914,0),41),"NA")</f>
        <v>100000</v>
      </c>
      <c r="N1311" s="58">
        <f t="shared" si="64"/>
        <v>2550000</v>
      </c>
      <c r="O1311" s="60"/>
      <c r="P1311" s="60">
        <f t="shared" si="63"/>
        <v>2550000</v>
      </c>
    </row>
    <row r="1312" spans="2:16">
      <c r="B1312" s="20" t="s">
        <v>1463</v>
      </c>
      <c r="C1312" s="20" t="s">
        <v>2</v>
      </c>
      <c r="D1312" s="20" t="str">
        <f>IFERROR(INDEX('[2]PRICELIST, 908u'!$G$7:$AX$914,MATCH($B1312,'[2]PRICELIST, 908u'!$G$7:$G$914,0),18),"NA")</f>
        <v>2025 - Batch 2</v>
      </c>
      <c r="E1312" s="20" t="str">
        <f>IFERROR(INDEX([3]AGM!$D$21:$BL$928,MATCH($B1312,[3]AGM!$AD$21:$AD$928,0),1),"NA")</f>
        <v>OS</v>
      </c>
      <c r="F1312" s="20" t="str">
        <f t="shared" si="62"/>
        <v>Block 24</v>
      </c>
      <c r="G1312" s="20" t="str">
        <f t="shared" si="61"/>
        <v>Lot 35</v>
      </c>
      <c r="H1312" s="20">
        <f>IFERROR(INDEX('[2]PRICELIST, 908u'!$G$7:$AX$914,MATCH($B1312,'[2]PRICELIST, 908u'!$G$7:$G$914,0),23),"NA")</f>
        <v>50</v>
      </c>
      <c r="I1312" s="20">
        <f>IFERROR(INDEX('[2]PRICELIST, 908u'!$G$7:$AX$914,MATCH($B1312,'[2]PRICELIST, 908u'!$G$7:$G$914,0),22),"NA")</f>
        <v>70</v>
      </c>
      <c r="J1312" s="20" t="s">
        <v>207</v>
      </c>
      <c r="K1312" s="20" t="str">
        <f>IFERROR(INDEX('[2]PRICELIST, 908u'!$G$7:$AX$914,MATCH($B1312,'[2]PRICELIST, 908u'!$G$7:$G$914,0),30),"NA")</f>
        <v>Flat / YELLOW</v>
      </c>
      <c r="L1312" s="20">
        <f>IFERROR(INDEX('[2]PRICELIST, 908u'!$G$7:$AX$914,MATCH($B1312,'[2]PRICELIST, 908u'!$G$7:$G$914,0),40),"NA")</f>
        <v>2650000</v>
      </c>
      <c r="M1312" s="20">
        <f>IFERROR(INDEX('[2]PRICELIST, 908u'!$G$7:$AX$914,MATCH($B1312,'[2]PRICELIST, 908u'!$G$7:$G$914,0),41),"NA")</f>
        <v>100000</v>
      </c>
      <c r="N1312" s="58">
        <f t="shared" si="64"/>
        <v>2550000</v>
      </c>
      <c r="O1312" s="60"/>
      <c r="P1312" s="60">
        <f t="shared" si="63"/>
        <v>2550000</v>
      </c>
    </row>
    <row r="1313" spans="2:16">
      <c r="B1313" s="20" t="s">
        <v>1464</v>
      </c>
      <c r="C1313" s="20" t="s">
        <v>2</v>
      </c>
      <c r="D1313" s="20" t="str">
        <f>IFERROR(INDEX('[2]PRICELIST, 908u'!$G$7:$AX$914,MATCH($B1313,'[2]PRICELIST, 908u'!$G$7:$G$914,0),18),"NA")</f>
        <v>2025 - Batch 2</v>
      </c>
      <c r="E1313" s="20" t="str">
        <f>IFERROR(INDEX([3]AGM!$D$21:$BL$928,MATCH($B1313,[3]AGM!$AD$21:$AD$928,0),1),"NA")</f>
        <v>OS</v>
      </c>
      <c r="F1313" s="20" t="str">
        <f t="shared" si="62"/>
        <v>Block 24</v>
      </c>
      <c r="G1313" s="20" t="str">
        <f t="shared" si="61"/>
        <v>Lot 36</v>
      </c>
      <c r="H1313" s="20">
        <f>IFERROR(INDEX('[2]PRICELIST, 908u'!$G$7:$AX$914,MATCH($B1313,'[2]PRICELIST, 908u'!$G$7:$G$914,0),23),"NA")</f>
        <v>50</v>
      </c>
      <c r="I1313" s="20">
        <f>IFERROR(INDEX('[2]PRICELIST, 908u'!$G$7:$AX$914,MATCH($B1313,'[2]PRICELIST, 908u'!$G$7:$G$914,0),22),"NA")</f>
        <v>70</v>
      </c>
      <c r="J1313" s="20" t="s">
        <v>207</v>
      </c>
      <c r="K1313" s="20" t="str">
        <f>IFERROR(INDEX('[2]PRICELIST, 908u'!$G$7:$AX$914,MATCH($B1313,'[2]PRICELIST, 908u'!$G$7:$G$914,0),30),"NA")</f>
        <v>Slant / YELLOW</v>
      </c>
      <c r="L1313" s="20">
        <f>IFERROR(INDEX('[2]PRICELIST, 908u'!$G$7:$AX$914,MATCH($B1313,'[2]PRICELIST, 908u'!$G$7:$G$914,0),40),"NA")</f>
        <v>2650000</v>
      </c>
      <c r="M1313" s="20">
        <f>IFERROR(INDEX('[2]PRICELIST, 908u'!$G$7:$AX$914,MATCH($B1313,'[2]PRICELIST, 908u'!$G$7:$G$914,0),41),"NA")</f>
        <v>100000</v>
      </c>
      <c r="N1313" s="58">
        <f t="shared" si="64"/>
        <v>2550000</v>
      </c>
      <c r="O1313" s="60"/>
      <c r="P1313" s="60">
        <f t="shared" si="63"/>
        <v>2550000</v>
      </c>
    </row>
    <row r="1314" spans="2:16">
      <c r="B1314" s="20" t="s">
        <v>1465</v>
      </c>
      <c r="C1314" s="20" t="s">
        <v>2</v>
      </c>
      <c r="D1314" s="20" t="str">
        <f>IFERROR(INDEX('[2]PRICELIST, 908u'!$G$7:$AX$914,MATCH($B1314,'[2]PRICELIST, 908u'!$G$7:$G$914,0),18),"NA")</f>
        <v>2025 - Batch 2</v>
      </c>
      <c r="E1314" s="20" t="str">
        <f>IFERROR(INDEX([3]AGM!$D$21:$BL$928,MATCH($B1314,[3]AGM!$AD$21:$AD$928,0),1),"NA")</f>
        <v>OS</v>
      </c>
      <c r="F1314" s="20" t="str">
        <f t="shared" si="62"/>
        <v>Block 24</v>
      </c>
      <c r="G1314" s="20" t="str">
        <f t="shared" si="61"/>
        <v>Lot 37</v>
      </c>
      <c r="H1314" s="20">
        <f>IFERROR(INDEX('[2]PRICELIST, 908u'!$G$7:$AX$914,MATCH($B1314,'[2]PRICELIST, 908u'!$G$7:$G$914,0),23),"NA")</f>
        <v>50</v>
      </c>
      <c r="I1314" s="20">
        <f>IFERROR(INDEX('[2]PRICELIST, 908u'!$G$7:$AX$914,MATCH($B1314,'[2]PRICELIST, 908u'!$G$7:$G$914,0),22),"NA")</f>
        <v>70</v>
      </c>
      <c r="J1314" s="20" t="s">
        <v>207</v>
      </c>
      <c r="K1314" s="20" t="str">
        <f>IFERROR(INDEX('[2]PRICELIST, 908u'!$G$7:$AX$914,MATCH($B1314,'[2]PRICELIST, 908u'!$G$7:$G$914,0),30),"NA")</f>
        <v>Slant / PINK</v>
      </c>
      <c r="L1314" s="20">
        <f>IFERROR(INDEX('[2]PRICELIST, 908u'!$G$7:$AX$914,MATCH($B1314,'[2]PRICELIST, 908u'!$G$7:$G$914,0),40),"NA")</f>
        <v>2650000</v>
      </c>
      <c r="M1314" s="20">
        <f>IFERROR(INDEX('[2]PRICELIST, 908u'!$G$7:$AX$914,MATCH($B1314,'[2]PRICELIST, 908u'!$G$7:$G$914,0),41),"NA")</f>
        <v>100000</v>
      </c>
      <c r="N1314" s="58">
        <f t="shared" si="64"/>
        <v>2550000</v>
      </c>
      <c r="O1314" s="60"/>
      <c r="P1314" s="60">
        <f t="shared" si="63"/>
        <v>2550000</v>
      </c>
    </row>
    <row r="1315" spans="2:16">
      <c r="B1315" s="20" t="s">
        <v>1466</v>
      </c>
      <c r="C1315" s="20" t="s">
        <v>2</v>
      </c>
      <c r="D1315" s="20" t="str">
        <f>IFERROR(INDEX('[2]PRICELIST, 908u'!$G$7:$AX$914,MATCH($B1315,'[2]PRICELIST, 908u'!$G$7:$G$914,0),18),"NA")</f>
        <v>2025 - Batch 2</v>
      </c>
      <c r="E1315" s="20" t="str">
        <f>IFERROR(INDEX([3]AGM!$D$21:$BL$928,MATCH($B1315,[3]AGM!$AD$21:$AD$928,0),1),"NA")</f>
        <v>OS</v>
      </c>
      <c r="F1315" s="20" t="str">
        <f t="shared" si="62"/>
        <v>Block 24</v>
      </c>
      <c r="G1315" s="20" t="str">
        <f t="shared" si="61"/>
        <v>Lot 38</v>
      </c>
      <c r="H1315" s="20">
        <f>IFERROR(INDEX('[2]PRICELIST, 908u'!$G$7:$AX$914,MATCH($B1315,'[2]PRICELIST, 908u'!$G$7:$G$914,0),23),"NA")</f>
        <v>50</v>
      </c>
      <c r="I1315" s="20">
        <f>IFERROR(INDEX('[2]PRICELIST, 908u'!$G$7:$AX$914,MATCH($B1315,'[2]PRICELIST, 908u'!$G$7:$G$914,0),22),"NA")</f>
        <v>70</v>
      </c>
      <c r="J1315" s="20" t="s">
        <v>207</v>
      </c>
      <c r="K1315" s="20" t="str">
        <f>IFERROR(INDEX('[2]PRICELIST, 908u'!$G$7:$AX$914,MATCH($B1315,'[2]PRICELIST, 908u'!$G$7:$G$914,0),30),"NA")</f>
        <v>Flat / PINK</v>
      </c>
      <c r="L1315" s="20">
        <f>IFERROR(INDEX('[2]PRICELIST, 908u'!$G$7:$AX$914,MATCH($B1315,'[2]PRICELIST, 908u'!$G$7:$G$914,0),40),"NA")</f>
        <v>2650000</v>
      </c>
      <c r="M1315" s="20">
        <f>IFERROR(INDEX('[2]PRICELIST, 908u'!$G$7:$AX$914,MATCH($B1315,'[2]PRICELIST, 908u'!$G$7:$G$914,0),41),"NA")</f>
        <v>100000</v>
      </c>
      <c r="N1315" s="58">
        <f t="shared" si="64"/>
        <v>2550000</v>
      </c>
      <c r="O1315" s="60"/>
      <c r="P1315" s="60">
        <f t="shared" si="63"/>
        <v>2550000</v>
      </c>
    </row>
    <row r="1316" spans="2:16">
      <c r="B1316" s="20" t="s">
        <v>1467</v>
      </c>
      <c r="C1316" s="20" t="s">
        <v>2</v>
      </c>
      <c r="D1316" s="20" t="str">
        <f>IFERROR(INDEX('[2]PRICELIST, 908u'!$G$7:$AX$914,MATCH($B1316,'[2]PRICELIST, 908u'!$G$7:$G$914,0),18),"NA")</f>
        <v>2025 - Batch 2</v>
      </c>
      <c r="E1316" s="20" t="str">
        <f>IFERROR(INDEX([3]AGM!$D$21:$BL$928,MATCH($B1316,[3]AGM!$AD$21:$AD$928,0),1),"NA")</f>
        <v>OS</v>
      </c>
      <c r="F1316" s="20" t="str">
        <f t="shared" si="62"/>
        <v>Block 24</v>
      </c>
      <c r="G1316" s="20" t="str">
        <f t="shared" si="61"/>
        <v>Lot 39</v>
      </c>
      <c r="H1316" s="20">
        <f>IFERROR(INDEX('[2]PRICELIST, 908u'!$G$7:$AX$914,MATCH($B1316,'[2]PRICELIST, 908u'!$G$7:$G$914,0),23),"NA")</f>
        <v>50</v>
      </c>
      <c r="I1316" s="20">
        <f>IFERROR(INDEX('[2]PRICELIST, 908u'!$G$7:$AX$914,MATCH($B1316,'[2]PRICELIST, 908u'!$G$7:$G$914,0),22),"NA")</f>
        <v>70</v>
      </c>
      <c r="J1316" s="20" t="s">
        <v>207</v>
      </c>
      <c r="K1316" s="20" t="str">
        <f>IFERROR(INDEX('[2]PRICELIST, 908u'!$G$7:$AX$914,MATCH($B1316,'[2]PRICELIST, 908u'!$G$7:$G$914,0),30),"NA")</f>
        <v>Flat / PINK</v>
      </c>
      <c r="L1316" s="20">
        <f>IFERROR(INDEX('[2]PRICELIST, 908u'!$G$7:$AX$914,MATCH($B1316,'[2]PRICELIST, 908u'!$G$7:$G$914,0),40),"NA")</f>
        <v>2650000</v>
      </c>
      <c r="M1316" s="20">
        <f>IFERROR(INDEX('[2]PRICELIST, 908u'!$G$7:$AX$914,MATCH($B1316,'[2]PRICELIST, 908u'!$G$7:$G$914,0),41),"NA")</f>
        <v>100000</v>
      </c>
      <c r="N1316" s="58">
        <f t="shared" si="64"/>
        <v>2550000</v>
      </c>
      <c r="O1316" s="60"/>
      <c r="P1316" s="60">
        <f t="shared" si="63"/>
        <v>2550000</v>
      </c>
    </row>
    <row r="1317" spans="2:16">
      <c r="B1317" s="20" t="s">
        <v>1468</v>
      </c>
      <c r="C1317" s="20" t="s">
        <v>2</v>
      </c>
      <c r="D1317" s="20" t="str">
        <f>IFERROR(INDEX('[2]PRICELIST, 908u'!$G$7:$AX$914,MATCH($B1317,'[2]PRICELIST, 908u'!$G$7:$G$914,0),18),"NA")</f>
        <v>2025 - Batch 2</v>
      </c>
      <c r="E1317" s="20" t="str">
        <f>IFERROR(INDEX([3]AGM!$D$21:$BL$928,MATCH($B1317,[3]AGM!$AD$21:$AD$928,0),1),"NA")</f>
        <v>OS</v>
      </c>
      <c r="F1317" s="20" t="str">
        <f t="shared" si="62"/>
        <v>Block 24</v>
      </c>
      <c r="G1317" s="20" t="str">
        <f t="shared" si="61"/>
        <v>Lot 40</v>
      </c>
      <c r="H1317" s="20">
        <f>IFERROR(INDEX('[2]PRICELIST, 908u'!$G$7:$AX$914,MATCH($B1317,'[2]PRICELIST, 908u'!$G$7:$G$914,0),23),"NA")</f>
        <v>50</v>
      </c>
      <c r="I1317" s="20">
        <f>IFERROR(INDEX('[2]PRICELIST, 908u'!$G$7:$AX$914,MATCH($B1317,'[2]PRICELIST, 908u'!$G$7:$G$914,0),22),"NA")</f>
        <v>70</v>
      </c>
      <c r="J1317" s="20" t="s">
        <v>207</v>
      </c>
      <c r="K1317" s="20" t="str">
        <f>IFERROR(INDEX('[2]PRICELIST, 908u'!$G$7:$AX$914,MATCH($B1317,'[2]PRICELIST, 908u'!$G$7:$G$914,0),30),"NA")</f>
        <v>Slant / PINK</v>
      </c>
      <c r="L1317" s="20">
        <f>IFERROR(INDEX('[2]PRICELIST, 908u'!$G$7:$AX$914,MATCH($B1317,'[2]PRICELIST, 908u'!$G$7:$G$914,0),40),"NA")</f>
        <v>2650000</v>
      </c>
      <c r="M1317" s="20">
        <f>IFERROR(INDEX('[2]PRICELIST, 908u'!$G$7:$AX$914,MATCH($B1317,'[2]PRICELIST, 908u'!$G$7:$G$914,0),41),"NA")</f>
        <v>100000</v>
      </c>
      <c r="N1317" s="58">
        <f t="shared" si="64"/>
        <v>2550000</v>
      </c>
      <c r="O1317" s="60"/>
      <c r="P1317" s="60">
        <f t="shared" si="63"/>
        <v>2550000</v>
      </c>
    </row>
    <row r="1318" spans="2:16">
      <c r="B1318" s="20" t="s">
        <v>1469</v>
      </c>
      <c r="C1318" s="20" t="s">
        <v>2</v>
      </c>
      <c r="D1318" s="20" t="str">
        <f>IFERROR(INDEX('[2]PRICELIST, 908u'!$G$7:$AX$914,MATCH($B1318,'[2]PRICELIST, 908u'!$G$7:$G$914,0),18),"NA")</f>
        <v>2025 - Batch 2</v>
      </c>
      <c r="E1318" s="20" t="str">
        <f>IFERROR(INDEX([3]AGM!$D$21:$BL$928,MATCH($B1318,[3]AGM!$AD$21:$AD$928,0),1),"NA")</f>
        <v>OS</v>
      </c>
      <c r="F1318" s="20" t="str">
        <f t="shared" si="62"/>
        <v>Block 24</v>
      </c>
      <c r="G1318" s="20" t="str">
        <f t="shared" si="61"/>
        <v>Lot 41</v>
      </c>
      <c r="H1318" s="20">
        <f>IFERROR(INDEX('[2]PRICELIST, 908u'!$G$7:$AX$914,MATCH($B1318,'[2]PRICELIST, 908u'!$G$7:$G$914,0),23),"NA")</f>
        <v>50</v>
      </c>
      <c r="I1318" s="20">
        <f>IFERROR(INDEX('[2]PRICELIST, 908u'!$G$7:$AX$914,MATCH($B1318,'[2]PRICELIST, 908u'!$G$7:$G$914,0),22),"NA")</f>
        <v>70</v>
      </c>
      <c r="J1318" s="20" t="s">
        <v>207</v>
      </c>
      <c r="K1318" s="20" t="str">
        <f>IFERROR(INDEX('[2]PRICELIST, 908u'!$G$7:$AX$914,MATCH($B1318,'[2]PRICELIST, 908u'!$G$7:$G$914,0),30),"NA")</f>
        <v>Slant / PURPLE</v>
      </c>
      <c r="L1318" s="20">
        <f>IFERROR(INDEX('[2]PRICELIST, 908u'!$G$7:$AX$914,MATCH($B1318,'[2]PRICELIST, 908u'!$G$7:$G$914,0),40),"NA")</f>
        <v>2650000</v>
      </c>
      <c r="M1318" s="20">
        <f>IFERROR(INDEX('[2]PRICELIST, 908u'!$G$7:$AX$914,MATCH($B1318,'[2]PRICELIST, 908u'!$G$7:$G$914,0),41),"NA")</f>
        <v>100000</v>
      </c>
      <c r="N1318" s="58">
        <f t="shared" si="64"/>
        <v>2550000</v>
      </c>
      <c r="O1318" s="60"/>
      <c r="P1318" s="60">
        <f t="shared" si="63"/>
        <v>2550000</v>
      </c>
    </row>
    <row r="1319" spans="2:16">
      <c r="B1319" s="20" t="s">
        <v>1470</v>
      </c>
      <c r="C1319" s="20" t="s">
        <v>2</v>
      </c>
      <c r="D1319" s="20" t="str">
        <f>IFERROR(INDEX('[2]PRICELIST, 908u'!$G$7:$AX$914,MATCH($B1319,'[2]PRICELIST, 908u'!$G$7:$G$914,0),18),"NA")</f>
        <v>2025 - Batch 2</v>
      </c>
      <c r="E1319" s="20" t="str">
        <f>IFERROR(INDEX([3]AGM!$D$21:$BL$928,MATCH($B1319,[3]AGM!$AD$21:$AD$928,0),1),"NA")</f>
        <v>OS</v>
      </c>
      <c r="F1319" s="20" t="str">
        <f t="shared" si="62"/>
        <v>Block 24</v>
      </c>
      <c r="G1319" s="20" t="str">
        <f t="shared" si="61"/>
        <v>Lot 42</v>
      </c>
      <c r="H1319" s="20">
        <f>IFERROR(INDEX('[2]PRICELIST, 908u'!$G$7:$AX$914,MATCH($B1319,'[2]PRICELIST, 908u'!$G$7:$G$914,0),23),"NA")</f>
        <v>50</v>
      </c>
      <c r="I1319" s="20">
        <f>IFERROR(INDEX('[2]PRICELIST, 908u'!$G$7:$AX$914,MATCH($B1319,'[2]PRICELIST, 908u'!$G$7:$G$914,0),22),"NA")</f>
        <v>70</v>
      </c>
      <c r="J1319" s="20" t="s">
        <v>207</v>
      </c>
      <c r="K1319" s="20" t="str">
        <f>IFERROR(INDEX('[2]PRICELIST, 908u'!$G$7:$AX$914,MATCH($B1319,'[2]PRICELIST, 908u'!$G$7:$G$914,0),30),"NA")</f>
        <v>Flat / PURPLE</v>
      </c>
      <c r="L1319" s="20">
        <f>IFERROR(INDEX('[2]PRICELIST, 908u'!$G$7:$AX$914,MATCH($B1319,'[2]PRICELIST, 908u'!$G$7:$G$914,0),40),"NA")</f>
        <v>2650000</v>
      </c>
      <c r="M1319" s="20">
        <f>IFERROR(INDEX('[2]PRICELIST, 908u'!$G$7:$AX$914,MATCH($B1319,'[2]PRICELIST, 908u'!$G$7:$G$914,0),41),"NA")</f>
        <v>100000</v>
      </c>
      <c r="N1319" s="58">
        <f t="shared" si="64"/>
        <v>2550000</v>
      </c>
      <c r="O1319" s="60"/>
      <c r="P1319" s="60">
        <f t="shared" si="63"/>
        <v>2550000</v>
      </c>
    </row>
    <row r="1320" spans="2:16">
      <c r="B1320" s="20" t="s">
        <v>1471</v>
      </c>
      <c r="C1320" s="20" t="s">
        <v>2</v>
      </c>
      <c r="D1320" s="20" t="str">
        <f>IFERROR(INDEX('[2]PRICELIST, 908u'!$G$7:$AX$914,MATCH($B1320,'[2]PRICELIST, 908u'!$G$7:$G$914,0),18),"NA")</f>
        <v>2025 - Batch 2</v>
      </c>
      <c r="E1320" s="20" t="str">
        <f>IFERROR(INDEX([3]AGM!$D$21:$BL$928,MATCH($B1320,[3]AGM!$AD$21:$AD$928,0),1),"NA")</f>
        <v>OS</v>
      </c>
      <c r="F1320" s="20" t="str">
        <f t="shared" si="62"/>
        <v>Block 24</v>
      </c>
      <c r="G1320" s="20" t="str">
        <f t="shared" si="61"/>
        <v>Lot 43</v>
      </c>
      <c r="H1320" s="20">
        <f>IFERROR(INDEX('[2]PRICELIST, 908u'!$G$7:$AX$914,MATCH($B1320,'[2]PRICELIST, 908u'!$G$7:$G$914,0),23),"NA")</f>
        <v>50</v>
      </c>
      <c r="I1320" s="20">
        <f>IFERROR(INDEX('[2]PRICELIST, 908u'!$G$7:$AX$914,MATCH($B1320,'[2]PRICELIST, 908u'!$G$7:$G$914,0),22),"NA")</f>
        <v>70</v>
      </c>
      <c r="J1320" s="20" t="s">
        <v>207</v>
      </c>
      <c r="K1320" s="20" t="str">
        <f>IFERROR(INDEX('[2]PRICELIST, 908u'!$G$7:$AX$914,MATCH($B1320,'[2]PRICELIST, 908u'!$G$7:$G$914,0),30),"NA")</f>
        <v>Flat / PURPLE</v>
      </c>
      <c r="L1320" s="20">
        <f>IFERROR(INDEX('[2]PRICELIST, 908u'!$G$7:$AX$914,MATCH($B1320,'[2]PRICELIST, 908u'!$G$7:$G$914,0),40),"NA")</f>
        <v>2650000</v>
      </c>
      <c r="M1320" s="20">
        <f>IFERROR(INDEX('[2]PRICELIST, 908u'!$G$7:$AX$914,MATCH($B1320,'[2]PRICELIST, 908u'!$G$7:$G$914,0),41),"NA")</f>
        <v>100000</v>
      </c>
      <c r="N1320" s="58">
        <f t="shared" si="64"/>
        <v>2550000</v>
      </c>
      <c r="O1320" s="60"/>
      <c r="P1320" s="60">
        <f t="shared" si="63"/>
        <v>2550000</v>
      </c>
    </row>
    <row r="1321" spans="2:16">
      <c r="B1321" s="20" t="s">
        <v>1472</v>
      </c>
      <c r="C1321" s="20" t="s">
        <v>2</v>
      </c>
      <c r="D1321" s="20" t="str">
        <f>IFERROR(INDEX('[2]PRICELIST, 908u'!$G$7:$AX$914,MATCH($B1321,'[2]PRICELIST, 908u'!$G$7:$G$914,0),18),"NA")</f>
        <v>2025 - Batch 2</v>
      </c>
      <c r="E1321" s="20" t="str">
        <f>IFERROR(INDEX([3]AGM!$D$21:$BL$928,MATCH($B1321,[3]AGM!$AD$21:$AD$928,0),1),"NA")</f>
        <v>OS</v>
      </c>
      <c r="F1321" s="20" t="str">
        <f t="shared" si="62"/>
        <v>Block 24</v>
      </c>
      <c r="G1321" s="20" t="str">
        <f t="shared" si="61"/>
        <v>Lot 44</v>
      </c>
      <c r="H1321" s="20">
        <f>IFERROR(INDEX('[2]PRICELIST, 908u'!$G$7:$AX$914,MATCH($B1321,'[2]PRICELIST, 908u'!$G$7:$G$914,0),23),"NA")</f>
        <v>50</v>
      </c>
      <c r="I1321" s="20">
        <f>IFERROR(INDEX('[2]PRICELIST, 908u'!$G$7:$AX$914,MATCH($B1321,'[2]PRICELIST, 908u'!$G$7:$G$914,0),22),"NA")</f>
        <v>70</v>
      </c>
      <c r="J1321" s="20" t="s">
        <v>207</v>
      </c>
      <c r="K1321" s="20" t="str">
        <f>IFERROR(INDEX('[2]PRICELIST, 908u'!$G$7:$AX$914,MATCH($B1321,'[2]PRICELIST, 908u'!$G$7:$G$914,0),30),"NA")</f>
        <v>Slant / PURPLE</v>
      </c>
      <c r="L1321" s="20">
        <f>IFERROR(INDEX('[2]PRICELIST, 908u'!$G$7:$AX$914,MATCH($B1321,'[2]PRICELIST, 908u'!$G$7:$G$914,0),40),"NA")</f>
        <v>2650000</v>
      </c>
      <c r="M1321" s="20">
        <f>IFERROR(INDEX('[2]PRICELIST, 908u'!$G$7:$AX$914,MATCH($B1321,'[2]PRICELIST, 908u'!$G$7:$G$914,0),41),"NA")</f>
        <v>100000</v>
      </c>
      <c r="N1321" s="58">
        <f t="shared" si="64"/>
        <v>2550000</v>
      </c>
      <c r="O1321" s="60"/>
      <c r="P1321" s="60">
        <f t="shared" si="63"/>
        <v>2550000</v>
      </c>
    </row>
    <row r="1322" spans="2:16">
      <c r="B1322" s="20" t="s">
        <v>1473</v>
      </c>
      <c r="C1322" s="20" t="s">
        <v>2</v>
      </c>
      <c r="D1322" s="20" t="str">
        <f>IFERROR(INDEX('[2]PRICELIST, 908u'!$G$7:$AX$914,MATCH($B1322,'[2]PRICELIST, 908u'!$G$7:$G$914,0),18),"NA")</f>
        <v>2025 - Batch 2</v>
      </c>
      <c r="E1322" s="20" t="str">
        <f>IFERROR(INDEX([3]AGM!$D$21:$BL$928,MATCH($B1322,[3]AGM!$AD$21:$AD$928,0),1),"NA")</f>
        <v>OS</v>
      </c>
      <c r="F1322" s="20" t="str">
        <f t="shared" si="62"/>
        <v>Block 24</v>
      </c>
      <c r="G1322" s="20" t="str">
        <f t="shared" si="61"/>
        <v>Lot 45</v>
      </c>
      <c r="H1322" s="20">
        <f>IFERROR(INDEX('[2]PRICELIST, 908u'!$G$7:$AX$914,MATCH($B1322,'[2]PRICELIST, 908u'!$G$7:$G$914,0),23),"NA")</f>
        <v>50</v>
      </c>
      <c r="I1322" s="20">
        <f>IFERROR(INDEX('[2]PRICELIST, 908u'!$G$7:$AX$914,MATCH($B1322,'[2]PRICELIST, 908u'!$G$7:$G$914,0),22),"NA")</f>
        <v>70</v>
      </c>
      <c r="J1322" s="20" t="s">
        <v>207</v>
      </c>
      <c r="K1322" s="20" t="str">
        <f>IFERROR(INDEX('[2]PRICELIST, 908u'!$G$7:$AX$914,MATCH($B1322,'[2]PRICELIST, 908u'!$G$7:$G$914,0),30),"NA")</f>
        <v>Slant / GREEN</v>
      </c>
      <c r="L1322" s="20">
        <f>IFERROR(INDEX('[2]PRICELIST, 908u'!$G$7:$AX$914,MATCH($B1322,'[2]PRICELIST, 908u'!$G$7:$G$914,0),40),"NA")</f>
        <v>2650000</v>
      </c>
      <c r="M1322" s="20">
        <f>IFERROR(INDEX('[2]PRICELIST, 908u'!$G$7:$AX$914,MATCH($B1322,'[2]PRICELIST, 908u'!$G$7:$G$914,0),41),"NA")</f>
        <v>100000</v>
      </c>
      <c r="N1322" s="58">
        <f t="shared" si="64"/>
        <v>2550000</v>
      </c>
      <c r="O1322" s="60"/>
      <c r="P1322" s="60">
        <f t="shared" si="63"/>
        <v>2550000</v>
      </c>
    </row>
    <row r="1323" spans="2:16">
      <c r="B1323" s="20" t="s">
        <v>1474</v>
      </c>
      <c r="C1323" s="20" t="s">
        <v>2</v>
      </c>
      <c r="D1323" s="20" t="str">
        <f>IFERROR(INDEX('[2]PRICELIST, 908u'!$G$7:$AX$914,MATCH($B1323,'[2]PRICELIST, 908u'!$G$7:$G$914,0),18),"NA")</f>
        <v>2025 - Batch 2</v>
      </c>
      <c r="E1323" s="20" t="str">
        <f>IFERROR(INDEX([3]AGM!$D$21:$BL$928,MATCH($B1323,[3]AGM!$AD$21:$AD$928,0),1),"NA")</f>
        <v>OS</v>
      </c>
      <c r="F1323" s="20" t="str">
        <f t="shared" si="62"/>
        <v>Block 24</v>
      </c>
      <c r="G1323" s="20" t="str">
        <f t="shared" si="61"/>
        <v>Lot 46</v>
      </c>
      <c r="H1323" s="20">
        <f>IFERROR(INDEX('[2]PRICELIST, 908u'!$G$7:$AX$914,MATCH($B1323,'[2]PRICELIST, 908u'!$G$7:$G$914,0),23),"NA")</f>
        <v>50</v>
      </c>
      <c r="I1323" s="20">
        <f>IFERROR(INDEX('[2]PRICELIST, 908u'!$G$7:$AX$914,MATCH($B1323,'[2]PRICELIST, 908u'!$G$7:$G$914,0),22),"NA")</f>
        <v>70</v>
      </c>
      <c r="J1323" s="20" t="s">
        <v>207</v>
      </c>
      <c r="K1323" s="20" t="str">
        <f>IFERROR(INDEX('[2]PRICELIST, 908u'!$G$7:$AX$914,MATCH($B1323,'[2]PRICELIST, 908u'!$G$7:$G$914,0),30),"NA")</f>
        <v>Flat / GREEN</v>
      </c>
      <c r="L1323" s="20">
        <f>IFERROR(INDEX('[2]PRICELIST, 908u'!$G$7:$AX$914,MATCH($B1323,'[2]PRICELIST, 908u'!$G$7:$G$914,0),40),"NA")</f>
        <v>2650000</v>
      </c>
      <c r="M1323" s="20">
        <f>IFERROR(INDEX('[2]PRICELIST, 908u'!$G$7:$AX$914,MATCH($B1323,'[2]PRICELIST, 908u'!$G$7:$G$914,0),41),"NA")</f>
        <v>100000</v>
      </c>
      <c r="N1323" s="58">
        <f t="shared" si="64"/>
        <v>2550000</v>
      </c>
      <c r="O1323" s="60"/>
      <c r="P1323" s="60">
        <f t="shared" si="63"/>
        <v>2550000</v>
      </c>
    </row>
    <row r="1324" spans="2:16">
      <c r="B1324" s="20" t="s">
        <v>1475</v>
      </c>
      <c r="C1324" s="20" t="s">
        <v>2</v>
      </c>
      <c r="D1324" s="20" t="str">
        <f>IFERROR(INDEX('[2]PRICELIST, 908u'!$G$7:$AX$914,MATCH($B1324,'[2]PRICELIST, 908u'!$G$7:$G$914,0),18),"NA")</f>
        <v>2025 - Batch 3</v>
      </c>
      <c r="E1324" s="20" t="str">
        <f>IFERROR(INDEX([3]AGM!$D$21:$BL$928,MATCH($B1324,[3]AGM!$AD$21:$AD$928,0),1),"NA")</f>
        <v>OS</v>
      </c>
      <c r="F1324" s="20" t="str">
        <f t="shared" si="62"/>
        <v>Block 24</v>
      </c>
      <c r="G1324" s="20" t="str">
        <f t="shared" si="61"/>
        <v>Lot 47</v>
      </c>
      <c r="H1324" s="20">
        <f>IFERROR(INDEX('[2]PRICELIST, 908u'!$G$7:$AX$914,MATCH($B1324,'[2]PRICELIST, 908u'!$G$7:$G$914,0),23),"NA")</f>
        <v>50</v>
      </c>
      <c r="I1324" s="20">
        <f>IFERROR(INDEX('[2]PRICELIST, 908u'!$G$7:$AX$914,MATCH($B1324,'[2]PRICELIST, 908u'!$G$7:$G$914,0),22),"NA")</f>
        <v>70</v>
      </c>
      <c r="J1324" s="20" t="s">
        <v>207</v>
      </c>
      <c r="K1324" s="20" t="str">
        <f>IFERROR(INDEX('[2]PRICELIST, 908u'!$G$7:$AX$914,MATCH($B1324,'[2]PRICELIST, 908u'!$G$7:$G$914,0),30),"NA")</f>
        <v>Flat / GREEN</v>
      </c>
      <c r="L1324" s="20">
        <f>IFERROR(INDEX('[2]PRICELIST, 908u'!$G$7:$AX$914,MATCH($B1324,'[2]PRICELIST, 908u'!$G$7:$G$914,0),40),"NA")</f>
        <v>2650000</v>
      </c>
      <c r="M1324" s="20">
        <f>IFERROR(INDEX('[2]PRICELIST, 908u'!$G$7:$AX$914,MATCH($B1324,'[2]PRICELIST, 908u'!$G$7:$G$914,0),41),"NA")</f>
        <v>100000</v>
      </c>
      <c r="N1324" s="58">
        <f t="shared" si="64"/>
        <v>2550000</v>
      </c>
      <c r="O1324" s="60"/>
      <c r="P1324" s="60">
        <f t="shared" si="63"/>
        <v>2550000</v>
      </c>
    </row>
    <row r="1325" spans="2:16">
      <c r="B1325" s="20" t="s">
        <v>1476</v>
      </c>
      <c r="C1325" s="20" t="s">
        <v>2</v>
      </c>
      <c r="D1325" s="20" t="str">
        <f>IFERROR(INDEX('[2]PRICELIST, 908u'!$G$7:$AX$914,MATCH($B1325,'[2]PRICELIST, 908u'!$G$7:$G$914,0),18),"NA")</f>
        <v>2025 - Batch 3</v>
      </c>
      <c r="E1325" s="20" t="str">
        <f>IFERROR(INDEX([3]AGM!$D$21:$BL$928,MATCH($B1325,[3]AGM!$AD$21:$AD$928,0),1),"NA")</f>
        <v>OS</v>
      </c>
      <c r="F1325" s="20" t="str">
        <f t="shared" si="62"/>
        <v>Block 24</v>
      </c>
      <c r="G1325" s="20" t="str">
        <f t="shared" si="61"/>
        <v>Lot 48</v>
      </c>
      <c r="H1325" s="20">
        <f>IFERROR(INDEX('[2]PRICELIST, 908u'!$G$7:$AX$914,MATCH($B1325,'[2]PRICELIST, 908u'!$G$7:$G$914,0),23),"NA")</f>
        <v>50</v>
      </c>
      <c r="I1325" s="20">
        <f>IFERROR(INDEX('[2]PRICELIST, 908u'!$G$7:$AX$914,MATCH($B1325,'[2]PRICELIST, 908u'!$G$7:$G$914,0),22),"NA")</f>
        <v>70</v>
      </c>
      <c r="J1325" s="20" t="s">
        <v>207</v>
      </c>
      <c r="K1325" s="20" t="str">
        <f>IFERROR(INDEX('[2]PRICELIST, 908u'!$G$7:$AX$914,MATCH($B1325,'[2]PRICELIST, 908u'!$G$7:$G$914,0),30),"NA")</f>
        <v>Slant / GREEN</v>
      </c>
      <c r="L1325" s="20">
        <f>IFERROR(INDEX('[2]PRICELIST, 908u'!$G$7:$AX$914,MATCH($B1325,'[2]PRICELIST, 908u'!$G$7:$G$914,0),40),"NA")</f>
        <v>2650000</v>
      </c>
      <c r="M1325" s="20">
        <f>IFERROR(INDEX('[2]PRICELIST, 908u'!$G$7:$AX$914,MATCH($B1325,'[2]PRICELIST, 908u'!$G$7:$G$914,0),41),"NA")</f>
        <v>100000</v>
      </c>
      <c r="N1325" s="58">
        <f t="shared" si="64"/>
        <v>2550000</v>
      </c>
      <c r="O1325" s="60"/>
      <c r="P1325" s="60">
        <f t="shared" si="63"/>
        <v>2550000</v>
      </c>
    </row>
    <row r="1326" spans="2:16">
      <c r="B1326" s="20" t="s">
        <v>1477</v>
      </c>
      <c r="C1326" s="20" t="s">
        <v>2</v>
      </c>
      <c r="D1326" s="20" t="str">
        <f>IFERROR(INDEX('[2]PRICELIST, 908u'!$G$7:$AX$914,MATCH($B1326,'[2]PRICELIST, 908u'!$G$7:$G$914,0),18),"NA")</f>
        <v>2025 - Batch 3</v>
      </c>
      <c r="E1326" s="20" t="str">
        <f>IFERROR(INDEX([3]AGM!$D$21:$BL$928,MATCH($B1326,[3]AGM!$AD$21:$AD$928,0),1),"NA")</f>
        <v>OS</v>
      </c>
      <c r="F1326" s="20" t="str">
        <f t="shared" si="62"/>
        <v>Block 24</v>
      </c>
      <c r="G1326" s="20" t="str">
        <f t="shared" si="61"/>
        <v>Lot 49</v>
      </c>
      <c r="H1326" s="20">
        <f>IFERROR(INDEX('[2]PRICELIST, 908u'!$G$7:$AX$914,MATCH($B1326,'[2]PRICELIST, 908u'!$G$7:$G$914,0),23),"NA")</f>
        <v>50</v>
      </c>
      <c r="I1326" s="20">
        <f>IFERROR(INDEX('[2]PRICELIST, 908u'!$G$7:$AX$914,MATCH($B1326,'[2]PRICELIST, 908u'!$G$7:$G$914,0),22),"NA")</f>
        <v>70</v>
      </c>
      <c r="J1326" s="20" t="s">
        <v>207</v>
      </c>
      <c r="K1326" s="20" t="str">
        <f>IFERROR(INDEX('[2]PRICELIST, 908u'!$G$7:$AX$914,MATCH($B1326,'[2]PRICELIST, 908u'!$G$7:$G$914,0),30),"NA")</f>
        <v>Slant / YELLOW</v>
      </c>
      <c r="L1326" s="20">
        <f>IFERROR(INDEX('[2]PRICELIST, 908u'!$G$7:$AX$914,MATCH($B1326,'[2]PRICELIST, 908u'!$G$7:$G$914,0),40),"NA")</f>
        <v>2650000</v>
      </c>
      <c r="M1326" s="20">
        <f>IFERROR(INDEX('[2]PRICELIST, 908u'!$G$7:$AX$914,MATCH($B1326,'[2]PRICELIST, 908u'!$G$7:$G$914,0),41),"NA")</f>
        <v>100000</v>
      </c>
      <c r="N1326" s="58">
        <f t="shared" si="64"/>
        <v>2550000</v>
      </c>
      <c r="O1326" s="60"/>
      <c r="P1326" s="60">
        <f t="shared" si="63"/>
        <v>2550000</v>
      </c>
    </row>
    <row r="1327" spans="2:16">
      <c r="B1327" s="20" t="s">
        <v>1478</v>
      </c>
      <c r="C1327" s="20" t="s">
        <v>2</v>
      </c>
      <c r="D1327" s="20" t="str">
        <f>IFERROR(INDEX('[2]PRICELIST, 908u'!$G$7:$AX$914,MATCH($B1327,'[2]PRICELIST, 908u'!$G$7:$G$914,0),18),"NA")</f>
        <v>2025 - Batch 3</v>
      </c>
      <c r="E1327" s="20" t="str">
        <f>IFERROR(INDEX([3]AGM!$D$21:$BL$928,MATCH($B1327,[3]AGM!$AD$21:$AD$928,0),1),"NA")</f>
        <v>OS</v>
      </c>
      <c r="F1327" s="20" t="str">
        <f t="shared" si="62"/>
        <v>Block 24</v>
      </c>
      <c r="G1327" s="20" t="str">
        <f t="shared" si="61"/>
        <v>Lot 50</v>
      </c>
      <c r="H1327" s="20">
        <f>IFERROR(INDEX('[2]PRICELIST, 908u'!$G$7:$AX$914,MATCH($B1327,'[2]PRICELIST, 908u'!$G$7:$G$914,0),23),"NA")</f>
        <v>50</v>
      </c>
      <c r="I1327" s="20">
        <f>IFERROR(INDEX('[2]PRICELIST, 908u'!$G$7:$AX$914,MATCH($B1327,'[2]PRICELIST, 908u'!$G$7:$G$914,0),22),"NA")</f>
        <v>70</v>
      </c>
      <c r="J1327" s="20" t="s">
        <v>207</v>
      </c>
      <c r="K1327" s="20" t="str">
        <f>IFERROR(INDEX('[2]PRICELIST, 908u'!$G$7:$AX$914,MATCH($B1327,'[2]PRICELIST, 908u'!$G$7:$G$914,0),30),"NA")</f>
        <v>Flat / YELLOW</v>
      </c>
      <c r="L1327" s="20">
        <f>IFERROR(INDEX('[2]PRICELIST, 908u'!$G$7:$AX$914,MATCH($B1327,'[2]PRICELIST, 908u'!$G$7:$G$914,0),40),"NA")</f>
        <v>2650000</v>
      </c>
      <c r="M1327" s="20">
        <f>IFERROR(INDEX('[2]PRICELIST, 908u'!$G$7:$AX$914,MATCH($B1327,'[2]PRICELIST, 908u'!$G$7:$G$914,0),41),"NA")</f>
        <v>100000</v>
      </c>
      <c r="N1327" s="58">
        <f t="shared" si="64"/>
        <v>2550000</v>
      </c>
      <c r="O1327" s="60"/>
      <c r="P1327" s="60">
        <f t="shared" si="63"/>
        <v>2550000</v>
      </c>
    </row>
    <row r="1328" spans="2:16">
      <c r="B1328" s="20" t="s">
        <v>1479</v>
      </c>
      <c r="C1328" s="20" t="s">
        <v>2</v>
      </c>
      <c r="D1328" s="20" t="str">
        <f>IFERROR(INDEX('[2]PRICELIST, 908u'!$G$7:$AX$914,MATCH($B1328,'[2]PRICELIST, 908u'!$G$7:$G$914,0),18),"NA")</f>
        <v>2025 - Batch 3</v>
      </c>
      <c r="E1328" s="20" t="str">
        <f>IFERROR(INDEX([3]AGM!$D$21:$BL$928,MATCH($B1328,[3]AGM!$AD$21:$AD$928,0),1),"NA")</f>
        <v>OS</v>
      </c>
      <c r="F1328" s="20" t="str">
        <f t="shared" si="62"/>
        <v>Block 24</v>
      </c>
      <c r="G1328" s="20" t="str">
        <f t="shared" si="61"/>
        <v>Lot 51</v>
      </c>
      <c r="H1328" s="20">
        <f>IFERROR(INDEX('[2]PRICELIST, 908u'!$G$7:$AX$914,MATCH($B1328,'[2]PRICELIST, 908u'!$G$7:$G$914,0),23),"NA")</f>
        <v>50</v>
      </c>
      <c r="I1328" s="20">
        <f>IFERROR(INDEX('[2]PRICELIST, 908u'!$G$7:$AX$914,MATCH($B1328,'[2]PRICELIST, 908u'!$G$7:$G$914,0),22),"NA")</f>
        <v>70</v>
      </c>
      <c r="J1328" s="20" t="s">
        <v>207</v>
      </c>
      <c r="K1328" s="20" t="str">
        <f>IFERROR(INDEX('[2]PRICELIST, 908u'!$G$7:$AX$914,MATCH($B1328,'[2]PRICELIST, 908u'!$G$7:$G$914,0),30),"NA")</f>
        <v>Flat / YELLOW</v>
      </c>
      <c r="L1328" s="20">
        <f>IFERROR(INDEX('[2]PRICELIST, 908u'!$G$7:$AX$914,MATCH($B1328,'[2]PRICELIST, 908u'!$G$7:$G$914,0),40),"NA")</f>
        <v>2650000</v>
      </c>
      <c r="M1328" s="20">
        <f>IFERROR(INDEX('[2]PRICELIST, 908u'!$G$7:$AX$914,MATCH($B1328,'[2]PRICELIST, 908u'!$G$7:$G$914,0),41),"NA")</f>
        <v>100000</v>
      </c>
      <c r="N1328" s="58">
        <f t="shared" si="64"/>
        <v>2550000</v>
      </c>
      <c r="O1328" s="60"/>
      <c r="P1328" s="60">
        <f t="shared" si="63"/>
        <v>2550000</v>
      </c>
    </row>
    <row r="1329" spans="2:16">
      <c r="B1329" s="20" t="s">
        <v>1480</v>
      </c>
      <c r="C1329" s="20" t="s">
        <v>2</v>
      </c>
      <c r="D1329" s="20" t="str">
        <f>IFERROR(INDEX('[2]PRICELIST, 908u'!$G$7:$AX$914,MATCH($B1329,'[2]PRICELIST, 908u'!$G$7:$G$914,0),18),"NA")</f>
        <v>2025 - Batch 3</v>
      </c>
      <c r="E1329" s="20" t="str">
        <f>IFERROR(INDEX([3]AGM!$D$21:$BL$928,MATCH($B1329,[3]AGM!$AD$21:$AD$928,0),1),"NA")</f>
        <v>OS</v>
      </c>
      <c r="F1329" s="20" t="str">
        <f t="shared" si="62"/>
        <v>Block 24</v>
      </c>
      <c r="G1329" s="20" t="str">
        <f t="shared" si="61"/>
        <v>Lot 52</v>
      </c>
      <c r="H1329" s="20">
        <f>IFERROR(INDEX('[2]PRICELIST, 908u'!$G$7:$AX$914,MATCH($B1329,'[2]PRICELIST, 908u'!$G$7:$G$914,0),23),"NA")</f>
        <v>50</v>
      </c>
      <c r="I1329" s="20">
        <f>IFERROR(INDEX('[2]PRICELIST, 908u'!$G$7:$AX$914,MATCH($B1329,'[2]PRICELIST, 908u'!$G$7:$G$914,0),22),"NA")</f>
        <v>70</v>
      </c>
      <c r="J1329" s="20" t="s">
        <v>207</v>
      </c>
      <c r="K1329" s="20" t="str">
        <f>IFERROR(INDEX('[2]PRICELIST, 908u'!$G$7:$AX$914,MATCH($B1329,'[2]PRICELIST, 908u'!$G$7:$G$914,0),30),"NA")</f>
        <v>Slant / YELLOW</v>
      </c>
      <c r="L1329" s="20">
        <f>IFERROR(INDEX('[2]PRICELIST, 908u'!$G$7:$AX$914,MATCH($B1329,'[2]PRICELIST, 908u'!$G$7:$G$914,0),40),"NA")</f>
        <v>2650000</v>
      </c>
      <c r="M1329" s="20">
        <f>IFERROR(INDEX('[2]PRICELIST, 908u'!$G$7:$AX$914,MATCH($B1329,'[2]PRICELIST, 908u'!$G$7:$G$914,0),41),"NA")</f>
        <v>100000</v>
      </c>
      <c r="N1329" s="58">
        <f t="shared" si="64"/>
        <v>2550000</v>
      </c>
      <c r="O1329" s="60"/>
      <c r="P1329" s="60">
        <f t="shared" si="63"/>
        <v>2550000</v>
      </c>
    </row>
    <row r="1330" spans="2:16">
      <c r="B1330" s="20" t="s">
        <v>1481</v>
      </c>
      <c r="C1330" s="20" t="s">
        <v>2</v>
      </c>
      <c r="D1330" s="20" t="str">
        <f>IFERROR(INDEX('[2]PRICELIST, 908u'!$G$7:$AX$914,MATCH($B1330,'[2]PRICELIST, 908u'!$G$7:$G$914,0),18),"NA")</f>
        <v>2025 - Batch 1</v>
      </c>
      <c r="E1330" s="20" t="str">
        <f>IFERROR(INDEX([3]AGM!$D$21:$BL$928,MATCH($B1330,[3]AGM!$AD$21:$AD$928,0),1),"NA")</f>
        <v>OS</v>
      </c>
      <c r="F1330" s="20" t="str">
        <f t="shared" si="62"/>
        <v>Block 24</v>
      </c>
      <c r="G1330" s="20" t="str">
        <f t="shared" si="61"/>
        <v>Lot 53</v>
      </c>
      <c r="H1330" s="20">
        <f>IFERROR(INDEX('[2]PRICELIST, 908u'!$G$7:$AX$914,MATCH($B1330,'[2]PRICELIST, 908u'!$G$7:$G$914,0),23),"NA")</f>
        <v>50</v>
      </c>
      <c r="I1330" s="20">
        <f>IFERROR(INDEX('[2]PRICELIST, 908u'!$G$7:$AX$914,MATCH($B1330,'[2]PRICELIST, 908u'!$G$7:$G$914,0),22),"NA")</f>
        <v>80</v>
      </c>
      <c r="J1330" s="20" t="s">
        <v>207</v>
      </c>
      <c r="K1330" s="20" t="str">
        <f>IFERROR(INDEX('[2]PRICELIST, 908u'!$G$7:$AX$914,MATCH($B1330,'[2]PRICELIST, 908u'!$G$7:$G$914,0),30),"NA")</f>
        <v>Slant / PINK</v>
      </c>
      <c r="L1330" s="20">
        <f>IFERROR(INDEX('[2]PRICELIST, 908u'!$G$7:$AX$914,MATCH($B1330,'[2]PRICELIST, 908u'!$G$7:$G$914,0),40),"NA")</f>
        <v>2800000</v>
      </c>
      <c r="M1330" s="20">
        <f>IFERROR(INDEX('[2]PRICELIST, 908u'!$G$7:$AX$914,MATCH($B1330,'[2]PRICELIST, 908u'!$G$7:$G$914,0),41),"NA")</f>
        <v>100000</v>
      </c>
      <c r="N1330" s="58">
        <f t="shared" si="64"/>
        <v>2700000</v>
      </c>
      <c r="O1330" s="60"/>
      <c r="P1330" s="60">
        <f t="shared" si="63"/>
        <v>2700000</v>
      </c>
    </row>
    <row r="1331" spans="2:16">
      <c r="B1331" s="20" t="s">
        <v>1482</v>
      </c>
      <c r="C1331" s="20" t="s">
        <v>2</v>
      </c>
      <c r="D1331" s="20" t="str">
        <f>IFERROR(INDEX('[2]PRICELIST, 908u'!$G$7:$AX$914,MATCH($B1331,'[2]PRICELIST, 908u'!$G$7:$G$914,0),18),"NA")</f>
        <v>2025 - Batch 1</v>
      </c>
      <c r="E1331" s="20" t="str">
        <f>IFERROR(INDEX([3]AGM!$D$21:$BL$928,MATCH($B1331,[3]AGM!$AD$21:$AD$928,0),1),"NA")</f>
        <v>OS</v>
      </c>
      <c r="F1331" s="20" t="str">
        <f t="shared" si="62"/>
        <v>Block 24</v>
      </c>
      <c r="G1331" s="20" t="str">
        <f t="shared" si="61"/>
        <v>Lot 54</v>
      </c>
      <c r="H1331" s="20">
        <f>IFERROR(INDEX('[2]PRICELIST, 908u'!$G$7:$AX$914,MATCH($B1331,'[2]PRICELIST, 908u'!$G$7:$G$914,0),23),"NA")</f>
        <v>50</v>
      </c>
      <c r="I1331" s="20">
        <f>IFERROR(INDEX('[2]PRICELIST, 908u'!$G$7:$AX$914,MATCH($B1331,'[2]PRICELIST, 908u'!$G$7:$G$914,0),22),"NA")</f>
        <v>80</v>
      </c>
      <c r="J1331" s="20" t="s">
        <v>207</v>
      </c>
      <c r="K1331" s="20" t="str">
        <f>IFERROR(INDEX('[2]PRICELIST, 908u'!$G$7:$AX$914,MATCH($B1331,'[2]PRICELIST, 908u'!$G$7:$G$914,0),30),"NA")</f>
        <v>Flat / PINK</v>
      </c>
      <c r="L1331" s="20">
        <f>IFERROR(INDEX('[2]PRICELIST, 908u'!$G$7:$AX$914,MATCH($B1331,'[2]PRICELIST, 908u'!$G$7:$G$914,0),40),"NA")</f>
        <v>2800000</v>
      </c>
      <c r="M1331" s="20">
        <f>IFERROR(INDEX('[2]PRICELIST, 908u'!$G$7:$AX$914,MATCH($B1331,'[2]PRICELIST, 908u'!$G$7:$G$914,0),41),"NA")</f>
        <v>100000</v>
      </c>
      <c r="N1331" s="58">
        <f t="shared" si="64"/>
        <v>2700000</v>
      </c>
      <c r="O1331" s="60"/>
      <c r="P1331" s="60">
        <f t="shared" si="63"/>
        <v>2700000</v>
      </c>
    </row>
    <row r="1332" spans="2:16">
      <c r="B1332" s="20" t="s">
        <v>1483</v>
      </c>
      <c r="C1332" s="20" t="s">
        <v>2</v>
      </c>
      <c r="D1332" s="20" t="str">
        <f>IFERROR(INDEX('[2]PRICELIST, 908u'!$G$7:$AX$914,MATCH($B1332,'[2]PRICELIST, 908u'!$G$7:$G$914,0),18),"NA")</f>
        <v>Lot Only - N/A</v>
      </c>
      <c r="E1332" s="20" t="str">
        <f>IFERROR(INDEX([3]AGM!$D$21:$BL$928,MATCH($B1332,[3]AGM!$AD$21:$AD$928,0),1),"NA")</f>
        <v>OS</v>
      </c>
      <c r="F1332" s="20" t="str">
        <f t="shared" si="62"/>
        <v>Block 24</v>
      </c>
      <c r="G1332" s="20" t="str">
        <f t="shared" si="61"/>
        <v>Lot 55</v>
      </c>
      <c r="H1332" s="20" t="str">
        <f>IFERROR(INDEX('[2]PRICELIST, 908u'!$G$7:$AX$914,MATCH($B1332,'[2]PRICELIST, 908u'!$G$7:$G$914,0),23),"NA")</f>
        <v>N/A</v>
      </c>
      <c r="I1332" s="20">
        <f>IFERROR(INDEX('[2]PRICELIST, 908u'!$G$7:$AX$914,MATCH($B1332,'[2]PRICELIST, 908u'!$G$7:$G$914,0),22),"NA")</f>
        <v>111</v>
      </c>
      <c r="J1332" s="20" t="s">
        <v>100</v>
      </c>
      <c r="K1332" s="37" t="s">
        <v>1025</v>
      </c>
      <c r="L1332" s="20">
        <f>IFERROR(INDEX('[2]PRICELIST, 908u'!$G$7:$AX$914,MATCH($B1332,'[2]PRICELIST, 908u'!$G$7:$G$914,0),40),"NA")</f>
        <v>1765000</v>
      </c>
      <c r="M1332" s="20">
        <f>IFERROR(INDEX('[2]PRICELIST, 908u'!$G$7:$AX$914,MATCH($B1332,'[2]PRICELIST, 908u'!$G$7:$G$914,0),41),"NA")</f>
        <v>100000</v>
      </c>
      <c r="N1332" s="58">
        <f t="shared" si="64"/>
        <v>1665000</v>
      </c>
      <c r="O1332" s="60"/>
      <c r="P1332" s="60">
        <f t="shared" si="63"/>
        <v>1665000</v>
      </c>
    </row>
    <row r="1333" spans="2:16">
      <c r="B1333" s="20" t="s">
        <v>1484</v>
      </c>
      <c r="C1333" s="20" t="s">
        <v>2</v>
      </c>
      <c r="D1333" s="20" t="str">
        <f>IFERROR(INDEX('[2]PRICELIST, 908u'!$G$7:$AX$914,MATCH($B1333,'[2]PRICELIST, 908u'!$G$7:$G$914,0),18),"NA")</f>
        <v>2025 - Batch 4</v>
      </c>
      <c r="E1333" s="20" t="str">
        <f>IFERROR(INDEX([3]AGM!$D$21:$BL$928,MATCH($B1333,[3]AGM!$AD$21:$AD$928,0),1),"NA")</f>
        <v>TS</v>
      </c>
      <c r="F1333" s="20" t="str">
        <f t="shared" si="62"/>
        <v>Block 25</v>
      </c>
      <c r="G1333" s="20" t="str">
        <f t="shared" si="61"/>
        <v>Lot 01</v>
      </c>
      <c r="H1333" s="20">
        <f>IFERROR(INDEX('[2]PRICELIST, 908u'!$G$7:$AX$914,MATCH($B1333,'[2]PRICELIST, 908u'!$G$7:$G$914,0),23),"NA")</f>
        <v>50</v>
      </c>
      <c r="I1333" s="20">
        <f>IFERROR(INDEX('[2]PRICELIST, 908u'!$G$7:$AX$914,MATCH($B1333,'[2]PRICELIST, 908u'!$G$7:$G$914,0),22),"NA")</f>
        <v>103</v>
      </c>
      <c r="J1333" s="20" t="s">
        <v>207</v>
      </c>
      <c r="K1333" s="20" t="str">
        <f>IFERROR(INDEX('[2]PRICELIST, 908u'!$G$7:$AX$914,MATCH($B1333,'[2]PRICELIST, 908u'!$G$7:$G$914,0),30),"NA")</f>
        <v>Slant / YELLOW</v>
      </c>
      <c r="L1333" s="20">
        <f>IFERROR(INDEX('[2]PRICELIST, 908u'!$G$7:$AX$914,MATCH($B1333,'[2]PRICELIST, 908u'!$G$7:$G$914,0),40),"NA")</f>
        <v>3145000</v>
      </c>
      <c r="M1333" s="20">
        <f>IFERROR(INDEX('[2]PRICELIST, 908u'!$G$7:$AX$914,MATCH($B1333,'[2]PRICELIST, 908u'!$G$7:$G$914,0),41),"NA")</f>
        <v>100000</v>
      </c>
      <c r="N1333" s="58">
        <f t="shared" si="64"/>
        <v>3045000</v>
      </c>
      <c r="O1333" s="60"/>
      <c r="P1333" s="60">
        <f t="shared" si="63"/>
        <v>3045000</v>
      </c>
    </row>
    <row r="1334" spans="2:16">
      <c r="B1334" s="20" t="s">
        <v>1485</v>
      </c>
      <c r="C1334" s="20" t="s">
        <v>2</v>
      </c>
      <c r="D1334" s="20" t="str">
        <f>IFERROR(INDEX('[2]PRICELIST, 908u'!$G$7:$AX$914,MATCH($B1334,'[2]PRICELIST, 908u'!$G$7:$G$914,0),18),"NA")</f>
        <v>2025 - Batch 4</v>
      </c>
      <c r="E1334" s="20" t="str">
        <f>IFERROR(INDEX([3]AGM!$D$21:$BL$928,MATCH($B1334,[3]AGM!$AD$21:$AD$928,0),1),"NA")</f>
        <v>OS</v>
      </c>
      <c r="F1334" s="20" t="str">
        <f t="shared" si="62"/>
        <v>Block 25</v>
      </c>
      <c r="G1334" s="20" t="str">
        <f t="shared" si="61"/>
        <v>Lot 02</v>
      </c>
      <c r="H1334" s="20">
        <f>IFERROR(INDEX('[2]PRICELIST, 908u'!$G$7:$AX$914,MATCH($B1334,'[2]PRICELIST, 908u'!$G$7:$G$914,0),23),"NA")</f>
        <v>50</v>
      </c>
      <c r="I1334" s="20">
        <f>IFERROR(INDEX('[2]PRICELIST, 908u'!$G$7:$AX$914,MATCH($B1334,'[2]PRICELIST, 908u'!$G$7:$G$914,0),22),"NA")</f>
        <v>80</v>
      </c>
      <c r="J1334" s="20" t="s">
        <v>207</v>
      </c>
      <c r="K1334" s="20" t="str">
        <f>IFERROR(INDEX('[2]PRICELIST, 908u'!$G$7:$AX$914,MATCH($B1334,'[2]PRICELIST, 908u'!$G$7:$G$914,0),30),"NA")</f>
        <v>Flat / YELLOW</v>
      </c>
      <c r="L1334" s="20">
        <f>IFERROR(INDEX('[2]PRICELIST, 908u'!$G$7:$AX$914,MATCH($B1334,'[2]PRICELIST, 908u'!$G$7:$G$914,0),40),"NA")</f>
        <v>2800000</v>
      </c>
      <c r="M1334" s="20">
        <f>IFERROR(INDEX('[2]PRICELIST, 908u'!$G$7:$AX$914,MATCH($B1334,'[2]PRICELIST, 908u'!$G$7:$G$914,0),41),"NA")</f>
        <v>100000</v>
      </c>
      <c r="N1334" s="58">
        <f t="shared" si="64"/>
        <v>2700000</v>
      </c>
      <c r="O1334" s="60"/>
      <c r="P1334" s="60">
        <f t="shared" si="63"/>
        <v>2700000</v>
      </c>
    </row>
    <row r="1335" spans="2:16">
      <c r="B1335" s="20" t="s">
        <v>1486</v>
      </c>
      <c r="C1335" s="20" t="s">
        <v>2</v>
      </c>
      <c r="D1335" s="20" t="str">
        <f>IFERROR(INDEX('[2]PRICELIST, 908u'!$G$7:$AX$914,MATCH($B1335,'[2]PRICELIST, 908u'!$G$7:$G$914,0),18),"NA")</f>
        <v>2025 - Batch 4</v>
      </c>
      <c r="E1335" s="20" t="str">
        <f>IFERROR(INDEX([3]AGM!$D$21:$BL$928,MATCH($B1335,[3]AGM!$AD$21:$AD$928,0),1),"NA")</f>
        <v>OS</v>
      </c>
      <c r="F1335" s="20" t="str">
        <f t="shared" si="62"/>
        <v>Block 25</v>
      </c>
      <c r="G1335" s="20" t="str">
        <f t="shared" si="61"/>
        <v>Lot 03</v>
      </c>
      <c r="H1335" s="20">
        <f>IFERROR(INDEX('[2]PRICELIST, 908u'!$G$7:$AX$914,MATCH($B1335,'[2]PRICELIST, 908u'!$G$7:$G$914,0),23),"NA")</f>
        <v>50</v>
      </c>
      <c r="I1335" s="20">
        <f>IFERROR(INDEX('[2]PRICELIST, 908u'!$G$7:$AX$914,MATCH($B1335,'[2]PRICELIST, 908u'!$G$7:$G$914,0),22),"NA")</f>
        <v>70</v>
      </c>
      <c r="J1335" s="20" t="s">
        <v>207</v>
      </c>
      <c r="K1335" s="20" t="str">
        <f>IFERROR(INDEX('[2]PRICELIST, 908u'!$G$7:$AX$914,MATCH($B1335,'[2]PRICELIST, 908u'!$G$7:$G$914,0),30),"NA")</f>
        <v>Flat / GREEN</v>
      </c>
      <c r="L1335" s="20">
        <f>IFERROR(INDEX('[2]PRICELIST, 908u'!$G$7:$AX$914,MATCH($B1335,'[2]PRICELIST, 908u'!$G$7:$G$914,0),40),"NA")</f>
        <v>2650000</v>
      </c>
      <c r="M1335" s="20">
        <f>IFERROR(INDEX('[2]PRICELIST, 908u'!$G$7:$AX$914,MATCH($B1335,'[2]PRICELIST, 908u'!$G$7:$G$914,0),41),"NA")</f>
        <v>100000</v>
      </c>
      <c r="N1335" s="58">
        <f t="shared" si="64"/>
        <v>2550000</v>
      </c>
      <c r="O1335" s="60"/>
      <c r="P1335" s="60">
        <f t="shared" si="63"/>
        <v>2550000</v>
      </c>
    </row>
    <row r="1336" spans="2:16">
      <c r="B1336" s="20" t="s">
        <v>1487</v>
      </c>
      <c r="C1336" s="20" t="s">
        <v>2</v>
      </c>
      <c r="D1336" s="20" t="str">
        <f>IFERROR(INDEX('[2]PRICELIST, 908u'!$G$7:$AX$914,MATCH($B1336,'[2]PRICELIST, 908u'!$G$7:$G$914,0),18),"NA")</f>
        <v>2025 - Batch 4</v>
      </c>
      <c r="E1336" s="20" t="str">
        <f>IFERROR(INDEX([3]AGM!$D$21:$BL$928,MATCH($B1336,[3]AGM!$AD$21:$AD$928,0),1),"NA")</f>
        <v>OS</v>
      </c>
      <c r="F1336" s="20" t="str">
        <f t="shared" si="62"/>
        <v>Block 25</v>
      </c>
      <c r="G1336" s="20" t="str">
        <f t="shared" si="61"/>
        <v>Lot 04</v>
      </c>
      <c r="H1336" s="20">
        <f>IFERROR(INDEX('[2]PRICELIST, 908u'!$G$7:$AX$914,MATCH($B1336,'[2]PRICELIST, 908u'!$G$7:$G$914,0),23),"NA")</f>
        <v>50</v>
      </c>
      <c r="I1336" s="20">
        <f>IFERROR(INDEX('[2]PRICELIST, 908u'!$G$7:$AX$914,MATCH($B1336,'[2]PRICELIST, 908u'!$G$7:$G$914,0),22),"NA")</f>
        <v>70</v>
      </c>
      <c r="J1336" s="20" t="s">
        <v>207</v>
      </c>
      <c r="K1336" s="20" t="str">
        <f>IFERROR(INDEX('[2]PRICELIST, 908u'!$G$7:$AX$914,MATCH($B1336,'[2]PRICELIST, 908u'!$G$7:$G$914,0),30),"NA")</f>
        <v>Slant / GREEN</v>
      </c>
      <c r="L1336" s="20">
        <f>IFERROR(INDEX('[2]PRICELIST, 908u'!$G$7:$AX$914,MATCH($B1336,'[2]PRICELIST, 908u'!$G$7:$G$914,0),40),"NA")</f>
        <v>2650000</v>
      </c>
      <c r="M1336" s="20">
        <f>IFERROR(INDEX('[2]PRICELIST, 908u'!$G$7:$AX$914,MATCH($B1336,'[2]PRICELIST, 908u'!$G$7:$G$914,0),41),"NA")</f>
        <v>100000</v>
      </c>
      <c r="N1336" s="58">
        <f t="shared" si="64"/>
        <v>2550000</v>
      </c>
      <c r="O1336" s="60"/>
      <c r="P1336" s="60">
        <f t="shared" si="63"/>
        <v>2550000</v>
      </c>
    </row>
    <row r="1337" spans="2:16">
      <c r="B1337" s="20" t="s">
        <v>1488</v>
      </c>
      <c r="C1337" s="20" t="s">
        <v>2</v>
      </c>
      <c r="D1337" s="20" t="str">
        <f>IFERROR(INDEX('[2]PRICELIST, 908u'!$G$7:$AX$914,MATCH($B1337,'[2]PRICELIST, 908u'!$G$7:$G$914,0),18),"NA")</f>
        <v>2025 - Batch 4</v>
      </c>
      <c r="E1337" s="20" t="str">
        <f>IFERROR(INDEX([3]AGM!$D$21:$BL$928,MATCH($B1337,[3]AGM!$AD$21:$AD$928,0),1),"NA")</f>
        <v>OS</v>
      </c>
      <c r="F1337" s="20" t="str">
        <f t="shared" si="62"/>
        <v>Block 25</v>
      </c>
      <c r="G1337" s="20" t="str">
        <f t="shared" si="61"/>
        <v>Lot 05</v>
      </c>
      <c r="H1337" s="20">
        <f>IFERROR(INDEX('[2]PRICELIST, 908u'!$G$7:$AX$914,MATCH($B1337,'[2]PRICELIST, 908u'!$G$7:$G$914,0),23),"NA")</f>
        <v>50</v>
      </c>
      <c r="I1337" s="20">
        <f>IFERROR(INDEX('[2]PRICELIST, 908u'!$G$7:$AX$914,MATCH($B1337,'[2]PRICELIST, 908u'!$G$7:$G$914,0),22),"NA")</f>
        <v>70</v>
      </c>
      <c r="J1337" s="20" t="s">
        <v>207</v>
      </c>
      <c r="K1337" s="20" t="str">
        <f>IFERROR(INDEX('[2]PRICELIST, 908u'!$G$7:$AX$914,MATCH($B1337,'[2]PRICELIST, 908u'!$G$7:$G$914,0),30),"NA")</f>
        <v>Slant / GREEN</v>
      </c>
      <c r="L1337" s="20">
        <f>IFERROR(INDEX('[2]PRICELIST, 908u'!$G$7:$AX$914,MATCH($B1337,'[2]PRICELIST, 908u'!$G$7:$G$914,0),40),"NA")</f>
        <v>2650000</v>
      </c>
      <c r="M1337" s="20">
        <f>IFERROR(INDEX('[2]PRICELIST, 908u'!$G$7:$AX$914,MATCH($B1337,'[2]PRICELIST, 908u'!$G$7:$G$914,0),41),"NA")</f>
        <v>100000</v>
      </c>
      <c r="N1337" s="58">
        <f t="shared" si="64"/>
        <v>2550000</v>
      </c>
      <c r="O1337" s="60"/>
      <c r="P1337" s="60">
        <f t="shared" si="63"/>
        <v>2550000</v>
      </c>
    </row>
    <row r="1338" spans="2:16">
      <c r="B1338" s="20" t="s">
        <v>1489</v>
      </c>
      <c r="C1338" s="20" t="s">
        <v>2</v>
      </c>
      <c r="D1338" s="20" t="str">
        <f>IFERROR(INDEX('[2]PRICELIST, 908u'!$G$7:$AX$914,MATCH($B1338,'[2]PRICELIST, 908u'!$G$7:$G$914,0),18),"NA")</f>
        <v>2025 - Batch 4</v>
      </c>
      <c r="E1338" s="20" t="str">
        <f>IFERROR(INDEX([3]AGM!$D$21:$BL$928,MATCH($B1338,[3]AGM!$AD$21:$AD$928,0),1),"NA")</f>
        <v>OS</v>
      </c>
      <c r="F1338" s="20" t="str">
        <f t="shared" si="62"/>
        <v>Block 25</v>
      </c>
      <c r="G1338" s="20" t="str">
        <f t="shared" si="61"/>
        <v>Lot 06</v>
      </c>
      <c r="H1338" s="20">
        <f>IFERROR(INDEX('[2]PRICELIST, 908u'!$G$7:$AX$914,MATCH($B1338,'[2]PRICELIST, 908u'!$G$7:$G$914,0),23),"NA")</f>
        <v>50</v>
      </c>
      <c r="I1338" s="20">
        <f>IFERROR(INDEX('[2]PRICELIST, 908u'!$G$7:$AX$914,MATCH($B1338,'[2]PRICELIST, 908u'!$G$7:$G$914,0),22),"NA")</f>
        <v>70</v>
      </c>
      <c r="J1338" s="20" t="s">
        <v>207</v>
      </c>
      <c r="K1338" s="20" t="str">
        <f>IFERROR(INDEX('[2]PRICELIST, 908u'!$G$7:$AX$914,MATCH($B1338,'[2]PRICELIST, 908u'!$G$7:$G$914,0),30),"NA")</f>
        <v>Flat / GREEN</v>
      </c>
      <c r="L1338" s="20">
        <f>IFERROR(INDEX('[2]PRICELIST, 908u'!$G$7:$AX$914,MATCH($B1338,'[2]PRICELIST, 908u'!$G$7:$G$914,0),40),"NA")</f>
        <v>2650000</v>
      </c>
      <c r="M1338" s="20">
        <f>IFERROR(INDEX('[2]PRICELIST, 908u'!$G$7:$AX$914,MATCH($B1338,'[2]PRICELIST, 908u'!$G$7:$G$914,0),41),"NA")</f>
        <v>100000</v>
      </c>
      <c r="N1338" s="58">
        <f t="shared" si="64"/>
        <v>2550000</v>
      </c>
      <c r="O1338" s="60"/>
      <c r="P1338" s="60">
        <f t="shared" si="63"/>
        <v>2550000</v>
      </c>
    </row>
    <row r="1339" spans="2:16">
      <c r="B1339" s="20" t="s">
        <v>1490</v>
      </c>
      <c r="C1339" s="20" t="s">
        <v>2</v>
      </c>
      <c r="D1339" s="20" t="str">
        <f>IFERROR(INDEX('[2]PRICELIST, 908u'!$G$7:$AX$914,MATCH($B1339,'[2]PRICELIST, 908u'!$G$7:$G$914,0),18),"NA")</f>
        <v>2025 - Batch 4</v>
      </c>
      <c r="E1339" s="20" t="str">
        <f>IFERROR(INDEX([3]AGM!$D$21:$BL$928,MATCH($B1339,[3]AGM!$AD$21:$AD$928,0),1),"NA")</f>
        <v>OS</v>
      </c>
      <c r="F1339" s="20" t="str">
        <f t="shared" si="62"/>
        <v>Block 25</v>
      </c>
      <c r="G1339" s="20" t="str">
        <f t="shared" si="61"/>
        <v>Lot 07</v>
      </c>
      <c r="H1339" s="20">
        <f>IFERROR(INDEX('[2]PRICELIST, 908u'!$G$7:$AX$914,MATCH($B1339,'[2]PRICELIST, 908u'!$G$7:$G$914,0),23),"NA")</f>
        <v>50</v>
      </c>
      <c r="I1339" s="20">
        <f>IFERROR(INDEX('[2]PRICELIST, 908u'!$G$7:$AX$914,MATCH($B1339,'[2]PRICELIST, 908u'!$G$7:$G$914,0),22),"NA")</f>
        <v>70</v>
      </c>
      <c r="J1339" s="20" t="s">
        <v>207</v>
      </c>
      <c r="K1339" s="20" t="str">
        <f>IFERROR(INDEX('[2]PRICELIST, 908u'!$G$7:$AX$914,MATCH($B1339,'[2]PRICELIST, 908u'!$G$7:$G$914,0),30),"NA")</f>
        <v>Flat / PURPLE</v>
      </c>
      <c r="L1339" s="20">
        <f>IFERROR(INDEX('[2]PRICELIST, 908u'!$G$7:$AX$914,MATCH($B1339,'[2]PRICELIST, 908u'!$G$7:$G$914,0),40),"NA")</f>
        <v>2650000</v>
      </c>
      <c r="M1339" s="20">
        <f>IFERROR(INDEX('[2]PRICELIST, 908u'!$G$7:$AX$914,MATCH($B1339,'[2]PRICELIST, 908u'!$G$7:$G$914,0),41),"NA")</f>
        <v>100000</v>
      </c>
      <c r="N1339" s="58">
        <f t="shared" si="64"/>
        <v>2550000</v>
      </c>
      <c r="O1339" s="60"/>
      <c r="P1339" s="60">
        <f t="shared" si="63"/>
        <v>2550000</v>
      </c>
    </row>
    <row r="1340" spans="2:16">
      <c r="B1340" s="20" t="s">
        <v>1491</v>
      </c>
      <c r="C1340" s="20" t="s">
        <v>2</v>
      </c>
      <c r="D1340" s="20" t="str">
        <f>IFERROR(INDEX('[2]PRICELIST, 908u'!$G$7:$AX$914,MATCH($B1340,'[2]PRICELIST, 908u'!$G$7:$G$914,0),18),"NA")</f>
        <v>2025 - Batch 4</v>
      </c>
      <c r="E1340" s="20" t="str">
        <f>IFERROR(INDEX([3]AGM!$D$21:$BL$928,MATCH($B1340,[3]AGM!$AD$21:$AD$928,0),1),"NA")</f>
        <v>OS</v>
      </c>
      <c r="F1340" s="20" t="str">
        <f t="shared" si="62"/>
        <v>Block 25</v>
      </c>
      <c r="G1340" s="20" t="str">
        <f t="shared" si="61"/>
        <v>Lot 08</v>
      </c>
      <c r="H1340" s="20">
        <f>IFERROR(INDEX('[2]PRICELIST, 908u'!$G$7:$AX$914,MATCH($B1340,'[2]PRICELIST, 908u'!$G$7:$G$914,0),23),"NA")</f>
        <v>50</v>
      </c>
      <c r="I1340" s="20">
        <f>IFERROR(INDEX('[2]PRICELIST, 908u'!$G$7:$AX$914,MATCH($B1340,'[2]PRICELIST, 908u'!$G$7:$G$914,0),22),"NA")</f>
        <v>70</v>
      </c>
      <c r="J1340" s="20" t="s">
        <v>207</v>
      </c>
      <c r="K1340" s="20" t="str">
        <f>IFERROR(INDEX('[2]PRICELIST, 908u'!$G$7:$AX$914,MATCH($B1340,'[2]PRICELIST, 908u'!$G$7:$G$914,0),30),"NA")</f>
        <v>Slant / PURPLE</v>
      </c>
      <c r="L1340" s="20">
        <f>IFERROR(INDEX('[2]PRICELIST, 908u'!$G$7:$AX$914,MATCH($B1340,'[2]PRICELIST, 908u'!$G$7:$G$914,0),40),"NA")</f>
        <v>2650000</v>
      </c>
      <c r="M1340" s="20">
        <f>IFERROR(INDEX('[2]PRICELIST, 908u'!$G$7:$AX$914,MATCH($B1340,'[2]PRICELIST, 908u'!$G$7:$G$914,0),41),"NA")</f>
        <v>100000</v>
      </c>
      <c r="N1340" s="58">
        <f t="shared" si="64"/>
        <v>2550000</v>
      </c>
      <c r="O1340" s="60"/>
      <c r="P1340" s="60">
        <f t="shared" si="63"/>
        <v>2550000</v>
      </c>
    </row>
    <row r="1341" spans="2:16">
      <c r="B1341" s="20" t="s">
        <v>1492</v>
      </c>
      <c r="C1341" s="20" t="s">
        <v>2</v>
      </c>
      <c r="D1341" s="20" t="str">
        <f>IFERROR(INDEX('[2]PRICELIST, 908u'!$G$7:$AX$914,MATCH($B1341,'[2]PRICELIST, 908u'!$G$7:$G$914,0),18),"NA")</f>
        <v>2025 - Batch 1</v>
      </c>
      <c r="E1341" s="20" t="str">
        <f>IFERROR(INDEX([3]AGM!$D$21:$BL$928,MATCH($B1341,[3]AGM!$AD$21:$AD$928,0),1),"NA")</f>
        <v>OS</v>
      </c>
      <c r="F1341" s="20" t="str">
        <f t="shared" si="62"/>
        <v>Block 25</v>
      </c>
      <c r="G1341" s="20" t="str">
        <f t="shared" si="61"/>
        <v>Lot 09</v>
      </c>
      <c r="H1341" s="20">
        <f>IFERROR(INDEX('[2]PRICELIST, 908u'!$G$7:$AX$914,MATCH($B1341,'[2]PRICELIST, 908u'!$G$7:$G$914,0),23),"NA")</f>
        <v>50</v>
      </c>
      <c r="I1341" s="20">
        <f>IFERROR(INDEX('[2]PRICELIST, 908u'!$G$7:$AX$914,MATCH($B1341,'[2]PRICELIST, 908u'!$G$7:$G$914,0),22),"NA")</f>
        <v>70</v>
      </c>
      <c r="J1341" s="20" t="s">
        <v>207</v>
      </c>
      <c r="K1341" s="20" t="str">
        <f>IFERROR(INDEX('[2]PRICELIST, 908u'!$G$7:$AX$914,MATCH($B1341,'[2]PRICELIST, 908u'!$G$7:$G$914,0),30),"NA")</f>
        <v>Slant / PURPLE</v>
      </c>
      <c r="L1341" s="20">
        <f>IFERROR(INDEX('[2]PRICELIST, 908u'!$G$7:$AX$914,MATCH($B1341,'[2]PRICELIST, 908u'!$G$7:$G$914,0),40),"NA")</f>
        <v>2650000</v>
      </c>
      <c r="M1341" s="20">
        <f>IFERROR(INDEX('[2]PRICELIST, 908u'!$G$7:$AX$914,MATCH($B1341,'[2]PRICELIST, 908u'!$G$7:$G$914,0),41),"NA")</f>
        <v>100000</v>
      </c>
      <c r="N1341" s="58">
        <f t="shared" si="64"/>
        <v>2550000</v>
      </c>
      <c r="O1341" s="60"/>
      <c r="P1341" s="60">
        <f t="shared" si="63"/>
        <v>2550000</v>
      </c>
    </row>
    <row r="1342" spans="2:16">
      <c r="B1342" s="20" t="s">
        <v>1493</v>
      </c>
      <c r="C1342" s="20" t="s">
        <v>2</v>
      </c>
      <c r="D1342" s="20" t="str">
        <f>IFERROR(INDEX('[2]PRICELIST, 908u'!$G$7:$AX$914,MATCH($B1342,'[2]PRICELIST, 908u'!$G$7:$G$914,0),18),"NA")</f>
        <v>2025 - Batch 1</v>
      </c>
      <c r="E1342" s="20" t="str">
        <f>IFERROR(INDEX([3]AGM!$D$21:$BL$928,MATCH($B1342,[3]AGM!$AD$21:$AD$928,0),1),"NA")</f>
        <v>OS</v>
      </c>
      <c r="F1342" s="20" t="str">
        <f t="shared" si="62"/>
        <v>Block 25</v>
      </c>
      <c r="G1342" s="20" t="str">
        <f t="shared" si="61"/>
        <v>Lot 10</v>
      </c>
      <c r="H1342" s="20">
        <f>IFERROR(INDEX('[2]PRICELIST, 908u'!$G$7:$AX$914,MATCH($B1342,'[2]PRICELIST, 908u'!$G$7:$G$914,0),23),"NA")</f>
        <v>50</v>
      </c>
      <c r="I1342" s="20">
        <f>IFERROR(INDEX('[2]PRICELIST, 908u'!$G$7:$AX$914,MATCH($B1342,'[2]PRICELIST, 908u'!$G$7:$G$914,0),22),"NA")</f>
        <v>70</v>
      </c>
      <c r="J1342" s="20" t="s">
        <v>207</v>
      </c>
      <c r="K1342" s="20" t="str">
        <f>IFERROR(INDEX('[2]PRICELIST, 908u'!$G$7:$AX$914,MATCH($B1342,'[2]PRICELIST, 908u'!$G$7:$G$914,0),30),"NA")</f>
        <v>Flat / PURPLE</v>
      </c>
      <c r="L1342" s="20">
        <f>IFERROR(INDEX('[2]PRICELIST, 908u'!$G$7:$AX$914,MATCH($B1342,'[2]PRICELIST, 908u'!$G$7:$G$914,0),40),"NA")</f>
        <v>2650000</v>
      </c>
      <c r="M1342" s="20">
        <f>IFERROR(INDEX('[2]PRICELIST, 908u'!$G$7:$AX$914,MATCH($B1342,'[2]PRICELIST, 908u'!$G$7:$G$914,0),41),"NA")</f>
        <v>100000</v>
      </c>
      <c r="N1342" s="58">
        <f t="shared" si="64"/>
        <v>2550000</v>
      </c>
      <c r="O1342" s="60"/>
      <c r="P1342" s="60">
        <f t="shared" si="63"/>
        <v>2550000</v>
      </c>
    </row>
    <row r="1343" spans="2:16">
      <c r="B1343" s="20" t="s">
        <v>1494</v>
      </c>
      <c r="C1343" s="20" t="s">
        <v>2</v>
      </c>
      <c r="D1343" s="20" t="str">
        <f>IFERROR(INDEX('[2]PRICELIST, 908u'!$G$7:$AX$914,MATCH($B1343,'[2]PRICELIST, 908u'!$G$7:$G$914,0),18),"NA")</f>
        <v>2025 - Batch 1</v>
      </c>
      <c r="E1343" s="20" t="str">
        <f>IFERROR(INDEX([3]AGM!$D$21:$BL$928,MATCH($B1343,[3]AGM!$AD$21:$AD$928,0),1),"NA")</f>
        <v>OS</v>
      </c>
      <c r="F1343" s="20" t="str">
        <f t="shared" si="62"/>
        <v>Block 25</v>
      </c>
      <c r="G1343" s="20" t="str">
        <f t="shared" si="61"/>
        <v>Lot 11</v>
      </c>
      <c r="H1343" s="20">
        <f>IFERROR(INDEX('[2]PRICELIST, 908u'!$G$7:$AX$914,MATCH($B1343,'[2]PRICELIST, 908u'!$G$7:$G$914,0),23),"NA")</f>
        <v>50</v>
      </c>
      <c r="I1343" s="20">
        <f>IFERROR(INDEX('[2]PRICELIST, 908u'!$G$7:$AX$914,MATCH($B1343,'[2]PRICELIST, 908u'!$G$7:$G$914,0),22),"NA")</f>
        <v>70</v>
      </c>
      <c r="J1343" s="20" t="s">
        <v>207</v>
      </c>
      <c r="K1343" s="20" t="str">
        <f>IFERROR(INDEX('[2]PRICELIST, 908u'!$G$7:$AX$914,MATCH($B1343,'[2]PRICELIST, 908u'!$G$7:$G$914,0),30),"NA")</f>
        <v>Flat / PINK</v>
      </c>
      <c r="L1343" s="20">
        <f>IFERROR(INDEX('[2]PRICELIST, 908u'!$G$7:$AX$914,MATCH($B1343,'[2]PRICELIST, 908u'!$G$7:$G$914,0),40),"NA")</f>
        <v>2650000</v>
      </c>
      <c r="M1343" s="20">
        <f>IFERROR(INDEX('[2]PRICELIST, 908u'!$G$7:$AX$914,MATCH($B1343,'[2]PRICELIST, 908u'!$G$7:$G$914,0),41),"NA")</f>
        <v>100000</v>
      </c>
      <c r="N1343" s="58">
        <f t="shared" si="64"/>
        <v>2550000</v>
      </c>
      <c r="O1343" s="60"/>
      <c r="P1343" s="60">
        <f t="shared" si="63"/>
        <v>2550000</v>
      </c>
    </row>
    <row r="1344" spans="2:16">
      <c r="B1344" s="20" t="s">
        <v>1495</v>
      </c>
      <c r="C1344" s="20" t="s">
        <v>2</v>
      </c>
      <c r="D1344" s="20" t="str">
        <f>IFERROR(INDEX('[2]PRICELIST, 908u'!$G$7:$AX$914,MATCH($B1344,'[2]PRICELIST, 908u'!$G$7:$G$914,0),18),"NA")</f>
        <v>2025 - Batch 1</v>
      </c>
      <c r="E1344" s="20" t="str">
        <f>IFERROR(INDEX([3]AGM!$D$21:$BL$928,MATCH($B1344,[3]AGM!$AD$21:$AD$928,0),1),"NA")</f>
        <v>OS</v>
      </c>
      <c r="F1344" s="20" t="str">
        <f t="shared" si="62"/>
        <v>Block 25</v>
      </c>
      <c r="G1344" s="20" t="str">
        <f t="shared" si="61"/>
        <v>Lot 12</v>
      </c>
      <c r="H1344" s="20">
        <f>IFERROR(INDEX('[2]PRICELIST, 908u'!$G$7:$AX$914,MATCH($B1344,'[2]PRICELIST, 908u'!$G$7:$G$914,0),23),"NA")</f>
        <v>50</v>
      </c>
      <c r="I1344" s="20">
        <f>IFERROR(INDEX('[2]PRICELIST, 908u'!$G$7:$AX$914,MATCH($B1344,'[2]PRICELIST, 908u'!$G$7:$G$914,0),22),"NA")</f>
        <v>70</v>
      </c>
      <c r="J1344" s="20" t="s">
        <v>207</v>
      </c>
      <c r="K1344" s="20" t="str">
        <f>IFERROR(INDEX('[2]PRICELIST, 908u'!$G$7:$AX$914,MATCH($B1344,'[2]PRICELIST, 908u'!$G$7:$G$914,0),30),"NA")</f>
        <v>Slant / PINK</v>
      </c>
      <c r="L1344" s="20">
        <f>IFERROR(INDEX('[2]PRICELIST, 908u'!$G$7:$AX$914,MATCH($B1344,'[2]PRICELIST, 908u'!$G$7:$G$914,0),40),"NA")</f>
        <v>2650000</v>
      </c>
      <c r="M1344" s="20">
        <f>IFERROR(INDEX('[2]PRICELIST, 908u'!$G$7:$AX$914,MATCH($B1344,'[2]PRICELIST, 908u'!$G$7:$G$914,0),41),"NA")</f>
        <v>100000</v>
      </c>
      <c r="N1344" s="58">
        <f t="shared" si="64"/>
        <v>2550000</v>
      </c>
      <c r="O1344" s="60"/>
      <c r="P1344" s="60">
        <f t="shared" si="63"/>
        <v>2550000</v>
      </c>
    </row>
    <row r="1345" spans="2:16">
      <c r="B1345" s="20" t="s">
        <v>1496</v>
      </c>
      <c r="C1345" s="20" t="s">
        <v>2</v>
      </c>
      <c r="D1345" s="20" t="str">
        <f>IFERROR(INDEX('[2]PRICELIST, 908u'!$G$7:$AX$914,MATCH($B1345,'[2]PRICELIST, 908u'!$G$7:$G$914,0),18),"NA")</f>
        <v>2025 - Batch 1</v>
      </c>
      <c r="E1345" s="20" t="str">
        <f>IFERROR(INDEX([3]AGM!$D$21:$BL$928,MATCH($B1345,[3]AGM!$AD$21:$AD$928,0),1),"NA")</f>
        <v>OS</v>
      </c>
      <c r="F1345" s="20" t="str">
        <f t="shared" si="62"/>
        <v>Block 25</v>
      </c>
      <c r="G1345" s="20" t="str">
        <f t="shared" si="61"/>
        <v>Lot 13</v>
      </c>
      <c r="H1345" s="20">
        <f>IFERROR(INDEX('[2]PRICELIST, 908u'!$G$7:$AX$914,MATCH($B1345,'[2]PRICELIST, 908u'!$G$7:$G$914,0),23),"NA")</f>
        <v>50</v>
      </c>
      <c r="I1345" s="20">
        <f>IFERROR(INDEX('[2]PRICELIST, 908u'!$G$7:$AX$914,MATCH($B1345,'[2]PRICELIST, 908u'!$G$7:$G$914,0),22),"NA")</f>
        <v>70</v>
      </c>
      <c r="J1345" s="20" t="s">
        <v>207</v>
      </c>
      <c r="K1345" s="20" t="str">
        <f>IFERROR(INDEX('[2]PRICELIST, 908u'!$G$7:$AX$914,MATCH($B1345,'[2]PRICELIST, 908u'!$G$7:$G$914,0),30),"NA")</f>
        <v>Slant / PINK</v>
      </c>
      <c r="L1345" s="20">
        <f>IFERROR(INDEX('[2]PRICELIST, 908u'!$G$7:$AX$914,MATCH($B1345,'[2]PRICELIST, 908u'!$G$7:$G$914,0),40),"NA")</f>
        <v>2650000</v>
      </c>
      <c r="M1345" s="20">
        <f>IFERROR(INDEX('[2]PRICELIST, 908u'!$G$7:$AX$914,MATCH($B1345,'[2]PRICELIST, 908u'!$G$7:$G$914,0),41),"NA")</f>
        <v>100000</v>
      </c>
      <c r="N1345" s="58">
        <f t="shared" si="64"/>
        <v>2550000</v>
      </c>
      <c r="O1345" s="60"/>
      <c r="P1345" s="60">
        <f t="shared" si="63"/>
        <v>2550000</v>
      </c>
    </row>
    <row r="1346" spans="2:16">
      <c r="B1346" s="20" t="s">
        <v>1497</v>
      </c>
      <c r="C1346" s="20" t="s">
        <v>2</v>
      </c>
      <c r="D1346" s="20" t="str">
        <f>IFERROR(INDEX('[2]PRICELIST, 908u'!$G$7:$AX$914,MATCH($B1346,'[2]PRICELIST, 908u'!$G$7:$G$914,0),18),"NA")</f>
        <v>2025 - Batch 1</v>
      </c>
      <c r="E1346" s="20" t="str">
        <f>IFERROR(INDEX([3]AGM!$D$21:$BL$928,MATCH($B1346,[3]AGM!$AD$21:$AD$928,0),1),"NA")</f>
        <v>OS</v>
      </c>
      <c r="F1346" s="20" t="str">
        <f t="shared" si="62"/>
        <v>Block 25</v>
      </c>
      <c r="G1346" s="20" t="str">
        <f t="shared" si="61"/>
        <v>Lot 14</v>
      </c>
      <c r="H1346" s="20">
        <f>IFERROR(INDEX('[2]PRICELIST, 908u'!$G$7:$AX$914,MATCH($B1346,'[2]PRICELIST, 908u'!$G$7:$G$914,0),23),"NA")</f>
        <v>50</v>
      </c>
      <c r="I1346" s="20">
        <f>IFERROR(INDEX('[2]PRICELIST, 908u'!$G$7:$AX$914,MATCH($B1346,'[2]PRICELIST, 908u'!$G$7:$G$914,0),22),"NA")</f>
        <v>70</v>
      </c>
      <c r="J1346" s="20" t="s">
        <v>207</v>
      </c>
      <c r="K1346" s="20" t="str">
        <f>IFERROR(INDEX('[2]PRICELIST, 908u'!$G$7:$AX$914,MATCH($B1346,'[2]PRICELIST, 908u'!$G$7:$G$914,0),30),"NA")</f>
        <v>Flat / PINK</v>
      </c>
      <c r="L1346" s="20">
        <f>IFERROR(INDEX('[2]PRICELIST, 908u'!$G$7:$AX$914,MATCH($B1346,'[2]PRICELIST, 908u'!$G$7:$G$914,0),40),"NA")</f>
        <v>2650000</v>
      </c>
      <c r="M1346" s="20">
        <f>IFERROR(INDEX('[2]PRICELIST, 908u'!$G$7:$AX$914,MATCH($B1346,'[2]PRICELIST, 908u'!$G$7:$G$914,0),41),"NA")</f>
        <v>100000</v>
      </c>
      <c r="N1346" s="58">
        <f t="shared" si="64"/>
        <v>2550000</v>
      </c>
      <c r="O1346" s="60"/>
      <c r="P1346" s="60">
        <f t="shared" si="63"/>
        <v>2550000</v>
      </c>
    </row>
    <row r="1347" spans="2:16">
      <c r="B1347" s="20" t="s">
        <v>1498</v>
      </c>
      <c r="C1347" s="20" t="s">
        <v>2</v>
      </c>
      <c r="D1347" s="20" t="str">
        <f>IFERROR(INDEX('[2]PRICELIST, 908u'!$G$7:$AX$914,MATCH($B1347,'[2]PRICELIST, 908u'!$G$7:$G$914,0),18),"NA")</f>
        <v>2025 - Batch 2</v>
      </c>
      <c r="E1347" s="20" t="str">
        <f>IFERROR(INDEX([3]AGM!$D$21:$BL$928,MATCH($B1347,[3]AGM!$AD$21:$AD$928,0),1),"NA")</f>
        <v>OS</v>
      </c>
      <c r="F1347" s="20" t="str">
        <f t="shared" si="62"/>
        <v>Block 25</v>
      </c>
      <c r="G1347" s="20" t="str">
        <f t="shared" si="61"/>
        <v>Lot 15</v>
      </c>
      <c r="H1347" s="20">
        <f>IFERROR(INDEX('[2]PRICELIST, 908u'!$G$7:$AX$914,MATCH($B1347,'[2]PRICELIST, 908u'!$G$7:$G$914,0),23),"NA")</f>
        <v>50</v>
      </c>
      <c r="I1347" s="20">
        <f>IFERROR(INDEX('[2]PRICELIST, 908u'!$G$7:$AX$914,MATCH($B1347,'[2]PRICELIST, 908u'!$G$7:$G$914,0),22),"NA")</f>
        <v>70</v>
      </c>
      <c r="J1347" s="20" t="s">
        <v>207</v>
      </c>
      <c r="K1347" s="20" t="str">
        <f>IFERROR(INDEX('[2]PRICELIST, 908u'!$G$7:$AX$914,MATCH($B1347,'[2]PRICELIST, 908u'!$G$7:$G$914,0),30),"NA")</f>
        <v>Flat / YELLOW</v>
      </c>
      <c r="L1347" s="20">
        <f>IFERROR(INDEX('[2]PRICELIST, 908u'!$G$7:$AX$914,MATCH($B1347,'[2]PRICELIST, 908u'!$G$7:$G$914,0),40),"NA")</f>
        <v>2650000</v>
      </c>
      <c r="M1347" s="20">
        <f>IFERROR(INDEX('[2]PRICELIST, 908u'!$G$7:$AX$914,MATCH($B1347,'[2]PRICELIST, 908u'!$G$7:$G$914,0),41),"NA")</f>
        <v>100000</v>
      </c>
      <c r="N1347" s="58">
        <f t="shared" si="64"/>
        <v>2550000</v>
      </c>
      <c r="O1347" s="60"/>
      <c r="P1347" s="60">
        <f t="shared" si="63"/>
        <v>2550000</v>
      </c>
    </row>
    <row r="1348" spans="2:16">
      <c r="B1348" s="20" t="s">
        <v>1499</v>
      </c>
      <c r="C1348" s="20" t="s">
        <v>2</v>
      </c>
      <c r="D1348" s="20" t="str">
        <f>IFERROR(INDEX('[2]PRICELIST, 908u'!$G$7:$AX$914,MATCH($B1348,'[2]PRICELIST, 908u'!$G$7:$G$914,0),18),"NA")</f>
        <v>2025 - Batch 2</v>
      </c>
      <c r="E1348" s="20" t="str">
        <f>IFERROR(INDEX([3]AGM!$D$21:$BL$928,MATCH($B1348,[3]AGM!$AD$21:$AD$928,0),1),"NA")</f>
        <v>OS</v>
      </c>
      <c r="F1348" s="20" t="str">
        <f t="shared" si="62"/>
        <v>Block 25</v>
      </c>
      <c r="G1348" s="20" t="str">
        <f t="shared" si="61"/>
        <v>Lot 16</v>
      </c>
      <c r="H1348" s="20">
        <f>IFERROR(INDEX('[2]PRICELIST, 908u'!$G$7:$AX$914,MATCH($B1348,'[2]PRICELIST, 908u'!$G$7:$G$914,0),23),"NA")</f>
        <v>50</v>
      </c>
      <c r="I1348" s="20">
        <f>IFERROR(INDEX('[2]PRICELIST, 908u'!$G$7:$AX$914,MATCH($B1348,'[2]PRICELIST, 908u'!$G$7:$G$914,0),22),"NA")</f>
        <v>70</v>
      </c>
      <c r="J1348" s="20" t="s">
        <v>207</v>
      </c>
      <c r="K1348" s="20" t="str">
        <f>IFERROR(INDEX('[2]PRICELIST, 908u'!$G$7:$AX$914,MATCH($B1348,'[2]PRICELIST, 908u'!$G$7:$G$914,0),30),"NA")</f>
        <v>Slant / YELLOW</v>
      </c>
      <c r="L1348" s="20">
        <f>IFERROR(INDEX('[2]PRICELIST, 908u'!$G$7:$AX$914,MATCH($B1348,'[2]PRICELIST, 908u'!$G$7:$G$914,0),40),"NA")</f>
        <v>2650000</v>
      </c>
      <c r="M1348" s="20">
        <f>IFERROR(INDEX('[2]PRICELIST, 908u'!$G$7:$AX$914,MATCH($B1348,'[2]PRICELIST, 908u'!$G$7:$G$914,0),41),"NA")</f>
        <v>100000</v>
      </c>
      <c r="N1348" s="58">
        <f t="shared" si="64"/>
        <v>2550000</v>
      </c>
      <c r="O1348" s="60"/>
      <c r="P1348" s="60">
        <f t="shared" si="63"/>
        <v>2550000</v>
      </c>
    </row>
    <row r="1349" spans="2:16">
      <c r="B1349" s="20" t="s">
        <v>1500</v>
      </c>
      <c r="C1349" s="20" t="s">
        <v>2</v>
      </c>
      <c r="D1349" s="20" t="str">
        <f>IFERROR(INDEX('[2]PRICELIST, 908u'!$G$7:$AX$914,MATCH($B1349,'[2]PRICELIST, 908u'!$G$7:$G$914,0),18),"NA")</f>
        <v>2025 - Batch 2</v>
      </c>
      <c r="E1349" s="20" t="str">
        <f>IFERROR(INDEX([3]AGM!$D$21:$BL$928,MATCH($B1349,[3]AGM!$AD$21:$AD$928,0),1),"NA")</f>
        <v>OS</v>
      </c>
      <c r="F1349" s="20" t="str">
        <f t="shared" si="62"/>
        <v>Block 25</v>
      </c>
      <c r="G1349" s="20" t="str">
        <f t="shared" si="61"/>
        <v>Lot 17</v>
      </c>
      <c r="H1349" s="20">
        <f>IFERROR(INDEX('[2]PRICELIST, 908u'!$G$7:$AX$914,MATCH($B1349,'[2]PRICELIST, 908u'!$G$7:$G$914,0),23),"NA")</f>
        <v>50</v>
      </c>
      <c r="I1349" s="20">
        <f>IFERROR(INDEX('[2]PRICELIST, 908u'!$G$7:$AX$914,MATCH($B1349,'[2]PRICELIST, 908u'!$G$7:$G$914,0),22),"NA")</f>
        <v>70</v>
      </c>
      <c r="J1349" s="20" t="s">
        <v>207</v>
      </c>
      <c r="K1349" s="20" t="str">
        <f>IFERROR(INDEX('[2]PRICELIST, 908u'!$G$7:$AX$914,MATCH($B1349,'[2]PRICELIST, 908u'!$G$7:$G$914,0),30),"NA")</f>
        <v>Slant / YELLOW</v>
      </c>
      <c r="L1349" s="20">
        <f>IFERROR(INDEX('[2]PRICELIST, 908u'!$G$7:$AX$914,MATCH($B1349,'[2]PRICELIST, 908u'!$G$7:$G$914,0),40),"NA")</f>
        <v>2650000</v>
      </c>
      <c r="M1349" s="20">
        <f>IFERROR(INDEX('[2]PRICELIST, 908u'!$G$7:$AX$914,MATCH($B1349,'[2]PRICELIST, 908u'!$G$7:$G$914,0),41),"NA")</f>
        <v>100000</v>
      </c>
      <c r="N1349" s="58">
        <f t="shared" si="64"/>
        <v>2550000</v>
      </c>
      <c r="O1349" s="60"/>
      <c r="P1349" s="60">
        <f t="shared" si="63"/>
        <v>2550000</v>
      </c>
    </row>
    <row r="1350" spans="2:16">
      <c r="B1350" s="20" t="s">
        <v>1501</v>
      </c>
      <c r="C1350" s="20" t="s">
        <v>2</v>
      </c>
      <c r="D1350" s="20" t="str">
        <f>IFERROR(INDEX('[2]PRICELIST, 908u'!$G$7:$AX$914,MATCH($B1350,'[2]PRICELIST, 908u'!$G$7:$G$914,0),18),"NA")</f>
        <v>2025 - Batch 2</v>
      </c>
      <c r="E1350" s="20" t="str">
        <f>IFERROR(INDEX([3]AGM!$D$21:$BL$928,MATCH($B1350,[3]AGM!$AD$21:$AD$928,0),1),"NA")</f>
        <v>OS</v>
      </c>
      <c r="F1350" s="20" t="str">
        <f t="shared" si="62"/>
        <v>Block 25</v>
      </c>
      <c r="G1350" s="20" t="str">
        <f t="shared" si="61"/>
        <v>Lot 18</v>
      </c>
      <c r="H1350" s="20">
        <f>IFERROR(INDEX('[2]PRICELIST, 908u'!$G$7:$AX$914,MATCH($B1350,'[2]PRICELIST, 908u'!$G$7:$G$914,0),23),"NA")</f>
        <v>50</v>
      </c>
      <c r="I1350" s="20">
        <f>IFERROR(INDEX('[2]PRICELIST, 908u'!$G$7:$AX$914,MATCH($B1350,'[2]PRICELIST, 908u'!$G$7:$G$914,0),22),"NA")</f>
        <v>70</v>
      </c>
      <c r="J1350" s="20" t="s">
        <v>207</v>
      </c>
      <c r="K1350" s="20" t="str">
        <f>IFERROR(INDEX('[2]PRICELIST, 908u'!$G$7:$AX$914,MATCH($B1350,'[2]PRICELIST, 908u'!$G$7:$G$914,0),30),"NA")</f>
        <v>Flat / YELLOW</v>
      </c>
      <c r="L1350" s="20">
        <f>IFERROR(INDEX('[2]PRICELIST, 908u'!$G$7:$AX$914,MATCH($B1350,'[2]PRICELIST, 908u'!$G$7:$G$914,0),40),"NA")</f>
        <v>2650000</v>
      </c>
      <c r="M1350" s="20">
        <f>IFERROR(INDEX('[2]PRICELIST, 908u'!$G$7:$AX$914,MATCH($B1350,'[2]PRICELIST, 908u'!$G$7:$G$914,0),41),"NA")</f>
        <v>100000</v>
      </c>
      <c r="N1350" s="58">
        <f t="shared" si="64"/>
        <v>2550000</v>
      </c>
      <c r="O1350" s="60"/>
      <c r="P1350" s="60">
        <f t="shared" si="63"/>
        <v>2550000</v>
      </c>
    </row>
    <row r="1351" spans="2:16">
      <c r="B1351" s="20" t="s">
        <v>1502</v>
      </c>
      <c r="C1351" s="20" t="s">
        <v>2</v>
      </c>
      <c r="D1351" s="20" t="str">
        <f>IFERROR(INDEX('[2]PRICELIST, 908u'!$G$7:$AX$914,MATCH($B1351,'[2]PRICELIST, 908u'!$G$7:$G$914,0),18),"NA")</f>
        <v>2025 - Batch 2</v>
      </c>
      <c r="E1351" s="20" t="str">
        <f>IFERROR(INDEX([3]AGM!$D$21:$BL$928,MATCH($B1351,[3]AGM!$AD$21:$AD$928,0),1),"NA")</f>
        <v>OS</v>
      </c>
      <c r="F1351" s="20" t="str">
        <f t="shared" si="62"/>
        <v>Block 25</v>
      </c>
      <c r="G1351" s="20" t="str">
        <f t="shared" si="61"/>
        <v>Lot 19</v>
      </c>
      <c r="H1351" s="20">
        <f>IFERROR(INDEX('[2]PRICELIST, 908u'!$G$7:$AX$914,MATCH($B1351,'[2]PRICELIST, 908u'!$G$7:$G$914,0),23),"NA")</f>
        <v>50</v>
      </c>
      <c r="I1351" s="20">
        <f>IFERROR(INDEX('[2]PRICELIST, 908u'!$G$7:$AX$914,MATCH($B1351,'[2]PRICELIST, 908u'!$G$7:$G$914,0),22),"NA")</f>
        <v>70</v>
      </c>
      <c r="J1351" s="20" t="s">
        <v>207</v>
      </c>
      <c r="K1351" s="20" t="str">
        <f>IFERROR(INDEX('[2]PRICELIST, 908u'!$G$7:$AX$914,MATCH($B1351,'[2]PRICELIST, 908u'!$G$7:$G$914,0),30),"NA")</f>
        <v>Flat / GREEN</v>
      </c>
      <c r="L1351" s="20">
        <f>IFERROR(INDEX('[2]PRICELIST, 908u'!$G$7:$AX$914,MATCH($B1351,'[2]PRICELIST, 908u'!$G$7:$G$914,0),40),"NA")</f>
        <v>2650000</v>
      </c>
      <c r="M1351" s="20">
        <f>IFERROR(INDEX('[2]PRICELIST, 908u'!$G$7:$AX$914,MATCH($B1351,'[2]PRICELIST, 908u'!$G$7:$G$914,0),41),"NA")</f>
        <v>100000</v>
      </c>
      <c r="N1351" s="58">
        <f t="shared" si="64"/>
        <v>2550000</v>
      </c>
      <c r="O1351" s="60"/>
      <c r="P1351" s="60">
        <f t="shared" si="63"/>
        <v>2550000</v>
      </c>
    </row>
    <row r="1352" spans="2:16">
      <c r="B1352" s="20" t="s">
        <v>1503</v>
      </c>
      <c r="C1352" s="20" t="s">
        <v>2</v>
      </c>
      <c r="D1352" s="20" t="str">
        <f>IFERROR(INDEX('[2]PRICELIST, 908u'!$G$7:$AX$914,MATCH($B1352,'[2]PRICELIST, 908u'!$G$7:$G$914,0),18),"NA")</f>
        <v>2025 - Batch 2</v>
      </c>
      <c r="E1352" s="20" t="str">
        <f>IFERROR(INDEX([3]AGM!$D$21:$BL$928,MATCH($B1352,[3]AGM!$AD$21:$AD$928,0),1),"NA")</f>
        <v>OS</v>
      </c>
      <c r="F1352" s="20" t="str">
        <f t="shared" si="62"/>
        <v>Block 25</v>
      </c>
      <c r="G1352" s="20" t="str">
        <f t="shared" si="61"/>
        <v>Lot 20</v>
      </c>
      <c r="H1352" s="20">
        <f>IFERROR(INDEX('[2]PRICELIST, 908u'!$G$7:$AX$914,MATCH($B1352,'[2]PRICELIST, 908u'!$G$7:$G$914,0),23),"NA")</f>
        <v>50</v>
      </c>
      <c r="I1352" s="20">
        <f>IFERROR(INDEX('[2]PRICELIST, 908u'!$G$7:$AX$914,MATCH($B1352,'[2]PRICELIST, 908u'!$G$7:$G$914,0),22),"NA")</f>
        <v>70</v>
      </c>
      <c r="J1352" s="20" t="s">
        <v>207</v>
      </c>
      <c r="K1352" s="20" t="str">
        <f>IFERROR(INDEX('[2]PRICELIST, 908u'!$G$7:$AX$914,MATCH($B1352,'[2]PRICELIST, 908u'!$G$7:$G$914,0),30),"NA")</f>
        <v>Slant / GREEN</v>
      </c>
      <c r="L1352" s="20">
        <f>IFERROR(INDEX('[2]PRICELIST, 908u'!$G$7:$AX$914,MATCH($B1352,'[2]PRICELIST, 908u'!$G$7:$G$914,0),40),"NA")</f>
        <v>2650000</v>
      </c>
      <c r="M1352" s="20">
        <f>IFERROR(INDEX('[2]PRICELIST, 908u'!$G$7:$AX$914,MATCH($B1352,'[2]PRICELIST, 908u'!$G$7:$G$914,0),41),"NA")</f>
        <v>100000</v>
      </c>
      <c r="N1352" s="58">
        <f t="shared" si="64"/>
        <v>2550000</v>
      </c>
      <c r="O1352" s="60"/>
      <c r="P1352" s="60">
        <f t="shared" si="63"/>
        <v>2550000</v>
      </c>
    </row>
    <row r="1353" spans="2:16">
      <c r="B1353" s="20" t="s">
        <v>1504</v>
      </c>
      <c r="C1353" s="20" t="s">
        <v>2</v>
      </c>
      <c r="D1353" s="20" t="str">
        <f>IFERROR(INDEX('[2]PRICELIST, 908u'!$G$7:$AX$914,MATCH($B1353,'[2]PRICELIST, 908u'!$G$7:$G$914,0),18),"NA")</f>
        <v>2025 - Batch 1</v>
      </c>
      <c r="E1353" s="20" t="str">
        <f>IFERROR(INDEX([3]AGM!$D$21:$BL$928,MATCH($B1353,[3]AGM!$AD$21:$AD$928,0),1),"NA")</f>
        <v>OS</v>
      </c>
      <c r="F1353" s="20" t="str">
        <f t="shared" si="62"/>
        <v>Block 25</v>
      </c>
      <c r="G1353" s="20" t="str">
        <f t="shared" si="61"/>
        <v>Lot 21</v>
      </c>
      <c r="H1353" s="20">
        <f>IFERROR(INDEX('[2]PRICELIST, 908u'!$G$7:$AX$914,MATCH($B1353,'[2]PRICELIST, 908u'!$G$7:$G$914,0),23),"NA")</f>
        <v>50</v>
      </c>
      <c r="I1353" s="20">
        <f>IFERROR(INDEX('[2]PRICELIST, 908u'!$G$7:$AX$914,MATCH($B1353,'[2]PRICELIST, 908u'!$G$7:$G$914,0),22),"NA")</f>
        <v>70</v>
      </c>
      <c r="J1353" s="20" t="s">
        <v>207</v>
      </c>
      <c r="K1353" s="20" t="str">
        <f>IFERROR(INDEX('[2]PRICELIST, 908u'!$G$7:$AX$914,MATCH($B1353,'[2]PRICELIST, 908u'!$G$7:$G$914,0),30),"NA")</f>
        <v>Slant / GREEN</v>
      </c>
      <c r="L1353" s="20">
        <f>IFERROR(INDEX('[2]PRICELIST, 908u'!$G$7:$AX$914,MATCH($B1353,'[2]PRICELIST, 908u'!$G$7:$G$914,0),40),"NA")</f>
        <v>2650000</v>
      </c>
      <c r="M1353" s="20">
        <f>IFERROR(INDEX('[2]PRICELIST, 908u'!$G$7:$AX$914,MATCH($B1353,'[2]PRICELIST, 908u'!$G$7:$G$914,0),41),"NA")</f>
        <v>100000</v>
      </c>
      <c r="N1353" s="58">
        <f t="shared" si="64"/>
        <v>2550000</v>
      </c>
      <c r="O1353" s="60"/>
      <c r="P1353" s="60">
        <f t="shared" si="63"/>
        <v>2550000</v>
      </c>
    </row>
    <row r="1354" spans="2:16">
      <c r="B1354" s="20" t="s">
        <v>1505</v>
      </c>
      <c r="C1354" s="20" t="s">
        <v>2</v>
      </c>
      <c r="D1354" s="20" t="str">
        <f>IFERROR(INDEX('[2]PRICELIST, 908u'!$G$7:$AX$914,MATCH($B1354,'[2]PRICELIST, 908u'!$G$7:$G$914,0),18),"NA")</f>
        <v>2025 - Batch 1</v>
      </c>
      <c r="E1354" s="20" t="str">
        <f>IFERROR(INDEX([3]AGM!$D$21:$BL$928,MATCH($B1354,[3]AGM!$AD$21:$AD$928,0),1),"NA")</f>
        <v>OS</v>
      </c>
      <c r="F1354" s="20" t="str">
        <f t="shared" si="62"/>
        <v>Block 25</v>
      </c>
      <c r="G1354" s="20" t="str">
        <f t="shared" si="61"/>
        <v>Lot 22</v>
      </c>
      <c r="H1354" s="20">
        <f>IFERROR(INDEX('[2]PRICELIST, 908u'!$G$7:$AX$914,MATCH($B1354,'[2]PRICELIST, 908u'!$G$7:$G$914,0),23),"NA")</f>
        <v>50</v>
      </c>
      <c r="I1354" s="20">
        <f>IFERROR(INDEX('[2]PRICELIST, 908u'!$G$7:$AX$914,MATCH($B1354,'[2]PRICELIST, 908u'!$G$7:$G$914,0),22),"NA")</f>
        <v>70</v>
      </c>
      <c r="J1354" s="20" t="s">
        <v>207</v>
      </c>
      <c r="K1354" s="20" t="str">
        <f>IFERROR(INDEX('[2]PRICELIST, 908u'!$G$7:$AX$914,MATCH($B1354,'[2]PRICELIST, 908u'!$G$7:$G$914,0),30),"NA")</f>
        <v>Flat / GREEN</v>
      </c>
      <c r="L1354" s="20">
        <f>IFERROR(INDEX('[2]PRICELIST, 908u'!$G$7:$AX$914,MATCH($B1354,'[2]PRICELIST, 908u'!$G$7:$G$914,0),40),"NA")</f>
        <v>2650000</v>
      </c>
      <c r="M1354" s="20">
        <f>IFERROR(INDEX('[2]PRICELIST, 908u'!$G$7:$AX$914,MATCH($B1354,'[2]PRICELIST, 908u'!$G$7:$G$914,0),41),"NA")</f>
        <v>100000</v>
      </c>
      <c r="N1354" s="58">
        <f t="shared" si="64"/>
        <v>2550000</v>
      </c>
      <c r="O1354" s="60"/>
      <c r="P1354" s="60">
        <f t="shared" si="63"/>
        <v>2550000</v>
      </c>
    </row>
    <row r="1355" spans="2:16">
      <c r="B1355" s="20" t="s">
        <v>1506</v>
      </c>
      <c r="C1355" s="20" t="s">
        <v>2</v>
      </c>
      <c r="D1355" s="20" t="str">
        <f>IFERROR(INDEX('[2]PRICELIST, 908u'!$G$7:$AX$914,MATCH($B1355,'[2]PRICELIST, 908u'!$G$7:$G$914,0),18),"NA")</f>
        <v>2025 - Batch 1</v>
      </c>
      <c r="E1355" s="20" t="str">
        <f>IFERROR(INDEX([3]AGM!$D$21:$BL$928,MATCH($B1355,[3]AGM!$AD$21:$AD$928,0),1),"NA")</f>
        <v>OS</v>
      </c>
      <c r="F1355" s="20" t="str">
        <f t="shared" si="62"/>
        <v>Block 25</v>
      </c>
      <c r="G1355" s="20" t="str">
        <f t="shared" si="61"/>
        <v>Lot 23</v>
      </c>
      <c r="H1355" s="20">
        <f>IFERROR(INDEX('[2]PRICELIST, 908u'!$G$7:$AX$914,MATCH($B1355,'[2]PRICELIST, 908u'!$G$7:$G$914,0),23),"NA")</f>
        <v>50</v>
      </c>
      <c r="I1355" s="20">
        <f>IFERROR(INDEX('[2]PRICELIST, 908u'!$G$7:$AX$914,MATCH($B1355,'[2]PRICELIST, 908u'!$G$7:$G$914,0),22),"NA")</f>
        <v>70</v>
      </c>
      <c r="J1355" s="20" t="s">
        <v>207</v>
      </c>
      <c r="K1355" s="20" t="str">
        <f>IFERROR(INDEX('[2]PRICELIST, 908u'!$G$7:$AX$914,MATCH($B1355,'[2]PRICELIST, 908u'!$G$7:$G$914,0),30),"NA")</f>
        <v>Flat / PURPLE</v>
      </c>
      <c r="L1355" s="20">
        <f>IFERROR(INDEX('[2]PRICELIST, 908u'!$G$7:$AX$914,MATCH($B1355,'[2]PRICELIST, 908u'!$G$7:$G$914,0),40),"NA")</f>
        <v>2650000</v>
      </c>
      <c r="M1355" s="20">
        <f>IFERROR(INDEX('[2]PRICELIST, 908u'!$G$7:$AX$914,MATCH($B1355,'[2]PRICELIST, 908u'!$G$7:$G$914,0),41),"NA")</f>
        <v>100000</v>
      </c>
      <c r="N1355" s="58">
        <f t="shared" si="64"/>
        <v>2550000</v>
      </c>
      <c r="O1355" s="60"/>
      <c r="P1355" s="60">
        <f t="shared" si="63"/>
        <v>2550000</v>
      </c>
    </row>
    <row r="1356" spans="2:16">
      <c r="B1356" s="20" t="s">
        <v>1507</v>
      </c>
      <c r="C1356" s="20" t="s">
        <v>2</v>
      </c>
      <c r="D1356" s="20" t="str">
        <f>IFERROR(INDEX('[2]PRICELIST, 908u'!$G$7:$AX$914,MATCH($B1356,'[2]PRICELIST, 908u'!$G$7:$G$914,0),18),"NA")</f>
        <v>2025 - Batch 1</v>
      </c>
      <c r="E1356" s="20" t="str">
        <f>IFERROR(INDEX([3]AGM!$D$21:$BL$928,MATCH($B1356,[3]AGM!$AD$21:$AD$928,0),1),"NA")</f>
        <v>OS</v>
      </c>
      <c r="F1356" s="20" t="str">
        <f t="shared" si="62"/>
        <v>Block 25</v>
      </c>
      <c r="G1356" s="20" t="str">
        <f t="shared" si="61"/>
        <v>Lot 24</v>
      </c>
      <c r="H1356" s="20">
        <f>IFERROR(INDEX('[2]PRICELIST, 908u'!$G$7:$AX$914,MATCH($B1356,'[2]PRICELIST, 908u'!$G$7:$G$914,0),23),"NA")</f>
        <v>50</v>
      </c>
      <c r="I1356" s="20">
        <f>IFERROR(INDEX('[2]PRICELIST, 908u'!$G$7:$AX$914,MATCH($B1356,'[2]PRICELIST, 908u'!$G$7:$G$914,0),22),"NA")</f>
        <v>70</v>
      </c>
      <c r="J1356" s="20" t="s">
        <v>207</v>
      </c>
      <c r="K1356" s="20" t="str">
        <f>IFERROR(INDEX('[2]PRICELIST, 908u'!$G$7:$AX$914,MATCH($B1356,'[2]PRICELIST, 908u'!$G$7:$G$914,0),30),"NA")</f>
        <v>Slant / PURPLE</v>
      </c>
      <c r="L1356" s="20">
        <f>IFERROR(INDEX('[2]PRICELIST, 908u'!$G$7:$AX$914,MATCH($B1356,'[2]PRICELIST, 908u'!$G$7:$G$914,0),40),"NA")</f>
        <v>2650000</v>
      </c>
      <c r="M1356" s="20">
        <f>IFERROR(INDEX('[2]PRICELIST, 908u'!$G$7:$AX$914,MATCH($B1356,'[2]PRICELIST, 908u'!$G$7:$G$914,0),41),"NA")</f>
        <v>100000</v>
      </c>
      <c r="N1356" s="58">
        <f t="shared" si="64"/>
        <v>2550000</v>
      </c>
      <c r="O1356" s="60"/>
      <c r="P1356" s="60">
        <f t="shared" si="63"/>
        <v>2550000</v>
      </c>
    </row>
    <row r="1357" spans="2:16">
      <c r="B1357" s="20" t="s">
        <v>1508</v>
      </c>
      <c r="C1357" s="20" t="s">
        <v>2</v>
      </c>
      <c r="D1357" s="20" t="str">
        <f>IFERROR(INDEX('[2]PRICELIST, 908u'!$G$7:$AX$914,MATCH($B1357,'[2]PRICELIST, 908u'!$G$7:$G$914,0),18),"NA")</f>
        <v>2025 - Batch 1</v>
      </c>
      <c r="E1357" s="20" t="str">
        <f>IFERROR(INDEX([3]AGM!$D$21:$BL$928,MATCH($B1357,[3]AGM!$AD$21:$AD$928,0),1),"NA")</f>
        <v>OS</v>
      </c>
      <c r="F1357" s="20" t="str">
        <f t="shared" si="62"/>
        <v>Block 25</v>
      </c>
      <c r="G1357" s="20" t="str">
        <f t="shared" si="61"/>
        <v>Lot 25</v>
      </c>
      <c r="H1357" s="20">
        <f>IFERROR(INDEX('[2]PRICELIST, 908u'!$G$7:$AX$914,MATCH($B1357,'[2]PRICELIST, 908u'!$G$7:$G$914,0),23),"NA")</f>
        <v>50</v>
      </c>
      <c r="I1357" s="20">
        <f>IFERROR(INDEX('[2]PRICELIST, 908u'!$G$7:$AX$914,MATCH($B1357,'[2]PRICELIST, 908u'!$G$7:$G$914,0),22),"NA")</f>
        <v>70</v>
      </c>
      <c r="J1357" s="20" t="s">
        <v>207</v>
      </c>
      <c r="K1357" s="20" t="str">
        <f>IFERROR(INDEX('[2]PRICELIST, 908u'!$G$7:$AX$914,MATCH($B1357,'[2]PRICELIST, 908u'!$G$7:$G$914,0),30),"NA")</f>
        <v>Slant / PURPLE</v>
      </c>
      <c r="L1357" s="20">
        <f>IFERROR(INDEX('[2]PRICELIST, 908u'!$G$7:$AX$914,MATCH($B1357,'[2]PRICELIST, 908u'!$G$7:$G$914,0),40),"NA")</f>
        <v>2650000</v>
      </c>
      <c r="M1357" s="20">
        <f>IFERROR(INDEX('[2]PRICELIST, 908u'!$G$7:$AX$914,MATCH($B1357,'[2]PRICELIST, 908u'!$G$7:$G$914,0),41),"NA")</f>
        <v>100000</v>
      </c>
      <c r="N1357" s="58">
        <f t="shared" si="64"/>
        <v>2550000</v>
      </c>
      <c r="O1357" s="60"/>
      <c r="P1357" s="60">
        <f t="shared" si="63"/>
        <v>2550000</v>
      </c>
    </row>
    <row r="1358" spans="2:16">
      <c r="B1358" s="20" t="s">
        <v>1509</v>
      </c>
      <c r="C1358" s="20" t="s">
        <v>2</v>
      </c>
      <c r="D1358" s="20" t="str">
        <f>IFERROR(INDEX('[2]PRICELIST, 908u'!$G$7:$AX$914,MATCH($B1358,'[2]PRICELIST, 908u'!$G$7:$G$914,0),18),"NA")</f>
        <v>2025 - Batch 1</v>
      </c>
      <c r="E1358" s="20" t="str">
        <f>IFERROR(INDEX([3]AGM!$D$21:$BL$928,MATCH($B1358,[3]AGM!$AD$21:$AD$928,0),1),"NA")</f>
        <v>OS</v>
      </c>
      <c r="F1358" s="20" t="str">
        <f t="shared" si="62"/>
        <v>Block 25</v>
      </c>
      <c r="G1358" s="20" t="str">
        <f t="shared" si="61"/>
        <v>Lot 26</v>
      </c>
      <c r="H1358" s="20">
        <f>IFERROR(INDEX('[2]PRICELIST, 908u'!$G$7:$AX$914,MATCH($B1358,'[2]PRICELIST, 908u'!$G$7:$G$914,0),23),"NA")</f>
        <v>50</v>
      </c>
      <c r="I1358" s="20">
        <f>IFERROR(INDEX('[2]PRICELIST, 908u'!$G$7:$AX$914,MATCH($B1358,'[2]PRICELIST, 908u'!$G$7:$G$914,0),22),"NA")</f>
        <v>81</v>
      </c>
      <c r="J1358" s="20" t="s">
        <v>207</v>
      </c>
      <c r="K1358" s="20" t="str">
        <f>IFERROR(INDEX('[2]PRICELIST, 908u'!$G$7:$AX$914,MATCH($B1358,'[2]PRICELIST, 908u'!$G$7:$G$914,0),30),"NA")</f>
        <v>Flat / PURPLE</v>
      </c>
      <c r="L1358" s="20">
        <f>IFERROR(INDEX('[2]PRICELIST, 908u'!$G$7:$AX$914,MATCH($B1358,'[2]PRICELIST, 908u'!$G$7:$G$914,0),40),"NA")</f>
        <v>2815000</v>
      </c>
      <c r="M1358" s="20">
        <f>IFERROR(INDEX('[2]PRICELIST, 908u'!$G$7:$AX$914,MATCH($B1358,'[2]PRICELIST, 908u'!$G$7:$G$914,0),41),"NA")</f>
        <v>100000</v>
      </c>
      <c r="N1358" s="58">
        <f t="shared" si="64"/>
        <v>2715000</v>
      </c>
      <c r="O1358" s="60"/>
      <c r="P1358" s="60">
        <f t="shared" si="63"/>
        <v>2715000</v>
      </c>
    </row>
    <row r="1359" spans="2:16">
      <c r="B1359" s="20" t="s">
        <v>1510</v>
      </c>
      <c r="C1359" s="20" t="s">
        <v>2</v>
      </c>
      <c r="D1359" s="20" t="str">
        <f>IFERROR(INDEX('[2]PRICELIST, 908u'!$G$7:$AX$914,MATCH($B1359,'[2]PRICELIST, 908u'!$G$7:$G$914,0),18),"NA")</f>
        <v>2025 - Batch 5</v>
      </c>
      <c r="E1359" s="20" t="str">
        <f>IFERROR(INDEX([3]AGM!$D$21:$BL$928,MATCH($B1359,[3]AGM!$AD$21:$AD$928,0),1),"NA")</f>
        <v>OS</v>
      </c>
      <c r="F1359" s="20" t="str">
        <f t="shared" si="62"/>
        <v>Block 25</v>
      </c>
      <c r="G1359" s="20" t="str">
        <f t="shared" si="61"/>
        <v>Lot 27</v>
      </c>
      <c r="H1359" s="20">
        <f>IFERROR(INDEX('[2]PRICELIST, 908u'!$G$7:$AX$914,MATCH($B1359,'[2]PRICELIST, 908u'!$G$7:$G$914,0),23),"NA")</f>
        <v>50</v>
      </c>
      <c r="I1359" s="20">
        <f>IFERROR(INDEX('[2]PRICELIST, 908u'!$G$7:$AX$914,MATCH($B1359,'[2]PRICELIST, 908u'!$G$7:$G$914,0),22),"NA")</f>
        <v>81</v>
      </c>
      <c r="J1359" s="20" t="s">
        <v>207</v>
      </c>
      <c r="K1359" s="20" t="str">
        <f>IFERROR(INDEX('[2]PRICELIST, 908u'!$G$7:$AX$914,MATCH($B1359,'[2]PRICELIST, 908u'!$G$7:$G$914,0),30),"NA")</f>
        <v>Flat / PINK</v>
      </c>
      <c r="L1359" s="20">
        <f>IFERROR(INDEX('[2]PRICELIST, 908u'!$G$7:$AX$914,MATCH($B1359,'[2]PRICELIST, 908u'!$G$7:$G$914,0),40),"NA")</f>
        <v>2815000</v>
      </c>
      <c r="M1359" s="20">
        <f>IFERROR(INDEX('[2]PRICELIST, 908u'!$G$7:$AX$914,MATCH($B1359,'[2]PRICELIST, 908u'!$G$7:$G$914,0),41),"NA")</f>
        <v>100000</v>
      </c>
      <c r="N1359" s="58">
        <f t="shared" si="64"/>
        <v>2715000</v>
      </c>
      <c r="O1359" s="60"/>
      <c r="P1359" s="60">
        <f t="shared" si="63"/>
        <v>2715000</v>
      </c>
    </row>
    <row r="1360" spans="2:16">
      <c r="B1360" s="20" t="s">
        <v>1511</v>
      </c>
      <c r="C1360" s="20" t="s">
        <v>2</v>
      </c>
      <c r="D1360" s="20" t="str">
        <f>IFERROR(INDEX('[2]PRICELIST, 908u'!$G$7:$AX$914,MATCH($B1360,'[2]PRICELIST, 908u'!$G$7:$G$914,0),18),"NA")</f>
        <v>2025 - Batch 5</v>
      </c>
      <c r="E1360" s="20" t="str">
        <f>IFERROR(INDEX([3]AGM!$D$21:$BL$928,MATCH($B1360,[3]AGM!$AD$21:$AD$928,0),1),"NA")</f>
        <v>OS</v>
      </c>
      <c r="F1360" s="20" t="str">
        <f t="shared" si="62"/>
        <v>Block 25</v>
      </c>
      <c r="G1360" s="20" t="str">
        <f t="shared" si="61"/>
        <v>Lot 28</v>
      </c>
      <c r="H1360" s="20">
        <f>IFERROR(INDEX('[2]PRICELIST, 908u'!$G$7:$AX$914,MATCH($B1360,'[2]PRICELIST, 908u'!$G$7:$G$914,0),23),"NA")</f>
        <v>50</v>
      </c>
      <c r="I1360" s="20">
        <f>IFERROR(INDEX('[2]PRICELIST, 908u'!$G$7:$AX$914,MATCH($B1360,'[2]PRICELIST, 908u'!$G$7:$G$914,0),22),"NA")</f>
        <v>70</v>
      </c>
      <c r="J1360" s="20" t="s">
        <v>207</v>
      </c>
      <c r="K1360" s="20" t="str">
        <f>IFERROR(INDEX('[2]PRICELIST, 908u'!$G$7:$AX$914,MATCH($B1360,'[2]PRICELIST, 908u'!$G$7:$G$914,0),30),"NA")</f>
        <v>Slant / PINK</v>
      </c>
      <c r="L1360" s="20">
        <f>IFERROR(INDEX('[2]PRICELIST, 908u'!$G$7:$AX$914,MATCH($B1360,'[2]PRICELIST, 908u'!$G$7:$G$914,0),40),"NA")</f>
        <v>2650000</v>
      </c>
      <c r="M1360" s="20">
        <f>IFERROR(INDEX('[2]PRICELIST, 908u'!$G$7:$AX$914,MATCH($B1360,'[2]PRICELIST, 908u'!$G$7:$G$914,0),41),"NA")</f>
        <v>100000</v>
      </c>
      <c r="N1360" s="58">
        <f t="shared" si="64"/>
        <v>2550000</v>
      </c>
      <c r="O1360" s="60"/>
      <c r="P1360" s="60">
        <f t="shared" si="63"/>
        <v>2550000</v>
      </c>
    </row>
    <row r="1361" spans="2:16">
      <c r="B1361" s="20" t="s">
        <v>1512</v>
      </c>
      <c r="C1361" s="20" t="s">
        <v>2</v>
      </c>
      <c r="D1361" s="20" t="str">
        <f>IFERROR(INDEX('[2]PRICELIST, 908u'!$G$7:$AX$914,MATCH($B1361,'[2]PRICELIST, 908u'!$G$7:$G$914,0),18),"NA")</f>
        <v>2025 - Batch 5</v>
      </c>
      <c r="E1361" s="20" t="str">
        <f>IFERROR(INDEX([3]AGM!$D$21:$BL$928,MATCH($B1361,[3]AGM!$AD$21:$AD$928,0),1),"NA")</f>
        <v>OS</v>
      </c>
      <c r="F1361" s="20" t="str">
        <f t="shared" si="62"/>
        <v>Block 25</v>
      </c>
      <c r="G1361" s="20" t="str">
        <f t="shared" si="61"/>
        <v>Lot 29</v>
      </c>
      <c r="H1361" s="20">
        <f>IFERROR(INDEX('[2]PRICELIST, 908u'!$G$7:$AX$914,MATCH($B1361,'[2]PRICELIST, 908u'!$G$7:$G$914,0),23),"NA")</f>
        <v>50</v>
      </c>
      <c r="I1361" s="20">
        <f>IFERROR(INDEX('[2]PRICELIST, 908u'!$G$7:$AX$914,MATCH($B1361,'[2]PRICELIST, 908u'!$G$7:$G$914,0),22),"NA")</f>
        <v>70</v>
      </c>
      <c r="J1361" s="20" t="s">
        <v>207</v>
      </c>
      <c r="K1361" s="20" t="str">
        <f>IFERROR(INDEX('[2]PRICELIST, 908u'!$G$7:$AX$914,MATCH($B1361,'[2]PRICELIST, 908u'!$G$7:$G$914,0),30),"NA")</f>
        <v>Flat / PINK</v>
      </c>
      <c r="L1361" s="20">
        <f>IFERROR(INDEX('[2]PRICELIST, 908u'!$G$7:$AX$914,MATCH($B1361,'[2]PRICELIST, 908u'!$G$7:$G$914,0),40),"NA")</f>
        <v>2650000</v>
      </c>
      <c r="M1361" s="20">
        <f>IFERROR(INDEX('[2]PRICELIST, 908u'!$G$7:$AX$914,MATCH($B1361,'[2]PRICELIST, 908u'!$G$7:$G$914,0),41),"NA")</f>
        <v>100000</v>
      </c>
      <c r="N1361" s="58">
        <f t="shared" si="64"/>
        <v>2550000</v>
      </c>
      <c r="O1361" s="60"/>
      <c r="P1361" s="60">
        <f t="shared" si="63"/>
        <v>2550000</v>
      </c>
    </row>
    <row r="1362" spans="2:16">
      <c r="B1362" s="20" t="s">
        <v>1513</v>
      </c>
      <c r="C1362" s="20" t="s">
        <v>2</v>
      </c>
      <c r="D1362" s="20" t="str">
        <f>IFERROR(INDEX('[2]PRICELIST, 908u'!$G$7:$AX$914,MATCH($B1362,'[2]PRICELIST, 908u'!$G$7:$G$914,0),18),"NA")</f>
        <v>2025 - Batch 5</v>
      </c>
      <c r="E1362" s="20" t="str">
        <f>IFERROR(INDEX([3]AGM!$D$21:$BL$928,MATCH($B1362,[3]AGM!$AD$21:$AD$928,0),1),"NA")</f>
        <v>OS</v>
      </c>
      <c r="F1362" s="20" t="str">
        <f t="shared" si="62"/>
        <v>Block 25</v>
      </c>
      <c r="G1362" s="20" t="str">
        <f t="shared" si="61"/>
        <v>Lot 30</v>
      </c>
      <c r="H1362" s="20">
        <f>IFERROR(INDEX('[2]PRICELIST, 908u'!$G$7:$AX$914,MATCH($B1362,'[2]PRICELIST, 908u'!$G$7:$G$914,0),23),"NA")</f>
        <v>50</v>
      </c>
      <c r="I1362" s="20">
        <f>IFERROR(INDEX('[2]PRICELIST, 908u'!$G$7:$AX$914,MATCH($B1362,'[2]PRICELIST, 908u'!$G$7:$G$914,0),22),"NA")</f>
        <v>70</v>
      </c>
      <c r="J1362" s="20" t="s">
        <v>207</v>
      </c>
      <c r="K1362" s="20" t="str">
        <f>IFERROR(INDEX('[2]PRICELIST, 908u'!$G$7:$AX$914,MATCH($B1362,'[2]PRICELIST, 908u'!$G$7:$G$914,0),30),"NA")</f>
        <v>Slant / PINK</v>
      </c>
      <c r="L1362" s="20">
        <f>IFERROR(INDEX('[2]PRICELIST, 908u'!$G$7:$AX$914,MATCH($B1362,'[2]PRICELIST, 908u'!$G$7:$G$914,0),40),"NA")</f>
        <v>2650000</v>
      </c>
      <c r="M1362" s="20">
        <f>IFERROR(INDEX('[2]PRICELIST, 908u'!$G$7:$AX$914,MATCH($B1362,'[2]PRICELIST, 908u'!$G$7:$G$914,0),41),"NA")</f>
        <v>100000</v>
      </c>
      <c r="N1362" s="58">
        <f t="shared" si="64"/>
        <v>2550000</v>
      </c>
      <c r="O1362" s="60"/>
      <c r="P1362" s="60">
        <f t="shared" si="63"/>
        <v>2550000</v>
      </c>
    </row>
    <row r="1363" spans="2:16">
      <c r="B1363" s="20" t="s">
        <v>1514</v>
      </c>
      <c r="C1363" s="20" t="s">
        <v>2</v>
      </c>
      <c r="D1363" s="20" t="str">
        <f>IFERROR(INDEX('[2]PRICELIST, 908u'!$G$7:$AX$914,MATCH($B1363,'[2]PRICELIST, 908u'!$G$7:$G$914,0),18),"NA")</f>
        <v>2025 - Batch 5</v>
      </c>
      <c r="E1363" s="20" t="str">
        <f>IFERROR(INDEX([3]AGM!$D$21:$BL$928,MATCH($B1363,[3]AGM!$AD$21:$AD$928,0),1),"NA")</f>
        <v>OS</v>
      </c>
      <c r="F1363" s="20" t="str">
        <f t="shared" si="62"/>
        <v>Block 25</v>
      </c>
      <c r="G1363" s="20" t="str">
        <f t="shared" si="61"/>
        <v>Lot 31</v>
      </c>
      <c r="H1363" s="20">
        <f>IFERROR(INDEX('[2]PRICELIST, 908u'!$G$7:$AX$914,MATCH($B1363,'[2]PRICELIST, 908u'!$G$7:$G$914,0),23),"NA")</f>
        <v>50</v>
      </c>
      <c r="I1363" s="20">
        <f>IFERROR(INDEX('[2]PRICELIST, 908u'!$G$7:$AX$914,MATCH($B1363,'[2]PRICELIST, 908u'!$G$7:$G$914,0),22),"NA")</f>
        <v>70</v>
      </c>
      <c r="J1363" s="20" t="s">
        <v>207</v>
      </c>
      <c r="K1363" s="20" t="str">
        <f>IFERROR(INDEX('[2]PRICELIST, 908u'!$G$7:$AX$914,MATCH($B1363,'[2]PRICELIST, 908u'!$G$7:$G$914,0),30),"NA")</f>
        <v>Slant / PURPLE</v>
      </c>
      <c r="L1363" s="20">
        <f>IFERROR(INDEX('[2]PRICELIST, 908u'!$G$7:$AX$914,MATCH($B1363,'[2]PRICELIST, 908u'!$G$7:$G$914,0),40),"NA")</f>
        <v>2650000</v>
      </c>
      <c r="M1363" s="20">
        <f>IFERROR(INDEX('[2]PRICELIST, 908u'!$G$7:$AX$914,MATCH($B1363,'[2]PRICELIST, 908u'!$G$7:$G$914,0),41),"NA")</f>
        <v>100000</v>
      </c>
      <c r="N1363" s="58">
        <f t="shared" si="64"/>
        <v>2550000</v>
      </c>
      <c r="O1363" s="60"/>
      <c r="P1363" s="60">
        <f t="shared" si="63"/>
        <v>2550000</v>
      </c>
    </row>
    <row r="1364" spans="2:16">
      <c r="B1364" s="20" t="s">
        <v>1515</v>
      </c>
      <c r="C1364" s="20" t="s">
        <v>2</v>
      </c>
      <c r="D1364" s="20" t="str">
        <f>IFERROR(INDEX('[2]PRICELIST, 908u'!$G$7:$AX$914,MATCH($B1364,'[2]PRICELIST, 908u'!$G$7:$G$914,0),18),"NA")</f>
        <v>2025 - Batch 5</v>
      </c>
      <c r="E1364" s="20" t="str">
        <f>IFERROR(INDEX([3]AGM!$D$21:$BL$928,MATCH($B1364,[3]AGM!$AD$21:$AD$928,0),1),"NA")</f>
        <v>OS</v>
      </c>
      <c r="F1364" s="20" t="str">
        <f t="shared" si="62"/>
        <v>Block 25</v>
      </c>
      <c r="G1364" s="20" t="str">
        <f t="shared" si="61"/>
        <v>Lot 32</v>
      </c>
      <c r="H1364" s="20">
        <f>IFERROR(INDEX('[2]PRICELIST, 908u'!$G$7:$AX$914,MATCH($B1364,'[2]PRICELIST, 908u'!$G$7:$G$914,0),23),"NA")</f>
        <v>50</v>
      </c>
      <c r="I1364" s="20">
        <f>IFERROR(INDEX('[2]PRICELIST, 908u'!$G$7:$AX$914,MATCH($B1364,'[2]PRICELIST, 908u'!$G$7:$G$914,0),22),"NA")</f>
        <v>70</v>
      </c>
      <c r="J1364" s="20" t="s">
        <v>207</v>
      </c>
      <c r="K1364" s="20" t="str">
        <f>IFERROR(INDEX('[2]PRICELIST, 908u'!$G$7:$AX$914,MATCH($B1364,'[2]PRICELIST, 908u'!$G$7:$G$914,0),30),"NA")</f>
        <v>Flat / PURPLE</v>
      </c>
      <c r="L1364" s="20">
        <f>IFERROR(INDEX('[2]PRICELIST, 908u'!$G$7:$AX$914,MATCH($B1364,'[2]PRICELIST, 908u'!$G$7:$G$914,0),40),"NA")</f>
        <v>2650000</v>
      </c>
      <c r="M1364" s="20">
        <f>IFERROR(INDEX('[2]PRICELIST, 908u'!$G$7:$AX$914,MATCH($B1364,'[2]PRICELIST, 908u'!$G$7:$G$914,0),41),"NA")</f>
        <v>100000</v>
      </c>
      <c r="N1364" s="58">
        <f t="shared" si="64"/>
        <v>2550000</v>
      </c>
      <c r="O1364" s="60"/>
      <c r="P1364" s="60">
        <f t="shared" si="63"/>
        <v>2550000</v>
      </c>
    </row>
    <row r="1365" spans="2:16">
      <c r="B1365" s="20" t="s">
        <v>1516</v>
      </c>
      <c r="C1365" s="20" t="s">
        <v>2</v>
      </c>
      <c r="D1365" s="20" t="str">
        <f>IFERROR(INDEX('[2]PRICELIST, 908u'!$G$7:$AX$914,MATCH($B1365,'[2]PRICELIST, 908u'!$G$7:$G$914,0),18),"NA")</f>
        <v>2025 - Batch 2</v>
      </c>
      <c r="E1365" s="20" t="str">
        <f>IFERROR(INDEX([3]AGM!$D$21:$BL$928,MATCH($B1365,[3]AGM!$AD$21:$AD$928,0),1),"NA")</f>
        <v>OS</v>
      </c>
      <c r="F1365" s="20" t="str">
        <f t="shared" si="62"/>
        <v>Block 25</v>
      </c>
      <c r="G1365" s="20" t="str">
        <f t="shared" si="61"/>
        <v>Lot 33</v>
      </c>
      <c r="H1365" s="20">
        <f>IFERROR(INDEX('[2]PRICELIST, 908u'!$G$7:$AX$914,MATCH($B1365,'[2]PRICELIST, 908u'!$G$7:$G$914,0),23),"NA")</f>
        <v>50</v>
      </c>
      <c r="I1365" s="20">
        <f>IFERROR(INDEX('[2]PRICELIST, 908u'!$G$7:$AX$914,MATCH($B1365,'[2]PRICELIST, 908u'!$G$7:$G$914,0),22),"NA")</f>
        <v>70</v>
      </c>
      <c r="J1365" s="20" t="s">
        <v>207</v>
      </c>
      <c r="K1365" s="20" t="str">
        <f>IFERROR(INDEX('[2]PRICELIST, 908u'!$G$7:$AX$914,MATCH($B1365,'[2]PRICELIST, 908u'!$G$7:$G$914,0),30),"NA")</f>
        <v>Flat / PURPLE</v>
      </c>
      <c r="L1365" s="20">
        <f>IFERROR(INDEX('[2]PRICELIST, 908u'!$G$7:$AX$914,MATCH($B1365,'[2]PRICELIST, 908u'!$G$7:$G$914,0),40),"NA")</f>
        <v>2650000</v>
      </c>
      <c r="M1365" s="20">
        <f>IFERROR(INDEX('[2]PRICELIST, 908u'!$G$7:$AX$914,MATCH($B1365,'[2]PRICELIST, 908u'!$G$7:$G$914,0),41),"NA")</f>
        <v>100000</v>
      </c>
      <c r="N1365" s="58">
        <f t="shared" si="64"/>
        <v>2550000</v>
      </c>
      <c r="O1365" s="60"/>
      <c r="P1365" s="60">
        <f t="shared" si="63"/>
        <v>2550000</v>
      </c>
    </row>
    <row r="1366" spans="2:16">
      <c r="B1366" s="20" t="s">
        <v>1517</v>
      </c>
      <c r="C1366" s="20" t="s">
        <v>2</v>
      </c>
      <c r="D1366" s="20" t="str">
        <f>IFERROR(INDEX('[2]PRICELIST, 908u'!$G$7:$AX$914,MATCH($B1366,'[2]PRICELIST, 908u'!$G$7:$G$914,0),18),"NA")</f>
        <v>2025 - Batch 2</v>
      </c>
      <c r="E1366" s="20" t="str">
        <f>IFERROR(INDEX([3]AGM!$D$21:$BL$928,MATCH($B1366,[3]AGM!$AD$21:$AD$928,0),1),"NA")</f>
        <v>OS</v>
      </c>
      <c r="F1366" s="20" t="str">
        <f t="shared" si="62"/>
        <v>Block 25</v>
      </c>
      <c r="G1366" s="20" t="str">
        <f t="shared" si="61"/>
        <v>Lot 34</v>
      </c>
      <c r="H1366" s="20">
        <f>IFERROR(INDEX('[2]PRICELIST, 908u'!$G$7:$AX$914,MATCH($B1366,'[2]PRICELIST, 908u'!$G$7:$G$914,0),23),"NA")</f>
        <v>50</v>
      </c>
      <c r="I1366" s="20">
        <f>IFERROR(INDEX('[2]PRICELIST, 908u'!$G$7:$AX$914,MATCH($B1366,'[2]PRICELIST, 908u'!$G$7:$G$914,0),22),"NA")</f>
        <v>70</v>
      </c>
      <c r="J1366" s="20" t="s">
        <v>207</v>
      </c>
      <c r="K1366" s="20" t="str">
        <f>IFERROR(INDEX('[2]PRICELIST, 908u'!$G$7:$AX$914,MATCH($B1366,'[2]PRICELIST, 908u'!$G$7:$G$914,0),30),"NA")</f>
        <v>Slant / PURPLE</v>
      </c>
      <c r="L1366" s="20">
        <f>IFERROR(INDEX('[2]PRICELIST, 908u'!$G$7:$AX$914,MATCH($B1366,'[2]PRICELIST, 908u'!$G$7:$G$914,0),40),"NA")</f>
        <v>2650000</v>
      </c>
      <c r="M1366" s="20">
        <f>IFERROR(INDEX('[2]PRICELIST, 908u'!$G$7:$AX$914,MATCH($B1366,'[2]PRICELIST, 908u'!$G$7:$G$914,0),41),"NA")</f>
        <v>100000</v>
      </c>
      <c r="N1366" s="58">
        <f t="shared" si="64"/>
        <v>2550000</v>
      </c>
      <c r="O1366" s="60"/>
      <c r="P1366" s="60">
        <f t="shared" si="63"/>
        <v>2550000</v>
      </c>
    </row>
    <row r="1367" spans="2:16">
      <c r="B1367" s="20" t="s">
        <v>1518</v>
      </c>
      <c r="C1367" s="20" t="s">
        <v>2</v>
      </c>
      <c r="D1367" s="20" t="str">
        <f>IFERROR(INDEX('[2]PRICELIST, 908u'!$G$7:$AX$914,MATCH($B1367,'[2]PRICELIST, 908u'!$G$7:$G$914,0),18),"NA")</f>
        <v>2025 - Batch 2</v>
      </c>
      <c r="E1367" s="20" t="str">
        <f>IFERROR(INDEX([3]AGM!$D$21:$BL$928,MATCH($B1367,[3]AGM!$AD$21:$AD$928,0),1),"NA")</f>
        <v>OS</v>
      </c>
      <c r="F1367" s="20" t="str">
        <f t="shared" si="62"/>
        <v>Block 25</v>
      </c>
      <c r="G1367" s="20" t="str">
        <f t="shared" si="61"/>
        <v>Lot 35</v>
      </c>
      <c r="H1367" s="20">
        <f>IFERROR(INDEX('[2]PRICELIST, 908u'!$G$7:$AX$914,MATCH($B1367,'[2]PRICELIST, 908u'!$G$7:$G$914,0),23),"NA")</f>
        <v>50</v>
      </c>
      <c r="I1367" s="20">
        <f>IFERROR(INDEX('[2]PRICELIST, 908u'!$G$7:$AX$914,MATCH($B1367,'[2]PRICELIST, 908u'!$G$7:$G$914,0),22),"NA")</f>
        <v>70</v>
      </c>
      <c r="J1367" s="20" t="s">
        <v>207</v>
      </c>
      <c r="K1367" s="20" t="str">
        <f>IFERROR(INDEX('[2]PRICELIST, 908u'!$G$7:$AX$914,MATCH($B1367,'[2]PRICELIST, 908u'!$G$7:$G$914,0),30),"NA")</f>
        <v>Slant / GREEN</v>
      </c>
      <c r="L1367" s="20">
        <f>IFERROR(INDEX('[2]PRICELIST, 908u'!$G$7:$AX$914,MATCH($B1367,'[2]PRICELIST, 908u'!$G$7:$G$914,0),40),"NA")</f>
        <v>2650000</v>
      </c>
      <c r="M1367" s="20">
        <f>IFERROR(INDEX('[2]PRICELIST, 908u'!$G$7:$AX$914,MATCH($B1367,'[2]PRICELIST, 908u'!$G$7:$G$914,0),41),"NA")</f>
        <v>100000</v>
      </c>
      <c r="N1367" s="58">
        <f t="shared" si="64"/>
        <v>2550000</v>
      </c>
      <c r="O1367" s="60"/>
      <c r="P1367" s="60">
        <f t="shared" si="63"/>
        <v>2550000</v>
      </c>
    </row>
    <row r="1368" spans="2:16">
      <c r="B1368" s="20" t="s">
        <v>1519</v>
      </c>
      <c r="C1368" s="20" t="s">
        <v>2</v>
      </c>
      <c r="D1368" s="20" t="str">
        <f>IFERROR(INDEX('[2]PRICELIST, 908u'!$G$7:$AX$914,MATCH($B1368,'[2]PRICELIST, 908u'!$G$7:$G$914,0),18),"NA")</f>
        <v>2025 - Batch 2</v>
      </c>
      <c r="E1368" s="20" t="str">
        <f>IFERROR(INDEX([3]AGM!$D$21:$BL$928,MATCH($B1368,[3]AGM!$AD$21:$AD$928,0),1),"NA")</f>
        <v>OS</v>
      </c>
      <c r="F1368" s="20" t="str">
        <f t="shared" si="62"/>
        <v>Block 25</v>
      </c>
      <c r="G1368" s="20" t="str">
        <f t="shared" ref="G1368:G1431" si="65">"Lot "&amp;TEXT(VALUE(RIGHT(B1368,3)),"00")</f>
        <v>Lot 36</v>
      </c>
      <c r="H1368" s="20">
        <f>IFERROR(INDEX('[2]PRICELIST, 908u'!$G$7:$AX$914,MATCH($B1368,'[2]PRICELIST, 908u'!$G$7:$G$914,0),23),"NA")</f>
        <v>50</v>
      </c>
      <c r="I1368" s="20">
        <f>IFERROR(INDEX('[2]PRICELIST, 908u'!$G$7:$AX$914,MATCH($B1368,'[2]PRICELIST, 908u'!$G$7:$G$914,0),22),"NA")</f>
        <v>70</v>
      </c>
      <c r="J1368" s="20" t="s">
        <v>207</v>
      </c>
      <c r="K1368" s="20" t="str">
        <f>IFERROR(INDEX('[2]PRICELIST, 908u'!$G$7:$AX$914,MATCH($B1368,'[2]PRICELIST, 908u'!$G$7:$G$914,0),30),"NA")</f>
        <v>Flat / GREEN</v>
      </c>
      <c r="L1368" s="20">
        <f>IFERROR(INDEX('[2]PRICELIST, 908u'!$G$7:$AX$914,MATCH($B1368,'[2]PRICELIST, 908u'!$G$7:$G$914,0),40),"NA")</f>
        <v>2650000</v>
      </c>
      <c r="M1368" s="20">
        <f>IFERROR(INDEX('[2]PRICELIST, 908u'!$G$7:$AX$914,MATCH($B1368,'[2]PRICELIST, 908u'!$G$7:$G$914,0),41),"NA")</f>
        <v>100000</v>
      </c>
      <c r="N1368" s="58">
        <f t="shared" si="64"/>
        <v>2550000</v>
      </c>
      <c r="O1368" s="60"/>
      <c r="P1368" s="60">
        <f t="shared" si="63"/>
        <v>2550000</v>
      </c>
    </row>
    <row r="1369" spans="2:16">
      <c r="B1369" s="20" t="s">
        <v>1520</v>
      </c>
      <c r="C1369" s="20" t="s">
        <v>2</v>
      </c>
      <c r="D1369" s="20" t="str">
        <f>IFERROR(INDEX('[2]PRICELIST, 908u'!$G$7:$AX$914,MATCH($B1369,'[2]PRICELIST, 908u'!$G$7:$G$914,0),18),"NA")</f>
        <v>2025 - Batch 2</v>
      </c>
      <c r="E1369" s="20" t="str">
        <f>IFERROR(INDEX([3]AGM!$D$21:$BL$928,MATCH($B1369,[3]AGM!$AD$21:$AD$928,0),1),"NA")</f>
        <v>OS</v>
      </c>
      <c r="F1369" s="20" t="str">
        <f t="shared" ref="F1369:F1432" si="66">"Block "&amp;TEXT(VALUE(MID(B1369,8,3)),"00")</f>
        <v>Block 25</v>
      </c>
      <c r="G1369" s="20" t="str">
        <f t="shared" si="65"/>
        <v>Lot 37</v>
      </c>
      <c r="H1369" s="20">
        <f>IFERROR(INDEX('[2]PRICELIST, 908u'!$G$7:$AX$914,MATCH($B1369,'[2]PRICELIST, 908u'!$G$7:$G$914,0),23),"NA")</f>
        <v>50</v>
      </c>
      <c r="I1369" s="20">
        <f>IFERROR(INDEX('[2]PRICELIST, 908u'!$G$7:$AX$914,MATCH($B1369,'[2]PRICELIST, 908u'!$G$7:$G$914,0),22),"NA")</f>
        <v>70</v>
      </c>
      <c r="J1369" s="20" t="s">
        <v>207</v>
      </c>
      <c r="K1369" s="20" t="str">
        <f>IFERROR(INDEX('[2]PRICELIST, 908u'!$G$7:$AX$914,MATCH($B1369,'[2]PRICELIST, 908u'!$G$7:$G$914,0),30),"NA")</f>
        <v>Flat / GREEN</v>
      </c>
      <c r="L1369" s="20">
        <f>IFERROR(INDEX('[2]PRICELIST, 908u'!$G$7:$AX$914,MATCH($B1369,'[2]PRICELIST, 908u'!$G$7:$G$914,0),40),"NA")</f>
        <v>2650000</v>
      </c>
      <c r="M1369" s="20">
        <f>IFERROR(INDEX('[2]PRICELIST, 908u'!$G$7:$AX$914,MATCH($B1369,'[2]PRICELIST, 908u'!$G$7:$G$914,0),41),"NA")</f>
        <v>100000</v>
      </c>
      <c r="N1369" s="58">
        <f t="shared" si="64"/>
        <v>2550000</v>
      </c>
      <c r="O1369" s="60"/>
      <c r="P1369" s="60">
        <f t="shared" ref="P1369:P1432" si="67">N1369-O1369</f>
        <v>2550000</v>
      </c>
    </row>
    <row r="1370" spans="2:16">
      <c r="B1370" s="20" t="s">
        <v>1521</v>
      </c>
      <c r="C1370" s="20" t="s">
        <v>2</v>
      </c>
      <c r="D1370" s="20" t="str">
        <f>IFERROR(INDEX('[2]PRICELIST, 908u'!$G$7:$AX$914,MATCH($B1370,'[2]PRICELIST, 908u'!$G$7:$G$914,0),18),"NA")</f>
        <v>2025 - Batch 2</v>
      </c>
      <c r="E1370" s="20" t="str">
        <f>IFERROR(INDEX([3]AGM!$D$21:$BL$928,MATCH($B1370,[3]AGM!$AD$21:$AD$928,0),1),"NA")</f>
        <v>OS</v>
      </c>
      <c r="F1370" s="20" t="str">
        <f t="shared" si="66"/>
        <v>Block 25</v>
      </c>
      <c r="G1370" s="20" t="str">
        <f t="shared" si="65"/>
        <v>Lot 38</v>
      </c>
      <c r="H1370" s="20">
        <f>IFERROR(INDEX('[2]PRICELIST, 908u'!$G$7:$AX$914,MATCH($B1370,'[2]PRICELIST, 908u'!$G$7:$G$914,0),23),"NA")</f>
        <v>50</v>
      </c>
      <c r="I1370" s="20">
        <f>IFERROR(INDEX('[2]PRICELIST, 908u'!$G$7:$AX$914,MATCH($B1370,'[2]PRICELIST, 908u'!$G$7:$G$914,0),22),"NA")</f>
        <v>70</v>
      </c>
      <c r="J1370" s="20" t="s">
        <v>207</v>
      </c>
      <c r="K1370" s="20" t="str">
        <f>IFERROR(INDEX('[2]PRICELIST, 908u'!$G$7:$AX$914,MATCH($B1370,'[2]PRICELIST, 908u'!$G$7:$G$914,0),30),"NA")</f>
        <v>Slant / GREEN</v>
      </c>
      <c r="L1370" s="20">
        <f>IFERROR(INDEX('[2]PRICELIST, 908u'!$G$7:$AX$914,MATCH($B1370,'[2]PRICELIST, 908u'!$G$7:$G$914,0),40),"NA")</f>
        <v>2650000</v>
      </c>
      <c r="M1370" s="20">
        <f>IFERROR(INDEX('[2]PRICELIST, 908u'!$G$7:$AX$914,MATCH($B1370,'[2]PRICELIST, 908u'!$G$7:$G$914,0),41),"NA")</f>
        <v>100000</v>
      </c>
      <c r="N1370" s="58">
        <f t="shared" ref="N1370:N1433" si="68">L1370-M1370</f>
        <v>2550000</v>
      </c>
      <c r="O1370" s="60"/>
      <c r="P1370" s="60">
        <f t="shared" si="67"/>
        <v>2550000</v>
      </c>
    </row>
    <row r="1371" spans="2:16">
      <c r="B1371" s="20" t="s">
        <v>1522</v>
      </c>
      <c r="C1371" s="20" t="s">
        <v>2</v>
      </c>
      <c r="D1371" s="20" t="str">
        <f>IFERROR(INDEX('[2]PRICELIST, 908u'!$G$7:$AX$914,MATCH($B1371,'[2]PRICELIST, 908u'!$G$7:$G$914,0),18),"NA")</f>
        <v>2025 - Batch 5</v>
      </c>
      <c r="E1371" s="20" t="str">
        <f>IFERROR(INDEX([3]AGM!$D$21:$BL$928,MATCH($B1371,[3]AGM!$AD$21:$AD$928,0),1),"NA")</f>
        <v>OS</v>
      </c>
      <c r="F1371" s="20" t="str">
        <f t="shared" si="66"/>
        <v>Block 25</v>
      </c>
      <c r="G1371" s="20" t="str">
        <f t="shared" si="65"/>
        <v>Lot 39</v>
      </c>
      <c r="H1371" s="20">
        <f>IFERROR(INDEX('[2]PRICELIST, 908u'!$G$7:$AX$914,MATCH($B1371,'[2]PRICELIST, 908u'!$G$7:$G$914,0),23),"NA")</f>
        <v>50</v>
      </c>
      <c r="I1371" s="20">
        <f>IFERROR(INDEX('[2]PRICELIST, 908u'!$G$7:$AX$914,MATCH($B1371,'[2]PRICELIST, 908u'!$G$7:$G$914,0),22),"NA")</f>
        <v>70</v>
      </c>
      <c r="J1371" s="20" t="s">
        <v>207</v>
      </c>
      <c r="K1371" s="20" t="str">
        <f>IFERROR(INDEX('[2]PRICELIST, 908u'!$G$7:$AX$914,MATCH($B1371,'[2]PRICELIST, 908u'!$G$7:$G$914,0),30),"NA")</f>
        <v>Slant / YELLOW</v>
      </c>
      <c r="L1371" s="20">
        <f>IFERROR(INDEX('[2]PRICELIST, 908u'!$G$7:$AX$914,MATCH($B1371,'[2]PRICELIST, 908u'!$G$7:$G$914,0),40),"NA")</f>
        <v>2650000</v>
      </c>
      <c r="M1371" s="20">
        <f>IFERROR(INDEX('[2]PRICELIST, 908u'!$G$7:$AX$914,MATCH($B1371,'[2]PRICELIST, 908u'!$G$7:$G$914,0),41),"NA")</f>
        <v>100000</v>
      </c>
      <c r="N1371" s="58">
        <f t="shared" si="68"/>
        <v>2550000</v>
      </c>
      <c r="O1371" s="60"/>
      <c r="P1371" s="60">
        <f t="shared" si="67"/>
        <v>2550000</v>
      </c>
    </row>
    <row r="1372" spans="2:16">
      <c r="B1372" s="20" t="s">
        <v>1523</v>
      </c>
      <c r="C1372" s="20" t="s">
        <v>2</v>
      </c>
      <c r="D1372" s="20" t="str">
        <f>IFERROR(INDEX('[2]PRICELIST, 908u'!$G$7:$AX$914,MATCH($B1372,'[2]PRICELIST, 908u'!$G$7:$G$914,0),18),"NA")</f>
        <v>2025 - Batch 5</v>
      </c>
      <c r="E1372" s="20" t="str">
        <f>IFERROR(INDEX([3]AGM!$D$21:$BL$928,MATCH($B1372,[3]AGM!$AD$21:$AD$928,0),1),"NA")</f>
        <v>OS</v>
      </c>
      <c r="F1372" s="20" t="str">
        <f t="shared" si="66"/>
        <v>Block 25</v>
      </c>
      <c r="G1372" s="20" t="str">
        <f t="shared" si="65"/>
        <v>Lot 40</v>
      </c>
      <c r="H1372" s="20">
        <f>IFERROR(INDEX('[2]PRICELIST, 908u'!$G$7:$AX$914,MATCH($B1372,'[2]PRICELIST, 908u'!$G$7:$G$914,0),23),"NA")</f>
        <v>50</v>
      </c>
      <c r="I1372" s="20">
        <f>IFERROR(INDEX('[2]PRICELIST, 908u'!$G$7:$AX$914,MATCH($B1372,'[2]PRICELIST, 908u'!$G$7:$G$914,0),22),"NA")</f>
        <v>70</v>
      </c>
      <c r="J1372" s="20" t="s">
        <v>207</v>
      </c>
      <c r="K1372" s="20" t="str">
        <f>IFERROR(INDEX('[2]PRICELIST, 908u'!$G$7:$AX$914,MATCH($B1372,'[2]PRICELIST, 908u'!$G$7:$G$914,0),30),"NA")</f>
        <v>Flat / YELLOW</v>
      </c>
      <c r="L1372" s="20">
        <f>IFERROR(INDEX('[2]PRICELIST, 908u'!$G$7:$AX$914,MATCH($B1372,'[2]PRICELIST, 908u'!$G$7:$G$914,0),40),"NA")</f>
        <v>2650000</v>
      </c>
      <c r="M1372" s="20">
        <f>IFERROR(INDEX('[2]PRICELIST, 908u'!$G$7:$AX$914,MATCH($B1372,'[2]PRICELIST, 908u'!$G$7:$G$914,0),41),"NA")</f>
        <v>100000</v>
      </c>
      <c r="N1372" s="58">
        <f t="shared" si="68"/>
        <v>2550000</v>
      </c>
      <c r="O1372" s="60"/>
      <c r="P1372" s="60">
        <f t="shared" si="67"/>
        <v>2550000</v>
      </c>
    </row>
    <row r="1373" spans="2:16">
      <c r="B1373" s="20" t="s">
        <v>1524</v>
      </c>
      <c r="C1373" s="20" t="s">
        <v>2</v>
      </c>
      <c r="D1373" s="20" t="str">
        <f>IFERROR(INDEX('[2]PRICELIST, 908u'!$G$7:$AX$914,MATCH($B1373,'[2]PRICELIST, 908u'!$G$7:$G$914,0),18),"NA")</f>
        <v>2025 - Batch 5</v>
      </c>
      <c r="E1373" s="20" t="str">
        <f>IFERROR(INDEX([3]AGM!$D$21:$BL$928,MATCH($B1373,[3]AGM!$AD$21:$AD$928,0),1),"NA")</f>
        <v>OS</v>
      </c>
      <c r="F1373" s="20" t="str">
        <f t="shared" si="66"/>
        <v>Block 25</v>
      </c>
      <c r="G1373" s="20" t="str">
        <f t="shared" si="65"/>
        <v>Lot 41</v>
      </c>
      <c r="H1373" s="20">
        <f>IFERROR(INDEX('[2]PRICELIST, 908u'!$G$7:$AX$914,MATCH($B1373,'[2]PRICELIST, 908u'!$G$7:$G$914,0),23),"NA")</f>
        <v>50</v>
      </c>
      <c r="I1373" s="20">
        <f>IFERROR(INDEX('[2]PRICELIST, 908u'!$G$7:$AX$914,MATCH($B1373,'[2]PRICELIST, 908u'!$G$7:$G$914,0),22),"NA")</f>
        <v>70</v>
      </c>
      <c r="J1373" s="20" t="s">
        <v>207</v>
      </c>
      <c r="K1373" s="20" t="str">
        <f>IFERROR(INDEX('[2]PRICELIST, 908u'!$G$7:$AX$914,MATCH($B1373,'[2]PRICELIST, 908u'!$G$7:$G$914,0),30),"NA")</f>
        <v>Flat / YELLOW</v>
      </c>
      <c r="L1373" s="20">
        <f>IFERROR(INDEX('[2]PRICELIST, 908u'!$G$7:$AX$914,MATCH($B1373,'[2]PRICELIST, 908u'!$G$7:$G$914,0),40),"NA")</f>
        <v>2650000</v>
      </c>
      <c r="M1373" s="20">
        <f>IFERROR(INDEX('[2]PRICELIST, 908u'!$G$7:$AX$914,MATCH($B1373,'[2]PRICELIST, 908u'!$G$7:$G$914,0),41),"NA")</f>
        <v>100000</v>
      </c>
      <c r="N1373" s="58">
        <f t="shared" si="68"/>
        <v>2550000</v>
      </c>
      <c r="O1373" s="60"/>
      <c r="P1373" s="60">
        <f t="shared" si="67"/>
        <v>2550000</v>
      </c>
    </row>
    <row r="1374" spans="2:16">
      <c r="B1374" s="20" t="s">
        <v>1525</v>
      </c>
      <c r="C1374" s="20" t="s">
        <v>2</v>
      </c>
      <c r="D1374" s="20" t="str">
        <f>IFERROR(INDEX('[2]PRICELIST, 908u'!$G$7:$AX$914,MATCH($B1374,'[2]PRICELIST, 908u'!$G$7:$G$914,0),18),"NA")</f>
        <v>2025 - Batch 5</v>
      </c>
      <c r="E1374" s="20" t="str">
        <f>IFERROR(INDEX([3]AGM!$D$21:$BL$928,MATCH($B1374,[3]AGM!$AD$21:$AD$928,0),1),"NA")</f>
        <v>OS</v>
      </c>
      <c r="F1374" s="20" t="str">
        <f t="shared" si="66"/>
        <v>Block 25</v>
      </c>
      <c r="G1374" s="20" t="str">
        <f t="shared" si="65"/>
        <v>Lot 42</v>
      </c>
      <c r="H1374" s="20">
        <f>IFERROR(INDEX('[2]PRICELIST, 908u'!$G$7:$AX$914,MATCH($B1374,'[2]PRICELIST, 908u'!$G$7:$G$914,0),23),"NA")</f>
        <v>50</v>
      </c>
      <c r="I1374" s="20">
        <f>IFERROR(INDEX('[2]PRICELIST, 908u'!$G$7:$AX$914,MATCH($B1374,'[2]PRICELIST, 908u'!$G$7:$G$914,0),22),"NA")</f>
        <v>70</v>
      </c>
      <c r="J1374" s="20" t="s">
        <v>207</v>
      </c>
      <c r="K1374" s="20" t="str">
        <f>IFERROR(INDEX('[2]PRICELIST, 908u'!$G$7:$AX$914,MATCH($B1374,'[2]PRICELIST, 908u'!$G$7:$G$914,0),30),"NA")</f>
        <v>Slant / YELLOW</v>
      </c>
      <c r="L1374" s="20">
        <f>IFERROR(INDEX('[2]PRICELIST, 908u'!$G$7:$AX$914,MATCH($B1374,'[2]PRICELIST, 908u'!$G$7:$G$914,0),40),"NA")</f>
        <v>2650000</v>
      </c>
      <c r="M1374" s="20">
        <f>IFERROR(INDEX('[2]PRICELIST, 908u'!$G$7:$AX$914,MATCH($B1374,'[2]PRICELIST, 908u'!$G$7:$G$914,0),41),"NA")</f>
        <v>100000</v>
      </c>
      <c r="N1374" s="58">
        <f t="shared" si="68"/>
        <v>2550000</v>
      </c>
      <c r="O1374" s="60"/>
      <c r="P1374" s="60">
        <f t="shared" si="67"/>
        <v>2550000</v>
      </c>
    </row>
    <row r="1375" spans="2:16">
      <c r="B1375" s="20" t="s">
        <v>1526</v>
      </c>
      <c r="C1375" s="20" t="s">
        <v>2</v>
      </c>
      <c r="D1375" s="20" t="str">
        <f>IFERROR(INDEX('[2]PRICELIST, 908u'!$G$7:$AX$914,MATCH($B1375,'[2]PRICELIST, 908u'!$G$7:$G$914,0),18),"NA")</f>
        <v>2025 - Batch 5</v>
      </c>
      <c r="E1375" s="20" t="str">
        <f>IFERROR(INDEX([3]AGM!$D$21:$BL$928,MATCH($B1375,[3]AGM!$AD$21:$AD$928,0),1),"NA")</f>
        <v>OS</v>
      </c>
      <c r="F1375" s="20" t="str">
        <f t="shared" si="66"/>
        <v>Block 25</v>
      </c>
      <c r="G1375" s="20" t="str">
        <f t="shared" si="65"/>
        <v>Lot 43</v>
      </c>
      <c r="H1375" s="20">
        <f>IFERROR(INDEX('[2]PRICELIST, 908u'!$G$7:$AX$914,MATCH($B1375,'[2]PRICELIST, 908u'!$G$7:$G$914,0),23),"NA")</f>
        <v>50</v>
      </c>
      <c r="I1375" s="20">
        <f>IFERROR(INDEX('[2]PRICELIST, 908u'!$G$7:$AX$914,MATCH($B1375,'[2]PRICELIST, 908u'!$G$7:$G$914,0),22),"NA")</f>
        <v>70</v>
      </c>
      <c r="J1375" s="20" t="s">
        <v>207</v>
      </c>
      <c r="K1375" s="20" t="str">
        <f>IFERROR(INDEX('[2]PRICELIST, 908u'!$G$7:$AX$914,MATCH($B1375,'[2]PRICELIST, 908u'!$G$7:$G$914,0),30),"NA")</f>
        <v>Slant / PINK</v>
      </c>
      <c r="L1375" s="20">
        <f>IFERROR(INDEX('[2]PRICELIST, 908u'!$G$7:$AX$914,MATCH($B1375,'[2]PRICELIST, 908u'!$G$7:$G$914,0),40),"NA")</f>
        <v>2650000</v>
      </c>
      <c r="M1375" s="20">
        <f>IFERROR(INDEX('[2]PRICELIST, 908u'!$G$7:$AX$914,MATCH($B1375,'[2]PRICELIST, 908u'!$G$7:$G$914,0),41),"NA")</f>
        <v>100000</v>
      </c>
      <c r="N1375" s="58">
        <f t="shared" si="68"/>
        <v>2550000</v>
      </c>
      <c r="O1375" s="60"/>
      <c r="P1375" s="60">
        <f t="shared" si="67"/>
        <v>2550000</v>
      </c>
    </row>
    <row r="1376" spans="2:16">
      <c r="B1376" s="20" t="s">
        <v>1527</v>
      </c>
      <c r="C1376" s="20" t="s">
        <v>2</v>
      </c>
      <c r="D1376" s="20" t="str">
        <f>IFERROR(INDEX('[2]PRICELIST, 908u'!$G$7:$AX$914,MATCH($B1376,'[2]PRICELIST, 908u'!$G$7:$G$914,0),18),"NA")</f>
        <v>2025 - Batch 5</v>
      </c>
      <c r="E1376" s="20" t="str">
        <f>IFERROR(INDEX([3]AGM!$D$21:$BL$928,MATCH($B1376,[3]AGM!$AD$21:$AD$928,0),1),"NA")</f>
        <v>OS</v>
      </c>
      <c r="F1376" s="20" t="str">
        <f t="shared" si="66"/>
        <v>Block 25</v>
      </c>
      <c r="G1376" s="20" t="str">
        <f t="shared" si="65"/>
        <v>Lot 44</v>
      </c>
      <c r="H1376" s="20">
        <f>IFERROR(INDEX('[2]PRICELIST, 908u'!$G$7:$AX$914,MATCH($B1376,'[2]PRICELIST, 908u'!$G$7:$G$914,0),23),"NA")</f>
        <v>50</v>
      </c>
      <c r="I1376" s="20">
        <f>IFERROR(INDEX('[2]PRICELIST, 908u'!$G$7:$AX$914,MATCH($B1376,'[2]PRICELIST, 908u'!$G$7:$G$914,0),22),"NA")</f>
        <v>70</v>
      </c>
      <c r="J1376" s="20" t="s">
        <v>207</v>
      </c>
      <c r="K1376" s="20" t="str">
        <f>IFERROR(INDEX('[2]PRICELIST, 908u'!$G$7:$AX$914,MATCH($B1376,'[2]PRICELIST, 908u'!$G$7:$G$914,0),30),"NA")</f>
        <v>Flat / PINK</v>
      </c>
      <c r="L1376" s="20">
        <f>IFERROR(INDEX('[2]PRICELIST, 908u'!$G$7:$AX$914,MATCH($B1376,'[2]PRICELIST, 908u'!$G$7:$G$914,0),40),"NA")</f>
        <v>2650000</v>
      </c>
      <c r="M1376" s="20">
        <f>IFERROR(INDEX('[2]PRICELIST, 908u'!$G$7:$AX$914,MATCH($B1376,'[2]PRICELIST, 908u'!$G$7:$G$914,0),41),"NA")</f>
        <v>100000</v>
      </c>
      <c r="N1376" s="58">
        <f t="shared" si="68"/>
        <v>2550000</v>
      </c>
      <c r="O1376" s="60"/>
      <c r="P1376" s="60">
        <f t="shared" si="67"/>
        <v>2550000</v>
      </c>
    </row>
    <row r="1377" spans="2:16">
      <c r="B1377" s="20" t="s">
        <v>1528</v>
      </c>
      <c r="C1377" s="20" t="s">
        <v>2</v>
      </c>
      <c r="D1377" s="20" t="str">
        <f>IFERROR(INDEX('[2]PRICELIST, 908u'!$G$7:$AX$914,MATCH($B1377,'[2]PRICELIST, 908u'!$G$7:$G$914,0),18),"NA")</f>
        <v>2025 - Batch 2</v>
      </c>
      <c r="E1377" s="20" t="str">
        <f>IFERROR(INDEX([3]AGM!$D$21:$BL$928,MATCH($B1377,[3]AGM!$AD$21:$AD$928,0),1),"NA")</f>
        <v>OS</v>
      </c>
      <c r="F1377" s="20" t="str">
        <f t="shared" si="66"/>
        <v>Block 25</v>
      </c>
      <c r="G1377" s="20" t="str">
        <f t="shared" si="65"/>
        <v>Lot 45</v>
      </c>
      <c r="H1377" s="20">
        <f>IFERROR(INDEX('[2]PRICELIST, 908u'!$G$7:$AX$914,MATCH($B1377,'[2]PRICELIST, 908u'!$G$7:$G$914,0),23),"NA")</f>
        <v>50</v>
      </c>
      <c r="I1377" s="20">
        <f>IFERROR(INDEX('[2]PRICELIST, 908u'!$G$7:$AX$914,MATCH($B1377,'[2]PRICELIST, 908u'!$G$7:$G$914,0),22),"NA")</f>
        <v>70</v>
      </c>
      <c r="J1377" s="20" t="s">
        <v>207</v>
      </c>
      <c r="K1377" s="20" t="str">
        <f>IFERROR(INDEX('[2]PRICELIST, 908u'!$G$7:$AX$914,MATCH($B1377,'[2]PRICELIST, 908u'!$G$7:$G$914,0),30),"NA")</f>
        <v>Flat / PINK</v>
      </c>
      <c r="L1377" s="20">
        <f>IFERROR(INDEX('[2]PRICELIST, 908u'!$G$7:$AX$914,MATCH($B1377,'[2]PRICELIST, 908u'!$G$7:$G$914,0),40),"NA")</f>
        <v>2650000</v>
      </c>
      <c r="M1377" s="20">
        <f>IFERROR(INDEX('[2]PRICELIST, 908u'!$G$7:$AX$914,MATCH($B1377,'[2]PRICELIST, 908u'!$G$7:$G$914,0),41),"NA")</f>
        <v>100000</v>
      </c>
      <c r="N1377" s="58">
        <f t="shared" si="68"/>
        <v>2550000</v>
      </c>
      <c r="O1377" s="60"/>
      <c r="P1377" s="60">
        <f t="shared" si="67"/>
        <v>2550000</v>
      </c>
    </row>
    <row r="1378" spans="2:16">
      <c r="B1378" s="20" t="s">
        <v>1529</v>
      </c>
      <c r="C1378" s="20" t="s">
        <v>2</v>
      </c>
      <c r="D1378" s="20" t="str">
        <f>IFERROR(INDEX('[2]PRICELIST, 908u'!$G$7:$AX$914,MATCH($B1378,'[2]PRICELIST, 908u'!$G$7:$G$914,0),18),"NA")</f>
        <v>2025 - Batch 2</v>
      </c>
      <c r="E1378" s="20" t="str">
        <f>IFERROR(INDEX([3]AGM!$D$21:$BL$928,MATCH($B1378,[3]AGM!$AD$21:$AD$928,0),1),"NA")</f>
        <v>OS</v>
      </c>
      <c r="F1378" s="20" t="str">
        <f t="shared" si="66"/>
        <v>Block 25</v>
      </c>
      <c r="G1378" s="20" t="str">
        <f t="shared" si="65"/>
        <v>Lot 46</v>
      </c>
      <c r="H1378" s="20">
        <f>IFERROR(INDEX('[2]PRICELIST, 908u'!$G$7:$AX$914,MATCH($B1378,'[2]PRICELIST, 908u'!$G$7:$G$914,0),23),"NA")</f>
        <v>50</v>
      </c>
      <c r="I1378" s="20">
        <f>IFERROR(INDEX('[2]PRICELIST, 908u'!$G$7:$AX$914,MATCH($B1378,'[2]PRICELIST, 908u'!$G$7:$G$914,0),22),"NA")</f>
        <v>70</v>
      </c>
      <c r="J1378" s="20" t="s">
        <v>207</v>
      </c>
      <c r="K1378" s="20" t="str">
        <f>IFERROR(INDEX('[2]PRICELIST, 908u'!$G$7:$AX$914,MATCH($B1378,'[2]PRICELIST, 908u'!$G$7:$G$914,0),30),"NA")</f>
        <v>Slant / PINK</v>
      </c>
      <c r="L1378" s="20">
        <f>IFERROR(INDEX('[2]PRICELIST, 908u'!$G$7:$AX$914,MATCH($B1378,'[2]PRICELIST, 908u'!$G$7:$G$914,0),40),"NA")</f>
        <v>2650000</v>
      </c>
      <c r="M1378" s="20">
        <f>IFERROR(INDEX('[2]PRICELIST, 908u'!$G$7:$AX$914,MATCH($B1378,'[2]PRICELIST, 908u'!$G$7:$G$914,0),41),"NA")</f>
        <v>100000</v>
      </c>
      <c r="N1378" s="58">
        <f t="shared" si="68"/>
        <v>2550000</v>
      </c>
      <c r="O1378" s="60"/>
      <c r="P1378" s="60">
        <f t="shared" si="67"/>
        <v>2550000</v>
      </c>
    </row>
    <row r="1379" spans="2:16">
      <c r="B1379" s="20" t="s">
        <v>1530</v>
      </c>
      <c r="C1379" s="20" t="s">
        <v>2</v>
      </c>
      <c r="D1379" s="20" t="str">
        <f>IFERROR(INDEX('[2]PRICELIST, 908u'!$G$7:$AX$914,MATCH($B1379,'[2]PRICELIST, 908u'!$G$7:$G$914,0),18),"NA")</f>
        <v>2025 - Batch 2</v>
      </c>
      <c r="E1379" s="20" t="str">
        <f>IFERROR(INDEX([3]AGM!$D$21:$BL$928,MATCH($B1379,[3]AGM!$AD$21:$AD$928,0),1),"NA")</f>
        <v>OS</v>
      </c>
      <c r="F1379" s="20" t="str">
        <f t="shared" si="66"/>
        <v>Block 25</v>
      </c>
      <c r="G1379" s="20" t="str">
        <f t="shared" si="65"/>
        <v>Lot 47</v>
      </c>
      <c r="H1379" s="20">
        <f>IFERROR(INDEX('[2]PRICELIST, 908u'!$G$7:$AX$914,MATCH($B1379,'[2]PRICELIST, 908u'!$G$7:$G$914,0),23),"NA")</f>
        <v>50</v>
      </c>
      <c r="I1379" s="20">
        <f>IFERROR(INDEX('[2]PRICELIST, 908u'!$G$7:$AX$914,MATCH($B1379,'[2]PRICELIST, 908u'!$G$7:$G$914,0),22),"NA")</f>
        <v>70</v>
      </c>
      <c r="J1379" s="20" t="s">
        <v>207</v>
      </c>
      <c r="K1379" s="20" t="str">
        <f>IFERROR(INDEX('[2]PRICELIST, 908u'!$G$7:$AX$914,MATCH($B1379,'[2]PRICELIST, 908u'!$G$7:$G$914,0),30),"NA")</f>
        <v>Slant / PURPLE</v>
      </c>
      <c r="L1379" s="20">
        <f>IFERROR(INDEX('[2]PRICELIST, 908u'!$G$7:$AX$914,MATCH($B1379,'[2]PRICELIST, 908u'!$G$7:$G$914,0),40),"NA")</f>
        <v>2650000</v>
      </c>
      <c r="M1379" s="20">
        <f>IFERROR(INDEX('[2]PRICELIST, 908u'!$G$7:$AX$914,MATCH($B1379,'[2]PRICELIST, 908u'!$G$7:$G$914,0),41),"NA")</f>
        <v>100000</v>
      </c>
      <c r="N1379" s="58">
        <f t="shared" si="68"/>
        <v>2550000</v>
      </c>
      <c r="O1379" s="60"/>
      <c r="P1379" s="60">
        <f t="shared" si="67"/>
        <v>2550000</v>
      </c>
    </row>
    <row r="1380" spans="2:16">
      <c r="B1380" s="20" t="s">
        <v>1531</v>
      </c>
      <c r="C1380" s="20" t="s">
        <v>2</v>
      </c>
      <c r="D1380" s="20" t="str">
        <f>IFERROR(INDEX('[2]PRICELIST, 908u'!$G$7:$AX$914,MATCH($B1380,'[2]PRICELIST, 908u'!$G$7:$G$914,0),18),"NA")</f>
        <v>2025 - Batch 2</v>
      </c>
      <c r="E1380" s="20" t="str">
        <f>IFERROR(INDEX([3]AGM!$D$21:$BL$928,MATCH($B1380,[3]AGM!$AD$21:$AD$928,0),1),"NA")</f>
        <v>OS</v>
      </c>
      <c r="F1380" s="20" t="str">
        <f t="shared" si="66"/>
        <v>Block 25</v>
      </c>
      <c r="G1380" s="20" t="str">
        <f t="shared" si="65"/>
        <v>Lot 48</v>
      </c>
      <c r="H1380" s="20">
        <f>IFERROR(INDEX('[2]PRICELIST, 908u'!$G$7:$AX$914,MATCH($B1380,'[2]PRICELIST, 908u'!$G$7:$G$914,0),23),"NA")</f>
        <v>50</v>
      </c>
      <c r="I1380" s="20">
        <f>IFERROR(INDEX('[2]PRICELIST, 908u'!$G$7:$AX$914,MATCH($B1380,'[2]PRICELIST, 908u'!$G$7:$G$914,0),22),"NA")</f>
        <v>80</v>
      </c>
      <c r="J1380" s="20" t="s">
        <v>207</v>
      </c>
      <c r="K1380" s="20" t="str">
        <f>IFERROR(INDEX('[2]PRICELIST, 908u'!$G$7:$AX$914,MATCH($B1380,'[2]PRICELIST, 908u'!$G$7:$G$914,0),30),"NA")</f>
        <v>Flat / PURPLE</v>
      </c>
      <c r="L1380" s="20">
        <f>IFERROR(INDEX('[2]PRICELIST, 908u'!$G$7:$AX$914,MATCH($B1380,'[2]PRICELIST, 908u'!$G$7:$G$914,0),40),"NA")</f>
        <v>2800000</v>
      </c>
      <c r="M1380" s="20">
        <f>IFERROR(INDEX('[2]PRICELIST, 908u'!$G$7:$AX$914,MATCH($B1380,'[2]PRICELIST, 908u'!$G$7:$G$914,0),41),"NA")</f>
        <v>100000</v>
      </c>
      <c r="N1380" s="58">
        <f t="shared" si="68"/>
        <v>2700000</v>
      </c>
      <c r="O1380" s="60"/>
      <c r="P1380" s="60">
        <f t="shared" si="67"/>
        <v>2700000</v>
      </c>
    </row>
    <row r="1381" spans="2:16">
      <c r="B1381" s="20" t="s">
        <v>1532</v>
      </c>
      <c r="C1381" s="20" t="s">
        <v>2</v>
      </c>
      <c r="D1381" s="20" t="str">
        <f>IFERROR(INDEX('[2]PRICELIST, 908u'!$G$7:$AX$914,MATCH($B1381,'[2]PRICELIST, 908u'!$G$7:$G$914,0),18),"NA")</f>
        <v>2025 - Batch 2</v>
      </c>
      <c r="E1381" s="20" t="str">
        <f>IFERROR(INDEX([3]AGM!$D$21:$BL$928,MATCH($B1381,[3]AGM!$AD$21:$AD$928,0),1),"NA")</f>
        <v>OS</v>
      </c>
      <c r="F1381" s="20" t="str">
        <f t="shared" si="66"/>
        <v>Block 25</v>
      </c>
      <c r="G1381" s="20" t="str">
        <f t="shared" si="65"/>
        <v>Lot 49</v>
      </c>
      <c r="H1381" s="20">
        <f>IFERROR(INDEX('[2]PRICELIST, 908u'!$G$7:$AX$914,MATCH($B1381,'[2]PRICELIST, 908u'!$G$7:$G$914,0),23),"NA")</f>
        <v>50</v>
      </c>
      <c r="I1381" s="20">
        <f>IFERROR(INDEX('[2]PRICELIST, 908u'!$G$7:$AX$914,MATCH($B1381,'[2]PRICELIST, 908u'!$G$7:$G$914,0),22),"NA")</f>
        <v>80</v>
      </c>
      <c r="J1381" s="20" t="s">
        <v>207</v>
      </c>
      <c r="K1381" s="20" t="str">
        <f>IFERROR(INDEX('[2]PRICELIST, 908u'!$G$7:$AX$914,MATCH($B1381,'[2]PRICELIST, 908u'!$G$7:$G$914,0),30),"NA")</f>
        <v>Flat / PURPLE</v>
      </c>
      <c r="L1381" s="20">
        <f>IFERROR(INDEX('[2]PRICELIST, 908u'!$G$7:$AX$914,MATCH($B1381,'[2]PRICELIST, 908u'!$G$7:$G$914,0),40),"NA")</f>
        <v>2800000</v>
      </c>
      <c r="M1381" s="20">
        <f>IFERROR(INDEX('[2]PRICELIST, 908u'!$G$7:$AX$914,MATCH($B1381,'[2]PRICELIST, 908u'!$G$7:$G$914,0),41),"NA")</f>
        <v>100000</v>
      </c>
      <c r="N1381" s="58">
        <f t="shared" si="68"/>
        <v>2700000</v>
      </c>
      <c r="O1381" s="60"/>
      <c r="P1381" s="60">
        <f t="shared" si="67"/>
        <v>2700000</v>
      </c>
    </row>
    <row r="1382" spans="2:16">
      <c r="B1382" s="20" t="s">
        <v>1533</v>
      </c>
      <c r="C1382" s="20" t="s">
        <v>2</v>
      </c>
      <c r="D1382" s="20" t="str">
        <f>IFERROR(INDEX('[2]PRICELIST, 908u'!$G$7:$AX$914,MATCH($B1382,'[2]PRICELIST, 908u'!$G$7:$G$914,0),18),"NA")</f>
        <v>2025 - Batch 2</v>
      </c>
      <c r="E1382" s="20" t="str">
        <f>IFERROR(INDEX([3]AGM!$D$21:$BL$928,MATCH($B1382,[3]AGM!$AD$21:$AD$928,0),1),"NA")</f>
        <v>OS</v>
      </c>
      <c r="F1382" s="20" t="str">
        <f t="shared" si="66"/>
        <v>Block 25</v>
      </c>
      <c r="G1382" s="20" t="str">
        <f t="shared" si="65"/>
        <v>Lot 50</v>
      </c>
      <c r="H1382" s="20">
        <f>IFERROR(INDEX('[2]PRICELIST, 908u'!$G$7:$AX$914,MATCH($B1382,'[2]PRICELIST, 908u'!$G$7:$G$914,0),23),"NA")</f>
        <v>50</v>
      </c>
      <c r="I1382" s="20">
        <f>IFERROR(INDEX('[2]PRICELIST, 908u'!$G$7:$AX$914,MATCH($B1382,'[2]PRICELIST, 908u'!$G$7:$G$914,0),22),"NA")</f>
        <v>80</v>
      </c>
      <c r="J1382" s="20" t="s">
        <v>207</v>
      </c>
      <c r="K1382" s="20" t="str">
        <f>IFERROR(INDEX('[2]PRICELIST, 908u'!$G$7:$AX$914,MATCH($B1382,'[2]PRICELIST, 908u'!$G$7:$G$914,0),30),"NA")</f>
        <v>Slant / PURPLE</v>
      </c>
      <c r="L1382" s="20">
        <f>IFERROR(INDEX('[2]PRICELIST, 908u'!$G$7:$AX$914,MATCH($B1382,'[2]PRICELIST, 908u'!$G$7:$G$914,0),40),"NA")</f>
        <v>2800000</v>
      </c>
      <c r="M1382" s="20">
        <f>IFERROR(INDEX('[2]PRICELIST, 908u'!$G$7:$AX$914,MATCH($B1382,'[2]PRICELIST, 908u'!$G$7:$G$914,0),41),"NA")</f>
        <v>100000</v>
      </c>
      <c r="N1382" s="58">
        <f t="shared" si="68"/>
        <v>2700000</v>
      </c>
      <c r="O1382" s="60"/>
      <c r="P1382" s="60">
        <f t="shared" si="67"/>
        <v>2700000</v>
      </c>
    </row>
    <row r="1383" spans="2:16">
      <c r="B1383" s="20" t="s">
        <v>1534</v>
      </c>
      <c r="C1383" s="20" t="s">
        <v>2</v>
      </c>
      <c r="D1383" s="20" t="str">
        <f>IFERROR(INDEX('[2]PRICELIST, 908u'!$G$7:$AX$914,MATCH($B1383,'[2]PRICELIST, 908u'!$G$7:$G$914,0),18),"NA")</f>
        <v>Lot Only - N/A</v>
      </c>
      <c r="E1383" s="20" t="str">
        <f>IFERROR(INDEX([3]AGM!$D$21:$BL$928,MATCH($B1383,[3]AGM!$AD$21:$AD$928,0),1),"NA")</f>
        <v>OS</v>
      </c>
      <c r="F1383" s="20" t="str">
        <f t="shared" si="66"/>
        <v>Block 25</v>
      </c>
      <c r="G1383" s="20" t="str">
        <f t="shared" si="65"/>
        <v>Lot 51</v>
      </c>
      <c r="H1383" s="20" t="str">
        <f>IFERROR(INDEX('[2]PRICELIST, 908u'!$G$7:$AX$914,MATCH($B1383,'[2]PRICELIST, 908u'!$G$7:$G$914,0),23),"NA")</f>
        <v>N/A</v>
      </c>
      <c r="I1383" s="20">
        <f>IFERROR(INDEX('[2]PRICELIST, 908u'!$G$7:$AX$914,MATCH($B1383,'[2]PRICELIST, 908u'!$G$7:$G$914,0),22),"NA")</f>
        <v>110</v>
      </c>
      <c r="J1383" s="20" t="s">
        <v>100</v>
      </c>
      <c r="K1383" s="37" t="s">
        <v>1025</v>
      </c>
      <c r="L1383" s="20">
        <f>IFERROR(INDEX('[2]PRICELIST, 908u'!$G$7:$AX$914,MATCH($B1383,'[2]PRICELIST, 908u'!$G$7:$G$914,0),40),"NA")</f>
        <v>1750000</v>
      </c>
      <c r="M1383" s="20">
        <f>IFERROR(INDEX('[2]PRICELIST, 908u'!$G$7:$AX$914,MATCH($B1383,'[2]PRICELIST, 908u'!$G$7:$G$914,0),41),"NA")</f>
        <v>100000</v>
      </c>
      <c r="N1383" s="58">
        <f t="shared" si="68"/>
        <v>1650000</v>
      </c>
      <c r="O1383" s="60"/>
      <c r="P1383" s="60">
        <f t="shared" si="67"/>
        <v>1650000</v>
      </c>
    </row>
    <row r="1384" spans="2:16">
      <c r="B1384" s="20" t="s">
        <v>1535</v>
      </c>
      <c r="C1384" s="20" t="s">
        <v>2</v>
      </c>
      <c r="D1384" s="20" t="str">
        <f>IFERROR(INDEX('[2]PRICELIST, 908u'!$G$7:$AX$914,MATCH($B1384,'[2]PRICELIST, 908u'!$G$7:$G$914,0),18),"NA")</f>
        <v>2025 - Batch 2</v>
      </c>
      <c r="E1384" s="20" t="str">
        <f>IFERROR(INDEX([3]AGM!$D$21:$BL$928,MATCH($B1384,[3]AGM!$AD$21:$AD$928,0),1),"NA")</f>
        <v>OS</v>
      </c>
      <c r="F1384" s="20" t="str">
        <f t="shared" si="66"/>
        <v>Block 26</v>
      </c>
      <c r="G1384" s="20" t="str">
        <f t="shared" si="65"/>
        <v>Lot 01</v>
      </c>
      <c r="H1384" s="20">
        <f>IFERROR(INDEX('[2]PRICELIST, 908u'!$G$7:$AX$914,MATCH($B1384,'[2]PRICELIST, 908u'!$G$7:$G$914,0),23),"NA")</f>
        <v>50</v>
      </c>
      <c r="I1384" s="20">
        <f>IFERROR(INDEX('[2]PRICELIST, 908u'!$G$7:$AX$914,MATCH($B1384,'[2]PRICELIST, 908u'!$G$7:$G$914,0),22),"NA")</f>
        <v>102</v>
      </c>
      <c r="J1384" s="20" t="s">
        <v>207</v>
      </c>
      <c r="K1384" s="20" t="str">
        <f>IFERROR(INDEX('[2]PRICELIST, 908u'!$G$7:$AX$914,MATCH($B1384,'[2]PRICELIST, 908u'!$G$7:$G$914,0),30),"NA")</f>
        <v>Flat / PINK</v>
      </c>
      <c r="L1384" s="20">
        <f>IFERROR(INDEX('[2]PRICELIST, 908u'!$G$7:$AX$914,MATCH($B1384,'[2]PRICELIST, 908u'!$G$7:$G$914,0),40),"NA")</f>
        <v>3130000</v>
      </c>
      <c r="M1384" s="20">
        <f>IFERROR(INDEX('[2]PRICELIST, 908u'!$G$7:$AX$914,MATCH($B1384,'[2]PRICELIST, 908u'!$G$7:$G$914,0),41),"NA")</f>
        <v>100000</v>
      </c>
      <c r="N1384" s="58">
        <f t="shared" si="68"/>
        <v>3030000</v>
      </c>
      <c r="O1384" s="60"/>
      <c r="P1384" s="60">
        <f t="shared" si="67"/>
        <v>3030000</v>
      </c>
    </row>
    <row r="1385" spans="2:16">
      <c r="B1385" s="20" t="s">
        <v>1536</v>
      </c>
      <c r="C1385" s="20" t="s">
        <v>2</v>
      </c>
      <c r="D1385" s="20" t="str">
        <f>IFERROR(INDEX('[2]PRICELIST, 908u'!$G$7:$AX$914,MATCH($B1385,'[2]PRICELIST, 908u'!$G$7:$G$914,0),18),"NA")</f>
        <v>2025 - Batch 2</v>
      </c>
      <c r="E1385" s="20" t="str">
        <f>IFERROR(INDEX([3]AGM!$D$21:$BL$928,MATCH($B1385,[3]AGM!$AD$21:$AD$928,0),1),"NA")</f>
        <v>OS</v>
      </c>
      <c r="F1385" s="20" t="str">
        <f t="shared" si="66"/>
        <v>Block 26</v>
      </c>
      <c r="G1385" s="20" t="str">
        <f t="shared" si="65"/>
        <v>Lot 02</v>
      </c>
      <c r="H1385" s="20">
        <f>IFERROR(INDEX('[2]PRICELIST, 908u'!$G$7:$AX$914,MATCH($B1385,'[2]PRICELIST, 908u'!$G$7:$G$914,0),23),"NA")</f>
        <v>50</v>
      </c>
      <c r="I1385" s="20">
        <f>IFERROR(INDEX('[2]PRICELIST, 908u'!$G$7:$AX$914,MATCH($B1385,'[2]PRICELIST, 908u'!$G$7:$G$914,0),22),"NA")</f>
        <v>80</v>
      </c>
      <c r="J1385" s="20" t="s">
        <v>207</v>
      </c>
      <c r="K1385" s="20" t="str">
        <f>IFERROR(INDEX('[2]PRICELIST, 908u'!$G$7:$AX$914,MATCH($B1385,'[2]PRICELIST, 908u'!$G$7:$G$914,0),30),"NA")</f>
        <v>Slant / PINK</v>
      </c>
      <c r="L1385" s="20">
        <f>IFERROR(INDEX('[2]PRICELIST, 908u'!$G$7:$AX$914,MATCH($B1385,'[2]PRICELIST, 908u'!$G$7:$G$914,0),40),"NA")</f>
        <v>2800000</v>
      </c>
      <c r="M1385" s="20">
        <f>IFERROR(INDEX('[2]PRICELIST, 908u'!$G$7:$AX$914,MATCH($B1385,'[2]PRICELIST, 908u'!$G$7:$G$914,0),41),"NA")</f>
        <v>100000</v>
      </c>
      <c r="N1385" s="58">
        <f t="shared" si="68"/>
        <v>2700000</v>
      </c>
      <c r="O1385" s="60"/>
      <c r="P1385" s="60">
        <f t="shared" si="67"/>
        <v>2700000</v>
      </c>
    </row>
    <row r="1386" spans="2:16">
      <c r="B1386" s="20" t="s">
        <v>1537</v>
      </c>
      <c r="C1386" s="20" t="s">
        <v>2</v>
      </c>
      <c r="D1386" s="20" t="str">
        <f>IFERROR(INDEX('[2]PRICELIST, 908u'!$G$7:$AX$914,MATCH($B1386,'[2]PRICELIST, 908u'!$G$7:$G$914,0),18),"NA")</f>
        <v>2025 - Batch 2</v>
      </c>
      <c r="E1386" s="20" t="str">
        <f>IFERROR(INDEX([3]AGM!$D$21:$BL$928,MATCH($B1386,[3]AGM!$AD$21:$AD$928,0),1),"NA")</f>
        <v>OS</v>
      </c>
      <c r="F1386" s="20" t="str">
        <f t="shared" si="66"/>
        <v>Block 26</v>
      </c>
      <c r="G1386" s="20" t="str">
        <f t="shared" si="65"/>
        <v>Lot 03</v>
      </c>
      <c r="H1386" s="20">
        <f>IFERROR(INDEX('[2]PRICELIST, 908u'!$G$7:$AX$914,MATCH($B1386,'[2]PRICELIST, 908u'!$G$7:$G$914,0),23),"NA")</f>
        <v>50</v>
      </c>
      <c r="I1386" s="20">
        <f>IFERROR(INDEX('[2]PRICELIST, 908u'!$G$7:$AX$914,MATCH($B1386,'[2]PRICELIST, 908u'!$G$7:$G$914,0),22),"NA")</f>
        <v>80</v>
      </c>
      <c r="J1386" s="20" t="s">
        <v>207</v>
      </c>
      <c r="K1386" s="20" t="str">
        <f>IFERROR(INDEX('[2]PRICELIST, 908u'!$G$7:$AX$914,MATCH($B1386,'[2]PRICELIST, 908u'!$G$7:$G$914,0),30),"NA")</f>
        <v>Slant / PINK</v>
      </c>
      <c r="L1386" s="20">
        <f>IFERROR(INDEX('[2]PRICELIST, 908u'!$G$7:$AX$914,MATCH($B1386,'[2]PRICELIST, 908u'!$G$7:$G$914,0),40),"NA")</f>
        <v>2800000</v>
      </c>
      <c r="M1386" s="20">
        <f>IFERROR(INDEX('[2]PRICELIST, 908u'!$G$7:$AX$914,MATCH($B1386,'[2]PRICELIST, 908u'!$G$7:$G$914,0),41),"NA")</f>
        <v>100000</v>
      </c>
      <c r="N1386" s="58">
        <f t="shared" si="68"/>
        <v>2700000</v>
      </c>
      <c r="O1386" s="60"/>
      <c r="P1386" s="60">
        <f t="shared" si="67"/>
        <v>2700000</v>
      </c>
    </row>
    <row r="1387" spans="2:16">
      <c r="B1387" s="20" t="s">
        <v>1538</v>
      </c>
      <c r="C1387" s="20" t="s">
        <v>2</v>
      </c>
      <c r="D1387" s="20" t="str">
        <f>IFERROR(INDEX('[2]PRICELIST, 908u'!$G$7:$AX$914,MATCH($B1387,'[2]PRICELIST, 908u'!$G$7:$G$914,0),18),"NA")</f>
        <v>2025 - Batch 2</v>
      </c>
      <c r="E1387" s="20" t="str">
        <f>IFERROR(INDEX([3]AGM!$D$21:$BL$928,MATCH($B1387,[3]AGM!$AD$21:$AD$928,0),1),"NA")</f>
        <v>OS</v>
      </c>
      <c r="F1387" s="20" t="str">
        <f t="shared" si="66"/>
        <v>Block 26</v>
      </c>
      <c r="G1387" s="20" t="str">
        <f t="shared" si="65"/>
        <v>Lot 04</v>
      </c>
      <c r="H1387" s="20">
        <f>IFERROR(INDEX('[2]PRICELIST, 908u'!$G$7:$AX$914,MATCH($B1387,'[2]PRICELIST, 908u'!$G$7:$G$914,0),23),"NA")</f>
        <v>50</v>
      </c>
      <c r="I1387" s="20">
        <f>IFERROR(INDEX('[2]PRICELIST, 908u'!$G$7:$AX$914,MATCH($B1387,'[2]PRICELIST, 908u'!$G$7:$G$914,0),22),"NA")</f>
        <v>70</v>
      </c>
      <c r="J1387" s="20" t="s">
        <v>207</v>
      </c>
      <c r="K1387" s="20" t="str">
        <f>IFERROR(INDEX('[2]PRICELIST, 908u'!$G$7:$AX$914,MATCH($B1387,'[2]PRICELIST, 908u'!$G$7:$G$914,0),30),"NA")</f>
        <v>Flat / PINK</v>
      </c>
      <c r="L1387" s="20">
        <f>IFERROR(INDEX('[2]PRICELIST, 908u'!$G$7:$AX$914,MATCH($B1387,'[2]PRICELIST, 908u'!$G$7:$G$914,0),40),"NA")</f>
        <v>2650000</v>
      </c>
      <c r="M1387" s="20">
        <f>IFERROR(INDEX('[2]PRICELIST, 908u'!$G$7:$AX$914,MATCH($B1387,'[2]PRICELIST, 908u'!$G$7:$G$914,0),41),"NA")</f>
        <v>100000</v>
      </c>
      <c r="N1387" s="58">
        <f t="shared" si="68"/>
        <v>2550000</v>
      </c>
      <c r="O1387" s="60"/>
      <c r="P1387" s="60">
        <f t="shared" si="67"/>
        <v>2550000</v>
      </c>
    </row>
    <row r="1388" spans="2:16">
      <c r="B1388" s="20" t="s">
        <v>1539</v>
      </c>
      <c r="C1388" s="20" t="s">
        <v>2</v>
      </c>
      <c r="D1388" s="20" t="str">
        <f>IFERROR(INDEX('[2]PRICELIST, 908u'!$G$7:$AX$914,MATCH($B1388,'[2]PRICELIST, 908u'!$G$7:$G$914,0),18),"NA")</f>
        <v>2025 - Batch 1</v>
      </c>
      <c r="E1388" s="20" t="str">
        <f>IFERROR(INDEX([3]AGM!$D$21:$BL$928,MATCH($B1388,[3]AGM!$AD$21:$AD$928,0),1),"NA")</f>
        <v>OS</v>
      </c>
      <c r="F1388" s="20" t="str">
        <f t="shared" si="66"/>
        <v>Block 26</v>
      </c>
      <c r="G1388" s="20" t="str">
        <f t="shared" si="65"/>
        <v>Lot 05</v>
      </c>
      <c r="H1388" s="20">
        <f>IFERROR(INDEX('[2]PRICELIST, 908u'!$G$7:$AX$914,MATCH($B1388,'[2]PRICELIST, 908u'!$G$7:$G$914,0),23),"NA")</f>
        <v>50</v>
      </c>
      <c r="I1388" s="20">
        <f>IFERROR(INDEX('[2]PRICELIST, 908u'!$G$7:$AX$914,MATCH($B1388,'[2]PRICELIST, 908u'!$G$7:$G$914,0),22),"NA")</f>
        <v>70</v>
      </c>
      <c r="J1388" s="20" t="s">
        <v>207</v>
      </c>
      <c r="K1388" s="20" t="str">
        <f>IFERROR(INDEX('[2]PRICELIST, 908u'!$G$7:$AX$914,MATCH($B1388,'[2]PRICELIST, 908u'!$G$7:$G$914,0),30),"NA")</f>
        <v>Flat / YELLOW</v>
      </c>
      <c r="L1388" s="20">
        <f>IFERROR(INDEX('[2]PRICELIST, 908u'!$G$7:$AX$914,MATCH($B1388,'[2]PRICELIST, 908u'!$G$7:$G$914,0),40),"NA")</f>
        <v>2650000</v>
      </c>
      <c r="M1388" s="20">
        <f>IFERROR(INDEX('[2]PRICELIST, 908u'!$G$7:$AX$914,MATCH($B1388,'[2]PRICELIST, 908u'!$G$7:$G$914,0),41),"NA")</f>
        <v>100000</v>
      </c>
      <c r="N1388" s="58">
        <f t="shared" si="68"/>
        <v>2550000</v>
      </c>
      <c r="O1388" s="60"/>
      <c r="P1388" s="60">
        <f t="shared" si="67"/>
        <v>2550000</v>
      </c>
    </row>
    <row r="1389" spans="2:16">
      <c r="B1389" s="20" t="s">
        <v>1540</v>
      </c>
      <c r="C1389" s="20" t="s">
        <v>2</v>
      </c>
      <c r="D1389" s="20" t="str">
        <f>IFERROR(INDEX('[2]PRICELIST, 908u'!$G$7:$AX$914,MATCH($B1389,'[2]PRICELIST, 908u'!$G$7:$G$914,0),18),"NA")</f>
        <v>2025 - Batch 1</v>
      </c>
      <c r="E1389" s="20" t="str">
        <f>IFERROR(INDEX([3]AGM!$D$21:$BL$928,MATCH($B1389,[3]AGM!$AD$21:$AD$928,0),1),"NA")</f>
        <v>OS</v>
      </c>
      <c r="F1389" s="20" t="str">
        <f t="shared" si="66"/>
        <v>Block 26</v>
      </c>
      <c r="G1389" s="20" t="str">
        <f t="shared" si="65"/>
        <v>Lot 06</v>
      </c>
      <c r="H1389" s="20">
        <f>IFERROR(INDEX('[2]PRICELIST, 908u'!$G$7:$AX$914,MATCH($B1389,'[2]PRICELIST, 908u'!$G$7:$G$914,0),23),"NA")</f>
        <v>50</v>
      </c>
      <c r="I1389" s="20">
        <f>IFERROR(INDEX('[2]PRICELIST, 908u'!$G$7:$AX$914,MATCH($B1389,'[2]PRICELIST, 908u'!$G$7:$G$914,0),22),"NA")</f>
        <v>70</v>
      </c>
      <c r="J1389" s="20" t="s">
        <v>207</v>
      </c>
      <c r="K1389" s="20" t="str">
        <f>IFERROR(INDEX('[2]PRICELIST, 908u'!$G$7:$AX$914,MATCH($B1389,'[2]PRICELIST, 908u'!$G$7:$G$914,0),30),"NA")</f>
        <v>Slant / YELLOW</v>
      </c>
      <c r="L1389" s="20">
        <f>IFERROR(INDEX('[2]PRICELIST, 908u'!$G$7:$AX$914,MATCH($B1389,'[2]PRICELIST, 908u'!$G$7:$G$914,0),40),"NA")</f>
        <v>2650000</v>
      </c>
      <c r="M1389" s="20">
        <f>IFERROR(INDEX('[2]PRICELIST, 908u'!$G$7:$AX$914,MATCH($B1389,'[2]PRICELIST, 908u'!$G$7:$G$914,0),41),"NA")</f>
        <v>100000</v>
      </c>
      <c r="N1389" s="58">
        <f t="shared" si="68"/>
        <v>2550000</v>
      </c>
      <c r="O1389" s="60"/>
      <c r="P1389" s="60">
        <f t="shared" si="67"/>
        <v>2550000</v>
      </c>
    </row>
    <row r="1390" spans="2:16">
      <c r="B1390" s="20" t="s">
        <v>1541</v>
      </c>
      <c r="C1390" s="20" t="s">
        <v>2</v>
      </c>
      <c r="D1390" s="20" t="str">
        <f>IFERROR(INDEX('[2]PRICELIST, 908u'!$G$7:$AX$914,MATCH($B1390,'[2]PRICELIST, 908u'!$G$7:$G$914,0),18),"NA")</f>
        <v>2025 - Batch 1</v>
      </c>
      <c r="E1390" s="20" t="str">
        <f>IFERROR(INDEX([3]AGM!$D$21:$BL$928,MATCH($B1390,[3]AGM!$AD$21:$AD$928,0),1),"NA")</f>
        <v>OS</v>
      </c>
      <c r="F1390" s="20" t="str">
        <f t="shared" si="66"/>
        <v>Block 26</v>
      </c>
      <c r="G1390" s="20" t="str">
        <f t="shared" si="65"/>
        <v>Lot 07</v>
      </c>
      <c r="H1390" s="20">
        <f>IFERROR(INDEX('[2]PRICELIST, 908u'!$G$7:$AX$914,MATCH($B1390,'[2]PRICELIST, 908u'!$G$7:$G$914,0),23),"NA")</f>
        <v>50</v>
      </c>
      <c r="I1390" s="20">
        <f>IFERROR(INDEX('[2]PRICELIST, 908u'!$G$7:$AX$914,MATCH($B1390,'[2]PRICELIST, 908u'!$G$7:$G$914,0),22),"NA")</f>
        <v>70</v>
      </c>
      <c r="J1390" s="20" t="s">
        <v>207</v>
      </c>
      <c r="K1390" s="20" t="str">
        <f>IFERROR(INDEX('[2]PRICELIST, 908u'!$G$7:$AX$914,MATCH($B1390,'[2]PRICELIST, 908u'!$G$7:$G$914,0),30),"NA")</f>
        <v>Slant / YELLOW</v>
      </c>
      <c r="L1390" s="20">
        <f>IFERROR(INDEX('[2]PRICELIST, 908u'!$G$7:$AX$914,MATCH($B1390,'[2]PRICELIST, 908u'!$G$7:$G$914,0),40),"NA")</f>
        <v>2650000</v>
      </c>
      <c r="M1390" s="20">
        <f>IFERROR(INDEX('[2]PRICELIST, 908u'!$G$7:$AX$914,MATCH($B1390,'[2]PRICELIST, 908u'!$G$7:$G$914,0),41),"NA")</f>
        <v>100000</v>
      </c>
      <c r="N1390" s="58">
        <f t="shared" si="68"/>
        <v>2550000</v>
      </c>
      <c r="O1390" s="60"/>
      <c r="P1390" s="60">
        <f t="shared" si="67"/>
        <v>2550000</v>
      </c>
    </row>
    <row r="1391" spans="2:16">
      <c r="B1391" s="20" t="s">
        <v>1542</v>
      </c>
      <c r="C1391" s="20" t="s">
        <v>2</v>
      </c>
      <c r="D1391" s="20" t="str">
        <f>IFERROR(INDEX('[2]PRICELIST, 908u'!$G$7:$AX$914,MATCH($B1391,'[2]PRICELIST, 908u'!$G$7:$G$914,0),18),"NA")</f>
        <v>2025 - Batch 1</v>
      </c>
      <c r="E1391" s="20" t="str">
        <f>IFERROR(INDEX([3]AGM!$D$21:$BL$928,MATCH($B1391,[3]AGM!$AD$21:$AD$928,0),1),"NA")</f>
        <v>OS</v>
      </c>
      <c r="F1391" s="20" t="str">
        <f t="shared" si="66"/>
        <v>Block 26</v>
      </c>
      <c r="G1391" s="20" t="str">
        <f t="shared" si="65"/>
        <v>Lot 08</v>
      </c>
      <c r="H1391" s="20">
        <f>IFERROR(INDEX('[2]PRICELIST, 908u'!$G$7:$AX$914,MATCH($B1391,'[2]PRICELIST, 908u'!$G$7:$G$914,0),23),"NA")</f>
        <v>50</v>
      </c>
      <c r="I1391" s="20">
        <f>IFERROR(INDEX('[2]PRICELIST, 908u'!$G$7:$AX$914,MATCH($B1391,'[2]PRICELIST, 908u'!$G$7:$G$914,0),22),"NA")</f>
        <v>70</v>
      </c>
      <c r="J1391" s="20" t="s">
        <v>207</v>
      </c>
      <c r="K1391" s="20" t="str">
        <f>IFERROR(INDEX('[2]PRICELIST, 908u'!$G$7:$AX$914,MATCH($B1391,'[2]PRICELIST, 908u'!$G$7:$G$914,0),30),"NA")</f>
        <v>Flat / YELLOW</v>
      </c>
      <c r="L1391" s="20">
        <f>IFERROR(INDEX('[2]PRICELIST, 908u'!$G$7:$AX$914,MATCH($B1391,'[2]PRICELIST, 908u'!$G$7:$G$914,0),40),"NA")</f>
        <v>2650000</v>
      </c>
      <c r="M1391" s="20">
        <f>IFERROR(INDEX('[2]PRICELIST, 908u'!$G$7:$AX$914,MATCH($B1391,'[2]PRICELIST, 908u'!$G$7:$G$914,0),41),"NA")</f>
        <v>100000</v>
      </c>
      <c r="N1391" s="58">
        <f t="shared" si="68"/>
        <v>2550000</v>
      </c>
      <c r="O1391" s="60"/>
      <c r="P1391" s="60">
        <f t="shared" si="67"/>
        <v>2550000</v>
      </c>
    </row>
    <row r="1392" spans="2:16">
      <c r="B1392" s="20" t="s">
        <v>1543</v>
      </c>
      <c r="C1392" s="20" t="s">
        <v>2</v>
      </c>
      <c r="D1392" s="20" t="str">
        <f>IFERROR(INDEX('[2]PRICELIST, 908u'!$G$7:$AX$914,MATCH($B1392,'[2]PRICELIST, 908u'!$G$7:$G$914,0),18),"NA")</f>
        <v>2025 - Batch 1</v>
      </c>
      <c r="E1392" s="20" t="str">
        <f>IFERROR(INDEX([3]AGM!$D$21:$BL$928,MATCH($B1392,[3]AGM!$AD$21:$AD$928,0),1),"NA")</f>
        <v>OS</v>
      </c>
      <c r="F1392" s="20" t="str">
        <f t="shared" si="66"/>
        <v>Block 26</v>
      </c>
      <c r="G1392" s="20" t="str">
        <f t="shared" si="65"/>
        <v>Lot 09</v>
      </c>
      <c r="H1392" s="20">
        <f>IFERROR(INDEX('[2]PRICELIST, 908u'!$G$7:$AX$914,MATCH($B1392,'[2]PRICELIST, 908u'!$G$7:$G$914,0),23),"NA")</f>
        <v>50</v>
      </c>
      <c r="I1392" s="20">
        <f>IFERROR(INDEX('[2]PRICELIST, 908u'!$G$7:$AX$914,MATCH($B1392,'[2]PRICELIST, 908u'!$G$7:$G$914,0),22),"NA")</f>
        <v>70</v>
      </c>
      <c r="J1392" s="20" t="s">
        <v>207</v>
      </c>
      <c r="K1392" s="20" t="str">
        <f>IFERROR(INDEX('[2]PRICELIST, 908u'!$G$7:$AX$914,MATCH($B1392,'[2]PRICELIST, 908u'!$G$7:$G$914,0),30),"NA")</f>
        <v>Flat / GREEN</v>
      </c>
      <c r="L1392" s="20">
        <f>IFERROR(INDEX('[2]PRICELIST, 908u'!$G$7:$AX$914,MATCH($B1392,'[2]PRICELIST, 908u'!$G$7:$G$914,0),40),"NA")</f>
        <v>2650000</v>
      </c>
      <c r="M1392" s="20">
        <f>IFERROR(INDEX('[2]PRICELIST, 908u'!$G$7:$AX$914,MATCH($B1392,'[2]PRICELIST, 908u'!$G$7:$G$914,0),41),"NA")</f>
        <v>100000</v>
      </c>
      <c r="N1392" s="58">
        <f t="shared" si="68"/>
        <v>2550000</v>
      </c>
      <c r="O1392" s="60"/>
      <c r="P1392" s="60">
        <f t="shared" si="67"/>
        <v>2550000</v>
      </c>
    </row>
    <row r="1393" spans="2:16">
      <c r="B1393" s="20" t="s">
        <v>1544</v>
      </c>
      <c r="C1393" s="20" t="s">
        <v>2</v>
      </c>
      <c r="D1393" s="20" t="str">
        <f>IFERROR(INDEX('[2]PRICELIST, 908u'!$G$7:$AX$914,MATCH($B1393,'[2]PRICELIST, 908u'!$G$7:$G$914,0),18),"NA")</f>
        <v>2025 - Batch 1</v>
      </c>
      <c r="E1393" s="20" t="str">
        <f>IFERROR(INDEX([3]AGM!$D$21:$BL$928,MATCH($B1393,[3]AGM!$AD$21:$AD$928,0),1),"NA")</f>
        <v>OS</v>
      </c>
      <c r="F1393" s="20" t="str">
        <f t="shared" si="66"/>
        <v>Block 26</v>
      </c>
      <c r="G1393" s="20" t="str">
        <f t="shared" si="65"/>
        <v>Lot 10</v>
      </c>
      <c r="H1393" s="20">
        <f>IFERROR(INDEX('[2]PRICELIST, 908u'!$G$7:$AX$914,MATCH($B1393,'[2]PRICELIST, 908u'!$G$7:$G$914,0),23),"NA")</f>
        <v>50</v>
      </c>
      <c r="I1393" s="20">
        <f>IFERROR(INDEX('[2]PRICELIST, 908u'!$G$7:$AX$914,MATCH($B1393,'[2]PRICELIST, 908u'!$G$7:$G$914,0),22),"NA")</f>
        <v>70</v>
      </c>
      <c r="J1393" s="20" t="s">
        <v>207</v>
      </c>
      <c r="K1393" s="20" t="str">
        <f>IFERROR(INDEX('[2]PRICELIST, 908u'!$G$7:$AX$914,MATCH($B1393,'[2]PRICELIST, 908u'!$G$7:$G$914,0),30),"NA")</f>
        <v>Slant / GREEN</v>
      </c>
      <c r="L1393" s="20">
        <f>IFERROR(INDEX('[2]PRICELIST, 908u'!$G$7:$AX$914,MATCH($B1393,'[2]PRICELIST, 908u'!$G$7:$G$914,0),40),"NA")</f>
        <v>2650000</v>
      </c>
      <c r="M1393" s="20">
        <f>IFERROR(INDEX('[2]PRICELIST, 908u'!$G$7:$AX$914,MATCH($B1393,'[2]PRICELIST, 908u'!$G$7:$G$914,0),41),"NA")</f>
        <v>100000</v>
      </c>
      <c r="N1393" s="58">
        <f t="shared" si="68"/>
        <v>2550000</v>
      </c>
      <c r="O1393" s="60"/>
      <c r="P1393" s="60">
        <f t="shared" si="67"/>
        <v>2550000</v>
      </c>
    </row>
    <row r="1394" spans="2:16">
      <c r="B1394" s="20" t="s">
        <v>1545</v>
      </c>
      <c r="C1394" s="20" t="s">
        <v>2</v>
      </c>
      <c r="D1394" s="20" t="str">
        <f>IFERROR(INDEX('[2]PRICELIST, 908u'!$G$7:$AX$914,MATCH($B1394,'[2]PRICELIST, 908u'!$G$7:$G$914,0),18),"NA")</f>
        <v>2025 - Batch 1</v>
      </c>
      <c r="E1394" s="20" t="str">
        <f>IFERROR(INDEX([3]AGM!$D$21:$BL$928,MATCH($B1394,[3]AGM!$AD$21:$AD$928,0),1),"NA")</f>
        <v>OS</v>
      </c>
      <c r="F1394" s="20" t="str">
        <f t="shared" si="66"/>
        <v>Block 26</v>
      </c>
      <c r="G1394" s="20" t="str">
        <f t="shared" si="65"/>
        <v>Lot 11</v>
      </c>
      <c r="H1394" s="20">
        <f>IFERROR(INDEX('[2]PRICELIST, 908u'!$G$7:$AX$914,MATCH($B1394,'[2]PRICELIST, 908u'!$G$7:$G$914,0),23),"NA")</f>
        <v>50</v>
      </c>
      <c r="I1394" s="20">
        <f>IFERROR(INDEX('[2]PRICELIST, 908u'!$G$7:$AX$914,MATCH($B1394,'[2]PRICELIST, 908u'!$G$7:$G$914,0),22),"NA")</f>
        <v>70</v>
      </c>
      <c r="J1394" s="20" t="s">
        <v>207</v>
      </c>
      <c r="K1394" s="20" t="str">
        <f>IFERROR(INDEX('[2]PRICELIST, 908u'!$G$7:$AX$914,MATCH($B1394,'[2]PRICELIST, 908u'!$G$7:$G$914,0),30),"NA")</f>
        <v>Slant / GREEN</v>
      </c>
      <c r="L1394" s="20">
        <f>IFERROR(INDEX('[2]PRICELIST, 908u'!$G$7:$AX$914,MATCH($B1394,'[2]PRICELIST, 908u'!$G$7:$G$914,0),40),"NA")</f>
        <v>2650000</v>
      </c>
      <c r="M1394" s="20">
        <f>IFERROR(INDEX('[2]PRICELIST, 908u'!$G$7:$AX$914,MATCH($B1394,'[2]PRICELIST, 908u'!$G$7:$G$914,0),41),"NA")</f>
        <v>100000</v>
      </c>
      <c r="N1394" s="58">
        <f t="shared" si="68"/>
        <v>2550000</v>
      </c>
      <c r="O1394" s="60"/>
      <c r="P1394" s="60">
        <f t="shared" si="67"/>
        <v>2550000</v>
      </c>
    </row>
    <row r="1395" spans="2:16">
      <c r="B1395" s="20" t="s">
        <v>1546</v>
      </c>
      <c r="C1395" s="20" t="s">
        <v>2</v>
      </c>
      <c r="D1395" s="20" t="str">
        <f>IFERROR(INDEX('[2]PRICELIST, 908u'!$G$7:$AX$914,MATCH($B1395,'[2]PRICELIST, 908u'!$G$7:$G$914,0),18),"NA")</f>
        <v>2025 - Batch 1</v>
      </c>
      <c r="E1395" s="20" t="str">
        <f>IFERROR(INDEX([3]AGM!$D$21:$BL$928,MATCH($B1395,[3]AGM!$AD$21:$AD$928,0),1),"NA")</f>
        <v>OS</v>
      </c>
      <c r="F1395" s="20" t="str">
        <f t="shared" si="66"/>
        <v>Block 26</v>
      </c>
      <c r="G1395" s="20" t="str">
        <f t="shared" si="65"/>
        <v>Lot 12</v>
      </c>
      <c r="H1395" s="20">
        <f>IFERROR(INDEX('[2]PRICELIST, 908u'!$G$7:$AX$914,MATCH($B1395,'[2]PRICELIST, 908u'!$G$7:$G$914,0),23),"NA")</f>
        <v>50</v>
      </c>
      <c r="I1395" s="20">
        <f>IFERROR(INDEX('[2]PRICELIST, 908u'!$G$7:$AX$914,MATCH($B1395,'[2]PRICELIST, 908u'!$G$7:$G$914,0),22),"NA")</f>
        <v>70</v>
      </c>
      <c r="J1395" s="20" t="s">
        <v>207</v>
      </c>
      <c r="K1395" s="20" t="str">
        <f>IFERROR(INDEX('[2]PRICELIST, 908u'!$G$7:$AX$914,MATCH($B1395,'[2]PRICELIST, 908u'!$G$7:$G$914,0),30),"NA")</f>
        <v>Flat / GREEN</v>
      </c>
      <c r="L1395" s="20">
        <f>IFERROR(INDEX('[2]PRICELIST, 908u'!$G$7:$AX$914,MATCH($B1395,'[2]PRICELIST, 908u'!$G$7:$G$914,0),40),"NA")</f>
        <v>2650000</v>
      </c>
      <c r="M1395" s="20">
        <f>IFERROR(INDEX('[2]PRICELIST, 908u'!$G$7:$AX$914,MATCH($B1395,'[2]PRICELIST, 908u'!$G$7:$G$914,0),41),"NA")</f>
        <v>100000</v>
      </c>
      <c r="N1395" s="58">
        <f t="shared" si="68"/>
        <v>2550000</v>
      </c>
      <c r="O1395" s="60"/>
      <c r="P1395" s="60">
        <f t="shared" si="67"/>
        <v>2550000</v>
      </c>
    </row>
    <row r="1396" spans="2:16">
      <c r="B1396" s="20" t="s">
        <v>1547</v>
      </c>
      <c r="C1396" s="20" t="s">
        <v>2</v>
      </c>
      <c r="D1396" s="20" t="str">
        <f>IFERROR(INDEX('[2]PRICELIST, 908u'!$G$7:$AX$914,MATCH($B1396,'[2]PRICELIST, 908u'!$G$7:$G$914,0),18),"NA")</f>
        <v>2025 - Batch 1</v>
      </c>
      <c r="E1396" s="20" t="str">
        <f>IFERROR(INDEX([3]AGM!$D$21:$BL$928,MATCH($B1396,[3]AGM!$AD$21:$AD$928,0),1),"NA")</f>
        <v>OS</v>
      </c>
      <c r="F1396" s="20" t="str">
        <f t="shared" si="66"/>
        <v>Block 26</v>
      </c>
      <c r="G1396" s="20" t="str">
        <f t="shared" si="65"/>
        <v>Lot 13</v>
      </c>
      <c r="H1396" s="20">
        <f>IFERROR(INDEX('[2]PRICELIST, 908u'!$G$7:$AX$914,MATCH($B1396,'[2]PRICELIST, 908u'!$G$7:$G$914,0),23),"NA")</f>
        <v>50</v>
      </c>
      <c r="I1396" s="20">
        <f>IFERROR(INDEX('[2]PRICELIST, 908u'!$G$7:$AX$914,MATCH($B1396,'[2]PRICELIST, 908u'!$G$7:$G$914,0),22),"NA")</f>
        <v>70</v>
      </c>
      <c r="J1396" s="20" t="s">
        <v>207</v>
      </c>
      <c r="K1396" s="20" t="str">
        <f>IFERROR(INDEX('[2]PRICELIST, 908u'!$G$7:$AX$914,MATCH($B1396,'[2]PRICELIST, 908u'!$G$7:$G$914,0),30),"NA")</f>
        <v>Flat / PURPLE</v>
      </c>
      <c r="L1396" s="20">
        <f>IFERROR(INDEX('[2]PRICELIST, 908u'!$G$7:$AX$914,MATCH($B1396,'[2]PRICELIST, 908u'!$G$7:$G$914,0),40),"NA")</f>
        <v>2650000</v>
      </c>
      <c r="M1396" s="20">
        <f>IFERROR(INDEX('[2]PRICELIST, 908u'!$G$7:$AX$914,MATCH($B1396,'[2]PRICELIST, 908u'!$G$7:$G$914,0),41),"NA")</f>
        <v>100000</v>
      </c>
      <c r="N1396" s="58">
        <f t="shared" si="68"/>
        <v>2550000</v>
      </c>
      <c r="O1396" s="60"/>
      <c r="P1396" s="60">
        <f t="shared" si="67"/>
        <v>2550000</v>
      </c>
    </row>
    <row r="1397" spans="2:16">
      <c r="B1397" s="20" t="s">
        <v>1548</v>
      </c>
      <c r="C1397" s="20" t="s">
        <v>2</v>
      </c>
      <c r="D1397" s="20" t="str">
        <f>IFERROR(INDEX('[2]PRICELIST, 908u'!$G$7:$AX$914,MATCH($B1397,'[2]PRICELIST, 908u'!$G$7:$G$914,0),18),"NA")</f>
        <v>2025 - Batch 1</v>
      </c>
      <c r="E1397" s="20" t="str">
        <f>IFERROR(INDEX([3]AGM!$D$21:$BL$928,MATCH($B1397,[3]AGM!$AD$21:$AD$928,0),1),"NA")</f>
        <v>OS</v>
      </c>
      <c r="F1397" s="20" t="str">
        <f t="shared" si="66"/>
        <v>Block 26</v>
      </c>
      <c r="G1397" s="20" t="str">
        <f t="shared" si="65"/>
        <v>Lot 14</v>
      </c>
      <c r="H1397" s="20">
        <f>IFERROR(INDEX('[2]PRICELIST, 908u'!$G$7:$AX$914,MATCH($B1397,'[2]PRICELIST, 908u'!$G$7:$G$914,0),23),"NA")</f>
        <v>50</v>
      </c>
      <c r="I1397" s="20">
        <f>IFERROR(INDEX('[2]PRICELIST, 908u'!$G$7:$AX$914,MATCH($B1397,'[2]PRICELIST, 908u'!$G$7:$G$914,0),22),"NA")</f>
        <v>70</v>
      </c>
      <c r="J1397" s="20" t="s">
        <v>207</v>
      </c>
      <c r="K1397" s="20" t="str">
        <f>IFERROR(INDEX('[2]PRICELIST, 908u'!$G$7:$AX$914,MATCH($B1397,'[2]PRICELIST, 908u'!$G$7:$G$914,0),30),"NA")</f>
        <v>Slant / PURPLE</v>
      </c>
      <c r="L1397" s="20">
        <f>IFERROR(INDEX('[2]PRICELIST, 908u'!$G$7:$AX$914,MATCH($B1397,'[2]PRICELIST, 908u'!$G$7:$G$914,0),40),"NA")</f>
        <v>2650000</v>
      </c>
      <c r="M1397" s="20">
        <f>IFERROR(INDEX('[2]PRICELIST, 908u'!$G$7:$AX$914,MATCH($B1397,'[2]PRICELIST, 908u'!$G$7:$G$914,0),41),"NA")</f>
        <v>100000</v>
      </c>
      <c r="N1397" s="58">
        <f t="shared" si="68"/>
        <v>2550000</v>
      </c>
      <c r="O1397" s="60"/>
      <c r="P1397" s="60">
        <f t="shared" si="67"/>
        <v>2550000</v>
      </c>
    </row>
    <row r="1398" spans="2:16">
      <c r="B1398" s="20" t="s">
        <v>1549</v>
      </c>
      <c r="C1398" s="20" t="s">
        <v>2</v>
      </c>
      <c r="D1398" s="20" t="str">
        <f>IFERROR(INDEX('[2]PRICELIST, 908u'!$G$7:$AX$914,MATCH($B1398,'[2]PRICELIST, 908u'!$G$7:$G$914,0),18),"NA")</f>
        <v>2025 - Batch 1</v>
      </c>
      <c r="E1398" s="20" t="str">
        <f>IFERROR(INDEX([3]AGM!$D$21:$BL$928,MATCH($B1398,[3]AGM!$AD$21:$AD$928,0),1),"NA")</f>
        <v>OS</v>
      </c>
      <c r="F1398" s="20" t="str">
        <f t="shared" si="66"/>
        <v>Block 26</v>
      </c>
      <c r="G1398" s="20" t="str">
        <f t="shared" si="65"/>
        <v>Lot 15</v>
      </c>
      <c r="H1398" s="20">
        <f>IFERROR(INDEX('[2]PRICELIST, 908u'!$G$7:$AX$914,MATCH($B1398,'[2]PRICELIST, 908u'!$G$7:$G$914,0),23),"NA")</f>
        <v>50</v>
      </c>
      <c r="I1398" s="20">
        <f>IFERROR(INDEX('[2]PRICELIST, 908u'!$G$7:$AX$914,MATCH($B1398,'[2]PRICELIST, 908u'!$G$7:$G$914,0),22),"NA")</f>
        <v>70</v>
      </c>
      <c r="J1398" s="20" t="s">
        <v>207</v>
      </c>
      <c r="K1398" s="20" t="str">
        <f>IFERROR(INDEX('[2]PRICELIST, 908u'!$G$7:$AX$914,MATCH($B1398,'[2]PRICELIST, 908u'!$G$7:$G$914,0),30),"NA")</f>
        <v>Slant / PURPLE</v>
      </c>
      <c r="L1398" s="20">
        <f>IFERROR(INDEX('[2]PRICELIST, 908u'!$G$7:$AX$914,MATCH($B1398,'[2]PRICELIST, 908u'!$G$7:$G$914,0),40),"NA")</f>
        <v>2650000</v>
      </c>
      <c r="M1398" s="20">
        <f>IFERROR(INDEX('[2]PRICELIST, 908u'!$G$7:$AX$914,MATCH($B1398,'[2]PRICELIST, 908u'!$G$7:$G$914,0),41),"NA")</f>
        <v>100000</v>
      </c>
      <c r="N1398" s="58">
        <f t="shared" si="68"/>
        <v>2550000</v>
      </c>
      <c r="O1398" s="60"/>
      <c r="P1398" s="60">
        <f t="shared" si="67"/>
        <v>2550000</v>
      </c>
    </row>
    <row r="1399" spans="2:16">
      <c r="B1399" s="20" t="s">
        <v>1550</v>
      </c>
      <c r="C1399" s="20" t="s">
        <v>2</v>
      </c>
      <c r="D1399" s="20" t="str">
        <f>IFERROR(INDEX('[2]PRICELIST, 908u'!$G$7:$AX$914,MATCH($B1399,'[2]PRICELIST, 908u'!$G$7:$G$914,0),18),"NA")</f>
        <v>2025 - Batch 1</v>
      </c>
      <c r="E1399" s="20" t="str">
        <f>IFERROR(INDEX([3]AGM!$D$21:$BL$928,MATCH($B1399,[3]AGM!$AD$21:$AD$928,0),1),"NA")</f>
        <v>OS</v>
      </c>
      <c r="F1399" s="20" t="str">
        <f t="shared" si="66"/>
        <v>Block 26</v>
      </c>
      <c r="G1399" s="20" t="str">
        <f t="shared" si="65"/>
        <v>Lot 16</v>
      </c>
      <c r="H1399" s="20">
        <f>IFERROR(INDEX('[2]PRICELIST, 908u'!$G$7:$AX$914,MATCH($B1399,'[2]PRICELIST, 908u'!$G$7:$G$914,0),23),"NA")</f>
        <v>50</v>
      </c>
      <c r="I1399" s="20">
        <f>IFERROR(INDEX('[2]PRICELIST, 908u'!$G$7:$AX$914,MATCH($B1399,'[2]PRICELIST, 908u'!$G$7:$G$914,0),22),"NA")</f>
        <v>70</v>
      </c>
      <c r="J1399" s="20" t="s">
        <v>207</v>
      </c>
      <c r="K1399" s="20" t="str">
        <f>IFERROR(INDEX('[2]PRICELIST, 908u'!$G$7:$AX$914,MATCH($B1399,'[2]PRICELIST, 908u'!$G$7:$G$914,0),30),"NA")</f>
        <v>Flat / PURPLE</v>
      </c>
      <c r="L1399" s="20">
        <f>IFERROR(INDEX('[2]PRICELIST, 908u'!$G$7:$AX$914,MATCH($B1399,'[2]PRICELIST, 908u'!$G$7:$G$914,0),40),"NA")</f>
        <v>2650000</v>
      </c>
      <c r="M1399" s="20">
        <f>IFERROR(INDEX('[2]PRICELIST, 908u'!$G$7:$AX$914,MATCH($B1399,'[2]PRICELIST, 908u'!$G$7:$G$914,0),41),"NA")</f>
        <v>100000</v>
      </c>
      <c r="N1399" s="58">
        <f t="shared" si="68"/>
        <v>2550000</v>
      </c>
      <c r="O1399" s="60"/>
      <c r="P1399" s="60">
        <f t="shared" si="67"/>
        <v>2550000</v>
      </c>
    </row>
    <row r="1400" spans="2:16">
      <c r="B1400" s="20" t="s">
        <v>1551</v>
      </c>
      <c r="C1400" s="20" t="s">
        <v>2</v>
      </c>
      <c r="D1400" s="20" t="str">
        <f>IFERROR(INDEX('[2]PRICELIST, 908u'!$G$7:$AX$914,MATCH($B1400,'[2]PRICELIST, 908u'!$G$7:$G$914,0),18),"NA")</f>
        <v>2025 - Batch 1</v>
      </c>
      <c r="E1400" s="20" t="str">
        <f>IFERROR(INDEX([3]AGM!$D$21:$BL$928,MATCH($B1400,[3]AGM!$AD$21:$AD$928,0),1),"NA")</f>
        <v>OS</v>
      </c>
      <c r="F1400" s="20" t="str">
        <f t="shared" si="66"/>
        <v>Block 26</v>
      </c>
      <c r="G1400" s="20" t="str">
        <f t="shared" si="65"/>
        <v>Lot 17</v>
      </c>
      <c r="H1400" s="20">
        <f>IFERROR(INDEX('[2]PRICELIST, 908u'!$G$7:$AX$914,MATCH($B1400,'[2]PRICELIST, 908u'!$G$7:$G$914,0),23),"NA")</f>
        <v>50</v>
      </c>
      <c r="I1400" s="20">
        <f>IFERROR(INDEX('[2]PRICELIST, 908u'!$G$7:$AX$914,MATCH($B1400,'[2]PRICELIST, 908u'!$G$7:$G$914,0),22),"NA")</f>
        <v>70</v>
      </c>
      <c r="J1400" s="20" t="s">
        <v>207</v>
      </c>
      <c r="K1400" s="20" t="str">
        <f>IFERROR(INDEX('[2]PRICELIST, 908u'!$G$7:$AX$914,MATCH($B1400,'[2]PRICELIST, 908u'!$G$7:$G$914,0),30),"NA")</f>
        <v>Flat / PINK</v>
      </c>
      <c r="L1400" s="20">
        <f>IFERROR(INDEX('[2]PRICELIST, 908u'!$G$7:$AX$914,MATCH($B1400,'[2]PRICELIST, 908u'!$G$7:$G$914,0),40),"NA")</f>
        <v>2650000</v>
      </c>
      <c r="M1400" s="20">
        <f>IFERROR(INDEX('[2]PRICELIST, 908u'!$G$7:$AX$914,MATCH($B1400,'[2]PRICELIST, 908u'!$G$7:$G$914,0),41),"NA")</f>
        <v>100000</v>
      </c>
      <c r="N1400" s="58">
        <f t="shared" si="68"/>
        <v>2550000</v>
      </c>
      <c r="O1400" s="60"/>
      <c r="P1400" s="60">
        <f t="shared" si="67"/>
        <v>2550000</v>
      </c>
    </row>
    <row r="1401" spans="2:16">
      <c r="B1401" s="20" t="s">
        <v>1552</v>
      </c>
      <c r="C1401" s="20" t="s">
        <v>2</v>
      </c>
      <c r="D1401" s="20" t="str">
        <f>IFERROR(INDEX('[2]PRICELIST, 908u'!$G$7:$AX$914,MATCH($B1401,'[2]PRICELIST, 908u'!$G$7:$G$914,0),18),"NA")</f>
        <v>2025 - Batch 1</v>
      </c>
      <c r="E1401" s="20" t="str">
        <f>IFERROR(INDEX([3]AGM!$D$21:$BL$928,MATCH($B1401,[3]AGM!$AD$21:$AD$928,0),1),"NA")</f>
        <v>OS</v>
      </c>
      <c r="F1401" s="20" t="str">
        <f t="shared" si="66"/>
        <v>Block 26</v>
      </c>
      <c r="G1401" s="20" t="str">
        <f t="shared" si="65"/>
        <v>Lot 18</v>
      </c>
      <c r="H1401" s="20">
        <f>IFERROR(INDEX('[2]PRICELIST, 908u'!$G$7:$AX$914,MATCH($B1401,'[2]PRICELIST, 908u'!$G$7:$G$914,0),23),"NA")</f>
        <v>50</v>
      </c>
      <c r="I1401" s="20">
        <f>IFERROR(INDEX('[2]PRICELIST, 908u'!$G$7:$AX$914,MATCH($B1401,'[2]PRICELIST, 908u'!$G$7:$G$914,0),22),"NA")</f>
        <v>70</v>
      </c>
      <c r="J1401" s="20" t="s">
        <v>207</v>
      </c>
      <c r="K1401" s="20" t="str">
        <f>IFERROR(INDEX('[2]PRICELIST, 908u'!$G$7:$AX$914,MATCH($B1401,'[2]PRICELIST, 908u'!$G$7:$G$914,0),30),"NA")</f>
        <v>Slant / PINK</v>
      </c>
      <c r="L1401" s="20">
        <f>IFERROR(INDEX('[2]PRICELIST, 908u'!$G$7:$AX$914,MATCH($B1401,'[2]PRICELIST, 908u'!$G$7:$G$914,0),40),"NA")</f>
        <v>2650000</v>
      </c>
      <c r="M1401" s="20">
        <f>IFERROR(INDEX('[2]PRICELIST, 908u'!$G$7:$AX$914,MATCH($B1401,'[2]PRICELIST, 908u'!$G$7:$G$914,0),41),"NA")</f>
        <v>100000</v>
      </c>
      <c r="N1401" s="58">
        <f t="shared" si="68"/>
        <v>2550000</v>
      </c>
      <c r="O1401" s="60"/>
      <c r="P1401" s="60">
        <f t="shared" si="67"/>
        <v>2550000</v>
      </c>
    </row>
    <row r="1402" spans="2:16">
      <c r="B1402" s="20" t="s">
        <v>1553</v>
      </c>
      <c r="C1402" s="20" t="s">
        <v>2</v>
      </c>
      <c r="D1402" s="20" t="str">
        <f>IFERROR(INDEX('[2]PRICELIST, 908u'!$G$7:$AX$914,MATCH($B1402,'[2]PRICELIST, 908u'!$G$7:$G$914,0),18),"NA")</f>
        <v>2025 - Batch 1</v>
      </c>
      <c r="E1402" s="20" t="str">
        <f>IFERROR(INDEX([3]AGM!$D$21:$BL$928,MATCH($B1402,[3]AGM!$AD$21:$AD$928,0),1),"NA")</f>
        <v>OS</v>
      </c>
      <c r="F1402" s="20" t="str">
        <f t="shared" si="66"/>
        <v>Block 26</v>
      </c>
      <c r="G1402" s="20" t="str">
        <f t="shared" si="65"/>
        <v>Lot 19</v>
      </c>
      <c r="H1402" s="20">
        <f>IFERROR(INDEX('[2]PRICELIST, 908u'!$G$7:$AX$914,MATCH($B1402,'[2]PRICELIST, 908u'!$G$7:$G$914,0),23),"NA")</f>
        <v>50</v>
      </c>
      <c r="I1402" s="20">
        <f>IFERROR(INDEX('[2]PRICELIST, 908u'!$G$7:$AX$914,MATCH($B1402,'[2]PRICELIST, 908u'!$G$7:$G$914,0),22),"NA")</f>
        <v>70</v>
      </c>
      <c r="J1402" s="20" t="s">
        <v>207</v>
      </c>
      <c r="K1402" s="20" t="str">
        <f>IFERROR(INDEX('[2]PRICELIST, 908u'!$G$7:$AX$914,MATCH($B1402,'[2]PRICELIST, 908u'!$G$7:$G$914,0),30),"NA")</f>
        <v>Slant / PINK</v>
      </c>
      <c r="L1402" s="20">
        <f>IFERROR(INDEX('[2]PRICELIST, 908u'!$G$7:$AX$914,MATCH($B1402,'[2]PRICELIST, 908u'!$G$7:$G$914,0),40),"NA")</f>
        <v>2650000</v>
      </c>
      <c r="M1402" s="20">
        <f>IFERROR(INDEX('[2]PRICELIST, 908u'!$G$7:$AX$914,MATCH($B1402,'[2]PRICELIST, 908u'!$G$7:$G$914,0),41),"NA")</f>
        <v>100000</v>
      </c>
      <c r="N1402" s="58">
        <f t="shared" si="68"/>
        <v>2550000</v>
      </c>
      <c r="O1402" s="60"/>
      <c r="P1402" s="60">
        <f t="shared" si="67"/>
        <v>2550000</v>
      </c>
    </row>
    <row r="1403" spans="2:16">
      <c r="B1403" s="20" t="s">
        <v>1554</v>
      </c>
      <c r="C1403" s="20" t="s">
        <v>2</v>
      </c>
      <c r="D1403" s="20" t="str">
        <f>IFERROR(INDEX('[2]PRICELIST, 908u'!$G$7:$AX$914,MATCH($B1403,'[2]PRICELIST, 908u'!$G$7:$G$914,0),18),"NA")</f>
        <v>2025 - Batch 1</v>
      </c>
      <c r="E1403" s="20" t="str">
        <f>IFERROR(INDEX([3]AGM!$D$21:$BL$928,MATCH($B1403,[3]AGM!$AD$21:$AD$928,0),1),"NA")</f>
        <v>OS</v>
      </c>
      <c r="F1403" s="20" t="str">
        <f t="shared" si="66"/>
        <v>Block 26</v>
      </c>
      <c r="G1403" s="20" t="str">
        <f t="shared" si="65"/>
        <v>Lot 20</v>
      </c>
      <c r="H1403" s="20">
        <f>IFERROR(INDEX('[2]PRICELIST, 908u'!$G$7:$AX$914,MATCH($B1403,'[2]PRICELIST, 908u'!$G$7:$G$914,0),23),"NA")</f>
        <v>50</v>
      </c>
      <c r="I1403" s="20">
        <f>IFERROR(INDEX('[2]PRICELIST, 908u'!$G$7:$AX$914,MATCH($B1403,'[2]PRICELIST, 908u'!$G$7:$G$914,0),22),"NA")</f>
        <v>70</v>
      </c>
      <c r="J1403" s="20" t="s">
        <v>207</v>
      </c>
      <c r="K1403" s="20" t="str">
        <f>IFERROR(INDEX('[2]PRICELIST, 908u'!$G$7:$AX$914,MATCH($B1403,'[2]PRICELIST, 908u'!$G$7:$G$914,0),30),"NA")</f>
        <v>Flat / PINK</v>
      </c>
      <c r="L1403" s="20">
        <f>IFERROR(INDEX('[2]PRICELIST, 908u'!$G$7:$AX$914,MATCH($B1403,'[2]PRICELIST, 908u'!$G$7:$G$914,0),40),"NA")</f>
        <v>2650000</v>
      </c>
      <c r="M1403" s="20">
        <f>IFERROR(INDEX('[2]PRICELIST, 908u'!$G$7:$AX$914,MATCH($B1403,'[2]PRICELIST, 908u'!$G$7:$G$914,0),41),"NA")</f>
        <v>100000</v>
      </c>
      <c r="N1403" s="58">
        <f t="shared" si="68"/>
        <v>2550000</v>
      </c>
      <c r="O1403" s="60"/>
      <c r="P1403" s="60">
        <f t="shared" si="67"/>
        <v>2550000</v>
      </c>
    </row>
    <row r="1404" spans="2:16">
      <c r="B1404" s="20" t="s">
        <v>1555</v>
      </c>
      <c r="C1404" s="20" t="s">
        <v>2</v>
      </c>
      <c r="D1404" s="20" t="str">
        <f>IFERROR(INDEX('[2]PRICELIST, 908u'!$G$7:$AX$914,MATCH($B1404,'[2]PRICELIST, 908u'!$G$7:$G$914,0),18),"NA")</f>
        <v>2025 - Batch 1</v>
      </c>
      <c r="E1404" s="20" t="str">
        <f>IFERROR(INDEX([3]AGM!$D$21:$BL$928,MATCH($B1404,[3]AGM!$AD$21:$AD$928,0),1),"NA")</f>
        <v>OS</v>
      </c>
      <c r="F1404" s="20" t="str">
        <f t="shared" si="66"/>
        <v>Block 26</v>
      </c>
      <c r="G1404" s="20" t="str">
        <f t="shared" si="65"/>
        <v>Lot 21</v>
      </c>
      <c r="H1404" s="20">
        <f>IFERROR(INDEX('[2]PRICELIST, 908u'!$G$7:$AX$914,MATCH($B1404,'[2]PRICELIST, 908u'!$G$7:$G$914,0),23),"NA")</f>
        <v>50</v>
      </c>
      <c r="I1404" s="20">
        <f>IFERROR(INDEX('[2]PRICELIST, 908u'!$G$7:$AX$914,MATCH($B1404,'[2]PRICELIST, 908u'!$G$7:$G$914,0),22),"NA")</f>
        <v>70</v>
      </c>
      <c r="J1404" s="20" t="s">
        <v>207</v>
      </c>
      <c r="K1404" s="20" t="str">
        <f>IFERROR(INDEX('[2]PRICELIST, 908u'!$G$7:$AX$914,MATCH($B1404,'[2]PRICELIST, 908u'!$G$7:$G$914,0),30),"NA")</f>
        <v>Flat / YELLOW</v>
      </c>
      <c r="L1404" s="20">
        <f>IFERROR(INDEX('[2]PRICELIST, 908u'!$G$7:$AX$914,MATCH($B1404,'[2]PRICELIST, 908u'!$G$7:$G$914,0),40),"NA")</f>
        <v>2650000</v>
      </c>
      <c r="M1404" s="20">
        <f>IFERROR(INDEX('[2]PRICELIST, 908u'!$G$7:$AX$914,MATCH($B1404,'[2]PRICELIST, 908u'!$G$7:$G$914,0),41),"NA")</f>
        <v>100000</v>
      </c>
      <c r="N1404" s="58">
        <f t="shared" si="68"/>
        <v>2550000</v>
      </c>
      <c r="O1404" s="60"/>
      <c r="P1404" s="60">
        <f t="shared" si="67"/>
        <v>2550000</v>
      </c>
    </row>
    <row r="1405" spans="2:16">
      <c r="B1405" s="20" t="s">
        <v>1556</v>
      </c>
      <c r="C1405" s="20" t="s">
        <v>2</v>
      </c>
      <c r="D1405" s="20" t="str">
        <f>IFERROR(INDEX('[2]PRICELIST, 908u'!$G$7:$AX$914,MATCH($B1405,'[2]PRICELIST, 908u'!$G$7:$G$914,0),18),"NA")</f>
        <v>2025 - Batch 1</v>
      </c>
      <c r="E1405" s="20" t="str">
        <f>IFERROR(INDEX([3]AGM!$D$21:$BL$928,MATCH($B1405,[3]AGM!$AD$21:$AD$928,0),1),"NA")</f>
        <v>OS</v>
      </c>
      <c r="F1405" s="20" t="str">
        <f t="shared" si="66"/>
        <v>Block 26</v>
      </c>
      <c r="G1405" s="20" t="str">
        <f t="shared" si="65"/>
        <v>Lot 22</v>
      </c>
      <c r="H1405" s="20">
        <f>IFERROR(INDEX('[2]PRICELIST, 908u'!$G$7:$AX$914,MATCH($B1405,'[2]PRICELIST, 908u'!$G$7:$G$914,0),23),"NA")</f>
        <v>50</v>
      </c>
      <c r="I1405" s="20">
        <f>IFERROR(INDEX('[2]PRICELIST, 908u'!$G$7:$AX$914,MATCH($B1405,'[2]PRICELIST, 908u'!$G$7:$G$914,0),22),"NA")</f>
        <v>70</v>
      </c>
      <c r="J1405" s="20" t="s">
        <v>207</v>
      </c>
      <c r="K1405" s="20" t="str">
        <f>IFERROR(INDEX('[2]PRICELIST, 908u'!$G$7:$AX$914,MATCH($B1405,'[2]PRICELIST, 908u'!$G$7:$G$914,0),30),"NA")</f>
        <v>Slant / YELLOW</v>
      </c>
      <c r="L1405" s="20">
        <f>IFERROR(INDEX('[2]PRICELIST, 908u'!$G$7:$AX$914,MATCH($B1405,'[2]PRICELIST, 908u'!$G$7:$G$914,0),40),"NA")</f>
        <v>2650000</v>
      </c>
      <c r="M1405" s="20">
        <f>IFERROR(INDEX('[2]PRICELIST, 908u'!$G$7:$AX$914,MATCH($B1405,'[2]PRICELIST, 908u'!$G$7:$G$914,0),41),"NA")</f>
        <v>100000</v>
      </c>
      <c r="N1405" s="58">
        <f t="shared" si="68"/>
        <v>2550000</v>
      </c>
      <c r="O1405" s="60"/>
      <c r="P1405" s="60">
        <f t="shared" si="67"/>
        <v>2550000</v>
      </c>
    </row>
    <row r="1406" spans="2:16">
      <c r="B1406" s="20" t="s">
        <v>1557</v>
      </c>
      <c r="C1406" s="20" t="s">
        <v>2</v>
      </c>
      <c r="D1406" s="20" t="str">
        <f>IFERROR(INDEX('[2]PRICELIST, 908u'!$G$7:$AX$914,MATCH($B1406,'[2]PRICELIST, 908u'!$G$7:$G$914,0),18),"NA")</f>
        <v>2025 - Batch 1</v>
      </c>
      <c r="E1406" s="20" t="str">
        <f>IFERROR(INDEX([3]AGM!$D$21:$BL$928,MATCH($B1406,[3]AGM!$AD$21:$AD$928,0),1),"NA")</f>
        <v>OS</v>
      </c>
      <c r="F1406" s="20" t="str">
        <f t="shared" si="66"/>
        <v>Block 26</v>
      </c>
      <c r="G1406" s="20" t="str">
        <f t="shared" si="65"/>
        <v>Lot 23</v>
      </c>
      <c r="H1406" s="20">
        <f>IFERROR(INDEX('[2]PRICELIST, 908u'!$G$7:$AX$914,MATCH($B1406,'[2]PRICELIST, 908u'!$G$7:$G$914,0),23),"NA")</f>
        <v>50</v>
      </c>
      <c r="I1406" s="20">
        <f>IFERROR(INDEX('[2]PRICELIST, 908u'!$G$7:$AX$914,MATCH($B1406,'[2]PRICELIST, 908u'!$G$7:$G$914,0),22),"NA")</f>
        <v>70</v>
      </c>
      <c r="J1406" s="20" t="s">
        <v>207</v>
      </c>
      <c r="K1406" s="20" t="str">
        <f>IFERROR(INDEX('[2]PRICELIST, 908u'!$G$7:$AX$914,MATCH($B1406,'[2]PRICELIST, 908u'!$G$7:$G$914,0),30),"NA")</f>
        <v>Slant / YELLOW</v>
      </c>
      <c r="L1406" s="20">
        <f>IFERROR(INDEX('[2]PRICELIST, 908u'!$G$7:$AX$914,MATCH($B1406,'[2]PRICELIST, 908u'!$G$7:$G$914,0),40),"NA")</f>
        <v>2650000</v>
      </c>
      <c r="M1406" s="20">
        <f>IFERROR(INDEX('[2]PRICELIST, 908u'!$G$7:$AX$914,MATCH($B1406,'[2]PRICELIST, 908u'!$G$7:$G$914,0),41),"NA")</f>
        <v>100000</v>
      </c>
      <c r="N1406" s="58">
        <f t="shared" si="68"/>
        <v>2550000</v>
      </c>
      <c r="O1406" s="60"/>
      <c r="P1406" s="60">
        <f t="shared" si="67"/>
        <v>2550000</v>
      </c>
    </row>
    <row r="1407" spans="2:16">
      <c r="B1407" s="20" t="s">
        <v>1558</v>
      </c>
      <c r="C1407" s="20" t="s">
        <v>2</v>
      </c>
      <c r="D1407" s="20" t="str">
        <f>IFERROR(INDEX('[2]PRICELIST, 908u'!$G$7:$AX$914,MATCH($B1407,'[2]PRICELIST, 908u'!$G$7:$G$914,0),18),"NA")</f>
        <v>2025 - Batch 1</v>
      </c>
      <c r="E1407" s="20" t="str">
        <f>IFERROR(INDEX([3]AGM!$D$21:$BL$928,MATCH($B1407,[3]AGM!$AD$21:$AD$928,0),1),"NA")</f>
        <v>OS</v>
      </c>
      <c r="F1407" s="20" t="str">
        <f t="shared" si="66"/>
        <v>Block 26</v>
      </c>
      <c r="G1407" s="20" t="str">
        <f t="shared" si="65"/>
        <v>Lot 24</v>
      </c>
      <c r="H1407" s="20">
        <f>IFERROR(INDEX('[2]PRICELIST, 908u'!$G$7:$AX$914,MATCH($B1407,'[2]PRICELIST, 908u'!$G$7:$G$914,0),23),"NA")</f>
        <v>50</v>
      </c>
      <c r="I1407" s="20">
        <f>IFERROR(INDEX('[2]PRICELIST, 908u'!$G$7:$AX$914,MATCH($B1407,'[2]PRICELIST, 908u'!$G$7:$G$914,0),22),"NA")</f>
        <v>81</v>
      </c>
      <c r="J1407" s="20" t="s">
        <v>207</v>
      </c>
      <c r="K1407" s="20" t="str">
        <f>IFERROR(INDEX('[2]PRICELIST, 908u'!$G$7:$AX$914,MATCH($B1407,'[2]PRICELIST, 908u'!$G$7:$G$914,0),30),"NA")</f>
        <v>Flat / YELLOW</v>
      </c>
      <c r="L1407" s="20">
        <f>IFERROR(INDEX('[2]PRICELIST, 908u'!$G$7:$AX$914,MATCH($B1407,'[2]PRICELIST, 908u'!$G$7:$G$914,0),40),"NA")</f>
        <v>2815000</v>
      </c>
      <c r="M1407" s="20">
        <f>IFERROR(INDEX('[2]PRICELIST, 908u'!$G$7:$AX$914,MATCH($B1407,'[2]PRICELIST, 908u'!$G$7:$G$914,0),41),"NA")</f>
        <v>100000</v>
      </c>
      <c r="N1407" s="58">
        <f t="shared" si="68"/>
        <v>2715000</v>
      </c>
      <c r="O1407" s="60"/>
      <c r="P1407" s="60">
        <f t="shared" si="67"/>
        <v>2715000</v>
      </c>
    </row>
    <row r="1408" spans="2:16">
      <c r="B1408" s="20" t="s">
        <v>1559</v>
      </c>
      <c r="C1408" s="20" t="s">
        <v>2</v>
      </c>
      <c r="D1408" s="20" t="str">
        <f>IFERROR(INDEX('[2]PRICELIST, 908u'!$G$7:$AX$914,MATCH($B1408,'[2]PRICELIST, 908u'!$G$7:$G$914,0),18),"NA")</f>
        <v>2025 - Batch 1</v>
      </c>
      <c r="E1408" s="20" t="str">
        <f>IFERROR(INDEX([3]AGM!$D$21:$BL$928,MATCH($B1408,[3]AGM!$AD$21:$AD$928,0),1),"NA")</f>
        <v>OS</v>
      </c>
      <c r="F1408" s="20" t="str">
        <f t="shared" si="66"/>
        <v>Block 26</v>
      </c>
      <c r="G1408" s="20" t="str">
        <f t="shared" si="65"/>
        <v>Lot 25</v>
      </c>
      <c r="H1408" s="20">
        <f>IFERROR(INDEX('[2]PRICELIST, 908u'!$G$7:$AX$914,MATCH($B1408,'[2]PRICELIST, 908u'!$G$7:$G$914,0),23),"NA")</f>
        <v>50</v>
      </c>
      <c r="I1408" s="20">
        <f>IFERROR(INDEX('[2]PRICELIST, 908u'!$G$7:$AX$914,MATCH($B1408,'[2]PRICELIST, 908u'!$G$7:$G$914,0),22),"NA")</f>
        <v>81</v>
      </c>
      <c r="J1408" s="20" t="s">
        <v>207</v>
      </c>
      <c r="K1408" s="20" t="str">
        <f>IFERROR(INDEX('[2]PRICELIST, 908u'!$G$7:$AX$914,MATCH($B1408,'[2]PRICELIST, 908u'!$G$7:$G$914,0),30),"NA")</f>
        <v>Slant / GREEN</v>
      </c>
      <c r="L1408" s="20">
        <f>IFERROR(INDEX('[2]PRICELIST, 908u'!$G$7:$AX$914,MATCH($B1408,'[2]PRICELIST, 908u'!$G$7:$G$914,0),40),"NA")</f>
        <v>2815000</v>
      </c>
      <c r="M1408" s="20">
        <f>IFERROR(INDEX('[2]PRICELIST, 908u'!$G$7:$AX$914,MATCH($B1408,'[2]PRICELIST, 908u'!$G$7:$G$914,0),41),"NA")</f>
        <v>100000</v>
      </c>
      <c r="N1408" s="58">
        <f t="shared" si="68"/>
        <v>2715000</v>
      </c>
      <c r="O1408" s="60"/>
      <c r="P1408" s="60">
        <f t="shared" si="67"/>
        <v>2715000</v>
      </c>
    </row>
    <row r="1409" spans="2:16">
      <c r="B1409" s="20" t="s">
        <v>1560</v>
      </c>
      <c r="C1409" s="20" t="s">
        <v>2</v>
      </c>
      <c r="D1409" s="20" t="str">
        <f>IFERROR(INDEX('[2]PRICELIST, 908u'!$G$7:$AX$914,MATCH($B1409,'[2]PRICELIST, 908u'!$G$7:$G$914,0),18),"NA")</f>
        <v>2025 - Batch 1</v>
      </c>
      <c r="E1409" s="20" t="str">
        <f>IFERROR(INDEX([3]AGM!$D$21:$BL$928,MATCH($B1409,[3]AGM!$AD$21:$AD$928,0),1),"NA")</f>
        <v>OS</v>
      </c>
      <c r="F1409" s="20" t="str">
        <f t="shared" si="66"/>
        <v>Block 26</v>
      </c>
      <c r="G1409" s="20" t="str">
        <f t="shared" si="65"/>
        <v>Lot 26</v>
      </c>
      <c r="H1409" s="20">
        <f>IFERROR(INDEX('[2]PRICELIST, 908u'!$G$7:$AX$914,MATCH($B1409,'[2]PRICELIST, 908u'!$G$7:$G$914,0),23),"NA")</f>
        <v>50</v>
      </c>
      <c r="I1409" s="20">
        <f>IFERROR(INDEX('[2]PRICELIST, 908u'!$G$7:$AX$914,MATCH($B1409,'[2]PRICELIST, 908u'!$G$7:$G$914,0),22),"NA")</f>
        <v>70</v>
      </c>
      <c r="J1409" s="20" t="s">
        <v>207</v>
      </c>
      <c r="K1409" s="20" t="str">
        <f>IFERROR(INDEX('[2]PRICELIST, 908u'!$G$7:$AX$914,MATCH($B1409,'[2]PRICELIST, 908u'!$G$7:$G$914,0),30),"NA")</f>
        <v>Flat / GREEN</v>
      </c>
      <c r="L1409" s="20">
        <f>IFERROR(INDEX('[2]PRICELIST, 908u'!$G$7:$AX$914,MATCH($B1409,'[2]PRICELIST, 908u'!$G$7:$G$914,0),40),"NA")</f>
        <v>2650000</v>
      </c>
      <c r="M1409" s="20">
        <f>IFERROR(INDEX('[2]PRICELIST, 908u'!$G$7:$AX$914,MATCH($B1409,'[2]PRICELIST, 908u'!$G$7:$G$914,0),41),"NA")</f>
        <v>100000</v>
      </c>
      <c r="N1409" s="58">
        <f t="shared" si="68"/>
        <v>2550000</v>
      </c>
      <c r="O1409" s="60"/>
      <c r="P1409" s="60">
        <f t="shared" si="67"/>
        <v>2550000</v>
      </c>
    </row>
    <row r="1410" spans="2:16">
      <c r="B1410" s="20" t="s">
        <v>1561</v>
      </c>
      <c r="C1410" s="20" t="s">
        <v>2</v>
      </c>
      <c r="D1410" s="20" t="str">
        <f>IFERROR(INDEX('[2]PRICELIST, 908u'!$G$7:$AX$914,MATCH($B1410,'[2]PRICELIST, 908u'!$G$7:$G$914,0),18),"NA")</f>
        <v>2025 - Batch 1</v>
      </c>
      <c r="E1410" s="20" t="str">
        <f>IFERROR(INDEX([3]AGM!$D$21:$BL$928,MATCH($B1410,[3]AGM!$AD$21:$AD$928,0),1),"NA")</f>
        <v>OS</v>
      </c>
      <c r="F1410" s="20" t="str">
        <f t="shared" si="66"/>
        <v>Block 26</v>
      </c>
      <c r="G1410" s="20" t="str">
        <f t="shared" si="65"/>
        <v>Lot 27</v>
      </c>
      <c r="H1410" s="20">
        <f>IFERROR(INDEX('[2]PRICELIST, 908u'!$G$7:$AX$914,MATCH($B1410,'[2]PRICELIST, 908u'!$G$7:$G$914,0),23),"NA")</f>
        <v>50</v>
      </c>
      <c r="I1410" s="20">
        <f>IFERROR(INDEX('[2]PRICELIST, 908u'!$G$7:$AX$914,MATCH($B1410,'[2]PRICELIST, 908u'!$G$7:$G$914,0),22),"NA")</f>
        <v>70</v>
      </c>
      <c r="J1410" s="20" t="s">
        <v>207</v>
      </c>
      <c r="K1410" s="20" t="str">
        <f>IFERROR(INDEX('[2]PRICELIST, 908u'!$G$7:$AX$914,MATCH($B1410,'[2]PRICELIST, 908u'!$G$7:$G$914,0),30),"NA")</f>
        <v>Flat / GREEN</v>
      </c>
      <c r="L1410" s="20">
        <f>IFERROR(INDEX('[2]PRICELIST, 908u'!$G$7:$AX$914,MATCH($B1410,'[2]PRICELIST, 908u'!$G$7:$G$914,0),40),"NA")</f>
        <v>2650000</v>
      </c>
      <c r="M1410" s="20">
        <f>IFERROR(INDEX('[2]PRICELIST, 908u'!$G$7:$AX$914,MATCH($B1410,'[2]PRICELIST, 908u'!$G$7:$G$914,0),41),"NA")</f>
        <v>100000</v>
      </c>
      <c r="N1410" s="58">
        <f t="shared" si="68"/>
        <v>2550000</v>
      </c>
      <c r="O1410" s="60"/>
      <c r="P1410" s="60">
        <f t="shared" si="67"/>
        <v>2550000</v>
      </c>
    </row>
    <row r="1411" spans="2:16">
      <c r="B1411" s="20" t="s">
        <v>1562</v>
      </c>
      <c r="C1411" s="20" t="s">
        <v>2</v>
      </c>
      <c r="D1411" s="20" t="str">
        <f>IFERROR(INDEX('[2]PRICELIST, 908u'!$G$7:$AX$914,MATCH($B1411,'[2]PRICELIST, 908u'!$G$7:$G$914,0),18),"NA")</f>
        <v>2025 - Batch 1</v>
      </c>
      <c r="E1411" s="20" t="str">
        <f>IFERROR(INDEX([3]AGM!$D$21:$BL$928,MATCH($B1411,[3]AGM!$AD$21:$AD$928,0),1),"NA")</f>
        <v>OS</v>
      </c>
      <c r="F1411" s="20" t="str">
        <f t="shared" si="66"/>
        <v>Block 26</v>
      </c>
      <c r="G1411" s="20" t="str">
        <f t="shared" si="65"/>
        <v>Lot 28</v>
      </c>
      <c r="H1411" s="20">
        <f>IFERROR(INDEX('[2]PRICELIST, 908u'!$G$7:$AX$914,MATCH($B1411,'[2]PRICELIST, 908u'!$G$7:$G$914,0),23),"NA")</f>
        <v>50</v>
      </c>
      <c r="I1411" s="20">
        <f>IFERROR(INDEX('[2]PRICELIST, 908u'!$G$7:$AX$914,MATCH($B1411,'[2]PRICELIST, 908u'!$G$7:$G$914,0),22),"NA")</f>
        <v>70</v>
      </c>
      <c r="J1411" s="20" t="s">
        <v>207</v>
      </c>
      <c r="K1411" s="20" t="str">
        <f>IFERROR(INDEX('[2]PRICELIST, 908u'!$G$7:$AX$914,MATCH($B1411,'[2]PRICELIST, 908u'!$G$7:$G$914,0),30),"NA")</f>
        <v>Slant / GREEN</v>
      </c>
      <c r="L1411" s="20">
        <f>IFERROR(INDEX('[2]PRICELIST, 908u'!$G$7:$AX$914,MATCH($B1411,'[2]PRICELIST, 908u'!$G$7:$G$914,0),40),"NA")</f>
        <v>2650000</v>
      </c>
      <c r="M1411" s="20">
        <f>IFERROR(INDEX('[2]PRICELIST, 908u'!$G$7:$AX$914,MATCH($B1411,'[2]PRICELIST, 908u'!$G$7:$G$914,0),41),"NA")</f>
        <v>100000</v>
      </c>
      <c r="N1411" s="58">
        <f t="shared" si="68"/>
        <v>2550000</v>
      </c>
      <c r="O1411" s="60"/>
      <c r="P1411" s="60">
        <f t="shared" si="67"/>
        <v>2550000</v>
      </c>
    </row>
    <row r="1412" spans="2:16">
      <c r="B1412" s="20" t="s">
        <v>1563</v>
      </c>
      <c r="C1412" s="20" t="s">
        <v>2</v>
      </c>
      <c r="D1412" s="20" t="str">
        <f>IFERROR(INDEX('[2]PRICELIST, 908u'!$G$7:$AX$914,MATCH($B1412,'[2]PRICELIST, 908u'!$G$7:$G$914,0),18),"NA")</f>
        <v>2025 - Batch 1</v>
      </c>
      <c r="E1412" s="20" t="str">
        <f>IFERROR(INDEX([3]AGM!$D$21:$BL$928,MATCH($B1412,[3]AGM!$AD$21:$AD$928,0),1),"NA")</f>
        <v>OS</v>
      </c>
      <c r="F1412" s="20" t="str">
        <f t="shared" si="66"/>
        <v>Block 26</v>
      </c>
      <c r="G1412" s="20" t="str">
        <f t="shared" si="65"/>
        <v>Lot 29</v>
      </c>
      <c r="H1412" s="20">
        <f>IFERROR(INDEX('[2]PRICELIST, 908u'!$G$7:$AX$914,MATCH($B1412,'[2]PRICELIST, 908u'!$G$7:$G$914,0),23),"NA")</f>
        <v>50</v>
      </c>
      <c r="I1412" s="20">
        <f>IFERROR(INDEX('[2]PRICELIST, 908u'!$G$7:$AX$914,MATCH($B1412,'[2]PRICELIST, 908u'!$G$7:$G$914,0),22),"NA")</f>
        <v>70</v>
      </c>
      <c r="J1412" s="20" t="s">
        <v>207</v>
      </c>
      <c r="K1412" s="20" t="str">
        <f>IFERROR(INDEX('[2]PRICELIST, 908u'!$G$7:$AX$914,MATCH($B1412,'[2]PRICELIST, 908u'!$G$7:$G$914,0),30),"NA")</f>
        <v>Slant / YELLOW</v>
      </c>
      <c r="L1412" s="20">
        <f>IFERROR(INDEX('[2]PRICELIST, 908u'!$G$7:$AX$914,MATCH($B1412,'[2]PRICELIST, 908u'!$G$7:$G$914,0),40),"NA")</f>
        <v>2650000</v>
      </c>
      <c r="M1412" s="20">
        <f>IFERROR(INDEX('[2]PRICELIST, 908u'!$G$7:$AX$914,MATCH($B1412,'[2]PRICELIST, 908u'!$G$7:$G$914,0),41),"NA")</f>
        <v>100000</v>
      </c>
      <c r="N1412" s="58">
        <f t="shared" si="68"/>
        <v>2550000</v>
      </c>
      <c r="O1412" s="60"/>
      <c r="P1412" s="60">
        <f t="shared" si="67"/>
        <v>2550000</v>
      </c>
    </row>
    <row r="1413" spans="2:16">
      <c r="B1413" s="20" t="s">
        <v>1564</v>
      </c>
      <c r="C1413" s="20" t="s">
        <v>2</v>
      </c>
      <c r="D1413" s="20" t="str">
        <f>IFERROR(INDEX('[2]PRICELIST, 908u'!$G$7:$AX$914,MATCH($B1413,'[2]PRICELIST, 908u'!$G$7:$G$914,0),18),"NA")</f>
        <v>2025 - Batch 1</v>
      </c>
      <c r="E1413" s="20" t="str">
        <f>IFERROR(INDEX([3]AGM!$D$21:$BL$928,MATCH($B1413,[3]AGM!$AD$21:$AD$928,0),1),"NA")</f>
        <v>OS</v>
      </c>
      <c r="F1413" s="20" t="str">
        <f t="shared" si="66"/>
        <v>Block 26</v>
      </c>
      <c r="G1413" s="20" t="str">
        <f t="shared" si="65"/>
        <v>Lot 30</v>
      </c>
      <c r="H1413" s="20">
        <f>IFERROR(INDEX('[2]PRICELIST, 908u'!$G$7:$AX$914,MATCH($B1413,'[2]PRICELIST, 908u'!$G$7:$G$914,0),23),"NA")</f>
        <v>50</v>
      </c>
      <c r="I1413" s="20">
        <f>IFERROR(INDEX('[2]PRICELIST, 908u'!$G$7:$AX$914,MATCH($B1413,'[2]PRICELIST, 908u'!$G$7:$G$914,0),22),"NA")</f>
        <v>70</v>
      </c>
      <c r="J1413" s="20" t="s">
        <v>207</v>
      </c>
      <c r="K1413" s="20" t="str">
        <f>IFERROR(INDEX('[2]PRICELIST, 908u'!$G$7:$AX$914,MATCH($B1413,'[2]PRICELIST, 908u'!$G$7:$G$914,0),30),"NA")</f>
        <v>Flat / YELLOW</v>
      </c>
      <c r="L1413" s="20">
        <f>IFERROR(INDEX('[2]PRICELIST, 908u'!$G$7:$AX$914,MATCH($B1413,'[2]PRICELIST, 908u'!$G$7:$G$914,0),40),"NA")</f>
        <v>2650000</v>
      </c>
      <c r="M1413" s="20">
        <f>IFERROR(INDEX('[2]PRICELIST, 908u'!$G$7:$AX$914,MATCH($B1413,'[2]PRICELIST, 908u'!$G$7:$G$914,0),41),"NA")</f>
        <v>100000</v>
      </c>
      <c r="N1413" s="58">
        <f t="shared" si="68"/>
        <v>2550000</v>
      </c>
      <c r="O1413" s="60"/>
      <c r="P1413" s="60">
        <f t="shared" si="67"/>
        <v>2550000</v>
      </c>
    </row>
    <row r="1414" spans="2:16">
      <c r="B1414" s="20" t="s">
        <v>1565</v>
      </c>
      <c r="C1414" s="20" t="s">
        <v>2</v>
      </c>
      <c r="D1414" s="20" t="str">
        <f>IFERROR(INDEX('[2]PRICELIST, 908u'!$G$7:$AX$914,MATCH($B1414,'[2]PRICELIST, 908u'!$G$7:$G$914,0),18),"NA")</f>
        <v>2025 - Batch 1</v>
      </c>
      <c r="E1414" s="20" t="str">
        <f>IFERROR(INDEX([3]AGM!$D$21:$BL$928,MATCH($B1414,[3]AGM!$AD$21:$AD$928,0),1),"NA")</f>
        <v>OS</v>
      </c>
      <c r="F1414" s="20" t="str">
        <f t="shared" si="66"/>
        <v>Block 26</v>
      </c>
      <c r="G1414" s="20" t="str">
        <f t="shared" si="65"/>
        <v>Lot 31</v>
      </c>
      <c r="H1414" s="20">
        <f>IFERROR(INDEX('[2]PRICELIST, 908u'!$G$7:$AX$914,MATCH($B1414,'[2]PRICELIST, 908u'!$G$7:$G$914,0),23),"NA")</f>
        <v>50</v>
      </c>
      <c r="I1414" s="20">
        <f>IFERROR(INDEX('[2]PRICELIST, 908u'!$G$7:$AX$914,MATCH($B1414,'[2]PRICELIST, 908u'!$G$7:$G$914,0),22),"NA")</f>
        <v>70</v>
      </c>
      <c r="J1414" s="20" t="s">
        <v>207</v>
      </c>
      <c r="K1414" s="20" t="str">
        <f>IFERROR(INDEX('[2]PRICELIST, 908u'!$G$7:$AX$914,MATCH($B1414,'[2]PRICELIST, 908u'!$G$7:$G$914,0),30),"NA")</f>
        <v>Flat / YELLOW</v>
      </c>
      <c r="L1414" s="20">
        <f>IFERROR(INDEX('[2]PRICELIST, 908u'!$G$7:$AX$914,MATCH($B1414,'[2]PRICELIST, 908u'!$G$7:$G$914,0),40),"NA")</f>
        <v>2650000</v>
      </c>
      <c r="M1414" s="20">
        <f>IFERROR(INDEX('[2]PRICELIST, 908u'!$G$7:$AX$914,MATCH($B1414,'[2]PRICELIST, 908u'!$G$7:$G$914,0),41),"NA")</f>
        <v>100000</v>
      </c>
      <c r="N1414" s="58">
        <f t="shared" si="68"/>
        <v>2550000</v>
      </c>
      <c r="O1414" s="60"/>
      <c r="P1414" s="60">
        <f t="shared" si="67"/>
        <v>2550000</v>
      </c>
    </row>
    <row r="1415" spans="2:16">
      <c r="B1415" s="20" t="s">
        <v>1566</v>
      </c>
      <c r="C1415" s="20" t="s">
        <v>2</v>
      </c>
      <c r="D1415" s="20" t="str">
        <f>IFERROR(INDEX('[2]PRICELIST, 908u'!$G$7:$AX$914,MATCH($B1415,'[2]PRICELIST, 908u'!$G$7:$G$914,0),18),"NA")</f>
        <v>2025 - Batch 1</v>
      </c>
      <c r="E1415" s="20" t="str">
        <f>IFERROR(INDEX([3]AGM!$D$21:$BL$928,MATCH($B1415,[3]AGM!$AD$21:$AD$928,0),1),"NA")</f>
        <v>OS</v>
      </c>
      <c r="F1415" s="20" t="str">
        <f t="shared" si="66"/>
        <v>Block 26</v>
      </c>
      <c r="G1415" s="20" t="str">
        <f t="shared" si="65"/>
        <v>Lot 32</v>
      </c>
      <c r="H1415" s="20">
        <f>IFERROR(INDEX('[2]PRICELIST, 908u'!$G$7:$AX$914,MATCH($B1415,'[2]PRICELIST, 908u'!$G$7:$G$914,0),23),"NA")</f>
        <v>50</v>
      </c>
      <c r="I1415" s="20">
        <f>IFERROR(INDEX('[2]PRICELIST, 908u'!$G$7:$AX$914,MATCH($B1415,'[2]PRICELIST, 908u'!$G$7:$G$914,0),22),"NA")</f>
        <v>70</v>
      </c>
      <c r="J1415" s="20" t="s">
        <v>207</v>
      </c>
      <c r="K1415" s="20" t="str">
        <f>IFERROR(INDEX('[2]PRICELIST, 908u'!$G$7:$AX$914,MATCH($B1415,'[2]PRICELIST, 908u'!$G$7:$G$914,0),30),"NA")</f>
        <v>Slant / YELLOW</v>
      </c>
      <c r="L1415" s="20">
        <f>IFERROR(INDEX('[2]PRICELIST, 908u'!$G$7:$AX$914,MATCH($B1415,'[2]PRICELIST, 908u'!$G$7:$G$914,0),40),"NA")</f>
        <v>2650000</v>
      </c>
      <c r="M1415" s="20">
        <f>IFERROR(INDEX('[2]PRICELIST, 908u'!$G$7:$AX$914,MATCH($B1415,'[2]PRICELIST, 908u'!$G$7:$G$914,0),41),"NA")</f>
        <v>100000</v>
      </c>
      <c r="N1415" s="58">
        <f t="shared" si="68"/>
        <v>2550000</v>
      </c>
      <c r="O1415" s="60"/>
      <c r="P1415" s="60">
        <f t="shared" si="67"/>
        <v>2550000</v>
      </c>
    </row>
    <row r="1416" spans="2:16">
      <c r="B1416" s="20" t="s">
        <v>1567</v>
      </c>
      <c r="C1416" s="20" t="s">
        <v>2</v>
      </c>
      <c r="D1416" s="20" t="str">
        <f>IFERROR(INDEX('[2]PRICELIST, 908u'!$G$7:$AX$914,MATCH($B1416,'[2]PRICELIST, 908u'!$G$7:$G$914,0),18),"NA")</f>
        <v>2025 - Batch 1</v>
      </c>
      <c r="E1416" s="20" t="str">
        <f>IFERROR(INDEX([3]AGM!$D$21:$BL$928,MATCH($B1416,[3]AGM!$AD$21:$AD$928,0),1),"NA")</f>
        <v>OS</v>
      </c>
      <c r="F1416" s="20" t="str">
        <f t="shared" si="66"/>
        <v>Block 26</v>
      </c>
      <c r="G1416" s="20" t="str">
        <f t="shared" si="65"/>
        <v>Lot 33</v>
      </c>
      <c r="H1416" s="20">
        <f>IFERROR(INDEX('[2]PRICELIST, 908u'!$G$7:$AX$914,MATCH($B1416,'[2]PRICELIST, 908u'!$G$7:$G$914,0),23),"NA")</f>
        <v>50</v>
      </c>
      <c r="I1416" s="20">
        <f>IFERROR(INDEX('[2]PRICELIST, 908u'!$G$7:$AX$914,MATCH($B1416,'[2]PRICELIST, 908u'!$G$7:$G$914,0),22),"NA")</f>
        <v>70</v>
      </c>
      <c r="J1416" s="20" t="s">
        <v>207</v>
      </c>
      <c r="K1416" s="20" t="str">
        <f>IFERROR(INDEX('[2]PRICELIST, 908u'!$G$7:$AX$914,MATCH($B1416,'[2]PRICELIST, 908u'!$G$7:$G$914,0),30),"NA")</f>
        <v>Slant / PINK</v>
      </c>
      <c r="L1416" s="20">
        <f>IFERROR(INDEX('[2]PRICELIST, 908u'!$G$7:$AX$914,MATCH($B1416,'[2]PRICELIST, 908u'!$G$7:$G$914,0),40),"NA")</f>
        <v>2650000</v>
      </c>
      <c r="M1416" s="20">
        <f>IFERROR(INDEX('[2]PRICELIST, 908u'!$G$7:$AX$914,MATCH($B1416,'[2]PRICELIST, 908u'!$G$7:$G$914,0),41),"NA")</f>
        <v>100000</v>
      </c>
      <c r="N1416" s="58">
        <f t="shared" si="68"/>
        <v>2550000</v>
      </c>
      <c r="O1416" s="60"/>
      <c r="P1416" s="60">
        <f t="shared" si="67"/>
        <v>2550000</v>
      </c>
    </row>
    <row r="1417" spans="2:16">
      <c r="B1417" s="20" t="s">
        <v>1568</v>
      </c>
      <c r="C1417" s="20" t="s">
        <v>2</v>
      </c>
      <c r="D1417" s="20" t="str">
        <f>IFERROR(INDEX('[2]PRICELIST, 908u'!$G$7:$AX$914,MATCH($B1417,'[2]PRICELIST, 908u'!$G$7:$G$914,0),18),"NA")</f>
        <v>2025 - Batch 1</v>
      </c>
      <c r="E1417" s="20" t="str">
        <f>IFERROR(INDEX([3]AGM!$D$21:$BL$928,MATCH($B1417,[3]AGM!$AD$21:$AD$928,0),1),"NA")</f>
        <v>OS</v>
      </c>
      <c r="F1417" s="20" t="str">
        <f t="shared" si="66"/>
        <v>Block 26</v>
      </c>
      <c r="G1417" s="20" t="str">
        <f t="shared" si="65"/>
        <v>Lot 34</v>
      </c>
      <c r="H1417" s="20">
        <f>IFERROR(INDEX('[2]PRICELIST, 908u'!$G$7:$AX$914,MATCH($B1417,'[2]PRICELIST, 908u'!$G$7:$G$914,0),23),"NA")</f>
        <v>50</v>
      </c>
      <c r="I1417" s="20">
        <f>IFERROR(INDEX('[2]PRICELIST, 908u'!$G$7:$AX$914,MATCH($B1417,'[2]PRICELIST, 908u'!$G$7:$G$914,0),22),"NA")</f>
        <v>70</v>
      </c>
      <c r="J1417" s="20" t="s">
        <v>207</v>
      </c>
      <c r="K1417" s="20" t="str">
        <f>IFERROR(INDEX('[2]PRICELIST, 908u'!$G$7:$AX$914,MATCH($B1417,'[2]PRICELIST, 908u'!$G$7:$G$914,0),30),"NA")</f>
        <v>Flat / PINK</v>
      </c>
      <c r="L1417" s="20">
        <f>IFERROR(INDEX('[2]PRICELIST, 908u'!$G$7:$AX$914,MATCH($B1417,'[2]PRICELIST, 908u'!$G$7:$G$914,0),40),"NA")</f>
        <v>2650000</v>
      </c>
      <c r="M1417" s="20">
        <f>IFERROR(INDEX('[2]PRICELIST, 908u'!$G$7:$AX$914,MATCH($B1417,'[2]PRICELIST, 908u'!$G$7:$G$914,0),41),"NA")</f>
        <v>100000</v>
      </c>
      <c r="N1417" s="58">
        <f t="shared" si="68"/>
        <v>2550000</v>
      </c>
      <c r="O1417" s="60"/>
      <c r="P1417" s="60">
        <f t="shared" si="67"/>
        <v>2550000</v>
      </c>
    </row>
    <row r="1418" spans="2:16">
      <c r="B1418" s="20" t="s">
        <v>1569</v>
      </c>
      <c r="C1418" s="20" t="s">
        <v>2</v>
      </c>
      <c r="D1418" s="20" t="str">
        <f>IFERROR(INDEX('[2]PRICELIST, 908u'!$G$7:$AX$914,MATCH($B1418,'[2]PRICELIST, 908u'!$G$7:$G$914,0),18),"NA")</f>
        <v>2025 - Batch 1</v>
      </c>
      <c r="E1418" s="20" t="str">
        <f>IFERROR(INDEX([3]AGM!$D$21:$BL$928,MATCH($B1418,[3]AGM!$AD$21:$AD$928,0),1),"NA")</f>
        <v>OS</v>
      </c>
      <c r="F1418" s="20" t="str">
        <f t="shared" si="66"/>
        <v>Block 26</v>
      </c>
      <c r="G1418" s="20" t="str">
        <f t="shared" si="65"/>
        <v>Lot 35</v>
      </c>
      <c r="H1418" s="20">
        <f>IFERROR(INDEX('[2]PRICELIST, 908u'!$G$7:$AX$914,MATCH($B1418,'[2]PRICELIST, 908u'!$G$7:$G$914,0),23),"NA")</f>
        <v>50</v>
      </c>
      <c r="I1418" s="20">
        <f>IFERROR(INDEX('[2]PRICELIST, 908u'!$G$7:$AX$914,MATCH($B1418,'[2]PRICELIST, 908u'!$G$7:$G$914,0),22),"NA")</f>
        <v>70</v>
      </c>
      <c r="J1418" s="20" t="s">
        <v>207</v>
      </c>
      <c r="K1418" s="20" t="str">
        <f>IFERROR(INDEX('[2]PRICELIST, 908u'!$G$7:$AX$914,MATCH($B1418,'[2]PRICELIST, 908u'!$G$7:$G$914,0),30),"NA")</f>
        <v>Flat / PINK</v>
      </c>
      <c r="L1418" s="20">
        <f>IFERROR(INDEX('[2]PRICELIST, 908u'!$G$7:$AX$914,MATCH($B1418,'[2]PRICELIST, 908u'!$G$7:$G$914,0),40),"NA")</f>
        <v>2650000</v>
      </c>
      <c r="M1418" s="20">
        <f>IFERROR(INDEX('[2]PRICELIST, 908u'!$G$7:$AX$914,MATCH($B1418,'[2]PRICELIST, 908u'!$G$7:$G$914,0),41),"NA")</f>
        <v>100000</v>
      </c>
      <c r="N1418" s="58">
        <f t="shared" si="68"/>
        <v>2550000</v>
      </c>
      <c r="O1418" s="60"/>
      <c r="P1418" s="60">
        <f t="shared" si="67"/>
        <v>2550000</v>
      </c>
    </row>
    <row r="1419" spans="2:16">
      <c r="B1419" s="20" t="s">
        <v>1570</v>
      </c>
      <c r="C1419" s="20" t="s">
        <v>2</v>
      </c>
      <c r="D1419" s="20" t="str">
        <f>IFERROR(INDEX('[2]PRICELIST, 908u'!$G$7:$AX$914,MATCH($B1419,'[2]PRICELIST, 908u'!$G$7:$G$914,0),18),"NA")</f>
        <v>2025 - Batch 1</v>
      </c>
      <c r="E1419" s="20" t="str">
        <f>IFERROR(INDEX([3]AGM!$D$21:$BL$928,MATCH($B1419,[3]AGM!$AD$21:$AD$928,0),1),"NA")</f>
        <v>OS</v>
      </c>
      <c r="F1419" s="20" t="str">
        <f t="shared" si="66"/>
        <v>Block 26</v>
      </c>
      <c r="G1419" s="20" t="str">
        <f t="shared" si="65"/>
        <v>Lot 36</v>
      </c>
      <c r="H1419" s="20">
        <f>IFERROR(INDEX('[2]PRICELIST, 908u'!$G$7:$AX$914,MATCH($B1419,'[2]PRICELIST, 908u'!$G$7:$G$914,0),23),"NA")</f>
        <v>50</v>
      </c>
      <c r="I1419" s="20">
        <f>IFERROR(INDEX('[2]PRICELIST, 908u'!$G$7:$AX$914,MATCH($B1419,'[2]PRICELIST, 908u'!$G$7:$G$914,0),22),"NA")</f>
        <v>70</v>
      </c>
      <c r="J1419" s="20" t="s">
        <v>207</v>
      </c>
      <c r="K1419" s="20" t="str">
        <f>IFERROR(INDEX('[2]PRICELIST, 908u'!$G$7:$AX$914,MATCH($B1419,'[2]PRICELIST, 908u'!$G$7:$G$914,0),30),"NA")</f>
        <v>Slant / PINK</v>
      </c>
      <c r="L1419" s="20">
        <f>IFERROR(INDEX('[2]PRICELIST, 908u'!$G$7:$AX$914,MATCH($B1419,'[2]PRICELIST, 908u'!$G$7:$G$914,0),40),"NA")</f>
        <v>2650000</v>
      </c>
      <c r="M1419" s="20">
        <f>IFERROR(INDEX('[2]PRICELIST, 908u'!$G$7:$AX$914,MATCH($B1419,'[2]PRICELIST, 908u'!$G$7:$G$914,0),41),"NA")</f>
        <v>100000</v>
      </c>
      <c r="N1419" s="58">
        <f t="shared" si="68"/>
        <v>2550000</v>
      </c>
      <c r="O1419" s="60"/>
      <c r="P1419" s="60">
        <f t="shared" si="67"/>
        <v>2550000</v>
      </c>
    </row>
    <row r="1420" spans="2:16">
      <c r="B1420" s="20" t="s">
        <v>1571</v>
      </c>
      <c r="C1420" s="20" t="s">
        <v>2</v>
      </c>
      <c r="D1420" s="20" t="str">
        <f>IFERROR(INDEX('[2]PRICELIST, 908u'!$G$7:$AX$914,MATCH($B1420,'[2]PRICELIST, 908u'!$G$7:$G$914,0),18),"NA")</f>
        <v>2025 - Batch 1</v>
      </c>
      <c r="E1420" s="20" t="str">
        <f>IFERROR(INDEX([3]AGM!$D$21:$BL$928,MATCH($B1420,[3]AGM!$AD$21:$AD$928,0),1),"NA")</f>
        <v>OS</v>
      </c>
      <c r="F1420" s="20" t="str">
        <f t="shared" si="66"/>
        <v>Block 26</v>
      </c>
      <c r="G1420" s="20" t="str">
        <f t="shared" si="65"/>
        <v>Lot 37</v>
      </c>
      <c r="H1420" s="20">
        <f>IFERROR(INDEX('[2]PRICELIST, 908u'!$G$7:$AX$914,MATCH($B1420,'[2]PRICELIST, 908u'!$G$7:$G$914,0),23),"NA")</f>
        <v>50</v>
      </c>
      <c r="I1420" s="20">
        <f>IFERROR(INDEX('[2]PRICELIST, 908u'!$G$7:$AX$914,MATCH($B1420,'[2]PRICELIST, 908u'!$G$7:$G$914,0),22),"NA")</f>
        <v>70</v>
      </c>
      <c r="J1420" s="20" t="s">
        <v>207</v>
      </c>
      <c r="K1420" s="20" t="str">
        <f>IFERROR(INDEX('[2]PRICELIST, 908u'!$G$7:$AX$914,MATCH($B1420,'[2]PRICELIST, 908u'!$G$7:$G$914,0),30),"NA")</f>
        <v>Slant / PURPLE</v>
      </c>
      <c r="L1420" s="20">
        <f>IFERROR(INDEX('[2]PRICELIST, 908u'!$G$7:$AX$914,MATCH($B1420,'[2]PRICELIST, 908u'!$G$7:$G$914,0),40),"NA")</f>
        <v>2650000</v>
      </c>
      <c r="M1420" s="20">
        <f>IFERROR(INDEX('[2]PRICELIST, 908u'!$G$7:$AX$914,MATCH($B1420,'[2]PRICELIST, 908u'!$G$7:$G$914,0),41),"NA")</f>
        <v>100000</v>
      </c>
      <c r="N1420" s="58">
        <f t="shared" si="68"/>
        <v>2550000</v>
      </c>
      <c r="O1420" s="60"/>
      <c r="P1420" s="60">
        <f t="shared" si="67"/>
        <v>2550000</v>
      </c>
    </row>
    <row r="1421" spans="2:16">
      <c r="B1421" s="20" t="s">
        <v>1572</v>
      </c>
      <c r="C1421" s="20" t="s">
        <v>2</v>
      </c>
      <c r="D1421" s="20" t="str">
        <f>IFERROR(INDEX('[2]PRICELIST, 908u'!$G$7:$AX$914,MATCH($B1421,'[2]PRICELIST, 908u'!$G$7:$G$914,0),18),"NA")</f>
        <v>2025 - Batch 1</v>
      </c>
      <c r="E1421" s="20" t="str">
        <f>IFERROR(INDEX([3]AGM!$D$21:$BL$928,MATCH($B1421,[3]AGM!$AD$21:$AD$928,0),1),"NA")</f>
        <v>OS</v>
      </c>
      <c r="F1421" s="20" t="str">
        <f t="shared" si="66"/>
        <v>Block 26</v>
      </c>
      <c r="G1421" s="20" t="str">
        <f t="shared" si="65"/>
        <v>Lot 38</v>
      </c>
      <c r="H1421" s="20">
        <f>IFERROR(INDEX('[2]PRICELIST, 908u'!$G$7:$AX$914,MATCH($B1421,'[2]PRICELIST, 908u'!$G$7:$G$914,0),23),"NA")</f>
        <v>50</v>
      </c>
      <c r="I1421" s="20">
        <f>IFERROR(INDEX('[2]PRICELIST, 908u'!$G$7:$AX$914,MATCH($B1421,'[2]PRICELIST, 908u'!$G$7:$G$914,0),22),"NA")</f>
        <v>70</v>
      </c>
      <c r="J1421" s="20" t="s">
        <v>207</v>
      </c>
      <c r="K1421" s="20" t="str">
        <f>IFERROR(INDEX('[2]PRICELIST, 908u'!$G$7:$AX$914,MATCH($B1421,'[2]PRICELIST, 908u'!$G$7:$G$914,0),30),"NA")</f>
        <v>Flat / PURPLE</v>
      </c>
      <c r="L1421" s="20">
        <f>IFERROR(INDEX('[2]PRICELIST, 908u'!$G$7:$AX$914,MATCH($B1421,'[2]PRICELIST, 908u'!$G$7:$G$914,0),40),"NA")</f>
        <v>2650000</v>
      </c>
      <c r="M1421" s="20">
        <f>IFERROR(INDEX('[2]PRICELIST, 908u'!$G$7:$AX$914,MATCH($B1421,'[2]PRICELIST, 908u'!$G$7:$G$914,0),41),"NA")</f>
        <v>100000</v>
      </c>
      <c r="N1421" s="58">
        <f t="shared" si="68"/>
        <v>2550000</v>
      </c>
      <c r="O1421" s="60"/>
      <c r="P1421" s="60">
        <f t="shared" si="67"/>
        <v>2550000</v>
      </c>
    </row>
    <row r="1422" spans="2:16">
      <c r="B1422" s="20" t="s">
        <v>1573</v>
      </c>
      <c r="C1422" s="20" t="s">
        <v>2</v>
      </c>
      <c r="D1422" s="20" t="str">
        <f>IFERROR(INDEX('[2]PRICELIST, 908u'!$G$7:$AX$914,MATCH($B1422,'[2]PRICELIST, 908u'!$G$7:$G$914,0),18),"NA")</f>
        <v>2025 - Batch 2</v>
      </c>
      <c r="E1422" s="20" t="str">
        <f>IFERROR(INDEX([3]AGM!$D$21:$BL$928,MATCH($B1422,[3]AGM!$AD$21:$AD$928,0),1),"NA")</f>
        <v>OS</v>
      </c>
      <c r="F1422" s="20" t="str">
        <f t="shared" si="66"/>
        <v>Block 26</v>
      </c>
      <c r="G1422" s="20" t="str">
        <f t="shared" si="65"/>
        <v>Lot 39</v>
      </c>
      <c r="H1422" s="20">
        <f>IFERROR(INDEX('[2]PRICELIST, 908u'!$G$7:$AX$914,MATCH($B1422,'[2]PRICELIST, 908u'!$G$7:$G$914,0),23),"NA")</f>
        <v>50</v>
      </c>
      <c r="I1422" s="20">
        <f>IFERROR(INDEX('[2]PRICELIST, 908u'!$G$7:$AX$914,MATCH($B1422,'[2]PRICELIST, 908u'!$G$7:$G$914,0),22),"NA")</f>
        <v>70</v>
      </c>
      <c r="J1422" s="20" t="s">
        <v>207</v>
      </c>
      <c r="K1422" s="20" t="str">
        <f>IFERROR(INDEX('[2]PRICELIST, 908u'!$G$7:$AX$914,MATCH($B1422,'[2]PRICELIST, 908u'!$G$7:$G$914,0),30),"NA")</f>
        <v>Flat / PURPLE</v>
      </c>
      <c r="L1422" s="20">
        <f>IFERROR(INDEX('[2]PRICELIST, 908u'!$G$7:$AX$914,MATCH($B1422,'[2]PRICELIST, 908u'!$G$7:$G$914,0),40),"NA")</f>
        <v>2650000</v>
      </c>
      <c r="M1422" s="20">
        <f>IFERROR(INDEX('[2]PRICELIST, 908u'!$G$7:$AX$914,MATCH($B1422,'[2]PRICELIST, 908u'!$G$7:$G$914,0),41),"NA")</f>
        <v>100000</v>
      </c>
      <c r="N1422" s="58">
        <f t="shared" si="68"/>
        <v>2550000</v>
      </c>
      <c r="O1422" s="60"/>
      <c r="P1422" s="60">
        <f t="shared" si="67"/>
        <v>2550000</v>
      </c>
    </row>
    <row r="1423" spans="2:16">
      <c r="B1423" s="20" t="s">
        <v>1574</v>
      </c>
      <c r="C1423" s="20" t="s">
        <v>2</v>
      </c>
      <c r="D1423" s="20" t="str">
        <f>IFERROR(INDEX('[2]PRICELIST, 908u'!$G$7:$AX$914,MATCH($B1423,'[2]PRICELIST, 908u'!$G$7:$G$914,0),18),"NA")</f>
        <v>2025 - Batch 2</v>
      </c>
      <c r="E1423" s="20" t="str">
        <f>IFERROR(INDEX([3]AGM!$D$21:$BL$928,MATCH($B1423,[3]AGM!$AD$21:$AD$928,0),1),"NA")</f>
        <v>OS</v>
      </c>
      <c r="F1423" s="20" t="str">
        <f t="shared" si="66"/>
        <v>Block 26</v>
      </c>
      <c r="G1423" s="20" t="str">
        <f t="shared" si="65"/>
        <v>Lot 40</v>
      </c>
      <c r="H1423" s="20">
        <f>IFERROR(INDEX('[2]PRICELIST, 908u'!$G$7:$AX$914,MATCH($B1423,'[2]PRICELIST, 908u'!$G$7:$G$914,0),23),"NA")</f>
        <v>50</v>
      </c>
      <c r="I1423" s="20">
        <f>IFERROR(INDEX('[2]PRICELIST, 908u'!$G$7:$AX$914,MATCH($B1423,'[2]PRICELIST, 908u'!$G$7:$G$914,0),22),"NA")</f>
        <v>70</v>
      </c>
      <c r="J1423" s="20" t="s">
        <v>207</v>
      </c>
      <c r="K1423" s="20" t="str">
        <f>IFERROR(INDEX('[2]PRICELIST, 908u'!$G$7:$AX$914,MATCH($B1423,'[2]PRICELIST, 908u'!$G$7:$G$914,0),30),"NA")</f>
        <v>Slant / PURPLE</v>
      </c>
      <c r="L1423" s="20">
        <f>IFERROR(INDEX('[2]PRICELIST, 908u'!$G$7:$AX$914,MATCH($B1423,'[2]PRICELIST, 908u'!$G$7:$G$914,0),40),"NA")</f>
        <v>2650000</v>
      </c>
      <c r="M1423" s="20">
        <f>IFERROR(INDEX('[2]PRICELIST, 908u'!$G$7:$AX$914,MATCH($B1423,'[2]PRICELIST, 908u'!$G$7:$G$914,0),41),"NA")</f>
        <v>100000</v>
      </c>
      <c r="N1423" s="58">
        <f t="shared" si="68"/>
        <v>2550000</v>
      </c>
      <c r="O1423" s="60"/>
      <c r="P1423" s="60">
        <f t="shared" si="67"/>
        <v>2550000</v>
      </c>
    </row>
    <row r="1424" spans="2:16">
      <c r="B1424" s="20" t="s">
        <v>1575</v>
      </c>
      <c r="C1424" s="20" t="s">
        <v>2</v>
      </c>
      <c r="D1424" s="20" t="str">
        <f>IFERROR(INDEX('[2]PRICELIST, 908u'!$G$7:$AX$914,MATCH($B1424,'[2]PRICELIST, 908u'!$G$7:$G$914,0),18),"NA")</f>
        <v>2025 - Batch 2</v>
      </c>
      <c r="E1424" s="20" t="str">
        <f>IFERROR(INDEX([3]AGM!$D$21:$BL$928,MATCH($B1424,[3]AGM!$AD$21:$AD$928,0),1),"NA")</f>
        <v>OS</v>
      </c>
      <c r="F1424" s="20" t="str">
        <f t="shared" si="66"/>
        <v>Block 26</v>
      </c>
      <c r="G1424" s="20" t="str">
        <f t="shared" si="65"/>
        <v>Lot 41</v>
      </c>
      <c r="H1424" s="20">
        <f>IFERROR(INDEX('[2]PRICELIST, 908u'!$G$7:$AX$914,MATCH($B1424,'[2]PRICELIST, 908u'!$G$7:$G$914,0),23),"NA")</f>
        <v>50</v>
      </c>
      <c r="I1424" s="20">
        <f>IFERROR(INDEX('[2]PRICELIST, 908u'!$G$7:$AX$914,MATCH($B1424,'[2]PRICELIST, 908u'!$G$7:$G$914,0),22),"NA")</f>
        <v>70</v>
      </c>
      <c r="J1424" s="20" t="s">
        <v>207</v>
      </c>
      <c r="K1424" s="20" t="str">
        <f>IFERROR(INDEX('[2]PRICELIST, 908u'!$G$7:$AX$914,MATCH($B1424,'[2]PRICELIST, 908u'!$G$7:$G$914,0),30),"NA")</f>
        <v>Slant / GREEN</v>
      </c>
      <c r="L1424" s="20">
        <f>IFERROR(INDEX('[2]PRICELIST, 908u'!$G$7:$AX$914,MATCH($B1424,'[2]PRICELIST, 908u'!$G$7:$G$914,0),40),"NA")</f>
        <v>2650000</v>
      </c>
      <c r="M1424" s="20">
        <f>IFERROR(INDEX('[2]PRICELIST, 908u'!$G$7:$AX$914,MATCH($B1424,'[2]PRICELIST, 908u'!$G$7:$G$914,0),41),"NA")</f>
        <v>100000</v>
      </c>
      <c r="N1424" s="58">
        <f t="shared" si="68"/>
        <v>2550000</v>
      </c>
      <c r="O1424" s="60"/>
      <c r="P1424" s="60">
        <f t="shared" si="67"/>
        <v>2550000</v>
      </c>
    </row>
    <row r="1425" spans="2:16">
      <c r="B1425" s="20" t="s">
        <v>1576</v>
      </c>
      <c r="C1425" s="20" t="s">
        <v>2</v>
      </c>
      <c r="D1425" s="20" t="str">
        <f>IFERROR(INDEX('[2]PRICELIST, 908u'!$G$7:$AX$914,MATCH($B1425,'[2]PRICELIST, 908u'!$G$7:$G$914,0),18),"NA")</f>
        <v>2025 - Batch 2</v>
      </c>
      <c r="E1425" s="20" t="str">
        <f>IFERROR(INDEX([3]AGM!$D$21:$BL$928,MATCH($B1425,[3]AGM!$AD$21:$AD$928,0),1),"NA")</f>
        <v>OS</v>
      </c>
      <c r="F1425" s="20" t="str">
        <f t="shared" si="66"/>
        <v>Block 26</v>
      </c>
      <c r="G1425" s="20" t="str">
        <f t="shared" si="65"/>
        <v>Lot 42</v>
      </c>
      <c r="H1425" s="20">
        <f>IFERROR(INDEX('[2]PRICELIST, 908u'!$G$7:$AX$914,MATCH($B1425,'[2]PRICELIST, 908u'!$G$7:$G$914,0),23),"NA")</f>
        <v>50</v>
      </c>
      <c r="I1425" s="20">
        <f>IFERROR(INDEX('[2]PRICELIST, 908u'!$G$7:$AX$914,MATCH($B1425,'[2]PRICELIST, 908u'!$G$7:$G$914,0),22),"NA")</f>
        <v>70</v>
      </c>
      <c r="J1425" s="20" t="s">
        <v>207</v>
      </c>
      <c r="K1425" s="20" t="str">
        <f>IFERROR(INDEX('[2]PRICELIST, 908u'!$G$7:$AX$914,MATCH($B1425,'[2]PRICELIST, 908u'!$G$7:$G$914,0),30),"NA")</f>
        <v>Flat / GREEN</v>
      </c>
      <c r="L1425" s="20">
        <f>IFERROR(INDEX('[2]PRICELIST, 908u'!$G$7:$AX$914,MATCH($B1425,'[2]PRICELIST, 908u'!$G$7:$G$914,0),40),"NA")</f>
        <v>2650000</v>
      </c>
      <c r="M1425" s="20">
        <f>IFERROR(INDEX('[2]PRICELIST, 908u'!$G$7:$AX$914,MATCH($B1425,'[2]PRICELIST, 908u'!$G$7:$G$914,0),41),"NA")</f>
        <v>100000</v>
      </c>
      <c r="N1425" s="58">
        <f t="shared" si="68"/>
        <v>2550000</v>
      </c>
      <c r="O1425" s="60"/>
      <c r="P1425" s="60">
        <f t="shared" si="67"/>
        <v>2550000</v>
      </c>
    </row>
    <row r="1426" spans="2:16">
      <c r="B1426" s="20" t="s">
        <v>1577</v>
      </c>
      <c r="C1426" s="20" t="s">
        <v>2</v>
      </c>
      <c r="D1426" s="20" t="str">
        <f>IFERROR(INDEX('[2]PRICELIST, 908u'!$G$7:$AX$914,MATCH($B1426,'[2]PRICELIST, 908u'!$G$7:$G$914,0),18),"NA")</f>
        <v>2025 - Batch 2</v>
      </c>
      <c r="E1426" s="20" t="str">
        <f>IFERROR(INDEX([3]AGM!$D$21:$BL$928,MATCH($B1426,[3]AGM!$AD$21:$AD$928,0),1),"NA")</f>
        <v>OS</v>
      </c>
      <c r="F1426" s="20" t="str">
        <f t="shared" si="66"/>
        <v>Block 26</v>
      </c>
      <c r="G1426" s="20" t="str">
        <f t="shared" si="65"/>
        <v>Lot 43</v>
      </c>
      <c r="H1426" s="20">
        <f>IFERROR(INDEX('[2]PRICELIST, 908u'!$G$7:$AX$914,MATCH($B1426,'[2]PRICELIST, 908u'!$G$7:$G$914,0),23),"NA")</f>
        <v>50</v>
      </c>
      <c r="I1426" s="20">
        <f>IFERROR(INDEX('[2]PRICELIST, 908u'!$G$7:$AX$914,MATCH($B1426,'[2]PRICELIST, 908u'!$G$7:$G$914,0),22),"NA")</f>
        <v>70</v>
      </c>
      <c r="J1426" s="20" t="s">
        <v>207</v>
      </c>
      <c r="K1426" s="20" t="str">
        <f>IFERROR(INDEX('[2]PRICELIST, 908u'!$G$7:$AX$914,MATCH($B1426,'[2]PRICELIST, 908u'!$G$7:$G$914,0),30),"NA")</f>
        <v>Flat / GREEN</v>
      </c>
      <c r="L1426" s="20">
        <f>IFERROR(INDEX('[2]PRICELIST, 908u'!$G$7:$AX$914,MATCH($B1426,'[2]PRICELIST, 908u'!$G$7:$G$914,0),40),"NA")</f>
        <v>2650000</v>
      </c>
      <c r="M1426" s="20">
        <f>IFERROR(INDEX('[2]PRICELIST, 908u'!$G$7:$AX$914,MATCH($B1426,'[2]PRICELIST, 908u'!$G$7:$G$914,0),41),"NA")</f>
        <v>100000</v>
      </c>
      <c r="N1426" s="58">
        <f t="shared" si="68"/>
        <v>2550000</v>
      </c>
      <c r="O1426" s="60"/>
      <c r="P1426" s="60">
        <f t="shared" si="67"/>
        <v>2550000</v>
      </c>
    </row>
    <row r="1427" spans="2:16">
      <c r="B1427" s="20" t="s">
        <v>1578</v>
      </c>
      <c r="C1427" s="20" t="s">
        <v>2</v>
      </c>
      <c r="D1427" s="20" t="str">
        <f>IFERROR(INDEX('[2]PRICELIST, 908u'!$G$7:$AX$914,MATCH($B1427,'[2]PRICELIST, 908u'!$G$7:$G$914,0),18),"NA")</f>
        <v>2025 - Batch 2</v>
      </c>
      <c r="E1427" s="20" t="str">
        <f>IFERROR(INDEX([3]AGM!$D$21:$BL$928,MATCH($B1427,[3]AGM!$AD$21:$AD$928,0),1),"NA")</f>
        <v>OS</v>
      </c>
      <c r="F1427" s="20" t="str">
        <f t="shared" si="66"/>
        <v>Block 26</v>
      </c>
      <c r="G1427" s="20" t="str">
        <f t="shared" si="65"/>
        <v>Lot 44</v>
      </c>
      <c r="H1427" s="20">
        <f>IFERROR(INDEX('[2]PRICELIST, 908u'!$G$7:$AX$914,MATCH($B1427,'[2]PRICELIST, 908u'!$G$7:$G$914,0),23),"NA")</f>
        <v>50</v>
      </c>
      <c r="I1427" s="20">
        <f>IFERROR(INDEX('[2]PRICELIST, 908u'!$G$7:$AX$914,MATCH($B1427,'[2]PRICELIST, 908u'!$G$7:$G$914,0),22),"NA")</f>
        <v>80</v>
      </c>
      <c r="J1427" s="20" t="s">
        <v>207</v>
      </c>
      <c r="K1427" s="20" t="str">
        <f>IFERROR(INDEX('[2]PRICELIST, 908u'!$G$7:$AX$914,MATCH($B1427,'[2]PRICELIST, 908u'!$G$7:$G$914,0),30),"NA")</f>
        <v>Slant / GREEN</v>
      </c>
      <c r="L1427" s="20">
        <f>IFERROR(INDEX('[2]PRICELIST, 908u'!$G$7:$AX$914,MATCH($B1427,'[2]PRICELIST, 908u'!$G$7:$G$914,0),40),"NA")</f>
        <v>2800000</v>
      </c>
      <c r="M1427" s="20">
        <f>IFERROR(INDEX('[2]PRICELIST, 908u'!$G$7:$AX$914,MATCH($B1427,'[2]PRICELIST, 908u'!$G$7:$G$914,0),41),"NA")</f>
        <v>100000</v>
      </c>
      <c r="N1427" s="58">
        <f t="shared" si="68"/>
        <v>2700000</v>
      </c>
      <c r="O1427" s="60"/>
      <c r="P1427" s="60">
        <f t="shared" si="67"/>
        <v>2700000</v>
      </c>
    </row>
    <row r="1428" spans="2:16">
      <c r="B1428" s="20" t="s">
        <v>1579</v>
      </c>
      <c r="C1428" s="20" t="s">
        <v>2</v>
      </c>
      <c r="D1428" s="20" t="str">
        <f>IFERROR(INDEX('[2]PRICELIST, 908u'!$G$7:$AX$914,MATCH($B1428,'[2]PRICELIST, 908u'!$G$7:$G$914,0),18),"NA")</f>
        <v>2025 - Batch 2</v>
      </c>
      <c r="E1428" s="20" t="str">
        <f>IFERROR(INDEX([3]AGM!$D$21:$BL$928,MATCH($B1428,[3]AGM!$AD$21:$AD$928,0),1),"NA")</f>
        <v>OS</v>
      </c>
      <c r="F1428" s="20" t="str">
        <f t="shared" si="66"/>
        <v>Block 26</v>
      </c>
      <c r="G1428" s="20" t="str">
        <f t="shared" si="65"/>
        <v>Lot 45</v>
      </c>
      <c r="H1428" s="20">
        <f>IFERROR(INDEX('[2]PRICELIST, 908u'!$G$7:$AX$914,MATCH($B1428,'[2]PRICELIST, 908u'!$G$7:$G$914,0),23),"NA")</f>
        <v>50</v>
      </c>
      <c r="I1428" s="20">
        <f>IFERROR(INDEX('[2]PRICELIST, 908u'!$G$7:$AX$914,MATCH($B1428,'[2]PRICELIST, 908u'!$G$7:$G$914,0),22),"NA")</f>
        <v>80</v>
      </c>
      <c r="J1428" s="20" t="s">
        <v>207</v>
      </c>
      <c r="K1428" s="20" t="str">
        <f>IFERROR(INDEX('[2]PRICELIST, 908u'!$G$7:$AX$914,MATCH($B1428,'[2]PRICELIST, 908u'!$G$7:$G$914,0),30),"NA")</f>
        <v>Slant / YELLOW</v>
      </c>
      <c r="L1428" s="20">
        <f>IFERROR(INDEX('[2]PRICELIST, 908u'!$G$7:$AX$914,MATCH($B1428,'[2]PRICELIST, 908u'!$G$7:$G$914,0),40),"NA")</f>
        <v>2800000</v>
      </c>
      <c r="M1428" s="20">
        <f>IFERROR(INDEX('[2]PRICELIST, 908u'!$G$7:$AX$914,MATCH($B1428,'[2]PRICELIST, 908u'!$G$7:$G$914,0),41),"NA")</f>
        <v>100000</v>
      </c>
      <c r="N1428" s="58">
        <f t="shared" si="68"/>
        <v>2700000</v>
      </c>
      <c r="O1428" s="60"/>
      <c r="P1428" s="60">
        <f t="shared" si="67"/>
        <v>2700000</v>
      </c>
    </row>
    <row r="1429" spans="2:16">
      <c r="B1429" s="20" t="s">
        <v>1580</v>
      </c>
      <c r="C1429" s="20" t="s">
        <v>2</v>
      </c>
      <c r="D1429" s="20" t="str">
        <f>IFERROR(INDEX('[2]PRICELIST, 908u'!$G$7:$AX$914,MATCH($B1429,'[2]PRICELIST, 908u'!$G$7:$G$914,0),18),"NA")</f>
        <v>2025 - Batch 2</v>
      </c>
      <c r="E1429" s="20" t="str">
        <f>IFERROR(INDEX([3]AGM!$D$21:$BL$928,MATCH($B1429,[3]AGM!$AD$21:$AD$928,0),1),"NA")</f>
        <v>OS</v>
      </c>
      <c r="F1429" s="20" t="str">
        <f t="shared" si="66"/>
        <v>Block 26</v>
      </c>
      <c r="G1429" s="20" t="str">
        <f t="shared" si="65"/>
        <v>Lot 46</v>
      </c>
      <c r="H1429" s="20">
        <f>IFERROR(INDEX('[2]PRICELIST, 908u'!$G$7:$AX$914,MATCH($B1429,'[2]PRICELIST, 908u'!$G$7:$G$914,0),23),"NA")</f>
        <v>50</v>
      </c>
      <c r="I1429" s="20">
        <f>IFERROR(INDEX('[2]PRICELIST, 908u'!$G$7:$AX$914,MATCH($B1429,'[2]PRICELIST, 908u'!$G$7:$G$914,0),22),"NA")</f>
        <v>80</v>
      </c>
      <c r="J1429" s="20" t="s">
        <v>207</v>
      </c>
      <c r="K1429" s="20" t="str">
        <f>IFERROR(INDEX('[2]PRICELIST, 908u'!$G$7:$AX$914,MATCH($B1429,'[2]PRICELIST, 908u'!$G$7:$G$914,0),30),"NA")</f>
        <v>Flat / YELLOW</v>
      </c>
      <c r="L1429" s="20">
        <f>IFERROR(INDEX('[2]PRICELIST, 908u'!$G$7:$AX$914,MATCH($B1429,'[2]PRICELIST, 908u'!$G$7:$G$914,0),40),"NA")</f>
        <v>2800000</v>
      </c>
      <c r="M1429" s="20">
        <f>IFERROR(INDEX('[2]PRICELIST, 908u'!$G$7:$AX$914,MATCH($B1429,'[2]PRICELIST, 908u'!$G$7:$G$914,0),41),"NA")</f>
        <v>100000</v>
      </c>
      <c r="N1429" s="58">
        <f t="shared" si="68"/>
        <v>2700000</v>
      </c>
      <c r="O1429" s="60"/>
      <c r="P1429" s="60">
        <f t="shared" si="67"/>
        <v>2700000</v>
      </c>
    </row>
    <row r="1430" spans="2:16">
      <c r="B1430" s="20" t="s">
        <v>1581</v>
      </c>
      <c r="C1430" s="20" t="s">
        <v>2</v>
      </c>
      <c r="D1430" s="20" t="str">
        <f>IFERROR(INDEX('[2]PRICELIST, 908u'!$G$7:$AX$914,MATCH($B1430,'[2]PRICELIST, 908u'!$G$7:$G$914,0),18),"NA")</f>
        <v>Lot Only - N/A</v>
      </c>
      <c r="E1430" s="20" t="str">
        <f>IFERROR(INDEX([3]AGM!$D$21:$BL$928,MATCH($B1430,[3]AGM!$AD$21:$AD$928,0),1),"NA")</f>
        <v>OPEN</v>
      </c>
      <c r="F1430" s="20" t="str">
        <f t="shared" si="66"/>
        <v>Block 26</v>
      </c>
      <c r="G1430" s="20" t="str">
        <f t="shared" si="65"/>
        <v>Lot 47</v>
      </c>
      <c r="H1430" s="20" t="str">
        <f>IFERROR(INDEX('[2]PRICELIST, 908u'!$G$7:$AX$914,MATCH($B1430,'[2]PRICELIST, 908u'!$G$7:$G$914,0),23),"NA")</f>
        <v>N/A</v>
      </c>
      <c r="I1430" s="20">
        <f>IFERROR(INDEX('[2]PRICELIST, 908u'!$G$7:$AX$914,MATCH($B1430,'[2]PRICELIST, 908u'!$G$7:$G$914,0),22),"NA")</f>
        <v>119</v>
      </c>
      <c r="J1430" s="20" t="s">
        <v>100</v>
      </c>
      <c r="K1430" s="37" t="s">
        <v>1025</v>
      </c>
      <c r="L1430" s="20">
        <f>IFERROR(INDEX('[2]PRICELIST, 908u'!$G$7:$AX$914,MATCH($B1430,'[2]PRICELIST, 908u'!$G$7:$G$914,0),40),"NA")</f>
        <v>1885000</v>
      </c>
      <c r="M1430" s="20">
        <f>IFERROR(INDEX('[2]PRICELIST, 908u'!$G$7:$AX$914,MATCH($B1430,'[2]PRICELIST, 908u'!$G$7:$G$914,0),41),"NA")</f>
        <v>100000</v>
      </c>
      <c r="N1430" s="58">
        <f t="shared" si="68"/>
        <v>1785000</v>
      </c>
      <c r="O1430" s="60"/>
      <c r="P1430" s="60">
        <f t="shared" si="67"/>
        <v>1785000</v>
      </c>
    </row>
    <row r="1431" spans="2:16">
      <c r="B1431" s="20" t="s">
        <v>1582</v>
      </c>
      <c r="C1431" s="20" t="s">
        <v>2</v>
      </c>
      <c r="D1431" s="20" t="str">
        <f>IFERROR(INDEX('[2]PRICELIST, 908u'!$G$7:$AX$914,MATCH($B1431,'[2]PRICELIST, 908u'!$G$7:$G$914,0),18),"NA")</f>
        <v>2024 Batch</v>
      </c>
      <c r="E1431" s="20" t="str">
        <f>IFERROR(INDEX([3]AGM!$D$21:$BL$928,MATCH($B1431,[3]AGM!$AD$21:$AD$928,0),1),"NA")</f>
        <v>OS</v>
      </c>
      <c r="F1431" s="20" t="str">
        <f t="shared" si="66"/>
        <v>Block 27</v>
      </c>
      <c r="G1431" s="20" t="str">
        <f t="shared" si="65"/>
        <v>Lot 01</v>
      </c>
      <c r="H1431" s="20">
        <f>IFERROR(INDEX('[2]PRICELIST, 908u'!$G$7:$AX$914,MATCH($B1431,'[2]PRICELIST, 908u'!$G$7:$G$914,0),23),"NA")</f>
        <v>50</v>
      </c>
      <c r="I1431" s="20">
        <f>IFERROR(INDEX('[2]PRICELIST, 908u'!$G$7:$AX$914,MATCH($B1431,'[2]PRICELIST, 908u'!$G$7:$G$914,0),22),"NA")</f>
        <v>100</v>
      </c>
      <c r="J1431" s="20" t="s">
        <v>25</v>
      </c>
      <c r="K1431" s="20" t="str">
        <f>IFERROR(INDEX('[2]PRICELIST, 908u'!$G$7:$AX$914,MATCH($B1431,'[2]PRICELIST, 908u'!$G$7:$G$914,0),30),"NA")</f>
        <v>Slant / GREEN</v>
      </c>
      <c r="L1431" s="20">
        <f>IFERROR(INDEX('[2]PRICELIST, 908u'!$G$7:$AX$914,MATCH($B1431,'[2]PRICELIST, 908u'!$G$7:$G$914,0),40),"NA")</f>
        <v>3300000</v>
      </c>
      <c r="M1431" s="20">
        <f>IFERROR(INDEX('[2]PRICELIST, 908u'!$G$7:$AX$914,MATCH($B1431,'[2]PRICELIST, 908u'!$G$7:$G$914,0),41),"NA")</f>
        <v>100000</v>
      </c>
      <c r="N1431" s="58">
        <f t="shared" si="68"/>
        <v>3200000</v>
      </c>
      <c r="O1431" s="60"/>
      <c r="P1431" s="60">
        <f t="shared" si="67"/>
        <v>3200000</v>
      </c>
    </row>
    <row r="1432" spans="2:16">
      <c r="B1432" s="20" t="s">
        <v>1583</v>
      </c>
      <c r="C1432" s="20" t="s">
        <v>2</v>
      </c>
      <c r="D1432" s="20" t="str">
        <f>IFERROR(INDEX('[2]PRICELIST, 908u'!$G$7:$AX$914,MATCH($B1432,'[2]PRICELIST, 908u'!$G$7:$G$914,0),18),"NA")</f>
        <v>2024 Batch</v>
      </c>
      <c r="E1432" s="20" t="str">
        <f>IFERROR(INDEX([3]AGM!$D$21:$BL$928,MATCH($B1432,[3]AGM!$AD$21:$AD$928,0),1),"NA")</f>
        <v>OS</v>
      </c>
      <c r="F1432" s="20" t="str">
        <f t="shared" si="66"/>
        <v>Block 27</v>
      </c>
      <c r="G1432" s="20" t="str">
        <f t="shared" ref="G1432:G1495" si="69">"Lot "&amp;TEXT(VALUE(RIGHT(B1432,3)),"00")</f>
        <v>Lot 02</v>
      </c>
      <c r="H1432" s="20">
        <f>IFERROR(INDEX('[2]PRICELIST, 908u'!$G$7:$AX$914,MATCH($B1432,'[2]PRICELIST, 908u'!$G$7:$G$914,0),23),"NA")</f>
        <v>50</v>
      </c>
      <c r="I1432" s="20">
        <f>IFERROR(INDEX('[2]PRICELIST, 908u'!$G$7:$AX$914,MATCH($B1432,'[2]PRICELIST, 908u'!$G$7:$G$914,0),22),"NA")</f>
        <v>80</v>
      </c>
      <c r="J1432" s="20" t="s">
        <v>25</v>
      </c>
      <c r="K1432" s="20" t="str">
        <f>IFERROR(INDEX('[2]PRICELIST, 908u'!$G$7:$AX$914,MATCH($B1432,'[2]PRICELIST, 908u'!$G$7:$G$914,0),30),"NA")</f>
        <v>Flat / GREEN</v>
      </c>
      <c r="L1432" s="20">
        <f>IFERROR(INDEX('[2]PRICELIST, 908u'!$G$7:$AX$914,MATCH($B1432,'[2]PRICELIST, 908u'!$G$7:$G$914,0),40),"NA")</f>
        <v>3000000</v>
      </c>
      <c r="M1432" s="20">
        <f>IFERROR(INDEX('[2]PRICELIST, 908u'!$G$7:$AX$914,MATCH($B1432,'[2]PRICELIST, 908u'!$G$7:$G$914,0),41),"NA")</f>
        <v>100000</v>
      </c>
      <c r="N1432" s="58">
        <f t="shared" si="68"/>
        <v>2900000</v>
      </c>
      <c r="O1432" s="60"/>
      <c r="P1432" s="60">
        <f t="shared" si="67"/>
        <v>2900000</v>
      </c>
    </row>
    <row r="1433" spans="2:16">
      <c r="B1433" s="20" t="s">
        <v>1584</v>
      </c>
      <c r="C1433" s="20" t="s">
        <v>2</v>
      </c>
      <c r="D1433" s="20" t="str">
        <f>IFERROR(INDEX('[2]PRICELIST, 908u'!$G$7:$AX$914,MATCH($B1433,'[2]PRICELIST, 908u'!$G$7:$G$914,0),18),"NA")</f>
        <v>2024 Batch</v>
      </c>
      <c r="E1433" s="20" t="str">
        <f>IFERROR(INDEX([3]AGM!$D$21:$BL$928,MATCH($B1433,[3]AGM!$AD$21:$AD$928,0),1),"NA")</f>
        <v>OS</v>
      </c>
      <c r="F1433" s="20" t="str">
        <f t="shared" ref="F1433:F1496" si="70">"Block "&amp;TEXT(VALUE(MID(B1433,8,3)),"00")</f>
        <v>Block 27</v>
      </c>
      <c r="G1433" s="20" t="str">
        <f t="shared" si="69"/>
        <v>Lot 03</v>
      </c>
      <c r="H1433" s="20">
        <f>IFERROR(INDEX('[2]PRICELIST, 908u'!$G$7:$AX$914,MATCH($B1433,'[2]PRICELIST, 908u'!$G$7:$G$914,0),23),"NA")</f>
        <v>50</v>
      </c>
      <c r="I1433" s="20">
        <f>IFERROR(INDEX('[2]PRICELIST, 908u'!$G$7:$AX$914,MATCH($B1433,'[2]PRICELIST, 908u'!$G$7:$G$914,0),22),"NA")</f>
        <v>80</v>
      </c>
      <c r="J1433" s="20" t="s">
        <v>25</v>
      </c>
      <c r="K1433" s="20" t="str">
        <f>IFERROR(INDEX('[2]PRICELIST, 908u'!$G$7:$AX$914,MATCH($B1433,'[2]PRICELIST, 908u'!$G$7:$G$914,0),30),"NA")</f>
        <v>Flat / PURPLE</v>
      </c>
      <c r="L1433" s="20">
        <f>IFERROR(INDEX('[2]PRICELIST, 908u'!$G$7:$AX$914,MATCH($B1433,'[2]PRICELIST, 908u'!$G$7:$G$914,0),40),"NA")</f>
        <v>3000000</v>
      </c>
      <c r="M1433" s="20">
        <f>IFERROR(INDEX('[2]PRICELIST, 908u'!$G$7:$AX$914,MATCH($B1433,'[2]PRICELIST, 908u'!$G$7:$G$914,0),41),"NA")</f>
        <v>100000</v>
      </c>
      <c r="N1433" s="58">
        <f t="shared" si="68"/>
        <v>2900000</v>
      </c>
      <c r="O1433" s="60"/>
      <c r="P1433" s="60">
        <f t="shared" ref="P1433:P1496" si="71">N1433-O1433</f>
        <v>2900000</v>
      </c>
    </row>
    <row r="1434" spans="2:16">
      <c r="B1434" s="20" t="s">
        <v>1585</v>
      </c>
      <c r="C1434" s="20" t="s">
        <v>2</v>
      </c>
      <c r="D1434" s="20" t="str">
        <f>IFERROR(INDEX('[2]PRICELIST, 908u'!$G$7:$AX$914,MATCH($B1434,'[2]PRICELIST, 908u'!$G$7:$G$914,0),18),"NA")</f>
        <v>2024 Batch</v>
      </c>
      <c r="E1434" s="20" t="str">
        <f>IFERROR(INDEX([3]AGM!$D$21:$BL$928,MATCH($B1434,[3]AGM!$AD$21:$AD$928,0),1),"NA")</f>
        <v>OS</v>
      </c>
      <c r="F1434" s="20" t="str">
        <f t="shared" si="70"/>
        <v>Block 27</v>
      </c>
      <c r="G1434" s="20" t="str">
        <f t="shared" si="69"/>
        <v>Lot 04</v>
      </c>
      <c r="H1434" s="20">
        <f>IFERROR(INDEX('[2]PRICELIST, 908u'!$G$7:$AX$914,MATCH($B1434,'[2]PRICELIST, 908u'!$G$7:$G$914,0),23),"NA")</f>
        <v>50</v>
      </c>
      <c r="I1434" s="20">
        <f>IFERROR(INDEX('[2]PRICELIST, 908u'!$G$7:$AX$914,MATCH($B1434,'[2]PRICELIST, 908u'!$G$7:$G$914,0),22),"NA")</f>
        <v>80</v>
      </c>
      <c r="J1434" s="20" t="s">
        <v>207</v>
      </c>
      <c r="K1434" s="20" t="str">
        <f>IFERROR(INDEX('[2]PRICELIST, 908u'!$G$7:$AX$914,MATCH($B1434,'[2]PRICELIST, 908u'!$G$7:$G$914,0),30),"NA")</f>
        <v>Slant / PURPLE</v>
      </c>
      <c r="L1434" s="20">
        <f>IFERROR(INDEX('[2]PRICELIST, 908u'!$G$7:$AX$914,MATCH($B1434,'[2]PRICELIST, 908u'!$G$7:$G$914,0),40),"NA")</f>
        <v>2800000</v>
      </c>
      <c r="M1434" s="20">
        <f>IFERROR(INDEX('[2]PRICELIST, 908u'!$G$7:$AX$914,MATCH($B1434,'[2]PRICELIST, 908u'!$G$7:$G$914,0),41),"NA")</f>
        <v>100000</v>
      </c>
      <c r="N1434" s="58">
        <f t="shared" ref="N1434:N1497" si="72">L1434-M1434</f>
        <v>2700000</v>
      </c>
      <c r="O1434" s="60"/>
      <c r="P1434" s="60">
        <f t="shared" si="71"/>
        <v>2700000</v>
      </c>
    </row>
    <row r="1435" spans="2:16">
      <c r="B1435" s="20" t="s">
        <v>1586</v>
      </c>
      <c r="C1435" s="20" t="s">
        <v>2</v>
      </c>
      <c r="D1435" s="20" t="str">
        <f>IFERROR(INDEX('[2]PRICELIST, 908u'!$G$7:$AX$914,MATCH($B1435,'[2]PRICELIST, 908u'!$G$7:$G$914,0),18),"NA")</f>
        <v>2024 Batch</v>
      </c>
      <c r="E1435" s="20" t="str">
        <f>IFERROR(INDEX([3]AGM!$D$21:$BL$928,MATCH($B1435,[3]AGM!$AD$21:$AD$928,0),1),"NA")</f>
        <v>OS</v>
      </c>
      <c r="F1435" s="20" t="str">
        <f t="shared" si="70"/>
        <v>Block 27</v>
      </c>
      <c r="G1435" s="20" t="str">
        <f t="shared" si="69"/>
        <v>Lot 05</v>
      </c>
      <c r="H1435" s="20">
        <f>IFERROR(INDEX('[2]PRICELIST, 908u'!$G$7:$AX$914,MATCH($B1435,'[2]PRICELIST, 908u'!$G$7:$G$914,0),23),"NA")</f>
        <v>50</v>
      </c>
      <c r="I1435" s="20">
        <f>IFERROR(INDEX('[2]PRICELIST, 908u'!$G$7:$AX$914,MATCH($B1435,'[2]PRICELIST, 908u'!$G$7:$G$914,0),22),"NA")</f>
        <v>70</v>
      </c>
      <c r="J1435" s="20" t="s">
        <v>25</v>
      </c>
      <c r="K1435" s="20" t="str">
        <f>IFERROR(INDEX('[2]PRICELIST, 908u'!$G$7:$AX$914,MATCH($B1435,'[2]PRICELIST, 908u'!$G$7:$G$914,0),30),"NA")</f>
        <v>Slant / PURPLE</v>
      </c>
      <c r="L1435" s="20">
        <f>IFERROR(INDEX('[2]PRICELIST, 908u'!$G$7:$AX$914,MATCH($B1435,'[2]PRICELIST, 908u'!$G$7:$G$914,0),40),"NA")</f>
        <v>2850000</v>
      </c>
      <c r="M1435" s="20">
        <f>IFERROR(INDEX('[2]PRICELIST, 908u'!$G$7:$AX$914,MATCH($B1435,'[2]PRICELIST, 908u'!$G$7:$G$914,0),41),"NA")</f>
        <v>100000</v>
      </c>
      <c r="N1435" s="58">
        <f t="shared" si="72"/>
        <v>2750000</v>
      </c>
      <c r="O1435" s="60"/>
      <c r="P1435" s="60">
        <f t="shared" si="71"/>
        <v>2750000</v>
      </c>
    </row>
    <row r="1436" spans="2:16">
      <c r="B1436" s="20" t="s">
        <v>1587</v>
      </c>
      <c r="C1436" s="20" t="s">
        <v>2</v>
      </c>
      <c r="D1436" s="20" t="str">
        <f>IFERROR(INDEX('[2]PRICELIST, 908u'!$G$7:$AX$914,MATCH($B1436,'[2]PRICELIST, 908u'!$G$7:$G$914,0),18),"NA")</f>
        <v>2024 Batch</v>
      </c>
      <c r="E1436" s="20" t="str">
        <f>IFERROR(INDEX([3]AGM!$D$21:$BL$928,MATCH($B1436,[3]AGM!$AD$21:$AD$928,0),1),"NA")</f>
        <v>OS</v>
      </c>
      <c r="F1436" s="20" t="str">
        <f t="shared" si="70"/>
        <v>Block 27</v>
      </c>
      <c r="G1436" s="20" t="str">
        <f t="shared" si="69"/>
        <v>Lot 06</v>
      </c>
      <c r="H1436" s="20">
        <f>IFERROR(INDEX('[2]PRICELIST, 908u'!$G$7:$AX$914,MATCH($B1436,'[2]PRICELIST, 908u'!$G$7:$G$914,0),23),"NA")</f>
        <v>50</v>
      </c>
      <c r="I1436" s="20">
        <f>IFERROR(INDEX('[2]PRICELIST, 908u'!$G$7:$AX$914,MATCH($B1436,'[2]PRICELIST, 908u'!$G$7:$G$914,0),22),"NA")</f>
        <v>70</v>
      </c>
      <c r="J1436" s="20" t="s">
        <v>25</v>
      </c>
      <c r="K1436" s="20" t="str">
        <f>IFERROR(INDEX('[2]PRICELIST, 908u'!$G$7:$AX$914,MATCH($B1436,'[2]PRICELIST, 908u'!$G$7:$G$914,0),30),"NA")</f>
        <v>Flat / PURPLE</v>
      </c>
      <c r="L1436" s="20">
        <f>IFERROR(INDEX('[2]PRICELIST, 908u'!$G$7:$AX$914,MATCH($B1436,'[2]PRICELIST, 908u'!$G$7:$G$914,0),40),"NA")</f>
        <v>2850000</v>
      </c>
      <c r="M1436" s="20">
        <f>IFERROR(INDEX('[2]PRICELIST, 908u'!$G$7:$AX$914,MATCH($B1436,'[2]PRICELIST, 908u'!$G$7:$G$914,0),41),"NA")</f>
        <v>100000</v>
      </c>
      <c r="N1436" s="58">
        <f t="shared" si="72"/>
        <v>2750000</v>
      </c>
      <c r="O1436" s="60"/>
      <c r="P1436" s="60">
        <f t="shared" si="71"/>
        <v>2750000</v>
      </c>
    </row>
    <row r="1437" spans="2:16">
      <c r="B1437" s="20" t="s">
        <v>1588</v>
      </c>
      <c r="C1437" s="20" t="s">
        <v>2</v>
      </c>
      <c r="D1437" s="20" t="str">
        <f>IFERROR(INDEX('[2]PRICELIST, 908u'!$G$7:$AX$914,MATCH($B1437,'[2]PRICELIST, 908u'!$G$7:$G$914,0),18),"NA")</f>
        <v>2024 Batch</v>
      </c>
      <c r="E1437" s="20" t="str">
        <f>IFERROR(INDEX([3]AGM!$D$21:$BL$928,MATCH($B1437,[3]AGM!$AD$21:$AD$928,0),1),"NA")</f>
        <v>TS</v>
      </c>
      <c r="F1437" s="20" t="str">
        <f t="shared" si="70"/>
        <v>Block 27</v>
      </c>
      <c r="G1437" s="20" t="str">
        <f t="shared" si="69"/>
        <v>Lot 07</v>
      </c>
      <c r="H1437" s="20">
        <f>IFERROR(INDEX('[2]PRICELIST, 908u'!$G$7:$AX$914,MATCH($B1437,'[2]PRICELIST, 908u'!$G$7:$G$914,0),23),"NA")</f>
        <v>50</v>
      </c>
      <c r="I1437" s="20">
        <f>IFERROR(INDEX('[2]PRICELIST, 908u'!$G$7:$AX$914,MATCH($B1437,'[2]PRICELIST, 908u'!$G$7:$G$914,0),22),"NA")</f>
        <v>70</v>
      </c>
      <c r="J1437" s="20" t="s">
        <v>25</v>
      </c>
      <c r="K1437" s="20" t="str">
        <f>IFERROR(INDEX('[2]PRICELIST, 908u'!$G$7:$AX$914,MATCH($B1437,'[2]PRICELIST, 908u'!$G$7:$G$914,0),30),"NA")</f>
        <v>Flat / PINK</v>
      </c>
      <c r="L1437" s="20">
        <f>IFERROR(INDEX('[2]PRICELIST, 908u'!$G$7:$AX$914,MATCH($B1437,'[2]PRICELIST, 908u'!$G$7:$G$914,0),40),"NA")</f>
        <v>2850000</v>
      </c>
      <c r="M1437" s="20">
        <f>IFERROR(INDEX('[2]PRICELIST, 908u'!$G$7:$AX$914,MATCH($B1437,'[2]PRICELIST, 908u'!$G$7:$G$914,0),41),"NA")</f>
        <v>100000</v>
      </c>
      <c r="N1437" s="58">
        <f t="shared" si="72"/>
        <v>2750000</v>
      </c>
      <c r="O1437" s="60"/>
      <c r="P1437" s="60">
        <f t="shared" si="71"/>
        <v>2750000</v>
      </c>
    </row>
    <row r="1438" spans="2:16">
      <c r="B1438" s="20" t="s">
        <v>1589</v>
      </c>
      <c r="C1438" s="20" t="s">
        <v>2</v>
      </c>
      <c r="D1438" s="20" t="str">
        <f>IFERROR(INDEX('[2]PRICELIST, 908u'!$G$7:$AX$914,MATCH($B1438,'[2]PRICELIST, 908u'!$G$7:$G$914,0),18),"NA")</f>
        <v>2024 Batch</v>
      </c>
      <c r="E1438" s="20" t="str">
        <f>IFERROR(INDEX([3]AGM!$D$21:$BL$928,MATCH($B1438,[3]AGM!$AD$21:$AD$928,0),1),"NA")</f>
        <v>OS</v>
      </c>
      <c r="F1438" s="20" t="str">
        <f t="shared" si="70"/>
        <v>Block 27</v>
      </c>
      <c r="G1438" s="20" t="str">
        <f t="shared" si="69"/>
        <v>Lot 08</v>
      </c>
      <c r="H1438" s="20">
        <f>IFERROR(INDEX('[2]PRICELIST, 908u'!$G$7:$AX$914,MATCH($B1438,'[2]PRICELIST, 908u'!$G$7:$G$914,0),23),"NA")</f>
        <v>50</v>
      </c>
      <c r="I1438" s="20">
        <f>IFERROR(INDEX('[2]PRICELIST, 908u'!$G$7:$AX$914,MATCH($B1438,'[2]PRICELIST, 908u'!$G$7:$G$914,0),22),"NA")</f>
        <v>70</v>
      </c>
      <c r="J1438" s="20" t="s">
        <v>25</v>
      </c>
      <c r="K1438" s="20" t="str">
        <f>IFERROR(INDEX('[2]PRICELIST, 908u'!$G$7:$AX$914,MATCH($B1438,'[2]PRICELIST, 908u'!$G$7:$G$914,0),30),"NA")</f>
        <v>Slant / PINK</v>
      </c>
      <c r="L1438" s="20">
        <f>IFERROR(INDEX('[2]PRICELIST, 908u'!$G$7:$AX$914,MATCH($B1438,'[2]PRICELIST, 908u'!$G$7:$G$914,0),40),"NA")</f>
        <v>2850000</v>
      </c>
      <c r="M1438" s="20">
        <f>IFERROR(INDEX('[2]PRICELIST, 908u'!$G$7:$AX$914,MATCH($B1438,'[2]PRICELIST, 908u'!$G$7:$G$914,0),41),"NA")</f>
        <v>100000</v>
      </c>
      <c r="N1438" s="58">
        <f t="shared" si="72"/>
        <v>2750000</v>
      </c>
      <c r="O1438" s="60"/>
      <c r="P1438" s="60">
        <f t="shared" si="71"/>
        <v>2750000</v>
      </c>
    </row>
    <row r="1439" spans="2:16">
      <c r="B1439" s="20" t="s">
        <v>1590</v>
      </c>
      <c r="C1439" s="20" t="s">
        <v>2</v>
      </c>
      <c r="D1439" s="20" t="str">
        <f>IFERROR(INDEX('[2]PRICELIST, 908u'!$G$7:$AX$914,MATCH($B1439,'[2]PRICELIST, 908u'!$G$7:$G$914,0),18),"NA")</f>
        <v>2024 Batch</v>
      </c>
      <c r="E1439" s="20" t="str">
        <f>IFERROR(INDEX([3]AGM!$D$21:$BL$928,MATCH($B1439,[3]AGM!$AD$21:$AD$928,0),1),"NA")</f>
        <v>OS</v>
      </c>
      <c r="F1439" s="20" t="str">
        <f t="shared" si="70"/>
        <v>Block 27</v>
      </c>
      <c r="G1439" s="20" t="str">
        <f t="shared" si="69"/>
        <v>Lot 09</v>
      </c>
      <c r="H1439" s="20">
        <f>IFERROR(INDEX('[2]PRICELIST, 908u'!$G$7:$AX$914,MATCH($B1439,'[2]PRICELIST, 908u'!$G$7:$G$914,0),23),"NA")</f>
        <v>50</v>
      </c>
      <c r="I1439" s="20">
        <f>IFERROR(INDEX('[2]PRICELIST, 908u'!$G$7:$AX$914,MATCH($B1439,'[2]PRICELIST, 908u'!$G$7:$G$914,0),22),"NA")</f>
        <v>70</v>
      </c>
      <c r="J1439" s="20" t="s">
        <v>25</v>
      </c>
      <c r="K1439" s="20" t="str">
        <f>IFERROR(INDEX('[2]PRICELIST, 908u'!$G$7:$AX$914,MATCH($B1439,'[2]PRICELIST, 908u'!$G$7:$G$914,0),30),"NA")</f>
        <v>Slant / PINK</v>
      </c>
      <c r="L1439" s="20">
        <f>IFERROR(INDEX('[2]PRICELIST, 908u'!$G$7:$AX$914,MATCH($B1439,'[2]PRICELIST, 908u'!$G$7:$G$914,0),40),"NA")</f>
        <v>2850000</v>
      </c>
      <c r="M1439" s="20">
        <f>IFERROR(INDEX('[2]PRICELIST, 908u'!$G$7:$AX$914,MATCH($B1439,'[2]PRICELIST, 908u'!$G$7:$G$914,0),41),"NA")</f>
        <v>100000</v>
      </c>
      <c r="N1439" s="58">
        <f t="shared" si="72"/>
        <v>2750000</v>
      </c>
      <c r="O1439" s="60"/>
      <c r="P1439" s="60">
        <f t="shared" si="71"/>
        <v>2750000</v>
      </c>
    </row>
    <row r="1440" spans="2:16">
      <c r="B1440" s="20" t="s">
        <v>1591</v>
      </c>
      <c r="C1440" s="20" t="s">
        <v>2</v>
      </c>
      <c r="D1440" s="20" t="str">
        <f>IFERROR(INDEX('[2]PRICELIST, 908u'!$G$7:$AX$914,MATCH($B1440,'[2]PRICELIST, 908u'!$G$7:$G$914,0),18),"NA")</f>
        <v>2024 Batch</v>
      </c>
      <c r="E1440" s="20" t="str">
        <f>IFERROR(INDEX([3]AGM!$D$21:$BL$928,MATCH($B1440,[3]AGM!$AD$21:$AD$928,0),1),"NA")</f>
        <v>OS</v>
      </c>
      <c r="F1440" s="20" t="str">
        <f t="shared" si="70"/>
        <v>Block 27</v>
      </c>
      <c r="G1440" s="20" t="str">
        <f t="shared" si="69"/>
        <v>Lot 10</v>
      </c>
      <c r="H1440" s="20">
        <f>IFERROR(INDEX('[2]PRICELIST, 908u'!$G$7:$AX$914,MATCH($B1440,'[2]PRICELIST, 908u'!$G$7:$G$914,0),23),"NA")</f>
        <v>50</v>
      </c>
      <c r="I1440" s="20">
        <f>IFERROR(INDEX('[2]PRICELIST, 908u'!$G$7:$AX$914,MATCH($B1440,'[2]PRICELIST, 908u'!$G$7:$G$914,0),22),"NA")</f>
        <v>70</v>
      </c>
      <c r="J1440" s="20" t="s">
        <v>25</v>
      </c>
      <c r="K1440" s="20" t="str">
        <f>IFERROR(INDEX('[2]PRICELIST, 908u'!$G$7:$AX$914,MATCH($B1440,'[2]PRICELIST, 908u'!$G$7:$G$914,0),30),"NA")</f>
        <v>Flat / PINK</v>
      </c>
      <c r="L1440" s="20">
        <f>IFERROR(INDEX('[2]PRICELIST, 908u'!$G$7:$AX$914,MATCH($B1440,'[2]PRICELIST, 908u'!$G$7:$G$914,0),40),"NA")</f>
        <v>2850000</v>
      </c>
      <c r="M1440" s="20">
        <f>IFERROR(INDEX('[2]PRICELIST, 908u'!$G$7:$AX$914,MATCH($B1440,'[2]PRICELIST, 908u'!$G$7:$G$914,0),41),"NA")</f>
        <v>100000</v>
      </c>
      <c r="N1440" s="58">
        <f t="shared" si="72"/>
        <v>2750000</v>
      </c>
      <c r="O1440" s="60"/>
      <c r="P1440" s="60">
        <f t="shared" si="71"/>
        <v>2750000</v>
      </c>
    </row>
    <row r="1441" spans="2:16">
      <c r="B1441" s="20" t="s">
        <v>1592</v>
      </c>
      <c r="C1441" s="20" t="s">
        <v>2</v>
      </c>
      <c r="D1441" s="20" t="str">
        <f>IFERROR(INDEX('[2]PRICELIST, 908u'!$G$7:$AX$914,MATCH($B1441,'[2]PRICELIST, 908u'!$G$7:$G$914,0),18),"NA")</f>
        <v>2024 Batch</v>
      </c>
      <c r="E1441" s="20" t="str">
        <f>IFERROR(INDEX([3]AGM!$D$21:$BL$928,MATCH($B1441,[3]AGM!$AD$21:$AD$928,0),1),"NA")</f>
        <v>OS</v>
      </c>
      <c r="F1441" s="20" t="str">
        <f t="shared" si="70"/>
        <v>Block 27</v>
      </c>
      <c r="G1441" s="20" t="str">
        <f t="shared" si="69"/>
        <v>Lot 11</v>
      </c>
      <c r="H1441" s="20">
        <f>IFERROR(INDEX('[2]PRICELIST, 908u'!$G$7:$AX$914,MATCH($B1441,'[2]PRICELIST, 908u'!$G$7:$G$914,0),23),"NA")</f>
        <v>50</v>
      </c>
      <c r="I1441" s="20">
        <f>IFERROR(INDEX('[2]PRICELIST, 908u'!$G$7:$AX$914,MATCH($B1441,'[2]PRICELIST, 908u'!$G$7:$G$914,0),22),"NA")</f>
        <v>70</v>
      </c>
      <c r="J1441" s="20" t="s">
        <v>25</v>
      </c>
      <c r="K1441" s="20" t="str">
        <f>IFERROR(INDEX('[2]PRICELIST, 908u'!$G$7:$AX$914,MATCH($B1441,'[2]PRICELIST, 908u'!$G$7:$G$914,0),30),"NA")</f>
        <v>Flat / YELLOW</v>
      </c>
      <c r="L1441" s="20">
        <f>IFERROR(INDEX('[2]PRICELIST, 908u'!$G$7:$AX$914,MATCH($B1441,'[2]PRICELIST, 908u'!$G$7:$G$914,0),40),"NA")</f>
        <v>2850000</v>
      </c>
      <c r="M1441" s="20">
        <f>IFERROR(INDEX('[2]PRICELIST, 908u'!$G$7:$AX$914,MATCH($B1441,'[2]PRICELIST, 908u'!$G$7:$G$914,0),41),"NA")</f>
        <v>100000</v>
      </c>
      <c r="N1441" s="58">
        <f t="shared" si="72"/>
        <v>2750000</v>
      </c>
      <c r="O1441" s="60"/>
      <c r="P1441" s="60">
        <f t="shared" si="71"/>
        <v>2750000</v>
      </c>
    </row>
    <row r="1442" spans="2:16">
      <c r="B1442" s="20" t="s">
        <v>1593</v>
      </c>
      <c r="C1442" s="20" t="s">
        <v>2</v>
      </c>
      <c r="D1442" s="20" t="str">
        <f>IFERROR(INDEX('[2]PRICELIST, 908u'!$G$7:$AX$914,MATCH($B1442,'[2]PRICELIST, 908u'!$G$7:$G$914,0),18),"NA")</f>
        <v>2024 Batch</v>
      </c>
      <c r="E1442" s="20" t="str">
        <f>IFERROR(INDEX([3]AGM!$D$21:$BL$928,MATCH($B1442,[3]AGM!$AD$21:$AD$928,0),1),"NA")</f>
        <v>OS</v>
      </c>
      <c r="F1442" s="20" t="str">
        <f t="shared" si="70"/>
        <v>Block 27</v>
      </c>
      <c r="G1442" s="20" t="str">
        <f t="shared" si="69"/>
        <v>Lot 12</v>
      </c>
      <c r="H1442" s="20">
        <f>IFERROR(INDEX('[2]PRICELIST, 908u'!$G$7:$AX$914,MATCH($B1442,'[2]PRICELIST, 908u'!$G$7:$G$914,0),23),"NA")</f>
        <v>50</v>
      </c>
      <c r="I1442" s="20">
        <f>IFERROR(INDEX('[2]PRICELIST, 908u'!$G$7:$AX$914,MATCH($B1442,'[2]PRICELIST, 908u'!$G$7:$G$914,0),22),"NA")</f>
        <v>70</v>
      </c>
      <c r="J1442" s="20" t="s">
        <v>25</v>
      </c>
      <c r="K1442" s="20" t="str">
        <f>IFERROR(INDEX('[2]PRICELIST, 908u'!$G$7:$AX$914,MATCH($B1442,'[2]PRICELIST, 908u'!$G$7:$G$914,0),30),"NA")</f>
        <v>Slant / YELLOW</v>
      </c>
      <c r="L1442" s="20">
        <f>IFERROR(INDEX('[2]PRICELIST, 908u'!$G$7:$AX$914,MATCH($B1442,'[2]PRICELIST, 908u'!$G$7:$G$914,0),40),"NA")</f>
        <v>2850000</v>
      </c>
      <c r="M1442" s="20">
        <f>IFERROR(INDEX('[2]PRICELIST, 908u'!$G$7:$AX$914,MATCH($B1442,'[2]PRICELIST, 908u'!$G$7:$G$914,0),41),"NA")</f>
        <v>100000</v>
      </c>
      <c r="N1442" s="58">
        <f t="shared" si="72"/>
        <v>2750000</v>
      </c>
      <c r="O1442" s="60"/>
      <c r="P1442" s="60">
        <f t="shared" si="71"/>
        <v>2750000</v>
      </c>
    </row>
    <row r="1443" spans="2:16">
      <c r="B1443" s="20" t="s">
        <v>1594</v>
      </c>
      <c r="C1443" s="20" t="s">
        <v>2</v>
      </c>
      <c r="D1443" s="20" t="str">
        <f>IFERROR(INDEX('[2]PRICELIST, 908u'!$G$7:$AX$914,MATCH($B1443,'[2]PRICELIST, 908u'!$G$7:$G$914,0),18),"NA")</f>
        <v>2024 Batch</v>
      </c>
      <c r="E1443" s="20" t="str">
        <f>IFERROR(INDEX([3]AGM!$D$21:$BL$928,MATCH($B1443,[3]AGM!$AD$21:$AD$928,0),1),"NA")</f>
        <v>OS</v>
      </c>
      <c r="F1443" s="20" t="str">
        <f t="shared" si="70"/>
        <v>Block 27</v>
      </c>
      <c r="G1443" s="20" t="str">
        <f t="shared" si="69"/>
        <v>Lot 13</v>
      </c>
      <c r="H1443" s="20">
        <f>IFERROR(INDEX('[2]PRICELIST, 908u'!$G$7:$AX$914,MATCH($B1443,'[2]PRICELIST, 908u'!$G$7:$G$914,0),23),"NA")</f>
        <v>50</v>
      </c>
      <c r="I1443" s="20">
        <f>IFERROR(INDEX('[2]PRICELIST, 908u'!$G$7:$AX$914,MATCH($B1443,'[2]PRICELIST, 908u'!$G$7:$G$914,0),22),"NA")</f>
        <v>70</v>
      </c>
      <c r="J1443" s="20" t="s">
        <v>25</v>
      </c>
      <c r="K1443" s="20" t="str">
        <f>IFERROR(INDEX('[2]PRICELIST, 908u'!$G$7:$AX$914,MATCH($B1443,'[2]PRICELIST, 908u'!$G$7:$G$914,0),30),"NA")</f>
        <v>Slant / YELLOW</v>
      </c>
      <c r="L1443" s="20">
        <f>IFERROR(INDEX('[2]PRICELIST, 908u'!$G$7:$AX$914,MATCH($B1443,'[2]PRICELIST, 908u'!$G$7:$G$914,0),40),"NA")</f>
        <v>2850000</v>
      </c>
      <c r="M1443" s="20">
        <f>IFERROR(INDEX('[2]PRICELIST, 908u'!$G$7:$AX$914,MATCH($B1443,'[2]PRICELIST, 908u'!$G$7:$G$914,0),41),"NA")</f>
        <v>100000</v>
      </c>
      <c r="N1443" s="58">
        <f t="shared" si="72"/>
        <v>2750000</v>
      </c>
      <c r="O1443" s="60"/>
      <c r="P1443" s="60">
        <f t="shared" si="71"/>
        <v>2750000</v>
      </c>
    </row>
    <row r="1444" spans="2:16">
      <c r="B1444" s="20" t="s">
        <v>1595</v>
      </c>
      <c r="C1444" s="20" t="s">
        <v>2</v>
      </c>
      <c r="D1444" s="20" t="str">
        <f>IFERROR(INDEX('[2]PRICELIST, 908u'!$G$7:$AX$914,MATCH($B1444,'[2]PRICELIST, 908u'!$G$7:$G$914,0),18),"NA")</f>
        <v>2024 Batch</v>
      </c>
      <c r="E1444" s="20" t="str">
        <f>IFERROR(INDEX([3]AGM!$D$21:$BL$928,MATCH($B1444,[3]AGM!$AD$21:$AD$928,0),1),"NA")</f>
        <v>OS</v>
      </c>
      <c r="F1444" s="20" t="str">
        <f t="shared" si="70"/>
        <v>Block 27</v>
      </c>
      <c r="G1444" s="20" t="str">
        <f t="shared" si="69"/>
        <v>Lot 14</v>
      </c>
      <c r="H1444" s="20">
        <f>IFERROR(INDEX('[2]PRICELIST, 908u'!$G$7:$AX$914,MATCH($B1444,'[2]PRICELIST, 908u'!$G$7:$G$914,0),23),"NA")</f>
        <v>50</v>
      </c>
      <c r="I1444" s="20">
        <f>IFERROR(INDEX('[2]PRICELIST, 908u'!$G$7:$AX$914,MATCH($B1444,'[2]PRICELIST, 908u'!$G$7:$G$914,0),22),"NA")</f>
        <v>70</v>
      </c>
      <c r="J1444" s="20" t="s">
        <v>207</v>
      </c>
      <c r="K1444" s="20" t="str">
        <f>IFERROR(INDEX('[2]PRICELIST, 908u'!$G$7:$AX$914,MATCH($B1444,'[2]PRICELIST, 908u'!$G$7:$G$914,0),30),"NA")</f>
        <v>Flat / YELLOW</v>
      </c>
      <c r="L1444" s="20">
        <f>IFERROR(INDEX('[2]PRICELIST, 908u'!$G$7:$AX$914,MATCH($B1444,'[2]PRICELIST, 908u'!$G$7:$G$914,0),40),"NA")</f>
        <v>2650000</v>
      </c>
      <c r="M1444" s="20">
        <f>IFERROR(INDEX('[2]PRICELIST, 908u'!$G$7:$AX$914,MATCH($B1444,'[2]PRICELIST, 908u'!$G$7:$G$914,0),41),"NA")</f>
        <v>100000</v>
      </c>
      <c r="N1444" s="58">
        <f t="shared" si="72"/>
        <v>2550000</v>
      </c>
      <c r="O1444" s="60"/>
      <c r="P1444" s="60">
        <f t="shared" si="71"/>
        <v>2550000</v>
      </c>
    </row>
    <row r="1445" spans="2:16">
      <c r="B1445" s="20" t="s">
        <v>1596</v>
      </c>
      <c r="C1445" s="20" t="s">
        <v>2</v>
      </c>
      <c r="D1445" s="20" t="str">
        <f>IFERROR(INDEX('[2]PRICELIST, 908u'!$G$7:$AX$914,MATCH($B1445,'[2]PRICELIST, 908u'!$G$7:$G$914,0),18),"NA")</f>
        <v>2024 Batch</v>
      </c>
      <c r="E1445" s="20" t="str">
        <f>IFERROR(INDEX([3]AGM!$D$21:$BL$928,MATCH($B1445,[3]AGM!$AD$21:$AD$928,0),1),"NA")</f>
        <v>OS</v>
      </c>
      <c r="F1445" s="20" t="str">
        <f t="shared" si="70"/>
        <v>Block 27</v>
      </c>
      <c r="G1445" s="20" t="str">
        <f t="shared" si="69"/>
        <v>Lot 15</v>
      </c>
      <c r="H1445" s="20">
        <f>IFERROR(INDEX('[2]PRICELIST, 908u'!$G$7:$AX$914,MATCH($B1445,'[2]PRICELIST, 908u'!$G$7:$G$914,0),23),"NA")</f>
        <v>50</v>
      </c>
      <c r="I1445" s="20">
        <f>IFERROR(INDEX('[2]PRICELIST, 908u'!$G$7:$AX$914,MATCH($B1445,'[2]PRICELIST, 908u'!$G$7:$G$914,0),22),"NA")</f>
        <v>70</v>
      </c>
      <c r="J1445" s="20" t="s">
        <v>25</v>
      </c>
      <c r="K1445" s="20" t="str">
        <f>IFERROR(INDEX('[2]PRICELIST, 908u'!$G$7:$AX$914,MATCH($B1445,'[2]PRICELIST, 908u'!$G$7:$G$914,0),30),"NA")</f>
        <v>Flat / GREEN</v>
      </c>
      <c r="L1445" s="20">
        <f>IFERROR(INDEX('[2]PRICELIST, 908u'!$G$7:$AX$914,MATCH($B1445,'[2]PRICELIST, 908u'!$G$7:$G$914,0),40),"NA")</f>
        <v>2850000</v>
      </c>
      <c r="M1445" s="20">
        <f>IFERROR(INDEX('[2]PRICELIST, 908u'!$G$7:$AX$914,MATCH($B1445,'[2]PRICELIST, 908u'!$G$7:$G$914,0),41),"NA")</f>
        <v>100000</v>
      </c>
      <c r="N1445" s="58">
        <f t="shared" si="72"/>
        <v>2750000</v>
      </c>
      <c r="O1445" s="60"/>
      <c r="P1445" s="60">
        <f t="shared" si="71"/>
        <v>2750000</v>
      </c>
    </row>
    <row r="1446" spans="2:16">
      <c r="B1446" s="20" t="s">
        <v>1597</v>
      </c>
      <c r="C1446" s="20" t="s">
        <v>2</v>
      </c>
      <c r="D1446" s="20" t="str">
        <f>IFERROR(INDEX('[2]PRICELIST, 908u'!$G$7:$AX$914,MATCH($B1446,'[2]PRICELIST, 908u'!$G$7:$G$914,0),18),"NA")</f>
        <v>2024 Batch</v>
      </c>
      <c r="E1446" s="20" t="str">
        <f>IFERROR(INDEX([3]AGM!$D$21:$BL$928,MATCH($B1446,[3]AGM!$AD$21:$AD$928,0),1),"NA")</f>
        <v>OS</v>
      </c>
      <c r="F1446" s="20" t="str">
        <f t="shared" si="70"/>
        <v>Block 27</v>
      </c>
      <c r="G1446" s="20" t="str">
        <f t="shared" si="69"/>
        <v>Lot 16</v>
      </c>
      <c r="H1446" s="20">
        <f>IFERROR(INDEX('[2]PRICELIST, 908u'!$G$7:$AX$914,MATCH($B1446,'[2]PRICELIST, 908u'!$G$7:$G$914,0),23),"NA")</f>
        <v>50</v>
      </c>
      <c r="I1446" s="20">
        <f>IFERROR(INDEX('[2]PRICELIST, 908u'!$G$7:$AX$914,MATCH($B1446,'[2]PRICELIST, 908u'!$G$7:$G$914,0),22),"NA")</f>
        <v>70</v>
      </c>
      <c r="J1446" s="20" t="s">
        <v>25</v>
      </c>
      <c r="K1446" s="20" t="str">
        <f>IFERROR(INDEX('[2]PRICELIST, 908u'!$G$7:$AX$914,MATCH($B1446,'[2]PRICELIST, 908u'!$G$7:$G$914,0),30),"NA")</f>
        <v>Slant / GREEN</v>
      </c>
      <c r="L1446" s="20">
        <f>IFERROR(INDEX('[2]PRICELIST, 908u'!$G$7:$AX$914,MATCH($B1446,'[2]PRICELIST, 908u'!$G$7:$G$914,0),40),"NA")</f>
        <v>2850000</v>
      </c>
      <c r="M1446" s="20">
        <f>IFERROR(INDEX('[2]PRICELIST, 908u'!$G$7:$AX$914,MATCH($B1446,'[2]PRICELIST, 908u'!$G$7:$G$914,0),41),"NA")</f>
        <v>100000</v>
      </c>
      <c r="N1446" s="58">
        <f t="shared" si="72"/>
        <v>2750000</v>
      </c>
      <c r="O1446" s="60"/>
      <c r="P1446" s="60">
        <f t="shared" si="71"/>
        <v>2750000</v>
      </c>
    </row>
    <row r="1447" spans="2:16">
      <c r="B1447" s="20" t="s">
        <v>1598</v>
      </c>
      <c r="C1447" s="20" t="s">
        <v>2</v>
      </c>
      <c r="D1447" s="20" t="str">
        <f>IFERROR(INDEX('[2]PRICELIST, 908u'!$G$7:$AX$914,MATCH($B1447,'[2]PRICELIST, 908u'!$G$7:$G$914,0),18),"NA")</f>
        <v>2024 Batch</v>
      </c>
      <c r="E1447" s="20" t="str">
        <f>IFERROR(INDEX([3]AGM!$D$21:$BL$928,MATCH($B1447,[3]AGM!$AD$21:$AD$928,0),1),"NA")</f>
        <v>HOLD</v>
      </c>
      <c r="F1447" s="20" t="str">
        <f t="shared" si="70"/>
        <v>Block 27</v>
      </c>
      <c r="G1447" s="20" t="str">
        <f t="shared" si="69"/>
        <v>Lot 17</v>
      </c>
      <c r="H1447" s="20">
        <f>IFERROR(INDEX('[2]PRICELIST, 908u'!$G$7:$AX$914,MATCH($B1447,'[2]PRICELIST, 908u'!$G$7:$G$914,0),23),"NA")</f>
        <v>50</v>
      </c>
      <c r="I1447" s="20">
        <f>IFERROR(INDEX('[2]PRICELIST, 908u'!$G$7:$AX$914,MATCH($B1447,'[2]PRICELIST, 908u'!$G$7:$G$914,0),22),"NA")</f>
        <v>70</v>
      </c>
      <c r="J1447" s="20" t="s">
        <v>25</v>
      </c>
      <c r="K1447" s="20" t="str">
        <f>IFERROR(INDEX('[2]PRICELIST, 908u'!$G$7:$AX$914,MATCH($B1447,'[2]PRICELIST, 908u'!$G$7:$G$914,0),30),"NA")</f>
        <v>Slant / GREEN</v>
      </c>
      <c r="L1447" s="20">
        <f>IFERROR(INDEX('[2]PRICELIST, 908u'!$G$7:$AX$914,MATCH($B1447,'[2]PRICELIST, 908u'!$G$7:$G$914,0),40),"NA")</f>
        <v>2850000</v>
      </c>
      <c r="M1447" s="20">
        <f>IFERROR(INDEX('[2]PRICELIST, 908u'!$G$7:$AX$914,MATCH($B1447,'[2]PRICELIST, 908u'!$G$7:$G$914,0),41),"NA")</f>
        <v>100000</v>
      </c>
      <c r="N1447" s="58">
        <f t="shared" si="72"/>
        <v>2750000</v>
      </c>
      <c r="O1447" s="60"/>
      <c r="P1447" s="60">
        <f t="shared" si="71"/>
        <v>2750000</v>
      </c>
    </row>
    <row r="1448" spans="2:16">
      <c r="B1448" s="20" t="s">
        <v>1599</v>
      </c>
      <c r="C1448" s="20" t="s">
        <v>2</v>
      </c>
      <c r="D1448" s="20" t="str">
        <f>IFERROR(INDEX('[2]PRICELIST, 908u'!$G$7:$AX$914,MATCH($B1448,'[2]PRICELIST, 908u'!$G$7:$G$914,0),18),"NA")</f>
        <v>2024 Batch</v>
      </c>
      <c r="E1448" s="20" t="str">
        <f>IFERROR(INDEX([3]AGM!$D$21:$BL$928,MATCH($B1448,[3]AGM!$AD$21:$AD$928,0),1),"NA")</f>
        <v>OS</v>
      </c>
      <c r="F1448" s="20" t="str">
        <f t="shared" si="70"/>
        <v>Block 27</v>
      </c>
      <c r="G1448" s="20" t="str">
        <f t="shared" si="69"/>
        <v>Lot 18</v>
      </c>
      <c r="H1448" s="20">
        <f>IFERROR(INDEX('[2]PRICELIST, 908u'!$G$7:$AX$914,MATCH($B1448,'[2]PRICELIST, 908u'!$G$7:$G$914,0),23),"NA")</f>
        <v>50</v>
      </c>
      <c r="I1448" s="20">
        <f>IFERROR(INDEX('[2]PRICELIST, 908u'!$G$7:$AX$914,MATCH($B1448,'[2]PRICELIST, 908u'!$G$7:$G$914,0),22),"NA")</f>
        <v>70</v>
      </c>
      <c r="J1448" s="20" t="s">
        <v>25</v>
      </c>
      <c r="K1448" s="20" t="str">
        <f>IFERROR(INDEX('[2]PRICELIST, 908u'!$G$7:$AX$914,MATCH($B1448,'[2]PRICELIST, 908u'!$G$7:$G$914,0),30),"NA")</f>
        <v>Flat / GREEN</v>
      </c>
      <c r="L1448" s="20">
        <f>IFERROR(INDEX('[2]PRICELIST, 908u'!$G$7:$AX$914,MATCH($B1448,'[2]PRICELIST, 908u'!$G$7:$G$914,0),40),"NA")</f>
        <v>2850000</v>
      </c>
      <c r="M1448" s="20">
        <f>IFERROR(INDEX('[2]PRICELIST, 908u'!$G$7:$AX$914,MATCH($B1448,'[2]PRICELIST, 908u'!$G$7:$G$914,0),41),"NA")</f>
        <v>100000</v>
      </c>
      <c r="N1448" s="58">
        <f t="shared" si="72"/>
        <v>2750000</v>
      </c>
      <c r="O1448" s="60"/>
      <c r="P1448" s="60">
        <f t="shared" si="71"/>
        <v>2750000</v>
      </c>
    </row>
    <row r="1449" spans="2:16">
      <c r="B1449" s="20" t="s">
        <v>1600</v>
      </c>
      <c r="C1449" s="20" t="s">
        <v>2</v>
      </c>
      <c r="D1449" s="20" t="str">
        <f>IFERROR(INDEX('[2]PRICELIST, 908u'!$G$7:$AX$914,MATCH($B1449,'[2]PRICELIST, 908u'!$G$7:$G$914,0),18),"NA")</f>
        <v>2024 Batch</v>
      </c>
      <c r="E1449" s="20" t="str">
        <f>IFERROR(INDEX([3]AGM!$D$21:$BL$928,MATCH($B1449,[3]AGM!$AD$21:$AD$928,0),1),"NA")</f>
        <v>OS</v>
      </c>
      <c r="F1449" s="20" t="str">
        <f t="shared" si="70"/>
        <v>Block 27</v>
      </c>
      <c r="G1449" s="20" t="str">
        <f t="shared" si="69"/>
        <v>Lot 19</v>
      </c>
      <c r="H1449" s="20">
        <f>IFERROR(INDEX('[2]PRICELIST, 908u'!$G$7:$AX$914,MATCH($B1449,'[2]PRICELIST, 908u'!$G$7:$G$914,0),23),"NA")</f>
        <v>50</v>
      </c>
      <c r="I1449" s="20">
        <f>IFERROR(INDEX('[2]PRICELIST, 908u'!$G$7:$AX$914,MATCH($B1449,'[2]PRICELIST, 908u'!$G$7:$G$914,0),22),"NA")</f>
        <v>70</v>
      </c>
      <c r="J1449" s="20" t="s">
        <v>25</v>
      </c>
      <c r="K1449" s="20" t="str">
        <f>IFERROR(INDEX('[2]PRICELIST, 908u'!$G$7:$AX$914,MATCH($B1449,'[2]PRICELIST, 908u'!$G$7:$G$914,0),30),"NA")</f>
        <v>Flat / PURPLE</v>
      </c>
      <c r="L1449" s="20">
        <f>IFERROR(INDEX('[2]PRICELIST, 908u'!$G$7:$AX$914,MATCH($B1449,'[2]PRICELIST, 908u'!$G$7:$G$914,0),40),"NA")</f>
        <v>2850000</v>
      </c>
      <c r="M1449" s="20">
        <f>IFERROR(INDEX('[2]PRICELIST, 908u'!$G$7:$AX$914,MATCH($B1449,'[2]PRICELIST, 908u'!$G$7:$G$914,0),41),"NA")</f>
        <v>100000</v>
      </c>
      <c r="N1449" s="58">
        <f t="shared" si="72"/>
        <v>2750000</v>
      </c>
      <c r="O1449" s="60"/>
      <c r="P1449" s="60">
        <f t="shared" si="71"/>
        <v>2750000</v>
      </c>
    </row>
    <row r="1450" spans="2:16">
      <c r="B1450" s="20" t="s">
        <v>1601</v>
      </c>
      <c r="C1450" s="20" t="s">
        <v>2</v>
      </c>
      <c r="D1450" s="20" t="str">
        <f>IFERROR(INDEX('[2]PRICELIST, 908u'!$G$7:$AX$914,MATCH($B1450,'[2]PRICELIST, 908u'!$G$7:$G$914,0),18),"NA")</f>
        <v>2024 Batch</v>
      </c>
      <c r="E1450" s="20" t="str">
        <f>IFERROR(INDEX([3]AGM!$D$21:$BL$928,MATCH($B1450,[3]AGM!$AD$21:$AD$928,0),1),"NA")</f>
        <v>OS</v>
      </c>
      <c r="F1450" s="20" t="str">
        <f t="shared" si="70"/>
        <v>Block 27</v>
      </c>
      <c r="G1450" s="20" t="str">
        <f t="shared" si="69"/>
        <v>Lot 20</v>
      </c>
      <c r="H1450" s="20">
        <f>IFERROR(INDEX('[2]PRICELIST, 908u'!$G$7:$AX$914,MATCH($B1450,'[2]PRICELIST, 908u'!$G$7:$G$914,0),23),"NA")</f>
        <v>50</v>
      </c>
      <c r="I1450" s="20">
        <f>IFERROR(INDEX('[2]PRICELIST, 908u'!$G$7:$AX$914,MATCH($B1450,'[2]PRICELIST, 908u'!$G$7:$G$914,0),22),"NA")</f>
        <v>70</v>
      </c>
      <c r="J1450" s="20" t="s">
        <v>25</v>
      </c>
      <c r="K1450" s="20" t="str">
        <f>IFERROR(INDEX('[2]PRICELIST, 908u'!$G$7:$AX$914,MATCH($B1450,'[2]PRICELIST, 908u'!$G$7:$G$914,0),30),"NA")</f>
        <v>Slant / PURPLE</v>
      </c>
      <c r="L1450" s="20">
        <f>IFERROR(INDEX('[2]PRICELIST, 908u'!$G$7:$AX$914,MATCH($B1450,'[2]PRICELIST, 908u'!$G$7:$G$914,0),40),"NA")</f>
        <v>2850000</v>
      </c>
      <c r="M1450" s="20">
        <f>IFERROR(INDEX('[2]PRICELIST, 908u'!$G$7:$AX$914,MATCH($B1450,'[2]PRICELIST, 908u'!$G$7:$G$914,0),41),"NA")</f>
        <v>100000</v>
      </c>
      <c r="N1450" s="58">
        <f t="shared" si="72"/>
        <v>2750000</v>
      </c>
      <c r="O1450" s="60"/>
      <c r="P1450" s="60">
        <f t="shared" si="71"/>
        <v>2750000</v>
      </c>
    </row>
    <row r="1451" spans="2:16">
      <c r="B1451" s="20" t="s">
        <v>1602</v>
      </c>
      <c r="C1451" s="20" t="s">
        <v>2</v>
      </c>
      <c r="D1451" s="20" t="str">
        <f>IFERROR(INDEX('[2]PRICELIST, 908u'!$G$7:$AX$914,MATCH($B1451,'[2]PRICELIST, 908u'!$G$7:$G$914,0),18),"NA")</f>
        <v>2024 Batch</v>
      </c>
      <c r="E1451" s="20" t="str">
        <f>IFERROR(INDEX([3]AGM!$D$21:$BL$928,MATCH($B1451,[3]AGM!$AD$21:$AD$928,0),1),"NA")</f>
        <v>OS</v>
      </c>
      <c r="F1451" s="20" t="str">
        <f t="shared" si="70"/>
        <v>Block 27</v>
      </c>
      <c r="G1451" s="20" t="str">
        <f t="shared" si="69"/>
        <v>Lot 21</v>
      </c>
      <c r="H1451" s="20">
        <f>IFERROR(INDEX('[2]PRICELIST, 908u'!$G$7:$AX$914,MATCH($B1451,'[2]PRICELIST, 908u'!$G$7:$G$914,0),23),"NA")</f>
        <v>50</v>
      </c>
      <c r="I1451" s="20">
        <f>IFERROR(INDEX('[2]PRICELIST, 908u'!$G$7:$AX$914,MATCH($B1451,'[2]PRICELIST, 908u'!$G$7:$G$914,0),22),"NA")</f>
        <v>70</v>
      </c>
      <c r="J1451" s="20" t="s">
        <v>25</v>
      </c>
      <c r="K1451" s="20" t="str">
        <f>IFERROR(INDEX('[2]PRICELIST, 908u'!$G$7:$AX$914,MATCH($B1451,'[2]PRICELIST, 908u'!$G$7:$G$914,0),30),"NA")</f>
        <v>Slant / PURPLE</v>
      </c>
      <c r="L1451" s="20">
        <f>IFERROR(INDEX('[2]PRICELIST, 908u'!$G$7:$AX$914,MATCH($B1451,'[2]PRICELIST, 908u'!$G$7:$G$914,0),40),"NA")</f>
        <v>2850000</v>
      </c>
      <c r="M1451" s="20">
        <f>IFERROR(INDEX('[2]PRICELIST, 908u'!$G$7:$AX$914,MATCH($B1451,'[2]PRICELIST, 908u'!$G$7:$G$914,0),41),"NA")</f>
        <v>100000</v>
      </c>
      <c r="N1451" s="58">
        <f t="shared" si="72"/>
        <v>2750000</v>
      </c>
      <c r="O1451" s="60"/>
      <c r="P1451" s="60">
        <f t="shared" si="71"/>
        <v>2750000</v>
      </c>
    </row>
    <row r="1452" spans="2:16">
      <c r="B1452" s="20" t="s">
        <v>1603</v>
      </c>
      <c r="C1452" s="20" t="s">
        <v>2</v>
      </c>
      <c r="D1452" s="20" t="str">
        <f>IFERROR(INDEX('[2]PRICELIST, 908u'!$G$7:$AX$914,MATCH($B1452,'[2]PRICELIST, 908u'!$G$7:$G$914,0),18),"NA")</f>
        <v>2024 Batch</v>
      </c>
      <c r="E1452" s="20" t="str">
        <f>IFERROR(INDEX([3]AGM!$D$21:$BL$928,MATCH($B1452,[3]AGM!$AD$21:$AD$928,0),1),"NA")</f>
        <v>OS</v>
      </c>
      <c r="F1452" s="20" t="str">
        <f t="shared" si="70"/>
        <v>Block 27</v>
      </c>
      <c r="G1452" s="20" t="str">
        <f t="shared" si="69"/>
        <v>Lot 22</v>
      </c>
      <c r="H1452" s="20">
        <f>IFERROR(INDEX('[2]PRICELIST, 908u'!$G$7:$AX$914,MATCH($B1452,'[2]PRICELIST, 908u'!$G$7:$G$914,0),23),"NA")</f>
        <v>50</v>
      </c>
      <c r="I1452" s="20">
        <f>IFERROR(INDEX('[2]PRICELIST, 908u'!$G$7:$AX$914,MATCH($B1452,'[2]PRICELIST, 908u'!$G$7:$G$914,0),22),"NA")</f>
        <v>81</v>
      </c>
      <c r="J1452" s="20" t="s">
        <v>25</v>
      </c>
      <c r="K1452" s="20" t="str">
        <f>IFERROR(INDEX('[2]PRICELIST, 908u'!$G$7:$AX$914,MATCH($B1452,'[2]PRICELIST, 908u'!$G$7:$G$914,0),30),"NA")</f>
        <v>Flat / PURPLE</v>
      </c>
      <c r="L1452" s="20">
        <f>IFERROR(INDEX('[2]PRICELIST, 908u'!$G$7:$AX$914,MATCH($B1452,'[2]PRICELIST, 908u'!$G$7:$G$914,0),40),"NA")</f>
        <v>3015000</v>
      </c>
      <c r="M1452" s="20">
        <f>IFERROR(INDEX('[2]PRICELIST, 908u'!$G$7:$AX$914,MATCH($B1452,'[2]PRICELIST, 908u'!$G$7:$G$914,0),41),"NA")</f>
        <v>100000</v>
      </c>
      <c r="N1452" s="58">
        <f t="shared" si="72"/>
        <v>2915000</v>
      </c>
      <c r="O1452" s="60"/>
      <c r="P1452" s="60">
        <f t="shared" si="71"/>
        <v>2915000</v>
      </c>
    </row>
    <row r="1453" spans="2:16">
      <c r="B1453" s="20" t="s">
        <v>1604</v>
      </c>
      <c r="C1453" s="20" t="s">
        <v>2</v>
      </c>
      <c r="D1453" s="20" t="str">
        <f>IFERROR(INDEX('[2]PRICELIST, 908u'!$G$7:$AX$914,MATCH($B1453,'[2]PRICELIST, 908u'!$G$7:$G$914,0),18),"NA")</f>
        <v>2024 Batch</v>
      </c>
      <c r="E1453" s="20" t="str">
        <f>IFERROR(INDEX([3]AGM!$D$21:$BL$928,MATCH($B1453,[3]AGM!$AD$21:$AD$928,0),1),"NA")</f>
        <v>OS</v>
      </c>
      <c r="F1453" s="20" t="str">
        <f t="shared" si="70"/>
        <v>Block 27</v>
      </c>
      <c r="G1453" s="20" t="str">
        <f t="shared" si="69"/>
        <v>Lot 23</v>
      </c>
      <c r="H1453" s="20">
        <f>IFERROR(INDEX('[2]PRICELIST, 908u'!$G$7:$AX$914,MATCH($B1453,'[2]PRICELIST, 908u'!$G$7:$G$914,0),23),"NA")</f>
        <v>50</v>
      </c>
      <c r="I1453" s="20">
        <f>IFERROR(INDEX('[2]PRICELIST, 908u'!$G$7:$AX$914,MATCH($B1453,'[2]PRICELIST, 908u'!$G$7:$G$914,0),22),"NA")</f>
        <v>81</v>
      </c>
      <c r="J1453" s="20" t="s">
        <v>25</v>
      </c>
      <c r="K1453" s="20" t="str">
        <f>IFERROR(INDEX('[2]PRICELIST, 908u'!$G$7:$AX$914,MATCH($B1453,'[2]PRICELIST, 908u'!$G$7:$G$914,0),30),"NA")</f>
        <v>Slant / PINK</v>
      </c>
      <c r="L1453" s="20">
        <f>IFERROR(INDEX('[2]PRICELIST, 908u'!$G$7:$AX$914,MATCH($B1453,'[2]PRICELIST, 908u'!$G$7:$G$914,0),40),"NA")</f>
        <v>3015000</v>
      </c>
      <c r="M1453" s="20">
        <f>IFERROR(INDEX('[2]PRICELIST, 908u'!$G$7:$AX$914,MATCH($B1453,'[2]PRICELIST, 908u'!$G$7:$G$914,0),41),"NA")</f>
        <v>100000</v>
      </c>
      <c r="N1453" s="58">
        <f t="shared" si="72"/>
        <v>2915000</v>
      </c>
      <c r="O1453" s="60"/>
      <c r="P1453" s="60">
        <f t="shared" si="71"/>
        <v>2915000</v>
      </c>
    </row>
    <row r="1454" spans="2:16">
      <c r="B1454" s="20" t="s">
        <v>1605</v>
      </c>
      <c r="C1454" s="20" t="s">
        <v>2</v>
      </c>
      <c r="D1454" s="20" t="str">
        <f>IFERROR(INDEX('[2]PRICELIST, 908u'!$G$7:$AX$914,MATCH($B1454,'[2]PRICELIST, 908u'!$G$7:$G$914,0),18),"NA")</f>
        <v>2024 Batch</v>
      </c>
      <c r="E1454" s="20" t="str">
        <f>IFERROR(INDEX([3]AGM!$D$21:$BL$928,MATCH($B1454,[3]AGM!$AD$21:$AD$928,0),1),"NA")</f>
        <v>OS</v>
      </c>
      <c r="F1454" s="20" t="str">
        <f t="shared" si="70"/>
        <v>Block 27</v>
      </c>
      <c r="G1454" s="20" t="str">
        <f t="shared" si="69"/>
        <v>Lot 24</v>
      </c>
      <c r="H1454" s="20">
        <f>IFERROR(INDEX('[2]PRICELIST, 908u'!$G$7:$AX$914,MATCH($B1454,'[2]PRICELIST, 908u'!$G$7:$G$914,0),23),"NA")</f>
        <v>50</v>
      </c>
      <c r="I1454" s="20">
        <f>IFERROR(INDEX('[2]PRICELIST, 908u'!$G$7:$AX$914,MATCH($B1454,'[2]PRICELIST, 908u'!$G$7:$G$914,0),22),"NA")</f>
        <v>70</v>
      </c>
      <c r="J1454" s="20" t="s">
        <v>25</v>
      </c>
      <c r="K1454" s="20" t="str">
        <f>IFERROR(INDEX('[2]PRICELIST, 908u'!$G$7:$AX$914,MATCH($B1454,'[2]PRICELIST, 908u'!$G$7:$G$914,0),30),"NA")</f>
        <v>Flat / PINK</v>
      </c>
      <c r="L1454" s="20">
        <f>IFERROR(INDEX('[2]PRICELIST, 908u'!$G$7:$AX$914,MATCH($B1454,'[2]PRICELIST, 908u'!$G$7:$G$914,0),40),"NA")</f>
        <v>2850000</v>
      </c>
      <c r="M1454" s="20">
        <f>IFERROR(INDEX('[2]PRICELIST, 908u'!$G$7:$AX$914,MATCH($B1454,'[2]PRICELIST, 908u'!$G$7:$G$914,0),41),"NA")</f>
        <v>100000</v>
      </c>
      <c r="N1454" s="58">
        <f t="shared" si="72"/>
        <v>2750000</v>
      </c>
      <c r="O1454" s="60"/>
      <c r="P1454" s="60">
        <f t="shared" si="71"/>
        <v>2750000</v>
      </c>
    </row>
    <row r="1455" spans="2:16">
      <c r="B1455" s="20" t="s">
        <v>1606</v>
      </c>
      <c r="C1455" s="20" t="s">
        <v>2</v>
      </c>
      <c r="D1455" s="20" t="str">
        <f>IFERROR(INDEX('[2]PRICELIST, 908u'!$G$7:$AX$914,MATCH($B1455,'[2]PRICELIST, 908u'!$G$7:$G$914,0),18),"NA")</f>
        <v>2024 Batch</v>
      </c>
      <c r="E1455" s="20" t="str">
        <f>IFERROR(INDEX([3]AGM!$D$21:$BL$928,MATCH($B1455,[3]AGM!$AD$21:$AD$928,0),1),"NA")</f>
        <v>OS</v>
      </c>
      <c r="F1455" s="20" t="str">
        <f t="shared" si="70"/>
        <v>Block 27</v>
      </c>
      <c r="G1455" s="20" t="str">
        <f t="shared" si="69"/>
        <v>Lot 25</v>
      </c>
      <c r="H1455" s="20">
        <f>IFERROR(INDEX('[2]PRICELIST, 908u'!$G$7:$AX$914,MATCH($B1455,'[2]PRICELIST, 908u'!$G$7:$G$914,0),23),"NA")</f>
        <v>50</v>
      </c>
      <c r="I1455" s="20">
        <f>IFERROR(INDEX('[2]PRICELIST, 908u'!$G$7:$AX$914,MATCH($B1455,'[2]PRICELIST, 908u'!$G$7:$G$914,0),22),"NA")</f>
        <v>70</v>
      </c>
      <c r="J1455" s="20" t="s">
        <v>25</v>
      </c>
      <c r="K1455" s="20" t="str">
        <f>IFERROR(INDEX('[2]PRICELIST, 908u'!$G$7:$AX$914,MATCH($B1455,'[2]PRICELIST, 908u'!$G$7:$G$914,0),30),"NA")</f>
        <v>Flat / PINK</v>
      </c>
      <c r="L1455" s="20">
        <f>IFERROR(INDEX('[2]PRICELIST, 908u'!$G$7:$AX$914,MATCH($B1455,'[2]PRICELIST, 908u'!$G$7:$G$914,0),40),"NA")</f>
        <v>2850000</v>
      </c>
      <c r="M1455" s="20">
        <f>IFERROR(INDEX('[2]PRICELIST, 908u'!$G$7:$AX$914,MATCH($B1455,'[2]PRICELIST, 908u'!$G$7:$G$914,0),41),"NA")</f>
        <v>100000</v>
      </c>
      <c r="N1455" s="58">
        <f t="shared" si="72"/>
        <v>2750000</v>
      </c>
      <c r="O1455" s="60"/>
      <c r="P1455" s="60">
        <f t="shared" si="71"/>
        <v>2750000</v>
      </c>
    </row>
    <row r="1456" spans="2:16">
      <c r="B1456" s="20" t="s">
        <v>1607</v>
      </c>
      <c r="C1456" s="20" t="s">
        <v>2</v>
      </c>
      <c r="D1456" s="20" t="str">
        <f>IFERROR(INDEX('[2]PRICELIST, 908u'!$G$7:$AX$914,MATCH($B1456,'[2]PRICELIST, 908u'!$G$7:$G$914,0),18),"NA")</f>
        <v>2024 Batch</v>
      </c>
      <c r="E1456" s="20" t="str">
        <f>IFERROR(INDEX([3]AGM!$D$21:$BL$928,MATCH($B1456,[3]AGM!$AD$21:$AD$928,0),1),"NA")</f>
        <v>OPEN</v>
      </c>
      <c r="F1456" s="20" t="str">
        <f t="shared" si="70"/>
        <v>Block 27</v>
      </c>
      <c r="G1456" s="20" t="str">
        <f t="shared" si="69"/>
        <v>Lot 26</v>
      </c>
      <c r="H1456" s="20">
        <f>IFERROR(INDEX('[2]PRICELIST, 908u'!$G$7:$AX$914,MATCH($B1456,'[2]PRICELIST, 908u'!$G$7:$G$914,0),23),"NA")</f>
        <v>50</v>
      </c>
      <c r="I1456" s="20">
        <f>IFERROR(INDEX('[2]PRICELIST, 908u'!$G$7:$AX$914,MATCH($B1456,'[2]PRICELIST, 908u'!$G$7:$G$914,0),22),"NA")</f>
        <v>70</v>
      </c>
      <c r="J1456" s="20" t="s">
        <v>25</v>
      </c>
      <c r="K1456" s="20" t="str">
        <f>IFERROR(INDEX('[2]PRICELIST, 908u'!$G$7:$AX$914,MATCH($B1456,'[2]PRICELIST, 908u'!$G$7:$G$914,0),30),"NA")</f>
        <v>Slant / PINK</v>
      </c>
      <c r="L1456" s="20">
        <f>IFERROR(INDEX('[2]PRICELIST, 908u'!$G$7:$AX$914,MATCH($B1456,'[2]PRICELIST, 908u'!$G$7:$G$914,0),40),"NA")</f>
        <v>2850000</v>
      </c>
      <c r="M1456" s="20">
        <f>IFERROR(INDEX('[2]PRICELIST, 908u'!$G$7:$AX$914,MATCH($B1456,'[2]PRICELIST, 908u'!$G$7:$G$914,0),41),"NA")</f>
        <v>100000</v>
      </c>
      <c r="N1456" s="58">
        <f t="shared" si="72"/>
        <v>2750000</v>
      </c>
      <c r="O1456" s="60"/>
      <c r="P1456" s="60">
        <f t="shared" si="71"/>
        <v>2750000</v>
      </c>
    </row>
    <row r="1457" spans="2:16">
      <c r="B1457" s="20" t="s">
        <v>1608</v>
      </c>
      <c r="C1457" s="20" t="s">
        <v>2</v>
      </c>
      <c r="D1457" s="20" t="str">
        <f>IFERROR(INDEX('[2]PRICELIST, 908u'!$G$7:$AX$914,MATCH($B1457,'[2]PRICELIST, 908u'!$G$7:$G$914,0),18),"NA")</f>
        <v>2024 Batch</v>
      </c>
      <c r="E1457" s="20" t="str">
        <f>IFERROR(INDEX([3]AGM!$D$21:$BL$928,MATCH($B1457,[3]AGM!$AD$21:$AD$928,0),1),"NA")</f>
        <v>OS</v>
      </c>
      <c r="F1457" s="20" t="str">
        <f t="shared" si="70"/>
        <v>Block 27</v>
      </c>
      <c r="G1457" s="20" t="str">
        <f t="shared" si="69"/>
        <v>Lot 27</v>
      </c>
      <c r="H1457" s="20">
        <f>IFERROR(INDEX('[2]PRICELIST, 908u'!$G$7:$AX$914,MATCH($B1457,'[2]PRICELIST, 908u'!$G$7:$G$914,0),23),"NA")</f>
        <v>50</v>
      </c>
      <c r="I1457" s="20">
        <f>IFERROR(INDEX('[2]PRICELIST, 908u'!$G$7:$AX$914,MATCH($B1457,'[2]PRICELIST, 908u'!$G$7:$G$914,0),22),"NA")</f>
        <v>70</v>
      </c>
      <c r="J1457" s="20" t="s">
        <v>25</v>
      </c>
      <c r="K1457" s="20" t="str">
        <f>IFERROR(INDEX('[2]PRICELIST, 908u'!$G$7:$AX$914,MATCH($B1457,'[2]PRICELIST, 908u'!$G$7:$G$914,0),30),"NA")</f>
        <v>Slant / PURPLE</v>
      </c>
      <c r="L1457" s="20">
        <f>IFERROR(INDEX('[2]PRICELIST, 908u'!$G$7:$AX$914,MATCH($B1457,'[2]PRICELIST, 908u'!$G$7:$G$914,0),40),"NA")</f>
        <v>2850000</v>
      </c>
      <c r="M1457" s="20">
        <f>IFERROR(INDEX('[2]PRICELIST, 908u'!$G$7:$AX$914,MATCH($B1457,'[2]PRICELIST, 908u'!$G$7:$G$914,0),41),"NA")</f>
        <v>100000</v>
      </c>
      <c r="N1457" s="58">
        <f t="shared" si="72"/>
        <v>2750000</v>
      </c>
      <c r="O1457" s="60"/>
      <c r="P1457" s="60">
        <f t="shared" si="71"/>
        <v>2750000</v>
      </c>
    </row>
    <row r="1458" spans="2:16">
      <c r="B1458" s="20" t="s">
        <v>1609</v>
      </c>
      <c r="C1458" s="20" t="s">
        <v>2</v>
      </c>
      <c r="D1458" s="20" t="str">
        <f>IFERROR(INDEX('[2]PRICELIST, 908u'!$G$7:$AX$914,MATCH($B1458,'[2]PRICELIST, 908u'!$G$7:$G$914,0),18),"NA")</f>
        <v>2024 Batch</v>
      </c>
      <c r="E1458" s="20" t="str">
        <f>IFERROR(INDEX([3]AGM!$D$21:$BL$928,MATCH($B1458,[3]AGM!$AD$21:$AD$928,0),1),"NA")</f>
        <v>OS</v>
      </c>
      <c r="F1458" s="20" t="str">
        <f t="shared" si="70"/>
        <v>Block 27</v>
      </c>
      <c r="G1458" s="20" t="str">
        <f t="shared" si="69"/>
        <v>Lot 28</v>
      </c>
      <c r="H1458" s="20">
        <f>IFERROR(INDEX('[2]PRICELIST, 908u'!$G$7:$AX$914,MATCH($B1458,'[2]PRICELIST, 908u'!$G$7:$G$914,0),23),"NA")</f>
        <v>50</v>
      </c>
      <c r="I1458" s="20">
        <f>IFERROR(INDEX('[2]PRICELIST, 908u'!$G$7:$AX$914,MATCH($B1458,'[2]PRICELIST, 908u'!$G$7:$G$914,0),22),"NA")</f>
        <v>70</v>
      </c>
      <c r="J1458" s="20" t="s">
        <v>25</v>
      </c>
      <c r="K1458" s="20" t="str">
        <f>IFERROR(INDEX('[2]PRICELIST, 908u'!$G$7:$AX$914,MATCH($B1458,'[2]PRICELIST, 908u'!$G$7:$G$914,0),30),"NA")</f>
        <v>Flat / PURPLE</v>
      </c>
      <c r="L1458" s="20">
        <f>IFERROR(INDEX('[2]PRICELIST, 908u'!$G$7:$AX$914,MATCH($B1458,'[2]PRICELIST, 908u'!$G$7:$G$914,0),40),"NA")</f>
        <v>2850000</v>
      </c>
      <c r="M1458" s="20">
        <f>IFERROR(INDEX('[2]PRICELIST, 908u'!$G$7:$AX$914,MATCH($B1458,'[2]PRICELIST, 908u'!$G$7:$G$914,0),41),"NA")</f>
        <v>100000</v>
      </c>
      <c r="N1458" s="58">
        <f t="shared" si="72"/>
        <v>2750000</v>
      </c>
      <c r="O1458" s="60"/>
      <c r="P1458" s="60">
        <f t="shared" si="71"/>
        <v>2750000</v>
      </c>
    </row>
    <row r="1459" spans="2:16">
      <c r="B1459" s="20" t="s">
        <v>1610</v>
      </c>
      <c r="C1459" s="20" t="s">
        <v>2</v>
      </c>
      <c r="D1459" s="20" t="str">
        <f>IFERROR(INDEX('[2]PRICELIST, 908u'!$G$7:$AX$914,MATCH($B1459,'[2]PRICELIST, 908u'!$G$7:$G$914,0),18),"NA")</f>
        <v>2024 Batch</v>
      </c>
      <c r="E1459" s="20" t="str">
        <f>IFERROR(INDEX([3]AGM!$D$21:$BL$928,MATCH($B1459,[3]AGM!$AD$21:$AD$928,0),1),"NA")</f>
        <v>OS</v>
      </c>
      <c r="F1459" s="20" t="str">
        <f t="shared" si="70"/>
        <v>Block 27</v>
      </c>
      <c r="G1459" s="20" t="str">
        <f t="shared" si="69"/>
        <v>Lot 29</v>
      </c>
      <c r="H1459" s="20">
        <f>IFERROR(INDEX('[2]PRICELIST, 908u'!$G$7:$AX$914,MATCH($B1459,'[2]PRICELIST, 908u'!$G$7:$G$914,0),23),"NA")</f>
        <v>50</v>
      </c>
      <c r="I1459" s="20">
        <f>IFERROR(INDEX('[2]PRICELIST, 908u'!$G$7:$AX$914,MATCH($B1459,'[2]PRICELIST, 908u'!$G$7:$G$914,0),22),"NA")</f>
        <v>70</v>
      </c>
      <c r="J1459" s="20" t="s">
        <v>25</v>
      </c>
      <c r="K1459" s="20" t="str">
        <f>IFERROR(INDEX('[2]PRICELIST, 908u'!$G$7:$AX$914,MATCH($B1459,'[2]PRICELIST, 908u'!$G$7:$G$914,0),30),"NA")</f>
        <v>Flat / PURPLE</v>
      </c>
      <c r="L1459" s="20">
        <f>IFERROR(INDEX('[2]PRICELIST, 908u'!$G$7:$AX$914,MATCH($B1459,'[2]PRICELIST, 908u'!$G$7:$G$914,0),40),"NA")</f>
        <v>2850000</v>
      </c>
      <c r="M1459" s="20">
        <f>IFERROR(INDEX('[2]PRICELIST, 908u'!$G$7:$AX$914,MATCH($B1459,'[2]PRICELIST, 908u'!$G$7:$G$914,0),41),"NA")</f>
        <v>100000</v>
      </c>
      <c r="N1459" s="58">
        <f t="shared" si="72"/>
        <v>2750000</v>
      </c>
      <c r="O1459" s="60"/>
      <c r="P1459" s="60">
        <f t="shared" si="71"/>
        <v>2750000</v>
      </c>
    </row>
    <row r="1460" spans="2:16">
      <c r="B1460" s="20" t="s">
        <v>1611</v>
      </c>
      <c r="C1460" s="20" t="s">
        <v>2</v>
      </c>
      <c r="D1460" s="20" t="str">
        <f>IFERROR(INDEX('[2]PRICELIST, 908u'!$G$7:$AX$914,MATCH($B1460,'[2]PRICELIST, 908u'!$G$7:$G$914,0),18),"NA")</f>
        <v>2024 Batch</v>
      </c>
      <c r="E1460" s="20" t="str">
        <f>IFERROR(INDEX([3]AGM!$D$21:$BL$928,MATCH($B1460,[3]AGM!$AD$21:$AD$928,0),1),"NA")</f>
        <v>OS</v>
      </c>
      <c r="F1460" s="20" t="str">
        <f t="shared" si="70"/>
        <v>Block 27</v>
      </c>
      <c r="G1460" s="20" t="str">
        <f t="shared" si="69"/>
        <v>Lot 30</v>
      </c>
      <c r="H1460" s="20">
        <f>IFERROR(INDEX('[2]PRICELIST, 908u'!$G$7:$AX$914,MATCH($B1460,'[2]PRICELIST, 908u'!$G$7:$G$914,0),23),"NA")</f>
        <v>50</v>
      </c>
      <c r="I1460" s="20">
        <f>IFERROR(INDEX('[2]PRICELIST, 908u'!$G$7:$AX$914,MATCH($B1460,'[2]PRICELIST, 908u'!$G$7:$G$914,0),22),"NA")</f>
        <v>70</v>
      </c>
      <c r="J1460" s="20" t="s">
        <v>25</v>
      </c>
      <c r="K1460" s="20" t="str">
        <f>IFERROR(INDEX('[2]PRICELIST, 908u'!$G$7:$AX$914,MATCH($B1460,'[2]PRICELIST, 908u'!$G$7:$G$914,0),30),"NA")</f>
        <v>Slant / PURPLE</v>
      </c>
      <c r="L1460" s="20">
        <f>IFERROR(INDEX('[2]PRICELIST, 908u'!$G$7:$AX$914,MATCH($B1460,'[2]PRICELIST, 908u'!$G$7:$G$914,0),40),"NA")</f>
        <v>2850000</v>
      </c>
      <c r="M1460" s="20">
        <f>IFERROR(INDEX('[2]PRICELIST, 908u'!$G$7:$AX$914,MATCH($B1460,'[2]PRICELIST, 908u'!$G$7:$G$914,0),41),"NA")</f>
        <v>100000</v>
      </c>
      <c r="N1460" s="58">
        <f t="shared" si="72"/>
        <v>2750000</v>
      </c>
      <c r="O1460" s="60"/>
      <c r="P1460" s="60">
        <f t="shared" si="71"/>
        <v>2750000</v>
      </c>
    </row>
    <row r="1461" spans="2:16">
      <c r="B1461" s="20" t="s">
        <v>1612</v>
      </c>
      <c r="C1461" s="20" t="s">
        <v>2</v>
      </c>
      <c r="D1461" s="20" t="str">
        <f>IFERROR(INDEX('[2]PRICELIST, 908u'!$G$7:$AX$914,MATCH($B1461,'[2]PRICELIST, 908u'!$G$7:$G$914,0),18),"NA")</f>
        <v>2024 Batch</v>
      </c>
      <c r="E1461" s="20" t="str">
        <f>IFERROR(INDEX([3]AGM!$D$21:$BL$928,MATCH($B1461,[3]AGM!$AD$21:$AD$928,0),1),"NA")</f>
        <v>TS</v>
      </c>
      <c r="F1461" s="20" t="str">
        <f t="shared" si="70"/>
        <v>Block 27</v>
      </c>
      <c r="G1461" s="20" t="str">
        <f t="shared" si="69"/>
        <v>Lot 31</v>
      </c>
      <c r="H1461" s="20">
        <f>IFERROR(INDEX('[2]PRICELIST, 908u'!$G$7:$AX$914,MATCH($B1461,'[2]PRICELIST, 908u'!$G$7:$G$914,0),23),"NA")</f>
        <v>50</v>
      </c>
      <c r="I1461" s="20">
        <f>IFERROR(INDEX('[2]PRICELIST, 908u'!$G$7:$AX$914,MATCH($B1461,'[2]PRICELIST, 908u'!$G$7:$G$914,0),22),"NA")</f>
        <v>70</v>
      </c>
      <c r="J1461" s="20" t="s">
        <v>25</v>
      </c>
      <c r="K1461" s="20" t="str">
        <f>IFERROR(INDEX('[2]PRICELIST, 908u'!$G$7:$AX$914,MATCH($B1461,'[2]PRICELIST, 908u'!$G$7:$G$914,0),30),"NA")</f>
        <v>Slant / GREEN</v>
      </c>
      <c r="L1461" s="20">
        <f>IFERROR(INDEX('[2]PRICELIST, 908u'!$G$7:$AX$914,MATCH($B1461,'[2]PRICELIST, 908u'!$G$7:$G$914,0),40),"NA")</f>
        <v>2850000</v>
      </c>
      <c r="M1461" s="20">
        <f>IFERROR(INDEX('[2]PRICELIST, 908u'!$G$7:$AX$914,MATCH($B1461,'[2]PRICELIST, 908u'!$G$7:$G$914,0),41),"NA")</f>
        <v>100000</v>
      </c>
      <c r="N1461" s="58">
        <f t="shared" si="72"/>
        <v>2750000</v>
      </c>
      <c r="O1461" s="60"/>
      <c r="P1461" s="60">
        <f t="shared" si="71"/>
        <v>2750000</v>
      </c>
    </row>
    <row r="1462" spans="2:16">
      <c r="B1462" s="20" t="s">
        <v>1613</v>
      </c>
      <c r="C1462" s="20" t="s">
        <v>2</v>
      </c>
      <c r="D1462" s="20" t="str">
        <f>IFERROR(INDEX('[2]PRICELIST, 908u'!$G$7:$AX$914,MATCH($B1462,'[2]PRICELIST, 908u'!$G$7:$G$914,0),18),"NA")</f>
        <v>2024 Batch</v>
      </c>
      <c r="E1462" s="20" t="str">
        <f>IFERROR(INDEX([3]AGM!$D$21:$BL$928,MATCH($B1462,[3]AGM!$AD$21:$AD$928,0),1),"NA")</f>
        <v>OS</v>
      </c>
      <c r="F1462" s="20" t="str">
        <f t="shared" si="70"/>
        <v>Block 27</v>
      </c>
      <c r="G1462" s="20" t="str">
        <f t="shared" si="69"/>
        <v>Lot 32</v>
      </c>
      <c r="H1462" s="20">
        <f>IFERROR(INDEX('[2]PRICELIST, 908u'!$G$7:$AX$914,MATCH($B1462,'[2]PRICELIST, 908u'!$G$7:$G$914,0),23),"NA")</f>
        <v>50</v>
      </c>
      <c r="I1462" s="20">
        <f>IFERROR(INDEX('[2]PRICELIST, 908u'!$G$7:$AX$914,MATCH($B1462,'[2]PRICELIST, 908u'!$G$7:$G$914,0),22),"NA")</f>
        <v>70</v>
      </c>
      <c r="J1462" s="20" t="s">
        <v>25</v>
      </c>
      <c r="K1462" s="20" t="str">
        <f>IFERROR(INDEX('[2]PRICELIST, 908u'!$G$7:$AX$914,MATCH($B1462,'[2]PRICELIST, 908u'!$G$7:$G$914,0),30),"NA")</f>
        <v>Flat / GREEN</v>
      </c>
      <c r="L1462" s="20">
        <f>IFERROR(INDEX('[2]PRICELIST, 908u'!$G$7:$AX$914,MATCH($B1462,'[2]PRICELIST, 908u'!$G$7:$G$914,0),40),"NA")</f>
        <v>2850000</v>
      </c>
      <c r="M1462" s="20">
        <f>IFERROR(INDEX('[2]PRICELIST, 908u'!$G$7:$AX$914,MATCH($B1462,'[2]PRICELIST, 908u'!$G$7:$G$914,0),41),"NA")</f>
        <v>100000</v>
      </c>
      <c r="N1462" s="58">
        <f t="shared" si="72"/>
        <v>2750000</v>
      </c>
      <c r="O1462" s="60"/>
      <c r="P1462" s="60">
        <f t="shared" si="71"/>
        <v>2750000</v>
      </c>
    </row>
    <row r="1463" spans="2:16">
      <c r="B1463" s="20" t="s">
        <v>1614</v>
      </c>
      <c r="C1463" s="20" t="s">
        <v>2</v>
      </c>
      <c r="D1463" s="20" t="str">
        <f>IFERROR(INDEX('[2]PRICELIST, 908u'!$G$7:$AX$914,MATCH($B1463,'[2]PRICELIST, 908u'!$G$7:$G$914,0),18),"NA")</f>
        <v>2024 Batch</v>
      </c>
      <c r="E1463" s="20" t="str">
        <f>IFERROR(INDEX([3]AGM!$D$21:$BL$928,MATCH($B1463,[3]AGM!$AD$21:$AD$928,0),1),"NA")</f>
        <v>TS</v>
      </c>
      <c r="F1463" s="20" t="str">
        <f t="shared" si="70"/>
        <v>Block 27</v>
      </c>
      <c r="G1463" s="20" t="str">
        <f t="shared" si="69"/>
        <v>Lot 33</v>
      </c>
      <c r="H1463" s="20">
        <f>IFERROR(INDEX('[2]PRICELIST, 908u'!$G$7:$AX$914,MATCH($B1463,'[2]PRICELIST, 908u'!$G$7:$G$914,0),23),"NA")</f>
        <v>50</v>
      </c>
      <c r="I1463" s="20">
        <f>IFERROR(INDEX('[2]PRICELIST, 908u'!$G$7:$AX$914,MATCH($B1463,'[2]PRICELIST, 908u'!$G$7:$G$914,0),22),"NA")</f>
        <v>70</v>
      </c>
      <c r="J1463" s="20" t="s">
        <v>25</v>
      </c>
      <c r="K1463" s="20" t="str">
        <f>IFERROR(INDEX('[2]PRICELIST, 908u'!$G$7:$AX$914,MATCH($B1463,'[2]PRICELIST, 908u'!$G$7:$G$914,0),30),"NA")</f>
        <v>Flat / GREEN</v>
      </c>
      <c r="L1463" s="20">
        <f>IFERROR(INDEX('[2]PRICELIST, 908u'!$G$7:$AX$914,MATCH($B1463,'[2]PRICELIST, 908u'!$G$7:$G$914,0),40),"NA")</f>
        <v>2850000</v>
      </c>
      <c r="M1463" s="20">
        <f>IFERROR(INDEX('[2]PRICELIST, 908u'!$G$7:$AX$914,MATCH($B1463,'[2]PRICELIST, 908u'!$G$7:$G$914,0),41),"NA")</f>
        <v>100000</v>
      </c>
      <c r="N1463" s="58">
        <f t="shared" si="72"/>
        <v>2750000</v>
      </c>
      <c r="O1463" s="60"/>
      <c r="P1463" s="60">
        <f t="shared" si="71"/>
        <v>2750000</v>
      </c>
    </row>
    <row r="1464" spans="2:16">
      <c r="B1464" s="20" t="s">
        <v>1615</v>
      </c>
      <c r="C1464" s="20" t="s">
        <v>2</v>
      </c>
      <c r="D1464" s="20" t="str">
        <f>IFERROR(INDEX('[2]PRICELIST, 908u'!$G$7:$AX$914,MATCH($B1464,'[2]PRICELIST, 908u'!$G$7:$G$914,0),18),"NA")</f>
        <v>2024 Batch</v>
      </c>
      <c r="E1464" s="20" t="str">
        <f>IFERROR(INDEX([3]AGM!$D$21:$BL$928,MATCH($B1464,[3]AGM!$AD$21:$AD$928,0),1),"NA")</f>
        <v>OS</v>
      </c>
      <c r="F1464" s="20" t="str">
        <f t="shared" si="70"/>
        <v>Block 27</v>
      </c>
      <c r="G1464" s="20" t="str">
        <f t="shared" si="69"/>
        <v>Lot 34</v>
      </c>
      <c r="H1464" s="20">
        <f>IFERROR(INDEX('[2]PRICELIST, 908u'!$G$7:$AX$914,MATCH($B1464,'[2]PRICELIST, 908u'!$G$7:$G$914,0),23),"NA")</f>
        <v>50</v>
      </c>
      <c r="I1464" s="20">
        <f>IFERROR(INDEX('[2]PRICELIST, 908u'!$G$7:$AX$914,MATCH($B1464,'[2]PRICELIST, 908u'!$G$7:$G$914,0),22),"NA")</f>
        <v>70</v>
      </c>
      <c r="J1464" s="20" t="s">
        <v>25</v>
      </c>
      <c r="K1464" s="20" t="str">
        <f>IFERROR(INDEX('[2]PRICELIST, 908u'!$G$7:$AX$914,MATCH($B1464,'[2]PRICELIST, 908u'!$G$7:$G$914,0),30),"NA")</f>
        <v>Slant / GREEN</v>
      </c>
      <c r="L1464" s="20">
        <f>IFERROR(INDEX('[2]PRICELIST, 908u'!$G$7:$AX$914,MATCH($B1464,'[2]PRICELIST, 908u'!$G$7:$G$914,0),40),"NA")</f>
        <v>2850000</v>
      </c>
      <c r="M1464" s="20">
        <f>IFERROR(INDEX('[2]PRICELIST, 908u'!$G$7:$AX$914,MATCH($B1464,'[2]PRICELIST, 908u'!$G$7:$G$914,0),41),"NA")</f>
        <v>100000</v>
      </c>
      <c r="N1464" s="58">
        <f t="shared" si="72"/>
        <v>2750000</v>
      </c>
      <c r="O1464" s="60"/>
      <c r="P1464" s="60">
        <f t="shared" si="71"/>
        <v>2750000</v>
      </c>
    </row>
    <row r="1465" spans="2:16">
      <c r="B1465" s="20" t="s">
        <v>1616</v>
      </c>
      <c r="C1465" s="20" t="s">
        <v>2</v>
      </c>
      <c r="D1465" s="20" t="str">
        <f>IFERROR(INDEX('[2]PRICELIST, 908u'!$G$7:$AX$914,MATCH($B1465,'[2]PRICELIST, 908u'!$G$7:$G$914,0),18),"NA")</f>
        <v>2024 Batch</v>
      </c>
      <c r="E1465" s="20" t="str">
        <f>IFERROR(INDEX([3]AGM!$D$21:$BL$928,MATCH($B1465,[3]AGM!$AD$21:$AD$928,0),1),"NA")</f>
        <v>OS</v>
      </c>
      <c r="F1465" s="20" t="str">
        <f t="shared" si="70"/>
        <v>Block 27</v>
      </c>
      <c r="G1465" s="20" t="str">
        <f t="shared" si="69"/>
        <v>Lot 35</v>
      </c>
      <c r="H1465" s="20">
        <f>IFERROR(INDEX('[2]PRICELIST, 908u'!$G$7:$AX$914,MATCH($B1465,'[2]PRICELIST, 908u'!$G$7:$G$914,0),23),"NA")</f>
        <v>50</v>
      </c>
      <c r="I1465" s="20">
        <f>IFERROR(INDEX('[2]PRICELIST, 908u'!$G$7:$AX$914,MATCH($B1465,'[2]PRICELIST, 908u'!$G$7:$G$914,0),22),"NA")</f>
        <v>70</v>
      </c>
      <c r="J1465" s="20" t="s">
        <v>25</v>
      </c>
      <c r="K1465" s="20" t="str">
        <f>IFERROR(INDEX('[2]PRICELIST, 908u'!$G$7:$AX$914,MATCH($B1465,'[2]PRICELIST, 908u'!$G$7:$G$914,0),30),"NA")</f>
        <v>Slant / YELLOW</v>
      </c>
      <c r="L1465" s="20">
        <f>IFERROR(INDEX('[2]PRICELIST, 908u'!$G$7:$AX$914,MATCH($B1465,'[2]PRICELIST, 908u'!$G$7:$G$914,0),40),"NA")</f>
        <v>2850000</v>
      </c>
      <c r="M1465" s="20">
        <f>IFERROR(INDEX('[2]PRICELIST, 908u'!$G$7:$AX$914,MATCH($B1465,'[2]PRICELIST, 908u'!$G$7:$G$914,0),41),"NA")</f>
        <v>100000</v>
      </c>
      <c r="N1465" s="58">
        <f t="shared" si="72"/>
        <v>2750000</v>
      </c>
      <c r="O1465" s="60"/>
      <c r="P1465" s="60">
        <f t="shared" si="71"/>
        <v>2750000</v>
      </c>
    </row>
    <row r="1466" spans="2:16">
      <c r="B1466" s="20" t="s">
        <v>1617</v>
      </c>
      <c r="C1466" s="20" t="s">
        <v>2</v>
      </c>
      <c r="D1466" s="20" t="str">
        <f>IFERROR(INDEX('[2]PRICELIST, 908u'!$G$7:$AX$914,MATCH($B1466,'[2]PRICELIST, 908u'!$G$7:$G$914,0),18),"NA")</f>
        <v>2024 Batch</v>
      </c>
      <c r="E1466" s="20" t="str">
        <f>IFERROR(INDEX([3]AGM!$D$21:$BL$928,MATCH($B1466,[3]AGM!$AD$21:$AD$928,0),1),"NA")</f>
        <v>TS</v>
      </c>
      <c r="F1466" s="20" t="str">
        <f t="shared" si="70"/>
        <v>Block 27</v>
      </c>
      <c r="G1466" s="20" t="str">
        <f t="shared" si="69"/>
        <v>Lot 36</v>
      </c>
      <c r="H1466" s="20">
        <f>IFERROR(INDEX('[2]PRICELIST, 908u'!$G$7:$AX$914,MATCH($B1466,'[2]PRICELIST, 908u'!$G$7:$G$914,0),23),"NA")</f>
        <v>50</v>
      </c>
      <c r="I1466" s="20">
        <f>IFERROR(INDEX('[2]PRICELIST, 908u'!$G$7:$AX$914,MATCH($B1466,'[2]PRICELIST, 908u'!$G$7:$G$914,0),22),"NA")</f>
        <v>70</v>
      </c>
      <c r="J1466" s="20" t="s">
        <v>25</v>
      </c>
      <c r="K1466" s="20" t="str">
        <f>IFERROR(INDEX('[2]PRICELIST, 908u'!$G$7:$AX$914,MATCH($B1466,'[2]PRICELIST, 908u'!$G$7:$G$914,0),30),"NA")</f>
        <v>Flat / YELLOW</v>
      </c>
      <c r="L1466" s="20">
        <f>IFERROR(INDEX('[2]PRICELIST, 908u'!$G$7:$AX$914,MATCH($B1466,'[2]PRICELIST, 908u'!$G$7:$G$914,0),40),"NA")</f>
        <v>2850000</v>
      </c>
      <c r="M1466" s="20">
        <f>IFERROR(INDEX('[2]PRICELIST, 908u'!$G$7:$AX$914,MATCH($B1466,'[2]PRICELIST, 908u'!$G$7:$G$914,0),41),"NA")</f>
        <v>100000</v>
      </c>
      <c r="N1466" s="58">
        <f t="shared" si="72"/>
        <v>2750000</v>
      </c>
      <c r="O1466" s="60"/>
      <c r="P1466" s="60">
        <f t="shared" si="71"/>
        <v>2750000</v>
      </c>
    </row>
    <row r="1467" spans="2:16">
      <c r="B1467" s="20" t="s">
        <v>1618</v>
      </c>
      <c r="C1467" s="20" t="s">
        <v>2</v>
      </c>
      <c r="D1467" s="20" t="str">
        <f>IFERROR(INDEX('[2]PRICELIST, 908u'!$G$7:$AX$914,MATCH($B1467,'[2]PRICELIST, 908u'!$G$7:$G$914,0),18),"NA")</f>
        <v>2024 Batch</v>
      </c>
      <c r="E1467" s="20" t="str">
        <f>IFERROR(INDEX([3]AGM!$D$21:$BL$928,MATCH($B1467,[3]AGM!$AD$21:$AD$928,0),1),"NA")</f>
        <v>OS</v>
      </c>
      <c r="F1467" s="20" t="str">
        <f t="shared" si="70"/>
        <v>Block 27</v>
      </c>
      <c r="G1467" s="20" t="str">
        <f t="shared" si="69"/>
        <v>Lot 37</v>
      </c>
      <c r="H1467" s="20">
        <f>IFERROR(INDEX('[2]PRICELIST, 908u'!$G$7:$AX$914,MATCH($B1467,'[2]PRICELIST, 908u'!$G$7:$G$914,0),23),"NA")</f>
        <v>50</v>
      </c>
      <c r="I1467" s="20">
        <f>IFERROR(INDEX('[2]PRICELIST, 908u'!$G$7:$AX$914,MATCH($B1467,'[2]PRICELIST, 908u'!$G$7:$G$914,0),22),"NA")</f>
        <v>70</v>
      </c>
      <c r="J1467" s="20" t="s">
        <v>25</v>
      </c>
      <c r="K1467" s="20" t="str">
        <f>IFERROR(INDEX('[2]PRICELIST, 908u'!$G$7:$AX$914,MATCH($B1467,'[2]PRICELIST, 908u'!$G$7:$G$914,0),30),"NA")</f>
        <v>Flat / YELLOW</v>
      </c>
      <c r="L1467" s="20">
        <f>IFERROR(INDEX('[2]PRICELIST, 908u'!$G$7:$AX$914,MATCH($B1467,'[2]PRICELIST, 908u'!$G$7:$G$914,0),40),"NA")</f>
        <v>2850000</v>
      </c>
      <c r="M1467" s="20">
        <f>IFERROR(INDEX('[2]PRICELIST, 908u'!$G$7:$AX$914,MATCH($B1467,'[2]PRICELIST, 908u'!$G$7:$G$914,0),41),"NA")</f>
        <v>100000</v>
      </c>
      <c r="N1467" s="58">
        <f t="shared" si="72"/>
        <v>2750000</v>
      </c>
      <c r="O1467" s="60"/>
      <c r="P1467" s="60">
        <f t="shared" si="71"/>
        <v>2750000</v>
      </c>
    </row>
    <row r="1468" spans="2:16">
      <c r="B1468" s="20" t="s">
        <v>1619</v>
      </c>
      <c r="C1468" s="20" t="s">
        <v>2</v>
      </c>
      <c r="D1468" s="20" t="str">
        <f>IFERROR(INDEX('[2]PRICELIST, 908u'!$G$7:$AX$914,MATCH($B1468,'[2]PRICELIST, 908u'!$G$7:$G$914,0),18),"NA")</f>
        <v>2024 Batch</v>
      </c>
      <c r="E1468" s="20" t="str">
        <f>IFERROR(INDEX([3]AGM!$D$21:$BL$928,MATCH($B1468,[3]AGM!$AD$21:$AD$928,0),1),"NA")</f>
        <v>OS</v>
      </c>
      <c r="F1468" s="20" t="str">
        <f t="shared" si="70"/>
        <v>Block 27</v>
      </c>
      <c r="G1468" s="20" t="str">
        <f t="shared" si="69"/>
        <v>Lot 38</v>
      </c>
      <c r="H1468" s="20">
        <f>IFERROR(INDEX('[2]PRICELIST, 908u'!$G$7:$AX$914,MATCH($B1468,'[2]PRICELIST, 908u'!$G$7:$G$914,0),23),"NA")</f>
        <v>50</v>
      </c>
      <c r="I1468" s="20">
        <f>IFERROR(INDEX('[2]PRICELIST, 908u'!$G$7:$AX$914,MATCH($B1468,'[2]PRICELIST, 908u'!$G$7:$G$914,0),22),"NA")</f>
        <v>70</v>
      </c>
      <c r="J1468" s="20" t="s">
        <v>207</v>
      </c>
      <c r="K1468" s="20" t="str">
        <f>IFERROR(INDEX('[2]PRICELIST, 908u'!$G$7:$AX$914,MATCH($B1468,'[2]PRICELIST, 908u'!$G$7:$G$914,0),30),"NA")</f>
        <v>Slant / YELLOW</v>
      </c>
      <c r="L1468" s="20">
        <f>IFERROR(INDEX('[2]PRICELIST, 908u'!$G$7:$AX$914,MATCH($B1468,'[2]PRICELIST, 908u'!$G$7:$G$914,0),40),"NA")</f>
        <v>2650000</v>
      </c>
      <c r="M1468" s="20">
        <f>IFERROR(INDEX('[2]PRICELIST, 908u'!$G$7:$AX$914,MATCH($B1468,'[2]PRICELIST, 908u'!$G$7:$G$914,0),41),"NA")</f>
        <v>100000</v>
      </c>
      <c r="N1468" s="58">
        <f t="shared" si="72"/>
        <v>2550000</v>
      </c>
      <c r="O1468" s="60"/>
      <c r="P1468" s="60">
        <f t="shared" si="71"/>
        <v>2550000</v>
      </c>
    </row>
    <row r="1469" spans="2:16">
      <c r="B1469" s="20" t="s">
        <v>1620</v>
      </c>
      <c r="C1469" s="20" t="s">
        <v>2</v>
      </c>
      <c r="D1469" s="20" t="str">
        <f>IFERROR(INDEX('[2]PRICELIST, 908u'!$G$7:$AX$914,MATCH($B1469,'[2]PRICELIST, 908u'!$G$7:$G$914,0),18),"NA")</f>
        <v>2024 Batch</v>
      </c>
      <c r="E1469" s="20" t="str">
        <f>IFERROR(INDEX([3]AGM!$D$21:$BL$928,MATCH($B1469,[3]AGM!$AD$21:$AD$928,0),1),"NA")</f>
        <v>OS</v>
      </c>
      <c r="F1469" s="20" t="str">
        <f t="shared" si="70"/>
        <v>Block 27</v>
      </c>
      <c r="G1469" s="20" t="str">
        <f t="shared" si="69"/>
        <v>Lot 39</v>
      </c>
      <c r="H1469" s="20">
        <f>IFERROR(INDEX('[2]PRICELIST, 908u'!$G$7:$AX$914,MATCH($B1469,'[2]PRICELIST, 908u'!$G$7:$G$914,0),23),"NA")</f>
        <v>50</v>
      </c>
      <c r="I1469" s="20">
        <f>IFERROR(INDEX('[2]PRICELIST, 908u'!$G$7:$AX$914,MATCH($B1469,'[2]PRICELIST, 908u'!$G$7:$G$914,0),22),"NA")</f>
        <v>80</v>
      </c>
      <c r="J1469" s="20" t="s">
        <v>207</v>
      </c>
      <c r="K1469" s="20" t="str">
        <f>IFERROR(INDEX('[2]PRICELIST, 908u'!$G$7:$AX$914,MATCH($B1469,'[2]PRICELIST, 908u'!$G$7:$G$914,0),30),"NA")</f>
        <v>Slant / PINK</v>
      </c>
      <c r="L1469" s="20">
        <f>IFERROR(INDEX('[2]PRICELIST, 908u'!$G$7:$AX$914,MATCH($B1469,'[2]PRICELIST, 908u'!$G$7:$G$914,0),40),"NA")</f>
        <v>2800000</v>
      </c>
      <c r="M1469" s="20">
        <f>IFERROR(INDEX('[2]PRICELIST, 908u'!$G$7:$AX$914,MATCH($B1469,'[2]PRICELIST, 908u'!$G$7:$G$914,0),41),"NA")</f>
        <v>100000</v>
      </c>
      <c r="N1469" s="58">
        <f t="shared" si="72"/>
        <v>2700000</v>
      </c>
      <c r="O1469" s="60"/>
      <c r="P1469" s="60">
        <f t="shared" si="71"/>
        <v>2700000</v>
      </c>
    </row>
    <row r="1470" spans="2:16">
      <c r="B1470" s="20" t="s">
        <v>1621</v>
      </c>
      <c r="C1470" s="20" t="s">
        <v>2</v>
      </c>
      <c r="D1470" s="20" t="str">
        <f>IFERROR(INDEX('[2]PRICELIST, 908u'!$G$7:$AX$914,MATCH($B1470,'[2]PRICELIST, 908u'!$G$7:$G$914,0),18),"NA")</f>
        <v>2024 Batch</v>
      </c>
      <c r="E1470" s="20" t="str">
        <f>IFERROR(INDEX([3]AGM!$D$21:$BL$928,MATCH($B1470,[3]AGM!$AD$21:$AD$928,0),1),"NA")</f>
        <v>TS</v>
      </c>
      <c r="F1470" s="20" t="str">
        <f t="shared" si="70"/>
        <v>Block 27</v>
      </c>
      <c r="G1470" s="20" t="str">
        <f t="shared" si="69"/>
        <v>Lot 40</v>
      </c>
      <c r="H1470" s="20">
        <f>IFERROR(INDEX('[2]PRICELIST, 908u'!$G$7:$AX$914,MATCH($B1470,'[2]PRICELIST, 908u'!$G$7:$G$914,0),23),"NA")</f>
        <v>50</v>
      </c>
      <c r="I1470" s="20">
        <f>IFERROR(INDEX('[2]PRICELIST, 908u'!$G$7:$AX$914,MATCH($B1470,'[2]PRICELIST, 908u'!$G$7:$G$914,0),22),"NA")</f>
        <v>80</v>
      </c>
      <c r="J1470" s="20" t="s">
        <v>207</v>
      </c>
      <c r="K1470" s="20" t="str">
        <f>IFERROR(INDEX('[2]PRICELIST, 908u'!$G$7:$AX$914,MATCH($B1470,'[2]PRICELIST, 908u'!$G$7:$G$914,0),30),"NA")</f>
        <v>Flat / PINK</v>
      </c>
      <c r="L1470" s="20">
        <f>IFERROR(INDEX('[2]PRICELIST, 908u'!$G$7:$AX$914,MATCH($B1470,'[2]PRICELIST, 908u'!$G$7:$G$914,0),40),"NA")</f>
        <v>2800000</v>
      </c>
      <c r="M1470" s="20">
        <f>IFERROR(INDEX('[2]PRICELIST, 908u'!$G$7:$AX$914,MATCH($B1470,'[2]PRICELIST, 908u'!$G$7:$G$914,0),41),"NA")</f>
        <v>100000</v>
      </c>
      <c r="N1470" s="58">
        <f t="shared" si="72"/>
        <v>2700000</v>
      </c>
      <c r="O1470" s="60"/>
      <c r="P1470" s="60">
        <f t="shared" si="71"/>
        <v>2700000</v>
      </c>
    </row>
    <row r="1471" spans="2:16">
      <c r="B1471" s="20" t="s">
        <v>1622</v>
      </c>
      <c r="C1471" s="20" t="s">
        <v>2</v>
      </c>
      <c r="D1471" s="20" t="str">
        <f>IFERROR(INDEX('[2]PRICELIST, 908u'!$G$7:$AX$914,MATCH($B1471,'[2]PRICELIST, 908u'!$G$7:$G$914,0),18),"NA")</f>
        <v>2024 Batch</v>
      </c>
      <c r="E1471" s="20" t="str">
        <f>IFERROR(INDEX([3]AGM!$D$21:$BL$928,MATCH($B1471,[3]AGM!$AD$21:$AD$928,0),1),"NA")</f>
        <v>OS</v>
      </c>
      <c r="F1471" s="20" t="str">
        <f t="shared" si="70"/>
        <v>Block 27</v>
      </c>
      <c r="G1471" s="20" t="str">
        <f t="shared" si="69"/>
        <v>Lot 41</v>
      </c>
      <c r="H1471" s="20">
        <f>IFERROR(INDEX('[2]PRICELIST, 908u'!$G$7:$AX$914,MATCH($B1471,'[2]PRICELIST, 908u'!$G$7:$G$914,0),23),"NA")</f>
        <v>50</v>
      </c>
      <c r="I1471" s="20">
        <f>IFERROR(INDEX('[2]PRICELIST, 908u'!$G$7:$AX$914,MATCH($B1471,'[2]PRICELIST, 908u'!$G$7:$G$914,0),22),"NA")</f>
        <v>80</v>
      </c>
      <c r="J1471" s="20" t="s">
        <v>207</v>
      </c>
      <c r="K1471" s="20" t="str">
        <f>IFERROR(INDEX('[2]PRICELIST, 908u'!$G$7:$AX$914,MATCH($B1471,'[2]PRICELIST, 908u'!$G$7:$G$914,0),30),"NA")</f>
        <v>Flat / PINK</v>
      </c>
      <c r="L1471" s="20">
        <f>IFERROR(INDEX('[2]PRICELIST, 908u'!$G$7:$AX$914,MATCH($B1471,'[2]PRICELIST, 908u'!$G$7:$G$914,0),40),"NA")</f>
        <v>2800000</v>
      </c>
      <c r="M1471" s="20">
        <f>IFERROR(INDEX('[2]PRICELIST, 908u'!$G$7:$AX$914,MATCH($B1471,'[2]PRICELIST, 908u'!$G$7:$G$914,0),41),"NA")</f>
        <v>100000</v>
      </c>
      <c r="N1471" s="58">
        <f t="shared" si="72"/>
        <v>2700000</v>
      </c>
      <c r="O1471" s="60"/>
      <c r="P1471" s="60">
        <f t="shared" si="71"/>
        <v>2700000</v>
      </c>
    </row>
    <row r="1472" spans="2:16">
      <c r="B1472" s="20" t="s">
        <v>1623</v>
      </c>
      <c r="C1472" s="20" t="s">
        <v>2</v>
      </c>
      <c r="D1472" s="20" t="str">
        <f>IFERROR(INDEX('[2]PRICELIST, 908u'!$G$7:$AX$914,MATCH($B1472,'[2]PRICELIST, 908u'!$G$7:$G$914,0),18),"NA")</f>
        <v>2024 Batch</v>
      </c>
      <c r="E1472" s="20" t="str">
        <f>IFERROR(INDEX([3]AGM!$D$21:$BL$928,MATCH($B1472,[3]AGM!$AD$21:$AD$928,0),1),"NA")</f>
        <v>OS</v>
      </c>
      <c r="F1472" s="20" t="str">
        <f t="shared" si="70"/>
        <v>Block 27</v>
      </c>
      <c r="G1472" s="20" t="str">
        <f t="shared" si="69"/>
        <v>Lot 42</v>
      </c>
      <c r="H1472" s="20">
        <f>IFERROR(INDEX('[2]PRICELIST, 908u'!$G$7:$AX$914,MATCH($B1472,'[2]PRICELIST, 908u'!$G$7:$G$914,0),23),"NA")</f>
        <v>50</v>
      </c>
      <c r="I1472" s="20">
        <f>IFERROR(INDEX('[2]PRICELIST, 908u'!$G$7:$AX$914,MATCH($B1472,'[2]PRICELIST, 908u'!$G$7:$G$914,0),22),"NA")</f>
        <v>80</v>
      </c>
      <c r="J1472" s="20" t="s">
        <v>25</v>
      </c>
      <c r="K1472" s="20" t="str">
        <f>IFERROR(INDEX('[2]PRICELIST, 908u'!$G$7:$AX$914,MATCH($B1472,'[2]PRICELIST, 908u'!$G$7:$G$914,0),30),"NA")</f>
        <v>Slant / PINK</v>
      </c>
      <c r="L1472" s="20">
        <f>IFERROR(INDEX('[2]PRICELIST, 908u'!$G$7:$AX$914,MATCH($B1472,'[2]PRICELIST, 908u'!$G$7:$G$914,0),40),"NA")</f>
        <v>3000000</v>
      </c>
      <c r="M1472" s="20">
        <f>IFERROR(INDEX('[2]PRICELIST, 908u'!$G$7:$AX$914,MATCH($B1472,'[2]PRICELIST, 908u'!$G$7:$G$914,0),41),"NA")</f>
        <v>100000</v>
      </c>
      <c r="N1472" s="58">
        <f t="shared" si="72"/>
        <v>2900000</v>
      </c>
      <c r="O1472" s="60"/>
      <c r="P1472" s="60">
        <f t="shared" si="71"/>
        <v>2900000</v>
      </c>
    </row>
    <row r="1473" spans="2:16">
      <c r="B1473" s="20" t="s">
        <v>1624</v>
      </c>
      <c r="C1473" s="20" t="s">
        <v>2</v>
      </c>
      <c r="D1473" s="20" t="str">
        <f>IFERROR(INDEX('[2]PRICELIST, 908u'!$G$7:$AX$914,MATCH($B1473,'[2]PRICELIST, 908u'!$G$7:$G$914,0),18),"NA")</f>
        <v>Lot Only - N/A</v>
      </c>
      <c r="E1473" s="20" t="str">
        <f>IFERROR(INDEX([3]AGM!$D$21:$BL$928,MATCH($B1473,[3]AGM!$AD$21:$AD$928,0),1),"NA")</f>
        <v>OS</v>
      </c>
      <c r="F1473" s="20" t="str">
        <f t="shared" si="70"/>
        <v>Block 27</v>
      </c>
      <c r="G1473" s="20" t="str">
        <f t="shared" si="69"/>
        <v>Lot 43</v>
      </c>
      <c r="H1473" s="20" t="str">
        <f>IFERROR(INDEX('[2]PRICELIST, 908u'!$G$7:$AX$914,MATCH($B1473,'[2]PRICELIST, 908u'!$G$7:$G$914,0),23),"NA")</f>
        <v>N/A</v>
      </c>
      <c r="I1473" s="20">
        <f>IFERROR(INDEX('[2]PRICELIST, 908u'!$G$7:$AX$914,MATCH($B1473,'[2]PRICELIST, 908u'!$G$7:$G$914,0),22),"NA")</f>
        <v>117</v>
      </c>
      <c r="J1473" s="20" t="s">
        <v>100</v>
      </c>
      <c r="K1473" s="37" t="s">
        <v>1025</v>
      </c>
      <c r="L1473" s="20">
        <f>IFERROR(INDEX('[2]PRICELIST, 908u'!$G$7:$AX$914,MATCH($B1473,'[2]PRICELIST, 908u'!$G$7:$G$914,0),40),"NA")</f>
        <v>1855000</v>
      </c>
      <c r="M1473" s="20">
        <f>IFERROR(INDEX('[2]PRICELIST, 908u'!$G$7:$AX$914,MATCH($B1473,'[2]PRICELIST, 908u'!$G$7:$G$914,0),41),"NA")</f>
        <v>100000</v>
      </c>
      <c r="N1473" s="58">
        <f t="shared" si="72"/>
        <v>1755000</v>
      </c>
      <c r="O1473" s="60"/>
      <c r="P1473" s="60">
        <f t="shared" si="71"/>
        <v>1755000</v>
      </c>
    </row>
    <row r="1474" spans="2:16">
      <c r="B1474" s="20" t="s">
        <v>1625</v>
      </c>
      <c r="C1474" s="20" t="s">
        <v>2</v>
      </c>
      <c r="D1474" s="20" t="str">
        <f>IFERROR(INDEX('[2]PRICELIST, 908u'!$G$7:$AX$914,MATCH($B1474,'[2]PRICELIST, 908u'!$G$7:$G$914,0),18),"NA")</f>
        <v>2024 Batch</v>
      </c>
      <c r="E1474" s="20" t="str">
        <f>IFERROR(INDEX([3]AGM!$D$21:$BL$928,MATCH($B1474,[3]AGM!$AD$21:$AD$928,0),1),"NA")</f>
        <v>OS</v>
      </c>
      <c r="F1474" s="20" t="str">
        <f t="shared" si="70"/>
        <v>Block 28</v>
      </c>
      <c r="G1474" s="20" t="str">
        <f t="shared" si="69"/>
        <v>Lot 01</v>
      </c>
      <c r="H1474" s="20">
        <f>IFERROR(INDEX('[2]PRICELIST, 908u'!$G$7:$AX$914,MATCH($B1474,'[2]PRICELIST, 908u'!$G$7:$G$914,0),23),"NA")</f>
        <v>50</v>
      </c>
      <c r="I1474" s="20">
        <f>IFERROR(INDEX('[2]PRICELIST, 908u'!$G$7:$AX$914,MATCH($B1474,'[2]PRICELIST, 908u'!$G$7:$G$914,0),22),"NA")</f>
        <v>109</v>
      </c>
      <c r="J1474" s="20" t="s">
        <v>25</v>
      </c>
      <c r="K1474" s="20" t="str">
        <f>IFERROR(INDEX('[2]PRICELIST, 908u'!$G$7:$AX$914,MATCH($B1474,'[2]PRICELIST, 908u'!$G$7:$G$914,0),30),"NA")</f>
        <v>Flat / YELLOW</v>
      </c>
      <c r="L1474" s="20">
        <f>IFERROR(INDEX('[2]PRICELIST, 908u'!$G$7:$AX$914,MATCH($B1474,'[2]PRICELIST, 908u'!$G$7:$G$914,0),40),"NA")</f>
        <v>3435000</v>
      </c>
      <c r="M1474" s="20">
        <f>IFERROR(INDEX('[2]PRICELIST, 908u'!$G$7:$AX$914,MATCH($B1474,'[2]PRICELIST, 908u'!$G$7:$G$914,0),41),"NA")</f>
        <v>100000</v>
      </c>
      <c r="N1474" s="58">
        <f t="shared" si="72"/>
        <v>3335000</v>
      </c>
      <c r="O1474" s="60"/>
      <c r="P1474" s="60">
        <f t="shared" si="71"/>
        <v>3335000</v>
      </c>
    </row>
    <row r="1475" spans="2:16">
      <c r="B1475" s="20" t="s">
        <v>1626</v>
      </c>
      <c r="C1475" s="20" t="s">
        <v>2</v>
      </c>
      <c r="D1475" s="20" t="str">
        <f>IFERROR(INDEX('[2]PRICELIST, 908u'!$G$7:$AX$914,MATCH($B1475,'[2]PRICELIST, 908u'!$G$7:$G$914,0),18),"NA")</f>
        <v>2024 Batch</v>
      </c>
      <c r="E1475" s="20" t="str">
        <f>IFERROR(INDEX([3]AGM!$D$21:$BL$928,MATCH($B1475,[3]AGM!$AD$21:$AD$928,0),1),"NA")</f>
        <v>OS</v>
      </c>
      <c r="F1475" s="20" t="str">
        <f t="shared" si="70"/>
        <v>Block 28</v>
      </c>
      <c r="G1475" s="20" t="str">
        <f t="shared" si="69"/>
        <v>Lot 02</v>
      </c>
      <c r="H1475" s="20">
        <f>IFERROR(INDEX('[2]PRICELIST, 908u'!$G$7:$AX$914,MATCH($B1475,'[2]PRICELIST, 908u'!$G$7:$G$914,0),23),"NA")</f>
        <v>50</v>
      </c>
      <c r="I1475" s="20">
        <f>IFERROR(INDEX('[2]PRICELIST, 908u'!$G$7:$AX$914,MATCH($B1475,'[2]PRICELIST, 908u'!$G$7:$G$914,0),22),"NA")</f>
        <v>80</v>
      </c>
      <c r="J1475" s="20" t="s">
        <v>25</v>
      </c>
      <c r="K1475" s="20" t="str">
        <f>IFERROR(INDEX('[2]PRICELIST, 908u'!$G$7:$AX$914,MATCH($B1475,'[2]PRICELIST, 908u'!$G$7:$G$914,0),30),"NA")</f>
        <v>Slant / YELLOW</v>
      </c>
      <c r="L1475" s="20">
        <f>IFERROR(INDEX('[2]PRICELIST, 908u'!$G$7:$AX$914,MATCH($B1475,'[2]PRICELIST, 908u'!$G$7:$G$914,0),40),"NA")</f>
        <v>2800000</v>
      </c>
      <c r="M1475" s="20">
        <f>IFERROR(INDEX('[2]PRICELIST, 908u'!$G$7:$AX$914,MATCH($B1475,'[2]PRICELIST, 908u'!$G$7:$G$914,0),41),"NA")</f>
        <v>100000</v>
      </c>
      <c r="N1475" s="58">
        <f t="shared" si="72"/>
        <v>2700000</v>
      </c>
      <c r="O1475" s="60"/>
      <c r="P1475" s="60">
        <f t="shared" si="71"/>
        <v>2700000</v>
      </c>
    </row>
    <row r="1476" spans="2:16">
      <c r="B1476" s="20" t="s">
        <v>1627</v>
      </c>
      <c r="C1476" s="20" t="s">
        <v>2</v>
      </c>
      <c r="D1476" s="20" t="str">
        <f>IFERROR(INDEX('[2]PRICELIST, 908u'!$G$7:$AX$914,MATCH($B1476,'[2]PRICELIST, 908u'!$G$7:$G$914,0),18),"NA")</f>
        <v>2024 Batch</v>
      </c>
      <c r="E1476" s="20" t="str">
        <f>IFERROR(INDEX([3]AGM!$D$21:$BL$928,MATCH($B1476,[3]AGM!$AD$21:$AD$928,0),1),"NA")</f>
        <v>OS</v>
      </c>
      <c r="F1476" s="20" t="str">
        <f t="shared" si="70"/>
        <v>Block 28</v>
      </c>
      <c r="G1476" s="20" t="str">
        <f t="shared" si="69"/>
        <v>Lot 03</v>
      </c>
      <c r="H1476" s="20">
        <f>IFERROR(INDEX('[2]PRICELIST, 908u'!$G$7:$AX$914,MATCH($B1476,'[2]PRICELIST, 908u'!$G$7:$G$914,0),23),"NA")</f>
        <v>50</v>
      </c>
      <c r="I1476" s="20">
        <f>IFERROR(INDEX('[2]PRICELIST, 908u'!$G$7:$AX$914,MATCH($B1476,'[2]PRICELIST, 908u'!$G$7:$G$914,0),22),"NA")</f>
        <v>80</v>
      </c>
      <c r="J1476" s="20" t="s">
        <v>25</v>
      </c>
      <c r="K1476" s="20" t="str">
        <f>IFERROR(INDEX('[2]PRICELIST, 908u'!$G$7:$AX$914,MATCH($B1476,'[2]PRICELIST, 908u'!$G$7:$G$914,0),30),"NA")</f>
        <v>Slant / YELLOW</v>
      </c>
      <c r="L1476" s="20">
        <f>IFERROR(INDEX('[2]PRICELIST, 908u'!$G$7:$AX$914,MATCH($B1476,'[2]PRICELIST, 908u'!$G$7:$G$914,0),40),"NA")</f>
        <v>3000000</v>
      </c>
      <c r="M1476" s="20">
        <f>IFERROR(INDEX('[2]PRICELIST, 908u'!$G$7:$AX$914,MATCH($B1476,'[2]PRICELIST, 908u'!$G$7:$G$914,0),41),"NA")</f>
        <v>100000</v>
      </c>
      <c r="N1476" s="58">
        <f t="shared" si="72"/>
        <v>2900000</v>
      </c>
      <c r="O1476" s="60"/>
      <c r="P1476" s="60">
        <f t="shared" si="71"/>
        <v>2900000</v>
      </c>
    </row>
    <row r="1477" spans="2:16">
      <c r="B1477" s="20" t="s">
        <v>1628</v>
      </c>
      <c r="C1477" s="20" t="s">
        <v>2</v>
      </c>
      <c r="D1477" s="20" t="str">
        <f>IFERROR(INDEX('[2]PRICELIST, 908u'!$G$7:$AX$914,MATCH($B1477,'[2]PRICELIST, 908u'!$G$7:$G$914,0),18),"NA")</f>
        <v>2024 Batch</v>
      </c>
      <c r="E1477" s="20" t="str">
        <f>IFERROR(INDEX([3]AGM!$D$21:$BL$928,MATCH($B1477,[3]AGM!$AD$21:$AD$928,0),1),"NA")</f>
        <v>OS</v>
      </c>
      <c r="F1477" s="20" t="str">
        <f t="shared" si="70"/>
        <v>Block 28</v>
      </c>
      <c r="G1477" s="20" t="str">
        <f t="shared" si="69"/>
        <v>Lot 04</v>
      </c>
      <c r="H1477" s="20">
        <f>IFERROR(INDEX('[2]PRICELIST, 908u'!$G$7:$AX$914,MATCH($B1477,'[2]PRICELIST, 908u'!$G$7:$G$914,0),23),"NA")</f>
        <v>50</v>
      </c>
      <c r="I1477" s="20">
        <f>IFERROR(INDEX('[2]PRICELIST, 908u'!$G$7:$AX$914,MATCH($B1477,'[2]PRICELIST, 908u'!$G$7:$G$914,0),22),"NA")</f>
        <v>80</v>
      </c>
      <c r="J1477" s="20" t="s">
        <v>207</v>
      </c>
      <c r="K1477" s="20" t="str">
        <f>IFERROR(INDEX('[2]PRICELIST, 908u'!$G$7:$AX$914,MATCH($B1477,'[2]PRICELIST, 908u'!$G$7:$G$914,0),30),"NA")</f>
        <v>Flat / YELLOW</v>
      </c>
      <c r="L1477" s="20">
        <f>IFERROR(INDEX('[2]PRICELIST, 908u'!$G$7:$AX$914,MATCH($B1477,'[2]PRICELIST, 908u'!$G$7:$G$914,0),40),"NA")</f>
        <v>2800000</v>
      </c>
      <c r="M1477" s="20">
        <f>IFERROR(INDEX('[2]PRICELIST, 908u'!$G$7:$AX$914,MATCH($B1477,'[2]PRICELIST, 908u'!$G$7:$G$914,0),41),"NA")</f>
        <v>100000</v>
      </c>
      <c r="N1477" s="58">
        <f t="shared" si="72"/>
        <v>2700000</v>
      </c>
      <c r="O1477" s="60"/>
      <c r="P1477" s="60">
        <f t="shared" si="71"/>
        <v>2700000</v>
      </c>
    </row>
    <row r="1478" spans="2:16">
      <c r="B1478" s="20" t="s">
        <v>1629</v>
      </c>
      <c r="C1478" s="20" t="s">
        <v>2</v>
      </c>
      <c r="D1478" s="20" t="str">
        <f>IFERROR(INDEX('[2]PRICELIST, 908u'!$G$7:$AX$914,MATCH($B1478,'[2]PRICELIST, 908u'!$G$7:$G$914,0),18),"NA")</f>
        <v>2024 Batch</v>
      </c>
      <c r="E1478" s="20" t="str">
        <f>IFERROR(INDEX([3]AGM!$D$21:$BL$928,MATCH($B1478,[3]AGM!$AD$21:$AD$928,0),1),"NA")</f>
        <v>OS</v>
      </c>
      <c r="F1478" s="20" t="str">
        <f t="shared" si="70"/>
        <v>Block 28</v>
      </c>
      <c r="G1478" s="20" t="str">
        <f t="shared" si="69"/>
        <v>Lot 05</v>
      </c>
      <c r="H1478" s="20">
        <f>IFERROR(INDEX('[2]PRICELIST, 908u'!$G$7:$AX$914,MATCH($B1478,'[2]PRICELIST, 908u'!$G$7:$G$914,0),23),"NA")</f>
        <v>50</v>
      </c>
      <c r="I1478" s="20">
        <f>IFERROR(INDEX('[2]PRICELIST, 908u'!$G$7:$AX$914,MATCH($B1478,'[2]PRICELIST, 908u'!$G$7:$G$914,0),22),"NA")</f>
        <v>70</v>
      </c>
      <c r="J1478" s="20" t="s">
        <v>207</v>
      </c>
      <c r="K1478" s="20" t="str">
        <f>IFERROR(INDEX('[2]PRICELIST, 908u'!$G$7:$AX$914,MATCH($B1478,'[2]PRICELIST, 908u'!$G$7:$G$914,0),30),"NA")</f>
        <v>Flat / GREEN</v>
      </c>
      <c r="L1478" s="20">
        <f>IFERROR(INDEX('[2]PRICELIST, 908u'!$G$7:$AX$914,MATCH($B1478,'[2]PRICELIST, 908u'!$G$7:$G$914,0),40),"NA")</f>
        <v>2650000</v>
      </c>
      <c r="M1478" s="20">
        <f>IFERROR(INDEX('[2]PRICELIST, 908u'!$G$7:$AX$914,MATCH($B1478,'[2]PRICELIST, 908u'!$G$7:$G$914,0),41),"NA")</f>
        <v>100000</v>
      </c>
      <c r="N1478" s="58">
        <f t="shared" si="72"/>
        <v>2550000</v>
      </c>
      <c r="O1478" s="60"/>
      <c r="P1478" s="60">
        <f t="shared" si="71"/>
        <v>2550000</v>
      </c>
    </row>
    <row r="1479" spans="2:16">
      <c r="B1479" s="20" t="s">
        <v>1630</v>
      </c>
      <c r="C1479" s="20" t="s">
        <v>2</v>
      </c>
      <c r="D1479" s="20" t="str">
        <f>IFERROR(INDEX('[2]PRICELIST, 908u'!$G$7:$AX$914,MATCH($B1479,'[2]PRICELIST, 908u'!$G$7:$G$914,0),18),"NA")</f>
        <v>2024 Batch</v>
      </c>
      <c r="E1479" s="20" t="str">
        <f>IFERROR(INDEX([3]AGM!$D$21:$BL$928,MATCH($B1479,[3]AGM!$AD$21:$AD$928,0),1),"NA")</f>
        <v>OS</v>
      </c>
      <c r="F1479" s="20" t="str">
        <f t="shared" si="70"/>
        <v>Block 28</v>
      </c>
      <c r="G1479" s="20" t="str">
        <f t="shared" si="69"/>
        <v>Lot 06</v>
      </c>
      <c r="H1479" s="20">
        <f>IFERROR(INDEX('[2]PRICELIST, 908u'!$G$7:$AX$914,MATCH($B1479,'[2]PRICELIST, 908u'!$G$7:$G$914,0),23),"NA")</f>
        <v>50</v>
      </c>
      <c r="I1479" s="20">
        <f>IFERROR(INDEX('[2]PRICELIST, 908u'!$G$7:$AX$914,MATCH($B1479,'[2]PRICELIST, 908u'!$G$7:$G$914,0),22),"NA")</f>
        <v>70</v>
      </c>
      <c r="J1479" s="20" t="s">
        <v>207</v>
      </c>
      <c r="K1479" s="20" t="str">
        <f>IFERROR(INDEX('[2]PRICELIST, 908u'!$G$7:$AX$914,MATCH($B1479,'[2]PRICELIST, 908u'!$G$7:$G$914,0),30),"NA")</f>
        <v>Slant / GREEN</v>
      </c>
      <c r="L1479" s="20">
        <f>IFERROR(INDEX('[2]PRICELIST, 908u'!$G$7:$AX$914,MATCH($B1479,'[2]PRICELIST, 908u'!$G$7:$G$914,0),40),"NA")</f>
        <v>2650000</v>
      </c>
      <c r="M1479" s="20">
        <f>IFERROR(INDEX('[2]PRICELIST, 908u'!$G$7:$AX$914,MATCH($B1479,'[2]PRICELIST, 908u'!$G$7:$G$914,0),41),"NA")</f>
        <v>100000</v>
      </c>
      <c r="N1479" s="58">
        <f t="shared" si="72"/>
        <v>2550000</v>
      </c>
      <c r="O1479" s="60"/>
      <c r="P1479" s="60">
        <f t="shared" si="71"/>
        <v>2550000</v>
      </c>
    </row>
    <row r="1480" spans="2:16">
      <c r="B1480" s="20" t="s">
        <v>1631</v>
      </c>
      <c r="C1480" s="20" t="s">
        <v>2</v>
      </c>
      <c r="D1480" s="20" t="str">
        <f>IFERROR(INDEX('[2]PRICELIST, 908u'!$G$7:$AX$914,MATCH($B1480,'[2]PRICELIST, 908u'!$G$7:$G$914,0),18),"NA")</f>
        <v>2024 Batch</v>
      </c>
      <c r="E1480" s="20" t="str">
        <f>IFERROR(INDEX([3]AGM!$D$21:$BL$928,MATCH($B1480,[3]AGM!$AD$21:$AD$928,0),1),"NA")</f>
        <v>OS</v>
      </c>
      <c r="F1480" s="20" t="str">
        <f t="shared" si="70"/>
        <v>Block 28</v>
      </c>
      <c r="G1480" s="20" t="str">
        <f t="shared" si="69"/>
        <v>Lot 07</v>
      </c>
      <c r="H1480" s="20">
        <f>IFERROR(INDEX('[2]PRICELIST, 908u'!$G$7:$AX$914,MATCH($B1480,'[2]PRICELIST, 908u'!$G$7:$G$914,0),23),"NA")</f>
        <v>50</v>
      </c>
      <c r="I1480" s="20">
        <f>IFERROR(INDEX('[2]PRICELIST, 908u'!$G$7:$AX$914,MATCH($B1480,'[2]PRICELIST, 908u'!$G$7:$G$914,0),22),"NA")</f>
        <v>70</v>
      </c>
      <c r="J1480" s="20" t="s">
        <v>25</v>
      </c>
      <c r="K1480" s="20" t="str">
        <f>IFERROR(INDEX('[2]PRICELIST, 908u'!$G$7:$AX$914,MATCH($B1480,'[2]PRICELIST, 908u'!$G$7:$G$914,0),30),"NA")</f>
        <v>Slant / GREEN</v>
      </c>
      <c r="L1480" s="20">
        <f>IFERROR(INDEX('[2]PRICELIST, 908u'!$G$7:$AX$914,MATCH($B1480,'[2]PRICELIST, 908u'!$G$7:$G$914,0),40),"NA")</f>
        <v>2850000</v>
      </c>
      <c r="M1480" s="20">
        <f>IFERROR(INDEX('[2]PRICELIST, 908u'!$G$7:$AX$914,MATCH($B1480,'[2]PRICELIST, 908u'!$G$7:$G$914,0),41),"NA")</f>
        <v>100000</v>
      </c>
      <c r="N1480" s="58">
        <f t="shared" si="72"/>
        <v>2750000</v>
      </c>
      <c r="O1480" s="60"/>
      <c r="P1480" s="60">
        <f t="shared" si="71"/>
        <v>2750000</v>
      </c>
    </row>
    <row r="1481" spans="2:16">
      <c r="B1481" s="20" t="s">
        <v>1632</v>
      </c>
      <c r="C1481" s="20" t="s">
        <v>2</v>
      </c>
      <c r="D1481" s="20" t="str">
        <f>IFERROR(INDEX('[2]PRICELIST, 908u'!$G$7:$AX$914,MATCH($B1481,'[2]PRICELIST, 908u'!$G$7:$G$914,0),18),"NA")</f>
        <v>2024 Batch</v>
      </c>
      <c r="E1481" s="20" t="str">
        <f>IFERROR(INDEX([3]AGM!$D$21:$BL$928,MATCH($B1481,[3]AGM!$AD$21:$AD$928,0),1),"NA")</f>
        <v>OS</v>
      </c>
      <c r="F1481" s="20" t="str">
        <f t="shared" si="70"/>
        <v>Block 28</v>
      </c>
      <c r="G1481" s="20" t="str">
        <f t="shared" si="69"/>
        <v>Lot 08</v>
      </c>
      <c r="H1481" s="20">
        <f>IFERROR(INDEX('[2]PRICELIST, 908u'!$G$7:$AX$914,MATCH($B1481,'[2]PRICELIST, 908u'!$G$7:$G$914,0),23),"NA")</f>
        <v>50</v>
      </c>
      <c r="I1481" s="20">
        <f>IFERROR(INDEX('[2]PRICELIST, 908u'!$G$7:$AX$914,MATCH($B1481,'[2]PRICELIST, 908u'!$G$7:$G$914,0),22),"NA")</f>
        <v>70</v>
      </c>
      <c r="J1481" s="20" t="s">
        <v>25</v>
      </c>
      <c r="K1481" s="20" t="str">
        <f>IFERROR(INDEX('[2]PRICELIST, 908u'!$G$7:$AX$914,MATCH($B1481,'[2]PRICELIST, 908u'!$G$7:$G$914,0),30),"NA")</f>
        <v>Flat / GREEN</v>
      </c>
      <c r="L1481" s="20">
        <f>IFERROR(INDEX('[2]PRICELIST, 908u'!$G$7:$AX$914,MATCH($B1481,'[2]PRICELIST, 908u'!$G$7:$G$914,0),40),"NA")</f>
        <v>2850000</v>
      </c>
      <c r="M1481" s="20">
        <f>IFERROR(INDEX('[2]PRICELIST, 908u'!$G$7:$AX$914,MATCH($B1481,'[2]PRICELIST, 908u'!$G$7:$G$914,0),41),"NA")</f>
        <v>100000</v>
      </c>
      <c r="N1481" s="58">
        <f t="shared" si="72"/>
        <v>2750000</v>
      </c>
      <c r="O1481" s="60"/>
      <c r="P1481" s="60">
        <f t="shared" si="71"/>
        <v>2750000</v>
      </c>
    </row>
    <row r="1482" spans="2:16">
      <c r="B1482" s="20" t="s">
        <v>1633</v>
      </c>
      <c r="C1482" s="20" t="s">
        <v>2</v>
      </c>
      <c r="D1482" s="20" t="str">
        <f>IFERROR(INDEX('[2]PRICELIST, 908u'!$G$7:$AX$914,MATCH($B1482,'[2]PRICELIST, 908u'!$G$7:$G$914,0),18),"NA")</f>
        <v>2024 Batch</v>
      </c>
      <c r="E1482" s="20" t="str">
        <f>IFERROR(INDEX([3]AGM!$D$21:$BL$928,MATCH($B1482,[3]AGM!$AD$21:$AD$928,0),1),"NA")</f>
        <v>OS</v>
      </c>
      <c r="F1482" s="20" t="str">
        <f t="shared" si="70"/>
        <v>Block 28</v>
      </c>
      <c r="G1482" s="20" t="str">
        <f t="shared" si="69"/>
        <v>Lot 09</v>
      </c>
      <c r="H1482" s="20">
        <f>IFERROR(INDEX('[2]PRICELIST, 908u'!$G$7:$AX$914,MATCH($B1482,'[2]PRICELIST, 908u'!$G$7:$G$914,0),23),"NA")</f>
        <v>50</v>
      </c>
      <c r="I1482" s="20">
        <f>IFERROR(INDEX('[2]PRICELIST, 908u'!$G$7:$AX$914,MATCH($B1482,'[2]PRICELIST, 908u'!$G$7:$G$914,0),22),"NA")</f>
        <v>70</v>
      </c>
      <c r="J1482" s="20" t="s">
        <v>25</v>
      </c>
      <c r="K1482" s="20" t="str">
        <f>IFERROR(INDEX('[2]PRICELIST, 908u'!$G$7:$AX$914,MATCH($B1482,'[2]PRICELIST, 908u'!$G$7:$G$914,0),30),"NA")</f>
        <v>Flat / PURPLE</v>
      </c>
      <c r="L1482" s="20">
        <f>IFERROR(INDEX('[2]PRICELIST, 908u'!$G$7:$AX$914,MATCH($B1482,'[2]PRICELIST, 908u'!$G$7:$G$914,0),40),"NA")</f>
        <v>2850000</v>
      </c>
      <c r="M1482" s="20">
        <f>IFERROR(INDEX('[2]PRICELIST, 908u'!$G$7:$AX$914,MATCH($B1482,'[2]PRICELIST, 908u'!$G$7:$G$914,0),41),"NA")</f>
        <v>100000</v>
      </c>
      <c r="N1482" s="58">
        <f t="shared" si="72"/>
        <v>2750000</v>
      </c>
      <c r="O1482" s="60"/>
      <c r="P1482" s="60">
        <f t="shared" si="71"/>
        <v>2750000</v>
      </c>
    </row>
    <row r="1483" spans="2:16">
      <c r="B1483" s="20" t="s">
        <v>1634</v>
      </c>
      <c r="C1483" s="20" t="s">
        <v>2</v>
      </c>
      <c r="D1483" s="20" t="str">
        <f>IFERROR(INDEX('[2]PRICELIST, 908u'!$G$7:$AX$914,MATCH($B1483,'[2]PRICELIST, 908u'!$G$7:$G$914,0),18),"NA")</f>
        <v>2024 Batch</v>
      </c>
      <c r="E1483" s="20" t="str">
        <f>IFERROR(INDEX([3]AGM!$D$21:$BL$928,MATCH($B1483,[3]AGM!$AD$21:$AD$928,0),1),"NA")</f>
        <v>OS</v>
      </c>
      <c r="F1483" s="20" t="str">
        <f t="shared" si="70"/>
        <v>Block 28</v>
      </c>
      <c r="G1483" s="20" t="str">
        <f t="shared" si="69"/>
        <v>Lot 10</v>
      </c>
      <c r="H1483" s="20">
        <f>IFERROR(INDEX('[2]PRICELIST, 908u'!$G$7:$AX$914,MATCH($B1483,'[2]PRICELIST, 908u'!$G$7:$G$914,0),23),"NA")</f>
        <v>50</v>
      </c>
      <c r="I1483" s="20">
        <f>IFERROR(INDEX('[2]PRICELIST, 908u'!$G$7:$AX$914,MATCH($B1483,'[2]PRICELIST, 908u'!$G$7:$G$914,0),22),"NA")</f>
        <v>70</v>
      </c>
      <c r="J1483" s="20" t="s">
        <v>25</v>
      </c>
      <c r="K1483" s="20" t="str">
        <f>IFERROR(INDEX('[2]PRICELIST, 908u'!$G$7:$AX$914,MATCH($B1483,'[2]PRICELIST, 908u'!$G$7:$G$914,0),30),"NA")</f>
        <v>Slant / PURPLE</v>
      </c>
      <c r="L1483" s="20">
        <f>IFERROR(INDEX('[2]PRICELIST, 908u'!$G$7:$AX$914,MATCH($B1483,'[2]PRICELIST, 908u'!$G$7:$G$914,0),40),"NA")</f>
        <v>2850000</v>
      </c>
      <c r="M1483" s="20">
        <f>IFERROR(INDEX('[2]PRICELIST, 908u'!$G$7:$AX$914,MATCH($B1483,'[2]PRICELIST, 908u'!$G$7:$G$914,0),41),"NA")</f>
        <v>100000</v>
      </c>
      <c r="N1483" s="58">
        <f t="shared" si="72"/>
        <v>2750000</v>
      </c>
      <c r="O1483" s="60"/>
      <c r="P1483" s="60">
        <f t="shared" si="71"/>
        <v>2750000</v>
      </c>
    </row>
    <row r="1484" spans="2:16">
      <c r="B1484" s="20" t="s">
        <v>1635</v>
      </c>
      <c r="C1484" s="20" t="s">
        <v>2</v>
      </c>
      <c r="D1484" s="20" t="str">
        <f>IFERROR(INDEX('[2]PRICELIST, 908u'!$G$7:$AX$914,MATCH($B1484,'[2]PRICELIST, 908u'!$G$7:$G$914,0),18),"NA")</f>
        <v>2024 Batch</v>
      </c>
      <c r="E1484" s="20" t="str">
        <f>IFERROR(INDEX([3]AGM!$D$21:$BL$928,MATCH($B1484,[3]AGM!$AD$21:$AD$928,0),1),"NA")</f>
        <v>OS</v>
      </c>
      <c r="F1484" s="20" t="str">
        <f t="shared" si="70"/>
        <v>Block 28</v>
      </c>
      <c r="G1484" s="20" t="str">
        <f t="shared" si="69"/>
        <v>Lot 11</v>
      </c>
      <c r="H1484" s="20">
        <f>IFERROR(INDEX('[2]PRICELIST, 908u'!$G$7:$AX$914,MATCH($B1484,'[2]PRICELIST, 908u'!$G$7:$G$914,0),23),"NA")</f>
        <v>50</v>
      </c>
      <c r="I1484" s="20">
        <f>IFERROR(INDEX('[2]PRICELIST, 908u'!$G$7:$AX$914,MATCH($B1484,'[2]PRICELIST, 908u'!$G$7:$G$914,0),22),"NA")</f>
        <v>70</v>
      </c>
      <c r="J1484" s="20" t="s">
        <v>25</v>
      </c>
      <c r="K1484" s="20" t="str">
        <f>IFERROR(INDEX('[2]PRICELIST, 908u'!$G$7:$AX$914,MATCH($B1484,'[2]PRICELIST, 908u'!$G$7:$G$914,0),30),"NA")</f>
        <v>Slant / PURPLE</v>
      </c>
      <c r="L1484" s="20">
        <f>IFERROR(INDEX('[2]PRICELIST, 908u'!$G$7:$AX$914,MATCH($B1484,'[2]PRICELIST, 908u'!$G$7:$G$914,0),40),"NA")</f>
        <v>2850000</v>
      </c>
      <c r="M1484" s="20">
        <f>IFERROR(INDEX('[2]PRICELIST, 908u'!$G$7:$AX$914,MATCH($B1484,'[2]PRICELIST, 908u'!$G$7:$G$914,0),41),"NA")</f>
        <v>100000</v>
      </c>
      <c r="N1484" s="58">
        <f t="shared" si="72"/>
        <v>2750000</v>
      </c>
      <c r="O1484" s="60"/>
      <c r="P1484" s="60">
        <f t="shared" si="71"/>
        <v>2750000</v>
      </c>
    </row>
    <row r="1485" spans="2:16">
      <c r="B1485" s="20" t="s">
        <v>1636</v>
      </c>
      <c r="C1485" s="20" t="s">
        <v>2</v>
      </c>
      <c r="D1485" s="20" t="str">
        <f>IFERROR(INDEX('[2]PRICELIST, 908u'!$G$7:$AX$914,MATCH($B1485,'[2]PRICELIST, 908u'!$G$7:$G$914,0),18),"NA")</f>
        <v>2024 Batch</v>
      </c>
      <c r="E1485" s="20" t="str">
        <f>IFERROR(INDEX([3]AGM!$D$21:$BL$928,MATCH($B1485,[3]AGM!$AD$21:$AD$928,0),1),"NA")</f>
        <v>OPEN</v>
      </c>
      <c r="F1485" s="20" t="str">
        <f t="shared" si="70"/>
        <v>Block 28</v>
      </c>
      <c r="G1485" s="20" t="str">
        <f t="shared" si="69"/>
        <v>Lot 12</v>
      </c>
      <c r="H1485" s="20">
        <f>IFERROR(INDEX('[2]PRICELIST, 908u'!$G$7:$AX$914,MATCH($B1485,'[2]PRICELIST, 908u'!$G$7:$G$914,0),23),"NA")</f>
        <v>50</v>
      </c>
      <c r="I1485" s="20">
        <f>IFERROR(INDEX('[2]PRICELIST, 908u'!$G$7:$AX$914,MATCH($B1485,'[2]PRICELIST, 908u'!$G$7:$G$914,0),22),"NA")</f>
        <v>70</v>
      </c>
      <c r="J1485" s="20" t="s">
        <v>25</v>
      </c>
      <c r="K1485" s="20" t="str">
        <f>IFERROR(INDEX('[2]PRICELIST, 908u'!$G$7:$AX$914,MATCH($B1485,'[2]PRICELIST, 908u'!$G$7:$G$914,0),30),"NA")</f>
        <v>Flat / PURPLE</v>
      </c>
      <c r="L1485" s="20">
        <f>IFERROR(INDEX('[2]PRICELIST, 908u'!$G$7:$AX$914,MATCH($B1485,'[2]PRICELIST, 908u'!$G$7:$G$914,0),40),"NA")</f>
        <v>2850000</v>
      </c>
      <c r="M1485" s="20">
        <f>IFERROR(INDEX('[2]PRICELIST, 908u'!$G$7:$AX$914,MATCH($B1485,'[2]PRICELIST, 908u'!$G$7:$G$914,0),41),"NA")</f>
        <v>100000</v>
      </c>
      <c r="N1485" s="58">
        <f t="shared" si="72"/>
        <v>2750000</v>
      </c>
      <c r="O1485" s="60"/>
      <c r="P1485" s="60">
        <f t="shared" si="71"/>
        <v>2750000</v>
      </c>
    </row>
    <row r="1486" spans="2:16">
      <c r="B1486" s="20" t="s">
        <v>1637</v>
      </c>
      <c r="C1486" s="20" t="s">
        <v>2</v>
      </c>
      <c r="D1486" s="20" t="str">
        <f>IFERROR(INDEX('[2]PRICELIST, 908u'!$G$7:$AX$914,MATCH($B1486,'[2]PRICELIST, 908u'!$G$7:$G$914,0),18),"NA")</f>
        <v>2024 Batch</v>
      </c>
      <c r="E1486" s="20" t="str">
        <f>IFERROR(INDEX([3]AGM!$D$21:$BL$928,MATCH($B1486,[3]AGM!$AD$21:$AD$928,0),1),"NA")</f>
        <v>HOLD</v>
      </c>
      <c r="F1486" s="20" t="str">
        <f t="shared" si="70"/>
        <v>Block 28</v>
      </c>
      <c r="G1486" s="20" t="str">
        <f t="shared" si="69"/>
        <v>Lot 13</v>
      </c>
      <c r="H1486" s="20">
        <f>IFERROR(INDEX('[2]PRICELIST, 908u'!$G$7:$AX$914,MATCH($B1486,'[2]PRICELIST, 908u'!$G$7:$G$914,0),23),"NA")</f>
        <v>50</v>
      </c>
      <c r="I1486" s="20">
        <f>IFERROR(INDEX('[2]PRICELIST, 908u'!$G$7:$AX$914,MATCH($B1486,'[2]PRICELIST, 908u'!$G$7:$G$914,0),22),"NA")</f>
        <v>70</v>
      </c>
      <c r="J1486" s="20" t="s">
        <v>25</v>
      </c>
      <c r="K1486" s="20" t="str">
        <f>IFERROR(INDEX('[2]PRICELIST, 908u'!$G$7:$AX$914,MATCH($B1486,'[2]PRICELIST, 908u'!$G$7:$G$914,0),30),"NA")</f>
        <v>Flat / PINK</v>
      </c>
      <c r="L1486" s="20">
        <f>IFERROR(INDEX('[2]PRICELIST, 908u'!$G$7:$AX$914,MATCH($B1486,'[2]PRICELIST, 908u'!$G$7:$G$914,0),40),"NA")</f>
        <v>2850000</v>
      </c>
      <c r="M1486" s="20">
        <f>IFERROR(INDEX('[2]PRICELIST, 908u'!$G$7:$AX$914,MATCH($B1486,'[2]PRICELIST, 908u'!$G$7:$G$914,0),41),"NA")</f>
        <v>100000</v>
      </c>
      <c r="N1486" s="58">
        <f t="shared" si="72"/>
        <v>2750000</v>
      </c>
      <c r="O1486" s="60"/>
      <c r="P1486" s="60">
        <f t="shared" si="71"/>
        <v>2750000</v>
      </c>
    </row>
    <row r="1487" spans="2:16">
      <c r="B1487" s="20" t="s">
        <v>1638</v>
      </c>
      <c r="C1487" s="20" t="s">
        <v>2</v>
      </c>
      <c r="D1487" s="20" t="str">
        <f>IFERROR(INDEX('[2]PRICELIST, 908u'!$G$7:$AX$914,MATCH($B1487,'[2]PRICELIST, 908u'!$G$7:$G$914,0),18),"NA")</f>
        <v>2024 Batch</v>
      </c>
      <c r="E1487" s="20" t="str">
        <f>IFERROR(INDEX([3]AGM!$D$21:$BL$928,MATCH($B1487,[3]AGM!$AD$21:$AD$928,0),1),"NA")</f>
        <v>OS</v>
      </c>
      <c r="F1487" s="20" t="str">
        <f t="shared" si="70"/>
        <v>Block 28</v>
      </c>
      <c r="G1487" s="20" t="str">
        <f t="shared" si="69"/>
        <v>Lot 14</v>
      </c>
      <c r="H1487" s="20">
        <f>IFERROR(INDEX('[2]PRICELIST, 908u'!$G$7:$AX$914,MATCH($B1487,'[2]PRICELIST, 908u'!$G$7:$G$914,0),23),"NA")</f>
        <v>50</v>
      </c>
      <c r="I1487" s="20">
        <f>IFERROR(INDEX('[2]PRICELIST, 908u'!$G$7:$AX$914,MATCH($B1487,'[2]PRICELIST, 908u'!$G$7:$G$914,0),22),"NA")</f>
        <v>70</v>
      </c>
      <c r="J1487" s="20" t="s">
        <v>25</v>
      </c>
      <c r="K1487" s="20" t="str">
        <f>IFERROR(INDEX('[2]PRICELIST, 908u'!$G$7:$AX$914,MATCH($B1487,'[2]PRICELIST, 908u'!$G$7:$G$914,0),30),"NA")</f>
        <v>Slant / PINK</v>
      </c>
      <c r="L1487" s="20">
        <f>IFERROR(INDEX('[2]PRICELIST, 908u'!$G$7:$AX$914,MATCH($B1487,'[2]PRICELIST, 908u'!$G$7:$G$914,0),40),"NA")</f>
        <v>2850000</v>
      </c>
      <c r="M1487" s="20">
        <f>IFERROR(INDEX('[2]PRICELIST, 908u'!$G$7:$AX$914,MATCH($B1487,'[2]PRICELIST, 908u'!$G$7:$G$914,0),41),"NA")</f>
        <v>100000</v>
      </c>
      <c r="N1487" s="58">
        <f t="shared" si="72"/>
        <v>2750000</v>
      </c>
      <c r="O1487" s="60"/>
      <c r="P1487" s="60">
        <f t="shared" si="71"/>
        <v>2750000</v>
      </c>
    </row>
    <row r="1488" spans="2:16">
      <c r="B1488" s="20" t="s">
        <v>1639</v>
      </c>
      <c r="C1488" s="20" t="s">
        <v>2</v>
      </c>
      <c r="D1488" s="20" t="str">
        <f>IFERROR(INDEX('[2]PRICELIST, 908u'!$G$7:$AX$914,MATCH($B1488,'[2]PRICELIST, 908u'!$G$7:$G$914,0),18),"NA")</f>
        <v>2024 Batch</v>
      </c>
      <c r="E1488" s="20" t="str">
        <f>IFERROR(INDEX([3]AGM!$D$21:$BL$928,MATCH($B1488,[3]AGM!$AD$21:$AD$928,0),1),"NA")</f>
        <v>OS</v>
      </c>
      <c r="F1488" s="20" t="str">
        <f t="shared" si="70"/>
        <v>Block 28</v>
      </c>
      <c r="G1488" s="20" t="str">
        <f t="shared" si="69"/>
        <v>Lot 15</v>
      </c>
      <c r="H1488" s="20">
        <f>IFERROR(INDEX('[2]PRICELIST, 908u'!$G$7:$AX$914,MATCH($B1488,'[2]PRICELIST, 908u'!$G$7:$G$914,0),23),"NA")</f>
        <v>50</v>
      </c>
      <c r="I1488" s="20">
        <f>IFERROR(INDEX('[2]PRICELIST, 908u'!$G$7:$AX$914,MATCH($B1488,'[2]PRICELIST, 908u'!$G$7:$G$914,0),22),"NA")</f>
        <v>70</v>
      </c>
      <c r="J1488" s="20" t="s">
        <v>25</v>
      </c>
      <c r="K1488" s="20" t="str">
        <f>IFERROR(INDEX('[2]PRICELIST, 908u'!$G$7:$AX$914,MATCH($B1488,'[2]PRICELIST, 908u'!$G$7:$G$914,0),30),"NA")</f>
        <v>Slant / PINK</v>
      </c>
      <c r="L1488" s="20">
        <f>IFERROR(INDEX('[2]PRICELIST, 908u'!$G$7:$AX$914,MATCH($B1488,'[2]PRICELIST, 908u'!$G$7:$G$914,0),40),"NA")</f>
        <v>2850000</v>
      </c>
      <c r="M1488" s="20">
        <f>IFERROR(INDEX('[2]PRICELIST, 908u'!$G$7:$AX$914,MATCH($B1488,'[2]PRICELIST, 908u'!$G$7:$G$914,0),41),"NA")</f>
        <v>100000</v>
      </c>
      <c r="N1488" s="58">
        <f t="shared" si="72"/>
        <v>2750000</v>
      </c>
      <c r="O1488" s="60"/>
      <c r="P1488" s="60">
        <f t="shared" si="71"/>
        <v>2750000</v>
      </c>
    </row>
    <row r="1489" spans="2:16">
      <c r="B1489" s="20" t="s">
        <v>1640</v>
      </c>
      <c r="C1489" s="20" t="s">
        <v>2</v>
      </c>
      <c r="D1489" s="20" t="str">
        <f>IFERROR(INDEX('[2]PRICELIST, 908u'!$G$7:$AX$914,MATCH($B1489,'[2]PRICELIST, 908u'!$G$7:$G$914,0),18),"NA")</f>
        <v>2024 Batch</v>
      </c>
      <c r="E1489" s="20" t="str">
        <f>IFERROR(INDEX([3]AGM!$D$21:$BL$928,MATCH($B1489,[3]AGM!$AD$21:$AD$928,0),1),"NA")</f>
        <v>OS</v>
      </c>
      <c r="F1489" s="20" t="str">
        <f t="shared" si="70"/>
        <v>Block 28</v>
      </c>
      <c r="G1489" s="20" t="str">
        <f t="shared" si="69"/>
        <v>Lot 16</v>
      </c>
      <c r="H1489" s="20">
        <f>IFERROR(INDEX('[2]PRICELIST, 908u'!$G$7:$AX$914,MATCH($B1489,'[2]PRICELIST, 908u'!$G$7:$G$914,0),23),"NA")</f>
        <v>50</v>
      </c>
      <c r="I1489" s="20">
        <f>IFERROR(INDEX('[2]PRICELIST, 908u'!$G$7:$AX$914,MATCH($B1489,'[2]PRICELIST, 908u'!$G$7:$G$914,0),22),"NA")</f>
        <v>70</v>
      </c>
      <c r="J1489" s="20" t="s">
        <v>207</v>
      </c>
      <c r="K1489" s="20" t="str">
        <f>IFERROR(INDEX('[2]PRICELIST, 908u'!$G$7:$AX$914,MATCH($B1489,'[2]PRICELIST, 908u'!$G$7:$G$914,0),30),"NA")</f>
        <v>Flat / PINK</v>
      </c>
      <c r="L1489" s="20">
        <f>IFERROR(INDEX('[2]PRICELIST, 908u'!$G$7:$AX$914,MATCH($B1489,'[2]PRICELIST, 908u'!$G$7:$G$914,0),40),"NA")</f>
        <v>2650000</v>
      </c>
      <c r="M1489" s="20">
        <f>IFERROR(INDEX('[2]PRICELIST, 908u'!$G$7:$AX$914,MATCH($B1489,'[2]PRICELIST, 908u'!$G$7:$G$914,0),41),"NA")</f>
        <v>100000</v>
      </c>
      <c r="N1489" s="58">
        <f t="shared" si="72"/>
        <v>2550000</v>
      </c>
      <c r="O1489" s="60"/>
      <c r="P1489" s="60">
        <f t="shared" si="71"/>
        <v>2550000</v>
      </c>
    </row>
    <row r="1490" spans="2:16">
      <c r="B1490" s="20" t="s">
        <v>1641</v>
      </c>
      <c r="C1490" s="20" t="s">
        <v>2</v>
      </c>
      <c r="D1490" s="20" t="str">
        <f>IFERROR(INDEX('[2]PRICELIST, 908u'!$G$7:$AX$914,MATCH($B1490,'[2]PRICELIST, 908u'!$G$7:$G$914,0),18),"NA")</f>
        <v>2024 Batch</v>
      </c>
      <c r="E1490" s="20" t="str">
        <f>IFERROR(INDEX([3]AGM!$D$21:$BL$928,MATCH($B1490,[3]AGM!$AD$21:$AD$928,0),1),"NA")</f>
        <v>TS</v>
      </c>
      <c r="F1490" s="20" t="str">
        <f t="shared" si="70"/>
        <v>Block 28</v>
      </c>
      <c r="G1490" s="20" t="str">
        <f t="shared" si="69"/>
        <v>Lot 17</v>
      </c>
      <c r="H1490" s="20">
        <f>IFERROR(INDEX('[2]PRICELIST, 908u'!$G$7:$AX$914,MATCH($B1490,'[2]PRICELIST, 908u'!$G$7:$G$914,0),23),"NA")</f>
        <v>50</v>
      </c>
      <c r="I1490" s="20">
        <f>IFERROR(INDEX('[2]PRICELIST, 908u'!$G$7:$AX$914,MATCH($B1490,'[2]PRICELIST, 908u'!$G$7:$G$914,0),22),"NA")</f>
        <v>70</v>
      </c>
      <c r="J1490" s="20" t="s">
        <v>25</v>
      </c>
      <c r="K1490" s="20" t="str">
        <f>IFERROR(INDEX('[2]PRICELIST, 908u'!$G$7:$AX$914,MATCH($B1490,'[2]PRICELIST, 908u'!$G$7:$G$914,0),30),"NA")</f>
        <v>Flat / YELLOW</v>
      </c>
      <c r="L1490" s="20">
        <f>IFERROR(INDEX('[2]PRICELIST, 908u'!$G$7:$AX$914,MATCH($B1490,'[2]PRICELIST, 908u'!$G$7:$G$914,0),40),"NA")</f>
        <v>2850000</v>
      </c>
      <c r="M1490" s="20">
        <f>IFERROR(INDEX('[2]PRICELIST, 908u'!$G$7:$AX$914,MATCH($B1490,'[2]PRICELIST, 908u'!$G$7:$G$914,0),41),"NA")</f>
        <v>100000</v>
      </c>
      <c r="N1490" s="58">
        <f t="shared" si="72"/>
        <v>2750000</v>
      </c>
      <c r="O1490" s="60"/>
      <c r="P1490" s="60">
        <f t="shared" si="71"/>
        <v>2750000</v>
      </c>
    </row>
    <row r="1491" spans="2:16">
      <c r="B1491" s="20" t="s">
        <v>1642</v>
      </c>
      <c r="C1491" s="20" t="s">
        <v>2</v>
      </c>
      <c r="D1491" s="20" t="str">
        <f>IFERROR(INDEX('[2]PRICELIST, 908u'!$G$7:$AX$914,MATCH($B1491,'[2]PRICELIST, 908u'!$G$7:$G$914,0),18),"NA")</f>
        <v>2024 Batch</v>
      </c>
      <c r="E1491" s="20" t="str">
        <f>IFERROR(INDEX([3]AGM!$D$21:$BL$928,MATCH($B1491,[3]AGM!$AD$21:$AD$928,0),1),"NA")</f>
        <v>OS</v>
      </c>
      <c r="F1491" s="20" t="str">
        <f t="shared" si="70"/>
        <v>Block 28</v>
      </c>
      <c r="G1491" s="20" t="str">
        <f t="shared" si="69"/>
        <v>Lot 18</v>
      </c>
      <c r="H1491" s="20">
        <f>IFERROR(INDEX('[2]PRICELIST, 908u'!$G$7:$AX$914,MATCH($B1491,'[2]PRICELIST, 908u'!$G$7:$G$914,0),23),"NA")</f>
        <v>50</v>
      </c>
      <c r="I1491" s="20">
        <f>IFERROR(INDEX('[2]PRICELIST, 908u'!$G$7:$AX$914,MATCH($B1491,'[2]PRICELIST, 908u'!$G$7:$G$914,0),22),"NA")</f>
        <v>70</v>
      </c>
      <c r="J1491" s="20" t="s">
        <v>25</v>
      </c>
      <c r="K1491" s="20" t="str">
        <f>IFERROR(INDEX('[2]PRICELIST, 908u'!$G$7:$AX$914,MATCH($B1491,'[2]PRICELIST, 908u'!$G$7:$G$914,0),30),"NA")</f>
        <v>Slant / YELLOW</v>
      </c>
      <c r="L1491" s="20">
        <f>IFERROR(INDEX('[2]PRICELIST, 908u'!$G$7:$AX$914,MATCH($B1491,'[2]PRICELIST, 908u'!$G$7:$G$914,0),40),"NA")</f>
        <v>2850000</v>
      </c>
      <c r="M1491" s="20">
        <f>IFERROR(INDEX('[2]PRICELIST, 908u'!$G$7:$AX$914,MATCH($B1491,'[2]PRICELIST, 908u'!$G$7:$G$914,0),41),"NA")</f>
        <v>100000</v>
      </c>
      <c r="N1491" s="58">
        <f t="shared" si="72"/>
        <v>2750000</v>
      </c>
      <c r="O1491" s="60"/>
      <c r="P1491" s="60">
        <f t="shared" si="71"/>
        <v>2750000</v>
      </c>
    </row>
    <row r="1492" spans="2:16">
      <c r="B1492" s="20" t="s">
        <v>1643</v>
      </c>
      <c r="C1492" s="20" t="s">
        <v>2</v>
      </c>
      <c r="D1492" s="20" t="str">
        <f>IFERROR(INDEX('[2]PRICELIST, 908u'!$G$7:$AX$914,MATCH($B1492,'[2]PRICELIST, 908u'!$G$7:$G$914,0),18),"NA")</f>
        <v>2024 Batch</v>
      </c>
      <c r="E1492" s="20" t="str">
        <f>IFERROR(INDEX([3]AGM!$D$21:$BL$928,MATCH($B1492,[3]AGM!$AD$21:$AD$928,0),1),"NA")</f>
        <v>OS</v>
      </c>
      <c r="F1492" s="20" t="str">
        <f t="shared" si="70"/>
        <v>Block 28</v>
      </c>
      <c r="G1492" s="20" t="str">
        <f t="shared" si="69"/>
        <v>Lot 19</v>
      </c>
      <c r="H1492" s="20">
        <f>IFERROR(INDEX('[2]PRICELIST, 908u'!$G$7:$AX$914,MATCH($B1492,'[2]PRICELIST, 908u'!$G$7:$G$914,0),23),"NA")</f>
        <v>50</v>
      </c>
      <c r="I1492" s="20">
        <f>IFERROR(INDEX('[2]PRICELIST, 908u'!$G$7:$AX$914,MATCH($B1492,'[2]PRICELIST, 908u'!$G$7:$G$914,0),22),"NA")</f>
        <v>70</v>
      </c>
      <c r="J1492" s="20" t="s">
        <v>25</v>
      </c>
      <c r="K1492" s="20" t="str">
        <f>IFERROR(INDEX('[2]PRICELIST, 908u'!$G$7:$AX$914,MATCH($B1492,'[2]PRICELIST, 908u'!$G$7:$G$914,0),30),"NA")</f>
        <v>Slant / YELLOW</v>
      </c>
      <c r="L1492" s="20">
        <f>IFERROR(INDEX('[2]PRICELIST, 908u'!$G$7:$AX$914,MATCH($B1492,'[2]PRICELIST, 908u'!$G$7:$G$914,0),40),"NA")</f>
        <v>2850000</v>
      </c>
      <c r="M1492" s="20">
        <f>IFERROR(INDEX('[2]PRICELIST, 908u'!$G$7:$AX$914,MATCH($B1492,'[2]PRICELIST, 908u'!$G$7:$G$914,0),41),"NA")</f>
        <v>100000</v>
      </c>
      <c r="N1492" s="58">
        <f t="shared" si="72"/>
        <v>2750000</v>
      </c>
      <c r="O1492" s="60"/>
      <c r="P1492" s="60">
        <f t="shared" si="71"/>
        <v>2750000</v>
      </c>
    </row>
    <row r="1493" spans="2:16">
      <c r="B1493" s="20" t="s">
        <v>1644</v>
      </c>
      <c r="C1493" s="20" t="s">
        <v>2</v>
      </c>
      <c r="D1493" s="20" t="str">
        <f>IFERROR(INDEX('[2]PRICELIST, 908u'!$G$7:$AX$914,MATCH($B1493,'[2]PRICELIST, 908u'!$G$7:$G$914,0),18),"NA")</f>
        <v>2024 Batch</v>
      </c>
      <c r="E1493" s="20" t="str">
        <f>IFERROR(INDEX([3]AGM!$D$21:$BL$928,MATCH($B1493,[3]AGM!$AD$21:$AD$928,0),1),"NA")</f>
        <v>OS</v>
      </c>
      <c r="F1493" s="20" t="str">
        <f t="shared" si="70"/>
        <v>Block 28</v>
      </c>
      <c r="G1493" s="20" t="str">
        <f t="shared" si="69"/>
        <v>Lot 20</v>
      </c>
      <c r="H1493" s="20">
        <f>IFERROR(INDEX('[2]PRICELIST, 908u'!$G$7:$AX$914,MATCH($B1493,'[2]PRICELIST, 908u'!$G$7:$G$914,0),23),"NA")</f>
        <v>50</v>
      </c>
      <c r="I1493" s="20">
        <f>IFERROR(INDEX('[2]PRICELIST, 908u'!$G$7:$AX$914,MATCH($B1493,'[2]PRICELIST, 908u'!$G$7:$G$914,0),22),"NA")</f>
        <v>81</v>
      </c>
      <c r="J1493" s="20" t="s">
        <v>25</v>
      </c>
      <c r="K1493" s="20" t="str">
        <f>IFERROR(INDEX('[2]PRICELIST, 908u'!$G$7:$AX$914,MATCH($B1493,'[2]PRICELIST, 908u'!$G$7:$G$914,0),30),"NA")</f>
        <v>Flat / YELLOW</v>
      </c>
      <c r="L1493" s="20">
        <f>IFERROR(INDEX('[2]PRICELIST, 908u'!$G$7:$AX$914,MATCH($B1493,'[2]PRICELIST, 908u'!$G$7:$G$914,0),40),"NA")</f>
        <v>3015000</v>
      </c>
      <c r="M1493" s="20">
        <f>IFERROR(INDEX('[2]PRICELIST, 908u'!$G$7:$AX$914,MATCH($B1493,'[2]PRICELIST, 908u'!$G$7:$G$914,0),41),"NA")</f>
        <v>100000</v>
      </c>
      <c r="N1493" s="58">
        <f t="shared" si="72"/>
        <v>2915000</v>
      </c>
      <c r="O1493" s="60"/>
      <c r="P1493" s="60">
        <f t="shared" si="71"/>
        <v>2915000</v>
      </c>
    </row>
    <row r="1494" spans="2:16">
      <c r="B1494" s="20" t="s">
        <v>1645</v>
      </c>
      <c r="C1494" s="20" t="s">
        <v>2</v>
      </c>
      <c r="D1494" s="20" t="str">
        <f>IFERROR(INDEX('[2]PRICELIST, 908u'!$G$7:$AX$914,MATCH($B1494,'[2]PRICELIST, 908u'!$G$7:$G$914,0),18),"NA")</f>
        <v>2024 Batch</v>
      </c>
      <c r="E1494" s="20" t="str">
        <f>IFERROR(INDEX([3]AGM!$D$21:$BL$928,MATCH($B1494,[3]AGM!$AD$21:$AD$928,0),1),"NA")</f>
        <v>OS</v>
      </c>
      <c r="F1494" s="20" t="str">
        <f t="shared" si="70"/>
        <v>Block 28</v>
      </c>
      <c r="G1494" s="20" t="str">
        <f t="shared" si="69"/>
        <v>Lot 21</v>
      </c>
      <c r="H1494" s="20">
        <f>IFERROR(INDEX('[2]PRICELIST, 908u'!$G$7:$AX$914,MATCH($B1494,'[2]PRICELIST, 908u'!$G$7:$G$914,0),23),"NA")</f>
        <v>50</v>
      </c>
      <c r="I1494" s="20">
        <f>IFERROR(INDEX('[2]PRICELIST, 908u'!$G$7:$AX$914,MATCH($B1494,'[2]PRICELIST, 908u'!$G$7:$G$914,0),22),"NA")</f>
        <v>81</v>
      </c>
      <c r="J1494" s="20" t="s">
        <v>207</v>
      </c>
      <c r="K1494" s="20" t="str">
        <f>IFERROR(INDEX('[2]PRICELIST, 908u'!$G$7:$AX$914,MATCH($B1494,'[2]PRICELIST, 908u'!$G$7:$G$914,0),30),"NA")</f>
        <v>Slant / GREEN</v>
      </c>
      <c r="L1494" s="20">
        <f>IFERROR(INDEX('[2]PRICELIST, 908u'!$G$7:$AX$914,MATCH($B1494,'[2]PRICELIST, 908u'!$G$7:$G$914,0),40),"NA")</f>
        <v>2815000</v>
      </c>
      <c r="M1494" s="20">
        <f>IFERROR(INDEX('[2]PRICELIST, 908u'!$G$7:$AX$914,MATCH($B1494,'[2]PRICELIST, 908u'!$G$7:$G$914,0),41),"NA")</f>
        <v>100000</v>
      </c>
      <c r="N1494" s="58">
        <f t="shared" si="72"/>
        <v>2715000</v>
      </c>
      <c r="O1494" s="60"/>
      <c r="P1494" s="60">
        <f t="shared" si="71"/>
        <v>2715000</v>
      </c>
    </row>
    <row r="1495" spans="2:16">
      <c r="B1495" s="20" t="s">
        <v>1646</v>
      </c>
      <c r="C1495" s="20" t="s">
        <v>2</v>
      </c>
      <c r="D1495" s="20" t="str">
        <f>IFERROR(INDEX('[2]PRICELIST, 908u'!$G$7:$AX$914,MATCH($B1495,'[2]PRICELIST, 908u'!$G$7:$G$914,0),18),"NA")</f>
        <v>2024 Batch</v>
      </c>
      <c r="E1495" s="20" t="str">
        <f>IFERROR(INDEX([3]AGM!$D$21:$BL$928,MATCH($B1495,[3]AGM!$AD$21:$AD$928,0),1),"NA")</f>
        <v>OS</v>
      </c>
      <c r="F1495" s="20" t="str">
        <f t="shared" si="70"/>
        <v>Block 28</v>
      </c>
      <c r="G1495" s="20" t="str">
        <f t="shared" si="69"/>
        <v>Lot 22</v>
      </c>
      <c r="H1495" s="20">
        <f>IFERROR(INDEX('[2]PRICELIST, 908u'!$G$7:$AX$914,MATCH($B1495,'[2]PRICELIST, 908u'!$G$7:$G$914,0),23),"NA")</f>
        <v>50</v>
      </c>
      <c r="I1495" s="20">
        <f>IFERROR(INDEX('[2]PRICELIST, 908u'!$G$7:$AX$914,MATCH($B1495,'[2]PRICELIST, 908u'!$G$7:$G$914,0),22),"NA")</f>
        <v>70</v>
      </c>
      <c r="J1495" s="20" t="s">
        <v>25</v>
      </c>
      <c r="K1495" s="20" t="str">
        <f>IFERROR(INDEX('[2]PRICELIST, 908u'!$G$7:$AX$914,MATCH($B1495,'[2]PRICELIST, 908u'!$G$7:$G$914,0),30),"NA")</f>
        <v>Flat / GREEN</v>
      </c>
      <c r="L1495" s="20">
        <f>IFERROR(INDEX('[2]PRICELIST, 908u'!$G$7:$AX$914,MATCH($B1495,'[2]PRICELIST, 908u'!$G$7:$G$914,0),40),"NA")</f>
        <v>2850000</v>
      </c>
      <c r="M1495" s="20">
        <f>IFERROR(INDEX('[2]PRICELIST, 908u'!$G$7:$AX$914,MATCH($B1495,'[2]PRICELIST, 908u'!$G$7:$G$914,0),41),"NA")</f>
        <v>100000</v>
      </c>
      <c r="N1495" s="58">
        <f t="shared" si="72"/>
        <v>2750000</v>
      </c>
      <c r="O1495" s="60"/>
      <c r="P1495" s="60">
        <f t="shared" si="71"/>
        <v>2750000</v>
      </c>
    </row>
    <row r="1496" spans="2:16">
      <c r="B1496" s="20" t="s">
        <v>1647</v>
      </c>
      <c r="C1496" s="20" t="s">
        <v>2</v>
      </c>
      <c r="D1496" s="20" t="str">
        <f>IFERROR(INDEX('[2]PRICELIST, 908u'!$G$7:$AX$914,MATCH($B1496,'[2]PRICELIST, 908u'!$G$7:$G$914,0),18),"NA")</f>
        <v>2024 Batch</v>
      </c>
      <c r="E1496" s="20" t="str">
        <f>IFERROR(INDEX([3]AGM!$D$21:$BL$928,MATCH($B1496,[3]AGM!$AD$21:$AD$928,0),1),"NA")</f>
        <v>OS</v>
      </c>
      <c r="F1496" s="20" t="str">
        <f t="shared" si="70"/>
        <v>Block 28</v>
      </c>
      <c r="G1496" s="20" t="str">
        <f t="shared" ref="G1496:G1559" si="73">"Lot "&amp;TEXT(VALUE(RIGHT(B1496,3)),"00")</f>
        <v>Lot 23</v>
      </c>
      <c r="H1496" s="20">
        <f>IFERROR(INDEX('[2]PRICELIST, 908u'!$G$7:$AX$914,MATCH($B1496,'[2]PRICELIST, 908u'!$G$7:$G$914,0),23),"NA")</f>
        <v>50</v>
      </c>
      <c r="I1496" s="20">
        <f>IFERROR(INDEX('[2]PRICELIST, 908u'!$G$7:$AX$914,MATCH($B1496,'[2]PRICELIST, 908u'!$G$7:$G$914,0),22),"NA")</f>
        <v>70</v>
      </c>
      <c r="J1496" s="20" t="s">
        <v>25</v>
      </c>
      <c r="K1496" s="20" t="str">
        <f>IFERROR(INDEX('[2]PRICELIST, 908u'!$G$7:$AX$914,MATCH($B1496,'[2]PRICELIST, 908u'!$G$7:$G$914,0),30),"NA")</f>
        <v>Flat / GREEN</v>
      </c>
      <c r="L1496" s="20">
        <f>IFERROR(INDEX('[2]PRICELIST, 908u'!$G$7:$AX$914,MATCH($B1496,'[2]PRICELIST, 908u'!$G$7:$G$914,0),40),"NA")</f>
        <v>2850000</v>
      </c>
      <c r="M1496" s="20">
        <f>IFERROR(INDEX('[2]PRICELIST, 908u'!$G$7:$AX$914,MATCH($B1496,'[2]PRICELIST, 908u'!$G$7:$G$914,0),41),"NA")</f>
        <v>100000</v>
      </c>
      <c r="N1496" s="58">
        <f t="shared" si="72"/>
        <v>2750000</v>
      </c>
      <c r="O1496" s="60"/>
      <c r="P1496" s="60">
        <f t="shared" si="71"/>
        <v>2750000</v>
      </c>
    </row>
    <row r="1497" spans="2:16">
      <c r="B1497" s="20" t="s">
        <v>1648</v>
      </c>
      <c r="C1497" s="20" t="s">
        <v>2</v>
      </c>
      <c r="D1497" s="20" t="str">
        <f>IFERROR(INDEX('[2]PRICELIST, 908u'!$G$7:$AX$914,MATCH($B1497,'[2]PRICELIST, 908u'!$G$7:$G$914,0),18),"NA")</f>
        <v>2024 Batch</v>
      </c>
      <c r="E1497" s="20" t="str">
        <f>IFERROR(INDEX([3]AGM!$D$21:$BL$928,MATCH($B1497,[3]AGM!$AD$21:$AD$928,0),1),"NA")</f>
        <v>OS</v>
      </c>
      <c r="F1497" s="20" t="str">
        <f t="shared" ref="F1497:F1560" si="74">"Block "&amp;TEXT(VALUE(MID(B1497,8,3)),"00")</f>
        <v>Block 28</v>
      </c>
      <c r="G1497" s="20" t="str">
        <f t="shared" si="73"/>
        <v>Lot 24</v>
      </c>
      <c r="H1497" s="20">
        <f>IFERROR(INDEX('[2]PRICELIST, 908u'!$G$7:$AX$914,MATCH($B1497,'[2]PRICELIST, 908u'!$G$7:$G$914,0),23),"NA")</f>
        <v>50</v>
      </c>
      <c r="I1497" s="20">
        <f>IFERROR(INDEX('[2]PRICELIST, 908u'!$G$7:$AX$914,MATCH($B1497,'[2]PRICELIST, 908u'!$G$7:$G$914,0),22),"NA")</f>
        <v>70</v>
      </c>
      <c r="J1497" s="20" t="s">
        <v>25</v>
      </c>
      <c r="K1497" s="20" t="str">
        <f>IFERROR(INDEX('[2]PRICELIST, 908u'!$G$7:$AX$914,MATCH($B1497,'[2]PRICELIST, 908u'!$G$7:$G$914,0),30),"NA")</f>
        <v>Slant / GREEN</v>
      </c>
      <c r="L1497" s="20">
        <f>IFERROR(INDEX('[2]PRICELIST, 908u'!$G$7:$AX$914,MATCH($B1497,'[2]PRICELIST, 908u'!$G$7:$G$914,0),40),"NA")</f>
        <v>2850000</v>
      </c>
      <c r="M1497" s="20">
        <f>IFERROR(INDEX('[2]PRICELIST, 908u'!$G$7:$AX$914,MATCH($B1497,'[2]PRICELIST, 908u'!$G$7:$G$914,0),41),"NA")</f>
        <v>100000</v>
      </c>
      <c r="N1497" s="58">
        <f t="shared" si="72"/>
        <v>2750000</v>
      </c>
      <c r="O1497" s="60"/>
      <c r="P1497" s="60">
        <f t="shared" ref="P1497:P1560" si="75">N1497-O1497</f>
        <v>2750000</v>
      </c>
    </row>
    <row r="1498" spans="2:16">
      <c r="B1498" s="20" t="s">
        <v>1649</v>
      </c>
      <c r="C1498" s="20" t="s">
        <v>2</v>
      </c>
      <c r="D1498" s="20" t="str">
        <f>IFERROR(INDEX('[2]PRICELIST, 908u'!$G$7:$AX$914,MATCH($B1498,'[2]PRICELIST, 908u'!$G$7:$G$914,0),18),"NA")</f>
        <v>2024 Batch</v>
      </c>
      <c r="E1498" s="20" t="str">
        <f>IFERROR(INDEX([3]AGM!$D$21:$BL$928,MATCH($B1498,[3]AGM!$AD$21:$AD$928,0),1),"NA")</f>
        <v>TS</v>
      </c>
      <c r="F1498" s="20" t="str">
        <f t="shared" si="74"/>
        <v>Block 28</v>
      </c>
      <c r="G1498" s="20" t="str">
        <f t="shared" si="73"/>
        <v>Lot 25</v>
      </c>
      <c r="H1498" s="20">
        <f>IFERROR(INDEX('[2]PRICELIST, 908u'!$G$7:$AX$914,MATCH($B1498,'[2]PRICELIST, 908u'!$G$7:$G$914,0),23),"NA")</f>
        <v>50</v>
      </c>
      <c r="I1498" s="20">
        <f>IFERROR(INDEX('[2]PRICELIST, 908u'!$G$7:$AX$914,MATCH($B1498,'[2]PRICELIST, 908u'!$G$7:$G$914,0),22),"NA")</f>
        <v>70</v>
      </c>
      <c r="J1498" s="20" t="s">
        <v>25</v>
      </c>
      <c r="K1498" s="20" t="str">
        <f>IFERROR(INDEX('[2]PRICELIST, 908u'!$G$7:$AX$914,MATCH($B1498,'[2]PRICELIST, 908u'!$G$7:$G$914,0),30),"NA")</f>
        <v>Slant / YELLOW</v>
      </c>
      <c r="L1498" s="20">
        <f>IFERROR(INDEX('[2]PRICELIST, 908u'!$G$7:$AX$914,MATCH($B1498,'[2]PRICELIST, 908u'!$G$7:$G$914,0),40),"NA")</f>
        <v>2850000</v>
      </c>
      <c r="M1498" s="20">
        <f>IFERROR(INDEX('[2]PRICELIST, 908u'!$G$7:$AX$914,MATCH($B1498,'[2]PRICELIST, 908u'!$G$7:$G$914,0),41),"NA")</f>
        <v>100000</v>
      </c>
      <c r="N1498" s="58">
        <f t="shared" ref="N1498:N1561" si="76">L1498-M1498</f>
        <v>2750000</v>
      </c>
      <c r="O1498" s="60"/>
      <c r="P1498" s="60">
        <f t="shared" si="75"/>
        <v>2750000</v>
      </c>
    </row>
    <row r="1499" spans="2:16">
      <c r="B1499" s="20" t="s">
        <v>1650</v>
      </c>
      <c r="C1499" s="20" t="s">
        <v>2</v>
      </c>
      <c r="D1499" s="20" t="str">
        <f>IFERROR(INDEX('[2]PRICELIST, 908u'!$G$7:$AX$914,MATCH($B1499,'[2]PRICELIST, 908u'!$G$7:$G$914,0),18),"NA")</f>
        <v>2024 Batch</v>
      </c>
      <c r="E1499" s="20" t="str">
        <f>IFERROR(INDEX([3]AGM!$D$21:$BL$928,MATCH($B1499,[3]AGM!$AD$21:$AD$928,0),1),"NA")</f>
        <v>OS</v>
      </c>
      <c r="F1499" s="20" t="str">
        <f t="shared" si="74"/>
        <v>Block 28</v>
      </c>
      <c r="G1499" s="20" t="str">
        <f t="shared" si="73"/>
        <v>Lot 26</v>
      </c>
      <c r="H1499" s="20">
        <f>IFERROR(INDEX('[2]PRICELIST, 908u'!$G$7:$AX$914,MATCH($B1499,'[2]PRICELIST, 908u'!$G$7:$G$914,0),23),"NA")</f>
        <v>50</v>
      </c>
      <c r="I1499" s="20">
        <f>IFERROR(INDEX('[2]PRICELIST, 908u'!$G$7:$AX$914,MATCH($B1499,'[2]PRICELIST, 908u'!$G$7:$G$914,0),22),"NA")</f>
        <v>70</v>
      </c>
      <c r="J1499" s="20" t="s">
        <v>207</v>
      </c>
      <c r="K1499" s="20" t="str">
        <f>IFERROR(INDEX('[2]PRICELIST, 908u'!$G$7:$AX$914,MATCH($B1499,'[2]PRICELIST, 908u'!$G$7:$G$914,0),30),"NA")</f>
        <v>Flat / YELLOW</v>
      </c>
      <c r="L1499" s="20">
        <f>IFERROR(INDEX('[2]PRICELIST, 908u'!$G$7:$AX$914,MATCH($B1499,'[2]PRICELIST, 908u'!$G$7:$G$914,0),40),"NA")</f>
        <v>2650000</v>
      </c>
      <c r="M1499" s="20">
        <f>IFERROR(INDEX('[2]PRICELIST, 908u'!$G$7:$AX$914,MATCH($B1499,'[2]PRICELIST, 908u'!$G$7:$G$914,0),41),"NA")</f>
        <v>100000</v>
      </c>
      <c r="N1499" s="58">
        <f t="shared" si="76"/>
        <v>2550000</v>
      </c>
      <c r="O1499" s="60"/>
      <c r="P1499" s="60">
        <f t="shared" si="75"/>
        <v>2550000</v>
      </c>
    </row>
    <row r="1500" spans="2:16">
      <c r="B1500" s="20" t="s">
        <v>1651</v>
      </c>
      <c r="C1500" s="20" t="s">
        <v>2</v>
      </c>
      <c r="D1500" s="20" t="str">
        <f>IFERROR(INDEX('[2]PRICELIST, 908u'!$G$7:$AX$914,MATCH($B1500,'[2]PRICELIST, 908u'!$G$7:$G$914,0),18),"NA")</f>
        <v>2024 Batch</v>
      </c>
      <c r="E1500" s="20" t="str">
        <f>IFERROR(INDEX([3]AGM!$D$21:$BL$928,MATCH($B1500,[3]AGM!$AD$21:$AD$928,0),1),"NA")</f>
        <v>OS</v>
      </c>
      <c r="F1500" s="20" t="str">
        <f t="shared" si="74"/>
        <v>Block 28</v>
      </c>
      <c r="G1500" s="20" t="str">
        <f t="shared" si="73"/>
        <v>Lot 27</v>
      </c>
      <c r="H1500" s="20">
        <f>IFERROR(INDEX('[2]PRICELIST, 908u'!$G$7:$AX$914,MATCH($B1500,'[2]PRICELIST, 908u'!$G$7:$G$914,0),23),"NA")</f>
        <v>50</v>
      </c>
      <c r="I1500" s="20">
        <f>IFERROR(INDEX('[2]PRICELIST, 908u'!$G$7:$AX$914,MATCH($B1500,'[2]PRICELIST, 908u'!$G$7:$G$914,0),22),"NA")</f>
        <v>70</v>
      </c>
      <c r="J1500" s="20" t="s">
        <v>25</v>
      </c>
      <c r="K1500" s="20" t="str">
        <f>IFERROR(INDEX('[2]PRICELIST, 908u'!$G$7:$AX$914,MATCH($B1500,'[2]PRICELIST, 908u'!$G$7:$G$914,0),30),"NA")</f>
        <v>Flat / YELLOW</v>
      </c>
      <c r="L1500" s="20">
        <f>IFERROR(INDEX('[2]PRICELIST, 908u'!$G$7:$AX$914,MATCH($B1500,'[2]PRICELIST, 908u'!$G$7:$G$914,0),40),"NA")</f>
        <v>2850000</v>
      </c>
      <c r="M1500" s="20">
        <f>IFERROR(INDEX('[2]PRICELIST, 908u'!$G$7:$AX$914,MATCH($B1500,'[2]PRICELIST, 908u'!$G$7:$G$914,0),41),"NA")</f>
        <v>100000</v>
      </c>
      <c r="N1500" s="58">
        <f t="shared" si="76"/>
        <v>2750000</v>
      </c>
      <c r="O1500" s="60"/>
      <c r="P1500" s="60">
        <f t="shared" si="75"/>
        <v>2750000</v>
      </c>
    </row>
    <row r="1501" spans="2:16">
      <c r="B1501" s="20" t="s">
        <v>1652</v>
      </c>
      <c r="C1501" s="20" t="s">
        <v>2</v>
      </c>
      <c r="D1501" s="20" t="str">
        <f>IFERROR(INDEX('[2]PRICELIST, 908u'!$G$7:$AX$914,MATCH($B1501,'[2]PRICELIST, 908u'!$G$7:$G$914,0),18),"NA")</f>
        <v>2024 Batch</v>
      </c>
      <c r="E1501" s="20" t="str">
        <f>IFERROR(INDEX([3]AGM!$D$21:$BL$928,MATCH($B1501,[3]AGM!$AD$21:$AD$928,0),1),"NA")</f>
        <v>OS</v>
      </c>
      <c r="F1501" s="20" t="str">
        <f t="shared" si="74"/>
        <v>Block 28</v>
      </c>
      <c r="G1501" s="20" t="str">
        <f t="shared" si="73"/>
        <v>Lot 28</v>
      </c>
      <c r="H1501" s="20">
        <f>IFERROR(INDEX('[2]PRICELIST, 908u'!$G$7:$AX$914,MATCH($B1501,'[2]PRICELIST, 908u'!$G$7:$G$914,0),23),"NA")</f>
        <v>50</v>
      </c>
      <c r="I1501" s="20">
        <f>IFERROR(INDEX('[2]PRICELIST, 908u'!$G$7:$AX$914,MATCH($B1501,'[2]PRICELIST, 908u'!$G$7:$G$914,0),22),"NA")</f>
        <v>70</v>
      </c>
      <c r="J1501" s="20" t="s">
        <v>25</v>
      </c>
      <c r="K1501" s="20" t="str">
        <f>IFERROR(INDEX('[2]PRICELIST, 908u'!$G$7:$AX$914,MATCH($B1501,'[2]PRICELIST, 908u'!$G$7:$G$914,0),30),"NA")</f>
        <v>Slant / YELLOW</v>
      </c>
      <c r="L1501" s="20">
        <f>IFERROR(INDEX('[2]PRICELIST, 908u'!$G$7:$AX$914,MATCH($B1501,'[2]PRICELIST, 908u'!$G$7:$G$914,0),40),"NA")</f>
        <v>2850000</v>
      </c>
      <c r="M1501" s="20">
        <f>IFERROR(INDEX('[2]PRICELIST, 908u'!$G$7:$AX$914,MATCH($B1501,'[2]PRICELIST, 908u'!$G$7:$G$914,0),41),"NA")</f>
        <v>100000</v>
      </c>
      <c r="N1501" s="58">
        <f t="shared" si="76"/>
        <v>2750000</v>
      </c>
      <c r="O1501" s="60"/>
      <c r="P1501" s="60">
        <f t="shared" si="75"/>
        <v>2750000</v>
      </c>
    </row>
    <row r="1502" spans="2:16">
      <c r="B1502" s="20" t="s">
        <v>1653</v>
      </c>
      <c r="C1502" s="20" t="s">
        <v>2</v>
      </c>
      <c r="D1502" s="20" t="str">
        <f>IFERROR(INDEX('[2]PRICELIST, 908u'!$G$7:$AX$914,MATCH($B1502,'[2]PRICELIST, 908u'!$G$7:$G$914,0),18),"NA")</f>
        <v>2024 Batch</v>
      </c>
      <c r="E1502" s="20" t="str">
        <f>IFERROR(INDEX([3]AGM!$D$21:$BL$928,MATCH($B1502,[3]AGM!$AD$21:$AD$928,0),1),"NA")</f>
        <v>OS</v>
      </c>
      <c r="F1502" s="20" t="str">
        <f t="shared" si="74"/>
        <v>Block 28</v>
      </c>
      <c r="G1502" s="20" t="str">
        <f t="shared" si="73"/>
        <v>Lot 29</v>
      </c>
      <c r="H1502" s="20">
        <f>IFERROR(INDEX('[2]PRICELIST, 908u'!$G$7:$AX$914,MATCH($B1502,'[2]PRICELIST, 908u'!$G$7:$G$914,0),23),"NA")</f>
        <v>50</v>
      </c>
      <c r="I1502" s="20">
        <f>IFERROR(INDEX('[2]PRICELIST, 908u'!$G$7:$AX$914,MATCH($B1502,'[2]PRICELIST, 908u'!$G$7:$G$914,0),22),"NA")</f>
        <v>70</v>
      </c>
      <c r="J1502" s="20" t="s">
        <v>25</v>
      </c>
      <c r="K1502" s="20" t="str">
        <f>IFERROR(INDEX('[2]PRICELIST, 908u'!$G$7:$AX$914,MATCH($B1502,'[2]PRICELIST, 908u'!$G$7:$G$914,0),30),"NA")</f>
        <v>Slant / PINK</v>
      </c>
      <c r="L1502" s="20">
        <f>IFERROR(INDEX('[2]PRICELIST, 908u'!$G$7:$AX$914,MATCH($B1502,'[2]PRICELIST, 908u'!$G$7:$G$914,0),40),"NA")</f>
        <v>2850000</v>
      </c>
      <c r="M1502" s="20">
        <f>IFERROR(INDEX('[2]PRICELIST, 908u'!$G$7:$AX$914,MATCH($B1502,'[2]PRICELIST, 908u'!$G$7:$G$914,0),41),"NA")</f>
        <v>100000</v>
      </c>
      <c r="N1502" s="58">
        <f t="shared" si="76"/>
        <v>2750000</v>
      </c>
      <c r="O1502" s="60"/>
      <c r="P1502" s="60">
        <f t="shared" si="75"/>
        <v>2750000</v>
      </c>
    </row>
    <row r="1503" spans="2:16">
      <c r="B1503" s="20" t="s">
        <v>1654</v>
      </c>
      <c r="C1503" s="20" t="s">
        <v>2</v>
      </c>
      <c r="D1503" s="20" t="str">
        <f>IFERROR(INDEX('[2]PRICELIST, 908u'!$G$7:$AX$914,MATCH($B1503,'[2]PRICELIST, 908u'!$G$7:$G$914,0),18),"NA")</f>
        <v>2024 Batch</v>
      </c>
      <c r="E1503" s="20" t="str">
        <f>IFERROR(INDEX([3]AGM!$D$21:$BL$928,MATCH($B1503,[3]AGM!$AD$21:$AD$928,0),1),"NA")</f>
        <v>OS</v>
      </c>
      <c r="F1503" s="20" t="str">
        <f t="shared" si="74"/>
        <v>Block 28</v>
      </c>
      <c r="G1503" s="20" t="str">
        <f t="shared" si="73"/>
        <v>Lot 30</v>
      </c>
      <c r="H1503" s="20">
        <f>IFERROR(INDEX('[2]PRICELIST, 908u'!$G$7:$AX$914,MATCH($B1503,'[2]PRICELIST, 908u'!$G$7:$G$914,0),23),"NA")</f>
        <v>50</v>
      </c>
      <c r="I1503" s="20">
        <f>IFERROR(INDEX('[2]PRICELIST, 908u'!$G$7:$AX$914,MATCH($B1503,'[2]PRICELIST, 908u'!$G$7:$G$914,0),22),"NA")</f>
        <v>70</v>
      </c>
      <c r="J1503" s="20" t="s">
        <v>25</v>
      </c>
      <c r="K1503" s="20" t="str">
        <f>IFERROR(INDEX('[2]PRICELIST, 908u'!$G$7:$AX$914,MATCH($B1503,'[2]PRICELIST, 908u'!$G$7:$G$914,0),30),"NA")</f>
        <v>Flat / PINK</v>
      </c>
      <c r="L1503" s="20">
        <f>IFERROR(INDEX('[2]PRICELIST, 908u'!$G$7:$AX$914,MATCH($B1503,'[2]PRICELIST, 908u'!$G$7:$G$914,0),40),"NA")</f>
        <v>2850000</v>
      </c>
      <c r="M1503" s="20">
        <f>IFERROR(INDEX('[2]PRICELIST, 908u'!$G$7:$AX$914,MATCH($B1503,'[2]PRICELIST, 908u'!$G$7:$G$914,0),41),"NA")</f>
        <v>100000</v>
      </c>
      <c r="N1503" s="58">
        <f t="shared" si="76"/>
        <v>2750000</v>
      </c>
      <c r="O1503" s="60"/>
      <c r="P1503" s="60">
        <f t="shared" si="75"/>
        <v>2750000</v>
      </c>
    </row>
    <row r="1504" spans="2:16">
      <c r="B1504" s="20" t="s">
        <v>1655</v>
      </c>
      <c r="C1504" s="20" t="s">
        <v>2</v>
      </c>
      <c r="D1504" s="20" t="str">
        <f>IFERROR(INDEX('[2]PRICELIST, 908u'!$G$7:$AX$914,MATCH($B1504,'[2]PRICELIST, 908u'!$G$7:$G$914,0),18),"NA")</f>
        <v>2024 Batch</v>
      </c>
      <c r="E1504" s="20" t="str">
        <f>IFERROR(INDEX([3]AGM!$D$21:$BL$928,MATCH($B1504,[3]AGM!$AD$21:$AD$928,0),1),"NA")</f>
        <v>OS</v>
      </c>
      <c r="F1504" s="20" t="str">
        <f t="shared" si="74"/>
        <v>Block 28</v>
      </c>
      <c r="G1504" s="20" t="str">
        <f t="shared" si="73"/>
        <v>Lot 31</v>
      </c>
      <c r="H1504" s="20">
        <f>IFERROR(INDEX('[2]PRICELIST, 908u'!$G$7:$AX$914,MATCH($B1504,'[2]PRICELIST, 908u'!$G$7:$G$914,0),23),"NA")</f>
        <v>50</v>
      </c>
      <c r="I1504" s="20">
        <f>IFERROR(INDEX('[2]PRICELIST, 908u'!$G$7:$AX$914,MATCH($B1504,'[2]PRICELIST, 908u'!$G$7:$G$914,0),22),"NA")</f>
        <v>70</v>
      </c>
      <c r="J1504" s="20" t="s">
        <v>25</v>
      </c>
      <c r="K1504" s="20" t="str">
        <f>IFERROR(INDEX('[2]PRICELIST, 908u'!$G$7:$AX$914,MATCH($B1504,'[2]PRICELIST, 908u'!$G$7:$G$914,0),30),"NA")</f>
        <v>Flat / PINK</v>
      </c>
      <c r="L1504" s="20">
        <f>IFERROR(INDEX('[2]PRICELIST, 908u'!$G$7:$AX$914,MATCH($B1504,'[2]PRICELIST, 908u'!$G$7:$G$914,0),40),"NA")</f>
        <v>2850000</v>
      </c>
      <c r="M1504" s="20">
        <f>IFERROR(INDEX('[2]PRICELIST, 908u'!$G$7:$AX$914,MATCH($B1504,'[2]PRICELIST, 908u'!$G$7:$G$914,0),41),"NA")</f>
        <v>100000</v>
      </c>
      <c r="N1504" s="58">
        <f t="shared" si="76"/>
        <v>2750000</v>
      </c>
      <c r="O1504" s="60"/>
      <c r="P1504" s="60">
        <f t="shared" si="75"/>
        <v>2750000</v>
      </c>
    </row>
    <row r="1505" spans="2:16">
      <c r="B1505" s="20" t="s">
        <v>1656</v>
      </c>
      <c r="C1505" s="20" t="s">
        <v>2</v>
      </c>
      <c r="D1505" s="20" t="str">
        <f>IFERROR(INDEX('[2]PRICELIST, 908u'!$G$7:$AX$914,MATCH($B1505,'[2]PRICELIST, 908u'!$G$7:$G$914,0),18),"NA")</f>
        <v>2024 Batch</v>
      </c>
      <c r="E1505" s="20" t="str">
        <f>IFERROR(INDEX([3]AGM!$D$21:$BL$928,MATCH($B1505,[3]AGM!$AD$21:$AD$928,0),1),"NA")</f>
        <v>OS</v>
      </c>
      <c r="F1505" s="20" t="str">
        <f t="shared" si="74"/>
        <v>Block 28</v>
      </c>
      <c r="G1505" s="20" t="str">
        <f t="shared" si="73"/>
        <v>Lot 32</v>
      </c>
      <c r="H1505" s="20">
        <f>IFERROR(INDEX('[2]PRICELIST, 908u'!$G$7:$AX$914,MATCH($B1505,'[2]PRICELIST, 908u'!$G$7:$G$914,0),23),"NA")</f>
        <v>50</v>
      </c>
      <c r="I1505" s="20">
        <f>IFERROR(INDEX('[2]PRICELIST, 908u'!$G$7:$AX$914,MATCH($B1505,'[2]PRICELIST, 908u'!$G$7:$G$914,0),22),"NA")</f>
        <v>70</v>
      </c>
      <c r="J1505" s="20" t="s">
        <v>25</v>
      </c>
      <c r="K1505" s="20" t="str">
        <f>IFERROR(INDEX('[2]PRICELIST, 908u'!$G$7:$AX$914,MATCH($B1505,'[2]PRICELIST, 908u'!$G$7:$G$914,0),30),"NA")</f>
        <v>Slant / PINK</v>
      </c>
      <c r="L1505" s="20">
        <f>IFERROR(INDEX('[2]PRICELIST, 908u'!$G$7:$AX$914,MATCH($B1505,'[2]PRICELIST, 908u'!$G$7:$G$914,0),40),"NA")</f>
        <v>2850000</v>
      </c>
      <c r="M1505" s="20">
        <f>IFERROR(INDEX('[2]PRICELIST, 908u'!$G$7:$AX$914,MATCH($B1505,'[2]PRICELIST, 908u'!$G$7:$G$914,0),41),"NA")</f>
        <v>100000</v>
      </c>
      <c r="N1505" s="58">
        <f t="shared" si="76"/>
        <v>2750000</v>
      </c>
      <c r="O1505" s="60"/>
      <c r="P1505" s="60">
        <f t="shared" si="75"/>
        <v>2750000</v>
      </c>
    </row>
    <row r="1506" spans="2:16">
      <c r="B1506" s="20" t="s">
        <v>1657</v>
      </c>
      <c r="C1506" s="20" t="s">
        <v>2</v>
      </c>
      <c r="D1506" s="20" t="str">
        <f>IFERROR(INDEX('[2]PRICELIST, 908u'!$G$7:$AX$914,MATCH($B1506,'[2]PRICELIST, 908u'!$G$7:$G$914,0),18),"NA")</f>
        <v>2024 Batch</v>
      </c>
      <c r="E1506" s="20" t="str">
        <f>IFERROR(INDEX([3]AGM!$D$21:$BL$928,MATCH($B1506,[3]AGM!$AD$21:$AD$928,0),1),"NA")</f>
        <v>OS</v>
      </c>
      <c r="F1506" s="20" t="str">
        <f t="shared" si="74"/>
        <v>Block 28</v>
      </c>
      <c r="G1506" s="20" t="str">
        <f t="shared" si="73"/>
        <v>Lot 33</v>
      </c>
      <c r="H1506" s="20">
        <f>IFERROR(INDEX('[2]PRICELIST, 908u'!$G$7:$AX$914,MATCH($B1506,'[2]PRICELIST, 908u'!$G$7:$G$914,0),23),"NA")</f>
        <v>50</v>
      </c>
      <c r="I1506" s="20">
        <f>IFERROR(INDEX('[2]PRICELIST, 908u'!$G$7:$AX$914,MATCH($B1506,'[2]PRICELIST, 908u'!$G$7:$G$914,0),22),"NA")</f>
        <v>70</v>
      </c>
      <c r="J1506" s="20" t="s">
        <v>25</v>
      </c>
      <c r="K1506" s="20" t="str">
        <f>IFERROR(INDEX('[2]PRICELIST, 908u'!$G$7:$AX$914,MATCH($B1506,'[2]PRICELIST, 908u'!$G$7:$G$914,0),30),"NA")</f>
        <v>Slant / PURPLE</v>
      </c>
      <c r="L1506" s="20">
        <f>IFERROR(INDEX('[2]PRICELIST, 908u'!$G$7:$AX$914,MATCH($B1506,'[2]PRICELIST, 908u'!$G$7:$G$914,0),40),"NA")</f>
        <v>2850000</v>
      </c>
      <c r="M1506" s="20">
        <f>IFERROR(INDEX('[2]PRICELIST, 908u'!$G$7:$AX$914,MATCH($B1506,'[2]PRICELIST, 908u'!$G$7:$G$914,0),41),"NA")</f>
        <v>100000</v>
      </c>
      <c r="N1506" s="58">
        <f t="shared" si="76"/>
        <v>2750000</v>
      </c>
      <c r="O1506" s="60"/>
      <c r="P1506" s="60">
        <f t="shared" si="75"/>
        <v>2750000</v>
      </c>
    </row>
    <row r="1507" spans="2:16">
      <c r="B1507" s="20" t="s">
        <v>1658</v>
      </c>
      <c r="C1507" s="20" t="s">
        <v>2</v>
      </c>
      <c r="D1507" s="20" t="str">
        <f>IFERROR(INDEX('[2]PRICELIST, 908u'!$G$7:$AX$914,MATCH($B1507,'[2]PRICELIST, 908u'!$G$7:$G$914,0),18),"NA")</f>
        <v>2024 Batch</v>
      </c>
      <c r="E1507" s="20" t="str">
        <f>IFERROR(INDEX([3]AGM!$D$21:$BL$928,MATCH($B1507,[3]AGM!$AD$21:$AD$928,0),1),"NA")</f>
        <v>OS</v>
      </c>
      <c r="F1507" s="20" t="str">
        <f t="shared" si="74"/>
        <v>Block 28</v>
      </c>
      <c r="G1507" s="20" t="str">
        <f t="shared" si="73"/>
        <v>Lot 34</v>
      </c>
      <c r="H1507" s="20">
        <f>IFERROR(INDEX('[2]PRICELIST, 908u'!$G$7:$AX$914,MATCH($B1507,'[2]PRICELIST, 908u'!$G$7:$G$914,0),23),"NA")</f>
        <v>50</v>
      </c>
      <c r="I1507" s="20">
        <f>IFERROR(INDEX('[2]PRICELIST, 908u'!$G$7:$AX$914,MATCH($B1507,'[2]PRICELIST, 908u'!$G$7:$G$914,0),22),"NA")</f>
        <v>70</v>
      </c>
      <c r="J1507" s="20" t="s">
        <v>207</v>
      </c>
      <c r="K1507" s="20" t="str">
        <f>IFERROR(INDEX('[2]PRICELIST, 908u'!$G$7:$AX$914,MATCH($B1507,'[2]PRICELIST, 908u'!$G$7:$G$914,0),30),"NA")</f>
        <v>Flat / PURPLE</v>
      </c>
      <c r="L1507" s="20">
        <f>IFERROR(INDEX('[2]PRICELIST, 908u'!$G$7:$AX$914,MATCH($B1507,'[2]PRICELIST, 908u'!$G$7:$G$914,0),40),"NA")</f>
        <v>2650000</v>
      </c>
      <c r="M1507" s="20">
        <f>IFERROR(INDEX('[2]PRICELIST, 908u'!$G$7:$AX$914,MATCH($B1507,'[2]PRICELIST, 908u'!$G$7:$G$914,0),41),"NA")</f>
        <v>100000</v>
      </c>
      <c r="N1507" s="58">
        <f t="shared" si="76"/>
        <v>2550000</v>
      </c>
      <c r="O1507" s="60"/>
      <c r="P1507" s="60">
        <f t="shared" si="75"/>
        <v>2550000</v>
      </c>
    </row>
    <row r="1508" spans="2:16">
      <c r="B1508" s="20" t="s">
        <v>1659</v>
      </c>
      <c r="C1508" s="20" t="s">
        <v>2</v>
      </c>
      <c r="D1508" s="20" t="str">
        <f>IFERROR(INDEX('[2]PRICELIST, 908u'!$G$7:$AX$914,MATCH($B1508,'[2]PRICELIST, 908u'!$G$7:$G$914,0),18),"NA")</f>
        <v>2024 Batch</v>
      </c>
      <c r="E1508" s="20" t="str">
        <f>IFERROR(INDEX([3]AGM!$D$21:$BL$928,MATCH($B1508,[3]AGM!$AD$21:$AD$928,0),1),"NA")</f>
        <v>OS</v>
      </c>
      <c r="F1508" s="20" t="str">
        <f t="shared" si="74"/>
        <v>Block 28</v>
      </c>
      <c r="G1508" s="20" t="str">
        <f t="shared" si="73"/>
        <v>Lot 35</v>
      </c>
      <c r="H1508" s="20">
        <f>IFERROR(INDEX('[2]PRICELIST, 908u'!$G$7:$AX$914,MATCH($B1508,'[2]PRICELIST, 908u'!$G$7:$G$914,0),23),"NA")</f>
        <v>50</v>
      </c>
      <c r="I1508" s="20">
        <f>IFERROR(INDEX('[2]PRICELIST, 908u'!$G$7:$AX$914,MATCH($B1508,'[2]PRICELIST, 908u'!$G$7:$G$914,0),22),"NA")</f>
        <v>70</v>
      </c>
      <c r="J1508" s="20" t="s">
        <v>207</v>
      </c>
      <c r="K1508" s="20" t="str">
        <f>IFERROR(INDEX('[2]PRICELIST, 908u'!$G$7:$AX$914,MATCH($B1508,'[2]PRICELIST, 908u'!$G$7:$G$914,0),30),"NA")</f>
        <v>Flat / PURPLE</v>
      </c>
      <c r="L1508" s="20">
        <f>IFERROR(INDEX('[2]PRICELIST, 908u'!$G$7:$AX$914,MATCH($B1508,'[2]PRICELIST, 908u'!$G$7:$G$914,0),40),"NA")</f>
        <v>2650000</v>
      </c>
      <c r="M1508" s="20">
        <f>IFERROR(INDEX('[2]PRICELIST, 908u'!$G$7:$AX$914,MATCH($B1508,'[2]PRICELIST, 908u'!$G$7:$G$914,0),41),"NA")</f>
        <v>100000</v>
      </c>
      <c r="N1508" s="58">
        <f t="shared" si="76"/>
        <v>2550000</v>
      </c>
      <c r="O1508" s="60"/>
      <c r="P1508" s="60">
        <f t="shared" si="75"/>
        <v>2550000</v>
      </c>
    </row>
    <row r="1509" spans="2:16">
      <c r="B1509" s="20" t="s">
        <v>1660</v>
      </c>
      <c r="C1509" s="20" t="s">
        <v>2</v>
      </c>
      <c r="D1509" s="20" t="str">
        <f>IFERROR(INDEX('[2]PRICELIST, 908u'!$G$7:$AX$914,MATCH($B1509,'[2]PRICELIST, 908u'!$G$7:$G$914,0),18),"NA")</f>
        <v>2024 Batch</v>
      </c>
      <c r="E1509" s="20" t="str">
        <f>IFERROR(INDEX([3]AGM!$D$21:$BL$928,MATCH($B1509,[3]AGM!$AD$21:$AD$928,0),1),"NA")</f>
        <v>OS</v>
      </c>
      <c r="F1509" s="20" t="str">
        <f t="shared" si="74"/>
        <v>Block 28</v>
      </c>
      <c r="G1509" s="20" t="str">
        <f t="shared" si="73"/>
        <v>Lot 36</v>
      </c>
      <c r="H1509" s="20">
        <f>IFERROR(INDEX('[2]PRICELIST, 908u'!$G$7:$AX$914,MATCH($B1509,'[2]PRICELIST, 908u'!$G$7:$G$914,0),23),"NA")</f>
        <v>50</v>
      </c>
      <c r="I1509" s="20">
        <f>IFERROR(INDEX('[2]PRICELIST, 908u'!$G$7:$AX$914,MATCH($B1509,'[2]PRICELIST, 908u'!$G$7:$G$914,0),22),"NA")</f>
        <v>70</v>
      </c>
      <c r="J1509" s="20" t="s">
        <v>25</v>
      </c>
      <c r="K1509" s="20" t="str">
        <f>IFERROR(INDEX('[2]PRICELIST, 908u'!$G$7:$AX$914,MATCH($B1509,'[2]PRICELIST, 908u'!$G$7:$G$914,0),30),"NA")</f>
        <v>Slant / PURPLE</v>
      </c>
      <c r="L1509" s="20">
        <f>IFERROR(INDEX('[2]PRICELIST, 908u'!$G$7:$AX$914,MATCH($B1509,'[2]PRICELIST, 908u'!$G$7:$G$914,0),40),"NA")</f>
        <v>2850000</v>
      </c>
      <c r="M1509" s="20">
        <f>IFERROR(INDEX('[2]PRICELIST, 908u'!$G$7:$AX$914,MATCH($B1509,'[2]PRICELIST, 908u'!$G$7:$G$914,0),41),"NA")</f>
        <v>100000</v>
      </c>
      <c r="N1509" s="58">
        <f t="shared" si="76"/>
        <v>2750000</v>
      </c>
      <c r="O1509" s="60"/>
      <c r="P1509" s="60">
        <f t="shared" si="75"/>
        <v>2750000</v>
      </c>
    </row>
    <row r="1510" spans="2:16">
      <c r="B1510" s="20" t="s">
        <v>1661</v>
      </c>
      <c r="C1510" s="20" t="s">
        <v>2</v>
      </c>
      <c r="D1510" s="20" t="str">
        <f>IFERROR(INDEX('[2]PRICELIST, 908u'!$G$7:$AX$914,MATCH($B1510,'[2]PRICELIST, 908u'!$G$7:$G$914,0),18),"NA")</f>
        <v>2024 Batch</v>
      </c>
      <c r="E1510" s="20" t="str">
        <f>IFERROR(INDEX([3]AGM!$D$21:$BL$928,MATCH($B1510,[3]AGM!$AD$21:$AD$928,0),1),"NA")</f>
        <v>OS</v>
      </c>
      <c r="F1510" s="20" t="str">
        <f t="shared" si="74"/>
        <v>Block 28</v>
      </c>
      <c r="G1510" s="20" t="str">
        <f t="shared" si="73"/>
        <v>Lot 37</v>
      </c>
      <c r="H1510" s="20">
        <f>IFERROR(INDEX('[2]PRICELIST, 908u'!$G$7:$AX$914,MATCH($B1510,'[2]PRICELIST, 908u'!$G$7:$G$914,0),23),"NA")</f>
        <v>50</v>
      </c>
      <c r="I1510" s="20">
        <f>IFERROR(INDEX('[2]PRICELIST, 908u'!$G$7:$AX$914,MATCH($B1510,'[2]PRICELIST, 908u'!$G$7:$G$914,0),22),"NA")</f>
        <v>70</v>
      </c>
      <c r="J1510" s="20" t="s">
        <v>25</v>
      </c>
      <c r="K1510" s="20" t="str">
        <f>IFERROR(INDEX('[2]PRICELIST, 908u'!$G$7:$AX$914,MATCH($B1510,'[2]PRICELIST, 908u'!$G$7:$G$914,0),30),"NA")</f>
        <v>Slant / GREEN</v>
      </c>
      <c r="L1510" s="20">
        <f>IFERROR(INDEX('[2]PRICELIST, 908u'!$G$7:$AX$914,MATCH($B1510,'[2]PRICELIST, 908u'!$G$7:$G$914,0),40),"NA")</f>
        <v>2850000</v>
      </c>
      <c r="M1510" s="20">
        <f>IFERROR(INDEX('[2]PRICELIST, 908u'!$G$7:$AX$914,MATCH($B1510,'[2]PRICELIST, 908u'!$G$7:$G$914,0),41),"NA")</f>
        <v>100000</v>
      </c>
      <c r="N1510" s="58">
        <f t="shared" si="76"/>
        <v>2750000</v>
      </c>
      <c r="O1510" s="60"/>
      <c r="P1510" s="60">
        <f t="shared" si="75"/>
        <v>2750000</v>
      </c>
    </row>
    <row r="1511" spans="2:16">
      <c r="B1511" s="20" t="s">
        <v>1662</v>
      </c>
      <c r="C1511" s="20" t="s">
        <v>2</v>
      </c>
      <c r="D1511" s="20" t="str">
        <f>IFERROR(INDEX('[2]PRICELIST, 908u'!$G$7:$AX$914,MATCH($B1511,'[2]PRICELIST, 908u'!$G$7:$G$914,0),18),"NA")</f>
        <v>2024 Batch</v>
      </c>
      <c r="E1511" s="20" t="str">
        <f>IFERROR(INDEX([3]AGM!$D$21:$BL$928,MATCH($B1511,[3]AGM!$AD$21:$AD$928,0),1),"NA")</f>
        <v>OS</v>
      </c>
      <c r="F1511" s="20" t="str">
        <f t="shared" si="74"/>
        <v>Block 28</v>
      </c>
      <c r="G1511" s="20" t="str">
        <f t="shared" si="73"/>
        <v>Lot 38</v>
      </c>
      <c r="H1511" s="20">
        <f>IFERROR(INDEX('[2]PRICELIST, 908u'!$G$7:$AX$914,MATCH($B1511,'[2]PRICELIST, 908u'!$G$7:$G$914,0),23),"NA")</f>
        <v>50</v>
      </c>
      <c r="I1511" s="20">
        <f>IFERROR(INDEX('[2]PRICELIST, 908u'!$G$7:$AX$914,MATCH($B1511,'[2]PRICELIST, 908u'!$G$7:$G$914,0),22),"NA")</f>
        <v>70</v>
      </c>
      <c r="J1511" s="20" t="s">
        <v>25</v>
      </c>
      <c r="K1511" s="20" t="str">
        <f>IFERROR(INDEX('[2]PRICELIST, 908u'!$G$7:$AX$914,MATCH($B1511,'[2]PRICELIST, 908u'!$G$7:$G$914,0),30),"NA")</f>
        <v>Flat / GREEN</v>
      </c>
      <c r="L1511" s="20">
        <f>IFERROR(INDEX('[2]PRICELIST, 908u'!$G$7:$AX$914,MATCH($B1511,'[2]PRICELIST, 908u'!$G$7:$G$914,0),40),"NA")</f>
        <v>2850000</v>
      </c>
      <c r="M1511" s="20">
        <f>IFERROR(INDEX('[2]PRICELIST, 908u'!$G$7:$AX$914,MATCH($B1511,'[2]PRICELIST, 908u'!$G$7:$G$914,0),41),"NA")</f>
        <v>100000</v>
      </c>
      <c r="N1511" s="58">
        <f t="shared" si="76"/>
        <v>2750000</v>
      </c>
      <c r="O1511" s="60"/>
      <c r="P1511" s="60">
        <f t="shared" si="75"/>
        <v>2750000</v>
      </c>
    </row>
    <row r="1512" spans="2:16">
      <c r="B1512" s="20" t="s">
        <v>1663</v>
      </c>
      <c r="C1512" s="20" t="s">
        <v>2</v>
      </c>
      <c r="D1512" s="20" t="str">
        <f>IFERROR(INDEX('[2]PRICELIST, 908u'!$G$7:$AX$914,MATCH($B1512,'[2]PRICELIST, 908u'!$G$7:$G$914,0),18),"NA")</f>
        <v>2024 Batch</v>
      </c>
      <c r="E1512" s="20" t="str">
        <f>IFERROR(INDEX([3]AGM!$D$21:$BL$928,MATCH($B1512,[3]AGM!$AD$21:$AD$928,0),1),"NA")</f>
        <v>OS</v>
      </c>
      <c r="F1512" s="20" t="str">
        <f t="shared" si="74"/>
        <v>Block 28</v>
      </c>
      <c r="G1512" s="20" t="str">
        <f t="shared" si="73"/>
        <v>Lot 39</v>
      </c>
      <c r="H1512" s="20">
        <f>IFERROR(INDEX('[2]PRICELIST, 908u'!$G$7:$AX$914,MATCH($B1512,'[2]PRICELIST, 908u'!$G$7:$G$914,0),23),"NA")</f>
        <v>50</v>
      </c>
      <c r="I1512" s="20">
        <f>IFERROR(INDEX('[2]PRICELIST, 908u'!$G$7:$AX$914,MATCH($B1512,'[2]PRICELIST, 908u'!$G$7:$G$914,0),22),"NA")</f>
        <v>70</v>
      </c>
      <c r="J1512" s="20" t="s">
        <v>25</v>
      </c>
      <c r="K1512" s="20" t="str">
        <f>IFERROR(INDEX('[2]PRICELIST, 908u'!$G$7:$AX$914,MATCH($B1512,'[2]PRICELIST, 908u'!$G$7:$G$914,0),30),"NA")</f>
        <v>Flat / GREEN</v>
      </c>
      <c r="L1512" s="20">
        <f>IFERROR(INDEX('[2]PRICELIST, 908u'!$G$7:$AX$914,MATCH($B1512,'[2]PRICELIST, 908u'!$G$7:$G$914,0),40),"NA")</f>
        <v>2850000</v>
      </c>
      <c r="M1512" s="20">
        <f>IFERROR(INDEX('[2]PRICELIST, 908u'!$G$7:$AX$914,MATCH($B1512,'[2]PRICELIST, 908u'!$G$7:$G$914,0),41),"NA")</f>
        <v>100000</v>
      </c>
      <c r="N1512" s="58">
        <f t="shared" si="76"/>
        <v>2750000</v>
      </c>
      <c r="O1512" s="60"/>
      <c r="P1512" s="60">
        <f t="shared" si="75"/>
        <v>2750000</v>
      </c>
    </row>
    <row r="1513" spans="2:16">
      <c r="B1513" s="20" t="s">
        <v>1664</v>
      </c>
      <c r="C1513" s="20" t="s">
        <v>2</v>
      </c>
      <c r="D1513" s="20" t="str">
        <f>IFERROR(INDEX('[2]PRICELIST, 908u'!$G$7:$AX$914,MATCH($B1513,'[2]PRICELIST, 908u'!$G$7:$G$914,0),18),"NA")</f>
        <v>2024 Batch</v>
      </c>
      <c r="E1513" s="20" t="str">
        <f>IFERROR(INDEX([3]AGM!$D$21:$BL$928,MATCH($B1513,[3]AGM!$AD$21:$AD$928,0),1),"NA")</f>
        <v>OS</v>
      </c>
      <c r="F1513" s="20" t="str">
        <f t="shared" si="74"/>
        <v>Block 28</v>
      </c>
      <c r="G1513" s="20" t="str">
        <f t="shared" si="73"/>
        <v>Lot 40</v>
      </c>
      <c r="H1513" s="20">
        <f>IFERROR(INDEX('[2]PRICELIST, 908u'!$G$7:$AX$914,MATCH($B1513,'[2]PRICELIST, 908u'!$G$7:$G$914,0),23),"NA")</f>
        <v>50</v>
      </c>
      <c r="I1513" s="20">
        <f>IFERROR(INDEX('[2]PRICELIST, 908u'!$G$7:$AX$914,MATCH($B1513,'[2]PRICELIST, 908u'!$G$7:$G$914,0),22),"NA")</f>
        <v>96</v>
      </c>
      <c r="J1513" s="20" t="s">
        <v>25</v>
      </c>
      <c r="K1513" s="20" t="str">
        <f>IFERROR(INDEX('[2]PRICELIST, 908u'!$G$7:$AX$914,MATCH($B1513,'[2]PRICELIST, 908u'!$G$7:$G$914,0),30),"NA")</f>
        <v>Slant / GREEN</v>
      </c>
      <c r="L1513" s="20">
        <f>IFERROR(INDEX('[2]PRICELIST, 908u'!$G$7:$AX$914,MATCH($B1513,'[2]PRICELIST, 908u'!$G$7:$G$914,0),40),"NA")</f>
        <v>3240000</v>
      </c>
      <c r="M1513" s="20">
        <f>IFERROR(INDEX('[2]PRICELIST, 908u'!$G$7:$AX$914,MATCH($B1513,'[2]PRICELIST, 908u'!$G$7:$G$914,0),41),"NA")</f>
        <v>100000</v>
      </c>
      <c r="N1513" s="58">
        <f t="shared" si="76"/>
        <v>3140000</v>
      </c>
      <c r="O1513" s="60"/>
      <c r="P1513" s="60">
        <f t="shared" si="75"/>
        <v>3140000</v>
      </c>
    </row>
    <row r="1514" spans="2:16">
      <c r="B1514" s="20" t="s">
        <v>1665</v>
      </c>
      <c r="C1514" s="20" t="s">
        <v>2</v>
      </c>
      <c r="D1514" s="20" t="str">
        <f>IFERROR(INDEX('[2]PRICELIST, 908u'!$G$7:$AX$914,MATCH($B1514,'[2]PRICELIST, 908u'!$G$7:$G$914,0),18),"NA")</f>
        <v>2024 Batch</v>
      </c>
      <c r="E1514" s="20" t="str">
        <f>IFERROR(INDEX([3]AGM!$D$21:$BL$928,MATCH($B1514,[3]AGM!$AD$21:$AD$928,0),1),"NA")</f>
        <v>OS</v>
      </c>
      <c r="F1514" s="20" t="str">
        <f t="shared" si="74"/>
        <v>Block 29</v>
      </c>
      <c r="G1514" s="20" t="str">
        <f t="shared" si="73"/>
        <v>Lot 01</v>
      </c>
      <c r="H1514" s="20">
        <f>IFERROR(INDEX('[2]PRICELIST, 908u'!$G$7:$AX$914,MATCH($B1514,'[2]PRICELIST, 908u'!$G$7:$G$914,0),23),"NA")</f>
        <v>50</v>
      </c>
      <c r="I1514" s="20">
        <f>IFERROR(INDEX('[2]PRICELIST, 908u'!$G$7:$AX$914,MATCH($B1514,'[2]PRICELIST, 908u'!$G$7:$G$914,0),22),"NA")</f>
        <v>118</v>
      </c>
      <c r="J1514" s="20" t="s">
        <v>25</v>
      </c>
      <c r="K1514" s="20" t="str">
        <f>IFERROR(INDEX('[2]PRICELIST, 908u'!$G$7:$AX$914,MATCH($B1514,'[2]PRICELIST, 908u'!$G$7:$G$914,0),30),"NA")</f>
        <v>Slant / PURPLE</v>
      </c>
      <c r="L1514" s="20">
        <f>IFERROR(INDEX('[2]PRICELIST, 908u'!$G$7:$AX$914,MATCH($B1514,'[2]PRICELIST, 908u'!$G$7:$G$914,0),40),"NA")</f>
        <v>3570000</v>
      </c>
      <c r="M1514" s="20">
        <f>IFERROR(INDEX('[2]PRICELIST, 908u'!$G$7:$AX$914,MATCH($B1514,'[2]PRICELIST, 908u'!$G$7:$G$914,0),41),"NA")</f>
        <v>100000</v>
      </c>
      <c r="N1514" s="58">
        <f t="shared" si="76"/>
        <v>3470000</v>
      </c>
      <c r="O1514" s="60"/>
      <c r="P1514" s="60">
        <f t="shared" si="75"/>
        <v>3470000</v>
      </c>
    </row>
    <row r="1515" spans="2:16">
      <c r="B1515" s="20" t="s">
        <v>1666</v>
      </c>
      <c r="C1515" s="20" t="s">
        <v>2</v>
      </c>
      <c r="D1515" s="20" t="str">
        <f>IFERROR(INDEX('[2]PRICELIST, 908u'!$G$7:$AX$914,MATCH($B1515,'[2]PRICELIST, 908u'!$G$7:$G$914,0),18),"NA")</f>
        <v>2024 Batch</v>
      </c>
      <c r="E1515" s="20" t="str">
        <f>IFERROR(INDEX([3]AGM!$D$21:$BL$928,MATCH($B1515,[3]AGM!$AD$21:$AD$928,0),1),"NA")</f>
        <v>OS</v>
      </c>
      <c r="F1515" s="20" t="str">
        <f t="shared" si="74"/>
        <v>Block 29</v>
      </c>
      <c r="G1515" s="20" t="str">
        <f t="shared" si="73"/>
        <v>Lot 02</v>
      </c>
      <c r="H1515" s="20">
        <f>IFERROR(INDEX('[2]PRICELIST, 908u'!$G$7:$AX$914,MATCH($B1515,'[2]PRICELIST, 908u'!$G$7:$G$914,0),23),"NA")</f>
        <v>50</v>
      </c>
      <c r="I1515" s="20">
        <f>IFERROR(INDEX('[2]PRICELIST, 908u'!$G$7:$AX$914,MATCH($B1515,'[2]PRICELIST, 908u'!$G$7:$G$914,0),22),"NA")</f>
        <v>80</v>
      </c>
      <c r="J1515" s="20" t="s">
        <v>25</v>
      </c>
      <c r="K1515" s="20" t="str">
        <f>IFERROR(INDEX('[2]PRICELIST, 908u'!$G$7:$AX$914,MATCH($B1515,'[2]PRICELIST, 908u'!$G$7:$G$914,0),30),"NA")</f>
        <v>Flat / PURPLE</v>
      </c>
      <c r="L1515" s="20">
        <f>IFERROR(INDEX('[2]PRICELIST, 908u'!$G$7:$AX$914,MATCH($B1515,'[2]PRICELIST, 908u'!$G$7:$G$914,0),40),"NA")</f>
        <v>3000000</v>
      </c>
      <c r="M1515" s="20">
        <f>IFERROR(INDEX('[2]PRICELIST, 908u'!$G$7:$AX$914,MATCH($B1515,'[2]PRICELIST, 908u'!$G$7:$G$914,0),41),"NA")</f>
        <v>100000</v>
      </c>
      <c r="N1515" s="58">
        <f t="shared" si="76"/>
        <v>2900000</v>
      </c>
      <c r="O1515" s="60"/>
      <c r="P1515" s="60">
        <f t="shared" si="75"/>
        <v>2900000</v>
      </c>
    </row>
    <row r="1516" spans="2:16">
      <c r="B1516" s="20" t="s">
        <v>1667</v>
      </c>
      <c r="C1516" s="20" t="s">
        <v>2</v>
      </c>
      <c r="D1516" s="20" t="str">
        <f>IFERROR(INDEX('[2]PRICELIST, 908u'!$G$7:$AX$914,MATCH($B1516,'[2]PRICELIST, 908u'!$G$7:$G$914,0),18),"NA")</f>
        <v>2024 Batch</v>
      </c>
      <c r="E1516" s="20" t="str">
        <f>IFERROR(INDEX([3]AGM!$D$21:$BL$928,MATCH($B1516,[3]AGM!$AD$21:$AD$928,0),1),"NA")</f>
        <v>OS</v>
      </c>
      <c r="F1516" s="20" t="str">
        <f t="shared" si="74"/>
        <v>Block 29</v>
      </c>
      <c r="G1516" s="20" t="str">
        <f t="shared" si="73"/>
        <v>Lot 03</v>
      </c>
      <c r="H1516" s="20">
        <f>IFERROR(INDEX('[2]PRICELIST, 908u'!$G$7:$AX$914,MATCH($B1516,'[2]PRICELIST, 908u'!$G$7:$G$914,0),23),"NA")</f>
        <v>50</v>
      </c>
      <c r="I1516" s="20">
        <f>IFERROR(INDEX('[2]PRICELIST, 908u'!$G$7:$AX$914,MATCH($B1516,'[2]PRICELIST, 908u'!$G$7:$G$914,0),22),"NA")</f>
        <v>80</v>
      </c>
      <c r="J1516" s="20" t="s">
        <v>25</v>
      </c>
      <c r="K1516" s="20" t="str">
        <f>IFERROR(INDEX('[2]PRICELIST, 908u'!$G$7:$AX$914,MATCH($B1516,'[2]PRICELIST, 908u'!$G$7:$G$914,0),30),"NA")</f>
        <v>Flat / PINK</v>
      </c>
      <c r="L1516" s="20">
        <f>IFERROR(INDEX('[2]PRICELIST, 908u'!$G$7:$AX$914,MATCH($B1516,'[2]PRICELIST, 908u'!$G$7:$G$914,0),40),"NA")</f>
        <v>3000000</v>
      </c>
      <c r="M1516" s="20">
        <f>IFERROR(INDEX('[2]PRICELIST, 908u'!$G$7:$AX$914,MATCH($B1516,'[2]PRICELIST, 908u'!$G$7:$G$914,0),41),"NA")</f>
        <v>100000</v>
      </c>
      <c r="N1516" s="58">
        <f t="shared" si="76"/>
        <v>2900000</v>
      </c>
      <c r="O1516" s="60"/>
      <c r="P1516" s="60">
        <f t="shared" si="75"/>
        <v>2900000</v>
      </c>
    </row>
    <row r="1517" spans="2:16">
      <c r="B1517" s="20" t="s">
        <v>1668</v>
      </c>
      <c r="C1517" s="20" t="s">
        <v>2</v>
      </c>
      <c r="D1517" s="20" t="str">
        <f>IFERROR(INDEX('[2]PRICELIST, 908u'!$G$7:$AX$914,MATCH($B1517,'[2]PRICELIST, 908u'!$G$7:$G$914,0),18),"NA")</f>
        <v>2024 Batch</v>
      </c>
      <c r="E1517" s="20" t="str">
        <f>IFERROR(INDEX([3]AGM!$D$21:$BL$928,MATCH($B1517,[3]AGM!$AD$21:$AD$928,0),1),"NA")</f>
        <v>OS</v>
      </c>
      <c r="F1517" s="20" t="str">
        <f t="shared" si="74"/>
        <v>Block 29</v>
      </c>
      <c r="G1517" s="20" t="str">
        <f t="shared" si="73"/>
        <v>Lot 04</v>
      </c>
      <c r="H1517" s="20">
        <f>IFERROR(INDEX('[2]PRICELIST, 908u'!$G$7:$AX$914,MATCH($B1517,'[2]PRICELIST, 908u'!$G$7:$G$914,0),23),"NA")</f>
        <v>50</v>
      </c>
      <c r="I1517" s="20">
        <f>IFERROR(INDEX('[2]PRICELIST, 908u'!$G$7:$AX$914,MATCH($B1517,'[2]PRICELIST, 908u'!$G$7:$G$914,0),22),"NA")</f>
        <v>70</v>
      </c>
      <c r="J1517" s="20" t="s">
        <v>25</v>
      </c>
      <c r="K1517" s="20" t="str">
        <f>IFERROR(INDEX('[2]PRICELIST, 908u'!$G$7:$AX$914,MATCH($B1517,'[2]PRICELIST, 908u'!$G$7:$G$914,0),30),"NA")</f>
        <v>Slant / PINK</v>
      </c>
      <c r="L1517" s="20">
        <f>IFERROR(INDEX('[2]PRICELIST, 908u'!$G$7:$AX$914,MATCH($B1517,'[2]PRICELIST, 908u'!$G$7:$G$914,0),40),"NA")</f>
        <v>2850000</v>
      </c>
      <c r="M1517" s="20">
        <f>IFERROR(INDEX('[2]PRICELIST, 908u'!$G$7:$AX$914,MATCH($B1517,'[2]PRICELIST, 908u'!$G$7:$G$914,0),41),"NA")</f>
        <v>100000</v>
      </c>
      <c r="N1517" s="58">
        <f t="shared" si="76"/>
        <v>2750000</v>
      </c>
      <c r="O1517" s="60"/>
      <c r="P1517" s="60">
        <f t="shared" si="75"/>
        <v>2750000</v>
      </c>
    </row>
    <row r="1518" spans="2:16">
      <c r="B1518" s="20" t="s">
        <v>1669</v>
      </c>
      <c r="C1518" s="20" t="s">
        <v>2</v>
      </c>
      <c r="D1518" s="20" t="str">
        <f>IFERROR(INDEX('[2]PRICELIST, 908u'!$G$7:$AX$914,MATCH($B1518,'[2]PRICELIST, 908u'!$G$7:$G$914,0),18),"NA")</f>
        <v>2024 Batch</v>
      </c>
      <c r="E1518" s="20" t="str">
        <f>IFERROR(INDEX([3]AGM!$D$21:$BL$928,MATCH($B1518,[3]AGM!$AD$21:$AD$928,0),1),"NA")</f>
        <v>OS</v>
      </c>
      <c r="F1518" s="20" t="str">
        <f t="shared" si="74"/>
        <v>Block 29</v>
      </c>
      <c r="G1518" s="20" t="str">
        <f t="shared" si="73"/>
        <v>Lot 05</v>
      </c>
      <c r="H1518" s="20">
        <f>IFERROR(INDEX('[2]PRICELIST, 908u'!$G$7:$AX$914,MATCH($B1518,'[2]PRICELIST, 908u'!$G$7:$G$914,0),23),"NA")</f>
        <v>50</v>
      </c>
      <c r="I1518" s="20">
        <f>IFERROR(INDEX('[2]PRICELIST, 908u'!$G$7:$AX$914,MATCH($B1518,'[2]PRICELIST, 908u'!$G$7:$G$914,0),22),"NA")</f>
        <v>70</v>
      </c>
      <c r="J1518" s="20" t="s">
        <v>25</v>
      </c>
      <c r="K1518" s="20" t="str">
        <f>IFERROR(INDEX('[2]PRICELIST, 908u'!$G$7:$AX$914,MATCH($B1518,'[2]PRICELIST, 908u'!$G$7:$G$914,0),30),"NA")</f>
        <v>Slant / PINK</v>
      </c>
      <c r="L1518" s="20">
        <f>IFERROR(INDEX('[2]PRICELIST, 908u'!$G$7:$AX$914,MATCH($B1518,'[2]PRICELIST, 908u'!$G$7:$G$914,0),40),"NA")</f>
        <v>2850000</v>
      </c>
      <c r="M1518" s="20">
        <f>IFERROR(INDEX('[2]PRICELIST, 908u'!$G$7:$AX$914,MATCH($B1518,'[2]PRICELIST, 908u'!$G$7:$G$914,0),41),"NA")</f>
        <v>100000</v>
      </c>
      <c r="N1518" s="58">
        <f t="shared" si="76"/>
        <v>2750000</v>
      </c>
      <c r="O1518" s="60"/>
      <c r="P1518" s="60">
        <f t="shared" si="75"/>
        <v>2750000</v>
      </c>
    </row>
    <row r="1519" spans="2:16">
      <c r="B1519" s="20" t="s">
        <v>1670</v>
      </c>
      <c r="C1519" s="20" t="s">
        <v>2</v>
      </c>
      <c r="D1519" s="20" t="str">
        <f>IFERROR(INDEX('[2]PRICELIST, 908u'!$G$7:$AX$914,MATCH($B1519,'[2]PRICELIST, 908u'!$G$7:$G$914,0),18),"NA")</f>
        <v>2024 Batch</v>
      </c>
      <c r="E1519" s="20" t="str">
        <f>IFERROR(INDEX([3]AGM!$D$21:$BL$928,MATCH($B1519,[3]AGM!$AD$21:$AD$928,0),1),"NA")</f>
        <v>OS</v>
      </c>
      <c r="F1519" s="20" t="str">
        <f t="shared" si="74"/>
        <v>Block 29</v>
      </c>
      <c r="G1519" s="20" t="str">
        <f t="shared" si="73"/>
        <v>Lot 06</v>
      </c>
      <c r="H1519" s="20">
        <f>IFERROR(INDEX('[2]PRICELIST, 908u'!$G$7:$AX$914,MATCH($B1519,'[2]PRICELIST, 908u'!$G$7:$G$914,0),23),"NA")</f>
        <v>50</v>
      </c>
      <c r="I1519" s="20">
        <f>IFERROR(INDEX('[2]PRICELIST, 908u'!$G$7:$AX$914,MATCH($B1519,'[2]PRICELIST, 908u'!$G$7:$G$914,0),22),"NA")</f>
        <v>80</v>
      </c>
      <c r="J1519" s="20" t="s">
        <v>25</v>
      </c>
      <c r="K1519" s="20" t="str">
        <f>IFERROR(INDEX('[2]PRICELIST, 908u'!$G$7:$AX$914,MATCH($B1519,'[2]PRICELIST, 908u'!$G$7:$G$914,0),30),"NA")</f>
        <v>Flat / PINK</v>
      </c>
      <c r="L1519" s="20">
        <f>IFERROR(INDEX('[2]PRICELIST, 908u'!$G$7:$AX$914,MATCH($B1519,'[2]PRICELIST, 908u'!$G$7:$G$914,0),40),"NA")</f>
        <v>3000000</v>
      </c>
      <c r="M1519" s="20">
        <f>IFERROR(INDEX('[2]PRICELIST, 908u'!$G$7:$AX$914,MATCH($B1519,'[2]PRICELIST, 908u'!$G$7:$G$914,0),41),"NA")</f>
        <v>100000</v>
      </c>
      <c r="N1519" s="58">
        <f t="shared" si="76"/>
        <v>2900000</v>
      </c>
      <c r="O1519" s="60"/>
      <c r="P1519" s="60">
        <f t="shared" si="75"/>
        <v>2900000</v>
      </c>
    </row>
    <row r="1520" spans="2:16">
      <c r="B1520" s="20" t="s">
        <v>1671</v>
      </c>
      <c r="C1520" s="20" t="s">
        <v>2</v>
      </c>
      <c r="D1520" s="20" t="str">
        <f>IFERROR(INDEX('[2]PRICELIST, 908u'!$G$7:$AX$914,MATCH($B1520,'[2]PRICELIST, 908u'!$G$7:$G$914,0),18),"NA")</f>
        <v>2024 Batch</v>
      </c>
      <c r="E1520" s="20" t="str">
        <f>IFERROR(INDEX([3]AGM!$D$21:$BL$928,MATCH($B1520,[3]AGM!$AD$21:$AD$928,0),1),"NA")</f>
        <v>OS</v>
      </c>
      <c r="F1520" s="20" t="str">
        <f t="shared" si="74"/>
        <v>Block 29</v>
      </c>
      <c r="G1520" s="20" t="str">
        <f t="shared" si="73"/>
        <v>Lot 07</v>
      </c>
      <c r="H1520" s="20">
        <f>IFERROR(INDEX('[2]PRICELIST, 908u'!$G$7:$AX$914,MATCH($B1520,'[2]PRICELIST, 908u'!$G$7:$G$914,0),23),"NA")</f>
        <v>50</v>
      </c>
      <c r="I1520" s="20">
        <f>IFERROR(INDEX('[2]PRICELIST, 908u'!$G$7:$AX$914,MATCH($B1520,'[2]PRICELIST, 908u'!$G$7:$G$914,0),22),"NA")</f>
        <v>70</v>
      </c>
      <c r="J1520" s="20" t="s">
        <v>25</v>
      </c>
      <c r="K1520" s="20" t="str">
        <f>IFERROR(INDEX('[2]PRICELIST, 908u'!$G$7:$AX$914,MATCH($B1520,'[2]PRICELIST, 908u'!$G$7:$G$914,0),30),"NA")</f>
        <v>Slant / YELLOW</v>
      </c>
      <c r="L1520" s="20">
        <f>IFERROR(INDEX('[2]PRICELIST, 908u'!$G$7:$AX$914,MATCH($B1520,'[2]PRICELIST, 908u'!$G$7:$G$914,0),40),"NA")</f>
        <v>2850000</v>
      </c>
      <c r="M1520" s="20">
        <f>IFERROR(INDEX('[2]PRICELIST, 908u'!$G$7:$AX$914,MATCH($B1520,'[2]PRICELIST, 908u'!$G$7:$G$914,0),41),"NA")</f>
        <v>100000</v>
      </c>
      <c r="N1520" s="58">
        <f t="shared" si="76"/>
        <v>2750000</v>
      </c>
      <c r="O1520" s="60"/>
      <c r="P1520" s="60">
        <f t="shared" si="75"/>
        <v>2750000</v>
      </c>
    </row>
    <row r="1521" spans="2:16">
      <c r="B1521" s="20" t="s">
        <v>1672</v>
      </c>
      <c r="C1521" s="20" t="s">
        <v>2</v>
      </c>
      <c r="D1521" s="20" t="str">
        <f>IFERROR(INDEX('[2]PRICELIST, 908u'!$G$7:$AX$914,MATCH($B1521,'[2]PRICELIST, 908u'!$G$7:$G$914,0),18),"NA")</f>
        <v>2024 Batch</v>
      </c>
      <c r="E1521" s="20" t="str">
        <f>IFERROR(INDEX([3]AGM!$D$21:$BL$928,MATCH($B1521,[3]AGM!$AD$21:$AD$928,0),1),"NA")</f>
        <v>OS</v>
      </c>
      <c r="F1521" s="20" t="str">
        <f t="shared" si="74"/>
        <v>Block 29</v>
      </c>
      <c r="G1521" s="20" t="str">
        <f t="shared" si="73"/>
        <v>Lot 08</v>
      </c>
      <c r="H1521" s="20">
        <f>IFERROR(INDEX('[2]PRICELIST, 908u'!$G$7:$AX$914,MATCH($B1521,'[2]PRICELIST, 908u'!$G$7:$G$914,0),23),"NA")</f>
        <v>50</v>
      </c>
      <c r="I1521" s="20">
        <f>IFERROR(INDEX('[2]PRICELIST, 908u'!$G$7:$AX$914,MATCH($B1521,'[2]PRICELIST, 908u'!$G$7:$G$914,0),22),"NA")</f>
        <v>70</v>
      </c>
      <c r="J1521" s="20" t="s">
        <v>25</v>
      </c>
      <c r="K1521" s="20" t="str">
        <f>IFERROR(INDEX('[2]PRICELIST, 908u'!$G$7:$AX$914,MATCH($B1521,'[2]PRICELIST, 908u'!$G$7:$G$914,0),30),"NA")</f>
        <v>Flat / YELLOW</v>
      </c>
      <c r="L1521" s="20">
        <f>IFERROR(INDEX('[2]PRICELIST, 908u'!$G$7:$AX$914,MATCH($B1521,'[2]PRICELIST, 908u'!$G$7:$G$914,0),40),"NA")</f>
        <v>2850000</v>
      </c>
      <c r="M1521" s="20">
        <f>IFERROR(INDEX('[2]PRICELIST, 908u'!$G$7:$AX$914,MATCH($B1521,'[2]PRICELIST, 908u'!$G$7:$G$914,0),41),"NA")</f>
        <v>100000</v>
      </c>
      <c r="N1521" s="58">
        <f t="shared" si="76"/>
        <v>2750000</v>
      </c>
      <c r="O1521" s="60"/>
      <c r="P1521" s="60">
        <f t="shared" si="75"/>
        <v>2750000</v>
      </c>
    </row>
    <row r="1522" spans="2:16">
      <c r="B1522" s="20" t="s">
        <v>1673</v>
      </c>
      <c r="C1522" s="20" t="s">
        <v>2</v>
      </c>
      <c r="D1522" s="20" t="str">
        <f>IFERROR(INDEX('[2]PRICELIST, 908u'!$G$7:$AX$914,MATCH($B1522,'[2]PRICELIST, 908u'!$G$7:$G$914,0),18),"NA")</f>
        <v>2024 Batch</v>
      </c>
      <c r="E1522" s="20" t="str">
        <f>IFERROR(INDEX([3]AGM!$D$21:$BL$928,MATCH($B1522,[3]AGM!$AD$21:$AD$928,0),1),"NA")</f>
        <v>OS</v>
      </c>
      <c r="F1522" s="20" t="str">
        <f t="shared" si="74"/>
        <v>Block 29</v>
      </c>
      <c r="G1522" s="20" t="str">
        <f t="shared" si="73"/>
        <v>Lot 09</v>
      </c>
      <c r="H1522" s="20">
        <f>IFERROR(INDEX('[2]PRICELIST, 908u'!$G$7:$AX$914,MATCH($B1522,'[2]PRICELIST, 908u'!$G$7:$G$914,0),23),"NA")</f>
        <v>50</v>
      </c>
      <c r="I1522" s="20">
        <f>IFERROR(INDEX('[2]PRICELIST, 908u'!$G$7:$AX$914,MATCH($B1522,'[2]PRICELIST, 908u'!$G$7:$G$914,0),22),"NA")</f>
        <v>70</v>
      </c>
      <c r="J1522" s="20" t="s">
        <v>25</v>
      </c>
      <c r="K1522" s="20" t="str">
        <f>IFERROR(INDEX('[2]PRICELIST, 908u'!$G$7:$AX$914,MATCH($B1522,'[2]PRICELIST, 908u'!$G$7:$G$914,0),30),"NA")</f>
        <v>Flat / YELLOW</v>
      </c>
      <c r="L1522" s="20">
        <f>IFERROR(INDEX('[2]PRICELIST, 908u'!$G$7:$AX$914,MATCH($B1522,'[2]PRICELIST, 908u'!$G$7:$G$914,0),40),"NA")</f>
        <v>2850000</v>
      </c>
      <c r="M1522" s="20">
        <f>IFERROR(INDEX('[2]PRICELIST, 908u'!$G$7:$AX$914,MATCH($B1522,'[2]PRICELIST, 908u'!$G$7:$G$914,0),41),"NA")</f>
        <v>100000</v>
      </c>
      <c r="N1522" s="58">
        <f t="shared" si="76"/>
        <v>2750000</v>
      </c>
      <c r="O1522" s="60"/>
      <c r="P1522" s="60">
        <f t="shared" si="75"/>
        <v>2750000</v>
      </c>
    </row>
    <row r="1523" spans="2:16">
      <c r="B1523" s="20" t="s">
        <v>1674</v>
      </c>
      <c r="C1523" s="20" t="s">
        <v>2</v>
      </c>
      <c r="D1523" s="20" t="str">
        <f>IFERROR(INDEX('[2]PRICELIST, 908u'!$G$7:$AX$914,MATCH($B1523,'[2]PRICELIST, 908u'!$G$7:$G$914,0),18),"NA")</f>
        <v>2024 Batch</v>
      </c>
      <c r="E1523" s="20" t="str">
        <f>IFERROR(INDEX([3]AGM!$D$21:$BL$928,MATCH($B1523,[3]AGM!$AD$21:$AD$928,0),1),"NA")</f>
        <v>OS</v>
      </c>
      <c r="F1523" s="20" t="str">
        <f t="shared" si="74"/>
        <v>Block 29</v>
      </c>
      <c r="G1523" s="20" t="str">
        <f t="shared" si="73"/>
        <v>Lot 10</v>
      </c>
      <c r="H1523" s="20">
        <f>IFERROR(INDEX('[2]PRICELIST, 908u'!$G$7:$AX$914,MATCH($B1523,'[2]PRICELIST, 908u'!$G$7:$G$914,0),23),"NA")</f>
        <v>50</v>
      </c>
      <c r="I1523" s="20">
        <f>IFERROR(INDEX('[2]PRICELIST, 908u'!$G$7:$AX$914,MATCH($B1523,'[2]PRICELIST, 908u'!$G$7:$G$914,0),22),"NA")</f>
        <v>70</v>
      </c>
      <c r="J1523" s="20" t="s">
        <v>25</v>
      </c>
      <c r="K1523" s="20" t="str">
        <f>IFERROR(INDEX('[2]PRICELIST, 908u'!$G$7:$AX$914,MATCH($B1523,'[2]PRICELIST, 908u'!$G$7:$G$914,0),30),"NA")</f>
        <v>Slant / YELLOW</v>
      </c>
      <c r="L1523" s="20">
        <f>IFERROR(INDEX('[2]PRICELIST, 908u'!$G$7:$AX$914,MATCH($B1523,'[2]PRICELIST, 908u'!$G$7:$G$914,0),40),"NA")</f>
        <v>2850000</v>
      </c>
      <c r="M1523" s="20">
        <f>IFERROR(INDEX('[2]PRICELIST, 908u'!$G$7:$AX$914,MATCH($B1523,'[2]PRICELIST, 908u'!$G$7:$G$914,0),41),"NA")</f>
        <v>100000</v>
      </c>
      <c r="N1523" s="58">
        <f t="shared" si="76"/>
        <v>2750000</v>
      </c>
      <c r="O1523" s="60"/>
      <c r="P1523" s="60">
        <f t="shared" si="75"/>
        <v>2750000</v>
      </c>
    </row>
    <row r="1524" spans="2:16">
      <c r="B1524" s="20" t="s">
        <v>1675</v>
      </c>
      <c r="C1524" s="20" t="s">
        <v>2</v>
      </c>
      <c r="D1524" s="20" t="str">
        <f>IFERROR(INDEX('[2]PRICELIST, 908u'!$G$7:$AX$914,MATCH($B1524,'[2]PRICELIST, 908u'!$G$7:$G$914,0),18),"NA")</f>
        <v>2024 Batch</v>
      </c>
      <c r="E1524" s="20" t="str">
        <f>IFERROR(INDEX([3]AGM!$D$21:$BL$928,MATCH($B1524,[3]AGM!$AD$21:$AD$928,0),1),"NA")</f>
        <v>OS</v>
      </c>
      <c r="F1524" s="20" t="str">
        <f t="shared" si="74"/>
        <v>Block 29</v>
      </c>
      <c r="G1524" s="20" t="str">
        <f t="shared" si="73"/>
        <v>Lot 11</v>
      </c>
      <c r="H1524" s="20">
        <f>IFERROR(INDEX('[2]PRICELIST, 908u'!$G$7:$AX$914,MATCH($B1524,'[2]PRICELIST, 908u'!$G$7:$G$914,0),23),"NA")</f>
        <v>50</v>
      </c>
      <c r="I1524" s="20">
        <f>IFERROR(INDEX('[2]PRICELIST, 908u'!$G$7:$AX$914,MATCH($B1524,'[2]PRICELIST, 908u'!$G$7:$G$914,0),22),"NA")</f>
        <v>70</v>
      </c>
      <c r="J1524" s="20" t="s">
        <v>25</v>
      </c>
      <c r="K1524" s="20" t="str">
        <f>IFERROR(INDEX('[2]PRICELIST, 908u'!$G$7:$AX$914,MATCH($B1524,'[2]PRICELIST, 908u'!$G$7:$G$914,0),30),"NA")</f>
        <v>Slant / GREEN</v>
      </c>
      <c r="L1524" s="20">
        <f>IFERROR(INDEX('[2]PRICELIST, 908u'!$G$7:$AX$914,MATCH($B1524,'[2]PRICELIST, 908u'!$G$7:$G$914,0),40),"NA")</f>
        <v>2850000</v>
      </c>
      <c r="M1524" s="20">
        <f>IFERROR(INDEX('[2]PRICELIST, 908u'!$G$7:$AX$914,MATCH($B1524,'[2]PRICELIST, 908u'!$G$7:$G$914,0),41),"NA")</f>
        <v>100000</v>
      </c>
      <c r="N1524" s="58">
        <f t="shared" si="76"/>
        <v>2750000</v>
      </c>
      <c r="O1524" s="60"/>
      <c r="P1524" s="60">
        <f t="shared" si="75"/>
        <v>2750000</v>
      </c>
    </row>
    <row r="1525" spans="2:16">
      <c r="B1525" s="20" t="s">
        <v>1676</v>
      </c>
      <c r="C1525" s="20" t="s">
        <v>2</v>
      </c>
      <c r="D1525" s="20" t="str">
        <f>IFERROR(INDEX('[2]PRICELIST, 908u'!$G$7:$AX$914,MATCH($B1525,'[2]PRICELIST, 908u'!$G$7:$G$914,0),18),"NA")</f>
        <v>2024 Batch</v>
      </c>
      <c r="E1525" s="20" t="str">
        <f>IFERROR(INDEX([3]AGM!$D$21:$BL$928,MATCH($B1525,[3]AGM!$AD$21:$AD$928,0),1),"NA")</f>
        <v>OS</v>
      </c>
      <c r="F1525" s="20" t="str">
        <f t="shared" si="74"/>
        <v>Block 29</v>
      </c>
      <c r="G1525" s="20" t="str">
        <f t="shared" si="73"/>
        <v>Lot 12</v>
      </c>
      <c r="H1525" s="20">
        <f>IFERROR(INDEX('[2]PRICELIST, 908u'!$G$7:$AX$914,MATCH($B1525,'[2]PRICELIST, 908u'!$G$7:$G$914,0),23),"NA")</f>
        <v>50</v>
      </c>
      <c r="I1525" s="20">
        <f>IFERROR(INDEX('[2]PRICELIST, 908u'!$G$7:$AX$914,MATCH($B1525,'[2]PRICELIST, 908u'!$G$7:$G$914,0),22),"NA")</f>
        <v>70</v>
      </c>
      <c r="J1525" s="20" t="s">
        <v>25</v>
      </c>
      <c r="K1525" s="20" t="str">
        <f>IFERROR(INDEX('[2]PRICELIST, 908u'!$G$7:$AX$914,MATCH($B1525,'[2]PRICELIST, 908u'!$G$7:$G$914,0),30),"NA")</f>
        <v>Flat / GREEN</v>
      </c>
      <c r="L1525" s="20">
        <f>IFERROR(INDEX('[2]PRICELIST, 908u'!$G$7:$AX$914,MATCH($B1525,'[2]PRICELIST, 908u'!$G$7:$G$914,0),40),"NA")</f>
        <v>2850000</v>
      </c>
      <c r="M1525" s="20">
        <f>IFERROR(INDEX('[2]PRICELIST, 908u'!$G$7:$AX$914,MATCH($B1525,'[2]PRICELIST, 908u'!$G$7:$G$914,0),41),"NA")</f>
        <v>100000</v>
      </c>
      <c r="N1525" s="58">
        <f t="shared" si="76"/>
        <v>2750000</v>
      </c>
      <c r="O1525" s="60"/>
      <c r="P1525" s="60">
        <f t="shared" si="75"/>
        <v>2750000</v>
      </c>
    </row>
    <row r="1526" spans="2:16">
      <c r="B1526" s="20" t="s">
        <v>1677</v>
      </c>
      <c r="C1526" s="20" t="s">
        <v>2</v>
      </c>
      <c r="D1526" s="20" t="str">
        <f>IFERROR(INDEX('[2]PRICELIST, 908u'!$G$7:$AX$914,MATCH($B1526,'[2]PRICELIST, 908u'!$G$7:$G$914,0),18),"NA")</f>
        <v>2024 Batch</v>
      </c>
      <c r="E1526" s="20" t="str">
        <f>IFERROR(INDEX([3]AGM!$D$21:$BL$928,MATCH($B1526,[3]AGM!$AD$21:$AD$928,0),1),"NA")</f>
        <v>OS</v>
      </c>
      <c r="F1526" s="20" t="str">
        <f t="shared" si="74"/>
        <v>Block 29</v>
      </c>
      <c r="G1526" s="20" t="str">
        <f t="shared" si="73"/>
        <v>Lot 13</v>
      </c>
      <c r="H1526" s="20">
        <f>IFERROR(INDEX('[2]PRICELIST, 908u'!$G$7:$AX$914,MATCH($B1526,'[2]PRICELIST, 908u'!$G$7:$G$914,0),23),"NA")</f>
        <v>50</v>
      </c>
      <c r="I1526" s="20">
        <f>IFERROR(INDEX('[2]PRICELIST, 908u'!$G$7:$AX$914,MATCH($B1526,'[2]PRICELIST, 908u'!$G$7:$G$914,0),22),"NA")</f>
        <v>70</v>
      </c>
      <c r="J1526" s="20" t="s">
        <v>25</v>
      </c>
      <c r="K1526" s="20" t="str">
        <f>IFERROR(INDEX('[2]PRICELIST, 908u'!$G$7:$AX$914,MATCH($B1526,'[2]PRICELIST, 908u'!$G$7:$G$914,0),30),"NA")</f>
        <v>Flat / GREEN</v>
      </c>
      <c r="L1526" s="20">
        <f>IFERROR(INDEX('[2]PRICELIST, 908u'!$G$7:$AX$914,MATCH($B1526,'[2]PRICELIST, 908u'!$G$7:$G$914,0),40),"NA")</f>
        <v>2850000</v>
      </c>
      <c r="M1526" s="20">
        <f>IFERROR(INDEX('[2]PRICELIST, 908u'!$G$7:$AX$914,MATCH($B1526,'[2]PRICELIST, 908u'!$G$7:$G$914,0),41),"NA")</f>
        <v>100000</v>
      </c>
      <c r="N1526" s="58">
        <f t="shared" si="76"/>
        <v>2750000</v>
      </c>
      <c r="O1526" s="60"/>
      <c r="P1526" s="60">
        <f t="shared" si="75"/>
        <v>2750000</v>
      </c>
    </row>
    <row r="1527" spans="2:16">
      <c r="B1527" s="20" t="s">
        <v>1678</v>
      </c>
      <c r="C1527" s="20" t="s">
        <v>2</v>
      </c>
      <c r="D1527" s="20" t="str">
        <f>IFERROR(INDEX('[2]PRICELIST, 908u'!$G$7:$AX$914,MATCH($B1527,'[2]PRICELIST, 908u'!$G$7:$G$914,0),18),"NA")</f>
        <v>2024 Batch</v>
      </c>
      <c r="E1527" s="20" t="str">
        <f>IFERROR(INDEX([3]AGM!$D$21:$BL$928,MATCH($B1527,[3]AGM!$AD$21:$AD$928,0),1),"NA")</f>
        <v>OS</v>
      </c>
      <c r="F1527" s="20" t="str">
        <f t="shared" si="74"/>
        <v>Block 29</v>
      </c>
      <c r="G1527" s="20" t="str">
        <f t="shared" si="73"/>
        <v>Lot 14</v>
      </c>
      <c r="H1527" s="20">
        <f>IFERROR(INDEX('[2]PRICELIST, 908u'!$G$7:$AX$914,MATCH($B1527,'[2]PRICELIST, 908u'!$G$7:$G$914,0),23),"NA")</f>
        <v>50</v>
      </c>
      <c r="I1527" s="20">
        <f>IFERROR(INDEX('[2]PRICELIST, 908u'!$G$7:$AX$914,MATCH($B1527,'[2]PRICELIST, 908u'!$G$7:$G$914,0),22),"NA")</f>
        <v>70</v>
      </c>
      <c r="J1527" s="20" t="s">
        <v>25</v>
      </c>
      <c r="K1527" s="20" t="str">
        <f>IFERROR(INDEX('[2]PRICELIST, 908u'!$G$7:$AX$914,MATCH($B1527,'[2]PRICELIST, 908u'!$G$7:$G$914,0),30),"NA")</f>
        <v>Slant / GREEN</v>
      </c>
      <c r="L1527" s="20">
        <f>IFERROR(INDEX('[2]PRICELIST, 908u'!$G$7:$AX$914,MATCH($B1527,'[2]PRICELIST, 908u'!$G$7:$G$914,0),40),"NA")</f>
        <v>2850000</v>
      </c>
      <c r="M1527" s="20">
        <f>IFERROR(INDEX('[2]PRICELIST, 908u'!$G$7:$AX$914,MATCH($B1527,'[2]PRICELIST, 908u'!$G$7:$G$914,0),41),"NA")</f>
        <v>100000</v>
      </c>
      <c r="N1527" s="58">
        <f t="shared" si="76"/>
        <v>2750000</v>
      </c>
      <c r="O1527" s="60"/>
      <c r="P1527" s="60">
        <f t="shared" si="75"/>
        <v>2750000</v>
      </c>
    </row>
    <row r="1528" spans="2:16">
      <c r="B1528" s="20" t="s">
        <v>1679</v>
      </c>
      <c r="C1528" s="20" t="s">
        <v>2</v>
      </c>
      <c r="D1528" s="20" t="str">
        <f>IFERROR(INDEX('[2]PRICELIST, 908u'!$G$7:$AX$914,MATCH($B1528,'[2]PRICELIST, 908u'!$G$7:$G$914,0),18),"NA")</f>
        <v>2024 Batch</v>
      </c>
      <c r="E1528" s="20" t="str">
        <f>IFERROR(INDEX([3]AGM!$D$21:$BL$928,MATCH($B1528,[3]AGM!$AD$21:$AD$928,0),1),"NA")</f>
        <v>OPEN</v>
      </c>
      <c r="F1528" s="20" t="str">
        <f t="shared" si="74"/>
        <v>Block 29</v>
      </c>
      <c r="G1528" s="20" t="str">
        <f t="shared" si="73"/>
        <v>Lot 15</v>
      </c>
      <c r="H1528" s="20">
        <f>IFERROR(INDEX('[2]PRICELIST, 908u'!$G$7:$AX$914,MATCH($B1528,'[2]PRICELIST, 908u'!$G$7:$G$914,0),23),"NA")</f>
        <v>50</v>
      </c>
      <c r="I1528" s="20">
        <f>IFERROR(INDEX('[2]PRICELIST, 908u'!$G$7:$AX$914,MATCH($B1528,'[2]PRICELIST, 908u'!$G$7:$G$914,0),22),"NA")</f>
        <v>70</v>
      </c>
      <c r="J1528" s="20" t="s">
        <v>25</v>
      </c>
      <c r="K1528" s="20" t="str">
        <f>IFERROR(INDEX('[2]PRICELIST, 908u'!$G$7:$AX$914,MATCH($B1528,'[2]PRICELIST, 908u'!$G$7:$G$914,0),30),"NA")</f>
        <v>Slant / PURPLE</v>
      </c>
      <c r="L1528" s="20">
        <f>IFERROR(INDEX('[2]PRICELIST, 908u'!$G$7:$AX$914,MATCH($B1528,'[2]PRICELIST, 908u'!$G$7:$G$914,0),40),"NA")</f>
        <v>2850000</v>
      </c>
      <c r="M1528" s="20">
        <f>IFERROR(INDEX('[2]PRICELIST, 908u'!$G$7:$AX$914,MATCH($B1528,'[2]PRICELIST, 908u'!$G$7:$G$914,0),41),"NA")</f>
        <v>100000</v>
      </c>
      <c r="N1528" s="58">
        <f t="shared" si="76"/>
        <v>2750000</v>
      </c>
      <c r="O1528" s="60"/>
      <c r="P1528" s="60">
        <f t="shared" si="75"/>
        <v>2750000</v>
      </c>
    </row>
    <row r="1529" spans="2:16">
      <c r="B1529" s="20" t="s">
        <v>1680</v>
      </c>
      <c r="C1529" s="20" t="s">
        <v>2</v>
      </c>
      <c r="D1529" s="20" t="str">
        <f>IFERROR(INDEX('[2]PRICELIST, 908u'!$G$7:$AX$914,MATCH($B1529,'[2]PRICELIST, 908u'!$G$7:$G$914,0),18),"NA")</f>
        <v>2024 Batch</v>
      </c>
      <c r="E1529" s="20" t="str">
        <f>IFERROR(INDEX([3]AGM!$D$21:$BL$928,MATCH($B1529,[3]AGM!$AD$21:$AD$928,0),1),"NA")</f>
        <v>TS</v>
      </c>
      <c r="F1529" s="20" t="str">
        <f t="shared" si="74"/>
        <v>Block 29</v>
      </c>
      <c r="G1529" s="20" t="str">
        <f t="shared" si="73"/>
        <v>Lot 16</v>
      </c>
      <c r="H1529" s="20">
        <f>IFERROR(INDEX('[2]PRICELIST, 908u'!$G$7:$AX$914,MATCH($B1529,'[2]PRICELIST, 908u'!$G$7:$G$914,0),23),"NA")</f>
        <v>50</v>
      </c>
      <c r="I1529" s="20">
        <f>IFERROR(INDEX('[2]PRICELIST, 908u'!$G$7:$AX$914,MATCH($B1529,'[2]PRICELIST, 908u'!$G$7:$G$914,0),22),"NA")</f>
        <v>70</v>
      </c>
      <c r="J1529" s="20" t="s">
        <v>25</v>
      </c>
      <c r="K1529" s="20" t="str">
        <f>IFERROR(INDEX('[2]PRICELIST, 908u'!$G$7:$AX$914,MATCH($B1529,'[2]PRICELIST, 908u'!$G$7:$G$914,0),30),"NA")</f>
        <v>Flat / PURPLE</v>
      </c>
      <c r="L1529" s="20">
        <f>IFERROR(INDEX('[2]PRICELIST, 908u'!$G$7:$AX$914,MATCH($B1529,'[2]PRICELIST, 908u'!$G$7:$G$914,0),40),"NA")</f>
        <v>2850000</v>
      </c>
      <c r="M1529" s="20">
        <f>IFERROR(INDEX('[2]PRICELIST, 908u'!$G$7:$AX$914,MATCH($B1529,'[2]PRICELIST, 908u'!$G$7:$G$914,0),41),"NA")</f>
        <v>100000</v>
      </c>
      <c r="N1529" s="58">
        <f t="shared" si="76"/>
        <v>2750000</v>
      </c>
      <c r="O1529" s="60"/>
      <c r="P1529" s="60">
        <f t="shared" si="75"/>
        <v>2750000</v>
      </c>
    </row>
    <row r="1530" spans="2:16">
      <c r="B1530" s="20" t="s">
        <v>1681</v>
      </c>
      <c r="C1530" s="20" t="s">
        <v>2</v>
      </c>
      <c r="D1530" s="20" t="str">
        <f>IFERROR(INDEX('[2]PRICELIST, 908u'!$G$7:$AX$914,MATCH($B1530,'[2]PRICELIST, 908u'!$G$7:$G$914,0),18),"NA")</f>
        <v>2024 Batch</v>
      </c>
      <c r="E1530" s="20" t="str">
        <f>IFERROR(INDEX([3]AGM!$D$21:$BL$928,MATCH($B1530,[3]AGM!$AD$21:$AD$928,0),1),"NA")</f>
        <v>OS</v>
      </c>
      <c r="F1530" s="20" t="str">
        <f t="shared" si="74"/>
        <v>Block 29</v>
      </c>
      <c r="G1530" s="20" t="str">
        <f t="shared" si="73"/>
        <v>Lot 17</v>
      </c>
      <c r="H1530" s="20">
        <f>IFERROR(INDEX('[2]PRICELIST, 908u'!$G$7:$AX$914,MATCH($B1530,'[2]PRICELIST, 908u'!$G$7:$G$914,0),23),"NA")</f>
        <v>50</v>
      </c>
      <c r="I1530" s="20">
        <f>IFERROR(INDEX('[2]PRICELIST, 908u'!$G$7:$AX$914,MATCH($B1530,'[2]PRICELIST, 908u'!$G$7:$G$914,0),22),"NA")</f>
        <v>70</v>
      </c>
      <c r="J1530" s="20" t="s">
        <v>25</v>
      </c>
      <c r="K1530" s="20" t="str">
        <f>IFERROR(INDEX('[2]PRICELIST, 908u'!$G$7:$AX$914,MATCH($B1530,'[2]PRICELIST, 908u'!$G$7:$G$914,0),30),"NA")</f>
        <v>Slant / PURPLE</v>
      </c>
      <c r="L1530" s="20">
        <f>IFERROR(INDEX('[2]PRICELIST, 908u'!$G$7:$AX$914,MATCH($B1530,'[2]PRICELIST, 908u'!$G$7:$G$914,0),40),"NA")</f>
        <v>2850000</v>
      </c>
      <c r="M1530" s="20">
        <f>IFERROR(INDEX('[2]PRICELIST, 908u'!$G$7:$AX$914,MATCH($B1530,'[2]PRICELIST, 908u'!$G$7:$G$914,0),41),"NA")</f>
        <v>100000</v>
      </c>
      <c r="N1530" s="58">
        <f t="shared" si="76"/>
        <v>2750000</v>
      </c>
      <c r="O1530" s="60"/>
      <c r="P1530" s="60">
        <f t="shared" si="75"/>
        <v>2750000</v>
      </c>
    </row>
    <row r="1531" spans="2:16">
      <c r="B1531" s="20" t="s">
        <v>1682</v>
      </c>
      <c r="C1531" s="20" t="s">
        <v>2</v>
      </c>
      <c r="D1531" s="20" t="str">
        <f>IFERROR(INDEX('[2]PRICELIST, 908u'!$G$7:$AX$914,MATCH($B1531,'[2]PRICELIST, 908u'!$G$7:$G$914,0),18),"NA")</f>
        <v>2024 Batch</v>
      </c>
      <c r="E1531" s="20" t="str">
        <f>IFERROR(INDEX([3]AGM!$D$21:$BL$928,MATCH($B1531,[3]AGM!$AD$21:$AD$928,0),1),"NA")</f>
        <v>OS</v>
      </c>
      <c r="F1531" s="20" t="str">
        <f t="shared" si="74"/>
        <v>Block 29</v>
      </c>
      <c r="G1531" s="20" t="str">
        <f t="shared" si="73"/>
        <v>Lot 18</v>
      </c>
      <c r="H1531" s="20">
        <f>IFERROR(INDEX('[2]PRICELIST, 908u'!$G$7:$AX$914,MATCH($B1531,'[2]PRICELIST, 908u'!$G$7:$G$914,0),23),"NA")</f>
        <v>50</v>
      </c>
      <c r="I1531" s="20">
        <f>IFERROR(INDEX('[2]PRICELIST, 908u'!$G$7:$AX$914,MATCH($B1531,'[2]PRICELIST, 908u'!$G$7:$G$914,0),22),"NA")</f>
        <v>81</v>
      </c>
      <c r="J1531" s="20" t="s">
        <v>25</v>
      </c>
      <c r="K1531" s="20" t="str">
        <f>IFERROR(INDEX('[2]PRICELIST, 908u'!$G$7:$AX$914,MATCH($B1531,'[2]PRICELIST, 908u'!$G$7:$G$914,0),30),"NA")</f>
        <v>Flat / PURPLE</v>
      </c>
      <c r="L1531" s="20">
        <f>IFERROR(INDEX('[2]PRICELIST, 908u'!$G$7:$AX$914,MATCH($B1531,'[2]PRICELIST, 908u'!$G$7:$G$914,0),40),"NA")</f>
        <v>3015000</v>
      </c>
      <c r="M1531" s="20">
        <f>IFERROR(INDEX('[2]PRICELIST, 908u'!$G$7:$AX$914,MATCH($B1531,'[2]PRICELIST, 908u'!$G$7:$G$914,0),41),"NA")</f>
        <v>100000</v>
      </c>
      <c r="N1531" s="58">
        <f t="shared" si="76"/>
        <v>2915000</v>
      </c>
      <c r="O1531" s="60"/>
      <c r="P1531" s="60">
        <f t="shared" si="75"/>
        <v>2915000</v>
      </c>
    </row>
    <row r="1532" spans="2:16">
      <c r="B1532" s="20" t="s">
        <v>1683</v>
      </c>
      <c r="C1532" s="20" t="s">
        <v>2</v>
      </c>
      <c r="D1532" s="20" t="str">
        <f>IFERROR(INDEX('[2]PRICELIST, 908u'!$G$7:$AX$914,MATCH($B1532,'[2]PRICELIST, 908u'!$G$7:$G$914,0),18),"NA")</f>
        <v>2024 Batch</v>
      </c>
      <c r="E1532" s="20" t="str">
        <f>IFERROR(INDEX([3]AGM!$D$21:$BL$928,MATCH($B1532,[3]AGM!$AD$21:$AD$928,0),1),"NA")</f>
        <v>OS</v>
      </c>
      <c r="F1532" s="20" t="str">
        <f t="shared" si="74"/>
        <v>Block 29</v>
      </c>
      <c r="G1532" s="20" t="str">
        <f t="shared" si="73"/>
        <v>Lot 19</v>
      </c>
      <c r="H1532" s="20">
        <f>IFERROR(INDEX('[2]PRICELIST, 908u'!$G$7:$AX$914,MATCH($B1532,'[2]PRICELIST, 908u'!$G$7:$G$914,0),23),"NA")</f>
        <v>50</v>
      </c>
      <c r="I1532" s="20">
        <f>IFERROR(INDEX('[2]PRICELIST, 908u'!$G$7:$AX$914,MATCH($B1532,'[2]PRICELIST, 908u'!$G$7:$G$914,0),22),"NA")</f>
        <v>81</v>
      </c>
      <c r="J1532" s="20" t="s">
        <v>25</v>
      </c>
      <c r="K1532" s="20" t="str">
        <f>IFERROR(INDEX('[2]PRICELIST, 908u'!$G$7:$AX$914,MATCH($B1532,'[2]PRICELIST, 908u'!$G$7:$G$914,0),30),"NA")</f>
        <v>Slant / PINK</v>
      </c>
      <c r="L1532" s="20">
        <f>IFERROR(INDEX('[2]PRICELIST, 908u'!$G$7:$AX$914,MATCH($B1532,'[2]PRICELIST, 908u'!$G$7:$G$914,0),40),"NA")</f>
        <v>3015000</v>
      </c>
      <c r="M1532" s="20">
        <f>IFERROR(INDEX('[2]PRICELIST, 908u'!$G$7:$AX$914,MATCH($B1532,'[2]PRICELIST, 908u'!$G$7:$G$914,0),41),"NA")</f>
        <v>100000</v>
      </c>
      <c r="N1532" s="58">
        <f t="shared" si="76"/>
        <v>2915000</v>
      </c>
      <c r="O1532" s="60"/>
      <c r="P1532" s="60">
        <f t="shared" si="75"/>
        <v>2915000</v>
      </c>
    </row>
    <row r="1533" spans="2:16">
      <c r="B1533" s="20" t="s">
        <v>1684</v>
      </c>
      <c r="C1533" s="20" t="s">
        <v>2</v>
      </c>
      <c r="D1533" s="20" t="str">
        <f>IFERROR(INDEX('[2]PRICELIST, 908u'!$G$7:$AX$914,MATCH($B1533,'[2]PRICELIST, 908u'!$G$7:$G$914,0),18),"NA")</f>
        <v>2024 Batch</v>
      </c>
      <c r="E1533" s="20" t="str">
        <f>IFERROR(INDEX([3]AGM!$D$21:$BL$928,MATCH($B1533,[3]AGM!$AD$21:$AD$928,0),1),"NA")</f>
        <v>OS</v>
      </c>
      <c r="F1533" s="20" t="str">
        <f t="shared" si="74"/>
        <v>Block 29</v>
      </c>
      <c r="G1533" s="20" t="str">
        <f t="shared" si="73"/>
        <v>Lot 20</v>
      </c>
      <c r="H1533" s="20">
        <f>IFERROR(INDEX('[2]PRICELIST, 908u'!$G$7:$AX$914,MATCH($B1533,'[2]PRICELIST, 908u'!$G$7:$G$914,0),23),"NA")</f>
        <v>50</v>
      </c>
      <c r="I1533" s="20">
        <f>IFERROR(INDEX('[2]PRICELIST, 908u'!$G$7:$AX$914,MATCH($B1533,'[2]PRICELIST, 908u'!$G$7:$G$914,0),22),"NA")</f>
        <v>70</v>
      </c>
      <c r="J1533" s="20" t="s">
        <v>25</v>
      </c>
      <c r="K1533" s="20" t="str">
        <f>IFERROR(INDEX('[2]PRICELIST, 908u'!$G$7:$AX$914,MATCH($B1533,'[2]PRICELIST, 908u'!$G$7:$G$914,0),30),"NA")</f>
        <v>Flat / PINK</v>
      </c>
      <c r="L1533" s="20">
        <f>IFERROR(INDEX('[2]PRICELIST, 908u'!$G$7:$AX$914,MATCH($B1533,'[2]PRICELIST, 908u'!$G$7:$G$914,0),40),"NA")</f>
        <v>2850000</v>
      </c>
      <c r="M1533" s="20">
        <f>IFERROR(INDEX('[2]PRICELIST, 908u'!$G$7:$AX$914,MATCH($B1533,'[2]PRICELIST, 908u'!$G$7:$G$914,0),41),"NA")</f>
        <v>100000</v>
      </c>
      <c r="N1533" s="58">
        <f t="shared" si="76"/>
        <v>2750000</v>
      </c>
      <c r="O1533" s="60"/>
      <c r="P1533" s="60">
        <f t="shared" si="75"/>
        <v>2750000</v>
      </c>
    </row>
    <row r="1534" spans="2:16">
      <c r="B1534" s="20" t="s">
        <v>1685</v>
      </c>
      <c r="C1534" s="20" t="s">
        <v>2</v>
      </c>
      <c r="D1534" s="20" t="str">
        <f>IFERROR(INDEX('[2]PRICELIST, 908u'!$G$7:$AX$914,MATCH($B1534,'[2]PRICELIST, 908u'!$G$7:$G$914,0),18),"NA")</f>
        <v>2024 Batch</v>
      </c>
      <c r="E1534" s="20" t="str">
        <f>IFERROR(INDEX([3]AGM!$D$21:$BL$928,MATCH($B1534,[3]AGM!$AD$21:$AD$928,0),1),"NA")</f>
        <v>OS</v>
      </c>
      <c r="F1534" s="20" t="str">
        <f t="shared" si="74"/>
        <v>Block 29</v>
      </c>
      <c r="G1534" s="20" t="str">
        <f t="shared" si="73"/>
        <v>Lot 21</v>
      </c>
      <c r="H1534" s="20">
        <f>IFERROR(INDEX('[2]PRICELIST, 908u'!$G$7:$AX$914,MATCH($B1534,'[2]PRICELIST, 908u'!$G$7:$G$914,0),23),"NA")</f>
        <v>50</v>
      </c>
      <c r="I1534" s="20">
        <f>IFERROR(INDEX('[2]PRICELIST, 908u'!$G$7:$AX$914,MATCH($B1534,'[2]PRICELIST, 908u'!$G$7:$G$914,0),22),"NA")</f>
        <v>70</v>
      </c>
      <c r="J1534" s="20" t="s">
        <v>25</v>
      </c>
      <c r="K1534" s="20" t="str">
        <f>IFERROR(INDEX('[2]PRICELIST, 908u'!$G$7:$AX$914,MATCH($B1534,'[2]PRICELIST, 908u'!$G$7:$G$914,0),30),"NA")</f>
        <v>Flat / PINK</v>
      </c>
      <c r="L1534" s="20">
        <f>IFERROR(INDEX('[2]PRICELIST, 908u'!$G$7:$AX$914,MATCH($B1534,'[2]PRICELIST, 908u'!$G$7:$G$914,0),40),"NA")</f>
        <v>2850000</v>
      </c>
      <c r="M1534" s="20">
        <f>IFERROR(INDEX('[2]PRICELIST, 908u'!$G$7:$AX$914,MATCH($B1534,'[2]PRICELIST, 908u'!$G$7:$G$914,0),41),"NA")</f>
        <v>100000</v>
      </c>
      <c r="N1534" s="58">
        <f t="shared" si="76"/>
        <v>2750000</v>
      </c>
      <c r="O1534" s="60"/>
      <c r="P1534" s="60">
        <f t="shared" si="75"/>
        <v>2750000</v>
      </c>
    </row>
    <row r="1535" spans="2:16">
      <c r="B1535" s="20" t="s">
        <v>1686</v>
      </c>
      <c r="C1535" s="20" t="s">
        <v>2</v>
      </c>
      <c r="D1535" s="20" t="str">
        <f>IFERROR(INDEX('[2]PRICELIST, 908u'!$G$7:$AX$914,MATCH($B1535,'[2]PRICELIST, 908u'!$G$7:$G$914,0),18),"NA")</f>
        <v>2024 Batch</v>
      </c>
      <c r="E1535" s="20" t="str">
        <f>IFERROR(INDEX([3]AGM!$D$21:$BL$928,MATCH($B1535,[3]AGM!$AD$21:$AD$928,0),1),"NA")</f>
        <v>OPEN</v>
      </c>
      <c r="F1535" s="20" t="str">
        <f t="shared" si="74"/>
        <v>Block 29</v>
      </c>
      <c r="G1535" s="20" t="str">
        <f t="shared" si="73"/>
        <v>Lot 22</v>
      </c>
      <c r="H1535" s="20">
        <f>IFERROR(INDEX('[2]PRICELIST, 908u'!$G$7:$AX$914,MATCH($B1535,'[2]PRICELIST, 908u'!$G$7:$G$914,0),23),"NA")</f>
        <v>50</v>
      </c>
      <c r="I1535" s="20">
        <f>IFERROR(INDEX('[2]PRICELIST, 908u'!$G$7:$AX$914,MATCH($B1535,'[2]PRICELIST, 908u'!$G$7:$G$914,0),22),"NA")</f>
        <v>70</v>
      </c>
      <c r="J1535" s="20" t="s">
        <v>25</v>
      </c>
      <c r="K1535" s="20" t="str">
        <f>IFERROR(INDEX('[2]PRICELIST, 908u'!$G$7:$AX$914,MATCH($B1535,'[2]PRICELIST, 908u'!$G$7:$G$914,0),30),"NA")</f>
        <v>Slant / PINK</v>
      </c>
      <c r="L1535" s="20">
        <f>IFERROR(INDEX('[2]PRICELIST, 908u'!$G$7:$AX$914,MATCH($B1535,'[2]PRICELIST, 908u'!$G$7:$G$914,0),40),"NA")</f>
        <v>2850000</v>
      </c>
      <c r="M1535" s="20">
        <f>IFERROR(INDEX('[2]PRICELIST, 908u'!$G$7:$AX$914,MATCH($B1535,'[2]PRICELIST, 908u'!$G$7:$G$914,0),41),"NA")</f>
        <v>100000</v>
      </c>
      <c r="N1535" s="58">
        <f t="shared" si="76"/>
        <v>2750000</v>
      </c>
      <c r="O1535" s="60"/>
      <c r="P1535" s="60">
        <f t="shared" si="75"/>
        <v>2750000</v>
      </c>
    </row>
    <row r="1536" spans="2:16">
      <c r="B1536" s="20" t="s">
        <v>1687</v>
      </c>
      <c r="C1536" s="20" t="s">
        <v>2</v>
      </c>
      <c r="D1536" s="20" t="str">
        <f>IFERROR(INDEX('[2]PRICELIST, 908u'!$G$7:$AX$914,MATCH($B1536,'[2]PRICELIST, 908u'!$G$7:$G$914,0),18),"NA")</f>
        <v>2024 Batch</v>
      </c>
      <c r="E1536" s="20" t="str">
        <f>IFERROR(INDEX([3]AGM!$D$21:$BL$928,MATCH($B1536,[3]AGM!$AD$21:$AD$928,0),1),"NA")</f>
        <v>OS</v>
      </c>
      <c r="F1536" s="20" t="str">
        <f t="shared" si="74"/>
        <v>Block 29</v>
      </c>
      <c r="G1536" s="20" t="str">
        <f t="shared" si="73"/>
        <v>Lot 23</v>
      </c>
      <c r="H1536" s="20">
        <f>IFERROR(INDEX('[2]PRICELIST, 908u'!$G$7:$AX$914,MATCH($B1536,'[2]PRICELIST, 908u'!$G$7:$G$914,0),23),"NA")</f>
        <v>50</v>
      </c>
      <c r="I1536" s="20">
        <f>IFERROR(INDEX('[2]PRICELIST, 908u'!$G$7:$AX$914,MATCH($B1536,'[2]PRICELIST, 908u'!$G$7:$G$914,0),22),"NA")</f>
        <v>70</v>
      </c>
      <c r="J1536" s="20" t="s">
        <v>25</v>
      </c>
      <c r="K1536" s="20" t="str">
        <f>IFERROR(INDEX('[2]PRICELIST, 908u'!$G$7:$AX$914,MATCH($B1536,'[2]PRICELIST, 908u'!$G$7:$G$914,0),30),"NA")</f>
        <v>Slant / PURPLE</v>
      </c>
      <c r="L1536" s="20">
        <f>IFERROR(INDEX('[2]PRICELIST, 908u'!$G$7:$AX$914,MATCH($B1536,'[2]PRICELIST, 908u'!$G$7:$G$914,0),40),"NA")</f>
        <v>2850000</v>
      </c>
      <c r="M1536" s="20">
        <f>IFERROR(INDEX('[2]PRICELIST, 908u'!$G$7:$AX$914,MATCH($B1536,'[2]PRICELIST, 908u'!$G$7:$G$914,0),41),"NA")</f>
        <v>100000</v>
      </c>
      <c r="N1536" s="58">
        <f t="shared" si="76"/>
        <v>2750000</v>
      </c>
      <c r="O1536" s="60"/>
      <c r="P1536" s="60">
        <f t="shared" si="75"/>
        <v>2750000</v>
      </c>
    </row>
    <row r="1537" spans="2:16">
      <c r="B1537" s="20" t="s">
        <v>1688</v>
      </c>
      <c r="C1537" s="20" t="s">
        <v>2</v>
      </c>
      <c r="D1537" s="20" t="str">
        <f>IFERROR(INDEX('[2]PRICELIST, 908u'!$G$7:$AX$914,MATCH($B1537,'[2]PRICELIST, 908u'!$G$7:$G$914,0),18),"NA")</f>
        <v>2024 Batch</v>
      </c>
      <c r="E1537" s="20" t="str">
        <f>IFERROR(INDEX([3]AGM!$D$21:$BL$928,MATCH($B1537,[3]AGM!$AD$21:$AD$928,0),1),"NA")</f>
        <v>OPEN</v>
      </c>
      <c r="F1537" s="20" t="str">
        <f t="shared" si="74"/>
        <v>Block 29</v>
      </c>
      <c r="G1537" s="20" t="str">
        <f t="shared" si="73"/>
        <v>Lot 24</v>
      </c>
      <c r="H1537" s="20">
        <f>IFERROR(INDEX('[2]PRICELIST, 908u'!$G$7:$AX$914,MATCH($B1537,'[2]PRICELIST, 908u'!$G$7:$G$914,0),23),"NA")</f>
        <v>50</v>
      </c>
      <c r="I1537" s="20">
        <f>IFERROR(INDEX('[2]PRICELIST, 908u'!$G$7:$AX$914,MATCH($B1537,'[2]PRICELIST, 908u'!$G$7:$G$914,0),22),"NA")</f>
        <v>70</v>
      </c>
      <c r="J1537" s="20" t="s">
        <v>25</v>
      </c>
      <c r="K1537" s="20" t="str">
        <f>IFERROR(INDEX('[2]PRICELIST, 908u'!$G$7:$AX$914,MATCH($B1537,'[2]PRICELIST, 908u'!$G$7:$G$914,0),30),"NA")</f>
        <v>Flat / PURPLE</v>
      </c>
      <c r="L1537" s="20">
        <f>IFERROR(INDEX('[2]PRICELIST, 908u'!$G$7:$AX$914,MATCH($B1537,'[2]PRICELIST, 908u'!$G$7:$G$914,0),40),"NA")</f>
        <v>2850000</v>
      </c>
      <c r="M1537" s="20">
        <f>IFERROR(INDEX('[2]PRICELIST, 908u'!$G$7:$AX$914,MATCH($B1537,'[2]PRICELIST, 908u'!$G$7:$G$914,0),41),"NA")</f>
        <v>100000</v>
      </c>
      <c r="N1537" s="58">
        <f t="shared" si="76"/>
        <v>2750000</v>
      </c>
      <c r="O1537" s="60"/>
      <c r="P1537" s="60">
        <f t="shared" si="75"/>
        <v>2750000</v>
      </c>
    </row>
    <row r="1538" spans="2:16">
      <c r="B1538" s="20" t="s">
        <v>1689</v>
      </c>
      <c r="C1538" s="20" t="s">
        <v>2</v>
      </c>
      <c r="D1538" s="20" t="str">
        <f>IFERROR(INDEX('[2]PRICELIST, 908u'!$G$7:$AX$914,MATCH($B1538,'[2]PRICELIST, 908u'!$G$7:$G$914,0),18),"NA")</f>
        <v>2024 Batch</v>
      </c>
      <c r="E1538" s="20" t="str">
        <f>IFERROR(INDEX([3]AGM!$D$21:$BL$928,MATCH($B1538,[3]AGM!$AD$21:$AD$928,0),1),"NA")</f>
        <v>OS</v>
      </c>
      <c r="F1538" s="20" t="str">
        <f t="shared" si="74"/>
        <v>Block 29</v>
      </c>
      <c r="G1538" s="20" t="str">
        <f t="shared" si="73"/>
        <v>Lot 25</v>
      </c>
      <c r="H1538" s="20">
        <f>IFERROR(INDEX('[2]PRICELIST, 908u'!$G$7:$AX$914,MATCH($B1538,'[2]PRICELIST, 908u'!$G$7:$G$914,0),23),"NA")</f>
        <v>50</v>
      </c>
      <c r="I1538" s="20">
        <f>IFERROR(INDEX('[2]PRICELIST, 908u'!$G$7:$AX$914,MATCH($B1538,'[2]PRICELIST, 908u'!$G$7:$G$914,0),22),"NA")</f>
        <v>70</v>
      </c>
      <c r="J1538" s="20" t="s">
        <v>25</v>
      </c>
      <c r="K1538" s="20" t="str">
        <f>IFERROR(INDEX('[2]PRICELIST, 908u'!$G$7:$AX$914,MATCH($B1538,'[2]PRICELIST, 908u'!$G$7:$G$914,0),30),"NA")</f>
        <v>Flat / PURPLE</v>
      </c>
      <c r="L1538" s="20">
        <f>IFERROR(INDEX('[2]PRICELIST, 908u'!$G$7:$AX$914,MATCH($B1538,'[2]PRICELIST, 908u'!$G$7:$G$914,0),40),"NA")</f>
        <v>2850000</v>
      </c>
      <c r="M1538" s="20">
        <f>IFERROR(INDEX('[2]PRICELIST, 908u'!$G$7:$AX$914,MATCH($B1538,'[2]PRICELIST, 908u'!$G$7:$G$914,0),41),"NA")</f>
        <v>100000</v>
      </c>
      <c r="N1538" s="58">
        <f t="shared" si="76"/>
        <v>2750000</v>
      </c>
      <c r="O1538" s="60"/>
      <c r="P1538" s="60">
        <f t="shared" si="75"/>
        <v>2750000</v>
      </c>
    </row>
    <row r="1539" spans="2:16">
      <c r="B1539" s="20" t="s">
        <v>1690</v>
      </c>
      <c r="C1539" s="20" t="s">
        <v>2</v>
      </c>
      <c r="D1539" s="20" t="str">
        <f>IFERROR(INDEX('[2]PRICELIST, 908u'!$G$7:$AX$914,MATCH($B1539,'[2]PRICELIST, 908u'!$G$7:$G$914,0),18),"NA")</f>
        <v>2024 Batch</v>
      </c>
      <c r="E1539" s="20" t="str">
        <f>IFERROR(INDEX([3]AGM!$D$21:$BL$928,MATCH($B1539,[3]AGM!$AD$21:$AD$928,0),1),"NA")</f>
        <v>OS</v>
      </c>
      <c r="F1539" s="20" t="str">
        <f t="shared" si="74"/>
        <v>Block 29</v>
      </c>
      <c r="G1539" s="20" t="str">
        <f t="shared" si="73"/>
        <v>Lot 26</v>
      </c>
      <c r="H1539" s="20">
        <f>IFERROR(INDEX('[2]PRICELIST, 908u'!$G$7:$AX$914,MATCH($B1539,'[2]PRICELIST, 908u'!$G$7:$G$914,0),23),"NA")</f>
        <v>50</v>
      </c>
      <c r="I1539" s="20">
        <f>IFERROR(INDEX('[2]PRICELIST, 908u'!$G$7:$AX$914,MATCH($B1539,'[2]PRICELIST, 908u'!$G$7:$G$914,0),22),"NA")</f>
        <v>70</v>
      </c>
      <c r="J1539" s="20" t="s">
        <v>25</v>
      </c>
      <c r="K1539" s="20" t="str">
        <f>IFERROR(INDEX('[2]PRICELIST, 908u'!$G$7:$AX$914,MATCH($B1539,'[2]PRICELIST, 908u'!$G$7:$G$914,0),30),"NA")</f>
        <v>Slant / PURPLE</v>
      </c>
      <c r="L1539" s="20">
        <f>IFERROR(INDEX('[2]PRICELIST, 908u'!$G$7:$AX$914,MATCH($B1539,'[2]PRICELIST, 908u'!$G$7:$G$914,0),40),"NA")</f>
        <v>2850000</v>
      </c>
      <c r="M1539" s="20">
        <f>IFERROR(INDEX('[2]PRICELIST, 908u'!$G$7:$AX$914,MATCH($B1539,'[2]PRICELIST, 908u'!$G$7:$G$914,0),41),"NA")</f>
        <v>100000</v>
      </c>
      <c r="N1539" s="58">
        <f t="shared" si="76"/>
        <v>2750000</v>
      </c>
      <c r="O1539" s="60"/>
      <c r="P1539" s="60">
        <f t="shared" si="75"/>
        <v>2750000</v>
      </c>
    </row>
    <row r="1540" spans="2:16">
      <c r="B1540" s="20" t="s">
        <v>1691</v>
      </c>
      <c r="C1540" s="20" t="s">
        <v>2</v>
      </c>
      <c r="D1540" s="20" t="str">
        <f>IFERROR(INDEX('[2]PRICELIST, 908u'!$G$7:$AX$914,MATCH($B1540,'[2]PRICELIST, 908u'!$G$7:$G$914,0),18),"NA")</f>
        <v>2024 Batch</v>
      </c>
      <c r="E1540" s="20" t="str">
        <f>IFERROR(INDEX([3]AGM!$D$21:$BL$928,MATCH($B1540,[3]AGM!$AD$21:$AD$928,0),1),"NA")</f>
        <v>OS</v>
      </c>
      <c r="F1540" s="20" t="str">
        <f t="shared" si="74"/>
        <v>Block 29</v>
      </c>
      <c r="G1540" s="20" t="str">
        <f t="shared" si="73"/>
        <v>Lot 27</v>
      </c>
      <c r="H1540" s="20">
        <f>IFERROR(INDEX('[2]PRICELIST, 908u'!$G$7:$AX$914,MATCH($B1540,'[2]PRICELIST, 908u'!$G$7:$G$914,0),23),"NA")</f>
        <v>50</v>
      </c>
      <c r="I1540" s="20">
        <f>IFERROR(INDEX('[2]PRICELIST, 908u'!$G$7:$AX$914,MATCH($B1540,'[2]PRICELIST, 908u'!$G$7:$G$914,0),22),"NA")</f>
        <v>70</v>
      </c>
      <c r="J1540" s="20" t="s">
        <v>25</v>
      </c>
      <c r="K1540" s="20" t="str">
        <f>IFERROR(INDEX('[2]PRICELIST, 908u'!$G$7:$AX$914,MATCH($B1540,'[2]PRICELIST, 908u'!$G$7:$G$914,0),30),"NA")</f>
        <v>Slant / GREEN</v>
      </c>
      <c r="L1540" s="20">
        <f>IFERROR(INDEX('[2]PRICELIST, 908u'!$G$7:$AX$914,MATCH($B1540,'[2]PRICELIST, 908u'!$G$7:$G$914,0),40),"NA")</f>
        <v>2850000</v>
      </c>
      <c r="M1540" s="20">
        <f>IFERROR(INDEX('[2]PRICELIST, 908u'!$G$7:$AX$914,MATCH($B1540,'[2]PRICELIST, 908u'!$G$7:$G$914,0),41),"NA")</f>
        <v>100000</v>
      </c>
      <c r="N1540" s="58">
        <f t="shared" si="76"/>
        <v>2750000</v>
      </c>
      <c r="O1540" s="60"/>
      <c r="P1540" s="60">
        <f t="shared" si="75"/>
        <v>2750000</v>
      </c>
    </row>
    <row r="1541" spans="2:16">
      <c r="B1541" s="20" t="s">
        <v>1692</v>
      </c>
      <c r="C1541" s="20" t="s">
        <v>2</v>
      </c>
      <c r="D1541" s="20" t="str">
        <f>IFERROR(INDEX('[2]PRICELIST, 908u'!$G$7:$AX$914,MATCH($B1541,'[2]PRICELIST, 908u'!$G$7:$G$914,0),18),"NA")</f>
        <v>2024 Batch</v>
      </c>
      <c r="E1541" s="20" t="str">
        <f>IFERROR(INDEX([3]AGM!$D$21:$BL$928,MATCH($B1541,[3]AGM!$AD$21:$AD$928,0),1),"NA")</f>
        <v>OS</v>
      </c>
      <c r="F1541" s="20" t="str">
        <f t="shared" si="74"/>
        <v>Block 29</v>
      </c>
      <c r="G1541" s="20" t="str">
        <f t="shared" si="73"/>
        <v>Lot 28</v>
      </c>
      <c r="H1541" s="20">
        <f>IFERROR(INDEX('[2]PRICELIST, 908u'!$G$7:$AX$914,MATCH($B1541,'[2]PRICELIST, 908u'!$G$7:$G$914,0),23),"NA")</f>
        <v>50</v>
      </c>
      <c r="I1541" s="20">
        <f>IFERROR(INDEX('[2]PRICELIST, 908u'!$G$7:$AX$914,MATCH($B1541,'[2]PRICELIST, 908u'!$G$7:$G$914,0),22),"NA")</f>
        <v>70</v>
      </c>
      <c r="J1541" s="20" t="s">
        <v>25</v>
      </c>
      <c r="K1541" s="20" t="str">
        <f>IFERROR(INDEX('[2]PRICELIST, 908u'!$G$7:$AX$914,MATCH($B1541,'[2]PRICELIST, 908u'!$G$7:$G$914,0),30),"NA")</f>
        <v>Flat / GREEN</v>
      </c>
      <c r="L1541" s="20">
        <f>IFERROR(INDEX('[2]PRICELIST, 908u'!$G$7:$AX$914,MATCH($B1541,'[2]PRICELIST, 908u'!$G$7:$G$914,0),40),"NA")</f>
        <v>2850000</v>
      </c>
      <c r="M1541" s="20">
        <f>IFERROR(INDEX('[2]PRICELIST, 908u'!$G$7:$AX$914,MATCH($B1541,'[2]PRICELIST, 908u'!$G$7:$G$914,0),41),"NA")</f>
        <v>100000</v>
      </c>
      <c r="N1541" s="58">
        <f t="shared" si="76"/>
        <v>2750000</v>
      </c>
      <c r="O1541" s="60"/>
      <c r="P1541" s="60">
        <f t="shared" si="75"/>
        <v>2750000</v>
      </c>
    </row>
    <row r="1542" spans="2:16">
      <c r="B1542" s="20" t="s">
        <v>1693</v>
      </c>
      <c r="C1542" s="20" t="s">
        <v>2</v>
      </c>
      <c r="D1542" s="20" t="str">
        <f>IFERROR(INDEX('[2]PRICELIST, 908u'!$G$7:$AX$914,MATCH($B1542,'[2]PRICELIST, 908u'!$G$7:$G$914,0),18),"NA")</f>
        <v>2024 Batch</v>
      </c>
      <c r="E1542" s="20" t="str">
        <f>IFERROR(INDEX([3]AGM!$D$21:$BL$928,MATCH($B1542,[3]AGM!$AD$21:$AD$928,0),1),"NA")</f>
        <v>TS</v>
      </c>
      <c r="F1542" s="20" t="str">
        <f t="shared" si="74"/>
        <v>Block 29</v>
      </c>
      <c r="G1542" s="20" t="str">
        <f t="shared" si="73"/>
        <v>Lot 29</v>
      </c>
      <c r="H1542" s="20">
        <f>IFERROR(INDEX('[2]PRICELIST, 908u'!$G$7:$AX$914,MATCH($B1542,'[2]PRICELIST, 908u'!$G$7:$G$914,0),23),"NA")</f>
        <v>50</v>
      </c>
      <c r="I1542" s="20">
        <f>IFERROR(INDEX('[2]PRICELIST, 908u'!$G$7:$AX$914,MATCH($B1542,'[2]PRICELIST, 908u'!$G$7:$G$914,0),22),"NA")</f>
        <v>70</v>
      </c>
      <c r="J1542" s="20" t="s">
        <v>25</v>
      </c>
      <c r="K1542" s="20" t="str">
        <f>IFERROR(INDEX('[2]PRICELIST, 908u'!$G$7:$AX$914,MATCH($B1542,'[2]PRICELIST, 908u'!$G$7:$G$914,0),30),"NA")</f>
        <v>Flat / GREEN</v>
      </c>
      <c r="L1542" s="20">
        <f>IFERROR(INDEX('[2]PRICELIST, 908u'!$G$7:$AX$914,MATCH($B1542,'[2]PRICELIST, 908u'!$G$7:$G$914,0),40),"NA")</f>
        <v>2850000</v>
      </c>
      <c r="M1542" s="20">
        <f>IFERROR(INDEX('[2]PRICELIST, 908u'!$G$7:$AX$914,MATCH($B1542,'[2]PRICELIST, 908u'!$G$7:$G$914,0),41),"NA")</f>
        <v>100000</v>
      </c>
      <c r="N1542" s="58">
        <f t="shared" si="76"/>
        <v>2750000</v>
      </c>
      <c r="O1542" s="60"/>
      <c r="P1542" s="60">
        <f t="shared" si="75"/>
        <v>2750000</v>
      </c>
    </row>
    <row r="1543" spans="2:16">
      <c r="B1543" s="20" t="s">
        <v>1694</v>
      </c>
      <c r="C1543" s="20" t="s">
        <v>2</v>
      </c>
      <c r="D1543" s="20" t="str">
        <f>IFERROR(INDEX('[2]PRICELIST, 908u'!$G$7:$AX$914,MATCH($B1543,'[2]PRICELIST, 908u'!$G$7:$G$914,0),18),"NA")</f>
        <v>2024 Batch</v>
      </c>
      <c r="E1543" s="20" t="str">
        <f>IFERROR(INDEX([3]AGM!$D$21:$BL$928,MATCH($B1543,[3]AGM!$AD$21:$AD$928,0),1),"NA")</f>
        <v>OS</v>
      </c>
      <c r="F1543" s="20" t="str">
        <f t="shared" si="74"/>
        <v>Block 29</v>
      </c>
      <c r="G1543" s="20" t="str">
        <f t="shared" si="73"/>
        <v>Lot 30</v>
      </c>
      <c r="H1543" s="20">
        <f>IFERROR(INDEX('[2]PRICELIST, 908u'!$G$7:$AX$914,MATCH($B1543,'[2]PRICELIST, 908u'!$G$7:$G$914,0),23),"NA")</f>
        <v>50</v>
      </c>
      <c r="I1543" s="20">
        <f>IFERROR(INDEX('[2]PRICELIST, 908u'!$G$7:$AX$914,MATCH($B1543,'[2]PRICELIST, 908u'!$G$7:$G$914,0),22),"NA")</f>
        <v>70</v>
      </c>
      <c r="J1543" s="20" t="s">
        <v>25</v>
      </c>
      <c r="K1543" s="20" t="str">
        <f>IFERROR(INDEX('[2]PRICELIST, 908u'!$G$7:$AX$914,MATCH($B1543,'[2]PRICELIST, 908u'!$G$7:$G$914,0),30),"NA")</f>
        <v>Slant / GREEN</v>
      </c>
      <c r="L1543" s="20">
        <f>IFERROR(INDEX('[2]PRICELIST, 908u'!$G$7:$AX$914,MATCH($B1543,'[2]PRICELIST, 908u'!$G$7:$G$914,0),40),"NA")</f>
        <v>2850000</v>
      </c>
      <c r="M1543" s="20">
        <f>IFERROR(INDEX('[2]PRICELIST, 908u'!$G$7:$AX$914,MATCH($B1543,'[2]PRICELIST, 908u'!$G$7:$G$914,0),41),"NA")</f>
        <v>100000</v>
      </c>
      <c r="N1543" s="58">
        <f t="shared" si="76"/>
        <v>2750000</v>
      </c>
      <c r="O1543" s="60"/>
      <c r="P1543" s="60">
        <f t="shared" si="75"/>
        <v>2750000</v>
      </c>
    </row>
    <row r="1544" spans="2:16">
      <c r="B1544" s="20" t="s">
        <v>1695</v>
      </c>
      <c r="C1544" s="20" t="s">
        <v>2</v>
      </c>
      <c r="D1544" s="20" t="str">
        <f>IFERROR(INDEX('[2]PRICELIST, 908u'!$G$7:$AX$914,MATCH($B1544,'[2]PRICELIST, 908u'!$G$7:$G$914,0),18),"NA")</f>
        <v>2024 Batch</v>
      </c>
      <c r="E1544" s="20" t="str">
        <f>IFERROR(INDEX([3]AGM!$D$21:$BL$928,MATCH($B1544,[3]AGM!$AD$21:$AD$928,0),1),"NA")</f>
        <v>OS</v>
      </c>
      <c r="F1544" s="20" t="str">
        <f t="shared" si="74"/>
        <v>Block 29</v>
      </c>
      <c r="G1544" s="20" t="str">
        <f t="shared" si="73"/>
        <v>Lot 31</v>
      </c>
      <c r="H1544" s="20">
        <f>IFERROR(INDEX('[2]PRICELIST, 908u'!$G$7:$AX$914,MATCH($B1544,'[2]PRICELIST, 908u'!$G$7:$G$914,0),23),"NA")</f>
        <v>50</v>
      </c>
      <c r="I1544" s="20">
        <f>IFERROR(INDEX('[2]PRICELIST, 908u'!$G$7:$AX$914,MATCH($B1544,'[2]PRICELIST, 908u'!$G$7:$G$914,0),22),"NA")</f>
        <v>70</v>
      </c>
      <c r="J1544" s="20" t="s">
        <v>25</v>
      </c>
      <c r="K1544" s="20" t="str">
        <f>IFERROR(INDEX('[2]PRICELIST, 908u'!$G$7:$AX$914,MATCH($B1544,'[2]PRICELIST, 908u'!$G$7:$G$914,0),30),"NA")</f>
        <v>Slant / YELLOW</v>
      </c>
      <c r="L1544" s="20">
        <f>IFERROR(INDEX('[2]PRICELIST, 908u'!$G$7:$AX$914,MATCH($B1544,'[2]PRICELIST, 908u'!$G$7:$G$914,0),40),"NA")</f>
        <v>2850000</v>
      </c>
      <c r="M1544" s="20">
        <f>IFERROR(INDEX('[2]PRICELIST, 908u'!$G$7:$AX$914,MATCH($B1544,'[2]PRICELIST, 908u'!$G$7:$G$914,0),41),"NA")</f>
        <v>100000</v>
      </c>
      <c r="N1544" s="58">
        <f t="shared" si="76"/>
        <v>2750000</v>
      </c>
      <c r="O1544" s="60"/>
      <c r="P1544" s="60">
        <f t="shared" si="75"/>
        <v>2750000</v>
      </c>
    </row>
    <row r="1545" spans="2:16">
      <c r="B1545" s="20" t="s">
        <v>1696</v>
      </c>
      <c r="C1545" s="20" t="s">
        <v>2</v>
      </c>
      <c r="D1545" s="20" t="str">
        <f>IFERROR(INDEX('[2]PRICELIST, 908u'!$G$7:$AX$914,MATCH($B1545,'[2]PRICELIST, 908u'!$G$7:$G$914,0),18),"NA")</f>
        <v>2024 Batch</v>
      </c>
      <c r="E1545" s="20" t="str">
        <f>IFERROR(INDEX([3]AGM!$D$21:$BL$928,MATCH($B1545,[3]AGM!$AD$21:$AD$928,0),1),"NA")</f>
        <v>HOLD</v>
      </c>
      <c r="F1545" s="20" t="str">
        <f t="shared" si="74"/>
        <v>Block 29</v>
      </c>
      <c r="G1545" s="20" t="str">
        <f t="shared" si="73"/>
        <v>Lot 32</v>
      </c>
      <c r="H1545" s="20">
        <f>IFERROR(INDEX('[2]PRICELIST, 908u'!$G$7:$AX$914,MATCH($B1545,'[2]PRICELIST, 908u'!$G$7:$G$914,0),23),"NA")</f>
        <v>50</v>
      </c>
      <c r="I1545" s="20">
        <f>IFERROR(INDEX('[2]PRICELIST, 908u'!$G$7:$AX$914,MATCH($B1545,'[2]PRICELIST, 908u'!$G$7:$G$914,0),22),"NA")</f>
        <v>70</v>
      </c>
      <c r="J1545" s="20" t="s">
        <v>25</v>
      </c>
      <c r="K1545" s="20" t="str">
        <f>IFERROR(INDEX('[2]PRICELIST, 908u'!$G$7:$AX$914,MATCH($B1545,'[2]PRICELIST, 908u'!$G$7:$G$914,0),30),"NA")</f>
        <v>Flat / YELLOW</v>
      </c>
      <c r="L1545" s="20">
        <f>IFERROR(INDEX('[2]PRICELIST, 908u'!$G$7:$AX$914,MATCH($B1545,'[2]PRICELIST, 908u'!$G$7:$G$914,0),40),"NA")</f>
        <v>2850000</v>
      </c>
      <c r="M1545" s="20">
        <f>IFERROR(INDEX('[2]PRICELIST, 908u'!$G$7:$AX$914,MATCH($B1545,'[2]PRICELIST, 908u'!$G$7:$G$914,0),41),"NA")</f>
        <v>100000</v>
      </c>
      <c r="N1545" s="58">
        <f t="shared" si="76"/>
        <v>2750000</v>
      </c>
      <c r="O1545" s="60"/>
      <c r="P1545" s="60">
        <f t="shared" si="75"/>
        <v>2750000</v>
      </c>
    </row>
    <row r="1546" spans="2:16">
      <c r="B1546" s="20" t="s">
        <v>1697</v>
      </c>
      <c r="C1546" s="20" t="s">
        <v>2</v>
      </c>
      <c r="D1546" s="20" t="str">
        <f>IFERROR(INDEX('[2]PRICELIST, 908u'!$G$7:$AX$914,MATCH($B1546,'[2]PRICELIST, 908u'!$G$7:$G$914,0),18),"NA")</f>
        <v>2024 Batch</v>
      </c>
      <c r="E1546" s="20" t="str">
        <f>IFERROR(INDEX([3]AGM!$D$21:$BL$928,MATCH($B1546,[3]AGM!$AD$21:$AD$928,0),1),"NA")</f>
        <v>OS</v>
      </c>
      <c r="F1546" s="20" t="str">
        <f t="shared" si="74"/>
        <v>Block 29</v>
      </c>
      <c r="G1546" s="20" t="str">
        <f t="shared" si="73"/>
        <v>Lot 33</v>
      </c>
      <c r="H1546" s="20">
        <f>IFERROR(INDEX('[2]PRICELIST, 908u'!$G$7:$AX$914,MATCH($B1546,'[2]PRICELIST, 908u'!$G$7:$G$914,0),23),"NA")</f>
        <v>50</v>
      </c>
      <c r="I1546" s="20">
        <f>IFERROR(INDEX('[2]PRICELIST, 908u'!$G$7:$AX$914,MATCH($B1546,'[2]PRICELIST, 908u'!$G$7:$G$914,0),22),"NA")</f>
        <v>70</v>
      </c>
      <c r="J1546" s="20" t="s">
        <v>25</v>
      </c>
      <c r="K1546" s="20" t="str">
        <f>IFERROR(INDEX('[2]PRICELIST, 908u'!$G$7:$AX$914,MATCH($B1546,'[2]PRICELIST, 908u'!$G$7:$G$914,0),30),"NA")</f>
        <v>Flat / YELLOW</v>
      </c>
      <c r="L1546" s="20">
        <f>IFERROR(INDEX('[2]PRICELIST, 908u'!$G$7:$AX$914,MATCH($B1546,'[2]PRICELIST, 908u'!$G$7:$G$914,0),40),"NA")</f>
        <v>2850000</v>
      </c>
      <c r="M1546" s="20">
        <f>IFERROR(INDEX('[2]PRICELIST, 908u'!$G$7:$AX$914,MATCH($B1546,'[2]PRICELIST, 908u'!$G$7:$G$914,0),41),"NA")</f>
        <v>100000</v>
      </c>
      <c r="N1546" s="58">
        <f t="shared" si="76"/>
        <v>2750000</v>
      </c>
      <c r="O1546" s="60"/>
      <c r="P1546" s="60">
        <f t="shared" si="75"/>
        <v>2750000</v>
      </c>
    </row>
    <row r="1547" spans="2:16">
      <c r="B1547" s="20" t="s">
        <v>1698</v>
      </c>
      <c r="C1547" s="20" t="s">
        <v>2</v>
      </c>
      <c r="D1547" s="20" t="str">
        <f>IFERROR(INDEX('[2]PRICELIST, 908u'!$G$7:$AX$914,MATCH($B1547,'[2]PRICELIST, 908u'!$G$7:$G$914,0),18),"NA")</f>
        <v>2024 Batch</v>
      </c>
      <c r="E1547" s="20" t="str">
        <f>IFERROR(INDEX([3]AGM!$D$21:$BL$928,MATCH($B1547,[3]AGM!$AD$21:$AD$928,0),1),"NA")</f>
        <v>OS</v>
      </c>
      <c r="F1547" s="20" t="str">
        <f t="shared" si="74"/>
        <v>Block 29</v>
      </c>
      <c r="G1547" s="20" t="str">
        <f t="shared" si="73"/>
        <v>Lot 34</v>
      </c>
      <c r="H1547" s="20">
        <f>IFERROR(INDEX('[2]PRICELIST, 908u'!$G$7:$AX$914,MATCH($B1547,'[2]PRICELIST, 908u'!$G$7:$G$914,0),23),"NA")</f>
        <v>50</v>
      </c>
      <c r="I1547" s="20">
        <f>IFERROR(INDEX('[2]PRICELIST, 908u'!$G$7:$AX$914,MATCH($B1547,'[2]PRICELIST, 908u'!$G$7:$G$914,0),22),"NA")</f>
        <v>70</v>
      </c>
      <c r="J1547" s="20" t="s">
        <v>25</v>
      </c>
      <c r="K1547" s="20" t="str">
        <f>IFERROR(INDEX('[2]PRICELIST, 908u'!$G$7:$AX$914,MATCH($B1547,'[2]PRICELIST, 908u'!$G$7:$G$914,0),30),"NA")</f>
        <v>Slant / YELLOW</v>
      </c>
      <c r="L1547" s="20">
        <f>IFERROR(INDEX('[2]PRICELIST, 908u'!$G$7:$AX$914,MATCH($B1547,'[2]PRICELIST, 908u'!$G$7:$G$914,0),40),"NA")</f>
        <v>2850000</v>
      </c>
      <c r="M1547" s="20">
        <f>IFERROR(INDEX('[2]PRICELIST, 908u'!$G$7:$AX$914,MATCH($B1547,'[2]PRICELIST, 908u'!$G$7:$G$914,0),41),"NA")</f>
        <v>100000</v>
      </c>
      <c r="N1547" s="58">
        <f t="shared" si="76"/>
        <v>2750000</v>
      </c>
      <c r="O1547" s="60"/>
      <c r="P1547" s="60">
        <f t="shared" si="75"/>
        <v>2750000</v>
      </c>
    </row>
    <row r="1548" spans="2:16">
      <c r="B1548" s="20" t="s">
        <v>1699</v>
      </c>
      <c r="C1548" s="20" t="s">
        <v>2</v>
      </c>
      <c r="D1548" s="20" t="str">
        <f>IFERROR(INDEX('[2]PRICELIST, 908u'!$G$7:$AX$914,MATCH($B1548,'[2]PRICELIST, 908u'!$G$7:$G$914,0),18),"NA")</f>
        <v>2024 Batch</v>
      </c>
      <c r="E1548" s="20" t="str">
        <f>IFERROR(INDEX([3]AGM!$D$21:$BL$928,MATCH($B1548,[3]AGM!$AD$21:$AD$928,0),1),"NA")</f>
        <v>OS</v>
      </c>
      <c r="F1548" s="20" t="str">
        <f t="shared" si="74"/>
        <v>Block 29</v>
      </c>
      <c r="G1548" s="20" t="str">
        <f t="shared" si="73"/>
        <v>Lot 35</v>
      </c>
      <c r="H1548" s="20">
        <f>IFERROR(INDEX('[2]PRICELIST, 908u'!$G$7:$AX$914,MATCH($B1548,'[2]PRICELIST, 908u'!$G$7:$G$914,0),23),"NA")</f>
        <v>50</v>
      </c>
      <c r="I1548" s="20">
        <f>IFERROR(INDEX('[2]PRICELIST, 908u'!$G$7:$AX$914,MATCH($B1548,'[2]PRICELIST, 908u'!$G$7:$G$914,0),22),"NA")</f>
        <v>70</v>
      </c>
      <c r="J1548" s="20" t="s">
        <v>25</v>
      </c>
      <c r="K1548" s="20" t="str">
        <f>IFERROR(INDEX('[2]PRICELIST, 908u'!$G$7:$AX$914,MATCH($B1548,'[2]PRICELIST, 908u'!$G$7:$G$914,0),30),"NA")</f>
        <v>Slant / PINK</v>
      </c>
      <c r="L1548" s="20">
        <f>IFERROR(INDEX('[2]PRICELIST, 908u'!$G$7:$AX$914,MATCH($B1548,'[2]PRICELIST, 908u'!$G$7:$G$914,0),40),"NA")</f>
        <v>2850000</v>
      </c>
      <c r="M1548" s="20">
        <f>IFERROR(INDEX('[2]PRICELIST, 908u'!$G$7:$AX$914,MATCH($B1548,'[2]PRICELIST, 908u'!$G$7:$G$914,0),41),"NA")</f>
        <v>100000</v>
      </c>
      <c r="N1548" s="58">
        <f t="shared" si="76"/>
        <v>2750000</v>
      </c>
      <c r="O1548" s="60"/>
      <c r="P1548" s="60">
        <f t="shared" si="75"/>
        <v>2750000</v>
      </c>
    </row>
    <row r="1549" spans="2:16">
      <c r="B1549" s="20" t="s">
        <v>1700</v>
      </c>
      <c r="C1549" s="20" t="s">
        <v>2</v>
      </c>
      <c r="D1549" s="20" t="str">
        <f>IFERROR(INDEX('[2]PRICELIST, 908u'!$G$7:$AX$914,MATCH($B1549,'[2]PRICELIST, 908u'!$G$7:$G$914,0),18),"NA")</f>
        <v>2024 Batch</v>
      </c>
      <c r="E1549" s="20" t="str">
        <f>IFERROR(INDEX([3]AGM!$D$21:$BL$928,MATCH($B1549,[3]AGM!$AD$21:$AD$928,0),1),"NA")</f>
        <v>TS</v>
      </c>
      <c r="F1549" s="20" t="str">
        <f t="shared" si="74"/>
        <v>Block 29</v>
      </c>
      <c r="G1549" s="20" t="str">
        <f t="shared" si="73"/>
        <v>Lot 36</v>
      </c>
      <c r="H1549" s="20">
        <f>IFERROR(INDEX('[2]PRICELIST, 908u'!$G$7:$AX$914,MATCH($B1549,'[2]PRICELIST, 908u'!$G$7:$G$914,0),23),"NA")</f>
        <v>50</v>
      </c>
      <c r="I1549" s="20">
        <f>IFERROR(INDEX('[2]PRICELIST, 908u'!$G$7:$AX$914,MATCH($B1549,'[2]PRICELIST, 908u'!$G$7:$G$914,0),22),"NA")</f>
        <v>105</v>
      </c>
      <c r="J1549" s="20" t="s">
        <v>25</v>
      </c>
      <c r="K1549" s="20" t="str">
        <f>IFERROR(INDEX('[2]PRICELIST, 908u'!$G$7:$AX$914,MATCH($B1549,'[2]PRICELIST, 908u'!$G$7:$G$914,0),30),"NA")</f>
        <v>Flat / PINK</v>
      </c>
      <c r="L1549" s="20">
        <f>IFERROR(INDEX('[2]PRICELIST, 908u'!$G$7:$AX$914,MATCH($B1549,'[2]PRICELIST, 908u'!$G$7:$G$914,0),40),"NA")</f>
        <v>3375000</v>
      </c>
      <c r="M1549" s="20">
        <f>IFERROR(INDEX('[2]PRICELIST, 908u'!$G$7:$AX$914,MATCH($B1549,'[2]PRICELIST, 908u'!$G$7:$G$914,0),41),"NA")</f>
        <v>100000</v>
      </c>
      <c r="N1549" s="58">
        <f t="shared" si="76"/>
        <v>3275000</v>
      </c>
      <c r="O1549" s="60"/>
      <c r="P1549" s="60">
        <f t="shared" si="75"/>
        <v>3275000</v>
      </c>
    </row>
    <row r="1550" spans="2:16">
      <c r="B1550" s="20" t="s">
        <v>1701</v>
      </c>
      <c r="C1550" s="20" t="s">
        <v>2</v>
      </c>
      <c r="D1550" s="20" t="str">
        <f>IFERROR(INDEX('[2]PRICELIST, 908u'!$G$7:$AX$914,MATCH($B1550,'[2]PRICELIST, 908u'!$G$7:$G$914,0),18),"NA")</f>
        <v>2025 - Batch 6</v>
      </c>
      <c r="E1550" s="20" t="str">
        <f>IFERROR(INDEX([3]AGM!$D$21:$BL$928,MATCH($B1550,[3]AGM!$AD$21:$AD$928,0),1),"NA")</f>
        <v>OS</v>
      </c>
      <c r="F1550" s="20" t="str">
        <f t="shared" si="74"/>
        <v>Block 30</v>
      </c>
      <c r="G1550" s="20" t="str">
        <f t="shared" si="73"/>
        <v>Lot 01</v>
      </c>
      <c r="H1550" s="20">
        <f>IFERROR(INDEX('[2]PRICELIST, 908u'!$G$7:$AX$914,MATCH($B1550,'[2]PRICELIST, 908u'!$G$7:$G$914,0),23),"NA")</f>
        <v>50</v>
      </c>
      <c r="I1550" s="20">
        <f>IFERROR(INDEX('[2]PRICELIST, 908u'!$G$7:$AX$914,MATCH($B1550,'[2]PRICELIST, 908u'!$G$7:$G$914,0),22),"NA")</f>
        <v>70</v>
      </c>
      <c r="J1550" s="20" t="s">
        <v>207</v>
      </c>
      <c r="K1550" s="20" t="str">
        <f>IFERROR(INDEX('[2]PRICELIST, 908u'!$G$7:$AX$914,MATCH($B1550,'[2]PRICELIST, 908u'!$G$7:$G$914,0),30),"NA")</f>
        <v>Slant / PINK</v>
      </c>
      <c r="L1550" s="20">
        <f>IFERROR(INDEX('[2]PRICELIST, 908u'!$G$7:$AX$914,MATCH($B1550,'[2]PRICELIST, 908u'!$G$7:$G$914,0),40),"NA")</f>
        <v>2650000</v>
      </c>
      <c r="M1550" s="20">
        <f>IFERROR(INDEX('[2]PRICELIST, 908u'!$G$7:$AX$914,MATCH($B1550,'[2]PRICELIST, 908u'!$G$7:$G$914,0),41),"NA")</f>
        <v>100000</v>
      </c>
      <c r="N1550" s="58">
        <f t="shared" si="76"/>
        <v>2550000</v>
      </c>
      <c r="O1550" s="60"/>
      <c r="P1550" s="60">
        <f t="shared" si="75"/>
        <v>2550000</v>
      </c>
    </row>
    <row r="1551" spans="2:16">
      <c r="B1551" s="20" t="s">
        <v>1702</v>
      </c>
      <c r="C1551" s="20" t="s">
        <v>2</v>
      </c>
      <c r="D1551" s="20" t="str">
        <f>IFERROR(INDEX('[2]PRICELIST, 908u'!$G$7:$AX$914,MATCH($B1551,'[2]PRICELIST, 908u'!$G$7:$G$914,0),18),"NA")</f>
        <v>2025 - Batch 6</v>
      </c>
      <c r="E1551" s="20" t="str">
        <f>IFERROR(INDEX([3]AGM!$D$21:$BL$928,MATCH($B1551,[3]AGM!$AD$21:$AD$928,0),1),"NA")</f>
        <v>OS</v>
      </c>
      <c r="F1551" s="20" t="str">
        <f t="shared" si="74"/>
        <v>Block 30</v>
      </c>
      <c r="G1551" s="20" t="str">
        <f t="shared" si="73"/>
        <v>Lot 02</v>
      </c>
      <c r="H1551" s="20">
        <f>IFERROR(INDEX('[2]PRICELIST, 908u'!$G$7:$AX$914,MATCH($B1551,'[2]PRICELIST, 908u'!$G$7:$G$914,0),23),"NA")</f>
        <v>50</v>
      </c>
      <c r="I1551" s="20">
        <f>IFERROR(INDEX('[2]PRICELIST, 908u'!$G$7:$AX$914,MATCH($B1551,'[2]PRICELIST, 908u'!$G$7:$G$914,0),22),"NA")</f>
        <v>70</v>
      </c>
      <c r="J1551" s="20" t="s">
        <v>207</v>
      </c>
      <c r="K1551" s="20" t="str">
        <f>IFERROR(INDEX('[2]PRICELIST, 908u'!$G$7:$AX$914,MATCH($B1551,'[2]PRICELIST, 908u'!$G$7:$G$914,0),30),"NA")</f>
        <v>Flat / PINK</v>
      </c>
      <c r="L1551" s="20">
        <f>IFERROR(INDEX('[2]PRICELIST, 908u'!$G$7:$AX$914,MATCH($B1551,'[2]PRICELIST, 908u'!$G$7:$G$914,0),40),"NA")</f>
        <v>2650000</v>
      </c>
      <c r="M1551" s="20">
        <f>IFERROR(INDEX('[2]PRICELIST, 908u'!$G$7:$AX$914,MATCH($B1551,'[2]PRICELIST, 908u'!$G$7:$G$914,0),41),"NA")</f>
        <v>100000</v>
      </c>
      <c r="N1551" s="58">
        <f t="shared" si="76"/>
        <v>2550000</v>
      </c>
      <c r="O1551" s="60"/>
      <c r="P1551" s="60">
        <f t="shared" si="75"/>
        <v>2550000</v>
      </c>
    </row>
    <row r="1552" spans="2:16">
      <c r="B1552" s="20" t="s">
        <v>1703</v>
      </c>
      <c r="C1552" s="20" t="s">
        <v>2</v>
      </c>
      <c r="D1552" s="20" t="str">
        <f>IFERROR(INDEX('[2]PRICELIST, 908u'!$G$7:$AX$914,MATCH($B1552,'[2]PRICELIST, 908u'!$G$7:$G$914,0),18),"NA")</f>
        <v>2025 - Batch 6</v>
      </c>
      <c r="E1552" s="20" t="str">
        <f>IFERROR(INDEX([3]AGM!$D$21:$BL$928,MATCH($B1552,[3]AGM!$AD$21:$AD$928,0),1),"NA")</f>
        <v>OS</v>
      </c>
      <c r="F1552" s="20" t="str">
        <f t="shared" si="74"/>
        <v>Block 30</v>
      </c>
      <c r="G1552" s="20" t="str">
        <f t="shared" si="73"/>
        <v>Lot 03</v>
      </c>
      <c r="H1552" s="20">
        <f>IFERROR(INDEX('[2]PRICELIST, 908u'!$G$7:$AX$914,MATCH($B1552,'[2]PRICELIST, 908u'!$G$7:$G$914,0),23),"NA")</f>
        <v>50</v>
      </c>
      <c r="I1552" s="20">
        <f>IFERROR(INDEX('[2]PRICELIST, 908u'!$G$7:$AX$914,MATCH($B1552,'[2]PRICELIST, 908u'!$G$7:$G$914,0),22),"NA")</f>
        <v>70</v>
      </c>
      <c r="J1552" s="20" t="s">
        <v>207</v>
      </c>
      <c r="K1552" s="20" t="str">
        <f>IFERROR(INDEX('[2]PRICELIST, 908u'!$G$7:$AX$914,MATCH($B1552,'[2]PRICELIST, 908u'!$G$7:$G$914,0),30),"NA")</f>
        <v>Flat / PINK</v>
      </c>
      <c r="L1552" s="20">
        <f>IFERROR(INDEX('[2]PRICELIST, 908u'!$G$7:$AX$914,MATCH($B1552,'[2]PRICELIST, 908u'!$G$7:$G$914,0),40),"NA")</f>
        <v>2650000</v>
      </c>
      <c r="M1552" s="20">
        <f>IFERROR(INDEX('[2]PRICELIST, 908u'!$G$7:$AX$914,MATCH($B1552,'[2]PRICELIST, 908u'!$G$7:$G$914,0),41),"NA")</f>
        <v>100000</v>
      </c>
      <c r="N1552" s="58">
        <f t="shared" si="76"/>
        <v>2550000</v>
      </c>
      <c r="O1552" s="60"/>
      <c r="P1552" s="60">
        <f t="shared" si="75"/>
        <v>2550000</v>
      </c>
    </row>
    <row r="1553" spans="2:16">
      <c r="B1553" s="20" t="s">
        <v>1704</v>
      </c>
      <c r="C1553" s="20" t="s">
        <v>2</v>
      </c>
      <c r="D1553" s="20" t="str">
        <f>IFERROR(INDEX('[2]PRICELIST, 908u'!$G$7:$AX$914,MATCH($B1553,'[2]PRICELIST, 908u'!$G$7:$G$914,0),18),"NA")</f>
        <v>2025 - Batch 6</v>
      </c>
      <c r="E1553" s="20" t="str">
        <f>IFERROR(INDEX([3]AGM!$D$21:$BL$928,MATCH($B1553,[3]AGM!$AD$21:$AD$928,0),1),"NA")</f>
        <v>OS</v>
      </c>
      <c r="F1553" s="20" t="str">
        <f t="shared" si="74"/>
        <v>Block 30</v>
      </c>
      <c r="G1553" s="20" t="str">
        <f t="shared" si="73"/>
        <v>Lot 04</v>
      </c>
      <c r="H1553" s="20">
        <f>IFERROR(INDEX('[2]PRICELIST, 908u'!$G$7:$AX$914,MATCH($B1553,'[2]PRICELIST, 908u'!$G$7:$G$914,0),23),"NA")</f>
        <v>50</v>
      </c>
      <c r="I1553" s="20">
        <f>IFERROR(INDEX('[2]PRICELIST, 908u'!$G$7:$AX$914,MATCH($B1553,'[2]PRICELIST, 908u'!$G$7:$G$914,0),22),"NA")</f>
        <v>70</v>
      </c>
      <c r="J1553" s="20" t="s">
        <v>207</v>
      </c>
      <c r="K1553" s="20" t="str">
        <f>IFERROR(INDEX('[2]PRICELIST, 908u'!$G$7:$AX$914,MATCH($B1553,'[2]PRICELIST, 908u'!$G$7:$G$914,0),30),"NA")</f>
        <v>Slant / PINK</v>
      </c>
      <c r="L1553" s="20">
        <f>IFERROR(INDEX('[2]PRICELIST, 908u'!$G$7:$AX$914,MATCH($B1553,'[2]PRICELIST, 908u'!$G$7:$G$914,0),40),"NA")</f>
        <v>2650000</v>
      </c>
      <c r="M1553" s="20">
        <f>IFERROR(INDEX('[2]PRICELIST, 908u'!$G$7:$AX$914,MATCH($B1553,'[2]PRICELIST, 908u'!$G$7:$G$914,0),41),"NA")</f>
        <v>100000</v>
      </c>
      <c r="N1553" s="58">
        <f t="shared" si="76"/>
        <v>2550000</v>
      </c>
      <c r="O1553" s="60"/>
      <c r="P1553" s="60">
        <f t="shared" si="75"/>
        <v>2550000</v>
      </c>
    </row>
    <row r="1554" spans="2:16">
      <c r="B1554" s="20" t="s">
        <v>1705</v>
      </c>
      <c r="C1554" s="20" t="s">
        <v>2</v>
      </c>
      <c r="D1554" s="20" t="str">
        <f>IFERROR(INDEX('[2]PRICELIST, 908u'!$G$7:$AX$914,MATCH($B1554,'[2]PRICELIST, 908u'!$G$7:$G$914,0),18),"NA")</f>
        <v>2025 - Batch 6</v>
      </c>
      <c r="E1554" s="20" t="str">
        <f>IFERROR(INDEX([3]AGM!$D$21:$BL$928,MATCH($B1554,[3]AGM!$AD$21:$AD$928,0),1),"NA")</f>
        <v>OS</v>
      </c>
      <c r="F1554" s="20" t="str">
        <f t="shared" si="74"/>
        <v>Block 30</v>
      </c>
      <c r="G1554" s="20" t="str">
        <f t="shared" si="73"/>
        <v>Lot 05</v>
      </c>
      <c r="H1554" s="20">
        <f>IFERROR(INDEX('[2]PRICELIST, 908u'!$G$7:$AX$914,MATCH($B1554,'[2]PRICELIST, 908u'!$G$7:$G$914,0),23),"NA")</f>
        <v>50</v>
      </c>
      <c r="I1554" s="20">
        <f>IFERROR(INDEX('[2]PRICELIST, 908u'!$G$7:$AX$914,MATCH($B1554,'[2]PRICELIST, 908u'!$G$7:$G$914,0),22),"NA")</f>
        <v>70</v>
      </c>
      <c r="J1554" s="20" t="s">
        <v>207</v>
      </c>
      <c r="K1554" s="20" t="str">
        <f>IFERROR(INDEX('[2]PRICELIST, 908u'!$G$7:$AX$914,MATCH($B1554,'[2]PRICELIST, 908u'!$G$7:$G$914,0),30),"NA")</f>
        <v>Slant / YELLOW</v>
      </c>
      <c r="L1554" s="20">
        <f>IFERROR(INDEX('[2]PRICELIST, 908u'!$G$7:$AX$914,MATCH($B1554,'[2]PRICELIST, 908u'!$G$7:$G$914,0),40),"NA")</f>
        <v>2650000</v>
      </c>
      <c r="M1554" s="20">
        <f>IFERROR(INDEX('[2]PRICELIST, 908u'!$G$7:$AX$914,MATCH($B1554,'[2]PRICELIST, 908u'!$G$7:$G$914,0),41),"NA")</f>
        <v>100000</v>
      </c>
      <c r="N1554" s="58">
        <f t="shared" si="76"/>
        <v>2550000</v>
      </c>
      <c r="O1554" s="60"/>
      <c r="P1554" s="60">
        <f t="shared" si="75"/>
        <v>2550000</v>
      </c>
    </row>
    <row r="1555" spans="2:16">
      <c r="B1555" s="20" t="s">
        <v>1706</v>
      </c>
      <c r="C1555" s="20" t="s">
        <v>2</v>
      </c>
      <c r="D1555" s="20" t="str">
        <f>IFERROR(INDEX('[2]PRICELIST, 908u'!$G$7:$AX$914,MATCH($B1555,'[2]PRICELIST, 908u'!$G$7:$G$914,0),18),"NA")</f>
        <v>2025 - Batch 6</v>
      </c>
      <c r="E1555" s="20" t="str">
        <f>IFERROR(INDEX([3]AGM!$D$21:$BL$928,MATCH($B1555,[3]AGM!$AD$21:$AD$928,0),1),"NA")</f>
        <v>OS</v>
      </c>
      <c r="F1555" s="20" t="str">
        <f t="shared" si="74"/>
        <v>Block 30</v>
      </c>
      <c r="G1555" s="20" t="str">
        <f t="shared" si="73"/>
        <v>Lot 06</v>
      </c>
      <c r="H1555" s="20">
        <f>IFERROR(INDEX('[2]PRICELIST, 908u'!$G$7:$AX$914,MATCH($B1555,'[2]PRICELIST, 908u'!$G$7:$G$914,0),23),"NA")</f>
        <v>50</v>
      </c>
      <c r="I1555" s="20">
        <f>IFERROR(INDEX('[2]PRICELIST, 908u'!$G$7:$AX$914,MATCH($B1555,'[2]PRICELIST, 908u'!$G$7:$G$914,0),22),"NA")</f>
        <v>70</v>
      </c>
      <c r="J1555" s="20" t="s">
        <v>207</v>
      </c>
      <c r="K1555" s="20" t="str">
        <f>IFERROR(INDEX('[2]PRICELIST, 908u'!$G$7:$AX$914,MATCH($B1555,'[2]PRICELIST, 908u'!$G$7:$G$914,0),30),"NA")</f>
        <v>Flat / YELLOW</v>
      </c>
      <c r="L1555" s="20">
        <f>IFERROR(INDEX('[2]PRICELIST, 908u'!$G$7:$AX$914,MATCH($B1555,'[2]PRICELIST, 908u'!$G$7:$G$914,0),40),"NA")</f>
        <v>2650000</v>
      </c>
      <c r="M1555" s="20">
        <f>IFERROR(INDEX('[2]PRICELIST, 908u'!$G$7:$AX$914,MATCH($B1555,'[2]PRICELIST, 908u'!$G$7:$G$914,0),41),"NA")</f>
        <v>100000</v>
      </c>
      <c r="N1555" s="58">
        <f t="shared" si="76"/>
        <v>2550000</v>
      </c>
      <c r="O1555" s="60"/>
      <c r="P1555" s="60">
        <f t="shared" si="75"/>
        <v>2550000</v>
      </c>
    </row>
    <row r="1556" spans="2:16">
      <c r="B1556" s="20" t="s">
        <v>1707</v>
      </c>
      <c r="C1556" s="20" t="s">
        <v>2</v>
      </c>
      <c r="D1556" s="20" t="str">
        <f>IFERROR(INDEX('[2]PRICELIST, 908u'!$G$7:$AX$914,MATCH($B1556,'[2]PRICELIST, 908u'!$G$7:$G$914,0),18),"NA")</f>
        <v>2025 - Batch 6</v>
      </c>
      <c r="E1556" s="20" t="str">
        <f>IFERROR(INDEX([3]AGM!$D$21:$BL$928,MATCH($B1556,[3]AGM!$AD$21:$AD$928,0),1),"NA")</f>
        <v>TS</v>
      </c>
      <c r="F1556" s="20" t="str">
        <f t="shared" si="74"/>
        <v>Block 30</v>
      </c>
      <c r="G1556" s="20" t="str">
        <f t="shared" si="73"/>
        <v>Lot 07</v>
      </c>
      <c r="H1556" s="20">
        <f>IFERROR(INDEX('[2]PRICELIST, 908u'!$G$7:$AX$914,MATCH($B1556,'[2]PRICELIST, 908u'!$G$7:$G$914,0),23),"NA")</f>
        <v>50</v>
      </c>
      <c r="I1556" s="20">
        <f>IFERROR(INDEX('[2]PRICELIST, 908u'!$G$7:$AX$914,MATCH($B1556,'[2]PRICELIST, 908u'!$G$7:$G$914,0),22),"NA")</f>
        <v>90</v>
      </c>
      <c r="J1556" s="20" t="s">
        <v>207</v>
      </c>
      <c r="K1556" s="20" t="str">
        <f>IFERROR(INDEX('[2]PRICELIST, 908u'!$G$7:$AX$914,MATCH($B1556,'[2]PRICELIST, 908u'!$G$7:$G$914,0),30),"NA")</f>
        <v>Flat / YELLOW</v>
      </c>
      <c r="L1556" s="20">
        <f>IFERROR(INDEX('[2]PRICELIST, 908u'!$G$7:$AX$914,MATCH($B1556,'[2]PRICELIST, 908u'!$G$7:$G$914,0),40),"NA")</f>
        <v>2950000</v>
      </c>
      <c r="M1556" s="20">
        <f>IFERROR(INDEX('[2]PRICELIST, 908u'!$G$7:$AX$914,MATCH($B1556,'[2]PRICELIST, 908u'!$G$7:$G$914,0),41),"NA")</f>
        <v>100000</v>
      </c>
      <c r="N1556" s="58">
        <f t="shared" si="76"/>
        <v>2850000</v>
      </c>
      <c r="O1556" s="60"/>
      <c r="P1556" s="60">
        <f t="shared" si="75"/>
        <v>2850000</v>
      </c>
    </row>
    <row r="1557" spans="2:16">
      <c r="B1557" s="20" t="s">
        <v>1708</v>
      </c>
      <c r="C1557" s="20" t="s">
        <v>2</v>
      </c>
      <c r="D1557" s="20" t="str">
        <f>IFERROR(INDEX('[2]PRICELIST, 908u'!$G$7:$AX$914,MATCH($B1557,'[2]PRICELIST, 908u'!$G$7:$G$914,0),18),"NA")</f>
        <v>2025 - Batch 6</v>
      </c>
      <c r="E1557" s="20" t="str">
        <f>IFERROR(INDEX([3]AGM!$D$21:$BL$928,MATCH($B1557,[3]AGM!$AD$21:$AD$928,0),1),"NA")</f>
        <v>OS</v>
      </c>
      <c r="F1557" s="20" t="str">
        <f t="shared" si="74"/>
        <v>Block 30</v>
      </c>
      <c r="G1557" s="20" t="str">
        <f t="shared" si="73"/>
        <v>Lot 08</v>
      </c>
      <c r="H1557" s="20">
        <f>IFERROR(INDEX('[2]PRICELIST, 908u'!$G$7:$AX$914,MATCH($B1557,'[2]PRICELIST, 908u'!$G$7:$G$914,0),23),"NA")</f>
        <v>50</v>
      </c>
      <c r="I1557" s="20">
        <f>IFERROR(INDEX('[2]PRICELIST, 908u'!$G$7:$AX$914,MATCH($B1557,'[2]PRICELIST, 908u'!$G$7:$G$914,0),22),"NA")</f>
        <v>90</v>
      </c>
      <c r="J1557" s="20" t="s">
        <v>207</v>
      </c>
      <c r="K1557" s="20" t="str">
        <f>IFERROR(INDEX('[2]PRICELIST, 908u'!$G$7:$AX$914,MATCH($B1557,'[2]PRICELIST, 908u'!$G$7:$G$914,0),30),"NA")</f>
        <v>Slant / YELLOW</v>
      </c>
      <c r="L1557" s="20">
        <f>IFERROR(INDEX('[2]PRICELIST, 908u'!$G$7:$AX$914,MATCH($B1557,'[2]PRICELIST, 908u'!$G$7:$G$914,0),40),"NA")</f>
        <v>2950000</v>
      </c>
      <c r="M1557" s="20">
        <f>IFERROR(INDEX('[2]PRICELIST, 908u'!$G$7:$AX$914,MATCH($B1557,'[2]PRICELIST, 908u'!$G$7:$G$914,0),41),"NA")</f>
        <v>100000</v>
      </c>
      <c r="N1557" s="58">
        <f t="shared" si="76"/>
        <v>2850000</v>
      </c>
      <c r="O1557" s="60"/>
      <c r="P1557" s="60">
        <f t="shared" si="75"/>
        <v>2850000</v>
      </c>
    </row>
    <row r="1558" spans="2:16">
      <c r="B1558" s="20" t="s">
        <v>1709</v>
      </c>
      <c r="C1558" s="20" t="s">
        <v>2</v>
      </c>
      <c r="D1558" s="20" t="str">
        <f>IFERROR(INDEX('[2]PRICELIST, 908u'!$G$7:$AX$914,MATCH($B1558,'[2]PRICELIST, 908u'!$G$7:$G$914,0),18),"NA")</f>
        <v>2025 - Batch 6</v>
      </c>
      <c r="E1558" s="20" t="str">
        <f>IFERROR(INDEX([3]AGM!$D$21:$BL$928,MATCH($B1558,[3]AGM!$AD$21:$AD$928,0),1),"NA")</f>
        <v>OS</v>
      </c>
      <c r="F1558" s="20" t="str">
        <f t="shared" si="74"/>
        <v>Block 31</v>
      </c>
      <c r="G1558" s="20" t="str">
        <f t="shared" si="73"/>
        <v>Lot 01</v>
      </c>
      <c r="H1558" s="20">
        <f>IFERROR(INDEX('[2]PRICELIST, 908u'!$G$7:$AX$914,MATCH($B1558,'[2]PRICELIST, 908u'!$G$7:$G$914,0),23),"NA")</f>
        <v>50</v>
      </c>
      <c r="I1558" s="20">
        <f>IFERROR(INDEX('[2]PRICELIST, 908u'!$G$7:$AX$914,MATCH($B1558,'[2]PRICELIST, 908u'!$G$7:$G$914,0),22),"NA")</f>
        <v>70</v>
      </c>
      <c r="J1558" s="20" t="s">
        <v>207</v>
      </c>
      <c r="K1558" s="20" t="str">
        <f>IFERROR(INDEX('[2]PRICELIST, 908u'!$G$7:$AX$914,MATCH($B1558,'[2]PRICELIST, 908u'!$G$7:$G$914,0),30),"NA")</f>
        <v>Flat / GREEN</v>
      </c>
      <c r="L1558" s="20">
        <f>IFERROR(INDEX('[2]PRICELIST, 908u'!$G$7:$AX$914,MATCH($B1558,'[2]PRICELIST, 908u'!$G$7:$G$914,0),40),"NA")</f>
        <v>2650000</v>
      </c>
      <c r="M1558" s="20">
        <f>IFERROR(INDEX('[2]PRICELIST, 908u'!$G$7:$AX$914,MATCH($B1558,'[2]PRICELIST, 908u'!$G$7:$G$914,0),41),"NA")</f>
        <v>100000</v>
      </c>
      <c r="N1558" s="58">
        <f t="shared" si="76"/>
        <v>2550000</v>
      </c>
      <c r="O1558" s="60"/>
      <c r="P1558" s="60">
        <f t="shared" si="75"/>
        <v>2550000</v>
      </c>
    </row>
    <row r="1559" spans="2:16">
      <c r="B1559" s="20" t="s">
        <v>1710</v>
      </c>
      <c r="C1559" s="20" t="s">
        <v>2</v>
      </c>
      <c r="D1559" s="20" t="str">
        <f>IFERROR(INDEX('[2]PRICELIST, 908u'!$G$7:$AX$914,MATCH($B1559,'[2]PRICELIST, 908u'!$G$7:$G$914,0),18),"NA")</f>
        <v>2025 - Batch 6</v>
      </c>
      <c r="E1559" s="20" t="str">
        <f>IFERROR(INDEX([3]AGM!$D$21:$BL$928,MATCH($B1559,[3]AGM!$AD$21:$AD$928,0),1),"NA")</f>
        <v>OS</v>
      </c>
      <c r="F1559" s="20" t="str">
        <f t="shared" si="74"/>
        <v>Block 31</v>
      </c>
      <c r="G1559" s="20" t="str">
        <f t="shared" si="73"/>
        <v>Lot 02</v>
      </c>
      <c r="H1559" s="20">
        <f>IFERROR(INDEX('[2]PRICELIST, 908u'!$G$7:$AX$914,MATCH($B1559,'[2]PRICELIST, 908u'!$G$7:$G$914,0),23),"NA")</f>
        <v>50</v>
      </c>
      <c r="I1559" s="20">
        <f>IFERROR(INDEX('[2]PRICELIST, 908u'!$G$7:$AX$914,MATCH($B1559,'[2]PRICELIST, 908u'!$G$7:$G$914,0),22),"NA")</f>
        <v>70</v>
      </c>
      <c r="J1559" s="20" t="s">
        <v>207</v>
      </c>
      <c r="K1559" s="20" t="str">
        <f>IFERROR(INDEX('[2]PRICELIST, 908u'!$G$7:$AX$914,MATCH($B1559,'[2]PRICELIST, 908u'!$G$7:$G$914,0),30),"NA")</f>
        <v>Slant / GREEN</v>
      </c>
      <c r="L1559" s="20">
        <f>IFERROR(INDEX('[2]PRICELIST, 908u'!$G$7:$AX$914,MATCH($B1559,'[2]PRICELIST, 908u'!$G$7:$G$914,0),40),"NA")</f>
        <v>2650000</v>
      </c>
      <c r="M1559" s="20">
        <f>IFERROR(INDEX('[2]PRICELIST, 908u'!$G$7:$AX$914,MATCH($B1559,'[2]PRICELIST, 908u'!$G$7:$G$914,0),41),"NA")</f>
        <v>100000</v>
      </c>
      <c r="N1559" s="58">
        <f t="shared" si="76"/>
        <v>2550000</v>
      </c>
      <c r="O1559" s="60"/>
      <c r="P1559" s="60">
        <f t="shared" si="75"/>
        <v>2550000</v>
      </c>
    </row>
    <row r="1560" spans="2:16">
      <c r="B1560" s="20" t="s">
        <v>1711</v>
      </c>
      <c r="C1560" s="20" t="s">
        <v>2</v>
      </c>
      <c r="D1560" s="20" t="str">
        <f>IFERROR(INDEX('[2]PRICELIST, 908u'!$G$7:$AX$914,MATCH($B1560,'[2]PRICELIST, 908u'!$G$7:$G$914,0),18),"NA")</f>
        <v>2025 - Batch 6</v>
      </c>
      <c r="E1560" s="20" t="str">
        <f>IFERROR(INDEX([3]AGM!$D$21:$BL$928,MATCH($B1560,[3]AGM!$AD$21:$AD$928,0),1),"NA")</f>
        <v>OS</v>
      </c>
      <c r="F1560" s="20" t="str">
        <f t="shared" si="74"/>
        <v>Block 31</v>
      </c>
      <c r="G1560" s="20" t="str">
        <f t="shared" ref="G1560:G1623" si="77">"Lot "&amp;TEXT(VALUE(RIGHT(B1560,3)),"00")</f>
        <v>Lot 03</v>
      </c>
      <c r="H1560" s="20">
        <f>IFERROR(INDEX('[2]PRICELIST, 908u'!$G$7:$AX$914,MATCH($B1560,'[2]PRICELIST, 908u'!$G$7:$G$914,0),23),"NA")</f>
        <v>50</v>
      </c>
      <c r="I1560" s="20">
        <f>IFERROR(INDEX('[2]PRICELIST, 908u'!$G$7:$AX$914,MATCH($B1560,'[2]PRICELIST, 908u'!$G$7:$G$914,0),22),"NA")</f>
        <v>70</v>
      </c>
      <c r="J1560" s="20" t="s">
        <v>207</v>
      </c>
      <c r="K1560" s="20" t="str">
        <f>IFERROR(INDEX('[2]PRICELIST, 908u'!$G$7:$AX$914,MATCH($B1560,'[2]PRICELIST, 908u'!$G$7:$G$914,0),30),"NA")</f>
        <v>Slant / GREEN</v>
      </c>
      <c r="L1560" s="20">
        <f>IFERROR(INDEX('[2]PRICELIST, 908u'!$G$7:$AX$914,MATCH($B1560,'[2]PRICELIST, 908u'!$G$7:$G$914,0),40),"NA")</f>
        <v>2650000</v>
      </c>
      <c r="M1560" s="20">
        <f>IFERROR(INDEX('[2]PRICELIST, 908u'!$G$7:$AX$914,MATCH($B1560,'[2]PRICELIST, 908u'!$G$7:$G$914,0),41),"NA")</f>
        <v>100000</v>
      </c>
      <c r="N1560" s="58">
        <f t="shared" si="76"/>
        <v>2550000</v>
      </c>
      <c r="O1560" s="60"/>
      <c r="P1560" s="60">
        <f t="shared" si="75"/>
        <v>2550000</v>
      </c>
    </row>
    <row r="1561" spans="2:16">
      <c r="B1561" s="20" t="s">
        <v>1712</v>
      </c>
      <c r="C1561" s="20" t="s">
        <v>2</v>
      </c>
      <c r="D1561" s="20" t="str">
        <f>IFERROR(INDEX('[2]PRICELIST, 908u'!$G$7:$AX$914,MATCH($B1561,'[2]PRICELIST, 908u'!$G$7:$G$914,0),18),"NA")</f>
        <v>2025 - Batch 6</v>
      </c>
      <c r="E1561" s="20" t="str">
        <f>IFERROR(INDEX([3]AGM!$D$21:$BL$928,MATCH($B1561,[3]AGM!$AD$21:$AD$928,0),1),"NA")</f>
        <v>OS</v>
      </c>
      <c r="F1561" s="20" t="str">
        <f t="shared" ref="F1561:F1624" si="78">"Block "&amp;TEXT(VALUE(MID(B1561,8,3)),"00")</f>
        <v>Block 31</v>
      </c>
      <c r="G1561" s="20" t="str">
        <f t="shared" si="77"/>
        <v>Lot 04</v>
      </c>
      <c r="H1561" s="20">
        <f>IFERROR(INDEX('[2]PRICELIST, 908u'!$G$7:$AX$914,MATCH($B1561,'[2]PRICELIST, 908u'!$G$7:$G$914,0),23),"NA")</f>
        <v>50</v>
      </c>
      <c r="I1561" s="20">
        <f>IFERROR(INDEX('[2]PRICELIST, 908u'!$G$7:$AX$914,MATCH($B1561,'[2]PRICELIST, 908u'!$G$7:$G$914,0),22),"NA")</f>
        <v>70</v>
      </c>
      <c r="J1561" s="20" t="s">
        <v>207</v>
      </c>
      <c r="K1561" s="20" t="str">
        <f>IFERROR(INDEX('[2]PRICELIST, 908u'!$G$7:$AX$914,MATCH($B1561,'[2]PRICELIST, 908u'!$G$7:$G$914,0),30),"NA")</f>
        <v>Flat / GREEN</v>
      </c>
      <c r="L1561" s="20">
        <f>IFERROR(INDEX('[2]PRICELIST, 908u'!$G$7:$AX$914,MATCH($B1561,'[2]PRICELIST, 908u'!$G$7:$G$914,0),40),"NA")</f>
        <v>2650000</v>
      </c>
      <c r="M1561" s="20">
        <f>IFERROR(INDEX('[2]PRICELIST, 908u'!$G$7:$AX$914,MATCH($B1561,'[2]PRICELIST, 908u'!$G$7:$G$914,0),41),"NA")</f>
        <v>100000</v>
      </c>
      <c r="N1561" s="58">
        <f t="shared" si="76"/>
        <v>2550000</v>
      </c>
      <c r="O1561" s="60"/>
      <c r="P1561" s="60">
        <f t="shared" ref="P1561:P1624" si="79">N1561-O1561</f>
        <v>2550000</v>
      </c>
    </row>
    <row r="1562" spans="2:16">
      <c r="B1562" s="20" t="s">
        <v>1713</v>
      </c>
      <c r="C1562" s="20" t="s">
        <v>2</v>
      </c>
      <c r="D1562" s="20" t="str">
        <f>IFERROR(INDEX('[2]PRICELIST, 908u'!$G$7:$AX$914,MATCH($B1562,'[2]PRICELIST, 908u'!$G$7:$G$914,0),18),"NA")</f>
        <v>2025 - Batch 6</v>
      </c>
      <c r="E1562" s="20" t="str">
        <f>IFERROR(INDEX([3]AGM!$D$21:$BL$928,MATCH($B1562,[3]AGM!$AD$21:$AD$928,0),1),"NA")</f>
        <v>OS</v>
      </c>
      <c r="F1562" s="20" t="str">
        <f t="shared" si="78"/>
        <v>Block 31</v>
      </c>
      <c r="G1562" s="20" t="str">
        <f t="shared" si="77"/>
        <v>Lot 05</v>
      </c>
      <c r="H1562" s="20">
        <f>IFERROR(INDEX('[2]PRICELIST, 908u'!$G$7:$AX$914,MATCH($B1562,'[2]PRICELIST, 908u'!$G$7:$G$914,0),23),"NA")</f>
        <v>50</v>
      </c>
      <c r="I1562" s="20">
        <f>IFERROR(INDEX('[2]PRICELIST, 908u'!$G$7:$AX$914,MATCH($B1562,'[2]PRICELIST, 908u'!$G$7:$G$914,0),22),"NA")</f>
        <v>70</v>
      </c>
      <c r="J1562" s="20" t="s">
        <v>207</v>
      </c>
      <c r="K1562" s="20" t="str">
        <f>IFERROR(INDEX('[2]PRICELIST, 908u'!$G$7:$AX$914,MATCH($B1562,'[2]PRICELIST, 908u'!$G$7:$G$914,0),30),"NA")</f>
        <v>Slant / PURPLE</v>
      </c>
      <c r="L1562" s="20">
        <f>IFERROR(INDEX('[2]PRICELIST, 908u'!$G$7:$AX$914,MATCH($B1562,'[2]PRICELIST, 908u'!$G$7:$G$914,0),40),"NA")</f>
        <v>2650000</v>
      </c>
      <c r="M1562" s="20">
        <f>IFERROR(INDEX('[2]PRICELIST, 908u'!$G$7:$AX$914,MATCH($B1562,'[2]PRICELIST, 908u'!$G$7:$G$914,0),41),"NA")</f>
        <v>100000</v>
      </c>
      <c r="N1562" s="58">
        <f t="shared" ref="N1562:N1625" si="80">L1562-M1562</f>
        <v>2550000</v>
      </c>
      <c r="O1562" s="60"/>
      <c r="P1562" s="60">
        <f t="shared" si="79"/>
        <v>2550000</v>
      </c>
    </row>
    <row r="1563" spans="2:16">
      <c r="B1563" s="20" t="s">
        <v>1714</v>
      </c>
      <c r="C1563" s="20" t="s">
        <v>2</v>
      </c>
      <c r="D1563" s="20" t="str">
        <f>IFERROR(INDEX('[2]PRICELIST, 908u'!$G$7:$AX$914,MATCH($B1563,'[2]PRICELIST, 908u'!$G$7:$G$914,0),18),"NA")</f>
        <v>2025 - Batch 6</v>
      </c>
      <c r="E1563" s="20" t="str">
        <f>IFERROR(INDEX([3]AGM!$D$21:$BL$928,MATCH($B1563,[3]AGM!$AD$21:$AD$928,0),1),"NA")</f>
        <v>OS</v>
      </c>
      <c r="F1563" s="20" t="str">
        <f t="shared" si="78"/>
        <v>Block 31</v>
      </c>
      <c r="G1563" s="20" t="str">
        <f t="shared" si="77"/>
        <v>Lot 06</v>
      </c>
      <c r="H1563" s="20">
        <f>IFERROR(INDEX('[2]PRICELIST, 908u'!$G$7:$AX$914,MATCH($B1563,'[2]PRICELIST, 908u'!$G$7:$G$914,0),23),"NA")</f>
        <v>50</v>
      </c>
      <c r="I1563" s="20">
        <f>IFERROR(INDEX('[2]PRICELIST, 908u'!$G$7:$AX$914,MATCH($B1563,'[2]PRICELIST, 908u'!$G$7:$G$914,0),22),"NA")</f>
        <v>70</v>
      </c>
      <c r="J1563" s="20" t="s">
        <v>207</v>
      </c>
      <c r="K1563" s="20" t="str">
        <f>IFERROR(INDEX('[2]PRICELIST, 908u'!$G$7:$AX$914,MATCH($B1563,'[2]PRICELIST, 908u'!$G$7:$G$914,0),30),"NA")</f>
        <v>Flat / PURPLE</v>
      </c>
      <c r="L1563" s="20">
        <f>IFERROR(INDEX('[2]PRICELIST, 908u'!$G$7:$AX$914,MATCH($B1563,'[2]PRICELIST, 908u'!$G$7:$G$914,0),40),"NA")</f>
        <v>2650000</v>
      </c>
      <c r="M1563" s="20">
        <f>IFERROR(INDEX('[2]PRICELIST, 908u'!$G$7:$AX$914,MATCH($B1563,'[2]PRICELIST, 908u'!$G$7:$G$914,0),41),"NA")</f>
        <v>100000</v>
      </c>
      <c r="N1563" s="58">
        <f t="shared" si="80"/>
        <v>2550000</v>
      </c>
      <c r="O1563" s="60"/>
      <c r="P1563" s="60">
        <f t="shared" si="79"/>
        <v>2550000</v>
      </c>
    </row>
    <row r="1564" spans="2:16">
      <c r="B1564" s="20" t="s">
        <v>1715</v>
      </c>
      <c r="C1564" s="20" t="s">
        <v>2</v>
      </c>
      <c r="D1564" s="20" t="str">
        <f>IFERROR(INDEX('[2]PRICELIST, 908u'!$G$7:$AX$914,MATCH($B1564,'[2]PRICELIST, 908u'!$G$7:$G$914,0),18),"NA")</f>
        <v>2025 - Batch 6</v>
      </c>
      <c r="E1564" s="20" t="str">
        <f>IFERROR(INDEX([3]AGM!$D$21:$BL$928,MATCH($B1564,[3]AGM!$AD$21:$AD$928,0),1),"NA")</f>
        <v>OS</v>
      </c>
      <c r="F1564" s="20" t="str">
        <f t="shared" si="78"/>
        <v>Block 31</v>
      </c>
      <c r="G1564" s="20" t="str">
        <f t="shared" si="77"/>
        <v>Lot 07</v>
      </c>
      <c r="H1564" s="20">
        <f>IFERROR(INDEX('[2]PRICELIST, 908u'!$G$7:$AX$914,MATCH($B1564,'[2]PRICELIST, 908u'!$G$7:$G$914,0),23),"NA")</f>
        <v>50</v>
      </c>
      <c r="I1564" s="20">
        <f>IFERROR(INDEX('[2]PRICELIST, 908u'!$G$7:$AX$914,MATCH($B1564,'[2]PRICELIST, 908u'!$G$7:$G$914,0),22),"NA")</f>
        <v>70</v>
      </c>
      <c r="J1564" s="20" t="s">
        <v>207</v>
      </c>
      <c r="K1564" s="20" t="str">
        <f>IFERROR(INDEX('[2]PRICELIST, 908u'!$G$7:$AX$914,MATCH($B1564,'[2]PRICELIST, 908u'!$G$7:$G$914,0),30),"NA")</f>
        <v>Flat / PURPLE</v>
      </c>
      <c r="L1564" s="20">
        <f>IFERROR(INDEX('[2]PRICELIST, 908u'!$G$7:$AX$914,MATCH($B1564,'[2]PRICELIST, 908u'!$G$7:$G$914,0),40),"NA")</f>
        <v>2650000</v>
      </c>
      <c r="M1564" s="20">
        <f>IFERROR(INDEX('[2]PRICELIST, 908u'!$G$7:$AX$914,MATCH($B1564,'[2]PRICELIST, 908u'!$G$7:$G$914,0),41),"NA")</f>
        <v>100000</v>
      </c>
      <c r="N1564" s="58">
        <f t="shared" si="80"/>
        <v>2550000</v>
      </c>
      <c r="O1564" s="60"/>
      <c r="P1564" s="60">
        <f t="shared" si="79"/>
        <v>2550000</v>
      </c>
    </row>
    <row r="1565" spans="2:16">
      <c r="B1565" s="20" t="s">
        <v>1716</v>
      </c>
      <c r="C1565" s="20" t="s">
        <v>2</v>
      </c>
      <c r="D1565" s="20" t="str">
        <f>IFERROR(INDEX('[2]PRICELIST, 908u'!$G$7:$AX$914,MATCH($B1565,'[2]PRICELIST, 908u'!$G$7:$G$914,0),18),"NA")</f>
        <v>2025 - Batch 6</v>
      </c>
      <c r="E1565" s="20" t="str">
        <f>IFERROR(INDEX([3]AGM!$D$21:$BL$928,MATCH($B1565,[3]AGM!$AD$21:$AD$928,0),1),"NA")</f>
        <v>OS</v>
      </c>
      <c r="F1565" s="20" t="str">
        <f t="shared" si="78"/>
        <v>Block 31</v>
      </c>
      <c r="G1565" s="20" t="str">
        <f t="shared" si="77"/>
        <v>Lot 08</v>
      </c>
      <c r="H1565" s="20">
        <f>IFERROR(INDEX('[2]PRICELIST, 908u'!$G$7:$AX$914,MATCH($B1565,'[2]PRICELIST, 908u'!$G$7:$G$914,0),23),"NA")</f>
        <v>50</v>
      </c>
      <c r="I1565" s="20">
        <f>IFERROR(INDEX('[2]PRICELIST, 908u'!$G$7:$AX$914,MATCH($B1565,'[2]PRICELIST, 908u'!$G$7:$G$914,0),22),"NA")</f>
        <v>70</v>
      </c>
      <c r="J1565" s="20" t="s">
        <v>207</v>
      </c>
      <c r="K1565" s="20" t="str">
        <f>IFERROR(INDEX('[2]PRICELIST, 908u'!$G$7:$AX$914,MATCH($B1565,'[2]PRICELIST, 908u'!$G$7:$G$914,0),30),"NA")</f>
        <v>Slant / PURPLE</v>
      </c>
      <c r="L1565" s="20">
        <f>IFERROR(INDEX('[2]PRICELIST, 908u'!$G$7:$AX$914,MATCH($B1565,'[2]PRICELIST, 908u'!$G$7:$G$914,0),40),"NA")</f>
        <v>2650000</v>
      </c>
      <c r="M1565" s="20">
        <f>IFERROR(INDEX('[2]PRICELIST, 908u'!$G$7:$AX$914,MATCH($B1565,'[2]PRICELIST, 908u'!$G$7:$G$914,0),41),"NA")</f>
        <v>100000</v>
      </c>
      <c r="N1565" s="58">
        <f t="shared" si="80"/>
        <v>2550000</v>
      </c>
      <c r="O1565" s="60"/>
      <c r="P1565" s="60">
        <f t="shared" si="79"/>
        <v>2550000</v>
      </c>
    </row>
    <row r="1566" spans="2:16">
      <c r="B1566" s="20" t="s">
        <v>1717</v>
      </c>
      <c r="C1566" s="20" t="s">
        <v>2</v>
      </c>
      <c r="D1566" s="20" t="str">
        <f>IFERROR(INDEX('[2]PRICELIST, 908u'!$G$7:$AX$914,MATCH($B1566,'[2]PRICELIST, 908u'!$G$7:$G$914,0),18),"NA")</f>
        <v>2025 - Batch 6</v>
      </c>
      <c r="E1566" s="20" t="str">
        <f>IFERROR(INDEX([3]AGM!$D$21:$BL$928,MATCH($B1566,[3]AGM!$AD$21:$AD$928,0),1),"NA")</f>
        <v>OS</v>
      </c>
      <c r="F1566" s="20" t="str">
        <f t="shared" si="78"/>
        <v>Block 32</v>
      </c>
      <c r="G1566" s="20" t="str">
        <f t="shared" si="77"/>
        <v>Lot 01</v>
      </c>
      <c r="H1566" s="20">
        <f>IFERROR(INDEX('[2]PRICELIST, 908u'!$G$7:$AX$914,MATCH($B1566,'[2]PRICELIST, 908u'!$G$7:$G$914,0),23),"NA")</f>
        <v>50</v>
      </c>
      <c r="I1566" s="20">
        <f>IFERROR(INDEX('[2]PRICELIST, 908u'!$G$7:$AX$914,MATCH($B1566,'[2]PRICELIST, 908u'!$G$7:$G$914,0),22),"NA")</f>
        <v>70</v>
      </c>
      <c r="J1566" s="20" t="s">
        <v>207</v>
      </c>
      <c r="K1566" s="20" t="str">
        <f>IFERROR(INDEX('[2]PRICELIST, 908u'!$G$7:$AX$914,MATCH($B1566,'[2]PRICELIST, 908u'!$G$7:$G$914,0),30),"NA")</f>
        <v>Flat / PINK</v>
      </c>
      <c r="L1566" s="20">
        <f>IFERROR(INDEX('[2]PRICELIST, 908u'!$G$7:$AX$914,MATCH($B1566,'[2]PRICELIST, 908u'!$G$7:$G$914,0),40),"NA")</f>
        <v>2650000</v>
      </c>
      <c r="M1566" s="20">
        <f>IFERROR(INDEX('[2]PRICELIST, 908u'!$G$7:$AX$914,MATCH($B1566,'[2]PRICELIST, 908u'!$G$7:$G$914,0),41),"NA")</f>
        <v>100000</v>
      </c>
      <c r="N1566" s="58">
        <f t="shared" si="80"/>
        <v>2550000</v>
      </c>
      <c r="O1566" s="60"/>
      <c r="P1566" s="60">
        <f t="shared" si="79"/>
        <v>2550000</v>
      </c>
    </row>
    <row r="1567" spans="2:16">
      <c r="B1567" s="20" t="s">
        <v>1718</v>
      </c>
      <c r="C1567" s="20" t="s">
        <v>2</v>
      </c>
      <c r="D1567" s="20" t="str">
        <f>IFERROR(INDEX('[2]PRICELIST, 908u'!$G$7:$AX$914,MATCH($B1567,'[2]PRICELIST, 908u'!$G$7:$G$914,0),18),"NA")</f>
        <v>2025 - Batch 6</v>
      </c>
      <c r="E1567" s="20" t="str">
        <f>IFERROR(INDEX([3]AGM!$D$21:$BL$928,MATCH($B1567,[3]AGM!$AD$21:$AD$928,0),1),"NA")</f>
        <v>OS</v>
      </c>
      <c r="F1567" s="20" t="str">
        <f t="shared" si="78"/>
        <v>Block 32</v>
      </c>
      <c r="G1567" s="20" t="str">
        <f t="shared" si="77"/>
        <v>Lot 02</v>
      </c>
      <c r="H1567" s="20">
        <f>IFERROR(INDEX('[2]PRICELIST, 908u'!$G$7:$AX$914,MATCH($B1567,'[2]PRICELIST, 908u'!$G$7:$G$914,0),23),"NA")</f>
        <v>50</v>
      </c>
      <c r="I1567" s="20">
        <f>IFERROR(INDEX('[2]PRICELIST, 908u'!$G$7:$AX$914,MATCH($B1567,'[2]PRICELIST, 908u'!$G$7:$G$914,0),22),"NA")</f>
        <v>70</v>
      </c>
      <c r="J1567" s="20" t="s">
        <v>207</v>
      </c>
      <c r="K1567" s="20" t="str">
        <f>IFERROR(INDEX('[2]PRICELIST, 908u'!$G$7:$AX$914,MATCH($B1567,'[2]PRICELIST, 908u'!$G$7:$G$914,0),30),"NA")</f>
        <v>Slant / PINK</v>
      </c>
      <c r="L1567" s="20">
        <f>IFERROR(INDEX('[2]PRICELIST, 908u'!$G$7:$AX$914,MATCH($B1567,'[2]PRICELIST, 908u'!$G$7:$G$914,0),40),"NA")</f>
        <v>2650000</v>
      </c>
      <c r="M1567" s="20">
        <f>IFERROR(INDEX('[2]PRICELIST, 908u'!$G$7:$AX$914,MATCH($B1567,'[2]PRICELIST, 908u'!$G$7:$G$914,0),41),"NA")</f>
        <v>100000</v>
      </c>
      <c r="N1567" s="58">
        <f t="shared" si="80"/>
        <v>2550000</v>
      </c>
      <c r="O1567" s="60"/>
      <c r="P1567" s="60">
        <f t="shared" si="79"/>
        <v>2550000</v>
      </c>
    </row>
    <row r="1568" spans="2:16">
      <c r="B1568" s="20" t="s">
        <v>1719</v>
      </c>
      <c r="C1568" s="20" t="s">
        <v>2</v>
      </c>
      <c r="D1568" s="20" t="str">
        <f>IFERROR(INDEX('[2]PRICELIST, 908u'!$G$7:$AX$914,MATCH($B1568,'[2]PRICELIST, 908u'!$G$7:$G$914,0),18),"NA")</f>
        <v>2025 - Batch 6</v>
      </c>
      <c r="E1568" s="20" t="str">
        <f>IFERROR(INDEX([3]AGM!$D$21:$BL$928,MATCH($B1568,[3]AGM!$AD$21:$AD$928,0),1),"NA")</f>
        <v>OS</v>
      </c>
      <c r="F1568" s="20" t="str">
        <f t="shared" si="78"/>
        <v>Block 32</v>
      </c>
      <c r="G1568" s="20" t="str">
        <f t="shared" si="77"/>
        <v>Lot 03</v>
      </c>
      <c r="H1568" s="20">
        <f>IFERROR(INDEX('[2]PRICELIST, 908u'!$G$7:$AX$914,MATCH($B1568,'[2]PRICELIST, 908u'!$G$7:$G$914,0),23),"NA")</f>
        <v>50</v>
      </c>
      <c r="I1568" s="20">
        <f>IFERROR(INDEX('[2]PRICELIST, 908u'!$G$7:$AX$914,MATCH($B1568,'[2]PRICELIST, 908u'!$G$7:$G$914,0),22),"NA")</f>
        <v>70</v>
      </c>
      <c r="J1568" s="20" t="s">
        <v>207</v>
      </c>
      <c r="K1568" s="20" t="str">
        <f>IFERROR(INDEX('[2]PRICELIST, 908u'!$G$7:$AX$914,MATCH($B1568,'[2]PRICELIST, 908u'!$G$7:$G$914,0),30),"NA")</f>
        <v>Slant / PINK</v>
      </c>
      <c r="L1568" s="20">
        <f>IFERROR(INDEX('[2]PRICELIST, 908u'!$G$7:$AX$914,MATCH($B1568,'[2]PRICELIST, 908u'!$G$7:$G$914,0),40),"NA")</f>
        <v>2650000</v>
      </c>
      <c r="M1568" s="20">
        <f>IFERROR(INDEX('[2]PRICELIST, 908u'!$G$7:$AX$914,MATCH($B1568,'[2]PRICELIST, 908u'!$G$7:$G$914,0),41),"NA")</f>
        <v>100000</v>
      </c>
      <c r="N1568" s="58">
        <f t="shared" si="80"/>
        <v>2550000</v>
      </c>
      <c r="O1568" s="60"/>
      <c r="P1568" s="60">
        <f t="shared" si="79"/>
        <v>2550000</v>
      </c>
    </row>
    <row r="1569" spans="2:16">
      <c r="B1569" s="20" t="s">
        <v>1720</v>
      </c>
      <c r="C1569" s="20" t="s">
        <v>2</v>
      </c>
      <c r="D1569" s="20" t="str">
        <f>IFERROR(INDEX('[2]PRICELIST, 908u'!$G$7:$AX$914,MATCH($B1569,'[2]PRICELIST, 908u'!$G$7:$G$914,0),18),"NA")</f>
        <v>2025 - Batch 6</v>
      </c>
      <c r="E1569" s="20" t="str">
        <f>IFERROR(INDEX([3]AGM!$D$21:$BL$928,MATCH($B1569,[3]AGM!$AD$21:$AD$928,0),1),"NA")</f>
        <v>OS</v>
      </c>
      <c r="F1569" s="20" t="str">
        <f t="shared" si="78"/>
        <v>Block 32</v>
      </c>
      <c r="G1569" s="20" t="str">
        <f t="shared" si="77"/>
        <v>Lot 04</v>
      </c>
      <c r="H1569" s="20">
        <f>IFERROR(INDEX('[2]PRICELIST, 908u'!$G$7:$AX$914,MATCH($B1569,'[2]PRICELIST, 908u'!$G$7:$G$914,0),23),"NA")</f>
        <v>50</v>
      </c>
      <c r="I1569" s="20">
        <f>IFERROR(INDEX('[2]PRICELIST, 908u'!$G$7:$AX$914,MATCH($B1569,'[2]PRICELIST, 908u'!$G$7:$G$914,0),22),"NA")</f>
        <v>70</v>
      </c>
      <c r="J1569" s="20" t="s">
        <v>207</v>
      </c>
      <c r="K1569" s="20" t="str">
        <f>IFERROR(INDEX('[2]PRICELIST, 908u'!$G$7:$AX$914,MATCH($B1569,'[2]PRICELIST, 908u'!$G$7:$G$914,0),30),"NA")</f>
        <v>Flat / PINK</v>
      </c>
      <c r="L1569" s="20">
        <f>IFERROR(INDEX('[2]PRICELIST, 908u'!$G$7:$AX$914,MATCH($B1569,'[2]PRICELIST, 908u'!$G$7:$G$914,0),40),"NA")</f>
        <v>2650000</v>
      </c>
      <c r="M1569" s="20">
        <f>IFERROR(INDEX('[2]PRICELIST, 908u'!$G$7:$AX$914,MATCH($B1569,'[2]PRICELIST, 908u'!$G$7:$G$914,0),41),"NA")</f>
        <v>100000</v>
      </c>
      <c r="N1569" s="58">
        <f t="shared" si="80"/>
        <v>2550000</v>
      </c>
      <c r="O1569" s="60"/>
      <c r="P1569" s="60">
        <f t="shared" si="79"/>
        <v>2550000</v>
      </c>
    </row>
    <row r="1570" spans="2:16">
      <c r="B1570" s="20" t="s">
        <v>1721</v>
      </c>
      <c r="C1570" s="20" t="s">
        <v>2</v>
      </c>
      <c r="D1570" s="20" t="str">
        <f>IFERROR(INDEX('[2]PRICELIST, 908u'!$G$7:$AX$914,MATCH($B1570,'[2]PRICELIST, 908u'!$G$7:$G$914,0),18),"NA")</f>
        <v>2025 - Batch 6</v>
      </c>
      <c r="E1570" s="20" t="str">
        <f>IFERROR(INDEX([3]AGM!$D$21:$BL$928,MATCH($B1570,[3]AGM!$AD$21:$AD$928,0),1),"NA")</f>
        <v>OS</v>
      </c>
      <c r="F1570" s="20" t="str">
        <f t="shared" si="78"/>
        <v>Block 32</v>
      </c>
      <c r="G1570" s="20" t="str">
        <f t="shared" si="77"/>
        <v>Lot 05</v>
      </c>
      <c r="H1570" s="20">
        <f>IFERROR(INDEX('[2]PRICELIST, 908u'!$G$7:$AX$914,MATCH($B1570,'[2]PRICELIST, 908u'!$G$7:$G$914,0),23),"NA")</f>
        <v>50</v>
      </c>
      <c r="I1570" s="20">
        <f>IFERROR(INDEX('[2]PRICELIST, 908u'!$G$7:$AX$914,MATCH($B1570,'[2]PRICELIST, 908u'!$G$7:$G$914,0),22),"NA")</f>
        <v>70</v>
      </c>
      <c r="J1570" s="20" t="s">
        <v>207</v>
      </c>
      <c r="K1570" s="20" t="str">
        <f>IFERROR(INDEX('[2]PRICELIST, 908u'!$G$7:$AX$914,MATCH($B1570,'[2]PRICELIST, 908u'!$G$7:$G$914,0),30),"NA")</f>
        <v>Slant / YELLOW</v>
      </c>
      <c r="L1570" s="20">
        <f>IFERROR(INDEX('[2]PRICELIST, 908u'!$G$7:$AX$914,MATCH($B1570,'[2]PRICELIST, 908u'!$G$7:$G$914,0),40),"NA")</f>
        <v>2650000</v>
      </c>
      <c r="M1570" s="20">
        <f>IFERROR(INDEX('[2]PRICELIST, 908u'!$G$7:$AX$914,MATCH($B1570,'[2]PRICELIST, 908u'!$G$7:$G$914,0),41),"NA")</f>
        <v>100000</v>
      </c>
      <c r="N1570" s="58">
        <f t="shared" si="80"/>
        <v>2550000</v>
      </c>
      <c r="O1570" s="60"/>
      <c r="P1570" s="60">
        <f t="shared" si="79"/>
        <v>2550000</v>
      </c>
    </row>
    <row r="1571" spans="2:16">
      <c r="B1571" s="20" t="s">
        <v>1722</v>
      </c>
      <c r="C1571" s="20" t="s">
        <v>2</v>
      </c>
      <c r="D1571" s="20" t="str">
        <f>IFERROR(INDEX('[2]PRICELIST, 908u'!$G$7:$AX$914,MATCH($B1571,'[2]PRICELIST, 908u'!$G$7:$G$914,0),18),"NA")</f>
        <v>2025 - Batch 6</v>
      </c>
      <c r="E1571" s="20" t="str">
        <f>IFERROR(INDEX([3]AGM!$D$21:$BL$928,MATCH($B1571,[3]AGM!$AD$21:$AD$928,0),1),"NA")</f>
        <v>OS</v>
      </c>
      <c r="F1571" s="20" t="str">
        <f t="shared" si="78"/>
        <v>Block 32</v>
      </c>
      <c r="G1571" s="20" t="str">
        <f t="shared" si="77"/>
        <v>Lot 06</v>
      </c>
      <c r="H1571" s="20">
        <f>IFERROR(INDEX('[2]PRICELIST, 908u'!$G$7:$AX$914,MATCH($B1571,'[2]PRICELIST, 908u'!$G$7:$G$914,0),23),"NA")</f>
        <v>50</v>
      </c>
      <c r="I1571" s="20">
        <f>IFERROR(INDEX('[2]PRICELIST, 908u'!$G$7:$AX$914,MATCH($B1571,'[2]PRICELIST, 908u'!$G$7:$G$914,0),22),"NA")</f>
        <v>70</v>
      </c>
      <c r="J1571" s="20" t="s">
        <v>207</v>
      </c>
      <c r="K1571" s="20" t="str">
        <f>IFERROR(INDEX('[2]PRICELIST, 908u'!$G$7:$AX$914,MATCH($B1571,'[2]PRICELIST, 908u'!$G$7:$G$914,0),30),"NA")</f>
        <v>Flat / YELLOW</v>
      </c>
      <c r="L1571" s="20">
        <f>IFERROR(INDEX('[2]PRICELIST, 908u'!$G$7:$AX$914,MATCH($B1571,'[2]PRICELIST, 908u'!$G$7:$G$914,0),40),"NA")</f>
        <v>2650000</v>
      </c>
      <c r="M1571" s="20">
        <f>IFERROR(INDEX('[2]PRICELIST, 908u'!$G$7:$AX$914,MATCH($B1571,'[2]PRICELIST, 908u'!$G$7:$G$914,0),41),"NA")</f>
        <v>100000</v>
      </c>
      <c r="N1571" s="58">
        <f t="shared" si="80"/>
        <v>2550000</v>
      </c>
      <c r="O1571" s="60"/>
      <c r="P1571" s="60">
        <f t="shared" si="79"/>
        <v>2550000</v>
      </c>
    </row>
    <row r="1572" spans="2:16">
      <c r="B1572" s="20" t="s">
        <v>1723</v>
      </c>
      <c r="C1572" s="20" t="s">
        <v>2</v>
      </c>
      <c r="D1572" s="20" t="str">
        <f>IFERROR(INDEX('[2]PRICELIST, 908u'!$G$7:$AX$914,MATCH($B1572,'[2]PRICELIST, 908u'!$G$7:$G$914,0),18),"NA")</f>
        <v>2025 - Batch 6</v>
      </c>
      <c r="E1572" s="20" t="str">
        <f>IFERROR(INDEX([3]AGM!$D$21:$BL$928,MATCH($B1572,[3]AGM!$AD$21:$AD$928,0),1),"NA")</f>
        <v>OS</v>
      </c>
      <c r="F1572" s="20" t="str">
        <f t="shared" si="78"/>
        <v>Block 32</v>
      </c>
      <c r="G1572" s="20" t="str">
        <f t="shared" si="77"/>
        <v>Lot 07</v>
      </c>
      <c r="H1572" s="20">
        <f>IFERROR(INDEX('[2]PRICELIST, 908u'!$G$7:$AX$914,MATCH($B1572,'[2]PRICELIST, 908u'!$G$7:$G$914,0),23),"NA")</f>
        <v>50</v>
      </c>
      <c r="I1572" s="20">
        <f>IFERROR(INDEX('[2]PRICELIST, 908u'!$G$7:$AX$914,MATCH($B1572,'[2]PRICELIST, 908u'!$G$7:$G$914,0),22),"NA")</f>
        <v>70</v>
      </c>
      <c r="J1572" s="20" t="s">
        <v>207</v>
      </c>
      <c r="K1572" s="20" t="str">
        <f>IFERROR(INDEX('[2]PRICELIST, 908u'!$G$7:$AX$914,MATCH($B1572,'[2]PRICELIST, 908u'!$G$7:$G$914,0),30),"NA")</f>
        <v>Flat / YELLOW</v>
      </c>
      <c r="L1572" s="20">
        <f>IFERROR(INDEX('[2]PRICELIST, 908u'!$G$7:$AX$914,MATCH($B1572,'[2]PRICELIST, 908u'!$G$7:$G$914,0),40),"NA")</f>
        <v>2650000</v>
      </c>
      <c r="M1572" s="20">
        <f>IFERROR(INDEX('[2]PRICELIST, 908u'!$G$7:$AX$914,MATCH($B1572,'[2]PRICELIST, 908u'!$G$7:$G$914,0),41),"NA")</f>
        <v>100000</v>
      </c>
      <c r="N1572" s="58">
        <f t="shared" si="80"/>
        <v>2550000</v>
      </c>
      <c r="O1572" s="60"/>
      <c r="P1572" s="60">
        <f t="shared" si="79"/>
        <v>2550000</v>
      </c>
    </row>
    <row r="1573" spans="2:16">
      <c r="B1573" s="20" t="s">
        <v>1724</v>
      </c>
      <c r="C1573" s="20" t="s">
        <v>2</v>
      </c>
      <c r="D1573" s="20" t="str">
        <f>IFERROR(INDEX('[2]PRICELIST, 908u'!$G$7:$AX$914,MATCH($B1573,'[2]PRICELIST, 908u'!$G$7:$G$914,0),18),"NA")</f>
        <v>2025 - Batch 6</v>
      </c>
      <c r="E1573" s="20" t="str">
        <f>IFERROR(INDEX([3]AGM!$D$21:$BL$928,MATCH($B1573,[3]AGM!$AD$21:$AD$928,0),1),"NA")</f>
        <v>OS</v>
      </c>
      <c r="F1573" s="20" t="str">
        <f t="shared" si="78"/>
        <v>Block 32</v>
      </c>
      <c r="G1573" s="20" t="str">
        <f t="shared" si="77"/>
        <v>Lot 08</v>
      </c>
      <c r="H1573" s="20">
        <f>IFERROR(INDEX('[2]PRICELIST, 908u'!$G$7:$AX$914,MATCH($B1573,'[2]PRICELIST, 908u'!$G$7:$G$914,0),23),"NA")</f>
        <v>50</v>
      </c>
      <c r="I1573" s="20">
        <f>IFERROR(INDEX('[2]PRICELIST, 908u'!$G$7:$AX$914,MATCH($B1573,'[2]PRICELIST, 908u'!$G$7:$G$914,0),22),"NA")</f>
        <v>70</v>
      </c>
      <c r="J1573" s="20" t="s">
        <v>207</v>
      </c>
      <c r="K1573" s="20" t="str">
        <f>IFERROR(INDEX('[2]PRICELIST, 908u'!$G$7:$AX$914,MATCH($B1573,'[2]PRICELIST, 908u'!$G$7:$G$914,0),30),"NA")</f>
        <v>Slant / YELLOW</v>
      </c>
      <c r="L1573" s="20">
        <f>IFERROR(INDEX('[2]PRICELIST, 908u'!$G$7:$AX$914,MATCH($B1573,'[2]PRICELIST, 908u'!$G$7:$G$914,0),40),"NA")</f>
        <v>2650000</v>
      </c>
      <c r="M1573" s="20">
        <f>IFERROR(INDEX('[2]PRICELIST, 908u'!$G$7:$AX$914,MATCH($B1573,'[2]PRICELIST, 908u'!$G$7:$G$914,0),41),"NA")</f>
        <v>100000</v>
      </c>
      <c r="N1573" s="58">
        <f t="shared" si="80"/>
        <v>2550000</v>
      </c>
      <c r="O1573" s="60"/>
      <c r="P1573" s="60">
        <f t="shared" si="79"/>
        <v>2550000</v>
      </c>
    </row>
    <row r="1574" spans="2:16">
      <c r="B1574" s="20" t="s">
        <v>1725</v>
      </c>
      <c r="C1574" s="20" t="s">
        <v>2</v>
      </c>
      <c r="D1574" s="20" t="str">
        <f>IFERROR(INDEX('[2]PRICELIST, 908u'!$G$7:$AX$914,MATCH($B1574,'[2]PRICELIST, 908u'!$G$7:$G$914,0),18),"NA")</f>
        <v>2025 - Batch 5</v>
      </c>
      <c r="E1574" s="20" t="str">
        <f>IFERROR(INDEX([3]AGM!$D$21:$BL$928,MATCH($B1574,[3]AGM!$AD$21:$AD$928,0),1),"NA")</f>
        <v>OS</v>
      </c>
      <c r="F1574" s="20" t="str">
        <f t="shared" si="78"/>
        <v>Block 33</v>
      </c>
      <c r="G1574" s="20" t="str">
        <f t="shared" si="77"/>
        <v>Lot 01</v>
      </c>
      <c r="H1574" s="20">
        <f>IFERROR(INDEX('[2]PRICELIST, 908u'!$G$7:$AX$914,MATCH($B1574,'[2]PRICELIST, 908u'!$G$7:$G$914,0),23),"NA")</f>
        <v>50</v>
      </c>
      <c r="I1574" s="20">
        <f>IFERROR(INDEX('[2]PRICELIST, 908u'!$G$7:$AX$914,MATCH($B1574,'[2]PRICELIST, 908u'!$G$7:$G$914,0),22),"NA")</f>
        <v>70</v>
      </c>
      <c r="J1574" s="20" t="s">
        <v>207</v>
      </c>
      <c r="K1574" s="20" t="str">
        <f>IFERROR(INDEX('[2]PRICELIST, 908u'!$G$7:$AX$914,MATCH($B1574,'[2]PRICELIST, 908u'!$G$7:$G$914,0),30),"NA")</f>
        <v>Slant / PURPLE</v>
      </c>
      <c r="L1574" s="20">
        <f>IFERROR(INDEX('[2]PRICELIST, 908u'!$G$7:$AX$914,MATCH($B1574,'[2]PRICELIST, 908u'!$G$7:$G$914,0),40),"NA")</f>
        <v>2650000</v>
      </c>
      <c r="M1574" s="20">
        <f>IFERROR(INDEX('[2]PRICELIST, 908u'!$G$7:$AX$914,MATCH($B1574,'[2]PRICELIST, 908u'!$G$7:$G$914,0),41),"NA")</f>
        <v>100000</v>
      </c>
      <c r="N1574" s="58">
        <f t="shared" si="80"/>
        <v>2550000</v>
      </c>
      <c r="O1574" s="60"/>
      <c r="P1574" s="60">
        <f t="shared" si="79"/>
        <v>2550000</v>
      </c>
    </row>
    <row r="1575" spans="2:16">
      <c r="B1575" s="20" t="s">
        <v>1726</v>
      </c>
      <c r="C1575" s="20" t="s">
        <v>2</v>
      </c>
      <c r="D1575" s="20" t="str">
        <f>IFERROR(INDEX('[2]PRICELIST, 908u'!$G$7:$AX$914,MATCH($B1575,'[2]PRICELIST, 908u'!$G$7:$G$914,0),18),"NA")</f>
        <v>2025 - Batch 5</v>
      </c>
      <c r="E1575" s="20" t="str">
        <f>IFERROR(INDEX([3]AGM!$D$21:$BL$928,MATCH($B1575,[3]AGM!$AD$21:$AD$928,0),1),"NA")</f>
        <v>OS</v>
      </c>
      <c r="F1575" s="20" t="str">
        <f t="shared" si="78"/>
        <v>Block 33</v>
      </c>
      <c r="G1575" s="20" t="str">
        <f t="shared" si="77"/>
        <v>Lot 02</v>
      </c>
      <c r="H1575" s="20">
        <f>IFERROR(INDEX('[2]PRICELIST, 908u'!$G$7:$AX$914,MATCH($B1575,'[2]PRICELIST, 908u'!$G$7:$G$914,0),23),"NA")</f>
        <v>50</v>
      </c>
      <c r="I1575" s="20">
        <f>IFERROR(INDEX('[2]PRICELIST, 908u'!$G$7:$AX$914,MATCH($B1575,'[2]PRICELIST, 908u'!$G$7:$G$914,0),22),"NA")</f>
        <v>70</v>
      </c>
      <c r="J1575" s="20" t="s">
        <v>207</v>
      </c>
      <c r="K1575" s="20" t="str">
        <f>IFERROR(INDEX('[2]PRICELIST, 908u'!$G$7:$AX$914,MATCH($B1575,'[2]PRICELIST, 908u'!$G$7:$G$914,0),30),"NA")</f>
        <v>Flat / PURPLE</v>
      </c>
      <c r="L1575" s="20">
        <f>IFERROR(INDEX('[2]PRICELIST, 908u'!$G$7:$AX$914,MATCH($B1575,'[2]PRICELIST, 908u'!$G$7:$G$914,0),40),"NA")</f>
        <v>2650000</v>
      </c>
      <c r="M1575" s="20">
        <f>IFERROR(INDEX('[2]PRICELIST, 908u'!$G$7:$AX$914,MATCH($B1575,'[2]PRICELIST, 908u'!$G$7:$G$914,0),41),"NA")</f>
        <v>100000</v>
      </c>
      <c r="N1575" s="58">
        <f t="shared" si="80"/>
        <v>2550000</v>
      </c>
      <c r="O1575" s="60"/>
      <c r="P1575" s="60">
        <f t="shared" si="79"/>
        <v>2550000</v>
      </c>
    </row>
    <row r="1576" spans="2:16">
      <c r="B1576" s="20" t="s">
        <v>1727</v>
      </c>
      <c r="C1576" s="20" t="s">
        <v>2</v>
      </c>
      <c r="D1576" s="20" t="str">
        <f>IFERROR(INDEX('[2]PRICELIST, 908u'!$G$7:$AX$914,MATCH($B1576,'[2]PRICELIST, 908u'!$G$7:$G$914,0),18),"NA")</f>
        <v>2025 - Batch 5</v>
      </c>
      <c r="E1576" s="20" t="str">
        <f>IFERROR(INDEX([3]AGM!$D$21:$BL$928,MATCH($B1576,[3]AGM!$AD$21:$AD$928,0),1),"NA")</f>
        <v>OS</v>
      </c>
      <c r="F1576" s="20" t="str">
        <f t="shared" si="78"/>
        <v>Block 33</v>
      </c>
      <c r="G1576" s="20" t="str">
        <f t="shared" si="77"/>
        <v>Lot 03</v>
      </c>
      <c r="H1576" s="20">
        <f>IFERROR(INDEX('[2]PRICELIST, 908u'!$G$7:$AX$914,MATCH($B1576,'[2]PRICELIST, 908u'!$G$7:$G$914,0),23),"NA")</f>
        <v>50</v>
      </c>
      <c r="I1576" s="20">
        <f>IFERROR(INDEX('[2]PRICELIST, 908u'!$G$7:$AX$914,MATCH($B1576,'[2]PRICELIST, 908u'!$G$7:$G$914,0),22),"NA")</f>
        <v>70</v>
      </c>
      <c r="J1576" s="20" t="s">
        <v>207</v>
      </c>
      <c r="K1576" s="20" t="str">
        <f>IFERROR(INDEX('[2]PRICELIST, 908u'!$G$7:$AX$914,MATCH($B1576,'[2]PRICELIST, 908u'!$G$7:$G$914,0),30),"NA")</f>
        <v>Flat / GREEN</v>
      </c>
      <c r="L1576" s="20">
        <f>IFERROR(INDEX('[2]PRICELIST, 908u'!$G$7:$AX$914,MATCH($B1576,'[2]PRICELIST, 908u'!$G$7:$G$914,0),40),"NA")</f>
        <v>2650000</v>
      </c>
      <c r="M1576" s="20">
        <f>IFERROR(INDEX('[2]PRICELIST, 908u'!$G$7:$AX$914,MATCH($B1576,'[2]PRICELIST, 908u'!$G$7:$G$914,0),41),"NA")</f>
        <v>100000</v>
      </c>
      <c r="N1576" s="58">
        <f t="shared" si="80"/>
        <v>2550000</v>
      </c>
      <c r="O1576" s="60"/>
      <c r="P1576" s="60">
        <f t="shared" si="79"/>
        <v>2550000</v>
      </c>
    </row>
    <row r="1577" spans="2:16">
      <c r="B1577" s="20" t="s">
        <v>1728</v>
      </c>
      <c r="C1577" s="20" t="s">
        <v>2</v>
      </c>
      <c r="D1577" s="20" t="str">
        <f>IFERROR(INDEX('[2]PRICELIST, 908u'!$G$7:$AX$914,MATCH($B1577,'[2]PRICELIST, 908u'!$G$7:$G$914,0),18),"NA")</f>
        <v>2025 - Batch 5</v>
      </c>
      <c r="E1577" s="20" t="str">
        <f>IFERROR(INDEX([3]AGM!$D$21:$BL$928,MATCH($B1577,[3]AGM!$AD$21:$AD$928,0),1),"NA")</f>
        <v>OS</v>
      </c>
      <c r="F1577" s="20" t="str">
        <f t="shared" si="78"/>
        <v>Block 33</v>
      </c>
      <c r="G1577" s="20" t="str">
        <f t="shared" si="77"/>
        <v>Lot 04</v>
      </c>
      <c r="H1577" s="20">
        <f>IFERROR(INDEX('[2]PRICELIST, 908u'!$G$7:$AX$914,MATCH($B1577,'[2]PRICELIST, 908u'!$G$7:$G$914,0),23),"NA")</f>
        <v>50</v>
      </c>
      <c r="I1577" s="20">
        <f>IFERROR(INDEX('[2]PRICELIST, 908u'!$G$7:$AX$914,MATCH($B1577,'[2]PRICELIST, 908u'!$G$7:$G$914,0),22),"NA")</f>
        <v>70</v>
      </c>
      <c r="J1577" s="20" t="s">
        <v>207</v>
      </c>
      <c r="K1577" s="20" t="str">
        <f>IFERROR(INDEX('[2]PRICELIST, 908u'!$G$7:$AX$914,MATCH($B1577,'[2]PRICELIST, 908u'!$G$7:$G$914,0),30),"NA")</f>
        <v>Slant / GREEN</v>
      </c>
      <c r="L1577" s="20">
        <f>IFERROR(INDEX('[2]PRICELIST, 908u'!$G$7:$AX$914,MATCH($B1577,'[2]PRICELIST, 908u'!$G$7:$G$914,0),40),"NA")</f>
        <v>2650000</v>
      </c>
      <c r="M1577" s="20">
        <f>IFERROR(INDEX('[2]PRICELIST, 908u'!$G$7:$AX$914,MATCH($B1577,'[2]PRICELIST, 908u'!$G$7:$G$914,0),41),"NA")</f>
        <v>100000</v>
      </c>
      <c r="N1577" s="58">
        <f t="shared" si="80"/>
        <v>2550000</v>
      </c>
      <c r="O1577" s="60"/>
      <c r="P1577" s="60">
        <f t="shared" si="79"/>
        <v>2550000</v>
      </c>
    </row>
    <row r="1578" spans="2:16">
      <c r="B1578" s="20" t="s">
        <v>1729</v>
      </c>
      <c r="C1578" s="20" t="s">
        <v>2</v>
      </c>
      <c r="D1578" s="20" t="str">
        <f>IFERROR(INDEX('[2]PRICELIST, 908u'!$G$7:$AX$914,MATCH($B1578,'[2]PRICELIST, 908u'!$G$7:$G$914,0),18),"NA")</f>
        <v>2025 - Batch 5</v>
      </c>
      <c r="E1578" s="20" t="str">
        <f>IFERROR(INDEX([3]AGM!$D$21:$BL$928,MATCH($B1578,[3]AGM!$AD$21:$AD$928,0),1),"NA")</f>
        <v>OS</v>
      </c>
      <c r="F1578" s="20" t="str">
        <f t="shared" si="78"/>
        <v>Block 33</v>
      </c>
      <c r="G1578" s="20" t="str">
        <f t="shared" si="77"/>
        <v>Lot 05</v>
      </c>
      <c r="H1578" s="20">
        <f>IFERROR(INDEX('[2]PRICELIST, 908u'!$G$7:$AX$914,MATCH($B1578,'[2]PRICELIST, 908u'!$G$7:$G$914,0),23),"NA")</f>
        <v>50</v>
      </c>
      <c r="I1578" s="20">
        <f>IFERROR(INDEX('[2]PRICELIST, 908u'!$G$7:$AX$914,MATCH($B1578,'[2]PRICELIST, 908u'!$G$7:$G$914,0),22),"NA")</f>
        <v>70</v>
      </c>
      <c r="J1578" s="20" t="s">
        <v>207</v>
      </c>
      <c r="K1578" s="20" t="str">
        <f>IFERROR(INDEX('[2]PRICELIST, 908u'!$G$7:$AX$914,MATCH($B1578,'[2]PRICELIST, 908u'!$G$7:$G$914,0),30),"NA")</f>
        <v>Slant / GREEN</v>
      </c>
      <c r="L1578" s="20">
        <f>IFERROR(INDEX('[2]PRICELIST, 908u'!$G$7:$AX$914,MATCH($B1578,'[2]PRICELIST, 908u'!$G$7:$G$914,0),40),"NA")</f>
        <v>2650000</v>
      </c>
      <c r="M1578" s="20">
        <f>IFERROR(INDEX('[2]PRICELIST, 908u'!$G$7:$AX$914,MATCH($B1578,'[2]PRICELIST, 908u'!$G$7:$G$914,0),41),"NA")</f>
        <v>100000</v>
      </c>
      <c r="N1578" s="58">
        <f t="shared" si="80"/>
        <v>2550000</v>
      </c>
      <c r="O1578" s="60"/>
      <c r="P1578" s="60">
        <f t="shared" si="79"/>
        <v>2550000</v>
      </c>
    </row>
    <row r="1579" spans="2:16">
      <c r="B1579" s="20" t="s">
        <v>1730</v>
      </c>
      <c r="C1579" s="20" t="s">
        <v>2</v>
      </c>
      <c r="D1579" s="20" t="str">
        <f>IFERROR(INDEX('[2]PRICELIST, 908u'!$G$7:$AX$914,MATCH($B1579,'[2]PRICELIST, 908u'!$G$7:$G$914,0),18),"NA")</f>
        <v>2025 - Batch 5</v>
      </c>
      <c r="E1579" s="20" t="str">
        <f>IFERROR(INDEX([3]AGM!$D$21:$BL$928,MATCH($B1579,[3]AGM!$AD$21:$AD$928,0),1),"NA")</f>
        <v>OS</v>
      </c>
      <c r="F1579" s="20" t="str">
        <f t="shared" si="78"/>
        <v>Block 33</v>
      </c>
      <c r="G1579" s="20" t="str">
        <f t="shared" si="77"/>
        <v>Lot 06</v>
      </c>
      <c r="H1579" s="20">
        <f>IFERROR(INDEX('[2]PRICELIST, 908u'!$G$7:$AX$914,MATCH($B1579,'[2]PRICELIST, 908u'!$G$7:$G$914,0),23),"NA")</f>
        <v>50</v>
      </c>
      <c r="I1579" s="20">
        <f>IFERROR(INDEX('[2]PRICELIST, 908u'!$G$7:$AX$914,MATCH($B1579,'[2]PRICELIST, 908u'!$G$7:$G$914,0),22),"NA")</f>
        <v>70</v>
      </c>
      <c r="J1579" s="20" t="s">
        <v>207</v>
      </c>
      <c r="K1579" s="20" t="str">
        <f>IFERROR(INDEX('[2]PRICELIST, 908u'!$G$7:$AX$914,MATCH($B1579,'[2]PRICELIST, 908u'!$G$7:$G$914,0),30),"NA")</f>
        <v>Flat / GREEN</v>
      </c>
      <c r="L1579" s="20">
        <f>IFERROR(INDEX('[2]PRICELIST, 908u'!$G$7:$AX$914,MATCH($B1579,'[2]PRICELIST, 908u'!$G$7:$G$914,0),40),"NA")</f>
        <v>2650000</v>
      </c>
      <c r="M1579" s="20">
        <f>IFERROR(INDEX('[2]PRICELIST, 908u'!$G$7:$AX$914,MATCH($B1579,'[2]PRICELIST, 908u'!$G$7:$G$914,0),41),"NA")</f>
        <v>100000</v>
      </c>
      <c r="N1579" s="58">
        <f t="shared" si="80"/>
        <v>2550000</v>
      </c>
      <c r="O1579" s="60"/>
      <c r="P1579" s="60">
        <f t="shared" si="79"/>
        <v>2550000</v>
      </c>
    </row>
    <row r="1580" spans="2:16">
      <c r="B1580" s="20" t="s">
        <v>1731</v>
      </c>
      <c r="C1580" s="20" t="s">
        <v>2</v>
      </c>
      <c r="D1580" s="20" t="str">
        <f>IFERROR(INDEX('[2]PRICELIST, 908u'!$G$7:$AX$914,MATCH($B1580,'[2]PRICELIST, 908u'!$G$7:$G$914,0),18),"NA")</f>
        <v>2025 - Batch 5</v>
      </c>
      <c r="E1580" s="20" t="str">
        <f>IFERROR(INDEX([3]AGM!$D$21:$BL$928,MATCH($B1580,[3]AGM!$AD$21:$AD$928,0),1),"NA")</f>
        <v>OS</v>
      </c>
      <c r="F1580" s="20" t="str">
        <f t="shared" si="78"/>
        <v>Block 33</v>
      </c>
      <c r="G1580" s="20" t="str">
        <f t="shared" si="77"/>
        <v>Lot 07</v>
      </c>
      <c r="H1580" s="20">
        <f>IFERROR(INDEX('[2]PRICELIST, 908u'!$G$7:$AX$914,MATCH($B1580,'[2]PRICELIST, 908u'!$G$7:$G$914,0),23),"NA")</f>
        <v>50</v>
      </c>
      <c r="I1580" s="20">
        <f>IFERROR(INDEX('[2]PRICELIST, 908u'!$G$7:$AX$914,MATCH($B1580,'[2]PRICELIST, 908u'!$G$7:$G$914,0),22),"NA")</f>
        <v>70</v>
      </c>
      <c r="J1580" s="20" t="s">
        <v>207</v>
      </c>
      <c r="K1580" s="20" t="str">
        <f>IFERROR(INDEX('[2]PRICELIST, 908u'!$G$7:$AX$914,MATCH($B1580,'[2]PRICELIST, 908u'!$G$7:$G$914,0),30),"NA")</f>
        <v>Slant / PINK</v>
      </c>
      <c r="L1580" s="20">
        <f>IFERROR(INDEX('[2]PRICELIST, 908u'!$G$7:$AX$914,MATCH($B1580,'[2]PRICELIST, 908u'!$G$7:$G$914,0),40),"NA")</f>
        <v>2650000</v>
      </c>
      <c r="M1580" s="20">
        <f>IFERROR(INDEX('[2]PRICELIST, 908u'!$G$7:$AX$914,MATCH($B1580,'[2]PRICELIST, 908u'!$G$7:$G$914,0),41),"NA")</f>
        <v>100000</v>
      </c>
      <c r="N1580" s="58">
        <f t="shared" si="80"/>
        <v>2550000</v>
      </c>
      <c r="O1580" s="60"/>
      <c r="P1580" s="60">
        <f t="shared" si="79"/>
        <v>2550000</v>
      </c>
    </row>
    <row r="1581" spans="2:16">
      <c r="B1581" s="20" t="s">
        <v>1732</v>
      </c>
      <c r="C1581" s="20" t="s">
        <v>2</v>
      </c>
      <c r="D1581" s="20" t="str">
        <f>IFERROR(INDEX('[2]PRICELIST, 908u'!$G$7:$AX$914,MATCH($B1581,'[2]PRICELIST, 908u'!$G$7:$G$914,0),18),"NA")</f>
        <v>2025 - Batch 5</v>
      </c>
      <c r="E1581" s="20" t="str">
        <f>IFERROR(INDEX([3]AGM!$D$21:$BL$928,MATCH($B1581,[3]AGM!$AD$21:$AD$928,0),1),"NA")</f>
        <v>OS</v>
      </c>
      <c r="F1581" s="20" t="str">
        <f t="shared" si="78"/>
        <v>Block 33</v>
      </c>
      <c r="G1581" s="20" t="str">
        <f t="shared" si="77"/>
        <v>Lot 08</v>
      </c>
      <c r="H1581" s="20">
        <f>IFERROR(INDEX('[2]PRICELIST, 908u'!$G$7:$AX$914,MATCH($B1581,'[2]PRICELIST, 908u'!$G$7:$G$914,0),23),"NA")</f>
        <v>50</v>
      </c>
      <c r="I1581" s="20">
        <f>IFERROR(INDEX('[2]PRICELIST, 908u'!$G$7:$AX$914,MATCH($B1581,'[2]PRICELIST, 908u'!$G$7:$G$914,0),22),"NA")</f>
        <v>70</v>
      </c>
      <c r="J1581" s="20" t="s">
        <v>207</v>
      </c>
      <c r="K1581" s="20" t="str">
        <f>IFERROR(INDEX('[2]PRICELIST, 908u'!$G$7:$AX$914,MATCH($B1581,'[2]PRICELIST, 908u'!$G$7:$G$914,0),30),"NA")</f>
        <v>Flat / PINK</v>
      </c>
      <c r="L1581" s="20">
        <f>IFERROR(INDEX('[2]PRICELIST, 908u'!$G$7:$AX$914,MATCH($B1581,'[2]PRICELIST, 908u'!$G$7:$G$914,0),40),"NA")</f>
        <v>2650000</v>
      </c>
      <c r="M1581" s="20">
        <f>IFERROR(INDEX('[2]PRICELIST, 908u'!$G$7:$AX$914,MATCH($B1581,'[2]PRICELIST, 908u'!$G$7:$G$914,0),41),"NA")</f>
        <v>100000</v>
      </c>
      <c r="N1581" s="58">
        <f t="shared" si="80"/>
        <v>2550000</v>
      </c>
      <c r="O1581" s="60"/>
      <c r="P1581" s="60">
        <f t="shared" si="79"/>
        <v>2550000</v>
      </c>
    </row>
    <row r="1582" spans="2:16">
      <c r="B1582" s="20" t="s">
        <v>1733</v>
      </c>
      <c r="C1582" s="20" t="s">
        <v>2</v>
      </c>
      <c r="D1582" s="20" t="str">
        <f>IFERROR(INDEX('[2]PRICELIST, 908u'!$G$7:$AX$914,MATCH($B1582,'[2]PRICELIST, 908u'!$G$7:$G$914,0),18),"NA")</f>
        <v>2025 - Batch 5</v>
      </c>
      <c r="E1582" s="20" t="str">
        <f>IFERROR(INDEX([3]AGM!$D$21:$BL$928,MATCH($B1582,[3]AGM!$AD$21:$AD$928,0),1),"NA")</f>
        <v>OS</v>
      </c>
      <c r="F1582" s="20" t="str">
        <f t="shared" si="78"/>
        <v>Block 33</v>
      </c>
      <c r="G1582" s="20" t="str">
        <f t="shared" si="77"/>
        <v>Lot 09</v>
      </c>
      <c r="H1582" s="20">
        <f>IFERROR(INDEX('[2]PRICELIST, 908u'!$G$7:$AX$914,MATCH($B1582,'[2]PRICELIST, 908u'!$G$7:$G$914,0),23),"NA")</f>
        <v>50</v>
      </c>
      <c r="I1582" s="20">
        <f>IFERROR(INDEX('[2]PRICELIST, 908u'!$G$7:$AX$914,MATCH($B1582,'[2]PRICELIST, 908u'!$G$7:$G$914,0),22),"NA")</f>
        <v>70</v>
      </c>
      <c r="J1582" s="20" t="s">
        <v>207</v>
      </c>
      <c r="K1582" s="20" t="str">
        <f>IFERROR(INDEX('[2]PRICELIST, 908u'!$G$7:$AX$914,MATCH($B1582,'[2]PRICELIST, 908u'!$G$7:$G$914,0),30),"NA")</f>
        <v>Flat / PINK</v>
      </c>
      <c r="L1582" s="20">
        <f>IFERROR(INDEX('[2]PRICELIST, 908u'!$G$7:$AX$914,MATCH($B1582,'[2]PRICELIST, 908u'!$G$7:$G$914,0),40),"NA")</f>
        <v>2650000</v>
      </c>
      <c r="M1582" s="20">
        <f>IFERROR(INDEX('[2]PRICELIST, 908u'!$G$7:$AX$914,MATCH($B1582,'[2]PRICELIST, 908u'!$G$7:$G$914,0),41),"NA")</f>
        <v>100000</v>
      </c>
      <c r="N1582" s="58">
        <f t="shared" si="80"/>
        <v>2550000</v>
      </c>
      <c r="O1582" s="60"/>
      <c r="P1582" s="60">
        <f t="shared" si="79"/>
        <v>2550000</v>
      </c>
    </row>
    <row r="1583" spans="2:16">
      <c r="B1583" s="20" t="s">
        <v>1734</v>
      </c>
      <c r="C1583" s="20" t="s">
        <v>2</v>
      </c>
      <c r="D1583" s="20" t="str">
        <f>IFERROR(INDEX('[2]PRICELIST, 908u'!$G$7:$AX$914,MATCH($B1583,'[2]PRICELIST, 908u'!$G$7:$G$914,0),18),"NA")</f>
        <v>2025 - Batch 5</v>
      </c>
      <c r="E1583" s="20" t="str">
        <f>IFERROR(INDEX([3]AGM!$D$21:$BL$928,MATCH($B1583,[3]AGM!$AD$21:$AD$928,0),1),"NA")</f>
        <v>OS</v>
      </c>
      <c r="F1583" s="20" t="str">
        <f t="shared" si="78"/>
        <v>Block 33</v>
      </c>
      <c r="G1583" s="20" t="str">
        <f t="shared" si="77"/>
        <v>Lot 10</v>
      </c>
      <c r="H1583" s="20">
        <f>IFERROR(INDEX('[2]PRICELIST, 908u'!$G$7:$AX$914,MATCH($B1583,'[2]PRICELIST, 908u'!$G$7:$G$914,0),23),"NA")</f>
        <v>50</v>
      </c>
      <c r="I1583" s="20">
        <f>IFERROR(INDEX('[2]PRICELIST, 908u'!$G$7:$AX$914,MATCH($B1583,'[2]PRICELIST, 908u'!$G$7:$G$914,0),22),"NA")</f>
        <v>70</v>
      </c>
      <c r="J1583" s="20" t="s">
        <v>207</v>
      </c>
      <c r="K1583" s="20" t="str">
        <f>IFERROR(INDEX('[2]PRICELIST, 908u'!$G$7:$AX$914,MATCH($B1583,'[2]PRICELIST, 908u'!$G$7:$G$914,0),30),"NA")</f>
        <v>Slant / PINK</v>
      </c>
      <c r="L1583" s="20">
        <f>IFERROR(INDEX('[2]PRICELIST, 908u'!$G$7:$AX$914,MATCH($B1583,'[2]PRICELIST, 908u'!$G$7:$G$914,0),40),"NA")</f>
        <v>2650000</v>
      </c>
      <c r="M1583" s="20">
        <f>IFERROR(INDEX('[2]PRICELIST, 908u'!$G$7:$AX$914,MATCH($B1583,'[2]PRICELIST, 908u'!$G$7:$G$914,0),41),"NA")</f>
        <v>100000</v>
      </c>
      <c r="N1583" s="58">
        <f t="shared" si="80"/>
        <v>2550000</v>
      </c>
      <c r="O1583" s="60"/>
      <c r="P1583" s="60">
        <f t="shared" si="79"/>
        <v>2550000</v>
      </c>
    </row>
    <row r="1584" spans="2:16">
      <c r="B1584" s="20" t="s">
        <v>1735</v>
      </c>
      <c r="C1584" s="20" t="s">
        <v>2</v>
      </c>
      <c r="D1584" s="20" t="str">
        <f>IFERROR(INDEX('[2]PRICELIST, 908u'!$G$7:$AX$914,MATCH($B1584,'[2]PRICELIST, 908u'!$G$7:$G$914,0),18),"NA")</f>
        <v>Lot Only - N/A</v>
      </c>
      <c r="E1584" s="20" t="str">
        <f>IFERROR(INDEX([3]AGM!$D$21:$BL$928,MATCH($B1584,[3]AGM!$AD$21:$AD$928,0),1),"NA")</f>
        <v>OPEN</v>
      </c>
      <c r="F1584" s="20" t="str">
        <f t="shared" si="78"/>
        <v>Block 33</v>
      </c>
      <c r="G1584" s="20" t="str">
        <f t="shared" si="77"/>
        <v>Lot 11</v>
      </c>
      <c r="H1584" s="20" t="str">
        <f>IFERROR(INDEX('[2]PRICELIST, 908u'!$G$7:$AX$914,MATCH($B1584,'[2]PRICELIST, 908u'!$G$7:$G$914,0),23),"NA")</f>
        <v>N/A</v>
      </c>
      <c r="I1584" s="20">
        <f>IFERROR(INDEX('[2]PRICELIST, 908u'!$G$7:$AX$914,MATCH($B1584,'[2]PRICELIST, 908u'!$G$7:$G$914,0),22),"NA")</f>
        <v>100</v>
      </c>
      <c r="J1584" s="20" t="s">
        <v>100</v>
      </c>
      <c r="K1584" s="37" t="s">
        <v>1025</v>
      </c>
      <c r="L1584" s="20">
        <f>IFERROR(INDEX('[2]PRICELIST, 908u'!$G$7:$AX$914,MATCH($B1584,'[2]PRICELIST, 908u'!$G$7:$G$914,0),40),"NA")</f>
        <v>1600000</v>
      </c>
      <c r="M1584" s="20">
        <f>IFERROR(INDEX('[2]PRICELIST, 908u'!$G$7:$AX$914,MATCH($B1584,'[2]PRICELIST, 908u'!$G$7:$G$914,0),41),"NA")</f>
        <v>100000</v>
      </c>
      <c r="N1584" s="58">
        <f t="shared" si="80"/>
        <v>1500000</v>
      </c>
      <c r="O1584" s="60"/>
      <c r="P1584" s="60">
        <f t="shared" si="79"/>
        <v>1500000</v>
      </c>
    </row>
    <row r="1585" spans="2:16">
      <c r="B1585" s="20" t="s">
        <v>1736</v>
      </c>
      <c r="C1585" s="20" t="s">
        <v>2</v>
      </c>
      <c r="D1585" s="20" t="str">
        <f>IFERROR(INDEX('[2]PRICELIST, 908u'!$G$7:$AX$914,MATCH($B1585,'[2]PRICELIST, 908u'!$G$7:$G$914,0),18),"NA")</f>
        <v>Lot Only - N/A</v>
      </c>
      <c r="E1585" s="20" t="str">
        <f>IFERROR(INDEX([3]AGM!$D$21:$BL$928,MATCH($B1585,[3]AGM!$AD$21:$AD$928,0),1),"NA")</f>
        <v>OPEN</v>
      </c>
      <c r="F1585" s="20" t="str">
        <f t="shared" si="78"/>
        <v>Block 34</v>
      </c>
      <c r="G1585" s="20" t="str">
        <f t="shared" si="77"/>
        <v>Lot 01</v>
      </c>
      <c r="H1585" s="20" t="str">
        <f>IFERROR(INDEX('[2]PRICELIST, 908u'!$G$7:$AX$914,MATCH($B1585,'[2]PRICELIST, 908u'!$G$7:$G$914,0),23),"NA")</f>
        <v>N/A</v>
      </c>
      <c r="I1585" s="20">
        <f>IFERROR(INDEX('[2]PRICELIST, 908u'!$G$7:$AX$914,MATCH($B1585,'[2]PRICELIST, 908u'!$G$7:$G$914,0),22),"NA")</f>
        <v>100</v>
      </c>
      <c r="J1585" s="20" t="s">
        <v>100</v>
      </c>
      <c r="K1585" s="37" t="s">
        <v>1025</v>
      </c>
      <c r="L1585" s="20">
        <f>IFERROR(INDEX('[2]PRICELIST, 908u'!$G$7:$AX$914,MATCH($B1585,'[2]PRICELIST, 908u'!$G$7:$G$914,0),40),"NA")</f>
        <v>1600000</v>
      </c>
      <c r="M1585" s="20">
        <f>IFERROR(INDEX('[2]PRICELIST, 908u'!$G$7:$AX$914,MATCH($B1585,'[2]PRICELIST, 908u'!$G$7:$G$914,0),41),"NA")</f>
        <v>100000</v>
      </c>
      <c r="N1585" s="58">
        <f t="shared" si="80"/>
        <v>1500000</v>
      </c>
      <c r="O1585" s="60"/>
      <c r="P1585" s="60">
        <f t="shared" si="79"/>
        <v>1500000</v>
      </c>
    </row>
    <row r="1586" spans="2:16">
      <c r="B1586" s="20" t="s">
        <v>1737</v>
      </c>
      <c r="C1586" s="20" t="s">
        <v>2</v>
      </c>
      <c r="D1586" s="20" t="str">
        <f>IFERROR(INDEX('[2]PRICELIST, 908u'!$G$7:$AX$914,MATCH($B1586,'[2]PRICELIST, 908u'!$G$7:$G$914,0),18),"NA")</f>
        <v>2025 - Batch 6</v>
      </c>
      <c r="E1586" s="20" t="str">
        <f>IFERROR(INDEX([3]AGM!$D$21:$BL$928,MATCH($B1586,[3]AGM!$AD$21:$AD$928,0),1),"NA")</f>
        <v>OS</v>
      </c>
      <c r="F1586" s="20" t="str">
        <f t="shared" si="78"/>
        <v>Block 34</v>
      </c>
      <c r="G1586" s="20" t="str">
        <f t="shared" si="77"/>
        <v>Lot 02</v>
      </c>
      <c r="H1586" s="20">
        <f>IFERROR(INDEX('[2]PRICELIST, 908u'!$G$7:$AX$914,MATCH($B1586,'[2]PRICELIST, 908u'!$G$7:$G$914,0),23),"NA")</f>
        <v>50</v>
      </c>
      <c r="I1586" s="20">
        <f>IFERROR(INDEX('[2]PRICELIST, 908u'!$G$7:$AX$914,MATCH($B1586,'[2]PRICELIST, 908u'!$G$7:$G$914,0),22),"NA")</f>
        <v>70</v>
      </c>
      <c r="J1586" s="20" t="s">
        <v>207</v>
      </c>
      <c r="K1586" s="20" t="str">
        <f>IFERROR(INDEX('[2]PRICELIST, 908u'!$G$7:$AX$914,MATCH($B1586,'[2]PRICELIST, 908u'!$G$7:$G$914,0),30),"NA")</f>
        <v>Flat / PURPLE</v>
      </c>
      <c r="L1586" s="20">
        <f>IFERROR(INDEX('[2]PRICELIST, 908u'!$G$7:$AX$914,MATCH($B1586,'[2]PRICELIST, 908u'!$G$7:$G$914,0),40),"NA")</f>
        <v>2650000</v>
      </c>
      <c r="M1586" s="20">
        <f>IFERROR(INDEX('[2]PRICELIST, 908u'!$G$7:$AX$914,MATCH($B1586,'[2]PRICELIST, 908u'!$G$7:$G$914,0),41),"NA")</f>
        <v>100000</v>
      </c>
      <c r="N1586" s="58">
        <f t="shared" si="80"/>
        <v>2550000</v>
      </c>
      <c r="O1586" s="60"/>
      <c r="P1586" s="60">
        <f t="shared" si="79"/>
        <v>2550000</v>
      </c>
    </row>
    <row r="1587" spans="2:16">
      <c r="B1587" s="20" t="s">
        <v>1738</v>
      </c>
      <c r="C1587" s="20" t="s">
        <v>2</v>
      </c>
      <c r="D1587" s="20" t="str">
        <f>IFERROR(INDEX('[2]PRICELIST, 908u'!$G$7:$AX$914,MATCH($B1587,'[2]PRICELIST, 908u'!$G$7:$G$914,0),18),"NA")</f>
        <v>2025 - Batch 6</v>
      </c>
      <c r="E1587" s="20" t="str">
        <f>IFERROR(INDEX([3]AGM!$D$21:$BL$928,MATCH($B1587,[3]AGM!$AD$21:$AD$928,0),1),"NA")</f>
        <v>OS</v>
      </c>
      <c r="F1587" s="20" t="str">
        <f t="shared" si="78"/>
        <v>Block 34</v>
      </c>
      <c r="G1587" s="20" t="str">
        <f t="shared" si="77"/>
        <v>Lot 03</v>
      </c>
      <c r="H1587" s="20">
        <f>IFERROR(INDEX('[2]PRICELIST, 908u'!$G$7:$AX$914,MATCH($B1587,'[2]PRICELIST, 908u'!$G$7:$G$914,0),23),"NA")</f>
        <v>50</v>
      </c>
      <c r="I1587" s="20">
        <f>IFERROR(INDEX('[2]PRICELIST, 908u'!$G$7:$AX$914,MATCH($B1587,'[2]PRICELIST, 908u'!$G$7:$G$914,0),22),"NA")</f>
        <v>70</v>
      </c>
      <c r="J1587" s="20" t="s">
        <v>207</v>
      </c>
      <c r="K1587" s="20" t="str">
        <f>IFERROR(INDEX('[2]PRICELIST, 908u'!$G$7:$AX$914,MATCH($B1587,'[2]PRICELIST, 908u'!$G$7:$G$914,0),30),"NA")</f>
        <v>Slant / PURPLE</v>
      </c>
      <c r="L1587" s="20">
        <f>IFERROR(INDEX('[2]PRICELIST, 908u'!$G$7:$AX$914,MATCH($B1587,'[2]PRICELIST, 908u'!$G$7:$G$914,0),40),"NA")</f>
        <v>2650000</v>
      </c>
      <c r="M1587" s="20">
        <f>IFERROR(INDEX('[2]PRICELIST, 908u'!$G$7:$AX$914,MATCH($B1587,'[2]PRICELIST, 908u'!$G$7:$G$914,0),41),"NA")</f>
        <v>100000</v>
      </c>
      <c r="N1587" s="58">
        <f t="shared" si="80"/>
        <v>2550000</v>
      </c>
      <c r="O1587" s="60"/>
      <c r="P1587" s="60">
        <f t="shared" si="79"/>
        <v>2550000</v>
      </c>
    </row>
    <row r="1588" spans="2:16">
      <c r="B1588" s="20" t="s">
        <v>1739</v>
      </c>
      <c r="C1588" s="20" t="s">
        <v>2</v>
      </c>
      <c r="D1588" s="20" t="str">
        <f>IFERROR(INDEX('[2]PRICELIST, 908u'!$G$7:$AX$914,MATCH($B1588,'[2]PRICELIST, 908u'!$G$7:$G$914,0),18),"NA")</f>
        <v>2025 - Batch 6</v>
      </c>
      <c r="E1588" s="20" t="str">
        <f>IFERROR(INDEX([3]AGM!$D$21:$BL$928,MATCH($B1588,[3]AGM!$AD$21:$AD$928,0),1),"NA")</f>
        <v>OS</v>
      </c>
      <c r="F1588" s="20" t="str">
        <f t="shared" si="78"/>
        <v>Block 34</v>
      </c>
      <c r="G1588" s="20" t="str">
        <f t="shared" si="77"/>
        <v>Lot 04</v>
      </c>
      <c r="H1588" s="20">
        <f>IFERROR(INDEX('[2]PRICELIST, 908u'!$G$7:$AX$914,MATCH($B1588,'[2]PRICELIST, 908u'!$G$7:$G$914,0),23),"NA")</f>
        <v>50</v>
      </c>
      <c r="I1588" s="20">
        <f>IFERROR(INDEX('[2]PRICELIST, 908u'!$G$7:$AX$914,MATCH($B1588,'[2]PRICELIST, 908u'!$G$7:$G$914,0),22),"NA")</f>
        <v>100</v>
      </c>
      <c r="J1588" s="20" t="s">
        <v>207</v>
      </c>
      <c r="K1588" s="20" t="str">
        <f>IFERROR(INDEX('[2]PRICELIST, 908u'!$G$7:$AX$914,MATCH($B1588,'[2]PRICELIST, 908u'!$G$7:$G$914,0),30),"NA")</f>
        <v>Slant / YELLOW</v>
      </c>
      <c r="L1588" s="20">
        <f>IFERROR(INDEX('[2]PRICELIST, 908u'!$G$7:$AX$914,MATCH($B1588,'[2]PRICELIST, 908u'!$G$7:$G$914,0),40),"NA")</f>
        <v>3100000</v>
      </c>
      <c r="M1588" s="20">
        <f>IFERROR(INDEX('[2]PRICELIST, 908u'!$G$7:$AX$914,MATCH($B1588,'[2]PRICELIST, 908u'!$G$7:$G$914,0),41),"NA")</f>
        <v>100000</v>
      </c>
      <c r="N1588" s="58">
        <f t="shared" si="80"/>
        <v>3000000</v>
      </c>
      <c r="O1588" s="60"/>
      <c r="P1588" s="60">
        <f t="shared" si="79"/>
        <v>3000000</v>
      </c>
    </row>
    <row r="1589" spans="2:16">
      <c r="B1589" s="20" t="s">
        <v>1740</v>
      </c>
      <c r="C1589" s="20" t="s">
        <v>2</v>
      </c>
      <c r="D1589" s="20" t="str">
        <f>IFERROR(INDEX('[2]PRICELIST, 908u'!$G$7:$AX$914,MATCH($B1589,'[2]PRICELIST, 908u'!$G$7:$G$914,0),18),"NA")</f>
        <v>2025 - Batch 6</v>
      </c>
      <c r="E1589" s="20" t="str">
        <f>IFERROR(INDEX([3]AGM!$D$21:$BL$928,MATCH($B1589,[3]AGM!$AD$21:$AD$928,0),1),"NA")</f>
        <v>OS</v>
      </c>
      <c r="F1589" s="20" t="str">
        <f t="shared" si="78"/>
        <v>Block 34</v>
      </c>
      <c r="G1589" s="20" t="str">
        <f t="shared" si="77"/>
        <v>Lot 05</v>
      </c>
      <c r="H1589" s="20">
        <f>IFERROR(INDEX('[2]PRICELIST, 908u'!$G$7:$AX$914,MATCH($B1589,'[2]PRICELIST, 908u'!$G$7:$G$914,0),23),"NA")</f>
        <v>50</v>
      </c>
      <c r="I1589" s="20">
        <f>IFERROR(INDEX('[2]PRICELIST, 908u'!$G$7:$AX$914,MATCH($B1589,'[2]PRICELIST, 908u'!$G$7:$G$914,0),22),"NA")</f>
        <v>100</v>
      </c>
      <c r="J1589" s="20" t="s">
        <v>207</v>
      </c>
      <c r="K1589" s="20" t="str">
        <f>IFERROR(INDEX('[2]PRICELIST, 908u'!$G$7:$AX$914,MATCH($B1589,'[2]PRICELIST, 908u'!$G$7:$G$914,0),30),"NA")</f>
        <v>Flat / YELLOW</v>
      </c>
      <c r="L1589" s="20">
        <f>IFERROR(INDEX('[2]PRICELIST, 908u'!$G$7:$AX$914,MATCH($B1589,'[2]PRICELIST, 908u'!$G$7:$G$914,0),40),"NA")</f>
        <v>3100000</v>
      </c>
      <c r="M1589" s="20">
        <f>IFERROR(INDEX('[2]PRICELIST, 908u'!$G$7:$AX$914,MATCH($B1589,'[2]PRICELIST, 908u'!$G$7:$G$914,0),41),"NA")</f>
        <v>100000</v>
      </c>
      <c r="N1589" s="58">
        <f t="shared" si="80"/>
        <v>3000000</v>
      </c>
      <c r="O1589" s="60"/>
      <c r="P1589" s="60">
        <f t="shared" si="79"/>
        <v>3000000</v>
      </c>
    </row>
    <row r="1590" spans="2:16">
      <c r="B1590" s="20" t="s">
        <v>1741</v>
      </c>
      <c r="C1590" s="20" t="s">
        <v>2</v>
      </c>
      <c r="D1590" s="20" t="str">
        <f>IFERROR(INDEX('[2]PRICELIST, 908u'!$G$7:$AX$914,MATCH($B1590,'[2]PRICELIST, 908u'!$G$7:$G$914,0),18),"NA")</f>
        <v>2025 - Batch 6</v>
      </c>
      <c r="E1590" s="20" t="str">
        <f>IFERROR(INDEX([3]AGM!$D$21:$BL$928,MATCH($B1590,[3]AGM!$AD$21:$AD$928,0),1),"NA")</f>
        <v>OS</v>
      </c>
      <c r="F1590" s="20" t="str">
        <f t="shared" si="78"/>
        <v>Block 34</v>
      </c>
      <c r="G1590" s="20" t="str">
        <f t="shared" si="77"/>
        <v>Lot 06</v>
      </c>
      <c r="H1590" s="20">
        <f>IFERROR(INDEX('[2]PRICELIST, 908u'!$G$7:$AX$914,MATCH($B1590,'[2]PRICELIST, 908u'!$G$7:$G$914,0),23),"NA")</f>
        <v>50</v>
      </c>
      <c r="I1590" s="20">
        <f>IFERROR(INDEX('[2]PRICELIST, 908u'!$G$7:$AX$914,MATCH($B1590,'[2]PRICELIST, 908u'!$G$7:$G$914,0),22),"NA")</f>
        <v>70</v>
      </c>
      <c r="J1590" s="20" t="s">
        <v>207</v>
      </c>
      <c r="K1590" s="20" t="str">
        <f>IFERROR(INDEX('[2]PRICELIST, 908u'!$G$7:$AX$914,MATCH($B1590,'[2]PRICELIST, 908u'!$G$7:$G$914,0),30),"NA")</f>
        <v>Flat / PURPLE</v>
      </c>
      <c r="L1590" s="20">
        <f>IFERROR(INDEX('[2]PRICELIST, 908u'!$G$7:$AX$914,MATCH($B1590,'[2]PRICELIST, 908u'!$G$7:$G$914,0),40),"NA")</f>
        <v>2650000</v>
      </c>
      <c r="M1590" s="20">
        <f>IFERROR(INDEX('[2]PRICELIST, 908u'!$G$7:$AX$914,MATCH($B1590,'[2]PRICELIST, 908u'!$G$7:$G$914,0),41),"NA")</f>
        <v>100000</v>
      </c>
      <c r="N1590" s="58">
        <f t="shared" si="80"/>
        <v>2550000</v>
      </c>
      <c r="O1590" s="60"/>
      <c r="P1590" s="60">
        <f t="shared" si="79"/>
        <v>2550000</v>
      </c>
    </row>
    <row r="1591" spans="2:16">
      <c r="B1591" s="20" t="s">
        <v>1742</v>
      </c>
      <c r="C1591" s="20" t="s">
        <v>2</v>
      </c>
      <c r="D1591" s="20" t="str">
        <f>IFERROR(INDEX('[2]PRICELIST, 908u'!$G$7:$AX$914,MATCH($B1591,'[2]PRICELIST, 908u'!$G$7:$G$914,0),18),"NA")</f>
        <v>2025 - Batch 6</v>
      </c>
      <c r="E1591" s="20" t="str">
        <f>IFERROR(INDEX([3]AGM!$D$21:$BL$928,MATCH($B1591,[3]AGM!$AD$21:$AD$928,0),1),"NA")</f>
        <v>OS</v>
      </c>
      <c r="F1591" s="20" t="str">
        <f t="shared" si="78"/>
        <v>Block 34</v>
      </c>
      <c r="G1591" s="20" t="str">
        <f t="shared" si="77"/>
        <v>Lot 07</v>
      </c>
      <c r="H1591" s="20">
        <f>IFERROR(INDEX('[2]PRICELIST, 908u'!$G$7:$AX$914,MATCH($B1591,'[2]PRICELIST, 908u'!$G$7:$G$914,0),23),"NA")</f>
        <v>50</v>
      </c>
      <c r="I1591" s="20">
        <f>IFERROR(INDEX('[2]PRICELIST, 908u'!$G$7:$AX$914,MATCH($B1591,'[2]PRICELIST, 908u'!$G$7:$G$914,0),22),"NA")</f>
        <v>70</v>
      </c>
      <c r="J1591" s="20" t="s">
        <v>207</v>
      </c>
      <c r="K1591" s="20" t="str">
        <f>IFERROR(INDEX('[2]PRICELIST, 908u'!$G$7:$AX$914,MATCH($B1591,'[2]PRICELIST, 908u'!$G$7:$G$914,0),30),"NA")</f>
        <v>Slant / PURPLE</v>
      </c>
      <c r="L1591" s="20">
        <f>IFERROR(INDEX('[2]PRICELIST, 908u'!$G$7:$AX$914,MATCH($B1591,'[2]PRICELIST, 908u'!$G$7:$G$914,0),40),"NA")</f>
        <v>2650000</v>
      </c>
      <c r="M1591" s="20">
        <f>IFERROR(INDEX('[2]PRICELIST, 908u'!$G$7:$AX$914,MATCH($B1591,'[2]PRICELIST, 908u'!$G$7:$G$914,0),41),"NA")</f>
        <v>100000</v>
      </c>
      <c r="N1591" s="58">
        <f t="shared" si="80"/>
        <v>2550000</v>
      </c>
      <c r="O1591" s="60"/>
      <c r="P1591" s="60">
        <f t="shared" si="79"/>
        <v>2550000</v>
      </c>
    </row>
    <row r="1592" spans="2:16">
      <c r="B1592" s="20" t="s">
        <v>1743</v>
      </c>
      <c r="C1592" s="20" t="s">
        <v>2</v>
      </c>
      <c r="D1592" s="20" t="str">
        <f>IFERROR(INDEX('[2]PRICELIST, 908u'!$G$7:$AX$914,MATCH($B1592,'[2]PRICELIST, 908u'!$G$7:$G$914,0),18),"NA")</f>
        <v>2025 - Batch 6</v>
      </c>
      <c r="E1592" s="20" t="str">
        <f>IFERROR(INDEX([3]AGM!$D$21:$BL$928,MATCH($B1592,[3]AGM!$AD$21:$AD$928,0),1),"NA")</f>
        <v>OS</v>
      </c>
      <c r="F1592" s="20" t="str">
        <f t="shared" si="78"/>
        <v>Block 35</v>
      </c>
      <c r="G1592" s="20" t="str">
        <f t="shared" si="77"/>
        <v>Lot 01</v>
      </c>
      <c r="H1592" s="20">
        <f>IFERROR(INDEX('[2]PRICELIST, 908u'!$G$7:$AX$914,MATCH($B1592,'[2]PRICELIST, 908u'!$G$7:$G$914,0),23),"NA")</f>
        <v>50</v>
      </c>
      <c r="I1592" s="20">
        <f>IFERROR(INDEX('[2]PRICELIST, 908u'!$G$7:$AX$914,MATCH($B1592,'[2]PRICELIST, 908u'!$G$7:$G$914,0),22),"NA")</f>
        <v>70</v>
      </c>
      <c r="J1592" s="20" t="s">
        <v>207</v>
      </c>
      <c r="K1592" s="20" t="str">
        <f>IFERROR(INDEX('[2]PRICELIST, 908u'!$G$7:$AX$914,MATCH($B1592,'[2]PRICELIST, 908u'!$G$7:$G$914,0),30),"NA")</f>
        <v>Flat / GREEN</v>
      </c>
      <c r="L1592" s="20">
        <f>IFERROR(INDEX('[2]PRICELIST, 908u'!$G$7:$AX$914,MATCH($B1592,'[2]PRICELIST, 908u'!$G$7:$G$914,0),40),"NA")</f>
        <v>2650000</v>
      </c>
      <c r="M1592" s="20">
        <f>IFERROR(INDEX('[2]PRICELIST, 908u'!$G$7:$AX$914,MATCH($B1592,'[2]PRICELIST, 908u'!$G$7:$G$914,0),41),"NA")</f>
        <v>100000</v>
      </c>
      <c r="N1592" s="58">
        <f t="shared" si="80"/>
        <v>2550000</v>
      </c>
      <c r="O1592" s="60"/>
      <c r="P1592" s="60">
        <f t="shared" si="79"/>
        <v>2550000</v>
      </c>
    </row>
    <row r="1593" spans="2:16">
      <c r="B1593" s="20" t="s">
        <v>1744</v>
      </c>
      <c r="C1593" s="20" t="s">
        <v>2</v>
      </c>
      <c r="D1593" s="20" t="str">
        <f>IFERROR(INDEX('[2]PRICELIST, 908u'!$G$7:$AX$914,MATCH($B1593,'[2]PRICELIST, 908u'!$G$7:$G$914,0),18),"NA")</f>
        <v>2025 - Batch 6</v>
      </c>
      <c r="E1593" s="20" t="str">
        <f>IFERROR(INDEX([3]AGM!$D$21:$BL$928,MATCH($B1593,[3]AGM!$AD$21:$AD$928,0),1),"NA")</f>
        <v>OS</v>
      </c>
      <c r="F1593" s="20" t="str">
        <f t="shared" si="78"/>
        <v>Block 35</v>
      </c>
      <c r="G1593" s="20" t="str">
        <f t="shared" si="77"/>
        <v>Lot 02</v>
      </c>
      <c r="H1593" s="20">
        <f>IFERROR(INDEX('[2]PRICELIST, 908u'!$G$7:$AX$914,MATCH($B1593,'[2]PRICELIST, 908u'!$G$7:$G$914,0),23),"NA")</f>
        <v>50</v>
      </c>
      <c r="I1593" s="20">
        <f>IFERROR(INDEX('[2]PRICELIST, 908u'!$G$7:$AX$914,MATCH($B1593,'[2]PRICELIST, 908u'!$G$7:$G$914,0),22),"NA")</f>
        <v>70</v>
      </c>
      <c r="J1593" s="20" t="s">
        <v>207</v>
      </c>
      <c r="K1593" s="20" t="str">
        <f>IFERROR(INDEX('[2]PRICELIST, 908u'!$G$7:$AX$914,MATCH($B1593,'[2]PRICELIST, 908u'!$G$7:$G$914,0),30),"NA")</f>
        <v>Slant / GREEN</v>
      </c>
      <c r="L1593" s="20">
        <f>IFERROR(INDEX('[2]PRICELIST, 908u'!$G$7:$AX$914,MATCH($B1593,'[2]PRICELIST, 908u'!$G$7:$G$914,0),40),"NA")</f>
        <v>2650000</v>
      </c>
      <c r="M1593" s="20">
        <f>IFERROR(INDEX('[2]PRICELIST, 908u'!$G$7:$AX$914,MATCH($B1593,'[2]PRICELIST, 908u'!$G$7:$G$914,0),41),"NA")</f>
        <v>100000</v>
      </c>
      <c r="N1593" s="58">
        <f t="shared" si="80"/>
        <v>2550000</v>
      </c>
      <c r="O1593" s="60"/>
      <c r="P1593" s="60">
        <f t="shared" si="79"/>
        <v>2550000</v>
      </c>
    </row>
    <row r="1594" spans="2:16">
      <c r="B1594" s="20" t="s">
        <v>1745</v>
      </c>
      <c r="C1594" s="20" t="s">
        <v>2</v>
      </c>
      <c r="D1594" s="20" t="str">
        <f>IFERROR(INDEX('[2]PRICELIST, 908u'!$G$7:$AX$914,MATCH($B1594,'[2]PRICELIST, 908u'!$G$7:$G$914,0),18),"NA")</f>
        <v>2025 - Batch 6</v>
      </c>
      <c r="E1594" s="20" t="str">
        <f>IFERROR(INDEX([3]AGM!$D$21:$BL$928,MATCH($B1594,[3]AGM!$AD$21:$AD$928,0),1),"NA")</f>
        <v>OS</v>
      </c>
      <c r="F1594" s="20" t="str">
        <f t="shared" si="78"/>
        <v>Block 35</v>
      </c>
      <c r="G1594" s="20" t="str">
        <f t="shared" si="77"/>
        <v>Lot 03</v>
      </c>
      <c r="H1594" s="20">
        <f>IFERROR(INDEX('[2]PRICELIST, 908u'!$G$7:$AX$914,MATCH($B1594,'[2]PRICELIST, 908u'!$G$7:$G$914,0),23),"NA")</f>
        <v>50</v>
      </c>
      <c r="I1594" s="20">
        <f>IFERROR(INDEX('[2]PRICELIST, 908u'!$G$7:$AX$914,MATCH($B1594,'[2]PRICELIST, 908u'!$G$7:$G$914,0),22),"NA")</f>
        <v>70</v>
      </c>
      <c r="J1594" s="20" t="s">
        <v>207</v>
      </c>
      <c r="K1594" s="20" t="str">
        <f>IFERROR(INDEX('[2]PRICELIST, 908u'!$G$7:$AX$914,MATCH($B1594,'[2]PRICELIST, 908u'!$G$7:$G$914,0),30),"NA")</f>
        <v>Flat / GREEN</v>
      </c>
      <c r="L1594" s="20">
        <f>IFERROR(INDEX('[2]PRICELIST, 908u'!$G$7:$AX$914,MATCH($B1594,'[2]PRICELIST, 908u'!$G$7:$G$914,0),40),"NA")</f>
        <v>2650000</v>
      </c>
      <c r="M1594" s="20">
        <f>IFERROR(INDEX('[2]PRICELIST, 908u'!$G$7:$AX$914,MATCH($B1594,'[2]PRICELIST, 908u'!$G$7:$G$914,0),41),"NA")</f>
        <v>100000</v>
      </c>
      <c r="N1594" s="58">
        <f t="shared" si="80"/>
        <v>2550000</v>
      </c>
      <c r="O1594" s="60"/>
      <c r="P1594" s="60">
        <f t="shared" si="79"/>
        <v>2550000</v>
      </c>
    </row>
    <row r="1595" spans="2:16">
      <c r="B1595" s="20" t="s">
        <v>1746</v>
      </c>
      <c r="C1595" s="20" t="s">
        <v>2</v>
      </c>
      <c r="D1595" s="20" t="str">
        <f>IFERROR(INDEX('[2]PRICELIST, 908u'!$G$7:$AX$914,MATCH($B1595,'[2]PRICELIST, 908u'!$G$7:$G$914,0),18),"NA")</f>
        <v>2025 - Batch 6</v>
      </c>
      <c r="E1595" s="20" t="str">
        <f>IFERROR(INDEX([3]AGM!$D$21:$BL$928,MATCH($B1595,[3]AGM!$AD$21:$AD$928,0),1),"NA")</f>
        <v>OS</v>
      </c>
      <c r="F1595" s="20" t="str">
        <f t="shared" si="78"/>
        <v>Block 35</v>
      </c>
      <c r="G1595" s="20" t="str">
        <f t="shared" si="77"/>
        <v>Lot 04</v>
      </c>
      <c r="H1595" s="20">
        <f>IFERROR(INDEX('[2]PRICELIST, 908u'!$G$7:$AX$914,MATCH($B1595,'[2]PRICELIST, 908u'!$G$7:$G$914,0),23),"NA")</f>
        <v>50</v>
      </c>
      <c r="I1595" s="20">
        <f>IFERROR(INDEX('[2]PRICELIST, 908u'!$G$7:$AX$914,MATCH($B1595,'[2]PRICELIST, 908u'!$G$7:$G$914,0),22),"NA")</f>
        <v>70</v>
      </c>
      <c r="J1595" s="20" t="s">
        <v>207</v>
      </c>
      <c r="K1595" s="20" t="str">
        <f>IFERROR(INDEX('[2]PRICELIST, 908u'!$G$7:$AX$914,MATCH($B1595,'[2]PRICELIST, 908u'!$G$7:$G$914,0),30),"NA")</f>
        <v>Slant / GREEN</v>
      </c>
      <c r="L1595" s="20">
        <f>IFERROR(INDEX('[2]PRICELIST, 908u'!$G$7:$AX$914,MATCH($B1595,'[2]PRICELIST, 908u'!$G$7:$G$914,0),40),"NA")</f>
        <v>2650000</v>
      </c>
      <c r="M1595" s="20">
        <f>IFERROR(INDEX('[2]PRICELIST, 908u'!$G$7:$AX$914,MATCH($B1595,'[2]PRICELIST, 908u'!$G$7:$G$914,0),41),"NA")</f>
        <v>100000</v>
      </c>
      <c r="N1595" s="58">
        <f t="shared" si="80"/>
        <v>2550000</v>
      </c>
      <c r="O1595" s="60"/>
      <c r="P1595" s="60">
        <f t="shared" si="79"/>
        <v>2550000</v>
      </c>
    </row>
    <row r="1596" spans="2:16">
      <c r="B1596" s="20" t="s">
        <v>1747</v>
      </c>
      <c r="C1596" s="20" t="s">
        <v>2</v>
      </c>
      <c r="D1596" s="20" t="str">
        <f>IFERROR(INDEX('[2]PRICELIST, 908u'!$G$7:$AX$914,MATCH($B1596,'[2]PRICELIST, 908u'!$G$7:$G$914,0),18),"NA")</f>
        <v>2025 - Batch 4</v>
      </c>
      <c r="E1596" s="20" t="str">
        <f>IFERROR(INDEX([3]AGM!$D$21:$BL$928,MATCH($B1596,[3]AGM!$AD$21:$AD$928,0),1),"NA")</f>
        <v>OS</v>
      </c>
      <c r="F1596" s="20" t="str">
        <f t="shared" si="78"/>
        <v>Block 36</v>
      </c>
      <c r="G1596" s="20" t="str">
        <f t="shared" si="77"/>
        <v>Lot 01</v>
      </c>
      <c r="H1596" s="20">
        <f>IFERROR(INDEX('[2]PRICELIST, 908u'!$G$7:$AX$914,MATCH($B1596,'[2]PRICELIST, 908u'!$G$7:$G$914,0),23),"NA")</f>
        <v>50</v>
      </c>
      <c r="I1596" s="20">
        <f>IFERROR(INDEX('[2]PRICELIST, 908u'!$G$7:$AX$914,MATCH($B1596,'[2]PRICELIST, 908u'!$G$7:$G$914,0),22),"NA")</f>
        <v>95</v>
      </c>
      <c r="J1596" s="20" t="s">
        <v>207</v>
      </c>
      <c r="K1596" s="20" t="str">
        <f>IFERROR(INDEX('[2]PRICELIST, 908u'!$G$7:$AX$914,MATCH($B1596,'[2]PRICELIST, 908u'!$G$7:$G$914,0),30),"NA")</f>
        <v>Slant / PINK</v>
      </c>
      <c r="L1596" s="20">
        <f>IFERROR(INDEX('[2]PRICELIST, 908u'!$G$7:$AX$914,MATCH($B1596,'[2]PRICELIST, 908u'!$G$7:$G$914,0),40),"NA")</f>
        <v>3025000</v>
      </c>
      <c r="M1596" s="20">
        <f>IFERROR(INDEX('[2]PRICELIST, 908u'!$G$7:$AX$914,MATCH($B1596,'[2]PRICELIST, 908u'!$G$7:$G$914,0),41),"NA")</f>
        <v>100000</v>
      </c>
      <c r="N1596" s="58">
        <f t="shared" si="80"/>
        <v>2925000</v>
      </c>
      <c r="O1596" s="60"/>
      <c r="P1596" s="60">
        <f t="shared" si="79"/>
        <v>2925000</v>
      </c>
    </row>
    <row r="1597" spans="2:16">
      <c r="B1597" s="20" t="s">
        <v>1748</v>
      </c>
      <c r="C1597" s="20" t="s">
        <v>2</v>
      </c>
      <c r="D1597" s="20" t="str">
        <f>IFERROR(INDEX('[2]PRICELIST, 908u'!$G$7:$AX$914,MATCH($B1597,'[2]PRICELIST, 908u'!$G$7:$G$914,0),18),"NA")</f>
        <v>2025 - Batch 4</v>
      </c>
      <c r="E1597" s="20" t="str">
        <f>IFERROR(INDEX([3]AGM!$D$21:$BL$928,MATCH($B1597,[3]AGM!$AD$21:$AD$928,0),1),"NA")</f>
        <v>OS</v>
      </c>
      <c r="F1597" s="20" t="str">
        <f t="shared" si="78"/>
        <v>Block 36</v>
      </c>
      <c r="G1597" s="20" t="str">
        <f t="shared" si="77"/>
        <v>Lot 02</v>
      </c>
      <c r="H1597" s="20">
        <f>IFERROR(INDEX('[2]PRICELIST, 908u'!$G$7:$AX$914,MATCH($B1597,'[2]PRICELIST, 908u'!$G$7:$G$914,0),23),"NA")</f>
        <v>50</v>
      </c>
      <c r="I1597" s="20">
        <f>IFERROR(INDEX('[2]PRICELIST, 908u'!$G$7:$AX$914,MATCH($B1597,'[2]PRICELIST, 908u'!$G$7:$G$914,0),22),"NA")</f>
        <v>90</v>
      </c>
      <c r="J1597" s="20" t="s">
        <v>207</v>
      </c>
      <c r="K1597" s="20" t="str">
        <f>IFERROR(INDEX('[2]PRICELIST, 908u'!$G$7:$AX$914,MATCH($B1597,'[2]PRICELIST, 908u'!$G$7:$G$914,0),30),"NA")</f>
        <v>Flat / PINK</v>
      </c>
      <c r="L1597" s="20">
        <f>IFERROR(INDEX('[2]PRICELIST, 908u'!$G$7:$AX$914,MATCH($B1597,'[2]PRICELIST, 908u'!$G$7:$G$914,0),40),"NA")</f>
        <v>2950000</v>
      </c>
      <c r="M1597" s="20">
        <f>IFERROR(INDEX('[2]PRICELIST, 908u'!$G$7:$AX$914,MATCH($B1597,'[2]PRICELIST, 908u'!$G$7:$G$914,0),41),"NA")</f>
        <v>100000</v>
      </c>
      <c r="N1597" s="58">
        <f t="shared" si="80"/>
        <v>2850000</v>
      </c>
      <c r="O1597" s="60"/>
      <c r="P1597" s="60">
        <f t="shared" si="79"/>
        <v>2850000</v>
      </c>
    </row>
    <row r="1598" spans="2:16">
      <c r="B1598" s="20" t="s">
        <v>1749</v>
      </c>
      <c r="C1598" s="20" t="s">
        <v>2</v>
      </c>
      <c r="D1598" s="20" t="str">
        <f>IFERROR(INDEX('[2]PRICELIST, 908u'!$G$7:$AX$914,MATCH($B1598,'[2]PRICELIST, 908u'!$G$7:$G$914,0),18),"NA")</f>
        <v>2025 - Batch 4</v>
      </c>
      <c r="E1598" s="20" t="str">
        <f>IFERROR(INDEX([3]AGM!$D$21:$BL$928,MATCH($B1598,[3]AGM!$AD$21:$AD$928,0),1),"NA")</f>
        <v>OS</v>
      </c>
      <c r="F1598" s="20" t="str">
        <f t="shared" si="78"/>
        <v>Block 36</v>
      </c>
      <c r="G1598" s="20" t="str">
        <f t="shared" si="77"/>
        <v>Lot 03</v>
      </c>
      <c r="H1598" s="20">
        <f>IFERROR(INDEX('[2]PRICELIST, 908u'!$G$7:$AX$914,MATCH($B1598,'[2]PRICELIST, 908u'!$G$7:$G$914,0),23),"NA")</f>
        <v>50</v>
      </c>
      <c r="I1598" s="20">
        <f>IFERROR(INDEX('[2]PRICELIST, 908u'!$G$7:$AX$914,MATCH($B1598,'[2]PRICELIST, 908u'!$G$7:$G$914,0),22),"NA")</f>
        <v>90</v>
      </c>
      <c r="J1598" s="20" t="s">
        <v>207</v>
      </c>
      <c r="K1598" s="20" t="str">
        <f>IFERROR(INDEX('[2]PRICELIST, 908u'!$G$7:$AX$914,MATCH($B1598,'[2]PRICELIST, 908u'!$G$7:$G$914,0),30),"NA")</f>
        <v>Flat / PINK</v>
      </c>
      <c r="L1598" s="20">
        <f>IFERROR(INDEX('[2]PRICELIST, 908u'!$G$7:$AX$914,MATCH($B1598,'[2]PRICELIST, 908u'!$G$7:$G$914,0),40),"NA")</f>
        <v>2950000</v>
      </c>
      <c r="M1598" s="20">
        <f>IFERROR(INDEX('[2]PRICELIST, 908u'!$G$7:$AX$914,MATCH($B1598,'[2]PRICELIST, 908u'!$G$7:$G$914,0),41),"NA")</f>
        <v>100000</v>
      </c>
      <c r="N1598" s="58">
        <f t="shared" si="80"/>
        <v>2850000</v>
      </c>
      <c r="O1598" s="60"/>
      <c r="P1598" s="60">
        <f t="shared" si="79"/>
        <v>2850000</v>
      </c>
    </row>
    <row r="1599" spans="2:16">
      <c r="B1599" s="20" t="s">
        <v>1750</v>
      </c>
      <c r="C1599" s="20" t="s">
        <v>2</v>
      </c>
      <c r="D1599" s="20" t="str">
        <f>IFERROR(INDEX('[2]PRICELIST, 908u'!$G$7:$AX$914,MATCH($B1599,'[2]PRICELIST, 908u'!$G$7:$G$914,0),18),"NA")</f>
        <v>2025 - Batch 4</v>
      </c>
      <c r="E1599" s="20" t="str">
        <f>IFERROR(INDEX([3]AGM!$D$21:$BL$928,MATCH($B1599,[3]AGM!$AD$21:$AD$928,0),1),"NA")</f>
        <v>OS</v>
      </c>
      <c r="F1599" s="20" t="str">
        <f t="shared" si="78"/>
        <v>Block 36</v>
      </c>
      <c r="G1599" s="20" t="str">
        <f t="shared" si="77"/>
        <v>Lot 04</v>
      </c>
      <c r="H1599" s="20">
        <f>IFERROR(INDEX('[2]PRICELIST, 908u'!$G$7:$AX$914,MATCH($B1599,'[2]PRICELIST, 908u'!$G$7:$G$914,0),23),"NA")</f>
        <v>50</v>
      </c>
      <c r="I1599" s="20">
        <f>IFERROR(INDEX('[2]PRICELIST, 908u'!$G$7:$AX$914,MATCH($B1599,'[2]PRICELIST, 908u'!$G$7:$G$914,0),22),"NA")</f>
        <v>90</v>
      </c>
      <c r="J1599" s="20" t="s">
        <v>207</v>
      </c>
      <c r="K1599" s="20" t="str">
        <f>IFERROR(INDEX('[2]PRICELIST, 908u'!$G$7:$AX$914,MATCH($B1599,'[2]PRICELIST, 908u'!$G$7:$G$914,0),30),"NA")</f>
        <v>Slant / PINK</v>
      </c>
      <c r="L1599" s="20">
        <f>IFERROR(INDEX('[2]PRICELIST, 908u'!$G$7:$AX$914,MATCH($B1599,'[2]PRICELIST, 908u'!$G$7:$G$914,0),40),"NA")</f>
        <v>2950000</v>
      </c>
      <c r="M1599" s="20">
        <f>IFERROR(INDEX('[2]PRICELIST, 908u'!$G$7:$AX$914,MATCH($B1599,'[2]PRICELIST, 908u'!$G$7:$G$914,0),41),"NA")</f>
        <v>100000</v>
      </c>
      <c r="N1599" s="58">
        <f t="shared" si="80"/>
        <v>2850000</v>
      </c>
      <c r="O1599" s="60"/>
      <c r="P1599" s="60">
        <f t="shared" si="79"/>
        <v>2850000</v>
      </c>
    </row>
    <row r="1600" spans="2:16">
      <c r="B1600" s="20" t="s">
        <v>1751</v>
      </c>
      <c r="C1600" s="20" t="s">
        <v>2</v>
      </c>
      <c r="D1600" s="20" t="str">
        <f>IFERROR(INDEX('[2]PRICELIST, 908u'!$G$7:$AX$914,MATCH($B1600,'[2]PRICELIST, 908u'!$G$7:$G$914,0),18),"NA")</f>
        <v>2025 - Batch 4</v>
      </c>
      <c r="E1600" s="20" t="str">
        <f>IFERROR(INDEX([3]AGM!$D$21:$BL$928,MATCH($B1600,[3]AGM!$AD$21:$AD$928,0),1),"NA")</f>
        <v>OS</v>
      </c>
      <c r="F1600" s="20" t="str">
        <f t="shared" si="78"/>
        <v>Block 36</v>
      </c>
      <c r="G1600" s="20" t="str">
        <f t="shared" si="77"/>
        <v>Lot 05</v>
      </c>
      <c r="H1600" s="20">
        <f>IFERROR(INDEX('[2]PRICELIST, 908u'!$G$7:$AX$914,MATCH($B1600,'[2]PRICELIST, 908u'!$G$7:$G$914,0),23),"NA")</f>
        <v>50</v>
      </c>
      <c r="I1600" s="20">
        <f>IFERROR(INDEX('[2]PRICELIST, 908u'!$G$7:$AX$914,MATCH($B1600,'[2]PRICELIST, 908u'!$G$7:$G$914,0),22),"NA")</f>
        <v>110</v>
      </c>
      <c r="J1600" s="20" t="s">
        <v>207</v>
      </c>
      <c r="K1600" s="20" t="str">
        <f>IFERROR(INDEX('[2]PRICELIST, 908u'!$G$7:$AX$914,MATCH($B1600,'[2]PRICELIST, 908u'!$G$7:$G$914,0),30),"NA")</f>
        <v>Slant / YELLOW</v>
      </c>
      <c r="L1600" s="20">
        <f>IFERROR(INDEX('[2]PRICELIST, 908u'!$G$7:$AX$914,MATCH($B1600,'[2]PRICELIST, 908u'!$G$7:$G$914,0),40),"NA")</f>
        <v>3250000</v>
      </c>
      <c r="M1600" s="20">
        <f>IFERROR(INDEX('[2]PRICELIST, 908u'!$G$7:$AX$914,MATCH($B1600,'[2]PRICELIST, 908u'!$G$7:$G$914,0),41),"NA")</f>
        <v>100000</v>
      </c>
      <c r="N1600" s="58">
        <f t="shared" si="80"/>
        <v>3150000</v>
      </c>
      <c r="O1600" s="60"/>
      <c r="P1600" s="60">
        <f t="shared" si="79"/>
        <v>3150000</v>
      </c>
    </row>
    <row r="1601" spans="2:16">
      <c r="B1601" s="20" t="s">
        <v>1752</v>
      </c>
      <c r="C1601" s="20" t="s">
        <v>2</v>
      </c>
      <c r="D1601" s="20" t="str">
        <f>IFERROR(INDEX('[2]PRICELIST, 908u'!$G$7:$AX$914,MATCH($B1601,'[2]PRICELIST, 908u'!$G$7:$G$914,0),18),"NA")</f>
        <v>2025 - Batch 4</v>
      </c>
      <c r="E1601" s="20" t="str">
        <f>IFERROR(INDEX([3]AGM!$D$21:$BL$928,MATCH($B1601,[3]AGM!$AD$21:$AD$928,0),1),"NA")</f>
        <v>OS</v>
      </c>
      <c r="F1601" s="20" t="str">
        <f t="shared" si="78"/>
        <v>Block 36</v>
      </c>
      <c r="G1601" s="20" t="str">
        <f t="shared" si="77"/>
        <v>Lot 06</v>
      </c>
      <c r="H1601" s="20">
        <f>IFERROR(INDEX('[2]PRICELIST, 908u'!$G$7:$AX$914,MATCH($B1601,'[2]PRICELIST, 908u'!$G$7:$G$914,0),23),"NA")</f>
        <v>50</v>
      </c>
      <c r="I1601" s="20">
        <f>IFERROR(INDEX('[2]PRICELIST, 908u'!$G$7:$AX$914,MATCH($B1601,'[2]PRICELIST, 908u'!$G$7:$G$914,0),22),"NA")</f>
        <v>100</v>
      </c>
      <c r="J1601" s="20" t="s">
        <v>207</v>
      </c>
      <c r="K1601" s="20" t="str">
        <f>IFERROR(INDEX('[2]PRICELIST, 908u'!$G$7:$AX$914,MATCH($B1601,'[2]PRICELIST, 908u'!$G$7:$G$914,0),30),"NA")</f>
        <v>Flat / YELLOW</v>
      </c>
      <c r="L1601" s="20">
        <f>IFERROR(INDEX('[2]PRICELIST, 908u'!$G$7:$AX$914,MATCH($B1601,'[2]PRICELIST, 908u'!$G$7:$G$914,0),40),"NA")</f>
        <v>3100000</v>
      </c>
      <c r="M1601" s="20">
        <f>IFERROR(INDEX('[2]PRICELIST, 908u'!$G$7:$AX$914,MATCH($B1601,'[2]PRICELIST, 908u'!$G$7:$G$914,0),41),"NA")</f>
        <v>100000</v>
      </c>
      <c r="N1601" s="58">
        <f t="shared" si="80"/>
        <v>3000000</v>
      </c>
      <c r="O1601" s="60"/>
      <c r="P1601" s="60">
        <f t="shared" si="79"/>
        <v>3000000</v>
      </c>
    </row>
    <row r="1602" spans="2:16">
      <c r="B1602" s="20" t="s">
        <v>1753</v>
      </c>
      <c r="C1602" s="20" t="s">
        <v>2</v>
      </c>
      <c r="D1602" s="20" t="str">
        <f>IFERROR(INDEX('[2]PRICELIST, 908u'!$G$7:$AX$914,MATCH($B1602,'[2]PRICELIST, 908u'!$G$7:$G$914,0),18),"NA")</f>
        <v>2025 - Batch 4</v>
      </c>
      <c r="E1602" s="20" t="str">
        <f>IFERROR(INDEX([3]AGM!$D$21:$BL$928,MATCH($B1602,[3]AGM!$AD$21:$AD$928,0),1),"NA")</f>
        <v>TS</v>
      </c>
      <c r="F1602" s="20" t="str">
        <f t="shared" si="78"/>
        <v>Block 37</v>
      </c>
      <c r="G1602" s="20" t="str">
        <f t="shared" si="77"/>
        <v>Lot 01</v>
      </c>
      <c r="H1602" s="20">
        <f>IFERROR(INDEX('[2]PRICELIST, 908u'!$G$7:$AX$914,MATCH($B1602,'[2]PRICELIST, 908u'!$G$7:$G$914,0),23),"NA")</f>
        <v>50</v>
      </c>
      <c r="I1602" s="20">
        <f>IFERROR(INDEX('[2]PRICELIST, 908u'!$G$7:$AX$914,MATCH($B1602,'[2]PRICELIST, 908u'!$G$7:$G$914,0),22),"NA")</f>
        <v>100</v>
      </c>
      <c r="J1602" s="20" t="s">
        <v>207</v>
      </c>
      <c r="K1602" s="20" t="str">
        <f>IFERROR(INDEX('[2]PRICELIST, 908u'!$G$7:$AX$914,MATCH($B1602,'[2]PRICELIST, 908u'!$G$7:$G$914,0),30),"NA")</f>
        <v>Slant / YELLOW</v>
      </c>
      <c r="L1602" s="20">
        <f>IFERROR(INDEX('[2]PRICELIST, 908u'!$G$7:$AX$914,MATCH($B1602,'[2]PRICELIST, 908u'!$G$7:$G$914,0),40),"NA")</f>
        <v>3100000</v>
      </c>
      <c r="M1602" s="20">
        <f>IFERROR(INDEX('[2]PRICELIST, 908u'!$G$7:$AX$914,MATCH($B1602,'[2]PRICELIST, 908u'!$G$7:$G$914,0),41),"NA")</f>
        <v>100000</v>
      </c>
      <c r="N1602" s="58">
        <f t="shared" si="80"/>
        <v>3000000</v>
      </c>
      <c r="O1602" s="60"/>
      <c r="P1602" s="60">
        <f t="shared" si="79"/>
        <v>3000000</v>
      </c>
    </row>
    <row r="1603" spans="2:16">
      <c r="B1603" s="20" t="s">
        <v>1754</v>
      </c>
      <c r="C1603" s="20" t="s">
        <v>2</v>
      </c>
      <c r="D1603" s="20" t="str">
        <f>IFERROR(INDEX('[2]PRICELIST, 908u'!$G$7:$AX$914,MATCH($B1603,'[2]PRICELIST, 908u'!$G$7:$G$914,0),18),"NA")</f>
        <v>2025 - Batch 4</v>
      </c>
      <c r="E1603" s="20" t="str">
        <f>IFERROR(INDEX([3]AGM!$D$21:$BL$928,MATCH($B1603,[3]AGM!$AD$21:$AD$928,0),1),"NA")</f>
        <v>OS</v>
      </c>
      <c r="F1603" s="20" t="str">
        <f t="shared" si="78"/>
        <v>Block 37</v>
      </c>
      <c r="G1603" s="20" t="str">
        <f t="shared" si="77"/>
        <v>Lot 02</v>
      </c>
      <c r="H1603" s="20">
        <f>IFERROR(INDEX('[2]PRICELIST, 908u'!$G$7:$AX$914,MATCH($B1603,'[2]PRICELIST, 908u'!$G$7:$G$914,0),23),"NA")</f>
        <v>50</v>
      </c>
      <c r="I1603" s="20">
        <f>IFERROR(INDEX('[2]PRICELIST, 908u'!$G$7:$AX$914,MATCH($B1603,'[2]PRICELIST, 908u'!$G$7:$G$914,0),22),"NA")</f>
        <v>110</v>
      </c>
      <c r="J1603" s="20" t="s">
        <v>207</v>
      </c>
      <c r="K1603" s="20" t="str">
        <f>IFERROR(INDEX('[2]PRICELIST, 908u'!$G$7:$AX$914,MATCH($B1603,'[2]PRICELIST, 908u'!$G$7:$G$914,0),30),"NA")</f>
        <v>Flat / YELLOW</v>
      </c>
      <c r="L1603" s="20">
        <f>IFERROR(INDEX('[2]PRICELIST, 908u'!$G$7:$AX$914,MATCH($B1603,'[2]PRICELIST, 908u'!$G$7:$G$914,0),40),"NA")</f>
        <v>3250000</v>
      </c>
      <c r="M1603" s="20">
        <f>IFERROR(INDEX('[2]PRICELIST, 908u'!$G$7:$AX$914,MATCH($B1603,'[2]PRICELIST, 908u'!$G$7:$G$914,0),41),"NA")</f>
        <v>100000</v>
      </c>
      <c r="N1603" s="58">
        <f t="shared" si="80"/>
        <v>3150000</v>
      </c>
      <c r="O1603" s="60"/>
      <c r="P1603" s="60">
        <f t="shared" si="79"/>
        <v>3150000</v>
      </c>
    </row>
    <row r="1604" spans="2:16">
      <c r="B1604" s="20" t="s">
        <v>1755</v>
      </c>
      <c r="C1604" s="20" t="s">
        <v>2</v>
      </c>
      <c r="D1604" s="20" t="str">
        <f>IFERROR(INDEX('[2]PRICELIST, 908u'!$G$7:$AX$914,MATCH($B1604,'[2]PRICELIST, 908u'!$G$7:$G$914,0),18),"NA")</f>
        <v>2025 - Batch 4</v>
      </c>
      <c r="E1604" s="20" t="str">
        <f>IFERROR(INDEX([3]AGM!$D$21:$BL$928,MATCH($B1604,[3]AGM!$AD$21:$AD$928,0),1),"NA")</f>
        <v>OS</v>
      </c>
      <c r="F1604" s="20" t="str">
        <f t="shared" si="78"/>
        <v>Block 37</v>
      </c>
      <c r="G1604" s="20" t="str">
        <f t="shared" si="77"/>
        <v>Lot 03</v>
      </c>
      <c r="H1604" s="20">
        <f>IFERROR(INDEX('[2]PRICELIST, 908u'!$G$7:$AX$914,MATCH($B1604,'[2]PRICELIST, 908u'!$G$7:$G$914,0),23),"NA")</f>
        <v>50</v>
      </c>
      <c r="I1604" s="20">
        <f>IFERROR(INDEX('[2]PRICELIST, 908u'!$G$7:$AX$914,MATCH($B1604,'[2]PRICELIST, 908u'!$G$7:$G$914,0),22),"NA")</f>
        <v>110</v>
      </c>
      <c r="J1604" s="20" t="s">
        <v>207</v>
      </c>
      <c r="K1604" s="20" t="str">
        <f>IFERROR(INDEX('[2]PRICELIST, 908u'!$G$7:$AX$914,MATCH($B1604,'[2]PRICELIST, 908u'!$G$7:$G$914,0),30),"NA")</f>
        <v>Slant / PURPLE</v>
      </c>
      <c r="L1604" s="20">
        <f>IFERROR(INDEX('[2]PRICELIST, 908u'!$G$7:$AX$914,MATCH($B1604,'[2]PRICELIST, 908u'!$G$7:$G$914,0),40),"NA")</f>
        <v>3250000</v>
      </c>
      <c r="M1604" s="20">
        <f>IFERROR(INDEX('[2]PRICELIST, 908u'!$G$7:$AX$914,MATCH($B1604,'[2]PRICELIST, 908u'!$G$7:$G$914,0),41),"NA")</f>
        <v>100000</v>
      </c>
      <c r="N1604" s="58">
        <f t="shared" si="80"/>
        <v>3150000</v>
      </c>
      <c r="O1604" s="60"/>
      <c r="P1604" s="60">
        <f t="shared" si="79"/>
        <v>3150000</v>
      </c>
    </row>
    <row r="1605" spans="2:16">
      <c r="B1605" s="20" t="s">
        <v>1756</v>
      </c>
      <c r="C1605" s="20" t="s">
        <v>2</v>
      </c>
      <c r="D1605" s="20" t="str">
        <f>IFERROR(INDEX('[2]PRICELIST, 908u'!$G$7:$AX$914,MATCH($B1605,'[2]PRICELIST, 908u'!$G$7:$G$914,0),18),"NA")</f>
        <v>2025 - Batch 4</v>
      </c>
      <c r="E1605" s="20" t="str">
        <f>IFERROR(INDEX([3]AGM!$D$21:$BL$928,MATCH($B1605,[3]AGM!$AD$21:$AD$928,0),1),"NA")</f>
        <v>OS</v>
      </c>
      <c r="F1605" s="20" t="str">
        <f t="shared" si="78"/>
        <v>Block 37</v>
      </c>
      <c r="G1605" s="20" t="str">
        <f t="shared" si="77"/>
        <v>Lot 04</v>
      </c>
      <c r="H1605" s="20">
        <f>IFERROR(INDEX('[2]PRICELIST, 908u'!$G$7:$AX$914,MATCH($B1605,'[2]PRICELIST, 908u'!$G$7:$G$914,0),23),"NA")</f>
        <v>50</v>
      </c>
      <c r="I1605" s="20">
        <f>IFERROR(INDEX('[2]PRICELIST, 908u'!$G$7:$AX$914,MATCH($B1605,'[2]PRICELIST, 908u'!$G$7:$G$914,0),22),"NA")</f>
        <v>100</v>
      </c>
      <c r="J1605" s="20" t="s">
        <v>207</v>
      </c>
      <c r="K1605" s="20" t="str">
        <f>IFERROR(INDEX('[2]PRICELIST, 908u'!$G$7:$AX$914,MATCH($B1605,'[2]PRICELIST, 908u'!$G$7:$G$914,0),30),"NA")</f>
        <v>Flat / PURPLE</v>
      </c>
      <c r="L1605" s="20">
        <f>IFERROR(INDEX('[2]PRICELIST, 908u'!$G$7:$AX$914,MATCH($B1605,'[2]PRICELIST, 908u'!$G$7:$G$914,0),40),"NA")</f>
        <v>3100000</v>
      </c>
      <c r="M1605" s="20">
        <f>IFERROR(INDEX('[2]PRICELIST, 908u'!$G$7:$AX$914,MATCH($B1605,'[2]PRICELIST, 908u'!$G$7:$G$914,0),41),"NA")</f>
        <v>100000</v>
      </c>
      <c r="N1605" s="58">
        <f t="shared" si="80"/>
        <v>3000000</v>
      </c>
      <c r="O1605" s="60"/>
      <c r="P1605" s="60">
        <f t="shared" si="79"/>
        <v>3000000</v>
      </c>
    </row>
    <row r="1606" spans="2:16">
      <c r="B1606" s="20" t="s">
        <v>1757</v>
      </c>
      <c r="C1606" s="20" t="s">
        <v>2</v>
      </c>
      <c r="D1606" s="20" t="str">
        <f>IFERROR(INDEX('[2]PRICELIST, 908u'!$G$7:$AX$914,MATCH($B1606,'[2]PRICELIST, 908u'!$G$7:$G$914,0),18),"NA")</f>
        <v>2024 Batch</v>
      </c>
      <c r="E1606" s="20" t="str">
        <f>IFERROR(INDEX([3]AGM!$D$21:$BL$928,MATCH($B1606,[3]AGM!$AD$21:$AD$928,0),1),"NA")</f>
        <v>OS</v>
      </c>
      <c r="F1606" s="20" t="str">
        <f t="shared" si="78"/>
        <v>Block 38</v>
      </c>
      <c r="G1606" s="20" t="str">
        <f t="shared" si="77"/>
        <v>Lot 01</v>
      </c>
      <c r="H1606" s="20">
        <f>IFERROR(INDEX('[2]PRICELIST, 908u'!$G$7:$AX$914,MATCH($B1606,'[2]PRICELIST, 908u'!$G$7:$G$914,0),23),"NA")</f>
        <v>50</v>
      </c>
      <c r="I1606" s="20">
        <f>IFERROR(INDEX('[2]PRICELIST, 908u'!$G$7:$AX$914,MATCH($B1606,'[2]PRICELIST, 908u'!$G$7:$G$914,0),22),"NA")</f>
        <v>70</v>
      </c>
      <c r="J1606" s="20" t="s">
        <v>207</v>
      </c>
      <c r="K1606" s="20" t="str">
        <f>IFERROR(INDEX('[2]PRICELIST, 908u'!$G$7:$AX$914,MATCH($B1606,'[2]PRICELIST, 908u'!$G$7:$G$914,0),30),"NA")</f>
        <v>Flat / YELLOW</v>
      </c>
      <c r="L1606" s="20">
        <f>IFERROR(INDEX('[2]PRICELIST, 908u'!$G$7:$AX$914,MATCH($B1606,'[2]PRICELIST, 908u'!$G$7:$G$914,0),40),"NA")</f>
        <v>2650000</v>
      </c>
      <c r="M1606" s="20">
        <f>IFERROR(INDEX('[2]PRICELIST, 908u'!$G$7:$AX$914,MATCH($B1606,'[2]PRICELIST, 908u'!$G$7:$G$914,0),41),"NA")</f>
        <v>100000</v>
      </c>
      <c r="N1606" s="58">
        <f t="shared" si="80"/>
        <v>2550000</v>
      </c>
      <c r="O1606" s="60"/>
      <c r="P1606" s="60">
        <f t="shared" si="79"/>
        <v>2550000</v>
      </c>
    </row>
    <row r="1607" spans="2:16">
      <c r="B1607" s="20" t="s">
        <v>1758</v>
      </c>
      <c r="C1607" s="20" t="s">
        <v>2</v>
      </c>
      <c r="D1607" s="20" t="str">
        <f>IFERROR(INDEX('[2]PRICELIST, 908u'!$G$7:$AX$914,MATCH($B1607,'[2]PRICELIST, 908u'!$G$7:$G$914,0),18),"NA")</f>
        <v>2024 Batch</v>
      </c>
      <c r="E1607" s="20" t="str">
        <f>IFERROR(INDEX([3]AGM!$D$21:$BL$928,MATCH($B1607,[3]AGM!$AD$21:$AD$928,0),1),"NA")</f>
        <v>OS</v>
      </c>
      <c r="F1607" s="20" t="str">
        <f t="shared" si="78"/>
        <v>Block 38</v>
      </c>
      <c r="G1607" s="20" t="str">
        <f t="shared" si="77"/>
        <v>Lot 02</v>
      </c>
      <c r="H1607" s="20">
        <f>IFERROR(INDEX('[2]PRICELIST, 908u'!$G$7:$AX$914,MATCH($B1607,'[2]PRICELIST, 908u'!$G$7:$G$914,0),23),"NA")</f>
        <v>50</v>
      </c>
      <c r="I1607" s="20">
        <f>IFERROR(INDEX('[2]PRICELIST, 908u'!$G$7:$AX$914,MATCH($B1607,'[2]PRICELIST, 908u'!$G$7:$G$914,0),22),"NA")</f>
        <v>70</v>
      </c>
      <c r="J1607" s="20" t="s">
        <v>25</v>
      </c>
      <c r="K1607" s="20" t="str">
        <f>IFERROR(INDEX('[2]PRICELIST, 908u'!$G$7:$AX$914,MATCH($B1607,'[2]PRICELIST, 908u'!$G$7:$G$914,0),30),"NA")</f>
        <v>Slant / YELLOW</v>
      </c>
      <c r="L1607" s="20">
        <f>IFERROR(INDEX('[2]PRICELIST, 908u'!$G$7:$AX$914,MATCH($B1607,'[2]PRICELIST, 908u'!$G$7:$G$914,0),40),"NA")</f>
        <v>2850000</v>
      </c>
      <c r="M1607" s="20">
        <f>IFERROR(INDEX('[2]PRICELIST, 908u'!$G$7:$AX$914,MATCH($B1607,'[2]PRICELIST, 908u'!$G$7:$G$914,0),41),"NA")</f>
        <v>100000</v>
      </c>
      <c r="N1607" s="58">
        <f t="shared" si="80"/>
        <v>2750000</v>
      </c>
      <c r="O1607" s="60"/>
      <c r="P1607" s="60">
        <f t="shared" si="79"/>
        <v>2750000</v>
      </c>
    </row>
    <row r="1608" spans="2:16">
      <c r="B1608" s="20" t="s">
        <v>1759</v>
      </c>
      <c r="C1608" s="20" t="s">
        <v>2</v>
      </c>
      <c r="D1608" s="20" t="str">
        <f>IFERROR(INDEX('[2]PRICELIST, 908u'!$G$7:$AX$914,MATCH($B1608,'[2]PRICELIST, 908u'!$G$7:$G$914,0),18),"NA")</f>
        <v>2025 - Batch 2</v>
      </c>
      <c r="E1608" s="20" t="str">
        <f>IFERROR(INDEX([3]AGM!$D$21:$BL$928,MATCH($B1608,[3]AGM!$AD$21:$AD$928,0),1),"NA")</f>
        <v>OS</v>
      </c>
      <c r="F1608" s="20" t="str">
        <f t="shared" si="78"/>
        <v>Block 38</v>
      </c>
      <c r="G1608" s="20" t="str">
        <f t="shared" si="77"/>
        <v>Lot 03</v>
      </c>
      <c r="H1608" s="20">
        <f>IFERROR(INDEX('[2]PRICELIST, 908u'!$G$7:$AX$914,MATCH($B1608,'[2]PRICELIST, 908u'!$G$7:$G$914,0),23),"NA")</f>
        <v>50</v>
      </c>
      <c r="I1608" s="20">
        <f>IFERROR(INDEX('[2]PRICELIST, 908u'!$G$7:$AX$914,MATCH($B1608,'[2]PRICELIST, 908u'!$G$7:$G$914,0),22),"NA")</f>
        <v>70</v>
      </c>
      <c r="J1608" s="20" t="s">
        <v>207</v>
      </c>
      <c r="K1608" s="20" t="str">
        <f>IFERROR(INDEX('[2]PRICELIST, 908u'!$G$7:$AX$914,MATCH($B1608,'[2]PRICELIST, 908u'!$G$7:$G$914,0),30),"NA")</f>
        <v>Slant / PINK</v>
      </c>
      <c r="L1608" s="20">
        <f>IFERROR(INDEX('[2]PRICELIST, 908u'!$G$7:$AX$914,MATCH($B1608,'[2]PRICELIST, 908u'!$G$7:$G$914,0),40),"NA")</f>
        <v>2650000</v>
      </c>
      <c r="M1608" s="20">
        <f>IFERROR(INDEX('[2]PRICELIST, 908u'!$G$7:$AX$914,MATCH($B1608,'[2]PRICELIST, 908u'!$G$7:$G$914,0),41),"NA")</f>
        <v>100000</v>
      </c>
      <c r="N1608" s="58">
        <f t="shared" si="80"/>
        <v>2550000</v>
      </c>
      <c r="O1608" s="60"/>
      <c r="P1608" s="60">
        <f t="shared" si="79"/>
        <v>2550000</v>
      </c>
    </row>
    <row r="1609" spans="2:16">
      <c r="B1609" s="20" t="s">
        <v>1760</v>
      </c>
      <c r="C1609" s="20" t="s">
        <v>2</v>
      </c>
      <c r="D1609" s="20" t="str">
        <f>IFERROR(INDEX('[2]PRICELIST, 908u'!$G$7:$AX$914,MATCH($B1609,'[2]PRICELIST, 908u'!$G$7:$G$914,0),18),"NA")</f>
        <v>2025 - Batch 2</v>
      </c>
      <c r="E1609" s="20" t="str">
        <f>IFERROR(INDEX([3]AGM!$D$21:$BL$928,MATCH($B1609,[3]AGM!$AD$21:$AD$928,0),1),"NA")</f>
        <v>OS</v>
      </c>
      <c r="F1609" s="20" t="str">
        <f t="shared" si="78"/>
        <v>Block 38</v>
      </c>
      <c r="G1609" s="20" t="str">
        <f t="shared" si="77"/>
        <v>Lot 04</v>
      </c>
      <c r="H1609" s="20">
        <f>IFERROR(INDEX('[2]PRICELIST, 908u'!$G$7:$AX$914,MATCH($B1609,'[2]PRICELIST, 908u'!$G$7:$G$914,0),23),"NA")</f>
        <v>50</v>
      </c>
      <c r="I1609" s="20">
        <f>IFERROR(INDEX('[2]PRICELIST, 908u'!$G$7:$AX$914,MATCH($B1609,'[2]PRICELIST, 908u'!$G$7:$G$914,0),22),"NA")</f>
        <v>70</v>
      </c>
      <c r="J1609" s="20" t="s">
        <v>207</v>
      </c>
      <c r="K1609" s="20" t="str">
        <f>IFERROR(INDEX('[2]PRICELIST, 908u'!$G$7:$AX$914,MATCH($B1609,'[2]PRICELIST, 908u'!$G$7:$G$914,0),30),"NA")</f>
        <v>Flat / PINK</v>
      </c>
      <c r="L1609" s="20">
        <f>IFERROR(INDEX('[2]PRICELIST, 908u'!$G$7:$AX$914,MATCH($B1609,'[2]PRICELIST, 908u'!$G$7:$G$914,0),40),"NA")</f>
        <v>2650000</v>
      </c>
      <c r="M1609" s="20">
        <f>IFERROR(INDEX('[2]PRICELIST, 908u'!$G$7:$AX$914,MATCH($B1609,'[2]PRICELIST, 908u'!$G$7:$G$914,0),41),"NA")</f>
        <v>100000</v>
      </c>
      <c r="N1609" s="58">
        <f t="shared" si="80"/>
        <v>2550000</v>
      </c>
      <c r="O1609" s="60"/>
      <c r="P1609" s="60">
        <f t="shared" si="79"/>
        <v>2550000</v>
      </c>
    </row>
    <row r="1610" spans="2:16">
      <c r="B1610" s="20" t="s">
        <v>1761</v>
      </c>
      <c r="C1610" s="20" t="s">
        <v>2</v>
      </c>
      <c r="D1610" s="20" t="str">
        <f>IFERROR(INDEX('[2]PRICELIST, 908u'!$G$7:$AX$914,MATCH($B1610,'[2]PRICELIST, 908u'!$G$7:$G$914,0),18),"NA")</f>
        <v>2025 - Batch 2</v>
      </c>
      <c r="E1610" s="20" t="str">
        <f>IFERROR(INDEX([3]AGM!$D$21:$BL$928,MATCH($B1610,[3]AGM!$AD$21:$AD$928,0),1),"NA")</f>
        <v>OS</v>
      </c>
      <c r="F1610" s="20" t="str">
        <f t="shared" si="78"/>
        <v>Block 38</v>
      </c>
      <c r="G1610" s="20" t="str">
        <f t="shared" si="77"/>
        <v>Lot 05</v>
      </c>
      <c r="H1610" s="20">
        <f>IFERROR(INDEX('[2]PRICELIST, 908u'!$G$7:$AX$914,MATCH($B1610,'[2]PRICELIST, 908u'!$G$7:$G$914,0),23),"NA")</f>
        <v>50</v>
      </c>
      <c r="I1610" s="20">
        <f>IFERROR(INDEX('[2]PRICELIST, 908u'!$G$7:$AX$914,MATCH($B1610,'[2]PRICELIST, 908u'!$G$7:$G$914,0),22),"NA")</f>
        <v>70</v>
      </c>
      <c r="J1610" s="20" t="s">
        <v>207</v>
      </c>
      <c r="K1610" s="20" t="str">
        <f>IFERROR(INDEX('[2]PRICELIST, 908u'!$G$7:$AX$914,MATCH($B1610,'[2]PRICELIST, 908u'!$G$7:$G$914,0),30),"NA")</f>
        <v>Slant / PINK</v>
      </c>
      <c r="L1610" s="20">
        <f>IFERROR(INDEX('[2]PRICELIST, 908u'!$G$7:$AX$914,MATCH($B1610,'[2]PRICELIST, 908u'!$G$7:$G$914,0),40),"NA")</f>
        <v>2650000</v>
      </c>
      <c r="M1610" s="20">
        <f>IFERROR(INDEX('[2]PRICELIST, 908u'!$G$7:$AX$914,MATCH($B1610,'[2]PRICELIST, 908u'!$G$7:$G$914,0),41),"NA")</f>
        <v>100000</v>
      </c>
      <c r="N1610" s="58">
        <f t="shared" si="80"/>
        <v>2550000</v>
      </c>
      <c r="O1610" s="60"/>
      <c r="P1610" s="60">
        <f t="shared" si="79"/>
        <v>2550000</v>
      </c>
    </row>
    <row r="1611" spans="2:16">
      <c r="B1611" s="20" t="s">
        <v>1762</v>
      </c>
      <c r="C1611" s="20" t="s">
        <v>2</v>
      </c>
      <c r="D1611" s="20" t="str">
        <f>IFERROR(INDEX('[2]PRICELIST, 908u'!$G$7:$AX$914,MATCH($B1611,'[2]PRICELIST, 908u'!$G$7:$G$914,0),18),"NA")</f>
        <v>2025 - Batch 2</v>
      </c>
      <c r="E1611" s="20" t="str">
        <f>IFERROR(INDEX([3]AGM!$D$21:$BL$928,MATCH($B1611,[3]AGM!$AD$21:$AD$928,0),1),"NA")</f>
        <v>OS</v>
      </c>
      <c r="F1611" s="20" t="str">
        <f t="shared" si="78"/>
        <v>Block 38</v>
      </c>
      <c r="G1611" s="20" t="str">
        <f t="shared" si="77"/>
        <v>Lot 06</v>
      </c>
      <c r="H1611" s="20">
        <f>IFERROR(INDEX('[2]PRICELIST, 908u'!$G$7:$AX$914,MATCH($B1611,'[2]PRICELIST, 908u'!$G$7:$G$914,0),23),"NA")</f>
        <v>50</v>
      </c>
      <c r="I1611" s="20">
        <f>IFERROR(INDEX('[2]PRICELIST, 908u'!$G$7:$AX$914,MATCH($B1611,'[2]PRICELIST, 908u'!$G$7:$G$914,0),22),"NA")</f>
        <v>89</v>
      </c>
      <c r="J1611" s="20" t="s">
        <v>207</v>
      </c>
      <c r="K1611" s="20" t="str">
        <f>IFERROR(INDEX('[2]PRICELIST, 908u'!$G$7:$AX$914,MATCH($B1611,'[2]PRICELIST, 908u'!$G$7:$G$914,0),30),"NA")</f>
        <v>Flat / PINK</v>
      </c>
      <c r="L1611" s="20">
        <f>IFERROR(INDEX('[2]PRICELIST, 908u'!$G$7:$AX$914,MATCH($B1611,'[2]PRICELIST, 908u'!$G$7:$G$914,0),40),"NA")</f>
        <v>2935000</v>
      </c>
      <c r="M1611" s="20">
        <f>IFERROR(INDEX('[2]PRICELIST, 908u'!$G$7:$AX$914,MATCH($B1611,'[2]PRICELIST, 908u'!$G$7:$G$914,0),41),"NA")</f>
        <v>100000</v>
      </c>
      <c r="N1611" s="58">
        <f t="shared" si="80"/>
        <v>2835000</v>
      </c>
      <c r="O1611" s="60"/>
      <c r="P1611" s="60">
        <f t="shared" si="79"/>
        <v>2835000</v>
      </c>
    </row>
    <row r="1612" spans="2:16">
      <c r="B1612" s="20" t="s">
        <v>1763</v>
      </c>
      <c r="C1612" s="20" t="s">
        <v>2</v>
      </c>
      <c r="D1612" s="20" t="str">
        <f>IFERROR(INDEX('[2]PRICELIST, 908u'!$G$7:$AX$914,MATCH($B1612,'[2]PRICELIST, 908u'!$G$7:$G$914,0),18),"NA")</f>
        <v>2025 - Batch 2</v>
      </c>
      <c r="E1612" s="20" t="str">
        <f>IFERROR(INDEX([3]AGM!$D$21:$BL$928,MATCH($B1612,[3]AGM!$AD$21:$AD$928,0),1),"NA")</f>
        <v>OS</v>
      </c>
      <c r="F1612" s="20" t="str">
        <f t="shared" si="78"/>
        <v>Block 38</v>
      </c>
      <c r="G1612" s="20" t="str">
        <f t="shared" si="77"/>
        <v>Lot 07</v>
      </c>
      <c r="H1612" s="20">
        <f>IFERROR(INDEX('[2]PRICELIST, 908u'!$G$7:$AX$914,MATCH($B1612,'[2]PRICELIST, 908u'!$G$7:$G$914,0),23),"NA")</f>
        <v>50</v>
      </c>
      <c r="I1612" s="20">
        <f>IFERROR(INDEX('[2]PRICELIST, 908u'!$G$7:$AX$914,MATCH($B1612,'[2]PRICELIST, 908u'!$G$7:$G$914,0),22),"NA")</f>
        <v>88</v>
      </c>
      <c r="J1612" s="20" t="s">
        <v>207</v>
      </c>
      <c r="K1612" s="20" t="str">
        <f>IFERROR(INDEX('[2]PRICELIST, 908u'!$G$7:$AX$914,MATCH($B1612,'[2]PRICELIST, 908u'!$G$7:$G$914,0),30),"NA")</f>
        <v>Slant / YELLOW</v>
      </c>
      <c r="L1612" s="20">
        <f>IFERROR(INDEX('[2]PRICELIST, 908u'!$G$7:$AX$914,MATCH($B1612,'[2]PRICELIST, 908u'!$G$7:$G$914,0),40),"NA")</f>
        <v>2920000</v>
      </c>
      <c r="M1612" s="20">
        <f>IFERROR(INDEX('[2]PRICELIST, 908u'!$G$7:$AX$914,MATCH($B1612,'[2]PRICELIST, 908u'!$G$7:$G$914,0),41),"NA")</f>
        <v>100000</v>
      </c>
      <c r="N1612" s="58">
        <f t="shared" si="80"/>
        <v>2820000</v>
      </c>
      <c r="O1612" s="60"/>
      <c r="P1612" s="60">
        <f t="shared" si="79"/>
        <v>2820000</v>
      </c>
    </row>
    <row r="1613" spans="2:16">
      <c r="B1613" s="20" t="s">
        <v>1764</v>
      </c>
      <c r="C1613" s="20" t="s">
        <v>2</v>
      </c>
      <c r="D1613" s="20" t="str">
        <f>IFERROR(INDEX('[2]PRICELIST, 908u'!$G$7:$AX$914,MATCH($B1613,'[2]PRICELIST, 908u'!$G$7:$G$914,0),18),"NA")</f>
        <v>2025 - Batch 2</v>
      </c>
      <c r="E1613" s="20" t="str">
        <f>IFERROR(INDEX([3]AGM!$D$21:$BL$928,MATCH($B1613,[3]AGM!$AD$21:$AD$928,0),1),"NA")</f>
        <v>OS</v>
      </c>
      <c r="F1613" s="20" t="str">
        <f t="shared" si="78"/>
        <v>Block 38</v>
      </c>
      <c r="G1613" s="20" t="str">
        <f t="shared" si="77"/>
        <v>Lot 08</v>
      </c>
      <c r="H1613" s="20">
        <f>IFERROR(INDEX('[2]PRICELIST, 908u'!$G$7:$AX$914,MATCH($B1613,'[2]PRICELIST, 908u'!$G$7:$G$914,0),23),"NA")</f>
        <v>50</v>
      </c>
      <c r="I1613" s="20">
        <f>IFERROR(INDEX('[2]PRICELIST, 908u'!$G$7:$AX$914,MATCH($B1613,'[2]PRICELIST, 908u'!$G$7:$G$914,0),22),"NA")</f>
        <v>70</v>
      </c>
      <c r="J1613" s="20" t="s">
        <v>207</v>
      </c>
      <c r="K1613" s="20" t="str">
        <f>IFERROR(INDEX('[2]PRICELIST, 908u'!$G$7:$AX$914,MATCH($B1613,'[2]PRICELIST, 908u'!$G$7:$G$914,0),30),"NA")</f>
        <v>Flat / YELLOW</v>
      </c>
      <c r="L1613" s="20">
        <f>IFERROR(INDEX('[2]PRICELIST, 908u'!$G$7:$AX$914,MATCH($B1613,'[2]PRICELIST, 908u'!$G$7:$G$914,0),40),"NA")</f>
        <v>2650000</v>
      </c>
      <c r="M1613" s="20">
        <f>IFERROR(INDEX('[2]PRICELIST, 908u'!$G$7:$AX$914,MATCH($B1613,'[2]PRICELIST, 908u'!$G$7:$G$914,0),41),"NA")</f>
        <v>100000</v>
      </c>
      <c r="N1613" s="58">
        <f t="shared" si="80"/>
        <v>2550000</v>
      </c>
      <c r="O1613" s="60"/>
      <c r="P1613" s="60">
        <f t="shared" si="79"/>
        <v>2550000</v>
      </c>
    </row>
    <row r="1614" spans="2:16">
      <c r="B1614" s="20" t="s">
        <v>1765</v>
      </c>
      <c r="C1614" s="20" t="s">
        <v>2</v>
      </c>
      <c r="D1614" s="20" t="str">
        <f>IFERROR(INDEX('[2]PRICELIST, 908u'!$G$7:$AX$914,MATCH($B1614,'[2]PRICELIST, 908u'!$G$7:$G$914,0),18),"NA")</f>
        <v>2024 Batch</v>
      </c>
      <c r="E1614" s="20" t="str">
        <f>IFERROR(INDEX([3]AGM!$D$21:$BL$928,MATCH($B1614,[3]AGM!$AD$21:$AD$928,0),1),"NA")</f>
        <v>TS</v>
      </c>
      <c r="F1614" s="20" t="str">
        <f t="shared" si="78"/>
        <v>Block 38</v>
      </c>
      <c r="G1614" s="20" t="str">
        <f t="shared" si="77"/>
        <v>Lot 09</v>
      </c>
      <c r="H1614" s="20">
        <f>IFERROR(INDEX('[2]PRICELIST, 908u'!$G$7:$AX$914,MATCH($B1614,'[2]PRICELIST, 908u'!$G$7:$G$914,0),23),"NA")</f>
        <v>50</v>
      </c>
      <c r="I1614" s="20">
        <f>IFERROR(INDEX('[2]PRICELIST, 908u'!$G$7:$AX$914,MATCH($B1614,'[2]PRICELIST, 908u'!$G$7:$G$914,0),22),"NA")</f>
        <v>70</v>
      </c>
      <c r="J1614" s="20" t="s">
        <v>25</v>
      </c>
      <c r="K1614" s="20" t="str">
        <f>IFERROR(INDEX('[2]PRICELIST, 908u'!$G$7:$AX$914,MATCH($B1614,'[2]PRICELIST, 908u'!$G$7:$G$914,0),30),"NA")</f>
        <v>Flat / YELLOW</v>
      </c>
      <c r="L1614" s="20">
        <f>IFERROR(INDEX('[2]PRICELIST, 908u'!$G$7:$AX$914,MATCH($B1614,'[2]PRICELIST, 908u'!$G$7:$G$914,0),40),"NA")</f>
        <v>2850000</v>
      </c>
      <c r="M1614" s="20">
        <f>IFERROR(INDEX('[2]PRICELIST, 908u'!$G$7:$AX$914,MATCH($B1614,'[2]PRICELIST, 908u'!$G$7:$G$914,0),41),"NA")</f>
        <v>100000</v>
      </c>
      <c r="N1614" s="58">
        <f t="shared" si="80"/>
        <v>2750000</v>
      </c>
      <c r="O1614" s="60"/>
      <c r="P1614" s="60">
        <f t="shared" si="79"/>
        <v>2750000</v>
      </c>
    </row>
    <row r="1615" spans="2:16">
      <c r="B1615" s="20" t="s">
        <v>1766</v>
      </c>
      <c r="C1615" s="20" t="s">
        <v>2</v>
      </c>
      <c r="D1615" s="20" t="str">
        <f>IFERROR(INDEX('[2]PRICELIST, 908u'!$G$7:$AX$914,MATCH($B1615,'[2]PRICELIST, 908u'!$G$7:$G$914,0),18),"NA")</f>
        <v>2024 Batch</v>
      </c>
      <c r="E1615" s="20" t="str">
        <f>IFERROR(INDEX([3]AGM!$D$21:$BL$928,MATCH($B1615,[3]AGM!$AD$21:$AD$928,0),1),"NA")</f>
        <v>OS</v>
      </c>
      <c r="F1615" s="20" t="str">
        <f t="shared" si="78"/>
        <v>Block 38</v>
      </c>
      <c r="G1615" s="20" t="str">
        <f t="shared" si="77"/>
        <v>Lot 10</v>
      </c>
      <c r="H1615" s="20">
        <f>IFERROR(INDEX('[2]PRICELIST, 908u'!$G$7:$AX$914,MATCH($B1615,'[2]PRICELIST, 908u'!$G$7:$G$914,0),23),"NA")</f>
        <v>50</v>
      </c>
      <c r="I1615" s="20">
        <f>IFERROR(INDEX('[2]PRICELIST, 908u'!$G$7:$AX$914,MATCH($B1615,'[2]PRICELIST, 908u'!$G$7:$G$914,0),22),"NA")</f>
        <v>70</v>
      </c>
      <c r="J1615" s="20" t="s">
        <v>207</v>
      </c>
      <c r="K1615" s="20" t="str">
        <f>IFERROR(INDEX('[2]PRICELIST, 908u'!$G$7:$AX$914,MATCH($B1615,'[2]PRICELIST, 908u'!$G$7:$G$914,0),30),"NA")</f>
        <v>Slant / YELLOW</v>
      </c>
      <c r="L1615" s="20">
        <f>IFERROR(INDEX('[2]PRICELIST, 908u'!$G$7:$AX$914,MATCH($B1615,'[2]PRICELIST, 908u'!$G$7:$G$914,0),40),"NA")</f>
        <v>2650000</v>
      </c>
      <c r="M1615" s="20">
        <f>IFERROR(INDEX('[2]PRICELIST, 908u'!$G$7:$AX$914,MATCH($B1615,'[2]PRICELIST, 908u'!$G$7:$G$914,0),41),"NA")</f>
        <v>100000</v>
      </c>
      <c r="N1615" s="58">
        <f t="shared" si="80"/>
        <v>2550000</v>
      </c>
      <c r="O1615" s="60"/>
      <c r="P1615" s="60">
        <f t="shared" si="79"/>
        <v>2550000</v>
      </c>
    </row>
    <row r="1616" spans="2:16">
      <c r="B1616" s="20" t="s">
        <v>1767</v>
      </c>
      <c r="C1616" s="20" t="s">
        <v>2</v>
      </c>
      <c r="D1616" s="20" t="str">
        <f>IFERROR(INDEX('[2]PRICELIST, 908u'!$G$7:$AX$914,MATCH($B1616,'[2]PRICELIST, 908u'!$G$7:$G$914,0),18),"NA")</f>
        <v>2024 Batch</v>
      </c>
      <c r="E1616" s="20" t="str">
        <f>IFERROR(INDEX([3]AGM!$D$21:$BL$928,MATCH($B1616,[3]AGM!$AD$21:$AD$928,0),1),"NA")</f>
        <v>OS</v>
      </c>
      <c r="F1616" s="20" t="str">
        <f t="shared" si="78"/>
        <v>Block 38</v>
      </c>
      <c r="G1616" s="20" t="str">
        <f t="shared" si="77"/>
        <v>Lot 11</v>
      </c>
      <c r="H1616" s="20">
        <f>IFERROR(INDEX('[2]PRICELIST, 908u'!$G$7:$AX$914,MATCH($B1616,'[2]PRICELIST, 908u'!$G$7:$G$914,0),23),"NA")</f>
        <v>50</v>
      </c>
      <c r="I1616" s="20">
        <f>IFERROR(INDEX('[2]PRICELIST, 908u'!$G$7:$AX$914,MATCH($B1616,'[2]PRICELIST, 908u'!$G$7:$G$914,0),22),"NA")</f>
        <v>70</v>
      </c>
      <c r="J1616" s="20" t="s">
        <v>25</v>
      </c>
      <c r="K1616" s="20" t="str">
        <f>IFERROR(INDEX('[2]PRICELIST, 908u'!$G$7:$AX$914,MATCH($B1616,'[2]PRICELIST, 908u'!$G$7:$G$914,0),30),"NA")</f>
        <v>Flat / GREEN</v>
      </c>
      <c r="L1616" s="20">
        <f>IFERROR(INDEX('[2]PRICELIST, 908u'!$G$7:$AX$914,MATCH($B1616,'[2]PRICELIST, 908u'!$G$7:$G$914,0),40),"NA")</f>
        <v>2850000</v>
      </c>
      <c r="M1616" s="20">
        <f>IFERROR(INDEX('[2]PRICELIST, 908u'!$G$7:$AX$914,MATCH($B1616,'[2]PRICELIST, 908u'!$G$7:$G$914,0),41),"NA")</f>
        <v>100000</v>
      </c>
      <c r="N1616" s="58">
        <f t="shared" si="80"/>
        <v>2750000</v>
      </c>
      <c r="O1616" s="60"/>
      <c r="P1616" s="60">
        <f t="shared" si="79"/>
        <v>2750000</v>
      </c>
    </row>
    <row r="1617" spans="2:16">
      <c r="B1617" s="20" t="s">
        <v>1768</v>
      </c>
      <c r="C1617" s="20" t="s">
        <v>2</v>
      </c>
      <c r="D1617" s="20" t="str">
        <f>IFERROR(INDEX('[2]PRICELIST, 908u'!$G$7:$AX$914,MATCH($B1617,'[2]PRICELIST, 908u'!$G$7:$G$914,0),18),"NA")</f>
        <v>2024 Batch</v>
      </c>
      <c r="E1617" s="20" t="str">
        <f>IFERROR(INDEX([3]AGM!$D$21:$BL$928,MATCH($B1617,[3]AGM!$AD$21:$AD$928,0),1),"NA")</f>
        <v>OS</v>
      </c>
      <c r="F1617" s="20" t="str">
        <f t="shared" si="78"/>
        <v>Block 38</v>
      </c>
      <c r="G1617" s="20" t="str">
        <f t="shared" si="77"/>
        <v>Lot 12</v>
      </c>
      <c r="H1617" s="20">
        <f>IFERROR(INDEX('[2]PRICELIST, 908u'!$G$7:$AX$914,MATCH($B1617,'[2]PRICELIST, 908u'!$G$7:$G$914,0),23),"NA")</f>
        <v>50</v>
      </c>
      <c r="I1617" s="20">
        <f>IFERROR(INDEX('[2]PRICELIST, 908u'!$G$7:$AX$914,MATCH($B1617,'[2]PRICELIST, 908u'!$G$7:$G$914,0),22),"NA")</f>
        <v>70</v>
      </c>
      <c r="J1617" s="20" t="s">
        <v>207</v>
      </c>
      <c r="K1617" s="20" t="str">
        <f>IFERROR(INDEX('[2]PRICELIST, 908u'!$G$7:$AX$914,MATCH($B1617,'[2]PRICELIST, 908u'!$G$7:$G$914,0),30),"NA")</f>
        <v>Slant / GREEN</v>
      </c>
      <c r="L1617" s="20">
        <f>IFERROR(INDEX('[2]PRICELIST, 908u'!$G$7:$AX$914,MATCH($B1617,'[2]PRICELIST, 908u'!$G$7:$G$914,0),40),"NA")</f>
        <v>2650000</v>
      </c>
      <c r="M1617" s="20">
        <f>IFERROR(INDEX('[2]PRICELIST, 908u'!$G$7:$AX$914,MATCH($B1617,'[2]PRICELIST, 908u'!$G$7:$G$914,0),41),"NA")</f>
        <v>100000</v>
      </c>
      <c r="N1617" s="58">
        <f t="shared" si="80"/>
        <v>2550000</v>
      </c>
      <c r="O1617" s="60"/>
      <c r="P1617" s="60">
        <f t="shared" si="79"/>
        <v>2550000</v>
      </c>
    </row>
    <row r="1618" spans="2:16">
      <c r="B1618" s="20" t="s">
        <v>1769</v>
      </c>
      <c r="C1618" s="20" t="s">
        <v>2</v>
      </c>
      <c r="D1618" s="20" t="str">
        <f>IFERROR(INDEX('[2]PRICELIST, 908u'!$G$7:$AX$914,MATCH($B1618,'[2]PRICELIST, 908u'!$G$7:$G$914,0),18),"NA")</f>
        <v>2024 Batch</v>
      </c>
      <c r="E1618" s="20" t="str">
        <f>IFERROR(INDEX([3]AGM!$D$21:$BL$928,MATCH($B1618,[3]AGM!$AD$21:$AD$928,0),1),"NA")</f>
        <v>OS</v>
      </c>
      <c r="F1618" s="20" t="str">
        <f t="shared" si="78"/>
        <v>Block 39</v>
      </c>
      <c r="G1618" s="20" t="str">
        <f t="shared" si="77"/>
        <v>Lot 01</v>
      </c>
      <c r="H1618" s="20">
        <f>IFERROR(INDEX('[2]PRICELIST, 908u'!$G$7:$AX$914,MATCH($B1618,'[2]PRICELIST, 908u'!$G$7:$G$914,0),23),"NA")</f>
        <v>50</v>
      </c>
      <c r="I1618" s="20">
        <f>IFERROR(INDEX('[2]PRICELIST, 908u'!$G$7:$AX$914,MATCH($B1618,'[2]PRICELIST, 908u'!$G$7:$G$914,0),22),"NA")</f>
        <v>70</v>
      </c>
      <c r="J1618" s="20" t="s">
        <v>207</v>
      </c>
      <c r="K1618" s="20" t="str">
        <f>IFERROR(INDEX('[2]PRICELIST, 908u'!$G$7:$AX$914,MATCH($B1618,'[2]PRICELIST, 908u'!$G$7:$G$914,0),30),"NA")</f>
        <v>Slant / PURPLE</v>
      </c>
      <c r="L1618" s="20">
        <f>IFERROR(INDEX('[2]PRICELIST, 908u'!$G$7:$AX$914,MATCH($B1618,'[2]PRICELIST, 908u'!$G$7:$G$914,0),40),"NA")</f>
        <v>2650000</v>
      </c>
      <c r="M1618" s="20">
        <f>IFERROR(INDEX('[2]PRICELIST, 908u'!$G$7:$AX$914,MATCH($B1618,'[2]PRICELIST, 908u'!$G$7:$G$914,0),41),"NA")</f>
        <v>100000</v>
      </c>
      <c r="N1618" s="58">
        <f t="shared" si="80"/>
        <v>2550000</v>
      </c>
      <c r="O1618" s="60"/>
      <c r="P1618" s="60">
        <f t="shared" si="79"/>
        <v>2550000</v>
      </c>
    </row>
    <row r="1619" spans="2:16">
      <c r="B1619" s="20" t="s">
        <v>1770</v>
      </c>
      <c r="C1619" s="20" t="s">
        <v>2</v>
      </c>
      <c r="D1619" s="20" t="str">
        <f>IFERROR(INDEX('[2]PRICELIST, 908u'!$G$7:$AX$914,MATCH($B1619,'[2]PRICELIST, 908u'!$G$7:$G$914,0),18),"NA")</f>
        <v>2024 Batch</v>
      </c>
      <c r="E1619" s="20" t="str">
        <f>IFERROR(INDEX([3]AGM!$D$21:$BL$928,MATCH($B1619,[3]AGM!$AD$21:$AD$928,0),1),"NA")</f>
        <v>OS</v>
      </c>
      <c r="F1619" s="20" t="str">
        <f t="shared" si="78"/>
        <v>Block 39</v>
      </c>
      <c r="G1619" s="20" t="str">
        <f t="shared" si="77"/>
        <v>Lot 02</v>
      </c>
      <c r="H1619" s="20">
        <f>IFERROR(INDEX('[2]PRICELIST, 908u'!$G$7:$AX$914,MATCH($B1619,'[2]PRICELIST, 908u'!$G$7:$G$914,0),23),"NA")</f>
        <v>50</v>
      </c>
      <c r="I1619" s="20">
        <f>IFERROR(INDEX('[2]PRICELIST, 908u'!$G$7:$AX$914,MATCH($B1619,'[2]PRICELIST, 908u'!$G$7:$G$914,0),22),"NA")</f>
        <v>70</v>
      </c>
      <c r="J1619" s="20" t="s">
        <v>25</v>
      </c>
      <c r="K1619" s="20" t="str">
        <f>IFERROR(INDEX('[2]PRICELIST, 908u'!$G$7:$AX$914,MATCH($B1619,'[2]PRICELIST, 908u'!$G$7:$G$914,0),30),"NA")</f>
        <v>Flat / PURPLE</v>
      </c>
      <c r="L1619" s="20">
        <f>IFERROR(INDEX('[2]PRICELIST, 908u'!$G$7:$AX$914,MATCH($B1619,'[2]PRICELIST, 908u'!$G$7:$G$914,0),40),"NA")</f>
        <v>2850000</v>
      </c>
      <c r="M1619" s="20">
        <f>IFERROR(INDEX('[2]PRICELIST, 908u'!$G$7:$AX$914,MATCH($B1619,'[2]PRICELIST, 908u'!$G$7:$G$914,0),41),"NA")</f>
        <v>100000</v>
      </c>
      <c r="N1619" s="58">
        <f t="shared" si="80"/>
        <v>2750000</v>
      </c>
      <c r="O1619" s="60"/>
      <c r="P1619" s="60">
        <f t="shared" si="79"/>
        <v>2750000</v>
      </c>
    </row>
    <row r="1620" spans="2:16">
      <c r="B1620" s="20" t="s">
        <v>1771</v>
      </c>
      <c r="C1620" s="20" t="s">
        <v>2</v>
      </c>
      <c r="D1620" s="20" t="str">
        <f>IFERROR(INDEX('[2]PRICELIST, 908u'!$G$7:$AX$914,MATCH($B1620,'[2]PRICELIST, 908u'!$G$7:$G$914,0),18),"NA")</f>
        <v>2024 Batch</v>
      </c>
      <c r="E1620" s="20" t="str">
        <f>IFERROR(INDEX([3]AGM!$D$21:$BL$928,MATCH($B1620,[3]AGM!$AD$21:$AD$928,0),1),"NA")</f>
        <v>OS</v>
      </c>
      <c r="F1620" s="20" t="str">
        <f t="shared" si="78"/>
        <v>Block 39</v>
      </c>
      <c r="G1620" s="20" t="str">
        <f t="shared" si="77"/>
        <v>Lot 03</v>
      </c>
      <c r="H1620" s="20">
        <f>IFERROR(INDEX('[2]PRICELIST, 908u'!$G$7:$AX$914,MATCH($B1620,'[2]PRICELIST, 908u'!$G$7:$G$914,0),23),"NA")</f>
        <v>50</v>
      </c>
      <c r="I1620" s="20">
        <f>IFERROR(INDEX('[2]PRICELIST, 908u'!$G$7:$AX$914,MATCH($B1620,'[2]PRICELIST, 908u'!$G$7:$G$914,0),22),"NA")</f>
        <v>70</v>
      </c>
      <c r="J1620" s="20" t="s">
        <v>25</v>
      </c>
      <c r="K1620" s="20" t="str">
        <f>IFERROR(INDEX('[2]PRICELIST, 908u'!$G$7:$AX$914,MATCH($B1620,'[2]PRICELIST, 908u'!$G$7:$G$914,0),30),"NA")</f>
        <v>Slant / GREEN</v>
      </c>
      <c r="L1620" s="20">
        <f>IFERROR(INDEX('[2]PRICELIST, 908u'!$G$7:$AX$914,MATCH($B1620,'[2]PRICELIST, 908u'!$G$7:$G$914,0),40),"NA")</f>
        <v>2850000</v>
      </c>
      <c r="M1620" s="20">
        <f>IFERROR(INDEX('[2]PRICELIST, 908u'!$G$7:$AX$914,MATCH($B1620,'[2]PRICELIST, 908u'!$G$7:$G$914,0),41),"NA")</f>
        <v>100000</v>
      </c>
      <c r="N1620" s="58">
        <f t="shared" si="80"/>
        <v>2750000</v>
      </c>
      <c r="O1620" s="60"/>
      <c r="P1620" s="60">
        <f t="shared" si="79"/>
        <v>2750000</v>
      </c>
    </row>
    <row r="1621" spans="2:16">
      <c r="B1621" s="20" t="s">
        <v>1772</v>
      </c>
      <c r="C1621" s="20" t="s">
        <v>2</v>
      </c>
      <c r="D1621" s="20" t="str">
        <f>IFERROR(INDEX('[2]PRICELIST, 908u'!$G$7:$AX$914,MATCH($B1621,'[2]PRICELIST, 908u'!$G$7:$G$914,0),18),"NA")</f>
        <v>2024 Batch</v>
      </c>
      <c r="E1621" s="20" t="str">
        <f>IFERROR(INDEX([3]AGM!$D$21:$BL$928,MATCH($B1621,[3]AGM!$AD$21:$AD$928,0),1),"NA")</f>
        <v>OS</v>
      </c>
      <c r="F1621" s="20" t="str">
        <f t="shared" si="78"/>
        <v>Block 39</v>
      </c>
      <c r="G1621" s="20" t="str">
        <f t="shared" si="77"/>
        <v>Lot 04</v>
      </c>
      <c r="H1621" s="20">
        <f>IFERROR(INDEX('[2]PRICELIST, 908u'!$G$7:$AX$914,MATCH($B1621,'[2]PRICELIST, 908u'!$G$7:$G$914,0),23),"NA")</f>
        <v>50</v>
      </c>
      <c r="I1621" s="20">
        <f>IFERROR(INDEX('[2]PRICELIST, 908u'!$G$7:$AX$914,MATCH($B1621,'[2]PRICELIST, 908u'!$G$7:$G$914,0),22),"NA")</f>
        <v>70</v>
      </c>
      <c r="J1621" s="20" t="s">
        <v>25</v>
      </c>
      <c r="K1621" s="20" t="str">
        <f>IFERROR(INDEX('[2]PRICELIST, 908u'!$G$7:$AX$914,MATCH($B1621,'[2]PRICELIST, 908u'!$G$7:$G$914,0),30),"NA")</f>
        <v>Flat / GREEN</v>
      </c>
      <c r="L1621" s="20">
        <f>IFERROR(INDEX('[2]PRICELIST, 908u'!$G$7:$AX$914,MATCH($B1621,'[2]PRICELIST, 908u'!$G$7:$G$914,0),40),"NA")</f>
        <v>2850000</v>
      </c>
      <c r="M1621" s="20">
        <f>IFERROR(INDEX('[2]PRICELIST, 908u'!$G$7:$AX$914,MATCH($B1621,'[2]PRICELIST, 908u'!$G$7:$G$914,0),41),"NA")</f>
        <v>100000</v>
      </c>
      <c r="N1621" s="58">
        <f t="shared" si="80"/>
        <v>2750000</v>
      </c>
      <c r="O1621" s="60"/>
      <c r="P1621" s="60">
        <f t="shared" si="79"/>
        <v>2750000</v>
      </c>
    </row>
    <row r="1622" spans="2:16">
      <c r="B1622" s="20" t="s">
        <v>1773</v>
      </c>
      <c r="C1622" s="20" t="s">
        <v>2</v>
      </c>
      <c r="D1622" s="20" t="str">
        <f>IFERROR(INDEX('[2]PRICELIST, 908u'!$G$7:$AX$914,MATCH($B1622,'[2]PRICELIST, 908u'!$G$7:$G$914,0),18),"NA")</f>
        <v>2025 - Batch 2</v>
      </c>
      <c r="E1622" s="20" t="str">
        <f>IFERROR(INDEX([3]AGM!$D$21:$BL$928,MATCH($B1622,[3]AGM!$AD$21:$AD$928,0),1),"NA")</f>
        <v>OS</v>
      </c>
      <c r="F1622" s="20" t="str">
        <f t="shared" si="78"/>
        <v>Block 39</v>
      </c>
      <c r="G1622" s="20" t="str">
        <f t="shared" si="77"/>
        <v>Lot 05</v>
      </c>
      <c r="H1622" s="20">
        <f>IFERROR(INDEX('[2]PRICELIST, 908u'!$G$7:$AX$914,MATCH($B1622,'[2]PRICELIST, 908u'!$G$7:$G$914,0),23),"NA")</f>
        <v>50</v>
      </c>
      <c r="I1622" s="20">
        <f>IFERROR(INDEX('[2]PRICELIST, 908u'!$G$7:$AX$914,MATCH($B1622,'[2]PRICELIST, 908u'!$G$7:$G$914,0),22),"NA")</f>
        <v>70</v>
      </c>
      <c r="J1622" s="20" t="s">
        <v>207</v>
      </c>
      <c r="K1622" s="20" t="str">
        <f>IFERROR(INDEX('[2]PRICELIST, 908u'!$G$7:$AX$914,MATCH($B1622,'[2]PRICELIST, 908u'!$G$7:$G$914,0),30),"NA")</f>
        <v>Slant / GREEN</v>
      </c>
      <c r="L1622" s="20">
        <f>IFERROR(INDEX('[2]PRICELIST, 908u'!$G$7:$AX$914,MATCH($B1622,'[2]PRICELIST, 908u'!$G$7:$G$914,0),40),"NA")</f>
        <v>2650000</v>
      </c>
      <c r="M1622" s="20">
        <f>IFERROR(INDEX('[2]PRICELIST, 908u'!$G$7:$AX$914,MATCH($B1622,'[2]PRICELIST, 908u'!$G$7:$G$914,0),41),"NA")</f>
        <v>100000</v>
      </c>
      <c r="N1622" s="58">
        <f t="shared" si="80"/>
        <v>2550000</v>
      </c>
      <c r="O1622" s="60"/>
      <c r="P1622" s="60">
        <f t="shared" si="79"/>
        <v>2550000</v>
      </c>
    </row>
    <row r="1623" spans="2:16">
      <c r="B1623" s="20" t="s">
        <v>1774</v>
      </c>
      <c r="C1623" s="20" t="s">
        <v>2</v>
      </c>
      <c r="D1623" s="20" t="str">
        <f>IFERROR(INDEX('[2]PRICELIST, 908u'!$G$7:$AX$914,MATCH($B1623,'[2]PRICELIST, 908u'!$G$7:$G$914,0),18),"NA")</f>
        <v>2025 - Batch 2</v>
      </c>
      <c r="E1623" s="20" t="str">
        <f>IFERROR(INDEX([3]AGM!$D$21:$BL$928,MATCH($B1623,[3]AGM!$AD$21:$AD$928,0),1),"NA")</f>
        <v>OS</v>
      </c>
      <c r="F1623" s="20" t="str">
        <f t="shared" si="78"/>
        <v>Block 39</v>
      </c>
      <c r="G1623" s="20" t="str">
        <f t="shared" si="77"/>
        <v>Lot 06</v>
      </c>
      <c r="H1623" s="20">
        <f>IFERROR(INDEX('[2]PRICELIST, 908u'!$G$7:$AX$914,MATCH($B1623,'[2]PRICELIST, 908u'!$G$7:$G$914,0),23),"NA")</f>
        <v>50</v>
      </c>
      <c r="I1623" s="20">
        <f>IFERROR(INDEX('[2]PRICELIST, 908u'!$G$7:$AX$914,MATCH($B1623,'[2]PRICELIST, 908u'!$G$7:$G$914,0),22),"NA")</f>
        <v>89</v>
      </c>
      <c r="J1623" s="20" t="s">
        <v>207</v>
      </c>
      <c r="K1623" s="20" t="str">
        <f>IFERROR(INDEX('[2]PRICELIST, 908u'!$G$7:$AX$914,MATCH($B1623,'[2]PRICELIST, 908u'!$G$7:$G$914,0),30),"NA")</f>
        <v>Flat / GREEN</v>
      </c>
      <c r="L1623" s="20">
        <f>IFERROR(INDEX('[2]PRICELIST, 908u'!$G$7:$AX$914,MATCH($B1623,'[2]PRICELIST, 908u'!$G$7:$G$914,0),40),"NA")</f>
        <v>2935000</v>
      </c>
      <c r="M1623" s="20">
        <f>IFERROR(INDEX('[2]PRICELIST, 908u'!$G$7:$AX$914,MATCH($B1623,'[2]PRICELIST, 908u'!$G$7:$G$914,0),41),"NA")</f>
        <v>100000</v>
      </c>
      <c r="N1623" s="58">
        <f t="shared" si="80"/>
        <v>2835000</v>
      </c>
      <c r="O1623" s="60"/>
      <c r="P1623" s="60">
        <f t="shared" si="79"/>
        <v>2835000</v>
      </c>
    </row>
    <row r="1624" spans="2:16">
      <c r="B1624" s="20" t="s">
        <v>1775</v>
      </c>
      <c r="C1624" s="20" t="s">
        <v>2</v>
      </c>
      <c r="D1624" s="20" t="str">
        <f>IFERROR(INDEX('[2]PRICELIST, 908u'!$G$7:$AX$914,MATCH($B1624,'[2]PRICELIST, 908u'!$G$7:$G$914,0),18),"NA")</f>
        <v>2025 - Batch 2</v>
      </c>
      <c r="E1624" s="20" t="str">
        <f>IFERROR(INDEX([3]AGM!$D$21:$BL$928,MATCH($B1624,[3]AGM!$AD$21:$AD$928,0),1),"NA")</f>
        <v>OS</v>
      </c>
      <c r="F1624" s="20" t="str">
        <f t="shared" si="78"/>
        <v>Block 39</v>
      </c>
      <c r="G1624" s="20" t="str">
        <f t="shared" ref="G1624:G1687" si="81">"Lot "&amp;TEXT(VALUE(RIGHT(B1624,3)),"00")</f>
        <v>Lot 07</v>
      </c>
      <c r="H1624" s="20">
        <f>IFERROR(INDEX('[2]PRICELIST, 908u'!$G$7:$AX$914,MATCH($B1624,'[2]PRICELIST, 908u'!$G$7:$G$914,0),23),"NA")</f>
        <v>50</v>
      </c>
      <c r="I1624" s="20">
        <f>IFERROR(INDEX('[2]PRICELIST, 908u'!$G$7:$AX$914,MATCH($B1624,'[2]PRICELIST, 908u'!$G$7:$G$914,0),22),"NA")</f>
        <v>89</v>
      </c>
      <c r="J1624" s="20" t="s">
        <v>207</v>
      </c>
      <c r="K1624" s="20" t="str">
        <f>IFERROR(INDEX('[2]PRICELIST, 908u'!$G$7:$AX$914,MATCH($B1624,'[2]PRICELIST, 908u'!$G$7:$G$914,0),30),"NA")</f>
        <v>Slant / PURPLE</v>
      </c>
      <c r="L1624" s="20">
        <f>IFERROR(INDEX('[2]PRICELIST, 908u'!$G$7:$AX$914,MATCH($B1624,'[2]PRICELIST, 908u'!$G$7:$G$914,0),40),"NA")</f>
        <v>2935000</v>
      </c>
      <c r="M1624" s="20">
        <f>IFERROR(INDEX('[2]PRICELIST, 908u'!$G$7:$AX$914,MATCH($B1624,'[2]PRICELIST, 908u'!$G$7:$G$914,0),41),"NA")</f>
        <v>100000</v>
      </c>
      <c r="N1624" s="58">
        <f t="shared" si="80"/>
        <v>2835000</v>
      </c>
      <c r="O1624" s="60"/>
      <c r="P1624" s="60">
        <f t="shared" si="79"/>
        <v>2835000</v>
      </c>
    </row>
    <row r="1625" spans="2:16">
      <c r="B1625" s="20" t="s">
        <v>1776</v>
      </c>
      <c r="C1625" s="20" t="s">
        <v>2</v>
      </c>
      <c r="D1625" s="20" t="str">
        <f>IFERROR(INDEX('[2]PRICELIST, 908u'!$G$7:$AX$914,MATCH($B1625,'[2]PRICELIST, 908u'!$G$7:$G$914,0),18),"NA")</f>
        <v>2025 - Batch 2</v>
      </c>
      <c r="E1625" s="20" t="str">
        <f>IFERROR(INDEX([3]AGM!$D$21:$BL$928,MATCH($B1625,[3]AGM!$AD$21:$AD$928,0),1),"NA")</f>
        <v>OS</v>
      </c>
      <c r="F1625" s="20" t="str">
        <f t="shared" ref="F1625:F1688" si="82">"Block "&amp;TEXT(VALUE(MID(B1625,8,3)),"00")</f>
        <v>Block 39</v>
      </c>
      <c r="G1625" s="20" t="str">
        <f t="shared" si="81"/>
        <v>Lot 08</v>
      </c>
      <c r="H1625" s="20">
        <f>IFERROR(INDEX('[2]PRICELIST, 908u'!$G$7:$AX$914,MATCH($B1625,'[2]PRICELIST, 908u'!$G$7:$G$914,0),23),"NA")</f>
        <v>50</v>
      </c>
      <c r="I1625" s="20">
        <f>IFERROR(INDEX('[2]PRICELIST, 908u'!$G$7:$AX$914,MATCH($B1625,'[2]PRICELIST, 908u'!$G$7:$G$914,0),22),"NA")</f>
        <v>70</v>
      </c>
      <c r="J1625" s="20" t="s">
        <v>207</v>
      </c>
      <c r="K1625" s="20" t="str">
        <f>IFERROR(INDEX('[2]PRICELIST, 908u'!$G$7:$AX$914,MATCH($B1625,'[2]PRICELIST, 908u'!$G$7:$G$914,0),30),"NA")</f>
        <v>Flat / PURPLE</v>
      </c>
      <c r="L1625" s="20">
        <f>IFERROR(INDEX('[2]PRICELIST, 908u'!$G$7:$AX$914,MATCH($B1625,'[2]PRICELIST, 908u'!$G$7:$G$914,0),40),"NA")</f>
        <v>2650000</v>
      </c>
      <c r="M1625" s="20">
        <f>IFERROR(INDEX('[2]PRICELIST, 908u'!$G$7:$AX$914,MATCH($B1625,'[2]PRICELIST, 908u'!$G$7:$G$914,0),41),"NA")</f>
        <v>100000</v>
      </c>
      <c r="N1625" s="58">
        <f t="shared" si="80"/>
        <v>2550000</v>
      </c>
      <c r="O1625" s="60"/>
      <c r="P1625" s="60">
        <f t="shared" ref="P1625:P1688" si="83">N1625-O1625</f>
        <v>2550000</v>
      </c>
    </row>
    <row r="1626" spans="2:16">
      <c r="B1626" s="20" t="s">
        <v>1777</v>
      </c>
      <c r="C1626" s="20" t="s">
        <v>2</v>
      </c>
      <c r="D1626" s="20" t="str">
        <f>IFERROR(INDEX('[2]PRICELIST, 908u'!$G$7:$AX$914,MATCH($B1626,'[2]PRICELIST, 908u'!$G$7:$G$914,0),18),"NA")</f>
        <v>2024 Batch</v>
      </c>
      <c r="E1626" s="20" t="str">
        <f>IFERROR(INDEX([3]AGM!$D$21:$BL$928,MATCH($B1626,[3]AGM!$AD$21:$AD$928,0),1),"NA")</f>
        <v>OS</v>
      </c>
      <c r="F1626" s="20" t="str">
        <f t="shared" si="82"/>
        <v>Block 39</v>
      </c>
      <c r="G1626" s="20" t="str">
        <f t="shared" si="81"/>
        <v>Lot 09</v>
      </c>
      <c r="H1626" s="20">
        <f>IFERROR(INDEX('[2]PRICELIST, 908u'!$G$7:$AX$914,MATCH($B1626,'[2]PRICELIST, 908u'!$G$7:$G$914,0),23),"NA")</f>
        <v>50</v>
      </c>
      <c r="I1626" s="20">
        <f>IFERROR(INDEX('[2]PRICELIST, 908u'!$G$7:$AX$914,MATCH($B1626,'[2]PRICELIST, 908u'!$G$7:$G$914,0),22),"NA")</f>
        <v>70</v>
      </c>
      <c r="J1626" s="20" t="s">
        <v>207</v>
      </c>
      <c r="K1626" s="20" t="str">
        <f>IFERROR(INDEX('[2]PRICELIST, 908u'!$G$7:$AX$914,MATCH($B1626,'[2]PRICELIST, 908u'!$G$7:$G$914,0),30),"NA")</f>
        <v>Flat / PURPLE</v>
      </c>
      <c r="L1626" s="20">
        <f>IFERROR(INDEX('[2]PRICELIST, 908u'!$G$7:$AX$914,MATCH($B1626,'[2]PRICELIST, 908u'!$G$7:$G$914,0),40),"NA")</f>
        <v>2650000</v>
      </c>
      <c r="M1626" s="20">
        <f>IFERROR(INDEX('[2]PRICELIST, 908u'!$G$7:$AX$914,MATCH($B1626,'[2]PRICELIST, 908u'!$G$7:$G$914,0),41),"NA")</f>
        <v>100000</v>
      </c>
      <c r="N1626" s="58">
        <f t="shared" ref="N1626:N1689" si="84">L1626-M1626</f>
        <v>2550000</v>
      </c>
      <c r="O1626" s="60"/>
      <c r="P1626" s="60">
        <f t="shared" si="83"/>
        <v>2550000</v>
      </c>
    </row>
    <row r="1627" spans="2:16">
      <c r="B1627" s="20" t="s">
        <v>1778</v>
      </c>
      <c r="C1627" s="20" t="s">
        <v>2</v>
      </c>
      <c r="D1627" s="20" t="str">
        <f>IFERROR(INDEX('[2]PRICELIST, 908u'!$G$7:$AX$914,MATCH($B1627,'[2]PRICELIST, 908u'!$G$7:$G$914,0),18),"NA")</f>
        <v>2024 Batch</v>
      </c>
      <c r="E1627" s="20" t="str">
        <f>IFERROR(INDEX([3]AGM!$D$21:$BL$928,MATCH($B1627,[3]AGM!$AD$21:$AD$928,0),1),"NA")</f>
        <v>OS</v>
      </c>
      <c r="F1627" s="20" t="str">
        <f t="shared" si="82"/>
        <v>Block 39</v>
      </c>
      <c r="G1627" s="20" t="str">
        <f t="shared" si="81"/>
        <v>Lot 10</v>
      </c>
      <c r="H1627" s="20">
        <f>IFERROR(INDEX('[2]PRICELIST, 908u'!$G$7:$AX$914,MATCH($B1627,'[2]PRICELIST, 908u'!$G$7:$G$914,0),23),"NA")</f>
        <v>50</v>
      </c>
      <c r="I1627" s="20">
        <f>IFERROR(INDEX('[2]PRICELIST, 908u'!$G$7:$AX$914,MATCH($B1627,'[2]PRICELIST, 908u'!$G$7:$G$914,0),22),"NA")</f>
        <v>70</v>
      </c>
      <c r="J1627" s="20" t="s">
        <v>25</v>
      </c>
      <c r="K1627" s="20" t="str">
        <f>IFERROR(INDEX('[2]PRICELIST, 908u'!$G$7:$AX$914,MATCH($B1627,'[2]PRICELIST, 908u'!$G$7:$G$914,0),30),"NA")</f>
        <v>Slant / PURPLE</v>
      </c>
      <c r="L1627" s="20">
        <f>IFERROR(INDEX('[2]PRICELIST, 908u'!$G$7:$AX$914,MATCH($B1627,'[2]PRICELIST, 908u'!$G$7:$G$914,0),40),"NA")</f>
        <v>2850000</v>
      </c>
      <c r="M1627" s="20">
        <f>IFERROR(INDEX('[2]PRICELIST, 908u'!$G$7:$AX$914,MATCH($B1627,'[2]PRICELIST, 908u'!$G$7:$G$914,0),41),"NA")</f>
        <v>100000</v>
      </c>
      <c r="N1627" s="58">
        <f t="shared" si="84"/>
        <v>2750000</v>
      </c>
      <c r="O1627" s="60"/>
      <c r="P1627" s="60">
        <f t="shared" si="83"/>
        <v>2750000</v>
      </c>
    </row>
    <row r="1628" spans="2:16">
      <c r="B1628" s="20" t="s">
        <v>1779</v>
      </c>
      <c r="C1628" s="20" t="s">
        <v>2</v>
      </c>
      <c r="D1628" s="20" t="str">
        <f>IFERROR(INDEX('[2]PRICELIST, 908u'!$G$7:$AX$914,MATCH($B1628,'[2]PRICELIST, 908u'!$G$7:$G$914,0),18),"NA")</f>
        <v>2025 - Batch 2</v>
      </c>
      <c r="E1628" s="20" t="str">
        <f>IFERROR(INDEX([3]AGM!$D$21:$BL$928,MATCH($B1628,[3]AGM!$AD$21:$AD$928,0),1),"NA")</f>
        <v>OS</v>
      </c>
      <c r="F1628" s="20" t="str">
        <f t="shared" si="82"/>
        <v>Block 39</v>
      </c>
      <c r="G1628" s="20" t="str">
        <f t="shared" si="81"/>
        <v>Lot 11</v>
      </c>
      <c r="H1628" s="20">
        <f>IFERROR(INDEX('[2]PRICELIST, 908u'!$G$7:$AX$914,MATCH($B1628,'[2]PRICELIST, 908u'!$G$7:$G$914,0),23),"NA")</f>
        <v>50</v>
      </c>
      <c r="I1628" s="20">
        <f>IFERROR(INDEX('[2]PRICELIST, 908u'!$G$7:$AX$914,MATCH($B1628,'[2]PRICELIST, 908u'!$G$7:$G$914,0),22),"NA")</f>
        <v>70</v>
      </c>
      <c r="J1628" s="20" t="s">
        <v>207</v>
      </c>
      <c r="K1628" s="20" t="str">
        <f>IFERROR(INDEX('[2]PRICELIST, 908u'!$G$7:$AX$914,MATCH($B1628,'[2]PRICELIST, 908u'!$G$7:$G$914,0),30),"NA")</f>
        <v>Flat / PINK</v>
      </c>
      <c r="L1628" s="20">
        <f>IFERROR(INDEX('[2]PRICELIST, 908u'!$G$7:$AX$914,MATCH($B1628,'[2]PRICELIST, 908u'!$G$7:$G$914,0),40),"NA")</f>
        <v>2650000</v>
      </c>
      <c r="M1628" s="20">
        <f>IFERROR(INDEX('[2]PRICELIST, 908u'!$G$7:$AX$914,MATCH($B1628,'[2]PRICELIST, 908u'!$G$7:$G$914,0),41),"NA")</f>
        <v>100000</v>
      </c>
      <c r="N1628" s="58">
        <f t="shared" si="84"/>
        <v>2550000</v>
      </c>
      <c r="O1628" s="60"/>
      <c r="P1628" s="60">
        <f t="shared" si="83"/>
        <v>2550000</v>
      </c>
    </row>
    <row r="1629" spans="2:16">
      <c r="B1629" s="20" t="s">
        <v>1780</v>
      </c>
      <c r="C1629" s="20" t="s">
        <v>2</v>
      </c>
      <c r="D1629" s="20" t="str">
        <f>IFERROR(INDEX('[2]PRICELIST, 908u'!$G$7:$AX$914,MATCH($B1629,'[2]PRICELIST, 908u'!$G$7:$G$914,0),18),"NA")</f>
        <v>2025 - Batch 2</v>
      </c>
      <c r="E1629" s="20" t="str">
        <f>IFERROR(INDEX([3]AGM!$D$21:$BL$928,MATCH($B1629,[3]AGM!$AD$21:$AD$928,0),1),"NA")</f>
        <v>OS</v>
      </c>
      <c r="F1629" s="20" t="str">
        <f t="shared" si="82"/>
        <v>Block 39</v>
      </c>
      <c r="G1629" s="20" t="str">
        <f t="shared" si="81"/>
        <v>Lot 12</v>
      </c>
      <c r="H1629" s="20">
        <f>IFERROR(INDEX('[2]PRICELIST, 908u'!$G$7:$AX$914,MATCH($B1629,'[2]PRICELIST, 908u'!$G$7:$G$914,0),23),"NA")</f>
        <v>50</v>
      </c>
      <c r="I1629" s="20">
        <f>IFERROR(INDEX('[2]PRICELIST, 908u'!$G$7:$AX$914,MATCH($B1629,'[2]PRICELIST, 908u'!$G$7:$G$914,0),22),"NA")</f>
        <v>70</v>
      </c>
      <c r="J1629" s="20" t="s">
        <v>207</v>
      </c>
      <c r="K1629" s="20" t="str">
        <f>IFERROR(INDEX('[2]PRICELIST, 908u'!$G$7:$AX$914,MATCH($B1629,'[2]PRICELIST, 908u'!$G$7:$G$914,0),30),"NA")</f>
        <v>Slant / PINK</v>
      </c>
      <c r="L1629" s="20">
        <f>IFERROR(INDEX('[2]PRICELIST, 908u'!$G$7:$AX$914,MATCH($B1629,'[2]PRICELIST, 908u'!$G$7:$G$914,0),40),"NA")</f>
        <v>2650000</v>
      </c>
      <c r="M1629" s="20">
        <f>IFERROR(INDEX('[2]PRICELIST, 908u'!$G$7:$AX$914,MATCH($B1629,'[2]PRICELIST, 908u'!$G$7:$G$914,0),41),"NA")</f>
        <v>100000</v>
      </c>
      <c r="N1629" s="58">
        <f t="shared" si="84"/>
        <v>2550000</v>
      </c>
      <c r="O1629" s="60"/>
      <c r="P1629" s="60">
        <f t="shared" si="83"/>
        <v>2550000</v>
      </c>
    </row>
    <row r="1630" spans="2:16">
      <c r="B1630" s="20" t="s">
        <v>1781</v>
      </c>
      <c r="C1630" s="20" t="s">
        <v>2</v>
      </c>
      <c r="D1630" s="20" t="str">
        <f>IFERROR(INDEX('[2]PRICELIST, 908u'!$G$7:$AX$914,MATCH($B1630,'[2]PRICELIST, 908u'!$G$7:$G$914,0),18),"NA")</f>
        <v>2024 Batch</v>
      </c>
      <c r="E1630" s="20" t="str">
        <f>IFERROR(INDEX([3]AGM!$D$21:$BL$928,MATCH($B1630,[3]AGM!$AD$21:$AD$928,0),1),"NA")</f>
        <v>OS</v>
      </c>
      <c r="F1630" s="20" t="str">
        <f t="shared" si="82"/>
        <v>Block 40</v>
      </c>
      <c r="G1630" s="20" t="str">
        <f t="shared" si="81"/>
        <v>Lot 01</v>
      </c>
      <c r="H1630" s="20">
        <f>IFERROR(INDEX('[2]PRICELIST, 908u'!$G$7:$AX$914,MATCH($B1630,'[2]PRICELIST, 908u'!$G$7:$G$914,0),23),"NA")</f>
        <v>50</v>
      </c>
      <c r="I1630" s="20">
        <f>IFERROR(INDEX('[2]PRICELIST, 908u'!$G$7:$AX$914,MATCH($B1630,'[2]PRICELIST, 908u'!$G$7:$G$914,0),22),"NA")</f>
        <v>70</v>
      </c>
      <c r="J1630" s="20" t="s">
        <v>207</v>
      </c>
      <c r="K1630" s="20" t="str">
        <f>IFERROR(INDEX('[2]PRICELIST, 908u'!$G$7:$AX$914,MATCH($B1630,'[2]PRICELIST, 908u'!$G$7:$G$914,0),30),"NA")</f>
        <v>Slant / YELLOW</v>
      </c>
      <c r="L1630" s="20">
        <f>IFERROR(INDEX('[2]PRICELIST, 908u'!$G$7:$AX$914,MATCH($B1630,'[2]PRICELIST, 908u'!$G$7:$G$914,0),40),"NA")</f>
        <v>2650000</v>
      </c>
      <c r="M1630" s="20">
        <f>IFERROR(INDEX('[2]PRICELIST, 908u'!$G$7:$AX$914,MATCH($B1630,'[2]PRICELIST, 908u'!$G$7:$G$914,0),41),"NA")</f>
        <v>100000</v>
      </c>
      <c r="N1630" s="58">
        <f t="shared" si="84"/>
        <v>2550000</v>
      </c>
      <c r="O1630" s="60"/>
      <c r="P1630" s="60">
        <f t="shared" si="83"/>
        <v>2550000</v>
      </c>
    </row>
    <row r="1631" spans="2:16">
      <c r="B1631" s="20" t="s">
        <v>1782</v>
      </c>
      <c r="C1631" s="20" t="s">
        <v>2</v>
      </c>
      <c r="D1631" s="20" t="str">
        <f>IFERROR(INDEX('[2]PRICELIST, 908u'!$G$7:$AX$914,MATCH($B1631,'[2]PRICELIST, 908u'!$G$7:$G$914,0),18),"NA")</f>
        <v>2024 Batch</v>
      </c>
      <c r="E1631" s="20" t="str">
        <f>IFERROR(INDEX([3]AGM!$D$21:$BL$928,MATCH($B1631,[3]AGM!$AD$21:$AD$928,0),1),"NA")</f>
        <v>OS</v>
      </c>
      <c r="F1631" s="20" t="str">
        <f t="shared" si="82"/>
        <v>Block 40</v>
      </c>
      <c r="G1631" s="20" t="str">
        <f t="shared" si="81"/>
        <v>Lot 02</v>
      </c>
      <c r="H1631" s="20">
        <f>IFERROR(INDEX('[2]PRICELIST, 908u'!$G$7:$AX$914,MATCH($B1631,'[2]PRICELIST, 908u'!$G$7:$G$914,0),23),"NA")</f>
        <v>50</v>
      </c>
      <c r="I1631" s="20">
        <f>IFERROR(INDEX('[2]PRICELIST, 908u'!$G$7:$AX$914,MATCH($B1631,'[2]PRICELIST, 908u'!$G$7:$G$914,0),22),"NA")</f>
        <v>70</v>
      </c>
      <c r="J1631" s="20" t="s">
        <v>25</v>
      </c>
      <c r="K1631" s="20" t="str">
        <f>IFERROR(INDEX('[2]PRICELIST, 908u'!$G$7:$AX$914,MATCH($B1631,'[2]PRICELIST, 908u'!$G$7:$G$914,0),30),"NA")</f>
        <v>Flat / YELLOW</v>
      </c>
      <c r="L1631" s="20">
        <f>IFERROR(INDEX('[2]PRICELIST, 908u'!$G$7:$AX$914,MATCH($B1631,'[2]PRICELIST, 908u'!$G$7:$G$914,0),40),"NA")</f>
        <v>2850000</v>
      </c>
      <c r="M1631" s="20">
        <f>IFERROR(INDEX('[2]PRICELIST, 908u'!$G$7:$AX$914,MATCH($B1631,'[2]PRICELIST, 908u'!$G$7:$G$914,0),41),"NA")</f>
        <v>100000</v>
      </c>
      <c r="N1631" s="58">
        <f t="shared" si="84"/>
        <v>2750000</v>
      </c>
      <c r="O1631" s="60"/>
      <c r="P1631" s="60">
        <f t="shared" si="83"/>
        <v>2750000</v>
      </c>
    </row>
    <row r="1632" spans="2:16">
      <c r="B1632" s="20" t="s">
        <v>1783</v>
      </c>
      <c r="C1632" s="20" t="s">
        <v>2</v>
      </c>
      <c r="D1632" s="20" t="str">
        <f>IFERROR(INDEX('[2]PRICELIST, 908u'!$G$7:$AX$914,MATCH($B1632,'[2]PRICELIST, 908u'!$G$7:$G$914,0),18),"NA")</f>
        <v>2024 Batch</v>
      </c>
      <c r="E1632" s="20" t="str">
        <f>IFERROR(INDEX([3]AGM!$D$21:$BL$928,MATCH($B1632,[3]AGM!$AD$21:$AD$928,0),1),"NA")</f>
        <v>OS</v>
      </c>
      <c r="F1632" s="20" t="str">
        <f t="shared" si="82"/>
        <v>Block 40</v>
      </c>
      <c r="G1632" s="20" t="str">
        <f t="shared" si="81"/>
        <v>Lot 03</v>
      </c>
      <c r="H1632" s="20">
        <f>IFERROR(INDEX('[2]PRICELIST, 908u'!$G$7:$AX$914,MATCH($B1632,'[2]PRICELIST, 908u'!$G$7:$G$914,0),23),"NA")</f>
        <v>50</v>
      </c>
      <c r="I1632" s="20">
        <f>IFERROR(INDEX('[2]PRICELIST, 908u'!$G$7:$AX$914,MATCH($B1632,'[2]PRICELIST, 908u'!$G$7:$G$914,0),22),"NA")</f>
        <v>70</v>
      </c>
      <c r="J1632" s="20" t="s">
        <v>25</v>
      </c>
      <c r="K1632" s="20" t="str">
        <f>IFERROR(INDEX('[2]PRICELIST, 908u'!$G$7:$AX$914,MATCH($B1632,'[2]PRICELIST, 908u'!$G$7:$G$914,0),30),"NA")</f>
        <v>Slant / PINK</v>
      </c>
      <c r="L1632" s="20">
        <f>IFERROR(INDEX('[2]PRICELIST, 908u'!$G$7:$AX$914,MATCH($B1632,'[2]PRICELIST, 908u'!$G$7:$G$914,0),40),"NA")</f>
        <v>2850000</v>
      </c>
      <c r="M1632" s="20">
        <f>IFERROR(INDEX('[2]PRICELIST, 908u'!$G$7:$AX$914,MATCH($B1632,'[2]PRICELIST, 908u'!$G$7:$G$914,0),41),"NA")</f>
        <v>100000</v>
      </c>
      <c r="N1632" s="58">
        <f t="shared" si="84"/>
        <v>2750000</v>
      </c>
      <c r="O1632" s="60"/>
      <c r="P1632" s="60">
        <f t="shared" si="83"/>
        <v>2750000</v>
      </c>
    </row>
    <row r="1633" spans="2:16">
      <c r="B1633" s="20" t="s">
        <v>1784</v>
      </c>
      <c r="C1633" s="20" t="s">
        <v>2</v>
      </c>
      <c r="D1633" s="20" t="str">
        <f>IFERROR(INDEX('[2]PRICELIST, 908u'!$G$7:$AX$914,MATCH($B1633,'[2]PRICELIST, 908u'!$G$7:$G$914,0),18),"NA")</f>
        <v>2024 Batch</v>
      </c>
      <c r="E1633" s="20" t="str">
        <f>IFERROR(INDEX([3]AGM!$D$21:$BL$928,MATCH($B1633,[3]AGM!$AD$21:$AD$928,0),1),"NA")</f>
        <v>OS</v>
      </c>
      <c r="F1633" s="20" t="str">
        <f t="shared" si="82"/>
        <v>Block 40</v>
      </c>
      <c r="G1633" s="20" t="str">
        <f t="shared" si="81"/>
        <v>Lot 04</v>
      </c>
      <c r="H1633" s="20">
        <f>IFERROR(INDEX('[2]PRICELIST, 908u'!$G$7:$AX$914,MATCH($B1633,'[2]PRICELIST, 908u'!$G$7:$G$914,0),23),"NA")</f>
        <v>50</v>
      </c>
      <c r="I1633" s="20">
        <f>IFERROR(INDEX('[2]PRICELIST, 908u'!$G$7:$AX$914,MATCH($B1633,'[2]PRICELIST, 908u'!$G$7:$G$914,0),22),"NA")</f>
        <v>70</v>
      </c>
      <c r="J1633" s="20" t="s">
        <v>207</v>
      </c>
      <c r="K1633" s="20" t="str">
        <f>IFERROR(INDEX('[2]PRICELIST, 908u'!$G$7:$AX$914,MATCH($B1633,'[2]PRICELIST, 908u'!$G$7:$G$914,0),30),"NA")</f>
        <v>Flat / PINK</v>
      </c>
      <c r="L1633" s="20">
        <f>IFERROR(INDEX('[2]PRICELIST, 908u'!$G$7:$AX$914,MATCH($B1633,'[2]PRICELIST, 908u'!$G$7:$G$914,0),40),"NA")</f>
        <v>2650000</v>
      </c>
      <c r="M1633" s="20">
        <f>IFERROR(INDEX('[2]PRICELIST, 908u'!$G$7:$AX$914,MATCH($B1633,'[2]PRICELIST, 908u'!$G$7:$G$914,0),41),"NA")</f>
        <v>100000</v>
      </c>
      <c r="N1633" s="58">
        <f t="shared" si="84"/>
        <v>2550000</v>
      </c>
      <c r="O1633" s="60"/>
      <c r="P1633" s="60">
        <f t="shared" si="83"/>
        <v>2550000</v>
      </c>
    </row>
    <row r="1634" spans="2:16">
      <c r="B1634" s="20" t="s">
        <v>1785</v>
      </c>
      <c r="C1634" s="20" t="s">
        <v>2</v>
      </c>
      <c r="D1634" s="20" t="str">
        <f>IFERROR(INDEX('[2]PRICELIST, 908u'!$G$7:$AX$914,MATCH($B1634,'[2]PRICELIST, 908u'!$G$7:$G$914,0),18),"NA")</f>
        <v>2025 - Batch 1</v>
      </c>
      <c r="E1634" s="20" t="str">
        <f>IFERROR(INDEX([3]AGM!$D$21:$BL$928,MATCH($B1634,[3]AGM!$AD$21:$AD$928,0),1),"NA")</f>
        <v>OS</v>
      </c>
      <c r="F1634" s="20" t="str">
        <f t="shared" si="82"/>
        <v>Block 40</v>
      </c>
      <c r="G1634" s="20" t="str">
        <f t="shared" si="81"/>
        <v>Lot 05</v>
      </c>
      <c r="H1634" s="20">
        <f>IFERROR(INDEX('[2]PRICELIST, 908u'!$G$7:$AX$914,MATCH($B1634,'[2]PRICELIST, 908u'!$G$7:$G$914,0),23),"NA")</f>
        <v>50</v>
      </c>
      <c r="I1634" s="20">
        <f>IFERROR(INDEX('[2]PRICELIST, 908u'!$G$7:$AX$914,MATCH($B1634,'[2]PRICELIST, 908u'!$G$7:$G$914,0),22),"NA")</f>
        <v>70</v>
      </c>
      <c r="J1634" s="20" t="s">
        <v>207</v>
      </c>
      <c r="K1634" s="20" t="str">
        <f>IFERROR(INDEX('[2]PRICELIST, 908u'!$G$7:$AX$914,MATCH($B1634,'[2]PRICELIST, 908u'!$G$7:$G$914,0),30),"NA")</f>
        <v>Slant / PINK</v>
      </c>
      <c r="L1634" s="20">
        <f>IFERROR(INDEX('[2]PRICELIST, 908u'!$G$7:$AX$914,MATCH($B1634,'[2]PRICELIST, 908u'!$G$7:$G$914,0),40),"NA")</f>
        <v>2650000</v>
      </c>
      <c r="M1634" s="20">
        <f>IFERROR(INDEX('[2]PRICELIST, 908u'!$G$7:$AX$914,MATCH($B1634,'[2]PRICELIST, 908u'!$G$7:$G$914,0),41),"NA")</f>
        <v>100000</v>
      </c>
      <c r="N1634" s="58">
        <f t="shared" si="84"/>
        <v>2550000</v>
      </c>
      <c r="O1634" s="60"/>
      <c r="P1634" s="60">
        <f t="shared" si="83"/>
        <v>2550000</v>
      </c>
    </row>
    <row r="1635" spans="2:16">
      <c r="B1635" s="20" t="s">
        <v>1786</v>
      </c>
      <c r="C1635" s="20" t="s">
        <v>2</v>
      </c>
      <c r="D1635" s="20" t="str">
        <f>IFERROR(INDEX('[2]PRICELIST, 908u'!$G$7:$AX$914,MATCH($B1635,'[2]PRICELIST, 908u'!$G$7:$G$914,0),18),"NA")</f>
        <v>2025 - Batch 1</v>
      </c>
      <c r="E1635" s="20" t="str">
        <f>IFERROR(INDEX([3]AGM!$D$21:$BL$928,MATCH($B1635,[3]AGM!$AD$21:$AD$928,0),1),"NA")</f>
        <v>OS</v>
      </c>
      <c r="F1635" s="20" t="str">
        <f t="shared" si="82"/>
        <v>Block 40</v>
      </c>
      <c r="G1635" s="20" t="str">
        <f t="shared" si="81"/>
        <v>Lot 06</v>
      </c>
      <c r="H1635" s="20">
        <f>IFERROR(INDEX('[2]PRICELIST, 908u'!$G$7:$AX$914,MATCH($B1635,'[2]PRICELIST, 908u'!$G$7:$G$914,0),23),"NA")</f>
        <v>50</v>
      </c>
      <c r="I1635" s="20">
        <f>IFERROR(INDEX('[2]PRICELIST, 908u'!$G$7:$AX$914,MATCH($B1635,'[2]PRICELIST, 908u'!$G$7:$G$914,0),22),"NA")</f>
        <v>89</v>
      </c>
      <c r="J1635" s="20" t="s">
        <v>207</v>
      </c>
      <c r="K1635" s="20" t="str">
        <f>IFERROR(INDEX('[2]PRICELIST, 908u'!$G$7:$AX$914,MATCH($B1635,'[2]PRICELIST, 908u'!$G$7:$G$914,0),30),"NA")</f>
        <v>Flat / PINK</v>
      </c>
      <c r="L1635" s="20">
        <f>IFERROR(INDEX('[2]PRICELIST, 908u'!$G$7:$AX$914,MATCH($B1635,'[2]PRICELIST, 908u'!$G$7:$G$914,0),40),"NA")</f>
        <v>2935000</v>
      </c>
      <c r="M1635" s="20">
        <f>IFERROR(INDEX('[2]PRICELIST, 908u'!$G$7:$AX$914,MATCH($B1635,'[2]PRICELIST, 908u'!$G$7:$G$914,0),41),"NA")</f>
        <v>100000</v>
      </c>
      <c r="N1635" s="58">
        <f t="shared" si="84"/>
        <v>2835000</v>
      </c>
      <c r="O1635" s="60"/>
      <c r="P1635" s="60">
        <f t="shared" si="83"/>
        <v>2835000</v>
      </c>
    </row>
    <row r="1636" spans="2:16">
      <c r="B1636" s="20" t="s">
        <v>1787</v>
      </c>
      <c r="C1636" s="20" t="s">
        <v>2</v>
      </c>
      <c r="D1636" s="20" t="str">
        <f>IFERROR(INDEX('[2]PRICELIST, 908u'!$G$7:$AX$914,MATCH($B1636,'[2]PRICELIST, 908u'!$G$7:$G$914,0),18),"NA")</f>
        <v>2025 - Batch 1</v>
      </c>
      <c r="E1636" s="20" t="str">
        <f>IFERROR(INDEX([3]AGM!$D$21:$BL$928,MATCH($B1636,[3]AGM!$AD$21:$AD$928,0),1),"NA")</f>
        <v>OS</v>
      </c>
      <c r="F1636" s="20" t="str">
        <f t="shared" si="82"/>
        <v>Block 40</v>
      </c>
      <c r="G1636" s="20" t="str">
        <f t="shared" si="81"/>
        <v>Lot 07</v>
      </c>
      <c r="H1636" s="20">
        <f>IFERROR(INDEX('[2]PRICELIST, 908u'!$G$7:$AX$914,MATCH($B1636,'[2]PRICELIST, 908u'!$G$7:$G$914,0),23),"NA")</f>
        <v>50</v>
      </c>
      <c r="I1636" s="20">
        <f>IFERROR(INDEX('[2]PRICELIST, 908u'!$G$7:$AX$914,MATCH($B1636,'[2]PRICELIST, 908u'!$G$7:$G$914,0),22),"NA")</f>
        <v>89</v>
      </c>
      <c r="J1636" s="20" t="s">
        <v>207</v>
      </c>
      <c r="K1636" s="20" t="str">
        <f>IFERROR(INDEX('[2]PRICELIST, 908u'!$G$7:$AX$914,MATCH($B1636,'[2]PRICELIST, 908u'!$G$7:$G$914,0),30),"NA")</f>
        <v>Slant / YELLOW</v>
      </c>
      <c r="L1636" s="20">
        <f>IFERROR(INDEX('[2]PRICELIST, 908u'!$G$7:$AX$914,MATCH($B1636,'[2]PRICELIST, 908u'!$G$7:$G$914,0),40),"NA")</f>
        <v>2935000</v>
      </c>
      <c r="M1636" s="20">
        <f>IFERROR(INDEX('[2]PRICELIST, 908u'!$G$7:$AX$914,MATCH($B1636,'[2]PRICELIST, 908u'!$G$7:$G$914,0),41),"NA")</f>
        <v>100000</v>
      </c>
      <c r="N1636" s="58">
        <f t="shared" si="84"/>
        <v>2835000</v>
      </c>
      <c r="O1636" s="60"/>
      <c r="P1636" s="60">
        <f t="shared" si="83"/>
        <v>2835000</v>
      </c>
    </row>
    <row r="1637" spans="2:16">
      <c r="B1637" s="20" t="s">
        <v>1788</v>
      </c>
      <c r="C1637" s="20" t="s">
        <v>2</v>
      </c>
      <c r="D1637" s="20" t="str">
        <f>IFERROR(INDEX('[2]PRICELIST, 908u'!$G$7:$AX$914,MATCH($B1637,'[2]PRICELIST, 908u'!$G$7:$G$914,0),18),"NA")</f>
        <v>2025 - Batch 1</v>
      </c>
      <c r="E1637" s="20" t="str">
        <f>IFERROR(INDEX([3]AGM!$D$21:$BL$928,MATCH($B1637,[3]AGM!$AD$21:$AD$928,0),1),"NA")</f>
        <v>OS</v>
      </c>
      <c r="F1637" s="20" t="str">
        <f t="shared" si="82"/>
        <v>Block 40</v>
      </c>
      <c r="G1637" s="20" t="str">
        <f t="shared" si="81"/>
        <v>Lot 08</v>
      </c>
      <c r="H1637" s="20">
        <f>IFERROR(INDEX('[2]PRICELIST, 908u'!$G$7:$AX$914,MATCH($B1637,'[2]PRICELIST, 908u'!$G$7:$G$914,0),23),"NA")</f>
        <v>50</v>
      </c>
      <c r="I1637" s="20">
        <f>IFERROR(INDEX('[2]PRICELIST, 908u'!$G$7:$AX$914,MATCH($B1637,'[2]PRICELIST, 908u'!$G$7:$G$914,0),22),"NA")</f>
        <v>70</v>
      </c>
      <c r="J1637" s="20" t="s">
        <v>207</v>
      </c>
      <c r="K1637" s="20" t="str">
        <f>IFERROR(INDEX('[2]PRICELIST, 908u'!$G$7:$AX$914,MATCH($B1637,'[2]PRICELIST, 908u'!$G$7:$G$914,0),30),"NA")</f>
        <v>Flat / YELLOW</v>
      </c>
      <c r="L1637" s="20">
        <f>IFERROR(INDEX('[2]PRICELIST, 908u'!$G$7:$AX$914,MATCH($B1637,'[2]PRICELIST, 908u'!$G$7:$G$914,0),40),"NA")</f>
        <v>2650000</v>
      </c>
      <c r="M1637" s="20">
        <f>IFERROR(INDEX('[2]PRICELIST, 908u'!$G$7:$AX$914,MATCH($B1637,'[2]PRICELIST, 908u'!$G$7:$G$914,0),41),"NA")</f>
        <v>100000</v>
      </c>
      <c r="N1637" s="58">
        <f t="shared" si="84"/>
        <v>2550000</v>
      </c>
      <c r="O1637" s="60"/>
      <c r="P1637" s="60">
        <f t="shared" si="83"/>
        <v>2550000</v>
      </c>
    </row>
    <row r="1638" spans="2:16">
      <c r="B1638" s="20" t="s">
        <v>1789</v>
      </c>
      <c r="C1638" s="20" t="s">
        <v>2</v>
      </c>
      <c r="D1638" s="20" t="str">
        <f>IFERROR(INDEX('[2]PRICELIST, 908u'!$G$7:$AX$914,MATCH($B1638,'[2]PRICELIST, 908u'!$G$7:$G$914,0),18),"NA")</f>
        <v>2024 Batch</v>
      </c>
      <c r="E1638" s="20" t="str">
        <f>IFERROR(INDEX([3]AGM!$D$21:$BL$928,MATCH($B1638,[3]AGM!$AD$21:$AD$928,0),1),"NA")</f>
        <v>OS</v>
      </c>
      <c r="F1638" s="20" t="str">
        <f t="shared" si="82"/>
        <v>Block 40</v>
      </c>
      <c r="G1638" s="20" t="str">
        <f t="shared" si="81"/>
        <v>Lot 09</v>
      </c>
      <c r="H1638" s="20">
        <f>IFERROR(INDEX('[2]PRICELIST, 908u'!$G$7:$AX$914,MATCH($B1638,'[2]PRICELIST, 908u'!$G$7:$G$914,0),23),"NA")</f>
        <v>50</v>
      </c>
      <c r="I1638" s="20">
        <f>IFERROR(INDEX('[2]PRICELIST, 908u'!$G$7:$AX$914,MATCH($B1638,'[2]PRICELIST, 908u'!$G$7:$G$914,0),22),"NA")</f>
        <v>70</v>
      </c>
      <c r="J1638" s="20" t="s">
        <v>25</v>
      </c>
      <c r="K1638" s="20" t="str">
        <f>IFERROR(INDEX('[2]PRICELIST, 908u'!$G$7:$AX$914,MATCH($B1638,'[2]PRICELIST, 908u'!$G$7:$G$914,0),30),"NA")</f>
        <v>Flat / YELLOW</v>
      </c>
      <c r="L1638" s="20">
        <f>IFERROR(INDEX('[2]PRICELIST, 908u'!$G$7:$AX$914,MATCH($B1638,'[2]PRICELIST, 908u'!$G$7:$G$914,0),40),"NA")</f>
        <v>2850000</v>
      </c>
      <c r="M1638" s="20">
        <f>IFERROR(INDEX('[2]PRICELIST, 908u'!$G$7:$AX$914,MATCH($B1638,'[2]PRICELIST, 908u'!$G$7:$G$914,0),41),"NA")</f>
        <v>100000</v>
      </c>
      <c r="N1638" s="58">
        <f t="shared" si="84"/>
        <v>2750000</v>
      </c>
      <c r="O1638" s="60"/>
      <c r="P1638" s="60">
        <f t="shared" si="83"/>
        <v>2750000</v>
      </c>
    </row>
    <row r="1639" spans="2:16">
      <c r="B1639" s="20" t="s">
        <v>1790</v>
      </c>
      <c r="C1639" s="20" t="s">
        <v>2</v>
      </c>
      <c r="D1639" s="20" t="str">
        <f>IFERROR(INDEX('[2]PRICELIST, 908u'!$G$7:$AX$914,MATCH($B1639,'[2]PRICELIST, 908u'!$G$7:$G$914,0),18),"NA")</f>
        <v>2024 Batch</v>
      </c>
      <c r="E1639" s="20" t="str">
        <f>IFERROR(INDEX([3]AGM!$D$21:$BL$928,MATCH($B1639,[3]AGM!$AD$21:$AD$928,0),1),"NA")</f>
        <v>OS</v>
      </c>
      <c r="F1639" s="20" t="str">
        <f t="shared" si="82"/>
        <v>Block 40</v>
      </c>
      <c r="G1639" s="20" t="str">
        <f t="shared" si="81"/>
        <v>Lot 10</v>
      </c>
      <c r="H1639" s="20">
        <f>IFERROR(INDEX('[2]PRICELIST, 908u'!$G$7:$AX$914,MATCH($B1639,'[2]PRICELIST, 908u'!$G$7:$G$914,0),23),"NA")</f>
        <v>50</v>
      </c>
      <c r="I1639" s="20">
        <f>IFERROR(INDEX('[2]PRICELIST, 908u'!$G$7:$AX$914,MATCH($B1639,'[2]PRICELIST, 908u'!$G$7:$G$914,0),22),"NA")</f>
        <v>70</v>
      </c>
      <c r="J1639" s="20" t="s">
        <v>25</v>
      </c>
      <c r="K1639" s="20" t="str">
        <f>IFERROR(INDEX('[2]PRICELIST, 908u'!$G$7:$AX$914,MATCH($B1639,'[2]PRICELIST, 908u'!$G$7:$G$914,0),30),"NA")</f>
        <v>Slant / YELLOW</v>
      </c>
      <c r="L1639" s="20">
        <f>IFERROR(INDEX('[2]PRICELIST, 908u'!$G$7:$AX$914,MATCH($B1639,'[2]PRICELIST, 908u'!$G$7:$G$914,0),40),"NA")</f>
        <v>2850000</v>
      </c>
      <c r="M1639" s="20">
        <f>IFERROR(INDEX('[2]PRICELIST, 908u'!$G$7:$AX$914,MATCH($B1639,'[2]PRICELIST, 908u'!$G$7:$G$914,0),41),"NA")</f>
        <v>100000</v>
      </c>
      <c r="N1639" s="58">
        <f t="shared" si="84"/>
        <v>2750000</v>
      </c>
      <c r="O1639" s="60"/>
      <c r="P1639" s="60">
        <f t="shared" si="83"/>
        <v>2750000</v>
      </c>
    </row>
    <row r="1640" spans="2:16">
      <c r="B1640" s="20" t="s">
        <v>1791</v>
      </c>
      <c r="C1640" s="20" t="s">
        <v>2</v>
      </c>
      <c r="D1640" s="20" t="str">
        <f>IFERROR(INDEX('[2]PRICELIST, 908u'!$G$7:$AX$914,MATCH($B1640,'[2]PRICELIST, 908u'!$G$7:$G$914,0),18),"NA")</f>
        <v>2025 - Batch 1</v>
      </c>
      <c r="E1640" s="20" t="str">
        <f>IFERROR(INDEX([3]AGM!$D$21:$BL$928,MATCH($B1640,[3]AGM!$AD$21:$AD$928,0),1),"NA")</f>
        <v>OS</v>
      </c>
      <c r="F1640" s="20" t="str">
        <f t="shared" si="82"/>
        <v>Block 40</v>
      </c>
      <c r="G1640" s="20" t="str">
        <f t="shared" si="81"/>
        <v>Lot 11</v>
      </c>
      <c r="H1640" s="20">
        <f>IFERROR(INDEX('[2]PRICELIST, 908u'!$G$7:$AX$914,MATCH($B1640,'[2]PRICELIST, 908u'!$G$7:$G$914,0),23),"NA")</f>
        <v>50</v>
      </c>
      <c r="I1640" s="20">
        <f>IFERROR(INDEX('[2]PRICELIST, 908u'!$G$7:$AX$914,MATCH($B1640,'[2]PRICELIST, 908u'!$G$7:$G$914,0),22),"NA")</f>
        <v>70</v>
      </c>
      <c r="J1640" s="20" t="s">
        <v>207</v>
      </c>
      <c r="K1640" s="20" t="str">
        <f>IFERROR(INDEX('[2]PRICELIST, 908u'!$G$7:$AX$914,MATCH($B1640,'[2]PRICELIST, 908u'!$G$7:$G$914,0),30),"NA")</f>
        <v>Flat / GREEN</v>
      </c>
      <c r="L1640" s="20">
        <f>IFERROR(INDEX('[2]PRICELIST, 908u'!$G$7:$AX$914,MATCH($B1640,'[2]PRICELIST, 908u'!$G$7:$G$914,0),40),"NA")</f>
        <v>2650000</v>
      </c>
      <c r="M1640" s="20">
        <f>IFERROR(INDEX('[2]PRICELIST, 908u'!$G$7:$AX$914,MATCH($B1640,'[2]PRICELIST, 908u'!$G$7:$G$914,0),41),"NA")</f>
        <v>100000</v>
      </c>
      <c r="N1640" s="58">
        <f t="shared" si="84"/>
        <v>2550000</v>
      </c>
      <c r="O1640" s="60"/>
      <c r="P1640" s="60">
        <f t="shared" si="83"/>
        <v>2550000</v>
      </c>
    </row>
    <row r="1641" spans="2:16">
      <c r="B1641" s="20" t="s">
        <v>1792</v>
      </c>
      <c r="C1641" s="20" t="s">
        <v>2</v>
      </c>
      <c r="D1641" s="20" t="str">
        <f>IFERROR(INDEX('[2]PRICELIST, 908u'!$G$7:$AX$914,MATCH($B1641,'[2]PRICELIST, 908u'!$G$7:$G$914,0),18),"NA")</f>
        <v>2025 - Batch 1</v>
      </c>
      <c r="E1641" s="20" t="str">
        <f>IFERROR(INDEX([3]AGM!$D$21:$BL$928,MATCH($B1641,[3]AGM!$AD$21:$AD$928,0),1),"NA")</f>
        <v>OS</v>
      </c>
      <c r="F1641" s="20" t="str">
        <f t="shared" si="82"/>
        <v>Block 40</v>
      </c>
      <c r="G1641" s="20" t="str">
        <f t="shared" si="81"/>
        <v>Lot 12</v>
      </c>
      <c r="H1641" s="20">
        <f>IFERROR(INDEX('[2]PRICELIST, 908u'!$G$7:$AX$914,MATCH($B1641,'[2]PRICELIST, 908u'!$G$7:$G$914,0),23),"NA")</f>
        <v>50</v>
      </c>
      <c r="I1641" s="20">
        <f>IFERROR(INDEX('[2]PRICELIST, 908u'!$G$7:$AX$914,MATCH($B1641,'[2]PRICELIST, 908u'!$G$7:$G$914,0),22),"NA")</f>
        <v>70</v>
      </c>
      <c r="J1641" s="20" t="s">
        <v>207</v>
      </c>
      <c r="K1641" s="20" t="str">
        <f>IFERROR(INDEX('[2]PRICELIST, 908u'!$G$7:$AX$914,MATCH($B1641,'[2]PRICELIST, 908u'!$G$7:$G$914,0),30),"NA")</f>
        <v>Slant / GREEN</v>
      </c>
      <c r="L1641" s="20">
        <f>IFERROR(INDEX('[2]PRICELIST, 908u'!$G$7:$AX$914,MATCH($B1641,'[2]PRICELIST, 908u'!$G$7:$G$914,0),40),"NA")</f>
        <v>2650000</v>
      </c>
      <c r="M1641" s="20">
        <f>IFERROR(INDEX('[2]PRICELIST, 908u'!$G$7:$AX$914,MATCH($B1641,'[2]PRICELIST, 908u'!$G$7:$G$914,0),41),"NA")</f>
        <v>100000</v>
      </c>
      <c r="N1641" s="58">
        <f t="shared" si="84"/>
        <v>2550000</v>
      </c>
      <c r="O1641" s="60"/>
      <c r="P1641" s="60">
        <f t="shared" si="83"/>
        <v>2550000</v>
      </c>
    </row>
    <row r="1642" spans="2:16">
      <c r="B1642" s="20" t="s">
        <v>1793</v>
      </c>
      <c r="C1642" s="20" t="s">
        <v>2</v>
      </c>
      <c r="D1642" s="20" t="str">
        <f>IFERROR(INDEX('[2]PRICELIST, 908u'!$G$7:$AX$914,MATCH($B1642,'[2]PRICELIST, 908u'!$G$7:$G$914,0),18),"NA")</f>
        <v>2025 - Batch 1</v>
      </c>
      <c r="E1642" s="20" t="str">
        <f>IFERROR(INDEX([3]AGM!$D$21:$BL$928,MATCH($B1642,[3]AGM!$AD$21:$AD$928,0),1),"NA")</f>
        <v>OS</v>
      </c>
      <c r="F1642" s="20" t="str">
        <f t="shared" si="82"/>
        <v>Block 41</v>
      </c>
      <c r="G1642" s="20" t="str">
        <f t="shared" si="81"/>
        <v>Lot 01</v>
      </c>
      <c r="H1642" s="20">
        <f>IFERROR(INDEX('[2]PRICELIST, 908u'!$G$7:$AX$914,MATCH($B1642,'[2]PRICELIST, 908u'!$G$7:$G$914,0),23),"NA")</f>
        <v>50</v>
      </c>
      <c r="I1642" s="20">
        <f>IFERROR(INDEX('[2]PRICELIST, 908u'!$G$7:$AX$914,MATCH($B1642,'[2]PRICELIST, 908u'!$G$7:$G$914,0),22),"NA")</f>
        <v>89</v>
      </c>
      <c r="J1642" s="20" t="s">
        <v>207</v>
      </c>
      <c r="K1642" s="20" t="str">
        <f>IFERROR(INDEX('[2]PRICELIST, 908u'!$G$7:$AX$914,MATCH($B1642,'[2]PRICELIST, 908u'!$G$7:$G$914,0),30),"NA")</f>
        <v>Slant / PURPLE</v>
      </c>
      <c r="L1642" s="20">
        <f>IFERROR(INDEX('[2]PRICELIST, 908u'!$G$7:$AX$914,MATCH($B1642,'[2]PRICELIST, 908u'!$G$7:$G$914,0),40),"NA")</f>
        <v>2935000</v>
      </c>
      <c r="M1642" s="20">
        <f>IFERROR(INDEX('[2]PRICELIST, 908u'!$G$7:$AX$914,MATCH($B1642,'[2]PRICELIST, 908u'!$G$7:$G$914,0),41),"NA")</f>
        <v>100000</v>
      </c>
      <c r="N1642" s="58">
        <f t="shared" si="84"/>
        <v>2835000</v>
      </c>
      <c r="O1642" s="60"/>
      <c r="P1642" s="60">
        <f t="shared" si="83"/>
        <v>2835000</v>
      </c>
    </row>
    <row r="1643" spans="2:16">
      <c r="B1643" s="20" t="s">
        <v>1794</v>
      </c>
      <c r="C1643" s="20" t="s">
        <v>2</v>
      </c>
      <c r="D1643" s="20" t="str">
        <f>IFERROR(INDEX('[2]PRICELIST, 908u'!$G$7:$AX$914,MATCH($B1643,'[2]PRICELIST, 908u'!$G$7:$G$914,0),18),"NA")</f>
        <v>2025 - Batch 1</v>
      </c>
      <c r="E1643" s="20" t="str">
        <f>IFERROR(INDEX([3]AGM!$D$21:$BL$928,MATCH($B1643,[3]AGM!$AD$21:$AD$928,0),1),"NA")</f>
        <v>OS</v>
      </c>
      <c r="F1643" s="20" t="str">
        <f t="shared" si="82"/>
        <v>Block 41</v>
      </c>
      <c r="G1643" s="20" t="str">
        <f t="shared" si="81"/>
        <v>Lot 02</v>
      </c>
      <c r="H1643" s="20">
        <f>IFERROR(INDEX('[2]PRICELIST, 908u'!$G$7:$AX$914,MATCH($B1643,'[2]PRICELIST, 908u'!$G$7:$G$914,0),23),"NA")</f>
        <v>50</v>
      </c>
      <c r="I1643" s="20">
        <f>IFERROR(INDEX('[2]PRICELIST, 908u'!$G$7:$AX$914,MATCH($B1643,'[2]PRICELIST, 908u'!$G$7:$G$914,0),22),"NA")</f>
        <v>70</v>
      </c>
      <c r="J1643" s="20" t="s">
        <v>207</v>
      </c>
      <c r="K1643" s="20" t="str">
        <f>IFERROR(INDEX('[2]PRICELIST, 908u'!$G$7:$AX$914,MATCH($B1643,'[2]PRICELIST, 908u'!$G$7:$G$914,0),30),"NA")</f>
        <v>Flat / PURPLE</v>
      </c>
      <c r="L1643" s="20">
        <f>IFERROR(INDEX('[2]PRICELIST, 908u'!$G$7:$AX$914,MATCH($B1643,'[2]PRICELIST, 908u'!$G$7:$G$914,0),40),"NA")</f>
        <v>2650000</v>
      </c>
      <c r="M1643" s="20">
        <f>IFERROR(INDEX('[2]PRICELIST, 908u'!$G$7:$AX$914,MATCH($B1643,'[2]PRICELIST, 908u'!$G$7:$G$914,0),41),"NA")</f>
        <v>100000</v>
      </c>
      <c r="N1643" s="58">
        <f t="shared" si="84"/>
        <v>2550000</v>
      </c>
      <c r="O1643" s="60"/>
      <c r="P1643" s="60">
        <f t="shared" si="83"/>
        <v>2550000</v>
      </c>
    </row>
    <row r="1644" spans="2:16">
      <c r="B1644" s="20" t="s">
        <v>1795</v>
      </c>
      <c r="C1644" s="20" t="s">
        <v>2</v>
      </c>
      <c r="D1644" s="20" t="str">
        <f>IFERROR(INDEX('[2]PRICELIST, 908u'!$G$7:$AX$914,MATCH($B1644,'[2]PRICELIST, 908u'!$G$7:$G$914,0),18),"NA")</f>
        <v>2025 - Batch 1</v>
      </c>
      <c r="E1644" s="20" t="str">
        <f>IFERROR(INDEX([3]AGM!$D$21:$BL$928,MATCH($B1644,[3]AGM!$AD$21:$AD$928,0),1),"NA")</f>
        <v>OS</v>
      </c>
      <c r="F1644" s="20" t="str">
        <f t="shared" si="82"/>
        <v>Block 41</v>
      </c>
      <c r="G1644" s="20" t="str">
        <f t="shared" si="81"/>
        <v>Lot 03</v>
      </c>
      <c r="H1644" s="20">
        <f>IFERROR(INDEX('[2]PRICELIST, 908u'!$G$7:$AX$914,MATCH($B1644,'[2]PRICELIST, 908u'!$G$7:$G$914,0),23),"NA")</f>
        <v>50</v>
      </c>
      <c r="I1644" s="20">
        <f>IFERROR(INDEX('[2]PRICELIST, 908u'!$G$7:$AX$914,MATCH($B1644,'[2]PRICELIST, 908u'!$G$7:$G$914,0),22),"NA")</f>
        <v>70</v>
      </c>
      <c r="J1644" s="20" t="s">
        <v>207</v>
      </c>
      <c r="K1644" s="20" t="str">
        <f>IFERROR(INDEX('[2]PRICELIST, 908u'!$G$7:$AX$914,MATCH($B1644,'[2]PRICELIST, 908u'!$G$7:$G$914,0),30),"NA")</f>
        <v>Slant / GREEN</v>
      </c>
      <c r="L1644" s="20">
        <f>IFERROR(INDEX('[2]PRICELIST, 908u'!$G$7:$AX$914,MATCH($B1644,'[2]PRICELIST, 908u'!$G$7:$G$914,0),40),"NA")</f>
        <v>2650000</v>
      </c>
      <c r="M1644" s="20">
        <f>IFERROR(INDEX('[2]PRICELIST, 908u'!$G$7:$AX$914,MATCH($B1644,'[2]PRICELIST, 908u'!$G$7:$G$914,0),41),"NA")</f>
        <v>100000</v>
      </c>
      <c r="N1644" s="58">
        <f t="shared" si="84"/>
        <v>2550000</v>
      </c>
      <c r="O1644" s="60"/>
      <c r="P1644" s="60">
        <f t="shared" si="83"/>
        <v>2550000</v>
      </c>
    </row>
    <row r="1645" spans="2:16">
      <c r="B1645" s="20" t="s">
        <v>1796</v>
      </c>
      <c r="C1645" s="20" t="s">
        <v>2</v>
      </c>
      <c r="D1645" s="20" t="str">
        <f>IFERROR(INDEX('[2]PRICELIST, 908u'!$G$7:$AX$914,MATCH($B1645,'[2]PRICELIST, 908u'!$G$7:$G$914,0),18),"NA")</f>
        <v>2025 - Batch 1</v>
      </c>
      <c r="E1645" s="20" t="str">
        <f>IFERROR(INDEX([3]AGM!$D$21:$BL$928,MATCH($B1645,[3]AGM!$AD$21:$AD$928,0),1),"NA")</f>
        <v>OS</v>
      </c>
      <c r="F1645" s="20" t="str">
        <f t="shared" si="82"/>
        <v>Block 41</v>
      </c>
      <c r="G1645" s="20" t="str">
        <f t="shared" si="81"/>
        <v>Lot 04</v>
      </c>
      <c r="H1645" s="20">
        <f>IFERROR(INDEX('[2]PRICELIST, 908u'!$G$7:$AX$914,MATCH($B1645,'[2]PRICELIST, 908u'!$G$7:$G$914,0),23),"NA")</f>
        <v>50</v>
      </c>
      <c r="I1645" s="20">
        <f>IFERROR(INDEX('[2]PRICELIST, 908u'!$G$7:$AX$914,MATCH($B1645,'[2]PRICELIST, 908u'!$G$7:$G$914,0),22),"NA")</f>
        <v>70</v>
      </c>
      <c r="J1645" s="20" t="s">
        <v>207</v>
      </c>
      <c r="K1645" s="20" t="str">
        <f>IFERROR(INDEX('[2]PRICELIST, 908u'!$G$7:$AX$914,MATCH($B1645,'[2]PRICELIST, 908u'!$G$7:$G$914,0),30),"NA")</f>
        <v>Flat / GREEN</v>
      </c>
      <c r="L1645" s="20">
        <f>IFERROR(INDEX('[2]PRICELIST, 908u'!$G$7:$AX$914,MATCH($B1645,'[2]PRICELIST, 908u'!$G$7:$G$914,0),40),"NA")</f>
        <v>2650000</v>
      </c>
      <c r="M1645" s="20">
        <f>IFERROR(INDEX('[2]PRICELIST, 908u'!$G$7:$AX$914,MATCH($B1645,'[2]PRICELIST, 908u'!$G$7:$G$914,0),41),"NA")</f>
        <v>100000</v>
      </c>
      <c r="N1645" s="58">
        <f t="shared" si="84"/>
        <v>2550000</v>
      </c>
      <c r="O1645" s="60"/>
      <c r="P1645" s="60">
        <f t="shared" si="83"/>
        <v>2550000</v>
      </c>
    </row>
    <row r="1646" spans="2:16">
      <c r="B1646" s="20" t="s">
        <v>1797</v>
      </c>
      <c r="C1646" s="20" t="s">
        <v>2</v>
      </c>
      <c r="D1646" s="20" t="str">
        <f>IFERROR(INDEX('[2]PRICELIST, 908u'!$G$7:$AX$914,MATCH($B1646,'[2]PRICELIST, 908u'!$G$7:$G$914,0),18),"NA")</f>
        <v>2025 - Batch 1</v>
      </c>
      <c r="E1646" s="20" t="str">
        <f>IFERROR(INDEX([3]AGM!$D$21:$BL$928,MATCH($B1646,[3]AGM!$AD$21:$AD$928,0),1),"NA")</f>
        <v>OS</v>
      </c>
      <c r="F1646" s="20" t="str">
        <f t="shared" si="82"/>
        <v>Block 41</v>
      </c>
      <c r="G1646" s="20" t="str">
        <f t="shared" si="81"/>
        <v>Lot 05</v>
      </c>
      <c r="H1646" s="20">
        <f>IFERROR(INDEX('[2]PRICELIST, 908u'!$G$7:$AX$914,MATCH($B1646,'[2]PRICELIST, 908u'!$G$7:$G$914,0),23),"NA")</f>
        <v>50</v>
      </c>
      <c r="I1646" s="20">
        <f>IFERROR(INDEX('[2]PRICELIST, 908u'!$G$7:$AX$914,MATCH($B1646,'[2]PRICELIST, 908u'!$G$7:$G$914,0),22),"NA")</f>
        <v>70</v>
      </c>
      <c r="J1646" s="20" t="s">
        <v>207</v>
      </c>
      <c r="K1646" s="20" t="str">
        <f>IFERROR(INDEX('[2]PRICELIST, 908u'!$G$7:$AX$914,MATCH($B1646,'[2]PRICELIST, 908u'!$G$7:$G$914,0),30),"NA")</f>
        <v>Slant / GREEN</v>
      </c>
      <c r="L1646" s="20">
        <f>IFERROR(INDEX('[2]PRICELIST, 908u'!$G$7:$AX$914,MATCH($B1646,'[2]PRICELIST, 908u'!$G$7:$G$914,0),40),"NA")</f>
        <v>2650000</v>
      </c>
      <c r="M1646" s="20">
        <f>IFERROR(INDEX('[2]PRICELIST, 908u'!$G$7:$AX$914,MATCH($B1646,'[2]PRICELIST, 908u'!$G$7:$G$914,0),41),"NA")</f>
        <v>100000</v>
      </c>
      <c r="N1646" s="58">
        <f t="shared" si="84"/>
        <v>2550000</v>
      </c>
      <c r="O1646" s="60"/>
      <c r="P1646" s="60">
        <f t="shared" si="83"/>
        <v>2550000</v>
      </c>
    </row>
    <row r="1647" spans="2:16">
      <c r="B1647" s="20" t="s">
        <v>1798</v>
      </c>
      <c r="C1647" s="20" t="s">
        <v>2</v>
      </c>
      <c r="D1647" s="20" t="str">
        <f>IFERROR(INDEX('[2]PRICELIST, 908u'!$G$7:$AX$914,MATCH($B1647,'[2]PRICELIST, 908u'!$G$7:$G$914,0),18),"NA")</f>
        <v>2025 - Batch 1</v>
      </c>
      <c r="E1647" s="20" t="str">
        <f>IFERROR(INDEX([3]AGM!$D$21:$BL$928,MATCH($B1647,[3]AGM!$AD$21:$AD$928,0),1),"NA")</f>
        <v>OS</v>
      </c>
      <c r="F1647" s="20" t="str">
        <f t="shared" si="82"/>
        <v>Block 41</v>
      </c>
      <c r="G1647" s="20" t="str">
        <f t="shared" si="81"/>
        <v>Lot 06</v>
      </c>
      <c r="H1647" s="20">
        <f>IFERROR(INDEX('[2]PRICELIST, 908u'!$G$7:$AX$914,MATCH($B1647,'[2]PRICELIST, 908u'!$G$7:$G$914,0),23),"NA")</f>
        <v>50</v>
      </c>
      <c r="I1647" s="20">
        <f>IFERROR(INDEX('[2]PRICELIST, 908u'!$G$7:$AX$914,MATCH($B1647,'[2]PRICELIST, 908u'!$G$7:$G$914,0),22),"NA")</f>
        <v>70</v>
      </c>
      <c r="J1647" s="20" t="s">
        <v>207</v>
      </c>
      <c r="K1647" s="20" t="str">
        <f>IFERROR(INDEX('[2]PRICELIST, 908u'!$G$7:$AX$914,MATCH($B1647,'[2]PRICELIST, 908u'!$G$7:$G$914,0),30),"NA")</f>
        <v>Flat / GREEN</v>
      </c>
      <c r="L1647" s="20">
        <f>IFERROR(INDEX('[2]PRICELIST, 908u'!$G$7:$AX$914,MATCH($B1647,'[2]PRICELIST, 908u'!$G$7:$G$914,0),40),"NA")</f>
        <v>2650000</v>
      </c>
      <c r="M1647" s="20">
        <f>IFERROR(INDEX('[2]PRICELIST, 908u'!$G$7:$AX$914,MATCH($B1647,'[2]PRICELIST, 908u'!$G$7:$G$914,0),41),"NA")</f>
        <v>100000</v>
      </c>
      <c r="N1647" s="58">
        <f t="shared" si="84"/>
        <v>2550000</v>
      </c>
      <c r="O1647" s="60"/>
      <c r="P1647" s="60">
        <f t="shared" si="83"/>
        <v>2550000</v>
      </c>
    </row>
    <row r="1648" spans="2:16">
      <c r="B1648" s="20" t="s">
        <v>1799</v>
      </c>
      <c r="C1648" s="20" t="s">
        <v>2</v>
      </c>
      <c r="D1648" s="20" t="str">
        <f>IFERROR(INDEX('[2]PRICELIST, 908u'!$G$7:$AX$914,MATCH($B1648,'[2]PRICELIST, 908u'!$G$7:$G$914,0),18),"NA")</f>
        <v>2025 - Batch 1</v>
      </c>
      <c r="E1648" s="20" t="str">
        <f>IFERROR(INDEX([3]AGM!$D$21:$BL$928,MATCH($B1648,[3]AGM!$AD$21:$AD$928,0),1),"NA")</f>
        <v>OS</v>
      </c>
      <c r="F1648" s="20" t="str">
        <f t="shared" si="82"/>
        <v>Block 41</v>
      </c>
      <c r="G1648" s="20" t="str">
        <f t="shared" si="81"/>
        <v>Lot 07</v>
      </c>
      <c r="H1648" s="20">
        <f>IFERROR(INDEX('[2]PRICELIST, 908u'!$G$7:$AX$914,MATCH($B1648,'[2]PRICELIST, 908u'!$G$7:$G$914,0),23),"NA")</f>
        <v>50</v>
      </c>
      <c r="I1648" s="20">
        <f>IFERROR(INDEX('[2]PRICELIST, 908u'!$G$7:$AX$914,MATCH($B1648,'[2]PRICELIST, 908u'!$G$7:$G$914,0),22),"NA")</f>
        <v>70</v>
      </c>
      <c r="J1648" s="20" t="s">
        <v>207</v>
      </c>
      <c r="K1648" s="20" t="str">
        <f>IFERROR(INDEX('[2]PRICELIST, 908u'!$G$7:$AX$914,MATCH($B1648,'[2]PRICELIST, 908u'!$G$7:$G$914,0),30),"NA")</f>
        <v>Slant / PURPLE</v>
      </c>
      <c r="L1648" s="20">
        <f>IFERROR(INDEX('[2]PRICELIST, 908u'!$G$7:$AX$914,MATCH($B1648,'[2]PRICELIST, 908u'!$G$7:$G$914,0),40),"NA")</f>
        <v>2650000</v>
      </c>
      <c r="M1648" s="20">
        <f>IFERROR(INDEX('[2]PRICELIST, 908u'!$G$7:$AX$914,MATCH($B1648,'[2]PRICELIST, 908u'!$G$7:$G$914,0),41),"NA")</f>
        <v>100000</v>
      </c>
      <c r="N1648" s="58">
        <f t="shared" si="84"/>
        <v>2550000</v>
      </c>
      <c r="O1648" s="60"/>
      <c r="P1648" s="60">
        <f t="shared" si="83"/>
        <v>2550000</v>
      </c>
    </row>
    <row r="1649" spans="2:16">
      <c r="B1649" s="20" t="s">
        <v>1800</v>
      </c>
      <c r="C1649" s="20" t="s">
        <v>2</v>
      </c>
      <c r="D1649" s="20" t="str">
        <f>IFERROR(INDEX('[2]PRICELIST, 908u'!$G$7:$AX$914,MATCH($B1649,'[2]PRICELIST, 908u'!$G$7:$G$914,0),18),"NA")</f>
        <v>2025 - Batch 1</v>
      </c>
      <c r="E1649" s="20" t="str">
        <f>IFERROR(INDEX([3]AGM!$D$21:$BL$928,MATCH($B1649,[3]AGM!$AD$21:$AD$928,0),1),"NA")</f>
        <v>OS</v>
      </c>
      <c r="F1649" s="20" t="str">
        <f t="shared" si="82"/>
        <v>Block 41</v>
      </c>
      <c r="G1649" s="20" t="str">
        <f t="shared" si="81"/>
        <v>Lot 08</v>
      </c>
      <c r="H1649" s="20">
        <f>IFERROR(INDEX('[2]PRICELIST, 908u'!$G$7:$AX$914,MATCH($B1649,'[2]PRICELIST, 908u'!$G$7:$G$914,0),23),"NA")</f>
        <v>50</v>
      </c>
      <c r="I1649" s="20">
        <f>IFERROR(INDEX('[2]PRICELIST, 908u'!$G$7:$AX$914,MATCH($B1649,'[2]PRICELIST, 908u'!$G$7:$G$914,0),22),"NA")</f>
        <v>70</v>
      </c>
      <c r="J1649" s="20" t="s">
        <v>207</v>
      </c>
      <c r="K1649" s="20" t="str">
        <f>IFERROR(INDEX('[2]PRICELIST, 908u'!$G$7:$AX$914,MATCH($B1649,'[2]PRICELIST, 908u'!$G$7:$G$914,0),30),"NA")</f>
        <v>Flat / PURPLE</v>
      </c>
      <c r="L1649" s="20">
        <f>IFERROR(INDEX('[2]PRICELIST, 908u'!$G$7:$AX$914,MATCH($B1649,'[2]PRICELIST, 908u'!$G$7:$G$914,0),40),"NA")</f>
        <v>2650000</v>
      </c>
      <c r="M1649" s="20">
        <f>IFERROR(INDEX('[2]PRICELIST, 908u'!$G$7:$AX$914,MATCH($B1649,'[2]PRICELIST, 908u'!$G$7:$G$914,0),41),"NA")</f>
        <v>100000</v>
      </c>
      <c r="N1649" s="58">
        <f t="shared" si="84"/>
        <v>2550000</v>
      </c>
      <c r="O1649" s="60"/>
      <c r="P1649" s="60">
        <f t="shared" si="83"/>
        <v>2550000</v>
      </c>
    </row>
    <row r="1650" spans="2:16">
      <c r="B1650" s="20" t="s">
        <v>1801</v>
      </c>
      <c r="C1650" s="20" t="s">
        <v>2</v>
      </c>
      <c r="D1650" s="20" t="str">
        <f>IFERROR(INDEX('[2]PRICELIST, 908u'!$G$7:$AX$914,MATCH($B1650,'[2]PRICELIST, 908u'!$G$7:$G$914,0),18),"NA")</f>
        <v>2025 - Batch 1</v>
      </c>
      <c r="E1650" s="20" t="str">
        <f>IFERROR(INDEX([3]AGM!$D$21:$BL$928,MATCH($B1650,[3]AGM!$AD$21:$AD$928,0),1),"NA")</f>
        <v>OS</v>
      </c>
      <c r="F1650" s="20" t="str">
        <f t="shared" si="82"/>
        <v>Block 41</v>
      </c>
      <c r="G1650" s="20" t="str">
        <f t="shared" si="81"/>
        <v>Lot 09</v>
      </c>
      <c r="H1650" s="20">
        <f>IFERROR(INDEX('[2]PRICELIST, 908u'!$G$7:$AX$914,MATCH($B1650,'[2]PRICELIST, 908u'!$G$7:$G$914,0),23),"NA")</f>
        <v>50</v>
      </c>
      <c r="I1650" s="20">
        <f>IFERROR(INDEX('[2]PRICELIST, 908u'!$G$7:$AX$914,MATCH($B1650,'[2]PRICELIST, 908u'!$G$7:$G$914,0),22),"NA")</f>
        <v>70</v>
      </c>
      <c r="J1650" s="20" t="s">
        <v>207</v>
      </c>
      <c r="K1650" s="20" t="str">
        <f>IFERROR(INDEX('[2]PRICELIST, 908u'!$G$7:$AX$914,MATCH($B1650,'[2]PRICELIST, 908u'!$G$7:$G$914,0),30),"NA")</f>
        <v>Flat / PURPLE</v>
      </c>
      <c r="L1650" s="20">
        <f>IFERROR(INDEX('[2]PRICELIST, 908u'!$G$7:$AX$914,MATCH($B1650,'[2]PRICELIST, 908u'!$G$7:$G$914,0),40),"NA")</f>
        <v>2650000</v>
      </c>
      <c r="M1650" s="20">
        <f>IFERROR(INDEX('[2]PRICELIST, 908u'!$G$7:$AX$914,MATCH($B1650,'[2]PRICELIST, 908u'!$G$7:$G$914,0),41),"NA")</f>
        <v>100000</v>
      </c>
      <c r="N1650" s="58">
        <f t="shared" si="84"/>
        <v>2550000</v>
      </c>
      <c r="O1650" s="60"/>
      <c r="P1650" s="60">
        <f t="shared" si="83"/>
        <v>2550000</v>
      </c>
    </row>
    <row r="1651" spans="2:16">
      <c r="B1651" s="20" t="s">
        <v>1802</v>
      </c>
      <c r="C1651" s="20" t="s">
        <v>2</v>
      </c>
      <c r="D1651" s="20" t="str">
        <f>IFERROR(INDEX('[2]PRICELIST, 908u'!$G$7:$AX$914,MATCH($B1651,'[2]PRICELIST, 908u'!$G$7:$G$914,0),18),"NA")</f>
        <v>2025 - Batch 1</v>
      </c>
      <c r="E1651" s="20" t="str">
        <f>IFERROR(INDEX([3]AGM!$D$21:$BL$928,MATCH($B1651,[3]AGM!$AD$21:$AD$928,0),1),"NA")</f>
        <v>OS</v>
      </c>
      <c r="F1651" s="20" t="str">
        <f t="shared" si="82"/>
        <v>Block 41</v>
      </c>
      <c r="G1651" s="20" t="str">
        <f t="shared" si="81"/>
        <v>Lot 10</v>
      </c>
      <c r="H1651" s="20">
        <f>IFERROR(INDEX('[2]PRICELIST, 908u'!$G$7:$AX$914,MATCH($B1651,'[2]PRICELIST, 908u'!$G$7:$G$914,0),23),"NA")</f>
        <v>50</v>
      </c>
      <c r="I1651" s="20">
        <f>IFERROR(INDEX('[2]PRICELIST, 908u'!$G$7:$AX$914,MATCH($B1651,'[2]PRICELIST, 908u'!$G$7:$G$914,0),22),"NA")</f>
        <v>70</v>
      </c>
      <c r="J1651" s="20" t="s">
        <v>207</v>
      </c>
      <c r="K1651" s="20" t="str">
        <f>IFERROR(INDEX('[2]PRICELIST, 908u'!$G$7:$AX$914,MATCH($B1651,'[2]PRICELIST, 908u'!$G$7:$G$914,0),30),"NA")</f>
        <v>Slant / PURPLE</v>
      </c>
      <c r="L1651" s="20">
        <f>IFERROR(INDEX('[2]PRICELIST, 908u'!$G$7:$AX$914,MATCH($B1651,'[2]PRICELIST, 908u'!$G$7:$G$914,0),40),"NA")</f>
        <v>2650000</v>
      </c>
      <c r="M1651" s="20">
        <f>IFERROR(INDEX('[2]PRICELIST, 908u'!$G$7:$AX$914,MATCH($B1651,'[2]PRICELIST, 908u'!$G$7:$G$914,0),41),"NA")</f>
        <v>100000</v>
      </c>
      <c r="N1651" s="58">
        <f t="shared" si="84"/>
        <v>2550000</v>
      </c>
      <c r="O1651" s="60"/>
      <c r="P1651" s="60">
        <f t="shared" si="83"/>
        <v>2550000</v>
      </c>
    </row>
    <row r="1652" spans="2:16">
      <c r="B1652" s="20" t="s">
        <v>1803</v>
      </c>
      <c r="C1652" s="20" t="s">
        <v>2</v>
      </c>
      <c r="D1652" s="20" t="str">
        <f>IFERROR(INDEX('[2]PRICELIST, 908u'!$G$7:$AX$914,MATCH($B1652,'[2]PRICELIST, 908u'!$G$7:$G$914,0),18),"NA")</f>
        <v>2025 - Batch 1</v>
      </c>
      <c r="E1652" s="20" t="str">
        <f>IFERROR(INDEX([3]AGM!$D$21:$BL$928,MATCH($B1652,[3]AGM!$AD$21:$AD$928,0),1),"NA")</f>
        <v>OS</v>
      </c>
      <c r="F1652" s="20" t="str">
        <f t="shared" si="82"/>
        <v>Block 41</v>
      </c>
      <c r="G1652" s="20" t="str">
        <f t="shared" si="81"/>
        <v>Lot 11</v>
      </c>
      <c r="H1652" s="20">
        <f>IFERROR(INDEX('[2]PRICELIST, 908u'!$G$7:$AX$914,MATCH($B1652,'[2]PRICELIST, 908u'!$G$7:$G$914,0),23),"NA")</f>
        <v>50</v>
      </c>
      <c r="I1652" s="20">
        <f>IFERROR(INDEX('[2]PRICELIST, 908u'!$G$7:$AX$914,MATCH($B1652,'[2]PRICELIST, 908u'!$G$7:$G$914,0),22),"NA")</f>
        <v>71</v>
      </c>
      <c r="J1652" s="20" t="s">
        <v>207</v>
      </c>
      <c r="K1652" s="20" t="str">
        <f>IFERROR(INDEX('[2]PRICELIST, 908u'!$G$7:$AX$914,MATCH($B1652,'[2]PRICELIST, 908u'!$G$7:$G$914,0),30),"NA")</f>
        <v>Flat / PINK</v>
      </c>
      <c r="L1652" s="20">
        <f>IFERROR(INDEX('[2]PRICELIST, 908u'!$G$7:$AX$914,MATCH($B1652,'[2]PRICELIST, 908u'!$G$7:$G$914,0),40),"NA")</f>
        <v>2665000</v>
      </c>
      <c r="M1652" s="20">
        <f>IFERROR(INDEX('[2]PRICELIST, 908u'!$G$7:$AX$914,MATCH($B1652,'[2]PRICELIST, 908u'!$G$7:$G$914,0),41),"NA")</f>
        <v>100000</v>
      </c>
      <c r="N1652" s="58">
        <f t="shared" si="84"/>
        <v>2565000</v>
      </c>
      <c r="O1652" s="60"/>
      <c r="P1652" s="60">
        <f t="shared" si="83"/>
        <v>2565000</v>
      </c>
    </row>
    <row r="1653" spans="2:16">
      <c r="B1653" s="20" t="s">
        <v>1804</v>
      </c>
      <c r="C1653" s="20" t="s">
        <v>2</v>
      </c>
      <c r="D1653" s="20" t="str">
        <f>IFERROR(INDEX('[2]PRICELIST, 908u'!$G$7:$AX$914,MATCH($B1653,'[2]PRICELIST, 908u'!$G$7:$G$914,0),18),"NA")</f>
        <v>2025 - Batch 1</v>
      </c>
      <c r="E1653" s="20" t="str">
        <f>IFERROR(INDEX([3]AGM!$D$21:$BL$928,MATCH($B1653,[3]AGM!$AD$21:$AD$928,0),1),"NA")</f>
        <v>OS</v>
      </c>
      <c r="F1653" s="20" t="str">
        <f t="shared" si="82"/>
        <v>Block 41</v>
      </c>
      <c r="G1653" s="20" t="str">
        <f t="shared" si="81"/>
        <v>Lot 12</v>
      </c>
      <c r="H1653" s="20">
        <f>IFERROR(INDEX('[2]PRICELIST, 908u'!$G$7:$AX$914,MATCH($B1653,'[2]PRICELIST, 908u'!$G$7:$G$914,0),23),"NA")</f>
        <v>50</v>
      </c>
      <c r="I1653" s="20">
        <f>IFERROR(INDEX('[2]PRICELIST, 908u'!$G$7:$AX$914,MATCH($B1653,'[2]PRICELIST, 908u'!$G$7:$G$914,0),22),"NA")</f>
        <v>89</v>
      </c>
      <c r="J1653" s="20" t="s">
        <v>207</v>
      </c>
      <c r="K1653" s="20" t="str">
        <f>IFERROR(INDEX('[2]PRICELIST, 908u'!$G$7:$AX$914,MATCH($B1653,'[2]PRICELIST, 908u'!$G$7:$G$914,0),30),"NA")</f>
        <v>Flat / PINK</v>
      </c>
      <c r="L1653" s="20">
        <f>IFERROR(INDEX('[2]PRICELIST, 908u'!$G$7:$AX$914,MATCH($B1653,'[2]PRICELIST, 908u'!$G$7:$G$914,0),40),"NA")</f>
        <v>2935000</v>
      </c>
      <c r="M1653" s="20">
        <f>IFERROR(INDEX('[2]PRICELIST, 908u'!$G$7:$AX$914,MATCH($B1653,'[2]PRICELIST, 908u'!$G$7:$G$914,0),41),"NA")</f>
        <v>100000</v>
      </c>
      <c r="N1653" s="58">
        <f t="shared" si="84"/>
        <v>2835000</v>
      </c>
      <c r="O1653" s="60"/>
      <c r="P1653" s="60">
        <f t="shared" si="83"/>
        <v>2835000</v>
      </c>
    </row>
    <row r="1654" spans="2:16">
      <c r="B1654" s="20" t="s">
        <v>1805</v>
      </c>
      <c r="C1654" s="20" t="s">
        <v>2</v>
      </c>
      <c r="D1654" s="20" t="str">
        <f>IFERROR(INDEX('[2]PRICELIST, 908u'!$G$7:$AX$914,MATCH($B1654,'[2]PRICELIST, 908u'!$G$7:$G$914,0),18),"NA")</f>
        <v>2025 - Batch 6</v>
      </c>
      <c r="E1654" s="20" t="str">
        <f>IFERROR(INDEX([3]AGM!$D$21:$BL$928,MATCH($B1654,[3]AGM!$AD$21:$AD$928,0),1),"NA")</f>
        <v>OS</v>
      </c>
      <c r="F1654" s="20" t="str">
        <f t="shared" si="82"/>
        <v>Block 42</v>
      </c>
      <c r="G1654" s="20" t="str">
        <f t="shared" si="81"/>
        <v>Lot 01</v>
      </c>
      <c r="H1654" s="20">
        <f>IFERROR(INDEX('[2]PRICELIST, 908u'!$G$7:$AX$914,MATCH($B1654,'[2]PRICELIST, 908u'!$G$7:$G$914,0),23),"NA")</f>
        <v>50</v>
      </c>
      <c r="I1654" s="20">
        <f>IFERROR(INDEX('[2]PRICELIST, 908u'!$G$7:$AX$914,MATCH($B1654,'[2]PRICELIST, 908u'!$G$7:$G$914,0),22),"NA")</f>
        <v>89</v>
      </c>
      <c r="J1654" s="20" t="s">
        <v>207</v>
      </c>
      <c r="K1654" s="20" t="str">
        <f>IFERROR(INDEX('[2]PRICELIST, 908u'!$G$7:$AX$914,MATCH($B1654,'[2]PRICELIST, 908u'!$G$7:$G$914,0),30),"NA")</f>
        <v>Slant / YELLOW</v>
      </c>
      <c r="L1654" s="20">
        <f>IFERROR(INDEX('[2]PRICELIST, 908u'!$G$7:$AX$914,MATCH($B1654,'[2]PRICELIST, 908u'!$G$7:$G$914,0),40),"NA")</f>
        <v>2935000</v>
      </c>
      <c r="M1654" s="20">
        <f>IFERROR(INDEX('[2]PRICELIST, 908u'!$G$7:$AX$914,MATCH($B1654,'[2]PRICELIST, 908u'!$G$7:$G$914,0),41),"NA")</f>
        <v>100000</v>
      </c>
      <c r="N1654" s="58">
        <f t="shared" si="84"/>
        <v>2835000</v>
      </c>
      <c r="O1654" s="60"/>
      <c r="P1654" s="60">
        <f t="shared" si="83"/>
        <v>2835000</v>
      </c>
    </row>
    <row r="1655" spans="2:16">
      <c r="B1655" s="20" t="s">
        <v>1806</v>
      </c>
      <c r="C1655" s="20" t="s">
        <v>2</v>
      </c>
      <c r="D1655" s="20" t="str">
        <f>IFERROR(INDEX('[2]PRICELIST, 908u'!$G$7:$AX$914,MATCH($B1655,'[2]PRICELIST, 908u'!$G$7:$G$914,0),18),"NA")</f>
        <v>2025 - Batch 6</v>
      </c>
      <c r="E1655" s="20" t="str">
        <f>IFERROR(INDEX([3]AGM!$D$21:$BL$928,MATCH($B1655,[3]AGM!$AD$21:$AD$928,0),1),"NA")</f>
        <v>OS</v>
      </c>
      <c r="F1655" s="20" t="str">
        <f t="shared" si="82"/>
        <v>Block 42</v>
      </c>
      <c r="G1655" s="20" t="str">
        <f t="shared" si="81"/>
        <v>Lot 02</v>
      </c>
      <c r="H1655" s="20">
        <f>IFERROR(INDEX('[2]PRICELIST, 908u'!$G$7:$AX$914,MATCH($B1655,'[2]PRICELIST, 908u'!$G$7:$G$914,0),23),"NA")</f>
        <v>50</v>
      </c>
      <c r="I1655" s="20">
        <f>IFERROR(INDEX('[2]PRICELIST, 908u'!$G$7:$AX$914,MATCH($B1655,'[2]PRICELIST, 908u'!$G$7:$G$914,0),22),"NA")</f>
        <v>70</v>
      </c>
      <c r="J1655" s="20" t="s">
        <v>207</v>
      </c>
      <c r="K1655" s="20" t="str">
        <f>IFERROR(INDEX('[2]PRICELIST, 908u'!$G$7:$AX$914,MATCH($B1655,'[2]PRICELIST, 908u'!$G$7:$G$914,0),30),"NA")</f>
        <v>Flat / YELLOW</v>
      </c>
      <c r="L1655" s="20">
        <f>IFERROR(INDEX('[2]PRICELIST, 908u'!$G$7:$AX$914,MATCH($B1655,'[2]PRICELIST, 908u'!$G$7:$G$914,0),40),"NA")</f>
        <v>2650000</v>
      </c>
      <c r="M1655" s="20">
        <f>IFERROR(INDEX('[2]PRICELIST, 908u'!$G$7:$AX$914,MATCH($B1655,'[2]PRICELIST, 908u'!$G$7:$G$914,0),41),"NA")</f>
        <v>100000</v>
      </c>
      <c r="N1655" s="58">
        <f t="shared" si="84"/>
        <v>2550000</v>
      </c>
      <c r="O1655" s="60"/>
      <c r="P1655" s="60">
        <f t="shared" si="83"/>
        <v>2550000</v>
      </c>
    </row>
    <row r="1656" spans="2:16">
      <c r="B1656" s="20" t="s">
        <v>1807</v>
      </c>
      <c r="C1656" s="20" t="s">
        <v>2</v>
      </c>
      <c r="D1656" s="20" t="str">
        <f>IFERROR(INDEX('[2]PRICELIST, 908u'!$G$7:$AX$914,MATCH($B1656,'[2]PRICELIST, 908u'!$G$7:$G$914,0),18),"NA")</f>
        <v>2025 - Batch 6</v>
      </c>
      <c r="E1656" s="20" t="str">
        <f>IFERROR(INDEX([3]AGM!$D$21:$BL$928,MATCH($B1656,[3]AGM!$AD$21:$AD$928,0),1),"NA")</f>
        <v>OS</v>
      </c>
      <c r="F1656" s="20" t="str">
        <f t="shared" si="82"/>
        <v>Block 42</v>
      </c>
      <c r="G1656" s="20" t="str">
        <f t="shared" si="81"/>
        <v>Lot 03</v>
      </c>
      <c r="H1656" s="20">
        <f>IFERROR(INDEX('[2]PRICELIST, 908u'!$G$7:$AX$914,MATCH($B1656,'[2]PRICELIST, 908u'!$G$7:$G$914,0),23),"NA")</f>
        <v>50</v>
      </c>
      <c r="I1656" s="20">
        <f>IFERROR(INDEX('[2]PRICELIST, 908u'!$G$7:$AX$914,MATCH($B1656,'[2]PRICELIST, 908u'!$G$7:$G$914,0),22),"NA")</f>
        <v>70</v>
      </c>
      <c r="J1656" s="20" t="s">
        <v>207</v>
      </c>
      <c r="K1656" s="20" t="str">
        <f>IFERROR(INDEX('[2]PRICELIST, 908u'!$G$7:$AX$914,MATCH($B1656,'[2]PRICELIST, 908u'!$G$7:$G$914,0),30),"NA")</f>
        <v>Slant / PINK</v>
      </c>
      <c r="L1656" s="20">
        <f>IFERROR(INDEX('[2]PRICELIST, 908u'!$G$7:$AX$914,MATCH($B1656,'[2]PRICELIST, 908u'!$G$7:$G$914,0),40),"NA")</f>
        <v>2650000</v>
      </c>
      <c r="M1656" s="20">
        <f>IFERROR(INDEX('[2]PRICELIST, 908u'!$G$7:$AX$914,MATCH($B1656,'[2]PRICELIST, 908u'!$G$7:$G$914,0),41),"NA")</f>
        <v>100000</v>
      </c>
      <c r="N1656" s="58">
        <f t="shared" si="84"/>
        <v>2550000</v>
      </c>
      <c r="O1656" s="60"/>
      <c r="P1656" s="60">
        <f t="shared" si="83"/>
        <v>2550000</v>
      </c>
    </row>
    <row r="1657" spans="2:16">
      <c r="B1657" s="20" t="s">
        <v>1808</v>
      </c>
      <c r="C1657" s="20" t="s">
        <v>2</v>
      </c>
      <c r="D1657" s="20" t="str">
        <f>IFERROR(INDEX('[2]PRICELIST, 908u'!$G$7:$AX$914,MATCH($B1657,'[2]PRICELIST, 908u'!$G$7:$G$914,0),18),"NA")</f>
        <v>2025 - Batch 6</v>
      </c>
      <c r="E1657" s="20" t="str">
        <f>IFERROR(INDEX([3]AGM!$D$21:$BL$928,MATCH($B1657,[3]AGM!$AD$21:$AD$928,0),1),"NA")</f>
        <v>OS</v>
      </c>
      <c r="F1657" s="20" t="str">
        <f t="shared" si="82"/>
        <v>Block 42</v>
      </c>
      <c r="G1657" s="20" t="str">
        <f t="shared" si="81"/>
        <v>Lot 04</v>
      </c>
      <c r="H1657" s="20">
        <f>IFERROR(INDEX('[2]PRICELIST, 908u'!$G$7:$AX$914,MATCH($B1657,'[2]PRICELIST, 908u'!$G$7:$G$914,0),23),"NA")</f>
        <v>50</v>
      </c>
      <c r="I1657" s="20">
        <f>IFERROR(INDEX('[2]PRICELIST, 908u'!$G$7:$AX$914,MATCH($B1657,'[2]PRICELIST, 908u'!$G$7:$G$914,0),22),"NA")</f>
        <v>70</v>
      </c>
      <c r="J1657" s="20" t="s">
        <v>207</v>
      </c>
      <c r="K1657" s="20" t="str">
        <f>IFERROR(INDEX('[2]PRICELIST, 908u'!$G$7:$AX$914,MATCH($B1657,'[2]PRICELIST, 908u'!$G$7:$G$914,0),30),"NA")</f>
        <v>Flat / PINK</v>
      </c>
      <c r="L1657" s="20">
        <f>IFERROR(INDEX('[2]PRICELIST, 908u'!$G$7:$AX$914,MATCH($B1657,'[2]PRICELIST, 908u'!$G$7:$G$914,0),40),"NA")</f>
        <v>2650000</v>
      </c>
      <c r="M1657" s="20">
        <f>IFERROR(INDEX('[2]PRICELIST, 908u'!$G$7:$AX$914,MATCH($B1657,'[2]PRICELIST, 908u'!$G$7:$G$914,0),41),"NA")</f>
        <v>100000</v>
      </c>
      <c r="N1657" s="58">
        <f t="shared" si="84"/>
        <v>2550000</v>
      </c>
      <c r="O1657" s="60"/>
      <c r="P1657" s="60">
        <f t="shared" si="83"/>
        <v>2550000</v>
      </c>
    </row>
    <row r="1658" spans="2:16">
      <c r="B1658" s="20" t="s">
        <v>1809</v>
      </c>
      <c r="C1658" s="20" t="s">
        <v>2</v>
      </c>
      <c r="D1658" s="20" t="str">
        <f>IFERROR(INDEX('[2]PRICELIST, 908u'!$G$7:$AX$914,MATCH($B1658,'[2]PRICELIST, 908u'!$G$7:$G$914,0),18),"NA")</f>
        <v>2025 - Batch 6</v>
      </c>
      <c r="E1658" s="20" t="str">
        <f>IFERROR(INDEX([3]AGM!$D$21:$BL$928,MATCH($B1658,[3]AGM!$AD$21:$AD$928,0),1),"NA")</f>
        <v>OS</v>
      </c>
      <c r="F1658" s="20" t="str">
        <f t="shared" si="82"/>
        <v>Block 42</v>
      </c>
      <c r="G1658" s="20" t="str">
        <f t="shared" si="81"/>
        <v>Lot 05</v>
      </c>
      <c r="H1658" s="20">
        <f>IFERROR(INDEX('[2]PRICELIST, 908u'!$G$7:$AX$914,MATCH($B1658,'[2]PRICELIST, 908u'!$G$7:$G$914,0),23),"NA")</f>
        <v>50</v>
      </c>
      <c r="I1658" s="20">
        <f>IFERROR(INDEX('[2]PRICELIST, 908u'!$G$7:$AX$914,MATCH($B1658,'[2]PRICELIST, 908u'!$G$7:$G$914,0),22),"NA")</f>
        <v>70</v>
      </c>
      <c r="J1658" s="20" t="s">
        <v>207</v>
      </c>
      <c r="K1658" s="20" t="str">
        <f>IFERROR(INDEX('[2]PRICELIST, 908u'!$G$7:$AX$914,MATCH($B1658,'[2]PRICELIST, 908u'!$G$7:$G$914,0),30),"NA")</f>
        <v>Slant / PINK</v>
      </c>
      <c r="L1658" s="20">
        <f>IFERROR(INDEX('[2]PRICELIST, 908u'!$G$7:$AX$914,MATCH($B1658,'[2]PRICELIST, 908u'!$G$7:$G$914,0),40),"NA")</f>
        <v>2650000</v>
      </c>
      <c r="M1658" s="20">
        <f>IFERROR(INDEX('[2]PRICELIST, 908u'!$G$7:$AX$914,MATCH($B1658,'[2]PRICELIST, 908u'!$G$7:$G$914,0),41),"NA")</f>
        <v>100000</v>
      </c>
      <c r="N1658" s="58">
        <f t="shared" si="84"/>
        <v>2550000</v>
      </c>
      <c r="O1658" s="60"/>
      <c r="P1658" s="60">
        <f t="shared" si="83"/>
        <v>2550000</v>
      </c>
    </row>
    <row r="1659" spans="2:16">
      <c r="B1659" s="20" t="s">
        <v>1810</v>
      </c>
      <c r="C1659" s="20" t="s">
        <v>2</v>
      </c>
      <c r="D1659" s="20" t="str">
        <f>IFERROR(INDEX('[2]PRICELIST, 908u'!$G$7:$AX$914,MATCH($B1659,'[2]PRICELIST, 908u'!$G$7:$G$914,0),18),"NA")</f>
        <v>2025 - Batch 6</v>
      </c>
      <c r="E1659" s="20" t="str">
        <f>IFERROR(INDEX([3]AGM!$D$21:$BL$928,MATCH($B1659,[3]AGM!$AD$21:$AD$928,0),1),"NA")</f>
        <v>OS</v>
      </c>
      <c r="F1659" s="20" t="str">
        <f t="shared" si="82"/>
        <v>Block 42</v>
      </c>
      <c r="G1659" s="20" t="str">
        <f t="shared" si="81"/>
        <v>Lot 06</v>
      </c>
      <c r="H1659" s="20">
        <f>IFERROR(INDEX('[2]PRICELIST, 908u'!$G$7:$AX$914,MATCH($B1659,'[2]PRICELIST, 908u'!$G$7:$G$914,0),23),"NA")</f>
        <v>50</v>
      </c>
      <c r="I1659" s="20">
        <f>IFERROR(INDEX('[2]PRICELIST, 908u'!$G$7:$AX$914,MATCH($B1659,'[2]PRICELIST, 908u'!$G$7:$G$914,0),22),"NA")</f>
        <v>70</v>
      </c>
      <c r="J1659" s="20" t="s">
        <v>207</v>
      </c>
      <c r="K1659" s="20" t="str">
        <f>IFERROR(INDEX('[2]PRICELIST, 908u'!$G$7:$AX$914,MATCH($B1659,'[2]PRICELIST, 908u'!$G$7:$G$914,0),30),"NA")</f>
        <v>Flat / PINK</v>
      </c>
      <c r="L1659" s="20">
        <f>IFERROR(INDEX('[2]PRICELIST, 908u'!$G$7:$AX$914,MATCH($B1659,'[2]PRICELIST, 908u'!$G$7:$G$914,0),40),"NA")</f>
        <v>2650000</v>
      </c>
      <c r="M1659" s="20">
        <f>IFERROR(INDEX('[2]PRICELIST, 908u'!$G$7:$AX$914,MATCH($B1659,'[2]PRICELIST, 908u'!$G$7:$G$914,0),41),"NA")</f>
        <v>100000</v>
      </c>
      <c r="N1659" s="58">
        <f t="shared" si="84"/>
        <v>2550000</v>
      </c>
      <c r="O1659" s="60"/>
      <c r="P1659" s="60">
        <f t="shared" si="83"/>
        <v>2550000</v>
      </c>
    </row>
    <row r="1660" spans="2:16">
      <c r="B1660" s="20" t="s">
        <v>1811</v>
      </c>
      <c r="C1660" s="20" t="s">
        <v>2</v>
      </c>
      <c r="D1660" s="20" t="str">
        <f>IFERROR(INDEX('[2]PRICELIST, 908u'!$G$7:$AX$914,MATCH($B1660,'[2]PRICELIST, 908u'!$G$7:$G$914,0),18),"NA")</f>
        <v>2025 - Batch 2</v>
      </c>
      <c r="E1660" s="20" t="str">
        <f>IFERROR(INDEX([3]AGM!$D$21:$BL$928,MATCH($B1660,[3]AGM!$AD$21:$AD$928,0),1),"NA")</f>
        <v>OS</v>
      </c>
      <c r="F1660" s="20" t="str">
        <f t="shared" si="82"/>
        <v>Block 42</v>
      </c>
      <c r="G1660" s="20" t="str">
        <f t="shared" si="81"/>
        <v>Lot 07</v>
      </c>
      <c r="H1660" s="20">
        <f>IFERROR(INDEX('[2]PRICELIST, 908u'!$G$7:$AX$914,MATCH($B1660,'[2]PRICELIST, 908u'!$G$7:$G$914,0),23),"NA")</f>
        <v>50</v>
      </c>
      <c r="I1660" s="20">
        <f>IFERROR(INDEX('[2]PRICELIST, 908u'!$G$7:$AX$914,MATCH($B1660,'[2]PRICELIST, 908u'!$G$7:$G$914,0),22),"NA")</f>
        <v>70</v>
      </c>
      <c r="J1660" s="20" t="s">
        <v>207</v>
      </c>
      <c r="K1660" s="20" t="str">
        <f>IFERROR(INDEX('[2]PRICELIST, 908u'!$G$7:$AX$914,MATCH($B1660,'[2]PRICELIST, 908u'!$G$7:$G$914,0),30),"NA")</f>
        <v>Slant / YELLOW</v>
      </c>
      <c r="L1660" s="20">
        <f>IFERROR(INDEX('[2]PRICELIST, 908u'!$G$7:$AX$914,MATCH($B1660,'[2]PRICELIST, 908u'!$G$7:$G$914,0),40),"NA")</f>
        <v>2650000</v>
      </c>
      <c r="M1660" s="20">
        <f>IFERROR(INDEX('[2]PRICELIST, 908u'!$G$7:$AX$914,MATCH($B1660,'[2]PRICELIST, 908u'!$G$7:$G$914,0),41),"NA")</f>
        <v>100000</v>
      </c>
      <c r="N1660" s="58">
        <f t="shared" si="84"/>
        <v>2550000</v>
      </c>
      <c r="O1660" s="60"/>
      <c r="P1660" s="60">
        <f t="shared" si="83"/>
        <v>2550000</v>
      </c>
    </row>
    <row r="1661" spans="2:16">
      <c r="B1661" s="20" t="s">
        <v>1812</v>
      </c>
      <c r="C1661" s="20" t="s">
        <v>2</v>
      </c>
      <c r="D1661" s="20" t="str">
        <f>IFERROR(INDEX('[2]PRICELIST, 908u'!$G$7:$AX$914,MATCH($B1661,'[2]PRICELIST, 908u'!$G$7:$G$914,0),18),"NA")</f>
        <v>2025 - Batch 2</v>
      </c>
      <c r="E1661" s="20" t="str">
        <f>IFERROR(INDEX([3]AGM!$D$21:$BL$928,MATCH($B1661,[3]AGM!$AD$21:$AD$928,0),1),"NA")</f>
        <v>OS</v>
      </c>
      <c r="F1661" s="20" t="str">
        <f t="shared" si="82"/>
        <v>Block 42</v>
      </c>
      <c r="G1661" s="20" t="str">
        <f t="shared" si="81"/>
        <v>Lot 08</v>
      </c>
      <c r="H1661" s="20">
        <f>IFERROR(INDEX('[2]PRICELIST, 908u'!$G$7:$AX$914,MATCH($B1661,'[2]PRICELIST, 908u'!$G$7:$G$914,0),23),"NA")</f>
        <v>50</v>
      </c>
      <c r="I1661" s="20">
        <f>IFERROR(INDEX('[2]PRICELIST, 908u'!$G$7:$AX$914,MATCH($B1661,'[2]PRICELIST, 908u'!$G$7:$G$914,0),22),"NA")</f>
        <v>70</v>
      </c>
      <c r="J1661" s="20" t="s">
        <v>207</v>
      </c>
      <c r="K1661" s="20" t="str">
        <f>IFERROR(INDEX('[2]PRICELIST, 908u'!$G$7:$AX$914,MATCH($B1661,'[2]PRICELIST, 908u'!$G$7:$G$914,0),30),"NA")</f>
        <v>Flat / YELLOW</v>
      </c>
      <c r="L1661" s="20">
        <f>IFERROR(INDEX('[2]PRICELIST, 908u'!$G$7:$AX$914,MATCH($B1661,'[2]PRICELIST, 908u'!$G$7:$G$914,0),40),"NA")</f>
        <v>2650000</v>
      </c>
      <c r="M1661" s="20">
        <f>IFERROR(INDEX('[2]PRICELIST, 908u'!$G$7:$AX$914,MATCH($B1661,'[2]PRICELIST, 908u'!$G$7:$G$914,0),41),"NA")</f>
        <v>100000</v>
      </c>
      <c r="N1661" s="58">
        <f t="shared" si="84"/>
        <v>2550000</v>
      </c>
      <c r="O1661" s="60"/>
      <c r="P1661" s="60">
        <f t="shared" si="83"/>
        <v>2550000</v>
      </c>
    </row>
    <row r="1662" spans="2:16">
      <c r="B1662" s="20" t="s">
        <v>1813</v>
      </c>
      <c r="C1662" s="20" t="s">
        <v>2</v>
      </c>
      <c r="D1662" s="20" t="str">
        <f>IFERROR(INDEX('[2]PRICELIST, 908u'!$G$7:$AX$914,MATCH($B1662,'[2]PRICELIST, 908u'!$G$7:$G$914,0),18),"NA")</f>
        <v>2025 - Batch 2</v>
      </c>
      <c r="E1662" s="20" t="str">
        <f>IFERROR(INDEX([3]AGM!$D$21:$BL$928,MATCH($B1662,[3]AGM!$AD$21:$AD$928,0),1),"NA")</f>
        <v>OS</v>
      </c>
      <c r="F1662" s="20" t="str">
        <f t="shared" si="82"/>
        <v>Block 42</v>
      </c>
      <c r="G1662" s="20" t="str">
        <f t="shared" si="81"/>
        <v>Lot 09</v>
      </c>
      <c r="H1662" s="20">
        <f>IFERROR(INDEX('[2]PRICELIST, 908u'!$G$7:$AX$914,MATCH($B1662,'[2]PRICELIST, 908u'!$G$7:$G$914,0),23),"NA")</f>
        <v>50</v>
      </c>
      <c r="I1662" s="20">
        <f>IFERROR(INDEX('[2]PRICELIST, 908u'!$G$7:$AX$914,MATCH($B1662,'[2]PRICELIST, 908u'!$G$7:$G$914,0),22),"NA")</f>
        <v>70</v>
      </c>
      <c r="J1662" s="20" t="s">
        <v>207</v>
      </c>
      <c r="K1662" s="20" t="str">
        <f>IFERROR(INDEX('[2]PRICELIST, 908u'!$G$7:$AX$914,MATCH($B1662,'[2]PRICELIST, 908u'!$G$7:$G$914,0),30),"NA")</f>
        <v>Flat / YELLOW</v>
      </c>
      <c r="L1662" s="20">
        <f>IFERROR(INDEX('[2]PRICELIST, 908u'!$G$7:$AX$914,MATCH($B1662,'[2]PRICELIST, 908u'!$G$7:$G$914,0),40),"NA")</f>
        <v>2650000</v>
      </c>
      <c r="M1662" s="20">
        <f>IFERROR(INDEX('[2]PRICELIST, 908u'!$G$7:$AX$914,MATCH($B1662,'[2]PRICELIST, 908u'!$G$7:$G$914,0),41),"NA")</f>
        <v>100000</v>
      </c>
      <c r="N1662" s="58">
        <f t="shared" si="84"/>
        <v>2550000</v>
      </c>
      <c r="O1662" s="60"/>
      <c r="P1662" s="60">
        <f t="shared" si="83"/>
        <v>2550000</v>
      </c>
    </row>
    <row r="1663" spans="2:16">
      <c r="B1663" s="20" t="s">
        <v>1814</v>
      </c>
      <c r="C1663" s="20" t="s">
        <v>2</v>
      </c>
      <c r="D1663" s="20" t="str">
        <f>IFERROR(INDEX('[2]PRICELIST, 908u'!$G$7:$AX$914,MATCH($B1663,'[2]PRICELIST, 908u'!$G$7:$G$914,0),18),"NA")</f>
        <v>2025 - Batch 2</v>
      </c>
      <c r="E1663" s="20" t="str">
        <f>IFERROR(INDEX([3]AGM!$D$21:$BL$928,MATCH($B1663,[3]AGM!$AD$21:$AD$928,0),1),"NA")</f>
        <v>OS</v>
      </c>
      <c r="F1663" s="20" t="str">
        <f t="shared" si="82"/>
        <v>Block 42</v>
      </c>
      <c r="G1663" s="20" t="str">
        <f t="shared" si="81"/>
        <v>Lot 10</v>
      </c>
      <c r="H1663" s="20">
        <f>IFERROR(INDEX('[2]PRICELIST, 908u'!$G$7:$AX$914,MATCH($B1663,'[2]PRICELIST, 908u'!$G$7:$G$914,0),23),"NA")</f>
        <v>50</v>
      </c>
      <c r="I1663" s="20">
        <f>IFERROR(INDEX('[2]PRICELIST, 908u'!$G$7:$AX$914,MATCH($B1663,'[2]PRICELIST, 908u'!$G$7:$G$914,0),22),"NA")</f>
        <v>70</v>
      </c>
      <c r="J1663" s="20" t="s">
        <v>207</v>
      </c>
      <c r="K1663" s="20" t="str">
        <f>IFERROR(INDEX('[2]PRICELIST, 908u'!$G$7:$AX$914,MATCH($B1663,'[2]PRICELIST, 908u'!$G$7:$G$914,0),30),"NA")</f>
        <v>Slant / YELLOW</v>
      </c>
      <c r="L1663" s="20">
        <f>IFERROR(INDEX('[2]PRICELIST, 908u'!$G$7:$AX$914,MATCH($B1663,'[2]PRICELIST, 908u'!$G$7:$G$914,0),40),"NA")</f>
        <v>2650000</v>
      </c>
      <c r="M1663" s="20">
        <f>IFERROR(INDEX('[2]PRICELIST, 908u'!$G$7:$AX$914,MATCH($B1663,'[2]PRICELIST, 908u'!$G$7:$G$914,0),41),"NA")</f>
        <v>100000</v>
      </c>
      <c r="N1663" s="58">
        <f t="shared" si="84"/>
        <v>2550000</v>
      </c>
      <c r="O1663" s="60"/>
      <c r="P1663" s="60">
        <f t="shared" si="83"/>
        <v>2550000</v>
      </c>
    </row>
    <row r="1664" spans="2:16">
      <c r="B1664" s="20" t="s">
        <v>1815</v>
      </c>
      <c r="C1664" s="20" t="s">
        <v>2</v>
      </c>
      <c r="D1664" s="20" t="str">
        <f>IFERROR(INDEX('[2]PRICELIST, 908u'!$G$7:$AX$914,MATCH($B1664,'[2]PRICELIST, 908u'!$G$7:$G$914,0),18),"NA")</f>
        <v>2025 - Batch 2</v>
      </c>
      <c r="E1664" s="20" t="str">
        <f>IFERROR(INDEX([3]AGM!$D$21:$BL$928,MATCH($B1664,[3]AGM!$AD$21:$AD$928,0),1),"NA")</f>
        <v>OS</v>
      </c>
      <c r="F1664" s="20" t="str">
        <f t="shared" si="82"/>
        <v>Block 42</v>
      </c>
      <c r="G1664" s="20" t="str">
        <f t="shared" si="81"/>
        <v>Lot 11</v>
      </c>
      <c r="H1664" s="20">
        <f>IFERROR(INDEX('[2]PRICELIST, 908u'!$G$7:$AX$914,MATCH($B1664,'[2]PRICELIST, 908u'!$G$7:$G$914,0),23),"NA")</f>
        <v>50</v>
      </c>
      <c r="I1664" s="20">
        <f>IFERROR(INDEX('[2]PRICELIST, 908u'!$G$7:$AX$914,MATCH($B1664,'[2]PRICELIST, 908u'!$G$7:$G$914,0),22),"NA")</f>
        <v>70</v>
      </c>
      <c r="J1664" s="20" t="s">
        <v>207</v>
      </c>
      <c r="K1664" s="20" t="str">
        <f>IFERROR(INDEX('[2]PRICELIST, 908u'!$G$7:$AX$914,MATCH($B1664,'[2]PRICELIST, 908u'!$G$7:$G$914,0),30),"NA")</f>
        <v>Flat / GREEN</v>
      </c>
      <c r="L1664" s="20">
        <f>IFERROR(INDEX('[2]PRICELIST, 908u'!$G$7:$AX$914,MATCH($B1664,'[2]PRICELIST, 908u'!$G$7:$G$914,0),40),"NA")</f>
        <v>2650000</v>
      </c>
      <c r="M1664" s="20">
        <f>IFERROR(INDEX('[2]PRICELIST, 908u'!$G$7:$AX$914,MATCH($B1664,'[2]PRICELIST, 908u'!$G$7:$G$914,0),41),"NA")</f>
        <v>100000</v>
      </c>
      <c r="N1664" s="58">
        <f t="shared" si="84"/>
        <v>2550000</v>
      </c>
      <c r="O1664" s="60"/>
      <c r="P1664" s="60">
        <f t="shared" si="83"/>
        <v>2550000</v>
      </c>
    </row>
    <row r="1665" spans="2:16">
      <c r="B1665" s="20" t="s">
        <v>1816</v>
      </c>
      <c r="C1665" s="20" t="s">
        <v>2</v>
      </c>
      <c r="D1665" s="20" t="str">
        <f>IFERROR(INDEX('[2]PRICELIST, 908u'!$G$7:$AX$914,MATCH($B1665,'[2]PRICELIST, 908u'!$G$7:$G$914,0),18),"NA")</f>
        <v>2025 - Batch 2</v>
      </c>
      <c r="E1665" s="20" t="str">
        <f>IFERROR(INDEX([3]AGM!$D$21:$BL$928,MATCH($B1665,[3]AGM!$AD$21:$AD$928,0),1),"NA")</f>
        <v>OS</v>
      </c>
      <c r="F1665" s="20" t="str">
        <f t="shared" si="82"/>
        <v>Block 42</v>
      </c>
      <c r="G1665" s="20" t="str">
        <f t="shared" si="81"/>
        <v>Lot 12</v>
      </c>
      <c r="H1665" s="20">
        <f>IFERROR(INDEX('[2]PRICELIST, 908u'!$G$7:$AX$914,MATCH($B1665,'[2]PRICELIST, 908u'!$G$7:$G$914,0),23),"NA")</f>
        <v>50</v>
      </c>
      <c r="I1665" s="20">
        <f>IFERROR(INDEX('[2]PRICELIST, 908u'!$G$7:$AX$914,MATCH($B1665,'[2]PRICELIST, 908u'!$G$7:$G$914,0),22),"NA")</f>
        <v>89</v>
      </c>
      <c r="J1665" s="20" t="s">
        <v>207</v>
      </c>
      <c r="K1665" s="20" t="str">
        <f>IFERROR(INDEX('[2]PRICELIST, 908u'!$G$7:$AX$914,MATCH($B1665,'[2]PRICELIST, 908u'!$G$7:$G$914,0),30),"NA")</f>
        <v>Flat / GREEN</v>
      </c>
      <c r="L1665" s="20">
        <f>IFERROR(INDEX('[2]PRICELIST, 908u'!$G$7:$AX$914,MATCH($B1665,'[2]PRICELIST, 908u'!$G$7:$G$914,0),40),"NA")</f>
        <v>2935000</v>
      </c>
      <c r="M1665" s="20">
        <f>IFERROR(INDEX('[2]PRICELIST, 908u'!$G$7:$AX$914,MATCH($B1665,'[2]PRICELIST, 908u'!$G$7:$G$914,0),41),"NA")</f>
        <v>100000</v>
      </c>
      <c r="N1665" s="58">
        <f t="shared" si="84"/>
        <v>2835000</v>
      </c>
      <c r="O1665" s="60"/>
      <c r="P1665" s="60">
        <f t="shared" si="83"/>
        <v>2835000</v>
      </c>
    </row>
    <row r="1666" spans="2:16">
      <c r="B1666" s="20" t="s">
        <v>1817</v>
      </c>
      <c r="C1666" s="20" t="s">
        <v>2</v>
      </c>
      <c r="D1666" s="20" t="str">
        <f>IFERROR(INDEX('[2]PRICELIST, 908u'!$G$7:$AX$914,MATCH($B1666,'[2]PRICELIST, 908u'!$G$7:$G$914,0),18),"NA")</f>
        <v>2025 - Batch 4</v>
      </c>
      <c r="E1666" s="20" t="str">
        <f>IFERROR(INDEX([3]AGM!$D$21:$BL$928,MATCH($B1666,[3]AGM!$AD$21:$AD$928,0),1),"NA")</f>
        <v>OS</v>
      </c>
      <c r="F1666" s="20" t="str">
        <f t="shared" si="82"/>
        <v>Block 43</v>
      </c>
      <c r="G1666" s="20" t="str">
        <f t="shared" si="81"/>
        <v>Lot 01</v>
      </c>
      <c r="H1666" s="20">
        <f>IFERROR(INDEX('[2]PRICELIST, 908u'!$G$7:$AX$914,MATCH($B1666,'[2]PRICELIST, 908u'!$G$7:$G$914,0),23),"NA")</f>
        <v>50</v>
      </c>
      <c r="I1666" s="20">
        <f>IFERROR(INDEX('[2]PRICELIST, 908u'!$G$7:$AX$914,MATCH($B1666,'[2]PRICELIST, 908u'!$G$7:$G$914,0),22),"NA")</f>
        <v>89</v>
      </c>
      <c r="J1666" s="20" t="s">
        <v>207</v>
      </c>
      <c r="K1666" s="20" t="str">
        <f>IFERROR(INDEX('[2]PRICELIST, 908u'!$G$7:$AX$914,MATCH($B1666,'[2]PRICELIST, 908u'!$G$7:$G$914,0),30),"NA")</f>
        <v>Slant / PURPLE</v>
      </c>
      <c r="L1666" s="20">
        <f>IFERROR(INDEX('[2]PRICELIST, 908u'!$G$7:$AX$914,MATCH($B1666,'[2]PRICELIST, 908u'!$G$7:$G$914,0),40),"NA")</f>
        <v>2935000</v>
      </c>
      <c r="M1666" s="20">
        <f>IFERROR(INDEX('[2]PRICELIST, 908u'!$G$7:$AX$914,MATCH($B1666,'[2]PRICELIST, 908u'!$G$7:$G$914,0),41),"NA")</f>
        <v>100000</v>
      </c>
      <c r="N1666" s="58">
        <f t="shared" si="84"/>
        <v>2835000</v>
      </c>
      <c r="O1666" s="60"/>
      <c r="P1666" s="60">
        <f t="shared" si="83"/>
        <v>2835000</v>
      </c>
    </row>
    <row r="1667" spans="2:16">
      <c r="B1667" s="20" t="s">
        <v>1818</v>
      </c>
      <c r="C1667" s="20" t="s">
        <v>2</v>
      </c>
      <c r="D1667" s="20" t="str">
        <f>IFERROR(INDEX('[2]PRICELIST, 908u'!$G$7:$AX$914,MATCH($B1667,'[2]PRICELIST, 908u'!$G$7:$G$914,0),18),"NA")</f>
        <v>2025 - Batch 4</v>
      </c>
      <c r="E1667" s="20" t="str">
        <f>IFERROR(INDEX([3]AGM!$D$21:$BL$928,MATCH($B1667,[3]AGM!$AD$21:$AD$928,0),1),"NA")</f>
        <v>OS</v>
      </c>
      <c r="F1667" s="20" t="str">
        <f t="shared" si="82"/>
        <v>Block 43</v>
      </c>
      <c r="G1667" s="20" t="str">
        <f t="shared" si="81"/>
        <v>Lot 02</v>
      </c>
      <c r="H1667" s="20">
        <f>IFERROR(INDEX('[2]PRICELIST, 908u'!$G$7:$AX$914,MATCH($B1667,'[2]PRICELIST, 908u'!$G$7:$G$914,0),23),"NA")</f>
        <v>50</v>
      </c>
      <c r="I1667" s="20">
        <f>IFERROR(INDEX('[2]PRICELIST, 908u'!$G$7:$AX$914,MATCH($B1667,'[2]PRICELIST, 908u'!$G$7:$G$914,0),22),"NA")</f>
        <v>70</v>
      </c>
      <c r="J1667" s="20" t="s">
        <v>207</v>
      </c>
      <c r="K1667" s="20" t="str">
        <f>IFERROR(INDEX('[2]PRICELIST, 908u'!$G$7:$AX$914,MATCH($B1667,'[2]PRICELIST, 908u'!$G$7:$G$914,0),30),"NA")</f>
        <v>Flat / PURPLE</v>
      </c>
      <c r="L1667" s="20">
        <f>IFERROR(INDEX('[2]PRICELIST, 908u'!$G$7:$AX$914,MATCH($B1667,'[2]PRICELIST, 908u'!$G$7:$G$914,0),40),"NA")</f>
        <v>2650000</v>
      </c>
      <c r="M1667" s="20">
        <f>IFERROR(INDEX('[2]PRICELIST, 908u'!$G$7:$AX$914,MATCH($B1667,'[2]PRICELIST, 908u'!$G$7:$G$914,0),41),"NA")</f>
        <v>100000</v>
      </c>
      <c r="N1667" s="58">
        <f t="shared" si="84"/>
        <v>2550000</v>
      </c>
      <c r="O1667" s="60"/>
      <c r="P1667" s="60">
        <f t="shared" si="83"/>
        <v>2550000</v>
      </c>
    </row>
    <row r="1668" spans="2:16">
      <c r="B1668" s="20" t="s">
        <v>1819</v>
      </c>
      <c r="C1668" s="20" t="s">
        <v>2</v>
      </c>
      <c r="D1668" s="20" t="str">
        <f>IFERROR(INDEX('[2]PRICELIST, 908u'!$G$7:$AX$914,MATCH($B1668,'[2]PRICELIST, 908u'!$G$7:$G$914,0),18),"NA")</f>
        <v>2025 - Batch 4</v>
      </c>
      <c r="E1668" s="20" t="str">
        <f>IFERROR(INDEX([3]AGM!$D$21:$BL$928,MATCH($B1668,[3]AGM!$AD$21:$AD$928,0),1),"NA")</f>
        <v>OS</v>
      </c>
      <c r="F1668" s="20" t="str">
        <f t="shared" si="82"/>
        <v>Block 43</v>
      </c>
      <c r="G1668" s="20" t="str">
        <f t="shared" si="81"/>
        <v>Lot 03</v>
      </c>
      <c r="H1668" s="20">
        <f>IFERROR(INDEX('[2]PRICELIST, 908u'!$G$7:$AX$914,MATCH($B1668,'[2]PRICELIST, 908u'!$G$7:$G$914,0),23),"NA")</f>
        <v>50</v>
      </c>
      <c r="I1668" s="20">
        <f>IFERROR(INDEX('[2]PRICELIST, 908u'!$G$7:$AX$914,MATCH($B1668,'[2]PRICELIST, 908u'!$G$7:$G$914,0),22),"NA")</f>
        <v>70</v>
      </c>
      <c r="J1668" s="20" t="s">
        <v>207</v>
      </c>
      <c r="K1668" s="20" t="str">
        <f>IFERROR(INDEX('[2]PRICELIST, 908u'!$G$7:$AX$914,MATCH($B1668,'[2]PRICELIST, 908u'!$G$7:$G$914,0),30),"NA")</f>
        <v>Flat / GREEN</v>
      </c>
      <c r="L1668" s="20">
        <f>IFERROR(INDEX('[2]PRICELIST, 908u'!$G$7:$AX$914,MATCH($B1668,'[2]PRICELIST, 908u'!$G$7:$G$914,0),40),"NA")</f>
        <v>2650000</v>
      </c>
      <c r="M1668" s="20">
        <f>IFERROR(INDEX('[2]PRICELIST, 908u'!$G$7:$AX$914,MATCH($B1668,'[2]PRICELIST, 908u'!$G$7:$G$914,0),41),"NA")</f>
        <v>100000</v>
      </c>
      <c r="N1668" s="58">
        <f t="shared" si="84"/>
        <v>2550000</v>
      </c>
      <c r="O1668" s="60"/>
      <c r="P1668" s="60">
        <f t="shared" si="83"/>
        <v>2550000</v>
      </c>
    </row>
    <row r="1669" spans="2:16">
      <c r="B1669" s="20" t="s">
        <v>1820</v>
      </c>
      <c r="C1669" s="20" t="s">
        <v>2</v>
      </c>
      <c r="D1669" s="20" t="str">
        <f>IFERROR(INDEX('[2]PRICELIST, 908u'!$G$7:$AX$914,MATCH($B1669,'[2]PRICELIST, 908u'!$G$7:$G$914,0),18),"NA")</f>
        <v>2025 - Batch 4</v>
      </c>
      <c r="E1669" s="20" t="str">
        <f>IFERROR(INDEX([3]AGM!$D$21:$BL$928,MATCH($B1669,[3]AGM!$AD$21:$AD$928,0),1),"NA")</f>
        <v>OS</v>
      </c>
      <c r="F1669" s="20" t="str">
        <f t="shared" si="82"/>
        <v>Block 43</v>
      </c>
      <c r="G1669" s="20" t="str">
        <f t="shared" si="81"/>
        <v>Lot 04</v>
      </c>
      <c r="H1669" s="20">
        <f>IFERROR(INDEX('[2]PRICELIST, 908u'!$G$7:$AX$914,MATCH($B1669,'[2]PRICELIST, 908u'!$G$7:$G$914,0),23),"NA")</f>
        <v>50</v>
      </c>
      <c r="I1669" s="20">
        <f>IFERROR(INDEX('[2]PRICELIST, 908u'!$G$7:$AX$914,MATCH($B1669,'[2]PRICELIST, 908u'!$G$7:$G$914,0),22),"NA")</f>
        <v>70</v>
      </c>
      <c r="J1669" s="20" t="s">
        <v>207</v>
      </c>
      <c r="K1669" s="20" t="str">
        <f>IFERROR(INDEX('[2]PRICELIST, 908u'!$G$7:$AX$914,MATCH($B1669,'[2]PRICELIST, 908u'!$G$7:$G$914,0),30),"NA")</f>
        <v>Slant / GREEN</v>
      </c>
      <c r="L1669" s="20">
        <f>IFERROR(INDEX('[2]PRICELIST, 908u'!$G$7:$AX$914,MATCH($B1669,'[2]PRICELIST, 908u'!$G$7:$G$914,0),40),"NA")</f>
        <v>2650000</v>
      </c>
      <c r="M1669" s="20">
        <f>IFERROR(INDEX('[2]PRICELIST, 908u'!$G$7:$AX$914,MATCH($B1669,'[2]PRICELIST, 908u'!$G$7:$G$914,0),41),"NA")</f>
        <v>100000</v>
      </c>
      <c r="N1669" s="58">
        <f t="shared" si="84"/>
        <v>2550000</v>
      </c>
      <c r="O1669" s="60"/>
      <c r="P1669" s="60">
        <f t="shared" si="83"/>
        <v>2550000</v>
      </c>
    </row>
    <row r="1670" spans="2:16">
      <c r="B1670" s="20" t="s">
        <v>1821</v>
      </c>
      <c r="C1670" s="20" t="s">
        <v>2</v>
      </c>
      <c r="D1670" s="20" t="str">
        <f>IFERROR(INDEX('[2]PRICELIST, 908u'!$G$7:$AX$914,MATCH($B1670,'[2]PRICELIST, 908u'!$G$7:$G$914,0),18),"NA")</f>
        <v>2025 - Batch 4</v>
      </c>
      <c r="E1670" s="20" t="str">
        <f>IFERROR(INDEX([3]AGM!$D$21:$BL$928,MATCH($B1670,[3]AGM!$AD$21:$AD$928,0),1),"NA")</f>
        <v>OS</v>
      </c>
      <c r="F1670" s="20" t="str">
        <f t="shared" si="82"/>
        <v>Block 43</v>
      </c>
      <c r="G1670" s="20" t="str">
        <f t="shared" si="81"/>
        <v>Lot 05</v>
      </c>
      <c r="H1670" s="20">
        <f>IFERROR(INDEX('[2]PRICELIST, 908u'!$G$7:$AX$914,MATCH($B1670,'[2]PRICELIST, 908u'!$G$7:$G$914,0),23),"NA")</f>
        <v>50</v>
      </c>
      <c r="I1670" s="20">
        <f>IFERROR(INDEX('[2]PRICELIST, 908u'!$G$7:$AX$914,MATCH($B1670,'[2]PRICELIST, 908u'!$G$7:$G$914,0),22),"NA")</f>
        <v>70</v>
      </c>
      <c r="J1670" s="20" t="s">
        <v>207</v>
      </c>
      <c r="K1670" s="20" t="str">
        <f>IFERROR(INDEX('[2]PRICELIST, 908u'!$G$7:$AX$914,MATCH($B1670,'[2]PRICELIST, 908u'!$G$7:$G$914,0),30),"NA")</f>
        <v>Slant / GREEN</v>
      </c>
      <c r="L1670" s="20">
        <f>IFERROR(INDEX('[2]PRICELIST, 908u'!$G$7:$AX$914,MATCH($B1670,'[2]PRICELIST, 908u'!$G$7:$G$914,0),40),"NA")</f>
        <v>2650000</v>
      </c>
      <c r="M1670" s="20">
        <f>IFERROR(INDEX('[2]PRICELIST, 908u'!$G$7:$AX$914,MATCH($B1670,'[2]PRICELIST, 908u'!$G$7:$G$914,0),41),"NA")</f>
        <v>100000</v>
      </c>
      <c r="N1670" s="58">
        <f t="shared" si="84"/>
        <v>2550000</v>
      </c>
      <c r="O1670" s="60"/>
      <c r="P1670" s="60">
        <f t="shared" si="83"/>
        <v>2550000</v>
      </c>
    </row>
    <row r="1671" spans="2:16">
      <c r="B1671" s="20" t="s">
        <v>1822</v>
      </c>
      <c r="C1671" s="20" t="s">
        <v>2</v>
      </c>
      <c r="D1671" s="20" t="str">
        <f>IFERROR(INDEX('[2]PRICELIST, 908u'!$G$7:$AX$914,MATCH($B1671,'[2]PRICELIST, 908u'!$G$7:$G$914,0),18),"NA")</f>
        <v>2025 - Batch 4</v>
      </c>
      <c r="E1671" s="20" t="str">
        <f>IFERROR(INDEX([3]AGM!$D$21:$BL$928,MATCH($B1671,[3]AGM!$AD$21:$AD$928,0),1),"NA")</f>
        <v>OS</v>
      </c>
      <c r="F1671" s="20" t="str">
        <f t="shared" si="82"/>
        <v>Block 43</v>
      </c>
      <c r="G1671" s="20" t="str">
        <f t="shared" si="81"/>
        <v>Lot 06</v>
      </c>
      <c r="H1671" s="20">
        <f>IFERROR(INDEX('[2]PRICELIST, 908u'!$G$7:$AX$914,MATCH($B1671,'[2]PRICELIST, 908u'!$G$7:$G$914,0),23),"NA")</f>
        <v>50</v>
      </c>
      <c r="I1671" s="20">
        <f>IFERROR(INDEX('[2]PRICELIST, 908u'!$G$7:$AX$914,MATCH($B1671,'[2]PRICELIST, 908u'!$G$7:$G$914,0),22),"NA")</f>
        <v>70</v>
      </c>
      <c r="J1671" s="20" t="s">
        <v>207</v>
      </c>
      <c r="K1671" s="20" t="str">
        <f>IFERROR(INDEX('[2]PRICELIST, 908u'!$G$7:$AX$914,MATCH($B1671,'[2]PRICELIST, 908u'!$G$7:$G$914,0),30),"NA")</f>
        <v>Flat / GREEN</v>
      </c>
      <c r="L1671" s="20">
        <f>IFERROR(INDEX('[2]PRICELIST, 908u'!$G$7:$AX$914,MATCH($B1671,'[2]PRICELIST, 908u'!$G$7:$G$914,0),40),"NA")</f>
        <v>2650000</v>
      </c>
      <c r="M1671" s="20">
        <f>IFERROR(INDEX('[2]PRICELIST, 908u'!$G$7:$AX$914,MATCH($B1671,'[2]PRICELIST, 908u'!$G$7:$G$914,0),41),"NA")</f>
        <v>100000</v>
      </c>
      <c r="N1671" s="58">
        <f t="shared" si="84"/>
        <v>2550000</v>
      </c>
      <c r="O1671" s="60"/>
      <c r="P1671" s="60">
        <f t="shared" si="83"/>
        <v>2550000</v>
      </c>
    </row>
    <row r="1672" spans="2:16">
      <c r="B1672" s="20" t="s">
        <v>1823</v>
      </c>
      <c r="C1672" s="20" t="s">
        <v>2</v>
      </c>
      <c r="D1672" s="20" t="str">
        <f>IFERROR(INDEX('[2]PRICELIST, 908u'!$G$7:$AX$914,MATCH($B1672,'[2]PRICELIST, 908u'!$G$7:$G$914,0),18),"NA")</f>
        <v>2025 - Batch 1</v>
      </c>
      <c r="E1672" s="20" t="str">
        <f>IFERROR(INDEX([3]AGM!$D$21:$BL$928,MATCH($B1672,[3]AGM!$AD$21:$AD$928,0),1),"NA")</f>
        <v>OS</v>
      </c>
      <c r="F1672" s="20" t="str">
        <f t="shared" si="82"/>
        <v>Block 43</v>
      </c>
      <c r="G1672" s="20" t="str">
        <f t="shared" si="81"/>
        <v>Lot 07</v>
      </c>
      <c r="H1672" s="20">
        <f>IFERROR(INDEX('[2]PRICELIST, 908u'!$G$7:$AX$914,MATCH($B1672,'[2]PRICELIST, 908u'!$G$7:$G$914,0),23),"NA")</f>
        <v>50</v>
      </c>
      <c r="I1672" s="20">
        <f>IFERROR(INDEX('[2]PRICELIST, 908u'!$G$7:$AX$914,MATCH($B1672,'[2]PRICELIST, 908u'!$G$7:$G$914,0),22),"NA")</f>
        <v>70</v>
      </c>
      <c r="J1672" s="20" t="s">
        <v>207</v>
      </c>
      <c r="K1672" s="20" t="str">
        <f>IFERROR(INDEX('[2]PRICELIST, 908u'!$G$7:$AX$914,MATCH($B1672,'[2]PRICELIST, 908u'!$G$7:$G$914,0),30),"NA")</f>
        <v>Slant / PURPLE</v>
      </c>
      <c r="L1672" s="20">
        <f>IFERROR(INDEX('[2]PRICELIST, 908u'!$G$7:$AX$914,MATCH($B1672,'[2]PRICELIST, 908u'!$G$7:$G$914,0),40),"NA")</f>
        <v>2650000</v>
      </c>
      <c r="M1672" s="20">
        <f>IFERROR(INDEX('[2]PRICELIST, 908u'!$G$7:$AX$914,MATCH($B1672,'[2]PRICELIST, 908u'!$G$7:$G$914,0),41),"NA")</f>
        <v>100000</v>
      </c>
      <c r="N1672" s="58">
        <f t="shared" si="84"/>
        <v>2550000</v>
      </c>
      <c r="O1672" s="60"/>
      <c r="P1672" s="60">
        <f t="shared" si="83"/>
        <v>2550000</v>
      </c>
    </row>
    <row r="1673" spans="2:16">
      <c r="B1673" s="20" t="s">
        <v>1824</v>
      </c>
      <c r="C1673" s="20" t="s">
        <v>2</v>
      </c>
      <c r="D1673" s="20" t="str">
        <f>IFERROR(INDEX('[2]PRICELIST, 908u'!$G$7:$AX$914,MATCH($B1673,'[2]PRICELIST, 908u'!$G$7:$G$914,0),18),"NA")</f>
        <v>2025 - Batch 1</v>
      </c>
      <c r="E1673" s="20" t="str">
        <f>IFERROR(INDEX([3]AGM!$D$21:$BL$928,MATCH($B1673,[3]AGM!$AD$21:$AD$928,0),1),"NA")</f>
        <v>OS</v>
      </c>
      <c r="F1673" s="20" t="str">
        <f t="shared" si="82"/>
        <v>Block 43</v>
      </c>
      <c r="G1673" s="20" t="str">
        <f t="shared" si="81"/>
        <v>Lot 08</v>
      </c>
      <c r="H1673" s="20">
        <f>IFERROR(INDEX('[2]PRICELIST, 908u'!$G$7:$AX$914,MATCH($B1673,'[2]PRICELIST, 908u'!$G$7:$G$914,0),23),"NA")</f>
        <v>50</v>
      </c>
      <c r="I1673" s="20">
        <f>IFERROR(INDEX('[2]PRICELIST, 908u'!$G$7:$AX$914,MATCH($B1673,'[2]PRICELIST, 908u'!$G$7:$G$914,0),22),"NA")</f>
        <v>70</v>
      </c>
      <c r="J1673" s="20" t="s">
        <v>207</v>
      </c>
      <c r="K1673" s="20" t="str">
        <f>IFERROR(INDEX('[2]PRICELIST, 908u'!$G$7:$AX$914,MATCH($B1673,'[2]PRICELIST, 908u'!$G$7:$G$914,0),30),"NA")</f>
        <v>Flat / PURPLE</v>
      </c>
      <c r="L1673" s="20">
        <f>IFERROR(INDEX('[2]PRICELIST, 908u'!$G$7:$AX$914,MATCH($B1673,'[2]PRICELIST, 908u'!$G$7:$G$914,0),40),"NA")</f>
        <v>2650000</v>
      </c>
      <c r="M1673" s="20">
        <f>IFERROR(INDEX('[2]PRICELIST, 908u'!$G$7:$AX$914,MATCH($B1673,'[2]PRICELIST, 908u'!$G$7:$G$914,0),41),"NA")</f>
        <v>100000</v>
      </c>
      <c r="N1673" s="58">
        <f t="shared" si="84"/>
        <v>2550000</v>
      </c>
      <c r="O1673" s="60"/>
      <c r="P1673" s="60">
        <f t="shared" si="83"/>
        <v>2550000</v>
      </c>
    </row>
    <row r="1674" spans="2:16">
      <c r="B1674" s="20" t="s">
        <v>1825</v>
      </c>
      <c r="C1674" s="20" t="s">
        <v>2</v>
      </c>
      <c r="D1674" s="20" t="str">
        <f>IFERROR(INDEX('[2]PRICELIST, 908u'!$G$7:$AX$914,MATCH($B1674,'[2]PRICELIST, 908u'!$G$7:$G$914,0),18),"NA")</f>
        <v>2025 - Batch 1</v>
      </c>
      <c r="E1674" s="20" t="str">
        <f>IFERROR(INDEX([3]AGM!$D$21:$BL$928,MATCH($B1674,[3]AGM!$AD$21:$AD$928,0),1),"NA")</f>
        <v>OS</v>
      </c>
      <c r="F1674" s="20" t="str">
        <f t="shared" si="82"/>
        <v>Block 43</v>
      </c>
      <c r="G1674" s="20" t="str">
        <f t="shared" si="81"/>
        <v>Lot 09</v>
      </c>
      <c r="H1674" s="20">
        <f>IFERROR(INDEX('[2]PRICELIST, 908u'!$G$7:$AX$914,MATCH($B1674,'[2]PRICELIST, 908u'!$G$7:$G$914,0),23),"NA")</f>
        <v>50</v>
      </c>
      <c r="I1674" s="20">
        <f>IFERROR(INDEX('[2]PRICELIST, 908u'!$G$7:$AX$914,MATCH($B1674,'[2]PRICELIST, 908u'!$G$7:$G$914,0),22),"NA")</f>
        <v>70</v>
      </c>
      <c r="J1674" s="20" t="s">
        <v>207</v>
      </c>
      <c r="K1674" s="20" t="str">
        <f>IFERROR(INDEX('[2]PRICELIST, 908u'!$G$7:$AX$914,MATCH($B1674,'[2]PRICELIST, 908u'!$G$7:$G$914,0),30),"NA")</f>
        <v>Flat / PURPLE</v>
      </c>
      <c r="L1674" s="20">
        <f>IFERROR(INDEX('[2]PRICELIST, 908u'!$G$7:$AX$914,MATCH($B1674,'[2]PRICELIST, 908u'!$G$7:$G$914,0),40),"NA")</f>
        <v>2650000</v>
      </c>
      <c r="M1674" s="20">
        <f>IFERROR(INDEX('[2]PRICELIST, 908u'!$G$7:$AX$914,MATCH($B1674,'[2]PRICELIST, 908u'!$G$7:$G$914,0),41),"NA")</f>
        <v>100000</v>
      </c>
      <c r="N1674" s="58">
        <f t="shared" si="84"/>
        <v>2550000</v>
      </c>
      <c r="O1674" s="60"/>
      <c r="P1674" s="60">
        <f t="shared" si="83"/>
        <v>2550000</v>
      </c>
    </row>
    <row r="1675" spans="2:16">
      <c r="B1675" s="20" t="s">
        <v>1826</v>
      </c>
      <c r="C1675" s="20" t="s">
        <v>2</v>
      </c>
      <c r="D1675" s="20" t="str">
        <f>IFERROR(INDEX('[2]PRICELIST, 908u'!$G$7:$AX$914,MATCH($B1675,'[2]PRICELIST, 908u'!$G$7:$G$914,0),18),"NA")</f>
        <v>2025 - Batch 1</v>
      </c>
      <c r="E1675" s="20" t="str">
        <f>IFERROR(INDEX([3]AGM!$D$21:$BL$928,MATCH($B1675,[3]AGM!$AD$21:$AD$928,0),1),"NA")</f>
        <v>OS</v>
      </c>
      <c r="F1675" s="20" t="str">
        <f t="shared" si="82"/>
        <v>Block 43</v>
      </c>
      <c r="G1675" s="20" t="str">
        <f t="shared" si="81"/>
        <v>Lot 10</v>
      </c>
      <c r="H1675" s="20">
        <f>IFERROR(INDEX('[2]PRICELIST, 908u'!$G$7:$AX$914,MATCH($B1675,'[2]PRICELIST, 908u'!$G$7:$G$914,0),23),"NA")</f>
        <v>50</v>
      </c>
      <c r="I1675" s="20">
        <f>IFERROR(INDEX('[2]PRICELIST, 908u'!$G$7:$AX$914,MATCH($B1675,'[2]PRICELIST, 908u'!$G$7:$G$914,0),22),"NA")</f>
        <v>70</v>
      </c>
      <c r="J1675" s="20" t="s">
        <v>207</v>
      </c>
      <c r="K1675" s="20" t="str">
        <f>IFERROR(INDEX('[2]PRICELIST, 908u'!$G$7:$AX$914,MATCH($B1675,'[2]PRICELIST, 908u'!$G$7:$G$914,0),30),"NA")</f>
        <v>Slant / PURPLE</v>
      </c>
      <c r="L1675" s="20">
        <f>IFERROR(INDEX('[2]PRICELIST, 908u'!$G$7:$AX$914,MATCH($B1675,'[2]PRICELIST, 908u'!$G$7:$G$914,0),40),"NA")</f>
        <v>2650000</v>
      </c>
      <c r="M1675" s="20">
        <f>IFERROR(INDEX('[2]PRICELIST, 908u'!$G$7:$AX$914,MATCH($B1675,'[2]PRICELIST, 908u'!$G$7:$G$914,0),41),"NA")</f>
        <v>100000</v>
      </c>
      <c r="N1675" s="58">
        <f t="shared" si="84"/>
        <v>2550000</v>
      </c>
      <c r="O1675" s="60"/>
      <c r="P1675" s="60">
        <f t="shared" si="83"/>
        <v>2550000</v>
      </c>
    </row>
    <row r="1676" spans="2:16">
      <c r="B1676" s="20" t="s">
        <v>1827</v>
      </c>
      <c r="C1676" s="20" t="s">
        <v>2</v>
      </c>
      <c r="D1676" s="20" t="str">
        <f>IFERROR(INDEX('[2]PRICELIST, 908u'!$G$7:$AX$914,MATCH($B1676,'[2]PRICELIST, 908u'!$G$7:$G$914,0),18),"NA")</f>
        <v>2025 - Batch 1</v>
      </c>
      <c r="E1676" s="20" t="str">
        <f>IFERROR(INDEX([3]AGM!$D$21:$BL$928,MATCH($B1676,[3]AGM!$AD$21:$AD$928,0),1),"NA")</f>
        <v>OS</v>
      </c>
      <c r="F1676" s="20" t="str">
        <f t="shared" si="82"/>
        <v>Block 43</v>
      </c>
      <c r="G1676" s="20" t="str">
        <f t="shared" si="81"/>
        <v>Lot 11</v>
      </c>
      <c r="H1676" s="20">
        <f>IFERROR(INDEX('[2]PRICELIST, 908u'!$G$7:$AX$914,MATCH($B1676,'[2]PRICELIST, 908u'!$G$7:$G$914,0),23),"NA")</f>
        <v>50</v>
      </c>
      <c r="I1676" s="20">
        <f>IFERROR(INDEX('[2]PRICELIST, 908u'!$G$7:$AX$914,MATCH($B1676,'[2]PRICELIST, 908u'!$G$7:$G$914,0),22),"NA")</f>
        <v>70</v>
      </c>
      <c r="J1676" s="20" t="s">
        <v>207</v>
      </c>
      <c r="K1676" s="20" t="str">
        <f>IFERROR(INDEX('[2]PRICELIST, 908u'!$G$7:$AX$914,MATCH($B1676,'[2]PRICELIST, 908u'!$G$7:$G$914,0),30),"NA")</f>
        <v>Slant / PINK</v>
      </c>
      <c r="L1676" s="20">
        <f>IFERROR(INDEX('[2]PRICELIST, 908u'!$G$7:$AX$914,MATCH($B1676,'[2]PRICELIST, 908u'!$G$7:$G$914,0),40),"NA")</f>
        <v>2650000</v>
      </c>
      <c r="M1676" s="20">
        <f>IFERROR(INDEX('[2]PRICELIST, 908u'!$G$7:$AX$914,MATCH($B1676,'[2]PRICELIST, 908u'!$G$7:$G$914,0),41),"NA")</f>
        <v>100000</v>
      </c>
      <c r="N1676" s="58">
        <f t="shared" si="84"/>
        <v>2550000</v>
      </c>
      <c r="O1676" s="60"/>
      <c r="P1676" s="60">
        <f t="shared" si="83"/>
        <v>2550000</v>
      </c>
    </row>
    <row r="1677" spans="2:16">
      <c r="B1677" s="20" t="s">
        <v>1828</v>
      </c>
      <c r="C1677" s="20" t="s">
        <v>2</v>
      </c>
      <c r="D1677" s="20" t="str">
        <f>IFERROR(INDEX('[2]PRICELIST, 908u'!$G$7:$AX$914,MATCH($B1677,'[2]PRICELIST, 908u'!$G$7:$G$914,0),18),"NA")</f>
        <v>2025 - Batch 1</v>
      </c>
      <c r="E1677" s="20" t="str">
        <f>IFERROR(INDEX([3]AGM!$D$21:$BL$928,MATCH($B1677,[3]AGM!$AD$21:$AD$928,0),1),"NA")</f>
        <v>OS</v>
      </c>
      <c r="F1677" s="20" t="str">
        <f t="shared" si="82"/>
        <v>Block 43</v>
      </c>
      <c r="G1677" s="20" t="str">
        <f t="shared" si="81"/>
        <v>Lot 12</v>
      </c>
      <c r="H1677" s="20">
        <f>IFERROR(INDEX('[2]PRICELIST, 908u'!$G$7:$AX$914,MATCH($B1677,'[2]PRICELIST, 908u'!$G$7:$G$914,0),23),"NA")</f>
        <v>50</v>
      </c>
      <c r="I1677" s="20">
        <f>IFERROR(INDEX('[2]PRICELIST, 908u'!$G$7:$AX$914,MATCH($B1677,'[2]PRICELIST, 908u'!$G$7:$G$914,0),22),"NA")</f>
        <v>89</v>
      </c>
      <c r="J1677" s="20" t="s">
        <v>207</v>
      </c>
      <c r="K1677" s="20" t="str">
        <f>IFERROR(INDEX('[2]PRICELIST, 908u'!$G$7:$AX$914,MATCH($B1677,'[2]PRICELIST, 908u'!$G$7:$G$914,0),30),"NA")</f>
        <v>Flat / PINK</v>
      </c>
      <c r="L1677" s="20">
        <f>IFERROR(INDEX('[2]PRICELIST, 908u'!$G$7:$AX$914,MATCH($B1677,'[2]PRICELIST, 908u'!$G$7:$G$914,0),40),"NA")</f>
        <v>2935000</v>
      </c>
      <c r="M1677" s="20">
        <f>IFERROR(INDEX('[2]PRICELIST, 908u'!$G$7:$AX$914,MATCH($B1677,'[2]PRICELIST, 908u'!$G$7:$G$914,0),41),"NA")</f>
        <v>100000</v>
      </c>
      <c r="N1677" s="58">
        <f t="shared" si="84"/>
        <v>2835000</v>
      </c>
      <c r="O1677" s="60"/>
      <c r="P1677" s="60">
        <f t="shared" si="83"/>
        <v>2835000</v>
      </c>
    </row>
    <row r="1678" spans="2:16">
      <c r="B1678" s="20" t="s">
        <v>1829</v>
      </c>
      <c r="C1678" s="20" t="s">
        <v>2</v>
      </c>
      <c r="D1678" s="20" t="str">
        <f>IFERROR(INDEX('[2]PRICELIST, 908u'!$G$7:$AX$914,MATCH($B1678,'[2]PRICELIST, 908u'!$G$7:$G$914,0),18),"NA")</f>
        <v>2025 - Batch 4</v>
      </c>
      <c r="E1678" s="20" t="str">
        <f>IFERROR(INDEX([3]AGM!$D$21:$BL$928,MATCH($B1678,[3]AGM!$AD$21:$AD$928,0),1),"NA")</f>
        <v>OS</v>
      </c>
      <c r="F1678" s="20" t="str">
        <f t="shared" si="82"/>
        <v>Block 45</v>
      </c>
      <c r="G1678" s="20" t="str">
        <f t="shared" si="81"/>
        <v>Lot 01</v>
      </c>
      <c r="H1678" s="20">
        <f>IFERROR(INDEX('[2]PRICELIST, 908u'!$G$7:$AX$914,MATCH($B1678,'[2]PRICELIST, 908u'!$G$7:$G$914,0),23),"NA")</f>
        <v>50</v>
      </c>
      <c r="I1678" s="20">
        <f>IFERROR(INDEX('[2]PRICELIST, 908u'!$G$7:$AX$914,MATCH($B1678,'[2]PRICELIST, 908u'!$G$7:$G$914,0),22),"NA")</f>
        <v>70</v>
      </c>
      <c r="J1678" s="20" t="s">
        <v>207</v>
      </c>
      <c r="K1678" s="20" t="str">
        <f>IFERROR(INDEX('[2]PRICELIST, 908u'!$G$7:$AX$914,MATCH($B1678,'[2]PRICELIST, 908u'!$G$7:$G$914,0),30),"NA")</f>
        <v>Slant / YELLOW</v>
      </c>
      <c r="L1678" s="20">
        <f>IFERROR(INDEX('[2]PRICELIST, 908u'!$G$7:$AX$914,MATCH($B1678,'[2]PRICELIST, 908u'!$G$7:$G$914,0),40),"NA")</f>
        <v>2650000</v>
      </c>
      <c r="M1678" s="20">
        <f>IFERROR(INDEX('[2]PRICELIST, 908u'!$G$7:$AX$914,MATCH($B1678,'[2]PRICELIST, 908u'!$G$7:$G$914,0),41),"NA")</f>
        <v>100000</v>
      </c>
      <c r="N1678" s="58">
        <f t="shared" si="84"/>
        <v>2550000</v>
      </c>
      <c r="O1678" s="60"/>
      <c r="P1678" s="60">
        <f t="shared" si="83"/>
        <v>2550000</v>
      </c>
    </row>
    <row r="1679" spans="2:16">
      <c r="B1679" s="20" t="s">
        <v>1830</v>
      </c>
      <c r="C1679" s="20" t="s">
        <v>2</v>
      </c>
      <c r="D1679" s="20" t="str">
        <f>IFERROR(INDEX('[2]PRICELIST, 908u'!$G$7:$AX$914,MATCH($B1679,'[2]PRICELIST, 908u'!$G$7:$G$914,0),18),"NA")</f>
        <v>2025 - Batch 4</v>
      </c>
      <c r="E1679" s="20" t="str">
        <f>IFERROR(INDEX([3]AGM!$D$21:$BL$928,MATCH($B1679,[3]AGM!$AD$21:$AD$928,0),1),"NA")</f>
        <v>OS</v>
      </c>
      <c r="F1679" s="20" t="str">
        <f t="shared" si="82"/>
        <v>Block 45</v>
      </c>
      <c r="G1679" s="20" t="str">
        <f t="shared" si="81"/>
        <v>Lot 02</v>
      </c>
      <c r="H1679" s="20">
        <f>IFERROR(INDEX('[2]PRICELIST, 908u'!$G$7:$AX$914,MATCH($B1679,'[2]PRICELIST, 908u'!$G$7:$G$914,0),23),"NA")</f>
        <v>50</v>
      </c>
      <c r="I1679" s="20">
        <f>IFERROR(INDEX('[2]PRICELIST, 908u'!$G$7:$AX$914,MATCH($B1679,'[2]PRICELIST, 908u'!$G$7:$G$914,0),22),"NA")</f>
        <v>70</v>
      </c>
      <c r="J1679" s="20" t="s">
        <v>207</v>
      </c>
      <c r="K1679" s="20" t="str">
        <f>IFERROR(INDEX('[2]PRICELIST, 908u'!$G$7:$AX$914,MATCH($B1679,'[2]PRICELIST, 908u'!$G$7:$G$914,0),30),"NA")</f>
        <v>Flat / YELLOW</v>
      </c>
      <c r="L1679" s="20">
        <f>IFERROR(INDEX('[2]PRICELIST, 908u'!$G$7:$AX$914,MATCH($B1679,'[2]PRICELIST, 908u'!$G$7:$G$914,0),40),"NA")</f>
        <v>2650000</v>
      </c>
      <c r="M1679" s="20">
        <f>IFERROR(INDEX('[2]PRICELIST, 908u'!$G$7:$AX$914,MATCH($B1679,'[2]PRICELIST, 908u'!$G$7:$G$914,0),41),"NA")</f>
        <v>100000</v>
      </c>
      <c r="N1679" s="58">
        <f t="shared" si="84"/>
        <v>2550000</v>
      </c>
      <c r="O1679" s="60"/>
      <c r="P1679" s="60">
        <f t="shared" si="83"/>
        <v>2550000</v>
      </c>
    </row>
    <row r="1680" spans="2:16">
      <c r="B1680" s="20" t="s">
        <v>1831</v>
      </c>
      <c r="C1680" s="20" t="s">
        <v>2</v>
      </c>
      <c r="D1680" s="20" t="str">
        <f>IFERROR(INDEX('[2]PRICELIST, 908u'!$G$7:$AX$914,MATCH($B1680,'[2]PRICELIST, 908u'!$G$7:$G$914,0),18),"NA")</f>
        <v>2025 - Batch 4</v>
      </c>
      <c r="E1680" s="20" t="str">
        <f>IFERROR(INDEX([3]AGM!$D$21:$BL$928,MATCH($B1680,[3]AGM!$AD$21:$AD$928,0),1),"NA")</f>
        <v>OS</v>
      </c>
      <c r="F1680" s="20" t="str">
        <f t="shared" si="82"/>
        <v>Block 45</v>
      </c>
      <c r="G1680" s="20" t="str">
        <f t="shared" si="81"/>
        <v>Lot 03</v>
      </c>
      <c r="H1680" s="20">
        <f>IFERROR(INDEX('[2]PRICELIST, 908u'!$G$7:$AX$914,MATCH($B1680,'[2]PRICELIST, 908u'!$G$7:$G$914,0),23),"NA")</f>
        <v>50</v>
      </c>
      <c r="I1680" s="20">
        <f>IFERROR(INDEX('[2]PRICELIST, 908u'!$G$7:$AX$914,MATCH($B1680,'[2]PRICELIST, 908u'!$G$7:$G$914,0),22),"NA")</f>
        <v>70</v>
      </c>
      <c r="J1680" s="20" t="s">
        <v>207</v>
      </c>
      <c r="K1680" s="20" t="str">
        <f>IFERROR(INDEX('[2]PRICELIST, 908u'!$G$7:$AX$914,MATCH($B1680,'[2]PRICELIST, 908u'!$G$7:$G$914,0),30),"NA")</f>
        <v>Flat / PINK</v>
      </c>
      <c r="L1680" s="20">
        <f>IFERROR(INDEX('[2]PRICELIST, 908u'!$G$7:$AX$914,MATCH($B1680,'[2]PRICELIST, 908u'!$G$7:$G$914,0),40),"NA")</f>
        <v>2650000</v>
      </c>
      <c r="M1680" s="20">
        <f>IFERROR(INDEX('[2]PRICELIST, 908u'!$G$7:$AX$914,MATCH($B1680,'[2]PRICELIST, 908u'!$G$7:$G$914,0),41),"NA")</f>
        <v>100000</v>
      </c>
      <c r="N1680" s="58">
        <f t="shared" si="84"/>
        <v>2550000</v>
      </c>
      <c r="O1680" s="60"/>
      <c r="P1680" s="60">
        <f t="shared" si="83"/>
        <v>2550000</v>
      </c>
    </row>
    <row r="1681" spans="2:16">
      <c r="B1681" s="20" t="s">
        <v>1832</v>
      </c>
      <c r="C1681" s="20" t="s">
        <v>2</v>
      </c>
      <c r="D1681" s="20" t="str">
        <f>IFERROR(INDEX('[2]PRICELIST, 908u'!$G$7:$AX$914,MATCH($B1681,'[2]PRICELIST, 908u'!$G$7:$G$914,0),18),"NA")</f>
        <v>2025 - Batch 4</v>
      </c>
      <c r="E1681" s="20" t="str">
        <f>IFERROR(INDEX([3]AGM!$D$21:$BL$928,MATCH($B1681,[3]AGM!$AD$21:$AD$928,0),1),"NA")</f>
        <v>OS</v>
      </c>
      <c r="F1681" s="20" t="str">
        <f t="shared" si="82"/>
        <v>Block 45</v>
      </c>
      <c r="G1681" s="20" t="str">
        <f t="shared" si="81"/>
        <v>Lot 04</v>
      </c>
      <c r="H1681" s="20">
        <f>IFERROR(INDEX('[2]PRICELIST, 908u'!$G$7:$AX$914,MATCH($B1681,'[2]PRICELIST, 908u'!$G$7:$G$914,0),23),"NA")</f>
        <v>50</v>
      </c>
      <c r="I1681" s="20">
        <f>IFERROR(INDEX('[2]PRICELIST, 908u'!$G$7:$AX$914,MATCH($B1681,'[2]PRICELIST, 908u'!$G$7:$G$914,0),22),"NA")</f>
        <v>70</v>
      </c>
      <c r="J1681" s="20" t="s">
        <v>207</v>
      </c>
      <c r="K1681" s="20" t="str">
        <f>IFERROR(INDEX('[2]PRICELIST, 908u'!$G$7:$AX$914,MATCH($B1681,'[2]PRICELIST, 908u'!$G$7:$G$914,0),30),"NA")</f>
        <v>Slant / PINK</v>
      </c>
      <c r="L1681" s="20">
        <f>IFERROR(INDEX('[2]PRICELIST, 908u'!$G$7:$AX$914,MATCH($B1681,'[2]PRICELIST, 908u'!$G$7:$G$914,0),40),"NA")</f>
        <v>2650000</v>
      </c>
      <c r="M1681" s="20">
        <f>IFERROR(INDEX('[2]PRICELIST, 908u'!$G$7:$AX$914,MATCH($B1681,'[2]PRICELIST, 908u'!$G$7:$G$914,0),41),"NA")</f>
        <v>100000</v>
      </c>
      <c r="N1681" s="58">
        <f t="shared" si="84"/>
        <v>2550000</v>
      </c>
      <c r="O1681" s="60"/>
      <c r="P1681" s="60">
        <f t="shared" si="83"/>
        <v>2550000</v>
      </c>
    </row>
    <row r="1682" spans="2:16">
      <c r="B1682" s="20" t="s">
        <v>1833</v>
      </c>
      <c r="C1682" s="20" t="s">
        <v>2</v>
      </c>
      <c r="D1682" s="20" t="str">
        <f>IFERROR(INDEX('[2]PRICELIST, 908u'!$G$7:$AX$914,MATCH($B1682,'[2]PRICELIST, 908u'!$G$7:$G$914,0),18),"NA")</f>
        <v>2025 - Batch 4</v>
      </c>
      <c r="E1682" s="20" t="str">
        <f>IFERROR(INDEX([3]AGM!$D$21:$BL$928,MATCH($B1682,[3]AGM!$AD$21:$AD$928,0),1),"NA")</f>
        <v>OS</v>
      </c>
      <c r="F1682" s="20" t="str">
        <f t="shared" si="82"/>
        <v>Block 45</v>
      </c>
      <c r="G1682" s="20" t="str">
        <f t="shared" si="81"/>
        <v>Lot 05</v>
      </c>
      <c r="H1682" s="20">
        <f>IFERROR(INDEX('[2]PRICELIST, 908u'!$G$7:$AX$914,MATCH($B1682,'[2]PRICELIST, 908u'!$G$7:$G$914,0),23),"NA")</f>
        <v>50</v>
      </c>
      <c r="I1682" s="20">
        <f>IFERROR(INDEX('[2]PRICELIST, 908u'!$G$7:$AX$914,MATCH($B1682,'[2]PRICELIST, 908u'!$G$7:$G$914,0),22),"NA")</f>
        <v>70</v>
      </c>
      <c r="J1682" s="20" t="s">
        <v>207</v>
      </c>
      <c r="K1682" s="20" t="str">
        <f>IFERROR(INDEX('[2]PRICELIST, 908u'!$G$7:$AX$914,MATCH($B1682,'[2]PRICELIST, 908u'!$G$7:$G$914,0),30),"NA")</f>
        <v>Slant / PINK</v>
      </c>
      <c r="L1682" s="20">
        <f>IFERROR(INDEX('[2]PRICELIST, 908u'!$G$7:$AX$914,MATCH($B1682,'[2]PRICELIST, 908u'!$G$7:$G$914,0),40),"NA")</f>
        <v>2650000</v>
      </c>
      <c r="M1682" s="20">
        <f>IFERROR(INDEX('[2]PRICELIST, 908u'!$G$7:$AX$914,MATCH($B1682,'[2]PRICELIST, 908u'!$G$7:$G$914,0),41),"NA")</f>
        <v>100000</v>
      </c>
      <c r="N1682" s="58">
        <f t="shared" si="84"/>
        <v>2550000</v>
      </c>
      <c r="O1682" s="60"/>
      <c r="P1682" s="60">
        <f t="shared" si="83"/>
        <v>2550000</v>
      </c>
    </row>
    <row r="1683" spans="2:16">
      <c r="B1683" s="20" t="s">
        <v>1834</v>
      </c>
      <c r="C1683" s="20" t="s">
        <v>2</v>
      </c>
      <c r="D1683" s="20" t="str">
        <f>IFERROR(INDEX('[2]PRICELIST, 908u'!$G$7:$AX$914,MATCH($B1683,'[2]PRICELIST, 908u'!$G$7:$G$914,0),18),"NA")</f>
        <v>2025 - Batch 4</v>
      </c>
      <c r="E1683" s="20" t="str">
        <f>IFERROR(INDEX([3]AGM!$D$21:$BL$928,MATCH($B1683,[3]AGM!$AD$21:$AD$928,0),1),"NA")</f>
        <v>OS</v>
      </c>
      <c r="F1683" s="20" t="str">
        <f t="shared" si="82"/>
        <v>Block 45</v>
      </c>
      <c r="G1683" s="20" t="str">
        <f t="shared" si="81"/>
        <v>Lot 06</v>
      </c>
      <c r="H1683" s="20">
        <f>IFERROR(INDEX('[2]PRICELIST, 908u'!$G$7:$AX$914,MATCH($B1683,'[2]PRICELIST, 908u'!$G$7:$G$914,0),23),"NA")</f>
        <v>50</v>
      </c>
      <c r="I1683" s="20">
        <f>IFERROR(INDEX('[2]PRICELIST, 908u'!$G$7:$AX$914,MATCH($B1683,'[2]PRICELIST, 908u'!$G$7:$G$914,0),22),"NA")</f>
        <v>70</v>
      </c>
      <c r="J1683" s="20" t="s">
        <v>207</v>
      </c>
      <c r="K1683" s="20" t="str">
        <f>IFERROR(INDEX('[2]PRICELIST, 908u'!$G$7:$AX$914,MATCH($B1683,'[2]PRICELIST, 908u'!$G$7:$G$914,0),30),"NA")</f>
        <v>Flat / PINK</v>
      </c>
      <c r="L1683" s="20">
        <f>IFERROR(INDEX('[2]PRICELIST, 908u'!$G$7:$AX$914,MATCH($B1683,'[2]PRICELIST, 908u'!$G$7:$G$914,0),40),"NA")</f>
        <v>2650000</v>
      </c>
      <c r="M1683" s="20">
        <f>IFERROR(INDEX('[2]PRICELIST, 908u'!$G$7:$AX$914,MATCH($B1683,'[2]PRICELIST, 908u'!$G$7:$G$914,0),41),"NA")</f>
        <v>100000</v>
      </c>
      <c r="N1683" s="58">
        <f t="shared" si="84"/>
        <v>2550000</v>
      </c>
      <c r="O1683" s="60"/>
      <c r="P1683" s="60">
        <f t="shared" si="83"/>
        <v>2550000</v>
      </c>
    </row>
    <row r="1684" spans="2:16">
      <c r="B1684" s="20" t="s">
        <v>1835</v>
      </c>
      <c r="C1684" s="20" t="s">
        <v>2</v>
      </c>
      <c r="D1684" s="20" t="str">
        <f>IFERROR(INDEX('[2]PRICELIST, 908u'!$G$7:$AX$914,MATCH($B1684,'[2]PRICELIST, 908u'!$G$7:$G$914,0),18),"NA")</f>
        <v>2025 - Batch 2</v>
      </c>
      <c r="E1684" s="20" t="str">
        <f>IFERROR(INDEX([3]AGM!$D$21:$BL$928,MATCH($B1684,[3]AGM!$AD$21:$AD$928,0),1),"NA")</f>
        <v>TS</v>
      </c>
      <c r="F1684" s="20" t="str">
        <f t="shared" si="82"/>
        <v>Block 45</v>
      </c>
      <c r="G1684" s="20" t="str">
        <f t="shared" si="81"/>
        <v>Lot 07</v>
      </c>
      <c r="H1684" s="20">
        <f>IFERROR(INDEX('[2]PRICELIST, 908u'!$G$7:$AX$914,MATCH($B1684,'[2]PRICELIST, 908u'!$G$7:$G$914,0),23),"NA")</f>
        <v>50</v>
      </c>
      <c r="I1684" s="20">
        <f>IFERROR(INDEX('[2]PRICELIST, 908u'!$G$7:$AX$914,MATCH($B1684,'[2]PRICELIST, 908u'!$G$7:$G$914,0),22),"NA")</f>
        <v>70</v>
      </c>
      <c r="J1684" s="20" t="s">
        <v>207</v>
      </c>
      <c r="K1684" s="20" t="str">
        <f>IFERROR(INDEX('[2]PRICELIST, 908u'!$G$7:$AX$914,MATCH($B1684,'[2]PRICELIST, 908u'!$G$7:$G$914,0),30),"NA")</f>
        <v>Slant / YELLOW</v>
      </c>
      <c r="L1684" s="20">
        <f>IFERROR(INDEX('[2]PRICELIST, 908u'!$G$7:$AX$914,MATCH($B1684,'[2]PRICELIST, 908u'!$G$7:$G$914,0),40),"NA")</f>
        <v>2650000</v>
      </c>
      <c r="M1684" s="20">
        <f>IFERROR(INDEX('[2]PRICELIST, 908u'!$G$7:$AX$914,MATCH($B1684,'[2]PRICELIST, 908u'!$G$7:$G$914,0),41),"NA")</f>
        <v>100000</v>
      </c>
      <c r="N1684" s="58">
        <f t="shared" si="84"/>
        <v>2550000</v>
      </c>
      <c r="O1684" s="60"/>
      <c r="P1684" s="60">
        <f t="shared" si="83"/>
        <v>2550000</v>
      </c>
    </row>
    <row r="1685" spans="2:16">
      <c r="B1685" s="20" t="s">
        <v>1836</v>
      </c>
      <c r="C1685" s="20" t="s">
        <v>2</v>
      </c>
      <c r="D1685" s="20" t="str">
        <f>IFERROR(INDEX('[2]PRICELIST, 908u'!$G$7:$AX$914,MATCH($B1685,'[2]PRICELIST, 908u'!$G$7:$G$914,0),18),"NA")</f>
        <v>2025 - Batch 2</v>
      </c>
      <c r="E1685" s="20" t="str">
        <f>IFERROR(INDEX([3]AGM!$D$21:$BL$928,MATCH($B1685,[3]AGM!$AD$21:$AD$928,0),1),"NA")</f>
        <v>OS</v>
      </c>
      <c r="F1685" s="20" t="str">
        <f t="shared" si="82"/>
        <v>Block 45</v>
      </c>
      <c r="G1685" s="20" t="str">
        <f t="shared" si="81"/>
        <v>Lot 08</v>
      </c>
      <c r="H1685" s="20">
        <f>IFERROR(INDEX('[2]PRICELIST, 908u'!$G$7:$AX$914,MATCH($B1685,'[2]PRICELIST, 908u'!$G$7:$G$914,0),23),"NA")</f>
        <v>50</v>
      </c>
      <c r="I1685" s="20">
        <f>IFERROR(INDEX('[2]PRICELIST, 908u'!$G$7:$AX$914,MATCH($B1685,'[2]PRICELIST, 908u'!$G$7:$G$914,0),22),"NA")</f>
        <v>70</v>
      </c>
      <c r="J1685" s="20" t="s">
        <v>207</v>
      </c>
      <c r="K1685" s="20" t="str">
        <f>IFERROR(INDEX('[2]PRICELIST, 908u'!$G$7:$AX$914,MATCH($B1685,'[2]PRICELIST, 908u'!$G$7:$G$914,0),30),"NA")</f>
        <v>Flat / YELLOW</v>
      </c>
      <c r="L1685" s="20">
        <f>IFERROR(INDEX('[2]PRICELIST, 908u'!$G$7:$AX$914,MATCH($B1685,'[2]PRICELIST, 908u'!$G$7:$G$914,0),40),"NA")</f>
        <v>2650000</v>
      </c>
      <c r="M1685" s="20">
        <f>IFERROR(INDEX('[2]PRICELIST, 908u'!$G$7:$AX$914,MATCH($B1685,'[2]PRICELIST, 908u'!$G$7:$G$914,0),41),"NA")</f>
        <v>100000</v>
      </c>
      <c r="N1685" s="58">
        <f t="shared" si="84"/>
        <v>2550000</v>
      </c>
      <c r="O1685" s="60"/>
      <c r="P1685" s="60">
        <f t="shared" si="83"/>
        <v>2550000</v>
      </c>
    </row>
    <row r="1686" spans="2:16">
      <c r="B1686" s="20" t="s">
        <v>1837</v>
      </c>
      <c r="C1686" s="20" t="s">
        <v>2</v>
      </c>
      <c r="D1686" s="20" t="str">
        <f>IFERROR(INDEX('[2]PRICELIST, 908u'!$G$7:$AX$914,MATCH($B1686,'[2]PRICELIST, 908u'!$G$7:$G$914,0),18),"NA")</f>
        <v>2025 - Batch 2</v>
      </c>
      <c r="E1686" s="20" t="str">
        <f>IFERROR(INDEX([3]AGM!$D$21:$BL$928,MATCH($B1686,[3]AGM!$AD$21:$AD$928,0),1),"NA")</f>
        <v>OS</v>
      </c>
      <c r="F1686" s="20" t="str">
        <f t="shared" si="82"/>
        <v>Block 45</v>
      </c>
      <c r="G1686" s="20" t="str">
        <f t="shared" si="81"/>
        <v>Lot 09</v>
      </c>
      <c r="H1686" s="20">
        <f>IFERROR(INDEX('[2]PRICELIST, 908u'!$G$7:$AX$914,MATCH($B1686,'[2]PRICELIST, 908u'!$G$7:$G$914,0),23),"NA")</f>
        <v>50</v>
      </c>
      <c r="I1686" s="20">
        <f>IFERROR(INDEX('[2]PRICELIST, 908u'!$G$7:$AX$914,MATCH($B1686,'[2]PRICELIST, 908u'!$G$7:$G$914,0),22),"NA")</f>
        <v>70</v>
      </c>
      <c r="J1686" s="20" t="s">
        <v>207</v>
      </c>
      <c r="K1686" s="20" t="str">
        <f>IFERROR(INDEX('[2]PRICELIST, 908u'!$G$7:$AX$914,MATCH($B1686,'[2]PRICELIST, 908u'!$G$7:$G$914,0),30),"NA")</f>
        <v>Flat / YELLOW</v>
      </c>
      <c r="L1686" s="20">
        <f>IFERROR(INDEX('[2]PRICELIST, 908u'!$G$7:$AX$914,MATCH($B1686,'[2]PRICELIST, 908u'!$G$7:$G$914,0),40),"NA")</f>
        <v>2650000</v>
      </c>
      <c r="M1686" s="20">
        <f>IFERROR(INDEX('[2]PRICELIST, 908u'!$G$7:$AX$914,MATCH($B1686,'[2]PRICELIST, 908u'!$G$7:$G$914,0),41),"NA")</f>
        <v>100000</v>
      </c>
      <c r="N1686" s="58">
        <f t="shared" si="84"/>
        <v>2550000</v>
      </c>
      <c r="O1686" s="60"/>
      <c r="P1686" s="60">
        <f t="shared" si="83"/>
        <v>2550000</v>
      </c>
    </row>
    <row r="1687" spans="2:16">
      <c r="B1687" s="20" t="s">
        <v>1838</v>
      </c>
      <c r="C1687" s="20" t="s">
        <v>2</v>
      </c>
      <c r="D1687" s="20" t="str">
        <f>IFERROR(INDEX('[2]PRICELIST, 908u'!$G$7:$AX$914,MATCH($B1687,'[2]PRICELIST, 908u'!$G$7:$G$914,0),18),"NA")</f>
        <v>2025 - Batch 2</v>
      </c>
      <c r="E1687" s="20" t="str">
        <f>IFERROR(INDEX([3]AGM!$D$21:$BL$928,MATCH($B1687,[3]AGM!$AD$21:$AD$928,0),1),"NA")</f>
        <v>OS</v>
      </c>
      <c r="F1687" s="20" t="str">
        <f t="shared" si="82"/>
        <v>Block 45</v>
      </c>
      <c r="G1687" s="20" t="str">
        <f t="shared" si="81"/>
        <v>Lot 10</v>
      </c>
      <c r="H1687" s="20">
        <f>IFERROR(INDEX('[2]PRICELIST, 908u'!$G$7:$AX$914,MATCH($B1687,'[2]PRICELIST, 908u'!$G$7:$G$914,0),23),"NA")</f>
        <v>50</v>
      </c>
      <c r="I1687" s="20">
        <f>IFERROR(INDEX('[2]PRICELIST, 908u'!$G$7:$AX$914,MATCH($B1687,'[2]PRICELIST, 908u'!$G$7:$G$914,0),22),"NA")</f>
        <v>70</v>
      </c>
      <c r="J1687" s="20" t="s">
        <v>207</v>
      </c>
      <c r="K1687" s="20" t="str">
        <f>IFERROR(INDEX('[2]PRICELIST, 908u'!$G$7:$AX$914,MATCH($B1687,'[2]PRICELIST, 908u'!$G$7:$G$914,0),30),"NA")</f>
        <v>Slant / YELLOW</v>
      </c>
      <c r="L1687" s="20">
        <f>IFERROR(INDEX('[2]PRICELIST, 908u'!$G$7:$AX$914,MATCH($B1687,'[2]PRICELIST, 908u'!$G$7:$G$914,0),40),"NA")</f>
        <v>2650000</v>
      </c>
      <c r="M1687" s="20">
        <f>IFERROR(INDEX('[2]PRICELIST, 908u'!$G$7:$AX$914,MATCH($B1687,'[2]PRICELIST, 908u'!$G$7:$G$914,0),41),"NA")</f>
        <v>100000</v>
      </c>
      <c r="N1687" s="58">
        <f t="shared" si="84"/>
        <v>2550000</v>
      </c>
      <c r="O1687" s="60"/>
      <c r="P1687" s="60">
        <f t="shared" si="83"/>
        <v>2550000</v>
      </c>
    </row>
    <row r="1688" spans="2:16">
      <c r="B1688" s="20" t="s">
        <v>1839</v>
      </c>
      <c r="C1688" s="20" t="s">
        <v>2</v>
      </c>
      <c r="D1688" s="20" t="str">
        <f>IFERROR(INDEX('[2]PRICELIST, 908u'!$G$7:$AX$914,MATCH($B1688,'[2]PRICELIST, 908u'!$G$7:$G$914,0),18),"NA")</f>
        <v>2025 - Batch 2</v>
      </c>
      <c r="E1688" s="20" t="str">
        <f>IFERROR(INDEX([3]AGM!$D$21:$BL$928,MATCH($B1688,[3]AGM!$AD$21:$AD$928,0),1),"NA")</f>
        <v>OS</v>
      </c>
      <c r="F1688" s="20" t="str">
        <f t="shared" si="82"/>
        <v>Block 45</v>
      </c>
      <c r="G1688" s="20" t="str">
        <f t="shared" ref="G1688:G1751" si="85">"Lot "&amp;TEXT(VALUE(RIGHT(B1688,3)),"00")</f>
        <v>Lot 11</v>
      </c>
      <c r="H1688" s="20">
        <f>IFERROR(INDEX('[2]PRICELIST, 908u'!$G$7:$AX$914,MATCH($B1688,'[2]PRICELIST, 908u'!$G$7:$G$914,0),23),"NA")</f>
        <v>50</v>
      </c>
      <c r="I1688" s="20">
        <f>IFERROR(INDEX('[2]PRICELIST, 908u'!$G$7:$AX$914,MATCH($B1688,'[2]PRICELIST, 908u'!$G$7:$G$914,0),22),"NA")</f>
        <v>70</v>
      </c>
      <c r="J1688" s="20" t="s">
        <v>207</v>
      </c>
      <c r="K1688" s="20" t="str">
        <f>IFERROR(INDEX('[2]PRICELIST, 908u'!$G$7:$AX$914,MATCH($B1688,'[2]PRICELIST, 908u'!$G$7:$G$914,0),30),"NA")</f>
        <v>Slant / GREEN</v>
      </c>
      <c r="L1688" s="20">
        <f>IFERROR(INDEX('[2]PRICELIST, 908u'!$G$7:$AX$914,MATCH($B1688,'[2]PRICELIST, 908u'!$G$7:$G$914,0),40),"NA")</f>
        <v>2650000</v>
      </c>
      <c r="M1688" s="20">
        <f>IFERROR(INDEX('[2]PRICELIST, 908u'!$G$7:$AX$914,MATCH($B1688,'[2]PRICELIST, 908u'!$G$7:$G$914,0),41),"NA")</f>
        <v>100000</v>
      </c>
      <c r="N1688" s="58">
        <f t="shared" si="84"/>
        <v>2550000</v>
      </c>
      <c r="O1688" s="60"/>
      <c r="P1688" s="60">
        <f t="shared" si="83"/>
        <v>2550000</v>
      </c>
    </row>
    <row r="1689" spans="2:16">
      <c r="B1689" s="20" t="s">
        <v>1840</v>
      </c>
      <c r="C1689" s="20" t="s">
        <v>2</v>
      </c>
      <c r="D1689" s="20" t="str">
        <f>IFERROR(INDEX('[2]PRICELIST, 908u'!$G$7:$AX$914,MATCH($B1689,'[2]PRICELIST, 908u'!$G$7:$G$914,0),18),"NA")</f>
        <v>2025 - Batch 2</v>
      </c>
      <c r="E1689" s="20" t="str">
        <f>IFERROR(INDEX([3]AGM!$D$21:$BL$928,MATCH($B1689,[3]AGM!$AD$21:$AD$928,0),1),"NA")</f>
        <v>OS</v>
      </c>
      <c r="F1689" s="20" t="str">
        <f t="shared" ref="F1689:F1752" si="86">"Block "&amp;TEXT(VALUE(MID(B1689,8,3)),"00")</f>
        <v>Block 45</v>
      </c>
      <c r="G1689" s="20" t="str">
        <f t="shared" si="85"/>
        <v>Lot 12</v>
      </c>
      <c r="H1689" s="20">
        <f>IFERROR(INDEX('[2]PRICELIST, 908u'!$G$7:$AX$914,MATCH($B1689,'[2]PRICELIST, 908u'!$G$7:$G$914,0),23),"NA")</f>
        <v>50</v>
      </c>
      <c r="I1689" s="20">
        <f>IFERROR(INDEX('[2]PRICELIST, 908u'!$G$7:$AX$914,MATCH($B1689,'[2]PRICELIST, 908u'!$G$7:$G$914,0),22),"NA")</f>
        <v>70</v>
      </c>
      <c r="J1689" s="20" t="s">
        <v>207</v>
      </c>
      <c r="K1689" s="20" t="str">
        <f>IFERROR(INDEX('[2]PRICELIST, 908u'!$G$7:$AX$914,MATCH($B1689,'[2]PRICELIST, 908u'!$G$7:$G$914,0),30),"NA")</f>
        <v>Flat / GREEN</v>
      </c>
      <c r="L1689" s="20">
        <f>IFERROR(INDEX('[2]PRICELIST, 908u'!$G$7:$AX$914,MATCH($B1689,'[2]PRICELIST, 908u'!$G$7:$G$914,0),40),"NA")</f>
        <v>2650000</v>
      </c>
      <c r="M1689" s="20">
        <f>IFERROR(INDEX('[2]PRICELIST, 908u'!$G$7:$AX$914,MATCH($B1689,'[2]PRICELIST, 908u'!$G$7:$G$914,0),41),"NA")</f>
        <v>100000</v>
      </c>
      <c r="N1689" s="58">
        <f t="shared" si="84"/>
        <v>2550000</v>
      </c>
      <c r="O1689" s="60"/>
      <c r="P1689" s="60">
        <f t="shared" ref="P1689:P1752" si="87">N1689-O1689</f>
        <v>2550000</v>
      </c>
    </row>
    <row r="1690" spans="2:16">
      <c r="B1690" s="20" t="s">
        <v>1841</v>
      </c>
      <c r="C1690" s="20" t="s">
        <v>2</v>
      </c>
      <c r="D1690" s="20" t="str">
        <f>IFERROR(INDEX('[2]PRICELIST, 908u'!$G$7:$AX$914,MATCH($B1690,'[2]PRICELIST, 908u'!$G$7:$G$914,0),18),"NA")</f>
        <v>2025 - Batch 2</v>
      </c>
      <c r="E1690" s="20" t="str">
        <f>IFERROR(INDEX([3]AGM!$D$21:$BL$928,MATCH($B1690,[3]AGM!$AD$21:$AD$928,0),1),"NA")</f>
        <v>OS</v>
      </c>
      <c r="F1690" s="20" t="str">
        <f t="shared" si="86"/>
        <v>Block 46</v>
      </c>
      <c r="G1690" s="20" t="str">
        <f t="shared" si="85"/>
        <v>Lot 01</v>
      </c>
      <c r="H1690" s="20">
        <f>IFERROR(INDEX('[2]PRICELIST, 908u'!$G$7:$AX$914,MATCH($B1690,'[2]PRICELIST, 908u'!$G$7:$G$914,0),23),"NA")</f>
        <v>50</v>
      </c>
      <c r="I1690" s="20">
        <f>IFERROR(INDEX('[2]PRICELIST, 908u'!$G$7:$AX$914,MATCH($B1690,'[2]PRICELIST, 908u'!$G$7:$G$914,0),22),"NA")</f>
        <v>70</v>
      </c>
      <c r="J1690" s="20" t="s">
        <v>207</v>
      </c>
      <c r="K1690" s="20" t="str">
        <f>IFERROR(INDEX('[2]PRICELIST, 908u'!$G$7:$AX$914,MATCH($B1690,'[2]PRICELIST, 908u'!$G$7:$G$914,0),30),"NA")</f>
        <v>Flat / YELLOW</v>
      </c>
      <c r="L1690" s="20">
        <f>IFERROR(INDEX('[2]PRICELIST, 908u'!$G$7:$AX$914,MATCH($B1690,'[2]PRICELIST, 908u'!$G$7:$G$914,0),40),"NA")</f>
        <v>2650000</v>
      </c>
      <c r="M1690" s="20">
        <f>IFERROR(INDEX('[2]PRICELIST, 908u'!$G$7:$AX$914,MATCH($B1690,'[2]PRICELIST, 908u'!$G$7:$G$914,0),41),"NA")</f>
        <v>100000</v>
      </c>
      <c r="N1690" s="58">
        <f t="shared" ref="N1690:N1753" si="88">L1690-M1690</f>
        <v>2550000</v>
      </c>
      <c r="O1690" s="60"/>
      <c r="P1690" s="60">
        <f t="shared" si="87"/>
        <v>2550000</v>
      </c>
    </row>
    <row r="1691" spans="2:16">
      <c r="B1691" s="20" t="s">
        <v>1842</v>
      </c>
      <c r="C1691" s="20" t="s">
        <v>2</v>
      </c>
      <c r="D1691" s="20" t="str">
        <f>IFERROR(INDEX('[2]PRICELIST, 908u'!$G$7:$AX$914,MATCH($B1691,'[2]PRICELIST, 908u'!$G$7:$G$914,0),18),"NA")</f>
        <v>2025 - Batch 2</v>
      </c>
      <c r="E1691" s="20" t="str">
        <f>IFERROR(INDEX([3]AGM!$D$21:$BL$928,MATCH($B1691,[3]AGM!$AD$21:$AD$928,0),1),"NA")</f>
        <v>OS</v>
      </c>
      <c r="F1691" s="20" t="str">
        <f t="shared" si="86"/>
        <v>Block 46</v>
      </c>
      <c r="G1691" s="20" t="str">
        <f t="shared" si="85"/>
        <v>Lot 02</v>
      </c>
      <c r="H1691" s="20">
        <f>IFERROR(INDEX('[2]PRICELIST, 908u'!$G$7:$AX$914,MATCH($B1691,'[2]PRICELIST, 908u'!$G$7:$G$914,0),23),"NA")</f>
        <v>50</v>
      </c>
      <c r="I1691" s="20">
        <f>IFERROR(INDEX('[2]PRICELIST, 908u'!$G$7:$AX$914,MATCH($B1691,'[2]PRICELIST, 908u'!$G$7:$G$914,0),22),"NA")</f>
        <v>70</v>
      </c>
      <c r="J1691" s="20" t="s">
        <v>207</v>
      </c>
      <c r="K1691" s="20" t="str">
        <f>IFERROR(INDEX('[2]PRICELIST, 908u'!$G$7:$AX$914,MATCH($B1691,'[2]PRICELIST, 908u'!$G$7:$G$914,0),30),"NA")</f>
        <v>Slant / YELLOW</v>
      </c>
      <c r="L1691" s="20">
        <f>IFERROR(INDEX('[2]PRICELIST, 908u'!$G$7:$AX$914,MATCH($B1691,'[2]PRICELIST, 908u'!$G$7:$G$914,0),40),"NA")</f>
        <v>2650000</v>
      </c>
      <c r="M1691" s="20">
        <f>IFERROR(INDEX('[2]PRICELIST, 908u'!$G$7:$AX$914,MATCH($B1691,'[2]PRICELIST, 908u'!$G$7:$G$914,0),41),"NA")</f>
        <v>100000</v>
      </c>
      <c r="N1691" s="58">
        <f t="shared" si="88"/>
        <v>2550000</v>
      </c>
      <c r="O1691" s="60"/>
      <c r="P1691" s="60">
        <f t="shared" si="87"/>
        <v>2550000</v>
      </c>
    </row>
    <row r="1692" spans="2:16">
      <c r="B1692" s="20" t="s">
        <v>1843</v>
      </c>
      <c r="C1692" s="20" t="s">
        <v>2</v>
      </c>
      <c r="D1692" s="20" t="str">
        <f>IFERROR(INDEX('[2]PRICELIST, 908u'!$G$7:$AX$914,MATCH($B1692,'[2]PRICELIST, 908u'!$G$7:$G$914,0),18),"NA")</f>
        <v>2025 - Batch 2</v>
      </c>
      <c r="E1692" s="20" t="str">
        <f>IFERROR(INDEX([3]AGM!$D$21:$BL$928,MATCH($B1692,[3]AGM!$AD$21:$AD$928,0),1),"NA")</f>
        <v>OS</v>
      </c>
      <c r="F1692" s="20" t="str">
        <f t="shared" si="86"/>
        <v>Block 46</v>
      </c>
      <c r="G1692" s="20" t="str">
        <f t="shared" si="85"/>
        <v>Lot 03</v>
      </c>
      <c r="H1692" s="20">
        <f>IFERROR(INDEX('[2]PRICELIST, 908u'!$G$7:$AX$914,MATCH($B1692,'[2]PRICELIST, 908u'!$G$7:$G$914,0),23),"NA")</f>
        <v>50</v>
      </c>
      <c r="I1692" s="20">
        <f>IFERROR(INDEX('[2]PRICELIST, 908u'!$G$7:$AX$914,MATCH($B1692,'[2]PRICELIST, 908u'!$G$7:$G$914,0),22),"NA")</f>
        <v>70</v>
      </c>
      <c r="J1692" s="20" t="s">
        <v>207</v>
      </c>
      <c r="K1692" s="20" t="str">
        <f>IFERROR(INDEX('[2]PRICELIST, 908u'!$G$7:$AX$914,MATCH($B1692,'[2]PRICELIST, 908u'!$G$7:$G$914,0),30),"NA")</f>
        <v>Slant / YELLOW</v>
      </c>
      <c r="L1692" s="20">
        <f>IFERROR(INDEX('[2]PRICELIST, 908u'!$G$7:$AX$914,MATCH($B1692,'[2]PRICELIST, 908u'!$G$7:$G$914,0),40),"NA")</f>
        <v>2650000</v>
      </c>
      <c r="M1692" s="20">
        <f>IFERROR(INDEX('[2]PRICELIST, 908u'!$G$7:$AX$914,MATCH($B1692,'[2]PRICELIST, 908u'!$G$7:$G$914,0),41),"NA")</f>
        <v>100000</v>
      </c>
      <c r="N1692" s="58">
        <f t="shared" si="88"/>
        <v>2550000</v>
      </c>
      <c r="O1692" s="60"/>
      <c r="P1692" s="60">
        <f t="shared" si="87"/>
        <v>2550000</v>
      </c>
    </row>
    <row r="1693" spans="2:16">
      <c r="B1693" s="20" t="s">
        <v>1844</v>
      </c>
      <c r="C1693" s="20" t="s">
        <v>2</v>
      </c>
      <c r="D1693" s="20" t="str">
        <f>IFERROR(INDEX('[2]PRICELIST, 908u'!$G$7:$AX$914,MATCH($B1693,'[2]PRICELIST, 908u'!$G$7:$G$914,0),18),"NA")</f>
        <v>2025 - Batch 2</v>
      </c>
      <c r="E1693" s="20" t="str">
        <f>IFERROR(INDEX([3]AGM!$D$21:$BL$928,MATCH($B1693,[3]AGM!$AD$21:$AD$928,0),1),"NA")</f>
        <v>OS</v>
      </c>
      <c r="F1693" s="20" t="str">
        <f t="shared" si="86"/>
        <v>Block 46</v>
      </c>
      <c r="G1693" s="20" t="str">
        <f t="shared" si="85"/>
        <v>Lot 04</v>
      </c>
      <c r="H1693" s="20">
        <f>IFERROR(INDEX('[2]PRICELIST, 908u'!$G$7:$AX$914,MATCH($B1693,'[2]PRICELIST, 908u'!$G$7:$G$914,0),23),"NA")</f>
        <v>50</v>
      </c>
      <c r="I1693" s="20">
        <f>IFERROR(INDEX('[2]PRICELIST, 908u'!$G$7:$AX$914,MATCH($B1693,'[2]PRICELIST, 908u'!$G$7:$G$914,0),22),"NA")</f>
        <v>70</v>
      </c>
      <c r="J1693" s="20" t="s">
        <v>207</v>
      </c>
      <c r="K1693" s="20" t="str">
        <f>IFERROR(INDEX('[2]PRICELIST, 908u'!$G$7:$AX$914,MATCH($B1693,'[2]PRICELIST, 908u'!$G$7:$G$914,0),30),"NA")</f>
        <v>Flat / YELLOW</v>
      </c>
      <c r="L1693" s="20">
        <f>IFERROR(INDEX('[2]PRICELIST, 908u'!$G$7:$AX$914,MATCH($B1693,'[2]PRICELIST, 908u'!$G$7:$G$914,0),40),"NA")</f>
        <v>2650000</v>
      </c>
      <c r="M1693" s="20">
        <f>IFERROR(INDEX('[2]PRICELIST, 908u'!$G$7:$AX$914,MATCH($B1693,'[2]PRICELIST, 908u'!$G$7:$G$914,0),41),"NA")</f>
        <v>100000</v>
      </c>
      <c r="N1693" s="58">
        <f t="shared" si="88"/>
        <v>2550000</v>
      </c>
      <c r="O1693" s="60"/>
      <c r="P1693" s="60">
        <f t="shared" si="87"/>
        <v>2550000</v>
      </c>
    </row>
    <row r="1694" spans="2:16">
      <c r="B1694" s="20" t="s">
        <v>1845</v>
      </c>
      <c r="C1694" s="20" t="s">
        <v>2</v>
      </c>
      <c r="D1694" s="20" t="str">
        <f>IFERROR(INDEX('[2]PRICELIST, 908u'!$G$7:$AX$914,MATCH($B1694,'[2]PRICELIST, 908u'!$G$7:$G$914,0),18),"NA")</f>
        <v>2025 - Batch 2</v>
      </c>
      <c r="E1694" s="20" t="str">
        <f>IFERROR(INDEX([3]AGM!$D$21:$BL$928,MATCH($B1694,[3]AGM!$AD$21:$AD$928,0),1),"NA")</f>
        <v>OS</v>
      </c>
      <c r="F1694" s="20" t="str">
        <f t="shared" si="86"/>
        <v>Block 46</v>
      </c>
      <c r="G1694" s="20" t="str">
        <f t="shared" si="85"/>
        <v>Lot 05</v>
      </c>
      <c r="H1694" s="20">
        <f>IFERROR(INDEX('[2]PRICELIST, 908u'!$G$7:$AX$914,MATCH($B1694,'[2]PRICELIST, 908u'!$G$7:$G$914,0),23),"NA")</f>
        <v>50</v>
      </c>
      <c r="I1694" s="20">
        <f>IFERROR(INDEX('[2]PRICELIST, 908u'!$G$7:$AX$914,MATCH($B1694,'[2]PRICELIST, 908u'!$G$7:$G$914,0),22),"NA")</f>
        <v>70</v>
      </c>
      <c r="J1694" s="20" t="s">
        <v>207</v>
      </c>
      <c r="K1694" s="20" t="str">
        <f>IFERROR(INDEX('[2]PRICELIST, 908u'!$G$7:$AX$914,MATCH($B1694,'[2]PRICELIST, 908u'!$G$7:$G$914,0),30),"NA")</f>
        <v>Slant / PURPLE</v>
      </c>
      <c r="L1694" s="20">
        <f>IFERROR(INDEX('[2]PRICELIST, 908u'!$G$7:$AX$914,MATCH($B1694,'[2]PRICELIST, 908u'!$G$7:$G$914,0),40),"NA")</f>
        <v>2650000</v>
      </c>
      <c r="M1694" s="20">
        <f>IFERROR(INDEX('[2]PRICELIST, 908u'!$G$7:$AX$914,MATCH($B1694,'[2]PRICELIST, 908u'!$G$7:$G$914,0),41),"NA")</f>
        <v>100000</v>
      </c>
      <c r="N1694" s="58">
        <f t="shared" si="88"/>
        <v>2550000</v>
      </c>
      <c r="O1694" s="60"/>
      <c r="P1694" s="60">
        <f t="shared" si="87"/>
        <v>2550000</v>
      </c>
    </row>
    <row r="1695" spans="2:16">
      <c r="B1695" s="20" t="s">
        <v>1846</v>
      </c>
      <c r="C1695" s="20" t="s">
        <v>2</v>
      </c>
      <c r="D1695" s="20" t="str">
        <f>IFERROR(INDEX('[2]PRICELIST, 908u'!$G$7:$AX$914,MATCH($B1695,'[2]PRICELIST, 908u'!$G$7:$G$914,0),18),"NA")</f>
        <v>2025 - Batch 2</v>
      </c>
      <c r="E1695" s="20" t="str">
        <f>IFERROR(INDEX([3]AGM!$D$21:$BL$928,MATCH($B1695,[3]AGM!$AD$21:$AD$928,0),1),"NA")</f>
        <v>OS</v>
      </c>
      <c r="F1695" s="20" t="str">
        <f t="shared" si="86"/>
        <v>Block 46</v>
      </c>
      <c r="G1695" s="20" t="str">
        <f t="shared" si="85"/>
        <v>Lot 06</v>
      </c>
      <c r="H1695" s="20">
        <f>IFERROR(INDEX('[2]PRICELIST, 908u'!$G$7:$AX$914,MATCH($B1695,'[2]PRICELIST, 908u'!$G$7:$G$914,0),23),"NA")</f>
        <v>50</v>
      </c>
      <c r="I1695" s="20">
        <f>IFERROR(INDEX('[2]PRICELIST, 908u'!$G$7:$AX$914,MATCH($B1695,'[2]PRICELIST, 908u'!$G$7:$G$914,0),22),"NA")</f>
        <v>70</v>
      </c>
      <c r="J1695" s="20" t="s">
        <v>207</v>
      </c>
      <c r="K1695" s="20" t="str">
        <f>IFERROR(INDEX('[2]PRICELIST, 908u'!$G$7:$AX$914,MATCH($B1695,'[2]PRICELIST, 908u'!$G$7:$G$914,0),30),"NA")</f>
        <v>Flat / PURPLE</v>
      </c>
      <c r="L1695" s="20">
        <f>IFERROR(INDEX('[2]PRICELIST, 908u'!$G$7:$AX$914,MATCH($B1695,'[2]PRICELIST, 908u'!$G$7:$G$914,0),40),"NA")</f>
        <v>2650000</v>
      </c>
      <c r="M1695" s="20">
        <f>IFERROR(INDEX('[2]PRICELIST, 908u'!$G$7:$AX$914,MATCH($B1695,'[2]PRICELIST, 908u'!$G$7:$G$914,0),41),"NA")</f>
        <v>100000</v>
      </c>
      <c r="N1695" s="58">
        <f t="shared" si="88"/>
        <v>2550000</v>
      </c>
      <c r="O1695" s="60"/>
      <c r="P1695" s="60">
        <f t="shared" si="87"/>
        <v>2550000</v>
      </c>
    </row>
    <row r="1696" spans="2:16">
      <c r="B1696" s="20" t="s">
        <v>1847</v>
      </c>
      <c r="C1696" s="20" t="s">
        <v>2</v>
      </c>
      <c r="D1696" s="20" t="str">
        <f>IFERROR(INDEX('[2]PRICELIST, 908u'!$G$7:$AX$914,MATCH($B1696,'[2]PRICELIST, 908u'!$G$7:$G$914,0),18),"NA")</f>
        <v>2025 - Batch 2</v>
      </c>
      <c r="E1696" s="20" t="str">
        <f>IFERROR(INDEX([3]AGM!$D$21:$BL$928,MATCH($B1696,[3]AGM!$AD$21:$AD$928,0),1),"NA")</f>
        <v>OS</v>
      </c>
      <c r="F1696" s="20" t="str">
        <f t="shared" si="86"/>
        <v>Block 46</v>
      </c>
      <c r="G1696" s="20" t="str">
        <f t="shared" si="85"/>
        <v>Lot 07</v>
      </c>
      <c r="H1696" s="20">
        <f>IFERROR(INDEX('[2]PRICELIST, 908u'!$G$7:$AX$914,MATCH($B1696,'[2]PRICELIST, 908u'!$G$7:$G$914,0),23),"NA")</f>
        <v>50</v>
      </c>
      <c r="I1696" s="20">
        <f>IFERROR(INDEX('[2]PRICELIST, 908u'!$G$7:$AX$914,MATCH($B1696,'[2]PRICELIST, 908u'!$G$7:$G$914,0),22),"NA")</f>
        <v>70</v>
      </c>
      <c r="J1696" s="20" t="s">
        <v>207</v>
      </c>
      <c r="K1696" s="20" t="str">
        <f>IFERROR(INDEX('[2]PRICELIST, 908u'!$G$7:$AX$914,MATCH($B1696,'[2]PRICELIST, 908u'!$G$7:$G$914,0),30),"NA")</f>
        <v>Flat / PURPLE</v>
      </c>
      <c r="L1696" s="20">
        <f>IFERROR(INDEX('[2]PRICELIST, 908u'!$G$7:$AX$914,MATCH($B1696,'[2]PRICELIST, 908u'!$G$7:$G$914,0),40),"NA")</f>
        <v>2650000</v>
      </c>
      <c r="M1696" s="20">
        <f>IFERROR(INDEX('[2]PRICELIST, 908u'!$G$7:$AX$914,MATCH($B1696,'[2]PRICELIST, 908u'!$G$7:$G$914,0),41),"NA")</f>
        <v>100000</v>
      </c>
      <c r="N1696" s="58">
        <f t="shared" si="88"/>
        <v>2550000</v>
      </c>
      <c r="O1696" s="60"/>
      <c r="P1696" s="60">
        <f t="shared" si="87"/>
        <v>2550000</v>
      </c>
    </row>
    <row r="1697" spans="2:16">
      <c r="B1697" s="20" t="s">
        <v>1848</v>
      </c>
      <c r="C1697" s="20" t="s">
        <v>2</v>
      </c>
      <c r="D1697" s="20" t="str">
        <f>IFERROR(INDEX('[2]PRICELIST, 908u'!$G$7:$AX$914,MATCH($B1697,'[2]PRICELIST, 908u'!$G$7:$G$914,0),18),"NA")</f>
        <v>2025 - Batch 2</v>
      </c>
      <c r="E1697" s="20" t="str">
        <f>IFERROR(INDEX([3]AGM!$D$21:$BL$928,MATCH($B1697,[3]AGM!$AD$21:$AD$928,0),1),"NA")</f>
        <v>OS</v>
      </c>
      <c r="F1697" s="20" t="str">
        <f t="shared" si="86"/>
        <v>Block 46</v>
      </c>
      <c r="G1697" s="20" t="str">
        <f t="shared" si="85"/>
        <v>Lot 08</v>
      </c>
      <c r="H1697" s="20">
        <f>IFERROR(INDEX('[2]PRICELIST, 908u'!$G$7:$AX$914,MATCH($B1697,'[2]PRICELIST, 908u'!$G$7:$G$914,0),23),"NA")</f>
        <v>50</v>
      </c>
      <c r="I1697" s="20">
        <f>IFERROR(INDEX('[2]PRICELIST, 908u'!$G$7:$AX$914,MATCH($B1697,'[2]PRICELIST, 908u'!$G$7:$G$914,0),22),"NA")</f>
        <v>70</v>
      </c>
      <c r="J1697" s="20" t="s">
        <v>207</v>
      </c>
      <c r="K1697" s="20" t="str">
        <f>IFERROR(INDEX('[2]PRICELIST, 908u'!$G$7:$AX$914,MATCH($B1697,'[2]PRICELIST, 908u'!$G$7:$G$914,0),30),"NA")</f>
        <v>Slant / PURPLE</v>
      </c>
      <c r="L1697" s="20">
        <f>IFERROR(INDEX('[2]PRICELIST, 908u'!$G$7:$AX$914,MATCH($B1697,'[2]PRICELIST, 908u'!$G$7:$G$914,0),40),"NA")</f>
        <v>2650000</v>
      </c>
      <c r="M1697" s="20">
        <f>IFERROR(INDEX('[2]PRICELIST, 908u'!$G$7:$AX$914,MATCH($B1697,'[2]PRICELIST, 908u'!$G$7:$G$914,0),41),"NA")</f>
        <v>100000</v>
      </c>
      <c r="N1697" s="58">
        <f t="shared" si="88"/>
        <v>2550000</v>
      </c>
      <c r="O1697" s="60"/>
      <c r="P1697" s="60">
        <f t="shared" si="87"/>
        <v>2550000</v>
      </c>
    </row>
    <row r="1698" spans="2:16">
      <c r="B1698" s="20" t="s">
        <v>1849</v>
      </c>
      <c r="C1698" s="20" t="s">
        <v>2</v>
      </c>
      <c r="D1698" s="20" t="str">
        <f>IFERROR(INDEX('[2]PRICELIST, 908u'!$G$7:$AX$914,MATCH($B1698,'[2]PRICELIST, 908u'!$G$7:$G$914,0),18),"NA")</f>
        <v>2025 - Batch 2</v>
      </c>
      <c r="E1698" s="20" t="str">
        <f>IFERROR(INDEX([3]AGM!$D$21:$BL$928,MATCH($B1698,[3]AGM!$AD$21:$AD$928,0),1),"NA")</f>
        <v>OS</v>
      </c>
      <c r="F1698" s="20" t="str">
        <f t="shared" si="86"/>
        <v>Block 46</v>
      </c>
      <c r="G1698" s="20" t="str">
        <f t="shared" si="85"/>
        <v>Lot 09</v>
      </c>
      <c r="H1698" s="20">
        <f>IFERROR(INDEX('[2]PRICELIST, 908u'!$G$7:$AX$914,MATCH($B1698,'[2]PRICELIST, 908u'!$G$7:$G$914,0),23),"NA")</f>
        <v>50</v>
      </c>
      <c r="I1698" s="20">
        <f>IFERROR(INDEX('[2]PRICELIST, 908u'!$G$7:$AX$914,MATCH($B1698,'[2]PRICELIST, 908u'!$G$7:$G$914,0),22),"NA")</f>
        <v>70</v>
      </c>
      <c r="J1698" s="20" t="s">
        <v>207</v>
      </c>
      <c r="K1698" s="20" t="str">
        <f>IFERROR(INDEX('[2]PRICELIST, 908u'!$G$7:$AX$914,MATCH($B1698,'[2]PRICELIST, 908u'!$G$7:$G$914,0),30),"NA")</f>
        <v>Slant / PINK</v>
      </c>
      <c r="L1698" s="20">
        <f>IFERROR(INDEX('[2]PRICELIST, 908u'!$G$7:$AX$914,MATCH($B1698,'[2]PRICELIST, 908u'!$G$7:$G$914,0),40),"NA")</f>
        <v>2650000</v>
      </c>
      <c r="M1698" s="20">
        <f>IFERROR(INDEX('[2]PRICELIST, 908u'!$G$7:$AX$914,MATCH($B1698,'[2]PRICELIST, 908u'!$G$7:$G$914,0),41),"NA")</f>
        <v>100000</v>
      </c>
      <c r="N1698" s="58">
        <f t="shared" si="88"/>
        <v>2550000</v>
      </c>
      <c r="O1698" s="60"/>
      <c r="P1698" s="60">
        <f t="shared" si="87"/>
        <v>2550000</v>
      </c>
    </row>
    <row r="1699" spans="2:16">
      <c r="B1699" s="20" t="s">
        <v>1850</v>
      </c>
      <c r="C1699" s="20" t="s">
        <v>2</v>
      </c>
      <c r="D1699" s="20" t="str">
        <f>IFERROR(INDEX('[2]PRICELIST, 908u'!$G$7:$AX$914,MATCH($B1699,'[2]PRICELIST, 908u'!$G$7:$G$914,0),18),"NA")</f>
        <v>2025 - Batch 2</v>
      </c>
      <c r="E1699" s="20" t="str">
        <f>IFERROR(INDEX([3]AGM!$D$21:$BL$928,MATCH($B1699,[3]AGM!$AD$21:$AD$928,0),1),"NA")</f>
        <v>OS</v>
      </c>
      <c r="F1699" s="20" t="str">
        <f t="shared" si="86"/>
        <v>Block 46</v>
      </c>
      <c r="G1699" s="20" t="str">
        <f t="shared" si="85"/>
        <v>Lot 10</v>
      </c>
      <c r="H1699" s="20">
        <f>IFERROR(INDEX('[2]PRICELIST, 908u'!$G$7:$AX$914,MATCH($B1699,'[2]PRICELIST, 908u'!$G$7:$G$914,0),23),"NA")</f>
        <v>50</v>
      </c>
      <c r="I1699" s="20">
        <f>IFERROR(INDEX('[2]PRICELIST, 908u'!$G$7:$AX$914,MATCH($B1699,'[2]PRICELIST, 908u'!$G$7:$G$914,0),22),"NA")</f>
        <v>70</v>
      </c>
      <c r="J1699" s="20" t="s">
        <v>207</v>
      </c>
      <c r="K1699" s="20" t="str">
        <f>IFERROR(INDEX('[2]PRICELIST, 908u'!$G$7:$AX$914,MATCH($B1699,'[2]PRICELIST, 908u'!$G$7:$G$914,0),30),"NA")</f>
        <v>Flat / PINK</v>
      </c>
      <c r="L1699" s="20">
        <f>IFERROR(INDEX('[2]PRICELIST, 908u'!$G$7:$AX$914,MATCH($B1699,'[2]PRICELIST, 908u'!$G$7:$G$914,0),40),"NA")</f>
        <v>2650000</v>
      </c>
      <c r="M1699" s="20">
        <f>IFERROR(INDEX('[2]PRICELIST, 908u'!$G$7:$AX$914,MATCH($B1699,'[2]PRICELIST, 908u'!$G$7:$G$914,0),41),"NA")</f>
        <v>100000</v>
      </c>
      <c r="N1699" s="58">
        <f t="shared" si="88"/>
        <v>2550000</v>
      </c>
      <c r="O1699" s="60"/>
      <c r="P1699" s="60">
        <f t="shared" si="87"/>
        <v>2550000</v>
      </c>
    </row>
    <row r="1700" spans="2:16">
      <c r="B1700" s="20" t="s">
        <v>1851</v>
      </c>
      <c r="C1700" s="20" t="s">
        <v>2</v>
      </c>
      <c r="D1700" s="20" t="str">
        <f>IFERROR(INDEX('[2]PRICELIST, 908u'!$G$7:$AX$914,MATCH($B1700,'[2]PRICELIST, 908u'!$G$7:$G$914,0),18),"NA")</f>
        <v>2025 - Batch 1</v>
      </c>
      <c r="E1700" s="20" t="str">
        <f>IFERROR(INDEX([3]AGM!$D$21:$BL$928,MATCH($B1700,[3]AGM!$AD$21:$AD$928,0),1),"NA")</f>
        <v>OS</v>
      </c>
      <c r="F1700" s="20" t="str">
        <f t="shared" si="86"/>
        <v>Block 47</v>
      </c>
      <c r="G1700" s="20" t="str">
        <f t="shared" si="85"/>
        <v>Lot 01</v>
      </c>
      <c r="H1700" s="20">
        <f>IFERROR(INDEX('[2]PRICELIST, 908u'!$G$7:$AX$914,MATCH($B1700,'[2]PRICELIST, 908u'!$G$7:$G$914,0),23),"NA")</f>
        <v>50</v>
      </c>
      <c r="I1700" s="20">
        <f>IFERROR(INDEX('[2]PRICELIST, 908u'!$G$7:$AX$914,MATCH($B1700,'[2]PRICELIST, 908u'!$G$7:$G$914,0),22),"NA")</f>
        <v>70</v>
      </c>
      <c r="J1700" s="20" t="s">
        <v>207</v>
      </c>
      <c r="K1700" s="20" t="str">
        <f>IFERROR(INDEX('[2]PRICELIST, 908u'!$G$7:$AX$914,MATCH($B1700,'[2]PRICELIST, 908u'!$G$7:$G$914,0),30),"NA")</f>
        <v>Slant / PINK</v>
      </c>
      <c r="L1700" s="20">
        <f>IFERROR(INDEX('[2]PRICELIST, 908u'!$G$7:$AX$914,MATCH($B1700,'[2]PRICELIST, 908u'!$G$7:$G$914,0),40),"NA")</f>
        <v>2650000</v>
      </c>
      <c r="M1700" s="20">
        <f>IFERROR(INDEX('[2]PRICELIST, 908u'!$G$7:$AX$914,MATCH($B1700,'[2]PRICELIST, 908u'!$G$7:$G$914,0),41),"NA")</f>
        <v>100000</v>
      </c>
      <c r="N1700" s="58">
        <f t="shared" si="88"/>
        <v>2550000</v>
      </c>
      <c r="O1700" s="60"/>
      <c r="P1700" s="60">
        <f t="shared" si="87"/>
        <v>2550000</v>
      </c>
    </row>
    <row r="1701" spans="2:16">
      <c r="B1701" s="20" t="s">
        <v>1852</v>
      </c>
      <c r="C1701" s="20" t="s">
        <v>2</v>
      </c>
      <c r="D1701" s="20" t="str">
        <f>IFERROR(INDEX('[2]PRICELIST, 908u'!$G$7:$AX$914,MATCH($B1701,'[2]PRICELIST, 908u'!$G$7:$G$914,0),18),"NA")</f>
        <v>2025 - Batch 1</v>
      </c>
      <c r="E1701" s="20" t="str">
        <f>IFERROR(INDEX([3]AGM!$D$21:$BL$928,MATCH($B1701,[3]AGM!$AD$21:$AD$928,0),1),"NA")</f>
        <v>OS</v>
      </c>
      <c r="F1701" s="20" t="str">
        <f t="shared" si="86"/>
        <v>Block 47</v>
      </c>
      <c r="G1701" s="20" t="str">
        <f t="shared" si="85"/>
        <v>Lot 02</v>
      </c>
      <c r="H1701" s="20">
        <f>IFERROR(INDEX('[2]PRICELIST, 908u'!$G$7:$AX$914,MATCH($B1701,'[2]PRICELIST, 908u'!$G$7:$G$914,0),23),"NA")</f>
        <v>50</v>
      </c>
      <c r="I1701" s="20">
        <f>IFERROR(INDEX('[2]PRICELIST, 908u'!$G$7:$AX$914,MATCH($B1701,'[2]PRICELIST, 908u'!$G$7:$G$914,0),22),"NA")</f>
        <v>70</v>
      </c>
      <c r="J1701" s="20" t="s">
        <v>207</v>
      </c>
      <c r="K1701" s="20" t="str">
        <f>IFERROR(INDEX('[2]PRICELIST, 908u'!$G$7:$AX$914,MATCH($B1701,'[2]PRICELIST, 908u'!$G$7:$G$914,0),30),"NA")</f>
        <v>Flat / PINK</v>
      </c>
      <c r="L1701" s="20">
        <f>IFERROR(INDEX('[2]PRICELIST, 908u'!$G$7:$AX$914,MATCH($B1701,'[2]PRICELIST, 908u'!$G$7:$G$914,0),40),"NA")</f>
        <v>2650000</v>
      </c>
      <c r="M1701" s="20">
        <f>IFERROR(INDEX('[2]PRICELIST, 908u'!$G$7:$AX$914,MATCH($B1701,'[2]PRICELIST, 908u'!$G$7:$G$914,0),41),"NA")</f>
        <v>100000</v>
      </c>
      <c r="N1701" s="58">
        <f t="shared" si="88"/>
        <v>2550000</v>
      </c>
      <c r="O1701" s="60"/>
      <c r="P1701" s="60">
        <f t="shared" si="87"/>
        <v>2550000</v>
      </c>
    </row>
    <row r="1702" spans="2:16">
      <c r="B1702" s="20" t="s">
        <v>1853</v>
      </c>
      <c r="C1702" s="20" t="s">
        <v>2</v>
      </c>
      <c r="D1702" s="20" t="str">
        <f>IFERROR(INDEX('[2]PRICELIST, 908u'!$G$7:$AX$914,MATCH($B1702,'[2]PRICELIST, 908u'!$G$7:$G$914,0),18),"NA")</f>
        <v>2025 - Batch 1</v>
      </c>
      <c r="E1702" s="20" t="str">
        <f>IFERROR(INDEX([3]AGM!$D$21:$BL$928,MATCH($B1702,[3]AGM!$AD$21:$AD$928,0),1),"NA")</f>
        <v>OS</v>
      </c>
      <c r="F1702" s="20" t="str">
        <f t="shared" si="86"/>
        <v>Block 47</v>
      </c>
      <c r="G1702" s="20" t="str">
        <f t="shared" si="85"/>
        <v>Lot 03</v>
      </c>
      <c r="H1702" s="20">
        <f>IFERROR(INDEX('[2]PRICELIST, 908u'!$G$7:$AX$914,MATCH($B1702,'[2]PRICELIST, 908u'!$G$7:$G$914,0),23),"NA")</f>
        <v>50</v>
      </c>
      <c r="I1702" s="20">
        <f>IFERROR(INDEX('[2]PRICELIST, 908u'!$G$7:$AX$914,MATCH($B1702,'[2]PRICELIST, 908u'!$G$7:$G$914,0),22),"NA")</f>
        <v>70</v>
      </c>
      <c r="J1702" s="20" t="s">
        <v>207</v>
      </c>
      <c r="K1702" s="20" t="str">
        <f>IFERROR(INDEX('[2]PRICELIST, 908u'!$G$7:$AX$914,MATCH($B1702,'[2]PRICELIST, 908u'!$G$7:$G$914,0),30),"NA")</f>
        <v>Flat / PURPLE</v>
      </c>
      <c r="L1702" s="20">
        <f>IFERROR(INDEX('[2]PRICELIST, 908u'!$G$7:$AX$914,MATCH($B1702,'[2]PRICELIST, 908u'!$G$7:$G$914,0),40),"NA")</f>
        <v>2650000</v>
      </c>
      <c r="M1702" s="20">
        <f>IFERROR(INDEX('[2]PRICELIST, 908u'!$G$7:$AX$914,MATCH($B1702,'[2]PRICELIST, 908u'!$G$7:$G$914,0),41),"NA")</f>
        <v>100000</v>
      </c>
      <c r="N1702" s="58">
        <f t="shared" si="88"/>
        <v>2550000</v>
      </c>
      <c r="O1702" s="60"/>
      <c r="P1702" s="60">
        <f t="shared" si="87"/>
        <v>2550000</v>
      </c>
    </row>
    <row r="1703" spans="2:16">
      <c r="B1703" s="20" t="s">
        <v>1854</v>
      </c>
      <c r="C1703" s="20" t="s">
        <v>2</v>
      </c>
      <c r="D1703" s="20" t="str">
        <f>IFERROR(INDEX('[2]PRICELIST, 908u'!$G$7:$AX$914,MATCH($B1703,'[2]PRICELIST, 908u'!$G$7:$G$914,0),18),"NA")</f>
        <v>2025 - Batch 1</v>
      </c>
      <c r="E1703" s="20" t="str">
        <f>IFERROR(INDEX([3]AGM!$D$21:$BL$928,MATCH($B1703,[3]AGM!$AD$21:$AD$928,0),1),"NA")</f>
        <v>OS</v>
      </c>
      <c r="F1703" s="20" t="str">
        <f t="shared" si="86"/>
        <v>Block 47</v>
      </c>
      <c r="G1703" s="20" t="str">
        <f t="shared" si="85"/>
        <v>Lot 04</v>
      </c>
      <c r="H1703" s="20">
        <f>IFERROR(INDEX('[2]PRICELIST, 908u'!$G$7:$AX$914,MATCH($B1703,'[2]PRICELIST, 908u'!$G$7:$G$914,0),23),"NA")</f>
        <v>50</v>
      </c>
      <c r="I1703" s="20">
        <f>IFERROR(INDEX('[2]PRICELIST, 908u'!$G$7:$AX$914,MATCH($B1703,'[2]PRICELIST, 908u'!$G$7:$G$914,0),22),"NA")</f>
        <v>70</v>
      </c>
      <c r="J1703" s="20" t="s">
        <v>207</v>
      </c>
      <c r="K1703" s="20" t="str">
        <f>IFERROR(INDEX('[2]PRICELIST, 908u'!$G$7:$AX$914,MATCH($B1703,'[2]PRICELIST, 908u'!$G$7:$G$914,0),30),"NA")</f>
        <v>Slant / PURPLE</v>
      </c>
      <c r="L1703" s="20">
        <f>IFERROR(INDEX('[2]PRICELIST, 908u'!$G$7:$AX$914,MATCH($B1703,'[2]PRICELIST, 908u'!$G$7:$G$914,0),40),"NA")</f>
        <v>2650000</v>
      </c>
      <c r="M1703" s="20">
        <f>IFERROR(INDEX('[2]PRICELIST, 908u'!$G$7:$AX$914,MATCH($B1703,'[2]PRICELIST, 908u'!$G$7:$G$914,0),41),"NA")</f>
        <v>100000</v>
      </c>
      <c r="N1703" s="58">
        <f t="shared" si="88"/>
        <v>2550000</v>
      </c>
      <c r="O1703" s="60"/>
      <c r="P1703" s="60">
        <f t="shared" si="87"/>
        <v>2550000</v>
      </c>
    </row>
    <row r="1704" spans="2:16">
      <c r="B1704" s="20" t="s">
        <v>1855</v>
      </c>
      <c r="C1704" s="20" t="s">
        <v>2</v>
      </c>
      <c r="D1704" s="20" t="str">
        <f>IFERROR(INDEX('[2]PRICELIST, 908u'!$G$7:$AX$914,MATCH($B1704,'[2]PRICELIST, 908u'!$G$7:$G$914,0),18),"NA")</f>
        <v>2025 - Batch 1</v>
      </c>
      <c r="E1704" s="20" t="str">
        <f>IFERROR(INDEX([3]AGM!$D$21:$BL$928,MATCH($B1704,[3]AGM!$AD$21:$AD$928,0),1),"NA")</f>
        <v>OS</v>
      </c>
      <c r="F1704" s="20" t="str">
        <f t="shared" si="86"/>
        <v>Block 47</v>
      </c>
      <c r="G1704" s="20" t="str">
        <f t="shared" si="85"/>
        <v>Lot 05</v>
      </c>
      <c r="H1704" s="20">
        <f>IFERROR(INDEX('[2]PRICELIST, 908u'!$G$7:$AX$914,MATCH($B1704,'[2]PRICELIST, 908u'!$G$7:$G$914,0),23),"NA")</f>
        <v>50</v>
      </c>
      <c r="I1704" s="20">
        <f>IFERROR(INDEX('[2]PRICELIST, 908u'!$G$7:$AX$914,MATCH($B1704,'[2]PRICELIST, 908u'!$G$7:$G$914,0),22),"NA")</f>
        <v>70</v>
      </c>
      <c r="J1704" s="20" t="s">
        <v>207</v>
      </c>
      <c r="K1704" s="20" t="str">
        <f>IFERROR(INDEX('[2]PRICELIST, 908u'!$G$7:$AX$914,MATCH($B1704,'[2]PRICELIST, 908u'!$G$7:$G$914,0),30),"NA")</f>
        <v>Slant / PURPLE</v>
      </c>
      <c r="L1704" s="20">
        <f>IFERROR(INDEX('[2]PRICELIST, 908u'!$G$7:$AX$914,MATCH($B1704,'[2]PRICELIST, 908u'!$G$7:$G$914,0),40),"NA")</f>
        <v>2650000</v>
      </c>
      <c r="M1704" s="20">
        <f>IFERROR(INDEX('[2]PRICELIST, 908u'!$G$7:$AX$914,MATCH($B1704,'[2]PRICELIST, 908u'!$G$7:$G$914,0),41),"NA")</f>
        <v>100000</v>
      </c>
      <c r="N1704" s="58">
        <f t="shared" si="88"/>
        <v>2550000</v>
      </c>
      <c r="O1704" s="60"/>
      <c r="P1704" s="60">
        <f t="shared" si="87"/>
        <v>2550000</v>
      </c>
    </row>
    <row r="1705" spans="2:16">
      <c r="B1705" s="20" t="s">
        <v>1856</v>
      </c>
      <c r="C1705" s="20" t="s">
        <v>2</v>
      </c>
      <c r="D1705" s="20" t="str">
        <f>IFERROR(INDEX('[2]PRICELIST, 908u'!$G$7:$AX$914,MATCH($B1705,'[2]PRICELIST, 908u'!$G$7:$G$914,0),18),"NA")</f>
        <v>2025 - Batch 1</v>
      </c>
      <c r="E1705" s="20" t="str">
        <f>IFERROR(INDEX([3]AGM!$D$21:$BL$928,MATCH($B1705,[3]AGM!$AD$21:$AD$928,0),1),"NA")</f>
        <v>OS</v>
      </c>
      <c r="F1705" s="20" t="str">
        <f t="shared" si="86"/>
        <v>Block 47</v>
      </c>
      <c r="G1705" s="20" t="str">
        <f t="shared" si="85"/>
        <v>Lot 06</v>
      </c>
      <c r="H1705" s="20">
        <f>IFERROR(INDEX('[2]PRICELIST, 908u'!$G$7:$AX$914,MATCH($B1705,'[2]PRICELIST, 908u'!$G$7:$G$914,0),23),"NA")</f>
        <v>50</v>
      </c>
      <c r="I1705" s="20">
        <f>IFERROR(INDEX('[2]PRICELIST, 908u'!$G$7:$AX$914,MATCH($B1705,'[2]PRICELIST, 908u'!$G$7:$G$914,0),22),"NA")</f>
        <v>70</v>
      </c>
      <c r="J1705" s="20" t="s">
        <v>207</v>
      </c>
      <c r="K1705" s="20" t="str">
        <f>IFERROR(INDEX('[2]PRICELIST, 908u'!$G$7:$AX$914,MATCH($B1705,'[2]PRICELIST, 908u'!$G$7:$G$914,0),30),"NA")</f>
        <v>Flat / PURPLE</v>
      </c>
      <c r="L1705" s="20">
        <f>IFERROR(INDEX('[2]PRICELIST, 908u'!$G$7:$AX$914,MATCH($B1705,'[2]PRICELIST, 908u'!$G$7:$G$914,0),40),"NA")</f>
        <v>2650000</v>
      </c>
      <c r="M1705" s="20">
        <f>IFERROR(INDEX('[2]PRICELIST, 908u'!$G$7:$AX$914,MATCH($B1705,'[2]PRICELIST, 908u'!$G$7:$G$914,0),41),"NA")</f>
        <v>100000</v>
      </c>
      <c r="N1705" s="58">
        <f t="shared" si="88"/>
        <v>2550000</v>
      </c>
      <c r="O1705" s="60"/>
      <c r="P1705" s="60">
        <f t="shared" si="87"/>
        <v>2550000</v>
      </c>
    </row>
    <row r="1706" spans="2:16">
      <c r="B1706" s="20" t="s">
        <v>1857</v>
      </c>
      <c r="C1706" s="20" t="s">
        <v>2</v>
      </c>
      <c r="D1706" s="20" t="str">
        <f>IFERROR(INDEX('[2]PRICELIST, 908u'!$G$7:$AX$914,MATCH($B1706,'[2]PRICELIST, 908u'!$G$7:$G$914,0),18),"NA")</f>
        <v>2025 - Batch 1</v>
      </c>
      <c r="E1706" s="20" t="str">
        <f>IFERROR(INDEX([3]AGM!$D$21:$BL$928,MATCH($B1706,[3]AGM!$AD$21:$AD$928,0),1),"NA")</f>
        <v>OS</v>
      </c>
      <c r="F1706" s="20" t="str">
        <f t="shared" si="86"/>
        <v>Block 47</v>
      </c>
      <c r="G1706" s="20" t="str">
        <f t="shared" si="85"/>
        <v>Lot 07</v>
      </c>
      <c r="H1706" s="20">
        <f>IFERROR(INDEX('[2]PRICELIST, 908u'!$G$7:$AX$914,MATCH($B1706,'[2]PRICELIST, 908u'!$G$7:$G$914,0),23),"NA")</f>
        <v>50</v>
      </c>
      <c r="I1706" s="20">
        <f>IFERROR(INDEX('[2]PRICELIST, 908u'!$G$7:$AX$914,MATCH($B1706,'[2]PRICELIST, 908u'!$G$7:$G$914,0),22),"NA")</f>
        <v>70</v>
      </c>
      <c r="J1706" s="20" t="s">
        <v>207</v>
      </c>
      <c r="K1706" s="20" t="str">
        <f>IFERROR(INDEX('[2]PRICELIST, 908u'!$G$7:$AX$914,MATCH($B1706,'[2]PRICELIST, 908u'!$G$7:$G$914,0),30),"NA")</f>
        <v>Flat / YELLOW</v>
      </c>
      <c r="L1706" s="20">
        <f>IFERROR(INDEX('[2]PRICELIST, 908u'!$G$7:$AX$914,MATCH($B1706,'[2]PRICELIST, 908u'!$G$7:$G$914,0),40),"NA")</f>
        <v>2650000</v>
      </c>
      <c r="M1706" s="20">
        <f>IFERROR(INDEX('[2]PRICELIST, 908u'!$G$7:$AX$914,MATCH($B1706,'[2]PRICELIST, 908u'!$G$7:$G$914,0),41),"NA")</f>
        <v>100000</v>
      </c>
      <c r="N1706" s="58">
        <f t="shared" si="88"/>
        <v>2550000</v>
      </c>
      <c r="O1706" s="60"/>
      <c r="P1706" s="60">
        <f t="shared" si="87"/>
        <v>2550000</v>
      </c>
    </row>
    <row r="1707" spans="2:16">
      <c r="B1707" s="20" t="s">
        <v>1858</v>
      </c>
      <c r="C1707" s="20" t="s">
        <v>2</v>
      </c>
      <c r="D1707" s="20" t="str">
        <f>IFERROR(INDEX('[2]PRICELIST, 908u'!$G$7:$AX$914,MATCH($B1707,'[2]PRICELIST, 908u'!$G$7:$G$914,0),18),"NA")</f>
        <v>2025 - Batch 1</v>
      </c>
      <c r="E1707" s="20" t="str">
        <f>IFERROR(INDEX([3]AGM!$D$21:$BL$928,MATCH($B1707,[3]AGM!$AD$21:$AD$928,0),1),"NA")</f>
        <v>OS</v>
      </c>
      <c r="F1707" s="20" t="str">
        <f t="shared" si="86"/>
        <v>Block 47</v>
      </c>
      <c r="G1707" s="20" t="str">
        <f t="shared" si="85"/>
        <v>Lot 08</v>
      </c>
      <c r="H1707" s="20">
        <f>IFERROR(INDEX('[2]PRICELIST, 908u'!$G$7:$AX$914,MATCH($B1707,'[2]PRICELIST, 908u'!$G$7:$G$914,0),23),"NA")</f>
        <v>50</v>
      </c>
      <c r="I1707" s="20">
        <f>IFERROR(INDEX('[2]PRICELIST, 908u'!$G$7:$AX$914,MATCH($B1707,'[2]PRICELIST, 908u'!$G$7:$G$914,0),22),"NA")</f>
        <v>70</v>
      </c>
      <c r="J1707" s="20" t="s">
        <v>207</v>
      </c>
      <c r="K1707" s="20" t="str">
        <f>IFERROR(INDEX('[2]PRICELIST, 908u'!$G$7:$AX$914,MATCH($B1707,'[2]PRICELIST, 908u'!$G$7:$G$914,0),30),"NA")</f>
        <v>Slant / YELLOW</v>
      </c>
      <c r="L1707" s="20">
        <f>IFERROR(INDEX('[2]PRICELIST, 908u'!$G$7:$AX$914,MATCH($B1707,'[2]PRICELIST, 908u'!$G$7:$G$914,0),40),"NA")</f>
        <v>2650000</v>
      </c>
      <c r="M1707" s="20">
        <f>IFERROR(INDEX('[2]PRICELIST, 908u'!$G$7:$AX$914,MATCH($B1707,'[2]PRICELIST, 908u'!$G$7:$G$914,0),41),"NA")</f>
        <v>100000</v>
      </c>
      <c r="N1707" s="58">
        <f t="shared" si="88"/>
        <v>2550000</v>
      </c>
      <c r="O1707" s="60"/>
      <c r="P1707" s="60">
        <f t="shared" si="87"/>
        <v>2550000</v>
      </c>
    </row>
    <row r="1708" spans="2:16">
      <c r="B1708" s="20" t="s">
        <v>1859</v>
      </c>
      <c r="C1708" s="20" t="s">
        <v>2</v>
      </c>
      <c r="D1708" s="20" t="str">
        <f>IFERROR(INDEX('[2]PRICELIST, 908u'!$G$7:$AX$914,MATCH($B1708,'[2]PRICELIST, 908u'!$G$7:$G$914,0),18),"NA")</f>
        <v>2024 Batch</v>
      </c>
      <c r="E1708" s="20" t="str">
        <f>IFERROR(INDEX([3]AGM!$D$21:$BL$928,MATCH($B1708,[3]AGM!$AD$21:$AD$928,0),1),"NA")</f>
        <v>OS</v>
      </c>
      <c r="F1708" s="20" t="str">
        <f t="shared" si="86"/>
        <v>Block 47</v>
      </c>
      <c r="G1708" s="20" t="str">
        <f t="shared" si="85"/>
        <v>Lot 09</v>
      </c>
      <c r="H1708" s="20">
        <f>IFERROR(INDEX('[2]PRICELIST, 908u'!$G$7:$AX$914,MATCH($B1708,'[2]PRICELIST, 908u'!$G$7:$G$914,0),23),"NA")</f>
        <v>50</v>
      </c>
      <c r="I1708" s="20">
        <f>IFERROR(INDEX('[2]PRICELIST, 908u'!$G$7:$AX$914,MATCH($B1708,'[2]PRICELIST, 908u'!$G$7:$G$914,0),22),"NA")</f>
        <v>70</v>
      </c>
      <c r="J1708" s="20" t="s">
        <v>25</v>
      </c>
      <c r="K1708" s="20" t="str">
        <f>IFERROR(INDEX('[2]PRICELIST, 908u'!$G$7:$AX$914,MATCH($B1708,'[2]PRICELIST, 908u'!$G$7:$G$914,0),30),"NA")</f>
        <v>Slant / YELLOW</v>
      </c>
      <c r="L1708" s="20">
        <f>IFERROR(INDEX('[2]PRICELIST, 908u'!$G$7:$AX$914,MATCH($B1708,'[2]PRICELIST, 908u'!$G$7:$G$914,0),40),"NA")</f>
        <v>2850000</v>
      </c>
      <c r="M1708" s="20">
        <f>IFERROR(INDEX('[2]PRICELIST, 908u'!$G$7:$AX$914,MATCH($B1708,'[2]PRICELIST, 908u'!$G$7:$G$914,0),41),"NA")</f>
        <v>100000</v>
      </c>
      <c r="N1708" s="58">
        <f t="shared" si="88"/>
        <v>2750000</v>
      </c>
      <c r="O1708" s="60"/>
      <c r="P1708" s="60">
        <f t="shared" si="87"/>
        <v>2750000</v>
      </c>
    </row>
    <row r="1709" spans="2:16">
      <c r="B1709" s="20" t="s">
        <v>1860</v>
      </c>
      <c r="C1709" s="20" t="s">
        <v>2</v>
      </c>
      <c r="D1709" s="20" t="str">
        <f>IFERROR(INDEX('[2]PRICELIST, 908u'!$G$7:$AX$914,MATCH($B1709,'[2]PRICELIST, 908u'!$G$7:$G$914,0),18),"NA")</f>
        <v>2024 Batch</v>
      </c>
      <c r="E1709" s="20" t="str">
        <f>IFERROR(INDEX([3]AGM!$D$21:$BL$928,MATCH($B1709,[3]AGM!$AD$21:$AD$928,0),1),"NA")</f>
        <v>OS</v>
      </c>
      <c r="F1709" s="20" t="str">
        <f t="shared" si="86"/>
        <v>Block 47</v>
      </c>
      <c r="G1709" s="20" t="str">
        <f t="shared" si="85"/>
        <v>Lot 10</v>
      </c>
      <c r="H1709" s="20">
        <f>IFERROR(INDEX('[2]PRICELIST, 908u'!$G$7:$AX$914,MATCH($B1709,'[2]PRICELIST, 908u'!$G$7:$G$914,0),23),"NA")</f>
        <v>50</v>
      </c>
      <c r="I1709" s="20">
        <f>IFERROR(INDEX('[2]PRICELIST, 908u'!$G$7:$AX$914,MATCH($B1709,'[2]PRICELIST, 908u'!$G$7:$G$914,0),22),"NA")</f>
        <v>70</v>
      </c>
      <c r="J1709" s="20" t="s">
        <v>207</v>
      </c>
      <c r="K1709" s="20" t="str">
        <f>IFERROR(INDEX('[2]PRICELIST, 908u'!$G$7:$AX$914,MATCH($B1709,'[2]PRICELIST, 908u'!$G$7:$G$914,0),30),"NA")</f>
        <v>Flat / YELLOW</v>
      </c>
      <c r="L1709" s="20">
        <f>IFERROR(INDEX('[2]PRICELIST, 908u'!$G$7:$AX$914,MATCH($B1709,'[2]PRICELIST, 908u'!$G$7:$G$914,0),40),"NA")</f>
        <v>2650000</v>
      </c>
      <c r="M1709" s="20">
        <f>IFERROR(INDEX('[2]PRICELIST, 908u'!$G$7:$AX$914,MATCH($B1709,'[2]PRICELIST, 908u'!$G$7:$G$914,0),41),"NA")</f>
        <v>100000</v>
      </c>
      <c r="N1709" s="58">
        <f t="shared" si="88"/>
        <v>2550000</v>
      </c>
      <c r="O1709" s="60"/>
      <c r="P1709" s="60">
        <f t="shared" si="87"/>
        <v>2550000</v>
      </c>
    </row>
    <row r="1710" spans="2:16">
      <c r="B1710" s="20" t="s">
        <v>1861</v>
      </c>
      <c r="C1710" s="20" t="s">
        <v>2</v>
      </c>
      <c r="D1710" s="20" t="str">
        <f>IFERROR(INDEX('[2]PRICELIST, 908u'!$G$7:$AX$914,MATCH($B1710,'[2]PRICELIST, 908u'!$G$7:$G$914,0),18),"NA")</f>
        <v>2024 Batch</v>
      </c>
      <c r="E1710" s="20" t="str">
        <f>IFERROR(INDEX([3]AGM!$D$21:$BL$928,MATCH($B1710,[3]AGM!$AD$21:$AD$928,0),1),"NA")</f>
        <v>OS</v>
      </c>
      <c r="F1710" s="20" t="str">
        <f t="shared" si="86"/>
        <v>Block 48</v>
      </c>
      <c r="G1710" s="20" t="str">
        <f t="shared" si="85"/>
        <v>Lot 01</v>
      </c>
      <c r="H1710" s="20">
        <f>IFERROR(INDEX('[2]PRICELIST, 908u'!$G$7:$AX$914,MATCH($B1710,'[2]PRICELIST, 908u'!$G$7:$G$914,0),23),"NA")</f>
        <v>50</v>
      </c>
      <c r="I1710" s="20">
        <f>IFERROR(INDEX('[2]PRICELIST, 908u'!$G$7:$AX$914,MATCH($B1710,'[2]PRICELIST, 908u'!$G$7:$G$914,0),22),"NA")</f>
        <v>100</v>
      </c>
      <c r="J1710" s="20" t="s">
        <v>25</v>
      </c>
      <c r="K1710" s="20" t="str">
        <f>IFERROR(INDEX('[2]PRICELIST, 908u'!$G$7:$AX$914,MATCH($B1710,'[2]PRICELIST, 908u'!$G$7:$G$914,0),30),"NA")</f>
        <v>Slant / YELLOW</v>
      </c>
      <c r="L1710" s="20">
        <f>IFERROR(INDEX('[2]PRICELIST, 908u'!$G$7:$AX$914,MATCH($B1710,'[2]PRICELIST, 908u'!$G$7:$G$914,0),40),"NA")</f>
        <v>3300000</v>
      </c>
      <c r="M1710" s="20">
        <f>IFERROR(INDEX('[2]PRICELIST, 908u'!$G$7:$AX$914,MATCH($B1710,'[2]PRICELIST, 908u'!$G$7:$G$914,0),41),"NA")</f>
        <v>100000</v>
      </c>
      <c r="N1710" s="58">
        <f t="shared" si="88"/>
        <v>3200000</v>
      </c>
      <c r="O1710" s="60"/>
      <c r="P1710" s="60">
        <f t="shared" si="87"/>
        <v>3200000</v>
      </c>
    </row>
    <row r="1711" spans="2:16">
      <c r="B1711" s="20" t="s">
        <v>1862</v>
      </c>
      <c r="C1711" s="20" t="s">
        <v>2</v>
      </c>
      <c r="D1711" s="20" t="str">
        <f>IFERROR(INDEX('[2]PRICELIST, 908u'!$G$7:$AX$914,MATCH($B1711,'[2]PRICELIST, 908u'!$G$7:$G$914,0),18),"NA")</f>
        <v>2024 Batch</v>
      </c>
      <c r="E1711" s="20" t="str">
        <f>IFERROR(INDEX([3]AGM!$D$21:$BL$928,MATCH($B1711,[3]AGM!$AD$21:$AD$928,0),1),"NA")</f>
        <v>OS</v>
      </c>
      <c r="F1711" s="20" t="str">
        <f t="shared" si="86"/>
        <v>Block 48</v>
      </c>
      <c r="G1711" s="20" t="str">
        <f t="shared" si="85"/>
        <v>Lot 02</v>
      </c>
      <c r="H1711" s="20">
        <f>IFERROR(INDEX('[2]PRICELIST, 908u'!$G$7:$AX$914,MATCH($B1711,'[2]PRICELIST, 908u'!$G$7:$G$914,0),23),"NA")</f>
        <v>50</v>
      </c>
      <c r="I1711" s="20">
        <f>IFERROR(INDEX('[2]PRICELIST, 908u'!$G$7:$AX$914,MATCH($B1711,'[2]PRICELIST, 908u'!$G$7:$G$914,0),22),"NA")</f>
        <v>70</v>
      </c>
      <c r="J1711" s="20" t="s">
        <v>25</v>
      </c>
      <c r="K1711" s="20" t="str">
        <f>IFERROR(INDEX('[2]PRICELIST, 908u'!$G$7:$AX$914,MATCH($B1711,'[2]PRICELIST, 908u'!$G$7:$G$914,0),30),"NA")</f>
        <v>Flat / YELLOW</v>
      </c>
      <c r="L1711" s="20">
        <f>IFERROR(INDEX('[2]PRICELIST, 908u'!$G$7:$AX$914,MATCH($B1711,'[2]PRICELIST, 908u'!$G$7:$G$914,0),40),"NA")</f>
        <v>2850000</v>
      </c>
      <c r="M1711" s="20">
        <f>IFERROR(INDEX('[2]PRICELIST, 908u'!$G$7:$AX$914,MATCH($B1711,'[2]PRICELIST, 908u'!$G$7:$G$914,0),41),"NA")</f>
        <v>100000</v>
      </c>
      <c r="N1711" s="58">
        <f t="shared" si="88"/>
        <v>2750000</v>
      </c>
      <c r="O1711" s="60"/>
      <c r="P1711" s="60">
        <f t="shared" si="87"/>
        <v>2750000</v>
      </c>
    </row>
    <row r="1712" spans="2:16">
      <c r="B1712" s="20" t="s">
        <v>1863</v>
      </c>
      <c r="C1712" s="20" t="s">
        <v>2</v>
      </c>
      <c r="D1712" s="20" t="str">
        <f>IFERROR(INDEX('[2]PRICELIST, 908u'!$G$7:$AX$914,MATCH($B1712,'[2]PRICELIST, 908u'!$G$7:$G$914,0),18),"NA")</f>
        <v>2025 - Batch 1</v>
      </c>
      <c r="E1712" s="20" t="str">
        <f>IFERROR(INDEX([3]AGM!$D$21:$BL$928,MATCH($B1712,[3]AGM!$AD$21:$AD$928,0),1),"NA")</f>
        <v>OS</v>
      </c>
      <c r="F1712" s="20" t="str">
        <f t="shared" si="86"/>
        <v>Block 48</v>
      </c>
      <c r="G1712" s="20" t="str">
        <f t="shared" si="85"/>
        <v>Lot 03</v>
      </c>
      <c r="H1712" s="20">
        <f>IFERROR(INDEX('[2]PRICELIST, 908u'!$G$7:$AX$914,MATCH($B1712,'[2]PRICELIST, 908u'!$G$7:$G$914,0),23),"NA")</f>
        <v>50</v>
      </c>
      <c r="I1712" s="20">
        <f>IFERROR(INDEX('[2]PRICELIST, 908u'!$G$7:$AX$914,MATCH($B1712,'[2]PRICELIST, 908u'!$G$7:$G$914,0),22),"NA")</f>
        <v>70</v>
      </c>
      <c r="J1712" s="20" t="s">
        <v>207</v>
      </c>
      <c r="K1712" s="20" t="str">
        <f>IFERROR(INDEX('[2]PRICELIST, 908u'!$G$7:$AX$914,MATCH($B1712,'[2]PRICELIST, 908u'!$G$7:$G$914,0),30),"NA")</f>
        <v>Flat / YELLOW</v>
      </c>
      <c r="L1712" s="20">
        <f>IFERROR(INDEX('[2]PRICELIST, 908u'!$G$7:$AX$914,MATCH($B1712,'[2]PRICELIST, 908u'!$G$7:$G$914,0),40),"NA")</f>
        <v>2650000</v>
      </c>
      <c r="M1712" s="20">
        <f>IFERROR(INDEX('[2]PRICELIST, 908u'!$G$7:$AX$914,MATCH($B1712,'[2]PRICELIST, 908u'!$G$7:$G$914,0),41),"NA")</f>
        <v>100000</v>
      </c>
      <c r="N1712" s="58">
        <f t="shared" si="88"/>
        <v>2550000</v>
      </c>
      <c r="O1712" s="60"/>
      <c r="P1712" s="60">
        <f t="shared" si="87"/>
        <v>2550000</v>
      </c>
    </row>
    <row r="1713" spans="2:16">
      <c r="B1713" s="20" t="s">
        <v>1864</v>
      </c>
      <c r="C1713" s="20" t="s">
        <v>2</v>
      </c>
      <c r="D1713" s="20" t="str">
        <f>IFERROR(INDEX('[2]PRICELIST, 908u'!$G$7:$AX$914,MATCH($B1713,'[2]PRICELIST, 908u'!$G$7:$G$914,0),18),"NA")</f>
        <v>2025 - Batch 1</v>
      </c>
      <c r="E1713" s="20" t="str">
        <f>IFERROR(INDEX([3]AGM!$D$21:$BL$928,MATCH($B1713,[3]AGM!$AD$21:$AD$928,0),1),"NA")</f>
        <v>OS</v>
      </c>
      <c r="F1713" s="20" t="str">
        <f t="shared" si="86"/>
        <v>Block 48</v>
      </c>
      <c r="G1713" s="20" t="str">
        <f t="shared" si="85"/>
        <v>Lot 04</v>
      </c>
      <c r="H1713" s="20">
        <f>IFERROR(INDEX('[2]PRICELIST, 908u'!$G$7:$AX$914,MATCH($B1713,'[2]PRICELIST, 908u'!$G$7:$G$914,0),23),"NA")</f>
        <v>50</v>
      </c>
      <c r="I1713" s="20">
        <f>IFERROR(INDEX('[2]PRICELIST, 908u'!$G$7:$AX$914,MATCH($B1713,'[2]PRICELIST, 908u'!$G$7:$G$914,0),22),"NA")</f>
        <v>70</v>
      </c>
      <c r="J1713" s="20" t="s">
        <v>207</v>
      </c>
      <c r="K1713" s="20" t="str">
        <f>IFERROR(INDEX('[2]PRICELIST, 908u'!$G$7:$AX$914,MATCH($B1713,'[2]PRICELIST, 908u'!$G$7:$G$914,0),30),"NA")</f>
        <v>Slant / YELLOW</v>
      </c>
      <c r="L1713" s="20">
        <f>IFERROR(INDEX('[2]PRICELIST, 908u'!$G$7:$AX$914,MATCH($B1713,'[2]PRICELIST, 908u'!$G$7:$G$914,0),40),"NA")</f>
        <v>2650000</v>
      </c>
      <c r="M1713" s="20">
        <f>IFERROR(INDEX('[2]PRICELIST, 908u'!$G$7:$AX$914,MATCH($B1713,'[2]PRICELIST, 908u'!$G$7:$G$914,0),41),"NA")</f>
        <v>100000</v>
      </c>
      <c r="N1713" s="58">
        <f t="shared" si="88"/>
        <v>2550000</v>
      </c>
      <c r="O1713" s="60"/>
      <c r="P1713" s="60">
        <f t="shared" si="87"/>
        <v>2550000</v>
      </c>
    </row>
    <row r="1714" spans="2:16">
      <c r="B1714" s="20" t="s">
        <v>1865</v>
      </c>
      <c r="C1714" s="20" t="s">
        <v>2</v>
      </c>
      <c r="D1714" s="20" t="str">
        <f>IFERROR(INDEX('[2]PRICELIST, 908u'!$G$7:$AX$914,MATCH($B1714,'[2]PRICELIST, 908u'!$G$7:$G$914,0),18),"NA")</f>
        <v>2025 - Batch 1</v>
      </c>
      <c r="E1714" s="20" t="str">
        <f>IFERROR(INDEX([3]AGM!$D$21:$BL$928,MATCH($B1714,[3]AGM!$AD$21:$AD$928,0),1),"NA")</f>
        <v>OS</v>
      </c>
      <c r="F1714" s="20" t="str">
        <f t="shared" si="86"/>
        <v>Block 48</v>
      </c>
      <c r="G1714" s="20" t="str">
        <f t="shared" si="85"/>
        <v>Lot 05</v>
      </c>
      <c r="H1714" s="20">
        <f>IFERROR(INDEX('[2]PRICELIST, 908u'!$G$7:$AX$914,MATCH($B1714,'[2]PRICELIST, 908u'!$G$7:$G$914,0),23),"NA")</f>
        <v>50</v>
      </c>
      <c r="I1714" s="20">
        <f>IFERROR(INDEX('[2]PRICELIST, 908u'!$G$7:$AX$914,MATCH($B1714,'[2]PRICELIST, 908u'!$G$7:$G$914,0),22),"NA")</f>
        <v>70</v>
      </c>
      <c r="J1714" s="20" t="s">
        <v>207</v>
      </c>
      <c r="K1714" s="20" t="str">
        <f>IFERROR(INDEX('[2]PRICELIST, 908u'!$G$7:$AX$914,MATCH($B1714,'[2]PRICELIST, 908u'!$G$7:$G$914,0),30),"NA")</f>
        <v>Slant / PURPLE</v>
      </c>
      <c r="L1714" s="20">
        <f>IFERROR(INDEX('[2]PRICELIST, 908u'!$G$7:$AX$914,MATCH($B1714,'[2]PRICELIST, 908u'!$G$7:$G$914,0),40),"NA")</f>
        <v>2650000</v>
      </c>
      <c r="M1714" s="20">
        <f>IFERROR(INDEX('[2]PRICELIST, 908u'!$G$7:$AX$914,MATCH($B1714,'[2]PRICELIST, 908u'!$G$7:$G$914,0),41),"NA")</f>
        <v>100000</v>
      </c>
      <c r="N1714" s="58">
        <f t="shared" si="88"/>
        <v>2550000</v>
      </c>
      <c r="O1714" s="60"/>
      <c r="P1714" s="60">
        <f t="shared" si="87"/>
        <v>2550000</v>
      </c>
    </row>
    <row r="1715" spans="2:16">
      <c r="B1715" s="20" t="s">
        <v>1866</v>
      </c>
      <c r="C1715" s="20" t="s">
        <v>2</v>
      </c>
      <c r="D1715" s="20" t="str">
        <f>IFERROR(INDEX('[2]PRICELIST, 908u'!$G$7:$AX$914,MATCH($B1715,'[2]PRICELIST, 908u'!$G$7:$G$914,0),18),"NA")</f>
        <v>2025 - Batch 1</v>
      </c>
      <c r="E1715" s="20" t="str">
        <f>IFERROR(INDEX([3]AGM!$D$21:$BL$928,MATCH($B1715,[3]AGM!$AD$21:$AD$928,0),1),"NA")</f>
        <v>OS</v>
      </c>
      <c r="F1715" s="20" t="str">
        <f t="shared" si="86"/>
        <v>Block 48</v>
      </c>
      <c r="G1715" s="20" t="str">
        <f t="shared" si="85"/>
        <v>Lot 06</v>
      </c>
      <c r="H1715" s="20">
        <f>IFERROR(INDEX('[2]PRICELIST, 908u'!$G$7:$AX$914,MATCH($B1715,'[2]PRICELIST, 908u'!$G$7:$G$914,0),23),"NA")</f>
        <v>50</v>
      </c>
      <c r="I1715" s="20">
        <f>IFERROR(INDEX('[2]PRICELIST, 908u'!$G$7:$AX$914,MATCH($B1715,'[2]PRICELIST, 908u'!$G$7:$G$914,0),22),"NA")</f>
        <v>70</v>
      </c>
      <c r="J1715" s="20" t="s">
        <v>207</v>
      </c>
      <c r="K1715" s="20" t="str">
        <f>IFERROR(INDEX('[2]PRICELIST, 908u'!$G$7:$AX$914,MATCH($B1715,'[2]PRICELIST, 908u'!$G$7:$G$914,0),30),"NA")</f>
        <v>Flat / PURPLE</v>
      </c>
      <c r="L1715" s="20">
        <f>IFERROR(INDEX('[2]PRICELIST, 908u'!$G$7:$AX$914,MATCH($B1715,'[2]PRICELIST, 908u'!$G$7:$G$914,0),40),"NA")</f>
        <v>2650000</v>
      </c>
      <c r="M1715" s="20">
        <f>IFERROR(INDEX('[2]PRICELIST, 908u'!$G$7:$AX$914,MATCH($B1715,'[2]PRICELIST, 908u'!$G$7:$G$914,0),41),"NA")</f>
        <v>100000</v>
      </c>
      <c r="N1715" s="58">
        <f t="shared" si="88"/>
        <v>2550000</v>
      </c>
      <c r="O1715" s="60"/>
      <c r="P1715" s="60">
        <f t="shared" si="87"/>
        <v>2550000</v>
      </c>
    </row>
    <row r="1716" spans="2:16">
      <c r="B1716" s="20" t="s">
        <v>1867</v>
      </c>
      <c r="C1716" s="20" t="s">
        <v>2</v>
      </c>
      <c r="D1716" s="20" t="str">
        <f>IFERROR(INDEX('[2]PRICELIST, 908u'!$G$7:$AX$914,MATCH($B1716,'[2]PRICELIST, 908u'!$G$7:$G$914,0),18),"NA")</f>
        <v>2024 Batch</v>
      </c>
      <c r="E1716" s="20" t="str">
        <f>IFERROR(INDEX([3]AGM!$D$21:$BL$928,MATCH($B1716,[3]AGM!$AD$21:$AD$928,0),1),"NA")</f>
        <v>OS</v>
      </c>
      <c r="F1716" s="20" t="str">
        <f t="shared" si="86"/>
        <v>Block 48</v>
      </c>
      <c r="G1716" s="20" t="str">
        <f t="shared" si="85"/>
        <v>Lot 07</v>
      </c>
      <c r="H1716" s="20">
        <f>IFERROR(INDEX('[2]PRICELIST, 908u'!$G$7:$AX$914,MATCH($B1716,'[2]PRICELIST, 908u'!$G$7:$G$914,0),23),"NA")</f>
        <v>50</v>
      </c>
      <c r="I1716" s="20">
        <f>IFERROR(INDEX('[2]PRICELIST, 908u'!$G$7:$AX$914,MATCH($B1716,'[2]PRICELIST, 908u'!$G$7:$G$914,0),22),"NA")</f>
        <v>70</v>
      </c>
      <c r="J1716" s="20" t="s">
        <v>25</v>
      </c>
      <c r="K1716" s="20" t="str">
        <f>IFERROR(INDEX('[2]PRICELIST, 908u'!$G$7:$AX$914,MATCH($B1716,'[2]PRICELIST, 908u'!$G$7:$G$914,0),30),"NA")</f>
        <v>Flat / PURPLE</v>
      </c>
      <c r="L1716" s="20">
        <f>IFERROR(INDEX('[2]PRICELIST, 908u'!$G$7:$AX$914,MATCH($B1716,'[2]PRICELIST, 908u'!$G$7:$G$914,0),40),"NA")</f>
        <v>2650000</v>
      </c>
      <c r="M1716" s="20">
        <f>IFERROR(INDEX('[2]PRICELIST, 908u'!$G$7:$AX$914,MATCH($B1716,'[2]PRICELIST, 908u'!$G$7:$G$914,0),41),"NA")</f>
        <v>100000</v>
      </c>
      <c r="N1716" s="58">
        <f t="shared" si="88"/>
        <v>2550000</v>
      </c>
      <c r="O1716" s="60"/>
      <c r="P1716" s="60">
        <f t="shared" si="87"/>
        <v>2550000</v>
      </c>
    </row>
    <row r="1717" spans="2:16">
      <c r="B1717" s="20" t="s">
        <v>1868</v>
      </c>
      <c r="C1717" s="20" t="s">
        <v>2</v>
      </c>
      <c r="D1717" s="20" t="str">
        <f>IFERROR(INDEX('[2]PRICELIST, 908u'!$G$7:$AX$914,MATCH($B1717,'[2]PRICELIST, 908u'!$G$7:$G$914,0),18),"NA")</f>
        <v>2024 Batch</v>
      </c>
      <c r="E1717" s="20" t="str">
        <f>IFERROR(INDEX([3]AGM!$D$21:$BL$928,MATCH($B1717,[3]AGM!$AD$21:$AD$928,0),1),"NA")</f>
        <v>OS</v>
      </c>
      <c r="F1717" s="20" t="str">
        <f t="shared" si="86"/>
        <v>Block 48</v>
      </c>
      <c r="G1717" s="20" t="str">
        <f t="shared" si="85"/>
        <v>Lot 08</v>
      </c>
      <c r="H1717" s="20">
        <f>IFERROR(INDEX('[2]PRICELIST, 908u'!$G$7:$AX$914,MATCH($B1717,'[2]PRICELIST, 908u'!$G$7:$G$914,0),23),"NA")</f>
        <v>50</v>
      </c>
      <c r="I1717" s="20">
        <f>IFERROR(INDEX('[2]PRICELIST, 908u'!$G$7:$AX$914,MATCH($B1717,'[2]PRICELIST, 908u'!$G$7:$G$914,0),22),"NA")</f>
        <v>80</v>
      </c>
      <c r="J1717" s="20" t="s">
        <v>207</v>
      </c>
      <c r="K1717" s="20" t="str">
        <f>IFERROR(INDEX('[2]PRICELIST, 908u'!$G$7:$AX$914,MATCH($B1717,'[2]PRICELIST, 908u'!$G$7:$G$914,0),30),"NA")</f>
        <v>Slant / PURPLE</v>
      </c>
      <c r="L1717" s="20">
        <f>IFERROR(INDEX('[2]PRICELIST, 908u'!$G$7:$AX$914,MATCH($B1717,'[2]PRICELIST, 908u'!$G$7:$G$914,0),40),"NA")</f>
        <v>2800000</v>
      </c>
      <c r="M1717" s="20">
        <f>IFERROR(INDEX('[2]PRICELIST, 908u'!$G$7:$AX$914,MATCH($B1717,'[2]PRICELIST, 908u'!$G$7:$G$914,0),41),"NA")</f>
        <v>100000</v>
      </c>
      <c r="N1717" s="58">
        <f t="shared" si="88"/>
        <v>2700000</v>
      </c>
      <c r="O1717" s="60"/>
      <c r="P1717" s="60">
        <f t="shared" si="87"/>
        <v>2700000</v>
      </c>
    </row>
    <row r="1718" spans="2:16">
      <c r="B1718" s="20" t="s">
        <v>1869</v>
      </c>
      <c r="C1718" s="20" t="s">
        <v>2</v>
      </c>
      <c r="D1718" s="20" t="str">
        <f>IFERROR(INDEX('[2]PRICELIST, 908u'!$G$7:$AX$914,MATCH($B1718,'[2]PRICELIST, 908u'!$G$7:$G$914,0),18),"NA")</f>
        <v>2024 Batch</v>
      </c>
      <c r="E1718" s="20" t="str">
        <f>IFERROR(INDEX([3]AGM!$D$21:$BL$928,MATCH($B1718,[3]AGM!$AD$21:$AD$928,0),1),"NA")</f>
        <v>OS</v>
      </c>
      <c r="F1718" s="20" t="str">
        <f t="shared" si="86"/>
        <v>Block 48</v>
      </c>
      <c r="G1718" s="20" t="str">
        <f t="shared" si="85"/>
        <v>Lot 09</v>
      </c>
      <c r="H1718" s="20">
        <f>IFERROR(INDEX('[2]PRICELIST, 908u'!$G$7:$AX$914,MATCH($B1718,'[2]PRICELIST, 908u'!$G$7:$G$914,0),23),"NA")</f>
        <v>50</v>
      </c>
      <c r="I1718" s="20">
        <f>IFERROR(INDEX('[2]PRICELIST, 908u'!$G$7:$AX$914,MATCH($B1718,'[2]PRICELIST, 908u'!$G$7:$G$914,0),22),"NA")</f>
        <v>80</v>
      </c>
      <c r="J1718" s="20" t="s">
        <v>25</v>
      </c>
      <c r="K1718" s="20" t="str">
        <f>IFERROR(INDEX('[2]PRICELIST, 908u'!$G$7:$AX$914,MATCH($B1718,'[2]PRICELIST, 908u'!$G$7:$G$914,0),30),"NA")</f>
        <v>Flat / PINK</v>
      </c>
      <c r="L1718" s="20">
        <f>IFERROR(INDEX('[2]PRICELIST, 908u'!$G$7:$AX$914,MATCH($B1718,'[2]PRICELIST, 908u'!$G$7:$G$914,0),40),"NA")</f>
        <v>3000000</v>
      </c>
      <c r="M1718" s="20">
        <f>IFERROR(INDEX('[2]PRICELIST, 908u'!$G$7:$AX$914,MATCH($B1718,'[2]PRICELIST, 908u'!$G$7:$G$914,0),41),"NA")</f>
        <v>100000</v>
      </c>
      <c r="N1718" s="58">
        <f t="shared" si="88"/>
        <v>2900000</v>
      </c>
      <c r="O1718" s="60"/>
      <c r="P1718" s="60">
        <f t="shared" si="87"/>
        <v>2900000</v>
      </c>
    </row>
    <row r="1719" spans="2:16">
      <c r="B1719" s="20" t="s">
        <v>1870</v>
      </c>
      <c r="C1719" s="20" t="s">
        <v>2</v>
      </c>
      <c r="D1719" s="20" t="str">
        <f>IFERROR(INDEX('[2]PRICELIST, 908u'!$G$7:$AX$914,MATCH($B1719,'[2]PRICELIST, 908u'!$G$7:$G$914,0),18),"NA")</f>
        <v>2024 Batch</v>
      </c>
      <c r="E1719" s="20" t="str">
        <f>IFERROR(INDEX([3]AGM!$D$21:$BL$928,MATCH($B1719,[3]AGM!$AD$21:$AD$928,0),1),"NA")</f>
        <v>TS</v>
      </c>
      <c r="F1719" s="20" t="str">
        <f t="shared" si="86"/>
        <v>Block 48</v>
      </c>
      <c r="G1719" s="20" t="str">
        <f t="shared" si="85"/>
        <v>Lot 10</v>
      </c>
      <c r="H1719" s="20">
        <f>IFERROR(INDEX('[2]PRICELIST, 908u'!$G$7:$AX$914,MATCH($B1719,'[2]PRICELIST, 908u'!$G$7:$G$914,0),23),"NA")</f>
        <v>50</v>
      </c>
      <c r="I1719" s="20">
        <f>IFERROR(INDEX('[2]PRICELIST, 908u'!$G$7:$AX$914,MATCH($B1719,'[2]PRICELIST, 908u'!$G$7:$G$914,0),22),"NA")</f>
        <v>70</v>
      </c>
      <c r="J1719" s="20" t="s">
        <v>25</v>
      </c>
      <c r="K1719" s="20" t="str">
        <f>IFERROR(INDEX('[2]PRICELIST, 908u'!$G$7:$AX$914,MATCH($B1719,'[2]PRICELIST, 908u'!$G$7:$G$914,0),30),"NA")</f>
        <v>Slant / PINK</v>
      </c>
      <c r="L1719" s="20">
        <f>IFERROR(INDEX('[2]PRICELIST, 908u'!$G$7:$AX$914,MATCH($B1719,'[2]PRICELIST, 908u'!$G$7:$G$914,0),40),"NA")</f>
        <v>2850000</v>
      </c>
      <c r="M1719" s="20">
        <f>IFERROR(INDEX('[2]PRICELIST, 908u'!$G$7:$AX$914,MATCH($B1719,'[2]PRICELIST, 908u'!$G$7:$G$914,0),41),"NA")</f>
        <v>100000</v>
      </c>
      <c r="N1719" s="58">
        <f t="shared" si="88"/>
        <v>2750000</v>
      </c>
      <c r="O1719" s="60"/>
      <c r="P1719" s="60">
        <f t="shared" si="87"/>
        <v>2750000</v>
      </c>
    </row>
    <row r="1720" spans="2:16">
      <c r="B1720" s="20" t="s">
        <v>1871</v>
      </c>
      <c r="C1720" s="20" t="s">
        <v>2</v>
      </c>
      <c r="D1720" s="20" t="str">
        <f>IFERROR(INDEX('[2]PRICELIST, 908u'!$G$7:$AX$914,MATCH($B1720,'[2]PRICELIST, 908u'!$G$7:$G$914,0),18),"NA")</f>
        <v>2025 - Batch 1</v>
      </c>
      <c r="E1720" s="20" t="str">
        <f>IFERROR(INDEX([3]AGM!$D$21:$BL$928,MATCH($B1720,[3]AGM!$AD$21:$AD$928,0),1),"NA")</f>
        <v>OS</v>
      </c>
      <c r="F1720" s="20" t="str">
        <f t="shared" si="86"/>
        <v>Block 48</v>
      </c>
      <c r="G1720" s="20" t="str">
        <f t="shared" si="85"/>
        <v>Lot 11</v>
      </c>
      <c r="H1720" s="20">
        <f>IFERROR(INDEX('[2]PRICELIST, 908u'!$G$7:$AX$914,MATCH($B1720,'[2]PRICELIST, 908u'!$G$7:$G$914,0),23),"NA")</f>
        <v>50</v>
      </c>
      <c r="I1720" s="20">
        <f>IFERROR(INDEX('[2]PRICELIST, 908u'!$G$7:$AX$914,MATCH($B1720,'[2]PRICELIST, 908u'!$G$7:$G$914,0),22),"NA")</f>
        <v>70</v>
      </c>
      <c r="J1720" s="20" t="s">
        <v>207</v>
      </c>
      <c r="K1720" s="20" t="str">
        <f>IFERROR(INDEX('[2]PRICELIST, 908u'!$G$7:$AX$914,MATCH($B1720,'[2]PRICELIST, 908u'!$G$7:$G$914,0),30),"NA")</f>
        <v>Slant / PINK</v>
      </c>
      <c r="L1720" s="20">
        <f>IFERROR(INDEX('[2]PRICELIST, 908u'!$G$7:$AX$914,MATCH($B1720,'[2]PRICELIST, 908u'!$G$7:$G$914,0),40),"NA")</f>
        <v>2650000</v>
      </c>
      <c r="M1720" s="20">
        <f>IFERROR(INDEX('[2]PRICELIST, 908u'!$G$7:$AX$914,MATCH($B1720,'[2]PRICELIST, 908u'!$G$7:$G$914,0),41),"NA")</f>
        <v>100000</v>
      </c>
      <c r="N1720" s="58">
        <f t="shared" si="88"/>
        <v>2550000</v>
      </c>
      <c r="O1720" s="60"/>
      <c r="P1720" s="60">
        <f t="shared" si="87"/>
        <v>2550000</v>
      </c>
    </row>
    <row r="1721" spans="2:16">
      <c r="B1721" s="20" t="s">
        <v>1872</v>
      </c>
      <c r="C1721" s="20" t="s">
        <v>2</v>
      </c>
      <c r="D1721" s="20" t="str">
        <f>IFERROR(INDEX('[2]PRICELIST, 908u'!$G$7:$AX$914,MATCH($B1721,'[2]PRICELIST, 908u'!$G$7:$G$914,0),18),"NA")</f>
        <v>2025 - Batch 1</v>
      </c>
      <c r="E1721" s="20" t="str">
        <f>IFERROR(INDEX([3]AGM!$D$21:$BL$928,MATCH($B1721,[3]AGM!$AD$21:$AD$928,0),1),"NA")</f>
        <v>OS</v>
      </c>
      <c r="F1721" s="20" t="str">
        <f t="shared" si="86"/>
        <v>Block 48</v>
      </c>
      <c r="G1721" s="20" t="str">
        <f t="shared" si="85"/>
        <v>Lot 12</v>
      </c>
      <c r="H1721" s="20">
        <f>IFERROR(INDEX('[2]PRICELIST, 908u'!$G$7:$AX$914,MATCH($B1721,'[2]PRICELIST, 908u'!$G$7:$G$914,0),23),"NA")</f>
        <v>50</v>
      </c>
      <c r="I1721" s="20">
        <f>IFERROR(INDEX('[2]PRICELIST, 908u'!$G$7:$AX$914,MATCH($B1721,'[2]PRICELIST, 908u'!$G$7:$G$914,0),22),"NA")</f>
        <v>70</v>
      </c>
      <c r="J1721" s="20" t="s">
        <v>207</v>
      </c>
      <c r="K1721" s="20" t="str">
        <f>IFERROR(INDEX('[2]PRICELIST, 908u'!$G$7:$AX$914,MATCH($B1721,'[2]PRICELIST, 908u'!$G$7:$G$914,0),30),"NA")</f>
        <v>Flat / PINK</v>
      </c>
      <c r="L1721" s="20">
        <f>IFERROR(INDEX('[2]PRICELIST, 908u'!$G$7:$AX$914,MATCH($B1721,'[2]PRICELIST, 908u'!$G$7:$G$914,0),40),"NA")</f>
        <v>2650000</v>
      </c>
      <c r="M1721" s="20">
        <f>IFERROR(INDEX('[2]PRICELIST, 908u'!$G$7:$AX$914,MATCH($B1721,'[2]PRICELIST, 908u'!$G$7:$G$914,0),41),"NA")</f>
        <v>100000</v>
      </c>
      <c r="N1721" s="58">
        <f t="shared" si="88"/>
        <v>2550000</v>
      </c>
      <c r="O1721" s="60"/>
      <c r="P1721" s="60">
        <f t="shared" si="87"/>
        <v>2550000</v>
      </c>
    </row>
    <row r="1722" spans="2:16">
      <c r="B1722" s="20" t="s">
        <v>1873</v>
      </c>
      <c r="C1722" s="20" t="s">
        <v>2</v>
      </c>
      <c r="D1722" s="20" t="str">
        <f>IFERROR(INDEX('[2]PRICELIST, 908u'!$G$7:$AX$914,MATCH($B1722,'[2]PRICELIST, 908u'!$G$7:$G$914,0),18),"NA")</f>
        <v>2025 - Batch 1</v>
      </c>
      <c r="E1722" s="20" t="str">
        <f>IFERROR(INDEX([3]AGM!$D$21:$BL$928,MATCH($B1722,[3]AGM!$AD$21:$AD$928,0),1),"NA")</f>
        <v>OS</v>
      </c>
      <c r="F1722" s="20" t="str">
        <f t="shared" si="86"/>
        <v>Block 48</v>
      </c>
      <c r="G1722" s="20" t="str">
        <f t="shared" si="85"/>
        <v>Lot 13</v>
      </c>
      <c r="H1722" s="20">
        <f>IFERROR(INDEX('[2]PRICELIST, 908u'!$G$7:$AX$914,MATCH($B1722,'[2]PRICELIST, 908u'!$G$7:$G$914,0),23),"NA")</f>
        <v>50</v>
      </c>
      <c r="I1722" s="20">
        <f>IFERROR(INDEX('[2]PRICELIST, 908u'!$G$7:$AX$914,MATCH($B1722,'[2]PRICELIST, 908u'!$G$7:$G$914,0),22),"NA")</f>
        <v>70</v>
      </c>
      <c r="J1722" s="20" t="s">
        <v>207</v>
      </c>
      <c r="K1722" s="20" t="str">
        <f>IFERROR(INDEX('[2]PRICELIST, 908u'!$G$7:$AX$914,MATCH($B1722,'[2]PRICELIST, 908u'!$G$7:$G$914,0),30),"NA")</f>
        <v>Flat / YELLOW</v>
      </c>
      <c r="L1722" s="20">
        <f>IFERROR(INDEX('[2]PRICELIST, 908u'!$G$7:$AX$914,MATCH($B1722,'[2]PRICELIST, 908u'!$G$7:$G$914,0),40),"NA")</f>
        <v>2650000</v>
      </c>
      <c r="M1722" s="20">
        <f>IFERROR(INDEX('[2]PRICELIST, 908u'!$G$7:$AX$914,MATCH($B1722,'[2]PRICELIST, 908u'!$G$7:$G$914,0),41),"NA")</f>
        <v>100000</v>
      </c>
      <c r="N1722" s="58">
        <f t="shared" si="88"/>
        <v>2550000</v>
      </c>
      <c r="O1722" s="60"/>
      <c r="P1722" s="60">
        <f t="shared" si="87"/>
        <v>2550000</v>
      </c>
    </row>
    <row r="1723" spans="2:16">
      <c r="B1723" s="20" t="s">
        <v>1874</v>
      </c>
      <c r="C1723" s="20" t="s">
        <v>2</v>
      </c>
      <c r="D1723" s="20" t="str">
        <f>IFERROR(INDEX('[2]PRICELIST, 908u'!$G$7:$AX$914,MATCH($B1723,'[2]PRICELIST, 908u'!$G$7:$G$914,0),18),"NA")</f>
        <v>2025 - Batch 1</v>
      </c>
      <c r="E1723" s="20" t="str">
        <f>IFERROR(INDEX([3]AGM!$D$21:$BL$928,MATCH($B1723,[3]AGM!$AD$21:$AD$928,0),1),"NA")</f>
        <v>OS</v>
      </c>
      <c r="F1723" s="20" t="str">
        <f t="shared" si="86"/>
        <v>Block 48</v>
      </c>
      <c r="G1723" s="20" t="str">
        <f t="shared" si="85"/>
        <v>Lot 14</v>
      </c>
      <c r="H1723" s="20">
        <f>IFERROR(INDEX('[2]PRICELIST, 908u'!$G$7:$AX$914,MATCH($B1723,'[2]PRICELIST, 908u'!$G$7:$G$914,0),23),"NA")</f>
        <v>50</v>
      </c>
      <c r="I1723" s="20">
        <f>IFERROR(INDEX('[2]PRICELIST, 908u'!$G$7:$AX$914,MATCH($B1723,'[2]PRICELIST, 908u'!$G$7:$G$914,0),22),"NA")</f>
        <v>70</v>
      </c>
      <c r="J1723" s="20" t="s">
        <v>207</v>
      </c>
      <c r="K1723" s="20" t="str">
        <f>IFERROR(INDEX('[2]PRICELIST, 908u'!$G$7:$AX$914,MATCH($B1723,'[2]PRICELIST, 908u'!$G$7:$G$914,0),30),"NA")</f>
        <v>Slant / YELLOW</v>
      </c>
      <c r="L1723" s="20">
        <f>IFERROR(INDEX('[2]PRICELIST, 908u'!$G$7:$AX$914,MATCH($B1723,'[2]PRICELIST, 908u'!$G$7:$G$914,0),40),"NA")</f>
        <v>2650000</v>
      </c>
      <c r="M1723" s="20">
        <f>IFERROR(INDEX('[2]PRICELIST, 908u'!$G$7:$AX$914,MATCH($B1723,'[2]PRICELIST, 908u'!$G$7:$G$914,0),41),"NA")</f>
        <v>100000</v>
      </c>
      <c r="N1723" s="58">
        <f t="shared" si="88"/>
        <v>2550000</v>
      </c>
      <c r="O1723" s="60"/>
      <c r="P1723" s="60">
        <f t="shared" si="87"/>
        <v>2550000</v>
      </c>
    </row>
    <row r="1724" spans="2:16">
      <c r="B1724" s="20" t="s">
        <v>1875</v>
      </c>
      <c r="C1724" s="20" t="s">
        <v>2</v>
      </c>
      <c r="D1724" s="20" t="str">
        <f>IFERROR(INDEX('[2]PRICELIST, 908u'!$G$7:$AX$914,MATCH($B1724,'[2]PRICELIST, 908u'!$G$7:$G$914,0),18),"NA")</f>
        <v>2024 Batch</v>
      </c>
      <c r="E1724" s="20" t="str">
        <f>IFERROR(INDEX([3]AGM!$D$21:$BL$928,MATCH($B1724,[3]AGM!$AD$21:$AD$928,0),1),"NA")</f>
        <v>OS</v>
      </c>
      <c r="F1724" s="20" t="str">
        <f t="shared" si="86"/>
        <v>Block 48</v>
      </c>
      <c r="G1724" s="20" t="str">
        <f t="shared" si="85"/>
        <v>Lot 15</v>
      </c>
      <c r="H1724" s="20">
        <f>IFERROR(INDEX('[2]PRICELIST, 908u'!$G$7:$AX$914,MATCH($B1724,'[2]PRICELIST, 908u'!$G$7:$G$914,0),23),"NA")</f>
        <v>50</v>
      </c>
      <c r="I1724" s="20">
        <f>IFERROR(INDEX('[2]PRICELIST, 908u'!$G$7:$AX$914,MATCH($B1724,'[2]PRICELIST, 908u'!$G$7:$G$914,0),22),"NA")</f>
        <v>70</v>
      </c>
      <c r="J1724" s="20" t="s">
        <v>25</v>
      </c>
      <c r="K1724" s="20" t="str">
        <f>IFERROR(INDEX('[2]PRICELIST, 908u'!$G$7:$AX$914,MATCH($B1724,'[2]PRICELIST, 908u'!$G$7:$G$914,0),30),"NA")</f>
        <v>Slant / YELLOW</v>
      </c>
      <c r="L1724" s="20">
        <f>IFERROR(INDEX('[2]PRICELIST, 908u'!$G$7:$AX$914,MATCH($B1724,'[2]PRICELIST, 908u'!$G$7:$G$914,0),40),"NA")</f>
        <v>2850000</v>
      </c>
      <c r="M1724" s="20">
        <f>IFERROR(INDEX('[2]PRICELIST, 908u'!$G$7:$AX$914,MATCH($B1724,'[2]PRICELIST, 908u'!$G$7:$G$914,0),41),"NA")</f>
        <v>100000</v>
      </c>
      <c r="N1724" s="58">
        <f t="shared" si="88"/>
        <v>2750000</v>
      </c>
      <c r="O1724" s="60"/>
      <c r="P1724" s="60">
        <f t="shared" si="87"/>
        <v>2750000</v>
      </c>
    </row>
    <row r="1725" spans="2:16">
      <c r="B1725" s="20" t="s">
        <v>1876</v>
      </c>
      <c r="C1725" s="20" t="s">
        <v>2</v>
      </c>
      <c r="D1725" s="20" t="str">
        <f>IFERROR(INDEX('[2]PRICELIST, 908u'!$G$7:$AX$914,MATCH($B1725,'[2]PRICELIST, 908u'!$G$7:$G$914,0),18),"NA")</f>
        <v>2024 Batch</v>
      </c>
      <c r="E1725" s="20" t="str">
        <f>IFERROR(INDEX([3]AGM!$D$21:$BL$928,MATCH($B1725,[3]AGM!$AD$21:$AD$928,0),1),"NA")</f>
        <v>OS</v>
      </c>
      <c r="F1725" s="20" t="str">
        <f t="shared" si="86"/>
        <v>Block 48</v>
      </c>
      <c r="G1725" s="20" t="str">
        <f t="shared" si="85"/>
        <v>Lot 16</v>
      </c>
      <c r="H1725" s="20">
        <f>IFERROR(INDEX('[2]PRICELIST, 908u'!$G$7:$AX$914,MATCH($B1725,'[2]PRICELIST, 908u'!$G$7:$G$914,0),23),"NA")</f>
        <v>50</v>
      </c>
      <c r="I1725" s="20">
        <f>IFERROR(INDEX('[2]PRICELIST, 908u'!$G$7:$AX$914,MATCH($B1725,'[2]PRICELIST, 908u'!$G$7:$G$914,0),22),"NA")</f>
        <v>100</v>
      </c>
      <c r="J1725" s="20" t="s">
        <v>25</v>
      </c>
      <c r="K1725" s="20" t="str">
        <f>IFERROR(INDEX('[2]PRICELIST, 908u'!$G$7:$AX$914,MATCH($B1725,'[2]PRICELIST, 908u'!$G$7:$G$914,0),30),"NA")</f>
        <v>Flat / YELLOW</v>
      </c>
      <c r="L1725" s="20">
        <f>IFERROR(INDEX('[2]PRICELIST, 908u'!$G$7:$AX$914,MATCH($B1725,'[2]PRICELIST, 908u'!$G$7:$G$914,0),40),"NA")</f>
        <v>3300000</v>
      </c>
      <c r="M1725" s="20">
        <f>IFERROR(INDEX('[2]PRICELIST, 908u'!$G$7:$AX$914,MATCH($B1725,'[2]PRICELIST, 908u'!$G$7:$G$914,0),41),"NA")</f>
        <v>100000</v>
      </c>
      <c r="N1725" s="58">
        <f t="shared" si="88"/>
        <v>3200000</v>
      </c>
      <c r="O1725" s="60"/>
      <c r="P1725" s="60">
        <f t="shared" si="87"/>
        <v>3200000</v>
      </c>
    </row>
    <row r="1726" spans="2:16">
      <c r="B1726" s="20" t="s">
        <v>1877</v>
      </c>
      <c r="C1726" s="20" t="s">
        <v>2</v>
      </c>
      <c r="D1726" s="20" t="str">
        <f>IFERROR(INDEX('[2]PRICELIST, 908u'!$G$7:$AX$914,MATCH($B1726,'[2]PRICELIST, 908u'!$G$7:$G$914,0),18),"NA")</f>
        <v>2025 - Batch 2</v>
      </c>
      <c r="E1726" s="20" t="str">
        <f>IFERROR(INDEX([3]AGM!$D$21:$BL$928,MATCH($B1726,[3]AGM!$AD$21:$AD$928,0),1),"NA")</f>
        <v>OS</v>
      </c>
      <c r="F1726" s="20" t="str">
        <f t="shared" si="86"/>
        <v>Block 49</v>
      </c>
      <c r="G1726" s="20" t="str">
        <f t="shared" si="85"/>
        <v>Lot 01</v>
      </c>
      <c r="H1726" s="20">
        <f>IFERROR(INDEX('[2]PRICELIST, 908u'!$G$7:$AX$914,MATCH($B1726,'[2]PRICELIST, 908u'!$G$7:$G$914,0),23),"NA")</f>
        <v>50</v>
      </c>
      <c r="I1726" s="20">
        <f>IFERROR(INDEX('[2]PRICELIST, 908u'!$G$7:$AX$914,MATCH($B1726,'[2]PRICELIST, 908u'!$G$7:$G$914,0),22),"NA")</f>
        <v>100</v>
      </c>
      <c r="J1726" s="20" t="s">
        <v>207</v>
      </c>
      <c r="K1726" s="20" t="str">
        <f>IFERROR(INDEX('[2]PRICELIST, 908u'!$G$7:$AX$914,MATCH($B1726,'[2]PRICELIST, 908u'!$G$7:$G$914,0),30),"NA")</f>
        <v>Flat / GREEN</v>
      </c>
      <c r="L1726" s="20">
        <f>IFERROR(INDEX('[2]PRICELIST, 908u'!$G$7:$AX$914,MATCH($B1726,'[2]PRICELIST, 908u'!$G$7:$G$914,0),40),"NA")</f>
        <v>3100000</v>
      </c>
      <c r="M1726" s="20">
        <f>IFERROR(INDEX('[2]PRICELIST, 908u'!$G$7:$AX$914,MATCH($B1726,'[2]PRICELIST, 908u'!$G$7:$G$914,0),41),"NA")</f>
        <v>100000</v>
      </c>
      <c r="N1726" s="58">
        <f t="shared" si="88"/>
        <v>3000000</v>
      </c>
      <c r="O1726" s="60"/>
      <c r="P1726" s="60">
        <f t="shared" si="87"/>
        <v>3000000</v>
      </c>
    </row>
    <row r="1727" spans="2:16">
      <c r="B1727" s="20" t="s">
        <v>1878</v>
      </c>
      <c r="C1727" s="20" t="s">
        <v>2</v>
      </c>
      <c r="D1727" s="20" t="str">
        <f>IFERROR(INDEX('[2]PRICELIST, 908u'!$G$7:$AX$914,MATCH($B1727,'[2]PRICELIST, 908u'!$G$7:$G$914,0),18),"NA")</f>
        <v>2024 Batch</v>
      </c>
      <c r="E1727" s="20" t="str">
        <f>IFERROR(INDEX([3]AGM!$D$21:$BL$928,MATCH($B1727,[3]AGM!$AD$21:$AD$928,0),1),"NA")</f>
        <v>OS</v>
      </c>
      <c r="F1727" s="20" t="str">
        <f t="shared" si="86"/>
        <v>Block 49</v>
      </c>
      <c r="G1727" s="20" t="str">
        <f t="shared" si="85"/>
        <v>Lot 02</v>
      </c>
      <c r="H1727" s="20">
        <f>IFERROR(INDEX('[2]PRICELIST, 908u'!$G$7:$AX$914,MATCH($B1727,'[2]PRICELIST, 908u'!$G$7:$G$914,0),23),"NA")</f>
        <v>50</v>
      </c>
      <c r="I1727" s="20">
        <f>IFERROR(INDEX('[2]PRICELIST, 908u'!$G$7:$AX$914,MATCH($B1727,'[2]PRICELIST, 908u'!$G$7:$G$914,0),22),"NA")</f>
        <v>70</v>
      </c>
      <c r="J1727" s="20" t="s">
        <v>207</v>
      </c>
      <c r="K1727" s="20" t="str">
        <f>IFERROR(INDEX('[2]PRICELIST, 908u'!$G$7:$AX$914,MATCH($B1727,'[2]PRICELIST, 908u'!$G$7:$G$914,0),30),"NA")</f>
        <v>Flat / PINK</v>
      </c>
      <c r="L1727" s="20">
        <f>IFERROR(INDEX('[2]PRICELIST, 908u'!$G$7:$AX$914,MATCH($B1727,'[2]PRICELIST, 908u'!$G$7:$G$914,0),40),"NA")</f>
        <v>2650000</v>
      </c>
      <c r="M1727" s="20">
        <f>IFERROR(INDEX('[2]PRICELIST, 908u'!$G$7:$AX$914,MATCH($B1727,'[2]PRICELIST, 908u'!$G$7:$G$914,0),41),"NA")</f>
        <v>100000</v>
      </c>
      <c r="N1727" s="58">
        <f t="shared" si="88"/>
        <v>2550000</v>
      </c>
      <c r="O1727" s="60"/>
      <c r="P1727" s="60">
        <f t="shared" si="87"/>
        <v>2550000</v>
      </c>
    </row>
    <row r="1728" spans="2:16">
      <c r="B1728" s="20" t="s">
        <v>1879</v>
      </c>
      <c r="C1728" s="20" t="s">
        <v>2</v>
      </c>
      <c r="D1728" s="20" t="str">
        <f>IFERROR(INDEX('[2]PRICELIST, 908u'!$G$7:$AX$914,MATCH($B1728,'[2]PRICELIST, 908u'!$G$7:$G$914,0),18),"NA")</f>
        <v>2024 Batch</v>
      </c>
      <c r="E1728" s="20" t="str">
        <f>IFERROR(INDEX([3]AGM!$D$21:$BL$928,MATCH($B1728,[3]AGM!$AD$21:$AD$928,0),1),"NA")</f>
        <v>OS</v>
      </c>
      <c r="F1728" s="20" t="str">
        <f t="shared" si="86"/>
        <v>Block 49</v>
      </c>
      <c r="G1728" s="20" t="str">
        <f t="shared" si="85"/>
        <v>Lot 03</v>
      </c>
      <c r="H1728" s="20">
        <f>IFERROR(INDEX('[2]PRICELIST, 908u'!$G$7:$AX$914,MATCH($B1728,'[2]PRICELIST, 908u'!$G$7:$G$914,0),23),"NA")</f>
        <v>50</v>
      </c>
      <c r="I1728" s="20">
        <f>IFERROR(INDEX('[2]PRICELIST, 908u'!$G$7:$AX$914,MATCH($B1728,'[2]PRICELIST, 908u'!$G$7:$G$914,0),22),"NA")</f>
        <v>70</v>
      </c>
      <c r="J1728" s="20" t="s">
        <v>25</v>
      </c>
      <c r="K1728" s="20" t="str">
        <f>IFERROR(INDEX('[2]PRICELIST, 908u'!$G$7:$AX$914,MATCH($B1728,'[2]PRICELIST, 908u'!$G$7:$G$914,0),30),"NA")</f>
        <v>Slant / PINK</v>
      </c>
      <c r="L1728" s="20">
        <f>IFERROR(INDEX('[2]PRICELIST, 908u'!$G$7:$AX$914,MATCH($B1728,'[2]PRICELIST, 908u'!$G$7:$G$914,0),40),"NA")</f>
        <v>2850000</v>
      </c>
      <c r="M1728" s="20">
        <f>IFERROR(INDEX('[2]PRICELIST, 908u'!$G$7:$AX$914,MATCH($B1728,'[2]PRICELIST, 908u'!$G$7:$G$914,0),41),"NA")</f>
        <v>100000</v>
      </c>
      <c r="N1728" s="58">
        <f t="shared" si="88"/>
        <v>2750000</v>
      </c>
      <c r="O1728" s="60"/>
      <c r="P1728" s="60">
        <f t="shared" si="87"/>
        <v>2750000</v>
      </c>
    </row>
    <row r="1729" spans="2:16">
      <c r="B1729" s="20" t="s">
        <v>1880</v>
      </c>
      <c r="C1729" s="20" t="s">
        <v>2</v>
      </c>
      <c r="D1729" s="20" t="str">
        <f>IFERROR(INDEX('[2]PRICELIST, 908u'!$G$7:$AX$914,MATCH($B1729,'[2]PRICELIST, 908u'!$G$7:$G$914,0),18),"NA")</f>
        <v>2025 - Batch 2</v>
      </c>
      <c r="E1729" s="20" t="str">
        <f>IFERROR(INDEX([3]AGM!$D$21:$BL$928,MATCH($B1729,[3]AGM!$AD$21:$AD$928,0),1),"NA")</f>
        <v>OS</v>
      </c>
      <c r="F1729" s="20" t="str">
        <f t="shared" si="86"/>
        <v>Block 49</v>
      </c>
      <c r="G1729" s="20" t="str">
        <f t="shared" si="85"/>
        <v>Lot 04</v>
      </c>
      <c r="H1729" s="20">
        <f>IFERROR(INDEX('[2]PRICELIST, 908u'!$G$7:$AX$914,MATCH($B1729,'[2]PRICELIST, 908u'!$G$7:$G$914,0),23),"NA")</f>
        <v>50</v>
      </c>
      <c r="I1729" s="20">
        <f>IFERROR(INDEX('[2]PRICELIST, 908u'!$G$7:$AX$914,MATCH($B1729,'[2]PRICELIST, 908u'!$G$7:$G$914,0),22),"NA")</f>
        <v>70</v>
      </c>
      <c r="J1729" s="20" t="s">
        <v>207</v>
      </c>
      <c r="K1729" s="20" t="str">
        <f>IFERROR(INDEX('[2]PRICELIST, 908u'!$G$7:$AX$914,MATCH($B1729,'[2]PRICELIST, 908u'!$G$7:$G$914,0),30),"NA")</f>
        <v>Slant / PINK</v>
      </c>
      <c r="L1729" s="20">
        <f>IFERROR(INDEX('[2]PRICELIST, 908u'!$G$7:$AX$914,MATCH($B1729,'[2]PRICELIST, 908u'!$G$7:$G$914,0),40),"NA")</f>
        <v>2650000</v>
      </c>
      <c r="M1729" s="20">
        <f>IFERROR(INDEX('[2]PRICELIST, 908u'!$G$7:$AX$914,MATCH($B1729,'[2]PRICELIST, 908u'!$G$7:$G$914,0),41),"NA")</f>
        <v>100000</v>
      </c>
      <c r="N1729" s="58">
        <f t="shared" si="88"/>
        <v>2550000</v>
      </c>
      <c r="O1729" s="60"/>
      <c r="P1729" s="60">
        <f t="shared" si="87"/>
        <v>2550000</v>
      </c>
    </row>
    <row r="1730" spans="2:16">
      <c r="B1730" s="20" t="s">
        <v>1881</v>
      </c>
      <c r="C1730" s="20" t="s">
        <v>2</v>
      </c>
      <c r="D1730" s="20" t="str">
        <f>IFERROR(INDEX('[2]PRICELIST, 908u'!$G$7:$AX$914,MATCH($B1730,'[2]PRICELIST, 908u'!$G$7:$G$914,0),18),"NA")</f>
        <v>2025 - Batch 2</v>
      </c>
      <c r="E1730" s="20" t="str">
        <f>IFERROR(INDEX([3]AGM!$D$21:$BL$928,MATCH($B1730,[3]AGM!$AD$21:$AD$928,0),1),"NA")</f>
        <v>OS</v>
      </c>
      <c r="F1730" s="20" t="str">
        <f t="shared" si="86"/>
        <v>Block 49</v>
      </c>
      <c r="G1730" s="20" t="str">
        <f t="shared" si="85"/>
        <v>Lot 05</v>
      </c>
      <c r="H1730" s="20">
        <f>IFERROR(INDEX('[2]PRICELIST, 908u'!$G$7:$AX$914,MATCH($B1730,'[2]PRICELIST, 908u'!$G$7:$G$914,0),23),"NA")</f>
        <v>50</v>
      </c>
      <c r="I1730" s="20">
        <f>IFERROR(INDEX('[2]PRICELIST, 908u'!$G$7:$AX$914,MATCH($B1730,'[2]PRICELIST, 908u'!$G$7:$G$914,0),22),"NA")</f>
        <v>70</v>
      </c>
      <c r="J1730" s="20" t="s">
        <v>207</v>
      </c>
      <c r="K1730" s="20" t="str">
        <f>IFERROR(INDEX('[2]PRICELIST, 908u'!$G$7:$AX$914,MATCH($B1730,'[2]PRICELIST, 908u'!$G$7:$G$914,0),30),"NA")</f>
        <v>Flat / PINK</v>
      </c>
      <c r="L1730" s="20">
        <f>IFERROR(INDEX('[2]PRICELIST, 908u'!$G$7:$AX$914,MATCH($B1730,'[2]PRICELIST, 908u'!$G$7:$G$914,0),40),"NA")</f>
        <v>2650000</v>
      </c>
      <c r="M1730" s="20">
        <f>IFERROR(INDEX('[2]PRICELIST, 908u'!$G$7:$AX$914,MATCH($B1730,'[2]PRICELIST, 908u'!$G$7:$G$914,0),41),"NA")</f>
        <v>100000</v>
      </c>
      <c r="N1730" s="58">
        <f t="shared" si="88"/>
        <v>2550000</v>
      </c>
      <c r="O1730" s="60"/>
      <c r="P1730" s="60">
        <f t="shared" si="87"/>
        <v>2550000</v>
      </c>
    </row>
    <row r="1731" spans="2:16">
      <c r="B1731" s="20" t="s">
        <v>1882</v>
      </c>
      <c r="C1731" s="20" t="s">
        <v>2</v>
      </c>
      <c r="D1731" s="20" t="str">
        <f>IFERROR(INDEX('[2]PRICELIST, 908u'!$G$7:$AX$914,MATCH($B1731,'[2]PRICELIST, 908u'!$G$7:$G$914,0),18),"NA")</f>
        <v>2025 - Batch 2</v>
      </c>
      <c r="E1731" s="20" t="str">
        <f>IFERROR(INDEX([3]AGM!$D$21:$BL$928,MATCH($B1731,[3]AGM!$AD$21:$AD$928,0),1),"NA")</f>
        <v>OS</v>
      </c>
      <c r="F1731" s="20" t="str">
        <f t="shared" si="86"/>
        <v>Block 49</v>
      </c>
      <c r="G1731" s="20" t="str">
        <f t="shared" si="85"/>
        <v>Lot 06</v>
      </c>
      <c r="H1731" s="20">
        <f>IFERROR(INDEX('[2]PRICELIST, 908u'!$G$7:$AX$914,MATCH($B1731,'[2]PRICELIST, 908u'!$G$7:$G$914,0),23),"NA")</f>
        <v>50</v>
      </c>
      <c r="I1731" s="20">
        <f>IFERROR(INDEX('[2]PRICELIST, 908u'!$G$7:$AX$914,MATCH($B1731,'[2]PRICELIST, 908u'!$G$7:$G$914,0),22),"NA")</f>
        <v>70</v>
      </c>
      <c r="J1731" s="20" t="s">
        <v>207</v>
      </c>
      <c r="K1731" s="20" t="str">
        <f>IFERROR(INDEX('[2]PRICELIST, 908u'!$G$7:$AX$914,MATCH($B1731,'[2]PRICELIST, 908u'!$G$7:$G$914,0),30),"NA")</f>
        <v>Flat / GREEN</v>
      </c>
      <c r="L1731" s="20">
        <f>IFERROR(INDEX('[2]PRICELIST, 908u'!$G$7:$AX$914,MATCH($B1731,'[2]PRICELIST, 908u'!$G$7:$G$914,0),40),"NA")</f>
        <v>2650000</v>
      </c>
      <c r="M1731" s="20">
        <f>IFERROR(INDEX('[2]PRICELIST, 908u'!$G$7:$AX$914,MATCH($B1731,'[2]PRICELIST, 908u'!$G$7:$G$914,0),41),"NA")</f>
        <v>100000</v>
      </c>
      <c r="N1731" s="58">
        <f t="shared" si="88"/>
        <v>2550000</v>
      </c>
      <c r="O1731" s="60"/>
      <c r="P1731" s="60">
        <f t="shared" si="87"/>
        <v>2550000</v>
      </c>
    </row>
    <row r="1732" spans="2:16">
      <c r="B1732" s="20" t="s">
        <v>1883</v>
      </c>
      <c r="C1732" s="20" t="s">
        <v>2</v>
      </c>
      <c r="D1732" s="20" t="str">
        <f>IFERROR(INDEX('[2]PRICELIST, 908u'!$G$7:$AX$914,MATCH($B1732,'[2]PRICELIST, 908u'!$G$7:$G$914,0),18),"NA")</f>
        <v>2025 - Batch 2</v>
      </c>
      <c r="E1732" s="20" t="str">
        <f>IFERROR(INDEX([3]AGM!$D$21:$BL$928,MATCH($B1732,[3]AGM!$AD$21:$AD$928,0),1),"NA")</f>
        <v>OS</v>
      </c>
      <c r="F1732" s="20" t="str">
        <f t="shared" si="86"/>
        <v>Block 49</v>
      </c>
      <c r="G1732" s="20" t="str">
        <f t="shared" si="85"/>
        <v>Lot 07</v>
      </c>
      <c r="H1732" s="20">
        <f>IFERROR(INDEX('[2]PRICELIST, 908u'!$G$7:$AX$914,MATCH($B1732,'[2]PRICELIST, 908u'!$G$7:$G$914,0),23),"NA")</f>
        <v>50</v>
      </c>
      <c r="I1732" s="20">
        <f>IFERROR(INDEX('[2]PRICELIST, 908u'!$G$7:$AX$914,MATCH($B1732,'[2]PRICELIST, 908u'!$G$7:$G$914,0),22),"NA")</f>
        <v>70</v>
      </c>
      <c r="J1732" s="20" t="s">
        <v>207</v>
      </c>
      <c r="K1732" s="20" t="str">
        <f>IFERROR(INDEX('[2]PRICELIST, 908u'!$G$7:$AX$914,MATCH($B1732,'[2]PRICELIST, 908u'!$G$7:$G$914,0),30),"NA")</f>
        <v>Slant / GREEN</v>
      </c>
      <c r="L1732" s="20">
        <f>IFERROR(INDEX('[2]PRICELIST, 908u'!$G$7:$AX$914,MATCH($B1732,'[2]PRICELIST, 908u'!$G$7:$G$914,0),40),"NA")</f>
        <v>2650000</v>
      </c>
      <c r="M1732" s="20">
        <f>IFERROR(INDEX('[2]PRICELIST, 908u'!$G$7:$AX$914,MATCH($B1732,'[2]PRICELIST, 908u'!$G$7:$G$914,0),41),"NA")</f>
        <v>100000</v>
      </c>
      <c r="N1732" s="58">
        <f t="shared" si="88"/>
        <v>2550000</v>
      </c>
      <c r="O1732" s="60"/>
      <c r="P1732" s="60">
        <f t="shared" si="87"/>
        <v>2550000</v>
      </c>
    </row>
    <row r="1733" spans="2:16">
      <c r="B1733" s="20" t="s">
        <v>1884</v>
      </c>
      <c r="C1733" s="20" t="s">
        <v>2</v>
      </c>
      <c r="D1733" s="20" t="str">
        <f>IFERROR(INDEX('[2]PRICELIST, 908u'!$G$7:$AX$914,MATCH($B1733,'[2]PRICELIST, 908u'!$G$7:$G$914,0),18),"NA")</f>
        <v>2024 Batch</v>
      </c>
      <c r="E1733" s="20" t="str">
        <f>IFERROR(INDEX([3]AGM!$D$21:$BL$928,MATCH($B1733,[3]AGM!$AD$21:$AD$928,0),1),"NA")</f>
        <v>OS</v>
      </c>
      <c r="F1733" s="20" t="str">
        <f t="shared" si="86"/>
        <v>Block 49</v>
      </c>
      <c r="G1733" s="20" t="str">
        <f t="shared" si="85"/>
        <v>Lot 08</v>
      </c>
      <c r="H1733" s="20">
        <f>IFERROR(INDEX('[2]PRICELIST, 908u'!$G$7:$AX$914,MATCH($B1733,'[2]PRICELIST, 908u'!$G$7:$G$914,0),23),"NA")</f>
        <v>50</v>
      </c>
      <c r="I1733" s="20">
        <f>IFERROR(INDEX('[2]PRICELIST, 908u'!$G$7:$AX$914,MATCH($B1733,'[2]PRICELIST, 908u'!$G$7:$G$914,0),22),"NA")</f>
        <v>70</v>
      </c>
      <c r="J1733" s="20" t="s">
        <v>25</v>
      </c>
      <c r="K1733" s="20" t="str">
        <f>IFERROR(INDEX('[2]PRICELIST, 908u'!$G$7:$AX$914,MATCH($B1733,'[2]PRICELIST, 908u'!$G$7:$G$914,0),30),"NA")</f>
        <v>Slant / GREEN</v>
      </c>
      <c r="L1733" s="20">
        <f>IFERROR(INDEX('[2]PRICELIST, 908u'!$G$7:$AX$914,MATCH($B1733,'[2]PRICELIST, 908u'!$G$7:$G$914,0),40),"NA")</f>
        <v>2850000</v>
      </c>
      <c r="M1733" s="20">
        <f>IFERROR(INDEX('[2]PRICELIST, 908u'!$G$7:$AX$914,MATCH($B1733,'[2]PRICELIST, 908u'!$G$7:$G$914,0),41),"NA")</f>
        <v>100000</v>
      </c>
      <c r="N1733" s="58">
        <f t="shared" si="88"/>
        <v>2750000</v>
      </c>
      <c r="O1733" s="60"/>
      <c r="P1733" s="60">
        <f t="shared" si="87"/>
        <v>2750000</v>
      </c>
    </row>
    <row r="1734" spans="2:16">
      <c r="B1734" s="20" t="s">
        <v>1885</v>
      </c>
      <c r="C1734" s="20" t="s">
        <v>2</v>
      </c>
      <c r="D1734" s="20" t="str">
        <f>IFERROR(INDEX('[2]PRICELIST, 908u'!$G$7:$AX$914,MATCH($B1734,'[2]PRICELIST, 908u'!$G$7:$G$914,0),18),"NA")</f>
        <v>2024 Batch</v>
      </c>
      <c r="E1734" s="20" t="str">
        <f>IFERROR(INDEX([3]AGM!$D$21:$BL$928,MATCH($B1734,[3]AGM!$AD$21:$AD$928,0),1),"NA")</f>
        <v>OS</v>
      </c>
      <c r="F1734" s="20" t="str">
        <f t="shared" si="86"/>
        <v>Block 49</v>
      </c>
      <c r="G1734" s="20" t="str">
        <f t="shared" si="85"/>
        <v>Lot 09</v>
      </c>
      <c r="H1734" s="20">
        <f>IFERROR(INDEX('[2]PRICELIST, 908u'!$G$7:$AX$914,MATCH($B1734,'[2]PRICELIST, 908u'!$G$7:$G$914,0),23),"NA")</f>
        <v>50</v>
      </c>
      <c r="I1734" s="20">
        <f>IFERROR(INDEX('[2]PRICELIST, 908u'!$G$7:$AX$914,MATCH($B1734,'[2]PRICELIST, 908u'!$G$7:$G$914,0),22),"NA")</f>
        <v>70</v>
      </c>
      <c r="J1734" s="20" t="s">
        <v>25</v>
      </c>
      <c r="K1734" s="20" t="str">
        <f>IFERROR(INDEX('[2]PRICELIST, 908u'!$G$7:$AX$914,MATCH($B1734,'[2]PRICELIST, 908u'!$G$7:$G$914,0),30),"NA")</f>
        <v>Flat / GREEN</v>
      </c>
      <c r="L1734" s="20">
        <f>IFERROR(INDEX('[2]PRICELIST, 908u'!$G$7:$AX$914,MATCH($B1734,'[2]PRICELIST, 908u'!$G$7:$G$914,0),40),"NA")</f>
        <v>2850000</v>
      </c>
      <c r="M1734" s="20">
        <f>IFERROR(INDEX('[2]PRICELIST, 908u'!$G$7:$AX$914,MATCH($B1734,'[2]PRICELIST, 908u'!$G$7:$G$914,0),41),"NA")</f>
        <v>100000</v>
      </c>
      <c r="N1734" s="58">
        <f t="shared" si="88"/>
        <v>2750000</v>
      </c>
      <c r="O1734" s="60"/>
      <c r="P1734" s="60">
        <f t="shared" si="87"/>
        <v>2750000</v>
      </c>
    </row>
    <row r="1735" spans="2:16">
      <c r="B1735" s="20" t="s">
        <v>1886</v>
      </c>
      <c r="C1735" s="20" t="s">
        <v>2</v>
      </c>
      <c r="D1735" s="20" t="str">
        <f>IFERROR(INDEX('[2]PRICELIST, 908u'!$G$7:$AX$914,MATCH($B1735,'[2]PRICELIST, 908u'!$G$7:$G$914,0),18),"NA")</f>
        <v>2024 Batch</v>
      </c>
      <c r="E1735" s="20" t="str">
        <f>IFERROR(INDEX([3]AGM!$D$21:$BL$928,MATCH($B1735,[3]AGM!$AD$21:$AD$928,0),1),"NA")</f>
        <v>OS</v>
      </c>
      <c r="F1735" s="20" t="str">
        <f t="shared" si="86"/>
        <v>Block 49</v>
      </c>
      <c r="G1735" s="20" t="str">
        <f t="shared" si="85"/>
        <v>Lot 10</v>
      </c>
      <c r="H1735" s="20">
        <f>IFERROR(INDEX('[2]PRICELIST, 908u'!$G$7:$AX$914,MATCH($B1735,'[2]PRICELIST, 908u'!$G$7:$G$914,0),23),"NA")</f>
        <v>50</v>
      </c>
      <c r="I1735" s="20">
        <f>IFERROR(INDEX('[2]PRICELIST, 908u'!$G$7:$AX$914,MATCH($B1735,'[2]PRICELIST, 908u'!$G$7:$G$914,0),22),"NA")</f>
        <v>69</v>
      </c>
      <c r="J1735" s="20" t="s">
        <v>25</v>
      </c>
      <c r="K1735" s="20" t="str">
        <f>IFERROR(INDEX('[2]PRICELIST, 908u'!$G$7:$AX$914,MATCH($B1735,'[2]PRICELIST, 908u'!$G$7:$G$914,0),30),"NA")</f>
        <v>Slant / YELLOW</v>
      </c>
      <c r="L1735" s="20">
        <f>IFERROR(INDEX('[2]PRICELIST, 908u'!$G$7:$AX$914,MATCH($B1735,'[2]PRICELIST, 908u'!$G$7:$G$914,0),40),"NA")</f>
        <v>2850000</v>
      </c>
      <c r="M1735" s="20">
        <f>IFERROR(INDEX('[2]PRICELIST, 908u'!$G$7:$AX$914,MATCH($B1735,'[2]PRICELIST, 908u'!$G$7:$G$914,0),41),"NA")</f>
        <v>100000</v>
      </c>
      <c r="N1735" s="58">
        <f t="shared" si="88"/>
        <v>2750000</v>
      </c>
      <c r="O1735" s="60"/>
      <c r="P1735" s="60">
        <f t="shared" si="87"/>
        <v>2750000</v>
      </c>
    </row>
    <row r="1736" spans="2:16">
      <c r="B1736" s="20" t="s">
        <v>1887</v>
      </c>
      <c r="C1736" s="20" t="s">
        <v>2</v>
      </c>
      <c r="D1736" s="20" t="str">
        <f>IFERROR(INDEX('[2]PRICELIST, 908u'!$G$7:$AX$914,MATCH($B1736,'[2]PRICELIST, 908u'!$G$7:$G$914,0),18),"NA")</f>
        <v>2024 Batch</v>
      </c>
      <c r="E1736" s="20" t="str">
        <f>IFERROR(INDEX([3]AGM!$D$21:$BL$928,MATCH($B1736,[3]AGM!$AD$21:$AD$928,0),1),"NA")</f>
        <v>OS</v>
      </c>
      <c r="F1736" s="20" t="str">
        <f t="shared" si="86"/>
        <v>Block 49</v>
      </c>
      <c r="G1736" s="20" t="str">
        <f t="shared" si="85"/>
        <v>Lot 11</v>
      </c>
      <c r="H1736" s="20">
        <f>IFERROR(INDEX('[2]PRICELIST, 908u'!$G$7:$AX$914,MATCH($B1736,'[2]PRICELIST, 908u'!$G$7:$G$914,0),23),"NA")</f>
        <v>50</v>
      </c>
      <c r="I1736" s="20">
        <f>IFERROR(INDEX('[2]PRICELIST, 908u'!$G$7:$AX$914,MATCH($B1736,'[2]PRICELIST, 908u'!$G$7:$G$914,0),22),"NA")</f>
        <v>69</v>
      </c>
      <c r="J1736" s="20" t="s">
        <v>25</v>
      </c>
      <c r="K1736" s="20" t="str">
        <f>IFERROR(INDEX('[2]PRICELIST, 908u'!$G$7:$AX$914,MATCH($B1736,'[2]PRICELIST, 908u'!$G$7:$G$914,0),30),"NA")</f>
        <v>Flat / YELLOW</v>
      </c>
      <c r="L1736" s="20">
        <f>IFERROR(INDEX('[2]PRICELIST, 908u'!$G$7:$AX$914,MATCH($B1736,'[2]PRICELIST, 908u'!$G$7:$G$914,0),40),"NA")</f>
        <v>2850000</v>
      </c>
      <c r="M1736" s="20">
        <f>IFERROR(INDEX('[2]PRICELIST, 908u'!$G$7:$AX$914,MATCH($B1736,'[2]PRICELIST, 908u'!$G$7:$G$914,0),41),"NA")</f>
        <v>100000</v>
      </c>
      <c r="N1736" s="58">
        <f t="shared" si="88"/>
        <v>2750000</v>
      </c>
      <c r="O1736" s="60"/>
      <c r="P1736" s="60">
        <f t="shared" si="87"/>
        <v>2750000</v>
      </c>
    </row>
    <row r="1737" spans="2:16">
      <c r="B1737" s="20" t="s">
        <v>1888</v>
      </c>
      <c r="C1737" s="20" t="s">
        <v>2</v>
      </c>
      <c r="D1737" s="20" t="str">
        <f>IFERROR(INDEX('[2]PRICELIST, 908u'!$G$7:$AX$914,MATCH($B1737,'[2]PRICELIST, 908u'!$G$7:$G$914,0),18),"NA")</f>
        <v>2025 - Batch 2</v>
      </c>
      <c r="E1737" s="20" t="str">
        <f>IFERROR(INDEX([3]AGM!$D$21:$BL$928,MATCH($B1737,[3]AGM!$AD$21:$AD$928,0),1),"NA")</f>
        <v>OS</v>
      </c>
      <c r="F1737" s="20" t="str">
        <f t="shared" si="86"/>
        <v>Block 49</v>
      </c>
      <c r="G1737" s="20" t="str">
        <f t="shared" si="85"/>
        <v>Lot 12</v>
      </c>
      <c r="H1737" s="20">
        <f>IFERROR(INDEX('[2]PRICELIST, 908u'!$G$7:$AX$914,MATCH($B1737,'[2]PRICELIST, 908u'!$G$7:$G$914,0),23),"NA")</f>
        <v>50</v>
      </c>
      <c r="I1737" s="20">
        <f>IFERROR(INDEX('[2]PRICELIST, 908u'!$G$7:$AX$914,MATCH($B1737,'[2]PRICELIST, 908u'!$G$7:$G$914,0),22),"NA")</f>
        <v>70</v>
      </c>
      <c r="J1737" s="20" t="s">
        <v>207</v>
      </c>
      <c r="K1737" s="20" t="str">
        <f>IFERROR(INDEX('[2]PRICELIST, 908u'!$G$7:$AX$914,MATCH($B1737,'[2]PRICELIST, 908u'!$G$7:$G$914,0),30),"NA")</f>
        <v>Flat / YELLOW</v>
      </c>
      <c r="L1737" s="20">
        <f>IFERROR(INDEX('[2]PRICELIST, 908u'!$G$7:$AX$914,MATCH($B1737,'[2]PRICELIST, 908u'!$G$7:$G$914,0),40),"NA")</f>
        <v>2650000</v>
      </c>
      <c r="M1737" s="20">
        <f>IFERROR(INDEX('[2]PRICELIST, 908u'!$G$7:$AX$914,MATCH($B1737,'[2]PRICELIST, 908u'!$G$7:$G$914,0),41),"NA")</f>
        <v>100000</v>
      </c>
      <c r="N1737" s="58">
        <f t="shared" si="88"/>
        <v>2550000</v>
      </c>
      <c r="O1737" s="60"/>
      <c r="P1737" s="60">
        <f t="shared" si="87"/>
        <v>2550000</v>
      </c>
    </row>
    <row r="1738" spans="2:16">
      <c r="B1738" s="20" t="s">
        <v>1889</v>
      </c>
      <c r="C1738" s="20" t="s">
        <v>2</v>
      </c>
      <c r="D1738" s="20" t="str">
        <f>IFERROR(INDEX('[2]PRICELIST, 908u'!$G$7:$AX$914,MATCH($B1738,'[2]PRICELIST, 908u'!$G$7:$G$914,0),18),"NA")</f>
        <v>2025 - Batch 2</v>
      </c>
      <c r="E1738" s="20" t="str">
        <f>IFERROR(INDEX([3]AGM!$D$21:$BL$928,MATCH($B1738,[3]AGM!$AD$21:$AD$928,0),1),"NA")</f>
        <v>OS</v>
      </c>
      <c r="F1738" s="20" t="str">
        <f t="shared" si="86"/>
        <v>Block 49</v>
      </c>
      <c r="G1738" s="20" t="str">
        <f t="shared" si="85"/>
        <v>Lot 13</v>
      </c>
      <c r="H1738" s="20">
        <f>IFERROR(INDEX('[2]PRICELIST, 908u'!$G$7:$AX$914,MATCH($B1738,'[2]PRICELIST, 908u'!$G$7:$G$914,0),23),"NA")</f>
        <v>50</v>
      </c>
      <c r="I1738" s="20">
        <f>IFERROR(INDEX('[2]PRICELIST, 908u'!$G$7:$AX$914,MATCH($B1738,'[2]PRICELIST, 908u'!$G$7:$G$914,0),22),"NA")</f>
        <v>70</v>
      </c>
      <c r="J1738" s="20" t="s">
        <v>207</v>
      </c>
      <c r="K1738" s="20" t="str">
        <f>IFERROR(INDEX('[2]PRICELIST, 908u'!$G$7:$AX$914,MATCH($B1738,'[2]PRICELIST, 908u'!$G$7:$G$914,0),30),"NA")</f>
        <v>Slant / YELLOW</v>
      </c>
      <c r="L1738" s="20">
        <f>IFERROR(INDEX('[2]PRICELIST, 908u'!$G$7:$AX$914,MATCH($B1738,'[2]PRICELIST, 908u'!$G$7:$G$914,0),40),"NA")</f>
        <v>2650000</v>
      </c>
      <c r="M1738" s="20">
        <f>IFERROR(INDEX('[2]PRICELIST, 908u'!$G$7:$AX$914,MATCH($B1738,'[2]PRICELIST, 908u'!$G$7:$G$914,0),41),"NA")</f>
        <v>100000</v>
      </c>
      <c r="N1738" s="58">
        <f t="shared" si="88"/>
        <v>2550000</v>
      </c>
      <c r="O1738" s="60"/>
      <c r="P1738" s="60">
        <f t="shared" si="87"/>
        <v>2550000</v>
      </c>
    </row>
    <row r="1739" spans="2:16">
      <c r="B1739" s="20" t="s">
        <v>1890</v>
      </c>
      <c r="C1739" s="20" t="s">
        <v>2</v>
      </c>
      <c r="D1739" s="20" t="str">
        <f>IFERROR(INDEX('[2]PRICELIST, 908u'!$G$7:$AX$914,MATCH($B1739,'[2]PRICELIST, 908u'!$G$7:$G$914,0),18),"NA")</f>
        <v>2025 - Batch 2</v>
      </c>
      <c r="E1739" s="20" t="str">
        <f>IFERROR(INDEX([3]AGM!$D$21:$BL$928,MATCH($B1739,[3]AGM!$AD$21:$AD$928,0),1),"NA")</f>
        <v>OS</v>
      </c>
      <c r="F1739" s="20" t="str">
        <f t="shared" si="86"/>
        <v>Block 49</v>
      </c>
      <c r="G1739" s="20" t="str">
        <f t="shared" si="85"/>
        <v>Lot 14</v>
      </c>
      <c r="H1739" s="20">
        <f>IFERROR(INDEX('[2]PRICELIST, 908u'!$G$7:$AX$914,MATCH($B1739,'[2]PRICELIST, 908u'!$G$7:$G$914,0),23),"NA")</f>
        <v>50</v>
      </c>
      <c r="I1739" s="20">
        <f>IFERROR(INDEX('[2]PRICELIST, 908u'!$G$7:$AX$914,MATCH($B1739,'[2]PRICELIST, 908u'!$G$7:$G$914,0),22),"NA")</f>
        <v>70</v>
      </c>
      <c r="J1739" s="20" t="s">
        <v>207</v>
      </c>
      <c r="K1739" s="20" t="str">
        <f>IFERROR(INDEX('[2]PRICELIST, 908u'!$G$7:$AX$914,MATCH($B1739,'[2]PRICELIST, 908u'!$G$7:$G$914,0),30),"NA")</f>
        <v>Slant / PURPLE</v>
      </c>
      <c r="L1739" s="20">
        <f>IFERROR(INDEX('[2]PRICELIST, 908u'!$G$7:$AX$914,MATCH($B1739,'[2]PRICELIST, 908u'!$G$7:$G$914,0),40),"NA")</f>
        <v>2650000</v>
      </c>
      <c r="M1739" s="20">
        <f>IFERROR(INDEX('[2]PRICELIST, 908u'!$G$7:$AX$914,MATCH($B1739,'[2]PRICELIST, 908u'!$G$7:$G$914,0),41),"NA")</f>
        <v>100000</v>
      </c>
      <c r="N1739" s="58">
        <f t="shared" si="88"/>
        <v>2550000</v>
      </c>
      <c r="O1739" s="60"/>
      <c r="P1739" s="60">
        <f t="shared" si="87"/>
        <v>2550000</v>
      </c>
    </row>
    <row r="1740" spans="2:16">
      <c r="B1740" s="20" t="s">
        <v>1891</v>
      </c>
      <c r="C1740" s="20" t="s">
        <v>2</v>
      </c>
      <c r="D1740" s="20" t="str">
        <f>IFERROR(INDEX('[2]PRICELIST, 908u'!$G$7:$AX$914,MATCH($B1740,'[2]PRICELIST, 908u'!$G$7:$G$914,0),18),"NA")</f>
        <v>2025 - Batch 2</v>
      </c>
      <c r="E1740" s="20" t="str">
        <f>IFERROR(INDEX([3]AGM!$D$21:$BL$928,MATCH($B1740,[3]AGM!$AD$21:$AD$928,0),1),"NA")</f>
        <v>OS</v>
      </c>
      <c r="F1740" s="20" t="str">
        <f t="shared" si="86"/>
        <v>Block 49</v>
      </c>
      <c r="G1740" s="20" t="str">
        <f t="shared" si="85"/>
        <v>Lot 15</v>
      </c>
      <c r="H1740" s="20">
        <f>IFERROR(INDEX('[2]PRICELIST, 908u'!$G$7:$AX$914,MATCH($B1740,'[2]PRICELIST, 908u'!$G$7:$G$914,0),23),"NA")</f>
        <v>50</v>
      </c>
      <c r="I1740" s="20">
        <f>IFERROR(INDEX('[2]PRICELIST, 908u'!$G$7:$AX$914,MATCH($B1740,'[2]PRICELIST, 908u'!$G$7:$G$914,0),22),"NA")</f>
        <v>70</v>
      </c>
      <c r="J1740" s="20" t="s">
        <v>207</v>
      </c>
      <c r="K1740" s="20" t="str">
        <f>IFERROR(INDEX('[2]PRICELIST, 908u'!$G$7:$AX$914,MATCH($B1740,'[2]PRICELIST, 908u'!$G$7:$G$914,0),30),"NA")</f>
        <v>Flat / PURPLE</v>
      </c>
      <c r="L1740" s="20">
        <f>IFERROR(INDEX('[2]PRICELIST, 908u'!$G$7:$AX$914,MATCH($B1740,'[2]PRICELIST, 908u'!$G$7:$G$914,0),40),"NA")</f>
        <v>2650000</v>
      </c>
      <c r="M1740" s="20">
        <f>IFERROR(INDEX('[2]PRICELIST, 908u'!$G$7:$AX$914,MATCH($B1740,'[2]PRICELIST, 908u'!$G$7:$G$914,0),41),"NA")</f>
        <v>100000</v>
      </c>
      <c r="N1740" s="58">
        <f t="shared" si="88"/>
        <v>2550000</v>
      </c>
      <c r="O1740" s="60"/>
      <c r="P1740" s="60">
        <f t="shared" si="87"/>
        <v>2550000</v>
      </c>
    </row>
    <row r="1741" spans="2:16">
      <c r="B1741" s="20" t="s">
        <v>1892</v>
      </c>
      <c r="C1741" s="20" t="s">
        <v>2</v>
      </c>
      <c r="D1741" s="20" t="str">
        <f>IFERROR(INDEX('[2]PRICELIST, 908u'!$G$7:$AX$914,MATCH($B1741,'[2]PRICELIST, 908u'!$G$7:$G$914,0),18),"NA")</f>
        <v>2024 Batch</v>
      </c>
      <c r="E1741" s="20" t="str">
        <f>IFERROR(INDEX([3]AGM!$D$21:$BL$928,MATCH($B1741,[3]AGM!$AD$21:$AD$928,0),1),"NA")</f>
        <v>OS</v>
      </c>
      <c r="F1741" s="20" t="str">
        <f t="shared" si="86"/>
        <v>Block 49</v>
      </c>
      <c r="G1741" s="20" t="str">
        <f t="shared" si="85"/>
        <v>Lot 16</v>
      </c>
      <c r="H1741" s="20">
        <f>IFERROR(INDEX('[2]PRICELIST, 908u'!$G$7:$AX$914,MATCH($B1741,'[2]PRICELIST, 908u'!$G$7:$G$914,0),23),"NA")</f>
        <v>50</v>
      </c>
      <c r="I1741" s="20">
        <f>IFERROR(INDEX('[2]PRICELIST, 908u'!$G$7:$AX$914,MATCH($B1741,'[2]PRICELIST, 908u'!$G$7:$G$914,0),22),"NA")</f>
        <v>70</v>
      </c>
      <c r="J1741" s="20" t="s">
        <v>25</v>
      </c>
      <c r="K1741" s="20" t="str">
        <f>IFERROR(INDEX('[2]PRICELIST, 908u'!$G$7:$AX$914,MATCH($B1741,'[2]PRICELIST, 908u'!$G$7:$G$914,0),30),"NA")</f>
        <v>Flat / PURPLE</v>
      </c>
      <c r="L1741" s="20">
        <f>IFERROR(INDEX('[2]PRICELIST, 908u'!$G$7:$AX$914,MATCH($B1741,'[2]PRICELIST, 908u'!$G$7:$G$914,0),40),"NA")</f>
        <v>2850000</v>
      </c>
      <c r="M1741" s="20">
        <f>IFERROR(INDEX('[2]PRICELIST, 908u'!$G$7:$AX$914,MATCH($B1741,'[2]PRICELIST, 908u'!$G$7:$G$914,0),41),"NA")</f>
        <v>100000</v>
      </c>
      <c r="N1741" s="58">
        <f t="shared" si="88"/>
        <v>2750000</v>
      </c>
      <c r="O1741" s="60"/>
      <c r="P1741" s="60">
        <f t="shared" si="87"/>
        <v>2750000</v>
      </c>
    </row>
    <row r="1742" spans="2:16">
      <c r="B1742" s="20" t="s">
        <v>1893</v>
      </c>
      <c r="C1742" s="20" t="s">
        <v>2</v>
      </c>
      <c r="D1742" s="20" t="str">
        <f>IFERROR(INDEX('[2]PRICELIST, 908u'!$G$7:$AX$914,MATCH($B1742,'[2]PRICELIST, 908u'!$G$7:$G$914,0),18),"NA")</f>
        <v>2024 Batch</v>
      </c>
      <c r="E1742" s="20" t="str">
        <f>IFERROR(INDEX([3]AGM!$D$21:$BL$928,MATCH($B1742,[3]AGM!$AD$21:$AD$928,0),1),"NA")</f>
        <v>OS</v>
      </c>
      <c r="F1742" s="20" t="str">
        <f t="shared" si="86"/>
        <v>Block 49</v>
      </c>
      <c r="G1742" s="20" t="str">
        <f t="shared" si="85"/>
        <v>Lot 17</v>
      </c>
      <c r="H1742" s="20">
        <f>IFERROR(INDEX('[2]PRICELIST, 908u'!$G$7:$AX$914,MATCH($B1742,'[2]PRICELIST, 908u'!$G$7:$G$914,0),23),"NA")</f>
        <v>50</v>
      </c>
      <c r="I1742" s="20">
        <f>IFERROR(INDEX('[2]PRICELIST, 908u'!$G$7:$AX$914,MATCH($B1742,'[2]PRICELIST, 908u'!$G$7:$G$914,0),22),"NA")</f>
        <v>70</v>
      </c>
      <c r="J1742" s="20" t="s">
        <v>25</v>
      </c>
      <c r="K1742" s="20" t="str">
        <f>IFERROR(INDEX('[2]PRICELIST, 908u'!$G$7:$AX$914,MATCH($B1742,'[2]PRICELIST, 908u'!$G$7:$G$914,0),30),"NA")</f>
        <v>Slant / PURPLE</v>
      </c>
      <c r="L1742" s="20">
        <f>IFERROR(INDEX('[2]PRICELIST, 908u'!$G$7:$AX$914,MATCH($B1742,'[2]PRICELIST, 908u'!$G$7:$G$914,0),40),"NA")</f>
        <v>2850000</v>
      </c>
      <c r="M1742" s="20">
        <f>IFERROR(INDEX('[2]PRICELIST, 908u'!$G$7:$AX$914,MATCH($B1742,'[2]PRICELIST, 908u'!$G$7:$G$914,0),41),"NA")</f>
        <v>100000</v>
      </c>
      <c r="N1742" s="58">
        <f t="shared" si="88"/>
        <v>2750000</v>
      </c>
      <c r="O1742" s="60"/>
      <c r="P1742" s="60">
        <f t="shared" si="87"/>
        <v>2750000</v>
      </c>
    </row>
    <row r="1743" spans="2:16">
      <c r="B1743" s="20" t="s">
        <v>1894</v>
      </c>
      <c r="C1743" s="20" t="s">
        <v>2</v>
      </c>
      <c r="D1743" s="20" t="str">
        <f>IFERROR(INDEX('[2]PRICELIST, 908u'!$G$7:$AX$914,MATCH($B1743,'[2]PRICELIST, 908u'!$G$7:$G$914,0),18),"NA")</f>
        <v>2025 - Batch 2</v>
      </c>
      <c r="E1743" s="20" t="str">
        <f>IFERROR(INDEX([3]AGM!$D$21:$BL$928,MATCH($B1743,[3]AGM!$AD$21:$AD$928,0),1),"NA")</f>
        <v>OS</v>
      </c>
      <c r="F1743" s="20" t="str">
        <f t="shared" si="86"/>
        <v>Block 49</v>
      </c>
      <c r="G1743" s="20" t="str">
        <f t="shared" si="85"/>
        <v>Lot 18</v>
      </c>
      <c r="H1743" s="20">
        <f>IFERROR(INDEX('[2]PRICELIST, 908u'!$G$7:$AX$914,MATCH($B1743,'[2]PRICELIST, 908u'!$G$7:$G$914,0),23),"NA")</f>
        <v>50</v>
      </c>
      <c r="I1743" s="20">
        <f>IFERROR(INDEX('[2]PRICELIST, 908u'!$G$7:$AX$914,MATCH($B1743,'[2]PRICELIST, 908u'!$G$7:$G$914,0),22),"NA")</f>
        <v>101</v>
      </c>
      <c r="J1743" s="20" t="s">
        <v>207</v>
      </c>
      <c r="K1743" s="20" t="str">
        <f>IFERROR(INDEX('[2]PRICELIST, 908u'!$G$7:$AX$914,MATCH($B1743,'[2]PRICELIST, 908u'!$G$7:$G$914,0),30),"NA")</f>
        <v>Slant / GREEN</v>
      </c>
      <c r="L1743" s="20">
        <f>IFERROR(INDEX('[2]PRICELIST, 908u'!$G$7:$AX$914,MATCH($B1743,'[2]PRICELIST, 908u'!$G$7:$G$914,0),40),"NA")</f>
        <v>3115000</v>
      </c>
      <c r="M1743" s="20">
        <f>IFERROR(INDEX('[2]PRICELIST, 908u'!$G$7:$AX$914,MATCH($B1743,'[2]PRICELIST, 908u'!$G$7:$G$914,0),41),"NA")</f>
        <v>100000</v>
      </c>
      <c r="N1743" s="58">
        <f t="shared" si="88"/>
        <v>3015000</v>
      </c>
      <c r="O1743" s="60"/>
      <c r="P1743" s="60">
        <f t="shared" si="87"/>
        <v>3015000</v>
      </c>
    </row>
    <row r="1744" spans="2:16">
      <c r="B1744" s="20" t="s">
        <v>1895</v>
      </c>
      <c r="C1744" s="20" t="s">
        <v>2</v>
      </c>
      <c r="D1744" s="20" t="str">
        <f>IFERROR(INDEX('[2]PRICELIST, 908u'!$G$7:$AX$914,MATCH($B1744,'[2]PRICELIST, 908u'!$G$7:$G$914,0),18),"NA")</f>
        <v>2025 - Batch 1</v>
      </c>
      <c r="E1744" s="20" t="str">
        <f>IFERROR(INDEX([3]AGM!$D$21:$BL$928,MATCH($B1744,[3]AGM!$AD$21:$AD$928,0),1),"NA")</f>
        <v>OS</v>
      </c>
      <c r="F1744" s="20" t="str">
        <f t="shared" si="86"/>
        <v>Block 50</v>
      </c>
      <c r="G1744" s="20" t="str">
        <f t="shared" si="85"/>
        <v>Lot 01</v>
      </c>
      <c r="H1744" s="20">
        <f>IFERROR(INDEX('[2]PRICELIST, 908u'!$G$7:$AX$914,MATCH($B1744,'[2]PRICELIST, 908u'!$G$7:$G$914,0),23),"NA")</f>
        <v>50</v>
      </c>
      <c r="I1744" s="20">
        <f>IFERROR(INDEX('[2]PRICELIST, 908u'!$G$7:$AX$914,MATCH($B1744,'[2]PRICELIST, 908u'!$G$7:$G$914,0),22),"NA")</f>
        <v>100</v>
      </c>
      <c r="J1744" s="20" t="s">
        <v>25</v>
      </c>
      <c r="K1744" s="20" t="str">
        <f>IFERROR(INDEX('[2]PRICELIST, 908u'!$G$7:$AX$914,MATCH($B1744,'[2]PRICELIST, 908u'!$G$7:$G$914,0),30),"NA")</f>
        <v>Slant / GREEN</v>
      </c>
      <c r="L1744" s="20">
        <f>IFERROR(INDEX('[2]PRICELIST, 908u'!$G$7:$AX$914,MATCH($B1744,'[2]PRICELIST, 908u'!$G$7:$G$914,0),40),"NA")</f>
        <v>3300000</v>
      </c>
      <c r="M1744" s="20">
        <f>IFERROR(INDEX('[2]PRICELIST, 908u'!$G$7:$AX$914,MATCH($B1744,'[2]PRICELIST, 908u'!$G$7:$G$914,0),41),"NA")</f>
        <v>100000</v>
      </c>
      <c r="N1744" s="58">
        <f t="shared" si="88"/>
        <v>3200000</v>
      </c>
      <c r="O1744" s="60"/>
      <c r="P1744" s="60">
        <f t="shared" si="87"/>
        <v>3200000</v>
      </c>
    </row>
    <row r="1745" spans="2:16">
      <c r="B1745" s="20" t="s">
        <v>1896</v>
      </c>
      <c r="C1745" s="20" t="s">
        <v>2</v>
      </c>
      <c r="D1745" s="20" t="str">
        <f>IFERROR(INDEX('[2]PRICELIST, 908u'!$G$7:$AX$914,MATCH($B1745,'[2]PRICELIST, 908u'!$G$7:$G$914,0),18),"NA")</f>
        <v>2025 - Batch 1</v>
      </c>
      <c r="E1745" s="20" t="str">
        <f>IFERROR(INDEX([3]AGM!$D$21:$BL$928,MATCH($B1745,[3]AGM!$AD$21:$AD$928,0),1),"NA")</f>
        <v>OS</v>
      </c>
      <c r="F1745" s="20" t="str">
        <f t="shared" si="86"/>
        <v>Block 50</v>
      </c>
      <c r="G1745" s="20" t="str">
        <f t="shared" si="85"/>
        <v>Lot 02</v>
      </c>
      <c r="H1745" s="20">
        <f>IFERROR(INDEX('[2]PRICELIST, 908u'!$G$7:$AX$914,MATCH($B1745,'[2]PRICELIST, 908u'!$G$7:$G$914,0),23),"NA")</f>
        <v>50</v>
      </c>
      <c r="I1745" s="20">
        <f>IFERROR(INDEX('[2]PRICELIST, 908u'!$G$7:$AX$914,MATCH($B1745,'[2]PRICELIST, 908u'!$G$7:$G$914,0),22),"NA")</f>
        <v>70</v>
      </c>
      <c r="J1745" s="20" t="s">
        <v>207</v>
      </c>
      <c r="K1745" s="20" t="str">
        <f>IFERROR(INDEX('[2]PRICELIST, 908u'!$G$7:$AX$914,MATCH($B1745,'[2]PRICELIST, 908u'!$G$7:$G$914,0),30),"NA")</f>
        <v>Flat / GREEN</v>
      </c>
      <c r="L1745" s="20">
        <f>IFERROR(INDEX('[2]PRICELIST, 908u'!$G$7:$AX$914,MATCH($B1745,'[2]PRICELIST, 908u'!$G$7:$G$914,0),40),"NA")</f>
        <v>2650000</v>
      </c>
      <c r="M1745" s="20">
        <f>IFERROR(INDEX('[2]PRICELIST, 908u'!$G$7:$AX$914,MATCH($B1745,'[2]PRICELIST, 908u'!$G$7:$G$914,0),41),"NA")</f>
        <v>100000</v>
      </c>
      <c r="N1745" s="58">
        <f t="shared" si="88"/>
        <v>2550000</v>
      </c>
      <c r="O1745" s="60"/>
      <c r="P1745" s="60">
        <f t="shared" si="87"/>
        <v>2550000</v>
      </c>
    </row>
    <row r="1746" spans="2:16">
      <c r="B1746" s="20" t="s">
        <v>1897</v>
      </c>
      <c r="C1746" s="20" t="s">
        <v>2</v>
      </c>
      <c r="D1746" s="20" t="str">
        <f>IFERROR(INDEX('[2]PRICELIST, 908u'!$G$7:$AX$914,MATCH($B1746,'[2]PRICELIST, 908u'!$G$7:$G$914,0),18),"NA")</f>
        <v>2025 - Batch 1</v>
      </c>
      <c r="E1746" s="20" t="str">
        <f>IFERROR(INDEX([3]AGM!$D$21:$BL$928,MATCH($B1746,[3]AGM!$AD$21:$AD$928,0),1),"NA")</f>
        <v>OS</v>
      </c>
      <c r="F1746" s="20" t="str">
        <f t="shared" si="86"/>
        <v>Block 50</v>
      </c>
      <c r="G1746" s="20" t="str">
        <f t="shared" si="85"/>
        <v>Lot 03</v>
      </c>
      <c r="H1746" s="20">
        <f>IFERROR(INDEX('[2]PRICELIST, 908u'!$G$7:$AX$914,MATCH($B1746,'[2]PRICELIST, 908u'!$G$7:$G$914,0),23),"NA")</f>
        <v>50</v>
      </c>
      <c r="I1746" s="20">
        <f>IFERROR(INDEX('[2]PRICELIST, 908u'!$G$7:$AX$914,MATCH($B1746,'[2]PRICELIST, 908u'!$G$7:$G$914,0),22),"NA")</f>
        <v>70</v>
      </c>
      <c r="J1746" s="20" t="s">
        <v>207</v>
      </c>
      <c r="K1746" s="20" t="str">
        <f>IFERROR(INDEX('[2]PRICELIST, 908u'!$G$7:$AX$914,MATCH($B1746,'[2]PRICELIST, 908u'!$G$7:$G$914,0),30),"NA")</f>
        <v>Flat / GREEN</v>
      </c>
      <c r="L1746" s="20">
        <f>IFERROR(INDEX('[2]PRICELIST, 908u'!$G$7:$AX$914,MATCH($B1746,'[2]PRICELIST, 908u'!$G$7:$G$914,0),40),"NA")</f>
        <v>2650000</v>
      </c>
      <c r="M1746" s="20">
        <f>IFERROR(INDEX('[2]PRICELIST, 908u'!$G$7:$AX$914,MATCH($B1746,'[2]PRICELIST, 908u'!$G$7:$G$914,0),41),"NA")</f>
        <v>100000</v>
      </c>
      <c r="N1746" s="58">
        <f t="shared" si="88"/>
        <v>2550000</v>
      </c>
      <c r="O1746" s="60"/>
      <c r="P1746" s="60">
        <f t="shared" si="87"/>
        <v>2550000</v>
      </c>
    </row>
    <row r="1747" spans="2:16">
      <c r="B1747" s="20" t="s">
        <v>1898</v>
      </c>
      <c r="C1747" s="20" t="s">
        <v>2</v>
      </c>
      <c r="D1747" s="20" t="str">
        <f>IFERROR(INDEX('[2]PRICELIST, 908u'!$G$7:$AX$914,MATCH($B1747,'[2]PRICELIST, 908u'!$G$7:$G$914,0),18),"NA")</f>
        <v>2025 - Batch 1</v>
      </c>
      <c r="E1747" s="20" t="str">
        <f>IFERROR(INDEX([3]AGM!$D$21:$BL$928,MATCH($B1747,[3]AGM!$AD$21:$AD$928,0),1),"NA")</f>
        <v>OS</v>
      </c>
      <c r="F1747" s="20" t="str">
        <f t="shared" si="86"/>
        <v>Block 50</v>
      </c>
      <c r="G1747" s="20" t="str">
        <f t="shared" si="85"/>
        <v>Lot 04</v>
      </c>
      <c r="H1747" s="20">
        <f>IFERROR(INDEX('[2]PRICELIST, 908u'!$G$7:$AX$914,MATCH($B1747,'[2]PRICELIST, 908u'!$G$7:$G$914,0),23),"NA")</f>
        <v>50</v>
      </c>
      <c r="I1747" s="20">
        <f>IFERROR(INDEX('[2]PRICELIST, 908u'!$G$7:$AX$914,MATCH($B1747,'[2]PRICELIST, 908u'!$G$7:$G$914,0),22),"NA")</f>
        <v>70</v>
      </c>
      <c r="J1747" s="20" t="s">
        <v>207</v>
      </c>
      <c r="K1747" s="20" t="str">
        <f>IFERROR(INDEX('[2]PRICELIST, 908u'!$G$7:$AX$914,MATCH($B1747,'[2]PRICELIST, 908u'!$G$7:$G$914,0),30),"NA")</f>
        <v>Slant / GREEN</v>
      </c>
      <c r="L1747" s="20">
        <f>IFERROR(INDEX('[2]PRICELIST, 908u'!$G$7:$AX$914,MATCH($B1747,'[2]PRICELIST, 908u'!$G$7:$G$914,0),40),"NA")</f>
        <v>2650000</v>
      </c>
      <c r="M1747" s="20">
        <f>IFERROR(INDEX('[2]PRICELIST, 908u'!$G$7:$AX$914,MATCH($B1747,'[2]PRICELIST, 908u'!$G$7:$G$914,0),41),"NA")</f>
        <v>100000</v>
      </c>
      <c r="N1747" s="58">
        <f t="shared" si="88"/>
        <v>2550000</v>
      </c>
      <c r="O1747" s="60"/>
      <c r="P1747" s="60">
        <f t="shared" si="87"/>
        <v>2550000</v>
      </c>
    </row>
    <row r="1748" spans="2:16">
      <c r="B1748" s="20" t="s">
        <v>1899</v>
      </c>
      <c r="C1748" s="20" t="s">
        <v>2</v>
      </c>
      <c r="D1748" s="20" t="str">
        <f>IFERROR(INDEX('[2]PRICELIST, 908u'!$G$7:$AX$914,MATCH($B1748,'[2]PRICELIST, 908u'!$G$7:$G$914,0),18),"NA")</f>
        <v>2025 - Batch 1</v>
      </c>
      <c r="E1748" s="20" t="str">
        <f>IFERROR(INDEX([3]AGM!$D$21:$BL$928,MATCH($B1748,[3]AGM!$AD$21:$AD$928,0),1),"NA")</f>
        <v>OS</v>
      </c>
      <c r="F1748" s="20" t="str">
        <f t="shared" si="86"/>
        <v>Block 50</v>
      </c>
      <c r="G1748" s="20" t="str">
        <f t="shared" si="85"/>
        <v>Lot 05</v>
      </c>
      <c r="H1748" s="20">
        <f>IFERROR(INDEX('[2]PRICELIST, 908u'!$G$7:$AX$914,MATCH($B1748,'[2]PRICELIST, 908u'!$G$7:$G$914,0),23),"NA")</f>
        <v>50</v>
      </c>
      <c r="I1748" s="20">
        <f>IFERROR(INDEX('[2]PRICELIST, 908u'!$G$7:$AX$914,MATCH($B1748,'[2]PRICELIST, 908u'!$G$7:$G$914,0),22),"NA")</f>
        <v>70</v>
      </c>
      <c r="J1748" s="20" t="s">
        <v>207</v>
      </c>
      <c r="K1748" s="20" t="str">
        <f>IFERROR(INDEX('[2]PRICELIST, 908u'!$G$7:$AX$914,MATCH($B1748,'[2]PRICELIST, 908u'!$G$7:$G$914,0),30),"NA")</f>
        <v>Slant / PINK</v>
      </c>
      <c r="L1748" s="20">
        <f>IFERROR(INDEX('[2]PRICELIST, 908u'!$G$7:$AX$914,MATCH($B1748,'[2]PRICELIST, 908u'!$G$7:$G$914,0),40),"NA")</f>
        <v>2650000</v>
      </c>
      <c r="M1748" s="20">
        <f>IFERROR(INDEX('[2]PRICELIST, 908u'!$G$7:$AX$914,MATCH($B1748,'[2]PRICELIST, 908u'!$G$7:$G$914,0),41),"NA")</f>
        <v>100000</v>
      </c>
      <c r="N1748" s="58">
        <f t="shared" si="88"/>
        <v>2550000</v>
      </c>
      <c r="O1748" s="60"/>
      <c r="P1748" s="60">
        <f t="shared" si="87"/>
        <v>2550000</v>
      </c>
    </row>
    <row r="1749" spans="2:16">
      <c r="B1749" s="20" t="s">
        <v>1900</v>
      </c>
      <c r="C1749" s="20" t="s">
        <v>2</v>
      </c>
      <c r="D1749" s="20" t="str">
        <f>IFERROR(INDEX('[2]PRICELIST, 908u'!$G$7:$AX$914,MATCH($B1749,'[2]PRICELIST, 908u'!$G$7:$G$914,0),18),"NA")</f>
        <v>2025 - Batch 1</v>
      </c>
      <c r="E1749" s="20" t="str">
        <f>IFERROR(INDEX([3]AGM!$D$21:$BL$928,MATCH($B1749,[3]AGM!$AD$21:$AD$928,0),1),"NA")</f>
        <v>OS</v>
      </c>
      <c r="F1749" s="20" t="str">
        <f t="shared" si="86"/>
        <v>Block 50</v>
      </c>
      <c r="G1749" s="20" t="str">
        <f t="shared" si="85"/>
        <v>Lot 06</v>
      </c>
      <c r="H1749" s="20">
        <f>IFERROR(INDEX('[2]PRICELIST, 908u'!$G$7:$AX$914,MATCH($B1749,'[2]PRICELIST, 908u'!$G$7:$G$914,0),23),"NA")</f>
        <v>50</v>
      </c>
      <c r="I1749" s="20">
        <f>IFERROR(INDEX('[2]PRICELIST, 908u'!$G$7:$AX$914,MATCH($B1749,'[2]PRICELIST, 908u'!$G$7:$G$914,0),22),"NA")</f>
        <v>70</v>
      </c>
      <c r="J1749" s="20" t="s">
        <v>207</v>
      </c>
      <c r="K1749" s="20" t="str">
        <f>IFERROR(INDEX('[2]PRICELIST, 908u'!$G$7:$AX$914,MATCH($B1749,'[2]PRICELIST, 908u'!$G$7:$G$914,0),30),"NA")</f>
        <v>Flat / PINK</v>
      </c>
      <c r="L1749" s="20">
        <f>IFERROR(INDEX('[2]PRICELIST, 908u'!$G$7:$AX$914,MATCH($B1749,'[2]PRICELIST, 908u'!$G$7:$G$914,0),40),"NA")</f>
        <v>2650000</v>
      </c>
      <c r="M1749" s="20">
        <f>IFERROR(INDEX('[2]PRICELIST, 908u'!$G$7:$AX$914,MATCH($B1749,'[2]PRICELIST, 908u'!$G$7:$G$914,0),41),"NA")</f>
        <v>100000</v>
      </c>
      <c r="N1749" s="58">
        <f t="shared" si="88"/>
        <v>2550000</v>
      </c>
      <c r="O1749" s="60"/>
      <c r="P1749" s="60">
        <f t="shared" si="87"/>
        <v>2550000</v>
      </c>
    </row>
    <row r="1750" spans="2:16">
      <c r="B1750" s="20" t="s">
        <v>1901</v>
      </c>
      <c r="C1750" s="20" t="s">
        <v>2</v>
      </c>
      <c r="D1750" s="20" t="str">
        <f>IFERROR(INDEX('[2]PRICELIST, 908u'!$G$7:$AX$914,MATCH($B1750,'[2]PRICELIST, 908u'!$G$7:$G$914,0),18),"NA")</f>
        <v>2025 - Batch 2</v>
      </c>
      <c r="E1750" s="20" t="str">
        <f>IFERROR(INDEX([3]AGM!$D$21:$BL$928,MATCH($B1750,[3]AGM!$AD$21:$AD$928,0),1),"NA")</f>
        <v>OS</v>
      </c>
      <c r="F1750" s="20" t="str">
        <f t="shared" si="86"/>
        <v>Block 50</v>
      </c>
      <c r="G1750" s="20" t="str">
        <f t="shared" si="85"/>
        <v>Lot 07</v>
      </c>
      <c r="H1750" s="20">
        <f>IFERROR(INDEX('[2]PRICELIST, 908u'!$G$7:$AX$914,MATCH($B1750,'[2]PRICELIST, 908u'!$G$7:$G$914,0),23),"NA")</f>
        <v>50</v>
      </c>
      <c r="I1750" s="20">
        <f>IFERROR(INDEX('[2]PRICELIST, 908u'!$G$7:$AX$914,MATCH($B1750,'[2]PRICELIST, 908u'!$G$7:$G$914,0),22),"NA")</f>
        <v>70</v>
      </c>
      <c r="J1750" s="20" t="s">
        <v>25</v>
      </c>
      <c r="K1750" s="20" t="str">
        <f>IFERROR(INDEX('[2]PRICELIST, 908u'!$G$7:$AX$914,MATCH($B1750,'[2]PRICELIST, 908u'!$G$7:$G$914,0),30),"NA")</f>
        <v>Flat / PINK</v>
      </c>
      <c r="L1750" s="20">
        <f>IFERROR(INDEX('[2]PRICELIST, 908u'!$G$7:$AX$914,MATCH($B1750,'[2]PRICELIST, 908u'!$G$7:$G$914,0),40),"NA")</f>
        <v>2850000</v>
      </c>
      <c r="M1750" s="20">
        <f>IFERROR(INDEX('[2]PRICELIST, 908u'!$G$7:$AX$914,MATCH($B1750,'[2]PRICELIST, 908u'!$G$7:$G$914,0),41),"NA")</f>
        <v>100000</v>
      </c>
      <c r="N1750" s="58">
        <f t="shared" si="88"/>
        <v>2750000</v>
      </c>
      <c r="O1750" s="60"/>
      <c r="P1750" s="60">
        <f t="shared" si="87"/>
        <v>2750000</v>
      </c>
    </row>
    <row r="1751" spans="2:16">
      <c r="B1751" s="20" t="s">
        <v>1902</v>
      </c>
      <c r="C1751" s="20" t="s">
        <v>2</v>
      </c>
      <c r="D1751" s="20" t="str">
        <f>IFERROR(INDEX('[2]PRICELIST, 908u'!$G$7:$AX$914,MATCH($B1751,'[2]PRICELIST, 908u'!$G$7:$G$914,0),18),"NA")</f>
        <v>2025 - Batch 2</v>
      </c>
      <c r="E1751" s="20" t="str">
        <f>IFERROR(INDEX([3]AGM!$D$21:$BL$928,MATCH($B1751,[3]AGM!$AD$21:$AD$928,0),1),"NA")</f>
        <v>OS</v>
      </c>
      <c r="F1751" s="20" t="str">
        <f t="shared" si="86"/>
        <v>Block 50</v>
      </c>
      <c r="G1751" s="20" t="str">
        <f t="shared" si="85"/>
        <v>Lot 08</v>
      </c>
      <c r="H1751" s="20">
        <f>IFERROR(INDEX('[2]PRICELIST, 908u'!$G$7:$AX$914,MATCH($B1751,'[2]PRICELIST, 908u'!$G$7:$G$914,0),23),"NA")</f>
        <v>50</v>
      </c>
      <c r="I1751" s="20">
        <f>IFERROR(INDEX('[2]PRICELIST, 908u'!$G$7:$AX$914,MATCH($B1751,'[2]PRICELIST, 908u'!$G$7:$G$914,0),22),"NA")</f>
        <v>80</v>
      </c>
      <c r="J1751" s="20" t="s">
        <v>207</v>
      </c>
      <c r="K1751" s="20" t="str">
        <f>IFERROR(INDEX('[2]PRICELIST, 908u'!$G$7:$AX$914,MATCH($B1751,'[2]PRICELIST, 908u'!$G$7:$G$914,0),30),"NA")</f>
        <v>Slant / PINK</v>
      </c>
      <c r="L1751" s="20">
        <f>IFERROR(INDEX('[2]PRICELIST, 908u'!$G$7:$AX$914,MATCH($B1751,'[2]PRICELIST, 908u'!$G$7:$G$914,0),40),"NA")</f>
        <v>2800000</v>
      </c>
      <c r="M1751" s="20">
        <f>IFERROR(INDEX('[2]PRICELIST, 908u'!$G$7:$AX$914,MATCH($B1751,'[2]PRICELIST, 908u'!$G$7:$G$914,0),41),"NA")</f>
        <v>100000</v>
      </c>
      <c r="N1751" s="58">
        <f t="shared" si="88"/>
        <v>2700000</v>
      </c>
      <c r="O1751" s="60"/>
      <c r="P1751" s="60">
        <f t="shared" si="87"/>
        <v>2700000</v>
      </c>
    </row>
    <row r="1752" spans="2:16">
      <c r="B1752" s="20" t="s">
        <v>1903</v>
      </c>
      <c r="C1752" s="20" t="s">
        <v>2</v>
      </c>
      <c r="D1752" s="20" t="str">
        <f>IFERROR(INDEX('[2]PRICELIST, 908u'!$G$7:$AX$914,MATCH($B1752,'[2]PRICELIST, 908u'!$G$7:$G$914,0),18),"NA")</f>
        <v>2025 - Batch 2</v>
      </c>
      <c r="E1752" s="20" t="str">
        <f>IFERROR(INDEX([3]AGM!$D$21:$BL$928,MATCH($B1752,[3]AGM!$AD$21:$AD$928,0),1),"NA")</f>
        <v>OS</v>
      </c>
      <c r="F1752" s="20" t="str">
        <f t="shared" si="86"/>
        <v>Block 50</v>
      </c>
      <c r="G1752" s="20" t="str">
        <f t="shared" ref="G1752:G1815" si="89">"Lot "&amp;TEXT(VALUE(RIGHT(B1752,3)),"00")</f>
        <v>Lot 09</v>
      </c>
      <c r="H1752" s="20">
        <f>IFERROR(INDEX('[2]PRICELIST, 908u'!$G$7:$AX$914,MATCH($B1752,'[2]PRICELIST, 908u'!$G$7:$G$914,0),23),"NA")</f>
        <v>50</v>
      </c>
      <c r="I1752" s="20">
        <f>IFERROR(INDEX('[2]PRICELIST, 908u'!$G$7:$AX$914,MATCH($B1752,'[2]PRICELIST, 908u'!$G$7:$G$914,0),22),"NA")</f>
        <v>80</v>
      </c>
      <c r="J1752" s="20" t="s">
        <v>25</v>
      </c>
      <c r="K1752" s="20" t="str">
        <f>IFERROR(INDEX('[2]PRICELIST, 908u'!$G$7:$AX$914,MATCH($B1752,'[2]PRICELIST, 908u'!$G$7:$G$914,0),30),"NA")</f>
        <v>Flat / PURPLE</v>
      </c>
      <c r="L1752" s="20">
        <f>IFERROR(INDEX('[2]PRICELIST, 908u'!$G$7:$AX$914,MATCH($B1752,'[2]PRICELIST, 908u'!$G$7:$G$914,0),40),"NA")</f>
        <v>3000000</v>
      </c>
      <c r="M1752" s="20">
        <f>IFERROR(INDEX('[2]PRICELIST, 908u'!$G$7:$AX$914,MATCH($B1752,'[2]PRICELIST, 908u'!$G$7:$G$914,0),41),"NA")</f>
        <v>100000</v>
      </c>
      <c r="N1752" s="58">
        <f t="shared" si="88"/>
        <v>2900000</v>
      </c>
      <c r="O1752" s="60"/>
      <c r="P1752" s="60">
        <f t="shared" si="87"/>
        <v>2900000</v>
      </c>
    </row>
    <row r="1753" spans="2:16">
      <c r="B1753" s="20" t="s">
        <v>1904</v>
      </c>
      <c r="C1753" s="20" t="s">
        <v>2</v>
      </c>
      <c r="D1753" s="20" t="str">
        <f>IFERROR(INDEX('[2]PRICELIST, 908u'!$G$7:$AX$914,MATCH($B1753,'[2]PRICELIST, 908u'!$G$7:$G$914,0),18),"NA")</f>
        <v>2025 - Batch 2</v>
      </c>
      <c r="E1753" s="20" t="str">
        <f>IFERROR(INDEX([3]AGM!$D$21:$BL$928,MATCH($B1753,[3]AGM!$AD$21:$AD$928,0),1),"NA")</f>
        <v>OS</v>
      </c>
      <c r="F1753" s="20" t="str">
        <f t="shared" ref="F1753:F1816" si="90">"Block "&amp;TEXT(VALUE(MID(B1753,8,3)),"00")</f>
        <v>Block 50</v>
      </c>
      <c r="G1753" s="20" t="str">
        <f t="shared" si="89"/>
        <v>Lot 10</v>
      </c>
      <c r="H1753" s="20">
        <f>IFERROR(INDEX('[2]PRICELIST, 908u'!$G$7:$AX$914,MATCH($B1753,'[2]PRICELIST, 908u'!$G$7:$G$914,0),23),"NA")</f>
        <v>50</v>
      </c>
      <c r="I1753" s="20">
        <f>IFERROR(INDEX('[2]PRICELIST, 908u'!$G$7:$AX$914,MATCH($B1753,'[2]PRICELIST, 908u'!$G$7:$G$914,0),22),"NA")</f>
        <v>70</v>
      </c>
      <c r="J1753" s="20" t="s">
        <v>25</v>
      </c>
      <c r="K1753" s="20" t="str">
        <f>IFERROR(INDEX('[2]PRICELIST, 908u'!$G$7:$AX$914,MATCH($B1753,'[2]PRICELIST, 908u'!$G$7:$G$914,0),30),"NA")</f>
        <v>Slant / PURPLE</v>
      </c>
      <c r="L1753" s="20">
        <f>IFERROR(INDEX('[2]PRICELIST, 908u'!$G$7:$AX$914,MATCH($B1753,'[2]PRICELIST, 908u'!$G$7:$G$914,0),40),"NA")</f>
        <v>2850000</v>
      </c>
      <c r="M1753" s="20">
        <f>IFERROR(INDEX('[2]PRICELIST, 908u'!$G$7:$AX$914,MATCH($B1753,'[2]PRICELIST, 908u'!$G$7:$G$914,0),41),"NA")</f>
        <v>100000</v>
      </c>
      <c r="N1753" s="58">
        <f t="shared" si="88"/>
        <v>2750000</v>
      </c>
      <c r="O1753" s="60"/>
      <c r="P1753" s="60">
        <f t="shared" ref="P1753:P1763" si="91">N1753-O1753</f>
        <v>2750000</v>
      </c>
    </row>
    <row r="1754" spans="2:16">
      <c r="B1754" s="20" t="s">
        <v>1905</v>
      </c>
      <c r="C1754" s="20" t="s">
        <v>2</v>
      </c>
      <c r="D1754" s="20" t="str">
        <f>IFERROR(INDEX('[2]PRICELIST, 908u'!$G$7:$AX$914,MATCH($B1754,'[2]PRICELIST, 908u'!$G$7:$G$914,0),18),"NA")</f>
        <v>2025 - Batch 2</v>
      </c>
      <c r="E1754" s="20" t="str">
        <f>IFERROR(INDEX([3]AGM!$D$21:$BL$928,MATCH($B1754,[3]AGM!$AD$21:$AD$928,0),1),"NA")</f>
        <v>OS</v>
      </c>
      <c r="F1754" s="20" t="str">
        <f t="shared" si="90"/>
        <v>Block 50</v>
      </c>
      <c r="G1754" s="20" t="str">
        <f t="shared" si="89"/>
        <v>Lot 11</v>
      </c>
      <c r="H1754" s="20">
        <f>IFERROR(INDEX('[2]PRICELIST, 908u'!$G$7:$AX$914,MATCH($B1754,'[2]PRICELIST, 908u'!$G$7:$G$914,0),23),"NA")</f>
        <v>50</v>
      </c>
      <c r="I1754" s="20">
        <f>IFERROR(INDEX('[2]PRICELIST, 908u'!$G$7:$AX$914,MATCH($B1754,'[2]PRICELIST, 908u'!$G$7:$G$914,0),22),"NA")</f>
        <v>70</v>
      </c>
      <c r="J1754" s="20" t="s">
        <v>25</v>
      </c>
      <c r="K1754" s="20" t="str">
        <f>IFERROR(INDEX('[2]PRICELIST, 908u'!$G$7:$AX$914,MATCH($B1754,'[2]PRICELIST, 908u'!$G$7:$G$914,0),30),"NA")</f>
        <v>Slant / PURPLE</v>
      </c>
      <c r="L1754" s="20">
        <f>IFERROR(INDEX('[2]PRICELIST, 908u'!$G$7:$AX$914,MATCH($B1754,'[2]PRICELIST, 908u'!$G$7:$G$914,0),40),"NA")</f>
        <v>2850000</v>
      </c>
      <c r="M1754" s="20">
        <f>IFERROR(INDEX('[2]PRICELIST, 908u'!$G$7:$AX$914,MATCH($B1754,'[2]PRICELIST, 908u'!$G$7:$G$914,0),41),"NA")</f>
        <v>100000</v>
      </c>
      <c r="N1754" s="58">
        <f t="shared" ref="N1754:N1763" si="92">L1754-M1754</f>
        <v>2750000</v>
      </c>
      <c r="O1754" s="60"/>
      <c r="P1754" s="60">
        <f t="shared" si="91"/>
        <v>2750000</v>
      </c>
    </row>
    <row r="1755" spans="2:16">
      <c r="B1755" s="20" t="s">
        <v>1906</v>
      </c>
      <c r="C1755" s="20" t="s">
        <v>2</v>
      </c>
      <c r="D1755" s="20" t="str">
        <f>IFERROR(INDEX('[2]PRICELIST, 908u'!$G$7:$AX$914,MATCH($B1755,'[2]PRICELIST, 908u'!$G$7:$G$914,0),18),"NA")</f>
        <v>2025 - Batch 2</v>
      </c>
      <c r="E1755" s="20" t="str">
        <f>IFERROR(INDEX([3]AGM!$D$21:$BL$928,MATCH($B1755,[3]AGM!$AD$21:$AD$928,0),1),"NA")</f>
        <v>OS</v>
      </c>
      <c r="F1755" s="20" t="str">
        <f t="shared" si="90"/>
        <v>Block 50</v>
      </c>
      <c r="G1755" s="20" t="str">
        <f t="shared" si="89"/>
        <v>Lot 12</v>
      </c>
      <c r="H1755" s="20">
        <f>IFERROR(INDEX('[2]PRICELIST, 908u'!$G$7:$AX$914,MATCH($B1755,'[2]PRICELIST, 908u'!$G$7:$G$914,0),23),"NA")</f>
        <v>50</v>
      </c>
      <c r="I1755" s="20">
        <f>IFERROR(INDEX('[2]PRICELIST, 908u'!$G$7:$AX$914,MATCH($B1755,'[2]PRICELIST, 908u'!$G$7:$G$914,0),22),"NA")</f>
        <v>70</v>
      </c>
      <c r="J1755" s="20" t="s">
        <v>207</v>
      </c>
      <c r="K1755" s="20" t="str">
        <f>IFERROR(INDEX('[2]PRICELIST, 908u'!$G$7:$AX$914,MATCH($B1755,'[2]PRICELIST, 908u'!$G$7:$G$914,0),30),"NA")</f>
        <v>Flat / PURPLE</v>
      </c>
      <c r="L1755" s="20">
        <f>IFERROR(INDEX('[2]PRICELIST, 908u'!$G$7:$AX$914,MATCH($B1755,'[2]PRICELIST, 908u'!$G$7:$G$914,0),40),"NA")</f>
        <v>2650000</v>
      </c>
      <c r="M1755" s="20">
        <f>IFERROR(INDEX('[2]PRICELIST, 908u'!$G$7:$AX$914,MATCH($B1755,'[2]PRICELIST, 908u'!$G$7:$G$914,0),41),"NA")</f>
        <v>100000</v>
      </c>
      <c r="N1755" s="58">
        <f t="shared" si="92"/>
        <v>2550000</v>
      </c>
      <c r="O1755" s="60"/>
      <c r="P1755" s="60">
        <f t="shared" si="91"/>
        <v>2550000</v>
      </c>
    </row>
    <row r="1756" spans="2:16">
      <c r="B1756" s="20" t="s">
        <v>1907</v>
      </c>
      <c r="C1756" s="20" t="s">
        <v>2</v>
      </c>
      <c r="D1756" s="20" t="str">
        <f>IFERROR(INDEX('[2]PRICELIST, 908u'!$G$7:$AX$914,MATCH($B1756,'[2]PRICELIST, 908u'!$G$7:$G$914,0),18),"NA")</f>
        <v>2024 Batch</v>
      </c>
      <c r="E1756" s="20" t="str">
        <f>IFERROR(INDEX([3]AGM!$D$21:$BL$928,MATCH($B1756,[3]AGM!$AD$21:$AD$928,0),1),"NA")</f>
        <v>OS</v>
      </c>
      <c r="F1756" s="20" t="str">
        <f t="shared" si="90"/>
        <v>Block 50</v>
      </c>
      <c r="G1756" s="20" t="str">
        <f t="shared" si="89"/>
        <v>Lot 13</v>
      </c>
      <c r="H1756" s="20">
        <f>IFERROR(INDEX('[2]PRICELIST, 908u'!$G$7:$AX$914,MATCH($B1756,'[2]PRICELIST, 908u'!$G$7:$G$914,0),23),"NA")</f>
        <v>50</v>
      </c>
      <c r="I1756" s="20">
        <f>IFERROR(INDEX('[2]PRICELIST, 908u'!$G$7:$AX$914,MATCH($B1756,'[2]PRICELIST, 908u'!$G$7:$G$914,0),22),"NA")</f>
        <v>70</v>
      </c>
      <c r="J1756" s="20" t="s">
        <v>25</v>
      </c>
      <c r="K1756" s="20" t="str">
        <f>IFERROR(INDEX('[2]PRICELIST, 908u'!$G$7:$AX$914,MATCH($B1756,'[2]PRICELIST, 908u'!$G$7:$G$914,0),30),"NA")</f>
        <v>Flat / YELLOW</v>
      </c>
      <c r="L1756" s="20">
        <f>IFERROR(INDEX('[2]PRICELIST, 908u'!$G$7:$AX$914,MATCH($B1756,'[2]PRICELIST, 908u'!$G$7:$G$914,0),40),"NA")</f>
        <v>2850000</v>
      </c>
      <c r="M1756" s="20">
        <f>IFERROR(INDEX('[2]PRICELIST, 908u'!$G$7:$AX$914,MATCH($B1756,'[2]PRICELIST, 908u'!$G$7:$G$914,0),41),"NA")</f>
        <v>100000</v>
      </c>
      <c r="N1756" s="58">
        <f t="shared" si="92"/>
        <v>2750000</v>
      </c>
      <c r="O1756" s="60"/>
      <c r="P1756" s="60">
        <f t="shared" si="91"/>
        <v>2750000</v>
      </c>
    </row>
    <row r="1757" spans="2:16">
      <c r="B1757" s="20" t="s">
        <v>1908</v>
      </c>
      <c r="C1757" s="20" t="s">
        <v>2</v>
      </c>
      <c r="D1757" s="20" t="str">
        <f>IFERROR(INDEX('[2]PRICELIST, 908u'!$G$7:$AX$914,MATCH($B1757,'[2]PRICELIST, 908u'!$G$7:$G$914,0),18),"NA")</f>
        <v>2024 Batch</v>
      </c>
      <c r="E1757" s="20" t="str">
        <f>IFERROR(INDEX([3]AGM!$D$21:$BL$928,MATCH($B1757,[3]AGM!$AD$21:$AD$928,0),1),"NA")</f>
        <v>OS</v>
      </c>
      <c r="F1757" s="20" t="str">
        <f t="shared" si="90"/>
        <v>Block 50</v>
      </c>
      <c r="G1757" s="20" t="str">
        <f t="shared" si="89"/>
        <v>Lot 14</v>
      </c>
      <c r="H1757" s="20">
        <f>IFERROR(INDEX('[2]PRICELIST, 908u'!$G$7:$AX$914,MATCH($B1757,'[2]PRICELIST, 908u'!$G$7:$G$914,0),23),"NA")</f>
        <v>50</v>
      </c>
      <c r="I1757" s="20">
        <f>IFERROR(INDEX('[2]PRICELIST, 908u'!$G$7:$AX$914,MATCH($B1757,'[2]PRICELIST, 908u'!$G$7:$G$914,0),22),"NA")</f>
        <v>70</v>
      </c>
      <c r="J1757" s="20" t="s">
        <v>25</v>
      </c>
      <c r="K1757" s="20" t="str">
        <f>IFERROR(INDEX('[2]PRICELIST, 908u'!$G$7:$AX$914,MATCH($B1757,'[2]PRICELIST, 908u'!$G$7:$G$914,0),30),"NA")</f>
        <v>Slant / YELLOW</v>
      </c>
      <c r="L1757" s="20">
        <f>IFERROR(INDEX('[2]PRICELIST, 908u'!$G$7:$AX$914,MATCH($B1757,'[2]PRICELIST, 908u'!$G$7:$G$914,0),40),"NA")</f>
        <v>2850000</v>
      </c>
      <c r="M1757" s="20">
        <f>IFERROR(INDEX('[2]PRICELIST, 908u'!$G$7:$AX$914,MATCH($B1757,'[2]PRICELIST, 908u'!$G$7:$G$914,0),41),"NA")</f>
        <v>100000</v>
      </c>
      <c r="N1757" s="58">
        <f t="shared" si="92"/>
        <v>2750000</v>
      </c>
      <c r="O1757" s="60"/>
      <c r="P1757" s="60">
        <f t="shared" si="91"/>
        <v>2750000</v>
      </c>
    </row>
    <row r="1758" spans="2:16">
      <c r="B1758" s="20" t="s">
        <v>1909</v>
      </c>
      <c r="C1758" s="20" t="s">
        <v>2</v>
      </c>
      <c r="D1758" s="20" t="str">
        <f>IFERROR(INDEX('[2]PRICELIST, 908u'!$G$7:$AX$914,MATCH($B1758,'[2]PRICELIST, 908u'!$G$7:$G$914,0),18),"NA")</f>
        <v>2024 Batch</v>
      </c>
      <c r="E1758" s="20" t="str">
        <f>IFERROR(INDEX([3]AGM!$D$21:$BL$928,MATCH($B1758,[3]AGM!$AD$21:$AD$928,0),1),"NA")</f>
        <v>OS</v>
      </c>
      <c r="F1758" s="20" t="str">
        <f t="shared" si="90"/>
        <v>Block 50</v>
      </c>
      <c r="G1758" s="20" t="str">
        <f t="shared" si="89"/>
        <v>Lot 15</v>
      </c>
      <c r="H1758" s="20">
        <f>IFERROR(INDEX('[2]PRICELIST, 908u'!$G$7:$AX$914,MATCH($B1758,'[2]PRICELIST, 908u'!$G$7:$G$914,0),23),"NA")</f>
        <v>50</v>
      </c>
      <c r="I1758" s="20">
        <f>IFERROR(INDEX('[2]PRICELIST, 908u'!$G$7:$AX$914,MATCH($B1758,'[2]PRICELIST, 908u'!$G$7:$G$914,0),22),"NA")</f>
        <v>70</v>
      </c>
      <c r="J1758" s="20" t="s">
        <v>25</v>
      </c>
      <c r="K1758" s="20" t="str">
        <f>IFERROR(INDEX('[2]PRICELIST, 908u'!$G$7:$AX$914,MATCH($B1758,'[2]PRICELIST, 908u'!$G$7:$G$914,0),30),"NA")</f>
        <v>Slant / YELLOW</v>
      </c>
      <c r="L1758" s="20">
        <f>IFERROR(INDEX('[2]PRICELIST, 908u'!$G$7:$AX$914,MATCH($B1758,'[2]PRICELIST, 908u'!$G$7:$G$914,0),40),"NA")</f>
        <v>2850000</v>
      </c>
      <c r="M1758" s="20">
        <f>IFERROR(INDEX('[2]PRICELIST, 908u'!$G$7:$AX$914,MATCH($B1758,'[2]PRICELIST, 908u'!$G$7:$G$914,0),41),"NA")</f>
        <v>100000</v>
      </c>
      <c r="N1758" s="58">
        <f t="shared" si="92"/>
        <v>2750000</v>
      </c>
      <c r="O1758" s="60"/>
      <c r="P1758" s="60">
        <f t="shared" si="91"/>
        <v>2750000</v>
      </c>
    </row>
    <row r="1759" spans="2:16">
      <c r="B1759" s="20" t="s">
        <v>1910</v>
      </c>
      <c r="C1759" s="20" t="s">
        <v>2</v>
      </c>
      <c r="D1759" s="20" t="str">
        <f>IFERROR(INDEX('[2]PRICELIST, 908u'!$G$7:$AX$914,MATCH($B1759,'[2]PRICELIST, 908u'!$G$7:$G$914,0),18),"NA")</f>
        <v>2024 Batch</v>
      </c>
      <c r="E1759" s="20" t="str">
        <f>IFERROR(INDEX([3]AGM!$D$21:$BL$928,MATCH($B1759,[3]AGM!$AD$21:$AD$928,0),1),"NA")</f>
        <v>OS</v>
      </c>
      <c r="F1759" s="20" t="str">
        <f t="shared" si="90"/>
        <v>Block 50</v>
      </c>
      <c r="G1759" s="20" t="str">
        <f t="shared" si="89"/>
        <v>Lot 16</v>
      </c>
      <c r="H1759" s="20">
        <f>IFERROR(INDEX('[2]PRICELIST, 908u'!$G$7:$AX$914,MATCH($B1759,'[2]PRICELIST, 908u'!$G$7:$G$914,0),23),"NA")</f>
        <v>50</v>
      </c>
      <c r="I1759" s="20">
        <f>IFERROR(INDEX('[2]PRICELIST, 908u'!$G$7:$AX$914,MATCH($B1759,'[2]PRICELIST, 908u'!$G$7:$G$914,0),22),"NA")</f>
        <v>100</v>
      </c>
      <c r="J1759" s="20" t="s">
        <v>25</v>
      </c>
      <c r="K1759" s="20" t="str">
        <f>IFERROR(INDEX('[2]PRICELIST, 908u'!$G$7:$AX$914,MATCH($B1759,'[2]PRICELIST, 908u'!$G$7:$G$914,0),30),"NA")</f>
        <v>Flat / YELLOW</v>
      </c>
      <c r="L1759" s="20">
        <f>IFERROR(INDEX('[2]PRICELIST, 908u'!$G$7:$AX$914,MATCH($B1759,'[2]PRICELIST, 908u'!$G$7:$G$914,0),40),"NA")</f>
        <v>3300000</v>
      </c>
      <c r="M1759" s="20">
        <f>IFERROR(INDEX('[2]PRICELIST, 908u'!$G$7:$AX$914,MATCH($B1759,'[2]PRICELIST, 908u'!$G$7:$G$914,0),41),"NA")</f>
        <v>100000</v>
      </c>
      <c r="N1759" s="58">
        <f t="shared" si="92"/>
        <v>3200000</v>
      </c>
      <c r="O1759" s="60"/>
      <c r="P1759" s="60">
        <f t="shared" si="91"/>
        <v>3200000</v>
      </c>
    </row>
    <row r="1760" spans="2:16">
      <c r="B1760" s="20" t="s">
        <v>1911</v>
      </c>
      <c r="C1760" s="20" t="s">
        <v>2</v>
      </c>
      <c r="D1760" s="20" t="str">
        <f>IFERROR(INDEX('[2]PRICELIST, 908u'!$G$7:$AX$914,MATCH($B1760,'[2]PRICELIST, 908u'!$G$7:$G$914,0),18),"NA")</f>
        <v>2025 - Batch 4</v>
      </c>
      <c r="E1760" s="20" t="str">
        <f>IFERROR(INDEX([3]AGM!$D$21:$BL$928,MATCH($B1760,[3]AGM!$AD$21:$AD$928,0),1),"NA")</f>
        <v>OS</v>
      </c>
      <c r="F1760" s="20" t="str">
        <f t="shared" si="90"/>
        <v>Block 51</v>
      </c>
      <c r="G1760" s="20" t="str">
        <f t="shared" si="89"/>
        <v>Lot 01</v>
      </c>
      <c r="H1760" s="20">
        <f>IFERROR(INDEX('[2]PRICELIST, 908u'!$G$7:$AX$914,MATCH($B1760,'[2]PRICELIST, 908u'!$G$7:$G$914,0),23),"NA")</f>
        <v>50</v>
      </c>
      <c r="I1760" s="20">
        <f>IFERROR(INDEX('[2]PRICELIST, 908u'!$G$7:$AX$914,MATCH($B1760,'[2]PRICELIST, 908u'!$G$7:$G$914,0),22),"NA")</f>
        <v>100</v>
      </c>
      <c r="J1760" s="20" t="s">
        <v>207</v>
      </c>
      <c r="K1760" s="20" t="str">
        <f>IFERROR(INDEX('[2]PRICELIST, 908u'!$G$7:$AX$914,MATCH($B1760,'[2]PRICELIST, 908u'!$G$7:$G$914,0),30),"NA")</f>
        <v>Slant / PURPLE</v>
      </c>
      <c r="L1760" s="20">
        <f>IFERROR(INDEX('[2]PRICELIST, 908u'!$G$7:$AX$914,MATCH($B1760,'[2]PRICELIST, 908u'!$G$7:$G$914,0),40),"NA")</f>
        <v>3100000</v>
      </c>
      <c r="M1760" s="20">
        <f>IFERROR(INDEX('[2]PRICELIST, 908u'!$G$7:$AX$914,MATCH($B1760,'[2]PRICELIST, 908u'!$G$7:$G$914,0),41),"NA")</f>
        <v>100000</v>
      </c>
      <c r="N1760" s="58">
        <f t="shared" si="92"/>
        <v>3000000</v>
      </c>
      <c r="O1760" s="60"/>
      <c r="P1760" s="60">
        <f t="shared" si="91"/>
        <v>3000000</v>
      </c>
    </row>
    <row r="1761" spans="2:16">
      <c r="B1761" s="20" t="s">
        <v>1912</v>
      </c>
      <c r="C1761" s="20" t="s">
        <v>2</v>
      </c>
      <c r="D1761" s="20" t="str">
        <f>IFERROR(INDEX('[2]PRICELIST, 908u'!$G$7:$AX$914,MATCH($B1761,'[2]PRICELIST, 908u'!$G$7:$G$914,0),18),"NA")</f>
        <v>2025 - Batch 4</v>
      </c>
      <c r="E1761" s="20" t="str">
        <f>IFERROR(INDEX([3]AGM!$D$21:$BL$928,MATCH($B1761,[3]AGM!$AD$21:$AD$928,0),1),"NA")</f>
        <v>OS</v>
      </c>
      <c r="F1761" s="20" t="str">
        <f t="shared" si="90"/>
        <v>Block 51</v>
      </c>
      <c r="G1761" s="20" t="str">
        <f t="shared" si="89"/>
        <v>Lot 02</v>
      </c>
      <c r="H1761" s="20">
        <f>IFERROR(INDEX('[2]PRICELIST, 908u'!$G$7:$AX$914,MATCH($B1761,'[2]PRICELIST, 908u'!$G$7:$G$914,0),23),"NA")</f>
        <v>50</v>
      </c>
      <c r="I1761" s="20">
        <f>IFERROR(INDEX('[2]PRICELIST, 908u'!$G$7:$AX$914,MATCH($B1761,'[2]PRICELIST, 908u'!$G$7:$G$914,0),22),"NA")</f>
        <v>110</v>
      </c>
      <c r="J1761" s="20" t="s">
        <v>207</v>
      </c>
      <c r="K1761" s="20" t="str">
        <f>IFERROR(INDEX('[2]PRICELIST, 908u'!$G$7:$AX$914,MATCH($B1761,'[2]PRICELIST, 908u'!$G$7:$G$914,0),30),"NA")</f>
        <v>Flat / PURPLE</v>
      </c>
      <c r="L1761" s="20">
        <f>IFERROR(INDEX('[2]PRICELIST, 908u'!$G$7:$AX$914,MATCH($B1761,'[2]PRICELIST, 908u'!$G$7:$G$914,0),40),"NA")</f>
        <v>3250000</v>
      </c>
      <c r="M1761" s="20">
        <f>IFERROR(INDEX('[2]PRICELIST, 908u'!$G$7:$AX$914,MATCH($B1761,'[2]PRICELIST, 908u'!$G$7:$G$914,0),41),"NA")</f>
        <v>100000</v>
      </c>
      <c r="N1761" s="58">
        <f t="shared" si="92"/>
        <v>3150000</v>
      </c>
      <c r="O1761" s="60"/>
      <c r="P1761" s="60">
        <f t="shared" si="91"/>
        <v>3150000</v>
      </c>
    </row>
    <row r="1762" spans="2:16">
      <c r="B1762" s="20" t="s">
        <v>1913</v>
      </c>
      <c r="C1762" s="20" t="s">
        <v>2</v>
      </c>
      <c r="D1762" s="20" t="str">
        <f>IFERROR(INDEX('[2]PRICELIST, 908u'!$G$7:$AX$914,MATCH($B1762,'[2]PRICELIST, 908u'!$G$7:$G$914,0),18),"NA")</f>
        <v>2025 - Batch 4</v>
      </c>
      <c r="E1762" s="20" t="str">
        <f>IFERROR(INDEX([3]AGM!$D$21:$BL$928,MATCH($B1762,[3]AGM!$AD$21:$AD$928,0),1),"NA")</f>
        <v>OS</v>
      </c>
      <c r="F1762" s="20" t="str">
        <f t="shared" si="90"/>
        <v>Block 51</v>
      </c>
      <c r="G1762" s="20" t="str">
        <f t="shared" si="89"/>
        <v>Lot 03</v>
      </c>
      <c r="H1762" s="20">
        <f>IFERROR(INDEX('[2]PRICELIST, 908u'!$G$7:$AX$914,MATCH($B1762,'[2]PRICELIST, 908u'!$G$7:$G$914,0),23),"NA")</f>
        <v>50</v>
      </c>
      <c r="I1762" s="20">
        <f>IFERROR(INDEX('[2]PRICELIST, 908u'!$G$7:$AX$914,MATCH($B1762,'[2]PRICELIST, 908u'!$G$7:$G$914,0),22),"NA")</f>
        <v>100</v>
      </c>
      <c r="J1762" s="20" t="s">
        <v>207</v>
      </c>
      <c r="K1762" s="20" t="str">
        <f>IFERROR(INDEX('[2]PRICELIST, 908u'!$G$7:$AX$914,MATCH($B1762,'[2]PRICELIST, 908u'!$G$7:$G$914,0),30),"NA")</f>
        <v>Slant / GREEN</v>
      </c>
      <c r="L1762" s="20">
        <f>IFERROR(INDEX('[2]PRICELIST, 908u'!$G$7:$AX$914,MATCH($B1762,'[2]PRICELIST, 908u'!$G$7:$G$914,0),40),"NA")</f>
        <v>3100000</v>
      </c>
      <c r="M1762" s="20">
        <f>IFERROR(INDEX('[2]PRICELIST, 908u'!$G$7:$AX$914,MATCH($B1762,'[2]PRICELIST, 908u'!$G$7:$G$914,0),41),"NA")</f>
        <v>100000</v>
      </c>
      <c r="N1762" s="58">
        <f t="shared" si="92"/>
        <v>3000000</v>
      </c>
      <c r="O1762" s="60"/>
      <c r="P1762" s="60">
        <f t="shared" si="91"/>
        <v>3000000</v>
      </c>
    </row>
    <row r="1763" spans="2:16">
      <c r="B1763" s="20" t="s">
        <v>1914</v>
      </c>
      <c r="C1763" s="20" t="s">
        <v>2</v>
      </c>
      <c r="D1763" s="20" t="str">
        <f>IFERROR(INDEX('[2]PRICELIST, 908u'!$G$7:$AX$914,MATCH($B1763,'[2]PRICELIST, 908u'!$G$7:$G$914,0),18),"NA")</f>
        <v>2025 - Batch 4</v>
      </c>
      <c r="E1763" s="20" t="str">
        <f>IFERROR(INDEX([3]AGM!$D$21:$BL$928,MATCH($B1763,[3]AGM!$AD$21:$AD$928,0),1),"NA")</f>
        <v>TS</v>
      </c>
      <c r="F1763" s="20" t="str">
        <f t="shared" si="90"/>
        <v>Block 51</v>
      </c>
      <c r="G1763" s="20" t="str">
        <f t="shared" si="89"/>
        <v>Lot 04</v>
      </c>
      <c r="H1763" s="20">
        <f>IFERROR(INDEX('[2]PRICELIST, 908u'!$G$7:$AX$914,MATCH($B1763,'[2]PRICELIST, 908u'!$G$7:$G$914,0),23),"NA")</f>
        <v>50</v>
      </c>
      <c r="I1763" s="20">
        <f>IFERROR(INDEX('[2]PRICELIST, 908u'!$G$7:$AX$914,MATCH($B1763,'[2]PRICELIST, 908u'!$G$7:$G$914,0),22),"NA")</f>
        <v>100</v>
      </c>
      <c r="J1763" s="20" t="s">
        <v>207</v>
      </c>
      <c r="K1763" s="20" t="str">
        <f>IFERROR(INDEX('[2]PRICELIST, 908u'!$G$7:$AX$914,MATCH($B1763,'[2]PRICELIST, 908u'!$G$7:$G$914,0),30),"NA")</f>
        <v>Flat / GREEN</v>
      </c>
      <c r="L1763" s="20">
        <f>IFERROR(INDEX('[2]PRICELIST, 908u'!$G$7:$AX$914,MATCH($B1763,'[2]PRICELIST, 908u'!$G$7:$G$914,0),40),"NA")</f>
        <v>3100000</v>
      </c>
      <c r="M1763" s="20">
        <f>IFERROR(INDEX('[2]PRICELIST, 908u'!$G$7:$AX$914,MATCH($B1763,'[2]PRICELIST, 908u'!$G$7:$G$914,0),41),"NA")</f>
        <v>100000</v>
      </c>
      <c r="N1763" s="58">
        <f t="shared" si="92"/>
        <v>3000000</v>
      </c>
      <c r="O1763" s="60"/>
      <c r="P1763" s="60">
        <f t="shared" si="91"/>
        <v>3000000</v>
      </c>
    </row>
    <row r="1764" spans="2:16">
      <c r="B1764" s="19" t="s">
        <v>1915</v>
      </c>
      <c r="C1764" s="61" t="s">
        <v>3</v>
      </c>
      <c r="D1764" s="31" t="s">
        <v>1916</v>
      </c>
      <c r="E1764" s="32" t="s">
        <v>205</v>
      </c>
      <c r="F1764" s="20" t="str">
        <f t="shared" si="90"/>
        <v>Block 21</v>
      </c>
      <c r="G1764" s="20" t="str">
        <f t="shared" si="89"/>
        <v>Lot 01</v>
      </c>
      <c r="H1764" s="33">
        <v>55</v>
      </c>
      <c r="I1764" s="34">
        <v>95</v>
      </c>
      <c r="J1764" s="19" t="s">
        <v>1917</v>
      </c>
      <c r="K1764" s="35" t="s">
        <v>1918</v>
      </c>
      <c r="L1764" s="62">
        <f>IFERROR(INDEX([3]ESE!$AD$22:$BD$453,MATCH($B1764,[3]ESE!$AD$22:$AD$453,0),23),"NA")</f>
        <v>3925000</v>
      </c>
      <c r="M1764" s="36"/>
      <c r="N1764" s="36">
        <f>L1764-M1764</f>
        <v>3925000</v>
      </c>
      <c r="O1764" s="36">
        <f>IF(N1764&lt;=3600000,0,N1764*12%)</f>
        <v>471000</v>
      </c>
      <c r="P1764" s="60">
        <f>N1764-O1764</f>
        <v>3454000</v>
      </c>
    </row>
    <row r="1765" spans="2:16">
      <c r="B1765" s="19" t="s">
        <v>1919</v>
      </c>
      <c r="C1765" s="61" t="s">
        <v>3</v>
      </c>
      <c r="D1765" s="37" t="s">
        <v>1916</v>
      </c>
      <c r="E1765" s="32" t="s">
        <v>205</v>
      </c>
      <c r="F1765" s="20" t="str">
        <f t="shared" si="90"/>
        <v>Block 21</v>
      </c>
      <c r="G1765" s="20" t="str">
        <f t="shared" si="89"/>
        <v>Lot 02</v>
      </c>
      <c r="H1765" s="38">
        <v>55</v>
      </c>
      <c r="I1765" s="39">
        <v>120</v>
      </c>
      <c r="J1765" s="19" t="s">
        <v>1917</v>
      </c>
      <c r="K1765" s="35" t="s">
        <v>1920</v>
      </c>
      <c r="L1765" s="36">
        <f>IFERROR(INDEX([3]ESE!$AD$22:$BD$453,MATCH($B1765,[3]ESE!$AD$22:$AD$453,0),23),"NA")</f>
        <v>4290000</v>
      </c>
      <c r="M1765" s="36"/>
      <c r="N1765" s="36">
        <f t="shared" ref="N1765:N1789" si="93">L1765-M1765</f>
        <v>4290000</v>
      </c>
      <c r="O1765" s="36">
        <f t="shared" ref="O1765:O1789" si="94">IF(N1765&lt;=3600000,0,N1765*12%)</f>
        <v>514800</v>
      </c>
      <c r="P1765" s="60">
        <f t="shared" ref="P1765:P1789" si="95">N1765-O1765</f>
        <v>3775200</v>
      </c>
    </row>
    <row r="1766" spans="2:16">
      <c r="B1766" s="19" t="s">
        <v>1921</v>
      </c>
      <c r="C1766" s="61" t="s">
        <v>3</v>
      </c>
      <c r="D1766" s="37" t="s">
        <v>1916</v>
      </c>
      <c r="E1766" s="32" t="s">
        <v>205</v>
      </c>
      <c r="F1766" s="20" t="str">
        <f t="shared" si="90"/>
        <v>Block 21</v>
      </c>
      <c r="G1766" s="20" t="str">
        <f t="shared" si="89"/>
        <v>Lot 03</v>
      </c>
      <c r="H1766" s="40">
        <v>55</v>
      </c>
      <c r="I1766" s="41">
        <v>84</v>
      </c>
      <c r="J1766" s="19" t="s">
        <v>1917</v>
      </c>
      <c r="K1766" s="35" t="s">
        <v>1920</v>
      </c>
      <c r="L1766" s="36">
        <f>IFERROR(INDEX([3]ESE!$AD$22:$BD$453,MATCH($B1766,[3]ESE!$AD$22:$AD$453,0),23),"NA")</f>
        <v>3660000</v>
      </c>
      <c r="M1766" s="36"/>
      <c r="N1766" s="36">
        <f t="shared" si="93"/>
        <v>3660000</v>
      </c>
      <c r="O1766" s="36">
        <f t="shared" si="94"/>
        <v>439200</v>
      </c>
      <c r="P1766" s="60">
        <f t="shared" si="95"/>
        <v>3220800</v>
      </c>
    </row>
    <row r="1767" spans="2:16">
      <c r="B1767" s="19" t="s">
        <v>1922</v>
      </c>
      <c r="C1767" s="61" t="s">
        <v>3</v>
      </c>
      <c r="D1767" s="37" t="s">
        <v>1916</v>
      </c>
      <c r="E1767" s="32" t="s">
        <v>205</v>
      </c>
      <c r="F1767" s="20" t="str">
        <f t="shared" si="90"/>
        <v>Block 21</v>
      </c>
      <c r="G1767" s="20" t="str">
        <f t="shared" si="89"/>
        <v>Lot 04</v>
      </c>
      <c r="H1767" s="40">
        <v>55</v>
      </c>
      <c r="I1767" s="41">
        <v>110</v>
      </c>
      <c r="J1767" s="19" t="s">
        <v>1917</v>
      </c>
      <c r="K1767" s="35" t="s">
        <v>1918</v>
      </c>
      <c r="L1767" s="36">
        <f>IFERROR(INDEX([3]ESE!$AD$22:$BD$453,MATCH($B1767,[3]ESE!$AD$22:$AD$453,0),23),"NA")</f>
        <v>4050000</v>
      </c>
      <c r="M1767" s="36"/>
      <c r="N1767" s="36">
        <f t="shared" si="93"/>
        <v>4050000</v>
      </c>
      <c r="O1767" s="36">
        <f t="shared" si="94"/>
        <v>486000</v>
      </c>
      <c r="P1767" s="60">
        <f t="shared" si="95"/>
        <v>3564000</v>
      </c>
    </row>
    <row r="1768" spans="2:16">
      <c r="B1768" s="19" t="s">
        <v>1923</v>
      </c>
      <c r="C1768" s="61" t="s">
        <v>3</v>
      </c>
      <c r="D1768" s="37" t="s">
        <v>1916</v>
      </c>
      <c r="E1768" s="32" t="s">
        <v>205</v>
      </c>
      <c r="F1768" s="20" t="str">
        <f t="shared" si="90"/>
        <v>Block 21</v>
      </c>
      <c r="G1768" s="20" t="str">
        <f t="shared" si="89"/>
        <v>Lot 05</v>
      </c>
      <c r="H1768" s="40">
        <v>55</v>
      </c>
      <c r="I1768" s="41">
        <v>111</v>
      </c>
      <c r="J1768" s="19" t="s">
        <v>1917</v>
      </c>
      <c r="K1768" s="35" t="s">
        <v>1924</v>
      </c>
      <c r="L1768" s="36">
        <f>IFERROR(INDEX([3]ESE!$AD$22:$BD$453,MATCH($B1768,[3]ESE!$AD$22:$AD$453,0),23),"NA")</f>
        <v>4065000</v>
      </c>
      <c r="M1768" s="36"/>
      <c r="N1768" s="36">
        <f t="shared" si="93"/>
        <v>4065000</v>
      </c>
      <c r="O1768" s="36">
        <f t="shared" si="94"/>
        <v>487800</v>
      </c>
      <c r="P1768" s="60">
        <f t="shared" si="95"/>
        <v>3577200</v>
      </c>
    </row>
    <row r="1769" spans="2:16">
      <c r="B1769" s="19" t="s">
        <v>1925</v>
      </c>
      <c r="C1769" s="61" t="s">
        <v>3</v>
      </c>
      <c r="D1769" s="37" t="s">
        <v>1916</v>
      </c>
      <c r="E1769" s="32" t="s">
        <v>205</v>
      </c>
      <c r="F1769" s="20" t="str">
        <f t="shared" si="90"/>
        <v>Block 21</v>
      </c>
      <c r="G1769" s="20" t="str">
        <f t="shared" si="89"/>
        <v>Lot 06</v>
      </c>
      <c r="H1769" s="40">
        <v>55</v>
      </c>
      <c r="I1769" s="41">
        <v>87</v>
      </c>
      <c r="J1769" s="19" t="s">
        <v>1917</v>
      </c>
      <c r="K1769" s="35" t="s">
        <v>1926</v>
      </c>
      <c r="L1769" s="36">
        <f>IFERROR(INDEX([3]ESE!$AD$22:$BD$453,MATCH($B1769,[3]ESE!$AD$22:$AD$453,0),23),"NA")</f>
        <v>3705000</v>
      </c>
      <c r="M1769" s="36"/>
      <c r="N1769" s="36">
        <f t="shared" si="93"/>
        <v>3705000</v>
      </c>
      <c r="O1769" s="36">
        <f t="shared" si="94"/>
        <v>444600</v>
      </c>
      <c r="P1769" s="60">
        <f t="shared" si="95"/>
        <v>3260400</v>
      </c>
    </row>
    <row r="1770" spans="2:16">
      <c r="B1770" s="19" t="s">
        <v>1927</v>
      </c>
      <c r="C1770" s="61" t="s">
        <v>3</v>
      </c>
      <c r="D1770" s="20" t="s">
        <v>1928</v>
      </c>
      <c r="E1770" s="32" t="s">
        <v>205</v>
      </c>
      <c r="F1770" s="20" t="str">
        <f t="shared" si="90"/>
        <v>Block 21</v>
      </c>
      <c r="G1770" s="20" t="str">
        <f t="shared" si="89"/>
        <v>Lot 07</v>
      </c>
      <c r="H1770" s="40">
        <v>55</v>
      </c>
      <c r="I1770" s="41">
        <v>86</v>
      </c>
      <c r="J1770" s="19" t="s">
        <v>1917</v>
      </c>
      <c r="K1770" s="35" t="s">
        <v>1926</v>
      </c>
      <c r="L1770" s="36">
        <f>IFERROR(INDEX([3]ESE!$AD$22:$BD$453,MATCH($B1770,[3]ESE!$AD$22:$AD$453,0),23),"NA")</f>
        <v>3600000</v>
      </c>
      <c r="M1770" s="36"/>
      <c r="N1770" s="36">
        <f t="shared" si="93"/>
        <v>3600000</v>
      </c>
      <c r="O1770" s="36">
        <f t="shared" si="94"/>
        <v>0</v>
      </c>
      <c r="P1770" s="60">
        <f t="shared" si="95"/>
        <v>3600000</v>
      </c>
    </row>
    <row r="1771" spans="2:16">
      <c r="B1771" s="19" t="s">
        <v>1929</v>
      </c>
      <c r="C1771" s="61" t="s">
        <v>3</v>
      </c>
      <c r="D1771" s="20" t="s">
        <v>1928</v>
      </c>
      <c r="E1771" s="32" t="s">
        <v>205</v>
      </c>
      <c r="F1771" s="20" t="str">
        <f t="shared" si="90"/>
        <v>Block 21</v>
      </c>
      <c r="G1771" s="20" t="str">
        <f t="shared" si="89"/>
        <v>Lot 08</v>
      </c>
      <c r="H1771" s="40">
        <v>55</v>
      </c>
      <c r="I1771" s="41">
        <v>86</v>
      </c>
      <c r="J1771" s="19" t="s">
        <v>1917</v>
      </c>
      <c r="K1771" s="35" t="s">
        <v>1924</v>
      </c>
      <c r="L1771" s="36">
        <f>IFERROR(INDEX([3]ESE!$AD$22:$BD$453,MATCH($B1771,[3]ESE!$AD$22:$AD$453,0),23),"NA")</f>
        <v>3690000</v>
      </c>
      <c r="M1771" s="36"/>
      <c r="N1771" s="36">
        <f t="shared" si="93"/>
        <v>3690000</v>
      </c>
      <c r="O1771" s="36">
        <f t="shared" si="94"/>
        <v>442800</v>
      </c>
      <c r="P1771" s="60">
        <f t="shared" si="95"/>
        <v>3247200</v>
      </c>
    </row>
    <row r="1772" spans="2:16">
      <c r="B1772" s="19" t="s">
        <v>1930</v>
      </c>
      <c r="C1772" s="61" t="s">
        <v>3</v>
      </c>
      <c r="D1772" s="20" t="s">
        <v>1928</v>
      </c>
      <c r="E1772" s="32" t="s">
        <v>205</v>
      </c>
      <c r="F1772" s="20" t="str">
        <f t="shared" si="90"/>
        <v>Block 21</v>
      </c>
      <c r="G1772" s="20" t="str">
        <f t="shared" si="89"/>
        <v>Lot 09</v>
      </c>
      <c r="H1772" s="40">
        <v>55</v>
      </c>
      <c r="I1772" s="41">
        <v>85</v>
      </c>
      <c r="J1772" s="19" t="s">
        <v>1917</v>
      </c>
      <c r="K1772" s="35" t="s">
        <v>1918</v>
      </c>
      <c r="L1772" s="36">
        <f>IFERROR(INDEX([3]ESE!$AD$22:$BD$453,MATCH($B1772,[3]ESE!$AD$22:$AD$453,0),23),"NA")</f>
        <v>3675000</v>
      </c>
      <c r="M1772" s="36"/>
      <c r="N1772" s="36">
        <f t="shared" si="93"/>
        <v>3675000</v>
      </c>
      <c r="O1772" s="36">
        <f t="shared" si="94"/>
        <v>441000</v>
      </c>
      <c r="P1772" s="60">
        <f t="shared" si="95"/>
        <v>3234000</v>
      </c>
    </row>
    <row r="1773" spans="2:16">
      <c r="B1773" s="19" t="s">
        <v>1931</v>
      </c>
      <c r="C1773" s="61" t="s">
        <v>3</v>
      </c>
      <c r="D1773" s="20" t="s">
        <v>1928</v>
      </c>
      <c r="E1773" s="32" t="s">
        <v>205</v>
      </c>
      <c r="F1773" s="20" t="str">
        <f t="shared" si="90"/>
        <v>Block 21</v>
      </c>
      <c r="G1773" s="20" t="str">
        <f t="shared" si="89"/>
        <v>Lot 10</v>
      </c>
      <c r="H1773" s="40">
        <v>55</v>
      </c>
      <c r="I1773" s="41">
        <v>85</v>
      </c>
      <c r="J1773" s="19" t="s">
        <v>1917</v>
      </c>
      <c r="K1773" s="35" t="s">
        <v>1920</v>
      </c>
      <c r="L1773" s="36">
        <f>IFERROR(INDEX([3]ESE!$AD$22:$BD$453,MATCH($B1773,[3]ESE!$AD$22:$AD$453,0),23),"NA")</f>
        <v>3675000</v>
      </c>
      <c r="M1773" s="36"/>
      <c r="N1773" s="36">
        <f t="shared" si="93"/>
        <v>3675000</v>
      </c>
      <c r="O1773" s="36">
        <f t="shared" si="94"/>
        <v>441000</v>
      </c>
      <c r="P1773" s="60">
        <f t="shared" si="95"/>
        <v>3234000</v>
      </c>
    </row>
    <row r="1774" spans="2:16">
      <c r="B1774" s="19" t="s">
        <v>1932</v>
      </c>
      <c r="C1774" s="61" t="s">
        <v>3</v>
      </c>
      <c r="D1774" s="20" t="s">
        <v>1928</v>
      </c>
      <c r="E1774" s="32" t="s">
        <v>205</v>
      </c>
      <c r="F1774" s="20" t="str">
        <f t="shared" si="90"/>
        <v>Block 21</v>
      </c>
      <c r="G1774" s="20" t="str">
        <f t="shared" si="89"/>
        <v>Lot 11</v>
      </c>
      <c r="H1774" s="40">
        <v>55</v>
      </c>
      <c r="I1774" s="41">
        <v>85</v>
      </c>
      <c r="J1774" s="19" t="s">
        <v>1917</v>
      </c>
      <c r="K1774" s="35" t="s">
        <v>1920</v>
      </c>
      <c r="L1774" s="36">
        <f>IFERROR(INDEX([3]ESE!$AD$22:$BD$453,MATCH($B1774,[3]ESE!$AD$22:$AD$453,0),23),"NA")</f>
        <v>3675000</v>
      </c>
      <c r="M1774" s="36"/>
      <c r="N1774" s="36">
        <f t="shared" si="93"/>
        <v>3675000</v>
      </c>
      <c r="O1774" s="36">
        <f t="shared" si="94"/>
        <v>441000</v>
      </c>
      <c r="P1774" s="60">
        <f t="shared" si="95"/>
        <v>3234000</v>
      </c>
    </row>
    <row r="1775" spans="2:16">
      <c r="B1775" s="19" t="s">
        <v>1933</v>
      </c>
      <c r="C1775" s="61" t="s">
        <v>3</v>
      </c>
      <c r="D1775" s="20" t="s">
        <v>1928</v>
      </c>
      <c r="E1775" s="32" t="s">
        <v>205</v>
      </c>
      <c r="F1775" s="20" t="str">
        <f t="shared" si="90"/>
        <v>Block 21</v>
      </c>
      <c r="G1775" s="20" t="str">
        <f t="shared" si="89"/>
        <v>Lot 12</v>
      </c>
      <c r="H1775" s="40">
        <v>55</v>
      </c>
      <c r="I1775" s="41">
        <v>85</v>
      </c>
      <c r="J1775" s="19" t="s">
        <v>1917</v>
      </c>
      <c r="K1775" s="35" t="s">
        <v>1918</v>
      </c>
      <c r="L1775" s="36">
        <f>IFERROR(INDEX([3]ESE!$AD$22:$BD$453,MATCH($B1775,[3]ESE!$AD$22:$AD$453,0),23),"NA")</f>
        <v>3675000</v>
      </c>
      <c r="M1775" s="36"/>
      <c r="N1775" s="36">
        <f t="shared" si="93"/>
        <v>3675000</v>
      </c>
      <c r="O1775" s="36">
        <f t="shared" si="94"/>
        <v>441000</v>
      </c>
      <c r="P1775" s="60">
        <f t="shared" si="95"/>
        <v>3234000</v>
      </c>
    </row>
    <row r="1776" spans="2:16">
      <c r="B1776" s="19" t="s">
        <v>1934</v>
      </c>
      <c r="C1776" s="61" t="s">
        <v>3</v>
      </c>
      <c r="D1776" s="37" t="s">
        <v>1916</v>
      </c>
      <c r="E1776" s="32" t="s">
        <v>205</v>
      </c>
      <c r="F1776" s="20" t="str">
        <f t="shared" si="90"/>
        <v>Block 21</v>
      </c>
      <c r="G1776" s="20" t="str">
        <f t="shared" si="89"/>
        <v>Lot 13</v>
      </c>
      <c r="H1776" s="40">
        <v>55</v>
      </c>
      <c r="I1776" s="41">
        <v>84</v>
      </c>
      <c r="J1776" s="19" t="s">
        <v>1917</v>
      </c>
      <c r="K1776" s="35" t="s">
        <v>1924</v>
      </c>
      <c r="L1776" s="36">
        <f>IFERROR(INDEX([3]ESE!$AD$22:$BD$453,MATCH($B1776,[3]ESE!$AD$22:$AD$453,0),23),"NA")</f>
        <v>3660000</v>
      </c>
      <c r="M1776" s="36"/>
      <c r="N1776" s="36">
        <f t="shared" si="93"/>
        <v>3660000</v>
      </c>
      <c r="O1776" s="36">
        <f t="shared" si="94"/>
        <v>439200</v>
      </c>
      <c r="P1776" s="60">
        <f t="shared" si="95"/>
        <v>3220800</v>
      </c>
    </row>
    <row r="1777" spans="2:16">
      <c r="B1777" s="19" t="s">
        <v>1935</v>
      </c>
      <c r="C1777" s="61" t="s">
        <v>3</v>
      </c>
      <c r="D1777" s="37" t="s">
        <v>1916</v>
      </c>
      <c r="E1777" s="32" t="s">
        <v>205</v>
      </c>
      <c r="F1777" s="20" t="str">
        <f t="shared" si="90"/>
        <v>Block 21</v>
      </c>
      <c r="G1777" s="20" t="str">
        <f t="shared" si="89"/>
        <v>Lot 14</v>
      </c>
      <c r="H1777" s="40">
        <v>55</v>
      </c>
      <c r="I1777" s="41">
        <v>84</v>
      </c>
      <c r="J1777" s="19" t="s">
        <v>1917</v>
      </c>
      <c r="K1777" s="35" t="s">
        <v>1926</v>
      </c>
      <c r="L1777" s="36">
        <f>IFERROR(INDEX([3]ESE!$AD$22:$BD$453,MATCH($B1777,[3]ESE!$AD$22:$AD$453,0),23),"NA")</f>
        <v>3660000</v>
      </c>
      <c r="M1777" s="36"/>
      <c r="N1777" s="36">
        <f t="shared" si="93"/>
        <v>3660000</v>
      </c>
      <c r="O1777" s="36">
        <f t="shared" si="94"/>
        <v>439200</v>
      </c>
      <c r="P1777" s="60">
        <f t="shared" si="95"/>
        <v>3220800</v>
      </c>
    </row>
    <row r="1778" spans="2:16">
      <c r="B1778" s="19" t="s">
        <v>1936</v>
      </c>
      <c r="C1778" s="61" t="s">
        <v>3</v>
      </c>
      <c r="D1778" s="37" t="s">
        <v>1916</v>
      </c>
      <c r="E1778" s="32" t="s">
        <v>205</v>
      </c>
      <c r="F1778" s="20" t="str">
        <f t="shared" si="90"/>
        <v>Block 21</v>
      </c>
      <c r="G1778" s="20" t="str">
        <f t="shared" si="89"/>
        <v>Lot 15</v>
      </c>
      <c r="H1778" s="40">
        <v>55</v>
      </c>
      <c r="I1778" s="41">
        <v>83</v>
      </c>
      <c r="J1778" s="19" t="s">
        <v>1917</v>
      </c>
      <c r="K1778" s="35" t="s">
        <v>1926</v>
      </c>
      <c r="L1778" s="36">
        <f>IFERROR(INDEX([3]ESE!$AD$22:$BD$453,MATCH($B1778,[3]ESE!$AD$22:$AD$453,0),23),"NA")</f>
        <v>3645000</v>
      </c>
      <c r="M1778" s="36">
        <v>45000</v>
      </c>
      <c r="N1778" s="36">
        <f t="shared" si="93"/>
        <v>3600000</v>
      </c>
      <c r="O1778" s="36">
        <f t="shared" si="94"/>
        <v>0</v>
      </c>
      <c r="P1778" s="60">
        <f t="shared" si="95"/>
        <v>3600000</v>
      </c>
    </row>
    <row r="1779" spans="2:16">
      <c r="B1779" s="19" t="s">
        <v>1937</v>
      </c>
      <c r="C1779" s="61" t="s">
        <v>3</v>
      </c>
      <c r="D1779" s="37" t="s">
        <v>1916</v>
      </c>
      <c r="E1779" s="32" t="s">
        <v>205</v>
      </c>
      <c r="F1779" s="20" t="str">
        <f t="shared" si="90"/>
        <v>Block 21</v>
      </c>
      <c r="G1779" s="20" t="str">
        <f t="shared" si="89"/>
        <v>Lot 16</v>
      </c>
      <c r="H1779" s="40">
        <v>55</v>
      </c>
      <c r="I1779" s="41">
        <v>83</v>
      </c>
      <c r="J1779" s="19" t="s">
        <v>1917</v>
      </c>
      <c r="K1779" s="35" t="s">
        <v>1924</v>
      </c>
      <c r="L1779" s="36">
        <f>IFERROR(INDEX([3]ESE!$AD$22:$BD$453,MATCH($B1779,[3]ESE!$AD$22:$AD$453,0),23),"NA")</f>
        <v>3645000</v>
      </c>
      <c r="M1779" s="36">
        <v>45000</v>
      </c>
      <c r="N1779" s="36">
        <f t="shared" si="93"/>
        <v>3600000</v>
      </c>
      <c r="O1779" s="36">
        <f t="shared" si="94"/>
        <v>0</v>
      </c>
      <c r="P1779" s="60">
        <f t="shared" si="95"/>
        <v>3600000</v>
      </c>
    </row>
    <row r="1780" spans="2:16">
      <c r="B1780" s="19" t="s">
        <v>1938</v>
      </c>
      <c r="C1780" s="61" t="s">
        <v>3</v>
      </c>
      <c r="D1780" s="37" t="s">
        <v>1916</v>
      </c>
      <c r="E1780" s="32" t="s">
        <v>205</v>
      </c>
      <c r="F1780" s="20" t="str">
        <f t="shared" si="90"/>
        <v>Block 21</v>
      </c>
      <c r="G1780" s="20" t="str">
        <f t="shared" si="89"/>
        <v>Lot 17</v>
      </c>
      <c r="H1780" s="40">
        <v>55</v>
      </c>
      <c r="I1780" s="41">
        <v>82</v>
      </c>
      <c r="J1780" s="19" t="s">
        <v>1917</v>
      </c>
      <c r="K1780" s="35" t="s">
        <v>1918</v>
      </c>
      <c r="L1780" s="36">
        <f>IFERROR(INDEX([3]ESE!$AD$22:$BD$453,MATCH($B1780,[3]ESE!$AD$22:$AD$453,0),23),"NA")</f>
        <v>3630000</v>
      </c>
      <c r="M1780" s="36">
        <v>30000</v>
      </c>
      <c r="N1780" s="36">
        <f t="shared" si="93"/>
        <v>3600000</v>
      </c>
      <c r="O1780" s="36">
        <f t="shared" si="94"/>
        <v>0</v>
      </c>
      <c r="P1780" s="60">
        <f t="shared" si="95"/>
        <v>3600000</v>
      </c>
    </row>
    <row r="1781" spans="2:16">
      <c r="B1781" s="19" t="s">
        <v>1939</v>
      </c>
      <c r="C1781" s="61" t="s">
        <v>3</v>
      </c>
      <c r="D1781" s="37" t="s">
        <v>1916</v>
      </c>
      <c r="E1781" s="32" t="s">
        <v>205</v>
      </c>
      <c r="F1781" s="20" t="str">
        <f t="shared" si="90"/>
        <v>Block 21</v>
      </c>
      <c r="G1781" s="20" t="str">
        <f t="shared" si="89"/>
        <v>Lot 18</v>
      </c>
      <c r="H1781" s="40">
        <v>55</v>
      </c>
      <c r="I1781" s="41">
        <v>81</v>
      </c>
      <c r="J1781" s="19" t="s">
        <v>1917</v>
      </c>
      <c r="K1781" s="35" t="s">
        <v>1920</v>
      </c>
      <c r="L1781" s="36">
        <f>IFERROR(INDEX([3]ESE!$AD$22:$BD$453,MATCH($B1781,[3]ESE!$AD$22:$AD$453,0),23),"NA")</f>
        <v>3615000</v>
      </c>
      <c r="M1781" s="36">
        <v>15000</v>
      </c>
      <c r="N1781" s="36">
        <f t="shared" si="93"/>
        <v>3600000</v>
      </c>
      <c r="O1781" s="36">
        <f t="shared" si="94"/>
        <v>0</v>
      </c>
      <c r="P1781" s="60">
        <f t="shared" si="95"/>
        <v>3600000</v>
      </c>
    </row>
    <row r="1782" spans="2:16">
      <c r="B1782" s="19" t="s">
        <v>1940</v>
      </c>
      <c r="C1782" s="61" t="s">
        <v>3</v>
      </c>
      <c r="D1782" s="20" t="s">
        <v>972</v>
      </c>
      <c r="E1782" s="32" t="s">
        <v>205</v>
      </c>
      <c r="F1782" s="20" t="str">
        <f t="shared" si="90"/>
        <v>Block 21</v>
      </c>
      <c r="G1782" s="20" t="str">
        <f t="shared" si="89"/>
        <v>Lot 19</v>
      </c>
      <c r="H1782" s="40">
        <v>55</v>
      </c>
      <c r="I1782" s="41">
        <v>80</v>
      </c>
      <c r="J1782" s="19" t="s">
        <v>1917</v>
      </c>
      <c r="K1782" s="35" t="s">
        <v>1920</v>
      </c>
      <c r="L1782" s="36">
        <f>IFERROR(INDEX([3]ESE!$AD$22:$BD$453,MATCH($B1782,[3]ESE!$AD$22:$AD$453,0),23),"NA")</f>
        <v>3600000</v>
      </c>
      <c r="M1782" s="36"/>
      <c r="N1782" s="36">
        <f t="shared" si="93"/>
        <v>3600000</v>
      </c>
      <c r="O1782" s="36">
        <f t="shared" si="94"/>
        <v>0</v>
      </c>
      <c r="P1782" s="60">
        <f t="shared" si="95"/>
        <v>3600000</v>
      </c>
    </row>
    <row r="1783" spans="2:16">
      <c r="B1783" s="19" t="s">
        <v>1941</v>
      </c>
      <c r="C1783" s="61" t="s">
        <v>3</v>
      </c>
      <c r="D1783" s="20" t="s">
        <v>972</v>
      </c>
      <c r="E1783" s="32" t="s">
        <v>205</v>
      </c>
      <c r="F1783" s="20" t="str">
        <f t="shared" si="90"/>
        <v>Block 21</v>
      </c>
      <c r="G1783" s="20" t="str">
        <f t="shared" si="89"/>
        <v>Lot 20</v>
      </c>
      <c r="H1783" s="40">
        <v>55</v>
      </c>
      <c r="I1783" s="41">
        <v>81</v>
      </c>
      <c r="J1783" s="19" t="s">
        <v>1917</v>
      </c>
      <c r="K1783" s="35" t="s">
        <v>1918</v>
      </c>
      <c r="L1783" s="36">
        <f>IFERROR(INDEX([3]ESE!$AD$22:$BD$453,MATCH($B1783,[3]ESE!$AD$22:$AD$453,0),23),"NA")</f>
        <v>3615000</v>
      </c>
      <c r="M1783" s="36">
        <v>15000</v>
      </c>
      <c r="N1783" s="36">
        <f t="shared" si="93"/>
        <v>3600000</v>
      </c>
      <c r="O1783" s="36">
        <f t="shared" si="94"/>
        <v>0</v>
      </c>
      <c r="P1783" s="60">
        <f t="shared" si="95"/>
        <v>3600000</v>
      </c>
    </row>
    <row r="1784" spans="2:16">
      <c r="B1784" s="19" t="s">
        <v>1942</v>
      </c>
      <c r="C1784" s="61" t="s">
        <v>3</v>
      </c>
      <c r="D1784" s="20" t="s">
        <v>972</v>
      </c>
      <c r="E1784" s="32" t="s">
        <v>22</v>
      </c>
      <c r="F1784" s="20" t="str">
        <f t="shared" si="90"/>
        <v>Block 21</v>
      </c>
      <c r="G1784" s="20" t="str">
        <f t="shared" si="89"/>
        <v>Lot 21</v>
      </c>
      <c r="H1784" s="40">
        <v>55</v>
      </c>
      <c r="I1784" s="41">
        <v>82</v>
      </c>
      <c r="J1784" s="19" t="s">
        <v>1917</v>
      </c>
      <c r="K1784" s="35" t="s">
        <v>1924</v>
      </c>
      <c r="L1784" s="36">
        <f>IFERROR(INDEX([3]ESE!$AD$22:$BD$453,MATCH($B1784,[3]ESE!$AD$22:$AD$453,0),23),"NA")</f>
        <v>3600000</v>
      </c>
      <c r="M1784" s="36"/>
      <c r="N1784" s="36">
        <f t="shared" si="93"/>
        <v>3600000</v>
      </c>
      <c r="O1784" s="36">
        <f t="shared" si="94"/>
        <v>0</v>
      </c>
      <c r="P1784" s="60">
        <f t="shared" si="95"/>
        <v>3600000</v>
      </c>
    </row>
    <row r="1785" spans="2:16">
      <c r="B1785" s="19" t="s">
        <v>1943</v>
      </c>
      <c r="C1785" s="61" t="s">
        <v>3</v>
      </c>
      <c r="D1785" s="20" t="s">
        <v>972</v>
      </c>
      <c r="E1785" s="32" t="s">
        <v>205</v>
      </c>
      <c r="F1785" s="20" t="str">
        <f t="shared" si="90"/>
        <v>Block 21</v>
      </c>
      <c r="G1785" s="20" t="str">
        <f t="shared" si="89"/>
        <v>Lot 22</v>
      </c>
      <c r="H1785" s="40">
        <v>55</v>
      </c>
      <c r="I1785" s="41">
        <v>83</v>
      </c>
      <c r="J1785" s="19" t="s">
        <v>1917</v>
      </c>
      <c r="K1785" s="35" t="s">
        <v>1926</v>
      </c>
      <c r="L1785" s="36">
        <f>IFERROR(INDEX([3]ESE!$AD$22:$BD$453,MATCH($B1785,[3]ESE!$AD$22:$AD$453,0),23),"NA")</f>
        <v>3615000</v>
      </c>
      <c r="M1785" s="36">
        <v>15000</v>
      </c>
      <c r="N1785" s="36">
        <f t="shared" si="93"/>
        <v>3600000</v>
      </c>
      <c r="O1785" s="36">
        <f t="shared" si="94"/>
        <v>0</v>
      </c>
      <c r="P1785" s="60">
        <f t="shared" si="95"/>
        <v>3600000</v>
      </c>
    </row>
    <row r="1786" spans="2:16">
      <c r="B1786" s="19" t="s">
        <v>1944</v>
      </c>
      <c r="C1786" s="61" t="s">
        <v>3</v>
      </c>
      <c r="D1786" s="20" t="s">
        <v>972</v>
      </c>
      <c r="E1786" s="32" t="s">
        <v>22</v>
      </c>
      <c r="F1786" s="20" t="str">
        <f t="shared" si="90"/>
        <v>Block 21</v>
      </c>
      <c r="G1786" s="20" t="str">
        <f t="shared" si="89"/>
        <v>Lot 23</v>
      </c>
      <c r="H1786" s="40">
        <v>55</v>
      </c>
      <c r="I1786" s="41">
        <v>84</v>
      </c>
      <c r="J1786" s="22" t="s">
        <v>1945</v>
      </c>
      <c r="K1786" s="35" t="s">
        <v>1926</v>
      </c>
      <c r="L1786" s="36">
        <f>IFERROR(INDEX([3]ESE!$AD$22:$BD$453,MATCH($B1786,[3]ESE!$AD$22:$AD$453,0),23),"NA")</f>
        <v>3660000</v>
      </c>
      <c r="M1786" s="36">
        <v>60000</v>
      </c>
      <c r="N1786" s="36">
        <f t="shared" si="93"/>
        <v>3600000</v>
      </c>
      <c r="O1786" s="36">
        <f t="shared" si="94"/>
        <v>0</v>
      </c>
      <c r="P1786" s="60">
        <f t="shared" si="95"/>
        <v>3600000</v>
      </c>
    </row>
    <row r="1787" spans="2:16">
      <c r="B1787" s="19" t="s">
        <v>1946</v>
      </c>
      <c r="C1787" s="61" t="s">
        <v>3</v>
      </c>
      <c r="D1787" s="20" t="s">
        <v>972</v>
      </c>
      <c r="E1787" s="32" t="s">
        <v>22</v>
      </c>
      <c r="F1787" s="20" t="str">
        <f t="shared" si="90"/>
        <v>Block 21</v>
      </c>
      <c r="G1787" s="20" t="str">
        <f t="shared" si="89"/>
        <v>Lot 24</v>
      </c>
      <c r="H1787" s="40">
        <v>55</v>
      </c>
      <c r="I1787" s="41">
        <v>85</v>
      </c>
      <c r="J1787" s="22" t="s">
        <v>1945</v>
      </c>
      <c r="K1787" s="35" t="s">
        <v>1924</v>
      </c>
      <c r="L1787" s="36">
        <f>IFERROR(INDEX([3]ESE!$AD$22:$BD$453,MATCH($B1787,[3]ESE!$AD$22:$AD$453,0),23),"NA")</f>
        <v>3675000</v>
      </c>
      <c r="M1787" s="36">
        <v>75000</v>
      </c>
      <c r="N1787" s="36">
        <f t="shared" si="93"/>
        <v>3600000</v>
      </c>
      <c r="O1787" s="36">
        <f t="shared" si="94"/>
        <v>0</v>
      </c>
      <c r="P1787" s="60">
        <f t="shared" si="95"/>
        <v>3600000</v>
      </c>
    </row>
    <row r="1788" spans="2:16">
      <c r="B1788" s="19" t="s">
        <v>1947</v>
      </c>
      <c r="C1788" s="61" t="s">
        <v>3</v>
      </c>
      <c r="D1788" s="20" t="s">
        <v>972</v>
      </c>
      <c r="E1788" s="32" t="s">
        <v>22</v>
      </c>
      <c r="F1788" s="20" t="str">
        <f t="shared" si="90"/>
        <v>Block 21</v>
      </c>
      <c r="G1788" s="20" t="str">
        <f t="shared" si="89"/>
        <v>Lot 25</v>
      </c>
      <c r="H1788" s="40">
        <v>55</v>
      </c>
      <c r="I1788" s="41">
        <v>86</v>
      </c>
      <c r="J1788" s="19" t="s">
        <v>1917</v>
      </c>
      <c r="K1788" s="35" t="s">
        <v>1918</v>
      </c>
      <c r="L1788" s="36">
        <f>IFERROR(INDEX([3]ESE!$AD$22:$BD$453,MATCH($B1788,[3]ESE!$AD$22:$AD$453,0),23),"NA")</f>
        <v>3690000</v>
      </c>
      <c r="M1788" s="36">
        <v>90000</v>
      </c>
      <c r="N1788" s="36">
        <f t="shared" si="93"/>
        <v>3600000</v>
      </c>
      <c r="O1788" s="36">
        <f t="shared" si="94"/>
        <v>0</v>
      </c>
      <c r="P1788" s="60">
        <f t="shared" si="95"/>
        <v>3600000</v>
      </c>
    </row>
    <row r="1789" spans="2:16">
      <c r="B1789" s="19" t="s">
        <v>1948</v>
      </c>
      <c r="C1789" s="61" t="s">
        <v>3</v>
      </c>
      <c r="D1789" s="20" t="s">
        <v>972</v>
      </c>
      <c r="E1789" s="32" t="s">
        <v>22</v>
      </c>
      <c r="F1789" s="20" t="str">
        <f t="shared" si="90"/>
        <v>Block 21</v>
      </c>
      <c r="G1789" s="20" t="str">
        <f t="shared" si="89"/>
        <v>Lot 26</v>
      </c>
      <c r="H1789" s="40">
        <v>55</v>
      </c>
      <c r="I1789" s="41">
        <v>86</v>
      </c>
      <c r="J1789" s="19" t="s">
        <v>1917</v>
      </c>
      <c r="K1789" s="35" t="s">
        <v>1920</v>
      </c>
      <c r="L1789" s="36">
        <f>IFERROR(INDEX([3]ESE!$AD$22:$BD$453,MATCH($B1789,[3]ESE!$AD$22:$AD$453,0),23),"NA")</f>
        <v>3690000</v>
      </c>
      <c r="M1789" s="36">
        <v>90000</v>
      </c>
      <c r="N1789" s="36">
        <f t="shared" si="93"/>
        <v>3600000</v>
      </c>
      <c r="O1789" s="36">
        <f t="shared" si="94"/>
        <v>0</v>
      </c>
      <c r="P1789" s="60">
        <f t="shared" si="95"/>
        <v>3600000</v>
      </c>
    </row>
    <row r="1790" spans="2:16">
      <c r="B1790" s="19" t="s">
        <v>1949</v>
      </c>
      <c r="C1790" s="61" t="s">
        <v>3</v>
      </c>
      <c r="D1790" s="20" t="s">
        <v>972</v>
      </c>
      <c r="E1790" s="32" t="s">
        <v>22</v>
      </c>
      <c r="F1790" s="20" t="str">
        <f t="shared" si="90"/>
        <v>Block 21</v>
      </c>
      <c r="G1790" s="20" t="str">
        <f t="shared" si="89"/>
        <v>Lot 27</v>
      </c>
      <c r="H1790" s="40" t="s">
        <v>99</v>
      </c>
      <c r="I1790" s="41">
        <v>139</v>
      </c>
      <c r="J1790" s="20" t="s">
        <v>100</v>
      </c>
      <c r="K1790" s="35" t="s">
        <v>982</v>
      </c>
      <c r="L1790" s="36">
        <f>IFERROR(INDEX([3]ESE!$AD$22:$BD$453,MATCH($B1790,[3]ESE!$AD$22:$AD$453,0),23),"NA")</f>
        <v>2502000</v>
      </c>
      <c r="M1790" s="36"/>
      <c r="N1790" s="36">
        <f>L1790-M1790</f>
        <v>2502000</v>
      </c>
      <c r="O1790" s="36">
        <f>L1790*12/112</f>
        <v>268071.42857142858</v>
      </c>
      <c r="P1790" s="60">
        <f>N1790-O1790</f>
        <v>2233928.5714285714</v>
      </c>
    </row>
    <row r="1791" spans="2:16">
      <c r="B1791" s="19" t="s">
        <v>1950</v>
      </c>
      <c r="C1791" s="61" t="s">
        <v>3</v>
      </c>
      <c r="D1791" s="20" t="s">
        <v>980</v>
      </c>
      <c r="E1791" s="32" t="s">
        <v>205</v>
      </c>
      <c r="F1791" s="20" t="str">
        <f t="shared" si="90"/>
        <v>Block 22</v>
      </c>
      <c r="G1791" s="20" t="str">
        <f t="shared" si="89"/>
        <v>Lot 01</v>
      </c>
      <c r="H1791" s="40" t="s">
        <v>99</v>
      </c>
      <c r="I1791" s="41">
        <v>117</v>
      </c>
      <c r="J1791" s="20" t="s">
        <v>100</v>
      </c>
      <c r="K1791" s="35" t="s">
        <v>982</v>
      </c>
      <c r="L1791" s="36">
        <f>IFERROR(INDEX([3]ESE!$AD$22:$BD$453,MATCH($B1791,[3]ESE!$AD$22:$AD$453,0),23),"NA")</f>
        <v>2106000</v>
      </c>
      <c r="M1791" s="36"/>
      <c r="N1791" s="36">
        <f>L1791-M1791</f>
        <v>2106000</v>
      </c>
      <c r="O1791" s="36">
        <f>L1791*12/112</f>
        <v>225642.85714285713</v>
      </c>
      <c r="P1791" s="60">
        <f>N1791-O1791</f>
        <v>1880357.142857143</v>
      </c>
    </row>
    <row r="1792" spans="2:16">
      <c r="B1792" s="19" t="s">
        <v>1951</v>
      </c>
      <c r="C1792" s="61" t="s">
        <v>3</v>
      </c>
      <c r="D1792" s="20" t="s">
        <v>1952</v>
      </c>
      <c r="E1792" s="32" t="s">
        <v>205</v>
      </c>
      <c r="F1792" s="20" t="str">
        <f t="shared" si="90"/>
        <v>Block 22</v>
      </c>
      <c r="G1792" s="20" t="str">
        <f t="shared" si="89"/>
        <v>Lot 02</v>
      </c>
      <c r="H1792" s="40">
        <v>55</v>
      </c>
      <c r="I1792" s="41">
        <v>80</v>
      </c>
      <c r="J1792" s="19" t="s">
        <v>1917</v>
      </c>
      <c r="K1792" s="35" t="s">
        <v>1926</v>
      </c>
      <c r="L1792" s="36">
        <f>IFERROR(INDEX([3]ESE!$AD$22:$BD$453,MATCH($B1792,[3]ESE!$AD$22:$AD$453,0),23),"NA")</f>
        <v>3600000</v>
      </c>
      <c r="M1792" s="36"/>
      <c r="N1792" s="36">
        <f t="shared" ref="N1792:N1809" si="96">L1792-M1792</f>
        <v>3600000</v>
      </c>
      <c r="O1792" s="36">
        <f t="shared" ref="O1792:O1809" si="97">IF(N1792&lt;=3600000,0,N1792*12%)</f>
        <v>0</v>
      </c>
      <c r="P1792" s="60">
        <f t="shared" ref="P1792:P1809" si="98">N1792-O1792</f>
        <v>3600000</v>
      </c>
    </row>
    <row r="1793" spans="2:16">
      <c r="B1793" s="19" t="s">
        <v>1953</v>
      </c>
      <c r="C1793" s="61" t="s">
        <v>3</v>
      </c>
      <c r="D1793" s="20" t="s">
        <v>1952</v>
      </c>
      <c r="E1793" s="32" t="s">
        <v>205</v>
      </c>
      <c r="F1793" s="20" t="str">
        <f t="shared" si="90"/>
        <v>Block 22</v>
      </c>
      <c r="G1793" s="20" t="str">
        <f t="shared" si="89"/>
        <v>Lot 03</v>
      </c>
      <c r="H1793" s="40">
        <v>55</v>
      </c>
      <c r="I1793" s="41">
        <v>80</v>
      </c>
      <c r="J1793" s="19" t="s">
        <v>1917</v>
      </c>
      <c r="K1793" s="35" t="s">
        <v>1924</v>
      </c>
      <c r="L1793" s="36">
        <f>IFERROR(INDEX([3]ESE!$AD$22:$BD$453,MATCH($B1793,[3]ESE!$AD$22:$AD$453,0),23),"NA")</f>
        <v>3600000</v>
      </c>
      <c r="M1793" s="36"/>
      <c r="N1793" s="36">
        <f t="shared" si="96"/>
        <v>3600000</v>
      </c>
      <c r="O1793" s="36">
        <f t="shared" si="97"/>
        <v>0</v>
      </c>
      <c r="P1793" s="60">
        <f t="shared" si="98"/>
        <v>3600000</v>
      </c>
    </row>
    <row r="1794" spans="2:16">
      <c r="B1794" s="19" t="s">
        <v>1954</v>
      </c>
      <c r="C1794" s="61" t="s">
        <v>3</v>
      </c>
      <c r="D1794" s="20" t="s">
        <v>1952</v>
      </c>
      <c r="E1794" s="32" t="s">
        <v>205</v>
      </c>
      <c r="F1794" s="20" t="str">
        <f t="shared" si="90"/>
        <v>Block 22</v>
      </c>
      <c r="G1794" s="20" t="str">
        <f t="shared" si="89"/>
        <v>Lot 04</v>
      </c>
      <c r="H1794" s="40">
        <v>55</v>
      </c>
      <c r="I1794" s="41">
        <v>80</v>
      </c>
      <c r="J1794" s="19" t="s">
        <v>1917</v>
      </c>
      <c r="K1794" s="35" t="s">
        <v>1924</v>
      </c>
      <c r="L1794" s="36">
        <f>IFERROR(INDEX([3]ESE!$AD$22:$BD$453,MATCH($B1794,[3]ESE!$AD$22:$AD$453,0),23),"NA")</f>
        <v>3600000</v>
      </c>
      <c r="M1794" s="36"/>
      <c r="N1794" s="36">
        <f t="shared" si="96"/>
        <v>3600000</v>
      </c>
      <c r="O1794" s="36">
        <f t="shared" si="97"/>
        <v>0</v>
      </c>
      <c r="P1794" s="60">
        <f t="shared" si="98"/>
        <v>3600000</v>
      </c>
    </row>
    <row r="1795" spans="2:16">
      <c r="B1795" s="19" t="s">
        <v>1955</v>
      </c>
      <c r="C1795" s="61" t="s">
        <v>3</v>
      </c>
      <c r="D1795" s="20" t="s">
        <v>1952</v>
      </c>
      <c r="E1795" s="32" t="s">
        <v>205</v>
      </c>
      <c r="F1795" s="20" t="str">
        <f t="shared" si="90"/>
        <v>Block 22</v>
      </c>
      <c r="G1795" s="20" t="str">
        <f t="shared" si="89"/>
        <v>Lot 05</v>
      </c>
      <c r="H1795" s="40">
        <v>55</v>
      </c>
      <c r="I1795" s="41">
        <v>80</v>
      </c>
      <c r="J1795" s="19" t="s">
        <v>1917</v>
      </c>
      <c r="K1795" s="35" t="s">
        <v>1926</v>
      </c>
      <c r="L1795" s="36">
        <f>IFERROR(INDEX([3]ESE!$AD$22:$BD$453,MATCH($B1795,[3]ESE!$AD$22:$AD$453,0),23),"NA")</f>
        <v>3600000</v>
      </c>
      <c r="M1795" s="36"/>
      <c r="N1795" s="36">
        <f t="shared" si="96"/>
        <v>3600000</v>
      </c>
      <c r="O1795" s="36">
        <f t="shared" si="97"/>
        <v>0</v>
      </c>
      <c r="P1795" s="60">
        <f t="shared" si="98"/>
        <v>3600000</v>
      </c>
    </row>
    <row r="1796" spans="2:16">
      <c r="B1796" s="19" t="s">
        <v>1956</v>
      </c>
      <c r="C1796" s="61" t="s">
        <v>3</v>
      </c>
      <c r="D1796" s="20" t="s">
        <v>1957</v>
      </c>
      <c r="E1796" s="32" t="s">
        <v>205</v>
      </c>
      <c r="F1796" s="20" t="str">
        <f t="shared" si="90"/>
        <v>Block 22</v>
      </c>
      <c r="G1796" s="20" t="str">
        <f t="shared" si="89"/>
        <v>Lot 06</v>
      </c>
      <c r="H1796" s="40">
        <v>55</v>
      </c>
      <c r="I1796" s="41">
        <v>80</v>
      </c>
      <c r="J1796" s="19" t="s">
        <v>1917</v>
      </c>
      <c r="K1796" s="35" t="s">
        <v>1920</v>
      </c>
      <c r="L1796" s="36">
        <f>IFERROR(INDEX([3]ESE!$AD$22:$BD$453,MATCH($B1796,[3]ESE!$AD$22:$AD$453,0),23),"NA")</f>
        <v>3600000</v>
      </c>
      <c r="M1796" s="36"/>
      <c r="N1796" s="36">
        <f t="shared" si="96"/>
        <v>3600000</v>
      </c>
      <c r="O1796" s="36">
        <f t="shared" si="97"/>
        <v>0</v>
      </c>
      <c r="P1796" s="60">
        <f t="shared" si="98"/>
        <v>3600000</v>
      </c>
    </row>
    <row r="1797" spans="2:16">
      <c r="B1797" s="19" t="s">
        <v>1958</v>
      </c>
      <c r="C1797" s="61" t="s">
        <v>3</v>
      </c>
      <c r="D1797" s="20" t="s">
        <v>1957</v>
      </c>
      <c r="E1797" s="32" t="s">
        <v>205</v>
      </c>
      <c r="F1797" s="20" t="str">
        <f t="shared" si="90"/>
        <v>Block 22</v>
      </c>
      <c r="G1797" s="20" t="str">
        <f t="shared" si="89"/>
        <v>Lot 07</v>
      </c>
      <c r="H1797" s="40">
        <v>55</v>
      </c>
      <c r="I1797" s="41">
        <v>80</v>
      </c>
      <c r="J1797" s="19" t="s">
        <v>1917</v>
      </c>
      <c r="K1797" s="35" t="s">
        <v>1918</v>
      </c>
      <c r="L1797" s="36">
        <f>IFERROR(INDEX([3]ESE!$AD$22:$BD$453,MATCH($B1797,[3]ESE!$AD$22:$AD$453,0),23),"NA")</f>
        <v>3600000</v>
      </c>
      <c r="M1797" s="36"/>
      <c r="N1797" s="36">
        <f t="shared" si="96"/>
        <v>3600000</v>
      </c>
      <c r="O1797" s="36">
        <f t="shared" si="97"/>
        <v>0</v>
      </c>
      <c r="P1797" s="60">
        <f t="shared" si="98"/>
        <v>3600000</v>
      </c>
    </row>
    <row r="1798" spans="2:16">
      <c r="B1798" s="19" t="s">
        <v>1959</v>
      </c>
      <c r="C1798" s="61" t="s">
        <v>3</v>
      </c>
      <c r="D1798" s="20" t="s">
        <v>1957</v>
      </c>
      <c r="E1798" s="32" t="s">
        <v>205</v>
      </c>
      <c r="F1798" s="20" t="str">
        <f t="shared" si="90"/>
        <v>Block 22</v>
      </c>
      <c r="G1798" s="20" t="str">
        <f t="shared" si="89"/>
        <v>Lot 08</v>
      </c>
      <c r="H1798" s="40">
        <v>55</v>
      </c>
      <c r="I1798" s="41">
        <v>80</v>
      </c>
      <c r="J1798" s="19" t="s">
        <v>1917</v>
      </c>
      <c r="K1798" s="35" t="s">
        <v>1918</v>
      </c>
      <c r="L1798" s="36">
        <f>IFERROR(INDEX([3]ESE!$AD$22:$BD$453,MATCH($B1798,[3]ESE!$AD$22:$AD$453,0),23),"NA")</f>
        <v>3600000</v>
      </c>
      <c r="M1798" s="36"/>
      <c r="N1798" s="36">
        <f t="shared" si="96"/>
        <v>3600000</v>
      </c>
      <c r="O1798" s="36">
        <f t="shared" si="97"/>
        <v>0</v>
      </c>
      <c r="P1798" s="60">
        <f t="shared" si="98"/>
        <v>3600000</v>
      </c>
    </row>
    <row r="1799" spans="2:16">
      <c r="B1799" s="19" t="s">
        <v>1960</v>
      </c>
      <c r="C1799" s="61" t="s">
        <v>3</v>
      </c>
      <c r="D1799" s="20" t="s">
        <v>1957</v>
      </c>
      <c r="E1799" s="32" t="s">
        <v>205</v>
      </c>
      <c r="F1799" s="20" t="str">
        <f t="shared" si="90"/>
        <v>Block 22</v>
      </c>
      <c r="G1799" s="20" t="str">
        <f t="shared" si="89"/>
        <v>Lot 09</v>
      </c>
      <c r="H1799" s="40">
        <v>55</v>
      </c>
      <c r="I1799" s="41">
        <v>80</v>
      </c>
      <c r="J1799" s="19" t="s">
        <v>1917</v>
      </c>
      <c r="K1799" s="35" t="s">
        <v>1920</v>
      </c>
      <c r="L1799" s="36">
        <f>IFERROR(INDEX([3]ESE!$AD$22:$BD$453,MATCH($B1799,[3]ESE!$AD$22:$AD$453,0),23),"NA")</f>
        <v>3600000</v>
      </c>
      <c r="M1799" s="36"/>
      <c r="N1799" s="36">
        <f t="shared" si="96"/>
        <v>3600000</v>
      </c>
      <c r="O1799" s="36">
        <f t="shared" si="97"/>
        <v>0</v>
      </c>
      <c r="P1799" s="60">
        <f t="shared" si="98"/>
        <v>3600000</v>
      </c>
    </row>
    <row r="1800" spans="2:16">
      <c r="B1800" s="19" t="s">
        <v>1961</v>
      </c>
      <c r="C1800" s="61" t="s">
        <v>3</v>
      </c>
      <c r="D1800" s="20" t="s">
        <v>1957</v>
      </c>
      <c r="E1800" s="32" t="s">
        <v>243</v>
      </c>
      <c r="F1800" s="20" t="str">
        <f t="shared" si="90"/>
        <v>Block 22</v>
      </c>
      <c r="G1800" s="20" t="str">
        <f t="shared" si="89"/>
        <v>Lot 10</v>
      </c>
      <c r="H1800" s="40">
        <v>55</v>
      </c>
      <c r="I1800" s="41">
        <v>80</v>
      </c>
      <c r="J1800" s="19" t="s">
        <v>1917</v>
      </c>
      <c r="K1800" s="35" t="s">
        <v>1926</v>
      </c>
      <c r="L1800" s="36">
        <f>IFERROR(INDEX([3]ESE!$AD$22:$BD$453,MATCH($B1800,[3]ESE!$AD$22:$AD$453,0),23),"NA")</f>
        <v>3600000</v>
      </c>
      <c r="M1800" s="36"/>
      <c r="N1800" s="36">
        <f t="shared" si="96"/>
        <v>3600000</v>
      </c>
      <c r="O1800" s="36">
        <f t="shared" si="97"/>
        <v>0</v>
      </c>
      <c r="P1800" s="60">
        <f t="shared" si="98"/>
        <v>3600000</v>
      </c>
    </row>
    <row r="1801" spans="2:16">
      <c r="B1801" s="19" t="s">
        <v>1962</v>
      </c>
      <c r="C1801" s="61" t="s">
        <v>3</v>
      </c>
      <c r="D1801" s="20" t="s">
        <v>1957</v>
      </c>
      <c r="E1801" s="32" t="s">
        <v>205</v>
      </c>
      <c r="F1801" s="20" t="str">
        <f t="shared" si="90"/>
        <v>Block 22</v>
      </c>
      <c r="G1801" s="20" t="str">
        <f t="shared" si="89"/>
        <v>Lot 11</v>
      </c>
      <c r="H1801" s="40">
        <v>55</v>
      </c>
      <c r="I1801" s="41">
        <v>80</v>
      </c>
      <c r="J1801" s="19" t="s">
        <v>1917</v>
      </c>
      <c r="K1801" s="35" t="s">
        <v>1924</v>
      </c>
      <c r="L1801" s="36">
        <f>IFERROR(INDEX([3]ESE!$AD$22:$BD$453,MATCH($B1801,[3]ESE!$AD$22:$AD$453,0),23),"NA")</f>
        <v>3600000</v>
      </c>
      <c r="M1801" s="36"/>
      <c r="N1801" s="36">
        <f t="shared" si="96"/>
        <v>3600000</v>
      </c>
      <c r="O1801" s="36">
        <f t="shared" si="97"/>
        <v>0</v>
      </c>
      <c r="P1801" s="60">
        <f t="shared" si="98"/>
        <v>3600000</v>
      </c>
    </row>
    <row r="1802" spans="2:16">
      <c r="B1802" s="19" t="s">
        <v>1963</v>
      </c>
      <c r="C1802" s="61" t="s">
        <v>3</v>
      </c>
      <c r="D1802" s="20" t="s">
        <v>1957</v>
      </c>
      <c r="E1802" s="32" t="s">
        <v>205</v>
      </c>
      <c r="F1802" s="20" t="str">
        <f t="shared" si="90"/>
        <v>Block 22</v>
      </c>
      <c r="G1802" s="20" t="str">
        <f t="shared" si="89"/>
        <v>Lot 12</v>
      </c>
      <c r="H1802" s="40">
        <v>55</v>
      </c>
      <c r="I1802" s="41">
        <v>80</v>
      </c>
      <c r="J1802" s="19" t="s">
        <v>1917</v>
      </c>
      <c r="K1802" s="35" t="s">
        <v>1924</v>
      </c>
      <c r="L1802" s="36">
        <f>IFERROR(INDEX([3]ESE!$AD$22:$BD$453,MATCH($B1802,[3]ESE!$AD$22:$AD$453,0),23),"NA")</f>
        <v>3600000</v>
      </c>
      <c r="M1802" s="36"/>
      <c r="N1802" s="36">
        <f t="shared" si="96"/>
        <v>3600000</v>
      </c>
      <c r="O1802" s="36">
        <f t="shared" si="97"/>
        <v>0</v>
      </c>
      <c r="P1802" s="60">
        <f t="shared" si="98"/>
        <v>3600000</v>
      </c>
    </row>
    <row r="1803" spans="2:16">
      <c r="B1803" s="19" t="s">
        <v>1964</v>
      </c>
      <c r="C1803" s="61" t="s">
        <v>3</v>
      </c>
      <c r="D1803" s="20" t="s">
        <v>1957</v>
      </c>
      <c r="E1803" s="32" t="s">
        <v>205</v>
      </c>
      <c r="F1803" s="20" t="str">
        <f t="shared" si="90"/>
        <v>Block 22</v>
      </c>
      <c r="G1803" s="20" t="str">
        <f t="shared" si="89"/>
        <v>Lot 13</v>
      </c>
      <c r="H1803" s="40">
        <v>55</v>
      </c>
      <c r="I1803" s="41">
        <v>80</v>
      </c>
      <c r="J1803" s="19" t="s">
        <v>1917</v>
      </c>
      <c r="K1803" s="35" t="s">
        <v>1926</v>
      </c>
      <c r="L1803" s="36">
        <f>IFERROR(INDEX([3]ESE!$AD$22:$BD$453,MATCH($B1803,[3]ESE!$AD$22:$AD$453,0),23),"NA")</f>
        <v>3600000</v>
      </c>
      <c r="M1803" s="36"/>
      <c r="N1803" s="36">
        <f t="shared" si="96"/>
        <v>3600000</v>
      </c>
      <c r="O1803" s="36">
        <f t="shared" si="97"/>
        <v>0</v>
      </c>
      <c r="P1803" s="60">
        <f t="shared" si="98"/>
        <v>3600000</v>
      </c>
    </row>
    <row r="1804" spans="2:16">
      <c r="B1804" s="19" t="s">
        <v>1965</v>
      </c>
      <c r="C1804" s="61" t="s">
        <v>3</v>
      </c>
      <c r="D1804" s="20" t="s">
        <v>1966</v>
      </c>
      <c r="E1804" s="32" t="s">
        <v>205</v>
      </c>
      <c r="F1804" s="20" t="str">
        <f t="shared" si="90"/>
        <v>Block 22</v>
      </c>
      <c r="G1804" s="20" t="str">
        <f t="shared" si="89"/>
        <v>Lot 14</v>
      </c>
      <c r="H1804" s="40">
        <v>55</v>
      </c>
      <c r="I1804" s="41">
        <v>80</v>
      </c>
      <c r="J1804" s="19" t="s">
        <v>1917</v>
      </c>
      <c r="K1804" s="35" t="s">
        <v>1920</v>
      </c>
      <c r="L1804" s="36">
        <f>IFERROR(INDEX([3]ESE!$AD$22:$BD$453,MATCH($B1804,[3]ESE!$AD$22:$AD$453,0),23),"NA")</f>
        <v>3600000</v>
      </c>
      <c r="M1804" s="36"/>
      <c r="N1804" s="36">
        <f t="shared" si="96"/>
        <v>3600000</v>
      </c>
      <c r="O1804" s="36">
        <f t="shared" si="97"/>
        <v>0</v>
      </c>
      <c r="P1804" s="60">
        <f t="shared" si="98"/>
        <v>3600000</v>
      </c>
    </row>
    <row r="1805" spans="2:16">
      <c r="B1805" s="19" t="s">
        <v>1967</v>
      </c>
      <c r="C1805" s="61" t="s">
        <v>3</v>
      </c>
      <c r="D1805" s="20" t="s">
        <v>1966</v>
      </c>
      <c r="E1805" s="32" t="s">
        <v>205</v>
      </c>
      <c r="F1805" s="20" t="str">
        <f t="shared" si="90"/>
        <v>Block 22</v>
      </c>
      <c r="G1805" s="20" t="str">
        <f t="shared" si="89"/>
        <v>Lot 15</v>
      </c>
      <c r="H1805" s="40">
        <v>55</v>
      </c>
      <c r="I1805" s="41">
        <v>80</v>
      </c>
      <c r="J1805" s="19" t="s">
        <v>1917</v>
      </c>
      <c r="K1805" s="35" t="s">
        <v>1918</v>
      </c>
      <c r="L1805" s="36">
        <f>IFERROR(INDEX([3]ESE!$AD$22:$BD$453,MATCH($B1805,[3]ESE!$AD$22:$AD$453,0),23),"NA")</f>
        <v>3600000</v>
      </c>
      <c r="M1805" s="36"/>
      <c r="N1805" s="36">
        <f t="shared" si="96"/>
        <v>3600000</v>
      </c>
      <c r="O1805" s="36">
        <f t="shared" si="97"/>
        <v>0</v>
      </c>
      <c r="P1805" s="60">
        <f t="shared" si="98"/>
        <v>3600000</v>
      </c>
    </row>
    <row r="1806" spans="2:16">
      <c r="B1806" s="19" t="s">
        <v>1968</v>
      </c>
      <c r="C1806" s="61" t="s">
        <v>3</v>
      </c>
      <c r="D1806" s="20" t="s">
        <v>1966</v>
      </c>
      <c r="E1806" s="32" t="s">
        <v>205</v>
      </c>
      <c r="F1806" s="20" t="str">
        <f t="shared" si="90"/>
        <v>Block 22</v>
      </c>
      <c r="G1806" s="20" t="str">
        <f t="shared" si="89"/>
        <v>Lot 16</v>
      </c>
      <c r="H1806" s="40">
        <v>55</v>
      </c>
      <c r="I1806" s="41">
        <v>80</v>
      </c>
      <c r="J1806" s="19" t="s">
        <v>1917</v>
      </c>
      <c r="K1806" s="35" t="s">
        <v>1918</v>
      </c>
      <c r="L1806" s="36">
        <f>IFERROR(INDEX([3]ESE!$AD$22:$BD$453,MATCH($B1806,[3]ESE!$AD$22:$AD$453,0),23),"NA")</f>
        <v>3600000</v>
      </c>
      <c r="M1806" s="36"/>
      <c r="N1806" s="36">
        <f t="shared" si="96"/>
        <v>3600000</v>
      </c>
      <c r="O1806" s="36">
        <f t="shared" si="97"/>
        <v>0</v>
      </c>
      <c r="P1806" s="60">
        <f t="shared" si="98"/>
        <v>3600000</v>
      </c>
    </row>
    <row r="1807" spans="2:16">
      <c r="B1807" s="19" t="s">
        <v>1969</v>
      </c>
      <c r="C1807" s="61" t="s">
        <v>3</v>
      </c>
      <c r="D1807" s="20" t="s">
        <v>1966</v>
      </c>
      <c r="E1807" s="32" t="s">
        <v>205</v>
      </c>
      <c r="F1807" s="20" t="str">
        <f t="shared" si="90"/>
        <v>Block 22</v>
      </c>
      <c r="G1807" s="20" t="str">
        <f t="shared" si="89"/>
        <v>Lot 17</v>
      </c>
      <c r="H1807" s="40">
        <v>55</v>
      </c>
      <c r="I1807" s="41">
        <v>80</v>
      </c>
      <c r="J1807" s="19" t="s">
        <v>1917</v>
      </c>
      <c r="K1807" s="35" t="s">
        <v>1920</v>
      </c>
      <c r="L1807" s="36">
        <f>IFERROR(INDEX([3]ESE!$AD$22:$BD$453,MATCH($B1807,[3]ESE!$AD$22:$AD$453,0),23),"NA")</f>
        <v>3600000</v>
      </c>
      <c r="M1807" s="36"/>
      <c r="N1807" s="36">
        <f t="shared" si="96"/>
        <v>3600000</v>
      </c>
      <c r="O1807" s="36">
        <f t="shared" si="97"/>
        <v>0</v>
      </c>
      <c r="P1807" s="60">
        <f t="shared" si="98"/>
        <v>3600000</v>
      </c>
    </row>
    <row r="1808" spans="2:16">
      <c r="B1808" s="19" t="s">
        <v>1970</v>
      </c>
      <c r="C1808" s="61" t="s">
        <v>3</v>
      </c>
      <c r="D1808" s="20" t="s">
        <v>972</v>
      </c>
      <c r="E1808" s="32" t="s">
        <v>205</v>
      </c>
      <c r="F1808" s="20" t="str">
        <f t="shared" si="90"/>
        <v>Block 22</v>
      </c>
      <c r="G1808" s="20" t="str">
        <f t="shared" si="89"/>
        <v>Lot 18</v>
      </c>
      <c r="H1808" s="40">
        <v>55</v>
      </c>
      <c r="I1808" s="41">
        <v>80</v>
      </c>
      <c r="J1808" s="19" t="s">
        <v>1917</v>
      </c>
      <c r="K1808" s="35" t="s">
        <v>1926</v>
      </c>
      <c r="L1808" s="36">
        <f>IFERROR(INDEX([3]ESE!$AD$22:$BD$453,MATCH($B1808,[3]ESE!$AD$22:$AD$453,0),23),"NA")</f>
        <v>3600000</v>
      </c>
      <c r="M1808" s="36"/>
      <c r="N1808" s="36">
        <f t="shared" si="96"/>
        <v>3600000</v>
      </c>
      <c r="O1808" s="36">
        <f t="shared" si="97"/>
        <v>0</v>
      </c>
      <c r="P1808" s="60">
        <f t="shared" si="98"/>
        <v>3600000</v>
      </c>
    </row>
    <row r="1809" spans="2:16">
      <c r="B1809" s="19" t="s">
        <v>1971</v>
      </c>
      <c r="C1809" s="61" t="s">
        <v>3</v>
      </c>
      <c r="D1809" s="20" t="s">
        <v>972</v>
      </c>
      <c r="E1809" s="32" t="s">
        <v>205</v>
      </c>
      <c r="F1809" s="20" t="str">
        <f t="shared" si="90"/>
        <v>Block 22</v>
      </c>
      <c r="G1809" s="20" t="str">
        <f t="shared" si="89"/>
        <v>Lot 19</v>
      </c>
      <c r="H1809" s="40">
        <v>55</v>
      </c>
      <c r="I1809" s="41">
        <v>103</v>
      </c>
      <c r="J1809" s="19" t="s">
        <v>1917</v>
      </c>
      <c r="K1809" s="35" t="s">
        <v>1924</v>
      </c>
      <c r="L1809" s="36">
        <f>IFERROR(INDEX([3]ESE!$AD$22:$BD$453,MATCH($B1809,[3]ESE!$AD$22:$AD$453,0),23),"NA")</f>
        <v>3945000</v>
      </c>
      <c r="M1809" s="36"/>
      <c r="N1809" s="36">
        <f t="shared" si="96"/>
        <v>3945000</v>
      </c>
      <c r="O1809" s="36">
        <f t="shared" si="97"/>
        <v>473400</v>
      </c>
      <c r="P1809" s="60">
        <f t="shared" si="98"/>
        <v>3471600</v>
      </c>
    </row>
    <row r="1810" spans="2:16">
      <c r="B1810" s="19" t="s">
        <v>1972</v>
      </c>
      <c r="C1810" s="61" t="s">
        <v>3</v>
      </c>
      <c r="D1810" s="20" t="s">
        <v>980</v>
      </c>
      <c r="E1810" s="32" t="s">
        <v>233</v>
      </c>
      <c r="F1810" s="20" t="str">
        <f t="shared" si="90"/>
        <v>Block 22</v>
      </c>
      <c r="G1810" s="20" t="str">
        <f t="shared" si="89"/>
        <v>Lot 20</v>
      </c>
      <c r="H1810" s="40" t="s">
        <v>99</v>
      </c>
      <c r="I1810" s="41">
        <v>109</v>
      </c>
      <c r="J1810" s="20" t="s">
        <v>100</v>
      </c>
      <c r="K1810" s="35" t="s">
        <v>982</v>
      </c>
      <c r="L1810" s="36">
        <f>IFERROR(INDEX([3]ESE!$AD$22:$BD$453,MATCH($B1810,[3]ESE!$AD$22:$AD$453,0),23),"NA")</f>
        <v>1635000</v>
      </c>
      <c r="M1810" s="36"/>
      <c r="N1810" s="36">
        <f>L1810-M1810</f>
        <v>1635000</v>
      </c>
      <c r="O1810" s="36">
        <f>L1810*12/112</f>
        <v>175178.57142857142</v>
      </c>
      <c r="P1810" s="60">
        <f>N1810-O1810</f>
        <v>1459821.4285714286</v>
      </c>
    </row>
    <row r="1811" spans="2:16">
      <c r="B1811" s="19" t="s">
        <v>1973</v>
      </c>
      <c r="C1811" s="61" t="s">
        <v>3</v>
      </c>
      <c r="D1811" s="20" t="s">
        <v>972</v>
      </c>
      <c r="E1811" s="32" t="s">
        <v>243</v>
      </c>
      <c r="F1811" s="20" t="str">
        <f t="shared" si="90"/>
        <v>Block 22</v>
      </c>
      <c r="G1811" s="20" t="str">
        <f t="shared" si="89"/>
        <v>Lot 21</v>
      </c>
      <c r="H1811" s="40">
        <v>55</v>
      </c>
      <c r="I1811" s="41">
        <v>80</v>
      </c>
      <c r="J1811" s="19" t="s">
        <v>1917</v>
      </c>
      <c r="K1811" s="35" t="s">
        <v>1918</v>
      </c>
      <c r="L1811" s="36">
        <f>IFERROR(INDEX([3]ESE!$AD$22:$BD$453,MATCH($B1811,[3]ESE!$AD$22:$AD$453,0),23),"NA")</f>
        <v>3600000</v>
      </c>
      <c r="M1811" s="36"/>
      <c r="N1811" s="36">
        <f t="shared" ref="N1811:N1828" si="99">L1811-M1811</f>
        <v>3600000</v>
      </c>
      <c r="O1811" s="36">
        <f t="shared" ref="O1811:O1828" si="100">IF(N1811&lt;=3600000,0,N1811*12%)</f>
        <v>0</v>
      </c>
      <c r="P1811" s="60">
        <f t="shared" ref="P1811:P1828" si="101">N1811-O1811</f>
        <v>3600000</v>
      </c>
    </row>
    <row r="1812" spans="2:16">
      <c r="B1812" s="19" t="s">
        <v>1974</v>
      </c>
      <c r="C1812" s="61" t="s">
        <v>3</v>
      </c>
      <c r="D1812" s="20" t="s">
        <v>972</v>
      </c>
      <c r="E1812" s="32" t="s">
        <v>205</v>
      </c>
      <c r="F1812" s="20" t="str">
        <f t="shared" si="90"/>
        <v>Block 22</v>
      </c>
      <c r="G1812" s="20" t="str">
        <f t="shared" si="89"/>
        <v>Lot 22</v>
      </c>
      <c r="H1812" s="40">
        <v>55</v>
      </c>
      <c r="I1812" s="41">
        <v>80</v>
      </c>
      <c r="J1812" s="19" t="s">
        <v>1917</v>
      </c>
      <c r="K1812" s="35" t="s">
        <v>1920</v>
      </c>
      <c r="L1812" s="36">
        <f>IFERROR(INDEX([3]ESE!$AD$22:$BD$453,MATCH($B1812,[3]ESE!$AD$22:$AD$453,0),23),"NA")</f>
        <v>3600000</v>
      </c>
      <c r="M1812" s="36"/>
      <c r="N1812" s="36">
        <f t="shared" si="99"/>
        <v>3600000</v>
      </c>
      <c r="O1812" s="36">
        <f t="shared" si="100"/>
        <v>0</v>
      </c>
      <c r="P1812" s="60">
        <f t="shared" si="101"/>
        <v>3600000</v>
      </c>
    </row>
    <row r="1813" spans="2:16">
      <c r="B1813" s="19" t="s">
        <v>1975</v>
      </c>
      <c r="C1813" s="61" t="s">
        <v>3</v>
      </c>
      <c r="D1813" s="20" t="s">
        <v>1966</v>
      </c>
      <c r="E1813" s="32" t="s">
        <v>205</v>
      </c>
      <c r="F1813" s="20" t="str">
        <f t="shared" si="90"/>
        <v>Block 22</v>
      </c>
      <c r="G1813" s="20" t="str">
        <f t="shared" si="89"/>
        <v>Lot 23</v>
      </c>
      <c r="H1813" s="40">
        <v>55</v>
      </c>
      <c r="I1813" s="41">
        <v>80</v>
      </c>
      <c r="J1813" s="19" t="s">
        <v>1917</v>
      </c>
      <c r="K1813" s="35" t="s">
        <v>1920</v>
      </c>
      <c r="L1813" s="36">
        <f>IFERROR(INDEX([3]ESE!$AD$22:$BD$453,MATCH($B1813,[3]ESE!$AD$22:$AD$453,0),23),"NA")</f>
        <v>3600000</v>
      </c>
      <c r="M1813" s="36"/>
      <c r="N1813" s="36">
        <f t="shared" si="99"/>
        <v>3600000</v>
      </c>
      <c r="O1813" s="36">
        <f t="shared" si="100"/>
        <v>0</v>
      </c>
      <c r="P1813" s="60">
        <f t="shared" si="101"/>
        <v>3600000</v>
      </c>
    </row>
    <row r="1814" spans="2:16">
      <c r="B1814" s="19" t="s">
        <v>1976</v>
      </c>
      <c r="C1814" s="61" t="s">
        <v>3</v>
      </c>
      <c r="D1814" s="20" t="s">
        <v>1966</v>
      </c>
      <c r="E1814" s="32" t="s">
        <v>243</v>
      </c>
      <c r="F1814" s="20" t="str">
        <f t="shared" si="90"/>
        <v>Block 22</v>
      </c>
      <c r="G1814" s="20" t="str">
        <f t="shared" si="89"/>
        <v>Lot 24</v>
      </c>
      <c r="H1814" s="40">
        <v>55</v>
      </c>
      <c r="I1814" s="41">
        <v>80</v>
      </c>
      <c r="J1814" s="19" t="s">
        <v>1917</v>
      </c>
      <c r="K1814" s="35" t="s">
        <v>1918</v>
      </c>
      <c r="L1814" s="36">
        <f>IFERROR(INDEX([3]ESE!$AD$22:$BD$453,MATCH($B1814,[3]ESE!$AD$22:$AD$453,0),23),"NA")</f>
        <v>3600000</v>
      </c>
      <c r="M1814" s="36"/>
      <c r="N1814" s="36">
        <f t="shared" si="99"/>
        <v>3600000</v>
      </c>
      <c r="O1814" s="36">
        <f t="shared" si="100"/>
        <v>0</v>
      </c>
      <c r="P1814" s="60">
        <f t="shared" si="101"/>
        <v>3600000</v>
      </c>
    </row>
    <row r="1815" spans="2:16">
      <c r="B1815" s="19" t="s">
        <v>1977</v>
      </c>
      <c r="C1815" s="61" t="s">
        <v>3</v>
      </c>
      <c r="D1815" s="20" t="s">
        <v>1957</v>
      </c>
      <c r="E1815" s="32" t="s">
        <v>205</v>
      </c>
      <c r="F1815" s="20" t="str">
        <f t="shared" si="90"/>
        <v>Block 22</v>
      </c>
      <c r="G1815" s="20" t="str">
        <f t="shared" si="89"/>
        <v>Lot 25</v>
      </c>
      <c r="H1815" s="40">
        <v>55</v>
      </c>
      <c r="I1815" s="41">
        <v>80</v>
      </c>
      <c r="J1815" s="19" t="s">
        <v>1917</v>
      </c>
      <c r="K1815" s="35" t="s">
        <v>1924</v>
      </c>
      <c r="L1815" s="36">
        <f>IFERROR(INDEX([3]ESE!$AD$22:$BD$453,MATCH($B1815,[3]ESE!$AD$22:$AD$453,0),23),"NA")</f>
        <v>3600000</v>
      </c>
      <c r="M1815" s="36"/>
      <c r="N1815" s="36">
        <f t="shared" si="99"/>
        <v>3600000</v>
      </c>
      <c r="O1815" s="36">
        <f t="shared" si="100"/>
        <v>0</v>
      </c>
      <c r="P1815" s="60">
        <f t="shared" si="101"/>
        <v>3600000</v>
      </c>
    </row>
    <row r="1816" spans="2:16">
      <c r="B1816" s="19" t="s">
        <v>1978</v>
      </c>
      <c r="C1816" s="61" t="s">
        <v>3</v>
      </c>
      <c r="D1816" s="20" t="s">
        <v>1957</v>
      </c>
      <c r="E1816" s="32" t="s">
        <v>205</v>
      </c>
      <c r="F1816" s="20" t="str">
        <f t="shared" si="90"/>
        <v>Block 22</v>
      </c>
      <c r="G1816" s="20" t="str">
        <f t="shared" ref="G1816:G1879" si="102">"Lot "&amp;TEXT(VALUE(RIGHT(B1816,3)),"00")</f>
        <v>Lot 26</v>
      </c>
      <c r="H1816" s="40">
        <v>55</v>
      </c>
      <c r="I1816" s="41">
        <v>80</v>
      </c>
      <c r="J1816" s="19" t="s">
        <v>1917</v>
      </c>
      <c r="K1816" s="35" t="s">
        <v>1926</v>
      </c>
      <c r="L1816" s="36">
        <f>IFERROR(INDEX([3]ESE!$AD$22:$BD$453,MATCH($B1816,[3]ESE!$AD$22:$AD$453,0),23),"NA")</f>
        <v>3600000</v>
      </c>
      <c r="M1816" s="36"/>
      <c r="N1816" s="36">
        <f t="shared" si="99"/>
        <v>3600000</v>
      </c>
      <c r="O1816" s="36">
        <f t="shared" si="100"/>
        <v>0</v>
      </c>
      <c r="P1816" s="60">
        <f t="shared" si="101"/>
        <v>3600000</v>
      </c>
    </row>
    <row r="1817" spans="2:16">
      <c r="B1817" s="19" t="s">
        <v>1979</v>
      </c>
      <c r="C1817" s="61" t="s">
        <v>3</v>
      </c>
      <c r="D1817" s="20" t="s">
        <v>1957</v>
      </c>
      <c r="E1817" s="32" t="s">
        <v>243</v>
      </c>
      <c r="F1817" s="20" t="str">
        <f t="shared" ref="F1817:F1880" si="103">"Block "&amp;TEXT(VALUE(MID(B1817,8,3)),"00")</f>
        <v>Block 22</v>
      </c>
      <c r="G1817" s="20" t="str">
        <f t="shared" si="102"/>
        <v>Lot 27</v>
      </c>
      <c r="H1817" s="40">
        <v>55</v>
      </c>
      <c r="I1817" s="41">
        <v>80</v>
      </c>
      <c r="J1817" s="19" t="s">
        <v>1917</v>
      </c>
      <c r="K1817" s="35" t="s">
        <v>1926</v>
      </c>
      <c r="L1817" s="36">
        <f>IFERROR(INDEX([3]ESE!$AD$22:$BD$453,MATCH($B1817,[3]ESE!$AD$22:$AD$453,0),23),"NA")</f>
        <v>3600000</v>
      </c>
      <c r="M1817" s="36"/>
      <c r="N1817" s="36">
        <f t="shared" si="99"/>
        <v>3600000</v>
      </c>
      <c r="O1817" s="36">
        <f t="shared" si="100"/>
        <v>0</v>
      </c>
      <c r="P1817" s="60">
        <f t="shared" si="101"/>
        <v>3600000</v>
      </c>
    </row>
    <row r="1818" spans="2:16">
      <c r="B1818" s="19" t="s">
        <v>1980</v>
      </c>
      <c r="C1818" s="61" t="s">
        <v>3</v>
      </c>
      <c r="D1818" s="20" t="s">
        <v>1957</v>
      </c>
      <c r="E1818" s="32" t="s">
        <v>205</v>
      </c>
      <c r="F1818" s="20" t="str">
        <f t="shared" si="103"/>
        <v>Block 22</v>
      </c>
      <c r="G1818" s="20" t="str">
        <f t="shared" si="102"/>
        <v>Lot 28</v>
      </c>
      <c r="H1818" s="40">
        <v>55</v>
      </c>
      <c r="I1818" s="41">
        <v>80</v>
      </c>
      <c r="J1818" s="19" t="s">
        <v>1917</v>
      </c>
      <c r="K1818" s="35" t="s">
        <v>1924</v>
      </c>
      <c r="L1818" s="36">
        <f>IFERROR(INDEX([3]ESE!$AD$22:$BD$453,MATCH($B1818,[3]ESE!$AD$22:$AD$453,0),23),"NA")</f>
        <v>3600000</v>
      </c>
      <c r="M1818" s="36"/>
      <c r="N1818" s="36">
        <f t="shared" si="99"/>
        <v>3600000</v>
      </c>
      <c r="O1818" s="36">
        <f t="shared" si="100"/>
        <v>0</v>
      </c>
      <c r="P1818" s="60">
        <f t="shared" si="101"/>
        <v>3600000</v>
      </c>
    </row>
    <row r="1819" spans="2:16">
      <c r="B1819" s="19" t="s">
        <v>1981</v>
      </c>
      <c r="C1819" s="61" t="s">
        <v>3</v>
      </c>
      <c r="D1819" s="20" t="s">
        <v>1957</v>
      </c>
      <c r="E1819" s="32" t="s">
        <v>205</v>
      </c>
      <c r="F1819" s="20" t="str">
        <f t="shared" si="103"/>
        <v>Block 22</v>
      </c>
      <c r="G1819" s="20" t="str">
        <f t="shared" si="102"/>
        <v>Lot 29</v>
      </c>
      <c r="H1819" s="40">
        <v>55</v>
      </c>
      <c r="I1819" s="41">
        <v>80</v>
      </c>
      <c r="J1819" s="19" t="s">
        <v>1917</v>
      </c>
      <c r="K1819" s="35" t="s">
        <v>1982</v>
      </c>
      <c r="L1819" s="36">
        <f>IFERROR(INDEX([3]ESE!$AD$22:$BD$453,MATCH($B1819,[3]ESE!$AD$22:$AD$453,0),23),"NA")</f>
        <v>3840000</v>
      </c>
      <c r="M1819" s="36"/>
      <c r="N1819" s="36">
        <f t="shared" si="99"/>
        <v>3840000</v>
      </c>
      <c r="O1819" s="36">
        <f t="shared" si="100"/>
        <v>460800</v>
      </c>
      <c r="P1819" s="60">
        <f t="shared" si="101"/>
        <v>3379200</v>
      </c>
    </row>
    <row r="1820" spans="2:16">
      <c r="B1820" s="19" t="s">
        <v>1983</v>
      </c>
      <c r="C1820" s="61" t="s">
        <v>3</v>
      </c>
      <c r="D1820" s="20" t="s">
        <v>1957</v>
      </c>
      <c r="E1820" s="32" t="s">
        <v>205</v>
      </c>
      <c r="F1820" s="20" t="str">
        <f t="shared" si="103"/>
        <v>Block 22</v>
      </c>
      <c r="G1820" s="20" t="str">
        <f t="shared" si="102"/>
        <v>Lot 30</v>
      </c>
      <c r="H1820" s="40">
        <v>55</v>
      </c>
      <c r="I1820" s="41">
        <v>80</v>
      </c>
      <c r="J1820" s="19" t="s">
        <v>1917</v>
      </c>
      <c r="K1820" s="35" t="s">
        <v>1920</v>
      </c>
      <c r="L1820" s="36">
        <f>IFERROR(INDEX([3]ESE!$AD$22:$BD$453,MATCH($B1820,[3]ESE!$AD$22:$AD$453,0),23),"NA")</f>
        <v>3600000</v>
      </c>
      <c r="M1820" s="36"/>
      <c r="N1820" s="36">
        <f t="shared" si="99"/>
        <v>3600000</v>
      </c>
      <c r="O1820" s="36">
        <f t="shared" si="100"/>
        <v>0</v>
      </c>
      <c r="P1820" s="60">
        <f t="shared" si="101"/>
        <v>3600000</v>
      </c>
    </row>
    <row r="1821" spans="2:16">
      <c r="B1821" s="19" t="s">
        <v>1984</v>
      </c>
      <c r="C1821" s="61" t="s">
        <v>3</v>
      </c>
      <c r="D1821" s="20" t="s">
        <v>1957</v>
      </c>
      <c r="E1821" s="32" t="s">
        <v>205</v>
      </c>
      <c r="F1821" s="20" t="str">
        <f t="shared" si="103"/>
        <v>Block 22</v>
      </c>
      <c r="G1821" s="20" t="str">
        <f t="shared" si="102"/>
        <v>Lot 31</v>
      </c>
      <c r="H1821" s="40">
        <v>55</v>
      </c>
      <c r="I1821" s="41">
        <v>80</v>
      </c>
      <c r="J1821" s="19" t="s">
        <v>1917</v>
      </c>
      <c r="K1821" s="35" t="s">
        <v>1920</v>
      </c>
      <c r="L1821" s="36">
        <f>IFERROR(INDEX([3]ESE!$AD$22:$BD$453,MATCH($B1821,[3]ESE!$AD$22:$AD$453,0),23),"NA")</f>
        <v>3600000</v>
      </c>
      <c r="M1821" s="36"/>
      <c r="N1821" s="36">
        <f t="shared" si="99"/>
        <v>3600000</v>
      </c>
      <c r="O1821" s="36">
        <f t="shared" si="100"/>
        <v>0</v>
      </c>
      <c r="P1821" s="60">
        <f t="shared" si="101"/>
        <v>3600000</v>
      </c>
    </row>
    <row r="1822" spans="2:16">
      <c r="B1822" s="19" t="s">
        <v>1985</v>
      </c>
      <c r="C1822" s="61" t="s">
        <v>3</v>
      </c>
      <c r="D1822" s="20" t="s">
        <v>1957</v>
      </c>
      <c r="E1822" s="32" t="s">
        <v>205</v>
      </c>
      <c r="F1822" s="20" t="str">
        <f t="shared" si="103"/>
        <v>Block 22</v>
      </c>
      <c r="G1822" s="20" t="str">
        <f t="shared" si="102"/>
        <v>Lot 32</v>
      </c>
      <c r="H1822" s="40">
        <v>55</v>
      </c>
      <c r="I1822" s="41">
        <v>80</v>
      </c>
      <c r="J1822" s="19" t="s">
        <v>1917</v>
      </c>
      <c r="K1822" s="35" t="s">
        <v>1918</v>
      </c>
      <c r="L1822" s="36">
        <f>IFERROR(INDEX([3]ESE!$AD$22:$BD$453,MATCH($B1822,[3]ESE!$AD$22:$AD$453,0),23),"NA")</f>
        <v>3600000</v>
      </c>
      <c r="M1822" s="36"/>
      <c r="N1822" s="36">
        <f t="shared" si="99"/>
        <v>3600000</v>
      </c>
      <c r="O1822" s="36">
        <f t="shared" si="100"/>
        <v>0</v>
      </c>
      <c r="P1822" s="60">
        <f t="shared" si="101"/>
        <v>3600000</v>
      </c>
    </row>
    <row r="1823" spans="2:16">
      <c r="B1823" s="19" t="s">
        <v>1986</v>
      </c>
      <c r="C1823" s="61" t="s">
        <v>3</v>
      </c>
      <c r="D1823" s="20" t="s">
        <v>1952</v>
      </c>
      <c r="E1823" s="32" t="s">
        <v>205</v>
      </c>
      <c r="F1823" s="20" t="str">
        <f t="shared" si="103"/>
        <v>Block 22</v>
      </c>
      <c r="G1823" s="20" t="str">
        <f t="shared" si="102"/>
        <v>Lot 33</v>
      </c>
      <c r="H1823" s="40">
        <v>55</v>
      </c>
      <c r="I1823" s="41">
        <v>80</v>
      </c>
      <c r="J1823" s="19" t="s">
        <v>1917</v>
      </c>
      <c r="K1823" s="35" t="s">
        <v>1924</v>
      </c>
      <c r="L1823" s="36">
        <f>IFERROR(INDEX([3]ESE!$AD$22:$BD$453,MATCH($B1823,[3]ESE!$AD$22:$AD$453,0),23),"NA")</f>
        <v>3600000</v>
      </c>
      <c r="M1823" s="36"/>
      <c r="N1823" s="36">
        <f t="shared" si="99"/>
        <v>3600000</v>
      </c>
      <c r="O1823" s="36">
        <f t="shared" si="100"/>
        <v>0</v>
      </c>
      <c r="P1823" s="60">
        <f t="shared" si="101"/>
        <v>3600000</v>
      </c>
    </row>
    <row r="1824" spans="2:16">
      <c r="B1824" s="19" t="s">
        <v>1987</v>
      </c>
      <c r="C1824" s="61" t="s">
        <v>3</v>
      </c>
      <c r="D1824" s="20" t="s">
        <v>1952</v>
      </c>
      <c r="E1824" s="32" t="s">
        <v>205</v>
      </c>
      <c r="F1824" s="20" t="str">
        <f t="shared" si="103"/>
        <v>Block 22</v>
      </c>
      <c r="G1824" s="20" t="str">
        <f t="shared" si="102"/>
        <v>Lot 34</v>
      </c>
      <c r="H1824" s="40">
        <v>55</v>
      </c>
      <c r="I1824" s="41">
        <v>80</v>
      </c>
      <c r="J1824" s="19" t="s">
        <v>1917</v>
      </c>
      <c r="K1824" s="35" t="s">
        <v>1926</v>
      </c>
      <c r="L1824" s="36">
        <f>IFERROR(INDEX([3]ESE!$AD$22:$BD$453,MATCH($B1824,[3]ESE!$AD$22:$AD$453,0),23),"NA")</f>
        <v>3600000</v>
      </c>
      <c r="M1824" s="36"/>
      <c r="N1824" s="36">
        <f t="shared" si="99"/>
        <v>3600000</v>
      </c>
      <c r="O1824" s="36">
        <f t="shared" si="100"/>
        <v>0</v>
      </c>
      <c r="P1824" s="60">
        <f t="shared" si="101"/>
        <v>3600000</v>
      </c>
    </row>
    <row r="1825" spans="2:16">
      <c r="B1825" s="19" t="s">
        <v>1988</v>
      </c>
      <c r="C1825" s="61" t="s">
        <v>3</v>
      </c>
      <c r="D1825" s="20" t="s">
        <v>1957</v>
      </c>
      <c r="E1825" s="32" t="s">
        <v>205</v>
      </c>
      <c r="F1825" s="20" t="str">
        <f t="shared" si="103"/>
        <v>Block 22</v>
      </c>
      <c r="G1825" s="20" t="str">
        <f t="shared" si="102"/>
        <v>Lot 35</v>
      </c>
      <c r="H1825" s="40">
        <v>55</v>
      </c>
      <c r="I1825" s="41">
        <v>80</v>
      </c>
      <c r="J1825" s="19" t="s">
        <v>1917</v>
      </c>
      <c r="K1825" s="35" t="s">
        <v>1926</v>
      </c>
      <c r="L1825" s="36">
        <f>IFERROR(INDEX([3]ESE!$AD$22:$BD$453,MATCH($B1825,[3]ESE!$AD$22:$AD$453,0),23),"NA")</f>
        <v>3600000</v>
      </c>
      <c r="M1825" s="36"/>
      <c r="N1825" s="36">
        <f t="shared" si="99"/>
        <v>3600000</v>
      </c>
      <c r="O1825" s="36">
        <f t="shared" si="100"/>
        <v>0</v>
      </c>
      <c r="P1825" s="60">
        <f t="shared" si="101"/>
        <v>3600000</v>
      </c>
    </row>
    <row r="1826" spans="2:16">
      <c r="B1826" s="19" t="s">
        <v>1989</v>
      </c>
      <c r="C1826" s="61" t="s">
        <v>3</v>
      </c>
      <c r="D1826" s="20" t="s">
        <v>1957</v>
      </c>
      <c r="E1826" s="32" t="s">
        <v>205</v>
      </c>
      <c r="F1826" s="20" t="str">
        <f t="shared" si="103"/>
        <v>Block 22</v>
      </c>
      <c r="G1826" s="20" t="str">
        <f t="shared" si="102"/>
        <v>Lot 36</v>
      </c>
      <c r="H1826" s="40">
        <v>55</v>
      </c>
      <c r="I1826" s="41">
        <v>80</v>
      </c>
      <c r="J1826" s="19" t="s">
        <v>1917</v>
      </c>
      <c r="K1826" s="35" t="s">
        <v>1924</v>
      </c>
      <c r="L1826" s="36">
        <f>IFERROR(INDEX([3]ESE!$AD$22:$BD$453,MATCH($B1826,[3]ESE!$AD$22:$AD$453,0),23),"NA")</f>
        <v>3600000</v>
      </c>
      <c r="M1826" s="36"/>
      <c r="N1826" s="36">
        <f t="shared" si="99"/>
        <v>3600000</v>
      </c>
      <c r="O1826" s="36">
        <f t="shared" si="100"/>
        <v>0</v>
      </c>
      <c r="P1826" s="60">
        <f t="shared" si="101"/>
        <v>3600000</v>
      </c>
    </row>
    <row r="1827" spans="2:16">
      <c r="B1827" s="19" t="s">
        <v>1990</v>
      </c>
      <c r="C1827" s="61" t="s">
        <v>3</v>
      </c>
      <c r="D1827" s="20" t="s">
        <v>1952</v>
      </c>
      <c r="E1827" s="32" t="s">
        <v>205</v>
      </c>
      <c r="F1827" s="20" t="str">
        <f t="shared" si="103"/>
        <v>Block 22</v>
      </c>
      <c r="G1827" s="20" t="str">
        <f t="shared" si="102"/>
        <v>Lot 43</v>
      </c>
      <c r="H1827" s="40">
        <v>55</v>
      </c>
      <c r="I1827" s="41">
        <v>80</v>
      </c>
      <c r="J1827" s="19" t="s">
        <v>1917</v>
      </c>
      <c r="K1827" s="35" t="s">
        <v>1918</v>
      </c>
      <c r="L1827" s="36">
        <f>IFERROR(INDEX([3]ESE!$AD$22:$BD$453,MATCH($B1827,[3]ESE!$AD$22:$AD$453,0),23),"NA")</f>
        <v>3600000</v>
      </c>
      <c r="M1827" s="36"/>
      <c r="N1827" s="36">
        <f t="shared" si="99"/>
        <v>3600000</v>
      </c>
      <c r="O1827" s="36">
        <f t="shared" si="100"/>
        <v>0</v>
      </c>
      <c r="P1827" s="60">
        <f t="shared" si="101"/>
        <v>3600000</v>
      </c>
    </row>
    <row r="1828" spans="2:16">
      <c r="B1828" s="19" t="s">
        <v>1991</v>
      </c>
      <c r="C1828" s="61" t="s">
        <v>3</v>
      </c>
      <c r="D1828" s="20" t="s">
        <v>1952</v>
      </c>
      <c r="E1828" s="32" t="s">
        <v>205</v>
      </c>
      <c r="F1828" s="20" t="str">
        <f t="shared" si="103"/>
        <v>Block 22</v>
      </c>
      <c r="G1828" s="20" t="str">
        <f t="shared" si="102"/>
        <v>Lot 44</v>
      </c>
      <c r="H1828" s="40">
        <v>55</v>
      </c>
      <c r="I1828" s="41">
        <v>130</v>
      </c>
      <c r="J1828" s="19" t="s">
        <v>1917</v>
      </c>
      <c r="K1828" s="35" t="s">
        <v>1920</v>
      </c>
      <c r="L1828" s="36">
        <f>IFERROR(INDEX([3]ESE!$AD$22:$BD$453,MATCH($B1828,[3]ESE!$AD$22:$AD$453,0),23),"NA")</f>
        <v>4350000</v>
      </c>
      <c r="M1828" s="36"/>
      <c r="N1828" s="36">
        <f t="shared" si="99"/>
        <v>4350000</v>
      </c>
      <c r="O1828" s="36">
        <f t="shared" si="100"/>
        <v>522000</v>
      </c>
      <c r="P1828" s="60">
        <f t="shared" si="101"/>
        <v>3828000</v>
      </c>
    </row>
    <row r="1829" spans="2:16">
      <c r="B1829" s="19" t="s">
        <v>1992</v>
      </c>
      <c r="C1829" s="61" t="s">
        <v>3</v>
      </c>
      <c r="D1829" s="20" t="s">
        <v>980</v>
      </c>
      <c r="E1829" s="32" t="s">
        <v>233</v>
      </c>
      <c r="F1829" s="20" t="str">
        <f t="shared" si="103"/>
        <v>Block 23</v>
      </c>
      <c r="G1829" s="20" t="str">
        <f t="shared" si="102"/>
        <v>Lot 01</v>
      </c>
      <c r="H1829" s="40" t="s">
        <v>99</v>
      </c>
      <c r="I1829" s="41">
        <v>160</v>
      </c>
      <c r="J1829" s="20" t="s">
        <v>100</v>
      </c>
      <c r="K1829" s="35" t="s">
        <v>982</v>
      </c>
      <c r="L1829" s="36">
        <f>IFERROR(INDEX([3]ESE!$AD$22:$BD$453,MATCH($B1829,[3]ESE!$AD$22:$AD$453,0),23),"NA")</f>
        <v>2880000</v>
      </c>
      <c r="M1829" s="36"/>
      <c r="N1829" s="36">
        <f>L1829-M1829</f>
        <v>2880000</v>
      </c>
      <c r="O1829" s="36">
        <f>L1829*12/112</f>
        <v>308571.42857142858</v>
      </c>
      <c r="P1829" s="60">
        <f>N1829-O1829</f>
        <v>2571428.5714285714</v>
      </c>
    </row>
    <row r="1830" spans="2:16">
      <c r="B1830" s="19" t="s">
        <v>1993</v>
      </c>
      <c r="C1830" s="61" t="s">
        <v>3</v>
      </c>
      <c r="D1830" s="20" t="s">
        <v>1957</v>
      </c>
      <c r="E1830" s="32" t="s">
        <v>205</v>
      </c>
      <c r="F1830" s="20" t="str">
        <f t="shared" si="103"/>
        <v>Block 23</v>
      </c>
      <c r="G1830" s="20" t="str">
        <f t="shared" si="102"/>
        <v>Lot 02</v>
      </c>
      <c r="H1830" s="40">
        <v>55</v>
      </c>
      <c r="I1830" s="41">
        <v>90</v>
      </c>
      <c r="J1830" s="19" t="s">
        <v>1917</v>
      </c>
      <c r="K1830" s="35" t="s">
        <v>1926</v>
      </c>
      <c r="L1830" s="36">
        <f>IFERROR(INDEX([3]ESE!$AD$22:$BD$453,MATCH($B1830,[3]ESE!$AD$22:$AD$453,0),23),"NA")</f>
        <v>3750000</v>
      </c>
      <c r="M1830" s="36"/>
      <c r="N1830" s="36">
        <f t="shared" ref="N1830:N1879" si="104">L1830-M1830</f>
        <v>3750000</v>
      </c>
      <c r="O1830" s="36">
        <f t="shared" ref="O1830:O1859" si="105">IF(N1830&lt;=3600000,0,N1830*12%)</f>
        <v>450000</v>
      </c>
      <c r="P1830" s="60">
        <f t="shared" ref="P1830:P1879" si="106">N1830-O1830</f>
        <v>3300000</v>
      </c>
    </row>
    <row r="1831" spans="2:16">
      <c r="B1831" s="19" t="s">
        <v>1994</v>
      </c>
      <c r="C1831" s="61" t="s">
        <v>3</v>
      </c>
      <c r="D1831" s="20" t="s">
        <v>1957</v>
      </c>
      <c r="E1831" s="32" t="s">
        <v>205</v>
      </c>
      <c r="F1831" s="20" t="str">
        <f t="shared" si="103"/>
        <v>Block 23</v>
      </c>
      <c r="G1831" s="20" t="str">
        <f t="shared" si="102"/>
        <v>Lot 03</v>
      </c>
      <c r="H1831" s="40">
        <v>55</v>
      </c>
      <c r="I1831" s="41">
        <v>90</v>
      </c>
      <c r="J1831" s="19" t="s">
        <v>1917</v>
      </c>
      <c r="K1831" s="35" t="s">
        <v>1924</v>
      </c>
      <c r="L1831" s="36">
        <f>IFERROR(INDEX([3]ESE!$AD$22:$BD$453,MATCH($B1831,[3]ESE!$AD$22:$AD$453,0),23),"NA")</f>
        <v>3750000</v>
      </c>
      <c r="M1831" s="36"/>
      <c r="N1831" s="36">
        <f t="shared" si="104"/>
        <v>3750000</v>
      </c>
      <c r="O1831" s="36">
        <f t="shared" si="105"/>
        <v>450000</v>
      </c>
      <c r="P1831" s="60">
        <f t="shared" si="106"/>
        <v>3300000</v>
      </c>
    </row>
    <row r="1832" spans="2:16">
      <c r="B1832" s="19" t="s">
        <v>1995</v>
      </c>
      <c r="C1832" s="61" t="s">
        <v>3</v>
      </c>
      <c r="D1832" s="20" t="s">
        <v>1957</v>
      </c>
      <c r="E1832" s="32" t="s">
        <v>205</v>
      </c>
      <c r="F1832" s="20" t="str">
        <f t="shared" si="103"/>
        <v>Block 23</v>
      </c>
      <c r="G1832" s="20" t="str">
        <f t="shared" si="102"/>
        <v>Lot 04</v>
      </c>
      <c r="H1832" s="40">
        <v>55</v>
      </c>
      <c r="I1832" s="41">
        <v>80</v>
      </c>
      <c r="J1832" s="19" t="s">
        <v>1917</v>
      </c>
      <c r="K1832" s="35" t="s">
        <v>1924</v>
      </c>
      <c r="L1832" s="36">
        <f>IFERROR(INDEX([3]ESE!$AD$22:$BD$453,MATCH($B1832,[3]ESE!$AD$22:$AD$453,0),23),"NA")</f>
        <v>3600000</v>
      </c>
      <c r="M1832" s="36"/>
      <c r="N1832" s="36">
        <f t="shared" si="104"/>
        <v>3600000</v>
      </c>
      <c r="O1832" s="36">
        <f t="shared" si="105"/>
        <v>0</v>
      </c>
      <c r="P1832" s="60">
        <f t="shared" si="106"/>
        <v>3600000</v>
      </c>
    </row>
    <row r="1833" spans="2:16">
      <c r="B1833" s="19" t="s">
        <v>1996</v>
      </c>
      <c r="C1833" s="61" t="s">
        <v>3</v>
      </c>
      <c r="D1833" s="20" t="s">
        <v>1957</v>
      </c>
      <c r="E1833" s="32" t="s">
        <v>205</v>
      </c>
      <c r="F1833" s="20" t="str">
        <f t="shared" si="103"/>
        <v>Block 23</v>
      </c>
      <c r="G1833" s="20" t="str">
        <f t="shared" si="102"/>
        <v>Lot 05</v>
      </c>
      <c r="H1833" s="40">
        <v>55</v>
      </c>
      <c r="I1833" s="41">
        <v>80</v>
      </c>
      <c r="J1833" s="19" t="s">
        <v>1917</v>
      </c>
      <c r="K1833" s="35" t="s">
        <v>1926</v>
      </c>
      <c r="L1833" s="36">
        <f>IFERROR(INDEX([3]ESE!$AD$22:$BD$453,MATCH($B1833,[3]ESE!$AD$22:$AD$453,0),23),"NA")</f>
        <v>3600000</v>
      </c>
      <c r="M1833" s="36"/>
      <c r="N1833" s="36">
        <f t="shared" si="104"/>
        <v>3600000</v>
      </c>
      <c r="O1833" s="36">
        <f t="shared" si="105"/>
        <v>0</v>
      </c>
      <c r="P1833" s="60">
        <f t="shared" si="106"/>
        <v>3600000</v>
      </c>
    </row>
    <row r="1834" spans="2:16">
      <c r="B1834" s="19" t="s">
        <v>1997</v>
      </c>
      <c r="C1834" s="61" t="s">
        <v>3</v>
      </c>
      <c r="D1834" s="20" t="s">
        <v>1957</v>
      </c>
      <c r="E1834" s="32" t="s">
        <v>205</v>
      </c>
      <c r="F1834" s="20" t="str">
        <f t="shared" si="103"/>
        <v>Block 23</v>
      </c>
      <c r="G1834" s="20" t="str">
        <f t="shared" si="102"/>
        <v>Lot 06</v>
      </c>
      <c r="H1834" s="40">
        <v>55</v>
      </c>
      <c r="I1834" s="41">
        <v>80</v>
      </c>
      <c r="J1834" s="19" t="s">
        <v>1917</v>
      </c>
      <c r="K1834" s="35" t="s">
        <v>1920</v>
      </c>
      <c r="L1834" s="36">
        <f>IFERROR(INDEX([3]ESE!$AD$22:$BD$453,MATCH($B1834,[3]ESE!$AD$22:$AD$453,0),23),"NA")</f>
        <v>3600000</v>
      </c>
      <c r="M1834" s="36"/>
      <c r="N1834" s="36">
        <f t="shared" si="104"/>
        <v>3600000</v>
      </c>
      <c r="O1834" s="36">
        <f t="shared" si="105"/>
        <v>0</v>
      </c>
      <c r="P1834" s="60">
        <f t="shared" si="106"/>
        <v>3600000</v>
      </c>
    </row>
    <row r="1835" spans="2:16">
      <c r="B1835" s="19" t="s">
        <v>1998</v>
      </c>
      <c r="C1835" s="61" t="s">
        <v>3</v>
      </c>
      <c r="D1835" s="20" t="s">
        <v>1957</v>
      </c>
      <c r="E1835" s="32" t="s">
        <v>205</v>
      </c>
      <c r="F1835" s="20" t="str">
        <f t="shared" si="103"/>
        <v>Block 23</v>
      </c>
      <c r="G1835" s="20" t="str">
        <f t="shared" si="102"/>
        <v>Lot 07</v>
      </c>
      <c r="H1835" s="40">
        <v>55</v>
      </c>
      <c r="I1835" s="41">
        <v>80</v>
      </c>
      <c r="J1835" s="19" t="s">
        <v>1917</v>
      </c>
      <c r="K1835" s="35" t="s">
        <v>1918</v>
      </c>
      <c r="L1835" s="36">
        <f>IFERROR(INDEX([3]ESE!$AD$22:$BD$453,MATCH($B1835,[3]ESE!$AD$22:$AD$453,0),23),"NA")</f>
        <v>3600000</v>
      </c>
      <c r="M1835" s="36"/>
      <c r="N1835" s="36">
        <f t="shared" si="104"/>
        <v>3600000</v>
      </c>
      <c r="O1835" s="36">
        <f t="shared" si="105"/>
        <v>0</v>
      </c>
      <c r="P1835" s="60">
        <f t="shared" si="106"/>
        <v>3600000</v>
      </c>
    </row>
    <row r="1836" spans="2:16">
      <c r="B1836" s="19" t="s">
        <v>1999</v>
      </c>
      <c r="C1836" s="61" t="s">
        <v>3</v>
      </c>
      <c r="D1836" s="20" t="s">
        <v>1957</v>
      </c>
      <c r="E1836" s="32" t="s">
        <v>205</v>
      </c>
      <c r="F1836" s="20" t="str">
        <f t="shared" si="103"/>
        <v>Block 23</v>
      </c>
      <c r="G1836" s="20" t="str">
        <f t="shared" si="102"/>
        <v>Lot 08</v>
      </c>
      <c r="H1836" s="40">
        <v>55</v>
      </c>
      <c r="I1836" s="41">
        <v>80</v>
      </c>
      <c r="J1836" s="19" t="s">
        <v>1917</v>
      </c>
      <c r="K1836" s="35" t="s">
        <v>1918</v>
      </c>
      <c r="L1836" s="36">
        <f>IFERROR(INDEX([3]ESE!$AD$22:$BD$453,MATCH($B1836,[3]ESE!$AD$22:$AD$453,0),23),"NA")</f>
        <v>3600000</v>
      </c>
      <c r="M1836" s="36"/>
      <c r="N1836" s="36">
        <f t="shared" si="104"/>
        <v>3600000</v>
      </c>
      <c r="O1836" s="36">
        <f t="shared" si="105"/>
        <v>0</v>
      </c>
      <c r="P1836" s="60">
        <f t="shared" si="106"/>
        <v>3600000</v>
      </c>
    </row>
    <row r="1837" spans="2:16">
      <c r="B1837" s="19" t="s">
        <v>2000</v>
      </c>
      <c r="C1837" s="61" t="s">
        <v>3</v>
      </c>
      <c r="D1837" s="20" t="s">
        <v>1957</v>
      </c>
      <c r="E1837" s="32" t="s">
        <v>205</v>
      </c>
      <c r="F1837" s="20" t="str">
        <f t="shared" si="103"/>
        <v>Block 23</v>
      </c>
      <c r="G1837" s="20" t="str">
        <f t="shared" si="102"/>
        <v>Lot 09</v>
      </c>
      <c r="H1837" s="40">
        <v>55</v>
      </c>
      <c r="I1837" s="41">
        <v>80</v>
      </c>
      <c r="J1837" s="19" t="s">
        <v>1917</v>
      </c>
      <c r="K1837" s="35" t="s">
        <v>1920</v>
      </c>
      <c r="L1837" s="36">
        <f>IFERROR(INDEX([3]ESE!$AD$22:$BD$453,MATCH($B1837,[3]ESE!$AD$22:$AD$453,0),23),"NA")</f>
        <v>3600000</v>
      </c>
      <c r="M1837" s="36"/>
      <c r="N1837" s="36">
        <f t="shared" si="104"/>
        <v>3600000</v>
      </c>
      <c r="O1837" s="36">
        <f t="shared" si="105"/>
        <v>0</v>
      </c>
      <c r="P1837" s="60">
        <f t="shared" si="106"/>
        <v>3600000</v>
      </c>
    </row>
    <row r="1838" spans="2:16">
      <c r="B1838" s="19" t="s">
        <v>2001</v>
      </c>
      <c r="C1838" s="61" t="s">
        <v>3</v>
      </c>
      <c r="D1838" s="20" t="s">
        <v>1957</v>
      </c>
      <c r="E1838" s="32" t="s">
        <v>205</v>
      </c>
      <c r="F1838" s="20" t="str">
        <f t="shared" si="103"/>
        <v>Block 23</v>
      </c>
      <c r="G1838" s="20" t="str">
        <f t="shared" si="102"/>
        <v>Lot 10</v>
      </c>
      <c r="H1838" s="40">
        <v>55</v>
      </c>
      <c r="I1838" s="41">
        <v>80</v>
      </c>
      <c r="J1838" s="19" t="s">
        <v>1917</v>
      </c>
      <c r="K1838" s="35" t="s">
        <v>1926</v>
      </c>
      <c r="L1838" s="36">
        <f>IFERROR(INDEX([3]ESE!$AD$22:$BD$453,MATCH($B1838,[3]ESE!$AD$22:$AD$453,0),23),"NA")</f>
        <v>3600000</v>
      </c>
      <c r="M1838" s="36"/>
      <c r="N1838" s="36">
        <f t="shared" si="104"/>
        <v>3600000</v>
      </c>
      <c r="O1838" s="36">
        <f t="shared" si="105"/>
        <v>0</v>
      </c>
      <c r="P1838" s="60">
        <f t="shared" si="106"/>
        <v>3600000</v>
      </c>
    </row>
    <row r="1839" spans="2:16">
      <c r="B1839" s="19" t="s">
        <v>2002</v>
      </c>
      <c r="C1839" s="61" t="s">
        <v>3</v>
      </c>
      <c r="D1839" s="20" t="s">
        <v>1957</v>
      </c>
      <c r="E1839" s="32" t="s">
        <v>205</v>
      </c>
      <c r="F1839" s="20" t="str">
        <f t="shared" si="103"/>
        <v>Block 23</v>
      </c>
      <c r="G1839" s="20" t="str">
        <f t="shared" si="102"/>
        <v>Lot 11</v>
      </c>
      <c r="H1839" s="40">
        <v>55</v>
      </c>
      <c r="I1839" s="41">
        <v>80</v>
      </c>
      <c r="J1839" s="19" t="s">
        <v>1917</v>
      </c>
      <c r="K1839" s="35" t="s">
        <v>1924</v>
      </c>
      <c r="L1839" s="36">
        <f>IFERROR(INDEX([3]ESE!$AD$22:$BD$453,MATCH($B1839,[3]ESE!$AD$22:$AD$453,0),23),"NA")</f>
        <v>3600000</v>
      </c>
      <c r="M1839" s="36"/>
      <c r="N1839" s="36">
        <f t="shared" si="104"/>
        <v>3600000</v>
      </c>
      <c r="O1839" s="36">
        <f t="shared" si="105"/>
        <v>0</v>
      </c>
      <c r="P1839" s="60">
        <f t="shared" si="106"/>
        <v>3600000</v>
      </c>
    </row>
    <row r="1840" spans="2:16">
      <c r="B1840" s="19" t="s">
        <v>2003</v>
      </c>
      <c r="C1840" s="61" t="s">
        <v>3</v>
      </c>
      <c r="D1840" s="20" t="s">
        <v>1957</v>
      </c>
      <c r="E1840" s="32" t="s">
        <v>205</v>
      </c>
      <c r="F1840" s="20" t="str">
        <f t="shared" si="103"/>
        <v>Block 23</v>
      </c>
      <c r="G1840" s="20" t="str">
        <f t="shared" si="102"/>
        <v>Lot 12</v>
      </c>
      <c r="H1840" s="40">
        <v>55</v>
      </c>
      <c r="I1840" s="41">
        <v>80</v>
      </c>
      <c r="J1840" s="19" t="s">
        <v>1917</v>
      </c>
      <c r="K1840" s="35" t="s">
        <v>1924</v>
      </c>
      <c r="L1840" s="36">
        <f>IFERROR(INDEX([3]ESE!$AD$22:$BD$453,MATCH($B1840,[3]ESE!$AD$22:$AD$453,0),23),"NA")</f>
        <v>3600000</v>
      </c>
      <c r="M1840" s="36"/>
      <c r="N1840" s="36">
        <f t="shared" si="104"/>
        <v>3600000</v>
      </c>
      <c r="O1840" s="36">
        <f t="shared" si="105"/>
        <v>0</v>
      </c>
      <c r="P1840" s="60">
        <f t="shared" si="106"/>
        <v>3600000</v>
      </c>
    </row>
    <row r="1841" spans="2:16">
      <c r="B1841" s="19" t="s">
        <v>2004</v>
      </c>
      <c r="C1841" s="61" t="s">
        <v>3</v>
      </c>
      <c r="D1841" s="20" t="s">
        <v>1957</v>
      </c>
      <c r="E1841" s="32" t="s">
        <v>205</v>
      </c>
      <c r="F1841" s="20" t="str">
        <f t="shared" si="103"/>
        <v>Block 23</v>
      </c>
      <c r="G1841" s="20" t="str">
        <f t="shared" si="102"/>
        <v>Lot 13</v>
      </c>
      <c r="H1841" s="40">
        <v>55</v>
      </c>
      <c r="I1841" s="41">
        <v>80</v>
      </c>
      <c r="J1841" s="19" t="s">
        <v>1917</v>
      </c>
      <c r="K1841" s="35" t="s">
        <v>1926</v>
      </c>
      <c r="L1841" s="36">
        <f>IFERROR(INDEX([3]ESE!$AD$22:$BD$453,MATCH($B1841,[3]ESE!$AD$22:$AD$453,0),23),"NA")</f>
        <v>3600000</v>
      </c>
      <c r="M1841" s="36"/>
      <c r="N1841" s="36">
        <f t="shared" si="104"/>
        <v>3600000</v>
      </c>
      <c r="O1841" s="36">
        <f t="shared" si="105"/>
        <v>0</v>
      </c>
      <c r="P1841" s="60">
        <f t="shared" si="106"/>
        <v>3600000</v>
      </c>
    </row>
    <row r="1842" spans="2:16">
      <c r="B1842" s="19" t="s">
        <v>2005</v>
      </c>
      <c r="C1842" s="61" t="s">
        <v>3</v>
      </c>
      <c r="D1842" s="20" t="s">
        <v>1957</v>
      </c>
      <c r="E1842" s="32" t="s">
        <v>205</v>
      </c>
      <c r="F1842" s="20" t="str">
        <f t="shared" si="103"/>
        <v>Block 23</v>
      </c>
      <c r="G1842" s="20" t="str">
        <f t="shared" si="102"/>
        <v>Lot 14</v>
      </c>
      <c r="H1842" s="40">
        <v>55</v>
      </c>
      <c r="I1842" s="41">
        <v>80</v>
      </c>
      <c r="J1842" s="19" t="s">
        <v>1917</v>
      </c>
      <c r="K1842" s="35" t="s">
        <v>1920</v>
      </c>
      <c r="L1842" s="36">
        <f>IFERROR(INDEX([3]ESE!$AD$22:$BD$453,MATCH($B1842,[3]ESE!$AD$22:$AD$453,0),23),"NA")</f>
        <v>3600000</v>
      </c>
      <c r="M1842" s="36"/>
      <c r="N1842" s="36">
        <f t="shared" si="104"/>
        <v>3600000</v>
      </c>
      <c r="O1842" s="36">
        <f t="shared" si="105"/>
        <v>0</v>
      </c>
      <c r="P1842" s="60">
        <f t="shared" si="106"/>
        <v>3600000</v>
      </c>
    </row>
    <row r="1843" spans="2:16">
      <c r="B1843" s="19" t="s">
        <v>2006</v>
      </c>
      <c r="C1843" s="61" t="s">
        <v>3</v>
      </c>
      <c r="D1843" s="20" t="s">
        <v>1957</v>
      </c>
      <c r="E1843" s="32" t="s">
        <v>205</v>
      </c>
      <c r="F1843" s="20" t="str">
        <f t="shared" si="103"/>
        <v>Block 23</v>
      </c>
      <c r="G1843" s="20" t="str">
        <f t="shared" si="102"/>
        <v>Lot 15</v>
      </c>
      <c r="H1843" s="40">
        <v>55</v>
      </c>
      <c r="I1843" s="41">
        <v>80</v>
      </c>
      <c r="J1843" s="19" t="s">
        <v>1917</v>
      </c>
      <c r="K1843" s="35" t="s">
        <v>1918</v>
      </c>
      <c r="L1843" s="36">
        <f>IFERROR(INDEX([3]ESE!$AD$22:$BD$453,MATCH($B1843,[3]ESE!$AD$22:$AD$453,0),23),"NA")</f>
        <v>3600000</v>
      </c>
      <c r="M1843" s="36"/>
      <c r="N1843" s="36">
        <f t="shared" si="104"/>
        <v>3600000</v>
      </c>
      <c r="O1843" s="36">
        <f t="shared" si="105"/>
        <v>0</v>
      </c>
      <c r="P1843" s="60">
        <f t="shared" si="106"/>
        <v>3600000</v>
      </c>
    </row>
    <row r="1844" spans="2:16">
      <c r="B1844" s="19" t="s">
        <v>2007</v>
      </c>
      <c r="C1844" s="61" t="s">
        <v>3</v>
      </c>
      <c r="D1844" s="20" t="s">
        <v>1957</v>
      </c>
      <c r="E1844" s="32" t="s">
        <v>205</v>
      </c>
      <c r="F1844" s="20" t="str">
        <f t="shared" si="103"/>
        <v>Block 23</v>
      </c>
      <c r="G1844" s="20" t="str">
        <f t="shared" si="102"/>
        <v>Lot 16</v>
      </c>
      <c r="H1844" s="40">
        <v>55</v>
      </c>
      <c r="I1844" s="41">
        <v>80</v>
      </c>
      <c r="J1844" s="19" t="s">
        <v>1917</v>
      </c>
      <c r="K1844" s="35" t="s">
        <v>1918</v>
      </c>
      <c r="L1844" s="36">
        <f>IFERROR(INDEX([3]ESE!$AD$22:$BD$453,MATCH($B1844,[3]ESE!$AD$22:$AD$453,0),23),"NA")</f>
        <v>3600000</v>
      </c>
      <c r="M1844" s="36"/>
      <c r="N1844" s="36">
        <f t="shared" si="104"/>
        <v>3600000</v>
      </c>
      <c r="O1844" s="36">
        <f t="shared" si="105"/>
        <v>0</v>
      </c>
      <c r="P1844" s="60">
        <f t="shared" si="106"/>
        <v>3600000</v>
      </c>
    </row>
    <row r="1845" spans="2:16">
      <c r="B1845" s="19" t="s">
        <v>2008</v>
      </c>
      <c r="C1845" s="61" t="s">
        <v>3</v>
      </c>
      <c r="D1845" s="20" t="s">
        <v>1957</v>
      </c>
      <c r="E1845" s="32" t="s">
        <v>205</v>
      </c>
      <c r="F1845" s="20" t="str">
        <f t="shared" si="103"/>
        <v>Block 23</v>
      </c>
      <c r="G1845" s="20" t="str">
        <f t="shared" si="102"/>
        <v>Lot 17</v>
      </c>
      <c r="H1845" s="40">
        <v>55</v>
      </c>
      <c r="I1845" s="41">
        <v>110</v>
      </c>
      <c r="J1845" s="19" t="s">
        <v>1917</v>
      </c>
      <c r="K1845" s="35" t="s">
        <v>1920</v>
      </c>
      <c r="L1845" s="36">
        <f>IFERROR(INDEX([3]ESE!$AD$22:$BD$453,MATCH($B1845,[3]ESE!$AD$22:$AD$453,0),23),"NA")</f>
        <v>4050000</v>
      </c>
      <c r="M1845" s="36"/>
      <c r="N1845" s="36">
        <f t="shared" si="104"/>
        <v>4050000</v>
      </c>
      <c r="O1845" s="36">
        <f t="shared" si="105"/>
        <v>486000</v>
      </c>
      <c r="P1845" s="60">
        <f t="shared" si="106"/>
        <v>3564000</v>
      </c>
    </row>
    <row r="1846" spans="2:16">
      <c r="B1846" s="19" t="s">
        <v>2009</v>
      </c>
      <c r="C1846" s="61" t="s">
        <v>3</v>
      </c>
      <c r="D1846" s="20" t="s">
        <v>1957</v>
      </c>
      <c r="E1846" s="32" t="s">
        <v>243</v>
      </c>
      <c r="F1846" s="20" t="str">
        <f t="shared" si="103"/>
        <v>Block 23</v>
      </c>
      <c r="G1846" s="20" t="str">
        <f t="shared" si="102"/>
        <v>Lot 18</v>
      </c>
      <c r="H1846" s="40">
        <v>55</v>
      </c>
      <c r="I1846" s="41">
        <v>104</v>
      </c>
      <c r="J1846" s="19" t="s">
        <v>1917</v>
      </c>
      <c r="K1846" s="35" t="s">
        <v>1926</v>
      </c>
      <c r="L1846" s="36">
        <f>IFERROR(INDEX([3]ESE!$AD$22:$BD$453,MATCH($B1846,[3]ESE!$AD$22:$AD$453,0),23),"NA")</f>
        <v>3960000</v>
      </c>
      <c r="M1846" s="36"/>
      <c r="N1846" s="36">
        <f t="shared" si="104"/>
        <v>3960000</v>
      </c>
      <c r="O1846" s="36">
        <f t="shared" si="105"/>
        <v>475200</v>
      </c>
      <c r="P1846" s="60">
        <f t="shared" si="106"/>
        <v>3484800</v>
      </c>
    </row>
    <row r="1847" spans="2:16">
      <c r="B1847" s="19" t="s">
        <v>2010</v>
      </c>
      <c r="C1847" s="61" t="s">
        <v>3</v>
      </c>
      <c r="D1847" s="20" t="s">
        <v>1957</v>
      </c>
      <c r="E1847" s="32" t="s">
        <v>243</v>
      </c>
      <c r="F1847" s="20" t="str">
        <f t="shared" si="103"/>
        <v>Block 23</v>
      </c>
      <c r="G1847" s="20" t="str">
        <f t="shared" si="102"/>
        <v>Lot 19</v>
      </c>
      <c r="H1847" s="40">
        <v>55</v>
      </c>
      <c r="I1847" s="41">
        <v>80</v>
      </c>
      <c r="J1847" s="19" t="s">
        <v>1917</v>
      </c>
      <c r="K1847" s="35" t="s">
        <v>1924</v>
      </c>
      <c r="L1847" s="36">
        <f>IFERROR(INDEX([3]ESE!$AD$22:$BD$453,MATCH($B1847,[3]ESE!$AD$22:$AD$453,0),23),"NA")</f>
        <v>3600000</v>
      </c>
      <c r="M1847" s="36"/>
      <c r="N1847" s="36">
        <f t="shared" si="104"/>
        <v>3600000</v>
      </c>
      <c r="O1847" s="36">
        <f t="shared" si="105"/>
        <v>0</v>
      </c>
      <c r="P1847" s="60">
        <f t="shared" si="106"/>
        <v>3600000</v>
      </c>
    </row>
    <row r="1848" spans="2:16">
      <c r="B1848" s="19" t="s">
        <v>2011</v>
      </c>
      <c r="C1848" s="61" t="s">
        <v>3</v>
      </c>
      <c r="D1848" s="20" t="s">
        <v>1957</v>
      </c>
      <c r="E1848" s="32" t="s">
        <v>205</v>
      </c>
      <c r="F1848" s="20" t="str">
        <f t="shared" si="103"/>
        <v>Block 23</v>
      </c>
      <c r="G1848" s="20" t="str">
        <f t="shared" si="102"/>
        <v>Lot 20</v>
      </c>
      <c r="H1848" s="40">
        <v>55</v>
      </c>
      <c r="I1848" s="41">
        <v>80</v>
      </c>
      <c r="J1848" s="19" t="s">
        <v>1917</v>
      </c>
      <c r="K1848" s="35" t="s">
        <v>1924</v>
      </c>
      <c r="L1848" s="36">
        <f>IFERROR(INDEX([3]ESE!$AD$22:$BD$453,MATCH($B1848,[3]ESE!$AD$22:$AD$453,0),23),"NA")</f>
        <v>3600000</v>
      </c>
      <c r="M1848" s="36"/>
      <c r="N1848" s="36">
        <f t="shared" si="104"/>
        <v>3600000</v>
      </c>
      <c r="O1848" s="36">
        <f t="shared" si="105"/>
        <v>0</v>
      </c>
      <c r="P1848" s="60">
        <f t="shared" si="106"/>
        <v>3600000</v>
      </c>
    </row>
    <row r="1849" spans="2:16">
      <c r="B1849" s="19" t="s">
        <v>2012</v>
      </c>
      <c r="C1849" s="61" t="s">
        <v>3</v>
      </c>
      <c r="D1849" s="20" t="s">
        <v>1957</v>
      </c>
      <c r="E1849" s="32" t="s">
        <v>205</v>
      </c>
      <c r="F1849" s="20" t="str">
        <f t="shared" si="103"/>
        <v>Block 23</v>
      </c>
      <c r="G1849" s="20" t="str">
        <f t="shared" si="102"/>
        <v>Lot 21</v>
      </c>
      <c r="H1849" s="40">
        <v>55</v>
      </c>
      <c r="I1849" s="41">
        <v>80</v>
      </c>
      <c r="J1849" s="19" t="s">
        <v>1917</v>
      </c>
      <c r="K1849" s="35" t="s">
        <v>1926</v>
      </c>
      <c r="L1849" s="36">
        <f>IFERROR(INDEX([3]ESE!$AD$22:$BD$453,MATCH($B1849,[3]ESE!$AD$22:$AD$453,0),23),"NA")</f>
        <v>3600000</v>
      </c>
      <c r="M1849" s="36"/>
      <c r="N1849" s="36">
        <f t="shared" si="104"/>
        <v>3600000</v>
      </c>
      <c r="O1849" s="36">
        <f t="shared" si="105"/>
        <v>0</v>
      </c>
      <c r="P1849" s="60">
        <f t="shared" si="106"/>
        <v>3600000</v>
      </c>
    </row>
    <row r="1850" spans="2:16">
      <c r="B1850" s="19" t="s">
        <v>2013</v>
      </c>
      <c r="C1850" s="61" t="s">
        <v>3</v>
      </c>
      <c r="D1850" s="20" t="s">
        <v>1957</v>
      </c>
      <c r="E1850" s="32" t="s">
        <v>205</v>
      </c>
      <c r="F1850" s="20" t="str">
        <f t="shared" si="103"/>
        <v>Block 23</v>
      </c>
      <c r="G1850" s="20" t="str">
        <f t="shared" si="102"/>
        <v>Lot 22</v>
      </c>
      <c r="H1850" s="40">
        <v>55</v>
      </c>
      <c r="I1850" s="41">
        <v>80</v>
      </c>
      <c r="J1850" s="19" t="s">
        <v>1917</v>
      </c>
      <c r="K1850" s="35" t="s">
        <v>1920</v>
      </c>
      <c r="L1850" s="36">
        <f>IFERROR(INDEX([3]ESE!$AD$22:$BD$453,MATCH($B1850,[3]ESE!$AD$22:$AD$453,0),23),"NA")</f>
        <v>3600000</v>
      </c>
      <c r="M1850" s="36"/>
      <c r="N1850" s="36">
        <f t="shared" si="104"/>
        <v>3600000</v>
      </c>
      <c r="O1850" s="36">
        <f t="shared" si="105"/>
        <v>0</v>
      </c>
      <c r="P1850" s="60">
        <f t="shared" si="106"/>
        <v>3600000</v>
      </c>
    </row>
    <row r="1851" spans="2:16">
      <c r="B1851" s="19" t="s">
        <v>2014</v>
      </c>
      <c r="C1851" s="61" t="s">
        <v>3</v>
      </c>
      <c r="D1851" s="20" t="s">
        <v>1957</v>
      </c>
      <c r="E1851" s="32" t="s">
        <v>205</v>
      </c>
      <c r="F1851" s="20" t="str">
        <f t="shared" si="103"/>
        <v>Block 23</v>
      </c>
      <c r="G1851" s="20" t="str">
        <f t="shared" si="102"/>
        <v>Lot 23</v>
      </c>
      <c r="H1851" s="40">
        <v>55</v>
      </c>
      <c r="I1851" s="41">
        <v>80</v>
      </c>
      <c r="J1851" s="19" t="s">
        <v>1917</v>
      </c>
      <c r="K1851" s="35" t="s">
        <v>1918</v>
      </c>
      <c r="L1851" s="36">
        <f>IFERROR(INDEX([3]ESE!$AD$22:$BD$453,MATCH($B1851,[3]ESE!$AD$22:$AD$453,0),23),"NA")</f>
        <v>3600000</v>
      </c>
      <c r="M1851" s="36"/>
      <c r="N1851" s="36">
        <f t="shared" si="104"/>
        <v>3600000</v>
      </c>
      <c r="O1851" s="36">
        <f t="shared" si="105"/>
        <v>0</v>
      </c>
      <c r="P1851" s="60">
        <f t="shared" si="106"/>
        <v>3600000</v>
      </c>
    </row>
    <row r="1852" spans="2:16">
      <c r="B1852" s="19" t="s">
        <v>2015</v>
      </c>
      <c r="C1852" s="61" t="s">
        <v>3</v>
      </c>
      <c r="D1852" s="20" t="s">
        <v>1957</v>
      </c>
      <c r="E1852" s="32" t="s">
        <v>205</v>
      </c>
      <c r="F1852" s="20" t="str">
        <f t="shared" si="103"/>
        <v>Block 23</v>
      </c>
      <c r="G1852" s="20" t="str">
        <f t="shared" si="102"/>
        <v>Lot 24</v>
      </c>
      <c r="H1852" s="40">
        <v>55</v>
      </c>
      <c r="I1852" s="41">
        <v>80</v>
      </c>
      <c r="J1852" s="19" t="s">
        <v>1917</v>
      </c>
      <c r="K1852" s="35" t="s">
        <v>1918</v>
      </c>
      <c r="L1852" s="36">
        <f>IFERROR(INDEX([3]ESE!$AD$22:$BD$453,MATCH($B1852,[3]ESE!$AD$22:$AD$453,0),23),"NA")</f>
        <v>3600000</v>
      </c>
      <c r="M1852" s="36"/>
      <c r="N1852" s="36">
        <f t="shared" si="104"/>
        <v>3600000</v>
      </c>
      <c r="O1852" s="36">
        <f t="shared" si="105"/>
        <v>0</v>
      </c>
      <c r="P1852" s="60">
        <f t="shared" si="106"/>
        <v>3600000</v>
      </c>
    </row>
    <row r="1853" spans="2:16">
      <c r="B1853" s="19" t="s">
        <v>2016</v>
      </c>
      <c r="C1853" s="61" t="s">
        <v>3</v>
      </c>
      <c r="D1853" s="20" t="s">
        <v>1957</v>
      </c>
      <c r="E1853" s="32" t="s">
        <v>205</v>
      </c>
      <c r="F1853" s="20" t="str">
        <f t="shared" si="103"/>
        <v>Block 23</v>
      </c>
      <c r="G1853" s="20" t="str">
        <f t="shared" si="102"/>
        <v>Lot 25</v>
      </c>
      <c r="H1853" s="40">
        <v>55</v>
      </c>
      <c r="I1853" s="41">
        <v>80</v>
      </c>
      <c r="J1853" s="19" t="s">
        <v>1917</v>
      </c>
      <c r="K1853" s="35" t="s">
        <v>1920</v>
      </c>
      <c r="L1853" s="36">
        <f>IFERROR(INDEX([3]ESE!$AD$22:$BD$453,MATCH($B1853,[3]ESE!$AD$22:$AD$453,0),23),"NA")</f>
        <v>3600000</v>
      </c>
      <c r="M1853" s="36"/>
      <c r="N1853" s="36">
        <f t="shared" si="104"/>
        <v>3600000</v>
      </c>
      <c r="O1853" s="36">
        <f t="shared" si="105"/>
        <v>0</v>
      </c>
      <c r="P1853" s="60">
        <f t="shared" si="106"/>
        <v>3600000</v>
      </c>
    </row>
    <row r="1854" spans="2:16">
      <c r="B1854" s="19" t="s">
        <v>2017</v>
      </c>
      <c r="C1854" s="61" t="s">
        <v>3</v>
      </c>
      <c r="D1854" s="20" t="s">
        <v>1957</v>
      </c>
      <c r="E1854" s="32" t="s">
        <v>205</v>
      </c>
      <c r="F1854" s="20" t="str">
        <f t="shared" si="103"/>
        <v>Block 23</v>
      </c>
      <c r="G1854" s="20" t="str">
        <f t="shared" si="102"/>
        <v>Lot 26</v>
      </c>
      <c r="H1854" s="40">
        <v>55</v>
      </c>
      <c r="I1854" s="41">
        <v>80</v>
      </c>
      <c r="J1854" s="19" t="s">
        <v>1917</v>
      </c>
      <c r="K1854" s="35" t="s">
        <v>1926</v>
      </c>
      <c r="L1854" s="36">
        <f>IFERROR(INDEX([3]ESE!$AD$22:$BD$453,MATCH($B1854,[3]ESE!$AD$22:$AD$453,0),23),"NA")</f>
        <v>3600000</v>
      </c>
      <c r="M1854" s="36"/>
      <c r="N1854" s="36">
        <f t="shared" si="104"/>
        <v>3600000</v>
      </c>
      <c r="O1854" s="36">
        <f t="shared" si="105"/>
        <v>0</v>
      </c>
      <c r="P1854" s="60">
        <f t="shared" si="106"/>
        <v>3600000</v>
      </c>
    </row>
    <row r="1855" spans="2:16">
      <c r="B1855" s="19" t="s">
        <v>2018</v>
      </c>
      <c r="C1855" s="61" t="s">
        <v>3</v>
      </c>
      <c r="D1855" s="20" t="s">
        <v>1957</v>
      </c>
      <c r="E1855" s="32" t="s">
        <v>205</v>
      </c>
      <c r="F1855" s="20" t="str">
        <f t="shared" si="103"/>
        <v>Block 23</v>
      </c>
      <c r="G1855" s="20" t="str">
        <f t="shared" si="102"/>
        <v>Lot 27</v>
      </c>
      <c r="H1855" s="40">
        <v>55</v>
      </c>
      <c r="I1855" s="41">
        <v>80</v>
      </c>
      <c r="J1855" s="19" t="s">
        <v>1917</v>
      </c>
      <c r="K1855" s="35" t="s">
        <v>1924</v>
      </c>
      <c r="L1855" s="36">
        <f>IFERROR(INDEX([3]ESE!$AD$22:$BD$453,MATCH($B1855,[3]ESE!$AD$22:$AD$453,0),23),"NA")</f>
        <v>3600000</v>
      </c>
      <c r="M1855" s="36"/>
      <c r="N1855" s="36">
        <f t="shared" si="104"/>
        <v>3600000</v>
      </c>
      <c r="O1855" s="36">
        <f t="shared" si="105"/>
        <v>0</v>
      </c>
      <c r="P1855" s="60">
        <f t="shared" si="106"/>
        <v>3600000</v>
      </c>
    </row>
    <row r="1856" spans="2:16">
      <c r="B1856" s="19" t="s">
        <v>2019</v>
      </c>
      <c r="C1856" s="61" t="s">
        <v>3</v>
      </c>
      <c r="D1856" s="20" t="s">
        <v>1957</v>
      </c>
      <c r="E1856" s="32" t="s">
        <v>205</v>
      </c>
      <c r="F1856" s="20" t="str">
        <f t="shared" si="103"/>
        <v>Block 23</v>
      </c>
      <c r="G1856" s="20" t="str">
        <f t="shared" si="102"/>
        <v>Lot 28</v>
      </c>
      <c r="H1856" s="40">
        <v>55</v>
      </c>
      <c r="I1856" s="41">
        <v>80</v>
      </c>
      <c r="J1856" s="19" t="s">
        <v>1917</v>
      </c>
      <c r="K1856" s="35" t="s">
        <v>1924</v>
      </c>
      <c r="L1856" s="36">
        <f>IFERROR(INDEX([3]ESE!$AD$22:$BD$453,MATCH($B1856,[3]ESE!$AD$22:$AD$453,0),23),"NA")</f>
        <v>3600000</v>
      </c>
      <c r="M1856" s="36"/>
      <c r="N1856" s="36">
        <f t="shared" si="104"/>
        <v>3600000</v>
      </c>
      <c r="O1856" s="36">
        <f t="shared" si="105"/>
        <v>0</v>
      </c>
      <c r="P1856" s="60">
        <f t="shared" si="106"/>
        <v>3600000</v>
      </c>
    </row>
    <row r="1857" spans="2:16">
      <c r="B1857" s="19" t="s">
        <v>2020</v>
      </c>
      <c r="C1857" s="61" t="s">
        <v>3</v>
      </c>
      <c r="D1857" s="20" t="s">
        <v>1957</v>
      </c>
      <c r="E1857" s="32" t="s">
        <v>205</v>
      </c>
      <c r="F1857" s="20" t="str">
        <f t="shared" si="103"/>
        <v>Block 23</v>
      </c>
      <c r="G1857" s="20" t="str">
        <f t="shared" si="102"/>
        <v>Lot 29</v>
      </c>
      <c r="H1857" s="40">
        <v>55</v>
      </c>
      <c r="I1857" s="41">
        <v>80</v>
      </c>
      <c r="J1857" s="19" t="s">
        <v>1917</v>
      </c>
      <c r="K1857" s="35" t="s">
        <v>1926</v>
      </c>
      <c r="L1857" s="36">
        <f>IFERROR(INDEX([3]ESE!$AD$22:$BD$453,MATCH($B1857,[3]ESE!$AD$22:$AD$453,0),23),"NA")</f>
        <v>3600000</v>
      </c>
      <c r="M1857" s="36"/>
      <c r="N1857" s="36">
        <f t="shared" si="104"/>
        <v>3600000</v>
      </c>
      <c r="O1857" s="36">
        <f t="shared" si="105"/>
        <v>0</v>
      </c>
      <c r="P1857" s="60">
        <f t="shared" si="106"/>
        <v>3600000</v>
      </c>
    </row>
    <row r="1858" spans="2:16">
      <c r="B1858" s="19" t="s">
        <v>2021</v>
      </c>
      <c r="C1858" s="61" t="s">
        <v>3</v>
      </c>
      <c r="D1858" s="20" t="s">
        <v>1957</v>
      </c>
      <c r="E1858" s="32" t="s">
        <v>205</v>
      </c>
      <c r="F1858" s="20" t="str">
        <f t="shared" si="103"/>
        <v>Block 23</v>
      </c>
      <c r="G1858" s="20" t="str">
        <f t="shared" si="102"/>
        <v>Lot 30</v>
      </c>
      <c r="H1858" s="40">
        <v>55</v>
      </c>
      <c r="I1858" s="41">
        <v>80</v>
      </c>
      <c r="J1858" s="19" t="s">
        <v>1917</v>
      </c>
      <c r="K1858" s="35" t="s">
        <v>1920</v>
      </c>
      <c r="L1858" s="36">
        <f>IFERROR(INDEX([3]ESE!$AD$22:$BD$453,MATCH($B1858,[3]ESE!$AD$22:$AD$453,0),23),"NA")</f>
        <v>3600000</v>
      </c>
      <c r="M1858" s="36"/>
      <c r="N1858" s="36">
        <f t="shared" si="104"/>
        <v>3600000</v>
      </c>
      <c r="O1858" s="36">
        <f t="shared" si="105"/>
        <v>0</v>
      </c>
      <c r="P1858" s="60">
        <f t="shared" si="106"/>
        <v>3600000</v>
      </c>
    </row>
    <row r="1859" spans="2:16">
      <c r="B1859" s="19" t="s">
        <v>2022</v>
      </c>
      <c r="C1859" s="61" t="s">
        <v>3</v>
      </c>
      <c r="D1859" s="20" t="s">
        <v>1957</v>
      </c>
      <c r="E1859" s="32" t="s">
        <v>205</v>
      </c>
      <c r="F1859" s="20" t="str">
        <f t="shared" si="103"/>
        <v>Block 23</v>
      </c>
      <c r="G1859" s="20" t="str">
        <f t="shared" si="102"/>
        <v>Lot 31</v>
      </c>
      <c r="H1859" s="40">
        <v>55</v>
      </c>
      <c r="I1859" s="41">
        <v>100</v>
      </c>
      <c r="J1859" s="19" t="s">
        <v>1917</v>
      </c>
      <c r="K1859" s="35" t="s">
        <v>1918</v>
      </c>
      <c r="L1859" s="36">
        <f>IFERROR(INDEX([3]ESE!$AD$22:$BD$453,MATCH($B1859,[3]ESE!$AD$22:$AD$453,0),23),"NA")</f>
        <v>3900000</v>
      </c>
      <c r="M1859" s="36"/>
      <c r="N1859" s="36">
        <f t="shared" si="104"/>
        <v>3900000</v>
      </c>
      <c r="O1859" s="36">
        <f t="shared" si="105"/>
        <v>468000</v>
      </c>
      <c r="P1859" s="60">
        <f t="shared" si="106"/>
        <v>3432000</v>
      </c>
    </row>
    <row r="1860" spans="2:16">
      <c r="B1860" s="19" t="s">
        <v>2023</v>
      </c>
      <c r="C1860" s="61" t="s">
        <v>3</v>
      </c>
      <c r="D1860" s="20" t="s">
        <v>980</v>
      </c>
      <c r="E1860" s="32" t="s">
        <v>205</v>
      </c>
      <c r="F1860" s="20" t="str">
        <f t="shared" si="103"/>
        <v>Block 23</v>
      </c>
      <c r="G1860" s="20" t="str">
        <f t="shared" si="102"/>
        <v>Lot 32</v>
      </c>
      <c r="H1860" s="40" t="s">
        <v>99</v>
      </c>
      <c r="I1860" s="41">
        <v>128</v>
      </c>
      <c r="J1860" s="20" t="s">
        <v>100</v>
      </c>
      <c r="K1860" s="35" t="s">
        <v>982</v>
      </c>
      <c r="L1860" s="36">
        <f>IFERROR(INDEX([3]ESE!$AD$22:$BD$453,MATCH($B1860,[3]ESE!$AD$22:$AD$453,0),23),"NA")</f>
        <v>2304000</v>
      </c>
      <c r="M1860" s="36"/>
      <c r="N1860" s="36">
        <f t="shared" si="104"/>
        <v>2304000</v>
      </c>
      <c r="O1860" s="36">
        <f t="shared" ref="O1860:O1861" si="107">L1860*12/112</f>
        <v>246857.14285714287</v>
      </c>
      <c r="P1860" s="60">
        <f t="shared" si="106"/>
        <v>2057142.857142857</v>
      </c>
    </row>
    <row r="1861" spans="2:16">
      <c r="B1861" s="19" t="s">
        <v>2024</v>
      </c>
      <c r="C1861" s="61" t="s">
        <v>3</v>
      </c>
      <c r="D1861" s="20" t="s">
        <v>980</v>
      </c>
      <c r="E1861" s="32" t="s">
        <v>233</v>
      </c>
      <c r="F1861" s="20" t="str">
        <f t="shared" si="103"/>
        <v>Block 24</v>
      </c>
      <c r="G1861" s="20" t="str">
        <f t="shared" si="102"/>
        <v>Lot 01</v>
      </c>
      <c r="H1861" s="40" t="s">
        <v>99</v>
      </c>
      <c r="I1861" s="41">
        <v>150</v>
      </c>
      <c r="J1861" s="20" t="s">
        <v>100</v>
      </c>
      <c r="K1861" s="35" t="s">
        <v>982</v>
      </c>
      <c r="L1861" s="36">
        <f>IFERROR(INDEX([3]ESE!$AD$22:$BD$453,MATCH($B1861,[3]ESE!$AD$22:$AD$453,0),23),"NA")</f>
        <v>2700000</v>
      </c>
      <c r="M1861" s="36"/>
      <c r="N1861" s="36">
        <f t="shared" si="104"/>
        <v>2700000</v>
      </c>
      <c r="O1861" s="36">
        <f t="shared" si="107"/>
        <v>289285.71428571426</v>
      </c>
      <c r="P1861" s="60">
        <f t="shared" si="106"/>
        <v>2410714.2857142859</v>
      </c>
    </row>
    <row r="1862" spans="2:16">
      <c r="B1862" s="19" t="s">
        <v>2025</v>
      </c>
      <c r="C1862" s="61" t="s">
        <v>3</v>
      </c>
      <c r="D1862" s="20" t="s">
        <v>1957</v>
      </c>
      <c r="E1862" s="32" t="s">
        <v>205</v>
      </c>
      <c r="F1862" s="20" t="str">
        <f t="shared" si="103"/>
        <v>Block 24</v>
      </c>
      <c r="G1862" s="20" t="str">
        <f t="shared" si="102"/>
        <v>Lot 02</v>
      </c>
      <c r="H1862" s="40">
        <v>55</v>
      </c>
      <c r="I1862" s="41">
        <v>80</v>
      </c>
      <c r="J1862" s="19" t="s">
        <v>1917</v>
      </c>
      <c r="K1862" s="35" t="s">
        <v>1918</v>
      </c>
      <c r="L1862" s="36">
        <f>IFERROR(INDEX([3]ESE!$AD$22:$BD$453,MATCH($B1862,[3]ESE!$AD$22:$AD$453,0),23),"NA")</f>
        <v>3600000</v>
      </c>
      <c r="M1862" s="36"/>
      <c r="N1862" s="36">
        <f t="shared" si="104"/>
        <v>3600000</v>
      </c>
      <c r="O1862" s="36">
        <f t="shared" ref="O1862:O1879" si="108">IF(N1862&lt;=3600000,0,N1862*12%)</f>
        <v>0</v>
      </c>
      <c r="P1862" s="60">
        <f t="shared" si="106"/>
        <v>3600000</v>
      </c>
    </row>
    <row r="1863" spans="2:16">
      <c r="B1863" s="19" t="s">
        <v>2026</v>
      </c>
      <c r="C1863" s="61" t="s">
        <v>3</v>
      </c>
      <c r="D1863" s="20" t="s">
        <v>1957</v>
      </c>
      <c r="E1863" s="32" t="s">
        <v>205</v>
      </c>
      <c r="F1863" s="20" t="str">
        <f t="shared" si="103"/>
        <v>Block 24</v>
      </c>
      <c r="G1863" s="20" t="str">
        <f t="shared" si="102"/>
        <v>Lot 03</v>
      </c>
      <c r="H1863" s="40">
        <v>55</v>
      </c>
      <c r="I1863" s="41">
        <v>80</v>
      </c>
      <c r="J1863" s="19" t="s">
        <v>1917</v>
      </c>
      <c r="K1863" s="35" t="s">
        <v>1920</v>
      </c>
      <c r="L1863" s="36">
        <f>IFERROR(INDEX([3]ESE!$AD$22:$BD$453,MATCH($B1863,[3]ESE!$AD$22:$AD$453,0),23),"NA")</f>
        <v>3600000</v>
      </c>
      <c r="M1863" s="36"/>
      <c r="N1863" s="36">
        <f t="shared" si="104"/>
        <v>3600000</v>
      </c>
      <c r="O1863" s="36">
        <f t="shared" si="108"/>
        <v>0</v>
      </c>
      <c r="P1863" s="60">
        <f t="shared" si="106"/>
        <v>3600000</v>
      </c>
    </row>
    <row r="1864" spans="2:16">
      <c r="B1864" s="19" t="s">
        <v>2027</v>
      </c>
      <c r="C1864" s="61" t="s">
        <v>3</v>
      </c>
      <c r="D1864" s="20" t="s">
        <v>1952</v>
      </c>
      <c r="E1864" s="32" t="s">
        <v>205</v>
      </c>
      <c r="F1864" s="20" t="str">
        <f t="shared" si="103"/>
        <v>Block 24</v>
      </c>
      <c r="G1864" s="20" t="str">
        <f t="shared" si="102"/>
        <v>Lot 04</v>
      </c>
      <c r="H1864" s="40">
        <v>55</v>
      </c>
      <c r="I1864" s="41">
        <v>80</v>
      </c>
      <c r="J1864" s="19" t="s">
        <v>1917</v>
      </c>
      <c r="K1864" s="35" t="s">
        <v>1920</v>
      </c>
      <c r="L1864" s="36">
        <f>IFERROR(INDEX([3]ESE!$AD$22:$BD$453,MATCH($B1864,[3]ESE!$AD$22:$AD$453,0),23),"NA")</f>
        <v>3600000</v>
      </c>
      <c r="M1864" s="36"/>
      <c r="N1864" s="36">
        <f t="shared" si="104"/>
        <v>3600000</v>
      </c>
      <c r="O1864" s="36">
        <f t="shared" si="108"/>
        <v>0</v>
      </c>
      <c r="P1864" s="60">
        <f t="shared" si="106"/>
        <v>3600000</v>
      </c>
    </row>
    <row r="1865" spans="2:16">
      <c r="B1865" s="19" t="s">
        <v>2028</v>
      </c>
      <c r="C1865" s="61" t="s">
        <v>3</v>
      </c>
      <c r="D1865" s="20" t="s">
        <v>1952</v>
      </c>
      <c r="E1865" s="32" t="s">
        <v>205</v>
      </c>
      <c r="F1865" s="20" t="str">
        <f t="shared" si="103"/>
        <v>Block 24</v>
      </c>
      <c r="G1865" s="20" t="str">
        <f t="shared" si="102"/>
        <v>Lot 05</v>
      </c>
      <c r="H1865" s="40">
        <v>55</v>
      </c>
      <c r="I1865" s="41">
        <v>80</v>
      </c>
      <c r="J1865" s="19" t="s">
        <v>1917</v>
      </c>
      <c r="K1865" s="35" t="s">
        <v>1918</v>
      </c>
      <c r="L1865" s="36">
        <f>IFERROR(INDEX([3]ESE!$AD$22:$BD$453,MATCH($B1865,[3]ESE!$AD$22:$AD$453,0),23),"NA")</f>
        <v>3600000</v>
      </c>
      <c r="M1865" s="36"/>
      <c r="N1865" s="36">
        <f t="shared" si="104"/>
        <v>3600000</v>
      </c>
      <c r="O1865" s="36">
        <f t="shared" si="108"/>
        <v>0</v>
      </c>
      <c r="P1865" s="60">
        <f t="shared" si="106"/>
        <v>3600000</v>
      </c>
    </row>
    <row r="1866" spans="2:16">
      <c r="B1866" s="19" t="s">
        <v>2029</v>
      </c>
      <c r="C1866" s="61" t="s">
        <v>3</v>
      </c>
      <c r="D1866" s="20" t="s">
        <v>1952</v>
      </c>
      <c r="E1866" s="32" t="s">
        <v>205</v>
      </c>
      <c r="F1866" s="20" t="str">
        <f t="shared" si="103"/>
        <v>Block 24</v>
      </c>
      <c r="G1866" s="20" t="str">
        <f t="shared" si="102"/>
        <v>Lot 06</v>
      </c>
      <c r="H1866" s="40">
        <v>55</v>
      </c>
      <c r="I1866" s="41">
        <v>80</v>
      </c>
      <c r="J1866" s="19" t="s">
        <v>1917</v>
      </c>
      <c r="K1866" s="35" t="s">
        <v>1924</v>
      </c>
      <c r="L1866" s="36">
        <f>IFERROR(INDEX([3]ESE!$AD$22:$BD$453,MATCH($B1866,[3]ESE!$AD$22:$AD$453,0),23),"NA")</f>
        <v>3600000</v>
      </c>
      <c r="M1866" s="36"/>
      <c r="N1866" s="36">
        <f t="shared" si="104"/>
        <v>3600000</v>
      </c>
      <c r="O1866" s="36">
        <f t="shared" si="108"/>
        <v>0</v>
      </c>
      <c r="P1866" s="60">
        <f t="shared" si="106"/>
        <v>3600000</v>
      </c>
    </row>
    <row r="1867" spans="2:16">
      <c r="B1867" s="19" t="s">
        <v>2030</v>
      </c>
      <c r="C1867" s="61" t="s">
        <v>3</v>
      </c>
      <c r="D1867" s="20" t="s">
        <v>1952</v>
      </c>
      <c r="E1867" s="32" t="s">
        <v>205</v>
      </c>
      <c r="F1867" s="20" t="str">
        <f t="shared" si="103"/>
        <v>Block 24</v>
      </c>
      <c r="G1867" s="20" t="str">
        <f t="shared" si="102"/>
        <v>Lot 07</v>
      </c>
      <c r="H1867" s="40">
        <v>55</v>
      </c>
      <c r="I1867" s="41">
        <v>80</v>
      </c>
      <c r="J1867" s="19" t="s">
        <v>1917</v>
      </c>
      <c r="K1867" s="35" t="s">
        <v>1926</v>
      </c>
      <c r="L1867" s="36">
        <f>IFERROR(INDEX([3]ESE!$AD$22:$BD$453,MATCH($B1867,[3]ESE!$AD$22:$AD$453,0),23),"NA")</f>
        <v>3600000</v>
      </c>
      <c r="M1867" s="36"/>
      <c r="N1867" s="36">
        <f t="shared" si="104"/>
        <v>3600000</v>
      </c>
      <c r="O1867" s="36">
        <f t="shared" si="108"/>
        <v>0</v>
      </c>
      <c r="P1867" s="60">
        <f t="shared" si="106"/>
        <v>3600000</v>
      </c>
    </row>
    <row r="1868" spans="2:16">
      <c r="B1868" s="19" t="s">
        <v>2031</v>
      </c>
      <c r="C1868" s="61" t="s">
        <v>3</v>
      </c>
      <c r="D1868" s="20" t="s">
        <v>1952</v>
      </c>
      <c r="E1868" s="32" t="s">
        <v>205</v>
      </c>
      <c r="F1868" s="20" t="str">
        <f t="shared" si="103"/>
        <v>Block 24</v>
      </c>
      <c r="G1868" s="20" t="str">
        <f t="shared" si="102"/>
        <v>Lot 08</v>
      </c>
      <c r="H1868" s="40">
        <v>55</v>
      </c>
      <c r="I1868" s="41">
        <v>80</v>
      </c>
      <c r="J1868" s="19" t="s">
        <v>1917</v>
      </c>
      <c r="K1868" s="35" t="s">
        <v>1926</v>
      </c>
      <c r="L1868" s="36">
        <f>IFERROR(INDEX([3]ESE!$AD$22:$BD$453,MATCH($B1868,[3]ESE!$AD$22:$AD$453,0),23),"NA")</f>
        <v>3600000</v>
      </c>
      <c r="M1868" s="36"/>
      <c r="N1868" s="36">
        <f t="shared" si="104"/>
        <v>3600000</v>
      </c>
      <c r="O1868" s="36">
        <f t="shared" si="108"/>
        <v>0</v>
      </c>
      <c r="P1868" s="60">
        <f t="shared" si="106"/>
        <v>3600000</v>
      </c>
    </row>
    <row r="1869" spans="2:16">
      <c r="B1869" s="19" t="s">
        <v>2032</v>
      </c>
      <c r="C1869" s="61" t="s">
        <v>3</v>
      </c>
      <c r="D1869" s="20" t="s">
        <v>1952</v>
      </c>
      <c r="E1869" s="32" t="s">
        <v>243</v>
      </c>
      <c r="F1869" s="20" t="str">
        <f t="shared" si="103"/>
        <v>Block 24</v>
      </c>
      <c r="G1869" s="20" t="str">
        <f t="shared" si="102"/>
        <v>Lot 09</v>
      </c>
      <c r="H1869" s="40">
        <v>55</v>
      </c>
      <c r="I1869" s="41">
        <v>80</v>
      </c>
      <c r="J1869" s="19" t="s">
        <v>1917</v>
      </c>
      <c r="K1869" s="35" t="s">
        <v>1924</v>
      </c>
      <c r="L1869" s="36">
        <f>IFERROR(INDEX([3]ESE!$AD$22:$BD$453,MATCH($B1869,[3]ESE!$AD$22:$AD$453,0),23),"NA")</f>
        <v>3600000</v>
      </c>
      <c r="M1869" s="36"/>
      <c r="N1869" s="36">
        <f t="shared" si="104"/>
        <v>3600000</v>
      </c>
      <c r="O1869" s="36">
        <f t="shared" si="108"/>
        <v>0</v>
      </c>
      <c r="P1869" s="60">
        <f t="shared" si="106"/>
        <v>3600000</v>
      </c>
    </row>
    <row r="1870" spans="2:16">
      <c r="B1870" s="19" t="s">
        <v>2033</v>
      </c>
      <c r="C1870" s="61" t="s">
        <v>3</v>
      </c>
      <c r="D1870" s="20" t="s">
        <v>1952</v>
      </c>
      <c r="E1870" s="32" t="s">
        <v>205</v>
      </c>
      <c r="F1870" s="20" t="str">
        <f t="shared" si="103"/>
        <v>Block 24</v>
      </c>
      <c r="G1870" s="20" t="str">
        <f t="shared" si="102"/>
        <v>Lot 10</v>
      </c>
      <c r="H1870" s="40">
        <v>55</v>
      </c>
      <c r="I1870" s="41">
        <v>80</v>
      </c>
      <c r="J1870" s="19" t="s">
        <v>1917</v>
      </c>
      <c r="K1870" s="35" t="s">
        <v>1918</v>
      </c>
      <c r="L1870" s="36">
        <f>IFERROR(INDEX([3]ESE!$AD$22:$BD$453,MATCH($B1870,[3]ESE!$AD$22:$AD$453,0),23),"NA")</f>
        <v>3600000</v>
      </c>
      <c r="M1870" s="36"/>
      <c r="N1870" s="36">
        <f t="shared" si="104"/>
        <v>3600000</v>
      </c>
      <c r="O1870" s="36">
        <f t="shared" si="108"/>
        <v>0</v>
      </c>
      <c r="P1870" s="60">
        <f t="shared" si="106"/>
        <v>3600000</v>
      </c>
    </row>
    <row r="1871" spans="2:16">
      <c r="B1871" s="19" t="s">
        <v>2034</v>
      </c>
      <c r="C1871" s="61" t="s">
        <v>3</v>
      </c>
      <c r="D1871" s="20" t="s">
        <v>1952</v>
      </c>
      <c r="E1871" s="32" t="s">
        <v>205</v>
      </c>
      <c r="F1871" s="20" t="str">
        <f t="shared" si="103"/>
        <v>Block 24</v>
      </c>
      <c r="G1871" s="20" t="str">
        <f t="shared" si="102"/>
        <v>Lot 11</v>
      </c>
      <c r="H1871" s="38">
        <v>55</v>
      </c>
      <c r="I1871" s="39">
        <v>90</v>
      </c>
      <c r="J1871" s="19" t="s">
        <v>1917</v>
      </c>
      <c r="K1871" s="35" t="s">
        <v>1920</v>
      </c>
      <c r="L1871" s="36">
        <f>IFERROR(INDEX([3]ESE!$AD$22:$BD$453,MATCH($B1871,[3]ESE!$AD$22:$AD$453,0),23),"NA")</f>
        <v>3945000</v>
      </c>
      <c r="M1871" s="36"/>
      <c r="N1871" s="36">
        <f t="shared" si="104"/>
        <v>3945000</v>
      </c>
      <c r="O1871" s="36">
        <f t="shared" si="108"/>
        <v>473400</v>
      </c>
      <c r="P1871" s="60">
        <f t="shared" si="106"/>
        <v>3471600</v>
      </c>
    </row>
    <row r="1872" spans="2:16">
      <c r="B1872" s="19" t="s">
        <v>2035</v>
      </c>
      <c r="C1872" s="61" t="s">
        <v>3</v>
      </c>
      <c r="D1872" s="20" t="s">
        <v>1952</v>
      </c>
      <c r="E1872" s="32" t="s">
        <v>205</v>
      </c>
      <c r="F1872" s="20" t="str">
        <f t="shared" si="103"/>
        <v>Block 24</v>
      </c>
      <c r="G1872" s="20" t="str">
        <f t="shared" si="102"/>
        <v>Lot 15</v>
      </c>
      <c r="H1872" s="40">
        <v>55</v>
      </c>
      <c r="I1872" s="41">
        <v>107</v>
      </c>
      <c r="J1872" s="19" t="s">
        <v>1917</v>
      </c>
      <c r="K1872" s="35" t="s">
        <v>1926</v>
      </c>
      <c r="L1872" s="36">
        <f>IFERROR(INDEX([3]ESE!$AD$22:$BD$453,MATCH($B1872,[3]ESE!$AD$22:$AD$453,0),23),"NA")</f>
        <v>4005000</v>
      </c>
      <c r="M1872" s="36"/>
      <c r="N1872" s="36">
        <f t="shared" si="104"/>
        <v>4005000</v>
      </c>
      <c r="O1872" s="36">
        <f t="shared" si="108"/>
        <v>480600</v>
      </c>
      <c r="P1872" s="60">
        <f t="shared" si="106"/>
        <v>3524400</v>
      </c>
    </row>
    <row r="1873" spans="2:16">
      <c r="B1873" s="19" t="s">
        <v>2036</v>
      </c>
      <c r="C1873" s="61" t="s">
        <v>3</v>
      </c>
      <c r="D1873" s="20" t="s">
        <v>1952</v>
      </c>
      <c r="E1873" s="32" t="s">
        <v>205</v>
      </c>
      <c r="F1873" s="20" t="str">
        <f t="shared" si="103"/>
        <v>Block 24</v>
      </c>
      <c r="G1873" s="20" t="str">
        <f t="shared" si="102"/>
        <v>Lot 16</v>
      </c>
      <c r="H1873" s="40">
        <v>55</v>
      </c>
      <c r="I1873" s="41">
        <v>80</v>
      </c>
      <c r="J1873" s="19" t="s">
        <v>1917</v>
      </c>
      <c r="K1873" s="35" t="s">
        <v>1924</v>
      </c>
      <c r="L1873" s="36">
        <f>IFERROR(INDEX([3]ESE!$AD$22:$BD$453,MATCH($B1873,[3]ESE!$AD$22:$AD$453,0),23),"NA")</f>
        <v>3600000</v>
      </c>
      <c r="M1873" s="36"/>
      <c r="N1873" s="36">
        <f t="shared" si="104"/>
        <v>3600000</v>
      </c>
      <c r="O1873" s="36">
        <f t="shared" si="108"/>
        <v>0</v>
      </c>
      <c r="P1873" s="60">
        <f t="shared" si="106"/>
        <v>3600000</v>
      </c>
    </row>
    <row r="1874" spans="2:16">
      <c r="B1874" s="19" t="s">
        <v>2037</v>
      </c>
      <c r="C1874" s="61" t="s">
        <v>3</v>
      </c>
      <c r="D1874" s="20" t="s">
        <v>1952</v>
      </c>
      <c r="E1874" s="32" t="s">
        <v>205</v>
      </c>
      <c r="F1874" s="20" t="str">
        <f t="shared" si="103"/>
        <v>Block 24</v>
      </c>
      <c r="G1874" s="20" t="str">
        <f t="shared" si="102"/>
        <v>Lot 17</v>
      </c>
      <c r="H1874" s="40">
        <v>55</v>
      </c>
      <c r="I1874" s="41">
        <v>80</v>
      </c>
      <c r="J1874" s="19" t="s">
        <v>1917</v>
      </c>
      <c r="K1874" s="35" t="s">
        <v>1918</v>
      </c>
      <c r="L1874" s="36">
        <f>IFERROR(INDEX([3]ESE!$AD$22:$BD$453,MATCH($B1874,[3]ESE!$AD$22:$AD$453,0),23),"NA")</f>
        <v>3600000</v>
      </c>
      <c r="M1874" s="36"/>
      <c r="N1874" s="36">
        <f t="shared" si="104"/>
        <v>3600000</v>
      </c>
      <c r="O1874" s="36">
        <f t="shared" si="108"/>
        <v>0</v>
      </c>
      <c r="P1874" s="60">
        <f t="shared" si="106"/>
        <v>3600000</v>
      </c>
    </row>
    <row r="1875" spans="2:16">
      <c r="B1875" s="19" t="s">
        <v>2038</v>
      </c>
      <c r="C1875" s="61" t="s">
        <v>3</v>
      </c>
      <c r="D1875" s="20" t="s">
        <v>1952</v>
      </c>
      <c r="E1875" s="32" t="s">
        <v>205</v>
      </c>
      <c r="F1875" s="20" t="str">
        <f t="shared" si="103"/>
        <v>Block 24</v>
      </c>
      <c r="G1875" s="20" t="str">
        <f t="shared" si="102"/>
        <v>Lot 18</v>
      </c>
      <c r="H1875" s="40">
        <v>55</v>
      </c>
      <c r="I1875" s="41">
        <v>80</v>
      </c>
      <c r="J1875" s="19" t="s">
        <v>1917</v>
      </c>
      <c r="K1875" s="35" t="s">
        <v>1920</v>
      </c>
      <c r="L1875" s="36">
        <f>IFERROR(INDEX([3]ESE!$AD$22:$BD$453,MATCH($B1875,[3]ESE!$AD$22:$AD$453,0),23),"NA")</f>
        <v>3600000</v>
      </c>
      <c r="M1875" s="36"/>
      <c r="N1875" s="36">
        <f t="shared" si="104"/>
        <v>3600000</v>
      </c>
      <c r="O1875" s="36">
        <f t="shared" si="108"/>
        <v>0</v>
      </c>
      <c r="P1875" s="60">
        <f t="shared" si="106"/>
        <v>3600000</v>
      </c>
    </row>
    <row r="1876" spans="2:16">
      <c r="B1876" s="19" t="s">
        <v>2039</v>
      </c>
      <c r="C1876" s="61" t="s">
        <v>3</v>
      </c>
      <c r="D1876" s="20" t="s">
        <v>1952</v>
      </c>
      <c r="E1876" s="32" t="s">
        <v>205</v>
      </c>
      <c r="F1876" s="20" t="str">
        <f t="shared" si="103"/>
        <v>Block 24</v>
      </c>
      <c r="G1876" s="20" t="str">
        <f t="shared" si="102"/>
        <v>Lot 19</v>
      </c>
      <c r="H1876" s="40">
        <v>55</v>
      </c>
      <c r="I1876" s="41">
        <v>80</v>
      </c>
      <c r="J1876" s="19" t="s">
        <v>1917</v>
      </c>
      <c r="K1876" s="35" t="s">
        <v>1920</v>
      </c>
      <c r="L1876" s="36">
        <f>IFERROR(INDEX([3]ESE!$AD$22:$BD$453,MATCH($B1876,[3]ESE!$AD$22:$AD$453,0),23),"NA")</f>
        <v>3600000</v>
      </c>
      <c r="M1876" s="36"/>
      <c r="N1876" s="36">
        <f t="shared" si="104"/>
        <v>3600000</v>
      </c>
      <c r="O1876" s="36">
        <f t="shared" si="108"/>
        <v>0</v>
      </c>
      <c r="P1876" s="60">
        <f t="shared" si="106"/>
        <v>3600000</v>
      </c>
    </row>
    <row r="1877" spans="2:16">
      <c r="B1877" s="19" t="s">
        <v>2040</v>
      </c>
      <c r="C1877" s="61" t="s">
        <v>3</v>
      </c>
      <c r="D1877" s="20" t="s">
        <v>1952</v>
      </c>
      <c r="E1877" s="32" t="s">
        <v>205</v>
      </c>
      <c r="F1877" s="20" t="str">
        <f t="shared" si="103"/>
        <v>Block 24</v>
      </c>
      <c r="G1877" s="20" t="str">
        <f t="shared" si="102"/>
        <v>Lot 20</v>
      </c>
      <c r="H1877" s="40">
        <v>55</v>
      </c>
      <c r="I1877" s="41">
        <v>80</v>
      </c>
      <c r="J1877" s="19" t="s">
        <v>1917</v>
      </c>
      <c r="K1877" s="35" t="s">
        <v>1918</v>
      </c>
      <c r="L1877" s="36">
        <f>IFERROR(INDEX([3]ESE!$AD$22:$BD$453,MATCH($B1877,[3]ESE!$AD$22:$AD$453,0),23),"NA")</f>
        <v>3600000</v>
      </c>
      <c r="M1877" s="36"/>
      <c r="N1877" s="36">
        <f t="shared" si="104"/>
        <v>3600000</v>
      </c>
      <c r="O1877" s="36">
        <f t="shared" si="108"/>
        <v>0</v>
      </c>
      <c r="P1877" s="60">
        <f t="shared" si="106"/>
        <v>3600000</v>
      </c>
    </row>
    <row r="1878" spans="2:16">
      <c r="B1878" s="19" t="s">
        <v>2041</v>
      </c>
      <c r="C1878" s="61" t="s">
        <v>3</v>
      </c>
      <c r="D1878" s="20" t="s">
        <v>1957</v>
      </c>
      <c r="E1878" s="32" t="s">
        <v>205</v>
      </c>
      <c r="F1878" s="20" t="str">
        <f t="shared" si="103"/>
        <v>Block 24</v>
      </c>
      <c r="G1878" s="20" t="str">
        <f t="shared" si="102"/>
        <v>Lot 21</v>
      </c>
      <c r="H1878" s="40">
        <v>55</v>
      </c>
      <c r="I1878" s="41">
        <v>80</v>
      </c>
      <c r="J1878" s="19" t="s">
        <v>1917</v>
      </c>
      <c r="K1878" s="35" t="s">
        <v>1924</v>
      </c>
      <c r="L1878" s="36">
        <f>IFERROR(INDEX([3]ESE!$AD$22:$BD$453,MATCH($B1878,[3]ESE!$AD$22:$AD$453,0),23),"NA")</f>
        <v>3600000</v>
      </c>
      <c r="M1878" s="36"/>
      <c r="N1878" s="36">
        <f t="shared" si="104"/>
        <v>3600000</v>
      </c>
      <c r="O1878" s="36">
        <f t="shared" si="108"/>
        <v>0</v>
      </c>
      <c r="P1878" s="60">
        <f t="shared" si="106"/>
        <v>3600000</v>
      </c>
    </row>
    <row r="1879" spans="2:16">
      <c r="B1879" s="19" t="s">
        <v>2042</v>
      </c>
      <c r="C1879" s="61" t="s">
        <v>3</v>
      </c>
      <c r="D1879" s="20" t="s">
        <v>1957</v>
      </c>
      <c r="E1879" s="32" t="s">
        <v>205</v>
      </c>
      <c r="F1879" s="20" t="str">
        <f t="shared" si="103"/>
        <v>Block 24</v>
      </c>
      <c r="G1879" s="20" t="str">
        <f t="shared" si="102"/>
        <v>Lot 22</v>
      </c>
      <c r="H1879" s="40">
        <v>55</v>
      </c>
      <c r="I1879" s="41">
        <v>80</v>
      </c>
      <c r="J1879" s="19" t="s">
        <v>1917</v>
      </c>
      <c r="K1879" s="35" t="s">
        <v>1926</v>
      </c>
      <c r="L1879" s="36">
        <f>IFERROR(INDEX([3]ESE!$AD$22:$BD$453,MATCH($B1879,[3]ESE!$AD$22:$AD$453,0),23),"NA")</f>
        <v>3600000</v>
      </c>
      <c r="M1879" s="36"/>
      <c r="N1879" s="36">
        <f t="shared" si="104"/>
        <v>3600000</v>
      </c>
      <c r="O1879" s="36">
        <f t="shared" si="108"/>
        <v>0</v>
      </c>
      <c r="P1879" s="60">
        <f t="shared" si="106"/>
        <v>3600000</v>
      </c>
    </row>
    <row r="1880" spans="2:16">
      <c r="B1880" s="19" t="s">
        <v>2043</v>
      </c>
      <c r="C1880" s="61" t="s">
        <v>3</v>
      </c>
      <c r="D1880" s="20" t="s">
        <v>980</v>
      </c>
      <c r="E1880" s="32" t="s">
        <v>205</v>
      </c>
      <c r="F1880" s="20" t="str">
        <f t="shared" si="103"/>
        <v>Block 24</v>
      </c>
      <c r="G1880" s="20" t="str">
        <f t="shared" ref="G1880:G1943" si="109">"Lot "&amp;TEXT(VALUE(RIGHT(B1880,3)),"00")</f>
        <v>Lot 23</v>
      </c>
      <c r="H1880" s="40" t="s">
        <v>99</v>
      </c>
      <c r="I1880" s="41">
        <v>149</v>
      </c>
      <c r="J1880" s="20" t="s">
        <v>100</v>
      </c>
      <c r="K1880" s="35" t="s">
        <v>982</v>
      </c>
      <c r="L1880" s="36">
        <f>IFERROR(INDEX([3]ESE!$AD$22:$BD$453,MATCH($B1880,[3]ESE!$AD$22:$AD$453,0),23),"NA")</f>
        <v>2682000</v>
      </c>
      <c r="M1880" s="36"/>
      <c r="N1880" s="36">
        <f>L1880-M1880</f>
        <v>2682000</v>
      </c>
      <c r="O1880" s="36">
        <f>L1880*12/112</f>
        <v>287357.14285714284</v>
      </c>
      <c r="P1880" s="60">
        <f>N1880-O1880</f>
        <v>2394642.8571428573</v>
      </c>
    </row>
    <row r="1881" spans="2:16">
      <c r="B1881" s="19" t="s">
        <v>2044</v>
      </c>
      <c r="C1881" s="61" t="s">
        <v>3</v>
      </c>
      <c r="D1881" s="20" t="s">
        <v>972</v>
      </c>
      <c r="E1881" s="32" t="s">
        <v>22</v>
      </c>
      <c r="F1881" s="20" t="str">
        <f t="shared" ref="F1881:F1944" si="110">"Block "&amp;TEXT(VALUE(MID(B1881,8,3)),"00")</f>
        <v>Block 26</v>
      </c>
      <c r="G1881" s="20" t="str">
        <f t="shared" si="109"/>
        <v>Lot 01</v>
      </c>
      <c r="H1881" s="40">
        <v>55</v>
      </c>
      <c r="I1881" s="41">
        <v>111</v>
      </c>
      <c r="J1881" s="20" t="s">
        <v>2045</v>
      </c>
      <c r="K1881" s="35" t="s">
        <v>2046</v>
      </c>
      <c r="L1881" s="36">
        <f>IFERROR(INDEX([3]ESE!$AD$22:$BD$453,MATCH($B1881,[3]ESE!$AD$22:$AD$453,0),23),"NA")</f>
        <v>4065000</v>
      </c>
      <c r="M1881" s="36"/>
      <c r="N1881" s="36">
        <f t="shared" ref="N1881:N1896" si="111">L1881-M1881</f>
        <v>4065000</v>
      </c>
      <c r="O1881" s="36">
        <f t="shared" ref="O1881:O1896" si="112">IF(N1881&lt;=3600000,0,N1881*12%)</f>
        <v>487800</v>
      </c>
      <c r="P1881" s="60">
        <f t="shared" ref="P1881:P1896" si="113">N1881-O1881</f>
        <v>3577200</v>
      </c>
    </row>
    <row r="1882" spans="2:16">
      <c r="B1882" s="19" t="s">
        <v>2047</v>
      </c>
      <c r="C1882" s="61" t="s">
        <v>3</v>
      </c>
      <c r="D1882" s="20" t="s">
        <v>972</v>
      </c>
      <c r="E1882" s="32" t="s">
        <v>22</v>
      </c>
      <c r="F1882" s="20" t="str">
        <f t="shared" si="110"/>
        <v>Block 26</v>
      </c>
      <c r="G1882" s="20" t="str">
        <f t="shared" si="109"/>
        <v>Lot 02</v>
      </c>
      <c r="H1882" s="40">
        <v>55</v>
      </c>
      <c r="I1882" s="41">
        <v>50</v>
      </c>
      <c r="J1882" s="20" t="s">
        <v>2048</v>
      </c>
      <c r="K1882" s="35" t="s">
        <v>2046</v>
      </c>
      <c r="L1882" s="36">
        <f>IFERROR(INDEX([3]ESE!$AD$22:$BD$453,MATCH($B1882,[3]ESE!$AD$22:$AD$453,0),23),"NA")</f>
        <v>3150000</v>
      </c>
      <c r="M1882" s="36"/>
      <c r="N1882" s="36">
        <f t="shared" si="111"/>
        <v>3150000</v>
      </c>
      <c r="O1882" s="36">
        <f t="shared" si="112"/>
        <v>0</v>
      </c>
      <c r="P1882" s="60">
        <f t="shared" si="113"/>
        <v>3150000</v>
      </c>
    </row>
    <row r="1883" spans="2:16">
      <c r="B1883" s="19" t="s">
        <v>2049</v>
      </c>
      <c r="C1883" s="61" t="s">
        <v>3</v>
      </c>
      <c r="D1883" s="20" t="s">
        <v>972</v>
      </c>
      <c r="E1883" s="32" t="s">
        <v>22</v>
      </c>
      <c r="F1883" s="20" t="str">
        <f t="shared" si="110"/>
        <v>Block 26</v>
      </c>
      <c r="G1883" s="20" t="str">
        <f t="shared" si="109"/>
        <v>Lot 03</v>
      </c>
      <c r="H1883" s="40">
        <v>55</v>
      </c>
      <c r="I1883" s="41">
        <v>50</v>
      </c>
      <c r="J1883" s="20" t="s">
        <v>2048</v>
      </c>
      <c r="K1883" s="35" t="s">
        <v>2046</v>
      </c>
      <c r="L1883" s="36">
        <f>IFERROR(INDEX([3]ESE!$AD$22:$BD$453,MATCH($B1883,[3]ESE!$AD$22:$AD$453,0),23),"NA")</f>
        <v>3150000</v>
      </c>
      <c r="M1883" s="36"/>
      <c r="N1883" s="36">
        <f t="shared" si="111"/>
        <v>3150000</v>
      </c>
      <c r="O1883" s="36">
        <f t="shared" si="112"/>
        <v>0</v>
      </c>
      <c r="P1883" s="60">
        <f t="shared" si="113"/>
        <v>3150000</v>
      </c>
    </row>
    <row r="1884" spans="2:16">
      <c r="B1884" s="19" t="s">
        <v>2050</v>
      </c>
      <c r="C1884" s="61" t="s">
        <v>3</v>
      </c>
      <c r="D1884" s="20" t="s">
        <v>972</v>
      </c>
      <c r="E1884" s="32" t="s">
        <v>22</v>
      </c>
      <c r="F1884" s="20" t="str">
        <f t="shared" si="110"/>
        <v>Block 26</v>
      </c>
      <c r="G1884" s="20" t="str">
        <f t="shared" si="109"/>
        <v>Lot 04</v>
      </c>
      <c r="H1884" s="40">
        <v>55</v>
      </c>
      <c r="I1884" s="41">
        <v>92</v>
      </c>
      <c r="J1884" s="20" t="s">
        <v>2045</v>
      </c>
      <c r="K1884" s="35" t="s">
        <v>2046</v>
      </c>
      <c r="L1884" s="36">
        <f>IFERROR(INDEX([3]ESE!$AD$22:$BD$453,MATCH($B1884,[3]ESE!$AD$22:$AD$453,0),23),"NA")</f>
        <v>3780000</v>
      </c>
      <c r="M1884" s="36">
        <v>180000</v>
      </c>
      <c r="N1884" s="36">
        <f t="shared" si="111"/>
        <v>3600000</v>
      </c>
      <c r="O1884" s="36">
        <f t="shared" si="112"/>
        <v>0</v>
      </c>
      <c r="P1884" s="60">
        <f t="shared" si="113"/>
        <v>3600000</v>
      </c>
    </row>
    <row r="1885" spans="2:16">
      <c r="B1885" s="19" t="s">
        <v>2051</v>
      </c>
      <c r="C1885" s="61" t="s">
        <v>3</v>
      </c>
      <c r="D1885" s="20" t="s">
        <v>1966</v>
      </c>
      <c r="E1885" s="32" t="s">
        <v>243</v>
      </c>
      <c r="F1885" s="20" t="str">
        <f t="shared" si="110"/>
        <v>Block 26</v>
      </c>
      <c r="G1885" s="20" t="str">
        <f t="shared" si="109"/>
        <v>Lot 05</v>
      </c>
      <c r="H1885" s="40">
        <v>55</v>
      </c>
      <c r="I1885" s="41">
        <v>90</v>
      </c>
      <c r="J1885" s="19" t="s">
        <v>1917</v>
      </c>
      <c r="K1885" s="35" t="s">
        <v>1920</v>
      </c>
      <c r="L1885" s="36">
        <f>IFERROR(INDEX([3]ESE!$AD$22:$BD$453,MATCH($B1885,[3]ESE!$AD$22:$AD$453,0),23),"NA")</f>
        <v>3750000</v>
      </c>
      <c r="M1885" s="36"/>
      <c r="N1885" s="36">
        <f t="shared" si="111"/>
        <v>3750000</v>
      </c>
      <c r="O1885" s="36">
        <f t="shared" si="112"/>
        <v>450000</v>
      </c>
      <c r="P1885" s="60">
        <f t="shared" si="113"/>
        <v>3300000</v>
      </c>
    </row>
    <row r="1886" spans="2:16">
      <c r="B1886" s="19" t="s">
        <v>2052</v>
      </c>
      <c r="C1886" s="61" t="s">
        <v>3</v>
      </c>
      <c r="D1886" s="20" t="s">
        <v>1966</v>
      </c>
      <c r="E1886" s="32" t="s">
        <v>205</v>
      </c>
      <c r="F1886" s="20" t="str">
        <f t="shared" si="110"/>
        <v>Block 26</v>
      </c>
      <c r="G1886" s="20" t="str">
        <f t="shared" si="109"/>
        <v>Lot 06</v>
      </c>
      <c r="H1886" s="40">
        <v>55</v>
      </c>
      <c r="I1886" s="41">
        <v>80</v>
      </c>
      <c r="J1886" s="19" t="s">
        <v>1917</v>
      </c>
      <c r="K1886" s="35" t="s">
        <v>1918</v>
      </c>
      <c r="L1886" s="36">
        <f>IFERROR(INDEX([3]ESE!$AD$22:$BD$453,MATCH($B1886,[3]ESE!$AD$22:$AD$453,0),23),"NA")</f>
        <v>3600000</v>
      </c>
      <c r="M1886" s="36"/>
      <c r="N1886" s="36">
        <f t="shared" si="111"/>
        <v>3600000</v>
      </c>
      <c r="O1886" s="36">
        <f t="shared" si="112"/>
        <v>0</v>
      </c>
      <c r="P1886" s="60">
        <f t="shared" si="113"/>
        <v>3600000</v>
      </c>
    </row>
    <row r="1887" spans="2:16">
      <c r="B1887" s="19" t="s">
        <v>2053</v>
      </c>
      <c r="C1887" s="61" t="s">
        <v>3</v>
      </c>
      <c r="D1887" s="20" t="s">
        <v>1966</v>
      </c>
      <c r="E1887" s="32" t="s">
        <v>205</v>
      </c>
      <c r="F1887" s="20" t="str">
        <f t="shared" si="110"/>
        <v>Block 26</v>
      </c>
      <c r="G1887" s="20" t="str">
        <f t="shared" si="109"/>
        <v>Lot 07</v>
      </c>
      <c r="H1887" s="40">
        <v>55</v>
      </c>
      <c r="I1887" s="41">
        <v>80</v>
      </c>
      <c r="J1887" s="19" t="s">
        <v>1917</v>
      </c>
      <c r="K1887" s="35" t="s">
        <v>1918</v>
      </c>
      <c r="L1887" s="36">
        <f>IFERROR(INDEX([3]ESE!$AD$22:$BD$453,MATCH($B1887,[3]ESE!$AD$22:$AD$453,0),23),"NA")</f>
        <v>3600000</v>
      </c>
      <c r="M1887" s="36"/>
      <c r="N1887" s="36">
        <f t="shared" si="111"/>
        <v>3600000</v>
      </c>
      <c r="O1887" s="36">
        <f t="shared" si="112"/>
        <v>0</v>
      </c>
      <c r="P1887" s="60">
        <f t="shared" si="113"/>
        <v>3600000</v>
      </c>
    </row>
    <row r="1888" spans="2:16">
      <c r="B1888" s="19" t="s">
        <v>2054</v>
      </c>
      <c r="C1888" s="61" t="s">
        <v>3</v>
      </c>
      <c r="D1888" s="20" t="s">
        <v>1966</v>
      </c>
      <c r="E1888" s="32" t="s">
        <v>205</v>
      </c>
      <c r="F1888" s="20" t="str">
        <f t="shared" si="110"/>
        <v>Block 26</v>
      </c>
      <c r="G1888" s="20" t="str">
        <f t="shared" si="109"/>
        <v>Lot 08</v>
      </c>
      <c r="H1888" s="40">
        <v>55</v>
      </c>
      <c r="I1888" s="41">
        <v>80</v>
      </c>
      <c r="J1888" s="19" t="s">
        <v>1917</v>
      </c>
      <c r="K1888" s="35" t="s">
        <v>1920</v>
      </c>
      <c r="L1888" s="36">
        <f>IFERROR(INDEX([3]ESE!$AD$22:$BD$453,MATCH($B1888,[3]ESE!$AD$22:$AD$453,0),23),"NA")</f>
        <v>3600000</v>
      </c>
      <c r="M1888" s="36"/>
      <c r="N1888" s="36">
        <f t="shared" si="111"/>
        <v>3600000</v>
      </c>
      <c r="O1888" s="36">
        <f t="shared" si="112"/>
        <v>0</v>
      </c>
      <c r="P1888" s="60">
        <f t="shared" si="113"/>
        <v>3600000</v>
      </c>
    </row>
    <row r="1889" spans="2:16">
      <c r="B1889" s="19" t="s">
        <v>2055</v>
      </c>
      <c r="C1889" s="61" t="s">
        <v>3</v>
      </c>
      <c r="D1889" s="20" t="s">
        <v>1966</v>
      </c>
      <c r="E1889" s="32" t="s">
        <v>205</v>
      </c>
      <c r="F1889" s="20" t="str">
        <f t="shared" si="110"/>
        <v>Block 26</v>
      </c>
      <c r="G1889" s="20" t="str">
        <f t="shared" si="109"/>
        <v>Lot 09</v>
      </c>
      <c r="H1889" s="40">
        <v>55</v>
      </c>
      <c r="I1889" s="41">
        <v>80</v>
      </c>
      <c r="J1889" s="19" t="s">
        <v>1917</v>
      </c>
      <c r="K1889" s="35" t="s">
        <v>1926</v>
      </c>
      <c r="L1889" s="36">
        <f>IFERROR(INDEX([3]ESE!$AD$22:$BD$453,MATCH($B1889,[3]ESE!$AD$22:$AD$453,0),23),"NA")</f>
        <v>3600000</v>
      </c>
      <c r="M1889" s="36"/>
      <c r="N1889" s="36">
        <f t="shared" si="111"/>
        <v>3600000</v>
      </c>
      <c r="O1889" s="36">
        <f t="shared" si="112"/>
        <v>0</v>
      </c>
      <c r="P1889" s="60">
        <f t="shared" si="113"/>
        <v>3600000</v>
      </c>
    </row>
    <row r="1890" spans="2:16">
      <c r="B1890" s="19" t="s">
        <v>2056</v>
      </c>
      <c r="C1890" s="61" t="s">
        <v>3</v>
      </c>
      <c r="D1890" s="20" t="s">
        <v>1966</v>
      </c>
      <c r="E1890" s="32" t="s">
        <v>243</v>
      </c>
      <c r="F1890" s="20" t="str">
        <f t="shared" si="110"/>
        <v>Block 26</v>
      </c>
      <c r="G1890" s="20" t="str">
        <f t="shared" si="109"/>
        <v>Lot 10</v>
      </c>
      <c r="H1890" s="40">
        <v>55</v>
      </c>
      <c r="I1890" s="41">
        <v>80</v>
      </c>
      <c r="J1890" s="19" t="s">
        <v>1917</v>
      </c>
      <c r="K1890" s="35" t="s">
        <v>1924</v>
      </c>
      <c r="L1890" s="36">
        <f>IFERROR(INDEX([3]ESE!$AD$22:$BD$453,MATCH($B1890,[3]ESE!$AD$22:$AD$453,0),23),"NA")</f>
        <v>3600000</v>
      </c>
      <c r="M1890" s="36"/>
      <c r="N1890" s="36">
        <f t="shared" si="111"/>
        <v>3600000</v>
      </c>
      <c r="O1890" s="36">
        <f t="shared" si="112"/>
        <v>0</v>
      </c>
      <c r="P1890" s="60">
        <f t="shared" si="113"/>
        <v>3600000</v>
      </c>
    </row>
    <row r="1891" spans="2:16">
      <c r="B1891" s="19" t="s">
        <v>2057</v>
      </c>
      <c r="C1891" s="61" t="s">
        <v>3</v>
      </c>
      <c r="D1891" s="20" t="s">
        <v>1966</v>
      </c>
      <c r="E1891" s="32" t="s">
        <v>205</v>
      </c>
      <c r="F1891" s="20" t="str">
        <f t="shared" si="110"/>
        <v>Block 26</v>
      </c>
      <c r="G1891" s="20" t="str">
        <f t="shared" si="109"/>
        <v>Lot 11</v>
      </c>
      <c r="H1891" s="40">
        <v>55</v>
      </c>
      <c r="I1891" s="41">
        <v>98</v>
      </c>
      <c r="J1891" s="19" t="s">
        <v>1917</v>
      </c>
      <c r="K1891" s="35" t="s">
        <v>1924</v>
      </c>
      <c r="L1891" s="36">
        <f>IFERROR(INDEX([3]ESE!$AD$22:$BD$453,MATCH($B1891,[3]ESE!$AD$22:$AD$453,0),23),"NA")</f>
        <v>3870000</v>
      </c>
      <c r="M1891" s="36"/>
      <c r="N1891" s="36">
        <f t="shared" si="111"/>
        <v>3870000</v>
      </c>
      <c r="O1891" s="36">
        <f t="shared" si="112"/>
        <v>464400</v>
      </c>
      <c r="P1891" s="60">
        <f t="shared" si="113"/>
        <v>3405600</v>
      </c>
    </row>
    <row r="1892" spans="2:16">
      <c r="B1892" s="19" t="s">
        <v>2058</v>
      </c>
      <c r="C1892" s="61" t="s">
        <v>3</v>
      </c>
      <c r="D1892" s="20" t="s">
        <v>1966</v>
      </c>
      <c r="E1892" s="32" t="s">
        <v>205</v>
      </c>
      <c r="F1892" s="20" t="str">
        <f t="shared" si="110"/>
        <v>Block 26</v>
      </c>
      <c r="G1892" s="20" t="str">
        <f t="shared" si="109"/>
        <v>Lot 12</v>
      </c>
      <c r="H1892" s="40">
        <v>55</v>
      </c>
      <c r="I1892" s="41">
        <v>90</v>
      </c>
      <c r="J1892" s="19" t="s">
        <v>1917</v>
      </c>
      <c r="K1892" s="35" t="s">
        <v>1926</v>
      </c>
      <c r="L1892" s="36">
        <f>IFERROR(INDEX([3]ESE!$AD$22:$BD$453,MATCH($B1892,[3]ESE!$AD$22:$AD$453,0),23),"NA")</f>
        <v>3750000</v>
      </c>
      <c r="M1892" s="36"/>
      <c r="N1892" s="36">
        <f t="shared" si="111"/>
        <v>3750000</v>
      </c>
      <c r="O1892" s="36">
        <f t="shared" si="112"/>
        <v>450000</v>
      </c>
      <c r="P1892" s="60">
        <f t="shared" si="113"/>
        <v>3300000</v>
      </c>
    </row>
    <row r="1893" spans="2:16">
      <c r="B1893" s="19" t="s">
        <v>2059</v>
      </c>
      <c r="C1893" s="61" t="s">
        <v>3</v>
      </c>
      <c r="D1893" s="20" t="s">
        <v>1966</v>
      </c>
      <c r="E1893" s="32" t="s">
        <v>205</v>
      </c>
      <c r="F1893" s="20" t="str">
        <f t="shared" si="110"/>
        <v>Block 26</v>
      </c>
      <c r="G1893" s="20" t="str">
        <f t="shared" si="109"/>
        <v>Lot 13</v>
      </c>
      <c r="H1893" s="40">
        <v>55</v>
      </c>
      <c r="I1893" s="41">
        <v>90</v>
      </c>
      <c r="J1893" s="19" t="s">
        <v>1917</v>
      </c>
      <c r="K1893" s="35" t="s">
        <v>1920</v>
      </c>
      <c r="L1893" s="36">
        <f>IFERROR(INDEX([3]ESE!$AD$22:$BD$453,MATCH($B1893,[3]ESE!$AD$22:$AD$453,0),23),"NA")</f>
        <v>3750000</v>
      </c>
      <c r="M1893" s="36"/>
      <c r="N1893" s="36">
        <f t="shared" si="111"/>
        <v>3750000</v>
      </c>
      <c r="O1893" s="36">
        <f t="shared" si="112"/>
        <v>450000</v>
      </c>
      <c r="P1893" s="60">
        <f t="shared" si="113"/>
        <v>3300000</v>
      </c>
    </row>
    <row r="1894" spans="2:16">
      <c r="B1894" s="19" t="s">
        <v>2060</v>
      </c>
      <c r="C1894" s="61" t="s">
        <v>3</v>
      </c>
      <c r="D1894" s="20" t="s">
        <v>1966</v>
      </c>
      <c r="E1894" s="32" t="s">
        <v>243</v>
      </c>
      <c r="F1894" s="20" t="str">
        <f t="shared" si="110"/>
        <v>Block 26</v>
      </c>
      <c r="G1894" s="20" t="str">
        <f t="shared" si="109"/>
        <v>Lot 14</v>
      </c>
      <c r="H1894" s="40">
        <v>55</v>
      </c>
      <c r="I1894" s="41">
        <v>90</v>
      </c>
      <c r="J1894" s="19" t="s">
        <v>1917</v>
      </c>
      <c r="K1894" s="35" t="s">
        <v>1918</v>
      </c>
      <c r="L1894" s="36">
        <f>IFERROR(INDEX([3]ESE!$AD$22:$BD$453,MATCH($B1894,[3]ESE!$AD$22:$AD$453,0),23),"NA")</f>
        <v>3750000</v>
      </c>
      <c r="M1894" s="36"/>
      <c r="N1894" s="36">
        <f t="shared" si="111"/>
        <v>3750000</v>
      </c>
      <c r="O1894" s="36">
        <f t="shared" si="112"/>
        <v>450000</v>
      </c>
      <c r="P1894" s="60">
        <f t="shared" si="113"/>
        <v>3300000</v>
      </c>
    </row>
    <row r="1895" spans="2:16">
      <c r="B1895" s="19" t="s">
        <v>2061</v>
      </c>
      <c r="C1895" s="61" t="s">
        <v>3</v>
      </c>
      <c r="D1895" s="20" t="s">
        <v>1966</v>
      </c>
      <c r="E1895" s="32" t="s">
        <v>205</v>
      </c>
      <c r="F1895" s="20" t="str">
        <f t="shared" si="110"/>
        <v>Block 26</v>
      </c>
      <c r="G1895" s="20" t="str">
        <f t="shared" si="109"/>
        <v>Lot 15</v>
      </c>
      <c r="H1895" s="40">
        <v>55</v>
      </c>
      <c r="I1895" s="41">
        <v>90</v>
      </c>
      <c r="J1895" s="19" t="s">
        <v>1917</v>
      </c>
      <c r="K1895" s="35" t="s">
        <v>1918</v>
      </c>
      <c r="L1895" s="36">
        <f>IFERROR(INDEX([3]ESE!$AD$22:$BD$453,MATCH($B1895,[3]ESE!$AD$22:$AD$453,0),23),"NA")</f>
        <v>3750000</v>
      </c>
      <c r="M1895" s="36"/>
      <c r="N1895" s="36">
        <f t="shared" si="111"/>
        <v>3750000</v>
      </c>
      <c r="O1895" s="36">
        <f t="shared" si="112"/>
        <v>450000</v>
      </c>
      <c r="P1895" s="60">
        <f t="shared" si="113"/>
        <v>3300000</v>
      </c>
    </row>
    <row r="1896" spans="2:16">
      <c r="B1896" s="19" t="s">
        <v>2062</v>
      </c>
      <c r="C1896" s="61" t="s">
        <v>3</v>
      </c>
      <c r="D1896" s="20" t="s">
        <v>1966</v>
      </c>
      <c r="E1896" s="32" t="s">
        <v>205</v>
      </c>
      <c r="F1896" s="20" t="str">
        <f t="shared" si="110"/>
        <v>Block 26</v>
      </c>
      <c r="G1896" s="20" t="str">
        <f t="shared" si="109"/>
        <v>Lot 20</v>
      </c>
      <c r="H1896" s="40">
        <v>55</v>
      </c>
      <c r="I1896" s="41">
        <v>92</v>
      </c>
      <c r="J1896" s="19" t="s">
        <v>1917</v>
      </c>
      <c r="K1896" s="35" t="s">
        <v>1920</v>
      </c>
      <c r="L1896" s="36">
        <f>IFERROR(INDEX([3]ESE!$AD$22:$BD$453,MATCH($B1896,[3]ESE!$AD$22:$AD$453,0),23),"NA")</f>
        <v>3780000</v>
      </c>
      <c r="M1896" s="36"/>
      <c r="N1896" s="36">
        <f t="shared" si="111"/>
        <v>3780000</v>
      </c>
      <c r="O1896" s="36">
        <f t="shared" si="112"/>
        <v>453600</v>
      </c>
      <c r="P1896" s="60">
        <f t="shared" si="113"/>
        <v>3326400</v>
      </c>
    </row>
    <row r="1897" spans="2:16">
      <c r="B1897" s="19" t="s">
        <v>2063</v>
      </c>
      <c r="C1897" s="61" t="s">
        <v>3</v>
      </c>
      <c r="D1897" s="20" t="s">
        <v>980</v>
      </c>
      <c r="E1897" s="32" t="s">
        <v>233</v>
      </c>
      <c r="F1897" s="20" t="str">
        <f t="shared" si="110"/>
        <v>Block 27</v>
      </c>
      <c r="G1897" s="20" t="str">
        <f t="shared" si="109"/>
        <v>Lot 01</v>
      </c>
      <c r="H1897" s="40" t="s">
        <v>99</v>
      </c>
      <c r="I1897" s="41">
        <v>167</v>
      </c>
      <c r="J1897" s="20" t="s">
        <v>100</v>
      </c>
      <c r="K1897" s="35" t="s">
        <v>982</v>
      </c>
      <c r="L1897" s="36">
        <f>IFERROR(INDEX([3]ESE!$AD$22:$BD$453,MATCH($B1897,[3]ESE!$AD$22:$AD$453,0),23),"NA")</f>
        <v>3006000</v>
      </c>
      <c r="M1897" s="36"/>
      <c r="N1897" s="36">
        <f>L1897-M1897</f>
        <v>3006000</v>
      </c>
      <c r="O1897" s="36">
        <f>L1897*12/112</f>
        <v>322071.42857142858</v>
      </c>
      <c r="P1897" s="60">
        <f>N1897-O1897</f>
        <v>2683928.5714285714</v>
      </c>
    </row>
    <row r="1898" spans="2:16">
      <c r="B1898" s="19" t="s">
        <v>2064</v>
      </c>
      <c r="C1898" s="61" t="s">
        <v>3</v>
      </c>
      <c r="D1898" s="37" t="s">
        <v>1916</v>
      </c>
      <c r="E1898" s="32" t="s">
        <v>205</v>
      </c>
      <c r="F1898" s="20" t="str">
        <f t="shared" si="110"/>
        <v>Block 27</v>
      </c>
      <c r="G1898" s="20" t="str">
        <f t="shared" si="109"/>
        <v>Lot 02</v>
      </c>
      <c r="H1898" s="40">
        <v>55</v>
      </c>
      <c r="I1898" s="41">
        <v>108</v>
      </c>
      <c r="J1898" s="19" t="s">
        <v>1917</v>
      </c>
      <c r="K1898" s="35" t="s">
        <v>1926</v>
      </c>
      <c r="L1898" s="36">
        <f>IFERROR(INDEX([3]ESE!$AD$22:$BD$453,MATCH($B1898,[3]ESE!$AD$22:$AD$453,0),23),"NA")</f>
        <v>4020000</v>
      </c>
      <c r="M1898" s="36"/>
      <c r="N1898" s="36">
        <f t="shared" ref="N1898:N1917" si="114">L1898-M1898</f>
        <v>4020000</v>
      </c>
      <c r="O1898" s="36">
        <f t="shared" ref="O1898:O1913" si="115">IF(N1898&lt;=3600000,0,N1898*12%)</f>
        <v>482400</v>
      </c>
      <c r="P1898" s="60">
        <f t="shared" ref="P1898:P1917" si="116">N1898-O1898</f>
        <v>3537600</v>
      </c>
    </row>
    <row r="1899" spans="2:16">
      <c r="B1899" s="19" t="s">
        <v>2065</v>
      </c>
      <c r="C1899" s="61" t="s">
        <v>3</v>
      </c>
      <c r="D1899" s="37" t="s">
        <v>1916</v>
      </c>
      <c r="E1899" s="32" t="s">
        <v>243</v>
      </c>
      <c r="F1899" s="20" t="str">
        <f t="shared" si="110"/>
        <v>Block 27</v>
      </c>
      <c r="G1899" s="20" t="str">
        <f t="shared" si="109"/>
        <v>Lot 03</v>
      </c>
      <c r="H1899" s="40">
        <v>55</v>
      </c>
      <c r="I1899" s="41">
        <v>80</v>
      </c>
      <c r="J1899" s="19" t="s">
        <v>1917</v>
      </c>
      <c r="K1899" s="35" t="s">
        <v>1924</v>
      </c>
      <c r="L1899" s="36">
        <f>IFERROR(INDEX([3]ESE!$AD$22:$BD$453,MATCH($B1899,[3]ESE!$AD$22:$AD$453,0),23),"NA")</f>
        <v>3600000</v>
      </c>
      <c r="M1899" s="36"/>
      <c r="N1899" s="36">
        <f t="shared" si="114"/>
        <v>3600000</v>
      </c>
      <c r="O1899" s="36">
        <f t="shared" si="115"/>
        <v>0</v>
      </c>
      <c r="P1899" s="60">
        <f t="shared" si="116"/>
        <v>3600000</v>
      </c>
    </row>
    <row r="1900" spans="2:16">
      <c r="B1900" s="19" t="s">
        <v>2066</v>
      </c>
      <c r="C1900" s="61" t="s">
        <v>3</v>
      </c>
      <c r="D1900" s="37" t="s">
        <v>1916</v>
      </c>
      <c r="E1900" s="32" t="s">
        <v>205</v>
      </c>
      <c r="F1900" s="20" t="str">
        <f t="shared" si="110"/>
        <v>Block 27</v>
      </c>
      <c r="G1900" s="20" t="str">
        <f t="shared" si="109"/>
        <v>Lot 04</v>
      </c>
      <c r="H1900" s="40">
        <v>55</v>
      </c>
      <c r="I1900" s="41">
        <v>80</v>
      </c>
      <c r="J1900" s="19" t="s">
        <v>1917</v>
      </c>
      <c r="K1900" s="35" t="s">
        <v>1918</v>
      </c>
      <c r="L1900" s="36">
        <f>IFERROR(INDEX([3]ESE!$AD$22:$BD$453,MATCH($B1900,[3]ESE!$AD$22:$AD$453,0),23),"NA")</f>
        <v>3600000</v>
      </c>
      <c r="M1900" s="36"/>
      <c r="N1900" s="36">
        <f t="shared" si="114"/>
        <v>3600000</v>
      </c>
      <c r="O1900" s="36">
        <f t="shared" si="115"/>
        <v>0</v>
      </c>
      <c r="P1900" s="60">
        <f t="shared" si="116"/>
        <v>3600000</v>
      </c>
    </row>
    <row r="1901" spans="2:16">
      <c r="B1901" s="19" t="s">
        <v>2067</v>
      </c>
      <c r="C1901" s="61" t="s">
        <v>3</v>
      </c>
      <c r="D1901" s="37" t="s">
        <v>1916</v>
      </c>
      <c r="E1901" s="32" t="s">
        <v>205</v>
      </c>
      <c r="F1901" s="20" t="str">
        <f t="shared" si="110"/>
        <v>Block 27</v>
      </c>
      <c r="G1901" s="20" t="str">
        <f t="shared" si="109"/>
        <v>Lot 05</v>
      </c>
      <c r="H1901" s="40">
        <v>55</v>
      </c>
      <c r="I1901" s="41">
        <v>80</v>
      </c>
      <c r="J1901" s="19" t="s">
        <v>1917</v>
      </c>
      <c r="K1901" s="35" t="s">
        <v>1920</v>
      </c>
      <c r="L1901" s="36">
        <f>IFERROR(INDEX([3]ESE!$AD$22:$BD$453,MATCH($B1901,[3]ESE!$AD$22:$AD$453,0),23),"NA")</f>
        <v>3600000</v>
      </c>
      <c r="M1901" s="36"/>
      <c r="N1901" s="36">
        <f t="shared" si="114"/>
        <v>3600000</v>
      </c>
      <c r="O1901" s="36">
        <f t="shared" si="115"/>
        <v>0</v>
      </c>
      <c r="P1901" s="60">
        <f t="shared" si="116"/>
        <v>3600000</v>
      </c>
    </row>
    <row r="1902" spans="2:16">
      <c r="B1902" s="19" t="s">
        <v>2068</v>
      </c>
      <c r="C1902" s="61" t="s">
        <v>3</v>
      </c>
      <c r="D1902" s="37" t="s">
        <v>1916</v>
      </c>
      <c r="E1902" s="32" t="s">
        <v>205</v>
      </c>
      <c r="F1902" s="20" t="str">
        <f t="shared" si="110"/>
        <v>Block 27</v>
      </c>
      <c r="G1902" s="20" t="str">
        <f t="shared" si="109"/>
        <v>Lot 06</v>
      </c>
      <c r="H1902" s="40">
        <v>55</v>
      </c>
      <c r="I1902" s="41">
        <v>80</v>
      </c>
      <c r="J1902" s="19" t="s">
        <v>1917</v>
      </c>
      <c r="K1902" s="35" t="s">
        <v>1920</v>
      </c>
      <c r="L1902" s="36">
        <f>IFERROR(INDEX([3]ESE!$AD$22:$BD$453,MATCH($B1902,[3]ESE!$AD$22:$AD$453,0),23),"NA")</f>
        <v>3600000</v>
      </c>
      <c r="M1902" s="36"/>
      <c r="N1902" s="36">
        <f t="shared" si="114"/>
        <v>3600000</v>
      </c>
      <c r="O1902" s="36">
        <f t="shared" si="115"/>
        <v>0</v>
      </c>
      <c r="P1902" s="60">
        <f t="shared" si="116"/>
        <v>3600000</v>
      </c>
    </row>
    <row r="1903" spans="2:16">
      <c r="B1903" s="19" t="s">
        <v>2069</v>
      </c>
      <c r="C1903" s="61" t="s">
        <v>3</v>
      </c>
      <c r="D1903" s="37" t="s">
        <v>1916</v>
      </c>
      <c r="E1903" s="32" t="s">
        <v>205</v>
      </c>
      <c r="F1903" s="20" t="str">
        <f t="shared" si="110"/>
        <v>Block 27</v>
      </c>
      <c r="G1903" s="20" t="str">
        <f t="shared" si="109"/>
        <v>Lot 07</v>
      </c>
      <c r="H1903" s="40">
        <v>55</v>
      </c>
      <c r="I1903" s="41">
        <v>80</v>
      </c>
      <c r="J1903" s="19" t="s">
        <v>1917</v>
      </c>
      <c r="K1903" s="35" t="s">
        <v>1918</v>
      </c>
      <c r="L1903" s="36">
        <f>IFERROR(INDEX([3]ESE!$AD$22:$BD$453,MATCH($B1903,[3]ESE!$AD$22:$AD$453,0),23),"NA")</f>
        <v>3600000</v>
      </c>
      <c r="M1903" s="36"/>
      <c r="N1903" s="36">
        <f t="shared" si="114"/>
        <v>3600000</v>
      </c>
      <c r="O1903" s="36">
        <f t="shared" si="115"/>
        <v>0</v>
      </c>
      <c r="P1903" s="60">
        <f t="shared" si="116"/>
        <v>3600000</v>
      </c>
    </row>
    <row r="1904" spans="2:16">
      <c r="B1904" s="19" t="s">
        <v>2070</v>
      </c>
      <c r="C1904" s="61" t="s">
        <v>3</v>
      </c>
      <c r="D1904" s="20" t="s">
        <v>1928</v>
      </c>
      <c r="E1904" s="32" t="s">
        <v>243</v>
      </c>
      <c r="F1904" s="20" t="str">
        <f t="shared" si="110"/>
        <v>Block 27</v>
      </c>
      <c r="G1904" s="20" t="str">
        <f t="shared" si="109"/>
        <v>Lot 08</v>
      </c>
      <c r="H1904" s="40">
        <v>55</v>
      </c>
      <c r="I1904" s="41">
        <v>80</v>
      </c>
      <c r="J1904" s="19" t="s">
        <v>1917</v>
      </c>
      <c r="K1904" s="35" t="s">
        <v>1924</v>
      </c>
      <c r="L1904" s="36">
        <f>IFERROR(INDEX([3]ESE!$AD$22:$BD$453,MATCH($B1904,[3]ESE!$AD$22:$AD$453,0),23),"NA")</f>
        <v>3600000</v>
      </c>
      <c r="M1904" s="36"/>
      <c r="N1904" s="36">
        <f t="shared" si="114"/>
        <v>3600000</v>
      </c>
      <c r="O1904" s="36">
        <f t="shared" si="115"/>
        <v>0</v>
      </c>
      <c r="P1904" s="60">
        <f t="shared" si="116"/>
        <v>3600000</v>
      </c>
    </row>
    <row r="1905" spans="2:16">
      <c r="B1905" s="19" t="s">
        <v>2071</v>
      </c>
      <c r="C1905" s="61" t="s">
        <v>3</v>
      </c>
      <c r="D1905" s="20" t="s">
        <v>1928</v>
      </c>
      <c r="E1905" s="32" t="s">
        <v>205</v>
      </c>
      <c r="F1905" s="20" t="str">
        <f t="shared" si="110"/>
        <v>Block 27</v>
      </c>
      <c r="G1905" s="20" t="str">
        <f t="shared" si="109"/>
        <v>Lot 09</v>
      </c>
      <c r="H1905" s="40">
        <v>55</v>
      </c>
      <c r="I1905" s="41">
        <v>80</v>
      </c>
      <c r="J1905" s="19" t="s">
        <v>1917</v>
      </c>
      <c r="K1905" s="35" t="s">
        <v>1926</v>
      </c>
      <c r="L1905" s="36">
        <f>IFERROR(INDEX([3]ESE!$AD$22:$BD$453,MATCH($B1905,[3]ESE!$AD$22:$AD$453,0),23),"NA")</f>
        <v>3600000</v>
      </c>
      <c r="M1905" s="36"/>
      <c r="N1905" s="36">
        <f t="shared" si="114"/>
        <v>3600000</v>
      </c>
      <c r="O1905" s="36">
        <f t="shared" si="115"/>
        <v>0</v>
      </c>
      <c r="P1905" s="60">
        <f t="shared" si="116"/>
        <v>3600000</v>
      </c>
    </row>
    <row r="1906" spans="2:16">
      <c r="B1906" s="19" t="s">
        <v>2072</v>
      </c>
      <c r="C1906" s="61" t="s">
        <v>3</v>
      </c>
      <c r="D1906" s="20" t="s">
        <v>1928</v>
      </c>
      <c r="E1906" s="32" t="s">
        <v>205</v>
      </c>
      <c r="F1906" s="20" t="str">
        <f t="shared" si="110"/>
        <v>Block 27</v>
      </c>
      <c r="G1906" s="20" t="str">
        <f t="shared" si="109"/>
        <v>Lot 10</v>
      </c>
      <c r="H1906" s="40">
        <v>55</v>
      </c>
      <c r="I1906" s="41">
        <v>80</v>
      </c>
      <c r="J1906" s="19" t="s">
        <v>1917</v>
      </c>
      <c r="K1906" s="35" t="s">
        <v>1926</v>
      </c>
      <c r="L1906" s="36">
        <f>IFERROR(INDEX([3]ESE!$AD$22:$BD$453,MATCH($B1906,[3]ESE!$AD$22:$AD$453,0),23),"NA")</f>
        <v>3600000</v>
      </c>
      <c r="M1906" s="36"/>
      <c r="N1906" s="36">
        <f t="shared" si="114"/>
        <v>3600000</v>
      </c>
      <c r="O1906" s="36">
        <f t="shared" si="115"/>
        <v>0</v>
      </c>
      <c r="P1906" s="60">
        <f t="shared" si="116"/>
        <v>3600000</v>
      </c>
    </row>
    <row r="1907" spans="2:16">
      <c r="B1907" s="19" t="s">
        <v>2073</v>
      </c>
      <c r="C1907" s="61" t="s">
        <v>3</v>
      </c>
      <c r="D1907" s="20" t="s">
        <v>1928</v>
      </c>
      <c r="E1907" s="32" t="s">
        <v>205</v>
      </c>
      <c r="F1907" s="20" t="str">
        <f t="shared" si="110"/>
        <v>Block 27</v>
      </c>
      <c r="G1907" s="20" t="str">
        <f t="shared" si="109"/>
        <v>Lot 11</v>
      </c>
      <c r="H1907" s="40">
        <v>55</v>
      </c>
      <c r="I1907" s="41">
        <v>80</v>
      </c>
      <c r="J1907" s="19" t="s">
        <v>1917</v>
      </c>
      <c r="K1907" s="35" t="s">
        <v>1924</v>
      </c>
      <c r="L1907" s="36">
        <f>IFERROR(INDEX([3]ESE!$AD$22:$BD$453,MATCH($B1907,[3]ESE!$AD$22:$AD$453,0),23),"NA")</f>
        <v>3600000</v>
      </c>
      <c r="M1907" s="36"/>
      <c r="N1907" s="36">
        <f t="shared" si="114"/>
        <v>3600000</v>
      </c>
      <c r="O1907" s="36">
        <f t="shared" si="115"/>
        <v>0</v>
      </c>
      <c r="P1907" s="60">
        <f t="shared" si="116"/>
        <v>3600000</v>
      </c>
    </row>
    <row r="1908" spans="2:16">
      <c r="B1908" s="19" t="s">
        <v>2074</v>
      </c>
      <c r="C1908" s="61" t="s">
        <v>3</v>
      </c>
      <c r="D1908" s="20" t="s">
        <v>1928</v>
      </c>
      <c r="E1908" s="32" t="s">
        <v>205</v>
      </c>
      <c r="F1908" s="20" t="str">
        <f t="shared" si="110"/>
        <v>Block 27</v>
      </c>
      <c r="G1908" s="20" t="str">
        <f t="shared" si="109"/>
        <v>Lot 15</v>
      </c>
      <c r="H1908" s="40">
        <v>55</v>
      </c>
      <c r="I1908" s="41">
        <v>80</v>
      </c>
      <c r="J1908" s="19" t="s">
        <v>1917</v>
      </c>
      <c r="K1908" s="35" t="s">
        <v>1918</v>
      </c>
      <c r="L1908" s="36">
        <f>IFERROR(INDEX([3]ESE!$AD$22:$BD$453,MATCH($B1908,[3]ESE!$AD$22:$AD$453,0),23),"NA")</f>
        <v>3600000</v>
      </c>
      <c r="M1908" s="36"/>
      <c r="N1908" s="36">
        <f t="shared" si="114"/>
        <v>3600000</v>
      </c>
      <c r="O1908" s="36">
        <f t="shared" si="115"/>
        <v>0</v>
      </c>
      <c r="P1908" s="60">
        <f t="shared" si="116"/>
        <v>3600000</v>
      </c>
    </row>
    <row r="1909" spans="2:16">
      <c r="B1909" s="19" t="s">
        <v>2075</v>
      </c>
      <c r="C1909" s="61" t="s">
        <v>3</v>
      </c>
      <c r="D1909" s="20" t="s">
        <v>1928</v>
      </c>
      <c r="E1909" s="32" t="s">
        <v>205</v>
      </c>
      <c r="F1909" s="20" t="str">
        <f t="shared" si="110"/>
        <v>Block 27</v>
      </c>
      <c r="G1909" s="20" t="str">
        <f t="shared" si="109"/>
        <v>Lot 16</v>
      </c>
      <c r="H1909" s="40">
        <v>55</v>
      </c>
      <c r="I1909" s="41">
        <v>90</v>
      </c>
      <c r="J1909" s="19" t="s">
        <v>1917</v>
      </c>
      <c r="K1909" s="35" t="s">
        <v>1920</v>
      </c>
      <c r="L1909" s="36">
        <f>IFERROR(INDEX([3]ESE!$AD$22:$BD$453,MATCH($B1909,[3]ESE!$AD$22:$AD$453,0),23),"NA")</f>
        <v>3600000</v>
      </c>
      <c r="M1909" s="36"/>
      <c r="N1909" s="36">
        <f t="shared" si="114"/>
        <v>3600000</v>
      </c>
      <c r="O1909" s="36">
        <f t="shared" si="115"/>
        <v>0</v>
      </c>
      <c r="P1909" s="60">
        <f t="shared" si="116"/>
        <v>3600000</v>
      </c>
    </row>
    <row r="1910" spans="2:16">
      <c r="B1910" s="19" t="s">
        <v>2076</v>
      </c>
      <c r="C1910" s="61" t="s">
        <v>3</v>
      </c>
      <c r="D1910" s="20" t="s">
        <v>1928</v>
      </c>
      <c r="E1910" s="32" t="s">
        <v>243</v>
      </c>
      <c r="F1910" s="20" t="str">
        <f t="shared" si="110"/>
        <v>Block 27</v>
      </c>
      <c r="G1910" s="20" t="str">
        <f t="shared" si="109"/>
        <v>Lot 17</v>
      </c>
      <c r="H1910" s="40">
        <v>55</v>
      </c>
      <c r="I1910" s="41">
        <v>90</v>
      </c>
      <c r="J1910" s="19" t="s">
        <v>1917</v>
      </c>
      <c r="K1910" s="35" t="s">
        <v>1920</v>
      </c>
      <c r="L1910" s="36">
        <f>IFERROR(INDEX([3]ESE!$AD$22:$BD$453,MATCH($B1910,[3]ESE!$AD$22:$AD$453,0),23),"NA")</f>
        <v>3600000</v>
      </c>
      <c r="M1910" s="36"/>
      <c r="N1910" s="36">
        <f t="shared" si="114"/>
        <v>3600000</v>
      </c>
      <c r="O1910" s="36">
        <f t="shared" si="115"/>
        <v>0</v>
      </c>
      <c r="P1910" s="60">
        <f t="shared" si="116"/>
        <v>3600000</v>
      </c>
    </row>
    <row r="1911" spans="2:16">
      <c r="B1911" s="19" t="s">
        <v>2077</v>
      </c>
      <c r="C1911" s="61" t="s">
        <v>3</v>
      </c>
      <c r="D1911" s="20" t="s">
        <v>1928</v>
      </c>
      <c r="E1911" s="32" t="s">
        <v>205</v>
      </c>
      <c r="F1911" s="20" t="str">
        <f t="shared" si="110"/>
        <v>Block 27</v>
      </c>
      <c r="G1911" s="20" t="str">
        <f t="shared" si="109"/>
        <v>Lot 18</v>
      </c>
      <c r="H1911" s="40">
        <v>55</v>
      </c>
      <c r="I1911" s="41">
        <v>80</v>
      </c>
      <c r="J1911" s="19" t="s">
        <v>1917</v>
      </c>
      <c r="K1911" s="35" t="s">
        <v>1918</v>
      </c>
      <c r="L1911" s="36">
        <f>IFERROR(INDEX([3]ESE!$AD$22:$BD$453,MATCH($B1911,[3]ESE!$AD$22:$AD$453,0),23),"NA")</f>
        <v>3600000</v>
      </c>
      <c r="M1911" s="36"/>
      <c r="N1911" s="36">
        <f t="shared" si="114"/>
        <v>3600000</v>
      </c>
      <c r="O1911" s="36">
        <f t="shared" si="115"/>
        <v>0</v>
      </c>
      <c r="P1911" s="60">
        <f t="shared" si="116"/>
        <v>3600000</v>
      </c>
    </row>
    <row r="1912" spans="2:16">
      <c r="B1912" s="19" t="s">
        <v>2078</v>
      </c>
      <c r="C1912" s="61" t="s">
        <v>3</v>
      </c>
      <c r="D1912" s="20" t="s">
        <v>1928</v>
      </c>
      <c r="E1912" s="32" t="s">
        <v>205</v>
      </c>
      <c r="F1912" s="20" t="str">
        <f t="shared" si="110"/>
        <v>Block 27</v>
      </c>
      <c r="G1912" s="20" t="str">
        <f t="shared" si="109"/>
        <v>Lot 19</v>
      </c>
      <c r="H1912" s="40">
        <v>55</v>
      </c>
      <c r="I1912" s="41">
        <v>80</v>
      </c>
      <c r="J1912" s="19" t="s">
        <v>1917</v>
      </c>
      <c r="K1912" s="35" t="s">
        <v>1924</v>
      </c>
      <c r="L1912" s="36">
        <f>IFERROR(INDEX([3]ESE!$AD$22:$BD$453,MATCH($B1912,[3]ESE!$AD$22:$AD$453,0),23),"NA")</f>
        <v>3600000</v>
      </c>
      <c r="M1912" s="36"/>
      <c r="N1912" s="36">
        <f t="shared" si="114"/>
        <v>3600000</v>
      </c>
      <c r="O1912" s="36">
        <f t="shared" si="115"/>
        <v>0</v>
      </c>
      <c r="P1912" s="60">
        <f t="shared" si="116"/>
        <v>3600000</v>
      </c>
    </row>
    <row r="1913" spans="2:16">
      <c r="B1913" s="19" t="s">
        <v>2079</v>
      </c>
      <c r="C1913" s="61" t="s">
        <v>3</v>
      </c>
      <c r="D1913" s="20" t="s">
        <v>1928</v>
      </c>
      <c r="E1913" s="32" t="s">
        <v>205</v>
      </c>
      <c r="F1913" s="20" t="str">
        <f t="shared" si="110"/>
        <v>Block 27</v>
      </c>
      <c r="G1913" s="20" t="str">
        <f t="shared" si="109"/>
        <v>Lot 20</v>
      </c>
      <c r="H1913" s="40">
        <v>55</v>
      </c>
      <c r="I1913" s="41">
        <v>80</v>
      </c>
      <c r="J1913" s="19" t="s">
        <v>1917</v>
      </c>
      <c r="K1913" s="35" t="s">
        <v>1926</v>
      </c>
      <c r="L1913" s="36">
        <f>IFERROR(INDEX([3]ESE!$AD$22:$BD$453,MATCH($B1913,[3]ESE!$AD$22:$AD$453,0),23),"NA")</f>
        <v>3600000</v>
      </c>
      <c r="M1913" s="36"/>
      <c r="N1913" s="36">
        <f t="shared" si="114"/>
        <v>3600000</v>
      </c>
      <c r="O1913" s="36">
        <f t="shared" si="115"/>
        <v>0</v>
      </c>
      <c r="P1913" s="60">
        <f t="shared" si="116"/>
        <v>3600000</v>
      </c>
    </row>
    <row r="1914" spans="2:16">
      <c r="B1914" s="19" t="s">
        <v>2080</v>
      </c>
      <c r="C1914" s="61" t="s">
        <v>3</v>
      </c>
      <c r="D1914" s="20" t="s">
        <v>980</v>
      </c>
      <c r="E1914" s="32" t="s">
        <v>205</v>
      </c>
      <c r="F1914" s="20" t="str">
        <f t="shared" si="110"/>
        <v>Block 27</v>
      </c>
      <c r="G1914" s="20" t="str">
        <f t="shared" si="109"/>
        <v>Lot 21</v>
      </c>
      <c r="H1914" s="40" t="s">
        <v>99</v>
      </c>
      <c r="I1914" s="41">
        <v>101</v>
      </c>
      <c r="J1914" s="20" t="s">
        <v>100</v>
      </c>
      <c r="K1914" s="35" t="s">
        <v>982</v>
      </c>
      <c r="L1914" s="36">
        <f>IFERROR(INDEX([3]ESE!$AD$22:$BD$453,MATCH($B1914,[3]ESE!$AD$22:$AD$453,0),23),"NA")</f>
        <v>1818000</v>
      </c>
      <c r="M1914" s="36"/>
      <c r="N1914" s="36">
        <f t="shared" si="114"/>
        <v>1818000</v>
      </c>
      <c r="O1914" s="36">
        <f t="shared" ref="O1914:O1915" si="117">L1914*12/112</f>
        <v>194785.71428571429</v>
      </c>
      <c r="P1914" s="60">
        <f t="shared" si="116"/>
        <v>1623214.2857142857</v>
      </c>
    </row>
    <row r="1915" spans="2:16">
      <c r="B1915" s="19" t="s">
        <v>2081</v>
      </c>
      <c r="C1915" s="61" t="s">
        <v>3</v>
      </c>
      <c r="D1915" s="20" t="s">
        <v>980</v>
      </c>
      <c r="E1915" s="32" t="s">
        <v>233</v>
      </c>
      <c r="F1915" s="20" t="str">
        <f t="shared" si="110"/>
        <v>Block 28</v>
      </c>
      <c r="G1915" s="20" t="str">
        <f t="shared" si="109"/>
        <v>Lot 01</v>
      </c>
      <c r="H1915" s="40" t="s">
        <v>99</v>
      </c>
      <c r="I1915" s="41">
        <v>105</v>
      </c>
      <c r="J1915" s="20" t="s">
        <v>100</v>
      </c>
      <c r="K1915" s="35" t="s">
        <v>982</v>
      </c>
      <c r="L1915" s="36">
        <f>IFERROR(INDEX([3]ESE!$AD$22:$BD$453,MATCH($B1915,[3]ESE!$AD$22:$AD$453,0),23),"NA")</f>
        <v>1890000</v>
      </c>
      <c r="M1915" s="36"/>
      <c r="N1915" s="36">
        <f t="shared" si="114"/>
        <v>1890000</v>
      </c>
      <c r="O1915" s="36">
        <f t="shared" si="117"/>
        <v>202500</v>
      </c>
      <c r="P1915" s="60">
        <f t="shared" si="116"/>
        <v>1687500</v>
      </c>
    </row>
    <row r="1916" spans="2:16">
      <c r="B1916" s="19" t="s">
        <v>2082</v>
      </c>
      <c r="C1916" s="61" t="s">
        <v>3</v>
      </c>
      <c r="D1916" s="20" t="s">
        <v>1928</v>
      </c>
      <c r="E1916" s="32" t="s">
        <v>205</v>
      </c>
      <c r="F1916" s="20" t="str">
        <f t="shared" si="110"/>
        <v>Block 28</v>
      </c>
      <c r="G1916" s="20" t="str">
        <f t="shared" si="109"/>
        <v>Lot 02</v>
      </c>
      <c r="H1916" s="40">
        <v>55</v>
      </c>
      <c r="I1916" s="41">
        <v>80</v>
      </c>
      <c r="J1916" s="19" t="s">
        <v>1917</v>
      </c>
      <c r="K1916" s="35" t="s">
        <v>1924</v>
      </c>
      <c r="L1916" s="36">
        <f>IFERROR(INDEX([3]ESE!$AD$22:$BD$453,MATCH($B1916,[3]ESE!$AD$22:$AD$453,0),23),"NA")</f>
        <v>3600000</v>
      </c>
      <c r="M1916" s="36"/>
      <c r="N1916" s="36">
        <f t="shared" si="114"/>
        <v>3600000</v>
      </c>
      <c r="O1916" s="36">
        <f t="shared" ref="O1916:O1917" si="118">IF(N1916&lt;=3600000,0,N1916*12%)</f>
        <v>0</v>
      </c>
      <c r="P1916" s="60">
        <f t="shared" si="116"/>
        <v>3600000</v>
      </c>
    </row>
    <row r="1917" spans="2:16">
      <c r="B1917" s="19" t="s">
        <v>2083</v>
      </c>
      <c r="C1917" s="61" t="s">
        <v>3</v>
      </c>
      <c r="D1917" s="20" t="s">
        <v>1928</v>
      </c>
      <c r="E1917" s="32" t="s">
        <v>205</v>
      </c>
      <c r="F1917" s="20" t="str">
        <f t="shared" si="110"/>
        <v>Block 28</v>
      </c>
      <c r="G1917" s="20" t="str">
        <f t="shared" si="109"/>
        <v>Lot 03</v>
      </c>
      <c r="H1917" s="40">
        <v>55</v>
      </c>
      <c r="I1917" s="41">
        <v>97</v>
      </c>
      <c r="J1917" s="19" t="s">
        <v>1917</v>
      </c>
      <c r="K1917" s="35" t="s">
        <v>1926</v>
      </c>
      <c r="L1917" s="36">
        <f>IFERROR(INDEX([3]ESE!$AD$22:$BD$453,MATCH($B1917,[3]ESE!$AD$22:$AD$453,0),23),"NA")</f>
        <v>3600000</v>
      </c>
      <c r="M1917" s="36"/>
      <c r="N1917" s="36">
        <f t="shared" si="114"/>
        <v>3600000</v>
      </c>
      <c r="O1917" s="36">
        <f t="shared" si="118"/>
        <v>0</v>
      </c>
      <c r="P1917" s="60">
        <f t="shared" si="116"/>
        <v>3600000</v>
      </c>
    </row>
    <row r="1918" spans="2:16">
      <c r="B1918" s="19" t="s">
        <v>2084</v>
      </c>
      <c r="C1918" s="61" t="s">
        <v>3</v>
      </c>
      <c r="D1918" s="20" t="s">
        <v>980</v>
      </c>
      <c r="E1918" s="32" t="s">
        <v>233</v>
      </c>
      <c r="F1918" s="20" t="str">
        <f t="shared" si="110"/>
        <v>Block 29</v>
      </c>
      <c r="G1918" s="20" t="str">
        <f t="shared" si="109"/>
        <v>Lot 01</v>
      </c>
      <c r="H1918" s="40" t="s">
        <v>99</v>
      </c>
      <c r="I1918" s="41">
        <v>114</v>
      </c>
      <c r="J1918" s="20" t="s">
        <v>100</v>
      </c>
      <c r="K1918" s="35" t="s">
        <v>982</v>
      </c>
      <c r="L1918" s="36">
        <f>IFERROR(INDEX([3]ESE!$AD$22:$BD$453,MATCH($B1918,[3]ESE!$AD$22:$AD$453,0),23),"NA")</f>
        <v>2052000</v>
      </c>
      <c r="M1918" s="36"/>
      <c r="N1918" s="36">
        <f>L1918-M1918</f>
        <v>2052000</v>
      </c>
      <c r="O1918" s="36">
        <f>L1918*12/112</f>
        <v>219857.14285714287</v>
      </c>
      <c r="P1918" s="60">
        <f>N1918-O1918</f>
        <v>1832142.857142857</v>
      </c>
    </row>
    <row r="1919" spans="2:16">
      <c r="B1919" s="19" t="s">
        <v>2085</v>
      </c>
      <c r="C1919" s="61" t="s">
        <v>3</v>
      </c>
      <c r="D1919" s="20" t="s">
        <v>1928</v>
      </c>
      <c r="E1919" s="32" t="s">
        <v>205</v>
      </c>
      <c r="F1919" s="20" t="str">
        <f t="shared" si="110"/>
        <v>Block 29</v>
      </c>
      <c r="G1919" s="20" t="str">
        <f t="shared" si="109"/>
        <v>Lot 02</v>
      </c>
      <c r="H1919" s="40">
        <v>55</v>
      </c>
      <c r="I1919" s="41">
        <v>80</v>
      </c>
      <c r="J1919" s="19" t="s">
        <v>1917</v>
      </c>
      <c r="K1919" s="35" t="s">
        <v>1924</v>
      </c>
      <c r="L1919" s="36">
        <f>IFERROR(INDEX([3]ESE!$AD$22:$BD$453,MATCH($B1919,[3]ESE!$AD$22:$AD$453,0),23),"NA")</f>
        <v>3600000</v>
      </c>
      <c r="M1919" s="36"/>
      <c r="N1919" s="36">
        <f t="shared" ref="N1919:N1935" si="119">L1919-M1919</f>
        <v>3600000</v>
      </c>
      <c r="O1919" s="36">
        <f t="shared" ref="O1919:O1924" si="120">IF(N1919&lt;=3600000,0,N1919*12%)</f>
        <v>0</v>
      </c>
      <c r="P1919" s="60">
        <f t="shared" ref="P1919:P1935" si="121">N1919-O1919</f>
        <v>3600000</v>
      </c>
    </row>
    <row r="1920" spans="2:16">
      <c r="B1920" s="19" t="s">
        <v>2086</v>
      </c>
      <c r="C1920" s="61" t="s">
        <v>3</v>
      </c>
      <c r="D1920" s="20" t="s">
        <v>1928</v>
      </c>
      <c r="E1920" s="32" t="s">
        <v>205</v>
      </c>
      <c r="F1920" s="20" t="str">
        <f t="shared" si="110"/>
        <v>Block 29</v>
      </c>
      <c r="G1920" s="20" t="str">
        <f t="shared" si="109"/>
        <v>Lot 04</v>
      </c>
      <c r="H1920" s="40">
        <v>55</v>
      </c>
      <c r="I1920" s="41">
        <v>80</v>
      </c>
      <c r="J1920" s="19" t="s">
        <v>1917</v>
      </c>
      <c r="K1920" s="35" t="s">
        <v>1926</v>
      </c>
      <c r="L1920" s="36">
        <f>IFERROR(INDEX([3]ESE!$AD$22:$BD$453,MATCH($B1920,[3]ESE!$AD$22:$AD$453,0),23),"NA")</f>
        <v>3600000</v>
      </c>
      <c r="M1920" s="36"/>
      <c r="N1920" s="36">
        <f t="shared" si="119"/>
        <v>3600000</v>
      </c>
      <c r="O1920" s="36">
        <f t="shared" si="120"/>
        <v>0</v>
      </c>
      <c r="P1920" s="60">
        <f t="shared" si="121"/>
        <v>3600000</v>
      </c>
    </row>
    <row r="1921" spans="2:16">
      <c r="B1921" s="19" t="s">
        <v>2087</v>
      </c>
      <c r="C1921" s="61" t="s">
        <v>3</v>
      </c>
      <c r="D1921" s="20" t="s">
        <v>1928</v>
      </c>
      <c r="E1921" s="32" t="s">
        <v>205</v>
      </c>
      <c r="F1921" s="20" t="str">
        <f t="shared" si="110"/>
        <v>Block 29</v>
      </c>
      <c r="G1921" s="20" t="str">
        <f t="shared" si="109"/>
        <v>Lot 05</v>
      </c>
      <c r="H1921" s="40">
        <v>55</v>
      </c>
      <c r="I1921" s="41">
        <v>88</v>
      </c>
      <c r="J1921" s="19" t="s">
        <v>1917</v>
      </c>
      <c r="K1921" s="35" t="s">
        <v>1920</v>
      </c>
      <c r="L1921" s="36">
        <f>IFERROR(INDEX([3]ESE!$AD$22:$BD$453,MATCH($B1921,[3]ESE!$AD$22:$AD$453,0),23),"NA")</f>
        <v>3720000</v>
      </c>
      <c r="M1921" s="36"/>
      <c r="N1921" s="36">
        <f t="shared" si="119"/>
        <v>3720000</v>
      </c>
      <c r="O1921" s="36">
        <f t="shared" si="120"/>
        <v>446400</v>
      </c>
      <c r="P1921" s="60">
        <f t="shared" si="121"/>
        <v>3273600</v>
      </c>
    </row>
    <row r="1922" spans="2:16">
      <c r="B1922" s="19" t="s">
        <v>2088</v>
      </c>
      <c r="C1922" s="61" t="s">
        <v>3</v>
      </c>
      <c r="D1922" s="20" t="s">
        <v>1928</v>
      </c>
      <c r="E1922" s="32" t="s">
        <v>205</v>
      </c>
      <c r="F1922" s="20" t="str">
        <f t="shared" si="110"/>
        <v>Block 29</v>
      </c>
      <c r="G1922" s="20" t="str">
        <f t="shared" si="109"/>
        <v>Lot 06</v>
      </c>
      <c r="H1922" s="40">
        <v>55</v>
      </c>
      <c r="I1922" s="41">
        <v>101</v>
      </c>
      <c r="J1922" s="19" t="s">
        <v>1917</v>
      </c>
      <c r="K1922" s="35" t="s">
        <v>1918</v>
      </c>
      <c r="L1922" s="36">
        <f>IFERROR(INDEX([3]ESE!$AD$22:$BD$453,MATCH($B1922,[3]ESE!$AD$22:$AD$453,0),23),"NA")</f>
        <v>3915000</v>
      </c>
      <c r="M1922" s="36"/>
      <c r="N1922" s="36">
        <f t="shared" si="119"/>
        <v>3915000</v>
      </c>
      <c r="O1922" s="36">
        <f t="shared" si="120"/>
        <v>469800</v>
      </c>
      <c r="P1922" s="60">
        <f t="shared" si="121"/>
        <v>3445200</v>
      </c>
    </row>
    <row r="1923" spans="2:16">
      <c r="B1923" s="19" t="s">
        <v>2089</v>
      </c>
      <c r="C1923" s="61" t="s">
        <v>3</v>
      </c>
      <c r="D1923" s="20" t="s">
        <v>1928</v>
      </c>
      <c r="E1923" s="32" t="s">
        <v>205</v>
      </c>
      <c r="F1923" s="20" t="str">
        <f t="shared" si="110"/>
        <v>Block 29</v>
      </c>
      <c r="G1923" s="20" t="str">
        <f t="shared" si="109"/>
        <v>Lot 07</v>
      </c>
      <c r="H1923" s="40">
        <v>55</v>
      </c>
      <c r="I1923" s="41">
        <v>92</v>
      </c>
      <c r="J1923" s="19" t="s">
        <v>1917</v>
      </c>
      <c r="K1923" s="35" t="s">
        <v>1924</v>
      </c>
      <c r="L1923" s="36">
        <f>IFERROR(INDEX([3]ESE!$AD$22:$BD$453,MATCH($B1923,[3]ESE!$AD$22:$AD$453,0),23),"NA")</f>
        <v>3780000</v>
      </c>
      <c r="M1923" s="36"/>
      <c r="N1923" s="36">
        <f t="shared" si="119"/>
        <v>3780000</v>
      </c>
      <c r="O1923" s="36">
        <f t="shared" si="120"/>
        <v>453600</v>
      </c>
      <c r="P1923" s="60">
        <f t="shared" si="121"/>
        <v>3326400</v>
      </c>
    </row>
    <row r="1924" spans="2:16">
      <c r="B1924" s="19" t="s">
        <v>2090</v>
      </c>
      <c r="C1924" s="61" t="s">
        <v>3</v>
      </c>
      <c r="D1924" s="20" t="s">
        <v>1928</v>
      </c>
      <c r="E1924" s="32" t="s">
        <v>205</v>
      </c>
      <c r="F1924" s="20" t="str">
        <f t="shared" si="110"/>
        <v>Block 29</v>
      </c>
      <c r="G1924" s="20" t="str">
        <f t="shared" si="109"/>
        <v>Lot 08</v>
      </c>
      <c r="H1924" s="40">
        <v>55</v>
      </c>
      <c r="I1924" s="41">
        <v>84</v>
      </c>
      <c r="J1924" s="19" t="s">
        <v>1917</v>
      </c>
      <c r="K1924" s="35" t="s">
        <v>1926</v>
      </c>
      <c r="L1924" s="36">
        <f>IFERROR(INDEX([3]ESE!$AD$22:$BD$453,MATCH($B1924,[3]ESE!$AD$22:$AD$453,0),23),"NA")</f>
        <v>3660000</v>
      </c>
      <c r="M1924" s="36"/>
      <c r="N1924" s="36">
        <f t="shared" si="119"/>
        <v>3660000</v>
      </c>
      <c r="O1924" s="36">
        <f t="shared" si="120"/>
        <v>439200</v>
      </c>
      <c r="P1924" s="60">
        <f t="shared" si="121"/>
        <v>3220800</v>
      </c>
    </row>
    <row r="1925" spans="2:16">
      <c r="B1925" s="19" t="s">
        <v>2091</v>
      </c>
      <c r="C1925" s="61" t="s">
        <v>3</v>
      </c>
      <c r="D1925" s="20" t="s">
        <v>980</v>
      </c>
      <c r="E1925" s="32" t="s">
        <v>233</v>
      </c>
      <c r="F1925" s="20" t="str">
        <f t="shared" si="110"/>
        <v>Block 30</v>
      </c>
      <c r="G1925" s="20" t="str">
        <f t="shared" si="109"/>
        <v>Lot 01</v>
      </c>
      <c r="H1925" s="40" t="s">
        <v>99</v>
      </c>
      <c r="I1925" s="41">
        <v>156</v>
      </c>
      <c r="J1925" s="20" t="s">
        <v>100</v>
      </c>
      <c r="K1925" s="35" t="s">
        <v>982</v>
      </c>
      <c r="L1925" s="36">
        <f>IFERROR(INDEX([3]ESE!$AD$22:$BD$453,MATCH($B1925,[3]ESE!$AD$22:$AD$453,0),23),"NA")</f>
        <v>2808000</v>
      </c>
      <c r="M1925" s="36"/>
      <c r="N1925" s="36">
        <f t="shared" si="119"/>
        <v>2808000</v>
      </c>
      <c r="O1925" s="36">
        <f t="shared" ref="O1925:O1927" si="122">L1925*12/112</f>
        <v>300857.14285714284</v>
      </c>
      <c r="P1925" s="60">
        <f t="shared" si="121"/>
        <v>2507142.8571428573</v>
      </c>
    </row>
    <row r="1926" spans="2:16">
      <c r="B1926" s="19" t="s">
        <v>2092</v>
      </c>
      <c r="C1926" s="61" t="s">
        <v>3</v>
      </c>
      <c r="D1926" s="20" t="s">
        <v>980</v>
      </c>
      <c r="E1926" s="32" t="s">
        <v>233</v>
      </c>
      <c r="F1926" s="20" t="str">
        <f t="shared" si="110"/>
        <v>Block 30</v>
      </c>
      <c r="G1926" s="20" t="str">
        <f t="shared" si="109"/>
        <v>Lot 02</v>
      </c>
      <c r="H1926" s="40" t="s">
        <v>99</v>
      </c>
      <c r="I1926" s="41">
        <v>156</v>
      </c>
      <c r="J1926" s="20" t="s">
        <v>100</v>
      </c>
      <c r="K1926" s="35" t="s">
        <v>982</v>
      </c>
      <c r="L1926" s="36">
        <f>IFERROR(INDEX([3]ESE!$AD$22:$BD$453,MATCH($B1926,[3]ESE!$AD$22:$AD$453,0),23),"NA")</f>
        <v>2808000</v>
      </c>
      <c r="M1926" s="36"/>
      <c r="N1926" s="36">
        <f t="shared" si="119"/>
        <v>2808000</v>
      </c>
      <c r="O1926" s="36">
        <f t="shared" si="122"/>
        <v>300857.14285714284</v>
      </c>
      <c r="P1926" s="60">
        <f t="shared" si="121"/>
        <v>2507142.8571428573</v>
      </c>
    </row>
    <row r="1927" spans="2:16">
      <c r="B1927" s="19" t="s">
        <v>2093</v>
      </c>
      <c r="C1927" s="61" t="s">
        <v>3</v>
      </c>
      <c r="D1927" s="20" t="s">
        <v>980</v>
      </c>
      <c r="E1927" s="32" t="s">
        <v>233</v>
      </c>
      <c r="F1927" s="20" t="str">
        <f t="shared" si="110"/>
        <v>Block 30</v>
      </c>
      <c r="G1927" s="20" t="str">
        <f t="shared" si="109"/>
        <v>Lot 03</v>
      </c>
      <c r="H1927" s="40" t="s">
        <v>99</v>
      </c>
      <c r="I1927" s="41">
        <v>160</v>
      </c>
      <c r="J1927" s="20" t="s">
        <v>100</v>
      </c>
      <c r="K1927" s="35" t="s">
        <v>982</v>
      </c>
      <c r="L1927" s="36">
        <f>IFERROR(INDEX([3]ESE!$AD$22:$BD$453,MATCH($B1927,[3]ESE!$AD$22:$AD$453,0),23),"NA")</f>
        <v>2880000</v>
      </c>
      <c r="M1927" s="36"/>
      <c r="N1927" s="36">
        <f t="shared" si="119"/>
        <v>2880000</v>
      </c>
      <c r="O1927" s="36">
        <f t="shared" si="122"/>
        <v>308571.42857142858</v>
      </c>
      <c r="P1927" s="60">
        <f t="shared" si="121"/>
        <v>2571428.5714285714</v>
      </c>
    </row>
    <row r="1928" spans="2:16">
      <c r="B1928" s="19" t="s">
        <v>2094</v>
      </c>
      <c r="C1928" s="61" t="s">
        <v>3</v>
      </c>
      <c r="D1928" s="20" t="s">
        <v>1966</v>
      </c>
      <c r="E1928" s="32" t="s">
        <v>205</v>
      </c>
      <c r="F1928" s="20" t="str">
        <f t="shared" si="110"/>
        <v>Block 30</v>
      </c>
      <c r="G1928" s="20" t="str">
        <f t="shared" si="109"/>
        <v>Lot 04</v>
      </c>
      <c r="H1928" s="40">
        <v>55</v>
      </c>
      <c r="I1928" s="41">
        <v>80</v>
      </c>
      <c r="J1928" s="19" t="s">
        <v>1917</v>
      </c>
      <c r="K1928" s="35" t="s">
        <v>1924</v>
      </c>
      <c r="L1928" s="36">
        <f>IFERROR(INDEX([3]ESE!$AD$22:$BD$453,MATCH($B1928,[3]ESE!$AD$22:$AD$453,0),23),"NA")</f>
        <v>3600000</v>
      </c>
      <c r="M1928" s="36"/>
      <c r="N1928" s="36">
        <f t="shared" si="119"/>
        <v>3600000</v>
      </c>
      <c r="O1928" s="36">
        <f t="shared" ref="O1928:O1935" si="123">IF(N1928&lt;=3600000,0,N1928*12%)</f>
        <v>0</v>
      </c>
      <c r="P1928" s="60">
        <f t="shared" si="121"/>
        <v>3600000</v>
      </c>
    </row>
    <row r="1929" spans="2:16">
      <c r="B1929" s="19" t="s">
        <v>2095</v>
      </c>
      <c r="C1929" s="61" t="s">
        <v>3</v>
      </c>
      <c r="D1929" s="20" t="s">
        <v>1966</v>
      </c>
      <c r="E1929" s="32" t="s">
        <v>243</v>
      </c>
      <c r="F1929" s="20" t="str">
        <f t="shared" si="110"/>
        <v>Block 30</v>
      </c>
      <c r="G1929" s="20" t="str">
        <f t="shared" si="109"/>
        <v>Lot 05</v>
      </c>
      <c r="H1929" s="40">
        <v>55</v>
      </c>
      <c r="I1929" s="41">
        <v>100</v>
      </c>
      <c r="J1929" s="19" t="s">
        <v>1917</v>
      </c>
      <c r="K1929" s="35" t="s">
        <v>1926</v>
      </c>
      <c r="L1929" s="36">
        <f>IFERROR(INDEX([3]ESE!$AD$22:$BD$453,MATCH($B1929,[3]ESE!$AD$22:$AD$453,0),23),"NA")</f>
        <v>3900000</v>
      </c>
      <c r="M1929" s="36"/>
      <c r="N1929" s="36">
        <f t="shared" si="119"/>
        <v>3900000</v>
      </c>
      <c r="O1929" s="36">
        <f t="shared" si="123"/>
        <v>468000</v>
      </c>
      <c r="P1929" s="60">
        <f t="shared" si="121"/>
        <v>3432000</v>
      </c>
    </row>
    <row r="1930" spans="2:16">
      <c r="B1930" s="19" t="s">
        <v>2096</v>
      </c>
      <c r="C1930" s="61" t="s">
        <v>3</v>
      </c>
      <c r="D1930" s="20" t="s">
        <v>1957</v>
      </c>
      <c r="E1930" s="32" t="s">
        <v>205</v>
      </c>
      <c r="F1930" s="20" t="str">
        <f t="shared" si="110"/>
        <v>Block 30</v>
      </c>
      <c r="G1930" s="20" t="str">
        <f t="shared" si="109"/>
        <v>Lot 07</v>
      </c>
      <c r="H1930" s="40">
        <v>55</v>
      </c>
      <c r="I1930" s="41">
        <v>80</v>
      </c>
      <c r="J1930" s="19" t="s">
        <v>1917</v>
      </c>
      <c r="K1930" s="35" t="s">
        <v>1926</v>
      </c>
      <c r="L1930" s="36">
        <f>IFERROR(INDEX([3]ESE!$AD$22:$BD$453,MATCH($B1930,[3]ESE!$AD$22:$AD$453,0),23),"NA")</f>
        <v>3600000</v>
      </c>
      <c r="M1930" s="36"/>
      <c r="N1930" s="36">
        <f t="shared" si="119"/>
        <v>3600000</v>
      </c>
      <c r="O1930" s="36">
        <f t="shared" si="123"/>
        <v>0</v>
      </c>
      <c r="P1930" s="60">
        <f t="shared" si="121"/>
        <v>3600000</v>
      </c>
    </row>
    <row r="1931" spans="2:16">
      <c r="B1931" s="19" t="s">
        <v>2097</v>
      </c>
      <c r="C1931" s="61" t="s">
        <v>3</v>
      </c>
      <c r="D1931" s="20" t="s">
        <v>1957</v>
      </c>
      <c r="E1931" s="32" t="s">
        <v>205</v>
      </c>
      <c r="F1931" s="20" t="str">
        <f t="shared" si="110"/>
        <v>Block 30</v>
      </c>
      <c r="G1931" s="20" t="str">
        <f t="shared" si="109"/>
        <v>Lot 08</v>
      </c>
      <c r="H1931" s="40">
        <v>55</v>
      </c>
      <c r="I1931" s="41">
        <v>100</v>
      </c>
      <c r="J1931" s="19" t="s">
        <v>1917</v>
      </c>
      <c r="K1931" s="35" t="s">
        <v>1924</v>
      </c>
      <c r="L1931" s="36">
        <f>IFERROR(INDEX([3]ESE!$AD$22:$BD$453,MATCH($B1931,[3]ESE!$AD$22:$AD$453,0),23),"NA")</f>
        <v>4000000</v>
      </c>
      <c r="M1931" s="36"/>
      <c r="N1931" s="36">
        <f t="shared" si="119"/>
        <v>4000000</v>
      </c>
      <c r="O1931" s="36">
        <f t="shared" si="123"/>
        <v>480000</v>
      </c>
      <c r="P1931" s="60">
        <f t="shared" si="121"/>
        <v>3520000</v>
      </c>
    </row>
    <row r="1932" spans="2:16">
      <c r="B1932" s="19" t="s">
        <v>2098</v>
      </c>
      <c r="C1932" s="61" t="s">
        <v>3</v>
      </c>
      <c r="D1932" s="20" t="s">
        <v>1957</v>
      </c>
      <c r="E1932" s="32" t="s">
        <v>205</v>
      </c>
      <c r="F1932" s="20" t="str">
        <f t="shared" si="110"/>
        <v>Block 30</v>
      </c>
      <c r="G1932" s="20" t="str">
        <f t="shared" si="109"/>
        <v>Lot 09</v>
      </c>
      <c r="H1932" s="40">
        <v>55</v>
      </c>
      <c r="I1932" s="41">
        <v>100</v>
      </c>
      <c r="J1932" s="19" t="s">
        <v>1917</v>
      </c>
      <c r="K1932" s="35" t="s">
        <v>1918</v>
      </c>
      <c r="L1932" s="36">
        <f>IFERROR(INDEX([3]ESE!$AD$22:$BD$453,MATCH($B1932,[3]ESE!$AD$22:$AD$453,0),23),"NA")</f>
        <v>4000000</v>
      </c>
      <c r="M1932" s="36"/>
      <c r="N1932" s="36">
        <f t="shared" si="119"/>
        <v>4000000</v>
      </c>
      <c r="O1932" s="36">
        <f t="shared" si="123"/>
        <v>480000</v>
      </c>
      <c r="P1932" s="60">
        <f t="shared" si="121"/>
        <v>3520000</v>
      </c>
    </row>
    <row r="1933" spans="2:16">
      <c r="B1933" s="19" t="s">
        <v>2099</v>
      </c>
      <c r="C1933" s="61" t="s">
        <v>3</v>
      </c>
      <c r="D1933" s="20" t="s">
        <v>1957</v>
      </c>
      <c r="E1933" s="32" t="s">
        <v>205</v>
      </c>
      <c r="F1933" s="20" t="str">
        <f t="shared" si="110"/>
        <v>Block 30</v>
      </c>
      <c r="G1933" s="20" t="str">
        <f t="shared" si="109"/>
        <v>Lot 10</v>
      </c>
      <c r="H1933" s="40">
        <v>55</v>
      </c>
      <c r="I1933" s="41">
        <v>80</v>
      </c>
      <c r="J1933" s="19" t="s">
        <v>1917</v>
      </c>
      <c r="K1933" s="35" t="s">
        <v>1920</v>
      </c>
      <c r="L1933" s="36">
        <f>IFERROR(INDEX([3]ESE!$AD$22:$BD$453,MATCH($B1933,[3]ESE!$AD$22:$AD$453,0),23),"NA")</f>
        <v>3600000</v>
      </c>
      <c r="M1933" s="36"/>
      <c r="N1933" s="36">
        <f t="shared" si="119"/>
        <v>3600000</v>
      </c>
      <c r="O1933" s="36">
        <f t="shared" si="123"/>
        <v>0</v>
      </c>
      <c r="P1933" s="60">
        <f t="shared" si="121"/>
        <v>3600000</v>
      </c>
    </row>
    <row r="1934" spans="2:16">
      <c r="B1934" s="19" t="s">
        <v>2100</v>
      </c>
      <c r="C1934" s="61" t="s">
        <v>3</v>
      </c>
      <c r="D1934" s="20" t="s">
        <v>1966</v>
      </c>
      <c r="E1934" s="32" t="s">
        <v>243</v>
      </c>
      <c r="F1934" s="20" t="str">
        <f t="shared" si="110"/>
        <v>Block 30</v>
      </c>
      <c r="G1934" s="20" t="str">
        <f t="shared" si="109"/>
        <v>Lot 11</v>
      </c>
      <c r="H1934" s="40">
        <v>55</v>
      </c>
      <c r="I1934" s="41">
        <v>100</v>
      </c>
      <c r="J1934" s="19" t="s">
        <v>1917</v>
      </c>
      <c r="K1934" s="35" t="s">
        <v>1920</v>
      </c>
      <c r="L1934" s="36">
        <f>IFERROR(INDEX([3]ESE!$AD$22:$BD$453,MATCH($B1934,[3]ESE!$AD$22:$AD$453,0),23),"NA")</f>
        <v>3900000</v>
      </c>
      <c r="M1934" s="36"/>
      <c r="N1934" s="36">
        <f t="shared" si="119"/>
        <v>3900000</v>
      </c>
      <c r="O1934" s="36">
        <f t="shared" si="123"/>
        <v>468000</v>
      </c>
      <c r="P1934" s="60">
        <f t="shared" si="121"/>
        <v>3432000</v>
      </c>
    </row>
    <row r="1935" spans="2:16">
      <c r="B1935" s="19" t="s">
        <v>2101</v>
      </c>
      <c r="C1935" s="61" t="s">
        <v>3</v>
      </c>
      <c r="D1935" s="20" t="s">
        <v>1966</v>
      </c>
      <c r="E1935" s="32" t="s">
        <v>205</v>
      </c>
      <c r="F1935" s="20" t="str">
        <f t="shared" si="110"/>
        <v>Block 30</v>
      </c>
      <c r="G1935" s="20" t="str">
        <f t="shared" si="109"/>
        <v>Lot 13</v>
      </c>
      <c r="H1935" s="40">
        <v>55</v>
      </c>
      <c r="I1935" s="41">
        <v>80</v>
      </c>
      <c r="J1935" s="19" t="s">
        <v>1917</v>
      </c>
      <c r="K1935" s="35" t="s">
        <v>1918</v>
      </c>
      <c r="L1935" s="36">
        <f>IFERROR(INDEX([3]ESE!$AD$22:$BD$453,MATCH($B1935,[3]ESE!$AD$22:$AD$453,0),23),"NA")</f>
        <v>3600000</v>
      </c>
      <c r="M1935" s="36"/>
      <c r="N1935" s="36">
        <f t="shared" si="119"/>
        <v>3600000</v>
      </c>
      <c r="O1935" s="36">
        <f t="shared" si="123"/>
        <v>0</v>
      </c>
      <c r="P1935" s="60">
        <f t="shared" si="121"/>
        <v>3600000</v>
      </c>
    </row>
    <row r="1936" spans="2:16">
      <c r="B1936" s="19" t="s">
        <v>2102</v>
      </c>
      <c r="C1936" s="61" t="s">
        <v>3</v>
      </c>
      <c r="D1936" s="20" t="s">
        <v>980</v>
      </c>
      <c r="E1936" s="32" t="s">
        <v>205</v>
      </c>
      <c r="F1936" s="20" t="str">
        <f t="shared" si="110"/>
        <v>Block 31</v>
      </c>
      <c r="G1936" s="20" t="str">
        <f t="shared" si="109"/>
        <v>Lot 01</v>
      </c>
      <c r="H1936" s="40" t="s">
        <v>99</v>
      </c>
      <c r="I1936" s="41">
        <v>122</v>
      </c>
      <c r="J1936" s="20" t="s">
        <v>100</v>
      </c>
      <c r="K1936" s="35" t="s">
        <v>982</v>
      </c>
      <c r="L1936" s="36">
        <f>IFERROR(INDEX([3]ESE!$AD$22:$BD$453,MATCH($B1936,[3]ESE!$AD$22:$AD$453,0),23),"NA")</f>
        <v>2196000</v>
      </c>
      <c r="M1936" s="36"/>
      <c r="N1936" s="36">
        <f>L1936-M1936</f>
        <v>2196000</v>
      </c>
      <c r="O1936" s="36">
        <f>L1936*12/112</f>
        <v>235285.71428571429</v>
      </c>
      <c r="P1936" s="60">
        <f>N1936-O1936</f>
        <v>1960714.2857142857</v>
      </c>
    </row>
    <row r="1937" spans="2:16">
      <c r="B1937" s="19" t="s">
        <v>2103</v>
      </c>
      <c r="C1937" s="61" t="s">
        <v>3</v>
      </c>
      <c r="D1937" s="20" t="s">
        <v>2104</v>
      </c>
      <c r="E1937" s="32" t="s">
        <v>205</v>
      </c>
      <c r="F1937" s="20" t="str">
        <f t="shared" si="110"/>
        <v>Block 31</v>
      </c>
      <c r="G1937" s="20" t="str">
        <f t="shared" si="109"/>
        <v>Lot 02</v>
      </c>
      <c r="H1937" s="40">
        <v>55</v>
      </c>
      <c r="I1937" s="41">
        <v>90</v>
      </c>
      <c r="J1937" s="19" t="s">
        <v>1917</v>
      </c>
      <c r="K1937" s="35" t="s">
        <v>1920</v>
      </c>
      <c r="L1937" s="36">
        <f>IFERROR(INDEX([3]ESE!$AD$22:$BD$453,MATCH($B1937,[3]ESE!$AD$22:$AD$453,0),23),"NA")</f>
        <v>3750000</v>
      </c>
      <c r="M1937" s="36"/>
      <c r="N1937" s="36">
        <f t="shared" ref="N1937:N1944" si="124">L1937-M1937</f>
        <v>3750000</v>
      </c>
      <c r="O1937" s="36">
        <f t="shared" ref="O1937:O1944" si="125">IF(N1937&lt;=3600000,0,N1937*12%)</f>
        <v>450000</v>
      </c>
      <c r="P1937" s="60">
        <f t="shared" ref="P1937:P1944" si="126">N1937-O1937</f>
        <v>3300000</v>
      </c>
    </row>
    <row r="1938" spans="2:16">
      <c r="B1938" s="19" t="s">
        <v>2105</v>
      </c>
      <c r="C1938" s="61" t="s">
        <v>3</v>
      </c>
      <c r="D1938" s="20" t="s">
        <v>2104</v>
      </c>
      <c r="E1938" s="32" t="s">
        <v>205</v>
      </c>
      <c r="F1938" s="20" t="str">
        <f t="shared" si="110"/>
        <v>Block 31</v>
      </c>
      <c r="G1938" s="20" t="str">
        <f t="shared" si="109"/>
        <v>Lot 03</v>
      </c>
      <c r="H1938" s="40">
        <v>55</v>
      </c>
      <c r="I1938" s="41">
        <v>80</v>
      </c>
      <c r="J1938" s="19" t="s">
        <v>1917</v>
      </c>
      <c r="K1938" s="35" t="s">
        <v>1918</v>
      </c>
      <c r="L1938" s="36">
        <f>IFERROR(INDEX([3]ESE!$AD$22:$BD$453,MATCH($B1938,[3]ESE!$AD$22:$AD$453,0),23),"NA")</f>
        <v>3600000</v>
      </c>
      <c r="M1938" s="36"/>
      <c r="N1938" s="36">
        <f t="shared" si="124"/>
        <v>3600000</v>
      </c>
      <c r="O1938" s="36">
        <f t="shared" si="125"/>
        <v>0</v>
      </c>
      <c r="P1938" s="60">
        <f t="shared" si="126"/>
        <v>3600000</v>
      </c>
    </row>
    <row r="1939" spans="2:16">
      <c r="B1939" s="19" t="s">
        <v>2106</v>
      </c>
      <c r="C1939" s="61" t="s">
        <v>3</v>
      </c>
      <c r="D1939" s="20" t="s">
        <v>2104</v>
      </c>
      <c r="E1939" s="32" t="s">
        <v>205</v>
      </c>
      <c r="F1939" s="20" t="str">
        <f t="shared" si="110"/>
        <v>Block 31</v>
      </c>
      <c r="G1939" s="20" t="str">
        <f t="shared" si="109"/>
        <v>Lot 04</v>
      </c>
      <c r="H1939" s="40">
        <v>55</v>
      </c>
      <c r="I1939" s="41">
        <v>80</v>
      </c>
      <c r="J1939" s="19" t="s">
        <v>1917</v>
      </c>
      <c r="K1939" s="35" t="s">
        <v>1918</v>
      </c>
      <c r="L1939" s="36">
        <f>IFERROR(INDEX([3]ESE!$AD$22:$BD$453,MATCH($B1939,[3]ESE!$AD$22:$AD$453,0),23),"NA")</f>
        <v>3600000</v>
      </c>
      <c r="M1939" s="36"/>
      <c r="N1939" s="36">
        <f t="shared" si="124"/>
        <v>3600000</v>
      </c>
      <c r="O1939" s="36">
        <f t="shared" si="125"/>
        <v>0</v>
      </c>
      <c r="P1939" s="60">
        <f t="shared" si="126"/>
        <v>3600000</v>
      </c>
    </row>
    <row r="1940" spans="2:16">
      <c r="B1940" s="19" t="s">
        <v>2107</v>
      </c>
      <c r="C1940" s="61" t="s">
        <v>3</v>
      </c>
      <c r="D1940" s="20" t="s">
        <v>2104</v>
      </c>
      <c r="E1940" s="32" t="s">
        <v>205</v>
      </c>
      <c r="F1940" s="20" t="str">
        <f t="shared" si="110"/>
        <v>Block 31</v>
      </c>
      <c r="G1940" s="20" t="str">
        <f t="shared" si="109"/>
        <v>Lot 05</v>
      </c>
      <c r="H1940" s="40">
        <v>55</v>
      </c>
      <c r="I1940" s="41">
        <v>80</v>
      </c>
      <c r="J1940" s="19" t="s">
        <v>1917</v>
      </c>
      <c r="K1940" s="35" t="s">
        <v>1920</v>
      </c>
      <c r="L1940" s="36">
        <f>IFERROR(INDEX([3]ESE!$AD$22:$BD$453,MATCH($B1940,[3]ESE!$AD$22:$AD$453,0),23),"NA")</f>
        <v>3600000</v>
      </c>
      <c r="M1940" s="36"/>
      <c r="N1940" s="36">
        <f t="shared" si="124"/>
        <v>3600000</v>
      </c>
      <c r="O1940" s="36">
        <f t="shared" si="125"/>
        <v>0</v>
      </c>
      <c r="P1940" s="60">
        <f t="shared" si="126"/>
        <v>3600000</v>
      </c>
    </row>
    <row r="1941" spans="2:16">
      <c r="B1941" s="19" t="s">
        <v>2108</v>
      </c>
      <c r="C1941" s="61" t="s">
        <v>3</v>
      </c>
      <c r="D1941" s="20" t="s">
        <v>2104</v>
      </c>
      <c r="E1941" s="32" t="s">
        <v>205</v>
      </c>
      <c r="F1941" s="20" t="str">
        <f t="shared" si="110"/>
        <v>Block 31</v>
      </c>
      <c r="G1941" s="20" t="str">
        <f t="shared" si="109"/>
        <v>Lot 06</v>
      </c>
      <c r="H1941" s="40">
        <v>55</v>
      </c>
      <c r="I1941" s="41">
        <v>80</v>
      </c>
      <c r="J1941" s="19" t="s">
        <v>1917</v>
      </c>
      <c r="K1941" s="35" t="s">
        <v>1926</v>
      </c>
      <c r="L1941" s="36">
        <f>IFERROR(INDEX([3]ESE!$AD$22:$BD$453,MATCH($B1941,[3]ESE!$AD$22:$AD$453,0),23),"NA")</f>
        <v>3600000</v>
      </c>
      <c r="M1941" s="36"/>
      <c r="N1941" s="36">
        <f t="shared" si="124"/>
        <v>3600000</v>
      </c>
      <c r="O1941" s="36">
        <f t="shared" si="125"/>
        <v>0</v>
      </c>
      <c r="P1941" s="60">
        <f t="shared" si="126"/>
        <v>3600000</v>
      </c>
    </row>
    <row r="1942" spans="2:16">
      <c r="B1942" s="19" t="s">
        <v>2109</v>
      </c>
      <c r="C1942" s="61" t="s">
        <v>3</v>
      </c>
      <c r="D1942" s="20" t="s">
        <v>2104</v>
      </c>
      <c r="E1942" s="32" t="s">
        <v>205</v>
      </c>
      <c r="F1942" s="20" t="str">
        <f t="shared" si="110"/>
        <v>Block 31</v>
      </c>
      <c r="G1942" s="20" t="str">
        <f t="shared" si="109"/>
        <v>Lot 09</v>
      </c>
      <c r="H1942" s="40">
        <v>55</v>
      </c>
      <c r="I1942" s="41">
        <v>80</v>
      </c>
      <c r="J1942" s="19" t="s">
        <v>1917</v>
      </c>
      <c r="K1942" s="35" t="s">
        <v>1924</v>
      </c>
      <c r="L1942" s="36">
        <f>IFERROR(INDEX([3]ESE!$AD$22:$BD$453,MATCH($B1942,[3]ESE!$AD$22:$AD$453,0),23),"NA")</f>
        <v>3600000</v>
      </c>
      <c r="M1942" s="36"/>
      <c r="N1942" s="36">
        <f t="shared" si="124"/>
        <v>3600000</v>
      </c>
      <c r="O1942" s="36">
        <f t="shared" si="125"/>
        <v>0</v>
      </c>
      <c r="P1942" s="60">
        <f t="shared" si="126"/>
        <v>3600000</v>
      </c>
    </row>
    <row r="1943" spans="2:16">
      <c r="B1943" s="19" t="s">
        <v>2110</v>
      </c>
      <c r="C1943" s="61" t="s">
        <v>3</v>
      </c>
      <c r="D1943" s="20" t="s">
        <v>2104</v>
      </c>
      <c r="E1943" s="32" t="s">
        <v>205</v>
      </c>
      <c r="F1943" s="20" t="str">
        <f t="shared" si="110"/>
        <v>Block 31</v>
      </c>
      <c r="G1943" s="20" t="str">
        <f t="shared" si="109"/>
        <v>Lot 10</v>
      </c>
      <c r="H1943" s="40">
        <v>55</v>
      </c>
      <c r="I1943" s="41">
        <v>80</v>
      </c>
      <c r="J1943" s="19" t="s">
        <v>1917</v>
      </c>
      <c r="K1943" s="35" t="s">
        <v>1924</v>
      </c>
      <c r="L1943" s="36">
        <f>IFERROR(INDEX([3]ESE!$AD$22:$BD$453,MATCH($B1943,[3]ESE!$AD$22:$AD$453,0),23),"NA")</f>
        <v>3600000</v>
      </c>
      <c r="M1943" s="36"/>
      <c r="N1943" s="36">
        <f t="shared" si="124"/>
        <v>3600000</v>
      </c>
      <c r="O1943" s="36">
        <f t="shared" si="125"/>
        <v>0</v>
      </c>
      <c r="P1943" s="60">
        <f t="shared" si="126"/>
        <v>3600000</v>
      </c>
    </row>
    <row r="1944" spans="2:16">
      <c r="B1944" s="19" t="s">
        <v>2111</v>
      </c>
      <c r="C1944" s="61" t="s">
        <v>3</v>
      </c>
      <c r="D1944" s="20" t="s">
        <v>2104</v>
      </c>
      <c r="E1944" s="32" t="s">
        <v>205</v>
      </c>
      <c r="F1944" s="20" t="str">
        <f t="shared" si="110"/>
        <v>Block 31</v>
      </c>
      <c r="G1944" s="20" t="str">
        <f t="shared" ref="G1944:G2007" si="127">"Lot "&amp;TEXT(VALUE(RIGHT(B1944,3)),"00")</f>
        <v>Lot 11</v>
      </c>
      <c r="H1944" s="40">
        <v>55</v>
      </c>
      <c r="I1944" s="41">
        <v>100</v>
      </c>
      <c r="J1944" s="19" t="s">
        <v>1917</v>
      </c>
      <c r="K1944" s="35" t="s">
        <v>1926</v>
      </c>
      <c r="L1944" s="36">
        <f>IFERROR(INDEX([3]ESE!$AD$22:$BD$453,MATCH($B1944,[3]ESE!$AD$22:$AD$453,0),23),"NA")</f>
        <v>3900000</v>
      </c>
      <c r="M1944" s="36"/>
      <c r="N1944" s="36">
        <f t="shared" si="124"/>
        <v>3900000</v>
      </c>
      <c r="O1944" s="36">
        <f t="shared" si="125"/>
        <v>468000</v>
      </c>
      <c r="P1944" s="60">
        <f t="shared" si="126"/>
        <v>3432000</v>
      </c>
    </row>
    <row r="1945" spans="2:16">
      <c r="B1945" s="19" t="s">
        <v>2112</v>
      </c>
      <c r="C1945" s="61" t="s">
        <v>3</v>
      </c>
      <c r="D1945" s="20" t="s">
        <v>980</v>
      </c>
      <c r="E1945" s="32" t="s">
        <v>233</v>
      </c>
      <c r="F1945" s="20" t="str">
        <f t="shared" ref="F1945:F2008" si="128">"Block "&amp;TEXT(VALUE(MID(B1945,8,3)),"00")</f>
        <v>Block 31</v>
      </c>
      <c r="G1945" s="20" t="str">
        <f t="shared" si="127"/>
        <v>Lot 13</v>
      </c>
      <c r="H1945" s="40" t="s">
        <v>99</v>
      </c>
      <c r="I1945" s="41">
        <v>100</v>
      </c>
      <c r="J1945" s="20" t="s">
        <v>100</v>
      </c>
      <c r="K1945" s="35" t="s">
        <v>982</v>
      </c>
      <c r="L1945" s="36">
        <f>IFERROR(INDEX([3]ESE!$AD$22:$BD$453,MATCH($B1945,[3]ESE!$AD$22:$AD$453,0),23),"NA")</f>
        <v>1800000</v>
      </c>
      <c r="M1945" s="36"/>
      <c r="N1945" s="36">
        <f>L1945-M1945</f>
        <v>1800000</v>
      </c>
      <c r="O1945" s="36">
        <f>L1945*12/112</f>
        <v>192857.14285714287</v>
      </c>
      <c r="P1945" s="60">
        <f>N1945-O1945</f>
        <v>1607142.857142857</v>
      </c>
    </row>
    <row r="1946" spans="2:16">
      <c r="B1946" s="19" t="s">
        <v>2113</v>
      </c>
      <c r="C1946" s="61" t="s">
        <v>3</v>
      </c>
      <c r="D1946" s="20" t="s">
        <v>2104</v>
      </c>
      <c r="E1946" s="32" t="s">
        <v>205</v>
      </c>
      <c r="F1946" s="20" t="str">
        <f t="shared" si="128"/>
        <v>Block 31</v>
      </c>
      <c r="G1946" s="20" t="str">
        <f t="shared" si="127"/>
        <v>Lot 15</v>
      </c>
      <c r="H1946" s="40">
        <v>55</v>
      </c>
      <c r="I1946" s="41">
        <v>80</v>
      </c>
      <c r="J1946" s="19" t="s">
        <v>1917</v>
      </c>
      <c r="K1946" s="35" t="s">
        <v>1926</v>
      </c>
      <c r="L1946" s="36">
        <f>IFERROR(INDEX([3]ESE!$AD$22:$BD$453,MATCH($B1946,[3]ESE!$AD$22:$AD$453,0),23),"NA")</f>
        <v>3600000</v>
      </c>
      <c r="M1946" s="36"/>
      <c r="N1946" s="36">
        <f t="shared" ref="N1946:N1953" si="129">L1946-M1946</f>
        <v>3600000</v>
      </c>
      <c r="O1946" s="36">
        <f t="shared" ref="O1946:O1953" si="130">IF(N1946&lt;=3600000,0,N1946*12%)</f>
        <v>0</v>
      </c>
      <c r="P1946" s="60">
        <f t="shared" ref="P1946:P1953" si="131">N1946-O1946</f>
        <v>3600000</v>
      </c>
    </row>
    <row r="1947" spans="2:16">
      <c r="B1947" s="19" t="s">
        <v>2114</v>
      </c>
      <c r="C1947" s="61" t="s">
        <v>3</v>
      </c>
      <c r="D1947" s="20" t="s">
        <v>2104</v>
      </c>
      <c r="E1947" s="32" t="s">
        <v>205</v>
      </c>
      <c r="F1947" s="20" t="str">
        <f t="shared" si="128"/>
        <v>Block 31</v>
      </c>
      <c r="G1947" s="20" t="str">
        <f t="shared" si="127"/>
        <v>Lot 16</v>
      </c>
      <c r="H1947" s="40">
        <v>55</v>
      </c>
      <c r="I1947" s="41">
        <v>80</v>
      </c>
      <c r="J1947" s="19" t="s">
        <v>1917</v>
      </c>
      <c r="K1947" s="35" t="s">
        <v>1924</v>
      </c>
      <c r="L1947" s="36">
        <f>IFERROR(INDEX([3]ESE!$AD$22:$BD$453,MATCH($B1947,[3]ESE!$AD$22:$AD$453,0),23),"NA")</f>
        <v>3600000</v>
      </c>
      <c r="M1947" s="36"/>
      <c r="N1947" s="36">
        <f t="shared" si="129"/>
        <v>3600000</v>
      </c>
      <c r="O1947" s="36">
        <f t="shared" si="130"/>
        <v>0</v>
      </c>
      <c r="P1947" s="60">
        <f t="shared" si="131"/>
        <v>3600000</v>
      </c>
    </row>
    <row r="1948" spans="2:16">
      <c r="B1948" s="19" t="s">
        <v>2115</v>
      </c>
      <c r="C1948" s="61" t="s">
        <v>3</v>
      </c>
      <c r="D1948" s="20" t="s">
        <v>2104</v>
      </c>
      <c r="E1948" s="32" t="s">
        <v>205</v>
      </c>
      <c r="F1948" s="20" t="str">
        <f t="shared" si="128"/>
        <v>Block 31</v>
      </c>
      <c r="G1948" s="20" t="str">
        <f t="shared" si="127"/>
        <v>Lot 17</v>
      </c>
      <c r="H1948" s="40">
        <v>55</v>
      </c>
      <c r="I1948" s="41">
        <v>100</v>
      </c>
      <c r="J1948" s="19" t="s">
        <v>1917</v>
      </c>
      <c r="K1948" s="35" t="s">
        <v>1918</v>
      </c>
      <c r="L1948" s="36">
        <f>IFERROR(INDEX([3]ESE!$AD$22:$BD$453,MATCH($B1948,[3]ESE!$AD$22:$AD$453,0),23),"NA")</f>
        <v>3900000</v>
      </c>
      <c r="M1948" s="36"/>
      <c r="N1948" s="36">
        <f t="shared" si="129"/>
        <v>3900000</v>
      </c>
      <c r="O1948" s="36">
        <f t="shared" si="130"/>
        <v>468000</v>
      </c>
      <c r="P1948" s="60">
        <f t="shared" si="131"/>
        <v>3432000</v>
      </c>
    </row>
    <row r="1949" spans="2:16">
      <c r="B1949" s="19" t="s">
        <v>2116</v>
      </c>
      <c r="C1949" s="61" t="s">
        <v>3</v>
      </c>
      <c r="D1949" s="20" t="s">
        <v>2104</v>
      </c>
      <c r="E1949" s="32" t="s">
        <v>205</v>
      </c>
      <c r="F1949" s="20" t="str">
        <f t="shared" si="128"/>
        <v>Block 31</v>
      </c>
      <c r="G1949" s="20" t="str">
        <f t="shared" si="127"/>
        <v>Lot 19</v>
      </c>
      <c r="H1949" s="40">
        <v>55</v>
      </c>
      <c r="I1949" s="41">
        <v>80</v>
      </c>
      <c r="J1949" s="19" t="s">
        <v>1917</v>
      </c>
      <c r="K1949" s="35" t="s">
        <v>1920</v>
      </c>
      <c r="L1949" s="36">
        <f>IFERROR(INDEX([3]ESE!$AD$22:$BD$453,MATCH($B1949,[3]ESE!$AD$22:$AD$453,0),23),"NA")</f>
        <v>3600000</v>
      </c>
      <c r="M1949" s="36"/>
      <c r="N1949" s="36">
        <f t="shared" si="129"/>
        <v>3600000</v>
      </c>
      <c r="O1949" s="36">
        <f t="shared" si="130"/>
        <v>0</v>
      </c>
      <c r="P1949" s="60">
        <f t="shared" si="131"/>
        <v>3600000</v>
      </c>
    </row>
    <row r="1950" spans="2:16">
      <c r="B1950" s="19" t="s">
        <v>2117</v>
      </c>
      <c r="C1950" s="61" t="s">
        <v>3</v>
      </c>
      <c r="D1950" s="20" t="s">
        <v>2104</v>
      </c>
      <c r="E1950" s="32" t="s">
        <v>205</v>
      </c>
      <c r="F1950" s="20" t="str">
        <f t="shared" si="128"/>
        <v>Block 32</v>
      </c>
      <c r="G1950" s="20" t="str">
        <f t="shared" si="127"/>
        <v>Lot 01</v>
      </c>
      <c r="H1950" s="40">
        <v>55</v>
      </c>
      <c r="I1950" s="41">
        <v>80</v>
      </c>
      <c r="J1950" s="19" t="s">
        <v>1917</v>
      </c>
      <c r="K1950" s="35" t="s">
        <v>1924</v>
      </c>
      <c r="L1950" s="36">
        <f>IFERROR(INDEX([3]ESE!$AD$22:$BD$453,MATCH($B1950,[3]ESE!$AD$22:$AD$453,0),23),"NA")</f>
        <v>3600000</v>
      </c>
      <c r="M1950" s="36"/>
      <c r="N1950" s="36">
        <f t="shared" si="129"/>
        <v>3600000</v>
      </c>
      <c r="O1950" s="36">
        <f t="shared" si="130"/>
        <v>0</v>
      </c>
      <c r="P1950" s="60">
        <f t="shared" si="131"/>
        <v>3600000</v>
      </c>
    </row>
    <row r="1951" spans="2:16">
      <c r="B1951" s="19" t="s">
        <v>2118</v>
      </c>
      <c r="C1951" s="61" t="s">
        <v>3</v>
      </c>
      <c r="D1951" s="20" t="s">
        <v>2104</v>
      </c>
      <c r="E1951" s="32" t="s">
        <v>205</v>
      </c>
      <c r="F1951" s="20" t="str">
        <f t="shared" si="128"/>
        <v>Block 32</v>
      </c>
      <c r="G1951" s="20" t="str">
        <f t="shared" si="127"/>
        <v>Lot 02</v>
      </c>
      <c r="H1951" s="40">
        <v>55</v>
      </c>
      <c r="I1951" s="41">
        <v>100</v>
      </c>
      <c r="J1951" s="19" t="s">
        <v>1917</v>
      </c>
      <c r="K1951" s="35" t="s">
        <v>1926</v>
      </c>
      <c r="L1951" s="36">
        <f>IFERROR(INDEX([3]ESE!$AD$22:$BD$453,MATCH($B1951,[3]ESE!$AD$22:$AD$453,0),23),"NA")</f>
        <v>3900000</v>
      </c>
      <c r="M1951" s="36"/>
      <c r="N1951" s="36">
        <f t="shared" si="129"/>
        <v>3900000</v>
      </c>
      <c r="O1951" s="36">
        <f t="shared" si="130"/>
        <v>468000</v>
      </c>
      <c r="P1951" s="60">
        <f t="shared" si="131"/>
        <v>3432000</v>
      </c>
    </row>
    <row r="1952" spans="2:16">
      <c r="B1952" s="19" t="s">
        <v>2119</v>
      </c>
      <c r="C1952" s="61" t="s">
        <v>3</v>
      </c>
      <c r="D1952" s="20" t="s">
        <v>2104</v>
      </c>
      <c r="E1952" s="32" t="s">
        <v>205</v>
      </c>
      <c r="F1952" s="20" t="str">
        <f t="shared" si="128"/>
        <v>Block 32</v>
      </c>
      <c r="G1952" s="20" t="str">
        <f t="shared" si="127"/>
        <v>Lot 04</v>
      </c>
      <c r="H1952" s="40">
        <v>55</v>
      </c>
      <c r="I1952" s="41">
        <v>80</v>
      </c>
      <c r="J1952" s="19" t="s">
        <v>1917</v>
      </c>
      <c r="K1952" s="35" t="s">
        <v>1926</v>
      </c>
      <c r="L1952" s="36">
        <f>IFERROR(INDEX([3]ESE!$AD$22:$BD$453,MATCH($B1952,[3]ESE!$AD$22:$AD$453,0),23),"NA")</f>
        <v>3600000</v>
      </c>
      <c r="M1952" s="36"/>
      <c r="N1952" s="36">
        <f t="shared" si="129"/>
        <v>3600000</v>
      </c>
      <c r="O1952" s="36">
        <f t="shared" si="130"/>
        <v>0</v>
      </c>
      <c r="P1952" s="60">
        <f t="shared" si="131"/>
        <v>3600000</v>
      </c>
    </row>
    <row r="1953" spans="2:16">
      <c r="B1953" s="19" t="s">
        <v>2120</v>
      </c>
      <c r="C1953" s="61" t="s">
        <v>3</v>
      </c>
      <c r="D1953" s="20" t="s">
        <v>2104</v>
      </c>
      <c r="E1953" s="32" t="s">
        <v>205</v>
      </c>
      <c r="F1953" s="20" t="str">
        <f t="shared" si="128"/>
        <v>Block 32</v>
      </c>
      <c r="G1953" s="20" t="str">
        <f t="shared" si="127"/>
        <v>Lot 05</v>
      </c>
      <c r="H1953" s="40">
        <v>55</v>
      </c>
      <c r="I1953" s="41">
        <v>80</v>
      </c>
      <c r="J1953" s="19" t="s">
        <v>1917</v>
      </c>
      <c r="K1953" s="35" t="s">
        <v>1924</v>
      </c>
      <c r="L1953" s="36">
        <f>IFERROR(INDEX([3]ESE!$AD$22:$BD$453,MATCH($B1953,[3]ESE!$AD$22:$AD$453,0),23),"NA")</f>
        <v>3600000</v>
      </c>
      <c r="M1953" s="36"/>
      <c r="N1953" s="36">
        <f t="shared" si="129"/>
        <v>3600000</v>
      </c>
      <c r="O1953" s="36">
        <f t="shared" si="130"/>
        <v>0</v>
      </c>
      <c r="P1953" s="60">
        <f t="shared" si="131"/>
        <v>3600000</v>
      </c>
    </row>
    <row r="1954" spans="2:16">
      <c r="B1954" s="19" t="s">
        <v>2121</v>
      </c>
      <c r="C1954" s="61" t="s">
        <v>3</v>
      </c>
      <c r="D1954" s="20" t="s">
        <v>980</v>
      </c>
      <c r="E1954" s="32" t="s">
        <v>233</v>
      </c>
      <c r="F1954" s="20" t="str">
        <f t="shared" si="128"/>
        <v>Block 32</v>
      </c>
      <c r="G1954" s="20" t="str">
        <f t="shared" si="127"/>
        <v>Lot 06</v>
      </c>
      <c r="H1954" s="40" t="s">
        <v>99</v>
      </c>
      <c r="I1954" s="41">
        <v>100</v>
      </c>
      <c r="J1954" s="20" t="s">
        <v>100</v>
      </c>
      <c r="K1954" s="35" t="s">
        <v>982</v>
      </c>
      <c r="L1954" s="36">
        <f>IFERROR(INDEX([3]ESE!$AD$22:$BD$453,MATCH($B1954,[3]ESE!$AD$22:$AD$453,0),23),"NA")</f>
        <v>1800000</v>
      </c>
      <c r="M1954" s="36"/>
      <c r="N1954" s="36">
        <f>L1954-M1954</f>
        <v>1800000</v>
      </c>
      <c r="O1954" s="36">
        <f>L1954*12/112</f>
        <v>192857.14285714287</v>
      </c>
      <c r="P1954" s="60">
        <f>N1954-O1954</f>
        <v>1607142.857142857</v>
      </c>
    </row>
    <row r="1955" spans="2:16">
      <c r="B1955" s="19" t="s">
        <v>2122</v>
      </c>
      <c r="C1955" s="61" t="s">
        <v>3</v>
      </c>
      <c r="D1955" s="20" t="s">
        <v>2104</v>
      </c>
      <c r="E1955" s="32" t="s">
        <v>205</v>
      </c>
      <c r="F1955" s="20" t="str">
        <f t="shared" si="128"/>
        <v>Block 32</v>
      </c>
      <c r="G1955" s="20" t="str">
        <f t="shared" si="127"/>
        <v>Lot 07</v>
      </c>
      <c r="H1955" s="40">
        <v>55</v>
      </c>
      <c r="I1955" s="41">
        <v>100</v>
      </c>
      <c r="J1955" s="19" t="s">
        <v>1917</v>
      </c>
      <c r="K1955" s="35" t="s">
        <v>1918</v>
      </c>
      <c r="L1955" s="36">
        <f>IFERROR(INDEX([3]ESE!$AD$22:$BD$453,MATCH($B1955,[3]ESE!$AD$22:$AD$453,0),23),"NA")</f>
        <v>3900000</v>
      </c>
      <c r="M1955" s="36"/>
      <c r="N1955" s="36">
        <f t="shared" ref="N1955:N1958" si="132">L1955-M1955</f>
        <v>3900000</v>
      </c>
      <c r="O1955" s="36">
        <f t="shared" ref="O1955:O1958" si="133">IF(N1955&lt;=3600000,0,N1955*12%)</f>
        <v>468000</v>
      </c>
      <c r="P1955" s="60">
        <f t="shared" ref="P1955:P1958" si="134">N1955-O1955</f>
        <v>3432000</v>
      </c>
    </row>
    <row r="1956" spans="2:16">
      <c r="B1956" s="19" t="s">
        <v>2123</v>
      </c>
      <c r="C1956" s="61" t="s">
        <v>3</v>
      </c>
      <c r="D1956" s="20" t="s">
        <v>2104</v>
      </c>
      <c r="E1956" s="32" t="s">
        <v>205</v>
      </c>
      <c r="F1956" s="20" t="str">
        <f t="shared" si="128"/>
        <v>Block 32</v>
      </c>
      <c r="G1956" s="20" t="str">
        <f t="shared" si="127"/>
        <v>Lot 10</v>
      </c>
      <c r="H1956" s="40">
        <v>55</v>
      </c>
      <c r="I1956" s="41">
        <v>80</v>
      </c>
      <c r="J1956" s="19" t="s">
        <v>1917</v>
      </c>
      <c r="K1956" s="35" t="s">
        <v>1920</v>
      </c>
      <c r="L1956" s="36">
        <f>IFERROR(INDEX([3]ESE!$AD$22:$BD$453,MATCH($B1956,[3]ESE!$AD$22:$AD$453,0),23),"NA")</f>
        <v>3600000</v>
      </c>
      <c r="M1956" s="36"/>
      <c r="N1956" s="36">
        <f t="shared" si="132"/>
        <v>3600000</v>
      </c>
      <c r="O1956" s="36">
        <f t="shared" si="133"/>
        <v>0</v>
      </c>
      <c r="P1956" s="60">
        <f t="shared" si="134"/>
        <v>3600000</v>
      </c>
    </row>
    <row r="1957" spans="2:16">
      <c r="B1957" s="19" t="s">
        <v>2124</v>
      </c>
      <c r="C1957" s="61" t="s">
        <v>3</v>
      </c>
      <c r="D1957" s="20" t="s">
        <v>2104</v>
      </c>
      <c r="E1957" s="32" t="s">
        <v>205</v>
      </c>
      <c r="F1957" s="20" t="str">
        <f t="shared" si="128"/>
        <v>Block 32</v>
      </c>
      <c r="G1957" s="20" t="str">
        <f t="shared" si="127"/>
        <v>Lot 11</v>
      </c>
      <c r="H1957" s="40">
        <v>55</v>
      </c>
      <c r="I1957" s="41">
        <v>80</v>
      </c>
      <c r="J1957" s="19" t="s">
        <v>1917</v>
      </c>
      <c r="K1957" s="35" t="s">
        <v>1920</v>
      </c>
      <c r="L1957" s="36">
        <f>IFERROR(INDEX([3]ESE!$AD$22:$BD$453,MATCH($B1957,[3]ESE!$AD$22:$AD$453,0),23),"NA")</f>
        <v>3600000</v>
      </c>
      <c r="M1957" s="36"/>
      <c r="N1957" s="36">
        <f t="shared" si="132"/>
        <v>3600000</v>
      </c>
      <c r="O1957" s="36">
        <f t="shared" si="133"/>
        <v>0</v>
      </c>
      <c r="P1957" s="60">
        <f t="shared" si="134"/>
        <v>3600000</v>
      </c>
    </row>
    <row r="1958" spans="2:16">
      <c r="B1958" s="19" t="s">
        <v>2125</v>
      </c>
      <c r="C1958" s="61" t="s">
        <v>3</v>
      </c>
      <c r="D1958" s="20" t="s">
        <v>2104</v>
      </c>
      <c r="E1958" s="32" t="s">
        <v>205</v>
      </c>
      <c r="F1958" s="20" t="str">
        <f t="shared" si="128"/>
        <v>Block 32</v>
      </c>
      <c r="G1958" s="20" t="str">
        <f t="shared" si="127"/>
        <v>Lot 12</v>
      </c>
      <c r="H1958" s="40">
        <v>55</v>
      </c>
      <c r="I1958" s="41">
        <v>100</v>
      </c>
      <c r="J1958" s="19" t="s">
        <v>1917</v>
      </c>
      <c r="K1958" s="35" t="s">
        <v>1918</v>
      </c>
      <c r="L1958" s="36">
        <f>IFERROR(INDEX([3]ESE!$AD$22:$BD$453,MATCH($B1958,[3]ESE!$AD$22:$AD$453,0),23),"NA")</f>
        <v>3900000</v>
      </c>
      <c r="M1958" s="36"/>
      <c r="N1958" s="36">
        <f t="shared" si="132"/>
        <v>3900000</v>
      </c>
      <c r="O1958" s="36">
        <f t="shared" si="133"/>
        <v>468000</v>
      </c>
      <c r="P1958" s="60">
        <f t="shared" si="134"/>
        <v>3432000</v>
      </c>
    </row>
    <row r="1959" spans="2:16">
      <c r="B1959" s="19" t="s">
        <v>2126</v>
      </c>
      <c r="C1959" s="61" t="s">
        <v>3</v>
      </c>
      <c r="D1959" s="20" t="s">
        <v>980</v>
      </c>
      <c r="E1959" s="32" t="s">
        <v>233</v>
      </c>
      <c r="F1959" s="20" t="str">
        <f t="shared" si="128"/>
        <v>Block 32</v>
      </c>
      <c r="G1959" s="20" t="str">
        <f t="shared" si="127"/>
        <v>Lot 13</v>
      </c>
      <c r="H1959" s="40" t="s">
        <v>99</v>
      </c>
      <c r="I1959" s="41">
        <v>100</v>
      </c>
      <c r="J1959" s="20" t="s">
        <v>100</v>
      </c>
      <c r="K1959" s="35" t="s">
        <v>982</v>
      </c>
      <c r="L1959" s="36">
        <f>IFERROR(INDEX([3]ESE!$AD$22:$BD$453,MATCH($B1959,[3]ESE!$AD$22:$AD$453,0),23),"NA")</f>
        <v>1800000</v>
      </c>
      <c r="M1959" s="36"/>
      <c r="N1959" s="36">
        <f>L1959-M1959</f>
        <v>1800000</v>
      </c>
      <c r="O1959" s="36">
        <f>L1959*12/112</f>
        <v>192857.14285714287</v>
      </c>
      <c r="P1959" s="60">
        <f>N1959-O1959</f>
        <v>1607142.857142857</v>
      </c>
    </row>
    <row r="1960" spans="2:16">
      <c r="B1960" s="19" t="s">
        <v>2127</v>
      </c>
      <c r="C1960" s="61" t="s">
        <v>3</v>
      </c>
      <c r="D1960" s="20" t="s">
        <v>2104</v>
      </c>
      <c r="E1960" s="32" t="s">
        <v>205</v>
      </c>
      <c r="F1960" s="20" t="str">
        <f t="shared" si="128"/>
        <v>Block 32</v>
      </c>
      <c r="G1960" s="20" t="str">
        <f t="shared" si="127"/>
        <v>Lot 16</v>
      </c>
      <c r="H1960" s="40">
        <v>55</v>
      </c>
      <c r="I1960" s="41">
        <v>80</v>
      </c>
      <c r="J1960" s="19" t="s">
        <v>1917</v>
      </c>
      <c r="K1960" s="35" t="s">
        <v>1918</v>
      </c>
      <c r="L1960" s="36">
        <f>IFERROR(INDEX([3]ESE!$AD$22:$BD$453,MATCH($B1960,[3]ESE!$AD$22:$AD$453,0),23),"NA")</f>
        <v>3600000</v>
      </c>
      <c r="M1960" s="36"/>
      <c r="N1960" s="36">
        <f t="shared" ref="N1960:N1967" si="135">L1960-M1960</f>
        <v>3600000</v>
      </c>
      <c r="O1960" s="36">
        <f t="shared" ref="O1960:O1967" si="136">IF(N1960&lt;=3600000,0,N1960*12%)</f>
        <v>0</v>
      </c>
      <c r="P1960" s="60">
        <f t="shared" ref="P1960:P1967" si="137">N1960-O1960</f>
        <v>3600000</v>
      </c>
    </row>
    <row r="1961" spans="2:16">
      <c r="B1961" s="19" t="s">
        <v>2128</v>
      </c>
      <c r="C1961" s="61" t="s">
        <v>3</v>
      </c>
      <c r="D1961" s="20" t="s">
        <v>2104</v>
      </c>
      <c r="E1961" s="32" t="s">
        <v>205</v>
      </c>
      <c r="F1961" s="20" t="str">
        <f t="shared" si="128"/>
        <v>Block 32</v>
      </c>
      <c r="G1961" s="20" t="str">
        <f t="shared" si="127"/>
        <v>Lot 17</v>
      </c>
      <c r="H1961" s="40">
        <v>55</v>
      </c>
      <c r="I1961" s="41">
        <v>80</v>
      </c>
      <c r="J1961" s="19" t="s">
        <v>1917</v>
      </c>
      <c r="K1961" s="35" t="s">
        <v>1920</v>
      </c>
      <c r="L1961" s="36">
        <f>IFERROR(INDEX([3]ESE!$AD$22:$BD$453,MATCH($B1961,[3]ESE!$AD$22:$AD$453,0),23),"NA")</f>
        <v>3600000</v>
      </c>
      <c r="M1961" s="36"/>
      <c r="N1961" s="36">
        <f t="shared" si="135"/>
        <v>3600000</v>
      </c>
      <c r="O1961" s="36">
        <f t="shared" si="136"/>
        <v>0</v>
      </c>
      <c r="P1961" s="60">
        <f t="shared" si="137"/>
        <v>3600000</v>
      </c>
    </row>
    <row r="1962" spans="2:16">
      <c r="B1962" s="19" t="s">
        <v>2129</v>
      </c>
      <c r="C1962" s="61" t="s">
        <v>3</v>
      </c>
      <c r="D1962" s="20" t="s">
        <v>2104</v>
      </c>
      <c r="E1962" s="32" t="s">
        <v>205</v>
      </c>
      <c r="F1962" s="20" t="str">
        <f t="shared" si="128"/>
        <v>Block 32</v>
      </c>
      <c r="G1962" s="20" t="str">
        <f t="shared" si="127"/>
        <v>Lot 18</v>
      </c>
      <c r="H1962" s="40">
        <v>55</v>
      </c>
      <c r="I1962" s="41">
        <v>100</v>
      </c>
      <c r="J1962" s="19" t="s">
        <v>1917</v>
      </c>
      <c r="K1962" s="35" t="s">
        <v>1926</v>
      </c>
      <c r="L1962" s="36">
        <f>IFERROR(INDEX([3]ESE!$AD$22:$BD$453,MATCH($B1962,[3]ESE!$AD$22:$AD$453,0),23),"NA")</f>
        <v>3900000</v>
      </c>
      <c r="M1962" s="36"/>
      <c r="N1962" s="36">
        <f t="shared" si="135"/>
        <v>3900000</v>
      </c>
      <c r="O1962" s="36">
        <f t="shared" si="136"/>
        <v>468000</v>
      </c>
      <c r="P1962" s="60">
        <f t="shared" si="137"/>
        <v>3432000</v>
      </c>
    </row>
    <row r="1963" spans="2:16">
      <c r="B1963" s="19" t="s">
        <v>2130</v>
      </c>
      <c r="C1963" s="61" t="s">
        <v>3</v>
      </c>
      <c r="D1963" s="20" t="s">
        <v>2104</v>
      </c>
      <c r="E1963" s="32" t="s">
        <v>205</v>
      </c>
      <c r="F1963" s="20" t="str">
        <f t="shared" si="128"/>
        <v>Block 32</v>
      </c>
      <c r="G1963" s="20" t="str">
        <f t="shared" si="127"/>
        <v>Lot 20</v>
      </c>
      <c r="H1963" s="40">
        <v>55</v>
      </c>
      <c r="I1963" s="41">
        <v>80</v>
      </c>
      <c r="J1963" s="19" t="s">
        <v>1917</v>
      </c>
      <c r="K1963" s="35" t="s">
        <v>1924</v>
      </c>
      <c r="L1963" s="36">
        <f>IFERROR(INDEX([3]ESE!$AD$22:$BD$453,MATCH($B1963,[3]ESE!$AD$22:$AD$453,0),23),"NA")</f>
        <v>3600000</v>
      </c>
      <c r="M1963" s="36"/>
      <c r="N1963" s="36">
        <f t="shared" si="135"/>
        <v>3600000</v>
      </c>
      <c r="O1963" s="36">
        <f t="shared" si="136"/>
        <v>0</v>
      </c>
      <c r="P1963" s="60">
        <f t="shared" si="137"/>
        <v>3600000</v>
      </c>
    </row>
    <row r="1964" spans="2:16">
      <c r="B1964" s="19" t="s">
        <v>2131</v>
      </c>
      <c r="C1964" s="61" t="s">
        <v>3</v>
      </c>
      <c r="D1964" s="20" t="s">
        <v>2104</v>
      </c>
      <c r="E1964" s="32" t="s">
        <v>205</v>
      </c>
      <c r="F1964" s="20" t="str">
        <f t="shared" si="128"/>
        <v>Block 33</v>
      </c>
      <c r="G1964" s="20" t="str">
        <f t="shared" si="127"/>
        <v>Lot 01</v>
      </c>
      <c r="H1964" s="40">
        <v>55</v>
      </c>
      <c r="I1964" s="41">
        <v>80</v>
      </c>
      <c r="J1964" s="19" t="s">
        <v>1917</v>
      </c>
      <c r="K1964" s="35" t="s">
        <v>1920</v>
      </c>
      <c r="L1964" s="36">
        <f>IFERROR(INDEX([3]ESE!$AD$22:$BD$453,MATCH($B1964,[3]ESE!$AD$22:$AD$453,0),23),"NA")</f>
        <v>3600000</v>
      </c>
      <c r="M1964" s="36"/>
      <c r="N1964" s="36">
        <f t="shared" si="135"/>
        <v>3600000</v>
      </c>
      <c r="O1964" s="36">
        <f t="shared" si="136"/>
        <v>0</v>
      </c>
      <c r="P1964" s="60">
        <f t="shared" si="137"/>
        <v>3600000</v>
      </c>
    </row>
    <row r="1965" spans="2:16">
      <c r="B1965" s="19" t="s">
        <v>2132</v>
      </c>
      <c r="C1965" s="61" t="s">
        <v>3</v>
      </c>
      <c r="D1965" s="20" t="s">
        <v>2104</v>
      </c>
      <c r="E1965" s="32" t="s">
        <v>205</v>
      </c>
      <c r="F1965" s="20" t="str">
        <f t="shared" si="128"/>
        <v>Block 33</v>
      </c>
      <c r="G1965" s="20" t="str">
        <f t="shared" si="127"/>
        <v>Lot 02</v>
      </c>
      <c r="H1965" s="40">
        <v>55</v>
      </c>
      <c r="I1965" s="41">
        <v>100</v>
      </c>
      <c r="J1965" s="19" t="s">
        <v>1917</v>
      </c>
      <c r="K1965" s="35" t="s">
        <v>1918</v>
      </c>
      <c r="L1965" s="36">
        <f>IFERROR(INDEX([3]ESE!$AD$22:$BD$453,MATCH($B1965,[3]ESE!$AD$22:$AD$453,0),23),"NA")</f>
        <v>3900000</v>
      </c>
      <c r="M1965" s="36"/>
      <c r="N1965" s="36">
        <f t="shared" si="135"/>
        <v>3900000</v>
      </c>
      <c r="O1965" s="36">
        <f t="shared" si="136"/>
        <v>468000</v>
      </c>
      <c r="P1965" s="60">
        <f t="shared" si="137"/>
        <v>3432000</v>
      </c>
    </row>
    <row r="1966" spans="2:16">
      <c r="B1966" s="19" t="s">
        <v>2133</v>
      </c>
      <c r="C1966" s="61" t="s">
        <v>3</v>
      </c>
      <c r="D1966" s="20" t="s">
        <v>2104</v>
      </c>
      <c r="E1966" s="32" t="s">
        <v>205</v>
      </c>
      <c r="F1966" s="20" t="str">
        <f t="shared" si="128"/>
        <v>Block 33</v>
      </c>
      <c r="G1966" s="20" t="str">
        <f t="shared" si="127"/>
        <v>Lot 04</v>
      </c>
      <c r="H1966" s="40">
        <v>55</v>
      </c>
      <c r="I1966" s="41">
        <v>80</v>
      </c>
      <c r="J1966" s="19" t="s">
        <v>1917</v>
      </c>
      <c r="K1966" s="35" t="s">
        <v>1924</v>
      </c>
      <c r="L1966" s="36">
        <f>IFERROR(INDEX([3]ESE!$AD$22:$BD$453,MATCH($B1966,[3]ESE!$AD$22:$AD$453,0),23),"NA")</f>
        <v>3600000</v>
      </c>
      <c r="M1966" s="36"/>
      <c r="N1966" s="36">
        <f t="shared" si="135"/>
        <v>3600000</v>
      </c>
      <c r="O1966" s="36">
        <f t="shared" si="136"/>
        <v>0</v>
      </c>
      <c r="P1966" s="60">
        <f t="shared" si="137"/>
        <v>3600000</v>
      </c>
    </row>
    <row r="1967" spans="2:16">
      <c r="B1967" s="19" t="s">
        <v>2134</v>
      </c>
      <c r="C1967" s="61" t="s">
        <v>3</v>
      </c>
      <c r="D1967" s="20" t="s">
        <v>2104</v>
      </c>
      <c r="E1967" s="32" t="s">
        <v>205</v>
      </c>
      <c r="F1967" s="20" t="str">
        <f t="shared" si="128"/>
        <v>Block 33</v>
      </c>
      <c r="G1967" s="20" t="str">
        <f t="shared" si="127"/>
        <v>Lot 05</v>
      </c>
      <c r="H1967" s="40">
        <v>55</v>
      </c>
      <c r="I1967" s="41">
        <v>80</v>
      </c>
      <c r="J1967" s="19" t="s">
        <v>1917</v>
      </c>
      <c r="K1967" s="35" t="s">
        <v>1926</v>
      </c>
      <c r="L1967" s="36">
        <f>IFERROR(INDEX([3]ESE!$AD$22:$BD$453,MATCH($B1967,[3]ESE!$AD$22:$AD$453,0),23),"NA")</f>
        <v>3600000</v>
      </c>
      <c r="M1967" s="36"/>
      <c r="N1967" s="36">
        <f t="shared" si="135"/>
        <v>3600000</v>
      </c>
      <c r="O1967" s="36">
        <f t="shared" si="136"/>
        <v>0</v>
      </c>
      <c r="P1967" s="60">
        <f t="shared" si="137"/>
        <v>3600000</v>
      </c>
    </row>
    <row r="1968" spans="2:16">
      <c r="B1968" s="19" t="s">
        <v>2135</v>
      </c>
      <c r="C1968" s="61" t="s">
        <v>3</v>
      </c>
      <c r="D1968" s="20" t="s">
        <v>980</v>
      </c>
      <c r="E1968" s="32" t="s">
        <v>233</v>
      </c>
      <c r="F1968" s="20" t="str">
        <f t="shared" si="128"/>
        <v>Block 33</v>
      </c>
      <c r="G1968" s="20" t="str">
        <f t="shared" si="127"/>
        <v>Lot 06</v>
      </c>
      <c r="H1968" s="40" t="s">
        <v>99</v>
      </c>
      <c r="I1968" s="41">
        <v>100</v>
      </c>
      <c r="J1968" s="20" t="s">
        <v>100</v>
      </c>
      <c r="K1968" s="35" t="s">
        <v>982</v>
      </c>
      <c r="L1968" s="36">
        <f>IFERROR(INDEX([3]ESE!$AD$22:$BD$453,MATCH($B1968,[3]ESE!$AD$22:$AD$453,0),23),"NA")</f>
        <v>1800000</v>
      </c>
      <c r="M1968" s="36"/>
      <c r="N1968" s="36">
        <f>L1968-M1968</f>
        <v>1800000</v>
      </c>
      <c r="O1968" s="36">
        <f>L1968*12/112</f>
        <v>192857.14285714287</v>
      </c>
      <c r="P1968" s="60">
        <f>N1968-O1968</f>
        <v>1607142.857142857</v>
      </c>
    </row>
    <row r="1969" spans="2:16">
      <c r="B1969" s="19" t="s">
        <v>2136</v>
      </c>
      <c r="C1969" s="61" t="s">
        <v>3</v>
      </c>
      <c r="D1969" s="20" t="s">
        <v>2104</v>
      </c>
      <c r="E1969" s="32" t="s">
        <v>205</v>
      </c>
      <c r="F1969" s="20" t="str">
        <f t="shared" si="128"/>
        <v>Block 33</v>
      </c>
      <c r="G1969" s="20" t="str">
        <f t="shared" si="127"/>
        <v>Lot 07</v>
      </c>
      <c r="H1969" s="40">
        <v>55</v>
      </c>
      <c r="I1969" s="41">
        <v>100</v>
      </c>
      <c r="J1969" s="19" t="s">
        <v>1917</v>
      </c>
      <c r="K1969" s="35" t="s">
        <v>1926</v>
      </c>
      <c r="L1969" s="36">
        <f>IFERROR(INDEX([3]ESE!$AD$22:$BD$453,MATCH($B1969,[3]ESE!$AD$22:$AD$453,0),23),"NA")</f>
        <v>3900000</v>
      </c>
      <c r="M1969" s="36"/>
      <c r="N1969" s="36">
        <f t="shared" ref="N1969:N1972" si="138">L1969-M1969</f>
        <v>3900000</v>
      </c>
      <c r="O1969" s="36">
        <f t="shared" ref="O1969:O1972" si="139">IF(N1969&lt;=3600000,0,N1969*12%)</f>
        <v>468000</v>
      </c>
      <c r="P1969" s="60">
        <f t="shared" ref="P1969:P1972" si="140">N1969-O1969</f>
        <v>3432000</v>
      </c>
    </row>
    <row r="1970" spans="2:16">
      <c r="B1970" s="19" t="s">
        <v>2137</v>
      </c>
      <c r="C1970" s="61" t="s">
        <v>3</v>
      </c>
      <c r="D1970" s="20" t="s">
        <v>2104</v>
      </c>
      <c r="E1970" s="32" t="s">
        <v>205</v>
      </c>
      <c r="F1970" s="20" t="str">
        <f t="shared" si="128"/>
        <v>Block 33</v>
      </c>
      <c r="G1970" s="20" t="str">
        <f t="shared" si="127"/>
        <v>Lot 10</v>
      </c>
      <c r="H1970" s="40">
        <v>55</v>
      </c>
      <c r="I1970" s="41">
        <v>80</v>
      </c>
      <c r="J1970" s="19" t="s">
        <v>1917</v>
      </c>
      <c r="K1970" s="35" t="s">
        <v>1924</v>
      </c>
      <c r="L1970" s="36">
        <f>IFERROR(INDEX([3]ESE!$AD$22:$BD$453,MATCH($B1970,[3]ESE!$AD$22:$AD$453,0),23),"NA")</f>
        <v>3600000</v>
      </c>
      <c r="M1970" s="36"/>
      <c r="N1970" s="36">
        <f t="shared" si="138"/>
        <v>3600000</v>
      </c>
      <c r="O1970" s="36">
        <f t="shared" si="139"/>
        <v>0</v>
      </c>
      <c r="P1970" s="60">
        <f t="shared" si="140"/>
        <v>3600000</v>
      </c>
    </row>
    <row r="1971" spans="2:16">
      <c r="B1971" s="19" t="s">
        <v>2138</v>
      </c>
      <c r="C1971" s="61" t="s">
        <v>3</v>
      </c>
      <c r="D1971" s="20" t="s">
        <v>2104</v>
      </c>
      <c r="E1971" s="32" t="s">
        <v>205</v>
      </c>
      <c r="F1971" s="20" t="str">
        <f t="shared" si="128"/>
        <v>Block 33</v>
      </c>
      <c r="G1971" s="20" t="str">
        <f t="shared" si="127"/>
        <v>Lot 11</v>
      </c>
      <c r="H1971" s="40">
        <v>55</v>
      </c>
      <c r="I1971" s="41">
        <v>80</v>
      </c>
      <c r="J1971" s="19" t="s">
        <v>1917</v>
      </c>
      <c r="K1971" s="35" t="s">
        <v>1924</v>
      </c>
      <c r="L1971" s="36">
        <f>IFERROR(INDEX([3]ESE!$AD$22:$BD$453,MATCH($B1971,[3]ESE!$AD$22:$AD$453,0),23),"NA")</f>
        <v>3600000</v>
      </c>
      <c r="M1971" s="36"/>
      <c r="N1971" s="36">
        <f t="shared" si="138"/>
        <v>3600000</v>
      </c>
      <c r="O1971" s="36">
        <f t="shared" si="139"/>
        <v>0</v>
      </c>
      <c r="P1971" s="60">
        <f t="shared" si="140"/>
        <v>3600000</v>
      </c>
    </row>
    <row r="1972" spans="2:16">
      <c r="B1972" s="19" t="s">
        <v>2139</v>
      </c>
      <c r="C1972" s="61" t="s">
        <v>3</v>
      </c>
      <c r="D1972" s="20" t="s">
        <v>2104</v>
      </c>
      <c r="E1972" s="32" t="s">
        <v>205</v>
      </c>
      <c r="F1972" s="20" t="str">
        <f t="shared" si="128"/>
        <v>Block 33</v>
      </c>
      <c r="G1972" s="20" t="str">
        <f t="shared" si="127"/>
        <v>Lot 12</v>
      </c>
      <c r="H1972" s="40">
        <v>55</v>
      </c>
      <c r="I1972" s="41">
        <v>100</v>
      </c>
      <c r="J1972" s="19" t="s">
        <v>1917</v>
      </c>
      <c r="K1972" s="35" t="s">
        <v>1926</v>
      </c>
      <c r="L1972" s="36">
        <f>IFERROR(INDEX([3]ESE!$AD$22:$BD$453,MATCH($B1972,[3]ESE!$AD$22:$AD$453,0),23),"NA")</f>
        <v>3900000</v>
      </c>
      <c r="M1972" s="36"/>
      <c r="N1972" s="36">
        <f t="shared" si="138"/>
        <v>3900000</v>
      </c>
      <c r="O1972" s="36">
        <f t="shared" si="139"/>
        <v>468000</v>
      </c>
      <c r="P1972" s="60">
        <f t="shared" si="140"/>
        <v>3432000</v>
      </c>
    </row>
    <row r="1973" spans="2:16">
      <c r="B1973" s="19" t="s">
        <v>2140</v>
      </c>
      <c r="C1973" s="61" t="s">
        <v>3</v>
      </c>
      <c r="D1973" s="20" t="s">
        <v>980</v>
      </c>
      <c r="E1973" s="32" t="s">
        <v>233</v>
      </c>
      <c r="F1973" s="20" t="str">
        <f t="shared" si="128"/>
        <v>Block 33</v>
      </c>
      <c r="G1973" s="20" t="str">
        <f t="shared" si="127"/>
        <v>Lot 13</v>
      </c>
      <c r="H1973" s="40" t="s">
        <v>99</v>
      </c>
      <c r="I1973" s="41">
        <v>100</v>
      </c>
      <c r="J1973" s="20" t="s">
        <v>100</v>
      </c>
      <c r="K1973" s="35" t="s">
        <v>982</v>
      </c>
      <c r="L1973" s="36">
        <f>IFERROR(INDEX([3]ESE!$AD$22:$BD$453,MATCH($B1973,[3]ESE!$AD$22:$AD$453,0),23),"NA")</f>
        <v>1800000</v>
      </c>
      <c r="M1973" s="36"/>
      <c r="N1973" s="36">
        <f>L1973-M1973</f>
        <v>1800000</v>
      </c>
      <c r="O1973" s="36">
        <f>L1973*12/112</f>
        <v>192857.14285714287</v>
      </c>
      <c r="P1973" s="60">
        <f>N1973-O1973</f>
        <v>1607142.857142857</v>
      </c>
    </row>
    <row r="1974" spans="2:16">
      <c r="B1974" s="19" t="s">
        <v>2141</v>
      </c>
      <c r="C1974" s="61" t="s">
        <v>3</v>
      </c>
      <c r="D1974" s="20" t="s">
        <v>2104</v>
      </c>
      <c r="E1974" s="32" t="s">
        <v>205</v>
      </c>
      <c r="F1974" s="20" t="str">
        <f t="shared" si="128"/>
        <v>Block 33</v>
      </c>
      <c r="G1974" s="20" t="str">
        <f t="shared" si="127"/>
        <v>Lot 16</v>
      </c>
      <c r="H1974" s="40">
        <v>55</v>
      </c>
      <c r="I1974" s="41">
        <v>80</v>
      </c>
      <c r="J1974" s="19" t="s">
        <v>1917</v>
      </c>
      <c r="K1974" s="35" t="s">
        <v>1920</v>
      </c>
      <c r="L1974" s="36">
        <f>IFERROR(INDEX([3]ESE!$AD$22:$BD$453,MATCH($B1974,[3]ESE!$AD$22:$AD$453,0),23),"NA")</f>
        <v>3600000</v>
      </c>
      <c r="M1974" s="36"/>
      <c r="N1974" s="36">
        <f t="shared" ref="N1974:N1981" si="141">L1974-M1974</f>
        <v>3600000</v>
      </c>
      <c r="O1974" s="36">
        <f t="shared" ref="O1974:O1981" si="142">IF(N1974&lt;=3600000,0,N1974*12%)</f>
        <v>0</v>
      </c>
      <c r="P1974" s="60">
        <f t="shared" ref="P1974:P1981" si="143">N1974-O1974</f>
        <v>3600000</v>
      </c>
    </row>
    <row r="1975" spans="2:16">
      <c r="B1975" s="19" t="s">
        <v>2142</v>
      </c>
      <c r="C1975" s="61" t="s">
        <v>3</v>
      </c>
      <c r="D1975" s="20" t="s">
        <v>2104</v>
      </c>
      <c r="E1975" s="32" t="s">
        <v>205</v>
      </c>
      <c r="F1975" s="20" t="str">
        <f t="shared" si="128"/>
        <v>Block 33</v>
      </c>
      <c r="G1975" s="20" t="str">
        <f t="shared" si="127"/>
        <v>Lot 17</v>
      </c>
      <c r="H1975" s="40">
        <v>55</v>
      </c>
      <c r="I1975" s="41">
        <v>80</v>
      </c>
      <c r="J1975" s="19" t="s">
        <v>1917</v>
      </c>
      <c r="K1975" s="35" t="s">
        <v>1918</v>
      </c>
      <c r="L1975" s="36">
        <f>IFERROR(INDEX([3]ESE!$AD$22:$BD$453,MATCH($B1975,[3]ESE!$AD$22:$AD$453,0),23),"NA")</f>
        <v>3600000</v>
      </c>
      <c r="M1975" s="36"/>
      <c r="N1975" s="36">
        <f t="shared" si="141"/>
        <v>3600000</v>
      </c>
      <c r="O1975" s="36">
        <f t="shared" si="142"/>
        <v>0</v>
      </c>
      <c r="P1975" s="60">
        <f t="shared" si="143"/>
        <v>3600000</v>
      </c>
    </row>
    <row r="1976" spans="2:16">
      <c r="B1976" s="19" t="s">
        <v>2143</v>
      </c>
      <c r="C1976" s="61" t="s">
        <v>3</v>
      </c>
      <c r="D1976" s="20" t="s">
        <v>2104</v>
      </c>
      <c r="E1976" s="32" t="s">
        <v>205</v>
      </c>
      <c r="F1976" s="20" t="str">
        <f t="shared" si="128"/>
        <v>Block 33</v>
      </c>
      <c r="G1976" s="20" t="str">
        <f t="shared" si="127"/>
        <v>Lot 18</v>
      </c>
      <c r="H1976" s="40">
        <v>55</v>
      </c>
      <c r="I1976" s="41">
        <v>100</v>
      </c>
      <c r="J1976" s="19" t="s">
        <v>1917</v>
      </c>
      <c r="K1976" s="35" t="s">
        <v>1918</v>
      </c>
      <c r="L1976" s="36">
        <f>IFERROR(INDEX([3]ESE!$AD$22:$BD$453,MATCH($B1976,[3]ESE!$AD$22:$AD$453,0),23),"NA")</f>
        <v>3900000</v>
      </c>
      <c r="M1976" s="36"/>
      <c r="N1976" s="36">
        <f t="shared" si="141"/>
        <v>3900000</v>
      </c>
      <c r="O1976" s="36">
        <f t="shared" si="142"/>
        <v>468000</v>
      </c>
      <c r="P1976" s="60">
        <f t="shared" si="143"/>
        <v>3432000</v>
      </c>
    </row>
    <row r="1977" spans="2:16">
      <c r="B1977" s="19" t="s">
        <v>2144</v>
      </c>
      <c r="C1977" s="61" t="s">
        <v>3</v>
      </c>
      <c r="D1977" s="20" t="s">
        <v>2104</v>
      </c>
      <c r="E1977" s="32" t="s">
        <v>205</v>
      </c>
      <c r="F1977" s="20" t="str">
        <f t="shared" si="128"/>
        <v>Block 33</v>
      </c>
      <c r="G1977" s="20" t="str">
        <f t="shared" si="127"/>
        <v>Lot 20</v>
      </c>
      <c r="H1977" s="40">
        <v>55</v>
      </c>
      <c r="I1977" s="41">
        <v>80</v>
      </c>
      <c r="J1977" s="19" t="s">
        <v>1917</v>
      </c>
      <c r="K1977" s="35" t="s">
        <v>1920</v>
      </c>
      <c r="L1977" s="36">
        <f>IFERROR(INDEX([3]ESE!$AD$22:$BD$453,MATCH($B1977,[3]ESE!$AD$22:$AD$453,0),23),"NA")</f>
        <v>3600000</v>
      </c>
      <c r="M1977" s="36"/>
      <c r="N1977" s="36">
        <f t="shared" si="141"/>
        <v>3600000</v>
      </c>
      <c r="O1977" s="36">
        <f t="shared" si="142"/>
        <v>0</v>
      </c>
      <c r="P1977" s="60">
        <f t="shared" si="143"/>
        <v>3600000</v>
      </c>
    </row>
    <row r="1978" spans="2:16">
      <c r="B1978" s="19" t="s">
        <v>2145</v>
      </c>
      <c r="C1978" s="61" t="s">
        <v>3</v>
      </c>
      <c r="D1978" s="20" t="s">
        <v>2104</v>
      </c>
      <c r="E1978" s="32" t="s">
        <v>205</v>
      </c>
      <c r="F1978" s="20" t="str">
        <f t="shared" si="128"/>
        <v>Block 34</v>
      </c>
      <c r="G1978" s="20" t="str">
        <f t="shared" si="127"/>
        <v>Lot 01</v>
      </c>
      <c r="H1978" s="40">
        <v>55</v>
      </c>
      <c r="I1978" s="41">
        <v>80</v>
      </c>
      <c r="J1978" s="19" t="s">
        <v>1917</v>
      </c>
      <c r="K1978" s="35" t="s">
        <v>1924</v>
      </c>
      <c r="L1978" s="36">
        <f>IFERROR(INDEX([3]ESE!$AD$22:$BD$453,MATCH($B1978,[3]ESE!$AD$22:$AD$453,0),23),"NA")</f>
        <v>3600000</v>
      </c>
      <c r="M1978" s="36"/>
      <c r="N1978" s="36">
        <f t="shared" si="141"/>
        <v>3600000</v>
      </c>
      <c r="O1978" s="36">
        <f t="shared" si="142"/>
        <v>0</v>
      </c>
      <c r="P1978" s="60">
        <f t="shared" si="143"/>
        <v>3600000</v>
      </c>
    </row>
    <row r="1979" spans="2:16">
      <c r="B1979" s="19" t="s">
        <v>2146</v>
      </c>
      <c r="C1979" s="61" t="s">
        <v>3</v>
      </c>
      <c r="D1979" s="20" t="s">
        <v>2104</v>
      </c>
      <c r="E1979" s="32" t="s">
        <v>205</v>
      </c>
      <c r="F1979" s="20" t="str">
        <f t="shared" si="128"/>
        <v>Block 34</v>
      </c>
      <c r="G1979" s="20" t="str">
        <f t="shared" si="127"/>
        <v>Lot 02</v>
      </c>
      <c r="H1979" s="40">
        <v>55</v>
      </c>
      <c r="I1979" s="41">
        <v>100</v>
      </c>
      <c r="J1979" s="19" t="s">
        <v>1917</v>
      </c>
      <c r="K1979" s="35" t="s">
        <v>1926</v>
      </c>
      <c r="L1979" s="36">
        <f>IFERROR(INDEX([3]ESE!$AD$22:$BD$453,MATCH($B1979,[3]ESE!$AD$22:$AD$453,0),23),"NA")</f>
        <v>3900000</v>
      </c>
      <c r="M1979" s="36"/>
      <c r="N1979" s="36">
        <f t="shared" si="141"/>
        <v>3900000</v>
      </c>
      <c r="O1979" s="36">
        <f t="shared" si="142"/>
        <v>468000</v>
      </c>
      <c r="P1979" s="60">
        <f t="shared" si="143"/>
        <v>3432000</v>
      </c>
    </row>
    <row r="1980" spans="2:16">
      <c r="B1980" s="19" t="s">
        <v>2147</v>
      </c>
      <c r="C1980" s="61" t="s">
        <v>3</v>
      </c>
      <c r="D1980" s="20" t="s">
        <v>2104</v>
      </c>
      <c r="E1980" s="32" t="s">
        <v>205</v>
      </c>
      <c r="F1980" s="20" t="str">
        <f t="shared" si="128"/>
        <v>Block 34</v>
      </c>
      <c r="G1980" s="20" t="str">
        <f t="shared" si="127"/>
        <v>Lot 04</v>
      </c>
      <c r="H1980" s="40">
        <v>55</v>
      </c>
      <c r="I1980" s="41">
        <v>80</v>
      </c>
      <c r="J1980" s="19" t="s">
        <v>1917</v>
      </c>
      <c r="K1980" s="35" t="s">
        <v>1920</v>
      </c>
      <c r="L1980" s="36">
        <f>IFERROR(INDEX([3]ESE!$AD$22:$BD$453,MATCH($B1980,[3]ESE!$AD$22:$AD$453,0),23),"NA")</f>
        <v>3600000</v>
      </c>
      <c r="M1980" s="36"/>
      <c r="N1980" s="36">
        <f t="shared" si="141"/>
        <v>3600000</v>
      </c>
      <c r="O1980" s="36">
        <f t="shared" si="142"/>
        <v>0</v>
      </c>
      <c r="P1980" s="60">
        <f t="shared" si="143"/>
        <v>3600000</v>
      </c>
    </row>
    <row r="1981" spans="2:16">
      <c r="B1981" s="19" t="s">
        <v>2148</v>
      </c>
      <c r="C1981" s="61" t="s">
        <v>3</v>
      </c>
      <c r="D1981" s="20" t="s">
        <v>2104</v>
      </c>
      <c r="E1981" s="32" t="s">
        <v>243</v>
      </c>
      <c r="F1981" s="20" t="str">
        <f t="shared" si="128"/>
        <v>Block 34</v>
      </c>
      <c r="G1981" s="20" t="str">
        <f t="shared" si="127"/>
        <v>Lot 05</v>
      </c>
      <c r="H1981" s="40">
        <v>55</v>
      </c>
      <c r="I1981" s="41">
        <v>80</v>
      </c>
      <c r="J1981" s="19" t="s">
        <v>1917</v>
      </c>
      <c r="K1981" s="35" t="s">
        <v>1918</v>
      </c>
      <c r="L1981" s="36">
        <f>IFERROR(INDEX([3]ESE!$AD$22:$BD$453,MATCH($B1981,[3]ESE!$AD$22:$AD$453,0),23),"NA")</f>
        <v>3600000</v>
      </c>
      <c r="M1981" s="36"/>
      <c r="N1981" s="36">
        <f t="shared" si="141"/>
        <v>3600000</v>
      </c>
      <c r="O1981" s="36">
        <f t="shared" si="142"/>
        <v>0</v>
      </c>
      <c r="P1981" s="60">
        <f t="shared" si="143"/>
        <v>3600000</v>
      </c>
    </row>
    <row r="1982" spans="2:16">
      <c r="B1982" s="19" t="s">
        <v>2149</v>
      </c>
      <c r="C1982" s="61" t="s">
        <v>3</v>
      </c>
      <c r="D1982" s="20" t="s">
        <v>980</v>
      </c>
      <c r="E1982" s="32" t="s">
        <v>233</v>
      </c>
      <c r="F1982" s="20" t="str">
        <f t="shared" si="128"/>
        <v>Block 34</v>
      </c>
      <c r="G1982" s="20" t="str">
        <f t="shared" si="127"/>
        <v>Lot 06</v>
      </c>
      <c r="H1982" s="40" t="s">
        <v>99</v>
      </c>
      <c r="I1982" s="41">
        <v>100</v>
      </c>
      <c r="J1982" s="20" t="s">
        <v>100</v>
      </c>
      <c r="K1982" s="35" t="s">
        <v>982</v>
      </c>
      <c r="L1982" s="36">
        <f>IFERROR(INDEX([3]ESE!$AD$22:$BD$453,MATCH($B1982,[3]ESE!$AD$22:$AD$453,0),23),"NA")</f>
        <v>1800000</v>
      </c>
      <c r="M1982" s="36"/>
      <c r="N1982" s="36">
        <f>L1982-M1982</f>
        <v>1800000</v>
      </c>
      <c r="O1982" s="36">
        <f>L1982*12/112</f>
        <v>192857.14285714287</v>
      </c>
      <c r="P1982" s="60">
        <f>N1982-O1982</f>
        <v>1607142.857142857</v>
      </c>
    </row>
    <row r="1983" spans="2:16">
      <c r="B1983" s="19" t="s">
        <v>2150</v>
      </c>
      <c r="C1983" s="61" t="s">
        <v>3</v>
      </c>
      <c r="D1983" s="20" t="s">
        <v>2104</v>
      </c>
      <c r="E1983" s="32" t="s">
        <v>243</v>
      </c>
      <c r="F1983" s="20" t="str">
        <f t="shared" si="128"/>
        <v>Block 34</v>
      </c>
      <c r="G1983" s="20" t="str">
        <f t="shared" si="127"/>
        <v>Lot 07</v>
      </c>
      <c r="H1983" s="40">
        <v>55</v>
      </c>
      <c r="I1983" s="41">
        <v>100</v>
      </c>
      <c r="J1983" s="19" t="s">
        <v>1917</v>
      </c>
      <c r="K1983" s="35" t="s">
        <v>1918</v>
      </c>
      <c r="L1983" s="36">
        <f>IFERROR(INDEX([3]ESE!$AD$22:$BD$453,MATCH($B1983,[3]ESE!$AD$22:$AD$453,0),23),"NA")</f>
        <v>3900000</v>
      </c>
      <c r="M1983" s="36"/>
      <c r="N1983" s="36">
        <f t="shared" ref="N1983:N1986" si="144">L1983-M1983</f>
        <v>3900000</v>
      </c>
      <c r="O1983" s="36">
        <f t="shared" ref="O1983:O1986" si="145">IF(N1983&lt;=3600000,0,N1983*12%)</f>
        <v>468000</v>
      </c>
      <c r="P1983" s="60">
        <f t="shared" ref="P1983:P1986" si="146">N1983-O1983</f>
        <v>3432000</v>
      </c>
    </row>
    <row r="1984" spans="2:16">
      <c r="B1984" s="19" t="s">
        <v>2151</v>
      </c>
      <c r="C1984" s="61" t="s">
        <v>3</v>
      </c>
      <c r="D1984" s="20" t="s">
        <v>2104</v>
      </c>
      <c r="E1984" s="32" t="s">
        <v>205</v>
      </c>
      <c r="F1984" s="20" t="str">
        <f t="shared" si="128"/>
        <v>Block 34</v>
      </c>
      <c r="G1984" s="20" t="str">
        <f t="shared" si="127"/>
        <v>Lot 10</v>
      </c>
      <c r="H1984" s="40">
        <v>55</v>
      </c>
      <c r="I1984" s="41">
        <v>80</v>
      </c>
      <c r="J1984" s="19" t="s">
        <v>1917</v>
      </c>
      <c r="K1984" s="35" t="s">
        <v>1920</v>
      </c>
      <c r="L1984" s="36">
        <f>IFERROR(INDEX([3]ESE!$AD$22:$BD$453,MATCH($B1984,[3]ESE!$AD$22:$AD$453,0),23),"NA")</f>
        <v>3600000</v>
      </c>
      <c r="M1984" s="36"/>
      <c r="N1984" s="36">
        <f t="shared" si="144"/>
        <v>3600000</v>
      </c>
      <c r="O1984" s="36">
        <f t="shared" si="145"/>
        <v>0</v>
      </c>
      <c r="P1984" s="60">
        <f t="shared" si="146"/>
        <v>3600000</v>
      </c>
    </row>
    <row r="1985" spans="2:16">
      <c r="B1985" s="19" t="s">
        <v>2152</v>
      </c>
      <c r="C1985" s="61" t="s">
        <v>3</v>
      </c>
      <c r="D1985" s="20" t="s">
        <v>2104</v>
      </c>
      <c r="E1985" s="32" t="s">
        <v>205</v>
      </c>
      <c r="F1985" s="20" t="str">
        <f t="shared" si="128"/>
        <v>Block 34</v>
      </c>
      <c r="G1985" s="20" t="str">
        <f t="shared" si="127"/>
        <v>Lot 11</v>
      </c>
      <c r="H1985" s="40">
        <v>55</v>
      </c>
      <c r="I1985" s="41">
        <v>80</v>
      </c>
      <c r="J1985" s="19" t="s">
        <v>1917</v>
      </c>
      <c r="K1985" s="35" t="s">
        <v>1920</v>
      </c>
      <c r="L1985" s="36">
        <f>IFERROR(INDEX([3]ESE!$AD$22:$BD$453,MATCH($B1985,[3]ESE!$AD$22:$AD$453,0),23),"NA")</f>
        <v>3600000</v>
      </c>
      <c r="M1985" s="36"/>
      <c r="N1985" s="36">
        <f t="shared" si="144"/>
        <v>3600000</v>
      </c>
      <c r="O1985" s="36">
        <f t="shared" si="145"/>
        <v>0</v>
      </c>
      <c r="P1985" s="60">
        <f t="shared" si="146"/>
        <v>3600000</v>
      </c>
    </row>
    <row r="1986" spans="2:16">
      <c r="B1986" s="19" t="s">
        <v>2153</v>
      </c>
      <c r="C1986" s="61" t="s">
        <v>3</v>
      </c>
      <c r="D1986" s="20" t="s">
        <v>2104</v>
      </c>
      <c r="E1986" s="32" t="s">
        <v>205</v>
      </c>
      <c r="F1986" s="20" t="str">
        <f t="shared" si="128"/>
        <v>Block 34</v>
      </c>
      <c r="G1986" s="20" t="str">
        <f t="shared" si="127"/>
        <v>Lot 12</v>
      </c>
      <c r="H1986" s="40">
        <v>55</v>
      </c>
      <c r="I1986" s="41">
        <v>100</v>
      </c>
      <c r="J1986" s="19" t="s">
        <v>1917</v>
      </c>
      <c r="K1986" s="35" t="s">
        <v>1918</v>
      </c>
      <c r="L1986" s="36">
        <f>IFERROR(INDEX([3]ESE!$AD$22:$BD$453,MATCH($B1986,[3]ESE!$AD$22:$AD$453,0),23),"NA")</f>
        <v>3900000</v>
      </c>
      <c r="M1986" s="36"/>
      <c r="N1986" s="36">
        <f t="shared" si="144"/>
        <v>3900000</v>
      </c>
      <c r="O1986" s="36">
        <f t="shared" si="145"/>
        <v>468000</v>
      </c>
      <c r="P1986" s="60">
        <f t="shared" si="146"/>
        <v>3432000</v>
      </c>
    </row>
    <row r="1987" spans="2:16">
      <c r="B1987" s="19" t="s">
        <v>2154</v>
      </c>
      <c r="C1987" s="61" t="s">
        <v>3</v>
      </c>
      <c r="D1987" s="20" t="s">
        <v>980</v>
      </c>
      <c r="E1987" s="32" t="s">
        <v>233</v>
      </c>
      <c r="F1987" s="20" t="str">
        <f t="shared" si="128"/>
        <v>Block 34</v>
      </c>
      <c r="G1987" s="20" t="str">
        <f t="shared" si="127"/>
        <v>Lot 13</v>
      </c>
      <c r="H1987" s="40" t="s">
        <v>99</v>
      </c>
      <c r="I1987" s="41">
        <v>100</v>
      </c>
      <c r="J1987" s="20" t="s">
        <v>100</v>
      </c>
      <c r="K1987" s="35" t="s">
        <v>982</v>
      </c>
      <c r="L1987" s="36">
        <f>IFERROR(INDEX([3]ESE!$AD$22:$BD$453,MATCH($B1987,[3]ESE!$AD$22:$AD$453,0),23),"NA")</f>
        <v>1800000</v>
      </c>
      <c r="M1987" s="36"/>
      <c r="N1987" s="36">
        <f>L1987-M1987</f>
        <v>1800000</v>
      </c>
      <c r="O1987" s="36">
        <f>L1987*12/112</f>
        <v>192857.14285714287</v>
      </c>
      <c r="P1987" s="60">
        <f>N1987-O1987</f>
        <v>1607142.857142857</v>
      </c>
    </row>
    <row r="1988" spans="2:16">
      <c r="B1988" s="19" t="s">
        <v>2155</v>
      </c>
      <c r="C1988" s="61" t="s">
        <v>3</v>
      </c>
      <c r="D1988" s="20" t="s">
        <v>2104</v>
      </c>
      <c r="E1988" s="32" t="s">
        <v>205</v>
      </c>
      <c r="F1988" s="20" t="str">
        <f t="shared" si="128"/>
        <v>Block 34</v>
      </c>
      <c r="G1988" s="20" t="str">
        <f t="shared" si="127"/>
        <v>Lot 16</v>
      </c>
      <c r="H1988" s="40">
        <v>55</v>
      </c>
      <c r="I1988" s="41">
        <v>80</v>
      </c>
      <c r="J1988" s="19" t="s">
        <v>1917</v>
      </c>
      <c r="K1988" s="35" t="s">
        <v>1924</v>
      </c>
      <c r="L1988" s="36">
        <f>IFERROR(INDEX([3]ESE!$AD$22:$BD$453,MATCH($B1988,[3]ESE!$AD$22:$AD$453,0),23),"NA")</f>
        <v>3600000</v>
      </c>
      <c r="M1988" s="36"/>
      <c r="N1988" s="36">
        <f t="shared" ref="N1988:N1995" si="147">L1988-M1988</f>
        <v>3600000</v>
      </c>
      <c r="O1988" s="36">
        <f t="shared" ref="O1988:O1995" si="148">IF(N1988&lt;=3600000,0,N1988*12%)</f>
        <v>0</v>
      </c>
      <c r="P1988" s="60">
        <f t="shared" ref="P1988:P1995" si="149">N1988-O1988</f>
        <v>3600000</v>
      </c>
    </row>
    <row r="1989" spans="2:16">
      <c r="B1989" s="19" t="s">
        <v>2156</v>
      </c>
      <c r="C1989" s="61" t="s">
        <v>3</v>
      </c>
      <c r="D1989" s="20" t="s">
        <v>2104</v>
      </c>
      <c r="E1989" s="32" t="s">
        <v>243</v>
      </c>
      <c r="F1989" s="20" t="str">
        <f t="shared" si="128"/>
        <v>Block 34</v>
      </c>
      <c r="G1989" s="20" t="str">
        <f t="shared" si="127"/>
        <v>Lot 17</v>
      </c>
      <c r="H1989" s="40">
        <v>55</v>
      </c>
      <c r="I1989" s="41">
        <v>80</v>
      </c>
      <c r="J1989" s="19" t="s">
        <v>1917</v>
      </c>
      <c r="K1989" s="35" t="s">
        <v>1926</v>
      </c>
      <c r="L1989" s="36">
        <f>IFERROR(INDEX([3]ESE!$AD$22:$BD$453,MATCH($B1989,[3]ESE!$AD$22:$AD$453,0),23),"NA")</f>
        <v>3600000</v>
      </c>
      <c r="M1989" s="36"/>
      <c r="N1989" s="36">
        <f t="shared" si="147"/>
        <v>3600000</v>
      </c>
      <c r="O1989" s="36">
        <f t="shared" si="148"/>
        <v>0</v>
      </c>
      <c r="P1989" s="60">
        <f t="shared" si="149"/>
        <v>3600000</v>
      </c>
    </row>
    <row r="1990" spans="2:16">
      <c r="B1990" s="19" t="s">
        <v>2157</v>
      </c>
      <c r="C1990" s="61" t="s">
        <v>3</v>
      </c>
      <c r="D1990" s="20" t="s">
        <v>2104</v>
      </c>
      <c r="E1990" s="32" t="s">
        <v>205</v>
      </c>
      <c r="F1990" s="20" t="str">
        <f t="shared" si="128"/>
        <v>Block 34</v>
      </c>
      <c r="G1990" s="20" t="str">
        <f t="shared" si="127"/>
        <v>Lot 18</v>
      </c>
      <c r="H1990" s="40">
        <v>55</v>
      </c>
      <c r="I1990" s="41">
        <v>100</v>
      </c>
      <c r="J1990" s="19" t="s">
        <v>1917</v>
      </c>
      <c r="K1990" s="35" t="s">
        <v>1926</v>
      </c>
      <c r="L1990" s="36">
        <f>IFERROR(INDEX([3]ESE!$AD$22:$BD$453,MATCH($B1990,[3]ESE!$AD$22:$AD$453,0),23),"NA")</f>
        <v>3900000</v>
      </c>
      <c r="M1990" s="36"/>
      <c r="N1990" s="36">
        <f t="shared" si="147"/>
        <v>3900000</v>
      </c>
      <c r="O1990" s="36">
        <f t="shared" si="148"/>
        <v>468000</v>
      </c>
      <c r="P1990" s="60">
        <f t="shared" si="149"/>
        <v>3432000</v>
      </c>
    </row>
    <row r="1991" spans="2:16">
      <c r="B1991" s="19" t="s">
        <v>2158</v>
      </c>
      <c r="C1991" s="61" t="s">
        <v>3</v>
      </c>
      <c r="D1991" s="20" t="s">
        <v>2104</v>
      </c>
      <c r="E1991" s="32" t="s">
        <v>205</v>
      </c>
      <c r="F1991" s="20" t="str">
        <f t="shared" si="128"/>
        <v>Block 34</v>
      </c>
      <c r="G1991" s="20" t="str">
        <f t="shared" si="127"/>
        <v>Lot 20</v>
      </c>
      <c r="H1991" s="40">
        <v>55</v>
      </c>
      <c r="I1991" s="41">
        <v>80</v>
      </c>
      <c r="J1991" s="19" t="s">
        <v>1917</v>
      </c>
      <c r="K1991" s="35" t="s">
        <v>1924</v>
      </c>
      <c r="L1991" s="36">
        <f>IFERROR(INDEX([3]ESE!$AD$22:$BD$453,MATCH($B1991,[3]ESE!$AD$22:$AD$453,0),23),"NA")</f>
        <v>3600000</v>
      </c>
      <c r="M1991" s="36"/>
      <c r="N1991" s="36">
        <f t="shared" si="147"/>
        <v>3600000</v>
      </c>
      <c r="O1991" s="36">
        <f t="shared" si="148"/>
        <v>0</v>
      </c>
      <c r="P1991" s="60">
        <f t="shared" si="149"/>
        <v>3600000</v>
      </c>
    </row>
    <row r="1992" spans="2:16">
      <c r="B1992" s="19" t="s">
        <v>2159</v>
      </c>
      <c r="C1992" s="61" t="s">
        <v>3</v>
      </c>
      <c r="D1992" s="20" t="s">
        <v>2104</v>
      </c>
      <c r="E1992" s="32" t="s">
        <v>243</v>
      </c>
      <c r="F1992" s="20" t="str">
        <f t="shared" si="128"/>
        <v>Block 35</v>
      </c>
      <c r="G1992" s="20" t="str">
        <f t="shared" si="127"/>
        <v>Lot 01</v>
      </c>
      <c r="H1992" s="40">
        <v>55</v>
      </c>
      <c r="I1992" s="41">
        <v>80</v>
      </c>
      <c r="J1992" s="19" t="s">
        <v>1917</v>
      </c>
      <c r="K1992" s="35" t="s">
        <v>1920</v>
      </c>
      <c r="L1992" s="36">
        <f>IFERROR(INDEX([3]ESE!$AD$22:$BD$453,MATCH($B1992,[3]ESE!$AD$22:$AD$453,0),23),"NA")</f>
        <v>3600000</v>
      </c>
      <c r="M1992" s="36"/>
      <c r="N1992" s="36">
        <f t="shared" si="147"/>
        <v>3600000</v>
      </c>
      <c r="O1992" s="36">
        <f t="shared" si="148"/>
        <v>0</v>
      </c>
      <c r="P1992" s="60">
        <f t="shared" si="149"/>
        <v>3600000</v>
      </c>
    </row>
    <row r="1993" spans="2:16">
      <c r="B1993" s="19" t="s">
        <v>2160</v>
      </c>
      <c r="C1993" s="61" t="s">
        <v>3</v>
      </c>
      <c r="D1993" s="20" t="s">
        <v>2104</v>
      </c>
      <c r="E1993" s="32" t="s">
        <v>205</v>
      </c>
      <c r="F1993" s="20" t="str">
        <f t="shared" si="128"/>
        <v>Block 35</v>
      </c>
      <c r="G1993" s="20" t="str">
        <f t="shared" si="127"/>
        <v>Lot 02</v>
      </c>
      <c r="H1993" s="40">
        <v>55</v>
      </c>
      <c r="I1993" s="41">
        <v>100</v>
      </c>
      <c r="J1993" s="19" t="s">
        <v>1917</v>
      </c>
      <c r="K1993" s="35" t="s">
        <v>1918</v>
      </c>
      <c r="L1993" s="36">
        <f>IFERROR(INDEX([3]ESE!$AD$22:$BD$453,MATCH($B1993,[3]ESE!$AD$22:$AD$453,0),23),"NA")</f>
        <v>3900000</v>
      </c>
      <c r="M1993" s="36"/>
      <c r="N1993" s="36">
        <f t="shared" si="147"/>
        <v>3900000</v>
      </c>
      <c r="O1993" s="36">
        <f t="shared" si="148"/>
        <v>468000</v>
      </c>
      <c r="P1993" s="60">
        <f t="shared" si="149"/>
        <v>3432000</v>
      </c>
    </row>
    <row r="1994" spans="2:16">
      <c r="B1994" s="19" t="s">
        <v>2161</v>
      </c>
      <c r="C1994" s="61" t="s">
        <v>3</v>
      </c>
      <c r="D1994" s="20" t="s">
        <v>2104</v>
      </c>
      <c r="E1994" s="32" t="s">
        <v>205</v>
      </c>
      <c r="F1994" s="20" t="str">
        <f t="shared" si="128"/>
        <v>Block 35</v>
      </c>
      <c r="G1994" s="20" t="str">
        <f t="shared" si="127"/>
        <v>Lot 04</v>
      </c>
      <c r="H1994" s="40">
        <v>55</v>
      </c>
      <c r="I1994" s="41">
        <v>80</v>
      </c>
      <c r="J1994" s="19" t="s">
        <v>1917</v>
      </c>
      <c r="K1994" s="35" t="s">
        <v>1924</v>
      </c>
      <c r="L1994" s="36">
        <f>IFERROR(INDEX([3]ESE!$AD$22:$BD$453,MATCH($B1994,[3]ESE!$AD$22:$AD$453,0),23),"NA")</f>
        <v>3600000</v>
      </c>
      <c r="M1994" s="36"/>
      <c r="N1994" s="36">
        <f t="shared" si="147"/>
        <v>3600000</v>
      </c>
      <c r="O1994" s="36">
        <f t="shared" si="148"/>
        <v>0</v>
      </c>
      <c r="P1994" s="60">
        <f t="shared" si="149"/>
        <v>3600000</v>
      </c>
    </row>
    <row r="1995" spans="2:16">
      <c r="B1995" s="19" t="s">
        <v>2162</v>
      </c>
      <c r="C1995" s="61" t="s">
        <v>3</v>
      </c>
      <c r="D1995" s="20" t="s">
        <v>2104</v>
      </c>
      <c r="E1995" s="32" t="s">
        <v>205</v>
      </c>
      <c r="F1995" s="20" t="str">
        <f t="shared" si="128"/>
        <v>Block 35</v>
      </c>
      <c r="G1995" s="20" t="str">
        <f t="shared" si="127"/>
        <v>Lot 05</v>
      </c>
      <c r="H1995" s="40">
        <v>55</v>
      </c>
      <c r="I1995" s="41">
        <v>80</v>
      </c>
      <c r="J1995" s="19" t="s">
        <v>1917</v>
      </c>
      <c r="K1995" s="35" t="s">
        <v>1926</v>
      </c>
      <c r="L1995" s="36">
        <f>IFERROR(INDEX([3]ESE!$AD$22:$BD$453,MATCH($B1995,[3]ESE!$AD$22:$AD$453,0),23),"NA")</f>
        <v>3600000</v>
      </c>
      <c r="M1995" s="36"/>
      <c r="N1995" s="36">
        <f t="shared" si="147"/>
        <v>3600000</v>
      </c>
      <c r="O1995" s="36">
        <f t="shared" si="148"/>
        <v>0</v>
      </c>
      <c r="P1995" s="60">
        <f t="shared" si="149"/>
        <v>3600000</v>
      </c>
    </row>
    <row r="1996" spans="2:16">
      <c r="B1996" s="19" t="s">
        <v>2163</v>
      </c>
      <c r="C1996" s="61" t="s">
        <v>3</v>
      </c>
      <c r="D1996" s="20" t="s">
        <v>980</v>
      </c>
      <c r="E1996" s="32" t="s">
        <v>233</v>
      </c>
      <c r="F1996" s="20" t="str">
        <f t="shared" si="128"/>
        <v>Block 35</v>
      </c>
      <c r="G1996" s="20" t="str">
        <f t="shared" si="127"/>
        <v>Lot 06</v>
      </c>
      <c r="H1996" s="40" t="s">
        <v>99</v>
      </c>
      <c r="I1996" s="41">
        <v>100</v>
      </c>
      <c r="J1996" s="20" t="s">
        <v>100</v>
      </c>
      <c r="K1996" s="35" t="s">
        <v>982</v>
      </c>
      <c r="L1996" s="36">
        <f>IFERROR(INDEX([3]ESE!$AD$22:$BD$453,MATCH($B1996,[3]ESE!$AD$22:$AD$453,0),23),"NA")</f>
        <v>1800000</v>
      </c>
      <c r="M1996" s="36"/>
      <c r="N1996" s="36">
        <f>L1996-M1996</f>
        <v>1800000</v>
      </c>
      <c r="O1996" s="36">
        <f>L1996*12/112</f>
        <v>192857.14285714287</v>
      </c>
      <c r="P1996" s="60">
        <f>N1996-O1996</f>
        <v>1607142.857142857</v>
      </c>
    </row>
    <row r="1997" spans="2:16">
      <c r="B1997" s="19" t="s">
        <v>2164</v>
      </c>
      <c r="C1997" s="61" t="s">
        <v>3</v>
      </c>
      <c r="D1997" s="20" t="s">
        <v>2104</v>
      </c>
      <c r="E1997" s="32" t="s">
        <v>205</v>
      </c>
      <c r="F1997" s="20" t="str">
        <f t="shared" si="128"/>
        <v>Block 35</v>
      </c>
      <c r="G1997" s="20" t="str">
        <f t="shared" si="127"/>
        <v>Lot 07</v>
      </c>
      <c r="H1997" s="40">
        <v>55</v>
      </c>
      <c r="I1997" s="41">
        <v>100</v>
      </c>
      <c r="J1997" s="19" t="s">
        <v>1917</v>
      </c>
      <c r="K1997" s="35" t="s">
        <v>1926</v>
      </c>
      <c r="L1997" s="36">
        <f>IFERROR(INDEX([3]ESE!$AD$22:$BD$453,MATCH($B1997,[3]ESE!$AD$22:$AD$453,0),23),"NA")</f>
        <v>3900000</v>
      </c>
      <c r="M1997" s="36"/>
      <c r="N1997" s="36">
        <f t="shared" ref="N1997:N2000" si="150">L1997-M1997</f>
        <v>3900000</v>
      </c>
      <c r="O1997" s="36">
        <f t="shared" ref="O1997:O2000" si="151">IF(N1997&lt;=3600000,0,N1997*12%)</f>
        <v>468000</v>
      </c>
      <c r="P1997" s="60">
        <f t="shared" ref="P1997:P2000" si="152">N1997-O1997</f>
        <v>3432000</v>
      </c>
    </row>
    <row r="1998" spans="2:16">
      <c r="B1998" s="19" t="s">
        <v>2165</v>
      </c>
      <c r="C1998" s="61" t="s">
        <v>3</v>
      </c>
      <c r="D1998" s="20" t="s">
        <v>2104</v>
      </c>
      <c r="E1998" s="32" t="s">
        <v>205</v>
      </c>
      <c r="F1998" s="20" t="str">
        <f t="shared" si="128"/>
        <v>Block 35</v>
      </c>
      <c r="G1998" s="20" t="str">
        <f t="shared" si="127"/>
        <v>Lot 10</v>
      </c>
      <c r="H1998" s="40">
        <v>55</v>
      </c>
      <c r="I1998" s="41">
        <v>80</v>
      </c>
      <c r="J1998" s="19" t="s">
        <v>1917</v>
      </c>
      <c r="K1998" s="35" t="s">
        <v>1924</v>
      </c>
      <c r="L1998" s="36">
        <f>IFERROR(INDEX([3]ESE!$AD$22:$BD$453,MATCH($B1998,[3]ESE!$AD$22:$AD$453,0),23),"NA")</f>
        <v>3600000</v>
      </c>
      <c r="M1998" s="36"/>
      <c r="N1998" s="36">
        <f t="shared" si="150"/>
        <v>3600000</v>
      </c>
      <c r="O1998" s="36">
        <f t="shared" si="151"/>
        <v>0</v>
      </c>
      <c r="P1998" s="60">
        <f t="shared" si="152"/>
        <v>3600000</v>
      </c>
    </row>
    <row r="1999" spans="2:16">
      <c r="B1999" s="19" t="s">
        <v>2166</v>
      </c>
      <c r="C1999" s="61" t="s">
        <v>3</v>
      </c>
      <c r="D1999" s="20" t="s">
        <v>2104</v>
      </c>
      <c r="E1999" s="32" t="s">
        <v>205</v>
      </c>
      <c r="F1999" s="20" t="str">
        <f t="shared" si="128"/>
        <v>Block 35</v>
      </c>
      <c r="G1999" s="20" t="str">
        <f t="shared" si="127"/>
        <v>Lot 11</v>
      </c>
      <c r="H1999" s="40">
        <v>55</v>
      </c>
      <c r="I1999" s="41">
        <v>80</v>
      </c>
      <c r="J1999" s="19" t="s">
        <v>1917</v>
      </c>
      <c r="K1999" s="35" t="s">
        <v>1924</v>
      </c>
      <c r="L1999" s="36">
        <f>IFERROR(INDEX([3]ESE!$AD$22:$BD$453,MATCH($B1999,[3]ESE!$AD$22:$AD$453,0),23),"NA")</f>
        <v>3600000</v>
      </c>
      <c r="M1999" s="36"/>
      <c r="N1999" s="36">
        <f t="shared" si="150"/>
        <v>3600000</v>
      </c>
      <c r="O1999" s="36">
        <f t="shared" si="151"/>
        <v>0</v>
      </c>
      <c r="P1999" s="60">
        <f t="shared" si="152"/>
        <v>3600000</v>
      </c>
    </row>
    <row r="2000" spans="2:16">
      <c r="B2000" s="19" t="s">
        <v>2167</v>
      </c>
      <c r="C2000" s="61" t="s">
        <v>3</v>
      </c>
      <c r="D2000" s="20" t="s">
        <v>2104</v>
      </c>
      <c r="E2000" s="32" t="s">
        <v>205</v>
      </c>
      <c r="F2000" s="20" t="str">
        <f t="shared" si="128"/>
        <v>Block 35</v>
      </c>
      <c r="G2000" s="20" t="str">
        <f t="shared" si="127"/>
        <v>Lot 12</v>
      </c>
      <c r="H2000" s="40">
        <v>55</v>
      </c>
      <c r="I2000" s="41">
        <v>100</v>
      </c>
      <c r="J2000" s="19" t="s">
        <v>1917</v>
      </c>
      <c r="K2000" s="35" t="s">
        <v>1926</v>
      </c>
      <c r="L2000" s="36">
        <f>IFERROR(INDEX([3]ESE!$AD$22:$BD$453,MATCH($B2000,[3]ESE!$AD$22:$AD$453,0),23),"NA")</f>
        <v>3900000</v>
      </c>
      <c r="M2000" s="36"/>
      <c r="N2000" s="36">
        <f t="shared" si="150"/>
        <v>3900000</v>
      </c>
      <c r="O2000" s="36">
        <f t="shared" si="151"/>
        <v>468000</v>
      </c>
      <c r="P2000" s="60">
        <f t="shared" si="152"/>
        <v>3432000</v>
      </c>
    </row>
    <row r="2001" spans="2:16">
      <c r="B2001" s="19" t="s">
        <v>2168</v>
      </c>
      <c r="C2001" s="61" t="s">
        <v>3</v>
      </c>
      <c r="D2001" s="20" t="s">
        <v>980</v>
      </c>
      <c r="E2001" s="32" t="s">
        <v>233</v>
      </c>
      <c r="F2001" s="20" t="str">
        <f t="shared" si="128"/>
        <v>Block 35</v>
      </c>
      <c r="G2001" s="20" t="str">
        <f t="shared" si="127"/>
        <v>Lot 13</v>
      </c>
      <c r="H2001" s="40" t="s">
        <v>99</v>
      </c>
      <c r="I2001" s="41">
        <v>100</v>
      </c>
      <c r="J2001" s="20" t="s">
        <v>100</v>
      </c>
      <c r="K2001" s="35" t="s">
        <v>982</v>
      </c>
      <c r="L2001" s="36">
        <f>IFERROR(INDEX([3]ESE!$AD$22:$BD$453,MATCH($B2001,[3]ESE!$AD$22:$AD$453,0),23),"NA")</f>
        <v>1800000</v>
      </c>
      <c r="M2001" s="36"/>
      <c r="N2001" s="36">
        <f>L2001-M2001</f>
        <v>1800000</v>
      </c>
      <c r="O2001" s="36">
        <f>L2001*12/112</f>
        <v>192857.14285714287</v>
      </c>
      <c r="P2001" s="60">
        <f>N2001-O2001</f>
        <v>1607142.857142857</v>
      </c>
    </row>
    <row r="2002" spans="2:16">
      <c r="B2002" s="19" t="s">
        <v>2169</v>
      </c>
      <c r="C2002" s="61" t="s">
        <v>3</v>
      </c>
      <c r="D2002" s="20" t="s">
        <v>2104</v>
      </c>
      <c r="E2002" s="32" t="s">
        <v>205</v>
      </c>
      <c r="F2002" s="20" t="str">
        <f t="shared" si="128"/>
        <v>Block 35</v>
      </c>
      <c r="G2002" s="20" t="str">
        <f t="shared" si="127"/>
        <v>Lot 16</v>
      </c>
      <c r="H2002" s="40">
        <v>55</v>
      </c>
      <c r="I2002" s="41">
        <v>80</v>
      </c>
      <c r="J2002" s="19" t="s">
        <v>1917</v>
      </c>
      <c r="K2002" s="35" t="s">
        <v>1920</v>
      </c>
      <c r="L2002" s="36">
        <f>IFERROR(INDEX([3]ESE!$AD$22:$BD$453,MATCH($B2002,[3]ESE!$AD$22:$AD$453,0),23),"NA")</f>
        <v>3600000</v>
      </c>
      <c r="M2002" s="36"/>
      <c r="N2002" s="36">
        <f t="shared" ref="N2002:N2009" si="153">L2002-M2002</f>
        <v>3600000</v>
      </c>
      <c r="O2002" s="36">
        <f t="shared" ref="O2002:O2009" si="154">IF(N2002&lt;=3600000,0,N2002*12%)</f>
        <v>0</v>
      </c>
      <c r="P2002" s="60">
        <f t="shared" ref="P2002:P2009" si="155">N2002-O2002</f>
        <v>3600000</v>
      </c>
    </row>
    <row r="2003" spans="2:16">
      <c r="B2003" s="19" t="s">
        <v>2170</v>
      </c>
      <c r="C2003" s="61" t="s">
        <v>3</v>
      </c>
      <c r="D2003" s="20" t="s">
        <v>2104</v>
      </c>
      <c r="E2003" s="32" t="s">
        <v>205</v>
      </c>
      <c r="F2003" s="20" t="str">
        <f t="shared" si="128"/>
        <v>Block 35</v>
      </c>
      <c r="G2003" s="20" t="str">
        <f t="shared" si="127"/>
        <v>Lot 17</v>
      </c>
      <c r="H2003" s="40">
        <v>55</v>
      </c>
      <c r="I2003" s="41">
        <v>80</v>
      </c>
      <c r="J2003" s="19" t="s">
        <v>1917</v>
      </c>
      <c r="K2003" s="35" t="s">
        <v>1918</v>
      </c>
      <c r="L2003" s="36">
        <f>IFERROR(INDEX([3]ESE!$AD$22:$BD$453,MATCH($B2003,[3]ESE!$AD$22:$AD$453,0),23),"NA")</f>
        <v>3600000</v>
      </c>
      <c r="M2003" s="36"/>
      <c r="N2003" s="36">
        <f t="shared" si="153"/>
        <v>3600000</v>
      </c>
      <c r="O2003" s="36">
        <f t="shared" si="154"/>
        <v>0</v>
      </c>
      <c r="P2003" s="60">
        <f t="shared" si="155"/>
        <v>3600000</v>
      </c>
    </row>
    <row r="2004" spans="2:16">
      <c r="B2004" s="19" t="s">
        <v>2171</v>
      </c>
      <c r="C2004" s="61" t="s">
        <v>3</v>
      </c>
      <c r="D2004" s="20" t="s">
        <v>2104</v>
      </c>
      <c r="E2004" s="32" t="s">
        <v>205</v>
      </c>
      <c r="F2004" s="20" t="str">
        <f t="shared" si="128"/>
        <v>Block 35</v>
      </c>
      <c r="G2004" s="20" t="str">
        <f t="shared" si="127"/>
        <v>Lot 18</v>
      </c>
      <c r="H2004" s="40">
        <v>55</v>
      </c>
      <c r="I2004" s="41">
        <v>100</v>
      </c>
      <c r="J2004" s="19" t="s">
        <v>1917</v>
      </c>
      <c r="K2004" s="35" t="s">
        <v>1918</v>
      </c>
      <c r="L2004" s="36">
        <f>IFERROR(INDEX([3]ESE!$AD$22:$BD$453,MATCH($B2004,[3]ESE!$AD$22:$AD$453,0),23),"NA")</f>
        <v>3900000</v>
      </c>
      <c r="M2004" s="36"/>
      <c r="N2004" s="36">
        <f t="shared" si="153"/>
        <v>3900000</v>
      </c>
      <c r="O2004" s="36">
        <f t="shared" si="154"/>
        <v>468000</v>
      </c>
      <c r="P2004" s="60">
        <f t="shared" si="155"/>
        <v>3432000</v>
      </c>
    </row>
    <row r="2005" spans="2:16">
      <c r="B2005" s="19" t="s">
        <v>2172</v>
      </c>
      <c r="C2005" s="61" t="s">
        <v>3</v>
      </c>
      <c r="D2005" s="20" t="s">
        <v>2104</v>
      </c>
      <c r="E2005" s="32" t="s">
        <v>205</v>
      </c>
      <c r="F2005" s="20" t="str">
        <f t="shared" si="128"/>
        <v>Block 35</v>
      </c>
      <c r="G2005" s="20" t="str">
        <f t="shared" si="127"/>
        <v>Lot 20</v>
      </c>
      <c r="H2005" s="40">
        <v>55</v>
      </c>
      <c r="I2005" s="41">
        <v>80</v>
      </c>
      <c r="J2005" s="19" t="s">
        <v>1917</v>
      </c>
      <c r="K2005" s="35" t="s">
        <v>1920</v>
      </c>
      <c r="L2005" s="36">
        <f>IFERROR(INDEX([3]ESE!$AD$22:$BD$453,MATCH($B2005,[3]ESE!$AD$22:$AD$453,0),23),"NA")</f>
        <v>3600000</v>
      </c>
      <c r="M2005" s="36"/>
      <c r="N2005" s="36">
        <f t="shared" si="153"/>
        <v>3600000</v>
      </c>
      <c r="O2005" s="36">
        <f t="shared" si="154"/>
        <v>0</v>
      </c>
      <c r="P2005" s="60">
        <f t="shared" si="155"/>
        <v>3600000</v>
      </c>
    </row>
    <row r="2006" spans="2:16">
      <c r="B2006" s="19" t="s">
        <v>2173</v>
      </c>
      <c r="C2006" s="61" t="s">
        <v>3</v>
      </c>
      <c r="D2006" s="20" t="s">
        <v>1952</v>
      </c>
      <c r="E2006" s="32" t="s">
        <v>205</v>
      </c>
      <c r="F2006" s="20" t="str">
        <f t="shared" si="128"/>
        <v>Block 36</v>
      </c>
      <c r="G2006" s="20" t="str">
        <f t="shared" si="127"/>
        <v>Lot 01</v>
      </c>
      <c r="H2006" s="40">
        <v>55</v>
      </c>
      <c r="I2006" s="41">
        <v>80</v>
      </c>
      <c r="J2006" s="19" t="s">
        <v>1917</v>
      </c>
      <c r="K2006" s="35" t="s">
        <v>1924</v>
      </c>
      <c r="L2006" s="36">
        <f>IFERROR(INDEX([3]ESE!$AD$22:$BD$453,MATCH($B2006,[3]ESE!$AD$22:$AD$453,0),23),"NA")</f>
        <v>3600000</v>
      </c>
      <c r="M2006" s="36"/>
      <c r="N2006" s="36">
        <f t="shared" si="153"/>
        <v>3600000</v>
      </c>
      <c r="O2006" s="36">
        <f t="shared" si="154"/>
        <v>0</v>
      </c>
      <c r="P2006" s="60">
        <f t="shared" si="155"/>
        <v>3600000</v>
      </c>
    </row>
    <row r="2007" spans="2:16">
      <c r="B2007" s="19" t="s">
        <v>2174</v>
      </c>
      <c r="C2007" s="61" t="s">
        <v>3</v>
      </c>
      <c r="D2007" s="20" t="s">
        <v>1952</v>
      </c>
      <c r="E2007" s="32" t="s">
        <v>205</v>
      </c>
      <c r="F2007" s="20" t="str">
        <f t="shared" si="128"/>
        <v>Block 36</v>
      </c>
      <c r="G2007" s="20" t="str">
        <f t="shared" si="127"/>
        <v>Lot 02</v>
      </c>
      <c r="H2007" s="40">
        <v>55</v>
      </c>
      <c r="I2007" s="41">
        <v>100</v>
      </c>
      <c r="J2007" s="19" t="s">
        <v>1917</v>
      </c>
      <c r="K2007" s="35" t="s">
        <v>1926</v>
      </c>
      <c r="L2007" s="36">
        <f>IFERROR(INDEX([3]ESE!$AD$22:$BD$453,MATCH($B2007,[3]ESE!$AD$22:$AD$453,0),23),"NA")</f>
        <v>3900000</v>
      </c>
      <c r="M2007" s="36"/>
      <c r="N2007" s="36">
        <f t="shared" si="153"/>
        <v>3900000</v>
      </c>
      <c r="O2007" s="36">
        <f t="shared" si="154"/>
        <v>468000</v>
      </c>
      <c r="P2007" s="60">
        <f t="shared" si="155"/>
        <v>3432000</v>
      </c>
    </row>
    <row r="2008" spans="2:16">
      <c r="B2008" s="19" t="s">
        <v>2175</v>
      </c>
      <c r="C2008" s="61" t="s">
        <v>3</v>
      </c>
      <c r="D2008" s="20" t="s">
        <v>1952</v>
      </c>
      <c r="E2008" s="32" t="s">
        <v>205</v>
      </c>
      <c r="F2008" s="20" t="str">
        <f t="shared" si="128"/>
        <v>Block 36</v>
      </c>
      <c r="G2008" s="20" t="str">
        <f t="shared" ref="G2008:G2071" si="156">"Lot "&amp;TEXT(VALUE(RIGHT(B2008,3)),"00")</f>
        <v>Lot 04</v>
      </c>
      <c r="H2008" s="40">
        <v>55</v>
      </c>
      <c r="I2008" s="41">
        <v>80</v>
      </c>
      <c r="J2008" s="19" t="s">
        <v>1917</v>
      </c>
      <c r="K2008" s="35" t="s">
        <v>1920</v>
      </c>
      <c r="L2008" s="36">
        <f>IFERROR(INDEX([3]ESE!$AD$22:$BD$453,MATCH($B2008,[3]ESE!$AD$22:$AD$453,0),23),"NA")</f>
        <v>3600000</v>
      </c>
      <c r="M2008" s="36"/>
      <c r="N2008" s="36">
        <f t="shared" si="153"/>
        <v>3600000</v>
      </c>
      <c r="O2008" s="36">
        <f t="shared" si="154"/>
        <v>0</v>
      </c>
      <c r="P2008" s="60">
        <f t="shared" si="155"/>
        <v>3600000</v>
      </c>
    </row>
    <row r="2009" spans="2:16">
      <c r="B2009" s="19" t="s">
        <v>2176</v>
      </c>
      <c r="C2009" s="61" t="s">
        <v>3</v>
      </c>
      <c r="D2009" s="20" t="s">
        <v>1952</v>
      </c>
      <c r="E2009" s="32" t="s">
        <v>205</v>
      </c>
      <c r="F2009" s="20" t="str">
        <f t="shared" ref="F2009:F2072" si="157">"Block "&amp;TEXT(VALUE(MID(B2009,8,3)),"00")</f>
        <v>Block 36</v>
      </c>
      <c r="G2009" s="20" t="str">
        <f t="shared" si="156"/>
        <v>Lot 05</v>
      </c>
      <c r="H2009" s="40">
        <v>55</v>
      </c>
      <c r="I2009" s="41">
        <v>80</v>
      </c>
      <c r="J2009" s="19" t="s">
        <v>1917</v>
      </c>
      <c r="K2009" s="35" t="s">
        <v>1918</v>
      </c>
      <c r="L2009" s="36">
        <f>IFERROR(INDEX([3]ESE!$AD$22:$BD$453,MATCH($B2009,[3]ESE!$AD$22:$AD$453,0),23),"NA")</f>
        <v>3600000</v>
      </c>
      <c r="M2009" s="36"/>
      <c r="N2009" s="36">
        <f t="shared" si="153"/>
        <v>3600000</v>
      </c>
      <c r="O2009" s="36">
        <f t="shared" si="154"/>
        <v>0</v>
      </c>
      <c r="P2009" s="60">
        <f t="shared" si="155"/>
        <v>3600000</v>
      </c>
    </row>
    <row r="2010" spans="2:16">
      <c r="B2010" s="19" t="s">
        <v>2177</v>
      </c>
      <c r="C2010" s="61" t="s">
        <v>3</v>
      </c>
      <c r="D2010" s="20" t="s">
        <v>980</v>
      </c>
      <c r="E2010" s="32" t="s">
        <v>233</v>
      </c>
      <c r="F2010" s="20" t="str">
        <f t="shared" si="157"/>
        <v>Block 36</v>
      </c>
      <c r="G2010" s="20" t="str">
        <f t="shared" si="156"/>
        <v>Lot 06</v>
      </c>
      <c r="H2010" s="40" t="s">
        <v>99</v>
      </c>
      <c r="I2010" s="41">
        <v>100</v>
      </c>
      <c r="J2010" s="20" t="s">
        <v>100</v>
      </c>
      <c r="K2010" s="35" t="s">
        <v>982</v>
      </c>
      <c r="L2010" s="36">
        <f>IFERROR(INDEX([3]ESE!$AD$22:$BD$453,MATCH($B2010,[3]ESE!$AD$22:$AD$453,0),23),"NA")</f>
        <v>1800000</v>
      </c>
      <c r="M2010" s="36"/>
      <c r="N2010" s="36">
        <f>L2010-M2010</f>
        <v>1800000</v>
      </c>
      <c r="O2010" s="36">
        <f>L2010*12/112</f>
        <v>192857.14285714287</v>
      </c>
      <c r="P2010" s="60">
        <f>N2010-O2010</f>
        <v>1607142.857142857</v>
      </c>
    </row>
    <row r="2011" spans="2:16">
      <c r="B2011" s="19" t="s">
        <v>2178</v>
      </c>
      <c r="C2011" s="61" t="s">
        <v>3</v>
      </c>
      <c r="D2011" s="20" t="s">
        <v>1966</v>
      </c>
      <c r="E2011" s="32" t="s">
        <v>205</v>
      </c>
      <c r="F2011" s="20" t="str">
        <f t="shared" si="157"/>
        <v>Block 36</v>
      </c>
      <c r="G2011" s="20" t="str">
        <f t="shared" si="156"/>
        <v>Lot 07</v>
      </c>
      <c r="H2011" s="40">
        <v>55</v>
      </c>
      <c r="I2011" s="41">
        <v>100</v>
      </c>
      <c r="J2011" s="19" t="s">
        <v>1917</v>
      </c>
      <c r="K2011" s="35" t="s">
        <v>1918</v>
      </c>
      <c r="L2011" s="36">
        <f>IFERROR(INDEX([3]ESE!$AD$22:$BD$453,MATCH($B2011,[3]ESE!$AD$22:$AD$453,0),23),"NA")</f>
        <v>3900000</v>
      </c>
      <c r="M2011" s="36"/>
      <c r="N2011" s="36">
        <f t="shared" ref="N2011:N2014" si="158">L2011-M2011</f>
        <v>3900000</v>
      </c>
      <c r="O2011" s="36">
        <f t="shared" ref="O2011:O2014" si="159">IF(N2011&lt;=3600000,0,N2011*12%)</f>
        <v>468000</v>
      </c>
      <c r="P2011" s="60">
        <f t="shared" ref="P2011:P2014" si="160">N2011-O2011</f>
        <v>3432000</v>
      </c>
    </row>
    <row r="2012" spans="2:16">
      <c r="B2012" s="19" t="s">
        <v>2179</v>
      </c>
      <c r="C2012" s="61" t="s">
        <v>3</v>
      </c>
      <c r="D2012" s="20" t="s">
        <v>1966</v>
      </c>
      <c r="E2012" s="32" t="s">
        <v>205</v>
      </c>
      <c r="F2012" s="20" t="str">
        <f t="shared" si="157"/>
        <v>Block 36</v>
      </c>
      <c r="G2012" s="20" t="str">
        <f t="shared" si="156"/>
        <v>Lot 10</v>
      </c>
      <c r="H2012" s="40">
        <v>55</v>
      </c>
      <c r="I2012" s="41">
        <v>80</v>
      </c>
      <c r="J2012" s="19" t="s">
        <v>1917</v>
      </c>
      <c r="K2012" s="35" t="s">
        <v>1920</v>
      </c>
      <c r="L2012" s="36">
        <f>IFERROR(INDEX([3]ESE!$AD$22:$BD$453,MATCH($B2012,[3]ESE!$AD$22:$AD$453,0),23),"NA")</f>
        <v>3600000</v>
      </c>
      <c r="M2012" s="36"/>
      <c r="N2012" s="36">
        <f t="shared" si="158"/>
        <v>3600000</v>
      </c>
      <c r="O2012" s="36">
        <f t="shared" si="159"/>
        <v>0</v>
      </c>
      <c r="P2012" s="60">
        <f t="shared" si="160"/>
        <v>3600000</v>
      </c>
    </row>
    <row r="2013" spans="2:16">
      <c r="B2013" s="19" t="s">
        <v>2180</v>
      </c>
      <c r="C2013" s="61" t="s">
        <v>3</v>
      </c>
      <c r="D2013" s="20" t="s">
        <v>1966</v>
      </c>
      <c r="E2013" s="32" t="s">
        <v>205</v>
      </c>
      <c r="F2013" s="20" t="str">
        <f t="shared" si="157"/>
        <v>Block 36</v>
      </c>
      <c r="G2013" s="20" t="str">
        <f t="shared" si="156"/>
        <v>Lot 11</v>
      </c>
      <c r="H2013" s="40">
        <v>55</v>
      </c>
      <c r="I2013" s="41">
        <v>80</v>
      </c>
      <c r="J2013" s="19" t="s">
        <v>1917</v>
      </c>
      <c r="K2013" s="35" t="s">
        <v>1920</v>
      </c>
      <c r="L2013" s="36">
        <f>IFERROR(INDEX([3]ESE!$AD$22:$BD$453,MATCH($B2013,[3]ESE!$AD$22:$AD$453,0),23),"NA")</f>
        <v>3600000</v>
      </c>
      <c r="M2013" s="36"/>
      <c r="N2013" s="36">
        <f t="shared" si="158"/>
        <v>3600000</v>
      </c>
      <c r="O2013" s="36">
        <f t="shared" si="159"/>
        <v>0</v>
      </c>
      <c r="P2013" s="60">
        <f t="shared" si="160"/>
        <v>3600000</v>
      </c>
    </row>
    <row r="2014" spans="2:16">
      <c r="B2014" s="19" t="s">
        <v>2181</v>
      </c>
      <c r="C2014" s="61" t="s">
        <v>3</v>
      </c>
      <c r="D2014" s="20" t="s">
        <v>1966</v>
      </c>
      <c r="E2014" s="32" t="s">
        <v>205</v>
      </c>
      <c r="F2014" s="20" t="str">
        <f t="shared" si="157"/>
        <v>Block 36</v>
      </c>
      <c r="G2014" s="20" t="str">
        <f t="shared" si="156"/>
        <v>Lot 12</v>
      </c>
      <c r="H2014" s="40">
        <v>55</v>
      </c>
      <c r="I2014" s="41">
        <v>100</v>
      </c>
      <c r="J2014" s="19" t="s">
        <v>1917</v>
      </c>
      <c r="K2014" s="35" t="s">
        <v>1918</v>
      </c>
      <c r="L2014" s="36">
        <f>IFERROR(INDEX([3]ESE!$AD$22:$BD$453,MATCH($B2014,[3]ESE!$AD$22:$AD$453,0),23),"NA")</f>
        <v>3900000</v>
      </c>
      <c r="M2014" s="36"/>
      <c r="N2014" s="36">
        <f t="shared" si="158"/>
        <v>3900000</v>
      </c>
      <c r="O2014" s="36">
        <f t="shared" si="159"/>
        <v>468000</v>
      </c>
      <c r="P2014" s="60">
        <f t="shared" si="160"/>
        <v>3432000</v>
      </c>
    </row>
    <row r="2015" spans="2:16">
      <c r="B2015" s="19" t="s">
        <v>2182</v>
      </c>
      <c r="C2015" s="61" t="s">
        <v>3</v>
      </c>
      <c r="D2015" s="20" t="s">
        <v>980</v>
      </c>
      <c r="E2015" s="32" t="s">
        <v>233</v>
      </c>
      <c r="F2015" s="20" t="str">
        <f t="shared" si="157"/>
        <v>Block 36</v>
      </c>
      <c r="G2015" s="20" t="str">
        <f t="shared" si="156"/>
        <v>Lot 13</v>
      </c>
      <c r="H2015" s="40" t="s">
        <v>99</v>
      </c>
      <c r="I2015" s="41">
        <v>100</v>
      </c>
      <c r="J2015" s="20" t="s">
        <v>100</v>
      </c>
      <c r="K2015" s="35" t="s">
        <v>982</v>
      </c>
      <c r="L2015" s="36">
        <f>IFERROR(INDEX([3]ESE!$AD$22:$BD$453,MATCH($B2015,[3]ESE!$AD$22:$AD$453,0),23),"NA")</f>
        <v>1800000</v>
      </c>
      <c r="M2015" s="36"/>
      <c r="N2015" s="36">
        <f>L2015-M2015</f>
        <v>1800000</v>
      </c>
      <c r="O2015" s="36">
        <f>L2015*12/112</f>
        <v>192857.14285714287</v>
      </c>
      <c r="P2015" s="60">
        <f>N2015-O2015</f>
        <v>1607142.857142857</v>
      </c>
    </row>
    <row r="2016" spans="2:16">
      <c r="B2016" s="19" t="s">
        <v>2183</v>
      </c>
      <c r="C2016" s="61" t="s">
        <v>3</v>
      </c>
      <c r="D2016" s="20" t="s">
        <v>1952</v>
      </c>
      <c r="E2016" s="32" t="s">
        <v>205</v>
      </c>
      <c r="F2016" s="20" t="str">
        <f t="shared" si="157"/>
        <v>Block 36</v>
      </c>
      <c r="G2016" s="20" t="str">
        <f t="shared" si="156"/>
        <v>Lot 16</v>
      </c>
      <c r="H2016" s="40">
        <v>55</v>
      </c>
      <c r="I2016" s="41">
        <v>80</v>
      </c>
      <c r="J2016" s="19" t="s">
        <v>1917</v>
      </c>
      <c r="K2016" s="35" t="s">
        <v>1924</v>
      </c>
      <c r="L2016" s="36">
        <f>IFERROR(INDEX([3]ESE!$AD$22:$BD$453,MATCH($B2016,[3]ESE!$AD$22:$AD$453,0),23),"NA")</f>
        <v>3600000</v>
      </c>
      <c r="M2016" s="36"/>
      <c r="N2016" s="36">
        <f t="shared" ref="N2016:N2019" si="161">L2016-M2016</f>
        <v>3600000</v>
      </c>
      <c r="O2016" s="36">
        <f t="shared" ref="O2016:O2019" si="162">IF(N2016&lt;=3600000,0,N2016*12%)</f>
        <v>0</v>
      </c>
      <c r="P2016" s="60">
        <f t="shared" ref="P2016:P2019" si="163">N2016-O2016</f>
        <v>3600000</v>
      </c>
    </row>
    <row r="2017" spans="2:16">
      <c r="B2017" s="19" t="s">
        <v>2184</v>
      </c>
      <c r="C2017" s="61" t="s">
        <v>3</v>
      </c>
      <c r="D2017" s="20" t="s">
        <v>1952</v>
      </c>
      <c r="E2017" s="32" t="s">
        <v>205</v>
      </c>
      <c r="F2017" s="20" t="str">
        <f t="shared" si="157"/>
        <v>Block 36</v>
      </c>
      <c r="G2017" s="20" t="str">
        <f t="shared" si="156"/>
        <v>Lot 17</v>
      </c>
      <c r="H2017" s="40">
        <v>55</v>
      </c>
      <c r="I2017" s="41">
        <v>80</v>
      </c>
      <c r="J2017" s="19" t="s">
        <v>1917</v>
      </c>
      <c r="K2017" s="35" t="s">
        <v>1926</v>
      </c>
      <c r="L2017" s="36">
        <f>IFERROR(INDEX([3]ESE!$AD$22:$BD$453,MATCH($B2017,[3]ESE!$AD$22:$AD$453,0),23),"NA")</f>
        <v>3600000</v>
      </c>
      <c r="M2017" s="36"/>
      <c r="N2017" s="36">
        <f t="shared" si="161"/>
        <v>3600000</v>
      </c>
      <c r="O2017" s="36">
        <f t="shared" si="162"/>
        <v>0</v>
      </c>
      <c r="P2017" s="60">
        <f t="shared" si="163"/>
        <v>3600000</v>
      </c>
    </row>
    <row r="2018" spans="2:16">
      <c r="B2018" s="19" t="s">
        <v>2185</v>
      </c>
      <c r="C2018" s="61" t="s">
        <v>3</v>
      </c>
      <c r="D2018" s="20" t="s">
        <v>1952</v>
      </c>
      <c r="E2018" s="32" t="s">
        <v>205</v>
      </c>
      <c r="F2018" s="20" t="str">
        <f t="shared" si="157"/>
        <v>Block 36</v>
      </c>
      <c r="G2018" s="20" t="str">
        <f t="shared" si="156"/>
        <v>Lot 18</v>
      </c>
      <c r="H2018" s="40">
        <v>55</v>
      </c>
      <c r="I2018" s="41">
        <v>100</v>
      </c>
      <c r="J2018" s="19" t="s">
        <v>1917</v>
      </c>
      <c r="K2018" s="35" t="s">
        <v>1926</v>
      </c>
      <c r="L2018" s="36">
        <f>IFERROR(INDEX([3]ESE!$AD$22:$BD$453,MATCH($B2018,[3]ESE!$AD$22:$AD$453,0),23),"NA")</f>
        <v>3900000</v>
      </c>
      <c r="M2018" s="36"/>
      <c r="N2018" s="36">
        <f t="shared" si="161"/>
        <v>3900000</v>
      </c>
      <c r="O2018" s="36">
        <f t="shared" si="162"/>
        <v>468000</v>
      </c>
      <c r="P2018" s="60">
        <f t="shared" si="163"/>
        <v>3432000</v>
      </c>
    </row>
    <row r="2019" spans="2:16">
      <c r="B2019" s="19" t="s">
        <v>2186</v>
      </c>
      <c r="C2019" s="61" t="s">
        <v>3</v>
      </c>
      <c r="D2019" s="20" t="s">
        <v>1952</v>
      </c>
      <c r="E2019" s="32" t="s">
        <v>205</v>
      </c>
      <c r="F2019" s="20" t="str">
        <f t="shared" si="157"/>
        <v>Block 36</v>
      </c>
      <c r="G2019" s="20" t="str">
        <f t="shared" si="156"/>
        <v>Lot 20</v>
      </c>
      <c r="H2019" s="40">
        <v>55</v>
      </c>
      <c r="I2019" s="41">
        <v>80</v>
      </c>
      <c r="J2019" s="19" t="s">
        <v>1917</v>
      </c>
      <c r="K2019" s="35" t="s">
        <v>1924</v>
      </c>
      <c r="L2019" s="36">
        <f>IFERROR(INDEX([3]ESE!$AD$22:$BD$453,MATCH($B2019,[3]ESE!$AD$22:$AD$453,0),23),"NA")</f>
        <v>3600000</v>
      </c>
      <c r="M2019" s="36"/>
      <c r="N2019" s="36">
        <f t="shared" si="161"/>
        <v>3600000</v>
      </c>
      <c r="O2019" s="36">
        <f t="shared" si="162"/>
        <v>0</v>
      </c>
      <c r="P2019" s="60">
        <f t="shared" si="163"/>
        <v>3600000</v>
      </c>
    </row>
    <row r="2020" spans="2:16">
      <c r="B2020" s="19" t="s">
        <v>2187</v>
      </c>
      <c r="C2020" s="61" t="s">
        <v>3</v>
      </c>
      <c r="D2020" s="20" t="s">
        <v>980</v>
      </c>
      <c r="E2020" s="32" t="s">
        <v>233</v>
      </c>
      <c r="F2020" s="20" t="str">
        <f t="shared" si="157"/>
        <v>Block 37</v>
      </c>
      <c r="G2020" s="20" t="str">
        <f t="shared" si="156"/>
        <v>Lot 01</v>
      </c>
      <c r="H2020" s="40" t="s">
        <v>99</v>
      </c>
      <c r="I2020" s="41">
        <v>100</v>
      </c>
      <c r="J2020" s="20" t="s">
        <v>100</v>
      </c>
      <c r="K2020" s="35" t="s">
        <v>982</v>
      </c>
      <c r="L2020" s="36">
        <f>IFERROR(INDEX([3]ESE!$AD$22:$BD$453,MATCH($B2020,[3]ESE!$AD$22:$AD$453,0),23),"NA")</f>
        <v>1800000</v>
      </c>
      <c r="M2020" s="36"/>
      <c r="N2020" s="36">
        <f>L2020-M2020</f>
        <v>1800000</v>
      </c>
      <c r="O2020" s="36">
        <f>L2020*12/112</f>
        <v>192857.14285714287</v>
      </c>
      <c r="P2020" s="60">
        <f>N2020-O2020</f>
        <v>1607142.857142857</v>
      </c>
    </row>
    <row r="2021" spans="2:16">
      <c r="B2021" s="19" t="s">
        <v>2188</v>
      </c>
      <c r="C2021" s="61" t="s">
        <v>3</v>
      </c>
      <c r="D2021" s="20" t="s">
        <v>1966</v>
      </c>
      <c r="E2021" s="32" t="s">
        <v>205</v>
      </c>
      <c r="F2021" s="20" t="str">
        <f t="shared" si="157"/>
        <v>Block 37</v>
      </c>
      <c r="G2021" s="20" t="str">
        <f t="shared" si="156"/>
        <v>Lot 02</v>
      </c>
      <c r="H2021" s="40">
        <v>55</v>
      </c>
      <c r="I2021" s="41">
        <v>80</v>
      </c>
      <c r="J2021" s="19" t="s">
        <v>1917</v>
      </c>
      <c r="K2021" s="35" t="s">
        <v>1926</v>
      </c>
      <c r="L2021" s="36">
        <f>IFERROR(INDEX([3]ESE!$AD$22:$BD$453,MATCH($B2021,[3]ESE!$AD$22:$AD$453,0),23),"NA")</f>
        <v>3600000</v>
      </c>
      <c r="M2021" s="36"/>
      <c r="N2021" s="36">
        <f t="shared" ref="N2021:N2064" si="164">L2021-M2021</f>
        <v>3600000</v>
      </c>
      <c r="O2021" s="36">
        <f t="shared" ref="O2021:O2064" si="165">IF(N2021&lt;=3600000,0,N2021*12%)</f>
        <v>0</v>
      </c>
      <c r="P2021" s="60">
        <f t="shared" ref="P2021:P2064" si="166">N2021-O2021</f>
        <v>3600000</v>
      </c>
    </row>
    <row r="2022" spans="2:16">
      <c r="B2022" s="19" t="s">
        <v>2189</v>
      </c>
      <c r="C2022" s="61" t="s">
        <v>3</v>
      </c>
      <c r="D2022" s="20" t="s">
        <v>1966</v>
      </c>
      <c r="E2022" s="32" t="s">
        <v>205</v>
      </c>
      <c r="F2022" s="20" t="str">
        <f t="shared" si="157"/>
        <v>Block 37</v>
      </c>
      <c r="G2022" s="20" t="str">
        <f t="shared" si="156"/>
        <v>Lot 04</v>
      </c>
      <c r="H2022" s="40">
        <v>55</v>
      </c>
      <c r="I2022" s="41">
        <v>80</v>
      </c>
      <c r="J2022" s="19" t="s">
        <v>1917</v>
      </c>
      <c r="K2022" s="35" t="s">
        <v>1924</v>
      </c>
      <c r="L2022" s="36">
        <f>IFERROR(INDEX([3]ESE!$AD$22:$BD$453,MATCH($B2022,[3]ESE!$AD$22:$AD$453,0),23),"NA")</f>
        <v>3600000</v>
      </c>
      <c r="M2022" s="36"/>
      <c r="N2022" s="36">
        <f t="shared" si="164"/>
        <v>3600000</v>
      </c>
      <c r="O2022" s="36">
        <f t="shared" si="165"/>
        <v>0</v>
      </c>
      <c r="P2022" s="60">
        <f t="shared" si="166"/>
        <v>3600000</v>
      </c>
    </row>
    <row r="2023" spans="2:16">
      <c r="B2023" s="19" t="s">
        <v>2190</v>
      </c>
      <c r="C2023" s="61" t="s">
        <v>3</v>
      </c>
      <c r="D2023" s="20" t="s">
        <v>1966</v>
      </c>
      <c r="E2023" s="32" t="s">
        <v>243</v>
      </c>
      <c r="F2023" s="20" t="str">
        <f t="shared" si="157"/>
        <v>Block 37</v>
      </c>
      <c r="G2023" s="20" t="str">
        <f t="shared" si="156"/>
        <v>Lot 05</v>
      </c>
      <c r="H2023" s="40">
        <v>55</v>
      </c>
      <c r="I2023" s="41">
        <v>80</v>
      </c>
      <c r="J2023" s="19" t="s">
        <v>1917</v>
      </c>
      <c r="K2023" s="35" t="s">
        <v>1920</v>
      </c>
      <c r="L2023" s="36">
        <f>IFERROR(INDEX([3]ESE!$AD$22:$BD$453,MATCH($B2023,[3]ESE!$AD$22:$AD$453,0),23),"NA")</f>
        <v>3600000</v>
      </c>
      <c r="M2023" s="36"/>
      <c r="N2023" s="36">
        <f t="shared" si="164"/>
        <v>3600000</v>
      </c>
      <c r="O2023" s="36">
        <f t="shared" si="165"/>
        <v>0</v>
      </c>
      <c r="P2023" s="60">
        <f t="shared" si="166"/>
        <v>3600000</v>
      </c>
    </row>
    <row r="2024" spans="2:16">
      <c r="B2024" s="19" t="s">
        <v>2191</v>
      </c>
      <c r="C2024" s="61" t="s">
        <v>3</v>
      </c>
      <c r="D2024" s="20" t="s">
        <v>1966</v>
      </c>
      <c r="E2024" s="32" t="s">
        <v>243</v>
      </c>
      <c r="F2024" s="20" t="str">
        <f t="shared" si="157"/>
        <v>Block 37</v>
      </c>
      <c r="G2024" s="20" t="str">
        <f t="shared" si="156"/>
        <v>Lot 06</v>
      </c>
      <c r="H2024" s="40">
        <v>55</v>
      </c>
      <c r="I2024" s="41">
        <v>100</v>
      </c>
      <c r="J2024" s="19" t="s">
        <v>1917</v>
      </c>
      <c r="K2024" s="35" t="s">
        <v>1918</v>
      </c>
      <c r="L2024" s="36">
        <f>IFERROR(INDEX([3]ESE!$AD$22:$BD$453,MATCH($B2024,[3]ESE!$AD$22:$AD$453,0),23),"NA")</f>
        <v>3900000</v>
      </c>
      <c r="M2024" s="36"/>
      <c r="N2024" s="36">
        <f t="shared" si="164"/>
        <v>3900000</v>
      </c>
      <c r="O2024" s="36">
        <f t="shared" si="165"/>
        <v>468000</v>
      </c>
      <c r="P2024" s="60">
        <f t="shared" si="166"/>
        <v>3432000</v>
      </c>
    </row>
    <row r="2025" spans="2:16">
      <c r="B2025" s="19" t="s">
        <v>2192</v>
      </c>
      <c r="C2025" s="61" t="s">
        <v>3</v>
      </c>
      <c r="D2025" s="20" t="s">
        <v>1966</v>
      </c>
      <c r="E2025" s="32" t="s">
        <v>243</v>
      </c>
      <c r="F2025" s="20" t="str">
        <f t="shared" si="157"/>
        <v>Block 37</v>
      </c>
      <c r="G2025" s="20" t="str">
        <f t="shared" si="156"/>
        <v>Lot 08</v>
      </c>
      <c r="H2025" s="40">
        <v>55</v>
      </c>
      <c r="I2025" s="41">
        <v>80</v>
      </c>
      <c r="J2025" s="19" t="s">
        <v>1917</v>
      </c>
      <c r="K2025" s="35" t="s">
        <v>1924</v>
      </c>
      <c r="L2025" s="36">
        <f>IFERROR(INDEX([3]ESE!$AD$22:$BD$453,MATCH($B2025,[3]ESE!$AD$22:$AD$453,0),23),"NA")</f>
        <v>3600000</v>
      </c>
      <c r="M2025" s="36"/>
      <c r="N2025" s="36">
        <f t="shared" si="164"/>
        <v>3600000</v>
      </c>
      <c r="O2025" s="36">
        <f t="shared" si="165"/>
        <v>0</v>
      </c>
      <c r="P2025" s="60">
        <f t="shared" si="166"/>
        <v>3600000</v>
      </c>
    </row>
    <row r="2026" spans="2:16">
      <c r="B2026" s="19" t="s">
        <v>2193</v>
      </c>
      <c r="C2026" s="61" t="s">
        <v>3</v>
      </c>
      <c r="D2026" s="20" t="s">
        <v>1966</v>
      </c>
      <c r="E2026" s="32" t="s">
        <v>205</v>
      </c>
      <c r="F2026" s="20" t="str">
        <f t="shared" si="157"/>
        <v>Block 37</v>
      </c>
      <c r="G2026" s="20" t="str">
        <f t="shared" si="156"/>
        <v>Lot 09</v>
      </c>
      <c r="H2026" s="40">
        <v>55</v>
      </c>
      <c r="I2026" s="41">
        <v>80</v>
      </c>
      <c r="J2026" s="19" t="s">
        <v>1917</v>
      </c>
      <c r="K2026" s="35" t="s">
        <v>1926</v>
      </c>
      <c r="L2026" s="36">
        <f>IFERROR(INDEX([3]ESE!$AD$22:$BD$453,MATCH($B2026,[3]ESE!$AD$22:$AD$453,0),23),"NA")</f>
        <v>3600000</v>
      </c>
      <c r="M2026" s="36"/>
      <c r="N2026" s="36">
        <f t="shared" si="164"/>
        <v>3600000</v>
      </c>
      <c r="O2026" s="36">
        <f t="shared" si="165"/>
        <v>0</v>
      </c>
      <c r="P2026" s="60">
        <f t="shared" si="166"/>
        <v>3600000</v>
      </c>
    </row>
    <row r="2027" spans="2:16">
      <c r="B2027" s="19" t="s">
        <v>2194</v>
      </c>
      <c r="C2027" s="61" t="s">
        <v>3</v>
      </c>
      <c r="D2027" s="20" t="s">
        <v>1966</v>
      </c>
      <c r="E2027" s="32" t="s">
        <v>205</v>
      </c>
      <c r="F2027" s="20" t="str">
        <f t="shared" si="157"/>
        <v>Block 37</v>
      </c>
      <c r="G2027" s="20" t="str">
        <f t="shared" si="156"/>
        <v>Lot 10</v>
      </c>
      <c r="H2027" s="40">
        <v>55</v>
      </c>
      <c r="I2027" s="41">
        <v>100</v>
      </c>
      <c r="J2027" s="19" t="s">
        <v>1917</v>
      </c>
      <c r="K2027" s="35" t="s">
        <v>1926</v>
      </c>
      <c r="L2027" s="36">
        <f>IFERROR(INDEX([3]ESE!$AD$22:$BD$453,MATCH($B2027,[3]ESE!$AD$22:$AD$453,0),23),"NA")</f>
        <v>3900000</v>
      </c>
      <c r="M2027" s="36"/>
      <c r="N2027" s="36">
        <f t="shared" si="164"/>
        <v>3900000</v>
      </c>
      <c r="O2027" s="36">
        <f t="shared" si="165"/>
        <v>468000</v>
      </c>
      <c r="P2027" s="60">
        <f t="shared" si="166"/>
        <v>3432000</v>
      </c>
    </row>
    <row r="2028" spans="2:16">
      <c r="B2028" s="19" t="s">
        <v>2195</v>
      </c>
      <c r="C2028" s="61" t="s">
        <v>3</v>
      </c>
      <c r="D2028" s="20" t="s">
        <v>1966</v>
      </c>
      <c r="E2028" s="32" t="s">
        <v>205</v>
      </c>
      <c r="F2028" s="20" t="str">
        <f t="shared" si="157"/>
        <v>Block 37</v>
      </c>
      <c r="G2028" s="20" t="str">
        <f t="shared" si="156"/>
        <v>Lot 12</v>
      </c>
      <c r="H2028" s="40">
        <v>55</v>
      </c>
      <c r="I2028" s="41">
        <v>80</v>
      </c>
      <c r="J2028" s="19" t="s">
        <v>1917</v>
      </c>
      <c r="K2028" s="35" t="s">
        <v>1924</v>
      </c>
      <c r="L2028" s="36">
        <f>IFERROR(INDEX([3]ESE!$AD$22:$BD$453,MATCH($B2028,[3]ESE!$AD$22:$AD$453,0),23),"NA")</f>
        <v>3600000</v>
      </c>
      <c r="M2028" s="36"/>
      <c r="N2028" s="36">
        <f t="shared" si="164"/>
        <v>3600000</v>
      </c>
      <c r="O2028" s="36">
        <f t="shared" si="165"/>
        <v>0</v>
      </c>
      <c r="P2028" s="60">
        <f t="shared" si="166"/>
        <v>3600000</v>
      </c>
    </row>
    <row r="2029" spans="2:16">
      <c r="B2029" s="19" t="s">
        <v>2196</v>
      </c>
      <c r="C2029" s="61" t="s">
        <v>3</v>
      </c>
      <c r="D2029" s="20" t="s">
        <v>1966</v>
      </c>
      <c r="E2029" s="32" t="s">
        <v>205</v>
      </c>
      <c r="F2029" s="20" t="str">
        <f t="shared" si="157"/>
        <v>Block 37</v>
      </c>
      <c r="G2029" s="20" t="str">
        <f t="shared" si="156"/>
        <v>Lot 13</v>
      </c>
      <c r="H2029" s="40">
        <v>55</v>
      </c>
      <c r="I2029" s="41">
        <v>80</v>
      </c>
      <c r="J2029" s="19" t="s">
        <v>1917</v>
      </c>
      <c r="K2029" s="35" t="s">
        <v>1924</v>
      </c>
      <c r="L2029" s="36">
        <f>IFERROR(INDEX([3]ESE!$AD$22:$BD$453,MATCH($B2029,[3]ESE!$AD$22:$AD$453,0),23),"NA")</f>
        <v>3600000</v>
      </c>
      <c r="M2029" s="36"/>
      <c r="N2029" s="36">
        <f t="shared" si="164"/>
        <v>3600000</v>
      </c>
      <c r="O2029" s="36">
        <f t="shared" si="165"/>
        <v>0</v>
      </c>
      <c r="P2029" s="60">
        <f t="shared" si="166"/>
        <v>3600000</v>
      </c>
    </row>
    <row r="2030" spans="2:16">
      <c r="B2030" s="19" t="s">
        <v>2197</v>
      </c>
      <c r="C2030" s="61" t="s">
        <v>3</v>
      </c>
      <c r="D2030" s="20" t="s">
        <v>1966</v>
      </c>
      <c r="E2030" s="32" t="s">
        <v>205</v>
      </c>
      <c r="F2030" s="20" t="str">
        <f t="shared" si="157"/>
        <v>Block 37</v>
      </c>
      <c r="G2030" s="20" t="str">
        <f t="shared" si="156"/>
        <v>Lot 14</v>
      </c>
      <c r="H2030" s="40">
        <v>55</v>
      </c>
      <c r="I2030" s="41">
        <v>100</v>
      </c>
      <c r="J2030" s="19" t="s">
        <v>1917</v>
      </c>
      <c r="K2030" s="35" t="s">
        <v>1926</v>
      </c>
      <c r="L2030" s="36">
        <f>IFERROR(INDEX([3]ESE!$AD$22:$BD$453,MATCH($B2030,[3]ESE!$AD$22:$AD$453,0),23),"NA")</f>
        <v>3900000</v>
      </c>
      <c r="M2030" s="36"/>
      <c r="N2030" s="36">
        <f t="shared" si="164"/>
        <v>3900000</v>
      </c>
      <c r="O2030" s="36">
        <f t="shared" si="165"/>
        <v>468000</v>
      </c>
      <c r="P2030" s="60">
        <f t="shared" si="166"/>
        <v>3432000</v>
      </c>
    </row>
    <row r="2031" spans="2:16">
      <c r="B2031" s="19" t="s">
        <v>2198</v>
      </c>
      <c r="C2031" s="61" t="s">
        <v>3</v>
      </c>
      <c r="D2031" s="20" t="s">
        <v>1966</v>
      </c>
      <c r="E2031" s="32" t="s">
        <v>205</v>
      </c>
      <c r="F2031" s="20" t="str">
        <f t="shared" si="157"/>
        <v>Block 37</v>
      </c>
      <c r="G2031" s="20" t="str">
        <f t="shared" si="156"/>
        <v>Lot 16</v>
      </c>
      <c r="H2031" s="40">
        <v>55</v>
      </c>
      <c r="I2031" s="41">
        <v>83</v>
      </c>
      <c r="J2031" s="19" t="s">
        <v>1917</v>
      </c>
      <c r="K2031" s="35" t="s">
        <v>1920</v>
      </c>
      <c r="L2031" s="36">
        <f>IFERROR(INDEX([3]ESE!$AD$22:$BD$453,MATCH($B2031,[3]ESE!$AD$22:$AD$453,0),23),"NA")</f>
        <v>3645000</v>
      </c>
      <c r="M2031" s="36">
        <v>45000</v>
      </c>
      <c r="N2031" s="36">
        <f t="shared" si="164"/>
        <v>3600000</v>
      </c>
      <c r="O2031" s="36">
        <f t="shared" si="165"/>
        <v>0</v>
      </c>
      <c r="P2031" s="60">
        <f t="shared" si="166"/>
        <v>3600000</v>
      </c>
    </row>
    <row r="2032" spans="2:16">
      <c r="B2032" s="19" t="s">
        <v>2199</v>
      </c>
      <c r="C2032" s="61" t="s">
        <v>3</v>
      </c>
      <c r="D2032" s="20" t="s">
        <v>1966</v>
      </c>
      <c r="E2032" s="32" t="s">
        <v>205</v>
      </c>
      <c r="F2032" s="20" t="str">
        <f t="shared" si="157"/>
        <v>Block 37</v>
      </c>
      <c r="G2032" s="20" t="str">
        <f t="shared" si="156"/>
        <v>Lot 17</v>
      </c>
      <c r="H2032" s="40">
        <v>55</v>
      </c>
      <c r="I2032" s="41">
        <v>93</v>
      </c>
      <c r="J2032" s="19" t="s">
        <v>1917</v>
      </c>
      <c r="K2032" s="35" t="s">
        <v>1918</v>
      </c>
      <c r="L2032" s="36">
        <f>IFERROR(INDEX([3]ESE!$AD$22:$BD$453,MATCH($B2032,[3]ESE!$AD$22:$AD$453,0),23),"NA")</f>
        <v>3795000</v>
      </c>
      <c r="M2032" s="36"/>
      <c r="N2032" s="36">
        <f t="shared" si="164"/>
        <v>3795000</v>
      </c>
      <c r="O2032" s="36">
        <f t="shared" si="165"/>
        <v>455400</v>
      </c>
      <c r="P2032" s="60">
        <f t="shared" si="166"/>
        <v>3339600</v>
      </c>
    </row>
    <row r="2033" spans="2:16">
      <c r="B2033" s="19" t="s">
        <v>2200</v>
      </c>
      <c r="C2033" s="61" t="s">
        <v>3</v>
      </c>
      <c r="D2033" s="20" t="s">
        <v>1966</v>
      </c>
      <c r="E2033" s="32" t="s">
        <v>243</v>
      </c>
      <c r="F2033" s="20" t="str">
        <f t="shared" si="157"/>
        <v>Block 37</v>
      </c>
      <c r="G2033" s="20" t="str">
        <f t="shared" si="156"/>
        <v>Lot 18</v>
      </c>
      <c r="H2033" s="40">
        <v>55</v>
      </c>
      <c r="I2033" s="41">
        <v>130</v>
      </c>
      <c r="J2033" s="19" t="s">
        <v>1917</v>
      </c>
      <c r="K2033" s="35" t="s">
        <v>1918</v>
      </c>
      <c r="L2033" s="36">
        <f>IFERROR(INDEX([3]ESE!$AD$22:$BD$453,MATCH($B2033,[3]ESE!$AD$22:$AD$453,0),23),"NA")</f>
        <v>4350000</v>
      </c>
      <c r="M2033" s="36"/>
      <c r="N2033" s="36">
        <f t="shared" si="164"/>
        <v>4350000</v>
      </c>
      <c r="O2033" s="36">
        <f t="shared" si="165"/>
        <v>522000</v>
      </c>
      <c r="P2033" s="60">
        <f t="shared" si="166"/>
        <v>3828000</v>
      </c>
    </row>
    <row r="2034" spans="2:16">
      <c r="B2034" s="19" t="s">
        <v>2201</v>
      </c>
      <c r="C2034" s="61" t="s">
        <v>3</v>
      </c>
      <c r="D2034" s="20" t="s">
        <v>1966</v>
      </c>
      <c r="E2034" s="32" t="s">
        <v>205</v>
      </c>
      <c r="F2034" s="20" t="str">
        <f t="shared" si="157"/>
        <v>Block 37</v>
      </c>
      <c r="G2034" s="20" t="str">
        <f t="shared" si="156"/>
        <v>Lot 20</v>
      </c>
      <c r="H2034" s="40">
        <v>55</v>
      </c>
      <c r="I2034" s="41">
        <v>114</v>
      </c>
      <c r="J2034" s="19" t="s">
        <v>1917</v>
      </c>
      <c r="K2034" s="35" t="s">
        <v>1920</v>
      </c>
      <c r="L2034" s="36">
        <f>IFERROR(INDEX([3]ESE!$AD$22:$BD$453,MATCH($B2034,[3]ESE!$AD$22:$AD$453,0),23),"NA")</f>
        <v>4110000</v>
      </c>
      <c r="M2034" s="36"/>
      <c r="N2034" s="36">
        <f t="shared" si="164"/>
        <v>4110000</v>
      </c>
      <c r="O2034" s="36">
        <f t="shared" si="165"/>
        <v>493200</v>
      </c>
      <c r="P2034" s="60">
        <f t="shared" si="166"/>
        <v>3616800</v>
      </c>
    </row>
    <row r="2035" spans="2:16">
      <c r="B2035" s="19" t="s">
        <v>2202</v>
      </c>
      <c r="C2035" s="61" t="s">
        <v>3</v>
      </c>
      <c r="D2035" s="20" t="s">
        <v>1928</v>
      </c>
      <c r="E2035" s="32" t="s">
        <v>205</v>
      </c>
      <c r="F2035" s="20" t="str">
        <f t="shared" si="157"/>
        <v>Block 38</v>
      </c>
      <c r="G2035" s="20" t="str">
        <f t="shared" si="156"/>
        <v>Lot 01</v>
      </c>
      <c r="H2035" s="40">
        <v>55</v>
      </c>
      <c r="I2035" s="41">
        <v>100</v>
      </c>
      <c r="J2035" s="19" t="s">
        <v>1917</v>
      </c>
      <c r="K2035" s="35" t="s">
        <v>1924</v>
      </c>
      <c r="L2035" s="36">
        <f>IFERROR(INDEX([3]ESE!$AD$22:$BD$453,MATCH($B2035,[3]ESE!$AD$22:$AD$453,0),23),"NA")</f>
        <v>3900000</v>
      </c>
      <c r="M2035" s="36"/>
      <c r="N2035" s="36">
        <f t="shared" si="164"/>
        <v>3900000</v>
      </c>
      <c r="O2035" s="36">
        <f t="shared" si="165"/>
        <v>468000</v>
      </c>
      <c r="P2035" s="60">
        <f t="shared" si="166"/>
        <v>3432000</v>
      </c>
    </row>
    <row r="2036" spans="2:16">
      <c r="B2036" s="19" t="s">
        <v>2203</v>
      </c>
      <c r="C2036" s="61" t="s">
        <v>3</v>
      </c>
      <c r="D2036" s="20" t="s">
        <v>1928</v>
      </c>
      <c r="E2036" s="32" t="s">
        <v>205</v>
      </c>
      <c r="F2036" s="20" t="str">
        <f t="shared" si="157"/>
        <v>Block 38</v>
      </c>
      <c r="G2036" s="20" t="str">
        <f t="shared" si="156"/>
        <v>Lot 02</v>
      </c>
      <c r="H2036" s="40">
        <v>55</v>
      </c>
      <c r="I2036" s="41">
        <v>91</v>
      </c>
      <c r="J2036" s="19" t="s">
        <v>1917</v>
      </c>
      <c r="K2036" s="35" t="s">
        <v>1926</v>
      </c>
      <c r="L2036" s="36">
        <f>IFERROR(INDEX([3]ESE!$AD$22:$BD$453,MATCH($B2036,[3]ESE!$AD$22:$AD$453,0),23),"NA")</f>
        <v>3765000</v>
      </c>
      <c r="M2036" s="36"/>
      <c r="N2036" s="36">
        <f t="shared" si="164"/>
        <v>3765000</v>
      </c>
      <c r="O2036" s="36">
        <f t="shared" si="165"/>
        <v>451800</v>
      </c>
      <c r="P2036" s="60">
        <f t="shared" si="166"/>
        <v>3313200</v>
      </c>
    </row>
    <row r="2037" spans="2:16">
      <c r="B2037" s="19" t="s">
        <v>2204</v>
      </c>
      <c r="C2037" s="61" t="s">
        <v>3</v>
      </c>
      <c r="D2037" s="20" t="s">
        <v>1928</v>
      </c>
      <c r="E2037" s="32" t="s">
        <v>205</v>
      </c>
      <c r="F2037" s="20" t="str">
        <f t="shared" si="157"/>
        <v>Block 38</v>
      </c>
      <c r="G2037" s="20" t="str">
        <f t="shared" si="156"/>
        <v>Lot 03</v>
      </c>
      <c r="H2037" s="40">
        <v>55</v>
      </c>
      <c r="I2037" s="41">
        <v>80</v>
      </c>
      <c r="J2037" s="19" t="s">
        <v>1917</v>
      </c>
      <c r="K2037" s="35" t="s">
        <v>1920</v>
      </c>
      <c r="L2037" s="36">
        <f>IFERROR(INDEX([3]ESE!$AD$22:$BD$453,MATCH($B2037,[3]ESE!$AD$22:$AD$453,0),23),"NA")</f>
        <v>3600000</v>
      </c>
      <c r="M2037" s="36"/>
      <c r="N2037" s="36">
        <f t="shared" si="164"/>
        <v>3600000</v>
      </c>
      <c r="O2037" s="36">
        <f t="shared" si="165"/>
        <v>0</v>
      </c>
      <c r="P2037" s="60">
        <f t="shared" si="166"/>
        <v>3600000</v>
      </c>
    </row>
    <row r="2038" spans="2:16">
      <c r="B2038" s="19" t="s">
        <v>2205</v>
      </c>
      <c r="C2038" s="61" t="s">
        <v>3</v>
      </c>
      <c r="D2038" s="20" t="s">
        <v>1928</v>
      </c>
      <c r="E2038" s="32" t="s">
        <v>205</v>
      </c>
      <c r="F2038" s="20" t="str">
        <f t="shared" si="157"/>
        <v>Block 38</v>
      </c>
      <c r="G2038" s="20" t="str">
        <f t="shared" si="156"/>
        <v>Lot 04</v>
      </c>
      <c r="H2038" s="40">
        <v>55</v>
      </c>
      <c r="I2038" s="41">
        <v>100</v>
      </c>
      <c r="J2038" s="19" t="s">
        <v>1917</v>
      </c>
      <c r="K2038" s="35" t="s">
        <v>1918</v>
      </c>
      <c r="L2038" s="36">
        <f>IFERROR(INDEX([3]ESE!$AD$22:$BD$453,MATCH($B2038,[3]ESE!$AD$22:$AD$453,0),23),"NA")</f>
        <v>3900000</v>
      </c>
      <c r="M2038" s="36"/>
      <c r="N2038" s="36">
        <f t="shared" si="164"/>
        <v>3900000</v>
      </c>
      <c r="O2038" s="36">
        <f t="shared" si="165"/>
        <v>468000</v>
      </c>
      <c r="P2038" s="60">
        <f t="shared" si="166"/>
        <v>3432000</v>
      </c>
    </row>
    <row r="2039" spans="2:16">
      <c r="B2039" s="19" t="s">
        <v>2206</v>
      </c>
      <c r="C2039" s="61" t="s">
        <v>3</v>
      </c>
      <c r="D2039" s="20" t="s">
        <v>1928</v>
      </c>
      <c r="E2039" s="32" t="s">
        <v>205</v>
      </c>
      <c r="F2039" s="20" t="str">
        <f t="shared" si="157"/>
        <v>Block 38</v>
      </c>
      <c r="G2039" s="20" t="str">
        <f t="shared" si="156"/>
        <v>Lot 06</v>
      </c>
      <c r="H2039" s="40">
        <v>55</v>
      </c>
      <c r="I2039" s="41">
        <v>80</v>
      </c>
      <c r="J2039" s="19" t="s">
        <v>1917</v>
      </c>
      <c r="K2039" s="35" t="s">
        <v>1918</v>
      </c>
      <c r="L2039" s="36">
        <f>IFERROR(INDEX([3]ESE!$AD$22:$BD$453,MATCH($B2039,[3]ESE!$AD$22:$AD$453,0),23),"NA")</f>
        <v>3600000</v>
      </c>
      <c r="M2039" s="36"/>
      <c r="N2039" s="36">
        <f t="shared" si="164"/>
        <v>3600000</v>
      </c>
      <c r="O2039" s="36">
        <f t="shared" si="165"/>
        <v>0</v>
      </c>
      <c r="P2039" s="60">
        <f t="shared" si="166"/>
        <v>3600000</v>
      </c>
    </row>
    <row r="2040" spans="2:16">
      <c r="B2040" s="19" t="s">
        <v>2207</v>
      </c>
      <c r="C2040" s="61" t="s">
        <v>3</v>
      </c>
      <c r="D2040" s="20" t="s">
        <v>1928</v>
      </c>
      <c r="E2040" s="32" t="s">
        <v>205</v>
      </c>
      <c r="F2040" s="20" t="str">
        <f t="shared" si="157"/>
        <v>Block 38</v>
      </c>
      <c r="G2040" s="20" t="str">
        <f t="shared" si="156"/>
        <v>Lot 07</v>
      </c>
      <c r="H2040" s="40">
        <v>55</v>
      </c>
      <c r="I2040" s="41">
        <v>80</v>
      </c>
      <c r="J2040" s="19" t="s">
        <v>1917</v>
      </c>
      <c r="K2040" s="35" t="s">
        <v>1920</v>
      </c>
      <c r="L2040" s="36">
        <f>IFERROR(INDEX([3]ESE!$AD$22:$BD$453,MATCH($B2040,[3]ESE!$AD$22:$AD$453,0),23),"NA")</f>
        <v>3600000</v>
      </c>
      <c r="M2040" s="36"/>
      <c r="N2040" s="36">
        <f t="shared" si="164"/>
        <v>3600000</v>
      </c>
      <c r="O2040" s="36">
        <f t="shared" si="165"/>
        <v>0</v>
      </c>
      <c r="P2040" s="60">
        <f t="shared" si="166"/>
        <v>3600000</v>
      </c>
    </row>
    <row r="2041" spans="2:16">
      <c r="B2041" s="19" t="s">
        <v>2208</v>
      </c>
      <c r="C2041" s="61" t="s">
        <v>3</v>
      </c>
      <c r="D2041" s="20" t="s">
        <v>1928</v>
      </c>
      <c r="E2041" s="32" t="s">
        <v>205</v>
      </c>
      <c r="F2041" s="20" t="str">
        <f t="shared" si="157"/>
        <v>Block 38</v>
      </c>
      <c r="G2041" s="20" t="str">
        <f t="shared" si="156"/>
        <v>Lot 08</v>
      </c>
      <c r="H2041" s="40">
        <v>55</v>
      </c>
      <c r="I2041" s="41">
        <v>100</v>
      </c>
      <c r="J2041" s="19" t="s">
        <v>1917</v>
      </c>
      <c r="K2041" s="35" t="s">
        <v>1926</v>
      </c>
      <c r="L2041" s="36">
        <f>IFERROR(INDEX([3]ESE!$AD$22:$BD$453,MATCH($B2041,[3]ESE!$AD$22:$AD$453,0),23),"NA")</f>
        <v>3900000</v>
      </c>
      <c r="M2041" s="36"/>
      <c r="N2041" s="36">
        <f t="shared" si="164"/>
        <v>3900000</v>
      </c>
      <c r="O2041" s="36">
        <f t="shared" si="165"/>
        <v>468000</v>
      </c>
      <c r="P2041" s="60">
        <f t="shared" si="166"/>
        <v>3432000</v>
      </c>
    </row>
    <row r="2042" spans="2:16">
      <c r="B2042" s="19" t="s">
        <v>2209</v>
      </c>
      <c r="C2042" s="61" t="s">
        <v>3</v>
      </c>
      <c r="D2042" s="20" t="s">
        <v>1928</v>
      </c>
      <c r="E2042" s="32" t="s">
        <v>205</v>
      </c>
      <c r="F2042" s="20" t="str">
        <f t="shared" si="157"/>
        <v>Block 38</v>
      </c>
      <c r="G2042" s="20" t="str">
        <f t="shared" si="156"/>
        <v>Lot 10</v>
      </c>
      <c r="H2042" s="40">
        <v>55</v>
      </c>
      <c r="I2042" s="41">
        <v>80</v>
      </c>
      <c r="J2042" s="19" t="s">
        <v>1917</v>
      </c>
      <c r="K2042" s="35" t="s">
        <v>1924</v>
      </c>
      <c r="L2042" s="36">
        <f>IFERROR(INDEX([3]ESE!$AD$22:$BD$453,MATCH($B2042,[3]ESE!$AD$22:$AD$453,0),23),"NA")</f>
        <v>3600000</v>
      </c>
      <c r="M2042" s="36"/>
      <c r="N2042" s="36">
        <f t="shared" si="164"/>
        <v>3600000</v>
      </c>
      <c r="O2042" s="36">
        <f t="shared" si="165"/>
        <v>0</v>
      </c>
      <c r="P2042" s="60">
        <f t="shared" si="166"/>
        <v>3600000</v>
      </c>
    </row>
    <row r="2043" spans="2:16">
      <c r="B2043" s="19" t="s">
        <v>2210</v>
      </c>
      <c r="C2043" s="61" t="s">
        <v>3</v>
      </c>
      <c r="D2043" s="20" t="s">
        <v>1928</v>
      </c>
      <c r="E2043" s="32" t="s">
        <v>205</v>
      </c>
      <c r="F2043" s="20" t="str">
        <f t="shared" si="157"/>
        <v>Block 38</v>
      </c>
      <c r="G2043" s="20" t="str">
        <f t="shared" si="156"/>
        <v>Lot 11</v>
      </c>
      <c r="H2043" s="40">
        <v>55</v>
      </c>
      <c r="I2043" s="41">
        <v>98</v>
      </c>
      <c r="J2043" s="19" t="s">
        <v>1917</v>
      </c>
      <c r="K2043" s="35" t="s">
        <v>1924</v>
      </c>
      <c r="L2043" s="36">
        <f>IFERROR(INDEX([3]ESE!$AD$22:$BD$453,MATCH($B2043,[3]ESE!$AD$22:$AD$453,0),23),"NA")</f>
        <v>3870000</v>
      </c>
      <c r="M2043" s="36"/>
      <c r="N2043" s="36">
        <f t="shared" si="164"/>
        <v>3870000</v>
      </c>
      <c r="O2043" s="36">
        <f t="shared" si="165"/>
        <v>464400</v>
      </c>
      <c r="P2043" s="60">
        <f t="shared" si="166"/>
        <v>3405600</v>
      </c>
    </row>
    <row r="2044" spans="2:16">
      <c r="B2044" s="19" t="s">
        <v>2211</v>
      </c>
      <c r="C2044" s="61" t="s">
        <v>3</v>
      </c>
      <c r="D2044" s="20" t="s">
        <v>1928</v>
      </c>
      <c r="E2044" s="32" t="s">
        <v>205</v>
      </c>
      <c r="F2044" s="20" t="str">
        <f t="shared" si="157"/>
        <v>Block 38</v>
      </c>
      <c r="G2044" s="20" t="str">
        <f t="shared" si="156"/>
        <v>Lot 12</v>
      </c>
      <c r="H2044" s="40">
        <v>55</v>
      </c>
      <c r="I2044" s="41">
        <v>98</v>
      </c>
      <c r="J2044" s="19" t="s">
        <v>1917</v>
      </c>
      <c r="K2044" s="35" t="s">
        <v>1926</v>
      </c>
      <c r="L2044" s="36">
        <f>IFERROR(INDEX([3]ESE!$AD$22:$BD$453,MATCH($B2044,[3]ESE!$AD$22:$AD$453,0),23),"NA")</f>
        <v>3870000</v>
      </c>
      <c r="M2044" s="36"/>
      <c r="N2044" s="36">
        <f t="shared" si="164"/>
        <v>3870000</v>
      </c>
      <c r="O2044" s="36">
        <f t="shared" si="165"/>
        <v>464400</v>
      </c>
      <c r="P2044" s="60">
        <f t="shared" si="166"/>
        <v>3405600</v>
      </c>
    </row>
    <row r="2045" spans="2:16">
      <c r="B2045" s="19" t="s">
        <v>2212</v>
      </c>
      <c r="C2045" s="61" t="s">
        <v>3</v>
      </c>
      <c r="D2045" s="20" t="s">
        <v>1952</v>
      </c>
      <c r="E2045" s="32" t="s">
        <v>205</v>
      </c>
      <c r="F2045" s="20" t="str">
        <f t="shared" si="157"/>
        <v>Block 39</v>
      </c>
      <c r="G2045" s="20" t="str">
        <f t="shared" si="156"/>
        <v>Lot 01</v>
      </c>
      <c r="H2045" s="40">
        <v>55</v>
      </c>
      <c r="I2045" s="41">
        <v>91</v>
      </c>
      <c r="J2045" s="19" t="s">
        <v>1917</v>
      </c>
      <c r="K2045" s="35" t="s">
        <v>1920</v>
      </c>
      <c r="L2045" s="36">
        <f>IFERROR(INDEX([3]ESE!$AD$22:$BD$453,MATCH($B2045,[3]ESE!$AD$22:$AD$453,0),23),"NA")</f>
        <v>3765000</v>
      </c>
      <c r="M2045" s="36"/>
      <c r="N2045" s="36">
        <f t="shared" si="164"/>
        <v>3765000</v>
      </c>
      <c r="O2045" s="36">
        <f t="shared" si="165"/>
        <v>451800</v>
      </c>
      <c r="P2045" s="60">
        <f t="shared" si="166"/>
        <v>3313200</v>
      </c>
    </row>
    <row r="2046" spans="2:16">
      <c r="B2046" s="19" t="s">
        <v>2213</v>
      </c>
      <c r="C2046" s="61" t="s">
        <v>3</v>
      </c>
      <c r="D2046" s="20" t="s">
        <v>1952</v>
      </c>
      <c r="E2046" s="32" t="s">
        <v>205</v>
      </c>
      <c r="F2046" s="20" t="str">
        <f t="shared" si="157"/>
        <v>Block 39</v>
      </c>
      <c r="G2046" s="20" t="str">
        <f t="shared" si="156"/>
        <v>Lot 02</v>
      </c>
      <c r="H2046" s="40">
        <v>55</v>
      </c>
      <c r="I2046" s="41">
        <v>80</v>
      </c>
      <c r="J2046" s="19" t="s">
        <v>1917</v>
      </c>
      <c r="K2046" s="35" t="s">
        <v>1918</v>
      </c>
      <c r="L2046" s="36">
        <f>IFERROR(INDEX([3]ESE!$AD$22:$BD$453,MATCH($B2046,[3]ESE!$AD$22:$AD$453,0),23),"NA")</f>
        <v>3600000</v>
      </c>
      <c r="M2046" s="36"/>
      <c r="N2046" s="36">
        <f t="shared" si="164"/>
        <v>3600000</v>
      </c>
      <c r="O2046" s="36">
        <f t="shared" si="165"/>
        <v>0</v>
      </c>
      <c r="P2046" s="60">
        <f t="shared" si="166"/>
        <v>3600000</v>
      </c>
    </row>
    <row r="2047" spans="2:16">
      <c r="B2047" s="19" t="s">
        <v>2214</v>
      </c>
      <c r="C2047" s="61" t="s">
        <v>3</v>
      </c>
      <c r="D2047" s="20" t="s">
        <v>1952</v>
      </c>
      <c r="E2047" s="32" t="s">
        <v>205</v>
      </c>
      <c r="F2047" s="20" t="str">
        <f t="shared" si="157"/>
        <v>Block 39</v>
      </c>
      <c r="G2047" s="20" t="str">
        <f t="shared" si="156"/>
        <v>Lot 03</v>
      </c>
      <c r="H2047" s="40">
        <v>55</v>
      </c>
      <c r="I2047" s="41">
        <v>80</v>
      </c>
      <c r="J2047" s="19" t="s">
        <v>1917</v>
      </c>
      <c r="K2047" s="35" t="s">
        <v>1920</v>
      </c>
      <c r="L2047" s="36">
        <f>IFERROR(INDEX([3]ESE!$AD$22:$BD$453,MATCH($B2047,[3]ESE!$AD$22:$AD$453,0),23),"NA")</f>
        <v>3600000</v>
      </c>
      <c r="M2047" s="36"/>
      <c r="N2047" s="36">
        <f t="shared" si="164"/>
        <v>3600000</v>
      </c>
      <c r="O2047" s="36">
        <f t="shared" si="165"/>
        <v>0</v>
      </c>
      <c r="P2047" s="60">
        <f t="shared" si="166"/>
        <v>3600000</v>
      </c>
    </row>
    <row r="2048" spans="2:16">
      <c r="B2048" s="19" t="s">
        <v>2215</v>
      </c>
      <c r="C2048" s="61" t="s">
        <v>3</v>
      </c>
      <c r="D2048" s="20" t="s">
        <v>1952</v>
      </c>
      <c r="E2048" s="32" t="s">
        <v>205</v>
      </c>
      <c r="F2048" s="20" t="str">
        <f t="shared" si="157"/>
        <v>Block 39</v>
      </c>
      <c r="G2048" s="20" t="str">
        <f t="shared" si="156"/>
        <v>Lot 04</v>
      </c>
      <c r="H2048" s="40">
        <v>55</v>
      </c>
      <c r="I2048" s="41">
        <v>80</v>
      </c>
      <c r="J2048" s="19" t="s">
        <v>1917</v>
      </c>
      <c r="K2048" s="35" t="s">
        <v>1918</v>
      </c>
      <c r="L2048" s="36">
        <f>IFERROR(INDEX([3]ESE!$AD$22:$BD$453,MATCH($B2048,[3]ESE!$AD$22:$AD$453,0),23),"NA")</f>
        <v>3600000</v>
      </c>
      <c r="M2048" s="36"/>
      <c r="N2048" s="36">
        <f t="shared" si="164"/>
        <v>3600000</v>
      </c>
      <c r="O2048" s="36">
        <f t="shared" si="165"/>
        <v>0</v>
      </c>
      <c r="P2048" s="60">
        <f t="shared" si="166"/>
        <v>3600000</v>
      </c>
    </row>
    <row r="2049" spans="2:16">
      <c r="B2049" s="19" t="s">
        <v>2216</v>
      </c>
      <c r="C2049" s="61" t="s">
        <v>3</v>
      </c>
      <c r="D2049" s="20" t="s">
        <v>2104</v>
      </c>
      <c r="E2049" s="32" t="s">
        <v>205</v>
      </c>
      <c r="F2049" s="20" t="str">
        <f t="shared" si="157"/>
        <v>Block 39</v>
      </c>
      <c r="G2049" s="20" t="str">
        <f t="shared" si="156"/>
        <v>Lot 05</v>
      </c>
      <c r="H2049" s="40">
        <v>55</v>
      </c>
      <c r="I2049" s="41">
        <v>80</v>
      </c>
      <c r="J2049" s="19" t="s">
        <v>1917</v>
      </c>
      <c r="K2049" s="35" t="s">
        <v>1924</v>
      </c>
      <c r="L2049" s="36">
        <f>IFERROR(INDEX([3]ESE!$AD$22:$BD$453,MATCH($B2049,[3]ESE!$AD$22:$AD$453,0),23),"NA")</f>
        <v>3600000</v>
      </c>
      <c r="M2049" s="36"/>
      <c r="N2049" s="36">
        <f t="shared" si="164"/>
        <v>3600000</v>
      </c>
      <c r="O2049" s="36">
        <f t="shared" si="165"/>
        <v>0</v>
      </c>
      <c r="P2049" s="60">
        <f t="shared" si="166"/>
        <v>3600000</v>
      </c>
    </row>
    <row r="2050" spans="2:16">
      <c r="B2050" s="19" t="s">
        <v>2217</v>
      </c>
      <c r="C2050" s="61" t="s">
        <v>3</v>
      </c>
      <c r="D2050" s="20" t="s">
        <v>2104</v>
      </c>
      <c r="E2050" s="32" t="s">
        <v>205</v>
      </c>
      <c r="F2050" s="20" t="str">
        <f t="shared" si="157"/>
        <v>Block 39</v>
      </c>
      <c r="G2050" s="20" t="str">
        <f t="shared" si="156"/>
        <v>Lot 06</v>
      </c>
      <c r="H2050" s="40">
        <v>55</v>
      </c>
      <c r="I2050" s="41">
        <v>80</v>
      </c>
      <c r="J2050" s="19" t="s">
        <v>1917</v>
      </c>
      <c r="K2050" s="35" t="s">
        <v>1926</v>
      </c>
      <c r="L2050" s="36">
        <f>IFERROR(INDEX([3]ESE!$AD$22:$BD$453,MATCH($B2050,[3]ESE!$AD$22:$AD$453,0),23),"NA")</f>
        <v>3600000</v>
      </c>
      <c r="M2050" s="36"/>
      <c r="N2050" s="36">
        <f t="shared" si="164"/>
        <v>3600000</v>
      </c>
      <c r="O2050" s="36">
        <f t="shared" si="165"/>
        <v>0</v>
      </c>
      <c r="P2050" s="60">
        <f t="shared" si="166"/>
        <v>3600000</v>
      </c>
    </row>
    <row r="2051" spans="2:16">
      <c r="B2051" s="19" t="s">
        <v>2218</v>
      </c>
      <c r="C2051" s="61" t="s">
        <v>3</v>
      </c>
      <c r="D2051" s="20" t="s">
        <v>2104</v>
      </c>
      <c r="E2051" s="32" t="s">
        <v>205</v>
      </c>
      <c r="F2051" s="20" t="str">
        <f t="shared" si="157"/>
        <v>Block 39</v>
      </c>
      <c r="G2051" s="20" t="str">
        <f t="shared" si="156"/>
        <v>Lot 07</v>
      </c>
      <c r="H2051" s="40">
        <v>55</v>
      </c>
      <c r="I2051" s="41">
        <v>80</v>
      </c>
      <c r="J2051" s="19" t="s">
        <v>1917</v>
      </c>
      <c r="K2051" s="35" t="s">
        <v>1924</v>
      </c>
      <c r="L2051" s="36">
        <f>IFERROR(INDEX([3]ESE!$AD$22:$BD$453,MATCH($B2051,[3]ESE!$AD$22:$AD$453,0),23),"NA")</f>
        <v>3600000</v>
      </c>
      <c r="M2051" s="36"/>
      <c r="N2051" s="36">
        <f t="shared" si="164"/>
        <v>3600000</v>
      </c>
      <c r="O2051" s="36">
        <f t="shared" si="165"/>
        <v>0</v>
      </c>
      <c r="P2051" s="60">
        <f t="shared" si="166"/>
        <v>3600000</v>
      </c>
    </row>
    <row r="2052" spans="2:16">
      <c r="B2052" s="19" t="s">
        <v>2219</v>
      </c>
      <c r="C2052" s="61" t="s">
        <v>3</v>
      </c>
      <c r="D2052" s="20" t="s">
        <v>2104</v>
      </c>
      <c r="E2052" s="32" t="s">
        <v>243</v>
      </c>
      <c r="F2052" s="20" t="str">
        <f t="shared" si="157"/>
        <v>Block 39</v>
      </c>
      <c r="G2052" s="20" t="str">
        <f t="shared" si="156"/>
        <v>Lot 08</v>
      </c>
      <c r="H2052" s="40">
        <v>55</v>
      </c>
      <c r="I2052" s="41">
        <v>80</v>
      </c>
      <c r="J2052" s="19" t="s">
        <v>1917</v>
      </c>
      <c r="K2052" s="35" t="s">
        <v>1926</v>
      </c>
      <c r="L2052" s="36">
        <f>IFERROR(INDEX([3]ESE!$AD$22:$BD$453,MATCH($B2052,[3]ESE!$AD$22:$AD$453,0),23),"NA")</f>
        <v>3600000</v>
      </c>
      <c r="M2052" s="36"/>
      <c r="N2052" s="36">
        <f t="shared" si="164"/>
        <v>3600000</v>
      </c>
      <c r="O2052" s="36">
        <f t="shared" si="165"/>
        <v>0</v>
      </c>
      <c r="P2052" s="60">
        <f t="shared" si="166"/>
        <v>3600000</v>
      </c>
    </row>
    <row r="2053" spans="2:16">
      <c r="B2053" s="19" t="s">
        <v>2220</v>
      </c>
      <c r="C2053" s="61" t="s">
        <v>3</v>
      </c>
      <c r="D2053" s="20" t="s">
        <v>1952</v>
      </c>
      <c r="E2053" s="32" t="s">
        <v>243</v>
      </c>
      <c r="F2053" s="20" t="str">
        <f t="shared" si="157"/>
        <v>Block 39</v>
      </c>
      <c r="G2053" s="20" t="str">
        <f t="shared" si="156"/>
        <v>Lot 09</v>
      </c>
      <c r="H2053" s="40">
        <v>55</v>
      </c>
      <c r="I2053" s="41">
        <v>80</v>
      </c>
      <c r="J2053" s="19" t="s">
        <v>1917</v>
      </c>
      <c r="K2053" s="35" t="s">
        <v>1920</v>
      </c>
      <c r="L2053" s="36">
        <f>IFERROR(INDEX([3]ESE!$AD$22:$BD$453,MATCH($B2053,[3]ESE!$AD$22:$AD$453,0),23),"NA")</f>
        <v>3600000</v>
      </c>
      <c r="M2053" s="36"/>
      <c r="N2053" s="36">
        <f t="shared" si="164"/>
        <v>3600000</v>
      </c>
      <c r="O2053" s="36">
        <f t="shared" si="165"/>
        <v>0</v>
      </c>
      <c r="P2053" s="60">
        <f t="shared" si="166"/>
        <v>3600000</v>
      </c>
    </row>
    <row r="2054" spans="2:16">
      <c r="B2054" s="19" t="s">
        <v>2221</v>
      </c>
      <c r="C2054" s="61" t="s">
        <v>3</v>
      </c>
      <c r="D2054" s="20" t="s">
        <v>1952</v>
      </c>
      <c r="E2054" s="32" t="s">
        <v>205</v>
      </c>
      <c r="F2054" s="20" t="str">
        <f t="shared" si="157"/>
        <v>Block 39</v>
      </c>
      <c r="G2054" s="20" t="str">
        <f t="shared" si="156"/>
        <v>Lot 10</v>
      </c>
      <c r="H2054" s="40">
        <v>55</v>
      </c>
      <c r="I2054" s="41">
        <v>80</v>
      </c>
      <c r="J2054" s="19" t="s">
        <v>1917</v>
      </c>
      <c r="K2054" s="35" t="s">
        <v>1918</v>
      </c>
      <c r="L2054" s="36">
        <f>IFERROR(INDEX([3]ESE!$AD$22:$BD$453,MATCH($B2054,[3]ESE!$AD$22:$AD$453,0),23),"NA")</f>
        <v>3600000</v>
      </c>
      <c r="M2054" s="36"/>
      <c r="N2054" s="36">
        <f t="shared" si="164"/>
        <v>3600000</v>
      </c>
      <c r="O2054" s="36">
        <f t="shared" si="165"/>
        <v>0</v>
      </c>
      <c r="P2054" s="60">
        <f t="shared" si="166"/>
        <v>3600000</v>
      </c>
    </row>
    <row r="2055" spans="2:16">
      <c r="B2055" s="19" t="s">
        <v>2222</v>
      </c>
      <c r="C2055" s="61" t="s">
        <v>3</v>
      </c>
      <c r="D2055" s="20" t="s">
        <v>1952</v>
      </c>
      <c r="E2055" s="32" t="s">
        <v>205</v>
      </c>
      <c r="F2055" s="20" t="str">
        <f t="shared" si="157"/>
        <v>Block 39</v>
      </c>
      <c r="G2055" s="20" t="str">
        <f t="shared" si="156"/>
        <v>Lot 11</v>
      </c>
      <c r="H2055" s="40">
        <v>55</v>
      </c>
      <c r="I2055" s="41">
        <v>80</v>
      </c>
      <c r="J2055" s="19" t="s">
        <v>1917</v>
      </c>
      <c r="K2055" s="35" t="s">
        <v>1920</v>
      </c>
      <c r="L2055" s="36">
        <f>IFERROR(INDEX([3]ESE!$AD$22:$BD$453,MATCH($B2055,[3]ESE!$AD$22:$AD$453,0),23),"NA")</f>
        <v>3600000</v>
      </c>
      <c r="M2055" s="36"/>
      <c r="N2055" s="36">
        <f t="shared" si="164"/>
        <v>3600000</v>
      </c>
      <c r="O2055" s="36">
        <f t="shared" si="165"/>
        <v>0</v>
      </c>
      <c r="P2055" s="60">
        <f t="shared" si="166"/>
        <v>3600000</v>
      </c>
    </row>
    <row r="2056" spans="2:16">
      <c r="B2056" s="19" t="s">
        <v>2223</v>
      </c>
      <c r="C2056" s="61" t="s">
        <v>3</v>
      </c>
      <c r="D2056" s="20" t="s">
        <v>1952</v>
      </c>
      <c r="E2056" s="32" t="s">
        <v>205</v>
      </c>
      <c r="F2056" s="20" t="str">
        <f t="shared" si="157"/>
        <v>Block 39</v>
      </c>
      <c r="G2056" s="20" t="str">
        <f t="shared" si="156"/>
        <v>Lot 12</v>
      </c>
      <c r="H2056" s="40">
        <v>55</v>
      </c>
      <c r="I2056" s="41">
        <v>80</v>
      </c>
      <c r="J2056" s="19" t="s">
        <v>1917</v>
      </c>
      <c r="K2056" s="35" t="s">
        <v>1918</v>
      </c>
      <c r="L2056" s="36">
        <f>IFERROR(INDEX([3]ESE!$AD$22:$BD$453,MATCH($B2056,[3]ESE!$AD$22:$AD$453,0),23),"NA")</f>
        <v>3600000</v>
      </c>
      <c r="M2056" s="36"/>
      <c r="N2056" s="36">
        <f t="shared" si="164"/>
        <v>3600000</v>
      </c>
      <c r="O2056" s="36">
        <f t="shared" si="165"/>
        <v>0</v>
      </c>
      <c r="P2056" s="60">
        <f t="shared" si="166"/>
        <v>3600000</v>
      </c>
    </row>
    <row r="2057" spans="2:16">
      <c r="B2057" s="19" t="s">
        <v>2224</v>
      </c>
      <c r="C2057" s="61" t="s">
        <v>3</v>
      </c>
      <c r="D2057" s="20" t="s">
        <v>2104</v>
      </c>
      <c r="E2057" s="32" t="s">
        <v>205</v>
      </c>
      <c r="F2057" s="20" t="str">
        <f t="shared" si="157"/>
        <v>Block 39</v>
      </c>
      <c r="G2057" s="20" t="str">
        <f t="shared" si="156"/>
        <v>Lot 13</v>
      </c>
      <c r="H2057" s="40">
        <v>55</v>
      </c>
      <c r="I2057" s="41">
        <v>80</v>
      </c>
      <c r="J2057" s="19" t="s">
        <v>1917</v>
      </c>
      <c r="K2057" s="35" t="s">
        <v>1924</v>
      </c>
      <c r="L2057" s="36">
        <f>IFERROR(INDEX([3]ESE!$AD$22:$BD$453,MATCH($B2057,[3]ESE!$AD$22:$AD$453,0),23),"NA")</f>
        <v>3600000</v>
      </c>
      <c r="M2057" s="36"/>
      <c r="N2057" s="36">
        <f t="shared" si="164"/>
        <v>3600000</v>
      </c>
      <c r="O2057" s="36">
        <f t="shared" si="165"/>
        <v>0</v>
      </c>
      <c r="P2057" s="60">
        <f t="shared" si="166"/>
        <v>3600000</v>
      </c>
    </row>
    <row r="2058" spans="2:16">
      <c r="B2058" s="19" t="s">
        <v>2225</v>
      </c>
      <c r="C2058" s="61" t="s">
        <v>3</v>
      </c>
      <c r="D2058" s="20" t="s">
        <v>2104</v>
      </c>
      <c r="E2058" s="32" t="s">
        <v>205</v>
      </c>
      <c r="F2058" s="20" t="str">
        <f t="shared" si="157"/>
        <v>Block 39</v>
      </c>
      <c r="G2058" s="20" t="str">
        <f t="shared" si="156"/>
        <v>Lot 14</v>
      </c>
      <c r="H2058" s="40">
        <v>55</v>
      </c>
      <c r="I2058" s="41">
        <v>80</v>
      </c>
      <c r="J2058" s="19" t="s">
        <v>1917</v>
      </c>
      <c r="K2058" s="35" t="s">
        <v>1926</v>
      </c>
      <c r="L2058" s="36">
        <f>IFERROR(INDEX([3]ESE!$AD$22:$BD$453,MATCH($B2058,[3]ESE!$AD$22:$AD$453,0),23),"NA")</f>
        <v>3600000</v>
      </c>
      <c r="M2058" s="36"/>
      <c r="N2058" s="36">
        <f t="shared" si="164"/>
        <v>3600000</v>
      </c>
      <c r="O2058" s="36">
        <f t="shared" si="165"/>
        <v>0</v>
      </c>
      <c r="P2058" s="60">
        <f t="shared" si="166"/>
        <v>3600000</v>
      </c>
    </row>
    <row r="2059" spans="2:16">
      <c r="B2059" s="19" t="s">
        <v>2226</v>
      </c>
      <c r="C2059" s="61" t="s">
        <v>3</v>
      </c>
      <c r="D2059" s="20" t="s">
        <v>1952</v>
      </c>
      <c r="E2059" s="32" t="s">
        <v>205</v>
      </c>
      <c r="F2059" s="20" t="str">
        <f t="shared" si="157"/>
        <v>Block 39</v>
      </c>
      <c r="G2059" s="20" t="str">
        <f t="shared" si="156"/>
        <v>Lot 15</v>
      </c>
      <c r="H2059" s="40">
        <v>55</v>
      </c>
      <c r="I2059" s="41">
        <v>80</v>
      </c>
      <c r="J2059" s="19" t="s">
        <v>1917</v>
      </c>
      <c r="K2059" s="35" t="s">
        <v>1924</v>
      </c>
      <c r="L2059" s="36">
        <f>IFERROR(INDEX([3]ESE!$AD$22:$BD$453,MATCH($B2059,[3]ESE!$AD$22:$AD$453,0),23),"NA")</f>
        <v>3600000</v>
      </c>
      <c r="M2059" s="36"/>
      <c r="N2059" s="36">
        <f t="shared" si="164"/>
        <v>3600000</v>
      </c>
      <c r="O2059" s="36">
        <f t="shared" si="165"/>
        <v>0</v>
      </c>
      <c r="P2059" s="60">
        <f t="shared" si="166"/>
        <v>3600000</v>
      </c>
    </row>
    <row r="2060" spans="2:16">
      <c r="B2060" s="19" t="s">
        <v>2227</v>
      </c>
      <c r="C2060" s="61" t="s">
        <v>3</v>
      </c>
      <c r="D2060" s="20" t="s">
        <v>1952</v>
      </c>
      <c r="E2060" s="32" t="s">
        <v>205</v>
      </c>
      <c r="F2060" s="20" t="str">
        <f t="shared" si="157"/>
        <v>Block 39</v>
      </c>
      <c r="G2060" s="20" t="str">
        <f t="shared" si="156"/>
        <v>Lot 16</v>
      </c>
      <c r="H2060" s="40">
        <v>55</v>
      </c>
      <c r="I2060" s="41">
        <v>80</v>
      </c>
      <c r="J2060" s="19" t="s">
        <v>1917</v>
      </c>
      <c r="K2060" s="35" t="s">
        <v>1926</v>
      </c>
      <c r="L2060" s="36">
        <f>IFERROR(INDEX([3]ESE!$AD$22:$BD$453,MATCH($B2060,[3]ESE!$AD$22:$AD$453,0),23),"NA")</f>
        <v>3600000</v>
      </c>
      <c r="M2060" s="36"/>
      <c r="N2060" s="36">
        <f t="shared" si="164"/>
        <v>3600000</v>
      </c>
      <c r="O2060" s="36">
        <f t="shared" si="165"/>
        <v>0</v>
      </c>
      <c r="P2060" s="60">
        <f t="shared" si="166"/>
        <v>3600000</v>
      </c>
    </row>
    <row r="2061" spans="2:16">
      <c r="B2061" s="19" t="s">
        <v>2228</v>
      </c>
      <c r="C2061" s="61" t="s">
        <v>3</v>
      </c>
      <c r="D2061" s="20" t="s">
        <v>2104</v>
      </c>
      <c r="E2061" s="32" t="s">
        <v>205</v>
      </c>
      <c r="F2061" s="20" t="str">
        <f t="shared" si="157"/>
        <v>Block 39</v>
      </c>
      <c r="G2061" s="20" t="str">
        <f t="shared" si="156"/>
        <v>Lot 17</v>
      </c>
      <c r="H2061" s="40">
        <v>55</v>
      </c>
      <c r="I2061" s="41">
        <v>80</v>
      </c>
      <c r="J2061" s="19" t="s">
        <v>1917</v>
      </c>
      <c r="K2061" s="35" t="s">
        <v>1920</v>
      </c>
      <c r="L2061" s="36">
        <f>IFERROR(INDEX([3]ESE!$AD$22:$BD$453,MATCH($B2061,[3]ESE!$AD$22:$AD$453,0),23),"NA")</f>
        <v>3600000</v>
      </c>
      <c r="M2061" s="36"/>
      <c r="N2061" s="36">
        <f t="shared" si="164"/>
        <v>3600000</v>
      </c>
      <c r="O2061" s="36">
        <f t="shared" si="165"/>
        <v>0</v>
      </c>
      <c r="P2061" s="60">
        <f t="shared" si="166"/>
        <v>3600000</v>
      </c>
    </row>
    <row r="2062" spans="2:16">
      <c r="B2062" s="19" t="s">
        <v>2229</v>
      </c>
      <c r="C2062" s="61" t="s">
        <v>3</v>
      </c>
      <c r="D2062" s="20" t="s">
        <v>2104</v>
      </c>
      <c r="E2062" s="32" t="s">
        <v>205</v>
      </c>
      <c r="F2062" s="20" t="str">
        <f t="shared" si="157"/>
        <v>Block 39</v>
      </c>
      <c r="G2062" s="20" t="str">
        <f t="shared" si="156"/>
        <v>Lot 18</v>
      </c>
      <c r="H2062" s="40">
        <v>55</v>
      </c>
      <c r="I2062" s="41">
        <v>80</v>
      </c>
      <c r="J2062" s="19" t="s">
        <v>1917</v>
      </c>
      <c r="K2062" s="35" t="s">
        <v>1918</v>
      </c>
      <c r="L2062" s="36">
        <f>IFERROR(INDEX([3]ESE!$AD$22:$BD$453,MATCH($B2062,[3]ESE!$AD$22:$AD$453,0),23),"NA")</f>
        <v>3600000</v>
      </c>
      <c r="M2062" s="36"/>
      <c r="N2062" s="36">
        <f t="shared" si="164"/>
        <v>3600000</v>
      </c>
      <c r="O2062" s="36">
        <f t="shared" si="165"/>
        <v>0</v>
      </c>
      <c r="P2062" s="60">
        <f t="shared" si="166"/>
        <v>3600000</v>
      </c>
    </row>
    <row r="2063" spans="2:16">
      <c r="B2063" s="19" t="s">
        <v>2230</v>
      </c>
      <c r="C2063" s="61" t="s">
        <v>3</v>
      </c>
      <c r="D2063" s="20" t="s">
        <v>1952</v>
      </c>
      <c r="E2063" s="32" t="s">
        <v>205</v>
      </c>
      <c r="F2063" s="20" t="str">
        <f t="shared" si="157"/>
        <v>Block 39</v>
      </c>
      <c r="G2063" s="20" t="str">
        <f t="shared" si="156"/>
        <v>Lot 19</v>
      </c>
      <c r="H2063" s="38">
        <v>55</v>
      </c>
      <c r="I2063" s="39">
        <v>80</v>
      </c>
      <c r="J2063" s="19" t="s">
        <v>1917</v>
      </c>
      <c r="K2063" s="35" t="s">
        <v>1920</v>
      </c>
      <c r="L2063" s="36">
        <f>IFERROR(INDEX([3]ESE!$AD$22:$BD$453,MATCH($B2063,[3]ESE!$AD$22:$AD$453,0),23),"NA")</f>
        <v>3750000</v>
      </c>
      <c r="M2063" s="36"/>
      <c r="N2063" s="36">
        <f t="shared" si="164"/>
        <v>3750000</v>
      </c>
      <c r="O2063" s="36">
        <f t="shared" si="165"/>
        <v>450000</v>
      </c>
      <c r="P2063" s="60">
        <f t="shared" si="166"/>
        <v>3300000</v>
      </c>
    </row>
    <row r="2064" spans="2:16">
      <c r="B2064" s="19" t="s">
        <v>2231</v>
      </c>
      <c r="C2064" s="61" t="s">
        <v>3</v>
      </c>
      <c r="D2064" s="20" t="s">
        <v>1952</v>
      </c>
      <c r="E2064" s="32" t="s">
        <v>205</v>
      </c>
      <c r="F2064" s="20" t="str">
        <f t="shared" si="157"/>
        <v>Block 39</v>
      </c>
      <c r="G2064" s="20" t="str">
        <f t="shared" si="156"/>
        <v>Lot 20</v>
      </c>
      <c r="H2064" s="40">
        <v>55</v>
      </c>
      <c r="I2064" s="41">
        <v>90</v>
      </c>
      <c r="J2064" s="19" t="s">
        <v>1917</v>
      </c>
      <c r="K2064" s="35" t="s">
        <v>1918</v>
      </c>
      <c r="L2064" s="36">
        <f>IFERROR(INDEX([3]ESE!$AD$22:$BD$453,MATCH($B2064,[3]ESE!$AD$22:$AD$453,0),23),"NA")</f>
        <v>3750000</v>
      </c>
      <c r="M2064" s="36"/>
      <c r="N2064" s="36">
        <f t="shared" si="164"/>
        <v>3750000</v>
      </c>
      <c r="O2064" s="36">
        <f t="shared" si="165"/>
        <v>450000</v>
      </c>
      <c r="P2064" s="60">
        <f t="shared" si="166"/>
        <v>3300000</v>
      </c>
    </row>
    <row r="2065" spans="2:16">
      <c r="B2065" s="19" t="s">
        <v>2232</v>
      </c>
      <c r="C2065" s="61" t="s">
        <v>3</v>
      </c>
      <c r="D2065" s="20" t="s">
        <v>980</v>
      </c>
      <c r="E2065" s="32" t="s">
        <v>233</v>
      </c>
      <c r="F2065" s="20" t="str">
        <f t="shared" si="157"/>
        <v>Block 39</v>
      </c>
      <c r="G2065" s="20" t="str">
        <f t="shared" si="156"/>
        <v>Lot 21</v>
      </c>
      <c r="H2065" s="40" t="s">
        <v>99</v>
      </c>
      <c r="I2065" s="41">
        <v>102</v>
      </c>
      <c r="J2065" s="20" t="s">
        <v>100</v>
      </c>
      <c r="K2065" s="35" t="s">
        <v>982</v>
      </c>
      <c r="L2065" s="36">
        <f>IFERROR(INDEX([3]ESE!$AD$22:$BD$453,MATCH($B2065,[3]ESE!$AD$22:$AD$453,0),23),"NA")</f>
        <v>1836000</v>
      </c>
      <c r="M2065" s="36"/>
      <c r="N2065" s="36">
        <f>L2065-M2065</f>
        <v>1836000</v>
      </c>
      <c r="O2065" s="36">
        <f>L2065*12/112</f>
        <v>196714.28571428571</v>
      </c>
      <c r="P2065" s="60">
        <f>N2065-O2065</f>
        <v>1639285.7142857143</v>
      </c>
    </row>
    <row r="2066" spans="2:16">
      <c r="B2066" s="19" t="s">
        <v>2233</v>
      </c>
      <c r="C2066" s="61" t="s">
        <v>3</v>
      </c>
      <c r="D2066" s="20" t="s">
        <v>1952</v>
      </c>
      <c r="E2066" s="32" t="s">
        <v>205</v>
      </c>
      <c r="F2066" s="20" t="str">
        <f t="shared" si="157"/>
        <v>Block 39</v>
      </c>
      <c r="G2066" s="20" t="str">
        <f t="shared" si="156"/>
        <v>Lot 22</v>
      </c>
      <c r="H2066" s="40">
        <v>55</v>
      </c>
      <c r="I2066" s="41">
        <v>87</v>
      </c>
      <c r="J2066" s="19" t="s">
        <v>1917</v>
      </c>
      <c r="K2066" s="35" t="s">
        <v>1924</v>
      </c>
      <c r="L2066" s="36">
        <f>IFERROR(INDEX([3]ESE!$AD$22:$BD$453,MATCH($B2066,[3]ESE!$AD$22:$AD$453,0),23),"NA")</f>
        <v>3905000</v>
      </c>
      <c r="M2066" s="36"/>
      <c r="N2066" s="36">
        <f t="shared" ref="N2066:N2083" si="167">L2066-M2066</f>
        <v>3905000</v>
      </c>
      <c r="O2066" s="36">
        <f t="shared" ref="O2066:O2083" si="168">IF(N2066&lt;=3600000,0,N2066*12%)</f>
        <v>468600</v>
      </c>
      <c r="P2066" s="60">
        <f t="shared" ref="P2066:P2083" si="169">N2066-O2066</f>
        <v>3436400</v>
      </c>
    </row>
    <row r="2067" spans="2:16">
      <c r="B2067" s="19" t="s">
        <v>2234</v>
      </c>
      <c r="C2067" s="61" t="s">
        <v>3</v>
      </c>
      <c r="D2067" s="20" t="s">
        <v>1952</v>
      </c>
      <c r="E2067" s="32" t="s">
        <v>205</v>
      </c>
      <c r="F2067" s="20" t="str">
        <f t="shared" si="157"/>
        <v>Block 39</v>
      </c>
      <c r="G2067" s="20" t="str">
        <f t="shared" si="156"/>
        <v>Lot 23</v>
      </c>
      <c r="H2067" s="40">
        <v>55</v>
      </c>
      <c r="I2067" s="41">
        <v>90</v>
      </c>
      <c r="J2067" s="19" t="s">
        <v>1917</v>
      </c>
      <c r="K2067" s="35" t="s">
        <v>1926</v>
      </c>
      <c r="L2067" s="36">
        <f>IFERROR(INDEX([3]ESE!$AD$22:$BD$453,MATCH($B2067,[3]ESE!$AD$22:$AD$453,0),23),"NA")</f>
        <v>3750000</v>
      </c>
      <c r="M2067" s="36"/>
      <c r="N2067" s="36">
        <f t="shared" si="167"/>
        <v>3750000</v>
      </c>
      <c r="O2067" s="36">
        <f t="shared" si="168"/>
        <v>450000</v>
      </c>
      <c r="P2067" s="60">
        <f t="shared" si="169"/>
        <v>3300000</v>
      </c>
    </row>
    <row r="2068" spans="2:16">
      <c r="B2068" s="19" t="s">
        <v>2235</v>
      </c>
      <c r="C2068" s="61" t="s">
        <v>3</v>
      </c>
      <c r="D2068" s="20" t="s">
        <v>1952</v>
      </c>
      <c r="E2068" s="32" t="s">
        <v>205</v>
      </c>
      <c r="F2068" s="20" t="str">
        <f t="shared" si="157"/>
        <v>Block 39</v>
      </c>
      <c r="G2068" s="20" t="str">
        <f t="shared" si="156"/>
        <v>Lot 24</v>
      </c>
      <c r="H2068" s="40">
        <v>55</v>
      </c>
      <c r="I2068" s="41">
        <v>80</v>
      </c>
      <c r="J2068" s="19" t="s">
        <v>1917</v>
      </c>
      <c r="K2068" s="35" t="s">
        <v>1924</v>
      </c>
      <c r="L2068" s="36">
        <f>IFERROR(INDEX([3]ESE!$AD$22:$BD$453,MATCH($B2068,[3]ESE!$AD$22:$AD$453,0),23),"NA")</f>
        <v>3600000</v>
      </c>
      <c r="M2068" s="36"/>
      <c r="N2068" s="36">
        <f t="shared" si="167"/>
        <v>3600000</v>
      </c>
      <c r="O2068" s="36">
        <f t="shared" si="168"/>
        <v>0</v>
      </c>
      <c r="P2068" s="60">
        <f t="shared" si="169"/>
        <v>3600000</v>
      </c>
    </row>
    <row r="2069" spans="2:16">
      <c r="B2069" s="19" t="s">
        <v>2236</v>
      </c>
      <c r="C2069" s="61" t="s">
        <v>3</v>
      </c>
      <c r="D2069" s="20" t="s">
        <v>1952</v>
      </c>
      <c r="E2069" s="32" t="s">
        <v>205</v>
      </c>
      <c r="F2069" s="20" t="str">
        <f t="shared" si="157"/>
        <v>Block 39</v>
      </c>
      <c r="G2069" s="20" t="str">
        <f t="shared" si="156"/>
        <v>Lot 25</v>
      </c>
      <c r="H2069" s="40">
        <v>55</v>
      </c>
      <c r="I2069" s="41">
        <v>80</v>
      </c>
      <c r="J2069" s="19" t="s">
        <v>1917</v>
      </c>
      <c r="K2069" s="35" t="s">
        <v>1926</v>
      </c>
      <c r="L2069" s="36">
        <f>IFERROR(INDEX([3]ESE!$AD$22:$BD$453,MATCH($B2069,[3]ESE!$AD$22:$AD$453,0),23),"NA")</f>
        <v>3600000</v>
      </c>
      <c r="M2069" s="36"/>
      <c r="N2069" s="36">
        <f t="shared" si="167"/>
        <v>3600000</v>
      </c>
      <c r="O2069" s="36">
        <f t="shared" si="168"/>
        <v>0</v>
      </c>
      <c r="P2069" s="60">
        <f t="shared" si="169"/>
        <v>3600000</v>
      </c>
    </row>
    <row r="2070" spans="2:16">
      <c r="B2070" s="19" t="s">
        <v>2237</v>
      </c>
      <c r="C2070" s="61" t="s">
        <v>3</v>
      </c>
      <c r="D2070" s="20" t="s">
        <v>2104</v>
      </c>
      <c r="E2070" s="32" t="s">
        <v>205</v>
      </c>
      <c r="F2070" s="20" t="str">
        <f t="shared" si="157"/>
        <v>Block 39</v>
      </c>
      <c r="G2070" s="20" t="str">
        <f t="shared" si="156"/>
        <v>Lot 26</v>
      </c>
      <c r="H2070" s="40">
        <v>55</v>
      </c>
      <c r="I2070" s="41">
        <v>80</v>
      </c>
      <c r="J2070" s="19" t="s">
        <v>1917</v>
      </c>
      <c r="K2070" s="35" t="s">
        <v>1920</v>
      </c>
      <c r="L2070" s="36">
        <f>IFERROR(INDEX([3]ESE!$AD$22:$BD$453,MATCH($B2070,[3]ESE!$AD$22:$AD$453,0),23),"NA")</f>
        <v>3600000</v>
      </c>
      <c r="M2070" s="36"/>
      <c r="N2070" s="36">
        <f t="shared" si="167"/>
        <v>3600000</v>
      </c>
      <c r="O2070" s="36">
        <f t="shared" si="168"/>
        <v>0</v>
      </c>
      <c r="P2070" s="60">
        <f t="shared" si="169"/>
        <v>3600000</v>
      </c>
    </row>
    <row r="2071" spans="2:16">
      <c r="B2071" s="19" t="s">
        <v>2238</v>
      </c>
      <c r="C2071" s="61" t="s">
        <v>3</v>
      </c>
      <c r="D2071" s="20" t="s">
        <v>2104</v>
      </c>
      <c r="E2071" s="32" t="s">
        <v>205</v>
      </c>
      <c r="F2071" s="20" t="str">
        <f t="shared" si="157"/>
        <v>Block 39</v>
      </c>
      <c r="G2071" s="20" t="str">
        <f t="shared" si="156"/>
        <v>Lot 27</v>
      </c>
      <c r="H2071" s="40">
        <v>55</v>
      </c>
      <c r="I2071" s="41">
        <v>80</v>
      </c>
      <c r="J2071" s="19" t="s">
        <v>1917</v>
      </c>
      <c r="K2071" s="35" t="s">
        <v>1918</v>
      </c>
      <c r="L2071" s="36">
        <f>IFERROR(INDEX([3]ESE!$AD$22:$BD$453,MATCH($B2071,[3]ESE!$AD$22:$AD$453,0),23),"NA")</f>
        <v>3600000</v>
      </c>
      <c r="M2071" s="36"/>
      <c r="N2071" s="36">
        <f t="shared" si="167"/>
        <v>3600000</v>
      </c>
      <c r="O2071" s="36">
        <f t="shared" si="168"/>
        <v>0</v>
      </c>
      <c r="P2071" s="60">
        <f t="shared" si="169"/>
        <v>3600000</v>
      </c>
    </row>
    <row r="2072" spans="2:16">
      <c r="B2072" s="19" t="s">
        <v>2239</v>
      </c>
      <c r="C2072" s="61" t="s">
        <v>3</v>
      </c>
      <c r="D2072" s="20" t="s">
        <v>1952</v>
      </c>
      <c r="E2072" s="32" t="s">
        <v>243</v>
      </c>
      <c r="F2072" s="20" t="str">
        <f t="shared" si="157"/>
        <v>Block 39</v>
      </c>
      <c r="G2072" s="20" t="str">
        <f t="shared" ref="G2072:G2135" si="170">"Lot "&amp;TEXT(VALUE(RIGHT(B2072,3)),"00")</f>
        <v>Lot 28</v>
      </c>
      <c r="H2072" s="40">
        <v>55</v>
      </c>
      <c r="I2072" s="41">
        <v>80</v>
      </c>
      <c r="J2072" s="19" t="s">
        <v>1917</v>
      </c>
      <c r="K2072" s="35" t="s">
        <v>1920</v>
      </c>
      <c r="L2072" s="36">
        <f>IFERROR(INDEX([3]ESE!$AD$22:$BD$453,MATCH($B2072,[3]ESE!$AD$22:$AD$453,0),23),"NA")</f>
        <v>3600000</v>
      </c>
      <c r="M2072" s="36"/>
      <c r="N2072" s="36">
        <f t="shared" si="167"/>
        <v>3600000</v>
      </c>
      <c r="O2072" s="36">
        <f t="shared" si="168"/>
        <v>0</v>
      </c>
      <c r="P2072" s="60">
        <f t="shared" si="169"/>
        <v>3600000</v>
      </c>
    </row>
    <row r="2073" spans="2:16">
      <c r="B2073" s="19" t="s">
        <v>2240</v>
      </c>
      <c r="C2073" s="61" t="s">
        <v>3</v>
      </c>
      <c r="D2073" s="20" t="s">
        <v>1952</v>
      </c>
      <c r="E2073" s="32" t="s">
        <v>205</v>
      </c>
      <c r="F2073" s="20" t="str">
        <f t="shared" ref="F2073:F2136" si="171">"Block "&amp;TEXT(VALUE(MID(B2073,8,3)),"00")</f>
        <v>Block 39</v>
      </c>
      <c r="G2073" s="20" t="str">
        <f t="shared" si="170"/>
        <v>Lot 29</v>
      </c>
      <c r="H2073" s="40">
        <v>55</v>
      </c>
      <c r="I2073" s="41">
        <v>80</v>
      </c>
      <c r="J2073" s="19" t="s">
        <v>1917</v>
      </c>
      <c r="K2073" s="35" t="s">
        <v>1918</v>
      </c>
      <c r="L2073" s="36">
        <f>IFERROR(INDEX([3]ESE!$AD$22:$BD$453,MATCH($B2073,[3]ESE!$AD$22:$AD$453,0),23),"NA")</f>
        <v>3600000</v>
      </c>
      <c r="M2073" s="36"/>
      <c r="N2073" s="36">
        <f t="shared" si="167"/>
        <v>3600000</v>
      </c>
      <c r="O2073" s="36">
        <f t="shared" si="168"/>
        <v>0</v>
      </c>
      <c r="P2073" s="60">
        <f t="shared" si="169"/>
        <v>3600000</v>
      </c>
    </row>
    <row r="2074" spans="2:16">
      <c r="B2074" s="19" t="s">
        <v>2241</v>
      </c>
      <c r="C2074" s="61" t="s">
        <v>3</v>
      </c>
      <c r="D2074" s="20" t="s">
        <v>1952</v>
      </c>
      <c r="E2074" s="32" t="s">
        <v>243</v>
      </c>
      <c r="F2074" s="20" t="str">
        <f t="shared" si="171"/>
        <v>Block 39</v>
      </c>
      <c r="G2074" s="20" t="str">
        <f t="shared" si="170"/>
        <v>Lot 30</v>
      </c>
      <c r="H2074" s="40">
        <v>55</v>
      </c>
      <c r="I2074" s="41">
        <v>80</v>
      </c>
      <c r="J2074" s="19" t="s">
        <v>1917</v>
      </c>
      <c r="K2074" s="35" t="s">
        <v>1924</v>
      </c>
      <c r="L2074" s="36">
        <f>IFERROR(INDEX([3]ESE!$AD$22:$BD$453,MATCH($B2074,[3]ESE!$AD$22:$AD$453,0),23),"NA")</f>
        <v>3600000</v>
      </c>
      <c r="M2074" s="36"/>
      <c r="N2074" s="36">
        <f t="shared" si="167"/>
        <v>3600000</v>
      </c>
      <c r="O2074" s="36">
        <f t="shared" si="168"/>
        <v>0</v>
      </c>
      <c r="P2074" s="60">
        <f t="shared" si="169"/>
        <v>3600000</v>
      </c>
    </row>
    <row r="2075" spans="2:16">
      <c r="B2075" s="19" t="s">
        <v>2242</v>
      </c>
      <c r="C2075" s="61" t="s">
        <v>3</v>
      </c>
      <c r="D2075" s="20" t="s">
        <v>1952</v>
      </c>
      <c r="E2075" s="32" t="s">
        <v>205</v>
      </c>
      <c r="F2075" s="20" t="str">
        <f t="shared" si="171"/>
        <v>Block 39</v>
      </c>
      <c r="G2075" s="20" t="str">
        <f t="shared" si="170"/>
        <v>Lot 31</v>
      </c>
      <c r="H2075" s="40">
        <v>55</v>
      </c>
      <c r="I2075" s="41">
        <v>80</v>
      </c>
      <c r="J2075" s="19" t="s">
        <v>1917</v>
      </c>
      <c r="K2075" s="35" t="s">
        <v>1926</v>
      </c>
      <c r="L2075" s="36">
        <f>IFERROR(INDEX([3]ESE!$AD$22:$BD$453,MATCH($B2075,[3]ESE!$AD$22:$AD$453,0),23),"NA")</f>
        <v>3600000</v>
      </c>
      <c r="M2075" s="36"/>
      <c r="N2075" s="36">
        <f t="shared" si="167"/>
        <v>3600000</v>
      </c>
      <c r="O2075" s="36">
        <f t="shared" si="168"/>
        <v>0</v>
      </c>
      <c r="P2075" s="60">
        <f t="shared" si="169"/>
        <v>3600000</v>
      </c>
    </row>
    <row r="2076" spans="2:16">
      <c r="B2076" s="19" t="s">
        <v>2243</v>
      </c>
      <c r="C2076" s="61" t="s">
        <v>3</v>
      </c>
      <c r="D2076" s="20" t="s">
        <v>1952</v>
      </c>
      <c r="E2076" s="32" t="s">
        <v>205</v>
      </c>
      <c r="F2076" s="20" t="str">
        <f t="shared" si="171"/>
        <v>Block 39</v>
      </c>
      <c r="G2076" s="20" t="str">
        <f t="shared" si="170"/>
        <v>Lot 32</v>
      </c>
      <c r="H2076" s="40">
        <v>55</v>
      </c>
      <c r="I2076" s="41">
        <v>80</v>
      </c>
      <c r="J2076" s="19" t="s">
        <v>1917</v>
      </c>
      <c r="K2076" s="35" t="s">
        <v>1924</v>
      </c>
      <c r="L2076" s="36">
        <f>IFERROR(INDEX([3]ESE!$AD$22:$BD$453,MATCH($B2076,[3]ESE!$AD$22:$AD$453,0),23),"NA")</f>
        <v>3600000</v>
      </c>
      <c r="M2076" s="36"/>
      <c r="N2076" s="36">
        <f t="shared" si="167"/>
        <v>3600000</v>
      </c>
      <c r="O2076" s="36">
        <f t="shared" si="168"/>
        <v>0</v>
      </c>
      <c r="P2076" s="60">
        <f t="shared" si="169"/>
        <v>3600000</v>
      </c>
    </row>
    <row r="2077" spans="2:16">
      <c r="B2077" s="19" t="s">
        <v>2244</v>
      </c>
      <c r="C2077" s="61" t="s">
        <v>3</v>
      </c>
      <c r="D2077" s="20" t="s">
        <v>1952</v>
      </c>
      <c r="E2077" s="32" t="s">
        <v>205</v>
      </c>
      <c r="F2077" s="20" t="str">
        <f t="shared" si="171"/>
        <v>Block 39</v>
      </c>
      <c r="G2077" s="20" t="str">
        <f t="shared" si="170"/>
        <v>Lot 33</v>
      </c>
      <c r="H2077" s="40">
        <v>55</v>
      </c>
      <c r="I2077" s="41">
        <v>80</v>
      </c>
      <c r="J2077" s="19" t="s">
        <v>1917</v>
      </c>
      <c r="K2077" s="35" t="s">
        <v>1926</v>
      </c>
      <c r="L2077" s="36">
        <f>IFERROR(INDEX([3]ESE!$AD$22:$BD$453,MATCH($B2077,[3]ESE!$AD$22:$AD$453,0),23),"NA")</f>
        <v>3600000</v>
      </c>
      <c r="M2077" s="36"/>
      <c r="N2077" s="36">
        <f t="shared" si="167"/>
        <v>3600000</v>
      </c>
      <c r="O2077" s="36">
        <f t="shared" si="168"/>
        <v>0</v>
      </c>
      <c r="P2077" s="60">
        <f t="shared" si="169"/>
        <v>3600000</v>
      </c>
    </row>
    <row r="2078" spans="2:16">
      <c r="B2078" s="19" t="s">
        <v>2245</v>
      </c>
      <c r="C2078" s="61" t="s">
        <v>3</v>
      </c>
      <c r="D2078" s="20" t="s">
        <v>1952</v>
      </c>
      <c r="E2078" s="32" t="s">
        <v>205</v>
      </c>
      <c r="F2078" s="20" t="str">
        <f t="shared" si="171"/>
        <v>Block 39</v>
      </c>
      <c r="G2078" s="20" t="str">
        <f t="shared" si="170"/>
        <v>Lot 34</v>
      </c>
      <c r="H2078" s="40">
        <v>55</v>
      </c>
      <c r="I2078" s="41">
        <v>80</v>
      </c>
      <c r="J2078" s="19" t="s">
        <v>1917</v>
      </c>
      <c r="K2078" s="35" t="s">
        <v>1920</v>
      </c>
      <c r="L2078" s="36">
        <f>IFERROR(INDEX([3]ESE!$AD$22:$BD$453,MATCH($B2078,[3]ESE!$AD$22:$AD$453,0),23),"NA")</f>
        <v>3600000</v>
      </c>
      <c r="M2078" s="36"/>
      <c r="N2078" s="36">
        <f t="shared" si="167"/>
        <v>3600000</v>
      </c>
      <c r="O2078" s="36">
        <f t="shared" si="168"/>
        <v>0</v>
      </c>
      <c r="P2078" s="60">
        <f t="shared" si="169"/>
        <v>3600000</v>
      </c>
    </row>
    <row r="2079" spans="2:16">
      <c r="B2079" s="19" t="s">
        <v>2246</v>
      </c>
      <c r="C2079" s="61" t="s">
        <v>3</v>
      </c>
      <c r="D2079" s="20" t="s">
        <v>1952</v>
      </c>
      <c r="E2079" s="32" t="s">
        <v>205</v>
      </c>
      <c r="F2079" s="20" t="str">
        <f t="shared" si="171"/>
        <v>Block 39</v>
      </c>
      <c r="G2079" s="20" t="str">
        <f t="shared" si="170"/>
        <v>Lot 35</v>
      </c>
      <c r="H2079" s="40">
        <v>55</v>
      </c>
      <c r="I2079" s="41">
        <v>80</v>
      </c>
      <c r="J2079" s="19" t="s">
        <v>1917</v>
      </c>
      <c r="K2079" s="35" t="s">
        <v>1918</v>
      </c>
      <c r="L2079" s="36">
        <f>IFERROR(INDEX([3]ESE!$AD$22:$BD$453,MATCH($B2079,[3]ESE!$AD$22:$AD$453,0),23),"NA")</f>
        <v>3600000</v>
      </c>
      <c r="M2079" s="36"/>
      <c r="N2079" s="36">
        <f t="shared" si="167"/>
        <v>3600000</v>
      </c>
      <c r="O2079" s="36">
        <f t="shared" si="168"/>
        <v>0</v>
      </c>
      <c r="P2079" s="60">
        <f t="shared" si="169"/>
        <v>3600000</v>
      </c>
    </row>
    <row r="2080" spans="2:16">
      <c r="B2080" s="19" t="s">
        <v>2247</v>
      </c>
      <c r="C2080" s="61" t="s">
        <v>3</v>
      </c>
      <c r="D2080" s="20" t="s">
        <v>1952</v>
      </c>
      <c r="E2080" s="32" t="s">
        <v>205</v>
      </c>
      <c r="F2080" s="20" t="str">
        <f t="shared" si="171"/>
        <v>Block 39</v>
      </c>
      <c r="G2080" s="20" t="str">
        <f t="shared" si="170"/>
        <v>Lot 36</v>
      </c>
      <c r="H2080" s="40">
        <v>55</v>
      </c>
      <c r="I2080" s="41">
        <v>80</v>
      </c>
      <c r="J2080" s="19" t="s">
        <v>1917</v>
      </c>
      <c r="K2080" s="35" t="s">
        <v>1920</v>
      </c>
      <c r="L2080" s="36">
        <f>IFERROR(INDEX([3]ESE!$AD$22:$BD$453,MATCH($B2080,[3]ESE!$AD$22:$AD$453,0),23),"NA")</f>
        <v>3600000</v>
      </c>
      <c r="M2080" s="36"/>
      <c r="N2080" s="36">
        <f t="shared" si="167"/>
        <v>3600000</v>
      </c>
      <c r="O2080" s="36">
        <f t="shared" si="168"/>
        <v>0</v>
      </c>
      <c r="P2080" s="60">
        <f t="shared" si="169"/>
        <v>3600000</v>
      </c>
    </row>
    <row r="2081" spans="2:16">
      <c r="B2081" s="19" t="s">
        <v>2248</v>
      </c>
      <c r="C2081" s="61" t="s">
        <v>3</v>
      </c>
      <c r="D2081" s="20" t="s">
        <v>1952</v>
      </c>
      <c r="E2081" s="32" t="s">
        <v>205</v>
      </c>
      <c r="F2081" s="20" t="str">
        <f t="shared" si="171"/>
        <v>Block 39</v>
      </c>
      <c r="G2081" s="20" t="str">
        <f t="shared" si="170"/>
        <v>Lot 37</v>
      </c>
      <c r="H2081" s="40">
        <v>55</v>
      </c>
      <c r="I2081" s="41">
        <v>80</v>
      </c>
      <c r="J2081" s="19" t="s">
        <v>1917</v>
      </c>
      <c r="K2081" s="35" t="s">
        <v>1918</v>
      </c>
      <c r="L2081" s="36">
        <f>IFERROR(INDEX([3]ESE!$AD$22:$BD$453,MATCH($B2081,[3]ESE!$AD$22:$AD$453,0),23),"NA")</f>
        <v>3600000</v>
      </c>
      <c r="M2081" s="36"/>
      <c r="N2081" s="36">
        <f t="shared" si="167"/>
        <v>3600000</v>
      </c>
      <c r="O2081" s="36">
        <f t="shared" si="168"/>
        <v>0</v>
      </c>
      <c r="P2081" s="60">
        <f t="shared" si="169"/>
        <v>3600000</v>
      </c>
    </row>
    <row r="2082" spans="2:16">
      <c r="B2082" s="19" t="s">
        <v>2249</v>
      </c>
      <c r="C2082" s="61" t="s">
        <v>3</v>
      </c>
      <c r="D2082" s="20" t="s">
        <v>2104</v>
      </c>
      <c r="E2082" s="32" t="s">
        <v>205</v>
      </c>
      <c r="F2082" s="20" t="str">
        <f t="shared" si="171"/>
        <v>Block 39</v>
      </c>
      <c r="G2082" s="20" t="str">
        <f t="shared" si="170"/>
        <v>Lot 38</v>
      </c>
      <c r="H2082" s="40">
        <v>55</v>
      </c>
      <c r="I2082" s="41">
        <v>80</v>
      </c>
      <c r="J2082" s="19" t="s">
        <v>1917</v>
      </c>
      <c r="K2082" s="35" t="s">
        <v>1924</v>
      </c>
      <c r="L2082" s="36">
        <f>IFERROR(INDEX([3]ESE!$AD$22:$BD$453,MATCH($B2082,[3]ESE!$AD$22:$AD$453,0),23),"NA")</f>
        <v>3600000</v>
      </c>
      <c r="M2082" s="36"/>
      <c r="N2082" s="36">
        <f t="shared" si="167"/>
        <v>3600000</v>
      </c>
      <c r="O2082" s="36">
        <f t="shared" si="168"/>
        <v>0</v>
      </c>
      <c r="P2082" s="60">
        <f t="shared" si="169"/>
        <v>3600000</v>
      </c>
    </row>
    <row r="2083" spans="2:16">
      <c r="B2083" s="19" t="s">
        <v>2250</v>
      </c>
      <c r="C2083" s="61" t="s">
        <v>3</v>
      </c>
      <c r="D2083" s="20" t="s">
        <v>2104</v>
      </c>
      <c r="E2083" s="32" t="s">
        <v>205</v>
      </c>
      <c r="F2083" s="20" t="str">
        <f t="shared" si="171"/>
        <v>Block 39</v>
      </c>
      <c r="G2083" s="20" t="str">
        <f t="shared" si="170"/>
        <v>Lot 39</v>
      </c>
      <c r="H2083" s="40">
        <v>55</v>
      </c>
      <c r="I2083" s="41">
        <v>80</v>
      </c>
      <c r="J2083" s="19" t="s">
        <v>1917</v>
      </c>
      <c r="K2083" s="35" t="s">
        <v>1926</v>
      </c>
      <c r="L2083" s="36">
        <f>IFERROR(INDEX([3]ESE!$AD$22:$BD$453,MATCH($B2083,[3]ESE!$AD$22:$AD$453,0),23),"NA")</f>
        <v>3600000</v>
      </c>
      <c r="M2083" s="36"/>
      <c r="N2083" s="36">
        <f t="shared" si="167"/>
        <v>3600000</v>
      </c>
      <c r="O2083" s="36">
        <f t="shared" si="168"/>
        <v>0</v>
      </c>
      <c r="P2083" s="60">
        <f t="shared" si="169"/>
        <v>3600000</v>
      </c>
    </row>
    <row r="2084" spans="2:16">
      <c r="B2084" s="19" t="s">
        <v>2251</v>
      </c>
      <c r="C2084" s="61" t="s">
        <v>3</v>
      </c>
      <c r="D2084" s="20" t="s">
        <v>980</v>
      </c>
      <c r="E2084" s="32" t="s">
        <v>233</v>
      </c>
      <c r="F2084" s="20" t="str">
        <f t="shared" si="171"/>
        <v>Block 39</v>
      </c>
      <c r="G2084" s="20" t="str">
        <f t="shared" si="170"/>
        <v>Lot 40</v>
      </c>
      <c r="H2084" s="40" t="s">
        <v>99</v>
      </c>
      <c r="I2084" s="41">
        <v>100</v>
      </c>
      <c r="J2084" s="20" t="s">
        <v>100</v>
      </c>
      <c r="K2084" s="35" t="s">
        <v>982</v>
      </c>
      <c r="L2084" s="36">
        <f>IFERROR(INDEX([3]ESE!$AD$22:$BD$453,MATCH($B2084,[3]ESE!$AD$22:$AD$453,0),23),"NA")</f>
        <v>1800000</v>
      </c>
      <c r="M2084" s="36"/>
      <c r="N2084" s="36">
        <f>L2084-M2084</f>
        <v>1800000</v>
      </c>
      <c r="O2084" s="36">
        <f>L2084*12/112</f>
        <v>192857.14285714287</v>
      </c>
      <c r="P2084" s="60">
        <f>N2084-O2084</f>
        <v>1607142.857142857</v>
      </c>
    </row>
    <row r="2085" spans="2:16">
      <c r="B2085" s="19" t="s">
        <v>2252</v>
      </c>
      <c r="C2085" s="61" t="s">
        <v>3</v>
      </c>
      <c r="D2085" s="20" t="s">
        <v>2104</v>
      </c>
      <c r="E2085" s="32" t="s">
        <v>205</v>
      </c>
      <c r="F2085" s="20" t="str">
        <f t="shared" si="171"/>
        <v>Block 39</v>
      </c>
      <c r="G2085" s="20" t="str">
        <f t="shared" si="170"/>
        <v>Lot 41</v>
      </c>
      <c r="H2085" s="40">
        <v>55</v>
      </c>
      <c r="I2085" s="41">
        <v>90</v>
      </c>
      <c r="J2085" s="19" t="s">
        <v>1917</v>
      </c>
      <c r="K2085" s="35" t="s">
        <v>1924</v>
      </c>
      <c r="L2085" s="36">
        <f>IFERROR(INDEX([3]ESE!$AD$22:$BD$453,MATCH($B2085,[3]ESE!$AD$22:$AD$453,0),23),"NA")</f>
        <v>3750000</v>
      </c>
      <c r="M2085" s="36"/>
      <c r="N2085" s="36">
        <f t="shared" ref="N2085:N2148" si="172">L2085-M2085</f>
        <v>3750000</v>
      </c>
      <c r="O2085" s="36">
        <f t="shared" ref="O2085:O2148" si="173">IF(N2085&lt;=3600000,0,N2085*12%)</f>
        <v>450000</v>
      </c>
      <c r="P2085" s="60">
        <f t="shared" ref="P2085:P2148" si="174">N2085-O2085</f>
        <v>3300000</v>
      </c>
    </row>
    <row r="2086" spans="2:16">
      <c r="B2086" s="19" t="s">
        <v>2253</v>
      </c>
      <c r="C2086" s="61" t="s">
        <v>3</v>
      </c>
      <c r="D2086" s="20" t="s">
        <v>2104</v>
      </c>
      <c r="E2086" s="32" t="s">
        <v>205</v>
      </c>
      <c r="F2086" s="20" t="str">
        <f t="shared" si="171"/>
        <v>Block 39</v>
      </c>
      <c r="G2086" s="20" t="str">
        <f t="shared" si="170"/>
        <v>Lot 49</v>
      </c>
      <c r="H2086" s="40">
        <v>55</v>
      </c>
      <c r="I2086" s="41">
        <v>97</v>
      </c>
      <c r="J2086" s="19" t="s">
        <v>1917</v>
      </c>
      <c r="K2086" s="35" t="s">
        <v>1926</v>
      </c>
      <c r="L2086" s="36">
        <f>IFERROR(INDEX([3]ESE!$AD$22:$BD$453,MATCH($B2086,[3]ESE!$AD$22:$AD$453,0),23),"NA")</f>
        <v>3855000</v>
      </c>
      <c r="M2086" s="36"/>
      <c r="N2086" s="36">
        <f t="shared" si="172"/>
        <v>3855000</v>
      </c>
      <c r="O2086" s="36">
        <f t="shared" si="173"/>
        <v>462600</v>
      </c>
      <c r="P2086" s="60">
        <f t="shared" si="174"/>
        <v>3392400</v>
      </c>
    </row>
    <row r="2087" spans="2:16">
      <c r="B2087" s="19" t="s">
        <v>2254</v>
      </c>
      <c r="C2087" s="61" t="s">
        <v>3</v>
      </c>
      <c r="D2087" s="20" t="s">
        <v>2104</v>
      </c>
      <c r="E2087" s="32" t="s">
        <v>243</v>
      </c>
      <c r="F2087" s="20" t="str">
        <f t="shared" si="171"/>
        <v>Block 40</v>
      </c>
      <c r="G2087" s="20" t="str">
        <f t="shared" si="170"/>
        <v>Lot 01</v>
      </c>
      <c r="H2087" s="40">
        <v>55</v>
      </c>
      <c r="I2087" s="41">
        <v>126</v>
      </c>
      <c r="J2087" s="19" t="s">
        <v>1917</v>
      </c>
      <c r="K2087" s="35" t="s">
        <v>1926</v>
      </c>
      <c r="L2087" s="36">
        <f>IFERROR(INDEX([3]ESE!$AD$22:$BD$453,MATCH($B2087,[3]ESE!$AD$22:$AD$453,0),23),"NA")</f>
        <v>4290000</v>
      </c>
      <c r="M2087" s="36"/>
      <c r="N2087" s="36">
        <f t="shared" si="172"/>
        <v>4290000</v>
      </c>
      <c r="O2087" s="36">
        <f t="shared" si="173"/>
        <v>514800</v>
      </c>
      <c r="P2087" s="60">
        <f t="shared" si="174"/>
        <v>3775200</v>
      </c>
    </row>
    <row r="2088" spans="2:16">
      <c r="B2088" s="19" t="s">
        <v>2255</v>
      </c>
      <c r="C2088" s="61" t="s">
        <v>3</v>
      </c>
      <c r="D2088" s="20" t="s">
        <v>2104</v>
      </c>
      <c r="E2088" s="32" t="s">
        <v>205</v>
      </c>
      <c r="F2088" s="20" t="str">
        <f t="shared" si="171"/>
        <v>Block 40</v>
      </c>
      <c r="G2088" s="20" t="str">
        <f t="shared" si="170"/>
        <v>Lot 02</v>
      </c>
      <c r="H2088" s="40">
        <v>55</v>
      </c>
      <c r="I2088" s="41">
        <v>80</v>
      </c>
      <c r="J2088" s="19" t="s">
        <v>1917</v>
      </c>
      <c r="K2088" s="35" t="s">
        <v>1924</v>
      </c>
      <c r="L2088" s="36">
        <f>IFERROR(INDEX([3]ESE!$AD$22:$BD$453,MATCH($B2088,[3]ESE!$AD$22:$AD$453,0),23),"NA")</f>
        <v>3600000</v>
      </c>
      <c r="M2088" s="36"/>
      <c r="N2088" s="36">
        <f t="shared" si="172"/>
        <v>3600000</v>
      </c>
      <c r="O2088" s="36">
        <f t="shared" si="173"/>
        <v>0</v>
      </c>
      <c r="P2088" s="60">
        <f t="shared" si="174"/>
        <v>3600000</v>
      </c>
    </row>
    <row r="2089" spans="2:16">
      <c r="B2089" s="19" t="s">
        <v>2256</v>
      </c>
      <c r="C2089" s="61" t="s">
        <v>3</v>
      </c>
      <c r="D2089" s="20" t="s">
        <v>2104</v>
      </c>
      <c r="E2089" s="32" t="s">
        <v>205</v>
      </c>
      <c r="F2089" s="20" t="str">
        <f t="shared" si="171"/>
        <v>Block 40</v>
      </c>
      <c r="G2089" s="20" t="str">
        <f t="shared" si="170"/>
        <v>Lot 03</v>
      </c>
      <c r="H2089" s="40">
        <v>55</v>
      </c>
      <c r="I2089" s="41">
        <v>80</v>
      </c>
      <c r="J2089" s="19" t="s">
        <v>1917</v>
      </c>
      <c r="K2089" s="35" t="s">
        <v>1926</v>
      </c>
      <c r="L2089" s="36">
        <f>IFERROR(INDEX([3]ESE!$AD$22:$BD$453,MATCH($B2089,[3]ESE!$AD$22:$AD$453,0),23),"NA")</f>
        <v>3600000</v>
      </c>
      <c r="M2089" s="36"/>
      <c r="N2089" s="36">
        <f t="shared" si="172"/>
        <v>3600000</v>
      </c>
      <c r="O2089" s="36">
        <f t="shared" si="173"/>
        <v>0</v>
      </c>
      <c r="P2089" s="60">
        <f t="shared" si="174"/>
        <v>3600000</v>
      </c>
    </row>
    <row r="2090" spans="2:16">
      <c r="B2090" s="19" t="s">
        <v>2257</v>
      </c>
      <c r="C2090" s="61" t="s">
        <v>3</v>
      </c>
      <c r="D2090" s="20" t="s">
        <v>2104</v>
      </c>
      <c r="E2090" s="32" t="s">
        <v>205</v>
      </c>
      <c r="F2090" s="20" t="str">
        <f t="shared" si="171"/>
        <v>Block 40</v>
      </c>
      <c r="G2090" s="20" t="str">
        <f t="shared" si="170"/>
        <v>Lot 04</v>
      </c>
      <c r="H2090" s="40">
        <v>55</v>
      </c>
      <c r="I2090" s="41">
        <v>80</v>
      </c>
      <c r="J2090" s="19" t="s">
        <v>1917</v>
      </c>
      <c r="K2090" s="35" t="s">
        <v>1924</v>
      </c>
      <c r="L2090" s="36">
        <f>IFERROR(INDEX([3]ESE!$AD$22:$BD$453,MATCH($B2090,[3]ESE!$AD$22:$AD$453,0),23),"NA")</f>
        <v>3600000</v>
      </c>
      <c r="M2090" s="36"/>
      <c r="N2090" s="36">
        <f t="shared" si="172"/>
        <v>3600000</v>
      </c>
      <c r="O2090" s="36">
        <f t="shared" si="173"/>
        <v>0</v>
      </c>
      <c r="P2090" s="60">
        <f t="shared" si="174"/>
        <v>3600000</v>
      </c>
    </row>
    <row r="2091" spans="2:16">
      <c r="B2091" s="19" t="s">
        <v>2258</v>
      </c>
      <c r="C2091" s="61" t="s">
        <v>3</v>
      </c>
      <c r="D2091" s="20" t="s">
        <v>2104</v>
      </c>
      <c r="E2091" s="32" t="s">
        <v>243</v>
      </c>
      <c r="F2091" s="20" t="str">
        <f t="shared" si="171"/>
        <v>Block 40</v>
      </c>
      <c r="G2091" s="20" t="str">
        <f t="shared" si="170"/>
        <v>Lot 05</v>
      </c>
      <c r="H2091" s="40">
        <v>55</v>
      </c>
      <c r="I2091" s="41">
        <v>80</v>
      </c>
      <c r="J2091" s="19" t="s">
        <v>1917</v>
      </c>
      <c r="K2091" s="35" t="s">
        <v>1918</v>
      </c>
      <c r="L2091" s="36">
        <f>IFERROR(INDEX([3]ESE!$AD$22:$BD$453,MATCH($B2091,[3]ESE!$AD$22:$AD$453,0),23),"NA")</f>
        <v>3600000</v>
      </c>
      <c r="M2091" s="36"/>
      <c r="N2091" s="36">
        <f t="shared" si="172"/>
        <v>3600000</v>
      </c>
      <c r="O2091" s="36">
        <f t="shared" si="173"/>
        <v>0</v>
      </c>
      <c r="P2091" s="60">
        <f t="shared" si="174"/>
        <v>3600000</v>
      </c>
    </row>
    <row r="2092" spans="2:16">
      <c r="B2092" s="19" t="s">
        <v>2259</v>
      </c>
      <c r="C2092" s="61" t="s">
        <v>3</v>
      </c>
      <c r="D2092" s="20" t="s">
        <v>2104</v>
      </c>
      <c r="E2092" s="32" t="s">
        <v>205</v>
      </c>
      <c r="F2092" s="20" t="str">
        <f t="shared" si="171"/>
        <v>Block 40</v>
      </c>
      <c r="G2092" s="20" t="str">
        <f t="shared" si="170"/>
        <v>Lot 06</v>
      </c>
      <c r="H2092" s="40">
        <v>55</v>
      </c>
      <c r="I2092" s="41">
        <v>80</v>
      </c>
      <c r="J2092" s="19" t="s">
        <v>1917</v>
      </c>
      <c r="K2092" s="35" t="s">
        <v>1920</v>
      </c>
      <c r="L2092" s="36">
        <f>IFERROR(INDEX([3]ESE!$AD$22:$BD$453,MATCH($B2092,[3]ESE!$AD$22:$AD$453,0),23),"NA")</f>
        <v>3600000</v>
      </c>
      <c r="M2092" s="36"/>
      <c r="N2092" s="36">
        <f t="shared" si="172"/>
        <v>3600000</v>
      </c>
      <c r="O2092" s="36">
        <f t="shared" si="173"/>
        <v>0</v>
      </c>
      <c r="P2092" s="60">
        <f t="shared" si="174"/>
        <v>3600000</v>
      </c>
    </row>
    <row r="2093" spans="2:16">
      <c r="B2093" s="19" t="s">
        <v>2260</v>
      </c>
      <c r="C2093" s="61" t="s">
        <v>3</v>
      </c>
      <c r="D2093" s="20" t="s">
        <v>2104</v>
      </c>
      <c r="E2093" s="32" t="s">
        <v>205</v>
      </c>
      <c r="F2093" s="20" t="str">
        <f t="shared" si="171"/>
        <v>Block 40</v>
      </c>
      <c r="G2093" s="20" t="str">
        <f t="shared" si="170"/>
        <v>Lot 07</v>
      </c>
      <c r="H2093" s="40">
        <v>55</v>
      </c>
      <c r="I2093" s="41">
        <v>80</v>
      </c>
      <c r="J2093" s="19" t="s">
        <v>1917</v>
      </c>
      <c r="K2093" s="35" t="s">
        <v>1918</v>
      </c>
      <c r="L2093" s="36">
        <f>IFERROR(INDEX([3]ESE!$AD$22:$BD$453,MATCH($B2093,[3]ESE!$AD$22:$AD$453,0),23),"NA")</f>
        <v>3600000</v>
      </c>
      <c r="M2093" s="36"/>
      <c r="N2093" s="36">
        <f t="shared" si="172"/>
        <v>3600000</v>
      </c>
      <c r="O2093" s="36">
        <f t="shared" si="173"/>
        <v>0</v>
      </c>
      <c r="P2093" s="60">
        <f t="shared" si="174"/>
        <v>3600000</v>
      </c>
    </row>
    <row r="2094" spans="2:16">
      <c r="B2094" s="19" t="s">
        <v>2261</v>
      </c>
      <c r="C2094" s="61" t="s">
        <v>3</v>
      </c>
      <c r="D2094" s="20" t="s">
        <v>2104</v>
      </c>
      <c r="E2094" s="32" t="s">
        <v>205</v>
      </c>
      <c r="F2094" s="20" t="str">
        <f t="shared" si="171"/>
        <v>Block 40</v>
      </c>
      <c r="G2094" s="20" t="str">
        <f t="shared" si="170"/>
        <v>Lot 08</v>
      </c>
      <c r="H2094" s="40">
        <v>55</v>
      </c>
      <c r="I2094" s="41">
        <v>80</v>
      </c>
      <c r="J2094" s="19" t="s">
        <v>1917</v>
      </c>
      <c r="K2094" s="35" t="s">
        <v>1920</v>
      </c>
      <c r="L2094" s="36">
        <f>IFERROR(INDEX([3]ESE!$AD$22:$BD$453,MATCH($B2094,[3]ESE!$AD$22:$AD$453,0),23),"NA")</f>
        <v>3600000</v>
      </c>
      <c r="M2094" s="36"/>
      <c r="N2094" s="36">
        <f t="shared" si="172"/>
        <v>3600000</v>
      </c>
      <c r="O2094" s="36">
        <f t="shared" si="173"/>
        <v>0</v>
      </c>
      <c r="P2094" s="60">
        <f t="shared" si="174"/>
        <v>3600000</v>
      </c>
    </row>
    <row r="2095" spans="2:16">
      <c r="B2095" s="19" t="s">
        <v>2262</v>
      </c>
      <c r="C2095" s="61" t="s">
        <v>3</v>
      </c>
      <c r="D2095" s="20" t="s">
        <v>2104</v>
      </c>
      <c r="E2095" s="32" t="s">
        <v>205</v>
      </c>
      <c r="F2095" s="20" t="str">
        <f t="shared" si="171"/>
        <v>Block 40</v>
      </c>
      <c r="G2095" s="20" t="str">
        <f t="shared" si="170"/>
        <v>Lot 09</v>
      </c>
      <c r="H2095" s="40">
        <v>55</v>
      </c>
      <c r="I2095" s="41">
        <v>80</v>
      </c>
      <c r="J2095" s="19" t="s">
        <v>1917</v>
      </c>
      <c r="K2095" s="35" t="s">
        <v>1926</v>
      </c>
      <c r="L2095" s="36">
        <f>IFERROR(INDEX([3]ESE!$AD$22:$BD$453,MATCH($B2095,[3]ESE!$AD$22:$AD$453,0),23),"NA")</f>
        <v>3600000</v>
      </c>
      <c r="M2095" s="36"/>
      <c r="N2095" s="36">
        <f t="shared" si="172"/>
        <v>3600000</v>
      </c>
      <c r="O2095" s="36">
        <f t="shared" si="173"/>
        <v>0</v>
      </c>
      <c r="P2095" s="60">
        <f t="shared" si="174"/>
        <v>3600000</v>
      </c>
    </row>
    <row r="2096" spans="2:16">
      <c r="B2096" s="19" t="s">
        <v>2263</v>
      </c>
      <c r="C2096" s="61" t="s">
        <v>3</v>
      </c>
      <c r="D2096" s="20" t="s">
        <v>2104</v>
      </c>
      <c r="E2096" s="32" t="s">
        <v>205</v>
      </c>
      <c r="F2096" s="20" t="str">
        <f t="shared" si="171"/>
        <v>Block 40</v>
      </c>
      <c r="G2096" s="20" t="str">
        <f t="shared" si="170"/>
        <v>Lot 10</v>
      </c>
      <c r="H2096" s="40">
        <v>55</v>
      </c>
      <c r="I2096" s="41">
        <v>80</v>
      </c>
      <c r="J2096" s="19" t="s">
        <v>1917</v>
      </c>
      <c r="K2096" s="35" t="s">
        <v>1924</v>
      </c>
      <c r="L2096" s="36">
        <f>IFERROR(INDEX([3]ESE!$AD$22:$BD$453,MATCH($B2096,[3]ESE!$AD$22:$AD$453,0),23),"NA")</f>
        <v>3600000</v>
      </c>
      <c r="M2096" s="36"/>
      <c r="N2096" s="36">
        <f t="shared" si="172"/>
        <v>3600000</v>
      </c>
      <c r="O2096" s="36">
        <f t="shared" si="173"/>
        <v>0</v>
      </c>
      <c r="P2096" s="60">
        <f t="shared" si="174"/>
        <v>3600000</v>
      </c>
    </row>
    <row r="2097" spans="2:16">
      <c r="B2097" s="19" t="s">
        <v>2264</v>
      </c>
      <c r="C2097" s="61" t="s">
        <v>3</v>
      </c>
      <c r="D2097" s="20" t="s">
        <v>2104</v>
      </c>
      <c r="E2097" s="32" t="s">
        <v>205</v>
      </c>
      <c r="F2097" s="20" t="str">
        <f t="shared" si="171"/>
        <v>Block 40</v>
      </c>
      <c r="G2097" s="20" t="str">
        <f t="shared" si="170"/>
        <v>Lot 11</v>
      </c>
      <c r="H2097" s="40">
        <v>55</v>
      </c>
      <c r="I2097" s="41">
        <v>80</v>
      </c>
      <c r="J2097" s="19" t="s">
        <v>1917</v>
      </c>
      <c r="K2097" s="35" t="s">
        <v>1926</v>
      </c>
      <c r="L2097" s="36">
        <f>IFERROR(INDEX([3]ESE!$AD$22:$BD$453,MATCH($B2097,[3]ESE!$AD$22:$AD$453,0),23),"NA")</f>
        <v>3600000</v>
      </c>
      <c r="M2097" s="36"/>
      <c r="N2097" s="36">
        <f t="shared" si="172"/>
        <v>3600000</v>
      </c>
      <c r="O2097" s="36">
        <f t="shared" si="173"/>
        <v>0</v>
      </c>
      <c r="P2097" s="60">
        <f t="shared" si="174"/>
        <v>3600000</v>
      </c>
    </row>
    <row r="2098" spans="2:16">
      <c r="B2098" s="19" t="s">
        <v>2265</v>
      </c>
      <c r="C2098" s="61" t="s">
        <v>3</v>
      </c>
      <c r="D2098" s="20" t="s">
        <v>2104</v>
      </c>
      <c r="E2098" s="32" t="s">
        <v>205</v>
      </c>
      <c r="F2098" s="20" t="str">
        <f t="shared" si="171"/>
        <v>Block 40</v>
      </c>
      <c r="G2098" s="20" t="str">
        <f t="shared" si="170"/>
        <v>Lot 12</v>
      </c>
      <c r="H2098" s="40">
        <v>55</v>
      </c>
      <c r="I2098" s="41">
        <v>80</v>
      </c>
      <c r="J2098" s="19" t="s">
        <v>1917</v>
      </c>
      <c r="K2098" s="35" t="s">
        <v>1924</v>
      </c>
      <c r="L2098" s="36">
        <f>IFERROR(INDEX([3]ESE!$AD$22:$BD$453,MATCH($B2098,[3]ESE!$AD$22:$AD$453,0),23),"NA")</f>
        <v>3600000</v>
      </c>
      <c r="M2098" s="36"/>
      <c r="N2098" s="36">
        <f t="shared" si="172"/>
        <v>3600000</v>
      </c>
      <c r="O2098" s="36">
        <f t="shared" si="173"/>
        <v>0</v>
      </c>
      <c r="P2098" s="60">
        <f t="shared" si="174"/>
        <v>3600000</v>
      </c>
    </row>
    <row r="2099" spans="2:16">
      <c r="B2099" s="19" t="s">
        <v>2266</v>
      </c>
      <c r="C2099" s="61" t="s">
        <v>3</v>
      </c>
      <c r="D2099" s="20" t="s">
        <v>2104</v>
      </c>
      <c r="E2099" s="32" t="s">
        <v>205</v>
      </c>
      <c r="F2099" s="20" t="str">
        <f t="shared" si="171"/>
        <v>Block 40</v>
      </c>
      <c r="G2099" s="20" t="str">
        <f t="shared" si="170"/>
        <v>Lot 13</v>
      </c>
      <c r="H2099" s="40">
        <v>55</v>
      </c>
      <c r="I2099" s="41">
        <v>80</v>
      </c>
      <c r="J2099" s="19" t="s">
        <v>1917</v>
      </c>
      <c r="K2099" s="35" t="s">
        <v>1918</v>
      </c>
      <c r="L2099" s="36">
        <f>IFERROR(INDEX([3]ESE!$AD$22:$BD$453,MATCH($B2099,[3]ESE!$AD$22:$AD$453,0),23),"NA")</f>
        <v>3600000</v>
      </c>
      <c r="M2099" s="36"/>
      <c r="N2099" s="36">
        <f t="shared" si="172"/>
        <v>3600000</v>
      </c>
      <c r="O2099" s="36">
        <f t="shared" si="173"/>
        <v>0</v>
      </c>
      <c r="P2099" s="60">
        <f t="shared" si="174"/>
        <v>3600000</v>
      </c>
    </row>
    <row r="2100" spans="2:16">
      <c r="B2100" s="19" t="s">
        <v>2267</v>
      </c>
      <c r="C2100" s="61" t="s">
        <v>3</v>
      </c>
      <c r="D2100" s="20" t="s">
        <v>2104</v>
      </c>
      <c r="E2100" s="32" t="s">
        <v>205</v>
      </c>
      <c r="F2100" s="20" t="str">
        <f t="shared" si="171"/>
        <v>Block 40</v>
      </c>
      <c r="G2100" s="20" t="str">
        <f t="shared" si="170"/>
        <v>Lot 14</v>
      </c>
      <c r="H2100" s="40">
        <v>55</v>
      </c>
      <c r="I2100" s="41">
        <v>80</v>
      </c>
      <c r="J2100" s="19" t="s">
        <v>1917</v>
      </c>
      <c r="K2100" s="35" t="s">
        <v>1920</v>
      </c>
      <c r="L2100" s="36">
        <f>IFERROR(INDEX([3]ESE!$AD$22:$BD$453,MATCH($B2100,[3]ESE!$AD$22:$AD$453,0),23),"NA")</f>
        <v>3600000</v>
      </c>
      <c r="M2100" s="36"/>
      <c r="N2100" s="36">
        <f t="shared" si="172"/>
        <v>3600000</v>
      </c>
      <c r="O2100" s="36">
        <f t="shared" si="173"/>
        <v>0</v>
      </c>
      <c r="P2100" s="60">
        <f t="shared" si="174"/>
        <v>3600000</v>
      </c>
    </row>
    <row r="2101" spans="2:16">
      <c r="B2101" s="19" t="s">
        <v>2268</v>
      </c>
      <c r="C2101" s="61" t="s">
        <v>3</v>
      </c>
      <c r="D2101" s="20" t="s">
        <v>2104</v>
      </c>
      <c r="E2101" s="32" t="s">
        <v>205</v>
      </c>
      <c r="F2101" s="20" t="str">
        <f t="shared" si="171"/>
        <v>Block 40</v>
      </c>
      <c r="G2101" s="20" t="str">
        <f t="shared" si="170"/>
        <v>Lot 15</v>
      </c>
      <c r="H2101" s="40">
        <v>55</v>
      </c>
      <c r="I2101" s="41">
        <v>80</v>
      </c>
      <c r="J2101" s="19" t="s">
        <v>1917</v>
      </c>
      <c r="K2101" s="35" t="s">
        <v>1918</v>
      </c>
      <c r="L2101" s="36">
        <f>IFERROR(INDEX([3]ESE!$AD$22:$BD$453,MATCH($B2101,[3]ESE!$AD$22:$AD$453,0),23),"NA")</f>
        <v>3600000</v>
      </c>
      <c r="M2101" s="36"/>
      <c r="N2101" s="36">
        <f t="shared" si="172"/>
        <v>3600000</v>
      </c>
      <c r="O2101" s="36">
        <f t="shared" si="173"/>
        <v>0</v>
      </c>
      <c r="P2101" s="60">
        <f t="shared" si="174"/>
        <v>3600000</v>
      </c>
    </row>
    <row r="2102" spans="2:16">
      <c r="B2102" s="19" t="s">
        <v>2269</v>
      </c>
      <c r="C2102" s="61" t="s">
        <v>3</v>
      </c>
      <c r="D2102" s="20" t="s">
        <v>2104</v>
      </c>
      <c r="E2102" s="32" t="s">
        <v>205</v>
      </c>
      <c r="F2102" s="20" t="str">
        <f t="shared" si="171"/>
        <v>Block 40</v>
      </c>
      <c r="G2102" s="20" t="str">
        <f t="shared" si="170"/>
        <v>Lot 16</v>
      </c>
      <c r="H2102" s="40">
        <v>55</v>
      </c>
      <c r="I2102" s="41">
        <v>80</v>
      </c>
      <c r="J2102" s="19" t="s">
        <v>1917</v>
      </c>
      <c r="K2102" s="35" t="s">
        <v>1920</v>
      </c>
      <c r="L2102" s="36">
        <f>IFERROR(INDEX([3]ESE!$AD$22:$BD$453,MATCH($B2102,[3]ESE!$AD$22:$AD$453,0),23),"NA")</f>
        <v>3600000</v>
      </c>
      <c r="M2102" s="36"/>
      <c r="N2102" s="36">
        <f t="shared" si="172"/>
        <v>3600000</v>
      </c>
      <c r="O2102" s="36">
        <f t="shared" si="173"/>
        <v>0</v>
      </c>
      <c r="P2102" s="60">
        <f t="shared" si="174"/>
        <v>3600000</v>
      </c>
    </row>
    <row r="2103" spans="2:16">
      <c r="B2103" s="19" t="s">
        <v>2270</v>
      </c>
      <c r="C2103" s="61" t="s">
        <v>3</v>
      </c>
      <c r="D2103" s="20" t="s">
        <v>2104</v>
      </c>
      <c r="E2103" s="32" t="s">
        <v>205</v>
      </c>
      <c r="F2103" s="20" t="str">
        <f t="shared" si="171"/>
        <v>Block 40</v>
      </c>
      <c r="G2103" s="20" t="str">
        <f t="shared" si="170"/>
        <v>Lot 17</v>
      </c>
      <c r="H2103" s="40">
        <v>55</v>
      </c>
      <c r="I2103" s="41">
        <v>80</v>
      </c>
      <c r="J2103" s="19" t="s">
        <v>1917</v>
      </c>
      <c r="K2103" s="35" t="s">
        <v>1926</v>
      </c>
      <c r="L2103" s="36">
        <f>IFERROR(INDEX([3]ESE!$AD$22:$BD$453,MATCH($B2103,[3]ESE!$AD$22:$AD$453,0),23),"NA")</f>
        <v>3600000</v>
      </c>
      <c r="M2103" s="36"/>
      <c r="N2103" s="36">
        <f t="shared" si="172"/>
        <v>3600000</v>
      </c>
      <c r="O2103" s="36">
        <f t="shared" si="173"/>
        <v>0</v>
      </c>
      <c r="P2103" s="60">
        <f t="shared" si="174"/>
        <v>3600000</v>
      </c>
    </row>
    <row r="2104" spans="2:16">
      <c r="B2104" s="19" t="s">
        <v>2271</v>
      </c>
      <c r="C2104" s="61" t="s">
        <v>3</v>
      </c>
      <c r="D2104" s="20" t="s">
        <v>2104</v>
      </c>
      <c r="E2104" s="32" t="s">
        <v>205</v>
      </c>
      <c r="F2104" s="20" t="str">
        <f t="shared" si="171"/>
        <v>Block 40</v>
      </c>
      <c r="G2104" s="20" t="str">
        <f t="shared" si="170"/>
        <v>Lot 18</v>
      </c>
      <c r="H2104" s="40">
        <v>55</v>
      </c>
      <c r="I2104" s="41">
        <v>80</v>
      </c>
      <c r="J2104" s="19" t="s">
        <v>1917</v>
      </c>
      <c r="K2104" s="35" t="s">
        <v>1924</v>
      </c>
      <c r="L2104" s="36">
        <f>IFERROR(INDEX([3]ESE!$AD$22:$BD$453,MATCH($B2104,[3]ESE!$AD$22:$AD$453,0),23),"NA")</f>
        <v>3600000</v>
      </c>
      <c r="M2104" s="36"/>
      <c r="N2104" s="36">
        <f t="shared" si="172"/>
        <v>3600000</v>
      </c>
      <c r="O2104" s="36">
        <f t="shared" si="173"/>
        <v>0</v>
      </c>
      <c r="P2104" s="60">
        <f t="shared" si="174"/>
        <v>3600000</v>
      </c>
    </row>
    <row r="2105" spans="2:16">
      <c r="B2105" s="19" t="s">
        <v>2272</v>
      </c>
      <c r="C2105" s="61" t="s">
        <v>3</v>
      </c>
      <c r="D2105" s="20" t="s">
        <v>2104</v>
      </c>
      <c r="E2105" s="32" t="s">
        <v>205</v>
      </c>
      <c r="F2105" s="20" t="str">
        <f t="shared" si="171"/>
        <v>Block 40</v>
      </c>
      <c r="G2105" s="20" t="str">
        <f t="shared" si="170"/>
        <v>Lot 19</v>
      </c>
      <c r="H2105" s="40">
        <v>55</v>
      </c>
      <c r="I2105" s="41">
        <v>80</v>
      </c>
      <c r="J2105" s="19" t="s">
        <v>1917</v>
      </c>
      <c r="K2105" s="35" t="s">
        <v>1926</v>
      </c>
      <c r="L2105" s="36">
        <f>IFERROR(INDEX([3]ESE!$AD$22:$BD$453,MATCH($B2105,[3]ESE!$AD$22:$AD$453,0),23),"NA")</f>
        <v>3600000</v>
      </c>
      <c r="M2105" s="36"/>
      <c r="N2105" s="36">
        <f t="shared" si="172"/>
        <v>3600000</v>
      </c>
      <c r="O2105" s="36">
        <f t="shared" si="173"/>
        <v>0</v>
      </c>
      <c r="P2105" s="60">
        <f t="shared" si="174"/>
        <v>3600000</v>
      </c>
    </row>
    <row r="2106" spans="2:16">
      <c r="B2106" s="19" t="s">
        <v>2273</v>
      </c>
      <c r="C2106" s="61" t="s">
        <v>3</v>
      </c>
      <c r="D2106" s="20" t="s">
        <v>2104</v>
      </c>
      <c r="E2106" s="32" t="s">
        <v>205</v>
      </c>
      <c r="F2106" s="20" t="str">
        <f t="shared" si="171"/>
        <v>Block 40</v>
      </c>
      <c r="G2106" s="20" t="str">
        <f t="shared" si="170"/>
        <v>Lot 20</v>
      </c>
      <c r="H2106" s="38">
        <v>55</v>
      </c>
      <c r="I2106" s="39">
        <v>83</v>
      </c>
      <c r="J2106" s="19" t="s">
        <v>1917</v>
      </c>
      <c r="K2106" s="35" t="s">
        <v>1924</v>
      </c>
      <c r="L2106" s="36">
        <f>IFERROR(INDEX([3]ESE!$AD$22:$BD$453,MATCH($B2106,[3]ESE!$AD$22:$AD$453,0),23),"NA")</f>
        <v>3950000</v>
      </c>
      <c r="M2106" s="36"/>
      <c r="N2106" s="36">
        <f t="shared" si="172"/>
        <v>3950000</v>
      </c>
      <c r="O2106" s="36">
        <f t="shared" si="173"/>
        <v>474000</v>
      </c>
      <c r="P2106" s="60">
        <f t="shared" si="174"/>
        <v>3476000</v>
      </c>
    </row>
    <row r="2107" spans="2:16">
      <c r="B2107" s="19" t="s">
        <v>2274</v>
      </c>
      <c r="C2107" s="61" t="s">
        <v>3</v>
      </c>
      <c r="D2107" s="20" t="s">
        <v>2104</v>
      </c>
      <c r="E2107" s="32" t="s">
        <v>205</v>
      </c>
      <c r="F2107" s="20" t="str">
        <f t="shared" si="171"/>
        <v>Block 40</v>
      </c>
      <c r="G2107" s="20" t="str">
        <f t="shared" si="170"/>
        <v>Lot 21</v>
      </c>
      <c r="H2107" s="40">
        <v>55</v>
      </c>
      <c r="I2107" s="41">
        <v>80</v>
      </c>
      <c r="J2107" s="19" t="s">
        <v>1917</v>
      </c>
      <c r="K2107" s="35" t="s">
        <v>1918</v>
      </c>
      <c r="L2107" s="36">
        <f>IFERROR(INDEX([3]ESE!$AD$22:$BD$453,MATCH($B2107,[3]ESE!$AD$22:$AD$453,0),23),"NA")</f>
        <v>3600000</v>
      </c>
      <c r="M2107" s="36"/>
      <c r="N2107" s="36">
        <f t="shared" si="172"/>
        <v>3600000</v>
      </c>
      <c r="O2107" s="36">
        <f t="shared" si="173"/>
        <v>0</v>
      </c>
      <c r="P2107" s="60">
        <f t="shared" si="174"/>
        <v>3600000</v>
      </c>
    </row>
    <row r="2108" spans="2:16">
      <c r="B2108" s="19" t="s">
        <v>2275</v>
      </c>
      <c r="C2108" s="61" t="s">
        <v>3</v>
      </c>
      <c r="D2108" s="20" t="s">
        <v>2104</v>
      </c>
      <c r="E2108" s="32" t="s">
        <v>205</v>
      </c>
      <c r="F2108" s="20" t="str">
        <f t="shared" si="171"/>
        <v>Block 40</v>
      </c>
      <c r="G2108" s="20" t="str">
        <f t="shared" si="170"/>
        <v>Lot 22</v>
      </c>
      <c r="H2108" s="40">
        <v>55</v>
      </c>
      <c r="I2108" s="41">
        <v>80</v>
      </c>
      <c r="J2108" s="19" t="s">
        <v>1917</v>
      </c>
      <c r="K2108" s="35" t="s">
        <v>1920</v>
      </c>
      <c r="L2108" s="36">
        <f>IFERROR(INDEX([3]ESE!$AD$22:$BD$453,MATCH($B2108,[3]ESE!$AD$22:$AD$453,0),23),"NA")</f>
        <v>3600000</v>
      </c>
      <c r="M2108" s="36"/>
      <c r="N2108" s="36">
        <f t="shared" si="172"/>
        <v>3600000</v>
      </c>
      <c r="O2108" s="36">
        <f t="shared" si="173"/>
        <v>0</v>
      </c>
      <c r="P2108" s="60">
        <f t="shared" si="174"/>
        <v>3600000</v>
      </c>
    </row>
    <row r="2109" spans="2:16">
      <c r="B2109" s="19" t="s">
        <v>2276</v>
      </c>
      <c r="C2109" s="61" t="s">
        <v>3</v>
      </c>
      <c r="D2109" s="20" t="s">
        <v>2104</v>
      </c>
      <c r="E2109" s="32" t="s">
        <v>205</v>
      </c>
      <c r="F2109" s="20" t="str">
        <f t="shared" si="171"/>
        <v>Block 40</v>
      </c>
      <c r="G2109" s="20" t="str">
        <f t="shared" si="170"/>
        <v>Lot 23</v>
      </c>
      <c r="H2109" s="40">
        <v>55</v>
      </c>
      <c r="I2109" s="41">
        <v>80</v>
      </c>
      <c r="J2109" s="19" t="s">
        <v>1917</v>
      </c>
      <c r="K2109" s="35" t="s">
        <v>1920</v>
      </c>
      <c r="L2109" s="36">
        <f>IFERROR(INDEX([3]ESE!$AD$22:$BD$453,MATCH($B2109,[3]ESE!$AD$22:$AD$453,0),23),"NA")</f>
        <v>3600000</v>
      </c>
      <c r="M2109" s="36"/>
      <c r="N2109" s="36">
        <f t="shared" si="172"/>
        <v>3600000</v>
      </c>
      <c r="O2109" s="36">
        <f t="shared" si="173"/>
        <v>0</v>
      </c>
      <c r="P2109" s="60">
        <f t="shared" si="174"/>
        <v>3600000</v>
      </c>
    </row>
    <row r="2110" spans="2:16">
      <c r="B2110" s="19" t="s">
        <v>2277</v>
      </c>
      <c r="C2110" s="61" t="s">
        <v>3</v>
      </c>
      <c r="D2110" s="20" t="s">
        <v>2104</v>
      </c>
      <c r="E2110" s="32" t="s">
        <v>205</v>
      </c>
      <c r="F2110" s="20" t="str">
        <f t="shared" si="171"/>
        <v>Block 40</v>
      </c>
      <c r="G2110" s="20" t="str">
        <f t="shared" si="170"/>
        <v>Lot 24</v>
      </c>
      <c r="H2110" s="40">
        <v>55</v>
      </c>
      <c r="I2110" s="41">
        <v>80</v>
      </c>
      <c r="J2110" s="19" t="s">
        <v>1917</v>
      </c>
      <c r="K2110" s="35" t="s">
        <v>1918</v>
      </c>
      <c r="L2110" s="36">
        <f>IFERROR(INDEX([3]ESE!$AD$22:$BD$453,MATCH($B2110,[3]ESE!$AD$22:$AD$453,0),23),"NA")</f>
        <v>3600000</v>
      </c>
      <c r="M2110" s="36"/>
      <c r="N2110" s="36">
        <f t="shared" si="172"/>
        <v>3600000</v>
      </c>
      <c r="O2110" s="36">
        <f t="shared" si="173"/>
        <v>0</v>
      </c>
      <c r="P2110" s="60">
        <f t="shared" si="174"/>
        <v>3600000</v>
      </c>
    </row>
    <row r="2111" spans="2:16">
      <c r="B2111" s="19" t="s">
        <v>2278</v>
      </c>
      <c r="C2111" s="61" t="s">
        <v>3</v>
      </c>
      <c r="D2111" s="20" t="s">
        <v>2104</v>
      </c>
      <c r="E2111" s="32" t="s">
        <v>205</v>
      </c>
      <c r="F2111" s="20" t="str">
        <f t="shared" si="171"/>
        <v>Block 40</v>
      </c>
      <c r="G2111" s="20" t="str">
        <f t="shared" si="170"/>
        <v>Lot 25</v>
      </c>
      <c r="H2111" s="40">
        <v>55</v>
      </c>
      <c r="I2111" s="41">
        <v>80</v>
      </c>
      <c r="J2111" s="19" t="s">
        <v>1917</v>
      </c>
      <c r="K2111" s="35" t="s">
        <v>1926</v>
      </c>
      <c r="L2111" s="36">
        <f>IFERROR(INDEX([3]ESE!$AD$22:$BD$453,MATCH($B2111,[3]ESE!$AD$22:$AD$453,0),23),"NA")</f>
        <v>3600000</v>
      </c>
      <c r="M2111" s="36"/>
      <c r="N2111" s="36">
        <f t="shared" si="172"/>
        <v>3600000</v>
      </c>
      <c r="O2111" s="36">
        <f t="shared" si="173"/>
        <v>0</v>
      </c>
      <c r="P2111" s="60">
        <f t="shared" si="174"/>
        <v>3600000</v>
      </c>
    </row>
    <row r="2112" spans="2:16">
      <c r="B2112" s="19" t="s">
        <v>2279</v>
      </c>
      <c r="C2112" s="61" t="s">
        <v>3</v>
      </c>
      <c r="D2112" s="20" t="s">
        <v>2104</v>
      </c>
      <c r="E2112" s="32" t="s">
        <v>205</v>
      </c>
      <c r="F2112" s="20" t="str">
        <f t="shared" si="171"/>
        <v>Block 40</v>
      </c>
      <c r="G2112" s="20" t="str">
        <f t="shared" si="170"/>
        <v>Lot 26</v>
      </c>
      <c r="H2112" s="40">
        <v>55</v>
      </c>
      <c r="I2112" s="41">
        <v>80</v>
      </c>
      <c r="J2112" s="19" t="s">
        <v>1917</v>
      </c>
      <c r="K2112" s="35" t="s">
        <v>1924</v>
      </c>
      <c r="L2112" s="36">
        <f>IFERROR(INDEX([3]ESE!$AD$22:$BD$453,MATCH($B2112,[3]ESE!$AD$22:$AD$453,0),23),"NA")</f>
        <v>3600000</v>
      </c>
      <c r="M2112" s="36"/>
      <c r="N2112" s="36">
        <f t="shared" si="172"/>
        <v>3600000</v>
      </c>
      <c r="O2112" s="36">
        <f t="shared" si="173"/>
        <v>0</v>
      </c>
      <c r="P2112" s="60">
        <f t="shared" si="174"/>
        <v>3600000</v>
      </c>
    </row>
    <row r="2113" spans="2:16">
      <c r="B2113" s="19" t="s">
        <v>2280</v>
      </c>
      <c r="C2113" s="61" t="s">
        <v>3</v>
      </c>
      <c r="D2113" s="20" t="s">
        <v>2104</v>
      </c>
      <c r="E2113" s="32" t="s">
        <v>205</v>
      </c>
      <c r="F2113" s="20" t="str">
        <f t="shared" si="171"/>
        <v>Block 40</v>
      </c>
      <c r="G2113" s="20" t="str">
        <f t="shared" si="170"/>
        <v>Lot 27</v>
      </c>
      <c r="H2113" s="40">
        <v>55</v>
      </c>
      <c r="I2113" s="41">
        <v>80</v>
      </c>
      <c r="J2113" s="19" t="s">
        <v>1917</v>
      </c>
      <c r="K2113" s="35" t="s">
        <v>1926</v>
      </c>
      <c r="L2113" s="36">
        <f>IFERROR(INDEX([3]ESE!$AD$22:$BD$453,MATCH($B2113,[3]ESE!$AD$22:$AD$453,0),23),"NA")</f>
        <v>3600000</v>
      </c>
      <c r="M2113" s="36"/>
      <c r="N2113" s="36">
        <f t="shared" si="172"/>
        <v>3600000</v>
      </c>
      <c r="O2113" s="36">
        <f t="shared" si="173"/>
        <v>0</v>
      </c>
      <c r="P2113" s="60">
        <f t="shared" si="174"/>
        <v>3600000</v>
      </c>
    </row>
    <row r="2114" spans="2:16">
      <c r="B2114" s="19" t="s">
        <v>2281</v>
      </c>
      <c r="C2114" s="61" t="s">
        <v>3</v>
      </c>
      <c r="D2114" s="20" t="s">
        <v>2104</v>
      </c>
      <c r="E2114" s="32" t="s">
        <v>205</v>
      </c>
      <c r="F2114" s="20" t="str">
        <f t="shared" si="171"/>
        <v>Block 40</v>
      </c>
      <c r="G2114" s="20" t="str">
        <f t="shared" si="170"/>
        <v>Lot 28</v>
      </c>
      <c r="H2114" s="40">
        <v>55</v>
      </c>
      <c r="I2114" s="41">
        <v>80</v>
      </c>
      <c r="J2114" s="19" t="s">
        <v>1917</v>
      </c>
      <c r="K2114" s="35" t="s">
        <v>1924</v>
      </c>
      <c r="L2114" s="36">
        <f>IFERROR(INDEX([3]ESE!$AD$22:$BD$453,MATCH($B2114,[3]ESE!$AD$22:$AD$453,0),23),"NA")</f>
        <v>3600000</v>
      </c>
      <c r="M2114" s="36"/>
      <c r="N2114" s="36">
        <f t="shared" si="172"/>
        <v>3600000</v>
      </c>
      <c r="O2114" s="36">
        <f t="shared" si="173"/>
        <v>0</v>
      </c>
      <c r="P2114" s="60">
        <f t="shared" si="174"/>
        <v>3600000</v>
      </c>
    </row>
    <row r="2115" spans="2:16">
      <c r="B2115" s="19" t="s">
        <v>2282</v>
      </c>
      <c r="C2115" s="61" t="s">
        <v>3</v>
      </c>
      <c r="D2115" s="20" t="s">
        <v>2104</v>
      </c>
      <c r="E2115" s="32" t="s">
        <v>205</v>
      </c>
      <c r="F2115" s="20" t="str">
        <f t="shared" si="171"/>
        <v>Block 40</v>
      </c>
      <c r="G2115" s="20" t="str">
        <f t="shared" si="170"/>
        <v>Lot 29</v>
      </c>
      <c r="H2115" s="40">
        <v>55</v>
      </c>
      <c r="I2115" s="41">
        <v>80</v>
      </c>
      <c r="J2115" s="19" t="s">
        <v>1917</v>
      </c>
      <c r="K2115" s="35" t="s">
        <v>1918</v>
      </c>
      <c r="L2115" s="36">
        <f>IFERROR(INDEX([3]ESE!$AD$22:$BD$453,MATCH($B2115,[3]ESE!$AD$22:$AD$453,0),23),"NA")</f>
        <v>3600000</v>
      </c>
      <c r="M2115" s="36"/>
      <c r="N2115" s="36">
        <f t="shared" si="172"/>
        <v>3600000</v>
      </c>
      <c r="O2115" s="36">
        <f t="shared" si="173"/>
        <v>0</v>
      </c>
      <c r="P2115" s="60">
        <f t="shared" si="174"/>
        <v>3600000</v>
      </c>
    </row>
    <row r="2116" spans="2:16">
      <c r="B2116" s="19" t="s">
        <v>2283</v>
      </c>
      <c r="C2116" s="61" t="s">
        <v>3</v>
      </c>
      <c r="D2116" s="20" t="s">
        <v>2104</v>
      </c>
      <c r="E2116" s="32" t="s">
        <v>205</v>
      </c>
      <c r="F2116" s="20" t="str">
        <f t="shared" si="171"/>
        <v>Block 40</v>
      </c>
      <c r="G2116" s="20" t="str">
        <f t="shared" si="170"/>
        <v>Lot 30</v>
      </c>
      <c r="H2116" s="40">
        <v>55</v>
      </c>
      <c r="I2116" s="41">
        <v>80</v>
      </c>
      <c r="J2116" s="19" t="s">
        <v>1917</v>
      </c>
      <c r="K2116" s="35" t="s">
        <v>1920</v>
      </c>
      <c r="L2116" s="36">
        <f>IFERROR(INDEX([3]ESE!$AD$22:$BD$453,MATCH($B2116,[3]ESE!$AD$22:$AD$453,0),23),"NA")</f>
        <v>3600000</v>
      </c>
      <c r="M2116" s="36"/>
      <c r="N2116" s="36">
        <f t="shared" si="172"/>
        <v>3600000</v>
      </c>
      <c r="O2116" s="36">
        <f t="shared" si="173"/>
        <v>0</v>
      </c>
      <c r="P2116" s="60">
        <f t="shared" si="174"/>
        <v>3600000</v>
      </c>
    </row>
    <row r="2117" spans="2:16">
      <c r="B2117" s="19" t="s">
        <v>2284</v>
      </c>
      <c r="C2117" s="61" t="s">
        <v>3</v>
      </c>
      <c r="D2117" s="20" t="s">
        <v>2104</v>
      </c>
      <c r="E2117" s="32" t="s">
        <v>205</v>
      </c>
      <c r="F2117" s="20" t="str">
        <f t="shared" si="171"/>
        <v>Block 40</v>
      </c>
      <c r="G2117" s="20" t="str">
        <f t="shared" si="170"/>
        <v>Lot 31</v>
      </c>
      <c r="H2117" s="40">
        <v>55</v>
      </c>
      <c r="I2117" s="41">
        <v>80</v>
      </c>
      <c r="J2117" s="19" t="s">
        <v>1917</v>
      </c>
      <c r="K2117" s="35" t="s">
        <v>1920</v>
      </c>
      <c r="L2117" s="36">
        <f>IFERROR(INDEX([3]ESE!$AD$22:$BD$453,MATCH($B2117,[3]ESE!$AD$22:$AD$453,0),23),"NA")</f>
        <v>3600000</v>
      </c>
      <c r="M2117" s="36"/>
      <c r="N2117" s="36">
        <f t="shared" si="172"/>
        <v>3600000</v>
      </c>
      <c r="O2117" s="36">
        <f t="shared" si="173"/>
        <v>0</v>
      </c>
      <c r="P2117" s="60">
        <f t="shared" si="174"/>
        <v>3600000</v>
      </c>
    </row>
    <row r="2118" spans="2:16">
      <c r="B2118" s="19" t="s">
        <v>2285</v>
      </c>
      <c r="C2118" s="61" t="s">
        <v>3</v>
      </c>
      <c r="D2118" s="20" t="s">
        <v>2104</v>
      </c>
      <c r="E2118" s="32" t="s">
        <v>205</v>
      </c>
      <c r="F2118" s="20" t="str">
        <f t="shared" si="171"/>
        <v>Block 40</v>
      </c>
      <c r="G2118" s="20" t="str">
        <f t="shared" si="170"/>
        <v>Lot 32</v>
      </c>
      <c r="H2118" s="40">
        <v>55</v>
      </c>
      <c r="I2118" s="41">
        <v>80</v>
      </c>
      <c r="J2118" s="19" t="s">
        <v>1917</v>
      </c>
      <c r="K2118" s="35" t="s">
        <v>1918</v>
      </c>
      <c r="L2118" s="36">
        <f>IFERROR(INDEX([3]ESE!$AD$22:$BD$453,MATCH($B2118,[3]ESE!$AD$22:$AD$453,0),23),"NA")</f>
        <v>3600000</v>
      </c>
      <c r="M2118" s="36"/>
      <c r="N2118" s="36">
        <f t="shared" si="172"/>
        <v>3600000</v>
      </c>
      <c r="O2118" s="36">
        <f t="shared" si="173"/>
        <v>0</v>
      </c>
      <c r="P2118" s="60">
        <f t="shared" si="174"/>
        <v>3600000</v>
      </c>
    </row>
    <row r="2119" spans="2:16">
      <c r="B2119" s="19" t="s">
        <v>2286</v>
      </c>
      <c r="C2119" s="61" t="s">
        <v>3</v>
      </c>
      <c r="D2119" s="20" t="s">
        <v>2104</v>
      </c>
      <c r="E2119" s="32" t="s">
        <v>205</v>
      </c>
      <c r="F2119" s="20" t="str">
        <f t="shared" si="171"/>
        <v>Block 40</v>
      </c>
      <c r="G2119" s="20" t="str">
        <f t="shared" si="170"/>
        <v>Lot 33</v>
      </c>
      <c r="H2119" s="40">
        <v>55</v>
      </c>
      <c r="I2119" s="41">
        <v>80</v>
      </c>
      <c r="J2119" s="19" t="s">
        <v>1917</v>
      </c>
      <c r="K2119" s="35" t="s">
        <v>1926</v>
      </c>
      <c r="L2119" s="36">
        <f>IFERROR(INDEX([3]ESE!$AD$22:$BD$453,MATCH($B2119,[3]ESE!$AD$22:$AD$453,0),23),"NA")</f>
        <v>3600000</v>
      </c>
      <c r="M2119" s="36"/>
      <c r="N2119" s="36">
        <f t="shared" si="172"/>
        <v>3600000</v>
      </c>
      <c r="O2119" s="36">
        <f t="shared" si="173"/>
        <v>0</v>
      </c>
      <c r="P2119" s="60">
        <f t="shared" si="174"/>
        <v>3600000</v>
      </c>
    </row>
    <row r="2120" spans="2:16">
      <c r="B2120" s="19" t="s">
        <v>2287</v>
      </c>
      <c r="C2120" s="61" t="s">
        <v>3</v>
      </c>
      <c r="D2120" s="20" t="s">
        <v>2104</v>
      </c>
      <c r="E2120" s="32" t="s">
        <v>205</v>
      </c>
      <c r="F2120" s="20" t="str">
        <f t="shared" si="171"/>
        <v>Block 40</v>
      </c>
      <c r="G2120" s="20" t="str">
        <f t="shared" si="170"/>
        <v>Lot 34</v>
      </c>
      <c r="H2120" s="40">
        <v>55</v>
      </c>
      <c r="I2120" s="41">
        <v>80</v>
      </c>
      <c r="J2120" s="19" t="s">
        <v>1917</v>
      </c>
      <c r="K2120" s="35" t="s">
        <v>1924</v>
      </c>
      <c r="L2120" s="36">
        <f>IFERROR(INDEX([3]ESE!$AD$22:$BD$453,MATCH($B2120,[3]ESE!$AD$22:$AD$453,0),23),"NA")</f>
        <v>3600000</v>
      </c>
      <c r="M2120" s="36"/>
      <c r="N2120" s="36">
        <f t="shared" si="172"/>
        <v>3600000</v>
      </c>
      <c r="O2120" s="36">
        <f t="shared" si="173"/>
        <v>0</v>
      </c>
      <c r="P2120" s="60">
        <f t="shared" si="174"/>
        <v>3600000</v>
      </c>
    </row>
    <row r="2121" spans="2:16">
      <c r="B2121" s="19" t="s">
        <v>2288</v>
      </c>
      <c r="C2121" s="61" t="s">
        <v>3</v>
      </c>
      <c r="D2121" s="20" t="s">
        <v>2104</v>
      </c>
      <c r="E2121" s="32" t="s">
        <v>205</v>
      </c>
      <c r="F2121" s="20" t="str">
        <f t="shared" si="171"/>
        <v>Block 40</v>
      </c>
      <c r="G2121" s="20" t="str">
        <f t="shared" si="170"/>
        <v>Lot 35</v>
      </c>
      <c r="H2121" s="40">
        <v>55</v>
      </c>
      <c r="I2121" s="41">
        <v>80</v>
      </c>
      <c r="J2121" s="19" t="s">
        <v>1917</v>
      </c>
      <c r="K2121" s="35" t="s">
        <v>1926</v>
      </c>
      <c r="L2121" s="36">
        <f>IFERROR(INDEX([3]ESE!$AD$22:$BD$453,MATCH($B2121,[3]ESE!$AD$22:$AD$453,0),23),"NA")</f>
        <v>3600000</v>
      </c>
      <c r="M2121" s="36"/>
      <c r="N2121" s="36">
        <f t="shared" si="172"/>
        <v>3600000</v>
      </c>
      <c r="O2121" s="36">
        <f t="shared" si="173"/>
        <v>0</v>
      </c>
      <c r="P2121" s="60">
        <f t="shared" si="174"/>
        <v>3600000</v>
      </c>
    </row>
    <row r="2122" spans="2:16">
      <c r="B2122" s="19" t="s">
        <v>2289</v>
      </c>
      <c r="C2122" s="61" t="s">
        <v>3</v>
      </c>
      <c r="D2122" s="20" t="s">
        <v>2104</v>
      </c>
      <c r="E2122" s="32" t="s">
        <v>205</v>
      </c>
      <c r="F2122" s="20" t="str">
        <f t="shared" si="171"/>
        <v>Block 40</v>
      </c>
      <c r="G2122" s="20" t="str">
        <f t="shared" si="170"/>
        <v>Lot 36</v>
      </c>
      <c r="H2122" s="40">
        <v>55</v>
      </c>
      <c r="I2122" s="41">
        <v>80</v>
      </c>
      <c r="J2122" s="19" t="s">
        <v>1917</v>
      </c>
      <c r="K2122" s="35" t="s">
        <v>1924</v>
      </c>
      <c r="L2122" s="36">
        <f>IFERROR(INDEX([3]ESE!$AD$22:$BD$453,MATCH($B2122,[3]ESE!$AD$22:$AD$453,0),23),"NA")</f>
        <v>3600000</v>
      </c>
      <c r="M2122" s="36"/>
      <c r="N2122" s="36">
        <f t="shared" si="172"/>
        <v>3600000</v>
      </c>
      <c r="O2122" s="36">
        <f t="shared" si="173"/>
        <v>0</v>
      </c>
      <c r="P2122" s="60">
        <f t="shared" si="174"/>
        <v>3600000</v>
      </c>
    </row>
    <row r="2123" spans="2:16">
      <c r="B2123" s="19" t="s">
        <v>2290</v>
      </c>
      <c r="C2123" s="61" t="s">
        <v>3</v>
      </c>
      <c r="D2123" s="20" t="s">
        <v>2104</v>
      </c>
      <c r="E2123" s="32" t="s">
        <v>205</v>
      </c>
      <c r="F2123" s="20" t="str">
        <f t="shared" si="171"/>
        <v>Block 40</v>
      </c>
      <c r="G2123" s="20" t="str">
        <f t="shared" si="170"/>
        <v>Lot 37</v>
      </c>
      <c r="H2123" s="40">
        <v>55</v>
      </c>
      <c r="I2123" s="41">
        <v>80</v>
      </c>
      <c r="J2123" s="19" t="s">
        <v>1917</v>
      </c>
      <c r="K2123" s="35" t="s">
        <v>1918</v>
      </c>
      <c r="L2123" s="36">
        <f>IFERROR(INDEX([3]ESE!$AD$22:$BD$453,MATCH($B2123,[3]ESE!$AD$22:$AD$453,0),23),"NA")</f>
        <v>3600000</v>
      </c>
      <c r="M2123" s="36"/>
      <c r="N2123" s="36">
        <f t="shared" si="172"/>
        <v>3600000</v>
      </c>
      <c r="O2123" s="36">
        <f t="shared" si="173"/>
        <v>0</v>
      </c>
      <c r="P2123" s="60">
        <f t="shared" si="174"/>
        <v>3600000</v>
      </c>
    </row>
    <row r="2124" spans="2:16">
      <c r="B2124" s="19" t="s">
        <v>2291</v>
      </c>
      <c r="C2124" s="61" t="s">
        <v>3</v>
      </c>
      <c r="D2124" s="20" t="s">
        <v>2104</v>
      </c>
      <c r="E2124" s="32" t="s">
        <v>243</v>
      </c>
      <c r="F2124" s="20" t="str">
        <f t="shared" si="171"/>
        <v>Block 40</v>
      </c>
      <c r="G2124" s="20" t="str">
        <f t="shared" si="170"/>
        <v>Lot 38</v>
      </c>
      <c r="H2124" s="40">
        <v>55</v>
      </c>
      <c r="I2124" s="41">
        <v>80</v>
      </c>
      <c r="J2124" s="19" t="s">
        <v>1917</v>
      </c>
      <c r="K2124" s="35" t="s">
        <v>1920</v>
      </c>
      <c r="L2124" s="36">
        <f>IFERROR(INDEX([3]ESE!$AD$22:$BD$453,MATCH($B2124,[3]ESE!$AD$22:$AD$453,0),23),"NA")</f>
        <v>3600000</v>
      </c>
      <c r="M2124" s="36"/>
      <c r="N2124" s="36">
        <f t="shared" si="172"/>
        <v>3600000</v>
      </c>
      <c r="O2124" s="36">
        <f t="shared" si="173"/>
        <v>0</v>
      </c>
      <c r="P2124" s="60">
        <f t="shared" si="174"/>
        <v>3600000</v>
      </c>
    </row>
    <row r="2125" spans="2:16">
      <c r="B2125" s="19" t="s">
        <v>2292</v>
      </c>
      <c r="C2125" s="61" t="s">
        <v>3</v>
      </c>
      <c r="D2125" s="20" t="s">
        <v>2104</v>
      </c>
      <c r="E2125" s="32" t="s">
        <v>205</v>
      </c>
      <c r="F2125" s="20" t="str">
        <f t="shared" si="171"/>
        <v>Block 40</v>
      </c>
      <c r="G2125" s="20" t="str">
        <f t="shared" si="170"/>
        <v>Lot 39</v>
      </c>
      <c r="H2125" s="40">
        <v>55</v>
      </c>
      <c r="I2125" s="41">
        <v>80</v>
      </c>
      <c r="J2125" s="19" t="s">
        <v>1917</v>
      </c>
      <c r="K2125" s="35" t="s">
        <v>1918</v>
      </c>
      <c r="L2125" s="36">
        <f>IFERROR(INDEX([3]ESE!$AD$22:$BD$453,MATCH($B2125,[3]ESE!$AD$22:$AD$453,0),23),"NA")</f>
        <v>3600000</v>
      </c>
      <c r="M2125" s="36"/>
      <c r="N2125" s="36">
        <f t="shared" si="172"/>
        <v>3600000</v>
      </c>
      <c r="O2125" s="36">
        <f t="shared" si="173"/>
        <v>0</v>
      </c>
      <c r="P2125" s="60">
        <f t="shared" si="174"/>
        <v>3600000</v>
      </c>
    </row>
    <row r="2126" spans="2:16">
      <c r="B2126" s="19" t="s">
        <v>2293</v>
      </c>
      <c r="C2126" s="61" t="s">
        <v>3</v>
      </c>
      <c r="D2126" s="20" t="s">
        <v>2104</v>
      </c>
      <c r="E2126" s="32" t="s">
        <v>205</v>
      </c>
      <c r="F2126" s="20" t="str">
        <f t="shared" si="171"/>
        <v>Block 40</v>
      </c>
      <c r="G2126" s="20" t="str">
        <f t="shared" si="170"/>
        <v>Lot 46</v>
      </c>
      <c r="H2126" s="40">
        <v>55</v>
      </c>
      <c r="I2126" s="41">
        <v>90</v>
      </c>
      <c r="J2126" s="19" t="s">
        <v>1917</v>
      </c>
      <c r="K2126" s="35" t="s">
        <v>1920</v>
      </c>
      <c r="L2126" s="36">
        <f>IFERROR(INDEX([3]ESE!$AD$22:$BD$453,MATCH($B2126,[3]ESE!$AD$22:$AD$453,0),23),"NA")</f>
        <v>3950000</v>
      </c>
      <c r="M2126" s="36"/>
      <c r="N2126" s="36">
        <f t="shared" si="172"/>
        <v>3950000</v>
      </c>
      <c r="O2126" s="36">
        <f t="shared" si="173"/>
        <v>474000</v>
      </c>
      <c r="P2126" s="60">
        <f t="shared" si="174"/>
        <v>3476000</v>
      </c>
    </row>
    <row r="2127" spans="2:16">
      <c r="B2127" s="19" t="s">
        <v>2294</v>
      </c>
      <c r="C2127" s="61" t="s">
        <v>3</v>
      </c>
      <c r="D2127" s="20" t="s">
        <v>2104</v>
      </c>
      <c r="E2127" s="32" t="s">
        <v>205</v>
      </c>
      <c r="F2127" s="20" t="str">
        <f t="shared" si="171"/>
        <v>Block 41</v>
      </c>
      <c r="G2127" s="20" t="str">
        <f t="shared" si="170"/>
        <v>Lot 01</v>
      </c>
      <c r="H2127" s="40">
        <v>55</v>
      </c>
      <c r="I2127" s="41">
        <v>103</v>
      </c>
      <c r="J2127" s="19" t="s">
        <v>1917</v>
      </c>
      <c r="K2127" s="35" t="s">
        <v>1926</v>
      </c>
      <c r="L2127" s="36">
        <f>IFERROR(INDEX([3]ESE!$AD$22:$BD$453,MATCH($B2127,[3]ESE!$AD$22:$AD$453,0),23),"NA")</f>
        <v>3893500</v>
      </c>
      <c r="M2127" s="36"/>
      <c r="N2127" s="36">
        <f t="shared" si="172"/>
        <v>3893500</v>
      </c>
      <c r="O2127" s="36">
        <f t="shared" si="173"/>
        <v>467220</v>
      </c>
      <c r="P2127" s="60">
        <f t="shared" si="174"/>
        <v>3426280</v>
      </c>
    </row>
    <row r="2128" spans="2:16">
      <c r="B2128" s="19" t="s">
        <v>2295</v>
      </c>
      <c r="C2128" s="61" t="s">
        <v>3</v>
      </c>
      <c r="D2128" s="20" t="s">
        <v>2104</v>
      </c>
      <c r="E2128" s="32" t="s">
        <v>205</v>
      </c>
      <c r="F2128" s="20" t="str">
        <f t="shared" si="171"/>
        <v>Block 41</v>
      </c>
      <c r="G2128" s="20" t="str">
        <f t="shared" si="170"/>
        <v>Lot 02</v>
      </c>
      <c r="H2128" s="40">
        <v>55</v>
      </c>
      <c r="I2128" s="41">
        <v>90</v>
      </c>
      <c r="J2128" s="19" t="s">
        <v>1917</v>
      </c>
      <c r="K2128" s="35" t="s">
        <v>1924</v>
      </c>
      <c r="L2128" s="36">
        <f>IFERROR(INDEX([3]ESE!$AD$22:$BD$453,MATCH($B2128,[3]ESE!$AD$22:$AD$453,0),23),"NA")</f>
        <v>3705000</v>
      </c>
      <c r="M2128" s="36"/>
      <c r="N2128" s="36">
        <f t="shared" si="172"/>
        <v>3705000</v>
      </c>
      <c r="O2128" s="36">
        <f t="shared" si="173"/>
        <v>444600</v>
      </c>
      <c r="P2128" s="60">
        <f t="shared" si="174"/>
        <v>3260400</v>
      </c>
    </row>
    <row r="2129" spans="2:16">
      <c r="B2129" s="19" t="s">
        <v>2296</v>
      </c>
      <c r="C2129" s="61" t="s">
        <v>3</v>
      </c>
      <c r="D2129" s="20" t="s">
        <v>2104</v>
      </c>
      <c r="E2129" s="32" t="s">
        <v>205</v>
      </c>
      <c r="F2129" s="20" t="str">
        <f t="shared" si="171"/>
        <v>Block 41</v>
      </c>
      <c r="G2129" s="20" t="str">
        <f t="shared" si="170"/>
        <v>Lot 03</v>
      </c>
      <c r="H2129" s="40">
        <v>55</v>
      </c>
      <c r="I2129" s="41">
        <v>90</v>
      </c>
      <c r="J2129" s="19" t="s">
        <v>1917</v>
      </c>
      <c r="K2129" s="35" t="s">
        <v>1926</v>
      </c>
      <c r="L2129" s="36">
        <f>IFERROR(INDEX([3]ESE!$AD$22:$BD$453,MATCH($B2129,[3]ESE!$AD$22:$AD$453,0),23),"NA")</f>
        <v>3705000</v>
      </c>
      <c r="M2129" s="36"/>
      <c r="N2129" s="36">
        <f t="shared" si="172"/>
        <v>3705000</v>
      </c>
      <c r="O2129" s="36">
        <f t="shared" si="173"/>
        <v>444600</v>
      </c>
      <c r="P2129" s="60">
        <f t="shared" si="174"/>
        <v>3260400</v>
      </c>
    </row>
    <row r="2130" spans="2:16">
      <c r="B2130" s="19" t="s">
        <v>2297</v>
      </c>
      <c r="C2130" s="61" t="s">
        <v>3</v>
      </c>
      <c r="D2130" s="20" t="s">
        <v>2104</v>
      </c>
      <c r="E2130" s="32" t="s">
        <v>205</v>
      </c>
      <c r="F2130" s="20" t="str">
        <f t="shared" si="171"/>
        <v>Block 41</v>
      </c>
      <c r="G2130" s="20" t="str">
        <f t="shared" si="170"/>
        <v>Lot 04</v>
      </c>
      <c r="H2130" s="40">
        <v>55</v>
      </c>
      <c r="I2130" s="41">
        <v>90</v>
      </c>
      <c r="J2130" s="19" t="s">
        <v>1917</v>
      </c>
      <c r="K2130" s="35" t="s">
        <v>1924</v>
      </c>
      <c r="L2130" s="36">
        <f>IFERROR(INDEX([3]ESE!$AD$22:$BD$453,MATCH($B2130,[3]ESE!$AD$22:$AD$453,0),23),"NA")</f>
        <v>3705000</v>
      </c>
      <c r="M2130" s="36"/>
      <c r="N2130" s="36">
        <f t="shared" si="172"/>
        <v>3705000</v>
      </c>
      <c r="O2130" s="36">
        <f t="shared" si="173"/>
        <v>444600</v>
      </c>
      <c r="P2130" s="60">
        <f t="shared" si="174"/>
        <v>3260400</v>
      </c>
    </row>
    <row r="2131" spans="2:16">
      <c r="B2131" s="19" t="s">
        <v>2298</v>
      </c>
      <c r="C2131" s="61" t="s">
        <v>3</v>
      </c>
      <c r="D2131" s="20" t="s">
        <v>2104</v>
      </c>
      <c r="E2131" s="32" t="s">
        <v>205</v>
      </c>
      <c r="F2131" s="20" t="str">
        <f t="shared" si="171"/>
        <v>Block 41</v>
      </c>
      <c r="G2131" s="20" t="str">
        <f t="shared" si="170"/>
        <v>Lot 05</v>
      </c>
      <c r="H2131" s="40">
        <v>55</v>
      </c>
      <c r="I2131" s="41">
        <v>90</v>
      </c>
      <c r="J2131" s="19" t="s">
        <v>1917</v>
      </c>
      <c r="K2131" s="35" t="s">
        <v>1918</v>
      </c>
      <c r="L2131" s="36">
        <f>IFERROR(INDEX([3]ESE!$AD$22:$BD$453,MATCH($B2131,[3]ESE!$AD$22:$AD$453,0),23),"NA")</f>
        <v>3705000</v>
      </c>
      <c r="M2131" s="36"/>
      <c r="N2131" s="36">
        <f t="shared" si="172"/>
        <v>3705000</v>
      </c>
      <c r="O2131" s="36">
        <f t="shared" si="173"/>
        <v>444600</v>
      </c>
      <c r="P2131" s="60">
        <f t="shared" si="174"/>
        <v>3260400</v>
      </c>
    </row>
    <row r="2132" spans="2:16">
      <c r="B2132" s="19" t="s">
        <v>2299</v>
      </c>
      <c r="C2132" s="61" t="s">
        <v>3</v>
      </c>
      <c r="D2132" s="20" t="s">
        <v>2104</v>
      </c>
      <c r="E2132" s="32" t="s">
        <v>205</v>
      </c>
      <c r="F2132" s="20" t="str">
        <f t="shared" si="171"/>
        <v>Block 41</v>
      </c>
      <c r="G2132" s="20" t="str">
        <f t="shared" si="170"/>
        <v>Lot 06</v>
      </c>
      <c r="H2132" s="40">
        <v>55</v>
      </c>
      <c r="I2132" s="41">
        <v>90</v>
      </c>
      <c r="J2132" s="19" t="s">
        <v>1917</v>
      </c>
      <c r="K2132" s="35" t="s">
        <v>1920</v>
      </c>
      <c r="L2132" s="36">
        <f>IFERROR(INDEX([3]ESE!$AD$22:$BD$453,MATCH($B2132,[3]ESE!$AD$22:$AD$453,0),23),"NA")</f>
        <v>3705000</v>
      </c>
      <c r="M2132" s="36"/>
      <c r="N2132" s="36">
        <f t="shared" si="172"/>
        <v>3705000</v>
      </c>
      <c r="O2132" s="36">
        <f t="shared" si="173"/>
        <v>444600</v>
      </c>
      <c r="P2132" s="60">
        <f t="shared" si="174"/>
        <v>3260400</v>
      </c>
    </row>
    <row r="2133" spans="2:16">
      <c r="B2133" s="19" t="s">
        <v>2300</v>
      </c>
      <c r="C2133" s="61" t="s">
        <v>3</v>
      </c>
      <c r="D2133" s="20" t="s">
        <v>2104</v>
      </c>
      <c r="E2133" s="32" t="s">
        <v>205</v>
      </c>
      <c r="F2133" s="20" t="str">
        <f t="shared" si="171"/>
        <v>Block 41</v>
      </c>
      <c r="G2133" s="20" t="str">
        <f t="shared" si="170"/>
        <v>Lot 07</v>
      </c>
      <c r="H2133" s="40">
        <v>55</v>
      </c>
      <c r="I2133" s="41">
        <v>90</v>
      </c>
      <c r="J2133" s="19" t="s">
        <v>1917</v>
      </c>
      <c r="K2133" s="35" t="s">
        <v>1918</v>
      </c>
      <c r="L2133" s="36">
        <f>IFERROR(INDEX([3]ESE!$AD$22:$BD$453,MATCH($B2133,[3]ESE!$AD$22:$AD$453,0),23),"NA")</f>
        <v>3705000</v>
      </c>
      <c r="M2133" s="36"/>
      <c r="N2133" s="36">
        <f t="shared" si="172"/>
        <v>3705000</v>
      </c>
      <c r="O2133" s="36">
        <f t="shared" si="173"/>
        <v>444600</v>
      </c>
      <c r="P2133" s="60">
        <f t="shared" si="174"/>
        <v>3260400</v>
      </c>
    </row>
    <row r="2134" spans="2:16">
      <c r="B2134" s="19" t="s">
        <v>2301</v>
      </c>
      <c r="C2134" s="61" t="s">
        <v>3</v>
      </c>
      <c r="D2134" s="20" t="s">
        <v>2104</v>
      </c>
      <c r="E2134" s="32" t="s">
        <v>205</v>
      </c>
      <c r="F2134" s="20" t="str">
        <f t="shared" si="171"/>
        <v>Block 41</v>
      </c>
      <c r="G2134" s="20" t="str">
        <f t="shared" si="170"/>
        <v>Lot 08</v>
      </c>
      <c r="H2134" s="40">
        <v>55</v>
      </c>
      <c r="I2134" s="41">
        <v>80</v>
      </c>
      <c r="J2134" s="19" t="s">
        <v>1917</v>
      </c>
      <c r="K2134" s="35" t="s">
        <v>1920</v>
      </c>
      <c r="L2134" s="36">
        <f>IFERROR(INDEX([3]ESE!$AD$22:$BD$453,MATCH($B2134,[3]ESE!$AD$22:$AD$453,0),23),"NA")</f>
        <v>3600000</v>
      </c>
      <c r="M2134" s="36"/>
      <c r="N2134" s="36">
        <f t="shared" si="172"/>
        <v>3600000</v>
      </c>
      <c r="O2134" s="36">
        <f t="shared" si="173"/>
        <v>0</v>
      </c>
      <c r="P2134" s="60">
        <f t="shared" si="174"/>
        <v>3600000</v>
      </c>
    </row>
    <row r="2135" spans="2:16">
      <c r="B2135" s="19" t="s">
        <v>2302</v>
      </c>
      <c r="C2135" s="61" t="s">
        <v>3</v>
      </c>
      <c r="D2135" s="20" t="s">
        <v>2104</v>
      </c>
      <c r="E2135" s="32" t="s">
        <v>205</v>
      </c>
      <c r="F2135" s="20" t="str">
        <f t="shared" si="171"/>
        <v>Block 41</v>
      </c>
      <c r="G2135" s="20" t="str">
        <f t="shared" si="170"/>
        <v>Lot 09</v>
      </c>
      <c r="H2135" s="40">
        <v>55</v>
      </c>
      <c r="I2135" s="41">
        <v>80</v>
      </c>
      <c r="J2135" s="19" t="s">
        <v>1917</v>
      </c>
      <c r="K2135" s="35" t="s">
        <v>1926</v>
      </c>
      <c r="L2135" s="36">
        <f>IFERROR(INDEX([3]ESE!$AD$22:$BD$453,MATCH($B2135,[3]ESE!$AD$22:$AD$453,0),23),"NA")</f>
        <v>3600000</v>
      </c>
      <c r="M2135" s="36"/>
      <c r="N2135" s="36">
        <f t="shared" si="172"/>
        <v>3600000</v>
      </c>
      <c r="O2135" s="36">
        <f t="shared" si="173"/>
        <v>0</v>
      </c>
      <c r="P2135" s="60">
        <f t="shared" si="174"/>
        <v>3600000</v>
      </c>
    </row>
    <row r="2136" spans="2:16">
      <c r="B2136" s="19" t="s">
        <v>2303</v>
      </c>
      <c r="C2136" s="61" t="s">
        <v>3</v>
      </c>
      <c r="D2136" s="20" t="s">
        <v>2104</v>
      </c>
      <c r="E2136" s="32" t="s">
        <v>205</v>
      </c>
      <c r="F2136" s="20" t="str">
        <f t="shared" si="171"/>
        <v>Block 41</v>
      </c>
      <c r="G2136" s="20" t="str">
        <f t="shared" ref="G2136:G2199" si="175">"Lot "&amp;TEXT(VALUE(RIGHT(B2136,3)),"00")</f>
        <v>Lot 10</v>
      </c>
      <c r="H2136" s="40">
        <v>55</v>
      </c>
      <c r="I2136" s="41">
        <v>80</v>
      </c>
      <c r="J2136" s="19" t="s">
        <v>1917</v>
      </c>
      <c r="K2136" s="35" t="s">
        <v>1924</v>
      </c>
      <c r="L2136" s="36">
        <f>IFERROR(INDEX([3]ESE!$AD$22:$BD$453,MATCH($B2136,[3]ESE!$AD$22:$AD$453,0),23),"NA")</f>
        <v>3600000</v>
      </c>
      <c r="M2136" s="36"/>
      <c r="N2136" s="36">
        <f t="shared" si="172"/>
        <v>3600000</v>
      </c>
      <c r="O2136" s="36">
        <f t="shared" si="173"/>
        <v>0</v>
      </c>
      <c r="P2136" s="60">
        <f t="shared" si="174"/>
        <v>3600000</v>
      </c>
    </row>
    <row r="2137" spans="2:16">
      <c r="B2137" s="19" t="s">
        <v>2304</v>
      </c>
      <c r="C2137" s="61" t="s">
        <v>3</v>
      </c>
      <c r="D2137" s="20" t="s">
        <v>2104</v>
      </c>
      <c r="E2137" s="32" t="s">
        <v>205</v>
      </c>
      <c r="F2137" s="20" t="str">
        <f t="shared" ref="F2137:F2200" si="176">"Block "&amp;TEXT(VALUE(MID(B2137,8,3)),"00")</f>
        <v>Block 41</v>
      </c>
      <c r="G2137" s="20" t="str">
        <f t="shared" si="175"/>
        <v>Lot 11</v>
      </c>
      <c r="H2137" s="40">
        <v>55</v>
      </c>
      <c r="I2137" s="41">
        <v>80</v>
      </c>
      <c r="J2137" s="19" t="s">
        <v>1917</v>
      </c>
      <c r="K2137" s="35" t="s">
        <v>1926</v>
      </c>
      <c r="L2137" s="36">
        <f>IFERROR(INDEX([3]ESE!$AD$22:$BD$453,MATCH($B2137,[3]ESE!$AD$22:$AD$453,0),23),"NA")</f>
        <v>3600000</v>
      </c>
      <c r="M2137" s="36"/>
      <c r="N2137" s="36">
        <f t="shared" si="172"/>
        <v>3600000</v>
      </c>
      <c r="O2137" s="36">
        <f t="shared" si="173"/>
        <v>0</v>
      </c>
      <c r="P2137" s="60">
        <f t="shared" si="174"/>
        <v>3600000</v>
      </c>
    </row>
    <row r="2138" spans="2:16">
      <c r="B2138" s="19" t="s">
        <v>2305</v>
      </c>
      <c r="C2138" s="61" t="s">
        <v>3</v>
      </c>
      <c r="D2138" s="20" t="s">
        <v>2104</v>
      </c>
      <c r="E2138" s="32" t="s">
        <v>205</v>
      </c>
      <c r="F2138" s="20" t="str">
        <f t="shared" si="176"/>
        <v>Block 41</v>
      </c>
      <c r="G2138" s="20" t="str">
        <f t="shared" si="175"/>
        <v>Lot 12</v>
      </c>
      <c r="H2138" s="40">
        <v>55</v>
      </c>
      <c r="I2138" s="41">
        <v>80</v>
      </c>
      <c r="J2138" s="19" t="s">
        <v>1917</v>
      </c>
      <c r="K2138" s="35" t="s">
        <v>1924</v>
      </c>
      <c r="L2138" s="36">
        <f>IFERROR(INDEX([3]ESE!$AD$22:$BD$453,MATCH($B2138,[3]ESE!$AD$22:$AD$453,0),23),"NA")</f>
        <v>3600000</v>
      </c>
      <c r="M2138" s="36"/>
      <c r="N2138" s="36">
        <f t="shared" si="172"/>
        <v>3600000</v>
      </c>
      <c r="O2138" s="36">
        <f t="shared" si="173"/>
        <v>0</v>
      </c>
      <c r="P2138" s="60">
        <f t="shared" si="174"/>
        <v>3600000</v>
      </c>
    </row>
    <row r="2139" spans="2:16">
      <c r="B2139" s="19" t="s">
        <v>2306</v>
      </c>
      <c r="C2139" s="61" t="s">
        <v>3</v>
      </c>
      <c r="D2139" s="20" t="s">
        <v>2104</v>
      </c>
      <c r="E2139" s="32" t="s">
        <v>205</v>
      </c>
      <c r="F2139" s="20" t="str">
        <f t="shared" si="176"/>
        <v>Block 41</v>
      </c>
      <c r="G2139" s="20" t="str">
        <f t="shared" si="175"/>
        <v>Lot 13</v>
      </c>
      <c r="H2139" s="40">
        <v>55</v>
      </c>
      <c r="I2139" s="41">
        <v>80</v>
      </c>
      <c r="J2139" s="19" t="s">
        <v>1917</v>
      </c>
      <c r="K2139" s="35" t="s">
        <v>1918</v>
      </c>
      <c r="L2139" s="36">
        <f>IFERROR(INDEX([3]ESE!$AD$22:$BD$453,MATCH($B2139,[3]ESE!$AD$22:$AD$453,0),23),"NA")</f>
        <v>3600000</v>
      </c>
      <c r="M2139" s="36"/>
      <c r="N2139" s="36">
        <f t="shared" si="172"/>
        <v>3600000</v>
      </c>
      <c r="O2139" s="36">
        <f t="shared" si="173"/>
        <v>0</v>
      </c>
      <c r="P2139" s="60">
        <f t="shared" si="174"/>
        <v>3600000</v>
      </c>
    </row>
    <row r="2140" spans="2:16">
      <c r="B2140" s="19" t="s">
        <v>2307</v>
      </c>
      <c r="C2140" s="61" t="s">
        <v>3</v>
      </c>
      <c r="D2140" s="20" t="s">
        <v>2104</v>
      </c>
      <c r="E2140" s="32" t="s">
        <v>205</v>
      </c>
      <c r="F2140" s="20" t="str">
        <f t="shared" si="176"/>
        <v>Block 41</v>
      </c>
      <c r="G2140" s="20" t="str">
        <f t="shared" si="175"/>
        <v>Lot 14</v>
      </c>
      <c r="H2140" s="40">
        <v>55</v>
      </c>
      <c r="I2140" s="41">
        <v>80</v>
      </c>
      <c r="J2140" s="19" t="s">
        <v>1917</v>
      </c>
      <c r="K2140" s="35" t="s">
        <v>1920</v>
      </c>
      <c r="L2140" s="36">
        <f>IFERROR(INDEX([3]ESE!$AD$22:$BD$453,MATCH($B2140,[3]ESE!$AD$22:$AD$453,0),23),"NA")</f>
        <v>3600000</v>
      </c>
      <c r="M2140" s="36"/>
      <c r="N2140" s="36">
        <f t="shared" si="172"/>
        <v>3600000</v>
      </c>
      <c r="O2140" s="36">
        <f t="shared" si="173"/>
        <v>0</v>
      </c>
      <c r="P2140" s="60">
        <f t="shared" si="174"/>
        <v>3600000</v>
      </c>
    </row>
    <row r="2141" spans="2:16">
      <c r="B2141" s="19" t="s">
        <v>2308</v>
      </c>
      <c r="C2141" s="61" t="s">
        <v>3</v>
      </c>
      <c r="D2141" s="20" t="s">
        <v>2104</v>
      </c>
      <c r="E2141" s="32" t="s">
        <v>205</v>
      </c>
      <c r="F2141" s="20" t="str">
        <f t="shared" si="176"/>
        <v>Block 41</v>
      </c>
      <c r="G2141" s="20" t="str">
        <f t="shared" si="175"/>
        <v>Lot 15</v>
      </c>
      <c r="H2141" s="40">
        <v>55</v>
      </c>
      <c r="I2141" s="41">
        <v>80</v>
      </c>
      <c r="J2141" s="19" t="s">
        <v>1917</v>
      </c>
      <c r="K2141" s="35" t="s">
        <v>1918</v>
      </c>
      <c r="L2141" s="36">
        <f>IFERROR(INDEX([3]ESE!$AD$22:$BD$453,MATCH($B2141,[3]ESE!$AD$22:$AD$453,0),23),"NA")</f>
        <v>3600000</v>
      </c>
      <c r="M2141" s="36"/>
      <c r="N2141" s="36">
        <f t="shared" si="172"/>
        <v>3600000</v>
      </c>
      <c r="O2141" s="36">
        <f t="shared" si="173"/>
        <v>0</v>
      </c>
      <c r="P2141" s="60">
        <f t="shared" si="174"/>
        <v>3600000</v>
      </c>
    </row>
    <row r="2142" spans="2:16">
      <c r="B2142" s="19" t="s">
        <v>2309</v>
      </c>
      <c r="C2142" s="61" t="s">
        <v>3</v>
      </c>
      <c r="D2142" s="20" t="s">
        <v>2104</v>
      </c>
      <c r="E2142" s="32" t="s">
        <v>205</v>
      </c>
      <c r="F2142" s="20" t="str">
        <f t="shared" si="176"/>
        <v>Block 41</v>
      </c>
      <c r="G2142" s="20" t="str">
        <f t="shared" si="175"/>
        <v>Lot 16</v>
      </c>
      <c r="H2142" s="40">
        <v>55</v>
      </c>
      <c r="I2142" s="41">
        <v>80</v>
      </c>
      <c r="J2142" s="19" t="s">
        <v>1917</v>
      </c>
      <c r="K2142" s="35" t="s">
        <v>1920</v>
      </c>
      <c r="L2142" s="36">
        <f>IFERROR(INDEX([3]ESE!$AD$22:$BD$453,MATCH($B2142,[3]ESE!$AD$22:$AD$453,0),23),"NA")</f>
        <v>3600000</v>
      </c>
      <c r="M2142" s="36"/>
      <c r="N2142" s="36">
        <f t="shared" si="172"/>
        <v>3600000</v>
      </c>
      <c r="O2142" s="36">
        <f t="shared" si="173"/>
        <v>0</v>
      </c>
      <c r="P2142" s="60">
        <f t="shared" si="174"/>
        <v>3600000</v>
      </c>
    </row>
    <row r="2143" spans="2:16">
      <c r="B2143" s="19" t="s">
        <v>2310</v>
      </c>
      <c r="C2143" s="61" t="s">
        <v>3</v>
      </c>
      <c r="D2143" s="20" t="s">
        <v>2104</v>
      </c>
      <c r="E2143" s="32" t="s">
        <v>205</v>
      </c>
      <c r="F2143" s="20" t="str">
        <f t="shared" si="176"/>
        <v>Block 41</v>
      </c>
      <c r="G2143" s="20" t="str">
        <f t="shared" si="175"/>
        <v>Lot 17</v>
      </c>
      <c r="H2143" s="40">
        <v>55</v>
      </c>
      <c r="I2143" s="41">
        <v>80</v>
      </c>
      <c r="J2143" s="19" t="s">
        <v>1917</v>
      </c>
      <c r="K2143" s="35" t="s">
        <v>1926</v>
      </c>
      <c r="L2143" s="36">
        <f>IFERROR(INDEX([3]ESE!$AD$22:$BD$453,MATCH($B2143,[3]ESE!$AD$22:$AD$453,0),23),"NA")</f>
        <v>3600000</v>
      </c>
      <c r="M2143" s="36"/>
      <c r="N2143" s="36">
        <f t="shared" si="172"/>
        <v>3600000</v>
      </c>
      <c r="O2143" s="36">
        <f t="shared" si="173"/>
        <v>0</v>
      </c>
      <c r="P2143" s="60">
        <f t="shared" si="174"/>
        <v>3600000</v>
      </c>
    </row>
    <row r="2144" spans="2:16">
      <c r="B2144" s="19" t="s">
        <v>2311</v>
      </c>
      <c r="C2144" s="61" t="s">
        <v>3</v>
      </c>
      <c r="D2144" s="20" t="s">
        <v>2104</v>
      </c>
      <c r="E2144" s="32" t="s">
        <v>205</v>
      </c>
      <c r="F2144" s="20" t="str">
        <f t="shared" si="176"/>
        <v>Block 41</v>
      </c>
      <c r="G2144" s="20" t="str">
        <f t="shared" si="175"/>
        <v>Lot 24</v>
      </c>
      <c r="H2144" s="40">
        <v>55</v>
      </c>
      <c r="I2144" s="41">
        <v>87</v>
      </c>
      <c r="J2144" s="19" t="s">
        <v>1917</v>
      </c>
      <c r="K2144" s="35" t="s">
        <v>1924</v>
      </c>
      <c r="L2144" s="36">
        <f>IFERROR(INDEX([3]ESE!$AD$22:$BD$453,MATCH($B2144,[3]ESE!$AD$22:$AD$453,0),23),"NA")</f>
        <v>3661500</v>
      </c>
      <c r="M2144" s="36"/>
      <c r="N2144" s="36">
        <f t="shared" si="172"/>
        <v>3661500</v>
      </c>
      <c r="O2144" s="36">
        <f t="shared" si="173"/>
        <v>439380</v>
      </c>
      <c r="P2144" s="60">
        <f t="shared" si="174"/>
        <v>3222120</v>
      </c>
    </row>
    <row r="2145" spans="2:16">
      <c r="B2145" s="19" t="s">
        <v>2312</v>
      </c>
      <c r="C2145" s="61" t="s">
        <v>3</v>
      </c>
      <c r="D2145" s="20" t="s">
        <v>2104</v>
      </c>
      <c r="E2145" s="32" t="s">
        <v>205</v>
      </c>
      <c r="F2145" s="20" t="str">
        <f t="shared" si="176"/>
        <v>Block 41</v>
      </c>
      <c r="G2145" s="20" t="str">
        <f t="shared" si="175"/>
        <v>Lot 25</v>
      </c>
      <c r="H2145" s="40">
        <v>55</v>
      </c>
      <c r="I2145" s="41">
        <v>85</v>
      </c>
      <c r="J2145" s="19" t="s">
        <v>1917</v>
      </c>
      <c r="K2145" s="35" t="s">
        <v>1926</v>
      </c>
      <c r="L2145" s="36">
        <f>IFERROR(INDEX([3]ESE!$AD$22:$BD$453,MATCH($B2145,[3]ESE!$AD$22:$AD$453,0),23),"NA")</f>
        <v>3632500</v>
      </c>
      <c r="M2145" s="36">
        <v>32500</v>
      </c>
      <c r="N2145" s="36">
        <f t="shared" si="172"/>
        <v>3600000</v>
      </c>
      <c r="O2145" s="36">
        <f t="shared" si="173"/>
        <v>0</v>
      </c>
      <c r="P2145" s="60">
        <f t="shared" si="174"/>
        <v>3600000</v>
      </c>
    </row>
    <row r="2146" spans="2:16">
      <c r="B2146" s="19" t="s">
        <v>2313</v>
      </c>
      <c r="C2146" s="61" t="s">
        <v>3</v>
      </c>
      <c r="D2146" s="20" t="s">
        <v>2104</v>
      </c>
      <c r="E2146" s="32" t="s">
        <v>205</v>
      </c>
      <c r="F2146" s="20" t="str">
        <f t="shared" si="176"/>
        <v>Block 41</v>
      </c>
      <c r="G2146" s="20" t="str">
        <f t="shared" si="175"/>
        <v>Lot 26</v>
      </c>
      <c r="H2146" s="40">
        <v>55</v>
      </c>
      <c r="I2146" s="41">
        <v>80</v>
      </c>
      <c r="J2146" s="19" t="s">
        <v>1917</v>
      </c>
      <c r="K2146" s="35" t="s">
        <v>1924</v>
      </c>
      <c r="L2146" s="36">
        <f>IFERROR(INDEX([3]ESE!$AD$22:$BD$453,MATCH($B2146,[3]ESE!$AD$22:$AD$453,0),23),"NA")</f>
        <v>3600000</v>
      </c>
      <c r="M2146" s="36"/>
      <c r="N2146" s="36">
        <f t="shared" si="172"/>
        <v>3600000</v>
      </c>
      <c r="O2146" s="36">
        <f t="shared" si="173"/>
        <v>0</v>
      </c>
      <c r="P2146" s="60">
        <f t="shared" si="174"/>
        <v>3600000</v>
      </c>
    </row>
    <row r="2147" spans="2:16">
      <c r="B2147" s="19" t="s">
        <v>2314</v>
      </c>
      <c r="C2147" s="61" t="s">
        <v>3</v>
      </c>
      <c r="D2147" s="20" t="s">
        <v>2104</v>
      </c>
      <c r="E2147" s="32" t="s">
        <v>205</v>
      </c>
      <c r="F2147" s="20" t="str">
        <f t="shared" si="176"/>
        <v>Block 41</v>
      </c>
      <c r="G2147" s="20" t="str">
        <f t="shared" si="175"/>
        <v>Lot 27</v>
      </c>
      <c r="H2147" s="40">
        <v>55</v>
      </c>
      <c r="I2147" s="41">
        <v>80</v>
      </c>
      <c r="J2147" s="19" t="s">
        <v>1917</v>
      </c>
      <c r="K2147" s="35" t="s">
        <v>1918</v>
      </c>
      <c r="L2147" s="36">
        <f>IFERROR(INDEX([3]ESE!$AD$22:$BD$453,MATCH($B2147,[3]ESE!$AD$22:$AD$453,0),23),"NA")</f>
        <v>3600000</v>
      </c>
      <c r="M2147" s="36"/>
      <c r="N2147" s="36">
        <f t="shared" si="172"/>
        <v>3600000</v>
      </c>
      <c r="O2147" s="36">
        <f t="shared" si="173"/>
        <v>0</v>
      </c>
      <c r="P2147" s="60">
        <f t="shared" si="174"/>
        <v>3600000</v>
      </c>
    </row>
    <row r="2148" spans="2:16">
      <c r="B2148" s="19" t="s">
        <v>2315</v>
      </c>
      <c r="C2148" s="61" t="s">
        <v>3</v>
      </c>
      <c r="D2148" s="20" t="s">
        <v>2104</v>
      </c>
      <c r="E2148" s="32" t="s">
        <v>205</v>
      </c>
      <c r="F2148" s="20" t="str">
        <f t="shared" si="176"/>
        <v>Block 41</v>
      </c>
      <c r="G2148" s="20" t="str">
        <f t="shared" si="175"/>
        <v>Lot 28</v>
      </c>
      <c r="H2148" s="40">
        <v>55</v>
      </c>
      <c r="I2148" s="41">
        <v>80</v>
      </c>
      <c r="J2148" s="19" t="s">
        <v>1917</v>
      </c>
      <c r="K2148" s="35" t="s">
        <v>1920</v>
      </c>
      <c r="L2148" s="36">
        <f>IFERROR(INDEX([3]ESE!$AD$22:$BD$453,MATCH($B2148,[3]ESE!$AD$22:$AD$453,0),23),"NA")</f>
        <v>3600000</v>
      </c>
      <c r="M2148" s="36"/>
      <c r="N2148" s="36">
        <f t="shared" si="172"/>
        <v>3600000</v>
      </c>
      <c r="O2148" s="36">
        <f t="shared" si="173"/>
        <v>0</v>
      </c>
      <c r="P2148" s="60">
        <f t="shared" si="174"/>
        <v>3600000</v>
      </c>
    </row>
    <row r="2149" spans="2:16">
      <c r="B2149" s="19" t="s">
        <v>2316</v>
      </c>
      <c r="C2149" s="61" t="s">
        <v>3</v>
      </c>
      <c r="D2149" s="20" t="s">
        <v>2104</v>
      </c>
      <c r="E2149" s="32" t="s">
        <v>205</v>
      </c>
      <c r="F2149" s="20" t="str">
        <f t="shared" si="176"/>
        <v>Block 41</v>
      </c>
      <c r="G2149" s="20" t="str">
        <f t="shared" si="175"/>
        <v>Lot 29</v>
      </c>
      <c r="H2149" s="40">
        <v>55</v>
      </c>
      <c r="I2149" s="41">
        <v>80</v>
      </c>
      <c r="J2149" s="19" t="s">
        <v>1917</v>
      </c>
      <c r="K2149" s="35" t="s">
        <v>1920</v>
      </c>
      <c r="L2149" s="36">
        <f>IFERROR(INDEX([3]ESE!$AD$22:$BD$453,MATCH($B2149,[3]ESE!$AD$22:$AD$453,0),23),"NA")</f>
        <v>3600000</v>
      </c>
      <c r="M2149" s="36"/>
      <c r="N2149" s="36">
        <f t="shared" ref="N2149:N2190" si="177">L2149-M2149</f>
        <v>3600000</v>
      </c>
      <c r="O2149" s="36">
        <f t="shared" ref="O2149:O2190" si="178">IF(N2149&lt;=3600000,0,N2149*12%)</f>
        <v>0</v>
      </c>
      <c r="P2149" s="60">
        <f t="shared" ref="P2149:P2190" si="179">N2149-O2149</f>
        <v>3600000</v>
      </c>
    </row>
    <row r="2150" spans="2:16">
      <c r="B2150" s="19" t="s">
        <v>2317</v>
      </c>
      <c r="C2150" s="61" t="s">
        <v>3</v>
      </c>
      <c r="D2150" s="20" t="s">
        <v>2104</v>
      </c>
      <c r="E2150" s="32" t="s">
        <v>243</v>
      </c>
      <c r="F2150" s="20" t="str">
        <f t="shared" si="176"/>
        <v>Block 41</v>
      </c>
      <c r="G2150" s="20" t="str">
        <f t="shared" si="175"/>
        <v>Lot 30</v>
      </c>
      <c r="H2150" s="40">
        <v>55</v>
      </c>
      <c r="I2150" s="41">
        <v>80</v>
      </c>
      <c r="J2150" s="19" t="s">
        <v>1917</v>
      </c>
      <c r="K2150" s="35" t="s">
        <v>1918</v>
      </c>
      <c r="L2150" s="36">
        <f>IFERROR(INDEX([3]ESE!$AD$22:$BD$453,MATCH($B2150,[3]ESE!$AD$22:$AD$453,0),23),"NA")</f>
        <v>3600000</v>
      </c>
      <c r="M2150" s="36"/>
      <c r="N2150" s="36">
        <f t="shared" si="177"/>
        <v>3600000</v>
      </c>
      <c r="O2150" s="36">
        <f t="shared" si="178"/>
        <v>0</v>
      </c>
      <c r="P2150" s="60">
        <f t="shared" si="179"/>
        <v>3600000</v>
      </c>
    </row>
    <row r="2151" spans="2:16">
      <c r="B2151" s="19" t="s">
        <v>2318</v>
      </c>
      <c r="C2151" s="61" t="s">
        <v>3</v>
      </c>
      <c r="D2151" s="20" t="s">
        <v>2104</v>
      </c>
      <c r="E2151" s="32" t="s">
        <v>205</v>
      </c>
      <c r="F2151" s="20" t="str">
        <f t="shared" si="176"/>
        <v>Block 41</v>
      </c>
      <c r="G2151" s="20" t="str">
        <f t="shared" si="175"/>
        <v>Lot 31</v>
      </c>
      <c r="H2151" s="40">
        <v>55</v>
      </c>
      <c r="I2151" s="41">
        <v>80</v>
      </c>
      <c r="J2151" s="19" t="s">
        <v>1917</v>
      </c>
      <c r="K2151" s="35" t="s">
        <v>1924</v>
      </c>
      <c r="L2151" s="36">
        <f>IFERROR(INDEX([3]ESE!$AD$22:$BD$453,MATCH($B2151,[3]ESE!$AD$22:$AD$453,0),23),"NA")</f>
        <v>3600000</v>
      </c>
      <c r="M2151" s="36"/>
      <c r="N2151" s="36">
        <f t="shared" si="177"/>
        <v>3600000</v>
      </c>
      <c r="O2151" s="36">
        <f t="shared" si="178"/>
        <v>0</v>
      </c>
      <c r="P2151" s="60">
        <f t="shared" si="179"/>
        <v>3600000</v>
      </c>
    </row>
    <row r="2152" spans="2:16">
      <c r="B2152" s="19" t="s">
        <v>2319</v>
      </c>
      <c r="C2152" s="61" t="s">
        <v>3</v>
      </c>
      <c r="D2152" s="20" t="s">
        <v>2104</v>
      </c>
      <c r="E2152" s="32" t="s">
        <v>205</v>
      </c>
      <c r="F2152" s="20" t="str">
        <f t="shared" si="176"/>
        <v>Block 41</v>
      </c>
      <c r="G2152" s="20" t="str">
        <f t="shared" si="175"/>
        <v>Lot 32</v>
      </c>
      <c r="H2152" s="40">
        <v>55</v>
      </c>
      <c r="I2152" s="41">
        <v>80</v>
      </c>
      <c r="J2152" s="19" t="s">
        <v>1917</v>
      </c>
      <c r="K2152" s="35" t="s">
        <v>1926</v>
      </c>
      <c r="L2152" s="36">
        <f>IFERROR(INDEX([3]ESE!$AD$22:$BD$453,MATCH($B2152,[3]ESE!$AD$22:$AD$453,0),23),"NA")</f>
        <v>3600000</v>
      </c>
      <c r="M2152" s="36"/>
      <c r="N2152" s="36">
        <f t="shared" si="177"/>
        <v>3600000</v>
      </c>
      <c r="O2152" s="36">
        <f t="shared" si="178"/>
        <v>0</v>
      </c>
      <c r="P2152" s="60">
        <f t="shared" si="179"/>
        <v>3600000</v>
      </c>
    </row>
    <row r="2153" spans="2:16">
      <c r="B2153" s="19" t="s">
        <v>2320</v>
      </c>
      <c r="C2153" s="61" t="s">
        <v>3</v>
      </c>
      <c r="D2153" s="20" t="s">
        <v>2104</v>
      </c>
      <c r="E2153" s="32" t="s">
        <v>205</v>
      </c>
      <c r="F2153" s="20" t="str">
        <f t="shared" si="176"/>
        <v>Block 41</v>
      </c>
      <c r="G2153" s="20" t="str">
        <f t="shared" si="175"/>
        <v>Lot 33</v>
      </c>
      <c r="H2153" s="40">
        <v>55</v>
      </c>
      <c r="I2153" s="41">
        <v>80</v>
      </c>
      <c r="J2153" s="19" t="s">
        <v>1917</v>
      </c>
      <c r="K2153" s="35" t="s">
        <v>1926</v>
      </c>
      <c r="L2153" s="36">
        <f>IFERROR(INDEX([3]ESE!$AD$22:$BD$453,MATCH($B2153,[3]ESE!$AD$22:$AD$453,0),23),"NA")</f>
        <v>3600000</v>
      </c>
      <c r="M2153" s="36"/>
      <c r="N2153" s="36">
        <f t="shared" si="177"/>
        <v>3600000</v>
      </c>
      <c r="O2153" s="36">
        <f t="shared" si="178"/>
        <v>0</v>
      </c>
      <c r="P2153" s="60">
        <f t="shared" si="179"/>
        <v>3600000</v>
      </c>
    </row>
    <row r="2154" spans="2:16">
      <c r="B2154" s="19" t="s">
        <v>2321</v>
      </c>
      <c r="C2154" s="61" t="s">
        <v>3</v>
      </c>
      <c r="D2154" s="20" t="s">
        <v>2104</v>
      </c>
      <c r="E2154" s="32" t="s">
        <v>205</v>
      </c>
      <c r="F2154" s="20" t="str">
        <f t="shared" si="176"/>
        <v>Block 41</v>
      </c>
      <c r="G2154" s="20" t="str">
        <f t="shared" si="175"/>
        <v>Lot 34</v>
      </c>
      <c r="H2154" s="40">
        <v>55</v>
      </c>
      <c r="I2154" s="41">
        <v>80</v>
      </c>
      <c r="J2154" s="19" t="s">
        <v>1917</v>
      </c>
      <c r="K2154" s="35" t="s">
        <v>1924</v>
      </c>
      <c r="L2154" s="36">
        <f>IFERROR(INDEX([3]ESE!$AD$22:$BD$453,MATCH($B2154,[3]ESE!$AD$22:$AD$453,0),23),"NA")</f>
        <v>3600000</v>
      </c>
      <c r="M2154" s="36"/>
      <c r="N2154" s="36">
        <f t="shared" si="177"/>
        <v>3600000</v>
      </c>
      <c r="O2154" s="36">
        <f t="shared" si="178"/>
        <v>0</v>
      </c>
      <c r="P2154" s="60">
        <f t="shared" si="179"/>
        <v>3600000</v>
      </c>
    </row>
    <row r="2155" spans="2:16">
      <c r="B2155" s="19" t="s">
        <v>2322</v>
      </c>
      <c r="C2155" s="61" t="s">
        <v>3</v>
      </c>
      <c r="D2155" s="20" t="s">
        <v>2104</v>
      </c>
      <c r="E2155" s="32" t="s">
        <v>205</v>
      </c>
      <c r="F2155" s="20" t="str">
        <f t="shared" si="176"/>
        <v>Block 41</v>
      </c>
      <c r="G2155" s="20" t="str">
        <f t="shared" si="175"/>
        <v>Lot 35</v>
      </c>
      <c r="H2155" s="40">
        <v>55</v>
      </c>
      <c r="I2155" s="41">
        <v>80</v>
      </c>
      <c r="J2155" s="19" t="s">
        <v>1917</v>
      </c>
      <c r="K2155" s="35" t="s">
        <v>1918</v>
      </c>
      <c r="L2155" s="36">
        <f>IFERROR(INDEX([3]ESE!$AD$22:$BD$453,MATCH($B2155,[3]ESE!$AD$22:$AD$453,0),23),"NA")</f>
        <v>3600000</v>
      </c>
      <c r="M2155" s="36"/>
      <c r="N2155" s="36">
        <f t="shared" si="177"/>
        <v>3600000</v>
      </c>
      <c r="O2155" s="36">
        <f t="shared" si="178"/>
        <v>0</v>
      </c>
      <c r="P2155" s="60">
        <f t="shared" si="179"/>
        <v>3600000</v>
      </c>
    </row>
    <row r="2156" spans="2:16">
      <c r="B2156" s="19" t="s">
        <v>2323</v>
      </c>
      <c r="C2156" s="61" t="s">
        <v>3</v>
      </c>
      <c r="D2156" s="20" t="s">
        <v>2104</v>
      </c>
      <c r="E2156" s="32" t="s">
        <v>205</v>
      </c>
      <c r="F2156" s="20" t="str">
        <f t="shared" si="176"/>
        <v>Block 41</v>
      </c>
      <c r="G2156" s="20" t="str">
        <f t="shared" si="175"/>
        <v>Lot 36</v>
      </c>
      <c r="H2156" s="40">
        <v>55</v>
      </c>
      <c r="I2156" s="41">
        <v>80</v>
      </c>
      <c r="J2156" s="19" t="s">
        <v>1917</v>
      </c>
      <c r="K2156" s="35" t="s">
        <v>1920</v>
      </c>
      <c r="L2156" s="36">
        <f>IFERROR(INDEX([3]ESE!$AD$22:$BD$453,MATCH($B2156,[3]ESE!$AD$22:$AD$453,0),23),"NA")</f>
        <v>3600000</v>
      </c>
      <c r="M2156" s="36"/>
      <c r="N2156" s="36">
        <f t="shared" si="177"/>
        <v>3600000</v>
      </c>
      <c r="O2156" s="36">
        <f t="shared" si="178"/>
        <v>0</v>
      </c>
      <c r="P2156" s="60">
        <f t="shared" si="179"/>
        <v>3600000</v>
      </c>
    </row>
    <row r="2157" spans="2:16">
      <c r="B2157" s="19" t="s">
        <v>2324</v>
      </c>
      <c r="C2157" s="61" t="s">
        <v>3</v>
      </c>
      <c r="D2157" s="20" t="s">
        <v>2104</v>
      </c>
      <c r="E2157" s="32" t="s">
        <v>205</v>
      </c>
      <c r="F2157" s="20" t="str">
        <f t="shared" si="176"/>
        <v>Block 41</v>
      </c>
      <c r="G2157" s="20" t="str">
        <f t="shared" si="175"/>
        <v>Lot 37</v>
      </c>
      <c r="H2157" s="40">
        <v>55</v>
      </c>
      <c r="I2157" s="41">
        <v>80</v>
      </c>
      <c r="J2157" s="19" t="s">
        <v>1917</v>
      </c>
      <c r="K2157" s="35" t="s">
        <v>1920</v>
      </c>
      <c r="L2157" s="36">
        <f>IFERROR(INDEX([3]ESE!$AD$22:$BD$453,MATCH($B2157,[3]ESE!$AD$22:$AD$453,0),23),"NA")</f>
        <v>3600000</v>
      </c>
      <c r="M2157" s="36"/>
      <c r="N2157" s="36">
        <f t="shared" si="177"/>
        <v>3600000</v>
      </c>
      <c r="O2157" s="36">
        <f t="shared" si="178"/>
        <v>0</v>
      </c>
      <c r="P2157" s="60">
        <f t="shared" si="179"/>
        <v>3600000</v>
      </c>
    </row>
    <row r="2158" spans="2:16">
      <c r="B2158" s="19" t="s">
        <v>2325</v>
      </c>
      <c r="C2158" s="61" t="s">
        <v>3</v>
      </c>
      <c r="D2158" s="20" t="s">
        <v>2104</v>
      </c>
      <c r="E2158" s="32" t="s">
        <v>205</v>
      </c>
      <c r="F2158" s="20" t="str">
        <f t="shared" si="176"/>
        <v>Block 41</v>
      </c>
      <c r="G2158" s="20" t="str">
        <f t="shared" si="175"/>
        <v>Lot 38</v>
      </c>
      <c r="H2158" s="40">
        <v>55</v>
      </c>
      <c r="I2158" s="41">
        <v>80</v>
      </c>
      <c r="J2158" s="19" t="s">
        <v>1917</v>
      </c>
      <c r="K2158" s="35" t="s">
        <v>1918</v>
      </c>
      <c r="L2158" s="36">
        <f>IFERROR(INDEX([3]ESE!$AD$22:$BD$453,MATCH($B2158,[3]ESE!$AD$22:$AD$453,0),23),"NA")</f>
        <v>3600000</v>
      </c>
      <c r="M2158" s="36"/>
      <c r="N2158" s="36">
        <f t="shared" si="177"/>
        <v>3600000</v>
      </c>
      <c r="O2158" s="36">
        <f t="shared" si="178"/>
        <v>0</v>
      </c>
      <c r="P2158" s="60">
        <f t="shared" si="179"/>
        <v>3600000</v>
      </c>
    </row>
    <row r="2159" spans="2:16">
      <c r="B2159" s="19" t="s">
        <v>2326</v>
      </c>
      <c r="C2159" s="61" t="s">
        <v>3</v>
      </c>
      <c r="D2159" s="20" t="s">
        <v>2104</v>
      </c>
      <c r="E2159" s="32" t="s">
        <v>205</v>
      </c>
      <c r="F2159" s="20" t="str">
        <f t="shared" si="176"/>
        <v>Block 41</v>
      </c>
      <c r="G2159" s="20" t="str">
        <f t="shared" si="175"/>
        <v>Lot 39</v>
      </c>
      <c r="H2159" s="40">
        <v>55</v>
      </c>
      <c r="I2159" s="41">
        <v>80</v>
      </c>
      <c r="J2159" s="19" t="s">
        <v>1917</v>
      </c>
      <c r="K2159" s="35" t="s">
        <v>1924</v>
      </c>
      <c r="L2159" s="36">
        <f>IFERROR(INDEX([3]ESE!$AD$22:$BD$453,MATCH($B2159,[3]ESE!$AD$22:$AD$453,0),23),"NA")</f>
        <v>3600000</v>
      </c>
      <c r="M2159" s="36"/>
      <c r="N2159" s="36">
        <f t="shared" si="177"/>
        <v>3600000</v>
      </c>
      <c r="O2159" s="36">
        <f t="shared" si="178"/>
        <v>0</v>
      </c>
      <c r="P2159" s="60">
        <f t="shared" si="179"/>
        <v>3600000</v>
      </c>
    </row>
    <row r="2160" spans="2:16">
      <c r="B2160" s="19" t="s">
        <v>2327</v>
      </c>
      <c r="C2160" s="61" t="s">
        <v>3</v>
      </c>
      <c r="D2160" s="20" t="s">
        <v>2104</v>
      </c>
      <c r="E2160" s="32" t="s">
        <v>205</v>
      </c>
      <c r="F2160" s="20" t="str">
        <f t="shared" si="176"/>
        <v>Block 41</v>
      </c>
      <c r="G2160" s="20" t="str">
        <f t="shared" si="175"/>
        <v>Lot 40</v>
      </c>
      <c r="H2160" s="40">
        <v>55</v>
      </c>
      <c r="I2160" s="41">
        <v>90</v>
      </c>
      <c r="J2160" s="19" t="s">
        <v>1917</v>
      </c>
      <c r="K2160" s="35" t="s">
        <v>1926</v>
      </c>
      <c r="L2160" s="36">
        <f>IFERROR(INDEX([3]ESE!$AD$22:$BD$453,MATCH($B2160,[3]ESE!$AD$22:$AD$453,0),23),"NA")</f>
        <v>3705000</v>
      </c>
      <c r="M2160" s="36"/>
      <c r="N2160" s="36">
        <f t="shared" si="177"/>
        <v>3705000</v>
      </c>
      <c r="O2160" s="36">
        <f t="shared" si="178"/>
        <v>444600</v>
      </c>
      <c r="P2160" s="60">
        <f t="shared" si="179"/>
        <v>3260400</v>
      </c>
    </row>
    <row r="2161" spans="2:16">
      <c r="B2161" s="19" t="s">
        <v>2328</v>
      </c>
      <c r="C2161" s="61" t="s">
        <v>3</v>
      </c>
      <c r="D2161" s="20" t="s">
        <v>2104</v>
      </c>
      <c r="E2161" s="32" t="s">
        <v>205</v>
      </c>
      <c r="F2161" s="20" t="str">
        <f t="shared" si="176"/>
        <v>Block 41</v>
      </c>
      <c r="G2161" s="20" t="str">
        <f t="shared" si="175"/>
        <v>Lot 41</v>
      </c>
      <c r="H2161" s="40">
        <v>55</v>
      </c>
      <c r="I2161" s="41">
        <v>90</v>
      </c>
      <c r="J2161" s="19" t="s">
        <v>1917</v>
      </c>
      <c r="K2161" s="35" t="s">
        <v>1926</v>
      </c>
      <c r="L2161" s="36">
        <f>IFERROR(INDEX([3]ESE!$AD$22:$BD$453,MATCH($B2161,[3]ESE!$AD$22:$AD$453,0),23),"NA")</f>
        <v>3805000</v>
      </c>
      <c r="M2161" s="36"/>
      <c r="N2161" s="36">
        <f t="shared" si="177"/>
        <v>3805000</v>
      </c>
      <c r="O2161" s="36">
        <f t="shared" si="178"/>
        <v>456600</v>
      </c>
      <c r="P2161" s="60">
        <f t="shared" si="179"/>
        <v>3348400</v>
      </c>
    </row>
    <row r="2162" spans="2:16">
      <c r="B2162" s="19" t="s">
        <v>2329</v>
      </c>
      <c r="C2162" s="61" t="s">
        <v>3</v>
      </c>
      <c r="D2162" s="20" t="s">
        <v>2104</v>
      </c>
      <c r="E2162" s="32" t="s">
        <v>205</v>
      </c>
      <c r="F2162" s="20" t="str">
        <f t="shared" si="176"/>
        <v>Block 41</v>
      </c>
      <c r="G2162" s="20" t="str">
        <f t="shared" si="175"/>
        <v>Lot 43</v>
      </c>
      <c r="H2162" s="40">
        <v>55</v>
      </c>
      <c r="I2162" s="41">
        <v>107</v>
      </c>
      <c r="J2162" s="19" t="s">
        <v>1917</v>
      </c>
      <c r="K2162" s="35" t="s">
        <v>1924</v>
      </c>
      <c r="L2162" s="36">
        <f>IFERROR(INDEX([3]ESE!$AD$22:$BD$453,MATCH($B2162,[3]ESE!$AD$22:$AD$453,0),23),"NA")</f>
        <v>3951500</v>
      </c>
      <c r="M2162" s="36"/>
      <c r="N2162" s="36">
        <f t="shared" si="177"/>
        <v>3951500</v>
      </c>
      <c r="O2162" s="36">
        <f t="shared" si="178"/>
        <v>474180</v>
      </c>
      <c r="P2162" s="60">
        <f t="shared" si="179"/>
        <v>3477320</v>
      </c>
    </row>
    <row r="2163" spans="2:16">
      <c r="B2163" s="19" t="s">
        <v>2330</v>
      </c>
      <c r="C2163" s="61" t="s">
        <v>3</v>
      </c>
      <c r="D2163" s="20" t="s">
        <v>1928</v>
      </c>
      <c r="E2163" s="32" t="s">
        <v>205</v>
      </c>
      <c r="F2163" s="20" t="str">
        <f t="shared" si="176"/>
        <v>Block 42</v>
      </c>
      <c r="G2163" s="20" t="str">
        <f t="shared" si="175"/>
        <v>Lot 01</v>
      </c>
      <c r="H2163" s="40">
        <v>55</v>
      </c>
      <c r="I2163" s="41">
        <v>108</v>
      </c>
      <c r="J2163" s="19" t="s">
        <v>1917</v>
      </c>
      <c r="K2163" s="35" t="s">
        <v>1918</v>
      </c>
      <c r="L2163" s="36">
        <f>IFERROR(INDEX([3]ESE!$AD$22:$BD$453,MATCH($B2163,[3]ESE!$AD$22:$AD$453,0),23),"NA")</f>
        <v>3966000</v>
      </c>
      <c r="M2163" s="36"/>
      <c r="N2163" s="36">
        <f t="shared" si="177"/>
        <v>3966000</v>
      </c>
      <c r="O2163" s="36">
        <f t="shared" si="178"/>
        <v>475920</v>
      </c>
      <c r="P2163" s="60">
        <f t="shared" si="179"/>
        <v>3490080</v>
      </c>
    </row>
    <row r="2164" spans="2:16">
      <c r="B2164" s="19" t="s">
        <v>2331</v>
      </c>
      <c r="C2164" s="61" t="s">
        <v>3</v>
      </c>
      <c r="D2164" s="20" t="s">
        <v>1928</v>
      </c>
      <c r="E2164" s="32" t="s">
        <v>205</v>
      </c>
      <c r="F2164" s="20" t="str">
        <f t="shared" si="176"/>
        <v>Block 42</v>
      </c>
      <c r="G2164" s="20" t="str">
        <f t="shared" si="175"/>
        <v>Lot 02</v>
      </c>
      <c r="H2164" s="40">
        <v>55</v>
      </c>
      <c r="I2164" s="41">
        <v>80</v>
      </c>
      <c r="J2164" s="19" t="s">
        <v>1917</v>
      </c>
      <c r="K2164" s="35" t="s">
        <v>1920</v>
      </c>
      <c r="L2164" s="36">
        <f>IFERROR(INDEX([3]ESE!$AD$22:$BD$453,MATCH($B2164,[3]ESE!$AD$22:$AD$453,0),23),"NA")</f>
        <v>3560000</v>
      </c>
      <c r="M2164" s="36"/>
      <c r="N2164" s="36">
        <f t="shared" si="177"/>
        <v>3560000</v>
      </c>
      <c r="O2164" s="36">
        <f t="shared" si="178"/>
        <v>0</v>
      </c>
      <c r="P2164" s="60">
        <f t="shared" si="179"/>
        <v>3560000</v>
      </c>
    </row>
    <row r="2165" spans="2:16">
      <c r="B2165" s="19" t="s">
        <v>2332</v>
      </c>
      <c r="C2165" s="61" t="s">
        <v>3</v>
      </c>
      <c r="D2165" s="20" t="s">
        <v>1928</v>
      </c>
      <c r="E2165" s="32" t="s">
        <v>205</v>
      </c>
      <c r="F2165" s="20" t="str">
        <f t="shared" si="176"/>
        <v>Block 42</v>
      </c>
      <c r="G2165" s="20" t="str">
        <f t="shared" si="175"/>
        <v>Lot 03</v>
      </c>
      <c r="H2165" s="40">
        <v>55</v>
      </c>
      <c r="I2165" s="41">
        <v>80</v>
      </c>
      <c r="J2165" s="19" t="s">
        <v>1917</v>
      </c>
      <c r="K2165" s="35" t="s">
        <v>1926</v>
      </c>
      <c r="L2165" s="36">
        <f>IFERROR(INDEX([3]ESE!$AD$22:$BD$453,MATCH($B2165,[3]ESE!$AD$22:$AD$453,0),23),"NA")</f>
        <v>3560000</v>
      </c>
      <c r="M2165" s="36"/>
      <c r="N2165" s="36">
        <f t="shared" si="177"/>
        <v>3560000</v>
      </c>
      <c r="O2165" s="36">
        <f t="shared" si="178"/>
        <v>0</v>
      </c>
      <c r="P2165" s="60">
        <f t="shared" si="179"/>
        <v>3560000</v>
      </c>
    </row>
    <row r="2166" spans="2:16">
      <c r="B2166" s="19" t="s">
        <v>2333</v>
      </c>
      <c r="C2166" s="61" t="s">
        <v>3</v>
      </c>
      <c r="D2166" s="20" t="s">
        <v>1928</v>
      </c>
      <c r="E2166" s="32" t="s">
        <v>205</v>
      </c>
      <c r="F2166" s="20" t="str">
        <f t="shared" si="176"/>
        <v>Block 42</v>
      </c>
      <c r="G2166" s="20" t="str">
        <f t="shared" si="175"/>
        <v>Lot 04</v>
      </c>
      <c r="H2166" s="40">
        <v>55</v>
      </c>
      <c r="I2166" s="41">
        <v>100</v>
      </c>
      <c r="J2166" s="19" t="s">
        <v>1917</v>
      </c>
      <c r="K2166" s="35" t="s">
        <v>1924</v>
      </c>
      <c r="L2166" s="36">
        <f>IFERROR(INDEX([3]ESE!$AD$22:$BD$453,MATCH($B2166,[3]ESE!$AD$22:$AD$453,0),23),"NA")</f>
        <v>3850000</v>
      </c>
      <c r="M2166" s="36"/>
      <c r="N2166" s="36">
        <f t="shared" si="177"/>
        <v>3850000</v>
      </c>
      <c r="O2166" s="36">
        <f t="shared" si="178"/>
        <v>462000</v>
      </c>
      <c r="P2166" s="60">
        <f t="shared" si="179"/>
        <v>3388000</v>
      </c>
    </row>
    <row r="2167" spans="2:16">
      <c r="B2167" s="19" t="s">
        <v>2334</v>
      </c>
      <c r="C2167" s="61" t="s">
        <v>3</v>
      </c>
      <c r="D2167" s="20" t="s">
        <v>1928</v>
      </c>
      <c r="E2167" s="32" t="s">
        <v>205</v>
      </c>
      <c r="F2167" s="20" t="str">
        <f t="shared" si="176"/>
        <v>Block 42</v>
      </c>
      <c r="G2167" s="20" t="str">
        <f t="shared" si="175"/>
        <v>Lot 05</v>
      </c>
      <c r="H2167" s="40">
        <v>55</v>
      </c>
      <c r="I2167" s="41">
        <v>100</v>
      </c>
      <c r="J2167" s="19" t="s">
        <v>1917</v>
      </c>
      <c r="K2167" s="35" t="s">
        <v>1982</v>
      </c>
      <c r="L2167" s="36">
        <f>IFERROR(INDEX([3]ESE!$AD$22:$BD$453,MATCH($B2167,[3]ESE!$AD$22:$AD$453,0),23),"NA")</f>
        <v>3850000</v>
      </c>
      <c r="M2167" s="36"/>
      <c r="N2167" s="36">
        <f t="shared" si="177"/>
        <v>3850000</v>
      </c>
      <c r="O2167" s="36">
        <f t="shared" si="178"/>
        <v>462000</v>
      </c>
      <c r="P2167" s="60">
        <f t="shared" si="179"/>
        <v>3388000</v>
      </c>
    </row>
    <row r="2168" spans="2:16">
      <c r="B2168" s="19" t="s">
        <v>2335</v>
      </c>
      <c r="C2168" s="61" t="s">
        <v>3</v>
      </c>
      <c r="D2168" s="20" t="s">
        <v>1928</v>
      </c>
      <c r="E2168" s="32" t="s">
        <v>205</v>
      </c>
      <c r="F2168" s="20" t="str">
        <f t="shared" si="176"/>
        <v>Block 42</v>
      </c>
      <c r="G2168" s="20" t="str">
        <f t="shared" si="175"/>
        <v>Lot 08</v>
      </c>
      <c r="H2168" s="40">
        <v>55</v>
      </c>
      <c r="I2168" s="41">
        <v>80</v>
      </c>
      <c r="J2168" s="19" t="s">
        <v>1917</v>
      </c>
      <c r="K2168" s="35" t="s">
        <v>1920</v>
      </c>
      <c r="L2168" s="36">
        <f>IFERROR(INDEX([3]ESE!$AD$22:$BD$453,MATCH($B2168,[3]ESE!$AD$22:$AD$453,0),23),"NA")</f>
        <v>3560000</v>
      </c>
      <c r="M2168" s="36"/>
      <c r="N2168" s="36">
        <f t="shared" si="177"/>
        <v>3560000</v>
      </c>
      <c r="O2168" s="36">
        <f t="shared" si="178"/>
        <v>0</v>
      </c>
      <c r="P2168" s="60">
        <f t="shared" si="179"/>
        <v>3560000</v>
      </c>
    </row>
    <row r="2169" spans="2:16">
      <c r="B2169" s="19" t="s">
        <v>2336</v>
      </c>
      <c r="C2169" s="61" t="s">
        <v>3</v>
      </c>
      <c r="D2169" s="20" t="s">
        <v>1928</v>
      </c>
      <c r="E2169" s="32" t="s">
        <v>205</v>
      </c>
      <c r="F2169" s="20" t="str">
        <f t="shared" si="176"/>
        <v>Block 42</v>
      </c>
      <c r="G2169" s="20" t="str">
        <f t="shared" si="175"/>
        <v>Lot 09</v>
      </c>
      <c r="H2169" s="40">
        <v>55</v>
      </c>
      <c r="I2169" s="41">
        <v>80</v>
      </c>
      <c r="J2169" s="19" t="s">
        <v>1917</v>
      </c>
      <c r="K2169" s="35" t="s">
        <v>1926</v>
      </c>
      <c r="L2169" s="36">
        <f>IFERROR(INDEX([3]ESE!$AD$22:$BD$453,MATCH($B2169,[3]ESE!$AD$22:$AD$453,0),23),"NA")</f>
        <v>3560000</v>
      </c>
      <c r="M2169" s="36"/>
      <c r="N2169" s="36">
        <f t="shared" si="177"/>
        <v>3560000</v>
      </c>
      <c r="O2169" s="36">
        <f t="shared" si="178"/>
        <v>0</v>
      </c>
      <c r="P2169" s="60">
        <f t="shared" si="179"/>
        <v>3560000</v>
      </c>
    </row>
    <row r="2170" spans="2:16">
      <c r="B2170" s="19" t="s">
        <v>2337</v>
      </c>
      <c r="C2170" s="61" t="s">
        <v>3</v>
      </c>
      <c r="D2170" s="20" t="s">
        <v>1928</v>
      </c>
      <c r="E2170" s="32" t="s">
        <v>205</v>
      </c>
      <c r="F2170" s="20" t="str">
        <f t="shared" si="176"/>
        <v>Block 42</v>
      </c>
      <c r="G2170" s="20" t="str">
        <f t="shared" si="175"/>
        <v>Lot 10</v>
      </c>
      <c r="H2170" s="40">
        <v>55</v>
      </c>
      <c r="I2170" s="41">
        <v>80</v>
      </c>
      <c r="J2170" s="19" t="s">
        <v>1917</v>
      </c>
      <c r="K2170" s="35" t="s">
        <v>1924</v>
      </c>
      <c r="L2170" s="36">
        <f>IFERROR(INDEX([3]ESE!$AD$22:$BD$453,MATCH($B2170,[3]ESE!$AD$22:$AD$453,0),23),"NA")</f>
        <v>3560000</v>
      </c>
      <c r="M2170" s="36"/>
      <c r="N2170" s="36">
        <f t="shared" si="177"/>
        <v>3560000</v>
      </c>
      <c r="O2170" s="36">
        <f t="shared" si="178"/>
        <v>0</v>
      </c>
      <c r="P2170" s="60">
        <f t="shared" si="179"/>
        <v>3560000</v>
      </c>
    </row>
    <row r="2171" spans="2:16">
      <c r="B2171" s="19" t="s">
        <v>2338</v>
      </c>
      <c r="C2171" s="61" t="s">
        <v>3</v>
      </c>
      <c r="D2171" s="20" t="s">
        <v>1928</v>
      </c>
      <c r="E2171" s="32" t="s">
        <v>205</v>
      </c>
      <c r="F2171" s="20" t="str">
        <f t="shared" si="176"/>
        <v>Block 42</v>
      </c>
      <c r="G2171" s="20" t="str">
        <f t="shared" si="175"/>
        <v>Lot 11</v>
      </c>
      <c r="H2171" s="40">
        <v>55</v>
      </c>
      <c r="I2171" s="41">
        <v>80</v>
      </c>
      <c r="J2171" s="19" t="s">
        <v>1917</v>
      </c>
      <c r="K2171" s="35" t="s">
        <v>1918</v>
      </c>
      <c r="L2171" s="36">
        <f>IFERROR(INDEX([3]ESE!$AD$22:$BD$453,MATCH($B2171,[3]ESE!$AD$22:$AD$453,0),23),"NA")</f>
        <v>3560000</v>
      </c>
      <c r="M2171" s="36"/>
      <c r="N2171" s="36">
        <f t="shared" si="177"/>
        <v>3560000</v>
      </c>
      <c r="O2171" s="36">
        <f t="shared" si="178"/>
        <v>0</v>
      </c>
      <c r="P2171" s="60">
        <f t="shared" si="179"/>
        <v>3560000</v>
      </c>
    </row>
    <row r="2172" spans="2:16">
      <c r="B2172" s="19" t="s">
        <v>2339</v>
      </c>
      <c r="C2172" s="61" t="s">
        <v>3</v>
      </c>
      <c r="D2172" s="20" t="s">
        <v>1928</v>
      </c>
      <c r="E2172" s="32" t="s">
        <v>205</v>
      </c>
      <c r="F2172" s="20" t="str">
        <f t="shared" si="176"/>
        <v>Block 42</v>
      </c>
      <c r="G2172" s="20" t="str">
        <f t="shared" si="175"/>
        <v>Lot 12</v>
      </c>
      <c r="H2172" s="40">
        <v>55</v>
      </c>
      <c r="I2172" s="41">
        <v>80</v>
      </c>
      <c r="J2172" s="19" t="s">
        <v>1917</v>
      </c>
      <c r="K2172" s="35" t="s">
        <v>1920</v>
      </c>
      <c r="L2172" s="36">
        <f>IFERROR(INDEX([3]ESE!$AD$22:$BD$453,MATCH($B2172,[3]ESE!$AD$22:$AD$453,0),23),"NA")</f>
        <v>3560000</v>
      </c>
      <c r="M2172" s="36"/>
      <c r="N2172" s="36">
        <f t="shared" si="177"/>
        <v>3560000</v>
      </c>
      <c r="O2172" s="36">
        <f t="shared" si="178"/>
        <v>0</v>
      </c>
      <c r="P2172" s="60">
        <f t="shared" si="179"/>
        <v>3560000</v>
      </c>
    </row>
    <row r="2173" spans="2:16">
      <c r="B2173" s="19" t="s">
        <v>2340</v>
      </c>
      <c r="C2173" s="61" t="s">
        <v>3</v>
      </c>
      <c r="D2173" s="20" t="s">
        <v>1928</v>
      </c>
      <c r="E2173" s="32" t="s">
        <v>205</v>
      </c>
      <c r="F2173" s="20" t="str">
        <f t="shared" si="176"/>
        <v>Block 42</v>
      </c>
      <c r="G2173" s="20" t="str">
        <f t="shared" si="175"/>
        <v>Lot 13</v>
      </c>
      <c r="H2173" s="40">
        <v>55</v>
      </c>
      <c r="I2173" s="41">
        <v>80</v>
      </c>
      <c r="J2173" s="19" t="s">
        <v>1917</v>
      </c>
      <c r="K2173" s="35" t="s">
        <v>1926</v>
      </c>
      <c r="L2173" s="36">
        <f>IFERROR(INDEX([3]ESE!$AD$22:$BD$453,MATCH($B2173,[3]ESE!$AD$22:$AD$453,0),23),"NA")</f>
        <v>3560000</v>
      </c>
      <c r="M2173" s="36"/>
      <c r="N2173" s="36">
        <f t="shared" si="177"/>
        <v>3560000</v>
      </c>
      <c r="O2173" s="36">
        <f t="shared" si="178"/>
        <v>0</v>
      </c>
      <c r="P2173" s="60">
        <f t="shared" si="179"/>
        <v>3560000</v>
      </c>
    </row>
    <row r="2174" spans="2:16">
      <c r="B2174" s="19" t="s">
        <v>2341</v>
      </c>
      <c r="C2174" s="61" t="s">
        <v>3</v>
      </c>
      <c r="D2174" s="20" t="s">
        <v>1928</v>
      </c>
      <c r="E2174" s="32" t="s">
        <v>205</v>
      </c>
      <c r="F2174" s="20" t="str">
        <f t="shared" si="176"/>
        <v>Block 42</v>
      </c>
      <c r="G2174" s="20" t="str">
        <f t="shared" si="175"/>
        <v>Lot 14</v>
      </c>
      <c r="H2174" s="40">
        <v>55</v>
      </c>
      <c r="I2174" s="41">
        <v>80</v>
      </c>
      <c r="J2174" s="19" t="s">
        <v>1917</v>
      </c>
      <c r="K2174" s="35" t="s">
        <v>1924</v>
      </c>
      <c r="L2174" s="36">
        <f>IFERROR(INDEX([3]ESE!$AD$22:$BD$453,MATCH($B2174,[3]ESE!$AD$22:$AD$453,0),23),"NA")</f>
        <v>3560000</v>
      </c>
      <c r="M2174" s="36"/>
      <c r="N2174" s="36">
        <f t="shared" si="177"/>
        <v>3560000</v>
      </c>
      <c r="O2174" s="36">
        <f t="shared" si="178"/>
        <v>0</v>
      </c>
      <c r="P2174" s="60">
        <f t="shared" si="179"/>
        <v>3560000</v>
      </c>
    </row>
    <row r="2175" spans="2:16">
      <c r="B2175" s="19" t="s">
        <v>2342</v>
      </c>
      <c r="C2175" s="61" t="s">
        <v>3</v>
      </c>
      <c r="D2175" s="20" t="s">
        <v>1928</v>
      </c>
      <c r="E2175" s="32" t="s">
        <v>243</v>
      </c>
      <c r="F2175" s="20" t="str">
        <f t="shared" si="176"/>
        <v>Block 42</v>
      </c>
      <c r="G2175" s="20" t="str">
        <f t="shared" si="175"/>
        <v>Lot 15</v>
      </c>
      <c r="H2175" s="40">
        <v>55</v>
      </c>
      <c r="I2175" s="41">
        <v>80</v>
      </c>
      <c r="J2175" s="19" t="s">
        <v>1917</v>
      </c>
      <c r="K2175" s="35" t="s">
        <v>1918</v>
      </c>
      <c r="L2175" s="36">
        <f>IFERROR(INDEX([3]ESE!$AD$22:$BD$453,MATCH($B2175,[3]ESE!$AD$22:$AD$453,0),23),"NA")</f>
        <v>3560000</v>
      </c>
      <c r="M2175" s="36"/>
      <c r="N2175" s="36">
        <f t="shared" si="177"/>
        <v>3560000</v>
      </c>
      <c r="O2175" s="36">
        <f t="shared" si="178"/>
        <v>0</v>
      </c>
      <c r="P2175" s="60">
        <f t="shared" si="179"/>
        <v>3560000</v>
      </c>
    </row>
    <row r="2176" spans="2:16">
      <c r="B2176" s="19" t="s">
        <v>2343</v>
      </c>
      <c r="C2176" s="61" t="s">
        <v>3</v>
      </c>
      <c r="D2176" s="20" t="s">
        <v>1928</v>
      </c>
      <c r="E2176" s="32" t="s">
        <v>205</v>
      </c>
      <c r="F2176" s="20" t="str">
        <f t="shared" si="176"/>
        <v>Block 42</v>
      </c>
      <c r="G2176" s="20" t="str">
        <f t="shared" si="175"/>
        <v>Lot 16</v>
      </c>
      <c r="H2176" s="40">
        <v>55</v>
      </c>
      <c r="I2176" s="41">
        <v>80</v>
      </c>
      <c r="J2176" s="19" t="s">
        <v>1917</v>
      </c>
      <c r="K2176" s="35" t="s">
        <v>1920</v>
      </c>
      <c r="L2176" s="36">
        <f>IFERROR(INDEX([3]ESE!$AD$22:$BD$453,MATCH($B2176,[3]ESE!$AD$22:$AD$453,0),23),"NA")</f>
        <v>3560000</v>
      </c>
      <c r="M2176" s="36"/>
      <c r="N2176" s="36">
        <f t="shared" si="177"/>
        <v>3560000</v>
      </c>
      <c r="O2176" s="36">
        <f t="shared" si="178"/>
        <v>0</v>
      </c>
      <c r="P2176" s="60">
        <f t="shared" si="179"/>
        <v>3560000</v>
      </c>
    </row>
    <row r="2177" spans="2:16">
      <c r="B2177" s="19" t="s">
        <v>2344</v>
      </c>
      <c r="C2177" s="61" t="s">
        <v>3</v>
      </c>
      <c r="D2177" s="20" t="s">
        <v>1928</v>
      </c>
      <c r="E2177" s="32" t="s">
        <v>205</v>
      </c>
      <c r="F2177" s="20" t="str">
        <f t="shared" si="176"/>
        <v>Block 42</v>
      </c>
      <c r="G2177" s="20" t="str">
        <f t="shared" si="175"/>
        <v>Lot 17</v>
      </c>
      <c r="H2177" s="40">
        <v>55</v>
      </c>
      <c r="I2177" s="41">
        <v>85</v>
      </c>
      <c r="J2177" s="19" t="s">
        <v>1917</v>
      </c>
      <c r="K2177" s="35" t="s">
        <v>1926</v>
      </c>
      <c r="L2177" s="36">
        <f>IFERROR(INDEX([3]ESE!$AD$22:$BD$453,MATCH($B2177,[3]ESE!$AD$22:$AD$453,0),23),"NA")</f>
        <v>3632500</v>
      </c>
      <c r="M2177" s="36">
        <v>32500</v>
      </c>
      <c r="N2177" s="36">
        <f t="shared" si="177"/>
        <v>3600000</v>
      </c>
      <c r="O2177" s="36">
        <f t="shared" si="178"/>
        <v>0</v>
      </c>
      <c r="P2177" s="60">
        <f t="shared" si="179"/>
        <v>3600000</v>
      </c>
    </row>
    <row r="2178" spans="2:16">
      <c r="B2178" s="19" t="s">
        <v>2345</v>
      </c>
      <c r="C2178" s="61" t="s">
        <v>3</v>
      </c>
      <c r="D2178" s="20" t="s">
        <v>1928</v>
      </c>
      <c r="E2178" s="32" t="s">
        <v>233</v>
      </c>
      <c r="F2178" s="20" t="str">
        <f t="shared" si="176"/>
        <v>Block 42</v>
      </c>
      <c r="G2178" s="20" t="str">
        <f t="shared" si="175"/>
        <v>Lot 18</v>
      </c>
      <c r="H2178" s="40">
        <v>55</v>
      </c>
      <c r="I2178" s="41">
        <v>127</v>
      </c>
      <c r="J2178" s="19" t="s">
        <v>1917</v>
      </c>
      <c r="K2178" s="35" t="s">
        <v>1924</v>
      </c>
      <c r="L2178" s="36">
        <f>IFERROR(INDEX([3]ESE!$AD$22:$BD$453,MATCH($B2178,[3]ESE!$AD$22:$AD$453,0),23),"NA")</f>
        <v>4241500</v>
      </c>
      <c r="M2178" s="36"/>
      <c r="N2178" s="36">
        <f t="shared" si="177"/>
        <v>4241500</v>
      </c>
      <c r="O2178" s="36">
        <f t="shared" si="178"/>
        <v>508980</v>
      </c>
      <c r="P2178" s="60">
        <f t="shared" si="179"/>
        <v>3732520</v>
      </c>
    </row>
    <row r="2179" spans="2:16">
      <c r="B2179" s="19" t="s">
        <v>2346</v>
      </c>
      <c r="C2179" s="61" t="s">
        <v>3</v>
      </c>
      <c r="D2179" s="20" t="s">
        <v>1952</v>
      </c>
      <c r="E2179" s="32" t="s">
        <v>205</v>
      </c>
      <c r="F2179" s="20" t="str">
        <f t="shared" si="176"/>
        <v>Block 43</v>
      </c>
      <c r="G2179" s="20" t="str">
        <f t="shared" si="175"/>
        <v>Lot 01</v>
      </c>
      <c r="H2179" s="40">
        <v>55</v>
      </c>
      <c r="I2179" s="41">
        <v>126</v>
      </c>
      <c r="J2179" s="19" t="s">
        <v>1917</v>
      </c>
      <c r="K2179" s="35" t="s">
        <v>1918</v>
      </c>
      <c r="L2179" s="36">
        <f>IFERROR(INDEX([3]ESE!$AD$22:$BD$453,MATCH($B2179,[3]ESE!$AD$22:$AD$453,0),23),"NA")</f>
        <v>4290000</v>
      </c>
      <c r="M2179" s="36"/>
      <c r="N2179" s="36">
        <f t="shared" si="177"/>
        <v>4290000</v>
      </c>
      <c r="O2179" s="36">
        <f t="shared" si="178"/>
        <v>514800</v>
      </c>
      <c r="P2179" s="60">
        <f t="shared" si="179"/>
        <v>3775200</v>
      </c>
    </row>
    <row r="2180" spans="2:16">
      <c r="B2180" s="19" t="s">
        <v>2347</v>
      </c>
      <c r="C2180" s="61" t="s">
        <v>3</v>
      </c>
      <c r="D2180" s="20" t="s">
        <v>1952</v>
      </c>
      <c r="E2180" s="32" t="s">
        <v>205</v>
      </c>
      <c r="F2180" s="20" t="str">
        <f t="shared" si="176"/>
        <v>Block 43</v>
      </c>
      <c r="G2180" s="20" t="str">
        <f t="shared" si="175"/>
        <v>Lot 02</v>
      </c>
      <c r="H2180" s="40">
        <v>55</v>
      </c>
      <c r="I2180" s="41">
        <v>80</v>
      </c>
      <c r="J2180" s="19" t="s">
        <v>1917</v>
      </c>
      <c r="K2180" s="35" t="s">
        <v>1920</v>
      </c>
      <c r="L2180" s="36">
        <f>IFERROR(INDEX([3]ESE!$AD$22:$BD$453,MATCH($B2180,[3]ESE!$AD$22:$AD$453,0),23),"NA")</f>
        <v>3600000</v>
      </c>
      <c r="M2180" s="36"/>
      <c r="N2180" s="36">
        <f t="shared" si="177"/>
        <v>3600000</v>
      </c>
      <c r="O2180" s="36">
        <f t="shared" si="178"/>
        <v>0</v>
      </c>
      <c r="P2180" s="60">
        <f t="shared" si="179"/>
        <v>3600000</v>
      </c>
    </row>
    <row r="2181" spans="2:16">
      <c r="B2181" s="19" t="s">
        <v>2348</v>
      </c>
      <c r="C2181" s="61" t="s">
        <v>3</v>
      </c>
      <c r="D2181" s="20" t="s">
        <v>1952</v>
      </c>
      <c r="E2181" s="32" t="s">
        <v>205</v>
      </c>
      <c r="F2181" s="20" t="str">
        <f t="shared" si="176"/>
        <v>Block 43</v>
      </c>
      <c r="G2181" s="20" t="str">
        <f t="shared" si="175"/>
        <v>Lot 03</v>
      </c>
      <c r="H2181" s="40">
        <v>55</v>
      </c>
      <c r="I2181" s="41">
        <v>80</v>
      </c>
      <c r="J2181" s="19" t="s">
        <v>1917</v>
      </c>
      <c r="K2181" s="35" t="s">
        <v>1920</v>
      </c>
      <c r="L2181" s="36">
        <f>IFERROR(INDEX([3]ESE!$AD$22:$BD$453,MATCH($B2181,[3]ESE!$AD$22:$AD$453,0),23),"NA")</f>
        <v>3600000</v>
      </c>
      <c r="M2181" s="36"/>
      <c r="N2181" s="36">
        <f t="shared" si="177"/>
        <v>3600000</v>
      </c>
      <c r="O2181" s="36">
        <f t="shared" si="178"/>
        <v>0</v>
      </c>
      <c r="P2181" s="60">
        <f t="shared" si="179"/>
        <v>3600000</v>
      </c>
    </row>
    <row r="2182" spans="2:16">
      <c r="B2182" s="19" t="s">
        <v>2349</v>
      </c>
      <c r="C2182" s="61" t="s">
        <v>3</v>
      </c>
      <c r="D2182" s="20" t="s">
        <v>1952</v>
      </c>
      <c r="E2182" s="32" t="s">
        <v>205</v>
      </c>
      <c r="F2182" s="20" t="str">
        <f t="shared" si="176"/>
        <v>Block 43</v>
      </c>
      <c r="G2182" s="20" t="str">
        <f t="shared" si="175"/>
        <v>Lot 04</v>
      </c>
      <c r="H2182" s="40">
        <v>55</v>
      </c>
      <c r="I2182" s="41">
        <v>80</v>
      </c>
      <c r="J2182" s="19" t="s">
        <v>1917</v>
      </c>
      <c r="K2182" s="35" t="s">
        <v>1918</v>
      </c>
      <c r="L2182" s="36">
        <f>IFERROR(INDEX([3]ESE!$AD$22:$BD$453,MATCH($B2182,[3]ESE!$AD$22:$AD$453,0),23),"NA")</f>
        <v>3600000</v>
      </c>
      <c r="M2182" s="36"/>
      <c r="N2182" s="36">
        <f t="shared" si="177"/>
        <v>3600000</v>
      </c>
      <c r="O2182" s="36">
        <f t="shared" si="178"/>
        <v>0</v>
      </c>
      <c r="P2182" s="60">
        <f t="shared" si="179"/>
        <v>3600000</v>
      </c>
    </row>
    <row r="2183" spans="2:16">
      <c r="B2183" s="19" t="s">
        <v>2350</v>
      </c>
      <c r="C2183" s="61" t="s">
        <v>3</v>
      </c>
      <c r="D2183" s="20" t="s">
        <v>1966</v>
      </c>
      <c r="E2183" s="32" t="s">
        <v>243</v>
      </c>
      <c r="F2183" s="20" t="str">
        <f t="shared" si="176"/>
        <v>Block 43</v>
      </c>
      <c r="G2183" s="20" t="str">
        <f t="shared" si="175"/>
        <v>Lot 05</v>
      </c>
      <c r="H2183" s="40">
        <v>55</v>
      </c>
      <c r="I2183" s="41">
        <v>80</v>
      </c>
      <c r="J2183" s="19" t="s">
        <v>1917</v>
      </c>
      <c r="K2183" s="35" t="s">
        <v>1924</v>
      </c>
      <c r="L2183" s="36">
        <f>IFERROR(INDEX([3]ESE!$AD$22:$BD$453,MATCH($B2183,[3]ESE!$AD$22:$AD$453,0),23),"NA")</f>
        <v>3600000</v>
      </c>
      <c r="M2183" s="36"/>
      <c r="N2183" s="36">
        <f t="shared" si="177"/>
        <v>3600000</v>
      </c>
      <c r="O2183" s="36">
        <f t="shared" si="178"/>
        <v>0</v>
      </c>
      <c r="P2183" s="60">
        <f t="shared" si="179"/>
        <v>3600000</v>
      </c>
    </row>
    <row r="2184" spans="2:16">
      <c r="B2184" s="19" t="s">
        <v>2351</v>
      </c>
      <c r="C2184" s="61" t="s">
        <v>3</v>
      </c>
      <c r="D2184" s="20" t="s">
        <v>1966</v>
      </c>
      <c r="E2184" s="32" t="s">
        <v>205</v>
      </c>
      <c r="F2184" s="20" t="str">
        <f t="shared" si="176"/>
        <v>Block 43</v>
      </c>
      <c r="G2184" s="20" t="str">
        <f t="shared" si="175"/>
        <v>Lot 06</v>
      </c>
      <c r="H2184" s="40">
        <v>55</v>
      </c>
      <c r="I2184" s="41">
        <v>80</v>
      </c>
      <c r="J2184" s="19" t="s">
        <v>1917</v>
      </c>
      <c r="K2184" s="35" t="s">
        <v>1926</v>
      </c>
      <c r="L2184" s="36">
        <f>IFERROR(INDEX([3]ESE!$AD$22:$BD$453,MATCH($B2184,[3]ESE!$AD$22:$AD$453,0),23),"NA")</f>
        <v>3600000</v>
      </c>
      <c r="M2184" s="36"/>
      <c r="N2184" s="36">
        <f t="shared" si="177"/>
        <v>3600000</v>
      </c>
      <c r="O2184" s="36">
        <f t="shared" si="178"/>
        <v>0</v>
      </c>
      <c r="P2184" s="60">
        <f t="shared" si="179"/>
        <v>3600000</v>
      </c>
    </row>
    <row r="2185" spans="2:16">
      <c r="B2185" s="19" t="s">
        <v>2352</v>
      </c>
      <c r="C2185" s="61" t="s">
        <v>3</v>
      </c>
      <c r="D2185" s="20" t="s">
        <v>1966</v>
      </c>
      <c r="E2185" s="32" t="s">
        <v>205</v>
      </c>
      <c r="F2185" s="20" t="str">
        <f t="shared" si="176"/>
        <v>Block 43</v>
      </c>
      <c r="G2185" s="20" t="str">
        <f t="shared" si="175"/>
        <v>Lot 07</v>
      </c>
      <c r="H2185" s="40">
        <v>55</v>
      </c>
      <c r="I2185" s="41">
        <v>90</v>
      </c>
      <c r="J2185" s="19" t="s">
        <v>1917</v>
      </c>
      <c r="K2185" s="35" t="s">
        <v>1926</v>
      </c>
      <c r="L2185" s="36">
        <f>IFERROR(INDEX([3]ESE!$AD$22:$BD$453,MATCH($B2185,[3]ESE!$AD$22:$AD$453,0),23),"NA")</f>
        <v>3600000</v>
      </c>
      <c r="M2185" s="36"/>
      <c r="N2185" s="36">
        <f t="shared" si="177"/>
        <v>3600000</v>
      </c>
      <c r="O2185" s="36">
        <f t="shared" si="178"/>
        <v>0</v>
      </c>
      <c r="P2185" s="60">
        <f t="shared" si="179"/>
        <v>3600000</v>
      </c>
    </row>
    <row r="2186" spans="2:16">
      <c r="B2186" s="19" t="s">
        <v>2353</v>
      </c>
      <c r="C2186" s="61" t="s">
        <v>3</v>
      </c>
      <c r="D2186" s="20" t="s">
        <v>1966</v>
      </c>
      <c r="E2186" s="32" t="s">
        <v>205</v>
      </c>
      <c r="F2186" s="20" t="str">
        <f t="shared" si="176"/>
        <v>Block 43</v>
      </c>
      <c r="G2186" s="20" t="str">
        <f t="shared" si="175"/>
        <v>Lot 08</v>
      </c>
      <c r="H2186" s="40">
        <v>55</v>
      </c>
      <c r="I2186" s="41">
        <v>104</v>
      </c>
      <c r="J2186" s="19" t="s">
        <v>1917</v>
      </c>
      <c r="K2186" s="35" t="s">
        <v>1924</v>
      </c>
      <c r="L2186" s="36">
        <f>IFERROR(INDEX([3]ESE!$AD$22:$BD$453,MATCH($B2186,[3]ESE!$AD$22:$AD$453,0),23),"NA")</f>
        <v>3960000</v>
      </c>
      <c r="M2186" s="36"/>
      <c r="N2186" s="36">
        <f t="shared" si="177"/>
        <v>3960000</v>
      </c>
      <c r="O2186" s="36">
        <f t="shared" si="178"/>
        <v>475200</v>
      </c>
      <c r="P2186" s="60">
        <f t="shared" si="179"/>
        <v>3484800</v>
      </c>
    </row>
    <row r="2187" spans="2:16">
      <c r="B2187" s="19" t="s">
        <v>2354</v>
      </c>
      <c r="C2187" s="61" t="s">
        <v>3</v>
      </c>
      <c r="D2187" s="37" t="s">
        <v>1916</v>
      </c>
      <c r="E2187" s="32" t="s">
        <v>205</v>
      </c>
      <c r="F2187" s="20" t="str">
        <f t="shared" si="176"/>
        <v>Block 45</v>
      </c>
      <c r="G2187" s="20" t="str">
        <f t="shared" si="175"/>
        <v>Lot 01</v>
      </c>
      <c r="H2187" s="40">
        <v>55</v>
      </c>
      <c r="I2187" s="41">
        <v>81</v>
      </c>
      <c r="J2187" s="19" t="s">
        <v>1917</v>
      </c>
      <c r="K2187" s="35" t="s">
        <v>1924</v>
      </c>
      <c r="L2187" s="36">
        <f>IFERROR(INDEX([3]ESE!$AD$22:$BD$453,MATCH($B2187,[3]ESE!$AD$22:$AD$453,0),23),"NA")</f>
        <v>3615000</v>
      </c>
      <c r="M2187" s="36">
        <v>15000</v>
      </c>
      <c r="N2187" s="36">
        <f t="shared" si="177"/>
        <v>3600000</v>
      </c>
      <c r="O2187" s="36">
        <f t="shared" si="178"/>
        <v>0</v>
      </c>
      <c r="P2187" s="60">
        <f t="shared" si="179"/>
        <v>3600000</v>
      </c>
    </row>
    <row r="2188" spans="2:16">
      <c r="B2188" s="19" t="s">
        <v>2355</v>
      </c>
      <c r="C2188" s="61" t="s">
        <v>3</v>
      </c>
      <c r="D2188" s="37" t="s">
        <v>1916</v>
      </c>
      <c r="E2188" s="32" t="s">
        <v>205</v>
      </c>
      <c r="F2188" s="20" t="str">
        <f t="shared" si="176"/>
        <v>Block 45</v>
      </c>
      <c r="G2188" s="20" t="str">
        <f t="shared" si="175"/>
        <v>Lot 02</v>
      </c>
      <c r="H2188" s="40">
        <v>55</v>
      </c>
      <c r="I2188" s="41">
        <v>100</v>
      </c>
      <c r="J2188" s="19" t="s">
        <v>1917</v>
      </c>
      <c r="K2188" s="35" t="s">
        <v>1926</v>
      </c>
      <c r="L2188" s="36">
        <f>IFERROR(INDEX([3]ESE!$AD$22:$BD$453,MATCH($B2188,[3]ESE!$AD$22:$AD$453,0),23),"NA")</f>
        <v>3900000</v>
      </c>
      <c r="M2188" s="36"/>
      <c r="N2188" s="36">
        <f t="shared" si="177"/>
        <v>3900000</v>
      </c>
      <c r="O2188" s="36">
        <f t="shared" si="178"/>
        <v>468000</v>
      </c>
      <c r="P2188" s="60">
        <f t="shared" si="179"/>
        <v>3432000</v>
      </c>
    </row>
    <row r="2189" spans="2:16">
      <c r="B2189" s="19" t="s">
        <v>2356</v>
      </c>
      <c r="C2189" s="61" t="s">
        <v>3</v>
      </c>
      <c r="D2189" s="37" t="s">
        <v>1916</v>
      </c>
      <c r="E2189" s="32" t="s">
        <v>205</v>
      </c>
      <c r="F2189" s="20" t="str">
        <f t="shared" si="176"/>
        <v>Block 45</v>
      </c>
      <c r="G2189" s="20" t="str">
        <f t="shared" si="175"/>
        <v>Lot 04</v>
      </c>
      <c r="H2189" s="40">
        <v>55</v>
      </c>
      <c r="I2189" s="41">
        <v>80</v>
      </c>
      <c r="J2189" s="19" t="s">
        <v>1917</v>
      </c>
      <c r="K2189" s="35" t="s">
        <v>1926</v>
      </c>
      <c r="L2189" s="36">
        <f>IFERROR(INDEX([3]ESE!$AD$22:$BD$453,MATCH($B2189,[3]ESE!$AD$22:$AD$453,0),23),"NA")</f>
        <v>3600000</v>
      </c>
      <c r="M2189" s="36"/>
      <c r="N2189" s="36">
        <f t="shared" si="177"/>
        <v>3600000</v>
      </c>
      <c r="O2189" s="36">
        <f t="shared" si="178"/>
        <v>0</v>
      </c>
      <c r="P2189" s="60">
        <f t="shared" si="179"/>
        <v>3600000</v>
      </c>
    </row>
    <row r="2190" spans="2:16">
      <c r="B2190" s="19" t="s">
        <v>2357</v>
      </c>
      <c r="C2190" s="61" t="s">
        <v>3</v>
      </c>
      <c r="D2190" s="37" t="s">
        <v>1916</v>
      </c>
      <c r="E2190" s="32" t="s">
        <v>205</v>
      </c>
      <c r="F2190" s="20" t="str">
        <f t="shared" si="176"/>
        <v>Block 45</v>
      </c>
      <c r="G2190" s="20" t="str">
        <f t="shared" si="175"/>
        <v>Lot 05</v>
      </c>
      <c r="H2190" s="40">
        <v>55</v>
      </c>
      <c r="I2190" s="41">
        <v>80</v>
      </c>
      <c r="J2190" s="19" t="s">
        <v>1917</v>
      </c>
      <c r="K2190" s="35" t="s">
        <v>1924</v>
      </c>
      <c r="L2190" s="36">
        <f>IFERROR(INDEX([3]ESE!$AD$22:$BD$453,MATCH($B2190,[3]ESE!$AD$22:$AD$453,0),23),"NA")</f>
        <v>3600000</v>
      </c>
      <c r="M2190" s="36"/>
      <c r="N2190" s="36">
        <f t="shared" si="177"/>
        <v>3600000</v>
      </c>
      <c r="O2190" s="36">
        <f t="shared" si="178"/>
        <v>0</v>
      </c>
      <c r="P2190" s="60">
        <f t="shared" si="179"/>
        <v>3600000</v>
      </c>
    </row>
    <row r="2191" spans="2:16">
      <c r="B2191" s="19" t="s">
        <v>2358</v>
      </c>
      <c r="C2191" s="61" t="s">
        <v>3</v>
      </c>
      <c r="D2191" s="20" t="s">
        <v>980</v>
      </c>
      <c r="E2191" s="32" t="s">
        <v>243</v>
      </c>
      <c r="F2191" s="20" t="str">
        <f t="shared" si="176"/>
        <v>Block 45</v>
      </c>
      <c r="G2191" s="20" t="str">
        <f t="shared" si="175"/>
        <v>Lot 06</v>
      </c>
      <c r="H2191" s="40" t="s">
        <v>99</v>
      </c>
      <c r="I2191" s="41">
        <v>100</v>
      </c>
      <c r="J2191" s="20" t="s">
        <v>100</v>
      </c>
      <c r="K2191" s="35" t="s">
        <v>982</v>
      </c>
      <c r="L2191" s="36">
        <f>IFERROR(INDEX([3]ESE!$AD$22:$BD$453,MATCH($B2191,[3]ESE!$AD$22:$AD$453,0),23),"NA")</f>
        <v>1800000</v>
      </c>
      <c r="M2191" s="36"/>
      <c r="N2191" s="36">
        <f>L2191-M2191</f>
        <v>1800000</v>
      </c>
      <c r="O2191" s="36">
        <f>L2191*12/112</f>
        <v>192857.14285714287</v>
      </c>
      <c r="P2191" s="60">
        <f>N2191-O2191</f>
        <v>1607142.857142857</v>
      </c>
    </row>
    <row r="2192" spans="2:16">
      <c r="B2192" s="19" t="s">
        <v>2359</v>
      </c>
      <c r="C2192" s="61" t="s">
        <v>3</v>
      </c>
      <c r="D2192" s="37" t="s">
        <v>1916</v>
      </c>
      <c r="E2192" s="32" t="s">
        <v>205</v>
      </c>
      <c r="F2192" s="20" t="str">
        <f t="shared" si="176"/>
        <v>Block 45</v>
      </c>
      <c r="G2192" s="20" t="str">
        <f t="shared" si="175"/>
        <v>Lot 08</v>
      </c>
      <c r="H2192" s="40">
        <v>55</v>
      </c>
      <c r="I2192" s="41">
        <v>80</v>
      </c>
      <c r="J2192" s="19" t="s">
        <v>1917</v>
      </c>
      <c r="K2192" s="35" t="s">
        <v>1918</v>
      </c>
      <c r="L2192" s="36">
        <f>IFERROR(INDEX([3]ESE!$AD$22:$BD$453,MATCH($B2192,[3]ESE!$AD$22:$AD$453,0),23),"NA")</f>
        <v>3600000</v>
      </c>
      <c r="M2192" s="36"/>
      <c r="N2192" s="36">
        <f t="shared" ref="N2192:N2255" si="180">L2192-M2192</f>
        <v>3600000</v>
      </c>
      <c r="O2192" s="36">
        <f t="shared" ref="O2192:O2255" si="181">IF(N2192&lt;=3600000,0,N2192*12%)</f>
        <v>0</v>
      </c>
      <c r="P2192" s="60">
        <f t="shared" ref="P2192:P2255" si="182">N2192-O2192</f>
        <v>3600000</v>
      </c>
    </row>
    <row r="2193" spans="2:16">
      <c r="B2193" s="19" t="s">
        <v>2360</v>
      </c>
      <c r="C2193" s="61" t="s">
        <v>3</v>
      </c>
      <c r="D2193" s="37" t="s">
        <v>1916</v>
      </c>
      <c r="E2193" s="32" t="s">
        <v>205</v>
      </c>
      <c r="F2193" s="20" t="str">
        <f t="shared" si="176"/>
        <v>Block 45</v>
      </c>
      <c r="G2193" s="20" t="str">
        <f t="shared" si="175"/>
        <v>Lot 09</v>
      </c>
      <c r="H2193" s="40">
        <v>55</v>
      </c>
      <c r="I2193" s="41">
        <v>80</v>
      </c>
      <c r="J2193" s="19" t="s">
        <v>1917</v>
      </c>
      <c r="K2193" s="35" t="s">
        <v>1920</v>
      </c>
      <c r="L2193" s="36">
        <f>IFERROR(INDEX([3]ESE!$AD$22:$BD$453,MATCH($B2193,[3]ESE!$AD$22:$AD$453,0),23),"NA")</f>
        <v>3600000</v>
      </c>
      <c r="M2193" s="36"/>
      <c r="N2193" s="36">
        <f t="shared" si="180"/>
        <v>3600000</v>
      </c>
      <c r="O2193" s="36">
        <f t="shared" si="181"/>
        <v>0</v>
      </c>
      <c r="P2193" s="60">
        <f t="shared" si="182"/>
        <v>3600000</v>
      </c>
    </row>
    <row r="2194" spans="2:16">
      <c r="B2194" s="19" t="s">
        <v>2361</v>
      </c>
      <c r="C2194" s="61" t="s">
        <v>3</v>
      </c>
      <c r="D2194" s="37" t="s">
        <v>1916</v>
      </c>
      <c r="E2194" s="32" t="s">
        <v>205</v>
      </c>
      <c r="F2194" s="20" t="str">
        <f t="shared" si="176"/>
        <v>Block 45</v>
      </c>
      <c r="G2194" s="20" t="str">
        <f t="shared" si="175"/>
        <v>Lot 10</v>
      </c>
      <c r="H2194" s="40">
        <v>55</v>
      </c>
      <c r="I2194" s="41">
        <v>100</v>
      </c>
      <c r="J2194" s="19" t="s">
        <v>1917</v>
      </c>
      <c r="K2194" s="35" t="s">
        <v>1920</v>
      </c>
      <c r="L2194" s="36">
        <f>IFERROR(INDEX([3]ESE!$AD$22:$BD$453,MATCH($B2194,[3]ESE!$AD$22:$AD$453,0),23),"NA")</f>
        <v>3900000</v>
      </c>
      <c r="M2194" s="36"/>
      <c r="N2194" s="36">
        <f t="shared" si="180"/>
        <v>3900000</v>
      </c>
      <c r="O2194" s="36">
        <f t="shared" si="181"/>
        <v>468000</v>
      </c>
      <c r="P2194" s="60">
        <f t="shared" si="182"/>
        <v>3432000</v>
      </c>
    </row>
    <row r="2195" spans="2:16">
      <c r="B2195" s="19" t="s">
        <v>2362</v>
      </c>
      <c r="C2195" s="61" t="s">
        <v>3</v>
      </c>
      <c r="D2195" s="37" t="s">
        <v>1916</v>
      </c>
      <c r="E2195" s="32" t="s">
        <v>205</v>
      </c>
      <c r="F2195" s="20" t="str">
        <f t="shared" si="176"/>
        <v>Block 45</v>
      </c>
      <c r="G2195" s="20" t="str">
        <f t="shared" si="175"/>
        <v>Lot 12</v>
      </c>
      <c r="H2195" s="40">
        <v>55</v>
      </c>
      <c r="I2195" s="41">
        <v>80</v>
      </c>
      <c r="J2195" s="19" t="s">
        <v>1917</v>
      </c>
      <c r="K2195" s="35" t="s">
        <v>1918</v>
      </c>
      <c r="L2195" s="36">
        <f>IFERROR(INDEX([3]ESE!$AD$22:$BD$453,MATCH($B2195,[3]ESE!$AD$22:$AD$453,0),23),"NA")</f>
        <v>3600000</v>
      </c>
      <c r="M2195" s="36"/>
      <c r="N2195" s="36">
        <f t="shared" si="180"/>
        <v>3600000</v>
      </c>
      <c r="O2195" s="36">
        <f t="shared" si="181"/>
        <v>0</v>
      </c>
      <c r="P2195" s="60">
        <f t="shared" si="182"/>
        <v>3600000</v>
      </c>
    </row>
    <row r="2196" spans="2:16">
      <c r="B2196" s="19" t="s">
        <v>2363</v>
      </c>
      <c r="C2196" s="61" t="s">
        <v>4</v>
      </c>
      <c r="D2196" s="61"/>
      <c r="E2196" s="20" t="s">
        <v>205</v>
      </c>
      <c r="F2196" s="20" t="str">
        <f t="shared" si="176"/>
        <v>Block 01</v>
      </c>
      <c r="G2196" s="20" t="str">
        <f t="shared" si="175"/>
        <v>Lot 01</v>
      </c>
      <c r="H2196" s="19">
        <v>113</v>
      </c>
      <c r="I2196" s="19">
        <v>93</v>
      </c>
      <c r="J2196" s="20" t="s">
        <v>2364</v>
      </c>
      <c r="K2196" s="42" t="s">
        <v>2365</v>
      </c>
      <c r="L2196" s="36">
        <f>IFERROR(INDEX([4]JPH!$H$14:$AB$175,MATCH($B2196,[4]JPH!$H$14:$H$175,0),17),"NA")</f>
        <v>6480848.0028914288</v>
      </c>
      <c r="M2196" s="36">
        <f>IFERROR(INDEX([4]JPH!$H$14:$AB$175,MATCH($B2196,[4]JPH!$H$14:$H$175,0),18),"NA")</f>
        <v>76848.000034285724</v>
      </c>
      <c r="N2196" s="36">
        <f t="shared" si="180"/>
        <v>6404000.0028571431</v>
      </c>
      <c r="O2196" s="36">
        <f t="shared" si="181"/>
        <v>768480.00034285709</v>
      </c>
      <c r="P2196" s="60">
        <f t="shared" si="182"/>
        <v>5635520.002514286</v>
      </c>
    </row>
    <row r="2197" spans="2:16">
      <c r="B2197" s="19" t="s">
        <v>2366</v>
      </c>
      <c r="C2197" s="61" t="s">
        <v>4</v>
      </c>
      <c r="D2197" s="61"/>
      <c r="E2197" s="20" t="s">
        <v>205</v>
      </c>
      <c r="F2197" s="20" t="str">
        <f t="shared" si="176"/>
        <v>Block 01</v>
      </c>
      <c r="G2197" s="20" t="str">
        <f t="shared" si="175"/>
        <v>Lot 02</v>
      </c>
      <c r="H2197" s="19">
        <v>113</v>
      </c>
      <c r="I2197" s="19">
        <v>60</v>
      </c>
      <c r="J2197" s="20" t="s">
        <v>2367</v>
      </c>
      <c r="K2197" s="42" t="s">
        <v>2368</v>
      </c>
      <c r="L2197" s="36">
        <f>IFERROR(INDEX([4]JPH!$H$14:$AB$175,MATCH($B2197,[4]JPH!$H$14:$H$175,0),17),"NA")</f>
        <v>4857599.9956628568</v>
      </c>
      <c r="M2197" s="36">
        <f>IFERROR(INDEX([4]JPH!$H$14:$AB$175,MATCH($B2197,[4]JPH!$H$14:$H$175,0),18),"NA")</f>
        <v>57599.999948571429</v>
      </c>
      <c r="N2197" s="36">
        <f t="shared" si="180"/>
        <v>4799999.9957142854</v>
      </c>
      <c r="O2197" s="36">
        <f t="shared" si="181"/>
        <v>575999.99948571424</v>
      </c>
      <c r="P2197" s="60">
        <f t="shared" si="182"/>
        <v>4223999.996228571</v>
      </c>
    </row>
    <row r="2198" spans="2:16">
      <c r="B2198" s="19" t="s">
        <v>2369</v>
      </c>
      <c r="C2198" s="61" t="s">
        <v>4</v>
      </c>
      <c r="D2198" s="61"/>
      <c r="E2198" s="20" t="s">
        <v>205</v>
      </c>
      <c r="F2198" s="20" t="str">
        <f t="shared" si="176"/>
        <v>Block 01</v>
      </c>
      <c r="G2198" s="20" t="str">
        <f t="shared" si="175"/>
        <v>Lot 03</v>
      </c>
      <c r="H2198" s="19">
        <v>113</v>
      </c>
      <c r="I2198" s="19">
        <v>60</v>
      </c>
      <c r="J2198" s="20" t="s">
        <v>2367</v>
      </c>
      <c r="K2198" s="42" t="s">
        <v>2370</v>
      </c>
      <c r="L2198" s="36">
        <f>IFERROR(INDEX([4]JPH!$H$14:$AB$175,MATCH($B2198,[4]JPH!$H$14:$H$175,0),17),"NA")</f>
        <v>4857599.9956628568</v>
      </c>
      <c r="M2198" s="36">
        <f>IFERROR(INDEX([4]JPH!$H$14:$AB$175,MATCH($B2198,[4]JPH!$H$14:$H$175,0),18),"NA")</f>
        <v>57599.999948571429</v>
      </c>
      <c r="N2198" s="36">
        <f t="shared" si="180"/>
        <v>4799999.9957142854</v>
      </c>
      <c r="O2198" s="36">
        <f t="shared" si="181"/>
        <v>575999.99948571424</v>
      </c>
      <c r="P2198" s="60">
        <f t="shared" si="182"/>
        <v>4223999.996228571</v>
      </c>
    </row>
    <row r="2199" spans="2:16">
      <c r="B2199" s="19" t="s">
        <v>2371</v>
      </c>
      <c r="C2199" s="61" t="s">
        <v>4</v>
      </c>
      <c r="D2199" s="61"/>
      <c r="E2199" s="20" t="s">
        <v>205</v>
      </c>
      <c r="F2199" s="20" t="str">
        <f t="shared" si="176"/>
        <v>Block 01</v>
      </c>
      <c r="G2199" s="20" t="str">
        <f t="shared" si="175"/>
        <v>Lot 04</v>
      </c>
      <c r="H2199" s="19">
        <v>113</v>
      </c>
      <c r="I2199" s="19">
        <v>80</v>
      </c>
      <c r="J2199" s="20" t="s">
        <v>2364</v>
      </c>
      <c r="K2199" s="42" t="s">
        <v>2372</v>
      </c>
      <c r="L2199" s="36">
        <f>IFERROR(INDEX([4]JPH!$H$14:$AB$175,MATCH($B2199,[4]JPH!$H$14:$H$175,0),17),"NA")</f>
        <v>6185344</v>
      </c>
      <c r="M2199" s="36">
        <f>IFERROR(INDEX([4]JPH!$H$14:$AB$175,MATCH($B2199,[4]JPH!$H$14:$H$175,0),18),"NA")</f>
        <v>73344</v>
      </c>
      <c r="N2199" s="36">
        <f t="shared" si="180"/>
        <v>6112000</v>
      </c>
      <c r="O2199" s="36">
        <f t="shared" si="181"/>
        <v>733440</v>
      </c>
      <c r="P2199" s="60">
        <f t="shared" si="182"/>
        <v>5378560</v>
      </c>
    </row>
    <row r="2200" spans="2:16">
      <c r="B2200" s="19" t="s">
        <v>2373</v>
      </c>
      <c r="C2200" s="61" t="s">
        <v>4</v>
      </c>
      <c r="D2200" s="61"/>
      <c r="E2200" s="20" t="s">
        <v>205</v>
      </c>
      <c r="F2200" s="20" t="str">
        <f t="shared" si="176"/>
        <v>Block 01</v>
      </c>
      <c r="G2200" s="20" t="str">
        <f t="shared" ref="G2200:G2263" si="183">"Lot "&amp;TEXT(VALUE(RIGHT(B2200,3)),"00")</f>
        <v>Lot 05</v>
      </c>
      <c r="H2200" s="19">
        <v>113</v>
      </c>
      <c r="I2200" s="19">
        <v>80</v>
      </c>
      <c r="J2200" s="20" t="s">
        <v>2374</v>
      </c>
      <c r="K2200" s="42" t="s">
        <v>2365</v>
      </c>
      <c r="L2200" s="36">
        <f>IFERROR(INDEX([4]JPH!$H$14:$AB$175,MATCH($B2200,[4]JPH!$H$14:$H$175,0),17),"NA")</f>
        <v>6084144</v>
      </c>
      <c r="M2200" s="36">
        <f>IFERROR(INDEX([4]JPH!$H$14:$AB$175,MATCH($B2200,[4]JPH!$H$14:$H$175,0),18),"NA")</f>
        <v>72144</v>
      </c>
      <c r="N2200" s="36">
        <f t="shared" si="180"/>
        <v>6012000</v>
      </c>
      <c r="O2200" s="36">
        <f t="shared" si="181"/>
        <v>721440</v>
      </c>
      <c r="P2200" s="60">
        <f t="shared" si="182"/>
        <v>5290560</v>
      </c>
    </row>
    <row r="2201" spans="2:16">
      <c r="B2201" s="19" t="s">
        <v>2375</v>
      </c>
      <c r="C2201" s="61" t="s">
        <v>4</v>
      </c>
      <c r="D2201" s="61"/>
      <c r="E2201" s="20" t="s">
        <v>205</v>
      </c>
      <c r="F2201" s="20" t="str">
        <f t="shared" ref="F2201:F2264" si="184">"Block "&amp;TEXT(VALUE(MID(B2201,8,3)),"00")</f>
        <v>Block 01</v>
      </c>
      <c r="G2201" s="20" t="str">
        <f t="shared" si="183"/>
        <v>Lot 06</v>
      </c>
      <c r="H2201" s="19">
        <v>113</v>
      </c>
      <c r="I2201" s="19">
        <v>60</v>
      </c>
      <c r="J2201" s="20" t="s">
        <v>2367</v>
      </c>
      <c r="K2201" s="42" t="s">
        <v>2368</v>
      </c>
      <c r="L2201" s="36">
        <f>IFERROR(INDEX([4]JPH!$H$14:$AB$175,MATCH($B2201,[4]JPH!$H$14:$H$175,0),17),"NA")</f>
        <v>5262400</v>
      </c>
      <c r="M2201" s="36">
        <f>IFERROR(INDEX([4]JPH!$H$14:$AB$175,MATCH($B2201,[4]JPH!$H$14:$H$175,0),18),"NA")</f>
        <v>62400</v>
      </c>
      <c r="N2201" s="36">
        <f t="shared" si="180"/>
        <v>5200000</v>
      </c>
      <c r="O2201" s="36">
        <f t="shared" si="181"/>
        <v>624000</v>
      </c>
      <c r="P2201" s="60">
        <f t="shared" si="182"/>
        <v>4576000</v>
      </c>
    </row>
    <row r="2202" spans="2:16">
      <c r="B2202" s="19" t="s">
        <v>2376</v>
      </c>
      <c r="C2202" s="61" t="s">
        <v>4</v>
      </c>
      <c r="D2202" s="61"/>
      <c r="E2202" s="20" t="s">
        <v>233</v>
      </c>
      <c r="F2202" s="20" t="str">
        <f t="shared" si="184"/>
        <v>Block 01</v>
      </c>
      <c r="G2202" s="20" t="str">
        <f t="shared" si="183"/>
        <v>Lot 07</v>
      </c>
      <c r="H2202" s="19">
        <v>113</v>
      </c>
      <c r="I2202" s="19">
        <v>60</v>
      </c>
      <c r="J2202" s="20" t="s">
        <v>2367</v>
      </c>
      <c r="K2202" s="42" t="s">
        <v>2377</v>
      </c>
      <c r="L2202" s="36">
        <f>IFERROR(INDEX([4]JPH!$H$14:$AB$175,MATCH($B2202,[4]JPH!$H$14:$H$175,0),17),"NA")</f>
        <v>5262400</v>
      </c>
      <c r="M2202" s="36">
        <f>IFERROR(INDEX([4]JPH!$H$14:$AB$175,MATCH($B2202,[4]JPH!$H$14:$H$175,0),18),"NA")</f>
        <v>62400</v>
      </c>
      <c r="N2202" s="36">
        <f t="shared" si="180"/>
        <v>5200000</v>
      </c>
      <c r="O2202" s="36">
        <f t="shared" si="181"/>
        <v>624000</v>
      </c>
      <c r="P2202" s="60">
        <f t="shared" si="182"/>
        <v>4576000</v>
      </c>
    </row>
    <row r="2203" spans="2:16">
      <c r="B2203" s="19" t="s">
        <v>2378</v>
      </c>
      <c r="C2203" s="61" t="s">
        <v>4</v>
      </c>
      <c r="D2203" s="61"/>
      <c r="E2203" s="20" t="s">
        <v>205</v>
      </c>
      <c r="F2203" s="20" t="str">
        <f t="shared" si="184"/>
        <v>Block 01</v>
      </c>
      <c r="G2203" s="20" t="str">
        <f t="shared" si="183"/>
        <v>Lot 08</v>
      </c>
      <c r="H2203" s="19">
        <v>113</v>
      </c>
      <c r="I2203" s="19">
        <v>60</v>
      </c>
      <c r="J2203" s="20" t="s">
        <v>2367</v>
      </c>
      <c r="K2203" s="42" t="s">
        <v>2379</v>
      </c>
      <c r="L2203" s="36">
        <f>IFERROR(INDEX([4]JPH!$H$14:$AB$175,MATCH($B2203,[4]JPH!$H$14:$H$175,0),17),"NA")</f>
        <v>5590288</v>
      </c>
      <c r="M2203" s="36">
        <f>IFERROR(INDEX([4]JPH!$H$14:$AB$175,MATCH($B2203,[4]JPH!$H$14:$H$175,0),18),"NA")</f>
        <v>66288</v>
      </c>
      <c r="N2203" s="36">
        <f t="shared" si="180"/>
        <v>5524000</v>
      </c>
      <c r="O2203" s="36">
        <f t="shared" si="181"/>
        <v>662880</v>
      </c>
      <c r="P2203" s="60">
        <f t="shared" si="182"/>
        <v>4861120</v>
      </c>
    </row>
    <row r="2204" spans="2:16">
      <c r="B2204" s="19" t="s">
        <v>2380</v>
      </c>
      <c r="C2204" s="61" t="s">
        <v>4</v>
      </c>
      <c r="D2204" s="61"/>
      <c r="E2204" s="20" t="s">
        <v>205</v>
      </c>
      <c r="F2204" s="20" t="str">
        <f t="shared" si="184"/>
        <v>Block 01</v>
      </c>
      <c r="G2204" s="20" t="str">
        <f t="shared" si="183"/>
        <v>Lot 09</v>
      </c>
      <c r="H2204" s="19">
        <v>113</v>
      </c>
      <c r="I2204" s="19">
        <v>60</v>
      </c>
      <c r="J2204" s="20" t="s">
        <v>2367</v>
      </c>
      <c r="K2204" s="42" t="s">
        <v>2370</v>
      </c>
      <c r="L2204" s="36">
        <f>IFERROR(INDEX([4]JPH!$H$14:$AB$175,MATCH($B2204,[4]JPH!$H$14:$H$175,0),17),"NA")</f>
        <v>4857600</v>
      </c>
      <c r="M2204" s="36">
        <f>IFERROR(INDEX([4]JPH!$H$14:$AB$175,MATCH($B2204,[4]JPH!$H$14:$H$175,0),18),"NA")</f>
        <v>57600</v>
      </c>
      <c r="N2204" s="36">
        <f t="shared" si="180"/>
        <v>4800000</v>
      </c>
      <c r="O2204" s="36">
        <f t="shared" si="181"/>
        <v>576000</v>
      </c>
      <c r="P2204" s="60">
        <f t="shared" si="182"/>
        <v>4224000</v>
      </c>
    </row>
    <row r="2205" spans="2:16">
      <c r="B2205" s="19" t="s">
        <v>2381</v>
      </c>
      <c r="C2205" s="61" t="s">
        <v>4</v>
      </c>
      <c r="D2205" s="61"/>
      <c r="E2205" s="20" t="s">
        <v>205</v>
      </c>
      <c r="F2205" s="20" t="str">
        <f t="shared" si="184"/>
        <v>Block 01</v>
      </c>
      <c r="G2205" s="20" t="str">
        <f t="shared" si="183"/>
        <v>Lot 10</v>
      </c>
      <c r="H2205" s="19">
        <v>113</v>
      </c>
      <c r="I2205" s="19">
        <v>80</v>
      </c>
      <c r="J2205" s="20" t="s">
        <v>2364</v>
      </c>
      <c r="K2205" s="42" t="s">
        <v>2372</v>
      </c>
      <c r="L2205" s="36">
        <f>IFERROR(INDEX([4]JPH!$H$14:$AB$175,MATCH($B2205,[4]JPH!$H$14:$H$175,0),17),"NA")</f>
        <v>6589285.7142857146</v>
      </c>
      <c r="M2205" s="36">
        <f>IFERROR(INDEX([4]JPH!$H$14:$AB$175,MATCH($B2205,[4]JPH!$H$14:$H$175,0),18),"NA")</f>
        <v>500000</v>
      </c>
      <c r="N2205" s="36">
        <f t="shared" si="180"/>
        <v>6089285.7142857146</v>
      </c>
      <c r="O2205" s="36">
        <f t="shared" si="181"/>
        <v>730714.28571428568</v>
      </c>
      <c r="P2205" s="60">
        <f t="shared" si="182"/>
        <v>5358571.4285714291</v>
      </c>
    </row>
    <row r="2206" spans="2:16">
      <c r="B2206" s="19" t="s">
        <v>2382</v>
      </c>
      <c r="C2206" s="61" t="s">
        <v>4</v>
      </c>
      <c r="D2206" s="61"/>
      <c r="E2206" s="20" t="s">
        <v>205</v>
      </c>
      <c r="F2206" s="20" t="str">
        <f t="shared" si="184"/>
        <v>Block 01</v>
      </c>
      <c r="G2206" s="20" t="str">
        <f t="shared" si="183"/>
        <v>Lot 11</v>
      </c>
      <c r="H2206" s="19">
        <v>113</v>
      </c>
      <c r="I2206" s="19">
        <v>80</v>
      </c>
      <c r="J2206" s="20" t="s">
        <v>2374</v>
      </c>
      <c r="K2206" s="42" t="s">
        <v>2365</v>
      </c>
      <c r="L2206" s="36">
        <f>IFERROR(INDEX([4]JPH!$H$14:$AB$175,MATCH($B2206,[4]JPH!$H$14:$H$175,0),17),"NA")</f>
        <v>7103228</v>
      </c>
      <c r="M2206" s="36">
        <f>IFERROR(INDEX([4]JPH!$H$14:$AB$175,MATCH($B2206,[4]JPH!$H$14:$H$175,0),18),"NA")</f>
        <v>84228</v>
      </c>
      <c r="N2206" s="36">
        <f t="shared" si="180"/>
        <v>7019000</v>
      </c>
      <c r="O2206" s="36">
        <f t="shared" si="181"/>
        <v>842280</v>
      </c>
      <c r="P2206" s="60">
        <f t="shared" si="182"/>
        <v>6176720</v>
      </c>
    </row>
    <row r="2207" spans="2:16">
      <c r="B2207" s="19" t="s">
        <v>2383</v>
      </c>
      <c r="C2207" s="61" t="s">
        <v>4</v>
      </c>
      <c r="D2207" s="61"/>
      <c r="E2207" s="20" t="s">
        <v>205</v>
      </c>
      <c r="F2207" s="20" t="str">
        <f t="shared" si="184"/>
        <v>Block 01</v>
      </c>
      <c r="G2207" s="20" t="str">
        <f t="shared" si="183"/>
        <v>Lot 12</v>
      </c>
      <c r="H2207" s="19">
        <v>113</v>
      </c>
      <c r="I2207" s="19">
        <v>60</v>
      </c>
      <c r="J2207" s="20" t="s">
        <v>2367</v>
      </c>
      <c r="K2207" s="42" t="s">
        <v>2368</v>
      </c>
      <c r="L2207" s="36">
        <f>IFERROR(INDEX([4]JPH!$H$14:$AB$175,MATCH($B2207,[4]JPH!$H$14:$H$175,0),17),"NA")</f>
        <v>5262400</v>
      </c>
      <c r="M2207" s="36">
        <f>IFERROR(INDEX([4]JPH!$H$14:$AB$175,MATCH($B2207,[4]JPH!$H$14:$H$175,0),18),"NA")</f>
        <v>62400</v>
      </c>
      <c r="N2207" s="36">
        <f t="shared" si="180"/>
        <v>5200000</v>
      </c>
      <c r="O2207" s="36">
        <f t="shared" si="181"/>
        <v>624000</v>
      </c>
      <c r="P2207" s="60">
        <f t="shared" si="182"/>
        <v>4576000</v>
      </c>
    </row>
    <row r="2208" spans="2:16">
      <c r="B2208" s="19" t="s">
        <v>2384</v>
      </c>
      <c r="C2208" s="61" t="s">
        <v>4</v>
      </c>
      <c r="D2208" s="61"/>
      <c r="E2208" s="20" t="s">
        <v>205</v>
      </c>
      <c r="F2208" s="20" t="str">
        <f t="shared" si="184"/>
        <v>Block 01</v>
      </c>
      <c r="G2208" s="20" t="str">
        <f t="shared" si="183"/>
        <v>Lot 13</v>
      </c>
      <c r="H2208" s="19">
        <v>113</v>
      </c>
      <c r="I2208" s="19">
        <v>60</v>
      </c>
      <c r="J2208" s="20" t="s">
        <v>2367</v>
      </c>
      <c r="K2208" s="42" t="s">
        <v>2370</v>
      </c>
      <c r="L2208" s="36">
        <f>IFERROR(INDEX([4]JPH!$H$14:$AB$175,MATCH($B2208,[4]JPH!$H$14:$H$175,0),17),"NA")</f>
        <v>5792688</v>
      </c>
      <c r="M2208" s="36">
        <f>IFERROR(INDEX([4]JPH!$H$14:$AB$175,MATCH($B2208,[4]JPH!$H$14:$H$175,0),18),"NA")</f>
        <v>68688</v>
      </c>
      <c r="N2208" s="36">
        <f t="shared" si="180"/>
        <v>5724000</v>
      </c>
      <c r="O2208" s="36">
        <f t="shared" si="181"/>
        <v>686880</v>
      </c>
      <c r="P2208" s="60">
        <f t="shared" si="182"/>
        <v>5037120</v>
      </c>
    </row>
    <row r="2209" spans="2:16">
      <c r="B2209" s="19" t="s">
        <v>2385</v>
      </c>
      <c r="C2209" s="61" t="s">
        <v>4</v>
      </c>
      <c r="D2209" s="61"/>
      <c r="E2209" s="20" t="s">
        <v>205</v>
      </c>
      <c r="F2209" s="20" t="str">
        <f t="shared" si="184"/>
        <v>Block 01</v>
      </c>
      <c r="G2209" s="20" t="str">
        <f t="shared" si="183"/>
        <v>Lot 14</v>
      </c>
      <c r="H2209" s="19">
        <v>113</v>
      </c>
      <c r="I2209" s="19">
        <v>103</v>
      </c>
      <c r="J2209" s="20" t="s">
        <v>2364</v>
      </c>
      <c r="K2209" s="42" t="s">
        <v>2372</v>
      </c>
      <c r="L2209" s="36">
        <f>IFERROR(INDEX([4]JPH!$H$14:$AB$175,MATCH($B2209,[4]JPH!$H$14:$H$175,0),17),"NA")</f>
        <v>7327892</v>
      </c>
      <c r="M2209" s="36">
        <f>IFERROR(INDEX([4]JPH!$H$14:$AB$175,MATCH($B2209,[4]JPH!$H$14:$H$175,0),18),"NA")</f>
        <v>86892</v>
      </c>
      <c r="N2209" s="36">
        <f t="shared" si="180"/>
        <v>7241000</v>
      </c>
      <c r="O2209" s="36">
        <f t="shared" si="181"/>
        <v>868920</v>
      </c>
      <c r="P2209" s="60">
        <f t="shared" si="182"/>
        <v>6372080</v>
      </c>
    </row>
    <row r="2210" spans="2:16">
      <c r="B2210" s="19" t="s">
        <v>2386</v>
      </c>
      <c r="C2210" s="61" t="s">
        <v>4</v>
      </c>
      <c r="D2210" s="61"/>
      <c r="E2210" s="20" t="s">
        <v>205</v>
      </c>
      <c r="F2210" s="20" t="str">
        <f t="shared" si="184"/>
        <v>Block 01</v>
      </c>
      <c r="G2210" s="20" t="str">
        <f t="shared" si="183"/>
        <v>Lot 15</v>
      </c>
      <c r="H2210" s="19">
        <v>113</v>
      </c>
      <c r="I2210" s="19">
        <v>86</v>
      </c>
      <c r="J2210" s="20" t="s">
        <v>2364</v>
      </c>
      <c r="K2210" s="42" t="s">
        <v>2365</v>
      </c>
      <c r="L2210" s="36">
        <f>IFERROR(INDEX([4]JPH!$H$14:$AB$175,MATCH($B2210,[4]JPH!$H$14:$H$175,0),17),"NA")</f>
        <v>5594336</v>
      </c>
      <c r="M2210" s="36">
        <f>IFERROR(INDEX([4]JPH!$H$14:$AB$175,MATCH($B2210,[4]JPH!$H$14:$H$175,0),18),"NA")</f>
        <v>66336</v>
      </c>
      <c r="N2210" s="36">
        <f t="shared" si="180"/>
        <v>5528000</v>
      </c>
      <c r="O2210" s="36">
        <f t="shared" si="181"/>
        <v>663360</v>
      </c>
      <c r="P2210" s="60">
        <f t="shared" si="182"/>
        <v>4864640</v>
      </c>
    </row>
    <row r="2211" spans="2:16">
      <c r="B2211" s="19" t="s">
        <v>2387</v>
      </c>
      <c r="C2211" s="61" t="s">
        <v>4</v>
      </c>
      <c r="D2211" s="61"/>
      <c r="E2211" s="20" t="s">
        <v>205</v>
      </c>
      <c r="F2211" s="20" t="str">
        <f t="shared" si="184"/>
        <v>Block 01</v>
      </c>
      <c r="G2211" s="20" t="str">
        <f t="shared" si="183"/>
        <v>Lot 16</v>
      </c>
      <c r="H2211" s="19">
        <v>113</v>
      </c>
      <c r="I2211" s="19">
        <v>60</v>
      </c>
      <c r="J2211" s="20" t="s">
        <v>2367</v>
      </c>
      <c r="K2211" s="42" t="s">
        <v>2368</v>
      </c>
      <c r="L2211" s="36">
        <f>IFERROR(INDEX([4]JPH!$H$14:$AB$175,MATCH($B2211,[4]JPH!$H$14:$H$175,0),17),"NA")</f>
        <v>4711872</v>
      </c>
      <c r="M2211" s="36">
        <f>IFERROR(INDEX([4]JPH!$H$14:$AB$175,MATCH($B2211,[4]JPH!$H$14:$H$175,0),18),"NA")</f>
        <v>55872</v>
      </c>
      <c r="N2211" s="36">
        <f t="shared" si="180"/>
        <v>4656000</v>
      </c>
      <c r="O2211" s="36">
        <f t="shared" si="181"/>
        <v>558720</v>
      </c>
      <c r="P2211" s="60">
        <f t="shared" si="182"/>
        <v>4097280</v>
      </c>
    </row>
    <row r="2212" spans="2:16">
      <c r="B2212" s="19" t="s">
        <v>2388</v>
      </c>
      <c r="C2212" s="61" t="s">
        <v>4</v>
      </c>
      <c r="D2212" s="61"/>
      <c r="E2212" s="20" t="s">
        <v>233</v>
      </c>
      <c r="F2212" s="20" t="str">
        <f t="shared" si="184"/>
        <v>Block 01</v>
      </c>
      <c r="G2212" s="20" t="str">
        <f t="shared" si="183"/>
        <v>Lot 17</v>
      </c>
      <c r="H2212" s="19">
        <v>113</v>
      </c>
      <c r="I2212" s="19">
        <v>60</v>
      </c>
      <c r="J2212" s="20" t="s">
        <v>2367</v>
      </c>
      <c r="K2212" s="42" t="s">
        <v>2370</v>
      </c>
      <c r="L2212" s="36">
        <f>IFERROR(INDEX([4]JPH!$H$14:$AB$175,MATCH($B2212,[4]JPH!$H$14:$H$175,0),17),"NA")</f>
        <v>5262400</v>
      </c>
      <c r="M2212" s="36">
        <f>IFERROR(INDEX([4]JPH!$H$14:$AB$175,MATCH($B2212,[4]JPH!$H$14:$H$175,0),18),"NA")</f>
        <v>62400</v>
      </c>
      <c r="N2212" s="36">
        <f t="shared" si="180"/>
        <v>5200000</v>
      </c>
      <c r="O2212" s="36">
        <f t="shared" si="181"/>
        <v>624000</v>
      </c>
      <c r="P2212" s="60">
        <f t="shared" si="182"/>
        <v>4576000</v>
      </c>
    </row>
    <row r="2213" spans="2:16">
      <c r="B2213" s="19" t="s">
        <v>2389</v>
      </c>
      <c r="C2213" s="61" t="s">
        <v>4</v>
      </c>
      <c r="D2213" s="61"/>
      <c r="E2213" s="20" t="s">
        <v>205</v>
      </c>
      <c r="F2213" s="20" t="str">
        <f t="shared" si="184"/>
        <v>Block 01</v>
      </c>
      <c r="G2213" s="20" t="str">
        <f t="shared" si="183"/>
        <v>Lot 18</v>
      </c>
      <c r="H2213" s="19">
        <v>113</v>
      </c>
      <c r="I2213" s="19">
        <v>80</v>
      </c>
      <c r="J2213" s="20" t="s">
        <v>2364</v>
      </c>
      <c r="K2213" s="42" t="s">
        <v>2372</v>
      </c>
      <c r="L2213" s="36">
        <f>IFERROR(INDEX([4]JPH!$H$14:$AB$175,MATCH($B2213,[4]JPH!$H$14:$H$175,0),17),"NA")</f>
        <v>5261590.3971085716</v>
      </c>
      <c r="M2213" s="36">
        <f>IFERROR(INDEX([4]JPH!$H$14:$AB$175,MATCH($B2213,[4]JPH!$H$14:$H$175,0),18),"NA")</f>
        <v>62390.399965714285</v>
      </c>
      <c r="N2213" s="36">
        <f t="shared" si="180"/>
        <v>5199199.9971428569</v>
      </c>
      <c r="O2213" s="36">
        <f t="shared" si="181"/>
        <v>623903.99965714279</v>
      </c>
      <c r="P2213" s="60">
        <f t="shared" si="182"/>
        <v>4575295.997485714</v>
      </c>
    </row>
    <row r="2214" spans="2:16">
      <c r="B2214" s="19" t="s">
        <v>2390</v>
      </c>
      <c r="C2214" s="61" t="s">
        <v>4</v>
      </c>
      <c r="D2214" s="61"/>
      <c r="E2214" s="20" t="s">
        <v>205</v>
      </c>
      <c r="F2214" s="20" t="str">
        <f t="shared" si="184"/>
        <v>Block 01</v>
      </c>
      <c r="G2214" s="20" t="str">
        <f t="shared" si="183"/>
        <v>Lot 19</v>
      </c>
      <c r="H2214" s="19">
        <v>113</v>
      </c>
      <c r="I2214" s="19">
        <v>80</v>
      </c>
      <c r="J2214" s="20" t="s">
        <v>2364</v>
      </c>
      <c r="K2214" s="42" t="s">
        <v>2365</v>
      </c>
      <c r="L2214" s="36">
        <f>IFERROR(INDEX([4]JPH!$H$14:$AB$175,MATCH($B2214,[4]JPH!$H$14:$H$175,0),17),"NA")</f>
        <v>6589285.7142857146</v>
      </c>
      <c r="M2214" s="36">
        <f>IFERROR(INDEX([4]JPH!$H$14:$AB$175,MATCH($B2214,[4]JPH!$H$14:$H$175,0),18),"NA")</f>
        <v>500000</v>
      </c>
      <c r="N2214" s="36">
        <f t="shared" si="180"/>
        <v>6089285.7142857146</v>
      </c>
      <c r="O2214" s="36">
        <f t="shared" si="181"/>
        <v>730714.28571428568</v>
      </c>
      <c r="P2214" s="60">
        <f t="shared" si="182"/>
        <v>5358571.4285714291</v>
      </c>
    </row>
    <row r="2215" spans="2:16">
      <c r="B2215" s="19" t="s">
        <v>2391</v>
      </c>
      <c r="C2215" s="61" t="s">
        <v>4</v>
      </c>
      <c r="D2215" s="61"/>
      <c r="E2215" s="20" t="s">
        <v>233</v>
      </c>
      <c r="F2215" s="20" t="str">
        <f t="shared" si="184"/>
        <v>Block 01</v>
      </c>
      <c r="G2215" s="20" t="str">
        <f t="shared" si="183"/>
        <v>Lot 20</v>
      </c>
      <c r="H2215" s="19">
        <v>113</v>
      </c>
      <c r="I2215" s="19">
        <v>60</v>
      </c>
      <c r="J2215" s="20" t="s">
        <v>2367</v>
      </c>
      <c r="K2215" s="42" t="s">
        <v>2368</v>
      </c>
      <c r="L2215" s="36">
        <f>IFERROR(INDEX([4]JPH!$H$14:$AB$175,MATCH($B2215,[4]JPH!$H$14:$H$175,0),17),"NA")</f>
        <v>6406972</v>
      </c>
      <c r="M2215" s="36">
        <f>IFERROR(INDEX([4]JPH!$H$14:$AB$175,MATCH($B2215,[4]JPH!$H$14:$H$175,0),18),"NA")</f>
        <v>75972</v>
      </c>
      <c r="N2215" s="36">
        <f t="shared" si="180"/>
        <v>6331000</v>
      </c>
      <c r="O2215" s="36">
        <f t="shared" si="181"/>
        <v>759720</v>
      </c>
      <c r="P2215" s="60">
        <f t="shared" si="182"/>
        <v>5571280</v>
      </c>
    </row>
    <row r="2216" spans="2:16">
      <c r="B2216" s="19" t="s">
        <v>2392</v>
      </c>
      <c r="C2216" s="61" t="s">
        <v>4</v>
      </c>
      <c r="D2216" s="61"/>
      <c r="E2216" s="20" t="s">
        <v>205</v>
      </c>
      <c r="F2216" s="20" t="str">
        <f t="shared" si="184"/>
        <v>Block 01</v>
      </c>
      <c r="G2216" s="20" t="str">
        <f t="shared" si="183"/>
        <v>Lot 21</v>
      </c>
      <c r="H2216" s="19">
        <v>113</v>
      </c>
      <c r="I2216" s="19">
        <v>60</v>
      </c>
      <c r="J2216" s="20" t="s">
        <v>2367</v>
      </c>
      <c r="K2216" s="42" t="s">
        <v>2377</v>
      </c>
      <c r="L2216" s="36">
        <f>IFERROR(INDEX([4]JPH!$H$14:$AB$175,MATCH($B2216,[4]JPH!$H$14:$H$175,0),17),"NA")</f>
        <v>5792688</v>
      </c>
      <c r="M2216" s="36">
        <f>IFERROR(INDEX([4]JPH!$H$14:$AB$175,MATCH($B2216,[4]JPH!$H$14:$H$175,0),18),"NA")</f>
        <v>68688</v>
      </c>
      <c r="N2216" s="36">
        <f t="shared" si="180"/>
        <v>5724000</v>
      </c>
      <c r="O2216" s="36">
        <f t="shared" si="181"/>
        <v>686880</v>
      </c>
      <c r="P2216" s="60">
        <f t="shared" si="182"/>
        <v>5037120</v>
      </c>
    </row>
    <row r="2217" spans="2:16">
      <c r="B2217" s="19" t="s">
        <v>2393</v>
      </c>
      <c r="C2217" s="61" t="s">
        <v>4</v>
      </c>
      <c r="D2217" s="61"/>
      <c r="E2217" s="20" t="s">
        <v>233</v>
      </c>
      <c r="F2217" s="20" t="str">
        <f t="shared" si="184"/>
        <v>Block 01</v>
      </c>
      <c r="G2217" s="20" t="str">
        <f t="shared" si="183"/>
        <v>Lot 22</v>
      </c>
      <c r="H2217" s="19">
        <v>113</v>
      </c>
      <c r="I2217" s="19">
        <v>60</v>
      </c>
      <c r="J2217" s="20" t="s">
        <v>2367</v>
      </c>
      <c r="K2217" s="42" t="s">
        <v>2379</v>
      </c>
      <c r="L2217" s="36">
        <f>IFERROR(INDEX([4]JPH!$H$14:$AB$175,MATCH($B2217,[4]JPH!$H$14:$H$175,0),17),"NA")</f>
        <v>5262400</v>
      </c>
      <c r="M2217" s="36">
        <f>IFERROR(INDEX([4]JPH!$H$14:$AB$175,MATCH($B2217,[4]JPH!$H$14:$H$175,0),18),"NA")</f>
        <v>62400</v>
      </c>
      <c r="N2217" s="36">
        <f t="shared" si="180"/>
        <v>5200000</v>
      </c>
      <c r="O2217" s="36">
        <f t="shared" si="181"/>
        <v>624000</v>
      </c>
      <c r="P2217" s="60">
        <f t="shared" si="182"/>
        <v>4576000</v>
      </c>
    </row>
    <row r="2218" spans="2:16">
      <c r="B2218" s="19" t="s">
        <v>2394</v>
      </c>
      <c r="C2218" s="61" t="s">
        <v>4</v>
      </c>
      <c r="D2218" s="61"/>
      <c r="E2218" s="20" t="s">
        <v>205</v>
      </c>
      <c r="F2218" s="20" t="str">
        <f t="shared" si="184"/>
        <v>Block 01</v>
      </c>
      <c r="G2218" s="20" t="str">
        <f t="shared" si="183"/>
        <v>Lot 23</v>
      </c>
      <c r="H2218" s="19">
        <v>113</v>
      </c>
      <c r="I2218" s="19">
        <v>60</v>
      </c>
      <c r="J2218" s="20" t="s">
        <v>2395</v>
      </c>
      <c r="K2218" s="42" t="s">
        <v>2370</v>
      </c>
      <c r="L2218" s="36">
        <f>IFERROR(INDEX([4]JPH!$H$14:$AB$175,MATCH($B2218,[4]JPH!$H$14:$H$175,0),17),"NA")</f>
        <v>6476800</v>
      </c>
      <c r="M2218" s="36">
        <f>IFERROR(INDEX([4]JPH!$H$14:$AB$175,MATCH($B2218,[4]JPH!$H$14:$H$175,0),18),"NA")</f>
        <v>76800</v>
      </c>
      <c r="N2218" s="36">
        <f t="shared" si="180"/>
        <v>6400000</v>
      </c>
      <c r="O2218" s="36">
        <f t="shared" si="181"/>
        <v>768000</v>
      </c>
      <c r="P2218" s="60">
        <f t="shared" si="182"/>
        <v>5632000</v>
      </c>
    </row>
    <row r="2219" spans="2:16">
      <c r="B2219" s="19" t="s">
        <v>2396</v>
      </c>
      <c r="C2219" s="61" t="s">
        <v>4</v>
      </c>
      <c r="D2219" s="61"/>
      <c r="E2219" s="20" t="s">
        <v>233</v>
      </c>
      <c r="F2219" s="20" t="str">
        <f t="shared" si="184"/>
        <v>Block 01</v>
      </c>
      <c r="G2219" s="20" t="str">
        <f t="shared" si="183"/>
        <v>Lot 24</v>
      </c>
      <c r="H2219" s="19">
        <v>113</v>
      </c>
      <c r="I2219" s="19">
        <v>80</v>
      </c>
      <c r="J2219" s="20" t="s">
        <v>2364</v>
      </c>
      <c r="K2219" s="42" t="s">
        <v>2372</v>
      </c>
      <c r="L2219" s="36">
        <f>IFERROR(INDEX([4]JPH!$H$14:$AB$175,MATCH($B2219,[4]JPH!$H$14:$H$175,0),17),"NA")</f>
        <v>6589285.7142857146</v>
      </c>
      <c r="M2219" s="36">
        <f>IFERROR(INDEX([4]JPH!$H$14:$AB$175,MATCH($B2219,[4]JPH!$H$14:$H$175,0),18),"NA")</f>
        <v>500000</v>
      </c>
      <c r="N2219" s="36">
        <f t="shared" si="180"/>
        <v>6089285.7142857146</v>
      </c>
      <c r="O2219" s="36">
        <f t="shared" si="181"/>
        <v>730714.28571428568</v>
      </c>
      <c r="P2219" s="60">
        <f t="shared" si="182"/>
        <v>5358571.4285714291</v>
      </c>
    </row>
    <row r="2220" spans="2:16">
      <c r="B2220" s="19" t="s">
        <v>2397</v>
      </c>
      <c r="C2220" s="61" t="s">
        <v>4</v>
      </c>
      <c r="D2220" s="61"/>
      <c r="E2220" s="20" t="s">
        <v>205</v>
      </c>
      <c r="F2220" s="20" t="str">
        <f t="shared" si="184"/>
        <v>Block 01</v>
      </c>
      <c r="G2220" s="20" t="str">
        <f t="shared" si="183"/>
        <v>Lot 25</v>
      </c>
      <c r="H2220" s="19">
        <v>113</v>
      </c>
      <c r="I2220" s="19">
        <v>80</v>
      </c>
      <c r="J2220" s="20" t="s">
        <v>2364</v>
      </c>
      <c r="K2220" s="42" t="s">
        <v>2365</v>
      </c>
      <c r="L2220" s="36">
        <f>IFERROR(INDEX([4]JPH!$H$14:$AB$175,MATCH($B2220,[4]JPH!$H$14:$H$175,0),17),"NA")</f>
        <v>6699440</v>
      </c>
      <c r="M2220" s="36">
        <f>IFERROR(INDEX([4]JPH!$H$14:$AB$175,MATCH($B2220,[4]JPH!$H$14:$H$175,0),18),"NA")</f>
        <v>79440</v>
      </c>
      <c r="N2220" s="36">
        <f t="shared" si="180"/>
        <v>6620000</v>
      </c>
      <c r="O2220" s="36">
        <f t="shared" si="181"/>
        <v>794400</v>
      </c>
      <c r="P2220" s="60">
        <f t="shared" si="182"/>
        <v>5825600</v>
      </c>
    </row>
    <row r="2221" spans="2:16">
      <c r="B2221" s="19" t="s">
        <v>2398</v>
      </c>
      <c r="C2221" s="61" t="s">
        <v>4</v>
      </c>
      <c r="D2221" s="61"/>
      <c r="E2221" s="20" t="s">
        <v>205</v>
      </c>
      <c r="F2221" s="20" t="str">
        <f t="shared" si="184"/>
        <v>Block 01</v>
      </c>
      <c r="G2221" s="20" t="str">
        <f t="shared" si="183"/>
        <v>Lot 26</v>
      </c>
      <c r="H2221" s="19">
        <v>113</v>
      </c>
      <c r="I2221" s="19">
        <v>60</v>
      </c>
      <c r="J2221" s="20" t="s">
        <v>2367</v>
      </c>
      <c r="K2221" s="42" t="s">
        <v>2377</v>
      </c>
      <c r="L2221" s="36">
        <f>IFERROR(INDEX([4]JPH!$H$14:$AB$175,MATCH($B2221,[4]JPH!$H$14:$H$175,0),17),"NA")</f>
        <v>4857600</v>
      </c>
      <c r="M2221" s="36">
        <f>IFERROR(INDEX([4]JPH!$H$14:$AB$175,MATCH($B2221,[4]JPH!$H$14:$H$175,0),18),"NA")</f>
        <v>57600</v>
      </c>
      <c r="N2221" s="36">
        <f t="shared" si="180"/>
        <v>4800000</v>
      </c>
      <c r="O2221" s="36">
        <f t="shared" si="181"/>
        <v>576000</v>
      </c>
      <c r="P2221" s="60">
        <f t="shared" si="182"/>
        <v>4224000</v>
      </c>
    </row>
    <row r="2222" spans="2:16">
      <c r="B2222" s="19" t="s">
        <v>2399</v>
      </c>
      <c r="C2222" s="61" t="s">
        <v>4</v>
      </c>
      <c r="D2222" s="61"/>
      <c r="E2222" s="20" t="s">
        <v>205</v>
      </c>
      <c r="F2222" s="20" t="str">
        <f t="shared" si="184"/>
        <v>Block 01</v>
      </c>
      <c r="G2222" s="20" t="str">
        <f t="shared" si="183"/>
        <v>Lot 27</v>
      </c>
      <c r="H2222" s="19">
        <v>113</v>
      </c>
      <c r="I2222" s="19">
        <v>119</v>
      </c>
      <c r="J2222" s="20" t="s">
        <v>2364</v>
      </c>
      <c r="K2222" s="42" t="s">
        <v>2372</v>
      </c>
      <c r="L2222" s="36">
        <f>IFERROR(INDEX([4]JPH!$H$14:$AB$175,MATCH($B2222,[4]JPH!$H$14:$H$175,0),17),"NA")</f>
        <v>6529424</v>
      </c>
      <c r="M2222" s="36">
        <f>IFERROR(INDEX([4]JPH!$H$14:$AB$175,MATCH($B2222,[4]JPH!$H$14:$H$175,0),18),"NA")</f>
        <v>77424</v>
      </c>
      <c r="N2222" s="36">
        <f t="shared" si="180"/>
        <v>6452000</v>
      </c>
      <c r="O2222" s="36">
        <f t="shared" si="181"/>
        <v>774240</v>
      </c>
      <c r="P2222" s="60">
        <f t="shared" si="182"/>
        <v>5677760</v>
      </c>
    </row>
    <row r="2223" spans="2:16">
      <c r="B2223" s="19" t="s">
        <v>2400</v>
      </c>
      <c r="C2223" s="61" t="s">
        <v>4</v>
      </c>
      <c r="D2223" s="61"/>
      <c r="E2223" s="20" t="s">
        <v>205</v>
      </c>
      <c r="F2223" s="20" t="str">
        <f t="shared" si="184"/>
        <v>Block 02</v>
      </c>
      <c r="G2223" s="20" t="str">
        <f t="shared" si="183"/>
        <v>Lot 01</v>
      </c>
      <c r="H2223" s="19">
        <v>113</v>
      </c>
      <c r="I2223" s="19">
        <v>132</v>
      </c>
      <c r="J2223" s="20" t="s">
        <v>2364</v>
      </c>
      <c r="K2223" s="42" t="s">
        <v>2365</v>
      </c>
      <c r="L2223" s="36">
        <f>IFERROR(INDEX([4]JPH!$H$14:$AB$175,MATCH($B2223,[4]JPH!$H$14:$H$175,0),17),"NA")</f>
        <v>8085880</v>
      </c>
      <c r="M2223" s="36">
        <f>IFERROR(INDEX([4]JPH!$H$14:$AB$175,MATCH($B2223,[4]JPH!$H$14:$H$175,0),18),"NA")</f>
        <v>95880</v>
      </c>
      <c r="N2223" s="36">
        <f t="shared" si="180"/>
        <v>7990000</v>
      </c>
      <c r="O2223" s="36">
        <f t="shared" si="181"/>
        <v>958800</v>
      </c>
      <c r="P2223" s="60">
        <f t="shared" si="182"/>
        <v>7031200</v>
      </c>
    </row>
    <row r="2224" spans="2:16">
      <c r="B2224" s="19" t="s">
        <v>2401</v>
      </c>
      <c r="C2224" s="61" t="s">
        <v>4</v>
      </c>
      <c r="D2224" s="61"/>
      <c r="E2224" s="20" t="s">
        <v>205</v>
      </c>
      <c r="F2224" s="20" t="str">
        <f t="shared" si="184"/>
        <v>Block 02</v>
      </c>
      <c r="G2224" s="20" t="str">
        <f t="shared" si="183"/>
        <v>Lot 02</v>
      </c>
      <c r="H2224" s="19">
        <v>113</v>
      </c>
      <c r="I2224" s="19">
        <v>60</v>
      </c>
      <c r="J2224" s="20" t="s">
        <v>2367</v>
      </c>
      <c r="K2224" s="42" t="s">
        <v>2368</v>
      </c>
      <c r="L2224" s="36">
        <f>IFERROR(INDEX([4]JPH!$H$14:$AB$175,MATCH($B2224,[4]JPH!$H$14:$H$175,0),17),"NA")</f>
        <v>5792688</v>
      </c>
      <c r="M2224" s="36">
        <f>IFERROR(INDEX([4]JPH!$H$14:$AB$175,MATCH($B2224,[4]JPH!$H$14:$H$175,0),18),"NA")</f>
        <v>68688</v>
      </c>
      <c r="N2224" s="36">
        <f t="shared" si="180"/>
        <v>5724000</v>
      </c>
      <c r="O2224" s="36">
        <f t="shared" si="181"/>
        <v>686880</v>
      </c>
      <c r="P2224" s="60">
        <f t="shared" si="182"/>
        <v>5037120</v>
      </c>
    </row>
    <row r="2225" spans="2:16">
      <c r="B2225" s="19" t="s">
        <v>2402</v>
      </c>
      <c r="C2225" s="61" t="s">
        <v>4</v>
      </c>
      <c r="D2225" s="61"/>
      <c r="E2225" s="20" t="s">
        <v>205</v>
      </c>
      <c r="F2225" s="20" t="str">
        <f t="shared" si="184"/>
        <v>Block 02</v>
      </c>
      <c r="G2225" s="20" t="str">
        <f t="shared" si="183"/>
        <v>Lot 03</v>
      </c>
      <c r="H2225" s="19">
        <v>113</v>
      </c>
      <c r="I2225" s="19">
        <v>60</v>
      </c>
      <c r="J2225" s="20" t="s">
        <v>2367</v>
      </c>
      <c r="K2225" s="42" t="s">
        <v>2377</v>
      </c>
      <c r="L2225" s="36">
        <f>IFERROR(INDEX([4]JPH!$H$14:$AB$175,MATCH($B2225,[4]JPH!$H$14:$H$175,0),17),"NA")</f>
        <v>5792687.9956628568</v>
      </c>
      <c r="M2225" s="36">
        <f>IFERROR(INDEX([4]JPH!$H$14:$AB$175,MATCH($B2225,[4]JPH!$H$14:$H$175,0),18),"NA")</f>
        <v>68687.999948571422</v>
      </c>
      <c r="N2225" s="36">
        <f t="shared" si="180"/>
        <v>5723999.9957142854</v>
      </c>
      <c r="O2225" s="36">
        <f t="shared" si="181"/>
        <v>686879.99948571424</v>
      </c>
      <c r="P2225" s="60">
        <f t="shared" si="182"/>
        <v>5037119.996228571</v>
      </c>
    </row>
    <row r="2226" spans="2:16">
      <c r="B2226" s="19" t="s">
        <v>2403</v>
      </c>
      <c r="C2226" s="61" t="s">
        <v>4</v>
      </c>
      <c r="D2226" s="61"/>
      <c r="E2226" s="20" t="s">
        <v>205</v>
      </c>
      <c r="F2226" s="20" t="str">
        <f t="shared" si="184"/>
        <v>Block 02</v>
      </c>
      <c r="G2226" s="20" t="str">
        <f t="shared" si="183"/>
        <v>Lot 04</v>
      </c>
      <c r="H2226" s="19">
        <v>113</v>
      </c>
      <c r="I2226" s="19">
        <v>60</v>
      </c>
      <c r="J2226" s="20" t="s">
        <v>2367</v>
      </c>
      <c r="K2226" s="42" t="s">
        <v>2379</v>
      </c>
      <c r="L2226" s="36">
        <f>IFERROR(INDEX([4]JPH!$H$14:$AB$175,MATCH($B2226,[4]JPH!$H$14:$H$175,0),17),"NA")</f>
        <v>4760448</v>
      </c>
      <c r="M2226" s="36">
        <f>IFERROR(INDEX([4]JPH!$H$14:$AB$175,MATCH($B2226,[4]JPH!$H$14:$H$175,0),18),"NA")</f>
        <v>56448</v>
      </c>
      <c r="N2226" s="36">
        <f t="shared" si="180"/>
        <v>4704000</v>
      </c>
      <c r="O2226" s="36">
        <f t="shared" si="181"/>
        <v>564480</v>
      </c>
      <c r="P2226" s="60">
        <f t="shared" si="182"/>
        <v>4139520</v>
      </c>
    </row>
    <row r="2227" spans="2:16">
      <c r="B2227" s="19" t="s">
        <v>2404</v>
      </c>
      <c r="C2227" s="61" t="s">
        <v>4</v>
      </c>
      <c r="D2227" s="61"/>
      <c r="E2227" s="20" t="s">
        <v>205</v>
      </c>
      <c r="F2227" s="20" t="str">
        <f t="shared" si="184"/>
        <v>Block 02</v>
      </c>
      <c r="G2227" s="20" t="str">
        <f t="shared" si="183"/>
        <v>Lot 05</v>
      </c>
      <c r="H2227" s="19">
        <v>113</v>
      </c>
      <c r="I2227" s="19">
        <v>60</v>
      </c>
      <c r="J2227" s="20" t="s">
        <v>2367</v>
      </c>
      <c r="K2227" s="42" t="s">
        <v>2370</v>
      </c>
      <c r="L2227" s="36">
        <f>IFERROR(INDEX([4]JPH!$H$14:$AB$175,MATCH($B2227,[4]JPH!$H$14:$H$175,0),17),"NA")</f>
        <v>5667200</v>
      </c>
      <c r="M2227" s="36">
        <f>IFERROR(INDEX([4]JPH!$H$14:$AB$175,MATCH($B2227,[4]JPH!$H$14:$H$175,0),18),"NA")</f>
        <v>67200</v>
      </c>
      <c r="N2227" s="36">
        <f t="shared" si="180"/>
        <v>5600000</v>
      </c>
      <c r="O2227" s="36">
        <f t="shared" si="181"/>
        <v>672000</v>
      </c>
      <c r="P2227" s="60">
        <f t="shared" si="182"/>
        <v>4928000</v>
      </c>
    </row>
    <row r="2228" spans="2:16">
      <c r="B2228" s="19" t="s">
        <v>2405</v>
      </c>
      <c r="C2228" s="61" t="s">
        <v>4</v>
      </c>
      <c r="D2228" s="61"/>
      <c r="E2228" s="20" t="s">
        <v>205</v>
      </c>
      <c r="F2228" s="20" t="str">
        <f t="shared" si="184"/>
        <v>Block 02</v>
      </c>
      <c r="G2228" s="20" t="str">
        <f t="shared" si="183"/>
        <v>Lot 06</v>
      </c>
      <c r="H2228" s="19">
        <v>113</v>
      </c>
      <c r="I2228" s="19">
        <v>80</v>
      </c>
      <c r="J2228" s="20" t="s">
        <v>2364</v>
      </c>
      <c r="K2228" s="42" t="s">
        <v>2372</v>
      </c>
      <c r="L2228" s="36">
        <f>IFERROR(INDEX([4]JPH!$H$14:$AB$175,MATCH($B2228,[4]JPH!$H$14:$H$175,0),17),"NA")</f>
        <v>5778520</v>
      </c>
      <c r="M2228" s="36">
        <f>IFERROR(INDEX([4]JPH!$H$14:$AB$175,MATCH($B2228,[4]JPH!$H$14:$H$175,0),18),"NA")</f>
        <v>68520</v>
      </c>
      <c r="N2228" s="36">
        <f t="shared" si="180"/>
        <v>5710000</v>
      </c>
      <c r="O2228" s="36">
        <f t="shared" si="181"/>
        <v>685200</v>
      </c>
      <c r="P2228" s="60">
        <f t="shared" si="182"/>
        <v>5024800</v>
      </c>
    </row>
    <row r="2229" spans="2:16">
      <c r="B2229" s="19" t="s">
        <v>2406</v>
      </c>
      <c r="C2229" s="61" t="s">
        <v>4</v>
      </c>
      <c r="D2229" s="61"/>
      <c r="E2229" s="20" t="s">
        <v>205</v>
      </c>
      <c r="F2229" s="20" t="str">
        <f t="shared" si="184"/>
        <v>Block 02</v>
      </c>
      <c r="G2229" s="20" t="str">
        <f t="shared" si="183"/>
        <v>Lot 07</v>
      </c>
      <c r="H2229" s="19">
        <v>113</v>
      </c>
      <c r="I2229" s="19">
        <v>80</v>
      </c>
      <c r="J2229" s="20" t="s">
        <v>2364</v>
      </c>
      <c r="K2229" s="42" t="s">
        <v>2365</v>
      </c>
      <c r="L2229" s="36">
        <f>IFERROR(INDEX([4]JPH!$H$14:$AB$175,MATCH($B2229,[4]JPH!$H$14:$H$175,0),17),"NA")</f>
        <v>6900828</v>
      </c>
      <c r="M2229" s="36">
        <f>IFERROR(INDEX([4]JPH!$H$14:$AB$175,MATCH($B2229,[4]JPH!$H$14:$H$175,0),18),"NA")</f>
        <v>81828</v>
      </c>
      <c r="N2229" s="36">
        <f t="shared" si="180"/>
        <v>6819000</v>
      </c>
      <c r="O2229" s="36">
        <f t="shared" si="181"/>
        <v>818280</v>
      </c>
      <c r="P2229" s="60">
        <f t="shared" si="182"/>
        <v>6000720</v>
      </c>
    </row>
    <row r="2230" spans="2:16">
      <c r="B2230" s="19" t="s">
        <v>2407</v>
      </c>
      <c r="C2230" s="61" t="s">
        <v>4</v>
      </c>
      <c r="D2230" s="61"/>
      <c r="E2230" s="20" t="s">
        <v>205</v>
      </c>
      <c r="F2230" s="20" t="str">
        <f t="shared" si="184"/>
        <v>Block 02</v>
      </c>
      <c r="G2230" s="20" t="str">
        <f t="shared" si="183"/>
        <v>Lot 08</v>
      </c>
      <c r="H2230" s="19">
        <v>113</v>
      </c>
      <c r="I2230" s="19">
        <v>60</v>
      </c>
      <c r="J2230" s="20" t="s">
        <v>2395</v>
      </c>
      <c r="K2230" s="42" t="s">
        <v>2368</v>
      </c>
      <c r="L2230" s="36">
        <f>IFERROR(INDEX([4]JPH!$H$14:$AB$175,MATCH($B2230,[4]JPH!$H$14:$H$175,0),17),"NA")</f>
        <v>6710572</v>
      </c>
      <c r="M2230" s="36">
        <f>IFERROR(INDEX([4]JPH!$H$14:$AB$175,MATCH($B2230,[4]JPH!$H$14:$H$175,0),18),"NA")</f>
        <v>79572</v>
      </c>
      <c r="N2230" s="36">
        <f t="shared" si="180"/>
        <v>6631000</v>
      </c>
      <c r="O2230" s="36">
        <f t="shared" si="181"/>
        <v>795720</v>
      </c>
      <c r="P2230" s="60">
        <f t="shared" si="182"/>
        <v>5835280</v>
      </c>
    </row>
    <row r="2231" spans="2:16">
      <c r="B2231" s="19" t="s">
        <v>2408</v>
      </c>
      <c r="C2231" s="61" t="s">
        <v>4</v>
      </c>
      <c r="D2231" s="61"/>
      <c r="E2231" s="20" t="s">
        <v>205</v>
      </c>
      <c r="F2231" s="20" t="str">
        <f t="shared" si="184"/>
        <v>Block 02</v>
      </c>
      <c r="G2231" s="20" t="str">
        <f t="shared" si="183"/>
        <v>Lot 09</v>
      </c>
      <c r="H2231" s="19">
        <v>113</v>
      </c>
      <c r="I2231" s="19">
        <v>60</v>
      </c>
      <c r="J2231" s="20" t="s">
        <v>2367</v>
      </c>
      <c r="K2231" s="42" t="s">
        <v>2377</v>
      </c>
      <c r="L2231" s="36">
        <f>IFERROR(INDEX([4]JPH!$H$14:$AB$175,MATCH($B2231,[4]JPH!$H$14:$H$175,0),17),"NA")</f>
        <v>5262400</v>
      </c>
      <c r="M2231" s="36">
        <f>IFERROR(INDEX([4]JPH!$H$14:$AB$175,MATCH($B2231,[4]JPH!$H$14:$H$175,0),18),"NA")</f>
        <v>62400</v>
      </c>
      <c r="N2231" s="36">
        <f t="shared" si="180"/>
        <v>5200000</v>
      </c>
      <c r="O2231" s="36">
        <f t="shared" si="181"/>
        <v>624000</v>
      </c>
      <c r="P2231" s="60">
        <f t="shared" si="182"/>
        <v>4576000</v>
      </c>
    </row>
    <row r="2232" spans="2:16">
      <c r="B2232" s="19" t="s">
        <v>2409</v>
      </c>
      <c r="C2232" s="61" t="s">
        <v>4</v>
      </c>
      <c r="D2232" s="61"/>
      <c r="E2232" s="20" t="s">
        <v>205</v>
      </c>
      <c r="F2232" s="20" t="str">
        <f t="shared" si="184"/>
        <v>Block 02</v>
      </c>
      <c r="G2232" s="20" t="str">
        <f t="shared" si="183"/>
        <v>Lot 10</v>
      </c>
      <c r="H2232" s="19">
        <v>113</v>
      </c>
      <c r="I2232" s="19">
        <v>60</v>
      </c>
      <c r="J2232" s="20" t="s">
        <v>2395</v>
      </c>
      <c r="K2232" s="42" t="s">
        <v>2379</v>
      </c>
      <c r="L2232" s="36">
        <f>IFERROR(INDEX([4]JPH!$H$14:$AB$175,MATCH($B2232,[4]JPH!$H$14:$H$175,0),17),"NA")</f>
        <v>6476800</v>
      </c>
      <c r="M2232" s="36">
        <f>IFERROR(INDEX([4]JPH!$H$14:$AB$175,MATCH($B2232,[4]JPH!$H$14:$H$175,0),18),"NA")</f>
        <v>76800</v>
      </c>
      <c r="N2232" s="36">
        <f t="shared" si="180"/>
        <v>6400000</v>
      </c>
      <c r="O2232" s="36">
        <f t="shared" si="181"/>
        <v>768000</v>
      </c>
      <c r="P2232" s="60">
        <f t="shared" si="182"/>
        <v>5632000</v>
      </c>
    </row>
    <row r="2233" spans="2:16">
      <c r="B2233" s="19" t="s">
        <v>2410</v>
      </c>
      <c r="C2233" s="61" t="s">
        <v>4</v>
      </c>
      <c r="D2233" s="61"/>
      <c r="E2233" s="20" t="s">
        <v>205</v>
      </c>
      <c r="F2233" s="20" t="str">
        <f t="shared" si="184"/>
        <v>Block 02</v>
      </c>
      <c r="G2233" s="20" t="str">
        <f t="shared" si="183"/>
        <v>Lot 11</v>
      </c>
      <c r="H2233" s="19">
        <v>113</v>
      </c>
      <c r="I2233" s="19">
        <v>60</v>
      </c>
      <c r="J2233" s="20" t="s">
        <v>2367</v>
      </c>
      <c r="K2233" s="42" t="s">
        <v>2370</v>
      </c>
      <c r="L2233" s="36">
        <f>IFERROR(INDEX([4]JPH!$H$14:$AB$175,MATCH($B2233,[4]JPH!$H$14:$H$175,0),17),"NA")</f>
        <v>5590288</v>
      </c>
      <c r="M2233" s="36">
        <f>IFERROR(INDEX([4]JPH!$H$14:$AB$175,MATCH($B2233,[4]JPH!$H$14:$H$175,0),18),"NA")</f>
        <v>66288</v>
      </c>
      <c r="N2233" s="36">
        <f t="shared" si="180"/>
        <v>5524000</v>
      </c>
      <c r="O2233" s="36">
        <f t="shared" si="181"/>
        <v>662880</v>
      </c>
      <c r="P2233" s="60">
        <f t="shared" si="182"/>
        <v>4861120</v>
      </c>
    </row>
    <row r="2234" spans="2:16">
      <c r="B2234" s="19" t="s">
        <v>2411</v>
      </c>
      <c r="C2234" s="61" t="s">
        <v>4</v>
      </c>
      <c r="D2234" s="61"/>
      <c r="E2234" s="20" t="s">
        <v>205</v>
      </c>
      <c r="F2234" s="20" t="str">
        <f t="shared" si="184"/>
        <v>Block 02</v>
      </c>
      <c r="G2234" s="20" t="str">
        <f t="shared" si="183"/>
        <v>Lot 12</v>
      </c>
      <c r="H2234" s="19">
        <v>113</v>
      </c>
      <c r="I2234" s="19">
        <v>80</v>
      </c>
      <c r="J2234" s="20" t="s">
        <v>2364</v>
      </c>
      <c r="K2234" s="42" t="s">
        <v>2372</v>
      </c>
      <c r="L2234" s="36">
        <f>IFERROR(INDEX([4]JPH!$H$14:$AB$175,MATCH($B2234,[4]JPH!$H$14:$H$175,0),17),"NA")</f>
        <v>6185344</v>
      </c>
      <c r="M2234" s="36">
        <f>IFERROR(INDEX([4]JPH!$H$14:$AB$175,MATCH($B2234,[4]JPH!$H$14:$H$175,0),18),"NA")</f>
        <v>73344</v>
      </c>
      <c r="N2234" s="36">
        <f t="shared" si="180"/>
        <v>6112000</v>
      </c>
      <c r="O2234" s="36">
        <f t="shared" si="181"/>
        <v>733440</v>
      </c>
      <c r="P2234" s="60">
        <f t="shared" si="182"/>
        <v>5378560</v>
      </c>
    </row>
    <row r="2235" spans="2:16">
      <c r="B2235" s="19" t="s">
        <v>2412</v>
      </c>
      <c r="C2235" s="61" t="s">
        <v>4</v>
      </c>
      <c r="D2235" s="61"/>
      <c r="E2235" s="20" t="s">
        <v>2413</v>
      </c>
      <c r="F2235" s="20" t="str">
        <f t="shared" si="184"/>
        <v>Block 02</v>
      </c>
      <c r="G2235" s="20" t="str">
        <f t="shared" si="183"/>
        <v>Lot 13</v>
      </c>
      <c r="H2235" s="19">
        <v>113</v>
      </c>
      <c r="I2235" s="19">
        <v>80</v>
      </c>
      <c r="J2235" s="20" t="s">
        <v>2364</v>
      </c>
      <c r="K2235" s="42" t="s">
        <v>2365</v>
      </c>
      <c r="L2235" s="36">
        <f>IFERROR(INDEX([4]JPH!$H$14:$AB$175,MATCH($B2235,[4]JPH!$H$14:$H$175,0),17),"NA")</f>
        <v>6598240</v>
      </c>
      <c r="M2235" s="36">
        <f>IFERROR(INDEX([4]JPH!$H$14:$AB$175,MATCH($B2235,[4]JPH!$H$14:$H$175,0),18),"NA")</f>
        <v>78240</v>
      </c>
      <c r="N2235" s="36">
        <f t="shared" si="180"/>
        <v>6520000</v>
      </c>
      <c r="O2235" s="36">
        <f t="shared" si="181"/>
        <v>782400</v>
      </c>
      <c r="P2235" s="60">
        <f t="shared" si="182"/>
        <v>5737600</v>
      </c>
    </row>
    <row r="2236" spans="2:16">
      <c r="B2236" s="19" t="s">
        <v>2414</v>
      </c>
      <c r="C2236" s="61" t="s">
        <v>4</v>
      </c>
      <c r="D2236" s="61"/>
      <c r="E2236" s="20" t="s">
        <v>243</v>
      </c>
      <c r="F2236" s="20" t="str">
        <f t="shared" si="184"/>
        <v>Block 02</v>
      </c>
      <c r="G2236" s="20" t="str">
        <f t="shared" si="183"/>
        <v>Lot 14</v>
      </c>
      <c r="H2236" s="19">
        <v>113</v>
      </c>
      <c r="I2236" s="19">
        <v>60</v>
      </c>
      <c r="J2236" s="20" t="s">
        <v>2395</v>
      </c>
      <c r="K2236" s="42" t="s">
        <v>2368</v>
      </c>
      <c r="L2236" s="36">
        <f>IFERROR(INDEX([4]JPH!$H$14:$AB$175,MATCH($B2236,[4]JPH!$H$14:$H$175,0),17),"NA")</f>
        <v>5792688</v>
      </c>
      <c r="M2236" s="36">
        <f>IFERROR(INDEX([4]JPH!$H$14:$AB$175,MATCH($B2236,[4]JPH!$H$14:$H$175,0),18),"NA")</f>
        <v>68688</v>
      </c>
      <c r="N2236" s="36">
        <f t="shared" si="180"/>
        <v>5724000</v>
      </c>
      <c r="O2236" s="36">
        <f t="shared" si="181"/>
        <v>686880</v>
      </c>
      <c r="P2236" s="60">
        <f t="shared" si="182"/>
        <v>5037120</v>
      </c>
    </row>
    <row r="2237" spans="2:16">
      <c r="B2237" s="19" t="s">
        <v>2415</v>
      </c>
      <c r="C2237" s="61" t="s">
        <v>4</v>
      </c>
      <c r="D2237" s="61"/>
      <c r="E2237" s="20" t="s">
        <v>205</v>
      </c>
      <c r="F2237" s="20" t="str">
        <f t="shared" si="184"/>
        <v>Block 02</v>
      </c>
      <c r="G2237" s="20" t="str">
        <f t="shared" si="183"/>
        <v>Lot 15</v>
      </c>
      <c r="H2237" s="19">
        <v>113</v>
      </c>
      <c r="I2237" s="19">
        <v>60</v>
      </c>
      <c r="J2237" s="20" t="s">
        <v>2367</v>
      </c>
      <c r="K2237" s="42" t="s">
        <v>2370</v>
      </c>
      <c r="L2237" s="36">
        <f>IFERROR(INDEX([4]JPH!$H$14:$AB$175,MATCH($B2237,[4]JPH!$H$14:$H$175,0),17),"NA")</f>
        <v>5792688</v>
      </c>
      <c r="M2237" s="36">
        <f>IFERROR(INDEX([4]JPH!$H$14:$AB$175,MATCH($B2237,[4]JPH!$H$14:$H$175,0),18),"NA")</f>
        <v>68688</v>
      </c>
      <c r="N2237" s="36">
        <f t="shared" si="180"/>
        <v>5724000</v>
      </c>
      <c r="O2237" s="36">
        <f t="shared" si="181"/>
        <v>686880</v>
      </c>
      <c r="P2237" s="60">
        <f t="shared" si="182"/>
        <v>5037120</v>
      </c>
    </row>
    <row r="2238" spans="2:16">
      <c r="B2238" s="19" t="s">
        <v>2416</v>
      </c>
      <c r="C2238" s="61" t="s">
        <v>4</v>
      </c>
      <c r="D2238" s="61"/>
      <c r="E2238" s="20" t="s">
        <v>205</v>
      </c>
      <c r="F2238" s="20" t="str">
        <f t="shared" si="184"/>
        <v>Block 02</v>
      </c>
      <c r="G2238" s="20" t="str">
        <f t="shared" si="183"/>
        <v>Lot 16</v>
      </c>
      <c r="H2238" s="19">
        <v>113</v>
      </c>
      <c r="I2238" s="19">
        <v>103</v>
      </c>
      <c r="J2238" s="20" t="s">
        <v>2364</v>
      </c>
      <c r="K2238" s="42" t="s">
        <v>2372</v>
      </c>
      <c r="L2238" s="36">
        <f>IFERROR(INDEX([4]JPH!$H$14:$AB$175,MATCH($B2238,[4]JPH!$H$14:$H$175,0),17),"NA")</f>
        <v>7429092</v>
      </c>
      <c r="M2238" s="36">
        <f>IFERROR(INDEX([4]JPH!$H$14:$AB$175,MATCH($B2238,[4]JPH!$H$14:$H$175,0),18),"NA")</f>
        <v>88092</v>
      </c>
      <c r="N2238" s="36">
        <f t="shared" si="180"/>
        <v>7341000</v>
      </c>
      <c r="O2238" s="36">
        <f t="shared" si="181"/>
        <v>880920</v>
      </c>
      <c r="P2238" s="60">
        <f t="shared" si="182"/>
        <v>6460080</v>
      </c>
    </row>
    <row r="2239" spans="2:16">
      <c r="B2239" s="19" t="s">
        <v>2417</v>
      </c>
      <c r="C2239" s="61" t="s">
        <v>4</v>
      </c>
      <c r="D2239" s="61"/>
      <c r="E2239" s="20" t="s">
        <v>205</v>
      </c>
      <c r="F2239" s="20" t="str">
        <f t="shared" si="184"/>
        <v>Block 02</v>
      </c>
      <c r="G2239" s="20" t="str">
        <f t="shared" si="183"/>
        <v>Lot 17</v>
      </c>
      <c r="H2239" s="19">
        <v>113</v>
      </c>
      <c r="I2239" s="19">
        <v>86</v>
      </c>
      <c r="J2239" s="20" t="s">
        <v>2374</v>
      </c>
      <c r="K2239" s="42" t="s">
        <v>2365</v>
      </c>
      <c r="L2239" s="36">
        <f>IFERROR(INDEX([4]JPH!$H$14:$AB$175,MATCH($B2239,[4]JPH!$H$14:$H$175,0),17),"NA")</f>
        <v>7293484</v>
      </c>
      <c r="M2239" s="36">
        <f>IFERROR(INDEX([4]JPH!$H$14:$AB$175,MATCH($B2239,[4]JPH!$H$14:$H$175,0),18),"NA")</f>
        <v>86484</v>
      </c>
      <c r="N2239" s="36">
        <f t="shared" si="180"/>
        <v>7207000</v>
      </c>
      <c r="O2239" s="36">
        <f t="shared" si="181"/>
        <v>864840</v>
      </c>
      <c r="P2239" s="60">
        <f t="shared" si="182"/>
        <v>6342160</v>
      </c>
    </row>
    <row r="2240" spans="2:16">
      <c r="B2240" s="19" t="s">
        <v>2418</v>
      </c>
      <c r="C2240" s="61" t="s">
        <v>4</v>
      </c>
      <c r="D2240" s="61"/>
      <c r="E2240" s="20" t="s">
        <v>205</v>
      </c>
      <c r="F2240" s="20" t="str">
        <f t="shared" si="184"/>
        <v>Block 02</v>
      </c>
      <c r="G2240" s="20" t="str">
        <f t="shared" si="183"/>
        <v>Lot 18</v>
      </c>
      <c r="H2240" s="19">
        <v>113</v>
      </c>
      <c r="I2240" s="19">
        <v>60</v>
      </c>
      <c r="J2240" s="20" t="s">
        <v>2367</v>
      </c>
      <c r="K2240" s="42" t="s">
        <v>2368</v>
      </c>
      <c r="L2240" s="36">
        <f>IFERROR(INDEX([4]JPH!$H$14:$AB$175,MATCH($B2240,[4]JPH!$H$14:$H$175,0),17),"NA")</f>
        <v>6476800</v>
      </c>
      <c r="M2240" s="36">
        <f>IFERROR(INDEX([4]JPH!$H$14:$AB$175,MATCH($B2240,[4]JPH!$H$14:$H$175,0),18),"NA")</f>
        <v>76800</v>
      </c>
      <c r="N2240" s="36">
        <f t="shared" si="180"/>
        <v>6400000</v>
      </c>
      <c r="O2240" s="36">
        <f t="shared" si="181"/>
        <v>768000</v>
      </c>
      <c r="P2240" s="60">
        <f t="shared" si="182"/>
        <v>5632000</v>
      </c>
    </row>
    <row r="2241" spans="2:16">
      <c r="B2241" s="19" t="s">
        <v>2419</v>
      </c>
      <c r="C2241" s="61" t="s">
        <v>4</v>
      </c>
      <c r="D2241" s="61"/>
      <c r="E2241" s="20" t="s">
        <v>205</v>
      </c>
      <c r="F2241" s="20" t="str">
        <f t="shared" si="184"/>
        <v>Block 02</v>
      </c>
      <c r="G2241" s="20" t="str">
        <f t="shared" si="183"/>
        <v>Lot 19</v>
      </c>
      <c r="H2241" s="19">
        <v>113</v>
      </c>
      <c r="I2241" s="19">
        <v>60</v>
      </c>
      <c r="J2241" s="20" t="s">
        <v>2367</v>
      </c>
      <c r="K2241" s="42" t="s">
        <v>2370</v>
      </c>
      <c r="L2241" s="36">
        <f>IFERROR(INDEX([4]JPH!$H$14:$AB$175,MATCH($B2241,[4]JPH!$H$14:$H$175,0),17),"NA")</f>
        <v>6476800</v>
      </c>
      <c r="M2241" s="36">
        <f>IFERROR(INDEX([4]JPH!$H$14:$AB$175,MATCH($B2241,[4]JPH!$H$14:$H$175,0),18),"NA")</f>
        <v>76800</v>
      </c>
      <c r="N2241" s="36">
        <f t="shared" si="180"/>
        <v>6400000</v>
      </c>
      <c r="O2241" s="36">
        <f t="shared" si="181"/>
        <v>768000</v>
      </c>
      <c r="P2241" s="60">
        <f t="shared" si="182"/>
        <v>5632000</v>
      </c>
    </row>
    <row r="2242" spans="2:16">
      <c r="B2242" s="19" t="s">
        <v>2420</v>
      </c>
      <c r="C2242" s="61" t="s">
        <v>4</v>
      </c>
      <c r="D2242" s="61"/>
      <c r="E2242" s="20" t="s">
        <v>233</v>
      </c>
      <c r="F2242" s="20" t="str">
        <f t="shared" si="184"/>
        <v>Block 02</v>
      </c>
      <c r="G2242" s="20" t="str">
        <f t="shared" si="183"/>
        <v>Lot 20</v>
      </c>
      <c r="H2242" s="19">
        <v>113</v>
      </c>
      <c r="I2242" s="19">
        <v>80</v>
      </c>
      <c r="J2242" s="20" t="s">
        <v>2364</v>
      </c>
      <c r="K2242" s="42" t="s">
        <v>2372</v>
      </c>
      <c r="L2242" s="36">
        <f>IFERROR(INDEX([4]JPH!$H$14:$AB$175,MATCH($B2242,[4]JPH!$H$14:$H$175,0),17),"NA")</f>
        <v>6589285.7142857146</v>
      </c>
      <c r="M2242" s="36">
        <f>IFERROR(INDEX([4]JPH!$H$14:$AB$175,MATCH($B2242,[4]JPH!$H$14:$H$175,0),18),"NA")</f>
        <v>500000</v>
      </c>
      <c r="N2242" s="36">
        <f t="shared" si="180"/>
        <v>6089285.7142857146</v>
      </c>
      <c r="O2242" s="36">
        <f t="shared" si="181"/>
        <v>730714.28571428568</v>
      </c>
      <c r="P2242" s="60">
        <f t="shared" si="182"/>
        <v>5358571.4285714291</v>
      </c>
    </row>
    <row r="2243" spans="2:16">
      <c r="B2243" s="19" t="s">
        <v>2421</v>
      </c>
      <c r="C2243" s="61" t="s">
        <v>4</v>
      </c>
      <c r="D2243" s="61"/>
      <c r="E2243" s="20" t="s">
        <v>233</v>
      </c>
      <c r="F2243" s="20" t="str">
        <f t="shared" si="184"/>
        <v>Block 02</v>
      </c>
      <c r="G2243" s="20" t="str">
        <f t="shared" si="183"/>
        <v>Lot 21</v>
      </c>
      <c r="H2243" s="19">
        <v>113</v>
      </c>
      <c r="I2243" s="19">
        <v>80</v>
      </c>
      <c r="J2243" s="20" t="s">
        <v>2364</v>
      </c>
      <c r="K2243" s="42" t="s">
        <v>2365</v>
      </c>
      <c r="L2243" s="36">
        <f>IFERROR(INDEX([4]JPH!$H$14:$AB$175,MATCH($B2243,[4]JPH!$H$14:$H$175,0),17),"NA")</f>
        <v>6598240.0014457144</v>
      </c>
      <c r="M2243" s="36">
        <f>IFERROR(INDEX([4]JPH!$H$14:$AB$175,MATCH($B2243,[4]JPH!$H$14:$H$175,0),18),"NA")</f>
        <v>78240.000017142855</v>
      </c>
      <c r="N2243" s="36">
        <f t="shared" si="180"/>
        <v>6520000.0014285715</v>
      </c>
      <c r="O2243" s="36">
        <f t="shared" si="181"/>
        <v>782400.00017142855</v>
      </c>
      <c r="P2243" s="60">
        <f t="shared" si="182"/>
        <v>5737600.001257143</v>
      </c>
    </row>
    <row r="2244" spans="2:16">
      <c r="B2244" s="19" t="s">
        <v>2422</v>
      </c>
      <c r="C2244" s="61" t="s">
        <v>4</v>
      </c>
      <c r="D2244" s="61"/>
      <c r="E2244" s="20" t="s">
        <v>233</v>
      </c>
      <c r="F2244" s="20" t="str">
        <f t="shared" si="184"/>
        <v>Block 02</v>
      </c>
      <c r="G2244" s="20" t="str">
        <f t="shared" si="183"/>
        <v>Lot 22</v>
      </c>
      <c r="H2244" s="19">
        <v>113</v>
      </c>
      <c r="I2244" s="19">
        <v>60</v>
      </c>
      <c r="J2244" s="20" t="s">
        <v>2367</v>
      </c>
      <c r="K2244" s="42" t="s">
        <v>2368</v>
      </c>
      <c r="L2244" s="36">
        <f>IFERROR(INDEX([4]JPH!$H$14:$AB$175,MATCH($B2244,[4]JPH!$H$14:$H$175,0),17),"NA")</f>
        <v>5262400</v>
      </c>
      <c r="M2244" s="36">
        <f>IFERROR(INDEX([4]JPH!$H$14:$AB$175,MATCH($B2244,[4]JPH!$H$14:$H$175,0),18),"NA")</f>
        <v>62400</v>
      </c>
      <c r="N2244" s="36">
        <f t="shared" si="180"/>
        <v>5200000</v>
      </c>
      <c r="O2244" s="36">
        <f t="shared" si="181"/>
        <v>624000</v>
      </c>
      <c r="P2244" s="60">
        <f t="shared" si="182"/>
        <v>4576000</v>
      </c>
    </row>
    <row r="2245" spans="2:16">
      <c r="B2245" s="19" t="s">
        <v>2423</v>
      </c>
      <c r="C2245" s="61" t="s">
        <v>4</v>
      </c>
      <c r="D2245" s="61"/>
      <c r="E2245" s="20" t="s">
        <v>233</v>
      </c>
      <c r="F2245" s="20" t="str">
        <f t="shared" si="184"/>
        <v>Block 02</v>
      </c>
      <c r="G2245" s="20" t="str">
        <f t="shared" si="183"/>
        <v>Lot 23</v>
      </c>
      <c r="H2245" s="19">
        <v>113</v>
      </c>
      <c r="I2245" s="19">
        <v>60</v>
      </c>
      <c r="J2245" s="20" t="s">
        <v>2367</v>
      </c>
      <c r="K2245" s="42" t="s">
        <v>2377</v>
      </c>
      <c r="L2245" s="36">
        <f>IFERROR(INDEX([4]JPH!$H$14:$AB$175,MATCH($B2245,[4]JPH!$H$14:$H$175,0),17),"NA")</f>
        <v>5262400</v>
      </c>
      <c r="M2245" s="36">
        <f>IFERROR(INDEX([4]JPH!$H$14:$AB$175,MATCH($B2245,[4]JPH!$H$14:$H$175,0),18),"NA")</f>
        <v>62400</v>
      </c>
      <c r="N2245" s="36">
        <f t="shared" si="180"/>
        <v>5200000</v>
      </c>
      <c r="O2245" s="36">
        <f t="shared" si="181"/>
        <v>624000</v>
      </c>
      <c r="P2245" s="60">
        <f t="shared" si="182"/>
        <v>4576000</v>
      </c>
    </row>
    <row r="2246" spans="2:16">
      <c r="B2246" s="19" t="s">
        <v>2424</v>
      </c>
      <c r="C2246" s="61" t="s">
        <v>4</v>
      </c>
      <c r="D2246" s="61"/>
      <c r="E2246" s="20" t="s">
        <v>205</v>
      </c>
      <c r="F2246" s="20" t="str">
        <f t="shared" si="184"/>
        <v>Block 02</v>
      </c>
      <c r="G2246" s="20" t="str">
        <f t="shared" si="183"/>
        <v>Lot 24</v>
      </c>
      <c r="H2246" s="19">
        <v>113</v>
      </c>
      <c r="I2246" s="19">
        <v>60</v>
      </c>
      <c r="J2246" s="20" t="s">
        <v>2367</v>
      </c>
      <c r="K2246" s="42" t="s">
        <v>2379</v>
      </c>
      <c r="L2246" s="36">
        <f>IFERROR(INDEX([4]JPH!$H$14:$AB$175,MATCH($B2246,[4]JPH!$H$14:$H$175,0),17),"NA")</f>
        <v>5599193.5999999996</v>
      </c>
      <c r="M2246" s="36">
        <f>IFERROR(INDEX([4]JPH!$H$14:$AB$175,MATCH($B2246,[4]JPH!$H$14:$H$175,0),18),"NA")</f>
        <v>66393.600000000006</v>
      </c>
      <c r="N2246" s="36">
        <f t="shared" si="180"/>
        <v>5532800</v>
      </c>
      <c r="O2246" s="36">
        <f t="shared" si="181"/>
        <v>663936</v>
      </c>
      <c r="P2246" s="60">
        <f t="shared" si="182"/>
        <v>4868864</v>
      </c>
    </row>
    <row r="2247" spans="2:16">
      <c r="B2247" s="19" t="s">
        <v>2425</v>
      </c>
      <c r="C2247" s="61" t="s">
        <v>4</v>
      </c>
      <c r="D2247" s="61"/>
      <c r="E2247" s="20" t="s">
        <v>205</v>
      </c>
      <c r="F2247" s="20" t="str">
        <f t="shared" si="184"/>
        <v>Block 02</v>
      </c>
      <c r="G2247" s="20" t="str">
        <f t="shared" si="183"/>
        <v>Lot 25</v>
      </c>
      <c r="H2247" s="19">
        <v>113</v>
      </c>
      <c r="I2247" s="19">
        <v>60</v>
      </c>
      <c r="J2247" s="20" t="s">
        <v>2367</v>
      </c>
      <c r="K2247" s="42" t="s">
        <v>2370</v>
      </c>
      <c r="L2247" s="36">
        <f>IFERROR(INDEX([4]JPH!$H$14:$AB$175,MATCH($B2247,[4]JPH!$H$14:$H$175,0),17),"NA")</f>
        <v>5599193.5999999996</v>
      </c>
      <c r="M2247" s="36">
        <f>IFERROR(INDEX([4]JPH!$H$14:$AB$175,MATCH($B2247,[4]JPH!$H$14:$H$175,0),18),"NA")</f>
        <v>66393.600000000006</v>
      </c>
      <c r="N2247" s="36">
        <f t="shared" si="180"/>
        <v>5532800</v>
      </c>
      <c r="O2247" s="36">
        <f t="shared" si="181"/>
        <v>663936</v>
      </c>
      <c r="P2247" s="60">
        <f t="shared" si="182"/>
        <v>4868864</v>
      </c>
    </row>
    <row r="2248" spans="2:16">
      <c r="B2248" s="19" t="s">
        <v>2426</v>
      </c>
      <c r="C2248" s="61" t="s">
        <v>4</v>
      </c>
      <c r="D2248" s="61"/>
      <c r="E2248" s="20" t="s">
        <v>205</v>
      </c>
      <c r="F2248" s="20" t="str">
        <f t="shared" si="184"/>
        <v>Block 02</v>
      </c>
      <c r="G2248" s="20" t="str">
        <f t="shared" si="183"/>
        <v>Lot 26</v>
      </c>
      <c r="H2248" s="19">
        <v>113</v>
      </c>
      <c r="I2248" s="19">
        <v>80</v>
      </c>
      <c r="J2248" s="20" t="s">
        <v>2364</v>
      </c>
      <c r="K2248" s="42" t="s">
        <v>2372</v>
      </c>
      <c r="L2248" s="36">
        <f>IFERROR(INDEX([4]JPH!$H$14:$AB$175,MATCH($B2248,[4]JPH!$H$14:$H$175,0),17),"NA")</f>
        <v>5778520</v>
      </c>
      <c r="M2248" s="36">
        <f>IFERROR(INDEX([4]JPH!$H$14:$AB$175,MATCH($B2248,[4]JPH!$H$14:$H$175,0),18),"NA")</f>
        <v>68520</v>
      </c>
      <c r="N2248" s="36">
        <f t="shared" si="180"/>
        <v>5710000</v>
      </c>
      <c r="O2248" s="36">
        <f t="shared" si="181"/>
        <v>685200</v>
      </c>
      <c r="P2248" s="60">
        <f t="shared" si="182"/>
        <v>5024800</v>
      </c>
    </row>
    <row r="2249" spans="2:16">
      <c r="B2249" s="19" t="s">
        <v>2427</v>
      </c>
      <c r="C2249" s="61" t="s">
        <v>4</v>
      </c>
      <c r="D2249" s="61"/>
      <c r="E2249" s="20" t="s">
        <v>205</v>
      </c>
      <c r="F2249" s="20" t="str">
        <f t="shared" si="184"/>
        <v>Block 02</v>
      </c>
      <c r="G2249" s="20" t="str">
        <f t="shared" si="183"/>
        <v>Lot 27</v>
      </c>
      <c r="H2249" s="19">
        <v>113</v>
      </c>
      <c r="I2249" s="19">
        <v>80</v>
      </c>
      <c r="J2249" s="20" t="s">
        <v>2364</v>
      </c>
      <c r="K2249" s="42" t="s">
        <v>2365</v>
      </c>
      <c r="L2249" s="36">
        <f>IFERROR(INDEX([4]JPH!$H$14:$AB$175,MATCH($B2249,[4]JPH!$H$14:$H$175,0),17),"NA")</f>
        <v>5778520</v>
      </c>
      <c r="M2249" s="36">
        <f>IFERROR(INDEX([4]JPH!$H$14:$AB$175,MATCH($B2249,[4]JPH!$H$14:$H$175,0),18),"NA")</f>
        <v>68520</v>
      </c>
      <c r="N2249" s="36">
        <f t="shared" si="180"/>
        <v>5710000</v>
      </c>
      <c r="O2249" s="36">
        <f t="shared" si="181"/>
        <v>685200</v>
      </c>
      <c r="P2249" s="60">
        <f t="shared" si="182"/>
        <v>5024800</v>
      </c>
    </row>
    <row r="2250" spans="2:16">
      <c r="B2250" s="19" t="s">
        <v>2428</v>
      </c>
      <c r="C2250" s="61" t="s">
        <v>4</v>
      </c>
      <c r="D2250" s="61"/>
      <c r="E2250" s="20" t="s">
        <v>205</v>
      </c>
      <c r="F2250" s="20" t="str">
        <f t="shared" si="184"/>
        <v>Block 02</v>
      </c>
      <c r="G2250" s="20" t="str">
        <f t="shared" si="183"/>
        <v>Lot 28</v>
      </c>
      <c r="H2250" s="19">
        <v>113</v>
      </c>
      <c r="I2250" s="19">
        <v>60</v>
      </c>
      <c r="J2250" s="20" t="s">
        <v>2367</v>
      </c>
      <c r="K2250" s="42" t="s">
        <v>2368</v>
      </c>
      <c r="L2250" s="36">
        <f>IFERROR(INDEX([4]JPH!$H$14:$AB$175,MATCH($B2250,[4]JPH!$H$14:$H$175,0),17),"NA")</f>
        <v>5262400</v>
      </c>
      <c r="M2250" s="36">
        <f>IFERROR(INDEX([4]JPH!$H$14:$AB$175,MATCH($B2250,[4]JPH!$H$14:$H$175,0),18),"NA")</f>
        <v>62400</v>
      </c>
      <c r="N2250" s="36">
        <f t="shared" si="180"/>
        <v>5200000</v>
      </c>
      <c r="O2250" s="36">
        <f t="shared" si="181"/>
        <v>624000</v>
      </c>
      <c r="P2250" s="60">
        <f t="shared" si="182"/>
        <v>4576000</v>
      </c>
    </row>
    <row r="2251" spans="2:16">
      <c r="B2251" s="19" t="s">
        <v>2429</v>
      </c>
      <c r="C2251" s="61" t="s">
        <v>4</v>
      </c>
      <c r="D2251" s="61"/>
      <c r="E2251" s="20" t="s">
        <v>205</v>
      </c>
      <c r="F2251" s="20" t="str">
        <f t="shared" si="184"/>
        <v>Block 02</v>
      </c>
      <c r="G2251" s="20" t="str">
        <f t="shared" si="183"/>
        <v>Lot 29</v>
      </c>
      <c r="H2251" s="19">
        <v>113</v>
      </c>
      <c r="I2251" s="19">
        <v>60</v>
      </c>
      <c r="J2251" s="20" t="s">
        <v>2367</v>
      </c>
      <c r="K2251" s="42" t="s">
        <v>2377</v>
      </c>
      <c r="L2251" s="36">
        <f>IFERROR(INDEX([4]JPH!$H$14:$AB$175,MATCH($B2251,[4]JPH!$H$14:$H$175,0),17),"NA")</f>
        <v>5893888</v>
      </c>
      <c r="M2251" s="36">
        <f>IFERROR(INDEX([4]JPH!$H$14:$AB$175,MATCH($B2251,[4]JPH!$H$14:$H$175,0),18),"NA")</f>
        <v>69888</v>
      </c>
      <c r="N2251" s="36">
        <f t="shared" si="180"/>
        <v>5824000</v>
      </c>
      <c r="O2251" s="36">
        <f t="shared" si="181"/>
        <v>698880</v>
      </c>
      <c r="P2251" s="60">
        <f t="shared" si="182"/>
        <v>5125120</v>
      </c>
    </row>
    <row r="2252" spans="2:16">
      <c r="B2252" s="19" t="s">
        <v>2430</v>
      </c>
      <c r="C2252" s="61" t="s">
        <v>4</v>
      </c>
      <c r="D2252" s="61"/>
      <c r="E2252" s="20" t="s">
        <v>233</v>
      </c>
      <c r="F2252" s="20" t="str">
        <f t="shared" si="184"/>
        <v>Block 02</v>
      </c>
      <c r="G2252" s="20" t="str">
        <f t="shared" si="183"/>
        <v>Lot 30</v>
      </c>
      <c r="H2252" s="19">
        <v>113</v>
      </c>
      <c r="I2252" s="19">
        <v>60</v>
      </c>
      <c r="J2252" s="20" t="s">
        <v>2367</v>
      </c>
      <c r="K2252" s="42" t="s">
        <v>2379</v>
      </c>
      <c r="L2252" s="36">
        <f>IFERROR(INDEX([4]JPH!$H$14:$AB$175,MATCH($B2252,[4]JPH!$H$14:$H$175,0),17),"NA")</f>
        <v>5262400</v>
      </c>
      <c r="M2252" s="36">
        <f>IFERROR(INDEX([4]JPH!$H$14:$AB$175,MATCH($B2252,[4]JPH!$H$14:$H$175,0),18),"NA")</f>
        <v>62400</v>
      </c>
      <c r="N2252" s="36">
        <f t="shared" si="180"/>
        <v>5200000</v>
      </c>
      <c r="O2252" s="36">
        <f t="shared" si="181"/>
        <v>624000</v>
      </c>
      <c r="P2252" s="60">
        <f t="shared" si="182"/>
        <v>4576000</v>
      </c>
    </row>
    <row r="2253" spans="2:16">
      <c r="B2253" s="19" t="s">
        <v>2431</v>
      </c>
      <c r="C2253" s="61" t="s">
        <v>4</v>
      </c>
      <c r="D2253" s="61"/>
      <c r="E2253" s="20" t="s">
        <v>243</v>
      </c>
      <c r="F2253" s="20" t="str">
        <f t="shared" si="184"/>
        <v>Block 02</v>
      </c>
      <c r="G2253" s="20" t="str">
        <f t="shared" si="183"/>
        <v>Lot 31</v>
      </c>
      <c r="H2253" s="19">
        <v>113</v>
      </c>
      <c r="I2253" s="19">
        <v>60</v>
      </c>
      <c r="J2253" s="20" t="s">
        <v>2367</v>
      </c>
      <c r="K2253" s="42" t="s">
        <v>2370</v>
      </c>
      <c r="L2253" s="36">
        <f>IFERROR(INDEX([4]JPH!$H$14:$AB$175,MATCH($B2253,[4]JPH!$H$14:$H$175,0),17),"NA")</f>
        <v>5262400</v>
      </c>
      <c r="M2253" s="36">
        <f>IFERROR(INDEX([4]JPH!$H$14:$AB$175,MATCH($B2253,[4]JPH!$H$14:$H$175,0),18),"NA")</f>
        <v>62400</v>
      </c>
      <c r="N2253" s="36">
        <f t="shared" si="180"/>
        <v>5200000</v>
      </c>
      <c r="O2253" s="36">
        <f t="shared" si="181"/>
        <v>624000</v>
      </c>
      <c r="P2253" s="60">
        <f t="shared" si="182"/>
        <v>4576000</v>
      </c>
    </row>
    <row r="2254" spans="2:16">
      <c r="B2254" s="19" t="s">
        <v>2432</v>
      </c>
      <c r="C2254" s="61" t="s">
        <v>4</v>
      </c>
      <c r="D2254" s="61"/>
      <c r="E2254" s="20" t="s">
        <v>205</v>
      </c>
      <c r="F2254" s="20" t="str">
        <f t="shared" si="184"/>
        <v>Block 02</v>
      </c>
      <c r="G2254" s="20" t="str">
        <f t="shared" si="183"/>
        <v>Lot 32</v>
      </c>
      <c r="H2254" s="19">
        <v>113</v>
      </c>
      <c r="I2254" s="19">
        <v>98</v>
      </c>
      <c r="J2254" s="20" t="s">
        <v>2364</v>
      </c>
      <c r="K2254" s="42" t="s">
        <v>2372</v>
      </c>
      <c r="L2254" s="36">
        <f>IFERROR(INDEX([4]JPH!$H$14:$AB$175,MATCH($B2254,[4]JPH!$H$14:$H$175,0),17),"NA")</f>
        <v>6589285.7142857146</v>
      </c>
      <c r="M2254" s="36">
        <f>IFERROR(INDEX([4]JPH!$H$14:$AB$175,MATCH($B2254,[4]JPH!$H$14:$H$175,0),18),"NA")</f>
        <v>500000</v>
      </c>
      <c r="N2254" s="36">
        <f t="shared" si="180"/>
        <v>6089285.7142857146</v>
      </c>
      <c r="O2254" s="36">
        <f t="shared" si="181"/>
        <v>730714.28571428568</v>
      </c>
      <c r="P2254" s="60">
        <f t="shared" si="182"/>
        <v>5358571.4285714291</v>
      </c>
    </row>
    <row r="2255" spans="2:16">
      <c r="B2255" s="19" t="s">
        <v>2433</v>
      </c>
      <c r="C2255" s="61" t="s">
        <v>4</v>
      </c>
      <c r="D2255" s="61"/>
      <c r="E2255" s="20" t="s">
        <v>205</v>
      </c>
      <c r="F2255" s="20" t="str">
        <f t="shared" si="184"/>
        <v>Block 03</v>
      </c>
      <c r="G2255" s="20" t="str">
        <f t="shared" si="183"/>
        <v>Lot 01</v>
      </c>
      <c r="H2255" s="19">
        <v>113</v>
      </c>
      <c r="I2255" s="19">
        <v>127</v>
      </c>
      <c r="J2255" s="20" t="s">
        <v>2364</v>
      </c>
      <c r="K2255" s="42" t="s">
        <v>2365</v>
      </c>
      <c r="L2255" s="36">
        <f>IFERROR(INDEX([4]JPH!$H$14:$AB$175,MATCH($B2255,[4]JPH!$H$14:$H$175,0),17),"NA")</f>
        <v>8089928</v>
      </c>
      <c r="M2255" s="36">
        <f>IFERROR(INDEX([4]JPH!$H$14:$AB$175,MATCH($B2255,[4]JPH!$H$14:$H$175,0),18),"NA")</f>
        <v>95928</v>
      </c>
      <c r="N2255" s="36">
        <f t="shared" si="180"/>
        <v>7994000</v>
      </c>
      <c r="O2255" s="36">
        <f t="shared" si="181"/>
        <v>959280</v>
      </c>
      <c r="P2255" s="60">
        <f t="shared" si="182"/>
        <v>7034720</v>
      </c>
    </row>
    <row r="2256" spans="2:16">
      <c r="B2256" s="19" t="s">
        <v>2434</v>
      </c>
      <c r="C2256" s="61" t="s">
        <v>4</v>
      </c>
      <c r="D2256" s="61"/>
      <c r="E2256" s="20" t="s">
        <v>205</v>
      </c>
      <c r="F2256" s="20" t="str">
        <f t="shared" si="184"/>
        <v>Block 03</v>
      </c>
      <c r="G2256" s="20" t="str">
        <f t="shared" si="183"/>
        <v>Lot 02</v>
      </c>
      <c r="H2256" s="19">
        <v>113</v>
      </c>
      <c r="I2256" s="19">
        <v>60</v>
      </c>
      <c r="J2256" s="20" t="s">
        <v>2367</v>
      </c>
      <c r="K2256" s="42" t="s">
        <v>2368</v>
      </c>
      <c r="L2256" s="36">
        <f>IFERROR(INDEX([4]JPH!$H$14:$AB$175,MATCH($B2256,[4]JPH!$H$14:$H$175,0),17),"NA")</f>
        <v>6476800</v>
      </c>
      <c r="M2256" s="36">
        <f>IFERROR(INDEX([4]JPH!$H$14:$AB$175,MATCH($B2256,[4]JPH!$H$14:$H$175,0),18),"NA")</f>
        <v>76800</v>
      </c>
      <c r="N2256" s="36">
        <f t="shared" ref="N2256:N2319" si="185">L2256-M2256</f>
        <v>6400000</v>
      </c>
      <c r="O2256" s="36">
        <f t="shared" ref="O2256:O2319" si="186">IF(N2256&lt;=3600000,0,N2256*12%)</f>
        <v>768000</v>
      </c>
      <c r="P2256" s="60">
        <f t="shared" ref="P2256:P2319" si="187">N2256-O2256</f>
        <v>5632000</v>
      </c>
    </row>
    <row r="2257" spans="2:16">
      <c r="B2257" s="19" t="s">
        <v>2435</v>
      </c>
      <c r="C2257" s="61" t="s">
        <v>4</v>
      </c>
      <c r="D2257" s="61"/>
      <c r="E2257" s="20" t="s">
        <v>205</v>
      </c>
      <c r="F2257" s="20" t="str">
        <f t="shared" si="184"/>
        <v>Block 03</v>
      </c>
      <c r="G2257" s="20" t="str">
        <f t="shared" si="183"/>
        <v>Lot 03</v>
      </c>
      <c r="H2257" s="19">
        <v>113</v>
      </c>
      <c r="I2257" s="19">
        <v>60</v>
      </c>
      <c r="J2257" s="20" t="s">
        <v>2367</v>
      </c>
      <c r="K2257" s="42" t="s">
        <v>2370</v>
      </c>
      <c r="L2257" s="36">
        <f>IFERROR(INDEX([4]JPH!$H$14:$AB$175,MATCH($B2257,[4]JPH!$H$14:$H$175,0),17),"NA")</f>
        <v>4810036</v>
      </c>
      <c r="M2257" s="36">
        <f>IFERROR(INDEX([4]JPH!$H$14:$AB$175,MATCH($B2257,[4]JPH!$H$14:$H$175,0),18),"NA")</f>
        <v>57036</v>
      </c>
      <c r="N2257" s="36">
        <f t="shared" si="185"/>
        <v>4753000</v>
      </c>
      <c r="O2257" s="36">
        <f t="shared" si="186"/>
        <v>570360</v>
      </c>
      <c r="P2257" s="60">
        <f t="shared" si="187"/>
        <v>4182640</v>
      </c>
    </row>
    <row r="2258" spans="2:16">
      <c r="B2258" s="19" t="s">
        <v>2436</v>
      </c>
      <c r="C2258" s="61" t="s">
        <v>4</v>
      </c>
      <c r="D2258" s="61"/>
      <c r="E2258" s="20" t="s">
        <v>205</v>
      </c>
      <c r="F2258" s="20" t="str">
        <f t="shared" si="184"/>
        <v>Block 03</v>
      </c>
      <c r="G2258" s="20" t="str">
        <f t="shared" si="183"/>
        <v>Lot 04</v>
      </c>
      <c r="H2258" s="19">
        <v>113</v>
      </c>
      <c r="I2258" s="19">
        <v>80</v>
      </c>
      <c r="J2258" s="20" t="s">
        <v>2364</v>
      </c>
      <c r="K2258" s="42" t="s">
        <v>2372</v>
      </c>
      <c r="L2258" s="36">
        <f>IFERROR(INDEX([4]JPH!$H$14:$AB$175,MATCH($B2258,[4]JPH!$H$14:$H$175,0),17),"NA")</f>
        <v>5677320</v>
      </c>
      <c r="M2258" s="36">
        <f>IFERROR(INDEX([4]JPH!$H$14:$AB$175,MATCH($B2258,[4]JPH!$H$14:$H$175,0),18),"NA")</f>
        <v>67320</v>
      </c>
      <c r="N2258" s="36">
        <f t="shared" si="185"/>
        <v>5610000</v>
      </c>
      <c r="O2258" s="36">
        <f t="shared" si="186"/>
        <v>673200</v>
      </c>
      <c r="P2258" s="60">
        <f t="shared" si="187"/>
        <v>4936800</v>
      </c>
    </row>
    <row r="2259" spans="2:16">
      <c r="B2259" s="19" t="s">
        <v>2437</v>
      </c>
      <c r="C2259" s="61" t="s">
        <v>4</v>
      </c>
      <c r="D2259" s="61"/>
      <c r="E2259" s="20" t="s">
        <v>205</v>
      </c>
      <c r="F2259" s="20" t="str">
        <f t="shared" si="184"/>
        <v>Block 03</v>
      </c>
      <c r="G2259" s="20" t="str">
        <f t="shared" si="183"/>
        <v>Lot 05</v>
      </c>
      <c r="H2259" s="19">
        <v>113</v>
      </c>
      <c r="I2259" s="19">
        <v>80</v>
      </c>
      <c r="J2259" s="20" t="s">
        <v>2364</v>
      </c>
      <c r="K2259" s="42" t="s">
        <v>2365</v>
      </c>
      <c r="L2259" s="36">
        <f>IFERROR(INDEX([4]JPH!$H$14:$AB$175,MATCH($B2259,[4]JPH!$H$14:$H$175,0),17),"NA")</f>
        <v>6395840</v>
      </c>
      <c r="M2259" s="36">
        <f>IFERROR(INDEX([4]JPH!$H$14:$AB$175,MATCH($B2259,[4]JPH!$H$14:$H$175,0),18),"NA")</f>
        <v>75840</v>
      </c>
      <c r="N2259" s="36">
        <f t="shared" si="185"/>
        <v>6320000</v>
      </c>
      <c r="O2259" s="36">
        <f t="shared" si="186"/>
        <v>758400</v>
      </c>
      <c r="P2259" s="60">
        <f t="shared" si="187"/>
        <v>5561600</v>
      </c>
    </row>
    <row r="2260" spans="2:16">
      <c r="B2260" s="19" t="s">
        <v>2438</v>
      </c>
      <c r="C2260" s="61" t="s">
        <v>4</v>
      </c>
      <c r="D2260" s="61"/>
      <c r="E2260" s="20" t="s">
        <v>205</v>
      </c>
      <c r="F2260" s="20" t="str">
        <f t="shared" si="184"/>
        <v>Block 03</v>
      </c>
      <c r="G2260" s="20" t="str">
        <f t="shared" si="183"/>
        <v>Lot 06</v>
      </c>
      <c r="H2260" s="19">
        <v>113</v>
      </c>
      <c r="I2260" s="19">
        <v>60</v>
      </c>
      <c r="J2260" s="20" t="s">
        <v>2367</v>
      </c>
      <c r="K2260" s="42" t="s">
        <v>2368</v>
      </c>
      <c r="L2260" s="36">
        <f>IFERROR(INDEX([4]JPH!$H$14:$AB$175,MATCH($B2260,[4]JPH!$H$14:$H$175,0),17),"NA")</f>
        <v>5590288</v>
      </c>
      <c r="M2260" s="36">
        <f>IFERROR(INDEX([4]JPH!$H$14:$AB$175,MATCH($B2260,[4]JPH!$H$14:$H$175,0),18),"NA")</f>
        <v>66288</v>
      </c>
      <c r="N2260" s="36">
        <f t="shared" si="185"/>
        <v>5524000</v>
      </c>
      <c r="O2260" s="36">
        <f t="shared" si="186"/>
        <v>662880</v>
      </c>
      <c r="P2260" s="60">
        <f t="shared" si="187"/>
        <v>4861120</v>
      </c>
    </row>
    <row r="2261" spans="2:16">
      <c r="B2261" s="19" t="s">
        <v>2439</v>
      </c>
      <c r="C2261" s="61" t="s">
        <v>4</v>
      </c>
      <c r="D2261" s="61"/>
      <c r="E2261" s="20" t="s">
        <v>205</v>
      </c>
      <c r="F2261" s="20" t="str">
        <f t="shared" si="184"/>
        <v>Block 03</v>
      </c>
      <c r="G2261" s="20" t="str">
        <f t="shared" si="183"/>
        <v>Lot 07</v>
      </c>
      <c r="H2261" s="19">
        <v>113</v>
      </c>
      <c r="I2261" s="19">
        <v>60</v>
      </c>
      <c r="J2261" s="20" t="s">
        <v>2367</v>
      </c>
      <c r="K2261" s="42" t="s">
        <v>2377</v>
      </c>
      <c r="L2261" s="36">
        <f>IFERROR(INDEX([4]JPH!$H$14:$AB$175,MATCH($B2261,[4]JPH!$H$14:$H$175,0),17),"NA")</f>
        <v>5060000</v>
      </c>
      <c r="M2261" s="36">
        <f>IFERROR(INDEX([4]JPH!$H$14:$AB$175,MATCH($B2261,[4]JPH!$H$14:$H$175,0),18),"NA")</f>
        <v>60000</v>
      </c>
      <c r="N2261" s="36">
        <f t="shared" si="185"/>
        <v>5000000</v>
      </c>
      <c r="O2261" s="36">
        <f t="shared" si="186"/>
        <v>600000</v>
      </c>
      <c r="P2261" s="60">
        <f t="shared" si="187"/>
        <v>4400000</v>
      </c>
    </row>
    <row r="2262" spans="2:16">
      <c r="B2262" s="19" t="s">
        <v>2440</v>
      </c>
      <c r="C2262" s="61" t="s">
        <v>4</v>
      </c>
      <c r="D2262" s="61"/>
      <c r="E2262" s="20" t="s">
        <v>205</v>
      </c>
      <c r="F2262" s="20" t="str">
        <f t="shared" si="184"/>
        <v>Block 03</v>
      </c>
      <c r="G2262" s="20" t="str">
        <f t="shared" si="183"/>
        <v>Lot 08</v>
      </c>
      <c r="H2262" s="19">
        <v>113</v>
      </c>
      <c r="I2262" s="19">
        <v>60</v>
      </c>
      <c r="J2262" s="20" t="s">
        <v>2367</v>
      </c>
      <c r="K2262" s="42" t="s">
        <v>2379</v>
      </c>
      <c r="L2262" s="36">
        <f>IFERROR(INDEX([4]JPH!$H$14:$AB$175,MATCH($B2262,[4]JPH!$H$14:$H$175,0),17),"NA")</f>
        <v>4810036</v>
      </c>
      <c r="M2262" s="36">
        <f>IFERROR(INDEX([4]JPH!$H$14:$AB$175,MATCH($B2262,[4]JPH!$H$14:$H$175,0),18),"NA")</f>
        <v>57036</v>
      </c>
      <c r="N2262" s="36">
        <f t="shared" si="185"/>
        <v>4753000</v>
      </c>
      <c r="O2262" s="36">
        <f t="shared" si="186"/>
        <v>570360</v>
      </c>
      <c r="P2262" s="60">
        <f t="shared" si="187"/>
        <v>4182640</v>
      </c>
    </row>
    <row r="2263" spans="2:16">
      <c r="B2263" s="19" t="s">
        <v>2441</v>
      </c>
      <c r="C2263" s="61" t="s">
        <v>4</v>
      </c>
      <c r="D2263" s="61"/>
      <c r="E2263" s="20" t="s">
        <v>205</v>
      </c>
      <c r="F2263" s="20" t="str">
        <f t="shared" si="184"/>
        <v>Block 03</v>
      </c>
      <c r="G2263" s="20" t="str">
        <f t="shared" si="183"/>
        <v>Lot 09</v>
      </c>
      <c r="H2263" s="19">
        <v>113</v>
      </c>
      <c r="I2263" s="19">
        <v>60</v>
      </c>
      <c r="J2263" s="20" t="s">
        <v>2367</v>
      </c>
      <c r="K2263" s="42" t="s">
        <v>2370</v>
      </c>
      <c r="L2263" s="36">
        <f>IFERROR(INDEX([4]JPH!$H$14:$AB$175,MATCH($B2263,[4]JPH!$H$14:$H$175,0),17),"NA")</f>
        <v>4958800</v>
      </c>
      <c r="M2263" s="36">
        <f>IFERROR(INDEX([4]JPH!$H$14:$AB$175,MATCH($B2263,[4]JPH!$H$14:$H$175,0),18),"NA")</f>
        <v>58800</v>
      </c>
      <c r="N2263" s="36">
        <f t="shared" si="185"/>
        <v>4900000</v>
      </c>
      <c r="O2263" s="36">
        <f t="shared" si="186"/>
        <v>588000</v>
      </c>
      <c r="P2263" s="60">
        <f t="shared" si="187"/>
        <v>4312000</v>
      </c>
    </row>
    <row r="2264" spans="2:16">
      <c r="B2264" s="19" t="s">
        <v>2442</v>
      </c>
      <c r="C2264" s="61" t="s">
        <v>4</v>
      </c>
      <c r="D2264" s="61"/>
      <c r="E2264" s="20" t="s">
        <v>205</v>
      </c>
      <c r="F2264" s="20" t="str">
        <f t="shared" si="184"/>
        <v>Block 03</v>
      </c>
      <c r="G2264" s="20" t="str">
        <f t="shared" ref="G2264:G2327" si="188">"Lot "&amp;TEXT(VALUE(RIGHT(B2264,3)),"00")</f>
        <v>Lot 10</v>
      </c>
      <c r="H2264" s="19">
        <v>113</v>
      </c>
      <c r="I2264" s="19">
        <v>80</v>
      </c>
      <c r="J2264" s="20" t="s">
        <v>2364</v>
      </c>
      <c r="K2264" s="42" t="s">
        <v>2372</v>
      </c>
      <c r="L2264" s="36">
        <f>IFERROR(INDEX([4]JPH!$H$14:$AB$175,MATCH($B2264,[4]JPH!$H$14:$H$175,0),17),"NA")</f>
        <v>5677320</v>
      </c>
      <c r="M2264" s="36">
        <f>IFERROR(INDEX([4]JPH!$H$14:$AB$175,MATCH($B2264,[4]JPH!$H$14:$H$175,0),18),"NA")</f>
        <v>67320</v>
      </c>
      <c r="N2264" s="36">
        <f t="shared" si="185"/>
        <v>5610000</v>
      </c>
      <c r="O2264" s="36">
        <f t="shared" si="186"/>
        <v>673200</v>
      </c>
      <c r="P2264" s="60">
        <f t="shared" si="187"/>
        <v>4936800</v>
      </c>
    </row>
    <row r="2265" spans="2:16">
      <c r="B2265" s="19" t="s">
        <v>2443</v>
      </c>
      <c r="C2265" s="61" t="s">
        <v>4</v>
      </c>
      <c r="D2265" s="61"/>
      <c r="E2265" s="20" t="s">
        <v>205</v>
      </c>
      <c r="F2265" s="20" t="str">
        <f t="shared" ref="F2265:F2328" si="189">"Block "&amp;TEXT(VALUE(MID(B2265,8,3)),"00")</f>
        <v>Block 03</v>
      </c>
      <c r="G2265" s="20" t="str">
        <f t="shared" si="188"/>
        <v>Lot 11</v>
      </c>
      <c r="H2265" s="19">
        <v>113</v>
      </c>
      <c r="I2265" s="19">
        <v>80</v>
      </c>
      <c r="J2265" s="20" t="s">
        <v>2374</v>
      </c>
      <c r="K2265" s="42" t="s">
        <v>2365</v>
      </c>
      <c r="L2265" s="36">
        <f>IFERROR(INDEX([4]JPH!$H$14:$AB$175,MATCH($B2265,[4]JPH!$H$14:$H$175,0),17),"NA")</f>
        <v>6395840</v>
      </c>
      <c r="M2265" s="36">
        <f>IFERROR(INDEX([4]JPH!$H$14:$AB$175,MATCH($B2265,[4]JPH!$H$14:$H$175,0),18),"NA")</f>
        <v>75840</v>
      </c>
      <c r="N2265" s="36">
        <f t="shared" si="185"/>
        <v>6320000</v>
      </c>
      <c r="O2265" s="36">
        <f t="shared" si="186"/>
        <v>758400</v>
      </c>
      <c r="P2265" s="60">
        <f t="shared" si="187"/>
        <v>5561600</v>
      </c>
    </row>
    <row r="2266" spans="2:16">
      <c r="B2266" s="19" t="s">
        <v>2444</v>
      </c>
      <c r="C2266" s="61" t="s">
        <v>4</v>
      </c>
      <c r="D2266" s="61"/>
      <c r="E2266" s="20" t="s">
        <v>205</v>
      </c>
      <c r="F2266" s="20" t="str">
        <f t="shared" si="189"/>
        <v>Block 03</v>
      </c>
      <c r="G2266" s="20" t="str">
        <f t="shared" si="188"/>
        <v>Lot 12</v>
      </c>
      <c r="H2266" s="19">
        <v>113</v>
      </c>
      <c r="I2266" s="19">
        <v>60</v>
      </c>
      <c r="J2266" s="20" t="s">
        <v>2367</v>
      </c>
      <c r="K2266" s="42" t="s">
        <v>2368</v>
      </c>
      <c r="L2266" s="36">
        <f>IFERROR(INDEX([4]JPH!$H$14:$AB$175,MATCH($B2266,[4]JPH!$H$14:$H$175,0),17),"NA")</f>
        <v>5667200</v>
      </c>
      <c r="M2266" s="36">
        <f>IFERROR(INDEX([4]JPH!$H$14:$AB$175,MATCH($B2266,[4]JPH!$H$14:$H$175,0),18),"NA")</f>
        <v>67200</v>
      </c>
      <c r="N2266" s="36">
        <f t="shared" si="185"/>
        <v>5600000</v>
      </c>
      <c r="O2266" s="36">
        <f t="shared" si="186"/>
        <v>672000</v>
      </c>
      <c r="P2266" s="60">
        <f t="shared" si="187"/>
        <v>4928000</v>
      </c>
    </row>
    <row r="2267" spans="2:16">
      <c r="B2267" s="19" t="s">
        <v>2445</v>
      </c>
      <c r="C2267" s="61" t="s">
        <v>4</v>
      </c>
      <c r="D2267" s="61"/>
      <c r="E2267" s="20" t="s">
        <v>205</v>
      </c>
      <c r="F2267" s="20" t="str">
        <f t="shared" si="189"/>
        <v>Block 03</v>
      </c>
      <c r="G2267" s="20" t="str">
        <f t="shared" si="188"/>
        <v>Lot 13</v>
      </c>
      <c r="H2267" s="19">
        <v>113</v>
      </c>
      <c r="I2267" s="19">
        <v>60</v>
      </c>
      <c r="J2267" s="20" t="s">
        <v>2367</v>
      </c>
      <c r="K2267" s="42" t="s">
        <v>2370</v>
      </c>
      <c r="L2267" s="36">
        <f>IFERROR(INDEX([4]JPH!$H$14:$AB$175,MATCH($B2267,[4]JPH!$H$14:$H$175,0),17),"NA")</f>
        <v>5590288</v>
      </c>
      <c r="M2267" s="36">
        <f>IFERROR(INDEX([4]JPH!$H$14:$AB$175,MATCH($B2267,[4]JPH!$H$14:$H$175,0),18),"NA")</f>
        <v>66288</v>
      </c>
      <c r="N2267" s="36">
        <f t="shared" si="185"/>
        <v>5524000</v>
      </c>
      <c r="O2267" s="36">
        <f t="shared" si="186"/>
        <v>662880</v>
      </c>
      <c r="P2267" s="60">
        <f t="shared" si="187"/>
        <v>4861120</v>
      </c>
    </row>
    <row r="2268" spans="2:16">
      <c r="B2268" s="19" t="s">
        <v>2446</v>
      </c>
      <c r="C2268" s="61" t="s">
        <v>4</v>
      </c>
      <c r="D2268" s="61"/>
      <c r="E2268" s="20" t="s">
        <v>205</v>
      </c>
      <c r="F2268" s="20" t="str">
        <f t="shared" si="189"/>
        <v>Block 03</v>
      </c>
      <c r="G2268" s="20" t="str">
        <f t="shared" si="188"/>
        <v>Lot 14</v>
      </c>
      <c r="H2268" s="19">
        <v>113</v>
      </c>
      <c r="I2268" s="19">
        <v>113</v>
      </c>
      <c r="J2268" s="20" t="s">
        <v>2364</v>
      </c>
      <c r="K2268" s="42" t="s">
        <v>2372</v>
      </c>
      <c r="L2268" s="36">
        <f>IFERROR(INDEX([4]JPH!$H$14:$AB$175,MATCH($B2268,[4]JPH!$H$14:$H$175,0),17),"NA")</f>
        <v>7544460</v>
      </c>
      <c r="M2268" s="36">
        <f>IFERROR(INDEX([4]JPH!$H$14:$AB$175,MATCH($B2268,[4]JPH!$H$14:$H$175,0),18),"NA")</f>
        <v>89460</v>
      </c>
      <c r="N2268" s="36">
        <f t="shared" si="185"/>
        <v>7455000</v>
      </c>
      <c r="O2268" s="36">
        <f t="shared" si="186"/>
        <v>894600</v>
      </c>
      <c r="P2268" s="60">
        <f t="shared" si="187"/>
        <v>6560400</v>
      </c>
    </row>
    <row r="2269" spans="2:16">
      <c r="B2269" s="19" t="s">
        <v>2447</v>
      </c>
      <c r="C2269" s="61" t="s">
        <v>4</v>
      </c>
      <c r="D2269" s="61"/>
      <c r="E2269" s="20" t="s">
        <v>205</v>
      </c>
      <c r="F2269" s="20" t="str">
        <f t="shared" si="189"/>
        <v>Block 03</v>
      </c>
      <c r="G2269" s="20" t="str">
        <f t="shared" si="188"/>
        <v>Lot 15</v>
      </c>
      <c r="H2269" s="19">
        <v>113</v>
      </c>
      <c r="I2269" s="19">
        <v>96</v>
      </c>
      <c r="J2269" s="20" t="s">
        <v>2364</v>
      </c>
      <c r="K2269" s="42" t="s">
        <v>2365</v>
      </c>
      <c r="L2269" s="36">
        <f>IFERROR(INDEX([4]JPH!$H$14:$AB$175,MATCH($B2269,[4]JPH!$H$14:$H$175,0),17),"NA")</f>
        <v>6695766.4443371436</v>
      </c>
      <c r="M2269" s="36">
        <f>IFERROR(INDEX([4]JPH!$H$14:$AB$175,MATCH($B2269,[4]JPH!$H$14:$H$175,0),18),"NA")</f>
        <v>79396.440051428581</v>
      </c>
      <c r="N2269" s="36">
        <f t="shared" si="185"/>
        <v>6616370.0042857146</v>
      </c>
      <c r="O2269" s="36">
        <f t="shared" si="186"/>
        <v>793964.40051428578</v>
      </c>
      <c r="P2269" s="60">
        <f t="shared" si="187"/>
        <v>5822405.6037714286</v>
      </c>
    </row>
    <row r="2270" spans="2:16">
      <c r="B2270" s="19" t="s">
        <v>2448</v>
      </c>
      <c r="C2270" s="61" t="s">
        <v>4</v>
      </c>
      <c r="D2270" s="61"/>
      <c r="E2270" s="20" t="s">
        <v>205</v>
      </c>
      <c r="F2270" s="20" t="str">
        <f t="shared" si="189"/>
        <v>Block 03</v>
      </c>
      <c r="G2270" s="20" t="str">
        <f t="shared" si="188"/>
        <v>Lot 16</v>
      </c>
      <c r="H2270" s="19">
        <v>113</v>
      </c>
      <c r="I2270" s="19">
        <v>60</v>
      </c>
      <c r="J2270" s="20" t="s">
        <v>2367</v>
      </c>
      <c r="K2270" s="42" t="s">
        <v>2368</v>
      </c>
      <c r="L2270" s="36">
        <f>IFERROR(INDEX([4]JPH!$H$14:$AB$175,MATCH($B2270,[4]JPH!$H$14:$H$175,0),17),"NA")</f>
        <v>6406972</v>
      </c>
      <c r="M2270" s="36">
        <f>IFERROR(INDEX([4]JPH!$H$14:$AB$175,MATCH($B2270,[4]JPH!$H$14:$H$175,0),18),"NA")</f>
        <v>75972</v>
      </c>
      <c r="N2270" s="36">
        <f t="shared" si="185"/>
        <v>6331000</v>
      </c>
      <c r="O2270" s="36">
        <f t="shared" si="186"/>
        <v>759720</v>
      </c>
      <c r="P2270" s="60">
        <f t="shared" si="187"/>
        <v>5571280</v>
      </c>
    </row>
    <row r="2271" spans="2:16">
      <c r="B2271" s="19" t="s">
        <v>2449</v>
      </c>
      <c r="C2271" s="61" t="s">
        <v>4</v>
      </c>
      <c r="D2271" s="61"/>
      <c r="E2271" s="20" t="s">
        <v>2413</v>
      </c>
      <c r="F2271" s="20" t="str">
        <f t="shared" si="189"/>
        <v>Block 03</v>
      </c>
      <c r="G2271" s="20" t="str">
        <f t="shared" si="188"/>
        <v>Lot 17</v>
      </c>
      <c r="H2271" s="19">
        <v>113</v>
      </c>
      <c r="I2271" s="19">
        <v>60</v>
      </c>
      <c r="J2271" s="20" t="s">
        <v>2367</v>
      </c>
      <c r="K2271" s="42" t="s">
        <v>2370</v>
      </c>
      <c r="L2271" s="36">
        <f>IFERROR(INDEX([4]JPH!$H$14:$AB$175,MATCH($B2271,[4]JPH!$H$14:$H$175,0),17),"NA")</f>
        <v>5792688</v>
      </c>
      <c r="M2271" s="36">
        <f>IFERROR(INDEX([4]JPH!$H$14:$AB$175,MATCH($B2271,[4]JPH!$H$14:$H$175,0),18),"NA")</f>
        <v>68688</v>
      </c>
      <c r="N2271" s="36">
        <f t="shared" si="185"/>
        <v>5724000</v>
      </c>
      <c r="O2271" s="36">
        <f t="shared" si="186"/>
        <v>686880</v>
      </c>
      <c r="P2271" s="60">
        <f t="shared" si="187"/>
        <v>5037120</v>
      </c>
    </row>
    <row r="2272" spans="2:16">
      <c r="B2272" s="19" t="s">
        <v>2450</v>
      </c>
      <c r="C2272" s="61" t="s">
        <v>4</v>
      </c>
      <c r="D2272" s="61"/>
      <c r="E2272" s="20" t="s">
        <v>233</v>
      </c>
      <c r="F2272" s="20" t="str">
        <f t="shared" si="189"/>
        <v>Block 03</v>
      </c>
      <c r="G2272" s="20" t="str">
        <f t="shared" si="188"/>
        <v>Lot 18</v>
      </c>
      <c r="H2272" s="19">
        <v>113</v>
      </c>
      <c r="I2272" s="19">
        <v>80</v>
      </c>
      <c r="J2272" s="20" t="s">
        <v>2364</v>
      </c>
      <c r="K2272" s="42" t="s">
        <v>2372</v>
      </c>
      <c r="L2272" s="36">
        <f>IFERROR(INDEX([4]JPH!$H$14:$AB$175,MATCH($B2272,[4]JPH!$H$14:$H$175,0),17),"NA")</f>
        <v>6589285.7142857146</v>
      </c>
      <c r="M2272" s="36">
        <f>IFERROR(INDEX([4]JPH!$H$14:$AB$175,MATCH($B2272,[4]JPH!$H$14:$H$175,0),18),"NA")</f>
        <v>500000</v>
      </c>
      <c r="N2272" s="36">
        <f t="shared" si="185"/>
        <v>6089285.7142857146</v>
      </c>
      <c r="O2272" s="36">
        <f t="shared" si="186"/>
        <v>730714.28571428568</v>
      </c>
      <c r="P2272" s="60">
        <f t="shared" si="187"/>
        <v>5358571.4285714291</v>
      </c>
    </row>
    <row r="2273" spans="2:16">
      <c r="B2273" s="19" t="s">
        <v>2451</v>
      </c>
      <c r="C2273" s="61" t="s">
        <v>4</v>
      </c>
      <c r="D2273" s="61"/>
      <c r="E2273" s="20" t="s">
        <v>205</v>
      </c>
      <c r="F2273" s="20" t="str">
        <f t="shared" si="189"/>
        <v>Block 03</v>
      </c>
      <c r="G2273" s="20" t="str">
        <f t="shared" si="188"/>
        <v>Lot 19</v>
      </c>
      <c r="H2273" s="19">
        <v>113</v>
      </c>
      <c r="I2273" s="19">
        <v>80</v>
      </c>
      <c r="J2273" s="20" t="s">
        <v>2364</v>
      </c>
      <c r="K2273" s="42" t="s">
        <v>2365</v>
      </c>
      <c r="L2273" s="36">
        <f>IFERROR(INDEX([4]JPH!$H$14:$AB$175,MATCH($B2273,[4]JPH!$H$14:$H$175,0),17),"NA")</f>
        <v>5778520</v>
      </c>
      <c r="M2273" s="36">
        <f>IFERROR(INDEX([4]JPH!$H$14:$AB$175,MATCH($B2273,[4]JPH!$H$14:$H$175,0),18),"NA")</f>
        <v>68520</v>
      </c>
      <c r="N2273" s="36">
        <f t="shared" si="185"/>
        <v>5710000</v>
      </c>
      <c r="O2273" s="36">
        <f t="shared" si="186"/>
        <v>685200</v>
      </c>
      <c r="P2273" s="60">
        <f t="shared" si="187"/>
        <v>5024800</v>
      </c>
    </row>
    <row r="2274" spans="2:16">
      <c r="B2274" s="19" t="s">
        <v>2452</v>
      </c>
      <c r="C2274" s="61" t="s">
        <v>4</v>
      </c>
      <c r="D2274" s="61"/>
      <c r="E2274" s="20" t="s">
        <v>205</v>
      </c>
      <c r="F2274" s="20" t="str">
        <f t="shared" si="189"/>
        <v>Block 03</v>
      </c>
      <c r="G2274" s="20" t="str">
        <f t="shared" si="188"/>
        <v>Lot 20</v>
      </c>
      <c r="H2274" s="19">
        <v>113</v>
      </c>
      <c r="I2274" s="19">
        <v>60</v>
      </c>
      <c r="J2274" s="20" t="s">
        <v>2367</v>
      </c>
      <c r="K2274" s="42" t="s">
        <v>2368</v>
      </c>
      <c r="L2274" s="36">
        <f>IFERROR(INDEX([4]JPH!$H$14:$AB$175,MATCH($B2274,[4]JPH!$H$14:$H$175,0),17),"NA")</f>
        <v>5792688</v>
      </c>
      <c r="M2274" s="36">
        <f>IFERROR(INDEX([4]JPH!$H$14:$AB$175,MATCH($B2274,[4]JPH!$H$14:$H$175,0),18),"NA")</f>
        <v>68688</v>
      </c>
      <c r="N2274" s="36">
        <f t="shared" si="185"/>
        <v>5724000</v>
      </c>
      <c r="O2274" s="36">
        <f t="shared" si="186"/>
        <v>686880</v>
      </c>
      <c r="P2274" s="60">
        <f t="shared" si="187"/>
        <v>5037120</v>
      </c>
    </row>
    <row r="2275" spans="2:16">
      <c r="B2275" s="19" t="s">
        <v>2453</v>
      </c>
      <c r="C2275" s="61" t="s">
        <v>4</v>
      </c>
      <c r="D2275" s="61"/>
      <c r="E2275" s="20" t="s">
        <v>205</v>
      </c>
      <c r="F2275" s="20" t="str">
        <f t="shared" si="189"/>
        <v>Block 03</v>
      </c>
      <c r="G2275" s="20" t="str">
        <f t="shared" si="188"/>
        <v>Lot 21</v>
      </c>
      <c r="H2275" s="19">
        <v>113</v>
      </c>
      <c r="I2275" s="19">
        <v>60</v>
      </c>
      <c r="J2275" s="20" t="s">
        <v>2367</v>
      </c>
      <c r="K2275" s="42" t="s">
        <v>2377</v>
      </c>
      <c r="L2275" s="36">
        <f>IFERROR(INDEX([4]JPH!$H$14:$AB$175,MATCH($B2275,[4]JPH!$H$14:$H$175,0),17),"NA")</f>
        <v>5792688</v>
      </c>
      <c r="M2275" s="36">
        <f>IFERROR(INDEX([4]JPH!$H$14:$AB$175,MATCH($B2275,[4]JPH!$H$14:$H$175,0),18),"NA")</f>
        <v>68688</v>
      </c>
      <c r="N2275" s="36">
        <f t="shared" si="185"/>
        <v>5724000</v>
      </c>
      <c r="O2275" s="36">
        <f t="shared" si="186"/>
        <v>686880</v>
      </c>
      <c r="P2275" s="60">
        <f t="shared" si="187"/>
        <v>5037120</v>
      </c>
    </row>
    <row r="2276" spans="2:16">
      <c r="B2276" s="19" t="s">
        <v>2454</v>
      </c>
      <c r="C2276" s="61" t="s">
        <v>4</v>
      </c>
      <c r="D2276" s="61"/>
      <c r="E2276" s="20" t="s">
        <v>205</v>
      </c>
      <c r="F2276" s="20" t="str">
        <f t="shared" si="189"/>
        <v>Block 03</v>
      </c>
      <c r="G2276" s="20" t="str">
        <f t="shared" si="188"/>
        <v>Lot 22</v>
      </c>
      <c r="H2276" s="19">
        <v>113</v>
      </c>
      <c r="I2276" s="19">
        <v>60</v>
      </c>
      <c r="J2276" s="20" t="s">
        <v>2367</v>
      </c>
      <c r="K2276" s="42" t="s">
        <v>2379</v>
      </c>
      <c r="L2276" s="36">
        <f>IFERROR(INDEX([4]JPH!$H$14:$AB$175,MATCH($B2276,[4]JPH!$H$14:$H$175,0),17),"NA")</f>
        <v>5792688</v>
      </c>
      <c r="M2276" s="36">
        <f>IFERROR(INDEX([4]JPH!$H$14:$AB$175,MATCH($B2276,[4]JPH!$H$14:$H$175,0),18),"NA")</f>
        <v>68688</v>
      </c>
      <c r="N2276" s="36">
        <f t="shared" si="185"/>
        <v>5724000</v>
      </c>
      <c r="O2276" s="36">
        <f t="shared" si="186"/>
        <v>686880</v>
      </c>
      <c r="P2276" s="60">
        <f t="shared" si="187"/>
        <v>5037120</v>
      </c>
    </row>
    <row r="2277" spans="2:16">
      <c r="B2277" s="19" t="s">
        <v>2455</v>
      </c>
      <c r="C2277" s="61" t="s">
        <v>4</v>
      </c>
      <c r="D2277" s="61"/>
      <c r="E2277" s="20" t="s">
        <v>205</v>
      </c>
      <c r="F2277" s="20" t="str">
        <f t="shared" si="189"/>
        <v>Block 03</v>
      </c>
      <c r="G2277" s="20" t="str">
        <f t="shared" si="188"/>
        <v>Lot 23</v>
      </c>
      <c r="H2277" s="19">
        <v>113</v>
      </c>
      <c r="I2277" s="19">
        <v>60</v>
      </c>
      <c r="J2277" s="20" t="s">
        <v>2367</v>
      </c>
      <c r="K2277" s="42" t="s">
        <v>2370</v>
      </c>
      <c r="L2277" s="36">
        <f>IFERROR(INDEX([4]JPH!$H$14:$AB$175,MATCH($B2277,[4]JPH!$H$14:$H$175,0),17),"NA")</f>
        <v>6375043.4000000004</v>
      </c>
      <c r="M2277" s="36">
        <f>IFERROR(INDEX([4]JPH!$H$14:$AB$175,MATCH($B2277,[4]JPH!$H$14:$H$175,0),18),"NA")</f>
        <v>75593.400000000009</v>
      </c>
      <c r="N2277" s="36">
        <f t="shared" si="185"/>
        <v>6299450</v>
      </c>
      <c r="O2277" s="36">
        <f t="shared" si="186"/>
        <v>755934</v>
      </c>
      <c r="P2277" s="60">
        <f t="shared" si="187"/>
        <v>5543516</v>
      </c>
    </row>
    <row r="2278" spans="2:16">
      <c r="B2278" s="19" t="s">
        <v>2456</v>
      </c>
      <c r="C2278" s="61" t="s">
        <v>4</v>
      </c>
      <c r="D2278" s="61"/>
      <c r="E2278" s="20" t="s">
        <v>2413</v>
      </c>
      <c r="F2278" s="20" t="str">
        <f t="shared" si="189"/>
        <v>Block 03</v>
      </c>
      <c r="G2278" s="20" t="str">
        <f t="shared" si="188"/>
        <v>Lot 24</v>
      </c>
      <c r="H2278" s="19">
        <v>113</v>
      </c>
      <c r="I2278" s="19">
        <v>80</v>
      </c>
      <c r="J2278" s="20" t="s">
        <v>2364</v>
      </c>
      <c r="K2278" s="42" t="s">
        <v>2372</v>
      </c>
      <c r="L2278" s="36">
        <f>IFERROR(INDEX([4]JPH!$H$14:$AB$175,MATCH($B2278,[4]JPH!$H$14:$H$175,0),17),"NA")</f>
        <v>6598240</v>
      </c>
      <c r="M2278" s="36">
        <f>IFERROR(INDEX([4]JPH!$H$14:$AB$175,MATCH($B2278,[4]JPH!$H$14:$H$175,0),18),"NA")</f>
        <v>78240</v>
      </c>
      <c r="N2278" s="36">
        <f t="shared" si="185"/>
        <v>6520000</v>
      </c>
      <c r="O2278" s="36">
        <f t="shared" si="186"/>
        <v>782400</v>
      </c>
      <c r="P2278" s="60">
        <f t="shared" si="187"/>
        <v>5737600</v>
      </c>
    </row>
    <row r="2279" spans="2:16">
      <c r="B2279" s="19" t="s">
        <v>2457</v>
      </c>
      <c r="C2279" s="61" t="s">
        <v>4</v>
      </c>
      <c r="D2279" s="61"/>
      <c r="E2279" s="20" t="s">
        <v>205</v>
      </c>
      <c r="F2279" s="20" t="str">
        <f t="shared" si="189"/>
        <v>Block 03</v>
      </c>
      <c r="G2279" s="20" t="str">
        <f t="shared" si="188"/>
        <v>Lot 25</v>
      </c>
      <c r="H2279" s="19">
        <v>113</v>
      </c>
      <c r="I2279" s="19">
        <v>80</v>
      </c>
      <c r="J2279" s="20" t="s">
        <v>2364</v>
      </c>
      <c r="K2279" s="42" t="s">
        <v>2365</v>
      </c>
      <c r="L2279" s="36">
        <f>IFERROR(INDEX([4]JPH!$H$14:$AB$175,MATCH($B2279,[4]JPH!$H$14:$H$175,0),17),"NA")</f>
        <v>6466275.2000000002</v>
      </c>
      <c r="M2279" s="36">
        <f>IFERROR(INDEX([4]JPH!$H$14:$AB$175,MATCH($B2279,[4]JPH!$H$14:$H$175,0),18),"NA")</f>
        <v>76675.199999999997</v>
      </c>
      <c r="N2279" s="36">
        <f t="shared" si="185"/>
        <v>6389600</v>
      </c>
      <c r="O2279" s="36">
        <f t="shared" si="186"/>
        <v>766752</v>
      </c>
      <c r="P2279" s="60">
        <f t="shared" si="187"/>
        <v>5622848</v>
      </c>
    </row>
    <row r="2280" spans="2:16">
      <c r="B2280" s="19" t="s">
        <v>2458</v>
      </c>
      <c r="C2280" s="61" t="s">
        <v>4</v>
      </c>
      <c r="D2280" s="61"/>
      <c r="E2280" s="20" t="s">
        <v>233</v>
      </c>
      <c r="F2280" s="20" t="str">
        <f t="shared" si="189"/>
        <v>Block 03</v>
      </c>
      <c r="G2280" s="20" t="str">
        <f t="shared" si="188"/>
        <v>Lot 26</v>
      </c>
      <c r="H2280" s="19">
        <v>113</v>
      </c>
      <c r="I2280" s="19">
        <v>60</v>
      </c>
      <c r="J2280" s="20" t="s">
        <v>2367</v>
      </c>
      <c r="K2280" s="42" t="s">
        <v>2368</v>
      </c>
      <c r="L2280" s="36">
        <f>IFERROR(INDEX([4]JPH!$H$14:$AB$175,MATCH($B2280,[4]JPH!$H$14:$H$175,0),17),"NA")</f>
        <v>5262400</v>
      </c>
      <c r="M2280" s="36">
        <f>IFERROR(INDEX([4]JPH!$H$14:$AB$175,MATCH($B2280,[4]JPH!$H$14:$H$175,0),18),"NA")</f>
        <v>62400</v>
      </c>
      <c r="N2280" s="36">
        <f t="shared" si="185"/>
        <v>5200000</v>
      </c>
      <c r="O2280" s="36">
        <f t="shared" si="186"/>
        <v>624000</v>
      </c>
      <c r="P2280" s="60">
        <f t="shared" si="187"/>
        <v>4576000</v>
      </c>
    </row>
    <row r="2281" spans="2:16">
      <c r="B2281" s="19" t="s">
        <v>2459</v>
      </c>
      <c r="C2281" s="61" t="s">
        <v>4</v>
      </c>
      <c r="D2281" s="61"/>
      <c r="E2281" s="20" t="s">
        <v>233</v>
      </c>
      <c r="F2281" s="20" t="str">
        <f t="shared" si="189"/>
        <v>Block 03</v>
      </c>
      <c r="G2281" s="20" t="str">
        <f t="shared" si="188"/>
        <v>Lot 27</v>
      </c>
      <c r="H2281" s="19">
        <v>113</v>
      </c>
      <c r="I2281" s="19">
        <v>60</v>
      </c>
      <c r="J2281" s="20" t="s">
        <v>2367</v>
      </c>
      <c r="K2281" s="42" t="s">
        <v>2377</v>
      </c>
      <c r="L2281" s="36">
        <f>IFERROR(INDEX([4]JPH!$H$14:$AB$175,MATCH($B2281,[4]JPH!$H$14:$H$175,0),17),"NA")</f>
        <v>5262400</v>
      </c>
      <c r="M2281" s="36">
        <f>IFERROR(INDEX([4]JPH!$H$14:$AB$175,MATCH($B2281,[4]JPH!$H$14:$H$175,0),18),"NA")</f>
        <v>62400</v>
      </c>
      <c r="N2281" s="36">
        <f t="shared" si="185"/>
        <v>5200000</v>
      </c>
      <c r="O2281" s="36">
        <f t="shared" si="186"/>
        <v>624000</v>
      </c>
      <c r="P2281" s="60">
        <f t="shared" si="187"/>
        <v>4576000</v>
      </c>
    </row>
    <row r="2282" spans="2:16">
      <c r="B2282" s="19" t="s">
        <v>2460</v>
      </c>
      <c r="C2282" s="61" t="s">
        <v>4</v>
      </c>
      <c r="D2282" s="61"/>
      <c r="E2282" s="20" t="s">
        <v>205</v>
      </c>
      <c r="F2282" s="20" t="str">
        <f t="shared" si="189"/>
        <v>Block 03</v>
      </c>
      <c r="G2282" s="20" t="str">
        <f t="shared" si="188"/>
        <v>Lot 28</v>
      </c>
      <c r="H2282" s="19">
        <v>113</v>
      </c>
      <c r="I2282" s="19">
        <v>60</v>
      </c>
      <c r="J2282" s="20" t="s">
        <v>2367</v>
      </c>
      <c r="K2282" s="42" t="s">
        <v>2379</v>
      </c>
      <c r="L2282" s="36">
        <f>IFERROR(INDEX([4]JPH!$H$14:$AB$175,MATCH($B2282,[4]JPH!$H$14:$H$175,0),17),"NA")</f>
        <v>5792688</v>
      </c>
      <c r="M2282" s="36">
        <f>IFERROR(INDEX([4]JPH!$H$14:$AB$175,MATCH($B2282,[4]JPH!$H$14:$H$175,0),18),"NA")</f>
        <v>68688</v>
      </c>
      <c r="N2282" s="36">
        <f t="shared" si="185"/>
        <v>5724000</v>
      </c>
      <c r="O2282" s="36">
        <f t="shared" si="186"/>
        <v>686880</v>
      </c>
      <c r="P2282" s="60">
        <f t="shared" si="187"/>
        <v>5037120</v>
      </c>
    </row>
    <row r="2283" spans="2:16">
      <c r="B2283" s="19" t="s">
        <v>2461</v>
      </c>
      <c r="C2283" s="61" t="s">
        <v>4</v>
      </c>
      <c r="D2283" s="61"/>
      <c r="E2283" s="20" t="s">
        <v>205</v>
      </c>
      <c r="F2283" s="20" t="str">
        <f t="shared" si="189"/>
        <v>Block 03</v>
      </c>
      <c r="G2283" s="20" t="str">
        <f t="shared" si="188"/>
        <v>Lot 29</v>
      </c>
      <c r="H2283" s="19">
        <v>113</v>
      </c>
      <c r="I2283" s="19">
        <v>60</v>
      </c>
      <c r="J2283" s="20" t="s">
        <v>2395</v>
      </c>
      <c r="K2283" s="42" t="s">
        <v>2370</v>
      </c>
      <c r="L2283" s="36">
        <f>IFERROR(INDEX([4]JPH!$H$14:$AB$175,MATCH($B2283,[4]JPH!$H$14:$H$175,0),17),"NA")</f>
        <v>6476800.0043371432</v>
      </c>
      <c r="M2283" s="36">
        <f>IFERROR(INDEX([4]JPH!$H$14:$AB$175,MATCH($B2283,[4]JPH!$H$14:$H$175,0),18),"NA")</f>
        <v>76800.000051428578</v>
      </c>
      <c r="N2283" s="36">
        <f t="shared" si="185"/>
        <v>6400000.0042857146</v>
      </c>
      <c r="O2283" s="36">
        <f t="shared" si="186"/>
        <v>768000.00051428576</v>
      </c>
      <c r="P2283" s="60">
        <f t="shared" si="187"/>
        <v>5632000.003771429</v>
      </c>
    </row>
    <row r="2284" spans="2:16">
      <c r="B2284" s="19" t="s">
        <v>2462</v>
      </c>
      <c r="C2284" s="61" t="s">
        <v>4</v>
      </c>
      <c r="D2284" s="61"/>
      <c r="E2284" s="20" t="s">
        <v>205</v>
      </c>
      <c r="F2284" s="20" t="str">
        <f t="shared" si="189"/>
        <v>Block 03</v>
      </c>
      <c r="G2284" s="20" t="str">
        <f t="shared" si="188"/>
        <v>Lot 30</v>
      </c>
      <c r="H2284" s="19">
        <v>113</v>
      </c>
      <c r="I2284" s="19">
        <v>123</v>
      </c>
      <c r="J2284" s="20" t="s">
        <v>2374</v>
      </c>
      <c r="K2284" s="42" t="s">
        <v>2372</v>
      </c>
      <c r="L2284" s="36">
        <f>IFERROR(INDEX([4]JPH!$H$14:$AB$175,MATCH($B2284,[4]JPH!$H$14:$H$175,0),17),"NA")</f>
        <v>8266016</v>
      </c>
      <c r="M2284" s="36">
        <f>IFERROR(INDEX([4]JPH!$H$14:$AB$175,MATCH($B2284,[4]JPH!$H$14:$H$175,0),18),"NA")</f>
        <v>98016</v>
      </c>
      <c r="N2284" s="36">
        <f t="shared" si="185"/>
        <v>8168000</v>
      </c>
      <c r="O2284" s="36">
        <f t="shared" si="186"/>
        <v>980160</v>
      </c>
      <c r="P2284" s="60">
        <f t="shared" si="187"/>
        <v>7187840</v>
      </c>
    </row>
    <row r="2285" spans="2:16">
      <c r="B2285" s="19" t="s">
        <v>2463</v>
      </c>
      <c r="C2285" s="61" t="s">
        <v>4</v>
      </c>
      <c r="D2285" s="61"/>
      <c r="E2285" s="20" t="s">
        <v>22</v>
      </c>
      <c r="F2285" s="20" t="str">
        <f t="shared" si="189"/>
        <v>Block 04</v>
      </c>
      <c r="G2285" s="20" t="str">
        <f t="shared" si="188"/>
        <v>Lot 01</v>
      </c>
      <c r="H2285" s="19">
        <v>113</v>
      </c>
      <c r="I2285" s="19">
        <v>139</v>
      </c>
      <c r="J2285" s="43" t="s">
        <v>2464</v>
      </c>
      <c r="K2285" s="42" t="s">
        <v>2365</v>
      </c>
      <c r="L2285" s="36">
        <f>IFERROR(INDEX([4]JPH!$H$14:$AB$175,MATCH($B2285,[4]JPH!$H$14:$H$175,0),17),"NA")</f>
        <v>12845316</v>
      </c>
      <c r="M2285" s="36">
        <f>IFERROR(INDEX([4]JPH!$H$14:$AB$175,MATCH($B2285,[4]JPH!$H$14:$H$175,0),18),"NA")</f>
        <v>152316</v>
      </c>
      <c r="N2285" s="36">
        <f t="shared" si="185"/>
        <v>12693000</v>
      </c>
      <c r="O2285" s="36">
        <f t="shared" si="186"/>
        <v>1523160</v>
      </c>
      <c r="P2285" s="60">
        <f t="shared" si="187"/>
        <v>11169840</v>
      </c>
    </row>
    <row r="2286" spans="2:16">
      <c r="B2286" s="19" t="s">
        <v>2465</v>
      </c>
      <c r="C2286" s="61" t="s">
        <v>4</v>
      </c>
      <c r="D2286" s="61"/>
      <c r="E2286" s="20" t="s">
        <v>22</v>
      </c>
      <c r="F2286" s="20" t="str">
        <f t="shared" si="189"/>
        <v>Block 04</v>
      </c>
      <c r="G2286" s="20" t="str">
        <f t="shared" si="188"/>
        <v>Lot 02</v>
      </c>
      <c r="H2286" s="19">
        <v>113</v>
      </c>
      <c r="I2286" s="19">
        <v>90</v>
      </c>
      <c r="J2286" s="43" t="s">
        <v>2466</v>
      </c>
      <c r="K2286" s="42" t="s">
        <v>2377</v>
      </c>
      <c r="L2286" s="36">
        <f>IFERROR(INDEX([4]JPH!$H$14:$AB$175,MATCH($B2286,[4]JPH!$H$14:$H$175,0),17),"NA")</f>
        <v>11243320</v>
      </c>
      <c r="M2286" s="36">
        <f>IFERROR(INDEX([4]JPH!$H$14:$AB$175,MATCH($B2286,[4]JPH!$H$14:$H$175,0),18),"NA")</f>
        <v>133320</v>
      </c>
      <c r="N2286" s="36">
        <f t="shared" si="185"/>
        <v>11110000</v>
      </c>
      <c r="O2286" s="36">
        <f t="shared" si="186"/>
        <v>1333200</v>
      </c>
      <c r="P2286" s="60">
        <f t="shared" si="187"/>
        <v>9776800</v>
      </c>
    </row>
    <row r="2287" spans="2:16">
      <c r="B2287" s="19" t="s">
        <v>2467</v>
      </c>
      <c r="C2287" s="61" t="s">
        <v>4</v>
      </c>
      <c r="D2287" s="61"/>
      <c r="E2287" s="20" t="s">
        <v>22</v>
      </c>
      <c r="F2287" s="20" t="str">
        <f t="shared" si="189"/>
        <v>Block 04</v>
      </c>
      <c r="G2287" s="20" t="str">
        <f t="shared" si="188"/>
        <v>Lot 03</v>
      </c>
      <c r="H2287" s="19">
        <v>113</v>
      </c>
      <c r="I2287" s="19">
        <v>177</v>
      </c>
      <c r="J2287" s="43" t="s">
        <v>2464</v>
      </c>
      <c r="K2287" s="42" t="s">
        <v>2372</v>
      </c>
      <c r="L2287" s="36">
        <f>IFERROR(INDEX([4]JPH!$H$14:$AB$175,MATCH($B2287,[4]JPH!$H$14:$H$175,0),17),"NA")</f>
        <v>14195324</v>
      </c>
      <c r="M2287" s="36">
        <f>IFERROR(INDEX([4]JPH!$H$14:$AB$175,MATCH($B2287,[4]JPH!$H$14:$H$175,0),18),"NA")</f>
        <v>168324</v>
      </c>
      <c r="N2287" s="36">
        <f t="shared" si="185"/>
        <v>14027000</v>
      </c>
      <c r="O2287" s="36">
        <f t="shared" si="186"/>
        <v>1683240</v>
      </c>
      <c r="P2287" s="60">
        <f t="shared" si="187"/>
        <v>12343760</v>
      </c>
    </row>
    <row r="2288" spans="2:16">
      <c r="B2288" s="19" t="s">
        <v>2468</v>
      </c>
      <c r="C2288" s="61" t="s">
        <v>4</v>
      </c>
      <c r="D2288" s="61"/>
      <c r="E2288" s="20" t="s">
        <v>205</v>
      </c>
      <c r="F2288" s="20" t="str">
        <f t="shared" si="189"/>
        <v>Block 05</v>
      </c>
      <c r="G2288" s="20" t="str">
        <f t="shared" si="188"/>
        <v>Lot 01</v>
      </c>
      <c r="H2288" s="19">
        <v>113</v>
      </c>
      <c r="I2288" s="19">
        <v>142</v>
      </c>
      <c r="J2288" s="20" t="s">
        <v>2374</v>
      </c>
      <c r="K2288" s="42" t="s">
        <v>2365</v>
      </c>
      <c r="L2288" s="36">
        <f>IFERROR(INDEX([4]JPH!$H$14:$AB$175,MATCH($B2288,[4]JPH!$H$14:$H$175,0),17),"NA")</f>
        <v>8869168</v>
      </c>
      <c r="M2288" s="36">
        <f>IFERROR(INDEX([4]JPH!$H$14:$AB$175,MATCH($B2288,[4]JPH!$H$14:$H$175,0),18),"NA")</f>
        <v>105168</v>
      </c>
      <c r="N2288" s="36">
        <f t="shared" si="185"/>
        <v>8764000</v>
      </c>
      <c r="O2288" s="36">
        <f t="shared" si="186"/>
        <v>1051680</v>
      </c>
      <c r="P2288" s="60">
        <f t="shared" si="187"/>
        <v>7712320</v>
      </c>
    </row>
    <row r="2289" spans="2:16">
      <c r="B2289" s="19" t="s">
        <v>2469</v>
      </c>
      <c r="C2289" s="61" t="s">
        <v>4</v>
      </c>
      <c r="D2289" s="61"/>
      <c r="E2289" s="20" t="s">
        <v>2413</v>
      </c>
      <c r="F2289" s="20" t="str">
        <f t="shared" si="189"/>
        <v>Block 05</v>
      </c>
      <c r="G2289" s="20" t="str">
        <f t="shared" si="188"/>
        <v>Lot 02</v>
      </c>
      <c r="H2289" s="19">
        <v>113</v>
      </c>
      <c r="I2289" s="19">
        <v>76</v>
      </c>
      <c r="J2289" s="20" t="s">
        <v>2367</v>
      </c>
      <c r="K2289" s="42" t="s">
        <v>2368</v>
      </c>
      <c r="L2289" s="36">
        <f>IFERROR(INDEX([4]JPH!$H$14:$AB$175,MATCH($B2289,[4]JPH!$H$14:$H$175,0),17),"NA")</f>
        <v>5599626.2300000004</v>
      </c>
      <c r="M2289" s="36">
        <f>IFERROR(INDEX([4]JPH!$H$14:$AB$175,MATCH($B2289,[4]JPH!$H$14:$H$175,0),18),"NA")</f>
        <v>66398.73</v>
      </c>
      <c r="N2289" s="36">
        <f t="shared" si="185"/>
        <v>5533227.5</v>
      </c>
      <c r="O2289" s="36">
        <f t="shared" si="186"/>
        <v>663987.29999999993</v>
      </c>
      <c r="P2289" s="60">
        <f t="shared" si="187"/>
        <v>4869240.2</v>
      </c>
    </row>
    <row r="2290" spans="2:16">
      <c r="B2290" s="19" t="s">
        <v>2470</v>
      </c>
      <c r="C2290" s="61" t="s">
        <v>4</v>
      </c>
      <c r="D2290" s="61"/>
      <c r="E2290" s="20" t="s">
        <v>205</v>
      </c>
      <c r="F2290" s="20" t="str">
        <f t="shared" si="189"/>
        <v>Block 05</v>
      </c>
      <c r="G2290" s="20" t="str">
        <f t="shared" si="188"/>
        <v>Lot 03</v>
      </c>
      <c r="H2290" s="19">
        <v>113</v>
      </c>
      <c r="I2290" s="19">
        <v>74</v>
      </c>
      <c r="J2290" s="20" t="s">
        <v>2367</v>
      </c>
      <c r="K2290" s="42" t="s">
        <v>2370</v>
      </c>
      <c r="L2290" s="36">
        <f>IFERROR(INDEX([4]JPH!$H$14:$AB$175,MATCH($B2290,[4]JPH!$H$14:$H$175,0),17),"NA")</f>
        <v>5108033.8614800004</v>
      </c>
      <c r="M2290" s="36">
        <f>IFERROR(INDEX([4]JPH!$H$14:$AB$175,MATCH($B2290,[4]JPH!$H$14:$H$175,0),18),"NA")</f>
        <v>60569.571479999999</v>
      </c>
      <c r="N2290" s="36">
        <f t="shared" si="185"/>
        <v>5047464.29</v>
      </c>
      <c r="O2290" s="36">
        <f t="shared" si="186"/>
        <v>605695.71479999996</v>
      </c>
      <c r="P2290" s="60">
        <f t="shared" si="187"/>
        <v>4441768.5751999998</v>
      </c>
    </row>
    <row r="2291" spans="2:16">
      <c r="B2291" s="19" t="s">
        <v>2471</v>
      </c>
      <c r="C2291" s="61" t="s">
        <v>4</v>
      </c>
      <c r="D2291" s="61"/>
      <c r="E2291" s="20" t="s">
        <v>205</v>
      </c>
      <c r="F2291" s="20" t="str">
        <f t="shared" si="189"/>
        <v>Block 05</v>
      </c>
      <c r="G2291" s="20" t="str">
        <f t="shared" si="188"/>
        <v>Lot 04</v>
      </c>
      <c r="H2291" s="19">
        <v>113</v>
      </c>
      <c r="I2291" s="19">
        <v>98</v>
      </c>
      <c r="J2291" s="20" t="s">
        <v>2364</v>
      </c>
      <c r="K2291" s="42" t="s">
        <v>2372</v>
      </c>
      <c r="L2291" s="36">
        <f>IFERROR(INDEX([4]JPH!$H$14:$AB$175,MATCH($B2291,[4]JPH!$H$14:$H$175,0),17),"NA")</f>
        <v>5137725.2128400002</v>
      </c>
      <c r="M2291" s="36">
        <f>IFERROR(INDEX([4]JPH!$H$14:$AB$175,MATCH($B2291,[4]JPH!$H$14:$H$175,0),18),"NA")</f>
        <v>60921.642840000008</v>
      </c>
      <c r="N2291" s="36">
        <f t="shared" si="185"/>
        <v>5076803.57</v>
      </c>
      <c r="O2291" s="36">
        <f t="shared" si="186"/>
        <v>609216.42839999998</v>
      </c>
      <c r="P2291" s="60">
        <f t="shared" si="187"/>
        <v>4467587.1416000007</v>
      </c>
    </row>
    <row r="2292" spans="2:16">
      <c r="B2292" s="19" t="s">
        <v>2472</v>
      </c>
      <c r="C2292" s="61" t="s">
        <v>4</v>
      </c>
      <c r="D2292" s="61"/>
      <c r="E2292" s="20" t="s">
        <v>205</v>
      </c>
      <c r="F2292" s="20" t="str">
        <f t="shared" si="189"/>
        <v>Block 05</v>
      </c>
      <c r="G2292" s="20" t="str">
        <f t="shared" si="188"/>
        <v>Lot 05</v>
      </c>
      <c r="H2292" s="19">
        <v>113</v>
      </c>
      <c r="I2292" s="19">
        <v>102</v>
      </c>
      <c r="J2292" s="20" t="s">
        <v>2364</v>
      </c>
      <c r="K2292" s="42" t="s">
        <v>2365</v>
      </c>
      <c r="L2292" s="36">
        <f>IFERROR(INDEX([4]JPH!$H$14:$AB$175,MATCH($B2292,[4]JPH!$H$14:$H$175,0),17),"NA")</f>
        <v>7902708</v>
      </c>
      <c r="M2292" s="36">
        <f>IFERROR(INDEX([4]JPH!$H$14:$AB$175,MATCH($B2292,[4]JPH!$H$14:$H$175,0),18),"NA")</f>
        <v>93708</v>
      </c>
      <c r="N2292" s="36">
        <f t="shared" si="185"/>
        <v>7809000</v>
      </c>
      <c r="O2292" s="36">
        <f t="shared" si="186"/>
        <v>937080</v>
      </c>
      <c r="P2292" s="60">
        <f t="shared" si="187"/>
        <v>6871920</v>
      </c>
    </row>
    <row r="2293" spans="2:16">
      <c r="B2293" s="19" t="s">
        <v>2473</v>
      </c>
      <c r="C2293" s="61" t="s">
        <v>4</v>
      </c>
      <c r="D2293" s="61"/>
      <c r="E2293" s="20" t="s">
        <v>233</v>
      </c>
      <c r="F2293" s="20" t="str">
        <f t="shared" si="189"/>
        <v>Block 05</v>
      </c>
      <c r="G2293" s="20" t="str">
        <f t="shared" si="188"/>
        <v>Lot 06</v>
      </c>
      <c r="H2293" s="19">
        <v>113</v>
      </c>
      <c r="I2293" s="19">
        <v>76</v>
      </c>
      <c r="J2293" s="20" t="s">
        <v>2367</v>
      </c>
      <c r="K2293" s="42" t="s">
        <v>2368</v>
      </c>
      <c r="L2293" s="36">
        <f>IFERROR(INDEX([4]JPH!$H$14:$AB$175,MATCH($B2293,[4]JPH!$H$14:$H$175,0),17),"NA")</f>
        <v>5262400</v>
      </c>
      <c r="M2293" s="36">
        <f>IFERROR(INDEX([4]JPH!$H$14:$AB$175,MATCH($B2293,[4]JPH!$H$14:$H$175,0),18),"NA")</f>
        <v>62400</v>
      </c>
      <c r="N2293" s="36">
        <f t="shared" si="185"/>
        <v>5200000</v>
      </c>
      <c r="O2293" s="36">
        <f t="shared" si="186"/>
        <v>624000</v>
      </c>
      <c r="P2293" s="60">
        <f t="shared" si="187"/>
        <v>4576000</v>
      </c>
    </row>
    <row r="2294" spans="2:16">
      <c r="B2294" s="19" t="s">
        <v>2474</v>
      </c>
      <c r="C2294" s="61" t="s">
        <v>4</v>
      </c>
      <c r="D2294" s="61"/>
      <c r="E2294" s="20" t="s">
        <v>233</v>
      </c>
      <c r="F2294" s="20" t="str">
        <f t="shared" si="189"/>
        <v>Block 05</v>
      </c>
      <c r="G2294" s="20" t="str">
        <f t="shared" si="188"/>
        <v>Lot 07</v>
      </c>
      <c r="H2294" s="19">
        <v>113</v>
      </c>
      <c r="I2294" s="19">
        <v>78</v>
      </c>
      <c r="J2294" s="20" t="s">
        <v>2367</v>
      </c>
      <c r="K2294" s="42" t="s">
        <v>2370</v>
      </c>
      <c r="L2294" s="36">
        <f>IFERROR(INDEX([4]JPH!$H$14:$AB$175,MATCH($B2294,[4]JPH!$H$14:$H$175,0),17),"NA")</f>
        <v>5262400</v>
      </c>
      <c r="M2294" s="36">
        <f>IFERROR(INDEX([4]JPH!$H$14:$AB$175,MATCH($B2294,[4]JPH!$H$14:$H$175,0),18),"NA")</f>
        <v>62400</v>
      </c>
      <c r="N2294" s="36">
        <f t="shared" si="185"/>
        <v>5200000</v>
      </c>
      <c r="O2294" s="36">
        <f t="shared" si="186"/>
        <v>624000</v>
      </c>
      <c r="P2294" s="60">
        <f t="shared" si="187"/>
        <v>4576000</v>
      </c>
    </row>
    <row r="2295" spans="2:16">
      <c r="B2295" s="19" t="s">
        <v>2475</v>
      </c>
      <c r="C2295" s="61" t="s">
        <v>4</v>
      </c>
      <c r="D2295" s="61"/>
      <c r="E2295" s="20" t="s">
        <v>205</v>
      </c>
      <c r="F2295" s="20" t="str">
        <f t="shared" si="189"/>
        <v>Block 05</v>
      </c>
      <c r="G2295" s="20" t="str">
        <f t="shared" si="188"/>
        <v>Lot 08</v>
      </c>
      <c r="H2295" s="19">
        <v>113</v>
      </c>
      <c r="I2295" s="19">
        <v>97</v>
      </c>
      <c r="J2295" s="20" t="s">
        <v>2364</v>
      </c>
      <c r="K2295" s="42" t="s">
        <v>2372</v>
      </c>
      <c r="L2295" s="36">
        <f>IFERROR(INDEX([4]JPH!$H$14:$AB$175,MATCH($B2295,[4]JPH!$H$14:$H$175,0),17),"NA")</f>
        <v>5727899.7599999998</v>
      </c>
      <c r="M2295" s="36">
        <f>IFERROR(INDEX([4]JPH!$H$14:$AB$175,MATCH($B2295,[4]JPH!$H$14:$H$175,0),18),"NA")</f>
        <v>67919.759999999995</v>
      </c>
      <c r="N2295" s="36">
        <f t="shared" si="185"/>
        <v>5659980</v>
      </c>
      <c r="O2295" s="36">
        <f t="shared" si="186"/>
        <v>679197.6</v>
      </c>
      <c r="P2295" s="60">
        <f t="shared" si="187"/>
        <v>4980782.4000000004</v>
      </c>
    </row>
    <row r="2296" spans="2:16">
      <c r="B2296" s="19" t="s">
        <v>2476</v>
      </c>
      <c r="C2296" s="61" t="s">
        <v>4</v>
      </c>
      <c r="D2296" s="61"/>
      <c r="E2296" s="20" t="s">
        <v>205</v>
      </c>
      <c r="F2296" s="20" t="str">
        <f t="shared" si="189"/>
        <v>Block 06</v>
      </c>
      <c r="G2296" s="20" t="str">
        <f t="shared" si="188"/>
        <v>Lot 01</v>
      </c>
      <c r="H2296" s="19">
        <v>113</v>
      </c>
      <c r="I2296" s="19">
        <v>104</v>
      </c>
      <c r="J2296" s="20" t="s">
        <v>2374</v>
      </c>
      <c r="K2296" s="42" t="s">
        <v>2365</v>
      </c>
      <c r="L2296" s="36">
        <f>IFERROR(INDEX([4]JPH!$H$14:$AB$175,MATCH($B2296,[4]JPH!$H$14:$H$175,0),17),"NA")</f>
        <v>6780400</v>
      </c>
      <c r="M2296" s="36">
        <f>IFERROR(INDEX([4]JPH!$H$14:$AB$175,MATCH($B2296,[4]JPH!$H$14:$H$175,0),18),"NA")</f>
        <v>80400</v>
      </c>
      <c r="N2296" s="36">
        <f t="shared" si="185"/>
        <v>6700000</v>
      </c>
      <c r="O2296" s="36">
        <f t="shared" si="186"/>
        <v>804000</v>
      </c>
      <c r="P2296" s="60">
        <f t="shared" si="187"/>
        <v>5896000</v>
      </c>
    </row>
    <row r="2297" spans="2:16">
      <c r="B2297" s="19" t="s">
        <v>2477</v>
      </c>
      <c r="C2297" s="61" t="s">
        <v>4</v>
      </c>
      <c r="D2297" s="61"/>
      <c r="E2297" s="20" t="s">
        <v>205</v>
      </c>
      <c r="F2297" s="20" t="str">
        <f t="shared" si="189"/>
        <v>Block 06</v>
      </c>
      <c r="G2297" s="20" t="str">
        <f t="shared" si="188"/>
        <v>Lot 02</v>
      </c>
      <c r="H2297" s="19">
        <v>113</v>
      </c>
      <c r="I2297" s="19">
        <v>79</v>
      </c>
      <c r="J2297" s="20" t="s">
        <v>2395</v>
      </c>
      <c r="K2297" s="42" t="s">
        <v>2368</v>
      </c>
      <c r="L2297" s="36">
        <f>IFERROR(INDEX([4]JPH!$H$14:$AB$175,MATCH($B2297,[4]JPH!$H$14:$H$175,0),17),"NA")</f>
        <v>5325397</v>
      </c>
      <c r="M2297" s="36">
        <f>IFERROR(INDEX([4]JPH!$H$14:$AB$175,MATCH($B2297,[4]JPH!$H$14:$H$175,0),18),"NA")</f>
        <v>63147</v>
      </c>
      <c r="N2297" s="36">
        <f t="shared" si="185"/>
        <v>5262250</v>
      </c>
      <c r="O2297" s="36">
        <f t="shared" si="186"/>
        <v>631470</v>
      </c>
      <c r="P2297" s="60">
        <f t="shared" si="187"/>
        <v>4630780</v>
      </c>
    </row>
    <row r="2298" spans="2:16">
      <c r="B2298" s="19" t="s">
        <v>2478</v>
      </c>
      <c r="C2298" s="61" t="s">
        <v>4</v>
      </c>
      <c r="D2298" s="61"/>
      <c r="E2298" s="20" t="s">
        <v>233</v>
      </c>
      <c r="F2298" s="20" t="str">
        <f t="shared" si="189"/>
        <v>Block 06</v>
      </c>
      <c r="G2298" s="20" t="str">
        <f t="shared" si="188"/>
        <v>Lot 03</v>
      </c>
      <c r="H2298" s="19">
        <v>113</v>
      </c>
      <c r="I2298" s="19">
        <v>81</v>
      </c>
      <c r="J2298" s="43" t="s">
        <v>2367</v>
      </c>
      <c r="K2298" s="42" t="s">
        <v>2370</v>
      </c>
      <c r="L2298" s="36">
        <f>IFERROR(INDEX([4]JPH!$H$14:$AB$175,MATCH($B2298,[4]JPH!$H$14:$H$175,0),17),"NA")</f>
        <v>5262400</v>
      </c>
      <c r="M2298" s="36">
        <f>IFERROR(INDEX([4]JPH!$H$14:$AB$175,MATCH($B2298,[4]JPH!$H$14:$H$175,0),18),"NA")</f>
        <v>62400</v>
      </c>
      <c r="N2298" s="36">
        <f t="shared" si="185"/>
        <v>5200000</v>
      </c>
      <c r="O2298" s="36">
        <f t="shared" si="186"/>
        <v>624000</v>
      </c>
      <c r="P2298" s="60">
        <f t="shared" si="187"/>
        <v>4576000</v>
      </c>
    </row>
    <row r="2299" spans="2:16">
      <c r="B2299" s="19" t="s">
        <v>2479</v>
      </c>
      <c r="C2299" s="61" t="s">
        <v>4</v>
      </c>
      <c r="D2299" s="61"/>
      <c r="E2299" s="20" t="s">
        <v>205</v>
      </c>
      <c r="F2299" s="20" t="str">
        <f t="shared" si="189"/>
        <v>Block 06</v>
      </c>
      <c r="G2299" s="20" t="str">
        <f t="shared" si="188"/>
        <v>Lot 04</v>
      </c>
      <c r="H2299" s="19">
        <v>113</v>
      </c>
      <c r="I2299" s="19">
        <v>119</v>
      </c>
      <c r="J2299" s="20" t="s">
        <v>2374</v>
      </c>
      <c r="K2299" s="42" t="s">
        <v>2372</v>
      </c>
      <c r="L2299" s="36">
        <f>IFERROR(INDEX([4]JPH!$H$14:$AB$175,MATCH($B2299,[4]JPH!$H$14:$H$175,0),17),"NA")</f>
        <v>7069832</v>
      </c>
      <c r="M2299" s="36">
        <f>IFERROR(INDEX([4]JPH!$H$14:$AB$175,MATCH($B2299,[4]JPH!$H$14:$H$175,0),18),"NA")</f>
        <v>83832</v>
      </c>
      <c r="N2299" s="36">
        <f t="shared" si="185"/>
        <v>6986000</v>
      </c>
      <c r="O2299" s="36">
        <f t="shared" si="186"/>
        <v>838320</v>
      </c>
      <c r="P2299" s="60">
        <f t="shared" si="187"/>
        <v>6147680</v>
      </c>
    </row>
    <row r="2300" spans="2:16">
      <c r="B2300" s="19" t="s">
        <v>2480</v>
      </c>
      <c r="C2300" s="61" t="s">
        <v>4</v>
      </c>
      <c r="D2300" s="61"/>
      <c r="E2300" s="20" t="s">
        <v>205</v>
      </c>
      <c r="F2300" s="20" t="str">
        <f t="shared" si="189"/>
        <v>Block 06</v>
      </c>
      <c r="G2300" s="20" t="str">
        <f t="shared" si="188"/>
        <v>Lot 05</v>
      </c>
      <c r="H2300" s="19">
        <v>113</v>
      </c>
      <c r="I2300" s="19">
        <v>109</v>
      </c>
      <c r="J2300" s="20" t="s">
        <v>2374</v>
      </c>
      <c r="K2300" s="42" t="s">
        <v>2365</v>
      </c>
      <c r="L2300" s="36">
        <f>IFERROR(INDEX([4]JPH!$H$14:$AB$175,MATCH($B2300,[4]JPH!$H$14:$H$175,0),17),"NA")</f>
        <v>8024148</v>
      </c>
      <c r="M2300" s="36">
        <f>IFERROR(INDEX([4]JPH!$H$14:$AB$175,MATCH($B2300,[4]JPH!$H$14:$H$175,0),18),"NA")</f>
        <v>95148</v>
      </c>
      <c r="N2300" s="36">
        <f t="shared" si="185"/>
        <v>7929000</v>
      </c>
      <c r="O2300" s="36">
        <f t="shared" si="186"/>
        <v>951480</v>
      </c>
      <c r="P2300" s="60">
        <f t="shared" si="187"/>
        <v>6977520</v>
      </c>
    </row>
    <row r="2301" spans="2:16">
      <c r="B2301" s="19" t="s">
        <v>2481</v>
      </c>
      <c r="C2301" s="61" t="s">
        <v>4</v>
      </c>
      <c r="D2301" s="61"/>
      <c r="E2301" s="20" t="s">
        <v>205</v>
      </c>
      <c r="F2301" s="20" t="str">
        <f t="shared" si="189"/>
        <v>Block 06</v>
      </c>
      <c r="G2301" s="20" t="str">
        <f t="shared" si="188"/>
        <v>Lot 06</v>
      </c>
      <c r="H2301" s="19">
        <v>113</v>
      </c>
      <c r="I2301" s="19">
        <v>76</v>
      </c>
      <c r="J2301" s="20" t="s">
        <v>2395</v>
      </c>
      <c r="K2301" s="42" t="s">
        <v>2368</v>
      </c>
      <c r="L2301" s="36">
        <f>IFERROR(INDEX([4]JPH!$H$14:$AB$175,MATCH($B2301,[4]JPH!$H$14:$H$175,0),17),"NA")</f>
        <v>7218596</v>
      </c>
      <c r="M2301" s="36">
        <f>IFERROR(INDEX([4]JPH!$H$14:$AB$175,MATCH($B2301,[4]JPH!$H$14:$H$175,0),18),"NA")</f>
        <v>85596</v>
      </c>
      <c r="N2301" s="36">
        <f t="shared" si="185"/>
        <v>7133000</v>
      </c>
      <c r="O2301" s="36">
        <f t="shared" si="186"/>
        <v>855960</v>
      </c>
      <c r="P2301" s="60">
        <f t="shared" si="187"/>
        <v>6277040</v>
      </c>
    </row>
    <row r="2302" spans="2:16">
      <c r="B2302" s="19" t="s">
        <v>2482</v>
      </c>
      <c r="C2302" s="61" t="s">
        <v>4</v>
      </c>
      <c r="D2302" s="61"/>
      <c r="E2302" s="20" t="s">
        <v>205</v>
      </c>
      <c r="F2302" s="20" t="str">
        <f t="shared" si="189"/>
        <v>Block 06</v>
      </c>
      <c r="G2302" s="20" t="str">
        <f t="shared" si="188"/>
        <v>Lot 07</v>
      </c>
      <c r="H2302" s="19">
        <v>113</v>
      </c>
      <c r="I2302" s="19">
        <v>77</v>
      </c>
      <c r="J2302" s="20" t="s">
        <v>2395</v>
      </c>
      <c r="K2302" s="42" t="s">
        <v>2370</v>
      </c>
      <c r="L2302" s="36">
        <f>IFERROR(INDEX([4]JPH!$H$14:$AB$175,MATCH($B2302,[4]JPH!$H$14:$H$175,0),17),"NA")</f>
        <v>6270352</v>
      </c>
      <c r="M2302" s="36">
        <f>IFERROR(INDEX([4]JPH!$H$14:$AB$175,MATCH($B2302,[4]JPH!$H$14:$H$175,0),18),"NA")</f>
        <v>74352</v>
      </c>
      <c r="N2302" s="36">
        <f t="shared" si="185"/>
        <v>6196000</v>
      </c>
      <c r="O2302" s="36">
        <f t="shared" si="186"/>
        <v>743520</v>
      </c>
      <c r="P2302" s="60">
        <f t="shared" si="187"/>
        <v>5452480</v>
      </c>
    </row>
    <row r="2303" spans="2:16">
      <c r="B2303" s="19" t="s">
        <v>2483</v>
      </c>
      <c r="C2303" s="61" t="s">
        <v>4</v>
      </c>
      <c r="D2303" s="61"/>
      <c r="E2303" s="20" t="s">
        <v>205</v>
      </c>
      <c r="F2303" s="20" t="str">
        <f t="shared" si="189"/>
        <v>Block 06</v>
      </c>
      <c r="G2303" s="20" t="str">
        <f t="shared" si="188"/>
        <v>Lot 08</v>
      </c>
      <c r="H2303" s="19">
        <v>113</v>
      </c>
      <c r="I2303" s="19">
        <v>114</v>
      </c>
      <c r="J2303" s="20" t="s">
        <v>2374</v>
      </c>
      <c r="K2303" s="42" t="s">
        <v>2372</v>
      </c>
      <c r="L2303" s="36">
        <f>IFERROR(INDEX([4]JPH!$H$14:$AB$175,MATCH($B2303,[4]JPH!$H$14:$H$175,0),17),"NA")</f>
        <v>8288280</v>
      </c>
      <c r="M2303" s="36">
        <f>IFERROR(INDEX([4]JPH!$H$14:$AB$175,MATCH($B2303,[4]JPH!$H$14:$H$175,0),18),"NA")</f>
        <v>98280</v>
      </c>
      <c r="N2303" s="36">
        <f t="shared" si="185"/>
        <v>8190000</v>
      </c>
      <c r="O2303" s="36">
        <f t="shared" si="186"/>
        <v>982800</v>
      </c>
      <c r="P2303" s="60">
        <f t="shared" si="187"/>
        <v>7207200</v>
      </c>
    </row>
    <row r="2304" spans="2:16">
      <c r="B2304" s="19" t="s">
        <v>2484</v>
      </c>
      <c r="C2304" s="61" t="s">
        <v>4</v>
      </c>
      <c r="D2304" s="61"/>
      <c r="E2304" s="20" t="s">
        <v>205</v>
      </c>
      <c r="F2304" s="20" t="str">
        <f t="shared" si="189"/>
        <v>Block 07</v>
      </c>
      <c r="G2304" s="20" t="str">
        <f t="shared" si="188"/>
        <v>Lot 01</v>
      </c>
      <c r="H2304" s="19">
        <v>113</v>
      </c>
      <c r="I2304" s="19">
        <v>89</v>
      </c>
      <c r="J2304" s="20" t="s">
        <v>2364</v>
      </c>
      <c r="K2304" s="42" t="s">
        <v>2365</v>
      </c>
      <c r="L2304" s="36">
        <f>IFERROR(INDEX([4]JPH!$H$14:$AB$175,MATCH($B2304,[4]JPH!$H$14:$H$175,0),17),"NA")</f>
        <v>5566000</v>
      </c>
      <c r="M2304" s="36">
        <f>IFERROR(INDEX([4]JPH!$H$14:$AB$175,MATCH($B2304,[4]JPH!$H$14:$H$175,0),18),"NA")</f>
        <v>66000</v>
      </c>
      <c r="N2304" s="36">
        <f t="shared" si="185"/>
        <v>5500000</v>
      </c>
      <c r="O2304" s="36">
        <f t="shared" si="186"/>
        <v>660000</v>
      </c>
      <c r="P2304" s="60">
        <f t="shared" si="187"/>
        <v>4840000</v>
      </c>
    </row>
    <row r="2305" spans="2:16">
      <c r="B2305" s="19" t="s">
        <v>2485</v>
      </c>
      <c r="C2305" s="61" t="s">
        <v>4</v>
      </c>
      <c r="D2305" s="61"/>
      <c r="E2305" s="20" t="s">
        <v>972</v>
      </c>
      <c r="F2305" s="20" t="str">
        <f t="shared" si="189"/>
        <v>Block 07</v>
      </c>
      <c r="G2305" s="20" t="str">
        <f t="shared" si="188"/>
        <v>Lot 02</v>
      </c>
      <c r="H2305" s="19">
        <v>113</v>
      </c>
      <c r="I2305" s="19">
        <v>60</v>
      </c>
      <c r="J2305" s="20" t="s">
        <v>2367</v>
      </c>
      <c r="K2305" s="42" t="s">
        <v>2368</v>
      </c>
      <c r="L2305" s="36">
        <f>IFERROR(INDEX([4]JPH!$H$14:$AB$175,MATCH($B2305,[4]JPH!$H$14:$H$175,0),17),"NA")</f>
        <v>5262400</v>
      </c>
      <c r="M2305" s="36">
        <f>IFERROR(INDEX([4]JPH!$H$14:$AB$175,MATCH($B2305,[4]JPH!$H$14:$H$175,0),18),"NA")</f>
        <v>62400</v>
      </c>
      <c r="N2305" s="36">
        <f t="shared" si="185"/>
        <v>5200000</v>
      </c>
      <c r="O2305" s="36">
        <f t="shared" si="186"/>
        <v>624000</v>
      </c>
      <c r="P2305" s="60">
        <f t="shared" si="187"/>
        <v>4576000</v>
      </c>
    </row>
    <row r="2306" spans="2:16">
      <c r="B2306" s="19" t="s">
        <v>2486</v>
      </c>
      <c r="C2306" s="61" t="s">
        <v>4</v>
      </c>
      <c r="D2306" s="61"/>
      <c r="E2306" s="20" t="s">
        <v>972</v>
      </c>
      <c r="F2306" s="20" t="str">
        <f t="shared" si="189"/>
        <v>Block 07</v>
      </c>
      <c r="G2306" s="20" t="str">
        <f t="shared" si="188"/>
        <v>Lot 03</v>
      </c>
      <c r="H2306" s="19">
        <v>113</v>
      </c>
      <c r="I2306" s="19">
        <v>60</v>
      </c>
      <c r="J2306" s="20" t="s">
        <v>2367</v>
      </c>
      <c r="K2306" s="42" t="s">
        <v>2377</v>
      </c>
      <c r="L2306" s="36">
        <f>IFERROR(INDEX([4]JPH!$H$14:$AB$175,MATCH($B2306,[4]JPH!$H$14:$H$175,0),17),"NA")</f>
        <v>5262400</v>
      </c>
      <c r="M2306" s="36">
        <f>IFERROR(INDEX([4]JPH!$H$14:$AB$175,MATCH($B2306,[4]JPH!$H$14:$H$175,0),18),"NA")</f>
        <v>62400</v>
      </c>
      <c r="N2306" s="36">
        <f t="shared" si="185"/>
        <v>5200000</v>
      </c>
      <c r="O2306" s="36">
        <f t="shared" si="186"/>
        <v>624000</v>
      </c>
      <c r="P2306" s="60">
        <f t="shared" si="187"/>
        <v>4576000</v>
      </c>
    </row>
    <row r="2307" spans="2:16">
      <c r="B2307" s="19" t="s">
        <v>2487</v>
      </c>
      <c r="C2307" s="61" t="s">
        <v>4</v>
      </c>
      <c r="D2307" s="61"/>
      <c r="E2307" s="20" t="s">
        <v>205</v>
      </c>
      <c r="F2307" s="20" t="str">
        <f t="shared" si="189"/>
        <v>Block 07</v>
      </c>
      <c r="G2307" s="20" t="str">
        <f t="shared" si="188"/>
        <v>Lot 04</v>
      </c>
      <c r="H2307" s="19">
        <v>113</v>
      </c>
      <c r="I2307" s="19">
        <v>60</v>
      </c>
      <c r="J2307" s="20" t="s">
        <v>2367</v>
      </c>
      <c r="K2307" s="42" t="s">
        <v>2379</v>
      </c>
      <c r="L2307" s="36">
        <f>IFERROR(INDEX([4]JPH!$H$14:$AB$175,MATCH($B2307,[4]JPH!$H$14:$H$175,0),17),"NA")</f>
        <v>5060000</v>
      </c>
      <c r="M2307" s="36">
        <f>IFERROR(INDEX([4]JPH!$H$14:$AB$175,MATCH($B2307,[4]JPH!$H$14:$H$175,0),18),"NA")</f>
        <v>60000</v>
      </c>
      <c r="N2307" s="36">
        <f t="shared" si="185"/>
        <v>5000000</v>
      </c>
      <c r="O2307" s="36">
        <f t="shared" si="186"/>
        <v>600000</v>
      </c>
      <c r="P2307" s="60">
        <f t="shared" si="187"/>
        <v>4400000</v>
      </c>
    </row>
    <row r="2308" spans="2:16">
      <c r="B2308" s="19" t="s">
        <v>2488</v>
      </c>
      <c r="C2308" s="61" t="s">
        <v>4</v>
      </c>
      <c r="D2308" s="61"/>
      <c r="E2308" s="20" t="s">
        <v>205</v>
      </c>
      <c r="F2308" s="20" t="str">
        <f t="shared" si="189"/>
        <v>Block 07</v>
      </c>
      <c r="G2308" s="20" t="str">
        <f t="shared" si="188"/>
        <v>Lot 05</v>
      </c>
      <c r="H2308" s="19">
        <v>113</v>
      </c>
      <c r="I2308" s="19">
        <v>60</v>
      </c>
      <c r="J2308" s="20" t="s">
        <v>2367</v>
      </c>
      <c r="K2308" s="42" t="s">
        <v>2370</v>
      </c>
      <c r="L2308" s="36">
        <f>IFERROR(INDEX([4]JPH!$H$14:$AB$175,MATCH($B2308,[4]JPH!$H$14:$H$175,0),17),"NA")</f>
        <v>5060000</v>
      </c>
      <c r="M2308" s="36">
        <f>IFERROR(INDEX([4]JPH!$H$14:$AB$175,MATCH($B2308,[4]JPH!$H$14:$H$175,0),18),"NA")</f>
        <v>60000</v>
      </c>
      <c r="N2308" s="36">
        <f t="shared" si="185"/>
        <v>5000000</v>
      </c>
      <c r="O2308" s="36">
        <f t="shared" si="186"/>
        <v>600000</v>
      </c>
      <c r="P2308" s="60">
        <f t="shared" si="187"/>
        <v>4400000</v>
      </c>
    </row>
    <row r="2309" spans="2:16">
      <c r="B2309" s="19" t="s">
        <v>2489</v>
      </c>
      <c r="C2309" s="61" t="s">
        <v>4</v>
      </c>
      <c r="D2309" s="61"/>
      <c r="E2309" s="20" t="s">
        <v>205</v>
      </c>
      <c r="F2309" s="20" t="str">
        <f t="shared" si="189"/>
        <v>Block 07</v>
      </c>
      <c r="G2309" s="20" t="str">
        <f t="shared" si="188"/>
        <v>Lot 06</v>
      </c>
      <c r="H2309" s="19">
        <v>113</v>
      </c>
      <c r="I2309" s="19">
        <v>80</v>
      </c>
      <c r="J2309" s="20" t="s">
        <v>2364</v>
      </c>
      <c r="K2309" s="42" t="s">
        <v>2372</v>
      </c>
      <c r="L2309" s="36">
        <f>IFERROR(INDEX([4]JPH!$H$14:$AB$175,MATCH($B2309,[4]JPH!$H$14:$H$175,0),17),"NA")</f>
        <v>5778520</v>
      </c>
      <c r="M2309" s="36">
        <f>IFERROR(INDEX([4]JPH!$H$14:$AB$175,MATCH($B2309,[4]JPH!$H$14:$H$175,0),18),"NA")</f>
        <v>68520</v>
      </c>
      <c r="N2309" s="36">
        <f t="shared" si="185"/>
        <v>5710000</v>
      </c>
      <c r="O2309" s="36">
        <f t="shared" si="186"/>
        <v>685200</v>
      </c>
      <c r="P2309" s="60">
        <f t="shared" si="187"/>
        <v>5024800</v>
      </c>
    </row>
    <row r="2310" spans="2:16">
      <c r="B2310" s="19" t="s">
        <v>2490</v>
      </c>
      <c r="C2310" s="61" t="s">
        <v>4</v>
      </c>
      <c r="D2310" s="61"/>
      <c r="E2310" s="20" t="s">
        <v>205</v>
      </c>
      <c r="F2310" s="20" t="str">
        <f t="shared" si="189"/>
        <v>Block 07</v>
      </c>
      <c r="G2310" s="20" t="str">
        <f t="shared" si="188"/>
        <v>Lot 07</v>
      </c>
      <c r="H2310" s="19">
        <v>113</v>
      </c>
      <c r="I2310" s="19">
        <v>80</v>
      </c>
      <c r="J2310" s="20" t="s">
        <v>2364</v>
      </c>
      <c r="K2310" s="42" t="s">
        <v>2365</v>
      </c>
      <c r="L2310" s="36">
        <f>IFERROR(INDEX([4]JPH!$H$14:$AB$175,MATCH($B2310,[4]JPH!$H$14:$H$175,0),17),"NA")</f>
        <v>6900828</v>
      </c>
      <c r="M2310" s="36">
        <f>IFERROR(INDEX([4]JPH!$H$14:$AB$175,MATCH($B2310,[4]JPH!$H$14:$H$175,0),18),"NA")</f>
        <v>81828</v>
      </c>
      <c r="N2310" s="36">
        <f t="shared" si="185"/>
        <v>6819000</v>
      </c>
      <c r="O2310" s="36">
        <f t="shared" si="186"/>
        <v>818280</v>
      </c>
      <c r="P2310" s="60">
        <f t="shared" si="187"/>
        <v>6000720</v>
      </c>
    </row>
    <row r="2311" spans="2:16">
      <c r="B2311" s="19" t="s">
        <v>2491</v>
      </c>
      <c r="C2311" s="61" t="s">
        <v>4</v>
      </c>
      <c r="D2311" s="61"/>
      <c r="E2311" s="20" t="s">
        <v>205</v>
      </c>
      <c r="F2311" s="20" t="str">
        <f t="shared" si="189"/>
        <v>Block 07</v>
      </c>
      <c r="G2311" s="20" t="str">
        <f t="shared" si="188"/>
        <v>Lot 08</v>
      </c>
      <c r="H2311" s="19">
        <v>113</v>
      </c>
      <c r="I2311" s="19">
        <v>60</v>
      </c>
      <c r="J2311" s="20" t="s">
        <v>2367</v>
      </c>
      <c r="K2311" s="42" t="s">
        <v>2368</v>
      </c>
      <c r="L2311" s="36">
        <f>IFERROR(INDEX([4]JPH!$H$14:$AB$175,MATCH($B2311,[4]JPH!$H$14:$H$175,0),17),"NA")</f>
        <v>5262400</v>
      </c>
      <c r="M2311" s="36">
        <f>IFERROR(INDEX([4]JPH!$H$14:$AB$175,MATCH($B2311,[4]JPH!$H$14:$H$175,0),18),"NA")</f>
        <v>62400</v>
      </c>
      <c r="N2311" s="36">
        <f t="shared" si="185"/>
        <v>5200000</v>
      </c>
      <c r="O2311" s="36">
        <f t="shared" si="186"/>
        <v>624000</v>
      </c>
      <c r="P2311" s="60">
        <f t="shared" si="187"/>
        <v>4576000</v>
      </c>
    </row>
    <row r="2312" spans="2:16">
      <c r="B2312" s="19" t="s">
        <v>2492</v>
      </c>
      <c r="C2312" s="61" t="s">
        <v>4</v>
      </c>
      <c r="D2312" s="61"/>
      <c r="E2312" s="20" t="s">
        <v>205</v>
      </c>
      <c r="F2312" s="20" t="str">
        <f t="shared" si="189"/>
        <v>Block 07</v>
      </c>
      <c r="G2312" s="20" t="str">
        <f t="shared" si="188"/>
        <v>Lot 09</v>
      </c>
      <c r="H2312" s="19">
        <v>113</v>
      </c>
      <c r="I2312" s="19">
        <v>60</v>
      </c>
      <c r="J2312" s="20" t="s">
        <v>2367</v>
      </c>
      <c r="K2312" s="42" t="s">
        <v>2377</v>
      </c>
      <c r="L2312" s="36">
        <f>IFERROR(INDEX([4]JPH!$H$14:$AB$175,MATCH($B2312,[4]JPH!$H$14:$H$175,0),17),"NA")</f>
        <v>5792688</v>
      </c>
      <c r="M2312" s="36">
        <f>IFERROR(INDEX([4]JPH!$H$14:$AB$175,MATCH($B2312,[4]JPH!$H$14:$H$175,0),18),"NA")</f>
        <v>68688</v>
      </c>
      <c r="N2312" s="36">
        <f t="shared" si="185"/>
        <v>5724000</v>
      </c>
      <c r="O2312" s="36">
        <f t="shared" si="186"/>
        <v>686880</v>
      </c>
      <c r="P2312" s="60">
        <f t="shared" si="187"/>
        <v>5037120</v>
      </c>
    </row>
    <row r="2313" spans="2:16">
      <c r="B2313" s="19" t="s">
        <v>2493</v>
      </c>
      <c r="C2313" s="61" t="s">
        <v>4</v>
      </c>
      <c r="D2313" s="61"/>
      <c r="E2313" s="20" t="s">
        <v>205</v>
      </c>
      <c r="F2313" s="20" t="str">
        <f t="shared" si="189"/>
        <v>Block 07</v>
      </c>
      <c r="G2313" s="20" t="str">
        <f t="shared" si="188"/>
        <v>Lot 10</v>
      </c>
      <c r="H2313" s="19">
        <v>113</v>
      </c>
      <c r="I2313" s="19">
        <v>60</v>
      </c>
      <c r="J2313" s="20" t="s">
        <v>2367</v>
      </c>
      <c r="K2313" s="42" t="s">
        <v>2370</v>
      </c>
      <c r="L2313" s="36">
        <f>IFERROR(INDEX([4]JPH!$H$14:$AB$175,MATCH($B2313,[4]JPH!$H$14:$H$175,0),17),"NA")</f>
        <v>6476800</v>
      </c>
      <c r="M2313" s="36">
        <f>IFERROR(INDEX([4]JPH!$H$14:$AB$175,MATCH($B2313,[4]JPH!$H$14:$H$175,0),18),"NA")</f>
        <v>76800</v>
      </c>
      <c r="N2313" s="36">
        <f t="shared" si="185"/>
        <v>6400000</v>
      </c>
      <c r="O2313" s="36">
        <f t="shared" si="186"/>
        <v>768000</v>
      </c>
      <c r="P2313" s="60">
        <f t="shared" si="187"/>
        <v>5632000</v>
      </c>
    </row>
    <row r="2314" spans="2:16">
      <c r="B2314" s="19" t="s">
        <v>2494</v>
      </c>
      <c r="C2314" s="61" t="s">
        <v>4</v>
      </c>
      <c r="D2314" s="61"/>
      <c r="E2314" s="20" t="s">
        <v>205</v>
      </c>
      <c r="F2314" s="20" t="str">
        <f t="shared" si="189"/>
        <v>Block 07</v>
      </c>
      <c r="G2314" s="20" t="str">
        <f t="shared" si="188"/>
        <v>Lot 11</v>
      </c>
      <c r="H2314" s="19">
        <v>113</v>
      </c>
      <c r="I2314" s="19">
        <v>90</v>
      </c>
      <c r="J2314" s="20" t="s">
        <v>2364</v>
      </c>
      <c r="K2314" s="42" t="s">
        <v>2372</v>
      </c>
      <c r="L2314" s="36">
        <f>IFERROR(INDEX([4]JPH!$H$14:$AB$175,MATCH($B2314,[4]JPH!$H$14:$H$175,0),17),"NA")</f>
        <v>7420996</v>
      </c>
      <c r="M2314" s="36">
        <f>IFERROR(INDEX([4]JPH!$H$14:$AB$175,MATCH($B2314,[4]JPH!$H$14:$H$175,0),18),"NA")</f>
        <v>87996</v>
      </c>
      <c r="N2314" s="36">
        <f t="shared" si="185"/>
        <v>7333000</v>
      </c>
      <c r="O2314" s="36">
        <f t="shared" si="186"/>
        <v>879960</v>
      </c>
      <c r="P2314" s="60">
        <f t="shared" si="187"/>
        <v>6453040</v>
      </c>
    </row>
    <row r="2315" spans="2:16">
      <c r="B2315" s="19" t="s">
        <v>2495</v>
      </c>
      <c r="C2315" s="61" t="s">
        <v>4</v>
      </c>
      <c r="D2315" s="61"/>
      <c r="E2315" s="20" t="s">
        <v>205</v>
      </c>
      <c r="F2315" s="20" t="str">
        <f t="shared" si="189"/>
        <v>Block 07</v>
      </c>
      <c r="G2315" s="20" t="str">
        <f t="shared" si="188"/>
        <v>Lot 12</v>
      </c>
      <c r="H2315" s="19">
        <v>113</v>
      </c>
      <c r="I2315" s="19">
        <v>117</v>
      </c>
      <c r="J2315" s="20" t="s">
        <v>2364</v>
      </c>
      <c r="K2315" s="42" t="s">
        <v>2365</v>
      </c>
      <c r="L2315" s="36">
        <f>IFERROR(INDEX([4]JPH!$H$14:$AB$175,MATCH($B2315,[4]JPH!$H$14:$H$175,0),17),"NA")</f>
        <v>7878420</v>
      </c>
      <c r="M2315" s="36">
        <f>IFERROR(INDEX([4]JPH!$H$14:$AB$175,MATCH($B2315,[4]JPH!$H$14:$H$175,0),18),"NA")</f>
        <v>93420</v>
      </c>
      <c r="N2315" s="36">
        <f t="shared" si="185"/>
        <v>7785000</v>
      </c>
      <c r="O2315" s="36">
        <f t="shared" si="186"/>
        <v>934200</v>
      </c>
      <c r="P2315" s="60">
        <f t="shared" si="187"/>
        <v>6850800</v>
      </c>
    </row>
    <row r="2316" spans="2:16">
      <c r="B2316" s="19" t="s">
        <v>2496</v>
      </c>
      <c r="C2316" s="61" t="s">
        <v>4</v>
      </c>
      <c r="D2316" s="61"/>
      <c r="E2316" s="20" t="s">
        <v>233</v>
      </c>
      <c r="F2316" s="20" t="str">
        <f t="shared" si="189"/>
        <v>Block 07</v>
      </c>
      <c r="G2316" s="20" t="str">
        <f t="shared" si="188"/>
        <v>Lot 13</v>
      </c>
      <c r="H2316" s="19">
        <v>113</v>
      </c>
      <c r="I2316" s="19">
        <v>60</v>
      </c>
      <c r="J2316" s="20" t="s">
        <v>2367</v>
      </c>
      <c r="K2316" s="42" t="s">
        <v>2368</v>
      </c>
      <c r="L2316" s="36">
        <f>IFERROR(INDEX([4]JPH!$H$14:$AB$175,MATCH($B2316,[4]JPH!$H$14:$H$175,0),17),"NA")</f>
        <v>5262400</v>
      </c>
      <c r="M2316" s="36">
        <f>IFERROR(INDEX([4]JPH!$H$14:$AB$175,MATCH($B2316,[4]JPH!$H$14:$H$175,0),18),"NA")</f>
        <v>62400</v>
      </c>
      <c r="N2316" s="36">
        <f t="shared" si="185"/>
        <v>5200000</v>
      </c>
      <c r="O2316" s="36">
        <f t="shared" si="186"/>
        <v>624000</v>
      </c>
      <c r="P2316" s="60">
        <f t="shared" si="187"/>
        <v>4576000</v>
      </c>
    </row>
    <row r="2317" spans="2:16">
      <c r="B2317" s="19" t="s">
        <v>2497</v>
      </c>
      <c r="C2317" s="61" t="s">
        <v>4</v>
      </c>
      <c r="D2317" s="61"/>
      <c r="E2317" s="20" t="s">
        <v>205</v>
      </c>
      <c r="F2317" s="20" t="str">
        <f t="shared" si="189"/>
        <v>Block 07</v>
      </c>
      <c r="G2317" s="20" t="str">
        <f t="shared" si="188"/>
        <v>Lot 14</v>
      </c>
      <c r="H2317" s="19">
        <v>113</v>
      </c>
      <c r="I2317" s="19">
        <v>60</v>
      </c>
      <c r="J2317" s="20" t="s">
        <v>2395</v>
      </c>
      <c r="K2317" s="42" t="s">
        <v>2377</v>
      </c>
      <c r="L2317" s="36">
        <f>IFERROR(INDEX([4]JPH!$H$14:$AB$175,MATCH($B2317,[4]JPH!$H$14:$H$175,0),17),"NA")</f>
        <v>6609625</v>
      </c>
      <c r="M2317" s="36">
        <f>IFERROR(INDEX([4]JPH!$H$14:$AB$175,MATCH($B2317,[4]JPH!$H$14:$H$175,0),18),"NA")</f>
        <v>78375</v>
      </c>
      <c r="N2317" s="36">
        <f t="shared" si="185"/>
        <v>6531250</v>
      </c>
      <c r="O2317" s="36">
        <f t="shared" si="186"/>
        <v>783750</v>
      </c>
      <c r="P2317" s="60">
        <f t="shared" si="187"/>
        <v>5747500</v>
      </c>
    </row>
    <row r="2318" spans="2:16">
      <c r="B2318" s="19" t="s">
        <v>2498</v>
      </c>
      <c r="C2318" s="61" t="s">
        <v>4</v>
      </c>
      <c r="D2318" s="61"/>
      <c r="E2318" s="20" t="s">
        <v>205</v>
      </c>
      <c r="F2318" s="20" t="str">
        <f t="shared" si="189"/>
        <v>Block 07</v>
      </c>
      <c r="G2318" s="20" t="str">
        <f t="shared" si="188"/>
        <v>Lot 15</v>
      </c>
      <c r="H2318" s="19">
        <v>113</v>
      </c>
      <c r="I2318" s="19">
        <v>60</v>
      </c>
      <c r="J2318" s="20" t="s">
        <v>2395</v>
      </c>
      <c r="K2318" s="42" t="s">
        <v>2370</v>
      </c>
      <c r="L2318" s="36">
        <f>IFERROR(INDEX([4]JPH!$H$14:$AB$175,MATCH($B2318,[4]JPH!$H$14:$H$175,0),17),"NA")</f>
        <v>6476800</v>
      </c>
      <c r="M2318" s="36">
        <f>IFERROR(INDEX([4]JPH!$H$14:$AB$175,MATCH($B2318,[4]JPH!$H$14:$H$175,0),18),"NA")</f>
        <v>76800</v>
      </c>
      <c r="N2318" s="36">
        <f t="shared" si="185"/>
        <v>6400000</v>
      </c>
      <c r="O2318" s="36">
        <f t="shared" si="186"/>
        <v>768000</v>
      </c>
      <c r="P2318" s="60">
        <f t="shared" si="187"/>
        <v>5632000</v>
      </c>
    </row>
    <row r="2319" spans="2:16">
      <c r="B2319" s="19" t="s">
        <v>2499</v>
      </c>
      <c r="C2319" s="61" t="s">
        <v>4</v>
      </c>
      <c r="D2319" s="61"/>
      <c r="E2319" s="20" t="s">
        <v>205</v>
      </c>
      <c r="F2319" s="20" t="str">
        <f t="shared" si="189"/>
        <v>Block 07</v>
      </c>
      <c r="G2319" s="20" t="str">
        <f t="shared" si="188"/>
        <v>Lot 16</v>
      </c>
      <c r="H2319" s="19">
        <v>113</v>
      </c>
      <c r="I2319" s="19">
        <v>90</v>
      </c>
      <c r="J2319" s="20" t="s">
        <v>2364</v>
      </c>
      <c r="K2319" s="42" t="s">
        <v>2372</v>
      </c>
      <c r="L2319" s="36">
        <f>IFERROR(INDEX([4]JPH!$H$14:$AB$175,MATCH($B2319,[4]JPH!$H$14:$H$175,0),17),"NA")</f>
        <v>7299556</v>
      </c>
      <c r="M2319" s="36">
        <f>IFERROR(INDEX([4]JPH!$H$14:$AB$175,MATCH($B2319,[4]JPH!$H$14:$H$175,0),18),"NA")</f>
        <v>86556</v>
      </c>
      <c r="N2319" s="36">
        <f t="shared" si="185"/>
        <v>7213000</v>
      </c>
      <c r="O2319" s="36">
        <f t="shared" si="186"/>
        <v>865560</v>
      </c>
      <c r="P2319" s="60">
        <f t="shared" si="187"/>
        <v>6347440</v>
      </c>
    </row>
    <row r="2320" spans="2:16">
      <c r="B2320" s="19" t="s">
        <v>2500</v>
      </c>
      <c r="C2320" s="61" t="s">
        <v>4</v>
      </c>
      <c r="D2320" s="61"/>
      <c r="E2320" s="20" t="s">
        <v>205</v>
      </c>
      <c r="F2320" s="20" t="str">
        <f t="shared" si="189"/>
        <v>Block 07</v>
      </c>
      <c r="G2320" s="20" t="str">
        <f t="shared" si="188"/>
        <v>Lot 17</v>
      </c>
      <c r="H2320" s="19">
        <v>113</v>
      </c>
      <c r="I2320" s="19">
        <v>90</v>
      </c>
      <c r="J2320" s="43" t="s">
        <v>2364</v>
      </c>
      <c r="K2320" s="42" t="s">
        <v>2365</v>
      </c>
      <c r="L2320" s="36">
        <f>IFERROR(INDEX([4]JPH!$H$14:$AB$175,MATCH($B2320,[4]JPH!$H$14:$H$175,0),17),"NA")</f>
        <v>6996968</v>
      </c>
      <c r="M2320" s="36">
        <f>IFERROR(INDEX([4]JPH!$H$14:$AB$175,MATCH($B2320,[4]JPH!$H$14:$H$175,0),18),"NA")</f>
        <v>82968</v>
      </c>
      <c r="N2320" s="36">
        <f t="shared" ref="N2320:N2357" si="190">L2320-M2320</f>
        <v>6914000</v>
      </c>
      <c r="O2320" s="36">
        <f t="shared" ref="O2320:O2357" si="191">IF(N2320&lt;=3600000,0,N2320*12%)</f>
        <v>829680</v>
      </c>
      <c r="P2320" s="60">
        <f t="shared" ref="P2320:P2357" si="192">N2320-O2320</f>
        <v>6084320</v>
      </c>
    </row>
    <row r="2321" spans="2:16">
      <c r="B2321" s="19" t="s">
        <v>2501</v>
      </c>
      <c r="C2321" s="61" t="s">
        <v>4</v>
      </c>
      <c r="D2321" s="61"/>
      <c r="E2321" s="20" t="s">
        <v>205</v>
      </c>
      <c r="F2321" s="20" t="str">
        <f t="shared" si="189"/>
        <v>Block 07</v>
      </c>
      <c r="G2321" s="20" t="str">
        <f t="shared" si="188"/>
        <v>Lot 18</v>
      </c>
      <c r="H2321" s="19">
        <v>113</v>
      </c>
      <c r="I2321" s="19">
        <v>60</v>
      </c>
      <c r="J2321" s="20" t="s">
        <v>2395</v>
      </c>
      <c r="K2321" s="42" t="s">
        <v>2368</v>
      </c>
      <c r="L2321" s="36">
        <f>IFERROR(INDEX([4]JPH!$H$14:$AB$175,MATCH($B2321,[4]JPH!$H$14:$H$175,0),17),"NA")</f>
        <v>6476800.0043371432</v>
      </c>
      <c r="M2321" s="36">
        <f>IFERROR(INDEX([4]JPH!$H$14:$AB$175,MATCH($B2321,[4]JPH!$H$14:$H$175,0),18),"NA")</f>
        <v>76800.000051428578</v>
      </c>
      <c r="N2321" s="36">
        <f t="shared" si="190"/>
        <v>6400000.0042857146</v>
      </c>
      <c r="O2321" s="36">
        <f t="shared" si="191"/>
        <v>768000.00051428576</v>
      </c>
      <c r="P2321" s="60">
        <f t="shared" si="192"/>
        <v>5632000.003771429</v>
      </c>
    </row>
    <row r="2322" spans="2:16">
      <c r="B2322" s="19" t="s">
        <v>2502</v>
      </c>
      <c r="C2322" s="61" t="s">
        <v>4</v>
      </c>
      <c r="D2322" s="61"/>
      <c r="E2322" s="20" t="s">
        <v>205</v>
      </c>
      <c r="F2322" s="20" t="str">
        <f t="shared" si="189"/>
        <v>Block 07</v>
      </c>
      <c r="G2322" s="20" t="str">
        <f t="shared" si="188"/>
        <v>Lot 19</v>
      </c>
      <c r="H2322" s="19">
        <v>113</v>
      </c>
      <c r="I2322" s="19">
        <v>60</v>
      </c>
      <c r="J2322" s="20" t="s">
        <v>2367</v>
      </c>
      <c r="K2322" s="42" t="s">
        <v>2377</v>
      </c>
      <c r="L2322" s="36">
        <f>IFERROR(INDEX([4]JPH!$H$14:$AB$175,MATCH($B2322,[4]JPH!$H$14:$H$175,0),17),"NA")</f>
        <v>5262400</v>
      </c>
      <c r="M2322" s="36">
        <f>IFERROR(INDEX([4]JPH!$H$14:$AB$175,MATCH($B2322,[4]JPH!$H$14:$H$175,0),18),"NA")</f>
        <v>62400</v>
      </c>
      <c r="N2322" s="36">
        <f t="shared" si="190"/>
        <v>5200000</v>
      </c>
      <c r="O2322" s="36">
        <f t="shared" si="191"/>
        <v>624000</v>
      </c>
      <c r="P2322" s="60">
        <f t="shared" si="192"/>
        <v>4576000</v>
      </c>
    </row>
    <row r="2323" spans="2:16">
      <c r="B2323" s="19" t="s">
        <v>2503</v>
      </c>
      <c r="C2323" s="61" t="s">
        <v>4</v>
      </c>
      <c r="D2323" s="61"/>
      <c r="E2323" s="20" t="s">
        <v>233</v>
      </c>
      <c r="F2323" s="20" t="str">
        <f t="shared" si="189"/>
        <v>Block 07</v>
      </c>
      <c r="G2323" s="20" t="str">
        <f t="shared" si="188"/>
        <v>Lot 20</v>
      </c>
      <c r="H2323" s="19">
        <v>113</v>
      </c>
      <c r="I2323" s="19">
        <v>60</v>
      </c>
      <c r="J2323" s="20" t="s">
        <v>2367</v>
      </c>
      <c r="K2323" s="42" t="s">
        <v>2370</v>
      </c>
      <c r="L2323" s="36">
        <f>IFERROR(INDEX([4]JPH!$H$14:$AB$175,MATCH($B2323,[4]JPH!$H$14:$H$175,0),17),"NA")</f>
        <v>6461620</v>
      </c>
      <c r="M2323" s="36">
        <f>IFERROR(INDEX([4]JPH!$H$14:$AB$175,MATCH($B2323,[4]JPH!$H$14:$H$175,0),18),"NA")</f>
        <v>76620</v>
      </c>
      <c r="N2323" s="36">
        <f t="shared" si="190"/>
        <v>6385000</v>
      </c>
      <c r="O2323" s="36">
        <f t="shared" si="191"/>
        <v>766200</v>
      </c>
      <c r="P2323" s="60">
        <f t="shared" si="192"/>
        <v>5618800</v>
      </c>
    </row>
    <row r="2324" spans="2:16">
      <c r="B2324" s="19" t="s">
        <v>2504</v>
      </c>
      <c r="C2324" s="61" t="s">
        <v>4</v>
      </c>
      <c r="D2324" s="61"/>
      <c r="E2324" s="20" t="s">
        <v>205</v>
      </c>
      <c r="F2324" s="20" t="str">
        <f t="shared" si="189"/>
        <v>Block 07</v>
      </c>
      <c r="G2324" s="20" t="str">
        <f t="shared" si="188"/>
        <v>Lot 21</v>
      </c>
      <c r="H2324" s="19">
        <v>113</v>
      </c>
      <c r="I2324" s="19">
        <v>97</v>
      </c>
      <c r="J2324" s="43" t="s">
        <v>2364</v>
      </c>
      <c r="K2324" s="42" t="s">
        <v>2372</v>
      </c>
      <c r="L2324" s="36">
        <f>IFERROR(INDEX([4]JPH!$H$14:$AB$175,MATCH($B2324,[4]JPH!$H$14:$H$175,0),17),"NA")</f>
        <v>6649852</v>
      </c>
      <c r="M2324" s="36">
        <f>IFERROR(INDEX([4]JPH!$H$14:$AB$175,MATCH($B2324,[4]JPH!$H$14:$H$175,0),18),"NA")</f>
        <v>78852</v>
      </c>
      <c r="N2324" s="36">
        <f t="shared" si="190"/>
        <v>6571000</v>
      </c>
      <c r="O2324" s="36">
        <f t="shared" si="191"/>
        <v>788520</v>
      </c>
      <c r="P2324" s="60">
        <f t="shared" si="192"/>
        <v>5782480</v>
      </c>
    </row>
    <row r="2325" spans="2:16">
      <c r="B2325" s="19" t="s">
        <v>2505</v>
      </c>
      <c r="C2325" s="61" t="s">
        <v>4</v>
      </c>
      <c r="D2325" s="61"/>
      <c r="E2325" s="20" t="s">
        <v>205</v>
      </c>
      <c r="F2325" s="20" t="str">
        <f t="shared" si="189"/>
        <v>Block 08</v>
      </c>
      <c r="G2325" s="20" t="str">
        <f t="shared" si="188"/>
        <v>Lot 01</v>
      </c>
      <c r="H2325" s="19">
        <v>113</v>
      </c>
      <c r="I2325" s="19">
        <v>110</v>
      </c>
      <c r="J2325" s="43" t="s">
        <v>2364</v>
      </c>
      <c r="K2325" s="42" t="s">
        <v>2365</v>
      </c>
      <c r="L2325" s="36">
        <f>IFERROR(INDEX([4]JPH!$H$14:$AB$175,MATCH($B2325,[4]JPH!$H$14:$H$175,0),17),"NA")</f>
        <v>7650720</v>
      </c>
      <c r="M2325" s="36">
        <f>IFERROR(INDEX([4]JPH!$H$14:$AB$175,MATCH($B2325,[4]JPH!$H$14:$H$175,0),18),"NA")</f>
        <v>90720</v>
      </c>
      <c r="N2325" s="36">
        <f t="shared" si="190"/>
        <v>7560000</v>
      </c>
      <c r="O2325" s="36">
        <f t="shared" si="191"/>
        <v>907200</v>
      </c>
      <c r="P2325" s="60">
        <f t="shared" si="192"/>
        <v>6652800</v>
      </c>
    </row>
    <row r="2326" spans="2:16">
      <c r="B2326" s="19" t="s">
        <v>2506</v>
      </c>
      <c r="C2326" s="61" t="s">
        <v>4</v>
      </c>
      <c r="D2326" s="61"/>
      <c r="E2326" s="20" t="s">
        <v>205</v>
      </c>
      <c r="F2326" s="20" t="str">
        <f t="shared" si="189"/>
        <v>Block 08</v>
      </c>
      <c r="G2326" s="20" t="str">
        <f t="shared" si="188"/>
        <v>Lot 02</v>
      </c>
      <c r="H2326" s="19">
        <v>113</v>
      </c>
      <c r="I2326" s="19">
        <v>60</v>
      </c>
      <c r="J2326" s="20" t="s">
        <v>2367</v>
      </c>
      <c r="K2326" s="42" t="s">
        <v>2368</v>
      </c>
      <c r="L2326" s="36">
        <f>IFERROR(INDEX([4]JPH!$H$14:$AB$175,MATCH($B2326,[4]JPH!$H$14:$H$175,0),17),"NA")</f>
        <v>4908200</v>
      </c>
      <c r="M2326" s="36">
        <f>IFERROR(INDEX([4]JPH!$H$14:$AB$175,MATCH($B2326,[4]JPH!$H$14:$H$175,0),18),"NA")</f>
        <v>58200</v>
      </c>
      <c r="N2326" s="36">
        <f t="shared" si="190"/>
        <v>4850000</v>
      </c>
      <c r="O2326" s="36">
        <f t="shared" si="191"/>
        <v>582000</v>
      </c>
      <c r="P2326" s="60">
        <f t="shared" si="192"/>
        <v>4268000</v>
      </c>
    </row>
    <row r="2327" spans="2:16">
      <c r="B2327" s="19" t="s">
        <v>2507</v>
      </c>
      <c r="C2327" s="61" t="s">
        <v>4</v>
      </c>
      <c r="D2327" s="61"/>
      <c r="E2327" s="20" t="s">
        <v>205</v>
      </c>
      <c r="F2327" s="20" t="str">
        <f t="shared" si="189"/>
        <v>Block 08</v>
      </c>
      <c r="G2327" s="20" t="str">
        <f t="shared" si="188"/>
        <v>Lot 03</v>
      </c>
      <c r="H2327" s="19">
        <v>113</v>
      </c>
      <c r="I2327" s="19">
        <v>60</v>
      </c>
      <c r="J2327" s="20" t="s">
        <v>2395</v>
      </c>
      <c r="K2327" s="42" t="s">
        <v>2377</v>
      </c>
      <c r="L2327" s="36">
        <f>IFERROR(INDEX([4]JPH!$H$14:$AB$175,MATCH($B2327,[4]JPH!$H$14:$H$175,0),17),"NA")</f>
        <v>6406972</v>
      </c>
      <c r="M2327" s="36">
        <f>IFERROR(INDEX([4]JPH!$H$14:$AB$175,MATCH($B2327,[4]JPH!$H$14:$H$175,0),18),"NA")</f>
        <v>75972</v>
      </c>
      <c r="N2327" s="36">
        <f t="shared" si="190"/>
        <v>6331000</v>
      </c>
      <c r="O2327" s="36">
        <f t="shared" si="191"/>
        <v>759720</v>
      </c>
      <c r="P2327" s="60">
        <f t="shared" si="192"/>
        <v>5571280</v>
      </c>
    </row>
    <row r="2328" spans="2:16">
      <c r="B2328" s="19" t="s">
        <v>2508</v>
      </c>
      <c r="C2328" s="61" t="s">
        <v>4</v>
      </c>
      <c r="D2328" s="61"/>
      <c r="E2328" s="20" t="s">
        <v>205</v>
      </c>
      <c r="F2328" s="20" t="str">
        <f t="shared" si="189"/>
        <v>Block 08</v>
      </c>
      <c r="G2328" s="20" t="str">
        <f t="shared" ref="G2328:G2361" si="193">"Lot "&amp;TEXT(VALUE(RIGHT(B2328,3)),"00")</f>
        <v>Lot 04</v>
      </c>
      <c r="H2328" s="19">
        <v>113</v>
      </c>
      <c r="I2328" s="19">
        <v>60</v>
      </c>
      <c r="J2328" s="20" t="s">
        <v>2395</v>
      </c>
      <c r="K2328" s="42" t="s">
        <v>2379</v>
      </c>
      <c r="L2328" s="36">
        <f>IFERROR(INDEX([4]JPH!$H$14:$AB$175,MATCH($B2328,[4]JPH!$H$14:$H$175,0),17),"NA")</f>
        <v>6406972</v>
      </c>
      <c r="M2328" s="36">
        <f>IFERROR(INDEX([4]JPH!$H$14:$AB$175,MATCH($B2328,[4]JPH!$H$14:$H$175,0),18),"NA")</f>
        <v>75972</v>
      </c>
      <c r="N2328" s="36">
        <f t="shared" si="190"/>
        <v>6331000</v>
      </c>
      <c r="O2328" s="36">
        <f t="shared" si="191"/>
        <v>759720</v>
      </c>
      <c r="P2328" s="60">
        <f t="shared" si="192"/>
        <v>5571280</v>
      </c>
    </row>
    <row r="2329" spans="2:16">
      <c r="B2329" s="19" t="s">
        <v>2509</v>
      </c>
      <c r="C2329" s="61" t="s">
        <v>4</v>
      </c>
      <c r="D2329" s="61"/>
      <c r="E2329" s="20" t="s">
        <v>205</v>
      </c>
      <c r="F2329" s="20" t="str">
        <f t="shared" ref="F2329:F2362" si="194">"Block "&amp;TEXT(VALUE(MID(B2329,8,3)),"00")</f>
        <v>Block 08</v>
      </c>
      <c r="G2329" s="20" t="str">
        <f t="shared" si="193"/>
        <v>Lot 05</v>
      </c>
      <c r="H2329" s="19">
        <v>113</v>
      </c>
      <c r="I2329" s="19">
        <v>60</v>
      </c>
      <c r="J2329" s="20" t="s">
        <v>2367</v>
      </c>
      <c r="K2329" s="42" t="s">
        <v>2370</v>
      </c>
      <c r="L2329" s="36">
        <f>IFERROR(INDEX([4]JPH!$H$14:$AB$175,MATCH($B2329,[4]JPH!$H$14:$H$175,0),17),"NA")</f>
        <v>5060000</v>
      </c>
      <c r="M2329" s="36">
        <f>IFERROR(INDEX([4]JPH!$H$14:$AB$175,MATCH($B2329,[4]JPH!$H$14:$H$175,0),18),"NA")</f>
        <v>60000</v>
      </c>
      <c r="N2329" s="36">
        <f t="shared" si="190"/>
        <v>5000000</v>
      </c>
      <c r="O2329" s="36">
        <f t="shared" si="191"/>
        <v>600000</v>
      </c>
      <c r="P2329" s="60">
        <f t="shared" si="192"/>
        <v>4400000</v>
      </c>
    </row>
    <row r="2330" spans="2:16">
      <c r="B2330" s="19" t="s">
        <v>2510</v>
      </c>
      <c r="C2330" s="61" t="s">
        <v>4</v>
      </c>
      <c r="D2330" s="61"/>
      <c r="E2330" s="20" t="s">
        <v>205</v>
      </c>
      <c r="F2330" s="20" t="str">
        <f t="shared" si="194"/>
        <v>Block 08</v>
      </c>
      <c r="G2330" s="20" t="str">
        <f t="shared" si="193"/>
        <v>Lot 06</v>
      </c>
      <c r="H2330" s="19">
        <v>113</v>
      </c>
      <c r="I2330" s="19">
        <v>90</v>
      </c>
      <c r="J2330" s="43" t="s">
        <v>2364</v>
      </c>
      <c r="K2330" s="42" t="s">
        <v>2372</v>
      </c>
      <c r="L2330" s="36">
        <f>IFERROR(INDEX([4]JPH!$H$14:$AB$175,MATCH($B2330,[4]JPH!$H$14:$H$175,0),17),"NA")</f>
        <v>5960680</v>
      </c>
      <c r="M2330" s="36">
        <f>IFERROR(INDEX([4]JPH!$H$14:$AB$175,MATCH($B2330,[4]JPH!$H$14:$H$175,0),18),"NA")</f>
        <v>70680</v>
      </c>
      <c r="N2330" s="36">
        <f t="shared" si="190"/>
        <v>5890000</v>
      </c>
      <c r="O2330" s="36">
        <f t="shared" si="191"/>
        <v>706800</v>
      </c>
      <c r="P2330" s="60">
        <f t="shared" si="192"/>
        <v>5183200</v>
      </c>
    </row>
    <row r="2331" spans="2:16">
      <c r="B2331" s="19" t="s">
        <v>2511</v>
      </c>
      <c r="C2331" s="61" t="s">
        <v>4</v>
      </c>
      <c r="D2331" s="61"/>
      <c r="E2331" s="20" t="s">
        <v>205</v>
      </c>
      <c r="F2331" s="20" t="str">
        <f t="shared" si="194"/>
        <v>Block 08</v>
      </c>
      <c r="G2331" s="20" t="str">
        <f t="shared" si="193"/>
        <v>Lot 07</v>
      </c>
      <c r="H2331" s="19">
        <v>113</v>
      </c>
      <c r="I2331" s="19">
        <v>90</v>
      </c>
      <c r="J2331" s="20" t="s">
        <v>2374</v>
      </c>
      <c r="K2331" s="42" t="s">
        <v>2365</v>
      </c>
      <c r="L2331" s="36">
        <f>IFERROR(INDEX([4]JPH!$H$14:$AB$175,MATCH($B2331,[4]JPH!$H$14:$H$175,0),17),"NA")</f>
        <v>7522196</v>
      </c>
      <c r="M2331" s="36">
        <f>IFERROR(INDEX([4]JPH!$H$14:$AB$175,MATCH($B2331,[4]JPH!$H$14:$H$175,0),18),"NA")</f>
        <v>89196</v>
      </c>
      <c r="N2331" s="36">
        <f t="shared" si="190"/>
        <v>7433000</v>
      </c>
      <c r="O2331" s="36">
        <f t="shared" si="191"/>
        <v>891960</v>
      </c>
      <c r="P2331" s="60">
        <f t="shared" si="192"/>
        <v>6541040</v>
      </c>
    </row>
    <row r="2332" spans="2:16">
      <c r="B2332" s="19" t="s">
        <v>2512</v>
      </c>
      <c r="C2332" s="61" t="s">
        <v>4</v>
      </c>
      <c r="D2332" s="61"/>
      <c r="E2332" s="20" t="s">
        <v>205</v>
      </c>
      <c r="F2332" s="20" t="str">
        <f t="shared" si="194"/>
        <v>Block 08</v>
      </c>
      <c r="G2332" s="20" t="str">
        <f t="shared" si="193"/>
        <v>Lot 08</v>
      </c>
      <c r="H2332" s="19">
        <v>113</v>
      </c>
      <c r="I2332" s="19">
        <v>60</v>
      </c>
      <c r="J2332" s="20" t="s">
        <v>2367</v>
      </c>
      <c r="K2332" s="42" t="s">
        <v>2368</v>
      </c>
      <c r="L2332" s="36">
        <f>IFERROR(INDEX([4]JPH!$H$14:$AB$175,MATCH($B2332,[4]JPH!$H$14:$H$175,0),17),"NA")</f>
        <v>6476800</v>
      </c>
      <c r="M2332" s="36">
        <f>IFERROR(INDEX([4]JPH!$H$14:$AB$175,MATCH($B2332,[4]JPH!$H$14:$H$175,0),18),"NA")</f>
        <v>76800</v>
      </c>
      <c r="N2332" s="36">
        <f t="shared" si="190"/>
        <v>6400000</v>
      </c>
      <c r="O2332" s="36">
        <f t="shared" si="191"/>
        <v>768000</v>
      </c>
      <c r="P2332" s="60">
        <f t="shared" si="192"/>
        <v>5632000</v>
      </c>
    </row>
    <row r="2333" spans="2:16">
      <c r="B2333" s="19" t="s">
        <v>2513</v>
      </c>
      <c r="C2333" s="61" t="s">
        <v>4</v>
      </c>
      <c r="D2333" s="61"/>
      <c r="E2333" s="20" t="s">
        <v>205</v>
      </c>
      <c r="F2333" s="20" t="str">
        <f t="shared" si="194"/>
        <v>Block 08</v>
      </c>
      <c r="G2333" s="20" t="str">
        <f t="shared" si="193"/>
        <v>Lot 09</v>
      </c>
      <c r="H2333" s="19">
        <v>113</v>
      </c>
      <c r="I2333" s="19">
        <v>60</v>
      </c>
      <c r="J2333" s="20" t="s">
        <v>2367</v>
      </c>
      <c r="K2333" s="42" t="s">
        <v>2377</v>
      </c>
      <c r="L2333" s="36">
        <f>IFERROR(INDEX([4]JPH!$H$14:$AB$175,MATCH($B2333,[4]JPH!$H$14:$H$175,0),17),"NA")</f>
        <v>5792688</v>
      </c>
      <c r="M2333" s="36">
        <f>IFERROR(INDEX([4]JPH!$H$14:$AB$175,MATCH($B2333,[4]JPH!$H$14:$H$175,0),18),"NA")</f>
        <v>68688</v>
      </c>
      <c r="N2333" s="36">
        <f t="shared" si="190"/>
        <v>5724000</v>
      </c>
      <c r="O2333" s="36">
        <f t="shared" si="191"/>
        <v>686880</v>
      </c>
      <c r="P2333" s="60">
        <f t="shared" si="192"/>
        <v>5037120</v>
      </c>
    </row>
    <row r="2334" spans="2:16">
      <c r="B2334" s="19" t="s">
        <v>2514</v>
      </c>
      <c r="C2334" s="61" t="s">
        <v>4</v>
      </c>
      <c r="D2334" s="61"/>
      <c r="E2334" s="20" t="s">
        <v>205</v>
      </c>
      <c r="F2334" s="20" t="str">
        <f t="shared" si="194"/>
        <v>Block 08</v>
      </c>
      <c r="G2334" s="20" t="str">
        <f t="shared" si="193"/>
        <v>Lot 10</v>
      </c>
      <c r="H2334" s="19">
        <v>113</v>
      </c>
      <c r="I2334" s="19">
        <v>60</v>
      </c>
      <c r="J2334" s="20" t="s">
        <v>2367</v>
      </c>
      <c r="K2334" s="42" t="s">
        <v>2370</v>
      </c>
      <c r="L2334" s="36">
        <f>IFERROR(INDEX([4]JPH!$H$14:$AB$175,MATCH($B2334,[4]JPH!$H$14:$H$175,0),17),"NA")</f>
        <v>5792687.9956628568</v>
      </c>
      <c r="M2334" s="36">
        <f>IFERROR(INDEX([4]JPH!$H$14:$AB$175,MATCH($B2334,[4]JPH!$H$14:$H$175,0),18),"NA")</f>
        <v>68687.999948571422</v>
      </c>
      <c r="N2334" s="36">
        <f t="shared" si="190"/>
        <v>5723999.9957142854</v>
      </c>
      <c r="O2334" s="36">
        <f t="shared" si="191"/>
        <v>686879.99948571424</v>
      </c>
      <c r="P2334" s="60">
        <f t="shared" si="192"/>
        <v>5037119.996228571</v>
      </c>
    </row>
    <row r="2335" spans="2:16">
      <c r="B2335" s="19" t="s">
        <v>2515</v>
      </c>
      <c r="C2335" s="61" t="s">
        <v>4</v>
      </c>
      <c r="D2335" s="61"/>
      <c r="E2335" s="20" t="s">
        <v>205</v>
      </c>
      <c r="F2335" s="20" t="str">
        <f t="shared" si="194"/>
        <v>Block 08</v>
      </c>
      <c r="G2335" s="20" t="str">
        <f t="shared" si="193"/>
        <v>Lot 11</v>
      </c>
      <c r="H2335" s="19">
        <v>113</v>
      </c>
      <c r="I2335" s="19">
        <v>92</v>
      </c>
      <c r="J2335" s="20" t="s">
        <v>2374</v>
      </c>
      <c r="K2335" s="42" t="s">
        <v>2372</v>
      </c>
      <c r="L2335" s="36">
        <f>IFERROR(INDEX([4]JPH!$H$14:$AB$175,MATCH($B2335,[4]JPH!$H$14:$H$175,0),17),"NA")</f>
        <v>6263844.8399999999</v>
      </c>
      <c r="M2335" s="36">
        <f>IFERROR(INDEX([4]JPH!$H$14:$AB$175,MATCH($B2335,[4]JPH!$H$14:$H$175,0),18),"NA")</f>
        <v>74274.84</v>
      </c>
      <c r="N2335" s="36">
        <f t="shared" si="190"/>
        <v>6189570</v>
      </c>
      <c r="O2335" s="36">
        <f t="shared" si="191"/>
        <v>742748.4</v>
      </c>
      <c r="P2335" s="60">
        <f t="shared" si="192"/>
        <v>5446821.5999999996</v>
      </c>
    </row>
    <row r="2336" spans="2:16">
      <c r="B2336" s="19" t="s">
        <v>2516</v>
      </c>
      <c r="C2336" s="61" t="s">
        <v>4</v>
      </c>
      <c r="D2336" s="61"/>
      <c r="E2336" s="20" t="s">
        <v>205</v>
      </c>
      <c r="F2336" s="20" t="str">
        <f t="shared" si="194"/>
        <v>Block 08</v>
      </c>
      <c r="G2336" s="20" t="str">
        <f t="shared" si="193"/>
        <v>Lot 12</v>
      </c>
      <c r="H2336" s="19">
        <v>113</v>
      </c>
      <c r="I2336" s="19">
        <v>91</v>
      </c>
      <c r="J2336" s="20" t="s">
        <v>2374</v>
      </c>
      <c r="K2336" s="42" t="s">
        <v>2365</v>
      </c>
      <c r="L2336" s="36">
        <f>IFERROR(INDEX([4]JPH!$H$14:$AB$175,MATCH($B2336,[4]JPH!$H$14:$H$175,0),17),"NA")</f>
        <v>6509184</v>
      </c>
      <c r="M2336" s="36">
        <f>IFERROR(INDEX([4]JPH!$H$14:$AB$175,MATCH($B2336,[4]JPH!$H$14:$H$175,0),18),"NA")</f>
        <v>77184</v>
      </c>
      <c r="N2336" s="36">
        <f t="shared" si="190"/>
        <v>6432000</v>
      </c>
      <c r="O2336" s="36">
        <f t="shared" si="191"/>
        <v>771840</v>
      </c>
      <c r="P2336" s="60">
        <f t="shared" si="192"/>
        <v>5660160</v>
      </c>
    </row>
    <row r="2337" spans="2:16">
      <c r="B2337" s="19" t="s">
        <v>2517</v>
      </c>
      <c r="C2337" s="61" t="s">
        <v>4</v>
      </c>
      <c r="D2337" s="61"/>
      <c r="E2337" s="20" t="s">
        <v>972</v>
      </c>
      <c r="F2337" s="20" t="str">
        <f t="shared" si="194"/>
        <v>Block 08</v>
      </c>
      <c r="G2337" s="20" t="str">
        <f t="shared" si="193"/>
        <v>Lot 13</v>
      </c>
      <c r="H2337" s="19">
        <v>113</v>
      </c>
      <c r="I2337" s="19">
        <v>60</v>
      </c>
      <c r="J2337" s="43" t="s">
        <v>2367</v>
      </c>
      <c r="K2337" s="42" t="s">
        <v>2368</v>
      </c>
      <c r="L2337" s="36">
        <f>IFERROR(INDEX([4]JPH!$H$14:$AB$175,MATCH($B2337,[4]JPH!$H$14:$H$175,0),17),"NA")</f>
        <v>5262400</v>
      </c>
      <c r="M2337" s="36">
        <f>IFERROR(INDEX([4]JPH!$H$14:$AB$175,MATCH($B2337,[4]JPH!$H$14:$H$175,0),18),"NA")</f>
        <v>62400</v>
      </c>
      <c r="N2337" s="36">
        <f t="shared" si="190"/>
        <v>5200000</v>
      </c>
      <c r="O2337" s="36">
        <f t="shared" si="191"/>
        <v>624000</v>
      </c>
      <c r="P2337" s="60">
        <f t="shared" si="192"/>
        <v>4576000</v>
      </c>
    </row>
    <row r="2338" spans="2:16">
      <c r="B2338" s="19" t="s">
        <v>2518</v>
      </c>
      <c r="C2338" s="61" t="s">
        <v>4</v>
      </c>
      <c r="D2338" s="61"/>
      <c r="E2338" s="20" t="s">
        <v>205</v>
      </c>
      <c r="F2338" s="20" t="str">
        <f t="shared" si="194"/>
        <v>Block 08</v>
      </c>
      <c r="G2338" s="20" t="str">
        <f t="shared" si="193"/>
        <v>Lot 14</v>
      </c>
      <c r="H2338" s="19">
        <v>113</v>
      </c>
      <c r="I2338" s="19">
        <v>60</v>
      </c>
      <c r="J2338" s="20" t="s">
        <v>2395</v>
      </c>
      <c r="K2338" s="42" t="s">
        <v>2377</v>
      </c>
      <c r="L2338" s="36">
        <f>IFERROR(INDEX([4]JPH!$H$14:$AB$175,MATCH($B2338,[4]JPH!$H$14:$H$175,0),17),"NA")</f>
        <v>6664020</v>
      </c>
      <c r="M2338" s="36">
        <f>IFERROR(INDEX([4]JPH!$H$14:$AB$175,MATCH($B2338,[4]JPH!$H$14:$H$175,0),18),"NA")</f>
        <v>79020</v>
      </c>
      <c r="N2338" s="36">
        <f t="shared" si="190"/>
        <v>6585000</v>
      </c>
      <c r="O2338" s="36">
        <f t="shared" si="191"/>
        <v>790200</v>
      </c>
      <c r="P2338" s="60">
        <f t="shared" si="192"/>
        <v>5794800</v>
      </c>
    </row>
    <row r="2339" spans="2:16">
      <c r="B2339" s="19" t="s">
        <v>2519</v>
      </c>
      <c r="C2339" s="61" t="s">
        <v>4</v>
      </c>
      <c r="D2339" s="61"/>
      <c r="E2339" s="20" t="s">
        <v>205</v>
      </c>
      <c r="F2339" s="20" t="str">
        <f t="shared" si="194"/>
        <v>Block 08</v>
      </c>
      <c r="G2339" s="20" t="str">
        <f t="shared" si="193"/>
        <v>Lot 15</v>
      </c>
      <c r="H2339" s="19">
        <v>113</v>
      </c>
      <c r="I2339" s="19">
        <v>60</v>
      </c>
      <c r="J2339" s="20" t="s">
        <v>2395</v>
      </c>
      <c r="K2339" s="42" t="s">
        <v>2370</v>
      </c>
      <c r="L2339" s="36">
        <f>IFERROR(INDEX([4]JPH!$H$14:$AB$175,MATCH($B2339,[4]JPH!$H$14:$H$175,0),17),"NA")</f>
        <v>6476800</v>
      </c>
      <c r="M2339" s="36">
        <f>IFERROR(INDEX([4]JPH!$H$14:$AB$175,MATCH($B2339,[4]JPH!$H$14:$H$175,0),18),"NA")</f>
        <v>76800</v>
      </c>
      <c r="N2339" s="36">
        <f t="shared" si="190"/>
        <v>6400000</v>
      </c>
      <c r="O2339" s="36">
        <f t="shared" si="191"/>
        <v>768000</v>
      </c>
      <c r="P2339" s="60">
        <f t="shared" si="192"/>
        <v>5632000</v>
      </c>
    </row>
    <row r="2340" spans="2:16">
      <c r="B2340" s="19" t="s">
        <v>2520</v>
      </c>
      <c r="C2340" s="61" t="s">
        <v>4</v>
      </c>
      <c r="D2340" s="61"/>
      <c r="E2340" s="20" t="s">
        <v>205</v>
      </c>
      <c r="F2340" s="20" t="str">
        <f t="shared" si="194"/>
        <v>Block 08</v>
      </c>
      <c r="G2340" s="20" t="str">
        <f t="shared" si="193"/>
        <v>Lot 16</v>
      </c>
      <c r="H2340" s="19">
        <v>113</v>
      </c>
      <c r="I2340" s="19">
        <v>90</v>
      </c>
      <c r="J2340" s="20" t="s">
        <v>2374</v>
      </c>
      <c r="K2340" s="42" t="s">
        <v>2372</v>
      </c>
      <c r="L2340" s="36">
        <f>IFERROR(INDEX([4]JPH!$H$14:$AB$175,MATCH($B2340,[4]JPH!$H$14:$H$175,0),17),"NA")</f>
        <v>5865552</v>
      </c>
      <c r="M2340" s="36">
        <f>IFERROR(INDEX([4]JPH!$H$14:$AB$175,MATCH($B2340,[4]JPH!$H$14:$H$175,0),18),"NA")</f>
        <v>69552</v>
      </c>
      <c r="N2340" s="36">
        <f t="shared" si="190"/>
        <v>5796000</v>
      </c>
      <c r="O2340" s="36">
        <f t="shared" si="191"/>
        <v>695520</v>
      </c>
      <c r="P2340" s="60">
        <f t="shared" si="192"/>
        <v>5100480</v>
      </c>
    </row>
    <row r="2341" spans="2:16">
      <c r="B2341" s="19" t="s">
        <v>2521</v>
      </c>
      <c r="C2341" s="61" t="s">
        <v>4</v>
      </c>
      <c r="D2341" s="61"/>
      <c r="E2341" s="20" t="s">
        <v>205</v>
      </c>
      <c r="F2341" s="20" t="str">
        <f t="shared" si="194"/>
        <v>Block 08</v>
      </c>
      <c r="G2341" s="20" t="str">
        <f t="shared" si="193"/>
        <v>Lot 17</v>
      </c>
      <c r="H2341" s="19">
        <v>113</v>
      </c>
      <c r="I2341" s="19">
        <v>90</v>
      </c>
      <c r="J2341" s="20" t="s">
        <v>2374</v>
      </c>
      <c r="K2341" s="42" t="s">
        <v>2365</v>
      </c>
      <c r="L2341" s="36">
        <f>IFERROR(INDEX([4]JPH!$H$14:$AB$175,MATCH($B2341,[4]JPH!$H$14:$H$175,0),17),"NA")</f>
        <v>5572274.4000000004</v>
      </c>
      <c r="M2341" s="36">
        <f>IFERROR(INDEX([4]JPH!$H$14:$AB$175,MATCH($B2341,[4]JPH!$H$14:$H$175,0),18),"NA")</f>
        <v>66074.399999999994</v>
      </c>
      <c r="N2341" s="36">
        <f t="shared" si="190"/>
        <v>5506200</v>
      </c>
      <c r="O2341" s="36">
        <f t="shared" si="191"/>
        <v>660744</v>
      </c>
      <c r="P2341" s="60">
        <f t="shared" si="192"/>
        <v>4845456</v>
      </c>
    </row>
    <row r="2342" spans="2:16">
      <c r="B2342" s="19" t="s">
        <v>2522</v>
      </c>
      <c r="C2342" s="61" t="s">
        <v>4</v>
      </c>
      <c r="D2342" s="61"/>
      <c r="E2342" s="20" t="s">
        <v>205</v>
      </c>
      <c r="F2342" s="20" t="str">
        <f t="shared" si="194"/>
        <v>Block 08</v>
      </c>
      <c r="G2342" s="20" t="str">
        <f t="shared" si="193"/>
        <v>Lot 18</v>
      </c>
      <c r="H2342" s="19">
        <v>113</v>
      </c>
      <c r="I2342" s="19">
        <v>60</v>
      </c>
      <c r="J2342" s="20" t="s">
        <v>2395</v>
      </c>
      <c r="K2342" s="42" t="s">
        <v>2368</v>
      </c>
      <c r="L2342" s="36">
        <f>IFERROR(INDEX([4]JPH!$H$14:$AB$175,MATCH($B2342,[4]JPH!$H$14:$H$175,0),17),"NA")</f>
        <v>5837216</v>
      </c>
      <c r="M2342" s="36">
        <f>IFERROR(INDEX([4]JPH!$H$14:$AB$175,MATCH($B2342,[4]JPH!$H$14:$H$175,0),18),"NA")</f>
        <v>69216</v>
      </c>
      <c r="N2342" s="36">
        <f t="shared" si="190"/>
        <v>5768000</v>
      </c>
      <c r="O2342" s="36">
        <f t="shared" si="191"/>
        <v>692160</v>
      </c>
      <c r="P2342" s="60">
        <f t="shared" si="192"/>
        <v>5075840</v>
      </c>
    </row>
    <row r="2343" spans="2:16">
      <c r="B2343" s="19" t="s">
        <v>2523</v>
      </c>
      <c r="C2343" s="61" t="s">
        <v>4</v>
      </c>
      <c r="D2343" s="61"/>
      <c r="E2343" s="20" t="s">
        <v>205</v>
      </c>
      <c r="F2343" s="20" t="str">
        <f t="shared" si="194"/>
        <v>Block 08</v>
      </c>
      <c r="G2343" s="20" t="str">
        <f t="shared" si="193"/>
        <v>Lot 19</v>
      </c>
      <c r="H2343" s="19">
        <v>113</v>
      </c>
      <c r="I2343" s="19">
        <v>60</v>
      </c>
      <c r="J2343" s="20" t="s">
        <v>2395</v>
      </c>
      <c r="K2343" s="42" t="s">
        <v>2377</v>
      </c>
      <c r="L2343" s="36">
        <f>IFERROR(INDEX([4]JPH!$H$14:$AB$175,MATCH($B2343,[4]JPH!$H$14:$H$175,0),17),"NA")</f>
        <v>5837216</v>
      </c>
      <c r="M2343" s="36">
        <f>IFERROR(INDEX([4]JPH!$H$14:$AB$175,MATCH($B2343,[4]JPH!$H$14:$H$175,0),18),"NA")</f>
        <v>69216</v>
      </c>
      <c r="N2343" s="36">
        <f t="shared" si="190"/>
        <v>5768000</v>
      </c>
      <c r="O2343" s="36">
        <f t="shared" si="191"/>
        <v>692160</v>
      </c>
      <c r="P2343" s="60">
        <f t="shared" si="192"/>
        <v>5075840</v>
      </c>
    </row>
    <row r="2344" spans="2:16">
      <c r="B2344" s="19" t="s">
        <v>2524</v>
      </c>
      <c r="C2344" s="61" t="s">
        <v>4</v>
      </c>
      <c r="D2344" s="61"/>
      <c r="E2344" s="20" t="s">
        <v>205</v>
      </c>
      <c r="F2344" s="20" t="str">
        <f t="shared" si="194"/>
        <v>Block 08</v>
      </c>
      <c r="G2344" s="20" t="str">
        <f t="shared" si="193"/>
        <v>Lot 20</v>
      </c>
      <c r="H2344" s="19">
        <v>113</v>
      </c>
      <c r="I2344" s="19">
        <v>60</v>
      </c>
      <c r="J2344" s="20" t="s">
        <v>2395</v>
      </c>
      <c r="K2344" s="42" t="s">
        <v>2379</v>
      </c>
      <c r="L2344" s="36">
        <f>IFERROR(INDEX([4]JPH!$H$14:$AB$175,MATCH($B2344,[4]JPH!$H$14:$H$175,0),17),"NA")</f>
        <v>6476800</v>
      </c>
      <c r="M2344" s="36">
        <f>IFERROR(INDEX([4]JPH!$H$14:$AB$175,MATCH($B2344,[4]JPH!$H$14:$H$175,0),18),"NA")</f>
        <v>76800</v>
      </c>
      <c r="N2344" s="36">
        <f t="shared" si="190"/>
        <v>6400000</v>
      </c>
      <c r="O2344" s="36">
        <f t="shared" si="191"/>
        <v>768000</v>
      </c>
      <c r="P2344" s="60">
        <f t="shared" si="192"/>
        <v>5632000</v>
      </c>
    </row>
    <row r="2345" spans="2:16">
      <c r="B2345" s="19" t="s">
        <v>2525</v>
      </c>
      <c r="C2345" s="61" t="s">
        <v>4</v>
      </c>
      <c r="D2345" s="61"/>
      <c r="E2345" s="20" t="s">
        <v>205</v>
      </c>
      <c r="F2345" s="20" t="str">
        <f t="shared" si="194"/>
        <v>Block 08</v>
      </c>
      <c r="G2345" s="20" t="str">
        <f t="shared" si="193"/>
        <v>Lot 21</v>
      </c>
      <c r="H2345" s="19">
        <v>113</v>
      </c>
      <c r="I2345" s="19">
        <v>60</v>
      </c>
      <c r="J2345" s="20" t="s">
        <v>2395</v>
      </c>
      <c r="K2345" s="42" t="s">
        <v>2370</v>
      </c>
      <c r="L2345" s="36">
        <f>IFERROR(INDEX([4]JPH!$H$14:$AB$175,MATCH($B2345,[4]JPH!$H$14:$H$175,0),17),"NA")</f>
        <v>5736016</v>
      </c>
      <c r="M2345" s="36">
        <f>IFERROR(INDEX([4]JPH!$H$14:$AB$175,MATCH($B2345,[4]JPH!$H$14:$H$175,0),18),"NA")</f>
        <v>68016</v>
      </c>
      <c r="N2345" s="36">
        <f t="shared" si="190"/>
        <v>5668000</v>
      </c>
      <c r="O2345" s="36">
        <f t="shared" si="191"/>
        <v>680160</v>
      </c>
      <c r="P2345" s="60">
        <f t="shared" si="192"/>
        <v>4987840</v>
      </c>
    </row>
    <row r="2346" spans="2:16">
      <c r="B2346" s="19" t="s">
        <v>2526</v>
      </c>
      <c r="C2346" s="61" t="s">
        <v>4</v>
      </c>
      <c r="D2346" s="61"/>
      <c r="E2346" s="20" t="s">
        <v>233</v>
      </c>
      <c r="F2346" s="20" t="str">
        <f t="shared" si="194"/>
        <v>Block 08</v>
      </c>
      <c r="G2346" s="20" t="str">
        <f t="shared" si="193"/>
        <v>Lot 22</v>
      </c>
      <c r="H2346" s="19">
        <v>113</v>
      </c>
      <c r="I2346" s="19">
        <v>91</v>
      </c>
      <c r="J2346" s="20" t="s">
        <v>2374</v>
      </c>
      <c r="K2346" s="42" t="s">
        <v>2372</v>
      </c>
      <c r="L2346" s="36">
        <f>IFERROR(INDEX([4]JPH!$H$14:$AB$175,MATCH($B2346,[4]JPH!$H$14:$H$175,0),17),"NA")</f>
        <v>7332952</v>
      </c>
      <c r="M2346" s="36">
        <f>IFERROR(INDEX([4]JPH!$H$14:$AB$175,MATCH($B2346,[4]JPH!$H$14:$H$175,0),18),"NA")</f>
        <v>86952</v>
      </c>
      <c r="N2346" s="36">
        <f t="shared" si="190"/>
        <v>7246000</v>
      </c>
      <c r="O2346" s="36">
        <f t="shared" si="191"/>
        <v>869520</v>
      </c>
      <c r="P2346" s="60">
        <f t="shared" si="192"/>
        <v>6376480</v>
      </c>
    </row>
    <row r="2347" spans="2:16">
      <c r="B2347" s="19" t="s">
        <v>2527</v>
      </c>
      <c r="C2347" s="61" t="s">
        <v>4</v>
      </c>
      <c r="D2347" s="61"/>
      <c r="E2347" s="20" t="s">
        <v>205</v>
      </c>
      <c r="F2347" s="20" t="str">
        <f t="shared" si="194"/>
        <v>Block 09</v>
      </c>
      <c r="G2347" s="20" t="str">
        <f t="shared" si="193"/>
        <v>Lot 01</v>
      </c>
      <c r="H2347" s="19">
        <v>113</v>
      </c>
      <c r="I2347" s="19">
        <v>83</v>
      </c>
      <c r="J2347" s="20" t="s">
        <v>2374</v>
      </c>
      <c r="K2347" s="42" t="s">
        <v>2365</v>
      </c>
      <c r="L2347" s="36">
        <f>IFERROR(INDEX([4]JPH!$H$14:$AB$175,MATCH($B2347,[4]JPH!$H$14:$H$175,0),17),"NA")</f>
        <v>7097156</v>
      </c>
      <c r="M2347" s="36">
        <f>IFERROR(INDEX([4]JPH!$H$14:$AB$175,MATCH($B2347,[4]JPH!$H$14:$H$175,0),18),"NA")</f>
        <v>84156</v>
      </c>
      <c r="N2347" s="36">
        <f t="shared" si="190"/>
        <v>7013000</v>
      </c>
      <c r="O2347" s="36">
        <f t="shared" si="191"/>
        <v>841560</v>
      </c>
      <c r="P2347" s="60">
        <f t="shared" si="192"/>
        <v>6171440</v>
      </c>
    </row>
    <row r="2348" spans="2:16">
      <c r="B2348" s="19" t="s">
        <v>2528</v>
      </c>
      <c r="C2348" s="61" t="s">
        <v>4</v>
      </c>
      <c r="D2348" s="61"/>
      <c r="E2348" s="20" t="s">
        <v>205</v>
      </c>
      <c r="F2348" s="20" t="str">
        <f t="shared" si="194"/>
        <v>Block 09</v>
      </c>
      <c r="G2348" s="20" t="str">
        <f t="shared" si="193"/>
        <v>Lot 02</v>
      </c>
      <c r="H2348" s="19">
        <v>113</v>
      </c>
      <c r="I2348" s="19">
        <v>60</v>
      </c>
      <c r="J2348" s="20" t="s">
        <v>2395</v>
      </c>
      <c r="K2348" s="42" t="s">
        <v>2368</v>
      </c>
      <c r="L2348" s="36">
        <f>IFERROR(INDEX([4]JPH!$H$14:$AB$175,MATCH($B2348,[4]JPH!$H$14:$H$175,0),17),"NA")</f>
        <v>6476800</v>
      </c>
      <c r="M2348" s="36">
        <f>IFERROR(INDEX([4]JPH!$H$14:$AB$175,MATCH($B2348,[4]JPH!$H$14:$H$175,0),18),"NA")</f>
        <v>76800</v>
      </c>
      <c r="N2348" s="36">
        <f t="shared" si="190"/>
        <v>6400000</v>
      </c>
      <c r="O2348" s="36">
        <f t="shared" si="191"/>
        <v>768000</v>
      </c>
      <c r="P2348" s="60">
        <f t="shared" si="192"/>
        <v>5632000</v>
      </c>
    </row>
    <row r="2349" spans="2:16">
      <c r="B2349" s="19" t="s">
        <v>2529</v>
      </c>
      <c r="C2349" s="61" t="s">
        <v>4</v>
      </c>
      <c r="D2349" s="61"/>
      <c r="E2349" s="20" t="s">
        <v>205</v>
      </c>
      <c r="F2349" s="20" t="str">
        <f t="shared" si="194"/>
        <v>Block 09</v>
      </c>
      <c r="G2349" s="20" t="str">
        <f t="shared" si="193"/>
        <v>Lot 03</v>
      </c>
      <c r="H2349" s="19">
        <v>113</v>
      </c>
      <c r="I2349" s="19">
        <v>60</v>
      </c>
      <c r="J2349" s="20" t="s">
        <v>2395</v>
      </c>
      <c r="K2349" s="42" t="s">
        <v>2377</v>
      </c>
      <c r="L2349" s="36">
        <f>IFERROR(INDEX([4]JPH!$H$14:$AB$175,MATCH($B2349,[4]JPH!$H$14:$H$175,0),17),"NA")</f>
        <v>6710572</v>
      </c>
      <c r="M2349" s="36">
        <f>IFERROR(INDEX([4]JPH!$H$14:$AB$175,MATCH($B2349,[4]JPH!$H$14:$H$175,0),18),"NA")</f>
        <v>79572</v>
      </c>
      <c r="N2349" s="36">
        <f t="shared" si="190"/>
        <v>6631000</v>
      </c>
      <c r="O2349" s="36">
        <f t="shared" si="191"/>
        <v>795720</v>
      </c>
      <c r="P2349" s="60">
        <f t="shared" si="192"/>
        <v>5835280</v>
      </c>
    </row>
    <row r="2350" spans="2:16">
      <c r="B2350" s="19" t="s">
        <v>2530</v>
      </c>
      <c r="C2350" s="61" t="s">
        <v>4</v>
      </c>
      <c r="D2350" s="61"/>
      <c r="E2350" s="20" t="s">
        <v>205</v>
      </c>
      <c r="F2350" s="20" t="str">
        <f t="shared" si="194"/>
        <v>Block 09</v>
      </c>
      <c r="G2350" s="20" t="str">
        <f t="shared" si="193"/>
        <v>Lot 04</v>
      </c>
      <c r="H2350" s="19">
        <v>113</v>
      </c>
      <c r="I2350" s="19">
        <v>60</v>
      </c>
      <c r="J2350" s="20" t="s">
        <v>2395</v>
      </c>
      <c r="K2350" s="42" t="s">
        <v>2379</v>
      </c>
      <c r="L2350" s="36">
        <f>IFERROR(INDEX([4]JPH!$H$14:$AB$175,MATCH($B2350,[4]JPH!$H$14:$H$175,0),17),"NA")</f>
        <v>6476800</v>
      </c>
      <c r="M2350" s="36">
        <f>IFERROR(INDEX([4]JPH!$H$14:$AB$175,MATCH($B2350,[4]JPH!$H$14:$H$175,0),18),"NA")</f>
        <v>76800</v>
      </c>
      <c r="N2350" s="36">
        <f t="shared" si="190"/>
        <v>6400000</v>
      </c>
      <c r="O2350" s="36">
        <f t="shared" si="191"/>
        <v>768000</v>
      </c>
      <c r="P2350" s="60">
        <f t="shared" si="192"/>
        <v>5632000</v>
      </c>
    </row>
    <row r="2351" spans="2:16">
      <c r="B2351" s="19" t="s">
        <v>2531</v>
      </c>
      <c r="C2351" s="61" t="s">
        <v>4</v>
      </c>
      <c r="D2351" s="61"/>
      <c r="E2351" s="20" t="s">
        <v>205</v>
      </c>
      <c r="F2351" s="20" t="str">
        <f t="shared" si="194"/>
        <v>Block 09</v>
      </c>
      <c r="G2351" s="20" t="str">
        <f t="shared" si="193"/>
        <v>Lot 05</v>
      </c>
      <c r="H2351" s="19">
        <v>113</v>
      </c>
      <c r="I2351" s="19">
        <v>60</v>
      </c>
      <c r="J2351" s="20" t="s">
        <v>2395</v>
      </c>
      <c r="K2351" s="42" t="s">
        <v>2370</v>
      </c>
      <c r="L2351" s="36">
        <f>IFERROR(INDEX([4]JPH!$H$14:$AB$175,MATCH($B2351,[4]JPH!$H$14:$H$175,0),17),"NA")</f>
        <v>6710572</v>
      </c>
      <c r="M2351" s="36">
        <f>IFERROR(INDEX([4]JPH!$H$14:$AB$175,MATCH($B2351,[4]JPH!$H$14:$H$175,0),18),"NA")</f>
        <v>79572</v>
      </c>
      <c r="N2351" s="36">
        <f t="shared" si="190"/>
        <v>6631000</v>
      </c>
      <c r="O2351" s="36">
        <f t="shared" si="191"/>
        <v>795720</v>
      </c>
      <c r="P2351" s="60">
        <f t="shared" si="192"/>
        <v>5835280</v>
      </c>
    </row>
    <row r="2352" spans="2:16">
      <c r="B2352" s="19" t="s">
        <v>2532</v>
      </c>
      <c r="C2352" s="61" t="s">
        <v>4</v>
      </c>
      <c r="D2352" s="61"/>
      <c r="E2352" s="20" t="s">
        <v>205</v>
      </c>
      <c r="F2352" s="20" t="str">
        <f t="shared" si="194"/>
        <v>Block 09</v>
      </c>
      <c r="G2352" s="20" t="str">
        <f t="shared" si="193"/>
        <v>Lot 06</v>
      </c>
      <c r="H2352" s="19">
        <v>113</v>
      </c>
      <c r="I2352" s="19">
        <v>80</v>
      </c>
      <c r="J2352" s="20" t="s">
        <v>2374</v>
      </c>
      <c r="K2352" s="42" t="s">
        <v>2372</v>
      </c>
      <c r="L2352" s="36">
        <f>IFERROR(INDEX([4]JPH!$H$14:$AB$175,MATCH($B2352,[4]JPH!$H$14:$H$175,0),17),"NA")</f>
        <v>7003040</v>
      </c>
      <c r="M2352" s="36">
        <f>IFERROR(INDEX([4]JPH!$H$14:$AB$175,MATCH($B2352,[4]JPH!$H$14:$H$175,0),18),"NA")</f>
        <v>83040</v>
      </c>
      <c r="N2352" s="36">
        <f t="shared" si="190"/>
        <v>6920000</v>
      </c>
      <c r="O2352" s="36">
        <f t="shared" si="191"/>
        <v>830400</v>
      </c>
      <c r="P2352" s="60">
        <f t="shared" si="192"/>
        <v>6089600</v>
      </c>
    </row>
    <row r="2353" spans="2:16">
      <c r="B2353" s="19" t="s">
        <v>2533</v>
      </c>
      <c r="C2353" s="61" t="s">
        <v>4</v>
      </c>
      <c r="D2353" s="61"/>
      <c r="E2353" s="20" t="s">
        <v>205</v>
      </c>
      <c r="F2353" s="20" t="str">
        <f t="shared" si="194"/>
        <v>Block 09</v>
      </c>
      <c r="G2353" s="20" t="str">
        <f t="shared" si="193"/>
        <v>Lot 07</v>
      </c>
      <c r="H2353" s="19">
        <v>113</v>
      </c>
      <c r="I2353" s="19">
        <v>80</v>
      </c>
      <c r="J2353" s="20" t="s">
        <v>2374</v>
      </c>
      <c r="K2353" s="42" t="s">
        <v>2365</v>
      </c>
      <c r="L2353" s="36">
        <f>IFERROR(INDEX([4]JPH!$H$14:$AB$175,MATCH($B2353,[4]JPH!$H$14:$H$175,0),17),"NA")</f>
        <v>6862979.2000000002</v>
      </c>
      <c r="M2353" s="36">
        <f>IFERROR(INDEX([4]JPH!$H$14:$AB$175,MATCH($B2353,[4]JPH!$H$14:$H$175,0),18),"NA")</f>
        <v>81379.199999999997</v>
      </c>
      <c r="N2353" s="36">
        <f t="shared" si="190"/>
        <v>6781600</v>
      </c>
      <c r="O2353" s="36">
        <f t="shared" si="191"/>
        <v>813792</v>
      </c>
      <c r="P2353" s="60">
        <f t="shared" si="192"/>
        <v>5967808</v>
      </c>
    </row>
    <row r="2354" spans="2:16">
      <c r="B2354" s="19" t="s">
        <v>2534</v>
      </c>
      <c r="C2354" s="61" t="s">
        <v>4</v>
      </c>
      <c r="D2354" s="61"/>
      <c r="E2354" s="20" t="s">
        <v>205</v>
      </c>
      <c r="F2354" s="20" t="str">
        <f t="shared" si="194"/>
        <v>Block 09</v>
      </c>
      <c r="G2354" s="20" t="str">
        <f t="shared" si="193"/>
        <v>Lot 08</v>
      </c>
      <c r="H2354" s="19">
        <v>113</v>
      </c>
      <c r="I2354" s="19">
        <v>60</v>
      </c>
      <c r="J2354" s="20" t="s">
        <v>2395</v>
      </c>
      <c r="K2354" s="42" t="s">
        <v>2368</v>
      </c>
      <c r="L2354" s="36">
        <f>IFERROR(INDEX([4]JPH!$H$14:$AB$175,MATCH($B2354,[4]JPH!$H$14:$H$175,0),17),"NA")</f>
        <v>6710572</v>
      </c>
      <c r="M2354" s="36">
        <f>IFERROR(INDEX([4]JPH!$H$14:$AB$175,MATCH($B2354,[4]JPH!$H$14:$H$175,0),18),"NA")</f>
        <v>79572</v>
      </c>
      <c r="N2354" s="36">
        <f t="shared" si="190"/>
        <v>6631000</v>
      </c>
      <c r="O2354" s="36">
        <f t="shared" si="191"/>
        <v>795720</v>
      </c>
      <c r="P2354" s="60">
        <f t="shared" si="192"/>
        <v>5835280</v>
      </c>
    </row>
    <row r="2355" spans="2:16">
      <c r="B2355" s="19" t="s">
        <v>2535</v>
      </c>
      <c r="C2355" s="61" t="s">
        <v>4</v>
      </c>
      <c r="D2355" s="61"/>
      <c r="E2355" s="20" t="s">
        <v>205</v>
      </c>
      <c r="F2355" s="20" t="str">
        <f t="shared" si="194"/>
        <v>Block 09</v>
      </c>
      <c r="G2355" s="20" t="str">
        <f t="shared" si="193"/>
        <v>Lot 09</v>
      </c>
      <c r="H2355" s="19">
        <v>113</v>
      </c>
      <c r="I2355" s="19">
        <v>60</v>
      </c>
      <c r="J2355" s="20" t="s">
        <v>2395</v>
      </c>
      <c r="K2355" s="42" t="s">
        <v>2377</v>
      </c>
      <c r="L2355" s="36">
        <f>IFERROR(INDEX([4]JPH!$H$14:$AB$175,MATCH($B2355,[4]JPH!$H$14:$H$175,0),17),"NA")</f>
        <v>6710572</v>
      </c>
      <c r="M2355" s="36">
        <f>IFERROR(INDEX([4]JPH!$H$14:$AB$175,MATCH($B2355,[4]JPH!$H$14:$H$175,0),18),"NA")</f>
        <v>79572</v>
      </c>
      <c r="N2355" s="36">
        <f t="shared" si="190"/>
        <v>6631000</v>
      </c>
      <c r="O2355" s="36">
        <f t="shared" si="191"/>
        <v>795720</v>
      </c>
      <c r="P2355" s="60">
        <f t="shared" si="192"/>
        <v>5835280</v>
      </c>
    </row>
    <row r="2356" spans="2:16">
      <c r="B2356" s="19" t="s">
        <v>2536</v>
      </c>
      <c r="C2356" s="61" t="s">
        <v>4</v>
      </c>
      <c r="D2356" s="61"/>
      <c r="E2356" s="20" t="s">
        <v>972</v>
      </c>
      <c r="F2356" s="20" t="str">
        <f t="shared" si="194"/>
        <v>Block 09</v>
      </c>
      <c r="G2356" s="20" t="str">
        <f t="shared" si="193"/>
        <v>Lot 10</v>
      </c>
      <c r="H2356" s="19">
        <v>113</v>
      </c>
      <c r="I2356" s="19">
        <v>60</v>
      </c>
      <c r="J2356" s="20" t="s">
        <v>2395</v>
      </c>
      <c r="K2356" s="42" t="s">
        <v>2370</v>
      </c>
      <c r="L2356" s="36">
        <f>IFERROR(INDEX([4]JPH!$H$14:$AB$175,MATCH($B2356,[4]JPH!$H$14:$H$175,0),17),"NA")</f>
        <v>5788640</v>
      </c>
      <c r="M2356" s="36">
        <f>IFERROR(INDEX([4]JPH!$H$14:$AB$175,MATCH($B2356,[4]JPH!$H$14:$H$175,0),18),"NA")</f>
        <v>68640</v>
      </c>
      <c r="N2356" s="36">
        <f t="shared" si="190"/>
        <v>5720000</v>
      </c>
      <c r="O2356" s="36">
        <f t="shared" si="191"/>
        <v>686400</v>
      </c>
      <c r="P2356" s="60">
        <f t="shared" si="192"/>
        <v>5033600</v>
      </c>
    </row>
    <row r="2357" spans="2:16">
      <c r="B2357" s="44" t="s">
        <v>2537</v>
      </c>
      <c r="C2357" s="63" t="s">
        <v>4</v>
      </c>
      <c r="D2357" s="63"/>
      <c r="E2357" s="23" t="s">
        <v>205</v>
      </c>
      <c r="F2357" s="23" t="str">
        <f t="shared" si="194"/>
        <v>Block 09</v>
      </c>
      <c r="G2357" s="23" t="str">
        <f t="shared" si="193"/>
        <v>Lot 11</v>
      </c>
      <c r="H2357" s="44">
        <v>113</v>
      </c>
      <c r="I2357" s="44">
        <v>99</v>
      </c>
      <c r="J2357" s="23" t="s">
        <v>2374</v>
      </c>
      <c r="K2357" s="45" t="s">
        <v>2372</v>
      </c>
      <c r="L2357" s="46">
        <f>IFERROR(INDEX([4]JPH!$H$14:$AB$175,MATCH($B2357,[4]JPH!$H$14:$H$175,0),17),"NA")</f>
        <v>7458035.2000000002</v>
      </c>
      <c r="M2357" s="46">
        <f>IFERROR(INDEX([4]JPH!$H$14:$AB$175,MATCH($B2357,[4]JPH!$H$14:$H$175,0),18),"NA")</f>
        <v>88435.199999999997</v>
      </c>
      <c r="N2357" s="46">
        <f t="shared" si="190"/>
        <v>7369600</v>
      </c>
      <c r="O2357" s="46">
        <f t="shared" si="191"/>
        <v>884352</v>
      </c>
      <c r="P2357" s="64">
        <f t="shared" si="192"/>
        <v>6485248</v>
      </c>
    </row>
  </sheetData>
  <sheetProtection selectLockedCells="1" selectUnlockedCells="1"/>
  <autoFilter ref="A6:Q2357" xr:uid="{65049767-F77F-43D0-B3F3-9FAD7C6FDB8B}"/>
  <conditionalFormatting sqref="B1764:B2195">
    <cfRule type="expression" dxfId="7" priority="7">
      <formula>CELL("ADDRESS")=ADDRESS(ROW(),COLUMN())</formula>
    </cfRule>
  </conditionalFormatting>
  <conditionalFormatting sqref="D1764:D2195">
    <cfRule type="expression" dxfId="6" priority="6">
      <formula>CELL("ADDRESS")=ADDRESS(ROW(),COLUMN())</formula>
    </cfRule>
  </conditionalFormatting>
  <conditionalFormatting sqref="E1764:E2195">
    <cfRule type="expression" dxfId="5" priority="5">
      <formula>CELL("ADDRESS")=ADDRESS(ROW(),COLUMN())</formula>
    </cfRule>
  </conditionalFormatting>
  <conditionalFormatting sqref="H1764:H2195">
    <cfRule type="expression" dxfId="4" priority="4">
      <formula>CELL("ADDRESS")=ADDRESS(ROW(),COLUMN())</formula>
    </cfRule>
  </conditionalFormatting>
  <conditionalFormatting sqref="I1764:I2195">
    <cfRule type="expression" dxfId="3" priority="3">
      <formula>CELL("ADDRESS")=ADDRESS(ROW(),COLUMN())</formula>
    </cfRule>
  </conditionalFormatting>
  <conditionalFormatting sqref="J1792:J1809 J1811:J1828 J1830:J1859 J1862:J1879 J1881:J1896 J1898:J1913 J1916:J1917 J1919:J1924 J1928:J1935 J1937:J1944 J1946:J1953 J1955:J1958 J1960:J1967 J1969:J1972 J1974:J1981 J1983:J1986 J1988:J1995 J1997:J2000 J2002:J2009 J2011:J2014 J2016:J2019 J2021:J2064 J2066:J2083 J2085:J2190 J2192:J2195 J1764:J1789">
    <cfRule type="expression" dxfId="2" priority="2">
      <formula>CELL("ADDRESS")=ADDRESS(ROW(),COLUMN())</formula>
    </cfRule>
  </conditionalFormatting>
  <conditionalFormatting sqref="K1764:K2195">
    <cfRule type="expression" dxfId="1" priority="1">
      <formula>CELL("ADDRESS")=ADDRESS(ROW(),COLUMN())</formula>
    </cfRule>
  </conditionalFormatting>
  <pageMargins left="0.7" right="0.7" top="0.75" bottom="0.75" header="0.3" footer="0.3"/>
  <pageSetup paperSize="8" scale="12" fitToWidth="0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23896-CD78-487E-B357-4228494CD028}">
  <sheetPr codeName="Sheet3">
    <pageSetUpPr fitToPage="1"/>
  </sheetPr>
  <dimension ref="B4:O1113"/>
  <sheetViews>
    <sheetView showGridLines="0" tabSelected="1" topLeftCell="A5" zoomScale="85" zoomScaleNormal="85" zoomScaleSheetLayoutView="85" workbookViewId="0">
      <pane xSplit="2" ySplit="2" topLeftCell="C7" activePane="bottomRight" state="frozen"/>
      <selection activeCell="A5" sqref="A5"/>
      <selection pane="topRight" activeCell="C5" sqref="C5"/>
      <selection pane="bottomLeft" activeCell="A7" sqref="A7"/>
      <selection pane="bottomRight" activeCell="A5" sqref="A1:A1048576"/>
    </sheetView>
  </sheetViews>
  <sheetFormatPr defaultColWidth="4" defaultRowHeight="14.4"/>
  <cols>
    <col min="1" max="1" width="4" style="2"/>
    <col min="2" max="2" width="19.88671875" style="2" bestFit="1" customWidth="1"/>
    <col min="3" max="3" width="23.88671875" style="2" bestFit="1" customWidth="1"/>
    <col min="4" max="4" width="13.109375" style="2" customWidth="1"/>
    <col min="5" max="5" width="21.33203125" style="2" bestFit="1" customWidth="1"/>
    <col min="6" max="6" width="21.44140625" style="2" bestFit="1" customWidth="1"/>
    <col min="7" max="7" width="9.5546875" style="2" customWidth="1"/>
    <col min="8" max="8" width="8" style="2" customWidth="1"/>
    <col min="9" max="9" width="15.5546875" style="2" bestFit="1" customWidth="1"/>
    <col min="10" max="10" width="14.33203125" style="3" bestFit="1" customWidth="1"/>
    <col min="11" max="11" width="13" style="4" customWidth="1"/>
    <col min="12" max="12" width="15.5546875" style="4" bestFit="1" customWidth="1"/>
    <col min="13" max="13" width="13.21875" style="3" bestFit="1" customWidth="1"/>
    <col min="14" max="14" width="14.33203125" style="5" bestFit="1" customWidth="1"/>
    <col min="15" max="15" width="1.6640625" style="2" customWidth="1"/>
    <col min="16" max="16384" width="4" style="2"/>
  </cols>
  <sheetData>
    <row r="4" spans="2:15">
      <c r="B4" s="7"/>
    </row>
    <row r="5" spans="2:15" s="10" customFormat="1" ht="13.8">
      <c r="B5" s="9">
        <f>SUBTOTAL(3,B7:B532)</f>
        <v>526</v>
      </c>
      <c r="C5" s="9"/>
      <c r="J5" s="4"/>
      <c r="K5" s="4"/>
      <c r="L5" s="4"/>
      <c r="M5" s="4"/>
      <c r="N5" s="11"/>
    </row>
    <row r="6" spans="2:15" s="17" customFormat="1" ht="27.6">
      <c r="B6" s="12" t="s">
        <v>5</v>
      </c>
      <c r="C6" s="12" t="s">
        <v>6</v>
      </c>
      <c r="D6" s="13" t="s">
        <v>8</v>
      </c>
      <c r="E6" s="65" t="s">
        <v>2538</v>
      </c>
      <c r="F6" s="65" t="s">
        <v>2539</v>
      </c>
      <c r="G6" s="65" t="s">
        <v>5</v>
      </c>
      <c r="H6" s="65" t="s">
        <v>2540</v>
      </c>
      <c r="I6" s="12" t="s">
        <v>2541</v>
      </c>
      <c r="J6" s="14" t="s">
        <v>15</v>
      </c>
      <c r="K6" s="14" t="s">
        <v>16</v>
      </c>
      <c r="L6" s="14" t="s">
        <v>17</v>
      </c>
      <c r="M6" s="15" t="s">
        <v>18</v>
      </c>
      <c r="N6" s="14" t="s">
        <v>19</v>
      </c>
      <c r="O6" s="16"/>
    </row>
    <row r="7" spans="2:15" s="17" customFormat="1" ht="13.8">
      <c r="B7" s="66" t="s">
        <v>2542</v>
      </c>
      <c r="C7" s="66" t="s">
        <v>2543</v>
      </c>
      <c r="D7" s="66" t="s">
        <v>233</v>
      </c>
      <c r="E7" s="66" t="s">
        <v>2544</v>
      </c>
      <c r="F7" s="66" t="s">
        <v>2545</v>
      </c>
      <c r="G7" s="66">
        <v>1</v>
      </c>
      <c r="H7" s="66">
        <v>12.5</v>
      </c>
      <c r="I7" s="66" t="s">
        <v>2546</v>
      </c>
      <c r="J7" s="67">
        <v>1010000</v>
      </c>
      <c r="K7" s="68"/>
      <c r="L7" s="68">
        <f>J7-K7</f>
        <v>1010000</v>
      </c>
      <c r="M7" s="69">
        <f>L7/112*12</f>
        <v>108214.28571428571</v>
      </c>
      <c r="N7" s="70">
        <f>L7-M7</f>
        <v>901785.71428571432</v>
      </c>
      <c r="O7" s="28"/>
    </row>
    <row r="8" spans="2:15" s="17" customFormat="1" ht="13.8">
      <c r="B8" s="71" t="s">
        <v>2547</v>
      </c>
      <c r="C8" s="71" t="s">
        <v>2543</v>
      </c>
      <c r="D8" s="71" t="s">
        <v>205</v>
      </c>
      <c r="E8" s="71" t="s">
        <v>2544</v>
      </c>
      <c r="F8" s="71" t="s">
        <v>2545</v>
      </c>
      <c r="G8" s="71">
        <v>2</v>
      </c>
      <c r="H8" s="71">
        <v>12.5</v>
      </c>
      <c r="I8" s="71" t="s">
        <v>2546</v>
      </c>
      <c r="J8" s="72">
        <v>1010000</v>
      </c>
      <c r="K8" s="73"/>
      <c r="L8" s="73">
        <f t="shared" ref="L8:L71" si="0">J8-K8</f>
        <v>1010000</v>
      </c>
      <c r="M8" s="74">
        <f t="shared" ref="M8:M46" si="1">L8/112*12</f>
        <v>108214.28571428571</v>
      </c>
      <c r="N8" s="75">
        <f t="shared" ref="N8:N71" si="2">L8-M8</f>
        <v>901785.71428571432</v>
      </c>
      <c r="O8" s="29"/>
    </row>
    <row r="9" spans="2:15" s="17" customFormat="1" ht="13.8">
      <c r="B9" s="71" t="s">
        <v>2548</v>
      </c>
      <c r="C9" s="71" t="s">
        <v>2543</v>
      </c>
      <c r="D9" s="71" t="s">
        <v>205</v>
      </c>
      <c r="E9" s="71" t="s">
        <v>2544</v>
      </c>
      <c r="F9" s="71" t="s">
        <v>2545</v>
      </c>
      <c r="G9" s="71">
        <v>3</v>
      </c>
      <c r="H9" s="71">
        <v>12.5</v>
      </c>
      <c r="I9" s="71" t="s">
        <v>2546</v>
      </c>
      <c r="J9" s="72">
        <v>1010000</v>
      </c>
      <c r="K9" s="73"/>
      <c r="L9" s="73">
        <f t="shared" si="0"/>
        <v>1010000</v>
      </c>
      <c r="M9" s="74">
        <f t="shared" si="1"/>
        <v>108214.28571428571</v>
      </c>
      <c r="N9" s="75">
        <f t="shared" si="2"/>
        <v>901785.71428571432</v>
      </c>
      <c r="O9" s="28"/>
    </row>
    <row r="10" spans="2:15" s="17" customFormat="1" ht="13.8">
      <c r="B10" s="71" t="s">
        <v>2549</v>
      </c>
      <c r="C10" s="71" t="s">
        <v>2543</v>
      </c>
      <c r="D10" s="71" t="s">
        <v>233</v>
      </c>
      <c r="E10" s="71" t="s">
        <v>2544</v>
      </c>
      <c r="F10" s="71" t="s">
        <v>2545</v>
      </c>
      <c r="G10" s="71">
        <v>4</v>
      </c>
      <c r="H10" s="71">
        <v>12.5</v>
      </c>
      <c r="I10" s="71" t="s">
        <v>2546</v>
      </c>
      <c r="J10" s="72">
        <v>1010000</v>
      </c>
      <c r="K10" s="73"/>
      <c r="L10" s="73">
        <f t="shared" si="0"/>
        <v>1010000</v>
      </c>
      <c r="M10" s="74">
        <f t="shared" si="1"/>
        <v>108214.28571428571</v>
      </c>
      <c r="N10" s="75">
        <f t="shared" si="2"/>
        <v>901785.71428571432</v>
      </c>
      <c r="O10" s="29"/>
    </row>
    <row r="11" spans="2:15" s="17" customFormat="1" ht="13.8">
      <c r="B11" s="71" t="s">
        <v>2550</v>
      </c>
      <c r="C11" s="71" t="s">
        <v>2543</v>
      </c>
      <c r="D11" s="71" t="s">
        <v>233</v>
      </c>
      <c r="E11" s="71" t="s">
        <v>2544</v>
      </c>
      <c r="F11" s="71" t="s">
        <v>2545</v>
      </c>
      <c r="G11" s="71">
        <v>5</v>
      </c>
      <c r="H11" s="71">
        <v>12.5</v>
      </c>
      <c r="I11" s="71" t="s">
        <v>2546</v>
      </c>
      <c r="J11" s="72">
        <v>1010000</v>
      </c>
      <c r="K11" s="73"/>
      <c r="L11" s="73">
        <f t="shared" si="0"/>
        <v>1010000</v>
      </c>
      <c r="M11" s="74">
        <f t="shared" si="1"/>
        <v>108214.28571428571</v>
      </c>
      <c r="N11" s="75">
        <f t="shared" si="2"/>
        <v>901785.71428571432</v>
      </c>
      <c r="O11" s="28"/>
    </row>
    <row r="12" spans="2:15" s="17" customFormat="1" ht="13.8">
      <c r="B12" s="71" t="s">
        <v>2551</v>
      </c>
      <c r="C12" s="71" t="s">
        <v>2543</v>
      </c>
      <c r="D12" s="71" t="s">
        <v>205</v>
      </c>
      <c r="E12" s="71" t="s">
        <v>2544</v>
      </c>
      <c r="F12" s="71" t="s">
        <v>2545</v>
      </c>
      <c r="G12" s="71">
        <v>6</v>
      </c>
      <c r="H12" s="71">
        <v>12.5</v>
      </c>
      <c r="I12" s="71" t="s">
        <v>2546</v>
      </c>
      <c r="J12" s="72">
        <v>1010000</v>
      </c>
      <c r="K12" s="73"/>
      <c r="L12" s="73">
        <f t="shared" si="0"/>
        <v>1010000</v>
      </c>
      <c r="M12" s="74">
        <f t="shared" si="1"/>
        <v>108214.28571428571</v>
      </c>
      <c r="N12" s="75">
        <f t="shared" si="2"/>
        <v>901785.71428571432</v>
      </c>
      <c r="O12" s="29"/>
    </row>
    <row r="13" spans="2:15" s="17" customFormat="1" ht="13.8">
      <c r="B13" s="71" t="s">
        <v>2552</v>
      </c>
      <c r="C13" s="71" t="s">
        <v>2543</v>
      </c>
      <c r="D13" s="71" t="s">
        <v>205</v>
      </c>
      <c r="E13" s="71" t="s">
        <v>2544</v>
      </c>
      <c r="F13" s="71" t="s">
        <v>2545</v>
      </c>
      <c r="G13" s="71">
        <v>7</v>
      </c>
      <c r="H13" s="71">
        <v>12.5</v>
      </c>
      <c r="I13" s="71" t="s">
        <v>2546</v>
      </c>
      <c r="J13" s="72">
        <v>1010000</v>
      </c>
      <c r="K13" s="73"/>
      <c r="L13" s="73">
        <f t="shared" si="0"/>
        <v>1010000</v>
      </c>
      <c r="M13" s="74">
        <f t="shared" si="1"/>
        <v>108214.28571428571</v>
      </c>
      <c r="N13" s="75">
        <f t="shared" si="2"/>
        <v>901785.71428571432</v>
      </c>
      <c r="O13" s="28"/>
    </row>
    <row r="14" spans="2:15" s="17" customFormat="1" ht="13.8">
      <c r="B14" s="71" t="s">
        <v>2553</v>
      </c>
      <c r="C14" s="71" t="s">
        <v>2543</v>
      </c>
      <c r="D14" s="71" t="s">
        <v>205</v>
      </c>
      <c r="E14" s="71" t="s">
        <v>2544</v>
      </c>
      <c r="F14" s="71" t="s">
        <v>2545</v>
      </c>
      <c r="G14" s="71">
        <v>8</v>
      </c>
      <c r="H14" s="71">
        <v>12.5</v>
      </c>
      <c r="I14" s="71" t="s">
        <v>2546</v>
      </c>
      <c r="J14" s="72">
        <v>1010000</v>
      </c>
      <c r="K14" s="73"/>
      <c r="L14" s="73">
        <f t="shared" si="0"/>
        <v>1010000</v>
      </c>
      <c r="M14" s="74">
        <f t="shared" si="1"/>
        <v>108214.28571428571</v>
      </c>
      <c r="N14" s="75">
        <f t="shared" si="2"/>
        <v>901785.71428571432</v>
      </c>
      <c r="O14" s="29"/>
    </row>
    <row r="15" spans="2:15" s="17" customFormat="1" ht="13.8">
      <c r="B15" s="71" t="s">
        <v>2554</v>
      </c>
      <c r="C15" s="71" t="s">
        <v>2543</v>
      </c>
      <c r="D15" s="71" t="s">
        <v>233</v>
      </c>
      <c r="E15" s="71" t="s">
        <v>2544</v>
      </c>
      <c r="F15" s="71" t="s">
        <v>2545</v>
      </c>
      <c r="G15" s="71">
        <v>9</v>
      </c>
      <c r="H15" s="71">
        <v>12.5</v>
      </c>
      <c r="I15" s="71" t="s">
        <v>2546</v>
      </c>
      <c r="J15" s="72">
        <v>1010000</v>
      </c>
      <c r="K15" s="73"/>
      <c r="L15" s="73">
        <f t="shared" si="0"/>
        <v>1010000</v>
      </c>
      <c r="M15" s="74">
        <f t="shared" si="1"/>
        <v>108214.28571428571</v>
      </c>
      <c r="N15" s="75">
        <f t="shared" si="2"/>
        <v>901785.71428571432</v>
      </c>
      <c r="O15" s="28"/>
    </row>
    <row r="16" spans="2:15" s="17" customFormat="1" ht="13.8">
      <c r="B16" s="71" t="s">
        <v>2555</v>
      </c>
      <c r="C16" s="71" t="s">
        <v>2543</v>
      </c>
      <c r="D16" s="71" t="s">
        <v>205</v>
      </c>
      <c r="E16" s="71" t="s">
        <v>2544</v>
      </c>
      <c r="F16" s="71" t="s">
        <v>2545</v>
      </c>
      <c r="G16" s="71">
        <v>10</v>
      </c>
      <c r="H16" s="71">
        <v>12.5</v>
      </c>
      <c r="I16" s="71" t="s">
        <v>2546</v>
      </c>
      <c r="J16" s="72">
        <v>1010000</v>
      </c>
      <c r="K16" s="73"/>
      <c r="L16" s="73">
        <f t="shared" si="0"/>
        <v>1010000</v>
      </c>
      <c r="M16" s="74">
        <f t="shared" si="1"/>
        <v>108214.28571428571</v>
      </c>
      <c r="N16" s="75">
        <f t="shared" si="2"/>
        <v>901785.71428571432</v>
      </c>
      <c r="O16" s="29"/>
    </row>
    <row r="17" spans="2:15" s="17" customFormat="1" ht="13.8">
      <c r="B17" s="71" t="s">
        <v>2556</v>
      </c>
      <c r="C17" s="71" t="s">
        <v>2543</v>
      </c>
      <c r="D17" s="71" t="s">
        <v>205</v>
      </c>
      <c r="E17" s="71" t="s">
        <v>2544</v>
      </c>
      <c r="F17" s="71" t="s">
        <v>2545</v>
      </c>
      <c r="G17" s="71">
        <v>11</v>
      </c>
      <c r="H17" s="71">
        <v>12.5</v>
      </c>
      <c r="I17" s="71" t="s">
        <v>2546</v>
      </c>
      <c r="J17" s="72">
        <v>1010000</v>
      </c>
      <c r="K17" s="73"/>
      <c r="L17" s="73">
        <f t="shared" si="0"/>
        <v>1010000</v>
      </c>
      <c r="M17" s="74">
        <f t="shared" si="1"/>
        <v>108214.28571428571</v>
      </c>
      <c r="N17" s="75">
        <f t="shared" si="2"/>
        <v>901785.71428571432</v>
      </c>
      <c r="O17" s="28"/>
    </row>
    <row r="18" spans="2:15" s="17" customFormat="1" ht="13.8">
      <c r="B18" s="71" t="s">
        <v>2557</v>
      </c>
      <c r="C18" s="71" t="s">
        <v>2543</v>
      </c>
      <c r="D18" s="71" t="s">
        <v>205</v>
      </c>
      <c r="E18" s="71" t="s">
        <v>2544</v>
      </c>
      <c r="F18" s="71" t="s">
        <v>2545</v>
      </c>
      <c r="G18" s="71">
        <v>12</v>
      </c>
      <c r="H18" s="71">
        <v>12.5</v>
      </c>
      <c r="I18" s="71" t="s">
        <v>2546</v>
      </c>
      <c r="J18" s="72">
        <v>1010000</v>
      </c>
      <c r="K18" s="73"/>
      <c r="L18" s="73">
        <f t="shared" si="0"/>
        <v>1010000</v>
      </c>
      <c r="M18" s="74">
        <f t="shared" si="1"/>
        <v>108214.28571428571</v>
      </c>
      <c r="N18" s="75">
        <f t="shared" si="2"/>
        <v>901785.71428571432</v>
      </c>
      <c r="O18" s="29"/>
    </row>
    <row r="19" spans="2:15" s="17" customFormat="1" ht="13.8">
      <c r="B19" s="71" t="s">
        <v>2558</v>
      </c>
      <c r="C19" s="71" t="s">
        <v>2543</v>
      </c>
      <c r="D19" s="71" t="s">
        <v>205</v>
      </c>
      <c r="E19" s="71" t="s">
        <v>2544</v>
      </c>
      <c r="F19" s="71" t="s">
        <v>2545</v>
      </c>
      <c r="G19" s="71">
        <v>13</v>
      </c>
      <c r="H19" s="71">
        <v>12.5</v>
      </c>
      <c r="I19" s="71" t="s">
        <v>2546</v>
      </c>
      <c r="J19" s="72">
        <v>1010000</v>
      </c>
      <c r="K19" s="73"/>
      <c r="L19" s="73">
        <f t="shared" si="0"/>
        <v>1010000</v>
      </c>
      <c r="M19" s="74">
        <f t="shared" si="1"/>
        <v>108214.28571428571</v>
      </c>
      <c r="N19" s="75">
        <f t="shared" si="2"/>
        <v>901785.71428571432</v>
      </c>
      <c r="O19" s="28"/>
    </row>
    <row r="20" spans="2:15" s="17" customFormat="1" ht="13.8">
      <c r="B20" s="71" t="s">
        <v>2559</v>
      </c>
      <c r="C20" s="71" t="s">
        <v>2543</v>
      </c>
      <c r="D20" s="71" t="s">
        <v>205</v>
      </c>
      <c r="E20" s="71" t="s">
        <v>2544</v>
      </c>
      <c r="F20" s="71" t="s">
        <v>2545</v>
      </c>
      <c r="G20" s="71">
        <v>14</v>
      </c>
      <c r="H20" s="71">
        <v>12.5</v>
      </c>
      <c r="I20" s="71" t="s">
        <v>2546</v>
      </c>
      <c r="J20" s="72">
        <v>1010000</v>
      </c>
      <c r="K20" s="73"/>
      <c r="L20" s="73">
        <f t="shared" si="0"/>
        <v>1010000</v>
      </c>
      <c r="M20" s="74">
        <f t="shared" si="1"/>
        <v>108214.28571428571</v>
      </c>
      <c r="N20" s="75">
        <f t="shared" si="2"/>
        <v>901785.71428571432</v>
      </c>
      <c r="O20" s="29"/>
    </row>
    <row r="21" spans="2:15" s="17" customFormat="1" ht="13.8">
      <c r="B21" s="71" t="s">
        <v>2560</v>
      </c>
      <c r="C21" s="71" t="s">
        <v>2543</v>
      </c>
      <c r="D21" s="71" t="s">
        <v>205</v>
      </c>
      <c r="E21" s="71" t="s">
        <v>2544</v>
      </c>
      <c r="F21" s="71" t="s">
        <v>2545</v>
      </c>
      <c r="G21" s="71">
        <v>15</v>
      </c>
      <c r="H21" s="71">
        <v>12.5</v>
      </c>
      <c r="I21" s="71" t="s">
        <v>2546</v>
      </c>
      <c r="J21" s="72">
        <v>1010000</v>
      </c>
      <c r="K21" s="73"/>
      <c r="L21" s="73">
        <f t="shared" si="0"/>
        <v>1010000</v>
      </c>
      <c r="M21" s="74">
        <f t="shared" si="1"/>
        <v>108214.28571428571</v>
      </c>
      <c r="N21" s="75">
        <f t="shared" si="2"/>
        <v>901785.71428571432</v>
      </c>
      <c r="O21" s="28"/>
    </row>
    <row r="22" spans="2:15" s="17" customFormat="1" ht="13.8">
      <c r="B22" s="71" t="s">
        <v>2561</v>
      </c>
      <c r="C22" s="71" t="s">
        <v>2543</v>
      </c>
      <c r="D22" s="71" t="s">
        <v>205</v>
      </c>
      <c r="E22" s="71" t="s">
        <v>2544</v>
      </c>
      <c r="F22" s="71" t="s">
        <v>2545</v>
      </c>
      <c r="G22" s="71">
        <v>16</v>
      </c>
      <c r="H22" s="71">
        <v>12.5</v>
      </c>
      <c r="I22" s="71" t="s">
        <v>2546</v>
      </c>
      <c r="J22" s="72">
        <v>1010000</v>
      </c>
      <c r="K22" s="73"/>
      <c r="L22" s="73">
        <f t="shared" si="0"/>
        <v>1010000</v>
      </c>
      <c r="M22" s="74">
        <f t="shared" si="1"/>
        <v>108214.28571428571</v>
      </c>
      <c r="N22" s="75">
        <f t="shared" si="2"/>
        <v>901785.71428571432</v>
      </c>
      <c r="O22" s="29"/>
    </row>
    <row r="23" spans="2:15" s="17" customFormat="1" ht="13.8">
      <c r="B23" s="71" t="s">
        <v>2562</v>
      </c>
      <c r="C23" s="71" t="s">
        <v>2543</v>
      </c>
      <c r="D23" s="71" t="s">
        <v>205</v>
      </c>
      <c r="E23" s="71" t="s">
        <v>2544</v>
      </c>
      <c r="F23" s="71" t="s">
        <v>2545</v>
      </c>
      <c r="G23" s="71">
        <v>17</v>
      </c>
      <c r="H23" s="71">
        <v>12.5</v>
      </c>
      <c r="I23" s="71" t="s">
        <v>2546</v>
      </c>
      <c r="J23" s="72">
        <v>1010000</v>
      </c>
      <c r="K23" s="73"/>
      <c r="L23" s="73">
        <f t="shared" si="0"/>
        <v>1010000</v>
      </c>
      <c r="M23" s="74">
        <f t="shared" si="1"/>
        <v>108214.28571428571</v>
      </c>
      <c r="N23" s="75">
        <f t="shared" si="2"/>
        <v>901785.71428571432</v>
      </c>
      <c r="O23" s="28"/>
    </row>
    <row r="24" spans="2:15" s="17" customFormat="1" ht="13.8">
      <c r="B24" s="71" t="s">
        <v>2563</v>
      </c>
      <c r="C24" s="71" t="s">
        <v>2543</v>
      </c>
      <c r="D24" s="71" t="s">
        <v>233</v>
      </c>
      <c r="E24" s="71" t="s">
        <v>2544</v>
      </c>
      <c r="F24" s="71" t="s">
        <v>2545</v>
      </c>
      <c r="G24" s="71">
        <v>18</v>
      </c>
      <c r="H24" s="71">
        <v>12.5</v>
      </c>
      <c r="I24" s="71" t="s">
        <v>2546</v>
      </c>
      <c r="J24" s="72">
        <v>1010000</v>
      </c>
      <c r="K24" s="73"/>
      <c r="L24" s="73">
        <f t="shared" si="0"/>
        <v>1010000</v>
      </c>
      <c r="M24" s="74">
        <f t="shared" si="1"/>
        <v>108214.28571428571</v>
      </c>
      <c r="N24" s="75">
        <f t="shared" si="2"/>
        <v>901785.71428571432</v>
      </c>
      <c r="O24" s="29"/>
    </row>
    <row r="25" spans="2:15" s="17" customFormat="1" ht="13.8">
      <c r="B25" s="71" t="s">
        <v>2564</v>
      </c>
      <c r="C25" s="71" t="s">
        <v>2543</v>
      </c>
      <c r="D25" s="71" t="s">
        <v>205</v>
      </c>
      <c r="E25" s="71" t="s">
        <v>2544</v>
      </c>
      <c r="F25" s="71" t="s">
        <v>2545</v>
      </c>
      <c r="G25" s="71">
        <v>19</v>
      </c>
      <c r="H25" s="71">
        <v>12.5</v>
      </c>
      <c r="I25" s="71" t="s">
        <v>2546</v>
      </c>
      <c r="J25" s="72">
        <v>1010000</v>
      </c>
      <c r="K25" s="73"/>
      <c r="L25" s="73">
        <f t="shared" si="0"/>
        <v>1010000</v>
      </c>
      <c r="M25" s="74">
        <f t="shared" si="1"/>
        <v>108214.28571428571</v>
      </c>
      <c r="N25" s="75">
        <f t="shared" si="2"/>
        <v>901785.71428571432</v>
      </c>
      <c r="O25" s="28"/>
    </row>
    <row r="26" spans="2:15" s="17" customFormat="1" ht="13.8">
      <c r="B26" s="71" t="s">
        <v>2565</v>
      </c>
      <c r="C26" s="71" t="s">
        <v>2543</v>
      </c>
      <c r="D26" s="71" t="s">
        <v>233</v>
      </c>
      <c r="E26" s="71" t="s">
        <v>2544</v>
      </c>
      <c r="F26" s="71" t="s">
        <v>2545</v>
      </c>
      <c r="G26" s="71">
        <v>20</v>
      </c>
      <c r="H26" s="71">
        <v>12.5</v>
      </c>
      <c r="I26" s="71" t="s">
        <v>2546</v>
      </c>
      <c r="J26" s="72">
        <v>1010000</v>
      </c>
      <c r="K26" s="73"/>
      <c r="L26" s="73">
        <f t="shared" si="0"/>
        <v>1010000</v>
      </c>
      <c r="M26" s="74">
        <f t="shared" si="1"/>
        <v>108214.28571428571</v>
      </c>
      <c r="N26" s="75">
        <f t="shared" si="2"/>
        <v>901785.71428571432</v>
      </c>
      <c r="O26" s="29"/>
    </row>
    <row r="27" spans="2:15" s="17" customFormat="1" ht="13.8">
      <c r="B27" s="71" t="s">
        <v>2566</v>
      </c>
      <c r="C27" s="71" t="s">
        <v>2543</v>
      </c>
      <c r="D27" s="71" t="s">
        <v>233</v>
      </c>
      <c r="E27" s="71" t="s">
        <v>2544</v>
      </c>
      <c r="F27" s="71" t="s">
        <v>2545</v>
      </c>
      <c r="G27" s="71">
        <v>21</v>
      </c>
      <c r="H27" s="71">
        <v>12.5</v>
      </c>
      <c r="I27" s="71" t="s">
        <v>2546</v>
      </c>
      <c r="J27" s="72">
        <v>1010000</v>
      </c>
      <c r="K27" s="73"/>
      <c r="L27" s="73">
        <f t="shared" si="0"/>
        <v>1010000</v>
      </c>
      <c r="M27" s="74">
        <f t="shared" si="1"/>
        <v>108214.28571428571</v>
      </c>
      <c r="N27" s="75">
        <f t="shared" si="2"/>
        <v>901785.71428571432</v>
      </c>
      <c r="O27" s="28"/>
    </row>
    <row r="28" spans="2:15" s="17" customFormat="1" ht="13.8">
      <c r="B28" s="71" t="s">
        <v>2567</v>
      </c>
      <c r="C28" s="71" t="s">
        <v>2543</v>
      </c>
      <c r="D28" s="71" t="s">
        <v>233</v>
      </c>
      <c r="E28" s="71" t="s">
        <v>2544</v>
      </c>
      <c r="F28" s="71" t="s">
        <v>2545</v>
      </c>
      <c r="G28" s="71">
        <v>22</v>
      </c>
      <c r="H28" s="71">
        <v>12.5</v>
      </c>
      <c r="I28" s="71" t="s">
        <v>2546</v>
      </c>
      <c r="J28" s="72">
        <v>1010000</v>
      </c>
      <c r="K28" s="73"/>
      <c r="L28" s="73">
        <f t="shared" si="0"/>
        <v>1010000</v>
      </c>
      <c r="M28" s="74">
        <f t="shared" si="1"/>
        <v>108214.28571428571</v>
      </c>
      <c r="N28" s="75">
        <f t="shared" si="2"/>
        <v>901785.71428571432</v>
      </c>
      <c r="O28" s="29"/>
    </row>
    <row r="29" spans="2:15" s="17" customFormat="1" ht="13.8">
      <c r="B29" s="71" t="s">
        <v>2568</v>
      </c>
      <c r="C29" s="71" t="s">
        <v>2543</v>
      </c>
      <c r="D29" s="71" t="s">
        <v>233</v>
      </c>
      <c r="E29" s="71" t="s">
        <v>2544</v>
      </c>
      <c r="F29" s="71" t="s">
        <v>2545</v>
      </c>
      <c r="G29" s="71">
        <v>23</v>
      </c>
      <c r="H29" s="71">
        <v>12.5</v>
      </c>
      <c r="I29" s="71" t="s">
        <v>2546</v>
      </c>
      <c r="J29" s="72">
        <v>1010000</v>
      </c>
      <c r="K29" s="73"/>
      <c r="L29" s="73">
        <f t="shared" si="0"/>
        <v>1010000</v>
      </c>
      <c r="M29" s="74">
        <f t="shared" si="1"/>
        <v>108214.28571428571</v>
      </c>
      <c r="N29" s="75">
        <f t="shared" si="2"/>
        <v>901785.71428571432</v>
      </c>
      <c r="O29" s="28"/>
    </row>
    <row r="30" spans="2:15" s="17" customFormat="1" ht="13.8">
      <c r="B30" s="71" t="s">
        <v>2569</v>
      </c>
      <c r="C30" s="71" t="s">
        <v>2543</v>
      </c>
      <c r="D30" s="71" t="s">
        <v>233</v>
      </c>
      <c r="E30" s="71" t="s">
        <v>2544</v>
      </c>
      <c r="F30" s="71" t="s">
        <v>2545</v>
      </c>
      <c r="G30" s="71">
        <v>24</v>
      </c>
      <c r="H30" s="71">
        <v>12.5</v>
      </c>
      <c r="I30" s="71" t="s">
        <v>2546</v>
      </c>
      <c r="J30" s="72">
        <v>1010000</v>
      </c>
      <c r="K30" s="73"/>
      <c r="L30" s="73">
        <f t="shared" si="0"/>
        <v>1010000</v>
      </c>
      <c r="M30" s="74">
        <f t="shared" si="1"/>
        <v>108214.28571428571</v>
      </c>
      <c r="N30" s="75">
        <f t="shared" si="2"/>
        <v>901785.71428571432</v>
      </c>
      <c r="O30" s="29"/>
    </row>
    <row r="31" spans="2:15" s="17" customFormat="1" ht="13.8">
      <c r="B31" s="71" t="s">
        <v>2570</v>
      </c>
      <c r="C31" s="71" t="s">
        <v>2543</v>
      </c>
      <c r="D31" s="71" t="s">
        <v>205</v>
      </c>
      <c r="E31" s="71" t="s">
        <v>2544</v>
      </c>
      <c r="F31" s="71" t="s">
        <v>2545</v>
      </c>
      <c r="G31" s="71">
        <v>25</v>
      </c>
      <c r="H31" s="71">
        <v>12.5</v>
      </c>
      <c r="I31" s="71" t="s">
        <v>2546</v>
      </c>
      <c r="J31" s="72">
        <v>1010000</v>
      </c>
      <c r="K31" s="73"/>
      <c r="L31" s="73">
        <f t="shared" si="0"/>
        <v>1010000</v>
      </c>
      <c r="M31" s="74">
        <f t="shared" si="1"/>
        <v>108214.28571428571</v>
      </c>
      <c r="N31" s="75">
        <f t="shared" si="2"/>
        <v>901785.71428571432</v>
      </c>
      <c r="O31" s="28"/>
    </row>
    <row r="32" spans="2:15" s="17" customFormat="1" ht="13.8">
      <c r="B32" s="71" t="s">
        <v>2571</v>
      </c>
      <c r="C32" s="71" t="s">
        <v>2543</v>
      </c>
      <c r="D32" s="71" t="s">
        <v>205</v>
      </c>
      <c r="E32" s="71" t="s">
        <v>2544</v>
      </c>
      <c r="F32" s="71" t="s">
        <v>2545</v>
      </c>
      <c r="G32" s="71">
        <v>26</v>
      </c>
      <c r="H32" s="71">
        <v>12.5</v>
      </c>
      <c r="I32" s="71" t="s">
        <v>2546</v>
      </c>
      <c r="J32" s="72">
        <v>1010000</v>
      </c>
      <c r="K32" s="73"/>
      <c r="L32" s="73">
        <f t="shared" si="0"/>
        <v>1010000</v>
      </c>
      <c r="M32" s="74">
        <f t="shared" si="1"/>
        <v>108214.28571428571</v>
      </c>
      <c r="N32" s="75">
        <f t="shared" si="2"/>
        <v>901785.71428571432</v>
      </c>
      <c r="O32" s="29"/>
    </row>
    <row r="33" spans="2:15" s="17" customFormat="1" ht="13.8">
      <c r="B33" s="71" t="s">
        <v>2572</v>
      </c>
      <c r="C33" s="71" t="s">
        <v>2543</v>
      </c>
      <c r="D33" s="71" t="s">
        <v>205</v>
      </c>
      <c r="E33" s="71" t="s">
        <v>2544</v>
      </c>
      <c r="F33" s="71" t="s">
        <v>2545</v>
      </c>
      <c r="G33" s="71">
        <v>27</v>
      </c>
      <c r="H33" s="71">
        <v>12.5</v>
      </c>
      <c r="I33" s="71" t="s">
        <v>2546</v>
      </c>
      <c r="J33" s="72">
        <v>1010000</v>
      </c>
      <c r="K33" s="73"/>
      <c r="L33" s="73">
        <f t="shared" si="0"/>
        <v>1010000</v>
      </c>
      <c r="M33" s="74">
        <f t="shared" si="1"/>
        <v>108214.28571428571</v>
      </c>
      <c r="N33" s="75">
        <f t="shared" si="2"/>
        <v>901785.71428571432</v>
      </c>
      <c r="O33" s="28"/>
    </row>
    <row r="34" spans="2:15" s="17" customFormat="1" ht="13.8">
      <c r="B34" s="71" t="s">
        <v>2573</v>
      </c>
      <c r="C34" s="71" t="s">
        <v>2543</v>
      </c>
      <c r="D34" s="71" t="s">
        <v>205</v>
      </c>
      <c r="E34" s="71" t="s">
        <v>2544</v>
      </c>
      <c r="F34" s="71" t="s">
        <v>2545</v>
      </c>
      <c r="G34" s="71">
        <v>28</v>
      </c>
      <c r="H34" s="71">
        <v>12.5</v>
      </c>
      <c r="I34" s="71" t="s">
        <v>2546</v>
      </c>
      <c r="J34" s="72">
        <v>1010000</v>
      </c>
      <c r="K34" s="73"/>
      <c r="L34" s="73">
        <f t="shared" si="0"/>
        <v>1010000</v>
      </c>
      <c r="M34" s="74">
        <f t="shared" si="1"/>
        <v>108214.28571428571</v>
      </c>
      <c r="N34" s="75">
        <f t="shared" si="2"/>
        <v>901785.71428571432</v>
      </c>
      <c r="O34" s="29"/>
    </row>
    <row r="35" spans="2:15" s="17" customFormat="1" ht="13.8">
      <c r="B35" s="71" t="s">
        <v>2574</v>
      </c>
      <c r="C35" s="71" t="s">
        <v>2543</v>
      </c>
      <c r="D35" s="71" t="s">
        <v>233</v>
      </c>
      <c r="E35" s="71" t="s">
        <v>2544</v>
      </c>
      <c r="F35" s="71" t="s">
        <v>2545</v>
      </c>
      <c r="G35" s="71">
        <v>29</v>
      </c>
      <c r="H35" s="71">
        <v>12.5</v>
      </c>
      <c r="I35" s="71" t="s">
        <v>2546</v>
      </c>
      <c r="J35" s="72">
        <v>1010000</v>
      </c>
      <c r="K35" s="73"/>
      <c r="L35" s="73">
        <f t="shared" si="0"/>
        <v>1010000</v>
      </c>
      <c r="M35" s="74">
        <f t="shared" si="1"/>
        <v>108214.28571428571</v>
      </c>
      <c r="N35" s="75">
        <f t="shared" si="2"/>
        <v>901785.71428571432</v>
      </c>
      <c r="O35" s="28"/>
    </row>
    <row r="36" spans="2:15" s="17" customFormat="1" ht="13.8">
      <c r="B36" s="71" t="s">
        <v>2575</v>
      </c>
      <c r="C36" s="71" t="s">
        <v>2543</v>
      </c>
      <c r="D36" s="71" t="s">
        <v>233</v>
      </c>
      <c r="E36" s="71" t="s">
        <v>2544</v>
      </c>
      <c r="F36" s="71" t="s">
        <v>2545</v>
      </c>
      <c r="G36" s="71">
        <v>30</v>
      </c>
      <c r="H36" s="71">
        <v>12.5</v>
      </c>
      <c r="I36" s="71" t="s">
        <v>2546</v>
      </c>
      <c r="J36" s="72">
        <v>1010000</v>
      </c>
      <c r="K36" s="73"/>
      <c r="L36" s="73">
        <f t="shared" si="0"/>
        <v>1010000</v>
      </c>
      <c r="M36" s="74">
        <f t="shared" si="1"/>
        <v>108214.28571428571</v>
      </c>
      <c r="N36" s="75">
        <f t="shared" si="2"/>
        <v>901785.71428571432</v>
      </c>
      <c r="O36" s="29"/>
    </row>
    <row r="37" spans="2:15" s="17" customFormat="1" ht="13.8">
      <c r="B37" s="71" t="s">
        <v>2576</v>
      </c>
      <c r="C37" s="71" t="s">
        <v>2543</v>
      </c>
      <c r="D37" s="71" t="s">
        <v>233</v>
      </c>
      <c r="E37" s="71" t="s">
        <v>2544</v>
      </c>
      <c r="F37" s="71" t="s">
        <v>2545</v>
      </c>
      <c r="G37" s="71">
        <v>31</v>
      </c>
      <c r="H37" s="71">
        <v>12.5</v>
      </c>
      <c r="I37" s="71" t="s">
        <v>2546</v>
      </c>
      <c r="J37" s="72">
        <v>1010000</v>
      </c>
      <c r="K37" s="73"/>
      <c r="L37" s="73">
        <f t="shared" si="0"/>
        <v>1010000</v>
      </c>
      <c r="M37" s="74">
        <f t="shared" si="1"/>
        <v>108214.28571428571</v>
      </c>
      <c r="N37" s="75">
        <f t="shared" si="2"/>
        <v>901785.71428571432</v>
      </c>
      <c r="O37" s="28"/>
    </row>
    <row r="38" spans="2:15" s="17" customFormat="1" ht="13.8">
      <c r="B38" s="71" t="s">
        <v>2577</v>
      </c>
      <c r="C38" s="71" t="s">
        <v>2543</v>
      </c>
      <c r="D38" s="71" t="s">
        <v>233</v>
      </c>
      <c r="E38" s="71" t="s">
        <v>2544</v>
      </c>
      <c r="F38" s="71" t="s">
        <v>2545</v>
      </c>
      <c r="G38" s="71">
        <v>32</v>
      </c>
      <c r="H38" s="71">
        <v>12.5</v>
      </c>
      <c r="I38" s="71" t="s">
        <v>2546</v>
      </c>
      <c r="J38" s="72">
        <v>1010000</v>
      </c>
      <c r="K38" s="73"/>
      <c r="L38" s="73">
        <f t="shared" si="0"/>
        <v>1010000</v>
      </c>
      <c r="M38" s="74">
        <f t="shared" si="1"/>
        <v>108214.28571428571</v>
      </c>
      <c r="N38" s="75">
        <f t="shared" si="2"/>
        <v>901785.71428571432</v>
      </c>
      <c r="O38" s="29"/>
    </row>
    <row r="39" spans="2:15" s="17" customFormat="1" ht="13.8">
      <c r="B39" s="71" t="s">
        <v>2578</v>
      </c>
      <c r="C39" s="71" t="s">
        <v>2543</v>
      </c>
      <c r="D39" s="71" t="s">
        <v>233</v>
      </c>
      <c r="E39" s="71" t="s">
        <v>2544</v>
      </c>
      <c r="F39" s="71" t="s">
        <v>2545</v>
      </c>
      <c r="G39" s="71">
        <v>33</v>
      </c>
      <c r="H39" s="71">
        <v>12.5</v>
      </c>
      <c r="I39" s="71" t="s">
        <v>2546</v>
      </c>
      <c r="J39" s="72">
        <v>1010000</v>
      </c>
      <c r="K39" s="73"/>
      <c r="L39" s="73">
        <f t="shared" si="0"/>
        <v>1010000</v>
      </c>
      <c r="M39" s="74">
        <f t="shared" si="1"/>
        <v>108214.28571428571</v>
      </c>
      <c r="N39" s="75">
        <f t="shared" si="2"/>
        <v>901785.71428571432</v>
      </c>
      <c r="O39" s="28"/>
    </row>
    <row r="40" spans="2:15" s="17" customFormat="1" ht="13.8">
      <c r="B40" s="71" t="s">
        <v>2579</v>
      </c>
      <c r="C40" s="71" t="s">
        <v>2543</v>
      </c>
      <c r="D40" s="71" t="s">
        <v>233</v>
      </c>
      <c r="E40" s="71" t="s">
        <v>2544</v>
      </c>
      <c r="F40" s="71" t="s">
        <v>2545</v>
      </c>
      <c r="G40" s="71">
        <v>34</v>
      </c>
      <c r="H40" s="71">
        <v>12.5</v>
      </c>
      <c r="I40" s="71" t="s">
        <v>2546</v>
      </c>
      <c r="J40" s="72">
        <v>1010000</v>
      </c>
      <c r="K40" s="73"/>
      <c r="L40" s="73">
        <f t="shared" si="0"/>
        <v>1010000</v>
      </c>
      <c r="M40" s="74">
        <f t="shared" si="1"/>
        <v>108214.28571428571</v>
      </c>
      <c r="N40" s="75">
        <f t="shared" si="2"/>
        <v>901785.71428571432</v>
      </c>
      <c r="O40" s="29"/>
    </row>
    <row r="41" spans="2:15" s="17" customFormat="1" ht="13.8">
      <c r="B41" s="71" t="s">
        <v>2580</v>
      </c>
      <c r="C41" s="71" t="s">
        <v>2543</v>
      </c>
      <c r="D41" s="71" t="s">
        <v>233</v>
      </c>
      <c r="E41" s="71" t="s">
        <v>2544</v>
      </c>
      <c r="F41" s="71" t="s">
        <v>2545</v>
      </c>
      <c r="G41" s="71">
        <v>35</v>
      </c>
      <c r="H41" s="71">
        <v>12.5</v>
      </c>
      <c r="I41" s="71" t="s">
        <v>2546</v>
      </c>
      <c r="J41" s="72">
        <v>1010000</v>
      </c>
      <c r="K41" s="73"/>
      <c r="L41" s="73">
        <f t="shared" si="0"/>
        <v>1010000</v>
      </c>
      <c r="M41" s="74">
        <f t="shared" si="1"/>
        <v>108214.28571428571</v>
      </c>
      <c r="N41" s="75">
        <f t="shared" si="2"/>
        <v>901785.71428571432</v>
      </c>
      <c r="O41" s="28"/>
    </row>
    <row r="42" spans="2:15" s="17" customFormat="1" ht="13.8">
      <c r="B42" s="71" t="s">
        <v>2581</v>
      </c>
      <c r="C42" s="71" t="s">
        <v>2543</v>
      </c>
      <c r="D42" s="71" t="s">
        <v>233</v>
      </c>
      <c r="E42" s="71" t="s">
        <v>2544</v>
      </c>
      <c r="F42" s="71" t="s">
        <v>2545</v>
      </c>
      <c r="G42" s="71">
        <v>36</v>
      </c>
      <c r="H42" s="71">
        <v>12.5</v>
      </c>
      <c r="I42" s="71" t="s">
        <v>2546</v>
      </c>
      <c r="J42" s="72">
        <v>1010000</v>
      </c>
      <c r="K42" s="73"/>
      <c r="L42" s="73">
        <f t="shared" si="0"/>
        <v>1010000</v>
      </c>
      <c r="M42" s="74">
        <f t="shared" si="1"/>
        <v>108214.28571428571</v>
      </c>
      <c r="N42" s="75">
        <f t="shared" si="2"/>
        <v>901785.71428571432</v>
      </c>
      <c r="O42" s="29"/>
    </row>
    <row r="43" spans="2:15" s="17" customFormat="1" ht="13.8">
      <c r="B43" s="71" t="s">
        <v>2582</v>
      </c>
      <c r="C43" s="71" t="s">
        <v>2543</v>
      </c>
      <c r="D43" s="71" t="s">
        <v>205</v>
      </c>
      <c r="E43" s="71" t="s">
        <v>2544</v>
      </c>
      <c r="F43" s="71" t="s">
        <v>2545</v>
      </c>
      <c r="G43" s="71">
        <v>37</v>
      </c>
      <c r="H43" s="71">
        <v>12.5</v>
      </c>
      <c r="I43" s="71" t="s">
        <v>2546</v>
      </c>
      <c r="J43" s="72">
        <v>1010000</v>
      </c>
      <c r="K43" s="73"/>
      <c r="L43" s="73">
        <f t="shared" si="0"/>
        <v>1010000</v>
      </c>
      <c r="M43" s="74">
        <f t="shared" si="1"/>
        <v>108214.28571428571</v>
      </c>
      <c r="N43" s="75">
        <f t="shared" si="2"/>
        <v>901785.71428571432</v>
      </c>
      <c r="O43" s="28"/>
    </row>
    <row r="44" spans="2:15" s="17" customFormat="1" ht="13.8">
      <c r="B44" s="71" t="s">
        <v>2583</v>
      </c>
      <c r="C44" s="71" t="s">
        <v>2543</v>
      </c>
      <c r="D44" s="71" t="s">
        <v>205</v>
      </c>
      <c r="E44" s="71" t="s">
        <v>2544</v>
      </c>
      <c r="F44" s="71" t="s">
        <v>2545</v>
      </c>
      <c r="G44" s="71">
        <v>38</v>
      </c>
      <c r="H44" s="71">
        <v>12.5</v>
      </c>
      <c r="I44" s="71" t="s">
        <v>2546</v>
      </c>
      <c r="J44" s="72">
        <v>1010000</v>
      </c>
      <c r="K44" s="73"/>
      <c r="L44" s="73">
        <f t="shared" si="0"/>
        <v>1010000</v>
      </c>
      <c r="M44" s="74">
        <f t="shared" si="1"/>
        <v>108214.28571428571</v>
      </c>
      <c r="N44" s="75">
        <f t="shared" si="2"/>
        <v>901785.71428571432</v>
      </c>
      <c r="O44" s="29"/>
    </row>
    <row r="45" spans="2:15" s="17" customFormat="1" ht="13.8">
      <c r="B45" s="71" t="s">
        <v>2584</v>
      </c>
      <c r="C45" s="71" t="s">
        <v>2543</v>
      </c>
      <c r="D45" s="71" t="s">
        <v>233</v>
      </c>
      <c r="E45" s="71" t="s">
        <v>2544</v>
      </c>
      <c r="F45" s="71" t="s">
        <v>2545</v>
      </c>
      <c r="G45" s="71">
        <v>39</v>
      </c>
      <c r="H45" s="71">
        <v>12.5</v>
      </c>
      <c r="I45" s="71" t="s">
        <v>2546</v>
      </c>
      <c r="J45" s="72">
        <v>1010000</v>
      </c>
      <c r="K45" s="73"/>
      <c r="L45" s="73">
        <f t="shared" si="0"/>
        <v>1010000</v>
      </c>
      <c r="M45" s="74">
        <f t="shared" si="1"/>
        <v>108214.28571428571</v>
      </c>
      <c r="N45" s="75">
        <f t="shared" si="2"/>
        <v>901785.71428571432</v>
      </c>
      <c r="O45" s="28"/>
    </row>
    <row r="46" spans="2:15" s="17" customFormat="1" ht="13.8">
      <c r="B46" s="71" t="s">
        <v>2585</v>
      </c>
      <c r="C46" s="71" t="s">
        <v>2543</v>
      </c>
      <c r="D46" s="71" t="s">
        <v>233</v>
      </c>
      <c r="E46" s="71" t="s">
        <v>2544</v>
      </c>
      <c r="F46" s="71" t="s">
        <v>2545</v>
      </c>
      <c r="G46" s="71">
        <v>40</v>
      </c>
      <c r="H46" s="71">
        <v>12.5</v>
      </c>
      <c r="I46" s="71" t="s">
        <v>2546</v>
      </c>
      <c r="J46" s="72">
        <v>1010000</v>
      </c>
      <c r="K46" s="73"/>
      <c r="L46" s="73">
        <f t="shared" si="0"/>
        <v>1010000</v>
      </c>
      <c r="M46" s="74">
        <f t="shared" si="1"/>
        <v>108214.28571428571</v>
      </c>
      <c r="N46" s="75">
        <f t="shared" si="2"/>
        <v>901785.71428571432</v>
      </c>
      <c r="O46" s="29"/>
    </row>
    <row r="47" spans="2:15" s="17" customFormat="1" ht="13.8">
      <c r="B47" s="71" t="s">
        <v>2586</v>
      </c>
      <c r="C47" s="71" t="s">
        <v>2543</v>
      </c>
      <c r="D47" s="71" t="s">
        <v>205</v>
      </c>
      <c r="E47" s="71" t="s">
        <v>2544</v>
      </c>
      <c r="F47" s="71" t="s">
        <v>2587</v>
      </c>
      <c r="G47" s="71" t="s">
        <v>2365</v>
      </c>
      <c r="H47" s="71">
        <v>24</v>
      </c>
      <c r="I47" s="71" t="s">
        <v>2588</v>
      </c>
      <c r="J47" s="72">
        <v>2500000</v>
      </c>
      <c r="K47" s="73"/>
      <c r="L47" s="73">
        <f t="shared" si="0"/>
        <v>2500000</v>
      </c>
      <c r="M47" s="74"/>
      <c r="N47" s="75">
        <f t="shared" si="2"/>
        <v>2500000</v>
      </c>
      <c r="O47" s="28"/>
    </row>
    <row r="48" spans="2:15" s="17" customFormat="1" ht="13.8">
      <c r="B48" s="71" t="s">
        <v>2589</v>
      </c>
      <c r="C48" s="71" t="s">
        <v>2543</v>
      </c>
      <c r="D48" s="71" t="s">
        <v>205</v>
      </c>
      <c r="E48" s="71" t="s">
        <v>2544</v>
      </c>
      <c r="F48" s="71" t="s">
        <v>2587</v>
      </c>
      <c r="G48" s="71" t="s">
        <v>2368</v>
      </c>
      <c r="H48" s="71">
        <v>20</v>
      </c>
      <c r="I48" s="71" t="s">
        <v>2590</v>
      </c>
      <c r="J48" s="72">
        <v>2500000</v>
      </c>
      <c r="K48" s="73"/>
      <c r="L48" s="73">
        <f t="shared" si="0"/>
        <v>2500000</v>
      </c>
      <c r="M48" s="74"/>
      <c r="N48" s="75">
        <f t="shared" si="2"/>
        <v>2500000</v>
      </c>
      <c r="O48" s="29"/>
    </row>
    <row r="49" spans="2:15" s="17" customFormat="1" ht="13.8">
      <c r="B49" s="71" t="s">
        <v>2591</v>
      </c>
      <c r="C49" s="71" t="s">
        <v>2543</v>
      </c>
      <c r="D49" s="71" t="s">
        <v>233</v>
      </c>
      <c r="E49" s="71" t="s">
        <v>2544</v>
      </c>
      <c r="F49" s="71" t="s">
        <v>2587</v>
      </c>
      <c r="G49" s="71" t="s">
        <v>2377</v>
      </c>
      <c r="H49" s="71">
        <v>28</v>
      </c>
      <c r="I49" s="71" t="s">
        <v>2592</v>
      </c>
      <c r="J49" s="72">
        <v>3280000</v>
      </c>
      <c r="K49" s="73"/>
      <c r="L49" s="73">
        <f t="shared" si="0"/>
        <v>3280000</v>
      </c>
      <c r="M49" s="74"/>
      <c r="N49" s="75">
        <f t="shared" si="2"/>
        <v>3280000</v>
      </c>
      <c r="O49" s="28"/>
    </row>
    <row r="50" spans="2:15" s="17" customFormat="1" ht="13.8">
      <c r="B50" s="71" t="s">
        <v>2593</v>
      </c>
      <c r="C50" s="71" t="s">
        <v>2543</v>
      </c>
      <c r="D50" s="71" t="s">
        <v>233</v>
      </c>
      <c r="E50" s="71" t="s">
        <v>2544</v>
      </c>
      <c r="F50" s="71" t="s">
        <v>2587</v>
      </c>
      <c r="G50" s="71" t="s">
        <v>2379</v>
      </c>
      <c r="H50" s="71">
        <v>28</v>
      </c>
      <c r="I50" s="71" t="s">
        <v>2592</v>
      </c>
      <c r="J50" s="72">
        <v>3280000</v>
      </c>
      <c r="K50" s="73"/>
      <c r="L50" s="73">
        <f t="shared" si="0"/>
        <v>3280000</v>
      </c>
      <c r="M50" s="74"/>
      <c r="N50" s="75">
        <f t="shared" si="2"/>
        <v>3280000</v>
      </c>
      <c r="O50" s="29"/>
    </row>
    <row r="51" spans="2:15" s="17" customFormat="1" ht="13.8">
      <c r="B51" s="71" t="s">
        <v>2594</v>
      </c>
      <c r="C51" s="71" t="s">
        <v>2543</v>
      </c>
      <c r="D51" s="71" t="s">
        <v>233</v>
      </c>
      <c r="E51" s="71" t="s">
        <v>2544</v>
      </c>
      <c r="F51" s="71" t="s">
        <v>2587</v>
      </c>
      <c r="G51" s="71" t="s">
        <v>2370</v>
      </c>
      <c r="H51" s="71">
        <v>28</v>
      </c>
      <c r="I51" s="71" t="s">
        <v>2592</v>
      </c>
      <c r="J51" s="72">
        <v>3280000</v>
      </c>
      <c r="K51" s="73"/>
      <c r="L51" s="73">
        <f t="shared" si="0"/>
        <v>3280000</v>
      </c>
      <c r="M51" s="74">
        <f>L51*12/112</f>
        <v>351428.57142857142</v>
      </c>
      <c r="N51" s="75">
        <f t="shared" si="2"/>
        <v>2928571.4285714286</v>
      </c>
      <c r="O51" s="28"/>
    </row>
    <row r="52" spans="2:15" s="17" customFormat="1" ht="13.8">
      <c r="B52" s="71" t="s">
        <v>2595</v>
      </c>
      <c r="C52" s="71" t="s">
        <v>2543</v>
      </c>
      <c r="D52" s="71" t="s">
        <v>233</v>
      </c>
      <c r="E52" s="71" t="s">
        <v>2544</v>
      </c>
      <c r="F52" s="71" t="s">
        <v>2587</v>
      </c>
      <c r="G52" s="71" t="s">
        <v>2372</v>
      </c>
      <c r="H52" s="71">
        <v>28</v>
      </c>
      <c r="I52" s="71" t="s">
        <v>2592</v>
      </c>
      <c r="J52" s="72">
        <v>3280000</v>
      </c>
      <c r="K52" s="73"/>
      <c r="L52" s="73">
        <f t="shared" si="0"/>
        <v>3280000</v>
      </c>
      <c r="M52" s="74"/>
      <c r="N52" s="75">
        <f t="shared" si="2"/>
        <v>3280000</v>
      </c>
      <c r="O52" s="29"/>
    </row>
    <row r="53" spans="2:15" s="17" customFormat="1" ht="13.8">
      <c r="B53" s="71" t="s">
        <v>2596</v>
      </c>
      <c r="C53" s="71" t="s">
        <v>2543</v>
      </c>
      <c r="D53" s="71" t="s">
        <v>233</v>
      </c>
      <c r="E53" s="71" t="s">
        <v>2544</v>
      </c>
      <c r="F53" s="71" t="s">
        <v>2587</v>
      </c>
      <c r="G53" s="71" t="s">
        <v>2597</v>
      </c>
      <c r="H53" s="71">
        <v>28</v>
      </c>
      <c r="I53" s="71" t="s">
        <v>2592</v>
      </c>
      <c r="J53" s="72">
        <v>3280000</v>
      </c>
      <c r="K53" s="73"/>
      <c r="L53" s="73">
        <f t="shared" si="0"/>
        <v>3280000</v>
      </c>
      <c r="M53" s="74"/>
      <c r="N53" s="75">
        <f t="shared" si="2"/>
        <v>3280000</v>
      </c>
      <c r="O53" s="28"/>
    </row>
    <row r="54" spans="2:15" s="17" customFormat="1" ht="13.8">
      <c r="B54" s="71" t="s">
        <v>2598</v>
      </c>
      <c r="C54" s="71" t="s">
        <v>2543</v>
      </c>
      <c r="D54" s="71" t="s">
        <v>233</v>
      </c>
      <c r="E54" s="71" t="s">
        <v>2544</v>
      </c>
      <c r="F54" s="71" t="s">
        <v>2587</v>
      </c>
      <c r="G54" s="71" t="s">
        <v>2599</v>
      </c>
      <c r="H54" s="71">
        <v>28</v>
      </c>
      <c r="I54" s="71" t="s">
        <v>2592</v>
      </c>
      <c r="J54" s="72">
        <v>3280000</v>
      </c>
      <c r="K54" s="73"/>
      <c r="L54" s="73">
        <f t="shared" si="0"/>
        <v>3280000</v>
      </c>
      <c r="M54" s="74"/>
      <c r="N54" s="75">
        <f t="shared" si="2"/>
        <v>3280000</v>
      </c>
      <c r="O54" s="29"/>
    </row>
    <row r="55" spans="2:15" s="17" customFormat="1" ht="13.8">
      <c r="B55" s="71" t="s">
        <v>2600</v>
      </c>
      <c r="C55" s="71" t="s">
        <v>2543</v>
      </c>
      <c r="D55" s="71" t="s">
        <v>233</v>
      </c>
      <c r="E55" s="71" t="s">
        <v>2544</v>
      </c>
      <c r="F55" s="71" t="s">
        <v>2587</v>
      </c>
      <c r="G55" s="71" t="s">
        <v>2601</v>
      </c>
      <c r="H55" s="71">
        <v>28</v>
      </c>
      <c r="I55" s="71" t="s">
        <v>2592</v>
      </c>
      <c r="J55" s="72">
        <v>3280000</v>
      </c>
      <c r="K55" s="73"/>
      <c r="L55" s="73">
        <f t="shared" si="0"/>
        <v>3280000</v>
      </c>
      <c r="M55" s="74">
        <f>IF(L55&lt;3600001,0,L55*12%)</f>
        <v>0</v>
      </c>
      <c r="N55" s="75">
        <f t="shared" si="2"/>
        <v>3280000</v>
      </c>
      <c r="O55" s="28"/>
    </row>
    <row r="56" spans="2:15" s="17" customFormat="1" ht="13.8">
      <c r="B56" s="71" t="s">
        <v>2602</v>
      </c>
      <c r="C56" s="71" t="s">
        <v>2543</v>
      </c>
      <c r="D56" s="71" t="s">
        <v>205</v>
      </c>
      <c r="E56" s="71" t="s">
        <v>2544</v>
      </c>
      <c r="F56" s="71" t="s">
        <v>2587</v>
      </c>
      <c r="G56" s="71" t="s">
        <v>2603</v>
      </c>
      <c r="H56" s="71">
        <v>28</v>
      </c>
      <c r="I56" s="71" t="s">
        <v>2592</v>
      </c>
      <c r="J56" s="72">
        <v>3280000</v>
      </c>
      <c r="K56" s="73"/>
      <c r="L56" s="73">
        <f t="shared" si="0"/>
        <v>3280000</v>
      </c>
      <c r="M56" s="74"/>
      <c r="N56" s="75">
        <f t="shared" si="2"/>
        <v>3280000</v>
      </c>
      <c r="O56" s="29"/>
    </row>
    <row r="57" spans="2:15" s="17" customFormat="1" ht="13.8">
      <c r="B57" s="71" t="s">
        <v>2604</v>
      </c>
      <c r="C57" s="71" t="s">
        <v>2543</v>
      </c>
      <c r="D57" s="71" t="s">
        <v>205</v>
      </c>
      <c r="E57" s="71" t="s">
        <v>2544</v>
      </c>
      <c r="F57" s="71" t="s">
        <v>2587</v>
      </c>
      <c r="G57" s="71" t="s">
        <v>2605</v>
      </c>
      <c r="H57" s="71">
        <v>20</v>
      </c>
      <c r="I57" s="71" t="s">
        <v>2590</v>
      </c>
      <c r="J57" s="72">
        <v>2500000</v>
      </c>
      <c r="K57" s="73"/>
      <c r="L57" s="73">
        <f t="shared" si="0"/>
        <v>2500000</v>
      </c>
      <c r="M57" s="74"/>
      <c r="N57" s="75">
        <f t="shared" si="2"/>
        <v>2500000</v>
      </c>
      <c r="O57" s="28"/>
    </row>
    <row r="58" spans="2:15" s="17" customFormat="1" ht="13.8">
      <c r="B58" s="71" t="s">
        <v>2606</v>
      </c>
      <c r="C58" s="71" t="s">
        <v>2543</v>
      </c>
      <c r="D58" s="71" t="s">
        <v>233</v>
      </c>
      <c r="E58" s="71" t="s">
        <v>2544</v>
      </c>
      <c r="F58" s="71" t="s">
        <v>2587</v>
      </c>
      <c r="G58" s="71" t="s">
        <v>2607</v>
      </c>
      <c r="H58" s="71">
        <v>24</v>
      </c>
      <c r="I58" s="71" t="s">
        <v>2588</v>
      </c>
      <c r="J58" s="72">
        <v>2500000</v>
      </c>
      <c r="K58" s="73"/>
      <c r="L58" s="73">
        <f t="shared" si="0"/>
        <v>2500000</v>
      </c>
      <c r="M58" s="74"/>
      <c r="N58" s="75">
        <f t="shared" si="2"/>
        <v>2500000</v>
      </c>
      <c r="O58" s="29"/>
    </row>
    <row r="59" spans="2:15" s="17" customFormat="1" ht="13.8">
      <c r="B59" s="71" t="s">
        <v>2608</v>
      </c>
      <c r="C59" s="71" t="s">
        <v>2543</v>
      </c>
      <c r="D59" s="71" t="s">
        <v>243</v>
      </c>
      <c r="E59" s="71" t="s">
        <v>2544</v>
      </c>
      <c r="F59" s="71" t="s">
        <v>2587</v>
      </c>
      <c r="G59" s="71" t="s">
        <v>2609</v>
      </c>
      <c r="H59" s="71">
        <v>24</v>
      </c>
      <c r="I59" s="71" t="s">
        <v>2588</v>
      </c>
      <c r="J59" s="72">
        <v>2500000</v>
      </c>
      <c r="K59" s="73"/>
      <c r="L59" s="73">
        <f t="shared" si="0"/>
        <v>2500000</v>
      </c>
      <c r="M59" s="74"/>
      <c r="N59" s="75">
        <f t="shared" si="2"/>
        <v>2500000</v>
      </c>
      <c r="O59" s="28"/>
    </row>
    <row r="60" spans="2:15" s="17" customFormat="1" ht="13.8">
      <c r="B60" s="71" t="s">
        <v>2610</v>
      </c>
      <c r="C60" s="71" t="s">
        <v>2543</v>
      </c>
      <c r="D60" s="71" t="s">
        <v>205</v>
      </c>
      <c r="E60" s="71" t="s">
        <v>2544</v>
      </c>
      <c r="F60" s="71" t="s">
        <v>2587</v>
      </c>
      <c r="G60" s="71" t="s">
        <v>2611</v>
      </c>
      <c r="H60" s="71">
        <v>20</v>
      </c>
      <c r="I60" s="71" t="s">
        <v>2590</v>
      </c>
      <c r="J60" s="72">
        <v>2500000</v>
      </c>
      <c r="K60" s="73"/>
      <c r="L60" s="73">
        <f t="shared" si="0"/>
        <v>2500000</v>
      </c>
      <c r="M60" s="74"/>
      <c r="N60" s="75">
        <f t="shared" si="2"/>
        <v>2500000</v>
      </c>
      <c r="O60" s="29"/>
    </row>
    <row r="61" spans="2:15" s="17" customFormat="1" ht="13.8">
      <c r="B61" s="71" t="s">
        <v>2612</v>
      </c>
      <c r="C61" s="71" t="s">
        <v>2543</v>
      </c>
      <c r="D61" s="71" t="s">
        <v>205</v>
      </c>
      <c r="E61" s="71" t="s">
        <v>2544</v>
      </c>
      <c r="F61" s="71" t="s">
        <v>2587</v>
      </c>
      <c r="G61" s="71" t="s">
        <v>2613</v>
      </c>
      <c r="H61" s="71">
        <v>28</v>
      </c>
      <c r="I61" s="71" t="s">
        <v>2592</v>
      </c>
      <c r="J61" s="72">
        <v>3280000</v>
      </c>
      <c r="K61" s="73"/>
      <c r="L61" s="73">
        <f t="shared" si="0"/>
        <v>3280000</v>
      </c>
      <c r="M61" s="74"/>
      <c r="N61" s="75">
        <f t="shared" si="2"/>
        <v>3280000</v>
      </c>
      <c r="O61" s="28"/>
    </row>
    <row r="62" spans="2:15" s="17" customFormat="1" ht="13.8">
      <c r="B62" s="71" t="s">
        <v>2614</v>
      </c>
      <c r="C62" s="71" t="s">
        <v>2543</v>
      </c>
      <c r="D62" s="71" t="s">
        <v>205</v>
      </c>
      <c r="E62" s="71" t="s">
        <v>2544</v>
      </c>
      <c r="F62" s="71" t="s">
        <v>2587</v>
      </c>
      <c r="G62" s="71" t="s">
        <v>2615</v>
      </c>
      <c r="H62" s="71">
        <v>28</v>
      </c>
      <c r="I62" s="71" t="s">
        <v>2592</v>
      </c>
      <c r="J62" s="72">
        <v>3280000</v>
      </c>
      <c r="K62" s="73"/>
      <c r="L62" s="73">
        <f t="shared" si="0"/>
        <v>3280000</v>
      </c>
      <c r="M62" s="74"/>
      <c r="N62" s="75">
        <f t="shared" si="2"/>
        <v>3280000</v>
      </c>
      <c r="O62" s="29"/>
    </row>
    <row r="63" spans="2:15" s="17" customFormat="1" ht="13.8">
      <c r="B63" s="71" t="s">
        <v>2616</v>
      </c>
      <c r="C63" s="71" t="s">
        <v>2543</v>
      </c>
      <c r="D63" s="71" t="s">
        <v>205</v>
      </c>
      <c r="E63" s="71" t="s">
        <v>2544</v>
      </c>
      <c r="F63" s="71" t="s">
        <v>2587</v>
      </c>
      <c r="G63" s="71" t="s">
        <v>2617</v>
      </c>
      <c r="H63" s="71">
        <v>28</v>
      </c>
      <c r="I63" s="71" t="s">
        <v>2592</v>
      </c>
      <c r="J63" s="72">
        <v>3280000</v>
      </c>
      <c r="K63" s="73"/>
      <c r="L63" s="73">
        <f t="shared" si="0"/>
        <v>3280000</v>
      </c>
      <c r="M63" s="74"/>
      <c r="N63" s="75">
        <f t="shared" si="2"/>
        <v>3280000</v>
      </c>
      <c r="O63" s="28"/>
    </row>
    <row r="64" spans="2:15" s="17" customFormat="1" ht="13.8">
      <c r="B64" s="71" t="s">
        <v>2618</v>
      </c>
      <c r="C64" s="71" t="s">
        <v>2543</v>
      </c>
      <c r="D64" s="71" t="s">
        <v>205</v>
      </c>
      <c r="E64" s="71" t="s">
        <v>2544</v>
      </c>
      <c r="F64" s="71" t="s">
        <v>2587</v>
      </c>
      <c r="G64" s="71" t="s">
        <v>2619</v>
      </c>
      <c r="H64" s="71">
        <v>28</v>
      </c>
      <c r="I64" s="71" t="s">
        <v>2592</v>
      </c>
      <c r="J64" s="72">
        <v>3280000</v>
      </c>
      <c r="K64" s="73"/>
      <c r="L64" s="73">
        <f t="shared" si="0"/>
        <v>3280000</v>
      </c>
      <c r="M64" s="74"/>
      <c r="N64" s="75">
        <f t="shared" si="2"/>
        <v>3280000</v>
      </c>
      <c r="O64" s="29"/>
    </row>
    <row r="65" spans="2:15" s="17" customFormat="1" ht="13.8">
      <c r="B65" s="71" t="s">
        <v>2620</v>
      </c>
      <c r="C65" s="71" t="s">
        <v>2543</v>
      </c>
      <c r="D65" s="71" t="s">
        <v>233</v>
      </c>
      <c r="E65" s="71" t="s">
        <v>2544</v>
      </c>
      <c r="F65" s="71" t="s">
        <v>2587</v>
      </c>
      <c r="G65" s="71" t="s">
        <v>2621</v>
      </c>
      <c r="H65" s="71">
        <v>28</v>
      </c>
      <c r="I65" s="71" t="s">
        <v>2592</v>
      </c>
      <c r="J65" s="72">
        <v>3280000</v>
      </c>
      <c r="K65" s="73"/>
      <c r="L65" s="73">
        <f t="shared" si="0"/>
        <v>3280000</v>
      </c>
      <c r="M65" s="74"/>
      <c r="N65" s="75">
        <f t="shared" si="2"/>
        <v>3280000</v>
      </c>
      <c r="O65" s="28"/>
    </row>
    <row r="66" spans="2:15" s="17" customFormat="1" ht="13.8">
      <c r="B66" s="71" t="s">
        <v>2622</v>
      </c>
      <c r="C66" s="71" t="s">
        <v>2543</v>
      </c>
      <c r="D66" s="71" t="s">
        <v>233</v>
      </c>
      <c r="E66" s="71" t="s">
        <v>2544</v>
      </c>
      <c r="F66" s="71" t="s">
        <v>2587</v>
      </c>
      <c r="G66" s="71" t="s">
        <v>2623</v>
      </c>
      <c r="H66" s="71">
        <v>28</v>
      </c>
      <c r="I66" s="71" t="s">
        <v>2592</v>
      </c>
      <c r="J66" s="72">
        <v>3280000</v>
      </c>
      <c r="K66" s="73"/>
      <c r="L66" s="73">
        <f t="shared" si="0"/>
        <v>3280000</v>
      </c>
      <c r="M66" s="74"/>
      <c r="N66" s="75">
        <f t="shared" si="2"/>
        <v>3280000</v>
      </c>
      <c r="O66" s="29"/>
    </row>
    <row r="67" spans="2:15" s="17" customFormat="1" ht="13.8">
      <c r="B67" s="71" t="s">
        <v>2624</v>
      </c>
      <c r="C67" s="71" t="s">
        <v>2543</v>
      </c>
      <c r="D67" s="71" t="s">
        <v>233</v>
      </c>
      <c r="E67" s="71" t="s">
        <v>2544</v>
      </c>
      <c r="F67" s="71" t="s">
        <v>2587</v>
      </c>
      <c r="G67" s="71" t="s">
        <v>2625</v>
      </c>
      <c r="H67" s="71">
        <v>28</v>
      </c>
      <c r="I67" s="71" t="s">
        <v>2592</v>
      </c>
      <c r="J67" s="72">
        <v>3280000</v>
      </c>
      <c r="K67" s="73"/>
      <c r="L67" s="73">
        <f t="shared" si="0"/>
        <v>3280000</v>
      </c>
      <c r="M67" s="74"/>
      <c r="N67" s="75">
        <f t="shared" si="2"/>
        <v>3280000</v>
      </c>
      <c r="O67" s="28"/>
    </row>
    <row r="68" spans="2:15" s="17" customFormat="1" ht="13.8">
      <c r="B68" s="71" t="s">
        <v>2626</v>
      </c>
      <c r="C68" s="71" t="s">
        <v>2543</v>
      </c>
      <c r="D68" s="71" t="s">
        <v>205</v>
      </c>
      <c r="E68" s="71" t="s">
        <v>2544</v>
      </c>
      <c r="F68" s="71" t="s">
        <v>2587</v>
      </c>
      <c r="G68" s="71" t="s">
        <v>2627</v>
      </c>
      <c r="H68" s="71">
        <v>28</v>
      </c>
      <c r="I68" s="71" t="s">
        <v>2592</v>
      </c>
      <c r="J68" s="72">
        <v>3280000</v>
      </c>
      <c r="K68" s="73"/>
      <c r="L68" s="73">
        <f t="shared" si="0"/>
        <v>3280000</v>
      </c>
      <c r="M68" s="74"/>
      <c r="N68" s="75">
        <f t="shared" si="2"/>
        <v>3280000</v>
      </c>
      <c r="O68" s="29"/>
    </row>
    <row r="69" spans="2:15" s="17" customFormat="1" ht="13.8">
      <c r="B69" s="71" t="s">
        <v>2628</v>
      </c>
      <c r="C69" s="71" t="s">
        <v>2543</v>
      </c>
      <c r="D69" s="71" t="s">
        <v>205</v>
      </c>
      <c r="E69" s="71" t="s">
        <v>2544</v>
      </c>
      <c r="F69" s="71" t="s">
        <v>2587</v>
      </c>
      <c r="G69" s="71" t="s">
        <v>2629</v>
      </c>
      <c r="H69" s="71">
        <v>20</v>
      </c>
      <c r="I69" s="71" t="s">
        <v>2590</v>
      </c>
      <c r="J69" s="72">
        <v>2500000</v>
      </c>
      <c r="K69" s="73"/>
      <c r="L69" s="73">
        <f t="shared" si="0"/>
        <v>2500000</v>
      </c>
      <c r="M69" s="74"/>
      <c r="N69" s="75">
        <f t="shared" si="2"/>
        <v>2500000</v>
      </c>
      <c r="O69" s="28"/>
    </row>
    <row r="70" spans="2:15" s="17" customFormat="1" ht="13.8">
      <c r="B70" s="71" t="s">
        <v>2630</v>
      </c>
      <c r="C70" s="71" t="s">
        <v>2543</v>
      </c>
      <c r="D70" s="71" t="s">
        <v>205</v>
      </c>
      <c r="E70" s="71" t="s">
        <v>2544</v>
      </c>
      <c r="F70" s="71" t="s">
        <v>2587</v>
      </c>
      <c r="G70" s="71" t="s">
        <v>2631</v>
      </c>
      <c r="H70" s="71">
        <v>24</v>
      </c>
      <c r="I70" s="71" t="s">
        <v>2588</v>
      </c>
      <c r="J70" s="72">
        <v>2500000</v>
      </c>
      <c r="K70" s="73"/>
      <c r="L70" s="73">
        <f t="shared" si="0"/>
        <v>2500000</v>
      </c>
      <c r="M70" s="74"/>
      <c r="N70" s="75">
        <f t="shared" si="2"/>
        <v>2500000</v>
      </c>
      <c r="O70" s="29"/>
    </row>
    <row r="71" spans="2:15" s="17" customFormat="1" ht="13.8">
      <c r="B71" s="71" t="s">
        <v>2632</v>
      </c>
      <c r="C71" s="71" t="s">
        <v>2543</v>
      </c>
      <c r="D71" s="71" t="s">
        <v>233</v>
      </c>
      <c r="E71" s="71" t="s">
        <v>2544</v>
      </c>
      <c r="F71" s="71" t="s">
        <v>2633</v>
      </c>
      <c r="G71" s="71" t="s">
        <v>2365</v>
      </c>
      <c r="H71" s="71">
        <v>24</v>
      </c>
      <c r="I71" s="71" t="s">
        <v>2588</v>
      </c>
      <c r="J71" s="72">
        <v>2500000</v>
      </c>
      <c r="K71" s="73"/>
      <c r="L71" s="73">
        <f t="shared" si="0"/>
        <v>2500000</v>
      </c>
      <c r="M71" s="74"/>
      <c r="N71" s="75">
        <f t="shared" si="2"/>
        <v>2500000</v>
      </c>
      <c r="O71" s="28"/>
    </row>
    <row r="72" spans="2:15" s="17" customFormat="1" ht="13.8">
      <c r="B72" s="71" t="s">
        <v>2634</v>
      </c>
      <c r="C72" s="71" t="s">
        <v>2543</v>
      </c>
      <c r="D72" s="71" t="s">
        <v>205</v>
      </c>
      <c r="E72" s="71" t="s">
        <v>2544</v>
      </c>
      <c r="F72" s="71" t="s">
        <v>2633</v>
      </c>
      <c r="G72" s="71" t="s">
        <v>2368</v>
      </c>
      <c r="H72" s="71">
        <v>20</v>
      </c>
      <c r="I72" s="71" t="s">
        <v>2590</v>
      </c>
      <c r="J72" s="72">
        <v>2500000</v>
      </c>
      <c r="K72" s="73"/>
      <c r="L72" s="73">
        <f t="shared" ref="L72:L135" si="3">J72-K72</f>
        <v>2500000</v>
      </c>
      <c r="M72" s="74"/>
      <c r="N72" s="75">
        <f t="shared" ref="N72:N135" si="4">L72-M72</f>
        <v>2500000</v>
      </c>
      <c r="O72" s="29"/>
    </row>
    <row r="73" spans="2:15" s="17" customFormat="1" ht="13.8">
      <c r="B73" s="71" t="s">
        <v>2635</v>
      </c>
      <c r="C73" s="71" t="s">
        <v>2543</v>
      </c>
      <c r="D73" s="71" t="s">
        <v>205</v>
      </c>
      <c r="E73" s="71" t="s">
        <v>2544</v>
      </c>
      <c r="F73" s="71" t="s">
        <v>2633</v>
      </c>
      <c r="G73" s="71" t="s">
        <v>2377</v>
      </c>
      <c r="H73" s="71">
        <v>28</v>
      </c>
      <c r="I73" s="71" t="s">
        <v>2592</v>
      </c>
      <c r="J73" s="72">
        <v>3280000</v>
      </c>
      <c r="K73" s="73"/>
      <c r="L73" s="73">
        <f t="shared" si="3"/>
        <v>3280000</v>
      </c>
      <c r="M73" s="74"/>
      <c r="N73" s="75">
        <f t="shared" si="4"/>
        <v>3280000</v>
      </c>
      <c r="O73" s="28"/>
    </row>
    <row r="74" spans="2:15" s="17" customFormat="1" ht="13.8">
      <c r="B74" s="71" t="s">
        <v>2636</v>
      </c>
      <c r="C74" s="71" t="s">
        <v>2543</v>
      </c>
      <c r="D74" s="71" t="s">
        <v>233</v>
      </c>
      <c r="E74" s="71" t="s">
        <v>2544</v>
      </c>
      <c r="F74" s="71" t="s">
        <v>2633</v>
      </c>
      <c r="G74" s="71" t="s">
        <v>2379</v>
      </c>
      <c r="H74" s="71">
        <v>28</v>
      </c>
      <c r="I74" s="71" t="s">
        <v>2592</v>
      </c>
      <c r="J74" s="72">
        <v>3280000</v>
      </c>
      <c r="K74" s="73"/>
      <c r="L74" s="73">
        <f t="shared" si="3"/>
        <v>3280000</v>
      </c>
      <c r="M74" s="74"/>
      <c r="N74" s="75">
        <f t="shared" si="4"/>
        <v>3280000</v>
      </c>
      <c r="O74" s="29"/>
    </row>
    <row r="75" spans="2:15" s="17" customFormat="1" ht="13.8">
      <c r="B75" s="71" t="s">
        <v>2637</v>
      </c>
      <c r="C75" s="71" t="s">
        <v>2543</v>
      </c>
      <c r="D75" s="71" t="s">
        <v>233</v>
      </c>
      <c r="E75" s="71" t="s">
        <v>2544</v>
      </c>
      <c r="F75" s="71" t="s">
        <v>2633</v>
      </c>
      <c r="G75" s="71" t="s">
        <v>2370</v>
      </c>
      <c r="H75" s="71">
        <v>28</v>
      </c>
      <c r="I75" s="71" t="s">
        <v>2592</v>
      </c>
      <c r="J75" s="72">
        <v>3280000</v>
      </c>
      <c r="K75" s="73"/>
      <c r="L75" s="73">
        <f t="shared" si="3"/>
        <v>3280000</v>
      </c>
      <c r="M75" s="74"/>
      <c r="N75" s="75">
        <f t="shared" si="4"/>
        <v>3280000</v>
      </c>
      <c r="O75" s="28"/>
    </row>
    <row r="76" spans="2:15" s="17" customFormat="1" ht="13.8">
      <c r="B76" s="71" t="s">
        <v>2638</v>
      </c>
      <c r="C76" s="71" t="s">
        <v>2543</v>
      </c>
      <c r="D76" s="71" t="s">
        <v>205</v>
      </c>
      <c r="E76" s="71" t="s">
        <v>2544</v>
      </c>
      <c r="F76" s="71" t="s">
        <v>2633</v>
      </c>
      <c r="G76" s="71" t="s">
        <v>2372</v>
      </c>
      <c r="H76" s="71">
        <v>28</v>
      </c>
      <c r="I76" s="71" t="s">
        <v>2592</v>
      </c>
      <c r="J76" s="72">
        <v>3280000</v>
      </c>
      <c r="K76" s="73"/>
      <c r="L76" s="73">
        <f t="shared" si="3"/>
        <v>3280000</v>
      </c>
      <c r="M76" s="74"/>
      <c r="N76" s="75">
        <f t="shared" si="4"/>
        <v>3280000</v>
      </c>
      <c r="O76" s="29"/>
    </row>
    <row r="77" spans="2:15" s="17" customFormat="1" ht="13.8">
      <c r="B77" s="71" t="s">
        <v>2639</v>
      </c>
      <c r="C77" s="71" t="s">
        <v>2543</v>
      </c>
      <c r="D77" s="71" t="s">
        <v>205</v>
      </c>
      <c r="E77" s="71" t="s">
        <v>2544</v>
      </c>
      <c r="F77" s="71" t="s">
        <v>2633</v>
      </c>
      <c r="G77" s="71" t="s">
        <v>2597</v>
      </c>
      <c r="H77" s="71">
        <v>28</v>
      </c>
      <c r="I77" s="71" t="s">
        <v>2592</v>
      </c>
      <c r="J77" s="72">
        <v>3280000</v>
      </c>
      <c r="K77" s="73"/>
      <c r="L77" s="73">
        <f t="shared" si="3"/>
        <v>3280000</v>
      </c>
      <c r="M77" s="74"/>
      <c r="N77" s="75">
        <f t="shared" si="4"/>
        <v>3280000</v>
      </c>
      <c r="O77" s="28"/>
    </row>
    <row r="78" spans="2:15" s="17" customFormat="1" ht="13.8">
      <c r="B78" s="71" t="s">
        <v>2640</v>
      </c>
      <c r="C78" s="71" t="s">
        <v>2543</v>
      </c>
      <c r="D78" s="71" t="s">
        <v>233</v>
      </c>
      <c r="E78" s="71" t="s">
        <v>2544</v>
      </c>
      <c r="F78" s="71" t="s">
        <v>2633</v>
      </c>
      <c r="G78" s="71" t="s">
        <v>2599</v>
      </c>
      <c r="H78" s="71">
        <v>28</v>
      </c>
      <c r="I78" s="71" t="s">
        <v>2592</v>
      </c>
      <c r="J78" s="72">
        <v>3280000</v>
      </c>
      <c r="K78" s="73"/>
      <c r="L78" s="73">
        <f t="shared" si="3"/>
        <v>3280000</v>
      </c>
      <c r="M78" s="74"/>
      <c r="N78" s="75">
        <f t="shared" si="4"/>
        <v>3280000</v>
      </c>
      <c r="O78" s="29"/>
    </row>
    <row r="79" spans="2:15" s="17" customFormat="1" ht="13.8">
      <c r="B79" s="71" t="s">
        <v>2641</v>
      </c>
      <c r="C79" s="71" t="s">
        <v>2543</v>
      </c>
      <c r="D79" s="71" t="s">
        <v>972</v>
      </c>
      <c r="E79" s="71" t="s">
        <v>2544</v>
      </c>
      <c r="F79" s="71" t="s">
        <v>2633</v>
      </c>
      <c r="G79" s="71" t="s">
        <v>2601</v>
      </c>
      <c r="H79" s="71">
        <v>28</v>
      </c>
      <c r="I79" s="71" t="s">
        <v>2592</v>
      </c>
      <c r="J79" s="72">
        <v>3280000</v>
      </c>
      <c r="K79" s="73"/>
      <c r="L79" s="73">
        <f t="shared" si="3"/>
        <v>3280000</v>
      </c>
      <c r="M79" s="74"/>
      <c r="N79" s="75">
        <f t="shared" si="4"/>
        <v>3280000</v>
      </c>
      <c r="O79" s="28"/>
    </row>
    <row r="80" spans="2:15" s="17" customFormat="1" ht="13.8">
      <c r="B80" s="71" t="s">
        <v>2642</v>
      </c>
      <c r="C80" s="71" t="s">
        <v>2543</v>
      </c>
      <c r="D80" s="71" t="s">
        <v>205</v>
      </c>
      <c r="E80" s="71" t="s">
        <v>2544</v>
      </c>
      <c r="F80" s="71" t="s">
        <v>2633</v>
      </c>
      <c r="G80" s="71" t="s">
        <v>2603</v>
      </c>
      <c r="H80" s="71">
        <v>28</v>
      </c>
      <c r="I80" s="71" t="s">
        <v>2592</v>
      </c>
      <c r="J80" s="72">
        <v>3280000</v>
      </c>
      <c r="K80" s="73"/>
      <c r="L80" s="73">
        <f t="shared" si="3"/>
        <v>3280000</v>
      </c>
      <c r="M80" s="74"/>
      <c r="N80" s="75">
        <f t="shared" si="4"/>
        <v>3280000</v>
      </c>
      <c r="O80" s="29"/>
    </row>
    <row r="81" spans="2:15" s="17" customFormat="1" ht="13.8">
      <c r="B81" s="71" t="s">
        <v>2643</v>
      </c>
      <c r="C81" s="71" t="s">
        <v>2543</v>
      </c>
      <c r="D81" s="71" t="s">
        <v>205</v>
      </c>
      <c r="E81" s="71" t="s">
        <v>2544</v>
      </c>
      <c r="F81" s="71" t="s">
        <v>2633</v>
      </c>
      <c r="G81" s="71" t="s">
        <v>2605</v>
      </c>
      <c r="H81" s="71">
        <v>20</v>
      </c>
      <c r="I81" s="71" t="s">
        <v>2590</v>
      </c>
      <c r="J81" s="72">
        <v>2500000</v>
      </c>
      <c r="K81" s="73"/>
      <c r="L81" s="73">
        <f t="shared" si="3"/>
        <v>2500000</v>
      </c>
      <c r="M81" s="74"/>
      <c r="N81" s="75">
        <f t="shared" si="4"/>
        <v>2500000</v>
      </c>
      <c r="O81" s="28"/>
    </row>
    <row r="82" spans="2:15" s="17" customFormat="1" ht="13.8">
      <c r="B82" s="71" t="s">
        <v>2644</v>
      </c>
      <c r="C82" s="71" t="s">
        <v>2543</v>
      </c>
      <c r="D82" s="71" t="s">
        <v>233</v>
      </c>
      <c r="E82" s="71" t="s">
        <v>2544</v>
      </c>
      <c r="F82" s="71" t="s">
        <v>2633</v>
      </c>
      <c r="G82" s="71" t="s">
        <v>2607</v>
      </c>
      <c r="H82" s="71">
        <v>24</v>
      </c>
      <c r="I82" s="71" t="s">
        <v>2588</v>
      </c>
      <c r="J82" s="72">
        <v>2500000</v>
      </c>
      <c r="K82" s="73"/>
      <c r="L82" s="73">
        <f t="shared" si="3"/>
        <v>2500000</v>
      </c>
      <c r="M82" s="74"/>
      <c r="N82" s="75">
        <f t="shared" si="4"/>
        <v>2500000</v>
      </c>
      <c r="O82" s="29"/>
    </row>
    <row r="83" spans="2:15" s="17" customFormat="1" ht="13.8">
      <c r="B83" s="71" t="s">
        <v>2645</v>
      </c>
      <c r="C83" s="71" t="s">
        <v>2543</v>
      </c>
      <c r="D83" s="71" t="s">
        <v>233</v>
      </c>
      <c r="E83" s="71" t="s">
        <v>2544</v>
      </c>
      <c r="F83" s="71" t="s">
        <v>2633</v>
      </c>
      <c r="G83" s="71" t="s">
        <v>2609</v>
      </c>
      <c r="H83" s="71">
        <v>24</v>
      </c>
      <c r="I83" s="71" t="s">
        <v>2588</v>
      </c>
      <c r="J83" s="72">
        <v>2500000</v>
      </c>
      <c r="K83" s="73"/>
      <c r="L83" s="73">
        <f t="shared" si="3"/>
        <v>2500000</v>
      </c>
      <c r="M83" s="74"/>
      <c r="N83" s="75">
        <f t="shared" si="4"/>
        <v>2500000</v>
      </c>
      <c r="O83" s="28"/>
    </row>
    <row r="84" spans="2:15" s="17" customFormat="1" ht="13.8">
      <c r="B84" s="71" t="s">
        <v>2646</v>
      </c>
      <c r="C84" s="71" t="s">
        <v>2543</v>
      </c>
      <c r="D84" s="71" t="s">
        <v>972</v>
      </c>
      <c r="E84" s="71" t="s">
        <v>2544</v>
      </c>
      <c r="F84" s="71" t="s">
        <v>2633</v>
      </c>
      <c r="G84" s="71" t="s">
        <v>2611</v>
      </c>
      <c r="H84" s="71">
        <v>20</v>
      </c>
      <c r="I84" s="71" t="s">
        <v>2590</v>
      </c>
      <c r="J84" s="72">
        <v>2500000</v>
      </c>
      <c r="K84" s="73"/>
      <c r="L84" s="73">
        <f t="shared" si="3"/>
        <v>2500000</v>
      </c>
      <c r="M84" s="74"/>
      <c r="N84" s="75">
        <f t="shared" si="4"/>
        <v>2500000</v>
      </c>
      <c r="O84" s="29"/>
    </row>
    <row r="85" spans="2:15" s="17" customFormat="1" ht="13.8">
      <c r="B85" s="71" t="s">
        <v>2647</v>
      </c>
      <c r="C85" s="71" t="s">
        <v>2543</v>
      </c>
      <c r="D85" s="71" t="s">
        <v>233</v>
      </c>
      <c r="E85" s="71" t="s">
        <v>2544</v>
      </c>
      <c r="F85" s="71" t="s">
        <v>2633</v>
      </c>
      <c r="G85" s="71" t="s">
        <v>2613</v>
      </c>
      <c r="H85" s="71">
        <v>28</v>
      </c>
      <c r="I85" s="71" t="s">
        <v>2592</v>
      </c>
      <c r="J85" s="72">
        <v>3280000</v>
      </c>
      <c r="K85" s="73"/>
      <c r="L85" s="73">
        <f t="shared" si="3"/>
        <v>3280000</v>
      </c>
      <c r="M85" s="74"/>
      <c r="N85" s="75">
        <f t="shared" si="4"/>
        <v>3280000</v>
      </c>
      <c r="O85" s="28"/>
    </row>
    <row r="86" spans="2:15" s="17" customFormat="1" ht="13.8">
      <c r="B86" s="71" t="s">
        <v>2648</v>
      </c>
      <c r="C86" s="71" t="s">
        <v>2543</v>
      </c>
      <c r="D86" s="71" t="s">
        <v>205</v>
      </c>
      <c r="E86" s="71" t="s">
        <v>2544</v>
      </c>
      <c r="F86" s="71" t="s">
        <v>2633</v>
      </c>
      <c r="G86" s="71" t="s">
        <v>2615</v>
      </c>
      <c r="H86" s="71">
        <v>28</v>
      </c>
      <c r="I86" s="71" t="s">
        <v>2592</v>
      </c>
      <c r="J86" s="72">
        <v>3280000</v>
      </c>
      <c r="K86" s="73"/>
      <c r="L86" s="73">
        <f t="shared" si="3"/>
        <v>3280000</v>
      </c>
      <c r="M86" s="74"/>
      <c r="N86" s="75">
        <f t="shared" si="4"/>
        <v>3280000</v>
      </c>
      <c r="O86" s="29"/>
    </row>
    <row r="87" spans="2:15" s="17" customFormat="1" ht="13.8">
      <c r="B87" s="71" t="s">
        <v>2649</v>
      </c>
      <c r="C87" s="71" t="s">
        <v>2543</v>
      </c>
      <c r="D87" s="71" t="s">
        <v>233</v>
      </c>
      <c r="E87" s="71" t="s">
        <v>2544</v>
      </c>
      <c r="F87" s="71" t="s">
        <v>2633</v>
      </c>
      <c r="G87" s="71" t="s">
        <v>2617</v>
      </c>
      <c r="H87" s="71">
        <v>28</v>
      </c>
      <c r="I87" s="71" t="s">
        <v>2592</v>
      </c>
      <c r="J87" s="72">
        <v>3280000</v>
      </c>
      <c r="K87" s="73"/>
      <c r="L87" s="73">
        <f t="shared" si="3"/>
        <v>3280000</v>
      </c>
      <c r="M87" s="74"/>
      <c r="N87" s="75">
        <f t="shared" si="4"/>
        <v>3280000</v>
      </c>
      <c r="O87" s="28"/>
    </row>
    <row r="88" spans="2:15" s="17" customFormat="1" ht="13.8">
      <c r="B88" s="71" t="s">
        <v>2650</v>
      </c>
      <c r="C88" s="71" t="s">
        <v>2543</v>
      </c>
      <c r="D88" s="71" t="s">
        <v>233</v>
      </c>
      <c r="E88" s="71" t="s">
        <v>2544</v>
      </c>
      <c r="F88" s="71" t="s">
        <v>2633</v>
      </c>
      <c r="G88" s="71" t="s">
        <v>2619</v>
      </c>
      <c r="H88" s="71">
        <v>28</v>
      </c>
      <c r="I88" s="71" t="s">
        <v>2592</v>
      </c>
      <c r="J88" s="72">
        <v>3280000</v>
      </c>
      <c r="K88" s="73"/>
      <c r="L88" s="73">
        <f t="shared" si="3"/>
        <v>3280000</v>
      </c>
      <c r="M88" s="74"/>
      <c r="N88" s="75">
        <f t="shared" si="4"/>
        <v>3280000</v>
      </c>
      <c r="O88" s="29"/>
    </row>
    <row r="89" spans="2:15" s="17" customFormat="1" ht="13.8">
      <c r="B89" s="71" t="s">
        <v>2651</v>
      </c>
      <c r="C89" s="71" t="s">
        <v>2543</v>
      </c>
      <c r="D89" s="71" t="s">
        <v>233</v>
      </c>
      <c r="E89" s="71" t="s">
        <v>2544</v>
      </c>
      <c r="F89" s="71" t="s">
        <v>2633</v>
      </c>
      <c r="G89" s="71" t="s">
        <v>2621</v>
      </c>
      <c r="H89" s="71">
        <v>28</v>
      </c>
      <c r="I89" s="71" t="s">
        <v>2592</v>
      </c>
      <c r="J89" s="72">
        <v>3280000</v>
      </c>
      <c r="K89" s="73"/>
      <c r="L89" s="73">
        <f t="shared" si="3"/>
        <v>3280000</v>
      </c>
      <c r="M89" s="74"/>
      <c r="N89" s="75">
        <f t="shared" si="4"/>
        <v>3280000</v>
      </c>
      <c r="O89" s="28"/>
    </row>
    <row r="90" spans="2:15" s="17" customFormat="1" ht="13.8">
      <c r="B90" s="71" t="s">
        <v>2652</v>
      </c>
      <c r="C90" s="71" t="s">
        <v>2543</v>
      </c>
      <c r="D90" s="71" t="s">
        <v>205</v>
      </c>
      <c r="E90" s="71" t="s">
        <v>2544</v>
      </c>
      <c r="F90" s="71" t="s">
        <v>2633</v>
      </c>
      <c r="G90" s="71" t="s">
        <v>2623</v>
      </c>
      <c r="H90" s="71">
        <v>28</v>
      </c>
      <c r="I90" s="71" t="s">
        <v>2592</v>
      </c>
      <c r="J90" s="72">
        <v>3280000</v>
      </c>
      <c r="K90" s="73"/>
      <c r="L90" s="73">
        <f t="shared" si="3"/>
        <v>3280000</v>
      </c>
      <c r="M90" s="74"/>
      <c r="N90" s="75">
        <f t="shared" si="4"/>
        <v>3280000</v>
      </c>
      <c r="O90" s="29"/>
    </row>
    <row r="91" spans="2:15" s="17" customFormat="1" ht="13.8">
      <c r="B91" s="71" t="s">
        <v>2653</v>
      </c>
      <c r="C91" s="71" t="s">
        <v>2543</v>
      </c>
      <c r="D91" s="71" t="s">
        <v>205</v>
      </c>
      <c r="E91" s="71" t="s">
        <v>2544</v>
      </c>
      <c r="F91" s="71" t="s">
        <v>2633</v>
      </c>
      <c r="G91" s="71" t="s">
        <v>2625</v>
      </c>
      <c r="H91" s="71">
        <v>28</v>
      </c>
      <c r="I91" s="71" t="s">
        <v>2592</v>
      </c>
      <c r="J91" s="72">
        <v>3280000</v>
      </c>
      <c r="K91" s="73"/>
      <c r="L91" s="73">
        <f t="shared" si="3"/>
        <v>3280000</v>
      </c>
      <c r="M91" s="74"/>
      <c r="N91" s="75">
        <f t="shared" si="4"/>
        <v>3280000</v>
      </c>
      <c r="O91" s="28"/>
    </row>
    <row r="92" spans="2:15" s="17" customFormat="1" ht="13.8">
      <c r="B92" s="71" t="s">
        <v>2654</v>
      </c>
      <c r="C92" s="71" t="s">
        <v>2543</v>
      </c>
      <c r="D92" s="71" t="s">
        <v>205</v>
      </c>
      <c r="E92" s="71" t="s">
        <v>2544</v>
      </c>
      <c r="F92" s="71" t="s">
        <v>2633</v>
      </c>
      <c r="G92" s="71" t="s">
        <v>2627</v>
      </c>
      <c r="H92" s="71">
        <v>28</v>
      </c>
      <c r="I92" s="71" t="s">
        <v>2592</v>
      </c>
      <c r="J92" s="72">
        <v>3280000</v>
      </c>
      <c r="K92" s="73"/>
      <c r="L92" s="73">
        <f t="shared" si="3"/>
        <v>3280000</v>
      </c>
      <c r="M92" s="74"/>
      <c r="N92" s="75">
        <f t="shared" si="4"/>
        <v>3280000</v>
      </c>
      <c r="O92" s="29"/>
    </row>
    <row r="93" spans="2:15" s="17" customFormat="1" ht="13.8">
      <c r="B93" s="71" t="s">
        <v>2655</v>
      </c>
      <c r="C93" s="71" t="s">
        <v>2543</v>
      </c>
      <c r="D93" s="71" t="s">
        <v>972</v>
      </c>
      <c r="E93" s="71" t="s">
        <v>2544</v>
      </c>
      <c r="F93" s="71" t="s">
        <v>2633</v>
      </c>
      <c r="G93" s="71" t="s">
        <v>2629</v>
      </c>
      <c r="H93" s="71">
        <v>20</v>
      </c>
      <c r="I93" s="71" t="s">
        <v>2590</v>
      </c>
      <c r="J93" s="72">
        <v>2500000</v>
      </c>
      <c r="K93" s="73"/>
      <c r="L93" s="73">
        <f t="shared" si="3"/>
        <v>2500000</v>
      </c>
      <c r="M93" s="74"/>
      <c r="N93" s="75">
        <f t="shared" si="4"/>
        <v>2500000</v>
      </c>
      <c r="O93" s="28"/>
    </row>
    <row r="94" spans="2:15" s="17" customFormat="1" ht="13.8">
      <c r="B94" s="71" t="s">
        <v>2656</v>
      </c>
      <c r="C94" s="71" t="s">
        <v>2543</v>
      </c>
      <c r="D94" s="71" t="s">
        <v>205</v>
      </c>
      <c r="E94" s="71" t="s">
        <v>2544</v>
      </c>
      <c r="F94" s="71" t="s">
        <v>2633</v>
      </c>
      <c r="G94" s="71" t="s">
        <v>2631</v>
      </c>
      <c r="H94" s="71">
        <v>24</v>
      </c>
      <c r="I94" s="71" t="s">
        <v>2588</v>
      </c>
      <c r="J94" s="72">
        <v>2500000</v>
      </c>
      <c r="K94" s="73"/>
      <c r="L94" s="73">
        <f t="shared" si="3"/>
        <v>2500000</v>
      </c>
      <c r="M94" s="74"/>
      <c r="N94" s="75">
        <f t="shared" si="4"/>
        <v>2500000</v>
      </c>
      <c r="O94" s="29"/>
    </row>
    <row r="95" spans="2:15" s="17" customFormat="1" ht="13.8">
      <c r="B95" s="71" t="s">
        <v>2657</v>
      </c>
      <c r="C95" s="71" t="s">
        <v>2543</v>
      </c>
      <c r="D95" s="71" t="s">
        <v>205</v>
      </c>
      <c r="E95" s="71" t="s">
        <v>2544</v>
      </c>
      <c r="F95" s="71" t="s">
        <v>2658</v>
      </c>
      <c r="G95" s="71" t="s">
        <v>2365</v>
      </c>
      <c r="H95" s="71">
        <v>24</v>
      </c>
      <c r="I95" s="71" t="s">
        <v>2588</v>
      </c>
      <c r="J95" s="72">
        <v>2500000</v>
      </c>
      <c r="K95" s="73"/>
      <c r="L95" s="73">
        <f t="shared" si="3"/>
        <v>2500000</v>
      </c>
      <c r="M95" s="74"/>
      <c r="N95" s="75">
        <f t="shared" si="4"/>
        <v>2500000</v>
      </c>
      <c r="O95" s="28"/>
    </row>
    <row r="96" spans="2:15" s="17" customFormat="1" ht="13.8">
      <c r="B96" s="76" t="s">
        <v>2659</v>
      </c>
      <c r="C96" s="71" t="s">
        <v>2543</v>
      </c>
      <c r="D96" s="71" t="s">
        <v>205</v>
      </c>
      <c r="E96" s="71" t="s">
        <v>2544</v>
      </c>
      <c r="F96" s="71" t="s">
        <v>2658</v>
      </c>
      <c r="G96" s="71" t="s">
        <v>2368</v>
      </c>
      <c r="H96" s="71">
        <v>20</v>
      </c>
      <c r="I96" s="71" t="s">
        <v>2590</v>
      </c>
      <c r="J96" s="72">
        <v>2500000</v>
      </c>
      <c r="K96" s="73"/>
      <c r="L96" s="73">
        <f t="shared" si="3"/>
        <v>2500000</v>
      </c>
      <c r="M96" s="74"/>
      <c r="N96" s="75">
        <f t="shared" si="4"/>
        <v>2500000</v>
      </c>
      <c r="O96" s="29"/>
    </row>
    <row r="97" spans="2:15" s="17" customFormat="1" ht="13.8">
      <c r="B97" s="71" t="s">
        <v>2660</v>
      </c>
      <c r="C97" s="71" t="s">
        <v>2543</v>
      </c>
      <c r="D97" s="71" t="s">
        <v>205</v>
      </c>
      <c r="E97" s="71" t="s">
        <v>2544</v>
      </c>
      <c r="F97" s="71" t="s">
        <v>2658</v>
      </c>
      <c r="G97" s="71" t="s">
        <v>2377</v>
      </c>
      <c r="H97" s="71">
        <v>28</v>
      </c>
      <c r="I97" s="71" t="s">
        <v>2592</v>
      </c>
      <c r="J97" s="72">
        <v>3280000</v>
      </c>
      <c r="K97" s="73"/>
      <c r="L97" s="73">
        <f t="shared" si="3"/>
        <v>3280000</v>
      </c>
      <c r="M97" s="74"/>
      <c r="N97" s="75">
        <f t="shared" si="4"/>
        <v>3280000</v>
      </c>
      <c r="O97" s="28"/>
    </row>
    <row r="98" spans="2:15" s="17" customFormat="1" ht="13.8">
      <c r="B98" s="71" t="s">
        <v>2661</v>
      </c>
      <c r="C98" s="71" t="s">
        <v>2543</v>
      </c>
      <c r="D98" s="71" t="s">
        <v>205</v>
      </c>
      <c r="E98" s="71" t="s">
        <v>2544</v>
      </c>
      <c r="F98" s="71" t="s">
        <v>2658</v>
      </c>
      <c r="G98" s="71" t="s">
        <v>2379</v>
      </c>
      <c r="H98" s="71">
        <v>28</v>
      </c>
      <c r="I98" s="71" t="s">
        <v>2592</v>
      </c>
      <c r="J98" s="72">
        <v>3280000</v>
      </c>
      <c r="K98" s="73"/>
      <c r="L98" s="73">
        <f t="shared" si="3"/>
        <v>3280000</v>
      </c>
      <c r="M98" s="74"/>
      <c r="N98" s="75">
        <f t="shared" si="4"/>
        <v>3280000</v>
      </c>
      <c r="O98" s="29"/>
    </row>
    <row r="99" spans="2:15" s="17" customFormat="1" ht="13.8">
      <c r="B99" s="71" t="s">
        <v>2662</v>
      </c>
      <c r="C99" s="71" t="s">
        <v>2543</v>
      </c>
      <c r="D99" s="71" t="s">
        <v>205</v>
      </c>
      <c r="E99" s="71" t="s">
        <v>2544</v>
      </c>
      <c r="F99" s="71" t="s">
        <v>2658</v>
      </c>
      <c r="G99" s="71" t="s">
        <v>2370</v>
      </c>
      <c r="H99" s="71">
        <v>28</v>
      </c>
      <c r="I99" s="71" t="s">
        <v>2592</v>
      </c>
      <c r="J99" s="72">
        <v>3280000</v>
      </c>
      <c r="K99" s="73"/>
      <c r="L99" s="73">
        <f t="shared" si="3"/>
        <v>3280000</v>
      </c>
      <c r="M99" s="74"/>
      <c r="N99" s="75">
        <f t="shared" si="4"/>
        <v>3280000</v>
      </c>
      <c r="O99" s="28"/>
    </row>
    <row r="100" spans="2:15" s="17" customFormat="1" ht="13.8">
      <c r="B100" s="71" t="s">
        <v>2663</v>
      </c>
      <c r="C100" s="71" t="s">
        <v>2543</v>
      </c>
      <c r="D100" s="71" t="s">
        <v>205</v>
      </c>
      <c r="E100" s="71" t="s">
        <v>2544</v>
      </c>
      <c r="F100" s="71" t="s">
        <v>2658</v>
      </c>
      <c r="G100" s="71" t="s">
        <v>2372</v>
      </c>
      <c r="H100" s="71">
        <v>28</v>
      </c>
      <c r="I100" s="71" t="s">
        <v>2592</v>
      </c>
      <c r="J100" s="72">
        <v>3280000</v>
      </c>
      <c r="K100" s="73"/>
      <c r="L100" s="73">
        <f t="shared" si="3"/>
        <v>3280000</v>
      </c>
      <c r="M100" s="74"/>
      <c r="N100" s="75">
        <f t="shared" si="4"/>
        <v>3280000</v>
      </c>
      <c r="O100" s="29"/>
    </row>
    <row r="101" spans="2:15" s="17" customFormat="1" ht="13.8">
      <c r="B101" s="71" t="s">
        <v>2664</v>
      </c>
      <c r="C101" s="71" t="s">
        <v>2543</v>
      </c>
      <c r="D101" s="71" t="s">
        <v>205</v>
      </c>
      <c r="E101" s="71" t="s">
        <v>2544</v>
      </c>
      <c r="F101" s="71" t="s">
        <v>2658</v>
      </c>
      <c r="G101" s="71" t="s">
        <v>2597</v>
      </c>
      <c r="H101" s="71">
        <v>28</v>
      </c>
      <c r="I101" s="71" t="s">
        <v>2592</v>
      </c>
      <c r="J101" s="72">
        <v>3280000</v>
      </c>
      <c r="K101" s="73"/>
      <c r="L101" s="73">
        <f t="shared" si="3"/>
        <v>3280000</v>
      </c>
      <c r="M101" s="74"/>
      <c r="N101" s="75">
        <f t="shared" si="4"/>
        <v>3280000</v>
      </c>
      <c r="O101" s="28"/>
    </row>
    <row r="102" spans="2:15" s="17" customFormat="1" ht="13.8">
      <c r="B102" s="71" t="s">
        <v>2665</v>
      </c>
      <c r="C102" s="71" t="s">
        <v>2543</v>
      </c>
      <c r="D102" s="71" t="s">
        <v>233</v>
      </c>
      <c r="E102" s="71" t="s">
        <v>2544</v>
      </c>
      <c r="F102" s="71" t="s">
        <v>2658</v>
      </c>
      <c r="G102" s="71" t="s">
        <v>2599</v>
      </c>
      <c r="H102" s="71">
        <v>28</v>
      </c>
      <c r="I102" s="71" t="s">
        <v>2592</v>
      </c>
      <c r="J102" s="72">
        <v>3280000</v>
      </c>
      <c r="K102" s="73"/>
      <c r="L102" s="73">
        <f t="shared" si="3"/>
        <v>3280000</v>
      </c>
      <c r="M102" s="74"/>
      <c r="N102" s="75">
        <f t="shared" si="4"/>
        <v>3280000</v>
      </c>
      <c r="O102" s="29"/>
    </row>
    <row r="103" spans="2:15" s="17" customFormat="1" ht="13.8">
      <c r="B103" s="71" t="s">
        <v>2666</v>
      </c>
      <c r="C103" s="71" t="s">
        <v>2543</v>
      </c>
      <c r="D103" s="71" t="s">
        <v>233</v>
      </c>
      <c r="E103" s="71" t="s">
        <v>2544</v>
      </c>
      <c r="F103" s="71" t="s">
        <v>2658</v>
      </c>
      <c r="G103" s="71" t="s">
        <v>2601</v>
      </c>
      <c r="H103" s="71">
        <v>28</v>
      </c>
      <c r="I103" s="71" t="s">
        <v>2592</v>
      </c>
      <c r="J103" s="72">
        <v>3280000</v>
      </c>
      <c r="K103" s="73"/>
      <c r="L103" s="73">
        <f t="shared" si="3"/>
        <v>3280000</v>
      </c>
      <c r="M103" s="74"/>
      <c r="N103" s="75">
        <f t="shared" si="4"/>
        <v>3280000</v>
      </c>
      <c r="O103" s="28"/>
    </row>
    <row r="104" spans="2:15" s="17" customFormat="1" ht="13.8">
      <c r="B104" s="71" t="s">
        <v>2667</v>
      </c>
      <c r="C104" s="71" t="s">
        <v>2543</v>
      </c>
      <c r="D104" s="71" t="s">
        <v>972</v>
      </c>
      <c r="E104" s="71" t="s">
        <v>2544</v>
      </c>
      <c r="F104" s="71" t="s">
        <v>2658</v>
      </c>
      <c r="G104" s="71" t="s">
        <v>2603</v>
      </c>
      <c r="H104" s="71">
        <v>28</v>
      </c>
      <c r="I104" s="71" t="s">
        <v>2592</v>
      </c>
      <c r="J104" s="72">
        <v>3280000</v>
      </c>
      <c r="K104" s="73"/>
      <c r="L104" s="73">
        <f t="shared" si="3"/>
        <v>3280000</v>
      </c>
      <c r="M104" s="74"/>
      <c r="N104" s="75">
        <f t="shared" si="4"/>
        <v>3280000</v>
      </c>
      <c r="O104" s="29"/>
    </row>
    <row r="105" spans="2:15" s="17" customFormat="1" ht="13.8">
      <c r="B105" s="71" t="s">
        <v>2668</v>
      </c>
      <c r="C105" s="71" t="s">
        <v>2543</v>
      </c>
      <c r="D105" s="71" t="s">
        <v>205</v>
      </c>
      <c r="E105" s="71" t="s">
        <v>2544</v>
      </c>
      <c r="F105" s="71" t="s">
        <v>2658</v>
      </c>
      <c r="G105" s="71" t="s">
        <v>2605</v>
      </c>
      <c r="H105" s="71">
        <v>20</v>
      </c>
      <c r="I105" s="71" t="s">
        <v>2590</v>
      </c>
      <c r="J105" s="72">
        <v>2500000</v>
      </c>
      <c r="K105" s="73"/>
      <c r="L105" s="73">
        <f t="shared" si="3"/>
        <v>2500000</v>
      </c>
      <c r="M105" s="74"/>
      <c r="N105" s="75">
        <f t="shared" si="4"/>
        <v>2500000</v>
      </c>
      <c r="O105" s="28"/>
    </row>
    <row r="106" spans="2:15" s="17" customFormat="1" ht="13.8">
      <c r="B106" s="71" t="s">
        <v>2669</v>
      </c>
      <c r="C106" s="71" t="s">
        <v>2543</v>
      </c>
      <c r="D106" s="71" t="s">
        <v>205</v>
      </c>
      <c r="E106" s="71" t="s">
        <v>2544</v>
      </c>
      <c r="F106" s="71" t="s">
        <v>2658</v>
      </c>
      <c r="G106" s="71" t="s">
        <v>2607</v>
      </c>
      <c r="H106" s="71">
        <v>24</v>
      </c>
      <c r="I106" s="71" t="s">
        <v>2588</v>
      </c>
      <c r="J106" s="72">
        <v>2500000</v>
      </c>
      <c r="K106" s="73"/>
      <c r="L106" s="73">
        <f t="shared" si="3"/>
        <v>2500000</v>
      </c>
      <c r="M106" s="74"/>
      <c r="N106" s="75">
        <f t="shared" si="4"/>
        <v>2500000</v>
      </c>
      <c r="O106" s="29"/>
    </row>
    <row r="107" spans="2:15" s="17" customFormat="1" ht="13.8">
      <c r="B107" s="71" t="s">
        <v>2670</v>
      </c>
      <c r="C107" s="71" t="s">
        <v>2543</v>
      </c>
      <c r="D107" s="71" t="s">
        <v>205</v>
      </c>
      <c r="E107" s="71" t="s">
        <v>2544</v>
      </c>
      <c r="F107" s="71" t="s">
        <v>2658</v>
      </c>
      <c r="G107" s="71" t="s">
        <v>2609</v>
      </c>
      <c r="H107" s="71">
        <v>24</v>
      </c>
      <c r="I107" s="71" t="s">
        <v>2588</v>
      </c>
      <c r="J107" s="72">
        <v>2500000</v>
      </c>
      <c r="K107" s="73"/>
      <c r="L107" s="73">
        <f t="shared" si="3"/>
        <v>2500000</v>
      </c>
      <c r="M107" s="74"/>
      <c r="N107" s="75">
        <f t="shared" si="4"/>
        <v>2500000</v>
      </c>
      <c r="O107" s="28"/>
    </row>
    <row r="108" spans="2:15" s="17" customFormat="1" ht="13.8">
      <c r="B108" s="71" t="s">
        <v>2671</v>
      </c>
      <c r="C108" s="71" t="s">
        <v>2543</v>
      </c>
      <c r="D108" s="71" t="s">
        <v>205</v>
      </c>
      <c r="E108" s="71" t="s">
        <v>2544</v>
      </c>
      <c r="F108" s="71" t="s">
        <v>2658</v>
      </c>
      <c r="G108" s="71" t="s">
        <v>2611</v>
      </c>
      <c r="H108" s="71">
        <v>20</v>
      </c>
      <c r="I108" s="71" t="s">
        <v>2590</v>
      </c>
      <c r="J108" s="72">
        <v>2500000</v>
      </c>
      <c r="K108" s="73"/>
      <c r="L108" s="73">
        <f t="shared" si="3"/>
        <v>2500000</v>
      </c>
      <c r="M108" s="74"/>
      <c r="N108" s="75">
        <f t="shared" si="4"/>
        <v>2500000</v>
      </c>
      <c r="O108" s="29"/>
    </row>
    <row r="109" spans="2:15" s="17" customFormat="1" ht="13.8">
      <c r="B109" s="71" t="s">
        <v>2672</v>
      </c>
      <c r="C109" s="71" t="s">
        <v>2543</v>
      </c>
      <c r="D109" s="71" t="s">
        <v>205</v>
      </c>
      <c r="E109" s="71" t="s">
        <v>2544</v>
      </c>
      <c r="F109" s="71" t="s">
        <v>2658</v>
      </c>
      <c r="G109" s="71" t="s">
        <v>2613</v>
      </c>
      <c r="H109" s="71">
        <v>28</v>
      </c>
      <c r="I109" s="71" t="s">
        <v>2592</v>
      </c>
      <c r="J109" s="72">
        <v>3280000</v>
      </c>
      <c r="K109" s="73"/>
      <c r="L109" s="73">
        <f t="shared" si="3"/>
        <v>3280000</v>
      </c>
      <c r="M109" s="74"/>
      <c r="N109" s="75">
        <f t="shared" si="4"/>
        <v>3280000</v>
      </c>
      <c r="O109" s="28"/>
    </row>
    <row r="110" spans="2:15" s="17" customFormat="1" ht="13.8">
      <c r="B110" s="71" t="s">
        <v>2673</v>
      </c>
      <c r="C110" s="71" t="s">
        <v>2543</v>
      </c>
      <c r="D110" s="71" t="s">
        <v>233</v>
      </c>
      <c r="E110" s="71" t="s">
        <v>2544</v>
      </c>
      <c r="F110" s="71" t="s">
        <v>2658</v>
      </c>
      <c r="G110" s="71" t="s">
        <v>2615</v>
      </c>
      <c r="H110" s="71">
        <v>28</v>
      </c>
      <c r="I110" s="71" t="s">
        <v>2592</v>
      </c>
      <c r="J110" s="72">
        <v>3280000</v>
      </c>
      <c r="K110" s="73"/>
      <c r="L110" s="73">
        <f t="shared" si="3"/>
        <v>3280000</v>
      </c>
      <c r="M110" s="74"/>
      <c r="N110" s="75">
        <f t="shared" si="4"/>
        <v>3280000</v>
      </c>
      <c r="O110" s="29"/>
    </row>
    <row r="111" spans="2:15" s="17" customFormat="1" ht="13.8">
      <c r="B111" s="71" t="s">
        <v>2674</v>
      </c>
      <c r="C111" s="71" t="s">
        <v>2543</v>
      </c>
      <c r="D111" s="71" t="s">
        <v>205</v>
      </c>
      <c r="E111" s="71" t="s">
        <v>2544</v>
      </c>
      <c r="F111" s="71" t="s">
        <v>2658</v>
      </c>
      <c r="G111" s="71" t="s">
        <v>2617</v>
      </c>
      <c r="H111" s="71">
        <v>28</v>
      </c>
      <c r="I111" s="71" t="s">
        <v>2592</v>
      </c>
      <c r="J111" s="72">
        <v>3280000</v>
      </c>
      <c r="K111" s="73"/>
      <c r="L111" s="73">
        <f t="shared" si="3"/>
        <v>3280000</v>
      </c>
      <c r="M111" s="74"/>
      <c r="N111" s="75">
        <f t="shared" si="4"/>
        <v>3280000</v>
      </c>
      <c r="O111" s="28"/>
    </row>
    <row r="112" spans="2:15" s="17" customFormat="1" ht="13.8">
      <c r="B112" s="71" t="s">
        <v>2675</v>
      </c>
      <c r="C112" s="71" t="s">
        <v>2543</v>
      </c>
      <c r="D112" s="71" t="s">
        <v>972</v>
      </c>
      <c r="E112" s="71" t="s">
        <v>2544</v>
      </c>
      <c r="F112" s="71" t="s">
        <v>2658</v>
      </c>
      <c r="G112" s="71" t="s">
        <v>2619</v>
      </c>
      <c r="H112" s="71">
        <v>28</v>
      </c>
      <c r="I112" s="71" t="s">
        <v>2592</v>
      </c>
      <c r="J112" s="72">
        <v>3280000</v>
      </c>
      <c r="K112" s="73"/>
      <c r="L112" s="73">
        <f t="shared" si="3"/>
        <v>3280000</v>
      </c>
      <c r="M112" s="74"/>
      <c r="N112" s="75">
        <f t="shared" si="4"/>
        <v>3280000</v>
      </c>
      <c r="O112" s="29"/>
    </row>
    <row r="113" spans="2:15" s="17" customFormat="1" ht="13.8">
      <c r="B113" s="71" t="s">
        <v>2676</v>
      </c>
      <c r="C113" s="71" t="s">
        <v>2543</v>
      </c>
      <c r="D113" s="71" t="s">
        <v>205</v>
      </c>
      <c r="E113" s="71" t="s">
        <v>2544</v>
      </c>
      <c r="F113" s="71" t="s">
        <v>2658</v>
      </c>
      <c r="G113" s="71" t="s">
        <v>2621</v>
      </c>
      <c r="H113" s="71">
        <v>28</v>
      </c>
      <c r="I113" s="71" t="s">
        <v>2592</v>
      </c>
      <c r="J113" s="72">
        <v>3280000</v>
      </c>
      <c r="K113" s="73"/>
      <c r="L113" s="73">
        <f t="shared" si="3"/>
        <v>3280000</v>
      </c>
      <c r="M113" s="74"/>
      <c r="N113" s="75">
        <f t="shared" si="4"/>
        <v>3280000</v>
      </c>
      <c r="O113" s="28"/>
    </row>
    <row r="114" spans="2:15" s="17" customFormat="1" ht="13.8">
      <c r="B114" s="71" t="s">
        <v>2677</v>
      </c>
      <c r="C114" s="71" t="s">
        <v>2543</v>
      </c>
      <c r="D114" s="71" t="s">
        <v>233</v>
      </c>
      <c r="E114" s="71" t="s">
        <v>2544</v>
      </c>
      <c r="F114" s="71" t="s">
        <v>2658</v>
      </c>
      <c r="G114" s="71" t="s">
        <v>2623</v>
      </c>
      <c r="H114" s="71">
        <v>28</v>
      </c>
      <c r="I114" s="71" t="s">
        <v>2592</v>
      </c>
      <c r="J114" s="72">
        <v>3280000</v>
      </c>
      <c r="K114" s="73"/>
      <c r="L114" s="73">
        <f t="shared" si="3"/>
        <v>3280000</v>
      </c>
      <c r="M114" s="74"/>
      <c r="N114" s="75">
        <f t="shared" si="4"/>
        <v>3280000</v>
      </c>
      <c r="O114" s="29"/>
    </row>
    <row r="115" spans="2:15" s="17" customFormat="1" ht="13.8">
      <c r="B115" s="71" t="s">
        <v>2678</v>
      </c>
      <c r="C115" s="71" t="s">
        <v>2543</v>
      </c>
      <c r="D115" s="71" t="s">
        <v>233</v>
      </c>
      <c r="E115" s="71" t="s">
        <v>2544</v>
      </c>
      <c r="F115" s="71" t="s">
        <v>2658</v>
      </c>
      <c r="G115" s="71" t="s">
        <v>2625</v>
      </c>
      <c r="H115" s="71">
        <v>28</v>
      </c>
      <c r="I115" s="71" t="s">
        <v>2592</v>
      </c>
      <c r="J115" s="72">
        <v>3280000</v>
      </c>
      <c r="K115" s="73"/>
      <c r="L115" s="73">
        <f t="shared" si="3"/>
        <v>3280000</v>
      </c>
      <c r="M115" s="74"/>
      <c r="N115" s="75">
        <f t="shared" si="4"/>
        <v>3280000</v>
      </c>
      <c r="O115" s="28"/>
    </row>
    <row r="116" spans="2:15" s="17" customFormat="1" ht="13.8">
      <c r="B116" s="71" t="s">
        <v>2679</v>
      </c>
      <c r="C116" s="71" t="s">
        <v>2543</v>
      </c>
      <c r="D116" s="71" t="s">
        <v>233</v>
      </c>
      <c r="E116" s="71" t="s">
        <v>2544</v>
      </c>
      <c r="F116" s="71" t="s">
        <v>2658</v>
      </c>
      <c r="G116" s="71" t="s">
        <v>2627</v>
      </c>
      <c r="H116" s="71">
        <v>28</v>
      </c>
      <c r="I116" s="71" t="s">
        <v>2592</v>
      </c>
      <c r="J116" s="72">
        <v>3280000</v>
      </c>
      <c r="K116" s="73"/>
      <c r="L116" s="73">
        <f t="shared" si="3"/>
        <v>3280000</v>
      </c>
      <c r="M116" s="74"/>
      <c r="N116" s="75">
        <f t="shared" si="4"/>
        <v>3280000</v>
      </c>
      <c r="O116" s="29"/>
    </row>
    <row r="117" spans="2:15" s="17" customFormat="1" ht="13.8">
      <c r="B117" s="71" t="s">
        <v>2680</v>
      </c>
      <c r="C117" s="71" t="s">
        <v>2543</v>
      </c>
      <c r="D117" s="71" t="s">
        <v>205</v>
      </c>
      <c r="E117" s="71" t="s">
        <v>2544</v>
      </c>
      <c r="F117" s="71" t="s">
        <v>2658</v>
      </c>
      <c r="G117" s="71" t="s">
        <v>2629</v>
      </c>
      <c r="H117" s="71">
        <v>20</v>
      </c>
      <c r="I117" s="71" t="s">
        <v>2590</v>
      </c>
      <c r="J117" s="72">
        <v>2500000</v>
      </c>
      <c r="K117" s="73"/>
      <c r="L117" s="73">
        <f t="shared" si="3"/>
        <v>2500000</v>
      </c>
      <c r="M117" s="74"/>
      <c r="N117" s="75">
        <f t="shared" si="4"/>
        <v>2500000</v>
      </c>
      <c r="O117" s="28"/>
    </row>
    <row r="118" spans="2:15" s="17" customFormat="1" ht="13.8">
      <c r="B118" s="71" t="s">
        <v>2681</v>
      </c>
      <c r="C118" s="71" t="s">
        <v>2543</v>
      </c>
      <c r="D118" s="71" t="s">
        <v>233</v>
      </c>
      <c r="E118" s="71" t="s">
        <v>2544</v>
      </c>
      <c r="F118" s="71" t="s">
        <v>2658</v>
      </c>
      <c r="G118" s="71" t="s">
        <v>2631</v>
      </c>
      <c r="H118" s="71">
        <v>24</v>
      </c>
      <c r="I118" s="71" t="s">
        <v>2588</v>
      </c>
      <c r="J118" s="72">
        <v>2500000</v>
      </c>
      <c r="K118" s="73"/>
      <c r="L118" s="73">
        <f t="shared" si="3"/>
        <v>2500000</v>
      </c>
      <c r="M118" s="74"/>
      <c r="N118" s="75">
        <f t="shared" si="4"/>
        <v>2500000</v>
      </c>
      <c r="O118" s="29"/>
    </row>
    <row r="119" spans="2:15" s="17" customFormat="1" ht="13.8">
      <c r="B119" s="71" t="s">
        <v>2682</v>
      </c>
      <c r="C119" s="71" t="s">
        <v>2543</v>
      </c>
      <c r="D119" s="71" t="s">
        <v>205</v>
      </c>
      <c r="E119" s="71" t="s">
        <v>2544</v>
      </c>
      <c r="F119" s="71" t="s">
        <v>2683</v>
      </c>
      <c r="G119" s="71" t="s">
        <v>2365</v>
      </c>
      <c r="H119" s="71">
        <v>46</v>
      </c>
      <c r="I119" s="71" t="s">
        <v>2684</v>
      </c>
      <c r="J119" s="72">
        <v>3700000</v>
      </c>
      <c r="K119" s="73">
        <v>100000</v>
      </c>
      <c r="L119" s="73">
        <f t="shared" si="3"/>
        <v>3600000</v>
      </c>
      <c r="M119" s="74"/>
      <c r="N119" s="75">
        <f t="shared" si="4"/>
        <v>3600000</v>
      </c>
      <c r="O119" s="28"/>
    </row>
    <row r="120" spans="2:15" s="17" customFormat="1" ht="13.8">
      <c r="B120" s="71" t="s">
        <v>2685</v>
      </c>
      <c r="C120" s="71" t="s">
        <v>2543</v>
      </c>
      <c r="D120" s="71" t="s">
        <v>205</v>
      </c>
      <c r="E120" s="71" t="s">
        <v>2544</v>
      </c>
      <c r="F120" s="71" t="s">
        <v>2683</v>
      </c>
      <c r="G120" s="71" t="s">
        <v>2368</v>
      </c>
      <c r="H120" s="71">
        <v>28</v>
      </c>
      <c r="I120" s="71" t="s">
        <v>2592</v>
      </c>
      <c r="J120" s="72">
        <v>3280000</v>
      </c>
      <c r="K120" s="73"/>
      <c r="L120" s="73">
        <f t="shared" si="3"/>
        <v>3280000</v>
      </c>
      <c r="M120" s="74"/>
      <c r="N120" s="75">
        <f t="shared" si="4"/>
        <v>3280000</v>
      </c>
      <c r="O120" s="29"/>
    </row>
    <row r="121" spans="2:15" s="17" customFormat="1" ht="13.8">
      <c r="B121" s="71" t="s">
        <v>2686</v>
      </c>
      <c r="C121" s="71" t="s">
        <v>2543</v>
      </c>
      <c r="D121" s="71" t="s">
        <v>205</v>
      </c>
      <c r="E121" s="71" t="s">
        <v>2544</v>
      </c>
      <c r="F121" s="71" t="s">
        <v>2683</v>
      </c>
      <c r="G121" s="71" t="s">
        <v>2377</v>
      </c>
      <c r="H121" s="71">
        <v>28</v>
      </c>
      <c r="I121" s="71" t="s">
        <v>2592</v>
      </c>
      <c r="J121" s="72">
        <v>3280000</v>
      </c>
      <c r="K121" s="73"/>
      <c r="L121" s="73">
        <f t="shared" si="3"/>
        <v>3280000</v>
      </c>
      <c r="M121" s="74"/>
      <c r="N121" s="75">
        <f t="shared" si="4"/>
        <v>3280000</v>
      </c>
      <c r="O121" s="28"/>
    </row>
    <row r="122" spans="2:15" s="17" customFormat="1" ht="13.8">
      <c r="B122" s="71" t="s">
        <v>2687</v>
      </c>
      <c r="C122" s="71" t="s">
        <v>2543</v>
      </c>
      <c r="D122" s="71" t="s">
        <v>205</v>
      </c>
      <c r="E122" s="71" t="s">
        <v>2544</v>
      </c>
      <c r="F122" s="71" t="s">
        <v>2683</v>
      </c>
      <c r="G122" s="71" t="s">
        <v>2379</v>
      </c>
      <c r="H122" s="71">
        <v>28</v>
      </c>
      <c r="I122" s="71" t="s">
        <v>2592</v>
      </c>
      <c r="J122" s="72">
        <v>3280000</v>
      </c>
      <c r="K122" s="73"/>
      <c r="L122" s="73">
        <f t="shared" si="3"/>
        <v>3280000</v>
      </c>
      <c r="M122" s="74"/>
      <c r="N122" s="75">
        <f t="shared" si="4"/>
        <v>3280000</v>
      </c>
      <c r="O122" s="29"/>
    </row>
    <row r="123" spans="2:15" s="17" customFormat="1" ht="13.8">
      <c r="B123" s="71" t="s">
        <v>2688</v>
      </c>
      <c r="C123" s="71" t="s">
        <v>2543</v>
      </c>
      <c r="D123" s="71" t="s">
        <v>233</v>
      </c>
      <c r="E123" s="71" t="s">
        <v>2544</v>
      </c>
      <c r="F123" s="71" t="s">
        <v>2683</v>
      </c>
      <c r="G123" s="71" t="s">
        <v>2370</v>
      </c>
      <c r="H123" s="71">
        <v>28</v>
      </c>
      <c r="I123" s="71" t="s">
        <v>2592</v>
      </c>
      <c r="J123" s="72">
        <v>3280000</v>
      </c>
      <c r="K123" s="73"/>
      <c r="L123" s="73">
        <f t="shared" si="3"/>
        <v>3280000</v>
      </c>
      <c r="M123" s="74"/>
      <c r="N123" s="75">
        <f t="shared" si="4"/>
        <v>3280000</v>
      </c>
      <c r="O123" s="28"/>
    </row>
    <row r="124" spans="2:15" s="17" customFormat="1" ht="13.8">
      <c r="B124" s="71" t="s">
        <v>2689</v>
      </c>
      <c r="C124" s="71" t="s">
        <v>2543</v>
      </c>
      <c r="D124" s="71" t="s">
        <v>205</v>
      </c>
      <c r="E124" s="71" t="s">
        <v>2544</v>
      </c>
      <c r="F124" s="71" t="s">
        <v>2683</v>
      </c>
      <c r="G124" s="71" t="s">
        <v>2372</v>
      </c>
      <c r="H124" s="71">
        <v>28</v>
      </c>
      <c r="I124" s="71" t="s">
        <v>2592</v>
      </c>
      <c r="J124" s="72">
        <v>3280000</v>
      </c>
      <c r="K124" s="73"/>
      <c r="L124" s="73">
        <f t="shared" si="3"/>
        <v>3280000</v>
      </c>
      <c r="M124" s="74"/>
      <c r="N124" s="75">
        <f t="shared" si="4"/>
        <v>3280000</v>
      </c>
      <c r="O124" s="29"/>
    </row>
    <row r="125" spans="2:15" s="17" customFormat="1" ht="13.8">
      <c r="B125" s="71" t="s">
        <v>2690</v>
      </c>
      <c r="C125" s="71" t="s">
        <v>2543</v>
      </c>
      <c r="D125" s="71" t="s">
        <v>233</v>
      </c>
      <c r="E125" s="71" t="s">
        <v>2544</v>
      </c>
      <c r="F125" s="71" t="s">
        <v>2683</v>
      </c>
      <c r="G125" s="71" t="s">
        <v>2597</v>
      </c>
      <c r="H125" s="71">
        <v>28</v>
      </c>
      <c r="I125" s="71" t="s">
        <v>2592</v>
      </c>
      <c r="J125" s="72">
        <v>3280000</v>
      </c>
      <c r="K125" s="73"/>
      <c r="L125" s="73">
        <f t="shared" si="3"/>
        <v>3280000</v>
      </c>
      <c r="M125" s="74"/>
      <c r="N125" s="75">
        <f t="shared" si="4"/>
        <v>3280000</v>
      </c>
      <c r="O125" s="28"/>
    </row>
    <row r="126" spans="2:15" s="17" customFormat="1" ht="13.8">
      <c r="B126" s="71" t="s">
        <v>2691</v>
      </c>
      <c r="C126" s="71" t="s">
        <v>2543</v>
      </c>
      <c r="D126" s="71" t="s">
        <v>205</v>
      </c>
      <c r="E126" s="71" t="s">
        <v>2544</v>
      </c>
      <c r="F126" s="71" t="s">
        <v>2683</v>
      </c>
      <c r="G126" s="71" t="s">
        <v>2599</v>
      </c>
      <c r="H126" s="71">
        <v>28</v>
      </c>
      <c r="I126" s="71" t="s">
        <v>2592</v>
      </c>
      <c r="J126" s="72">
        <v>3280000</v>
      </c>
      <c r="K126" s="73"/>
      <c r="L126" s="73">
        <f t="shared" si="3"/>
        <v>3280000</v>
      </c>
      <c r="M126" s="74"/>
      <c r="N126" s="75">
        <f t="shared" si="4"/>
        <v>3280000</v>
      </c>
      <c r="O126" s="29"/>
    </row>
    <row r="127" spans="2:15" s="17" customFormat="1" ht="13.8">
      <c r="B127" s="71" t="s">
        <v>2692</v>
      </c>
      <c r="C127" s="71" t="s">
        <v>2543</v>
      </c>
      <c r="D127" s="71" t="s">
        <v>205</v>
      </c>
      <c r="E127" s="71" t="s">
        <v>2544</v>
      </c>
      <c r="F127" s="71" t="s">
        <v>2683</v>
      </c>
      <c r="G127" s="71" t="s">
        <v>2601</v>
      </c>
      <c r="H127" s="71">
        <v>28</v>
      </c>
      <c r="I127" s="71" t="s">
        <v>2592</v>
      </c>
      <c r="J127" s="72">
        <v>3280000</v>
      </c>
      <c r="K127" s="73"/>
      <c r="L127" s="73">
        <f t="shared" si="3"/>
        <v>3280000</v>
      </c>
      <c r="M127" s="74"/>
      <c r="N127" s="75">
        <f t="shared" si="4"/>
        <v>3280000</v>
      </c>
      <c r="O127" s="28"/>
    </row>
    <row r="128" spans="2:15" s="17" customFormat="1" ht="13.8">
      <c r="B128" s="71" t="s">
        <v>2693</v>
      </c>
      <c r="C128" s="71" t="s">
        <v>2543</v>
      </c>
      <c r="D128" s="71" t="s">
        <v>205</v>
      </c>
      <c r="E128" s="71" t="s">
        <v>2544</v>
      </c>
      <c r="F128" s="71" t="s">
        <v>2683</v>
      </c>
      <c r="G128" s="71" t="s">
        <v>2603</v>
      </c>
      <c r="H128" s="71">
        <v>46</v>
      </c>
      <c r="I128" s="71" t="s">
        <v>2684</v>
      </c>
      <c r="J128" s="72">
        <v>3700000</v>
      </c>
      <c r="K128" s="73">
        <v>100000</v>
      </c>
      <c r="L128" s="73">
        <f t="shared" si="3"/>
        <v>3600000</v>
      </c>
      <c r="M128" s="74"/>
      <c r="N128" s="75">
        <f t="shared" si="4"/>
        <v>3600000</v>
      </c>
      <c r="O128" s="29"/>
    </row>
    <row r="129" spans="2:15" s="17" customFormat="1" ht="13.8">
      <c r="B129" s="71" t="s">
        <v>2694</v>
      </c>
      <c r="C129" s="71" t="s">
        <v>2543</v>
      </c>
      <c r="D129" s="71" t="s">
        <v>205</v>
      </c>
      <c r="E129" s="71" t="s">
        <v>2544</v>
      </c>
      <c r="F129" s="71" t="s">
        <v>2683</v>
      </c>
      <c r="G129" s="71" t="s">
        <v>2605</v>
      </c>
      <c r="H129" s="71">
        <v>46</v>
      </c>
      <c r="I129" s="71" t="s">
        <v>2684</v>
      </c>
      <c r="J129" s="72">
        <v>3700000</v>
      </c>
      <c r="K129" s="73">
        <v>100000</v>
      </c>
      <c r="L129" s="73">
        <f t="shared" si="3"/>
        <v>3600000</v>
      </c>
      <c r="M129" s="74"/>
      <c r="N129" s="75">
        <f t="shared" si="4"/>
        <v>3600000</v>
      </c>
      <c r="O129" s="28"/>
    </row>
    <row r="130" spans="2:15" s="17" customFormat="1" ht="13.8">
      <c r="B130" s="71" t="s">
        <v>2695</v>
      </c>
      <c r="C130" s="71" t="s">
        <v>2543</v>
      </c>
      <c r="D130" s="71" t="s">
        <v>205</v>
      </c>
      <c r="E130" s="71" t="s">
        <v>2544</v>
      </c>
      <c r="F130" s="71" t="s">
        <v>2683</v>
      </c>
      <c r="G130" s="71" t="s">
        <v>2607</v>
      </c>
      <c r="H130" s="71">
        <v>28</v>
      </c>
      <c r="I130" s="71" t="s">
        <v>2592</v>
      </c>
      <c r="J130" s="72">
        <v>3280000</v>
      </c>
      <c r="K130" s="73"/>
      <c r="L130" s="73">
        <f t="shared" si="3"/>
        <v>3280000</v>
      </c>
      <c r="M130" s="74"/>
      <c r="N130" s="75">
        <f t="shared" si="4"/>
        <v>3280000</v>
      </c>
      <c r="O130" s="29"/>
    </row>
    <row r="131" spans="2:15" s="17" customFormat="1" ht="13.8">
      <c r="B131" s="71" t="s">
        <v>2696</v>
      </c>
      <c r="C131" s="71" t="s">
        <v>2543</v>
      </c>
      <c r="D131" s="71" t="s">
        <v>205</v>
      </c>
      <c r="E131" s="71" t="s">
        <v>2544</v>
      </c>
      <c r="F131" s="71" t="s">
        <v>2683</v>
      </c>
      <c r="G131" s="71" t="s">
        <v>2609</v>
      </c>
      <c r="H131" s="71">
        <v>28</v>
      </c>
      <c r="I131" s="71" t="s">
        <v>2592</v>
      </c>
      <c r="J131" s="72">
        <v>3280000</v>
      </c>
      <c r="K131" s="73"/>
      <c r="L131" s="73">
        <f t="shared" si="3"/>
        <v>3280000</v>
      </c>
      <c r="M131" s="74"/>
      <c r="N131" s="75">
        <f t="shared" si="4"/>
        <v>3280000</v>
      </c>
      <c r="O131" s="28"/>
    </row>
    <row r="132" spans="2:15" s="17" customFormat="1" ht="13.8">
      <c r="B132" s="71" t="s">
        <v>2697</v>
      </c>
      <c r="C132" s="71" t="s">
        <v>2543</v>
      </c>
      <c r="D132" s="71" t="s">
        <v>233</v>
      </c>
      <c r="E132" s="71" t="s">
        <v>2544</v>
      </c>
      <c r="F132" s="71" t="s">
        <v>2683</v>
      </c>
      <c r="G132" s="71" t="s">
        <v>2611</v>
      </c>
      <c r="H132" s="71">
        <v>28</v>
      </c>
      <c r="I132" s="71" t="s">
        <v>2592</v>
      </c>
      <c r="J132" s="72">
        <v>3280000</v>
      </c>
      <c r="K132" s="73"/>
      <c r="L132" s="73">
        <f t="shared" si="3"/>
        <v>3280000</v>
      </c>
      <c r="M132" s="74"/>
      <c r="N132" s="75">
        <f t="shared" si="4"/>
        <v>3280000</v>
      </c>
      <c r="O132" s="29"/>
    </row>
    <row r="133" spans="2:15" s="17" customFormat="1" ht="13.8">
      <c r="B133" s="71" t="s">
        <v>2698</v>
      </c>
      <c r="C133" s="71" t="s">
        <v>2543</v>
      </c>
      <c r="D133" s="71" t="s">
        <v>205</v>
      </c>
      <c r="E133" s="71" t="s">
        <v>2544</v>
      </c>
      <c r="F133" s="71" t="s">
        <v>2683</v>
      </c>
      <c r="G133" s="71" t="s">
        <v>2613</v>
      </c>
      <c r="H133" s="71">
        <v>28</v>
      </c>
      <c r="I133" s="71" t="s">
        <v>2592</v>
      </c>
      <c r="J133" s="72">
        <v>3280000</v>
      </c>
      <c r="K133" s="73"/>
      <c r="L133" s="73">
        <f t="shared" si="3"/>
        <v>3280000</v>
      </c>
      <c r="M133" s="74"/>
      <c r="N133" s="75">
        <f t="shared" si="4"/>
        <v>3280000</v>
      </c>
      <c r="O133" s="28"/>
    </row>
    <row r="134" spans="2:15" s="17" customFormat="1" ht="13.8">
      <c r="B134" s="71" t="s">
        <v>2699</v>
      </c>
      <c r="C134" s="71" t="s">
        <v>2543</v>
      </c>
      <c r="D134" s="71" t="s">
        <v>233</v>
      </c>
      <c r="E134" s="71" t="s">
        <v>2544</v>
      </c>
      <c r="F134" s="71" t="s">
        <v>2683</v>
      </c>
      <c r="G134" s="71" t="s">
        <v>2615</v>
      </c>
      <c r="H134" s="71">
        <v>28</v>
      </c>
      <c r="I134" s="71" t="s">
        <v>2592</v>
      </c>
      <c r="J134" s="72">
        <v>3280000</v>
      </c>
      <c r="K134" s="73"/>
      <c r="L134" s="73">
        <f t="shared" si="3"/>
        <v>3280000</v>
      </c>
      <c r="M134" s="74"/>
      <c r="N134" s="75">
        <f t="shared" si="4"/>
        <v>3280000</v>
      </c>
      <c r="O134" s="29"/>
    </row>
    <row r="135" spans="2:15" s="17" customFormat="1" ht="13.8">
      <c r="B135" s="71" t="s">
        <v>2700</v>
      </c>
      <c r="C135" s="71" t="s">
        <v>2543</v>
      </c>
      <c r="D135" s="71" t="s">
        <v>205</v>
      </c>
      <c r="E135" s="71" t="s">
        <v>2544</v>
      </c>
      <c r="F135" s="71" t="s">
        <v>2683</v>
      </c>
      <c r="G135" s="71" t="s">
        <v>2617</v>
      </c>
      <c r="H135" s="71">
        <v>28</v>
      </c>
      <c r="I135" s="71" t="s">
        <v>2592</v>
      </c>
      <c r="J135" s="72">
        <v>3280000</v>
      </c>
      <c r="K135" s="73"/>
      <c r="L135" s="73">
        <f t="shared" si="3"/>
        <v>3280000</v>
      </c>
      <c r="M135" s="74"/>
      <c r="N135" s="75">
        <f t="shared" si="4"/>
        <v>3280000</v>
      </c>
      <c r="O135" s="28"/>
    </row>
    <row r="136" spans="2:15" s="17" customFormat="1" ht="13.8">
      <c r="B136" s="71" t="s">
        <v>2701</v>
      </c>
      <c r="C136" s="71" t="s">
        <v>2543</v>
      </c>
      <c r="D136" s="71" t="s">
        <v>233</v>
      </c>
      <c r="E136" s="71" t="s">
        <v>2544</v>
      </c>
      <c r="F136" s="71" t="s">
        <v>2683</v>
      </c>
      <c r="G136" s="71" t="s">
        <v>2619</v>
      </c>
      <c r="H136" s="71">
        <v>28</v>
      </c>
      <c r="I136" s="71" t="s">
        <v>2592</v>
      </c>
      <c r="J136" s="72">
        <v>3280000</v>
      </c>
      <c r="K136" s="73"/>
      <c r="L136" s="73">
        <f t="shared" ref="L136:L199" si="5">J136-K136</f>
        <v>3280000</v>
      </c>
      <c r="M136" s="74"/>
      <c r="N136" s="75">
        <f t="shared" ref="N136:N199" si="6">L136-M136</f>
        <v>3280000</v>
      </c>
      <c r="O136" s="29"/>
    </row>
    <row r="137" spans="2:15" s="17" customFormat="1" ht="13.8">
      <c r="B137" s="71" t="s">
        <v>2702</v>
      </c>
      <c r="C137" s="71" t="s">
        <v>2543</v>
      </c>
      <c r="D137" s="71" t="s">
        <v>205</v>
      </c>
      <c r="E137" s="71" t="s">
        <v>2544</v>
      </c>
      <c r="F137" s="71" t="s">
        <v>2683</v>
      </c>
      <c r="G137" s="71" t="s">
        <v>2621</v>
      </c>
      <c r="H137" s="71">
        <v>28</v>
      </c>
      <c r="I137" s="71" t="s">
        <v>2592</v>
      </c>
      <c r="J137" s="72">
        <v>3280000</v>
      </c>
      <c r="K137" s="73"/>
      <c r="L137" s="73">
        <f t="shared" si="5"/>
        <v>3280000</v>
      </c>
      <c r="M137" s="74"/>
      <c r="N137" s="75">
        <f t="shared" si="6"/>
        <v>3280000</v>
      </c>
      <c r="O137" s="28"/>
    </row>
    <row r="138" spans="2:15" s="17" customFormat="1" ht="13.8">
      <c r="B138" s="71" t="s">
        <v>2703</v>
      </c>
      <c r="C138" s="71" t="s">
        <v>2543</v>
      </c>
      <c r="D138" s="71" t="s">
        <v>205</v>
      </c>
      <c r="E138" s="71" t="s">
        <v>2544</v>
      </c>
      <c r="F138" s="71" t="s">
        <v>2683</v>
      </c>
      <c r="G138" s="71" t="s">
        <v>2623</v>
      </c>
      <c r="H138" s="71">
        <v>46</v>
      </c>
      <c r="I138" s="71" t="s">
        <v>2684</v>
      </c>
      <c r="J138" s="72">
        <v>3700000</v>
      </c>
      <c r="K138" s="73">
        <v>100000</v>
      </c>
      <c r="L138" s="73">
        <f t="shared" si="5"/>
        <v>3600000</v>
      </c>
      <c r="M138" s="74"/>
      <c r="N138" s="75">
        <f t="shared" si="6"/>
        <v>3600000</v>
      </c>
      <c r="O138" s="29"/>
    </row>
    <row r="139" spans="2:15" s="17" customFormat="1" ht="13.8">
      <c r="B139" s="71" t="s">
        <v>2704</v>
      </c>
      <c r="C139" s="71" t="s">
        <v>2543</v>
      </c>
      <c r="D139" s="71" t="s">
        <v>205</v>
      </c>
      <c r="E139" s="71" t="s">
        <v>2544</v>
      </c>
      <c r="F139" s="71" t="s">
        <v>2705</v>
      </c>
      <c r="G139" s="71" t="s">
        <v>2365</v>
      </c>
      <c r="H139" s="71">
        <v>46</v>
      </c>
      <c r="I139" s="71" t="s">
        <v>2684</v>
      </c>
      <c r="J139" s="72">
        <v>3700000</v>
      </c>
      <c r="K139" s="73">
        <v>100000</v>
      </c>
      <c r="L139" s="73">
        <f t="shared" si="5"/>
        <v>3600000</v>
      </c>
      <c r="M139" s="74"/>
      <c r="N139" s="75">
        <f t="shared" si="6"/>
        <v>3600000</v>
      </c>
      <c r="O139" s="28"/>
    </row>
    <row r="140" spans="2:15" s="17" customFormat="1" ht="13.8">
      <c r="B140" s="71" t="s">
        <v>2706</v>
      </c>
      <c r="C140" s="71" t="s">
        <v>2543</v>
      </c>
      <c r="D140" s="71" t="s">
        <v>233</v>
      </c>
      <c r="E140" s="71" t="s">
        <v>2544</v>
      </c>
      <c r="F140" s="71" t="s">
        <v>2705</v>
      </c>
      <c r="G140" s="71" t="s">
        <v>2368</v>
      </c>
      <c r="H140" s="71">
        <v>28</v>
      </c>
      <c r="I140" s="71" t="s">
        <v>2592</v>
      </c>
      <c r="J140" s="72">
        <v>3280000</v>
      </c>
      <c r="K140" s="73"/>
      <c r="L140" s="73">
        <f t="shared" si="5"/>
        <v>3280000</v>
      </c>
      <c r="M140" s="74"/>
      <c r="N140" s="75">
        <f t="shared" si="6"/>
        <v>3280000</v>
      </c>
      <c r="O140" s="29"/>
    </row>
    <row r="141" spans="2:15" s="17" customFormat="1" ht="13.8">
      <c r="B141" s="71" t="s">
        <v>2707</v>
      </c>
      <c r="C141" s="71" t="s">
        <v>2543</v>
      </c>
      <c r="D141" s="71" t="s">
        <v>233</v>
      </c>
      <c r="E141" s="71" t="s">
        <v>2544</v>
      </c>
      <c r="F141" s="71" t="s">
        <v>2705</v>
      </c>
      <c r="G141" s="71" t="s">
        <v>2377</v>
      </c>
      <c r="H141" s="71">
        <v>28</v>
      </c>
      <c r="I141" s="71" t="s">
        <v>2592</v>
      </c>
      <c r="J141" s="72">
        <v>3280000</v>
      </c>
      <c r="K141" s="73"/>
      <c r="L141" s="73">
        <f t="shared" si="5"/>
        <v>3280000</v>
      </c>
      <c r="M141" s="74"/>
      <c r="N141" s="75">
        <f t="shared" si="6"/>
        <v>3280000</v>
      </c>
      <c r="O141" s="28"/>
    </row>
    <row r="142" spans="2:15" s="17" customFormat="1" ht="13.8">
      <c r="B142" s="71" t="s">
        <v>2708</v>
      </c>
      <c r="C142" s="71" t="s">
        <v>2543</v>
      </c>
      <c r="D142" s="71" t="s">
        <v>233</v>
      </c>
      <c r="E142" s="71" t="s">
        <v>2544</v>
      </c>
      <c r="F142" s="71" t="s">
        <v>2705</v>
      </c>
      <c r="G142" s="71" t="s">
        <v>2379</v>
      </c>
      <c r="H142" s="71">
        <v>28</v>
      </c>
      <c r="I142" s="71" t="s">
        <v>2592</v>
      </c>
      <c r="J142" s="72">
        <v>3280000</v>
      </c>
      <c r="K142" s="73"/>
      <c r="L142" s="73">
        <f t="shared" si="5"/>
        <v>3280000</v>
      </c>
      <c r="M142" s="74"/>
      <c r="N142" s="75">
        <f t="shared" si="6"/>
        <v>3280000</v>
      </c>
      <c r="O142" s="29"/>
    </row>
    <row r="143" spans="2:15" s="17" customFormat="1" ht="13.8">
      <c r="B143" s="71" t="s">
        <v>2709</v>
      </c>
      <c r="C143" s="71" t="s">
        <v>2543</v>
      </c>
      <c r="D143" s="71" t="s">
        <v>205</v>
      </c>
      <c r="E143" s="71" t="s">
        <v>2544</v>
      </c>
      <c r="F143" s="71" t="s">
        <v>2705</v>
      </c>
      <c r="G143" s="71" t="s">
        <v>2370</v>
      </c>
      <c r="H143" s="71">
        <v>28</v>
      </c>
      <c r="I143" s="71" t="s">
        <v>2592</v>
      </c>
      <c r="J143" s="72">
        <v>3280000</v>
      </c>
      <c r="K143" s="73"/>
      <c r="L143" s="73">
        <f t="shared" si="5"/>
        <v>3280000</v>
      </c>
      <c r="M143" s="74"/>
      <c r="N143" s="75">
        <f t="shared" si="6"/>
        <v>3280000</v>
      </c>
      <c r="O143" s="28"/>
    </row>
    <row r="144" spans="2:15" s="17" customFormat="1" ht="13.8">
      <c r="B144" s="71" t="s">
        <v>2710</v>
      </c>
      <c r="C144" s="71" t="s">
        <v>2543</v>
      </c>
      <c r="D144" s="71" t="s">
        <v>205</v>
      </c>
      <c r="E144" s="71" t="s">
        <v>2544</v>
      </c>
      <c r="F144" s="71" t="s">
        <v>2705</v>
      </c>
      <c r="G144" s="71" t="s">
        <v>2372</v>
      </c>
      <c r="H144" s="71">
        <v>28</v>
      </c>
      <c r="I144" s="71" t="s">
        <v>2592</v>
      </c>
      <c r="J144" s="72">
        <v>3280000</v>
      </c>
      <c r="K144" s="73"/>
      <c r="L144" s="73">
        <f t="shared" si="5"/>
        <v>3280000</v>
      </c>
      <c r="M144" s="74">
        <f>L144*12/112</f>
        <v>351428.57142857142</v>
      </c>
      <c r="N144" s="75">
        <f t="shared" si="6"/>
        <v>2928571.4285714286</v>
      </c>
      <c r="O144" s="29"/>
    </row>
    <row r="145" spans="2:15" s="17" customFormat="1" ht="13.8">
      <c r="B145" s="71" t="s">
        <v>2711</v>
      </c>
      <c r="C145" s="71" t="s">
        <v>2543</v>
      </c>
      <c r="D145" s="71" t="s">
        <v>233</v>
      </c>
      <c r="E145" s="71" t="s">
        <v>2544</v>
      </c>
      <c r="F145" s="71" t="s">
        <v>2705</v>
      </c>
      <c r="G145" s="71" t="s">
        <v>2597</v>
      </c>
      <c r="H145" s="71">
        <v>28</v>
      </c>
      <c r="I145" s="71" t="s">
        <v>2592</v>
      </c>
      <c r="J145" s="72">
        <v>3280000</v>
      </c>
      <c r="K145" s="73"/>
      <c r="L145" s="73">
        <f t="shared" si="5"/>
        <v>3280000</v>
      </c>
      <c r="M145" s="74"/>
      <c r="N145" s="75">
        <f t="shared" si="6"/>
        <v>3280000</v>
      </c>
      <c r="O145" s="28"/>
    </row>
    <row r="146" spans="2:15" s="17" customFormat="1" ht="13.8">
      <c r="B146" s="71" t="s">
        <v>2712</v>
      </c>
      <c r="C146" s="71" t="s">
        <v>2543</v>
      </c>
      <c r="D146" s="71" t="s">
        <v>205</v>
      </c>
      <c r="E146" s="71" t="s">
        <v>2544</v>
      </c>
      <c r="F146" s="71" t="s">
        <v>2705</v>
      </c>
      <c r="G146" s="71" t="s">
        <v>2599</v>
      </c>
      <c r="H146" s="71">
        <v>28</v>
      </c>
      <c r="I146" s="71" t="s">
        <v>2592</v>
      </c>
      <c r="J146" s="72">
        <v>3280000</v>
      </c>
      <c r="K146" s="73"/>
      <c r="L146" s="73">
        <f t="shared" si="5"/>
        <v>3280000</v>
      </c>
      <c r="M146" s="74"/>
      <c r="N146" s="75">
        <f t="shared" si="6"/>
        <v>3280000</v>
      </c>
      <c r="O146" s="29"/>
    </row>
    <row r="147" spans="2:15" s="17" customFormat="1" ht="13.8">
      <c r="B147" s="71" t="s">
        <v>2713</v>
      </c>
      <c r="C147" s="71" t="s">
        <v>2543</v>
      </c>
      <c r="D147" s="71" t="s">
        <v>205</v>
      </c>
      <c r="E147" s="71" t="s">
        <v>2544</v>
      </c>
      <c r="F147" s="71" t="s">
        <v>2705</v>
      </c>
      <c r="G147" s="71" t="s">
        <v>2601</v>
      </c>
      <c r="H147" s="71">
        <v>28</v>
      </c>
      <c r="I147" s="71" t="s">
        <v>2592</v>
      </c>
      <c r="J147" s="72">
        <v>3280000</v>
      </c>
      <c r="K147" s="73"/>
      <c r="L147" s="73">
        <f t="shared" si="5"/>
        <v>3280000</v>
      </c>
      <c r="M147" s="74"/>
      <c r="N147" s="75">
        <f t="shared" si="6"/>
        <v>3280000</v>
      </c>
      <c r="O147" s="28"/>
    </row>
    <row r="148" spans="2:15" s="17" customFormat="1" ht="13.8">
      <c r="B148" s="71" t="s">
        <v>2714</v>
      </c>
      <c r="C148" s="71" t="s">
        <v>2543</v>
      </c>
      <c r="D148" s="71" t="s">
        <v>205</v>
      </c>
      <c r="E148" s="71" t="s">
        <v>2544</v>
      </c>
      <c r="F148" s="71" t="s">
        <v>2705</v>
      </c>
      <c r="G148" s="71" t="s">
        <v>2603</v>
      </c>
      <c r="H148" s="71">
        <v>46</v>
      </c>
      <c r="I148" s="71" t="s">
        <v>2684</v>
      </c>
      <c r="J148" s="72">
        <v>3700000</v>
      </c>
      <c r="K148" s="73">
        <v>100000</v>
      </c>
      <c r="L148" s="73">
        <f t="shared" si="5"/>
        <v>3600000</v>
      </c>
      <c r="M148" s="74"/>
      <c r="N148" s="75">
        <f t="shared" si="6"/>
        <v>3600000</v>
      </c>
      <c r="O148" s="29"/>
    </row>
    <row r="149" spans="2:15" s="17" customFormat="1" ht="13.8">
      <c r="B149" s="71" t="s">
        <v>2715</v>
      </c>
      <c r="C149" s="71" t="s">
        <v>2543</v>
      </c>
      <c r="D149" s="71" t="s">
        <v>205</v>
      </c>
      <c r="E149" s="71" t="s">
        <v>2544</v>
      </c>
      <c r="F149" s="71" t="s">
        <v>2705</v>
      </c>
      <c r="G149" s="71" t="s">
        <v>2605</v>
      </c>
      <c r="H149" s="71">
        <v>46</v>
      </c>
      <c r="I149" s="71" t="s">
        <v>2684</v>
      </c>
      <c r="J149" s="72">
        <v>3700000</v>
      </c>
      <c r="K149" s="73">
        <v>100000</v>
      </c>
      <c r="L149" s="73">
        <f t="shared" si="5"/>
        <v>3600000</v>
      </c>
      <c r="M149" s="74"/>
      <c r="N149" s="75">
        <f t="shared" si="6"/>
        <v>3600000</v>
      </c>
      <c r="O149" s="28"/>
    </row>
    <row r="150" spans="2:15" s="17" customFormat="1" ht="13.8">
      <c r="B150" s="71" t="s">
        <v>2716</v>
      </c>
      <c r="C150" s="71" t="s">
        <v>2543</v>
      </c>
      <c r="D150" s="71" t="s">
        <v>233</v>
      </c>
      <c r="E150" s="71" t="s">
        <v>2544</v>
      </c>
      <c r="F150" s="71" t="s">
        <v>2705</v>
      </c>
      <c r="G150" s="71" t="s">
        <v>2607</v>
      </c>
      <c r="H150" s="71">
        <v>28</v>
      </c>
      <c r="I150" s="71" t="s">
        <v>2592</v>
      </c>
      <c r="J150" s="72">
        <v>3280000</v>
      </c>
      <c r="K150" s="73"/>
      <c r="L150" s="73">
        <f t="shared" si="5"/>
        <v>3280000</v>
      </c>
      <c r="M150" s="74"/>
      <c r="N150" s="75">
        <f t="shared" si="6"/>
        <v>3280000</v>
      </c>
      <c r="O150" s="29"/>
    </row>
    <row r="151" spans="2:15" s="17" customFormat="1" ht="13.8">
      <c r="B151" s="71" t="s">
        <v>2717</v>
      </c>
      <c r="C151" s="71" t="s">
        <v>2543</v>
      </c>
      <c r="D151" s="71" t="s">
        <v>205</v>
      </c>
      <c r="E151" s="71" t="s">
        <v>2544</v>
      </c>
      <c r="F151" s="71" t="s">
        <v>2705</v>
      </c>
      <c r="G151" s="71" t="s">
        <v>2609</v>
      </c>
      <c r="H151" s="71">
        <v>28</v>
      </c>
      <c r="I151" s="71" t="s">
        <v>2592</v>
      </c>
      <c r="J151" s="72">
        <v>3280000</v>
      </c>
      <c r="K151" s="73"/>
      <c r="L151" s="73">
        <f t="shared" si="5"/>
        <v>3280000</v>
      </c>
      <c r="M151" s="74"/>
      <c r="N151" s="75">
        <f t="shared" si="6"/>
        <v>3280000</v>
      </c>
      <c r="O151" s="28"/>
    </row>
    <row r="152" spans="2:15" s="17" customFormat="1" ht="13.8">
      <c r="B152" s="71" t="s">
        <v>2718</v>
      </c>
      <c r="C152" s="71" t="s">
        <v>2543</v>
      </c>
      <c r="D152" s="71" t="s">
        <v>205</v>
      </c>
      <c r="E152" s="71" t="s">
        <v>2544</v>
      </c>
      <c r="F152" s="71" t="s">
        <v>2705</v>
      </c>
      <c r="G152" s="71" t="s">
        <v>2611</v>
      </c>
      <c r="H152" s="71">
        <v>28</v>
      </c>
      <c r="I152" s="71" t="s">
        <v>2592</v>
      </c>
      <c r="J152" s="72">
        <v>3280000</v>
      </c>
      <c r="K152" s="73"/>
      <c r="L152" s="73">
        <f t="shared" si="5"/>
        <v>3280000</v>
      </c>
      <c r="M152" s="74"/>
      <c r="N152" s="75">
        <f t="shared" si="6"/>
        <v>3280000</v>
      </c>
      <c r="O152" s="29"/>
    </row>
    <row r="153" spans="2:15" s="17" customFormat="1" ht="13.8">
      <c r="B153" s="71" t="s">
        <v>2719</v>
      </c>
      <c r="C153" s="71" t="s">
        <v>2543</v>
      </c>
      <c r="D153" s="71" t="s">
        <v>205</v>
      </c>
      <c r="E153" s="71" t="s">
        <v>2544</v>
      </c>
      <c r="F153" s="71" t="s">
        <v>2705</v>
      </c>
      <c r="G153" s="71" t="s">
        <v>2613</v>
      </c>
      <c r="H153" s="71">
        <v>28</v>
      </c>
      <c r="I153" s="71" t="s">
        <v>2592</v>
      </c>
      <c r="J153" s="72">
        <v>3280000</v>
      </c>
      <c r="K153" s="73"/>
      <c r="L153" s="73">
        <f t="shared" si="5"/>
        <v>3280000</v>
      </c>
      <c r="M153" s="74"/>
      <c r="N153" s="75">
        <f t="shared" si="6"/>
        <v>3280000</v>
      </c>
      <c r="O153" s="28"/>
    </row>
    <row r="154" spans="2:15" s="17" customFormat="1" ht="13.8">
      <c r="B154" s="71" t="s">
        <v>2720</v>
      </c>
      <c r="C154" s="71" t="s">
        <v>2543</v>
      </c>
      <c r="D154" s="71" t="s">
        <v>205</v>
      </c>
      <c r="E154" s="71" t="s">
        <v>2544</v>
      </c>
      <c r="F154" s="71" t="s">
        <v>2705</v>
      </c>
      <c r="G154" s="71" t="s">
        <v>2615</v>
      </c>
      <c r="H154" s="71">
        <v>28</v>
      </c>
      <c r="I154" s="71" t="s">
        <v>2592</v>
      </c>
      <c r="J154" s="72">
        <v>3280000</v>
      </c>
      <c r="K154" s="73"/>
      <c r="L154" s="73">
        <f t="shared" si="5"/>
        <v>3280000</v>
      </c>
      <c r="M154" s="74"/>
      <c r="N154" s="75">
        <f t="shared" si="6"/>
        <v>3280000</v>
      </c>
      <c r="O154" s="29"/>
    </row>
    <row r="155" spans="2:15" s="17" customFormat="1" ht="13.8">
      <c r="B155" s="71" t="s">
        <v>2721</v>
      </c>
      <c r="C155" s="71" t="s">
        <v>2543</v>
      </c>
      <c r="D155" s="71" t="s">
        <v>233</v>
      </c>
      <c r="E155" s="71" t="s">
        <v>2544</v>
      </c>
      <c r="F155" s="71" t="s">
        <v>2705</v>
      </c>
      <c r="G155" s="71" t="s">
        <v>2617</v>
      </c>
      <c r="H155" s="71">
        <v>28</v>
      </c>
      <c r="I155" s="71" t="s">
        <v>2592</v>
      </c>
      <c r="J155" s="72">
        <v>3280000</v>
      </c>
      <c r="K155" s="73"/>
      <c r="L155" s="73">
        <f t="shared" si="5"/>
        <v>3280000</v>
      </c>
      <c r="M155" s="74"/>
      <c r="N155" s="75">
        <f t="shared" si="6"/>
        <v>3280000</v>
      </c>
      <c r="O155" s="28"/>
    </row>
    <row r="156" spans="2:15" s="17" customFormat="1" ht="13.8">
      <c r="B156" s="71" t="s">
        <v>2722</v>
      </c>
      <c r="C156" s="71" t="s">
        <v>2543</v>
      </c>
      <c r="D156" s="71" t="s">
        <v>233</v>
      </c>
      <c r="E156" s="71" t="s">
        <v>2544</v>
      </c>
      <c r="F156" s="71" t="s">
        <v>2705</v>
      </c>
      <c r="G156" s="71" t="s">
        <v>2619</v>
      </c>
      <c r="H156" s="71">
        <v>28</v>
      </c>
      <c r="I156" s="71" t="s">
        <v>2592</v>
      </c>
      <c r="J156" s="72">
        <v>3280000</v>
      </c>
      <c r="K156" s="73"/>
      <c r="L156" s="73">
        <f t="shared" si="5"/>
        <v>3280000</v>
      </c>
      <c r="M156" s="74"/>
      <c r="N156" s="75">
        <f t="shared" si="6"/>
        <v>3280000</v>
      </c>
      <c r="O156" s="29"/>
    </row>
    <row r="157" spans="2:15" s="17" customFormat="1" ht="13.8">
      <c r="B157" s="71" t="s">
        <v>2723</v>
      </c>
      <c r="C157" s="71" t="s">
        <v>2543</v>
      </c>
      <c r="D157" s="71" t="s">
        <v>233</v>
      </c>
      <c r="E157" s="71" t="s">
        <v>2544</v>
      </c>
      <c r="F157" s="71" t="s">
        <v>2705</v>
      </c>
      <c r="G157" s="71" t="s">
        <v>2621</v>
      </c>
      <c r="H157" s="71">
        <v>28</v>
      </c>
      <c r="I157" s="71" t="s">
        <v>2592</v>
      </c>
      <c r="J157" s="72">
        <v>3280000</v>
      </c>
      <c r="K157" s="73"/>
      <c r="L157" s="73">
        <f t="shared" si="5"/>
        <v>3280000</v>
      </c>
      <c r="M157" s="74"/>
      <c r="N157" s="75">
        <f t="shared" si="6"/>
        <v>3280000</v>
      </c>
      <c r="O157" s="28"/>
    </row>
    <row r="158" spans="2:15" s="17" customFormat="1" ht="13.8">
      <c r="B158" s="71" t="s">
        <v>2724</v>
      </c>
      <c r="C158" s="71" t="s">
        <v>2543</v>
      </c>
      <c r="D158" s="71" t="s">
        <v>205</v>
      </c>
      <c r="E158" s="71" t="s">
        <v>2544</v>
      </c>
      <c r="F158" s="71" t="s">
        <v>2705</v>
      </c>
      <c r="G158" s="71" t="s">
        <v>2623</v>
      </c>
      <c r="H158" s="71">
        <v>46</v>
      </c>
      <c r="I158" s="71" t="s">
        <v>2684</v>
      </c>
      <c r="J158" s="72">
        <v>3700000</v>
      </c>
      <c r="K158" s="73">
        <v>100000</v>
      </c>
      <c r="L158" s="73">
        <f t="shared" si="5"/>
        <v>3600000</v>
      </c>
      <c r="M158" s="74"/>
      <c r="N158" s="75">
        <f t="shared" si="6"/>
        <v>3600000</v>
      </c>
      <c r="O158" s="29"/>
    </row>
    <row r="159" spans="2:15" s="17" customFormat="1" ht="13.8">
      <c r="B159" s="71" t="s">
        <v>2725</v>
      </c>
      <c r="C159" s="71" t="s">
        <v>2543</v>
      </c>
      <c r="D159" s="71" t="s">
        <v>205</v>
      </c>
      <c r="E159" s="71" t="s">
        <v>2726</v>
      </c>
      <c r="F159" s="71" t="s">
        <v>2727</v>
      </c>
      <c r="G159" s="71">
        <v>1</v>
      </c>
      <c r="H159" s="71">
        <v>12.5</v>
      </c>
      <c r="I159" s="71" t="s">
        <v>2546</v>
      </c>
      <c r="J159" s="72">
        <v>1010000</v>
      </c>
      <c r="K159" s="73"/>
      <c r="L159" s="73">
        <f t="shared" si="5"/>
        <v>1010000</v>
      </c>
      <c r="M159" s="74"/>
      <c r="N159" s="75">
        <f t="shared" si="6"/>
        <v>1010000</v>
      </c>
      <c r="O159" s="28"/>
    </row>
    <row r="160" spans="2:15" s="17" customFormat="1" ht="13.8">
      <c r="B160" s="71" t="s">
        <v>2728</v>
      </c>
      <c r="C160" s="71" t="s">
        <v>2543</v>
      </c>
      <c r="D160" s="71" t="s">
        <v>205</v>
      </c>
      <c r="E160" s="71" t="s">
        <v>2726</v>
      </c>
      <c r="F160" s="71" t="s">
        <v>2727</v>
      </c>
      <c r="G160" s="71">
        <v>2</v>
      </c>
      <c r="H160" s="71">
        <v>12.5</v>
      </c>
      <c r="I160" s="71" t="s">
        <v>2546</v>
      </c>
      <c r="J160" s="72">
        <v>1010000</v>
      </c>
      <c r="K160" s="73"/>
      <c r="L160" s="73">
        <f t="shared" si="5"/>
        <v>1010000</v>
      </c>
      <c r="M160" s="74"/>
      <c r="N160" s="75">
        <f t="shared" si="6"/>
        <v>1010000</v>
      </c>
      <c r="O160" s="29"/>
    </row>
    <row r="161" spans="2:15" s="17" customFormat="1" ht="13.8">
      <c r="B161" s="71" t="s">
        <v>2729</v>
      </c>
      <c r="C161" s="71" t="s">
        <v>2543</v>
      </c>
      <c r="D161" s="71" t="s">
        <v>205</v>
      </c>
      <c r="E161" s="71" t="s">
        <v>2726</v>
      </c>
      <c r="F161" s="71" t="s">
        <v>2727</v>
      </c>
      <c r="G161" s="71">
        <v>3</v>
      </c>
      <c r="H161" s="71">
        <v>12.5</v>
      </c>
      <c r="I161" s="71" t="s">
        <v>2546</v>
      </c>
      <c r="J161" s="72">
        <v>1010000</v>
      </c>
      <c r="K161" s="73"/>
      <c r="L161" s="73">
        <f t="shared" si="5"/>
        <v>1010000</v>
      </c>
      <c r="M161" s="74"/>
      <c r="N161" s="75">
        <f t="shared" si="6"/>
        <v>1010000</v>
      </c>
      <c r="O161" s="28"/>
    </row>
    <row r="162" spans="2:15" s="17" customFormat="1" ht="13.8">
      <c r="B162" s="71" t="s">
        <v>2730</v>
      </c>
      <c r="C162" s="71" t="s">
        <v>2543</v>
      </c>
      <c r="D162" s="71" t="s">
        <v>205</v>
      </c>
      <c r="E162" s="71" t="s">
        <v>2726</v>
      </c>
      <c r="F162" s="71" t="s">
        <v>2727</v>
      </c>
      <c r="G162" s="71">
        <v>4</v>
      </c>
      <c r="H162" s="71">
        <v>12.5</v>
      </c>
      <c r="I162" s="71" t="s">
        <v>2546</v>
      </c>
      <c r="J162" s="72">
        <v>1010000</v>
      </c>
      <c r="K162" s="73"/>
      <c r="L162" s="73">
        <f t="shared" si="5"/>
        <v>1010000</v>
      </c>
      <c r="M162" s="74"/>
      <c r="N162" s="75">
        <f t="shared" si="6"/>
        <v>1010000</v>
      </c>
      <c r="O162" s="29"/>
    </row>
    <row r="163" spans="2:15" s="17" customFormat="1" ht="13.8">
      <c r="B163" s="71" t="s">
        <v>2731</v>
      </c>
      <c r="C163" s="71" t="s">
        <v>2543</v>
      </c>
      <c r="D163" s="71" t="s">
        <v>972</v>
      </c>
      <c r="E163" s="71" t="s">
        <v>2726</v>
      </c>
      <c r="F163" s="71" t="s">
        <v>2727</v>
      </c>
      <c r="G163" s="71">
        <v>5</v>
      </c>
      <c r="H163" s="71">
        <v>12.5</v>
      </c>
      <c r="I163" s="71" t="s">
        <v>2546</v>
      </c>
      <c r="J163" s="72">
        <v>1010000</v>
      </c>
      <c r="K163" s="73"/>
      <c r="L163" s="73">
        <f t="shared" si="5"/>
        <v>1010000</v>
      </c>
      <c r="M163" s="74"/>
      <c r="N163" s="75">
        <f t="shared" si="6"/>
        <v>1010000</v>
      </c>
      <c r="O163" s="28"/>
    </row>
    <row r="164" spans="2:15" s="17" customFormat="1" ht="13.8">
      <c r="B164" s="71" t="s">
        <v>2732</v>
      </c>
      <c r="C164" s="71" t="s">
        <v>2543</v>
      </c>
      <c r="D164" s="71" t="s">
        <v>205</v>
      </c>
      <c r="E164" s="71" t="s">
        <v>2726</v>
      </c>
      <c r="F164" s="71" t="s">
        <v>2727</v>
      </c>
      <c r="G164" s="71">
        <v>6</v>
      </c>
      <c r="H164" s="71">
        <v>12.5</v>
      </c>
      <c r="I164" s="71" t="s">
        <v>2546</v>
      </c>
      <c r="J164" s="72">
        <v>1010000</v>
      </c>
      <c r="K164" s="73"/>
      <c r="L164" s="73">
        <f t="shared" si="5"/>
        <v>1010000</v>
      </c>
      <c r="M164" s="74"/>
      <c r="N164" s="75">
        <f t="shared" si="6"/>
        <v>1010000</v>
      </c>
      <c r="O164" s="29"/>
    </row>
    <row r="165" spans="2:15" s="17" customFormat="1" ht="13.8">
      <c r="B165" s="71" t="s">
        <v>2733</v>
      </c>
      <c r="C165" s="71" t="s">
        <v>2543</v>
      </c>
      <c r="D165" s="71" t="s">
        <v>205</v>
      </c>
      <c r="E165" s="71" t="s">
        <v>2726</v>
      </c>
      <c r="F165" s="71" t="s">
        <v>2727</v>
      </c>
      <c r="G165" s="71">
        <v>7</v>
      </c>
      <c r="H165" s="71">
        <v>12.5</v>
      </c>
      <c r="I165" s="71" t="s">
        <v>2546</v>
      </c>
      <c r="J165" s="72">
        <v>1010000</v>
      </c>
      <c r="K165" s="73"/>
      <c r="L165" s="73">
        <f t="shared" si="5"/>
        <v>1010000</v>
      </c>
      <c r="M165" s="74"/>
      <c r="N165" s="75">
        <f t="shared" si="6"/>
        <v>1010000</v>
      </c>
      <c r="O165" s="28"/>
    </row>
    <row r="166" spans="2:15" s="17" customFormat="1" ht="13.8">
      <c r="B166" s="71" t="s">
        <v>2734</v>
      </c>
      <c r="C166" s="71" t="s">
        <v>2543</v>
      </c>
      <c r="D166" s="71" t="s">
        <v>972</v>
      </c>
      <c r="E166" s="71" t="s">
        <v>2726</v>
      </c>
      <c r="F166" s="71" t="s">
        <v>2727</v>
      </c>
      <c r="G166" s="71">
        <v>8</v>
      </c>
      <c r="H166" s="71">
        <v>12.5</v>
      </c>
      <c r="I166" s="71" t="s">
        <v>2546</v>
      </c>
      <c r="J166" s="72">
        <v>1010000</v>
      </c>
      <c r="K166" s="73"/>
      <c r="L166" s="73">
        <f t="shared" si="5"/>
        <v>1010000</v>
      </c>
      <c r="M166" s="74"/>
      <c r="N166" s="75">
        <f t="shared" si="6"/>
        <v>1010000</v>
      </c>
      <c r="O166" s="29"/>
    </row>
    <row r="167" spans="2:15" s="17" customFormat="1" ht="13.8">
      <c r="B167" s="71" t="s">
        <v>2735</v>
      </c>
      <c r="C167" s="71" t="s">
        <v>2543</v>
      </c>
      <c r="D167" s="71" t="s">
        <v>233</v>
      </c>
      <c r="E167" s="71" t="s">
        <v>2726</v>
      </c>
      <c r="F167" s="71" t="s">
        <v>2727</v>
      </c>
      <c r="G167" s="71">
        <v>9</v>
      </c>
      <c r="H167" s="71">
        <v>12.5</v>
      </c>
      <c r="I167" s="71" t="s">
        <v>2546</v>
      </c>
      <c r="J167" s="72">
        <v>1010000</v>
      </c>
      <c r="K167" s="73"/>
      <c r="L167" s="73">
        <f t="shared" si="5"/>
        <v>1010000</v>
      </c>
      <c r="M167" s="74"/>
      <c r="N167" s="75">
        <f t="shared" si="6"/>
        <v>1010000</v>
      </c>
      <c r="O167" s="28"/>
    </row>
    <row r="168" spans="2:15" s="17" customFormat="1" ht="13.8">
      <c r="B168" s="71" t="s">
        <v>2736</v>
      </c>
      <c r="C168" s="71" t="s">
        <v>2543</v>
      </c>
      <c r="D168" s="71" t="s">
        <v>205</v>
      </c>
      <c r="E168" s="71" t="s">
        <v>2726</v>
      </c>
      <c r="F168" s="71" t="s">
        <v>2727</v>
      </c>
      <c r="G168" s="71">
        <v>10</v>
      </c>
      <c r="H168" s="71">
        <v>12.5</v>
      </c>
      <c r="I168" s="71" t="s">
        <v>2546</v>
      </c>
      <c r="J168" s="72">
        <v>1010000</v>
      </c>
      <c r="K168" s="73"/>
      <c r="L168" s="73">
        <f t="shared" si="5"/>
        <v>1010000</v>
      </c>
      <c r="M168" s="74"/>
      <c r="N168" s="75">
        <f t="shared" si="6"/>
        <v>1010000</v>
      </c>
      <c r="O168" s="29"/>
    </row>
    <row r="169" spans="2:15" s="17" customFormat="1" ht="13.8">
      <c r="B169" s="71" t="s">
        <v>2737</v>
      </c>
      <c r="C169" s="71" t="s">
        <v>2543</v>
      </c>
      <c r="D169" s="71" t="s">
        <v>205</v>
      </c>
      <c r="E169" s="71" t="s">
        <v>2726</v>
      </c>
      <c r="F169" s="71" t="s">
        <v>2727</v>
      </c>
      <c r="G169" s="71">
        <v>11</v>
      </c>
      <c r="H169" s="71">
        <v>12.5</v>
      </c>
      <c r="I169" s="71" t="s">
        <v>2546</v>
      </c>
      <c r="J169" s="72">
        <v>1010000</v>
      </c>
      <c r="K169" s="73"/>
      <c r="L169" s="73">
        <f t="shared" si="5"/>
        <v>1010000</v>
      </c>
      <c r="M169" s="74"/>
      <c r="N169" s="75">
        <f t="shared" si="6"/>
        <v>1010000</v>
      </c>
      <c r="O169" s="28"/>
    </row>
    <row r="170" spans="2:15" s="17" customFormat="1" ht="13.8">
      <c r="B170" s="71" t="s">
        <v>2738</v>
      </c>
      <c r="C170" s="71" t="s">
        <v>2543</v>
      </c>
      <c r="D170" s="71" t="s">
        <v>205</v>
      </c>
      <c r="E170" s="71" t="s">
        <v>2726</v>
      </c>
      <c r="F170" s="71" t="s">
        <v>2727</v>
      </c>
      <c r="G170" s="71">
        <v>12</v>
      </c>
      <c r="H170" s="71">
        <v>12.5</v>
      </c>
      <c r="I170" s="71" t="s">
        <v>2546</v>
      </c>
      <c r="J170" s="72">
        <v>1010000</v>
      </c>
      <c r="K170" s="73"/>
      <c r="L170" s="73">
        <f t="shared" si="5"/>
        <v>1010000</v>
      </c>
      <c r="M170" s="74"/>
      <c r="N170" s="75">
        <f t="shared" si="6"/>
        <v>1010000</v>
      </c>
      <c r="O170" s="29"/>
    </row>
    <row r="171" spans="2:15" s="17" customFormat="1" ht="13.8">
      <c r="B171" s="71" t="s">
        <v>2739</v>
      </c>
      <c r="C171" s="71" t="s">
        <v>2543</v>
      </c>
      <c r="D171" s="71" t="s">
        <v>972</v>
      </c>
      <c r="E171" s="71" t="s">
        <v>2726</v>
      </c>
      <c r="F171" s="71" t="s">
        <v>2727</v>
      </c>
      <c r="G171" s="71">
        <v>13</v>
      </c>
      <c r="H171" s="71">
        <v>12.5</v>
      </c>
      <c r="I171" s="71" t="s">
        <v>2546</v>
      </c>
      <c r="J171" s="72">
        <v>1010000</v>
      </c>
      <c r="K171" s="73"/>
      <c r="L171" s="73">
        <f t="shared" si="5"/>
        <v>1010000</v>
      </c>
      <c r="M171" s="74"/>
      <c r="N171" s="75">
        <f t="shared" si="6"/>
        <v>1010000</v>
      </c>
      <c r="O171" s="28"/>
    </row>
    <row r="172" spans="2:15" s="17" customFormat="1" ht="13.8">
      <c r="B172" s="71" t="s">
        <v>2740</v>
      </c>
      <c r="C172" s="71" t="s">
        <v>2543</v>
      </c>
      <c r="D172" s="71" t="s">
        <v>205</v>
      </c>
      <c r="E172" s="71" t="s">
        <v>2726</v>
      </c>
      <c r="F172" s="71" t="s">
        <v>2727</v>
      </c>
      <c r="G172" s="71">
        <v>14</v>
      </c>
      <c r="H172" s="71">
        <v>12.5</v>
      </c>
      <c r="I172" s="71" t="s">
        <v>2546</v>
      </c>
      <c r="J172" s="72">
        <v>1010000</v>
      </c>
      <c r="K172" s="73"/>
      <c r="L172" s="73">
        <f t="shared" si="5"/>
        <v>1010000</v>
      </c>
      <c r="M172" s="74"/>
      <c r="N172" s="75">
        <f t="shared" si="6"/>
        <v>1010000</v>
      </c>
      <c r="O172" s="29"/>
    </row>
    <row r="173" spans="2:15" s="17" customFormat="1" ht="13.8">
      <c r="B173" s="71" t="s">
        <v>2741</v>
      </c>
      <c r="C173" s="71" t="s">
        <v>2543</v>
      </c>
      <c r="D173" s="71" t="s">
        <v>205</v>
      </c>
      <c r="E173" s="71" t="s">
        <v>2726</v>
      </c>
      <c r="F173" s="71" t="s">
        <v>2727</v>
      </c>
      <c r="G173" s="71">
        <v>15</v>
      </c>
      <c r="H173" s="71">
        <v>12.5</v>
      </c>
      <c r="I173" s="71" t="s">
        <v>2546</v>
      </c>
      <c r="J173" s="72">
        <v>1010000</v>
      </c>
      <c r="K173" s="73"/>
      <c r="L173" s="73">
        <f t="shared" si="5"/>
        <v>1010000</v>
      </c>
      <c r="M173" s="74"/>
      <c r="N173" s="75">
        <f t="shared" si="6"/>
        <v>1010000</v>
      </c>
      <c r="O173" s="28"/>
    </row>
    <row r="174" spans="2:15" s="17" customFormat="1" ht="13.8">
      <c r="B174" s="71" t="s">
        <v>2742</v>
      </c>
      <c r="C174" s="71" t="s">
        <v>2543</v>
      </c>
      <c r="D174" s="71" t="s">
        <v>205</v>
      </c>
      <c r="E174" s="71" t="s">
        <v>2726</v>
      </c>
      <c r="F174" s="71" t="s">
        <v>2727</v>
      </c>
      <c r="G174" s="71">
        <v>16</v>
      </c>
      <c r="H174" s="71">
        <v>12.5</v>
      </c>
      <c r="I174" s="71" t="s">
        <v>2546</v>
      </c>
      <c r="J174" s="72">
        <v>1010000</v>
      </c>
      <c r="K174" s="73"/>
      <c r="L174" s="73">
        <f t="shared" si="5"/>
        <v>1010000</v>
      </c>
      <c r="M174" s="74"/>
      <c r="N174" s="75">
        <f t="shared" si="6"/>
        <v>1010000</v>
      </c>
      <c r="O174" s="29"/>
    </row>
    <row r="175" spans="2:15" s="17" customFormat="1" ht="13.8">
      <c r="B175" s="71" t="s">
        <v>2743</v>
      </c>
      <c r="C175" s="71" t="s">
        <v>2543</v>
      </c>
      <c r="D175" s="71" t="s">
        <v>205</v>
      </c>
      <c r="E175" s="71" t="s">
        <v>2726</v>
      </c>
      <c r="F175" s="71" t="s">
        <v>2727</v>
      </c>
      <c r="G175" s="71">
        <v>17</v>
      </c>
      <c r="H175" s="71">
        <v>12.5</v>
      </c>
      <c r="I175" s="71" t="s">
        <v>2546</v>
      </c>
      <c r="J175" s="72">
        <v>1010000</v>
      </c>
      <c r="K175" s="73"/>
      <c r="L175" s="73">
        <f t="shared" si="5"/>
        <v>1010000</v>
      </c>
      <c r="M175" s="74"/>
      <c r="N175" s="75">
        <f t="shared" si="6"/>
        <v>1010000</v>
      </c>
      <c r="O175" s="28"/>
    </row>
    <row r="176" spans="2:15" s="17" customFormat="1" ht="13.8">
      <c r="B176" s="71" t="s">
        <v>2744</v>
      </c>
      <c r="C176" s="71" t="s">
        <v>2543</v>
      </c>
      <c r="D176" s="71" t="s">
        <v>205</v>
      </c>
      <c r="E176" s="71" t="s">
        <v>2726</v>
      </c>
      <c r="F176" s="71" t="s">
        <v>2727</v>
      </c>
      <c r="G176" s="71">
        <v>18</v>
      </c>
      <c r="H176" s="71">
        <v>12.5</v>
      </c>
      <c r="I176" s="71" t="s">
        <v>2546</v>
      </c>
      <c r="J176" s="72">
        <v>1010000</v>
      </c>
      <c r="K176" s="73"/>
      <c r="L176" s="73">
        <f t="shared" si="5"/>
        <v>1010000</v>
      </c>
      <c r="M176" s="74"/>
      <c r="N176" s="75">
        <f t="shared" si="6"/>
        <v>1010000</v>
      </c>
      <c r="O176" s="29"/>
    </row>
    <row r="177" spans="2:15" s="17" customFormat="1" ht="13.8">
      <c r="B177" s="71" t="s">
        <v>2745</v>
      </c>
      <c r="C177" s="71" t="s">
        <v>2543</v>
      </c>
      <c r="D177" s="71" t="s">
        <v>205</v>
      </c>
      <c r="E177" s="71" t="s">
        <v>2726</v>
      </c>
      <c r="F177" s="71" t="s">
        <v>2727</v>
      </c>
      <c r="G177" s="71">
        <v>19</v>
      </c>
      <c r="H177" s="71">
        <v>12.5</v>
      </c>
      <c r="I177" s="71" t="s">
        <v>2546</v>
      </c>
      <c r="J177" s="72">
        <v>1010000</v>
      </c>
      <c r="K177" s="73"/>
      <c r="L177" s="73">
        <f t="shared" si="5"/>
        <v>1010000</v>
      </c>
      <c r="M177" s="74"/>
      <c r="N177" s="75">
        <f t="shared" si="6"/>
        <v>1010000</v>
      </c>
      <c r="O177" s="28"/>
    </row>
    <row r="178" spans="2:15" s="17" customFormat="1" ht="13.8">
      <c r="B178" s="71" t="s">
        <v>2746</v>
      </c>
      <c r="C178" s="71" t="s">
        <v>2543</v>
      </c>
      <c r="D178" s="71" t="s">
        <v>205</v>
      </c>
      <c r="E178" s="71" t="s">
        <v>2726</v>
      </c>
      <c r="F178" s="71" t="s">
        <v>2727</v>
      </c>
      <c r="G178" s="71">
        <v>20</v>
      </c>
      <c r="H178" s="71">
        <v>12.5</v>
      </c>
      <c r="I178" s="71" t="s">
        <v>2546</v>
      </c>
      <c r="J178" s="72">
        <v>1010000</v>
      </c>
      <c r="K178" s="73"/>
      <c r="L178" s="73">
        <f t="shared" si="5"/>
        <v>1010000</v>
      </c>
      <c r="M178" s="74"/>
      <c r="N178" s="75">
        <f t="shared" si="6"/>
        <v>1010000</v>
      </c>
      <c r="O178" s="29"/>
    </row>
    <row r="179" spans="2:15" s="17" customFormat="1" ht="13.8">
      <c r="B179" s="71" t="s">
        <v>2747</v>
      </c>
      <c r="C179" s="71" t="s">
        <v>2543</v>
      </c>
      <c r="D179" s="71" t="s">
        <v>205</v>
      </c>
      <c r="E179" s="71" t="s">
        <v>2726</v>
      </c>
      <c r="F179" s="71" t="s">
        <v>2727</v>
      </c>
      <c r="G179" s="71">
        <v>21</v>
      </c>
      <c r="H179" s="71">
        <v>12.5</v>
      </c>
      <c r="I179" s="71" t="s">
        <v>2546</v>
      </c>
      <c r="J179" s="72">
        <v>1010000</v>
      </c>
      <c r="K179" s="73"/>
      <c r="L179" s="73">
        <f t="shared" si="5"/>
        <v>1010000</v>
      </c>
      <c r="M179" s="74"/>
      <c r="N179" s="75">
        <f t="shared" si="6"/>
        <v>1010000</v>
      </c>
      <c r="O179" s="28"/>
    </row>
    <row r="180" spans="2:15" s="17" customFormat="1" ht="13.8">
      <c r="B180" s="71" t="s">
        <v>2748</v>
      </c>
      <c r="C180" s="71" t="s">
        <v>2543</v>
      </c>
      <c r="D180" s="71" t="s">
        <v>205</v>
      </c>
      <c r="E180" s="71" t="s">
        <v>2726</v>
      </c>
      <c r="F180" s="71" t="s">
        <v>2727</v>
      </c>
      <c r="G180" s="71">
        <v>22</v>
      </c>
      <c r="H180" s="71">
        <v>12.5</v>
      </c>
      <c r="I180" s="71" t="s">
        <v>2546</v>
      </c>
      <c r="J180" s="72">
        <v>1010000</v>
      </c>
      <c r="K180" s="73"/>
      <c r="L180" s="73">
        <f t="shared" si="5"/>
        <v>1010000</v>
      </c>
      <c r="M180" s="74"/>
      <c r="N180" s="75">
        <f t="shared" si="6"/>
        <v>1010000</v>
      </c>
      <c r="O180" s="29"/>
    </row>
    <row r="181" spans="2:15" s="17" customFormat="1" ht="13.8">
      <c r="B181" s="71" t="s">
        <v>2749</v>
      </c>
      <c r="C181" s="71" t="s">
        <v>2543</v>
      </c>
      <c r="D181" s="71" t="s">
        <v>243</v>
      </c>
      <c r="E181" s="71" t="s">
        <v>2726</v>
      </c>
      <c r="F181" s="71" t="s">
        <v>2727</v>
      </c>
      <c r="G181" s="71">
        <v>23</v>
      </c>
      <c r="H181" s="71">
        <v>12.5</v>
      </c>
      <c r="I181" s="71" t="s">
        <v>2546</v>
      </c>
      <c r="J181" s="72">
        <v>1010000</v>
      </c>
      <c r="K181" s="73"/>
      <c r="L181" s="73">
        <f t="shared" si="5"/>
        <v>1010000</v>
      </c>
      <c r="M181" s="74"/>
      <c r="N181" s="75">
        <f t="shared" si="6"/>
        <v>1010000</v>
      </c>
      <c r="O181" s="28"/>
    </row>
    <row r="182" spans="2:15" s="17" customFormat="1" ht="13.8">
      <c r="B182" s="71" t="s">
        <v>2750</v>
      </c>
      <c r="C182" s="71" t="s">
        <v>2543</v>
      </c>
      <c r="D182" s="71" t="s">
        <v>205</v>
      </c>
      <c r="E182" s="71" t="s">
        <v>2726</v>
      </c>
      <c r="F182" s="71" t="s">
        <v>2727</v>
      </c>
      <c r="G182" s="71">
        <v>24</v>
      </c>
      <c r="H182" s="71">
        <v>12.5</v>
      </c>
      <c r="I182" s="71" t="s">
        <v>2546</v>
      </c>
      <c r="J182" s="72">
        <v>1010000</v>
      </c>
      <c r="K182" s="73"/>
      <c r="L182" s="73">
        <f t="shared" si="5"/>
        <v>1010000</v>
      </c>
      <c r="M182" s="74"/>
      <c r="N182" s="75">
        <f t="shared" si="6"/>
        <v>1010000</v>
      </c>
      <c r="O182" s="29"/>
    </row>
    <row r="183" spans="2:15" s="17" customFormat="1" ht="13.8">
      <c r="B183" s="71" t="s">
        <v>2751</v>
      </c>
      <c r="C183" s="71" t="s">
        <v>2543</v>
      </c>
      <c r="D183" s="71" t="s">
        <v>205</v>
      </c>
      <c r="E183" s="71" t="s">
        <v>2726</v>
      </c>
      <c r="F183" s="71" t="s">
        <v>2727</v>
      </c>
      <c r="G183" s="71">
        <v>25</v>
      </c>
      <c r="H183" s="71">
        <v>12.5</v>
      </c>
      <c r="I183" s="71" t="s">
        <v>2546</v>
      </c>
      <c r="J183" s="72">
        <v>1010000</v>
      </c>
      <c r="K183" s="73"/>
      <c r="L183" s="73">
        <f t="shared" si="5"/>
        <v>1010000</v>
      </c>
      <c r="M183" s="74"/>
      <c r="N183" s="75">
        <f t="shared" si="6"/>
        <v>1010000</v>
      </c>
      <c r="O183" s="28"/>
    </row>
    <row r="184" spans="2:15" s="17" customFormat="1" ht="13.8">
      <c r="B184" s="71" t="s">
        <v>2752</v>
      </c>
      <c r="C184" s="71" t="s">
        <v>2543</v>
      </c>
      <c r="D184" s="71" t="s">
        <v>205</v>
      </c>
      <c r="E184" s="71" t="s">
        <v>2726</v>
      </c>
      <c r="F184" s="71" t="s">
        <v>2727</v>
      </c>
      <c r="G184" s="71">
        <v>26</v>
      </c>
      <c r="H184" s="71">
        <v>12.5</v>
      </c>
      <c r="I184" s="71" t="s">
        <v>2546</v>
      </c>
      <c r="J184" s="72">
        <v>1010000</v>
      </c>
      <c r="K184" s="73"/>
      <c r="L184" s="73">
        <f t="shared" si="5"/>
        <v>1010000</v>
      </c>
      <c r="M184" s="74"/>
      <c r="N184" s="75">
        <f t="shared" si="6"/>
        <v>1010000</v>
      </c>
      <c r="O184" s="29"/>
    </row>
    <row r="185" spans="2:15" s="17" customFormat="1" ht="13.8">
      <c r="B185" s="71" t="s">
        <v>2753</v>
      </c>
      <c r="C185" s="71" t="s">
        <v>2543</v>
      </c>
      <c r="D185" s="71" t="s">
        <v>233</v>
      </c>
      <c r="E185" s="71" t="s">
        <v>2726</v>
      </c>
      <c r="F185" s="71" t="s">
        <v>2727</v>
      </c>
      <c r="G185" s="71">
        <v>27</v>
      </c>
      <c r="H185" s="71">
        <v>12.5</v>
      </c>
      <c r="I185" s="71" t="s">
        <v>2546</v>
      </c>
      <c r="J185" s="72">
        <v>1010000</v>
      </c>
      <c r="K185" s="73"/>
      <c r="L185" s="73">
        <f t="shared" si="5"/>
        <v>1010000</v>
      </c>
      <c r="M185" s="74"/>
      <c r="N185" s="75">
        <f t="shared" si="6"/>
        <v>1010000</v>
      </c>
      <c r="O185" s="28"/>
    </row>
    <row r="186" spans="2:15" s="17" customFormat="1" ht="13.8">
      <c r="B186" s="71" t="s">
        <v>2754</v>
      </c>
      <c r="C186" s="71" t="s">
        <v>2543</v>
      </c>
      <c r="D186" s="71" t="s">
        <v>233</v>
      </c>
      <c r="E186" s="71" t="s">
        <v>2726</v>
      </c>
      <c r="F186" s="71" t="s">
        <v>2727</v>
      </c>
      <c r="G186" s="71">
        <v>28</v>
      </c>
      <c r="H186" s="71">
        <v>12.5</v>
      </c>
      <c r="I186" s="71" t="s">
        <v>2546</v>
      </c>
      <c r="J186" s="72">
        <v>1010000</v>
      </c>
      <c r="K186" s="73"/>
      <c r="L186" s="73">
        <f t="shared" si="5"/>
        <v>1010000</v>
      </c>
      <c r="M186" s="74"/>
      <c r="N186" s="75">
        <f t="shared" si="6"/>
        <v>1010000</v>
      </c>
      <c r="O186" s="29"/>
    </row>
    <row r="187" spans="2:15" s="17" customFormat="1" ht="13.8">
      <c r="B187" s="71" t="s">
        <v>2755</v>
      </c>
      <c r="C187" s="71" t="s">
        <v>2543</v>
      </c>
      <c r="D187" s="71" t="s">
        <v>233</v>
      </c>
      <c r="E187" s="71" t="s">
        <v>2726</v>
      </c>
      <c r="F187" s="71" t="s">
        <v>2727</v>
      </c>
      <c r="G187" s="71">
        <v>29</v>
      </c>
      <c r="H187" s="71">
        <v>12.5</v>
      </c>
      <c r="I187" s="71" t="s">
        <v>2546</v>
      </c>
      <c r="J187" s="72">
        <v>1010000</v>
      </c>
      <c r="K187" s="73"/>
      <c r="L187" s="73">
        <f t="shared" si="5"/>
        <v>1010000</v>
      </c>
      <c r="M187" s="74"/>
      <c r="N187" s="75">
        <f t="shared" si="6"/>
        <v>1010000</v>
      </c>
      <c r="O187" s="28"/>
    </row>
    <row r="188" spans="2:15" s="17" customFormat="1" ht="13.8">
      <c r="B188" s="71" t="s">
        <v>2756</v>
      </c>
      <c r="C188" s="71" t="s">
        <v>2543</v>
      </c>
      <c r="D188" s="71" t="s">
        <v>205</v>
      </c>
      <c r="E188" s="71" t="s">
        <v>2726</v>
      </c>
      <c r="F188" s="71" t="s">
        <v>2727</v>
      </c>
      <c r="G188" s="71">
        <v>30</v>
      </c>
      <c r="H188" s="71">
        <v>12.5</v>
      </c>
      <c r="I188" s="71" t="s">
        <v>2546</v>
      </c>
      <c r="J188" s="72">
        <v>1010000</v>
      </c>
      <c r="K188" s="73"/>
      <c r="L188" s="73">
        <f t="shared" si="5"/>
        <v>1010000</v>
      </c>
      <c r="M188" s="74"/>
      <c r="N188" s="75">
        <f t="shared" si="6"/>
        <v>1010000</v>
      </c>
      <c r="O188" s="29"/>
    </row>
    <row r="189" spans="2:15" s="17" customFormat="1" ht="13.8">
      <c r="B189" s="71" t="s">
        <v>2757</v>
      </c>
      <c r="C189" s="71" t="s">
        <v>2543</v>
      </c>
      <c r="D189" s="71" t="s">
        <v>205</v>
      </c>
      <c r="E189" s="71" t="s">
        <v>2726</v>
      </c>
      <c r="F189" s="71" t="s">
        <v>2727</v>
      </c>
      <c r="G189" s="71">
        <v>31</v>
      </c>
      <c r="H189" s="71">
        <v>12.5</v>
      </c>
      <c r="I189" s="71" t="s">
        <v>2546</v>
      </c>
      <c r="J189" s="72">
        <v>1010000</v>
      </c>
      <c r="K189" s="73"/>
      <c r="L189" s="73">
        <f t="shared" si="5"/>
        <v>1010000</v>
      </c>
      <c r="M189" s="74"/>
      <c r="N189" s="75">
        <f t="shared" si="6"/>
        <v>1010000</v>
      </c>
      <c r="O189" s="28"/>
    </row>
    <row r="190" spans="2:15" s="17" customFormat="1" ht="13.8">
      <c r="B190" s="71" t="s">
        <v>2758</v>
      </c>
      <c r="C190" s="71" t="s">
        <v>2543</v>
      </c>
      <c r="D190" s="71" t="s">
        <v>205</v>
      </c>
      <c r="E190" s="71" t="s">
        <v>2726</v>
      </c>
      <c r="F190" s="71" t="s">
        <v>2727</v>
      </c>
      <c r="G190" s="71">
        <v>32</v>
      </c>
      <c r="H190" s="71">
        <v>12.5</v>
      </c>
      <c r="I190" s="71" t="s">
        <v>2546</v>
      </c>
      <c r="J190" s="72">
        <v>1010000</v>
      </c>
      <c r="K190" s="73"/>
      <c r="L190" s="73">
        <f t="shared" si="5"/>
        <v>1010000</v>
      </c>
      <c r="M190" s="74"/>
      <c r="N190" s="75">
        <f t="shared" si="6"/>
        <v>1010000</v>
      </c>
      <c r="O190" s="29"/>
    </row>
    <row r="191" spans="2:15" s="17" customFormat="1" ht="13.8">
      <c r="B191" s="71" t="s">
        <v>2759</v>
      </c>
      <c r="C191" s="71" t="s">
        <v>2543</v>
      </c>
      <c r="D191" s="71" t="s">
        <v>205</v>
      </c>
      <c r="E191" s="71" t="s">
        <v>2726</v>
      </c>
      <c r="F191" s="71" t="s">
        <v>2727</v>
      </c>
      <c r="G191" s="71">
        <v>33</v>
      </c>
      <c r="H191" s="71">
        <v>12.5</v>
      </c>
      <c r="I191" s="71" t="s">
        <v>2546</v>
      </c>
      <c r="J191" s="72">
        <v>1010000</v>
      </c>
      <c r="K191" s="73"/>
      <c r="L191" s="73">
        <f t="shared" si="5"/>
        <v>1010000</v>
      </c>
      <c r="M191" s="74"/>
      <c r="N191" s="75">
        <f t="shared" si="6"/>
        <v>1010000</v>
      </c>
      <c r="O191" s="28"/>
    </row>
    <row r="192" spans="2:15" s="17" customFormat="1" ht="13.8">
      <c r="B192" s="71" t="s">
        <v>2760</v>
      </c>
      <c r="C192" s="71" t="s">
        <v>2543</v>
      </c>
      <c r="D192" s="71" t="s">
        <v>233</v>
      </c>
      <c r="E192" s="71" t="s">
        <v>2726</v>
      </c>
      <c r="F192" s="71" t="s">
        <v>2727</v>
      </c>
      <c r="G192" s="71">
        <v>34</v>
      </c>
      <c r="H192" s="71">
        <v>12.5</v>
      </c>
      <c r="I192" s="71" t="s">
        <v>2546</v>
      </c>
      <c r="J192" s="72">
        <v>1010000</v>
      </c>
      <c r="K192" s="73"/>
      <c r="L192" s="73">
        <f t="shared" si="5"/>
        <v>1010000</v>
      </c>
      <c r="M192" s="74"/>
      <c r="N192" s="75">
        <f t="shared" si="6"/>
        <v>1010000</v>
      </c>
      <c r="O192" s="29"/>
    </row>
    <row r="193" spans="2:15" s="17" customFormat="1" ht="13.8">
      <c r="B193" s="71" t="s">
        <v>2761</v>
      </c>
      <c r="C193" s="71" t="s">
        <v>2543</v>
      </c>
      <c r="D193" s="71" t="s">
        <v>233</v>
      </c>
      <c r="E193" s="71" t="s">
        <v>2726</v>
      </c>
      <c r="F193" s="71" t="s">
        <v>2727</v>
      </c>
      <c r="G193" s="71">
        <v>35</v>
      </c>
      <c r="H193" s="71">
        <v>12.5</v>
      </c>
      <c r="I193" s="71" t="s">
        <v>2546</v>
      </c>
      <c r="J193" s="72">
        <v>1010000</v>
      </c>
      <c r="K193" s="73"/>
      <c r="L193" s="73">
        <f t="shared" si="5"/>
        <v>1010000</v>
      </c>
      <c r="M193" s="74"/>
      <c r="N193" s="75">
        <f t="shared" si="6"/>
        <v>1010000</v>
      </c>
      <c r="O193" s="28"/>
    </row>
    <row r="194" spans="2:15" s="17" customFormat="1" ht="13.8">
      <c r="B194" s="71" t="s">
        <v>2762</v>
      </c>
      <c r="C194" s="71" t="s">
        <v>2543</v>
      </c>
      <c r="D194" s="71" t="s">
        <v>233</v>
      </c>
      <c r="E194" s="71" t="s">
        <v>2726</v>
      </c>
      <c r="F194" s="71" t="s">
        <v>2727</v>
      </c>
      <c r="G194" s="71">
        <v>36</v>
      </c>
      <c r="H194" s="71">
        <v>12.5</v>
      </c>
      <c r="I194" s="71" t="s">
        <v>2546</v>
      </c>
      <c r="J194" s="72">
        <v>1010000</v>
      </c>
      <c r="K194" s="73"/>
      <c r="L194" s="73">
        <f t="shared" si="5"/>
        <v>1010000</v>
      </c>
      <c r="M194" s="74"/>
      <c r="N194" s="75">
        <f t="shared" si="6"/>
        <v>1010000</v>
      </c>
      <c r="O194" s="29"/>
    </row>
    <row r="195" spans="2:15" s="17" customFormat="1" ht="13.8">
      <c r="B195" s="71" t="s">
        <v>2763</v>
      </c>
      <c r="C195" s="71" t="s">
        <v>2543</v>
      </c>
      <c r="D195" s="71" t="s">
        <v>233</v>
      </c>
      <c r="E195" s="71" t="s">
        <v>2726</v>
      </c>
      <c r="F195" s="71" t="s">
        <v>2727</v>
      </c>
      <c r="G195" s="71">
        <v>37</v>
      </c>
      <c r="H195" s="71">
        <v>12.5</v>
      </c>
      <c r="I195" s="71" t="s">
        <v>2546</v>
      </c>
      <c r="J195" s="72">
        <v>1010000</v>
      </c>
      <c r="K195" s="73"/>
      <c r="L195" s="73">
        <f t="shared" si="5"/>
        <v>1010000</v>
      </c>
      <c r="M195" s="74"/>
      <c r="N195" s="75">
        <f t="shared" si="6"/>
        <v>1010000</v>
      </c>
      <c r="O195" s="28"/>
    </row>
    <row r="196" spans="2:15" s="17" customFormat="1" ht="13.8">
      <c r="B196" s="71" t="s">
        <v>2764</v>
      </c>
      <c r="C196" s="71" t="s">
        <v>2543</v>
      </c>
      <c r="D196" s="71" t="s">
        <v>205</v>
      </c>
      <c r="E196" s="71" t="s">
        <v>2726</v>
      </c>
      <c r="F196" s="71" t="s">
        <v>2765</v>
      </c>
      <c r="G196" s="71" t="s">
        <v>2365</v>
      </c>
      <c r="H196" s="71">
        <v>44</v>
      </c>
      <c r="I196" s="71" t="s">
        <v>2684</v>
      </c>
      <c r="J196" s="72">
        <v>3700000</v>
      </c>
      <c r="K196" s="73">
        <v>100000</v>
      </c>
      <c r="L196" s="73">
        <f t="shared" si="5"/>
        <v>3600000</v>
      </c>
      <c r="M196" s="74"/>
      <c r="N196" s="75">
        <f t="shared" si="6"/>
        <v>3600000</v>
      </c>
      <c r="O196" s="29"/>
    </row>
    <row r="197" spans="2:15" s="17" customFormat="1" ht="13.8">
      <c r="B197" s="71" t="s">
        <v>2766</v>
      </c>
      <c r="C197" s="71" t="s">
        <v>2543</v>
      </c>
      <c r="D197" s="71" t="s">
        <v>205</v>
      </c>
      <c r="E197" s="71" t="s">
        <v>2726</v>
      </c>
      <c r="F197" s="71" t="s">
        <v>2765</v>
      </c>
      <c r="G197" s="71" t="s">
        <v>2368</v>
      </c>
      <c r="H197" s="71">
        <v>40</v>
      </c>
      <c r="I197" s="71" t="s">
        <v>2767</v>
      </c>
      <c r="J197" s="72">
        <v>3700000</v>
      </c>
      <c r="K197" s="73">
        <v>100000</v>
      </c>
      <c r="L197" s="73">
        <f t="shared" si="5"/>
        <v>3600000</v>
      </c>
      <c r="M197" s="74"/>
      <c r="N197" s="75">
        <f t="shared" si="6"/>
        <v>3600000</v>
      </c>
      <c r="O197" s="28"/>
    </row>
    <row r="198" spans="2:15" s="17" customFormat="1" ht="13.8">
      <c r="B198" s="71" t="s">
        <v>2768</v>
      </c>
      <c r="C198" s="71" t="s">
        <v>2543</v>
      </c>
      <c r="D198" s="71" t="s">
        <v>205</v>
      </c>
      <c r="E198" s="71" t="s">
        <v>2726</v>
      </c>
      <c r="F198" s="71" t="s">
        <v>2765</v>
      </c>
      <c r="G198" s="71" t="s">
        <v>2377</v>
      </c>
      <c r="H198" s="71">
        <v>40</v>
      </c>
      <c r="I198" s="71" t="s">
        <v>2767</v>
      </c>
      <c r="J198" s="72">
        <v>3700000</v>
      </c>
      <c r="K198" s="73">
        <v>100000</v>
      </c>
      <c r="L198" s="73">
        <f t="shared" si="5"/>
        <v>3600000</v>
      </c>
      <c r="M198" s="74"/>
      <c r="N198" s="75">
        <f t="shared" si="6"/>
        <v>3600000</v>
      </c>
      <c r="O198" s="29"/>
    </row>
    <row r="199" spans="2:15" s="17" customFormat="1" ht="13.8">
      <c r="B199" s="71" t="s">
        <v>2769</v>
      </c>
      <c r="C199" s="71" t="s">
        <v>2543</v>
      </c>
      <c r="D199" s="71" t="s">
        <v>205</v>
      </c>
      <c r="E199" s="71" t="s">
        <v>2726</v>
      </c>
      <c r="F199" s="71" t="s">
        <v>2765</v>
      </c>
      <c r="G199" s="71" t="s">
        <v>2379</v>
      </c>
      <c r="H199" s="71">
        <v>40</v>
      </c>
      <c r="I199" s="71" t="s">
        <v>2767</v>
      </c>
      <c r="J199" s="72">
        <v>3700000</v>
      </c>
      <c r="K199" s="73">
        <v>100000</v>
      </c>
      <c r="L199" s="73">
        <f t="shared" si="5"/>
        <v>3600000</v>
      </c>
      <c r="M199" s="74"/>
      <c r="N199" s="75">
        <f t="shared" si="6"/>
        <v>3600000</v>
      </c>
      <c r="O199" s="28"/>
    </row>
    <row r="200" spans="2:15" s="17" customFormat="1" ht="13.8">
      <c r="B200" s="71" t="s">
        <v>2770</v>
      </c>
      <c r="C200" s="71" t="s">
        <v>2543</v>
      </c>
      <c r="D200" s="71" t="s">
        <v>205</v>
      </c>
      <c r="E200" s="71" t="s">
        <v>2726</v>
      </c>
      <c r="F200" s="71" t="s">
        <v>2765</v>
      </c>
      <c r="G200" s="71" t="s">
        <v>2370</v>
      </c>
      <c r="H200" s="71">
        <v>40</v>
      </c>
      <c r="I200" s="71" t="s">
        <v>2767</v>
      </c>
      <c r="J200" s="72">
        <v>3700000</v>
      </c>
      <c r="K200" s="73">
        <v>100000</v>
      </c>
      <c r="L200" s="73">
        <f t="shared" ref="L200:L263" si="7">J200-K200</f>
        <v>3600000</v>
      </c>
      <c r="M200" s="74"/>
      <c r="N200" s="75">
        <f t="shared" ref="N200:N263" si="8">L200-M200</f>
        <v>3600000</v>
      </c>
      <c r="O200" s="29"/>
    </row>
    <row r="201" spans="2:15" s="17" customFormat="1" ht="13.8">
      <c r="B201" s="71" t="s">
        <v>2771</v>
      </c>
      <c r="C201" s="71" t="s">
        <v>2543</v>
      </c>
      <c r="D201" s="71" t="s">
        <v>205</v>
      </c>
      <c r="E201" s="71" t="s">
        <v>2726</v>
      </c>
      <c r="F201" s="71" t="s">
        <v>2765</v>
      </c>
      <c r="G201" s="71" t="s">
        <v>2372</v>
      </c>
      <c r="H201" s="71">
        <v>40</v>
      </c>
      <c r="I201" s="71" t="s">
        <v>2767</v>
      </c>
      <c r="J201" s="72">
        <v>3700000</v>
      </c>
      <c r="K201" s="73">
        <v>100000</v>
      </c>
      <c r="L201" s="73">
        <f t="shared" si="7"/>
        <v>3600000</v>
      </c>
      <c r="M201" s="74"/>
      <c r="N201" s="75">
        <f t="shared" si="8"/>
        <v>3600000</v>
      </c>
      <c r="O201" s="28"/>
    </row>
    <row r="202" spans="2:15" s="17" customFormat="1" ht="13.8">
      <c r="B202" s="71" t="s">
        <v>2772</v>
      </c>
      <c r="C202" s="71" t="s">
        <v>2543</v>
      </c>
      <c r="D202" s="71" t="s">
        <v>205</v>
      </c>
      <c r="E202" s="71" t="s">
        <v>2726</v>
      </c>
      <c r="F202" s="71" t="s">
        <v>2765</v>
      </c>
      <c r="G202" s="71" t="s">
        <v>2597</v>
      </c>
      <c r="H202" s="71">
        <v>40</v>
      </c>
      <c r="I202" s="71" t="s">
        <v>2767</v>
      </c>
      <c r="J202" s="72">
        <v>3700000</v>
      </c>
      <c r="K202" s="73">
        <v>100000</v>
      </c>
      <c r="L202" s="73">
        <f t="shared" si="7"/>
        <v>3600000</v>
      </c>
      <c r="M202" s="74"/>
      <c r="N202" s="75">
        <f t="shared" si="8"/>
        <v>3600000</v>
      </c>
      <c r="O202" s="29"/>
    </row>
    <row r="203" spans="2:15" s="17" customFormat="1" ht="13.8">
      <c r="B203" s="71" t="s">
        <v>2773</v>
      </c>
      <c r="C203" s="71" t="s">
        <v>2543</v>
      </c>
      <c r="D203" s="71" t="s">
        <v>233</v>
      </c>
      <c r="E203" s="71" t="s">
        <v>2726</v>
      </c>
      <c r="F203" s="71" t="s">
        <v>2765</v>
      </c>
      <c r="G203" s="71" t="s">
        <v>2599</v>
      </c>
      <c r="H203" s="71">
        <v>40</v>
      </c>
      <c r="I203" s="71" t="s">
        <v>2767</v>
      </c>
      <c r="J203" s="72">
        <v>3700000</v>
      </c>
      <c r="K203" s="73">
        <v>100000</v>
      </c>
      <c r="L203" s="73">
        <f t="shared" si="7"/>
        <v>3600000</v>
      </c>
      <c r="M203" s="74"/>
      <c r="N203" s="75">
        <f t="shared" si="8"/>
        <v>3600000</v>
      </c>
      <c r="O203" s="28"/>
    </row>
    <row r="204" spans="2:15" s="17" customFormat="1" ht="13.8">
      <c r="B204" s="71" t="s">
        <v>2774</v>
      </c>
      <c r="C204" s="71" t="s">
        <v>2543</v>
      </c>
      <c r="D204" s="71" t="s">
        <v>22</v>
      </c>
      <c r="E204" s="71" t="s">
        <v>2726</v>
      </c>
      <c r="F204" s="71" t="s">
        <v>2765</v>
      </c>
      <c r="G204" s="71" t="s">
        <v>2601</v>
      </c>
      <c r="H204" s="71">
        <v>40</v>
      </c>
      <c r="I204" s="71" t="s">
        <v>2767</v>
      </c>
      <c r="J204" s="72">
        <v>3700000</v>
      </c>
      <c r="K204" s="73">
        <v>100000</v>
      </c>
      <c r="L204" s="73">
        <f t="shared" si="7"/>
        <v>3600000</v>
      </c>
      <c r="M204" s="74"/>
      <c r="N204" s="75">
        <f t="shared" si="8"/>
        <v>3600000</v>
      </c>
      <c r="O204" s="29"/>
    </row>
    <row r="205" spans="2:15" s="17" customFormat="1" ht="13.8">
      <c r="B205" s="71" t="s">
        <v>2775</v>
      </c>
      <c r="C205" s="71" t="s">
        <v>2543</v>
      </c>
      <c r="D205" s="71" t="s">
        <v>22</v>
      </c>
      <c r="E205" s="71" t="s">
        <v>2726</v>
      </c>
      <c r="F205" s="71" t="s">
        <v>2765</v>
      </c>
      <c r="G205" s="71" t="s">
        <v>2603</v>
      </c>
      <c r="H205" s="71">
        <v>44</v>
      </c>
      <c r="I205" s="71" t="s">
        <v>2684</v>
      </c>
      <c r="J205" s="72">
        <v>3700000</v>
      </c>
      <c r="K205" s="73">
        <v>100000</v>
      </c>
      <c r="L205" s="73">
        <f t="shared" si="7"/>
        <v>3600000</v>
      </c>
      <c r="M205" s="74"/>
      <c r="N205" s="75">
        <f t="shared" si="8"/>
        <v>3600000</v>
      </c>
      <c r="O205" s="28"/>
    </row>
    <row r="206" spans="2:15" s="17" customFormat="1" ht="13.8">
      <c r="B206" s="71" t="s">
        <v>2776</v>
      </c>
      <c r="C206" s="71" t="s">
        <v>2543</v>
      </c>
      <c r="D206" s="71" t="s">
        <v>233</v>
      </c>
      <c r="E206" s="71" t="s">
        <v>2726</v>
      </c>
      <c r="F206" s="71" t="s">
        <v>2765</v>
      </c>
      <c r="G206" s="71" t="s">
        <v>2605</v>
      </c>
      <c r="H206" s="71">
        <v>44</v>
      </c>
      <c r="I206" s="71" t="s">
        <v>2684</v>
      </c>
      <c r="J206" s="72">
        <v>3700000</v>
      </c>
      <c r="K206" s="73">
        <v>100000</v>
      </c>
      <c r="L206" s="73">
        <f t="shared" si="7"/>
        <v>3600000</v>
      </c>
      <c r="M206" s="74"/>
      <c r="N206" s="75">
        <f t="shared" si="8"/>
        <v>3600000</v>
      </c>
      <c r="O206" s="29"/>
    </row>
    <row r="207" spans="2:15" s="17" customFormat="1" ht="13.8">
      <c r="B207" s="71" t="s">
        <v>2777</v>
      </c>
      <c r="C207" s="71" t="s">
        <v>2543</v>
      </c>
      <c r="D207" s="71" t="s">
        <v>205</v>
      </c>
      <c r="E207" s="71" t="s">
        <v>2726</v>
      </c>
      <c r="F207" s="71" t="s">
        <v>2765</v>
      </c>
      <c r="G207" s="71" t="s">
        <v>2607</v>
      </c>
      <c r="H207" s="71">
        <v>40</v>
      </c>
      <c r="I207" s="71" t="s">
        <v>2767</v>
      </c>
      <c r="J207" s="72">
        <v>3700000</v>
      </c>
      <c r="K207" s="73">
        <v>100000</v>
      </c>
      <c r="L207" s="73">
        <f t="shared" si="7"/>
        <v>3600000</v>
      </c>
      <c r="M207" s="74">
        <f t="shared" ref="M207:M208" si="9">L207*12/112</f>
        <v>385714.28571428574</v>
      </c>
      <c r="N207" s="75">
        <f t="shared" si="8"/>
        <v>3214285.7142857141</v>
      </c>
      <c r="O207" s="28"/>
    </row>
    <row r="208" spans="2:15" s="17" customFormat="1" ht="13.8">
      <c r="B208" s="71" t="s">
        <v>2778</v>
      </c>
      <c r="C208" s="71" t="s">
        <v>2543</v>
      </c>
      <c r="D208" s="71" t="s">
        <v>22</v>
      </c>
      <c r="E208" s="71" t="s">
        <v>2726</v>
      </c>
      <c r="F208" s="71" t="s">
        <v>2765</v>
      </c>
      <c r="G208" s="71" t="s">
        <v>2609</v>
      </c>
      <c r="H208" s="71">
        <v>40</v>
      </c>
      <c r="I208" s="71" t="s">
        <v>2767</v>
      </c>
      <c r="J208" s="72">
        <v>3700000</v>
      </c>
      <c r="K208" s="73">
        <v>100000</v>
      </c>
      <c r="L208" s="73">
        <f t="shared" si="7"/>
        <v>3600000</v>
      </c>
      <c r="M208" s="74">
        <f t="shared" si="9"/>
        <v>385714.28571428574</v>
      </c>
      <c r="N208" s="75">
        <f t="shared" si="8"/>
        <v>3214285.7142857141</v>
      </c>
      <c r="O208" s="29"/>
    </row>
    <row r="209" spans="2:15" s="17" customFormat="1" ht="13.8">
      <c r="B209" s="71" t="s">
        <v>2779</v>
      </c>
      <c r="C209" s="71" t="s">
        <v>2543</v>
      </c>
      <c r="D209" s="71" t="s">
        <v>233</v>
      </c>
      <c r="E209" s="71" t="s">
        <v>2726</v>
      </c>
      <c r="F209" s="71" t="s">
        <v>2765</v>
      </c>
      <c r="G209" s="71" t="s">
        <v>2611</v>
      </c>
      <c r="H209" s="71">
        <v>40</v>
      </c>
      <c r="I209" s="71" t="s">
        <v>2767</v>
      </c>
      <c r="J209" s="72">
        <v>3700000</v>
      </c>
      <c r="K209" s="73">
        <v>100000</v>
      </c>
      <c r="L209" s="73">
        <f t="shared" si="7"/>
        <v>3600000</v>
      </c>
      <c r="M209" s="74"/>
      <c r="N209" s="75">
        <f t="shared" si="8"/>
        <v>3600000</v>
      </c>
      <c r="O209" s="28"/>
    </row>
    <row r="210" spans="2:15" s="17" customFormat="1" ht="13.8">
      <c r="B210" s="71" t="s">
        <v>2780</v>
      </c>
      <c r="C210" s="71" t="s">
        <v>2543</v>
      </c>
      <c r="D210" s="71" t="s">
        <v>233</v>
      </c>
      <c r="E210" s="71" t="s">
        <v>2726</v>
      </c>
      <c r="F210" s="71" t="s">
        <v>2765</v>
      </c>
      <c r="G210" s="71" t="s">
        <v>2613</v>
      </c>
      <c r="H210" s="71">
        <v>40</v>
      </c>
      <c r="I210" s="71" t="s">
        <v>2767</v>
      </c>
      <c r="J210" s="72">
        <v>3700000</v>
      </c>
      <c r="K210" s="73">
        <v>100000</v>
      </c>
      <c r="L210" s="73">
        <f t="shared" si="7"/>
        <v>3600000</v>
      </c>
      <c r="M210" s="74"/>
      <c r="N210" s="75">
        <f t="shared" si="8"/>
        <v>3600000</v>
      </c>
      <c r="O210" s="29"/>
    </row>
    <row r="211" spans="2:15" s="17" customFormat="1" ht="13.8">
      <c r="B211" s="71" t="s">
        <v>2781</v>
      </c>
      <c r="C211" s="71" t="s">
        <v>2543</v>
      </c>
      <c r="D211" s="71" t="s">
        <v>205</v>
      </c>
      <c r="E211" s="71" t="s">
        <v>2726</v>
      </c>
      <c r="F211" s="71" t="s">
        <v>2765</v>
      </c>
      <c r="G211" s="71" t="s">
        <v>2615</v>
      </c>
      <c r="H211" s="71">
        <v>40</v>
      </c>
      <c r="I211" s="71" t="s">
        <v>2767</v>
      </c>
      <c r="J211" s="72">
        <v>3700000</v>
      </c>
      <c r="K211" s="73">
        <v>100000</v>
      </c>
      <c r="L211" s="73">
        <f t="shared" si="7"/>
        <v>3600000</v>
      </c>
      <c r="M211" s="74"/>
      <c r="N211" s="75">
        <f t="shared" si="8"/>
        <v>3600000</v>
      </c>
      <c r="O211" s="28"/>
    </row>
    <row r="212" spans="2:15" s="17" customFormat="1" ht="13.8">
      <c r="B212" s="71" t="s">
        <v>2782</v>
      </c>
      <c r="C212" s="71" t="s">
        <v>2543</v>
      </c>
      <c r="D212" s="71" t="s">
        <v>205</v>
      </c>
      <c r="E212" s="71" t="s">
        <v>2726</v>
      </c>
      <c r="F212" s="71" t="s">
        <v>2765</v>
      </c>
      <c r="G212" s="71" t="s">
        <v>2617</v>
      </c>
      <c r="H212" s="71">
        <v>40</v>
      </c>
      <c r="I212" s="71" t="s">
        <v>2767</v>
      </c>
      <c r="J212" s="72">
        <v>3700000</v>
      </c>
      <c r="K212" s="73">
        <v>100000</v>
      </c>
      <c r="L212" s="73">
        <f t="shared" si="7"/>
        <v>3600000</v>
      </c>
      <c r="M212" s="74"/>
      <c r="N212" s="75">
        <f t="shared" si="8"/>
        <v>3600000</v>
      </c>
      <c r="O212" s="29"/>
    </row>
    <row r="213" spans="2:15" s="17" customFormat="1" ht="13.8">
      <c r="B213" s="71" t="s">
        <v>2783</v>
      </c>
      <c r="C213" s="71" t="s">
        <v>2543</v>
      </c>
      <c r="D213" s="71" t="s">
        <v>233</v>
      </c>
      <c r="E213" s="71" t="s">
        <v>2726</v>
      </c>
      <c r="F213" s="71" t="s">
        <v>2765</v>
      </c>
      <c r="G213" s="71" t="s">
        <v>2619</v>
      </c>
      <c r="H213" s="71">
        <v>40</v>
      </c>
      <c r="I213" s="71" t="s">
        <v>2767</v>
      </c>
      <c r="J213" s="72">
        <v>3700000</v>
      </c>
      <c r="K213" s="73">
        <v>100000</v>
      </c>
      <c r="L213" s="73">
        <f t="shared" si="7"/>
        <v>3600000</v>
      </c>
      <c r="M213" s="74"/>
      <c r="N213" s="75">
        <f t="shared" si="8"/>
        <v>3600000</v>
      </c>
      <c r="O213" s="28"/>
    </row>
    <row r="214" spans="2:15" s="17" customFormat="1" ht="13.8">
      <c r="B214" s="71" t="s">
        <v>2784</v>
      </c>
      <c r="C214" s="71" t="s">
        <v>2543</v>
      </c>
      <c r="D214" s="71" t="s">
        <v>205</v>
      </c>
      <c r="E214" s="71" t="s">
        <v>2726</v>
      </c>
      <c r="F214" s="71" t="s">
        <v>2765</v>
      </c>
      <c r="G214" s="71" t="s">
        <v>2621</v>
      </c>
      <c r="H214" s="71">
        <v>44</v>
      </c>
      <c r="I214" s="71" t="s">
        <v>2684</v>
      </c>
      <c r="J214" s="72">
        <v>3700000</v>
      </c>
      <c r="K214" s="73">
        <v>100000</v>
      </c>
      <c r="L214" s="73">
        <f t="shared" si="7"/>
        <v>3600000</v>
      </c>
      <c r="M214" s="74"/>
      <c r="N214" s="75">
        <f t="shared" si="8"/>
        <v>3600000</v>
      </c>
      <c r="O214" s="29"/>
    </row>
    <row r="215" spans="2:15" s="17" customFormat="1" ht="13.8">
      <c r="B215" s="71" t="s">
        <v>2785</v>
      </c>
      <c r="C215" s="71" t="s">
        <v>2543</v>
      </c>
      <c r="D215" s="71" t="s">
        <v>205</v>
      </c>
      <c r="E215" s="71" t="s">
        <v>2726</v>
      </c>
      <c r="F215" s="71" t="s">
        <v>2786</v>
      </c>
      <c r="G215" s="71" t="s">
        <v>2365</v>
      </c>
      <c r="H215" s="71">
        <v>44</v>
      </c>
      <c r="I215" s="71" t="s">
        <v>2684</v>
      </c>
      <c r="J215" s="72">
        <v>3700000</v>
      </c>
      <c r="K215" s="73">
        <v>100000</v>
      </c>
      <c r="L215" s="73">
        <f t="shared" si="7"/>
        <v>3600000</v>
      </c>
      <c r="M215" s="74"/>
      <c r="N215" s="75">
        <f t="shared" si="8"/>
        <v>3600000</v>
      </c>
      <c r="O215" s="28"/>
    </row>
    <row r="216" spans="2:15" s="17" customFormat="1" ht="13.8">
      <c r="B216" s="71" t="s">
        <v>2787</v>
      </c>
      <c r="C216" s="71" t="s">
        <v>2543</v>
      </c>
      <c r="D216" s="71" t="s">
        <v>205</v>
      </c>
      <c r="E216" s="71" t="s">
        <v>2726</v>
      </c>
      <c r="F216" s="71" t="s">
        <v>2786</v>
      </c>
      <c r="G216" s="71" t="s">
        <v>2368</v>
      </c>
      <c r="H216" s="71">
        <v>40</v>
      </c>
      <c r="I216" s="71" t="s">
        <v>2767</v>
      </c>
      <c r="J216" s="72">
        <v>3700000</v>
      </c>
      <c r="K216" s="73">
        <v>100000</v>
      </c>
      <c r="L216" s="73">
        <f t="shared" si="7"/>
        <v>3600000</v>
      </c>
      <c r="M216" s="74"/>
      <c r="N216" s="75">
        <f t="shared" si="8"/>
        <v>3600000</v>
      </c>
      <c r="O216" s="29"/>
    </row>
    <row r="217" spans="2:15" s="17" customFormat="1" ht="13.8">
      <c r="B217" s="71" t="s">
        <v>2788</v>
      </c>
      <c r="C217" s="71" t="s">
        <v>2543</v>
      </c>
      <c r="D217" s="71" t="s">
        <v>205</v>
      </c>
      <c r="E217" s="71" t="s">
        <v>2726</v>
      </c>
      <c r="F217" s="71" t="s">
        <v>2786</v>
      </c>
      <c r="G217" s="71" t="s">
        <v>2377</v>
      </c>
      <c r="H217" s="71">
        <v>40</v>
      </c>
      <c r="I217" s="71" t="s">
        <v>2767</v>
      </c>
      <c r="J217" s="72">
        <v>3700000</v>
      </c>
      <c r="K217" s="73">
        <v>100000</v>
      </c>
      <c r="L217" s="73">
        <f t="shared" si="7"/>
        <v>3600000</v>
      </c>
      <c r="M217" s="74"/>
      <c r="N217" s="75">
        <f t="shared" si="8"/>
        <v>3600000</v>
      </c>
      <c r="O217" s="28"/>
    </row>
    <row r="218" spans="2:15" s="17" customFormat="1" ht="13.8">
      <c r="B218" s="71" t="s">
        <v>2789</v>
      </c>
      <c r="C218" s="71" t="s">
        <v>2543</v>
      </c>
      <c r="D218" s="71" t="s">
        <v>205</v>
      </c>
      <c r="E218" s="71" t="s">
        <v>2726</v>
      </c>
      <c r="F218" s="71" t="s">
        <v>2786</v>
      </c>
      <c r="G218" s="71" t="s">
        <v>2379</v>
      </c>
      <c r="H218" s="71">
        <v>40</v>
      </c>
      <c r="I218" s="71" t="s">
        <v>2767</v>
      </c>
      <c r="J218" s="72">
        <v>3700000</v>
      </c>
      <c r="K218" s="73">
        <v>100000</v>
      </c>
      <c r="L218" s="73">
        <f t="shared" si="7"/>
        <v>3600000</v>
      </c>
      <c r="M218" s="74"/>
      <c r="N218" s="75">
        <f t="shared" si="8"/>
        <v>3600000</v>
      </c>
      <c r="O218" s="29"/>
    </row>
    <row r="219" spans="2:15" s="17" customFormat="1" ht="13.8">
      <c r="B219" s="71" t="s">
        <v>2790</v>
      </c>
      <c r="C219" s="71" t="s">
        <v>2543</v>
      </c>
      <c r="D219" s="71" t="s">
        <v>233</v>
      </c>
      <c r="E219" s="71" t="s">
        <v>2726</v>
      </c>
      <c r="F219" s="71" t="s">
        <v>2786</v>
      </c>
      <c r="G219" s="71" t="s">
        <v>2370</v>
      </c>
      <c r="H219" s="71">
        <v>40</v>
      </c>
      <c r="I219" s="71" t="s">
        <v>2767</v>
      </c>
      <c r="J219" s="72">
        <v>3700000</v>
      </c>
      <c r="K219" s="73">
        <v>100000</v>
      </c>
      <c r="L219" s="73">
        <f t="shared" si="7"/>
        <v>3600000</v>
      </c>
      <c r="M219" s="74"/>
      <c r="N219" s="75">
        <f t="shared" si="8"/>
        <v>3600000</v>
      </c>
      <c r="O219" s="28"/>
    </row>
    <row r="220" spans="2:15" s="17" customFormat="1" ht="13.8">
      <c r="B220" s="71" t="s">
        <v>2791</v>
      </c>
      <c r="C220" s="71" t="s">
        <v>2543</v>
      </c>
      <c r="D220" s="71" t="s">
        <v>205</v>
      </c>
      <c r="E220" s="71" t="s">
        <v>2726</v>
      </c>
      <c r="F220" s="71" t="s">
        <v>2786</v>
      </c>
      <c r="G220" s="71" t="s">
        <v>2372</v>
      </c>
      <c r="H220" s="71">
        <v>40</v>
      </c>
      <c r="I220" s="71" t="s">
        <v>2767</v>
      </c>
      <c r="J220" s="72">
        <v>3700000</v>
      </c>
      <c r="K220" s="73">
        <v>100000</v>
      </c>
      <c r="L220" s="73">
        <f t="shared" si="7"/>
        <v>3600000</v>
      </c>
      <c r="M220" s="74"/>
      <c r="N220" s="75">
        <f t="shared" si="8"/>
        <v>3600000</v>
      </c>
      <c r="O220" s="29"/>
    </row>
    <row r="221" spans="2:15" s="17" customFormat="1" ht="13.8">
      <c r="B221" s="71" t="s">
        <v>2792</v>
      </c>
      <c r="C221" s="71" t="s">
        <v>2543</v>
      </c>
      <c r="D221" s="71" t="s">
        <v>205</v>
      </c>
      <c r="E221" s="71" t="s">
        <v>2726</v>
      </c>
      <c r="F221" s="71" t="s">
        <v>2786</v>
      </c>
      <c r="G221" s="71" t="s">
        <v>2597</v>
      </c>
      <c r="H221" s="71">
        <v>40</v>
      </c>
      <c r="I221" s="71" t="s">
        <v>2767</v>
      </c>
      <c r="J221" s="72">
        <v>3700000</v>
      </c>
      <c r="K221" s="73">
        <v>100000</v>
      </c>
      <c r="L221" s="73">
        <f t="shared" si="7"/>
        <v>3600000</v>
      </c>
      <c r="M221" s="74"/>
      <c r="N221" s="75">
        <f t="shared" si="8"/>
        <v>3600000</v>
      </c>
      <c r="O221" s="28"/>
    </row>
    <row r="222" spans="2:15" s="17" customFormat="1" ht="13.8">
      <c r="B222" s="71" t="s">
        <v>2793</v>
      </c>
      <c r="C222" s="71" t="s">
        <v>2543</v>
      </c>
      <c r="D222" s="71" t="s">
        <v>205</v>
      </c>
      <c r="E222" s="71" t="s">
        <v>2726</v>
      </c>
      <c r="F222" s="71" t="s">
        <v>2786</v>
      </c>
      <c r="G222" s="71" t="s">
        <v>2599</v>
      </c>
      <c r="H222" s="71">
        <v>40</v>
      </c>
      <c r="I222" s="71" t="s">
        <v>2767</v>
      </c>
      <c r="J222" s="72">
        <v>3700000</v>
      </c>
      <c r="K222" s="73">
        <v>100000</v>
      </c>
      <c r="L222" s="73">
        <f t="shared" si="7"/>
        <v>3600000</v>
      </c>
      <c r="M222" s="74"/>
      <c r="N222" s="75">
        <f t="shared" si="8"/>
        <v>3600000</v>
      </c>
      <c r="O222" s="29"/>
    </row>
    <row r="223" spans="2:15" s="17" customFormat="1" ht="13.8">
      <c r="B223" s="71" t="s">
        <v>2794</v>
      </c>
      <c r="C223" s="71" t="s">
        <v>2543</v>
      </c>
      <c r="D223" s="71" t="s">
        <v>205</v>
      </c>
      <c r="E223" s="71" t="s">
        <v>2726</v>
      </c>
      <c r="F223" s="71" t="s">
        <v>2786</v>
      </c>
      <c r="G223" s="71" t="s">
        <v>2601</v>
      </c>
      <c r="H223" s="71">
        <v>40</v>
      </c>
      <c r="I223" s="71" t="s">
        <v>2767</v>
      </c>
      <c r="J223" s="72">
        <v>3700000</v>
      </c>
      <c r="K223" s="73">
        <v>100000</v>
      </c>
      <c r="L223" s="73">
        <f t="shared" si="7"/>
        <v>3600000</v>
      </c>
      <c r="M223" s="74"/>
      <c r="N223" s="75">
        <f t="shared" si="8"/>
        <v>3600000</v>
      </c>
      <c r="O223" s="28"/>
    </row>
    <row r="224" spans="2:15" s="17" customFormat="1" ht="13.8">
      <c r="B224" s="71" t="s">
        <v>2795</v>
      </c>
      <c r="C224" s="71" t="s">
        <v>2543</v>
      </c>
      <c r="D224" s="71" t="s">
        <v>205</v>
      </c>
      <c r="E224" s="71" t="s">
        <v>2726</v>
      </c>
      <c r="F224" s="71" t="s">
        <v>2786</v>
      </c>
      <c r="G224" s="71" t="s">
        <v>2603</v>
      </c>
      <c r="H224" s="71">
        <v>44</v>
      </c>
      <c r="I224" s="71" t="s">
        <v>2684</v>
      </c>
      <c r="J224" s="72">
        <v>3700000</v>
      </c>
      <c r="K224" s="73">
        <v>100000</v>
      </c>
      <c r="L224" s="73">
        <f t="shared" si="7"/>
        <v>3600000</v>
      </c>
      <c r="M224" s="74"/>
      <c r="N224" s="75">
        <f t="shared" si="8"/>
        <v>3600000</v>
      </c>
      <c r="O224" s="29"/>
    </row>
    <row r="225" spans="2:15" s="17" customFormat="1" ht="13.8">
      <c r="B225" s="71" t="s">
        <v>2796</v>
      </c>
      <c r="C225" s="71" t="s">
        <v>2543</v>
      </c>
      <c r="D225" s="71" t="s">
        <v>205</v>
      </c>
      <c r="E225" s="71" t="s">
        <v>2726</v>
      </c>
      <c r="F225" s="71" t="s">
        <v>2786</v>
      </c>
      <c r="G225" s="71" t="s">
        <v>2605</v>
      </c>
      <c r="H225" s="71">
        <v>44</v>
      </c>
      <c r="I225" s="71" t="s">
        <v>2684</v>
      </c>
      <c r="J225" s="72">
        <v>3700000</v>
      </c>
      <c r="K225" s="73">
        <v>100000</v>
      </c>
      <c r="L225" s="73">
        <f t="shared" si="7"/>
        <v>3600000</v>
      </c>
      <c r="M225" s="74"/>
      <c r="N225" s="75">
        <f t="shared" si="8"/>
        <v>3600000</v>
      </c>
      <c r="O225" s="28"/>
    </row>
    <row r="226" spans="2:15" s="17" customFormat="1" ht="13.8">
      <c r="B226" s="71" t="s">
        <v>2797</v>
      </c>
      <c r="C226" s="71" t="s">
        <v>2543</v>
      </c>
      <c r="D226" s="71" t="s">
        <v>205</v>
      </c>
      <c r="E226" s="71" t="s">
        <v>2726</v>
      </c>
      <c r="F226" s="71" t="s">
        <v>2786</v>
      </c>
      <c r="G226" s="71" t="s">
        <v>2607</v>
      </c>
      <c r="H226" s="71">
        <v>40</v>
      </c>
      <c r="I226" s="71" t="s">
        <v>2767</v>
      </c>
      <c r="J226" s="72">
        <v>3700000</v>
      </c>
      <c r="K226" s="73">
        <v>100000</v>
      </c>
      <c r="L226" s="73">
        <f t="shared" si="7"/>
        <v>3600000</v>
      </c>
      <c r="M226" s="74"/>
      <c r="N226" s="75">
        <f t="shared" si="8"/>
        <v>3600000</v>
      </c>
      <c r="O226" s="29"/>
    </row>
    <row r="227" spans="2:15" s="17" customFormat="1" ht="13.8">
      <c r="B227" s="71" t="s">
        <v>2798</v>
      </c>
      <c r="C227" s="71" t="s">
        <v>2543</v>
      </c>
      <c r="D227" s="71" t="s">
        <v>233</v>
      </c>
      <c r="E227" s="71" t="s">
        <v>2726</v>
      </c>
      <c r="F227" s="71" t="s">
        <v>2786</v>
      </c>
      <c r="G227" s="71" t="s">
        <v>2609</v>
      </c>
      <c r="H227" s="71">
        <v>40</v>
      </c>
      <c r="I227" s="71" t="s">
        <v>2767</v>
      </c>
      <c r="J227" s="72">
        <v>3700000</v>
      </c>
      <c r="K227" s="73">
        <v>100000</v>
      </c>
      <c r="L227" s="73">
        <f t="shared" si="7"/>
        <v>3600000</v>
      </c>
      <c r="M227" s="74"/>
      <c r="N227" s="75">
        <f t="shared" si="8"/>
        <v>3600000</v>
      </c>
      <c r="O227" s="28"/>
    </row>
    <row r="228" spans="2:15" s="17" customFormat="1" ht="13.8">
      <c r="B228" s="71" t="s">
        <v>2799</v>
      </c>
      <c r="C228" s="71" t="s">
        <v>2543</v>
      </c>
      <c r="D228" s="71" t="s">
        <v>205</v>
      </c>
      <c r="E228" s="71" t="s">
        <v>2726</v>
      </c>
      <c r="F228" s="71" t="s">
        <v>2786</v>
      </c>
      <c r="G228" s="71" t="s">
        <v>2611</v>
      </c>
      <c r="H228" s="71">
        <v>40</v>
      </c>
      <c r="I228" s="71" t="s">
        <v>2767</v>
      </c>
      <c r="J228" s="72">
        <v>3700000</v>
      </c>
      <c r="K228" s="73">
        <v>100000</v>
      </c>
      <c r="L228" s="73">
        <f t="shared" si="7"/>
        <v>3600000</v>
      </c>
      <c r="M228" s="74"/>
      <c r="N228" s="75">
        <f t="shared" si="8"/>
        <v>3600000</v>
      </c>
      <c r="O228" s="29"/>
    </row>
    <row r="229" spans="2:15" s="17" customFormat="1" ht="13.8">
      <c r="B229" s="71" t="s">
        <v>2800</v>
      </c>
      <c r="C229" s="71" t="s">
        <v>2543</v>
      </c>
      <c r="D229" s="71" t="s">
        <v>205</v>
      </c>
      <c r="E229" s="71" t="s">
        <v>2726</v>
      </c>
      <c r="F229" s="71" t="s">
        <v>2786</v>
      </c>
      <c r="G229" s="71" t="s">
        <v>2613</v>
      </c>
      <c r="H229" s="71">
        <v>40</v>
      </c>
      <c r="I229" s="71" t="s">
        <v>2767</v>
      </c>
      <c r="J229" s="72">
        <v>3700000</v>
      </c>
      <c r="K229" s="73">
        <v>100000</v>
      </c>
      <c r="L229" s="73">
        <f t="shared" si="7"/>
        <v>3600000</v>
      </c>
      <c r="M229" s="74"/>
      <c r="N229" s="75">
        <f t="shared" si="8"/>
        <v>3600000</v>
      </c>
      <c r="O229" s="28"/>
    </row>
    <row r="230" spans="2:15" s="17" customFormat="1" ht="13.8">
      <c r="B230" s="71" t="s">
        <v>2801</v>
      </c>
      <c r="C230" s="71" t="s">
        <v>2543</v>
      </c>
      <c r="D230" s="71" t="s">
        <v>205</v>
      </c>
      <c r="E230" s="71" t="s">
        <v>2726</v>
      </c>
      <c r="F230" s="71" t="s">
        <v>2786</v>
      </c>
      <c r="G230" s="71" t="s">
        <v>2615</v>
      </c>
      <c r="H230" s="71">
        <v>40</v>
      </c>
      <c r="I230" s="71" t="s">
        <v>2767</v>
      </c>
      <c r="J230" s="72">
        <v>3700000</v>
      </c>
      <c r="K230" s="73">
        <v>100000</v>
      </c>
      <c r="L230" s="73">
        <f t="shared" si="7"/>
        <v>3600000</v>
      </c>
      <c r="M230" s="74"/>
      <c r="N230" s="75">
        <f t="shared" si="8"/>
        <v>3600000</v>
      </c>
      <c r="O230" s="29"/>
    </row>
    <row r="231" spans="2:15" s="17" customFormat="1" ht="13.8">
      <c r="B231" s="71" t="s">
        <v>2802</v>
      </c>
      <c r="C231" s="71" t="s">
        <v>2543</v>
      </c>
      <c r="D231" s="71" t="s">
        <v>205</v>
      </c>
      <c r="E231" s="71" t="s">
        <v>2726</v>
      </c>
      <c r="F231" s="71" t="s">
        <v>2786</v>
      </c>
      <c r="G231" s="71" t="s">
        <v>2617</v>
      </c>
      <c r="H231" s="71">
        <v>40</v>
      </c>
      <c r="I231" s="71" t="s">
        <v>2767</v>
      </c>
      <c r="J231" s="72">
        <v>3700000</v>
      </c>
      <c r="K231" s="73">
        <v>100000</v>
      </c>
      <c r="L231" s="73">
        <f t="shared" si="7"/>
        <v>3600000</v>
      </c>
      <c r="M231" s="74"/>
      <c r="N231" s="75">
        <f t="shared" si="8"/>
        <v>3600000</v>
      </c>
      <c r="O231" s="28"/>
    </row>
    <row r="232" spans="2:15" s="17" customFormat="1" ht="13.8">
      <c r="B232" s="71" t="s">
        <v>2803</v>
      </c>
      <c r="C232" s="71" t="s">
        <v>2543</v>
      </c>
      <c r="D232" s="71" t="s">
        <v>205</v>
      </c>
      <c r="E232" s="71" t="s">
        <v>2726</v>
      </c>
      <c r="F232" s="71" t="s">
        <v>2786</v>
      </c>
      <c r="G232" s="71" t="s">
        <v>2619</v>
      </c>
      <c r="H232" s="71">
        <v>40</v>
      </c>
      <c r="I232" s="71" t="s">
        <v>2767</v>
      </c>
      <c r="J232" s="72">
        <v>3700000</v>
      </c>
      <c r="K232" s="73">
        <v>100000</v>
      </c>
      <c r="L232" s="73">
        <f t="shared" si="7"/>
        <v>3600000</v>
      </c>
      <c r="M232" s="74"/>
      <c r="N232" s="75">
        <f t="shared" si="8"/>
        <v>3600000</v>
      </c>
      <c r="O232" s="29"/>
    </row>
    <row r="233" spans="2:15" s="17" customFormat="1" ht="13.8">
      <c r="B233" s="71" t="s">
        <v>2804</v>
      </c>
      <c r="C233" s="71" t="s">
        <v>2543</v>
      </c>
      <c r="D233" s="71" t="s">
        <v>205</v>
      </c>
      <c r="E233" s="71" t="s">
        <v>2726</v>
      </c>
      <c r="F233" s="71" t="s">
        <v>2786</v>
      </c>
      <c r="G233" s="71" t="s">
        <v>2621</v>
      </c>
      <c r="H233" s="71">
        <v>44</v>
      </c>
      <c r="I233" s="71" t="s">
        <v>2684</v>
      </c>
      <c r="J233" s="72">
        <v>3700000</v>
      </c>
      <c r="K233" s="73">
        <v>100000</v>
      </c>
      <c r="L233" s="73">
        <f t="shared" si="7"/>
        <v>3600000</v>
      </c>
      <c r="M233" s="74"/>
      <c r="N233" s="75">
        <f t="shared" si="8"/>
        <v>3600000</v>
      </c>
      <c r="O233" s="28"/>
    </row>
    <row r="234" spans="2:15" s="17" customFormat="1" ht="13.8">
      <c r="B234" s="71" t="s">
        <v>2805</v>
      </c>
      <c r="C234" s="71" t="s">
        <v>2543</v>
      </c>
      <c r="D234" s="71" t="s">
        <v>205</v>
      </c>
      <c r="E234" s="71" t="s">
        <v>2726</v>
      </c>
      <c r="F234" s="71" t="s">
        <v>2806</v>
      </c>
      <c r="G234" s="71" t="s">
        <v>2365</v>
      </c>
      <c r="H234" s="71">
        <v>44</v>
      </c>
      <c r="I234" s="71" t="s">
        <v>2684</v>
      </c>
      <c r="J234" s="72">
        <v>3700000</v>
      </c>
      <c r="K234" s="73">
        <v>100000</v>
      </c>
      <c r="L234" s="73">
        <f t="shared" si="7"/>
        <v>3600000</v>
      </c>
      <c r="M234" s="74"/>
      <c r="N234" s="75">
        <f t="shared" si="8"/>
        <v>3600000</v>
      </c>
      <c r="O234" s="29"/>
    </row>
    <row r="235" spans="2:15" s="17" customFormat="1" ht="13.8">
      <c r="B235" s="71" t="s">
        <v>2807</v>
      </c>
      <c r="C235" s="71" t="s">
        <v>2543</v>
      </c>
      <c r="D235" s="71" t="s">
        <v>233</v>
      </c>
      <c r="E235" s="71" t="s">
        <v>2726</v>
      </c>
      <c r="F235" s="71" t="s">
        <v>2806</v>
      </c>
      <c r="G235" s="71" t="s">
        <v>2368</v>
      </c>
      <c r="H235" s="71">
        <v>40</v>
      </c>
      <c r="I235" s="71" t="s">
        <v>2767</v>
      </c>
      <c r="J235" s="72">
        <v>3700000</v>
      </c>
      <c r="K235" s="73">
        <v>100000</v>
      </c>
      <c r="L235" s="73">
        <f t="shared" si="7"/>
        <v>3600000</v>
      </c>
      <c r="M235" s="74"/>
      <c r="N235" s="75">
        <f t="shared" si="8"/>
        <v>3600000</v>
      </c>
      <c r="O235" s="28"/>
    </row>
    <row r="236" spans="2:15" s="17" customFormat="1" ht="13.8">
      <c r="B236" s="71" t="s">
        <v>2808</v>
      </c>
      <c r="C236" s="71" t="s">
        <v>2543</v>
      </c>
      <c r="D236" s="71" t="s">
        <v>205</v>
      </c>
      <c r="E236" s="71" t="s">
        <v>2726</v>
      </c>
      <c r="F236" s="71" t="s">
        <v>2806</v>
      </c>
      <c r="G236" s="71" t="s">
        <v>2377</v>
      </c>
      <c r="H236" s="71">
        <v>40</v>
      </c>
      <c r="I236" s="71" t="s">
        <v>2767</v>
      </c>
      <c r="J236" s="72">
        <v>3700000</v>
      </c>
      <c r="K236" s="73">
        <v>100000</v>
      </c>
      <c r="L236" s="73">
        <f t="shared" si="7"/>
        <v>3600000</v>
      </c>
      <c r="M236" s="74"/>
      <c r="N236" s="75">
        <f t="shared" si="8"/>
        <v>3600000</v>
      </c>
      <c r="O236" s="29"/>
    </row>
    <row r="237" spans="2:15" s="17" customFormat="1" ht="13.8">
      <c r="B237" s="71" t="s">
        <v>2809</v>
      </c>
      <c r="C237" s="71" t="s">
        <v>2543</v>
      </c>
      <c r="D237" s="71" t="s">
        <v>205</v>
      </c>
      <c r="E237" s="71" t="s">
        <v>2726</v>
      </c>
      <c r="F237" s="71" t="s">
        <v>2806</v>
      </c>
      <c r="G237" s="71" t="s">
        <v>2379</v>
      </c>
      <c r="H237" s="71">
        <v>40</v>
      </c>
      <c r="I237" s="71" t="s">
        <v>2767</v>
      </c>
      <c r="J237" s="72">
        <v>3700000</v>
      </c>
      <c r="K237" s="73">
        <v>100000</v>
      </c>
      <c r="L237" s="73">
        <f t="shared" si="7"/>
        <v>3600000</v>
      </c>
      <c r="M237" s="74"/>
      <c r="N237" s="75">
        <f t="shared" si="8"/>
        <v>3600000</v>
      </c>
      <c r="O237" s="28"/>
    </row>
    <row r="238" spans="2:15" s="17" customFormat="1" ht="13.8">
      <c r="B238" s="71" t="s">
        <v>2810</v>
      </c>
      <c r="C238" s="71" t="s">
        <v>2543</v>
      </c>
      <c r="D238" s="71" t="s">
        <v>233</v>
      </c>
      <c r="E238" s="71" t="s">
        <v>2726</v>
      </c>
      <c r="F238" s="71" t="s">
        <v>2806</v>
      </c>
      <c r="G238" s="71" t="s">
        <v>2370</v>
      </c>
      <c r="H238" s="71">
        <v>40</v>
      </c>
      <c r="I238" s="71" t="s">
        <v>2767</v>
      </c>
      <c r="J238" s="72">
        <v>3700000</v>
      </c>
      <c r="K238" s="73">
        <v>100000</v>
      </c>
      <c r="L238" s="73">
        <f t="shared" si="7"/>
        <v>3600000</v>
      </c>
      <c r="M238" s="74"/>
      <c r="N238" s="75">
        <f t="shared" si="8"/>
        <v>3600000</v>
      </c>
      <c r="O238" s="29"/>
    </row>
    <row r="239" spans="2:15" s="17" customFormat="1" ht="13.8">
      <c r="B239" s="71" t="s">
        <v>2811</v>
      </c>
      <c r="C239" s="71" t="s">
        <v>2543</v>
      </c>
      <c r="D239" s="71" t="s">
        <v>205</v>
      </c>
      <c r="E239" s="71" t="s">
        <v>2726</v>
      </c>
      <c r="F239" s="71" t="s">
        <v>2806</v>
      </c>
      <c r="G239" s="71" t="s">
        <v>2372</v>
      </c>
      <c r="H239" s="71">
        <v>40</v>
      </c>
      <c r="I239" s="71" t="s">
        <v>2767</v>
      </c>
      <c r="J239" s="72">
        <v>3700000</v>
      </c>
      <c r="K239" s="73">
        <v>100000</v>
      </c>
      <c r="L239" s="73">
        <f t="shared" si="7"/>
        <v>3600000</v>
      </c>
      <c r="M239" s="74"/>
      <c r="N239" s="75">
        <f t="shared" si="8"/>
        <v>3600000</v>
      </c>
      <c r="O239" s="28"/>
    </row>
    <row r="240" spans="2:15" s="17" customFormat="1" ht="13.8">
      <c r="B240" s="71" t="s">
        <v>2812</v>
      </c>
      <c r="C240" s="71" t="s">
        <v>2543</v>
      </c>
      <c r="D240" s="71" t="s">
        <v>205</v>
      </c>
      <c r="E240" s="71" t="s">
        <v>2726</v>
      </c>
      <c r="F240" s="71" t="s">
        <v>2806</v>
      </c>
      <c r="G240" s="71" t="s">
        <v>2597</v>
      </c>
      <c r="H240" s="71">
        <v>40</v>
      </c>
      <c r="I240" s="71" t="s">
        <v>2767</v>
      </c>
      <c r="J240" s="72">
        <v>3700000</v>
      </c>
      <c r="K240" s="73">
        <v>100000</v>
      </c>
      <c r="L240" s="73">
        <f t="shared" si="7"/>
        <v>3600000</v>
      </c>
      <c r="M240" s="74"/>
      <c r="N240" s="75">
        <f t="shared" si="8"/>
        <v>3600000</v>
      </c>
      <c r="O240" s="29"/>
    </row>
    <row r="241" spans="2:15" s="17" customFormat="1" ht="13.8">
      <c r="B241" s="71" t="s">
        <v>2813</v>
      </c>
      <c r="C241" s="71" t="s">
        <v>2543</v>
      </c>
      <c r="D241" s="71" t="s">
        <v>205</v>
      </c>
      <c r="E241" s="71" t="s">
        <v>2726</v>
      </c>
      <c r="F241" s="71" t="s">
        <v>2806</v>
      </c>
      <c r="G241" s="71" t="s">
        <v>2599</v>
      </c>
      <c r="H241" s="71">
        <v>40</v>
      </c>
      <c r="I241" s="71" t="s">
        <v>2767</v>
      </c>
      <c r="J241" s="72">
        <v>3700000</v>
      </c>
      <c r="K241" s="73">
        <v>100000</v>
      </c>
      <c r="L241" s="73">
        <f t="shared" si="7"/>
        <v>3600000</v>
      </c>
      <c r="M241" s="74"/>
      <c r="N241" s="75">
        <f t="shared" si="8"/>
        <v>3600000</v>
      </c>
      <c r="O241" s="28"/>
    </row>
    <row r="242" spans="2:15" s="17" customFormat="1" ht="13.8">
      <c r="B242" s="71" t="s">
        <v>2814</v>
      </c>
      <c r="C242" s="71" t="s">
        <v>2543</v>
      </c>
      <c r="D242" s="71" t="s">
        <v>205</v>
      </c>
      <c r="E242" s="71" t="s">
        <v>2726</v>
      </c>
      <c r="F242" s="71" t="s">
        <v>2806</v>
      </c>
      <c r="G242" s="71" t="s">
        <v>2601</v>
      </c>
      <c r="H242" s="71">
        <v>40</v>
      </c>
      <c r="I242" s="71" t="s">
        <v>2767</v>
      </c>
      <c r="J242" s="72">
        <v>3700000</v>
      </c>
      <c r="K242" s="73">
        <v>100000</v>
      </c>
      <c r="L242" s="73">
        <f t="shared" si="7"/>
        <v>3600000</v>
      </c>
      <c r="M242" s="74"/>
      <c r="N242" s="75">
        <f t="shared" si="8"/>
        <v>3600000</v>
      </c>
      <c r="O242" s="29"/>
    </row>
    <row r="243" spans="2:15" s="17" customFormat="1" ht="13.8">
      <c r="B243" s="71" t="s">
        <v>2815</v>
      </c>
      <c r="C243" s="71" t="s">
        <v>2543</v>
      </c>
      <c r="D243" s="71" t="s">
        <v>205</v>
      </c>
      <c r="E243" s="71" t="s">
        <v>2726</v>
      </c>
      <c r="F243" s="71" t="s">
        <v>2806</v>
      </c>
      <c r="G243" s="71" t="s">
        <v>2603</v>
      </c>
      <c r="H243" s="71">
        <v>44</v>
      </c>
      <c r="I243" s="71" t="s">
        <v>2684</v>
      </c>
      <c r="J243" s="72">
        <v>3700000</v>
      </c>
      <c r="K243" s="73">
        <v>100000</v>
      </c>
      <c r="L243" s="73">
        <f t="shared" si="7"/>
        <v>3600000</v>
      </c>
      <c r="M243" s="74"/>
      <c r="N243" s="75">
        <f t="shared" si="8"/>
        <v>3600000</v>
      </c>
      <c r="O243" s="28"/>
    </row>
    <row r="244" spans="2:15" s="17" customFormat="1" ht="13.8">
      <c r="B244" s="71" t="s">
        <v>2816</v>
      </c>
      <c r="C244" s="71" t="s">
        <v>2543</v>
      </c>
      <c r="D244" s="71" t="s">
        <v>205</v>
      </c>
      <c r="E244" s="71" t="s">
        <v>2726</v>
      </c>
      <c r="F244" s="71" t="s">
        <v>2806</v>
      </c>
      <c r="G244" s="71" t="s">
        <v>2605</v>
      </c>
      <c r="H244" s="71">
        <v>44</v>
      </c>
      <c r="I244" s="71" t="s">
        <v>2684</v>
      </c>
      <c r="J244" s="72">
        <v>3700000</v>
      </c>
      <c r="K244" s="73">
        <v>100000</v>
      </c>
      <c r="L244" s="73">
        <f t="shared" si="7"/>
        <v>3600000</v>
      </c>
      <c r="M244" s="74"/>
      <c r="N244" s="75">
        <f t="shared" si="8"/>
        <v>3600000</v>
      </c>
      <c r="O244" s="29"/>
    </row>
    <row r="245" spans="2:15" s="17" customFormat="1" ht="13.8">
      <c r="B245" s="71" t="s">
        <v>2817</v>
      </c>
      <c r="C245" s="71" t="s">
        <v>2543</v>
      </c>
      <c r="D245" s="71" t="s">
        <v>205</v>
      </c>
      <c r="E245" s="71" t="s">
        <v>2726</v>
      </c>
      <c r="F245" s="71" t="s">
        <v>2806</v>
      </c>
      <c r="G245" s="71" t="s">
        <v>2607</v>
      </c>
      <c r="H245" s="71">
        <v>40</v>
      </c>
      <c r="I245" s="71" t="s">
        <v>2767</v>
      </c>
      <c r="J245" s="72">
        <v>3700000</v>
      </c>
      <c r="K245" s="73">
        <v>100000</v>
      </c>
      <c r="L245" s="73">
        <f t="shared" si="7"/>
        <v>3600000</v>
      </c>
      <c r="M245" s="74"/>
      <c r="N245" s="75">
        <f t="shared" si="8"/>
        <v>3600000</v>
      </c>
      <c r="O245" s="28"/>
    </row>
    <row r="246" spans="2:15" s="17" customFormat="1" ht="13.8">
      <c r="B246" s="71" t="s">
        <v>2818</v>
      </c>
      <c r="C246" s="71" t="s">
        <v>2543</v>
      </c>
      <c r="D246" s="71" t="s">
        <v>205</v>
      </c>
      <c r="E246" s="71" t="s">
        <v>2726</v>
      </c>
      <c r="F246" s="71" t="s">
        <v>2806</v>
      </c>
      <c r="G246" s="71" t="s">
        <v>2609</v>
      </c>
      <c r="H246" s="71">
        <v>40</v>
      </c>
      <c r="I246" s="71" t="s">
        <v>2767</v>
      </c>
      <c r="J246" s="72">
        <v>3700000</v>
      </c>
      <c r="K246" s="73">
        <v>100000</v>
      </c>
      <c r="L246" s="73">
        <f t="shared" si="7"/>
        <v>3600000</v>
      </c>
      <c r="M246" s="74"/>
      <c r="N246" s="75">
        <f t="shared" si="8"/>
        <v>3600000</v>
      </c>
      <c r="O246" s="29"/>
    </row>
    <row r="247" spans="2:15" s="17" customFormat="1" ht="13.8">
      <c r="B247" s="71" t="s">
        <v>2819</v>
      </c>
      <c r="C247" s="71" t="s">
        <v>2543</v>
      </c>
      <c r="D247" s="71" t="s">
        <v>205</v>
      </c>
      <c r="E247" s="71" t="s">
        <v>2726</v>
      </c>
      <c r="F247" s="71" t="s">
        <v>2806</v>
      </c>
      <c r="G247" s="71" t="s">
        <v>2611</v>
      </c>
      <c r="H247" s="71">
        <v>40</v>
      </c>
      <c r="I247" s="71" t="s">
        <v>2767</v>
      </c>
      <c r="J247" s="72">
        <v>3700000</v>
      </c>
      <c r="K247" s="73">
        <v>100000</v>
      </c>
      <c r="L247" s="73">
        <f t="shared" si="7"/>
        <v>3600000</v>
      </c>
      <c r="M247" s="74"/>
      <c r="N247" s="75">
        <f t="shared" si="8"/>
        <v>3600000</v>
      </c>
      <c r="O247" s="28"/>
    </row>
    <row r="248" spans="2:15" s="17" customFormat="1" ht="13.8">
      <c r="B248" s="71" t="s">
        <v>2820</v>
      </c>
      <c r="C248" s="71" t="s">
        <v>2543</v>
      </c>
      <c r="D248" s="71" t="s">
        <v>972</v>
      </c>
      <c r="E248" s="71" t="s">
        <v>2726</v>
      </c>
      <c r="F248" s="71" t="s">
        <v>2806</v>
      </c>
      <c r="G248" s="71" t="s">
        <v>2613</v>
      </c>
      <c r="H248" s="71">
        <v>40</v>
      </c>
      <c r="I248" s="71" t="s">
        <v>2767</v>
      </c>
      <c r="J248" s="72">
        <v>3700000</v>
      </c>
      <c r="K248" s="73">
        <v>100000</v>
      </c>
      <c r="L248" s="73">
        <f t="shared" si="7"/>
        <v>3600000</v>
      </c>
      <c r="M248" s="74"/>
      <c r="N248" s="75">
        <f t="shared" si="8"/>
        <v>3600000</v>
      </c>
      <c r="O248" s="29"/>
    </row>
    <row r="249" spans="2:15" s="17" customFormat="1" ht="13.8">
      <c r="B249" s="71" t="s">
        <v>2821</v>
      </c>
      <c r="C249" s="71" t="s">
        <v>2543</v>
      </c>
      <c r="D249" s="71" t="s">
        <v>205</v>
      </c>
      <c r="E249" s="71" t="s">
        <v>2726</v>
      </c>
      <c r="F249" s="71" t="s">
        <v>2806</v>
      </c>
      <c r="G249" s="71" t="s">
        <v>2615</v>
      </c>
      <c r="H249" s="71">
        <v>40</v>
      </c>
      <c r="I249" s="71" t="s">
        <v>2767</v>
      </c>
      <c r="J249" s="72">
        <v>3700000</v>
      </c>
      <c r="K249" s="73">
        <v>100000</v>
      </c>
      <c r="L249" s="73">
        <f t="shared" si="7"/>
        <v>3600000</v>
      </c>
      <c r="M249" s="74"/>
      <c r="N249" s="75">
        <f t="shared" si="8"/>
        <v>3600000</v>
      </c>
      <c r="O249" s="28"/>
    </row>
    <row r="250" spans="2:15" s="17" customFormat="1" ht="13.8">
      <c r="B250" s="71" t="s">
        <v>2822</v>
      </c>
      <c r="C250" s="71" t="s">
        <v>2543</v>
      </c>
      <c r="D250" s="71" t="s">
        <v>205</v>
      </c>
      <c r="E250" s="71" t="s">
        <v>2726</v>
      </c>
      <c r="F250" s="71" t="s">
        <v>2806</v>
      </c>
      <c r="G250" s="71" t="s">
        <v>2617</v>
      </c>
      <c r="H250" s="71">
        <v>40</v>
      </c>
      <c r="I250" s="71" t="s">
        <v>2767</v>
      </c>
      <c r="J250" s="72">
        <v>3700000</v>
      </c>
      <c r="K250" s="73">
        <v>100000</v>
      </c>
      <c r="L250" s="73">
        <f t="shared" si="7"/>
        <v>3600000</v>
      </c>
      <c r="M250" s="74"/>
      <c r="N250" s="75">
        <f t="shared" si="8"/>
        <v>3600000</v>
      </c>
      <c r="O250" s="29"/>
    </row>
    <row r="251" spans="2:15" s="17" customFormat="1" ht="13.8">
      <c r="B251" s="71" t="s">
        <v>2823</v>
      </c>
      <c r="C251" s="71" t="s">
        <v>2543</v>
      </c>
      <c r="D251" s="71" t="s">
        <v>205</v>
      </c>
      <c r="E251" s="71" t="s">
        <v>2726</v>
      </c>
      <c r="F251" s="71" t="s">
        <v>2806</v>
      </c>
      <c r="G251" s="71" t="s">
        <v>2619</v>
      </c>
      <c r="H251" s="71">
        <v>40</v>
      </c>
      <c r="I251" s="71" t="s">
        <v>2767</v>
      </c>
      <c r="J251" s="72">
        <v>3700000</v>
      </c>
      <c r="K251" s="73">
        <v>100000</v>
      </c>
      <c r="L251" s="73">
        <f t="shared" si="7"/>
        <v>3600000</v>
      </c>
      <c r="M251" s="74"/>
      <c r="N251" s="75">
        <f t="shared" si="8"/>
        <v>3600000</v>
      </c>
      <c r="O251" s="28"/>
    </row>
    <row r="252" spans="2:15" s="17" customFormat="1" ht="13.8">
      <c r="B252" s="71" t="s">
        <v>2824</v>
      </c>
      <c r="C252" s="71" t="s">
        <v>2543</v>
      </c>
      <c r="D252" s="71" t="s">
        <v>205</v>
      </c>
      <c r="E252" s="71" t="s">
        <v>2726</v>
      </c>
      <c r="F252" s="71" t="s">
        <v>2806</v>
      </c>
      <c r="G252" s="71" t="s">
        <v>2621</v>
      </c>
      <c r="H252" s="71">
        <v>44</v>
      </c>
      <c r="I252" s="71" t="s">
        <v>2684</v>
      </c>
      <c r="J252" s="72">
        <v>3700000</v>
      </c>
      <c r="K252" s="73">
        <v>100000</v>
      </c>
      <c r="L252" s="73">
        <f t="shared" si="7"/>
        <v>3600000</v>
      </c>
      <c r="M252" s="74"/>
      <c r="N252" s="75">
        <f t="shared" si="8"/>
        <v>3600000</v>
      </c>
      <c r="O252" s="29"/>
    </row>
    <row r="253" spans="2:15" s="17" customFormat="1" ht="13.8">
      <c r="B253" s="71" t="s">
        <v>2825</v>
      </c>
      <c r="C253" s="71" t="s">
        <v>2543</v>
      </c>
      <c r="D253" s="71" t="s">
        <v>205</v>
      </c>
      <c r="E253" s="71" t="s">
        <v>2726</v>
      </c>
      <c r="F253" s="71" t="s">
        <v>2826</v>
      </c>
      <c r="G253" s="71" t="s">
        <v>2365</v>
      </c>
      <c r="H253" s="71">
        <v>44</v>
      </c>
      <c r="I253" s="71" t="s">
        <v>2684</v>
      </c>
      <c r="J253" s="72">
        <v>3700000</v>
      </c>
      <c r="K253" s="73">
        <v>100000</v>
      </c>
      <c r="L253" s="73">
        <f t="shared" si="7"/>
        <v>3600000</v>
      </c>
      <c r="M253" s="74"/>
      <c r="N253" s="75">
        <f t="shared" si="8"/>
        <v>3600000</v>
      </c>
      <c r="O253" s="28"/>
    </row>
    <row r="254" spans="2:15" s="17" customFormat="1" ht="13.8">
      <c r="B254" s="71" t="s">
        <v>2827</v>
      </c>
      <c r="C254" s="71" t="s">
        <v>2543</v>
      </c>
      <c r="D254" s="71" t="s">
        <v>205</v>
      </c>
      <c r="E254" s="71" t="s">
        <v>2726</v>
      </c>
      <c r="F254" s="71" t="s">
        <v>2826</v>
      </c>
      <c r="G254" s="71" t="s">
        <v>2368</v>
      </c>
      <c r="H254" s="71">
        <v>40</v>
      </c>
      <c r="I254" s="71" t="s">
        <v>2767</v>
      </c>
      <c r="J254" s="72">
        <v>3700000</v>
      </c>
      <c r="K254" s="73">
        <v>100000</v>
      </c>
      <c r="L254" s="73">
        <f t="shared" si="7"/>
        <v>3600000</v>
      </c>
      <c r="M254" s="74"/>
      <c r="N254" s="75">
        <f t="shared" si="8"/>
        <v>3600000</v>
      </c>
      <c r="O254" s="29"/>
    </row>
    <row r="255" spans="2:15" s="17" customFormat="1" ht="13.8">
      <c r="B255" s="71" t="s">
        <v>2828</v>
      </c>
      <c r="C255" s="71" t="s">
        <v>2543</v>
      </c>
      <c r="D255" s="71" t="s">
        <v>205</v>
      </c>
      <c r="E255" s="71" t="s">
        <v>2726</v>
      </c>
      <c r="F255" s="71" t="s">
        <v>2826</v>
      </c>
      <c r="G255" s="71" t="s">
        <v>2377</v>
      </c>
      <c r="H255" s="71">
        <v>40</v>
      </c>
      <c r="I255" s="71" t="s">
        <v>2767</v>
      </c>
      <c r="J255" s="72">
        <v>3700000</v>
      </c>
      <c r="K255" s="73">
        <v>100000</v>
      </c>
      <c r="L255" s="73">
        <f t="shared" si="7"/>
        <v>3600000</v>
      </c>
      <c r="M255" s="74"/>
      <c r="N255" s="75">
        <f t="shared" si="8"/>
        <v>3600000</v>
      </c>
      <c r="O255" s="28"/>
    </row>
    <row r="256" spans="2:15" s="17" customFormat="1" ht="13.8">
      <c r="B256" s="71" t="s">
        <v>2829</v>
      </c>
      <c r="C256" s="71" t="s">
        <v>2543</v>
      </c>
      <c r="D256" s="71" t="s">
        <v>205</v>
      </c>
      <c r="E256" s="71" t="s">
        <v>2726</v>
      </c>
      <c r="F256" s="71" t="s">
        <v>2826</v>
      </c>
      <c r="G256" s="71" t="s">
        <v>2379</v>
      </c>
      <c r="H256" s="71">
        <v>40</v>
      </c>
      <c r="I256" s="71" t="s">
        <v>2767</v>
      </c>
      <c r="J256" s="72">
        <v>3700000</v>
      </c>
      <c r="K256" s="73">
        <v>100000</v>
      </c>
      <c r="L256" s="73">
        <f t="shared" si="7"/>
        <v>3600000</v>
      </c>
      <c r="M256" s="74"/>
      <c r="N256" s="75">
        <f t="shared" si="8"/>
        <v>3600000</v>
      </c>
      <c r="O256" s="29"/>
    </row>
    <row r="257" spans="2:15" s="17" customFormat="1" ht="13.8">
      <c r="B257" s="71" t="s">
        <v>2830</v>
      </c>
      <c r="C257" s="71" t="s">
        <v>2543</v>
      </c>
      <c r="D257" s="71" t="s">
        <v>205</v>
      </c>
      <c r="E257" s="71" t="s">
        <v>2726</v>
      </c>
      <c r="F257" s="71" t="s">
        <v>2826</v>
      </c>
      <c r="G257" s="71" t="s">
        <v>2370</v>
      </c>
      <c r="H257" s="71">
        <v>40</v>
      </c>
      <c r="I257" s="71" t="s">
        <v>2767</v>
      </c>
      <c r="J257" s="72">
        <v>3700000</v>
      </c>
      <c r="K257" s="73">
        <v>100000</v>
      </c>
      <c r="L257" s="73">
        <f t="shared" si="7"/>
        <v>3600000</v>
      </c>
      <c r="M257" s="74"/>
      <c r="N257" s="75">
        <f t="shared" si="8"/>
        <v>3600000</v>
      </c>
      <c r="O257" s="28"/>
    </row>
    <row r="258" spans="2:15" s="17" customFormat="1" ht="13.8">
      <c r="B258" s="71" t="s">
        <v>2831</v>
      </c>
      <c r="C258" s="71" t="s">
        <v>2543</v>
      </c>
      <c r="D258" s="71" t="s">
        <v>205</v>
      </c>
      <c r="E258" s="71" t="s">
        <v>2726</v>
      </c>
      <c r="F258" s="71" t="s">
        <v>2826</v>
      </c>
      <c r="G258" s="71" t="s">
        <v>2372</v>
      </c>
      <c r="H258" s="71">
        <v>40</v>
      </c>
      <c r="I258" s="71" t="s">
        <v>2767</v>
      </c>
      <c r="J258" s="72">
        <v>3700000</v>
      </c>
      <c r="K258" s="73">
        <v>100000</v>
      </c>
      <c r="L258" s="73">
        <f t="shared" si="7"/>
        <v>3600000</v>
      </c>
      <c r="M258" s="74"/>
      <c r="N258" s="75">
        <f t="shared" si="8"/>
        <v>3600000</v>
      </c>
      <c r="O258" s="29"/>
    </row>
    <row r="259" spans="2:15" s="17" customFormat="1" ht="13.8">
      <c r="B259" s="71" t="s">
        <v>2832</v>
      </c>
      <c r="C259" s="71" t="s">
        <v>2543</v>
      </c>
      <c r="D259" s="71" t="s">
        <v>205</v>
      </c>
      <c r="E259" s="71" t="s">
        <v>2726</v>
      </c>
      <c r="F259" s="71" t="s">
        <v>2826</v>
      </c>
      <c r="G259" s="71" t="s">
        <v>2597</v>
      </c>
      <c r="H259" s="71">
        <v>40</v>
      </c>
      <c r="I259" s="71" t="s">
        <v>2767</v>
      </c>
      <c r="J259" s="72">
        <v>3700000</v>
      </c>
      <c r="K259" s="73">
        <v>100000</v>
      </c>
      <c r="L259" s="73">
        <f t="shared" si="7"/>
        <v>3600000</v>
      </c>
      <c r="M259" s="74"/>
      <c r="N259" s="75">
        <f t="shared" si="8"/>
        <v>3600000</v>
      </c>
      <c r="O259" s="28"/>
    </row>
    <row r="260" spans="2:15" s="17" customFormat="1" ht="13.8">
      <c r="B260" s="71" t="s">
        <v>2833</v>
      </c>
      <c r="C260" s="71" t="s">
        <v>2543</v>
      </c>
      <c r="D260" s="71" t="s">
        <v>233</v>
      </c>
      <c r="E260" s="71" t="s">
        <v>2726</v>
      </c>
      <c r="F260" s="71" t="s">
        <v>2826</v>
      </c>
      <c r="G260" s="71" t="s">
        <v>2599</v>
      </c>
      <c r="H260" s="71">
        <v>40</v>
      </c>
      <c r="I260" s="71" t="s">
        <v>2767</v>
      </c>
      <c r="J260" s="72">
        <v>3700000</v>
      </c>
      <c r="K260" s="73">
        <v>100000</v>
      </c>
      <c r="L260" s="73">
        <f t="shared" si="7"/>
        <v>3600000</v>
      </c>
      <c r="M260" s="74"/>
      <c r="N260" s="75">
        <f t="shared" si="8"/>
        <v>3600000</v>
      </c>
      <c r="O260" s="29"/>
    </row>
    <row r="261" spans="2:15" s="17" customFormat="1" ht="13.8">
      <c r="B261" s="71" t="s">
        <v>2834</v>
      </c>
      <c r="C261" s="71" t="s">
        <v>2543</v>
      </c>
      <c r="D261" s="71" t="s">
        <v>205</v>
      </c>
      <c r="E261" s="71" t="s">
        <v>2726</v>
      </c>
      <c r="F261" s="71" t="s">
        <v>2826</v>
      </c>
      <c r="G261" s="71" t="s">
        <v>2601</v>
      </c>
      <c r="H261" s="71">
        <v>40</v>
      </c>
      <c r="I261" s="71" t="s">
        <v>2767</v>
      </c>
      <c r="J261" s="72">
        <v>3700000</v>
      </c>
      <c r="K261" s="73">
        <v>100000</v>
      </c>
      <c r="L261" s="73">
        <f t="shared" si="7"/>
        <v>3600000</v>
      </c>
      <c r="M261" s="74"/>
      <c r="N261" s="75">
        <f t="shared" si="8"/>
        <v>3600000</v>
      </c>
      <c r="O261" s="28"/>
    </row>
    <row r="262" spans="2:15" s="17" customFormat="1" ht="13.8">
      <c r="B262" s="71" t="s">
        <v>2835</v>
      </c>
      <c r="C262" s="71" t="s">
        <v>2543</v>
      </c>
      <c r="D262" s="71" t="s">
        <v>205</v>
      </c>
      <c r="E262" s="71" t="s">
        <v>2726</v>
      </c>
      <c r="F262" s="71" t="s">
        <v>2826</v>
      </c>
      <c r="G262" s="71" t="s">
        <v>2603</v>
      </c>
      <c r="H262" s="71">
        <v>44</v>
      </c>
      <c r="I262" s="71" t="s">
        <v>2684</v>
      </c>
      <c r="J262" s="72">
        <v>3700000</v>
      </c>
      <c r="K262" s="73">
        <v>100000</v>
      </c>
      <c r="L262" s="73">
        <f t="shared" si="7"/>
        <v>3600000</v>
      </c>
      <c r="M262" s="74"/>
      <c r="N262" s="75">
        <f t="shared" si="8"/>
        <v>3600000</v>
      </c>
      <c r="O262" s="29"/>
    </row>
    <row r="263" spans="2:15" s="17" customFormat="1" ht="13.8">
      <c r="B263" s="71" t="s">
        <v>2836</v>
      </c>
      <c r="C263" s="71" t="s">
        <v>2543</v>
      </c>
      <c r="D263" s="71" t="s">
        <v>205</v>
      </c>
      <c r="E263" s="71" t="s">
        <v>2726</v>
      </c>
      <c r="F263" s="71" t="s">
        <v>2826</v>
      </c>
      <c r="G263" s="71" t="s">
        <v>2605</v>
      </c>
      <c r="H263" s="71">
        <v>44</v>
      </c>
      <c r="I263" s="71" t="s">
        <v>2684</v>
      </c>
      <c r="J263" s="72">
        <v>3700000</v>
      </c>
      <c r="K263" s="73">
        <v>100000</v>
      </c>
      <c r="L263" s="73">
        <f t="shared" si="7"/>
        <v>3600000</v>
      </c>
      <c r="M263" s="74"/>
      <c r="N263" s="75">
        <f t="shared" si="8"/>
        <v>3600000</v>
      </c>
      <c r="O263" s="28"/>
    </row>
    <row r="264" spans="2:15" s="17" customFormat="1" ht="13.8">
      <c r="B264" s="71" t="s">
        <v>2837</v>
      </c>
      <c r="C264" s="71" t="s">
        <v>2543</v>
      </c>
      <c r="D264" s="71" t="s">
        <v>233</v>
      </c>
      <c r="E264" s="71" t="s">
        <v>2726</v>
      </c>
      <c r="F264" s="71" t="s">
        <v>2826</v>
      </c>
      <c r="G264" s="71" t="s">
        <v>2607</v>
      </c>
      <c r="H264" s="71">
        <v>40</v>
      </c>
      <c r="I264" s="71" t="s">
        <v>2767</v>
      </c>
      <c r="J264" s="72">
        <v>3700000</v>
      </c>
      <c r="K264" s="73">
        <v>100000</v>
      </c>
      <c r="L264" s="73">
        <f t="shared" ref="L264:L327" si="10">J264-K264</f>
        <v>3600000</v>
      </c>
      <c r="M264" s="74"/>
      <c r="N264" s="75">
        <f t="shared" ref="N264:N327" si="11">L264-M264</f>
        <v>3600000</v>
      </c>
      <c r="O264" s="29"/>
    </row>
    <row r="265" spans="2:15" s="17" customFormat="1" ht="13.8">
      <c r="B265" s="71" t="s">
        <v>2838</v>
      </c>
      <c r="C265" s="71" t="s">
        <v>2543</v>
      </c>
      <c r="D265" s="71" t="s">
        <v>205</v>
      </c>
      <c r="E265" s="71" t="s">
        <v>2726</v>
      </c>
      <c r="F265" s="71" t="s">
        <v>2826</v>
      </c>
      <c r="G265" s="71" t="s">
        <v>2609</v>
      </c>
      <c r="H265" s="71">
        <v>40</v>
      </c>
      <c r="I265" s="71" t="s">
        <v>2767</v>
      </c>
      <c r="J265" s="72">
        <v>3700000</v>
      </c>
      <c r="K265" s="73">
        <v>100000</v>
      </c>
      <c r="L265" s="73">
        <f t="shared" si="10"/>
        <v>3600000</v>
      </c>
      <c r="M265" s="74"/>
      <c r="N265" s="75">
        <f t="shared" si="11"/>
        <v>3600000</v>
      </c>
      <c r="O265" s="28"/>
    </row>
    <row r="266" spans="2:15" s="17" customFormat="1" ht="13.8">
      <c r="B266" s="71" t="s">
        <v>2839</v>
      </c>
      <c r="C266" s="71" t="s">
        <v>2543</v>
      </c>
      <c r="D266" s="71" t="s">
        <v>205</v>
      </c>
      <c r="E266" s="71" t="s">
        <v>2726</v>
      </c>
      <c r="F266" s="71" t="s">
        <v>2826</v>
      </c>
      <c r="G266" s="71" t="s">
        <v>2611</v>
      </c>
      <c r="H266" s="71">
        <v>40</v>
      </c>
      <c r="I266" s="71" t="s">
        <v>2767</v>
      </c>
      <c r="J266" s="72">
        <v>3700000</v>
      </c>
      <c r="K266" s="73">
        <v>100000</v>
      </c>
      <c r="L266" s="73">
        <f t="shared" si="10"/>
        <v>3600000</v>
      </c>
      <c r="M266" s="74"/>
      <c r="N266" s="75">
        <f t="shared" si="11"/>
        <v>3600000</v>
      </c>
      <c r="O266" s="29"/>
    </row>
    <row r="267" spans="2:15" s="17" customFormat="1" ht="13.8">
      <c r="B267" s="71" t="s">
        <v>2840</v>
      </c>
      <c r="C267" s="71" t="s">
        <v>2543</v>
      </c>
      <c r="D267" s="71" t="s">
        <v>205</v>
      </c>
      <c r="E267" s="71" t="s">
        <v>2726</v>
      </c>
      <c r="F267" s="71" t="s">
        <v>2826</v>
      </c>
      <c r="G267" s="71" t="s">
        <v>2613</v>
      </c>
      <c r="H267" s="71">
        <v>40</v>
      </c>
      <c r="I267" s="71" t="s">
        <v>2767</v>
      </c>
      <c r="J267" s="72">
        <v>3700000</v>
      </c>
      <c r="K267" s="73">
        <v>100000</v>
      </c>
      <c r="L267" s="73">
        <f t="shared" si="10"/>
        <v>3600000</v>
      </c>
      <c r="M267" s="74"/>
      <c r="N267" s="75">
        <f t="shared" si="11"/>
        <v>3600000</v>
      </c>
      <c r="O267" s="28"/>
    </row>
    <row r="268" spans="2:15" s="17" customFormat="1" ht="13.8">
      <c r="B268" s="71" t="s">
        <v>2841</v>
      </c>
      <c r="C268" s="71" t="s">
        <v>2543</v>
      </c>
      <c r="D268" s="71" t="s">
        <v>205</v>
      </c>
      <c r="E268" s="71" t="s">
        <v>2726</v>
      </c>
      <c r="F268" s="71" t="s">
        <v>2826</v>
      </c>
      <c r="G268" s="71" t="s">
        <v>2615</v>
      </c>
      <c r="H268" s="71">
        <v>40</v>
      </c>
      <c r="I268" s="71" t="s">
        <v>2767</v>
      </c>
      <c r="J268" s="72">
        <v>3700000</v>
      </c>
      <c r="K268" s="73">
        <v>100000</v>
      </c>
      <c r="L268" s="73">
        <f t="shared" si="10"/>
        <v>3600000</v>
      </c>
      <c r="M268" s="74"/>
      <c r="N268" s="75">
        <f t="shared" si="11"/>
        <v>3600000</v>
      </c>
      <c r="O268" s="29"/>
    </row>
    <row r="269" spans="2:15" s="17" customFormat="1" ht="13.8">
      <c r="B269" s="71" t="s">
        <v>2842</v>
      </c>
      <c r="C269" s="71" t="s">
        <v>2543</v>
      </c>
      <c r="D269" s="71" t="s">
        <v>205</v>
      </c>
      <c r="E269" s="71" t="s">
        <v>2726</v>
      </c>
      <c r="F269" s="71" t="s">
        <v>2826</v>
      </c>
      <c r="G269" s="71" t="s">
        <v>2617</v>
      </c>
      <c r="H269" s="71">
        <v>40</v>
      </c>
      <c r="I269" s="71" t="s">
        <v>2767</v>
      </c>
      <c r="J269" s="72">
        <v>3700000</v>
      </c>
      <c r="K269" s="73">
        <v>100000</v>
      </c>
      <c r="L269" s="73">
        <f t="shared" si="10"/>
        <v>3600000</v>
      </c>
      <c r="M269" s="74"/>
      <c r="N269" s="75">
        <f t="shared" si="11"/>
        <v>3600000</v>
      </c>
      <c r="O269" s="28"/>
    </row>
    <row r="270" spans="2:15" s="17" customFormat="1" ht="13.8">
      <c r="B270" s="71" t="s">
        <v>2843</v>
      </c>
      <c r="C270" s="71" t="s">
        <v>2543</v>
      </c>
      <c r="D270" s="71" t="s">
        <v>205</v>
      </c>
      <c r="E270" s="71" t="s">
        <v>2726</v>
      </c>
      <c r="F270" s="71" t="s">
        <v>2826</v>
      </c>
      <c r="G270" s="71" t="s">
        <v>2619</v>
      </c>
      <c r="H270" s="71">
        <v>40</v>
      </c>
      <c r="I270" s="71" t="s">
        <v>2767</v>
      </c>
      <c r="J270" s="72">
        <v>3700000</v>
      </c>
      <c r="K270" s="73">
        <v>100000</v>
      </c>
      <c r="L270" s="73">
        <f t="shared" si="10"/>
        <v>3600000</v>
      </c>
      <c r="M270" s="74"/>
      <c r="N270" s="75">
        <f t="shared" si="11"/>
        <v>3600000</v>
      </c>
      <c r="O270" s="29"/>
    </row>
    <row r="271" spans="2:15" s="17" customFormat="1" ht="13.8">
      <c r="B271" s="71" t="s">
        <v>2844</v>
      </c>
      <c r="C271" s="71" t="s">
        <v>2543</v>
      </c>
      <c r="D271" s="71" t="s">
        <v>205</v>
      </c>
      <c r="E271" s="71" t="s">
        <v>2726</v>
      </c>
      <c r="F271" s="71" t="s">
        <v>2826</v>
      </c>
      <c r="G271" s="71" t="s">
        <v>2621</v>
      </c>
      <c r="H271" s="71">
        <v>44</v>
      </c>
      <c r="I271" s="71" t="s">
        <v>2684</v>
      </c>
      <c r="J271" s="72">
        <v>3700000</v>
      </c>
      <c r="K271" s="73">
        <v>100000</v>
      </c>
      <c r="L271" s="73">
        <f t="shared" si="10"/>
        <v>3600000</v>
      </c>
      <c r="M271" s="74"/>
      <c r="N271" s="75">
        <f t="shared" si="11"/>
        <v>3600000</v>
      </c>
      <c r="O271" s="28"/>
    </row>
    <row r="272" spans="2:15" s="17" customFormat="1" ht="13.8">
      <c r="B272" s="71" t="s">
        <v>2845</v>
      </c>
      <c r="C272" s="71" t="s">
        <v>2543</v>
      </c>
      <c r="D272" s="71" t="s">
        <v>205</v>
      </c>
      <c r="E272" s="71" t="s">
        <v>2726</v>
      </c>
      <c r="F272" s="71" t="s">
        <v>2846</v>
      </c>
      <c r="G272" s="71" t="s">
        <v>2365</v>
      </c>
      <c r="H272" s="71">
        <v>44</v>
      </c>
      <c r="I272" s="71" t="s">
        <v>2684</v>
      </c>
      <c r="J272" s="72">
        <v>3700000</v>
      </c>
      <c r="K272" s="73">
        <v>100000</v>
      </c>
      <c r="L272" s="73">
        <f t="shared" si="10"/>
        <v>3600000</v>
      </c>
      <c r="M272" s="74"/>
      <c r="N272" s="75">
        <f t="shared" si="11"/>
        <v>3600000</v>
      </c>
      <c r="O272" s="29"/>
    </row>
    <row r="273" spans="2:15" s="17" customFormat="1" ht="13.8">
      <c r="B273" s="71" t="s">
        <v>2847</v>
      </c>
      <c r="C273" s="71" t="s">
        <v>2543</v>
      </c>
      <c r="D273" s="71" t="s">
        <v>205</v>
      </c>
      <c r="E273" s="71" t="s">
        <v>2726</v>
      </c>
      <c r="F273" s="71" t="s">
        <v>2846</v>
      </c>
      <c r="G273" s="71" t="s">
        <v>2368</v>
      </c>
      <c r="H273" s="71">
        <v>40</v>
      </c>
      <c r="I273" s="71" t="s">
        <v>2767</v>
      </c>
      <c r="J273" s="72">
        <v>3700000</v>
      </c>
      <c r="K273" s="73">
        <v>100000</v>
      </c>
      <c r="L273" s="73">
        <f t="shared" si="10"/>
        <v>3600000</v>
      </c>
      <c r="M273" s="74"/>
      <c r="N273" s="75">
        <f t="shared" si="11"/>
        <v>3600000</v>
      </c>
      <c r="O273" s="28"/>
    </row>
    <row r="274" spans="2:15" s="17" customFormat="1" ht="13.8">
      <c r="B274" s="71" t="s">
        <v>2848</v>
      </c>
      <c r="C274" s="71" t="s">
        <v>2543</v>
      </c>
      <c r="D274" s="71" t="s">
        <v>205</v>
      </c>
      <c r="E274" s="71" t="s">
        <v>2726</v>
      </c>
      <c r="F274" s="71" t="s">
        <v>2846</v>
      </c>
      <c r="G274" s="71" t="s">
        <v>2377</v>
      </c>
      <c r="H274" s="71">
        <v>40</v>
      </c>
      <c r="I274" s="71" t="s">
        <v>2767</v>
      </c>
      <c r="J274" s="72">
        <v>3700000</v>
      </c>
      <c r="K274" s="73">
        <v>100000</v>
      </c>
      <c r="L274" s="73">
        <f t="shared" si="10"/>
        <v>3600000</v>
      </c>
      <c r="M274" s="74"/>
      <c r="N274" s="75">
        <f t="shared" si="11"/>
        <v>3600000</v>
      </c>
      <c r="O274" s="29"/>
    </row>
    <row r="275" spans="2:15" s="17" customFormat="1" ht="13.8">
      <c r="B275" s="71" t="s">
        <v>2849</v>
      </c>
      <c r="C275" s="71" t="s">
        <v>2543</v>
      </c>
      <c r="D275" s="71" t="s">
        <v>233</v>
      </c>
      <c r="E275" s="71" t="s">
        <v>2726</v>
      </c>
      <c r="F275" s="71" t="s">
        <v>2846</v>
      </c>
      <c r="G275" s="71" t="s">
        <v>2379</v>
      </c>
      <c r="H275" s="71">
        <v>40</v>
      </c>
      <c r="I275" s="71" t="s">
        <v>2767</v>
      </c>
      <c r="J275" s="72">
        <v>3700000</v>
      </c>
      <c r="K275" s="73">
        <v>100000</v>
      </c>
      <c r="L275" s="73">
        <f t="shared" si="10"/>
        <v>3600000</v>
      </c>
      <c r="M275" s="74"/>
      <c r="N275" s="75">
        <f t="shared" si="11"/>
        <v>3600000</v>
      </c>
      <c r="O275" s="28"/>
    </row>
    <row r="276" spans="2:15" s="17" customFormat="1" ht="13.8">
      <c r="B276" s="71" t="s">
        <v>2850</v>
      </c>
      <c r="C276" s="71" t="s">
        <v>2543</v>
      </c>
      <c r="D276" s="71" t="s">
        <v>205</v>
      </c>
      <c r="E276" s="71" t="s">
        <v>2726</v>
      </c>
      <c r="F276" s="71" t="s">
        <v>2846</v>
      </c>
      <c r="G276" s="71" t="s">
        <v>2370</v>
      </c>
      <c r="H276" s="71">
        <v>40</v>
      </c>
      <c r="I276" s="71" t="s">
        <v>2767</v>
      </c>
      <c r="J276" s="72">
        <v>3700000</v>
      </c>
      <c r="K276" s="73">
        <v>100000</v>
      </c>
      <c r="L276" s="73">
        <f t="shared" si="10"/>
        <v>3600000</v>
      </c>
      <c r="M276" s="74"/>
      <c r="N276" s="75">
        <f t="shared" si="11"/>
        <v>3600000</v>
      </c>
      <c r="O276" s="29"/>
    </row>
    <row r="277" spans="2:15" s="17" customFormat="1" ht="13.8">
      <c r="B277" s="71" t="s">
        <v>2851</v>
      </c>
      <c r="C277" s="71" t="s">
        <v>2543</v>
      </c>
      <c r="D277" s="71" t="s">
        <v>205</v>
      </c>
      <c r="E277" s="71" t="s">
        <v>2726</v>
      </c>
      <c r="F277" s="71" t="s">
        <v>2846</v>
      </c>
      <c r="G277" s="71" t="s">
        <v>2372</v>
      </c>
      <c r="H277" s="71">
        <v>40</v>
      </c>
      <c r="I277" s="71" t="s">
        <v>2767</v>
      </c>
      <c r="J277" s="72">
        <v>3700000</v>
      </c>
      <c r="K277" s="73">
        <v>100000</v>
      </c>
      <c r="L277" s="73">
        <f t="shared" si="10"/>
        <v>3600000</v>
      </c>
      <c r="M277" s="74"/>
      <c r="N277" s="75">
        <f t="shared" si="11"/>
        <v>3600000</v>
      </c>
      <c r="O277" s="28"/>
    </row>
    <row r="278" spans="2:15" s="17" customFormat="1" ht="13.8">
      <c r="B278" s="71" t="s">
        <v>2852</v>
      </c>
      <c r="C278" s="71" t="s">
        <v>2543</v>
      </c>
      <c r="D278" s="71" t="s">
        <v>205</v>
      </c>
      <c r="E278" s="71" t="s">
        <v>2726</v>
      </c>
      <c r="F278" s="71" t="s">
        <v>2846</v>
      </c>
      <c r="G278" s="71" t="s">
        <v>2597</v>
      </c>
      <c r="H278" s="71">
        <v>40</v>
      </c>
      <c r="I278" s="71" t="s">
        <v>2767</v>
      </c>
      <c r="J278" s="72">
        <v>3700000</v>
      </c>
      <c r="K278" s="73">
        <v>100000</v>
      </c>
      <c r="L278" s="73">
        <f t="shared" si="10"/>
        <v>3600000</v>
      </c>
      <c r="M278" s="74"/>
      <c r="N278" s="75">
        <f t="shared" si="11"/>
        <v>3600000</v>
      </c>
      <c r="O278" s="29"/>
    </row>
    <row r="279" spans="2:15" s="17" customFormat="1" ht="13.8">
      <c r="B279" s="71" t="s">
        <v>2853</v>
      </c>
      <c r="C279" s="71" t="s">
        <v>2543</v>
      </c>
      <c r="D279" s="71" t="s">
        <v>205</v>
      </c>
      <c r="E279" s="71" t="s">
        <v>2726</v>
      </c>
      <c r="F279" s="71" t="s">
        <v>2846</v>
      </c>
      <c r="G279" s="71" t="s">
        <v>2599</v>
      </c>
      <c r="H279" s="71">
        <v>40</v>
      </c>
      <c r="I279" s="71" t="s">
        <v>2767</v>
      </c>
      <c r="J279" s="72">
        <v>3700000</v>
      </c>
      <c r="K279" s="73">
        <v>100000</v>
      </c>
      <c r="L279" s="73">
        <f t="shared" si="10"/>
        <v>3600000</v>
      </c>
      <c r="M279" s="74"/>
      <c r="N279" s="75">
        <f t="shared" si="11"/>
        <v>3600000</v>
      </c>
      <c r="O279" s="28"/>
    </row>
    <row r="280" spans="2:15" s="17" customFormat="1" ht="13.8">
      <c r="B280" s="71" t="s">
        <v>2854</v>
      </c>
      <c r="C280" s="71" t="s">
        <v>2543</v>
      </c>
      <c r="D280" s="71" t="s">
        <v>205</v>
      </c>
      <c r="E280" s="71" t="s">
        <v>2726</v>
      </c>
      <c r="F280" s="71" t="s">
        <v>2846</v>
      </c>
      <c r="G280" s="71" t="s">
        <v>2601</v>
      </c>
      <c r="H280" s="71">
        <v>40</v>
      </c>
      <c r="I280" s="71" t="s">
        <v>2767</v>
      </c>
      <c r="J280" s="72">
        <v>3700000</v>
      </c>
      <c r="K280" s="73">
        <v>100000</v>
      </c>
      <c r="L280" s="73">
        <f t="shared" si="10"/>
        <v>3600000</v>
      </c>
      <c r="M280" s="74"/>
      <c r="N280" s="75">
        <f t="shared" si="11"/>
        <v>3600000</v>
      </c>
      <c r="O280" s="29"/>
    </row>
    <row r="281" spans="2:15" s="17" customFormat="1" ht="13.8">
      <c r="B281" s="71" t="s">
        <v>2855</v>
      </c>
      <c r="C281" s="71" t="s">
        <v>2543</v>
      </c>
      <c r="D281" s="71" t="s">
        <v>205</v>
      </c>
      <c r="E281" s="71" t="s">
        <v>2726</v>
      </c>
      <c r="F281" s="71" t="s">
        <v>2846</v>
      </c>
      <c r="G281" s="71" t="s">
        <v>2603</v>
      </c>
      <c r="H281" s="71">
        <v>44</v>
      </c>
      <c r="I281" s="71" t="s">
        <v>2684</v>
      </c>
      <c r="J281" s="72">
        <v>3700000</v>
      </c>
      <c r="K281" s="73">
        <v>100000</v>
      </c>
      <c r="L281" s="73">
        <f t="shared" si="10"/>
        <v>3600000</v>
      </c>
      <c r="M281" s="74"/>
      <c r="N281" s="75">
        <f t="shared" si="11"/>
        <v>3600000</v>
      </c>
      <c r="O281" s="28"/>
    </row>
    <row r="282" spans="2:15" s="17" customFormat="1" ht="13.8">
      <c r="B282" s="71" t="s">
        <v>2856</v>
      </c>
      <c r="C282" s="71" t="s">
        <v>2543</v>
      </c>
      <c r="D282" s="71" t="s">
        <v>233</v>
      </c>
      <c r="E282" s="71" t="s">
        <v>2726</v>
      </c>
      <c r="F282" s="71" t="s">
        <v>2846</v>
      </c>
      <c r="G282" s="71" t="s">
        <v>2605</v>
      </c>
      <c r="H282" s="71">
        <v>44</v>
      </c>
      <c r="I282" s="71" t="s">
        <v>2684</v>
      </c>
      <c r="J282" s="72">
        <v>3700000</v>
      </c>
      <c r="K282" s="73">
        <v>100000</v>
      </c>
      <c r="L282" s="73">
        <f t="shared" si="10"/>
        <v>3600000</v>
      </c>
      <c r="M282" s="74"/>
      <c r="N282" s="75">
        <f t="shared" si="11"/>
        <v>3600000</v>
      </c>
      <c r="O282" s="29"/>
    </row>
    <row r="283" spans="2:15" s="17" customFormat="1" ht="13.8">
      <c r="B283" s="71" t="s">
        <v>2857</v>
      </c>
      <c r="C283" s="71" t="s">
        <v>2543</v>
      </c>
      <c r="D283" s="71" t="s">
        <v>972</v>
      </c>
      <c r="E283" s="71" t="s">
        <v>2726</v>
      </c>
      <c r="F283" s="71" t="s">
        <v>2846</v>
      </c>
      <c r="G283" s="71" t="s">
        <v>2607</v>
      </c>
      <c r="H283" s="71">
        <v>40</v>
      </c>
      <c r="I283" s="71" t="s">
        <v>2767</v>
      </c>
      <c r="J283" s="72">
        <v>3700000</v>
      </c>
      <c r="K283" s="73">
        <v>100000</v>
      </c>
      <c r="L283" s="73">
        <f t="shared" si="10"/>
        <v>3600000</v>
      </c>
      <c r="M283" s="74"/>
      <c r="N283" s="75">
        <f t="shared" si="11"/>
        <v>3600000</v>
      </c>
      <c r="O283" s="28"/>
    </row>
    <row r="284" spans="2:15" s="17" customFormat="1" ht="13.8">
      <c r="B284" s="71" t="s">
        <v>2858</v>
      </c>
      <c r="C284" s="71" t="s">
        <v>2543</v>
      </c>
      <c r="D284" s="71" t="s">
        <v>205</v>
      </c>
      <c r="E284" s="71" t="s">
        <v>2726</v>
      </c>
      <c r="F284" s="71" t="s">
        <v>2846</v>
      </c>
      <c r="G284" s="71" t="s">
        <v>2609</v>
      </c>
      <c r="H284" s="71">
        <v>40</v>
      </c>
      <c r="I284" s="71" t="s">
        <v>2767</v>
      </c>
      <c r="J284" s="72">
        <v>3700000</v>
      </c>
      <c r="K284" s="73">
        <v>100000</v>
      </c>
      <c r="L284" s="73">
        <f t="shared" si="10"/>
        <v>3600000</v>
      </c>
      <c r="M284" s="74"/>
      <c r="N284" s="75">
        <f t="shared" si="11"/>
        <v>3600000</v>
      </c>
      <c r="O284" s="29"/>
    </row>
    <row r="285" spans="2:15" s="17" customFormat="1" ht="13.8">
      <c r="B285" s="71" t="s">
        <v>2859</v>
      </c>
      <c r="C285" s="71" t="s">
        <v>2543</v>
      </c>
      <c r="D285" s="71" t="s">
        <v>233</v>
      </c>
      <c r="E285" s="71" t="s">
        <v>2726</v>
      </c>
      <c r="F285" s="71" t="s">
        <v>2846</v>
      </c>
      <c r="G285" s="71" t="s">
        <v>2611</v>
      </c>
      <c r="H285" s="71">
        <v>40</v>
      </c>
      <c r="I285" s="71" t="s">
        <v>2767</v>
      </c>
      <c r="J285" s="72">
        <v>3700000</v>
      </c>
      <c r="K285" s="73">
        <v>100000</v>
      </c>
      <c r="L285" s="73">
        <f t="shared" si="10"/>
        <v>3600000</v>
      </c>
      <c r="M285" s="74"/>
      <c r="N285" s="75">
        <f t="shared" si="11"/>
        <v>3600000</v>
      </c>
      <c r="O285" s="28"/>
    </row>
    <row r="286" spans="2:15" s="17" customFormat="1" ht="13.8">
      <c r="B286" s="71" t="s">
        <v>2860</v>
      </c>
      <c r="C286" s="71" t="s">
        <v>2543</v>
      </c>
      <c r="D286" s="71" t="s">
        <v>205</v>
      </c>
      <c r="E286" s="71" t="s">
        <v>2726</v>
      </c>
      <c r="F286" s="71" t="s">
        <v>2846</v>
      </c>
      <c r="G286" s="71" t="s">
        <v>2613</v>
      </c>
      <c r="H286" s="71">
        <v>40</v>
      </c>
      <c r="I286" s="71" t="s">
        <v>2767</v>
      </c>
      <c r="J286" s="72">
        <v>3700000</v>
      </c>
      <c r="K286" s="73">
        <v>100000</v>
      </c>
      <c r="L286" s="73">
        <f t="shared" si="10"/>
        <v>3600000</v>
      </c>
      <c r="M286" s="74"/>
      <c r="N286" s="75">
        <f t="shared" si="11"/>
        <v>3600000</v>
      </c>
      <c r="O286" s="29"/>
    </row>
    <row r="287" spans="2:15" s="17" customFormat="1" ht="13.8">
      <c r="B287" s="71" t="s">
        <v>2861</v>
      </c>
      <c r="C287" s="71" t="s">
        <v>2543</v>
      </c>
      <c r="D287" s="71" t="s">
        <v>205</v>
      </c>
      <c r="E287" s="71" t="s">
        <v>2726</v>
      </c>
      <c r="F287" s="71" t="s">
        <v>2846</v>
      </c>
      <c r="G287" s="71" t="s">
        <v>2615</v>
      </c>
      <c r="H287" s="71">
        <v>40</v>
      </c>
      <c r="I287" s="71" t="s">
        <v>2767</v>
      </c>
      <c r="J287" s="72">
        <v>3700000</v>
      </c>
      <c r="K287" s="73">
        <v>100000</v>
      </c>
      <c r="L287" s="73">
        <f t="shared" si="10"/>
        <v>3600000</v>
      </c>
      <c r="M287" s="74"/>
      <c r="N287" s="75">
        <f t="shared" si="11"/>
        <v>3600000</v>
      </c>
      <c r="O287" s="28"/>
    </row>
    <row r="288" spans="2:15" s="17" customFormat="1" ht="13.8">
      <c r="B288" s="71" t="s">
        <v>2862</v>
      </c>
      <c r="C288" s="71" t="s">
        <v>2543</v>
      </c>
      <c r="D288" s="71" t="s">
        <v>205</v>
      </c>
      <c r="E288" s="71" t="s">
        <v>2726</v>
      </c>
      <c r="F288" s="71" t="s">
        <v>2846</v>
      </c>
      <c r="G288" s="71" t="s">
        <v>2617</v>
      </c>
      <c r="H288" s="71">
        <v>40</v>
      </c>
      <c r="I288" s="71" t="s">
        <v>2767</v>
      </c>
      <c r="J288" s="72">
        <v>3700000</v>
      </c>
      <c r="K288" s="73">
        <v>100000</v>
      </c>
      <c r="L288" s="73">
        <f t="shared" si="10"/>
        <v>3600000</v>
      </c>
      <c r="M288" s="74"/>
      <c r="N288" s="75">
        <f t="shared" si="11"/>
        <v>3600000</v>
      </c>
      <c r="O288" s="29"/>
    </row>
    <row r="289" spans="2:15" s="17" customFormat="1" ht="13.8">
      <c r="B289" s="71" t="s">
        <v>2863</v>
      </c>
      <c r="C289" s="71" t="s">
        <v>2543</v>
      </c>
      <c r="D289" s="71" t="s">
        <v>233</v>
      </c>
      <c r="E289" s="71" t="s">
        <v>2726</v>
      </c>
      <c r="F289" s="71" t="s">
        <v>2846</v>
      </c>
      <c r="G289" s="71" t="s">
        <v>2619</v>
      </c>
      <c r="H289" s="71">
        <v>40</v>
      </c>
      <c r="I289" s="71" t="s">
        <v>2767</v>
      </c>
      <c r="J289" s="72">
        <v>3700000</v>
      </c>
      <c r="K289" s="73">
        <v>100000</v>
      </c>
      <c r="L289" s="73">
        <f t="shared" si="10"/>
        <v>3600000</v>
      </c>
      <c r="M289" s="74"/>
      <c r="N289" s="75">
        <f t="shared" si="11"/>
        <v>3600000</v>
      </c>
      <c r="O289" s="28"/>
    </row>
    <row r="290" spans="2:15" s="17" customFormat="1" ht="13.8">
      <c r="B290" s="71" t="s">
        <v>2864</v>
      </c>
      <c r="C290" s="71" t="s">
        <v>2543</v>
      </c>
      <c r="D290" s="71" t="s">
        <v>205</v>
      </c>
      <c r="E290" s="71" t="s">
        <v>2726</v>
      </c>
      <c r="F290" s="71" t="s">
        <v>2846</v>
      </c>
      <c r="G290" s="71" t="s">
        <v>2621</v>
      </c>
      <c r="H290" s="71">
        <v>44</v>
      </c>
      <c r="I290" s="71" t="s">
        <v>2684</v>
      </c>
      <c r="J290" s="72">
        <v>3700000</v>
      </c>
      <c r="K290" s="73">
        <v>100000</v>
      </c>
      <c r="L290" s="73">
        <f t="shared" si="10"/>
        <v>3600000</v>
      </c>
      <c r="M290" s="74"/>
      <c r="N290" s="75">
        <f t="shared" si="11"/>
        <v>3600000</v>
      </c>
      <c r="O290" s="29"/>
    </row>
    <row r="291" spans="2:15" s="17" customFormat="1" ht="13.8">
      <c r="B291" s="71" t="s">
        <v>2865</v>
      </c>
      <c r="C291" s="71" t="s">
        <v>2543</v>
      </c>
      <c r="D291" s="71" t="s">
        <v>205</v>
      </c>
      <c r="E291" s="71" t="s">
        <v>2726</v>
      </c>
      <c r="F291" s="71" t="s">
        <v>2727</v>
      </c>
      <c r="G291" s="71">
        <v>1</v>
      </c>
      <c r="H291" s="71">
        <v>34.53</v>
      </c>
      <c r="I291" s="71" t="s">
        <v>2866</v>
      </c>
      <c r="J291" s="72">
        <v>5900000</v>
      </c>
      <c r="K291" s="73"/>
      <c r="L291" s="73">
        <f t="shared" si="10"/>
        <v>5900000</v>
      </c>
      <c r="M291" s="74">
        <f>L291*12/112</f>
        <v>632142.85714285716</v>
      </c>
      <c r="N291" s="75">
        <f t="shared" si="11"/>
        <v>5267857.1428571427</v>
      </c>
      <c r="O291" s="28"/>
    </row>
    <row r="292" spans="2:15" s="17" customFormat="1" ht="13.8">
      <c r="B292" s="71" t="s">
        <v>2867</v>
      </c>
      <c r="C292" s="71" t="s">
        <v>2543</v>
      </c>
      <c r="D292" s="71" t="s">
        <v>205</v>
      </c>
      <c r="E292" s="71" t="s">
        <v>2726</v>
      </c>
      <c r="F292" s="71" t="s">
        <v>2727</v>
      </c>
      <c r="G292" s="71">
        <v>2</v>
      </c>
      <c r="H292" s="71">
        <v>33.57</v>
      </c>
      <c r="I292" s="71" t="s">
        <v>2866</v>
      </c>
      <c r="J292" s="72">
        <v>5900000</v>
      </c>
      <c r="K292" s="73"/>
      <c r="L292" s="73">
        <f t="shared" si="10"/>
        <v>5900000</v>
      </c>
      <c r="M292" s="74">
        <f t="shared" ref="M292:M295" si="12">L292*12/112</f>
        <v>632142.85714285716</v>
      </c>
      <c r="N292" s="75">
        <f t="shared" si="11"/>
        <v>5267857.1428571427</v>
      </c>
      <c r="O292" s="29"/>
    </row>
    <row r="293" spans="2:15" s="17" customFormat="1" ht="13.8">
      <c r="B293" s="71" t="s">
        <v>2868</v>
      </c>
      <c r="C293" s="71" t="s">
        <v>2543</v>
      </c>
      <c r="D293" s="71" t="s">
        <v>205</v>
      </c>
      <c r="E293" s="71" t="s">
        <v>2726</v>
      </c>
      <c r="F293" s="71" t="s">
        <v>2727</v>
      </c>
      <c r="G293" s="71">
        <v>3</v>
      </c>
      <c r="H293" s="71">
        <v>33.57</v>
      </c>
      <c r="I293" s="71" t="s">
        <v>2866</v>
      </c>
      <c r="J293" s="72">
        <v>5900000</v>
      </c>
      <c r="K293" s="73"/>
      <c r="L293" s="73">
        <f t="shared" si="10"/>
        <v>5900000</v>
      </c>
      <c r="M293" s="74">
        <f t="shared" si="12"/>
        <v>632142.85714285716</v>
      </c>
      <c r="N293" s="75">
        <f t="shared" si="11"/>
        <v>5267857.1428571427</v>
      </c>
      <c r="O293" s="28"/>
    </row>
    <row r="294" spans="2:15" s="17" customFormat="1" ht="13.8">
      <c r="B294" s="71" t="s">
        <v>2869</v>
      </c>
      <c r="C294" s="71" t="s">
        <v>2543</v>
      </c>
      <c r="D294" s="71" t="s">
        <v>205</v>
      </c>
      <c r="E294" s="71" t="s">
        <v>2726</v>
      </c>
      <c r="F294" s="71" t="s">
        <v>2727</v>
      </c>
      <c r="G294" s="71">
        <v>4</v>
      </c>
      <c r="H294" s="71">
        <v>33.57</v>
      </c>
      <c r="I294" s="71" t="s">
        <v>2866</v>
      </c>
      <c r="J294" s="72">
        <v>5900000</v>
      </c>
      <c r="K294" s="73"/>
      <c r="L294" s="73">
        <f t="shared" si="10"/>
        <v>5900000</v>
      </c>
      <c r="M294" s="74">
        <f t="shared" si="12"/>
        <v>632142.85714285716</v>
      </c>
      <c r="N294" s="75">
        <f t="shared" si="11"/>
        <v>5267857.1428571427</v>
      </c>
      <c r="O294" s="29"/>
    </row>
    <row r="295" spans="2:15" s="17" customFormat="1" ht="13.8">
      <c r="B295" s="71" t="s">
        <v>2870</v>
      </c>
      <c r="C295" s="71" t="s">
        <v>2543</v>
      </c>
      <c r="D295" s="71" t="s">
        <v>205</v>
      </c>
      <c r="E295" s="71" t="s">
        <v>2726</v>
      </c>
      <c r="F295" s="71" t="s">
        <v>2727</v>
      </c>
      <c r="G295" s="71">
        <v>5</v>
      </c>
      <c r="H295" s="71">
        <v>32.65</v>
      </c>
      <c r="I295" s="71" t="s">
        <v>2866</v>
      </c>
      <c r="J295" s="72">
        <v>5900000</v>
      </c>
      <c r="K295" s="73"/>
      <c r="L295" s="73">
        <f t="shared" si="10"/>
        <v>5900000</v>
      </c>
      <c r="M295" s="74">
        <f t="shared" si="12"/>
        <v>632142.85714285716</v>
      </c>
      <c r="N295" s="75">
        <f t="shared" si="11"/>
        <v>5267857.1428571427</v>
      </c>
      <c r="O295" s="28"/>
    </row>
    <row r="296" spans="2:15" s="17" customFormat="1" ht="13.8">
      <c r="B296" s="71" t="s">
        <v>2871</v>
      </c>
      <c r="C296" s="71" t="s">
        <v>2543</v>
      </c>
      <c r="D296" s="71" t="s">
        <v>233</v>
      </c>
      <c r="E296" s="71" t="s">
        <v>2872</v>
      </c>
      <c r="F296" s="71" t="s">
        <v>2873</v>
      </c>
      <c r="G296" s="71">
        <v>1</v>
      </c>
      <c r="H296" s="71">
        <v>12.5</v>
      </c>
      <c r="I296" s="71" t="s">
        <v>2546</v>
      </c>
      <c r="J296" s="72">
        <v>1010000</v>
      </c>
      <c r="K296" s="73"/>
      <c r="L296" s="73">
        <f t="shared" si="10"/>
        <v>1010000</v>
      </c>
      <c r="M296" s="74"/>
      <c r="N296" s="75">
        <f t="shared" si="11"/>
        <v>1010000</v>
      </c>
      <c r="O296" s="29"/>
    </row>
    <row r="297" spans="2:15" s="17" customFormat="1" ht="13.8">
      <c r="B297" s="71" t="s">
        <v>2874</v>
      </c>
      <c r="C297" s="71" t="s">
        <v>2543</v>
      </c>
      <c r="D297" s="71" t="s">
        <v>233</v>
      </c>
      <c r="E297" s="71" t="s">
        <v>2872</v>
      </c>
      <c r="F297" s="71" t="s">
        <v>2873</v>
      </c>
      <c r="G297" s="71">
        <v>2</v>
      </c>
      <c r="H297" s="71">
        <v>12.5</v>
      </c>
      <c r="I297" s="71" t="s">
        <v>2546</v>
      </c>
      <c r="J297" s="72">
        <v>1010000</v>
      </c>
      <c r="K297" s="73"/>
      <c r="L297" s="73">
        <f t="shared" si="10"/>
        <v>1010000</v>
      </c>
      <c r="M297" s="74"/>
      <c r="N297" s="75">
        <f t="shared" si="11"/>
        <v>1010000</v>
      </c>
      <c r="O297" s="28"/>
    </row>
    <row r="298" spans="2:15" s="17" customFormat="1" ht="13.8">
      <c r="B298" s="71" t="s">
        <v>2875</v>
      </c>
      <c r="C298" s="71" t="s">
        <v>2543</v>
      </c>
      <c r="D298" s="71" t="s">
        <v>233</v>
      </c>
      <c r="E298" s="71" t="s">
        <v>2872</v>
      </c>
      <c r="F298" s="71" t="s">
        <v>2873</v>
      </c>
      <c r="G298" s="71">
        <v>3</v>
      </c>
      <c r="H298" s="71">
        <v>12.5</v>
      </c>
      <c r="I298" s="71" t="s">
        <v>2546</v>
      </c>
      <c r="J298" s="72">
        <v>1010000</v>
      </c>
      <c r="K298" s="73"/>
      <c r="L298" s="73">
        <f t="shared" si="10"/>
        <v>1010000</v>
      </c>
      <c r="M298" s="74"/>
      <c r="N298" s="75">
        <f t="shared" si="11"/>
        <v>1010000</v>
      </c>
      <c r="O298" s="29"/>
    </row>
    <row r="299" spans="2:15" s="17" customFormat="1" ht="13.8">
      <c r="B299" s="71" t="s">
        <v>2876</v>
      </c>
      <c r="C299" s="71" t="s">
        <v>2543</v>
      </c>
      <c r="D299" s="71" t="s">
        <v>233</v>
      </c>
      <c r="E299" s="71" t="s">
        <v>2872</v>
      </c>
      <c r="F299" s="71" t="s">
        <v>2873</v>
      </c>
      <c r="G299" s="71">
        <v>4</v>
      </c>
      <c r="H299" s="71">
        <v>12.5</v>
      </c>
      <c r="I299" s="71" t="s">
        <v>2546</v>
      </c>
      <c r="J299" s="72">
        <v>1010000</v>
      </c>
      <c r="K299" s="73"/>
      <c r="L299" s="73">
        <f t="shared" si="10"/>
        <v>1010000</v>
      </c>
      <c r="M299" s="74"/>
      <c r="N299" s="75">
        <f t="shared" si="11"/>
        <v>1010000</v>
      </c>
      <c r="O299" s="28"/>
    </row>
    <row r="300" spans="2:15" s="17" customFormat="1" ht="13.8">
      <c r="B300" s="71" t="s">
        <v>2877</v>
      </c>
      <c r="C300" s="71" t="s">
        <v>2543</v>
      </c>
      <c r="D300" s="71" t="s">
        <v>205</v>
      </c>
      <c r="E300" s="71" t="s">
        <v>2872</v>
      </c>
      <c r="F300" s="71" t="s">
        <v>2873</v>
      </c>
      <c r="G300" s="71">
        <v>5</v>
      </c>
      <c r="H300" s="71">
        <v>12.5</v>
      </c>
      <c r="I300" s="71" t="s">
        <v>2546</v>
      </c>
      <c r="J300" s="72">
        <v>1010000</v>
      </c>
      <c r="K300" s="73"/>
      <c r="L300" s="73">
        <f t="shared" si="10"/>
        <v>1010000</v>
      </c>
      <c r="M300" s="74"/>
      <c r="N300" s="75">
        <f t="shared" si="11"/>
        <v>1010000</v>
      </c>
      <c r="O300" s="29"/>
    </row>
    <row r="301" spans="2:15" s="17" customFormat="1" ht="13.8">
      <c r="B301" s="71" t="s">
        <v>2878</v>
      </c>
      <c r="C301" s="71" t="s">
        <v>2543</v>
      </c>
      <c r="D301" s="71" t="s">
        <v>233</v>
      </c>
      <c r="E301" s="71" t="s">
        <v>2872</v>
      </c>
      <c r="F301" s="71" t="s">
        <v>2873</v>
      </c>
      <c r="G301" s="71">
        <v>6</v>
      </c>
      <c r="H301" s="71">
        <v>12.5</v>
      </c>
      <c r="I301" s="71" t="s">
        <v>2546</v>
      </c>
      <c r="J301" s="72">
        <v>1010000</v>
      </c>
      <c r="K301" s="73"/>
      <c r="L301" s="73">
        <f t="shared" si="10"/>
        <v>1010000</v>
      </c>
      <c r="M301" s="74"/>
      <c r="N301" s="75">
        <f t="shared" si="11"/>
        <v>1010000</v>
      </c>
      <c r="O301" s="28"/>
    </row>
    <row r="302" spans="2:15" s="17" customFormat="1" ht="13.8">
      <c r="B302" s="71" t="s">
        <v>2879</v>
      </c>
      <c r="C302" s="71" t="s">
        <v>2543</v>
      </c>
      <c r="D302" s="71" t="s">
        <v>233</v>
      </c>
      <c r="E302" s="71" t="s">
        <v>2872</v>
      </c>
      <c r="F302" s="71" t="s">
        <v>2873</v>
      </c>
      <c r="G302" s="71">
        <v>7</v>
      </c>
      <c r="H302" s="71">
        <v>12.5</v>
      </c>
      <c r="I302" s="71" t="s">
        <v>2546</v>
      </c>
      <c r="J302" s="72">
        <v>1010000</v>
      </c>
      <c r="K302" s="73"/>
      <c r="L302" s="73">
        <f t="shared" si="10"/>
        <v>1010000</v>
      </c>
      <c r="M302" s="74"/>
      <c r="N302" s="75">
        <f t="shared" si="11"/>
        <v>1010000</v>
      </c>
      <c r="O302" s="29"/>
    </row>
    <row r="303" spans="2:15" s="17" customFormat="1" ht="13.8">
      <c r="B303" s="71" t="s">
        <v>2880</v>
      </c>
      <c r="C303" s="71" t="s">
        <v>2543</v>
      </c>
      <c r="D303" s="71" t="s">
        <v>233</v>
      </c>
      <c r="E303" s="71" t="s">
        <v>2872</v>
      </c>
      <c r="F303" s="71" t="s">
        <v>2873</v>
      </c>
      <c r="G303" s="71">
        <v>8</v>
      </c>
      <c r="H303" s="71">
        <v>12.5</v>
      </c>
      <c r="I303" s="71" t="s">
        <v>2546</v>
      </c>
      <c r="J303" s="72">
        <v>1010000</v>
      </c>
      <c r="K303" s="73"/>
      <c r="L303" s="73">
        <f t="shared" si="10"/>
        <v>1010000</v>
      </c>
      <c r="M303" s="74"/>
      <c r="N303" s="75">
        <f t="shared" si="11"/>
        <v>1010000</v>
      </c>
      <c r="O303" s="28"/>
    </row>
    <row r="304" spans="2:15" s="17" customFormat="1" ht="13.8">
      <c r="B304" s="71" t="s">
        <v>2881</v>
      </c>
      <c r="C304" s="71" t="s">
        <v>2543</v>
      </c>
      <c r="D304" s="71" t="s">
        <v>233</v>
      </c>
      <c r="E304" s="71" t="s">
        <v>2872</v>
      </c>
      <c r="F304" s="71" t="s">
        <v>2873</v>
      </c>
      <c r="G304" s="71">
        <v>9</v>
      </c>
      <c r="H304" s="71">
        <v>12.5</v>
      </c>
      <c r="I304" s="71" t="s">
        <v>2546</v>
      </c>
      <c r="J304" s="72">
        <v>1010000</v>
      </c>
      <c r="K304" s="73"/>
      <c r="L304" s="73">
        <f t="shared" si="10"/>
        <v>1010000</v>
      </c>
      <c r="M304" s="74"/>
      <c r="N304" s="75">
        <f t="shared" si="11"/>
        <v>1010000</v>
      </c>
      <c r="O304" s="29"/>
    </row>
    <row r="305" spans="2:15" s="17" customFormat="1" ht="13.8">
      <c r="B305" s="71" t="s">
        <v>2882</v>
      </c>
      <c r="C305" s="71" t="s">
        <v>2543</v>
      </c>
      <c r="D305" s="71" t="s">
        <v>233</v>
      </c>
      <c r="E305" s="71" t="s">
        <v>2872</v>
      </c>
      <c r="F305" s="71" t="s">
        <v>2873</v>
      </c>
      <c r="G305" s="71">
        <v>10</v>
      </c>
      <c r="H305" s="71">
        <v>12.5</v>
      </c>
      <c r="I305" s="71" t="s">
        <v>2546</v>
      </c>
      <c r="J305" s="72">
        <v>1010000</v>
      </c>
      <c r="K305" s="73"/>
      <c r="L305" s="73">
        <f t="shared" si="10"/>
        <v>1010000</v>
      </c>
      <c r="M305" s="74"/>
      <c r="N305" s="75">
        <f t="shared" si="11"/>
        <v>1010000</v>
      </c>
      <c r="O305" s="28"/>
    </row>
    <row r="306" spans="2:15" s="17" customFormat="1" ht="13.8">
      <c r="B306" s="71" t="s">
        <v>2883</v>
      </c>
      <c r="C306" s="71" t="s">
        <v>2543</v>
      </c>
      <c r="D306" s="71" t="s">
        <v>233</v>
      </c>
      <c r="E306" s="71" t="s">
        <v>2872</v>
      </c>
      <c r="F306" s="71" t="s">
        <v>2873</v>
      </c>
      <c r="G306" s="71">
        <v>11</v>
      </c>
      <c r="H306" s="71">
        <v>12.5</v>
      </c>
      <c r="I306" s="71" t="s">
        <v>2546</v>
      </c>
      <c r="J306" s="72">
        <v>1010000</v>
      </c>
      <c r="K306" s="73"/>
      <c r="L306" s="73">
        <f t="shared" si="10"/>
        <v>1010000</v>
      </c>
      <c r="M306" s="74"/>
      <c r="N306" s="75">
        <f t="shared" si="11"/>
        <v>1010000</v>
      </c>
      <c r="O306" s="29"/>
    </row>
    <row r="307" spans="2:15" s="17" customFormat="1" ht="13.8">
      <c r="B307" s="71" t="s">
        <v>2884</v>
      </c>
      <c r="C307" s="71" t="s">
        <v>2543</v>
      </c>
      <c r="D307" s="71" t="s">
        <v>233</v>
      </c>
      <c r="E307" s="71" t="s">
        <v>2872</v>
      </c>
      <c r="F307" s="71" t="s">
        <v>2873</v>
      </c>
      <c r="G307" s="71">
        <v>12</v>
      </c>
      <c r="H307" s="71">
        <v>12.5</v>
      </c>
      <c r="I307" s="71" t="s">
        <v>2546</v>
      </c>
      <c r="J307" s="72">
        <v>1010000</v>
      </c>
      <c r="K307" s="73"/>
      <c r="L307" s="73">
        <f t="shared" si="10"/>
        <v>1010000</v>
      </c>
      <c r="M307" s="74">
        <f>L307*12/112</f>
        <v>108214.28571428571</v>
      </c>
      <c r="N307" s="75">
        <f t="shared" si="11"/>
        <v>901785.71428571432</v>
      </c>
      <c r="O307" s="28"/>
    </row>
    <row r="308" spans="2:15" s="17" customFormat="1" ht="13.8">
      <c r="B308" s="71" t="s">
        <v>2885</v>
      </c>
      <c r="C308" s="71" t="s">
        <v>2543</v>
      </c>
      <c r="D308" s="71" t="s">
        <v>233</v>
      </c>
      <c r="E308" s="71" t="s">
        <v>2872</v>
      </c>
      <c r="F308" s="71" t="s">
        <v>2873</v>
      </c>
      <c r="G308" s="71">
        <v>13</v>
      </c>
      <c r="H308" s="71">
        <v>12.5</v>
      </c>
      <c r="I308" s="71" t="s">
        <v>2546</v>
      </c>
      <c r="J308" s="72">
        <v>1010000</v>
      </c>
      <c r="K308" s="73"/>
      <c r="L308" s="73">
        <f t="shared" si="10"/>
        <v>1010000</v>
      </c>
      <c r="M308" s="74"/>
      <c r="N308" s="75">
        <f t="shared" si="11"/>
        <v>1010000</v>
      </c>
      <c r="O308" s="29"/>
    </row>
    <row r="309" spans="2:15" s="17" customFormat="1" ht="13.8">
      <c r="B309" s="71" t="s">
        <v>2886</v>
      </c>
      <c r="C309" s="71" t="s">
        <v>2543</v>
      </c>
      <c r="D309" s="71" t="s">
        <v>233</v>
      </c>
      <c r="E309" s="71" t="s">
        <v>2872</v>
      </c>
      <c r="F309" s="71" t="s">
        <v>2873</v>
      </c>
      <c r="G309" s="71">
        <v>14</v>
      </c>
      <c r="H309" s="71">
        <v>12.5</v>
      </c>
      <c r="I309" s="71" t="s">
        <v>2546</v>
      </c>
      <c r="J309" s="72">
        <v>1010000</v>
      </c>
      <c r="K309" s="73"/>
      <c r="L309" s="73">
        <f t="shared" si="10"/>
        <v>1010000</v>
      </c>
      <c r="M309" s="74"/>
      <c r="N309" s="75">
        <f t="shared" si="11"/>
        <v>1010000</v>
      </c>
      <c r="O309" s="28"/>
    </row>
    <row r="310" spans="2:15" s="17" customFormat="1" ht="13.8">
      <c r="B310" s="71" t="s">
        <v>2887</v>
      </c>
      <c r="C310" s="71" t="s">
        <v>2543</v>
      </c>
      <c r="D310" s="71" t="s">
        <v>233</v>
      </c>
      <c r="E310" s="71" t="s">
        <v>2872</v>
      </c>
      <c r="F310" s="71" t="s">
        <v>2873</v>
      </c>
      <c r="G310" s="71">
        <v>15</v>
      </c>
      <c r="H310" s="71">
        <v>12.5</v>
      </c>
      <c r="I310" s="71" t="s">
        <v>2546</v>
      </c>
      <c r="J310" s="72">
        <v>1010000</v>
      </c>
      <c r="K310" s="73"/>
      <c r="L310" s="73">
        <f t="shared" si="10"/>
        <v>1010000</v>
      </c>
      <c r="M310" s="74"/>
      <c r="N310" s="75">
        <f t="shared" si="11"/>
        <v>1010000</v>
      </c>
      <c r="O310" s="29"/>
    </row>
    <row r="311" spans="2:15" s="17" customFormat="1" ht="13.8">
      <c r="B311" s="71" t="s">
        <v>2888</v>
      </c>
      <c r="C311" s="71" t="s">
        <v>2543</v>
      </c>
      <c r="D311" s="71" t="s">
        <v>233</v>
      </c>
      <c r="E311" s="71" t="s">
        <v>2872</v>
      </c>
      <c r="F311" s="71" t="s">
        <v>2873</v>
      </c>
      <c r="G311" s="71">
        <v>16</v>
      </c>
      <c r="H311" s="71">
        <v>12.5</v>
      </c>
      <c r="I311" s="71" t="s">
        <v>2546</v>
      </c>
      <c r="J311" s="72">
        <v>1010000</v>
      </c>
      <c r="K311" s="73"/>
      <c r="L311" s="73">
        <f t="shared" si="10"/>
        <v>1010000</v>
      </c>
      <c r="M311" s="74"/>
      <c r="N311" s="75">
        <f t="shared" si="11"/>
        <v>1010000</v>
      </c>
      <c r="O311" s="28"/>
    </row>
    <row r="312" spans="2:15" s="17" customFormat="1" ht="13.8">
      <c r="B312" s="71" t="s">
        <v>2889</v>
      </c>
      <c r="C312" s="71" t="s">
        <v>2543</v>
      </c>
      <c r="D312" s="71" t="s">
        <v>233</v>
      </c>
      <c r="E312" s="71" t="s">
        <v>2872</v>
      </c>
      <c r="F312" s="71" t="s">
        <v>2873</v>
      </c>
      <c r="G312" s="71">
        <v>17</v>
      </c>
      <c r="H312" s="71">
        <v>12.5</v>
      </c>
      <c r="I312" s="71" t="s">
        <v>2546</v>
      </c>
      <c r="J312" s="72">
        <v>1010000</v>
      </c>
      <c r="K312" s="73"/>
      <c r="L312" s="73">
        <f t="shared" si="10"/>
        <v>1010000</v>
      </c>
      <c r="M312" s="74"/>
      <c r="N312" s="75">
        <f t="shared" si="11"/>
        <v>1010000</v>
      </c>
      <c r="O312" s="29"/>
    </row>
    <row r="313" spans="2:15" s="17" customFormat="1" ht="13.8">
      <c r="B313" s="71" t="s">
        <v>2890</v>
      </c>
      <c r="C313" s="71" t="s">
        <v>2543</v>
      </c>
      <c r="D313" s="71" t="s">
        <v>233</v>
      </c>
      <c r="E313" s="71" t="s">
        <v>2872</v>
      </c>
      <c r="F313" s="71" t="s">
        <v>2873</v>
      </c>
      <c r="G313" s="71">
        <v>18</v>
      </c>
      <c r="H313" s="71">
        <v>12.5</v>
      </c>
      <c r="I313" s="71" t="s">
        <v>2546</v>
      </c>
      <c r="J313" s="72">
        <v>1010000</v>
      </c>
      <c r="K313" s="73"/>
      <c r="L313" s="73">
        <f t="shared" si="10"/>
        <v>1010000</v>
      </c>
      <c r="M313" s="74"/>
      <c r="N313" s="75">
        <f t="shared" si="11"/>
        <v>1010000</v>
      </c>
      <c r="O313" s="28"/>
    </row>
    <row r="314" spans="2:15" s="17" customFormat="1" ht="13.8">
      <c r="B314" s="71" t="s">
        <v>2891</v>
      </c>
      <c r="C314" s="71" t="s">
        <v>2543</v>
      </c>
      <c r="D314" s="71" t="s">
        <v>233</v>
      </c>
      <c r="E314" s="71" t="s">
        <v>2872</v>
      </c>
      <c r="F314" s="71" t="s">
        <v>2873</v>
      </c>
      <c r="G314" s="71">
        <v>19</v>
      </c>
      <c r="H314" s="71">
        <v>12.5</v>
      </c>
      <c r="I314" s="71" t="s">
        <v>2546</v>
      </c>
      <c r="J314" s="72">
        <v>1010000</v>
      </c>
      <c r="K314" s="73"/>
      <c r="L314" s="73">
        <f t="shared" si="10"/>
        <v>1010000</v>
      </c>
      <c r="M314" s="74"/>
      <c r="N314" s="75">
        <f t="shared" si="11"/>
        <v>1010000</v>
      </c>
      <c r="O314" s="29"/>
    </row>
    <row r="315" spans="2:15" s="17" customFormat="1" ht="13.8">
      <c r="B315" s="71" t="s">
        <v>2892</v>
      </c>
      <c r="C315" s="71" t="s">
        <v>2543</v>
      </c>
      <c r="D315" s="71" t="s">
        <v>233</v>
      </c>
      <c r="E315" s="71" t="s">
        <v>2872</v>
      </c>
      <c r="F315" s="71" t="s">
        <v>2873</v>
      </c>
      <c r="G315" s="71">
        <v>20</v>
      </c>
      <c r="H315" s="71">
        <v>12.5</v>
      </c>
      <c r="I315" s="71" t="s">
        <v>2546</v>
      </c>
      <c r="J315" s="72">
        <v>1010000</v>
      </c>
      <c r="K315" s="73"/>
      <c r="L315" s="73">
        <f t="shared" si="10"/>
        <v>1010000</v>
      </c>
      <c r="M315" s="74"/>
      <c r="N315" s="75">
        <f t="shared" si="11"/>
        <v>1010000</v>
      </c>
      <c r="O315" s="28"/>
    </row>
    <row r="316" spans="2:15" s="17" customFormat="1" ht="13.8">
      <c r="B316" s="71" t="s">
        <v>2893</v>
      </c>
      <c r="C316" s="71" t="s">
        <v>2543</v>
      </c>
      <c r="D316" s="71" t="s">
        <v>233</v>
      </c>
      <c r="E316" s="71" t="s">
        <v>2872</v>
      </c>
      <c r="F316" s="71" t="s">
        <v>2873</v>
      </c>
      <c r="G316" s="71">
        <v>21</v>
      </c>
      <c r="H316" s="71">
        <v>12.5</v>
      </c>
      <c r="I316" s="71" t="s">
        <v>2546</v>
      </c>
      <c r="J316" s="72">
        <v>1010000</v>
      </c>
      <c r="K316" s="73"/>
      <c r="L316" s="73">
        <f t="shared" si="10"/>
        <v>1010000</v>
      </c>
      <c r="M316" s="74"/>
      <c r="N316" s="75">
        <f t="shared" si="11"/>
        <v>1010000</v>
      </c>
      <c r="O316" s="29"/>
    </row>
    <row r="317" spans="2:15" s="17" customFormat="1" ht="13.8">
      <c r="B317" s="71" t="s">
        <v>2894</v>
      </c>
      <c r="C317" s="71" t="s">
        <v>2543</v>
      </c>
      <c r="D317" s="71" t="s">
        <v>233</v>
      </c>
      <c r="E317" s="71" t="s">
        <v>2872</v>
      </c>
      <c r="F317" s="71" t="s">
        <v>2873</v>
      </c>
      <c r="G317" s="71">
        <v>22</v>
      </c>
      <c r="H317" s="71">
        <v>12.5</v>
      </c>
      <c r="I317" s="71" t="s">
        <v>2546</v>
      </c>
      <c r="J317" s="72">
        <v>1010000</v>
      </c>
      <c r="K317" s="73"/>
      <c r="L317" s="73">
        <f t="shared" si="10"/>
        <v>1010000</v>
      </c>
      <c r="M317" s="74"/>
      <c r="N317" s="75">
        <f t="shared" si="11"/>
        <v>1010000</v>
      </c>
      <c r="O317" s="28"/>
    </row>
    <row r="318" spans="2:15" s="17" customFormat="1" ht="13.8">
      <c r="B318" s="71" t="s">
        <v>2895</v>
      </c>
      <c r="C318" s="71" t="s">
        <v>2543</v>
      </c>
      <c r="D318" s="71" t="s">
        <v>233</v>
      </c>
      <c r="E318" s="71" t="s">
        <v>2872</v>
      </c>
      <c r="F318" s="71" t="s">
        <v>2873</v>
      </c>
      <c r="G318" s="71">
        <v>23</v>
      </c>
      <c r="H318" s="71">
        <v>12.5</v>
      </c>
      <c r="I318" s="71" t="s">
        <v>2546</v>
      </c>
      <c r="J318" s="72">
        <v>1010000</v>
      </c>
      <c r="K318" s="73"/>
      <c r="L318" s="73">
        <f t="shared" si="10"/>
        <v>1010000</v>
      </c>
      <c r="M318" s="74"/>
      <c r="N318" s="75">
        <f t="shared" si="11"/>
        <v>1010000</v>
      </c>
      <c r="O318" s="29"/>
    </row>
    <row r="319" spans="2:15" s="17" customFormat="1" ht="13.8">
      <c r="B319" s="71" t="s">
        <v>2896</v>
      </c>
      <c r="C319" s="71" t="s">
        <v>2543</v>
      </c>
      <c r="D319" s="71" t="s">
        <v>233</v>
      </c>
      <c r="E319" s="71" t="s">
        <v>2872</v>
      </c>
      <c r="F319" s="71" t="s">
        <v>2873</v>
      </c>
      <c r="G319" s="71">
        <v>24</v>
      </c>
      <c r="H319" s="71">
        <v>12.5</v>
      </c>
      <c r="I319" s="71" t="s">
        <v>2546</v>
      </c>
      <c r="J319" s="72">
        <v>1010000</v>
      </c>
      <c r="K319" s="73"/>
      <c r="L319" s="73">
        <f t="shared" si="10"/>
        <v>1010000</v>
      </c>
      <c r="M319" s="74"/>
      <c r="N319" s="75">
        <f t="shared" si="11"/>
        <v>1010000</v>
      </c>
      <c r="O319" s="28"/>
    </row>
    <row r="320" spans="2:15" s="17" customFormat="1" ht="13.8">
      <c r="B320" s="71" t="s">
        <v>2897</v>
      </c>
      <c r="C320" s="71" t="s">
        <v>2543</v>
      </c>
      <c r="D320" s="71" t="s">
        <v>205</v>
      </c>
      <c r="E320" s="71" t="s">
        <v>2872</v>
      </c>
      <c r="F320" s="71" t="s">
        <v>2873</v>
      </c>
      <c r="G320" s="71">
        <v>25</v>
      </c>
      <c r="H320" s="71">
        <v>12.5</v>
      </c>
      <c r="I320" s="71" t="s">
        <v>2546</v>
      </c>
      <c r="J320" s="72">
        <v>1010000</v>
      </c>
      <c r="K320" s="73"/>
      <c r="L320" s="73">
        <f t="shared" si="10"/>
        <v>1010000</v>
      </c>
      <c r="M320" s="74"/>
      <c r="N320" s="75">
        <f t="shared" si="11"/>
        <v>1010000</v>
      </c>
      <c r="O320" s="29"/>
    </row>
    <row r="321" spans="2:15" s="17" customFormat="1" ht="13.8">
      <c r="B321" s="71" t="s">
        <v>2898</v>
      </c>
      <c r="C321" s="71" t="s">
        <v>2543</v>
      </c>
      <c r="D321" s="71" t="s">
        <v>233</v>
      </c>
      <c r="E321" s="71" t="s">
        <v>2872</v>
      </c>
      <c r="F321" s="71" t="s">
        <v>2873</v>
      </c>
      <c r="G321" s="71">
        <v>26</v>
      </c>
      <c r="H321" s="71">
        <v>12.5</v>
      </c>
      <c r="I321" s="71" t="s">
        <v>2546</v>
      </c>
      <c r="J321" s="72">
        <v>1010000</v>
      </c>
      <c r="K321" s="73"/>
      <c r="L321" s="73">
        <f t="shared" si="10"/>
        <v>1010000</v>
      </c>
      <c r="M321" s="74"/>
      <c r="N321" s="75">
        <f t="shared" si="11"/>
        <v>1010000</v>
      </c>
      <c r="O321" s="28"/>
    </row>
    <row r="322" spans="2:15" s="17" customFormat="1" ht="13.8">
      <c r="B322" s="71" t="s">
        <v>2899</v>
      </c>
      <c r="C322" s="71" t="s">
        <v>2543</v>
      </c>
      <c r="D322" s="71" t="s">
        <v>233</v>
      </c>
      <c r="E322" s="71" t="s">
        <v>2872</v>
      </c>
      <c r="F322" s="71" t="s">
        <v>2873</v>
      </c>
      <c r="G322" s="71">
        <v>27</v>
      </c>
      <c r="H322" s="71">
        <v>12.5</v>
      </c>
      <c r="I322" s="71" t="s">
        <v>2546</v>
      </c>
      <c r="J322" s="72">
        <v>1010000</v>
      </c>
      <c r="K322" s="73"/>
      <c r="L322" s="73">
        <f t="shared" si="10"/>
        <v>1010000</v>
      </c>
      <c r="M322" s="74"/>
      <c r="N322" s="75">
        <f t="shared" si="11"/>
        <v>1010000</v>
      </c>
      <c r="O322" s="29"/>
    </row>
    <row r="323" spans="2:15" s="17" customFormat="1" ht="13.8">
      <c r="B323" s="71" t="s">
        <v>2900</v>
      </c>
      <c r="C323" s="71" t="s">
        <v>2543</v>
      </c>
      <c r="D323" s="71" t="s">
        <v>233</v>
      </c>
      <c r="E323" s="71" t="s">
        <v>2872</v>
      </c>
      <c r="F323" s="71" t="s">
        <v>2873</v>
      </c>
      <c r="G323" s="71">
        <v>28</v>
      </c>
      <c r="H323" s="71">
        <v>12.5</v>
      </c>
      <c r="I323" s="71" t="s">
        <v>2546</v>
      </c>
      <c r="J323" s="72">
        <v>1010000</v>
      </c>
      <c r="K323" s="73"/>
      <c r="L323" s="73">
        <f t="shared" si="10"/>
        <v>1010000</v>
      </c>
      <c r="M323" s="74"/>
      <c r="N323" s="75">
        <f t="shared" si="11"/>
        <v>1010000</v>
      </c>
      <c r="O323" s="28"/>
    </row>
    <row r="324" spans="2:15" s="17" customFormat="1" ht="13.8">
      <c r="B324" s="71" t="s">
        <v>2901</v>
      </c>
      <c r="C324" s="71" t="s">
        <v>2543</v>
      </c>
      <c r="D324" s="71" t="s">
        <v>233</v>
      </c>
      <c r="E324" s="71" t="s">
        <v>2872</v>
      </c>
      <c r="F324" s="71" t="s">
        <v>2902</v>
      </c>
      <c r="G324" s="71" t="s">
        <v>2365</v>
      </c>
      <c r="H324" s="71">
        <v>21.73</v>
      </c>
      <c r="I324" s="71" t="s">
        <v>2588</v>
      </c>
      <c r="J324" s="72">
        <v>2500000</v>
      </c>
      <c r="K324" s="73"/>
      <c r="L324" s="73">
        <f t="shared" si="10"/>
        <v>2500000</v>
      </c>
      <c r="M324" s="74"/>
      <c r="N324" s="75">
        <f t="shared" si="11"/>
        <v>2500000</v>
      </c>
      <c r="O324" s="29"/>
    </row>
    <row r="325" spans="2:15" s="17" customFormat="1" ht="13.8">
      <c r="B325" s="71" t="s">
        <v>2903</v>
      </c>
      <c r="C325" s="71" t="s">
        <v>2543</v>
      </c>
      <c r="D325" s="71" t="s">
        <v>205</v>
      </c>
      <c r="E325" s="71" t="s">
        <v>2872</v>
      </c>
      <c r="F325" s="71" t="s">
        <v>2902</v>
      </c>
      <c r="G325" s="71" t="s">
        <v>2368</v>
      </c>
      <c r="H325" s="71">
        <v>20.100000000000001</v>
      </c>
      <c r="I325" s="71" t="s">
        <v>2590</v>
      </c>
      <c r="J325" s="72">
        <v>2500000</v>
      </c>
      <c r="K325" s="73"/>
      <c r="L325" s="73">
        <f t="shared" si="10"/>
        <v>2500000</v>
      </c>
      <c r="M325" s="74"/>
      <c r="N325" s="75">
        <f t="shared" si="11"/>
        <v>2500000</v>
      </c>
      <c r="O325" s="28"/>
    </row>
    <row r="326" spans="2:15" s="17" customFormat="1" ht="13.8">
      <c r="B326" s="71" t="s">
        <v>2904</v>
      </c>
      <c r="C326" s="71" t="s">
        <v>2543</v>
      </c>
      <c r="D326" s="71" t="s">
        <v>233</v>
      </c>
      <c r="E326" s="71" t="s">
        <v>2872</v>
      </c>
      <c r="F326" s="71" t="s">
        <v>2902</v>
      </c>
      <c r="G326" s="71" t="s">
        <v>2377</v>
      </c>
      <c r="H326" s="71">
        <v>20.100000000000001</v>
      </c>
      <c r="I326" s="71" t="s">
        <v>2590</v>
      </c>
      <c r="J326" s="72">
        <v>2500000</v>
      </c>
      <c r="K326" s="73"/>
      <c r="L326" s="73">
        <f t="shared" si="10"/>
        <v>2500000</v>
      </c>
      <c r="M326" s="74"/>
      <c r="N326" s="75">
        <f t="shared" si="11"/>
        <v>2500000</v>
      </c>
      <c r="O326" s="29"/>
    </row>
    <row r="327" spans="2:15" s="17" customFormat="1" ht="13.8">
      <c r="B327" s="71" t="s">
        <v>2905</v>
      </c>
      <c r="C327" s="71" t="s">
        <v>2543</v>
      </c>
      <c r="D327" s="71" t="s">
        <v>233</v>
      </c>
      <c r="E327" s="71" t="s">
        <v>2872</v>
      </c>
      <c r="F327" s="71" t="s">
        <v>2902</v>
      </c>
      <c r="G327" s="71" t="s">
        <v>2379</v>
      </c>
      <c r="H327" s="71">
        <v>20.100000000000001</v>
      </c>
      <c r="I327" s="71" t="s">
        <v>2590</v>
      </c>
      <c r="J327" s="72">
        <v>2500000</v>
      </c>
      <c r="K327" s="73"/>
      <c r="L327" s="73">
        <f t="shared" si="10"/>
        <v>2500000</v>
      </c>
      <c r="M327" s="74"/>
      <c r="N327" s="75">
        <f t="shared" si="11"/>
        <v>2500000</v>
      </c>
      <c r="O327" s="28"/>
    </row>
    <row r="328" spans="2:15" s="17" customFormat="1" ht="13.8">
      <c r="B328" s="77" t="s">
        <v>2906</v>
      </c>
      <c r="C328" s="77" t="s">
        <v>2543</v>
      </c>
      <c r="D328" s="71" t="s">
        <v>233</v>
      </c>
      <c r="E328" s="77" t="s">
        <v>2872</v>
      </c>
      <c r="F328" s="71" t="s">
        <v>2902</v>
      </c>
      <c r="G328" s="77" t="s">
        <v>2370</v>
      </c>
      <c r="H328" s="77">
        <v>26.8</v>
      </c>
      <c r="I328" s="71" t="s">
        <v>2592</v>
      </c>
      <c r="J328" s="72">
        <v>3280000</v>
      </c>
      <c r="K328" s="73"/>
      <c r="L328" s="73">
        <f t="shared" ref="L328:L391" si="13">J328-K328</f>
        <v>3280000</v>
      </c>
      <c r="M328" s="74"/>
      <c r="N328" s="75">
        <f t="shared" ref="N328:N391" si="14">L328-M328</f>
        <v>3280000</v>
      </c>
      <c r="O328" s="29"/>
    </row>
    <row r="329" spans="2:15" s="17" customFormat="1" ht="13.8">
      <c r="B329" s="77" t="s">
        <v>2907</v>
      </c>
      <c r="C329" s="71" t="s">
        <v>2543</v>
      </c>
      <c r="D329" s="71" t="s">
        <v>233</v>
      </c>
      <c r="E329" s="71" t="s">
        <v>2872</v>
      </c>
      <c r="F329" s="71" t="s">
        <v>2902</v>
      </c>
      <c r="G329" s="71" t="s">
        <v>2372</v>
      </c>
      <c r="H329" s="71">
        <v>26.8</v>
      </c>
      <c r="I329" s="71" t="s">
        <v>2592</v>
      </c>
      <c r="J329" s="72">
        <v>3280000</v>
      </c>
      <c r="K329" s="73"/>
      <c r="L329" s="73">
        <f t="shared" si="13"/>
        <v>3280000</v>
      </c>
      <c r="M329" s="74"/>
      <c r="N329" s="75">
        <f t="shared" si="14"/>
        <v>3280000</v>
      </c>
      <c r="O329" s="28"/>
    </row>
    <row r="330" spans="2:15" s="17" customFormat="1" ht="13.8">
      <c r="B330" s="77" t="s">
        <v>2908</v>
      </c>
      <c r="C330" s="71" t="s">
        <v>2543</v>
      </c>
      <c r="D330" s="71" t="s">
        <v>233</v>
      </c>
      <c r="E330" s="71" t="s">
        <v>2872</v>
      </c>
      <c r="F330" s="71" t="s">
        <v>2902</v>
      </c>
      <c r="G330" s="71" t="s">
        <v>2597</v>
      </c>
      <c r="H330" s="71">
        <v>26.8</v>
      </c>
      <c r="I330" s="71" t="s">
        <v>2592</v>
      </c>
      <c r="J330" s="72">
        <v>3280000</v>
      </c>
      <c r="K330" s="73"/>
      <c r="L330" s="73">
        <f t="shared" si="13"/>
        <v>3280000</v>
      </c>
      <c r="M330" s="74"/>
      <c r="N330" s="75">
        <f t="shared" si="14"/>
        <v>3280000</v>
      </c>
      <c r="O330" s="29"/>
    </row>
    <row r="331" spans="2:15" s="17" customFormat="1" ht="13.8">
      <c r="B331" s="77" t="s">
        <v>2909</v>
      </c>
      <c r="C331" s="71" t="s">
        <v>2543</v>
      </c>
      <c r="D331" s="71" t="s">
        <v>233</v>
      </c>
      <c r="E331" s="71" t="s">
        <v>2872</v>
      </c>
      <c r="F331" s="71" t="s">
        <v>2902</v>
      </c>
      <c r="G331" s="71" t="s">
        <v>2599</v>
      </c>
      <c r="H331" s="71">
        <v>26.8</v>
      </c>
      <c r="I331" s="71" t="s">
        <v>2592</v>
      </c>
      <c r="J331" s="72">
        <v>3280000</v>
      </c>
      <c r="K331" s="73"/>
      <c r="L331" s="73">
        <f t="shared" si="13"/>
        <v>3280000</v>
      </c>
      <c r="M331" s="74"/>
      <c r="N331" s="75">
        <f t="shared" si="14"/>
        <v>3280000</v>
      </c>
      <c r="O331" s="28"/>
    </row>
    <row r="332" spans="2:15" s="17" customFormat="1" ht="13.8">
      <c r="B332" s="77" t="s">
        <v>2910</v>
      </c>
      <c r="C332" s="71" t="s">
        <v>2543</v>
      </c>
      <c r="D332" s="71" t="s">
        <v>205</v>
      </c>
      <c r="E332" s="71" t="s">
        <v>2872</v>
      </c>
      <c r="F332" s="71" t="s">
        <v>2902</v>
      </c>
      <c r="G332" s="71" t="s">
        <v>2601</v>
      </c>
      <c r="H332" s="71">
        <v>26.8</v>
      </c>
      <c r="I332" s="71" t="s">
        <v>2592</v>
      </c>
      <c r="J332" s="72">
        <v>3280000</v>
      </c>
      <c r="K332" s="73"/>
      <c r="L332" s="73">
        <f t="shared" si="13"/>
        <v>3280000</v>
      </c>
      <c r="M332" s="74"/>
      <c r="N332" s="75">
        <f t="shared" si="14"/>
        <v>3280000</v>
      </c>
      <c r="O332" s="29"/>
    </row>
    <row r="333" spans="2:15" s="17" customFormat="1" ht="13.8">
      <c r="B333" s="77" t="s">
        <v>2911</v>
      </c>
      <c r="C333" s="71" t="s">
        <v>2543</v>
      </c>
      <c r="D333" s="71" t="s">
        <v>233</v>
      </c>
      <c r="E333" s="71" t="s">
        <v>2872</v>
      </c>
      <c r="F333" s="71" t="s">
        <v>2902</v>
      </c>
      <c r="G333" s="71" t="s">
        <v>2603</v>
      </c>
      <c r="H333" s="71">
        <v>26.8</v>
      </c>
      <c r="I333" s="71" t="s">
        <v>2592</v>
      </c>
      <c r="J333" s="72">
        <v>3280000</v>
      </c>
      <c r="K333" s="73"/>
      <c r="L333" s="73">
        <f t="shared" si="13"/>
        <v>3280000</v>
      </c>
      <c r="M333" s="74"/>
      <c r="N333" s="75">
        <f t="shared" si="14"/>
        <v>3280000</v>
      </c>
      <c r="O333" s="28"/>
    </row>
    <row r="334" spans="2:15" s="17" customFormat="1" ht="13.8">
      <c r="B334" s="71" t="s">
        <v>2912</v>
      </c>
      <c r="C334" s="71" t="s">
        <v>2543</v>
      </c>
      <c r="D334" s="71" t="s">
        <v>205</v>
      </c>
      <c r="E334" s="71" t="s">
        <v>2872</v>
      </c>
      <c r="F334" s="71" t="s">
        <v>2902</v>
      </c>
      <c r="G334" s="71" t="s">
        <v>2605</v>
      </c>
      <c r="H334" s="71">
        <v>20.100000000000001</v>
      </c>
      <c r="I334" s="71" t="s">
        <v>2590</v>
      </c>
      <c r="J334" s="72">
        <v>2500000</v>
      </c>
      <c r="K334" s="73"/>
      <c r="L334" s="73">
        <f t="shared" si="13"/>
        <v>2500000</v>
      </c>
      <c r="M334" s="74"/>
      <c r="N334" s="75">
        <f t="shared" si="14"/>
        <v>2500000</v>
      </c>
      <c r="O334" s="29"/>
    </row>
    <row r="335" spans="2:15" s="17" customFormat="1" ht="13.8">
      <c r="B335" s="77" t="s">
        <v>2913</v>
      </c>
      <c r="C335" s="77" t="s">
        <v>2543</v>
      </c>
      <c r="D335" s="71" t="s">
        <v>233</v>
      </c>
      <c r="E335" s="77" t="s">
        <v>2872</v>
      </c>
      <c r="F335" s="71" t="s">
        <v>2902</v>
      </c>
      <c r="G335" s="77" t="s">
        <v>2607</v>
      </c>
      <c r="H335" s="77">
        <v>21.73</v>
      </c>
      <c r="I335" s="71" t="s">
        <v>2588</v>
      </c>
      <c r="J335" s="72">
        <v>2500000</v>
      </c>
      <c r="K335" s="73"/>
      <c r="L335" s="73">
        <f t="shared" si="13"/>
        <v>2500000</v>
      </c>
      <c r="M335" s="74"/>
      <c r="N335" s="75">
        <f t="shared" si="14"/>
        <v>2500000</v>
      </c>
      <c r="O335" s="28"/>
    </row>
    <row r="336" spans="2:15" s="17" customFormat="1" ht="13.8">
      <c r="B336" s="77" t="s">
        <v>2914</v>
      </c>
      <c r="C336" s="71" t="s">
        <v>2543</v>
      </c>
      <c r="D336" s="71" t="s">
        <v>233</v>
      </c>
      <c r="E336" s="71" t="s">
        <v>2872</v>
      </c>
      <c r="F336" s="71" t="s">
        <v>2902</v>
      </c>
      <c r="G336" s="71" t="s">
        <v>2609</v>
      </c>
      <c r="H336" s="71">
        <v>22.82</v>
      </c>
      <c r="I336" s="71" t="s">
        <v>2588</v>
      </c>
      <c r="J336" s="72">
        <v>2500000</v>
      </c>
      <c r="K336" s="73"/>
      <c r="L336" s="73">
        <f t="shared" si="13"/>
        <v>2500000</v>
      </c>
      <c r="M336" s="74"/>
      <c r="N336" s="75">
        <f t="shared" si="14"/>
        <v>2500000</v>
      </c>
      <c r="O336" s="29"/>
    </row>
    <row r="337" spans="2:15" s="17" customFormat="1" ht="13.8">
      <c r="B337" s="77" t="s">
        <v>2915</v>
      </c>
      <c r="C337" s="71" t="s">
        <v>2543</v>
      </c>
      <c r="D337" s="71" t="s">
        <v>233</v>
      </c>
      <c r="E337" s="71" t="s">
        <v>2872</v>
      </c>
      <c r="F337" s="71" t="s">
        <v>2902</v>
      </c>
      <c r="G337" s="71" t="s">
        <v>2611</v>
      </c>
      <c r="H337" s="71">
        <v>20.100000000000001</v>
      </c>
      <c r="I337" s="71" t="s">
        <v>2590</v>
      </c>
      <c r="J337" s="72">
        <v>2500000</v>
      </c>
      <c r="K337" s="73"/>
      <c r="L337" s="73">
        <f t="shared" si="13"/>
        <v>2500000</v>
      </c>
      <c r="M337" s="74"/>
      <c r="N337" s="75">
        <f t="shared" si="14"/>
        <v>2500000</v>
      </c>
      <c r="O337" s="28"/>
    </row>
    <row r="338" spans="2:15" s="17" customFormat="1" ht="13.8">
      <c r="B338" s="77" t="s">
        <v>2916</v>
      </c>
      <c r="C338" s="71" t="s">
        <v>2543</v>
      </c>
      <c r="D338" s="71" t="s">
        <v>233</v>
      </c>
      <c r="E338" s="71" t="s">
        <v>2872</v>
      </c>
      <c r="F338" s="71" t="s">
        <v>2902</v>
      </c>
      <c r="G338" s="71" t="s">
        <v>2613</v>
      </c>
      <c r="H338" s="71">
        <v>26.8</v>
      </c>
      <c r="I338" s="71" t="s">
        <v>2592</v>
      </c>
      <c r="J338" s="72">
        <v>3280000</v>
      </c>
      <c r="K338" s="73"/>
      <c r="L338" s="73">
        <f t="shared" si="13"/>
        <v>3280000</v>
      </c>
      <c r="M338" s="74"/>
      <c r="N338" s="75">
        <f t="shared" si="14"/>
        <v>3280000</v>
      </c>
      <c r="O338" s="29"/>
    </row>
    <row r="339" spans="2:15" s="17" customFormat="1" ht="13.8">
      <c r="B339" s="77" t="s">
        <v>2917</v>
      </c>
      <c r="C339" s="71" t="s">
        <v>2543</v>
      </c>
      <c r="D339" s="71" t="s">
        <v>233</v>
      </c>
      <c r="E339" s="71" t="s">
        <v>2872</v>
      </c>
      <c r="F339" s="71" t="s">
        <v>2902</v>
      </c>
      <c r="G339" s="71" t="s">
        <v>2615</v>
      </c>
      <c r="H339" s="71">
        <v>26.8</v>
      </c>
      <c r="I339" s="71" t="s">
        <v>2592</v>
      </c>
      <c r="J339" s="72">
        <v>3280000</v>
      </c>
      <c r="K339" s="73"/>
      <c r="L339" s="73">
        <f t="shared" si="13"/>
        <v>3280000</v>
      </c>
      <c r="M339" s="74"/>
      <c r="N339" s="75">
        <f t="shared" si="14"/>
        <v>3280000</v>
      </c>
      <c r="O339" s="28"/>
    </row>
    <row r="340" spans="2:15" s="17" customFormat="1" ht="13.8">
      <c r="B340" s="77" t="s">
        <v>2918</v>
      </c>
      <c r="C340" s="71" t="s">
        <v>2543</v>
      </c>
      <c r="D340" s="71" t="s">
        <v>233</v>
      </c>
      <c r="E340" s="71" t="s">
        <v>2872</v>
      </c>
      <c r="F340" s="71" t="s">
        <v>2902</v>
      </c>
      <c r="G340" s="71" t="s">
        <v>2617</v>
      </c>
      <c r="H340" s="71">
        <v>26.8</v>
      </c>
      <c r="I340" s="71" t="s">
        <v>2592</v>
      </c>
      <c r="J340" s="72">
        <v>3280000</v>
      </c>
      <c r="K340" s="73"/>
      <c r="L340" s="73">
        <f t="shared" si="13"/>
        <v>3280000</v>
      </c>
      <c r="M340" s="74"/>
      <c r="N340" s="75">
        <f t="shared" si="14"/>
        <v>3280000</v>
      </c>
      <c r="O340" s="29"/>
    </row>
    <row r="341" spans="2:15" s="17" customFormat="1" ht="13.8">
      <c r="B341" s="77" t="s">
        <v>2919</v>
      </c>
      <c r="C341" s="71" t="s">
        <v>2543</v>
      </c>
      <c r="D341" s="71" t="s">
        <v>233</v>
      </c>
      <c r="E341" s="71" t="s">
        <v>2872</v>
      </c>
      <c r="F341" s="71" t="s">
        <v>2902</v>
      </c>
      <c r="G341" s="71" t="s">
        <v>2619</v>
      </c>
      <c r="H341" s="71">
        <v>26.8</v>
      </c>
      <c r="I341" s="71" t="s">
        <v>2592</v>
      </c>
      <c r="J341" s="72">
        <v>3280000</v>
      </c>
      <c r="K341" s="73"/>
      <c r="L341" s="73">
        <f t="shared" si="13"/>
        <v>3280000</v>
      </c>
      <c r="M341" s="74"/>
      <c r="N341" s="75">
        <f t="shared" si="14"/>
        <v>3280000</v>
      </c>
      <c r="O341" s="28"/>
    </row>
    <row r="342" spans="2:15" s="17" customFormat="1" ht="13.8">
      <c r="B342" s="77" t="s">
        <v>2920</v>
      </c>
      <c r="C342" s="71" t="s">
        <v>2543</v>
      </c>
      <c r="D342" s="71" t="s">
        <v>233</v>
      </c>
      <c r="E342" s="71" t="s">
        <v>2872</v>
      </c>
      <c r="F342" s="71" t="s">
        <v>2902</v>
      </c>
      <c r="G342" s="71" t="s">
        <v>2621</v>
      </c>
      <c r="H342" s="71">
        <v>26.8</v>
      </c>
      <c r="I342" s="71" t="s">
        <v>2592</v>
      </c>
      <c r="J342" s="72">
        <v>3280000</v>
      </c>
      <c r="K342" s="73"/>
      <c r="L342" s="73">
        <f t="shared" si="13"/>
        <v>3280000</v>
      </c>
      <c r="M342" s="74"/>
      <c r="N342" s="75">
        <f t="shared" si="14"/>
        <v>3280000</v>
      </c>
      <c r="O342" s="29"/>
    </row>
    <row r="343" spans="2:15" s="17" customFormat="1" ht="13.8">
      <c r="B343" s="77" t="s">
        <v>2921</v>
      </c>
      <c r="C343" s="77" t="s">
        <v>2543</v>
      </c>
      <c r="D343" s="71" t="s">
        <v>233</v>
      </c>
      <c r="E343" s="77" t="s">
        <v>2872</v>
      </c>
      <c r="F343" s="71" t="s">
        <v>2902</v>
      </c>
      <c r="G343" s="77" t="s">
        <v>2623</v>
      </c>
      <c r="H343" s="77">
        <v>26.8</v>
      </c>
      <c r="I343" s="71" t="s">
        <v>2592</v>
      </c>
      <c r="J343" s="72">
        <v>3280000</v>
      </c>
      <c r="K343" s="73"/>
      <c r="L343" s="73">
        <f t="shared" si="13"/>
        <v>3280000</v>
      </c>
      <c r="M343" s="74"/>
      <c r="N343" s="75">
        <f t="shared" si="14"/>
        <v>3280000</v>
      </c>
      <c r="O343" s="28"/>
    </row>
    <row r="344" spans="2:15" s="17" customFormat="1" ht="13.8">
      <c r="B344" s="71" t="s">
        <v>2922</v>
      </c>
      <c r="C344" s="71" t="s">
        <v>2543</v>
      </c>
      <c r="D344" s="71" t="s">
        <v>233</v>
      </c>
      <c r="E344" s="71" t="s">
        <v>2872</v>
      </c>
      <c r="F344" s="71" t="s">
        <v>2902</v>
      </c>
      <c r="G344" s="71" t="s">
        <v>2625</v>
      </c>
      <c r="H344" s="71">
        <v>20.100000000000001</v>
      </c>
      <c r="I344" s="71" t="s">
        <v>2590</v>
      </c>
      <c r="J344" s="72">
        <v>2500000</v>
      </c>
      <c r="K344" s="73"/>
      <c r="L344" s="73">
        <f t="shared" si="13"/>
        <v>2500000</v>
      </c>
      <c r="M344" s="74"/>
      <c r="N344" s="75">
        <f t="shared" si="14"/>
        <v>2500000</v>
      </c>
      <c r="O344" s="29"/>
    </row>
    <row r="345" spans="2:15" s="17" customFormat="1" ht="13.8">
      <c r="B345" s="71" t="s">
        <v>2923</v>
      </c>
      <c r="C345" s="71" t="s">
        <v>2543</v>
      </c>
      <c r="D345" s="71" t="s">
        <v>233</v>
      </c>
      <c r="E345" s="71" t="s">
        <v>2872</v>
      </c>
      <c r="F345" s="71" t="s">
        <v>2902</v>
      </c>
      <c r="G345" s="71" t="s">
        <v>2627</v>
      </c>
      <c r="H345" s="71">
        <v>20.100000000000001</v>
      </c>
      <c r="I345" s="71" t="s">
        <v>2590</v>
      </c>
      <c r="J345" s="72">
        <v>2500000</v>
      </c>
      <c r="K345" s="73"/>
      <c r="L345" s="73">
        <f t="shared" si="13"/>
        <v>2500000</v>
      </c>
      <c r="M345" s="74"/>
      <c r="N345" s="75">
        <f t="shared" si="14"/>
        <v>2500000</v>
      </c>
      <c r="O345" s="28"/>
    </row>
    <row r="346" spans="2:15" s="17" customFormat="1" ht="13.8">
      <c r="B346" s="71" t="s">
        <v>2924</v>
      </c>
      <c r="C346" s="71" t="s">
        <v>2543</v>
      </c>
      <c r="D346" s="71" t="s">
        <v>233</v>
      </c>
      <c r="E346" s="71" t="s">
        <v>2872</v>
      </c>
      <c r="F346" s="71" t="s">
        <v>2902</v>
      </c>
      <c r="G346" s="71" t="s">
        <v>2629</v>
      </c>
      <c r="H346" s="71">
        <v>20.100000000000001</v>
      </c>
      <c r="I346" s="71" t="s">
        <v>2590</v>
      </c>
      <c r="J346" s="72">
        <v>2500000</v>
      </c>
      <c r="K346" s="73"/>
      <c r="L346" s="73">
        <f t="shared" si="13"/>
        <v>2500000</v>
      </c>
      <c r="M346" s="74"/>
      <c r="N346" s="75">
        <f t="shared" si="14"/>
        <v>2500000</v>
      </c>
      <c r="O346" s="29"/>
    </row>
    <row r="347" spans="2:15" s="17" customFormat="1" ht="13.8">
      <c r="B347" s="71" t="s">
        <v>2925</v>
      </c>
      <c r="C347" s="71" t="s">
        <v>2543</v>
      </c>
      <c r="D347" s="71" t="s">
        <v>233</v>
      </c>
      <c r="E347" s="71" t="s">
        <v>2872</v>
      </c>
      <c r="F347" s="71" t="s">
        <v>2902</v>
      </c>
      <c r="G347" s="71" t="s">
        <v>2631</v>
      </c>
      <c r="H347" s="71">
        <v>22.82</v>
      </c>
      <c r="I347" s="71" t="s">
        <v>2588</v>
      </c>
      <c r="J347" s="72">
        <v>2500000</v>
      </c>
      <c r="K347" s="73"/>
      <c r="L347" s="73">
        <f t="shared" si="13"/>
        <v>2500000</v>
      </c>
      <c r="M347" s="74"/>
      <c r="N347" s="75">
        <f t="shared" si="14"/>
        <v>2500000</v>
      </c>
      <c r="O347" s="28"/>
    </row>
    <row r="348" spans="2:15" s="17" customFormat="1" ht="13.8">
      <c r="B348" s="71" t="s">
        <v>2926</v>
      </c>
      <c r="C348" s="71" t="s">
        <v>2543</v>
      </c>
      <c r="D348" s="71" t="s">
        <v>205</v>
      </c>
      <c r="E348" s="71" t="s">
        <v>2872</v>
      </c>
      <c r="F348" s="71" t="s">
        <v>2927</v>
      </c>
      <c r="G348" s="71" t="s">
        <v>2365</v>
      </c>
      <c r="H348" s="71">
        <v>46.52</v>
      </c>
      <c r="I348" s="71" t="s">
        <v>2684</v>
      </c>
      <c r="J348" s="72">
        <v>3700000</v>
      </c>
      <c r="K348" s="73">
        <v>100000</v>
      </c>
      <c r="L348" s="73">
        <f t="shared" si="13"/>
        <v>3600000</v>
      </c>
      <c r="M348" s="74"/>
      <c r="N348" s="75">
        <f t="shared" si="14"/>
        <v>3600000</v>
      </c>
      <c r="O348" s="29"/>
    </row>
    <row r="349" spans="2:15" s="17" customFormat="1" ht="13.8">
      <c r="B349" s="71" t="s">
        <v>2928</v>
      </c>
      <c r="C349" s="71" t="s">
        <v>2543</v>
      </c>
      <c r="D349" s="71" t="s">
        <v>233</v>
      </c>
      <c r="E349" s="71" t="s">
        <v>2872</v>
      </c>
      <c r="F349" s="71" t="s">
        <v>2927</v>
      </c>
      <c r="G349" s="71" t="s">
        <v>2368</v>
      </c>
      <c r="H349" s="71">
        <v>40.200000000000003</v>
      </c>
      <c r="I349" s="71" t="s">
        <v>2767</v>
      </c>
      <c r="J349" s="72">
        <v>3700000</v>
      </c>
      <c r="K349" s="73">
        <v>100000</v>
      </c>
      <c r="L349" s="73">
        <f t="shared" si="13"/>
        <v>3600000</v>
      </c>
      <c r="M349" s="74"/>
      <c r="N349" s="75">
        <f t="shared" si="14"/>
        <v>3600000</v>
      </c>
      <c r="O349" s="28"/>
    </row>
    <row r="350" spans="2:15" s="17" customFormat="1" ht="13.8">
      <c r="B350" s="71" t="s">
        <v>2929</v>
      </c>
      <c r="C350" s="71" t="s">
        <v>2543</v>
      </c>
      <c r="D350" s="71" t="s">
        <v>233</v>
      </c>
      <c r="E350" s="71" t="s">
        <v>2872</v>
      </c>
      <c r="F350" s="71" t="s">
        <v>2927</v>
      </c>
      <c r="G350" s="71" t="s">
        <v>2377</v>
      </c>
      <c r="H350" s="71">
        <v>40.200000000000003</v>
      </c>
      <c r="I350" s="71" t="s">
        <v>2767</v>
      </c>
      <c r="J350" s="72">
        <v>3700000</v>
      </c>
      <c r="K350" s="73">
        <v>100000</v>
      </c>
      <c r="L350" s="73">
        <f t="shared" si="13"/>
        <v>3600000</v>
      </c>
      <c r="M350" s="74"/>
      <c r="N350" s="75">
        <f t="shared" si="14"/>
        <v>3600000</v>
      </c>
      <c r="O350" s="29"/>
    </row>
    <row r="351" spans="2:15" s="17" customFormat="1" ht="13.8">
      <c r="B351" s="71" t="s">
        <v>2930</v>
      </c>
      <c r="C351" s="71" t="s">
        <v>2543</v>
      </c>
      <c r="D351" s="71" t="s">
        <v>233</v>
      </c>
      <c r="E351" s="71" t="s">
        <v>2872</v>
      </c>
      <c r="F351" s="71" t="s">
        <v>2927</v>
      </c>
      <c r="G351" s="71" t="s">
        <v>2379</v>
      </c>
      <c r="H351" s="71">
        <v>40.200000000000003</v>
      </c>
      <c r="I351" s="71" t="s">
        <v>2767</v>
      </c>
      <c r="J351" s="72">
        <v>3700000</v>
      </c>
      <c r="K351" s="73">
        <v>100000</v>
      </c>
      <c r="L351" s="73">
        <f t="shared" si="13"/>
        <v>3600000</v>
      </c>
      <c r="M351" s="74"/>
      <c r="N351" s="75">
        <f t="shared" si="14"/>
        <v>3600000</v>
      </c>
      <c r="O351" s="28"/>
    </row>
    <row r="352" spans="2:15" s="17" customFormat="1" ht="13.8">
      <c r="B352" s="71" t="s">
        <v>2931</v>
      </c>
      <c r="C352" s="71" t="s">
        <v>2543</v>
      </c>
      <c r="D352" s="71" t="s">
        <v>233</v>
      </c>
      <c r="E352" s="71" t="s">
        <v>2872</v>
      </c>
      <c r="F352" s="71" t="s">
        <v>2927</v>
      </c>
      <c r="G352" s="71" t="s">
        <v>2370</v>
      </c>
      <c r="H352" s="71">
        <v>40.200000000000003</v>
      </c>
      <c r="I352" s="71" t="s">
        <v>2767</v>
      </c>
      <c r="J352" s="72">
        <v>3700000</v>
      </c>
      <c r="K352" s="73">
        <v>100000</v>
      </c>
      <c r="L352" s="73">
        <f t="shared" si="13"/>
        <v>3600000</v>
      </c>
      <c r="M352" s="74"/>
      <c r="N352" s="75">
        <f t="shared" si="14"/>
        <v>3600000</v>
      </c>
      <c r="O352" s="29"/>
    </row>
    <row r="353" spans="2:15" s="17" customFormat="1" ht="13.8">
      <c r="B353" s="71" t="s">
        <v>2932</v>
      </c>
      <c r="C353" s="71" t="s">
        <v>2543</v>
      </c>
      <c r="D353" s="71" t="s">
        <v>205</v>
      </c>
      <c r="E353" s="71" t="s">
        <v>2872</v>
      </c>
      <c r="F353" s="71" t="s">
        <v>2927</v>
      </c>
      <c r="G353" s="71" t="s">
        <v>2372</v>
      </c>
      <c r="H353" s="71">
        <v>40.200000000000003</v>
      </c>
      <c r="I353" s="71" t="s">
        <v>2767</v>
      </c>
      <c r="J353" s="72">
        <v>3700000</v>
      </c>
      <c r="K353" s="73">
        <v>100000</v>
      </c>
      <c r="L353" s="73">
        <f t="shared" si="13"/>
        <v>3600000</v>
      </c>
      <c r="M353" s="74"/>
      <c r="N353" s="75">
        <f t="shared" si="14"/>
        <v>3600000</v>
      </c>
      <c r="O353" s="28"/>
    </row>
    <row r="354" spans="2:15" s="17" customFormat="1" ht="13.8">
      <c r="B354" s="71" t="s">
        <v>2933</v>
      </c>
      <c r="C354" s="71" t="s">
        <v>2543</v>
      </c>
      <c r="D354" s="71" t="s">
        <v>233</v>
      </c>
      <c r="E354" s="71" t="s">
        <v>2872</v>
      </c>
      <c r="F354" s="71" t="s">
        <v>2927</v>
      </c>
      <c r="G354" s="71" t="s">
        <v>2597</v>
      </c>
      <c r="H354" s="71">
        <v>46.52</v>
      </c>
      <c r="I354" s="71" t="s">
        <v>2684</v>
      </c>
      <c r="J354" s="72">
        <v>3700000</v>
      </c>
      <c r="K354" s="73">
        <v>100000</v>
      </c>
      <c r="L354" s="73">
        <f t="shared" si="13"/>
        <v>3600000</v>
      </c>
      <c r="M354" s="74"/>
      <c r="N354" s="75">
        <f t="shared" si="14"/>
        <v>3600000</v>
      </c>
      <c r="O354" s="29"/>
    </row>
    <row r="355" spans="2:15" s="17" customFormat="1" ht="13.8">
      <c r="B355" s="71" t="s">
        <v>2934</v>
      </c>
      <c r="C355" s="71" t="s">
        <v>2543</v>
      </c>
      <c r="D355" s="71" t="s">
        <v>233</v>
      </c>
      <c r="E355" s="71" t="s">
        <v>2872</v>
      </c>
      <c r="F355" s="71" t="s">
        <v>2927</v>
      </c>
      <c r="G355" s="71" t="s">
        <v>2599</v>
      </c>
      <c r="H355" s="71">
        <v>44.88</v>
      </c>
      <c r="I355" s="71" t="s">
        <v>2684</v>
      </c>
      <c r="J355" s="72">
        <v>3700000</v>
      </c>
      <c r="K355" s="73">
        <v>100000</v>
      </c>
      <c r="L355" s="73">
        <f t="shared" si="13"/>
        <v>3600000</v>
      </c>
      <c r="M355" s="74"/>
      <c r="N355" s="75">
        <f t="shared" si="14"/>
        <v>3600000</v>
      </c>
      <c r="O355" s="28"/>
    </row>
    <row r="356" spans="2:15" s="17" customFormat="1" ht="13.8">
      <c r="B356" s="71" t="s">
        <v>2935</v>
      </c>
      <c r="C356" s="71" t="s">
        <v>2543</v>
      </c>
      <c r="D356" s="71" t="s">
        <v>233</v>
      </c>
      <c r="E356" s="71" t="s">
        <v>2872</v>
      </c>
      <c r="F356" s="71" t="s">
        <v>2927</v>
      </c>
      <c r="G356" s="71" t="s">
        <v>2601</v>
      </c>
      <c r="H356" s="71">
        <v>40.200000000000003</v>
      </c>
      <c r="I356" s="71" t="s">
        <v>2767</v>
      </c>
      <c r="J356" s="72">
        <v>3700000</v>
      </c>
      <c r="K356" s="73">
        <v>100000</v>
      </c>
      <c r="L356" s="73">
        <f t="shared" si="13"/>
        <v>3600000</v>
      </c>
      <c r="M356" s="74"/>
      <c r="N356" s="75">
        <f t="shared" si="14"/>
        <v>3600000</v>
      </c>
      <c r="O356" s="29"/>
    </row>
    <row r="357" spans="2:15" s="17" customFormat="1" ht="13.8">
      <c r="B357" s="71" t="s">
        <v>2936</v>
      </c>
      <c r="C357" s="71" t="s">
        <v>2543</v>
      </c>
      <c r="D357" s="71" t="s">
        <v>233</v>
      </c>
      <c r="E357" s="71" t="s">
        <v>2872</v>
      </c>
      <c r="F357" s="71" t="s">
        <v>2927</v>
      </c>
      <c r="G357" s="71" t="s">
        <v>2603</v>
      </c>
      <c r="H357" s="71">
        <v>40.200000000000003</v>
      </c>
      <c r="I357" s="71" t="s">
        <v>2767</v>
      </c>
      <c r="J357" s="72">
        <v>3700000</v>
      </c>
      <c r="K357" s="73">
        <v>100000</v>
      </c>
      <c r="L357" s="73">
        <f t="shared" si="13"/>
        <v>3600000</v>
      </c>
      <c r="M357" s="74"/>
      <c r="N357" s="75">
        <f t="shared" si="14"/>
        <v>3600000</v>
      </c>
      <c r="O357" s="28"/>
    </row>
    <row r="358" spans="2:15" s="17" customFormat="1" ht="13.8">
      <c r="B358" s="71" t="s">
        <v>2937</v>
      </c>
      <c r="C358" s="71" t="s">
        <v>2543</v>
      </c>
      <c r="D358" s="71" t="s">
        <v>205</v>
      </c>
      <c r="E358" s="71" t="s">
        <v>2872</v>
      </c>
      <c r="F358" s="71" t="s">
        <v>2927</v>
      </c>
      <c r="G358" s="71" t="s">
        <v>2605</v>
      </c>
      <c r="H358" s="71">
        <v>40.200000000000003</v>
      </c>
      <c r="I358" s="71" t="s">
        <v>2767</v>
      </c>
      <c r="J358" s="72">
        <v>3700000</v>
      </c>
      <c r="K358" s="73">
        <v>100000</v>
      </c>
      <c r="L358" s="73">
        <f t="shared" si="13"/>
        <v>3600000</v>
      </c>
      <c r="M358" s="74"/>
      <c r="N358" s="75">
        <f t="shared" si="14"/>
        <v>3600000</v>
      </c>
      <c r="O358" s="29"/>
    </row>
    <row r="359" spans="2:15" s="17" customFormat="1" ht="13.8">
      <c r="B359" s="71" t="s">
        <v>2938</v>
      </c>
      <c r="C359" s="71" t="s">
        <v>2543</v>
      </c>
      <c r="D359" s="71" t="s">
        <v>205</v>
      </c>
      <c r="E359" s="71" t="s">
        <v>2872</v>
      </c>
      <c r="F359" s="71" t="s">
        <v>2927</v>
      </c>
      <c r="G359" s="71" t="s">
        <v>2607</v>
      </c>
      <c r="H359" s="71">
        <v>40.200000000000003</v>
      </c>
      <c r="I359" s="71" t="s">
        <v>2767</v>
      </c>
      <c r="J359" s="72">
        <v>3700000</v>
      </c>
      <c r="K359" s="73">
        <v>100000</v>
      </c>
      <c r="L359" s="73">
        <f t="shared" si="13"/>
        <v>3600000</v>
      </c>
      <c r="M359" s="74"/>
      <c r="N359" s="75">
        <f t="shared" si="14"/>
        <v>3600000</v>
      </c>
      <c r="O359" s="28"/>
    </row>
    <row r="360" spans="2:15" s="17" customFormat="1" ht="13.8">
      <c r="B360" s="71" t="s">
        <v>2939</v>
      </c>
      <c r="C360" s="71" t="s">
        <v>2543</v>
      </c>
      <c r="D360" s="71" t="s">
        <v>233</v>
      </c>
      <c r="E360" s="71" t="s">
        <v>2872</v>
      </c>
      <c r="F360" s="71" t="s">
        <v>2927</v>
      </c>
      <c r="G360" s="71" t="s">
        <v>2609</v>
      </c>
      <c r="H360" s="71">
        <v>40.200000000000003</v>
      </c>
      <c r="I360" s="71" t="s">
        <v>2767</v>
      </c>
      <c r="J360" s="72">
        <v>3700000</v>
      </c>
      <c r="K360" s="73">
        <v>100000</v>
      </c>
      <c r="L360" s="73">
        <f t="shared" si="13"/>
        <v>3600000</v>
      </c>
      <c r="M360" s="74"/>
      <c r="N360" s="75">
        <f t="shared" si="14"/>
        <v>3600000</v>
      </c>
      <c r="O360" s="29"/>
    </row>
    <row r="361" spans="2:15" s="17" customFormat="1" ht="13.8">
      <c r="B361" s="71" t="s">
        <v>2940</v>
      </c>
      <c r="C361" s="71" t="s">
        <v>2543</v>
      </c>
      <c r="D361" s="71" t="s">
        <v>233</v>
      </c>
      <c r="E361" s="71" t="s">
        <v>2872</v>
      </c>
      <c r="F361" s="71" t="s">
        <v>2927</v>
      </c>
      <c r="G361" s="71" t="s">
        <v>2611</v>
      </c>
      <c r="H361" s="71">
        <v>44.88</v>
      </c>
      <c r="I361" s="71" t="s">
        <v>2684</v>
      </c>
      <c r="J361" s="72">
        <v>3700000</v>
      </c>
      <c r="K361" s="73">
        <v>100000</v>
      </c>
      <c r="L361" s="73">
        <f t="shared" si="13"/>
        <v>3600000</v>
      </c>
      <c r="M361" s="74"/>
      <c r="N361" s="75">
        <f t="shared" si="14"/>
        <v>3600000</v>
      </c>
      <c r="O361" s="28"/>
    </row>
    <row r="362" spans="2:15" s="17" customFormat="1" ht="13.8">
      <c r="B362" s="71" t="s">
        <v>2941</v>
      </c>
      <c r="C362" s="71" t="s">
        <v>2543</v>
      </c>
      <c r="D362" s="71" t="s">
        <v>233</v>
      </c>
      <c r="E362" s="71" t="s">
        <v>2872</v>
      </c>
      <c r="F362" s="71" t="s">
        <v>2942</v>
      </c>
      <c r="G362" s="71" t="s">
        <v>2365</v>
      </c>
      <c r="H362" s="71">
        <v>46.52</v>
      </c>
      <c r="I362" s="71" t="s">
        <v>2684</v>
      </c>
      <c r="J362" s="72">
        <v>3700000</v>
      </c>
      <c r="K362" s="73">
        <v>100000</v>
      </c>
      <c r="L362" s="73">
        <f t="shared" si="13"/>
        <v>3600000</v>
      </c>
      <c r="M362" s="74"/>
      <c r="N362" s="75">
        <f t="shared" si="14"/>
        <v>3600000</v>
      </c>
      <c r="O362" s="29"/>
    </row>
    <row r="363" spans="2:15" s="17" customFormat="1" ht="13.8">
      <c r="B363" s="71" t="s">
        <v>2943</v>
      </c>
      <c r="C363" s="71" t="s">
        <v>2543</v>
      </c>
      <c r="D363" s="71" t="s">
        <v>233</v>
      </c>
      <c r="E363" s="71" t="s">
        <v>2872</v>
      </c>
      <c r="F363" s="71" t="s">
        <v>2942</v>
      </c>
      <c r="G363" s="71" t="s">
        <v>2368</v>
      </c>
      <c r="H363" s="71">
        <v>40.200000000000003</v>
      </c>
      <c r="I363" s="71" t="s">
        <v>2767</v>
      </c>
      <c r="J363" s="72">
        <v>3700000</v>
      </c>
      <c r="K363" s="73">
        <v>100000</v>
      </c>
      <c r="L363" s="73">
        <f t="shared" si="13"/>
        <v>3600000</v>
      </c>
      <c r="M363" s="74"/>
      <c r="N363" s="75">
        <f t="shared" si="14"/>
        <v>3600000</v>
      </c>
      <c r="O363" s="28"/>
    </row>
    <row r="364" spans="2:15" s="17" customFormat="1" ht="13.8">
      <c r="B364" s="71" t="s">
        <v>2944</v>
      </c>
      <c r="C364" s="71" t="s">
        <v>2543</v>
      </c>
      <c r="D364" s="71" t="s">
        <v>233</v>
      </c>
      <c r="E364" s="71" t="s">
        <v>2872</v>
      </c>
      <c r="F364" s="71" t="s">
        <v>2942</v>
      </c>
      <c r="G364" s="71" t="s">
        <v>2377</v>
      </c>
      <c r="H364" s="71">
        <v>40.200000000000003</v>
      </c>
      <c r="I364" s="71" t="s">
        <v>2767</v>
      </c>
      <c r="J364" s="72">
        <v>3700000</v>
      </c>
      <c r="K364" s="73">
        <v>100000</v>
      </c>
      <c r="L364" s="73">
        <f t="shared" si="13"/>
        <v>3600000</v>
      </c>
      <c r="M364" s="74"/>
      <c r="N364" s="75">
        <f t="shared" si="14"/>
        <v>3600000</v>
      </c>
      <c r="O364" s="29"/>
    </row>
    <row r="365" spans="2:15" s="17" customFormat="1" ht="13.8">
      <c r="B365" s="71" t="s">
        <v>2945</v>
      </c>
      <c r="C365" s="71" t="s">
        <v>2543</v>
      </c>
      <c r="D365" s="71" t="s">
        <v>233</v>
      </c>
      <c r="E365" s="71" t="s">
        <v>2872</v>
      </c>
      <c r="F365" s="71" t="s">
        <v>2942</v>
      </c>
      <c r="G365" s="71" t="s">
        <v>2379</v>
      </c>
      <c r="H365" s="71">
        <v>40.200000000000003</v>
      </c>
      <c r="I365" s="71" t="s">
        <v>2767</v>
      </c>
      <c r="J365" s="72">
        <v>3700000</v>
      </c>
      <c r="K365" s="73">
        <v>100000</v>
      </c>
      <c r="L365" s="73">
        <f t="shared" si="13"/>
        <v>3600000</v>
      </c>
      <c r="M365" s="74"/>
      <c r="N365" s="75">
        <f t="shared" si="14"/>
        <v>3600000</v>
      </c>
      <c r="O365" s="28"/>
    </row>
    <row r="366" spans="2:15" s="17" customFormat="1" ht="13.8">
      <c r="B366" s="71" t="s">
        <v>2946</v>
      </c>
      <c r="C366" s="71" t="s">
        <v>2543</v>
      </c>
      <c r="D366" s="71" t="s">
        <v>233</v>
      </c>
      <c r="E366" s="71" t="s">
        <v>2872</v>
      </c>
      <c r="F366" s="71" t="s">
        <v>2942</v>
      </c>
      <c r="G366" s="71" t="s">
        <v>2370</v>
      </c>
      <c r="H366" s="71">
        <v>40.200000000000003</v>
      </c>
      <c r="I366" s="71" t="s">
        <v>2767</v>
      </c>
      <c r="J366" s="72">
        <v>3700000</v>
      </c>
      <c r="K366" s="73">
        <v>100000</v>
      </c>
      <c r="L366" s="73">
        <f t="shared" si="13"/>
        <v>3600000</v>
      </c>
      <c r="M366" s="74">
        <f>L366*12/112</f>
        <v>385714.28571428574</v>
      </c>
      <c r="N366" s="75">
        <f t="shared" si="14"/>
        <v>3214285.7142857141</v>
      </c>
      <c r="O366" s="29"/>
    </row>
    <row r="367" spans="2:15" s="17" customFormat="1" ht="13.8">
      <c r="B367" s="71" t="s">
        <v>2947</v>
      </c>
      <c r="C367" s="71" t="s">
        <v>2543</v>
      </c>
      <c r="D367" s="71" t="s">
        <v>205</v>
      </c>
      <c r="E367" s="71" t="s">
        <v>2872</v>
      </c>
      <c r="F367" s="71" t="s">
        <v>2942</v>
      </c>
      <c r="G367" s="71" t="s">
        <v>2372</v>
      </c>
      <c r="H367" s="71">
        <v>40.200000000000003</v>
      </c>
      <c r="I367" s="71" t="s">
        <v>2767</v>
      </c>
      <c r="J367" s="72">
        <v>3700000</v>
      </c>
      <c r="K367" s="73">
        <v>100000</v>
      </c>
      <c r="L367" s="73">
        <f t="shared" si="13"/>
        <v>3600000</v>
      </c>
      <c r="M367" s="74"/>
      <c r="N367" s="75">
        <f t="shared" si="14"/>
        <v>3600000</v>
      </c>
      <c r="O367" s="28"/>
    </row>
    <row r="368" spans="2:15" s="17" customFormat="1" ht="13.8">
      <c r="B368" s="71" t="s">
        <v>2948</v>
      </c>
      <c r="C368" s="71" t="s">
        <v>2543</v>
      </c>
      <c r="D368" s="71" t="s">
        <v>233</v>
      </c>
      <c r="E368" s="71" t="s">
        <v>2872</v>
      </c>
      <c r="F368" s="71" t="s">
        <v>2942</v>
      </c>
      <c r="G368" s="71" t="s">
        <v>2597</v>
      </c>
      <c r="H368" s="71">
        <v>46.52</v>
      </c>
      <c r="I368" s="71" t="s">
        <v>2684</v>
      </c>
      <c r="J368" s="72">
        <v>3700000</v>
      </c>
      <c r="K368" s="73">
        <v>100000</v>
      </c>
      <c r="L368" s="73">
        <f t="shared" si="13"/>
        <v>3600000</v>
      </c>
      <c r="M368" s="74"/>
      <c r="N368" s="75">
        <f t="shared" si="14"/>
        <v>3600000</v>
      </c>
      <c r="O368" s="29"/>
    </row>
    <row r="369" spans="2:15" s="17" customFormat="1" ht="13.8">
      <c r="B369" s="71" t="s">
        <v>2949</v>
      </c>
      <c r="C369" s="71" t="s">
        <v>2543</v>
      </c>
      <c r="D369" s="71" t="s">
        <v>233</v>
      </c>
      <c r="E369" s="71" t="s">
        <v>2872</v>
      </c>
      <c r="F369" s="71" t="s">
        <v>2942</v>
      </c>
      <c r="G369" s="71" t="s">
        <v>2599</v>
      </c>
      <c r="H369" s="71">
        <v>44.88</v>
      </c>
      <c r="I369" s="71" t="s">
        <v>2684</v>
      </c>
      <c r="J369" s="72">
        <v>3700000</v>
      </c>
      <c r="K369" s="73">
        <v>100000</v>
      </c>
      <c r="L369" s="73">
        <f t="shared" si="13"/>
        <v>3600000</v>
      </c>
      <c r="M369" s="74"/>
      <c r="N369" s="75">
        <f t="shared" si="14"/>
        <v>3600000</v>
      </c>
      <c r="O369" s="28"/>
    </row>
    <row r="370" spans="2:15" s="17" customFormat="1" ht="13.8">
      <c r="B370" s="71" t="s">
        <v>2950</v>
      </c>
      <c r="C370" s="71" t="s">
        <v>2543</v>
      </c>
      <c r="D370" s="71" t="s">
        <v>205</v>
      </c>
      <c r="E370" s="71" t="s">
        <v>2872</v>
      </c>
      <c r="F370" s="71" t="s">
        <v>2942</v>
      </c>
      <c r="G370" s="71" t="s">
        <v>2601</v>
      </c>
      <c r="H370" s="71">
        <v>40.200000000000003</v>
      </c>
      <c r="I370" s="71" t="s">
        <v>2767</v>
      </c>
      <c r="J370" s="72">
        <v>3700000</v>
      </c>
      <c r="K370" s="73">
        <v>100000</v>
      </c>
      <c r="L370" s="73">
        <f t="shared" si="13"/>
        <v>3600000</v>
      </c>
      <c r="M370" s="74"/>
      <c r="N370" s="75">
        <f t="shared" si="14"/>
        <v>3600000</v>
      </c>
      <c r="O370" s="29"/>
    </row>
    <row r="371" spans="2:15" s="17" customFormat="1" ht="13.8">
      <c r="B371" s="71" t="s">
        <v>2951</v>
      </c>
      <c r="C371" s="71" t="s">
        <v>2543</v>
      </c>
      <c r="D371" s="71" t="s">
        <v>233</v>
      </c>
      <c r="E371" s="71" t="s">
        <v>2872</v>
      </c>
      <c r="F371" s="71" t="s">
        <v>2942</v>
      </c>
      <c r="G371" s="71" t="s">
        <v>2603</v>
      </c>
      <c r="H371" s="71">
        <v>40.200000000000003</v>
      </c>
      <c r="I371" s="71" t="s">
        <v>2767</v>
      </c>
      <c r="J371" s="72">
        <v>3700000</v>
      </c>
      <c r="K371" s="73">
        <v>100000</v>
      </c>
      <c r="L371" s="73">
        <f t="shared" si="13"/>
        <v>3600000</v>
      </c>
      <c r="M371" s="74"/>
      <c r="N371" s="75">
        <f t="shared" si="14"/>
        <v>3600000</v>
      </c>
      <c r="O371" s="28"/>
    </row>
    <row r="372" spans="2:15" s="17" customFormat="1" ht="13.8">
      <c r="B372" s="71" t="s">
        <v>2952</v>
      </c>
      <c r="C372" s="71" t="s">
        <v>2543</v>
      </c>
      <c r="D372" s="71" t="s">
        <v>233</v>
      </c>
      <c r="E372" s="71" t="s">
        <v>2872</v>
      </c>
      <c r="F372" s="71" t="s">
        <v>2942</v>
      </c>
      <c r="G372" s="71" t="s">
        <v>2605</v>
      </c>
      <c r="H372" s="71">
        <v>40.200000000000003</v>
      </c>
      <c r="I372" s="71" t="s">
        <v>2767</v>
      </c>
      <c r="J372" s="72">
        <v>3700000</v>
      </c>
      <c r="K372" s="73">
        <v>100000</v>
      </c>
      <c r="L372" s="73">
        <f t="shared" si="13"/>
        <v>3600000</v>
      </c>
      <c r="M372" s="74"/>
      <c r="N372" s="75">
        <f t="shared" si="14"/>
        <v>3600000</v>
      </c>
      <c r="O372" s="29"/>
    </row>
    <row r="373" spans="2:15" s="17" customFormat="1" ht="13.8">
      <c r="B373" s="71" t="s">
        <v>2953</v>
      </c>
      <c r="C373" s="71" t="s">
        <v>2543</v>
      </c>
      <c r="D373" s="71" t="s">
        <v>233</v>
      </c>
      <c r="E373" s="71" t="s">
        <v>2872</v>
      </c>
      <c r="F373" s="71" t="s">
        <v>2942</v>
      </c>
      <c r="G373" s="71" t="s">
        <v>2607</v>
      </c>
      <c r="H373" s="71">
        <v>40.200000000000003</v>
      </c>
      <c r="I373" s="71" t="s">
        <v>2767</v>
      </c>
      <c r="J373" s="72">
        <v>3700000</v>
      </c>
      <c r="K373" s="73">
        <v>100000</v>
      </c>
      <c r="L373" s="73">
        <f t="shared" si="13"/>
        <v>3600000</v>
      </c>
      <c r="M373" s="74"/>
      <c r="N373" s="75">
        <f t="shared" si="14"/>
        <v>3600000</v>
      </c>
      <c r="O373" s="28"/>
    </row>
    <row r="374" spans="2:15" s="17" customFormat="1" ht="13.8">
      <c r="B374" s="71" t="s">
        <v>2954</v>
      </c>
      <c r="C374" s="71" t="s">
        <v>2543</v>
      </c>
      <c r="D374" s="71" t="s">
        <v>205</v>
      </c>
      <c r="E374" s="71" t="s">
        <v>2872</v>
      </c>
      <c r="F374" s="71" t="s">
        <v>2942</v>
      </c>
      <c r="G374" s="71" t="s">
        <v>2609</v>
      </c>
      <c r="H374" s="71">
        <v>40.200000000000003</v>
      </c>
      <c r="I374" s="71" t="s">
        <v>2767</v>
      </c>
      <c r="J374" s="72">
        <v>3700000</v>
      </c>
      <c r="K374" s="73">
        <v>100000</v>
      </c>
      <c r="L374" s="73">
        <f t="shared" si="13"/>
        <v>3600000</v>
      </c>
      <c r="M374" s="74"/>
      <c r="N374" s="75">
        <f t="shared" si="14"/>
        <v>3600000</v>
      </c>
      <c r="O374" s="29"/>
    </row>
    <row r="375" spans="2:15" s="17" customFormat="1" ht="13.8">
      <c r="B375" s="71" t="s">
        <v>2955</v>
      </c>
      <c r="C375" s="71" t="s">
        <v>2543</v>
      </c>
      <c r="D375" s="71" t="s">
        <v>233</v>
      </c>
      <c r="E375" s="71" t="s">
        <v>2872</v>
      </c>
      <c r="F375" s="71" t="s">
        <v>2942</v>
      </c>
      <c r="G375" s="71" t="s">
        <v>2611</v>
      </c>
      <c r="H375" s="71">
        <v>44.88</v>
      </c>
      <c r="I375" s="71" t="s">
        <v>2684</v>
      </c>
      <c r="J375" s="72">
        <v>3700000</v>
      </c>
      <c r="K375" s="73">
        <v>100000</v>
      </c>
      <c r="L375" s="73">
        <f t="shared" si="13"/>
        <v>3600000</v>
      </c>
      <c r="M375" s="74"/>
      <c r="N375" s="75">
        <f t="shared" si="14"/>
        <v>3600000</v>
      </c>
      <c r="O375" s="28"/>
    </row>
    <row r="376" spans="2:15" s="17" customFormat="1" ht="13.8">
      <c r="B376" s="71" t="s">
        <v>2956</v>
      </c>
      <c r="C376" s="71" t="s">
        <v>2543</v>
      </c>
      <c r="D376" s="71" t="s">
        <v>233</v>
      </c>
      <c r="E376" s="71" t="s">
        <v>2872</v>
      </c>
      <c r="F376" s="71" t="s">
        <v>2957</v>
      </c>
      <c r="G376" s="71" t="s">
        <v>2365</v>
      </c>
      <c r="H376" s="71">
        <v>46.52</v>
      </c>
      <c r="I376" s="71" t="s">
        <v>2684</v>
      </c>
      <c r="J376" s="72">
        <v>3700000</v>
      </c>
      <c r="K376" s="73">
        <v>100000</v>
      </c>
      <c r="L376" s="73">
        <f t="shared" si="13"/>
        <v>3600000</v>
      </c>
      <c r="M376" s="74"/>
      <c r="N376" s="75">
        <f t="shared" si="14"/>
        <v>3600000</v>
      </c>
      <c r="O376" s="29"/>
    </row>
    <row r="377" spans="2:15" s="17" customFormat="1" ht="13.8">
      <c r="B377" s="71" t="s">
        <v>2958</v>
      </c>
      <c r="C377" s="71" t="s">
        <v>2543</v>
      </c>
      <c r="D377" s="71" t="s">
        <v>233</v>
      </c>
      <c r="E377" s="71" t="s">
        <v>2872</v>
      </c>
      <c r="F377" s="71" t="s">
        <v>2957</v>
      </c>
      <c r="G377" s="71" t="s">
        <v>2368</v>
      </c>
      <c r="H377" s="71">
        <v>40.200000000000003</v>
      </c>
      <c r="I377" s="71" t="s">
        <v>2767</v>
      </c>
      <c r="J377" s="72">
        <v>3700000</v>
      </c>
      <c r="K377" s="73">
        <v>100000</v>
      </c>
      <c r="L377" s="73">
        <f t="shared" si="13"/>
        <v>3600000</v>
      </c>
      <c r="M377" s="74"/>
      <c r="N377" s="75">
        <f t="shared" si="14"/>
        <v>3600000</v>
      </c>
      <c r="O377" s="28"/>
    </row>
    <row r="378" spans="2:15" s="17" customFormat="1" ht="13.8">
      <c r="B378" s="71" t="s">
        <v>2959</v>
      </c>
      <c r="C378" s="71" t="s">
        <v>2543</v>
      </c>
      <c r="D378" s="71" t="s">
        <v>205</v>
      </c>
      <c r="E378" s="71" t="s">
        <v>2872</v>
      </c>
      <c r="F378" s="71" t="s">
        <v>2957</v>
      </c>
      <c r="G378" s="71" t="s">
        <v>2377</v>
      </c>
      <c r="H378" s="71">
        <v>40.200000000000003</v>
      </c>
      <c r="I378" s="71" t="s">
        <v>2767</v>
      </c>
      <c r="J378" s="72">
        <v>3700000</v>
      </c>
      <c r="K378" s="73">
        <v>100000</v>
      </c>
      <c r="L378" s="73">
        <f t="shared" si="13"/>
        <v>3600000</v>
      </c>
      <c r="M378" s="74"/>
      <c r="N378" s="75">
        <f t="shared" si="14"/>
        <v>3600000</v>
      </c>
      <c r="O378" s="29"/>
    </row>
    <row r="379" spans="2:15" s="17" customFormat="1" ht="13.8">
      <c r="B379" s="71" t="s">
        <v>2960</v>
      </c>
      <c r="C379" s="71" t="s">
        <v>2543</v>
      </c>
      <c r="D379" s="71" t="s">
        <v>233</v>
      </c>
      <c r="E379" s="71" t="s">
        <v>2872</v>
      </c>
      <c r="F379" s="71" t="s">
        <v>2957</v>
      </c>
      <c r="G379" s="71" t="s">
        <v>2379</v>
      </c>
      <c r="H379" s="71">
        <v>40.200000000000003</v>
      </c>
      <c r="I379" s="71" t="s">
        <v>2767</v>
      </c>
      <c r="J379" s="72">
        <v>3700000</v>
      </c>
      <c r="K379" s="73">
        <v>100000</v>
      </c>
      <c r="L379" s="73">
        <f t="shared" si="13"/>
        <v>3600000</v>
      </c>
      <c r="M379" s="74"/>
      <c r="N379" s="75">
        <f t="shared" si="14"/>
        <v>3600000</v>
      </c>
      <c r="O379" s="28"/>
    </row>
    <row r="380" spans="2:15" s="17" customFormat="1" ht="13.8">
      <c r="B380" s="71" t="s">
        <v>2961</v>
      </c>
      <c r="C380" s="71" t="s">
        <v>2543</v>
      </c>
      <c r="D380" s="71" t="s">
        <v>233</v>
      </c>
      <c r="E380" s="71" t="s">
        <v>2872</v>
      </c>
      <c r="F380" s="71" t="s">
        <v>2957</v>
      </c>
      <c r="G380" s="71" t="s">
        <v>2370</v>
      </c>
      <c r="H380" s="71">
        <v>40.200000000000003</v>
      </c>
      <c r="I380" s="71" t="s">
        <v>2767</v>
      </c>
      <c r="J380" s="72">
        <v>3700000</v>
      </c>
      <c r="K380" s="73">
        <v>100000</v>
      </c>
      <c r="L380" s="73">
        <f t="shared" si="13"/>
        <v>3600000</v>
      </c>
      <c r="M380" s="74"/>
      <c r="N380" s="75">
        <f t="shared" si="14"/>
        <v>3600000</v>
      </c>
      <c r="O380" s="29"/>
    </row>
    <row r="381" spans="2:15" s="17" customFormat="1" ht="13.8">
      <c r="B381" s="71" t="s">
        <v>2962</v>
      </c>
      <c r="C381" s="71" t="s">
        <v>2543</v>
      </c>
      <c r="D381" s="71" t="s">
        <v>233</v>
      </c>
      <c r="E381" s="71" t="s">
        <v>2872</v>
      </c>
      <c r="F381" s="71" t="s">
        <v>2957</v>
      </c>
      <c r="G381" s="71" t="s">
        <v>2372</v>
      </c>
      <c r="H381" s="71">
        <v>40.200000000000003</v>
      </c>
      <c r="I381" s="71" t="s">
        <v>2767</v>
      </c>
      <c r="J381" s="72">
        <v>3700000</v>
      </c>
      <c r="K381" s="73">
        <v>100000</v>
      </c>
      <c r="L381" s="73">
        <f t="shared" si="13"/>
        <v>3600000</v>
      </c>
      <c r="M381" s="74"/>
      <c r="N381" s="75">
        <f t="shared" si="14"/>
        <v>3600000</v>
      </c>
      <c r="O381" s="28"/>
    </row>
    <row r="382" spans="2:15" s="17" customFormat="1" ht="13.8">
      <c r="B382" s="71" t="s">
        <v>2963</v>
      </c>
      <c r="C382" s="71" t="s">
        <v>2543</v>
      </c>
      <c r="D382" s="71" t="s">
        <v>205</v>
      </c>
      <c r="E382" s="71" t="s">
        <v>2872</v>
      </c>
      <c r="F382" s="71" t="s">
        <v>2957</v>
      </c>
      <c r="G382" s="71" t="s">
        <v>2597</v>
      </c>
      <c r="H382" s="71">
        <v>46.52</v>
      </c>
      <c r="I382" s="71" t="s">
        <v>2684</v>
      </c>
      <c r="J382" s="72">
        <v>3700000</v>
      </c>
      <c r="K382" s="73">
        <v>100000</v>
      </c>
      <c r="L382" s="73">
        <f t="shared" si="13"/>
        <v>3600000</v>
      </c>
      <c r="M382" s="74"/>
      <c r="N382" s="75">
        <f t="shared" si="14"/>
        <v>3600000</v>
      </c>
      <c r="O382" s="29"/>
    </row>
    <row r="383" spans="2:15" s="17" customFormat="1" ht="13.8">
      <c r="B383" s="71" t="s">
        <v>2964</v>
      </c>
      <c r="C383" s="71" t="s">
        <v>2543</v>
      </c>
      <c r="D383" s="71" t="s">
        <v>205</v>
      </c>
      <c r="E383" s="71" t="s">
        <v>2872</v>
      </c>
      <c r="F383" s="71" t="s">
        <v>2957</v>
      </c>
      <c r="G383" s="71" t="s">
        <v>2599</v>
      </c>
      <c r="H383" s="71">
        <v>44.88</v>
      </c>
      <c r="I383" s="71" t="s">
        <v>2684</v>
      </c>
      <c r="J383" s="72">
        <v>3700000</v>
      </c>
      <c r="K383" s="73">
        <v>100000</v>
      </c>
      <c r="L383" s="73">
        <f t="shared" si="13"/>
        <v>3600000</v>
      </c>
      <c r="M383" s="74"/>
      <c r="N383" s="75">
        <f t="shared" si="14"/>
        <v>3600000</v>
      </c>
      <c r="O383" s="28"/>
    </row>
    <row r="384" spans="2:15" s="17" customFormat="1" ht="13.8">
      <c r="B384" s="71" t="s">
        <v>2965</v>
      </c>
      <c r="C384" s="71" t="s">
        <v>2543</v>
      </c>
      <c r="D384" s="71" t="s">
        <v>233</v>
      </c>
      <c r="E384" s="71" t="s">
        <v>2872</v>
      </c>
      <c r="F384" s="71" t="s">
        <v>2957</v>
      </c>
      <c r="G384" s="71" t="s">
        <v>2601</v>
      </c>
      <c r="H384" s="71">
        <v>40.200000000000003</v>
      </c>
      <c r="I384" s="71" t="s">
        <v>2767</v>
      </c>
      <c r="J384" s="72">
        <v>3700000</v>
      </c>
      <c r="K384" s="73">
        <v>100000</v>
      </c>
      <c r="L384" s="73">
        <f t="shared" si="13"/>
        <v>3600000</v>
      </c>
      <c r="M384" s="74"/>
      <c r="N384" s="75">
        <f t="shared" si="14"/>
        <v>3600000</v>
      </c>
      <c r="O384" s="29"/>
    </row>
    <row r="385" spans="2:15" s="17" customFormat="1" ht="13.8">
      <c r="B385" s="71" t="s">
        <v>2966</v>
      </c>
      <c r="C385" s="71" t="s">
        <v>2543</v>
      </c>
      <c r="D385" s="71" t="s">
        <v>233</v>
      </c>
      <c r="E385" s="71" t="s">
        <v>2872</v>
      </c>
      <c r="F385" s="71" t="s">
        <v>2957</v>
      </c>
      <c r="G385" s="71" t="s">
        <v>2603</v>
      </c>
      <c r="H385" s="71">
        <v>40.200000000000003</v>
      </c>
      <c r="I385" s="71" t="s">
        <v>2767</v>
      </c>
      <c r="J385" s="72">
        <v>3700000</v>
      </c>
      <c r="K385" s="73">
        <v>100000</v>
      </c>
      <c r="L385" s="73">
        <f t="shared" si="13"/>
        <v>3600000</v>
      </c>
      <c r="M385" s="74"/>
      <c r="N385" s="75">
        <f t="shared" si="14"/>
        <v>3600000</v>
      </c>
      <c r="O385" s="28"/>
    </row>
    <row r="386" spans="2:15" s="17" customFormat="1" ht="13.8">
      <c r="B386" s="71" t="s">
        <v>2967</v>
      </c>
      <c r="C386" s="71" t="s">
        <v>2543</v>
      </c>
      <c r="D386" s="71" t="s">
        <v>233</v>
      </c>
      <c r="E386" s="71" t="s">
        <v>2872</v>
      </c>
      <c r="F386" s="71" t="s">
        <v>2957</v>
      </c>
      <c r="G386" s="71" t="s">
        <v>2605</v>
      </c>
      <c r="H386" s="71">
        <v>40.200000000000003</v>
      </c>
      <c r="I386" s="71" t="s">
        <v>2767</v>
      </c>
      <c r="J386" s="72">
        <v>3700000</v>
      </c>
      <c r="K386" s="73">
        <v>100000</v>
      </c>
      <c r="L386" s="73">
        <f t="shared" si="13"/>
        <v>3600000</v>
      </c>
      <c r="M386" s="74"/>
      <c r="N386" s="75">
        <f t="shared" si="14"/>
        <v>3600000</v>
      </c>
      <c r="O386" s="29"/>
    </row>
    <row r="387" spans="2:15" s="17" customFormat="1" ht="13.8">
      <c r="B387" s="71" t="s">
        <v>2968</v>
      </c>
      <c r="C387" s="71" t="s">
        <v>2543</v>
      </c>
      <c r="D387" s="71" t="s">
        <v>233</v>
      </c>
      <c r="E387" s="71" t="s">
        <v>2872</v>
      </c>
      <c r="F387" s="71" t="s">
        <v>2957</v>
      </c>
      <c r="G387" s="71" t="s">
        <v>2607</v>
      </c>
      <c r="H387" s="71">
        <v>40.200000000000003</v>
      </c>
      <c r="I387" s="71" t="s">
        <v>2767</v>
      </c>
      <c r="J387" s="72">
        <v>3700000</v>
      </c>
      <c r="K387" s="73">
        <v>100000</v>
      </c>
      <c r="L387" s="73">
        <f t="shared" si="13"/>
        <v>3600000</v>
      </c>
      <c r="M387" s="74"/>
      <c r="N387" s="75">
        <f t="shared" si="14"/>
        <v>3600000</v>
      </c>
      <c r="O387" s="28"/>
    </row>
    <row r="388" spans="2:15" s="17" customFormat="1" ht="13.8">
      <c r="B388" s="71" t="s">
        <v>2969</v>
      </c>
      <c r="C388" s="71" t="s">
        <v>2543</v>
      </c>
      <c r="D388" s="71" t="s">
        <v>233</v>
      </c>
      <c r="E388" s="71" t="s">
        <v>2872</v>
      </c>
      <c r="F388" s="71" t="s">
        <v>2957</v>
      </c>
      <c r="G388" s="71" t="s">
        <v>2609</v>
      </c>
      <c r="H388" s="71">
        <v>40.200000000000003</v>
      </c>
      <c r="I388" s="71" t="s">
        <v>2767</v>
      </c>
      <c r="J388" s="72">
        <v>3700000</v>
      </c>
      <c r="K388" s="73">
        <v>100000</v>
      </c>
      <c r="L388" s="73">
        <f t="shared" si="13"/>
        <v>3600000</v>
      </c>
      <c r="M388" s="74"/>
      <c r="N388" s="75">
        <f t="shared" si="14"/>
        <v>3600000</v>
      </c>
      <c r="O388" s="29"/>
    </row>
    <row r="389" spans="2:15" s="17" customFormat="1" ht="13.8">
      <c r="B389" s="71" t="s">
        <v>2970</v>
      </c>
      <c r="C389" s="71" t="s">
        <v>2543</v>
      </c>
      <c r="D389" s="71" t="s">
        <v>233</v>
      </c>
      <c r="E389" s="71" t="s">
        <v>2872</v>
      </c>
      <c r="F389" s="71" t="s">
        <v>2957</v>
      </c>
      <c r="G389" s="71" t="s">
        <v>2611</v>
      </c>
      <c r="H389" s="71">
        <v>44.88</v>
      </c>
      <c r="I389" s="71" t="s">
        <v>2684</v>
      </c>
      <c r="J389" s="72">
        <v>3700000</v>
      </c>
      <c r="K389" s="73">
        <v>100000</v>
      </c>
      <c r="L389" s="73">
        <f t="shared" si="13"/>
        <v>3600000</v>
      </c>
      <c r="M389" s="74"/>
      <c r="N389" s="75">
        <f t="shared" si="14"/>
        <v>3600000</v>
      </c>
      <c r="O389" s="28"/>
    </row>
    <row r="390" spans="2:15" s="17" customFormat="1" ht="13.8">
      <c r="B390" s="71" t="s">
        <v>2971</v>
      </c>
      <c r="C390" s="71" t="s">
        <v>2543</v>
      </c>
      <c r="D390" s="71" t="s">
        <v>233</v>
      </c>
      <c r="E390" s="71" t="s">
        <v>2872</v>
      </c>
      <c r="F390" s="71" t="s">
        <v>2972</v>
      </c>
      <c r="G390" s="71" t="s">
        <v>2365</v>
      </c>
      <c r="H390" s="71">
        <v>46.52</v>
      </c>
      <c r="I390" s="71" t="s">
        <v>2684</v>
      </c>
      <c r="J390" s="72">
        <v>3700000</v>
      </c>
      <c r="K390" s="73">
        <v>100000</v>
      </c>
      <c r="L390" s="73">
        <f t="shared" si="13"/>
        <v>3600000</v>
      </c>
      <c r="M390" s="74"/>
      <c r="N390" s="75">
        <f t="shared" si="14"/>
        <v>3600000</v>
      </c>
      <c r="O390" s="29"/>
    </row>
    <row r="391" spans="2:15" s="17" customFormat="1" ht="13.8">
      <c r="B391" s="71" t="s">
        <v>2973</v>
      </c>
      <c r="C391" s="71" t="s">
        <v>2543</v>
      </c>
      <c r="D391" s="71" t="s">
        <v>233</v>
      </c>
      <c r="E391" s="71" t="s">
        <v>2872</v>
      </c>
      <c r="F391" s="71" t="s">
        <v>2972</v>
      </c>
      <c r="G391" s="71" t="s">
        <v>2368</v>
      </c>
      <c r="H391" s="71">
        <v>40.200000000000003</v>
      </c>
      <c r="I391" s="71" t="s">
        <v>2767</v>
      </c>
      <c r="J391" s="72">
        <v>3700000</v>
      </c>
      <c r="K391" s="73">
        <v>100000</v>
      </c>
      <c r="L391" s="73">
        <f t="shared" si="13"/>
        <v>3600000</v>
      </c>
      <c r="M391" s="74"/>
      <c r="N391" s="75">
        <f t="shared" si="14"/>
        <v>3600000</v>
      </c>
      <c r="O391" s="28"/>
    </row>
    <row r="392" spans="2:15" s="17" customFormat="1" ht="13.8">
      <c r="B392" s="71" t="s">
        <v>2974</v>
      </c>
      <c r="C392" s="71" t="s">
        <v>2543</v>
      </c>
      <c r="D392" s="71" t="s">
        <v>233</v>
      </c>
      <c r="E392" s="71" t="s">
        <v>2872</v>
      </c>
      <c r="F392" s="71" t="s">
        <v>2972</v>
      </c>
      <c r="G392" s="71" t="s">
        <v>2377</v>
      </c>
      <c r="H392" s="71">
        <v>40.200000000000003</v>
      </c>
      <c r="I392" s="71" t="s">
        <v>2767</v>
      </c>
      <c r="J392" s="72">
        <v>3700000</v>
      </c>
      <c r="K392" s="73">
        <v>100000</v>
      </c>
      <c r="L392" s="73">
        <f t="shared" ref="L392:L455" si="15">J392-K392</f>
        <v>3600000</v>
      </c>
      <c r="M392" s="74"/>
      <c r="N392" s="75">
        <f t="shared" ref="N392:N455" si="16">L392-M392</f>
        <v>3600000</v>
      </c>
      <c r="O392" s="29"/>
    </row>
    <row r="393" spans="2:15" s="17" customFormat="1" ht="13.8">
      <c r="B393" s="71" t="s">
        <v>2975</v>
      </c>
      <c r="C393" s="71" t="s">
        <v>2543</v>
      </c>
      <c r="D393" s="71" t="s">
        <v>205</v>
      </c>
      <c r="E393" s="71" t="s">
        <v>2872</v>
      </c>
      <c r="F393" s="71" t="s">
        <v>2972</v>
      </c>
      <c r="G393" s="71" t="s">
        <v>2379</v>
      </c>
      <c r="H393" s="71">
        <v>40.200000000000003</v>
      </c>
      <c r="I393" s="71" t="s">
        <v>2767</v>
      </c>
      <c r="J393" s="72">
        <v>3700000</v>
      </c>
      <c r="K393" s="73">
        <v>100000</v>
      </c>
      <c r="L393" s="73">
        <f t="shared" si="15"/>
        <v>3600000</v>
      </c>
      <c r="M393" s="74"/>
      <c r="N393" s="75">
        <f t="shared" si="16"/>
        <v>3600000</v>
      </c>
      <c r="O393" s="28"/>
    </row>
    <row r="394" spans="2:15" s="17" customFormat="1" ht="13.8">
      <c r="B394" s="71" t="s">
        <v>2976</v>
      </c>
      <c r="C394" s="71" t="s">
        <v>2543</v>
      </c>
      <c r="D394" s="71" t="s">
        <v>233</v>
      </c>
      <c r="E394" s="71" t="s">
        <v>2872</v>
      </c>
      <c r="F394" s="71" t="s">
        <v>2972</v>
      </c>
      <c r="G394" s="71" t="s">
        <v>2370</v>
      </c>
      <c r="H394" s="71">
        <v>40.200000000000003</v>
      </c>
      <c r="I394" s="71" t="s">
        <v>2767</v>
      </c>
      <c r="J394" s="72">
        <v>3700000</v>
      </c>
      <c r="K394" s="73">
        <v>100000</v>
      </c>
      <c r="L394" s="73">
        <f t="shared" si="15"/>
        <v>3600000</v>
      </c>
      <c r="M394" s="74"/>
      <c r="N394" s="75">
        <f t="shared" si="16"/>
        <v>3600000</v>
      </c>
      <c r="O394" s="29"/>
    </row>
    <row r="395" spans="2:15" s="17" customFormat="1" ht="13.8">
      <c r="B395" s="71" t="s">
        <v>2977</v>
      </c>
      <c r="C395" s="71" t="s">
        <v>2543</v>
      </c>
      <c r="D395" s="71" t="s">
        <v>233</v>
      </c>
      <c r="E395" s="71" t="s">
        <v>2872</v>
      </c>
      <c r="F395" s="71" t="s">
        <v>2972</v>
      </c>
      <c r="G395" s="71" t="s">
        <v>2372</v>
      </c>
      <c r="H395" s="71">
        <v>40.200000000000003</v>
      </c>
      <c r="I395" s="71" t="s">
        <v>2767</v>
      </c>
      <c r="J395" s="72">
        <v>3700000</v>
      </c>
      <c r="K395" s="73">
        <v>100000</v>
      </c>
      <c r="L395" s="73">
        <f t="shared" si="15"/>
        <v>3600000</v>
      </c>
      <c r="M395" s="74"/>
      <c r="N395" s="75">
        <f t="shared" si="16"/>
        <v>3600000</v>
      </c>
      <c r="O395" s="28"/>
    </row>
    <row r="396" spans="2:15" s="17" customFormat="1" ht="13.8">
      <c r="B396" s="71" t="s">
        <v>2978</v>
      </c>
      <c r="C396" s="71" t="s">
        <v>2543</v>
      </c>
      <c r="D396" s="71" t="s">
        <v>233</v>
      </c>
      <c r="E396" s="71" t="s">
        <v>2872</v>
      </c>
      <c r="F396" s="71" t="s">
        <v>2972</v>
      </c>
      <c r="G396" s="71" t="s">
        <v>2597</v>
      </c>
      <c r="H396" s="71">
        <v>46.52</v>
      </c>
      <c r="I396" s="71" t="s">
        <v>2684</v>
      </c>
      <c r="J396" s="72">
        <v>3700000</v>
      </c>
      <c r="K396" s="73">
        <v>100000</v>
      </c>
      <c r="L396" s="73">
        <f t="shared" si="15"/>
        <v>3600000</v>
      </c>
      <c r="M396" s="74"/>
      <c r="N396" s="75">
        <f t="shared" si="16"/>
        <v>3600000</v>
      </c>
      <c r="O396" s="29"/>
    </row>
    <row r="397" spans="2:15" s="17" customFormat="1" ht="13.8">
      <c r="B397" s="71" t="s">
        <v>2979</v>
      </c>
      <c r="C397" s="71" t="s">
        <v>2543</v>
      </c>
      <c r="D397" s="71" t="s">
        <v>233</v>
      </c>
      <c r="E397" s="71" t="s">
        <v>2872</v>
      </c>
      <c r="F397" s="71" t="s">
        <v>2972</v>
      </c>
      <c r="G397" s="71" t="s">
        <v>2599</v>
      </c>
      <c r="H397" s="71">
        <v>44.88</v>
      </c>
      <c r="I397" s="71" t="s">
        <v>2684</v>
      </c>
      <c r="J397" s="72">
        <v>3700000</v>
      </c>
      <c r="K397" s="73">
        <v>100000</v>
      </c>
      <c r="L397" s="73">
        <f t="shared" si="15"/>
        <v>3600000</v>
      </c>
      <c r="M397" s="74"/>
      <c r="N397" s="75">
        <f t="shared" si="16"/>
        <v>3600000</v>
      </c>
      <c r="O397" s="28"/>
    </row>
    <row r="398" spans="2:15" s="17" customFormat="1" ht="13.8">
      <c r="B398" s="71" t="s">
        <v>2980</v>
      </c>
      <c r="C398" s="71" t="s">
        <v>2543</v>
      </c>
      <c r="D398" s="71" t="s">
        <v>233</v>
      </c>
      <c r="E398" s="71" t="s">
        <v>2872</v>
      </c>
      <c r="F398" s="71" t="s">
        <v>2972</v>
      </c>
      <c r="G398" s="71" t="s">
        <v>2601</v>
      </c>
      <c r="H398" s="71">
        <v>40.200000000000003</v>
      </c>
      <c r="I398" s="71" t="s">
        <v>2767</v>
      </c>
      <c r="J398" s="72">
        <v>3700000</v>
      </c>
      <c r="K398" s="73">
        <v>100000</v>
      </c>
      <c r="L398" s="73">
        <f t="shared" si="15"/>
        <v>3600000</v>
      </c>
      <c r="M398" s="74"/>
      <c r="N398" s="75">
        <f t="shared" si="16"/>
        <v>3600000</v>
      </c>
      <c r="O398" s="29"/>
    </row>
    <row r="399" spans="2:15" s="17" customFormat="1" ht="13.8">
      <c r="B399" s="71" t="s">
        <v>2981</v>
      </c>
      <c r="C399" s="71" t="s">
        <v>2543</v>
      </c>
      <c r="D399" s="71" t="s">
        <v>233</v>
      </c>
      <c r="E399" s="71" t="s">
        <v>2872</v>
      </c>
      <c r="F399" s="71" t="s">
        <v>2972</v>
      </c>
      <c r="G399" s="71" t="s">
        <v>2603</v>
      </c>
      <c r="H399" s="71">
        <v>40.200000000000003</v>
      </c>
      <c r="I399" s="71" t="s">
        <v>2767</v>
      </c>
      <c r="J399" s="72">
        <v>3700000</v>
      </c>
      <c r="K399" s="73">
        <v>100000</v>
      </c>
      <c r="L399" s="73">
        <f t="shared" si="15"/>
        <v>3600000</v>
      </c>
      <c r="M399" s="74"/>
      <c r="N399" s="75">
        <f t="shared" si="16"/>
        <v>3600000</v>
      </c>
      <c r="O399" s="28"/>
    </row>
    <row r="400" spans="2:15" s="17" customFormat="1" ht="13.8">
      <c r="B400" s="71" t="s">
        <v>2982</v>
      </c>
      <c r="C400" s="71" t="s">
        <v>2543</v>
      </c>
      <c r="D400" s="71" t="s">
        <v>233</v>
      </c>
      <c r="E400" s="71" t="s">
        <v>2872</v>
      </c>
      <c r="F400" s="71" t="s">
        <v>2972</v>
      </c>
      <c r="G400" s="71" t="s">
        <v>2605</v>
      </c>
      <c r="H400" s="71">
        <v>40.200000000000003</v>
      </c>
      <c r="I400" s="71" t="s">
        <v>2767</v>
      </c>
      <c r="J400" s="72">
        <v>3700000</v>
      </c>
      <c r="K400" s="73">
        <v>100000</v>
      </c>
      <c r="L400" s="73">
        <f t="shared" si="15"/>
        <v>3600000</v>
      </c>
      <c r="M400" s="74"/>
      <c r="N400" s="75">
        <f t="shared" si="16"/>
        <v>3600000</v>
      </c>
      <c r="O400" s="29"/>
    </row>
    <row r="401" spans="2:15" s="17" customFormat="1" ht="13.8">
      <c r="B401" s="71" t="s">
        <v>2983</v>
      </c>
      <c r="C401" s="71" t="s">
        <v>2543</v>
      </c>
      <c r="D401" s="71" t="s">
        <v>233</v>
      </c>
      <c r="E401" s="71" t="s">
        <v>2872</v>
      </c>
      <c r="F401" s="71" t="s">
        <v>2972</v>
      </c>
      <c r="G401" s="71" t="s">
        <v>2607</v>
      </c>
      <c r="H401" s="71">
        <v>40.200000000000003</v>
      </c>
      <c r="I401" s="71" t="s">
        <v>2767</v>
      </c>
      <c r="J401" s="72">
        <v>3700000</v>
      </c>
      <c r="K401" s="73">
        <v>100000</v>
      </c>
      <c r="L401" s="73">
        <f t="shared" si="15"/>
        <v>3600000</v>
      </c>
      <c r="M401" s="74"/>
      <c r="N401" s="75">
        <f t="shared" si="16"/>
        <v>3600000</v>
      </c>
      <c r="O401" s="28"/>
    </row>
    <row r="402" spans="2:15" s="17" customFormat="1" ht="13.8">
      <c r="B402" s="71" t="s">
        <v>2984</v>
      </c>
      <c r="C402" s="71" t="s">
        <v>2543</v>
      </c>
      <c r="D402" s="71" t="s">
        <v>233</v>
      </c>
      <c r="E402" s="71" t="s">
        <v>2872</v>
      </c>
      <c r="F402" s="71" t="s">
        <v>2972</v>
      </c>
      <c r="G402" s="71" t="s">
        <v>2609</v>
      </c>
      <c r="H402" s="71">
        <v>40.200000000000003</v>
      </c>
      <c r="I402" s="71" t="s">
        <v>2767</v>
      </c>
      <c r="J402" s="72">
        <v>3700000</v>
      </c>
      <c r="K402" s="73">
        <v>100000</v>
      </c>
      <c r="L402" s="73">
        <f t="shared" si="15"/>
        <v>3600000</v>
      </c>
      <c r="M402" s="74"/>
      <c r="N402" s="75">
        <f t="shared" si="16"/>
        <v>3600000</v>
      </c>
      <c r="O402" s="29"/>
    </row>
    <row r="403" spans="2:15" s="17" customFormat="1" ht="13.8">
      <c r="B403" s="71" t="s">
        <v>2985</v>
      </c>
      <c r="C403" s="71" t="s">
        <v>2543</v>
      </c>
      <c r="D403" s="71" t="s">
        <v>233</v>
      </c>
      <c r="E403" s="71" t="s">
        <v>2872</v>
      </c>
      <c r="F403" s="71" t="s">
        <v>2972</v>
      </c>
      <c r="G403" s="71" t="s">
        <v>2611</v>
      </c>
      <c r="H403" s="71">
        <v>44.88</v>
      </c>
      <c r="I403" s="71" t="s">
        <v>2684</v>
      </c>
      <c r="J403" s="72">
        <v>3700000</v>
      </c>
      <c r="K403" s="73">
        <v>100000</v>
      </c>
      <c r="L403" s="73">
        <f t="shared" si="15"/>
        <v>3600000</v>
      </c>
      <c r="M403" s="74"/>
      <c r="N403" s="75">
        <f t="shared" si="16"/>
        <v>3600000</v>
      </c>
      <c r="O403" s="28"/>
    </row>
    <row r="404" spans="2:15" s="17" customFormat="1" ht="13.8">
      <c r="B404" s="78" t="s">
        <v>2986</v>
      </c>
      <c r="C404" s="78" t="s">
        <v>2543</v>
      </c>
      <c r="D404" s="71" t="s">
        <v>22</v>
      </c>
      <c r="E404" s="78" t="s">
        <v>2987</v>
      </c>
      <c r="F404" s="71" t="s">
        <v>2988</v>
      </c>
      <c r="G404" s="78" t="s">
        <v>2365</v>
      </c>
      <c r="H404" s="78">
        <v>34</v>
      </c>
      <c r="I404" s="71" t="s">
        <v>2989</v>
      </c>
      <c r="J404" s="72">
        <v>3280000</v>
      </c>
      <c r="K404" s="73"/>
      <c r="L404" s="73">
        <f t="shared" si="15"/>
        <v>3280000</v>
      </c>
      <c r="M404" s="74"/>
      <c r="N404" s="75">
        <f t="shared" si="16"/>
        <v>3280000</v>
      </c>
      <c r="O404" s="29"/>
    </row>
    <row r="405" spans="2:15" s="17" customFormat="1" ht="13.8">
      <c r="B405" s="78" t="s">
        <v>2990</v>
      </c>
      <c r="C405" s="78" t="s">
        <v>2543</v>
      </c>
      <c r="D405" s="71" t="s">
        <v>22</v>
      </c>
      <c r="E405" s="78" t="s">
        <v>2987</v>
      </c>
      <c r="F405" s="71" t="s">
        <v>2988</v>
      </c>
      <c r="G405" s="78" t="s">
        <v>2368</v>
      </c>
      <c r="H405" s="78">
        <v>20.100000000000001</v>
      </c>
      <c r="I405" s="71" t="s">
        <v>2590</v>
      </c>
      <c r="J405" s="72">
        <v>2500000</v>
      </c>
      <c r="K405" s="73"/>
      <c r="L405" s="73">
        <f t="shared" si="15"/>
        <v>2500000</v>
      </c>
      <c r="M405" s="74"/>
      <c r="N405" s="75">
        <f t="shared" si="16"/>
        <v>2500000</v>
      </c>
      <c r="O405" s="28"/>
    </row>
    <row r="406" spans="2:15" s="17" customFormat="1" ht="13.8">
      <c r="B406" s="78" t="s">
        <v>2991</v>
      </c>
      <c r="C406" s="78" t="s">
        <v>2543</v>
      </c>
      <c r="D406" s="71" t="s">
        <v>22</v>
      </c>
      <c r="E406" s="78" t="s">
        <v>2987</v>
      </c>
      <c r="F406" s="71" t="s">
        <v>2988</v>
      </c>
      <c r="G406" s="78" t="s">
        <v>2377</v>
      </c>
      <c r="H406" s="78">
        <v>20.100000000000001</v>
      </c>
      <c r="I406" s="71" t="s">
        <v>2590</v>
      </c>
      <c r="J406" s="72">
        <v>2500000</v>
      </c>
      <c r="K406" s="73"/>
      <c r="L406" s="73">
        <f t="shared" si="15"/>
        <v>2500000</v>
      </c>
      <c r="M406" s="74"/>
      <c r="N406" s="75">
        <f t="shared" si="16"/>
        <v>2500000</v>
      </c>
      <c r="O406" s="29"/>
    </row>
    <row r="407" spans="2:15" s="17" customFormat="1" ht="13.8">
      <c r="B407" s="78" t="s">
        <v>2992</v>
      </c>
      <c r="C407" s="78" t="s">
        <v>2543</v>
      </c>
      <c r="D407" s="71" t="s">
        <v>22</v>
      </c>
      <c r="E407" s="78" t="s">
        <v>2987</v>
      </c>
      <c r="F407" s="71" t="s">
        <v>2988</v>
      </c>
      <c r="G407" s="78" t="s">
        <v>2379</v>
      </c>
      <c r="H407" s="78">
        <v>26.8</v>
      </c>
      <c r="I407" s="71" t="s">
        <v>2592</v>
      </c>
      <c r="J407" s="72">
        <v>3280000</v>
      </c>
      <c r="K407" s="73"/>
      <c r="L407" s="73">
        <f t="shared" si="15"/>
        <v>3280000</v>
      </c>
      <c r="M407" s="74"/>
      <c r="N407" s="75">
        <f t="shared" si="16"/>
        <v>3280000</v>
      </c>
      <c r="O407" s="28"/>
    </row>
    <row r="408" spans="2:15" s="17" customFormat="1" ht="13.8">
      <c r="B408" s="78" t="s">
        <v>2993</v>
      </c>
      <c r="C408" s="78" t="s">
        <v>2543</v>
      </c>
      <c r="D408" s="71" t="s">
        <v>22</v>
      </c>
      <c r="E408" s="78" t="s">
        <v>2987</v>
      </c>
      <c r="F408" s="71" t="s">
        <v>2988</v>
      </c>
      <c r="G408" s="78" t="s">
        <v>2370</v>
      </c>
      <c r="H408" s="78">
        <v>26.8</v>
      </c>
      <c r="I408" s="71" t="s">
        <v>2592</v>
      </c>
      <c r="J408" s="72">
        <v>3280000</v>
      </c>
      <c r="K408" s="73"/>
      <c r="L408" s="73">
        <f t="shared" si="15"/>
        <v>3280000</v>
      </c>
      <c r="M408" s="74"/>
      <c r="N408" s="75">
        <f t="shared" si="16"/>
        <v>3280000</v>
      </c>
      <c r="O408" s="29"/>
    </row>
    <row r="409" spans="2:15" s="17" customFormat="1" ht="13.8">
      <c r="B409" s="78" t="s">
        <v>2994</v>
      </c>
      <c r="C409" s="78" t="s">
        <v>2543</v>
      </c>
      <c r="D409" s="71" t="s">
        <v>22</v>
      </c>
      <c r="E409" s="78" t="s">
        <v>2987</v>
      </c>
      <c r="F409" s="71" t="s">
        <v>2988</v>
      </c>
      <c r="G409" s="78" t="s">
        <v>2372</v>
      </c>
      <c r="H409" s="78">
        <v>26.8</v>
      </c>
      <c r="I409" s="71" t="s">
        <v>2592</v>
      </c>
      <c r="J409" s="72">
        <v>3280000</v>
      </c>
      <c r="K409" s="73"/>
      <c r="L409" s="73">
        <f t="shared" si="15"/>
        <v>3280000</v>
      </c>
      <c r="M409" s="74"/>
      <c r="N409" s="75">
        <f t="shared" si="16"/>
        <v>3280000</v>
      </c>
      <c r="O409" s="28"/>
    </row>
    <row r="410" spans="2:15" s="17" customFormat="1" ht="13.8">
      <c r="B410" s="78" t="s">
        <v>2995</v>
      </c>
      <c r="C410" s="78" t="s">
        <v>2543</v>
      </c>
      <c r="D410" s="71" t="s">
        <v>22</v>
      </c>
      <c r="E410" s="78" t="s">
        <v>2987</v>
      </c>
      <c r="F410" s="71" t="s">
        <v>2988</v>
      </c>
      <c r="G410" s="78" t="s">
        <v>2597</v>
      </c>
      <c r="H410" s="78">
        <v>26.8</v>
      </c>
      <c r="I410" s="71" t="s">
        <v>2592</v>
      </c>
      <c r="J410" s="72">
        <v>3280000</v>
      </c>
      <c r="K410" s="73"/>
      <c r="L410" s="73">
        <f t="shared" si="15"/>
        <v>3280000</v>
      </c>
      <c r="M410" s="74"/>
      <c r="N410" s="75">
        <f t="shared" si="16"/>
        <v>3280000</v>
      </c>
      <c r="O410" s="29"/>
    </row>
    <row r="411" spans="2:15" s="17" customFormat="1" ht="13.8">
      <c r="B411" s="78" t="s">
        <v>2996</v>
      </c>
      <c r="C411" s="78" t="s">
        <v>2543</v>
      </c>
      <c r="D411" s="71" t="s">
        <v>22</v>
      </c>
      <c r="E411" s="78" t="s">
        <v>2987</v>
      </c>
      <c r="F411" s="71" t="s">
        <v>2988</v>
      </c>
      <c r="G411" s="78" t="s">
        <v>2599</v>
      </c>
      <c r="H411" s="78">
        <v>26.8</v>
      </c>
      <c r="I411" s="71" t="s">
        <v>2592</v>
      </c>
      <c r="J411" s="72">
        <v>3280000</v>
      </c>
      <c r="K411" s="73"/>
      <c r="L411" s="73">
        <f t="shared" si="15"/>
        <v>3280000</v>
      </c>
      <c r="M411" s="74"/>
      <c r="N411" s="75">
        <f t="shared" si="16"/>
        <v>3280000</v>
      </c>
      <c r="O411" s="28"/>
    </row>
    <row r="412" spans="2:15" s="17" customFormat="1" ht="13.8">
      <c r="B412" s="78" t="s">
        <v>2997</v>
      </c>
      <c r="C412" s="78" t="s">
        <v>2543</v>
      </c>
      <c r="D412" s="71" t="s">
        <v>22</v>
      </c>
      <c r="E412" s="78" t="s">
        <v>2987</v>
      </c>
      <c r="F412" s="71" t="s">
        <v>2988</v>
      </c>
      <c r="G412" s="78" t="s">
        <v>2601</v>
      </c>
      <c r="H412" s="78">
        <v>26.8</v>
      </c>
      <c r="I412" s="71" t="s">
        <v>2592</v>
      </c>
      <c r="J412" s="72">
        <v>3280000</v>
      </c>
      <c r="K412" s="73"/>
      <c r="L412" s="73">
        <f t="shared" si="15"/>
        <v>3280000</v>
      </c>
      <c r="M412" s="74"/>
      <c r="N412" s="75">
        <f t="shared" si="16"/>
        <v>3280000</v>
      </c>
      <c r="O412" s="29"/>
    </row>
    <row r="413" spans="2:15" s="17" customFormat="1" ht="13.8">
      <c r="B413" s="78" t="s">
        <v>2998</v>
      </c>
      <c r="C413" s="78" t="s">
        <v>2543</v>
      </c>
      <c r="D413" s="71" t="s">
        <v>22</v>
      </c>
      <c r="E413" s="78" t="s">
        <v>2987</v>
      </c>
      <c r="F413" s="71" t="s">
        <v>2988</v>
      </c>
      <c r="G413" s="78" t="s">
        <v>2603</v>
      </c>
      <c r="H413" s="78">
        <v>20.100000000000001</v>
      </c>
      <c r="I413" s="71" t="s">
        <v>2590</v>
      </c>
      <c r="J413" s="72">
        <v>2500000</v>
      </c>
      <c r="K413" s="73"/>
      <c r="L413" s="73">
        <f t="shared" si="15"/>
        <v>2500000</v>
      </c>
      <c r="M413" s="74"/>
      <c r="N413" s="75">
        <f t="shared" si="16"/>
        <v>2500000</v>
      </c>
      <c r="O413" s="28"/>
    </row>
    <row r="414" spans="2:15" s="17" customFormat="1" ht="13.8">
      <c r="B414" s="78" t="s">
        <v>2999</v>
      </c>
      <c r="C414" s="78" t="s">
        <v>2543</v>
      </c>
      <c r="D414" s="71" t="s">
        <v>22</v>
      </c>
      <c r="E414" s="78" t="s">
        <v>2987</v>
      </c>
      <c r="F414" s="71" t="s">
        <v>2988</v>
      </c>
      <c r="G414" s="78" t="s">
        <v>2605</v>
      </c>
      <c r="H414" s="78">
        <v>34</v>
      </c>
      <c r="I414" s="71" t="s">
        <v>2989</v>
      </c>
      <c r="J414" s="72">
        <v>3280000</v>
      </c>
      <c r="K414" s="73"/>
      <c r="L414" s="73">
        <f t="shared" si="15"/>
        <v>3280000</v>
      </c>
      <c r="M414" s="74"/>
      <c r="N414" s="75">
        <f t="shared" si="16"/>
        <v>3280000</v>
      </c>
      <c r="O414" s="29"/>
    </row>
    <row r="415" spans="2:15" s="17" customFormat="1" ht="13.8">
      <c r="B415" s="78" t="s">
        <v>3000</v>
      </c>
      <c r="C415" s="78" t="s">
        <v>2543</v>
      </c>
      <c r="D415" s="71" t="s">
        <v>22</v>
      </c>
      <c r="E415" s="78" t="s">
        <v>2987</v>
      </c>
      <c r="F415" s="71" t="s">
        <v>2988</v>
      </c>
      <c r="G415" s="78" t="s">
        <v>2607</v>
      </c>
      <c r="H415" s="78">
        <v>34</v>
      </c>
      <c r="I415" s="71" t="s">
        <v>2989</v>
      </c>
      <c r="J415" s="72">
        <v>3280000</v>
      </c>
      <c r="K415" s="73"/>
      <c r="L415" s="73">
        <f t="shared" si="15"/>
        <v>3280000</v>
      </c>
      <c r="M415" s="74"/>
      <c r="N415" s="75">
        <f t="shared" si="16"/>
        <v>3280000</v>
      </c>
      <c r="O415" s="28"/>
    </row>
    <row r="416" spans="2:15" s="17" customFormat="1" ht="13.8">
      <c r="B416" s="78" t="s">
        <v>3001</v>
      </c>
      <c r="C416" s="78" t="s">
        <v>2543</v>
      </c>
      <c r="D416" s="71" t="s">
        <v>22</v>
      </c>
      <c r="E416" s="78" t="s">
        <v>2987</v>
      </c>
      <c r="F416" s="71" t="s">
        <v>2988</v>
      </c>
      <c r="G416" s="78" t="s">
        <v>2609</v>
      </c>
      <c r="H416" s="78">
        <v>20.100000000000001</v>
      </c>
      <c r="I416" s="71" t="s">
        <v>2590</v>
      </c>
      <c r="J416" s="72">
        <v>2500000</v>
      </c>
      <c r="K416" s="73"/>
      <c r="L416" s="73">
        <f t="shared" si="15"/>
        <v>2500000</v>
      </c>
      <c r="M416" s="74"/>
      <c r="N416" s="75">
        <f t="shared" si="16"/>
        <v>2500000</v>
      </c>
      <c r="O416" s="29"/>
    </row>
    <row r="417" spans="2:15" s="17" customFormat="1" ht="13.8">
      <c r="B417" s="78" t="s">
        <v>3002</v>
      </c>
      <c r="C417" s="78" t="s">
        <v>2543</v>
      </c>
      <c r="D417" s="71" t="s">
        <v>22</v>
      </c>
      <c r="E417" s="78" t="s">
        <v>2987</v>
      </c>
      <c r="F417" s="71" t="s">
        <v>2988</v>
      </c>
      <c r="G417" s="78" t="s">
        <v>2611</v>
      </c>
      <c r="H417" s="78">
        <v>26.8</v>
      </c>
      <c r="I417" s="71" t="s">
        <v>2592</v>
      </c>
      <c r="J417" s="72">
        <v>3280000</v>
      </c>
      <c r="K417" s="73"/>
      <c r="L417" s="73">
        <f t="shared" si="15"/>
        <v>3280000</v>
      </c>
      <c r="M417" s="74"/>
      <c r="N417" s="75">
        <f t="shared" si="16"/>
        <v>3280000</v>
      </c>
      <c r="O417" s="28"/>
    </row>
    <row r="418" spans="2:15" s="17" customFormat="1" ht="13.8">
      <c r="B418" s="78" t="s">
        <v>3003</v>
      </c>
      <c r="C418" s="78" t="s">
        <v>2543</v>
      </c>
      <c r="D418" s="71" t="s">
        <v>22</v>
      </c>
      <c r="E418" s="78" t="s">
        <v>2987</v>
      </c>
      <c r="F418" s="71" t="s">
        <v>2988</v>
      </c>
      <c r="G418" s="78" t="s">
        <v>2613</v>
      </c>
      <c r="H418" s="78">
        <v>26.8</v>
      </c>
      <c r="I418" s="71" t="s">
        <v>2592</v>
      </c>
      <c r="J418" s="72">
        <v>3280000</v>
      </c>
      <c r="K418" s="73"/>
      <c r="L418" s="73">
        <f t="shared" si="15"/>
        <v>3280000</v>
      </c>
      <c r="M418" s="74"/>
      <c r="N418" s="75">
        <f t="shared" si="16"/>
        <v>3280000</v>
      </c>
      <c r="O418" s="29"/>
    </row>
    <row r="419" spans="2:15" s="17" customFormat="1" ht="13.8">
      <c r="B419" s="78" t="s">
        <v>3004</v>
      </c>
      <c r="C419" s="78" t="s">
        <v>2543</v>
      </c>
      <c r="D419" s="71" t="s">
        <v>22</v>
      </c>
      <c r="E419" s="78" t="s">
        <v>2987</v>
      </c>
      <c r="F419" s="71" t="s">
        <v>2988</v>
      </c>
      <c r="G419" s="78" t="s">
        <v>2615</v>
      </c>
      <c r="H419" s="78">
        <v>26.8</v>
      </c>
      <c r="I419" s="71" t="s">
        <v>2592</v>
      </c>
      <c r="J419" s="72">
        <v>3280000</v>
      </c>
      <c r="K419" s="73"/>
      <c r="L419" s="73">
        <f t="shared" si="15"/>
        <v>3280000</v>
      </c>
      <c r="M419" s="74"/>
      <c r="N419" s="75">
        <f t="shared" si="16"/>
        <v>3280000</v>
      </c>
      <c r="O419" s="28"/>
    </row>
    <row r="420" spans="2:15" s="17" customFormat="1" ht="13.8">
      <c r="B420" s="78" t="s">
        <v>3005</v>
      </c>
      <c r="C420" s="78" t="s">
        <v>2543</v>
      </c>
      <c r="D420" s="71" t="s">
        <v>22</v>
      </c>
      <c r="E420" s="78" t="s">
        <v>2987</v>
      </c>
      <c r="F420" s="71" t="s">
        <v>2988</v>
      </c>
      <c r="G420" s="78" t="s">
        <v>2617</v>
      </c>
      <c r="H420" s="78">
        <v>26.8</v>
      </c>
      <c r="I420" s="71" t="s">
        <v>2592</v>
      </c>
      <c r="J420" s="72">
        <v>3280000</v>
      </c>
      <c r="K420" s="73"/>
      <c r="L420" s="73">
        <f t="shared" si="15"/>
        <v>3280000</v>
      </c>
      <c r="M420" s="74"/>
      <c r="N420" s="75">
        <f t="shared" si="16"/>
        <v>3280000</v>
      </c>
      <c r="O420" s="29"/>
    </row>
    <row r="421" spans="2:15" s="17" customFormat="1" ht="13.8">
      <c r="B421" s="78" t="s">
        <v>3006</v>
      </c>
      <c r="C421" s="78" t="s">
        <v>2543</v>
      </c>
      <c r="D421" s="71" t="s">
        <v>22</v>
      </c>
      <c r="E421" s="78" t="s">
        <v>2987</v>
      </c>
      <c r="F421" s="71" t="s">
        <v>2988</v>
      </c>
      <c r="G421" s="78" t="s">
        <v>2619</v>
      </c>
      <c r="H421" s="78">
        <v>26.8</v>
      </c>
      <c r="I421" s="71" t="s">
        <v>2592</v>
      </c>
      <c r="J421" s="72">
        <v>3280000</v>
      </c>
      <c r="K421" s="73"/>
      <c r="L421" s="73">
        <f t="shared" si="15"/>
        <v>3280000</v>
      </c>
      <c r="M421" s="74"/>
      <c r="N421" s="75">
        <f t="shared" si="16"/>
        <v>3280000</v>
      </c>
      <c r="O421" s="28"/>
    </row>
    <row r="422" spans="2:15" s="17" customFormat="1" ht="13.8">
      <c r="B422" s="78" t="s">
        <v>3007</v>
      </c>
      <c r="C422" s="78" t="s">
        <v>2543</v>
      </c>
      <c r="D422" s="71" t="s">
        <v>22</v>
      </c>
      <c r="E422" s="78" t="s">
        <v>2987</v>
      </c>
      <c r="F422" s="71" t="s">
        <v>2988</v>
      </c>
      <c r="G422" s="78" t="s">
        <v>2621</v>
      </c>
      <c r="H422" s="78">
        <v>26.8</v>
      </c>
      <c r="I422" s="71" t="s">
        <v>2592</v>
      </c>
      <c r="J422" s="72">
        <v>3280000</v>
      </c>
      <c r="K422" s="73"/>
      <c r="L422" s="73">
        <f t="shared" si="15"/>
        <v>3280000</v>
      </c>
      <c r="M422" s="74"/>
      <c r="N422" s="75">
        <f t="shared" si="16"/>
        <v>3280000</v>
      </c>
      <c r="O422" s="29"/>
    </row>
    <row r="423" spans="2:15" s="17" customFormat="1" ht="13.8">
      <c r="B423" s="78" t="s">
        <v>3008</v>
      </c>
      <c r="C423" s="78" t="s">
        <v>2543</v>
      </c>
      <c r="D423" s="71" t="s">
        <v>22</v>
      </c>
      <c r="E423" s="78" t="s">
        <v>2987</v>
      </c>
      <c r="F423" s="71" t="s">
        <v>2988</v>
      </c>
      <c r="G423" s="78" t="s">
        <v>2623</v>
      </c>
      <c r="H423" s="78">
        <v>20.100000000000001</v>
      </c>
      <c r="I423" s="71" t="s">
        <v>2590</v>
      </c>
      <c r="J423" s="72">
        <v>2500000</v>
      </c>
      <c r="K423" s="73"/>
      <c r="L423" s="73">
        <f t="shared" si="15"/>
        <v>2500000</v>
      </c>
      <c r="M423" s="74"/>
      <c r="N423" s="75">
        <f t="shared" si="16"/>
        <v>2500000</v>
      </c>
      <c r="O423" s="28"/>
    </row>
    <row r="424" spans="2:15" s="17" customFormat="1" ht="13.8">
      <c r="B424" s="78" t="s">
        <v>3009</v>
      </c>
      <c r="C424" s="78" t="s">
        <v>2543</v>
      </c>
      <c r="D424" s="71" t="s">
        <v>22</v>
      </c>
      <c r="E424" s="78" t="s">
        <v>2987</v>
      </c>
      <c r="F424" s="71" t="s">
        <v>2988</v>
      </c>
      <c r="G424" s="78" t="s">
        <v>2625</v>
      </c>
      <c r="H424" s="78">
        <v>20.100000000000001</v>
      </c>
      <c r="I424" s="71" t="s">
        <v>2590</v>
      </c>
      <c r="J424" s="72">
        <v>2500000</v>
      </c>
      <c r="K424" s="73"/>
      <c r="L424" s="73">
        <f t="shared" si="15"/>
        <v>2500000</v>
      </c>
      <c r="M424" s="74"/>
      <c r="N424" s="75">
        <f t="shared" si="16"/>
        <v>2500000</v>
      </c>
      <c r="O424" s="29"/>
    </row>
    <row r="425" spans="2:15" s="17" customFormat="1" ht="13.8">
      <c r="B425" s="79" t="s">
        <v>3010</v>
      </c>
      <c r="C425" s="78" t="s">
        <v>2543</v>
      </c>
      <c r="D425" s="71" t="s">
        <v>205</v>
      </c>
      <c r="E425" s="78" t="s">
        <v>2987</v>
      </c>
      <c r="F425" s="71" t="s">
        <v>2988</v>
      </c>
      <c r="G425" s="78" t="s">
        <v>2627</v>
      </c>
      <c r="H425" s="78">
        <v>34</v>
      </c>
      <c r="I425" s="71" t="s">
        <v>2989</v>
      </c>
      <c r="J425" s="72">
        <v>3280000</v>
      </c>
      <c r="K425" s="73"/>
      <c r="L425" s="73">
        <f t="shared" si="15"/>
        <v>3280000</v>
      </c>
      <c r="M425" s="74"/>
      <c r="N425" s="75">
        <f t="shared" si="16"/>
        <v>3280000</v>
      </c>
      <c r="O425" s="28"/>
    </row>
    <row r="426" spans="2:15" s="17" customFormat="1" ht="13.8">
      <c r="B426" s="78" t="s">
        <v>3011</v>
      </c>
      <c r="C426" s="78" t="s">
        <v>2543</v>
      </c>
      <c r="D426" s="71" t="s">
        <v>22</v>
      </c>
      <c r="E426" s="78" t="s">
        <v>2987</v>
      </c>
      <c r="F426" s="71" t="s">
        <v>3012</v>
      </c>
      <c r="G426" s="78" t="s">
        <v>2365</v>
      </c>
      <c r="H426" s="78">
        <v>34</v>
      </c>
      <c r="I426" s="71" t="s">
        <v>2989</v>
      </c>
      <c r="J426" s="72">
        <v>3280000</v>
      </c>
      <c r="K426" s="73"/>
      <c r="L426" s="73">
        <f t="shared" si="15"/>
        <v>3280000</v>
      </c>
      <c r="M426" s="74"/>
      <c r="N426" s="75">
        <f t="shared" si="16"/>
        <v>3280000</v>
      </c>
      <c r="O426" s="29"/>
    </row>
    <row r="427" spans="2:15" s="17" customFormat="1" ht="13.8">
      <c r="B427" s="78" t="s">
        <v>3013</v>
      </c>
      <c r="C427" s="78" t="s">
        <v>2543</v>
      </c>
      <c r="D427" s="71" t="s">
        <v>22</v>
      </c>
      <c r="E427" s="78" t="s">
        <v>2987</v>
      </c>
      <c r="F427" s="71" t="s">
        <v>3012</v>
      </c>
      <c r="G427" s="78" t="s">
        <v>2368</v>
      </c>
      <c r="H427" s="78">
        <v>20.100000000000001</v>
      </c>
      <c r="I427" s="71" t="s">
        <v>2590</v>
      </c>
      <c r="J427" s="72">
        <v>2500000</v>
      </c>
      <c r="K427" s="73"/>
      <c r="L427" s="73">
        <f t="shared" si="15"/>
        <v>2500000</v>
      </c>
      <c r="M427" s="74"/>
      <c r="N427" s="75">
        <f t="shared" si="16"/>
        <v>2500000</v>
      </c>
      <c r="O427" s="28"/>
    </row>
    <row r="428" spans="2:15" s="17" customFormat="1" ht="13.8">
      <c r="B428" s="78" t="s">
        <v>3014</v>
      </c>
      <c r="C428" s="78" t="s">
        <v>2543</v>
      </c>
      <c r="D428" s="71" t="s">
        <v>22</v>
      </c>
      <c r="E428" s="78" t="s">
        <v>2987</v>
      </c>
      <c r="F428" s="71" t="s">
        <v>3012</v>
      </c>
      <c r="G428" s="78" t="s">
        <v>2377</v>
      </c>
      <c r="H428" s="78">
        <v>20.100000000000001</v>
      </c>
      <c r="I428" s="71" t="s">
        <v>2590</v>
      </c>
      <c r="J428" s="72">
        <v>2500000</v>
      </c>
      <c r="K428" s="73"/>
      <c r="L428" s="73">
        <f t="shared" si="15"/>
        <v>2500000</v>
      </c>
      <c r="M428" s="74"/>
      <c r="N428" s="75">
        <f t="shared" si="16"/>
        <v>2500000</v>
      </c>
      <c r="O428" s="29"/>
    </row>
    <row r="429" spans="2:15" s="17" customFormat="1" ht="13.8">
      <c r="B429" s="78" t="s">
        <v>3015</v>
      </c>
      <c r="C429" s="78" t="s">
        <v>2543</v>
      </c>
      <c r="D429" s="71" t="s">
        <v>22</v>
      </c>
      <c r="E429" s="78" t="s">
        <v>2987</v>
      </c>
      <c r="F429" s="71" t="s">
        <v>3012</v>
      </c>
      <c r="G429" s="78" t="s">
        <v>2379</v>
      </c>
      <c r="H429" s="78">
        <v>26.8</v>
      </c>
      <c r="I429" s="71" t="s">
        <v>2592</v>
      </c>
      <c r="J429" s="72">
        <v>3280000</v>
      </c>
      <c r="K429" s="73"/>
      <c r="L429" s="73">
        <f t="shared" si="15"/>
        <v>3280000</v>
      </c>
      <c r="M429" s="74"/>
      <c r="N429" s="75">
        <f t="shared" si="16"/>
        <v>3280000</v>
      </c>
      <c r="O429" s="28"/>
    </row>
    <row r="430" spans="2:15" s="17" customFormat="1" ht="13.8">
      <c r="B430" s="78" t="s">
        <v>3016</v>
      </c>
      <c r="C430" s="78" t="s">
        <v>2543</v>
      </c>
      <c r="D430" s="71" t="s">
        <v>22</v>
      </c>
      <c r="E430" s="78" t="s">
        <v>2987</v>
      </c>
      <c r="F430" s="71" t="s">
        <v>3012</v>
      </c>
      <c r="G430" s="78" t="s">
        <v>2370</v>
      </c>
      <c r="H430" s="78">
        <v>26.8</v>
      </c>
      <c r="I430" s="71" t="s">
        <v>2592</v>
      </c>
      <c r="J430" s="72">
        <v>3280000</v>
      </c>
      <c r="K430" s="73"/>
      <c r="L430" s="73">
        <f t="shared" si="15"/>
        <v>3280000</v>
      </c>
      <c r="M430" s="74"/>
      <c r="N430" s="75">
        <f t="shared" si="16"/>
        <v>3280000</v>
      </c>
      <c r="O430" s="29"/>
    </row>
    <row r="431" spans="2:15" s="17" customFormat="1" ht="13.8">
      <c r="B431" s="78" t="s">
        <v>3017</v>
      </c>
      <c r="C431" s="78" t="s">
        <v>2543</v>
      </c>
      <c r="D431" s="71" t="s">
        <v>22</v>
      </c>
      <c r="E431" s="78" t="s">
        <v>2987</v>
      </c>
      <c r="F431" s="71" t="s">
        <v>3012</v>
      </c>
      <c r="G431" s="78" t="s">
        <v>2372</v>
      </c>
      <c r="H431" s="78">
        <v>26.8</v>
      </c>
      <c r="I431" s="71" t="s">
        <v>2592</v>
      </c>
      <c r="J431" s="72">
        <v>3280000</v>
      </c>
      <c r="K431" s="73"/>
      <c r="L431" s="73">
        <f t="shared" si="15"/>
        <v>3280000</v>
      </c>
      <c r="M431" s="74"/>
      <c r="N431" s="75">
        <f t="shared" si="16"/>
        <v>3280000</v>
      </c>
      <c r="O431" s="28"/>
    </row>
    <row r="432" spans="2:15" s="17" customFormat="1" ht="13.8">
      <c r="B432" s="78" t="s">
        <v>3018</v>
      </c>
      <c r="C432" s="78" t="s">
        <v>2543</v>
      </c>
      <c r="D432" s="71" t="s">
        <v>22</v>
      </c>
      <c r="E432" s="78" t="s">
        <v>2987</v>
      </c>
      <c r="F432" s="71" t="s">
        <v>3012</v>
      </c>
      <c r="G432" s="78" t="s">
        <v>2597</v>
      </c>
      <c r="H432" s="78">
        <v>26.8</v>
      </c>
      <c r="I432" s="71" t="s">
        <v>2592</v>
      </c>
      <c r="J432" s="72">
        <v>3280000</v>
      </c>
      <c r="K432" s="73"/>
      <c r="L432" s="73">
        <f t="shared" si="15"/>
        <v>3280000</v>
      </c>
      <c r="M432" s="74"/>
      <c r="N432" s="75">
        <f t="shared" si="16"/>
        <v>3280000</v>
      </c>
      <c r="O432" s="29"/>
    </row>
    <row r="433" spans="2:15" s="17" customFormat="1" ht="13.8">
      <c r="B433" s="78" t="s">
        <v>3019</v>
      </c>
      <c r="C433" s="78" t="s">
        <v>2543</v>
      </c>
      <c r="D433" s="71" t="s">
        <v>22</v>
      </c>
      <c r="E433" s="78" t="s">
        <v>2987</v>
      </c>
      <c r="F433" s="71" t="s">
        <v>3012</v>
      </c>
      <c r="G433" s="78" t="s">
        <v>2599</v>
      </c>
      <c r="H433" s="78">
        <v>26.8</v>
      </c>
      <c r="I433" s="71" t="s">
        <v>2592</v>
      </c>
      <c r="J433" s="72">
        <v>3280000</v>
      </c>
      <c r="K433" s="73"/>
      <c r="L433" s="73">
        <f t="shared" si="15"/>
        <v>3280000</v>
      </c>
      <c r="M433" s="74"/>
      <c r="N433" s="75">
        <f t="shared" si="16"/>
        <v>3280000</v>
      </c>
      <c r="O433" s="28"/>
    </row>
    <row r="434" spans="2:15" s="17" customFormat="1" ht="13.8">
      <c r="B434" s="78" t="s">
        <v>3020</v>
      </c>
      <c r="C434" s="78" t="s">
        <v>2543</v>
      </c>
      <c r="D434" s="71" t="s">
        <v>22</v>
      </c>
      <c r="E434" s="78" t="s">
        <v>2987</v>
      </c>
      <c r="F434" s="71" t="s">
        <v>3012</v>
      </c>
      <c r="G434" s="78" t="s">
        <v>2601</v>
      </c>
      <c r="H434" s="78">
        <v>26.8</v>
      </c>
      <c r="I434" s="71" t="s">
        <v>2592</v>
      </c>
      <c r="J434" s="72">
        <v>3280000</v>
      </c>
      <c r="K434" s="73"/>
      <c r="L434" s="73">
        <f t="shared" si="15"/>
        <v>3280000</v>
      </c>
      <c r="M434" s="74"/>
      <c r="N434" s="75">
        <f t="shared" si="16"/>
        <v>3280000</v>
      </c>
      <c r="O434" s="29"/>
    </row>
    <row r="435" spans="2:15" s="17" customFormat="1" ht="13.8">
      <c r="B435" s="78" t="s">
        <v>3021</v>
      </c>
      <c r="C435" s="78" t="s">
        <v>2543</v>
      </c>
      <c r="D435" s="71" t="s">
        <v>22</v>
      </c>
      <c r="E435" s="78" t="s">
        <v>2987</v>
      </c>
      <c r="F435" s="71" t="s">
        <v>3012</v>
      </c>
      <c r="G435" s="78" t="s">
        <v>2603</v>
      </c>
      <c r="H435" s="78">
        <v>20.100000000000001</v>
      </c>
      <c r="I435" s="71" t="s">
        <v>2590</v>
      </c>
      <c r="J435" s="72">
        <v>2500000</v>
      </c>
      <c r="K435" s="73"/>
      <c r="L435" s="73">
        <f t="shared" si="15"/>
        <v>2500000</v>
      </c>
      <c r="M435" s="74"/>
      <c r="N435" s="75">
        <f t="shared" si="16"/>
        <v>2500000</v>
      </c>
      <c r="O435" s="28"/>
    </row>
    <row r="436" spans="2:15" s="17" customFormat="1" ht="13.8">
      <c r="B436" s="78" t="s">
        <v>3022</v>
      </c>
      <c r="C436" s="78" t="s">
        <v>2543</v>
      </c>
      <c r="D436" s="71" t="s">
        <v>22</v>
      </c>
      <c r="E436" s="78" t="s">
        <v>2987</v>
      </c>
      <c r="F436" s="71" t="s">
        <v>3012</v>
      </c>
      <c r="G436" s="78" t="s">
        <v>2605</v>
      </c>
      <c r="H436" s="78">
        <v>34</v>
      </c>
      <c r="I436" s="71" t="s">
        <v>2989</v>
      </c>
      <c r="J436" s="72">
        <v>3280000</v>
      </c>
      <c r="K436" s="73"/>
      <c r="L436" s="73">
        <f t="shared" si="15"/>
        <v>3280000</v>
      </c>
      <c r="M436" s="74"/>
      <c r="N436" s="75">
        <f t="shared" si="16"/>
        <v>3280000</v>
      </c>
      <c r="O436" s="29"/>
    </row>
    <row r="437" spans="2:15" s="17" customFormat="1" ht="13.8">
      <c r="B437" s="78" t="s">
        <v>3023</v>
      </c>
      <c r="C437" s="78" t="s">
        <v>2543</v>
      </c>
      <c r="D437" s="71" t="s">
        <v>205</v>
      </c>
      <c r="E437" s="78" t="s">
        <v>2987</v>
      </c>
      <c r="F437" s="71" t="s">
        <v>3012</v>
      </c>
      <c r="G437" s="78" t="s">
        <v>2607</v>
      </c>
      <c r="H437" s="78">
        <v>34</v>
      </c>
      <c r="I437" s="71" t="s">
        <v>2989</v>
      </c>
      <c r="J437" s="72">
        <v>3280000</v>
      </c>
      <c r="K437" s="73"/>
      <c r="L437" s="73">
        <f t="shared" si="15"/>
        <v>3280000</v>
      </c>
      <c r="M437" s="74"/>
      <c r="N437" s="75">
        <f t="shared" si="16"/>
        <v>3280000</v>
      </c>
      <c r="O437" s="28"/>
    </row>
    <row r="438" spans="2:15" s="17" customFormat="1" ht="13.8">
      <c r="B438" s="78" t="s">
        <v>3024</v>
      </c>
      <c r="C438" s="78" t="s">
        <v>2543</v>
      </c>
      <c r="D438" s="71" t="s">
        <v>22</v>
      </c>
      <c r="E438" s="78" t="s">
        <v>2987</v>
      </c>
      <c r="F438" s="71" t="s">
        <v>3012</v>
      </c>
      <c r="G438" s="78" t="s">
        <v>2609</v>
      </c>
      <c r="H438" s="78">
        <v>20.100000000000001</v>
      </c>
      <c r="I438" s="71" t="s">
        <v>2590</v>
      </c>
      <c r="J438" s="72">
        <v>2500000</v>
      </c>
      <c r="K438" s="73"/>
      <c r="L438" s="73">
        <f t="shared" si="15"/>
        <v>2500000</v>
      </c>
      <c r="M438" s="74"/>
      <c r="N438" s="75">
        <f t="shared" si="16"/>
        <v>2500000</v>
      </c>
      <c r="O438" s="29"/>
    </row>
    <row r="439" spans="2:15" s="17" customFormat="1" ht="13.8">
      <c r="B439" s="78" t="s">
        <v>3025</v>
      </c>
      <c r="C439" s="78" t="s">
        <v>2543</v>
      </c>
      <c r="D439" s="71" t="s">
        <v>22</v>
      </c>
      <c r="E439" s="78" t="s">
        <v>2987</v>
      </c>
      <c r="F439" s="71" t="s">
        <v>3012</v>
      </c>
      <c r="G439" s="78" t="s">
        <v>2611</v>
      </c>
      <c r="H439" s="78">
        <v>26.8</v>
      </c>
      <c r="I439" s="71" t="s">
        <v>2592</v>
      </c>
      <c r="J439" s="72">
        <v>3280000</v>
      </c>
      <c r="K439" s="73"/>
      <c r="L439" s="73">
        <f t="shared" si="15"/>
        <v>3280000</v>
      </c>
      <c r="M439" s="74"/>
      <c r="N439" s="75">
        <f t="shared" si="16"/>
        <v>3280000</v>
      </c>
      <c r="O439" s="28"/>
    </row>
    <row r="440" spans="2:15" s="17" customFormat="1" ht="13.8">
      <c r="B440" s="78" t="s">
        <v>3026</v>
      </c>
      <c r="C440" s="78" t="s">
        <v>2543</v>
      </c>
      <c r="D440" s="71" t="s">
        <v>22</v>
      </c>
      <c r="E440" s="78" t="s">
        <v>2987</v>
      </c>
      <c r="F440" s="71" t="s">
        <v>3012</v>
      </c>
      <c r="G440" s="78" t="s">
        <v>2613</v>
      </c>
      <c r="H440" s="78">
        <v>26.8</v>
      </c>
      <c r="I440" s="71" t="s">
        <v>2592</v>
      </c>
      <c r="J440" s="72">
        <v>3280000</v>
      </c>
      <c r="K440" s="73"/>
      <c r="L440" s="73">
        <f t="shared" si="15"/>
        <v>3280000</v>
      </c>
      <c r="M440" s="74"/>
      <c r="N440" s="75">
        <f t="shared" si="16"/>
        <v>3280000</v>
      </c>
      <c r="O440" s="29"/>
    </row>
    <row r="441" spans="2:15" s="17" customFormat="1" ht="13.8">
      <c r="B441" s="78" t="s">
        <v>3027</v>
      </c>
      <c r="C441" s="78" t="s">
        <v>2543</v>
      </c>
      <c r="D441" s="71" t="s">
        <v>22</v>
      </c>
      <c r="E441" s="78" t="s">
        <v>2987</v>
      </c>
      <c r="F441" s="71" t="s">
        <v>3012</v>
      </c>
      <c r="G441" s="78" t="s">
        <v>2615</v>
      </c>
      <c r="H441" s="78">
        <v>26.8</v>
      </c>
      <c r="I441" s="71" t="s">
        <v>2592</v>
      </c>
      <c r="J441" s="72">
        <v>3280000</v>
      </c>
      <c r="K441" s="73"/>
      <c r="L441" s="73">
        <f t="shared" si="15"/>
        <v>3280000</v>
      </c>
      <c r="M441" s="74"/>
      <c r="N441" s="75">
        <f t="shared" si="16"/>
        <v>3280000</v>
      </c>
      <c r="O441" s="28"/>
    </row>
    <row r="442" spans="2:15" s="17" customFormat="1" ht="13.8">
      <c r="B442" s="78" t="s">
        <v>3028</v>
      </c>
      <c r="C442" s="78" t="s">
        <v>2543</v>
      </c>
      <c r="D442" s="71" t="s">
        <v>22</v>
      </c>
      <c r="E442" s="78" t="s">
        <v>2987</v>
      </c>
      <c r="F442" s="71" t="s">
        <v>3012</v>
      </c>
      <c r="G442" s="78" t="s">
        <v>2617</v>
      </c>
      <c r="H442" s="78">
        <v>26.8</v>
      </c>
      <c r="I442" s="71" t="s">
        <v>2592</v>
      </c>
      <c r="J442" s="72">
        <v>3280000</v>
      </c>
      <c r="K442" s="73"/>
      <c r="L442" s="73">
        <f t="shared" si="15"/>
        <v>3280000</v>
      </c>
      <c r="M442" s="74"/>
      <c r="N442" s="75">
        <f t="shared" si="16"/>
        <v>3280000</v>
      </c>
      <c r="O442" s="29"/>
    </row>
    <row r="443" spans="2:15" s="17" customFormat="1" ht="13.8">
      <c r="B443" s="78" t="s">
        <v>3029</v>
      </c>
      <c r="C443" s="78" t="s">
        <v>2543</v>
      </c>
      <c r="D443" s="71" t="s">
        <v>22</v>
      </c>
      <c r="E443" s="78" t="s">
        <v>2987</v>
      </c>
      <c r="F443" s="71" t="s">
        <v>3012</v>
      </c>
      <c r="G443" s="78" t="s">
        <v>2619</v>
      </c>
      <c r="H443" s="78">
        <v>26.8</v>
      </c>
      <c r="I443" s="71" t="s">
        <v>2592</v>
      </c>
      <c r="J443" s="72">
        <v>3280000</v>
      </c>
      <c r="K443" s="73"/>
      <c r="L443" s="73">
        <f t="shared" si="15"/>
        <v>3280000</v>
      </c>
      <c r="M443" s="74"/>
      <c r="N443" s="75">
        <f t="shared" si="16"/>
        <v>3280000</v>
      </c>
      <c r="O443" s="28"/>
    </row>
    <row r="444" spans="2:15" s="17" customFormat="1" ht="13.8">
      <c r="B444" s="78" t="s">
        <v>3030</v>
      </c>
      <c r="C444" s="78" t="s">
        <v>2543</v>
      </c>
      <c r="D444" s="71" t="s">
        <v>22</v>
      </c>
      <c r="E444" s="78" t="s">
        <v>2987</v>
      </c>
      <c r="F444" s="71" t="s">
        <v>3012</v>
      </c>
      <c r="G444" s="78" t="s">
        <v>2621</v>
      </c>
      <c r="H444" s="78">
        <v>26.8</v>
      </c>
      <c r="I444" s="71" t="s">
        <v>2592</v>
      </c>
      <c r="J444" s="72">
        <v>3280000</v>
      </c>
      <c r="K444" s="73"/>
      <c r="L444" s="73">
        <f t="shared" si="15"/>
        <v>3280000</v>
      </c>
      <c r="M444" s="74"/>
      <c r="N444" s="75">
        <f t="shared" si="16"/>
        <v>3280000</v>
      </c>
      <c r="O444" s="29"/>
    </row>
    <row r="445" spans="2:15" s="17" customFormat="1" ht="13.8">
      <c r="B445" s="78" t="s">
        <v>3031</v>
      </c>
      <c r="C445" s="78" t="s">
        <v>2543</v>
      </c>
      <c r="D445" s="71" t="s">
        <v>22</v>
      </c>
      <c r="E445" s="78" t="s">
        <v>2987</v>
      </c>
      <c r="F445" s="71" t="s">
        <v>3012</v>
      </c>
      <c r="G445" s="78" t="s">
        <v>2623</v>
      </c>
      <c r="H445" s="78">
        <v>20.100000000000001</v>
      </c>
      <c r="I445" s="71" t="s">
        <v>2590</v>
      </c>
      <c r="J445" s="72">
        <v>2500000</v>
      </c>
      <c r="K445" s="73"/>
      <c r="L445" s="73">
        <f t="shared" si="15"/>
        <v>2500000</v>
      </c>
      <c r="M445" s="74"/>
      <c r="N445" s="75">
        <f t="shared" si="16"/>
        <v>2500000</v>
      </c>
      <c r="O445" s="28"/>
    </row>
    <row r="446" spans="2:15" s="17" customFormat="1" ht="13.8">
      <c r="B446" s="78" t="s">
        <v>3032</v>
      </c>
      <c r="C446" s="78" t="s">
        <v>2543</v>
      </c>
      <c r="D446" s="71" t="s">
        <v>22</v>
      </c>
      <c r="E446" s="78" t="s">
        <v>2987</v>
      </c>
      <c r="F446" s="71" t="s">
        <v>3012</v>
      </c>
      <c r="G446" s="78" t="s">
        <v>2625</v>
      </c>
      <c r="H446" s="78">
        <v>20.100000000000001</v>
      </c>
      <c r="I446" s="71" t="s">
        <v>2590</v>
      </c>
      <c r="J446" s="72">
        <v>2500000</v>
      </c>
      <c r="K446" s="73"/>
      <c r="L446" s="73">
        <f t="shared" si="15"/>
        <v>2500000</v>
      </c>
      <c r="M446" s="74"/>
      <c r="N446" s="75">
        <f t="shared" si="16"/>
        <v>2500000</v>
      </c>
      <c r="O446" s="29"/>
    </row>
    <row r="447" spans="2:15" s="17" customFormat="1" ht="13.8">
      <c r="B447" s="78" t="s">
        <v>3033</v>
      </c>
      <c r="C447" s="78" t="s">
        <v>2543</v>
      </c>
      <c r="D447" s="71" t="s">
        <v>22</v>
      </c>
      <c r="E447" s="78" t="s">
        <v>2987</v>
      </c>
      <c r="F447" s="71" t="s">
        <v>3012</v>
      </c>
      <c r="G447" s="78" t="s">
        <v>2627</v>
      </c>
      <c r="H447" s="78">
        <v>34</v>
      </c>
      <c r="I447" s="71" t="s">
        <v>2989</v>
      </c>
      <c r="J447" s="72">
        <v>3280000</v>
      </c>
      <c r="K447" s="73"/>
      <c r="L447" s="73">
        <f t="shared" si="15"/>
        <v>3280000</v>
      </c>
      <c r="M447" s="74"/>
      <c r="N447" s="75">
        <f t="shared" si="16"/>
        <v>3280000</v>
      </c>
      <c r="O447" s="28"/>
    </row>
    <row r="448" spans="2:15" s="17" customFormat="1" ht="13.8">
      <c r="B448" s="78" t="s">
        <v>3034</v>
      </c>
      <c r="C448" s="78" t="s">
        <v>2543</v>
      </c>
      <c r="D448" s="71" t="s">
        <v>22</v>
      </c>
      <c r="E448" s="78" t="s">
        <v>2987</v>
      </c>
      <c r="F448" s="71" t="s">
        <v>3035</v>
      </c>
      <c r="G448" s="78" t="s">
        <v>2365</v>
      </c>
      <c r="H448" s="78">
        <v>34</v>
      </c>
      <c r="I448" s="71" t="s">
        <v>2989</v>
      </c>
      <c r="J448" s="72">
        <v>3280000</v>
      </c>
      <c r="K448" s="73"/>
      <c r="L448" s="73">
        <f t="shared" si="15"/>
        <v>3280000</v>
      </c>
      <c r="M448" s="74"/>
      <c r="N448" s="75">
        <f t="shared" si="16"/>
        <v>3280000</v>
      </c>
      <c r="O448" s="29"/>
    </row>
    <row r="449" spans="2:15" s="17" customFormat="1" ht="13.8">
      <c r="B449" s="78" t="s">
        <v>3036</v>
      </c>
      <c r="C449" s="78" t="s">
        <v>2543</v>
      </c>
      <c r="D449" s="71" t="s">
        <v>22</v>
      </c>
      <c r="E449" s="78" t="s">
        <v>2987</v>
      </c>
      <c r="F449" s="71" t="s">
        <v>3035</v>
      </c>
      <c r="G449" s="78" t="s">
        <v>2613</v>
      </c>
      <c r="H449" s="78">
        <v>26.8</v>
      </c>
      <c r="I449" s="71" t="s">
        <v>2592</v>
      </c>
      <c r="J449" s="72">
        <v>3280000</v>
      </c>
      <c r="K449" s="73"/>
      <c r="L449" s="73">
        <f t="shared" si="15"/>
        <v>3280000</v>
      </c>
      <c r="M449" s="74"/>
      <c r="N449" s="75">
        <f t="shared" si="16"/>
        <v>3280000</v>
      </c>
      <c r="O449" s="28"/>
    </row>
    <row r="450" spans="2:15" s="17" customFormat="1" ht="13.8">
      <c r="B450" s="78" t="s">
        <v>3037</v>
      </c>
      <c r="C450" s="78" t="s">
        <v>2543</v>
      </c>
      <c r="D450" s="71" t="s">
        <v>205</v>
      </c>
      <c r="E450" s="78" t="s">
        <v>2987</v>
      </c>
      <c r="F450" s="71" t="s">
        <v>3035</v>
      </c>
      <c r="G450" s="78" t="s">
        <v>2615</v>
      </c>
      <c r="H450" s="78">
        <v>26.8</v>
      </c>
      <c r="I450" s="71" t="s">
        <v>2592</v>
      </c>
      <c r="J450" s="72">
        <v>3280000</v>
      </c>
      <c r="K450" s="73"/>
      <c r="L450" s="73">
        <f t="shared" si="15"/>
        <v>3280000</v>
      </c>
      <c r="M450" s="74"/>
      <c r="N450" s="75">
        <f t="shared" si="16"/>
        <v>3280000</v>
      </c>
      <c r="O450" s="29"/>
    </row>
    <row r="451" spans="2:15" s="17" customFormat="1" ht="13.8">
      <c r="B451" s="78" t="s">
        <v>3038</v>
      </c>
      <c r="C451" s="78" t="s">
        <v>2543</v>
      </c>
      <c r="D451" s="71" t="s">
        <v>22</v>
      </c>
      <c r="E451" s="78" t="s">
        <v>2987</v>
      </c>
      <c r="F451" s="71" t="s">
        <v>3035</v>
      </c>
      <c r="G451" s="78" t="s">
        <v>2379</v>
      </c>
      <c r="H451" s="78">
        <v>26.8</v>
      </c>
      <c r="I451" s="71" t="s">
        <v>2592</v>
      </c>
      <c r="J451" s="72">
        <v>3280000</v>
      </c>
      <c r="K451" s="73"/>
      <c r="L451" s="73">
        <f t="shared" si="15"/>
        <v>3280000</v>
      </c>
      <c r="M451" s="74"/>
      <c r="N451" s="75">
        <f t="shared" si="16"/>
        <v>3280000</v>
      </c>
      <c r="O451" s="28"/>
    </row>
    <row r="452" spans="2:15" s="17" customFormat="1" ht="13.8">
      <c r="B452" s="78" t="s">
        <v>3039</v>
      </c>
      <c r="C452" s="78" t="s">
        <v>2543</v>
      </c>
      <c r="D452" s="71" t="s">
        <v>22</v>
      </c>
      <c r="E452" s="78" t="s">
        <v>2987</v>
      </c>
      <c r="F452" s="71" t="s">
        <v>3035</v>
      </c>
      <c r="G452" s="78" t="s">
        <v>2370</v>
      </c>
      <c r="H452" s="78">
        <v>26.8</v>
      </c>
      <c r="I452" s="71" t="s">
        <v>2592</v>
      </c>
      <c r="J452" s="72">
        <v>3280000</v>
      </c>
      <c r="K452" s="73"/>
      <c r="L452" s="73">
        <f t="shared" si="15"/>
        <v>3280000</v>
      </c>
      <c r="M452" s="74"/>
      <c r="N452" s="75">
        <f t="shared" si="16"/>
        <v>3280000</v>
      </c>
      <c r="O452" s="29"/>
    </row>
    <row r="453" spans="2:15" s="17" customFormat="1" ht="13.8">
      <c r="B453" s="78" t="s">
        <v>3040</v>
      </c>
      <c r="C453" s="78" t="s">
        <v>2543</v>
      </c>
      <c r="D453" s="71" t="s">
        <v>22</v>
      </c>
      <c r="E453" s="78" t="s">
        <v>2987</v>
      </c>
      <c r="F453" s="71" t="s">
        <v>3035</v>
      </c>
      <c r="G453" s="78" t="s">
        <v>2372</v>
      </c>
      <c r="H453" s="78">
        <v>26.8</v>
      </c>
      <c r="I453" s="71" t="s">
        <v>2592</v>
      </c>
      <c r="J453" s="72">
        <v>3280000</v>
      </c>
      <c r="K453" s="73"/>
      <c r="L453" s="73">
        <f t="shared" si="15"/>
        <v>3280000</v>
      </c>
      <c r="M453" s="74"/>
      <c r="N453" s="75">
        <f t="shared" si="16"/>
        <v>3280000</v>
      </c>
      <c r="O453" s="28"/>
    </row>
    <row r="454" spans="2:15" s="17" customFormat="1" ht="13.8">
      <c r="B454" s="78" t="s">
        <v>3041</v>
      </c>
      <c r="C454" s="78" t="s">
        <v>2543</v>
      </c>
      <c r="D454" s="71" t="s">
        <v>22</v>
      </c>
      <c r="E454" s="78" t="s">
        <v>2987</v>
      </c>
      <c r="F454" s="71" t="s">
        <v>3035</v>
      </c>
      <c r="G454" s="78" t="s">
        <v>2597</v>
      </c>
      <c r="H454" s="78">
        <v>26.8</v>
      </c>
      <c r="I454" s="71" t="s">
        <v>2592</v>
      </c>
      <c r="J454" s="72">
        <v>3280000</v>
      </c>
      <c r="K454" s="73"/>
      <c r="L454" s="73">
        <f t="shared" si="15"/>
        <v>3280000</v>
      </c>
      <c r="M454" s="74"/>
      <c r="N454" s="75">
        <f t="shared" si="16"/>
        <v>3280000</v>
      </c>
      <c r="O454" s="29"/>
    </row>
    <row r="455" spans="2:15" s="17" customFormat="1" ht="13.8">
      <c r="B455" s="78" t="s">
        <v>3042</v>
      </c>
      <c r="C455" s="78" t="s">
        <v>2543</v>
      </c>
      <c r="D455" s="71" t="s">
        <v>22</v>
      </c>
      <c r="E455" s="78" t="s">
        <v>2987</v>
      </c>
      <c r="F455" s="71" t="s">
        <v>3035</v>
      </c>
      <c r="G455" s="78" t="s">
        <v>2599</v>
      </c>
      <c r="H455" s="78">
        <v>26.8</v>
      </c>
      <c r="I455" s="71" t="s">
        <v>2592</v>
      </c>
      <c r="J455" s="72">
        <v>3280000</v>
      </c>
      <c r="K455" s="73"/>
      <c r="L455" s="73">
        <f t="shared" si="15"/>
        <v>3280000</v>
      </c>
      <c r="M455" s="74"/>
      <c r="N455" s="75">
        <f t="shared" si="16"/>
        <v>3280000</v>
      </c>
      <c r="O455" s="28"/>
    </row>
    <row r="456" spans="2:15" s="17" customFormat="1" ht="13.8">
      <c r="B456" s="78" t="s">
        <v>3043</v>
      </c>
      <c r="C456" s="78" t="s">
        <v>2543</v>
      </c>
      <c r="D456" s="71" t="s">
        <v>205</v>
      </c>
      <c r="E456" s="78" t="s">
        <v>2987</v>
      </c>
      <c r="F456" s="71" t="s">
        <v>3035</v>
      </c>
      <c r="G456" s="78" t="s">
        <v>2621</v>
      </c>
      <c r="H456" s="78">
        <v>26.8</v>
      </c>
      <c r="I456" s="71" t="s">
        <v>2592</v>
      </c>
      <c r="J456" s="72">
        <v>3280000</v>
      </c>
      <c r="K456" s="73"/>
      <c r="L456" s="73">
        <f t="shared" ref="L456:L519" si="17">J456-K456</f>
        <v>3280000</v>
      </c>
      <c r="M456" s="74"/>
      <c r="N456" s="75">
        <f t="shared" ref="N456:N519" si="18">L456-M456</f>
        <v>3280000</v>
      </c>
      <c r="O456" s="29"/>
    </row>
    <row r="457" spans="2:15" s="17" customFormat="1" ht="13.8">
      <c r="B457" s="78" t="s">
        <v>3044</v>
      </c>
      <c r="C457" s="78" t="s">
        <v>2543</v>
      </c>
      <c r="D457" s="71" t="s">
        <v>22</v>
      </c>
      <c r="E457" s="78" t="s">
        <v>2987</v>
      </c>
      <c r="F457" s="71" t="s">
        <v>3035</v>
      </c>
      <c r="G457" s="78" t="s">
        <v>2623</v>
      </c>
      <c r="H457" s="78">
        <v>20.100000000000001</v>
      </c>
      <c r="I457" s="71" t="s">
        <v>2590</v>
      </c>
      <c r="J457" s="72">
        <v>2500000</v>
      </c>
      <c r="K457" s="73"/>
      <c r="L457" s="73">
        <f t="shared" si="17"/>
        <v>2500000</v>
      </c>
      <c r="M457" s="74"/>
      <c r="N457" s="75">
        <f t="shared" si="18"/>
        <v>2500000</v>
      </c>
      <c r="O457" s="28"/>
    </row>
    <row r="458" spans="2:15" s="17" customFormat="1" ht="13.8">
      <c r="B458" s="78" t="s">
        <v>3045</v>
      </c>
      <c r="C458" s="78" t="s">
        <v>2543</v>
      </c>
      <c r="D458" s="71" t="s">
        <v>205</v>
      </c>
      <c r="E458" s="78" t="s">
        <v>2987</v>
      </c>
      <c r="F458" s="71" t="s">
        <v>3035</v>
      </c>
      <c r="G458" s="78" t="s">
        <v>2605</v>
      </c>
      <c r="H458" s="78">
        <v>34</v>
      </c>
      <c r="I458" s="71" t="s">
        <v>2989</v>
      </c>
      <c r="J458" s="72">
        <v>3280000</v>
      </c>
      <c r="K458" s="73"/>
      <c r="L458" s="73">
        <f t="shared" si="17"/>
        <v>3280000</v>
      </c>
      <c r="M458" s="74"/>
      <c r="N458" s="75">
        <f t="shared" si="18"/>
        <v>3280000</v>
      </c>
      <c r="O458" s="29"/>
    </row>
    <row r="459" spans="2:15" s="17" customFormat="1" ht="13.8">
      <c r="B459" s="78" t="s">
        <v>3046</v>
      </c>
      <c r="C459" s="78" t="s">
        <v>2543</v>
      </c>
      <c r="D459" s="71" t="s">
        <v>205</v>
      </c>
      <c r="E459" s="78" t="s">
        <v>2987</v>
      </c>
      <c r="F459" s="71" t="s">
        <v>3035</v>
      </c>
      <c r="G459" s="78" t="s">
        <v>2607</v>
      </c>
      <c r="H459" s="78">
        <v>34</v>
      </c>
      <c r="I459" s="71" t="s">
        <v>2989</v>
      </c>
      <c r="J459" s="72">
        <v>3280000</v>
      </c>
      <c r="K459" s="73"/>
      <c r="L459" s="73">
        <f t="shared" si="17"/>
        <v>3280000</v>
      </c>
      <c r="M459" s="74"/>
      <c r="N459" s="75">
        <f t="shared" si="18"/>
        <v>3280000</v>
      </c>
      <c r="O459" s="28"/>
    </row>
    <row r="460" spans="2:15" s="17" customFormat="1" ht="13.8">
      <c r="B460" s="78" t="s">
        <v>3047</v>
      </c>
      <c r="C460" s="78" t="s">
        <v>2543</v>
      </c>
      <c r="D460" s="71" t="s">
        <v>22</v>
      </c>
      <c r="E460" s="78" t="s">
        <v>2987</v>
      </c>
      <c r="F460" s="71" t="s">
        <v>3035</v>
      </c>
      <c r="G460" s="78" t="s">
        <v>2627</v>
      </c>
      <c r="H460" s="78">
        <v>34</v>
      </c>
      <c r="I460" s="71" t="s">
        <v>2989</v>
      </c>
      <c r="J460" s="72">
        <v>3280000</v>
      </c>
      <c r="K460" s="73"/>
      <c r="L460" s="73">
        <f t="shared" si="17"/>
        <v>3280000</v>
      </c>
      <c r="M460" s="74"/>
      <c r="N460" s="75">
        <f t="shared" si="18"/>
        <v>3280000</v>
      </c>
      <c r="O460" s="29"/>
    </row>
    <row r="461" spans="2:15" s="17" customFormat="1" ht="13.8">
      <c r="B461" s="78" t="s">
        <v>3048</v>
      </c>
      <c r="C461" s="78" t="s">
        <v>2543</v>
      </c>
      <c r="D461" s="71" t="s">
        <v>22</v>
      </c>
      <c r="E461" s="78" t="s">
        <v>2987</v>
      </c>
      <c r="F461" s="71" t="s">
        <v>3035</v>
      </c>
      <c r="G461" s="78" t="s">
        <v>2368</v>
      </c>
      <c r="H461" s="78">
        <v>20.100000000000001</v>
      </c>
      <c r="I461" s="71" t="s">
        <v>2590</v>
      </c>
      <c r="J461" s="72">
        <v>2500000</v>
      </c>
      <c r="K461" s="73"/>
      <c r="L461" s="73">
        <f t="shared" si="17"/>
        <v>2500000</v>
      </c>
      <c r="M461" s="74"/>
      <c r="N461" s="75">
        <f t="shared" si="18"/>
        <v>2500000</v>
      </c>
      <c r="O461" s="28"/>
    </row>
    <row r="462" spans="2:15" s="17" customFormat="1" ht="13.8">
      <c r="B462" s="78" t="s">
        <v>3049</v>
      </c>
      <c r="C462" s="78" t="s">
        <v>2543</v>
      </c>
      <c r="D462" s="71" t="s">
        <v>22</v>
      </c>
      <c r="E462" s="78" t="s">
        <v>2987</v>
      </c>
      <c r="F462" s="71" t="s">
        <v>3035</v>
      </c>
      <c r="G462" s="78" t="s">
        <v>2377</v>
      </c>
      <c r="H462" s="78">
        <v>20.100000000000001</v>
      </c>
      <c r="I462" s="71" t="s">
        <v>2590</v>
      </c>
      <c r="J462" s="72">
        <v>2500000</v>
      </c>
      <c r="K462" s="73"/>
      <c r="L462" s="73">
        <f t="shared" si="17"/>
        <v>2500000</v>
      </c>
      <c r="M462" s="74"/>
      <c r="N462" s="75">
        <f t="shared" si="18"/>
        <v>2500000</v>
      </c>
      <c r="O462" s="29"/>
    </row>
    <row r="463" spans="2:15" s="17" customFormat="1" ht="13.8">
      <c r="B463" s="78" t="s">
        <v>3050</v>
      </c>
      <c r="C463" s="78" t="s">
        <v>2543</v>
      </c>
      <c r="D463" s="71" t="s">
        <v>22</v>
      </c>
      <c r="E463" s="78" t="s">
        <v>2987</v>
      </c>
      <c r="F463" s="71" t="s">
        <v>3035</v>
      </c>
      <c r="G463" s="78" t="s">
        <v>2601</v>
      </c>
      <c r="H463" s="78">
        <v>26.8</v>
      </c>
      <c r="I463" s="71" t="s">
        <v>2592</v>
      </c>
      <c r="J463" s="72">
        <v>3280000</v>
      </c>
      <c r="K463" s="73"/>
      <c r="L463" s="73">
        <f t="shared" si="17"/>
        <v>3280000</v>
      </c>
      <c r="M463" s="74"/>
      <c r="N463" s="75">
        <f t="shared" si="18"/>
        <v>3280000</v>
      </c>
      <c r="O463" s="28"/>
    </row>
    <row r="464" spans="2:15" s="17" customFormat="1" ht="13.8">
      <c r="B464" s="78" t="s">
        <v>3051</v>
      </c>
      <c r="C464" s="78" t="s">
        <v>2543</v>
      </c>
      <c r="D464" s="71" t="s">
        <v>22</v>
      </c>
      <c r="E464" s="78" t="s">
        <v>2987</v>
      </c>
      <c r="F464" s="71" t="s">
        <v>3035</v>
      </c>
      <c r="G464" s="78" t="s">
        <v>2617</v>
      </c>
      <c r="H464" s="78">
        <v>26.8</v>
      </c>
      <c r="I464" s="71" t="s">
        <v>2592</v>
      </c>
      <c r="J464" s="72">
        <v>3280000</v>
      </c>
      <c r="K464" s="73"/>
      <c r="L464" s="73">
        <f t="shared" si="17"/>
        <v>3280000</v>
      </c>
      <c r="M464" s="74"/>
      <c r="N464" s="75">
        <f t="shared" si="18"/>
        <v>3280000</v>
      </c>
      <c r="O464" s="29"/>
    </row>
    <row r="465" spans="2:15" s="17" customFormat="1" ht="13.8">
      <c r="B465" s="78" t="s">
        <v>3052</v>
      </c>
      <c r="C465" s="78" t="s">
        <v>2543</v>
      </c>
      <c r="D465" s="71" t="s">
        <v>22</v>
      </c>
      <c r="E465" s="78" t="s">
        <v>2987</v>
      </c>
      <c r="F465" s="71" t="s">
        <v>3035</v>
      </c>
      <c r="G465" s="78" t="s">
        <v>2619</v>
      </c>
      <c r="H465" s="78">
        <v>26.8</v>
      </c>
      <c r="I465" s="71" t="s">
        <v>2592</v>
      </c>
      <c r="J465" s="72">
        <v>3280000</v>
      </c>
      <c r="K465" s="73"/>
      <c r="L465" s="73">
        <f t="shared" si="17"/>
        <v>3280000</v>
      </c>
      <c r="M465" s="74"/>
      <c r="N465" s="75">
        <f t="shared" si="18"/>
        <v>3280000</v>
      </c>
      <c r="O465" s="28"/>
    </row>
    <row r="466" spans="2:15" s="17" customFormat="1" ht="13.8">
      <c r="B466" s="78" t="s">
        <v>3053</v>
      </c>
      <c r="C466" s="78" t="s">
        <v>2543</v>
      </c>
      <c r="D466" s="71" t="s">
        <v>22</v>
      </c>
      <c r="E466" s="78" t="s">
        <v>2987</v>
      </c>
      <c r="F466" s="71" t="s">
        <v>3035</v>
      </c>
      <c r="G466" s="78" t="s">
        <v>2603</v>
      </c>
      <c r="H466" s="78">
        <v>20.100000000000001</v>
      </c>
      <c r="I466" s="71" t="s">
        <v>2590</v>
      </c>
      <c r="J466" s="72">
        <v>2500000</v>
      </c>
      <c r="K466" s="73"/>
      <c r="L466" s="73">
        <f t="shared" si="17"/>
        <v>2500000</v>
      </c>
      <c r="M466" s="74"/>
      <c r="N466" s="75">
        <f t="shared" si="18"/>
        <v>2500000</v>
      </c>
      <c r="O466" s="29"/>
    </row>
    <row r="467" spans="2:15" s="17" customFormat="1" ht="13.8">
      <c r="B467" s="78" t="s">
        <v>3054</v>
      </c>
      <c r="C467" s="78" t="s">
        <v>2543</v>
      </c>
      <c r="D467" s="71" t="s">
        <v>22</v>
      </c>
      <c r="E467" s="78" t="s">
        <v>2987</v>
      </c>
      <c r="F467" s="71" t="s">
        <v>3035</v>
      </c>
      <c r="G467" s="78" t="s">
        <v>2609</v>
      </c>
      <c r="H467" s="78">
        <v>20.100000000000001</v>
      </c>
      <c r="I467" s="71" t="s">
        <v>2590</v>
      </c>
      <c r="J467" s="72">
        <v>2500000</v>
      </c>
      <c r="K467" s="73"/>
      <c r="L467" s="73">
        <f t="shared" si="17"/>
        <v>2500000</v>
      </c>
      <c r="M467" s="74"/>
      <c r="N467" s="75">
        <f t="shared" si="18"/>
        <v>2500000</v>
      </c>
      <c r="O467" s="28"/>
    </row>
    <row r="468" spans="2:15" s="17" customFormat="1" ht="13.8">
      <c r="B468" s="78" t="s">
        <v>3055</v>
      </c>
      <c r="C468" s="78" t="s">
        <v>2543</v>
      </c>
      <c r="D468" s="71" t="s">
        <v>205</v>
      </c>
      <c r="E468" s="78" t="s">
        <v>2987</v>
      </c>
      <c r="F468" s="71" t="s">
        <v>3035</v>
      </c>
      <c r="G468" s="78" t="s">
        <v>2625</v>
      </c>
      <c r="H468" s="78">
        <v>20.100000000000001</v>
      </c>
      <c r="I468" s="71" t="s">
        <v>2590</v>
      </c>
      <c r="J468" s="72">
        <v>2500000</v>
      </c>
      <c r="K468" s="73"/>
      <c r="L468" s="73">
        <f t="shared" si="17"/>
        <v>2500000</v>
      </c>
      <c r="M468" s="74"/>
      <c r="N468" s="75">
        <f t="shared" si="18"/>
        <v>2500000</v>
      </c>
      <c r="O468" s="29"/>
    </row>
    <row r="469" spans="2:15" s="17" customFormat="1" ht="13.8">
      <c r="B469" s="78" t="s">
        <v>3056</v>
      </c>
      <c r="C469" s="78" t="s">
        <v>2543</v>
      </c>
      <c r="D469" s="71" t="s">
        <v>205</v>
      </c>
      <c r="E469" s="78" t="s">
        <v>2987</v>
      </c>
      <c r="F469" s="71" t="s">
        <v>3035</v>
      </c>
      <c r="G469" s="78" t="s">
        <v>2611</v>
      </c>
      <c r="H469" s="78">
        <v>26.8</v>
      </c>
      <c r="I469" s="71" t="s">
        <v>2592</v>
      </c>
      <c r="J469" s="72">
        <v>3280000</v>
      </c>
      <c r="K469" s="73"/>
      <c r="L469" s="73">
        <f t="shared" si="17"/>
        <v>3280000</v>
      </c>
      <c r="M469" s="74"/>
      <c r="N469" s="75">
        <f t="shared" si="18"/>
        <v>3280000</v>
      </c>
      <c r="O469" s="28"/>
    </row>
    <row r="470" spans="2:15" s="17" customFormat="1" ht="13.8">
      <c r="B470" s="78" t="s">
        <v>3057</v>
      </c>
      <c r="C470" s="78" t="s">
        <v>2543</v>
      </c>
      <c r="D470" s="71" t="s">
        <v>22</v>
      </c>
      <c r="E470" s="78" t="s">
        <v>2987</v>
      </c>
      <c r="F470" s="71" t="s">
        <v>3058</v>
      </c>
      <c r="G470" s="78" t="s">
        <v>2365</v>
      </c>
      <c r="H470" s="78">
        <v>34</v>
      </c>
      <c r="I470" s="71" t="s">
        <v>2989</v>
      </c>
      <c r="J470" s="72">
        <v>3280000</v>
      </c>
      <c r="K470" s="73"/>
      <c r="L470" s="73">
        <f t="shared" si="17"/>
        <v>3280000</v>
      </c>
      <c r="M470" s="74"/>
      <c r="N470" s="75">
        <f t="shared" si="18"/>
        <v>3280000</v>
      </c>
      <c r="O470" s="29"/>
    </row>
    <row r="471" spans="2:15" s="17" customFormat="1" ht="13.8">
      <c r="B471" s="78" t="s">
        <v>3059</v>
      </c>
      <c r="C471" s="78" t="s">
        <v>2543</v>
      </c>
      <c r="D471" s="71" t="s">
        <v>22</v>
      </c>
      <c r="E471" s="78" t="s">
        <v>2987</v>
      </c>
      <c r="F471" s="71" t="s">
        <v>3058</v>
      </c>
      <c r="G471" s="78" t="s">
        <v>2368</v>
      </c>
      <c r="H471" s="78">
        <v>20.100000000000001</v>
      </c>
      <c r="I471" s="71" t="s">
        <v>2590</v>
      </c>
      <c r="J471" s="72">
        <v>2500000</v>
      </c>
      <c r="K471" s="73"/>
      <c r="L471" s="73">
        <f t="shared" si="17"/>
        <v>2500000</v>
      </c>
      <c r="M471" s="74"/>
      <c r="N471" s="75">
        <f t="shared" si="18"/>
        <v>2500000</v>
      </c>
      <c r="O471" s="28"/>
    </row>
    <row r="472" spans="2:15" s="17" customFormat="1" ht="13.8">
      <c r="B472" s="78" t="s">
        <v>3060</v>
      </c>
      <c r="C472" s="78" t="s">
        <v>2543</v>
      </c>
      <c r="D472" s="71" t="s">
        <v>22</v>
      </c>
      <c r="E472" s="78" t="s">
        <v>2987</v>
      </c>
      <c r="F472" s="71" t="s">
        <v>3058</v>
      </c>
      <c r="G472" s="78" t="s">
        <v>2377</v>
      </c>
      <c r="H472" s="78">
        <v>20.100000000000001</v>
      </c>
      <c r="I472" s="71" t="s">
        <v>2590</v>
      </c>
      <c r="J472" s="72">
        <v>2500000</v>
      </c>
      <c r="K472" s="73"/>
      <c r="L472" s="73">
        <f t="shared" si="17"/>
        <v>2500000</v>
      </c>
      <c r="M472" s="74"/>
      <c r="N472" s="75">
        <f t="shared" si="18"/>
        <v>2500000</v>
      </c>
      <c r="O472" s="29"/>
    </row>
    <row r="473" spans="2:15" s="17" customFormat="1" ht="13.8">
      <c r="B473" s="78" t="s">
        <v>3061</v>
      </c>
      <c r="C473" s="78" t="s">
        <v>2543</v>
      </c>
      <c r="D473" s="71" t="s">
        <v>22</v>
      </c>
      <c r="E473" s="78" t="s">
        <v>2987</v>
      </c>
      <c r="F473" s="71" t="s">
        <v>3058</v>
      </c>
      <c r="G473" s="78" t="s">
        <v>2379</v>
      </c>
      <c r="H473" s="78">
        <v>26.8</v>
      </c>
      <c r="I473" s="71" t="s">
        <v>2592</v>
      </c>
      <c r="J473" s="72">
        <v>3280000</v>
      </c>
      <c r="K473" s="73"/>
      <c r="L473" s="73">
        <f t="shared" si="17"/>
        <v>3280000</v>
      </c>
      <c r="M473" s="74"/>
      <c r="N473" s="75">
        <f t="shared" si="18"/>
        <v>3280000</v>
      </c>
      <c r="O473" s="28"/>
    </row>
    <row r="474" spans="2:15" s="17" customFormat="1" ht="13.8">
      <c r="B474" s="78" t="s">
        <v>3062</v>
      </c>
      <c r="C474" s="78" t="s">
        <v>2543</v>
      </c>
      <c r="D474" s="71" t="s">
        <v>22</v>
      </c>
      <c r="E474" s="78" t="s">
        <v>2987</v>
      </c>
      <c r="F474" s="71" t="s">
        <v>3058</v>
      </c>
      <c r="G474" s="78" t="s">
        <v>2370</v>
      </c>
      <c r="H474" s="78">
        <v>26.8</v>
      </c>
      <c r="I474" s="71" t="s">
        <v>2592</v>
      </c>
      <c r="J474" s="72">
        <v>3280000</v>
      </c>
      <c r="K474" s="73"/>
      <c r="L474" s="73">
        <f t="shared" si="17"/>
        <v>3280000</v>
      </c>
      <c r="M474" s="74"/>
      <c r="N474" s="75">
        <f t="shared" si="18"/>
        <v>3280000</v>
      </c>
      <c r="O474" s="29"/>
    </row>
    <row r="475" spans="2:15" s="17" customFormat="1" ht="13.8">
      <c r="B475" s="78" t="s">
        <v>3063</v>
      </c>
      <c r="C475" s="78" t="s">
        <v>2543</v>
      </c>
      <c r="D475" s="71" t="s">
        <v>22</v>
      </c>
      <c r="E475" s="78" t="s">
        <v>2987</v>
      </c>
      <c r="F475" s="71" t="s">
        <v>3058</v>
      </c>
      <c r="G475" s="78" t="s">
        <v>2372</v>
      </c>
      <c r="H475" s="78">
        <v>26.8</v>
      </c>
      <c r="I475" s="71" t="s">
        <v>2592</v>
      </c>
      <c r="J475" s="72">
        <v>3280000</v>
      </c>
      <c r="K475" s="73"/>
      <c r="L475" s="73">
        <f t="shared" si="17"/>
        <v>3280000</v>
      </c>
      <c r="M475" s="74"/>
      <c r="N475" s="75">
        <f t="shared" si="18"/>
        <v>3280000</v>
      </c>
      <c r="O475" s="28"/>
    </row>
    <row r="476" spans="2:15" s="17" customFormat="1" ht="13.8">
      <c r="B476" s="78" t="s">
        <v>3064</v>
      </c>
      <c r="C476" s="78" t="s">
        <v>2543</v>
      </c>
      <c r="D476" s="71" t="s">
        <v>22</v>
      </c>
      <c r="E476" s="78" t="s">
        <v>2987</v>
      </c>
      <c r="F476" s="71" t="s">
        <v>3058</v>
      </c>
      <c r="G476" s="78" t="s">
        <v>2597</v>
      </c>
      <c r="H476" s="78">
        <v>26.8</v>
      </c>
      <c r="I476" s="71" t="s">
        <v>2592</v>
      </c>
      <c r="J476" s="72">
        <v>3280000</v>
      </c>
      <c r="K476" s="73"/>
      <c r="L476" s="73">
        <f t="shared" si="17"/>
        <v>3280000</v>
      </c>
      <c r="M476" s="74"/>
      <c r="N476" s="75">
        <f t="shared" si="18"/>
        <v>3280000</v>
      </c>
      <c r="O476" s="29"/>
    </row>
    <row r="477" spans="2:15" s="17" customFormat="1" ht="13.8">
      <c r="B477" s="78" t="s">
        <v>3065</v>
      </c>
      <c r="C477" s="78" t="s">
        <v>2543</v>
      </c>
      <c r="D477" s="71" t="s">
        <v>22</v>
      </c>
      <c r="E477" s="78" t="s">
        <v>2987</v>
      </c>
      <c r="F477" s="71" t="s">
        <v>3058</v>
      </c>
      <c r="G477" s="78" t="s">
        <v>2599</v>
      </c>
      <c r="H477" s="78">
        <v>26.8</v>
      </c>
      <c r="I477" s="71" t="s">
        <v>2592</v>
      </c>
      <c r="J477" s="72">
        <v>3280000</v>
      </c>
      <c r="K477" s="73"/>
      <c r="L477" s="73">
        <f t="shared" si="17"/>
        <v>3280000</v>
      </c>
      <c r="M477" s="74"/>
      <c r="N477" s="75">
        <f t="shared" si="18"/>
        <v>3280000</v>
      </c>
      <c r="O477" s="28"/>
    </row>
    <row r="478" spans="2:15" s="17" customFormat="1" ht="13.8">
      <c r="B478" s="78" t="s">
        <v>3066</v>
      </c>
      <c r="C478" s="78" t="s">
        <v>2543</v>
      </c>
      <c r="D478" s="71" t="s">
        <v>22</v>
      </c>
      <c r="E478" s="78" t="s">
        <v>2987</v>
      </c>
      <c r="F478" s="71" t="s">
        <v>3058</v>
      </c>
      <c r="G478" s="78" t="s">
        <v>2601</v>
      </c>
      <c r="H478" s="78">
        <v>26.8</v>
      </c>
      <c r="I478" s="71" t="s">
        <v>2592</v>
      </c>
      <c r="J478" s="72">
        <v>3280000</v>
      </c>
      <c r="K478" s="73"/>
      <c r="L478" s="73">
        <f t="shared" si="17"/>
        <v>3280000</v>
      </c>
      <c r="M478" s="74"/>
      <c r="N478" s="75">
        <f t="shared" si="18"/>
        <v>3280000</v>
      </c>
      <c r="O478" s="29"/>
    </row>
    <row r="479" spans="2:15" s="17" customFormat="1" ht="13.8">
      <c r="B479" s="78" t="s">
        <v>3067</v>
      </c>
      <c r="C479" s="78" t="s">
        <v>2543</v>
      </c>
      <c r="D479" s="71" t="s">
        <v>22</v>
      </c>
      <c r="E479" s="78" t="s">
        <v>2987</v>
      </c>
      <c r="F479" s="71" t="s">
        <v>3058</v>
      </c>
      <c r="G479" s="78" t="s">
        <v>2603</v>
      </c>
      <c r="H479" s="78">
        <v>20.100000000000001</v>
      </c>
      <c r="I479" s="71" t="s">
        <v>2590</v>
      </c>
      <c r="J479" s="72">
        <v>2500000</v>
      </c>
      <c r="K479" s="73"/>
      <c r="L479" s="73">
        <f t="shared" si="17"/>
        <v>2500000</v>
      </c>
      <c r="M479" s="74"/>
      <c r="N479" s="75">
        <f t="shared" si="18"/>
        <v>2500000</v>
      </c>
      <c r="O479" s="28"/>
    </row>
    <row r="480" spans="2:15" s="17" customFormat="1" ht="13.8">
      <c r="B480" s="78" t="s">
        <v>3068</v>
      </c>
      <c r="C480" s="78" t="s">
        <v>2543</v>
      </c>
      <c r="D480" s="71" t="s">
        <v>22</v>
      </c>
      <c r="E480" s="78" t="s">
        <v>2987</v>
      </c>
      <c r="F480" s="71" t="s">
        <v>3058</v>
      </c>
      <c r="G480" s="78" t="s">
        <v>2605</v>
      </c>
      <c r="H480" s="78">
        <v>34</v>
      </c>
      <c r="I480" s="71" t="s">
        <v>2989</v>
      </c>
      <c r="J480" s="72">
        <v>3280000</v>
      </c>
      <c r="K480" s="73"/>
      <c r="L480" s="73">
        <f t="shared" si="17"/>
        <v>3280000</v>
      </c>
      <c r="M480" s="74"/>
      <c r="N480" s="75">
        <f t="shared" si="18"/>
        <v>3280000</v>
      </c>
      <c r="O480" s="29"/>
    </row>
    <row r="481" spans="2:15" s="17" customFormat="1" ht="13.8">
      <c r="B481" s="78" t="s">
        <v>3069</v>
      </c>
      <c r="C481" s="78" t="s">
        <v>2543</v>
      </c>
      <c r="D481" s="71" t="s">
        <v>22</v>
      </c>
      <c r="E481" s="78" t="s">
        <v>2987</v>
      </c>
      <c r="F481" s="71" t="s">
        <v>3058</v>
      </c>
      <c r="G481" s="78" t="s">
        <v>2607</v>
      </c>
      <c r="H481" s="78">
        <v>34</v>
      </c>
      <c r="I481" s="71" t="s">
        <v>2989</v>
      </c>
      <c r="J481" s="72">
        <v>3280000</v>
      </c>
      <c r="K481" s="73"/>
      <c r="L481" s="73">
        <f t="shared" si="17"/>
        <v>3280000</v>
      </c>
      <c r="M481" s="74"/>
      <c r="N481" s="75">
        <f t="shared" si="18"/>
        <v>3280000</v>
      </c>
      <c r="O481" s="28"/>
    </row>
    <row r="482" spans="2:15" s="17" customFormat="1" ht="13.8">
      <c r="B482" s="78" t="s">
        <v>3070</v>
      </c>
      <c r="C482" s="78" t="s">
        <v>2543</v>
      </c>
      <c r="D482" s="71" t="s">
        <v>22</v>
      </c>
      <c r="E482" s="78" t="s">
        <v>2987</v>
      </c>
      <c r="F482" s="71" t="s">
        <v>3058</v>
      </c>
      <c r="G482" s="78" t="s">
        <v>2609</v>
      </c>
      <c r="H482" s="78">
        <v>20.100000000000001</v>
      </c>
      <c r="I482" s="71" t="s">
        <v>2590</v>
      </c>
      <c r="J482" s="72">
        <v>2500000</v>
      </c>
      <c r="K482" s="73"/>
      <c r="L482" s="73">
        <f t="shared" si="17"/>
        <v>2500000</v>
      </c>
      <c r="M482" s="74"/>
      <c r="N482" s="75">
        <f t="shared" si="18"/>
        <v>2500000</v>
      </c>
      <c r="O482" s="29"/>
    </row>
    <row r="483" spans="2:15" s="17" customFormat="1" ht="13.8">
      <c r="B483" s="78" t="s">
        <v>3071</v>
      </c>
      <c r="C483" s="78" t="s">
        <v>2543</v>
      </c>
      <c r="D483" s="71" t="s">
        <v>22</v>
      </c>
      <c r="E483" s="78" t="s">
        <v>2987</v>
      </c>
      <c r="F483" s="71" t="s">
        <v>3058</v>
      </c>
      <c r="G483" s="78" t="s">
        <v>2611</v>
      </c>
      <c r="H483" s="78">
        <v>26.8</v>
      </c>
      <c r="I483" s="71" t="s">
        <v>2592</v>
      </c>
      <c r="J483" s="72">
        <v>3280000</v>
      </c>
      <c r="K483" s="73"/>
      <c r="L483" s="73">
        <f t="shared" si="17"/>
        <v>3280000</v>
      </c>
      <c r="M483" s="74"/>
      <c r="N483" s="75">
        <f t="shared" si="18"/>
        <v>3280000</v>
      </c>
      <c r="O483" s="28"/>
    </row>
    <row r="484" spans="2:15" s="17" customFormat="1" ht="13.8">
      <c r="B484" s="78" t="s">
        <v>3072</v>
      </c>
      <c r="C484" s="78" t="s">
        <v>2543</v>
      </c>
      <c r="D484" s="71" t="s">
        <v>22</v>
      </c>
      <c r="E484" s="78" t="s">
        <v>2987</v>
      </c>
      <c r="F484" s="71" t="s">
        <v>3058</v>
      </c>
      <c r="G484" s="78" t="s">
        <v>2613</v>
      </c>
      <c r="H484" s="78">
        <v>26.8</v>
      </c>
      <c r="I484" s="71" t="s">
        <v>2592</v>
      </c>
      <c r="J484" s="72">
        <v>3280000</v>
      </c>
      <c r="K484" s="73"/>
      <c r="L484" s="73">
        <f t="shared" si="17"/>
        <v>3280000</v>
      </c>
      <c r="M484" s="74"/>
      <c r="N484" s="75">
        <f t="shared" si="18"/>
        <v>3280000</v>
      </c>
      <c r="O484" s="29"/>
    </row>
    <row r="485" spans="2:15" s="17" customFormat="1" ht="13.8">
      <c r="B485" s="78" t="s">
        <v>3073</v>
      </c>
      <c r="C485" s="78" t="s">
        <v>2543</v>
      </c>
      <c r="D485" s="71" t="s">
        <v>22</v>
      </c>
      <c r="E485" s="78" t="s">
        <v>2987</v>
      </c>
      <c r="F485" s="71" t="s">
        <v>3058</v>
      </c>
      <c r="G485" s="78" t="s">
        <v>2615</v>
      </c>
      <c r="H485" s="78">
        <v>26.8</v>
      </c>
      <c r="I485" s="71" t="s">
        <v>2592</v>
      </c>
      <c r="J485" s="72">
        <v>3280000</v>
      </c>
      <c r="K485" s="73"/>
      <c r="L485" s="73">
        <f t="shared" si="17"/>
        <v>3280000</v>
      </c>
      <c r="M485" s="74"/>
      <c r="N485" s="75">
        <f t="shared" si="18"/>
        <v>3280000</v>
      </c>
      <c r="O485" s="28"/>
    </row>
    <row r="486" spans="2:15" s="17" customFormat="1" ht="13.8">
      <c r="B486" s="78" t="s">
        <v>3074</v>
      </c>
      <c r="C486" s="78" t="s">
        <v>2543</v>
      </c>
      <c r="D486" s="71" t="s">
        <v>22</v>
      </c>
      <c r="E486" s="78" t="s">
        <v>2987</v>
      </c>
      <c r="F486" s="71" t="s">
        <v>3058</v>
      </c>
      <c r="G486" s="78" t="s">
        <v>2617</v>
      </c>
      <c r="H486" s="78">
        <v>26.8</v>
      </c>
      <c r="I486" s="71" t="s">
        <v>2592</v>
      </c>
      <c r="J486" s="72">
        <v>3280000</v>
      </c>
      <c r="K486" s="73"/>
      <c r="L486" s="73">
        <f t="shared" si="17"/>
        <v>3280000</v>
      </c>
      <c r="M486" s="74"/>
      <c r="N486" s="75">
        <f t="shared" si="18"/>
        <v>3280000</v>
      </c>
      <c r="O486" s="29"/>
    </row>
    <row r="487" spans="2:15" s="17" customFormat="1" ht="13.8">
      <c r="B487" s="78" t="s">
        <v>3075</v>
      </c>
      <c r="C487" s="78" t="s">
        <v>2543</v>
      </c>
      <c r="D487" s="71" t="s">
        <v>22</v>
      </c>
      <c r="E487" s="78" t="s">
        <v>2987</v>
      </c>
      <c r="F487" s="71" t="s">
        <v>3058</v>
      </c>
      <c r="G487" s="78" t="s">
        <v>2619</v>
      </c>
      <c r="H487" s="78">
        <v>26.8</v>
      </c>
      <c r="I487" s="71" t="s">
        <v>2592</v>
      </c>
      <c r="J487" s="72">
        <v>3280000</v>
      </c>
      <c r="K487" s="73"/>
      <c r="L487" s="73">
        <f t="shared" si="17"/>
        <v>3280000</v>
      </c>
      <c r="M487" s="74"/>
      <c r="N487" s="75">
        <f t="shared" si="18"/>
        <v>3280000</v>
      </c>
      <c r="O487" s="28"/>
    </row>
    <row r="488" spans="2:15" s="17" customFormat="1" ht="13.8">
      <c r="B488" s="78" t="s">
        <v>3076</v>
      </c>
      <c r="C488" s="78" t="s">
        <v>2543</v>
      </c>
      <c r="D488" s="71" t="s">
        <v>22</v>
      </c>
      <c r="E488" s="78" t="s">
        <v>2987</v>
      </c>
      <c r="F488" s="71" t="s">
        <v>3058</v>
      </c>
      <c r="G488" s="78" t="s">
        <v>2621</v>
      </c>
      <c r="H488" s="78">
        <v>26.8</v>
      </c>
      <c r="I488" s="71" t="s">
        <v>2592</v>
      </c>
      <c r="J488" s="72">
        <v>3280000</v>
      </c>
      <c r="K488" s="73"/>
      <c r="L488" s="73">
        <f t="shared" si="17"/>
        <v>3280000</v>
      </c>
      <c r="M488" s="74"/>
      <c r="N488" s="75">
        <f t="shared" si="18"/>
        <v>3280000</v>
      </c>
      <c r="O488" s="29"/>
    </row>
    <row r="489" spans="2:15" s="17" customFormat="1" ht="13.8">
      <c r="B489" s="78" t="s">
        <v>3077</v>
      </c>
      <c r="C489" s="78" t="s">
        <v>2543</v>
      </c>
      <c r="D489" s="71" t="s">
        <v>22</v>
      </c>
      <c r="E489" s="78" t="s">
        <v>2987</v>
      </c>
      <c r="F489" s="71" t="s">
        <v>3058</v>
      </c>
      <c r="G489" s="78" t="s">
        <v>2623</v>
      </c>
      <c r="H489" s="78">
        <v>20.100000000000001</v>
      </c>
      <c r="I489" s="71" t="s">
        <v>2590</v>
      </c>
      <c r="J489" s="72">
        <v>2500000</v>
      </c>
      <c r="K489" s="73"/>
      <c r="L489" s="73">
        <f t="shared" si="17"/>
        <v>2500000</v>
      </c>
      <c r="M489" s="74"/>
      <c r="N489" s="75">
        <f t="shared" si="18"/>
        <v>2500000</v>
      </c>
      <c r="O489" s="28"/>
    </row>
    <row r="490" spans="2:15" s="17" customFormat="1" ht="13.8">
      <c r="B490" s="78" t="s">
        <v>3078</v>
      </c>
      <c r="C490" s="78" t="s">
        <v>2543</v>
      </c>
      <c r="D490" s="71" t="s">
        <v>22</v>
      </c>
      <c r="E490" s="78" t="s">
        <v>2987</v>
      </c>
      <c r="F490" s="71" t="s">
        <v>3058</v>
      </c>
      <c r="G490" s="78" t="s">
        <v>2625</v>
      </c>
      <c r="H490" s="78">
        <v>20.100000000000001</v>
      </c>
      <c r="I490" s="71" t="s">
        <v>2590</v>
      </c>
      <c r="J490" s="72">
        <v>2500000</v>
      </c>
      <c r="K490" s="73"/>
      <c r="L490" s="73">
        <f t="shared" si="17"/>
        <v>2500000</v>
      </c>
      <c r="M490" s="74"/>
      <c r="N490" s="75">
        <f t="shared" si="18"/>
        <v>2500000</v>
      </c>
      <c r="O490" s="29"/>
    </row>
    <row r="491" spans="2:15" s="17" customFormat="1" ht="13.8">
      <c r="B491" s="78" t="s">
        <v>3079</v>
      </c>
      <c r="C491" s="78" t="s">
        <v>2543</v>
      </c>
      <c r="D491" s="71" t="s">
        <v>22</v>
      </c>
      <c r="E491" s="78" t="s">
        <v>2987</v>
      </c>
      <c r="F491" s="71" t="s">
        <v>3058</v>
      </c>
      <c r="G491" s="78" t="s">
        <v>2627</v>
      </c>
      <c r="H491" s="78">
        <v>34</v>
      </c>
      <c r="I491" s="71" t="s">
        <v>2989</v>
      </c>
      <c r="J491" s="72">
        <v>3280000</v>
      </c>
      <c r="K491" s="73"/>
      <c r="L491" s="73">
        <f t="shared" si="17"/>
        <v>3280000</v>
      </c>
      <c r="M491" s="74"/>
      <c r="N491" s="75">
        <f t="shared" si="18"/>
        <v>3280000</v>
      </c>
      <c r="O491" s="28"/>
    </row>
    <row r="492" spans="2:15" s="17" customFormat="1" ht="13.8">
      <c r="B492" s="78" t="s">
        <v>3080</v>
      </c>
      <c r="C492" s="78" t="s">
        <v>2543</v>
      </c>
      <c r="D492" s="71" t="s">
        <v>22</v>
      </c>
      <c r="E492" s="78" t="s">
        <v>2987</v>
      </c>
      <c r="F492" s="71" t="s">
        <v>3081</v>
      </c>
      <c r="G492" s="78" t="s">
        <v>2365</v>
      </c>
      <c r="H492" s="78">
        <v>34</v>
      </c>
      <c r="I492" s="71" t="s">
        <v>2989</v>
      </c>
      <c r="J492" s="72">
        <v>3280000</v>
      </c>
      <c r="K492" s="73"/>
      <c r="L492" s="73">
        <f t="shared" si="17"/>
        <v>3280000</v>
      </c>
      <c r="M492" s="74"/>
      <c r="N492" s="75">
        <f t="shared" si="18"/>
        <v>3280000</v>
      </c>
      <c r="O492" s="29"/>
    </row>
    <row r="493" spans="2:15" s="17" customFormat="1" ht="13.8">
      <c r="B493" s="78" t="s">
        <v>3082</v>
      </c>
      <c r="C493" s="78" t="s">
        <v>2543</v>
      </c>
      <c r="D493" s="71" t="s">
        <v>22</v>
      </c>
      <c r="E493" s="78" t="s">
        <v>2987</v>
      </c>
      <c r="F493" s="71" t="s">
        <v>3081</v>
      </c>
      <c r="G493" s="78" t="s">
        <v>2368</v>
      </c>
      <c r="H493" s="78">
        <v>20.100000000000001</v>
      </c>
      <c r="I493" s="71" t="s">
        <v>2590</v>
      </c>
      <c r="J493" s="72">
        <v>2500000</v>
      </c>
      <c r="K493" s="73"/>
      <c r="L493" s="73">
        <f t="shared" si="17"/>
        <v>2500000</v>
      </c>
      <c r="M493" s="74"/>
      <c r="N493" s="75">
        <f t="shared" si="18"/>
        <v>2500000</v>
      </c>
      <c r="O493" s="28"/>
    </row>
    <row r="494" spans="2:15" s="17" customFormat="1" ht="13.8">
      <c r="B494" s="78" t="s">
        <v>3083</v>
      </c>
      <c r="C494" s="78" t="s">
        <v>2543</v>
      </c>
      <c r="D494" s="71" t="s">
        <v>22</v>
      </c>
      <c r="E494" s="78" t="s">
        <v>2987</v>
      </c>
      <c r="F494" s="71" t="s">
        <v>3081</v>
      </c>
      <c r="G494" s="78" t="s">
        <v>2377</v>
      </c>
      <c r="H494" s="78">
        <v>20.100000000000001</v>
      </c>
      <c r="I494" s="71" t="s">
        <v>2590</v>
      </c>
      <c r="J494" s="72">
        <v>2500000</v>
      </c>
      <c r="K494" s="73"/>
      <c r="L494" s="73">
        <f t="shared" si="17"/>
        <v>2500000</v>
      </c>
      <c r="M494" s="74"/>
      <c r="N494" s="75">
        <f t="shared" si="18"/>
        <v>2500000</v>
      </c>
      <c r="O494" s="29"/>
    </row>
    <row r="495" spans="2:15" s="17" customFormat="1" ht="13.8">
      <c r="B495" s="78" t="s">
        <v>3084</v>
      </c>
      <c r="C495" s="78" t="s">
        <v>2543</v>
      </c>
      <c r="D495" s="71" t="s">
        <v>22</v>
      </c>
      <c r="E495" s="78" t="s">
        <v>2987</v>
      </c>
      <c r="F495" s="71" t="s">
        <v>3081</v>
      </c>
      <c r="G495" s="78" t="s">
        <v>2379</v>
      </c>
      <c r="H495" s="78">
        <v>26.8</v>
      </c>
      <c r="I495" s="71" t="s">
        <v>2592</v>
      </c>
      <c r="J495" s="72">
        <v>3280000</v>
      </c>
      <c r="K495" s="73"/>
      <c r="L495" s="73">
        <f t="shared" si="17"/>
        <v>3280000</v>
      </c>
      <c r="M495" s="74"/>
      <c r="N495" s="75">
        <f t="shared" si="18"/>
        <v>3280000</v>
      </c>
      <c r="O495" s="28"/>
    </row>
    <row r="496" spans="2:15" s="17" customFormat="1" ht="13.8">
      <c r="B496" s="78" t="s">
        <v>3085</v>
      </c>
      <c r="C496" s="78" t="s">
        <v>2543</v>
      </c>
      <c r="D496" s="71" t="s">
        <v>22</v>
      </c>
      <c r="E496" s="78" t="s">
        <v>2987</v>
      </c>
      <c r="F496" s="71" t="s">
        <v>3081</v>
      </c>
      <c r="G496" s="78" t="s">
        <v>2370</v>
      </c>
      <c r="H496" s="78">
        <v>26.8</v>
      </c>
      <c r="I496" s="71" t="s">
        <v>2592</v>
      </c>
      <c r="J496" s="72">
        <v>3280000</v>
      </c>
      <c r="K496" s="73"/>
      <c r="L496" s="73">
        <f t="shared" si="17"/>
        <v>3280000</v>
      </c>
      <c r="M496" s="74"/>
      <c r="N496" s="75">
        <f t="shared" si="18"/>
        <v>3280000</v>
      </c>
      <c r="O496" s="29"/>
    </row>
    <row r="497" spans="2:15" s="17" customFormat="1" ht="13.8">
      <c r="B497" s="78" t="s">
        <v>3086</v>
      </c>
      <c r="C497" s="78" t="s">
        <v>2543</v>
      </c>
      <c r="D497" s="71" t="s">
        <v>22</v>
      </c>
      <c r="E497" s="78" t="s">
        <v>2987</v>
      </c>
      <c r="F497" s="71" t="s">
        <v>3081</v>
      </c>
      <c r="G497" s="78" t="s">
        <v>2372</v>
      </c>
      <c r="H497" s="78">
        <v>26.8</v>
      </c>
      <c r="I497" s="71" t="s">
        <v>2592</v>
      </c>
      <c r="J497" s="72">
        <v>3280000</v>
      </c>
      <c r="K497" s="73"/>
      <c r="L497" s="73">
        <f t="shared" si="17"/>
        <v>3280000</v>
      </c>
      <c r="M497" s="74"/>
      <c r="N497" s="75">
        <f t="shared" si="18"/>
        <v>3280000</v>
      </c>
      <c r="O497" s="28"/>
    </row>
    <row r="498" spans="2:15" s="17" customFormat="1" ht="13.8">
      <c r="B498" s="78" t="s">
        <v>3087</v>
      </c>
      <c r="C498" s="78" t="s">
        <v>2543</v>
      </c>
      <c r="D498" s="71" t="s">
        <v>22</v>
      </c>
      <c r="E498" s="78" t="s">
        <v>2987</v>
      </c>
      <c r="F498" s="71" t="s">
        <v>3081</v>
      </c>
      <c r="G498" s="78" t="s">
        <v>2597</v>
      </c>
      <c r="H498" s="78">
        <v>26.8</v>
      </c>
      <c r="I498" s="71" t="s">
        <v>2592</v>
      </c>
      <c r="J498" s="72">
        <v>3280000</v>
      </c>
      <c r="K498" s="73"/>
      <c r="L498" s="73">
        <f t="shared" si="17"/>
        <v>3280000</v>
      </c>
      <c r="M498" s="74"/>
      <c r="N498" s="75">
        <f t="shared" si="18"/>
        <v>3280000</v>
      </c>
      <c r="O498" s="29"/>
    </row>
    <row r="499" spans="2:15" s="17" customFormat="1" ht="13.8">
      <c r="B499" s="78" t="s">
        <v>3088</v>
      </c>
      <c r="C499" s="78" t="s">
        <v>2543</v>
      </c>
      <c r="D499" s="71" t="s">
        <v>22</v>
      </c>
      <c r="E499" s="78" t="s">
        <v>2987</v>
      </c>
      <c r="F499" s="71" t="s">
        <v>3081</v>
      </c>
      <c r="G499" s="78" t="s">
        <v>2599</v>
      </c>
      <c r="H499" s="78">
        <v>26.8</v>
      </c>
      <c r="I499" s="71" t="s">
        <v>2592</v>
      </c>
      <c r="J499" s="72">
        <v>3280000</v>
      </c>
      <c r="K499" s="73"/>
      <c r="L499" s="73">
        <f t="shared" si="17"/>
        <v>3280000</v>
      </c>
      <c r="M499" s="74"/>
      <c r="N499" s="75">
        <f t="shared" si="18"/>
        <v>3280000</v>
      </c>
      <c r="O499" s="28"/>
    </row>
    <row r="500" spans="2:15" s="17" customFormat="1" ht="13.8">
      <c r="B500" s="78" t="s">
        <v>3089</v>
      </c>
      <c r="C500" s="78" t="s">
        <v>2543</v>
      </c>
      <c r="D500" s="71" t="s">
        <v>22</v>
      </c>
      <c r="E500" s="78" t="s">
        <v>2987</v>
      </c>
      <c r="F500" s="71" t="s">
        <v>3081</v>
      </c>
      <c r="G500" s="78" t="s">
        <v>2601</v>
      </c>
      <c r="H500" s="78">
        <v>26.8</v>
      </c>
      <c r="I500" s="71" t="s">
        <v>2592</v>
      </c>
      <c r="J500" s="72">
        <v>3280000</v>
      </c>
      <c r="K500" s="73"/>
      <c r="L500" s="73">
        <f t="shared" si="17"/>
        <v>3280000</v>
      </c>
      <c r="M500" s="74"/>
      <c r="N500" s="75">
        <f t="shared" si="18"/>
        <v>3280000</v>
      </c>
      <c r="O500" s="29"/>
    </row>
    <row r="501" spans="2:15" s="17" customFormat="1" ht="13.8">
      <c r="B501" s="78" t="s">
        <v>3090</v>
      </c>
      <c r="C501" s="78" t="s">
        <v>2543</v>
      </c>
      <c r="D501" s="71" t="s">
        <v>22</v>
      </c>
      <c r="E501" s="78" t="s">
        <v>2987</v>
      </c>
      <c r="F501" s="71" t="s">
        <v>3081</v>
      </c>
      <c r="G501" s="78" t="s">
        <v>2603</v>
      </c>
      <c r="H501" s="78">
        <v>20.100000000000001</v>
      </c>
      <c r="I501" s="71" t="s">
        <v>2590</v>
      </c>
      <c r="J501" s="72">
        <v>2500000</v>
      </c>
      <c r="K501" s="73"/>
      <c r="L501" s="73">
        <f t="shared" si="17"/>
        <v>2500000</v>
      </c>
      <c r="M501" s="74"/>
      <c r="N501" s="75">
        <f t="shared" si="18"/>
        <v>2500000</v>
      </c>
      <c r="O501" s="28"/>
    </row>
    <row r="502" spans="2:15" s="17" customFormat="1" ht="13.8">
      <c r="B502" s="78" t="s">
        <v>3091</v>
      </c>
      <c r="C502" s="78" t="s">
        <v>2543</v>
      </c>
      <c r="D502" s="71" t="s">
        <v>205</v>
      </c>
      <c r="E502" s="78" t="s">
        <v>2987</v>
      </c>
      <c r="F502" s="71" t="s">
        <v>3081</v>
      </c>
      <c r="G502" s="78" t="s">
        <v>2605</v>
      </c>
      <c r="H502" s="78">
        <v>34</v>
      </c>
      <c r="I502" s="71" t="s">
        <v>2989</v>
      </c>
      <c r="J502" s="72">
        <v>3280000</v>
      </c>
      <c r="K502" s="73"/>
      <c r="L502" s="73">
        <f t="shared" si="17"/>
        <v>3280000</v>
      </c>
      <c r="M502" s="74"/>
      <c r="N502" s="75">
        <f t="shared" si="18"/>
        <v>3280000</v>
      </c>
      <c r="O502" s="29"/>
    </row>
    <row r="503" spans="2:15" s="17" customFormat="1" ht="13.8">
      <c r="B503" s="78" t="s">
        <v>3092</v>
      </c>
      <c r="C503" s="78" t="s">
        <v>2543</v>
      </c>
      <c r="D503" s="71" t="s">
        <v>22</v>
      </c>
      <c r="E503" s="78" t="s">
        <v>2987</v>
      </c>
      <c r="F503" s="71" t="s">
        <v>3081</v>
      </c>
      <c r="G503" s="78" t="s">
        <v>2607</v>
      </c>
      <c r="H503" s="78">
        <v>34</v>
      </c>
      <c r="I503" s="71" t="s">
        <v>2989</v>
      </c>
      <c r="J503" s="72">
        <v>3280000</v>
      </c>
      <c r="K503" s="73"/>
      <c r="L503" s="73">
        <f t="shared" si="17"/>
        <v>3280000</v>
      </c>
      <c r="M503" s="74"/>
      <c r="N503" s="75">
        <f t="shared" si="18"/>
        <v>3280000</v>
      </c>
      <c r="O503" s="28"/>
    </row>
    <row r="504" spans="2:15" s="17" customFormat="1" ht="13.8">
      <c r="B504" s="78" t="s">
        <v>3093</v>
      </c>
      <c r="C504" s="78" t="s">
        <v>2543</v>
      </c>
      <c r="D504" s="71" t="s">
        <v>22</v>
      </c>
      <c r="E504" s="78" t="s">
        <v>2987</v>
      </c>
      <c r="F504" s="71" t="s">
        <v>3081</v>
      </c>
      <c r="G504" s="78" t="s">
        <v>2609</v>
      </c>
      <c r="H504" s="78">
        <v>20.100000000000001</v>
      </c>
      <c r="I504" s="71" t="s">
        <v>2590</v>
      </c>
      <c r="J504" s="72">
        <v>2500000</v>
      </c>
      <c r="K504" s="73"/>
      <c r="L504" s="73">
        <f t="shared" si="17"/>
        <v>2500000</v>
      </c>
      <c r="M504" s="74"/>
      <c r="N504" s="75">
        <f t="shared" si="18"/>
        <v>2500000</v>
      </c>
      <c r="O504" s="29"/>
    </row>
    <row r="505" spans="2:15" s="17" customFormat="1" ht="13.8">
      <c r="B505" s="78" t="s">
        <v>3094</v>
      </c>
      <c r="C505" s="78" t="s">
        <v>2543</v>
      </c>
      <c r="D505" s="71" t="s">
        <v>22</v>
      </c>
      <c r="E505" s="78" t="s">
        <v>2987</v>
      </c>
      <c r="F505" s="71" t="s">
        <v>3081</v>
      </c>
      <c r="G505" s="78" t="s">
        <v>2611</v>
      </c>
      <c r="H505" s="78">
        <v>26.8</v>
      </c>
      <c r="I505" s="71" t="s">
        <v>2592</v>
      </c>
      <c r="J505" s="72">
        <v>3280000</v>
      </c>
      <c r="K505" s="73"/>
      <c r="L505" s="73">
        <f t="shared" si="17"/>
        <v>3280000</v>
      </c>
      <c r="M505" s="74">
        <f>L505*12/112</f>
        <v>351428.57142857142</v>
      </c>
      <c r="N505" s="75">
        <f t="shared" si="18"/>
        <v>2928571.4285714286</v>
      </c>
      <c r="O505" s="28"/>
    </row>
    <row r="506" spans="2:15" s="17" customFormat="1" ht="13.8">
      <c r="B506" s="78" t="s">
        <v>3095</v>
      </c>
      <c r="C506" s="78" t="s">
        <v>2543</v>
      </c>
      <c r="D506" s="71" t="s">
        <v>22</v>
      </c>
      <c r="E506" s="78" t="s">
        <v>2987</v>
      </c>
      <c r="F506" s="71" t="s">
        <v>3081</v>
      </c>
      <c r="G506" s="78" t="s">
        <v>2613</v>
      </c>
      <c r="H506" s="78">
        <v>26.8</v>
      </c>
      <c r="I506" s="71" t="s">
        <v>2592</v>
      </c>
      <c r="J506" s="72">
        <v>3280000</v>
      </c>
      <c r="K506" s="73"/>
      <c r="L506" s="73">
        <f t="shared" si="17"/>
        <v>3280000</v>
      </c>
      <c r="M506" s="74"/>
      <c r="N506" s="75">
        <f t="shared" si="18"/>
        <v>3280000</v>
      </c>
      <c r="O506" s="29"/>
    </row>
    <row r="507" spans="2:15" s="17" customFormat="1" ht="13.8">
      <c r="B507" s="78" t="s">
        <v>3096</v>
      </c>
      <c r="C507" s="78" t="s">
        <v>2543</v>
      </c>
      <c r="D507" s="71" t="s">
        <v>22</v>
      </c>
      <c r="E507" s="78" t="s">
        <v>2987</v>
      </c>
      <c r="F507" s="71" t="s">
        <v>3081</v>
      </c>
      <c r="G507" s="78" t="s">
        <v>2615</v>
      </c>
      <c r="H507" s="78">
        <v>26.8</v>
      </c>
      <c r="I507" s="71" t="s">
        <v>2592</v>
      </c>
      <c r="J507" s="72">
        <v>3280000</v>
      </c>
      <c r="K507" s="73"/>
      <c r="L507" s="73">
        <f t="shared" si="17"/>
        <v>3280000</v>
      </c>
      <c r="M507" s="74"/>
      <c r="N507" s="75">
        <f t="shared" si="18"/>
        <v>3280000</v>
      </c>
      <c r="O507" s="28"/>
    </row>
    <row r="508" spans="2:15" s="17" customFormat="1" ht="13.8">
      <c r="B508" s="78" t="s">
        <v>3097</v>
      </c>
      <c r="C508" s="78" t="s">
        <v>2543</v>
      </c>
      <c r="D508" s="71" t="s">
        <v>22</v>
      </c>
      <c r="E508" s="78" t="s">
        <v>2987</v>
      </c>
      <c r="F508" s="71" t="s">
        <v>3081</v>
      </c>
      <c r="G508" s="78" t="s">
        <v>2617</v>
      </c>
      <c r="H508" s="78">
        <v>26.8</v>
      </c>
      <c r="I508" s="71" t="s">
        <v>2592</v>
      </c>
      <c r="J508" s="72">
        <v>3280000</v>
      </c>
      <c r="K508" s="73"/>
      <c r="L508" s="73">
        <f t="shared" si="17"/>
        <v>3280000</v>
      </c>
      <c r="M508" s="74"/>
      <c r="N508" s="75">
        <f t="shared" si="18"/>
        <v>3280000</v>
      </c>
      <c r="O508" s="29"/>
    </row>
    <row r="509" spans="2:15" s="17" customFormat="1" ht="13.8">
      <c r="B509" s="78" t="s">
        <v>3098</v>
      </c>
      <c r="C509" s="78" t="s">
        <v>2543</v>
      </c>
      <c r="D509" s="71" t="s">
        <v>22</v>
      </c>
      <c r="E509" s="78" t="s">
        <v>2987</v>
      </c>
      <c r="F509" s="71" t="s">
        <v>3081</v>
      </c>
      <c r="G509" s="78" t="s">
        <v>2619</v>
      </c>
      <c r="H509" s="78">
        <v>26.8</v>
      </c>
      <c r="I509" s="71" t="s">
        <v>2592</v>
      </c>
      <c r="J509" s="72">
        <v>3280000</v>
      </c>
      <c r="K509" s="73"/>
      <c r="L509" s="73">
        <f t="shared" si="17"/>
        <v>3280000</v>
      </c>
      <c r="M509" s="74"/>
      <c r="N509" s="75">
        <f t="shared" si="18"/>
        <v>3280000</v>
      </c>
      <c r="O509" s="28"/>
    </row>
    <row r="510" spans="2:15" s="17" customFormat="1" ht="13.8">
      <c r="B510" s="78" t="s">
        <v>3099</v>
      </c>
      <c r="C510" s="78" t="s">
        <v>2543</v>
      </c>
      <c r="D510" s="71" t="s">
        <v>22</v>
      </c>
      <c r="E510" s="78" t="s">
        <v>2987</v>
      </c>
      <c r="F510" s="71" t="s">
        <v>3081</v>
      </c>
      <c r="G510" s="78" t="s">
        <v>2621</v>
      </c>
      <c r="H510" s="78">
        <v>26.8</v>
      </c>
      <c r="I510" s="71" t="s">
        <v>2592</v>
      </c>
      <c r="J510" s="72">
        <v>3280000</v>
      </c>
      <c r="K510" s="73"/>
      <c r="L510" s="73">
        <f t="shared" si="17"/>
        <v>3280000</v>
      </c>
      <c r="M510" s="74"/>
      <c r="N510" s="75">
        <f t="shared" si="18"/>
        <v>3280000</v>
      </c>
      <c r="O510" s="29"/>
    </row>
    <row r="511" spans="2:15" s="17" customFormat="1" ht="13.8">
      <c r="B511" s="78" t="s">
        <v>3100</v>
      </c>
      <c r="C511" s="78" t="s">
        <v>2543</v>
      </c>
      <c r="D511" s="71" t="s">
        <v>22</v>
      </c>
      <c r="E511" s="78" t="s">
        <v>2987</v>
      </c>
      <c r="F511" s="71" t="s">
        <v>3081</v>
      </c>
      <c r="G511" s="78" t="s">
        <v>2623</v>
      </c>
      <c r="H511" s="78">
        <v>20.100000000000001</v>
      </c>
      <c r="I511" s="71" t="s">
        <v>2590</v>
      </c>
      <c r="J511" s="72">
        <v>2500000</v>
      </c>
      <c r="K511" s="73"/>
      <c r="L511" s="73">
        <f t="shared" si="17"/>
        <v>2500000</v>
      </c>
      <c r="M511" s="74"/>
      <c r="N511" s="75">
        <f t="shared" si="18"/>
        <v>2500000</v>
      </c>
      <c r="O511" s="28"/>
    </row>
    <row r="512" spans="2:15" s="17" customFormat="1" ht="13.8">
      <c r="B512" s="78" t="s">
        <v>3101</v>
      </c>
      <c r="C512" s="78" t="s">
        <v>2543</v>
      </c>
      <c r="D512" s="71" t="s">
        <v>22</v>
      </c>
      <c r="E512" s="78" t="s">
        <v>2987</v>
      </c>
      <c r="F512" s="71" t="s">
        <v>3081</v>
      </c>
      <c r="G512" s="78" t="s">
        <v>2625</v>
      </c>
      <c r="H512" s="78">
        <v>20.100000000000001</v>
      </c>
      <c r="I512" s="71" t="s">
        <v>2590</v>
      </c>
      <c r="J512" s="72">
        <v>2500000</v>
      </c>
      <c r="K512" s="73"/>
      <c r="L512" s="73">
        <f t="shared" si="17"/>
        <v>2500000</v>
      </c>
      <c r="M512" s="74"/>
      <c r="N512" s="75">
        <f t="shared" si="18"/>
        <v>2500000</v>
      </c>
      <c r="O512" s="29"/>
    </row>
    <row r="513" spans="2:15" s="17" customFormat="1" ht="13.8">
      <c r="B513" s="78" t="s">
        <v>3102</v>
      </c>
      <c r="C513" s="78" t="s">
        <v>2543</v>
      </c>
      <c r="D513" s="71" t="s">
        <v>22</v>
      </c>
      <c r="E513" s="78" t="s">
        <v>2987</v>
      </c>
      <c r="F513" s="71" t="s">
        <v>3081</v>
      </c>
      <c r="G513" s="78" t="s">
        <v>2627</v>
      </c>
      <c r="H513" s="78">
        <v>34</v>
      </c>
      <c r="I513" s="71" t="s">
        <v>2989</v>
      </c>
      <c r="J513" s="72">
        <v>3280000</v>
      </c>
      <c r="K513" s="73"/>
      <c r="L513" s="73">
        <f t="shared" si="17"/>
        <v>3280000</v>
      </c>
      <c r="M513" s="74"/>
      <c r="N513" s="75">
        <f t="shared" si="18"/>
        <v>3280000</v>
      </c>
      <c r="O513" s="28"/>
    </row>
    <row r="514" spans="2:15" s="17" customFormat="1" ht="13.8">
      <c r="B514" s="78" t="s">
        <v>3103</v>
      </c>
      <c r="C514" s="78" t="s">
        <v>2543</v>
      </c>
      <c r="D514" s="71" t="s">
        <v>22</v>
      </c>
      <c r="E514" s="78" t="s">
        <v>2987</v>
      </c>
      <c r="F514" s="71" t="s">
        <v>3104</v>
      </c>
      <c r="G514" s="78">
        <v>1</v>
      </c>
      <c r="H514" s="78">
        <v>12.5</v>
      </c>
      <c r="I514" s="71" t="s">
        <v>2546</v>
      </c>
      <c r="J514" s="72">
        <v>1010000</v>
      </c>
      <c r="K514" s="73"/>
      <c r="L514" s="73">
        <f t="shared" si="17"/>
        <v>1010000</v>
      </c>
      <c r="M514" s="74"/>
      <c r="N514" s="75">
        <f t="shared" si="18"/>
        <v>1010000</v>
      </c>
      <c r="O514" s="29"/>
    </row>
    <row r="515" spans="2:15" s="17" customFormat="1" ht="13.8">
      <c r="B515" s="78" t="s">
        <v>3105</v>
      </c>
      <c r="C515" s="78" t="s">
        <v>2543</v>
      </c>
      <c r="D515" s="71" t="s">
        <v>22</v>
      </c>
      <c r="E515" s="78" t="s">
        <v>2987</v>
      </c>
      <c r="F515" s="71" t="s">
        <v>3104</v>
      </c>
      <c r="G515" s="78">
        <v>2</v>
      </c>
      <c r="H515" s="78">
        <v>12.5</v>
      </c>
      <c r="I515" s="71" t="s">
        <v>2546</v>
      </c>
      <c r="J515" s="72">
        <v>1010000</v>
      </c>
      <c r="K515" s="73"/>
      <c r="L515" s="73">
        <f t="shared" si="17"/>
        <v>1010000</v>
      </c>
      <c r="M515" s="74"/>
      <c r="N515" s="75">
        <f t="shared" si="18"/>
        <v>1010000</v>
      </c>
      <c r="O515" s="28"/>
    </row>
    <row r="516" spans="2:15" s="17" customFormat="1" ht="13.8">
      <c r="B516" s="78" t="s">
        <v>3106</v>
      </c>
      <c r="C516" s="78" t="s">
        <v>2543</v>
      </c>
      <c r="D516" s="71" t="s">
        <v>22</v>
      </c>
      <c r="E516" s="78" t="s">
        <v>2987</v>
      </c>
      <c r="F516" s="71" t="s">
        <v>3104</v>
      </c>
      <c r="G516" s="78">
        <v>3</v>
      </c>
      <c r="H516" s="78">
        <v>12.5</v>
      </c>
      <c r="I516" s="71" t="s">
        <v>2546</v>
      </c>
      <c r="J516" s="72">
        <v>1010000</v>
      </c>
      <c r="K516" s="73"/>
      <c r="L516" s="73">
        <f t="shared" si="17"/>
        <v>1010000</v>
      </c>
      <c r="M516" s="74"/>
      <c r="N516" s="75">
        <f t="shared" si="18"/>
        <v>1010000</v>
      </c>
      <c r="O516" s="29"/>
    </row>
    <row r="517" spans="2:15" s="17" customFormat="1" ht="13.8">
      <c r="B517" s="78" t="s">
        <v>3107</v>
      </c>
      <c r="C517" s="78" t="s">
        <v>2543</v>
      </c>
      <c r="D517" s="71" t="s">
        <v>22</v>
      </c>
      <c r="E517" s="78" t="s">
        <v>2987</v>
      </c>
      <c r="F517" s="71" t="s">
        <v>3104</v>
      </c>
      <c r="G517" s="78">
        <v>4</v>
      </c>
      <c r="H517" s="78">
        <v>12.5</v>
      </c>
      <c r="I517" s="71" t="s">
        <v>2546</v>
      </c>
      <c r="J517" s="72">
        <v>1010000</v>
      </c>
      <c r="K517" s="73"/>
      <c r="L517" s="73">
        <f t="shared" si="17"/>
        <v>1010000</v>
      </c>
      <c r="M517" s="74"/>
      <c r="N517" s="75">
        <f t="shared" si="18"/>
        <v>1010000</v>
      </c>
      <c r="O517" s="28"/>
    </row>
    <row r="518" spans="2:15" s="17" customFormat="1" ht="13.8">
      <c r="B518" s="78" t="s">
        <v>3108</v>
      </c>
      <c r="C518" s="78" t="s">
        <v>2543</v>
      </c>
      <c r="D518" s="71" t="s">
        <v>22</v>
      </c>
      <c r="E518" s="78" t="s">
        <v>2987</v>
      </c>
      <c r="F518" s="71" t="s">
        <v>3104</v>
      </c>
      <c r="G518" s="78">
        <v>5</v>
      </c>
      <c r="H518" s="78">
        <v>12.5</v>
      </c>
      <c r="I518" s="71" t="s">
        <v>2546</v>
      </c>
      <c r="J518" s="72">
        <v>1010000</v>
      </c>
      <c r="K518" s="73"/>
      <c r="L518" s="73">
        <f t="shared" si="17"/>
        <v>1010000</v>
      </c>
      <c r="M518" s="74"/>
      <c r="N518" s="75">
        <f t="shared" si="18"/>
        <v>1010000</v>
      </c>
      <c r="O518" s="29"/>
    </row>
    <row r="519" spans="2:15" s="17" customFormat="1" ht="13.8">
      <c r="B519" s="78" t="s">
        <v>3109</v>
      </c>
      <c r="C519" s="78" t="s">
        <v>2543</v>
      </c>
      <c r="D519" s="71" t="s">
        <v>22</v>
      </c>
      <c r="E519" s="78" t="s">
        <v>2987</v>
      </c>
      <c r="F519" s="71" t="s">
        <v>3104</v>
      </c>
      <c r="G519" s="78">
        <v>6</v>
      </c>
      <c r="H519" s="78">
        <v>12.5</v>
      </c>
      <c r="I519" s="71" t="s">
        <v>2546</v>
      </c>
      <c r="J519" s="72">
        <v>1010000</v>
      </c>
      <c r="K519" s="73"/>
      <c r="L519" s="73">
        <f t="shared" si="17"/>
        <v>1010000</v>
      </c>
      <c r="M519" s="74"/>
      <c r="N519" s="75">
        <f t="shared" si="18"/>
        <v>1010000</v>
      </c>
      <c r="O519" s="28"/>
    </row>
    <row r="520" spans="2:15" s="17" customFormat="1" ht="13.8">
      <c r="B520" s="78" t="s">
        <v>3110</v>
      </c>
      <c r="C520" s="78" t="s">
        <v>2543</v>
      </c>
      <c r="D520" s="71" t="s">
        <v>22</v>
      </c>
      <c r="E520" s="78" t="s">
        <v>2987</v>
      </c>
      <c r="F520" s="71" t="s">
        <v>3104</v>
      </c>
      <c r="G520" s="78">
        <v>7</v>
      </c>
      <c r="H520" s="78">
        <v>12.5</v>
      </c>
      <c r="I520" s="71" t="s">
        <v>2546</v>
      </c>
      <c r="J520" s="72">
        <v>1010000</v>
      </c>
      <c r="K520" s="73"/>
      <c r="L520" s="73">
        <f t="shared" ref="L520:L532" si="19">J520-K520</f>
        <v>1010000</v>
      </c>
      <c r="M520" s="74"/>
      <c r="N520" s="75">
        <f t="shared" ref="N520:N532" si="20">L520-M520</f>
        <v>1010000</v>
      </c>
      <c r="O520" s="29"/>
    </row>
    <row r="521" spans="2:15" s="17" customFormat="1" ht="13.8">
      <c r="B521" s="78" t="s">
        <v>3111</v>
      </c>
      <c r="C521" s="78" t="s">
        <v>2543</v>
      </c>
      <c r="D521" s="71" t="s">
        <v>22</v>
      </c>
      <c r="E521" s="78" t="s">
        <v>2987</v>
      </c>
      <c r="F521" s="71" t="s">
        <v>3104</v>
      </c>
      <c r="G521" s="78">
        <v>8</v>
      </c>
      <c r="H521" s="78">
        <v>12.5</v>
      </c>
      <c r="I521" s="71" t="s">
        <v>2546</v>
      </c>
      <c r="J521" s="72">
        <v>1010000</v>
      </c>
      <c r="K521" s="73"/>
      <c r="L521" s="73">
        <f t="shared" si="19"/>
        <v>1010000</v>
      </c>
      <c r="M521" s="74"/>
      <c r="N521" s="75">
        <f t="shared" si="20"/>
        <v>1010000</v>
      </c>
      <c r="O521" s="28"/>
    </row>
    <row r="522" spans="2:15" s="17" customFormat="1" ht="13.8">
      <c r="B522" s="78" t="s">
        <v>3112</v>
      </c>
      <c r="C522" s="78" t="s">
        <v>2543</v>
      </c>
      <c r="D522" s="71" t="s">
        <v>22</v>
      </c>
      <c r="E522" s="78" t="s">
        <v>2987</v>
      </c>
      <c r="F522" s="71" t="s">
        <v>3104</v>
      </c>
      <c r="G522" s="78">
        <v>9</v>
      </c>
      <c r="H522" s="78">
        <v>12.5</v>
      </c>
      <c r="I522" s="71" t="s">
        <v>2546</v>
      </c>
      <c r="J522" s="72">
        <v>1010000</v>
      </c>
      <c r="K522" s="73"/>
      <c r="L522" s="73">
        <f t="shared" si="19"/>
        <v>1010000</v>
      </c>
      <c r="M522" s="74"/>
      <c r="N522" s="75">
        <f t="shared" si="20"/>
        <v>1010000</v>
      </c>
      <c r="O522" s="29"/>
    </row>
    <row r="523" spans="2:15" s="17" customFormat="1" ht="13.8">
      <c r="B523" s="78" t="s">
        <v>3113</v>
      </c>
      <c r="C523" s="78" t="s">
        <v>2543</v>
      </c>
      <c r="D523" s="71" t="s">
        <v>22</v>
      </c>
      <c r="E523" s="78" t="s">
        <v>2987</v>
      </c>
      <c r="F523" s="71" t="s">
        <v>3104</v>
      </c>
      <c r="G523" s="78">
        <v>10</v>
      </c>
      <c r="H523" s="78">
        <v>12.5</v>
      </c>
      <c r="I523" s="71" t="s">
        <v>2546</v>
      </c>
      <c r="J523" s="72">
        <v>1010000</v>
      </c>
      <c r="K523" s="73"/>
      <c r="L523" s="73">
        <f t="shared" si="19"/>
        <v>1010000</v>
      </c>
      <c r="M523" s="74"/>
      <c r="N523" s="75">
        <f t="shared" si="20"/>
        <v>1010000</v>
      </c>
      <c r="O523" s="28"/>
    </row>
    <row r="524" spans="2:15" s="17" customFormat="1" ht="13.8">
      <c r="B524" s="78" t="s">
        <v>3114</v>
      </c>
      <c r="C524" s="78" t="s">
        <v>2543</v>
      </c>
      <c r="D524" s="71" t="s">
        <v>22</v>
      </c>
      <c r="E524" s="78" t="s">
        <v>2987</v>
      </c>
      <c r="F524" s="71" t="s">
        <v>3104</v>
      </c>
      <c r="G524" s="78">
        <v>11</v>
      </c>
      <c r="H524" s="78">
        <v>12.5</v>
      </c>
      <c r="I524" s="71" t="s">
        <v>2546</v>
      </c>
      <c r="J524" s="72">
        <v>1010000</v>
      </c>
      <c r="K524" s="73"/>
      <c r="L524" s="73">
        <f t="shared" si="19"/>
        <v>1010000</v>
      </c>
      <c r="M524" s="74"/>
      <c r="N524" s="75">
        <f t="shared" si="20"/>
        <v>1010000</v>
      </c>
      <c r="O524" s="29"/>
    </row>
    <row r="525" spans="2:15" s="17" customFormat="1" ht="13.8">
      <c r="B525" s="78" t="s">
        <v>3115</v>
      </c>
      <c r="C525" s="78" t="s">
        <v>2543</v>
      </c>
      <c r="D525" s="71" t="s">
        <v>22</v>
      </c>
      <c r="E525" s="78" t="s">
        <v>2987</v>
      </c>
      <c r="F525" s="71" t="s">
        <v>3104</v>
      </c>
      <c r="G525" s="78">
        <v>12</v>
      </c>
      <c r="H525" s="78">
        <v>12.5</v>
      </c>
      <c r="I525" s="71" t="s">
        <v>2546</v>
      </c>
      <c r="J525" s="72">
        <v>1010000</v>
      </c>
      <c r="K525" s="73"/>
      <c r="L525" s="73">
        <f t="shared" si="19"/>
        <v>1010000</v>
      </c>
      <c r="M525" s="74"/>
      <c r="N525" s="75">
        <f t="shared" si="20"/>
        <v>1010000</v>
      </c>
      <c r="O525" s="28"/>
    </row>
    <row r="526" spans="2:15" s="17" customFormat="1" ht="13.8">
      <c r="B526" s="78" t="s">
        <v>3116</v>
      </c>
      <c r="C526" s="78" t="s">
        <v>2543</v>
      </c>
      <c r="D526" s="71" t="s">
        <v>22</v>
      </c>
      <c r="E526" s="78" t="s">
        <v>2987</v>
      </c>
      <c r="F526" s="71" t="s">
        <v>3104</v>
      </c>
      <c r="G526" s="78">
        <v>13</v>
      </c>
      <c r="H526" s="78">
        <v>12.5</v>
      </c>
      <c r="I526" s="71" t="s">
        <v>2546</v>
      </c>
      <c r="J526" s="72">
        <v>1010000</v>
      </c>
      <c r="K526" s="73"/>
      <c r="L526" s="73">
        <f t="shared" si="19"/>
        <v>1010000</v>
      </c>
      <c r="M526" s="74"/>
      <c r="N526" s="75">
        <f t="shared" si="20"/>
        <v>1010000</v>
      </c>
      <c r="O526" s="29"/>
    </row>
    <row r="527" spans="2:15" s="17" customFormat="1" ht="13.8">
      <c r="B527" s="78" t="s">
        <v>3117</v>
      </c>
      <c r="C527" s="78" t="s">
        <v>2543</v>
      </c>
      <c r="D527" s="71" t="s">
        <v>22</v>
      </c>
      <c r="E527" s="78" t="s">
        <v>2987</v>
      </c>
      <c r="F527" s="71" t="s">
        <v>3104</v>
      </c>
      <c r="G527" s="78">
        <v>14</v>
      </c>
      <c r="H527" s="78">
        <v>12.5</v>
      </c>
      <c r="I527" s="71" t="s">
        <v>2546</v>
      </c>
      <c r="J527" s="72">
        <v>1010000</v>
      </c>
      <c r="K527" s="73"/>
      <c r="L527" s="73">
        <f t="shared" si="19"/>
        <v>1010000</v>
      </c>
      <c r="M527" s="74"/>
      <c r="N527" s="75">
        <f t="shared" si="20"/>
        <v>1010000</v>
      </c>
      <c r="O527" s="28"/>
    </row>
    <row r="528" spans="2:15" s="17" customFormat="1" ht="13.8">
      <c r="B528" s="78" t="s">
        <v>3118</v>
      </c>
      <c r="C528" s="78" t="s">
        <v>2543</v>
      </c>
      <c r="D528" s="71" t="s">
        <v>22</v>
      </c>
      <c r="E528" s="78" t="s">
        <v>2987</v>
      </c>
      <c r="F528" s="71" t="s">
        <v>3104</v>
      </c>
      <c r="G528" s="78">
        <v>15</v>
      </c>
      <c r="H528" s="78">
        <v>12.5</v>
      </c>
      <c r="I528" s="71" t="s">
        <v>2546</v>
      </c>
      <c r="J528" s="72">
        <v>1010000</v>
      </c>
      <c r="K528" s="73"/>
      <c r="L528" s="73">
        <f t="shared" si="19"/>
        <v>1010000</v>
      </c>
      <c r="M528" s="74"/>
      <c r="N528" s="75">
        <f t="shared" si="20"/>
        <v>1010000</v>
      </c>
      <c r="O528" s="29"/>
    </row>
    <row r="529" spans="2:15" s="17" customFormat="1" ht="13.8">
      <c r="B529" s="78" t="s">
        <v>3119</v>
      </c>
      <c r="C529" s="78" t="s">
        <v>2543</v>
      </c>
      <c r="D529" s="71" t="s">
        <v>22</v>
      </c>
      <c r="E529" s="78" t="s">
        <v>2987</v>
      </c>
      <c r="F529" s="71" t="s">
        <v>3104</v>
      </c>
      <c r="G529" s="78">
        <v>16</v>
      </c>
      <c r="H529" s="78">
        <v>12.5</v>
      </c>
      <c r="I529" s="71" t="s">
        <v>2546</v>
      </c>
      <c r="J529" s="72">
        <v>1010000</v>
      </c>
      <c r="K529" s="73"/>
      <c r="L529" s="73">
        <f t="shared" si="19"/>
        <v>1010000</v>
      </c>
      <c r="M529" s="74"/>
      <c r="N529" s="75">
        <f t="shared" si="20"/>
        <v>1010000</v>
      </c>
      <c r="O529" s="28"/>
    </row>
    <row r="530" spans="2:15" s="17" customFormat="1" ht="13.8">
      <c r="B530" s="78" t="s">
        <v>3120</v>
      </c>
      <c r="C530" s="78" t="s">
        <v>2543</v>
      </c>
      <c r="D530" s="71" t="s">
        <v>22</v>
      </c>
      <c r="E530" s="78" t="s">
        <v>2987</v>
      </c>
      <c r="F530" s="71" t="s">
        <v>3104</v>
      </c>
      <c r="G530" s="78">
        <v>17</v>
      </c>
      <c r="H530" s="78">
        <v>12.5</v>
      </c>
      <c r="I530" s="71" t="s">
        <v>2546</v>
      </c>
      <c r="J530" s="72">
        <v>1010000</v>
      </c>
      <c r="K530" s="73"/>
      <c r="L530" s="73">
        <f t="shared" si="19"/>
        <v>1010000</v>
      </c>
      <c r="M530" s="74"/>
      <c r="N530" s="75">
        <f t="shared" si="20"/>
        <v>1010000</v>
      </c>
      <c r="O530" s="29"/>
    </row>
    <row r="531" spans="2:15" s="17" customFormat="1" ht="13.8">
      <c r="B531" s="78" t="s">
        <v>3121</v>
      </c>
      <c r="C531" s="78" t="s">
        <v>2543</v>
      </c>
      <c r="D531" s="71" t="s">
        <v>22</v>
      </c>
      <c r="E531" s="78" t="s">
        <v>2987</v>
      </c>
      <c r="F531" s="71" t="s">
        <v>3104</v>
      </c>
      <c r="G531" s="78">
        <v>18</v>
      </c>
      <c r="H531" s="78">
        <v>12.5</v>
      </c>
      <c r="I531" s="71" t="s">
        <v>2546</v>
      </c>
      <c r="J531" s="72">
        <v>1010000</v>
      </c>
      <c r="K531" s="73"/>
      <c r="L531" s="73">
        <f t="shared" si="19"/>
        <v>1010000</v>
      </c>
      <c r="M531" s="74"/>
      <c r="N531" s="75">
        <f t="shared" si="20"/>
        <v>1010000</v>
      </c>
      <c r="O531" s="28"/>
    </row>
    <row r="532" spans="2:15" s="17" customFormat="1" ht="13.8">
      <c r="B532" s="78" t="s">
        <v>3122</v>
      </c>
      <c r="C532" s="78" t="s">
        <v>2543</v>
      </c>
      <c r="D532" s="71" t="s">
        <v>22</v>
      </c>
      <c r="E532" s="78" t="s">
        <v>2987</v>
      </c>
      <c r="F532" s="71" t="s">
        <v>3104</v>
      </c>
      <c r="G532" s="78">
        <v>19</v>
      </c>
      <c r="H532" s="78">
        <v>12.5</v>
      </c>
      <c r="I532" s="71" t="s">
        <v>2546</v>
      </c>
      <c r="J532" s="72">
        <v>1010000</v>
      </c>
      <c r="K532" s="73"/>
      <c r="L532" s="73">
        <f t="shared" si="19"/>
        <v>1010000</v>
      </c>
      <c r="M532" s="74"/>
      <c r="N532" s="75">
        <f t="shared" si="20"/>
        <v>1010000</v>
      </c>
      <c r="O532" s="29"/>
    </row>
    <row r="533" spans="2:15">
      <c r="B533" s="76" t="s">
        <v>3123</v>
      </c>
      <c r="C533" s="76" t="s">
        <v>3124</v>
      </c>
      <c r="D533" s="76" t="s">
        <v>205</v>
      </c>
      <c r="E533" s="76" t="s">
        <v>2544</v>
      </c>
      <c r="F533" s="76" t="s">
        <v>3125</v>
      </c>
      <c r="G533" s="76" t="s">
        <v>2365</v>
      </c>
      <c r="H533" s="76">
        <v>31</v>
      </c>
      <c r="I533" s="76" t="s">
        <v>2989</v>
      </c>
      <c r="J533" s="80">
        <v>3200000</v>
      </c>
      <c r="K533" s="80">
        <v>200000</v>
      </c>
      <c r="L533" s="80">
        <f>J533-K533</f>
        <v>3000000</v>
      </c>
      <c r="M533" s="80"/>
      <c r="N533" s="81">
        <f>L533-M533</f>
        <v>3000000</v>
      </c>
    </row>
    <row r="534" spans="2:15">
      <c r="B534" s="82" t="s">
        <v>3126</v>
      </c>
      <c r="C534" s="76" t="s">
        <v>3124</v>
      </c>
      <c r="D534" s="76" t="s">
        <v>233</v>
      </c>
      <c r="E534" s="76" t="s">
        <v>2544</v>
      </c>
      <c r="F534" s="76" t="s">
        <v>3125</v>
      </c>
      <c r="G534" s="76" t="s">
        <v>2368</v>
      </c>
      <c r="H534" s="76">
        <v>28</v>
      </c>
      <c r="I534" s="76" t="s">
        <v>2592</v>
      </c>
      <c r="J534" s="80">
        <v>3000000</v>
      </c>
      <c r="K534" s="80">
        <v>55000</v>
      </c>
      <c r="L534" s="80">
        <f t="shared" ref="L534:L597" si="21">J534-K534</f>
        <v>2945000</v>
      </c>
      <c r="M534" s="80"/>
      <c r="N534" s="81">
        <f t="shared" ref="N534:N597" si="22">L534-M534</f>
        <v>2945000</v>
      </c>
    </row>
    <row r="535" spans="2:15">
      <c r="B535" s="82" t="s">
        <v>3127</v>
      </c>
      <c r="C535" s="76" t="s">
        <v>3124</v>
      </c>
      <c r="D535" s="76" t="s">
        <v>205</v>
      </c>
      <c r="E535" s="76" t="s">
        <v>2544</v>
      </c>
      <c r="F535" s="76" t="s">
        <v>3125</v>
      </c>
      <c r="G535" s="76" t="s">
        <v>2377</v>
      </c>
      <c r="H535" s="76">
        <v>28</v>
      </c>
      <c r="I535" s="76" t="s">
        <v>2592</v>
      </c>
      <c r="J535" s="80">
        <v>3015000</v>
      </c>
      <c r="K535" s="80">
        <v>256300</v>
      </c>
      <c r="L535" s="80">
        <f t="shared" si="21"/>
        <v>2758700</v>
      </c>
      <c r="M535" s="80"/>
      <c r="N535" s="81">
        <f t="shared" si="22"/>
        <v>2758700</v>
      </c>
    </row>
    <row r="536" spans="2:15">
      <c r="B536" s="82" t="s">
        <v>3128</v>
      </c>
      <c r="C536" s="76" t="s">
        <v>3124</v>
      </c>
      <c r="D536" s="76" t="s">
        <v>205</v>
      </c>
      <c r="E536" s="76" t="s">
        <v>2544</v>
      </c>
      <c r="F536" s="76" t="s">
        <v>3125</v>
      </c>
      <c r="G536" s="76" t="s">
        <v>2379</v>
      </c>
      <c r="H536" s="76">
        <v>28</v>
      </c>
      <c r="I536" s="76" t="s">
        <v>2592</v>
      </c>
      <c r="J536" s="80">
        <v>3015000</v>
      </c>
      <c r="K536" s="80">
        <v>200000</v>
      </c>
      <c r="L536" s="80">
        <f t="shared" si="21"/>
        <v>2815000</v>
      </c>
      <c r="M536" s="80"/>
      <c r="N536" s="81">
        <f t="shared" si="22"/>
        <v>2815000</v>
      </c>
    </row>
    <row r="537" spans="2:15">
      <c r="B537" s="82" t="s">
        <v>3129</v>
      </c>
      <c r="C537" s="76" t="s">
        <v>3124</v>
      </c>
      <c r="D537" s="76" t="s">
        <v>205</v>
      </c>
      <c r="E537" s="76" t="s">
        <v>2544</v>
      </c>
      <c r="F537" s="76" t="s">
        <v>3125</v>
      </c>
      <c r="G537" s="76" t="s">
        <v>2370</v>
      </c>
      <c r="H537" s="76">
        <v>28</v>
      </c>
      <c r="I537" s="76" t="s">
        <v>2592</v>
      </c>
      <c r="J537" s="80">
        <v>3200000</v>
      </c>
      <c r="K537" s="80">
        <v>160000</v>
      </c>
      <c r="L537" s="80">
        <f t="shared" si="21"/>
        <v>3040000</v>
      </c>
      <c r="M537" s="80"/>
      <c r="N537" s="81">
        <f t="shared" si="22"/>
        <v>3040000</v>
      </c>
    </row>
    <row r="538" spans="2:15">
      <c r="B538" s="82" t="s">
        <v>3130</v>
      </c>
      <c r="C538" s="76" t="s">
        <v>3124</v>
      </c>
      <c r="D538" s="76" t="s">
        <v>233</v>
      </c>
      <c r="E538" s="76" t="s">
        <v>2544</v>
      </c>
      <c r="F538" s="76" t="s">
        <v>3125</v>
      </c>
      <c r="G538" s="76" t="s">
        <v>2372</v>
      </c>
      <c r="H538" s="76">
        <v>28</v>
      </c>
      <c r="I538" s="76" t="s">
        <v>2592</v>
      </c>
      <c r="J538" s="80">
        <v>3200000</v>
      </c>
      <c r="K538" s="80">
        <v>160000</v>
      </c>
      <c r="L538" s="80">
        <f t="shared" si="21"/>
        <v>3040000</v>
      </c>
      <c r="M538" s="80"/>
      <c r="N538" s="81">
        <f t="shared" si="22"/>
        <v>3040000</v>
      </c>
    </row>
    <row r="539" spans="2:15">
      <c r="B539" s="82" t="s">
        <v>3131</v>
      </c>
      <c r="C539" s="76" t="s">
        <v>3124</v>
      </c>
      <c r="D539" s="76" t="s">
        <v>233</v>
      </c>
      <c r="E539" s="76" t="s">
        <v>2544</v>
      </c>
      <c r="F539" s="76" t="s">
        <v>3125</v>
      </c>
      <c r="G539" s="76" t="s">
        <v>2597</v>
      </c>
      <c r="H539" s="76">
        <v>28</v>
      </c>
      <c r="I539" s="76" t="s">
        <v>2592</v>
      </c>
      <c r="J539" s="80">
        <v>3200000</v>
      </c>
      <c r="K539" s="80">
        <v>160000</v>
      </c>
      <c r="L539" s="80">
        <f t="shared" si="21"/>
        <v>3040000</v>
      </c>
      <c r="M539" s="80"/>
      <c r="N539" s="81">
        <f t="shared" si="22"/>
        <v>3040000</v>
      </c>
    </row>
    <row r="540" spans="2:15">
      <c r="B540" s="82" t="s">
        <v>3132</v>
      </c>
      <c r="C540" s="76" t="s">
        <v>3124</v>
      </c>
      <c r="D540" s="76" t="s">
        <v>205</v>
      </c>
      <c r="E540" s="76" t="s">
        <v>2544</v>
      </c>
      <c r="F540" s="76" t="s">
        <v>3125</v>
      </c>
      <c r="G540" s="76" t="s">
        <v>2599</v>
      </c>
      <c r="H540" s="76">
        <v>28</v>
      </c>
      <c r="I540" s="76" t="s">
        <v>2592</v>
      </c>
      <c r="J540" s="80">
        <v>3200000</v>
      </c>
      <c r="K540" s="80">
        <v>160000</v>
      </c>
      <c r="L540" s="80">
        <f t="shared" si="21"/>
        <v>3040000</v>
      </c>
      <c r="M540" s="80"/>
      <c r="N540" s="81">
        <f t="shared" si="22"/>
        <v>3040000</v>
      </c>
    </row>
    <row r="541" spans="2:15">
      <c r="B541" s="82" t="s">
        <v>3133</v>
      </c>
      <c r="C541" s="76" t="s">
        <v>3124</v>
      </c>
      <c r="D541" s="76" t="s">
        <v>233</v>
      </c>
      <c r="E541" s="76" t="s">
        <v>2544</v>
      </c>
      <c r="F541" s="76" t="s">
        <v>3125</v>
      </c>
      <c r="G541" s="76" t="s">
        <v>2601</v>
      </c>
      <c r="H541" s="76">
        <v>28</v>
      </c>
      <c r="I541" s="76" t="s">
        <v>2592</v>
      </c>
      <c r="J541" s="80">
        <v>3200000</v>
      </c>
      <c r="K541" s="80">
        <v>160000</v>
      </c>
      <c r="L541" s="80">
        <f t="shared" si="21"/>
        <v>3040000</v>
      </c>
      <c r="M541" s="80"/>
      <c r="N541" s="81">
        <f t="shared" si="22"/>
        <v>3040000</v>
      </c>
    </row>
    <row r="542" spans="2:15">
      <c r="B542" s="82" t="s">
        <v>3134</v>
      </c>
      <c r="C542" s="76" t="s">
        <v>3124</v>
      </c>
      <c r="D542" s="76" t="s">
        <v>205</v>
      </c>
      <c r="E542" s="76" t="s">
        <v>2544</v>
      </c>
      <c r="F542" s="76" t="s">
        <v>3125</v>
      </c>
      <c r="G542" s="76" t="s">
        <v>2603</v>
      </c>
      <c r="H542" s="76">
        <v>28</v>
      </c>
      <c r="I542" s="76" t="s">
        <v>2592</v>
      </c>
      <c r="J542" s="80">
        <v>3015000</v>
      </c>
      <c r="K542" s="80">
        <v>200000</v>
      </c>
      <c r="L542" s="80">
        <f t="shared" si="21"/>
        <v>2815000</v>
      </c>
      <c r="M542" s="80"/>
      <c r="N542" s="81">
        <f t="shared" si="22"/>
        <v>2815000</v>
      </c>
    </row>
    <row r="543" spans="2:15">
      <c r="B543" s="82" t="s">
        <v>3135</v>
      </c>
      <c r="C543" s="76" t="s">
        <v>3124</v>
      </c>
      <c r="D543" s="76" t="s">
        <v>205</v>
      </c>
      <c r="E543" s="76" t="s">
        <v>2544</v>
      </c>
      <c r="F543" s="76" t="s">
        <v>3125</v>
      </c>
      <c r="G543" s="76" t="s">
        <v>2605</v>
      </c>
      <c r="H543" s="76">
        <v>28</v>
      </c>
      <c r="I543" s="76" t="s">
        <v>2592</v>
      </c>
      <c r="J543" s="80">
        <v>3200000</v>
      </c>
      <c r="K543" s="80">
        <v>160000</v>
      </c>
      <c r="L543" s="80">
        <f t="shared" si="21"/>
        <v>3040000</v>
      </c>
      <c r="M543" s="80"/>
      <c r="N543" s="81">
        <f t="shared" si="22"/>
        <v>3040000</v>
      </c>
    </row>
    <row r="544" spans="2:15">
      <c r="B544" s="82" t="s">
        <v>3136</v>
      </c>
      <c r="C544" s="76" t="s">
        <v>3124</v>
      </c>
      <c r="D544" s="76" t="s">
        <v>205</v>
      </c>
      <c r="E544" s="76" t="s">
        <v>2544</v>
      </c>
      <c r="F544" s="76" t="s">
        <v>3125</v>
      </c>
      <c r="G544" s="76" t="s">
        <v>2607</v>
      </c>
      <c r="H544" s="76">
        <v>28</v>
      </c>
      <c r="I544" s="76" t="s">
        <v>2592</v>
      </c>
      <c r="J544" s="80">
        <v>3200000</v>
      </c>
      <c r="K544" s="80">
        <v>160000</v>
      </c>
      <c r="L544" s="80">
        <f t="shared" si="21"/>
        <v>3040000</v>
      </c>
      <c r="M544" s="80"/>
      <c r="N544" s="81">
        <f t="shared" si="22"/>
        <v>3040000</v>
      </c>
    </row>
    <row r="545" spans="2:14">
      <c r="B545" s="82" t="s">
        <v>3137</v>
      </c>
      <c r="C545" s="76" t="s">
        <v>3124</v>
      </c>
      <c r="D545" s="76" t="s">
        <v>972</v>
      </c>
      <c r="E545" s="76" t="s">
        <v>2544</v>
      </c>
      <c r="F545" s="76" t="s">
        <v>3125</v>
      </c>
      <c r="G545" s="76" t="s">
        <v>2609</v>
      </c>
      <c r="H545" s="76">
        <v>31</v>
      </c>
      <c r="I545" s="76" t="s">
        <v>2989</v>
      </c>
      <c r="J545" s="80">
        <v>3474000</v>
      </c>
      <c r="K545" s="80">
        <v>282000</v>
      </c>
      <c r="L545" s="80">
        <f t="shared" si="21"/>
        <v>3192000</v>
      </c>
      <c r="M545" s="80"/>
      <c r="N545" s="81">
        <f t="shared" si="22"/>
        <v>3192000</v>
      </c>
    </row>
    <row r="546" spans="2:14">
      <c r="B546" s="82" t="s">
        <v>3138</v>
      </c>
      <c r="C546" s="76" t="s">
        <v>3124</v>
      </c>
      <c r="D546" s="76" t="s">
        <v>205</v>
      </c>
      <c r="E546" s="76" t="s">
        <v>2544</v>
      </c>
      <c r="F546" s="76" t="s">
        <v>3125</v>
      </c>
      <c r="G546" s="76" t="s">
        <v>2611</v>
      </c>
      <c r="H546" s="76">
        <v>31</v>
      </c>
      <c r="I546" s="76" t="s">
        <v>2989</v>
      </c>
      <c r="J546" s="80">
        <v>3474000</v>
      </c>
      <c r="K546" s="80">
        <v>338784</v>
      </c>
      <c r="L546" s="80">
        <f t="shared" si="21"/>
        <v>3135216</v>
      </c>
      <c r="M546" s="80"/>
      <c r="N546" s="81">
        <f t="shared" si="22"/>
        <v>3135216</v>
      </c>
    </row>
    <row r="547" spans="2:14">
      <c r="B547" s="82" t="s">
        <v>3139</v>
      </c>
      <c r="C547" s="76" t="s">
        <v>3124</v>
      </c>
      <c r="D547" s="76" t="s">
        <v>972</v>
      </c>
      <c r="E547" s="76" t="s">
        <v>2544</v>
      </c>
      <c r="F547" s="76" t="s">
        <v>3125</v>
      </c>
      <c r="G547" s="76" t="s">
        <v>2613</v>
      </c>
      <c r="H547" s="76">
        <v>28</v>
      </c>
      <c r="I547" s="76" t="s">
        <v>2592</v>
      </c>
      <c r="J547" s="80">
        <v>3000000</v>
      </c>
      <c r="K547" s="80">
        <v>55000</v>
      </c>
      <c r="L547" s="80">
        <f t="shared" si="21"/>
        <v>2945000</v>
      </c>
      <c r="M547" s="80"/>
      <c r="N547" s="81">
        <f t="shared" si="22"/>
        <v>2945000</v>
      </c>
    </row>
    <row r="548" spans="2:14">
      <c r="B548" s="82" t="s">
        <v>3140</v>
      </c>
      <c r="C548" s="76" t="s">
        <v>3124</v>
      </c>
      <c r="D548" s="76" t="s">
        <v>233</v>
      </c>
      <c r="E548" s="76" t="s">
        <v>2544</v>
      </c>
      <c r="F548" s="76" t="s">
        <v>3125</v>
      </c>
      <c r="G548" s="76" t="s">
        <v>2615</v>
      </c>
      <c r="H548" s="76">
        <v>28</v>
      </c>
      <c r="I548" s="76" t="s">
        <v>2592</v>
      </c>
      <c r="J548" s="80">
        <v>3200000</v>
      </c>
      <c r="K548" s="80">
        <v>0</v>
      </c>
      <c r="L548" s="80">
        <f t="shared" si="21"/>
        <v>3200000</v>
      </c>
      <c r="M548" s="80"/>
      <c r="N548" s="81">
        <f t="shared" si="22"/>
        <v>3200000</v>
      </c>
    </row>
    <row r="549" spans="2:14">
      <c r="B549" s="82" t="s">
        <v>3141</v>
      </c>
      <c r="C549" s="76" t="s">
        <v>3124</v>
      </c>
      <c r="D549" s="76" t="s">
        <v>205</v>
      </c>
      <c r="E549" s="76" t="s">
        <v>2544</v>
      </c>
      <c r="F549" s="76" t="s">
        <v>3125</v>
      </c>
      <c r="G549" s="76" t="s">
        <v>2617</v>
      </c>
      <c r="H549" s="76">
        <v>28</v>
      </c>
      <c r="I549" s="76" t="s">
        <v>2592</v>
      </c>
      <c r="J549" s="80">
        <v>3200000</v>
      </c>
      <c r="K549" s="80">
        <v>200000</v>
      </c>
      <c r="L549" s="80">
        <f t="shared" si="21"/>
        <v>3000000</v>
      </c>
      <c r="M549" s="80"/>
      <c r="N549" s="81">
        <f t="shared" si="22"/>
        <v>3000000</v>
      </c>
    </row>
    <row r="550" spans="2:14">
      <c r="B550" s="82" t="s">
        <v>3142</v>
      </c>
      <c r="C550" s="76" t="s">
        <v>3124</v>
      </c>
      <c r="D550" s="76" t="s">
        <v>205</v>
      </c>
      <c r="E550" s="76" t="s">
        <v>2544</v>
      </c>
      <c r="F550" s="76" t="s">
        <v>3125</v>
      </c>
      <c r="G550" s="76" t="s">
        <v>2619</v>
      </c>
      <c r="H550" s="76">
        <v>28</v>
      </c>
      <c r="I550" s="76" t="s">
        <v>2592</v>
      </c>
      <c r="J550" s="80">
        <v>3200000</v>
      </c>
      <c r="K550" s="80">
        <v>200000</v>
      </c>
      <c r="L550" s="80">
        <f t="shared" si="21"/>
        <v>3000000</v>
      </c>
      <c r="M550" s="80"/>
      <c r="N550" s="81">
        <f t="shared" si="22"/>
        <v>3000000</v>
      </c>
    </row>
    <row r="551" spans="2:14">
      <c r="B551" s="82" t="s">
        <v>3143</v>
      </c>
      <c r="C551" s="76" t="s">
        <v>3124</v>
      </c>
      <c r="D551" s="76" t="s">
        <v>233</v>
      </c>
      <c r="E551" s="76" t="s">
        <v>2544</v>
      </c>
      <c r="F551" s="76" t="s">
        <v>3125</v>
      </c>
      <c r="G551" s="76" t="s">
        <v>2621</v>
      </c>
      <c r="H551" s="76">
        <v>28</v>
      </c>
      <c r="I551" s="76" t="s">
        <v>2592</v>
      </c>
      <c r="J551" s="80">
        <v>3200000</v>
      </c>
      <c r="K551" s="80">
        <v>160000</v>
      </c>
      <c r="L551" s="80">
        <f t="shared" si="21"/>
        <v>3040000</v>
      </c>
      <c r="M551" s="80"/>
      <c r="N551" s="81">
        <f t="shared" si="22"/>
        <v>3040000</v>
      </c>
    </row>
    <row r="552" spans="2:14">
      <c r="B552" s="82" t="s">
        <v>3144</v>
      </c>
      <c r="C552" s="76" t="s">
        <v>3124</v>
      </c>
      <c r="D552" s="76" t="s">
        <v>205</v>
      </c>
      <c r="E552" s="76" t="s">
        <v>2544</v>
      </c>
      <c r="F552" s="76" t="s">
        <v>3125</v>
      </c>
      <c r="G552" s="76" t="s">
        <v>2623</v>
      </c>
      <c r="H552" s="76">
        <v>28</v>
      </c>
      <c r="I552" s="76" t="s">
        <v>2592</v>
      </c>
      <c r="J552" s="80">
        <v>3015000</v>
      </c>
      <c r="K552" s="80">
        <v>100000</v>
      </c>
      <c r="L552" s="80">
        <f t="shared" si="21"/>
        <v>2915000</v>
      </c>
      <c r="M552" s="80"/>
      <c r="N552" s="81">
        <f t="shared" si="22"/>
        <v>2915000</v>
      </c>
    </row>
    <row r="553" spans="2:14">
      <c r="B553" s="82" t="s">
        <v>3145</v>
      </c>
      <c r="C553" s="76" t="s">
        <v>3124</v>
      </c>
      <c r="D553" s="76" t="s">
        <v>243</v>
      </c>
      <c r="E553" s="76" t="s">
        <v>2544</v>
      </c>
      <c r="F553" s="76" t="s">
        <v>3125</v>
      </c>
      <c r="G553" s="76" t="s">
        <v>2625</v>
      </c>
      <c r="H553" s="76">
        <v>28</v>
      </c>
      <c r="I553" s="76" t="s">
        <v>2592</v>
      </c>
      <c r="J553" s="80">
        <v>3200000</v>
      </c>
      <c r="K553" s="80">
        <v>200000</v>
      </c>
      <c r="L553" s="80">
        <f t="shared" si="21"/>
        <v>3000000</v>
      </c>
      <c r="M553" s="80"/>
      <c r="N553" s="81">
        <f t="shared" si="22"/>
        <v>3000000</v>
      </c>
    </row>
    <row r="554" spans="2:14">
      <c r="B554" s="82" t="s">
        <v>3146</v>
      </c>
      <c r="C554" s="76" t="s">
        <v>3124</v>
      </c>
      <c r="D554" s="76" t="s">
        <v>205</v>
      </c>
      <c r="E554" s="76" t="s">
        <v>2544</v>
      </c>
      <c r="F554" s="76" t="s">
        <v>3125</v>
      </c>
      <c r="G554" s="76" t="s">
        <v>2627</v>
      </c>
      <c r="H554" s="76">
        <v>28</v>
      </c>
      <c r="I554" s="76" t="s">
        <v>2592</v>
      </c>
      <c r="J554" s="80">
        <v>3200000</v>
      </c>
      <c r="K554" s="80">
        <v>385000</v>
      </c>
      <c r="L554" s="80">
        <f t="shared" si="21"/>
        <v>2815000</v>
      </c>
      <c r="M554" s="80"/>
      <c r="N554" s="81">
        <f t="shared" si="22"/>
        <v>2815000</v>
      </c>
    </row>
    <row r="555" spans="2:14">
      <c r="B555" s="82" t="s">
        <v>3147</v>
      </c>
      <c r="C555" s="76" t="s">
        <v>3124</v>
      </c>
      <c r="D555" s="76" t="s">
        <v>205</v>
      </c>
      <c r="E555" s="76" t="s">
        <v>2544</v>
      </c>
      <c r="F555" s="76" t="s">
        <v>3125</v>
      </c>
      <c r="G555" s="76" t="s">
        <v>2629</v>
      </c>
      <c r="H555" s="76">
        <v>28</v>
      </c>
      <c r="I555" s="76" t="s">
        <v>2592</v>
      </c>
      <c r="J555" s="80">
        <v>3200000</v>
      </c>
      <c r="K555" s="80">
        <v>260000</v>
      </c>
      <c r="L555" s="80">
        <f t="shared" si="21"/>
        <v>2940000</v>
      </c>
      <c r="M555" s="80"/>
      <c r="N555" s="81">
        <f t="shared" si="22"/>
        <v>2940000</v>
      </c>
    </row>
    <row r="556" spans="2:14">
      <c r="B556" s="82" t="s">
        <v>3148</v>
      </c>
      <c r="C556" s="76" t="s">
        <v>3124</v>
      </c>
      <c r="D556" s="76" t="s">
        <v>205</v>
      </c>
      <c r="E556" s="76" t="s">
        <v>2544</v>
      </c>
      <c r="F556" s="76" t="s">
        <v>3125</v>
      </c>
      <c r="G556" s="76" t="s">
        <v>2631</v>
      </c>
      <c r="H556" s="76">
        <v>28</v>
      </c>
      <c r="I556" s="76" t="s">
        <v>2592</v>
      </c>
      <c r="J556" s="80">
        <v>3200000</v>
      </c>
      <c r="K556" s="80">
        <v>200000</v>
      </c>
      <c r="L556" s="80">
        <f t="shared" si="21"/>
        <v>3000000</v>
      </c>
      <c r="M556" s="80"/>
      <c r="N556" s="81">
        <f t="shared" si="22"/>
        <v>3000000</v>
      </c>
    </row>
    <row r="557" spans="2:14">
      <c r="B557" s="82" t="s">
        <v>3149</v>
      </c>
      <c r="C557" s="76" t="s">
        <v>3124</v>
      </c>
      <c r="D557" s="76" t="s">
        <v>205</v>
      </c>
      <c r="E557" s="76" t="s">
        <v>2544</v>
      </c>
      <c r="F557" s="76" t="s">
        <v>3125</v>
      </c>
      <c r="G557" s="76" t="s">
        <v>3150</v>
      </c>
      <c r="H557" s="76">
        <v>28</v>
      </c>
      <c r="I557" s="76" t="s">
        <v>2592</v>
      </c>
      <c r="J557" s="80">
        <v>3200000</v>
      </c>
      <c r="K557" s="80">
        <v>160000</v>
      </c>
      <c r="L557" s="80">
        <f t="shared" si="21"/>
        <v>3040000</v>
      </c>
      <c r="M557" s="80"/>
      <c r="N557" s="81">
        <f t="shared" si="22"/>
        <v>3040000</v>
      </c>
    </row>
    <row r="558" spans="2:14">
      <c r="B558" s="76" t="s">
        <v>3151</v>
      </c>
      <c r="C558" s="76" t="s">
        <v>3124</v>
      </c>
      <c r="D558" s="76" t="s">
        <v>205</v>
      </c>
      <c r="E558" s="76" t="s">
        <v>2544</v>
      </c>
      <c r="F558" s="76" t="s">
        <v>3125</v>
      </c>
      <c r="G558" s="76" t="s">
        <v>3152</v>
      </c>
      <c r="H558" s="76">
        <v>31</v>
      </c>
      <c r="I558" s="76" t="s">
        <v>2989</v>
      </c>
      <c r="J558" s="80">
        <v>3399000</v>
      </c>
      <c r="K558" s="80">
        <v>399000</v>
      </c>
      <c r="L558" s="80">
        <f t="shared" si="21"/>
        <v>3000000</v>
      </c>
      <c r="M558" s="80"/>
      <c r="N558" s="81">
        <f t="shared" si="22"/>
        <v>3000000</v>
      </c>
    </row>
    <row r="559" spans="2:14">
      <c r="B559" s="76" t="s">
        <v>3153</v>
      </c>
      <c r="C559" s="76" t="s">
        <v>3124</v>
      </c>
      <c r="D559" s="76" t="s">
        <v>205</v>
      </c>
      <c r="E559" s="76" t="s">
        <v>2544</v>
      </c>
      <c r="F559" s="76" t="s">
        <v>3154</v>
      </c>
      <c r="G559" s="76" t="s">
        <v>2365</v>
      </c>
      <c r="H559" s="76">
        <v>31</v>
      </c>
      <c r="I559" s="76" t="s">
        <v>2989</v>
      </c>
      <c r="J559" s="80">
        <v>3474000</v>
      </c>
      <c r="K559" s="80">
        <v>294000</v>
      </c>
      <c r="L559" s="80">
        <f t="shared" si="21"/>
        <v>3180000</v>
      </c>
      <c r="M559" s="80"/>
      <c r="N559" s="81">
        <f t="shared" si="22"/>
        <v>3180000</v>
      </c>
    </row>
    <row r="560" spans="2:14">
      <c r="B560" s="76" t="s">
        <v>3155</v>
      </c>
      <c r="C560" s="76" t="s">
        <v>3124</v>
      </c>
      <c r="D560" s="76" t="s">
        <v>233</v>
      </c>
      <c r="E560" s="76" t="s">
        <v>2544</v>
      </c>
      <c r="F560" s="76" t="s">
        <v>3154</v>
      </c>
      <c r="G560" s="76" t="s">
        <v>2368</v>
      </c>
      <c r="H560" s="76">
        <v>28</v>
      </c>
      <c r="I560" s="76" t="s">
        <v>2592</v>
      </c>
      <c r="J560" s="80">
        <v>3200000</v>
      </c>
      <c r="K560" s="80">
        <v>200000</v>
      </c>
      <c r="L560" s="80">
        <f t="shared" si="21"/>
        <v>3000000</v>
      </c>
      <c r="M560" s="80"/>
      <c r="N560" s="81">
        <f t="shared" si="22"/>
        <v>3000000</v>
      </c>
    </row>
    <row r="561" spans="2:14">
      <c r="B561" s="76" t="s">
        <v>3156</v>
      </c>
      <c r="C561" s="76" t="s">
        <v>3124</v>
      </c>
      <c r="D561" s="76" t="s">
        <v>205</v>
      </c>
      <c r="E561" s="76" t="s">
        <v>2544</v>
      </c>
      <c r="F561" s="76" t="s">
        <v>3154</v>
      </c>
      <c r="G561" s="76" t="s">
        <v>2377</v>
      </c>
      <c r="H561" s="76">
        <v>28</v>
      </c>
      <c r="I561" s="76" t="s">
        <v>2592</v>
      </c>
      <c r="J561" s="80">
        <v>3200000</v>
      </c>
      <c r="K561" s="80">
        <v>160000</v>
      </c>
      <c r="L561" s="80">
        <f t="shared" si="21"/>
        <v>3040000</v>
      </c>
      <c r="M561" s="80"/>
      <c r="N561" s="81">
        <f t="shared" si="22"/>
        <v>3040000</v>
      </c>
    </row>
    <row r="562" spans="2:14">
      <c r="B562" s="76" t="s">
        <v>3157</v>
      </c>
      <c r="C562" s="76" t="s">
        <v>3124</v>
      </c>
      <c r="D562" s="76" t="s">
        <v>205</v>
      </c>
      <c r="E562" s="76" t="s">
        <v>2544</v>
      </c>
      <c r="F562" s="76" t="s">
        <v>3154</v>
      </c>
      <c r="G562" s="76" t="s">
        <v>2379</v>
      </c>
      <c r="H562" s="76">
        <v>28</v>
      </c>
      <c r="I562" s="76" t="s">
        <v>2592</v>
      </c>
      <c r="J562" s="80">
        <v>2990000</v>
      </c>
      <c r="K562" s="80">
        <v>200000</v>
      </c>
      <c r="L562" s="80">
        <f t="shared" si="21"/>
        <v>2790000</v>
      </c>
      <c r="M562" s="80"/>
      <c r="N562" s="81">
        <f t="shared" si="22"/>
        <v>2790000</v>
      </c>
    </row>
    <row r="563" spans="2:14">
      <c r="B563" s="76" t="s">
        <v>3158</v>
      </c>
      <c r="C563" s="76" t="s">
        <v>3124</v>
      </c>
      <c r="D563" s="76" t="s">
        <v>205</v>
      </c>
      <c r="E563" s="76" t="s">
        <v>2544</v>
      </c>
      <c r="F563" s="76" t="s">
        <v>3154</v>
      </c>
      <c r="G563" s="76" t="s">
        <v>2370</v>
      </c>
      <c r="H563" s="76">
        <v>28</v>
      </c>
      <c r="I563" s="76" t="s">
        <v>2592</v>
      </c>
      <c r="J563" s="80">
        <v>2990000</v>
      </c>
      <c r="K563" s="80">
        <v>240000</v>
      </c>
      <c r="L563" s="80">
        <f t="shared" si="21"/>
        <v>2750000</v>
      </c>
      <c r="M563" s="80"/>
      <c r="N563" s="81">
        <f t="shared" si="22"/>
        <v>2750000</v>
      </c>
    </row>
    <row r="564" spans="2:14">
      <c r="B564" s="76" t="s">
        <v>3159</v>
      </c>
      <c r="C564" s="76" t="s">
        <v>3124</v>
      </c>
      <c r="D564" s="76" t="s">
        <v>205</v>
      </c>
      <c r="E564" s="76" t="s">
        <v>2544</v>
      </c>
      <c r="F564" s="76" t="s">
        <v>3154</v>
      </c>
      <c r="G564" s="76" t="s">
        <v>2372</v>
      </c>
      <c r="H564" s="76">
        <v>28</v>
      </c>
      <c r="I564" s="76" t="s">
        <v>2592</v>
      </c>
      <c r="J564" s="80">
        <v>3200000</v>
      </c>
      <c r="K564" s="80">
        <v>200000</v>
      </c>
      <c r="L564" s="80">
        <f t="shared" si="21"/>
        <v>3000000</v>
      </c>
      <c r="M564" s="80">
        <v>0</v>
      </c>
      <c r="N564" s="81">
        <f t="shared" si="22"/>
        <v>3000000</v>
      </c>
    </row>
    <row r="565" spans="2:14">
      <c r="B565" s="76" t="s">
        <v>3160</v>
      </c>
      <c r="C565" s="76" t="s">
        <v>3124</v>
      </c>
      <c r="D565" s="76" t="s">
        <v>205</v>
      </c>
      <c r="E565" s="76" t="s">
        <v>2544</v>
      </c>
      <c r="F565" s="76" t="s">
        <v>3154</v>
      </c>
      <c r="G565" s="76" t="s">
        <v>2597</v>
      </c>
      <c r="H565" s="76">
        <v>28</v>
      </c>
      <c r="I565" s="76" t="s">
        <v>2592</v>
      </c>
      <c r="J565" s="80">
        <v>3200000</v>
      </c>
      <c r="K565" s="80">
        <v>450000</v>
      </c>
      <c r="L565" s="80">
        <f t="shared" si="21"/>
        <v>2750000</v>
      </c>
      <c r="M565" s="80"/>
      <c r="N565" s="81">
        <f t="shared" si="22"/>
        <v>2750000</v>
      </c>
    </row>
    <row r="566" spans="2:14">
      <c r="B566" s="76" t="s">
        <v>3161</v>
      </c>
      <c r="C566" s="76" t="s">
        <v>3124</v>
      </c>
      <c r="D566" s="76" t="s">
        <v>233</v>
      </c>
      <c r="E566" s="76" t="s">
        <v>2544</v>
      </c>
      <c r="F566" s="76" t="s">
        <v>3154</v>
      </c>
      <c r="G566" s="76" t="s">
        <v>2599</v>
      </c>
      <c r="H566" s="76">
        <v>28</v>
      </c>
      <c r="I566" s="76" t="s">
        <v>2592</v>
      </c>
      <c r="J566" s="80">
        <v>3000000</v>
      </c>
      <c r="K566" s="80">
        <v>55000</v>
      </c>
      <c r="L566" s="80">
        <f t="shared" si="21"/>
        <v>2945000</v>
      </c>
      <c r="M566" s="80"/>
      <c r="N566" s="81">
        <f t="shared" si="22"/>
        <v>2945000</v>
      </c>
    </row>
    <row r="567" spans="2:14">
      <c r="B567" s="76" t="s">
        <v>3162</v>
      </c>
      <c r="C567" s="76" t="s">
        <v>3124</v>
      </c>
      <c r="D567" s="76" t="s">
        <v>205</v>
      </c>
      <c r="E567" s="76" t="s">
        <v>2544</v>
      </c>
      <c r="F567" s="76" t="s">
        <v>3154</v>
      </c>
      <c r="G567" s="76" t="s">
        <v>2601</v>
      </c>
      <c r="H567" s="76">
        <v>28</v>
      </c>
      <c r="I567" s="76" t="s">
        <v>2592</v>
      </c>
      <c r="J567" s="80">
        <v>2990000</v>
      </c>
      <c r="K567" s="80">
        <v>240000</v>
      </c>
      <c r="L567" s="80">
        <f t="shared" si="21"/>
        <v>2750000</v>
      </c>
      <c r="M567" s="80"/>
      <c r="N567" s="81">
        <f t="shared" si="22"/>
        <v>2750000</v>
      </c>
    </row>
    <row r="568" spans="2:14">
      <c r="B568" s="76" t="s">
        <v>3163</v>
      </c>
      <c r="C568" s="76" t="s">
        <v>3124</v>
      </c>
      <c r="D568" s="76" t="s">
        <v>205</v>
      </c>
      <c r="E568" s="76" t="s">
        <v>2544</v>
      </c>
      <c r="F568" s="76" t="s">
        <v>3154</v>
      </c>
      <c r="G568" s="76" t="s">
        <v>2603</v>
      </c>
      <c r="H568" s="76">
        <v>28</v>
      </c>
      <c r="I568" s="76" t="s">
        <v>2592</v>
      </c>
      <c r="J568" s="80">
        <v>2990000</v>
      </c>
      <c r="K568" s="80">
        <v>240000</v>
      </c>
      <c r="L568" s="80">
        <f t="shared" si="21"/>
        <v>2750000</v>
      </c>
      <c r="M568" s="80"/>
      <c r="N568" s="81">
        <f t="shared" si="22"/>
        <v>2750000</v>
      </c>
    </row>
    <row r="569" spans="2:14">
      <c r="B569" s="76" t="s">
        <v>3164</v>
      </c>
      <c r="C569" s="76" t="s">
        <v>3124</v>
      </c>
      <c r="D569" s="76" t="s">
        <v>205</v>
      </c>
      <c r="E569" s="76" t="s">
        <v>2544</v>
      </c>
      <c r="F569" s="76" t="s">
        <v>3154</v>
      </c>
      <c r="G569" s="76" t="s">
        <v>2605</v>
      </c>
      <c r="H569" s="76">
        <v>28</v>
      </c>
      <c r="I569" s="76" t="s">
        <v>2592</v>
      </c>
      <c r="J569" s="80">
        <v>2520000</v>
      </c>
      <c r="K569" s="80">
        <v>50000</v>
      </c>
      <c r="L569" s="80">
        <f t="shared" si="21"/>
        <v>2470000</v>
      </c>
      <c r="M569" s="80"/>
      <c r="N569" s="81">
        <f t="shared" si="22"/>
        <v>2470000</v>
      </c>
    </row>
    <row r="570" spans="2:14">
      <c r="B570" s="76" t="s">
        <v>3165</v>
      </c>
      <c r="C570" s="76" t="s">
        <v>3124</v>
      </c>
      <c r="D570" s="76" t="s">
        <v>205</v>
      </c>
      <c r="E570" s="76" t="s">
        <v>2544</v>
      </c>
      <c r="F570" s="76" t="s">
        <v>3154</v>
      </c>
      <c r="G570" s="76" t="s">
        <v>2607</v>
      </c>
      <c r="H570" s="76">
        <v>28</v>
      </c>
      <c r="I570" s="76" t="s">
        <v>2592</v>
      </c>
      <c r="J570" s="80">
        <v>3200000</v>
      </c>
      <c r="K570" s="80">
        <v>160000</v>
      </c>
      <c r="L570" s="80">
        <f t="shared" si="21"/>
        <v>3040000</v>
      </c>
      <c r="M570" s="80"/>
      <c r="N570" s="81">
        <f t="shared" si="22"/>
        <v>3040000</v>
      </c>
    </row>
    <row r="571" spans="2:14">
      <c r="B571" s="76" t="s">
        <v>3166</v>
      </c>
      <c r="C571" s="76" t="s">
        <v>3124</v>
      </c>
      <c r="D571" s="76" t="s">
        <v>243</v>
      </c>
      <c r="E571" s="76" t="s">
        <v>2544</v>
      </c>
      <c r="F571" s="76" t="s">
        <v>3154</v>
      </c>
      <c r="G571" s="76" t="s">
        <v>2609</v>
      </c>
      <c r="H571" s="76">
        <v>31</v>
      </c>
      <c r="I571" s="76" t="s">
        <v>2989</v>
      </c>
      <c r="J571" s="80">
        <v>3334000</v>
      </c>
      <c r="K571" s="80">
        <v>134800</v>
      </c>
      <c r="L571" s="80">
        <f t="shared" si="21"/>
        <v>3199200</v>
      </c>
      <c r="M571" s="80"/>
      <c r="N571" s="81">
        <f t="shared" si="22"/>
        <v>3199200</v>
      </c>
    </row>
    <row r="572" spans="2:14">
      <c r="B572" s="76" t="s">
        <v>3167</v>
      </c>
      <c r="C572" s="76" t="s">
        <v>3124</v>
      </c>
      <c r="D572" s="76" t="s">
        <v>205</v>
      </c>
      <c r="E572" s="76" t="s">
        <v>2544</v>
      </c>
      <c r="F572" s="76" t="s">
        <v>3154</v>
      </c>
      <c r="G572" s="76" t="s">
        <v>2611</v>
      </c>
      <c r="H572" s="76">
        <v>31</v>
      </c>
      <c r="I572" s="76" t="s">
        <v>2989</v>
      </c>
      <c r="J572" s="80">
        <v>2830000</v>
      </c>
      <c r="K572" s="80">
        <v>25000</v>
      </c>
      <c r="L572" s="80">
        <f t="shared" si="21"/>
        <v>2805000</v>
      </c>
      <c r="M572" s="80"/>
      <c r="N572" s="81">
        <f t="shared" si="22"/>
        <v>2805000</v>
      </c>
    </row>
    <row r="573" spans="2:14">
      <c r="B573" s="76" t="s">
        <v>3168</v>
      </c>
      <c r="C573" s="76" t="s">
        <v>3124</v>
      </c>
      <c r="D573" s="76" t="s">
        <v>233</v>
      </c>
      <c r="E573" s="76" t="s">
        <v>2544</v>
      </c>
      <c r="F573" s="76" t="s">
        <v>3154</v>
      </c>
      <c r="G573" s="76" t="s">
        <v>2613</v>
      </c>
      <c r="H573" s="76">
        <v>28</v>
      </c>
      <c r="I573" s="76" t="s">
        <v>2592</v>
      </c>
      <c r="J573" s="80">
        <v>3200000</v>
      </c>
      <c r="K573" s="80">
        <v>160000</v>
      </c>
      <c r="L573" s="80">
        <f t="shared" si="21"/>
        <v>3040000</v>
      </c>
      <c r="M573" s="80"/>
      <c r="N573" s="81">
        <f t="shared" si="22"/>
        <v>3040000</v>
      </c>
    </row>
    <row r="574" spans="2:14">
      <c r="B574" s="82" t="s">
        <v>3169</v>
      </c>
      <c r="C574" s="76" t="s">
        <v>3124</v>
      </c>
      <c r="D574" s="76" t="s">
        <v>233</v>
      </c>
      <c r="E574" s="76" t="s">
        <v>2544</v>
      </c>
      <c r="F574" s="76" t="s">
        <v>3154</v>
      </c>
      <c r="G574" s="76" t="s">
        <v>2615</v>
      </c>
      <c r="H574" s="76">
        <v>28</v>
      </c>
      <c r="I574" s="76" t="s">
        <v>2592</v>
      </c>
      <c r="J574" s="80">
        <v>2990000</v>
      </c>
      <c r="K574" s="80">
        <v>290000</v>
      </c>
      <c r="L574" s="80">
        <f t="shared" si="21"/>
        <v>2700000</v>
      </c>
      <c r="M574" s="80"/>
      <c r="N574" s="81">
        <f t="shared" si="22"/>
        <v>2700000</v>
      </c>
    </row>
    <row r="575" spans="2:14">
      <c r="B575" s="82" t="s">
        <v>3170</v>
      </c>
      <c r="C575" s="76" t="s">
        <v>3124</v>
      </c>
      <c r="D575" s="76" t="s">
        <v>205</v>
      </c>
      <c r="E575" s="76" t="s">
        <v>2544</v>
      </c>
      <c r="F575" s="76" t="s">
        <v>3154</v>
      </c>
      <c r="G575" s="76" t="s">
        <v>2617</v>
      </c>
      <c r="H575" s="76">
        <v>28</v>
      </c>
      <c r="I575" s="76" t="s">
        <v>2592</v>
      </c>
      <c r="J575" s="80">
        <v>2990000</v>
      </c>
      <c r="K575" s="80">
        <v>100000</v>
      </c>
      <c r="L575" s="80">
        <f t="shared" si="21"/>
        <v>2890000</v>
      </c>
      <c r="M575" s="80"/>
      <c r="N575" s="81">
        <f t="shared" si="22"/>
        <v>2890000</v>
      </c>
    </row>
    <row r="576" spans="2:14">
      <c r="B576" s="82" t="s">
        <v>3171</v>
      </c>
      <c r="C576" s="76" t="s">
        <v>3124</v>
      </c>
      <c r="D576" s="76" t="s">
        <v>233</v>
      </c>
      <c r="E576" s="76" t="s">
        <v>2544</v>
      </c>
      <c r="F576" s="76" t="s">
        <v>3154</v>
      </c>
      <c r="G576" s="76" t="s">
        <v>2619</v>
      </c>
      <c r="H576" s="76">
        <v>28</v>
      </c>
      <c r="I576" s="76" t="s">
        <v>2592</v>
      </c>
      <c r="J576" s="80">
        <v>2990000</v>
      </c>
      <c r="K576" s="80">
        <v>290000</v>
      </c>
      <c r="L576" s="80">
        <f t="shared" si="21"/>
        <v>2700000</v>
      </c>
      <c r="M576" s="80"/>
      <c r="N576" s="81">
        <f t="shared" si="22"/>
        <v>2700000</v>
      </c>
    </row>
    <row r="577" spans="2:14">
      <c r="B577" s="76" t="s">
        <v>3172</v>
      </c>
      <c r="C577" s="76" t="s">
        <v>3124</v>
      </c>
      <c r="D577" s="76" t="s">
        <v>205</v>
      </c>
      <c r="E577" s="76" t="s">
        <v>2544</v>
      </c>
      <c r="F577" s="76" t="s">
        <v>3154</v>
      </c>
      <c r="G577" s="76" t="s">
        <v>2621</v>
      </c>
      <c r="H577" s="76">
        <v>28</v>
      </c>
      <c r="I577" s="76" t="s">
        <v>2592</v>
      </c>
      <c r="J577" s="80">
        <v>3000000</v>
      </c>
      <c r="K577" s="80">
        <v>55000</v>
      </c>
      <c r="L577" s="80">
        <f t="shared" si="21"/>
        <v>2945000</v>
      </c>
      <c r="M577" s="80"/>
      <c r="N577" s="81">
        <f t="shared" si="22"/>
        <v>2945000</v>
      </c>
    </row>
    <row r="578" spans="2:14">
      <c r="B578" s="82" t="s">
        <v>3173</v>
      </c>
      <c r="C578" s="76" t="s">
        <v>3124</v>
      </c>
      <c r="D578" s="76" t="s">
        <v>205</v>
      </c>
      <c r="E578" s="76" t="s">
        <v>2544</v>
      </c>
      <c r="F578" s="76" t="s">
        <v>3154</v>
      </c>
      <c r="G578" s="76" t="s">
        <v>2623</v>
      </c>
      <c r="H578" s="76">
        <v>28</v>
      </c>
      <c r="I578" s="76" t="s">
        <v>2592</v>
      </c>
      <c r="J578" s="80">
        <v>2990000</v>
      </c>
      <c r="K578" s="80">
        <v>186700</v>
      </c>
      <c r="L578" s="80">
        <f t="shared" si="21"/>
        <v>2803300</v>
      </c>
      <c r="M578" s="80"/>
      <c r="N578" s="81">
        <f t="shared" si="22"/>
        <v>2803300</v>
      </c>
    </row>
    <row r="579" spans="2:14">
      <c r="B579" s="76" t="s">
        <v>3174</v>
      </c>
      <c r="C579" s="76" t="s">
        <v>3124</v>
      </c>
      <c r="D579" s="76" t="s">
        <v>205</v>
      </c>
      <c r="E579" s="76" t="s">
        <v>2544</v>
      </c>
      <c r="F579" s="76" t="s">
        <v>3154</v>
      </c>
      <c r="G579" s="76" t="s">
        <v>2625</v>
      </c>
      <c r="H579" s="76">
        <v>28</v>
      </c>
      <c r="I579" s="76" t="s">
        <v>2592</v>
      </c>
      <c r="J579" s="80">
        <v>3200000</v>
      </c>
      <c r="K579" s="80">
        <v>200000</v>
      </c>
      <c r="L579" s="80">
        <f t="shared" si="21"/>
        <v>3000000</v>
      </c>
      <c r="M579" s="80"/>
      <c r="N579" s="81">
        <f t="shared" si="22"/>
        <v>3000000</v>
      </c>
    </row>
    <row r="580" spans="2:14">
      <c r="B580" s="82" t="s">
        <v>3175</v>
      </c>
      <c r="C580" s="76" t="s">
        <v>3124</v>
      </c>
      <c r="D580" s="76" t="s">
        <v>243</v>
      </c>
      <c r="E580" s="76" t="s">
        <v>2544</v>
      </c>
      <c r="F580" s="76" t="s">
        <v>3154</v>
      </c>
      <c r="G580" s="76" t="s">
        <v>2627</v>
      </c>
      <c r="H580" s="76">
        <v>28</v>
      </c>
      <c r="I580" s="76" t="s">
        <v>2592</v>
      </c>
      <c r="J580" s="80">
        <v>3000000</v>
      </c>
      <c r="K580" s="80">
        <v>55000</v>
      </c>
      <c r="L580" s="80">
        <f t="shared" si="21"/>
        <v>2945000</v>
      </c>
      <c r="M580" s="80"/>
      <c r="N580" s="81">
        <f t="shared" si="22"/>
        <v>2945000</v>
      </c>
    </row>
    <row r="581" spans="2:14">
      <c r="B581" s="76" t="s">
        <v>3176</v>
      </c>
      <c r="C581" s="76" t="s">
        <v>3124</v>
      </c>
      <c r="D581" s="76" t="s">
        <v>205</v>
      </c>
      <c r="E581" s="76" t="s">
        <v>2544</v>
      </c>
      <c r="F581" s="76" t="s">
        <v>3154</v>
      </c>
      <c r="G581" s="76" t="s">
        <v>2629</v>
      </c>
      <c r="H581" s="76">
        <v>28</v>
      </c>
      <c r="I581" s="76" t="s">
        <v>2592</v>
      </c>
      <c r="J581" s="80">
        <v>3200000</v>
      </c>
      <c r="K581" s="80">
        <v>500000</v>
      </c>
      <c r="L581" s="80">
        <f t="shared" si="21"/>
        <v>2700000</v>
      </c>
      <c r="M581" s="80"/>
      <c r="N581" s="81">
        <f t="shared" si="22"/>
        <v>2700000</v>
      </c>
    </row>
    <row r="582" spans="2:14">
      <c r="B582" s="82" t="s">
        <v>3177</v>
      </c>
      <c r="C582" s="76" t="s">
        <v>3124</v>
      </c>
      <c r="D582" s="76" t="s">
        <v>233</v>
      </c>
      <c r="E582" s="76" t="s">
        <v>2544</v>
      </c>
      <c r="F582" s="76" t="s">
        <v>3154</v>
      </c>
      <c r="G582" s="76" t="s">
        <v>2631</v>
      </c>
      <c r="H582" s="76">
        <v>28</v>
      </c>
      <c r="I582" s="76" t="s">
        <v>2592</v>
      </c>
      <c r="J582" s="80">
        <v>2990000</v>
      </c>
      <c r="K582" s="80">
        <v>290000</v>
      </c>
      <c r="L582" s="80">
        <f t="shared" si="21"/>
        <v>2700000</v>
      </c>
      <c r="M582" s="80"/>
      <c r="N582" s="81">
        <f t="shared" si="22"/>
        <v>2700000</v>
      </c>
    </row>
    <row r="583" spans="2:14">
      <c r="B583" s="82" t="s">
        <v>3178</v>
      </c>
      <c r="C583" s="76" t="s">
        <v>3124</v>
      </c>
      <c r="D583" s="76" t="s">
        <v>205</v>
      </c>
      <c r="E583" s="76" t="s">
        <v>2544</v>
      </c>
      <c r="F583" s="76" t="s">
        <v>3154</v>
      </c>
      <c r="G583" s="76" t="s">
        <v>3150</v>
      </c>
      <c r="H583" s="76">
        <v>28</v>
      </c>
      <c r="I583" s="76" t="s">
        <v>2592</v>
      </c>
      <c r="J583" s="80">
        <v>3200000</v>
      </c>
      <c r="K583" s="80">
        <v>500000</v>
      </c>
      <c r="L583" s="80">
        <f t="shared" si="21"/>
        <v>2700000</v>
      </c>
      <c r="M583" s="80"/>
      <c r="N583" s="81">
        <f t="shared" si="22"/>
        <v>2700000</v>
      </c>
    </row>
    <row r="584" spans="2:14">
      <c r="B584" s="76" t="s">
        <v>3179</v>
      </c>
      <c r="C584" s="76" t="s">
        <v>3124</v>
      </c>
      <c r="D584" s="76" t="s">
        <v>205</v>
      </c>
      <c r="E584" s="76" t="s">
        <v>2544</v>
      </c>
      <c r="F584" s="76" t="s">
        <v>3154</v>
      </c>
      <c r="G584" s="76" t="s">
        <v>3152</v>
      </c>
      <c r="H584" s="76">
        <v>31</v>
      </c>
      <c r="I584" s="76" t="s">
        <v>2989</v>
      </c>
      <c r="J584" s="80">
        <v>2830000</v>
      </c>
      <c r="K584" s="80">
        <v>25000</v>
      </c>
      <c r="L584" s="80">
        <f t="shared" si="21"/>
        <v>2805000</v>
      </c>
      <c r="M584" s="80">
        <v>0</v>
      </c>
      <c r="N584" s="81">
        <f t="shared" si="22"/>
        <v>2805000</v>
      </c>
    </row>
    <row r="585" spans="2:14">
      <c r="B585" s="76" t="s">
        <v>3180</v>
      </c>
      <c r="C585" s="76" t="s">
        <v>3124</v>
      </c>
      <c r="D585" s="76" t="s">
        <v>205</v>
      </c>
      <c r="E585" s="76" t="s">
        <v>2544</v>
      </c>
      <c r="F585" s="76" t="s">
        <v>3181</v>
      </c>
      <c r="G585" s="76" t="s">
        <v>2365</v>
      </c>
      <c r="H585" s="76">
        <v>31</v>
      </c>
      <c r="I585" s="76" t="s">
        <v>2989</v>
      </c>
      <c r="J585" s="80">
        <v>2830000</v>
      </c>
      <c r="K585" s="80">
        <v>25000</v>
      </c>
      <c r="L585" s="80">
        <f t="shared" si="21"/>
        <v>2805000</v>
      </c>
      <c r="M585" s="80"/>
      <c r="N585" s="81">
        <f t="shared" si="22"/>
        <v>2805000</v>
      </c>
    </row>
    <row r="586" spans="2:14">
      <c r="B586" s="76" t="s">
        <v>3182</v>
      </c>
      <c r="C586" s="76" t="s">
        <v>3124</v>
      </c>
      <c r="D586" s="76" t="s">
        <v>205</v>
      </c>
      <c r="E586" s="76" t="s">
        <v>2544</v>
      </c>
      <c r="F586" s="76" t="s">
        <v>3181</v>
      </c>
      <c r="G586" s="76" t="s">
        <v>2368</v>
      </c>
      <c r="H586" s="76">
        <v>28</v>
      </c>
      <c r="I586" s="76" t="s">
        <v>2592</v>
      </c>
      <c r="J586" s="80">
        <v>3200000</v>
      </c>
      <c r="K586" s="80">
        <v>388000</v>
      </c>
      <c r="L586" s="80">
        <f t="shared" si="21"/>
        <v>2812000</v>
      </c>
      <c r="M586" s="80"/>
      <c r="N586" s="81">
        <f t="shared" si="22"/>
        <v>2812000</v>
      </c>
    </row>
    <row r="587" spans="2:14">
      <c r="B587" s="76" t="s">
        <v>3183</v>
      </c>
      <c r="C587" s="76" t="s">
        <v>3124</v>
      </c>
      <c r="D587" s="76" t="s">
        <v>205</v>
      </c>
      <c r="E587" s="76" t="s">
        <v>2544</v>
      </c>
      <c r="F587" s="76" t="s">
        <v>3181</v>
      </c>
      <c r="G587" s="76" t="s">
        <v>2377</v>
      </c>
      <c r="H587" s="76">
        <v>28</v>
      </c>
      <c r="I587" s="76" t="s">
        <v>2592</v>
      </c>
      <c r="J587" s="80">
        <v>3200000</v>
      </c>
      <c r="K587" s="80">
        <v>397000</v>
      </c>
      <c r="L587" s="80">
        <f t="shared" si="21"/>
        <v>2803000</v>
      </c>
      <c r="M587" s="80"/>
      <c r="N587" s="81">
        <f t="shared" si="22"/>
        <v>2803000</v>
      </c>
    </row>
    <row r="588" spans="2:14">
      <c r="B588" s="82" t="s">
        <v>3184</v>
      </c>
      <c r="C588" s="76" t="s">
        <v>3124</v>
      </c>
      <c r="D588" s="76" t="s">
        <v>205</v>
      </c>
      <c r="E588" s="76" t="s">
        <v>2544</v>
      </c>
      <c r="F588" s="76" t="s">
        <v>3181</v>
      </c>
      <c r="G588" s="76" t="s">
        <v>2379</v>
      </c>
      <c r="H588" s="76">
        <v>28</v>
      </c>
      <c r="I588" s="76" t="s">
        <v>2592</v>
      </c>
      <c r="J588" s="80">
        <v>2990000</v>
      </c>
      <c r="K588" s="80">
        <v>240000</v>
      </c>
      <c r="L588" s="80">
        <f t="shared" si="21"/>
        <v>2750000</v>
      </c>
      <c r="M588" s="80"/>
      <c r="N588" s="81">
        <f t="shared" si="22"/>
        <v>2750000</v>
      </c>
    </row>
    <row r="589" spans="2:14">
      <c r="B589" s="82" t="s">
        <v>3185</v>
      </c>
      <c r="C589" s="76" t="s">
        <v>3124</v>
      </c>
      <c r="D589" s="76" t="s">
        <v>205</v>
      </c>
      <c r="E589" s="76" t="s">
        <v>2544</v>
      </c>
      <c r="F589" s="76" t="s">
        <v>3181</v>
      </c>
      <c r="G589" s="76" t="s">
        <v>2370</v>
      </c>
      <c r="H589" s="76">
        <v>28</v>
      </c>
      <c r="I589" s="76" t="s">
        <v>2592</v>
      </c>
      <c r="J589" s="80">
        <v>2990000</v>
      </c>
      <c r="K589" s="80">
        <v>290000</v>
      </c>
      <c r="L589" s="80">
        <f t="shared" si="21"/>
        <v>2700000</v>
      </c>
      <c r="M589" s="80"/>
      <c r="N589" s="81">
        <f t="shared" si="22"/>
        <v>2700000</v>
      </c>
    </row>
    <row r="590" spans="2:14">
      <c r="B590" s="82" t="s">
        <v>3186</v>
      </c>
      <c r="C590" s="76" t="s">
        <v>3124</v>
      </c>
      <c r="D590" s="76" t="s">
        <v>205</v>
      </c>
      <c r="E590" s="76" t="s">
        <v>2544</v>
      </c>
      <c r="F590" s="76" t="s">
        <v>3181</v>
      </c>
      <c r="G590" s="76" t="s">
        <v>2372</v>
      </c>
      <c r="H590" s="76">
        <v>28</v>
      </c>
      <c r="I590" s="76" t="s">
        <v>2592</v>
      </c>
      <c r="J590" s="80">
        <v>2990000</v>
      </c>
      <c r="K590" s="80">
        <v>290000</v>
      </c>
      <c r="L590" s="80">
        <f t="shared" si="21"/>
        <v>2700000</v>
      </c>
      <c r="M590" s="80"/>
      <c r="N590" s="81">
        <f t="shared" si="22"/>
        <v>2700000</v>
      </c>
    </row>
    <row r="591" spans="2:14">
      <c r="B591" s="82" t="s">
        <v>3187</v>
      </c>
      <c r="C591" s="76" t="s">
        <v>3124</v>
      </c>
      <c r="D591" s="76" t="s">
        <v>972</v>
      </c>
      <c r="E591" s="76" t="s">
        <v>2544</v>
      </c>
      <c r="F591" s="76" t="s">
        <v>3181</v>
      </c>
      <c r="G591" s="76" t="s">
        <v>2597</v>
      </c>
      <c r="H591" s="76">
        <v>28</v>
      </c>
      <c r="I591" s="76" t="s">
        <v>2592</v>
      </c>
      <c r="J591" s="80">
        <v>2990000</v>
      </c>
      <c r="K591" s="80">
        <v>202100</v>
      </c>
      <c r="L591" s="80">
        <f t="shared" si="21"/>
        <v>2787900</v>
      </c>
      <c r="M591" s="80"/>
      <c r="N591" s="81">
        <f t="shared" si="22"/>
        <v>2787900</v>
      </c>
    </row>
    <row r="592" spans="2:14">
      <c r="B592" s="82" t="s">
        <v>3188</v>
      </c>
      <c r="C592" s="76" t="s">
        <v>3124</v>
      </c>
      <c r="D592" s="76" t="s">
        <v>205</v>
      </c>
      <c r="E592" s="76" t="s">
        <v>2544</v>
      </c>
      <c r="F592" s="76" t="s">
        <v>3181</v>
      </c>
      <c r="G592" s="76" t="s">
        <v>2599</v>
      </c>
      <c r="H592" s="76">
        <v>28</v>
      </c>
      <c r="I592" s="76" t="s">
        <v>2592</v>
      </c>
      <c r="J592" s="80">
        <v>2990000</v>
      </c>
      <c r="K592" s="80">
        <v>100000</v>
      </c>
      <c r="L592" s="80">
        <f t="shared" si="21"/>
        <v>2890000</v>
      </c>
      <c r="M592" s="80"/>
      <c r="N592" s="81">
        <f t="shared" si="22"/>
        <v>2890000</v>
      </c>
    </row>
    <row r="593" spans="2:14">
      <c r="B593" s="82" t="s">
        <v>3189</v>
      </c>
      <c r="C593" s="76" t="s">
        <v>3124</v>
      </c>
      <c r="D593" s="76" t="s">
        <v>972</v>
      </c>
      <c r="E593" s="76" t="s">
        <v>2544</v>
      </c>
      <c r="F593" s="76" t="s">
        <v>3181</v>
      </c>
      <c r="G593" s="76" t="s">
        <v>2601</v>
      </c>
      <c r="H593" s="76">
        <v>28</v>
      </c>
      <c r="I593" s="76" t="s">
        <v>2592</v>
      </c>
      <c r="J593" s="80">
        <v>2990000</v>
      </c>
      <c r="K593" s="80">
        <v>100000</v>
      </c>
      <c r="L593" s="80">
        <f t="shared" si="21"/>
        <v>2890000</v>
      </c>
      <c r="M593" s="80"/>
      <c r="N593" s="81">
        <f t="shared" si="22"/>
        <v>2890000</v>
      </c>
    </row>
    <row r="594" spans="2:14">
      <c r="B594" s="76" t="s">
        <v>3190</v>
      </c>
      <c r="C594" s="76" t="s">
        <v>3124</v>
      </c>
      <c r="D594" s="76" t="s">
        <v>205</v>
      </c>
      <c r="E594" s="76" t="s">
        <v>2544</v>
      </c>
      <c r="F594" s="76" t="s">
        <v>3181</v>
      </c>
      <c r="G594" s="76" t="s">
        <v>2603</v>
      </c>
      <c r="H594" s="76">
        <v>28</v>
      </c>
      <c r="I594" s="76" t="s">
        <v>2592</v>
      </c>
      <c r="J594" s="80">
        <v>3200000</v>
      </c>
      <c r="K594" s="80">
        <v>160000</v>
      </c>
      <c r="L594" s="80">
        <f t="shared" si="21"/>
        <v>3040000</v>
      </c>
      <c r="M594" s="80"/>
      <c r="N594" s="81">
        <f t="shared" si="22"/>
        <v>3040000</v>
      </c>
    </row>
    <row r="595" spans="2:14">
      <c r="B595" s="82" t="s">
        <v>3191</v>
      </c>
      <c r="C595" s="76" t="s">
        <v>3124</v>
      </c>
      <c r="D595" s="76" t="s">
        <v>205</v>
      </c>
      <c r="E595" s="76" t="s">
        <v>2544</v>
      </c>
      <c r="F595" s="76" t="s">
        <v>3181</v>
      </c>
      <c r="G595" s="76" t="s">
        <v>2605</v>
      </c>
      <c r="H595" s="76">
        <v>28</v>
      </c>
      <c r="I595" s="76" t="s">
        <v>2592</v>
      </c>
      <c r="J595" s="80">
        <v>2990000</v>
      </c>
      <c r="K595" s="80">
        <v>285737</v>
      </c>
      <c r="L595" s="80">
        <f t="shared" si="21"/>
        <v>2704263</v>
      </c>
      <c r="M595" s="80"/>
      <c r="N595" s="81">
        <f t="shared" si="22"/>
        <v>2704263</v>
      </c>
    </row>
    <row r="596" spans="2:14">
      <c r="B596" s="76" t="s">
        <v>3192</v>
      </c>
      <c r="C596" s="76" t="s">
        <v>3124</v>
      </c>
      <c r="D596" s="76" t="s">
        <v>233</v>
      </c>
      <c r="E596" s="76" t="s">
        <v>2544</v>
      </c>
      <c r="F596" s="76" t="s">
        <v>3181</v>
      </c>
      <c r="G596" s="76" t="s">
        <v>2607</v>
      </c>
      <c r="H596" s="76">
        <v>28</v>
      </c>
      <c r="I596" s="76" t="s">
        <v>2592</v>
      </c>
      <c r="J596" s="80">
        <v>3200000</v>
      </c>
      <c r="K596" s="80">
        <v>240000</v>
      </c>
      <c r="L596" s="80">
        <f t="shared" si="21"/>
        <v>2960000</v>
      </c>
      <c r="M596" s="80"/>
      <c r="N596" s="81">
        <f t="shared" si="22"/>
        <v>2960000</v>
      </c>
    </row>
    <row r="597" spans="2:14">
      <c r="B597" s="76" t="s">
        <v>3193</v>
      </c>
      <c r="C597" s="76" t="s">
        <v>3124</v>
      </c>
      <c r="D597" s="76" t="s">
        <v>205</v>
      </c>
      <c r="E597" s="76" t="s">
        <v>2544</v>
      </c>
      <c r="F597" s="76" t="s">
        <v>3181</v>
      </c>
      <c r="G597" s="76" t="s">
        <v>2609</v>
      </c>
      <c r="H597" s="76">
        <v>31</v>
      </c>
      <c r="I597" s="76" t="s">
        <v>2989</v>
      </c>
      <c r="J597" s="80">
        <v>3399000</v>
      </c>
      <c r="K597" s="80">
        <v>399000</v>
      </c>
      <c r="L597" s="80">
        <f t="shared" si="21"/>
        <v>3000000</v>
      </c>
      <c r="M597" s="80"/>
      <c r="N597" s="81">
        <f t="shared" si="22"/>
        <v>3000000</v>
      </c>
    </row>
    <row r="598" spans="2:14">
      <c r="B598" s="76" t="s">
        <v>3194</v>
      </c>
      <c r="C598" s="76" t="s">
        <v>3124</v>
      </c>
      <c r="D598" s="76" t="s">
        <v>972</v>
      </c>
      <c r="E598" s="76" t="s">
        <v>2544</v>
      </c>
      <c r="F598" s="76" t="s">
        <v>3181</v>
      </c>
      <c r="G598" s="76" t="s">
        <v>2611</v>
      </c>
      <c r="H598" s="76">
        <v>31</v>
      </c>
      <c r="I598" s="76" t="s">
        <v>2989</v>
      </c>
      <c r="J598" s="80">
        <v>3399000</v>
      </c>
      <c r="K598" s="80">
        <v>399000</v>
      </c>
      <c r="L598" s="80">
        <f t="shared" ref="L598:L661" si="23">J598-K598</f>
        <v>3000000</v>
      </c>
      <c r="M598" s="80"/>
      <c r="N598" s="81">
        <f t="shared" ref="N598:N661" si="24">L598-M598</f>
        <v>3000000</v>
      </c>
    </row>
    <row r="599" spans="2:14">
      <c r="B599" s="82" t="s">
        <v>3195</v>
      </c>
      <c r="C599" s="76" t="s">
        <v>3124</v>
      </c>
      <c r="D599" s="76" t="s">
        <v>205</v>
      </c>
      <c r="E599" s="76" t="s">
        <v>2544</v>
      </c>
      <c r="F599" s="76" t="s">
        <v>3181</v>
      </c>
      <c r="G599" s="76" t="s">
        <v>2613</v>
      </c>
      <c r="H599" s="76">
        <v>28</v>
      </c>
      <c r="I599" s="76" t="s">
        <v>2592</v>
      </c>
      <c r="J599" s="80">
        <v>2990000</v>
      </c>
      <c r="K599" s="80">
        <v>200000</v>
      </c>
      <c r="L599" s="80">
        <f t="shared" si="23"/>
        <v>2790000</v>
      </c>
      <c r="M599" s="80"/>
      <c r="N599" s="81">
        <f t="shared" si="24"/>
        <v>2790000</v>
      </c>
    </row>
    <row r="600" spans="2:14">
      <c r="B600" s="76" t="s">
        <v>3196</v>
      </c>
      <c r="C600" s="76" t="s">
        <v>3124</v>
      </c>
      <c r="D600" s="76" t="s">
        <v>205</v>
      </c>
      <c r="E600" s="76" t="s">
        <v>2544</v>
      </c>
      <c r="F600" s="76" t="s">
        <v>3181</v>
      </c>
      <c r="G600" s="76" t="s">
        <v>2615</v>
      </c>
      <c r="H600" s="76">
        <v>28</v>
      </c>
      <c r="I600" s="76" t="s">
        <v>2592</v>
      </c>
      <c r="J600" s="80">
        <v>3200000</v>
      </c>
      <c r="K600" s="80">
        <v>705000</v>
      </c>
      <c r="L600" s="80">
        <f t="shared" si="23"/>
        <v>2495000</v>
      </c>
      <c r="M600" s="80">
        <v>0</v>
      </c>
      <c r="N600" s="81">
        <f t="shared" si="24"/>
        <v>2495000</v>
      </c>
    </row>
    <row r="601" spans="2:14">
      <c r="B601" s="76" t="s">
        <v>3197</v>
      </c>
      <c r="C601" s="76" t="s">
        <v>3124</v>
      </c>
      <c r="D601" s="76" t="s">
        <v>205</v>
      </c>
      <c r="E601" s="76" t="s">
        <v>2544</v>
      </c>
      <c r="F601" s="76" t="s">
        <v>3181</v>
      </c>
      <c r="G601" s="76" t="s">
        <v>2617</v>
      </c>
      <c r="H601" s="76">
        <v>28</v>
      </c>
      <c r="I601" s="76" t="s">
        <v>2592</v>
      </c>
      <c r="J601" s="80">
        <v>2520000</v>
      </c>
      <c r="K601" s="80">
        <v>25000</v>
      </c>
      <c r="L601" s="80">
        <f t="shared" si="23"/>
        <v>2495000</v>
      </c>
      <c r="M601" s="80">
        <v>0</v>
      </c>
      <c r="N601" s="81">
        <f t="shared" si="24"/>
        <v>2495000</v>
      </c>
    </row>
    <row r="602" spans="2:14">
      <c r="B602" s="82" t="s">
        <v>3198</v>
      </c>
      <c r="C602" s="76" t="s">
        <v>3124</v>
      </c>
      <c r="D602" s="76" t="s">
        <v>205</v>
      </c>
      <c r="E602" s="76" t="s">
        <v>2544</v>
      </c>
      <c r="F602" s="76" t="s">
        <v>3181</v>
      </c>
      <c r="G602" s="76" t="s">
        <v>2619</v>
      </c>
      <c r="H602" s="76">
        <v>28</v>
      </c>
      <c r="I602" s="76" t="s">
        <v>2592</v>
      </c>
      <c r="J602" s="80">
        <v>2990000</v>
      </c>
      <c r="K602" s="80">
        <v>290000</v>
      </c>
      <c r="L602" s="80">
        <f t="shared" si="23"/>
        <v>2700000</v>
      </c>
      <c r="M602" s="80"/>
      <c r="N602" s="81">
        <f t="shared" si="24"/>
        <v>2700000</v>
      </c>
    </row>
    <row r="603" spans="2:14">
      <c r="B603" s="76" t="s">
        <v>3199</v>
      </c>
      <c r="C603" s="76" t="s">
        <v>3124</v>
      </c>
      <c r="D603" s="76" t="s">
        <v>205</v>
      </c>
      <c r="E603" s="76" t="s">
        <v>2544</v>
      </c>
      <c r="F603" s="76" t="s">
        <v>3181</v>
      </c>
      <c r="G603" s="76" t="s">
        <v>2621</v>
      </c>
      <c r="H603" s="76">
        <v>28</v>
      </c>
      <c r="I603" s="76" t="s">
        <v>2592</v>
      </c>
      <c r="J603" s="80">
        <v>3200000</v>
      </c>
      <c r="K603" s="80">
        <v>160000</v>
      </c>
      <c r="L603" s="80">
        <f t="shared" si="23"/>
        <v>3040000</v>
      </c>
      <c r="M603" s="80"/>
      <c r="N603" s="81">
        <f t="shared" si="24"/>
        <v>3040000</v>
      </c>
    </row>
    <row r="604" spans="2:14">
      <c r="B604" s="76" t="s">
        <v>3200</v>
      </c>
      <c r="C604" s="76" t="s">
        <v>3124</v>
      </c>
      <c r="D604" s="76" t="s">
        <v>205</v>
      </c>
      <c r="E604" s="76" t="s">
        <v>2544</v>
      </c>
      <c r="F604" s="76" t="s">
        <v>3181</v>
      </c>
      <c r="G604" s="76" t="s">
        <v>2623</v>
      </c>
      <c r="H604" s="76">
        <v>28</v>
      </c>
      <c r="I604" s="76" t="s">
        <v>2592</v>
      </c>
      <c r="J604" s="80">
        <v>2520000</v>
      </c>
      <c r="K604" s="80">
        <v>25000</v>
      </c>
      <c r="L604" s="80">
        <f t="shared" si="23"/>
        <v>2495000</v>
      </c>
      <c r="M604" s="80"/>
      <c r="N604" s="81">
        <f t="shared" si="24"/>
        <v>2495000</v>
      </c>
    </row>
    <row r="605" spans="2:14">
      <c r="B605" s="82" t="s">
        <v>3201</v>
      </c>
      <c r="C605" s="76" t="s">
        <v>3124</v>
      </c>
      <c r="D605" s="76" t="s">
        <v>205</v>
      </c>
      <c r="E605" s="76" t="s">
        <v>2544</v>
      </c>
      <c r="F605" s="76" t="s">
        <v>3181</v>
      </c>
      <c r="G605" s="76" t="s">
        <v>2625</v>
      </c>
      <c r="H605" s="76">
        <v>28</v>
      </c>
      <c r="I605" s="76" t="s">
        <v>2592</v>
      </c>
      <c r="J605" s="80">
        <v>2990000</v>
      </c>
      <c r="K605" s="80">
        <v>344000</v>
      </c>
      <c r="L605" s="80">
        <f t="shared" si="23"/>
        <v>2646000</v>
      </c>
      <c r="M605" s="80"/>
      <c r="N605" s="81">
        <f t="shared" si="24"/>
        <v>2646000</v>
      </c>
    </row>
    <row r="606" spans="2:14">
      <c r="B606" s="82" t="s">
        <v>3202</v>
      </c>
      <c r="C606" s="76" t="s">
        <v>3124</v>
      </c>
      <c r="D606" s="76" t="s">
        <v>205</v>
      </c>
      <c r="E606" s="76" t="s">
        <v>2544</v>
      </c>
      <c r="F606" s="76" t="s">
        <v>3181</v>
      </c>
      <c r="G606" s="76" t="s">
        <v>2627</v>
      </c>
      <c r="H606" s="76">
        <v>28</v>
      </c>
      <c r="I606" s="76" t="s">
        <v>2592</v>
      </c>
      <c r="J606" s="80">
        <v>2990000</v>
      </c>
      <c r="K606" s="80">
        <v>100000</v>
      </c>
      <c r="L606" s="80">
        <f t="shared" si="23"/>
        <v>2890000</v>
      </c>
      <c r="M606" s="80"/>
      <c r="N606" s="81">
        <f t="shared" si="24"/>
        <v>2890000</v>
      </c>
    </row>
    <row r="607" spans="2:14">
      <c r="B607" s="76" t="s">
        <v>3203</v>
      </c>
      <c r="C607" s="76" t="s">
        <v>3124</v>
      </c>
      <c r="D607" s="76" t="s">
        <v>205</v>
      </c>
      <c r="E607" s="76" t="s">
        <v>2544</v>
      </c>
      <c r="F607" s="76" t="s">
        <v>3181</v>
      </c>
      <c r="G607" s="76" t="s">
        <v>2629</v>
      </c>
      <c r="H607" s="76">
        <v>28</v>
      </c>
      <c r="I607" s="76" t="s">
        <v>2592</v>
      </c>
      <c r="J607" s="80">
        <v>2520000</v>
      </c>
      <c r="K607" s="80">
        <v>25000</v>
      </c>
      <c r="L607" s="80">
        <f t="shared" si="23"/>
        <v>2495000</v>
      </c>
      <c r="M607" s="80"/>
      <c r="N607" s="81">
        <f t="shared" si="24"/>
        <v>2495000</v>
      </c>
    </row>
    <row r="608" spans="2:14">
      <c r="B608" s="82" t="s">
        <v>3204</v>
      </c>
      <c r="C608" s="76" t="s">
        <v>3124</v>
      </c>
      <c r="D608" s="76" t="s">
        <v>205</v>
      </c>
      <c r="E608" s="76" t="s">
        <v>2544</v>
      </c>
      <c r="F608" s="76" t="s">
        <v>3181</v>
      </c>
      <c r="G608" s="76" t="s">
        <v>2631</v>
      </c>
      <c r="H608" s="76">
        <v>28</v>
      </c>
      <c r="I608" s="76" t="s">
        <v>2592</v>
      </c>
      <c r="J608" s="80">
        <v>3200000</v>
      </c>
      <c r="K608" s="80">
        <v>200000</v>
      </c>
      <c r="L608" s="80">
        <f t="shared" si="23"/>
        <v>3000000</v>
      </c>
      <c r="M608" s="80"/>
      <c r="N608" s="81">
        <f t="shared" si="24"/>
        <v>3000000</v>
      </c>
    </row>
    <row r="609" spans="2:14">
      <c r="B609" s="76" t="s">
        <v>3205</v>
      </c>
      <c r="C609" s="76" t="s">
        <v>3124</v>
      </c>
      <c r="D609" s="76" t="s">
        <v>205</v>
      </c>
      <c r="E609" s="76" t="s">
        <v>2544</v>
      </c>
      <c r="F609" s="76" t="s">
        <v>3181</v>
      </c>
      <c r="G609" s="76" t="s">
        <v>3150</v>
      </c>
      <c r="H609" s="76">
        <v>28</v>
      </c>
      <c r="I609" s="76" t="s">
        <v>2592</v>
      </c>
      <c r="J609" s="80">
        <v>3200000</v>
      </c>
      <c r="K609" s="80">
        <v>160000</v>
      </c>
      <c r="L609" s="80">
        <f t="shared" si="23"/>
        <v>3040000</v>
      </c>
      <c r="M609" s="80"/>
      <c r="N609" s="81">
        <f t="shared" si="24"/>
        <v>3040000</v>
      </c>
    </row>
    <row r="610" spans="2:14">
      <c r="B610" s="76" t="s">
        <v>3206</v>
      </c>
      <c r="C610" s="76" t="s">
        <v>3124</v>
      </c>
      <c r="D610" s="76" t="s">
        <v>205</v>
      </c>
      <c r="E610" s="76" t="s">
        <v>2544</v>
      </c>
      <c r="F610" s="76" t="s">
        <v>3181</v>
      </c>
      <c r="G610" s="76" t="s">
        <v>3152</v>
      </c>
      <c r="H610" s="76">
        <v>31</v>
      </c>
      <c r="I610" s="76" t="s">
        <v>2989</v>
      </c>
      <c r="J610" s="80">
        <v>3000000</v>
      </c>
      <c r="K610" s="80">
        <v>55000</v>
      </c>
      <c r="L610" s="80">
        <f t="shared" si="23"/>
        <v>2945000</v>
      </c>
      <c r="M610" s="80"/>
      <c r="N610" s="81">
        <f t="shared" si="24"/>
        <v>2945000</v>
      </c>
    </row>
    <row r="611" spans="2:14">
      <c r="B611" s="76" t="s">
        <v>3207</v>
      </c>
      <c r="C611" s="76" t="s">
        <v>3124</v>
      </c>
      <c r="D611" s="76" t="s">
        <v>205</v>
      </c>
      <c r="E611" s="76" t="s">
        <v>2544</v>
      </c>
      <c r="F611" s="76" t="s">
        <v>3208</v>
      </c>
      <c r="G611" s="76" t="s">
        <v>2365</v>
      </c>
      <c r="H611" s="76">
        <v>31</v>
      </c>
      <c r="I611" s="76" t="s">
        <v>2989</v>
      </c>
      <c r="J611" s="80">
        <v>2880000</v>
      </c>
      <c r="K611" s="80">
        <v>25000</v>
      </c>
      <c r="L611" s="80">
        <f t="shared" si="23"/>
        <v>2855000</v>
      </c>
      <c r="M611" s="80"/>
      <c r="N611" s="81">
        <f t="shared" si="24"/>
        <v>2855000</v>
      </c>
    </row>
    <row r="612" spans="2:14">
      <c r="B612" s="76" t="s">
        <v>3209</v>
      </c>
      <c r="C612" s="76" t="s">
        <v>3124</v>
      </c>
      <c r="D612" s="76" t="s">
        <v>972</v>
      </c>
      <c r="E612" s="76" t="s">
        <v>2544</v>
      </c>
      <c r="F612" s="76" t="s">
        <v>3208</v>
      </c>
      <c r="G612" s="76" t="s">
        <v>2368</v>
      </c>
      <c r="H612" s="76">
        <v>28</v>
      </c>
      <c r="I612" s="76" t="s">
        <v>2592</v>
      </c>
      <c r="J612" s="80">
        <v>3200000</v>
      </c>
      <c r="K612" s="80">
        <v>200000</v>
      </c>
      <c r="L612" s="80">
        <f t="shared" si="23"/>
        <v>3000000</v>
      </c>
      <c r="M612" s="80"/>
      <c r="N612" s="81">
        <f t="shared" si="24"/>
        <v>3000000</v>
      </c>
    </row>
    <row r="613" spans="2:14">
      <c r="B613" s="76" t="s">
        <v>3210</v>
      </c>
      <c r="C613" s="76" t="s">
        <v>3124</v>
      </c>
      <c r="D613" s="76" t="s">
        <v>205</v>
      </c>
      <c r="E613" s="76" t="s">
        <v>2544</v>
      </c>
      <c r="F613" s="76" t="s">
        <v>3208</v>
      </c>
      <c r="G613" s="76" t="s">
        <v>2377</v>
      </c>
      <c r="H613" s="76">
        <v>28</v>
      </c>
      <c r="I613" s="76" t="s">
        <v>2592</v>
      </c>
      <c r="J613" s="80">
        <v>3040000</v>
      </c>
      <c r="K613" s="80">
        <v>200000</v>
      </c>
      <c r="L613" s="80">
        <f t="shared" si="23"/>
        <v>2840000</v>
      </c>
      <c r="M613" s="80"/>
      <c r="N613" s="81">
        <f t="shared" si="24"/>
        <v>2840000</v>
      </c>
    </row>
    <row r="614" spans="2:14">
      <c r="B614" s="76" t="s">
        <v>3211</v>
      </c>
      <c r="C614" s="76" t="s">
        <v>3124</v>
      </c>
      <c r="D614" s="76" t="s">
        <v>205</v>
      </c>
      <c r="E614" s="76" t="s">
        <v>2544</v>
      </c>
      <c r="F614" s="76" t="s">
        <v>3208</v>
      </c>
      <c r="G614" s="76" t="s">
        <v>2379</v>
      </c>
      <c r="H614" s="76">
        <v>28</v>
      </c>
      <c r="I614" s="76" t="s">
        <v>2592</v>
      </c>
      <c r="J614" s="80">
        <v>3040000</v>
      </c>
      <c r="K614" s="80">
        <v>200000</v>
      </c>
      <c r="L614" s="80">
        <f t="shared" si="23"/>
        <v>2840000</v>
      </c>
      <c r="M614" s="80"/>
      <c r="N614" s="81">
        <f t="shared" si="24"/>
        <v>2840000</v>
      </c>
    </row>
    <row r="615" spans="2:14">
      <c r="B615" s="76" t="s">
        <v>3212</v>
      </c>
      <c r="C615" s="76" t="s">
        <v>3124</v>
      </c>
      <c r="D615" s="76" t="s">
        <v>205</v>
      </c>
      <c r="E615" s="76" t="s">
        <v>2544</v>
      </c>
      <c r="F615" s="76" t="s">
        <v>3208</v>
      </c>
      <c r="G615" s="76" t="s">
        <v>2370</v>
      </c>
      <c r="H615" s="76">
        <v>28</v>
      </c>
      <c r="I615" s="76" t="s">
        <v>2592</v>
      </c>
      <c r="J615" s="80">
        <v>3200000</v>
      </c>
      <c r="K615" s="80">
        <v>200000</v>
      </c>
      <c r="L615" s="80">
        <f t="shared" si="23"/>
        <v>3000000</v>
      </c>
      <c r="M615" s="80"/>
      <c r="N615" s="81">
        <f t="shared" si="24"/>
        <v>3000000</v>
      </c>
    </row>
    <row r="616" spans="2:14">
      <c r="B616" s="82" t="s">
        <v>3213</v>
      </c>
      <c r="C616" s="76" t="s">
        <v>3124</v>
      </c>
      <c r="D616" s="76" t="s">
        <v>205</v>
      </c>
      <c r="E616" s="76" t="s">
        <v>2544</v>
      </c>
      <c r="F616" s="76" t="s">
        <v>3208</v>
      </c>
      <c r="G616" s="76" t="s">
        <v>2372</v>
      </c>
      <c r="H616" s="76">
        <v>28</v>
      </c>
      <c r="I616" s="76" t="s">
        <v>2592</v>
      </c>
      <c r="J616" s="80">
        <v>3200000</v>
      </c>
      <c r="K616" s="80">
        <v>260000</v>
      </c>
      <c r="L616" s="80">
        <f t="shared" si="23"/>
        <v>2940000</v>
      </c>
      <c r="M616" s="80"/>
      <c r="N616" s="81">
        <f t="shared" si="24"/>
        <v>2940000</v>
      </c>
    </row>
    <row r="617" spans="2:14">
      <c r="B617" s="82" t="s">
        <v>3214</v>
      </c>
      <c r="C617" s="76" t="s">
        <v>3124</v>
      </c>
      <c r="D617" s="76" t="s">
        <v>233</v>
      </c>
      <c r="E617" s="76" t="s">
        <v>2544</v>
      </c>
      <c r="F617" s="76" t="s">
        <v>3208</v>
      </c>
      <c r="G617" s="76" t="s">
        <v>2597</v>
      </c>
      <c r="H617" s="76">
        <v>28</v>
      </c>
      <c r="I617" s="76" t="s">
        <v>2592</v>
      </c>
      <c r="J617" s="80">
        <v>3200000</v>
      </c>
      <c r="K617" s="80">
        <v>200000</v>
      </c>
      <c r="L617" s="80">
        <f t="shared" si="23"/>
        <v>3000000</v>
      </c>
      <c r="M617" s="80"/>
      <c r="N617" s="81">
        <f t="shared" si="24"/>
        <v>3000000</v>
      </c>
    </row>
    <row r="618" spans="2:14">
      <c r="B618" s="82" t="s">
        <v>3215</v>
      </c>
      <c r="C618" s="76" t="s">
        <v>3124</v>
      </c>
      <c r="D618" s="76" t="s">
        <v>205</v>
      </c>
      <c r="E618" s="76" t="s">
        <v>2544</v>
      </c>
      <c r="F618" s="76" t="s">
        <v>3208</v>
      </c>
      <c r="G618" s="76" t="s">
        <v>2599</v>
      </c>
      <c r="H618" s="76">
        <v>28</v>
      </c>
      <c r="I618" s="76" t="s">
        <v>2592</v>
      </c>
      <c r="J618" s="80">
        <v>3200000</v>
      </c>
      <c r="K618" s="80">
        <v>200000</v>
      </c>
      <c r="L618" s="80">
        <f t="shared" si="23"/>
        <v>3000000</v>
      </c>
      <c r="M618" s="80"/>
      <c r="N618" s="81">
        <f t="shared" si="24"/>
        <v>3000000</v>
      </c>
    </row>
    <row r="619" spans="2:14">
      <c r="B619" s="82" t="s">
        <v>3216</v>
      </c>
      <c r="C619" s="76" t="s">
        <v>3124</v>
      </c>
      <c r="D619" s="76" t="s">
        <v>205</v>
      </c>
      <c r="E619" s="76" t="s">
        <v>2544</v>
      </c>
      <c r="F619" s="76" t="s">
        <v>3208</v>
      </c>
      <c r="G619" s="76" t="s">
        <v>2601</v>
      </c>
      <c r="H619" s="76">
        <v>28</v>
      </c>
      <c r="I619" s="76" t="s">
        <v>2592</v>
      </c>
      <c r="J619" s="80">
        <v>3200000</v>
      </c>
      <c r="K619" s="80">
        <v>160000</v>
      </c>
      <c r="L619" s="80">
        <f t="shared" si="23"/>
        <v>3040000</v>
      </c>
      <c r="M619" s="80"/>
      <c r="N619" s="81">
        <f t="shared" si="24"/>
        <v>3040000</v>
      </c>
    </row>
    <row r="620" spans="2:14">
      <c r="B620" s="82" t="s">
        <v>3217</v>
      </c>
      <c r="C620" s="76" t="s">
        <v>3124</v>
      </c>
      <c r="D620" s="76" t="s">
        <v>205</v>
      </c>
      <c r="E620" s="76" t="s">
        <v>2544</v>
      </c>
      <c r="F620" s="76" t="s">
        <v>3208</v>
      </c>
      <c r="G620" s="76" t="s">
        <v>2603</v>
      </c>
      <c r="H620" s="76">
        <v>28</v>
      </c>
      <c r="I620" s="76" t="s">
        <v>2592</v>
      </c>
      <c r="J620" s="80">
        <v>3040000</v>
      </c>
      <c r="K620" s="80">
        <v>200000</v>
      </c>
      <c r="L620" s="80">
        <f t="shared" si="23"/>
        <v>2840000</v>
      </c>
      <c r="M620" s="80"/>
      <c r="N620" s="81">
        <f t="shared" si="24"/>
        <v>2840000</v>
      </c>
    </row>
    <row r="621" spans="2:14">
      <c r="B621" s="82" t="s">
        <v>3218</v>
      </c>
      <c r="C621" s="76" t="s">
        <v>3124</v>
      </c>
      <c r="D621" s="76" t="s">
        <v>205</v>
      </c>
      <c r="E621" s="76" t="s">
        <v>2544</v>
      </c>
      <c r="F621" s="76" t="s">
        <v>3208</v>
      </c>
      <c r="G621" s="76" t="s">
        <v>2605</v>
      </c>
      <c r="H621" s="76">
        <v>28</v>
      </c>
      <c r="I621" s="76" t="s">
        <v>2592</v>
      </c>
      <c r="J621" s="80">
        <v>3200000</v>
      </c>
      <c r="K621" s="80">
        <v>200000</v>
      </c>
      <c r="L621" s="80">
        <f t="shared" si="23"/>
        <v>3000000</v>
      </c>
      <c r="M621" s="80"/>
      <c r="N621" s="81">
        <f t="shared" si="24"/>
        <v>3000000</v>
      </c>
    </row>
    <row r="622" spans="2:14">
      <c r="B622" s="82" t="s">
        <v>3219</v>
      </c>
      <c r="C622" s="76" t="s">
        <v>3124</v>
      </c>
      <c r="D622" s="76" t="s">
        <v>205</v>
      </c>
      <c r="E622" s="76" t="s">
        <v>2544</v>
      </c>
      <c r="F622" s="76" t="s">
        <v>3208</v>
      </c>
      <c r="G622" s="76" t="s">
        <v>2607</v>
      </c>
      <c r="H622" s="76">
        <v>28</v>
      </c>
      <c r="I622" s="76" t="s">
        <v>2592</v>
      </c>
      <c r="J622" s="80">
        <v>3200000</v>
      </c>
      <c r="K622" s="80">
        <v>260000</v>
      </c>
      <c r="L622" s="80">
        <f t="shared" si="23"/>
        <v>2940000</v>
      </c>
      <c r="M622" s="80"/>
      <c r="N622" s="81">
        <f t="shared" si="24"/>
        <v>2940000</v>
      </c>
    </row>
    <row r="623" spans="2:14">
      <c r="B623" s="82" t="s">
        <v>3220</v>
      </c>
      <c r="C623" s="76" t="s">
        <v>3124</v>
      </c>
      <c r="D623" s="76" t="s">
        <v>205</v>
      </c>
      <c r="E623" s="76" t="s">
        <v>2544</v>
      </c>
      <c r="F623" s="76" t="s">
        <v>3208</v>
      </c>
      <c r="G623" s="76" t="s">
        <v>2609</v>
      </c>
      <c r="H623" s="76">
        <v>31</v>
      </c>
      <c r="I623" s="76" t="s">
        <v>2989</v>
      </c>
      <c r="J623" s="80">
        <v>3384000</v>
      </c>
      <c r="K623" s="80">
        <v>185000</v>
      </c>
      <c r="L623" s="80">
        <f t="shared" si="23"/>
        <v>3199000</v>
      </c>
      <c r="M623" s="80"/>
      <c r="N623" s="81">
        <f t="shared" si="24"/>
        <v>3199000</v>
      </c>
    </row>
    <row r="624" spans="2:14">
      <c r="B624" s="83" t="s">
        <v>3221</v>
      </c>
      <c r="C624" s="84" t="s">
        <v>3124</v>
      </c>
      <c r="D624" s="76" t="s">
        <v>205</v>
      </c>
      <c r="E624" s="84" t="s">
        <v>2544</v>
      </c>
      <c r="F624" s="84" t="s">
        <v>3208</v>
      </c>
      <c r="G624" s="84" t="s">
        <v>2611</v>
      </c>
      <c r="H624" s="84">
        <v>31</v>
      </c>
      <c r="I624" s="84" t="s">
        <v>2989</v>
      </c>
      <c r="J624" s="85">
        <v>3474000</v>
      </c>
      <c r="K624" s="85">
        <v>200000</v>
      </c>
      <c r="L624" s="80">
        <f t="shared" si="23"/>
        <v>3274000</v>
      </c>
      <c r="M624" s="85"/>
      <c r="N624" s="81">
        <f t="shared" si="24"/>
        <v>3274000</v>
      </c>
    </row>
    <row r="625" spans="2:14">
      <c r="B625" s="82" t="s">
        <v>3222</v>
      </c>
      <c r="C625" s="76" t="s">
        <v>3124</v>
      </c>
      <c r="D625" s="76" t="s">
        <v>205</v>
      </c>
      <c r="E625" s="76" t="s">
        <v>2544</v>
      </c>
      <c r="F625" s="76" t="s">
        <v>3208</v>
      </c>
      <c r="G625" s="76" t="s">
        <v>2613</v>
      </c>
      <c r="H625" s="76">
        <v>28</v>
      </c>
      <c r="I625" s="76" t="s">
        <v>2592</v>
      </c>
      <c r="J625" s="80">
        <v>2570000</v>
      </c>
      <c r="K625" s="80">
        <v>25000</v>
      </c>
      <c r="L625" s="80">
        <f t="shared" si="23"/>
        <v>2545000</v>
      </c>
      <c r="M625" s="80"/>
      <c r="N625" s="81">
        <f t="shared" si="24"/>
        <v>2545000</v>
      </c>
    </row>
    <row r="626" spans="2:14">
      <c r="B626" s="82" t="s">
        <v>3223</v>
      </c>
      <c r="C626" s="76" t="s">
        <v>3124</v>
      </c>
      <c r="D626" s="76" t="s">
        <v>205</v>
      </c>
      <c r="E626" s="76" t="s">
        <v>2544</v>
      </c>
      <c r="F626" s="76" t="s">
        <v>3208</v>
      </c>
      <c r="G626" s="76" t="s">
        <v>2615</v>
      </c>
      <c r="H626" s="76">
        <v>28</v>
      </c>
      <c r="I626" s="76" t="s">
        <v>2592</v>
      </c>
      <c r="J626" s="80">
        <v>3200000</v>
      </c>
      <c r="K626" s="80">
        <v>388000</v>
      </c>
      <c r="L626" s="80">
        <f t="shared" si="23"/>
        <v>2812000</v>
      </c>
      <c r="M626" s="80"/>
      <c r="N626" s="81">
        <f t="shared" si="24"/>
        <v>2812000</v>
      </c>
    </row>
    <row r="627" spans="2:14">
      <c r="B627" s="82" t="s">
        <v>3224</v>
      </c>
      <c r="C627" s="76" t="s">
        <v>3124</v>
      </c>
      <c r="D627" s="76" t="s">
        <v>205</v>
      </c>
      <c r="E627" s="76" t="s">
        <v>2544</v>
      </c>
      <c r="F627" s="76" t="s">
        <v>3208</v>
      </c>
      <c r="G627" s="76" t="s">
        <v>2617</v>
      </c>
      <c r="H627" s="76">
        <v>28</v>
      </c>
      <c r="I627" s="76" t="s">
        <v>2592</v>
      </c>
      <c r="J627" s="80">
        <v>3040000</v>
      </c>
      <c r="K627" s="80">
        <v>200000</v>
      </c>
      <c r="L627" s="80">
        <f t="shared" si="23"/>
        <v>2840000</v>
      </c>
      <c r="M627" s="80"/>
      <c r="N627" s="81">
        <f t="shared" si="24"/>
        <v>2840000</v>
      </c>
    </row>
    <row r="628" spans="2:14">
      <c r="B628" s="82" t="s">
        <v>3225</v>
      </c>
      <c r="C628" s="76" t="s">
        <v>3124</v>
      </c>
      <c r="D628" s="76" t="s">
        <v>205</v>
      </c>
      <c r="E628" s="76" t="s">
        <v>2544</v>
      </c>
      <c r="F628" s="76" t="s">
        <v>3208</v>
      </c>
      <c r="G628" s="76" t="s">
        <v>2619</v>
      </c>
      <c r="H628" s="76">
        <v>28</v>
      </c>
      <c r="I628" s="76" t="s">
        <v>2592</v>
      </c>
      <c r="J628" s="80">
        <v>3040000</v>
      </c>
      <c r="K628" s="80">
        <v>290000</v>
      </c>
      <c r="L628" s="80">
        <f t="shared" si="23"/>
        <v>2750000</v>
      </c>
      <c r="M628" s="80"/>
      <c r="N628" s="81">
        <f t="shared" si="24"/>
        <v>2750000</v>
      </c>
    </row>
    <row r="629" spans="2:14">
      <c r="B629" s="82" t="s">
        <v>3226</v>
      </c>
      <c r="C629" s="76" t="s">
        <v>3124</v>
      </c>
      <c r="D629" s="76" t="s">
        <v>205</v>
      </c>
      <c r="E629" s="76" t="s">
        <v>2544</v>
      </c>
      <c r="F629" s="76" t="s">
        <v>3208</v>
      </c>
      <c r="G629" s="76" t="s">
        <v>2621</v>
      </c>
      <c r="H629" s="76">
        <v>28</v>
      </c>
      <c r="I629" s="76" t="s">
        <v>2592</v>
      </c>
      <c r="J629" s="80">
        <v>3200000</v>
      </c>
      <c r="K629" s="80">
        <v>200000</v>
      </c>
      <c r="L629" s="80">
        <f t="shared" si="23"/>
        <v>3000000</v>
      </c>
      <c r="M629" s="80"/>
      <c r="N629" s="81">
        <f t="shared" si="24"/>
        <v>3000000</v>
      </c>
    </row>
    <row r="630" spans="2:14">
      <c r="B630" s="82" t="s">
        <v>3227</v>
      </c>
      <c r="C630" s="76" t="s">
        <v>3124</v>
      </c>
      <c r="D630" s="76" t="s">
        <v>205</v>
      </c>
      <c r="E630" s="76" t="s">
        <v>2544</v>
      </c>
      <c r="F630" s="76" t="s">
        <v>3208</v>
      </c>
      <c r="G630" s="76" t="s">
        <v>2623</v>
      </c>
      <c r="H630" s="76">
        <v>28</v>
      </c>
      <c r="I630" s="76" t="s">
        <v>2592</v>
      </c>
      <c r="J630" s="80">
        <v>3040000</v>
      </c>
      <c r="K630" s="80">
        <v>290000</v>
      </c>
      <c r="L630" s="80">
        <f t="shared" si="23"/>
        <v>2750000</v>
      </c>
      <c r="M630" s="80"/>
      <c r="N630" s="81">
        <f t="shared" si="24"/>
        <v>2750000</v>
      </c>
    </row>
    <row r="631" spans="2:14">
      <c r="B631" s="82" t="s">
        <v>3228</v>
      </c>
      <c r="C631" s="76" t="s">
        <v>3124</v>
      </c>
      <c r="D631" s="76" t="s">
        <v>205</v>
      </c>
      <c r="E631" s="76" t="s">
        <v>2544</v>
      </c>
      <c r="F631" s="76" t="s">
        <v>3208</v>
      </c>
      <c r="G631" s="76" t="s">
        <v>2625</v>
      </c>
      <c r="H631" s="76">
        <v>28</v>
      </c>
      <c r="I631" s="76" t="s">
        <v>2592</v>
      </c>
      <c r="J631" s="80">
        <v>3040000</v>
      </c>
      <c r="K631" s="80">
        <v>290000</v>
      </c>
      <c r="L631" s="80">
        <f t="shared" si="23"/>
        <v>2750000</v>
      </c>
      <c r="M631" s="80"/>
      <c r="N631" s="81">
        <f t="shared" si="24"/>
        <v>2750000</v>
      </c>
    </row>
    <row r="632" spans="2:14">
      <c r="B632" s="82" t="s">
        <v>3229</v>
      </c>
      <c r="C632" s="76" t="s">
        <v>3124</v>
      </c>
      <c r="D632" s="76" t="s">
        <v>205</v>
      </c>
      <c r="E632" s="76" t="s">
        <v>2544</v>
      </c>
      <c r="F632" s="76" t="s">
        <v>3208</v>
      </c>
      <c r="G632" s="76" t="s">
        <v>2627</v>
      </c>
      <c r="H632" s="76">
        <v>28</v>
      </c>
      <c r="I632" s="76" t="s">
        <v>2592</v>
      </c>
      <c r="J632" s="80">
        <v>3040000</v>
      </c>
      <c r="K632" s="80">
        <v>290000</v>
      </c>
      <c r="L632" s="80">
        <f t="shared" si="23"/>
        <v>2750000</v>
      </c>
      <c r="M632" s="80"/>
      <c r="N632" s="81">
        <f t="shared" si="24"/>
        <v>2750000</v>
      </c>
    </row>
    <row r="633" spans="2:14">
      <c r="B633" s="82" t="s">
        <v>3230</v>
      </c>
      <c r="C633" s="76" t="s">
        <v>3124</v>
      </c>
      <c r="D633" s="76" t="s">
        <v>205</v>
      </c>
      <c r="E633" s="76" t="s">
        <v>2544</v>
      </c>
      <c r="F633" s="76" t="s">
        <v>3208</v>
      </c>
      <c r="G633" s="76" t="s">
        <v>2629</v>
      </c>
      <c r="H633" s="76">
        <v>28</v>
      </c>
      <c r="I633" s="76" t="s">
        <v>2592</v>
      </c>
      <c r="J633" s="80">
        <v>3200000</v>
      </c>
      <c r="K633" s="80">
        <v>200000</v>
      </c>
      <c r="L633" s="80">
        <f t="shared" si="23"/>
        <v>3000000</v>
      </c>
      <c r="M633" s="80"/>
      <c r="N633" s="81">
        <f t="shared" si="24"/>
        <v>3000000</v>
      </c>
    </row>
    <row r="634" spans="2:14">
      <c r="B634" s="82" t="s">
        <v>3231</v>
      </c>
      <c r="C634" s="76" t="s">
        <v>3124</v>
      </c>
      <c r="D634" s="76" t="s">
        <v>233</v>
      </c>
      <c r="E634" s="76" t="s">
        <v>2544</v>
      </c>
      <c r="F634" s="76" t="s">
        <v>3208</v>
      </c>
      <c r="G634" s="76" t="s">
        <v>2631</v>
      </c>
      <c r="H634" s="76">
        <v>28</v>
      </c>
      <c r="I634" s="76" t="s">
        <v>2592</v>
      </c>
      <c r="J634" s="80">
        <v>3200000</v>
      </c>
      <c r="K634" s="80">
        <v>200000</v>
      </c>
      <c r="L634" s="80">
        <f t="shared" si="23"/>
        <v>3000000</v>
      </c>
      <c r="M634" s="80"/>
      <c r="N634" s="81">
        <f t="shared" si="24"/>
        <v>3000000</v>
      </c>
    </row>
    <row r="635" spans="2:14">
      <c r="B635" s="82" t="s">
        <v>3232</v>
      </c>
      <c r="C635" s="76" t="s">
        <v>3124</v>
      </c>
      <c r="D635" s="76" t="s">
        <v>205</v>
      </c>
      <c r="E635" s="76" t="s">
        <v>2544</v>
      </c>
      <c r="F635" s="76" t="s">
        <v>3208</v>
      </c>
      <c r="G635" s="76" t="s">
        <v>3150</v>
      </c>
      <c r="H635" s="76">
        <v>28</v>
      </c>
      <c r="I635" s="76" t="s">
        <v>2592</v>
      </c>
      <c r="J635" s="80">
        <v>2570000</v>
      </c>
      <c r="K635" s="80">
        <v>25000</v>
      </c>
      <c r="L635" s="80">
        <f t="shared" si="23"/>
        <v>2545000</v>
      </c>
      <c r="M635" s="80"/>
      <c r="N635" s="81">
        <f t="shared" si="24"/>
        <v>2545000</v>
      </c>
    </row>
    <row r="636" spans="2:14">
      <c r="B636" s="82" t="s">
        <v>3233</v>
      </c>
      <c r="C636" s="76" t="s">
        <v>3124</v>
      </c>
      <c r="D636" s="76" t="s">
        <v>205</v>
      </c>
      <c r="E636" s="76" t="s">
        <v>2544</v>
      </c>
      <c r="F636" s="76" t="s">
        <v>3208</v>
      </c>
      <c r="G636" s="76" t="s">
        <v>3152</v>
      </c>
      <c r="H636" s="76">
        <v>31</v>
      </c>
      <c r="I636" s="76" t="s">
        <v>2989</v>
      </c>
      <c r="J636" s="80">
        <v>3384000</v>
      </c>
      <c r="K636" s="80">
        <v>290000</v>
      </c>
      <c r="L636" s="80">
        <f t="shared" si="23"/>
        <v>3094000</v>
      </c>
      <c r="M636" s="80"/>
      <c r="N636" s="81">
        <f t="shared" si="24"/>
        <v>3094000</v>
      </c>
    </row>
    <row r="637" spans="2:14">
      <c r="B637" s="82" t="s">
        <v>3234</v>
      </c>
      <c r="C637" s="76" t="s">
        <v>3124</v>
      </c>
      <c r="D637" s="76" t="s">
        <v>205</v>
      </c>
      <c r="E637" s="76" t="s">
        <v>2544</v>
      </c>
      <c r="F637" s="76" t="s">
        <v>3235</v>
      </c>
      <c r="G637" s="76" t="s">
        <v>2365</v>
      </c>
      <c r="H637" s="76">
        <v>31</v>
      </c>
      <c r="I637" s="76" t="s">
        <v>2989</v>
      </c>
      <c r="J637" s="80">
        <v>3399000</v>
      </c>
      <c r="K637" s="80">
        <v>399000</v>
      </c>
      <c r="L637" s="80">
        <f t="shared" si="23"/>
        <v>3000000</v>
      </c>
      <c r="M637" s="80"/>
      <c r="N637" s="81">
        <f t="shared" si="24"/>
        <v>3000000</v>
      </c>
    </row>
    <row r="638" spans="2:14">
      <c r="B638" s="76" t="s">
        <v>3236</v>
      </c>
      <c r="C638" s="76" t="s">
        <v>3124</v>
      </c>
      <c r="D638" s="76" t="s">
        <v>22</v>
      </c>
      <c r="E638" s="76" t="s">
        <v>2544</v>
      </c>
      <c r="F638" s="76" t="s">
        <v>3235</v>
      </c>
      <c r="G638" s="76" t="s">
        <v>2368</v>
      </c>
      <c r="H638" s="76">
        <v>28</v>
      </c>
      <c r="I638" s="76" t="s">
        <v>2592</v>
      </c>
      <c r="J638" s="80">
        <v>3000000</v>
      </c>
      <c r="K638" s="80">
        <v>55000</v>
      </c>
      <c r="L638" s="80">
        <f t="shared" si="23"/>
        <v>2945000</v>
      </c>
      <c r="M638" s="80"/>
      <c r="N638" s="81">
        <f t="shared" si="24"/>
        <v>2945000</v>
      </c>
    </row>
    <row r="639" spans="2:14">
      <c r="B639" s="76" t="s">
        <v>3237</v>
      </c>
      <c r="C639" s="76" t="s">
        <v>3124</v>
      </c>
      <c r="D639" s="76" t="s">
        <v>205</v>
      </c>
      <c r="E639" s="76" t="s">
        <v>2544</v>
      </c>
      <c r="F639" s="76" t="s">
        <v>3235</v>
      </c>
      <c r="G639" s="76" t="s">
        <v>2377</v>
      </c>
      <c r="H639" s="76">
        <v>28</v>
      </c>
      <c r="I639" s="76" t="s">
        <v>2592</v>
      </c>
      <c r="J639" s="80">
        <v>3200000</v>
      </c>
      <c r="K639" s="80">
        <v>335000</v>
      </c>
      <c r="L639" s="80">
        <f t="shared" si="23"/>
        <v>2865000</v>
      </c>
      <c r="M639" s="80"/>
      <c r="N639" s="81">
        <f t="shared" si="24"/>
        <v>2865000</v>
      </c>
    </row>
    <row r="640" spans="2:14">
      <c r="B640" s="76" t="s">
        <v>3238</v>
      </c>
      <c r="C640" s="76" t="s">
        <v>3124</v>
      </c>
      <c r="D640" s="76" t="s">
        <v>233</v>
      </c>
      <c r="E640" s="76" t="s">
        <v>2544</v>
      </c>
      <c r="F640" s="76" t="s">
        <v>3235</v>
      </c>
      <c r="G640" s="76" t="s">
        <v>2379</v>
      </c>
      <c r="H640" s="76">
        <v>28</v>
      </c>
      <c r="I640" s="76" t="s">
        <v>2592</v>
      </c>
      <c r="J640" s="80">
        <v>3000000</v>
      </c>
      <c r="K640" s="80">
        <v>55000</v>
      </c>
      <c r="L640" s="80">
        <f t="shared" si="23"/>
        <v>2945000</v>
      </c>
      <c r="M640" s="80"/>
      <c r="N640" s="81">
        <f t="shared" si="24"/>
        <v>2945000</v>
      </c>
    </row>
    <row r="641" spans="2:14">
      <c r="B641" s="76" t="s">
        <v>3239</v>
      </c>
      <c r="C641" s="76" t="s">
        <v>3124</v>
      </c>
      <c r="D641" s="76" t="s">
        <v>205</v>
      </c>
      <c r="E641" s="76" t="s">
        <v>2544</v>
      </c>
      <c r="F641" s="76" t="s">
        <v>3235</v>
      </c>
      <c r="G641" s="76" t="s">
        <v>2370</v>
      </c>
      <c r="H641" s="76">
        <v>28</v>
      </c>
      <c r="I641" s="76" t="s">
        <v>2592</v>
      </c>
      <c r="J641" s="80">
        <v>3200000</v>
      </c>
      <c r="K641" s="80">
        <v>260000</v>
      </c>
      <c r="L641" s="80">
        <f t="shared" si="23"/>
        <v>2940000</v>
      </c>
      <c r="M641" s="80"/>
      <c r="N641" s="81">
        <f t="shared" si="24"/>
        <v>2940000</v>
      </c>
    </row>
    <row r="642" spans="2:14">
      <c r="B642" s="76" t="s">
        <v>3240</v>
      </c>
      <c r="C642" s="76" t="s">
        <v>3124</v>
      </c>
      <c r="D642" s="76" t="s">
        <v>205</v>
      </c>
      <c r="E642" s="76" t="s">
        <v>2544</v>
      </c>
      <c r="F642" s="76" t="s">
        <v>3235</v>
      </c>
      <c r="G642" s="76" t="s">
        <v>2372</v>
      </c>
      <c r="H642" s="76">
        <v>28</v>
      </c>
      <c r="I642" s="76" t="s">
        <v>2592</v>
      </c>
      <c r="J642" s="80">
        <v>3200000</v>
      </c>
      <c r="K642" s="80">
        <v>160000</v>
      </c>
      <c r="L642" s="80">
        <f t="shared" si="23"/>
        <v>3040000</v>
      </c>
      <c r="M642" s="80"/>
      <c r="N642" s="81">
        <f t="shared" si="24"/>
        <v>3040000</v>
      </c>
    </row>
    <row r="643" spans="2:14">
      <c r="B643" s="76" t="s">
        <v>3241</v>
      </c>
      <c r="C643" s="76" t="s">
        <v>3124</v>
      </c>
      <c r="D643" s="76" t="s">
        <v>205</v>
      </c>
      <c r="E643" s="76" t="s">
        <v>2544</v>
      </c>
      <c r="F643" s="76" t="s">
        <v>3235</v>
      </c>
      <c r="G643" s="76" t="s">
        <v>2597</v>
      </c>
      <c r="H643" s="76">
        <v>28</v>
      </c>
      <c r="I643" s="76" t="s">
        <v>2592</v>
      </c>
      <c r="J643" s="80">
        <v>3200000</v>
      </c>
      <c r="K643" s="80">
        <v>160000</v>
      </c>
      <c r="L643" s="80">
        <f t="shared" si="23"/>
        <v>3040000</v>
      </c>
      <c r="M643" s="80"/>
      <c r="N643" s="81">
        <f t="shared" si="24"/>
        <v>3040000</v>
      </c>
    </row>
    <row r="644" spans="2:14">
      <c r="B644" s="76" t="s">
        <v>3242</v>
      </c>
      <c r="C644" s="76" t="s">
        <v>3124</v>
      </c>
      <c r="D644" s="76" t="s">
        <v>233</v>
      </c>
      <c r="E644" s="76" t="s">
        <v>2544</v>
      </c>
      <c r="F644" s="76" t="s">
        <v>3235</v>
      </c>
      <c r="G644" s="76" t="s">
        <v>2599</v>
      </c>
      <c r="H644" s="76">
        <v>28</v>
      </c>
      <c r="I644" s="76" t="s">
        <v>2592</v>
      </c>
      <c r="J644" s="80">
        <v>3200000</v>
      </c>
      <c r="K644" s="80">
        <v>160000</v>
      </c>
      <c r="L644" s="80">
        <f t="shared" si="23"/>
        <v>3040000</v>
      </c>
      <c r="M644" s="80"/>
      <c r="N644" s="81">
        <f t="shared" si="24"/>
        <v>3040000</v>
      </c>
    </row>
    <row r="645" spans="2:14">
      <c r="B645" s="76" t="s">
        <v>3243</v>
      </c>
      <c r="C645" s="76" t="s">
        <v>3124</v>
      </c>
      <c r="D645" s="76" t="s">
        <v>205</v>
      </c>
      <c r="E645" s="76" t="s">
        <v>2544</v>
      </c>
      <c r="F645" s="76" t="s">
        <v>3235</v>
      </c>
      <c r="G645" s="76" t="s">
        <v>2601</v>
      </c>
      <c r="H645" s="76">
        <v>28</v>
      </c>
      <c r="I645" s="76" t="s">
        <v>2592</v>
      </c>
      <c r="J645" s="80">
        <v>3200000</v>
      </c>
      <c r="K645" s="80">
        <v>0</v>
      </c>
      <c r="L645" s="80">
        <f t="shared" si="23"/>
        <v>3200000</v>
      </c>
      <c r="M645" s="80"/>
      <c r="N645" s="81">
        <f t="shared" si="24"/>
        <v>3200000</v>
      </c>
    </row>
    <row r="646" spans="2:14">
      <c r="B646" s="76" t="s">
        <v>3244</v>
      </c>
      <c r="C646" s="76" t="s">
        <v>3124</v>
      </c>
      <c r="D646" s="76" t="s">
        <v>233</v>
      </c>
      <c r="E646" s="76" t="s">
        <v>2544</v>
      </c>
      <c r="F646" s="76" t="s">
        <v>3235</v>
      </c>
      <c r="G646" s="76" t="s">
        <v>2603</v>
      </c>
      <c r="H646" s="76">
        <v>28</v>
      </c>
      <c r="I646" s="76" t="s">
        <v>2592</v>
      </c>
      <c r="J646" s="80">
        <v>3000000</v>
      </c>
      <c r="K646" s="80">
        <v>55000</v>
      </c>
      <c r="L646" s="80">
        <f t="shared" si="23"/>
        <v>2945000</v>
      </c>
      <c r="M646" s="80"/>
      <c r="N646" s="81">
        <f t="shared" si="24"/>
        <v>2945000</v>
      </c>
    </row>
    <row r="647" spans="2:14">
      <c r="B647" s="76" t="s">
        <v>3245</v>
      </c>
      <c r="C647" s="76" t="s">
        <v>3124</v>
      </c>
      <c r="D647" s="76" t="s">
        <v>233</v>
      </c>
      <c r="E647" s="76" t="s">
        <v>2544</v>
      </c>
      <c r="F647" s="76" t="s">
        <v>3235</v>
      </c>
      <c r="G647" s="76" t="s">
        <v>2605</v>
      </c>
      <c r="H647" s="76">
        <v>28</v>
      </c>
      <c r="I647" s="76" t="s">
        <v>2592</v>
      </c>
      <c r="J647" s="80">
        <v>3000000</v>
      </c>
      <c r="K647" s="80">
        <v>55000</v>
      </c>
      <c r="L647" s="80">
        <f t="shared" si="23"/>
        <v>2945000</v>
      </c>
      <c r="M647" s="80"/>
      <c r="N647" s="81">
        <f t="shared" si="24"/>
        <v>2945000</v>
      </c>
    </row>
    <row r="648" spans="2:14">
      <c r="B648" s="76" t="s">
        <v>3246</v>
      </c>
      <c r="C648" s="76" t="s">
        <v>3124</v>
      </c>
      <c r="D648" s="76" t="s">
        <v>233</v>
      </c>
      <c r="E648" s="76" t="s">
        <v>2544</v>
      </c>
      <c r="F648" s="76" t="s">
        <v>3235</v>
      </c>
      <c r="G648" s="76" t="s">
        <v>2607</v>
      </c>
      <c r="H648" s="76">
        <v>28</v>
      </c>
      <c r="I648" s="76" t="s">
        <v>2592</v>
      </c>
      <c r="J648" s="80">
        <v>3000000</v>
      </c>
      <c r="K648" s="80">
        <v>55000</v>
      </c>
      <c r="L648" s="80">
        <f t="shared" si="23"/>
        <v>2945000</v>
      </c>
      <c r="M648" s="80"/>
      <c r="N648" s="81">
        <f t="shared" si="24"/>
        <v>2945000</v>
      </c>
    </row>
    <row r="649" spans="2:14">
      <c r="B649" s="76" t="s">
        <v>3247</v>
      </c>
      <c r="C649" s="76" t="s">
        <v>3124</v>
      </c>
      <c r="D649" s="76" t="s">
        <v>972</v>
      </c>
      <c r="E649" s="76" t="s">
        <v>2544</v>
      </c>
      <c r="F649" s="76" t="s">
        <v>3235</v>
      </c>
      <c r="G649" s="76" t="s">
        <v>2609</v>
      </c>
      <c r="H649" s="76">
        <v>31</v>
      </c>
      <c r="I649" s="76" t="s">
        <v>2989</v>
      </c>
      <c r="J649" s="80">
        <v>3399000</v>
      </c>
      <c r="K649" s="80">
        <v>399000</v>
      </c>
      <c r="L649" s="80">
        <f t="shared" si="23"/>
        <v>3000000</v>
      </c>
      <c r="M649" s="80"/>
      <c r="N649" s="81">
        <f t="shared" si="24"/>
        <v>3000000</v>
      </c>
    </row>
    <row r="650" spans="2:14">
      <c r="B650" s="76" t="s">
        <v>3248</v>
      </c>
      <c r="C650" s="76" t="s">
        <v>3124</v>
      </c>
      <c r="D650" s="76" t="s">
        <v>205</v>
      </c>
      <c r="E650" s="76" t="s">
        <v>2544</v>
      </c>
      <c r="F650" s="76" t="s">
        <v>3235</v>
      </c>
      <c r="G650" s="76" t="s">
        <v>2611</v>
      </c>
      <c r="H650" s="76">
        <v>31</v>
      </c>
      <c r="I650" s="76" t="s">
        <v>2989</v>
      </c>
      <c r="J650" s="80">
        <v>3474000</v>
      </c>
      <c r="K650" s="80">
        <v>474000</v>
      </c>
      <c r="L650" s="80">
        <f t="shared" si="23"/>
        <v>3000000</v>
      </c>
      <c r="M650" s="80">
        <v>0</v>
      </c>
      <c r="N650" s="81">
        <f t="shared" si="24"/>
        <v>3000000</v>
      </c>
    </row>
    <row r="651" spans="2:14">
      <c r="B651" s="76" t="s">
        <v>3249</v>
      </c>
      <c r="C651" s="76" t="s">
        <v>3124</v>
      </c>
      <c r="D651" s="76" t="s">
        <v>233</v>
      </c>
      <c r="E651" s="76" t="s">
        <v>2544</v>
      </c>
      <c r="F651" s="76" t="s">
        <v>3235</v>
      </c>
      <c r="G651" s="76" t="s">
        <v>2613</v>
      </c>
      <c r="H651" s="76">
        <v>28</v>
      </c>
      <c r="I651" s="76" t="s">
        <v>2592</v>
      </c>
      <c r="J651" s="80">
        <v>3000000</v>
      </c>
      <c r="K651" s="80">
        <v>55000</v>
      </c>
      <c r="L651" s="80">
        <f t="shared" si="23"/>
        <v>2945000</v>
      </c>
      <c r="M651" s="80"/>
      <c r="N651" s="81">
        <f t="shared" si="24"/>
        <v>2945000</v>
      </c>
    </row>
    <row r="652" spans="2:14">
      <c r="B652" s="76" t="s">
        <v>3250</v>
      </c>
      <c r="C652" s="76" t="s">
        <v>3124</v>
      </c>
      <c r="D652" s="76" t="s">
        <v>205</v>
      </c>
      <c r="E652" s="76" t="s">
        <v>2544</v>
      </c>
      <c r="F652" s="76" t="s">
        <v>3235</v>
      </c>
      <c r="G652" s="76" t="s">
        <v>2615</v>
      </c>
      <c r="H652" s="76">
        <v>28</v>
      </c>
      <c r="I652" s="76" t="s">
        <v>2592</v>
      </c>
      <c r="J652" s="80">
        <v>3200000</v>
      </c>
      <c r="K652" s="80">
        <v>160000</v>
      </c>
      <c r="L652" s="80">
        <f t="shared" si="23"/>
        <v>3040000</v>
      </c>
      <c r="M652" s="80"/>
      <c r="N652" s="81">
        <f t="shared" si="24"/>
        <v>3040000</v>
      </c>
    </row>
    <row r="653" spans="2:14">
      <c r="B653" s="84" t="s">
        <v>3251</v>
      </c>
      <c r="C653" s="84" t="s">
        <v>3124</v>
      </c>
      <c r="D653" s="76" t="s">
        <v>205</v>
      </c>
      <c r="E653" s="84" t="s">
        <v>2544</v>
      </c>
      <c r="F653" s="76" t="s">
        <v>3235</v>
      </c>
      <c r="G653" s="84" t="s">
        <v>2617</v>
      </c>
      <c r="H653" s="84">
        <v>28</v>
      </c>
      <c r="I653" s="84" t="s">
        <v>2592</v>
      </c>
      <c r="J653" s="85">
        <v>3200000</v>
      </c>
      <c r="K653" s="85">
        <v>200000</v>
      </c>
      <c r="L653" s="80">
        <f t="shared" si="23"/>
        <v>3000000</v>
      </c>
      <c r="M653" s="85"/>
      <c r="N653" s="81">
        <f t="shared" si="24"/>
        <v>3000000</v>
      </c>
    </row>
    <row r="654" spans="2:14">
      <c r="B654" s="76" t="s">
        <v>3252</v>
      </c>
      <c r="C654" s="76" t="s">
        <v>3124</v>
      </c>
      <c r="D654" s="76" t="s">
        <v>205</v>
      </c>
      <c r="E654" s="76" t="s">
        <v>2544</v>
      </c>
      <c r="F654" s="76" t="s">
        <v>3235</v>
      </c>
      <c r="G654" s="76" t="s">
        <v>2619</v>
      </c>
      <c r="H654" s="76">
        <v>28</v>
      </c>
      <c r="I654" s="76" t="s">
        <v>2592</v>
      </c>
      <c r="J654" s="80">
        <v>3200000</v>
      </c>
      <c r="K654" s="80">
        <v>200000</v>
      </c>
      <c r="L654" s="80">
        <f t="shared" si="23"/>
        <v>3000000</v>
      </c>
      <c r="M654" s="80">
        <v>0</v>
      </c>
      <c r="N654" s="81">
        <f t="shared" si="24"/>
        <v>3000000</v>
      </c>
    </row>
    <row r="655" spans="2:14">
      <c r="B655" s="76" t="s">
        <v>3253</v>
      </c>
      <c r="C655" s="76" t="s">
        <v>3124</v>
      </c>
      <c r="D655" s="76" t="s">
        <v>205</v>
      </c>
      <c r="E655" s="76" t="s">
        <v>2544</v>
      </c>
      <c r="F655" s="76" t="s">
        <v>3235</v>
      </c>
      <c r="G655" s="76" t="s">
        <v>2621</v>
      </c>
      <c r="H655" s="76">
        <v>28</v>
      </c>
      <c r="I655" s="76" t="s">
        <v>2592</v>
      </c>
      <c r="J655" s="80">
        <v>3200000</v>
      </c>
      <c r="K655" s="80">
        <v>200000</v>
      </c>
      <c r="L655" s="80">
        <f t="shared" si="23"/>
        <v>3000000</v>
      </c>
      <c r="M655" s="80">
        <v>0</v>
      </c>
      <c r="N655" s="81">
        <f t="shared" si="24"/>
        <v>3000000</v>
      </c>
    </row>
    <row r="656" spans="2:14">
      <c r="B656" s="76" t="s">
        <v>3254</v>
      </c>
      <c r="C656" s="76" t="s">
        <v>3124</v>
      </c>
      <c r="D656" s="76" t="s">
        <v>205</v>
      </c>
      <c r="E656" s="76" t="s">
        <v>2544</v>
      </c>
      <c r="F656" s="76" t="s">
        <v>3235</v>
      </c>
      <c r="G656" s="76" t="s">
        <v>2623</v>
      </c>
      <c r="H656" s="76">
        <v>28</v>
      </c>
      <c r="I656" s="76" t="s">
        <v>2592</v>
      </c>
      <c r="J656" s="80">
        <v>3200000</v>
      </c>
      <c r="K656" s="80">
        <v>160000</v>
      </c>
      <c r="L656" s="80">
        <f t="shared" si="23"/>
        <v>3040000</v>
      </c>
      <c r="M656" s="80"/>
      <c r="N656" s="81">
        <f t="shared" si="24"/>
        <v>3040000</v>
      </c>
    </row>
    <row r="657" spans="2:14">
      <c r="B657" s="76" t="s">
        <v>3255</v>
      </c>
      <c r="C657" s="76" t="s">
        <v>3124</v>
      </c>
      <c r="D657" s="76" t="s">
        <v>205</v>
      </c>
      <c r="E657" s="76" t="s">
        <v>2544</v>
      </c>
      <c r="F657" s="76" t="s">
        <v>3235</v>
      </c>
      <c r="G657" s="76" t="s">
        <v>2625</v>
      </c>
      <c r="H657" s="76">
        <v>28</v>
      </c>
      <c r="I657" s="76" t="s">
        <v>2592</v>
      </c>
      <c r="J657" s="80">
        <v>3200000</v>
      </c>
      <c r="K657" s="80">
        <v>160000</v>
      </c>
      <c r="L657" s="80">
        <f t="shared" si="23"/>
        <v>3040000</v>
      </c>
      <c r="M657" s="80"/>
      <c r="N657" s="81">
        <f t="shared" si="24"/>
        <v>3040000</v>
      </c>
    </row>
    <row r="658" spans="2:14">
      <c r="B658" s="76" t="s">
        <v>3256</v>
      </c>
      <c r="C658" s="76" t="s">
        <v>3124</v>
      </c>
      <c r="D658" s="76" t="s">
        <v>205</v>
      </c>
      <c r="E658" s="76" t="s">
        <v>2544</v>
      </c>
      <c r="F658" s="76" t="s">
        <v>3235</v>
      </c>
      <c r="G658" s="76" t="s">
        <v>2627</v>
      </c>
      <c r="H658" s="76">
        <v>28</v>
      </c>
      <c r="I658" s="76" t="s">
        <v>2592</v>
      </c>
      <c r="J658" s="80">
        <v>3200000</v>
      </c>
      <c r="K658" s="80">
        <v>200000</v>
      </c>
      <c r="L658" s="80">
        <f t="shared" si="23"/>
        <v>3000000</v>
      </c>
      <c r="M658" s="80"/>
      <c r="N658" s="81">
        <f t="shared" si="24"/>
        <v>3000000</v>
      </c>
    </row>
    <row r="659" spans="2:14">
      <c r="B659" s="76" t="s">
        <v>3257</v>
      </c>
      <c r="C659" s="76" t="s">
        <v>3124</v>
      </c>
      <c r="D659" s="76" t="s">
        <v>233</v>
      </c>
      <c r="E659" s="76" t="s">
        <v>2544</v>
      </c>
      <c r="F659" s="76" t="s">
        <v>3235</v>
      </c>
      <c r="G659" s="76" t="s">
        <v>2629</v>
      </c>
      <c r="H659" s="76">
        <v>28</v>
      </c>
      <c r="I659" s="76" t="s">
        <v>2592</v>
      </c>
      <c r="J659" s="80">
        <v>3200000</v>
      </c>
      <c r="K659" s="80">
        <v>200000</v>
      </c>
      <c r="L659" s="80">
        <f t="shared" si="23"/>
        <v>3000000</v>
      </c>
      <c r="M659" s="80"/>
      <c r="N659" s="81">
        <f t="shared" si="24"/>
        <v>3000000</v>
      </c>
    </row>
    <row r="660" spans="2:14">
      <c r="B660" s="76" t="s">
        <v>3258</v>
      </c>
      <c r="C660" s="76" t="s">
        <v>3124</v>
      </c>
      <c r="D660" s="76" t="s">
        <v>233</v>
      </c>
      <c r="E660" s="76" t="s">
        <v>2544</v>
      </c>
      <c r="F660" s="76" t="s">
        <v>3235</v>
      </c>
      <c r="G660" s="76" t="s">
        <v>2631</v>
      </c>
      <c r="H660" s="76">
        <v>28</v>
      </c>
      <c r="I660" s="76" t="s">
        <v>2592</v>
      </c>
      <c r="J660" s="80">
        <v>3200000</v>
      </c>
      <c r="K660" s="80">
        <v>0</v>
      </c>
      <c r="L660" s="80">
        <f t="shared" si="23"/>
        <v>3200000</v>
      </c>
      <c r="M660" s="80"/>
      <c r="N660" s="81">
        <f t="shared" si="24"/>
        <v>3200000</v>
      </c>
    </row>
    <row r="661" spans="2:14">
      <c r="B661" s="76" t="s">
        <v>3259</v>
      </c>
      <c r="C661" s="76" t="s">
        <v>3124</v>
      </c>
      <c r="D661" s="76" t="s">
        <v>205</v>
      </c>
      <c r="E661" s="76" t="s">
        <v>2544</v>
      </c>
      <c r="F661" s="76" t="s">
        <v>3235</v>
      </c>
      <c r="G661" s="76" t="s">
        <v>3150</v>
      </c>
      <c r="H661" s="76">
        <v>31</v>
      </c>
      <c r="I661" s="76" t="s">
        <v>2989</v>
      </c>
      <c r="J661" s="80">
        <v>3474000</v>
      </c>
      <c r="K661" s="80">
        <v>474000</v>
      </c>
      <c r="L661" s="80">
        <f t="shared" si="23"/>
        <v>3000000</v>
      </c>
      <c r="M661" s="80"/>
      <c r="N661" s="81">
        <f t="shared" si="24"/>
        <v>3000000</v>
      </c>
    </row>
    <row r="662" spans="2:14">
      <c r="B662" s="76" t="s">
        <v>3260</v>
      </c>
      <c r="C662" s="76" t="s">
        <v>3124</v>
      </c>
      <c r="D662" s="76" t="s">
        <v>205</v>
      </c>
      <c r="E662" s="76" t="s">
        <v>2544</v>
      </c>
      <c r="F662" s="76" t="s">
        <v>3261</v>
      </c>
      <c r="G662" s="76" t="s">
        <v>2365</v>
      </c>
      <c r="H662" s="76">
        <v>31</v>
      </c>
      <c r="I662" s="76" t="s">
        <v>2989</v>
      </c>
      <c r="J662" s="80">
        <v>3513000</v>
      </c>
      <c r="K662" s="80">
        <v>200000</v>
      </c>
      <c r="L662" s="80">
        <f t="shared" ref="L662:L725" si="25">J662-K662</f>
        <v>3313000</v>
      </c>
      <c r="M662" s="80"/>
      <c r="N662" s="81">
        <f t="shared" ref="N662:N725" si="26">L662-M662</f>
        <v>3313000</v>
      </c>
    </row>
    <row r="663" spans="2:14">
      <c r="B663" s="76" t="s">
        <v>3262</v>
      </c>
      <c r="C663" s="76" t="s">
        <v>3124</v>
      </c>
      <c r="D663" s="76" t="s">
        <v>205</v>
      </c>
      <c r="E663" s="76" t="s">
        <v>2544</v>
      </c>
      <c r="F663" s="76" t="s">
        <v>3261</v>
      </c>
      <c r="G663" s="76" t="s">
        <v>2368</v>
      </c>
      <c r="H663" s="76">
        <v>28</v>
      </c>
      <c r="I663" s="76" t="s">
        <v>2592</v>
      </c>
      <c r="J663" s="80">
        <v>3090000</v>
      </c>
      <c r="K663" s="80">
        <v>200000</v>
      </c>
      <c r="L663" s="80">
        <f t="shared" si="25"/>
        <v>2890000</v>
      </c>
      <c r="M663" s="80"/>
      <c r="N663" s="81">
        <f t="shared" si="26"/>
        <v>2890000</v>
      </c>
    </row>
    <row r="664" spans="2:14">
      <c r="B664" s="76" t="s">
        <v>3263</v>
      </c>
      <c r="C664" s="76" t="s">
        <v>3124</v>
      </c>
      <c r="D664" s="76" t="s">
        <v>205</v>
      </c>
      <c r="E664" s="76" t="s">
        <v>2544</v>
      </c>
      <c r="F664" s="76" t="s">
        <v>3261</v>
      </c>
      <c r="G664" s="76" t="s">
        <v>2377</v>
      </c>
      <c r="H664" s="76">
        <v>28</v>
      </c>
      <c r="I664" s="76" t="s">
        <v>2592</v>
      </c>
      <c r="J664" s="80">
        <v>3000000</v>
      </c>
      <c r="K664" s="80">
        <v>55000</v>
      </c>
      <c r="L664" s="80">
        <f t="shared" si="25"/>
        <v>2945000</v>
      </c>
      <c r="M664" s="80"/>
      <c r="N664" s="81">
        <f t="shared" si="26"/>
        <v>2945000</v>
      </c>
    </row>
    <row r="665" spans="2:14">
      <c r="B665" s="76" t="s">
        <v>3264</v>
      </c>
      <c r="C665" s="76" t="s">
        <v>3124</v>
      </c>
      <c r="D665" s="76" t="s">
        <v>205</v>
      </c>
      <c r="E665" s="76" t="s">
        <v>2544</v>
      </c>
      <c r="F665" s="76" t="s">
        <v>3261</v>
      </c>
      <c r="G665" s="76" t="s">
        <v>2379</v>
      </c>
      <c r="H665" s="76">
        <v>28</v>
      </c>
      <c r="I665" s="76" t="s">
        <v>2592</v>
      </c>
      <c r="J665" s="80">
        <v>3235000</v>
      </c>
      <c r="K665" s="86"/>
      <c r="L665" s="80">
        <f t="shared" si="25"/>
        <v>3235000</v>
      </c>
      <c r="M665" s="80"/>
      <c r="N665" s="81">
        <f t="shared" si="26"/>
        <v>3235000</v>
      </c>
    </row>
    <row r="666" spans="2:14">
      <c r="B666" s="76" t="s">
        <v>3265</v>
      </c>
      <c r="C666" s="76" t="s">
        <v>3124</v>
      </c>
      <c r="D666" s="76" t="s">
        <v>205</v>
      </c>
      <c r="E666" s="76" t="s">
        <v>2544</v>
      </c>
      <c r="F666" s="76" t="s">
        <v>3261</v>
      </c>
      <c r="G666" s="76" t="s">
        <v>2370</v>
      </c>
      <c r="H666" s="76">
        <v>28</v>
      </c>
      <c r="I666" s="76" t="s">
        <v>2592</v>
      </c>
      <c r="J666" s="80">
        <v>3235000</v>
      </c>
      <c r="K666" s="86"/>
      <c r="L666" s="80">
        <f t="shared" si="25"/>
        <v>3235000</v>
      </c>
      <c r="M666" s="80"/>
      <c r="N666" s="81">
        <f t="shared" si="26"/>
        <v>3235000</v>
      </c>
    </row>
    <row r="667" spans="2:14">
      <c r="B667" s="76" t="s">
        <v>3266</v>
      </c>
      <c r="C667" s="76" t="s">
        <v>3124</v>
      </c>
      <c r="D667" s="76" t="s">
        <v>205</v>
      </c>
      <c r="E667" s="76" t="s">
        <v>2544</v>
      </c>
      <c r="F667" s="76" t="s">
        <v>3261</v>
      </c>
      <c r="G667" s="76" t="s">
        <v>2372</v>
      </c>
      <c r="H667" s="76">
        <v>28</v>
      </c>
      <c r="I667" s="76" t="s">
        <v>2592</v>
      </c>
      <c r="J667" s="80">
        <v>3090000</v>
      </c>
      <c r="K667" s="86"/>
      <c r="L667" s="80">
        <f t="shared" si="25"/>
        <v>3090000</v>
      </c>
      <c r="M667" s="80"/>
      <c r="N667" s="81">
        <f t="shared" si="26"/>
        <v>3090000</v>
      </c>
    </row>
    <row r="668" spans="2:14">
      <c r="B668" s="76" t="s">
        <v>3267</v>
      </c>
      <c r="C668" s="76" t="s">
        <v>3124</v>
      </c>
      <c r="D668" s="76" t="s">
        <v>205</v>
      </c>
      <c r="E668" s="76" t="s">
        <v>2544</v>
      </c>
      <c r="F668" s="76" t="s">
        <v>3261</v>
      </c>
      <c r="G668" s="76" t="s">
        <v>2597</v>
      </c>
      <c r="H668" s="76">
        <v>28</v>
      </c>
      <c r="I668" s="76" t="s">
        <v>2592</v>
      </c>
      <c r="J668" s="80">
        <v>3235000</v>
      </c>
      <c r="K668" s="86"/>
      <c r="L668" s="80">
        <f t="shared" si="25"/>
        <v>3235000</v>
      </c>
      <c r="M668" s="80"/>
      <c r="N668" s="81">
        <f t="shared" si="26"/>
        <v>3235000</v>
      </c>
    </row>
    <row r="669" spans="2:14">
      <c r="B669" s="76" t="s">
        <v>3268</v>
      </c>
      <c r="C669" s="76" t="s">
        <v>3124</v>
      </c>
      <c r="D669" s="76" t="s">
        <v>205</v>
      </c>
      <c r="E669" s="76" t="s">
        <v>2544</v>
      </c>
      <c r="F669" s="76" t="s">
        <v>3261</v>
      </c>
      <c r="G669" s="76" t="s">
        <v>2599</v>
      </c>
      <c r="H669" s="76">
        <v>28</v>
      </c>
      <c r="I669" s="76" t="s">
        <v>2592</v>
      </c>
      <c r="J669" s="80">
        <v>3235000</v>
      </c>
      <c r="K669" s="86"/>
      <c r="L669" s="80">
        <f t="shared" si="25"/>
        <v>3235000</v>
      </c>
      <c r="M669" s="80"/>
      <c r="N669" s="81">
        <f t="shared" si="26"/>
        <v>3235000</v>
      </c>
    </row>
    <row r="670" spans="2:14">
      <c r="B670" s="76" t="s">
        <v>3269</v>
      </c>
      <c r="C670" s="76" t="s">
        <v>3124</v>
      </c>
      <c r="D670" s="76" t="s">
        <v>205</v>
      </c>
      <c r="E670" s="76" t="s">
        <v>2544</v>
      </c>
      <c r="F670" s="76" t="s">
        <v>3261</v>
      </c>
      <c r="G670" s="76" t="s">
        <v>2601</v>
      </c>
      <c r="H670" s="76">
        <v>28</v>
      </c>
      <c r="I670" s="76" t="s">
        <v>2592</v>
      </c>
      <c r="J670" s="80">
        <v>3250000</v>
      </c>
      <c r="K670" s="86"/>
      <c r="L670" s="80">
        <f t="shared" si="25"/>
        <v>3250000</v>
      </c>
      <c r="M670" s="80"/>
      <c r="N670" s="81">
        <f t="shared" si="26"/>
        <v>3250000</v>
      </c>
    </row>
    <row r="671" spans="2:14">
      <c r="B671" s="76" t="s">
        <v>3270</v>
      </c>
      <c r="C671" s="76" t="s">
        <v>3124</v>
      </c>
      <c r="D671" s="76" t="s">
        <v>205</v>
      </c>
      <c r="E671" s="76" t="s">
        <v>2544</v>
      </c>
      <c r="F671" s="76" t="s">
        <v>3261</v>
      </c>
      <c r="G671" s="76" t="s">
        <v>2603</v>
      </c>
      <c r="H671" s="76">
        <v>28</v>
      </c>
      <c r="I671" s="76" t="s">
        <v>2592</v>
      </c>
      <c r="J671" s="80">
        <v>3090000</v>
      </c>
      <c r="K671" s="86"/>
      <c r="L671" s="80">
        <f t="shared" si="25"/>
        <v>3090000</v>
      </c>
      <c r="M671" s="80"/>
      <c r="N671" s="81">
        <f t="shared" si="26"/>
        <v>3090000</v>
      </c>
    </row>
    <row r="672" spans="2:14">
      <c r="B672" s="76" t="s">
        <v>3271</v>
      </c>
      <c r="C672" s="76" t="s">
        <v>3124</v>
      </c>
      <c r="D672" s="76" t="s">
        <v>205</v>
      </c>
      <c r="E672" s="76" t="s">
        <v>2544</v>
      </c>
      <c r="F672" s="76" t="s">
        <v>3261</v>
      </c>
      <c r="G672" s="76" t="s">
        <v>2605</v>
      </c>
      <c r="H672" s="76">
        <v>28</v>
      </c>
      <c r="I672" s="76" t="s">
        <v>2592</v>
      </c>
      <c r="J672" s="80">
        <v>3090000</v>
      </c>
      <c r="K672" s="86"/>
      <c r="L672" s="80">
        <f t="shared" si="25"/>
        <v>3090000</v>
      </c>
      <c r="M672" s="80"/>
      <c r="N672" s="81">
        <f t="shared" si="26"/>
        <v>3090000</v>
      </c>
    </row>
    <row r="673" spans="2:14">
      <c r="B673" s="76" t="s">
        <v>3272</v>
      </c>
      <c r="C673" s="76" t="s">
        <v>3124</v>
      </c>
      <c r="D673" s="76" t="s">
        <v>205</v>
      </c>
      <c r="E673" s="76" t="s">
        <v>2544</v>
      </c>
      <c r="F673" s="76" t="s">
        <v>3261</v>
      </c>
      <c r="G673" s="76" t="s">
        <v>2607</v>
      </c>
      <c r="H673" s="76">
        <v>28</v>
      </c>
      <c r="I673" s="76" t="s">
        <v>2592</v>
      </c>
      <c r="J673" s="80">
        <v>3090000</v>
      </c>
      <c r="K673" s="86"/>
      <c r="L673" s="80">
        <f t="shared" si="25"/>
        <v>3090000</v>
      </c>
      <c r="M673" s="80"/>
      <c r="N673" s="81">
        <f t="shared" si="26"/>
        <v>3090000</v>
      </c>
    </row>
    <row r="674" spans="2:14">
      <c r="B674" s="76" t="s">
        <v>3273</v>
      </c>
      <c r="C674" s="76" t="s">
        <v>3124</v>
      </c>
      <c r="D674" s="76" t="s">
        <v>205</v>
      </c>
      <c r="E674" s="76" t="s">
        <v>2544</v>
      </c>
      <c r="F674" s="76" t="s">
        <v>3261</v>
      </c>
      <c r="G674" s="76" t="s">
        <v>2609</v>
      </c>
      <c r="H674" s="76">
        <v>31</v>
      </c>
      <c r="I674" s="76" t="s">
        <v>2989</v>
      </c>
      <c r="J674" s="80">
        <v>3434000</v>
      </c>
      <c r="K674" s="86"/>
      <c r="L674" s="80">
        <f t="shared" si="25"/>
        <v>3434000</v>
      </c>
      <c r="M674" s="80"/>
      <c r="N674" s="81">
        <f t="shared" si="26"/>
        <v>3434000</v>
      </c>
    </row>
    <row r="675" spans="2:14">
      <c r="B675" s="76" t="s">
        <v>3274</v>
      </c>
      <c r="C675" s="76" t="s">
        <v>3124</v>
      </c>
      <c r="D675" s="76" t="s">
        <v>205</v>
      </c>
      <c r="E675" s="76" t="s">
        <v>2544</v>
      </c>
      <c r="F675" s="76" t="s">
        <v>3261</v>
      </c>
      <c r="G675" s="76" t="s">
        <v>2611</v>
      </c>
      <c r="H675" s="76">
        <v>31</v>
      </c>
      <c r="I675" s="76" t="s">
        <v>2989</v>
      </c>
      <c r="J675" s="80">
        <v>3449000</v>
      </c>
      <c r="K675" s="86"/>
      <c r="L675" s="80">
        <f t="shared" si="25"/>
        <v>3449000</v>
      </c>
      <c r="M675" s="80"/>
      <c r="N675" s="81">
        <f t="shared" si="26"/>
        <v>3449000</v>
      </c>
    </row>
    <row r="676" spans="2:14">
      <c r="B676" s="76" t="s">
        <v>3275</v>
      </c>
      <c r="C676" s="76" t="s">
        <v>3124</v>
      </c>
      <c r="D676" s="76" t="s">
        <v>2413</v>
      </c>
      <c r="E676" s="76" t="s">
        <v>2544</v>
      </c>
      <c r="F676" s="76" t="s">
        <v>3261</v>
      </c>
      <c r="G676" s="76" t="s">
        <v>2613</v>
      </c>
      <c r="H676" s="76">
        <v>28</v>
      </c>
      <c r="I676" s="76" t="s">
        <v>2592</v>
      </c>
      <c r="J676" s="80">
        <v>3235000</v>
      </c>
      <c r="K676" s="86"/>
      <c r="L676" s="80">
        <f t="shared" si="25"/>
        <v>3235000</v>
      </c>
      <c r="M676" s="80"/>
      <c r="N676" s="81">
        <f t="shared" si="26"/>
        <v>3235000</v>
      </c>
    </row>
    <row r="677" spans="2:14">
      <c r="B677" s="76" t="s">
        <v>3276</v>
      </c>
      <c r="C677" s="76" t="s">
        <v>3124</v>
      </c>
      <c r="D677" s="76" t="s">
        <v>205</v>
      </c>
      <c r="E677" s="76" t="s">
        <v>2544</v>
      </c>
      <c r="F677" s="76" t="s">
        <v>3261</v>
      </c>
      <c r="G677" s="76" t="s">
        <v>2615</v>
      </c>
      <c r="H677" s="76">
        <v>28</v>
      </c>
      <c r="I677" s="76" t="s">
        <v>2592</v>
      </c>
      <c r="J677" s="80">
        <v>3090000</v>
      </c>
      <c r="K677" s="86"/>
      <c r="L677" s="80">
        <f t="shared" si="25"/>
        <v>3090000</v>
      </c>
      <c r="M677" s="80"/>
      <c r="N677" s="81">
        <f t="shared" si="26"/>
        <v>3090000</v>
      </c>
    </row>
    <row r="678" spans="2:14">
      <c r="B678" s="76" t="s">
        <v>3277</v>
      </c>
      <c r="C678" s="76" t="s">
        <v>3124</v>
      </c>
      <c r="D678" s="76" t="s">
        <v>233</v>
      </c>
      <c r="E678" s="76" t="s">
        <v>2544</v>
      </c>
      <c r="F678" s="76" t="s">
        <v>3261</v>
      </c>
      <c r="G678" s="76" t="s">
        <v>2617</v>
      </c>
      <c r="H678" s="76">
        <v>28</v>
      </c>
      <c r="I678" s="76" t="s">
        <v>2592</v>
      </c>
      <c r="J678" s="80">
        <v>3200000</v>
      </c>
      <c r="K678" s="86"/>
      <c r="L678" s="80">
        <f t="shared" si="25"/>
        <v>3200000</v>
      </c>
      <c r="M678" s="80"/>
      <c r="N678" s="81">
        <f t="shared" si="26"/>
        <v>3200000</v>
      </c>
    </row>
    <row r="679" spans="2:14">
      <c r="B679" s="76" t="s">
        <v>3278</v>
      </c>
      <c r="C679" s="76" t="s">
        <v>3124</v>
      </c>
      <c r="D679" s="76" t="s">
        <v>205</v>
      </c>
      <c r="E679" s="76" t="s">
        <v>2544</v>
      </c>
      <c r="F679" s="76" t="s">
        <v>3261</v>
      </c>
      <c r="G679" s="76" t="s">
        <v>2619</v>
      </c>
      <c r="H679" s="76">
        <v>28</v>
      </c>
      <c r="I679" s="76" t="s">
        <v>2592</v>
      </c>
      <c r="J679" s="80">
        <v>3235000</v>
      </c>
      <c r="K679" s="86"/>
      <c r="L679" s="80">
        <f t="shared" si="25"/>
        <v>3235000</v>
      </c>
      <c r="M679" s="80"/>
      <c r="N679" s="81">
        <f t="shared" si="26"/>
        <v>3235000</v>
      </c>
    </row>
    <row r="680" spans="2:14">
      <c r="B680" s="76" t="s">
        <v>3279</v>
      </c>
      <c r="C680" s="76" t="s">
        <v>3124</v>
      </c>
      <c r="D680" s="76" t="s">
        <v>205</v>
      </c>
      <c r="E680" s="76" t="s">
        <v>2544</v>
      </c>
      <c r="F680" s="76" t="s">
        <v>3261</v>
      </c>
      <c r="G680" s="76" t="s">
        <v>2621</v>
      </c>
      <c r="H680" s="76">
        <v>28</v>
      </c>
      <c r="I680" s="76" t="s">
        <v>2592</v>
      </c>
      <c r="J680" s="80">
        <v>3090000</v>
      </c>
      <c r="K680" s="86"/>
      <c r="L680" s="80">
        <f t="shared" si="25"/>
        <v>3090000</v>
      </c>
      <c r="M680" s="80"/>
      <c r="N680" s="81">
        <f t="shared" si="26"/>
        <v>3090000</v>
      </c>
    </row>
    <row r="681" spans="2:14">
      <c r="B681" s="76" t="s">
        <v>3280</v>
      </c>
      <c r="C681" s="76" t="s">
        <v>3124</v>
      </c>
      <c r="D681" s="76" t="s">
        <v>205</v>
      </c>
      <c r="E681" s="76" t="s">
        <v>2544</v>
      </c>
      <c r="F681" s="76" t="s">
        <v>3261</v>
      </c>
      <c r="G681" s="76" t="s">
        <v>2623</v>
      </c>
      <c r="H681" s="76">
        <v>28</v>
      </c>
      <c r="I681" s="76" t="s">
        <v>2592</v>
      </c>
      <c r="J681" s="80">
        <v>3090000</v>
      </c>
      <c r="K681" s="86"/>
      <c r="L681" s="80">
        <f t="shared" si="25"/>
        <v>3090000</v>
      </c>
      <c r="M681" s="80"/>
      <c r="N681" s="81">
        <f t="shared" si="26"/>
        <v>3090000</v>
      </c>
    </row>
    <row r="682" spans="2:14">
      <c r="B682" s="84" t="s">
        <v>3281</v>
      </c>
      <c r="C682" s="84" t="s">
        <v>3124</v>
      </c>
      <c r="D682" s="76" t="s">
        <v>205</v>
      </c>
      <c r="E682" s="84" t="s">
        <v>2544</v>
      </c>
      <c r="F682" s="84" t="s">
        <v>3261</v>
      </c>
      <c r="G682" s="84" t="s">
        <v>2625</v>
      </c>
      <c r="H682" s="84">
        <v>28</v>
      </c>
      <c r="I682" s="84" t="s">
        <v>2592</v>
      </c>
      <c r="J682" s="85">
        <v>3200000</v>
      </c>
      <c r="K682" s="86"/>
      <c r="L682" s="80">
        <f t="shared" si="25"/>
        <v>3200000</v>
      </c>
      <c r="M682" s="85"/>
      <c r="N682" s="81">
        <f t="shared" si="26"/>
        <v>3200000</v>
      </c>
    </row>
    <row r="683" spans="2:14">
      <c r="B683" s="76" t="s">
        <v>3282</v>
      </c>
      <c r="C683" s="76" t="s">
        <v>3124</v>
      </c>
      <c r="D683" s="76" t="s">
        <v>205</v>
      </c>
      <c r="E683" s="76" t="s">
        <v>2544</v>
      </c>
      <c r="F683" s="76" t="s">
        <v>3261</v>
      </c>
      <c r="G683" s="76" t="s">
        <v>2627</v>
      </c>
      <c r="H683" s="76">
        <v>28</v>
      </c>
      <c r="I683" s="76" t="s">
        <v>2592</v>
      </c>
      <c r="J683" s="80">
        <v>3090000</v>
      </c>
      <c r="K683" s="86"/>
      <c r="L683" s="80">
        <f t="shared" si="25"/>
        <v>3090000</v>
      </c>
      <c r="M683" s="80"/>
      <c r="N683" s="81">
        <f t="shared" si="26"/>
        <v>3090000</v>
      </c>
    </row>
    <row r="684" spans="2:14">
      <c r="B684" s="76" t="s">
        <v>3283</v>
      </c>
      <c r="C684" s="76" t="s">
        <v>3124</v>
      </c>
      <c r="D684" s="76" t="s">
        <v>205</v>
      </c>
      <c r="E684" s="76" t="s">
        <v>2544</v>
      </c>
      <c r="F684" s="76" t="s">
        <v>3261</v>
      </c>
      <c r="G684" s="76" t="s">
        <v>2629</v>
      </c>
      <c r="H684" s="76">
        <v>28</v>
      </c>
      <c r="I684" s="76" t="s">
        <v>2592</v>
      </c>
      <c r="J684" s="80">
        <v>2620000</v>
      </c>
      <c r="K684" s="86"/>
      <c r="L684" s="80">
        <f t="shared" si="25"/>
        <v>2620000</v>
      </c>
      <c r="M684" s="80"/>
      <c r="N684" s="81">
        <f t="shared" si="26"/>
        <v>2620000</v>
      </c>
    </row>
    <row r="685" spans="2:14">
      <c r="B685" s="76" t="s">
        <v>3284</v>
      </c>
      <c r="C685" s="76" t="s">
        <v>3124</v>
      </c>
      <c r="D685" s="76" t="s">
        <v>205</v>
      </c>
      <c r="E685" s="76" t="s">
        <v>2544</v>
      </c>
      <c r="F685" s="76" t="s">
        <v>3261</v>
      </c>
      <c r="G685" s="76" t="s">
        <v>2631</v>
      </c>
      <c r="H685" s="76">
        <v>28</v>
      </c>
      <c r="I685" s="76" t="s">
        <v>2592</v>
      </c>
      <c r="J685" s="80">
        <v>3235000</v>
      </c>
      <c r="K685" s="86"/>
      <c r="L685" s="80">
        <f t="shared" si="25"/>
        <v>3235000</v>
      </c>
      <c r="M685" s="80"/>
      <c r="N685" s="81">
        <f t="shared" si="26"/>
        <v>3235000</v>
      </c>
    </row>
    <row r="686" spans="2:14">
      <c r="B686" s="76" t="s">
        <v>3285</v>
      </c>
      <c r="C686" s="76" t="s">
        <v>3124</v>
      </c>
      <c r="D686" s="76" t="s">
        <v>205</v>
      </c>
      <c r="E686" s="76" t="s">
        <v>2544</v>
      </c>
      <c r="F686" s="76" t="s">
        <v>3261</v>
      </c>
      <c r="G686" s="76" t="s">
        <v>3150</v>
      </c>
      <c r="H686" s="76">
        <v>28</v>
      </c>
      <c r="I686" s="76" t="s">
        <v>2592</v>
      </c>
      <c r="J686" s="80">
        <v>3090000</v>
      </c>
      <c r="K686" s="86"/>
      <c r="L686" s="80">
        <f t="shared" si="25"/>
        <v>3090000</v>
      </c>
      <c r="M686" s="80"/>
      <c r="N686" s="81">
        <f t="shared" si="26"/>
        <v>3090000</v>
      </c>
    </row>
    <row r="687" spans="2:14">
      <c r="B687" s="76" t="s">
        <v>3286</v>
      </c>
      <c r="C687" s="76" t="s">
        <v>3124</v>
      </c>
      <c r="D687" s="76" t="s">
        <v>205</v>
      </c>
      <c r="E687" s="76" t="s">
        <v>2544</v>
      </c>
      <c r="F687" s="76" t="s">
        <v>3261</v>
      </c>
      <c r="G687" s="76" t="s">
        <v>3152</v>
      </c>
      <c r="H687" s="76">
        <v>31</v>
      </c>
      <c r="I687" s="76" t="s">
        <v>2989</v>
      </c>
      <c r="J687" s="80">
        <v>3434000</v>
      </c>
      <c r="K687" s="86"/>
      <c r="L687" s="80">
        <f t="shared" si="25"/>
        <v>3434000</v>
      </c>
      <c r="M687" s="80"/>
      <c r="N687" s="81">
        <f t="shared" si="26"/>
        <v>3434000</v>
      </c>
    </row>
    <row r="688" spans="2:14">
      <c r="B688" s="76" t="s">
        <v>3287</v>
      </c>
      <c r="C688" s="76" t="s">
        <v>3124</v>
      </c>
      <c r="D688" s="76" t="s">
        <v>205</v>
      </c>
      <c r="E688" s="76" t="s">
        <v>3288</v>
      </c>
      <c r="F688" s="76" t="s">
        <v>3289</v>
      </c>
      <c r="G688" s="76" t="s">
        <v>2365</v>
      </c>
      <c r="H688" s="76">
        <v>44</v>
      </c>
      <c r="I688" s="76" t="s">
        <v>2684</v>
      </c>
      <c r="J688" s="80">
        <v>4525000</v>
      </c>
      <c r="K688" s="86"/>
      <c r="L688" s="80">
        <f t="shared" si="25"/>
        <v>4525000</v>
      </c>
      <c r="M688" s="80">
        <v>439098.21428571426</v>
      </c>
      <c r="N688" s="81">
        <f t="shared" si="26"/>
        <v>4085901.7857142859</v>
      </c>
    </row>
    <row r="689" spans="2:14">
      <c r="B689" s="76" t="s">
        <v>3290</v>
      </c>
      <c r="C689" s="76" t="s">
        <v>3124</v>
      </c>
      <c r="D689" s="76" t="s">
        <v>205</v>
      </c>
      <c r="E689" s="76" t="s">
        <v>3288</v>
      </c>
      <c r="F689" s="76" t="s">
        <v>3289</v>
      </c>
      <c r="G689" s="76" t="s">
        <v>2368</v>
      </c>
      <c r="H689" s="76">
        <v>40</v>
      </c>
      <c r="I689" s="76" t="s">
        <v>2767</v>
      </c>
      <c r="J689" s="80">
        <v>4400000</v>
      </c>
      <c r="K689" s="86"/>
      <c r="L689" s="80">
        <f t="shared" si="25"/>
        <v>4400000</v>
      </c>
      <c r="M689" s="80">
        <v>0</v>
      </c>
      <c r="N689" s="81">
        <f t="shared" si="26"/>
        <v>4400000</v>
      </c>
    </row>
    <row r="690" spans="2:14">
      <c r="B690" s="76" t="s">
        <v>3291</v>
      </c>
      <c r="C690" s="76" t="s">
        <v>3124</v>
      </c>
      <c r="D690" s="76" t="s">
        <v>972</v>
      </c>
      <c r="E690" s="76" t="s">
        <v>3288</v>
      </c>
      <c r="F690" s="76" t="s">
        <v>3289</v>
      </c>
      <c r="G690" s="76" t="s">
        <v>2377</v>
      </c>
      <c r="H690" s="76">
        <v>40</v>
      </c>
      <c r="I690" s="76" t="s">
        <v>2767</v>
      </c>
      <c r="J690" s="80">
        <v>4400000</v>
      </c>
      <c r="K690" s="86"/>
      <c r="L690" s="80">
        <f t="shared" si="25"/>
        <v>4400000</v>
      </c>
      <c r="M690" s="80">
        <v>427500</v>
      </c>
      <c r="N690" s="81">
        <f t="shared" si="26"/>
        <v>3972500</v>
      </c>
    </row>
    <row r="691" spans="2:14">
      <c r="B691" s="84" t="s">
        <v>3292</v>
      </c>
      <c r="C691" s="84" t="s">
        <v>3124</v>
      </c>
      <c r="D691" s="76" t="s">
        <v>205</v>
      </c>
      <c r="E691" s="84" t="s">
        <v>3288</v>
      </c>
      <c r="F691" s="84" t="s">
        <v>3289</v>
      </c>
      <c r="G691" s="84" t="s">
        <v>2379</v>
      </c>
      <c r="H691" s="84">
        <v>40</v>
      </c>
      <c r="I691" s="84" t="s">
        <v>2767</v>
      </c>
      <c r="J691" s="85">
        <v>4494000</v>
      </c>
      <c r="K691" s="86"/>
      <c r="L691" s="80">
        <f t="shared" si="25"/>
        <v>4494000</v>
      </c>
      <c r="M691" s="85">
        <v>0</v>
      </c>
      <c r="N691" s="81">
        <f t="shared" si="26"/>
        <v>4494000</v>
      </c>
    </row>
    <row r="692" spans="2:14">
      <c r="B692" s="84" t="s">
        <v>3293</v>
      </c>
      <c r="C692" s="84" t="s">
        <v>3124</v>
      </c>
      <c r="D692" s="76" t="s">
        <v>205</v>
      </c>
      <c r="E692" s="84" t="s">
        <v>3288</v>
      </c>
      <c r="F692" s="84" t="s">
        <v>3289</v>
      </c>
      <c r="G692" s="84" t="s">
        <v>2370</v>
      </c>
      <c r="H692" s="84">
        <v>40</v>
      </c>
      <c r="I692" s="84" t="s">
        <v>2767</v>
      </c>
      <c r="J692" s="85">
        <v>4494000</v>
      </c>
      <c r="K692" s="86"/>
      <c r="L692" s="80">
        <f t="shared" si="25"/>
        <v>4494000</v>
      </c>
      <c r="M692" s="85">
        <v>0</v>
      </c>
      <c r="N692" s="81">
        <f t="shared" si="26"/>
        <v>4494000</v>
      </c>
    </row>
    <row r="693" spans="2:14">
      <c r="B693" s="76" t="s">
        <v>3294</v>
      </c>
      <c r="C693" s="76" t="s">
        <v>3124</v>
      </c>
      <c r="D693" s="76" t="s">
        <v>205</v>
      </c>
      <c r="E693" s="76" t="s">
        <v>3288</v>
      </c>
      <c r="F693" s="76" t="s">
        <v>3289</v>
      </c>
      <c r="G693" s="76" t="s">
        <v>2372</v>
      </c>
      <c r="H693" s="76">
        <v>40</v>
      </c>
      <c r="I693" s="76" t="s">
        <v>2767</v>
      </c>
      <c r="J693" s="80">
        <v>4494000</v>
      </c>
      <c r="K693" s="86"/>
      <c r="L693" s="80">
        <f t="shared" si="25"/>
        <v>4494000</v>
      </c>
      <c r="M693" s="80">
        <v>0</v>
      </c>
      <c r="N693" s="81">
        <f t="shared" si="26"/>
        <v>4494000</v>
      </c>
    </row>
    <row r="694" spans="2:14">
      <c r="B694" s="76" t="s">
        <v>3295</v>
      </c>
      <c r="C694" s="76" t="s">
        <v>3124</v>
      </c>
      <c r="D694" s="76" t="s">
        <v>205</v>
      </c>
      <c r="E694" s="76" t="s">
        <v>3288</v>
      </c>
      <c r="F694" s="76" t="s">
        <v>3289</v>
      </c>
      <c r="G694" s="76" t="s">
        <v>2597</v>
      </c>
      <c r="H694" s="76">
        <v>40</v>
      </c>
      <c r="I694" s="76" t="s">
        <v>2767</v>
      </c>
      <c r="J694" s="80">
        <v>4400000</v>
      </c>
      <c r="K694" s="86"/>
      <c r="L694" s="80">
        <f t="shared" si="25"/>
        <v>4400000</v>
      </c>
      <c r="M694" s="80">
        <v>0</v>
      </c>
      <c r="N694" s="81">
        <f t="shared" si="26"/>
        <v>4400000</v>
      </c>
    </row>
    <row r="695" spans="2:14">
      <c r="B695" s="76" t="s">
        <v>3296</v>
      </c>
      <c r="C695" s="76" t="s">
        <v>3124</v>
      </c>
      <c r="D695" s="76" t="s">
        <v>205</v>
      </c>
      <c r="E695" s="76" t="s">
        <v>3288</v>
      </c>
      <c r="F695" s="76" t="s">
        <v>3289</v>
      </c>
      <c r="G695" s="76" t="s">
        <v>2599</v>
      </c>
      <c r="H695" s="76">
        <v>40</v>
      </c>
      <c r="I695" s="76" t="s">
        <v>2767</v>
      </c>
      <c r="J695" s="80">
        <v>4400000</v>
      </c>
      <c r="K695" s="86"/>
      <c r="L695" s="80">
        <f t="shared" si="25"/>
        <v>4400000</v>
      </c>
      <c r="M695" s="80">
        <v>0</v>
      </c>
      <c r="N695" s="81">
        <f t="shared" si="26"/>
        <v>4400000</v>
      </c>
    </row>
    <row r="696" spans="2:14">
      <c r="B696" s="76" t="s">
        <v>3297</v>
      </c>
      <c r="C696" s="76" t="s">
        <v>3124</v>
      </c>
      <c r="D696" s="76" t="s">
        <v>205</v>
      </c>
      <c r="E696" s="76" t="s">
        <v>3288</v>
      </c>
      <c r="F696" s="76" t="s">
        <v>3289</v>
      </c>
      <c r="G696" s="76" t="s">
        <v>2601</v>
      </c>
      <c r="H696" s="76">
        <v>44</v>
      </c>
      <c r="I696" s="76" t="s">
        <v>2684</v>
      </c>
      <c r="J696" s="80">
        <v>4914000</v>
      </c>
      <c r="K696" s="86"/>
      <c r="L696" s="80">
        <f t="shared" si="25"/>
        <v>4914000</v>
      </c>
      <c r="M696" s="80">
        <v>0</v>
      </c>
      <c r="N696" s="81">
        <f t="shared" si="26"/>
        <v>4914000</v>
      </c>
    </row>
    <row r="697" spans="2:14">
      <c r="B697" s="76" t="s">
        <v>3298</v>
      </c>
      <c r="C697" s="76" t="s">
        <v>3124</v>
      </c>
      <c r="D697" s="76" t="s">
        <v>205</v>
      </c>
      <c r="E697" s="76" t="s">
        <v>3288</v>
      </c>
      <c r="F697" s="76" t="s">
        <v>3289</v>
      </c>
      <c r="G697" s="76" t="s">
        <v>2603</v>
      </c>
      <c r="H697" s="76">
        <v>44</v>
      </c>
      <c r="I697" s="76" t="s">
        <v>2684</v>
      </c>
      <c r="J697" s="80">
        <v>4914000</v>
      </c>
      <c r="K697" s="86"/>
      <c r="L697" s="80">
        <f t="shared" si="25"/>
        <v>4914000</v>
      </c>
      <c r="M697" s="80">
        <v>500174.99999999994</v>
      </c>
      <c r="N697" s="81">
        <f t="shared" si="26"/>
        <v>4413825</v>
      </c>
    </row>
    <row r="698" spans="2:14">
      <c r="B698" s="76" t="s">
        <v>3299</v>
      </c>
      <c r="C698" s="76" t="s">
        <v>3124</v>
      </c>
      <c r="D698" s="76" t="s">
        <v>205</v>
      </c>
      <c r="E698" s="76" t="s">
        <v>3288</v>
      </c>
      <c r="F698" s="76" t="s">
        <v>3289</v>
      </c>
      <c r="G698" s="76" t="s">
        <v>2605</v>
      </c>
      <c r="H698" s="76">
        <v>40</v>
      </c>
      <c r="I698" s="76" t="s">
        <v>2767</v>
      </c>
      <c r="J698" s="80">
        <v>4400000</v>
      </c>
      <c r="K698" s="86"/>
      <c r="L698" s="80">
        <f t="shared" si="25"/>
        <v>4400000</v>
      </c>
      <c r="M698" s="80">
        <v>0</v>
      </c>
      <c r="N698" s="81">
        <f t="shared" si="26"/>
        <v>4400000</v>
      </c>
    </row>
    <row r="699" spans="2:14">
      <c r="B699" s="76" t="s">
        <v>3300</v>
      </c>
      <c r="C699" s="76" t="s">
        <v>3124</v>
      </c>
      <c r="D699" s="76" t="s">
        <v>205</v>
      </c>
      <c r="E699" s="76" t="s">
        <v>3288</v>
      </c>
      <c r="F699" s="76" t="s">
        <v>3289</v>
      </c>
      <c r="G699" s="76" t="s">
        <v>2607</v>
      </c>
      <c r="H699" s="76">
        <v>40</v>
      </c>
      <c r="I699" s="76" t="s">
        <v>2767</v>
      </c>
      <c r="J699" s="80">
        <v>4400000</v>
      </c>
      <c r="K699" s="86"/>
      <c r="L699" s="80">
        <f t="shared" si="25"/>
        <v>4400000</v>
      </c>
      <c r="M699" s="80">
        <v>0</v>
      </c>
      <c r="N699" s="81">
        <f t="shared" si="26"/>
        <v>4400000</v>
      </c>
    </row>
    <row r="700" spans="2:14">
      <c r="B700" s="76" t="s">
        <v>3301</v>
      </c>
      <c r="C700" s="76" t="s">
        <v>3124</v>
      </c>
      <c r="D700" s="76" t="s">
        <v>205</v>
      </c>
      <c r="E700" s="76" t="s">
        <v>3288</v>
      </c>
      <c r="F700" s="76" t="s">
        <v>3289</v>
      </c>
      <c r="G700" s="76" t="s">
        <v>2609</v>
      </c>
      <c r="H700" s="76">
        <v>40</v>
      </c>
      <c r="I700" s="76" t="s">
        <v>2767</v>
      </c>
      <c r="J700" s="80">
        <v>4494000</v>
      </c>
      <c r="K700" s="86"/>
      <c r="L700" s="80">
        <f t="shared" si="25"/>
        <v>4494000</v>
      </c>
      <c r="M700" s="80">
        <v>460071.42857142846</v>
      </c>
      <c r="N700" s="81">
        <f t="shared" si="26"/>
        <v>4033928.5714285714</v>
      </c>
    </row>
    <row r="701" spans="2:14">
      <c r="B701" s="76" t="s">
        <v>3302</v>
      </c>
      <c r="C701" s="76" t="s">
        <v>3124</v>
      </c>
      <c r="D701" s="76" t="s">
        <v>205</v>
      </c>
      <c r="E701" s="76" t="s">
        <v>3288</v>
      </c>
      <c r="F701" s="76" t="s">
        <v>3289</v>
      </c>
      <c r="G701" s="76" t="s">
        <v>2611</v>
      </c>
      <c r="H701" s="76">
        <v>40</v>
      </c>
      <c r="I701" s="76" t="s">
        <v>2767</v>
      </c>
      <c r="J701" s="80">
        <v>4298990</v>
      </c>
      <c r="K701" s="86"/>
      <c r="L701" s="80">
        <f t="shared" si="25"/>
        <v>4298990</v>
      </c>
      <c r="M701" s="80"/>
      <c r="N701" s="81">
        <f t="shared" si="26"/>
        <v>4298990</v>
      </c>
    </row>
    <row r="702" spans="2:14">
      <c r="B702" s="76" t="s">
        <v>3303</v>
      </c>
      <c r="C702" s="76" t="s">
        <v>3124</v>
      </c>
      <c r="D702" s="76" t="s">
        <v>205</v>
      </c>
      <c r="E702" s="76" t="s">
        <v>3288</v>
      </c>
      <c r="F702" s="76" t="s">
        <v>3289</v>
      </c>
      <c r="G702" s="76" t="s">
        <v>2613</v>
      </c>
      <c r="H702" s="76">
        <v>40</v>
      </c>
      <c r="I702" s="76" t="s">
        <v>2767</v>
      </c>
      <c r="J702" s="80">
        <v>4400000</v>
      </c>
      <c r="K702" s="86"/>
      <c r="L702" s="80">
        <f t="shared" si="25"/>
        <v>4400000</v>
      </c>
      <c r="M702" s="80">
        <v>427500</v>
      </c>
      <c r="N702" s="81">
        <f t="shared" si="26"/>
        <v>3972500</v>
      </c>
    </row>
    <row r="703" spans="2:14">
      <c r="B703" s="76" t="s">
        <v>3304</v>
      </c>
      <c r="C703" s="76" t="s">
        <v>3124</v>
      </c>
      <c r="D703" s="76" t="s">
        <v>205</v>
      </c>
      <c r="E703" s="76" t="s">
        <v>3288</v>
      </c>
      <c r="F703" s="76" t="s">
        <v>3289</v>
      </c>
      <c r="G703" s="76" t="s">
        <v>2615</v>
      </c>
      <c r="H703" s="76">
        <v>40</v>
      </c>
      <c r="I703" s="76" t="s">
        <v>2767</v>
      </c>
      <c r="J703" s="80">
        <v>3600000</v>
      </c>
      <c r="K703" s="86"/>
      <c r="L703" s="80">
        <f t="shared" si="25"/>
        <v>3600000</v>
      </c>
      <c r="M703" s="80"/>
      <c r="N703" s="81">
        <f t="shared" si="26"/>
        <v>3600000</v>
      </c>
    </row>
    <row r="704" spans="2:14">
      <c r="B704" s="76" t="s">
        <v>3305</v>
      </c>
      <c r="C704" s="76" t="s">
        <v>3124</v>
      </c>
      <c r="D704" s="76" t="s">
        <v>205</v>
      </c>
      <c r="E704" s="76" t="s">
        <v>3288</v>
      </c>
      <c r="F704" s="76" t="s">
        <v>3289</v>
      </c>
      <c r="G704" s="76" t="s">
        <v>2617</v>
      </c>
      <c r="H704" s="76">
        <v>40</v>
      </c>
      <c r="I704" s="76" t="s">
        <v>2767</v>
      </c>
      <c r="J704" s="80">
        <v>4400000</v>
      </c>
      <c r="K704" s="86"/>
      <c r="L704" s="80">
        <f t="shared" si="25"/>
        <v>4400000</v>
      </c>
      <c r="M704" s="80">
        <v>0</v>
      </c>
      <c r="N704" s="81">
        <f t="shared" si="26"/>
        <v>4400000</v>
      </c>
    </row>
    <row r="705" spans="2:14">
      <c r="B705" s="76" t="s">
        <v>3306</v>
      </c>
      <c r="C705" s="76" t="s">
        <v>3124</v>
      </c>
      <c r="D705" s="76" t="s">
        <v>205</v>
      </c>
      <c r="E705" s="76" t="s">
        <v>3288</v>
      </c>
      <c r="F705" s="76" t="s">
        <v>3289</v>
      </c>
      <c r="G705" s="76" t="s">
        <v>2619</v>
      </c>
      <c r="H705" s="76">
        <v>44</v>
      </c>
      <c r="I705" s="76" t="s">
        <v>2684</v>
      </c>
      <c r="J705" s="80">
        <v>4914000</v>
      </c>
      <c r="K705" s="86"/>
      <c r="L705" s="80">
        <f t="shared" si="25"/>
        <v>4914000</v>
      </c>
      <c r="M705" s="80">
        <v>0</v>
      </c>
      <c r="N705" s="81">
        <f t="shared" si="26"/>
        <v>4914000</v>
      </c>
    </row>
    <row r="706" spans="2:14">
      <c r="B706" s="76" t="s">
        <v>3307</v>
      </c>
      <c r="C706" s="76" t="s">
        <v>3124</v>
      </c>
      <c r="D706" s="76" t="s">
        <v>205</v>
      </c>
      <c r="E706" s="76" t="s">
        <v>3288</v>
      </c>
      <c r="F706" s="76" t="s">
        <v>3308</v>
      </c>
      <c r="G706" s="76" t="s">
        <v>2365</v>
      </c>
      <c r="H706" s="76">
        <v>44</v>
      </c>
      <c r="I706" s="76" t="s">
        <v>2684</v>
      </c>
      <c r="J706" s="80">
        <v>4914000</v>
      </c>
      <c r="K706" s="86"/>
      <c r="L706" s="80">
        <f t="shared" si="25"/>
        <v>4914000</v>
      </c>
      <c r="M706" s="80">
        <v>0</v>
      </c>
      <c r="N706" s="81">
        <f t="shared" si="26"/>
        <v>4914000</v>
      </c>
    </row>
    <row r="707" spans="2:14">
      <c r="B707" s="76" t="s">
        <v>3309</v>
      </c>
      <c r="C707" s="76" t="s">
        <v>3124</v>
      </c>
      <c r="D707" s="76" t="s">
        <v>205</v>
      </c>
      <c r="E707" s="76" t="s">
        <v>3288</v>
      </c>
      <c r="F707" s="76" t="s">
        <v>3308</v>
      </c>
      <c r="G707" s="76" t="s">
        <v>2368</v>
      </c>
      <c r="H707" s="76">
        <v>40</v>
      </c>
      <c r="I707" s="76" t="s">
        <v>2767</v>
      </c>
      <c r="J707" s="80">
        <v>4210000</v>
      </c>
      <c r="K707" s="86"/>
      <c r="L707" s="80">
        <f t="shared" si="25"/>
        <v>4210000</v>
      </c>
      <c r="M707" s="80">
        <v>418928.57</v>
      </c>
      <c r="N707" s="81">
        <f t="shared" si="26"/>
        <v>3791071.43</v>
      </c>
    </row>
    <row r="708" spans="2:14">
      <c r="B708" s="76" t="s">
        <v>3310</v>
      </c>
      <c r="C708" s="76" t="s">
        <v>3124</v>
      </c>
      <c r="D708" s="76" t="s">
        <v>205</v>
      </c>
      <c r="E708" s="76" t="s">
        <v>3288</v>
      </c>
      <c r="F708" s="76" t="s">
        <v>3308</v>
      </c>
      <c r="G708" s="76" t="s">
        <v>2377</v>
      </c>
      <c r="H708" s="76">
        <v>40</v>
      </c>
      <c r="I708" s="76" t="s">
        <v>2767</v>
      </c>
      <c r="J708" s="80">
        <v>4400000</v>
      </c>
      <c r="K708" s="86"/>
      <c r="L708" s="80">
        <f t="shared" si="25"/>
        <v>4400000</v>
      </c>
      <c r="M708" s="80">
        <v>0</v>
      </c>
      <c r="N708" s="81">
        <f t="shared" si="26"/>
        <v>4400000</v>
      </c>
    </row>
    <row r="709" spans="2:14">
      <c r="B709" s="76" t="s">
        <v>3311</v>
      </c>
      <c r="C709" s="76" t="s">
        <v>3124</v>
      </c>
      <c r="D709" s="76" t="s">
        <v>205</v>
      </c>
      <c r="E709" s="76" t="s">
        <v>3288</v>
      </c>
      <c r="F709" s="76" t="s">
        <v>3308</v>
      </c>
      <c r="G709" s="76" t="s">
        <v>2379</v>
      </c>
      <c r="H709" s="76">
        <v>40</v>
      </c>
      <c r="I709" s="76" t="s">
        <v>2767</v>
      </c>
      <c r="J709" s="80">
        <v>4400000</v>
      </c>
      <c r="K709" s="86"/>
      <c r="L709" s="80">
        <f t="shared" si="25"/>
        <v>4400000</v>
      </c>
      <c r="M709" s="80">
        <v>0</v>
      </c>
      <c r="N709" s="81">
        <f t="shared" si="26"/>
        <v>4400000</v>
      </c>
    </row>
    <row r="710" spans="2:14">
      <c r="B710" s="84" t="s">
        <v>3312</v>
      </c>
      <c r="C710" s="84" t="s">
        <v>3124</v>
      </c>
      <c r="D710" s="76" t="s">
        <v>233</v>
      </c>
      <c r="E710" s="84" t="s">
        <v>3288</v>
      </c>
      <c r="F710" s="84" t="s">
        <v>3308</v>
      </c>
      <c r="G710" s="84" t="s">
        <v>2370</v>
      </c>
      <c r="H710" s="84">
        <v>40</v>
      </c>
      <c r="I710" s="84" t="s">
        <v>2767</v>
      </c>
      <c r="J710" s="85">
        <v>4494000</v>
      </c>
      <c r="K710" s="86"/>
      <c r="L710" s="80">
        <f t="shared" si="25"/>
        <v>4494000</v>
      </c>
      <c r="M710" s="85">
        <v>0</v>
      </c>
      <c r="N710" s="81">
        <f t="shared" si="26"/>
        <v>4494000</v>
      </c>
    </row>
    <row r="711" spans="2:14">
      <c r="B711" s="76" t="s">
        <v>3313</v>
      </c>
      <c r="C711" s="76" t="s">
        <v>3124</v>
      </c>
      <c r="D711" s="76" t="s">
        <v>205</v>
      </c>
      <c r="E711" s="76" t="s">
        <v>3288</v>
      </c>
      <c r="F711" s="76" t="s">
        <v>3308</v>
      </c>
      <c r="G711" s="76" t="s">
        <v>2372</v>
      </c>
      <c r="H711" s="76">
        <v>40</v>
      </c>
      <c r="I711" s="76" t="s">
        <v>2767</v>
      </c>
      <c r="J711" s="80">
        <v>4494000</v>
      </c>
      <c r="K711" s="86"/>
      <c r="L711" s="80">
        <f t="shared" si="25"/>
        <v>4494000</v>
      </c>
      <c r="M711" s="80">
        <v>460071.43</v>
      </c>
      <c r="N711" s="81">
        <f t="shared" si="26"/>
        <v>4033928.57</v>
      </c>
    </row>
    <row r="712" spans="2:14">
      <c r="B712" s="76" t="s">
        <v>3314</v>
      </c>
      <c r="C712" s="76" t="s">
        <v>3124</v>
      </c>
      <c r="D712" s="76" t="s">
        <v>205</v>
      </c>
      <c r="E712" s="76" t="s">
        <v>3288</v>
      </c>
      <c r="F712" s="76" t="s">
        <v>3308</v>
      </c>
      <c r="G712" s="76" t="s">
        <v>2597</v>
      </c>
      <c r="H712" s="76">
        <v>40</v>
      </c>
      <c r="I712" s="76" t="s">
        <v>2767</v>
      </c>
      <c r="J712" s="80">
        <v>4210000</v>
      </c>
      <c r="K712" s="86"/>
      <c r="L712" s="80">
        <f t="shared" si="25"/>
        <v>4210000</v>
      </c>
      <c r="M712" s="80">
        <v>418928.57142857136</v>
      </c>
      <c r="N712" s="81">
        <f t="shared" si="26"/>
        <v>3791071.4285714286</v>
      </c>
    </row>
    <row r="713" spans="2:14">
      <c r="B713" s="76" t="s">
        <v>3315</v>
      </c>
      <c r="C713" s="76" t="s">
        <v>3124</v>
      </c>
      <c r="D713" s="76" t="s">
        <v>205</v>
      </c>
      <c r="E713" s="76" t="s">
        <v>3288</v>
      </c>
      <c r="F713" s="76" t="s">
        <v>3308</v>
      </c>
      <c r="G713" s="76" t="s">
        <v>2599</v>
      </c>
      <c r="H713" s="76">
        <v>40</v>
      </c>
      <c r="I713" s="76" t="s">
        <v>2767</v>
      </c>
      <c r="J713" s="80">
        <v>4210000</v>
      </c>
      <c r="K713" s="86"/>
      <c r="L713" s="80">
        <f t="shared" si="25"/>
        <v>4210000</v>
      </c>
      <c r="M713" s="80">
        <v>418928.57</v>
      </c>
      <c r="N713" s="81">
        <f t="shared" si="26"/>
        <v>3791071.43</v>
      </c>
    </row>
    <row r="714" spans="2:14">
      <c r="B714" s="76" t="s">
        <v>3316</v>
      </c>
      <c r="C714" s="76" t="s">
        <v>3124</v>
      </c>
      <c r="D714" s="76" t="s">
        <v>205</v>
      </c>
      <c r="E714" s="76" t="s">
        <v>3288</v>
      </c>
      <c r="F714" s="76" t="s">
        <v>3308</v>
      </c>
      <c r="G714" s="76" t="s">
        <v>2601</v>
      </c>
      <c r="H714" s="76">
        <v>44</v>
      </c>
      <c r="I714" s="76" t="s">
        <v>2684</v>
      </c>
      <c r="J714" s="80">
        <v>4500000</v>
      </c>
      <c r="K714" s="86"/>
      <c r="L714" s="80">
        <f t="shared" si="25"/>
        <v>4500000</v>
      </c>
      <c r="M714" s="80">
        <v>474107.14285714278</v>
      </c>
      <c r="N714" s="81">
        <f t="shared" si="26"/>
        <v>4025892.8571428573</v>
      </c>
    </row>
    <row r="715" spans="2:14">
      <c r="B715" s="76" t="s">
        <v>3317</v>
      </c>
      <c r="C715" s="76" t="s">
        <v>3124</v>
      </c>
      <c r="D715" s="76" t="s">
        <v>205</v>
      </c>
      <c r="E715" s="76" t="s">
        <v>3288</v>
      </c>
      <c r="F715" s="76" t="s">
        <v>3308</v>
      </c>
      <c r="G715" s="76" t="s">
        <v>2603</v>
      </c>
      <c r="H715" s="76">
        <v>44</v>
      </c>
      <c r="I715" s="76" t="s">
        <v>2684</v>
      </c>
      <c r="J715" s="80">
        <v>4500000</v>
      </c>
      <c r="K715" s="86"/>
      <c r="L715" s="80">
        <f t="shared" si="25"/>
        <v>4500000</v>
      </c>
      <c r="M715" s="80">
        <v>449999.99999999994</v>
      </c>
      <c r="N715" s="81">
        <f t="shared" si="26"/>
        <v>4050000</v>
      </c>
    </row>
    <row r="716" spans="2:14">
      <c r="B716" s="76" t="s">
        <v>3318</v>
      </c>
      <c r="C716" s="76" t="s">
        <v>3124</v>
      </c>
      <c r="D716" s="76" t="s">
        <v>205</v>
      </c>
      <c r="E716" s="76" t="s">
        <v>3288</v>
      </c>
      <c r="F716" s="76" t="s">
        <v>3308</v>
      </c>
      <c r="G716" s="76" t="s">
        <v>2605</v>
      </c>
      <c r="H716" s="76">
        <v>40</v>
      </c>
      <c r="I716" s="76" t="s">
        <v>2767</v>
      </c>
      <c r="J716" s="80">
        <v>4400000</v>
      </c>
      <c r="K716" s="86"/>
      <c r="L716" s="80">
        <f t="shared" si="25"/>
        <v>4400000</v>
      </c>
      <c r="M716" s="80">
        <v>449999.99999999994</v>
      </c>
      <c r="N716" s="81">
        <f t="shared" si="26"/>
        <v>3950000</v>
      </c>
    </row>
    <row r="717" spans="2:14">
      <c r="B717" s="76" t="s">
        <v>3319</v>
      </c>
      <c r="C717" s="76" t="s">
        <v>3124</v>
      </c>
      <c r="D717" s="76" t="s">
        <v>205</v>
      </c>
      <c r="E717" s="76" t="s">
        <v>3288</v>
      </c>
      <c r="F717" s="76" t="s">
        <v>3308</v>
      </c>
      <c r="G717" s="76" t="s">
        <v>2607</v>
      </c>
      <c r="H717" s="76">
        <v>40</v>
      </c>
      <c r="I717" s="76" t="s">
        <v>2767</v>
      </c>
      <c r="J717" s="80">
        <v>4494000</v>
      </c>
      <c r="K717" s="86"/>
      <c r="L717" s="80">
        <f t="shared" si="25"/>
        <v>4494000</v>
      </c>
      <c r="M717" s="80">
        <v>460071.43</v>
      </c>
      <c r="N717" s="81">
        <f t="shared" si="26"/>
        <v>4033928.57</v>
      </c>
    </row>
    <row r="718" spans="2:14">
      <c r="B718" s="76" t="s">
        <v>3320</v>
      </c>
      <c r="C718" s="76" t="s">
        <v>3124</v>
      </c>
      <c r="D718" s="76" t="s">
        <v>205</v>
      </c>
      <c r="E718" s="76" t="s">
        <v>3288</v>
      </c>
      <c r="F718" s="76" t="s">
        <v>3308</v>
      </c>
      <c r="G718" s="76" t="s">
        <v>2609</v>
      </c>
      <c r="H718" s="76">
        <v>40</v>
      </c>
      <c r="I718" s="76" t="s">
        <v>2767</v>
      </c>
      <c r="J718" s="80">
        <v>4400000</v>
      </c>
      <c r="K718" s="86"/>
      <c r="L718" s="80">
        <f t="shared" si="25"/>
        <v>4400000</v>
      </c>
      <c r="M718" s="80">
        <v>427500</v>
      </c>
      <c r="N718" s="81">
        <f t="shared" si="26"/>
        <v>3972500</v>
      </c>
    </row>
    <row r="719" spans="2:14">
      <c r="B719" s="76" t="s">
        <v>3321</v>
      </c>
      <c r="C719" s="76" t="s">
        <v>3124</v>
      </c>
      <c r="D719" s="76" t="s">
        <v>205</v>
      </c>
      <c r="E719" s="76" t="s">
        <v>3288</v>
      </c>
      <c r="F719" s="76" t="s">
        <v>3308</v>
      </c>
      <c r="G719" s="76" t="s">
        <v>2611</v>
      </c>
      <c r="H719" s="76">
        <v>40</v>
      </c>
      <c r="I719" s="76" t="s">
        <v>2767</v>
      </c>
      <c r="J719" s="80">
        <v>4494000</v>
      </c>
      <c r="K719" s="86"/>
      <c r="L719" s="80">
        <f t="shared" si="25"/>
        <v>4494000</v>
      </c>
      <c r="M719" s="80">
        <v>460071.42857142846</v>
      </c>
      <c r="N719" s="81">
        <f t="shared" si="26"/>
        <v>4033928.5714285714</v>
      </c>
    </row>
    <row r="720" spans="2:14">
      <c r="B720" s="76" t="s">
        <v>3322</v>
      </c>
      <c r="C720" s="76" t="s">
        <v>3124</v>
      </c>
      <c r="D720" s="76" t="s">
        <v>205</v>
      </c>
      <c r="E720" s="76" t="s">
        <v>3288</v>
      </c>
      <c r="F720" s="76" t="s">
        <v>3308</v>
      </c>
      <c r="G720" s="76" t="s">
        <v>2613</v>
      </c>
      <c r="H720" s="76">
        <v>40</v>
      </c>
      <c r="I720" s="76" t="s">
        <v>2767</v>
      </c>
      <c r="J720" s="80">
        <v>4400000</v>
      </c>
      <c r="K720" s="86"/>
      <c r="L720" s="80">
        <f t="shared" si="25"/>
        <v>4400000</v>
      </c>
      <c r="M720" s="80">
        <v>449999.99999999994</v>
      </c>
      <c r="N720" s="81">
        <f t="shared" si="26"/>
        <v>3950000</v>
      </c>
    </row>
    <row r="721" spans="2:14">
      <c r="B721" s="76" t="s">
        <v>3323</v>
      </c>
      <c r="C721" s="76" t="s">
        <v>3124</v>
      </c>
      <c r="D721" s="76" t="s">
        <v>205</v>
      </c>
      <c r="E721" s="76" t="s">
        <v>3288</v>
      </c>
      <c r="F721" s="76" t="s">
        <v>3308</v>
      </c>
      <c r="G721" s="76" t="s">
        <v>2615</v>
      </c>
      <c r="H721" s="76">
        <v>40</v>
      </c>
      <c r="I721" s="76" t="s">
        <v>2767</v>
      </c>
      <c r="J721" s="80">
        <v>4494000</v>
      </c>
      <c r="K721" s="86"/>
      <c r="L721" s="80">
        <f t="shared" si="25"/>
        <v>4494000</v>
      </c>
      <c r="M721" s="80">
        <v>0</v>
      </c>
      <c r="N721" s="81">
        <f t="shared" si="26"/>
        <v>4494000</v>
      </c>
    </row>
    <row r="722" spans="2:14">
      <c r="B722" s="76" t="s">
        <v>3324</v>
      </c>
      <c r="C722" s="76" t="s">
        <v>3124</v>
      </c>
      <c r="D722" s="76" t="s">
        <v>205</v>
      </c>
      <c r="E722" s="76" t="s">
        <v>3288</v>
      </c>
      <c r="F722" s="76" t="s">
        <v>3308</v>
      </c>
      <c r="G722" s="76" t="s">
        <v>2617</v>
      </c>
      <c r="H722" s="76">
        <v>40</v>
      </c>
      <c r="I722" s="76" t="s">
        <v>2767</v>
      </c>
      <c r="J722" s="80">
        <v>3600000</v>
      </c>
      <c r="K722" s="86"/>
      <c r="L722" s="80">
        <f t="shared" si="25"/>
        <v>3600000</v>
      </c>
      <c r="M722" s="80"/>
      <c r="N722" s="81">
        <f t="shared" si="26"/>
        <v>3600000</v>
      </c>
    </row>
    <row r="723" spans="2:14">
      <c r="B723" s="76" t="s">
        <v>3325</v>
      </c>
      <c r="C723" s="76" t="s">
        <v>3124</v>
      </c>
      <c r="D723" s="76" t="s">
        <v>205</v>
      </c>
      <c r="E723" s="76" t="s">
        <v>3288</v>
      </c>
      <c r="F723" s="76" t="s">
        <v>3308</v>
      </c>
      <c r="G723" s="76" t="s">
        <v>2619</v>
      </c>
      <c r="H723" s="76">
        <v>44</v>
      </c>
      <c r="I723" s="76" t="s">
        <v>2684</v>
      </c>
      <c r="J723" s="80">
        <v>4914000</v>
      </c>
      <c r="K723" s="86"/>
      <c r="L723" s="80">
        <f t="shared" si="25"/>
        <v>4914000</v>
      </c>
      <c r="M723" s="80">
        <v>449999.99999999994</v>
      </c>
      <c r="N723" s="81">
        <f t="shared" si="26"/>
        <v>4464000</v>
      </c>
    </row>
    <row r="724" spans="2:14">
      <c r="B724" s="84" t="s">
        <v>3326</v>
      </c>
      <c r="C724" s="84" t="s">
        <v>3124</v>
      </c>
      <c r="D724" s="76" t="s">
        <v>205</v>
      </c>
      <c r="E724" s="84" t="s">
        <v>3288</v>
      </c>
      <c r="F724" s="84" t="s">
        <v>3327</v>
      </c>
      <c r="G724" s="84" t="s">
        <v>2365</v>
      </c>
      <c r="H724" s="84">
        <v>44</v>
      </c>
      <c r="I724" s="84" t="s">
        <v>2684</v>
      </c>
      <c r="J724" s="85">
        <v>4969000</v>
      </c>
      <c r="K724" s="86"/>
      <c r="L724" s="80">
        <f t="shared" si="25"/>
        <v>4969000</v>
      </c>
      <c r="M724" s="85">
        <v>0</v>
      </c>
      <c r="N724" s="81">
        <f t="shared" si="26"/>
        <v>4969000</v>
      </c>
    </row>
    <row r="725" spans="2:14">
      <c r="B725" s="76" t="s">
        <v>3328</v>
      </c>
      <c r="C725" s="76" t="s">
        <v>3124</v>
      </c>
      <c r="D725" s="76" t="s">
        <v>205</v>
      </c>
      <c r="E725" s="76" t="s">
        <v>3288</v>
      </c>
      <c r="F725" s="76" t="s">
        <v>3327</v>
      </c>
      <c r="G725" s="76" t="s">
        <v>2368</v>
      </c>
      <c r="H725" s="76">
        <v>40</v>
      </c>
      <c r="I725" s="76" t="s">
        <v>2767</v>
      </c>
      <c r="J725" s="80">
        <v>2744000</v>
      </c>
      <c r="K725" s="86"/>
      <c r="L725" s="80">
        <f t="shared" si="25"/>
        <v>2744000</v>
      </c>
      <c r="M725" s="80">
        <v>0</v>
      </c>
      <c r="N725" s="81">
        <f t="shared" si="26"/>
        <v>2744000</v>
      </c>
    </row>
    <row r="726" spans="2:14">
      <c r="B726" s="76" t="s">
        <v>3329</v>
      </c>
      <c r="C726" s="76" t="s">
        <v>3124</v>
      </c>
      <c r="D726" s="76" t="s">
        <v>205</v>
      </c>
      <c r="E726" s="76" t="s">
        <v>3288</v>
      </c>
      <c r="F726" s="76" t="s">
        <v>3327</v>
      </c>
      <c r="G726" s="76" t="s">
        <v>2377</v>
      </c>
      <c r="H726" s="76">
        <v>40</v>
      </c>
      <c r="I726" s="76" t="s">
        <v>2767</v>
      </c>
      <c r="J726" s="80">
        <v>4400000</v>
      </c>
      <c r="K726" s="86"/>
      <c r="L726" s="80">
        <f t="shared" ref="L726:L789" si="27">J726-K726</f>
        <v>4400000</v>
      </c>
      <c r="M726" s="80">
        <v>0</v>
      </c>
      <c r="N726" s="81">
        <f t="shared" ref="N726:N789" si="28">L726-M726</f>
        <v>4400000</v>
      </c>
    </row>
    <row r="727" spans="2:14">
      <c r="B727" s="76" t="s">
        <v>3330</v>
      </c>
      <c r="C727" s="76" t="s">
        <v>3124</v>
      </c>
      <c r="D727" s="76" t="s">
        <v>205</v>
      </c>
      <c r="E727" s="76" t="s">
        <v>3288</v>
      </c>
      <c r="F727" s="76" t="s">
        <v>3327</v>
      </c>
      <c r="G727" s="76" t="s">
        <v>2379</v>
      </c>
      <c r="H727" s="76">
        <v>40</v>
      </c>
      <c r="I727" s="76" t="s">
        <v>2767</v>
      </c>
      <c r="J727" s="80">
        <v>4210000</v>
      </c>
      <c r="K727" s="86"/>
      <c r="L727" s="80">
        <f t="shared" si="27"/>
        <v>4210000</v>
      </c>
      <c r="M727" s="80">
        <v>417857.14285714278</v>
      </c>
      <c r="N727" s="81">
        <f t="shared" si="28"/>
        <v>3792142.8571428573</v>
      </c>
    </row>
    <row r="728" spans="2:14">
      <c r="B728" s="76" t="s">
        <v>3331</v>
      </c>
      <c r="C728" s="76" t="s">
        <v>3124</v>
      </c>
      <c r="D728" s="76" t="s">
        <v>205</v>
      </c>
      <c r="E728" s="76" t="s">
        <v>3288</v>
      </c>
      <c r="F728" s="76" t="s">
        <v>3327</v>
      </c>
      <c r="G728" s="76" t="s">
        <v>2370</v>
      </c>
      <c r="H728" s="76">
        <v>40</v>
      </c>
      <c r="I728" s="76" t="s">
        <v>2767</v>
      </c>
      <c r="J728" s="80">
        <v>4210000</v>
      </c>
      <c r="K728" s="86"/>
      <c r="L728" s="80">
        <f t="shared" si="27"/>
        <v>4210000</v>
      </c>
      <c r="M728" s="80">
        <v>417857.14285714278</v>
      </c>
      <c r="N728" s="81">
        <f t="shared" si="28"/>
        <v>3792142.8571428573</v>
      </c>
    </row>
    <row r="729" spans="2:14">
      <c r="B729" s="76" t="s">
        <v>3332</v>
      </c>
      <c r="C729" s="76" t="s">
        <v>3124</v>
      </c>
      <c r="D729" s="76" t="s">
        <v>205</v>
      </c>
      <c r="E729" s="76" t="s">
        <v>3288</v>
      </c>
      <c r="F729" s="76" t="s">
        <v>3327</v>
      </c>
      <c r="G729" s="76" t="s">
        <v>2372</v>
      </c>
      <c r="H729" s="76">
        <v>40</v>
      </c>
      <c r="I729" s="76" t="s">
        <v>2767</v>
      </c>
      <c r="J729" s="80">
        <v>4400000</v>
      </c>
      <c r="K729" s="86"/>
      <c r="L729" s="80">
        <f t="shared" si="27"/>
        <v>4400000</v>
      </c>
      <c r="M729" s="80">
        <v>427499.99999999994</v>
      </c>
      <c r="N729" s="81">
        <f t="shared" si="28"/>
        <v>3972500</v>
      </c>
    </row>
    <row r="730" spans="2:14">
      <c r="B730" s="76" t="s">
        <v>3333</v>
      </c>
      <c r="C730" s="76" t="s">
        <v>3124</v>
      </c>
      <c r="D730" s="76" t="s">
        <v>205</v>
      </c>
      <c r="E730" s="76" t="s">
        <v>3288</v>
      </c>
      <c r="F730" s="76" t="s">
        <v>3327</v>
      </c>
      <c r="G730" s="76" t="s">
        <v>2597</v>
      </c>
      <c r="H730" s="76">
        <v>40</v>
      </c>
      <c r="I730" s="76" t="s">
        <v>2767</v>
      </c>
      <c r="J730" s="80">
        <v>4494000</v>
      </c>
      <c r="K730" s="86"/>
      <c r="L730" s="80">
        <f t="shared" si="27"/>
        <v>4494000</v>
      </c>
      <c r="M730" s="80">
        <v>460071.42857142846</v>
      </c>
      <c r="N730" s="81">
        <f t="shared" si="28"/>
        <v>4033928.5714285714</v>
      </c>
    </row>
    <row r="731" spans="2:14">
      <c r="B731" s="76" t="s">
        <v>3334</v>
      </c>
      <c r="C731" s="76" t="s">
        <v>3124</v>
      </c>
      <c r="D731" s="76" t="s">
        <v>205</v>
      </c>
      <c r="E731" s="76" t="s">
        <v>3288</v>
      </c>
      <c r="F731" s="76" t="s">
        <v>3327</v>
      </c>
      <c r="G731" s="76" t="s">
        <v>2599</v>
      </c>
      <c r="H731" s="76">
        <v>40</v>
      </c>
      <c r="I731" s="76" t="s">
        <v>2767</v>
      </c>
      <c r="J731" s="80">
        <v>4400000</v>
      </c>
      <c r="K731" s="86"/>
      <c r="L731" s="80">
        <f t="shared" si="27"/>
        <v>4400000</v>
      </c>
      <c r="M731" s="80">
        <v>449999.99999999994</v>
      </c>
      <c r="N731" s="81">
        <f t="shared" si="28"/>
        <v>3950000</v>
      </c>
    </row>
    <row r="732" spans="2:14">
      <c r="B732" s="76" t="s">
        <v>3335</v>
      </c>
      <c r="C732" s="76" t="s">
        <v>3124</v>
      </c>
      <c r="D732" s="76" t="s">
        <v>205</v>
      </c>
      <c r="E732" s="76" t="s">
        <v>3288</v>
      </c>
      <c r="F732" s="76" t="s">
        <v>3327</v>
      </c>
      <c r="G732" s="76" t="s">
        <v>2601</v>
      </c>
      <c r="H732" s="76">
        <v>44</v>
      </c>
      <c r="I732" s="76" t="s">
        <v>2684</v>
      </c>
      <c r="J732" s="80">
        <v>3600000</v>
      </c>
      <c r="K732" s="86"/>
      <c r="L732" s="80">
        <f t="shared" si="27"/>
        <v>3600000</v>
      </c>
      <c r="M732" s="80"/>
      <c r="N732" s="81">
        <f t="shared" si="28"/>
        <v>3600000</v>
      </c>
    </row>
    <row r="733" spans="2:14">
      <c r="B733" s="76" t="s">
        <v>3336</v>
      </c>
      <c r="C733" s="76" t="s">
        <v>3124</v>
      </c>
      <c r="D733" s="76" t="s">
        <v>972</v>
      </c>
      <c r="E733" s="76" t="s">
        <v>3288</v>
      </c>
      <c r="F733" s="76" t="s">
        <v>3327</v>
      </c>
      <c r="G733" s="76" t="s">
        <v>2603</v>
      </c>
      <c r="H733" s="76">
        <v>44</v>
      </c>
      <c r="I733" s="76" t="s">
        <v>2684</v>
      </c>
      <c r="J733" s="80">
        <v>4500000</v>
      </c>
      <c r="K733" s="86"/>
      <c r="L733" s="80">
        <f t="shared" si="27"/>
        <v>4500000</v>
      </c>
      <c r="M733" s="80">
        <v>459883.92857142846</v>
      </c>
      <c r="N733" s="81">
        <f t="shared" si="28"/>
        <v>4040116.0714285714</v>
      </c>
    </row>
    <row r="734" spans="2:14">
      <c r="B734" s="76" t="s">
        <v>3337</v>
      </c>
      <c r="C734" s="76" t="s">
        <v>3124</v>
      </c>
      <c r="D734" s="76" t="s">
        <v>205</v>
      </c>
      <c r="E734" s="76" t="s">
        <v>3288</v>
      </c>
      <c r="F734" s="76" t="s">
        <v>3327</v>
      </c>
      <c r="G734" s="76" t="s">
        <v>2605</v>
      </c>
      <c r="H734" s="76">
        <v>40</v>
      </c>
      <c r="I734" s="76" t="s">
        <v>2767</v>
      </c>
      <c r="J734" s="80">
        <v>4450000</v>
      </c>
      <c r="K734" s="86"/>
      <c r="L734" s="80">
        <f t="shared" si="27"/>
        <v>4450000</v>
      </c>
      <c r="M734" s="80">
        <v>0</v>
      </c>
      <c r="N734" s="81">
        <f t="shared" si="28"/>
        <v>4450000</v>
      </c>
    </row>
    <row r="735" spans="2:14">
      <c r="B735" s="76" t="s">
        <v>3338</v>
      </c>
      <c r="C735" s="76" t="s">
        <v>3124</v>
      </c>
      <c r="D735" s="76" t="s">
        <v>972</v>
      </c>
      <c r="E735" s="76" t="s">
        <v>3288</v>
      </c>
      <c r="F735" s="76" t="s">
        <v>3327</v>
      </c>
      <c r="G735" s="76" t="s">
        <v>2607</v>
      </c>
      <c r="H735" s="76">
        <v>40</v>
      </c>
      <c r="I735" s="76" t="s">
        <v>2767</v>
      </c>
      <c r="J735" s="80">
        <v>3600000</v>
      </c>
      <c r="K735" s="86"/>
      <c r="L735" s="80">
        <f t="shared" si="27"/>
        <v>3600000</v>
      </c>
      <c r="M735" s="80"/>
      <c r="N735" s="81">
        <f t="shared" si="28"/>
        <v>3600000</v>
      </c>
    </row>
    <row r="736" spans="2:14">
      <c r="B736" s="76" t="s">
        <v>3339</v>
      </c>
      <c r="C736" s="76" t="s">
        <v>3124</v>
      </c>
      <c r="D736" s="76" t="s">
        <v>205</v>
      </c>
      <c r="E736" s="76" t="s">
        <v>3288</v>
      </c>
      <c r="F736" s="76" t="s">
        <v>3327</v>
      </c>
      <c r="G736" s="76" t="s">
        <v>2609</v>
      </c>
      <c r="H736" s="76">
        <v>40</v>
      </c>
      <c r="I736" s="76" t="s">
        <v>2767</v>
      </c>
      <c r="J736" s="80">
        <v>4400000</v>
      </c>
      <c r="K736" s="86"/>
      <c r="L736" s="80">
        <f t="shared" si="27"/>
        <v>4400000</v>
      </c>
      <c r="M736" s="80">
        <v>0</v>
      </c>
      <c r="N736" s="81">
        <f t="shared" si="28"/>
        <v>4400000</v>
      </c>
    </row>
    <row r="737" spans="2:14">
      <c r="B737" s="76" t="s">
        <v>3340</v>
      </c>
      <c r="C737" s="76" t="s">
        <v>3124</v>
      </c>
      <c r="D737" s="76" t="s">
        <v>205</v>
      </c>
      <c r="E737" s="76" t="s">
        <v>3288</v>
      </c>
      <c r="F737" s="76" t="s">
        <v>3327</v>
      </c>
      <c r="G737" s="76" t="s">
        <v>2611</v>
      </c>
      <c r="H737" s="76">
        <v>40</v>
      </c>
      <c r="I737" s="76" t="s">
        <v>2767</v>
      </c>
      <c r="J737" s="80">
        <v>4494000</v>
      </c>
      <c r="K737" s="86"/>
      <c r="L737" s="80">
        <f t="shared" si="27"/>
        <v>4494000</v>
      </c>
      <c r="M737" s="80">
        <v>460071.43</v>
      </c>
      <c r="N737" s="81">
        <f t="shared" si="28"/>
        <v>4033928.57</v>
      </c>
    </row>
    <row r="738" spans="2:14">
      <c r="B738" s="76" t="s">
        <v>3341</v>
      </c>
      <c r="C738" s="76" t="s">
        <v>3124</v>
      </c>
      <c r="D738" s="76" t="s">
        <v>205</v>
      </c>
      <c r="E738" s="76" t="s">
        <v>3288</v>
      </c>
      <c r="F738" s="76" t="s">
        <v>3327</v>
      </c>
      <c r="G738" s="76" t="s">
        <v>2613</v>
      </c>
      <c r="H738" s="76">
        <v>40</v>
      </c>
      <c r="I738" s="76" t="s">
        <v>2767</v>
      </c>
      <c r="J738" s="80">
        <v>4494000</v>
      </c>
      <c r="K738" s="86"/>
      <c r="L738" s="80">
        <f t="shared" si="27"/>
        <v>4494000</v>
      </c>
      <c r="M738" s="80">
        <v>0</v>
      </c>
      <c r="N738" s="81">
        <f t="shared" si="28"/>
        <v>4494000</v>
      </c>
    </row>
    <row r="739" spans="2:14">
      <c r="B739" s="76" t="s">
        <v>3342</v>
      </c>
      <c r="C739" s="76" t="s">
        <v>3124</v>
      </c>
      <c r="D739" s="76" t="s">
        <v>205</v>
      </c>
      <c r="E739" s="76" t="s">
        <v>3288</v>
      </c>
      <c r="F739" s="76" t="s">
        <v>3327</v>
      </c>
      <c r="G739" s="76" t="s">
        <v>2615</v>
      </c>
      <c r="H739" s="76">
        <v>40</v>
      </c>
      <c r="I739" s="76" t="s">
        <v>2767</v>
      </c>
      <c r="J739" s="80">
        <v>4494000</v>
      </c>
      <c r="K739" s="86"/>
      <c r="L739" s="80">
        <f t="shared" si="27"/>
        <v>4494000</v>
      </c>
      <c r="M739" s="80">
        <v>460071.43</v>
      </c>
      <c r="N739" s="81">
        <f t="shared" si="28"/>
        <v>4033928.57</v>
      </c>
    </row>
    <row r="740" spans="2:14">
      <c r="B740" s="76" t="s">
        <v>3343</v>
      </c>
      <c r="C740" s="76" t="s">
        <v>3124</v>
      </c>
      <c r="D740" s="76" t="s">
        <v>205</v>
      </c>
      <c r="E740" s="76" t="s">
        <v>3288</v>
      </c>
      <c r="F740" s="76" t="s">
        <v>3327</v>
      </c>
      <c r="G740" s="76" t="s">
        <v>2617</v>
      </c>
      <c r="H740" s="76">
        <v>40</v>
      </c>
      <c r="I740" s="76" t="s">
        <v>2767</v>
      </c>
      <c r="J740" s="80">
        <v>3000000</v>
      </c>
      <c r="K740" s="86"/>
      <c r="L740" s="80">
        <f t="shared" si="27"/>
        <v>3000000</v>
      </c>
      <c r="M740" s="80">
        <v>0</v>
      </c>
      <c r="N740" s="81">
        <f t="shared" si="28"/>
        <v>3000000</v>
      </c>
    </row>
    <row r="741" spans="2:14">
      <c r="B741" s="76" t="s">
        <v>3344</v>
      </c>
      <c r="C741" s="76" t="s">
        <v>3124</v>
      </c>
      <c r="D741" s="76" t="s">
        <v>205</v>
      </c>
      <c r="E741" s="76" t="s">
        <v>3288</v>
      </c>
      <c r="F741" s="76" t="s">
        <v>3327</v>
      </c>
      <c r="G741" s="76" t="s">
        <v>2619</v>
      </c>
      <c r="H741" s="76">
        <v>44</v>
      </c>
      <c r="I741" s="76" t="s">
        <v>2684</v>
      </c>
      <c r="J741" s="80">
        <v>4500000</v>
      </c>
      <c r="K741" s="86"/>
      <c r="L741" s="80">
        <f t="shared" si="27"/>
        <v>4500000</v>
      </c>
      <c r="M741" s="80">
        <v>450000</v>
      </c>
      <c r="N741" s="81">
        <f t="shared" si="28"/>
        <v>4050000</v>
      </c>
    </row>
    <row r="742" spans="2:14">
      <c r="B742" s="76" t="s">
        <v>3345</v>
      </c>
      <c r="C742" s="76" t="s">
        <v>3124</v>
      </c>
      <c r="D742" s="76" t="s">
        <v>205</v>
      </c>
      <c r="E742" s="76" t="s">
        <v>3288</v>
      </c>
      <c r="F742" s="76" t="s">
        <v>3346</v>
      </c>
      <c r="G742" s="76" t="s">
        <v>2365</v>
      </c>
      <c r="H742" s="76">
        <v>44</v>
      </c>
      <c r="I742" s="76" t="s">
        <v>2684</v>
      </c>
      <c r="J742" s="80">
        <v>4555000</v>
      </c>
      <c r="K742" s="86"/>
      <c r="L742" s="80">
        <f t="shared" si="27"/>
        <v>4555000</v>
      </c>
      <c r="M742" s="80">
        <v>477321.42857142846</v>
      </c>
      <c r="N742" s="81">
        <f t="shared" si="28"/>
        <v>4077678.5714285714</v>
      </c>
    </row>
    <row r="743" spans="2:14">
      <c r="B743" s="76" t="s">
        <v>3347</v>
      </c>
      <c r="C743" s="76" t="s">
        <v>3124</v>
      </c>
      <c r="D743" s="76" t="s">
        <v>205</v>
      </c>
      <c r="E743" s="76" t="s">
        <v>3288</v>
      </c>
      <c r="F743" s="76" t="s">
        <v>3346</v>
      </c>
      <c r="G743" s="76" t="s">
        <v>2368</v>
      </c>
      <c r="H743" s="76">
        <v>40</v>
      </c>
      <c r="I743" s="76" t="s">
        <v>2767</v>
      </c>
      <c r="J743" s="80">
        <v>4210000</v>
      </c>
      <c r="K743" s="86"/>
      <c r="L743" s="80">
        <f t="shared" si="27"/>
        <v>4210000</v>
      </c>
      <c r="M743" s="80">
        <v>417857.14</v>
      </c>
      <c r="N743" s="81">
        <f t="shared" si="28"/>
        <v>3792142.86</v>
      </c>
    </row>
    <row r="744" spans="2:14">
      <c r="B744" s="76" t="s">
        <v>3348</v>
      </c>
      <c r="C744" s="76" t="s">
        <v>3124</v>
      </c>
      <c r="D744" s="76" t="s">
        <v>205</v>
      </c>
      <c r="E744" s="76" t="s">
        <v>3288</v>
      </c>
      <c r="F744" s="76" t="s">
        <v>3346</v>
      </c>
      <c r="G744" s="76" t="s">
        <v>2377</v>
      </c>
      <c r="H744" s="76">
        <v>40</v>
      </c>
      <c r="I744" s="76" t="s">
        <v>2767</v>
      </c>
      <c r="J744" s="80">
        <v>4400000</v>
      </c>
      <c r="K744" s="86"/>
      <c r="L744" s="80">
        <f t="shared" si="27"/>
        <v>4400000</v>
      </c>
      <c r="M744" s="80">
        <v>441000</v>
      </c>
      <c r="N744" s="81">
        <f t="shared" si="28"/>
        <v>3959000</v>
      </c>
    </row>
    <row r="745" spans="2:14">
      <c r="B745" s="84" t="s">
        <v>3349</v>
      </c>
      <c r="C745" s="84" t="s">
        <v>3124</v>
      </c>
      <c r="D745" s="76" t="s">
        <v>205</v>
      </c>
      <c r="E745" s="84" t="s">
        <v>3288</v>
      </c>
      <c r="F745" s="84" t="s">
        <v>3346</v>
      </c>
      <c r="G745" s="84" t="s">
        <v>2379</v>
      </c>
      <c r="H745" s="84">
        <v>40</v>
      </c>
      <c r="I745" s="84" t="s">
        <v>2767</v>
      </c>
      <c r="J745" s="85">
        <v>4494000</v>
      </c>
      <c r="K745" s="86"/>
      <c r="L745" s="80">
        <f t="shared" si="27"/>
        <v>4494000</v>
      </c>
      <c r="M745" s="85">
        <v>460071.42857142846</v>
      </c>
      <c r="N745" s="81">
        <f t="shared" si="28"/>
        <v>4033928.5714285714</v>
      </c>
    </row>
    <row r="746" spans="2:14">
      <c r="B746" s="76" t="s">
        <v>3350</v>
      </c>
      <c r="C746" s="76" t="s">
        <v>3124</v>
      </c>
      <c r="D746" s="76" t="s">
        <v>243</v>
      </c>
      <c r="E746" s="76" t="s">
        <v>3288</v>
      </c>
      <c r="F746" s="76" t="s">
        <v>3346</v>
      </c>
      <c r="G746" s="76" t="s">
        <v>2370</v>
      </c>
      <c r="H746" s="76">
        <v>40</v>
      </c>
      <c r="I746" s="76" t="s">
        <v>2767</v>
      </c>
      <c r="J746" s="80">
        <v>4400000</v>
      </c>
      <c r="K746" s="86"/>
      <c r="L746" s="80">
        <f t="shared" si="27"/>
        <v>4400000</v>
      </c>
      <c r="M746" s="80">
        <v>0</v>
      </c>
      <c r="N746" s="81">
        <f t="shared" si="28"/>
        <v>4400000</v>
      </c>
    </row>
    <row r="747" spans="2:14">
      <c r="B747" s="76" t="s">
        <v>3351</v>
      </c>
      <c r="C747" s="76" t="s">
        <v>3124</v>
      </c>
      <c r="D747" s="76" t="s">
        <v>205</v>
      </c>
      <c r="E747" s="76" t="s">
        <v>3288</v>
      </c>
      <c r="F747" s="76" t="s">
        <v>3346</v>
      </c>
      <c r="G747" s="76" t="s">
        <v>2372</v>
      </c>
      <c r="H747" s="76">
        <v>40</v>
      </c>
      <c r="I747" s="76" t="s">
        <v>2767</v>
      </c>
      <c r="J747" s="80">
        <v>4400000</v>
      </c>
      <c r="K747" s="86"/>
      <c r="L747" s="80">
        <f t="shared" si="27"/>
        <v>4400000</v>
      </c>
      <c r="M747" s="80">
        <v>0</v>
      </c>
      <c r="N747" s="81">
        <f t="shared" si="28"/>
        <v>4400000</v>
      </c>
    </row>
    <row r="748" spans="2:14">
      <c r="B748" s="76" t="s">
        <v>3352</v>
      </c>
      <c r="C748" s="76" t="s">
        <v>3124</v>
      </c>
      <c r="D748" s="76" t="s">
        <v>205</v>
      </c>
      <c r="E748" s="76" t="s">
        <v>3288</v>
      </c>
      <c r="F748" s="76" t="s">
        <v>3346</v>
      </c>
      <c r="G748" s="76" t="s">
        <v>2597</v>
      </c>
      <c r="H748" s="76">
        <v>40</v>
      </c>
      <c r="I748" s="76" t="s">
        <v>2767</v>
      </c>
      <c r="J748" s="80">
        <v>4400000</v>
      </c>
      <c r="K748" s="86"/>
      <c r="L748" s="80">
        <f t="shared" si="27"/>
        <v>4400000</v>
      </c>
      <c r="M748" s="80">
        <v>449999.99999999994</v>
      </c>
      <c r="N748" s="81">
        <f t="shared" si="28"/>
        <v>3950000</v>
      </c>
    </row>
    <row r="749" spans="2:14">
      <c r="B749" s="84" t="s">
        <v>3353</v>
      </c>
      <c r="C749" s="84" t="s">
        <v>3124</v>
      </c>
      <c r="D749" s="76" t="s">
        <v>205</v>
      </c>
      <c r="E749" s="84" t="s">
        <v>3288</v>
      </c>
      <c r="F749" s="84" t="s">
        <v>3346</v>
      </c>
      <c r="G749" s="84" t="s">
        <v>2599</v>
      </c>
      <c r="H749" s="84">
        <v>40</v>
      </c>
      <c r="I749" s="84" t="s">
        <v>2767</v>
      </c>
      <c r="J749" s="85">
        <v>4494000</v>
      </c>
      <c r="K749" s="86"/>
      <c r="L749" s="80">
        <f t="shared" si="27"/>
        <v>4494000</v>
      </c>
      <c r="M749" s="85">
        <v>0</v>
      </c>
      <c r="N749" s="81">
        <f t="shared" si="28"/>
        <v>4494000</v>
      </c>
    </row>
    <row r="750" spans="2:14">
      <c r="B750" s="76" t="s">
        <v>3354</v>
      </c>
      <c r="C750" s="76" t="s">
        <v>3124</v>
      </c>
      <c r="D750" s="76" t="s">
        <v>205</v>
      </c>
      <c r="E750" s="76" t="s">
        <v>3288</v>
      </c>
      <c r="F750" s="76" t="s">
        <v>3346</v>
      </c>
      <c r="G750" s="76" t="s">
        <v>2601</v>
      </c>
      <c r="H750" s="76">
        <v>44</v>
      </c>
      <c r="I750" s="76" t="s">
        <v>2684</v>
      </c>
      <c r="J750" s="80">
        <v>4555000</v>
      </c>
      <c r="K750" s="86"/>
      <c r="L750" s="80">
        <f t="shared" si="27"/>
        <v>4555000</v>
      </c>
      <c r="M750" s="80">
        <v>455892.8571428571</v>
      </c>
      <c r="N750" s="81">
        <f t="shared" si="28"/>
        <v>4099107.1428571427</v>
      </c>
    </row>
    <row r="751" spans="2:14">
      <c r="B751" s="76" t="s">
        <v>3355</v>
      </c>
      <c r="C751" s="76" t="s">
        <v>3124</v>
      </c>
      <c r="D751" s="76" t="s">
        <v>205</v>
      </c>
      <c r="E751" s="76" t="s">
        <v>3288</v>
      </c>
      <c r="F751" s="76" t="s">
        <v>3346</v>
      </c>
      <c r="G751" s="76" t="s">
        <v>2603</v>
      </c>
      <c r="H751" s="76">
        <v>44</v>
      </c>
      <c r="I751" s="76" t="s">
        <v>2684</v>
      </c>
      <c r="J751" s="80">
        <v>4555000</v>
      </c>
      <c r="K751" s="86"/>
      <c r="L751" s="80">
        <f t="shared" si="27"/>
        <v>4555000</v>
      </c>
      <c r="M751" s="80">
        <v>477321.43</v>
      </c>
      <c r="N751" s="81">
        <f t="shared" si="28"/>
        <v>4077678.57</v>
      </c>
    </row>
    <row r="752" spans="2:14">
      <c r="B752" s="76" t="s">
        <v>3356</v>
      </c>
      <c r="C752" s="76" t="s">
        <v>3124</v>
      </c>
      <c r="D752" s="76" t="s">
        <v>205</v>
      </c>
      <c r="E752" s="76" t="s">
        <v>3288</v>
      </c>
      <c r="F752" s="76" t="s">
        <v>3346</v>
      </c>
      <c r="G752" s="76" t="s">
        <v>2605</v>
      </c>
      <c r="H752" s="76">
        <v>40</v>
      </c>
      <c r="I752" s="76" t="s">
        <v>2767</v>
      </c>
      <c r="J752" s="80">
        <v>4450000</v>
      </c>
      <c r="K752" s="86"/>
      <c r="L752" s="80">
        <f t="shared" si="27"/>
        <v>4450000</v>
      </c>
      <c r="M752" s="80">
        <v>455357.14</v>
      </c>
      <c r="N752" s="81">
        <f t="shared" si="28"/>
        <v>3994642.86</v>
      </c>
    </row>
    <row r="753" spans="2:14">
      <c r="B753" s="76" t="s">
        <v>3357</v>
      </c>
      <c r="C753" s="76" t="s">
        <v>3124</v>
      </c>
      <c r="D753" s="76" t="s">
        <v>205</v>
      </c>
      <c r="E753" s="76" t="s">
        <v>3288</v>
      </c>
      <c r="F753" s="76" t="s">
        <v>3346</v>
      </c>
      <c r="G753" s="76" t="s">
        <v>2607</v>
      </c>
      <c r="H753" s="76">
        <v>40</v>
      </c>
      <c r="I753" s="76" t="s">
        <v>2767</v>
      </c>
      <c r="J753" s="80">
        <v>4494000</v>
      </c>
      <c r="K753" s="86"/>
      <c r="L753" s="80">
        <f t="shared" si="27"/>
        <v>4494000</v>
      </c>
      <c r="M753" s="80">
        <v>0</v>
      </c>
      <c r="N753" s="81">
        <f t="shared" si="28"/>
        <v>4494000</v>
      </c>
    </row>
    <row r="754" spans="2:14">
      <c r="B754" s="76" t="s">
        <v>3358</v>
      </c>
      <c r="C754" s="76" t="s">
        <v>3124</v>
      </c>
      <c r="D754" s="76" t="s">
        <v>972</v>
      </c>
      <c r="E754" s="76" t="s">
        <v>3288</v>
      </c>
      <c r="F754" s="76" t="s">
        <v>3346</v>
      </c>
      <c r="G754" s="76" t="s">
        <v>2609</v>
      </c>
      <c r="H754" s="76">
        <v>40</v>
      </c>
      <c r="I754" s="76" t="s">
        <v>2767</v>
      </c>
      <c r="J754" s="80">
        <v>4494000</v>
      </c>
      <c r="K754" s="86"/>
      <c r="L754" s="80">
        <f t="shared" si="27"/>
        <v>4494000</v>
      </c>
      <c r="M754" s="80">
        <v>460071.42857142846</v>
      </c>
      <c r="N754" s="81">
        <f t="shared" si="28"/>
        <v>4033928.5714285714</v>
      </c>
    </row>
    <row r="755" spans="2:14">
      <c r="B755" s="76" t="s">
        <v>3359</v>
      </c>
      <c r="C755" s="76" t="s">
        <v>3124</v>
      </c>
      <c r="D755" s="76" t="s">
        <v>205</v>
      </c>
      <c r="E755" s="76" t="s">
        <v>3288</v>
      </c>
      <c r="F755" s="76" t="s">
        <v>3346</v>
      </c>
      <c r="G755" s="76" t="s">
        <v>2611</v>
      </c>
      <c r="H755" s="76">
        <v>40</v>
      </c>
      <c r="I755" s="76" t="s">
        <v>2767</v>
      </c>
      <c r="J755" s="80">
        <v>4400000</v>
      </c>
      <c r="K755" s="86"/>
      <c r="L755" s="80">
        <f t="shared" si="27"/>
        <v>4400000</v>
      </c>
      <c r="M755" s="80">
        <v>0</v>
      </c>
      <c r="N755" s="81">
        <f t="shared" si="28"/>
        <v>4400000</v>
      </c>
    </row>
    <row r="756" spans="2:14">
      <c r="B756" s="76" t="s">
        <v>3360</v>
      </c>
      <c r="C756" s="76" t="s">
        <v>3124</v>
      </c>
      <c r="D756" s="76" t="s">
        <v>243</v>
      </c>
      <c r="E756" s="76" t="s">
        <v>3288</v>
      </c>
      <c r="F756" s="76" t="s">
        <v>3346</v>
      </c>
      <c r="G756" s="76" t="s">
        <v>2613</v>
      </c>
      <c r="H756" s="76">
        <v>40</v>
      </c>
      <c r="I756" s="76" t="s">
        <v>2767</v>
      </c>
      <c r="J756" s="80">
        <v>4400000</v>
      </c>
      <c r="K756" s="86"/>
      <c r="L756" s="80">
        <f t="shared" si="27"/>
        <v>4400000</v>
      </c>
      <c r="M756" s="80">
        <v>449999.99999999994</v>
      </c>
      <c r="N756" s="81">
        <f t="shared" si="28"/>
        <v>3950000</v>
      </c>
    </row>
    <row r="757" spans="2:14">
      <c r="B757" s="76" t="s">
        <v>3361</v>
      </c>
      <c r="C757" s="76" t="s">
        <v>3124</v>
      </c>
      <c r="D757" s="76" t="s">
        <v>205</v>
      </c>
      <c r="E757" s="76" t="s">
        <v>3288</v>
      </c>
      <c r="F757" s="76" t="s">
        <v>3346</v>
      </c>
      <c r="G757" s="76" t="s">
        <v>2615</v>
      </c>
      <c r="H757" s="76">
        <v>40</v>
      </c>
      <c r="I757" s="76" t="s">
        <v>2767</v>
      </c>
      <c r="J757" s="80">
        <v>4400000</v>
      </c>
      <c r="K757" s="86"/>
      <c r="L757" s="80">
        <f t="shared" si="27"/>
        <v>4400000</v>
      </c>
      <c r="M757" s="80">
        <v>0</v>
      </c>
      <c r="N757" s="81">
        <f t="shared" si="28"/>
        <v>4400000</v>
      </c>
    </row>
    <row r="758" spans="2:14">
      <c r="B758" s="76" t="s">
        <v>3362</v>
      </c>
      <c r="C758" s="76" t="s">
        <v>3124</v>
      </c>
      <c r="D758" s="76" t="s">
        <v>233</v>
      </c>
      <c r="E758" s="76" t="s">
        <v>3288</v>
      </c>
      <c r="F758" s="76" t="s">
        <v>3346</v>
      </c>
      <c r="G758" s="76" t="s">
        <v>2617</v>
      </c>
      <c r="H758" s="76">
        <v>40</v>
      </c>
      <c r="I758" s="76" t="s">
        <v>2767</v>
      </c>
      <c r="J758" s="80">
        <v>4400000</v>
      </c>
      <c r="K758" s="86"/>
      <c r="L758" s="80">
        <f t="shared" si="27"/>
        <v>4400000</v>
      </c>
      <c r="M758" s="80">
        <v>447857.14285714278</v>
      </c>
      <c r="N758" s="81">
        <f t="shared" si="28"/>
        <v>3952142.8571428573</v>
      </c>
    </row>
    <row r="759" spans="2:14">
      <c r="B759" s="76" t="s">
        <v>3363</v>
      </c>
      <c r="C759" s="76" t="s">
        <v>3124</v>
      </c>
      <c r="D759" s="76" t="s">
        <v>205</v>
      </c>
      <c r="E759" s="76" t="s">
        <v>3288</v>
      </c>
      <c r="F759" s="76" t="s">
        <v>3346</v>
      </c>
      <c r="G759" s="76" t="s">
        <v>2619</v>
      </c>
      <c r="H759" s="76">
        <v>44</v>
      </c>
      <c r="I759" s="76" t="s">
        <v>2684</v>
      </c>
      <c r="J759" s="80">
        <v>4914000</v>
      </c>
      <c r="K759" s="86"/>
      <c r="L759" s="80">
        <f t="shared" si="27"/>
        <v>4914000</v>
      </c>
      <c r="M759" s="80">
        <v>505071.43</v>
      </c>
      <c r="N759" s="81">
        <f t="shared" si="28"/>
        <v>4408928.57</v>
      </c>
    </row>
    <row r="760" spans="2:14">
      <c r="B760" s="76" t="s">
        <v>3364</v>
      </c>
      <c r="C760" s="76" t="s">
        <v>3124</v>
      </c>
      <c r="D760" s="76" t="s">
        <v>205</v>
      </c>
      <c r="E760" s="76" t="s">
        <v>3288</v>
      </c>
      <c r="F760" s="76" t="s">
        <v>3365</v>
      </c>
      <c r="G760" s="76" t="s">
        <v>2365</v>
      </c>
      <c r="H760" s="76">
        <v>44</v>
      </c>
      <c r="I760" s="76" t="s">
        <v>2684</v>
      </c>
      <c r="J760" s="80">
        <v>4714000</v>
      </c>
      <c r="K760" s="86"/>
      <c r="L760" s="80">
        <f t="shared" si="27"/>
        <v>4714000</v>
      </c>
      <c r="M760" s="80">
        <v>0</v>
      </c>
      <c r="N760" s="81">
        <f t="shared" si="28"/>
        <v>4714000</v>
      </c>
    </row>
    <row r="761" spans="2:14">
      <c r="B761" s="87" t="s">
        <v>3366</v>
      </c>
      <c r="C761" s="87" t="s">
        <v>3124</v>
      </c>
      <c r="D761" s="76" t="s">
        <v>972</v>
      </c>
      <c r="E761" s="87" t="s">
        <v>3288</v>
      </c>
      <c r="F761" s="76" t="s">
        <v>3365</v>
      </c>
      <c r="G761" s="87" t="s">
        <v>2368</v>
      </c>
      <c r="H761" s="87">
        <v>40</v>
      </c>
      <c r="I761" s="87" t="s">
        <v>2767</v>
      </c>
      <c r="J761" s="88">
        <v>3600000</v>
      </c>
      <c r="K761" s="86"/>
      <c r="L761" s="80">
        <f t="shared" si="27"/>
        <v>3600000</v>
      </c>
      <c r="M761" s="89"/>
      <c r="N761" s="81">
        <f t="shared" si="28"/>
        <v>3600000</v>
      </c>
    </row>
    <row r="762" spans="2:14">
      <c r="B762" s="76" t="s">
        <v>3367</v>
      </c>
      <c r="C762" s="76" t="s">
        <v>3124</v>
      </c>
      <c r="D762" s="76" t="s">
        <v>205</v>
      </c>
      <c r="E762" s="76" t="s">
        <v>3288</v>
      </c>
      <c r="F762" s="76" t="s">
        <v>3365</v>
      </c>
      <c r="G762" s="76" t="s">
        <v>2377</v>
      </c>
      <c r="H762" s="76">
        <v>40</v>
      </c>
      <c r="I762" s="76" t="s">
        <v>2767</v>
      </c>
      <c r="J762" s="80">
        <v>4400000</v>
      </c>
      <c r="K762" s="86"/>
      <c r="L762" s="80">
        <f t="shared" si="27"/>
        <v>4400000</v>
      </c>
      <c r="M762" s="80">
        <v>447857.14</v>
      </c>
      <c r="N762" s="81">
        <f t="shared" si="28"/>
        <v>3952142.86</v>
      </c>
    </row>
    <row r="763" spans="2:14">
      <c r="B763" s="76" t="s">
        <v>3368</v>
      </c>
      <c r="C763" s="76" t="s">
        <v>3124</v>
      </c>
      <c r="D763" s="76" t="s">
        <v>205</v>
      </c>
      <c r="E763" s="76" t="s">
        <v>3288</v>
      </c>
      <c r="F763" s="76" t="s">
        <v>3365</v>
      </c>
      <c r="G763" s="76" t="s">
        <v>2379</v>
      </c>
      <c r="H763" s="76">
        <v>40</v>
      </c>
      <c r="I763" s="76" t="s">
        <v>2767</v>
      </c>
      <c r="J763" s="80">
        <v>3600000</v>
      </c>
      <c r="K763" s="86"/>
      <c r="L763" s="80">
        <f t="shared" si="27"/>
        <v>3600000</v>
      </c>
      <c r="M763" s="80"/>
      <c r="N763" s="81">
        <f t="shared" si="28"/>
        <v>3600000</v>
      </c>
    </row>
    <row r="764" spans="2:14">
      <c r="B764" s="76" t="s">
        <v>3369</v>
      </c>
      <c r="C764" s="76" t="s">
        <v>3124</v>
      </c>
      <c r="D764" s="76" t="s">
        <v>205</v>
      </c>
      <c r="E764" s="76" t="s">
        <v>3288</v>
      </c>
      <c r="F764" s="76" t="s">
        <v>3365</v>
      </c>
      <c r="G764" s="76" t="s">
        <v>2370</v>
      </c>
      <c r="H764" s="76">
        <v>40</v>
      </c>
      <c r="I764" s="76" t="s">
        <v>2767</v>
      </c>
      <c r="J764" s="80">
        <v>3600000</v>
      </c>
      <c r="K764" s="86"/>
      <c r="L764" s="80">
        <f t="shared" si="27"/>
        <v>3600000</v>
      </c>
      <c r="M764" s="80"/>
      <c r="N764" s="81">
        <f t="shared" si="28"/>
        <v>3600000</v>
      </c>
    </row>
    <row r="765" spans="2:14">
      <c r="B765" s="76" t="s">
        <v>3370</v>
      </c>
      <c r="C765" s="76" t="s">
        <v>3124</v>
      </c>
      <c r="D765" s="76" t="s">
        <v>233</v>
      </c>
      <c r="E765" s="76" t="s">
        <v>3288</v>
      </c>
      <c r="F765" s="76" t="s">
        <v>3365</v>
      </c>
      <c r="G765" s="76" t="s">
        <v>2372</v>
      </c>
      <c r="H765" s="76">
        <v>40</v>
      </c>
      <c r="I765" s="76" t="s">
        <v>2767</v>
      </c>
      <c r="J765" s="80">
        <v>3600000</v>
      </c>
      <c r="K765" s="86"/>
      <c r="L765" s="80">
        <f t="shared" si="27"/>
        <v>3600000</v>
      </c>
      <c r="M765" s="80"/>
      <c r="N765" s="81">
        <f t="shared" si="28"/>
        <v>3600000</v>
      </c>
    </row>
    <row r="766" spans="2:14">
      <c r="B766" s="84" t="s">
        <v>3371</v>
      </c>
      <c r="C766" s="84" t="s">
        <v>3124</v>
      </c>
      <c r="D766" s="76" t="s">
        <v>205</v>
      </c>
      <c r="E766" s="84" t="s">
        <v>3288</v>
      </c>
      <c r="F766" s="76" t="s">
        <v>3365</v>
      </c>
      <c r="G766" s="84" t="s">
        <v>2597</v>
      </c>
      <c r="H766" s="84">
        <v>40</v>
      </c>
      <c r="I766" s="84" t="s">
        <v>2767</v>
      </c>
      <c r="J766" s="85">
        <v>4494000</v>
      </c>
      <c r="K766" s="86"/>
      <c r="L766" s="80">
        <f t="shared" si="27"/>
        <v>4494000</v>
      </c>
      <c r="M766" s="85"/>
      <c r="N766" s="81">
        <f t="shared" si="28"/>
        <v>4494000</v>
      </c>
    </row>
    <row r="767" spans="2:14">
      <c r="B767" s="76" t="s">
        <v>3372</v>
      </c>
      <c r="C767" s="76" t="s">
        <v>3124</v>
      </c>
      <c r="D767" s="76" t="s">
        <v>205</v>
      </c>
      <c r="E767" s="76" t="s">
        <v>3288</v>
      </c>
      <c r="F767" s="76" t="s">
        <v>3365</v>
      </c>
      <c r="G767" s="76" t="s">
        <v>2599</v>
      </c>
      <c r="H767" s="76">
        <v>40</v>
      </c>
      <c r="I767" s="76" t="s">
        <v>2767</v>
      </c>
      <c r="J767" s="80">
        <v>4400000</v>
      </c>
      <c r="K767" s="86"/>
      <c r="L767" s="80">
        <f t="shared" si="27"/>
        <v>4400000</v>
      </c>
      <c r="M767" s="80">
        <v>449999.99999999994</v>
      </c>
      <c r="N767" s="81">
        <f t="shared" si="28"/>
        <v>3950000</v>
      </c>
    </row>
    <row r="768" spans="2:14">
      <c r="B768" s="76" t="s">
        <v>3373</v>
      </c>
      <c r="C768" s="76" t="s">
        <v>3124</v>
      </c>
      <c r="D768" s="76" t="s">
        <v>205</v>
      </c>
      <c r="E768" s="76" t="s">
        <v>3288</v>
      </c>
      <c r="F768" s="76" t="s">
        <v>3365</v>
      </c>
      <c r="G768" s="76" t="s">
        <v>2601</v>
      </c>
      <c r="H768" s="76">
        <v>44</v>
      </c>
      <c r="I768" s="76" t="s">
        <v>2684</v>
      </c>
      <c r="J768" s="80">
        <v>4914000</v>
      </c>
      <c r="K768" s="86"/>
      <c r="L768" s="80">
        <f t="shared" si="27"/>
        <v>4914000</v>
      </c>
      <c r="M768" s="80">
        <v>500174.99999999994</v>
      </c>
      <c r="N768" s="81">
        <f t="shared" si="28"/>
        <v>4413825</v>
      </c>
    </row>
    <row r="769" spans="2:14">
      <c r="B769" s="76" t="s">
        <v>3374</v>
      </c>
      <c r="C769" s="76" t="s">
        <v>3124</v>
      </c>
      <c r="D769" s="76" t="s">
        <v>205</v>
      </c>
      <c r="E769" s="76" t="s">
        <v>3288</v>
      </c>
      <c r="F769" s="76" t="s">
        <v>3365</v>
      </c>
      <c r="G769" s="76" t="s">
        <v>2603</v>
      </c>
      <c r="H769" s="76">
        <v>44</v>
      </c>
      <c r="I769" s="76" t="s">
        <v>2684</v>
      </c>
      <c r="J769" s="80">
        <v>4914000</v>
      </c>
      <c r="K769" s="86"/>
      <c r="L769" s="80">
        <f t="shared" si="27"/>
        <v>4914000</v>
      </c>
      <c r="M769" s="80">
        <v>430842.8571428571</v>
      </c>
      <c r="N769" s="81">
        <f t="shared" si="28"/>
        <v>4483157.1428571427</v>
      </c>
    </row>
    <row r="770" spans="2:14">
      <c r="B770" s="76" t="s">
        <v>3375</v>
      </c>
      <c r="C770" s="76" t="s">
        <v>3124</v>
      </c>
      <c r="D770" s="76" t="s">
        <v>205</v>
      </c>
      <c r="E770" s="76" t="s">
        <v>3288</v>
      </c>
      <c r="F770" s="76" t="s">
        <v>3365</v>
      </c>
      <c r="G770" s="76" t="s">
        <v>2605</v>
      </c>
      <c r="H770" s="76">
        <v>40</v>
      </c>
      <c r="I770" s="76" t="s">
        <v>2767</v>
      </c>
      <c r="J770" s="80">
        <v>4494000</v>
      </c>
      <c r="K770" s="86"/>
      <c r="L770" s="80">
        <f t="shared" si="27"/>
        <v>4494000</v>
      </c>
      <c r="M770" s="80">
        <v>460071.42857142846</v>
      </c>
      <c r="N770" s="81">
        <f t="shared" si="28"/>
        <v>4033928.5714285714</v>
      </c>
    </row>
    <row r="771" spans="2:14">
      <c r="B771" s="76" t="s">
        <v>3376</v>
      </c>
      <c r="C771" s="76" t="s">
        <v>3124</v>
      </c>
      <c r="D771" s="76" t="s">
        <v>205</v>
      </c>
      <c r="E771" s="76" t="s">
        <v>3288</v>
      </c>
      <c r="F771" s="76" t="s">
        <v>3365</v>
      </c>
      <c r="G771" s="76" t="s">
        <v>2607</v>
      </c>
      <c r="H771" s="76">
        <v>40</v>
      </c>
      <c r="I771" s="76" t="s">
        <v>2767</v>
      </c>
      <c r="J771" s="80">
        <v>4494000</v>
      </c>
      <c r="K771" s="86"/>
      <c r="L771" s="80">
        <f t="shared" si="27"/>
        <v>4494000</v>
      </c>
      <c r="M771" s="80">
        <v>460071.42857142846</v>
      </c>
      <c r="N771" s="81">
        <f t="shared" si="28"/>
        <v>4033928.5714285714</v>
      </c>
    </row>
    <row r="772" spans="2:14">
      <c r="B772" s="76" t="s">
        <v>3377</v>
      </c>
      <c r="C772" s="76" t="s">
        <v>3124</v>
      </c>
      <c r="D772" s="76" t="s">
        <v>205</v>
      </c>
      <c r="E772" s="76" t="s">
        <v>3288</v>
      </c>
      <c r="F772" s="76" t="s">
        <v>3365</v>
      </c>
      <c r="G772" s="76" t="s">
        <v>2609</v>
      </c>
      <c r="H772" s="76">
        <v>40</v>
      </c>
      <c r="I772" s="76" t="s">
        <v>2767</v>
      </c>
      <c r="J772" s="80">
        <v>4400000</v>
      </c>
      <c r="K772" s="86"/>
      <c r="L772" s="80">
        <f t="shared" si="27"/>
        <v>4400000</v>
      </c>
      <c r="M772" s="80">
        <v>0</v>
      </c>
      <c r="N772" s="81">
        <f t="shared" si="28"/>
        <v>4400000</v>
      </c>
    </row>
    <row r="773" spans="2:14">
      <c r="B773" s="76" t="s">
        <v>3378</v>
      </c>
      <c r="C773" s="76" t="s">
        <v>3124</v>
      </c>
      <c r="D773" s="76" t="s">
        <v>205</v>
      </c>
      <c r="E773" s="76" t="s">
        <v>3288</v>
      </c>
      <c r="F773" s="76" t="s">
        <v>3365</v>
      </c>
      <c r="G773" s="76" t="s">
        <v>2611</v>
      </c>
      <c r="H773" s="76">
        <v>40</v>
      </c>
      <c r="I773" s="76" t="s">
        <v>2767</v>
      </c>
      <c r="J773" s="80">
        <v>4494000</v>
      </c>
      <c r="K773" s="86"/>
      <c r="L773" s="80">
        <f t="shared" si="27"/>
        <v>4494000</v>
      </c>
      <c r="M773" s="80">
        <v>460071.42857142846</v>
      </c>
      <c r="N773" s="81">
        <f t="shared" si="28"/>
        <v>4033928.5714285714</v>
      </c>
    </row>
    <row r="774" spans="2:14">
      <c r="B774" s="76" t="s">
        <v>3379</v>
      </c>
      <c r="C774" s="76" t="s">
        <v>3124</v>
      </c>
      <c r="D774" s="76" t="s">
        <v>205</v>
      </c>
      <c r="E774" s="76" t="s">
        <v>3288</v>
      </c>
      <c r="F774" s="76" t="s">
        <v>3365</v>
      </c>
      <c r="G774" s="76" t="s">
        <v>2613</v>
      </c>
      <c r="H774" s="76">
        <v>40</v>
      </c>
      <c r="I774" s="76" t="s">
        <v>2767</v>
      </c>
      <c r="J774" s="80">
        <v>3600000</v>
      </c>
      <c r="K774" s="86"/>
      <c r="L774" s="80">
        <f t="shared" si="27"/>
        <v>3600000</v>
      </c>
      <c r="M774" s="80"/>
      <c r="N774" s="81">
        <f t="shared" si="28"/>
        <v>3600000</v>
      </c>
    </row>
    <row r="775" spans="2:14">
      <c r="B775" s="76" t="s">
        <v>3380</v>
      </c>
      <c r="C775" s="76" t="s">
        <v>3124</v>
      </c>
      <c r="D775" s="76" t="s">
        <v>205</v>
      </c>
      <c r="E775" s="76" t="s">
        <v>3288</v>
      </c>
      <c r="F775" s="76" t="s">
        <v>3365</v>
      </c>
      <c r="G775" s="76" t="s">
        <v>2615</v>
      </c>
      <c r="H775" s="76">
        <v>40</v>
      </c>
      <c r="I775" s="76" t="s">
        <v>2767</v>
      </c>
      <c r="J775" s="80">
        <v>4400000</v>
      </c>
      <c r="K775" s="86"/>
      <c r="L775" s="80">
        <f t="shared" si="27"/>
        <v>4400000</v>
      </c>
      <c r="M775" s="80">
        <v>0</v>
      </c>
      <c r="N775" s="81">
        <f t="shared" si="28"/>
        <v>4400000</v>
      </c>
    </row>
    <row r="776" spans="2:14">
      <c r="B776" s="76" t="s">
        <v>3381</v>
      </c>
      <c r="C776" s="76" t="s">
        <v>3124</v>
      </c>
      <c r="D776" s="76" t="s">
        <v>205</v>
      </c>
      <c r="E776" s="76" t="s">
        <v>3288</v>
      </c>
      <c r="F776" s="76" t="s">
        <v>3365</v>
      </c>
      <c r="G776" s="76" t="s">
        <v>2617</v>
      </c>
      <c r="H776" s="76">
        <v>44</v>
      </c>
      <c r="I776" s="76" t="s">
        <v>2684</v>
      </c>
      <c r="J776" s="80">
        <v>4914000</v>
      </c>
      <c r="K776" s="86"/>
      <c r="L776" s="80">
        <f t="shared" si="27"/>
        <v>4914000</v>
      </c>
      <c r="M776" s="80">
        <v>446571.42857142846</v>
      </c>
      <c r="N776" s="81">
        <f t="shared" si="28"/>
        <v>4467428.5714285718</v>
      </c>
    </row>
    <row r="777" spans="2:14">
      <c r="B777" s="76" t="s">
        <v>3382</v>
      </c>
      <c r="C777" s="76" t="s">
        <v>3124</v>
      </c>
      <c r="D777" s="76" t="s">
        <v>205</v>
      </c>
      <c r="E777" s="76" t="s">
        <v>3288</v>
      </c>
      <c r="F777" s="76" t="s">
        <v>3383</v>
      </c>
      <c r="G777" s="76" t="s">
        <v>2365</v>
      </c>
      <c r="H777" s="76">
        <v>44</v>
      </c>
      <c r="I777" s="76" t="s">
        <v>2684</v>
      </c>
      <c r="J777" s="80">
        <v>4969000</v>
      </c>
      <c r="K777" s="86"/>
      <c r="L777" s="80">
        <f t="shared" si="27"/>
        <v>4969000</v>
      </c>
      <c r="M777" s="80">
        <v>0</v>
      </c>
      <c r="N777" s="81">
        <f t="shared" si="28"/>
        <v>4969000</v>
      </c>
    </row>
    <row r="778" spans="2:14">
      <c r="B778" s="76" t="s">
        <v>3384</v>
      </c>
      <c r="C778" s="76" t="s">
        <v>3124</v>
      </c>
      <c r="D778" s="76" t="s">
        <v>205</v>
      </c>
      <c r="E778" s="76" t="s">
        <v>3288</v>
      </c>
      <c r="F778" s="76" t="s">
        <v>3383</v>
      </c>
      <c r="G778" s="76" t="s">
        <v>2368</v>
      </c>
      <c r="H778" s="76">
        <v>40</v>
      </c>
      <c r="I778" s="76" t="s">
        <v>2767</v>
      </c>
      <c r="J778" s="80">
        <v>4494000</v>
      </c>
      <c r="K778" s="86"/>
      <c r="L778" s="80">
        <f t="shared" si="27"/>
        <v>4494000</v>
      </c>
      <c r="M778" s="80">
        <v>460071.42857142846</v>
      </c>
      <c r="N778" s="81">
        <f t="shared" si="28"/>
        <v>4033928.5714285714</v>
      </c>
    </row>
    <row r="779" spans="2:14">
      <c r="B779" s="76" t="s">
        <v>3385</v>
      </c>
      <c r="C779" s="76" t="s">
        <v>3124</v>
      </c>
      <c r="D779" s="76" t="s">
        <v>205</v>
      </c>
      <c r="E779" s="76" t="s">
        <v>3288</v>
      </c>
      <c r="F779" s="76" t="s">
        <v>3383</v>
      </c>
      <c r="G779" s="76" t="s">
        <v>2377</v>
      </c>
      <c r="H779" s="76">
        <v>40</v>
      </c>
      <c r="I779" s="76" t="s">
        <v>2767</v>
      </c>
      <c r="J779" s="80">
        <v>4450000</v>
      </c>
      <c r="K779" s="86"/>
      <c r="L779" s="80">
        <f t="shared" si="27"/>
        <v>4450000</v>
      </c>
      <c r="M779" s="80">
        <v>0</v>
      </c>
      <c r="N779" s="81">
        <f t="shared" si="28"/>
        <v>4450000</v>
      </c>
    </row>
    <row r="780" spans="2:14">
      <c r="B780" s="76" t="s">
        <v>3386</v>
      </c>
      <c r="C780" s="76" t="s">
        <v>3124</v>
      </c>
      <c r="D780" s="76" t="s">
        <v>205</v>
      </c>
      <c r="E780" s="76" t="s">
        <v>3288</v>
      </c>
      <c r="F780" s="76" t="s">
        <v>3383</v>
      </c>
      <c r="G780" s="76" t="s">
        <v>2379</v>
      </c>
      <c r="H780" s="76">
        <v>40</v>
      </c>
      <c r="I780" s="76" t="s">
        <v>2767</v>
      </c>
      <c r="J780" s="80">
        <v>4450000</v>
      </c>
      <c r="K780" s="86"/>
      <c r="L780" s="80">
        <f t="shared" si="27"/>
        <v>4450000</v>
      </c>
      <c r="M780" s="80">
        <v>455357.14</v>
      </c>
      <c r="N780" s="81">
        <f t="shared" si="28"/>
        <v>3994642.86</v>
      </c>
    </row>
    <row r="781" spans="2:14">
      <c r="B781" s="76" t="s">
        <v>3387</v>
      </c>
      <c r="C781" s="76" t="s">
        <v>3124</v>
      </c>
      <c r="D781" s="76" t="s">
        <v>205</v>
      </c>
      <c r="E781" s="76" t="s">
        <v>3288</v>
      </c>
      <c r="F781" s="76" t="s">
        <v>3383</v>
      </c>
      <c r="G781" s="76" t="s">
        <v>2370</v>
      </c>
      <c r="H781" s="76">
        <v>40</v>
      </c>
      <c r="I781" s="76" t="s">
        <v>2767</v>
      </c>
      <c r="J781" s="80">
        <v>4450000</v>
      </c>
      <c r="K781" s="86"/>
      <c r="L781" s="80">
        <f t="shared" si="27"/>
        <v>4450000</v>
      </c>
      <c r="M781" s="80">
        <v>455357.14</v>
      </c>
      <c r="N781" s="81">
        <f t="shared" si="28"/>
        <v>3994642.86</v>
      </c>
    </row>
    <row r="782" spans="2:14">
      <c r="B782" s="76" t="s">
        <v>3388</v>
      </c>
      <c r="C782" s="76" t="s">
        <v>3124</v>
      </c>
      <c r="D782" s="76" t="s">
        <v>205</v>
      </c>
      <c r="E782" s="76" t="s">
        <v>3288</v>
      </c>
      <c r="F782" s="76" t="s">
        <v>3383</v>
      </c>
      <c r="G782" s="76" t="s">
        <v>2372</v>
      </c>
      <c r="H782" s="76">
        <v>40</v>
      </c>
      <c r="I782" s="76" t="s">
        <v>2767</v>
      </c>
      <c r="J782" s="80">
        <v>4450000</v>
      </c>
      <c r="K782" s="86"/>
      <c r="L782" s="80">
        <f t="shared" si="27"/>
        <v>4450000</v>
      </c>
      <c r="M782" s="80">
        <v>0</v>
      </c>
      <c r="N782" s="81">
        <f t="shared" si="28"/>
        <v>4450000</v>
      </c>
    </row>
    <row r="783" spans="2:14">
      <c r="B783" s="76" t="s">
        <v>3389</v>
      </c>
      <c r="C783" s="76" t="s">
        <v>3124</v>
      </c>
      <c r="D783" s="76" t="s">
        <v>205</v>
      </c>
      <c r="E783" s="76" t="s">
        <v>3288</v>
      </c>
      <c r="F783" s="76" t="s">
        <v>3383</v>
      </c>
      <c r="G783" s="76" t="s">
        <v>2597</v>
      </c>
      <c r="H783" s="76">
        <v>40</v>
      </c>
      <c r="I783" s="76" t="s">
        <v>2767</v>
      </c>
      <c r="J783" s="80">
        <v>4450000</v>
      </c>
      <c r="K783" s="86"/>
      <c r="L783" s="80">
        <f t="shared" si="27"/>
        <v>4450000</v>
      </c>
      <c r="M783" s="80">
        <v>427499.99999999994</v>
      </c>
      <c r="N783" s="81">
        <f t="shared" si="28"/>
        <v>4022500</v>
      </c>
    </row>
    <row r="784" spans="2:14">
      <c r="B784" s="76" t="s">
        <v>3390</v>
      </c>
      <c r="C784" s="76" t="s">
        <v>3124</v>
      </c>
      <c r="D784" s="76" t="s">
        <v>205</v>
      </c>
      <c r="E784" s="76" t="s">
        <v>3288</v>
      </c>
      <c r="F784" s="76" t="s">
        <v>3383</v>
      </c>
      <c r="G784" s="76" t="s">
        <v>2599</v>
      </c>
      <c r="H784" s="76">
        <v>40</v>
      </c>
      <c r="I784" s="76" t="s">
        <v>2767</v>
      </c>
      <c r="J784" s="80">
        <v>4450000</v>
      </c>
      <c r="K784" s="86"/>
      <c r="L784" s="80">
        <f t="shared" si="27"/>
        <v>4450000</v>
      </c>
      <c r="M784" s="80">
        <v>446249.99999999994</v>
      </c>
      <c r="N784" s="81">
        <f t="shared" si="28"/>
        <v>4003750</v>
      </c>
    </row>
    <row r="785" spans="2:14">
      <c r="B785" s="76" t="s">
        <v>3391</v>
      </c>
      <c r="C785" s="76" t="s">
        <v>3124</v>
      </c>
      <c r="D785" s="76" t="s">
        <v>205</v>
      </c>
      <c r="E785" s="76" t="s">
        <v>3288</v>
      </c>
      <c r="F785" s="76" t="s">
        <v>3383</v>
      </c>
      <c r="G785" s="76" t="s">
        <v>2601</v>
      </c>
      <c r="H785" s="76">
        <v>44</v>
      </c>
      <c r="I785" s="76" t="s">
        <v>2684</v>
      </c>
      <c r="J785" s="80">
        <v>4969000</v>
      </c>
      <c r="K785" s="86"/>
      <c r="L785" s="80">
        <f t="shared" si="27"/>
        <v>4969000</v>
      </c>
      <c r="M785" s="80">
        <v>461785.71428571426</v>
      </c>
      <c r="N785" s="81">
        <f t="shared" si="28"/>
        <v>4507214.2857142854</v>
      </c>
    </row>
    <row r="786" spans="2:14">
      <c r="B786" s="76" t="s">
        <v>3392</v>
      </c>
      <c r="C786" s="76" t="s">
        <v>3124</v>
      </c>
      <c r="D786" s="76" t="s">
        <v>205</v>
      </c>
      <c r="E786" s="76" t="s">
        <v>3288</v>
      </c>
      <c r="F786" s="76" t="s">
        <v>3383</v>
      </c>
      <c r="G786" s="76" t="s">
        <v>2603</v>
      </c>
      <c r="H786" s="76">
        <v>44</v>
      </c>
      <c r="I786" s="76" t="s">
        <v>2684</v>
      </c>
      <c r="J786" s="80">
        <v>4610000</v>
      </c>
      <c r="K786" s="86"/>
      <c r="L786" s="80">
        <f t="shared" si="27"/>
        <v>4610000</v>
      </c>
      <c r="M786" s="80">
        <v>485892.85714285704</v>
      </c>
      <c r="N786" s="81">
        <f t="shared" si="28"/>
        <v>4124107.1428571427</v>
      </c>
    </row>
    <row r="787" spans="2:14">
      <c r="B787" s="76" t="s">
        <v>3393</v>
      </c>
      <c r="C787" s="76" t="s">
        <v>3124</v>
      </c>
      <c r="D787" s="76" t="s">
        <v>205</v>
      </c>
      <c r="E787" s="76" t="s">
        <v>3288</v>
      </c>
      <c r="F787" s="76" t="s">
        <v>3383</v>
      </c>
      <c r="G787" s="76" t="s">
        <v>2605</v>
      </c>
      <c r="H787" s="76">
        <v>40</v>
      </c>
      <c r="I787" s="76" t="s">
        <v>2767</v>
      </c>
      <c r="J787" s="80">
        <v>4450000</v>
      </c>
      <c r="K787" s="86"/>
      <c r="L787" s="80">
        <f t="shared" si="27"/>
        <v>4450000</v>
      </c>
      <c r="M787" s="80">
        <v>452946.42857142846</v>
      </c>
      <c r="N787" s="81">
        <f t="shared" si="28"/>
        <v>3997053.5714285714</v>
      </c>
    </row>
    <row r="788" spans="2:14">
      <c r="B788" s="76" t="s">
        <v>3394</v>
      </c>
      <c r="C788" s="76" t="s">
        <v>3124</v>
      </c>
      <c r="D788" s="76" t="s">
        <v>205</v>
      </c>
      <c r="E788" s="76" t="s">
        <v>3288</v>
      </c>
      <c r="F788" s="76" t="s">
        <v>3383</v>
      </c>
      <c r="G788" s="76" t="s">
        <v>2607</v>
      </c>
      <c r="H788" s="76">
        <v>40</v>
      </c>
      <c r="I788" s="76" t="s">
        <v>2767</v>
      </c>
      <c r="J788" s="80">
        <v>4450000</v>
      </c>
      <c r="K788" s="86"/>
      <c r="L788" s="80">
        <f t="shared" si="27"/>
        <v>4450000</v>
      </c>
      <c r="M788" s="80">
        <v>0</v>
      </c>
      <c r="N788" s="81">
        <f t="shared" si="28"/>
        <v>4450000</v>
      </c>
    </row>
    <row r="789" spans="2:14">
      <c r="B789" s="76" t="s">
        <v>3395</v>
      </c>
      <c r="C789" s="76" t="s">
        <v>3124</v>
      </c>
      <c r="D789" s="76" t="s">
        <v>205</v>
      </c>
      <c r="E789" s="76" t="s">
        <v>3288</v>
      </c>
      <c r="F789" s="76" t="s">
        <v>3383</v>
      </c>
      <c r="G789" s="76" t="s">
        <v>2609</v>
      </c>
      <c r="H789" s="76">
        <v>40</v>
      </c>
      <c r="I789" s="76" t="s">
        <v>2767</v>
      </c>
      <c r="J789" s="80">
        <v>4400000</v>
      </c>
      <c r="K789" s="86"/>
      <c r="L789" s="80">
        <f t="shared" si="27"/>
        <v>4400000</v>
      </c>
      <c r="M789" s="80">
        <v>460714.28571428568</v>
      </c>
      <c r="N789" s="81">
        <f t="shared" si="28"/>
        <v>3939285.7142857146</v>
      </c>
    </row>
    <row r="790" spans="2:14">
      <c r="B790" s="76" t="s">
        <v>3396</v>
      </c>
      <c r="C790" s="76" t="s">
        <v>3124</v>
      </c>
      <c r="D790" s="76" t="s">
        <v>205</v>
      </c>
      <c r="E790" s="76" t="s">
        <v>3288</v>
      </c>
      <c r="F790" s="76" t="s">
        <v>3383</v>
      </c>
      <c r="G790" s="76" t="s">
        <v>2611</v>
      </c>
      <c r="H790" s="76">
        <v>40</v>
      </c>
      <c r="I790" s="76" t="s">
        <v>2767</v>
      </c>
      <c r="J790" s="80">
        <v>4450000</v>
      </c>
      <c r="K790" s="86"/>
      <c r="L790" s="80">
        <f t="shared" ref="L790:L853" si="29">J790-K790</f>
        <v>4450000</v>
      </c>
      <c r="M790" s="80">
        <v>0</v>
      </c>
      <c r="N790" s="81">
        <f t="shared" ref="N790:N853" si="30">L790-M790</f>
        <v>4450000</v>
      </c>
    </row>
    <row r="791" spans="2:14">
      <c r="B791" s="76" t="s">
        <v>3397</v>
      </c>
      <c r="C791" s="76" t="s">
        <v>3124</v>
      </c>
      <c r="D791" s="76" t="s">
        <v>205</v>
      </c>
      <c r="E791" s="76" t="s">
        <v>3288</v>
      </c>
      <c r="F791" s="76" t="s">
        <v>3383</v>
      </c>
      <c r="G791" s="76" t="s">
        <v>2613</v>
      </c>
      <c r="H791" s="76">
        <v>40</v>
      </c>
      <c r="I791" s="76" t="s">
        <v>2767</v>
      </c>
      <c r="J791" s="80">
        <v>4450000</v>
      </c>
      <c r="K791" s="86"/>
      <c r="L791" s="80">
        <f t="shared" si="29"/>
        <v>4450000</v>
      </c>
      <c r="M791" s="80">
        <v>0</v>
      </c>
      <c r="N791" s="81">
        <f t="shared" si="30"/>
        <v>4450000</v>
      </c>
    </row>
    <row r="792" spans="2:14">
      <c r="B792" s="76" t="s">
        <v>3398</v>
      </c>
      <c r="C792" s="76" t="s">
        <v>3124</v>
      </c>
      <c r="D792" s="76" t="s">
        <v>205</v>
      </c>
      <c r="E792" s="76" t="s">
        <v>3288</v>
      </c>
      <c r="F792" s="76" t="s">
        <v>3383</v>
      </c>
      <c r="G792" s="76" t="s">
        <v>2615</v>
      </c>
      <c r="H792" s="76">
        <v>40</v>
      </c>
      <c r="I792" s="76" t="s">
        <v>2767</v>
      </c>
      <c r="J792" s="80">
        <v>4450000</v>
      </c>
      <c r="K792" s="86"/>
      <c r="L792" s="80">
        <f t="shared" si="29"/>
        <v>4450000</v>
      </c>
      <c r="M792" s="80">
        <v>427499.99999999994</v>
      </c>
      <c r="N792" s="81">
        <f t="shared" si="30"/>
        <v>4022500</v>
      </c>
    </row>
    <row r="793" spans="2:14">
      <c r="B793" s="76" t="s">
        <v>3399</v>
      </c>
      <c r="C793" s="76" t="s">
        <v>3124</v>
      </c>
      <c r="D793" s="76" t="s">
        <v>205</v>
      </c>
      <c r="E793" s="76" t="s">
        <v>3288</v>
      </c>
      <c r="F793" s="76" t="s">
        <v>3383</v>
      </c>
      <c r="G793" s="76" t="s">
        <v>2617</v>
      </c>
      <c r="H793" s="76">
        <v>40</v>
      </c>
      <c r="I793" s="76" t="s">
        <v>2767</v>
      </c>
      <c r="J793" s="80">
        <v>4450000</v>
      </c>
      <c r="K793" s="86"/>
      <c r="L793" s="80">
        <f t="shared" si="29"/>
        <v>4450000</v>
      </c>
      <c r="M793" s="80">
        <v>432589.28571428568</v>
      </c>
      <c r="N793" s="81">
        <f t="shared" si="30"/>
        <v>4017410.7142857146</v>
      </c>
    </row>
    <row r="794" spans="2:14">
      <c r="B794" s="76" t="s">
        <v>3400</v>
      </c>
      <c r="C794" s="76" t="s">
        <v>3124</v>
      </c>
      <c r="D794" s="76" t="s">
        <v>205</v>
      </c>
      <c r="E794" s="76" t="s">
        <v>3288</v>
      </c>
      <c r="F794" s="76" t="s">
        <v>3383</v>
      </c>
      <c r="G794" s="76" t="s">
        <v>2619</v>
      </c>
      <c r="H794" s="76">
        <v>44</v>
      </c>
      <c r="I794" s="76" t="s">
        <v>2684</v>
      </c>
      <c r="J794" s="80">
        <v>4969000</v>
      </c>
      <c r="K794" s="86"/>
      <c r="L794" s="80">
        <f t="shared" si="29"/>
        <v>4969000</v>
      </c>
      <c r="M794" s="80">
        <v>468214.28571428568</v>
      </c>
      <c r="N794" s="81">
        <f t="shared" si="30"/>
        <v>4500785.7142857146</v>
      </c>
    </row>
    <row r="795" spans="2:14">
      <c r="B795" s="76" t="s">
        <v>3401</v>
      </c>
      <c r="C795" s="76" t="s">
        <v>3124</v>
      </c>
      <c r="D795" s="76" t="s">
        <v>205</v>
      </c>
      <c r="E795" s="76" t="s">
        <v>2726</v>
      </c>
      <c r="F795" s="76" t="s">
        <v>3402</v>
      </c>
      <c r="G795" s="76" t="s">
        <v>2365</v>
      </c>
      <c r="H795" s="76">
        <v>44</v>
      </c>
      <c r="I795" s="76" t="s">
        <v>2684</v>
      </c>
      <c r="J795" s="80">
        <v>4714000</v>
      </c>
      <c r="K795" s="86"/>
      <c r="L795" s="80">
        <f t="shared" si="29"/>
        <v>4714000</v>
      </c>
      <c r="M795" s="80">
        <v>0</v>
      </c>
      <c r="N795" s="81">
        <f t="shared" si="30"/>
        <v>4714000</v>
      </c>
    </row>
    <row r="796" spans="2:14">
      <c r="B796" s="76" t="s">
        <v>3403</v>
      </c>
      <c r="C796" s="76" t="s">
        <v>3124</v>
      </c>
      <c r="D796" s="76" t="s">
        <v>205</v>
      </c>
      <c r="E796" s="76" t="s">
        <v>2726</v>
      </c>
      <c r="F796" s="76" t="s">
        <v>3402</v>
      </c>
      <c r="G796" s="76" t="s">
        <v>2368</v>
      </c>
      <c r="H796" s="76">
        <v>40</v>
      </c>
      <c r="I796" s="76" t="s">
        <v>2767</v>
      </c>
      <c r="J796" s="80">
        <v>3600000</v>
      </c>
      <c r="K796" s="86"/>
      <c r="L796" s="80">
        <f t="shared" si="29"/>
        <v>3600000</v>
      </c>
      <c r="M796" s="80"/>
      <c r="N796" s="81">
        <f t="shared" si="30"/>
        <v>3600000</v>
      </c>
    </row>
    <row r="797" spans="2:14">
      <c r="B797" s="76" t="s">
        <v>3404</v>
      </c>
      <c r="C797" s="76" t="s">
        <v>3124</v>
      </c>
      <c r="D797" s="76" t="s">
        <v>205</v>
      </c>
      <c r="E797" s="76" t="s">
        <v>2726</v>
      </c>
      <c r="F797" s="76" t="s">
        <v>3402</v>
      </c>
      <c r="G797" s="76" t="s">
        <v>2377</v>
      </c>
      <c r="H797" s="76">
        <v>40</v>
      </c>
      <c r="I797" s="76" t="s">
        <v>2767</v>
      </c>
      <c r="J797" s="80">
        <v>3615000</v>
      </c>
      <c r="K797" s="86"/>
      <c r="L797" s="80">
        <f t="shared" si="29"/>
        <v>3615000</v>
      </c>
      <c r="M797" s="80">
        <v>0</v>
      </c>
      <c r="N797" s="81">
        <f t="shared" si="30"/>
        <v>3615000</v>
      </c>
    </row>
    <row r="798" spans="2:14">
      <c r="B798" s="76" t="s">
        <v>3405</v>
      </c>
      <c r="C798" s="76" t="s">
        <v>3124</v>
      </c>
      <c r="D798" s="76" t="s">
        <v>205</v>
      </c>
      <c r="E798" s="76" t="s">
        <v>2726</v>
      </c>
      <c r="F798" s="76" t="s">
        <v>3402</v>
      </c>
      <c r="G798" s="76" t="s">
        <v>2379</v>
      </c>
      <c r="H798" s="76">
        <v>40</v>
      </c>
      <c r="I798" s="76" t="s">
        <v>2767</v>
      </c>
      <c r="J798" s="80">
        <v>3600000</v>
      </c>
      <c r="K798" s="86"/>
      <c r="L798" s="80">
        <f t="shared" si="29"/>
        <v>3600000</v>
      </c>
      <c r="M798" s="80"/>
      <c r="N798" s="81">
        <f t="shared" si="30"/>
        <v>3600000</v>
      </c>
    </row>
    <row r="799" spans="2:14">
      <c r="B799" s="76" t="s">
        <v>3406</v>
      </c>
      <c r="C799" s="76" t="s">
        <v>3124</v>
      </c>
      <c r="D799" s="76" t="s">
        <v>233</v>
      </c>
      <c r="E799" s="76" t="s">
        <v>2726</v>
      </c>
      <c r="F799" s="76" t="s">
        <v>3402</v>
      </c>
      <c r="G799" s="76" t="s">
        <v>2370</v>
      </c>
      <c r="H799" s="76">
        <v>40</v>
      </c>
      <c r="I799" s="76" t="s">
        <v>2767</v>
      </c>
      <c r="J799" s="80">
        <v>3600000</v>
      </c>
      <c r="K799" s="86"/>
      <c r="L799" s="80">
        <f t="shared" si="29"/>
        <v>3600000</v>
      </c>
      <c r="M799" s="80"/>
      <c r="N799" s="81">
        <f t="shared" si="30"/>
        <v>3600000</v>
      </c>
    </row>
    <row r="800" spans="2:14">
      <c r="B800" s="76" t="s">
        <v>3407</v>
      </c>
      <c r="C800" s="76" t="s">
        <v>3124</v>
      </c>
      <c r="D800" s="76" t="s">
        <v>243</v>
      </c>
      <c r="E800" s="76" t="s">
        <v>2726</v>
      </c>
      <c r="F800" s="76" t="s">
        <v>3402</v>
      </c>
      <c r="G800" s="76" t="s">
        <v>2372</v>
      </c>
      <c r="H800" s="76">
        <v>40</v>
      </c>
      <c r="I800" s="76" t="s">
        <v>2767</v>
      </c>
      <c r="J800" s="80">
        <v>3600000</v>
      </c>
      <c r="K800" s="86"/>
      <c r="L800" s="80">
        <f t="shared" si="29"/>
        <v>3600000</v>
      </c>
      <c r="M800" s="80"/>
      <c r="N800" s="81">
        <f t="shared" si="30"/>
        <v>3600000</v>
      </c>
    </row>
    <row r="801" spans="2:14">
      <c r="B801" s="76" t="s">
        <v>3408</v>
      </c>
      <c r="C801" s="76" t="s">
        <v>3124</v>
      </c>
      <c r="D801" s="76" t="s">
        <v>205</v>
      </c>
      <c r="E801" s="76" t="s">
        <v>2726</v>
      </c>
      <c r="F801" s="76" t="s">
        <v>3402</v>
      </c>
      <c r="G801" s="76" t="s">
        <v>2597</v>
      </c>
      <c r="H801" s="76">
        <v>44</v>
      </c>
      <c r="I801" s="76" t="s">
        <v>2684</v>
      </c>
      <c r="J801" s="80">
        <v>4000000</v>
      </c>
      <c r="K801" s="86"/>
      <c r="L801" s="80">
        <f t="shared" si="29"/>
        <v>4000000</v>
      </c>
      <c r="M801" s="80">
        <v>428571.42857142846</v>
      </c>
      <c r="N801" s="81">
        <f t="shared" si="30"/>
        <v>3571428.5714285714</v>
      </c>
    </row>
    <row r="802" spans="2:14">
      <c r="B802" s="76" t="s">
        <v>3409</v>
      </c>
      <c r="C802" s="76" t="s">
        <v>3124</v>
      </c>
      <c r="D802" s="76" t="s">
        <v>205</v>
      </c>
      <c r="E802" s="76" t="s">
        <v>2726</v>
      </c>
      <c r="F802" s="76" t="s">
        <v>3402</v>
      </c>
      <c r="G802" s="76" t="s">
        <v>2599</v>
      </c>
      <c r="H802" s="76">
        <v>44</v>
      </c>
      <c r="I802" s="76" t="s">
        <v>2684</v>
      </c>
      <c r="J802" s="80">
        <v>4000000</v>
      </c>
      <c r="K802" s="86"/>
      <c r="L802" s="80">
        <f t="shared" si="29"/>
        <v>4000000</v>
      </c>
      <c r="M802" s="80">
        <v>425892.8571428571</v>
      </c>
      <c r="N802" s="81">
        <f t="shared" si="30"/>
        <v>3574107.1428571427</v>
      </c>
    </row>
    <row r="803" spans="2:14">
      <c r="B803" s="76" t="s">
        <v>3410</v>
      </c>
      <c r="C803" s="76" t="s">
        <v>3124</v>
      </c>
      <c r="D803" s="76" t="s">
        <v>243</v>
      </c>
      <c r="E803" s="76" t="s">
        <v>2726</v>
      </c>
      <c r="F803" s="76" t="s">
        <v>3402</v>
      </c>
      <c r="G803" s="76" t="s">
        <v>2601</v>
      </c>
      <c r="H803" s="76">
        <v>40</v>
      </c>
      <c r="I803" s="76" t="s">
        <v>2767</v>
      </c>
      <c r="J803" s="80">
        <v>4012000</v>
      </c>
      <c r="K803" s="86"/>
      <c r="L803" s="80">
        <f t="shared" si="29"/>
        <v>4012000</v>
      </c>
      <c r="M803" s="80">
        <v>419142.8571428571</v>
      </c>
      <c r="N803" s="81">
        <f t="shared" si="30"/>
        <v>3592857.1428571427</v>
      </c>
    </row>
    <row r="804" spans="2:14">
      <c r="B804" s="76" t="s">
        <v>3411</v>
      </c>
      <c r="C804" s="76" t="s">
        <v>3124</v>
      </c>
      <c r="D804" s="76" t="s">
        <v>205</v>
      </c>
      <c r="E804" s="76" t="s">
        <v>2726</v>
      </c>
      <c r="F804" s="76" t="s">
        <v>3402</v>
      </c>
      <c r="G804" s="76" t="s">
        <v>2603</v>
      </c>
      <c r="H804" s="76">
        <v>40</v>
      </c>
      <c r="I804" s="76" t="s">
        <v>2767</v>
      </c>
      <c r="J804" s="80">
        <v>3615000</v>
      </c>
      <c r="K804" s="86"/>
      <c r="L804" s="80">
        <f t="shared" si="29"/>
        <v>3615000</v>
      </c>
      <c r="M804" s="80">
        <v>0</v>
      </c>
      <c r="N804" s="81">
        <f t="shared" si="30"/>
        <v>3615000</v>
      </c>
    </row>
    <row r="805" spans="2:14">
      <c r="B805" s="84" t="s">
        <v>3412</v>
      </c>
      <c r="C805" s="84" t="s">
        <v>3124</v>
      </c>
      <c r="D805" s="76" t="s">
        <v>205</v>
      </c>
      <c r="E805" s="84" t="s">
        <v>2726</v>
      </c>
      <c r="F805" s="84" t="s">
        <v>3402</v>
      </c>
      <c r="G805" s="84" t="s">
        <v>2605</v>
      </c>
      <c r="H805" s="84">
        <v>40</v>
      </c>
      <c r="I805" s="84" t="s">
        <v>2767</v>
      </c>
      <c r="J805" s="85">
        <v>4494000</v>
      </c>
      <c r="K805" s="86"/>
      <c r="L805" s="80">
        <f t="shared" si="29"/>
        <v>4494000</v>
      </c>
      <c r="M805" s="85">
        <v>460071.42857142846</v>
      </c>
      <c r="N805" s="81">
        <f t="shared" si="30"/>
        <v>4033928.5714285714</v>
      </c>
    </row>
    <row r="806" spans="2:14">
      <c r="B806" s="76" t="s">
        <v>3413</v>
      </c>
      <c r="C806" s="76" t="s">
        <v>3124</v>
      </c>
      <c r="D806" s="76" t="s">
        <v>205</v>
      </c>
      <c r="E806" s="76" t="s">
        <v>2726</v>
      </c>
      <c r="F806" s="76" t="s">
        <v>3402</v>
      </c>
      <c r="G806" s="76" t="s">
        <v>2607</v>
      </c>
      <c r="H806" s="76">
        <v>40</v>
      </c>
      <c r="I806" s="76" t="s">
        <v>2767</v>
      </c>
      <c r="J806" s="80">
        <v>3615000</v>
      </c>
      <c r="K806" s="86"/>
      <c r="L806" s="80">
        <f t="shared" si="29"/>
        <v>3615000</v>
      </c>
      <c r="M806" s="80">
        <v>0</v>
      </c>
      <c r="N806" s="81">
        <f t="shared" si="30"/>
        <v>3615000</v>
      </c>
    </row>
    <row r="807" spans="2:14">
      <c r="B807" s="76" t="s">
        <v>3414</v>
      </c>
      <c r="C807" s="76" t="s">
        <v>3124</v>
      </c>
      <c r="D807" s="76" t="s">
        <v>205</v>
      </c>
      <c r="E807" s="76" t="s">
        <v>2726</v>
      </c>
      <c r="F807" s="76" t="s">
        <v>3402</v>
      </c>
      <c r="G807" s="76" t="s">
        <v>2609</v>
      </c>
      <c r="H807" s="76">
        <v>40</v>
      </c>
      <c r="I807" s="76" t="s">
        <v>2767</v>
      </c>
      <c r="J807" s="80">
        <v>3600000</v>
      </c>
      <c r="K807" s="86"/>
      <c r="L807" s="80">
        <f t="shared" si="29"/>
        <v>3600000</v>
      </c>
      <c r="M807" s="80"/>
      <c r="N807" s="81">
        <f t="shared" si="30"/>
        <v>3600000</v>
      </c>
    </row>
    <row r="808" spans="2:14">
      <c r="B808" s="76" t="s">
        <v>3415</v>
      </c>
      <c r="C808" s="76" t="s">
        <v>3124</v>
      </c>
      <c r="D808" s="76" t="s">
        <v>205</v>
      </c>
      <c r="E808" s="76" t="s">
        <v>2726</v>
      </c>
      <c r="F808" s="76" t="s">
        <v>3402</v>
      </c>
      <c r="G808" s="76" t="s">
        <v>2611</v>
      </c>
      <c r="H808" s="76">
        <v>44</v>
      </c>
      <c r="I808" s="76" t="s">
        <v>2684</v>
      </c>
      <c r="J808" s="80">
        <v>4914000</v>
      </c>
      <c r="K808" s="86"/>
      <c r="L808" s="80">
        <f t="shared" si="29"/>
        <v>4914000</v>
      </c>
      <c r="M808" s="80">
        <v>505071.43</v>
      </c>
      <c r="N808" s="81">
        <f t="shared" si="30"/>
        <v>4408928.57</v>
      </c>
    </row>
    <row r="809" spans="2:14">
      <c r="B809" s="76" t="s">
        <v>3416</v>
      </c>
      <c r="C809" s="76" t="s">
        <v>3124</v>
      </c>
      <c r="D809" s="76" t="s">
        <v>205</v>
      </c>
      <c r="E809" s="76" t="s">
        <v>2726</v>
      </c>
      <c r="F809" s="76" t="s">
        <v>3417</v>
      </c>
      <c r="G809" s="76" t="s">
        <v>2365</v>
      </c>
      <c r="H809" s="76">
        <v>44</v>
      </c>
      <c r="I809" s="76" t="s">
        <v>2684</v>
      </c>
      <c r="J809" s="80">
        <v>4402000</v>
      </c>
      <c r="K809" s="86"/>
      <c r="L809" s="80">
        <f t="shared" si="29"/>
        <v>4402000</v>
      </c>
      <c r="M809" s="80">
        <v>439499.99999999994</v>
      </c>
      <c r="N809" s="81">
        <f t="shared" si="30"/>
        <v>3962500</v>
      </c>
    </row>
    <row r="810" spans="2:14">
      <c r="B810" s="76" t="s">
        <v>3418</v>
      </c>
      <c r="C810" s="76" t="s">
        <v>3124</v>
      </c>
      <c r="D810" s="76" t="s">
        <v>205</v>
      </c>
      <c r="E810" s="76" t="s">
        <v>2726</v>
      </c>
      <c r="F810" s="76" t="s">
        <v>3417</v>
      </c>
      <c r="G810" s="76" t="s">
        <v>2368</v>
      </c>
      <c r="H810" s="76">
        <v>40</v>
      </c>
      <c r="I810" s="76" t="s">
        <v>2767</v>
      </c>
      <c r="J810" s="80">
        <v>3200000</v>
      </c>
      <c r="K810" s="86"/>
      <c r="L810" s="80">
        <f t="shared" si="29"/>
        <v>3200000</v>
      </c>
      <c r="M810" s="80">
        <v>0</v>
      </c>
      <c r="N810" s="81">
        <f t="shared" si="30"/>
        <v>3200000</v>
      </c>
    </row>
    <row r="811" spans="2:14">
      <c r="B811" s="76" t="s">
        <v>3419</v>
      </c>
      <c r="C811" s="76" t="s">
        <v>3124</v>
      </c>
      <c r="D811" s="76" t="s">
        <v>205</v>
      </c>
      <c r="E811" s="76" t="s">
        <v>2726</v>
      </c>
      <c r="F811" s="76" t="s">
        <v>3417</v>
      </c>
      <c r="G811" s="76" t="s">
        <v>2377</v>
      </c>
      <c r="H811" s="76">
        <v>40</v>
      </c>
      <c r="I811" s="76" t="s">
        <v>2767</v>
      </c>
      <c r="J811" s="80">
        <v>4494000</v>
      </c>
      <c r="K811" s="86"/>
      <c r="L811" s="80">
        <f t="shared" si="29"/>
        <v>4494000</v>
      </c>
      <c r="M811" s="80">
        <v>460071.42857142846</v>
      </c>
      <c r="N811" s="81">
        <f t="shared" si="30"/>
        <v>4033928.5714285714</v>
      </c>
    </row>
    <row r="812" spans="2:14">
      <c r="B812" s="76" t="s">
        <v>3420</v>
      </c>
      <c r="C812" s="76" t="s">
        <v>3124</v>
      </c>
      <c r="D812" s="76" t="s">
        <v>205</v>
      </c>
      <c r="E812" s="76" t="s">
        <v>2726</v>
      </c>
      <c r="F812" s="76" t="s">
        <v>3417</v>
      </c>
      <c r="G812" s="76" t="s">
        <v>2379</v>
      </c>
      <c r="H812" s="76">
        <v>40</v>
      </c>
      <c r="I812" s="76" t="s">
        <v>2767</v>
      </c>
      <c r="J812" s="80">
        <v>3910000</v>
      </c>
      <c r="K812" s="86"/>
      <c r="L812" s="80">
        <f t="shared" si="29"/>
        <v>3910000</v>
      </c>
      <c r="M812" s="80">
        <v>395999.99999999994</v>
      </c>
      <c r="N812" s="81">
        <f t="shared" si="30"/>
        <v>3514000</v>
      </c>
    </row>
    <row r="813" spans="2:14">
      <c r="B813" s="76" t="s">
        <v>3421</v>
      </c>
      <c r="C813" s="76" t="s">
        <v>3124</v>
      </c>
      <c r="D813" s="76" t="s">
        <v>205</v>
      </c>
      <c r="E813" s="76" t="s">
        <v>2726</v>
      </c>
      <c r="F813" s="76" t="s">
        <v>3417</v>
      </c>
      <c r="G813" s="76" t="s">
        <v>2370</v>
      </c>
      <c r="H813" s="76">
        <v>40</v>
      </c>
      <c r="I813" s="76" t="s">
        <v>2767</v>
      </c>
      <c r="J813" s="80">
        <v>4494000</v>
      </c>
      <c r="K813" s="86"/>
      <c r="L813" s="80">
        <f t="shared" si="29"/>
        <v>4494000</v>
      </c>
      <c r="M813" s="80">
        <v>449999.99999999994</v>
      </c>
      <c r="N813" s="81">
        <f t="shared" si="30"/>
        <v>4044000</v>
      </c>
    </row>
    <row r="814" spans="2:14">
      <c r="B814" s="76" t="s">
        <v>3422</v>
      </c>
      <c r="C814" s="76" t="s">
        <v>3124</v>
      </c>
      <c r="D814" s="76" t="s">
        <v>205</v>
      </c>
      <c r="E814" s="76" t="s">
        <v>2726</v>
      </c>
      <c r="F814" s="76" t="s">
        <v>3417</v>
      </c>
      <c r="G814" s="76" t="s">
        <v>2372</v>
      </c>
      <c r="H814" s="76">
        <v>40</v>
      </c>
      <c r="I814" s="76" t="s">
        <v>2767</v>
      </c>
      <c r="J814" s="80">
        <v>3600000</v>
      </c>
      <c r="K814" s="86"/>
      <c r="L814" s="80">
        <f t="shared" si="29"/>
        <v>3600000</v>
      </c>
      <c r="M814" s="80"/>
      <c r="N814" s="81">
        <f t="shared" si="30"/>
        <v>3600000</v>
      </c>
    </row>
    <row r="815" spans="2:14">
      <c r="B815" s="76" t="s">
        <v>3423</v>
      </c>
      <c r="C815" s="76" t="s">
        <v>3124</v>
      </c>
      <c r="D815" s="76" t="s">
        <v>205</v>
      </c>
      <c r="E815" s="76" t="s">
        <v>2726</v>
      </c>
      <c r="F815" s="76" t="s">
        <v>3417</v>
      </c>
      <c r="G815" s="76" t="s">
        <v>2597</v>
      </c>
      <c r="H815" s="76">
        <v>44</v>
      </c>
      <c r="I815" s="76" t="s">
        <v>2684</v>
      </c>
      <c r="J815" s="80">
        <v>4402000</v>
      </c>
      <c r="K815" s="86"/>
      <c r="L815" s="80">
        <f t="shared" si="29"/>
        <v>4402000</v>
      </c>
      <c r="M815" s="80">
        <v>460928.57142857136</v>
      </c>
      <c r="N815" s="81">
        <f t="shared" si="30"/>
        <v>3941071.4285714286</v>
      </c>
    </row>
    <row r="816" spans="2:14">
      <c r="B816" s="76" t="s">
        <v>3424</v>
      </c>
      <c r="C816" s="76" t="s">
        <v>3124</v>
      </c>
      <c r="D816" s="76" t="s">
        <v>205</v>
      </c>
      <c r="E816" s="76" t="s">
        <v>2726</v>
      </c>
      <c r="F816" s="76" t="s">
        <v>3417</v>
      </c>
      <c r="G816" s="76" t="s">
        <v>2599</v>
      </c>
      <c r="H816" s="76">
        <v>44</v>
      </c>
      <c r="I816" s="76" t="s">
        <v>2684</v>
      </c>
      <c r="J816" s="80">
        <v>3975000</v>
      </c>
      <c r="K816" s="86"/>
      <c r="L816" s="80">
        <f t="shared" si="29"/>
        <v>3975000</v>
      </c>
      <c r="M816" s="80">
        <v>425892.8571428571</v>
      </c>
      <c r="N816" s="81">
        <f t="shared" si="30"/>
        <v>3549107.1428571427</v>
      </c>
    </row>
    <row r="817" spans="2:14">
      <c r="B817" s="76" t="s">
        <v>3425</v>
      </c>
      <c r="C817" s="76" t="s">
        <v>3124</v>
      </c>
      <c r="D817" s="76" t="s">
        <v>205</v>
      </c>
      <c r="E817" s="76" t="s">
        <v>2726</v>
      </c>
      <c r="F817" s="76" t="s">
        <v>3417</v>
      </c>
      <c r="G817" s="76" t="s">
        <v>2601</v>
      </c>
      <c r="H817" s="76">
        <v>40</v>
      </c>
      <c r="I817" s="76" t="s">
        <v>2767</v>
      </c>
      <c r="J817" s="80">
        <v>3910000</v>
      </c>
      <c r="K817" s="86"/>
      <c r="L817" s="80">
        <f t="shared" si="29"/>
        <v>3910000</v>
      </c>
      <c r="M817" s="80">
        <v>418928.57142857136</v>
      </c>
      <c r="N817" s="81">
        <f t="shared" si="30"/>
        <v>3491071.4285714286</v>
      </c>
    </row>
    <row r="818" spans="2:14">
      <c r="B818" s="76" t="s">
        <v>3426</v>
      </c>
      <c r="C818" s="76" t="s">
        <v>3124</v>
      </c>
      <c r="D818" s="76" t="s">
        <v>205</v>
      </c>
      <c r="E818" s="76" t="s">
        <v>2726</v>
      </c>
      <c r="F818" s="76" t="s">
        <v>3417</v>
      </c>
      <c r="G818" s="76" t="s">
        <v>2603</v>
      </c>
      <c r="H818" s="76">
        <v>40</v>
      </c>
      <c r="I818" s="76" t="s">
        <v>2767</v>
      </c>
      <c r="J818" s="80">
        <v>3910000</v>
      </c>
      <c r="K818" s="86"/>
      <c r="L818" s="80">
        <f t="shared" si="29"/>
        <v>3910000</v>
      </c>
      <c r="M818" s="80">
        <v>418928.57142857136</v>
      </c>
      <c r="N818" s="81">
        <f t="shared" si="30"/>
        <v>3491071.4285714286</v>
      </c>
    </row>
    <row r="819" spans="2:14">
      <c r="B819" s="76" t="s">
        <v>3427</v>
      </c>
      <c r="C819" s="76" t="s">
        <v>3124</v>
      </c>
      <c r="D819" s="76" t="s">
        <v>205</v>
      </c>
      <c r="E819" s="76" t="s">
        <v>2726</v>
      </c>
      <c r="F819" s="76" t="s">
        <v>3417</v>
      </c>
      <c r="G819" s="76" t="s">
        <v>2605</v>
      </c>
      <c r="H819" s="76">
        <v>40</v>
      </c>
      <c r="I819" s="76" t="s">
        <v>2767</v>
      </c>
      <c r="J819" s="80">
        <v>3200000</v>
      </c>
      <c r="K819" s="86"/>
      <c r="L819" s="80">
        <f t="shared" si="29"/>
        <v>3200000</v>
      </c>
      <c r="M819" s="80">
        <v>0</v>
      </c>
      <c r="N819" s="81">
        <f t="shared" si="30"/>
        <v>3200000</v>
      </c>
    </row>
    <row r="820" spans="2:14">
      <c r="B820" s="76" t="s">
        <v>3428</v>
      </c>
      <c r="C820" s="76" t="s">
        <v>3124</v>
      </c>
      <c r="D820" s="76" t="s">
        <v>205</v>
      </c>
      <c r="E820" s="76" t="s">
        <v>2726</v>
      </c>
      <c r="F820" s="76" t="s">
        <v>3417</v>
      </c>
      <c r="G820" s="76" t="s">
        <v>2607</v>
      </c>
      <c r="H820" s="76">
        <v>40</v>
      </c>
      <c r="I820" s="76" t="s">
        <v>2767</v>
      </c>
      <c r="J820" s="80">
        <v>3200000</v>
      </c>
      <c r="K820" s="86"/>
      <c r="L820" s="80">
        <f t="shared" si="29"/>
        <v>3200000</v>
      </c>
      <c r="M820" s="80">
        <v>0</v>
      </c>
      <c r="N820" s="81">
        <f t="shared" si="30"/>
        <v>3200000</v>
      </c>
    </row>
    <row r="821" spans="2:14">
      <c r="B821" s="76" t="s">
        <v>3429</v>
      </c>
      <c r="C821" s="76" t="s">
        <v>3124</v>
      </c>
      <c r="D821" s="76" t="s">
        <v>205</v>
      </c>
      <c r="E821" s="76" t="s">
        <v>2726</v>
      </c>
      <c r="F821" s="76" t="s">
        <v>3417</v>
      </c>
      <c r="G821" s="76" t="s">
        <v>2609</v>
      </c>
      <c r="H821" s="76">
        <v>40</v>
      </c>
      <c r="I821" s="76" t="s">
        <v>2767</v>
      </c>
      <c r="J821" s="80">
        <v>3910000</v>
      </c>
      <c r="K821" s="86"/>
      <c r="L821" s="80">
        <f t="shared" si="29"/>
        <v>3910000</v>
      </c>
      <c r="M821" s="80">
        <v>408214.28571428568</v>
      </c>
      <c r="N821" s="81">
        <f t="shared" si="30"/>
        <v>3501785.7142857146</v>
      </c>
    </row>
    <row r="822" spans="2:14">
      <c r="B822" s="76" t="s">
        <v>3430</v>
      </c>
      <c r="C822" s="76" t="s">
        <v>3124</v>
      </c>
      <c r="D822" s="76" t="s">
        <v>205</v>
      </c>
      <c r="E822" s="76" t="s">
        <v>2726</v>
      </c>
      <c r="F822" s="76" t="s">
        <v>3417</v>
      </c>
      <c r="G822" s="76" t="s">
        <v>2611</v>
      </c>
      <c r="H822" s="76">
        <v>44</v>
      </c>
      <c r="I822" s="76" t="s">
        <v>2684</v>
      </c>
      <c r="J822" s="80">
        <v>3975000</v>
      </c>
      <c r="K822" s="86"/>
      <c r="L822" s="80">
        <f t="shared" si="29"/>
        <v>3975000</v>
      </c>
      <c r="M822" s="80">
        <v>425892.8571428571</v>
      </c>
      <c r="N822" s="81">
        <f t="shared" si="30"/>
        <v>3549107.1428571427</v>
      </c>
    </row>
    <row r="823" spans="2:14">
      <c r="B823" s="76" t="s">
        <v>3431</v>
      </c>
      <c r="C823" s="76" t="s">
        <v>3124</v>
      </c>
      <c r="D823" s="76" t="s">
        <v>205</v>
      </c>
      <c r="E823" s="76" t="s">
        <v>2726</v>
      </c>
      <c r="F823" s="76" t="s">
        <v>3432</v>
      </c>
      <c r="G823" s="76" t="s">
        <v>2365</v>
      </c>
      <c r="H823" s="76">
        <v>44</v>
      </c>
      <c r="I823" s="76" t="s">
        <v>2684</v>
      </c>
      <c r="J823" s="80">
        <v>4402000</v>
      </c>
      <c r="K823" s="86"/>
      <c r="L823" s="80">
        <f t="shared" si="29"/>
        <v>4402000</v>
      </c>
      <c r="M823" s="80">
        <v>439499.99999999994</v>
      </c>
      <c r="N823" s="81">
        <f t="shared" si="30"/>
        <v>3962500</v>
      </c>
    </row>
    <row r="824" spans="2:14">
      <c r="B824" s="76" t="s">
        <v>3433</v>
      </c>
      <c r="C824" s="76" t="s">
        <v>3124</v>
      </c>
      <c r="D824" s="76" t="s">
        <v>205</v>
      </c>
      <c r="E824" s="76" t="s">
        <v>2726</v>
      </c>
      <c r="F824" s="76" t="s">
        <v>3432</v>
      </c>
      <c r="G824" s="76" t="s">
        <v>2368</v>
      </c>
      <c r="H824" s="76">
        <v>40</v>
      </c>
      <c r="I824" s="76" t="s">
        <v>2767</v>
      </c>
      <c r="J824" s="80">
        <v>4494000</v>
      </c>
      <c r="K824" s="86"/>
      <c r="L824" s="80">
        <f t="shared" si="29"/>
        <v>4494000</v>
      </c>
      <c r="M824" s="80">
        <v>457424.99999999994</v>
      </c>
      <c r="N824" s="81">
        <f t="shared" si="30"/>
        <v>4036575</v>
      </c>
    </row>
    <row r="825" spans="2:14">
      <c r="B825" s="76" t="s">
        <v>3434</v>
      </c>
      <c r="C825" s="76" t="s">
        <v>3124</v>
      </c>
      <c r="D825" s="76" t="s">
        <v>205</v>
      </c>
      <c r="E825" s="76" t="s">
        <v>2726</v>
      </c>
      <c r="F825" s="76" t="s">
        <v>3432</v>
      </c>
      <c r="G825" s="76" t="s">
        <v>2377</v>
      </c>
      <c r="H825" s="76">
        <v>40</v>
      </c>
      <c r="I825" s="76" t="s">
        <v>2767</v>
      </c>
      <c r="J825" s="80">
        <v>3000000</v>
      </c>
      <c r="K825" s="86"/>
      <c r="L825" s="80">
        <f t="shared" si="29"/>
        <v>3000000</v>
      </c>
      <c r="M825" s="80">
        <v>0</v>
      </c>
      <c r="N825" s="81">
        <f t="shared" si="30"/>
        <v>3000000</v>
      </c>
    </row>
    <row r="826" spans="2:14">
      <c r="B826" s="76" t="s">
        <v>3435</v>
      </c>
      <c r="C826" s="76" t="s">
        <v>3124</v>
      </c>
      <c r="D826" s="76" t="s">
        <v>205</v>
      </c>
      <c r="E826" s="76" t="s">
        <v>2726</v>
      </c>
      <c r="F826" s="76" t="s">
        <v>3432</v>
      </c>
      <c r="G826" s="76" t="s">
        <v>2379</v>
      </c>
      <c r="H826" s="76">
        <v>40</v>
      </c>
      <c r="I826" s="76" t="s">
        <v>2767</v>
      </c>
      <c r="J826" s="80">
        <v>3000000</v>
      </c>
      <c r="K826" s="86"/>
      <c r="L826" s="80">
        <f t="shared" si="29"/>
        <v>3000000</v>
      </c>
      <c r="M826" s="80">
        <v>0</v>
      </c>
      <c r="N826" s="81">
        <f t="shared" si="30"/>
        <v>3000000</v>
      </c>
    </row>
    <row r="827" spans="2:14">
      <c r="B827" s="76" t="s">
        <v>3436</v>
      </c>
      <c r="C827" s="76" t="s">
        <v>3124</v>
      </c>
      <c r="D827" s="76" t="s">
        <v>205</v>
      </c>
      <c r="E827" s="76" t="s">
        <v>2726</v>
      </c>
      <c r="F827" s="76" t="s">
        <v>3432</v>
      </c>
      <c r="G827" s="76" t="s">
        <v>2370</v>
      </c>
      <c r="H827" s="76">
        <v>40</v>
      </c>
      <c r="I827" s="76" t="s">
        <v>2767</v>
      </c>
      <c r="J827" s="80">
        <v>3000000</v>
      </c>
      <c r="K827" s="86"/>
      <c r="L827" s="80">
        <f t="shared" si="29"/>
        <v>3000000</v>
      </c>
      <c r="M827" s="80">
        <v>0</v>
      </c>
      <c r="N827" s="81">
        <f t="shared" si="30"/>
        <v>3000000</v>
      </c>
    </row>
    <row r="828" spans="2:14">
      <c r="B828" s="76" t="s">
        <v>3437</v>
      </c>
      <c r="C828" s="76" t="s">
        <v>3124</v>
      </c>
      <c r="D828" s="76" t="s">
        <v>205</v>
      </c>
      <c r="E828" s="76" t="s">
        <v>2726</v>
      </c>
      <c r="F828" s="76" t="s">
        <v>3432</v>
      </c>
      <c r="G828" s="76" t="s">
        <v>2372</v>
      </c>
      <c r="H828" s="76">
        <v>40</v>
      </c>
      <c r="I828" s="76" t="s">
        <v>2767</v>
      </c>
      <c r="J828" s="80">
        <v>4494000</v>
      </c>
      <c r="K828" s="86"/>
      <c r="L828" s="80">
        <f t="shared" si="29"/>
        <v>4494000</v>
      </c>
      <c r="M828" s="80">
        <v>457424.99999999994</v>
      </c>
      <c r="N828" s="81">
        <f t="shared" si="30"/>
        <v>4036575</v>
      </c>
    </row>
    <row r="829" spans="2:14">
      <c r="B829" s="76" t="s">
        <v>3438</v>
      </c>
      <c r="C829" s="76" t="s">
        <v>3124</v>
      </c>
      <c r="D829" s="76" t="s">
        <v>205</v>
      </c>
      <c r="E829" s="76" t="s">
        <v>2726</v>
      </c>
      <c r="F829" s="76" t="s">
        <v>3432</v>
      </c>
      <c r="G829" s="76" t="s">
        <v>2597</v>
      </c>
      <c r="H829" s="76">
        <v>44</v>
      </c>
      <c r="I829" s="76" t="s">
        <v>2684</v>
      </c>
      <c r="J829" s="80">
        <v>4402000</v>
      </c>
      <c r="K829" s="86"/>
      <c r="L829" s="80">
        <f t="shared" si="29"/>
        <v>4402000</v>
      </c>
      <c r="M829" s="80">
        <v>471642.86</v>
      </c>
      <c r="N829" s="81">
        <f t="shared" si="30"/>
        <v>3930357.14</v>
      </c>
    </row>
    <row r="830" spans="2:14">
      <c r="B830" s="76" t="s">
        <v>3439</v>
      </c>
      <c r="C830" s="76" t="s">
        <v>3124</v>
      </c>
      <c r="D830" s="76" t="s">
        <v>205</v>
      </c>
      <c r="E830" s="76" t="s">
        <v>2726</v>
      </c>
      <c r="F830" s="76" t="s">
        <v>3432</v>
      </c>
      <c r="G830" s="76" t="s">
        <v>2599</v>
      </c>
      <c r="H830" s="76">
        <v>44</v>
      </c>
      <c r="I830" s="76" t="s">
        <v>2684</v>
      </c>
      <c r="J830" s="80">
        <v>3975000</v>
      </c>
      <c r="K830" s="86"/>
      <c r="L830" s="80">
        <f t="shared" si="29"/>
        <v>3975000</v>
      </c>
      <c r="M830" s="80">
        <v>425892.8571428571</v>
      </c>
      <c r="N830" s="81">
        <f t="shared" si="30"/>
        <v>3549107.1428571427</v>
      </c>
    </row>
    <row r="831" spans="2:14">
      <c r="B831" s="76" t="s">
        <v>3440</v>
      </c>
      <c r="C831" s="76" t="s">
        <v>3124</v>
      </c>
      <c r="D831" s="76" t="s">
        <v>205</v>
      </c>
      <c r="E831" s="76" t="s">
        <v>2726</v>
      </c>
      <c r="F831" s="76" t="s">
        <v>3432</v>
      </c>
      <c r="G831" s="76" t="s">
        <v>2601</v>
      </c>
      <c r="H831" s="76">
        <v>40</v>
      </c>
      <c r="I831" s="76" t="s">
        <v>2767</v>
      </c>
      <c r="J831" s="80">
        <v>4494000</v>
      </c>
      <c r="K831" s="86"/>
      <c r="L831" s="80">
        <f t="shared" si="29"/>
        <v>4494000</v>
      </c>
      <c r="M831" s="80">
        <v>460071.43</v>
      </c>
      <c r="N831" s="81">
        <f t="shared" si="30"/>
        <v>4033928.57</v>
      </c>
    </row>
    <row r="832" spans="2:14">
      <c r="B832" s="76" t="s">
        <v>3441</v>
      </c>
      <c r="C832" s="76" t="s">
        <v>3124</v>
      </c>
      <c r="D832" s="76" t="s">
        <v>205</v>
      </c>
      <c r="E832" s="76" t="s">
        <v>2726</v>
      </c>
      <c r="F832" s="76" t="s">
        <v>3432</v>
      </c>
      <c r="G832" s="76" t="s">
        <v>2603</v>
      </c>
      <c r="H832" s="76">
        <v>40</v>
      </c>
      <c r="I832" s="76" t="s">
        <v>2767</v>
      </c>
      <c r="J832" s="80">
        <v>3000000</v>
      </c>
      <c r="K832" s="86"/>
      <c r="L832" s="80">
        <f t="shared" si="29"/>
        <v>3000000</v>
      </c>
      <c r="M832" s="80">
        <v>0</v>
      </c>
      <c r="N832" s="81">
        <f t="shared" si="30"/>
        <v>3000000</v>
      </c>
    </row>
    <row r="833" spans="2:14">
      <c r="B833" s="76" t="s">
        <v>3442</v>
      </c>
      <c r="C833" s="76" t="s">
        <v>3124</v>
      </c>
      <c r="D833" s="76" t="s">
        <v>205</v>
      </c>
      <c r="E833" s="76" t="s">
        <v>2726</v>
      </c>
      <c r="F833" s="76" t="s">
        <v>3432</v>
      </c>
      <c r="G833" s="76" t="s">
        <v>2605</v>
      </c>
      <c r="H833" s="76">
        <v>40</v>
      </c>
      <c r="I833" s="76" t="s">
        <v>2767</v>
      </c>
      <c r="J833" s="80">
        <v>3000000</v>
      </c>
      <c r="K833" s="86"/>
      <c r="L833" s="80">
        <f t="shared" si="29"/>
        <v>3000000</v>
      </c>
      <c r="M833" s="80">
        <v>0</v>
      </c>
      <c r="N833" s="81">
        <f t="shared" si="30"/>
        <v>3000000</v>
      </c>
    </row>
    <row r="834" spans="2:14">
      <c r="B834" s="76" t="s">
        <v>3443</v>
      </c>
      <c r="C834" s="76" t="s">
        <v>3124</v>
      </c>
      <c r="D834" s="76" t="s">
        <v>205</v>
      </c>
      <c r="E834" s="76" t="s">
        <v>2726</v>
      </c>
      <c r="F834" s="76" t="s">
        <v>3432</v>
      </c>
      <c r="G834" s="76" t="s">
        <v>2607</v>
      </c>
      <c r="H834" s="76">
        <v>40</v>
      </c>
      <c r="I834" s="76" t="s">
        <v>2767</v>
      </c>
      <c r="J834" s="80">
        <v>3000000</v>
      </c>
      <c r="K834" s="86"/>
      <c r="L834" s="80">
        <f t="shared" si="29"/>
        <v>3000000</v>
      </c>
      <c r="M834" s="80">
        <v>0</v>
      </c>
      <c r="N834" s="81">
        <f t="shared" si="30"/>
        <v>3000000</v>
      </c>
    </row>
    <row r="835" spans="2:14">
      <c r="B835" s="76" t="s">
        <v>3444</v>
      </c>
      <c r="C835" s="76" t="s">
        <v>3124</v>
      </c>
      <c r="D835" s="76" t="s">
        <v>205</v>
      </c>
      <c r="E835" s="76" t="s">
        <v>2726</v>
      </c>
      <c r="F835" s="76" t="s">
        <v>3432</v>
      </c>
      <c r="G835" s="76" t="s">
        <v>2609</v>
      </c>
      <c r="H835" s="76">
        <v>40</v>
      </c>
      <c r="I835" s="76" t="s">
        <v>2767</v>
      </c>
      <c r="J835" s="80">
        <v>4494000</v>
      </c>
      <c r="K835" s="86"/>
      <c r="L835" s="80">
        <f t="shared" si="29"/>
        <v>4494000</v>
      </c>
      <c r="M835" s="80">
        <v>460071.43</v>
      </c>
      <c r="N835" s="81">
        <f t="shared" si="30"/>
        <v>4033928.57</v>
      </c>
    </row>
    <row r="836" spans="2:14">
      <c r="B836" s="76" t="s">
        <v>3445</v>
      </c>
      <c r="C836" s="76" t="s">
        <v>3124</v>
      </c>
      <c r="D836" s="76" t="s">
        <v>205</v>
      </c>
      <c r="E836" s="76" t="s">
        <v>2726</v>
      </c>
      <c r="F836" s="76" t="s">
        <v>3432</v>
      </c>
      <c r="G836" s="76" t="s">
        <v>2611</v>
      </c>
      <c r="H836" s="76">
        <v>44</v>
      </c>
      <c r="I836" s="76" t="s">
        <v>2684</v>
      </c>
      <c r="J836" s="80">
        <v>3975000</v>
      </c>
      <c r="K836" s="86"/>
      <c r="L836" s="80">
        <f t="shared" si="29"/>
        <v>3975000</v>
      </c>
      <c r="M836" s="80">
        <v>425892.8571428571</v>
      </c>
      <c r="N836" s="81">
        <f t="shared" si="30"/>
        <v>3549107.1428571427</v>
      </c>
    </row>
    <row r="837" spans="2:14">
      <c r="B837" s="76" t="s">
        <v>3446</v>
      </c>
      <c r="C837" s="76" t="s">
        <v>3124</v>
      </c>
      <c r="D837" s="76" t="s">
        <v>205</v>
      </c>
      <c r="E837" s="76" t="s">
        <v>2726</v>
      </c>
      <c r="F837" s="76" t="s">
        <v>3447</v>
      </c>
      <c r="G837" s="76" t="s">
        <v>2365</v>
      </c>
      <c r="H837" s="76">
        <v>44</v>
      </c>
      <c r="I837" s="76" t="s">
        <v>2684</v>
      </c>
      <c r="J837" s="80">
        <v>4452000</v>
      </c>
      <c r="K837" s="86"/>
      <c r="L837" s="80">
        <f t="shared" si="29"/>
        <v>4452000</v>
      </c>
      <c r="M837" s="80">
        <v>466285.71428571426</v>
      </c>
      <c r="N837" s="81">
        <f t="shared" si="30"/>
        <v>3985714.2857142859</v>
      </c>
    </row>
    <row r="838" spans="2:14">
      <c r="B838" s="76" t="s">
        <v>3448</v>
      </c>
      <c r="C838" s="76" t="s">
        <v>3124</v>
      </c>
      <c r="D838" s="76" t="s">
        <v>205</v>
      </c>
      <c r="E838" s="76" t="s">
        <v>2726</v>
      </c>
      <c r="F838" s="76" t="s">
        <v>3447</v>
      </c>
      <c r="G838" s="76" t="s">
        <v>2368</v>
      </c>
      <c r="H838" s="76">
        <v>40</v>
      </c>
      <c r="I838" s="76" t="s">
        <v>2767</v>
      </c>
      <c r="J838" s="80">
        <v>3100000</v>
      </c>
      <c r="K838" s="86"/>
      <c r="L838" s="80">
        <f t="shared" si="29"/>
        <v>3100000</v>
      </c>
      <c r="M838" s="80">
        <v>0</v>
      </c>
      <c r="N838" s="81">
        <f t="shared" si="30"/>
        <v>3100000</v>
      </c>
    </row>
    <row r="839" spans="2:14">
      <c r="B839" s="76" t="s">
        <v>3449</v>
      </c>
      <c r="C839" s="76" t="s">
        <v>3124</v>
      </c>
      <c r="D839" s="76" t="s">
        <v>205</v>
      </c>
      <c r="E839" s="76" t="s">
        <v>2726</v>
      </c>
      <c r="F839" s="76" t="s">
        <v>3447</v>
      </c>
      <c r="G839" s="76" t="s">
        <v>2377</v>
      </c>
      <c r="H839" s="76">
        <v>40</v>
      </c>
      <c r="I839" s="76" t="s">
        <v>2767</v>
      </c>
      <c r="J839" s="80">
        <v>3640000</v>
      </c>
      <c r="K839" s="86"/>
      <c r="L839" s="80">
        <f t="shared" si="29"/>
        <v>3640000</v>
      </c>
      <c r="M839" s="80">
        <v>0</v>
      </c>
      <c r="N839" s="81">
        <f t="shared" si="30"/>
        <v>3640000</v>
      </c>
    </row>
    <row r="840" spans="2:14">
      <c r="B840" s="76" t="s">
        <v>3450</v>
      </c>
      <c r="C840" s="76" t="s">
        <v>3124</v>
      </c>
      <c r="D840" s="76" t="s">
        <v>205</v>
      </c>
      <c r="E840" s="76" t="s">
        <v>2726</v>
      </c>
      <c r="F840" s="76" t="s">
        <v>3447</v>
      </c>
      <c r="G840" s="76" t="s">
        <v>2379</v>
      </c>
      <c r="H840" s="76">
        <v>40</v>
      </c>
      <c r="I840" s="76" t="s">
        <v>2767</v>
      </c>
      <c r="J840" s="80">
        <v>4494000</v>
      </c>
      <c r="K840" s="86"/>
      <c r="L840" s="80">
        <f t="shared" si="29"/>
        <v>4494000</v>
      </c>
      <c r="M840" s="80">
        <v>449999.99999999994</v>
      </c>
      <c r="N840" s="81">
        <f t="shared" si="30"/>
        <v>4044000</v>
      </c>
    </row>
    <row r="841" spans="2:14">
      <c r="B841" s="76" t="s">
        <v>3451</v>
      </c>
      <c r="C841" s="76" t="s">
        <v>3124</v>
      </c>
      <c r="D841" s="76" t="s">
        <v>205</v>
      </c>
      <c r="E841" s="76" t="s">
        <v>2726</v>
      </c>
      <c r="F841" s="76" t="s">
        <v>3447</v>
      </c>
      <c r="G841" s="76" t="s">
        <v>2370</v>
      </c>
      <c r="H841" s="76">
        <v>40</v>
      </c>
      <c r="I841" s="76" t="s">
        <v>2767</v>
      </c>
      <c r="J841" s="80">
        <v>4494000</v>
      </c>
      <c r="K841" s="86"/>
      <c r="L841" s="80">
        <f t="shared" si="29"/>
        <v>4494000</v>
      </c>
      <c r="M841" s="80">
        <v>450000</v>
      </c>
      <c r="N841" s="81">
        <f t="shared" si="30"/>
        <v>4044000</v>
      </c>
    </row>
    <row r="842" spans="2:14">
      <c r="B842" s="76" t="s">
        <v>3452</v>
      </c>
      <c r="C842" s="76" t="s">
        <v>3124</v>
      </c>
      <c r="D842" s="76" t="s">
        <v>205</v>
      </c>
      <c r="E842" s="76" t="s">
        <v>2726</v>
      </c>
      <c r="F842" s="76" t="s">
        <v>3447</v>
      </c>
      <c r="G842" s="76" t="s">
        <v>2372</v>
      </c>
      <c r="H842" s="76">
        <v>40</v>
      </c>
      <c r="I842" s="76" t="s">
        <v>2767</v>
      </c>
      <c r="J842" s="80">
        <v>3640000</v>
      </c>
      <c r="K842" s="86"/>
      <c r="L842" s="80">
        <f t="shared" si="29"/>
        <v>3640000</v>
      </c>
      <c r="M842" s="80">
        <v>389999.99999999994</v>
      </c>
      <c r="N842" s="81">
        <f t="shared" si="30"/>
        <v>3250000</v>
      </c>
    </row>
    <row r="843" spans="2:14">
      <c r="B843" s="76" t="s">
        <v>3453</v>
      </c>
      <c r="C843" s="76" t="s">
        <v>3124</v>
      </c>
      <c r="D843" s="76" t="s">
        <v>205</v>
      </c>
      <c r="E843" s="76" t="s">
        <v>2726</v>
      </c>
      <c r="F843" s="76" t="s">
        <v>3447</v>
      </c>
      <c r="G843" s="76" t="s">
        <v>2597</v>
      </c>
      <c r="H843" s="76">
        <v>44</v>
      </c>
      <c r="I843" s="76" t="s">
        <v>2684</v>
      </c>
      <c r="J843" s="80">
        <v>4914000</v>
      </c>
      <c r="K843" s="86"/>
      <c r="L843" s="80">
        <f t="shared" si="29"/>
        <v>4914000</v>
      </c>
      <c r="M843" s="80">
        <v>505071.42857142846</v>
      </c>
      <c r="N843" s="81">
        <f t="shared" si="30"/>
        <v>4408928.5714285718</v>
      </c>
    </row>
    <row r="844" spans="2:14">
      <c r="B844" s="76" t="s">
        <v>3454</v>
      </c>
      <c r="C844" s="76" t="s">
        <v>3124</v>
      </c>
      <c r="D844" s="76" t="s">
        <v>205</v>
      </c>
      <c r="E844" s="76" t="s">
        <v>2726</v>
      </c>
      <c r="F844" s="76" t="s">
        <v>3447</v>
      </c>
      <c r="G844" s="76" t="s">
        <v>2599</v>
      </c>
      <c r="H844" s="76">
        <v>44</v>
      </c>
      <c r="I844" s="76" t="s">
        <v>2684</v>
      </c>
      <c r="J844" s="80">
        <v>4914000</v>
      </c>
      <c r="K844" s="86"/>
      <c r="L844" s="80">
        <f t="shared" si="29"/>
        <v>4914000</v>
      </c>
      <c r="M844" s="80">
        <v>505071.43</v>
      </c>
      <c r="N844" s="81">
        <f t="shared" si="30"/>
        <v>4408928.57</v>
      </c>
    </row>
    <row r="845" spans="2:14">
      <c r="B845" s="76" t="s">
        <v>3455</v>
      </c>
      <c r="C845" s="76" t="s">
        <v>3124</v>
      </c>
      <c r="D845" s="76" t="s">
        <v>205</v>
      </c>
      <c r="E845" s="76" t="s">
        <v>2726</v>
      </c>
      <c r="F845" s="76" t="s">
        <v>3447</v>
      </c>
      <c r="G845" s="76" t="s">
        <v>2601</v>
      </c>
      <c r="H845" s="76">
        <v>40</v>
      </c>
      <c r="I845" s="76" t="s">
        <v>2767</v>
      </c>
      <c r="J845" s="80">
        <v>4040000</v>
      </c>
      <c r="K845" s="86"/>
      <c r="L845" s="80">
        <f t="shared" si="29"/>
        <v>4040000</v>
      </c>
      <c r="M845" s="80">
        <v>427499.99999999994</v>
      </c>
      <c r="N845" s="81">
        <f t="shared" si="30"/>
        <v>3612500</v>
      </c>
    </row>
    <row r="846" spans="2:14">
      <c r="B846" s="76" t="s">
        <v>3456</v>
      </c>
      <c r="C846" s="76" t="s">
        <v>3124</v>
      </c>
      <c r="D846" s="76" t="s">
        <v>205</v>
      </c>
      <c r="E846" s="76" t="s">
        <v>2726</v>
      </c>
      <c r="F846" s="76" t="s">
        <v>3447</v>
      </c>
      <c r="G846" s="76" t="s">
        <v>2603</v>
      </c>
      <c r="H846" s="76">
        <v>40</v>
      </c>
      <c r="I846" s="76" t="s">
        <v>2767</v>
      </c>
      <c r="J846" s="80">
        <v>4494000</v>
      </c>
      <c r="K846" s="86"/>
      <c r="L846" s="80">
        <f t="shared" si="29"/>
        <v>4494000</v>
      </c>
      <c r="M846" s="80">
        <v>460071.43</v>
      </c>
      <c r="N846" s="81">
        <f t="shared" si="30"/>
        <v>4033928.57</v>
      </c>
    </row>
    <row r="847" spans="2:14">
      <c r="B847" s="76" t="s">
        <v>3457</v>
      </c>
      <c r="C847" s="76" t="s">
        <v>3124</v>
      </c>
      <c r="D847" s="76" t="s">
        <v>205</v>
      </c>
      <c r="E847" s="76" t="s">
        <v>2726</v>
      </c>
      <c r="F847" s="76" t="s">
        <v>3447</v>
      </c>
      <c r="G847" s="76" t="s">
        <v>2605</v>
      </c>
      <c r="H847" s="76">
        <v>40</v>
      </c>
      <c r="I847" s="76" t="s">
        <v>2767</v>
      </c>
      <c r="J847" s="80">
        <v>4494000</v>
      </c>
      <c r="K847" s="86"/>
      <c r="L847" s="80">
        <f t="shared" si="29"/>
        <v>4494000</v>
      </c>
      <c r="M847" s="80">
        <v>0</v>
      </c>
      <c r="N847" s="81">
        <f t="shared" si="30"/>
        <v>4494000</v>
      </c>
    </row>
    <row r="848" spans="2:14">
      <c r="B848" s="76" t="s">
        <v>3458</v>
      </c>
      <c r="C848" s="76" t="s">
        <v>3124</v>
      </c>
      <c r="D848" s="76" t="s">
        <v>205</v>
      </c>
      <c r="E848" s="76" t="s">
        <v>2726</v>
      </c>
      <c r="F848" s="76" t="s">
        <v>3447</v>
      </c>
      <c r="G848" s="76" t="s">
        <v>2607</v>
      </c>
      <c r="H848" s="76">
        <v>40</v>
      </c>
      <c r="I848" s="76" t="s">
        <v>2767</v>
      </c>
      <c r="J848" s="80">
        <v>4494000</v>
      </c>
      <c r="K848" s="86"/>
      <c r="L848" s="80">
        <f t="shared" si="29"/>
        <v>4494000</v>
      </c>
      <c r="M848" s="80">
        <v>449999.99999999994</v>
      </c>
      <c r="N848" s="81">
        <f t="shared" si="30"/>
        <v>4044000</v>
      </c>
    </row>
    <row r="849" spans="2:14">
      <c r="B849" s="76" t="s">
        <v>3459</v>
      </c>
      <c r="C849" s="76" t="s">
        <v>3124</v>
      </c>
      <c r="D849" s="76" t="s">
        <v>205</v>
      </c>
      <c r="E849" s="76" t="s">
        <v>2726</v>
      </c>
      <c r="F849" s="76" t="s">
        <v>3447</v>
      </c>
      <c r="G849" s="76" t="s">
        <v>2609</v>
      </c>
      <c r="H849" s="76">
        <v>40</v>
      </c>
      <c r="I849" s="76" t="s">
        <v>2767</v>
      </c>
      <c r="J849" s="80">
        <v>4040000</v>
      </c>
      <c r="K849" s="86"/>
      <c r="L849" s="80">
        <f t="shared" si="29"/>
        <v>4040000</v>
      </c>
      <c r="M849" s="80">
        <v>427499.99999999994</v>
      </c>
      <c r="N849" s="81">
        <f t="shared" si="30"/>
        <v>3612500</v>
      </c>
    </row>
    <row r="850" spans="2:14">
      <c r="B850" s="76" t="s">
        <v>3460</v>
      </c>
      <c r="C850" s="76" t="s">
        <v>3124</v>
      </c>
      <c r="D850" s="76" t="s">
        <v>205</v>
      </c>
      <c r="E850" s="76" t="s">
        <v>2726</v>
      </c>
      <c r="F850" s="76" t="s">
        <v>3447</v>
      </c>
      <c r="G850" s="76" t="s">
        <v>2611</v>
      </c>
      <c r="H850" s="76">
        <v>44</v>
      </c>
      <c r="I850" s="76" t="s">
        <v>2684</v>
      </c>
      <c r="J850" s="80">
        <v>4452000</v>
      </c>
      <c r="K850" s="86"/>
      <c r="L850" s="80">
        <f t="shared" si="29"/>
        <v>4452000</v>
      </c>
      <c r="M850" s="80">
        <v>444857.14285714278</v>
      </c>
      <c r="N850" s="81">
        <f t="shared" si="30"/>
        <v>4007142.8571428573</v>
      </c>
    </row>
    <row r="851" spans="2:14">
      <c r="B851" s="76" t="s">
        <v>3461</v>
      </c>
      <c r="C851" s="76" t="s">
        <v>3124</v>
      </c>
      <c r="D851" s="76" t="s">
        <v>972</v>
      </c>
      <c r="E851" s="76" t="s">
        <v>2726</v>
      </c>
      <c r="F851" s="76" t="s">
        <v>3462</v>
      </c>
      <c r="G851" s="76" t="s">
        <v>2365</v>
      </c>
      <c r="H851" s="76">
        <v>44</v>
      </c>
      <c r="I851" s="76" t="s">
        <v>2684</v>
      </c>
      <c r="J851" s="80">
        <v>3600000</v>
      </c>
      <c r="K851" s="86"/>
      <c r="L851" s="80">
        <f t="shared" si="29"/>
        <v>3600000</v>
      </c>
      <c r="M851" s="80"/>
      <c r="N851" s="81">
        <f t="shared" si="30"/>
        <v>3600000</v>
      </c>
    </row>
    <row r="852" spans="2:14">
      <c r="B852" s="76" t="s">
        <v>3463</v>
      </c>
      <c r="C852" s="76" t="s">
        <v>3124</v>
      </c>
      <c r="D852" s="76" t="s">
        <v>233</v>
      </c>
      <c r="E852" s="76" t="s">
        <v>2726</v>
      </c>
      <c r="F852" s="76" t="s">
        <v>3462</v>
      </c>
      <c r="G852" s="76" t="s">
        <v>2368</v>
      </c>
      <c r="H852" s="76">
        <v>40</v>
      </c>
      <c r="I852" s="76" t="s">
        <v>2767</v>
      </c>
      <c r="J852" s="80">
        <v>3670000</v>
      </c>
      <c r="K852" s="86"/>
      <c r="L852" s="80">
        <f t="shared" si="29"/>
        <v>3670000</v>
      </c>
      <c r="M852" s="80">
        <v>0</v>
      </c>
      <c r="N852" s="81">
        <f t="shared" si="30"/>
        <v>3670000</v>
      </c>
    </row>
    <row r="853" spans="2:14">
      <c r="B853" s="76" t="s">
        <v>3464</v>
      </c>
      <c r="C853" s="76" t="s">
        <v>3124</v>
      </c>
      <c r="D853" s="76" t="s">
        <v>205</v>
      </c>
      <c r="E853" s="76" t="s">
        <v>2726</v>
      </c>
      <c r="F853" s="76" t="s">
        <v>3462</v>
      </c>
      <c r="G853" s="76" t="s">
        <v>2377</v>
      </c>
      <c r="H853" s="76">
        <v>40</v>
      </c>
      <c r="I853" s="76" t="s">
        <v>2767</v>
      </c>
      <c r="J853" s="80">
        <v>4494000</v>
      </c>
      <c r="K853" s="86"/>
      <c r="L853" s="80">
        <f t="shared" si="29"/>
        <v>4494000</v>
      </c>
      <c r="M853" s="80">
        <v>449999.99999999994</v>
      </c>
      <c r="N853" s="81">
        <f t="shared" si="30"/>
        <v>4044000</v>
      </c>
    </row>
    <row r="854" spans="2:14">
      <c r="B854" s="76" t="s">
        <v>3465</v>
      </c>
      <c r="C854" s="76" t="s">
        <v>3124</v>
      </c>
      <c r="D854" s="76" t="s">
        <v>233</v>
      </c>
      <c r="E854" s="76" t="s">
        <v>2726</v>
      </c>
      <c r="F854" s="76" t="s">
        <v>3462</v>
      </c>
      <c r="G854" s="76" t="s">
        <v>2379</v>
      </c>
      <c r="H854" s="76">
        <v>40</v>
      </c>
      <c r="I854" s="76" t="s">
        <v>2767</v>
      </c>
      <c r="J854" s="80">
        <v>4494000</v>
      </c>
      <c r="K854" s="86"/>
      <c r="L854" s="80">
        <f t="shared" ref="L854:L917" si="31">J854-K854</f>
        <v>4494000</v>
      </c>
      <c r="M854" s="80">
        <v>481499.99999999994</v>
      </c>
      <c r="N854" s="81">
        <f t="shared" ref="N854:N917" si="32">L854-M854</f>
        <v>4012500</v>
      </c>
    </row>
    <row r="855" spans="2:14">
      <c r="B855" s="76" t="s">
        <v>3466</v>
      </c>
      <c r="C855" s="76" t="s">
        <v>3124</v>
      </c>
      <c r="D855" s="76" t="s">
        <v>233</v>
      </c>
      <c r="E855" s="76" t="s">
        <v>2726</v>
      </c>
      <c r="F855" s="76" t="s">
        <v>3462</v>
      </c>
      <c r="G855" s="76" t="s">
        <v>2370</v>
      </c>
      <c r="H855" s="76">
        <v>40</v>
      </c>
      <c r="I855" s="76" t="s">
        <v>2767</v>
      </c>
      <c r="J855" s="80">
        <v>3600000</v>
      </c>
      <c r="K855" s="86"/>
      <c r="L855" s="80">
        <f t="shared" si="31"/>
        <v>3600000</v>
      </c>
      <c r="M855" s="80"/>
      <c r="N855" s="81">
        <f t="shared" si="32"/>
        <v>3600000</v>
      </c>
    </row>
    <row r="856" spans="2:14">
      <c r="B856" s="76" t="s">
        <v>3467</v>
      </c>
      <c r="C856" s="76" t="s">
        <v>3124</v>
      </c>
      <c r="D856" s="76" t="s">
        <v>205</v>
      </c>
      <c r="E856" s="76" t="s">
        <v>2726</v>
      </c>
      <c r="F856" s="76" t="s">
        <v>3462</v>
      </c>
      <c r="G856" s="76" t="s">
        <v>2372</v>
      </c>
      <c r="H856" s="76">
        <v>40</v>
      </c>
      <c r="I856" s="76" t="s">
        <v>2767</v>
      </c>
      <c r="J856" s="80">
        <v>3600000</v>
      </c>
      <c r="K856" s="86"/>
      <c r="L856" s="80">
        <f t="shared" si="31"/>
        <v>3600000</v>
      </c>
      <c r="M856" s="80"/>
      <c r="N856" s="81">
        <f t="shared" si="32"/>
        <v>3600000</v>
      </c>
    </row>
    <row r="857" spans="2:14">
      <c r="B857" s="76" t="s">
        <v>3468</v>
      </c>
      <c r="C857" s="76" t="s">
        <v>3124</v>
      </c>
      <c r="D857" s="76" t="s">
        <v>205</v>
      </c>
      <c r="E857" s="76" t="s">
        <v>2726</v>
      </c>
      <c r="F857" s="76" t="s">
        <v>3462</v>
      </c>
      <c r="G857" s="76" t="s">
        <v>2597</v>
      </c>
      <c r="H857" s="76">
        <v>44</v>
      </c>
      <c r="I857" s="76" t="s">
        <v>2684</v>
      </c>
      <c r="J857" s="80">
        <v>4914000</v>
      </c>
      <c r="K857" s="86"/>
      <c r="L857" s="80">
        <f t="shared" si="31"/>
        <v>4914000</v>
      </c>
      <c r="M857" s="80">
        <v>0</v>
      </c>
      <c r="N857" s="81">
        <f t="shared" si="32"/>
        <v>4914000</v>
      </c>
    </row>
    <row r="858" spans="2:14">
      <c r="B858" s="76" t="s">
        <v>3469</v>
      </c>
      <c r="C858" s="76" t="s">
        <v>3124</v>
      </c>
      <c r="D858" s="76" t="s">
        <v>205</v>
      </c>
      <c r="E858" s="76" t="s">
        <v>2726</v>
      </c>
      <c r="F858" s="76" t="s">
        <v>3462</v>
      </c>
      <c r="G858" s="76" t="s">
        <v>2599</v>
      </c>
      <c r="H858" s="76">
        <v>44</v>
      </c>
      <c r="I858" s="76" t="s">
        <v>2684</v>
      </c>
      <c r="J858" s="80">
        <v>4969000</v>
      </c>
      <c r="K858" s="86"/>
      <c r="L858" s="80">
        <f t="shared" si="31"/>
        <v>4969000</v>
      </c>
      <c r="M858" s="80">
        <v>0</v>
      </c>
      <c r="N858" s="81">
        <f t="shared" si="32"/>
        <v>4969000</v>
      </c>
    </row>
    <row r="859" spans="2:14">
      <c r="B859" s="76" t="s">
        <v>3470</v>
      </c>
      <c r="C859" s="76" t="s">
        <v>3124</v>
      </c>
      <c r="D859" s="76" t="s">
        <v>243</v>
      </c>
      <c r="E859" s="76" t="s">
        <v>2726</v>
      </c>
      <c r="F859" s="76" t="s">
        <v>3462</v>
      </c>
      <c r="G859" s="76" t="s">
        <v>2601</v>
      </c>
      <c r="H859" s="76">
        <v>40</v>
      </c>
      <c r="I859" s="76" t="s">
        <v>2767</v>
      </c>
      <c r="J859" s="80">
        <v>3600000</v>
      </c>
      <c r="K859" s="86"/>
      <c r="L859" s="80">
        <f t="shared" si="31"/>
        <v>3600000</v>
      </c>
      <c r="M859" s="80"/>
      <c r="N859" s="81">
        <f t="shared" si="32"/>
        <v>3600000</v>
      </c>
    </row>
    <row r="860" spans="2:14">
      <c r="B860" s="76" t="s">
        <v>3471</v>
      </c>
      <c r="C860" s="76" t="s">
        <v>3124</v>
      </c>
      <c r="D860" s="76" t="s">
        <v>205</v>
      </c>
      <c r="E860" s="76" t="s">
        <v>2726</v>
      </c>
      <c r="F860" s="76" t="s">
        <v>3462</v>
      </c>
      <c r="G860" s="76" t="s">
        <v>2603</v>
      </c>
      <c r="H860" s="76">
        <v>40</v>
      </c>
      <c r="I860" s="76" t="s">
        <v>2767</v>
      </c>
      <c r="J860" s="80">
        <v>4494000</v>
      </c>
      <c r="K860" s="86"/>
      <c r="L860" s="80">
        <f t="shared" si="31"/>
        <v>4494000</v>
      </c>
      <c r="M860" s="80">
        <v>449999.99999999994</v>
      </c>
      <c r="N860" s="81">
        <f t="shared" si="32"/>
        <v>4044000</v>
      </c>
    </row>
    <row r="861" spans="2:14">
      <c r="B861" s="76" t="s">
        <v>3472</v>
      </c>
      <c r="C861" s="76" t="s">
        <v>3124</v>
      </c>
      <c r="D861" s="76" t="s">
        <v>233</v>
      </c>
      <c r="E861" s="76" t="s">
        <v>2726</v>
      </c>
      <c r="F861" s="76" t="s">
        <v>3462</v>
      </c>
      <c r="G861" s="76" t="s">
        <v>2605</v>
      </c>
      <c r="H861" s="76">
        <v>40</v>
      </c>
      <c r="I861" s="76" t="s">
        <v>2767</v>
      </c>
      <c r="J861" s="80">
        <v>3600000</v>
      </c>
      <c r="K861" s="86"/>
      <c r="L861" s="80">
        <f t="shared" si="31"/>
        <v>3600000</v>
      </c>
      <c r="M861" s="80"/>
      <c r="N861" s="81">
        <f t="shared" si="32"/>
        <v>3600000</v>
      </c>
    </row>
    <row r="862" spans="2:14">
      <c r="B862" s="76" t="s">
        <v>3473</v>
      </c>
      <c r="C862" s="76" t="s">
        <v>3124</v>
      </c>
      <c r="D862" s="76" t="s">
        <v>205</v>
      </c>
      <c r="E862" s="76" t="s">
        <v>2726</v>
      </c>
      <c r="F862" s="76" t="s">
        <v>3462</v>
      </c>
      <c r="G862" s="76" t="s">
        <v>2607</v>
      </c>
      <c r="H862" s="76">
        <v>40</v>
      </c>
      <c r="I862" s="76" t="s">
        <v>2767</v>
      </c>
      <c r="J862" s="80">
        <v>3600000</v>
      </c>
      <c r="K862" s="86"/>
      <c r="L862" s="80">
        <f t="shared" si="31"/>
        <v>3600000</v>
      </c>
      <c r="M862" s="80"/>
      <c r="N862" s="81">
        <f t="shared" si="32"/>
        <v>3600000</v>
      </c>
    </row>
    <row r="863" spans="2:14">
      <c r="B863" s="76" t="s">
        <v>3474</v>
      </c>
      <c r="C863" s="76" t="s">
        <v>3124</v>
      </c>
      <c r="D863" s="76" t="s">
        <v>972</v>
      </c>
      <c r="E863" s="76" t="s">
        <v>2726</v>
      </c>
      <c r="F863" s="76" t="s">
        <v>3462</v>
      </c>
      <c r="G863" s="76" t="s">
        <v>2609</v>
      </c>
      <c r="H863" s="76">
        <v>44</v>
      </c>
      <c r="I863" s="76" t="s">
        <v>2684</v>
      </c>
      <c r="J863" s="80">
        <v>4914000</v>
      </c>
      <c r="K863" s="86"/>
      <c r="L863" s="80">
        <f t="shared" si="31"/>
        <v>4914000</v>
      </c>
      <c r="M863" s="80">
        <v>505071.42857142846</v>
      </c>
      <c r="N863" s="81">
        <f t="shared" si="32"/>
        <v>4408928.5714285718</v>
      </c>
    </row>
    <row r="864" spans="2:14">
      <c r="B864" s="76" t="s">
        <v>3475</v>
      </c>
      <c r="C864" s="76" t="s">
        <v>3124</v>
      </c>
      <c r="D864" s="76" t="s">
        <v>205</v>
      </c>
      <c r="E864" s="76" t="s">
        <v>2726</v>
      </c>
      <c r="F864" s="76" t="s">
        <v>3476</v>
      </c>
      <c r="G864" s="76" t="s">
        <v>2365</v>
      </c>
      <c r="H864" s="76">
        <v>44</v>
      </c>
      <c r="I864" s="76" t="s">
        <v>2684</v>
      </c>
      <c r="J864" s="80">
        <v>4477000</v>
      </c>
      <c r="K864" s="86"/>
      <c r="L864" s="80">
        <f t="shared" si="31"/>
        <v>4477000</v>
      </c>
      <c r="M864" s="80">
        <v>447535.71428571426</v>
      </c>
      <c r="N864" s="81">
        <f t="shared" si="32"/>
        <v>4029464.2857142859</v>
      </c>
    </row>
    <row r="865" spans="2:14">
      <c r="B865" s="76" t="s">
        <v>3477</v>
      </c>
      <c r="C865" s="76" t="s">
        <v>3124</v>
      </c>
      <c r="D865" s="76" t="s">
        <v>205</v>
      </c>
      <c r="E865" s="76" t="s">
        <v>2726</v>
      </c>
      <c r="F865" s="76" t="s">
        <v>3476</v>
      </c>
      <c r="G865" s="76" t="s">
        <v>2368</v>
      </c>
      <c r="H865" s="76">
        <v>40</v>
      </c>
      <c r="I865" s="76" t="s">
        <v>2767</v>
      </c>
      <c r="J865" s="80">
        <v>4544000</v>
      </c>
      <c r="K865" s="86"/>
      <c r="L865" s="80">
        <f t="shared" si="31"/>
        <v>4544000</v>
      </c>
      <c r="M865" s="80">
        <v>427500</v>
      </c>
      <c r="N865" s="81">
        <f t="shared" si="32"/>
        <v>4116500</v>
      </c>
    </row>
    <row r="866" spans="2:14">
      <c r="B866" s="76" t="s">
        <v>3478</v>
      </c>
      <c r="C866" s="76" t="s">
        <v>3124</v>
      </c>
      <c r="D866" s="76" t="s">
        <v>205</v>
      </c>
      <c r="E866" s="76" t="s">
        <v>2726</v>
      </c>
      <c r="F866" s="76" t="s">
        <v>3476</v>
      </c>
      <c r="G866" s="76" t="s">
        <v>2377</v>
      </c>
      <c r="H866" s="76">
        <v>40</v>
      </c>
      <c r="I866" s="76" t="s">
        <v>2767</v>
      </c>
      <c r="J866" s="80">
        <v>3700000</v>
      </c>
      <c r="K866" s="86"/>
      <c r="L866" s="80">
        <f t="shared" si="31"/>
        <v>3700000</v>
      </c>
      <c r="M866" s="80">
        <v>0</v>
      </c>
      <c r="N866" s="81">
        <f t="shared" si="32"/>
        <v>3700000</v>
      </c>
    </row>
    <row r="867" spans="2:14">
      <c r="B867" s="76" t="s">
        <v>3479</v>
      </c>
      <c r="C867" s="76" t="s">
        <v>3124</v>
      </c>
      <c r="D867" s="76" t="s">
        <v>205</v>
      </c>
      <c r="E867" s="76" t="s">
        <v>2726</v>
      </c>
      <c r="F867" s="76" t="s">
        <v>3476</v>
      </c>
      <c r="G867" s="76" t="s">
        <v>2379</v>
      </c>
      <c r="H867" s="76">
        <v>40</v>
      </c>
      <c r="I867" s="76" t="s">
        <v>2767</v>
      </c>
      <c r="J867" s="80">
        <v>4494000</v>
      </c>
      <c r="K867" s="86"/>
      <c r="L867" s="80">
        <f t="shared" si="31"/>
        <v>4494000</v>
      </c>
      <c r="M867" s="80">
        <v>460071.42857142846</v>
      </c>
      <c r="N867" s="81">
        <f t="shared" si="32"/>
        <v>4033928.5714285714</v>
      </c>
    </row>
    <row r="868" spans="2:14">
      <c r="B868" s="76" t="s">
        <v>3480</v>
      </c>
      <c r="C868" s="76" t="s">
        <v>3124</v>
      </c>
      <c r="D868" s="76" t="s">
        <v>205</v>
      </c>
      <c r="E868" s="76" t="s">
        <v>2726</v>
      </c>
      <c r="F868" s="76" t="s">
        <v>3476</v>
      </c>
      <c r="G868" s="76" t="s">
        <v>2370</v>
      </c>
      <c r="H868" s="76">
        <v>40</v>
      </c>
      <c r="I868" s="76" t="s">
        <v>2767</v>
      </c>
      <c r="J868" s="80">
        <v>3700000</v>
      </c>
      <c r="K868" s="86"/>
      <c r="L868" s="80">
        <f t="shared" si="31"/>
        <v>3700000</v>
      </c>
      <c r="M868" s="80">
        <v>393749.99999999994</v>
      </c>
      <c r="N868" s="81">
        <f t="shared" si="32"/>
        <v>3306250</v>
      </c>
    </row>
    <row r="869" spans="2:14">
      <c r="B869" s="76" t="s">
        <v>3481</v>
      </c>
      <c r="C869" s="76" t="s">
        <v>3124</v>
      </c>
      <c r="D869" s="76" t="s">
        <v>205</v>
      </c>
      <c r="E869" s="76" t="s">
        <v>2726</v>
      </c>
      <c r="F869" s="76" t="s">
        <v>3476</v>
      </c>
      <c r="G869" s="76" t="s">
        <v>2372</v>
      </c>
      <c r="H869" s="76">
        <v>40</v>
      </c>
      <c r="I869" s="76" t="s">
        <v>2767</v>
      </c>
      <c r="J869" s="80">
        <v>4096000</v>
      </c>
      <c r="K869" s="86"/>
      <c r="L869" s="80">
        <f t="shared" si="31"/>
        <v>4096000</v>
      </c>
      <c r="M869" s="80">
        <v>438857.14285714278</v>
      </c>
      <c r="N869" s="81">
        <f t="shared" si="32"/>
        <v>3657142.8571428573</v>
      </c>
    </row>
    <row r="870" spans="2:14">
      <c r="B870" s="76" t="s">
        <v>3482</v>
      </c>
      <c r="C870" s="76" t="s">
        <v>3124</v>
      </c>
      <c r="D870" s="76" t="s">
        <v>205</v>
      </c>
      <c r="E870" s="76" t="s">
        <v>2726</v>
      </c>
      <c r="F870" s="76" t="s">
        <v>3476</v>
      </c>
      <c r="G870" s="76" t="s">
        <v>2597</v>
      </c>
      <c r="H870" s="76">
        <v>44</v>
      </c>
      <c r="I870" s="76" t="s">
        <v>2684</v>
      </c>
      <c r="J870" s="80">
        <v>4969000</v>
      </c>
      <c r="K870" s="86"/>
      <c r="L870" s="80">
        <f t="shared" si="31"/>
        <v>4969000</v>
      </c>
      <c r="M870" s="80">
        <v>437678.57142857136</v>
      </c>
      <c r="N870" s="81">
        <f t="shared" si="32"/>
        <v>4531321.4285714291</v>
      </c>
    </row>
    <row r="871" spans="2:14">
      <c r="B871" s="76" t="s">
        <v>3483</v>
      </c>
      <c r="C871" s="76" t="s">
        <v>3124</v>
      </c>
      <c r="D871" s="76" t="s">
        <v>205</v>
      </c>
      <c r="E871" s="76" t="s">
        <v>2726</v>
      </c>
      <c r="F871" s="76" t="s">
        <v>3476</v>
      </c>
      <c r="G871" s="76" t="s">
        <v>2599</v>
      </c>
      <c r="H871" s="76">
        <v>44</v>
      </c>
      <c r="I871" s="76" t="s">
        <v>2684</v>
      </c>
      <c r="J871" s="80">
        <v>4477000</v>
      </c>
      <c r="K871" s="86"/>
      <c r="L871" s="80">
        <f t="shared" si="31"/>
        <v>4477000</v>
      </c>
      <c r="M871" s="80">
        <v>479678.57</v>
      </c>
      <c r="N871" s="81">
        <f t="shared" si="32"/>
        <v>3997321.43</v>
      </c>
    </row>
    <row r="872" spans="2:14">
      <c r="B872" s="76" t="s">
        <v>3484</v>
      </c>
      <c r="C872" s="76" t="s">
        <v>3124</v>
      </c>
      <c r="D872" s="76" t="s">
        <v>205</v>
      </c>
      <c r="E872" s="76" t="s">
        <v>2726</v>
      </c>
      <c r="F872" s="76" t="s">
        <v>3476</v>
      </c>
      <c r="G872" s="76" t="s">
        <v>2601</v>
      </c>
      <c r="H872" s="76">
        <v>40</v>
      </c>
      <c r="I872" s="76" t="s">
        <v>2767</v>
      </c>
      <c r="J872" s="80">
        <v>3700000</v>
      </c>
      <c r="K872" s="86"/>
      <c r="L872" s="80">
        <f t="shared" si="31"/>
        <v>3700000</v>
      </c>
      <c r="M872" s="80">
        <v>0</v>
      </c>
      <c r="N872" s="81">
        <f t="shared" si="32"/>
        <v>3700000</v>
      </c>
    </row>
    <row r="873" spans="2:14">
      <c r="B873" s="76" t="s">
        <v>3485</v>
      </c>
      <c r="C873" s="76" t="s">
        <v>3124</v>
      </c>
      <c r="D873" s="76" t="s">
        <v>972</v>
      </c>
      <c r="E873" s="76" t="s">
        <v>2726</v>
      </c>
      <c r="F873" s="76" t="s">
        <v>3476</v>
      </c>
      <c r="G873" s="76" t="s">
        <v>2603</v>
      </c>
      <c r="H873" s="76">
        <v>40</v>
      </c>
      <c r="I873" s="76" t="s">
        <v>2767</v>
      </c>
      <c r="J873" s="80">
        <v>3600000</v>
      </c>
      <c r="K873" s="86"/>
      <c r="L873" s="80">
        <f t="shared" si="31"/>
        <v>3600000</v>
      </c>
      <c r="M873" s="80"/>
      <c r="N873" s="81">
        <f t="shared" si="32"/>
        <v>3600000</v>
      </c>
    </row>
    <row r="874" spans="2:14">
      <c r="B874" s="76" t="s">
        <v>3486</v>
      </c>
      <c r="C874" s="76" t="s">
        <v>3124</v>
      </c>
      <c r="D874" s="76" t="s">
        <v>205</v>
      </c>
      <c r="E874" s="76" t="s">
        <v>2726</v>
      </c>
      <c r="F874" s="76" t="s">
        <v>3476</v>
      </c>
      <c r="G874" s="76" t="s">
        <v>2605</v>
      </c>
      <c r="H874" s="76">
        <v>40</v>
      </c>
      <c r="I874" s="76" t="s">
        <v>2767</v>
      </c>
      <c r="J874" s="80">
        <v>4096000</v>
      </c>
      <c r="K874" s="86"/>
      <c r="L874" s="80">
        <f t="shared" si="31"/>
        <v>4096000</v>
      </c>
      <c r="M874" s="80">
        <v>428142.8571428571</v>
      </c>
      <c r="N874" s="81">
        <f t="shared" si="32"/>
        <v>3667857.1428571427</v>
      </c>
    </row>
    <row r="875" spans="2:14">
      <c r="B875" s="76" t="s">
        <v>3487</v>
      </c>
      <c r="C875" s="76" t="s">
        <v>3124</v>
      </c>
      <c r="D875" s="76" t="s">
        <v>205</v>
      </c>
      <c r="E875" s="76" t="s">
        <v>2726</v>
      </c>
      <c r="F875" s="76" t="s">
        <v>3476</v>
      </c>
      <c r="G875" s="76" t="s">
        <v>2607</v>
      </c>
      <c r="H875" s="76">
        <v>40</v>
      </c>
      <c r="I875" s="76" t="s">
        <v>2767</v>
      </c>
      <c r="J875" s="80">
        <v>4544000</v>
      </c>
      <c r="K875" s="86"/>
      <c r="L875" s="80">
        <f t="shared" si="31"/>
        <v>4544000</v>
      </c>
      <c r="M875" s="80">
        <v>462514.29</v>
      </c>
      <c r="N875" s="81">
        <f t="shared" si="32"/>
        <v>4081485.71</v>
      </c>
    </row>
    <row r="876" spans="2:14">
      <c r="B876" s="76" t="s">
        <v>3488</v>
      </c>
      <c r="C876" s="76" t="s">
        <v>3124</v>
      </c>
      <c r="D876" s="76" t="s">
        <v>205</v>
      </c>
      <c r="E876" s="76" t="s">
        <v>2726</v>
      </c>
      <c r="F876" s="76" t="s">
        <v>3476</v>
      </c>
      <c r="G876" s="76" t="s">
        <v>2609</v>
      </c>
      <c r="H876" s="76">
        <v>40</v>
      </c>
      <c r="I876" s="76" t="s">
        <v>2767</v>
      </c>
      <c r="J876" s="80">
        <v>4544000</v>
      </c>
      <c r="K876" s="86"/>
      <c r="L876" s="80">
        <f t="shared" si="31"/>
        <v>4544000</v>
      </c>
      <c r="M876" s="80">
        <v>462514.29</v>
      </c>
      <c r="N876" s="81">
        <f t="shared" si="32"/>
        <v>4081485.71</v>
      </c>
    </row>
    <row r="877" spans="2:14">
      <c r="B877" s="76" t="s">
        <v>3489</v>
      </c>
      <c r="C877" s="76" t="s">
        <v>3124</v>
      </c>
      <c r="D877" s="76" t="s">
        <v>205</v>
      </c>
      <c r="E877" s="76" t="s">
        <v>2726</v>
      </c>
      <c r="F877" s="76" t="s">
        <v>3476</v>
      </c>
      <c r="G877" s="76" t="s">
        <v>2611</v>
      </c>
      <c r="H877" s="76">
        <v>44</v>
      </c>
      <c r="I877" s="76" t="s">
        <v>2684</v>
      </c>
      <c r="J877" s="80">
        <v>4969000</v>
      </c>
      <c r="K877" s="86"/>
      <c r="L877" s="80">
        <f t="shared" si="31"/>
        <v>4969000</v>
      </c>
      <c r="M877" s="80">
        <v>505773.21</v>
      </c>
      <c r="N877" s="81">
        <f t="shared" si="32"/>
        <v>4463226.79</v>
      </c>
    </row>
    <row r="878" spans="2:14">
      <c r="B878" s="76" t="s">
        <v>3490</v>
      </c>
      <c r="C878" s="76" t="s">
        <v>3124</v>
      </c>
      <c r="D878" s="76" t="s">
        <v>205</v>
      </c>
      <c r="E878" s="76" t="s">
        <v>3491</v>
      </c>
      <c r="F878" s="76" t="s">
        <v>3492</v>
      </c>
      <c r="G878" s="87">
        <v>1</v>
      </c>
      <c r="H878" s="76">
        <v>12.5</v>
      </c>
      <c r="I878" s="76" t="s">
        <v>2546</v>
      </c>
      <c r="J878" s="80">
        <v>1000000</v>
      </c>
      <c r="K878" s="86"/>
      <c r="L878" s="80">
        <f t="shared" si="31"/>
        <v>1000000</v>
      </c>
      <c r="M878" s="80">
        <v>99642.86</v>
      </c>
      <c r="N878" s="81">
        <f t="shared" si="32"/>
        <v>900357.14</v>
      </c>
    </row>
    <row r="879" spans="2:14">
      <c r="B879" s="76" t="s">
        <v>3493</v>
      </c>
      <c r="C879" s="76" t="s">
        <v>3124</v>
      </c>
      <c r="D879" s="76" t="s">
        <v>205</v>
      </c>
      <c r="E879" s="76" t="s">
        <v>3491</v>
      </c>
      <c r="F879" s="76" t="s">
        <v>3492</v>
      </c>
      <c r="G879" s="87">
        <v>2</v>
      </c>
      <c r="H879" s="76">
        <v>12.5</v>
      </c>
      <c r="I879" s="76" t="s">
        <v>2546</v>
      </c>
      <c r="J879" s="80">
        <v>1000000</v>
      </c>
      <c r="K879" s="86"/>
      <c r="L879" s="80">
        <f t="shared" si="31"/>
        <v>1000000</v>
      </c>
      <c r="M879" s="80">
        <v>107142.85714285712</v>
      </c>
      <c r="N879" s="81">
        <f t="shared" si="32"/>
        <v>892857.14285714284</v>
      </c>
    </row>
    <row r="880" spans="2:14">
      <c r="B880" s="76" t="s">
        <v>3494</v>
      </c>
      <c r="C880" s="76" t="s">
        <v>3124</v>
      </c>
      <c r="D880" s="76" t="s">
        <v>205</v>
      </c>
      <c r="E880" s="76" t="s">
        <v>3491</v>
      </c>
      <c r="F880" s="76" t="s">
        <v>3492</v>
      </c>
      <c r="G880" s="87">
        <v>3</v>
      </c>
      <c r="H880" s="76">
        <v>12.5</v>
      </c>
      <c r="I880" s="76" t="s">
        <v>2546</v>
      </c>
      <c r="J880" s="80">
        <v>1000000</v>
      </c>
      <c r="K880" s="86"/>
      <c r="L880" s="80">
        <f t="shared" si="31"/>
        <v>1000000</v>
      </c>
      <c r="M880" s="80">
        <v>107142.86</v>
      </c>
      <c r="N880" s="81">
        <f t="shared" si="32"/>
        <v>892857.14</v>
      </c>
    </row>
    <row r="881" spans="2:14">
      <c r="B881" s="76" t="s">
        <v>3495</v>
      </c>
      <c r="C881" s="76" t="s">
        <v>3124</v>
      </c>
      <c r="D881" s="76" t="s">
        <v>205</v>
      </c>
      <c r="E881" s="76" t="s">
        <v>3491</v>
      </c>
      <c r="F881" s="76" t="s">
        <v>3492</v>
      </c>
      <c r="G881" s="87">
        <v>4</v>
      </c>
      <c r="H881" s="76">
        <v>12.5</v>
      </c>
      <c r="I881" s="76" t="s">
        <v>2546</v>
      </c>
      <c r="J881" s="80">
        <v>1000000</v>
      </c>
      <c r="K881" s="86"/>
      <c r="L881" s="80">
        <f t="shared" si="31"/>
        <v>1000000</v>
      </c>
      <c r="M881" s="80">
        <v>101785.71</v>
      </c>
      <c r="N881" s="81">
        <f t="shared" si="32"/>
        <v>898214.29</v>
      </c>
    </row>
    <row r="882" spans="2:14">
      <c r="B882" s="76" t="s">
        <v>3496</v>
      </c>
      <c r="C882" s="76" t="s">
        <v>3124</v>
      </c>
      <c r="D882" s="76" t="s">
        <v>205</v>
      </c>
      <c r="E882" s="76" t="s">
        <v>3491</v>
      </c>
      <c r="F882" s="76" t="s">
        <v>3492</v>
      </c>
      <c r="G882" s="87">
        <v>5</v>
      </c>
      <c r="H882" s="76">
        <v>12.5</v>
      </c>
      <c r="I882" s="76" t="s">
        <v>2546</v>
      </c>
      <c r="J882" s="80">
        <v>1000000</v>
      </c>
      <c r="K882" s="86"/>
      <c r="L882" s="80">
        <f t="shared" si="31"/>
        <v>1000000</v>
      </c>
      <c r="M882" s="80">
        <v>101785.71428571428</v>
      </c>
      <c r="N882" s="81">
        <f t="shared" si="32"/>
        <v>898214.28571428568</v>
      </c>
    </row>
    <row r="883" spans="2:14">
      <c r="B883" s="76" t="s">
        <v>3497</v>
      </c>
      <c r="C883" s="76" t="s">
        <v>3124</v>
      </c>
      <c r="D883" s="76" t="s">
        <v>205</v>
      </c>
      <c r="E883" s="76" t="s">
        <v>3491</v>
      </c>
      <c r="F883" s="76" t="s">
        <v>3492</v>
      </c>
      <c r="G883" s="87">
        <v>6</v>
      </c>
      <c r="H883" s="76">
        <v>12.5</v>
      </c>
      <c r="I883" s="76" t="s">
        <v>2546</v>
      </c>
      <c r="J883" s="80">
        <v>1000000</v>
      </c>
      <c r="K883" s="86"/>
      <c r="L883" s="80">
        <f t="shared" si="31"/>
        <v>1000000</v>
      </c>
      <c r="M883" s="80">
        <v>107142.85714285712</v>
      </c>
      <c r="N883" s="81">
        <f t="shared" si="32"/>
        <v>892857.14285714284</v>
      </c>
    </row>
    <row r="884" spans="2:14">
      <c r="B884" s="76" t="s">
        <v>3498</v>
      </c>
      <c r="C884" s="76" t="s">
        <v>3124</v>
      </c>
      <c r="D884" s="76" t="s">
        <v>205</v>
      </c>
      <c r="E884" s="76" t="s">
        <v>3491</v>
      </c>
      <c r="F884" s="76" t="s">
        <v>3492</v>
      </c>
      <c r="G884" s="87">
        <v>7</v>
      </c>
      <c r="H884" s="76">
        <v>12.5</v>
      </c>
      <c r="I884" s="76" t="s">
        <v>2546</v>
      </c>
      <c r="J884" s="80">
        <v>1000000</v>
      </c>
      <c r="K884" s="86"/>
      <c r="L884" s="80">
        <f t="shared" si="31"/>
        <v>1000000</v>
      </c>
      <c r="M884" s="80">
        <v>107142.86</v>
      </c>
      <c r="N884" s="81">
        <f t="shared" si="32"/>
        <v>892857.14</v>
      </c>
    </row>
    <row r="885" spans="2:14">
      <c r="B885" s="76" t="s">
        <v>3499</v>
      </c>
      <c r="C885" s="76" t="s">
        <v>3124</v>
      </c>
      <c r="D885" s="76" t="s">
        <v>205</v>
      </c>
      <c r="E885" s="76" t="s">
        <v>3491</v>
      </c>
      <c r="F885" s="76" t="s">
        <v>3492</v>
      </c>
      <c r="G885" s="87">
        <v>8</v>
      </c>
      <c r="H885" s="76">
        <v>12.5</v>
      </c>
      <c r="I885" s="76" t="s">
        <v>2546</v>
      </c>
      <c r="J885" s="80">
        <v>1000000</v>
      </c>
      <c r="K885" s="86"/>
      <c r="L885" s="80">
        <f t="shared" si="31"/>
        <v>1000000</v>
      </c>
      <c r="M885" s="80">
        <v>107142.86</v>
      </c>
      <c r="N885" s="81">
        <f t="shared" si="32"/>
        <v>892857.14</v>
      </c>
    </row>
    <row r="886" spans="2:14">
      <c r="B886" s="76" t="s">
        <v>3500</v>
      </c>
      <c r="C886" s="76" t="s">
        <v>3124</v>
      </c>
      <c r="D886" s="76" t="s">
        <v>205</v>
      </c>
      <c r="E886" s="76" t="s">
        <v>3491</v>
      </c>
      <c r="F886" s="76" t="s">
        <v>3492</v>
      </c>
      <c r="G886" s="87">
        <v>9</v>
      </c>
      <c r="H886" s="76">
        <v>12.5</v>
      </c>
      <c r="I886" s="76" t="s">
        <v>2546</v>
      </c>
      <c r="J886" s="80">
        <v>1000000</v>
      </c>
      <c r="K886" s="86"/>
      <c r="L886" s="80">
        <f t="shared" si="31"/>
        <v>1000000</v>
      </c>
      <c r="M886" s="80">
        <v>107142.857142857</v>
      </c>
      <c r="N886" s="81">
        <f t="shared" si="32"/>
        <v>892857.14285714296</v>
      </c>
    </row>
    <row r="887" spans="2:14">
      <c r="B887" s="76" t="s">
        <v>3501</v>
      </c>
      <c r="C887" s="76" t="s">
        <v>3124</v>
      </c>
      <c r="D887" s="76" t="s">
        <v>205</v>
      </c>
      <c r="E887" s="76" t="s">
        <v>3491</v>
      </c>
      <c r="F887" s="76" t="s">
        <v>3492</v>
      </c>
      <c r="G887" s="87">
        <v>10</v>
      </c>
      <c r="H887" s="76">
        <v>12.5</v>
      </c>
      <c r="I887" s="76" t="s">
        <v>2546</v>
      </c>
      <c r="J887" s="80">
        <v>1000000</v>
      </c>
      <c r="K887" s="86"/>
      <c r="L887" s="80">
        <f t="shared" si="31"/>
        <v>1000000</v>
      </c>
      <c r="M887" s="80">
        <v>107142.85714285712</v>
      </c>
      <c r="N887" s="81">
        <f t="shared" si="32"/>
        <v>892857.14285714284</v>
      </c>
    </row>
    <row r="888" spans="2:14">
      <c r="B888" s="76" t="s">
        <v>3502</v>
      </c>
      <c r="C888" s="76" t="s">
        <v>3124</v>
      </c>
      <c r="D888" s="76" t="s">
        <v>205</v>
      </c>
      <c r="E888" s="76" t="s">
        <v>3491</v>
      </c>
      <c r="F888" s="76" t="s">
        <v>3492</v>
      </c>
      <c r="G888" s="87">
        <v>11</v>
      </c>
      <c r="H888" s="76">
        <v>12.5</v>
      </c>
      <c r="I888" s="76" t="s">
        <v>2546</v>
      </c>
      <c r="J888" s="80">
        <v>1000000</v>
      </c>
      <c r="K888" s="86"/>
      <c r="L888" s="80">
        <f t="shared" si="31"/>
        <v>1000000</v>
      </c>
      <c r="M888" s="80">
        <v>107142.85714285712</v>
      </c>
      <c r="N888" s="81">
        <f t="shared" si="32"/>
        <v>892857.14285714284</v>
      </c>
    </row>
    <row r="889" spans="2:14">
      <c r="B889" s="76" t="s">
        <v>3503</v>
      </c>
      <c r="C889" s="76" t="s">
        <v>3124</v>
      </c>
      <c r="D889" s="76" t="s">
        <v>205</v>
      </c>
      <c r="E889" s="76" t="s">
        <v>3491</v>
      </c>
      <c r="F889" s="76" t="s">
        <v>3492</v>
      </c>
      <c r="G889" s="87">
        <v>12</v>
      </c>
      <c r="H889" s="76">
        <v>12.5</v>
      </c>
      <c r="I889" s="76" t="s">
        <v>2546</v>
      </c>
      <c r="J889" s="80">
        <v>1000000</v>
      </c>
      <c r="K889" s="86"/>
      <c r="L889" s="80">
        <f t="shared" si="31"/>
        <v>1000000</v>
      </c>
      <c r="M889" s="80">
        <v>107142.85714285712</v>
      </c>
      <c r="N889" s="81">
        <f t="shared" si="32"/>
        <v>892857.14285714284</v>
      </c>
    </row>
    <row r="890" spans="2:14">
      <c r="B890" s="76" t="s">
        <v>3504</v>
      </c>
      <c r="C890" s="76" t="s">
        <v>3124</v>
      </c>
      <c r="D890" s="76" t="s">
        <v>205</v>
      </c>
      <c r="E890" s="76" t="s">
        <v>3491</v>
      </c>
      <c r="F890" s="76" t="s">
        <v>3492</v>
      </c>
      <c r="G890" s="87">
        <v>13</v>
      </c>
      <c r="H890" s="76">
        <v>12.5</v>
      </c>
      <c r="I890" s="76" t="s">
        <v>2546</v>
      </c>
      <c r="J890" s="80">
        <v>1000000</v>
      </c>
      <c r="K890" s="86"/>
      <c r="L890" s="80">
        <f t="shared" si="31"/>
        <v>1000000</v>
      </c>
      <c r="M890" s="80">
        <v>103928.57142857142</v>
      </c>
      <c r="N890" s="81">
        <f t="shared" si="32"/>
        <v>896071.42857142864</v>
      </c>
    </row>
    <row r="891" spans="2:14">
      <c r="B891" s="76" t="s">
        <v>3505</v>
      </c>
      <c r="C891" s="76" t="s">
        <v>3124</v>
      </c>
      <c r="D891" s="76" t="s">
        <v>205</v>
      </c>
      <c r="E891" s="76" t="s">
        <v>3491</v>
      </c>
      <c r="F891" s="76" t="s">
        <v>3492</v>
      </c>
      <c r="G891" s="87">
        <v>14</v>
      </c>
      <c r="H891" s="76">
        <v>12.5</v>
      </c>
      <c r="I891" s="76" t="s">
        <v>2546</v>
      </c>
      <c r="J891" s="80">
        <v>1000000</v>
      </c>
      <c r="K891" s="86"/>
      <c r="L891" s="80">
        <f t="shared" si="31"/>
        <v>1000000</v>
      </c>
      <c r="M891" s="80">
        <v>101785.71</v>
      </c>
      <c r="N891" s="81">
        <f t="shared" si="32"/>
        <v>898214.29</v>
      </c>
    </row>
    <row r="892" spans="2:14">
      <c r="B892" s="76" t="s">
        <v>3506</v>
      </c>
      <c r="C892" s="76" t="s">
        <v>3124</v>
      </c>
      <c r="D892" s="76" t="s">
        <v>205</v>
      </c>
      <c r="E892" s="76" t="s">
        <v>3491</v>
      </c>
      <c r="F892" s="76" t="s">
        <v>3492</v>
      </c>
      <c r="G892" s="87">
        <v>15</v>
      </c>
      <c r="H892" s="76">
        <v>12.5</v>
      </c>
      <c r="I892" s="76" t="s">
        <v>2546</v>
      </c>
      <c r="J892" s="80">
        <v>850000</v>
      </c>
      <c r="K892" s="86"/>
      <c r="L892" s="80">
        <f t="shared" si="31"/>
        <v>850000</v>
      </c>
      <c r="M892" s="80">
        <v>91071.428571428565</v>
      </c>
      <c r="N892" s="81">
        <f t="shared" si="32"/>
        <v>758928.57142857148</v>
      </c>
    </row>
    <row r="893" spans="2:14">
      <c r="B893" s="76" t="s">
        <v>3507</v>
      </c>
      <c r="C893" s="76" t="s">
        <v>3124</v>
      </c>
      <c r="D893" s="76" t="s">
        <v>205</v>
      </c>
      <c r="E893" s="76" t="s">
        <v>3491</v>
      </c>
      <c r="F893" s="76" t="s">
        <v>3492</v>
      </c>
      <c r="G893" s="87">
        <v>16</v>
      </c>
      <c r="H893" s="76">
        <v>12.5</v>
      </c>
      <c r="I893" s="76" t="s">
        <v>2546</v>
      </c>
      <c r="J893" s="80">
        <v>1000000</v>
      </c>
      <c r="K893" s="86"/>
      <c r="L893" s="80">
        <f t="shared" si="31"/>
        <v>1000000</v>
      </c>
      <c r="M893" s="80">
        <v>107142.85714285712</v>
      </c>
      <c r="N893" s="81">
        <f t="shared" si="32"/>
        <v>892857.14285714284</v>
      </c>
    </row>
    <row r="894" spans="2:14">
      <c r="B894" s="76" t="s">
        <v>3508</v>
      </c>
      <c r="C894" s="76" t="s">
        <v>3124</v>
      </c>
      <c r="D894" s="76" t="s">
        <v>205</v>
      </c>
      <c r="E894" s="76" t="s">
        <v>3491</v>
      </c>
      <c r="F894" s="76" t="s">
        <v>3492</v>
      </c>
      <c r="G894" s="87">
        <v>17</v>
      </c>
      <c r="H894" s="76">
        <v>12.5</v>
      </c>
      <c r="I894" s="76" t="s">
        <v>2546</v>
      </c>
      <c r="J894" s="80">
        <v>1000000</v>
      </c>
      <c r="K894" s="86"/>
      <c r="L894" s="80">
        <f t="shared" si="31"/>
        <v>1000000</v>
      </c>
      <c r="M894" s="80">
        <v>107142.86</v>
      </c>
      <c r="N894" s="81">
        <f t="shared" si="32"/>
        <v>892857.14</v>
      </c>
    </row>
    <row r="895" spans="2:14">
      <c r="B895" s="76" t="s">
        <v>3509</v>
      </c>
      <c r="C895" s="76" t="s">
        <v>3124</v>
      </c>
      <c r="D895" s="76" t="s">
        <v>205</v>
      </c>
      <c r="E895" s="76" t="s">
        <v>3491</v>
      </c>
      <c r="F895" s="76" t="s">
        <v>3492</v>
      </c>
      <c r="G895" s="87">
        <v>18</v>
      </c>
      <c r="H895" s="76">
        <v>12.5</v>
      </c>
      <c r="I895" s="76" t="s">
        <v>2546</v>
      </c>
      <c r="J895" s="80">
        <v>1000000</v>
      </c>
      <c r="K895" s="86"/>
      <c r="L895" s="80">
        <f t="shared" si="31"/>
        <v>1000000</v>
      </c>
      <c r="M895" s="80">
        <v>107142.85714285712</v>
      </c>
      <c r="N895" s="81">
        <f t="shared" si="32"/>
        <v>892857.14285714284</v>
      </c>
    </row>
    <row r="896" spans="2:14">
      <c r="B896" s="76" t="s">
        <v>3510</v>
      </c>
      <c r="C896" s="76" t="s">
        <v>3124</v>
      </c>
      <c r="D896" s="76" t="s">
        <v>205</v>
      </c>
      <c r="E896" s="76" t="s">
        <v>3491</v>
      </c>
      <c r="F896" s="76" t="s">
        <v>3492</v>
      </c>
      <c r="G896" s="87">
        <v>19</v>
      </c>
      <c r="H896" s="76">
        <v>12.5</v>
      </c>
      <c r="I896" s="76" t="s">
        <v>2546</v>
      </c>
      <c r="J896" s="80">
        <v>1000000</v>
      </c>
      <c r="K896" s="86"/>
      <c r="L896" s="80">
        <f t="shared" si="31"/>
        <v>1000000</v>
      </c>
      <c r="M896" s="80">
        <v>107142.86</v>
      </c>
      <c r="N896" s="81">
        <f t="shared" si="32"/>
        <v>892857.14</v>
      </c>
    </row>
    <row r="897" spans="2:14">
      <c r="B897" s="76" t="s">
        <v>3511</v>
      </c>
      <c r="C897" s="76" t="s">
        <v>3124</v>
      </c>
      <c r="D897" s="76" t="s">
        <v>205</v>
      </c>
      <c r="E897" s="76" t="s">
        <v>3491</v>
      </c>
      <c r="F897" s="76" t="s">
        <v>3492</v>
      </c>
      <c r="G897" s="87">
        <v>20</v>
      </c>
      <c r="H897" s="76">
        <v>12.5</v>
      </c>
      <c r="I897" s="76" t="s">
        <v>2546</v>
      </c>
      <c r="J897" s="80">
        <v>1000000</v>
      </c>
      <c r="K897" s="86"/>
      <c r="L897" s="80">
        <f t="shared" si="31"/>
        <v>1000000</v>
      </c>
      <c r="M897" s="80">
        <v>107142.86</v>
      </c>
      <c r="N897" s="81">
        <f t="shared" si="32"/>
        <v>892857.14</v>
      </c>
    </row>
    <row r="898" spans="2:14">
      <c r="B898" s="76" t="s">
        <v>3512</v>
      </c>
      <c r="C898" s="76" t="s">
        <v>3124</v>
      </c>
      <c r="D898" s="76" t="s">
        <v>205</v>
      </c>
      <c r="E898" s="76" t="s">
        <v>3491</v>
      </c>
      <c r="F898" s="76" t="s">
        <v>3492</v>
      </c>
      <c r="G898" s="87">
        <v>21</v>
      </c>
      <c r="H898" s="76">
        <v>12.5</v>
      </c>
      <c r="I898" s="76" t="s">
        <v>2546</v>
      </c>
      <c r="J898" s="80">
        <v>1000000</v>
      </c>
      <c r="K898" s="86"/>
      <c r="L898" s="80">
        <f t="shared" si="31"/>
        <v>1000000</v>
      </c>
      <c r="M898" s="80">
        <v>101785.71</v>
      </c>
      <c r="N898" s="81">
        <f t="shared" si="32"/>
        <v>898214.29</v>
      </c>
    </row>
    <row r="899" spans="2:14">
      <c r="B899" s="76" t="s">
        <v>3513</v>
      </c>
      <c r="C899" s="76" t="s">
        <v>3124</v>
      </c>
      <c r="D899" s="76" t="s">
        <v>205</v>
      </c>
      <c r="E899" s="76" t="s">
        <v>3491</v>
      </c>
      <c r="F899" s="76" t="s">
        <v>3492</v>
      </c>
      <c r="G899" s="87">
        <v>22</v>
      </c>
      <c r="H899" s="76">
        <v>12.5</v>
      </c>
      <c r="I899" s="76" t="s">
        <v>2546</v>
      </c>
      <c r="J899" s="80">
        <v>1000000</v>
      </c>
      <c r="K899" s="86"/>
      <c r="L899" s="80">
        <f t="shared" si="31"/>
        <v>1000000</v>
      </c>
      <c r="M899" s="80">
        <v>107142.86</v>
      </c>
      <c r="N899" s="81">
        <f t="shared" si="32"/>
        <v>892857.14</v>
      </c>
    </row>
    <row r="900" spans="2:14">
      <c r="B900" s="76" t="s">
        <v>3514</v>
      </c>
      <c r="C900" s="76" t="s">
        <v>3124</v>
      </c>
      <c r="D900" s="76" t="s">
        <v>205</v>
      </c>
      <c r="E900" s="76" t="s">
        <v>3491</v>
      </c>
      <c r="F900" s="76" t="s">
        <v>3492</v>
      </c>
      <c r="G900" s="87">
        <v>23</v>
      </c>
      <c r="H900" s="76">
        <v>12.5</v>
      </c>
      <c r="I900" s="76" t="s">
        <v>2546</v>
      </c>
      <c r="J900" s="80">
        <v>1000000</v>
      </c>
      <c r="K900" s="86"/>
      <c r="L900" s="80">
        <f t="shared" si="31"/>
        <v>1000000</v>
      </c>
      <c r="M900" s="80">
        <v>107142.85714285712</v>
      </c>
      <c r="N900" s="81">
        <f t="shared" si="32"/>
        <v>892857.14285714284</v>
      </c>
    </row>
    <row r="901" spans="2:14">
      <c r="B901" s="76" t="s">
        <v>3515</v>
      </c>
      <c r="C901" s="76" t="s">
        <v>3124</v>
      </c>
      <c r="D901" s="76" t="s">
        <v>205</v>
      </c>
      <c r="E901" s="76" t="s">
        <v>3491</v>
      </c>
      <c r="F901" s="76" t="s">
        <v>3492</v>
      </c>
      <c r="G901" s="87">
        <v>24</v>
      </c>
      <c r="H901" s="76">
        <v>12.5</v>
      </c>
      <c r="I901" s="76" t="s">
        <v>2546</v>
      </c>
      <c r="J901" s="80">
        <v>1000000</v>
      </c>
      <c r="K901" s="86"/>
      <c r="L901" s="80">
        <f t="shared" si="31"/>
        <v>1000000</v>
      </c>
      <c r="M901" s="80">
        <v>107142.85714285712</v>
      </c>
      <c r="N901" s="81">
        <f t="shared" si="32"/>
        <v>892857.14285714284</v>
      </c>
    </row>
    <row r="902" spans="2:14">
      <c r="B902" s="76" t="s">
        <v>3516</v>
      </c>
      <c r="C902" s="76" t="s">
        <v>3124</v>
      </c>
      <c r="D902" s="76" t="s">
        <v>205</v>
      </c>
      <c r="E902" s="76" t="s">
        <v>3491</v>
      </c>
      <c r="F902" s="76" t="s">
        <v>3492</v>
      </c>
      <c r="G902" s="87">
        <v>25</v>
      </c>
      <c r="H902" s="76">
        <v>12.5</v>
      </c>
      <c r="I902" s="76" t="s">
        <v>2546</v>
      </c>
      <c r="J902" s="80">
        <v>1000000</v>
      </c>
      <c r="K902" s="86"/>
      <c r="L902" s="80">
        <f t="shared" si="31"/>
        <v>1000000</v>
      </c>
      <c r="M902" s="80">
        <v>106071.42857142857</v>
      </c>
      <c r="N902" s="81">
        <f t="shared" si="32"/>
        <v>893928.57142857148</v>
      </c>
    </row>
    <row r="903" spans="2:14">
      <c r="B903" s="76" t="s">
        <v>3517</v>
      </c>
      <c r="C903" s="76" t="s">
        <v>3124</v>
      </c>
      <c r="D903" s="76" t="s">
        <v>205</v>
      </c>
      <c r="E903" s="76" t="s">
        <v>3491</v>
      </c>
      <c r="F903" s="76" t="s">
        <v>3492</v>
      </c>
      <c r="G903" s="87">
        <v>26</v>
      </c>
      <c r="H903" s="76">
        <v>12.5</v>
      </c>
      <c r="I903" s="76" t="s">
        <v>2546</v>
      </c>
      <c r="J903" s="80">
        <v>1000000</v>
      </c>
      <c r="K903" s="86"/>
      <c r="L903" s="80">
        <f t="shared" si="31"/>
        <v>1000000</v>
      </c>
      <c r="M903" s="80">
        <v>107142.85714285712</v>
      </c>
      <c r="N903" s="81">
        <f t="shared" si="32"/>
        <v>892857.14285714284</v>
      </c>
    </row>
    <row r="904" spans="2:14">
      <c r="B904" s="76" t="s">
        <v>3518</v>
      </c>
      <c r="C904" s="76" t="s">
        <v>3124</v>
      </c>
      <c r="D904" s="76" t="s">
        <v>205</v>
      </c>
      <c r="E904" s="76" t="s">
        <v>3491</v>
      </c>
      <c r="F904" s="76" t="s">
        <v>3519</v>
      </c>
      <c r="G904" s="76">
        <v>1</v>
      </c>
      <c r="H904" s="76">
        <v>12.5</v>
      </c>
      <c r="I904" s="76" t="s">
        <v>2546</v>
      </c>
      <c r="J904" s="80">
        <v>1000000</v>
      </c>
      <c r="K904" s="86"/>
      <c r="L904" s="80">
        <f t="shared" si="31"/>
        <v>1000000</v>
      </c>
      <c r="M904" s="80">
        <v>101785.71428571428</v>
      </c>
      <c r="N904" s="81">
        <f t="shared" si="32"/>
        <v>898214.28571428568</v>
      </c>
    </row>
    <row r="905" spans="2:14">
      <c r="B905" s="76" t="s">
        <v>3520</v>
      </c>
      <c r="C905" s="76" t="s">
        <v>3124</v>
      </c>
      <c r="D905" s="76" t="s">
        <v>205</v>
      </c>
      <c r="E905" s="76" t="s">
        <v>3491</v>
      </c>
      <c r="F905" s="76" t="s">
        <v>3519</v>
      </c>
      <c r="G905" s="76">
        <v>2</v>
      </c>
      <c r="H905" s="76">
        <v>12.5</v>
      </c>
      <c r="I905" s="76" t="s">
        <v>2546</v>
      </c>
      <c r="J905" s="80">
        <v>1000000</v>
      </c>
      <c r="K905" s="86"/>
      <c r="L905" s="80">
        <f t="shared" si="31"/>
        <v>1000000</v>
      </c>
      <c r="M905" s="80">
        <v>107142.86</v>
      </c>
      <c r="N905" s="81">
        <f t="shared" si="32"/>
        <v>892857.14</v>
      </c>
    </row>
    <row r="906" spans="2:14">
      <c r="B906" s="76" t="s">
        <v>3521</v>
      </c>
      <c r="C906" s="76" t="s">
        <v>3124</v>
      </c>
      <c r="D906" s="76" t="s">
        <v>205</v>
      </c>
      <c r="E906" s="76" t="s">
        <v>3491</v>
      </c>
      <c r="F906" s="76" t="s">
        <v>3519</v>
      </c>
      <c r="G906" s="76">
        <v>3</v>
      </c>
      <c r="H906" s="76">
        <v>12.5</v>
      </c>
      <c r="I906" s="76" t="s">
        <v>2546</v>
      </c>
      <c r="J906" s="80">
        <v>1000000</v>
      </c>
      <c r="K906" s="86"/>
      <c r="L906" s="80">
        <f t="shared" si="31"/>
        <v>1000000</v>
      </c>
      <c r="M906" s="80">
        <v>107142.86</v>
      </c>
      <c r="N906" s="81">
        <f t="shared" si="32"/>
        <v>892857.14</v>
      </c>
    </row>
    <row r="907" spans="2:14">
      <c r="B907" s="76" t="s">
        <v>3522</v>
      </c>
      <c r="C907" s="76" t="s">
        <v>3124</v>
      </c>
      <c r="D907" s="76" t="s">
        <v>972</v>
      </c>
      <c r="E907" s="76" t="s">
        <v>3491</v>
      </c>
      <c r="F907" s="76" t="s">
        <v>3519</v>
      </c>
      <c r="G907" s="76">
        <v>4</v>
      </c>
      <c r="H907" s="76">
        <v>12.5</v>
      </c>
      <c r="I907" s="76" t="s">
        <v>2546</v>
      </c>
      <c r="J907" s="80">
        <v>1000000</v>
      </c>
      <c r="K907" s="86"/>
      <c r="L907" s="80">
        <f t="shared" si="31"/>
        <v>1000000</v>
      </c>
      <c r="M907" s="80">
        <v>107142.86</v>
      </c>
      <c r="N907" s="81">
        <f t="shared" si="32"/>
        <v>892857.14</v>
      </c>
    </row>
    <row r="908" spans="2:14">
      <c r="B908" s="76" t="s">
        <v>3523</v>
      </c>
      <c r="C908" s="76" t="s">
        <v>3124</v>
      </c>
      <c r="D908" s="76" t="s">
        <v>205</v>
      </c>
      <c r="E908" s="76" t="s">
        <v>3491</v>
      </c>
      <c r="F908" s="76" t="s">
        <v>3519</v>
      </c>
      <c r="G908" s="76">
        <v>5</v>
      </c>
      <c r="H908" s="76">
        <v>12.5</v>
      </c>
      <c r="I908" s="76" t="s">
        <v>2546</v>
      </c>
      <c r="J908" s="80">
        <v>1000000</v>
      </c>
      <c r="K908" s="86"/>
      <c r="L908" s="80">
        <f t="shared" si="31"/>
        <v>1000000</v>
      </c>
      <c r="M908" s="80">
        <v>57176.39035714286</v>
      </c>
      <c r="N908" s="81">
        <f t="shared" si="32"/>
        <v>942823.6096428571</v>
      </c>
    </row>
    <row r="909" spans="2:14">
      <c r="B909" s="76" t="s">
        <v>3524</v>
      </c>
      <c r="C909" s="76" t="s">
        <v>3124</v>
      </c>
      <c r="D909" s="76" t="s">
        <v>205</v>
      </c>
      <c r="E909" s="76" t="s">
        <v>3491</v>
      </c>
      <c r="F909" s="76" t="s">
        <v>3519</v>
      </c>
      <c r="G909" s="76">
        <v>6</v>
      </c>
      <c r="H909" s="76">
        <v>12.5</v>
      </c>
      <c r="I909" s="76" t="s">
        <v>2546</v>
      </c>
      <c r="J909" s="80">
        <v>1000000</v>
      </c>
      <c r="K909" s="86"/>
      <c r="L909" s="80">
        <f t="shared" si="31"/>
        <v>1000000</v>
      </c>
      <c r="M909" s="80">
        <v>107142.85714285712</v>
      </c>
      <c r="N909" s="81">
        <f t="shared" si="32"/>
        <v>892857.14285714284</v>
      </c>
    </row>
    <row r="910" spans="2:14">
      <c r="B910" s="76" t="s">
        <v>3525</v>
      </c>
      <c r="C910" s="76" t="s">
        <v>3124</v>
      </c>
      <c r="D910" s="76" t="s">
        <v>205</v>
      </c>
      <c r="E910" s="76" t="s">
        <v>3491</v>
      </c>
      <c r="F910" s="76" t="s">
        <v>3519</v>
      </c>
      <c r="G910" s="76">
        <v>7</v>
      </c>
      <c r="H910" s="76">
        <v>12.5</v>
      </c>
      <c r="I910" s="76" t="s">
        <v>2546</v>
      </c>
      <c r="J910" s="80">
        <v>1000000</v>
      </c>
      <c r="K910" s="86"/>
      <c r="L910" s="80">
        <f t="shared" si="31"/>
        <v>1000000</v>
      </c>
      <c r="M910" s="80">
        <v>101785.71</v>
      </c>
      <c r="N910" s="81">
        <f t="shared" si="32"/>
        <v>898214.29</v>
      </c>
    </row>
    <row r="911" spans="2:14">
      <c r="B911" s="76" t="s">
        <v>3526</v>
      </c>
      <c r="C911" s="76" t="s">
        <v>3124</v>
      </c>
      <c r="D911" s="76" t="s">
        <v>205</v>
      </c>
      <c r="E911" s="76" t="s">
        <v>3491</v>
      </c>
      <c r="F911" s="76" t="s">
        <v>3519</v>
      </c>
      <c r="G911" s="76">
        <v>8</v>
      </c>
      <c r="H911" s="76">
        <v>12.5</v>
      </c>
      <c r="I911" s="76" t="s">
        <v>2546</v>
      </c>
      <c r="J911" s="80">
        <v>1000000</v>
      </c>
      <c r="K911" s="86"/>
      <c r="L911" s="80">
        <f t="shared" si="31"/>
        <v>1000000</v>
      </c>
      <c r="M911" s="80">
        <v>101785.71</v>
      </c>
      <c r="N911" s="81">
        <f t="shared" si="32"/>
        <v>898214.29</v>
      </c>
    </row>
    <row r="912" spans="2:14">
      <c r="B912" s="76" t="s">
        <v>3527</v>
      </c>
      <c r="C912" s="76" t="s">
        <v>3124</v>
      </c>
      <c r="D912" s="76" t="s">
        <v>205</v>
      </c>
      <c r="E912" s="76" t="s">
        <v>3491</v>
      </c>
      <c r="F912" s="76" t="s">
        <v>3519</v>
      </c>
      <c r="G912" s="76">
        <v>9</v>
      </c>
      <c r="H912" s="76">
        <v>12.5</v>
      </c>
      <c r="I912" s="76" t="s">
        <v>2546</v>
      </c>
      <c r="J912" s="80">
        <v>1000000</v>
      </c>
      <c r="K912" s="86"/>
      <c r="L912" s="80">
        <f t="shared" si="31"/>
        <v>1000000</v>
      </c>
      <c r="M912" s="80">
        <v>101785.71</v>
      </c>
      <c r="N912" s="81">
        <f t="shared" si="32"/>
        <v>898214.29</v>
      </c>
    </row>
    <row r="913" spans="2:14">
      <c r="B913" s="76" t="s">
        <v>3528</v>
      </c>
      <c r="C913" s="76" t="s">
        <v>3124</v>
      </c>
      <c r="D913" s="76" t="s">
        <v>205</v>
      </c>
      <c r="E913" s="76" t="s">
        <v>3491</v>
      </c>
      <c r="F913" s="76" t="s">
        <v>3519</v>
      </c>
      <c r="G913" s="76">
        <v>10</v>
      </c>
      <c r="H913" s="76">
        <v>12.5</v>
      </c>
      <c r="I913" s="76" t="s">
        <v>2546</v>
      </c>
      <c r="J913" s="80">
        <v>1000000</v>
      </c>
      <c r="K913" s="86"/>
      <c r="L913" s="80">
        <f t="shared" si="31"/>
        <v>1000000</v>
      </c>
      <c r="M913" s="80">
        <v>107142.85714285712</v>
      </c>
      <c r="N913" s="81">
        <f t="shared" si="32"/>
        <v>892857.14285714284</v>
      </c>
    </row>
    <row r="914" spans="2:14">
      <c r="B914" s="76" t="s">
        <v>3529</v>
      </c>
      <c r="C914" s="76" t="s">
        <v>3124</v>
      </c>
      <c r="D914" s="76" t="s">
        <v>205</v>
      </c>
      <c r="E914" s="76" t="s">
        <v>3491</v>
      </c>
      <c r="F914" s="76" t="s">
        <v>3519</v>
      </c>
      <c r="G914" s="76">
        <v>11</v>
      </c>
      <c r="H914" s="76">
        <v>12.5</v>
      </c>
      <c r="I914" s="76" t="s">
        <v>2546</v>
      </c>
      <c r="J914" s="80">
        <v>1000000</v>
      </c>
      <c r="K914" s="86"/>
      <c r="L914" s="80">
        <f t="shared" si="31"/>
        <v>1000000</v>
      </c>
      <c r="M914" s="80">
        <v>101785.71428571428</v>
      </c>
      <c r="N914" s="81">
        <f t="shared" si="32"/>
        <v>898214.28571428568</v>
      </c>
    </row>
    <row r="915" spans="2:14">
      <c r="B915" s="76" t="s">
        <v>3530</v>
      </c>
      <c r="C915" s="76" t="s">
        <v>3124</v>
      </c>
      <c r="D915" s="76" t="s">
        <v>205</v>
      </c>
      <c r="E915" s="76" t="s">
        <v>3491</v>
      </c>
      <c r="F915" s="76" t="s">
        <v>3519</v>
      </c>
      <c r="G915" s="76">
        <v>12</v>
      </c>
      <c r="H915" s="76">
        <v>12.5</v>
      </c>
      <c r="I915" s="76" t="s">
        <v>2546</v>
      </c>
      <c r="J915" s="80">
        <v>1000000</v>
      </c>
      <c r="K915" s="86"/>
      <c r="L915" s="80">
        <f t="shared" si="31"/>
        <v>1000000</v>
      </c>
      <c r="M915" s="80">
        <v>107142.86</v>
      </c>
      <c r="N915" s="81">
        <f t="shared" si="32"/>
        <v>892857.14</v>
      </c>
    </row>
    <row r="916" spans="2:14">
      <c r="B916" s="76" t="s">
        <v>3531</v>
      </c>
      <c r="C916" s="76" t="s">
        <v>3124</v>
      </c>
      <c r="D916" s="76" t="s">
        <v>205</v>
      </c>
      <c r="E916" s="76" t="s">
        <v>3491</v>
      </c>
      <c r="F916" s="76" t="s">
        <v>3519</v>
      </c>
      <c r="G916" s="76">
        <v>13</v>
      </c>
      <c r="H916" s="76">
        <v>12.5</v>
      </c>
      <c r="I916" s="76" t="s">
        <v>2546</v>
      </c>
      <c r="J916" s="80">
        <v>1000000</v>
      </c>
      <c r="K916" s="86"/>
      <c r="L916" s="80">
        <f t="shared" si="31"/>
        <v>1000000</v>
      </c>
      <c r="M916" s="80">
        <v>101785.71</v>
      </c>
      <c r="N916" s="81">
        <f t="shared" si="32"/>
        <v>898214.29</v>
      </c>
    </row>
    <row r="917" spans="2:14">
      <c r="B917" s="76" t="s">
        <v>3532</v>
      </c>
      <c r="C917" s="76" t="s">
        <v>3124</v>
      </c>
      <c r="D917" s="76" t="s">
        <v>205</v>
      </c>
      <c r="E917" s="76" t="s">
        <v>3491</v>
      </c>
      <c r="F917" s="76" t="s">
        <v>3519</v>
      </c>
      <c r="G917" s="76">
        <v>14</v>
      </c>
      <c r="H917" s="76">
        <v>12.5</v>
      </c>
      <c r="I917" s="76" t="s">
        <v>2546</v>
      </c>
      <c r="J917" s="80">
        <v>1000000</v>
      </c>
      <c r="K917" s="86"/>
      <c r="L917" s="80">
        <f t="shared" si="31"/>
        <v>1000000</v>
      </c>
      <c r="M917" s="80">
        <v>107142.85714285712</v>
      </c>
      <c r="N917" s="81">
        <f t="shared" si="32"/>
        <v>892857.14285714284</v>
      </c>
    </row>
    <row r="918" spans="2:14">
      <c r="B918" s="76" t="s">
        <v>3533</v>
      </c>
      <c r="C918" s="76" t="s">
        <v>3124</v>
      </c>
      <c r="D918" s="76" t="s">
        <v>205</v>
      </c>
      <c r="E918" s="76" t="s">
        <v>3491</v>
      </c>
      <c r="F918" s="76" t="s">
        <v>3519</v>
      </c>
      <c r="G918" s="76">
        <v>15</v>
      </c>
      <c r="H918" s="76">
        <v>12.5</v>
      </c>
      <c r="I918" s="76" t="s">
        <v>2546</v>
      </c>
      <c r="J918" s="80">
        <v>1000000</v>
      </c>
      <c r="K918" s="86"/>
      <c r="L918" s="80">
        <f t="shared" ref="L918:L981" si="33">J918-K918</f>
        <v>1000000</v>
      </c>
      <c r="M918" s="80">
        <v>101785.71428571428</v>
      </c>
      <c r="N918" s="81">
        <f t="shared" ref="N918:N981" si="34">L918-M918</f>
        <v>898214.28571428568</v>
      </c>
    </row>
    <row r="919" spans="2:14">
      <c r="B919" s="76" t="s">
        <v>3534</v>
      </c>
      <c r="C919" s="76" t="s">
        <v>3124</v>
      </c>
      <c r="D919" s="76" t="s">
        <v>205</v>
      </c>
      <c r="E919" s="76" t="s">
        <v>3491</v>
      </c>
      <c r="F919" s="76" t="s">
        <v>3519</v>
      </c>
      <c r="G919" s="76">
        <v>16</v>
      </c>
      <c r="H919" s="76">
        <v>12.5</v>
      </c>
      <c r="I919" s="76" t="s">
        <v>2546</v>
      </c>
      <c r="J919" s="80">
        <v>1000000</v>
      </c>
      <c r="K919" s="86"/>
      <c r="L919" s="80">
        <f t="shared" si="33"/>
        <v>1000000</v>
      </c>
      <c r="M919" s="80">
        <v>107142.85714285712</v>
      </c>
      <c r="N919" s="81">
        <f t="shared" si="34"/>
        <v>892857.14285714284</v>
      </c>
    </row>
    <row r="920" spans="2:14">
      <c r="B920" s="76" t="s">
        <v>3535</v>
      </c>
      <c r="C920" s="76" t="s">
        <v>3124</v>
      </c>
      <c r="D920" s="76" t="s">
        <v>243</v>
      </c>
      <c r="E920" s="76" t="s">
        <v>3491</v>
      </c>
      <c r="F920" s="76" t="s">
        <v>3519</v>
      </c>
      <c r="G920" s="76">
        <v>17</v>
      </c>
      <c r="H920" s="76">
        <v>12.5</v>
      </c>
      <c r="I920" s="76" t="s">
        <v>2546</v>
      </c>
      <c r="J920" s="80">
        <v>1000000</v>
      </c>
      <c r="K920" s="86"/>
      <c r="L920" s="80">
        <f t="shared" si="33"/>
        <v>1000000</v>
      </c>
      <c r="M920" s="80">
        <v>101785.71</v>
      </c>
      <c r="N920" s="81">
        <f t="shared" si="34"/>
        <v>898214.29</v>
      </c>
    </row>
    <row r="921" spans="2:14">
      <c r="B921" s="76" t="s">
        <v>3536</v>
      </c>
      <c r="C921" s="76" t="s">
        <v>3124</v>
      </c>
      <c r="D921" s="76" t="s">
        <v>205</v>
      </c>
      <c r="E921" s="76" t="s">
        <v>3491</v>
      </c>
      <c r="F921" s="76" t="s">
        <v>3519</v>
      </c>
      <c r="G921" s="76">
        <v>18</v>
      </c>
      <c r="H921" s="76">
        <v>12.5</v>
      </c>
      <c r="I921" s="76" t="s">
        <v>2546</v>
      </c>
      <c r="J921" s="80">
        <v>1000000</v>
      </c>
      <c r="K921" s="86"/>
      <c r="L921" s="80">
        <f t="shared" si="33"/>
        <v>1000000</v>
      </c>
      <c r="M921" s="80">
        <v>107142.86</v>
      </c>
      <c r="N921" s="81">
        <f t="shared" si="34"/>
        <v>892857.14</v>
      </c>
    </row>
    <row r="922" spans="2:14">
      <c r="B922" s="76" t="s">
        <v>3537</v>
      </c>
      <c r="C922" s="76" t="s">
        <v>3124</v>
      </c>
      <c r="D922" s="76" t="s">
        <v>205</v>
      </c>
      <c r="E922" s="76" t="s">
        <v>3491</v>
      </c>
      <c r="F922" s="76" t="s">
        <v>3519</v>
      </c>
      <c r="G922" s="76">
        <v>19</v>
      </c>
      <c r="H922" s="76">
        <v>12.5</v>
      </c>
      <c r="I922" s="76" t="s">
        <v>2546</v>
      </c>
      <c r="J922" s="80">
        <v>1000000</v>
      </c>
      <c r="K922" s="86"/>
      <c r="L922" s="80">
        <f t="shared" si="33"/>
        <v>1000000</v>
      </c>
      <c r="M922" s="80">
        <v>107142.86</v>
      </c>
      <c r="N922" s="81">
        <f t="shared" si="34"/>
        <v>892857.14</v>
      </c>
    </row>
    <row r="923" spans="2:14">
      <c r="B923" s="76" t="s">
        <v>3538</v>
      </c>
      <c r="C923" s="76" t="s">
        <v>3124</v>
      </c>
      <c r="D923" s="76" t="s">
        <v>205</v>
      </c>
      <c r="E923" s="76" t="s">
        <v>3491</v>
      </c>
      <c r="F923" s="76" t="s">
        <v>3519</v>
      </c>
      <c r="G923" s="76">
        <v>20</v>
      </c>
      <c r="H923" s="76">
        <v>12.5</v>
      </c>
      <c r="I923" s="76" t="s">
        <v>2546</v>
      </c>
      <c r="J923" s="80">
        <v>1000000</v>
      </c>
      <c r="K923" s="86"/>
      <c r="L923" s="80">
        <f t="shared" si="33"/>
        <v>1000000</v>
      </c>
      <c r="M923" s="80">
        <v>107142.85714285712</v>
      </c>
      <c r="N923" s="81">
        <f t="shared" si="34"/>
        <v>892857.14285714284</v>
      </c>
    </row>
    <row r="924" spans="2:14">
      <c r="B924" s="76" t="s">
        <v>3539</v>
      </c>
      <c r="C924" s="76" t="s">
        <v>3124</v>
      </c>
      <c r="D924" s="76" t="s">
        <v>205</v>
      </c>
      <c r="E924" s="76" t="s">
        <v>3491</v>
      </c>
      <c r="F924" s="76" t="s">
        <v>3519</v>
      </c>
      <c r="G924" s="76">
        <v>21</v>
      </c>
      <c r="H924" s="76">
        <v>12.5</v>
      </c>
      <c r="I924" s="76" t="s">
        <v>2546</v>
      </c>
      <c r="J924" s="80">
        <v>1000000</v>
      </c>
      <c r="K924" s="86"/>
      <c r="L924" s="80">
        <f t="shared" si="33"/>
        <v>1000000</v>
      </c>
      <c r="M924" s="80">
        <v>101785.71</v>
      </c>
      <c r="N924" s="81">
        <f t="shared" si="34"/>
        <v>898214.29</v>
      </c>
    </row>
    <row r="925" spans="2:14">
      <c r="B925" s="76" t="s">
        <v>3540</v>
      </c>
      <c r="C925" s="76" t="s">
        <v>3124</v>
      </c>
      <c r="D925" s="76" t="s">
        <v>205</v>
      </c>
      <c r="E925" s="76" t="s">
        <v>3491</v>
      </c>
      <c r="F925" s="76" t="s">
        <v>3519</v>
      </c>
      <c r="G925" s="76">
        <v>22</v>
      </c>
      <c r="H925" s="76">
        <v>12.5</v>
      </c>
      <c r="I925" s="76" t="s">
        <v>2546</v>
      </c>
      <c r="J925" s="80">
        <v>1000000</v>
      </c>
      <c r="K925" s="86"/>
      <c r="L925" s="80">
        <f t="shared" si="33"/>
        <v>1000000</v>
      </c>
      <c r="M925" s="80">
        <v>106071.43</v>
      </c>
      <c r="N925" s="81">
        <f t="shared" si="34"/>
        <v>893928.57000000007</v>
      </c>
    </row>
    <row r="926" spans="2:14">
      <c r="B926" s="76" t="s">
        <v>3541</v>
      </c>
      <c r="C926" s="76" t="s">
        <v>3124</v>
      </c>
      <c r="D926" s="76" t="s">
        <v>205</v>
      </c>
      <c r="E926" s="76" t="s">
        <v>3491</v>
      </c>
      <c r="F926" s="76" t="s">
        <v>3519</v>
      </c>
      <c r="G926" s="76">
        <v>23</v>
      </c>
      <c r="H926" s="76">
        <v>12.5</v>
      </c>
      <c r="I926" s="76" t="s">
        <v>2546</v>
      </c>
      <c r="J926" s="80">
        <v>1000000</v>
      </c>
      <c r="K926" s="86"/>
      <c r="L926" s="80">
        <f t="shared" si="33"/>
        <v>1000000</v>
      </c>
      <c r="M926" s="80">
        <v>101785.71428571428</v>
      </c>
      <c r="N926" s="81">
        <f t="shared" si="34"/>
        <v>898214.28571428568</v>
      </c>
    </row>
    <row r="927" spans="2:14">
      <c r="B927" s="76" t="s">
        <v>3542</v>
      </c>
      <c r="C927" s="76" t="s">
        <v>3124</v>
      </c>
      <c r="D927" s="76" t="s">
        <v>205</v>
      </c>
      <c r="E927" s="76" t="s">
        <v>3491</v>
      </c>
      <c r="F927" s="76" t="s">
        <v>3519</v>
      </c>
      <c r="G927" s="76">
        <v>24</v>
      </c>
      <c r="H927" s="76">
        <v>12.5</v>
      </c>
      <c r="I927" s="76" t="s">
        <v>2546</v>
      </c>
      <c r="J927" s="80">
        <v>1000000</v>
      </c>
      <c r="K927" s="86"/>
      <c r="L927" s="80">
        <f t="shared" si="33"/>
        <v>1000000</v>
      </c>
      <c r="M927" s="80">
        <v>101785.71428571428</v>
      </c>
      <c r="N927" s="81">
        <f t="shared" si="34"/>
        <v>898214.28571428568</v>
      </c>
    </row>
    <row r="928" spans="2:14">
      <c r="B928" s="76" t="s">
        <v>3543</v>
      </c>
      <c r="C928" s="76" t="s">
        <v>3124</v>
      </c>
      <c r="D928" s="76" t="s">
        <v>205</v>
      </c>
      <c r="E928" s="76" t="s">
        <v>3491</v>
      </c>
      <c r="F928" s="76" t="s">
        <v>3519</v>
      </c>
      <c r="G928" s="76">
        <v>25</v>
      </c>
      <c r="H928" s="76">
        <v>12.5</v>
      </c>
      <c r="I928" s="76" t="s">
        <v>2546</v>
      </c>
      <c r="J928" s="80">
        <v>1000000</v>
      </c>
      <c r="K928" s="86"/>
      <c r="L928" s="80">
        <f t="shared" si="33"/>
        <v>1000000</v>
      </c>
      <c r="M928" s="80">
        <v>107142.85714285712</v>
      </c>
      <c r="N928" s="81">
        <f t="shared" si="34"/>
        <v>892857.14285714284</v>
      </c>
    </row>
    <row r="929" spans="2:14">
      <c r="B929" s="76" t="s">
        <v>3544</v>
      </c>
      <c r="C929" s="76" t="s">
        <v>3124</v>
      </c>
      <c r="D929" s="76" t="s">
        <v>205</v>
      </c>
      <c r="E929" s="76" t="s">
        <v>3491</v>
      </c>
      <c r="F929" s="76" t="s">
        <v>3519</v>
      </c>
      <c r="G929" s="76">
        <v>26</v>
      </c>
      <c r="H929" s="76">
        <v>12.5</v>
      </c>
      <c r="I929" s="76" t="s">
        <v>2546</v>
      </c>
      <c r="J929" s="80">
        <v>1000000</v>
      </c>
      <c r="K929" s="86"/>
      <c r="L929" s="80">
        <f t="shared" si="33"/>
        <v>1000000</v>
      </c>
      <c r="M929" s="80">
        <v>107142.85714285712</v>
      </c>
      <c r="N929" s="81">
        <f t="shared" si="34"/>
        <v>892857.14285714284</v>
      </c>
    </row>
    <row r="930" spans="2:14">
      <c r="B930" s="76" t="s">
        <v>3545</v>
      </c>
      <c r="C930" s="76" t="s">
        <v>3124</v>
      </c>
      <c r="D930" s="76" t="s">
        <v>205</v>
      </c>
      <c r="E930" s="76" t="s">
        <v>3491</v>
      </c>
      <c r="F930" s="76" t="s">
        <v>3546</v>
      </c>
      <c r="G930" s="76">
        <v>1</v>
      </c>
      <c r="H930" s="76">
        <v>12.5</v>
      </c>
      <c r="I930" s="76" t="s">
        <v>2546</v>
      </c>
      <c r="J930" s="80">
        <v>700000</v>
      </c>
      <c r="K930" s="86"/>
      <c r="L930" s="80">
        <f t="shared" si="33"/>
        <v>700000</v>
      </c>
      <c r="M930" s="80">
        <v>74999.999999999985</v>
      </c>
      <c r="N930" s="81">
        <f t="shared" si="34"/>
        <v>625000</v>
      </c>
    </row>
    <row r="931" spans="2:14">
      <c r="B931" s="76" t="s">
        <v>3547</v>
      </c>
      <c r="C931" s="76" t="s">
        <v>3124</v>
      </c>
      <c r="D931" s="76" t="s">
        <v>233</v>
      </c>
      <c r="E931" s="76" t="s">
        <v>3491</v>
      </c>
      <c r="F931" s="76" t="s">
        <v>3546</v>
      </c>
      <c r="G931" s="76">
        <v>2</v>
      </c>
      <c r="H931" s="76">
        <v>12.5</v>
      </c>
      <c r="I931" s="76" t="s">
        <v>2546</v>
      </c>
      <c r="J931" s="80">
        <v>1000000</v>
      </c>
      <c r="K931" s="86"/>
      <c r="L931" s="80">
        <f t="shared" si="33"/>
        <v>1000000</v>
      </c>
      <c r="M931" s="80">
        <v>107142.86</v>
      </c>
      <c r="N931" s="81">
        <f t="shared" si="34"/>
        <v>892857.14</v>
      </c>
    </row>
    <row r="932" spans="2:14">
      <c r="B932" s="76" t="s">
        <v>3548</v>
      </c>
      <c r="C932" s="76" t="s">
        <v>3124</v>
      </c>
      <c r="D932" s="76" t="s">
        <v>205</v>
      </c>
      <c r="E932" s="76" t="s">
        <v>3491</v>
      </c>
      <c r="F932" s="76" t="s">
        <v>3546</v>
      </c>
      <c r="G932" s="76">
        <v>3</v>
      </c>
      <c r="H932" s="76">
        <v>12.5</v>
      </c>
      <c r="I932" s="76" t="s">
        <v>2546</v>
      </c>
      <c r="J932" s="80">
        <v>1000000</v>
      </c>
      <c r="K932" s="86"/>
      <c r="L932" s="80">
        <f t="shared" si="33"/>
        <v>1000000</v>
      </c>
      <c r="M932" s="80">
        <v>85714.285714285696</v>
      </c>
      <c r="N932" s="81">
        <f t="shared" si="34"/>
        <v>914285.71428571432</v>
      </c>
    </row>
    <row r="933" spans="2:14">
      <c r="B933" s="76" t="s">
        <v>3549</v>
      </c>
      <c r="C933" s="76" t="s">
        <v>3124</v>
      </c>
      <c r="D933" s="76" t="s">
        <v>205</v>
      </c>
      <c r="E933" s="76" t="s">
        <v>3491</v>
      </c>
      <c r="F933" s="76" t="s">
        <v>3546</v>
      </c>
      <c r="G933" s="76">
        <v>4</v>
      </c>
      <c r="H933" s="76">
        <v>12.5</v>
      </c>
      <c r="I933" s="76" t="s">
        <v>2546</v>
      </c>
      <c r="J933" s="80">
        <v>1000000</v>
      </c>
      <c r="K933" s="86"/>
      <c r="L933" s="80">
        <f t="shared" si="33"/>
        <v>1000000</v>
      </c>
      <c r="M933" s="80">
        <v>107142.85714285712</v>
      </c>
      <c r="N933" s="81">
        <f t="shared" si="34"/>
        <v>892857.14285714284</v>
      </c>
    </row>
    <row r="934" spans="2:14">
      <c r="B934" s="76" t="s">
        <v>3550</v>
      </c>
      <c r="C934" s="76" t="s">
        <v>3124</v>
      </c>
      <c r="D934" s="76" t="s">
        <v>205</v>
      </c>
      <c r="E934" s="76" t="s">
        <v>3491</v>
      </c>
      <c r="F934" s="76" t="s">
        <v>3546</v>
      </c>
      <c r="G934" s="76">
        <v>5</v>
      </c>
      <c r="H934" s="76">
        <v>12.5</v>
      </c>
      <c r="I934" s="76" t="s">
        <v>2546</v>
      </c>
      <c r="J934" s="80">
        <v>1000000</v>
      </c>
      <c r="K934" s="86"/>
      <c r="L934" s="80">
        <f t="shared" si="33"/>
        <v>1000000</v>
      </c>
      <c r="M934" s="80">
        <v>107142.85714285712</v>
      </c>
      <c r="N934" s="81">
        <f t="shared" si="34"/>
        <v>892857.14285714284</v>
      </c>
    </row>
    <row r="935" spans="2:14">
      <c r="B935" s="76" t="s">
        <v>3551</v>
      </c>
      <c r="C935" s="76" t="s">
        <v>3124</v>
      </c>
      <c r="D935" s="76" t="s">
        <v>205</v>
      </c>
      <c r="E935" s="76" t="s">
        <v>3491</v>
      </c>
      <c r="F935" s="76" t="s">
        <v>3546</v>
      </c>
      <c r="G935" s="76">
        <v>6</v>
      </c>
      <c r="H935" s="76">
        <v>12.5</v>
      </c>
      <c r="I935" s="76" t="s">
        <v>2546</v>
      </c>
      <c r="J935" s="80">
        <v>1000000</v>
      </c>
      <c r="K935" s="86"/>
      <c r="L935" s="80">
        <f t="shared" si="33"/>
        <v>1000000</v>
      </c>
      <c r="M935" s="80">
        <v>85714.285714285696</v>
      </c>
      <c r="N935" s="81">
        <f t="shared" si="34"/>
        <v>914285.71428571432</v>
      </c>
    </row>
    <row r="936" spans="2:14">
      <c r="B936" s="76" t="s">
        <v>3552</v>
      </c>
      <c r="C936" s="76" t="s">
        <v>3124</v>
      </c>
      <c r="D936" s="76" t="s">
        <v>205</v>
      </c>
      <c r="E936" s="76" t="s">
        <v>3491</v>
      </c>
      <c r="F936" s="76" t="s">
        <v>3546</v>
      </c>
      <c r="G936" s="76">
        <v>7</v>
      </c>
      <c r="H936" s="76">
        <v>12.5</v>
      </c>
      <c r="I936" s="76" t="s">
        <v>2546</v>
      </c>
      <c r="J936" s="80">
        <v>1000000</v>
      </c>
      <c r="K936" s="86"/>
      <c r="L936" s="80">
        <f t="shared" si="33"/>
        <v>1000000</v>
      </c>
      <c r="M936" s="80">
        <v>107142.86</v>
      </c>
      <c r="N936" s="81">
        <f t="shared" si="34"/>
        <v>892857.14</v>
      </c>
    </row>
    <row r="937" spans="2:14">
      <c r="B937" s="76" t="s">
        <v>3553</v>
      </c>
      <c r="C937" s="76" t="s">
        <v>3124</v>
      </c>
      <c r="D937" s="76" t="s">
        <v>205</v>
      </c>
      <c r="E937" s="76" t="s">
        <v>3491</v>
      </c>
      <c r="F937" s="76" t="s">
        <v>3546</v>
      </c>
      <c r="G937" s="76">
        <v>8</v>
      </c>
      <c r="H937" s="76">
        <v>12.5</v>
      </c>
      <c r="I937" s="76" t="s">
        <v>2546</v>
      </c>
      <c r="J937" s="80">
        <v>1000000</v>
      </c>
      <c r="K937" s="86"/>
      <c r="L937" s="80">
        <f t="shared" si="33"/>
        <v>1000000</v>
      </c>
      <c r="M937" s="80">
        <v>107142.85714285712</v>
      </c>
      <c r="N937" s="81">
        <f t="shared" si="34"/>
        <v>892857.14285714284</v>
      </c>
    </row>
    <row r="938" spans="2:14">
      <c r="B938" s="76" t="s">
        <v>3554</v>
      </c>
      <c r="C938" s="76" t="s">
        <v>3124</v>
      </c>
      <c r="D938" s="76" t="s">
        <v>205</v>
      </c>
      <c r="E938" s="76" t="s">
        <v>3491</v>
      </c>
      <c r="F938" s="76" t="s">
        <v>3546</v>
      </c>
      <c r="G938" s="76">
        <v>9</v>
      </c>
      <c r="H938" s="76">
        <v>12.5</v>
      </c>
      <c r="I938" s="76" t="s">
        <v>2546</v>
      </c>
      <c r="J938" s="80">
        <v>1000000</v>
      </c>
      <c r="K938" s="86"/>
      <c r="L938" s="80">
        <f t="shared" si="33"/>
        <v>1000000</v>
      </c>
      <c r="M938" s="80">
        <v>107142.85714285712</v>
      </c>
      <c r="N938" s="81">
        <f t="shared" si="34"/>
        <v>892857.14285714284</v>
      </c>
    </row>
    <row r="939" spans="2:14">
      <c r="B939" s="76" t="s">
        <v>3555</v>
      </c>
      <c r="C939" s="76" t="s">
        <v>3124</v>
      </c>
      <c r="D939" s="76" t="s">
        <v>205</v>
      </c>
      <c r="E939" s="76" t="s">
        <v>3491</v>
      </c>
      <c r="F939" s="76" t="s">
        <v>3546</v>
      </c>
      <c r="G939" s="76">
        <v>10</v>
      </c>
      <c r="H939" s="76">
        <v>12.5</v>
      </c>
      <c r="I939" s="76" t="s">
        <v>2546</v>
      </c>
      <c r="J939" s="80">
        <v>1000000</v>
      </c>
      <c r="K939" s="86"/>
      <c r="L939" s="80">
        <f t="shared" si="33"/>
        <v>1000000</v>
      </c>
      <c r="M939" s="80">
        <v>107142.85714285712</v>
      </c>
      <c r="N939" s="81">
        <f t="shared" si="34"/>
        <v>892857.14285714284</v>
      </c>
    </row>
    <row r="940" spans="2:14">
      <c r="B940" s="76" t="s">
        <v>3556</v>
      </c>
      <c r="C940" s="76" t="s">
        <v>3124</v>
      </c>
      <c r="D940" s="76" t="s">
        <v>205</v>
      </c>
      <c r="E940" s="76" t="s">
        <v>3491</v>
      </c>
      <c r="F940" s="76" t="s">
        <v>3546</v>
      </c>
      <c r="G940" s="76">
        <v>11</v>
      </c>
      <c r="H940" s="76">
        <v>12.5</v>
      </c>
      <c r="I940" s="76" t="s">
        <v>2546</v>
      </c>
      <c r="J940" s="80">
        <v>1000000</v>
      </c>
      <c r="K940" s="86"/>
      <c r="L940" s="80">
        <f t="shared" si="33"/>
        <v>1000000</v>
      </c>
      <c r="M940" s="80">
        <v>107142.85714285712</v>
      </c>
      <c r="N940" s="81">
        <f t="shared" si="34"/>
        <v>892857.14285714284</v>
      </c>
    </row>
    <row r="941" spans="2:14">
      <c r="B941" s="76" t="s">
        <v>3557</v>
      </c>
      <c r="C941" s="76" t="s">
        <v>3124</v>
      </c>
      <c r="D941" s="76" t="s">
        <v>205</v>
      </c>
      <c r="E941" s="76" t="s">
        <v>3491</v>
      </c>
      <c r="F941" s="76" t="s">
        <v>3546</v>
      </c>
      <c r="G941" s="76">
        <v>12</v>
      </c>
      <c r="H941" s="76">
        <v>12.5</v>
      </c>
      <c r="I941" s="76" t="s">
        <v>2546</v>
      </c>
      <c r="J941" s="80">
        <v>1000000</v>
      </c>
      <c r="K941" s="86"/>
      <c r="L941" s="80">
        <f t="shared" si="33"/>
        <v>1000000</v>
      </c>
      <c r="M941" s="80">
        <v>107142.85714285712</v>
      </c>
      <c r="N941" s="81">
        <f t="shared" si="34"/>
        <v>892857.14285714284</v>
      </c>
    </row>
    <row r="942" spans="2:14">
      <c r="B942" s="76" t="s">
        <v>3558</v>
      </c>
      <c r="C942" s="76" t="s">
        <v>3124</v>
      </c>
      <c r="D942" s="76" t="s">
        <v>205</v>
      </c>
      <c r="E942" s="76" t="s">
        <v>3491</v>
      </c>
      <c r="F942" s="76" t="s">
        <v>3546</v>
      </c>
      <c r="G942" s="76">
        <v>13</v>
      </c>
      <c r="H942" s="76">
        <v>12.5</v>
      </c>
      <c r="I942" s="76" t="s">
        <v>2546</v>
      </c>
      <c r="J942" s="80">
        <v>1000000</v>
      </c>
      <c r="K942" s="86"/>
      <c r="L942" s="80">
        <f t="shared" si="33"/>
        <v>1000000</v>
      </c>
      <c r="M942" s="80">
        <v>107142.85714285712</v>
      </c>
      <c r="N942" s="81">
        <f t="shared" si="34"/>
        <v>892857.14285714284</v>
      </c>
    </row>
    <row r="943" spans="2:14">
      <c r="B943" s="76" t="s">
        <v>3559</v>
      </c>
      <c r="C943" s="76" t="s">
        <v>3124</v>
      </c>
      <c r="D943" s="76" t="s">
        <v>205</v>
      </c>
      <c r="E943" s="76" t="s">
        <v>3491</v>
      </c>
      <c r="F943" s="76" t="s">
        <v>3546</v>
      </c>
      <c r="G943" s="76">
        <v>14</v>
      </c>
      <c r="H943" s="76">
        <v>12.5</v>
      </c>
      <c r="I943" s="76" t="s">
        <v>2546</v>
      </c>
      <c r="J943" s="80">
        <v>1000000</v>
      </c>
      <c r="K943" s="86"/>
      <c r="L943" s="80">
        <f t="shared" si="33"/>
        <v>1000000</v>
      </c>
      <c r="M943" s="80">
        <v>107142.85714285712</v>
      </c>
      <c r="N943" s="81">
        <f t="shared" si="34"/>
        <v>892857.14285714284</v>
      </c>
    </row>
    <row r="944" spans="2:14">
      <c r="B944" s="76" t="s">
        <v>3560</v>
      </c>
      <c r="C944" s="76" t="s">
        <v>3124</v>
      </c>
      <c r="D944" s="76" t="s">
        <v>205</v>
      </c>
      <c r="E944" s="76" t="s">
        <v>3491</v>
      </c>
      <c r="F944" s="76" t="s">
        <v>3546</v>
      </c>
      <c r="G944" s="76">
        <v>15</v>
      </c>
      <c r="H944" s="76">
        <v>12.5</v>
      </c>
      <c r="I944" s="76" t="s">
        <v>2546</v>
      </c>
      <c r="J944" s="80">
        <v>1000000</v>
      </c>
      <c r="K944" s="86"/>
      <c r="L944" s="80">
        <f t="shared" si="33"/>
        <v>1000000</v>
      </c>
      <c r="M944" s="80">
        <v>107142.85714285712</v>
      </c>
      <c r="N944" s="81">
        <f t="shared" si="34"/>
        <v>892857.14285714284</v>
      </c>
    </row>
    <row r="945" spans="2:14">
      <c r="B945" s="76" t="s">
        <v>3561</v>
      </c>
      <c r="C945" s="76" t="s">
        <v>3124</v>
      </c>
      <c r="D945" s="76" t="s">
        <v>205</v>
      </c>
      <c r="E945" s="76" t="s">
        <v>3491</v>
      </c>
      <c r="F945" s="76" t="s">
        <v>3546</v>
      </c>
      <c r="G945" s="76">
        <v>16</v>
      </c>
      <c r="H945" s="76">
        <v>12.5</v>
      </c>
      <c r="I945" s="76" t="s">
        <v>2546</v>
      </c>
      <c r="J945" s="80">
        <v>1000000</v>
      </c>
      <c r="K945" s="86"/>
      <c r="L945" s="80">
        <f t="shared" si="33"/>
        <v>1000000</v>
      </c>
      <c r="M945" s="80">
        <v>107142.86</v>
      </c>
      <c r="N945" s="81">
        <f t="shared" si="34"/>
        <v>892857.14</v>
      </c>
    </row>
    <row r="946" spans="2:14">
      <c r="B946" s="76" t="s">
        <v>3562</v>
      </c>
      <c r="C946" s="76" t="s">
        <v>3124</v>
      </c>
      <c r="D946" s="76" t="s">
        <v>205</v>
      </c>
      <c r="E946" s="76" t="s">
        <v>3491</v>
      </c>
      <c r="F946" s="76" t="s">
        <v>3546</v>
      </c>
      <c r="G946" s="76">
        <v>17</v>
      </c>
      <c r="H946" s="76">
        <v>12.5</v>
      </c>
      <c r="I946" s="76" t="s">
        <v>2546</v>
      </c>
      <c r="J946" s="80">
        <v>1000000</v>
      </c>
      <c r="K946" s="86"/>
      <c r="L946" s="80">
        <f t="shared" si="33"/>
        <v>1000000</v>
      </c>
      <c r="M946" s="80">
        <v>107142.86</v>
      </c>
      <c r="N946" s="81">
        <f t="shared" si="34"/>
        <v>892857.14</v>
      </c>
    </row>
    <row r="947" spans="2:14">
      <c r="B947" s="76" t="s">
        <v>3563</v>
      </c>
      <c r="C947" s="76" t="s">
        <v>3124</v>
      </c>
      <c r="D947" s="76" t="s">
        <v>205</v>
      </c>
      <c r="E947" s="76" t="s">
        <v>3491</v>
      </c>
      <c r="F947" s="76" t="s">
        <v>3546</v>
      </c>
      <c r="G947" s="76">
        <v>18</v>
      </c>
      <c r="H947" s="76">
        <v>12.5</v>
      </c>
      <c r="I947" s="76" t="s">
        <v>2546</v>
      </c>
      <c r="J947" s="80">
        <v>1000000</v>
      </c>
      <c r="K947" s="86"/>
      <c r="L947" s="80">
        <f t="shared" si="33"/>
        <v>1000000</v>
      </c>
      <c r="M947" s="80">
        <v>107142.86</v>
      </c>
      <c r="N947" s="81">
        <f t="shared" si="34"/>
        <v>892857.14</v>
      </c>
    </row>
    <row r="948" spans="2:14">
      <c r="B948" s="76" t="s">
        <v>3564</v>
      </c>
      <c r="C948" s="76" t="s">
        <v>3124</v>
      </c>
      <c r="D948" s="76" t="s">
        <v>205</v>
      </c>
      <c r="E948" s="76" t="s">
        <v>3491</v>
      </c>
      <c r="F948" s="76" t="s">
        <v>3546</v>
      </c>
      <c r="G948" s="76">
        <v>19</v>
      </c>
      <c r="H948" s="76">
        <v>12.5</v>
      </c>
      <c r="I948" s="76" t="s">
        <v>2546</v>
      </c>
      <c r="J948" s="80">
        <v>1000000</v>
      </c>
      <c r="K948" s="86"/>
      <c r="L948" s="80">
        <f t="shared" si="33"/>
        <v>1000000</v>
      </c>
      <c r="M948" s="80">
        <v>107142.86</v>
      </c>
      <c r="N948" s="81">
        <f t="shared" si="34"/>
        <v>892857.14</v>
      </c>
    </row>
    <row r="949" spans="2:14">
      <c r="B949" s="76" t="s">
        <v>3565</v>
      </c>
      <c r="C949" s="76" t="s">
        <v>3124</v>
      </c>
      <c r="D949" s="76" t="s">
        <v>205</v>
      </c>
      <c r="E949" s="76" t="s">
        <v>3491</v>
      </c>
      <c r="F949" s="76" t="s">
        <v>3546</v>
      </c>
      <c r="G949" s="76">
        <v>20</v>
      </c>
      <c r="H949" s="76">
        <v>12.5</v>
      </c>
      <c r="I949" s="76" t="s">
        <v>2546</v>
      </c>
      <c r="J949" s="80">
        <v>1000000</v>
      </c>
      <c r="K949" s="86"/>
      <c r="L949" s="80">
        <f t="shared" si="33"/>
        <v>1000000</v>
      </c>
      <c r="M949" s="80">
        <v>107142.85714285712</v>
      </c>
      <c r="N949" s="81">
        <f t="shared" si="34"/>
        <v>892857.14285714284</v>
      </c>
    </row>
    <row r="950" spans="2:14">
      <c r="B950" s="76" t="s">
        <v>3566</v>
      </c>
      <c r="C950" s="76" t="s">
        <v>3124</v>
      </c>
      <c r="D950" s="76" t="s">
        <v>205</v>
      </c>
      <c r="E950" s="76" t="s">
        <v>3491</v>
      </c>
      <c r="F950" s="76" t="s">
        <v>3546</v>
      </c>
      <c r="G950" s="76">
        <v>21</v>
      </c>
      <c r="H950" s="76">
        <v>12.5</v>
      </c>
      <c r="I950" s="76" t="s">
        <v>2546</v>
      </c>
      <c r="J950" s="80">
        <v>1000000</v>
      </c>
      <c r="K950" s="86"/>
      <c r="L950" s="80">
        <f t="shared" si="33"/>
        <v>1000000</v>
      </c>
      <c r="M950" s="80">
        <v>107142.85714285712</v>
      </c>
      <c r="N950" s="81">
        <f t="shared" si="34"/>
        <v>892857.14285714284</v>
      </c>
    </row>
    <row r="951" spans="2:14">
      <c r="B951" s="76" t="s">
        <v>3567</v>
      </c>
      <c r="C951" s="76" t="s">
        <v>3124</v>
      </c>
      <c r="D951" s="76" t="s">
        <v>205</v>
      </c>
      <c r="E951" s="76" t="s">
        <v>3491</v>
      </c>
      <c r="F951" s="76" t="s">
        <v>3546</v>
      </c>
      <c r="G951" s="76">
        <v>22</v>
      </c>
      <c r="H951" s="76">
        <v>12.5</v>
      </c>
      <c r="I951" s="76" t="s">
        <v>2546</v>
      </c>
      <c r="J951" s="80">
        <v>1000000</v>
      </c>
      <c r="K951" s="86"/>
      <c r="L951" s="80">
        <f t="shared" si="33"/>
        <v>1000000</v>
      </c>
      <c r="M951" s="80">
        <v>103928.57142857142</v>
      </c>
      <c r="N951" s="81">
        <f t="shared" si="34"/>
        <v>896071.42857142864</v>
      </c>
    </row>
    <row r="952" spans="2:14">
      <c r="B952" s="76" t="s">
        <v>3568</v>
      </c>
      <c r="C952" s="76" t="s">
        <v>3124</v>
      </c>
      <c r="D952" s="76" t="s">
        <v>205</v>
      </c>
      <c r="E952" s="76" t="s">
        <v>3491</v>
      </c>
      <c r="F952" s="76" t="s">
        <v>3546</v>
      </c>
      <c r="G952" s="76">
        <v>23</v>
      </c>
      <c r="H952" s="76">
        <v>12.5</v>
      </c>
      <c r="I952" s="76" t="s">
        <v>2546</v>
      </c>
      <c r="J952" s="80">
        <v>1000000</v>
      </c>
      <c r="K952" s="86"/>
      <c r="L952" s="80">
        <f t="shared" si="33"/>
        <v>1000000</v>
      </c>
      <c r="M952" s="80">
        <v>103928.57142857142</v>
      </c>
      <c r="N952" s="81">
        <f t="shared" si="34"/>
        <v>896071.42857142864</v>
      </c>
    </row>
    <row r="953" spans="2:14">
      <c r="B953" s="76" t="s">
        <v>3569</v>
      </c>
      <c r="C953" s="76" t="s">
        <v>3124</v>
      </c>
      <c r="D953" s="76" t="s">
        <v>205</v>
      </c>
      <c r="E953" s="76" t="s">
        <v>3491</v>
      </c>
      <c r="F953" s="76" t="s">
        <v>3546</v>
      </c>
      <c r="G953" s="76">
        <v>24</v>
      </c>
      <c r="H953" s="76">
        <v>12.5</v>
      </c>
      <c r="I953" s="76" t="s">
        <v>2546</v>
      </c>
      <c r="J953" s="80">
        <v>1000000</v>
      </c>
      <c r="K953" s="86"/>
      <c r="L953" s="80">
        <f t="shared" si="33"/>
        <v>1000000</v>
      </c>
      <c r="M953" s="80">
        <v>107142.85714285712</v>
      </c>
      <c r="N953" s="81">
        <f t="shared" si="34"/>
        <v>892857.14285714284</v>
      </c>
    </row>
    <row r="954" spans="2:14">
      <c r="B954" s="76" t="s">
        <v>3570</v>
      </c>
      <c r="C954" s="76" t="s">
        <v>3124</v>
      </c>
      <c r="D954" s="76" t="s">
        <v>243</v>
      </c>
      <c r="E954" s="76" t="s">
        <v>3491</v>
      </c>
      <c r="F954" s="76" t="s">
        <v>3546</v>
      </c>
      <c r="G954" s="76">
        <v>25</v>
      </c>
      <c r="H954" s="76">
        <v>12.5</v>
      </c>
      <c r="I954" s="76" t="s">
        <v>2546</v>
      </c>
      <c r="J954" s="80">
        <v>1000000</v>
      </c>
      <c r="K954" s="86"/>
      <c r="L954" s="80">
        <f t="shared" si="33"/>
        <v>1000000</v>
      </c>
      <c r="M954" s="80">
        <v>107142.85714285712</v>
      </c>
      <c r="N954" s="81">
        <f t="shared" si="34"/>
        <v>892857.14285714284</v>
      </c>
    </row>
    <row r="955" spans="2:14">
      <c r="B955" s="76" t="s">
        <v>3571</v>
      </c>
      <c r="C955" s="76" t="s">
        <v>3124</v>
      </c>
      <c r="D955" s="76" t="s">
        <v>205</v>
      </c>
      <c r="E955" s="76" t="s">
        <v>3491</v>
      </c>
      <c r="F955" s="76" t="s">
        <v>3546</v>
      </c>
      <c r="G955" s="87">
        <v>26</v>
      </c>
      <c r="H955" s="76">
        <v>12.5</v>
      </c>
      <c r="I955" s="76" t="s">
        <v>2546</v>
      </c>
      <c r="J955" s="80">
        <v>1000000</v>
      </c>
      <c r="K955" s="86"/>
      <c r="L955" s="80">
        <f t="shared" si="33"/>
        <v>1000000</v>
      </c>
      <c r="M955" s="80">
        <v>107142.86</v>
      </c>
      <c r="N955" s="81">
        <f t="shared" si="34"/>
        <v>892857.14</v>
      </c>
    </row>
    <row r="956" spans="2:14">
      <c r="B956" s="76" t="s">
        <v>3572</v>
      </c>
      <c r="C956" s="76" t="s">
        <v>3124</v>
      </c>
      <c r="D956" s="76" t="s">
        <v>205</v>
      </c>
      <c r="E956" s="76" t="s">
        <v>3491</v>
      </c>
      <c r="F956" s="76" t="s">
        <v>3546</v>
      </c>
      <c r="G956" s="76">
        <v>27</v>
      </c>
      <c r="H956" s="76">
        <v>12.5</v>
      </c>
      <c r="I956" s="76" t="s">
        <v>2546</v>
      </c>
      <c r="J956" s="80">
        <v>1000000</v>
      </c>
      <c r="K956" s="86"/>
      <c r="L956" s="80">
        <f t="shared" si="33"/>
        <v>1000000</v>
      </c>
      <c r="M956" s="80">
        <v>107142.85714285712</v>
      </c>
      <c r="N956" s="81">
        <f t="shared" si="34"/>
        <v>892857.14285714284</v>
      </c>
    </row>
    <row r="957" spans="2:14">
      <c r="B957" s="76" t="s">
        <v>3573</v>
      </c>
      <c r="C957" s="76" t="s">
        <v>3124</v>
      </c>
      <c r="D957" s="76" t="s">
        <v>205</v>
      </c>
      <c r="E957" s="76" t="s">
        <v>3491</v>
      </c>
      <c r="F957" s="76" t="s">
        <v>3546</v>
      </c>
      <c r="G957" s="76">
        <v>28</v>
      </c>
      <c r="H957" s="76">
        <v>12.5</v>
      </c>
      <c r="I957" s="76" t="s">
        <v>2546</v>
      </c>
      <c r="J957" s="80">
        <v>1000000</v>
      </c>
      <c r="K957" s="86"/>
      <c r="L957" s="80">
        <f t="shared" si="33"/>
        <v>1000000</v>
      </c>
      <c r="M957" s="80">
        <v>107142.85714285712</v>
      </c>
      <c r="N957" s="81">
        <f t="shared" si="34"/>
        <v>892857.14285714284</v>
      </c>
    </row>
    <row r="958" spans="2:14">
      <c r="B958" s="76" t="s">
        <v>3574</v>
      </c>
      <c r="C958" s="76" t="s">
        <v>3124</v>
      </c>
      <c r="D958" s="76" t="s">
        <v>205</v>
      </c>
      <c r="E958" s="76" t="s">
        <v>3491</v>
      </c>
      <c r="F958" s="76" t="s">
        <v>3546</v>
      </c>
      <c r="G958" s="76">
        <v>29</v>
      </c>
      <c r="H958" s="76">
        <v>12.5</v>
      </c>
      <c r="I958" s="76" t="s">
        <v>2546</v>
      </c>
      <c r="J958" s="80">
        <v>1000000</v>
      </c>
      <c r="K958" s="86"/>
      <c r="L958" s="80">
        <f t="shared" si="33"/>
        <v>1000000</v>
      </c>
      <c r="M958" s="80">
        <v>107142.85714285712</v>
      </c>
      <c r="N958" s="81">
        <f t="shared" si="34"/>
        <v>892857.14285714284</v>
      </c>
    </row>
    <row r="959" spans="2:14">
      <c r="B959" s="76" t="s">
        <v>3575</v>
      </c>
      <c r="C959" s="76" t="s">
        <v>3124</v>
      </c>
      <c r="D959" s="76" t="s">
        <v>205</v>
      </c>
      <c r="E959" s="76" t="s">
        <v>3491</v>
      </c>
      <c r="F959" s="76" t="s">
        <v>3546</v>
      </c>
      <c r="G959" s="90">
        <v>30</v>
      </c>
      <c r="H959" s="76">
        <v>12.5</v>
      </c>
      <c r="I959" s="76" t="s">
        <v>2546</v>
      </c>
      <c r="J959" s="80">
        <v>1000000</v>
      </c>
      <c r="K959" s="86"/>
      <c r="L959" s="80">
        <f t="shared" si="33"/>
        <v>1000000</v>
      </c>
      <c r="M959" s="80">
        <v>107142.85714285712</v>
      </c>
      <c r="N959" s="81">
        <f t="shared" si="34"/>
        <v>892857.14285714284</v>
      </c>
    </row>
    <row r="960" spans="2:14">
      <c r="B960" s="76" t="s">
        <v>3576</v>
      </c>
      <c r="C960" s="76" t="s">
        <v>3124</v>
      </c>
      <c r="D960" s="76" t="s">
        <v>205</v>
      </c>
      <c r="E960" s="76" t="s">
        <v>3491</v>
      </c>
      <c r="F960" s="76" t="s">
        <v>3546</v>
      </c>
      <c r="G960" s="90">
        <v>31</v>
      </c>
      <c r="H960" s="76">
        <v>12.5</v>
      </c>
      <c r="I960" s="76" t="s">
        <v>2546</v>
      </c>
      <c r="J960" s="80">
        <v>1000000</v>
      </c>
      <c r="K960" s="86"/>
      <c r="L960" s="80">
        <f t="shared" si="33"/>
        <v>1000000</v>
      </c>
      <c r="M960" s="80">
        <v>107142.85714285712</v>
      </c>
      <c r="N960" s="81">
        <f t="shared" si="34"/>
        <v>892857.14285714284</v>
      </c>
    </row>
    <row r="961" spans="2:14">
      <c r="B961" s="76" t="s">
        <v>3577</v>
      </c>
      <c r="C961" s="76" t="s">
        <v>3124</v>
      </c>
      <c r="D961" s="76" t="s">
        <v>205</v>
      </c>
      <c r="E961" s="76" t="s">
        <v>3491</v>
      </c>
      <c r="F961" s="76" t="s">
        <v>3546</v>
      </c>
      <c r="G961" s="90">
        <v>32</v>
      </c>
      <c r="H961" s="76">
        <v>12.5</v>
      </c>
      <c r="I961" s="76" t="s">
        <v>2546</v>
      </c>
      <c r="J961" s="80">
        <v>1000000</v>
      </c>
      <c r="K961" s="86"/>
      <c r="L961" s="80">
        <f t="shared" si="33"/>
        <v>1000000</v>
      </c>
      <c r="M961" s="80">
        <v>107142.85714285712</v>
      </c>
      <c r="N961" s="81">
        <f t="shared" si="34"/>
        <v>892857.14285714284</v>
      </c>
    </row>
    <row r="962" spans="2:14">
      <c r="B962" s="76" t="s">
        <v>3578</v>
      </c>
      <c r="C962" s="76" t="s">
        <v>3124</v>
      </c>
      <c r="D962" s="76" t="s">
        <v>205</v>
      </c>
      <c r="E962" s="76" t="s">
        <v>3491</v>
      </c>
      <c r="F962" s="76" t="s">
        <v>3579</v>
      </c>
      <c r="G962" s="76">
        <v>1</v>
      </c>
      <c r="H962" s="76">
        <v>49.72</v>
      </c>
      <c r="I962" s="76" t="s">
        <v>2866</v>
      </c>
      <c r="J962" s="80">
        <v>9261000</v>
      </c>
      <c r="K962" s="86"/>
      <c r="L962" s="80">
        <f t="shared" si="33"/>
        <v>9261000</v>
      </c>
      <c r="M962" s="80">
        <v>992249.99999999988</v>
      </c>
      <c r="N962" s="81">
        <f t="shared" si="34"/>
        <v>8268750</v>
      </c>
    </row>
    <row r="963" spans="2:14">
      <c r="B963" s="76" t="s">
        <v>3580</v>
      </c>
      <c r="C963" s="76" t="s">
        <v>3124</v>
      </c>
      <c r="D963" s="76" t="s">
        <v>205</v>
      </c>
      <c r="E963" s="76" t="s">
        <v>3491</v>
      </c>
      <c r="F963" s="76" t="s">
        <v>3579</v>
      </c>
      <c r="G963" s="76">
        <v>2</v>
      </c>
      <c r="H963" s="76">
        <v>56.17</v>
      </c>
      <c r="I963" s="76" t="s">
        <v>2866</v>
      </c>
      <c r="J963" s="80">
        <v>11530400</v>
      </c>
      <c r="K963" s="86"/>
      <c r="L963" s="80">
        <f t="shared" si="33"/>
        <v>11530400</v>
      </c>
      <c r="M963" s="80">
        <v>1223046</v>
      </c>
      <c r="N963" s="81">
        <f t="shared" si="34"/>
        <v>10307354</v>
      </c>
    </row>
    <row r="964" spans="2:14">
      <c r="B964" s="76" t="s">
        <v>3581</v>
      </c>
      <c r="C964" s="76" t="s">
        <v>3124</v>
      </c>
      <c r="D964" s="76" t="s">
        <v>205</v>
      </c>
      <c r="E964" s="76" t="s">
        <v>3491</v>
      </c>
      <c r="F964" s="76" t="s">
        <v>3579</v>
      </c>
      <c r="G964" s="76">
        <v>3</v>
      </c>
      <c r="H964" s="76">
        <v>36.049999999999997</v>
      </c>
      <c r="I964" s="76" t="s">
        <v>2866</v>
      </c>
      <c r="J964" s="80">
        <v>6804000</v>
      </c>
      <c r="K964" s="86"/>
      <c r="L964" s="80">
        <f t="shared" si="33"/>
        <v>6804000</v>
      </c>
      <c r="M964" s="80">
        <v>709170</v>
      </c>
      <c r="N964" s="81">
        <f t="shared" si="34"/>
        <v>6094830</v>
      </c>
    </row>
    <row r="965" spans="2:14">
      <c r="B965" s="76" t="s">
        <v>3582</v>
      </c>
      <c r="C965" s="76" t="s">
        <v>3124</v>
      </c>
      <c r="D965" s="76" t="s">
        <v>205</v>
      </c>
      <c r="E965" s="76" t="s">
        <v>3491</v>
      </c>
      <c r="F965" s="76" t="s">
        <v>3579</v>
      </c>
      <c r="G965" s="76">
        <v>4</v>
      </c>
      <c r="H965" s="76">
        <v>55.2</v>
      </c>
      <c r="I965" s="76" t="s">
        <v>2866</v>
      </c>
      <c r="J965" s="80">
        <v>10395000</v>
      </c>
      <c r="K965" s="86"/>
      <c r="L965" s="80">
        <f t="shared" si="33"/>
        <v>10395000</v>
      </c>
      <c r="M965" s="80">
        <v>1081607.1428571427</v>
      </c>
      <c r="N965" s="81">
        <f t="shared" si="34"/>
        <v>9313392.8571428582</v>
      </c>
    </row>
    <row r="966" spans="2:14">
      <c r="B966" s="76" t="s">
        <v>3583</v>
      </c>
      <c r="C966" s="76" t="s">
        <v>3124</v>
      </c>
      <c r="D966" s="76" t="s">
        <v>233</v>
      </c>
      <c r="E966" s="76" t="s">
        <v>3491</v>
      </c>
      <c r="F966" s="76" t="s">
        <v>3579</v>
      </c>
      <c r="G966" s="76">
        <v>5</v>
      </c>
      <c r="H966" s="76">
        <v>56.13</v>
      </c>
      <c r="I966" s="76" t="s">
        <v>2866</v>
      </c>
      <c r="J966" s="80">
        <v>11530400</v>
      </c>
      <c r="K966" s="86"/>
      <c r="L966" s="80">
        <f t="shared" si="33"/>
        <v>11530400</v>
      </c>
      <c r="M966" s="80">
        <v>1223046</v>
      </c>
      <c r="N966" s="81">
        <f t="shared" si="34"/>
        <v>10307354</v>
      </c>
    </row>
    <row r="967" spans="2:14">
      <c r="B967" s="76" t="s">
        <v>3584</v>
      </c>
      <c r="C967" s="76" t="s">
        <v>3124</v>
      </c>
      <c r="D967" s="76" t="s">
        <v>205</v>
      </c>
      <c r="E967" s="76" t="s">
        <v>3491</v>
      </c>
      <c r="F967" s="76" t="s">
        <v>3579</v>
      </c>
      <c r="G967" s="76">
        <v>6</v>
      </c>
      <c r="H967" s="76">
        <v>39.159999999999997</v>
      </c>
      <c r="I967" s="76" t="s">
        <v>2866</v>
      </c>
      <c r="J967" s="80">
        <v>7371000</v>
      </c>
      <c r="K967" s="86"/>
      <c r="L967" s="80">
        <f t="shared" si="33"/>
        <v>7371000</v>
      </c>
      <c r="M967" s="80">
        <v>784392.85714285704</v>
      </c>
      <c r="N967" s="81">
        <f t="shared" si="34"/>
        <v>6586607.1428571427</v>
      </c>
    </row>
    <row r="968" spans="2:14">
      <c r="B968" s="76" t="s">
        <v>3585</v>
      </c>
      <c r="C968" s="76" t="s">
        <v>3124</v>
      </c>
      <c r="D968" s="76" t="s">
        <v>233</v>
      </c>
      <c r="E968" s="76" t="s">
        <v>3491</v>
      </c>
      <c r="F968" s="76" t="s">
        <v>3579</v>
      </c>
      <c r="G968" s="76">
        <v>7</v>
      </c>
      <c r="H968" s="76">
        <v>59.86</v>
      </c>
      <c r="I968" s="76" t="s">
        <v>2866</v>
      </c>
      <c r="J968" s="80">
        <v>11530400</v>
      </c>
      <c r="K968" s="86"/>
      <c r="L968" s="80">
        <f t="shared" si="33"/>
        <v>11530400</v>
      </c>
      <c r="M968" s="80">
        <v>1223046</v>
      </c>
      <c r="N968" s="81">
        <f t="shared" si="34"/>
        <v>10307354</v>
      </c>
    </row>
    <row r="969" spans="2:14">
      <c r="B969" s="76" t="s">
        <v>3586</v>
      </c>
      <c r="C969" s="76" t="s">
        <v>3124</v>
      </c>
      <c r="D969" s="76" t="s">
        <v>233</v>
      </c>
      <c r="E969" s="76" t="s">
        <v>3491</v>
      </c>
      <c r="F969" s="76" t="s">
        <v>3579</v>
      </c>
      <c r="G969" s="76">
        <v>8</v>
      </c>
      <c r="H969" s="76">
        <v>86.58</v>
      </c>
      <c r="I969" s="76" t="s">
        <v>2866</v>
      </c>
      <c r="J969" s="80">
        <v>11530400</v>
      </c>
      <c r="K969" s="86"/>
      <c r="L969" s="80">
        <f t="shared" si="33"/>
        <v>11530400</v>
      </c>
      <c r="M969" s="80">
        <v>1223046</v>
      </c>
      <c r="N969" s="81">
        <f t="shared" si="34"/>
        <v>10307354</v>
      </c>
    </row>
    <row r="970" spans="2:14">
      <c r="B970" s="91" t="s">
        <v>3587</v>
      </c>
      <c r="C970" s="91" t="s">
        <v>3124</v>
      </c>
      <c r="D970" s="91" t="s">
        <v>233</v>
      </c>
      <c r="E970" s="91" t="s">
        <v>3491</v>
      </c>
      <c r="F970" s="76" t="s">
        <v>3579</v>
      </c>
      <c r="G970" s="91">
        <v>9</v>
      </c>
      <c r="H970" s="91">
        <v>55.35</v>
      </c>
      <c r="I970" s="91" t="s">
        <v>2866</v>
      </c>
      <c r="J970" s="92">
        <v>11530400</v>
      </c>
      <c r="K970" s="93"/>
      <c r="L970" s="92">
        <f t="shared" si="33"/>
        <v>11530400</v>
      </c>
      <c r="M970" s="92">
        <v>1223046</v>
      </c>
      <c r="N970" s="94">
        <f t="shared" si="34"/>
        <v>10307354</v>
      </c>
    </row>
    <row r="971" spans="2:14">
      <c r="B971" s="27" t="s">
        <v>3588</v>
      </c>
      <c r="C971" s="24" t="s">
        <v>3589</v>
      </c>
      <c r="D971" s="24" t="s">
        <v>205</v>
      </c>
      <c r="E971" s="24" t="s">
        <v>3590</v>
      </c>
      <c r="F971" s="24" t="s">
        <v>3462</v>
      </c>
      <c r="H971" s="24">
        <v>24</v>
      </c>
      <c r="I971" s="24" t="s">
        <v>3591</v>
      </c>
      <c r="J971" s="95">
        <v>2850000</v>
      </c>
      <c r="K971" s="95">
        <v>200000</v>
      </c>
      <c r="L971" s="92">
        <f t="shared" si="33"/>
        <v>2650000</v>
      </c>
      <c r="M971" s="95">
        <v>0</v>
      </c>
      <c r="N971" s="94">
        <f t="shared" si="34"/>
        <v>2650000</v>
      </c>
    </row>
    <row r="972" spans="2:14">
      <c r="B972" s="27" t="s">
        <v>3592</v>
      </c>
      <c r="C972" s="24" t="s">
        <v>3589</v>
      </c>
      <c r="D972" s="24" t="s">
        <v>233</v>
      </c>
      <c r="E972" s="24" t="s">
        <v>3590</v>
      </c>
      <c r="F972" s="24" t="s">
        <v>3462</v>
      </c>
      <c r="H972" s="24">
        <v>24</v>
      </c>
      <c r="I972" s="24" t="s">
        <v>3593</v>
      </c>
      <c r="J972" s="95">
        <v>2700000</v>
      </c>
      <c r="K972" s="95">
        <v>200000</v>
      </c>
      <c r="L972" s="92">
        <f t="shared" si="33"/>
        <v>2500000</v>
      </c>
      <c r="M972" s="95">
        <v>0</v>
      </c>
      <c r="N972" s="94">
        <f t="shared" si="34"/>
        <v>2500000</v>
      </c>
    </row>
    <row r="973" spans="2:14">
      <c r="B973" s="27" t="s">
        <v>3594</v>
      </c>
      <c r="C973" s="24" t="s">
        <v>3589</v>
      </c>
      <c r="D973" s="24" t="s">
        <v>233</v>
      </c>
      <c r="E973" s="24" t="s">
        <v>3590</v>
      </c>
      <c r="F973" s="24" t="s">
        <v>3462</v>
      </c>
      <c r="H973" s="24">
        <v>24</v>
      </c>
      <c r="I973" s="24" t="s">
        <v>3593</v>
      </c>
      <c r="J973" s="95">
        <v>2700000</v>
      </c>
      <c r="K973" s="95">
        <v>30000</v>
      </c>
      <c r="L973" s="92">
        <f t="shared" si="33"/>
        <v>2670000</v>
      </c>
      <c r="M973" s="95">
        <v>0</v>
      </c>
      <c r="N973" s="94">
        <f t="shared" si="34"/>
        <v>2670000</v>
      </c>
    </row>
    <row r="974" spans="2:14">
      <c r="B974" s="27" t="s">
        <v>3595</v>
      </c>
      <c r="C974" s="24" t="s">
        <v>3589</v>
      </c>
      <c r="D974" s="24" t="s">
        <v>205</v>
      </c>
      <c r="E974" s="24" t="s">
        <v>3590</v>
      </c>
      <c r="F974" s="24" t="s">
        <v>3462</v>
      </c>
      <c r="H974" s="24">
        <v>24</v>
      </c>
      <c r="I974" s="24" t="s">
        <v>3593</v>
      </c>
      <c r="J974" s="95">
        <v>2700000</v>
      </c>
      <c r="K974" s="95">
        <v>150000</v>
      </c>
      <c r="L974" s="92">
        <f t="shared" si="33"/>
        <v>2550000</v>
      </c>
      <c r="M974" s="95">
        <v>0</v>
      </c>
      <c r="N974" s="94">
        <f t="shared" si="34"/>
        <v>2550000</v>
      </c>
    </row>
    <row r="975" spans="2:14">
      <c r="B975" s="27" t="s">
        <v>3596</v>
      </c>
      <c r="C975" s="24" t="s">
        <v>3589</v>
      </c>
      <c r="D975" s="24" t="s">
        <v>233</v>
      </c>
      <c r="E975" s="24" t="s">
        <v>3590</v>
      </c>
      <c r="F975" s="24" t="s">
        <v>3462</v>
      </c>
      <c r="H975" s="24">
        <v>24</v>
      </c>
      <c r="I975" s="24" t="s">
        <v>3593</v>
      </c>
      <c r="J975" s="95">
        <v>2700000</v>
      </c>
      <c r="K975" s="95">
        <v>200000</v>
      </c>
      <c r="L975" s="92">
        <f t="shared" si="33"/>
        <v>2500000</v>
      </c>
      <c r="M975" s="95">
        <v>0</v>
      </c>
      <c r="N975" s="94">
        <f t="shared" si="34"/>
        <v>2500000</v>
      </c>
    </row>
    <row r="976" spans="2:14">
      <c r="B976" s="27" t="s">
        <v>3597</v>
      </c>
      <c r="C976" s="24" t="s">
        <v>3589</v>
      </c>
      <c r="D976" s="24" t="s">
        <v>205</v>
      </c>
      <c r="E976" s="24" t="s">
        <v>3590</v>
      </c>
      <c r="F976" s="24" t="s">
        <v>3462</v>
      </c>
      <c r="H976" s="24">
        <v>24</v>
      </c>
      <c r="I976" s="24" t="s">
        <v>3593</v>
      </c>
      <c r="J976" s="95">
        <v>2700000</v>
      </c>
      <c r="K976" s="95">
        <v>200000</v>
      </c>
      <c r="L976" s="92">
        <f t="shared" si="33"/>
        <v>2500000</v>
      </c>
      <c r="M976" s="95">
        <v>0</v>
      </c>
      <c r="N976" s="94">
        <f t="shared" si="34"/>
        <v>2500000</v>
      </c>
    </row>
    <row r="977" spans="2:14">
      <c r="B977" s="27" t="s">
        <v>3598</v>
      </c>
      <c r="C977" s="24" t="s">
        <v>3589</v>
      </c>
      <c r="D977" s="24" t="s">
        <v>233</v>
      </c>
      <c r="E977" s="24" t="s">
        <v>3590</v>
      </c>
      <c r="F977" s="24" t="s">
        <v>3462</v>
      </c>
      <c r="H977" s="24">
        <v>24</v>
      </c>
      <c r="I977" s="24" t="s">
        <v>3591</v>
      </c>
      <c r="J977" s="95">
        <v>2850000</v>
      </c>
      <c r="K977" s="95">
        <v>30000</v>
      </c>
      <c r="L977" s="92">
        <f t="shared" si="33"/>
        <v>2820000</v>
      </c>
      <c r="M977" s="95"/>
      <c r="N977" s="94">
        <f t="shared" si="34"/>
        <v>2820000</v>
      </c>
    </row>
    <row r="978" spans="2:14">
      <c r="B978" s="27" t="s">
        <v>3599</v>
      </c>
      <c r="C978" s="24" t="s">
        <v>3589</v>
      </c>
      <c r="D978" s="24" t="s">
        <v>2413</v>
      </c>
      <c r="E978" s="24" t="s">
        <v>3590</v>
      </c>
      <c r="F978" s="24" t="s">
        <v>3462</v>
      </c>
      <c r="H978" s="24">
        <v>24</v>
      </c>
      <c r="I978" s="24" t="s">
        <v>3591</v>
      </c>
      <c r="J978" s="95">
        <v>2850000</v>
      </c>
      <c r="K978" s="95">
        <v>285000</v>
      </c>
      <c r="L978" s="92">
        <f t="shared" si="33"/>
        <v>2565000</v>
      </c>
      <c r="M978" s="95"/>
      <c r="N978" s="94">
        <f t="shared" si="34"/>
        <v>2565000</v>
      </c>
    </row>
    <row r="979" spans="2:14">
      <c r="B979" s="27" t="s">
        <v>3600</v>
      </c>
      <c r="C979" s="24" t="s">
        <v>3589</v>
      </c>
      <c r="D979" s="24" t="s">
        <v>205</v>
      </c>
      <c r="E979" s="24" t="s">
        <v>3590</v>
      </c>
      <c r="F979" s="24" t="s">
        <v>3462</v>
      </c>
      <c r="H979" s="24">
        <v>24</v>
      </c>
      <c r="I979" s="24" t="s">
        <v>3593</v>
      </c>
      <c r="J979" s="95">
        <v>2700000</v>
      </c>
      <c r="K979" s="95">
        <v>150000</v>
      </c>
      <c r="L979" s="92">
        <f t="shared" si="33"/>
        <v>2550000</v>
      </c>
      <c r="M979" s="95"/>
      <c r="N979" s="94">
        <f t="shared" si="34"/>
        <v>2550000</v>
      </c>
    </row>
    <row r="980" spans="2:14">
      <c r="B980" s="27" t="s">
        <v>3601</v>
      </c>
      <c r="C980" s="24" t="s">
        <v>3589</v>
      </c>
      <c r="D980" s="24" t="s">
        <v>205</v>
      </c>
      <c r="E980" s="24" t="s">
        <v>3590</v>
      </c>
      <c r="F980" s="24" t="s">
        <v>3462</v>
      </c>
      <c r="H980" s="24">
        <v>24</v>
      </c>
      <c r="I980" s="24" t="s">
        <v>3593</v>
      </c>
      <c r="J980" s="95">
        <v>2700000</v>
      </c>
      <c r="K980" s="95">
        <v>150000</v>
      </c>
      <c r="L980" s="92">
        <f t="shared" si="33"/>
        <v>2550000</v>
      </c>
      <c r="M980" s="95"/>
      <c r="N980" s="94">
        <f t="shared" si="34"/>
        <v>2550000</v>
      </c>
    </row>
    <row r="981" spans="2:14">
      <c r="B981" s="27" t="s">
        <v>3602</v>
      </c>
      <c r="C981" s="24" t="s">
        <v>3589</v>
      </c>
      <c r="D981" s="24" t="s">
        <v>233</v>
      </c>
      <c r="E981" s="24" t="s">
        <v>3590</v>
      </c>
      <c r="F981" s="24" t="s">
        <v>3462</v>
      </c>
      <c r="H981" s="24">
        <v>24</v>
      </c>
      <c r="I981" s="24" t="s">
        <v>3593</v>
      </c>
      <c r="J981" s="95">
        <v>2700000</v>
      </c>
      <c r="K981" s="95">
        <v>200000</v>
      </c>
      <c r="L981" s="92">
        <f t="shared" si="33"/>
        <v>2500000</v>
      </c>
      <c r="M981" s="95">
        <v>0</v>
      </c>
      <c r="N981" s="94">
        <f t="shared" si="34"/>
        <v>2500000</v>
      </c>
    </row>
    <row r="982" spans="2:14">
      <c r="B982" s="27" t="s">
        <v>3603</v>
      </c>
      <c r="C982" s="24" t="s">
        <v>3589</v>
      </c>
      <c r="D982" s="24" t="s">
        <v>233</v>
      </c>
      <c r="E982" s="24" t="s">
        <v>3590</v>
      </c>
      <c r="F982" s="24" t="s">
        <v>3462</v>
      </c>
      <c r="H982" s="24">
        <v>24</v>
      </c>
      <c r="I982" s="24" t="s">
        <v>3593</v>
      </c>
      <c r="J982" s="95">
        <v>2700000</v>
      </c>
      <c r="K982" s="95">
        <v>200000</v>
      </c>
      <c r="L982" s="92">
        <f t="shared" ref="L982:L1045" si="35">J982-K982</f>
        <v>2500000</v>
      </c>
      <c r="M982" s="95">
        <v>0</v>
      </c>
      <c r="N982" s="94">
        <f t="shared" ref="N982:N1045" si="36">L982-M982</f>
        <v>2500000</v>
      </c>
    </row>
    <row r="983" spans="2:14">
      <c r="B983" s="27" t="s">
        <v>3604</v>
      </c>
      <c r="C983" s="24" t="s">
        <v>3589</v>
      </c>
      <c r="D983" s="24" t="s">
        <v>205</v>
      </c>
      <c r="E983" s="24" t="s">
        <v>3590</v>
      </c>
      <c r="F983" s="24" t="s">
        <v>3462</v>
      </c>
      <c r="H983" s="24">
        <v>24</v>
      </c>
      <c r="I983" s="24" t="s">
        <v>3591</v>
      </c>
      <c r="J983" s="95">
        <v>2850000</v>
      </c>
      <c r="K983" s="95">
        <v>200000</v>
      </c>
      <c r="L983" s="92">
        <f t="shared" si="35"/>
        <v>2650000</v>
      </c>
      <c r="M983" s="95">
        <v>0</v>
      </c>
      <c r="N983" s="94">
        <f t="shared" si="36"/>
        <v>2650000</v>
      </c>
    </row>
    <row r="984" spans="2:14">
      <c r="B984" s="27" t="s">
        <v>3605</v>
      </c>
      <c r="C984" s="24" t="s">
        <v>3589</v>
      </c>
      <c r="D984" s="24" t="s">
        <v>205</v>
      </c>
      <c r="E984" s="24" t="s">
        <v>3590</v>
      </c>
      <c r="F984" s="24" t="s">
        <v>3462</v>
      </c>
      <c r="H984" s="24">
        <v>24</v>
      </c>
      <c r="I984" s="24" t="s">
        <v>3606</v>
      </c>
      <c r="J984" s="95">
        <v>2650000</v>
      </c>
      <c r="K984" s="95">
        <v>200000</v>
      </c>
      <c r="L984" s="92">
        <f t="shared" si="35"/>
        <v>2450000</v>
      </c>
      <c r="M984" s="95">
        <v>0</v>
      </c>
      <c r="N984" s="94">
        <f t="shared" si="36"/>
        <v>2450000</v>
      </c>
    </row>
    <row r="985" spans="2:14">
      <c r="B985" s="27" t="s">
        <v>3607</v>
      </c>
      <c r="C985" s="24" t="s">
        <v>3589</v>
      </c>
      <c r="D985" s="24" t="s">
        <v>205</v>
      </c>
      <c r="E985" s="24" t="s">
        <v>3590</v>
      </c>
      <c r="F985" s="24" t="s">
        <v>3462</v>
      </c>
      <c r="H985" s="24">
        <v>24</v>
      </c>
      <c r="I985" s="24" t="s">
        <v>3608</v>
      </c>
      <c r="J985" s="95">
        <v>2700000</v>
      </c>
      <c r="K985" s="95">
        <v>135000</v>
      </c>
      <c r="L985" s="92">
        <f t="shared" si="35"/>
        <v>2565000</v>
      </c>
      <c r="M985" s="95">
        <v>0</v>
      </c>
      <c r="N985" s="94">
        <f t="shared" si="36"/>
        <v>2565000</v>
      </c>
    </row>
    <row r="986" spans="2:14">
      <c r="B986" s="27" t="s">
        <v>3609</v>
      </c>
      <c r="C986" s="24" t="s">
        <v>3589</v>
      </c>
      <c r="D986" s="24" t="s">
        <v>233</v>
      </c>
      <c r="E986" s="24" t="s">
        <v>3590</v>
      </c>
      <c r="F986" s="24" t="s">
        <v>3462</v>
      </c>
      <c r="H986" s="24">
        <v>24</v>
      </c>
      <c r="I986" s="24" t="s">
        <v>3608</v>
      </c>
      <c r="J986" s="95">
        <v>2550000</v>
      </c>
      <c r="K986" s="95">
        <v>250000</v>
      </c>
      <c r="L986" s="92">
        <f t="shared" si="35"/>
        <v>2300000</v>
      </c>
      <c r="M986" s="95">
        <v>0</v>
      </c>
      <c r="N986" s="94">
        <f t="shared" si="36"/>
        <v>2300000</v>
      </c>
    </row>
    <row r="987" spans="2:14">
      <c r="B987" s="27" t="s">
        <v>3610</v>
      </c>
      <c r="C987" s="24" t="s">
        <v>3589</v>
      </c>
      <c r="D987" s="24" t="s">
        <v>205</v>
      </c>
      <c r="E987" s="24" t="s">
        <v>3590</v>
      </c>
      <c r="F987" s="24" t="s">
        <v>3462</v>
      </c>
      <c r="H987" s="24">
        <v>24</v>
      </c>
      <c r="I987" s="24" t="s">
        <v>3608</v>
      </c>
      <c r="J987" s="95">
        <v>2700000</v>
      </c>
      <c r="K987" s="95">
        <v>300000</v>
      </c>
      <c r="L987" s="92">
        <f t="shared" si="35"/>
        <v>2400000</v>
      </c>
      <c r="M987" s="95">
        <v>0</v>
      </c>
      <c r="N987" s="94">
        <f t="shared" si="36"/>
        <v>2400000</v>
      </c>
    </row>
    <row r="988" spans="2:14">
      <c r="B988" s="27" t="s">
        <v>3611</v>
      </c>
      <c r="C988" s="24" t="s">
        <v>3589</v>
      </c>
      <c r="D988" s="24" t="s">
        <v>233</v>
      </c>
      <c r="E988" s="24" t="s">
        <v>3590</v>
      </c>
      <c r="F988" s="24" t="s">
        <v>3462</v>
      </c>
      <c r="H988" s="24">
        <v>24</v>
      </c>
      <c r="I988" s="24" t="s">
        <v>3608</v>
      </c>
      <c r="J988" s="95">
        <v>2700000</v>
      </c>
      <c r="K988" s="95">
        <v>150000</v>
      </c>
      <c r="L988" s="92">
        <f t="shared" si="35"/>
        <v>2550000</v>
      </c>
      <c r="M988" s="95"/>
      <c r="N988" s="94">
        <f t="shared" si="36"/>
        <v>2550000</v>
      </c>
    </row>
    <row r="989" spans="2:14">
      <c r="B989" s="27" t="s">
        <v>3612</v>
      </c>
      <c r="C989" s="24" t="s">
        <v>3589</v>
      </c>
      <c r="D989" s="24" t="s">
        <v>233</v>
      </c>
      <c r="E989" s="24" t="s">
        <v>3590</v>
      </c>
      <c r="F989" s="24" t="s">
        <v>3462</v>
      </c>
      <c r="H989" s="24">
        <v>24</v>
      </c>
      <c r="I989" s="24" t="s">
        <v>3608</v>
      </c>
      <c r="J989" s="95">
        <v>2700000</v>
      </c>
      <c r="K989" s="95">
        <v>30000</v>
      </c>
      <c r="L989" s="92">
        <f t="shared" si="35"/>
        <v>2670000</v>
      </c>
      <c r="M989" s="95">
        <v>0</v>
      </c>
      <c r="N989" s="94">
        <f t="shared" si="36"/>
        <v>2670000</v>
      </c>
    </row>
    <row r="990" spans="2:14">
      <c r="B990" s="26" t="s">
        <v>3613</v>
      </c>
      <c r="C990" s="25" t="s">
        <v>3589</v>
      </c>
      <c r="D990" s="25" t="s">
        <v>205</v>
      </c>
      <c r="E990" s="25" t="s">
        <v>3590</v>
      </c>
      <c r="F990" s="24" t="s">
        <v>3462</v>
      </c>
      <c r="H990" s="25">
        <v>24</v>
      </c>
      <c r="I990" s="25" t="s">
        <v>3606</v>
      </c>
      <c r="J990" s="96">
        <v>2850000</v>
      </c>
      <c r="K990" s="96">
        <v>150000</v>
      </c>
      <c r="L990" s="92">
        <f t="shared" si="35"/>
        <v>2700000</v>
      </c>
      <c r="M990" s="96"/>
      <c r="N990" s="94">
        <f t="shared" si="36"/>
        <v>2700000</v>
      </c>
    </row>
    <row r="991" spans="2:14">
      <c r="B991" s="27" t="s">
        <v>3614</v>
      </c>
      <c r="C991" s="24" t="s">
        <v>3589</v>
      </c>
      <c r="D991" s="24" t="s">
        <v>233</v>
      </c>
      <c r="E991" s="24" t="s">
        <v>3590</v>
      </c>
      <c r="F991" s="24" t="s">
        <v>3462</v>
      </c>
      <c r="H991" s="24">
        <v>24</v>
      </c>
      <c r="I991" s="24" t="s">
        <v>3606</v>
      </c>
      <c r="J991" s="95">
        <v>2783333.3333333335</v>
      </c>
      <c r="K991" s="95">
        <v>30000</v>
      </c>
      <c r="L991" s="92">
        <f t="shared" si="35"/>
        <v>2753333.3333333335</v>
      </c>
      <c r="M991" s="95"/>
      <c r="N991" s="94">
        <f t="shared" si="36"/>
        <v>2753333.3333333335</v>
      </c>
    </row>
    <row r="992" spans="2:14">
      <c r="B992" s="27" t="s">
        <v>3615</v>
      </c>
      <c r="C992" s="24" t="s">
        <v>3589</v>
      </c>
      <c r="D992" s="24" t="s">
        <v>205</v>
      </c>
      <c r="E992" s="24" t="s">
        <v>3590</v>
      </c>
      <c r="F992" s="24" t="s">
        <v>3462</v>
      </c>
      <c r="H992" s="24">
        <v>25.8</v>
      </c>
      <c r="I992" s="24" t="s">
        <v>3616</v>
      </c>
      <c r="J992" s="95">
        <v>2912500</v>
      </c>
      <c r="K992" s="95">
        <v>30000</v>
      </c>
      <c r="L992" s="92">
        <f t="shared" si="35"/>
        <v>2882500</v>
      </c>
      <c r="M992" s="95"/>
      <c r="N992" s="94">
        <f t="shared" si="36"/>
        <v>2882500</v>
      </c>
    </row>
    <row r="993" spans="2:14">
      <c r="B993" s="27" t="s">
        <v>3617</v>
      </c>
      <c r="C993" s="24" t="s">
        <v>3589</v>
      </c>
      <c r="D993" s="24" t="s">
        <v>233</v>
      </c>
      <c r="E993" s="24" t="s">
        <v>3590</v>
      </c>
      <c r="F993" s="24" t="s">
        <v>3462</v>
      </c>
      <c r="H993" s="24">
        <v>24</v>
      </c>
      <c r="I993" s="24" t="s">
        <v>3608</v>
      </c>
      <c r="J993" s="95">
        <v>2700000</v>
      </c>
      <c r="K993" s="95">
        <v>30000</v>
      </c>
      <c r="L993" s="92">
        <f t="shared" si="35"/>
        <v>2670000</v>
      </c>
      <c r="M993" s="95">
        <v>0</v>
      </c>
      <c r="N993" s="94">
        <f t="shared" si="36"/>
        <v>2670000</v>
      </c>
    </row>
    <row r="994" spans="2:14">
      <c r="B994" s="27" t="s">
        <v>3618</v>
      </c>
      <c r="C994" s="24" t="s">
        <v>3589</v>
      </c>
      <c r="D994" s="24" t="s">
        <v>233</v>
      </c>
      <c r="E994" s="24" t="s">
        <v>3590</v>
      </c>
      <c r="F994" s="24" t="s">
        <v>3462</v>
      </c>
      <c r="H994" s="24">
        <v>25.8</v>
      </c>
      <c r="I994" s="24" t="s">
        <v>3616</v>
      </c>
      <c r="J994" s="95">
        <v>3000000</v>
      </c>
      <c r="K994" s="95">
        <v>0</v>
      </c>
      <c r="L994" s="92">
        <f t="shared" si="35"/>
        <v>3000000</v>
      </c>
      <c r="M994" s="95">
        <v>0</v>
      </c>
      <c r="N994" s="94">
        <f t="shared" si="36"/>
        <v>3000000</v>
      </c>
    </row>
    <row r="995" spans="2:14">
      <c r="B995" s="27" t="s">
        <v>3619</v>
      </c>
      <c r="C995" s="24" t="s">
        <v>3589</v>
      </c>
      <c r="D995" s="24" t="s">
        <v>233</v>
      </c>
      <c r="E995" s="24" t="s">
        <v>3590</v>
      </c>
      <c r="F995" s="24" t="s">
        <v>3462</v>
      </c>
      <c r="H995" s="24">
        <v>24</v>
      </c>
      <c r="I995" s="24" t="s">
        <v>3608</v>
      </c>
      <c r="J995" s="95">
        <v>2700000</v>
      </c>
      <c r="K995" s="95">
        <v>150000</v>
      </c>
      <c r="L995" s="92">
        <f t="shared" si="35"/>
        <v>2550000</v>
      </c>
      <c r="M995" s="95">
        <v>0</v>
      </c>
      <c r="N995" s="94">
        <f t="shared" si="36"/>
        <v>2550000</v>
      </c>
    </row>
    <row r="996" spans="2:14">
      <c r="B996" s="27" t="s">
        <v>3620</v>
      </c>
      <c r="C996" s="24" t="s">
        <v>3589</v>
      </c>
      <c r="D996" s="24" t="s">
        <v>205</v>
      </c>
      <c r="E996" s="24" t="s">
        <v>3590</v>
      </c>
      <c r="F996" s="24" t="s">
        <v>3462</v>
      </c>
      <c r="H996" s="24">
        <v>25.8</v>
      </c>
      <c r="I996" s="24" t="s">
        <v>3621</v>
      </c>
      <c r="J996" s="95">
        <v>3100000</v>
      </c>
      <c r="K996" s="95">
        <v>0</v>
      </c>
      <c r="L996" s="92">
        <f t="shared" si="35"/>
        <v>3100000</v>
      </c>
      <c r="M996" s="95">
        <v>0</v>
      </c>
      <c r="N996" s="94">
        <f t="shared" si="36"/>
        <v>3100000</v>
      </c>
    </row>
    <row r="997" spans="2:14">
      <c r="B997" s="27" t="s">
        <v>3622</v>
      </c>
      <c r="C997" s="24" t="s">
        <v>3589</v>
      </c>
      <c r="D997" s="24" t="s">
        <v>233</v>
      </c>
      <c r="E997" s="24" t="s">
        <v>3590</v>
      </c>
      <c r="F997" s="24" t="s">
        <v>3417</v>
      </c>
      <c r="H997" s="24">
        <v>24</v>
      </c>
      <c r="I997" s="24" t="s">
        <v>3606</v>
      </c>
      <c r="J997" s="95">
        <v>2850000</v>
      </c>
      <c r="K997" s="95">
        <v>300000</v>
      </c>
      <c r="L997" s="92">
        <f t="shared" si="35"/>
        <v>2550000</v>
      </c>
      <c r="M997" s="95">
        <v>0</v>
      </c>
      <c r="N997" s="94">
        <f t="shared" si="36"/>
        <v>2550000</v>
      </c>
    </row>
    <row r="998" spans="2:14">
      <c r="B998" s="27" t="s">
        <v>3623</v>
      </c>
      <c r="C998" s="24" t="s">
        <v>3589</v>
      </c>
      <c r="D998" s="24" t="s">
        <v>205</v>
      </c>
      <c r="E998" s="24" t="s">
        <v>3590</v>
      </c>
      <c r="F998" s="24" t="s">
        <v>3417</v>
      </c>
      <c r="H998" s="24">
        <v>24</v>
      </c>
      <c r="I998" s="24" t="s">
        <v>3608</v>
      </c>
      <c r="J998" s="95">
        <v>2500000</v>
      </c>
      <c r="K998" s="95">
        <v>200000</v>
      </c>
      <c r="L998" s="92">
        <f t="shared" si="35"/>
        <v>2300000</v>
      </c>
      <c r="M998" s="95">
        <v>0</v>
      </c>
      <c r="N998" s="94">
        <f t="shared" si="36"/>
        <v>2300000</v>
      </c>
    </row>
    <row r="999" spans="2:14">
      <c r="B999" s="27" t="s">
        <v>3624</v>
      </c>
      <c r="C999" s="24" t="s">
        <v>3589</v>
      </c>
      <c r="D999" s="24" t="s">
        <v>205</v>
      </c>
      <c r="E999" s="24" t="s">
        <v>3590</v>
      </c>
      <c r="F999" s="24" t="s">
        <v>3417</v>
      </c>
      <c r="H999" s="24">
        <v>24</v>
      </c>
      <c r="I999" s="24" t="s">
        <v>3608</v>
      </c>
      <c r="J999" s="95">
        <v>2500000</v>
      </c>
      <c r="K999" s="95">
        <v>200000</v>
      </c>
      <c r="L999" s="92">
        <f t="shared" si="35"/>
        <v>2300000</v>
      </c>
      <c r="M999" s="95">
        <v>0</v>
      </c>
      <c r="N999" s="94">
        <f t="shared" si="36"/>
        <v>2300000</v>
      </c>
    </row>
    <row r="1000" spans="2:14">
      <c r="B1000" s="27" t="s">
        <v>3625</v>
      </c>
      <c r="C1000" s="24" t="s">
        <v>3589</v>
      </c>
      <c r="D1000" s="24" t="s">
        <v>205</v>
      </c>
      <c r="E1000" s="24" t="s">
        <v>3590</v>
      </c>
      <c r="F1000" s="24" t="s">
        <v>3417</v>
      </c>
      <c r="H1000" s="24">
        <v>24</v>
      </c>
      <c r="I1000" s="24" t="s">
        <v>3608</v>
      </c>
      <c r="J1000" s="95">
        <v>2500000</v>
      </c>
      <c r="K1000" s="95">
        <v>200000</v>
      </c>
      <c r="L1000" s="92">
        <f t="shared" si="35"/>
        <v>2300000</v>
      </c>
      <c r="M1000" s="95">
        <v>0</v>
      </c>
      <c r="N1000" s="94">
        <f t="shared" si="36"/>
        <v>2300000</v>
      </c>
    </row>
    <row r="1001" spans="2:14">
      <c r="B1001" s="27" t="s">
        <v>3626</v>
      </c>
      <c r="C1001" s="24" t="s">
        <v>3589</v>
      </c>
      <c r="D1001" s="24" t="s">
        <v>205</v>
      </c>
      <c r="E1001" s="24" t="s">
        <v>3590</v>
      </c>
      <c r="F1001" s="24" t="s">
        <v>3417</v>
      </c>
      <c r="H1001" s="24">
        <v>24</v>
      </c>
      <c r="I1001" s="24" t="s">
        <v>3608</v>
      </c>
      <c r="J1001" s="95">
        <v>2500000</v>
      </c>
      <c r="K1001" s="95">
        <v>200000</v>
      </c>
      <c r="L1001" s="92">
        <f t="shared" si="35"/>
        <v>2300000</v>
      </c>
      <c r="M1001" s="95">
        <v>0</v>
      </c>
      <c r="N1001" s="94">
        <f t="shared" si="36"/>
        <v>2300000</v>
      </c>
    </row>
    <row r="1002" spans="2:14">
      <c r="B1002" s="27" t="s">
        <v>3627</v>
      </c>
      <c r="C1002" s="24" t="s">
        <v>3589</v>
      </c>
      <c r="D1002" s="24" t="s">
        <v>233</v>
      </c>
      <c r="E1002" s="24" t="s">
        <v>3590</v>
      </c>
      <c r="F1002" s="24" t="s">
        <v>3417</v>
      </c>
      <c r="H1002" s="24">
        <v>24</v>
      </c>
      <c r="I1002" s="24" t="s">
        <v>3608</v>
      </c>
      <c r="J1002" s="95">
        <v>2500000</v>
      </c>
      <c r="K1002" s="95">
        <v>200000</v>
      </c>
      <c r="L1002" s="92">
        <f t="shared" si="35"/>
        <v>2300000</v>
      </c>
      <c r="M1002" s="95">
        <v>0</v>
      </c>
      <c r="N1002" s="94">
        <f t="shared" si="36"/>
        <v>2300000</v>
      </c>
    </row>
    <row r="1003" spans="2:14">
      <c r="B1003" s="27" t="s">
        <v>3628</v>
      </c>
      <c r="C1003" s="24" t="s">
        <v>3589</v>
      </c>
      <c r="D1003" s="24" t="s">
        <v>205</v>
      </c>
      <c r="E1003" s="24" t="s">
        <v>3590</v>
      </c>
      <c r="F1003" s="24" t="s">
        <v>3417</v>
      </c>
      <c r="H1003" s="24">
        <v>24</v>
      </c>
      <c r="I1003" s="24" t="s">
        <v>3606</v>
      </c>
      <c r="J1003" s="95">
        <v>2850000</v>
      </c>
      <c r="K1003" s="95">
        <v>200000</v>
      </c>
      <c r="L1003" s="92">
        <f t="shared" si="35"/>
        <v>2650000</v>
      </c>
      <c r="M1003" s="95">
        <v>0</v>
      </c>
      <c r="N1003" s="94">
        <f t="shared" si="36"/>
        <v>2650000</v>
      </c>
    </row>
    <row r="1004" spans="2:14">
      <c r="B1004" s="27" t="s">
        <v>3629</v>
      </c>
      <c r="C1004" s="24" t="s">
        <v>3589</v>
      </c>
      <c r="D1004" s="24" t="s">
        <v>205</v>
      </c>
      <c r="E1004" s="24" t="s">
        <v>3590</v>
      </c>
      <c r="F1004" s="24" t="s">
        <v>3417</v>
      </c>
      <c r="H1004" s="24">
        <v>25.8</v>
      </c>
      <c r="I1004" s="24" t="s">
        <v>3621</v>
      </c>
      <c r="J1004" s="95">
        <v>3100000</v>
      </c>
      <c r="K1004" s="95">
        <v>200000</v>
      </c>
      <c r="L1004" s="92">
        <f t="shared" si="35"/>
        <v>2900000</v>
      </c>
      <c r="M1004" s="95">
        <v>0</v>
      </c>
      <c r="N1004" s="94">
        <f t="shared" si="36"/>
        <v>2900000</v>
      </c>
    </row>
    <row r="1005" spans="2:14">
      <c r="B1005" s="27" t="s">
        <v>3630</v>
      </c>
      <c r="C1005" s="24" t="s">
        <v>3589</v>
      </c>
      <c r="D1005" s="24" t="s">
        <v>233</v>
      </c>
      <c r="E1005" s="24" t="s">
        <v>3590</v>
      </c>
      <c r="F1005" s="24" t="s">
        <v>3417</v>
      </c>
      <c r="H1005" s="24">
        <v>24</v>
      </c>
      <c r="I1005" s="24" t="s">
        <v>3608</v>
      </c>
      <c r="J1005" s="95">
        <v>2700000</v>
      </c>
      <c r="K1005" s="95">
        <v>30000</v>
      </c>
      <c r="L1005" s="92">
        <f t="shared" si="35"/>
        <v>2670000</v>
      </c>
      <c r="M1005" s="95">
        <v>0</v>
      </c>
      <c r="N1005" s="94">
        <f t="shared" si="36"/>
        <v>2670000</v>
      </c>
    </row>
    <row r="1006" spans="2:14">
      <c r="B1006" s="27" t="s">
        <v>3631</v>
      </c>
      <c r="C1006" s="24" t="s">
        <v>3589</v>
      </c>
      <c r="D1006" s="24" t="s">
        <v>233</v>
      </c>
      <c r="E1006" s="24" t="s">
        <v>3590</v>
      </c>
      <c r="F1006" s="24" t="s">
        <v>3417</v>
      </c>
      <c r="H1006" s="24">
        <v>25.8</v>
      </c>
      <c r="I1006" s="24" t="s">
        <v>3616</v>
      </c>
      <c r="J1006" s="95">
        <v>2825000</v>
      </c>
      <c r="K1006" s="95">
        <v>200000</v>
      </c>
      <c r="L1006" s="92">
        <f t="shared" si="35"/>
        <v>2625000</v>
      </c>
      <c r="M1006" s="95">
        <v>0</v>
      </c>
      <c r="N1006" s="94">
        <f t="shared" si="36"/>
        <v>2625000</v>
      </c>
    </row>
    <row r="1007" spans="2:14">
      <c r="B1007" s="27" t="s">
        <v>3632</v>
      </c>
      <c r="C1007" s="24" t="s">
        <v>3589</v>
      </c>
      <c r="D1007" s="24" t="s">
        <v>205</v>
      </c>
      <c r="E1007" s="24" t="s">
        <v>3590</v>
      </c>
      <c r="F1007" s="24" t="s">
        <v>3417</v>
      </c>
      <c r="H1007" s="24">
        <v>24</v>
      </c>
      <c r="I1007" s="24" t="s">
        <v>3608</v>
      </c>
      <c r="J1007" s="95">
        <v>2500000</v>
      </c>
      <c r="K1007" s="95">
        <v>200000</v>
      </c>
      <c r="L1007" s="92">
        <f t="shared" si="35"/>
        <v>2300000</v>
      </c>
      <c r="M1007" s="95">
        <v>0</v>
      </c>
      <c r="N1007" s="94">
        <f t="shared" si="36"/>
        <v>2300000</v>
      </c>
    </row>
    <row r="1008" spans="2:14">
      <c r="B1008" s="27" t="s">
        <v>3633</v>
      </c>
      <c r="C1008" s="24" t="s">
        <v>3589</v>
      </c>
      <c r="D1008" s="24" t="s">
        <v>205</v>
      </c>
      <c r="E1008" s="24" t="s">
        <v>3590</v>
      </c>
      <c r="F1008" s="24" t="s">
        <v>3417</v>
      </c>
      <c r="H1008" s="24">
        <v>25.8</v>
      </c>
      <c r="I1008" s="24" t="s">
        <v>3616</v>
      </c>
      <c r="J1008" s="95">
        <v>3000000</v>
      </c>
      <c r="K1008" s="95">
        <v>200000</v>
      </c>
      <c r="L1008" s="92">
        <f t="shared" si="35"/>
        <v>2800000</v>
      </c>
      <c r="M1008" s="95"/>
      <c r="N1008" s="94">
        <f t="shared" si="36"/>
        <v>2800000</v>
      </c>
    </row>
    <row r="1009" spans="2:14">
      <c r="B1009" s="27" t="s">
        <v>3634</v>
      </c>
      <c r="C1009" s="24" t="s">
        <v>3589</v>
      </c>
      <c r="D1009" s="24" t="s">
        <v>233</v>
      </c>
      <c r="E1009" s="24" t="s">
        <v>3590</v>
      </c>
      <c r="F1009" s="24" t="s">
        <v>3417</v>
      </c>
      <c r="H1009" s="24">
        <v>24</v>
      </c>
      <c r="I1009" s="24" t="s">
        <v>3606</v>
      </c>
      <c r="J1009" s="95">
        <v>2783333.3333333335</v>
      </c>
      <c r="K1009" s="95">
        <v>30000</v>
      </c>
      <c r="L1009" s="92">
        <f t="shared" si="35"/>
        <v>2753333.3333333335</v>
      </c>
      <c r="M1009" s="95"/>
      <c r="N1009" s="94">
        <f t="shared" si="36"/>
        <v>2753333.3333333335</v>
      </c>
    </row>
    <row r="1010" spans="2:14">
      <c r="B1010" s="27" t="s">
        <v>3635</v>
      </c>
      <c r="C1010" s="24" t="s">
        <v>3589</v>
      </c>
      <c r="D1010" s="24" t="s">
        <v>205</v>
      </c>
      <c r="E1010" s="24" t="s">
        <v>3590</v>
      </c>
      <c r="F1010" s="24" t="s">
        <v>3432</v>
      </c>
      <c r="H1010" s="24">
        <v>24</v>
      </c>
      <c r="I1010" s="24" t="s">
        <v>3606</v>
      </c>
      <c r="J1010" s="95">
        <v>2850000</v>
      </c>
      <c r="K1010" s="95">
        <v>142500</v>
      </c>
      <c r="L1010" s="92">
        <f t="shared" si="35"/>
        <v>2707500</v>
      </c>
      <c r="M1010" s="95">
        <v>0</v>
      </c>
      <c r="N1010" s="94">
        <f t="shared" si="36"/>
        <v>2707500</v>
      </c>
    </row>
    <row r="1011" spans="2:14">
      <c r="B1011" s="27" t="s">
        <v>3636</v>
      </c>
      <c r="C1011" s="24" t="s">
        <v>3589</v>
      </c>
      <c r="D1011" s="24" t="s">
        <v>205</v>
      </c>
      <c r="E1011" s="24" t="s">
        <v>3590</v>
      </c>
      <c r="F1011" s="24" t="s">
        <v>3432</v>
      </c>
      <c r="H1011" s="24">
        <v>24</v>
      </c>
      <c r="I1011" s="24" t="s">
        <v>3608</v>
      </c>
      <c r="J1011" s="95">
        <v>2700000</v>
      </c>
      <c r="K1011" s="95">
        <v>150000</v>
      </c>
      <c r="L1011" s="92">
        <f t="shared" si="35"/>
        <v>2550000</v>
      </c>
      <c r="M1011" s="95">
        <v>0</v>
      </c>
      <c r="N1011" s="94">
        <f t="shared" si="36"/>
        <v>2550000</v>
      </c>
    </row>
    <row r="1012" spans="2:14">
      <c r="B1012" s="27" t="s">
        <v>3637</v>
      </c>
      <c r="C1012" s="24" t="s">
        <v>3589</v>
      </c>
      <c r="D1012" s="24" t="s">
        <v>205</v>
      </c>
      <c r="E1012" s="24" t="s">
        <v>3590</v>
      </c>
      <c r="F1012" s="24" t="s">
        <v>3432</v>
      </c>
      <c r="H1012" s="24">
        <v>24</v>
      </c>
      <c r="I1012" s="24" t="s">
        <v>3608</v>
      </c>
      <c r="J1012" s="95">
        <v>2300000</v>
      </c>
      <c r="K1012" s="95">
        <v>0</v>
      </c>
      <c r="L1012" s="92">
        <f t="shared" si="35"/>
        <v>2300000</v>
      </c>
      <c r="M1012" s="95">
        <v>0</v>
      </c>
      <c r="N1012" s="94">
        <f t="shared" si="36"/>
        <v>2300000</v>
      </c>
    </row>
    <row r="1013" spans="2:14">
      <c r="B1013" s="27" t="s">
        <v>3638</v>
      </c>
      <c r="C1013" s="24" t="s">
        <v>3589</v>
      </c>
      <c r="D1013" s="24" t="s">
        <v>233</v>
      </c>
      <c r="E1013" s="24" t="s">
        <v>3590</v>
      </c>
      <c r="F1013" s="24" t="s">
        <v>3432</v>
      </c>
      <c r="H1013" s="24">
        <v>24</v>
      </c>
      <c r="I1013" s="24" t="s">
        <v>3608</v>
      </c>
      <c r="J1013" s="95">
        <v>2700000</v>
      </c>
      <c r="K1013" s="95">
        <v>30000</v>
      </c>
      <c r="L1013" s="92">
        <f t="shared" si="35"/>
        <v>2670000</v>
      </c>
      <c r="M1013" s="95">
        <v>0</v>
      </c>
      <c r="N1013" s="94">
        <f t="shared" si="36"/>
        <v>2670000</v>
      </c>
    </row>
    <row r="1014" spans="2:14">
      <c r="B1014" s="27" t="s">
        <v>3639</v>
      </c>
      <c r="C1014" s="24" t="s">
        <v>3589</v>
      </c>
      <c r="D1014" s="24" t="s">
        <v>205</v>
      </c>
      <c r="E1014" s="24" t="s">
        <v>3590</v>
      </c>
      <c r="F1014" s="24" t="s">
        <v>3432</v>
      </c>
      <c r="H1014" s="24">
        <v>24</v>
      </c>
      <c r="I1014" s="24" t="s">
        <v>3608</v>
      </c>
      <c r="J1014" s="95">
        <v>2500000</v>
      </c>
      <c r="K1014" s="95">
        <v>200000</v>
      </c>
      <c r="L1014" s="92">
        <f t="shared" si="35"/>
        <v>2300000</v>
      </c>
      <c r="M1014" s="95">
        <v>0</v>
      </c>
      <c r="N1014" s="94">
        <f t="shared" si="36"/>
        <v>2300000</v>
      </c>
    </row>
    <row r="1015" spans="2:14">
      <c r="B1015" s="27" t="s">
        <v>3640</v>
      </c>
      <c r="C1015" s="24" t="s">
        <v>3589</v>
      </c>
      <c r="D1015" s="24" t="s">
        <v>243</v>
      </c>
      <c r="E1015" s="24" t="s">
        <v>3590</v>
      </c>
      <c r="F1015" s="24" t="s">
        <v>3432</v>
      </c>
      <c r="H1015" s="24">
        <v>24</v>
      </c>
      <c r="I1015" s="24" t="s">
        <v>3608</v>
      </c>
      <c r="J1015" s="95">
        <v>2700000</v>
      </c>
      <c r="K1015" s="95">
        <v>150000</v>
      </c>
      <c r="L1015" s="92">
        <f t="shared" si="35"/>
        <v>2550000</v>
      </c>
      <c r="M1015" s="95"/>
      <c r="N1015" s="94">
        <f t="shared" si="36"/>
        <v>2550000</v>
      </c>
    </row>
    <row r="1016" spans="2:14">
      <c r="B1016" s="27" t="s">
        <v>3641</v>
      </c>
      <c r="C1016" s="24" t="s">
        <v>3589</v>
      </c>
      <c r="D1016" s="24" t="s">
        <v>205</v>
      </c>
      <c r="E1016" s="24" t="s">
        <v>3590</v>
      </c>
      <c r="F1016" s="24" t="s">
        <v>3432</v>
      </c>
      <c r="H1016" s="24">
        <v>24</v>
      </c>
      <c r="I1016" s="24" t="s">
        <v>3606</v>
      </c>
      <c r="J1016" s="95">
        <v>2850000</v>
      </c>
      <c r="K1016" s="95">
        <v>150000</v>
      </c>
      <c r="L1016" s="92">
        <f t="shared" si="35"/>
        <v>2700000</v>
      </c>
      <c r="M1016" s="95">
        <v>0</v>
      </c>
      <c r="N1016" s="94">
        <f t="shared" si="36"/>
        <v>2700000</v>
      </c>
    </row>
    <row r="1017" spans="2:14">
      <c r="B1017" s="27" t="s">
        <v>3642</v>
      </c>
      <c r="C1017" s="24" t="s">
        <v>3589</v>
      </c>
      <c r="D1017" s="24" t="s">
        <v>205</v>
      </c>
      <c r="E1017" s="24" t="s">
        <v>3590</v>
      </c>
      <c r="F1017" s="24" t="s">
        <v>3432</v>
      </c>
      <c r="H1017" s="24">
        <v>24</v>
      </c>
      <c r="I1017" s="24" t="s">
        <v>3606</v>
      </c>
      <c r="J1017" s="95">
        <v>2650000</v>
      </c>
      <c r="K1017" s="95">
        <v>200000</v>
      </c>
      <c r="L1017" s="92">
        <f t="shared" si="35"/>
        <v>2450000</v>
      </c>
      <c r="M1017" s="95">
        <v>0</v>
      </c>
      <c r="N1017" s="94">
        <f t="shared" si="36"/>
        <v>2450000</v>
      </c>
    </row>
    <row r="1018" spans="2:14">
      <c r="B1018" s="27" t="s">
        <v>3643</v>
      </c>
      <c r="C1018" s="24" t="s">
        <v>3589</v>
      </c>
      <c r="D1018" s="24" t="s">
        <v>233</v>
      </c>
      <c r="E1018" s="24" t="s">
        <v>3590</v>
      </c>
      <c r="F1018" s="24" t="s">
        <v>3432</v>
      </c>
      <c r="H1018" s="24">
        <v>25.8</v>
      </c>
      <c r="I1018" s="24" t="s">
        <v>3616</v>
      </c>
      <c r="J1018" s="95">
        <v>2912500</v>
      </c>
      <c r="K1018" s="95">
        <v>30000</v>
      </c>
      <c r="L1018" s="92">
        <f t="shared" si="35"/>
        <v>2882500</v>
      </c>
      <c r="M1018" s="95"/>
      <c r="N1018" s="94">
        <f t="shared" si="36"/>
        <v>2882500</v>
      </c>
    </row>
    <row r="1019" spans="2:14">
      <c r="B1019" s="27" t="s">
        <v>3644</v>
      </c>
      <c r="C1019" s="24" t="s">
        <v>3589</v>
      </c>
      <c r="D1019" s="24" t="s">
        <v>205</v>
      </c>
      <c r="E1019" s="24" t="s">
        <v>3590</v>
      </c>
      <c r="F1019" s="24" t="s">
        <v>3432</v>
      </c>
      <c r="H1019" s="24">
        <v>24</v>
      </c>
      <c r="I1019" s="24" t="s">
        <v>3608</v>
      </c>
      <c r="J1019" s="95">
        <v>2500000</v>
      </c>
      <c r="K1019" s="95">
        <v>200000</v>
      </c>
      <c r="L1019" s="92">
        <f t="shared" si="35"/>
        <v>2300000</v>
      </c>
      <c r="M1019" s="95">
        <v>0</v>
      </c>
      <c r="N1019" s="94">
        <f t="shared" si="36"/>
        <v>2300000</v>
      </c>
    </row>
    <row r="1020" spans="2:14">
      <c r="B1020" s="27" t="s">
        <v>3645</v>
      </c>
      <c r="C1020" s="24" t="s">
        <v>3589</v>
      </c>
      <c r="D1020" s="24" t="s">
        <v>205</v>
      </c>
      <c r="E1020" s="24" t="s">
        <v>3590</v>
      </c>
      <c r="F1020" s="24" t="s">
        <v>3432</v>
      </c>
      <c r="H1020" s="24">
        <v>25.8</v>
      </c>
      <c r="I1020" s="24" t="s">
        <v>3616</v>
      </c>
      <c r="J1020" s="95">
        <v>2825000</v>
      </c>
      <c r="K1020" s="95">
        <v>200000</v>
      </c>
      <c r="L1020" s="92">
        <f t="shared" si="35"/>
        <v>2625000</v>
      </c>
      <c r="M1020" s="95">
        <v>0</v>
      </c>
      <c r="N1020" s="94">
        <f t="shared" si="36"/>
        <v>2625000</v>
      </c>
    </row>
    <row r="1021" spans="2:14">
      <c r="B1021" s="27" t="s">
        <v>3646</v>
      </c>
      <c r="C1021" s="24" t="s">
        <v>3589</v>
      </c>
      <c r="D1021" s="24" t="s">
        <v>233</v>
      </c>
      <c r="E1021" s="24" t="s">
        <v>3590</v>
      </c>
      <c r="F1021" s="24" t="s">
        <v>3432</v>
      </c>
      <c r="H1021" s="24">
        <v>24</v>
      </c>
      <c r="I1021" s="24" t="s">
        <v>3608</v>
      </c>
      <c r="J1021" s="95">
        <v>2700000</v>
      </c>
      <c r="K1021" s="95">
        <v>30000</v>
      </c>
      <c r="L1021" s="92">
        <f t="shared" si="35"/>
        <v>2670000</v>
      </c>
      <c r="M1021" s="95">
        <v>0</v>
      </c>
      <c r="N1021" s="94">
        <f t="shared" si="36"/>
        <v>2670000</v>
      </c>
    </row>
    <row r="1022" spans="2:14">
      <c r="B1022" s="27" t="s">
        <v>3647</v>
      </c>
      <c r="C1022" s="24" t="s">
        <v>3589</v>
      </c>
      <c r="D1022" s="24" t="s">
        <v>205</v>
      </c>
      <c r="E1022" s="24" t="s">
        <v>3590</v>
      </c>
      <c r="F1022" s="24" t="s">
        <v>3432</v>
      </c>
      <c r="H1022" s="24">
        <v>25.8</v>
      </c>
      <c r="I1022" s="24" t="s">
        <v>3621</v>
      </c>
      <c r="J1022" s="95">
        <v>3100000</v>
      </c>
      <c r="K1022" s="95">
        <v>200000</v>
      </c>
      <c r="L1022" s="92">
        <f t="shared" si="35"/>
        <v>2900000</v>
      </c>
      <c r="M1022" s="95">
        <v>0</v>
      </c>
      <c r="N1022" s="94">
        <f t="shared" si="36"/>
        <v>2900000</v>
      </c>
    </row>
    <row r="1023" spans="2:14">
      <c r="B1023" s="26" t="s">
        <v>3648</v>
      </c>
      <c r="C1023" s="24" t="s">
        <v>3589</v>
      </c>
      <c r="D1023" s="24" t="s">
        <v>205</v>
      </c>
      <c r="E1023" s="24" t="s">
        <v>3649</v>
      </c>
      <c r="F1023" s="24" t="s">
        <v>3650</v>
      </c>
      <c r="H1023" s="24">
        <v>12.5</v>
      </c>
      <c r="I1023" s="24" t="s">
        <v>3650</v>
      </c>
      <c r="J1023" s="95">
        <v>850000</v>
      </c>
      <c r="K1023" s="95">
        <v>165000</v>
      </c>
      <c r="L1023" s="92">
        <f t="shared" si="35"/>
        <v>685000</v>
      </c>
      <c r="M1023" s="95">
        <v>73392.86</v>
      </c>
      <c r="N1023" s="94">
        <f t="shared" si="36"/>
        <v>611607.14</v>
      </c>
    </row>
    <row r="1024" spans="2:14">
      <c r="B1024" s="26" t="s">
        <v>3651</v>
      </c>
      <c r="C1024" s="24" t="s">
        <v>3589</v>
      </c>
      <c r="D1024" s="24" t="s">
        <v>205</v>
      </c>
      <c r="E1024" s="24" t="s">
        <v>3649</v>
      </c>
      <c r="F1024" s="24" t="s">
        <v>3650</v>
      </c>
      <c r="H1024" s="24">
        <v>12.5</v>
      </c>
      <c r="I1024" s="24" t="s">
        <v>3650</v>
      </c>
      <c r="J1024" s="95">
        <v>1000000</v>
      </c>
      <c r="K1024" s="95">
        <v>0</v>
      </c>
      <c r="L1024" s="92">
        <f t="shared" si="35"/>
        <v>1000000</v>
      </c>
      <c r="M1024" s="95">
        <v>107142.85714285712</v>
      </c>
      <c r="N1024" s="94">
        <f t="shared" si="36"/>
        <v>892857.14285714284</v>
      </c>
    </row>
    <row r="1025" spans="2:14">
      <c r="B1025" s="26" t="s">
        <v>3652</v>
      </c>
      <c r="C1025" s="24" t="s">
        <v>3589</v>
      </c>
      <c r="D1025" s="24" t="s">
        <v>205</v>
      </c>
      <c r="E1025" s="24" t="s">
        <v>3649</v>
      </c>
      <c r="F1025" s="24" t="s">
        <v>3650</v>
      </c>
      <c r="H1025" s="24">
        <v>12.5</v>
      </c>
      <c r="I1025" s="24" t="s">
        <v>3650</v>
      </c>
      <c r="J1025" s="95">
        <v>850000</v>
      </c>
      <c r="K1025" s="95">
        <v>165000</v>
      </c>
      <c r="L1025" s="92">
        <f t="shared" si="35"/>
        <v>685000</v>
      </c>
      <c r="M1025" s="95">
        <v>73392.86</v>
      </c>
      <c r="N1025" s="94">
        <f t="shared" si="36"/>
        <v>611607.14</v>
      </c>
    </row>
    <row r="1026" spans="2:14">
      <c r="B1026" s="26" t="s">
        <v>3653</v>
      </c>
      <c r="C1026" s="24" t="s">
        <v>3589</v>
      </c>
      <c r="D1026" s="24" t="s">
        <v>205</v>
      </c>
      <c r="E1026" s="24" t="s">
        <v>3649</v>
      </c>
      <c r="F1026" s="24" t="s">
        <v>3650</v>
      </c>
      <c r="H1026" s="24">
        <v>12.5</v>
      </c>
      <c r="I1026" s="24" t="s">
        <v>3650</v>
      </c>
      <c r="J1026" s="95">
        <v>850000</v>
      </c>
      <c r="K1026" s="95">
        <v>165000</v>
      </c>
      <c r="L1026" s="92">
        <f t="shared" si="35"/>
        <v>685000</v>
      </c>
      <c r="M1026" s="95">
        <v>73392.857142857145</v>
      </c>
      <c r="N1026" s="94">
        <f t="shared" si="36"/>
        <v>611607.14285714284</v>
      </c>
    </row>
    <row r="1027" spans="2:14">
      <c r="B1027" s="26" t="s">
        <v>3654</v>
      </c>
      <c r="C1027" s="24" t="s">
        <v>3589</v>
      </c>
      <c r="D1027" s="24" t="s">
        <v>205</v>
      </c>
      <c r="E1027" s="24" t="s">
        <v>3649</v>
      </c>
      <c r="F1027" s="24" t="s">
        <v>3650</v>
      </c>
      <c r="H1027" s="24">
        <v>12.5</v>
      </c>
      <c r="I1027" s="24" t="s">
        <v>3650</v>
      </c>
      <c r="J1027" s="95">
        <v>1000000</v>
      </c>
      <c r="K1027" s="95">
        <v>150000</v>
      </c>
      <c r="L1027" s="92">
        <f t="shared" si="35"/>
        <v>850000</v>
      </c>
      <c r="M1027" s="95">
        <v>91071.43</v>
      </c>
      <c r="N1027" s="94">
        <f t="shared" si="36"/>
        <v>758928.57000000007</v>
      </c>
    </row>
    <row r="1028" spans="2:14">
      <c r="B1028" s="26" t="s">
        <v>3655</v>
      </c>
      <c r="C1028" s="24" t="s">
        <v>3589</v>
      </c>
      <c r="D1028" s="24" t="s">
        <v>205</v>
      </c>
      <c r="E1028" s="24" t="s">
        <v>3649</v>
      </c>
      <c r="F1028" s="24" t="s">
        <v>3650</v>
      </c>
      <c r="H1028" s="24">
        <v>12.5</v>
      </c>
      <c r="I1028" s="24" t="s">
        <v>3650</v>
      </c>
      <c r="J1028" s="95">
        <v>850000</v>
      </c>
      <c r="K1028" s="95">
        <v>165000</v>
      </c>
      <c r="L1028" s="92">
        <f t="shared" si="35"/>
        <v>685000</v>
      </c>
      <c r="M1028" s="95">
        <v>73392.857142857145</v>
      </c>
      <c r="N1028" s="94">
        <f t="shared" si="36"/>
        <v>611607.14285714284</v>
      </c>
    </row>
    <row r="1029" spans="2:14">
      <c r="B1029" s="26" t="s">
        <v>3656</v>
      </c>
      <c r="C1029" s="24" t="s">
        <v>3589</v>
      </c>
      <c r="D1029" s="24" t="s">
        <v>205</v>
      </c>
      <c r="E1029" s="24" t="s">
        <v>3649</v>
      </c>
      <c r="F1029" s="24" t="s">
        <v>3650</v>
      </c>
      <c r="H1029" s="24">
        <v>12.5</v>
      </c>
      <c r="I1029" s="24" t="s">
        <v>3650</v>
      </c>
      <c r="J1029" s="95">
        <v>850000</v>
      </c>
      <c r="K1029" s="95">
        <v>200000</v>
      </c>
      <c r="L1029" s="92">
        <f t="shared" si="35"/>
        <v>650000</v>
      </c>
      <c r="M1029" s="95">
        <v>69642.86</v>
      </c>
      <c r="N1029" s="94">
        <f t="shared" si="36"/>
        <v>580357.14</v>
      </c>
    </row>
    <row r="1030" spans="2:14">
      <c r="B1030" s="26" t="s">
        <v>3657</v>
      </c>
      <c r="C1030" s="24" t="s">
        <v>3589</v>
      </c>
      <c r="D1030" s="24" t="s">
        <v>205</v>
      </c>
      <c r="E1030" s="24" t="s">
        <v>3649</v>
      </c>
      <c r="F1030" s="24" t="s">
        <v>3650</v>
      </c>
      <c r="H1030" s="24">
        <v>12.5</v>
      </c>
      <c r="I1030" s="24" t="s">
        <v>3650</v>
      </c>
      <c r="J1030" s="95">
        <v>1000000</v>
      </c>
      <c r="K1030" s="95">
        <v>150000</v>
      </c>
      <c r="L1030" s="92">
        <f t="shared" si="35"/>
        <v>850000</v>
      </c>
      <c r="M1030" s="95">
        <v>91071.428571428565</v>
      </c>
      <c r="N1030" s="94">
        <f t="shared" si="36"/>
        <v>758928.57142857148</v>
      </c>
    </row>
    <row r="1031" spans="2:14">
      <c r="B1031" s="26" t="s">
        <v>3658</v>
      </c>
      <c r="C1031" s="24" t="s">
        <v>3589</v>
      </c>
      <c r="D1031" s="24" t="s">
        <v>972</v>
      </c>
      <c r="E1031" s="24" t="s">
        <v>3649</v>
      </c>
      <c r="F1031" s="24" t="s">
        <v>3650</v>
      </c>
      <c r="H1031" s="24">
        <v>12.5</v>
      </c>
      <c r="I1031" s="24" t="s">
        <v>3650</v>
      </c>
      <c r="J1031" s="95">
        <v>850000</v>
      </c>
      <c r="K1031" s="95">
        <v>200000</v>
      </c>
      <c r="L1031" s="92">
        <f t="shared" si="35"/>
        <v>650000</v>
      </c>
      <c r="M1031" s="95">
        <v>69642.86</v>
      </c>
      <c r="N1031" s="94">
        <f t="shared" si="36"/>
        <v>580357.14</v>
      </c>
    </row>
    <row r="1032" spans="2:14">
      <c r="B1032" s="26" t="s">
        <v>3659</v>
      </c>
      <c r="C1032" s="24" t="s">
        <v>3589</v>
      </c>
      <c r="D1032" s="24" t="s">
        <v>233</v>
      </c>
      <c r="E1032" s="24" t="s">
        <v>3649</v>
      </c>
      <c r="F1032" s="24" t="s">
        <v>3650</v>
      </c>
      <c r="H1032" s="24">
        <v>12.5</v>
      </c>
      <c r="I1032" s="24" t="s">
        <v>3650</v>
      </c>
      <c r="J1032" s="95">
        <v>850000</v>
      </c>
      <c r="K1032" s="95">
        <v>200000</v>
      </c>
      <c r="L1032" s="92">
        <f t="shared" si="35"/>
        <v>650000</v>
      </c>
      <c r="M1032" s="95">
        <v>69642.86</v>
      </c>
      <c r="N1032" s="94">
        <f t="shared" si="36"/>
        <v>580357.14</v>
      </c>
    </row>
    <row r="1033" spans="2:14">
      <c r="B1033" s="27" t="s">
        <v>3660</v>
      </c>
      <c r="C1033" s="24" t="s">
        <v>3589</v>
      </c>
      <c r="D1033" s="24" t="s">
        <v>205</v>
      </c>
      <c r="E1033" s="24" t="s">
        <v>3661</v>
      </c>
      <c r="F1033" s="24" t="s">
        <v>3662</v>
      </c>
      <c r="H1033" s="24">
        <v>24</v>
      </c>
      <c r="I1033" s="24" t="s">
        <v>3591</v>
      </c>
      <c r="J1033" s="95">
        <v>2850000</v>
      </c>
      <c r="K1033" s="95">
        <v>150000</v>
      </c>
      <c r="L1033" s="92">
        <f t="shared" si="35"/>
        <v>2700000</v>
      </c>
      <c r="M1033" s="95">
        <v>0</v>
      </c>
      <c r="N1033" s="94">
        <f t="shared" si="36"/>
        <v>2700000</v>
      </c>
    </row>
    <row r="1034" spans="2:14">
      <c r="B1034" s="27" t="s">
        <v>3663</v>
      </c>
      <c r="C1034" s="24" t="s">
        <v>3589</v>
      </c>
      <c r="D1034" s="24" t="s">
        <v>233</v>
      </c>
      <c r="E1034" s="24" t="s">
        <v>3661</v>
      </c>
      <c r="F1034" s="24" t="s">
        <v>3662</v>
      </c>
      <c r="H1034" s="24">
        <v>24</v>
      </c>
      <c r="I1034" s="24" t="s">
        <v>3593</v>
      </c>
      <c r="J1034" s="95">
        <v>2700000</v>
      </c>
      <c r="K1034" s="95">
        <v>150000</v>
      </c>
      <c r="L1034" s="92">
        <f t="shared" si="35"/>
        <v>2550000</v>
      </c>
      <c r="M1034" s="95">
        <v>0</v>
      </c>
      <c r="N1034" s="94">
        <f t="shared" si="36"/>
        <v>2550000</v>
      </c>
    </row>
    <row r="1035" spans="2:14">
      <c r="B1035" s="27" t="s">
        <v>3664</v>
      </c>
      <c r="C1035" s="24" t="s">
        <v>3589</v>
      </c>
      <c r="D1035" s="24" t="s">
        <v>233</v>
      </c>
      <c r="E1035" s="24" t="s">
        <v>3661</v>
      </c>
      <c r="F1035" s="24" t="s">
        <v>3665</v>
      </c>
      <c r="H1035" s="24">
        <v>24</v>
      </c>
      <c r="I1035" s="24" t="s">
        <v>3608</v>
      </c>
      <c r="J1035" s="95">
        <v>2700000</v>
      </c>
      <c r="K1035" s="95">
        <v>200000</v>
      </c>
      <c r="L1035" s="92">
        <f t="shared" si="35"/>
        <v>2500000</v>
      </c>
      <c r="M1035" s="95">
        <v>0</v>
      </c>
      <c r="N1035" s="94">
        <f t="shared" si="36"/>
        <v>2500000</v>
      </c>
    </row>
    <row r="1036" spans="2:14">
      <c r="B1036" s="27" t="s">
        <v>3666</v>
      </c>
      <c r="C1036" s="24" t="s">
        <v>3589</v>
      </c>
      <c r="D1036" s="24" t="s">
        <v>233</v>
      </c>
      <c r="E1036" s="24" t="s">
        <v>3661</v>
      </c>
      <c r="F1036" s="24" t="s">
        <v>3665</v>
      </c>
      <c r="H1036" s="24">
        <v>24</v>
      </c>
      <c r="I1036" s="24" t="s">
        <v>3608</v>
      </c>
      <c r="J1036" s="95">
        <v>2500000</v>
      </c>
      <c r="K1036" s="95">
        <v>315000</v>
      </c>
      <c r="L1036" s="92">
        <f t="shared" si="35"/>
        <v>2185000</v>
      </c>
      <c r="M1036" s="95">
        <v>0</v>
      </c>
      <c r="N1036" s="94">
        <f t="shared" si="36"/>
        <v>2185000</v>
      </c>
    </row>
    <row r="1037" spans="2:14">
      <c r="B1037" s="27" t="s">
        <v>3667</v>
      </c>
      <c r="C1037" s="24" t="s">
        <v>3589</v>
      </c>
      <c r="D1037" s="24" t="s">
        <v>233</v>
      </c>
      <c r="E1037" s="24" t="s">
        <v>3661</v>
      </c>
      <c r="F1037" s="24" t="s">
        <v>3665</v>
      </c>
      <c r="H1037" s="24">
        <v>25.8</v>
      </c>
      <c r="I1037" s="24" t="s">
        <v>3616</v>
      </c>
      <c r="J1037" s="95">
        <v>2934375</v>
      </c>
      <c r="K1037" s="95">
        <v>30000</v>
      </c>
      <c r="L1037" s="92">
        <f t="shared" si="35"/>
        <v>2904375</v>
      </c>
      <c r="M1037" s="95"/>
      <c r="N1037" s="94">
        <f t="shared" si="36"/>
        <v>2904375</v>
      </c>
    </row>
    <row r="1038" spans="2:14">
      <c r="B1038" s="27" t="s">
        <v>3668</v>
      </c>
      <c r="C1038" s="24" t="s">
        <v>3589</v>
      </c>
      <c r="D1038" s="24" t="s">
        <v>233</v>
      </c>
      <c r="E1038" s="24" t="s">
        <v>3661</v>
      </c>
      <c r="F1038" s="24" t="s">
        <v>3669</v>
      </c>
      <c r="H1038" s="24">
        <v>25.8</v>
      </c>
      <c r="I1038" s="24" t="s">
        <v>3616</v>
      </c>
      <c r="J1038" s="95">
        <v>3000000</v>
      </c>
      <c r="K1038" s="95">
        <v>150000</v>
      </c>
      <c r="L1038" s="92">
        <f t="shared" si="35"/>
        <v>2850000</v>
      </c>
      <c r="M1038" s="95">
        <v>0</v>
      </c>
      <c r="N1038" s="94">
        <f t="shared" si="36"/>
        <v>2850000</v>
      </c>
    </row>
    <row r="1039" spans="2:14">
      <c r="B1039" s="27" t="s">
        <v>3670</v>
      </c>
      <c r="C1039" s="24" t="s">
        <v>3589</v>
      </c>
      <c r="D1039" s="24" t="s">
        <v>205</v>
      </c>
      <c r="E1039" s="24" t="s">
        <v>3661</v>
      </c>
      <c r="F1039" s="24" t="s">
        <v>3669</v>
      </c>
      <c r="H1039" s="24">
        <v>24</v>
      </c>
      <c r="I1039" s="24" t="s">
        <v>3608</v>
      </c>
      <c r="J1039" s="95">
        <v>2700000</v>
      </c>
      <c r="K1039" s="95">
        <v>400000</v>
      </c>
      <c r="L1039" s="92">
        <f t="shared" si="35"/>
        <v>2300000</v>
      </c>
      <c r="M1039" s="95"/>
      <c r="N1039" s="94">
        <f t="shared" si="36"/>
        <v>2300000</v>
      </c>
    </row>
    <row r="1040" spans="2:14">
      <c r="B1040" s="26" t="s">
        <v>3671</v>
      </c>
      <c r="C1040" s="25" t="s">
        <v>3589</v>
      </c>
      <c r="D1040" s="25" t="s">
        <v>205</v>
      </c>
      <c r="E1040" s="25" t="s">
        <v>3661</v>
      </c>
      <c r="F1040" s="25" t="s">
        <v>3672</v>
      </c>
      <c r="H1040" s="25">
        <v>24</v>
      </c>
      <c r="I1040" s="25" t="s">
        <v>3606</v>
      </c>
      <c r="J1040" s="96">
        <v>3283371</v>
      </c>
      <c r="K1040" s="96">
        <v>0</v>
      </c>
      <c r="L1040" s="92">
        <f t="shared" si="35"/>
        <v>3283371</v>
      </c>
      <c r="M1040" s="96"/>
      <c r="N1040" s="94">
        <f t="shared" si="36"/>
        <v>3283371</v>
      </c>
    </row>
    <row r="1041" spans="2:14">
      <c r="B1041" s="27" t="s">
        <v>3673</v>
      </c>
      <c r="C1041" s="24" t="s">
        <v>3589</v>
      </c>
      <c r="D1041" s="24" t="s">
        <v>233</v>
      </c>
      <c r="E1041" s="24" t="s">
        <v>3661</v>
      </c>
      <c r="F1041" s="25" t="s">
        <v>3672</v>
      </c>
      <c r="H1041" s="24">
        <v>24</v>
      </c>
      <c r="I1041" s="24" t="s">
        <v>3606</v>
      </c>
      <c r="J1041" s="95">
        <v>2775000</v>
      </c>
      <c r="K1041" s="95">
        <v>30000</v>
      </c>
      <c r="L1041" s="92">
        <f t="shared" si="35"/>
        <v>2745000</v>
      </c>
      <c r="M1041" s="95"/>
      <c r="N1041" s="94">
        <f t="shared" si="36"/>
        <v>2745000</v>
      </c>
    </row>
    <row r="1042" spans="2:14">
      <c r="B1042" s="27" t="s">
        <v>3674</v>
      </c>
      <c r="C1042" s="24" t="s">
        <v>3589</v>
      </c>
      <c r="D1042" s="24" t="s">
        <v>205</v>
      </c>
      <c r="E1042" s="24" t="s">
        <v>3661</v>
      </c>
      <c r="F1042" s="24" t="s">
        <v>3662</v>
      </c>
      <c r="H1042" s="24">
        <v>24</v>
      </c>
      <c r="I1042" s="24" t="s">
        <v>3593</v>
      </c>
      <c r="J1042" s="95">
        <v>2700000</v>
      </c>
      <c r="K1042" s="95">
        <v>200000</v>
      </c>
      <c r="L1042" s="92">
        <f t="shared" si="35"/>
        <v>2500000</v>
      </c>
      <c r="M1042" s="95">
        <v>0</v>
      </c>
      <c r="N1042" s="94">
        <f t="shared" si="36"/>
        <v>2500000</v>
      </c>
    </row>
    <row r="1043" spans="2:14">
      <c r="B1043" s="27" t="s">
        <v>3675</v>
      </c>
      <c r="C1043" s="24" t="s">
        <v>3589</v>
      </c>
      <c r="D1043" s="24" t="s">
        <v>205</v>
      </c>
      <c r="E1043" s="24" t="s">
        <v>3661</v>
      </c>
      <c r="F1043" s="25" t="s">
        <v>3672</v>
      </c>
      <c r="H1043" s="24">
        <v>25.8</v>
      </c>
      <c r="I1043" s="24" t="s">
        <v>3616</v>
      </c>
      <c r="J1043" s="95">
        <v>2934375</v>
      </c>
      <c r="K1043" s="95">
        <v>30000</v>
      </c>
      <c r="L1043" s="92">
        <f t="shared" si="35"/>
        <v>2904375</v>
      </c>
      <c r="M1043" s="95"/>
      <c r="N1043" s="94">
        <f t="shared" si="36"/>
        <v>2904375</v>
      </c>
    </row>
    <row r="1044" spans="2:14">
      <c r="B1044" s="27" t="s">
        <v>3676</v>
      </c>
      <c r="C1044" s="24" t="s">
        <v>3589</v>
      </c>
      <c r="D1044" s="24" t="s">
        <v>205</v>
      </c>
      <c r="E1044" s="24" t="s">
        <v>3661</v>
      </c>
      <c r="F1044" s="24" t="s">
        <v>3662</v>
      </c>
      <c r="H1044" s="24">
        <v>24</v>
      </c>
      <c r="I1044" s="24" t="s">
        <v>3593</v>
      </c>
      <c r="J1044" s="95">
        <v>2700000</v>
      </c>
      <c r="K1044" s="95">
        <v>200000</v>
      </c>
      <c r="L1044" s="92">
        <f t="shared" si="35"/>
        <v>2500000</v>
      </c>
      <c r="M1044" s="95">
        <v>0</v>
      </c>
      <c r="N1044" s="94">
        <f t="shared" si="36"/>
        <v>2500000</v>
      </c>
    </row>
    <row r="1045" spans="2:14">
      <c r="B1045" s="27" t="s">
        <v>3677</v>
      </c>
      <c r="C1045" s="24" t="s">
        <v>3589</v>
      </c>
      <c r="D1045" s="24" t="s">
        <v>205</v>
      </c>
      <c r="E1045" s="24" t="s">
        <v>3661</v>
      </c>
      <c r="F1045" s="24" t="s">
        <v>3662</v>
      </c>
      <c r="H1045" s="24">
        <v>24</v>
      </c>
      <c r="I1045" s="24" t="s">
        <v>3593</v>
      </c>
      <c r="J1045" s="95">
        <v>2750000</v>
      </c>
      <c r="K1045" s="95">
        <v>200000</v>
      </c>
      <c r="L1045" s="92">
        <f t="shared" si="35"/>
        <v>2550000</v>
      </c>
      <c r="M1045" s="95"/>
      <c r="N1045" s="94">
        <f t="shared" si="36"/>
        <v>2550000</v>
      </c>
    </row>
    <row r="1046" spans="2:14">
      <c r="B1046" s="27" t="s">
        <v>3678</v>
      </c>
      <c r="C1046" s="24" t="s">
        <v>3589</v>
      </c>
      <c r="D1046" s="24" t="s">
        <v>233</v>
      </c>
      <c r="E1046" s="24" t="s">
        <v>3661</v>
      </c>
      <c r="F1046" s="24" t="s">
        <v>3662</v>
      </c>
      <c r="H1046" s="24">
        <v>24</v>
      </c>
      <c r="I1046" s="24" t="s">
        <v>3593</v>
      </c>
      <c r="J1046" s="95">
        <v>2750000</v>
      </c>
      <c r="K1046" s="95">
        <v>200000</v>
      </c>
      <c r="L1046" s="92">
        <f t="shared" ref="L1046:L1109" si="37">J1046-K1046</f>
        <v>2550000</v>
      </c>
      <c r="M1046" s="95"/>
      <c r="N1046" s="94">
        <f t="shared" ref="N1046:N1109" si="38">L1046-M1046</f>
        <v>2550000</v>
      </c>
    </row>
    <row r="1047" spans="2:14">
      <c r="B1047" s="27" t="s">
        <v>3679</v>
      </c>
      <c r="C1047" s="24" t="s">
        <v>3589</v>
      </c>
      <c r="D1047" s="24" t="s">
        <v>205</v>
      </c>
      <c r="E1047" s="24" t="s">
        <v>3661</v>
      </c>
      <c r="F1047" s="24" t="s">
        <v>3662</v>
      </c>
      <c r="H1047" s="24">
        <v>24</v>
      </c>
      <c r="I1047" s="24" t="s">
        <v>3593</v>
      </c>
      <c r="J1047" s="95">
        <v>2750000</v>
      </c>
      <c r="K1047" s="95">
        <v>200000</v>
      </c>
      <c r="L1047" s="92">
        <f t="shared" si="37"/>
        <v>2550000</v>
      </c>
      <c r="M1047" s="95"/>
      <c r="N1047" s="94">
        <f t="shared" si="38"/>
        <v>2550000</v>
      </c>
    </row>
    <row r="1048" spans="2:14">
      <c r="B1048" s="27" t="s">
        <v>3680</v>
      </c>
      <c r="C1048" s="24" t="s">
        <v>3589</v>
      </c>
      <c r="D1048" s="24" t="s">
        <v>205</v>
      </c>
      <c r="E1048" s="24" t="s">
        <v>3661</v>
      </c>
      <c r="F1048" s="24" t="s">
        <v>3665</v>
      </c>
      <c r="H1048" s="24">
        <v>24</v>
      </c>
      <c r="I1048" s="24" t="s">
        <v>3606</v>
      </c>
      <c r="J1048" s="95">
        <v>2850000</v>
      </c>
      <c r="K1048" s="95">
        <v>522500</v>
      </c>
      <c r="L1048" s="92">
        <f t="shared" si="37"/>
        <v>2327500</v>
      </c>
      <c r="M1048" s="95">
        <v>0</v>
      </c>
      <c r="N1048" s="94">
        <f t="shared" si="38"/>
        <v>2327500</v>
      </c>
    </row>
    <row r="1049" spans="2:14">
      <c r="B1049" s="27" t="s">
        <v>3681</v>
      </c>
      <c r="C1049" s="24" t="s">
        <v>3589</v>
      </c>
      <c r="D1049" s="24" t="s">
        <v>205</v>
      </c>
      <c r="E1049" s="24" t="s">
        <v>3661</v>
      </c>
      <c r="F1049" s="24" t="s">
        <v>3665</v>
      </c>
      <c r="H1049" s="24">
        <v>24</v>
      </c>
      <c r="I1049" s="24" t="s">
        <v>3608</v>
      </c>
      <c r="J1049" s="95">
        <v>2500000</v>
      </c>
      <c r="K1049" s="95">
        <v>200000</v>
      </c>
      <c r="L1049" s="92">
        <f t="shared" si="37"/>
        <v>2300000</v>
      </c>
      <c r="M1049" s="95">
        <v>0</v>
      </c>
      <c r="N1049" s="94">
        <f t="shared" si="38"/>
        <v>2300000</v>
      </c>
    </row>
    <row r="1050" spans="2:14">
      <c r="B1050" s="27" t="s">
        <v>3682</v>
      </c>
      <c r="C1050" s="24" t="s">
        <v>3589</v>
      </c>
      <c r="D1050" s="24" t="s">
        <v>205</v>
      </c>
      <c r="E1050" s="24" t="s">
        <v>3661</v>
      </c>
      <c r="F1050" s="24" t="s">
        <v>3662</v>
      </c>
      <c r="H1050" s="24">
        <v>24</v>
      </c>
      <c r="I1050" s="24" t="s">
        <v>3593</v>
      </c>
      <c r="J1050" s="95">
        <v>2700000</v>
      </c>
      <c r="K1050" s="95">
        <v>30000</v>
      </c>
      <c r="L1050" s="92">
        <f t="shared" si="37"/>
        <v>2670000</v>
      </c>
      <c r="M1050" s="95">
        <v>0</v>
      </c>
      <c r="N1050" s="94">
        <f t="shared" si="38"/>
        <v>2670000</v>
      </c>
    </row>
    <row r="1051" spans="2:14">
      <c r="B1051" s="27" t="s">
        <v>3683</v>
      </c>
      <c r="C1051" s="24" t="s">
        <v>3589</v>
      </c>
      <c r="D1051" s="24" t="s">
        <v>233</v>
      </c>
      <c r="E1051" s="24" t="s">
        <v>3661</v>
      </c>
      <c r="F1051" s="24" t="s">
        <v>3665</v>
      </c>
      <c r="H1051" s="24">
        <v>24</v>
      </c>
      <c r="I1051" s="24" t="s">
        <v>3608</v>
      </c>
      <c r="J1051" s="95">
        <v>2700000</v>
      </c>
      <c r="K1051" s="95">
        <v>150000</v>
      </c>
      <c r="L1051" s="92">
        <f t="shared" si="37"/>
        <v>2550000</v>
      </c>
      <c r="M1051" s="95">
        <v>0</v>
      </c>
      <c r="N1051" s="94">
        <f t="shared" si="38"/>
        <v>2550000</v>
      </c>
    </row>
    <row r="1052" spans="2:14">
      <c r="B1052" s="27" t="s">
        <v>3684</v>
      </c>
      <c r="C1052" s="24" t="s">
        <v>3589</v>
      </c>
      <c r="D1052" s="24" t="s">
        <v>205</v>
      </c>
      <c r="E1052" s="24" t="s">
        <v>3661</v>
      </c>
      <c r="F1052" s="24" t="s">
        <v>3665</v>
      </c>
      <c r="H1052" s="24">
        <v>24</v>
      </c>
      <c r="I1052" s="24" t="s">
        <v>3608</v>
      </c>
      <c r="J1052" s="95">
        <v>2700000</v>
      </c>
      <c r="K1052" s="95">
        <v>200000</v>
      </c>
      <c r="L1052" s="92">
        <f t="shared" si="37"/>
        <v>2500000</v>
      </c>
      <c r="M1052" s="95">
        <v>0</v>
      </c>
      <c r="N1052" s="94">
        <f t="shared" si="38"/>
        <v>2500000</v>
      </c>
    </row>
    <row r="1053" spans="2:14">
      <c r="B1053" s="27" t="s">
        <v>3685</v>
      </c>
      <c r="C1053" s="24" t="s">
        <v>3589</v>
      </c>
      <c r="D1053" s="24" t="s">
        <v>205</v>
      </c>
      <c r="E1053" s="24" t="s">
        <v>3661</v>
      </c>
      <c r="F1053" s="24" t="s">
        <v>3665</v>
      </c>
      <c r="H1053" s="24">
        <v>24</v>
      </c>
      <c r="I1053" s="24" t="s">
        <v>3608</v>
      </c>
      <c r="J1053" s="95">
        <v>2500000</v>
      </c>
      <c r="K1053" s="95">
        <v>200000</v>
      </c>
      <c r="L1053" s="92">
        <f t="shared" si="37"/>
        <v>2300000</v>
      </c>
      <c r="M1053" s="95">
        <v>0</v>
      </c>
      <c r="N1053" s="94">
        <f t="shared" si="38"/>
        <v>2300000</v>
      </c>
    </row>
    <row r="1054" spans="2:14">
      <c r="B1054" s="27" t="s">
        <v>3686</v>
      </c>
      <c r="C1054" s="24" t="s">
        <v>3589</v>
      </c>
      <c r="D1054" s="24" t="s">
        <v>205</v>
      </c>
      <c r="E1054" s="24" t="s">
        <v>3661</v>
      </c>
      <c r="F1054" s="24" t="s">
        <v>3665</v>
      </c>
      <c r="H1054" s="24">
        <v>24</v>
      </c>
      <c r="I1054" s="24" t="s">
        <v>3608</v>
      </c>
      <c r="J1054" s="95">
        <v>2700000</v>
      </c>
      <c r="K1054" s="95">
        <v>200000</v>
      </c>
      <c r="L1054" s="92">
        <f t="shared" si="37"/>
        <v>2500000</v>
      </c>
      <c r="M1054" s="95">
        <v>0</v>
      </c>
      <c r="N1054" s="94">
        <f t="shared" si="38"/>
        <v>2500000</v>
      </c>
    </row>
    <row r="1055" spans="2:14">
      <c r="B1055" s="27" t="s">
        <v>3687</v>
      </c>
      <c r="C1055" s="24" t="s">
        <v>3589</v>
      </c>
      <c r="D1055" s="24" t="s">
        <v>205</v>
      </c>
      <c r="E1055" s="24" t="s">
        <v>3661</v>
      </c>
      <c r="F1055" s="24" t="s">
        <v>3665</v>
      </c>
      <c r="H1055" s="24">
        <v>24</v>
      </c>
      <c r="I1055" s="24" t="s">
        <v>3606</v>
      </c>
      <c r="J1055" s="95">
        <v>2850000</v>
      </c>
      <c r="K1055" s="95">
        <v>100000</v>
      </c>
      <c r="L1055" s="92">
        <f t="shared" si="37"/>
        <v>2750000</v>
      </c>
      <c r="M1055" s="95">
        <v>0</v>
      </c>
      <c r="N1055" s="94">
        <f t="shared" si="38"/>
        <v>2750000</v>
      </c>
    </row>
    <row r="1056" spans="2:14">
      <c r="B1056" s="27" t="s">
        <v>3688</v>
      </c>
      <c r="C1056" s="24" t="s">
        <v>3589</v>
      </c>
      <c r="D1056" s="24" t="s">
        <v>205</v>
      </c>
      <c r="E1056" s="24" t="s">
        <v>3661</v>
      </c>
      <c r="F1056" s="24" t="s">
        <v>3665</v>
      </c>
      <c r="H1056" s="24">
        <v>24</v>
      </c>
      <c r="I1056" s="24" t="s">
        <v>3606</v>
      </c>
      <c r="J1056" s="95">
        <v>2650000</v>
      </c>
      <c r="K1056" s="95">
        <v>200000</v>
      </c>
      <c r="L1056" s="92">
        <f t="shared" si="37"/>
        <v>2450000</v>
      </c>
      <c r="M1056" s="95">
        <v>0</v>
      </c>
      <c r="N1056" s="94">
        <f t="shared" si="38"/>
        <v>2450000</v>
      </c>
    </row>
    <row r="1057" spans="2:14">
      <c r="B1057" s="27" t="s">
        <v>3689</v>
      </c>
      <c r="C1057" s="24" t="s">
        <v>3589</v>
      </c>
      <c r="D1057" s="24" t="s">
        <v>205</v>
      </c>
      <c r="E1057" s="24" t="s">
        <v>3661</v>
      </c>
      <c r="F1057" s="24" t="s">
        <v>3665</v>
      </c>
      <c r="H1057" s="24">
        <v>25.8</v>
      </c>
      <c r="I1057" s="24" t="s">
        <v>3616</v>
      </c>
      <c r="J1057" s="95">
        <v>2934375</v>
      </c>
      <c r="K1057" s="95">
        <v>30000</v>
      </c>
      <c r="L1057" s="92">
        <f t="shared" si="37"/>
        <v>2904375</v>
      </c>
      <c r="M1057" s="95"/>
      <c r="N1057" s="94">
        <f t="shared" si="38"/>
        <v>2904375</v>
      </c>
    </row>
    <row r="1058" spans="2:14">
      <c r="B1058" s="27" t="s">
        <v>3690</v>
      </c>
      <c r="C1058" s="24" t="s">
        <v>3589</v>
      </c>
      <c r="D1058" s="24" t="s">
        <v>972</v>
      </c>
      <c r="E1058" s="24" t="s">
        <v>3661</v>
      </c>
      <c r="F1058" s="24" t="s">
        <v>3662</v>
      </c>
      <c r="H1058" s="24">
        <v>24</v>
      </c>
      <c r="I1058" s="24" t="s">
        <v>3593</v>
      </c>
      <c r="J1058" s="95">
        <v>2700000</v>
      </c>
      <c r="K1058" s="95">
        <v>30000</v>
      </c>
      <c r="L1058" s="92">
        <f t="shared" si="37"/>
        <v>2670000</v>
      </c>
      <c r="M1058" s="95">
        <v>0</v>
      </c>
      <c r="N1058" s="94">
        <f t="shared" si="38"/>
        <v>2670000</v>
      </c>
    </row>
    <row r="1059" spans="2:14">
      <c r="B1059" s="27" t="s">
        <v>3691</v>
      </c>
      <c r="C1059" s="24" t="s">
        <v>3589</v>
      </c>
      <c r="D1059" s="24" t="s">
        <v>972</v>
      </c>
      <c r="E1059" s="24" t="s">
        <v>3661</v>
      </c>
      <c r="F1059" s="24" t="s">
        <v>3662</v>
      </c>
      <c r="H1059" s="24">
        <v>24</v>
      </c>
      <c r="I1059" s="24" t="s">
        <v>3591</v>
      </c>
      <c r="J1059" s="95">
        <v>2850000</v>
      </c>
      <c r="K1059" s="95">
        <v>30000</v>
      </c>
      <c r="L1059" s="92">
        <f t="shared" si="37"/>
        <v>2820000</v>
      </c>
      <c r="M1059" s="95"/>
      <c r="N1059" s="94">
        <f t="shared" si="38"/>
        <v>2820000</v>
      </c>
    </row>
    <row r="1060" spans="2:14">
      <c r="B1060" s="27" t="s">
        <v>3692</v>
      </c>
      <c r="C1060" s="24" t="s">
        <v>3589</v>
      </c>
      <c r="D1060" s="24" t="s">
        <v>205</v>
      </c>
      <c r="E1060" s="24" t="s">
        <v>3661</v>
      </c>
      <c r="F1060" s="24" t="s">
        <v>3665</v>
      </c>
      <c r="H1060" s="24">
        <v>24</v>
      </c>
      <c r="I1060" s="24" t="s">
        <v>3608</v>
      </c>
      <c r="J1060" s="95">
        <v>2500000</v>
      </c>
      <c r="K1060" s="95">
        <v>200000</v>
      </c>
      <c r="L1060" s="92">
        <f t="shared" si="37"/>
        <v>2300000</v>
      </c>
      <c r="M1060" s="95">
        <v>0</v>
      </c>
      <c r="N1060" s="94">
        <f t="shared" si="38"/>
        <v>2300000</v>
      </c>
    </row>
    <row r="1061" spans="2:14">
      <c r="B1061" s="27" t="s">
        <v>3693</v>
      </c>
      <c r="C1061" s="24" t="s">
        <v>3589</v>
      </c>
      <c r="D1061" s="24" t="s">
        <v>205</v>
      </c>
      <c r="E1061" s="24" t="s">
        <v>3661</v>
      </c>
      <c r="F1061" s="24" t="s">
        <v>3665</v>
      </c>
      <c r="H1061" s="24">
        <v>25.8</v>
      </c>
      <c r="I1061" s="24" t="s">
        <v>3616</v>
      </c>
      <c r="J1061" s="95">
        <v>3000000</v>
      </c>
      <c r="K1061" s="95">
        <v>200000</v>
      </c>
      <c r="L1061" s="92">
        <f t="shared" si="37"/>
        <v>2800000</v>
      </c>
      <c r="M1061" s="95">
        <v>0</v>
      </c>
      <c r="N1061" s="94">
        <f t="shared" si="38"/>
        <v>2800000</v>
      </c>
    </row>
    <row r="1062" spans="2:14">
      <c r="B1062" s="27" t="s">
        <v>3694</v>
      </c>
      <c r="C1062" s="24" t="s">
        <v>3589</v>
      </c>
      <c r="D1062" s="24" t="s">
        <v>205</v>
      </c>
      <c r="E1062" s="24" t="s">
        <v>3661</v>
      </c>
      <c r="F1062" s="24" t="s">
        <v>3665</v>
      </c>
      <c r="H1062" s="24">
        <v>24</v>
      </c>
      <c r="I1062" s="24" t="s">
        <v>3608</v>
      </c>
      <c r="J1062" s="95">
        <v>2500000</v>
      </c>
      <c r="K1062" s="95">
        <v>200000</v>
      </c>
      <c r="L1062" s="92">
        <f t="shared" si="37"/>
        <v>2300000</v>
      </c>
      <c r="M1062" s="95">
        <v>0</v>
      </c>
      <c r="N1062" s="94">
        <f t="shared" si="38"/>
        <v>2300000</v>
      </c>
    </row>
    <row r="1063" spans="2:14">
      <c r="B1063" s="27" t="s">
        <v>3695</v>
      </c>
      <c r="C1063" s="24" t="s">
        <v>3589</v>
      </c>
      <c r="D1063" s="24" t="s">
        <v>233</v>
      </c>
      <c r="E1063" s="24" t="s">
        <v>3661</v>
      </c>
      <c r="F1063" s="24" t="s">
        <v>3665</v>
      </c>
      <c r="H1063" s="24">
        <v>25.8</v>
      </c>
      <c r="I1063" s="24" t="s">
        <v>3616</v>
      </c>
      <c r="J1063" s="95">
        <v>2825000</v>
      </c>
      <c r="K1063" s="95">
        <v>200000</v>
      </c>
      <c r="L1063" s="92">
        <f t="shared" si="37"/>
        <v>2625000</v>
      </c>
      <c r="M1063" s="95">
        <v>0</v>
      </c>
      <c r="N1063" s="94">
        <f t="shared" si="38"/>
        <v>2625000</v>
      </c>
    </row>
    <row r="1064" spans="2:14">
      <c r="B1064" s="27" t="s">
        <v>3696</v>
      </c>
      <c r="C1064" s="24" t="s">
        <v>3589</v>
      </c>
      <c r="D1064" s="24" t="s">
        <v>205</v>
      </c>
      <c r="E1064" s="24" t="s">
        <v>3661</v>
      </c>
      <c r="F1064" s="24" t="s">
        <v>3665</v>
      </c>
      <c r="H1064" s="24">
        <v>24</v>
      </c>
      <c r="I1064" s="24" t="s">
        <v>3606</v>
      </c>
      <c r="J1064" s="95">
        <v>2650000</v>
      </c>
      <c r="K1064" s="95">
        <v>200000</v>
      </c>
      <c r="L1064" s="92">
        <f t="shared" si="37"/>
        <v>2450000</v>
      </c>
      <c r="M1064" s="95">
        <v>0</v>
      </c>
      <c r="N1064" s="94">
        <f t="shared" si="38"/>
        <v>2450000</v>
      </c>
    </row>
    <row r="1065" spans="2:14">
      <c r="B1065" s="27" t="s">
        <v>3697</v>
      </c>
      <c r="C1065" s="24" t="s">
        <v>3589</v>
      </c>
      <c r="D1065" s="24" t="s">
        <v>205</v>
      </c>
      <c r="E1065" s="24" t="s">
        <v>3661</v>
      </c>
      <c r="F1065" s="24" t="s">
        <v>3669</v>
      </c>
      <c r="H1065" s="24">
        <v>24</v>
      </c>
      <c r="I1065" s="24" t="s">
        <v>3606</v>
      </c>
      <c r="J1065" s="95">
        <v>2850000</v>
      </c>
      <c r="K1065" s="95">
        <v>200000</v>
      </c>
      <c r="L1065" s="92">
        <f t="shared" si="37"/>
        <v>2650000</v>
      </c>
      <c r="M1065" s="95">
        <v>0</v>
      </c>
      <c r="N1065" s="94">
        <f t="shared" si="38"/>
        <v>2650000</v>
      </c>
    </row>
    <row r="1066" spans="2:14">
      <c r="B1066" s="27" t="s">
        <v>3698</v>
      </c>
      <c r="C1066" s="24" t="s">
        <v>3589</v>
      </c>
      <c r="D1066" s="24" t="s">
        <v>233</v>
      </c>
      <c r="E1066" s="24" t="s">
        <v>3661</v>
      </c>
      <c r="F1066" s="24" t="s">
        <v>3669</v>
      </c>
      <c r="H1066" s="24">
        <v>24</v>
      </c>
      <c r="I1066" s="24" t="s">
        <v>3608</v>
      </c>
      <c r="J1066" s="95">
        <v>2700000</v>
      </c>
      <c r="K1066" s="95">
        <v>30000</v>
      </c>
      <c r="L1066" s="92">
        <f t="shared" si="37"/>
        <v>2670000</v>
      </c>
      <c r="M1066" s="95">
        <v>0</v>
      </c>
      <c r="N1066" s="94">
        <f t="shared" si="38"/>
        <v>2670000</v>
      </c>
    </row>
    <row r="1067" spans="2:14">
      <c r="B1067" s="27" t="s">
        <v>3699</v>
      </c>
      <c r="C1067" s="24" t="s">
        <v>3589</v>
      </c>
      <c r="D1067" s="24" t="s">
        <v>205</v>
      </c>
      <c r="E1067" s="24" t="s">
        <v>3661</v>
      </c>
      <c r="F1067" s="24" t="s">
        <v>3669</v>
      </c>
      <c r="H1067" s="24">
        <v>24</v>
      </c>
      <c r="I1067" s="24" t="s">
        <v>3608</v>
      </c>
      <c r="J1067" s="95">
        <v>2700000</v>
      </c>
      <c r="K1067" s="95">
        <v>400000</v>
      </c>
      <c r="L1067" s="92">
        <f t="shared" si="37"/>
        <v>2300000</v>
      </c>
      <c r="M1067" s="95">
        <v>0</v>
      </c>
      <c r="N1067" s="94">
        <f t="shared" si="38"/>
        <v>2300000</v>
      </c>
    </row>
    <row r="1068" spans="2:14">
      <c r="B1068" s="27" t="s">
        <v>3700</v>
      </c>
      <c r="C1068" s="24" t="s">
        <v>3589</v>
      </c>
      <c r="D1068" s="24" t="s">
        <v>205</v>
      </c>
      <c r="E1068" s="24" t="s">
        <v>3661</v>
      </c>
      <c r="F1068" s="24" t="s">
        <v>3669</v>
      </c>
      <c r="H1068" s="24">
        <v>24</v>
      </c>
      <c r="I1068" s="24" t="s">
        <v>3608</v>
      </c>
      <c r="J1068" s="95">
        <v>2500000</v>
      </c>
      <c r="K1068" s="95">
        <v>200000</v>
      </c>
      <c r="L1068" s="92">
        <f t="shared" si="37"/>
        <v>2300000</v>
      </c>
      <c r="M1068" s="95">
        <v>0</v>
      </c>
      <c r="N1068" s="94">
        <f t="shared" si="38"/>
        <v>2300000</v>
      </c>
    </row>
    <row r="1069" spans="2:14">
      <c r="B1069" s="27" t="s">
        <v>3701</v>
      </c>
      <c r="C1069" s="24" t="s">
        <v>3589</v>
      </c>
      <c r="D1069" s="24" t="s">
        <v>205</v>
      </c>
      <c r="E1069" s="24" t="s">
        <v>3661</v>
      </c>
      <c r="F1069" s="24" t="s">
        <v>3669</v>
      </c>
      <c r="H1069" s="24">
        <v>24</v>
      </c>
      <c r="I1069" s="24" t="s">
        <v>3608</v>
      </c>
      <c r="J1069" s="95">
        <v>2700000</v>
      </c>
      <c r="K1069" s="95">
        <v>135000</v>
      </c>
      <c r="L1069" s="92">
        <f t="shared" si="37"/>
        <v>2565000</v>
      </c>
      <c r="M1069" s="95">
        <v>0</v>
      </c>
      <c r="N1069" s="94">
        <f t="shared" si="38"/>
        <v>2565000</v>
      </c>
    </row>
    <row r="1070" spans="2:14">
      <c r="B1070" s="27" t="s">
        <v>3702</v>
      </c>
      <c r="C1070" s="24" t="s">
        <v>3589</v>
      </c>
      <c r="D1070" s="24" t="s">
        <v>205</v>
      </c>
      <c r="E1070" s="24" t="s">
        <v>3661</v>
      </c>
      <c r="F1070" s="24" t="s">
        <v>3669</v>
      </c>
      <c r="H1070" s="24">
        <v>24</v>
      </c>
      <c r="I1070" s="24" t="s">
        <v>3608</v>
      </c>
      <c r="J1070" s="95">
        <v>2700000</v>
      </c>
      <c r="K1070" s="95">
        <v>135000</v>
      </c>
      <c r="L1070" s="92">
        <f t="shared" si="37"/>
        <v>2565000</v>
      </c>
      <c r="M1070" s="95">
        <v>0</v>
      </c>
      <c r="N1070" s="94">
        <f t="shared" si="38"/>
        <v>2565000</v>
      </c>
    </row>
    <row r="1071" spans="2:14">
      <c r="B1071" s="27" t="s">
        <v>3703</v>
      </c>
      <c r="C1071" s="24" t="s">
        <v>3589</v>
      </c>
      <c r="D1071" s="24" t="s">
        <v>233</v>
      </c>
      <c r="E1071" s="24" t="s">
        <v>3661</v>
      </c>
      <c r="F1071" s="24" t="s">
        <v>3669</v>
      </c>
      <c r="H1071" s="24">
        <v>24</v>
      </c>
      <c r="I1071" s="24" t="s">
        <v>3608</v>
      </c>
      <c r="J1071" s="95">
        <v>2700000</v>
      </c>
      <c r="K1071" s="95">
        <v>150000</v>
      </c>
      <c r="L1071" s="92">
        <f t="shared" si="37"/>
        <v>2550000</v>
      </c>
      <c r="M1071" s="95">
        <v>0</v>
      </c>
      <c r="N1071" s="94">
        <f t="shared" si="38"/>
        <v>2550000</v>
      </c>
    </row>
    <row r="1072" spans="2:14">
      <c r="B1072" s="27" t="s">
        <v>3704</v>
      </c>
      <c r="C1072" s="24" t="s">
        <v>3589</v>
      </c>
      <c r="D1072" s="24" t="s">
        <v>205</v>
      </c>
      <c r="E1072" s="24" t="s">
        <v>3661</v>
      </c>
      <c r="F1072" s="24" t="s">
        <v>3669</v>
      </c>
      <c r="H1072" s="24">
        <v>24</v>
      </c>
      <c r="I1072" s="24" t="s">
        <v>3606</v>
      </c>
      <c r="J1072" s="95">
        <v>2650000</v>
      </c>
      <c r="K1072" s="95">
        <v>200000</v>
      </c>
      <c r="L1072" s="92">
        <f t="shared" si="37"/>
        <v>2450000</v>
      </c>
      <c r="M1072" s="95">
        <v>0</v>
      </c>
      <c r="N1072" s="94">
        <f t="shared" si="38"/>
        <v>2450000</v>
      </c>
    </row>
    <row r="1073" spans="2:14">
      <c r="B1073" s="27" t="s">
        <v>3705</v>
      </c>
      <c r="C1073" s="24" t="s">
        <v>3589</v>
      </c>
      <c r="D1073" s="24" t="s">
        <v>205</v>
      </c>
      <c r="E1073" s="24" t="s">
        <v>3661</v>
      </c>
      <c r="F1073" s="24" t="s">
        <v>3669</v>
      </c>
      <c r="H1073" s="24">
        <v>25.8</v>
      </c>
      <c r="I1073" s="24" t="s">
        <v>3621</v>
      </c>
      <c r="J1073" s="95">
        <v>3100000</v>
      </c>
      <c r="K1073" s="95">
        <v>200000</v>
      </c>
      <c r="L1073" s="92">
        <f t="shared" si="37"/>
        <v>2900000</v>
      </c>
      <c r="M1073" s="95">
        <v>0</v>
      </c>
      <c r="N1073" s="94">
        <f t="shared" si="38"/>
        <v>2900000</v>
      </c>
    </row>
    <row r="1074" spans="2:14">
      <c r="B1074" s="27" t="s">
        <v>3706</v>
      </c>
      <c r="C1074" s="24" t="s">
        <v>3589</v>
      </c>
      <c r="D1074" s="24" t="s">
        <v>243</v>
      </c>
      <c r="E1074" s="24" t="s">
        <v>3661</v>
      </c>
      <c r="F1074" s="24" t="s">
        <v>3669</v>
      </c>
      <c r="H1074" s="24">
        <v>24</v>
      </c>
      <c r="I1074" s="24" t="s">
        <v>3608</v>
      </c>
      <c r="J1074" s="95">
        <v>2700000</v>
      </c>
      <c r="K1074" s="95">
        <v>135000</v>
      </c>
      <c r="L1074" s="92">
        <f t="shared" si="37"/>
        <v>2565000</v>
      </c>
      <c r="M1074" s="95">
        <v>0</v>
      </c>
      <c r="N1074" s="94">
        <f t="shared" si="38"/>
        <v>2565000</v>
      </c>
    </row>
    <row r="1075" spans="2:14">
      <c r="B1075" s="27" t="s">
        <v>3707</v>
      </c>
      <c r="C1075" s="24" t="s">
        <v>3589</v>
      </c>
      <c r="D1075" s="24" t="s">
        <v>205</v>
      </c>
      <c r="E1075" s="24" t="s">
        <v>3661</v>
      </c>
      <c r="F1075" s="24" t="s">
        <v>3669</v>
      </c>
      <c r="H1075" s="24">
        <v>25.8</v>
      </c>
      <c r="I1075" s="24" t="s">
        <v>3616</v>
      </c>
      <c r="J1075" s="95">
        <v>3000000</v>
      </c>
      <c r="K1075" s="95">
        <v>200000</v>
      </c>
      <c r="L1075" s="92">
        <f t="shared" si="37"/>
        <v>2800000</v>
      </c>
      <c r="M1075" s="95">
        <v>0</v>
      </c>
      <c r="N1075" s="94">
        <f t="shared" si="38"/>
        <v>2800000</v>
      </c>
    </row>
    <row r="1076" spans="2:14">
      <c r="B1076" s="27" t="s">
        <v>3708</v>
      </c>
      <c r="C1076" s="24" t="s">
        <v>3589</v>
      </c>
      <c r="D1076" s="24" t="s">
        <v>233</v>
      </c>
      <c r="E1076" s="24" t="s">
        <v>3661</v>
      </c>
      <c r="F1076" s="24" t="s">
        <v>3669</v>
      </c>
      <c r="H1076" s="24">
        <v>24</v>
      </c>
      <c r="I1076" s="24" t="s">
        <v>3608</v>
      </c>
      <c r="J1076" s="95">
        <v>2500000</v>
      </c>
      <c r="K1076" s="95">
        <v>200000</v>
      </c>
      <c r="L1076" s="92">
        <f t="shared" si="37"/>
        <v>2300000</v>
      </c>
      <c r="M1076" s="95">
        <v>0</v>
      </c>
      <c r="N1076" s="94">
        <f t="shared" si="38"/>
        <v>2300000</v>
      </c>
    </row>
    <row r="1077" spans="2:14">
      <c r="B1077" s="27" t="s">
        <v>3709</v>
      </c>
      <c r="C1077" s="24" t="s">
        <v>3589</v>
      </c>
      <c r="D1077" s="24" t="s">
        <v>205</v>
      </c>
      <c r="E1077" s="24" t="s">
        <v>3661</v>
      </c>
      <c r="F1077" s="24" t="s">
        <v>3662</v>
      </c>
      <c r="H1077" s="24">
        <v>24</v>
      </c>
      <c r="I1077" s="24" t="s">
        <v>3593</v>
      </c>
      <c r="J1077" s="95">
        <v>2850000</v>
      </c>
      <c r="K1077" s="95">
        <v>350000</v>
      </c>
      <c r="L1077" s="92">
        <f t="shared" si="37"/>
        <v>2500000</v>
      </c>
      <c r="M1077" s="95">
        <v>0</v>
      </c>
      <c r="N1077" s="94">
        <f t="shared" si="38"/>
        <v>2500000</v>
      </c>
    </row>
    <row r="1078" spans="2:14">
      <c r="B1078" s="27" t="s">
        <v>3710</v>
      </c>
      <c r="C1078" s="24" t="s">
        <v>3589</v>
      </c>
      <c r="D1078" s="24" t="s">
        <v>205</v>
      </c>
      <c r="E1078" s="24" t="s">
        <v>3661</v>
      </c>
      <c r="F1078" s="24" t="s">
        <v>3669</v>
      </c>
      <c r="H1078" s="24">
        <v>24</v>
      </c>
      <c r="I1078" s="24" t="s">
        <v>3608</v>
      </c>
      <c r="J1078" s="95">
        <v>2700000</v>
      </c>
      <c r="K1078" s="95">
        <v>200000</v>
      </c>
      <c r="L1078" s="92">
        <f t="shared" si="37"/>
        <v>2500000</v>
      </c>
      <c r="M1078" s="95">
        <v>0</v>
      </c>
      <c r="N1078" s="94">
        <f t="shared" si="38"/>
        <v>2500000</v>
      </c>
    </row>
    <row r="1079" spans="2:14">
      <c r="B1079" s="27" t="s">
        <v>3711</v>
      </c>
      <c r="C1079" s="24" t="s">
        <v>3589</v>
      </c>
      <c r="D1079" s="24" t="s">
        <v>233</v>
      </c>
      <c r="E1079" s="24" t="s">
        <v>3661</v>
      </c>
      <c r="F1079" s="24" t="s">
        <v>3669</v>
      </c>
      <c r="H1079" s="24">
        <v>25.8</v>
      </c>
      <c r="I1079" s="24" t="s">
        <v>3616</v>
      </c>
      <c r="J1079" s="95">
        <v>2825000</v>
      </c>
      <c r="K1079" s="95">
        <v>200000</v>
      </c>
      <c r="L1079" s="92">
        <f t="shared" si="37"/>
        <v>2625000</v>
      </c>
      <c r="M1079" s="95">
        <v>0</v>
      </c>
      <c r="N1079" s="94">
        <f t="shared" si="38"/>
        <v>2625000</v>
      </c>
    </row>
    <row r="1080" spans="2:14">
      <c r="B1080" s="27" t="s">
        <v>3712</v>
      </c>
      <c r="C1080" s="24" t="s">
        <v>3589</v>
      </c>
      <c r="D1080" s="24" t="s">
        <v>233</v>
      </c>
      <c r="E1080" s="24" t="s">
        <v>3661</v>
      </c>
      <c r="F1080" s="24" t="s">
        <v>3662</v>
      </c>
      <c r="H1080" s="24">
        <v>24</v>
      </c>
      <c r="I1080" s="24" t="s">
        <v>3593</v>
      </c>
      <c r="J1080" s="95">
        <v>2700000</v>
      </c>
      <c r="K1080" s="95">
        <v>534821</v>
      </c>
      <c r="L1080" s="92">
        <f t="shared" si="37"/>
        <v>2165179</v>
      </c>
      <c r="M1080" s="95"/>
      <c r="N1080" s="94">
        <f t="shared" si="38"/>
        <v>2165179</v>
      </c>
    </row>
    <row r="1081" spans="2:14">
      <c r="B1081" s="27" t="s">
        <v>3713</v>
      </c>
      <c r="C1081" s="24" t="s">
        <v>3589</v>
      </c>
      <c r="D1081" s="24" t="s">
        <v>205</v>
      </c>
      <c r="E1081" s="24" t="s">
        <v>3661</v>
      </c>
      <c r="F1081" s="24" t="s">
        <v>3669</v>
      </c>
      <c r="H1081" s="24">
        <v>25.8</v>
      </c>
      <c r="I1081" s="24" t="s">
        <v>3621</v>
      </c>
      <c r="J1081" s="95">
        <v>2975000</v>
      </c>
      <c r="K1081" s="95">
        <v>200000</v>
      </c>
      <c r="L1081" s="92">
        <f t="shared" si="37"/>
        <v>2775000</v>
      </c>
      <c r="M1081" s="95">
        <v>0</v>
      </c>
      <c r="N1081" s="94">
        <f t="shared" si="38"/>
        <v>2775000</v>
      </c>
    </row>
    <row r="1082" spans="2:14">
      <c r="B1082" s="27" t="s">
        <v>3714</v>
      </c>
      <c r="C1082" s="24" t="s">
        <v>3589</v>
      </c>
      <c r="D1082" s="24" t="s">
        <v>205</v>
      </c>
      <c r="E1082" s="24" t="s">
        <v>3661</v>
      </c>
      <c r="F1082" s="25" t="s">
        <v>3672</v>
      </c>
      <c r="H1082" s="24">
        <v>24</v>
      </c>
      <c r="I1082" s="24" t="s">
        <v>3606</v>
      </c>
      <c r="J1082" s="95">
        <v>2850000</v>
      </c>
      <c r="K1082" s="95">
        <v>142500</v>
      </c>
      <c r="L1082" s="92">
        <f t="shared" si="37"/>
        <v>2707500</v>
      </c>
      <c r="M1082" s="95">
        <v>0</v>
      </c>
      <c r="N1082" s="94">
        <f t="shared" si="38"/>
        <v>2707500</v>
      </c>
    </row>
    <row r="1083" spans="2:14">
      <c r="B1083" s="27" t="s">
        <v>3715</v>
      </c>
      <c r="C1083" s="24" t="s">
        <v>3589</v>
      </c>
      <c r="D1083" s="24" t="s">
        <v>205</v>
      </c>
      <c r="E1083" s="24" t="s">
        <v>3661</v>
      </c>
      <c r="F1083" s="25" t="s">
        <v>3672</v>
      </c>
      <c r="H1083" s="24">
        <v>24</v>
      </c>
      <c r="I1083" s="24" t="s">
        <v>3608</v>
      </c>
      <c r="J1083" s="95">
        <v>2500000</v>
      </c>
      <c r="K1083" s="95">
        <v>200000</v>
      </c>
      <c r="L1083" s="92">
        <f t="shared" si="37"/>
        <v>2300000</v>
      </c>
      <c r="M1083" s="95">
        <v>0</v>
      </c>
      <c r="N1083" s="94">
        <f t="shared" si="38"/>
        <v>2300000</v>
      </c>
    </row>
    <row r="1084" spans="2:14">
      <c r="B1084" s="27" t="s">
        <v>3716</v>
      </c>
      <c r="C1084" s="24" t="s">
        <v>3589</v>
      </c>
      <c r="D1084" s="24" t="s">
        <v>205</v>
      </c>
      <c r="E1084" s="24" t="s">
        <v>3661</v>
      </c>
      <c r="F1084" s="25" t="s">
        <v>3672</v>
      </c>
      <c r="H1084" s="24">
        <v>24</v>
      </c>
      <c r="I1084" s="24" t="s">
        <v>3608</v>
      </c>
      <c r="J1084" s="95">
        <v>2500000</v>
      </c>
      <c r="K1084" s="95">
        <v>200000</v>
      </c>
      <c r="L1084" s="92">
        <f t="shared" si="37"/>
        <v>2300000</v>
      </c>
      <c r="M1084" s="95">
        <v>0</v>
      </c>
      <c r="N1084" s="94">
        <f t="shared" si="38"/>
        <v>2300000</v>
      </c>
    </row>
    <row r="1085" spans="2:14">
      <c r="B1085" s="27" t="s">
        <v>3717</v>
      </c>
      <c r="C1085" s="24" t="s">
        <v>3589</v>
      </c>
      <c r="D1085" s="24" t="s">
        <v>233</v>
      </c>
      <c r="E1085" s="24" t="s">
        <v>3661</v>
      </c>
      <c r="F1085" s="25" t="s">
        <v>3672</v>
      </c>
      <c r="H1085" s="24">
        <v>24</v>
      </c>
      <c r="I1085" s="24" t="s">
        <v>3608</v>
      </c>
      <c r="J1085" s="95">
        <v>2700000</v>
      </c>
      <c r="K1085" s="95">
        <v>150000</v>
      </c>
      <c r="L1085" s="92">
        <f t="shared" si="37"/>
        <v>2550000</v>
      </c>
      <c r="M1085" s="95">
        <v>0</v>
      </c>
      <c r="N1085" s="94">
        <f t="shared" si="38"/>
        <v>2550000</v>
      </c>
    </row>
    <row r="1086" spans="2:14">
      <c r="B1086" s="27" t="s">
        <v>3718</v>
      </c>
      <c r="C1086" s="24" t="s">
        <v>3589</v>
      </c>
      <c r="D1086" s="24" t="s">
        <v>205</v>
      </c>
      <c r="E1086" s="24" t="s">
        <v>3661</v>
      </c>
      <c r="F1086" s="25" t="s">
        <v>3672</v>
      </c>
      <c r="H1086" s="24">
        <v>24</v>
      </c>
      <c r="I1086" s="24" t="s">
        <v>3608</v>
      </c>
      <c r="J1086" s="95">
        <v>2500000</v>
      </c>
      <c r="K1086" s="95">
        <v>200000</v>
      </c>
      <c r="L1086" s="92">
        <f t="shared" si="37"/>
        <v>2300000</v>
      </c>
      <c r="M1086" s="95">
        <v>0</v>
      </c>
      <c r="N1086" s="94">
        <f t="shared" si="38"/>
        <v>2300000</v>
      </c>
    </row>
    <row r="1087" spans="2:14">
      <c r="B1087" s="27" t="s">
        <v>3719</v>
      </c>
      <c r="C1087" s="24" t="s">
        <v>3589</v>
      </c>
      <c r="D1087" s="24" t="s">
        <v>205</v>
      </c>
      <c r="E1087" s="24" t="s">
        <v>3661</v>
      </c>
      <c r="F1087" s="25" t="s">
        <v>3672</v>
      </c>
      <c r="H1087" s="24">
        <v>24</v>
      </c>
      <c r="I1087" s="24" t="s">
        <v>3608</v>
      </c>
      <c r="J1087" s="95">
        <v>2700000</v>
      </c>
      <c r="K1087" s="95">
        <v>135000</v>
      </c>
      <c r="L1087" s="92">
        <f t="shared" si="37"/>
        <v>2565000</v>
      </c>
      <c r="M1087" s="95">
        <v>0</v>
      </c>
      <c r="N1087" s="94">
        <f t="shared" si="38"/>
        <v>2565000</v>
      </c>
    </row>
    <row r="1088" spans="2:14">
      <c r="B1088" s="27" t="s">
        <v>3720</v>
      </c>
      <c r="C1088" s="24" t="s">
        <v>3589</v>
      </c>
      <c r="D1088" s="24" t="s">
        <v>205</v>
      </c>
      <c r="E1088" s="24" t="s">
        <v>3661</v>
      </c>
      <c r="F1088" s="25" t="s">
        <v>3672</v>
      </c>
      <c r="H1088" s="24">
        <v>24</v>
      </c>
      <c r="I1088" s="24" t="s">
        <v>3608</v>
      </c>
      <c r="J1088" s="95">
        <v>2500000</v>
      </c>
      <c r="K1088" s="95">
        <v>200000</v>
      </c>
      <c r="L1088" s="92">
        <f t="shared" si="37"/>
        <v>2300000</v>
      </c>
      <c r="M1088" s="95">
        <v>0</v>
      </c>
      <c r="N1088" s="94">
        <f t="shared" si="38"/>
        <v>2300000</v>
      </c>
    </row>
    <row r="1089" spans="2:14">
      <c r="B1089" s="27" t="s">
        <v>3721</v>
      </c>
      <c r="C1089" s="24" t="s">
        <v>3589</v>
      </c>
      <c r="D1089" s="24" t="s">
        <v>205</v>
      </c>
      <c r="E1089" s="24" t="s">
        <v>3661</v>
      </c>
      <c r="F1089" s="24" t="s">
        <v>3662</v>
      </c>
      <c r="H1089" s="24">
        <v>24</v>
      </c>
      <c r="I1089" s="24" t="s">
        <v>3593</v>
      </c>
      <c r="J1089" s="95">
        <v>2700000</v>
      </c>
      <c r="K1089" s="95">
        <v>200000</v>
      </c>
      <c r="L1089" s="92">
        <f t="shared" si="37"/>
        <v>2500000</v>
      </c>
      <c r="M1089" s="95">
        <v>0</v>
      </c>
      <c r="N1089" s="94">
        <f t="shared" si="38"/>
        <v>2500000</v>
      </c>
    </row>
    <row r="1090" spans="2:14">
      <c r="B1090" s="27" t="s">
        <v>3722</v>
      </c>
      <c r="C1090" s="24" t="s">
        <v>3589</v>
      </c>
      <c r="D1090" s="24" t="s">
        <v>205</v>
      </c>
      <c r="E1090" s="24" t="s">
        <v>3661</v>
      </c>
      <c r="F1090" s="24" t="s">
        <v>3662</v>
      </c>
      <c r="H1090" s="24">
        <v>24</v>
      </c>
      <c r="I1090" s="24" t="s">
        <v>3593</v>
      </c>
      <c r="J1090" s="95">
        <v>2700000</v>
      </c>
      <c r="K1090" s="95">
        <v>200000</v>
      </c>
      <c r="L1090" s="92">
        <f t="shared" si="37"/>
        <v>2500000</v>
      </c>
      <c r="M1090" s="95">
        <v>0</v>
      </c>
      <c r="N1090" s="94">
        <f t="shared" si="38"/>
        <v>2500000</v>
      </c>
    </row>
    <row r="1091" spans="2:14">
      <c r="B1091" s="27" t="s">
        <v>3723</v>
      </c>
      <c r="C1091" s="24" t="s">
        <v>3589</v>
      </c>
      <c r="D1091" s="24" t="s">
        <v>233</v>
      </c>
      <c r="E1091" s="24" t="s">
        <v>3661</v>
      </c>
      <c r="F1091" s="24" t="s">
        <v>3662</v>
      </c>
      <c r="H1091" s="24">
        <v>24</v>
      </c>
      <c r="I1091" s="24" t="s">
        <v>3591</v>
      </c>
      <c r="J1091" s="95">
        <v>2850000</v>
      </c>
      <c r="K1091" s="95">
        <v>200000</v>
      </c>
      <c r="L1091" s="92">
        <f t="shared" si="37"/>
        <v>2650000</v>
      </c>
      <c r="M1091" s="95"/>
      <c r="N1091" s="94">
        <f t="shared" si="38"/>
        <v>2650000</v>
      </c>
    </row>
    <row r="1092" spans="2:14">
      <c r="B1092" s="27" t="s">
        <v>3724</v>
      </c>
      <c r="C1092" s="24" t="s">
        <v>3589</v>
      </c>
      <c r="D1092" s="24" t="s">
        <v>205</v>
      </c>
      <c r="E1092" s="24" t="s">
        <v>3661</v>
      </c>
      <c r="F1092" s="25" t="s">
        <v>3672</v>
      </c>
      <c r="H1092" s="24">
        <v>24</v>
      </c>
      <c r="I1092" s="24" t="s">
        <v>3608</v>
      </c>
      <c r="J1092" s="95">
        <v>2700000</v>
      </c>
      <c r="K1092" s="95">
        <v>150000</v>
      </c>
      <c r="L1092" s="92">
        <f t="shared" si="37"/>
        <v>2550000</v>
      </c>
      <c r="M1092" s="95">
        <v>0</v>
      </c>
      <c r="N1092" s="94">
        <f t="shared" si="38"/>
        <v>2550000</v>
      </c>
    </row>
    <row r="1093" spans="2:14">
      <c r="B1093" s="27" t="s">
        <v>3725</v>
      </c>
      <c r="C1093" s="24" t="s">
        <v>3589</v>
      </c>
      <c r="D1093" s="24" t="s">
        <v>205</v>
      </c>
      <c r="E1093" s="24" t="s">
        <v>3661</v>
      </c>
      <c r="F1093" s="25" t="s">
        <v>3672</v>
      </c>
      <c r="H1093" s="24">
        <v>25.8</v>
      </c>
      <c r="I1093" s="24" t="s">
        <v>3616</v>
      </c>
      <c r="J1093" s="95">
        <v>2825000</v>
      </c>
      <c r="K1093" s="95">
        <v>200000</v>
      </c>
      <c r="L1093" s="92">
        <f t="shared" si="37"/>
        <v>2625000</v>
      </c>
      <c r="M1093" s="95">
        <v>0</v>
      </c>
      <c r="N1093" s="94">
        <f t="shared" si="38"/>
        <v>2625000</v>
      </c>
    </row>
    <row r="1094" spans="2:14">
      <c r="B1094" s="26" t="s">
        <v>3726</v>
      </c>
      <c r="C1094" s="25" t="s">
        <v>3589</v>
      </c>
      <c r="D1094" s="25" t="s">
        <v>205</v>
      </c>
      <c r="E1094" s="25" t="s">
        <v>3661</v>
      </c>
      <c r="F1094" s="25" t="s">
        <v>3672</v>
      </c>
      <c r="H1094" s="25">
        <v>24</v>
      </c>
      <c r="I1094" s="25" t="s">
        <v>3608</v>
      </c>
      <c r="J1094" s="96">
        <v>2600000</v>
      </c>
      <c r="K1094" s="96">
        <v>200000</v>
      </c>
      <c r="L1094" s="92">
        <f t="shared" si="37"/>
        <v>2400000</v>
      </c>
      <c r="M1094" s="96">
        <v>0</v>
      </c>
      <c r="N1094" s="94">
        <f t="shared" si="38"/>
        <v>2400000</v>
      </c>
    </row>
    <row r="1095" spans="2:14">
      <c r="B1095" s="27" t="s">
        <v>3727</v>
      </c>
      <c r="C1095" s="24" t="s">
        <v>3589</v>
      </c>
      <c r="D1095" s="24" t="s">
        <v>205</v>
      </c>
      <c r="E1095" s="24" t="s">
        <v>3661</v>
      </c>
      <c r="F1095" s="25" t="s">
        <v>3672</v>
      </c>
      <c r="H1095" s="24">
        <v>25.8</v>
      </c>
      <c r="I1095" s="24" t="s">
        <v>3616</v>
      </c>
      <c r="J1095" s="95">
        <v>3000000</v>
      </c>
      <c r="K1095" s="95">
        <v>150000</v>
      </c>
      <c r="L1095" s="92">
        <f t="shared" si="37"/>
        <v>2850000</v>
      </c>
      <c r="M1095" s="95">
        <v>0</v>
      </c>
      <c r="N1095" s="94">
        <f t="shared" si="38"/>
        <v>2850000</v>
      </c>
    </row>
    <row r="1096" spans="2:14">
      <c r="B1096" s="27" t="s">
        <v>3728</v>
      </c>
      <c r="C1096" s="24" t="s">
        <v>3589</v>
      </c>
      <c r="D1096" s="24" t="s">
        <v>233</v>
      </c>
      <c r="E1096" s="24" t="s">
        <v>3661</v>
      </c>
      <c r="F1096" s="25" t="s">
        <v>3672</v>
      </c>
      <c r="H1096" s="24">
        <v>24</v>
      </c>
      <c r="I1096" s="24" t="s">
        <v>3608</v>
      </c>
      <c r="J1096" s="95">
        <v>2500000</v>
      </c>
      <c r="K1096" s="95">
        <v>200000</v>
      </c>
      <c r="L1096" s="92">
        <f t="shared" si="37"/>
        <v>2300000</v>
      </c>
      <c r="M1096" s="95">
        <v>0</v>
      </c>
      <c r="N1096" s="94">
        <f t="shared" si="38"/>
        <v>2300000</v>
      </c>
    </row>
    <row r="1097" spans="2:14">
      <c r="B1097" s="27" t="s">
        <v>3729</v>
      </c>
      <c r="C1097" s="24" t="s">
        <v>3589</v>
      </c>
      <c r="D1097" s="24" t="s">
        <v>205</v>
      </c>
      <c r="E1097" s="24" t="s">
        <v>3661</v>
      </c>
      <c r="F1097" s="25" t="s">
        <v>3672</v>
      </c>
      <c r="H1097" s="24">
        <v>25.8</v>
      </c>
      <c r="I1097" s="24" t="s">
        <v>3616</v>
      </c>
      <c r="J1097" s="95">
        <v>3000000</v>
      </c>
      <c r="K1097" s="95">
        <v>200000</v>
      </c>
      <c r="L1097" s="92">
        <f t="shared" si="37"/>
        <v>2800000</v>
      </c>
      <c r="M1097" s="95">
        <v>0</v>
      </c>
      <c r="N1097" s="94">
        <f t="shared" si="38"/>
        <v>2800000</v>
      </c>
    </row>
    <row r="1098" spans="2:14">
      <c r="B1098" s="27" t="s">
        <v>3730</v>
      </c>
      <c r="C1098" s="24" t="s">
        <v>3589</v>
      </c>
      <c r="D1098" s="24" t="s">
        <v>233</v>
      </c>
      <c r="E1098" s="24" t="s">
        <v>3661</v>
      </c>
      <c r="F1098" s="25" t="s">
        <v>3672</v>
      </c>
      <c r="H1098" s="24">
        <v>24</v>
      </c>
      <c r="I1098" s="24" t="s">
        <v>3606</v>
      </c>
      <c r="J1098" s="95">
        <v>2850000</v>
      </c>
      <c r="K1098" s="95">
        <v>400000</v>
      </c>
      <c r="L1098" s="92">
        <f t="shared" si="37"/>
        <v>2450000</v>
      </c>
      <c r="M1098" s="95">
        <v>0</v>
      </c>
      <c r="N1098" s="94">
        <f t="shared" si="38"/>
        <v>2450000</v>
      </c>
    </row>
    <row r="1099" spans="2:14">
      <c r="B1099" s="26" t="s">
        <v>3731</v>
      </c>
      <c r="C1099" s="24" t="s">
        <v>3589</v>
      </c>
      <c r="D1099" s="24" t="s">
        <v>205</v>
      </c>
      <c r="E1099" s="24" t="s">
        <v>3732</v>
      </c>
      <c r="F1099" s="24" t="s">
        <v>3650</v>
      </c>
      <c r="H1099" s="24">
        <v>12.5</v>
      </c>
      <c r="I1099" s="24" t="s">
        <v>3650</v>
      </c>
      <c r="J1099" s="95">
        <v>850000</v>
      </c>
      <c r="K1099" s="95">
        <v>200000</v>
      </c>
      <c r="L1099" s="92">
        <f t="shared" si="37"/>
        <v>650000</v>
      </c>
      <c r="M1099" s="95">
        <v>69642.857142857145</v>
      </c>
      <c r="N1099" s="94">
        <f t="shared" si="38"/>
        <v>580357.14285714284</v>
      </c>
    </row>
    <row r="1100" spans="2:14">
      <c r="B1100" s="26" t="s">
        <v>3733</v>
      </c>
      <c r="C1100" s="24" t="s">
        <v>3589</v>
      </c>
      <c r="D1100" s="24" t="s">
        <v>205</v>
      </c>
      <c r="E1100" s="24" t="s">
        <v>3732</v>
      </c>
      <c r="F1100" s="24" t="s">
        <v>3650</v>
      </c>
      <c r="H1100" s="24">
        <v>12.5</v>
      </c>
      <c r="I1100" s="24" t="s">
        <v>3650</v>
      </c>
      <c r="J1100" s="95">
        <v>850000</v>
      </c>
      <c r="K1100" s="95">
        <v>100000</v>
      </c>
      <c r="L1100" s="92">
        <f t="shared" si="37"/>
        <v>750000</v>
      </c>
      <c r="M1100" s="95">
        <v>80357.14</v>
      </c>
      <c r="N1100" s="94">
        <f t="shared" si="38"/>
        <v>669642.86</v>
      </c>
    </row>
    <row r="1101" spans="2:14">
      <c r="B1101" s="26" t="s">
        <v>3734</v>
      </c>
      <c r="C1101" s="24" t="s">
        <v>3589</v>
      </c>
      <c r="D1101" s="24" t="s">
        <v>205</v>
      </c>
      <c r="E1101" s="24" t="s">
        <v>3732</v>
      </c>
      <c r="F1101" s="24" t="s">
        <v>3650</v>
      </c>
      <c r="H1101" s="24">
        <v>12.5</v>
      </c>
      <c r="I1101" s="24" t="s">
        <v>3650</v>
      </c>
      <c r="J1101" s="95">
        <v>1000000</v>
      </c>
      <c r="K1101" s="95">
        <v>0</v>
      </c>
      <c r="L1101" s="92">
        <f t="shared" si="37"/>
        <v>1000000</v>
      </c>
      <c r="M1101" s="95">
        <v>107142.86</v>
      </c>
      <c r="N1101" s="94">
        <f t="shared" si="38"/>
        <v>892857.14</v>
      </c>
    </row>
    <row r="1102" spans="2:14">
      <c r="B1102" s="26" t="s">
        <v>3735</v>
      </c>
      <c r="C1102" s="24" t="s">
        <v>3589</v>
      </c>
      <c r="D1102" s="24" t="s">
        <v>205</v>
      </c>
      <c r="E1102" s="24" t="s">
        <v>3732</v>
      </c>
      <c r="F1102" s="24" t="s">
        <v>3650</v>
      </c>
      <c r="H1102" s="24">
        <v>12.5</v>
      </c>
      <c r="I1102" s="24" t="s">
        <v>3650</v>
      </c>
      <c r="J1102" s="95">
        <v>850000</v>
      </c>
      <c r="K1102" s="95">
        <v>200000</v>
      </c>
      <c r="L1102" s="92">
        <f t="shared" si="37"/>
        <v>650000</v>
      </c>
      <c r="M1102" s="95">
        <v>69642.86</v>
      </c>
      <c r="N1102" s="94">
        <f t="shared" si="38"/>
        <v>580357.14</v>
      </c>
    </row>
    <row r="1103" spans="2:14">
      <c r="B1103" s="26" t="s">
        <v>3736</v>
      </c>
      <c r="C1103" s="24" t="s">
        <v>3589</v>
      </c>
      <c r="D1103" s="24" t="s">
        <v>205</v>
      </c>
      <c r="E1103" s="24" t="s">
        <v>3732</v>
      </c>
      <c r="F1103" s="24" t="s">
        <v>3650</v>
      </c>
      <c r="H1103" s="24">
        <v>12.5</v>
      </c>
      <c r="I1103" s="24" t="s">
        <v>3650</v>
      </c>
      <c r="J1103" s="95">
        <v>685000</v>
      </c>
      <c r="K1103" s="95">
        <v>34250</v>
      </c>
      <c r="L1103" s="92">
        <f t="shared" si="37"/>
        <v>650750</v>
      </c>
      <c r="M1103" s="95">
        <v>69723.210000000006</v>
      </c>
      <c r="N1103" s="94">
        <f t="shared" si="38"/>
        <v>581026.79</v>
      </c>
    </row>
    <row r="1104" spans="2:14">
      <c r="B1104" s="26" t="s">
        <v>3737</v>
      </c>
      <c r="C1104" s="24" t="s">
        <v>3589</v>
      </c>
      <c r="D1104" s="24" t="s">
        <v>205</v>
      </c>
      <c r="E1104" s="24" t="s">
        <v>3732</v>
      </c>
      <c r="F1104" s="24" t="s">
        <v>3650</v>
      </c>
      <c r="H1104" s="24">
        <v>12.5</v>
      </c>
      <c r="I1104" s="24" t="s">
        <v>3650</v>
      </c>
      <c r="J1104" s="95">
        <v>850000</v>
      </c>
      <c r="K1104" s="95">
        <v>100000</v>
      </c>
      <c r="L1104" s="92">
        <f t="shared" si="37"/>
        <v>750000</v>
      </c>
      <c r="M1104" s="95">
        <v>80357.142857142841</v>
      </c>
      <c r="N1104" s="94">
        <f t="shared" si="38"/>
        <v>669642.85714285716</v>
      </c>
    </row>
    <row r="1105" spans="2:14">
      <c r="B1105" s="26" t="s">
        <v>3738</v>
      </c>
      <c r="C1105" s="24" t="s">
        <v>3589</v>
      </c>
      <c r="D1105" s="24" t="s">
        <v>205</v>
      </c>
      <c r="E1105" s="24" t="s">
        <v>3732</v>
      </c>
      <c r="F1105" s="24" t="s">
        <v>3650</v>
      </c>
      <c r="H1105" s="24">
        <v>12.5</v>
      </c>
      <c r="I1105" s="24" t="s">
        <v>3650</v>
      </c>
      <c r="J1105" s="95">
        <v>850000</v>
      </c>
      <c r="K1105" s="95">
        <v>42500</v>
      </c>
      <c r="L1105" s="92">
        <f t="shared" si="37"/>
        <v>807500</v>
      </c>
      <c r="M1105" s="95">
        <v>86517.86</v>
      </c>
      <c r="N1105" s="94">
        <f t="shared" si="38"/>
        <v>720982.14</v>
      </c>
    </row>
    <row r="1106" spans="2:14">
      <c r="B1106" s="26" t="s">
        <v>3739</v>
      </c>
      <c r="C1106" s="24" t="s">
        <v>3589</v>
      </c>
      <c r="D1106" s="24" t="s">
        <v>205</v>
      </c>
      <c r="E1106" s="24" t="s">
        <v>3732</v>
      </c>
      <c r="F1106" s="24" t="s">
        <v>3650</v>
      </c>
      <c r="H1106" s="24">
        <v>12.5</v>
      </c>
      <c r="I1106" s="24" t="s">
        <v>3650</v>
      </c>
      <c r="J1106" s="95">
        <v>1000000</v>
      </c>
      <c r="K1106" s="95">
        <v>0</v>
      </c>
      <c r="L1106" s="92">
        <f t="shared" si="37"/>
        <v>1000000</v>
      </c>
      <c r="M1106" s="95">
        <v>107142.86</v>
      </c>
      <c r="N1106" s="94">
        <f t="shared" si="38"/>
        <v>892857.14</v>
      </c>
    </row>
    <row r="1107" spans="2:14">
      <c r="B1107" s="26" t="s">
        <v>3740</v>
      </c>
      <c r="C1107" s="24" t="s">
        <v>3589</v>
      </c>
      <c r="D1107" s="24" t="s">
        <v>205</v>
      </c>
      <c r="E1107" s="24" t="s">
        <v>3732</v>
      </c>
      <c r="F1107" s="24" t="s">
        <v>3650</v>
      </c>
      <c r="H1107" s="24">
        <v>12.5</v>
      </c>
      <c r="I1107" s="24" t="s">
        <v>3650</v>
      </c>
      <c r="J1107" s="95">
        <v>850000</v>
      </c>
      <c r="K1107" s="95">
        <v>165000</v>
      </c>
      <c r="L1107" s="92">
        <f t="shared" si="37"/>
        <v>685000</v>
      </c>
      <c r="M1107" s="95">
        <v>73392.86</v>
      </c>
      <c r="N1107" s="94">
        <f t="shared" si="38"/>
        <v>611607.14</v>
      </c>
    </row>
    <row r="1108" spans="2:14">
      <c r="B1108" s="26" t="s">
        <v>3741</v>
      </c>
      <c r="C1108" s="24" t="s">
        <v>3589</v>
      </c>
      <c r="D1108" s="24" t="s">
        <v>243</v>
      </c>
      <c r="E1108" s="24" t="s">
        <v>3732</v>
      </c>
      <c r="F1108" s="24" t="s">
        <v>3650</v>
      </c>
      <c r="H1108" s="24">
        <v>12.5</v>
      </c>
      <c r="I1108" s="24" t="s">
        <v>3650</v>
      </c>
      <c r="J1108" s="95">
        <v>850000</v>
      </c>
      <c r="K1108" s="95">
        <v>0</v>
      </c>
      <c r="L1108" s="92">
        <f t="shared" si="37"/>
        <v>850000</v>
      </c>
      <c r="M1108" s="95">
        <v>91071.43</v>
      </c>
      <c r="N1108" s="94">
        <f t="shared" si="38"/>
        <v>758928.57000000007</v>
      </c>
    </row>
    <row r="1109" spans="2:14">
      <c r="B1109" s="26" t="s">
        <v>3742</v>
      </c>
      <c r="C1109" s="24" t="s">
        <v>3589</v>
      </c>
      <c r="D1109" s="24" t="s">
        <v>205</v>
      </c>
      <c r="E1109" s="24" t="s">
        <v>3732</v>
      </c>
      <c r="F1109" s="24" t="s">
        <v>3650</v>
      </c>
      <c r="H1109" s="24">
        <v>12.5</v>
      </c>
      <c r="I1109" s="24" t="s">
        <v>3650</v>
      </c>
      <c r="J1109" s="95">
        <v>850000</v>
      </c>
      <c r="K1109" s="95">
        <v>0</v>
      </c>
      <c r="L1109" s="92">
        <f t="shared" si="37"/>
        <v>850000</v>
      </c>
      <c r="M1109" s="95">
        <v>91071.43</v>
      </c>
      <c r="N1109" s="94">
        <f t="shared" si="38"/>
        <v>758928.57000000007</v>
      </c>
    </row>
    <row r="1110" spans="2:14">
      <c r="B1110" s="26" t="s">
        <v>3743</v>
      </c>
      <c r="C1110" s="24" t="s">
        <v>3589</v>
      </c>
      <c r="D1110" s="24" t="s">
        <v>205</v>
      </c>
      <c r="E1110" s="24" t="s">
        <v>3732</v>
      </c>
      <c r="F1110" s="24" t="s">
        <v>3650</v>
      </c>
      <c r="H1110" s="24">
        <v>12.5</v>
      </c>
      <c r="I1110" s="24" t="s">
        <v>3650</v>
      </c>
      <c r="J1110" s="95">
        <v>685000</v>
      </c>
      <c r="K1110" s="95">
        <v>34250</v>
      </c>
      <c r="L1110" s="92">
        <f t="shared" ref="L1110:L1113" si="39">J1110-K1110</f>
        <v>650750</v>
      </c>
      <c r="M1110" s="95">
        <v>69723.210000000006</v>
      </c>
      <c r="N1110" s="94">
        <f t="shared" ref="N1110:N1113" si="40">L1110-M1110</f>
        <v>581026.79</v>
      </c>
    </row>
    <row r="1111" spans="2:14">
      <c r="B1111" s="26" t="s">
        <v>3744</v>
      </c>
      <c r="C1111" s="24" t="s">
        <v>3589</v>
      </c>
      <c r="D1111" s="24" t="s">
        <v>205</v>
      </c>
      <c r="E1111" s="24" t="s">
        <v>3732</v>
      </c>
      <c r="F1111" s="24" t="s">
        <v>3650</v>
      </c>
      <c r="H1111" s="24">
        <v>12.5</v>
      </c>
      <c r="I1111" s="24" t="s">
        <v>3650</v>
      </c>
      <c r="J1111" s="95">
        <v>685000</v>
      </c>
      <c r="K1111" s="95">
        <v>34250</v>
      </c>
      <c r="L1111" s="92">
        <f t="shared" si="39"/>
        <v>650750</v>
      </c>
      <c r="M1111" s="95">
        <v>69723.210000000006</v>
      </c>
      <c r="N1111" s="94">
        <f t="shared" si="40"/>
        <v>581026.79</v>
      </c>
    </row>
    <row r="1112" spans="2:14">
      <c r="B1112" s="26" t="s">
        <v>3745</v>
      </c>
      <c r="C1112" s="24" t="s">
        <v>3589</v>
      </c>
      <c r="D1112" s="24" t="s">
        <v>205</v>
      </c>
      <c r="E1112" s="24" t="s">
        <v>3732</v>
      </c>
      <c r="F1112" s="24" t="s">
        <v>3650</v>
      </c>
      <c r="H1112" s="24">
        <v>12.5</v>
      </c>
      <c r="I1112" s="24" t="s">
        <v>3650</v>
      </c>
      <c r="J1112" s="95">
        <v>685000</v>
      </c>
      <c r="K1112" s="95">
        <v>34250</v>
      </c>
      <c r="L1112" s="92">
        <f t="shared" si="39"/>
        <v>650750</v>
      </c>
      <c r="M1112" s="95">
        <v>69723.210000000006</v>
      </c>
      <c r="N1112" s="94">
        <f t="shared" si="40"/>
        <v>581026.79</v>
      </c>
    </row>
    <row r="1113" spans="2:14">
      <c r="B1113" s="26" t="s">
        <v>3746</v>
      </c>
      <c r="C1113" s="24" t="s">
        <v>3589</v>
      </c>
      <c r="D1113" s="24" t="s">
        <v>205</v>
      </c>
      <c r="E1113" s="24" t="s">
        <v>3732</v>
      </c>
      <c r="F1113" s="24" t="s">
        <v>3650</v>
      </c>
      <c r="H1113" s="24">
        <v>12.5</v>
      </c>
      <c r="I1113" s="24" t="s">
        <v>3650</v>
      </c>
      <c r="J1113" s="95">
        <v>850000</v>
      </c>
      <c r="K1113" s="95">
        <v>100000</v>
      </c>
      <c r="L1113" s="92">
        <f t="shared" si="39"/>
        <v>750000</v>
      </c>
      <c r="M1113" s="95">
        <v>80357.142857142841</v>
      </c>
      <c r="N1113" s="94">
        <f t="shared" si="40"/>
        <v>669642.85714285716</v>
      </c>
    </row>
  </sheetData>
  <sheetProtection selectLockedCells="1" selectUnlockedCells="1"/>
  <autoFilter ref="B6:O1113" xr:uid="{65049767-F77F-43D0-B3F3-9FAD7C6FDB8B}"/>
  <conditionalFormatting sqref="B533:B970">
    <cfRule type="duplicateValues" dxfId="0" priority="1"/>
  </conditionalFormatting>
  <pageMargins left="0.7" right="0.7" top="0.75" bottom="0.75" header="0.3" footer="0.3"/>
  <pageSetup paperSize="8" scale="12" fitToWidth="0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HeadingPairs>
  <TitlesOfParts>
    <vt:vector size="8" baseType="lpstr">
      <vt:lpstr>MIDDLE HOUSING INVENTORY</vt:lpstr>
      <vt:lpstr>MIDDLE CONDO INVENTORY</vt:lpstr>
      <vt:lpstr>'MIDDLE CONDO INVENTORY'!Column1</vt:lpstr>
      <vt:lpstr>'MIDDLE HOUSING INVENTORY'!Column1</vt:lpstr>
      <vt:lpstr>'MIDDLE CONDO INVENTORY'!LotAlias</vt:lpstr>
      <vt:lpstr>'MIDDLE HOUSING INVENTORY'!LotAlias</vt:lpstr>
      <vt:lpstr>'MIDDLE CONDO INVENTORY'!Print_Area</vt:lpstr>
      <vt:lpstr>'MIDDLE HOUSING INVENTORY'!Print_Area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Mary Beth G. Jacinto</dc:creator>
  <cp:lastModifiedBy>Mary Beth G. Jacinto</cp:lastModifiedBy>
  <dcterms:created xsi:type="dcterms:W3CDTF">2026-08-08T10:35:06Z</dcterms:created>
  <dcterms:modified xsi:type="dcterms:W3CDTF">2026-08-08T12:14:49Z</dcterms:modified>
</cp:coreProperties>
</file>